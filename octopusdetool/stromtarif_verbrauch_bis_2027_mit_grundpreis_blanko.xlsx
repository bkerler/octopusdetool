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brauch" sheetId="1" state="visible" r:id="rId3"/>
    <sheet name="Einstellungen" sheetId="2" state="visible" r:id="rId4"/>
    <sheet name="Tagesübersicht" sheetId="3" state="visible" r:id="rId5"/>
    <sheet name="Wochenübersicht" sheetId="4" state="visible" r:id="rId6"/>
    <sheet name="Monatsübersicht" sheetId="5" state="visible" r:id="rId7"/>
    <sheet name="Jahresübersicht" sheetId="6" state="visible" r:id="rId8"/>
    <sheet name="Diagramme" sheetId="7" state="visible" r:id="rId9"/>
  </sheets>
  <definedNames>
    <definedName function="false" hidden="true" localSheetId="2" name="_xlnm._FilterDatabase" vbProcedure="false">Tagesübersicht!$A$4:$H$1887</definedName>
    <definedName function="false" hidden="true" localSheetId="0" name="_xlnm._FilterDatabase" vbProcedure="false">Verbrauch!$A$8:$F$45200</definedName>
    <definedName function="false" hidden="true" localSheetId="3" name="_xlnm._FilterDatabase" vbProcedure="false">Wochenübersicht!$A$4:$I$274</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OpenAI</author>
  </authors>
  <commentList>
    <comment ref="C8" authorId="0">
      <text>
        <r>
          <rPr>
            <sz val="10"/>
            <rFont val="Arial"/>
            <family val="2"/>
          </rPr>
          <t xml:space="preserve">Nur hier Verbrauch in kWh eintragen. Alle anderen Spalten werden automatisch berechnet.</t>
        </r>
      </text>
    </comment>
  </commentList>
</comments>
</file>

<file path=xl/comments2.xml><?xml version="1.0" encoding="utf-8"?>
<comments xmlns="http://schemas.openxmlformats.org/spreadsheetml/2006/main" xmlns:xdr="http://schemas.openxmlformats.org/drawingml/2006/spreadsheetDrawing">
  <authors>
    <author>OpenAI</author>
  </authors>
  <commentList>
    <comment ref="B3" authorId="0">
      <text>
        <r>
          <rPr>
            <sz val="10"/>
            <rFont val="Arial"/>
            <family val="2"/>
          </rPr>
          <t xml:space="preserve">Arbeitspreis Go laut Vorgabe des Nutzers: 15,92 ct/kWh zwischen 00:00 und 05:00.</t>
        </r>
      </text>
    </comment>
    <comment ref="B4" authorId="0">
      <text>
        <r>
          <rPr>
            <sz val="10"/>
            <rFont val="Arial"/>
            <family val="2"/>
          </rPr>
          <t xml:space="preserve">Arbeitspreis Standard laut Vorgabe des Nutzers: 29,13 ct/kWh für die restliche Zeit.</t>
        </r>
      </text>
    </comment>
  </commentList>
</comments>
</file>

<file path=xl/sharedStrings.xml><?xml version="1.0" encoding="utf-8"?>
<sst xmlns="http://schemas.openxmlformats.org/spreadsheetml/2006/main" count="67" uniqueCount="51">
  <si>
    <t xml:space="preserve">Stromverbrauch – Stundenübersicht</t>
  </si>
  <si>
    <t xml:space="preserve">Hinweise
1. Bitte nur die Spalte "Verbrauch (kWh)" ausfüllen.
2. Tarif und Kosten werden automatisch berechnet.
3. Die Vorlage ist stündlich von 05.11.2025 bis 31.12.2027 vorbereitet.
4. Falls du später weitere Tage/Wochen/Monate brauchst: die letzten 24 Zeilen nach unten kopieren. Datum und Stunde laufen per Formel weiter.</t>
  </si>
  <si>
    <t xml:space="preserve">Gesamtverbrauch (kWh)</t>
  </si>
  <si>
    <t xml:space="preserve">Gesamtkosten inkl. Grundpreis (€)</t>
  </si>
  <si>
    <t xml:space="preserve">Durchschnittspreis gesamt (ct/kWh)</t>
  </si>
  <si>
    <t xml:space="preserve">Erfasste Stunden</t>
  </si>
  <si>
    <t xml:space="preserve">Datum</t>
  </si>
  <si>
    <t xml:space="preserve">Stunde</t>
  </si>
  <si>
    <t xml:space="preserve">Verbrauch (kWh)</t>
  </si>
  <si>
    <t xml:space="preserve">Tarif (ct/kWh)</t>
  </si>
  <si>
    <t xml:space="preserve">Kosten (€)</t>
  </si>
  <si>
    <t xml:space="preserve">Tariftyp</t>
  </si>
  <si>
    <t xml:space="preserve">Tarif-Einstellungen</t>
  </si>
  <si>
    <t xml:space="preserve">Tarif Go 00:00-04:59 (ct/kWh)</t>
  </si>
  <si>
    <t xml:space="preserve">Tarif Standard 05:00-23:59 (ct/kWh)</t>
  </si>
  <si>
    <t xml:space="preserve">Startdatum</t>
  </si>
  <si>
    <t xml:space="preserve">Enddatum der Vorlage</t>
  </si>
  <si>
    <t xml:space="preserve">Grundpreis pro Monat (€)</t>
  </si>
  <si>
    <t xml:space="preserve">Tipp</t>
  </si>
  <si>
    <t xml:space="preserve">Wenn sich Tarif oder Grundpreis ändern, nur B3/B4/B7 anpassen.</t>
  </si>
  <si>
    <t xml:space="preserve">Tagesübersicht</t>
  </si>
  <si>
    <t xml:space="preserve">Automatische Tagesauswertung basierend auf den stündlichen Eingaben im Blatt "Verbrauch". Trage im Blatt "Verbrauch" nur die stündlichen kWh ein; diese Übersicht berechnet sich automatisch.</t>
  </si>
  <si>
    <t xml:space="preserve">Nächster Tag</t>
  </si>
  <si>
    <t xml:space="preserve">Verbrauch gesamt (kWh)</t>
  </si>
  <si>
    <t xml:space="preserve">davon Go (kWh)</t>
  </si>
  <si>
    <t xml:space="preserve">davon Standard (kWh)</t>
  </si>
  <si>
    <t xml:space="preserve">Kosten gesamt (€)</t>
  </si>
  <si>
    <t xml:space="preserve">Ø Preis (ct/kWh)</t>
  </si>
  <si>
    <t xml:space="preserve">Wochenübersicht</t>
  </si>
  <si>
    <t xml:space="preserve">Automatische Wochenauswertung nach ISO-Wochen (Montag bis Sonntag). Die erste und letzte Woche können Teilwochen sein, weil die Vorlage am 05.11.2025 startet bzw. am 31.12.2027 endet.</t>
  </si>
  <si>
    <t xml:space="preserve">Wochenstart</t>
  </si>
  <si>
    <t xml:space="preserve">Nächste Woche</t>
  </si>
  <si>
    <t xml:space="preserve">ISO-Jahr</t>
  </si>
  <si>
    <t xml:space="preserve">ISO-Woche</t>
  </si>
  <si>
    <t xml:space="preserve">Monatsübersicht</t>
  </si>
  <si>
    <t xml:space="preserve">Diese Übersicht aktualisiert sich automatisch, sobald du in der Tabelle "Verbrauch" deine stündlichen kWh einträgst. Monatskosten enthalten jetzt den Grundpreis von Einstellungen!B7.</t>
  </si>
  <si>
    <t xml:space="preserve">Monat</t>
  </si>
  <si>
    <t xml:space="preserve">Ø Preis gesamt (ct/kWh)</t>
  </si>
  <si>
    <t xml:space="preserve">Monatsstart nächster Monat</t>
  </si>
  <si>
    <t xml:space="preserve">Jahresübersicht</t>
  </si>
  <si>
    <t xml:space="preserve">Automatische Jahresauswertung auf Basis der stündlichen Eingaben im Blatt "Verbrauch". Jahre ohne eingetragene Verbräuche bleiben mit 0 kWh und 0,00 € sichtbar.</t>
  </si>
  <si>
    <t xml:space="preserve">Jahr</t>
  </si>
  <si>
    <t xml:space="preserve">Jahresstart</t>
  </si>
  <si>
    <t xml:space="preserve">Nächstes Jahr</t>
  </si>
  <si>
    <t xml:space="preserve">Kosten gesamt inkl. Grundpreis (€)</t>
  </si>
  <si>
    <t xml:space="preserve">Diagramme</t>
  </si>
  <si>
    <t xml:space="preserve">Die Diagramme basieren auf den automatisch berechneten Übersichten. Nach dem Eintragen deiner stündlichen kWh im Blatt "Verbrauch" aktualisieren sich die Diagramme beim Öffnen in Excel.</t>
  </si>
  <si>
    <t xml:space="preserve">Tarifanteile</t>
  </si>
  <si>
    <t xml:space="preserve">Go</t>
  </si>
  <si>
    <t xml:space="preserve">Diagramme aktualisieren sich beim Öffnen der Datei in Excel automatisch mit den eingetragenen Stundenwerten.</t>
  </si>
  <si>
    <t xml:space="preserve">Standard</t>
  </si>
</sst>
</file>

<file path=xl/styles.xml><?xml version="1.0" encoding="utf-8"?>
<styleSheet xmlns="http://schemas.openxmlformats.org/spreadsheetml/2006/main">
  <numFmts count="9">
    <numFmt numFmtId="164" formatCode="General"/>
    <numFmt numFmtId="165" formatCode="0.000"/>
    <numFmt numFmtId="166" formatCode="#,##0.0000\ [$€-409]"/>
    <numFmt numFmtId="167" formatCode="0.00"/>
    <numFmt numFmtId="168" formatCode="0"/>
    <numFmt numFmtId="169" formatCode="dd\.mm\.yyyy"/>
    <numFmt numFmtId="170" formatCode="00"/>
    <numFmt numFmtId="171" formatCode="#,##0.00&quot; €&quot;;[RED]\(#,##0.00&quot; €)&quot;"/>
    <numFmt numFmtId="172" formatCode="mmmm\ yyyy"/>
  </numFmts>
  <fonts count="11">
    <font>
      <sz val="11"/>
      <color theme="1"/>
      <name val="Calibri"/>
      <family val="2"/>
      <charset val="1"/>
    </font>
    <font>
      <sz val="10"/>
      <name val="Arial"/>
      <family val="0"/>
    </font>
    <font>
      <sz val="10"/>
      <name val="Arial"/>
      <family val="0"/>
    </font>
    <font>
      <sz val="10"/>
      <name val="Arial"/>
      <family val="0"/>
    </font>
    <font>
      <b val="true"/>
      <sz val="14"/>
      <color theme="1"/>
      <name val="Cambria"/>
      <family val="0"/>
      <charset val="1"/>
    </font>
    <font>
      <sz val="11"/>
      <color theme="1"/>
      <name val="Cambria"/>
      <family val="0"/>
      <charset val="1"/>
    </font>
    <font>
      <b val="true"/>
      <sz val="11"/>
      <color theme="1"/>
      <name val="Cambria"/>
      <family val="0"/>
      <charset val="1"/>
    </font>
    <font>
      <sz val="10"/>
      <name val="Arial"/>
      <family val="2"/>
    </font>
    <font>
      <b val="true"/>
      <sz val="18"/>
      <color rgb="FF000000"/>
      <name val="Calibri"/>
      <family val="2"/>
    </font>
    <font>
      <sz val="10"/>
      <color rgb="FF000000"/>
      <name val="Calibri"/>
      <family val="2"/>
    </font>
    <font>
      <b val="true"/>
      <sz val="10"/>
      <color rgb="FF000000"/>
      <name val="Calibri"/>
      <family val="2"/>
    </font>
  </fonts>
  <fills count="10">
    <fill>
      <patternFill patternType="none"/>
    </fill>
    <fill>
      <patternFill patternType="gray125"/>
    </fill>
    <fill>
      <patternFill patternType="solid">
        <fgColor rgb="FF1F4E78"/>
        <bgColor rgb="FF003366"/>
      </patternFill>
    </fill>
    <fill>
      <patternFill patternType="solid">
        <fgColor rgb="FFFFF2CC"/>
        <bgColor rgb="FFF2F2F2"/>
      </patternFill>
    </fill>
    <fill>
      <patternFill patternType="solid">
        <fgColor rgb="FFD9E1F2"/>
        <bgColor rgb="FFD9EAF7"/>
      </patternFill>
    </fill>
    <fill>
      <patternFill patternType="solid">
        <fgColor rgb="FFFFFFFF"/>
        <bgColor rgb="FFF2F2F2"/>
      </patternFill>
    </fill>
    <fill>
      <patternFill patternType="solid">
        <fgColor rgb="FFD9EAF7"/>
        <bgColor rgb="FFD9E1F2"/>
      </patternFill>
    </fill>
    <fill>
      <patternFill patternType="solid">
        <fgColor rgb="FFEAF2FF"/>
        <bgColor rgb="FFF2F2F2"/>
      </patternFill>
    </fill>
    <fill>
      <patternFill patternType="solid">
        <fgColor rgb="FFEFE3FF"/>
        <bgColor rgb="FFEAF2FF"/>
      </patternFill>
    </fill>
    <fill>
      <patternFill patternType="solid">
        <fgColor rgb="FFF2F2F2"/>
        <bgColor rgb="FFEAF2FF"/>
      </patternFill>
    </fill>
  </fills>
  <borders count="3">
    <border diagonalUp="false" diagonalDown="false">
      <left/>
      <right/>
      <top/>
      <bottom/>
      <diagonal/>
    </border>
    <border diagonalUp="false" diagonalDown="false">
      <left/>
      <right/>
      <top/>
      <bottom style="thin">
        <color rgb="FFD9D9D9"/>
      </bottom>
      <diagonal/>
    </border>
    <border diagonalUp="false" diagonalDown="false">
      <left/>
      <right/>
      <top/>
      <bottom style="medium">
        <color rgb="FF1F4E7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5" fillId="3" borderId="0"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5" fontId="5" fillId="5" borderId="1" xfId="0" applyFont="true" applyBorder="true" applyAlignment="true" applyProtection="false">
      <alignment horizontal="general" vertical="bottom" textRotation="0" wrapText="false" indent="0" shrinkToFit="false"/>
      <protection locked="true" hidden="false"/>
    </xf>
    <xf numFmtId="166" fontId="5" fillId="5" borderId="1" xfId="0" applyFont="true" applyBorder="true" applyAlignment="true" applyProtection="false">
      <alignment horizontal="general" vertical="bottom" textRotation="0" wrapText="false" indent="0" shrinkToFit="false"/>
      <protection locked="true" hidden="false"/>
    </xf>
    <xf numFmtId="167" fontId="5" fillId="5" borderId="1" xfId="0" applyFont="true" applyBorder="true" applyAlignment="true" applyProtection="false">
      <alignment horizontal="general" vertical="bottom" textRotation="0" wrapText="false" indent="0" shrinkToFit="false"/>
      <protection locked="true" hidden="false"/>
    </xf>
    <xf numFmtId="168" fontId="5" fillId="5" borderId="1" xfId="0" applyFont="true" applyBorder="true" applyAlignment="true" applyProtection="false">
      <alignment horizontal="general" vertical="bottom" textRotation="0" wrapText="false" indent="0" shrinkToFit="false"/>
      <protection locked="true" hidden="false"/>
    </xf>
    <xf numFmtId="164" fontId="6" fillId="6" borderId="2" xfId="0" applyFont="true" applyBorder="true" applyAlignment="true" applyProtection="false">
      <alignment horizontal="center" vertical="bottom" textRotation="0" wrapText="false" indent="0" shrinkToFit="false"/>
      <protection locked="true" hidden="false"/>
    </xf>
    <xf numFmtId="169" fontId="5" fillId="0" borderId="0" xfId="0" applyFont="true" applyBorder="false" applyAlignment="true" applyProtection="false">
      <alignment horizontal="general" vertical="bottom" textRotation="0" wrapText="false" indent="0" shrinkToFit="false"/>
      <protection locked="true" hidden="false"/>
    </xf>
    <xf numFmtId="170" fontId="5" fillId="0" borderId="0" xfId="0" applyFont="true" applyBorder="false" applyAlignment="true" applyProtection="false">
      <alignment horizontal="general" vertical="bottom" textRotation="0" wrapText="false" indent="0" shrinkToFit="false"/>
      <protection locked="true" hidden="false"/>
    </xf>
    <xf numFmtId="165" fontId="5" fillId="7"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8" borderId="1" xfId="0" applyFont="true" applyBorder="true" applyAlignment="true" applyProtection="false">
      <alignment horizontal="general" vertical="bottom" textRotation="0" wrapText="false" indent="0" shrinkToFit="false"/>
      <protection locked="true" hidden="false"/>
    </xf>
    <xf numFmtId="167" fontId="5" fillId="7" borderId="1" xfId="0" applyFont="true" applyBorder="true" applyAlignment="true" applyProtection="false">
      <alignment horizontal="general" vertical="bottom" textRotation="0" wrapText="false" indent="0" shrinkToFit="false"/>
      <protection locked="true" hidden="false"/>
    </xf>
    <xf numFmtId="169" fontId="5" fillId="9" borderId="1" xfId="0" applyFont="true" applyBorder="tru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true" applyAlignment="true" applyProtection="false">
      <alignment horizontal="general" vertical="center" textRotation="0" wrapText="tru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D9EAF7"/>
          <bgColor rgb="FF000000"/>
        </patternFill>
      </fill>
    </dxf>
    <dxf>
      <fill>
        <patternFill patternType="solid">
          <bgColor rgb="FF000000"/>
        </patternFill>
      </fill>
    </dxf>
    <dxf>
      <fill>
        <patternFill patternType="solid">
          <fgColor rgb="FF000000"/>
          <bgColor rgb="FF000000"/>
        </patternFill>
      </fill>
    </dxf>
    <dxf>
      <fill>
        <patternFill patternType="solid">
          <fgColor rgb="FFEAF2FF"/>
          <bgColor rgb="FF000000"/>
        </patternFill>
      </fill>
    </dxf>
    <dxf>
      <font>
        <name val="Calibri"/>
        <charset val="1"/>
        <family val="2"/>
        <color rgb="FF000000"/>
        <sz val="11"/>
      </font>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E1F2"/>
      <rgbColor rgb="FF878787"/>
      <rgbColor rgb="FF9999FF"/>
      <rgbColor rgb="FF993366"/>
      <rgbColor rgb="FFFFF2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2FF"/>
      <rgbColor rgb="FFF2F2F2"/>
      <rgbColor rgb="FFEFE3FF"/>
      <rgbColor rgb="FF99CCFF"/>
      <rgbColor rgb="FFFF99CC"/>
      <rgbColor rgb="FFCC99FF"/>
      <rgbColor rgb="FFFFC7CE"/>
      <rgbColor rgb="FF4F81BD"/>
      <rgbColor rgb="FF33CCCC"/>
      <rgbColor rgb="FF99CC00"/>
      <rgbColor rgb="FFFFCC00"/>
      <rgbColor rgb="FFFF9900"/>
      <rgbColor rgb="FFFF6600"/>
      <rgbColor rgb="FF4A7EBB"/>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DejaVu Sans"/>
              </a:rPr>
              <a:t>Jahresverbrauch (kWh)</a:t>
            </a:r>
          </a:p>
        </c:rich>
      </c:tx>
      <c:overlay val="0"/>
      <c:spPr>
        <a:noFill/>
        <a:ln w="0">
          <a:noFill/>
        </a:ln>
      </c:spPr>
    </c:title>
    <c:autoTitleDeleted val="0"/>
    <c:plotArea>
      <c:barChart>
        <c:barDir val="col"/>
        <c:grouping val="clustered"/>
        <c:varyColors val="0"/>
        <c:ser>
          <c:idx val="0"/>
          <c:order val="0"/>
          <c:tx>
            <c:strRef>
              <c:f>Jahresübersicht!$D$4</c:f>
              <c:strCache>
                <c:ptCount val="1"/>
                <c:pt idx="0">
                  <c:v>Verbrauch gesamt (kWh)</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Jahresübersicht!$A$5:$A$7</c:f>
              <c:strCache>
                <c:ptCount val="3"/>
                <c:pt idx="0">
                  <c:v>2025</c:v>
                </c:pt>
                <c:pt idx="1">
                  <c:v>2026</c:v>
                </c:pt>
                <c:pt idx="2">
                  <c:v>2027</c:v>
                </c:pt>
              </c:strCache>
            </c:strRef>
          </c:cat>
          <c:val>
            <c:numRef>
              <c:f>Jahresübersicht!$D$5:$D$7</c:f>
              <c:numCache>
                <c:formatCode>0.000</c:formatCode>
                <c:ptCount val="3"/>
                <c:pt idx="0">
                  <c:v>0</c:v>
                </c:pt>
                <c:pt idx="1">
                  <c:v>0</c:v>
                </c:pt>
                <c:pt idx="2">
                  <c:v>0</c:v>
                </c:pt>
              </c:numCache>
            </c:numRef>
          </c:val>
        </c:ser>
        <c:gapWidth val="150"/>
        <c:overlap val="0"/>
        <c:axId val="12001498"/>
        <c:axId val="74542253"/>
      </c:barChart>
      <c:catAx>
        <c:axId val="12001498"/>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ea typeface="DejaVu Sans"/>
                  </a:rPr>
                  <a:t>Jahr</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ea typeface="DejaVu Sans"/>
              </a:defRPr>
            </a:pPr>
          </a:p>
        </c:txPr>
        <c:crossAx val="74542253"/>
        <c:crosses val="autoZero"/>
        <c:auto val="1"/>
        <c:lblAlgn val="ctr"/>
        <c:lblOffset val="100"/>
        <c:noMultiLvlLbl val="0"/>
      </c:catAx>
      <c:valAx>
        <c:axId val="74542253"/>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ea typeface="DejaVu Sans"/>
                  </a:rPr>
                  <a:t>kWh</a:t>
                </a:r>
              </a:p>
            </c:rich>
          </c:tx>
          <c:overlay val="0"/>
          <c:spPr>
            <a:noFill/>
            <a:ln w="0">
              <a:noFill/>
            </a:ln>
          </c:spPr>
        </c:title>
        <c:numFmt formatCode="0.00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ea typeface="DejaVu Sans"/>
              </a:defRPr>
            </a:pPr>
          </a:p>
        </c:txPr>
        <c:crossAx val="12001498"/>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DejaVu Sans"/>
              </a:rPr>
              <a:t>Jahreskosten (€)</a:t>
            </a:r>
          </a:p>
        </c:rich>
      </c:tx>
      <c:overlay val="0"/>
      <c:spPr>
        <a:noFill/>
        <a:ln w="0">
          <a:noFill/>
        </a:ln>
      </c:spPr>
    </c:title>
    <c:autoTitleDeleted val="0"/>
    <c:plotArea>
      <c:barChart>
        <c:barDir val="col"/>
        <c:grouping val="clustered"/>
        <c:varyColors val="0"/>
        <c:ser>
          <c:idx val="0"/>
          <c:order val="0"/>
          <c:tx>
            <c:strRef>
              <c:f>Jahresübersicht!$G$4</c:f>
              <c:strCache>
                <c:ptCount val="1"/>
                <c:pt idx="0">
                  <c:v>Kosten gesamt inkl. Grundpreis (€)</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Jahresübersicht!$A$5:$A$7</c:f>
              <c:strCache>
                <c:ptCount val="3"/>
                <c:pt idx="0">
                  <c:v>2025</c:v>
                </c:pt>
                <c:pt idx="1">
                  <c:v>2026</c:v>
                </c:pt>
                <c:pt idx="2">
                  <c:v>2027</c:v>
                </c:pt>
              </c:strCache>
            </c:strRef>
          </c:cat>
          <c:val>
            <c:numRef>
              <c:f>Jahresübersicht!$G$5:$G$7</c:f>
              <c:numCache>
                <c:formatCode>#,##0.00" €";[RED]\(#,##0.00" €)"</c:formatCode>
                <c:ptCount val="3"/>
                <c:pt idx="0">
                  <c:v>0</c:v>
                </c:pt>
                <c:pt idx="1">
                  <c:v>0</c:v>
                </c:pt>
                <c:pt idx="2">
                  <c:v>0</c:v>
                </c:pt>
              </c:numCache>
            </c:numRef>
          </c:val>
        </c:ser>
        <c:gapWidth val="150"/>
        <c:overlap val="0"/>
        <c:axId val="63419320"/>
        <c:axId val="25538075"/>
      </c:barChart>
      <c:catAx>
        <c:axId val="63419320"/>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ea typeface="DejaVu Sans"/>
                  </a:rPr>
                  <a:t>Jahr</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ea typeface="DejaVu Sans"/>
              </a:defRPr>
            </a:pPr>
          </a:p>
        </c:txPr>
        <c:crossAx val="25538075"/>
        <c:crosses val="autoZero"/>
        <c:auto val="1"/>
        <c:lblAlgn val="ctr"/>
        <c:lblOffset val="100"/>
        <c:noMultiLvlLbl val="0"/>
      </c:catAx>
      <c:valAx>
        <c:axId val="25538075"/>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ea typeface="DejaVu Sans"/>
                  </a:rPr>
                  <a:t>Euro</a:t>
                </a:r>
              </a:p>
            </c:rich>
          </c:tx>
          <c:overlay val="0"/>
          <c:spPr>
            <a:noFill/>
            <a:ln w="0">
              <a:noFill/>
            </a:ln>
          </c:spPr>
        </c:title>
        <c:numFmt formatCode="#,##0.00&quot; €&quot;;[RED]\(#,##0.00&quot; €)&quot;"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ea typeface="DejaVu Sans"/>
              </a:defRPr>
            </a:pPr>
          </a:p>
        </c:txPr>
        <c:crossAx val="63419320"/>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DejaVu Sans"/>
              </a:rPr>
              <a:t>Ø Preis pro Jahr (ct/kWh)</a:t>
            </a:r>
          </a:p>
        </c:rich>
      </c:tx>
      <c:overlay val="0"/>
      <c:spPr>
        <a:noFill/>
        <a:ln w="0">
          <a:noFill/>
        </a:ln>
      </c:spPr>
    </c:title>
    <c:autoTitleDeleted val="0"/>
    <c:plotArea>
      <c:lineChart>
        <c:grouping val="standard"/>
        <c:varyColors val="0"/>
        <c:ser>
          <c:idx val="0"/>
          <c:order val="0"/>
          <c:tx>
            <c:strRef>
              <c:f>Jahresübersicht!$H$4</c:f>
              <c:strCache>
                <c:ptCount val="1"/>
                <c:pt idx="0">
                  <c:v>Ø Preis gesamt (ct/kWh)</c:v>
                </c:pt>
              </c:strCache>
            </c:strRef>
          </c:tx>
          <c:spPr>
            <a:solidFill>
              <a:srgbClr val="4a7ebb"/>
            </a:solidFill>
            <a:ln w="28440">
              <a:solidFill>
                <a:srgbClr val="4a7ebb"/>
              </a:solidFill>
              <a:round/>
            </a:ln>
          </c:spPr>
          <c:marker>
            <c:symbol val="none"/>
          </c:marker>
          <c:dLbls>
            <c:txPr>
              <a:bodyPr wrap="square"/>
              <a:lstStyle/>
              <a:p>
                <a:pPr>
                  <a:defRPr sz="1000" b="0" u="none" strike="noStrike">
                    <a:solidFill>
                      <a:srgbClr val="000000"/>
                    </a:solidFill>
                    <a:uFillTx/>
                    <a:latin typeface="Arial"/>
                    <a:ea typeface="DejaVu Sans"/>
                  </a:defRPr>
                </a:pPr>
              </a:p>
            </c:txPr>
            <c:dLblPos val="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Jahresübersicht!$A$5:$A$7</c:f>
              <c:strCache>
                <c:ptCount val="3"/>
                <c:pt idx="0">
                  <c:v>2025</c:v>
                </c:pt>
                <c:pt idx="1">
                  <c:v>2026</c:v>
                </c:pt>
                <c:pt idx="2">
                  <c:v>2027</c:v>
                </c:pt>
              </c:strCache>
            </c:strRef>
          </c:cat>
          <c:val>
            <c:numRef>
              <c:f>Jahresübersicht!$H$5:$H$7</c:f>
              <c:numCache>
                <c:formatCode>General</c:formatCode>
                <c:ptCount val="3"/>
              </c:numCache>
            </c:numRef>
          </c:val>
          <c:smooth val="1"/>
        </c:ser>
        <c:hiLowLines>
          <c:spPr>
            <a:ln w="0">
              <a:noFill/>
            </a:ln>
          </c:spPr>
        </c:hiLowLines>
        <c:marker val="0"/>
        <c:axId val="9349383"/>
        <c:axId val="46797145"/>
      </c:lineChart>
      <c:catAx>
        <c:axId val="9349383"/>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ea typeface="DejaVu Sans"/>
                  </a:rPr>
                  <a:t>Jahr</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ea typeface="DejaVu Sans"/>
              </a:defRPr>
            </a:pPr>
          </a:p>
        </c:txPr>
        <c:crossAx val="46797145"/>
        <c:crosses val="autoZero"/>
        <c:auto val="1"/>
        <c:lblAlgn val="ctr"/>
        <c:lblOffset val="100"/>
        <c:noMultiLvlLbl val="0"/>
      </c:catAx>
      <c:valAx>
        <c:axId val="46797145"/>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ea typeface="DejaVu Sans"/>
                  </a:rPr>
                  <a:t>ct/kWh</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ea typeface="DejaVu Sans"/>
              </a:defRPr>
            </a:pPr>
          </a:p>
        </c:txPr>
        <c:crossAx val="9349383"/>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ea typeface="DejaVu Sans"/>
            </a:defRPr>
          </a:pPr>
        </a:p>
      </c:txPr>
    </c:legend>
    <c:plotVisOnly val="1"/>
    <c:dispBlanksAs val="zero"/>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DejaVu Sans"/>
              </a:rPr>
              <a:t>Verbrauch nach Tariftyp</a:t>
            </a:r>
          </a:p>
        </c:rich>
      </c:tx>
      <c:overlay val="0"/>
      <c:spPr>
        <a:noFill/>
        <a:ln w="0">
          <a:noFill/>
        </a:ln>
      </c:spPr>
    </c:title>
    <c:autoTitleDeleted val="0"/>
    <c:plotArea>
      <c:pieChart>
        <c:varyColors val="1"/>
        <c:ser>
          <c:idx val="0"/>
          <c:order val="0"/>
          <c:spPr>
            <a:solidFill>
              <a:srgbClr val="4f81bd"/>
            </a:solidFill>
            <a:ln w="0">
              <a:noFill/>
            </a:ln>
          </c:spPr>
          <c:explosion val="0"/>
        </c:ser>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ea typeface="DejaVu Sans"/>
            </a:defRPr>
          </a:pPr>
        </a:p>
      </c:txPr>
    </c:legend>
    <c:plotVisOnly val="1"/>
    <c:dispBlanksAs val="gap"/>
  </c:chart>
  <c:spPr>
    <a:solidFill>
      <a:srgbClr val="ffffff"/>
    </a:solidFill>
    <a:ln w="9360">
      <a:solidFill>
        <a:srgbClr val="d9d9d9"/>
      </a:solidFill>
      <a:round/>
    </a:ln>
  </c:spPr>
</c:chartSpace>
</file>

<file path=xl/drawings/_rels/drawing4.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5</xdr:col>
      <xdr:colOff>668880</xdr:colOff>
      <xdr:row>14</xdr:row>
      <xdr:rowOff>83160</xdr:rowOff>
    </xdr:to>
    <xdr:graphicFrame>
      <xdr:nvGraphicFramePr>
        <xdr:cNvPr id="1" name="Chart 1"/>
        <xdr:cNvGraphicFramePr/>
      </xdr:nvGraphicFramePr>
      <xdr:xfrm>
        <a:off x="0" y="0"/>
        <a:ext cx="5038920" cy="28357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0</xdr:row>
      <xdr:rowOff>0</xdr:rowOff>
    </xdr:from>
    <xdr:to>
      <xdr:col>15</xdr:col>
      <xdr:colOff>198360</xdr:colOff>
      <xdr:row>14</xdr:row>
      <xdr:rowOff>83160</xdr:rowOff>
    </xdr:to>
    <xdr:graphicFrame>
      <xdr:nvGraphicFramePr>
        <xdr:cNvPr id="2" name="Chart 2"/>
        <xdr:cNvGraphicFramePr/>
      </xdr:nvGraphicFramePr>
      <xdr:xfrm>
        <a:off x="6061680" y="0"/>
        <a:ext cx="5038920" cy="28357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17</xdr:row>
      <xdr:rowOff>0</xdr:rowOff>
    </xdr:from>
    <xdr:to>
      <xdr:col>5</xdr:col>
      <xdr:colOff>668880</xdr:colOff>
      <xdr:row>34</xdr:row>
      <xdr:rowOff>102600</xdr:rowOff>
    </xdr:to>
    <xdr:graphicFrame>
      <xdr:nvGraphicFramePr>
        <xdr:cNvPr id="3" name="Chart 3"/>
        <xdr:cNvGraphicFramePr/>
      </xdr:nvGraphicFramePr>
      <xdr:xfrm>
        <a:off x="0" y="3267000"/>
        <a:ext cx="5038920" cy="28648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17</xdr:row>
      <xdr:rowOff>0</xdr:rowOff>
    </xdr:from>
    <xdr:to>
      <xdr:col>13</xdr:col>
      <xdr:colOff>215640</xdr:colOff>
      <xdr:row>34</xdr:row>
      <xdr:rowOff>102600</xdr:rowOff>
    </xdr:to>
    <xdr:graphicFrame>
      <xdr:nvGraphicFramePr>
        <xdr:cNvPr id="4" name="Chart 4"/>
        <xdr:cNvGraphicFramePr/>
      </xdr:nvGraphicFramePr>
      <xdr:xfrm>
        <a:off x="6061680" y="3267000"/>
        <a:ext cx="3598920" cy="28648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8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1" min="1" style="1" width="13"/>
    <col collapsed="false" customWidth="true" hidden="false" outlineLevel="0" max="2" min="2" style="1" width="9"/>
    <col collapsed="false" customWidth="true" hidden="false" outlineLevel="0" max="3" min="3" style="1" width="16"/>
    <col collapsed="false" customWidth="true" hidden="false" outlineLevel="0" max="4" min="4" style="1" width="28"/>
    <col collapsed="false" customWidth="true" hidden="false" outlineLevel="0" max="5" min="5" style="1" width="14"/>
    <col collapsed="false" customWidth="true" hidden="false" outlineLevel="0" max="6" min="6" style="1" width="12"/>
    <col collapsed="false" customWidth="true" hidden="false" outlineLevel="0" max="10" min="8" style="1" width="18"/>
  </cols>
  <sheetData>
    <row r="1" customFormat="false" ht="17.25" hidden="false" customHeight="true" outlineLevel="0" collapsed="false">
      <c r="A1" s="2" t="s">
        <v>0</v>
      </c>
      <c r="B1" s="2"/>
      <c r="C1" s="2"/>
      <c r="D1" s="2"/>
      <c r="E1" s="2"/>
      <c r="F1" s="2"/>
      <c r="H1" s="3" t="s">
        <v>1</v>
      </c>
      <c r="I1" s="3"/>
      <c r="J1" s="3"/>
    </row>
    <row r="2" customFormat="false" ht="13.5" hidden="false" customHeight="true" outlineLevel="0" collapsed="false">
      <c r="H2" s="3"/>
      <c r="I2" s="3"/>
      <c r="J2" s="3"/>
    </row>
    <row r="3" customFormat="false" ht="13.5" hidden="false" customHeight="true" outlineLevel="0" collapsed="false">
      <c r="A3" s="4" t="s">
        <v>2</v>
      </c>
      <c r="B3" s="5" t="n">
        <f aca="false">SUM(C9:C18896)</f>
        <v>0</v>
      </c>
      <c r="D3" s="4" t="s">
        <v>3</v>
      </c>
      <c r="E3" s="6" t="n">
        <f aca="false">SUM(Monatsübersicht!$C$5:$C$30)</f>
        <v>0</v>
      </c>
      <c r="H3" s="3"/>
      <c r="I3" s="3"/>
      <c r="J3" s="3"/>
    </row>
    <row r="4" customFormat="false" ht="13.5" hidden="false" customHeight="true" outlineLevel="0" collapsed="false">
      <c r="A4" s="4" t="s">
        <v>4</v>
      </c>
      <c r="B4" s="7" t="str">
        <f aca="false">IFERROR(E3/B3*100,"")</f>
        <v/>
      </c>
      <c r="D4" s="4" t="s">
        <v>5</v>
      </c>
      <c r="E4" s="8" t="n">
        <f aca="false">COUNT(C9:C18896)</f>
        <v>0</v>
      </c>
      <c r="H4" s="3"/>
      <c r="I4" s="3"/>
      <c r="J4" s="3"/>
    </row>
    <row r="5" customFormat="false" ht="13.5" hidden="false" customHeight="true" outlineLevel="0" collapsed="false">
      <c r="H5" s="3"/>
      <c r="I5" s="3"/>
      <c r="J5" s="3"/>
    </row>
    <row r="6" customFormat="false" ht="13.5" hidden="false" customHeight="true" outlineLevel="0" collapsed="false">
      <c r="H6" s="3"/>
      <c r="I6" s="3"/>
      <c r="J6" s="3"/>
    </row>
    <row r="7" customFormat="false" ht="13.5" hidden="false" customHeight="true" outlineLevel="0" collapsed="false"/>
    <row r="8" customFormat="false" ht="13.5" hidden="false" customHeight="true" outlineLevel="0" collapsed="false">
      <c r="A8" s="9" t="s">
        <v>6</v>
      </c>
      <c r="B8" s="9" t="s">
        <v>7</v>
      </c>
      <c r="C8" s="9" t="s">
        <v>8</v>
      </c>
      <c r="D8" s="9" t="s">
        <v>9</v>
      </c>
      <c r="E8" s="9" t="s">
        <v>10</v>
      </c>
      <c r="F8" s="9" t="s">
        <v>11</v>
      </c>
    </row>
    <row r="9" customFormat="false" ht="14.25" hidden="false" customHeight="true" outlineLevel="0" collapsed="false">
      <c r="A9" s="10" t="n">
        <f aca="false">Einstellungen!$B$5+INT((ROW()-9)/24)</f>
        <v>45966</v>
      </c>
      <c r="B9" s="11" t="n">
        <f aca="false">MOD(ROW()-9,24)</f>
        <v>0</v>
      </c>
      <c r="C9" s="12"/>
      <c r="D9" s="13" t="n">
        <f aca="false">IF(B9&lt;5,Einstellungen!$B$3,Einstellungen!$B$4)</f>
        <v>15.92</v>
      </c>
      <c r="E9" s="14" t="str">
        <f aca="false">IF(C9="","",C9*D9/100)</f>
        <v/>
      </c>
      <c r="F9" s="15" t="str">
        <f aca="false">IF(B9&lt;5,"Go","Standard")</f>
        <v>Go</v>
      </c>
    </row>
    <row r="10" customFormat="false" ht="14.25" hidden="false" customHeight="true" outlineLevel="0" collapsed="false">
      <c r="A10" s="10" t="n">
        <f aca="false">Einstellungen!$B$5+INT((ROW()-9)/24)</f>
        <v>45966</v>
      </c>
      <c r="B10" s="11" t="n">
        <f aca="false">MOD(ROW()-9,24)</f>
        <v>1</v>
      </c>
      <c r="C10" s="12"/>
      <c r="D10" s="13" t="n">
        <f aca="false">IF(B10&lt;5,Einstellungen!$B$3,Einstellungen!$B$4)</f>
        <v>15.92</v>
      </c>
      <c r="E10" s="14" t="str">
        <f aca="false">IF(C10="","",C10*D10/100)</f>
        <v/>
      </c>
      <c r="F10" s="15" t="str">
        <f aca="false">IF(B10&lt;5,"Go","Standard")</f>
        <v>Go</v>
      </c>
    </row>
    <row r="11" customFormat="false" ht="14.25" hidden="false" customHeight="true" outlineLevel="0" collapsed="false">
      <c r="A11" s="10" t="n">
        <f aca="false">Einstellungen!$B$5+INT((ROW()-9)/24)</f>
        <v>45966</v>
      </c>
      <c r="B11" s="11" t="n">
        <f aca="false">MOD(ROW()-9,24)</f>
        <v>2</v>
      </c>
      <c r="C11" s="12"/>
      <c r="D11" s="13" t="n">
        <f aca="false">IF(B11&lt;5,Einstellungen!$B$3,Einstellungen!$B$4)</f>
        <v>15.92</v>
      </c>
      <c r="E11" s="14" t="str">
        <f aca="false">IF(C11="","",C11*D11/100)</f>
        <v/>
      </c>
      <c r="F11" s="15" t="str">
        <f aca="false">IF(B11&lt;5,"Go","Standard")</f>
        <v>Go</v>
      </c>
    </row>
    <row r="12" customFormat="false" ht="14.25" hidden="false" customHeight="true" outlineLevel="0" collapsed="false">
      <c r="A12" s="10" t="n">
        <f aca="false">Einstellungen!$B$5+INT((ROW()-9)/24)</f>
        <v>45966</v>
      </c>
      <c r="B12" s="11" t="n">
        <f aca="false">MOD(ROW()-9,24)</f>
        <v>3</v>
      </c>
      <c r="C12" s="12"/>
      <c r="D12" s="13" t="n">
        <f aca="false">IF(B12&lt;5,Einstellungen!$B$3,Einstellungen!$B$4)</f>
        <v>15.92</v>
      </c>
      <c r="E12" s="14" t="str">
        <f aca="false">IF(C12="","",C12*D12/100)</f>
        <v/>
      </c>
      <c r="F12" s="15" t="str">
        <f aca="false">IF(B12&lt;5,"Go","Standard")</f>
        <v>Go</v>
      </c>
    </row>
    <row r="13" customFormat="false" ht="14.25" hidden="false" customHeight="true" outlineLevel="0" collapsed="false">
      <c r="A13" s="10" t="n">
        <f aca="false">Einstellungen!$B$5+INT((ROW()-9)/24)</f>
        <v>45966</v>
      </c>
      <c r="B13" s="11" t="n">
        <f aca="false">MOD(ROW()-9,24)</f>
        <v>4</v>
      </c>
      <c r="C13" s="12"/>
      <c r="D13" s="13" t="n">
        <f aca="false">IF(B13&lt;5,Einstellungen!$B$3,Einstellungen!$B$4)</f>
        <v>15.92</v>
      </c>
      <c r="E13" s="14" t="str">
        <f aca="false">IF(C13="","",C13*D13/100)</f>
        <v/>
      </c>
      <c r="F13" s="15" t="str">
        <f aca="false">IF(B13&lt;5,"Go","Standard")</f>
        <v>Go</v>
      </c>
    </row>
    <row r="14" customFormat="false" ht="14.25" hidden="false" customHeight="true" outlineLevel="0" collapsed="false">
      <c r="A14" s="10" t="n">
        <f aca="false">Einstellungen!$B$5+INT((ROW()-9)/24)</f>
        <v>45966</v>
      </c>
      <c r="B14" s="11" t="n">
        <f aca="false">MOD(ROW()-9,24)</f>
        <v>5</v>
      </c>
      <c r="C14" s="12"/>
      <c r="D14" s="13" t="n">
        <f aca="false">IF(B14&lt;5,Einstellungen!$B$3,Einstellungen!$B$4)</f>
        <v>29.13</v>
      </c>
      <c r="E14" s="14" t="str">
        <f aca="false">IF(C14="","",C14*D14/100)</f>
        <v/>
      </c>
      <c r="F14" s="15" t="str">
        <f aca="false">IF(B14&lt;5,"Go","Standard")</f>
        <v>Standard</v>
      </c>
    </row>
    <row r="15" customFormat="false" ht="14.25" hidden="false" customHeight="true" outlineLevel="0" collapsed="false">
      <c r="A15" s="10" t="n">
        <f aca="false">Einstellungen!$B$5+INT((ROW()-9)/24)</f>
        <v>45966</v>
      </c>
      <c r="B15" s="11" t="n">
        <f aca="false">MOD(ROW()-9,24)</f>
        <v>6</v>
      </c>
      <c r="C15" s="12"/>
      <c r="D15" s="13" t="n">
        <f aca="false">IF(B15&lt;5,Einstellungen!$B$3,Einstellungen!$B$4)</f>
        <v>29.13</v>
      </c>
      <c r="E15" s="14" t="str">
        <f aca="false">IF(C15="","",C15*D15/100)</f>
        <v/>
      </c>
      <c r="F15" s="15" t="str">
        <f aca="false">IF(B15&lt;5,"Go","Standard")</f>
        <v>Standard</v>
      </c>
    </row>
    <row r="16" customFormat="false" ht="14.25" hidden="false" customHeight="true" outlineLevel="0" collapsed="false">
      <c r="A16" s="10" t="n">
        <f aca="false">Einstellungen!$B$5+INT((ROW()-9)/24)</f>
        <v>45966</v>
      </c>
      <c r="B16" s="11" t="n">
        <f aca="false">MOD(ROW()-9,24)</f>
        <v>7</v>
      </c>
      <c r="C16" s="12"/>
      <c r="D16" s="13" t="n">
        <f aca="false">IF(B16&lt;5,Einstellungen!$B$3,Einstellungen!$B$4)</f>
        <v>29.13</v>
      </c>
      <c r="E16" s="14" t="str">
        <f aca="false">IF(C16="","",C16*D16/100)</f>
        <v/>
      </c>
      <c r="F16" s="15" t="str">
        <f aca="false">IF(B16&lt;5,"Go","Standard")</f>
        <v>Standard</v>
      </c>
    </row>
    <row r="17" customFormat="false" ht="14.25" hidden="false" customHeight="true" outlineLevel="0" collapsed="false">
      <c r="A17" s="10" t="n">
        <f aca="false">Einstellungen!$B$5+INT((ROW()-9)/24)</f>
        <v>45966</v>
      </c>
      <c r="B17" s="11" t="n">
        <f aca="false">MOD(ROW()-9,24)</f>
        <v>8</v>
      </c>
      <c r="C17" s="12"/>
      <c r="D17" s="13" t="n">
        <f aca="false">IF(B17&lt;5,Einstellungen!$B$3,Einstellungen!$B$4)</f>
        <v>29.13</v>
      </c>
      <c r="E17" s="14" t="str">
        <f aca="false">IF(C17="","",C17*D17/100)</f>
        <v/>
      </c>
      <c r="F17" s="15" t="str">
        <f aca="false">IF(B17&lt;5,"Go","Standard")</f>
        <v>Standard</v>
      </c>
    </row>
    <row r="18" customFormat="false" ht="14.25" hidden="false" customHeight="true" outlineLevel="0" collapsed="false">
      <c r="A18" s="10" t="n">
        <f aca="false">Einstellungen!$B$5+INT((ROW()-9)/24)</f>
        <v>45966</v>
      </c>
      <c r="B18" s="11" t="n">
        <f aca="false">MOD(ROW()-9,24)</f>
        <v>9</v>
      </c>
      <c r="C18" s="12"/>
      <c r="D18" s="13" t="n">
        <f aca="false">IF(B18&lt;5,Einstellungen!$B$3,Einstellungen!$B$4)</f>
        <v>29.13</v>
      </c>
      <c r="E18" s="14" t="str">
        <f aca="false">IF(C18="","",C18*D18/100)</f>
        <v/>
      </c>
      <c r="F18" s="15" t="str">
        <f aca="false">IF(B18&lt;5,"Go","Standard")</f>
        <v>Standard</v>
      </c>
    </row>
    <row r="19" customFormat="false" ht="14.25" hidden="false" customHeight="true" outlineLevel="0" collapsed="false">
      <c r="A19" s="10" t="n">
        <f aca="false">Einstellungen!$B$5+INT((ROW()-9)/24)</f>
        <v>45966</v>
      </c>
      <c r="B19" s="11" t="n">
        <f aca="false">MOD(ROW()-9,24)</f>
        <v>10</v>
      </c>
      <c r="C19" s="12"/>
      <c r="D19" s="13" t="n">
        <f aca="false">IF(B19&lt;5,Einstellungen!$B$3,Einstellungen!$B$4)</f>
        <v>29.13</v>
      </c>
      <c r="E19" s="14" t="str">
        <f aca="false">IF(C19="","",C19*D19/100)</f>
        <v/>
      </c>
      <c r="F19" s="15" t="str">
        <f aca="false">IF(B19&lt;5,"Go","Standard")</f>
        <v>Standard</v>
      </c>
    </row>
    <row r="20" customFormat="false" ht="14.25" hidden="false" customHeight="true" outlineLevel="0" collapsed="false">
      <c r="A20" s="10" t="n">
        <f aca="false">Einstellungen!$B$5+INT((ROW()-9)/24)</f>
        <v>45966</v>
      </c>
      <c r="B20" s="11" t="n">
        <f aca="false">MOD(ROW()-9,24)</f>
        <v>11</v>
      </c>
      <c r="C20" s="12"/>
      <c r="D20" s="13" t="n">
        <f aca="false">IF(B20&lt;5,Einstellungen!$B$3,Einstellungen!$B$4)</f>
        <v>29.13</v>
      </c>
      <c r="E20" s="14" t="str">
        <f aca="false">IF(C20="","",C20*D20/100)</f>
        <v/>
      </c>
      <c r="F20" s="15" t="str">
        <f aca="false">IF(B20&lt;5,"Go","Standard")</f>
        <v>Standard</v>
      </c>
    </row>
    <row r="21" customFormat="false" ht="14.25" hidden="false" customHeight="true" outlineLevel="0" collapsed="false">
      <c r="A21" s="10" t="n">
        <f aca="false">Einstellungen!$B$5+INT((ROW()-9)/24)</f>
        <v>45966</v>
      </c>
      <c r="B21" s="11" t="n">
        <f aca="false">MOD(ROW()-9,24)</f>
        <v>12</v>
      </c>
      <c r="C21" s="12"/>
      <c r="D21" s="13" t="n">
        <f aca="false">IF(B21&lt;5,Einstellungen!$B$3,Einstellungen!$B$4)</f>
        <v>29.13</v>
      </c>
      <c r="E21" s="14" t="str">
        <f aca="false">IF(C21="","",C21*D21/100)</f>
        <v/>
      </c>
      <c r="F21" s="15" t="str">
        <f aca="false">IF(B21&lt;5,"Go","Standard")</f>
        <v>Standard</v>
      </c>
    </row>
    <row r="22" customFormat="false" ht="14.25" hidden="false" customHeight="true" outlineLevel="0" collapsed="false">
      <c r="A22" s="10" t="n">
        <f aca="false">Einstellungen!$B$5+INT((ROW()-9)/24)</f>
        <v>45966</v>
      </c>
      <c r="B22" s="11" t="n">
        <f aca="false">MOD(ROW()-9,24)</f>
        <v>13</v>
      </c>
      <c r="C22" s="12"/>
      <c r="D22" s="13" t="n">
        <f aca="false">IF(B22&lt;5,Einstellungen!$B$3,Einstellungen!$B$4)</f>
        <v>29.13</v>
      </c>
      <c r="E22" s="14" t="str">
        <f aca="false">IF(C22="","",C22*D22/100)</f>
        <v/>
      </c>
      <c r="F22" s="15" t="str">
        <f aca="false">IF(B22&lt;5,"Go","Standard")</f>
        <v>Standard</v>
      </c>
    </row>
    <row r="23" customFormat="false" ht="14.25" hidden="false" customHeight="true" outlineLevel="0" collapsed="false">
      <c r="A23" s="10" t="n">
        <f aca="false">Einstellungen!$B$5+INT((ROW()-9)/24)</f>
        <v>45966</v>
      </c>
      <c r="B23" s="11" t="n">
        <f aca="false">MOD(ROW()-9,24)</f>
        <v>14</v>
      </c>
      <c r="C23" s="12"/>
      <c r="D23" s="13" t="n">
        <f aca="false">IF(B23&lt;5,Einstellungen!$B$3,Einstellungen!$B$4)</f>
        <v>29.13</v>
      </c>
      <c r="E23" s="14" t="str">
        <f aca="false">IF(C23="","",C23*D23/100)</f>
        <v/>
      </c>
      <c r="F23" s="15" t="str">
        <f aca="false">IF(B23&lt;5,"Go","Standard")</f>
        <v>Standard</v>
      </c>
    </row>
    <row r="24" customFormat="false" ht="14.25" hidden="false" customHeight="true" outlineLevel="0" collapsed="false">
      <c r="A24" s="10" t="n">
        <f aca="false">Einstellungen!$B$5+INT((ROW()-9)/24)</f>
        <v>45966</v>
      </c>
      <c r="B24" s="11" t="n">
        <f aca="false">MOD(ROW()-9,24)</f>
        <v>15</v>
      </c>
      <c r="C24" s="12"/>
      <c r="D24" s="13" t="n">
        <f aca="false">IF(B24&lt;5,Einstellungen!$B$3,Einstellungen!$B$4)</f>
        <v>29.13</v>
      </c>
      <c r="E24" s="14" t="str">
        <f aca="false">IF(C24="","",C24*D24/100)</f>
        <v/>
      </c>
      <c r="F24" s="15" t="str">
        <f aca="false">IF(B24&lt;5,"Go","Standard")</f>
        <v>Standard</v>
      </c>
    </row>
    <row r="25" customFormat="false" ht="14.25" hidden="false" customHeight="true" outlineLevel="0" collapsed="false">
      <c r="A25" s="10" t="n">
        <f aca="false">Einstellungen!$B$5+INT((ROW()-9)/24)</f>
        <v>45966</v>
      </c>
      <c r="B25" s="11" t="n">
        <f aca="false">MOD(ROW()-9,24)</f>
        <v>16</v>
      </c>
      <c r="C25" s="12"/>
      <c r="D25" s="13" t="n">
        <f aca="false">IF(B25&lt;5,Einstellungen!$B$3,Einstellungen!$B$4)</f>
        <v>29.13</v>
      </c>
      <c r="E25" s="14" t="str">
        <f aca="false">IF(C25="","",C25*D25/100)</f>
        <v/>
      </c>
      <c r="F25" s="15" t="str">
        <f aca="false">IF(B25&lt;5,"Go","Standard")</f>
        <v>Standard</v>
      </c>
    </row>
    <row r="26" customFormat="false" ht="14.25" hidden="false" customHeight="true" outlineLevel="0" collapsed="false">
      <c r="A26" s="10" t="n">
        <f aca="false">Einstellungen!$B$5+INT((ROW()-9)/24)</f>
        <v>45966</v>
      </c>
      <c r="B26" s="11" t="n">
        <f aca="false">MOD(ROW()-9,24)</f>
        <v>17</v>
      </c>
      <c r="C26" s="12"/>
      <c r="D26" s="13" t="n">
        <f aca="false">IF(B26&lt;5,Einstellungen!$B$3,Einstellungen!$B$4)</f>
        <v>29.13</v>
      </c>
      <c r="E26" s="14" t="str">
        <f aca="false">IF(C26="","",C26*D26/100)</f>
        <v/>
      </c>
      <c r="F26" s="15" t="str">
        <f aca="false">IF(B26&lt;5,"Go","Standard")</f>
        <v>Standard</v>
      </c>
    </row>
    <row r="27" customFormat="false" ht="14.25" hidden="false" customHeight="true" outlineLevel="0" collapsed="false">
      <c r="A27" s="10" t="n">
        <f aca="false">Einstellungen!$B$5+INT((ROW()-9)/24)</f>
        <v>45966</v>
      </c>
      <c r="B27" s="11" t="n">
        <f aca="false">MOD(ROW()-9,24)</f>
        <v>18</v>
      </c>
      <c r="C27" s="12"/>
      <c r="D27" s="13" t="n">
        <f aca="false">IF(B27&lt;5,Einstellungen!$B$3,Einstellungen!$B$4)</f>
        <v>29.13</v>
      </c>
      <c r="E27" s="14" t="str">
        <f aca="false">IF(C27="","",C27*D27/100)</f>
        <v/>
      </c>
      <c r="F27" s="15" t="str">
        <f aca="false">IF(B27&lt;5,"Go","Standard")</f>
        <v>Standard</v>
      </c>
    </row>
    <row r="28" customFormat="false" ht="14.25" hidden="false" customHeight="true" outlineLevel="0" collapsed="false">
      <c r="A28" s="10" t="n">
        <f aca="false">Einstellungen!$B$5+INT((ROW()-9)/24)</f>
        <v>45966</v>
      </c>
      <c r="B28" s="11" t="n">
        <f aca="false">MOD(ROW()-9,24)</f>
        <v>19</v>
      </c>
      <c r="C28" s="12"/>
      <c r="D28" s="13" t="n">
        <f aca="false">IF(B28&lt;5,Einstellungen!$B$3,Einstellungen!$B$4)</f>
        <v>29.13</v>
      </c>
      <c r="E28" s="14" t="str">
        <f aca="false">IF(C28="","",C28*D28/100)</f>
        <v/>
      </c>
      <c r="F28" s="15" t="str">
        <f aca="false">IF(B28&lt;5,"Go","Standard")</f>
        <v>Standard</v>
      </c>
    </row>
    <row r="29" customFormat="false" ht="14.25" hidden="false" customHeight="true" outlineLevel="0" collapsed="false">
      <c r="A29" s="10" t="n">
        <f aca="false">Einstellungen!$B$5+INT((ROW()-9)/24)</f>
        <v>45966</v>
      </c>
      <c r="B29" s="11" t="n">
        <f aca="false">MOD(ROW()-9,24)</f>
        <v>20</v>
      </c>
      <c r="C29" s="12"/>
      <c r="D29" s="13" t="n">
        <f aca="false">IF(B29&lt;5,Einstellungen!$B$3,Einstellungen!$B$4)</f>
        <v>29.13</v>
      </c>
      <c r="E29" s="14" t="str">
        <f aca="false">IF(C29="","",C29*D29/100)</f>
        <v/>
      </c>
      <c r="F29" s="15" t="str">
        <f aca="false">IF(B29&lt;5,"Go","Standard")</f>
        <v>Standard</v>
      </c>
    </row>
    <row r="30" customFormat="false" ht="14.25" hidden="false" customHeight="true" outlineLevel="0" collapsed="false">
      <c r="A30" s="10" t="n">
        <f aca="false">Einstellungen!$B$5+INT((ROW()-9)/24)</f>
        <v>45966</v>
      </c>
      <c r="B30" s="11" t="n">
        <f aca="false">MOD(ROW()-9,24)</f>
        <v>21</v>
      </c>
      <c r="C30" s="12"/>
      <c r="D30" s="13" t="n">
        <f aca="false">IF(B30&lt;5,Einstellungen!$B$3,Einstellungen!$B$4)</f>
        <v>29.13</v>
      </c>
      <c r="E30" s="14" t="str">
        <f aca="false">IF(C30="","",C30*D30/100)</f>
        <v/>
      </c>
      <c r="F30" s="15" t="str">
        <f aca="false">IF(B30&lt;5,"Go","Standard")</f>
        <v>Standard</v>
      </c>
    </row>
    <row r="31" customFormat="false" ht="14.25" hidden="false" customHeight="true" outlineLevel="0" collapsed="false">
      <c r="A31" s="10" t="n">
        <f aca="false">Einstellungen!$B$5+INT((ROW()-9)/24)</f>
        <v>45966</v>
      </c>
      <c r="B31" s="11" t="n">
        <f aca="false">MOD(ROW()-9,24)</f>
        <v>22</v>
      </c>
      <c r="C31" s="12"/>
      <c r="D31" s="13" t="n">
        <f aca="false">IF(B31&lt;5,Einstellungen!$B$3,Einstellungen!$B$4)</f>
        <v>29.13</v>
      </c>
      <c r="E31" s="14" t="str">
        <f aca="false">IF(C31="","",C31*D31/100)</f>
        <v/>
      </c>
      <c r="F31" s="15" t="str">
        <f aca="false">IF(B31&lt;5,"Go","Standard")</f>
        <v>Standard</v>
      </c>
    </row>
    <row r="32" customFormat="false" ht="14.25" hidden="false" customHeight="true" outlineLevel="0" collapsed="false">
      <c r="A32" s="10" t="n">
        <f aca="false">Einstellungen!$B$5+INT((ROW()-9)/24)</f>
        <v>45966</v>
      </c>
      <c r="B32" s="11" t="n">
        <f aca="false">MOD(ROW()-9,24)</f>
        <v>23</v>
      </c>
      <c r="C32" s="12"/>
      <c r="D32" s="13" t="n">
        <f aca="false">IF(B32&lt;5,Einstellungen!$B$3,Einstellungen!$B$4)</f>
        <v>29.13</v>
      </c>
      <c r="E32" s="14" t="str">
        <f aca="false">IF(C32="","",C32*D32/100)</f>
        <v/>
      </c>
      <c r="F32" s="15" t="str">
        <f aca="false">IF(B32&lt;5,"Go","Standard")</f>
        <v>Standard</v>
      </c>
    </row>
    <row r="33" customFormat="false" ht="14.25" hidden="false" customHeight="true" outlineLevel="0" collapsed="false">
      <c r="A33" s="10" t="n">
        <f aca="false">Einstellungen!$B$5+INT((ROW()-9)/24)</f>
        <v>45967</v>
      </c>
      <c r="B33" s="11" t="n">
        <f aca="false">MOD(ROW()-9,24)</f>
        <v>0</v>
      </c>
      <c r="C33" s="12"/>
      <c r="D33" s="13" t="n">
        <f aca="false">IF(B33&lt;5,Einstellungen!$B$3,Einstellungen!$B$4)</f>
        <v>15.92</v>
      </c>
      <c r="E33" s="14" t="str">
        <f aca="false">IF(C33="","",C33*D33/100)</f>
        <v/>
      </c>
      <c r="F33" s="15" t="str">
        <f aca="false">IF(B33&lt;5,"Go","Standard")</f>
        <v>Go</v>
      </c>
    </row>
    <row r="34" customFormat="false" ht="14.25" hidden="false" customHeight="true" outlineLevel="0" collapsed="false">
      <c r="A34" s="10" t="n">
        <f aca="false">Einstellungen!$B$5+INT((ROW()-9)/24)</f>
        <v>45967</v>
      </c>
      <c r="B34" s="11" t="n">
        <f aca="false">MOD(ROW()-9,24)</f>
        <v>1</v>
      </c>
      <c r="C34" s="12"/>
      <c r="D34" s="13" t="n">
        <f aca="false">IF(B34&lt;5,Einstellungen!$B$3,Einstellungen!$B$4)</f>
        <v>15.92</v>
      </c>
      <c r="E34" s="14" t="str">
        <f aca="false">IF(C34="","",C34*D34/100)</f>
        <v/>
      </c>
      <c r="F34" s="15" t="str">
        <f aca="false">IF(B34&lt;5,"Go","Standard")</f>
        <v>Go</v>
      </c>
    </row>
    <row r="35" customFormat="false" ht="14.25" hidden="false" customHeight="true" outlineLevel="0" collapsed="false">
      <c r="A35" s="10" t="n">
        <f aca="false">Einstellungen!$B$5+INT((ROW()-9)/24)</f>
        <v>45967</v>
      </c>
      <c r="B35" s="11" t="n">
        <f aca="false">MOD(ROW()-9,24)</f>
        <v>2</v>
      </c>
      <c r="C35" s="12"/>
      <c r="D35" s="13" t="n">
        <f aca="false">IF(B35&lt;5,Einstellungen!$B$3,Einstellungen!$B$4)</f>
        <v>15.92</v>
      </c>
      <c r="E35" s="14" t="str">
        <f aca="false">IF(C35="","",C35*D35/100)</f>
        <v/>
      </c>
      <c r="F35" s="15" t="str">
        <f aca="false">IF(B35&lt;5,"Go","Standard")</f>
        <v>Go</v>
      </c>
    </row>
    <row r="36" customFormat="false" ht="14.25" hidden="false" customHeight="true" outlineLevel="0" collapsed="false">
      <c r="A36" s="10" t="n">
        <f aca="false">Einstellungen!$B$5+INT((ROW()-9)/24)</f>
        <v>45967</v>
      </c>
      <c r="B36" s="11" t="n">
        <f aca="false">MOD(ROW()-9,24)</f>
        <v>3</v>
      </c>
      <c r="C36" s="12"/>
      <c r="D36" s="13" t="n">
        <f aca="false">IF(B36&lt;5,Einstellungen!$B$3,Einstellungen!$B$4)</f>
        <v>15.92</v>
      </c>
      <c r="E36" s="14" t="str">
        <f aca="false">IF(C36="","",C36*D36/100)</f>
        <v/>
      </c>
      <c r="F36" s="15" t="str">
        <f aca="false">IF(B36&lt;5,"Go","Standard")</f>
        <v>Go</v>
      </c>
    </row>
    <row r="37" customFormat="false" ht="14.25" hidden="false" customHeight="true" outlineLevel="0" collapsed="false">
      <c r="A37" s="10" t="n">
        <f aca="false">Einstellungen!$B$5+INT((ROW()-9)/24)</f>
        <v>45967</v>
      </c>
      <c r="B37" s="11" t="n">
        <f aca="false">MOD(ROW()-9,24)</f>
        <v>4</v>
      </c>
      <c r="C37" s="12"/>
      <c r="D37" s="13" t="n">
        <f aca="false">IF(B37&lt;5,Einstellungen!$B$3,Einstellungen!$B$4)</f>
        <v>15.92</v>
      </c>
      <c r="E37" s="14" t="str">
        <f aca="false">IF(C37="","",C37*D37/100)</f>
        <v/>
      </c>
      <c r="F37" s="15" t="str">
        <f aca="false">IF(B37&lt;5,"Go","Standard")</f>
        <v>Go</v>
      </c>
    </row>
    <row r="38" customFormat="false" ht="14.25" hidden="false" customHeight="true" outlineLevel="0" collapsed="false">
      <c r="A38" s="10" t="n">
        <f aca="false">Einstellungen!$B$5+INT((ROW()-9)/24)</f>
        <v>45967</v>
      </c>
      <c r="B38" s="11" t="n">
        <f aca="false">MOD(ROW()-9,24)</f>
        <v>5</v>
      </c>
      <c r="C38" s="12"/>
      <c r="D38" s="13" t="n">
        <f aca="false">IF(B38&lt;5,Einstellungen!$B$3,Einstellungen!$B$4)</f>
        <v>29.13</v>
      </c>
      <c r="E38" s="14" t="str">
        <f aca="false">IF(C38="","",C38*D38/100)</f>
        <v/>
      </c>
      <c r="F38" s="15" t="str">
        <f aca="false">IF(B38&lt;5,"Go","Standard")</f>
        <v>Standard</v>
      </c>
    </row>
    <row r="39" customFormat="false" ht="14.25" hidden="false" customHeight="true" outlineLevel="0" collapsed="false">
      <c r="A39" s="10" t="n">
        <f aca="false">Einstellungen!$B$5+INT((ROW()-9)/24)</f>
        <v>45967</v>
      </c>
      <c r="B39" s="11" t="n">
        <f aca="false">MOD(ROW()-9,24)</f>
        <v>6</v>
      </c>
      <c r="C39" s="12"/>
      <c r="D39" s="13" t="n">
        <f aca="false">IF(B39&lt;5,Einstellungen!$B$3,Einstellungen!$B$4)</f>
        <v>29.13</v>
      </c>
      <c r="E39" s="14" t="str">
        <f aca="false">IF(C39="","",C39*D39/100)</f>
        <v/>
      </c>
      <c r="F39" s="15" t="str">
        <f aca="false">IF(B39&lt;5,"Go","Standard")</f>
        <v>Standard</v>
      </c>
    </row>
    <row r="40" customFormat="false" ht="14.25" hidden="false" customHeight="true" outlineLevel="0" collapsed="false">
      <c r="A40" s="10" t="n">
        <f aca="false">Einstellungen!$B$5+INT((ROW()-9)/24)</f>
        <v>45967</v>
      </c>
      <c r="B40" s="11" t="n">
        <f aca="false">MOD(ROW()-9,24)</f>
        <v>7</v>
      </c>
      <c r="C40" s="12"/>
      <c r="D40" s="13" t="n">
        <f aca="false">IF(B40&lt;5,Einstellungen!$B$3,Einstellungen!$B$4)</f>
        <v>29.13</v>
      </c>
      <c r="E40" s="14" t="str">
        <f aca="false">IF(C40="","",C40*D40/100)</f>
        <v/>
      </c>
      <c r="F40" s="15" t="str">
        <f aca="false">IF(B40&lt;5,"Go","Standard")</f>
        <v>Standard</v>
      </c>
    </row>
    <row r="41" customFormat="false" ht="14.25" hidden="false" customHeight="true" outlineLevel="0" collapsed="false">
      <c r="A41" s="10" t="n">
        <f aca="false">Einstellungen!$B$5+INT((ROW()-9)/24)</f>
        <v>45967</v>
      </c>
      <c r="B41" s="11" t="n">
        <f aca="false">MOD(ROW()-9,24)</f>
        <v>8</v>
      </c>
      <c r="C41" s="12"/>
      <c r="D41" s="13" t="n">
        <f aca="false">IF(B41&lt;5,Einstellungen!$B$3,Einstellungen!$B$4)</f>
        <v>29.13</v>
      </c>
      <c r="E41" s="14" t="str">
        <f aca="false">IF(C41="","",C41*D41/100)</f>
        <v/>
      </c>
      <c r="F41" s="15" t="str">
        <f aca="false">IF(B41&lt;5,"Go","Standard")</f>
        <v>Standard</v>
      </c>
    </row>
    <row r="42" customFormat="false" ht="14.25" hidden="false" customHeight="true" outlineLevel="0" collapsed="false">
      <c r="A42" s="10" t="n">
        <f aca="false">Einstellungen!$B$5+INT((ROW()-9)/24)</f>
        <v>45967</v>
      </c>
      <c r="B42" s="11" t="n">
        <f aca="false">MOD(ROW()-9,24)</f>
        <v>9</v>
      </c>
      <c r="C42" s="12"/>
      <c r="D42" s="13" t="n">
        <f aca="false">IF(B42&lt;5,Einstellungen!$B$3,Einstellungen!$B$4)</f>
        <v>29.13</v>
      </c>
      <c r="E42" s="14" t="str">
        <f aca="false">IF(C42="","",C42*D42/100)</f>
        <v/>
      </c>
      <c r="F42" s="15" t="str">
        <f aca="false">IF(B42&lt;5,"Go","Standard")</f>
        <v>Standard</v>
      </c>
    </row>
    <row r="43" customFormat="false" ht="14.25" hidden="false" customHeight="true" outlineLevel="0" collapsed="false">
      <c r="A43" s="10" t="n">
        <f aca="false">Einstellungen!$B$5+INT((ROW()-9)/24)</f>
        <v>45967</v>
      </c>
      <c r="B43" s="11" t="n">
        <f aca="false">MOD(ROW()-9,24)</f>
        <v>10</v>
      </c>
      <c r="C43" s="12"/>
      <c r="D43" s="13" t="n">
        <f aca="false">IF(B43&lt;5,Einstellungen!$B$3,Einstellungen!$B$4)</f>
        <v>29.13</v>
      </c>
      <c r="E43" s="14" t="str">
        <f aca="false">IF(C43="","",C43*D43/100)</f>
        <v/>
      </c>
      <c r="F43" s="15" t="str">
        <f aca="false">IF(B43&lt;5,"Go","Standard")</f>
        <v>Standard</v>
      </c>
    </row>
    <row r="44" customFormat="false" ht="14.25" hidden="false" customHeight="true" outlineLevel="0" collapsed="false">
      <c r="A44" s="10" t="n">
        <f aca="false">Einstellungen!$B$5+INT((ROW()-9)/24)</f>
        <v>45967</v>
      </c>
      <c r="B44" s="11" t="n">
        <f aca="false">MOD(ROW()-9,24)</f>
        <v>11</v>
      </c>
      <c r="C44" s="12"/>
      <c r="D44" s="13" t="n">
        <f aca="false">IF(B44&lt;5,Einstellungen!$B$3,Einstellungen!$B$4)</f>
        <v>29.13</v>
      </c>
      <c r="E44" s="14" t="str">
        <f aca="false">IF(C44="","",C44*D44/100)</f>
        <v/>
      </c>
      <c r="F44" s="15" t="str">
        <f aca="false">IF(B44&lt;5,"Go","Standard")</f>
        <v>Standard</v>
      </c>
    </row>
    <row r="45" customFormat="false" ht="14.25" hidden="false" customHeight="true" outlineLevel="0" collapsed="false">
      <c r="A45" s="10" t="n">
        <f aca="false">Einstellungen!$B$5+INT((ROW()-9)/24)</f>
        <v>45967</v>
      </c>
      <c r="B45" s="11" t="n">
        <f aca="false">MOD(ROW()-9,24)</f>
        <v>12</v>
      </c>
      <c r="C45" s="12"/>
      <c r="D45" s="13" t="n">
        <f aca="false">IF(B45&lt;5,Einstellungen!$B$3,Einstellungen!$B$4)</f>
        <v>29.13</v>
      </c>
      <c r="E45" s="14" t="str">
        <f aca="false">IF(C45="","",C45*D45/100)</f>
        <v/>
      </c>
      <c r="F45" s="15" t="str">
        <f aca="false">IF(B45&lt;5,"Go","Standard")</f>
        <v>Standard</v>
      </c>
    </row>
    <row r="46" customFormat="false" ht="14.25" hidden="false" customHeight="true" outlineLevel="0" collapsed="false">
      <c r="A46" s="10" t="n">
        <f aca="false">Einstellungen!$B$5+INT((ROW()-9)/24)</f>
        <v>45967</v>
      </c>
      <c r="B46" s="11" t="n">
        <f aca="false">MOD(ROW()-9,24)</f>
        <v>13</v>
      </c>
      <c r="C46" s="12"/>
      <c r="D46" s="13" t="n">
        <f aca="false">IF(B46&lt;5,Einstellungen!$B$3,Einstellungen!$B$4)</f>
        <v>29.13</v>
      </c>
      <c r="E46" s="14" t="str">
        <f aca="false">IF(C46="","",C46*D46/100)</f>
        <v/>
      </c>
      <c r="F46" s="15" t="str">
        <f aca="false">IF(B46&lt;5,"Go","Standard")</f>
        <v>Standard</v>
      </c>
    </row>
    <row r="47" customFormat="false" ht="14.25" hidden="false" customHeight="true" outlineLevel="0" collapsed="false">
      <c r="A47" s="10" t="n">
        <f aca="false">Einstellungen!$B$5+INT((ROW()-9)/24)</f>
        <v>45967</v>
      </c>
      <c r="B47" s="11" t="n">
        <f aca="false">MOD(ROW()-9,24)</f>
        <v>14</v>
      </c>
      <c r="C47" s="12"/>
      <c r="D47" s="13" t="n">
        <f aca="false">IF(B47&lt;5,Einstellungen!$B$3,Einstellungen!$B$4)</f>
        <v>29.13</v>
      </c>
      <c r="E47" s="14" t="str">
        <f aca="false">IF(C47="","",C47*D47/100)</f>
        <v/>
      </c>
      <c r="F47" s="15" t="str">
        <f aca="false">IF(B47&lt;5,"Go","Standard")</f>
        <v>Standard</v>
      </c>
    </row>
    <row r="48" customFormat="false" ht="14.25" hidden="false" customHeight="true" outlineLevel="0" collapsed="false">
      <c r="A48" s="10" t="n">
        <f aca="false">Einstellungen!$B$5+INT((ROW()-9)/24)</f>
        <v>45967</v>
      </c>
      <c r="B48" s="11" t="n">
        <f aca="false">MOD(ROW()-9,24)</f>
        <v>15</v>
      </c>
      <c r="C48" s="12"/>
      <c r="D48" s="13" t="n">
        <f aca="false">IF(B48&lt;5,Einstellungen!$B$3,Einstellungen!$B$4)</f>
        <v>29.13</v>
      </c>
      <c r="E48" s="14" t="str">
        <f aca="false">IF(C48="","",C48*D48/100)</f>
        <v/>
      </c>
      <c r="F48" s="15" t="str">
        <f aca="false">IF(B48&lt;5,"Go","Standard")</f>
        <v>Standard</v>
      </c>
    </row>
    <row r="49" customFormat="false" ht="14.25" hidden="false" customHeight="true" outlineLevel="0" collapsed="false">
      <c r="A49" s="10" t="n">
        <f aca="false">Einstellungen!$B$5+INT((ROW()-9)/24)</f>
        <v>45967</v>
      </c>
      <c r="B49" s="11" t="n">
        <f aca="false">MOD(ROW()-9,24)</f>
        <v>16</v>
      </c>
      <c r="C49" s="12"/>
      <c r="D49" s="13" t="n">
        <f aca="false">IF(B49&lt;5,Einstellungen!$B$3,Einstellungen!$B$4)</f>
        <v>29.13</v>
      </c>
      <c r="E49" s="14" t="str">
        <f aca="false">IF(C49="","",C49*D49/100)</f>
        <v/>
      </c>
      <c r="F49" s="15" t="str">
        <f aca="false">IF(B49&lt;5,"Go","Standard")</f>
        <v>Standard</v>
      </c>
    </row>
    <row r="50" customFormat="false" ht="14.25" hidden="false" customHeight="true" outlineLevel="0" collapsed="false">
      <c r="A50" s="10" t="n">
        <f aca="false">Einstellungen!$B$5+INT((ROW()-9)/24)</f>
        <v>45967</v>
      </c>
      <c r="B50" s="11" t="n">
        <f aca="false">MOD(ROW()-9,24)</f>
        <v>17</v>
      </c>
      <c r="C50" s="12"/>
      <c r="D50" s="13" t="n">
        <f aca="false">IF(B50&lt;5,Einstellungen!$B$3,Einstellungen!$B$4)</f>
        <v>29.13</v>
      </c>
      <c r="E50" s="14" t="str">
        <f aca="false">IF(C50="","",C50*D50/100)</f>
        <v/>
      </c>
      <c r="F50" s="15" t="str">
        <f aca="false">IF(B50&lt;5,"Go","Standard")</f>
        <v>Standard</v>
      </c>
    </row>
    <row r="51" customFormat="false" ht="14.25" hidden="false" customHeight="true" outlineLevel="0" collapsed="false">
      <c r="A51" s="10" t="n">
        <f aca="false">Einstellungen!$B$5+INT((ROW()-9)/24)</f>
        <v>45967</v>
      </c>
      <c r="B51" s="11" t="n">
        <f aca="false">MOD(ROW()-9,24)</f>
        <v>18</v>
      </c>
      <c r="C51" s="12"/>
      <c r="D51" s="13" t="n">
        <f aca="false">IF(B51&lt;5,Einstellungen!$B$3,Einstellungen!$B$4)</f>
        <v>29.13</v>
      </c>
      <c r="E51" s="14" t="str">
        <f aca="false">IF(C51="","",C51*D51/100)</f>
        <v/>
      </c>
      <c r="F51" s="15" t="str">
        <f aca="false">IF(B51&lt;5,"Go","Standard")</f>
        <v>Standard</v>
      </c>
    </row>
    <row r="52" customFormat="false" ht="14.25" hidden="false" customHeight="true" outlineLevel="0" collapsed="false">
      <c r="A52" s="10" t="n">
        <f aca="false">Einstellungen!$B$5+INT((ROW()-9)/24)</f>
        <v>45967</v>
      </c>
      <c r="B52" s="11" t="n">
        <f aca="false">MOD(ROW()-9,24)</f>
        <v>19</v>
      </c>
      <c r="C52" s="12"/>
      <c r="D52" s="13" t="n">
        <f aca="false">IF(B52&lt;5,Einstellungen!$B$3,Einstellungen!$B$4)</f>
        <v>29.13</v>
      </c>
      <c r="E52" s="14" t="str">
        <f aca="false">IF(C52="","",C52*D52/100)</f>
        <v/>
      </c>
      <c r="F52" s="15" t="str">
        <f aca="false">IF(B52&lt;5,"Go","Standard")</f>
        <v>Standard</v>
      </c>
    </row>
    <row r="53" customFormat="false" ht="14.25" hidden="false" customHeight="true" outlineLevel="0" collapsed="false">
      <c r="A53" s="10" t="n">
        <f aca="false">Einstellungen!$B$5+INT((ROW()-9)/24)</f>
        <v>45967</v>
      </c>
      <c r="B53" s="11" t="n">
        <f aca="false">MOD(ROW()-9,24)</f>
        <v>20</v>
      </c>
      <c r="C53" s="12"/>
      <c r="D53" s="13" t="n">
        <f aca="false">IF(B53&lt;5,Einstellungen!$B$3,Einstellungen!$B$4)</f>
        <v>29.13</v>
      </c>
      <c r="E53" s="14" t="str">
        <f aca="false">IF(C53="","",C53*D53/100)</f>
        <v/>
      </c>
      <c r="F53" s="15" t="str">
        <f aca="false">IF(B53&lt;5,"Go","Standard")</f>
        <v>Standard</v>
      </c>
    </row>
    <row r="54" customFormat="false" ht="14.25" hidden="false" customHeight="true" outlineLevel="0" collapsed="false">
      <c r="A54" s="10" t="n">
        <f aca="false">Einstellungen!$B$5+INT((ROW()-9)/24)</f>
        <v>45967</v>
      </c>
      <c r="B54" s="11" t="n">
        <f aca="false">MOD(ROW()-9,24)</f>
        <v>21</v>
      </c>
      <c r="C54" s="12"/>
      <c r="D54" s="13" t="n">
        <f aca="false">IF(B54&lt;5,Einstellungen!$B$3,Einstellungen!$B$4)</f>
        <v>29.13</v>
      </c>
      <c r="E54" s="14" t="str">
        <f aca="false">IF(C54="","",C54*D54/100)</f>
        <v/>
      </c>
      <c r="F54" s="15" t="str">
        <f aca="false">IF(B54&lt;5,"Go","Standard")</f>
        <v>Standard</v>
      </c>
    </row>
    <row r="55" customFormat="false" ht="14.25" hidden="false" customHeight="true" outlineLevel="0" collapsed="false">
      <c r="A55" s="10" t="n">
        <f aca="false">Einstellungen!$B$5+INT((ROW()-9)/24)</f>
        <v>45967</v>
      </c>
      <c r="B55" s="11" t="n">
        <f aca="false">MOD(ROW()-9,24)</f>
        <v>22</v>
      </c>
      <c r="C55" s="12"/>
      <c r="D55" s="13" t="n">
        <f aca="false">IF(B55&lt;5,Einstellungen!$B$3,Einstellungen!$B$4)</f>
        <v>29.13</v>
      </c>
      <c r="E55" s="14" t="str">
        <f aca="false">IF(C55="","",C55*D55/100)</f>
        <v/>
      </c>
      <c r="F55" s="15" t="str">
        <f aca="false">IF(B55&lt;5,"Go","Standard")</f>
        <v>Standard</v>
      </c>
    </row>
    <row r="56" customFormat="false" ht="14.25" hidden="false" customHeight="true" outlineLevel="0" collapsed="false">
      <c r="A56" s="10" t="n">
        <f aca="false">Einstellungen!$B$5+INT((ROW()-9)/24)</f>
        <v>45967</v>
      </c>
      <c r="B56" s="11" t="n">
        <f aca="false">MOD(ROW()-9,24)</f>
        <v>23</v>
      </c>
      <c r="C56" s="12"/>
      <c r="D56" s="13" t="n">
        <f aca="false">IF(B56&lt;5,Einstellungen!$B$3,Einstellungen!$B$4)</f>
        <v>29.13</v>
      </c>
      <c r="E56" s="14" t="str">
        <f aca="false">IF(C56="","",C56*D56/100)</f>
        <v/>
      </c>
      <c r="F56" s="15" t="str">
        <f aca="false">IF(B56&lt;5,"Go","Standard")</f>
        <v>Standard</v>
      </c>
    </row>
    <row r="57" customFormat="false" ht="14.25" hidden="false" customHeight="true" outlineLevel="0" collapsed="false">
      <c r="A57" s="10" t="n">
        <f aca="false">Einstellungen!$B$5+INT((ROW()-9)/24)</f>
        <v>45968</v>
      </c>
      <c r="B57" s="11" t="n">
        <f aca="false">MOD(ROW()-9,24)</f>
        <v>0</v>
      </c>
      <c r="C57" s="12"/>
      <c r="D57" s="13" t="n">
        <f aca="false">IF(B57&lt;5,Einstellungen!$B$3,Einstellungen!$B$4)</f>
        <v>15.92</v>
      </c>
      <c r="E57" s="14" t="str">
        <f aca="false">IF(C57="","",C57*D57/100)</f>
        <v/>
      </c>
      <c r="F57" s="15" t="str">
        <f aca="false">IF(B57&lt;5,"Go","Standard")</f>
        <v>Go</v>
      </c>
    </row>
    <row r="58" customFormat="false" ht="14.25" hidden="false" customHeight="true" outlineLevel="0" collapsed="false">
      <c r="A58" s="10" t="n">
        <f aca="false">Einstellungen!$B$5+INT((ROW()-9)/24)</f>
        <v>45968</v>
      </c>
      <c r="B58" s="11" t="n">
        <f aca="false">MOD(ROW()-9,24)</f>
        <v>1</v>
      </c>
      <c r="C58" s="12"/>
      <c r="D58" s="13" t="n">
        <f aca="false">IF(B58&lt;5,Einstellungen!$B$3,Einstellungen!$B$4)</f>
        <v>15.92</v>
      </c>
      <c r="E58" s="14" t="str">
        <f aca="false">IF(C58="","",C58*D58/100)</f>
        <v/>
      </c>
      <c r="F58" s="15" t="str">
        <f aca="false">IF(B58&lt;5,"Go","Standard")</f>
        <v>Go</v>
      </c>
    </row>
    <row r="59" customFormat="false" ht="14.25" hidden="false" customHeight="true" outlineLevel="0" collapsed="false">
      <c r="A59" s="10" t="n">
        <f aca="false">Einstellungen!$B$5+INT((ROW()-9)/24)</f>
        <v>45968</v>
      </c>
      <c r="B59" s="11" t="n">
        <f aca="false">MOD(ROW()-9,24)</f>
        <v>2</v>
      </c>
      <c r="C59" s="12"/>
      <c r="D59" s="13" t="n">
        <f aca="false">IF(B59&lt;5,Einstellungen!$B$3,Einstellungen!$B$4)</f>
        <v>15.92</v>
      </c>
      <c r="E59" s="14" t="str">
        <f aca="false">IF(C59="","",C59*D59/100)</f>
        <v/>
      </c>
      <c r="F59" s="15" t="str">
        <f aca="false">IF(B59&lt;5,"Go","Standard")</f>
        <v>Go</v>
      </c>
    </row>
    <row r="60" customFormat="false" ht="14.25" hidden="false" customHeight="true" outlineLevel="0" collapsed="false">
      <c r="A60" s="10" t="n">
        <f aca="false">Einstellungen!$B$5+INT((ROW()-9)/24)</f>
        <v>45968</v>
      </c>
      <c r="B60" s="11" t="n">
        <f aca="false">MOD(ROW()-9,24)</f>
        <v>3</v>
      </c>
      <c r="C60" s="12"/>
      <c r="D60" s="13" t="n">
        <f aca="false">IF(B60&lt;5,Einstellungen!$B$3,Einstellungen!$B$4)</f>
        <v>15.92</v>
      </c>
      <c r="E60" s="14" t="str">
        <f aca="false">IF(C60="","",C60*D60/100)</f>
        <v/>
      </c>
      <c r="F60" s="15" t="str">
        <f aca="false">IF(B60&lt;5,"Go","Standard")</f>
        <v>Go</v>
      </c>
    </row>
    <row r="61" customFormat="false" ht="14.25" hidden="false" customHeight="true" outlineLevel="0" collapsed="false">
      <c r="A61" s="10" t="n">
        <f aca="false">Einstellungen!$B$5+INT((ROW()-9)/24)</f>
        <v>45968</v>
      </c>
      <c r="B61" s="11" t="n">
        <f aca="false">MOD(ROW()-9,24)</f>
        <v>4</v>
      </c>
      <c r="C61" s="12"/>
      <c r="D61" s="13" t="n">
        <f aca="false">IF(B61&lt;5,Einstellungen!$B$3,Einstellungen!$B$4)</f>
        <v>15.92</v>
      </c>
      <c r="E61" s="14" t="str">
        <f aca="false">IF(C61="","",C61*D61/100)</f>
        <v/>
      </c>
      <c r="F61" s="15" t="str">
        <f aca="false">IF(B61&lt;5,"Go","Standard")</f>
        <v>Go</v>
      </c>
    </row>
    <row r="62" customFormat="false" ht="14.25" hidden="false" customHeight="true" outlineLevel="0" collapsed="false">
      <c r="A62" s="10" t="n">
        <f aca="false">Einstellungen!$B$5+INT((ROW()-9)/24)</f>
        <v>45968</v>
      </c>
      <c r="B62" s="11" t="n">
        <f aca="false">MOD(ROW()-9,24)</f>
        <v>5</v>
      </c>
      <c r="C62" s="12"/>
      <c r="D62" s="13" t="n">
        <f aca="false">IF(B62&lt;5,Einstellungen!$B$3,Einstellungen!$B$4)</f>
        <v>29.13</v>
      </c>
      <c r="E62" s="14" t="str">
        <f aca="false">IF(C62="","",C62*D62/100)</f>
        <v/>
      </c>
      <c r="F62" s="15" t="str">
        <f aca="false">IF(B62&lt;5,"Go","Standard")</f>
        <v>Standard</v>
      </c>
    </row>
    <row r="63" customFormat="false" ht="14.25" hidden="false" customHeight="true" outlineLevel="0" collapsed="false">
      <c r="A63" s="10" t="n">
        <f aca="false">Einstellungen!$B$5+INT((ROW()-9)/24)</f>
        <v>45968</v>
      </c>
      <c r="B63" s="11" t="n">
        <f aca="false">MOD(ROW()-9,24)</f>
        <v>6</v>
      </c>
      <c r="C63" s="12"/>
      <c r="D63" s="13" t="n">
        <f aca="false">IF(B63&lt;5,Einstellungen!$B$3,Einstellungen!$B$4)</f>
        <v>29.13</v>
      </c>
      <c r="E63" s="14" t="str">
        <f aca="false">IF(C63="","",C63*D63/100)</f>
        <v/>
      </c>
      <c r="F63" s="15" t="str">
        <f aca="false">IF(B63&lt;5,"Go","Standard")</f>
        <v>Standard</v>
      </c>
    </row>
    <row r="64" customFormat="false" ht="14.25" hidden="false" customHeight="true" outlineLevel="0" collapsed="false">
      <c r="A64" s="10" t="n">
        <f aca="false">Einstellungen!$B$5+INT((ROW()-9)/24)</f>
        <v>45968</v>
      </c>
      <c r="B64" s="11" t="n">
        <f aca="false">MOD(ROW()-9,24)</f>
        <v>7</v>
      </c>
      <c r="C64" s="12"/>
      <c r="D64" s="13" t="n">
        <f aca="false">IF(B64&lt;5,Einstellungen!$B$3,Einstellungen!$B$4)</f>
        <v>29.13</v>
      </c>
      <c r="E64" s="14" t="str">
        <f aca="false">IF(C64="","",C64*D64/100)</f>
        <v/>
      </c>
      <c r="F64" s="15" t="str">
        <f aca="false">IF(B64&lt;5,"Go","Standard")</f>
        <v>Standard</v>
      </c>
    </row>
    <row r="65" customFormat="false" ht="14.25" hidden="false" customHeight="true" outlineLevel="0" collapsed="false">
      <c r="A65" s="10" t="n">
        <f aca="false">Einstellungen!$B$5+INT((ROW()-9)/24)</f>
        <v>45968</v>
      </c>
      <c r="B65" s="11" t="n">
        <f aca="false">MOD(ROW()-9,24)</f>
        <v>8</v>
      </c>
      <c r="C65" s="12"/>
      <c r="D65" s="13" t="n">
        <f aca="false">IF(B65&lt;5,Einstellungen!$B$3,Einstellungen!$B$4)</f>
        <v>29.13</v>
      </c>
      <c r="E65" s="14" t="str">
        <f aca="false">IF(C65="","",C65*D65/100)</f>
        <v/>
      </c>
      <c r="F65" s="15" t="str">
        <f aca="false">IF(B65&lt;5,"Go","Standard")</f>
        <v>Standard</v>
      </c>
    </row>
    <row r="66" customFormat="false" ht="14.25" hidden="false" customHeight="true" outlineLevel="0" collapsed="false">
      <c r="A66" s="10" t="n">
        <f aca="false">Einstellungen!$B$5+INT((ROW()-9)/24)</f>
        <v>45968</v>
      </c>
      <c r="B66" s="11" t="n">
        <f aca="false">MOD(ROW()-9,24)</f>
        <v>9</v>
      </c>
      <c r="C66" s="12"/>
      <c r="D66" s="13" t="n">
        <f aca="false">IF(B66&lt;5,Einstellungen!$B$3,Einstellungen!$B$4)</f>
        <v>29.13</v>
      </c>
      <c r="E66" s="14" t="str">
        <f aca="false">IF(C66="","",C66*D66/100)</f>
        <v/>
      </c>
      <c r="F66" s="15" t="str">
        <f aca="false">IF(B66&lt;5,"Go","Standard")</f>
        <v>Standard</v>
      </c>
    </row>
    <row r="67" customFormat="false" ht="14.25" hidden="false" customHeight="true" outlineLevel="0" collapsed="false">
      <c r="A67" s="10" t="n">
        <f aca="false">Einstellungen!$B$5+INT((ROW()-9)/24)</f>
        <v>45968</v>
      </c>
      <c r="B67" s="11" t="n">
        <f aca="false">MOD(ROW()-9,24)</f>
        <v>10</v>
      </c>
      <c r="C67" s="12"/>
      <c r="D67" s="13" t="n">
        <f aca="false">IF(B67&lt;5,Einstellungen!$B$3,Einstellungen!$B$4)</f>
        <v>29.13</v>
      </c>
      <c r="E67" s="14" t="str">
        <f aca="false">IF(C67="","",C67*D67/100)</f>
        <v/>
      </c>
      <c r="F67" s="15" t="str">
        <f aca="false">IF(B67&lt;5,"Go","Standard")</f>
        <v>Standard</v>
      </c>
    </row>
    <row r="68" customFormat="false" ht="14.25" hidden="false" customHeight="true" outlineLevel="0" collapsed="false">
      <c r="A68" s="10" t="n">
        <f aca="false">Einstellungen!$B$5+INT((ROW()-9)/24)</f>
        <v>45968</v>
      </c>
      <c r="B68" s="11" t="n">
        <f aca="false">MOD(ROW()-9,24)</f>
        <v>11</v>
      </c>
      <c r="C68" s="12"/>
      <c r="D68" s="13" t="n">
        <f aca="false">IF(B68&lt;5,Einstellungen!$B$3,Einstellungen!$B$4)</f>
        <v>29.13</v>
      </c>
      <c r="E68" s="14" t="str">
        <f aca="false">IF(C68="","",C68*D68/100)</f>
        <v/>
      </c>
      <c r="F68" s="15" t="str">
        <f aca="false">IF(B68&lt;5,"Go","Standard")</f>
        <v>Standard</v>
      </c>
    </row>
    <row r="69" customFormat="false" ht="14.25" hidden="false" customHeight="true" outlineLevel="0" collapsed="false">
      <c r="A69" s="10" t="n">
        <f aca="false">Einstellungen!$B$5+INT((ROW()-9)/24)</f>
        <v>45968</v>
      </c>
      <c r="B69" s="11" t="n">
        <f aca="false">MOD(ROW()-9,24)</f>
        <v>12</v>
      </c>
      <c r="C69" s="12"/>
      <c r="D69" s="13" t="n">
        <f aca="false">IF(B69&lt;5,Einstellungen!$B$3,Einstellungen!$B$4)</f>
        <v>29.13</v>
      </c>
      <c r="E69" s="14" t="str">
        <f aca="false">IF(C69="","",C69*D69/100)</f>
        <v/>
      </c>
      <c r="F69" s="15" t="str">
        <f aca="false">IF(B69&lt;5,"Go","Standard")</f>
        <v>Standard</v>
      </c>
    </row>
    <row r="70" customFormat="false" ht="14.25" hidden="false" customHeight="true" outlineLevel="0" collapsed="false">
      <c r="A70" s="10" t="n">
        <f aca="false">Einstellungen!$B$5+INT((ROW()-9)/24)</f>
        <v>45968</v>
      </c>
      <c r="B70" s="11" t="n">
        <f aca="false">MOD(ROW()-9,24)</f>
        <v>13</v>
      </c>
      <c r="C70" s="12"/>
      <c r="D70" s="13" t="n">
        <f aca="false">IF(B70&lt;5,Einstellungen!$B$3,Einstellungen!$B$4)</f>
        <v>29.13</v>
      </c>
      <c r="E70" s="14" t="str">
        <f aca="false">IF(C70="","",C70*D70/100)</f>
        <v/>
      </c>
      <c r="F70" s="15" t="str">
        <f aca="false">IF(B70&lt;5,"Go","Standard")</f>
        <v>Standard</v>
      </c>
    </row>
    <row r="71" customFormat="false" ht="14.25" hidden="false" customHeight="true" outlineLevel="0" collapsed="false">
      <c r="A71" s="10" t="n">
        <f aca="false">Einstellungen!$B$5+INT((ROW()-9)/24)</f>
        <v>45968</v>
      </c>
      <c r="B71" s="11" t="n">
        <f aca="false">MOD(ROW()-9,24)</f>
        <v>14</v>
      </c>
      <c r="C71" s="12"/>
      <c r="D71" s="13" t="n">
        <f aca="false">IF(B71&lt;5,Einstellungen!$B$3,Einstellungen!$B$4)</f>
        <v>29.13</v>
      </c>
      <c r="E71" s="14" t="str">
        <f aca="false">IF(C71="","",C71*D71/100)</f>
        <v/>
      </c>
      <c r="F71" s="15" t="str">
        <f aca="false">IF(B71&lt;5,"Go","Standard")</f>
        <v>Standard</v>
      </c>
    </row>
    <row r="72" customFormat="false" ht="14.25" hidden="false" customHeight="true" outlineLevel="0" collapsed="false">
      <c r="A72" s="10" t="n">
        <f aca="false">Einstellungen!$B$5+INT((ROW()-9)/24)</f>
        <v>45968</v>
      </c>
      <c r="B72" s="11" t="n">
        <f aca="false">MOD(ROW()-9,24)</f>
        <v>15</v>
      </c>
      <c r="C72" s="12"/>
      <c r="D72" s="13" t="n">
        <f aca="false">IF(B72&lt;5,Einstellungen!$B$3,Einstellungen!$B$4)</f>
        <v>29.13</v>
      </c>
      <c r="E72" s="14" t="str">
        <f aca="false">IF(C72="","",C72*D72/100)</f>
        <v/>
      </c>
      <c r="F72" s="15" t="str">
        <f aca="false">IF(B72&lt;5,"Go","Standard")</f>
        <v>Standard</v>
      </c>
    </row>
    <row r="73" customFormat="false" ht="14.25" hidden="false" customHeight="true" outlineLevel="0" collapsed="false">
      <c r="A73" s="10" t="n">
        <f aca="false">Einstellungen!$B$5+INT((ROW()-9)/24)</f>
        <v>45968</v>
      </c>
      <c r="B73" s="11" t="n">
        <f aca="false">MOD(ROW()-9,24)</f>
        <v>16</v>
      </c>
      <c r="C73" s="12"/>
      <c r="D73" s="13" t="n">
        <f aca="false">IF(B73&lt;5,Einstellungen!$B$3,Einstellungen!$B$4)</f>
        <v>29.13</v>
      </c>
      <c r="E73" s="14" t="str">
        <f aca="false">IF(C73="","",C73*D73/100)</f>
        <v/>
      </c>
      <c r="F73" s="15" t="str">
        <f aca="false">IF(B73&lt;5,"Go","Standard")</f>
        <v>Standard</v>
      </c>
    </row>
    <row r="74" customFormat="false" ht="14.25" hidden="false" customHeight="true" outlineLevel="0" collapsed="false">
      <c r="A74" s="10" t="n">
        <f aca="false">Einstellungen!$B$5+INT((ROW()-9)/24)</f>
        <v>45968</v>
      </c>
      <c r="B74" s="11" t="n">
        <f aca="false">MOD(ROW()-9,24)</f>
        <v>17</v>
      </c>
      <c r="C74" s="12"/>
      <c r="D74" s="13" t="n">
        <f aca="false">IF(B74&lt;5,Einstellungen!$B$3,Einstellungen!$B$4)</f>
        <v>29.13</v>
      </c>
      <c r="E74" s="14" t="str">
        <f aca="false">IF(C74="","",C74*D74/100)</f>
        <v/>
      </c>
      <c r="F74" s="15" t="str">
        <f aca="false">IF(B74&lt;5,"Go","Standard")</f>
        <v>Standard</v>
      </c>
    </row>
    <row r="75" customFormat="false" ht="14.25" hidden="false" customHeight="true" outlineLevel="0" collapsed="false">
      <c r="A75" s="10" t="n">
        <f aca="false">Einstellungen!$B$5+INT((ROW()-9)/24)</f>
        <v>45968</v>
      </c>
      <c r="B75" s="11" t="n">
        <f aca="false">MOD(ROW()-9,24)</f>
        <v>18</v>
      </c>
      <c r="C75" s="12"/>
      <c r="D75" s="13" t="n">
        <f aca="false">IF(B75&lt;5,Einstellungen!$B$3,Einstellungen!$B$4)</f>
        <v>29.13</v>
      </c>
      <c r="E75" s="14" t="str">
        <f aca="false">IF(C75="","",C75*D75/100)</f>
        <v/>
      </c>
      <c r="F75" s="15" t="str">
        <f aca="false">IF(B75&lt;5,"Go","Standard")</f>
        <v>Standard</v>
      </c>
    </row>
    <row r="76" customFormat="false" ht="14.25" hidden="false" customHeight="true" outlineLevel="0" collapsed="false">
      <c r="A76" s="10" t="n">
        <f aca="false">Einstellungen!$B$5+INT((ROW()-9)/24)</f>
        <v>45968</v>
      </c>
      <c r="B76" s="11" t="n">
        <f aca="false">MOD(ROW()-9,24)</f>
        <v>19</v>
      </c>
      <c r="C76" s="12"/>
      <c r="D76" s="13" t="n">
        <f aca="false">IF(B76&lt;5,Einstellungen!$B$3,Einstellungen!$B$4)</f>
        <v>29.13</v>
      </c>
      <c r="E76" s="14" t="str">
        <f aca="false">IF(C76="","",C76*D76/100)</f>
        <v/>
      </c>
      <c r="F76" s="15" t="str">
        <f aca="false">IF(B76&lt;5,"Go","Standard")</f>
        <v>Standard</v>
      </c>
    </row>
    <row r="77" customFormat="false" ht="14.25" hidden="false" customHeight="true" outlineLevel="0" collapsed="false">
      <c r="A77" s="10" t="n">
        <f aca="false">Einstellungen!$B$5+INT((ROW()-9)/24)</f>
        <v>45968</v>
      </c>
      <c r="B77" s="11" t="n">
        <f aca="false">MOD(ROW()-9,24)</f>
        <v>20</v>
      </c>
      <c r="C77" s="12"/>
      <c r="D77" s="13" t="n">
        <f aca="false">IF(B77&lt;5,Einstellungen!$B$3,Einstellungen!$B$4)</f>
        <v>29.13</v>
      </c>
      <c r="E77" s="14" t="str">
        <f aca="false">IF(C77="","",C77*D77/100)</f>
        <v/>
      </c>
      <c r="F77" s="15" t="str">
        <f aca="false">IF(B77&lt;5,"Go","Standard")</f>
        <v>Standard</v>
      </c>
    </row>
    <row r="78" customFormat="false" ht="14.25" hidden="false" customHeight="true" outlineLevel="0" collapsed="false">
      <c r="A78" s="10" t="n">
        <f aca="false">Einstellungen!$B$5+INT((ROW()-9)/24)</f>
        <v>45968</v>
      </c>
      <c r="B78" s="11" t="n">
        <f aca="false">MOD(ROW()-9,24)</f>
        <v>21</v>
      </c>
      <c r="C78" s="12"/>
      <c r="D78" s="13" t="n">
        <f aca="false">IF(B78&lt;5,Einstellungen!$B$3,Einstellungen!$B$4)</f>
        <v>29.13</v>
      </c>
      <c r="E78" s="14" t="str">
        <f aca="false">IF(C78="","",C78*D78/100)</f>
        <v/>
      </c>
      <c r="F78" s="15" t="str">
        <f aca="false">IF(B78&lt;5,"Go","Standard")</f>
        <v>Standard</v>
      </c>
    </row>
    <row r="79" customFormat="false" ht="14.25" hidden="false" customHeight="true" outlineLevel="0" collapsed="false">
      <c r="A79" s="10" t="n">
        <f aca="false">Einstellungen!$B$5+INT((ROW()-9)/24)</f>
        <v>45968</v>
      </c>
      <c r="B79" s="11" t="n">
        <f aca="false">MOD(ROW()-9,24)</f>
        <v>22</v>
      </c>
      <c r="C79" s="12"/>
      <c r="D79" s="13" t="n">
        <f aca="false">IF(B79&lt;5,Einstellungen!$B$3,Einstellungen!$B$4)</f>
        <v>29.13</v>
      </c>
      <c r="E79" s="14" t="str">
        <f aca="false">IF(C79="","",C79*D79/100)</f>
        <v/>
      </c>
      <c r="F79" s="15" t="str">
        <f aca="false">IF(B79&lt;5,"Go","Standard")</f>
        <v>Standard</v>
      </c>
    </row>
    <row r="80" customFormat="false" ht="14.25" hidden="false" customHeight="true" outlineLevel="0" collapsed="false">
      <c r="A80" s="10" t="n">
        <f aca="false">Einstellungen!$B$5+INT((ROW()-9)/24)</f>
        <v>45968</v>
      </c>
      <c r="B80" s="11" t="n">
        <f aca="false">MOD(ROW()-9,24)</f>
        <v>23</v>
      </c>
      <c r="C80" s="12"/>
      <c r="D80" s="13" t="n">
        <f aca="false">IF(B80&lt;5,Einstellungen!$B$3,Einstellungen!$B$4)</f>
        <v>29.13</v>
      </c>
      <c r="E80" s="14" t="str">
        <f aca="false">IF(C80="","",C80*D80/100)</f>
        <v/>
      </c>
      <c r="F80" s="15" t="str">
        <f aca="false">IF(B80&lt;5,"Go","Standard")</f>
        <v>Standard</v>
      </c>
    </row>
    <row r="81" customFormat="false" ht="14.25" hidden="false" customHeight="true" outlineLevel="0" collapsed="false">
      <c r="A81" s="10" t="n">
        <f aca="false">Einstellungen!$B$5+INT((ROW()-9)/24)</f>
        <v>45969</v>
      </c>
      <c r="B81" s="11" t="n">
        <f aca="false">MOD(ROW()-9,24)</f>
        <v>0</v>
      </c>
      <c r="C81" s="12"/>
      <c r="D81" s="13" t="n">
        <f aca="false">IF(B81&lt;5,Einstellungen!$B$3,Einstellungen!$B$4)</f>
        <v>15.92</v>
      </c>
      <c r="E81" s="14" t="str">
        <f aca="false">IF(C81="","",C81*D81/100)</f>
        <v/>
      </c>
      <c r="F81" s="15" t="str">
        <f aca="false">IF(B81&lt;5,"Go","Standard")</f>
        <v>Go</v>
      </c>
    </row>
    <row r="82" customFormat="false" ht="14.25" hidden="false" customHeight="true" outlineLevel="0" collapsed="false">
      <c r="A82" s="10" t="n">
        <f aca="false">Einstellungen!$B$5+INT((ROW()-9)/24)</f>
        <v>45969</v>
      </c>
      <c r="B82" s="11" t="n">
        <f aca="false">MOD(ROW()-9,24)</f>
        <v>1</v>
      </c>
      <c r="C82" s="12"/>
      <c r="D82" s="13" t="n">
        <f aca="false">IF(B82&lt;5,Einstellungen!$B$3,Einstellungen!$B$4)</f>
        <v>15.92</v>
      </c>
      <c r="E82" s="14" t="str">
        <f aca="false">IF(C82="","",C82*D82/100)</f>
        <v/>
      </c>
      <c r="F82" s="15" t="str">
        <f aca="false">IF(B82&lt;5,"Go","Standard")</f>
        <v>Go</v>
      </c>
    </row>
    <row r="83" customFormat="false" ht="14.25" hidden="false" customHeight="true" outlineLevel="0" collapsed="false">
      <c r="A83" s="10" t="n">
        <f aca="false">Einstellungen!$B$5+INT((ROW()-9)/24)</f>
        <v>45969</v>
      </c>
      <c r="B83" s="11" t="n">
        <f aca="false">MOD(ROW()-9,24)</f>
        <v>2</v>
      </c>
      <c r="C83" s="12"/>
      <c r="D83" s="13" t="n">
        <f aca="false">IF(B83&lt;5,Einstellungen!$B$3,Einstellungen!$B$4)</f>
        <v>15.92</v>
      </c>
      <c r="E83" s="14" t="str">
        <f aca="false">IF(C83="","",C83*D83/100)</f>
        <v/>
      </c>
      <c r="F83" s="15" t="str">
        <f aca="false">IF(B83&lt;5,"Go","Standard")</f>
        <v>Go</v>
      </c>
    </row>
    <row r="84" customFormat="false" ht="14.25" hidden="false" customHeight="true" outlineLevel="0" collapsed="false">
      <c r="A84" s="10" t="n">
        <f aca="false">Einstellungen!$B$5+INT((ROW()-9)/24)</f>
        <v>45969</v>
      </c>
      <c r="B84" s="11" t="n">
        <f aca="false">MOD(ROW()-9,24)</f>
        <v>3</v>
      </c>
      <c r="C84" s="12"/>
      <c r="D84" s="13" t="n">
        <f aca="false">IF(B84&lt;5,Einstellungen!$B$3,Einstellungen!$B$4)</f>
        <v>15.92</v>
      </c>
      <c r="E84" s="14" t="str">
        <f aca="false">IF(C84="","",C84*D84/100)</f>
        <v/>
      </c>
      <c r="F84" s="15" t="str">
        <f aca="false">IF(B84&lt;5,"Go","Standard")</f>
        <v>Go</v>
      </c>
    </row>
    <row r="85" customFormat="false" ht="14.25" hidden="false" customHeight="true" outlineLevel="0" collapsed="false">
      <c r="A85" s="10" t="n">
        <f aca="false">Einstellungen!$B$5+INT((ROW()-9)/24)</f>
        <v>45969</v>
      </c>
      <c r="B85" s="11" t="n">
        <f aca="false">MOD(ROW()-9,24)</f>
        <v>4</v>
      </c>
      <c r="C85" s="12"/>
      <c r="D85" s="13" t="n">
        <f aca="false">IF(B85&lt;5,Einstellungen!$B$3,Einstellungen!$B$4)</f>
        <v>15.92</v>
      </c>
      <c r="E85" s="14" t="str">
        <f aca="false">IF(C85="","",C85*D85/100)</f>
        <v/>
      </c>
      <c r="F85" s="15" t="str">
        <f aca="false">IF(B85&lt;5,"Go","Standard")</f>
        <v>Go</v>
      </c>
    </row>
    <row r="86" customFormat="false" ht="14.25" hidden="false" customHeight="true" outlineLevel="0" collapsed="false">
      <c r="A86" s="10" t="n">
        <f aca="false">Einstellungen!$B$5+INT((ROW()-9)/24)</f>
        <v>45969</v>
      </c>
      <c r="B86" s="11" t="n">
        <f aca="false">MOD(ROW()-9,24)</f>
        <v>5</v>
      </c>
      <c r="C86" s="12"/>
      <c r="D86" s="13" t="n">
        <f aca="false">IF(B86&lt;5,Einstellungen!$B$3,Einstellungen!$B$4)</f>
        <v>29.13</v>
      </c>
      <c r="E86" s="14" t="str">
        <f aca="false">IF(C86="","",C86*D86/100)</f>
        <v/>
      </c>
      <c r="F86" s="15" t="str">
        <f aca="false">IF(B86&lt;5,"Go","Standard")</f>
        <v>Standard</v>
      </c>
    </row>
    <row r="87" customFormat="false" ht="14.25" hidden="false" customHeight="true" outlineLevel="0" collapsed="false">
      <c r="A87" s="10" t="n">
        <f aca="false">Einstellungen!$B$5+INT((ROW()-9)/24)</f>
        <v>45969</v>
      </c>
      <c r="B87" s="11" t="n">
        <f aca="false">MOD(ROW()-9,24)</f>
        <v>6</v>
      </c>
      <c r="C87" s="12"/>
      <c r="D87" s="13" t="n">
        <f aca="false">IF(B87&lt;5,Einstellungen!$B$3,Einstellungen!$B$4)</f>
        <v>29.13</v>
      </c>
      <c r="E87" s="14" t="str">
        <f aca="false">IF(C87="","",C87*D87/100)</f>
        <v/>
      </c>
      <c r="F87" s="15" t="str">
        <f aca="false">IF(B87&lt;5,"Go","Standard")</f>
        <v>Standard</v>
      </c>
    </row>
    <row r="88" customFormat="false" ht="14.25" hidden="false" customHeight="true" outlineLevel="0" collapsed="false">
      <c r="A88" s="10" t="n">
        <f aca="false">Einstellungen!$B$5+INT((ROW()-9)/24)</f>
        <v>45969</v>
      </c>
      <c r="B88" s="11" t="n">
        <f aca="false">MOD(ROW()-9,24)</f>
        <v>7</v>
      </c>
      <c r="C88" s="12"/>
      <c r="D88" s="13" t="n">
        <f aca="false">IF(B88&lt;5,Einstellungen!$B$3,Einstellungen!$B$4)</f>
        <v>29.13</v>
      </c>
      <c r="E88" s="14" t="str">
        <f aca="false">IF(C88="","",C88*D88/100)</f>
        <v/>
      </c>
      <c r="F88" s="15" t="str">
        <f aca="false">IF(B88&lt;5,"Go","Standard")</f>
        <v>Standard</v>
      </c>
    </row>
    <row r="89" customFormat="false" ht="14.25" hidden="false" customHeight="true" outlineLevel="0" collapsed="false">
      <c r="A89" s="10" t="n">
        <f aca="false">Einstellungen!$B$5+INT((ROW()-9)/24)</f>
        <v>45969</v>
      </c>
      <c r="B89" s="11" t="n">
        <f aca="false">MOD(ROW()-9,24)</f>
        <v>8</v>
      </c>
      <c r="C89" s="12"/>
      <c r="D89" s="13" t="n">
        <f aca="false">IF(B89&lt;5,Einstellungen!$B$3,Einstellungen!$B$4)</f>
        <v>29.13</v>
      </c>
      <c r="E89" s="14" t="str">
        <f aca="false">IF(C89="","",C89*D89/100)</f>
        <v/>
      </c>
      <c r="F89" s="15" t="str">
        <f aca="false">IF(B89&lt;5,"Go","Standard")</f>
        <v>Standard</v>
      </c>
    </row>
    <row r="90" customFormat="false" ht="14.25" hidden="false" customHeight="true" outlineLevel="0" collapsed="false">
      <c r="A90" s="10" t="n">
        <f aca="false">Einstellungen!$B$5+INT((ROW()-9)/24)</f>
        <v>45969</v>
      </c>
      <c r="B90" s="11" t="n">
        <f aca="false">MOD(ROW()-9,24)</f>
        <v>9</v>
      </c>
      <c r="C90" s="12"/>
      <c r="D90" s="13" t="n">
        <f aca="false">IF(B90&lt;5,Einstellungen!$B$3,Einstellungen!$B$4)</f>
        <v>29.13</v>
      </c>
      <c r="E90" s="14" t="str">
        <f aca="false">IF(C90="","",C90*D90/100)</f>
        <v/>
      </c>
      <c r="F90" s="15" t="str">
        <f aca="false">IF(B90&lt;5,"Go","Standard")</f>
        <v>Standard</v>
      </c>
    </row>
    <row r="91" customFormat="false" ht="14.25" hidden="false" customHeight="true" outlineLevel="0" collapsed="false">
      <c r="A91" s="10" t="n">
        <f aca="false">Einstellungen!$B$5+INT((ROW()-9)/24)</f>
        <v>45969</v>
      </c>
      <c r="B91" s="11" t="n">
        <f aca="false">MOD(ROW()-9,24)</f>
        <v>10</v>
      </c>
      <c r="C91" s="12"/>
      <c r="D91" s="13" t="n">
        <f aca="false">IF(B91&lt;5,Einstellungen!$B$3,Einstellungen!$B$4)</f>
        <v>29.13</v>
      </c>
      <c r="E91" s="14" t="str">
        <f aca="false">IF(C91="","",C91*D91/100)</f>
        <v/>
      </c>
      <c r="F91" s="15" t="str">
        <f aca="false">IF(B91&lt;5,"Go","Standard")</f>
        <v>Standard</v>
      </c>
    </row>
    <row r="92" customFormat="false" ht="14.25" hidden="false" customHeight="true" outlineLevel="0" collapsed="false">
      <c r="A92" s="10" t="n">
        <f aca="false">Einstellungen!$B$5+INT((ROW()-9)/24)</f>
        <v>45969</v>
      </c>
      <c r="B92" s="11" t="n">
        <f aca="false">MOD(ROW()-9,24)</f>
        <v>11</v>
      </c>
      <c r="C92" s="12"/>
      <c r="D92" s="13" t="n">
        <f aca="false">IF(B92&lt;5,Einstellungen!$B$3,Einstellungen!$B$4)</f>
        <v>29.13</v>
      </c>
      <c r="E92" s="14" t="str">
        <f aca="false">IF(C92="","",C92*D92/100)</f>
        <v/>
      </c>
      <c r="F92" s="15" t="str">
        <f aca="false">IF(B92&lt;5,"Go","Standard")</f>
        <v>Standard</v>
      </c>
    </row>
    <row r="93" customFormat="false" ht="14.25" hidden="false" customHeight="true" outlineLevel="0" collapsed="false">
      <c r="A93" s="10" t="n">
        <f aca="false">Einstellungen!$B$5+INT((ROW()-9)/24)</f>
        <v>45969</v>
      </c>
      <c r="B93" s="11" t="n">
        <f aca="false">MOD(ROW()-9,24)</f>
        <v>12</v>
      </c>
      <c r="C93" s="12"/>
      <c r="D93" s="13" t="n">
        <f aca="false">IF(B93&lt;5,Einstellungen!$B$3,Einstellungen!$B$4)</f>
        <v>29.13</v>
      </c>
      <c r="E93" s="14" t="str">
        <f aca="false">IF(C93="","",C93*D93/100)</f>
        <v/>
      </c>
      <c r="F93" s="15" t="str">
        <f aca="false">IF(B93&lt;5,"Go","Standard")</f>
        <v>Standard</v>
      </c>
    </row>
    <row r="94" customFormat="false" ht="14.25" hidden="false" customHeight="true" outlineLevel="0" collapsed="false">
      <c r="A94" s="10" t="n">
        <f aca="false">Einstellungen!$B$5+INT((ROW()-9)/24)</f>
        <v>45969</v>
      </c>
      <c r="B94" s="11" t="n">
        <f aca="false">MOD(ROW()-9,24)</f>
        <v>13</v>
      </c>
      <c r="C94" s="12"/>
      <c r="D94" s="13" t="n">
        <f aca="false">IF(B94&lt;5,Einstellungen!$B$3,Einstellungen!$B$4)</f>
        <v>29.13</v>
      </c>
      <c r="E94" s="14" t="str">
        <f aca="false">IF(C94="","",C94*D94/100)</f>
        <v/>
      </c>
      <c r="F94" s="15" t="str">
        <f aca="false">IF(B94&lt;5,"Go","Standard")</f>
        <v>Standard</v>
      </c>
    </row>
    <row r="95" customFormat="false" ht="14.25" hidden="false" customHeight="true" outlineLevel="0" collapsed="false">
      <c r="A95" s="10" t="n">
        <f aca="false">Einstellungen!$B$5+INT((ROW()-9)/24)</f>
        <v>45969</v>
      </c>
      <c r="B95" s="11" t="n">
        <f aca="false">MOD(ROW()-9,24)</f>
        <v>14</v>
      </c>
      <c r="C95" s="12"/>
      <c r="D95" s="13" t="n">
        <f aca="false">IF(B95&lt;5,Einstellungen!$B$3,Einstellungen!$B$4)</f>
        <v>29.13</v>
      </c>
      <c r="E95" s="14" t="str">
        <f aca="false">IF(C95="","",C95*D95/100)</f>
        <v/>
      </c>
      <c r="F95" s="15" t="str">
        <f aca="false">IF(B95&lt;5,"Go","Standard")</f>
        <v>Standard</v>
      </c>
    </row>
    <row r="96" customFormat="false" ht="14.25" hidden="false" customHeight="true" outlineLevel="0" collapsed="false">
      <c r="A96" s="10" t="n">
        <f aca="false">Einstellungen!$B$5+INT((ROW()-9)/24)</f>
        <v>45969</v>
      </c>
      <c r="B96" s="11" t="n">
        <f aca="false">MOD(ROW()-9,24)</f>
        <v>15</v>
      </c>
      <c r="C96" s="12"/>
      <c r="D96" s="13" t="n">
        <f aca="false">IF(B96&lt;5,Einstellungen!$B$3,Einstellungen!$B$4)</f>
        <v>29.13</v>
      </c>
      <c r="E96" s="14" t="str">
        <f aca="false">IF(C96="","",C96*D96/100)</f>
        <v/>
      </c>
      <c r="F96" s="15" t="str">
        <f aca="false">IF(B96&lt;5,"Go","Standard")</f>
        <v>Standard</v>
      </c>
    </row>
    <row r="97" customFormat="false" ht="14.25" hidden="false" customHeight="true" outlineLevel="0" collapsed="false">
      <c r="A97" s="10" t="n">
        <f aca="false">Einstellungen!$B$5+INT((ROW()-9)/24)</f>
        <v>45969</v>
      </c>
      <c r="B97" s="11" t="n">
        <f aca="false">MOD(ROW()-9,24)</f>
        <v>16</v>
      </c>
      <c r="C97" s="12"/>
      <c r="D97" s="13" t="n">
        <f aca="false">IF(B97&lt;5,Einstellungen!$B$3,Einstellungen!$B$4)</f>
        <v>29.13</v>
      </c>
      <c r="E97" s="14" t="str">
        <f aca="false">IF(C97="","",C97*D97/100)</f>
        <v/>
      </c>
      <c r="F97" s="15" t="str">
        <f aca="false">IF(B97&lt;5,"Go","Standard")</f>
        <v>Standard</v>
      </c>
    </row>
    <row r="98" customFormat="false" ht="14.25" hidden="false" customHeight="true" outlineLevel="0" collapsed="false">
      <c r="A98" s="10" t="n">
        <f aca="false">Einstellungen!$B$5+INT((ROW()-9)/24)</f>
        <v>45969</v>
      </c>
      <c r="B98" s="11" t="n">
        <f aca="false">MOD(ROW()-9,24)</f>
        <v>17</v>
      </c>
      <c r="C98" s="12"/>
      <c r="D98" s="13" t="n">
        <f aca="false">IF(B98&lt;5,Einstellungen!$B$3,Einstellungen!$B$4)</f>
        <v>29.13</v>
      </c>
      <c r="E98" s="14" t="str">
        <f aca="false">IF(C98="","",C98*D98/100)</f>
        <v/>
      </c>
      <c r="F98" s="15" t="str">
        <f aca="false">IF(B98&lt;5,"Go","Standard")</f>
        <v>Standard</v>
      </c>
    </row>
    <row r="99" customFormat="false" ht="14.25" hidden="false" customHeight="true" outlineLevel="0" collapsed="false">
      <c r="A99" s="10" t="n">
        <f aca="false">Einstellungen!$B$5+INT((ROW()-9)/24)</f>
        <v>45969</v>
      </c>
      <c r="B99" s="11" t="n">
        <f aca="false">MOD(ROW()-9,24)</f>
        <v>18</v>
      </c>
      <c r="C99" s="12"/>
      <c r="D99" s="13" t="n">
        <f aca="false">IF(B99&lt;5,Einstellungen!$B$3,Einstellungen!$B$4)</f>
        <v>29.13</v>
      </c>
      <c r="E99" s="14" t="str">
        <f aca="false">IF(C99="","",C99*D99/100)</f>
        <v/>
      </c>
      <c r="F99" s="15" t="str">
        <f aca="false">IF(B99&lt;5,"Go","Standard")</f>
        <v>Standard</v>
      </c>
    </row>
    <row r="100" customFormat="false" ht="14.25" hidden="false" customHeight="true" outlineLevel="0" collapsed="false">
      <c r="A100" s="10" t="n">
        <f aca="false">Einstellungen!$B$5+INT((ROW()-9)/24)</f>
        <v>45969</v>
      </c>
      <c r="B100" s="11" t="n">
        <f aca="false">MOD(ROW()-9,24)</f>
        <v>19</v>
      </c>
      <c r="C100" s="12"/>
      <c r="D100" s="13" t="n">
        <f aca="false">IF(B100&lt;5,Einstellungen!$B$3,Einstellungen!$B$4)</f>
        <v>29.13</v>
      </c>
      <c r="E100" s="14" t="str">
        <f aca="false">IF(C100="","",C100*D100/100)</f>
        <v/>
      </c>
      <c r="F100" s="15" t="str">
        <f aca="false">IF(B100&lt;5,"Go","Standard")</f>
        <v>Standard</v>
      </c>
    </row>
    <row r="101" customFormat="false" ht="14.25" hidden="false" customHeight="true" outlineLevel="0" collapsed="false">
      <c r="A101" s="10" t="n">
        <f aca="false">Einstellungen!$B$5+INT((ROW()-9)/24)</f>
        <v>45969</v>
      </c>
      <c r="B101" s="11" t="n">
        <f aca="false">MOD(ROW()-9,24)</f>
        <v>20</v>
      </c>
      <c r="C101" s="12"/>
      <c r="D101" s="13" t="n">
        <f aca="false">IF(B101&lt;5,Einstellungen!$B$3,Einstellungen!$B$4)</f>
        <v>29.13</v>
      </c>
      <c r="E101" s="14" t="str">
        <f aca="false">IF(C101="","",C101*D101/100)</f>
        <v/>
      </c>
      <c r="F101" s="15" t="str">
        <f aca="false">IF(B101&lt;5,"Go","Standard")</f>
        <v>Standard</v>
      </c>
    </row>
    <row r="102" customFormat="false" ht="14.25" hidden="false" customHeight="true" outlineLevel="0" collapsed="false">
      <c r="A102" s="10" t="n">
        <f aca="false">Einstellungen!$B$5+INT((ROW()-9)/24)</f>
        <v>45969</v>
      </c>
      <c r="B102" s="11" t="n">
        <f aca="false">MOD(ROW()-9,24)</f>
        <v>21</v>
      </c>
      <c r="C102" s="12"/>
      <c r="D102" s="13" t="n">
        <f aca="false">IF(B102&lt;5,Einstellungen!$B$3,Einstellungen!$B$4)</f>
        <v>29.13</v>
      </c>
      <c r="E102" s="14" t="str">
        <f aca="false">IF(C102="","",C102*D102/100)</f>
        <v/>
      </c>
      <c r="F102" s="15" t="str">
        <f aca="false">IF(B102&lt;5,"Go","Standard")</f>
        <v>Standard</v>
      </c>
    </row>
    <row r="103" customFormat="false" ht="14.25" hidden="false" customHeight="true" outlineLevel="0" collapsed="false">
      <c r="A103" s="10" t="n">
        <f aca="false">Einstellungen!$B$5+INT((ROW()-9)/24)</f>
        <v>45969</v>
      </c>
      <c r="B103" s="11" t="n">
        <f aca="false">MOD(ROW()-9,24)</f>
        <v>22</v>
      </c>
      <c r="C103" s="12"/>
      <c r="D103" s="13" t="n">
        <f aca="false">IF(B103&lt;5,Einstellungen!$B$3,Einstellungen!$B$4)</f>
        <v>29.13</v>
      </c>
      <c r="E103" s="14" t="str">
        <f aca="false">IF(C103="","",C103*D103/100)</f>
        <v/>
      </c>
      <c r="F103" s="15" t="str">
        <f aca="false">IF(B103&lt;5,"Go","Standard")</f>
        <v>Standard</v>
      </c>
    </row>
    <row r="104" customFormat="false" ht="14.25" hidden="false" customHeight="true" outlineLevel="0" collapsed="false">
      <c r="A104" s="10" t="n">
        <f aca="false">Einstellungen!$B$5+INT((ROW()-9)/24)</f>
        <v>45969</v>
      </c>
      <c r="B104" s="11" t="n">
        <f aca="false">MOD(ROW()-9,24)</f>
        <v>23</v>
      </c>
      <c r="C104" s="12"/>
      <c r="D104" s="13" t="n">
        <f aca="false">IF(B104&lt;5,Einstellungen!$B$3,Einstellungen!$B$4)</f>
        <v>29.13</v>
      </c>
      <c r="E104" s="14" t="str">
        <f aca="false">IF(C104="","",C104*D104/100)</f>
        <v/>
      </c>
      <c r="F104" s="15" t="str">
        <f aca="false">IF(B104&lt;5,"Go","Standard")</f>
        <v>Standard</v>
      </c>
    </row>
    <row r="105" customFormat="false" ht="14.25" hidden="false" customHeight="true" outlineLevel="0" collapsed="false">
      <c r="A105" s="10" t="n">
        <f aca="false">Einstellungen!$B$5+INT((ROW()-9)/24)</f>
        <v>45970</v>
      </c>
      <c r="B105" s="11" t="n">
        <f aca="false">MOD(ROW()-9,24)</f>
        <v>0</v>
      </c>
      <c r="C105" s="12"/>
      <c r="D105" s="13" t="n">
        <f aca="false">IF(B105&lt;5,Einstellungen!$B$3,Einstellungen!$B$4)</f>
        <v>15.92</v>
      </c>
      <c r="E105" s="14" t="str">
        <f aca="false">IF(C105="","",C105*D105/100)</f>
        <v/>
      </c>
      <c r="F105" s="15" t="str">
        <f aca="false">IF(B105&lt;5,"Go","Standard")</f>
        <v>Go</v>
      </c>
    </row>
    <row r="106" customFormat="false" ht="14.25" hidden="false" customHeight="true" outlineLevel="0" collapsed="false">
      <c r="A106" s="10" t="n">
        <f aca="false">Einstellungen!$B$5+INT((ROW()-9)/24)</f>
        <v>45970</v>
      </c>
      <c r="B106" s="11" t="n">
        <f aca="false">MOD(ROW()-9,24)</f>
        <v>1</v>
      </c>
      <c r="C106" s="12"/>
      <c r="D106" s="13" t="n">
        <f aca="false">IF(B106&lt;5,Einstellungen!$B$3,Einstellungen!$B$4)</f>
        <v>15.92</v>
      </c>
      <c r="E106" s="14" t="str">
        <f aca="false">IF(C106="","",C106*D106/100)</f>
        <v/>
      </c>
      <c r="F106" s="15" t="str">
        <f aca="false">IF(B106&lt;5,"Go","Standard")</f>
        <v>Go</v>
      </c>
    </row>
    <row r="107" customFormat="false" ht="14.25" hidden="false" customHeight="true" outlineLevel="0" collapsed="false">
      <c r="A107" s="10" t="n">
        <f aca="false">Einstellungen!$B$5+INT((ROW()-9)/24)</f>
        <v>45970</v>
      </c>
      <c r="B107" s="11" t="n">
        <f aca="false">MOD(ROW()-9,24)</f>
        <v>2</v>
      </c>
      <c r="C107" s="12"/>
      <c r="D107" s="13" t="n">
        <f aca="false">IF(B107&lt;5,Einstellungen!$B$3,Einstellungen!$B$4)</f>
        <v>15.92</v>
      </c>
      <c r="E107" s="14" t="str">
        <f aca="false">IF(C107="","",C107*D107/100)</f>
        <v/>
      </c>
      <c r="F107" s="15" t="str">
        <f aca="false">IF(B107&lt;5,"Go","Standard")</f>
        <v>Go</v>
      </c>
    </row>
    <row r="108" customFormat="false" ht="14.25" hidden="false" customHeight="true" outlineLevel="0" collapsed="false">
      <c r="A108" s="10" t="n">
        <f aca="false">Einstellungen!$B$5+INT((ROW()-9)/24)</f>
        <v>45970</v>
      </c>
      <c r="B108" s="11" t="n">
        <f aca="false">MOD(ROW()-9,24)</f>
        <v>3</v>
      </c>
      <c r="C108" s="12"/>
      <c r="D108" s="13" t="n">
        <f aca="false">IF(B108&lt;5,Einstellungen!$B$3,Einstellungen!$B$4)</f>
        <v>15.92</v>
      </c>
      <c r="E108" s="14" t="str">
        <f aca="false">IF(C108="","",C108*D108/100)</f>
        <v/>
      </c>
      <c r="F108" s="15" t="str">
        <f aca="false">IF(B108&lt;5,"Go","Standard")</f>
        <v>Go</v>
      </c>
    </row>
    <row r="109" customFormat="false" ht="14.25" hidden="false" customHeight="true" outlineLevel="0" collapsed="false">
      <c r="A109" s="10" t="n">
        <f aca="false">Einstellungen!$B$5+INT((ROW()-9)/24)</f>
        <v>45970</v>
      </c>
      <c r="B109" s="11" t="n">
        <f aca="false">MOD(ROW()-9,24)</f>
        <v>4</v>
      </c>
      <c r="C109" s="12"/>
      <c r="D109" s="13" t="n">
        <f aca="false">IF(B109&lt;5,Einstellungen!$B$3,Einstellungen!$B$4)</f>
        <v>15.92</v>
      </c>
      <c r="E109" s="14" t="str">
        <f aca="false">IF(C109="","",C109*D109/100)</f>
        <v/>
      </c>
      <c r="F109" s="15" t="str">
        <f aca="false">IF(B109&lt;5,"Go","Standard")</f>
        <v>Go</v>
      </c>
    </row>
    <row r="110" customFormat="false" ht="14.25" hidden="false" customHeight="true" outlineLevel="0" collapsed="false">
      <c r="A110" s="10" t="n">
        <f aca="false">Einstellungen!$B$5+INT((ROW()-9)/24)</f>
        <v>45970</v>
      </c>
      <c r="B110" s="11" t="n">
        <f aca="false">MOD(ROW()-9,24)</f>
        <v>5</v>
      </c>
      <c r="C110" s="12"/>
      <c r="D110" s="13" t="n">
        <f aca="false">IF(B110&lt;5,Einstellungen!$B$3,Einstellungen!$B$4)</f>
        <v>29.13</v>
      </c>
      <c r="E110" s="14" t="str">
        <f aca="false">IF(C110="","",C110*D110/100)</f>
        <v/>
      </c>
      <c r="F110" s="15" t="str">
        <f aca="false">IF(B110&lt;5,"Go","Standard")</f>
        <v>Standard</v>
      </c>
    </row>
    <row r="111" customFormat="false" ht="14.25" hidden="false" customHeight="true" outlineLevel="0" collapsed="false">
      <c r="A111" s="10" t="n">
        <f aca="false">Einstellungen!$B$5+INT((ROW()-9)/24)</f>
        <v>45970</v>
      </c>
      <c r="B111" s="11" t="n">
        <f aca="false">MOD(ROW()-9,24)</f>
        <v>6</v>
      </c>
      <c r="C111" s="12"/>
      <c r="D111" s="13" t="n">
        <f aca="false">IF(B111&lt;5,Einstellungen!$B$3,Einstellungen!$B$4)</f>
        <v>29.13</v>
      </c>
      <c r="E111" s="14" t="str">
        <f aca="false">IF(C111="","",C111*D111/100)</f>
        <v/>
      </c>
      <c r="F111" s="15" t="str">
        <f aca="false">IF(B111&lt;5,"Go","Standard")</f>
        <v>Standard</v>
      </c>
    </row>
    <row r="112" customFormat="false" ht="14.25" hidden="false" customHeight="true" outlineLevel="0" collapsed="false">
      <c r="A112" s="10" t="n">
        <f aca="false">Einstellungen!$B$5+INT((ROW()-9)/24)</f>
        <v>45970</v>
      </c>
      <c r="B112" s="11" t="n">
        <f aca="false">MOD(ROW()-9,24)</f>
        <v>7</v>
      </c>
      <c r="C112" s="12"/>
      <c r="D112" s="13" t="n">
        <f aca="false">IF(B112&lt;5,Einstellungen!$B$3,Einstellungen!$B$4)</f>
        <v>29.13</v>
      </c>
      <c r="E112" s="14" t="str">
        <f aca="false">IF(C112="","",C112*D112/100)</f>
        <v/>
      </c>
      <c r="F112" s="15" t="str">
        <f aca="false">IF(B112&lt;5,"Go","Standard")</f>
        <v>Standard</v>
      </c>
    </row>
    <row r="113" customFormat="false" ht="14.25" hidden="false" customHeight="true" outlineLevel="0" collapsed="false">
      <c r="A113" s="10" t="n">
        <f aca="false">Einstellungen!$B$5+INT((ROW()-9)/24)</f>
        <v>45970</v>
      </c>
      <c r="B113" s="11" t="n">
        <f aca="false">MOD(ROW()-9,24)</f>
        <v>8</v>
      </c>
      <c r="C113" s="12"/>
      <c r="D113" s="13" t="n">
        <f aca="false">IF(B113&lt;5,Einstellungen!$B$3,Einstellungen!$B$4)</f>
        <v>29.13</v>
      </c>
      <c r="E113" s="14" t="str">
        <f aca="false">IF(C113="","",C113*D113/100)</f>
        <v/>
      </c>
      <c r="F113" s="15" t="str">
        <f aca="false">IF(B113&lt;5,"Go","Standard")</f>
        <v>Standard</v>
      </c>
    </row>
    <row r="114" customFormat="false" ht="14.25" hidden="false" customHeight="true" outlineLevel="0" collapsed="false">
      <c r="A114" s="10" t="n">
        <f aca="false">Einstellungen!$B$5+INT((ROW()-9)/24)</f>
        <v>45970</v>
      </c>
      <c r="B114" s="11" t="n">
        <f aca="false">MOD(ROW()-9,24)</f>
        <v>9</v>
      </c>
      <c r="C114" s="12"/>
      <c r="D114" s="13" t="n">
        <f aca="false">IF(B114&lt;5,Einstellungen!$B$3,Einstellungen!$B$4)</f>
        <v>29.13</v>
      </c>
      <c r="E114" s="14" t="str">
        <f aca="false">IF(C114="","",C114*D114/100)</f>
        <v/>
      </c>
      <c r="F114" s="15" t="str">
        <f aca="false">IF(B114&lt;5,"Go","Standard")</f>
        <v>Standard</v>
      </c>
    </row>
    <row r="115" customFormat="false" ht="14.25" hidden="false" customHeight="true" outlineLevel="0" collapsed="false">
      <c r="A115" s="10" t="n">
        <f aca="false">Einstellungen!$B$5+INT((ROW()-9)/24)</f>
        <v>45970</v>
      </c>
      <c r="B115" s="11" t="n">
        <f aca="false">MOD(ROW()-9,24)</f>
        <v>10</v>
      </c>
      <c r="C115" s="12"/>
      <c r="D115" s="13" t="n">
        <f aca="false">IF(B115&lt;5,Einstellungen!$B$3,Einstellungen!$B$4)</f>
        <v>29.13</v>
      </c>
      <c r="E115" s="14" t="str">
        <f aca="false">IF(C115="","",C115*D115/100)</f>
        <v/>
      </c>
      <c r="F115" s="15" t="str">
        <f aca="false">IF(B115&lt;5,"Go","Standard")</f>
        <v>Standard</v>
      </c>
    </row>
    <row r="116" customFormat="false" ht="14.25" hidden="false" customHeight="true" outlineLevel="0" collapsed="false">
      <c r="A116" s="10" t="n">
        <f aca="false">Einstellungen!$B$5+INT((ROW()-9)/24)</f>
        <v>45970</v>
      </c>
      <c r="B116" s="11" t="n">
        <f aca="false">MOD(ROW()-9,24)</f>
        <v>11</v>
      </c>
      <c r="C116" s="12"/>
      <c r="D116" s="13" t="n">
        <f aca="false">IF(B116&lt;5,Einstellungen!$B$3,Einstellungen!$B$4)</f>
        <v>29.13</v>
      </c>
      <c r="E116" s="14" t="str">
        <f aca="false">IF(C116="","",C116*D116/100)</f>
        <v/>
      </c>
      <c r="F116" s="15" t="str">
        <f aca="false">IF(B116&lt;5,"Go","Standard")</f>
        <v>Standard</v>
      </c>
    </row>
    <row r="117" customFormat="false" ht="14.25" hidden="false" customHeight="true" outlineLevel="0" collapsed="false">
      <c r="A117" s="10" t="n">
        <f aca="false">Einstellungen!$B$5+INT((ROW()-9)/24)</f>
        <v>45970</v>
      </c>
      <c r="B117" s="11" t="n">
        <f aca="false">MOD(ROW()-9,24)</f>
        <v>12</v>
      </c>
      <c r="C117" s="12"/>
      <c r="D117" s="13" t="n">
        <f aca="false">IF(B117&lt;5,Einstellungen!$B$3,Einstellungen!$B$4)</f>
        <v>29.13</v>
      </c>
      <c r="E117" s="14" t="str">
        <f aca="false">IF(C117="","",C117*D117/100)</f>
        <v/>
      </c>
      <c r="F117" s="15" t="str">
        <f aca="false">IF(B117&lt;5,"Go","Standard")</f>
        <v>Standard</v>
      </c>
    </row>
    <row r="118" customFormat="false" ht="14.25" hidden="false" customHeight="true" outlineLevel="0" collapsed="false">
      <c r="A118" s="10" t="n">
        <f aca="false">Einstellungen!$B$5+INT((ROW()-9)/24)</f>
        <v>45970</v>
      </c>
      <c r="B118" s="11" t="n">
        <f aca="false">MOD(ROW()-9,24)</f>
        <v>13</v>
      </c>
      <c r="C118" s="12"/>
      <c r="D118" s="13" t="n">
        <f aca="false">IF(B118&lt;5,Einstellungen!$B$3,Einstellungen!$B$4)</f>
        <v>29.13</v>
      </c>
      <c r="E118" s="14" t="str">
        <f aca="false">IF(C118="","",C118*D118/100)</f>
        <v/>
      </c>
      <c r="F118" s="15" t="str">
        <f aca="false">IF(B118&lt;5,"Go","Standard")</f>
        <v>Standard</v>
      </c>
    </row>
    <row r="119" customFormat="false" ht="14.25" hidden="false" customHeight="true" outlineLevel="0" collapsed="false">
      <c r="A119" s="10" t="n">
        <f aca="false">Einstellungen!$B$5+INT((ROW()-9)/24)</f>
        <v>45970</v>
      </c>
      <c r="B119" s="11" t="n">
        <f aca="false">MOD(ROW()-9,24)</f>
        <v>14</v>
      </c>
      <c r="C119" s="12"/>
      <c r="D119" s="13" t="n">
        <f aca="false">IF(B119&lt;5,Einstellungen!$B$3,Einstellungen!$B$4)</f>
        <v>29.13</v>
      </c>
      <c r="E119" s="14" t="str">
        <f aca="false">IF(C119="","",C119*D119/100)</f>
        <v/>
      </c>
      <c r="F119" s="15" t="str">
        <f aca="false">IF(B119&lt;5,"Go","Standard")</f>
        <v>Standard</v>
      </c>
    </row>
    <row r="120" customFormat="false" ht="14.25" hidden="false" customHeight="true" outlineLevel="0" collapsed="false">
      <c r="A120" s="10" t="n">
        <f aca="false">Einstellungen!$B$5+INT((ROW()-9)/24)</f>
        <v>45970</v>
      </c>
      <c r="B120" s="11" t="n">
        <f aca="false">MOD(ROW()-9,24)</f>
        <v>15</v>
      </c>
      <c r="C120" s="12"/>
      <c r="D120" s="13" t="n">
        <f aca="false">IF(B120&lt;5,Einstellungen!$B$3,Einstellungen!$B$4)</f>
        <v>29.13</v>
      </c>
      <c r="E120" s="14" t="str">
        <f aca="false">IF(C120="","",C120*D120/100)</f>
        <v/>
      </c>
      <c r="F120" s="15" t="str">
        <f aca="false">IF(B120&lt;5,"Go","Standard")</f>
        <v>Standard</v>
      </c>
    </row>
    <row r="121" customFormat="false" ht="14.25" hidden="false" customHeight="true" outlineLevel="0" collapsed="false">
      <c r="A121" s="10" t="n">
        <f aca="false">Einstellungen!$B$5+INT((ROW()-9)/24)</f>
        <v>45970</v>
      </c>
      <c r="B121" s="11" t="n">
        <f aca="false">MOD(ROW()-9,24)</f>
        <v>16</v>
      </c>
      <c r="C121" s="12"/>
      <c r="D121" s="13" t="n">
        <f aca="false">IF(B121&lt;5,Einstellungen!$B$3,Einstellungen!$B$4)</f>
        <v>29.13</v>
      </c>
      <c r="E121" s="14" t="str">
        <f aca="false">IF(C121="","",C121*D121/100)</f>
        <v/>
      </c>
      <c r="F121" s="15" t="str">
        <f aca="false">IF(B121&lt;5,"Go","Standard")</f>
        <v>Standard</v>
      </c>
    </row>
    <row r="122" customFormat="false" ht="14.25" hidden="false" customHeight="true" outlineLevel="0" collapsed="false">
      <c r="A122" s="10" t="n">
        <f aca="false">Einstellungen!$B$5+INT((ROW()-9)/24)</f>
        <v>45970</v>
      </c>
      <c r="B122" s="11" t="n">
        <f aca="false">MOD(ROW()-9,24)</f>
        <v>17</v>
      </c>
      <c r="C122" s="12"/>
      <c r="D122" s="13" t="n">
        <f aca="false">IF(B122&lt;5,Einstellungen!$B$3,Einstellungen!$B$4)</f>
        <v>29.13</v>
      </c>
      <c r="E122" s="14" t="str">
        <f aca="false">IF(C122="","",C122*D122/100)</f>
        <v/>
      </c>
      <c r="F122" s="15" t="str">
        <f aca="false">IF(B122&lt;5,"Go","Standard")</f>
        <v>Standard</v>
      </c>
    </row>
    <row r="123" customFormat="false" ht="14.25" hidden="false" customHeight="true" outlineLevel="0" collapsed="false">
      <c r="A123" s="10" t="n">
        <f aca="false">Einstellungen!$B$5+INT((ROW()-9)/24)</f>
        <v>45970</v>
      </c>
      <c r="B123" s="11" t="n">
        <f aca="false">MOD(ROW()-9,24)</f>
        <v>18</v>
      </c>
      <c r="C123" s="12"/>
      <c r="D123" s="13" t="n">
        <f aca="false">IF(B123&lt;5,Einstellungen!$B$3,Einstellungen!$B$4)</f>
        <v>29.13</v>
      </c>
      <c r="E123" s="14" t="str">
        <f aca="false">IF(C123="","",C123*D123/100)</f>
        <v/>
      </c>
      <c r="F123" s="15" t="str">
        <f aca="false">IF(B123&lt;5,"Go","Standard")</f>
        <v>Standard</v>
      </c>
    </row>
    <row r="124" customFormat="false" ht="14.25" hidden="false" customHeight="true" outlineLevel="0" collapsed="false">
      <c r="A124" s="10" t="n">
        <f aca="false">Einstellungen!$B$5+INT((ROW()-9)/24)</f>
        <v>45970</v>
      </c>
      <c r="B124" s="11" t="n">
        <f aca="false">MOD(ROW()-9,24)</f>
        <v>19</v>
      </c>
      <c r="C124" s="12"/>
      <c r="D124" s="13" t="n">
        <f aca="false">IF(B124&lt;5,Einstellungen!$B$3,Einstellungen!$B$4)</f>
        <v>29.13</v>
      </c>
      <c r="E124" s="14" t="str">
        <f aca="false">IF(C124="","",C124*D124/100)</f>
        <v/>
      </c>
      <c r="F124" s="15" t="str">
        <f aca="false">IF(B124&lt;5,"Go","Standard")</f>
        <v>Standard</v>
      </c>
    </row>
    <row r="125" customFormat="false" ht="14.25" hidden="false" customHeight="true" outlineLevel="0" collapsed="false">
      <c r="A125" s="10" t="n">
        <f aca="false">Einstellungen!$B$5+INT((ROW()-9)/24)</f>
        <v>45970</v>
      </c>
      <c r="B125" s="11" t="n">
        <f aca="false">MOD(ROW()-9,24)</f>
        <v>20</v>
      </c>
      <c r="C125" s="12"/>
      <c r="D125" s="13" t="n">
        <f aca="false">IF(B125&lt;5,Einstellungen!$B$3,Einstellungen!$B$4)</f>
        <v>29.13</v>
      </c>
      <c r="E125" s="14" t="str">
        <f aca="false">IF(C125="","",C125*D125/100)</f>
        <v/>
      </c>
      <c r="F125" s="15" t="str">
        <f aca="false">IF(B125&lt;5,"Go","Standard")</f>
        <v>Standard</v>
      </c>
    </row>
    <row r="126" customFormat="false" ht="14.25" hidden="false" customHeight="true" outlineLevel="0" collapsed="false">
      <c r="A126" s="10" t="n">
        <f aca="false">Einstellungen!$B$5+INT((ROW()-9)/24)</f>
        <v>45970</v>
      </c>
      <c r="B126" s="11" t="n">
        <f aca="false">MOD(ROW()-9,24)</f>
        <v>21</v>
      </c>
      <c r="C126" s="12"/>
      <c r="D126" s="13" t="n">
        <f aca="false">IF(B126&lt;5,Einstellungen!$B$3,Einstellungen!$B$4)</f>
        <v>29.13</v>
      </c>
      <c r="E126" s="14" t="str">
        <f aca="false">IF(C126="","",C126*D126/100)</f>
        <v/>
      </c>
      <c r="F126" s="15" t="str">
        <f aca="false">IF(B126&lt;5,"Go","Standard")</f>
        <v>Standard</v>
      </c>
    </row>
    <row r="127" customFormat="false" ht="14.25" hidden="false" customHeight="true" outlineLevel="0" collapsed="false">
      <c r="A127" s="10" t="n">
        <f aca="false">Einstellungen!$B$5+INT((ROW()-9)/24)</f>
        <v>45970</v>
      </c>
      <c r="B127" s="11" t="n">
        <f aca="false">MOD(ROW()-9,24)</f>
        <v>22</v>
      </c>
      <c r="C127" s="12"/>
      <c r="D127" s="13" t="n">
        <f aca="false">IF(B127&lt;5,Einstellungen!$B$3,Einstellungen!$B$4)</f>
        <v>29.13</v>
      </c>
      <c r="E127" s="14" t="str">
        <f aca="false">IF(C127="","",C127*D127/100)</f>
        <v/>
      </c>
      <c r="F127" s="15" t="str">
        <f aca="false">IF(B127&lt;5,"Go","Standard")</f>
        <v>Standard</v>
      </c>
    </row>
    <row r="128" customFormat="false" ht="14.25" hidden="false" customHeight="true" outlineLevel="0" collapsed="false">
      <c r="A128" s="10" t="n">
        <f aca="false">Einstellungen!$B$5+INT((ROW()-9)/24)</f>
        <v>45970</v>
      </c>
      <c r="B128" s="11" t="n">
        <f aca="false">MOD(ROW()-9,24)</f>
        <v>23</v>
      </c>
      <c r="C128" s="12"/>
      <c r="D128" s="13" t="n">
        <f aca="false">IF(B128&lt;5,Einstellungen!$B$3,Einstellungen!$B$4)</f>
        <v>29.13</v>
      </c>
      <c r="E128" s="14" t="str">
        <f aca="false">IF(C128="","",C128*D128/100)</f>
        <v/>
      </c>
      <c r="F128" s="15" t="str">
        <f aca="false">IF(B128&lt;5,"Go","Standard")</f>
        <v>Standard</v>
      </c>
    </row>
    <row r="129" customFormat="false" ht="14.25" hidden="false" customHeight="true" outlineLevel="0" collapsed="false">
      <c r="A129" s="10" t="n">
        <f aca="false">Einstellungen!$B$5+INT((ROW()-9)/24)</f>
        <v>45971</v>
      </c>
      <c r="B129" s="11" t="n">
        <f aca="false">MOD(ROW()-9,24)</f>
        <v>0</v>
      </c>
      <c r="C129" s="12"/>
      <c r="D129" s="13" t="n">
        <f aca="false">IF(B129&lt;5,Einstellungen!$B$3,Einstellungen!$B$4)</f>
        <v>15.92</v>
      </c>
      <c r="E129" s="14" t="str">
        <f aca="false">IF(C129="","",C129*D129/100)</f>
        <v/>
      </c>
      <c r="F129" s="15" t="str">
        <f aca="false">IF(B129&lt;5,"Go","Standard")</f>
        <v>Go</v>
      </c>
    </row>
    <row r="130" customFormat="false" ht="14.25" hidden="false" customHeight="true" outlineLevel="0" collapsed="false">
      <c r="A130" s="10" t="n">
        <f aca="false">Einstellungen!$B$5+INT((ROW()-9)/24)</f>
        <v>45971</v>
      </c>
      <c r="B130" s="11" t="n">
        <f aca="false">MOD(ROW()-9,24)</f>
        <v>1</v>
      </c>
      <c r="C130" s="12"/>
      <c r="D130" s="13" t="n">
        <f aca="false">IF(B130&lt;5,Einstellungen!$B$3,Einstellungen!$B$4)</f>
        <v>15.92</v>
      </c>
      <c r="E130" s="14" t="str">
        <f aca="false">IF(C130="","",C130*D130/100)</f>
        <v/>
      </c>
      <c r="F130" s="15" t="str">
        <f aca="false">IF(B130&lt;5,"Go","Standard")</f>
        <v>Go</v>
      </c>
    </row>
    <row r="131" customFormat="false" ht="14.25" hidden="false" customHeight="true" outlineLevel="0" collapsed="false">
      <c r="A131" s="10" t="n">
        <f aca="false">Einstellungen!$B$5+INT((ROW()-9)/24)</f>
        <v>45971</v>
      </c>
      <c r="B131" s="11" t="n">
        <f aca="false">MOD(ROW()-9,24)</f>
        <v>2</v>
      </c>
      <c r="C131" s="12"/>
      <c r="D131" s="13" t="n">
        <f aca="false">IF(B131&lt;5,Einstellungen!$B$3,Einstellungen!$B$4)</f>
        <v>15.92</v>
      </c>
      <c r="E131" s="14" t="str">
        <f aca="false">IF(C131="","",C131*D131/100)</f>
        <v/>
      </c>
      <c r="F131" s="15" t="str">
        <f aca="false">IF(B131&lt;5,"Go","Standard")</f>
        <v>Go</v>
      </c>
    </row>
    <row r="132" customFormat="false" ht="14.25" hidden="false" customHeight="true" outlineLevel="0" collapsed="false">
      <c r="A132" s="10" t="n">
        <f aca="false">Einstellungen!$B$5+INT((ROW()-9)/24)</f>
        <v>45971</v>
      </c>
      <c r="B132" s="11" t="n">
        <f aca="false">MOD(ROW()-9,24)</f>
        <v>3</v>
      </c>
      <c r="C132" s="12"/>
      <c r="D132" s="13" t="n">
        <f aca="false">IF(B132&lt;5,Einstellungen!$B$3,Einstellungen!$B$4)</f>
        <v>15.92</v>
      </c>
      <c r="E132" s="14" t="str">
        <f aca="false">IF(C132="","",C132*D132/100)</f>
        <v/>
      </c>
      <c r="F132" s="15" t="str">
        <f aca="false">IF(B132&lt;5,"Go","Standard")</f>
        <v>Go</v>
      </c>
    </row>
    <row r="133" customFormat="false" ht="14.25" hidden="false" customHeight="true" outlineLevel="0" collapsed="false">
      <c r="A133" s="10" t="n">
        <f aca="false">Einstellungen!$B$5+INT((ROW()-9)/24)</f>
        <v>45971</v>
      </c>
      <c r="B133" s="11" t="n">
        <f aca="false">MOD(ROW()-9,24)</f>
        <v>4</v>
      </c>
      <c r="C133" s="12"/>
      <c r="D133" s="13" t="n">
        <f aca="false">IF(B133&lt;5,Einstellungen!$B$3,Einstellungen!$B$4)</f>
        <v>15.92</v>
      </c>
      <c r="E133" s="14" t="str">
        <f aca="false">IF(C133="","",C133*D133/100)</f>
        <v/>
      </c>
      <c r="F133" s="15" t="str">
        <f aca="false">IF(B133&lt;5,"Go","Standard")</f>
        <v>Go</v>
      </c>
    </row>
    <row r="134" customFormat="false" ht="14.25" hidden="false" customHeight="true" outlineLevel="0" collapsed="false">
      <c r="A134" s="10" t="n">
        <f aca="false">Einstellungen!$B$5+INT((ROW()-9)/24)</f>
        <v>45971</v>
      </c>
      <c r="B134" s="11" t="n">
        <f aca="false">MOD(ROW()-9,24)</f>
        <v>5</v>
      </c>
      <c r="C134" s="12"/>
      <c r="D134" s="13" t="n">
        <f aca="false">IF(B134&lt;5,Einstellungen!$B$3,Einstellungen!$B$4)</f>
        <v>29.13</v>
      </c>
      <c r="E134" s="14" t="str">
        <f aca="false">IF(C134="","",C134*D134/100)</f>
        <v/>
      </c>
      <c r="F134" s="15" t="str">
        <f aca="false">IF(B134&lt;5,"Go","Standard")</f>
        <v>Standard</v>
      </c>
    </row>
    <row r="135" customFormat="false" ht="14.25" hidden="false" customHeight="true" outlineLevel="0" collapsed="false">
      <c r="A135" s="10" t="n">
        <f aca="false">Einstellungen!$B$5+INT((ROW()-9)/24)</f>
        <v>45971</v>
      </c>
      <c r="B135" s="11" t="n">
        <f aca="false">MOD(ROW()-9,24)</f>
        <v>6</v>
      </c>
      <c r="C135" s="12"/>
      <c r="D135" s="13" t="n">
        <f aca="false">IF(B135&lt;5,Einstellungen!$B$3,Einstellungen!$B$4)</f>
        <v>29.13</v>
      </c>
      <c r="E135" s="14" t="str">
        <f aca="false">IF(C135="","",C135*D135/100)</f>
        <v/>
      </c>
      <c r="F135" s="15" t="str">
        <f aca="false">IF(B135&lt;5,"Go","Standard")</f>
        <v>Standard</v>
      </c>
    </row>
    <row r="136" customFormat="false" ht="14.25" hidden="false" customHeight="true" outlineLevel="0" collapsed="false">
      <c r="A136" s="10" t="n">
        <f aca="false">Einstellungen!$B$5+INT((ROW()-9)/24)</f>
        <v>45971</v>
      </c>
      <c r="B136" s="11" t="n">
        <f aca="false">MOD(ROW()-9,24)</f>
        <v>7</v>
      </c>
      <c r="C136" s="12"/>
      <c r="D136" s="13" t="n">
        <f aca="false">IF(B136&lt;5,Einstellungen!$B$3,Einstellungen!$B$4)</f>
        <v>29.13</v>
      </c>
      <c r="E136" s="14" t="str">
        <f aca="false">IF(C136="","",C136*D136/100)</f>
        <v/>
      </c>
      <c r="F136" s="15" t="str">
        <f aca="false">IF(B136&lt;5,"Go","Standard")</f>
        <v>Standard</v>
      </c>
    </row>
    <row r="137" customFormat="false" ht="14.25" hidden="false" customHeight="true" outlineLevel="0" collapsed="false">
      <c r="A137" s="10" t="n">
        <f aca="false">Einstellungen!$B$5+INT((ROW()-9)/24)</f>
        <v>45971</v>
      </c>
      <c r="B137" s="11" t="n">
        <f aca="false">MOD(ROW()-9,24)</f>
        <v>8</v>
      </c>
      <c r="C137" s="12"/>
      <c r="D137" s="13" t="n">
        <f aca="false">IF(B137&lt;5,Einstellungen!$B$3,Einstellungen!$B$4)</f>
        <v>29.13</v>
      </c>
      <c r="E137" s="14" t="str">
        <f aca="false">IF(C137="","",C137*D137/100)</f>
        <v/>
      </c>
      <c r="F137" s="15" t="str">
        <f aca="false">IF(B137&lt;5,"Go","Standard")</f>
        <v>Standard</v>
      </c>
    </row>
    <row r="138" customFormat="false" ht="14.25" hidden="false" customHeight="true" outlineLevel="0" collapsed="false">
      <c r="A138" s="10" t="n">
        <f aca="false">Einstellungen!$B$5+INT((ROW()-9)/24)</f>
        <v>45971</v>
      </c>
      <c r="B138" s="11" t="n">
        <f aca="false">MOD(ROW()-9,24)</f>
        <v>9</v>
      </c>
      <c r="C138" s="12"/>
      <c r="D138" s="13" t="n">
        <f aca="false">IF(B138&lt;5,Einstellungen!$B$3,Einstellungen!$B$4)</f>
        <v>29.13</v>
      </c>
      <c r="E138" s="14" t="str">
        <f aca="false">IF(C138="","",C138*D138/100)</f>
        <v/>
      </c>
      <c r="F138" s="15" t="str">
        <f aca="false">IF(B138&lt;5,"Go","Standard")</f>
        <v>Standard</v>
      </c>
    </row>
    <row r="139" customFormat="false" ht="14.25" hidden="false" customHeight="true" outlineLevel="0" collapsed="false">
      <c r="A139" s="10" t="n">
        <f aca="false">Einstellungen!$B$5+INT((ROW()-9)/24)</f>
        <v>45971</v>
      </c>
      <c r="B139" s="11" t="n">
        <f aca="false">MOD(ROW()-9,24)</f>
        <v>10</v>
      </c>
      <c r="C139" s="12"/>
      <c r="D139" s="13" t="n">
        <f aca="false">IF(B139&lt;5,Einstellungen!$B$3,Einstellungen!$B$4)</f>
        <v>29.13</v>
      </c>
      <c r="E139" s="14" t="str">
        <f aca="false">IF(C139="","",C139*D139/100)</f>
        <v/>
      </c>
      <c r="F139" s="15" t="str">
        <f aca="false">IF(B139&lt;5,"Go","Standard")</f>
        <v>Standard</v>
      </c>
    </row>
    <row r="140" customFormat="false" ht="14.25" hidden="false" customHeight="true" outlineLevel="0" collapsed="false">
      <c r="A140" s="10" t="n">
        <f aca="false">Einstellungen!$B$5+INT((ROW()-9)/24)</f>
        <v>45971</v>
      </c>
      <c r="B140" s="11" t="n">
        <f aca="false">MOD(ROW()-9,24)</f>
        <v>11</v>
      </c>
      <c r="C140" s="12"/>
      <c r="D140" s="13" t="n">
        <f aca="false">IF(B140&lt;5,Einstellungen!$B$3,Einstellungen!$B$4)</f>
        <v>29.13</v>
      </c>
      <c r="E140" s="14" t="str">
        <f aca="false">IF(C140="","",C140*D140/100)</f>
        <v/>
      </c>
      <c r="F140" s="15" t="str">
        <f aca="false">IF(B140&lt;5,"Go","Standard")</f>
        <v>Standard</v>
      </c>
    </row>
    <row r="141" customFormat="false" ht="14.25" hidden="false" customHeight="true" outlineLevel="0" collapsed="false">
      <c r="A141" s="10" t="n">
        <f aca="false">Einstellungen!$B$5+INT((ROW()-9)/24)</f>
        <v>45971</v>
      </c>
      <c r="B141" s="11" t="n">
        <f aca="false">MOD(ROW()-9,24)</f>
        <v>12</v>
      </c>
      <c r="C141" s="12"/>
      <c r="D141" s="13" t="n">
        <f aca="false">IF(B141&lt;5,Einstellungen!$B$3,Einstellungen!$B$4)</f>
        <v>29.13</v>
      </c>
      <c r="E141" s="14" t="str">
        <f aca="false">IF(C141="","",C141*D141/100)</f>
        <v/>
      </c>
      <c r="F141" s="15" t="str">
        <f aca="false">IF(B141&lt;5,"Go","Standard")</f>
        <v>Standard</v>
      </c>
    </row>
    <row r="142" customFormat="false" ht="14.25" hidden="false" customHeight="true" outlineLevel="0" collapsed="false">
      <c r="A142" s="10" t="n">
        <f aca="false">Einstellungen!$B$5+INT((ROW()-9)/24)</f>
        <v>45971</v>
      </c>
      <c r="B142" s="11" t="n">
        <f aca="false">MOD(ROW()-9,24)</f>
        <v>13</v>
      </c>
      <c r="C142" s="12"/>
      <c r="D142" s="13" t="n">
        <f aca="false">IF(B142&lt;5,Einstellungen!$B$3,Einstellungen!$B$4)</f>
        <v>29.13</v>
      </c>
      <c r="E142" s="14" t="str">
        <f aca="false">IF(C142="","",C142*D142/100)</f>
        <v/>
      </c>
      <c r="F142" s="15" t="str">
        <f aca="false">IF(B142&lt;5,"Go","Standard")</f>
        <v>Standard</v>
      </c>
    </row>
    <row r="143" customFormat="false" ht="14.25" hidden="false" customHeight="true" outlineLevel="0" collapsed="false">
      <c r="A143" s="10" t="n">
        <f aca="false">Einstellungen!$B$5+INT((ROW()-9)/24)</f>
        <v>45971</v>
      </c>
      <c r="B143" s="11" t="n">
        <f aca="false">MOD(ROW()-9,24)</f>
        <v>14</v>
      </c>
      <c r="C143" s="12"/>
      <c r="D143" s="13" t="n">
        <f aca="false">IF(B143&lt;5,Einstellungen!$B$3,Einstellungen!$B$4)</f>
        <v>29.13</v>
      </c>
      <c r="E143" s="14" t="str">
        <f aca="false">IF(C143="","",C143*D143/100)</f>
        <v/>
      </c>
      <c r="F143" s="15" t="str">
        <f aca="false">IF(B143&lt;5,"Go","Standard")</f>
        <v>Standard</v>
      </c>
    </row>
    <row r="144" customFormat="false" ht="14.25" hidden="false" customHeight="true" outlineLevel="0" collapsed="false">
      <c r="A144" s="10" t="n">
        <f aca="false">Einstellungen!$B$5+INT((ROW()-9)/24)</f>
        <v>45971</v>
      </c>
      <c r="B144" s="11" t="n">
        <f aca="false">MOD(ROW()-9,24)</f>
        <v>15</v>
      </c>
      <c r="C144" s="12"/>
      <c r="D144" s="13" t="n">
        <f aca="false">IF(B144&lt;5,Einstellungen!$B$3,Einstellungen!$B$4)</f>
        <v>29.13</v>
      </c>
      <c r="E144" s="14" t="str">
        <f aca="false">IF(C144="","",C144*D144/100)</f>
        <v/>
      </c>
      <c r="F144" s="15" t="str">
        <f aca="false">IF(B144&lt;5,"Go","Standard")</f>
        <v>Standard</v>
      </c>
    </row>
    <row r="145" customFormat="false" ht="14.25" hidden="false" customHeight="true" outlineLevel="0" collapsed="false">
      <c r="A145" s="10" t="n">
        <f aca="false">Einstellungen!$B$5+INT((ROW()-9)/24)</f>
        <v>45971</v>
      </c>
      <c r="B145" s="11" t="n">
        <f aca="false">MOD(ROW()-9,24)</f>
        <v>16</v>
      </c>
      <c r="C145" s="12"/>
      <c r="D145" s="13" t="n">
        <f aca="false">IF(B145&lt;5,Einstellungen!$B$3,Einstellungen!$B$4)</f>
        <v>29.13</v>
      </c>
      <c r="E145" s="14" t="str">
        <f aca="false">IF(C145="","",C145*D145/100)</f>
        <v/>
      </c>
      <c r="F145" s="15" t="str">
        <f aca="false">IF(B145&lt;5,"Go","Standard")</f>
        <v>Standard</v>
      </c>
    </row>
    <row r="146" customFormat="false" ht="14.25" hidden="false" customHeight="true" outlineLevel="0" collapsed="false">
      <c r="A146" s="10" t="n">
        <f aca="false">Einstellungen!$B$5+INT((ROW()-9)/24)</f>
        <v>45971</v>
      </c>
      <c r="B146" s="11" t="n">
        <f aca="false">MOD(ROW()-9,24)</f>
        <v>17</v>
      </c>
      <c r="C146" s="12"/>
      <c r="D146" s="13" t="n">
        <f aca="false">IF(B146&lt;5,Einstellungen!$B$3,Einstellungen!$B$4)</f>
        <v>29.13</v>
      </c>
      <c r="E146" s="14" t="str">
        <f aca="false">IF(C146="","",C146*D146/100)</f>
        <v/>
      </c>
      <c r="F146" s="15" t="str">
        <f aca="false">IF(B146&lt;5,"Go","Standard")</f>
        <v>Standard</v>
      </c>
    </row>
    <row r="147" customFormat="false" ht="14.25" hidden="false" customHeight="true" outlineLevel="0" collapsed="false">
      <c r="A147" s="10" t="n">
        <f aca="false">Einstellungen!$B$5+INT((ROW()-9)/24)</f>
        <v>45971</v>
      </c>
      <c r="B147" s="11" t="n">
        <f aca="false">MOD(ROW()-9,24)</f>
        <v>18</v>
      </c>
      <c r="C147" s="12"/>
      <c r="D147" s="13" t="n">
        <f aca="false">IF(B147&lt;5,Einstellungen!$B$3,Einstellungen!$B$4)</f>
        <v>29.13</v>
      </c>
      <c r="E147" s="14" t="str">
        <f aca="false">IF(C147="","",C147*D147/100)</f>
        <v/>
      </c>
      <c r="F147" s="15" t="str">
        <f aca="false">IF(B147&lt;5,"Go","Standard")</f>
        <v>Standard</v>
      </c>
    </row>
    <row r="148" customFormat="false" ht="14.25" hidden="false" customHeight="true" outlineLevel="0" collapsed="false">
      <c r="A148" s="10" t="n">
        <f aca="false">Einstellungen!$B$5+INT((ROW()-9)/24)</f>
        <v>45971</v>
      </c>
      <c r="B148" s="11" t="n">
        <f aca="false">MOD(ROW()-9,24)</f>
        <v>19</v>
      </c>
      <c r="C148" s="12"/>
      <c r="D148" s="13" t="n">
        <f aca="false">IF(B148&lt;5,Einstellungen!$B$3,Einstellungen!$B$4)</f>
        <v>29.13</v>
      </c>
      <c r="E148" s="14" t="str">
        <f aca="false">IF(C148="","",C148*D148/100)</f>
        <v/>
      </c>
      <c r="F148" s="15" t="str">
        <f aca="false">IF(B148&lt;5,"Go","Standard")</f>
        <v>Standard</v>
      </c>
    </row>
    <row r="149" customFormat="false" ht="14.25" hidden="false" customHeight="true" outlineLevel="0" collapsed="false">
      <c r="A149" s="10" t="n">
        <f aca="false">Einstellungen!$B$5+INT((ROW()-9)/24)</f>
        <v>45971</v>
      </c>
      <c r="B149" s="11" t="n">
        <f aca="false">MOD(ROW()-9,24)</f>
        <v>20</v>
      </c>
      <c r="C149" s="12"/>
      <c r="D149" s="13" t="n">
        <f aca="false">IF(B149&lt;5,Einstellungen!$B$3,Einstellungen!$B$4)</f>
        <v>29.13</v>
      </c>
      <c r="E149" s="14" t="str">
        <f aca="false">IF(C149="","",C149*D149/100)</f>
        <v/>
      </c>
      <c r="F149" s="15" t="str">
        <f aca="false">IF(B149&lt;5,"Go","Standard")</f>
        <v>Standard</v>
      </c>
    </row>
    <row r="150" customFormat="false" ht="14.25" hidden="false" customHeight="true" outlineLevel="0" collapsed="false">
      <c r="A150" s="10" t="n">
        <f aca="false">Einstellungen!$B$5+INT((ROW()-9)/24)</f>
        <v>45971</v>
      </c>
      <c r="B150" s="11" t="n">
        <f aca="false">MOD(ROW()-9,24)</f>
        <v>21</v>
      </c>
      <c r="C150" s="12"/>
      <c r="D150" s="13" t="n">
        <f aca="false">IF(B150&lt;5,Einstellungen!$B$3,Einstellungen!$B$4)</f>
        <v>29.13</v>
      </c>
      <c r="E150" s="14" t="str">
        <f aca="false">IF(C150="","",C150*D150/100)</f>
        <v/>
      </c>
      <c r="F150" s="15" t="str">
        <f aca="false">IF(B150&lt;5,"Go","Standard")</f>
        <v>Standard</v>
      </c>
    </row>
    <row r="151" customFormat="false" ht="14.25" hidden="false" customHeight="true" outlineLevel="0" collapsed="false">
      <c r="A151" s="10" t="n">
        <f aca="false">Einstellungen!$B$5+INT((ROW()-9)/24)</f>
        <v>45971</v>
      </c>
      <c r="B151" s="11" t="n">
        <f aca="false">MOD(ROW()-9,24)</f>
        <v>22</v>
      </c>
      <c r="C151" s="12"/>
      <c r="D151" s="13" t="n">
        <f aca="false">IF(B151&lt;5,Einstellungen!$B$3,Einstellungen!$B$4)</f>
        <v>29.13</v>
      </c>
      <c r="E151" s="14" t="str">
        <f aca="false">IF(C151="","",C151*D151/100)</f>
        <v/>
      </c>
      <c r="F151" s="15" t="str">
        <f aca="false">IF(B151&lt;5,"Go","Standard")</f>
        <v>Standard</v>
      </c>
    </row>
    <row r="152" customFormat="false" ht="14.25" hidden="false" customHeight="true" outlineLevel="0" collapsed="false">
      <c r="A152" s="10" t="n">
        <f aca="false">Einstellungen!$B$5+INT((ROW()-9)/24)</f>
        <v>45971</v>
      </c>
      <c r="B152" s="11" t="n">
        <f aca="false">MOD(ROW()-9,24)</f>
        <v>23</v>
      </c>
      <c r="C152" s="12"/>
      <c r="D152" s="13" t="n">
        <f aca="false">IF(B152&lt;5,Einstellungen!$B$3,Einstellungen!$B$4)</f>
        <v>29.13</v>
      </c>
      <c r="E152" s="14" t="str">
        <f aca="false">IF(C152="","",C152*D152/100)</f>
        <v/>
      </c>
      <c r="F152" s="15" t="str">
        <f aca="false">IF(B152&lt;5,"Go","Standard")</f>
        <v>Standard</v>
      </c>
    </row>
    <row r="153" customFormat="false" ht="14.25" hidden="false" customHeight="true" outlineLevel="0" collapsed="false">
      <c r="A153" s="10" t="n">
        <f aca="false">Einstellungen!$B$5+INT((ROW()-9)/24)</f>
        <v>45972</v>
      </c>
      <c r="B153" s="11" t="n">
        <f aca="false">MOD(ROW()-9,24)</f>
        <v>0</v>
      </c>
      <c r="C153" s="12"/>
      <c r="D153" s="13" t="n">
        <f aca="false">IF(B153&lt;5,Einstellungen!$B$3,Einstellungen!$B$4)</f>
        <v>15.92</v>
      </c>
      <c r="E153" s="14" t="str">
        <f aca="false">IF(C153="","",C153*D153/100)</f>
        <v/>
      </c>
      <c r="F153" s="15" t="str">
        <f aca="false">IF(B153&lt;5,"Go","Standard")</f>
        <v>Go</v>
      </c>
    </row>
    <row r="154" customFormat="false" ht="14.25" hidden="false" customHeight="true" outlineLevel="0" collapsed="false">
      <c r="A154" s="10" t="n">
        <f aca="false">Einstellungen!$B$5+INT((ROW()-9)/24)</f>
        <v>45972</v>
      </c>
      <c r="B154" s="11" t="n">
        <f aca="false">MOD(ROW()-9,24)</f>
        <v>1</v>
      </c>
      <c r="C154" s="12"/>
      <c r="D154" s="13" t="n">
        <f aca="false">IF(B154&lt;5,Einstellungen!$B$3,Einstellungen!$B$4)</f>
        <v>15.92</v>
      </c>
      <c r="E154" s="14" t="str">
        <f aca="false">IF(C154="","",C154*D154/100)</f>
        <v/>
      </c>
      <c r="F154" s="15" t="str">
        <f aca="false">IF(B154&lt;5,"Go","Standard")</f>
        <v>Go</v>
      </c>
    </row>
    <row r="155" customFormat="false" ht="14.25" hidden="false" customHeight="true" outlineLevel="0" collapsed="false">
      <c r="A155" s="10" t="n">
        <f aca="false">Einstellungen!$B$5+INT((ROW()-9)/24)</f>
        <v>45972</v>
      </c>
      <c r="B155" s="11" t="n">
        <f aca="false">MOD(ROW()-9,24)</f>
        <v>2</v>
      </c>
      <c r="C155" s="12"/>
      <c r="D155" s="13" t="n">
        <f aca="false">IF(B155&lt;5,Einstellungen!$B$3,Einstellungen!$B$4)</f>
        <v>15.92</v>
      </c>
      <c r="E155" s="14" t="str">
        <f aca="false">IF(C155="","",C155*D155/100)</f>
        <v/>
      </c>
      <c r="F155" s="15" t="str">
        <f aca="false">IF(B155&lt;5,"Go","Standard")</f>
        <v>Go</v>
      </c>
    </row>
    <row r="156" customFormat="false" ht="14.25" hidden="false" customHeight="true" outlineLevel="0" collapsed="false">
      <c r="A156" s="10" t="n">
        <f aca="false">Einstellungen!$B$5+INT((ROW()-9)/24)</f>
        <v>45972</v>
      </c>
      <c r="B156" s="11" t="n">
        <f aca="false">MOD(ROW()-9,24)</f>
        <v>3</v>
      </c>
      <c r="C156" s="12"/>
      <c r="D156" s="13" t="n">
        <f aca="false">IF(B156&lt;5,Einstellungen!$B$3,Einstellungen!$B$4)</f>
        <v>15.92</v>
      </c>
      <c r="E156" s="14" t="str">
        <f aca="false">IF(C156="","",C156*D156/100)</f>
        <v/>
      </c>
      <c r="F156" s="15" t="str">
        <f aca="false">IF(B156&lt;5,"Go","Standard")</f>
        <v>Go</v>
      </c>
    </row>
    <row r="157" customFormat="false" ht="14.25" hidden="false" customHeight="true" outlineLevel="0" collapsed="false">
      <c r="A157" s="10" t="n">
        <f aca="false">Einstellungen!$B$5+INT((ROW()-9)/24)</f>
        <v>45972</v>
      </c>
      <c r="B157" s="11" t="n">
        <f aca="false">MOD(ROW()-9,24)</f>
        <v>4</v>
      </c>
      <c r="C157" s="12"/>
      <c r="D157" s="13" t="n">
        <f aca="false">IF(B157&lt;5,Einstellungen!$B$3,Einstellungen!$B$4)</f>
        <v>15.92</v>
      </c>
      <c r="E157" s="14" t="str">
        <f aca="false">IF(C157="","",C157*D157/100)</f>
        <v/>
      </c>
      <c r="F157" s="15" t="str">
        <f aca="false">IF(B157&lt;5,"Go","Standard")</f>
        <v>Go</v>
      </c>
    </row>
    <row r="158" customFormat="false" ht="14.25" hidden="false" customHeight="true" outlineLevel="0" collapsed="false">
      <c r="A158" s="10" t="n">
        <f aca="false">Einstellungen!$B$5+INT((ROW()-9)/24)</f>
        <v>45972</v>
      </c>
      <c r="B158" s="11" t="n">
        <f aca="false">MOD(ROW()-9,24)</f>
        <v>5</v>
      </c>
      <c r="C158" s="12"/>
      <c r="D158" s="13" t="n">
        <f aca="false">IF(B158&lt;5,Einstellungen!$B$3,Einstellungen!$B$4)</f>
        <v>29.13</v>
      </c>
      <c r="E158" s="14" t="str">
        <f aca="false">IF(C158="","",C158*D158/100)</f>
        <v/>
      </c>
      <c r="F158" s="15" t="str">
        <f aca="false">IF(B158&lt;5,"Go","Standard")</f>
        <v>Standard</v>
      </c>
    </row>
    <row r="159" customFormat="false" ht="14.25" hidden="false" customHeight="true" outlineLevel="0" collapsed="false">
      <c r="A159" s="10" t="n">
        <f aca="false">Einstellungen!$B$5+INT((ROW()-9)/24)</f>
        <v>45972</v>
      </c>
      <c r="B159" s="11" t="n">
        <f aca="false">MOD(ROW()-9,24)</f>
        <v>6</v>
      </c>
      <c r="C159" s="12"/>
      <c r="D159" s="13" t="n">
        <f aca="false">IF(B159&lt;5,Einstellungen!$B$3,Einstellungen!$B$4)</f>
        <v>29.13</v>
      </c>
      <c r="E159" s="14" t="str">
        <f aca="false">IF(C159="","",C159*D159/100)</f>
        <v/>
      </c>
      <c r="F159" s="15" t="str">
        <f aca="false">IF(B159&lt;5,"Go","Standard")</f>
        <v>Standard</v>
      </c>
    </row>
    <row r="160" customFormat="false" ht="14.25" hidden="false" customHeight="true" outlineLevel="0" collapsed="false">
      <c r="A160" s="10" t="n">
        <f aca="false">Einstellungen!$B$5+INT((ROW()-9)/24)</f>
        <v>45972</v>
      </c>
      <c r="B160" s="11" t="n">
        <f aca="false">MOD(ROW()-9,24)</f>
        <v>7</v>
      </c>
      <c r="C160" s="12"/>
      <c r="D160" s="13" t="n">
        <f aca="false">IF(B160&lt;5,Einstellungen!$B$3,Einstellungen!$B$4)</f>
        <v>29.13</v>
      </c>
      <c r="E160" s="14" t="str">
        <f aca="false">IF(C160="","",C160*D160/100)</f>
        <v/>
      </c>
      <c r="F160" s="15" t="str">
        <f aca="false">IF(B160&lt;5,"Go","Standard")</f>
        <v>Standard</v>
      </c>
    </row>
    <row r="161" customFormat="false" ht="14.25" hidden="false" customHeight="true" outlineLevel="0" collapsed="false">
      <c r="A161" s="10" t="n">
        <f aca="false">Einstellungen!$B$5+INT((ROW()-9)/24)</f>
        <v>45972</v>
      </c>
      <c r="B161" s="11" t="n">
        <f aca="false">MOD(ROW()-9,24)</f>
        <v>8</v>
      </c>
      <c r="C161" s="12"/>
      <c r="D161" s="13" t="n">
        <f aca="false">IF(B161&lt;5,Einstellungen!$B$3,Einstellungen!$B$4)</f>
        <v>29.13</v>
      </c>
      <c r="E161" s="14" t="str">
        <f aca="false">IF(C161="","",C161*D161/100)</f>
        <v/>
      </c>
      <c r="F161" s="15" t="str">
        <f aca="false">IF(B161&lt;5,"Go","Standard")</f>
        <v>Standard</v>
      </c>
    </row>
    <row r="162" customFormat="false" ht="14.25" hidden="false" customHeight="true" outlineLevel="0" collapsed="false">
      <c r="A162" s="10" t="n">
        <f aca="false">Einstellungen!$B$5+INT((ROW()-9)/24)</f>
        <v>45972</v>
      </c>
      <c r="B162" s="11" t="n">
        <f aca="false">MOD(ROW()-9,24)</f>
        <v>9</v>
      </c>
      <c r="C162" s="12"/>
      <c r="D162" s="13" t="n">
        <f aca="false">IF(B162&lt;5,Einstellungen!$B$3,Einstellungen!$B$4)</f>
        <v>29.13</v>
      </c>
      <c r="E162" s="14" t="str">
        <f aca="false">IF(C162="","",C162*D162/100)</f>
        <v/>
      </c>
      <c r="F162" s="15" t="str">
        <f aca="false">IF(B162&lt;5,"Go","Standard")</f>
        <v>Standard</v>
      </c>
    </row>
    <row r="163" customFormat="false" ht="14.25" hidden="false" customHeight="true" outlineLevel="0" collapsed="false">
      <c r="A163" s="10" t="n">
        <f aca="false">Einstellungen!$B$5+INT((ROW()-9)/24)</f>
        <v>45972</v>
      </c>
      <c r="B163" s="11" t="n">
        <f aca="false">MOD(ROW()-9,24)</f>
        <v>10</v>
      </c>
      <c r="C163" s="12"/>
      <c r="D163" s="13" t="n">
        <f aca="false">IF(B163&lt;5,Einstellungen!$B$3,Einstellungen!$B$4)</f>
        <v>29.13</v>
      </c>
      <c r="E163" s="14" t="str">
        <f aca="false">IF(C163="","",C163*D163/100)</f>
        <v/>
      </c>
      <c r="F163" s="15" t="str">
        <f aca="false">IF(B163&lt;5,"Go","Standard")</f>
        <v>Standard</v>
      </c>
    </row>
    <row r="164" customFormat="false" ht="14.25" hidden="false" customHeight="true" outlineLevel="0" collapsed="false">
      <c r="A164" s="10" t="n">
        <f aca="false">Einstellungen!$B$5+INT((ROW()-9)/24)</f>
        <v>45972</v>
      </c>
      <c r="B164" s="11" t="n">
        <f aca="false">MOD(ROW()-9,24)</f>
        <v>11</v>
      </c>
      <c r="C164" s="12"/>
      <c r="D164" s="13" t="n">
        <f aca="false">IF(B164&lt;5,Einstellungen!$B$3,Einstellungen!$B$4)</f>
        <v>29.13</v>
      </c>
      <c r="E164" s="14" t="str">
        <f aca="false">IF(C164="","",C164*D164/100)</f>
        <v/>
      </c>
      <c r="F164" s="15" t="str">
        <f aca="false">IF(B164&lt;5,"Go","Standard")</f>
        <v>Standard</v>
      </c>
    </row>
    <row r="165" customFormat="false" ht="14.25" hidden="false" customHeight="true" outlineLevel="0" collapsed="false">
      <c r="A165" s="10" t="n">
        <f aca="false">Einstellungen!$B$5+INT((ROW()-9)/24)</f>
        <v>45972</v>
      </c>
      <c r="B165" s="11" t="n">
        <f aca="false">MOD(ROW()-9,24)</f>
        <v>12</v>
      </c>
      <c r="C165" s="12"/>
      <c r="D165" s="13" t="n">
        <f aca="false">IF(B165&lt;5,Einstellungen!$B$3,Einstellungen!$B$4)</f>
        <v>29.13</v>
      </c>
      <c r="E165" s="14" t="str">
        <f aca="false">IF(C165="","",C165*D165/100)</f>
        <v/>
      </c>
      <c r="F165" s="15" t="str">
        <f aca="false">IF(B165&lt;5,"Go","Standard")</f>
        <v>Standard</v>
      </c>
    </row>
    <row r="166" customFormat="false" ht="14.25" hidden="false" customHeight="true" outlineLevel="0" collapsed="false">
      <c r="A166" s="10" t="n">
        <f aca="false">Einstellungen!$B$5+INT((ROW()-9)/24)</f>
        <v>45972</v>
      </c>
      <c r="B166" s="11" t="n">
        <f aca="false">MOD(ROW()-9,24)</f>
        <v>13</v>
      </c>
      <c r="C166" s="12"/>
      <c r="D166" s="13" t="n">
        <f aca="false">IF(B166&lt;5,Einstellungen!$B$3,Einstellungen!$B$4)</f>
        <v>29.13</v>
      </c>
      <c r="E166" s="14" t="str">
        <f aca="false">IF(C166="","",C166*D166/100)</f>
        <v/>
      </c>
      <c r="F166" s="15" t="str">
        <f aca="false">IF(B166&lt;5,"Go","Standard")</f>
        <v>Standard</v>
      </c>
    </row>
    <row r="167" customFormat="false" ht="14.25" hidden="false" customHeight="true" outlineLevel="0" collapsed="false">
      <c r="A167" s="10" t="n">
        <f aca="false">Einstellungen!$B$5+INT((ROW()-9)/24)</f>
        <v>45972</v>
      </c>
      <c r="B167" s="11" t="n">
        <f aca="false">MOD(ROW()-9,24)</f>
        <v>14</v>
      </c>
      <c r="C167" s="12"/>
      <c r="D167" s="13" t="n">
        <f aca="false">IF(B167&lt;5,Einstellungen!$B$3,Einstellungen!$B$4)</f>
        <v>29.13</v>
      </c>
      <c r="E167" s="14" t="str">
        <f aca="false">IF(C167="","",C167*D167/100)</f>
        <v/>
      </c>
      <c r="F167" s="15" t="str">
        <f aca="false">IF(B167&lt;5,"Go","Standard")</f>
        <v>Standard</v>
      </c>
    </row>
    <row r="168" customFormat="false" ht="14.25" hidden="false" customHeight="true" outlineLevel="0" collapsed="false">
      <c r="A168" s="10" t="n">
        <f aca="false">Einstellungen!$B$5+INT((ROW()-9)/24)</f>
        <v>45972</v>
      </c>
      <c r="B168" s="11" t="n">
        <f aca="false">MOD(ROW()-9,24)</f>
        <v>15</v>
      </c>
      <c r="C168" s="12"/>
      <c r="D168" s="13" t="n">
        <f aca="false">IF(B168&lt;5,Einstellungen!$B$3,Einstellungen!$B$4)</f>
        <v>29.13</v>
      </c>
      <c r="E168" s="14" t="str">
        <f aca="false">IF(C168="","",C168*D168/100)</f>
        <v/>
      </c>
      <c r="F168" s="15" t="str">
        <f aca="false">IF(B168&lt;5,"Go","Standard")</f>
        <v>Standard</v>
      </c>
    </row>
    <row r="169" customFormat="false" ht="14.25" hidden="false" customHeight="true" outlineLevel="0" collapsed="false">
      <c r="A169" s="10" t="n">
        <f aca="false">Einstellungen!$B$5+INT((ROW()-9)/24)</f>
        <v>45972</v>
      </c>
      <c r="B169" s="11" t="n">
        <f aca="false">MOD(ROW()-9,24)</f>
        <v>16</v>
      </c>
      <c r="C169" s="12"/>
      <c r="D169" s="13" t="n">
        <f aca="false">IF(B169&lt;5,Einstellungen!$B$3,Einstellungen!$B$4)</f>
        <v>29.13</v>
      </c>
      <c r="E169" s="14" t="str">
        <f aca="false">IF(C169="","",C169*D169/100)</f>
        <v/>
      </c>
      <c r="F169" s="15" t="str">
        <f aca="false">IF(B169&lt;5,"Go","Standard")</f>
        <v>Standard</v>
      </c>
    </row>
    <row r="170" customFormat="false" ht="14.25" hidden="false" customHeight="true" outlineLevel="0" collapsed="false">
      <c r="A170" s="10" t="n">
        <f aca="false">Einstellungen!$B$5+INT((ROW()-9)/24)</f>
        <v>45972</v>
      </c>
      <c r="B170" s="11" t="n">
        <f aca="false">MOD(ROW()-9,24)</f>
        <v>17</v>
      </c>
      <c r="C170" s="12"/>
      <c r="D170" s="13" t="n">
        <f aca="false">IF(B170&lt;5,Einstellungen!$B$3,Einstellungen!$B$4)</f>
        <v>29.13</v>
      </c>
      <c r="E170" s="14" t="str">
        <f aca="false">IF(C170="","",C170*D170/100)</f>
        <v/>
      </c>
      <c r="F170" s="15" t="str">
        <f aca="false">IF(B170&lt;5,"Go","Standard")</f>
        <v>Standard</v>
      </c>
    </row>
    <row r="171" customFormat="false" ht="14.25" hidden="false" customHeight="true" outlineLevel="0" collapsed="false">
      <c r="A171" s="10" t="n">
        <f aca="false">Einstellungen!$B$5+INT((ROW()-9)/24)</f>
        <v>45972</v>
      </c>
      <c r="B171" s="11" t="n">
        <f aca="false">MOD(ROW()-9,24)</f>
        <v>18</v>
      </c>
      <c r="C171" s="12"/>
      <c r="D171" s="13" t="n">
        <f aca="false">IF(B171&lt;5,Einstellungen!$B$3,Einstellungen!$B$4)</f>
        <v>29.13</v>
      </c>
      <c r="E171" s="14" t="str">
        <f aca="false">IF(C171="","",C171*D171/100)</f>
        <v/>
      </c>
      <c r="F171" s="15" t="str">
        <f aca="false">IF(B171&lt;5,"Go","Standard")</f>
        <v>Standard</v>
      </c>
    </row>
    <row r="172" customFormat="false" ht="14.25" hidden="false" customHeight="true" outlineLevel="0" collapsed="false">
      <c r="A172" s="10" t="n">
        <f aca="false">Einstellungen!$B$5+INT((ROW()-9)/24)</f>
        <v>45972</v>
      </c>
      <c r="B172" s="11" t="n">
        <f aca="false">MOD(ROW()-9,24)</f>
        <v>19</v>
      </c>
      <c r="C172" s="12"/>
      <c r="D172" s="13" t="n">
        <f aca="false">IF(B172&lt;5,Einstellungen!$B$3,Einstellungen!$B$4)</f>
        <v>29.13</v>
      </c>
      <c r="E172" s="14" t="str">
        <f aca="false">IF(C172="","",C172*D172/100)</f>
        <v/>
      </c>
      <c r="F172" s="15" t="str">
        <f aca="false">IF(B172&lt;5,"Go","Standard")</f>
        <v>Standard</v>
      </c>
    </row>
    <row r="173" customFormat="false" ht="14.25" hidden="false" customHeight="true" outlineLevel="0" collapsed="false">
      <c r="A173" s="10" t="n">
        <f aca="false">Einstellungen!$B$5+INT((ROW()-9)/24)</f>
        <v>45972</v>
      </c>
      <c r="B173" s="11" t="n">
        <f aca="false">MOD(ROW()-9,24)</f>
        <v>20</v>
      </c>
      <c r="C173" s="12"/>
      <c r="D173" s="13" t="n">
        <f aca="false">IF(B173&lt;5,Einstellungen!$B$3,Einstellungen!$B$4)</f>
        <v>29.13</v>
      </c>
      <c r="E173" s="14" t="str">
        <f aca="false">IF(C173="","",C173*D173/100)</f>
        <v/>
      </c>
      <c r="F173" s="15" t="str">
        <f aca="false">IF(B173&lt;5,"Go","Standard")</f>
        <v>Standard</v>
      </c>
    </row>
    <row r="174" customFormat="false" ht="14.25" hidden="false" customHeight="true" outlineLevel="0" collapsed="false">
      <c r="A174" s="10" t="n">
        <f aca="false">Einstellungen!$B$5+INT((ROW()-9)/24)</f>
        <v>45972</v>
      </c>
      <c r="B174" s="11" t="n">
        <f aca="false">MOD(ROW()-9,24)</f>
        <v>21</v>
      </c>
      <c r="C174" s="12"/>
      <c r="D174" s="13" t="n">
        <f aca="false">IF(B174&lt;5,Einstellungen!$B$3,Einstellungen!$B$4)</f>
        <v>29.13</v>
      </c>
      <c r="E174" s="14" t="str">
        <f aca="false">IF(C174="","",C174*D174/100)</f>
        <v/>
      </c>
      <c r="F174" s="15" t="str">
        <f aca="false">IF(B174&lt;5,"Go","Standard")</f>
        <v>Standard</v>
      </c>
    </row>
    <row r="175" customFormat="false" ht="14.25" hidden="false" customHeight="true" outlineLevel="0" collapsed="false">
      <c r="A175" s="10" t="n">
        <f aca="false">Einstellungen!$B$5+INT((ROW()-9)/24)</f>
        <v>45972</v>
      </c>
      <c r="B175" s="11" t="n">
        <f aca="false">MOD(ROW()-9,24)</f>
        <v>22</v>
      </c>
      <c r="C175" s="12"/>
      <c r="D175" s="13" t="n">
        <f aca="false">IF(B175&lt;5,Einstellungen!$B$3,Einstellungen!$B$4)</f>
        <v>29.13</v>
      </c>
      <c r="E175" s="14" t="str">
        <f aca="false">IF(C175="","",C175*D175/100)</f>
        <v/>
      </c>
      <c r="F175" s="15" t="str">
        <f aca="false">IF(B175&lt;5,"Go","Standard")</f>
        <v>Standard</v>
      </c>
    </row>
    <row r="176" customFormat="false" ht="14.25" hidden="false" customHeight="true" outlineLevel="0" collapsed="false">
      <c r="A176" s="10" t="n">
        <f aca="false">Einstellungen!$B$5+INT((ROW()-9)/24)</f>
        <v>45972</v>
      </c>
      <c r="B176" s="11" t="n">
        <f aca="false">MOD(ROW()-9,24)</f>
        <v>23</v>
      </c>
      <c r="C176" s="12"/>
      <c r="D176" s="13" t="n">
        <f aca="false">IF(B176&lt;5,Einstellungen!$B$3,Einstellungen!$B$4)</f>
        <v>29.13</v>
      </c>
      <c r="E176" s="14" t="str">
        <f aca="false">IF(C176="","",C176*D176/100)</f>
        <v/>
      </c>
      <c r="F176" s="15" t="str">
        <f aca="false">IF(B176&lt;5,"Go","Standard")</f>
        <v>Standard</v>
      </c>
    </row>
    <row r="177" customFormat="false" ht="14.25" hidden="false" customHeight="true" outlineLevel="0" collapsed="false">
      <c r="A177" s="10" t="n">
        <f aca="false">Einstellungen!$B$5+INT((ROW()-9)/24)</f>
        <v>45973</v>
      </c>
      <c r="B177" s="11" t="n">
        <f aca="false">MOD(ROW()-9,24)</f>
        <v>0</v>
      </c>
      <c r="C177" s="12"/>
      <c r="D177" s="13" t="n">
        <f aca="false">IF(B177&lt;5,Einstellungen!$B$3,Einstellungen!$B$4)</f>
        <v>15.92</v>
      </c>
      <c r="E177" s="14" t="str">
        <f aca="false">IF(C177="","",C177*D177/100)</f>
        <v/>
      </c>
      <c r="F177" s="15" t="str">
        <f aca="false">IF(B177&lt;5,"Go","Standard")</f>
        <v>Go</v>
      </c>
    </row>
    <row r="178" customFormat="false" ht="14.25" hidden="false" customHeight="true" outlineLevel="0" collapsed="false">
      <c r="A178" s="10" t="n">
        <f aca="false">Einstellungen!$B$5+INT((ROW()-9)/24)</f>
        <v>45973</v>
      </c>
      <c r="B178" s="11" t="n">
        <f aca="false">MOD(ROW()-9,24)</f>
        <v>1</v>
      </c>
      <c r="C178" s="12"/>
      <c r="D178" s="13" t="n">
        <f aca="false">IF(B178&lt;5,Einstellungen!$B$3,Einstellungen!$B$4)</f>
        <v>15.92</v>
      </c>
      <c r="E178" s="14" t="str">
        <f aca="false">IF(C178="","",C178*D178/100)</f>
        <v/>
      </c>
      <c r="F178" s="15" t="str">
        <f aca="false">IF(B178&lt;5,"Go","Standard")</f>
        <v>Go</v>
      </c>
    </row>
    <row r="179" customFormat="false" ht="14.25" hidden="false" customHeight="true" outlineLevel="0" collapsed="false">
      <c r="A179" s="10" t="n">
        <f aca="false">Einstellungen!$B$5+INT((ROW()-9)/24)</f>
        <v>45973</v>
      </c>
      <c r="B179" s="11" t="n">
        <f aca="false">MOD(ROW()-9,24)</f>
        <v>2</v>
      </c>
      <c r="C179" s="12"/>
      <c r="D179" s="13" t="n">
        <f aca="false">IF(B179&lt;5,Einstellungen!$B$3,Einstellungen!$B$4)</f>
        <v>15.92</v>
      </c>
      <c r="E179" s="14" t="str">
        <f aca="false">IF(C179="","",C179*D179/100)</f>
        <v/>
      </c>
      <c r="F179" s="15" t="str">
        <f aca="false">IF(B179&lt;5,"Go","Standard")</f>
        <v>Go</v>
      </c>
    </row>
    <row r="180" customFormat="false" ht="14.25" hidden="false" customHeight="true" outlineLevel="0" collapsed="false">
      <c r="A180" s="10" t="n">
        <f aca="false">Einstellungen!$B$5+INT((ROW()-9)/24)</f>
        <v>45973</v>
      </c>
      <c r="B180" s="11" t="n">
        <f aca="false">MOD(ROW()-9,24)</f>
        <v>3</v>
      </c>
      <c r="C180" s="12"/>
      <c r="D180" s="13" t="n">
        <f aca="false">IF(B180&lt;5,Einstellungen!$B$3,Einstellungen!$B$4)</f>
        <v>15.92</v>
      </c>
      <c r="E180" s="14" t="str">
        <f aca="false">IF(C180="","",C180*D180/100)</f>
        <v/>
      </c>
      <c r="F180" s="15" t="str">
        <f aca="false">IF(B180&lt;5,"Go","Standard")</f>
        <v>Go</v>
      </c>
    </row>
    <row r="181" customFormat="false" ht="14.25" hidden="false" customHeight="true" outlineLevel="0" collapsed="false">
      <c r="A181" s="10" t="n">
        <f aca="false">Einstellungen!$B$5+INT((ROW()-9)/24)</f>
        <v>45973</v>
      </c>
      <c r="B181" s="11" t="n">
        <f aca="false">MOD(ROW()-9,24)</f>
        <v>4</v>
      </c>
      <c r="C181" s="12"/>
      <c r="D181" s="13" t="n">
        <f aca="false">IF(B181&lt;5,Einstellungen!$B$3,Einstellungen!$B$4)</f>
        <v>15.92</v>
      </c>
      <c r="E181" s="14" t="str">
        <f aca="false">IF(C181="","",C181*D181/100)</f>
        <v/>
      </c>
      <c r="F181" s="15" t="str">
        <f aca="false">IF(B181&lt;5,"Go","Standard")</f>
        <v>Go</v>
      </c>
    </row>
    <row r="182" customFormat="false" ht="14.25" hidden="false" customHeight="true" outlineLevel="0" collapsed="false">
      <c r="A182" s="10" t="n">
        <f aca="false">Einstellungen!$B$5+INT((ROW()-9)/24)</f>
        <v>45973</v>
      </c>
      <c r="B182" s="11" t="n">
        <f aca="false">MOD(ROW()-9,24)</f>
        <v>5</v>
      </c>
      <c r="C182" s="12"/>
      <c r="D182" s="13" t="n">
        <f aca="false">IF(B182&lt;5,Einstellungen!$B$3,Einstellungen!$B$4)</f>
        <v>29.13</v>
      </c>
      <c r="E182" s="14" t="str">
        <f aca="false">IF(C182="","",C182*D182/100)</f>
        <v/>
      </c>
      <c r="F182" s="15" t="str">
        <f aca="false">IF(B182&lt;5,"Go","Standard")</f>
        <v>Standard</v>
      </c>
    </row>
    <row r="183" customFormat="false" ht="14.25" hidden="false" customHeight="true" outlineLevel="0" collapsed="false">
      <c r="A183" s="10" t="n">
        <f aca="false">Einstellungen!$B$5+INT((ROW()-9)/24)</f>
        <v>45973</v>
      </c>
      <c r="B183" s="11" t="n">
        <f aca="false">MOD(ROW()-9,24)</f>
        <v>6</v>
      </c>
      <c r="C183" s="12"/>
      <c r="D183" s="13" t="n">
        <f aca="false">IF(B183&lt;5,Einstellungen!$B$3,Einstellungen!$B$4)</f>
        <v>29.13</v>
      </c>
      <c r="E183" s="14" t="str">
        <f aca="false">IF(C183="","",C183*D183/100)</f>
        <v/>
      </c>
      <c r="F183" s="15" t="str">
        <f aca="false">IF(B183&lt;5,"Go","Standard")</f>
        <v>Standard</v>
      </c>
    </row>
    <row r="184" customFormat="false" ht="14.25" hidden="false" customHeight="true" outlineLevel="0" collapsed="false">
      <c r="A184" s="10" t="n">
        <f aca="false">Einstellungen!$B$5+INT((ROW()-9)/24)</f>
        <v>45973</v>
      </c>
      <c r="B184" s="11" t="n">
        <f aca="false">MOD(ROW()-9,24)</f>
        <v>7</v>
      </c>
      <c r="C184" s="12"/>
      <c r="D184" s="13" t="n">
        <f aca="false">IF(B184&lt;5,Einstellungen!$B$3,Einstellungen!$B$4)</f>
        <v>29.13</v>
      </c>
      <c r="E184" s="14" t="str">
        <f aca="false">IF(C184="","",C184*D184/100)</f>
        <v/>
      </c>
      <c r="F184" s="15" t="str">
        <f aca="false">IF(B184&lt;5,"Go","Standard")</f>
        <v>Standard</v>
      </c>
    </row>
    <row r="185" customFormat="false" ht="14.25" hidden="false" customHeight="true" outlineLevel="0" collapsed="false">
      <c r="A185" s="10" t="n">
        <f aca="false">Einstellungen!$B$5+INT((ROW()-9)/24)</f>
        <v>45973</v>
      </c>
      <c r="B185" s="11" t="n">
        <f aca="false">MOD(ROW()-9,24)</f>
        <v>8</v>
      </c>
      <c r="C185" s="12"/>
      <c r="D185" s="13" t="n">
        <f aca="false">IF(B185&lt;5,Einstellungen!$B$3,Einstellungen!$B$4)</f>
        <v>29.13</v>
      </c>
      <c r="E185" s="14" t="str">
        <f aca="false">IF(C185="","",C185*D185/100)</f>
        <v/>
      </c>
      <c r="F185" s="15" t="str">
        <f aca="false">IF(B185&lt;5,"Go","Standard")</f>
        <v>Standard</v>
      </c>
    </row>
    <row r="186" customFormat="false" ht="14.25" hidden="false" customHeight="true" outlineLevel="0" collapsed="false">
      <c r="A186" s="10" t="n">
        <f aca="false">Einstellungen!$B$5+INT((ROW()-9)/24)</f>
        <v>45973</v>
      </c>
      <c r="B186" s="11" t="n">
        <f aca="false">MOD(ROW()-9,24)</f>
        <v>9</v>
      </c>
      <c r="C186" s="12"/>
      <c r="D186" s="13" t="n">
        <f aca="false">IF(B186&lt;5,Einstellungen!$B$3,Einstellungen!$B$4)</f>
        <v>29.13</v>
      </c>
      <c r="E186" s="14" t="str">
        <f aca="false">IF(C186="","",C186*D186/100)</f>
        <v/>
      </c>
      <c r="F186" s="15" t="str">
        <f aca="false">IF(B186&lt;5,"Go","Standard")</f>
        <v>Standard</v>
      </c>
    </row>
    <row r="187" customFormat="false" ht="14.25" hidden="false" customHeight="true" outlineLevel="0" collapsed="false">
      <c r="A187" s="10" t="n">
        <f aca="false">Einstellungen!$B$5+INT((ROW()-9)/24)</f>
        <v>45973</v>
      </c>
      <c r="B187" s="11" t="n">
        <f aca="false">MOD(ROW()-9,24)</f>
        <v>10</v>
      </c>
      <c r="C187" s="12"/>
      <c r="D187" s="13" t="n">
        <f aca="false">IF(B187&lt;5,Einstellungen!$B$3,Einstellungen!$B$4)</f>
        <v>29.13</v>
      </c>
      <c r="E187" s="14" t="str">
        <f aca="false">IF(C187="","",C187*D187/100)</f>
        <v/>
      </c>
      <c r="F187" s="15" t="str">
        <f aca="false">IF(B187&lt;5,"Go","Standard")</f>
        <v>Standard</v>
      </c>
    </row>
    <row r="188" customFormat="false" ht="14.25" hidden="false" customHeight="true" outlineLevel="0" collapsed="false">
      <c r="A188" s="10" t="n">
        <f aca="false">Einstellungen!$B$5+INT((ROW()-9)/24)</f>
        <v>45973</v>
      </c>
      <c r="B188" s="11" t="n">
        <f aca="false">MOD(ROW()-9,24)</f>
        <v>11</v>
      </c>
      <c r="C188" s="12"/>
      <c r="D188" s="13" t="n">
        <f aca="false">IF(B188&lt;5,Einstellungen!$B$3,Einstellungen!$B$4)</f>
        <v>29.13</v>
      </c>
      <c r="E188" s="14" t="str">
        <f aca="false">IF(C188="","",C188*D188/100)</f>
        <v/>
      </c>
      <c r="F188" s="15" t="str">
        <f aca="false">IF(B188&lt;5,"Go","Standard")</f>
        <v>Standard</v>
      </c>
    </row>
    <row r="189" customFormat="false" ht="14.25" hidden="false" customHeight="true" outlineLevel="0" collapsed="false">
      <c r="A189" s="10" t="n">
        <f aca="false">Einstellungen!$B$5+INT((ROW()-9)/24)</f>
        <v>45973</v>
      </c>
      <c r="B189" s="11" t="n">
        <f aca="false">MOD(ROW()-9,24)</f>
        <v>12</v>
      </c>
      <c r="C189" s="12"/>
      <c r="D189" s="13" t="n">
        <f aca="false">IF(B189&lt;5,Einstellungen!$B$3,Einstellungen!$B$4)</f>
        <v>29.13</v>
      </c>
      <c r="E189" s="14" t="str">
        <f aca="false">IF(C189="","",C189*D189/100)</f>
        <v/>
      </c>
      <c r="F189" s="15" t="str">
        <f aca="false">IF(B189&lt;5,"Go","Standard")</f>
        <v>Standard</v>
      </c>
    </row>
    <row r="190" customFormat="false" ht="14.25" hidden="false" customHeight="true" outlineLevel="0" collapsed="false">
      <c r="A190" s="10" t="n">
        <f aca="false">Einstellungen!$B$5+INT((ROW()-9)/24)</f>
        <v>45973</v>
      </c>
      <c r="B190" s="11" t="n">
        <f aca="false">MOD(ROW()-9,24)</f>
        <v>13</v>
      </c>
      <c r="C190" s="12"/>
      <c r="D190" s="13" t="n">
        <f aca="false">IF(B190&lt;5,Einstellungen!$B$3,Einstellungen!$B$4)</f>
        <v>29.13</v>
      </c>
      <c r="E190" s="14" t="str">
        <f aca="false">IF(C190="","",C190*D190/100)</f>
        <v/>
      </c>
      <c r="F190" s="15" t="str">
        <f aca="false">IF(B190&lt;5,"Go","Standard")</f>
        <v>Standard</v>
      </c>
    </row>
    <row r="191" customFormat="false" ht="14.25" hidden="false" customHeight="true" outlineLevel="0" collapsed="false">
      <c r="A191" s="10" t="n">
        <f aca="false">Einstellungen!$B$5+INT((ROW()-9)/24)</f>
        <v>45973</v>
      </c>
      <c r="B191" s="11" t="n">
        <f aca="false">MOD(ROW()-9,24)</f>
        <v>14</v>
      </c>
      <c r="C191" s="12"/>
      <c r="D191" s="13" t="n">
        <f aca="false">IF(B191&lt;5,Einstellungen!$B$3,Einstellungen!$B$4)</f>
        <v>29.13</v>
      </c>
      <c r="E191" s="14" t="str">
        <f aca="false">IF(C191="","",C191*D191/100)</f>
        <v/>
      </c>
      <c r="F191" s="15" t="str">
        <f aca="false">IF(B191&lt;5,"Go","Standard")</f>
        <v>Standard</v>
      </c>
    </row>
    <row r="192" customFormat="false" ht="14.25" hidden="false" customHeight="true" outlineLevel="0" collapsed="false">
      <c r="A192" s="10" t="n">
        <f aca="false">Einstellungen!$B$5+INT((ROW()-9)/24)</f>
        <v>45973</v>
      </c>
      <c r="B192" s="11" t="n">
        <f aca="false">MOD(ROW()-9,24)</f>
        <v>15</v>
      </c>
      <c r="C192" s="12"/>
      <c r="D192" s="13" t="n">
        <f aca="false">IF(B192&lt;5,Einstellungen!$B$3,Einstellungen!$B$4)</f>
        <v>29.13</v>
      </c>
      <c r="E192" s="14" t="str">
        <f aca="false">IF(C192="","",C192*D192/100)</f>
        <v/>
      </c>
      <c r="F192" s="15" t="str">
        <f aca="false">IF(B192&lt;5,"Go","Standard")</f>
        <v>Standard</v>
      </c>
    </row>
    <row r="193" customFormat="false" ht="14.25" hidden="false" customHeight="true" outlineLevel="0" collapsed="false">
      <c r="A193" s="10" t="n">
        <f aca="false">Einstellungen!$B$5+INT((ROW()-9)/24)</f>
        <v>45973</v>
      </c>
      <c r="B193" s="11" t="n">
        <f aca="false">MOD(ROW()-9,24)</f>
        <v>16</v>
      </c>
      <c r="C193" s="12"/>
      <c r="D193" s="13" t="n">
        <f aca="false">IF(B193&lt;5,Einstellungen!$B$3,Einstellungen!$B$4)</f>
        <v>29.13</v>
      </c>
      <c r="E193" s="14" t="str">
        <f aca="false">IF(C193="","",C193*D193/100)</f>
        <v/>
      </c>
      <c r="F193" s="15" t="str">
        <f aca="false">IF(B193&lt;5,"Go","Standard")</f>
        <v>Standard</v>
      </c>
    </row>
    <row r="194" customFormat="false" ht="14.25" hidden="false" customHeight="true" outlineLevel="0" collapsed="false">
      <c r="A194" s="10" t="n">
        <f aca="false">Einstellungen!$B$5+INT((ROW()-9)/24)</f>
        <v>45973</v>
      </c>
      <c r="B194" s="11" t="n">
        <f aca="false">MOD(ROW()-9,24)</f>
        <v>17</v>
      </c>
      <c r="C194" s="12"/>
      <c r="D194" s="13" t="n">
        <f aca="false">IF(B194&lt;5,Einstellungen!$B$3,Einstellungen!$B$4)</f>
        <v>29.13</v>
      </c>
      <c r="E194" s="14" t="str">
        <f aca="false">IF(C194="","",C194*D194/100)</f>
        <v/>
      </c>
      <c r="F194" s="15" t="str">
        <f aca="false">IF(B194&lt;5,"Go","Standard")</f>
        <v>Standard</v>
      </c>
    </row>
    <row r="195" customFormat="false" ht="14.25" hidden="false" customHeight="true" outlineLevel="0" collapsed="false">
      <c r="A195" s="10" t="n">
        <f aca="false">Einstellungen!$B$5+INT((ROW()-9)/24)</f>
        <v>45973</v>
      </c>
      <c r="B195" s="11" t="n">
        <f aca="false">MOD(ROW()-9,24)</f>
        <v>18</v>
      </c>
      <c r="C195" s="12"/>
      <c r="D195" s="13" t="n">
        <f aca="false">IF(B195&lt;5,Einstellungen!$B$3,Einstellungen!$B$4)</f>
        <v>29.13</v>
      </c>
      <c r="E195" s="14" t="str">
        <f aca="false">IF(C195="","",C195*D195/100)</f>
        <v/>
      </c>
      <c r="F195" s="15" t="str">
        <f aca="false">IF(B195&lt;5,"Go","Standard")</f>
        <v>Standard</v>
      </c>
    </row>
    <row r="196" customFormat="false" ht="14.25" hidden="false" customHeight="true" outlineLevel="0" collapsed="false">
      <c r="A196" s="10" t="n">
        <f aca="false">Einstellungen!$B$5+INT((ROW()-9)/24)</f>
        <v>45973</v>
      </c>
      <c r="B196" s="11" t="n">
        <f aca="false">MOD(ROW()-9,24)</f>
        <v>19</v>
      </c>
      <c r="C196" s="12"/>
      <c r="D196" s="13" t="n">
        <f aca="false">IF(B196&lt;5,Einstellungen!$B$3,Einstellungen!$B$4)</f>
        <v>29.13</v>
      </c>
      <c r="E196" s="14" t="str">
        <f aca="false">IF(C196="","",C196*D196/100)</f>
        <v/>
      </c>
      <c r="F196" s="15" t="str">
        <f aca="false">IF(B196&lt;5,"Go","Standard")</f>
        <v>Standard</v>
      </c>
    </row>
    <row r="197" customFormat="false" ht="14.25" hidden="false" customHeight="true" outlineLevel="0" collapsed="false">
      <c r="A197" s="10" t="n">
        <f aca="false">Einstellungen!$B$5+INT((ROW()-9)/24)</f>
        <v>45973</v>
      </c>
      <c r="B197" s="11" t="n">
        <f aca="false">MOD(ROW()-9,24)</f>
        <v>20</v>
      </c>
      <c r="C197" s="12"/>
      <c r="D197" s="13" t="n">
        <f aca="false">IF(B197&lt;5,Einstellungen!$B$3,Einstellungen!$B$4)</f>
        <v>29.13</v>
      </c>
      <c r="E197" s="14" t="str">
        <f aca="false">IF(C197="","",C197*D197/100)</f>
        <v/>
      </c>
      <c r="F197" s="15" t="str">
        <f aca="false">IF(B197&lt;5,"Go","Standard")</f>
        <v>Standard</v>
      </c>
    </row>
    <row r="198" customFormat="false" ht="14.25" hidden="false" customHeight="true" outlineLevel="0" collapsed="false">
      <c r="A198" s="10" t="n">
        <f aca="false">Einstellungen!$B$5+INT((ROW()-9)/24)</f>
        <v>45973</v>
      </c>
      <c r="B198" s="11" t="n">
        <f aca="false">MOD(ROW()-9,24)</f>
        <v>21</v>
      </c>
      <c r="C198" s="12"/>
      <c r="D198" s="13" t="n">
        <f aca="false">IF(B198&lt;5,Einstellungen!$B$3,Einstellungen!$B$4)</f>
        <v>29.13</v>
      </c>
      <c r="E198" s="14" t="str">
        <f aca="false">IF(C198="","",C198*D198/100)</f>
        <v/>
      </c>
      <c r="F198" s="15" t="str">
        <f aca="false">IF(B198&lt;5,"Go","Standard")</f>
        <v>Standard</v>
      </c>
    </row>
    <row r="199" customFormat="false" ht="14.25" hidden="false" customHeight="true" outlineLevel="0" collapsed="false">
      <c r="A199" s="10" t="n">
        <f aca="false">Einstellungen!$B$5+INT((ROW()-9)/24)</f>
        <v>45973</v>
      </c>
      <c r="B199" s="11" t="n">
        <f aca="false">MOD(ROW()-9,24)</f>
        <v>22</v>
      </c>
      <c r="C199" s="12"/>
      <c r="D199" s="13" t="n">
        <f aca="false">IF(B199&lt;5,Einstellungen!$B$3,Einstellungen!$B$4)</f>
        <v>29.13</v>
      </c>
      <c r="E199" s="14" t="str">
        <f aca="false">IF(C199="","",C199*D199/100)</f>
        <v/>
      </c>
      <c r="F199" s="15" t="str">
        <f aca="false">IF(B199&lt;5,"Go","Standard")</f>
        <v>Standard</v>
      </c>
    </row>
    <row r="200" customFormat="false" ht="14.25" hidden="false" customHeight="true" outlineLevel="0" collapsed="false">
      <c r="A200" s="10" t="n">
        <f aca="false">Einstellungen!$B$5+INT((ROW()-9)/24)</f>
        <v>45973</v>
      </c>
      <c r="B200" s="11" t="n">
        <f aca="false">MOD(ROW()-9,24)</f>
        <v>23</v>
      </c>
      <c r="C200" s="12"/>
      <c r="D200" s="13" t="n">
        <f aca="false">IF(B200&lt;5,Einstellungen!$B$3,Einstellungen!$B$4)</f>
        <v>29.13</v>
      </c>
      <c r="E200" s="14" t="str">
        <f aca="false">IF(C200="","",C200*D200/100)</f>
        <v/>
      </c>
      <c r="F200" s="15" t="str">
        <f aca="false">IF(B200&lt;5,"Go","Standard")</f>
        <v>Standard</v>
      </c>
    </row>
    <row r="201" customFormat="false" ht="14.25" hidden="false" customHeight="true" outlineLevel="0" collapsed="false">
      <c r="A201" s="10" t="n">
        <f aca="false">Einstellungen!$B$5+INT((ROW()-9)/24)</f>
        <v>45974</v>
      </c>
      <c r="B201" s="11" t="n">
        <f aca="false">MOD(ROW()-9,24)</f>
        <v>0</v>
      </c>
      <c r="C201" s="12"/>
      <c r="D201" s="13" t="n">
        <f aca="false">IF(B201&lt;5,Einstellungen!$B$3,Einstellungen!$B$4)</f>
        <v>15.92</v>
      </c>
      <c r="E201" s="14" t="str">
        <f aca="false">IF(C201="","",C201*D201/100)</f>
        <v/>
      </c>
      <c r="F201" s="15" t="str">
        <f aca="false">IF(B201&lt;5,"Go","Standard")</f>
        <v>Go</v>
      </c>
    </row>
    <row r="202" customFormat="false" ht="15" hidden="false" customHeight="true" outlineLevel="0" collapsed="false">
      <c r="A202" s="10" t="n">
        <f aca="false">Einstellungen!$B$5+INT((ROW()-9)/24)</f>
        <v>45974</v>
      </c>
      <c r="B202" s="11" t="n">
        <f aca="false">MOD(ROW()-9,24)</f>
        <v>1</v>
      </c>
      <c r="C202" s="12"/>
      <c r="D202" s="13" t="n">
        <f aca="false">IF(B202&lt;5,Einstellungen!$B$3,Einstellungen!$B$4)</f>
        <v>15.92</v>
      </c>
      <c r="E202" s="14" t="str">
        <f aca="false">IF(C202="","",C202*D202/100)</f>
        <v/>
      </c>
      <c r="F202" s="15" t="str">
        <f aca="false">IF(B202&lt;5,"Go","Standard")</f>
        <v>Go</v>
      </c>
    </row>
    <row r="203" customFormat="false" ht="15" hidden="false" customHeight="true" outlineLevel="0" collapsed="false">
      <c r="A203" s="10" t="n">
        <f aca="false">Einstellungen!$B$5+INT((ROW()-9)/24)</f>
        <v>45974</v>
      </c>
      <c r="B203" s="11" t="n">
        <f aca="false">MOD(ROW()-9,24)</f>
        <v>2</v>
      </c>
      <c r="C203" s="12"/>
      <c r="D203" s="13" t="n">
        <f aca="false">IF(B203&lt;5,Einstellungen!$B$3,Einstellungen!$B$4)</f>
        <v>15.92</v>
      </c>
      <c r="E203" s="14" t="str">
        <f aca="false">IF(C203="","",C203*D203/100)</f>
        <v/>
      </c>
      <c r="F203" s="15" t="str">
        <f aca="false">IF(B203&lt;5,"Go","Standard")</f>
        <v>Go</v>
      </c>
    </row>
    <row r="204" customFormat="false" ht="15" hidden="false" customHeight="true" outlineLevel="0" collapsed="false">
      <c r="A204" s="10" t="n">
        <f aca="false">Einstellungen!$B$5+INT((ROW()-9)/24)</f>
        <v>45974</v>
      </c>
      <c r="B204" s="11" t="n">
        <f aca="false">MOD(ROW()-9,24)</f>
        <v>3</v>
      </c>
      <c r="C204" s="12"/>
      <c r="D204" s="13" t="n">
        <f aca="false">IF(B204&lt;5,Einstellungen!$B$3,Einstellungen!$B$4)</f>
        <v>15.92</v>
      </c>
      <c r="E204" s="14" t="str">
        <f aca="false">IF(C204="","",C204*D204/100)</f>
        <v/>
      </c>
      <c r="F204" s="15" t="str">
        <f aca="false">IF(B204&lt;5,"Go","Standard")</f>
        <v>Go</v>
      </c>
    </row>
    <row r="205" customFormat="false" ht="15" hidden="false" customHeight="true" outlineLevel="0" collapsed="false">
      <c r="A205" s="10" t="n">
        <f aca="false">Einstellungen!$B$5+INT((ROW()-9)/24)</f>
        <v>45974</v>
      </c>
      <c r="B205" s="11" t="n">
        <f aca="false">MOD(ROW()-9,24)</f>
        <v>4</v>
      </c>
      <c r="C205" s="12"/>
      <c r="D205" s="13" t="n">
        <f aca="false">IF(B205&lt;5,Einstellungen!$B$3,Einstellungen!$B$4)</f>
        <v>15.92</v>
      </c>
      <c r="E205" s="14" t="str">
        <f aca="false">IF(C205="","",C205*D205/100)</f>
        <v/>
      </c>
      <c r="F205" s="15" t="str">
        <f aca="false">IF(B205&lt;5,"Go","Standard")</f>
        <v>Go</v>
      </c>
    </row>
    <row r="206" customFormat="false" ht="15" hidden="false" customHeight="true" outlineLevel="0" collapsed="false">
      <c r="A206" s="10" t="n">
        <f aca="false">Einstellungen!$B$5+INT((ROW()-9)/24)</f>
        <v>45974</v>
      </c>
      <c r="B206" s="11" t="n">
        <f aca="false">MOD(ROW()-9,24)</f>
        <v>5</v>
      </c>
      <c r="C206" s="12"/>
      <c r="D206" s="13" t="n">
        <f aca="false">IF(B206&lt;5,Einstellungen!$B$3,Einstellungen!$B$4)</f>
        <v>29.13</v>
      </c>
      <c r="E206" s="14" t="str">
        <f aca="false">IF(C206="","",C206*D206/100)</f>
        <v/>
      </c>
      <c r="F206" s="15" t="str">
        <f aca="false">IF(B206&lt;5,"Go","Standard")</f>
        <v>Standard</v>
      </c>
    </row>
    <row r="207" customFormat="false" ht="15" hidden="false" customHeight="true" outlineLevel="0" collapsed="false">
      <c r="A207" s="10" t="n">
        <f aca="false">Einstellungen!$B$5+INT((ROW()-9)/24)</f>
        <v>45974</v>
      </c>
      <c r="B207" s="11" t="n">
        <f aca="false">MOD(ROW()-9,24)</f>
        <v>6</v>
      </c>
      <c r="C207" s="12"/>
      <c r="D207" s="13" t="n">
        <f aca="false">IF(B207&lt;5,Einstellungen!$B$3,Einstellungen!$B$4)</f>
        <v>29.13</v>
      </c>
      <c r="E207" s="14" t="str">
        <f aca="false">IF(C207="","",C207*D207/100)</f>
        <v/>
      </c>
      <c r="F207" s="15" t="str">
        <f aca="false">IF(B207&lt;5,"Go","Standard")</f>
        <v>Standard</v>
      </c>
    </row>
    <row r="208" customFormat="false" ht="15" hidden="false" customHeight="true" outlineLevel="0" collapsed="false">
      <c r="A208" s="10" t="n">
        <f aca="false">Einstellungen!$B$5+INT((ROW()-9)/24)</f>
        <v>45974</v>
      </c>
      <c r="B208" s="11" t="n">
        <f aca="false">MOD(ROW()-9,24)</f>
        <v>7</v>
      </c>
      <c r="C208" s="12"/>
      <c r="D208" s="13" t="n">
        <f aca="false">IF(B208&lt;5,Einstellungen!$B$3,Einstellungen!$B$4)</f>
        <v>29.13</v>
      </c>
      <c r="E208" s="14" t="str">
        <f aca="false">IF(C208="","",C208*D208/100)</f>
        <v/>
      </c>
      <c r="F208" s="15" t="str">
        <f aca="false">IF(B208&lt;5,"Go","Standard")</f>
        <v>Standard</v>
      </c>
    </row>
    <row r="209" customFormat="false" ht="15" hidden="false" customHeight="true" outlineLevel="0" collapsed="false">
      <c r="A209" s="10" t="n">
        <f aca="false">Einstellungen!$B$5+INT((ROW()-9)/24)</f>
        <v>45974</v>
      </c>
      <c r="B209" s="11" t="n">
        <f aca="false">MOD(ROW()-9,24)</f>
        <v>8</v>
      </c>
      <c r="C209" s="12"/>
      <c r="D209" s="13" t="n">
        <f aca="false">IF(B209&lt;5,Einstellungen!$B$3,Einstellungen!$B$4)</f>
        <v>29.13</v>
      </c>
      <c r="E209" s="14" t="str">
        <f aca="false">IF(C209="","",C209*D209/100)</f>
        <v/>
      </c>
      <c r="F209" s="15" t="str">
        <f aca="false">IF(B209&lt;5,"Go","Standard")</f>
        <v>Standard</v>
      </c>
    </row>
    <row r="210" customFormat="false" ht="15" hidden="false" customHeight="true" outlineLevel="0" collapsed="false">
      <c r="A210" s="10" t="n">
        <f aca="false">Einstellungen!$B$5+INT((ROW()-9)/24)</f>
        <v>45974</v>
      </c>
      <c r="B210" s="11" t="n">
        <f aca="false">MOD(ROW()-9,24)</f>
        <v>9</v>
      </c>
      <c r="C210" s="12"/>
      <c r="D210" s="13" t="n">
        <f aca="false">IF(B210&lt;5,Einstellungen!$B$3,Einstellungen!$B$4)</f>
        <v>29.13</v>
      </c>
      <c r="E210" s="14" t="str">
        <f aca="false">IF(C210="","",C210*D210/100)</f>
        <v/>
      </c>
      <c r="F210" s="15" t="str">
        <f aca="false">IF(B210&lt;5,"Go","Standard")</f>
        <v>Standard</v>
      </c>
    </row>
    <row r="211" customFormat="false" ht="15" hidden="false" customHeight="true" outlineLevel="0" collapsed="false">
      <c r="A211" s="10" t="n">
        <f aca="false">Einstellungen!$B$5+INT((ROW()-9)/24)</f>
        <v>45974</v>
      </c>
      <c r="B211" s="11" t="n">
        <f aca="false">MOD(ROW()-9,24)</f>
        <v>10</v>
      </c>
      <c r="C211" s="12"/>
      <c r="D211" s="13" t="n">
        <f aca="false">IF(B211&lt;5,Einstellungen!$B$3,Einstellungen!$B$4)</f>
        <v>29.13</v>
      </c>
      <c r="E211" s="14" t="str">
        <f aca="false">IF(C211="","",C211*D211/100)</f>
        <v/>
      </c>
      <c r="F211" s="15" t="str">
        <f aca="false">IF(B211&lt;5,"Go","Standard")</f>
        <v>Standard</v>
      </c>
    </row>
    <row r="212" customFormat="false" ht="15" hidden="false" customHeight="true" outlineLevel="0" collapsed="false">
      <c r="A212" s="10" t="n">
        <f aca="false">Einstellungen!$B$5+INT((ROW()-9)/24)</f>
        <v>45974</v>
      </c>
      <c r="B212" s="11" t="n">
        <f aca="false">MOD(ROW()-9,24)</f>
        <v>11</v>
      </c>
      <c r="C212" s="12"/>
      <c r="D212" s="13" t="n">
        <f aca="false">IF(B212&lt;5,Einstellungen!$B$3,Einstellungen!$B$4)</f>
        <v>29.13</v>
      </c>
      <c r="E212" s="14" t="str">
        <f aca="false">IF(C212="","",C212*D212/100)</f>
        <v/>
      </c>
      <c r="F212" s="15" t="str">
        <f aca="false">IF(B212&lt;5,"Go","Standard")</f>
        <v>Standard</v>
      </c>
    </row>
    <row r="213" customFormat="false" ht="15" hidden="false" customHeight="true" outlineLevel="0" collapsed="false">
      <c r="A213" s="10" t="n">
        <f aca="false">Einstellungen!$B$5+INT((ROW()-9)/24)</f>
        <v>45974</v>
      </c>
      <c r="B213" s="11" t="n">
        <f aca="false">MOD(ROW()-9,24)</f>
        <v>12</v>
      </c>
      <c r="C213" s="12"/>
      <c r="D213" s="13" t="n">
        <f aca="false">IF(B213&lt;5,Einstellungen!$B$3,Einstellungen!$B$4)</f>
        <v>29.13</v>
      </c>
      <c r="E213" s="14" t="str">
        <f aca="false">IF(C213="","",C213*D213/100)</f>
        <v/>
      </c>
      <c r="F213" s="15" t="str">
        <f aca="false">IF(B213&lt;5,"Go","Standard")</f>
        <v>Standard</v>
      </c>
    </row>
    <row r="214" customFormat="false" ht="15" hidden="false" customHeight="true" outlineLevel="0" collapsed="false">
      <c r="A214" s="10" t="n">
        <f aca="false">Einstellungen!$B$5+INT((ROW()-9)/24)</f>
        <v>45974</v>
      </c>
      <c r="B214" s="11" t="n">
        <f aca="false">MOD(ROW()-9,24)</f>
        <v>13</v>
      </c>
      <c r="C214" s="12"/>
      <c r="D214" s="13" t="n">
        <f aca="false">IF(B214&lt;5,Einstellungen!$B$3,Einstellungen!$B$4)</f>
        <v>29.13</v>
      </c>
      <c r="E214" s="14" t="str">
        <f aca="false">IF(C214="","",C214*D214/100)</f>
        <v/>
      </c>
      <c r="F214" s="15" t="str">
        <f aca="false">IF(B214&lt;5,"Go","Standard")</f>
        <v>Standard</v>
      </c>
    </row>
    <row r="215" customFormat="false" ht="15" hidden="false" customHeight="true" outlineLevel="0" collapsed="false">
      <c r="A215" s="10" t="n">
        <f aca="false">Einstellungen!$B$5+INT((ROW()-9)/24)</f>
        <v>45974</v>
      </c>
      <c r="B215" s="11" t="n">
        <f aca="false">MOD(ROW()-9,24)</f>
        <v>14</v>
      </c>
      <c r="C215" s="12"/>
      <c r="D215" s="13" t="n">
        <f aca="false">IF(B215&lt;5,Einstellungen!$B$3,Einstellungen!$B$4)</f>
        <v>29.13</v>
      </c>
      <c r="E215" s="14" t="str">
        <f aca="false">IF(C215="","",C215*D215/100)</f>
        <v/>
      </c>
      <c r="F215" s="15" t="str">
        <f aca="false">IF(B215&lt;5,"Go","Standard")</f>
        <v>Standard</v>
      </c>
    </row>
    <row r="216" customFormat="false" ht="15" hidden="false" customHeight="true" outlineLevel="0" collapsed="false">
      <c r="A216" s="10" t="n">
        <f aca="false">Einstellungen!$B$5+INT((ROW()-9)/24)</f>
        <v>45974</v>
      </c>
      <c r="B216" s="11" t="n">
        <f aca="false">MOD(ROW()-9,24)</f>
        <v>15</v>
      </c>
      <c r="C216" s="12"/>
      <c r="D216" s="13" t="n">
        <f aca="false">IF(B216&lt;5,Einstellungen!$B$3,Einstellungen!$B$4)</f>
        <v>29.13</v>
      </c>
      <c r="E216" s="14" t="str">
        <f aca="false">IF(C216="","",C216*D216/100)</f>
        <v/>
      </c>
      <c r="F216" s="15" t="str">
        <f aca="false">IF(B216&lt;5,"Go","Standard")</f>
        <v>Standard</v>
      </c>
    </row>
    <row r="217" customFormat="false" ht="15" hidden="false" customHeight="true" outlineLevel="0" collapsed="false">
      <c r="A217" s="10" t="n">
        <f aca="false">Einstellungen!$B$5+INT((ROW()-9)/24)</f>
        <v>45974</v>
      </c>
      <c r="B217" s="11" t="n">
        <f aca="false">MOD(ROW()-9,24)</f>
        <v>16</v>
      </c>
      <c r="C217" s="12"/>
      <c r="D217" s="13" t="n">
        <f aca="false">IF(B217&lt;5,Einstellungen!$B$3,Einstellungen!$B$4)</f>
        <v>29.13</v>
      </c>
      <c r="E217" s="14" t="str">
        <f aca="false">IF(C217="","",C217*D217/100)</f>
        <v/>
      </c>
      <c r="F217" s="15" t="str">
        <f aca="false">IF(B217&lt;5,"Go","Standard")</f>
        <v>Standard</v>
      </c>
    </row>
    <row r="218" customFormat="false" ht="15" hidden="false" customHeight="true" outlineLevel="0" collapsed="false">
      <c r="A218" s="10" t="n">
        <f aca="false">Einstellungen!$B$5+INT((ROW()-9)/24)</f>
        <v>45974</v>
      </c>
      <c r="B218" s="11" t="n">
        <f aca="false">MOD(ROW()-9,24)</f>
        <v>17</v>
      </c>
      <c r="C218" s="12"/>
      <c r="D218" s="13" t="n">
        <f aca="false">IF(B218&lt;5,Einstellungen!$B$3,Einstellungen!$B$4)</f>
        <v>29.13</v>
      </c>
      <c r="E218" s="14" t="str">
        <f aca="false">IF(C218="","",C218*D218/100)</f>
        <v/>
      </c>
      <c r="F218" s="15" t="str">
        <f aca="false">IF(B218&lt;5,"Go","Standard")</f>
        <v>Standard</v>
      </c>
    </row>
    <row r="219" customFormat="false" ht="15" hidden="false" customHeight="true" outlineLevel="0" collapsed="false">
      <c r="A219" s="10" t="n">
        <f aca="false">Einstellungen!$B$5+INT((ROW()-9)/24)</f>
        <v>45974</v>
      </c>
      <c r="B219" s="11" t="n">
        <f aca="false">MOD(ROW()-9,24)</f>
        <v>18</v>
      </c>
      <c r="C219" s="12"/>
      <c r="D219" s="13" t="n">
        <f aca="false">IF(B219&lt;5,Einstellungen!$B$3,Einstellungen!$B$4)</f>
        <v>29.13</v>
      </c>
      <c r="E219" s="14" t="str">
        <f aca="false">IF(C219="","",C219*D219/100)</f>
        <v/>
      </c>
      <c r="F219" s="15" t="str">
        <f aca="false">IF(B219&lt;5,"Go","Standard")</f>
        <v>Standard</v>
      </c>
    </row>
    <row r="220" customFormat="false" ht="15" hidden="false" customHeight="true" outlineLevel="0" collapsed="false">
      <c r="A220" s="10" t="n">
        <f aca="false">Einstellungen!$B$5+INT((ROW()-9)/24)</f>
        <v>45974</v>
      </c>
      <c r="B220" s="11" t="n">
        <f aca="false">MOD(ROW()-9,24)</f>
        <v>19</v>
      </c>
      <c r="C220" s="12"/>
      <c r="D220" s="13" t="n">
        <f aca="false">IF(B220&lt;5,Einstellungen!$B$3,Einstellungen!$B$4)</f>
        <v>29.13</v>
      </c>
      <c r="E220" s="14" t="str">
        <f aca="false">IF(C220="","",C220*D220/100)</f>
        <v/>
      </c>
      <c r="F220" s="15" t="str">
        <f aca="false">IF(B220&lt;5,"Go","Standard")</f>
        <v>Standard</v>
      </c>
    </row>
    <row r="221" customFormat="false" ht="15" hidden="false" customHeight="true" outlineLevel="0" collapsed="false">
      <c r="A221" s="10" t="n">
        <f aca="false">Einstellungen!$B$5+INT((ROW()-9)/24)</f>
        <v>45974</v>
      </c>
      <c r="B221" s="11" t="n">
        <f aca="false">MOD(ROW()-9,24)</f>
        <v>20</v>
      </c>
      <c r="C221" s="12"/>
      <c r="D221" s="13" t="n">
        <f aca="false">IF(B221&lt;5,Einstellungen!$B$3,Einstellungen!$B$4)</f>
        <v>29.13</v>
      </c>
      <c r="E221" s="14" t="str">
        <f aca="false">IF(C221="","",C221*D221/100)</f>
        <v/>
      </c>
      <c r="F221" s="15" t="str">
        <f aca="false">IF(B221&lt;5,"Go","Standard")</f>
        <v>Standard</v>
      </c>
    </row>
    <row r="222" customFormat="false" ht="15" hidden="false" customHeight="true" outlineLevel="0" collapsed="false">
      <c r="A222" s="10" t="n">
        <f aca="false">Einstellungen!$B$5+INT((ROW()-9)/24)</f>
        <v>45974</v>
      </c>
      <c r="B222" s="11" t="n">
        <f aca="false">MOD(ROW()-9,24)</f>
        <v>21</v>
      </c>
      <c r="C222" s="12"/>
      <c r="D222" s="13" t="n">
        <f aca="false">IF(B222&lt;5,Einstellungen!$B$3,Einstellungen!$B$4)</f>
        <v>29.13</v>
      </c>
      <c r="E222" s="14" t="str">
        <f aca="false">IF(C222="","",C222*D222/100)</f>
        <v/>
      </c>
      <c r="F222" s="15" t="str">
        <f aca="false">IF(B222&lt;5,"Go","Standard")</f>
        <v>Standard</v>
      </c>
    </row>
    <row r="223" customFormat="false" ht="15" hidden="false" customHeight="true" outlineLevel="0" collapsed="false">
      <c r="A223" s="10" t="n">
        <f aca="false">Einstellungen!$B$5+INT((ROW()-9)/24)</f>
        <v>45974</v>
      </c>
      <c r="B223" s="11" t="n">
        <f aca="false">MOD(ROW()-9,24)</f>
        <v>22</v>
      </c>
      <c r="C223" s="12"/>
      <c r="D223" s="13" t="n">
        <f aca="false">IF(B223&lt;5,Einstellungen!$B$3,Einstellungen!$B$4)</f>
        <v>29.13</v>
      </c>
      <c r="E223" s="14" t="str">
        <f aca="false">IF(C223="","",C223*D223/100)</f>
        <v/>
      </c>
      <c r="F223" s="15" t="str">
        <f aca="false">IF(B223&lt;5,"Go","Standard")</f>
        <v>Standard</v>
      </c>
    </row>
    <row r="224" customFormat="false" ht="15" hidden="false" customHeight="true" outlineLevel="0" collapsed="false">
      <c r="A224" s="10" t="n">
        <f aca="false">Einstellungen!$B$5+INT((ROW()-9)/24)</f>
        <v>45974</v>
      </c>
      <c r="B224" s="11" t="n">
        <f aca="false">MOD(ROW()-9,24)</f>
        <v>23</v>
      </c>
      <c r="C224" s="12"/>
      <c r="D224" s="13" t="n">
        <f aca="false">IF(B224&lt;5,Einstellungen!$B$3,Einstellungen!$B$4)</f>
        <v>29.13</v>
      </c>
      <c r="E224" s="14" t="str">
        <f aca="false">IF(C224="","",C224*D224/100)</f>
        <v/>
      </c>
      <c r="F224" s="15" t="str">
        <f aca="false">IF(B224&lt;5,"Go","Standard")</f>
        <v>Standard</v>
      </c>
    </row>
    <row r="225" customFormat="false" ht="15" hidden="false" customHeight="true" outlineLevel="0" collapsed="false">
      <c r="A225" s="10" t="n">
        <f aca="false">Einstellungen!$B$5+INT((ROW()-9)/24)</f>
        <v>45975</v>
      </c>
      <c r="B225" s="11" t="n">
        <f aca="false">MOD(ROW()-9,24)</f>
        <v>0</v>
      </c>
      <c r="C225" s="12"/>
      <c r="D225" s="13" t="n">
        <f aca="false">IF(B225&lt;5,Einstellungen!$B$3,Einstellungen!$B$4)</f>
        <v>15.92</v>
      </c>
      <c r="E225" s="14" t="str">
        <f aca="false">IF(C225="","",C225*D225/100)</f>
        <v/>
      </c>
      <c r="F225" s="15" t="str">
        <f aca="false">IF(B225&lt;5,"Go","Standard")</f>
        <v>Go</v>
      </c>
    </row>
    <row r="226" customFormat="false" ht="15" hidden="false" customHeight="true" outlineLevel="0" collapsed="false">
      <c r="A226" s="10" t="n">
        <f aca="false">Einstellungen!$B$5+INT((ROW()-9)/24)</f>
        <v>45975</v>
      </c>
      <c r="B226" s="11" t="n">
        <f aca="false">MOD(ROW()-9,24)</f>
        <v>1</v>
      </c>
      <c r="C226" s="12"/>
      <c r="D226" s="13" t="n">
        <f aca="false">IF(B226&lt;5,Einstellungen!$B$3,Einstellungen!$B$4)</f>
        <v>15.92</v>
      </c>
      <c r="E226" s="14" t="str">
        <f aca="false">IF(C226="","",C226*D226/100)</f>
        <v/>
      </c>
      <c r="F226" s="15" t="str">
        <f aca="false">IF(B226&lt;5,"Go","Standard")</f>
        <v>Go</v>
      </c>
    </row>
    <row r="227" customFormat="false" ht="15" hidden="false" customHeight="true" outlineLevel="0" collapsed="false">
      <c r="A227" s="10" t="n">
        <f aca="false">Einstellungen!$B$5+INT((ROW()-9)/24)</f>
        <v>45975</v>
      </c>
      <c r="B227" s="11" t="n">
        <f aca="false">MOD(ROW()-9,24)</f>
        <v>2</v>
      </c>
      <c r="C227" s="12"/>
      <c r="D227" s="13" t="n">
        <f aca="false">IF(B227&lt;5,Einstellungen!$B$3,Einstellungen!$B$4)</f>
        <v>15.92</v>
      </c>
      <c r="E227" s="14" t="str">
        <f aca="false">IF(C227="","",C227*D227/100)</f>
        <v/>
      </c>
      <c r="F227" s="15" t="str">
        <f aca="false">IF(B227&lt;5,"Go","Standard")</f>
        <v>Go</v>
      </c>
    </row>
    <row r="228" customFormat="false" ht="15" hidden="false" customHeight="true" outlineLevel="0" collapsed="false">
      <c r="A228" s="10" t="n">
        <f aca="false">Einstellungen!$B$5+INT((ROW()-9)/24)</f>
        <v>45975</v>
      </c>
      <c r="B228" s="11" t="n">
        <f aca="false">MOD(ROW()-9,24)</f>
        <v>3</v>
      </c>
      <c r="C228" s="12"/>
      <c r="D228" s="13" t="n">
        <f aca="false">IF(B228&lt;5,Einstellungen!$B$3,Einstellungen!$B$4)</f>
        <v>15.92</v>
      </c>
      <c r="E228" s="14" t="str">
        <f aca="false">IF(C228="","",C228*D228/100)</f>
        <v/>
      </c>
      <c r="F228" s="15" t="str">
        <f aca="false">IF(B228&lt;5,"Go","Standard")</f>
        <v>Go</v>
      </c>
    </row>
    <row r="229" customFormat="false" ht="15" hidden="false" customHeight="true" outlineLevel="0" collapsed="false">
      <c r="A229" s="10" t="n">
        <f aca="false">Einstellungen!$B$5+INT((ROW()-9)/24)</f>
        <v>45975</v>
      </c>
      <c r="B229" s="11" t="n">
        <f aca="false">MOD(ROW()-9,24)</f>
        <v>4</v>
      </c>
      <c r="C229" s="12"/>
      <c r="D229" s="13" t="n">
        <f aca="false">IF(B229&lt;5,Einstellungen!$B$3,Einstellungen!$B$4)</f>
        <v>15.92</v>
      </c>
      <c r="E229" s="14" t="str">
        <f aca="false">IF(C229="","",C229*D229/100)</f>
        <v/>
      </c>
      <c r="F229" s="15" t="str">
        <f aca="false">IF(B229&lt;5,"Go","Standard")</f>
        <v>Go</v>
      </c>
    </row>
    <row r="230" customFormat="false" ht="15" hidden="false" customHeight="true" outlineLevel="0" collapsed="false">
      <c r="A230" s="10" t="n">
        <f aca="false">Einstellungen!$B$5+INT((ROW()-9)/24)</f>
        <v>45975</v>
      </c>
      <c r="B230" s="11" t="n">
        <f aca="false">MOD(ROW()-9,24)</f>
        <v>5</v>
      </c>
      <c r="C230" s="12"/>
      <c r="D230" s="13" t="n">
        <f aca="false">IF(B230&lt;5,Einstellungen!$B$3,Einstellungen!$B$4)</f>
        <v>29.13</v>
      </c>
      <c r="E230" s="14" t="str">
        <f aca="false">IF(C230="","",C230*D230/100)</f>
        <v/>
      </c>
      <c r="F230" s="15" t="str">
        <f aca="false">IF(B230&lt;5,"Go","Standard")</f>
        <v>Standard</v>
      </c>
    </row>
    <row r="231" customFormat="false" ht="15" hidden="false" customHeight="true" outlineLevel="0" collapsed="false">
      <c r="A231" s="10" t="n">
        <f aca="false">Einstellungen!$B$5+INT((ROW()-9)/24)</f>
        <v>45975</v>
      </c>
      <c r="B231" s="11" t="n">
        <f aca="false">MOD(ROW()-9,24)</f>
        <v>6</v>
      </c>
      <c r="C231" s="12"/>
      <c r="D231" s="13" t="n">
        <f aca="false">IF(B231&lt;5,Einstellungen!$B$3,Einstellungen!$B$4)</f>
        <v>29.13</v>
      </c>
      <c r="E231" s="14" t="str">
        <f aca="false">IF(C231="","",C231*D231/100)</f>
        <v/>
      </c>
      <c r="F231" s="15" t="str">
        <f aca="false">IF(B231&lt;5,"Go","Standard")</f>
        <v>Standard</v>
      </c>
    </row>
    <row r="232" customFormat="false" ht="15" hidden="false" customHeight="true" outlineLevel="0" collapsed="false">
      <c r="A232" s="10" t="n">
        <f aca="false">Einstellungen!$B$5+INT((ROW()-9)/24)</f>
        <v>45975</v>
      </c>
      <c r="B232" s="11" t="n">
        <f aca="false">MOD(ROW()-9,24)</f>
        <v>7</v>
      </c>
      <c r="C232" s="12"/>
      <c r="D232" s="13" t="n">
        <f aca="false">IF(B232&lt;5,Einstellungen!$B$3,Einstellungen!$B$4)</f>
        <v>29.13</v>
      </c>
      <c r="E232" s="14" t="str">
        <f aca="false">IF(C232="","",C232*D232/100)</f>
        <v/>
      </c>
      <c r="F232" s="15" t="str">
        <f aca="false">IF(B232&lt;5,"Go","Standard")</f>
        <v>Standard</v>
      </c>
    </row>
    <row r="233" customFormat="false" ht="15" hidden="false" customHeight="true" outlineLevel="0" collapsed="false">
      <c r="A233" s="10" t="n">
        <f aca="false">Einstellungen!$B$5+INT((ROW()-9)/24)</f>
        <v>45975</v>
      </c>
      <c r="B233" s="11" t="n">
        <f aca="false">MOD(ROW()-9,24)</f>
        <v>8</v>
      </c>
      <c r="C233" s="12"/>
      <c r="D233" s="13" t="n">
        <f aca="false">IF(B233&lt;5,Einstellungen!$B$3,Einstellungen!$B$4)</f>
        <v>29.13</v>
      </c>
      <c r="E233" s="14" t="str">
        <f aca="false">IF(C233="","",C233*D233/100)</f>
        <v/>
      </c>
      <c r="F233" s="15" t="str">
        <f aca="false">IF(B233&lt;5,"Go","Standard")</f>
        <v>Standard</v>
      </c>
    </row>
    <row r="234" customFormat="false" ht="15" hidden="false" customHeight="true" outlineLevel="0" collapsed="false">
      <c r="A234" s="10" t="n">
        <f aca="false">Einstellungen!$B$5+INT((ROW()-9)/24)</f>
        <v>45975</v>
      </c>
      <c r="B234" s="11" t="n">
        <f aca="false">MOD(ROW()-9,24)</f>
        <v>9</v>
      </c>
      <c r="C234" s="12"/>
      <c r="D234" s="13" t="n">
        <f aca="false">IF(B234&lt;5,Einstellungen!$B$3,Einstellungen!$B$4)</f>
        <v>29.13</v>
      </c>
      <c r="E234" s="14" t="str">
        <f aca="false">IF(C234="","",C234*D234/100)</f>
        <v/>
      </c>
      <c r="F234" s="15" t="str">
        <f aca="false">IF(B234&lt;5,"Go","Standard")</f>
        <v>Standard</v>
      </c>
    </row>
    <row r="235" customFormat="false" ht="15" hidden="false" customHeight="true" outlineLevel="0" collapsed="false">
      <c r="A235" s="10" t="n">
        <f aca="false">Einstellungen!$B$5+INT((ROW()-9)/24)</f>
        <v>45975</v>
      </c>
      <c r="B235" s="11" t="n">
        <f aca="false">MOD(ROW()-9,24)</f>
        <v>10</v>
      </c>
      <c r="C235" s="12"/>
      <c r="D235" s="13" t="n">
        <f aca="false">IF(B235&lt;5,Einstellungen!$B$3,Einstellungen!$B$4)</f>
        <v>29.13</v>
      </c>
      <c r="E235" s="14" t="str">
        <f aca="false">IF(C235="","",C235*D235/100)</f>
        <v/>
      </c>
      <c r="F235" s="15" t="str">
        <f aca="false">IF(B235&lt;5,"Go","Standard")</f>
        <v>Standard</v>
      </c>
    </row>
    <row r="236" customFormat="false" ht="15" hidden="false" customHeight="true" outlineLevel="0" collapsed="false">
      <c r="A236" s="10" t="n">
        <f aca="false">Einstellungen!$B$5+INT((ROW()-9)/24)</f>
        <v>45975</v>
      </c>
      <c r="B236" s="11" t="n">
        <f aca="false">MOD(ROW()-9,24)</f>
        <v>11</v>
      </c>
      <c r="C236" s="12"/>
      <c r="D236" s="13" t="n">
        <f aca="false">IF(B236&lt;5,Einstellungen!$B$3,Einstellungen!$B$4)</f>
        <v>29.13</v>
      </c>
      <c r="E236" s="14" t="str">
        <f aca="false">IF(C236="","",C236*D236/100)</f>
        <v/>
      </c>
      <c r="F236" s="15" t="str">
        <f aca="false">IF(B236&lt;5,"Go","Standard")</f>
        <v>Standard</v>
      </c>
    </row>
    <row r="237" customFormat="false" ht="15" hidden="false" customHeight="true" outlineLevel="0" collapsed="false">
      <c r="A237" s="10" t="n">
        <f aca="false">Einstellungen!$B$5+INT((ROW()-9)/24)</f>
        <v>45975</v>
      </c>
      <c r="B237" s="11" t="n">
        <f aca="false">MOD(ROW()-9,24)</f>
        <v>12</v>
      </c>
      <c r="C237" s="12"/>
      <c r="D237" s="13" t="n">
        <f aca="false">IF(B237&lt;5,Einstellungen!$B$3,Einstellungen!$B$4)</f>
        <v>29.13</v>
      </c>
      <c r="E237" s="14" t="str">
        <f aca="false">IF(C237="","",C237*D237/100)</f>
        <v/>
      </c>
      <c r="F237" s="15" t="str">
        <f aca="false">IF(B237&lt;5,"Go","Standard")</f>
        <v>Standard</v>
      </c>
    </row>
    <row r="238" customFormat="false" ht="15" hidden="false" customHeight="true" outlineLevel="0" collapsed="false">
      <c r="A238" s="10" t="n">
        <f aca="false">Einstellungen!$B$5+INT((ROW()-9)/24)</f>
        <v>45975</v>
      </c>
      <c r="B238" s="11" t="n">
        <f aca="false">MOD(ROW()-9,24)</f>
        <v>13</v>
      </c>
      <c r="C238" s="12"/>
      <c r="D238" s="13" t="n">
        <f aca="false">IF(B238&lt;5,Einstellungen!$B$3,Einstellungen!$B$4)</f>
        <v>29.13</v>
      </c>
      <c r="E238" s="14" t="str">
        <f aca="false">IF(C238="","",C238*D238/100)</f>
        <v/>
      </c>
      <c r="F238" s="15" t="str">
        <f aca="false">IF(B238&lt;5,"Go","Standard")</f>
        <v>Standard</v>
      </c>
    </row>
    <row r="239" customFormat="false" ht="15" hidden="false" customHeight="true" outlineLevel="0" collapsed="false">
      <c r="A239" s="10" t="n">
        <f aca="false">Einstellungen!$B$5+INT((ROW()-9)/24)</f>
        <v>45975</v>
      </c>
      <c r="B239" s="11" t="n">
        <f aca="false">MOD(ROW()-9,24)</f>
        <v>14</v>
      </c>
      <c r="C239" s="12"/>
      <c r="D239" s="13" t="n">
        <f aca="false">IF(B239&lt;5,Einstellungen!$B$3,Einstellungen!$B$4)</f>
        <v>29.13</v>
      </c>
      <c r="E239" s="14" t="str">
        <f aca="false">IF(C239="","",C239*D239/100)</f>
        <v/>
      </c>
      <c r="F239" s="15" t="str">
        <f aca="false">IF(B239&lt;5,"Go","Standard")</f>
        <v>Standard</v>
      </c>
    </row>
    <row r="240" customFormat="false" ht="15" hidden="false" customHeight="true" outlineLevel="0" collapsed="false">
      <c r="A240" s="10" t="n">
        <f aca="false">Einstellungen!$B$5+INT((ROW()-9)/24)</f>
        <v>45975</v>
      </c>
      <c r="B240" s="11" t="n">
        <f aca="false">MOD(ROW()-9,24)</f>
        <v>15</v>
      </c>
      <c r="C240" s="12"/>
      <c r="D240" s="13" t="n">
        <f aca="false">IF(B240&lt;5,Einstellungen!$B$3,Einstellungen!$B$4)</f>
        <v>29.13</v>
      </c>
      <c r="E240" s="14" t="str">
        <f aca="false">IF(C240="","",C240*D240/100)</f>
        <v/>
      </c>
      <c r="F240" s="15" t="str">
        <f aca="false">IF(B240&lt;5,"Go","Standard")</f>
        <v>Standard</v>
      </c>
    </row>
    <row r="241" customFormat="false" ht="15" hidden="false" customHeight="true" outlineLevel="0" collapsed="false">
      <c r="A241" s="10" t="n">
        <f aca="false">Einstellungen!$B$5+INT((ROW()-9)/24)</f>
        <v>45975</v>
      </c>
      <c r="B241" s="11" t="n">
        <f aca="false">MOD(ROW()-9,24)</f>
        <v>16</v>
      </c>
      <c r="C241" s="12"/>
      <c r="D241" s="13" t="n">
        <f aca="false">IF(B241&lt;5,Einstellungen!$B$3,Einstellungen!$B$4)</f>
        <v>29.13</v>
      </c>
      <c r="E241" s="14" t="str">
        <f aca="false">IF(C241="","",C241*D241/100)</f>
        <v/>
      </c>
      <c r="F241" s="15" t="str">
        <f aca="false">IF(B241&lt;5,"Go","Standard")</f>
        <v>Standard</v>
      </c>
    </row>
    <row r="242" customFormat="false" ht="15" hidden="false" customHeight="true" outlineLevel="0" collapsed="false">
      <c r="A242" s="10" t="n">
        <f aca="false">Einstellungen!$B$5+INT((ROW()-9)/24)</f>
        <v>45975</v>
      </c>
      <c r="B242" s="11" t="n">
        <f aca="false">MOD(ROW()-9,24)</f>
        <v>17</v>
      </c>
      <c r="C242" s="12"/>
      <c r="D242" s="13" t="n">
        <f aca="false">IF(B242&lt;5,Einstellungen!$B$3,Einstellungen!$B$4)</f>
        <v>29.13</v>
      </c>
      <c r="E242" s="14" t="str">
        <f aca="false">IF(C242="","",C242*D242/100)</f>
        <v/>
      </c>
      <c r="F242" s="15" t="str">
        <f aca="false">IF(B242&lt;5,"Go","Standard")</f>
        <v>Standard</v>
      </c>
    </row>
    <row r="243" customFormat="false" ht="15" hidden="false" customHeight="true" outlineLevel="0" collapsed="false">
      <c r="A243" s="10" t="n">
        <f aca="false">Einstellungen!$B$5+INT((ROW()-9)/24)</f>
        <v>45975</v>
      </c>
      <c r="B243" s="11" t="n">
        <f aca="false">MOD(ROW()-9,24)</f>
        <v>18</v>
      </c>
      <c r="C243" s="12"/>
      <c r="D243" s="13" t="n">
        <f aca="false">IF(B243&lt;5,Einstellungen!$B$3,Einstellungen!$B$4)</f>
        <v>29.13</v>
      </c>
      <c r="E243" s="14" t="str">
        <f aca="false">IF(C243="","",C243*D243/100)</f>
        <v/>
      </c>
      <c r="F243" s="15" t="str">
        <f aca="false">IF(B243&lt;5,"Go","Standard")</f>
        <v>Standard</v>
      </c>
    </row>
    <row r="244" customFormat="false" ht="15" hidden="false" customHeight="true" outlineLevel="0" collapsed="false">
      <c r="A244" s="10" t="n">
        <f aca="false">Einstellungen!$B$5+INT((ROW()-9)/24)</f>
        <v>45975</v>
      </c>
      <c r="B244" s="11" t="n">
        <f aca="false">MOD(ROW()-9,24)</f>
        <v>19</v>
      </c>
      <c r="C244" s="12"/>
      <c r="D244" s="13" t="n">
        <f aca="false">IF(B244&lt;5,Einstellungen!$B$3,Einstellungen!$B$4)</f>
        <v>29.13</v>
      </c>
      <c r="E244" s="14" t="str">
        <f aca="false">IF(C244="","",C244*D244/100)</f>
        <v/>
      </c>
      <c r="F244" s="15" t="str">
        <f aca="false">IF(B244&lt;5,"Go","Standard")</f>
        <v>Standard</v>
      </c>
    </row>
    <row r="245" customFormat="false" ht="15" hidden="false" customHeight="true" outlineLevel="0" collapsed="false">
      <c r="A245" s="10" t="n">
        <f aca="false">Einstellungen!$B$5+INT((ROW()-9)/24)</f>
        <v>45975</v>
      </c>
      <c r="B245" s="11" t="n">
        <f aca="false">MOD(ROW()-9,24)</f>
        <v>20</v>
      </c>
      <c r="C245" s="12"/>
      <c r="D245" s="13" t="n">
        <f aca="false">IF(B245&lt;5,Einstellungen!$B$3,Einstellungen!$B$4)</f>
        <v>29.13</v>
      </c>
      <c r="E245" s="14" t="str">
        <f aca="false">IF(C245="","",C245*D245/100)</f>
        <v/>
      </c>
      <c r="F245" s="15" t="str">
        <f aca="false">IF(B245&lt;5,"Go","Standard")</f>
        <v>Standard</v>
      </c>
    </row>
    <row r="246" customFormat="false" ht="15" hidden="false" customHeight="true" outlineLevel="0" collapsed="false">
      <c r="A246" s="10" t="n">
        <f aca="false">Einstellungen!$B$5+INT((ROW()-9)/24)</f>
        <v>45975</v>
      </c>
      <c r="B246" s="11" t="n">
        <f aca="false">MOD(ROW()-9,24)</f>
        <v>21</v>
      </c>
      <c r="C246" s="12"/>
      <c r="D246" s="13" t="n">
        <f aca="false">IF(B246&lt;5,Einstellungen!$B$3,Einstellungen!$B$4)</f>
        <v>29.13</v>
      </c>
      <c r="E246" s="14" t="str">
        <f aca="false">IF(C246="","",C246*D246/100)</f>
        <v/>
      </c>
      <c r="F246" s="15" t="str">
        <f aca="false">IF(B246&lt;5,"Go","Standard")</f>
        <v>Standard</v>
      </c>
    </row>
    <row r="247" customFormat="false" ht="15" hidden="false" customHeight="true" outlineLevel="0" collapsed="false">
      <c r="A247" s="10" t="n">
        <f aca="false">Einstellungen!$B$5+INT((ROW()-9)/24)</f>
        <v>45975</v>
      </c>
      <c r="B247" s="11" t="n">
        <f aca="false">MOD(ROW()-9,24)</f>
        <v>22</v>
      </c>
      <c r="C247" s="12"/>
      <c r="D247" s="13" t="n">
        <f aca="false">IF(B247&lt;5,Einstellungen!$B$3,Einstellungen!$B$4)</f>
        <v>29.13</v>
      </c>
      <c r="E247" s="14" t="str">
        <f aca="false">IF(C247="","",C247*D247/100)</f>
        <v/>
      </c>
      <c r="F247" s="15" t="str">
        <f aca="false">IF(B247&lt;5,"Go","Standard")</f>
        <v>Standard</v>
      </c>
    </row>
    <row r="248" customFormat="false" ht="15" hidden="false" customHeight="true" outlineLevel="0" collapsed="false">
      <c r="A248" s="10" t="n">
        <f aca="false">Einstellungen!$B$5+INT((ROW()-9)/24)</f>
        <v>45975</v>
      </c>
      <c r="B248" s="11" t="n">
        <f aca="false">MOD(ROW()-9,24)</f>
        <v>23</v>
      </c>
      <c r="C248" s="12"/>
      <c r="D248" s="13" t="n">
        <f aca="false">IF(B248&lt;5,Einstellungen!$B$3,Einstellungen!$B$4)</f>
        <v>29.13</v>
      </c>
      <c r="E248" s="14" t="str">
        <f aca="false">IF(C248="","",C248*D248/100)</f>
        <v/>
      </c>
      <c r="F248" s="15" t="str">
        <f aca="false">IF(B248&lt;5,"Go","Standard")</f>
        <v>Standard</v>
      </c>
    </row>
    <row r="249" customFormat="false" ht="15" hidden="false" customHeight="true" outlineLevel="0" collapsed="false">
      <c r="A249" s="10" t="n">
        <f aca="false">Einstellungen!$B$5+INT((ROW()-9)/24)</f>
        <v>45976</v>
      </c>
      <c r="B249" s="11" t="n">
        <f aca="false">MOD(ROW()-9,24)</f>
        <v>0</v>
      </c>
      <c r="C249" s="12"/>
      <c r="D249" s="13" t="n">
        <f aca="false">IF(B249&lt;5,Einstellungen!$B$3,Einstellungen!$B$4)</f>
        <v>15.92</v>
      </c>
      <c r="E249" s="14" t="str">
        <f aca="false">IF(C249="","",C249*D249/100)</f>
        <v/>
      </c>
      <c r="F249" s="15" t="str">
        <f aca="false">IF(B249&lt;5,"Go","Standard")</f>
        <v>Go</v>
      </c>
    </row>
    <row r="250" customFormat="false" ht="15" hidden="false" customHeight="true" outlineLevel="0" collapsed="false">
      <c r="A250" s="10" t="n">
        <f aca="false">Einstellungen!$B$5+INT((ROW()-9)/24)</f>
        <v>45976</v>
      </c>
      <c r="B250" s="11" t="n">
        <f aca="false">MOD(ROW()-9,24)</f>
        <v>1</v>
      </c>
      <c r="C250" s="12"/>
      <c r="D250" s="13" t="n">
        <f aca="false">IF(B250&lt;5,Einstellungen!$B$3,Einstellungen!$B$4)</f>
        <v>15.92</v>
      </c>
      <c r="E250" s="14" t="str">
        <f aca="false">IF(C250="","",C250*D250/100)</f>
        <v/>
      </c>
      <c r="F250" s="15" t="str">
        <f aca="false">IF(B250&lt;5,"Go","Standard")</f>
        <v>Go</v>
      </c>
    </row>
    <row r="251" customFormat="false" ht="15" hidden="false" customHeight="true" outlineLevel="0" collapsed="false">
      <c r="A251" s="10" t="n">
        <f aca="false">Einstellungen!$B$5+INT((ROW()-9)/24)</f>
        <v>45976</v>
      </c>
      <c r="B251" s="11" t="n">
        <f aca="false">MOD(ROW()-9,24)</f>
        <v>2</v>
      </c>
      <c r="C251" s="12"/>
      <c r="D251" s="13" t="n">
        <f aca="false">IF(B251&lt;5,Einstellungen!$B$3,Einstellungen!$B$4)</f>
        <v>15.92</v>
      </c>
      <c r="E251" s="14" t="str">
        <f aca="false">IF(C251="","",C251*D251/100)</f>
        <v/>
      </c>
      <c r="F251" s="15" t="str">
        <f aca="false">IF(B251&lt;5,"Go","Standard")</f>
        <v>Go</v>
      </c>
    </row>
    <row r="252" customFormat="false" ht="15" hidden="false" customHeight="true" outlineLevel="0" collapsed="false">
      <c r="A252" s="10" t="n">
        <f aca="false">Einstellungen!$B$5+INT((ROW()-9)/24)</f>
        <v>45976</v>
      </c>
      <c r="B252" s="11" t="n">
        <f aca="false">MOD(ROW()-9,24)</f>
        <v>3</v>
      </c>
      <c r="C252" s="12"/>
      <c r="D252" s="13" t="n">
        <f aca="false">IF(B252&lt;5,Einstellungen!$B$3,Einstellungen!$B$4)</f>
        <v>15.92</v>
      </c>
      <c r="E252" s="14" t="str">
        <f aca="false">IF(C252="","",C252*D252/100)</f>
        <v/>
      </c>
      <c r="F252" s="15" t="str">
        <f aca="false">IF(B252&lt;5,"Go","Standard")</f>
        <v>Go</v>
      </c>
    </row>
    <row r="253" customFormat="false" ht="15" hidden="false" customHeight="true" outlineLevel="0" collapsed="false">
      <c r="A253" s="10" t="n">
        <f aca="false">Einstellungen!$B$5+INT((ROW()-9)/24)</f>
        <v>45976</v>
      </c>
      <c r="B253" s="11" t="n">
        <f aca="false">MOD(ROW()-9,24)</f>
        <v>4</v>
      </c>
      <c r="C253" s="12"/>
      <c r="D253" s="13" t="n">
        <f aca="false">IF(B253&lt;5,Einstellungen!$B$3,Einstellungen!$B$4)</f>
        <v>15.92</v>
      </c>
      <c r="E253" s="14" t="str">
        <f aca="false">IF(C253="","",C253*D253/100)</f>
        <v/>
      </c>
      <c r="F253" s="15" t="str">
        <f aca="false">IF(B253&lt;5,"Go","Standard")</f>
        <v>Go</v>
      </c>
    </row>
    <row r="254" customFormat="false" ht="15" hidden="false" customHeight="true" outlineLevel="0" collapsed="false">
      <c r="A254" s="10" t="n">
        <f aca="false">Einstellungen!$B$5+INT((ROW()-9)/24)</f>
        <v>45976</v>
      </c>
      <c r="B254" s="11" t="n">
        <f aca="false">MOD(ROW()-9,24)</f>
        <v>5</v>
      </c>
      <c r="C254" s="12"/>
      <c r="D254" s="13" t="n">
        <f aca="false">IF(B254&lt;5,Einstellungen!$B$3,Einstellungen!$B$4)</f>
        <v>29.13</v>
      </c>
      <c r="E254" s="14" t="str">
        <f aca="false">IF(C254="","",C254*D254/100)</f>
        <v/>
      </c>
      <c r="F254" s="15" t="str">
        <f aca="false">IF(B254&lt;5,"Go","Standard")</f>
        <v>Standard</v>
      </c>
    </row>
    <row r="255" customFormat="false" ht="15" hidden="false" customHeight="true" outlineLevel="0" collapsed="false">
      <c r="A255" s="10" t="n">
        <f aca="false">Einstellungen!$B$5+INT((ROW()-9)/24)</f>
        <v>45976</v>
      </c>
      <c r="B255" s="11" t="n">
        <f aca="false">MOD(ROW()-9,24)</f>
        <v>6</v>
      </c>
      <c r="C255" s="12"/>
      <c r="D255" s="13" t="n">
        <f aca="false">IF(B255&lt;5,Einstellungen!$B$3,Einstellungen!$B$4)</f>
        <v>29.13</v>
      </c>
      <c r="E255" s="14" t="str">
        <f aca="false">IF(C255="","",C255*D255/100)</f>
        <v/>
      </c>
      <c r="F255" s="15" t="str">
        <f aca="false">IF(B255&lt;5,"Go","Standard")</f>
        <v>Standard</v>
      </c>
    </row>
    <row r="256" customFormat="false" ht="15" hidden="false" customHeight="true" outlineLevel="0" collapsed="false">
      <c r="A256" s="10" t="n">
        <f aca="false">Einstellungen!$B$5+INT((ROW()-9)/24)</f>
        <v>45976</v>
      </c>
      <c r="B256" s="11" t="n">
        <f aca="false">MOD(ROW()-9,24)</f>
        <v>7</v>
      </c>
      <c r="C256" s="12"/>
      <c r="D256" s="13" t="n">
        <f aca="false">IF(B256&lt;5,Einstellungen!$B$3,Einstellungen!$B$4)</f>
        <v>29.13</v>
      </c>
      <c r="E256" s="14" t="str">
        <f aca="false">IF(C256="","",C256*D256/100)</f>
        <v/>
      </c>
      <c r="F256" s="15" t="str">
        <f aca="false">IF(B256&lt;5,"Go","Standard")</f>
        <v>Standard</v>
      </c>
    </row>
    <row r="257" customFormat="false" ht="15" hidden="false" customHeight="true" outlineLevel="0" collapsed="false">
      <c r="A257" s="10" t="n">
        <f aca="false">Einstellungen!$B$5+INT((ROW()-9)/24)</f>
        <v>45976</v>
      </c>
      <c r="B257" s="11" t="n">
        <f aca="false">MOD(ROW()-9,24)</f>
        <v>8</v>
      </c>
      <c r="C257" s="12"/>
      <c r="D257" s="13" t="n">
        <f aca="false">IF(B257&lt;5,Einstellungen!$B$3,Einstellungen!$B$4)</f>
        <v>29.13</v>
      </c>
      <c r="E257" s="14" t="str">
        <f aca="false">IF(C257="","",C257*D257/100)</f>
        <v/>
      </c>
      <c r="F257" s="15" t="str">
        <f aca="false">IF(B257&lt;5,"Go","Standard")</f>
        <v>Standard</v>
      </c>
    </row>
    <row r="258" customFormat="false" ht="15" hidden="false" customHeight="true" outlineLevel="0" collapsed="false">
      <c r="A258" s="10" t="n">
        <f aca="false">Einstellungen!$B$5+INT((ROW()-9)/24)</f>
        <v>45976</v>
      </c>
      <c r="B258" s="11" t="n">
        <f aca="false">MOD(ROW()-9,24)</f>
        <v>9</v>
      </c>
      <c r="C258" s="12"/>
      <c r="D258" s="13" t="n">
        <f aca="false">IF(B258&lt;5,Einstellungen!$B$3,Einstellungen!$B$4)</f>
        <v>29.13</v>
      </c>
      <c r="E258" s="14" t="str">
        <f aca="false">IF(C258="","",C258*D258/100)</f>
        <v/>
      </c>
      <c r="F258" s="15" t="str">
        <f aca="false">IF(B258&lt;5,"Go","Standard")</f>
        <v>Standard</v>
      </c>
    </row>
    <row r="259" customFormat="false" ht="15" hidden="false" customHeight="true" outlineLevel="0" collapsed="false">
      <c r="A259" s="10" t="n">
        <f aca="false">Einstellungen!$B$5+INT((ROW()-9)/24)</f>
        <v>45976</v>
      </c>
      <c r="B259" s="11" t="n">
        <f aca="false">MOD(ROW()-9,24)</f>
        <v>10</v>
      </c>
      <c r="C259" s="12"/>
      <c r="D259" s="13" t="n">
        <f aca="false">IF(B259&lt;5,Einstellungen!$B$3,Einstellungen!$B$4)</f>
        <v>29.13</v>
      </c>
      <c r="E259" s="14" t="str">
        <f aca="false">IF(C259="","",C259*D259/100)</f>
        <v/>
      </c>
      <c r="F259" s="15" t="str">
        <f aca="false">IF(B259&lt;5,"Go","Standard")</f>
        <v>Standard</v>
      </c>
    </row>
    <row r="260" customFormat="false" ht="15" hidden="false" customHeight="true" outlineLevel="0" collapsed="false">
      <c r="A260" s="10" t="n">
        <f aca="false">Einstellungen!$B$5+INT((ROW()-9)/24)</f>
        <v>45976</v>
      </c>
      <c r="B260" s="11" t="n">
        <f aca="false">MOD(ROW()-9,24)</f>
        <v>11</v>
      </c>
      <c r="C260" s="12"/>
      <c r="D260" s="13" t="n">
        <f aca="false">IF(B260&lt;5,Einstellungen!$B$3,Einstellungen!$B$4)</f>
        <v>29.13</v>
      </c>
      <c r="E260" s="14" t="str">
        <f aca="false">IF(C260="","",C260*D260/100)</f>
        <v/>
      </c>
      <c r="F260" s="15" t="str">
        <f aca="false">IF(B260&lt;5,"Go","Standard")</f>
        <v>Standard</v>
      </c>
    </row>
    <row r="261" customFormat="false" ht="15" hidden="false" customHeight="true" outlineLevel="0" collapsed="false">
      <c r="A261" s="10" t="n">
        <f aca="false">Einstellungen!$B$5+INT((ROW()-9)/24)</f>
        <v>45976</v>
      </c>
      <c r="B261" s="11" t="n">
        <f aca="false">MOD(ROW()-9,24)</f>
        <v>12</v>
      </c>
      <c r="C261" s="12"/>
      <c r="D261" s="13" t="n">
        <f aca="false">IF(B261&lt;5,Einstellungen!$B$3,Einstellungen!$B$4)</f>
        <v>29.13</v>
      </c>
      <c r="E261" s="14" t="str">
        <f aca="false">IF(C261="","",C261*D261/100)</f>
        <v/>
      </c>
      <c r="F261" s="15" t="str">
        <f aca="false">IF(B261&lt;5,"Go","Standard")</f>
        <v>Standard</v>
      </c>
    </row>
    <row r="262" customFormat="false" ht="15" hidden="false" customHeight="true" outlineLevel="0" collapsed="false">
      <c r="A262" s="10" t="n">
        <f aca="false">Einstellungen!$B$5+INT((ROW()-9)/24)</f>
        <v>45976</v>
      </c>
      <c r="B262" s="11" t="n">
        <f aca="false">MOD(ROW()-9,24)</f>
        <v>13</v>
      </c>
      <c r="C262" s="12"/>
      <c r="D262" s="13" t="n">
        <f aca="false">IF(B262&lt;5,Einstellungen!$B$3,Einstellungen!$B$4)</f>
        <v>29.13</v>
      </c>
      <c r="E262" s="14" t="str">
        <f aca="false">IF(C262="","",C262*D262/100)</f>
        <v/>
      </c>
      <c r="F262" s="15" t="str">
        <f aca="false">IF(B262&lt;5,"Go","Standard")</f>
        <v>Standard</v>
      </c>
    </row>
    <row r="263" customFormat="false" ht="15" hidden="false" customHeight="true" outlineLevel="0" collapsed="false">
      <c r="A263" s="10" t="n">
        <f aca="false">Einstellungen!$B$5+INT((ROW()-9)/24)</f>
        <v>45976</v>
      </c>
      <c r="B263" s="11" t="n">
        <f aca="false">MOD(ROW()-9,24)</f>
        <v>14</v>
      </c>
      <c r="C263" s="12"/>
      <c r="D263" s="13" t="n">
        <f aca="false">IF(B263&lt;5,Einstellungen!$B$3,Einstellungen!$B$4)</f>
        <v>29.13</v>
      </c>
      <c r="E263" s="14" t="str">
        <f aca="false">IF(C263="","",C263*D263/100)</f>
        <v/>
      </c>
      <c r="F263" s="15" t="str">
        <f aca="false">IF(B263&lt;5,"Go","Standard")</f>
        <v>Standard</v>
      </c>
    </row>
    <row r="264" customFormat="false" ht="15" hidden="false" customHeight="true" outlineLevel="0" collapsed="false">
      <c r="A264" s="10" t="n">
        <f aca="false">Einstellungen!$B$5+INT((ROW()-9)/24)</f>
        <v>45976</v>
      </c>
      <c r="B264" s="11" t="n">
        <f aca="false">MOD(ROW()-9,24)</f>
        <v>15</v>
      </c>
      <c r="C264" s="12"/>
      <c r="D264" s="13" t="n">
        <f aca="false">IF(B264&lt;5,Einstellungen!$B$3,Einstellungen!$B$4)</f>
        <v>29.13</v>
      </c>
      <c r="E264" s="14" t="str">
        <f aca="false">IF(C264="","",C264*D264/100)</f>
        <v/>
      </c>
      <c r="F264" s="15" t="str">
        <f aca="false">IF(B264&lt;5,"Go","Standard")</f>
        <v>Standard</v>
      </c>
    </row>
    <row r="265" customFormat="false" ht="15" hidden="false" customHeight="true" outlineLevel="0" collapsed="false">
      <c r="A265" s="10" t="n">
        <f aca="false">Einstellungen!$B$5+INT((ROW()-9)/24)</f>
        <v>45976</v>
      </c>
      <c r="B265" s="11" t="n">
        <f aca="false">MOD(ROW()-9,24)</f>
        <v>16</v>
      </c>
      <c r="C265" s="12"/>
      <c r="D265" s="13" t="n">
        <f aca="false">IF(B265&lt;5,Einstellungen!$B$3,Einstellungen!$B$4)</f>
        <v>29.13</v>
      </c>
      <c r="E265" s="14" t="str">
        <f aca="false">IF(C265="","",C265*D265/100)</f>
        <v/>
      </c>
      <c r="F265" s="15" t="str">
        <f aca="false">IF(B265&lt;5,"Go","Standard")</f>
        <v>Standard</v>
      </c>
    </row>
    <row r="266" customFormat="false" ht="15" hidden="false" customHeight="true" outlineLevel="0" collapsed="false">
      <c r="A266" s="10" t="n">
        <f aca="false">Einstellungen!$B$5+INT((ROW()-9)/24)</f>
        <v>45976</v>
      </c>
      <c r="B266" s="11" t="n">
        <f aca="false">MOD(ROW()-9,24)</f>
        <v>17</v>
      </c>
      <c r="C266" s="12"/>
      <c r="D266" s="13" t="n">
        <f aca="false">IF(B266&lt;5,Einstellungen!$B$3,Einstellungen!$B$4)</f>
        <v>29.13</v>
      </c>
      <c r="E266" s="14" t="str">
        <f aca="false">IF(C266="","",C266*D266/100)</f>
        <v/>
      </c>
      <c r="F266" s="15" t="str">
        <f aca="false">IF(B266&lt;5,"Go","Standard")</f>
        <v>Standard</v>
      </c>
    </row>
    <row r="267" customFormat="false" ht="15" hidden="false" customHeight="true" outlineLevel="0" collapsed="false">
      <c r="A267" s="10" t="n">
        <f aca="false">Einstellungen!$B$5+INT((ROW()-9)/24)</f>
        <v>45976</v>
      </c>
      <c r="B267" s="11" t="n">
        <f aca="false">MOD(ROW()-9,24)</f>
        <v>18</v>
      </c>
      <c r="C267" s="12"/>
      <c r="D267" s="13" t="n">
        <f aca="false">IF(B267&lt;5,Einstellungen!$B$3,Einstellungen!$B$4)</f>
        <v>29.13</v>
      </c>
      <c r="E267" s="14" t="str">
        <f aca="false">IF(C267="","",C267*D267/100)</f>
        <v/>
      </c>
      <c r="F267" s="15" t="str">
        <f aca="false">IF(B267&lt;5,"Go","Standard")</f>
        <v>Standard</v>
      </c>
    </row>
    <row r="268" customFormat="false" ht="15" hidden="false" customHeight="true" outlineLevel="0" collapsed="false">
      <c r="A268" s="10" t="n">
        <f aca="false">Einstellungen!$B$5+INT((ROW()-9)/24)</f>
        <v>45976</v>
      </c>
      <c r="B268" s="11" t="n">
        <f aca="false">MOD(ROW()-9,24)</f>
        <v>19</v>
      </c>
      <c r="C268" s="12"/>
      <c r="D268" s="13" t="n">
        <f aca="false">IF(B268&lt;5,Einstellungen!$B$3,Einstellungen!$B$4)</f>
        <v>29.13</v>
      </c>
      <c r="E268" s="14" t="str">
        <f aca="false">IF(C268="","",C268*D268/100)</f>
        <v/>
      </c>
      <c r="F268" s="15" t="str">
        <f aca="false">IF(B268&lt;5,"Go","Standard")</f>
        <v>Standard</v>
      </c>
    </row>
    <row r="269" customFormat="false" ht="15" hidden="false" customHeight="true" outlineLevel="0" collapsed="false">
      <c r="A269" s="10" t="n">
        <f aca="false">Einstellungen!$B$5+INT((ROW()-9)/24)</f>
        <v>45976</v>
      </c>
      <c r="B269" s="11" t="n">
        <f aca="false">MOD(ROW()-9,24)</f>
        <v>20</v>
      </c>
      <c r="C269" s="12"/>
      <c r="D269" s="13" t="n">
        <f aca="false">IF(B269&lt;5,Einstellungen!$B$3,Einstellungen!$B$4)</f>
        <v>29.13</v>
      </c>
      <c r="E269" s="14" t="str">
        <f aca="false">IF(C269="","",C269*D269/100)</f>
        <v/>
      </c>
      <c r="F269" s="15" t="str">
        <f aca="false">IF(B269&lt;5,"Go","Standard")</f>
        <v>Standard</v>
      </c>
    </row>
    <row r="270" customFormat="false" ht="15" hidden="false" customHeight="true" outlineLevel="0" collapsed="false">
      <c r="A270" s="10" t="n">
        <f aca="false">Einstellungen!$B$5+INT((ROW()-9)/24)</f>
        <v>45976</v>
      </c>
      <c r="B270" s="11" t="n">
        <f aca="false">MOD(ROW()-9,24)</f>
        <v>21</v>
      </c>
      <c r="C270" s="12"/>
      <c r="D270" s="13" t="n">
        <f aca="false">IF(B270&lt;5,Einstellungen!$B$3,Einstellungen!$B$4)</f>
        <v>29.13</v>
      </c>
      <c r="E270" s="14" t="str">
        <f aca="false">IF(C270="","",C270*D270/100)</f>
        <v/>
      </c>
      <c r="F270" s="15" t="str">
        <f aca="false">IF(B270&lt;5,"Go","Standard")</f>
        <v>Standard</v>
      </c>
    </row>
    <row r="271" customFormat="false" ht="15" hidden="false" customHeight="true" outlineLevel="0" collapsed="false">
      <c r="A271" s="10" t="n">
        <f aca="false">Einstellungen!$B$5+INT((ROW()-9)/24)</f>
        <v>45976</v>
      </c>
      <c r="B271" s="11" t="n">
        <f aca="false">MOD(ROW()-9,24)</f>
        <v>22</v>
      </c>
      <c r="C271" s="12"/>
      <c r="D271" s="13" t="n">
        <f aca="false">IF(B271&lt;5,Einstellungen!$B$3,Einstellungen!$B$4)</f>
        <v>29.13</v>
      </c>
      <c r="E271" s="14" t="str">
        <f aca="false">IF(C271="","",C271*D271/100)</f>
        <v/>
      </c>
      <c r="F271" s="15" t="str">
        <f aca="false">IF(B271&lt;5,"Go","Standard")</f>
        <v>Standard</v>
      </c>
    </row>
    <row r="272" customFormat="false" ht="15" hidden="false" customHeight="true" outlineLevel="0" collapsed="false">
      <c r="A272" s="10" t="n">
        <f aca="false">Einstellungen!$B$5+INT((ROW()-9)/24)</f>
        <v>45976</v>
      </c>
      <c r="B272" s="11" t="n">
        <f aca="false">MOD(ROW()-9,24)</f>
        <v>23</v>
      </c>
      <c r="C272" s="12"/>
      <c r="D272" s="13" t="n">
        <f aca="false">IF(B272&lt;5,Einstellungen!$B$3,Einstellungen!$B$4)</f>
        <v>29.13</v>
      </c>
      <c r="E272" s="14" t="str">
        <f aca="false">IF(C272="","",C272*D272/100)</f>
        <v/>
      </c>
      <c r="F272" s="15" t="str">
        <f aca="false">IF(B272&lt;5,"Go","Standard")</f>
        <v>Standard</v>
      </c>
    </row>
    <row r="273" customFormat="false" ht="15" hidden="false" customHeight="true" outlineLevel="0" collapsed="false">
      <c r="A273" s="10" t="n">
        <f aca="false">Einstellungen!$B$5+INT((ROW()-9)/24)</f>
        <v>45977</v>
      </c>
      <c r="B273" s="11" t="n">
        <f aca="false">MOD(ROW()-9,24)</f>
        <v>0</v>
      </c>
      <c r="C273" s="12"/>
      <c r="D273" s="13" t="n">
        <f aca="false">IF(B273&lt;5,Einstellungen!$B$3,Einstellungen!$B$4)</f>
        <v>15.92</v>
      </c>
      <c r="E273" s="14" t="str">
        <f aca="false">IF(C273="","",C273*D273/100)</f>
        <v/>
      </c>
      <c r="F273" s="15" t="str">
        <f aca="false">IF(B273&lt;5,"Go","Standard")</f>
        <v>Go</v>
      </c>
    </row>
    <row r="274" customFormat="false" ht="15" hidden="false" customHeight="true" outlineLevel="0" collapsed="false">
      <c r="A274" s="10" t="n">
        <f aca="false">Einstellungen!$B$5+INT((ROW()-9)/24)</f>
        <v>45977</v>
      </c>
      <c r="B274" s="11" t="n">
        <f aca="false">MOD(ROW()-9,24)</f>
        <v>1</v>
      </c>
      <c r="C274" s="12"/>
      <c r="D274" s="13" t="n">
        <f aca="false">IF(B274&lt;5,Einstellungen!$B$3,Einstellungen!$B$4)</f>
        <v>15.92</v>
      </c>
      <c r="E274" s="14" t="str">
        <f aca="false">IF(C274="","",C274*D274/100)</f>
        <v/>
      </c>
      <c r="F274" s="15" t="str">
        <f aca="false">IF(B274&lt;5,"Go","Standard")</f>
        <v>Go</v>
      </c>
    </row>
    <row r="275" customFormat="false" ht="15" hidden="false" customHeight="true" outlineLevel="0" collapsed="false">
      <c r="A275" s="10" t="n">
        <f aca="false">Einstellungen!$B$5+INT((ROW()-9)/24)</f>
        <v>45977</v>
      </c>
      <c r="B275" s="11" t="n">
        <f aca="false">MOD(ROW()-9,24)</f>
        <v>2</v>
      </c>
      <c r="C275" s="12"/>
      <c r="D275" s="13" t="n">
        <f aca="false">IF(B275&lt;5,Einstellungen!$B$3,Einstellungen!$B$4)</f>
        <v>15.92</v>
      </c>
      <c r="E275" s="14" t="str">
        <f aca="false">IF(C275="","",C275*D275/100)</f>
        <v/>
      </c>
      <c r="F275" s="15" t="str">
        <f aca="false">IF(B275&lt;5,"Go","Standard")</f>
        <v>Go</v>
      </c>
    </row>
    <row r="276" customFormat="false" ht="15" hidden="false" customHeight="true" outlineLevel="0" collapsed="false">
      <c r="A276" s="10" t="n">
        <f aca="false">Einstellungen!$B$5+INT((ROW()-9)/24)</f>
        <v>45977</v>
      </c>
      <c r="B276" s="11" t="n">
        <f aca="false">MOD(ROW()-9,24)</f>
        <v>3</v>
      </c>
      <c r="C276" s="12"/>
      <c r="D276" s="13" t="n">
        <f aca="false">IF(B276&lt;5,Einstellungen!$B$3,Einstellungen!$B$4)</f>
        <v>15.92</v>
      </c>
      <c r="E276" s="14" t="str">
        <f aca="false">IF(C276="","",C276*D276/100)</f>
        <v/>
      </c>
      <c r="F276" s="15" t="str">
        <f aca="false">IF(B276&lt;5,"Go","Standard")</f>
        <v>Go</v>
      </c>
    </row>
    <row r="277" customFormat="false" ht="15" hidden="false" customHeight="true" outlineLevel="0" collapsed="false">
      <c r="A277" s="10" t="n">
        <f aca="false">Einstellungen!$B$5+INT((ROW()-9)/24)</f>
        <v>45977</v>
      </c>
      <c r="B277" s="11" t="n">
        <f aca="false">MOD(ROW()-9,24)</f>
        <v>4</v>
      </c>
      <c r="C277" s="12"/>
      <c r="D277" s="13" t="n">
        <f aca="false">IF(B277&lt;5,Einstellungen!$B$3,Einstellungen!$B$4)</f>
        <v>15.92</v>
      </c>
      <c r="E277" s="14" t="str">
        <f aca="false">IF(C277="","",C277*D277/100)</f>
        <v/>
      </c>
      <c r="F277" s="15" t="str">
        <f aca="false">IF(B277&lt;5,"Go","Standard")</f>
        <v>Go</v>
      </c>
    </row>
    <row r="278" customFormat="false" ht="15" hidden="false" customHeight="true" outlineLevel="0" collapsed="false">
      <c r="A278" s="10" t="n">
        <f aca="false">Einstellungen!$B$5+INT((ROW()-9)/24)</f>
        <v>45977</v>
      </c>
      <c r="B278" s="11" t="n">
        <f aca="false">MOD(ROW()-9,24)</f>
        <v>5</v>
      </c>
      <c r="C278" s="12"/>
      <c r="D278" s="13" t="n">
        <f aca="false">IF(B278&lt;5,Einstellungen!$B$3,Einstellungen!$B$4)</f>
        <v>29.13</v>
      </c>
      <c r="E278" s="14" t="str">
        <f aca="false">IF(C278="","",C278*D278/100)</f>
        <v/>
      </c>
      <c r="F278" s="15" t="str">
        <f aca="false">IF(B278&lt;5,"Go","Standard")</f>
        <v>Standard</v>
      </c>
    </row>
    <row r="279" customFormat="false" ht="15" hidden="false" customHeight="true" outlineLevel="0" collapsed="false">
      <c r="A279" s="10" t="n">
        <f aca="false">Einstellungen!$B$5+INT((ROW()-9)/24)</f>
        <v>45977</v>
      </c>
      <c r="B279" s="11" t="n">
        <f aca="false">MOD(ROW()-9,24)</f>
        <v>6</v>
      </c>
      <c r="C279" s="12"/>
      <c r="D279" s="13" t="n">
        <f aca="false">IF(B279&lt;5,Einstellungen!$B$3,Einstellungen!$B$4)</f>
        <v>29.13</v>
      </c>
      <c r="E279" s="14" t="str">
        <f aca="false">IF(C279="","",C279*D279/100)</f>
        <v/>
      </c>
      <c r="F279" s="15" t="str">
        <f aca="false">IF(B279&lt;5,"Go","Standard")</f>
        <v>Standard</v>
      </c>
    </row>
    <row r="280" customFormat="false" ht="15" hidden="false" customHeight="true" outlineLevel="0" collapsed="false">
      <c r="A280" s="10" t="n">
        <f aca="false">Einstellungen!$B$5+INT((ROW()-9)/24)</f>
        <v>45977</v>
      </c>
      <c r="B280" s="11" t="n">
        <f aca="false">MOD(ROW()-9,24)</f>
        <v>7</v>
      </c>
      <c r="C280" s="12"/>
      <c r="D280" s="13" t="n">
        <f aca="false">IF(B280&lt;5,Einstellungen!$B$3,Einstellungen!$B$4)</f>
        <v>29.13</v>
      </c>
      <c r="E280" s="14" t="str">
        <f aca="false">IF(C280="","",C280*D280/100)</f>
        <v/>
      </c>
      <c r="F280" s="15" t="str">
        <f aca="false">IF(B280&lt;5,"Go","Standard")</f>
        <v>Standard</v>
      </c>
    </row>
    <row r="281" customFormat="false" ht="15" hidden="false" customHeight="true" outlineLevel="0" collapsed="false">
      <c r="A281" s="10" t="n">
        <f aca="false">Einstellungen!$B$5+INT((ROW()-9)/24)</f>
        <v>45977</v>
      </c>
      <c r="B281" s="11" t="n">
        <f aca="false">MOD(ROW()-9,24)</f>
        <v>8</v>
      </c>
      <c r="C281" s="12"/>
      <c r="D281" s="13" t="n">
        <f aca="false">IF(B281&lt;5,Einstellungen!$B$3,Einstellungen!$B$4)</f>
        <v>29.13</v>
      </c>
      <c r="E281" s="14" t="str">
        <f aca="false">IF(C281="","",C281*D281/100)</f>
        <v/>
      </c>
      <c r="F281" s="15" t="str">
        <f aca="false">IF(B281&lt;5,"Go","Standard")</f>
        <v>Standard</v>
      </c>
    </row>
    <row r="282" customFormat="false" ht="15" hidden="false" customHeight="true" outlineLevel="0" collapsed="false">
      <c r="A282" s="10" t="n">
        <f aca="false">Einstellungen!$B$5+INT((ROW()-9)/24)</f>
        <v>45977</v>
      </c>
      <c r="B282" s="11" t="n">
        <f aca="false">MOD(ROW()-9,24)</f>
        <v>9</v>
      </c>
      <c r="C282" s="12"/>
      <c r="D282" s="13" t="n">
        <f aca="false">IF(B282&lt;5,Einstellungen!$B$3,Einstellungen!$B$4)</f>
        <v>29.13</v>
      </c>
      <c r="E282" s="14" t="str">
        <f aca="false">IF(C282="","",C282*D282/100)</f>
        <v/>
      </c>
      <c r="F282" s="15" t="str">
        <f aca="false">IF(B282&lt;5,"Go","Standard")</f>
        <v>Standard</v>
      </c>
    </row>
    <row r="283" customFormat="false" ht="15" hidden="false" customHeight="true" outlineLevel="0" collapsed="false">
      <c r="A283" s="10" t="n">
        <f aca="false">Einstellungen!$B$5+INT((ROW()-9)/24)</f>
        <v>45977</v>
      </c>
      <c r="B283" s="11" t="n">
        <f aca="false">MOD(ROW()-9,24)</f>
        <v>10</v>
      </c>
      <c r="C283" s="12"/>
      <c r="D283" s="13" t="n">
        <f aca="false">IF(B283&lt;5,Einstellungen!$B$3,Einstellungen!$B$4)</f>
        <v>29.13</v>
      </c>
      <c r="E283" s="14" t="str">
        <f aca="false">IF(C283="","",C283*D283/100)</f>
        <v/>
      </c>
      <c r="F283" s="15" t="str">
        <f aca="false">IF(B283&lt;5,"Go","Standard")</f>
        <v>Standard</v>
      </c>
    </row>
    <row r="284" customFormat="false" ht="15" hidden="false" customHeight="true" outlineLevel="0" collapsed="false">
      <c r="A284" s="10" t="n">
        <f aca="false">Einstellungen!$B$5+INT((ROW()-9)/24)</f>
        <v>45977</v>
      </c>
      <c r="B284" s="11" t="n">
        <f aca="false">MOD(ROW()-9,24)</f>
        <v>11</v>
      </c>
      <c r="C284" s="12"/>
      <c r="D284" s="13" t="n">
        <f aca="false">IF(B284&lt;5,Einstellungen!$B$3,Einstellungen!$B$4)</f>
        <v>29.13</v>
      </c>
      <c r="E284" s="14" t="str">
        <f aca="false">IF(C284="","",C284*D284/100)</f>
        <v/>
      </c>
      <c r="F284" s="15" t="str">
        <f aca="false">IF(B284&lt;5,"Go","Standard")</f>
        <v>Standard</v>
      </c>
    </row>
    <row r="285" customFormat="false" ht="15" hidden="false" customHeight="true" outlineLevel="0" collapsed="false">
      <c r="A285" s="10" t="n">
        <f aca="false">Einstellungen!$B$5+INT((ROW()-9)/24)</f>
        <v>45977</v>
      </c>
      <c r="B285" s="11" t="n">
        <f aca="false">MOD(ROW()-9,24)</f>
        <v>12</v>
      </c>
      <c r="C285" s="12"/>
      <c r="D285" s="13" t="n">
        <f aca="false">IF(B285&lt;5,Einstellungen!$B$3,Einstellungen!$B$4)</f>
        <v>29.13</v>
      </c>
      <c r="E285" s="14" t="str">
        <f aca="false">IF(C285="","",C285*D285/100)</f>
        <v/>
      </c>
      <c r="F285" s="15" t="str">
        <f aca="false">IF(B285&lt;5,"Go","Standard")</f>
        <v>Standard</v>
      </c>
    </row>
    <row r="286" customFormat="false" ht="15" hidden="false" customHeight="true" outlineLevel="0" collapsed="false">
      <c r="A286" s="10" t="n">
        <f aca="false">Einstellungen!$B$5+INT((ROW()-9)/24)</f>
        <v>45977</v>
      </c>
      <c r="B286" s="11" t="n">
        <f aca="false">MOD(ROW()-9,24)</f>
        <v>13</v>
      </c>
      <c r="C286" s="12"/>
      <c r="D286" s="13" t="n">
        <f aca="false">IF(B286&lt;5,Einstellungen!$B$3,Einstellungen!$B$4)</f>
        <v>29.13</v>
      </c>
      <c r="E286" s="14" t="str">
        <f aca="false">IF(C286="","",C286*D286/100)</f>
        <v/>
      </c>
      <c r="F286" s="15" t="str">
        <f aca="false">IF(B286&lt;5,"Go","Standard")</f>
        <v>Standard</v>
      </c>
    </row>
    <row r="287" customFormat="false" ht="15" hidden="false" customHeight="true" outlineLevel="0" collapsed="false">
      <c r="A287" s="10" t="n">
        <f aca="false">Einstellungen!$B$5+INT((ROW()-9)/24)</f>
        <v>45977</v>
      </c>
      <c r="B287" s="11" t="n">
        <f aca="false">MOD(ROW()-9,24)</f>
        <v>14</v>
      </c>
      <c r="C287" s="12"/>
      <c r="D287" s="13" t="n">
        <f aca="false">IF(B287&lt;5,Einstellungen!$B$3,Einstellungen!$B$4)</f>
        <v>29.13</v>
      </c>
      <c r="E287" s="14" t="str">
        <f aca="false">IF(C287="","",C287*D287/100)</f>
        <v/>
      </c>
      <c r="F287" s="15" t="str">
        <f aca="false">IF(B287&lt;5,"Go","Standard")</f>
        <v>Standard</v>
      </c>
    </row>
    <row r="288" customFormat="false" ht="15" hidden="false" customHeight="true" outlineLevel="0" collapsed="false">
      <c r="A288" s="10" t="n">
        <f aca="false">Einstellungen!$B$5+INT((ROW()-9)/24)</f>
        <v>45977</v>
      </c>
      <c r="B288" s="11" t="n">
        <f aca="false">MOD(ROW()-9,24)</f>
        <v>15</v>
      </c>
      <c r="C288" s="12"/>
      <c r="D288" s="13" t="n">
        <f aca="false">IF(B288&lt;5,Einstellungen!$B$3,Einstellungen!$B$4)</f>
        <v>29.13</v>
      </c>
      <c r="E288" s="14" t="str">
        <f aca="false">IF(C288="","",C288*D288/100)</f>
        <v/>
      </c>
      <c r="F288" s="15" t="str">
        <f aca="false">IF(B288&lt;5,"Go","Standard")</f>
        <v>Standard</v>
      </c>
    </row>
    <row r="289" customFormat="false" ht="15" hidden="false" customHeight="true" outlineLevel="0" collapsed="false">
      <c r="A289" s="10" t="n">
        <f aca="false">Einstellungen!$B$5+INT((ROW()-9)/24)</f>
        <v>45977</v>
      </c>
      <c r="B289" s="11" t="n">
        <f aca="false">MOD(ROW()-9,24)</f>
        <v>16</v>
      </c>
      <c r="C289" s="12"/>
      <c r="D289" s="13" t="n">
        <f aca="false">IF(B289&lt;5,Einstellungen!$B$3,Einstellungen!$B$4)</f>
        <v>29.13</v>
      </c>
      <c r="E289" s="14" t="str">
        <f aca="false">IF(C289="","",C289*D289/100)</f>
        <v/>
      </c>
      <c r="F289" s="15" t="str">
        <f aca="false">IF(B289&lt;5,"Go","Standard")</f>
        <v>Standard</v>
      </c>
    </row>
    <row r="290" customFormat="false" ht="15" hidden="false" customHeight="true" outlineLevel="0" collapsed="false">
      <c r="A290" s="10" t="n">
        <f aca="false">Einstellungen!$B$5+INT((ROW()-9)/24)</f>
        <v>45977</v>
      </c>
      <c r="B290" s="11" t="n">
        <f aca="false">MOD(ROW()-9,24)</f>
        <v>17</v>
      </c>
      <c r="C290" s="12"/>
      <c r="D290" s="13" t="n">
        <f aca="false">IF(B290&lt;5,Einstellungen!$B$3,Einstellungen!$B$4)</f>
        <v>29.13</v>
      </c>
      <c r="E290" s="14" t="str">
        <f aca="false">IF(C290="","",C290*D290/100)</f>
        <v/>
      </c>
      <c r="F290" s="15" t="str">
        <f aca="false">IF(B290&lt;5,"Go","Standard")</f>
        <v>Standard</v>
      </c>
    </row>
    <row r="291" customFormat="false" ht="15" hidden="false" customHeight="true" outlineLevel="0" collapsed="false">
      <c r="A291" s="10" t="n">
        <f aca="false">Einstellungen!$B$5+INT((ROW()-9)/24)</f>
        <v>45977</v>
      </c>
      <c r="B291" s="11" t="n">
        <f aca="false">MOD(ROW()-9,24)</f>
        <v>18</v>
      </c>
      <c r="C291" s="12"/>
      <c r="D291" s="13" t="n">
        <f aca="false">IF(B291&lt;5,Einstellungen!$B$3,Einstellungen!$B$4)</f>
        <v>29.13</v>
      </c>
      <c r="E291" s="14" t="str">
        <f aca="false">IF(C291="","",C291*D291/100)</f>
        <v/>
      </c>
      <c r="F291" s="15" t="str">
        <f aca="false">IF(B291&lt;5,"Go","Standard")</f>
        <v>Standard</v>
      </c>
    </row>
    <row r="292" customFormat="false" ht="15" hidden="false" customHeight="true" outlineLevel="0" collapsed="false">
      <c r="A292" s="10" t="n">
        <f aca="false">Einstellungen!$B$5+INT((ROW()-9)/24)</f>
        <v>45977</v>
      </c>
      <c r="B292" s="11" t="n">
        <f aca="false">MOD(ROW()-9,24)</f>
        <v>19</v>
      </c>
      <c r="C292" s="12"/>
      <c r="D292" s="13" t="n">
        <f aca="false">IF(B292&lt;5,Einstellungen!$B$3,Einstellungen!$B$4)</f>
        <v>29.13</v>
      </c>
      <c r="E292" s="14" t="str">
        <f aca="false">IF(C292="","",C292*D292/100)</f>
        <v/>
      </c>
      <c r="F292" s="15" t="str">
        <f aca="false">IF(B292&lt;5,"Go","Standard")</f>
        <v>Standard</v>
      </c>
    </row>
    <row r="293" customFormat="false" ht="15" hidden="false" customHeight="true" outlineLevel="0" collapsed="false">
      <c r="A293" s="10" t="n">
        <f aca="false">Einstellungen!$B$5+INT((ROW()-9)/24)</f>
        <v>45977</v>
      </c>
      <c r="B293" s="11" t="n">
        <f aca="false">MOD(ROW()-9,24)</f>
        <v>20</v>
      </c>
      <c r="C293" s="12"/>
      <c r="D293" s="13" t="n">
        <f aca="false">IF(B293&lt;5,Einstellungen!$B$3,Einstellungen!$B$4)</f>
        <v>29.13</v>
      </c>
      <c r="E293" s="14" t="str">
        <f aca="false">IF(C293="","",C293*D293/100)</f>
        <v/>
      </c>
      <c r="F293" s="15" t="str">
        <f aca="false">IF(B293&lt;5,"Go","Standard")</f>
        <v>Standard</v>
      </c>
    </row>
    <row r="294" customFormat="false" ht="15" hidden="false" customHeight="true" outlineLevel="0" collapsed="false">
      <c r="A294" s="10" t="n">
        <f aca="false">Einstellungen!$B$5+INT((ROW()-9)/24)</f>
        <v>45977</v>
      </c>
      <c r="B294" s="11" t="n">
        <f aca="false">MOD(ROW()-9,24)</f>
        <v>21</v>
      </c>
      <c r="C294" s="12"/>
      <c r="D294" s="13" t="n">
        <f aca="false">IF(B294&lt;5,Einstellungen!$B$3,Einstellungen!$B$4)</f>
        <v>29.13</v>
      </c>
      <c r="E294" s="14" t="str">
        <f aca="false">IF(C294="","",C294*D294/100)</f>
        <v/>
      </c>
      <c r="F294" s="15" t="str">
        <f aca="false">IF(B294&lt;5,"Go","Standard")</f>
        <v>Standard</v>
      </c>
    </row>
    <row r="295" customFormat="false" ht="15" hidden="false" customHeight="true" outlineLevel="0" collapsed="false">
      <c r="A295" s="10" t="n">
        <f aca="false">Einstellungen!$B$5+INT((ROW()-9)/24)</f>
        <v>45977</v>
      </c>
      <c r="B295" s="11" t="n">
        <f aca="false">MOD(ROW()-9,24)</f>
        <v>22</v>
      </c>
      <c r="C295" s="12"/>
      <c r="D295" s="13" t="n">
        <f aca="false">IF(B295&lt;5,Einstellungen!$B$3,Einstellungen!$B$4)</f>
        <v>29.13</v>
      </c>
      <c r="E295" s="14" t="str">
        <f aca="false">IF(C295="","",C295*D295/100)</f>
        <v/>
      </c>
      <c r="F295" s="15" t="str">
        <f aca="false">IF(B295&lt;5,"Go","Standard")</f>
        <v>Standard</v>
      </c>
    </row>
    <row r="296" customFormat="false" ht="15" hidden="false" customHeight="true" outlineLevel="0" collapsed="false">
      <c r="A296" s="10" t="n">
        <f aca="false">Einstellungen!$B$5+INT((ROW()-9)/24)</f>
        <v>45977</v>
      </c>
      <c r="B296" s="11" t="n">
        <f aca="false">MOD(ROW()-9,24)</f>
        <v>23</v>
      </c>
      <c r="C296" s="12"/>
      <c r="D296" s="13" t="n">
        <f aca="false">IF(B296&lt;5,Einstellungen!$B$3,Einstellungen!$B$4)</f>
        <v>29.13</v>
      </c>
      <c r="E296" s="14" t="str">
        <f aca="false">IF(C296="","",C296*D296/100)</f>
        <v/>
      </c>
      <c r="F296" s="15" t="str">
        <f aca="false">IF(B296&lt;5,"Go","Standard")</f>
        <v>Standard</v>
      </c>
    </row>
    <row r="297" customFormat="false" ht="15" hidden="false" customHeight="true" outlineLevel="0" collapsed="false">
      <c r="A297" s="10" t="n">
        <f aca="false">Einstellungen!$B$5+INT((ROW()-9)/24)</f>
        <v>45978</v>
      </c>
      <c r="B297" s="11" t="n">
        <f aca="false">MOD(ROW()-9,24)</f>
        <v>0</v>
      </c>
      <c r="C297" s="12"/>
      <c r="D297" s="13" t="n">
        <f aca="false">IF(B297&lt;5,Einstellungen!$B$3,Einstellungen!$B$4)</f>
        <v>15.92</v>
      </c>
      <c r="E297" s="14" t="str">
        <f aca="false">IF(C297="","",C297*D297/100)</f>
        <v/>
      </c>
      <c r="F297" s="15" t="str">
        <f aca="false">IF(B297&lt;5,"Go","Standard")</f>
        <v>Go</v>
      </c>
    </row>
    <row r="298" customFormat="false" ht="15" hidden="false" customHeight="true" outlineLevel="0" collapsed="false">
      <c r="A298" s="10" t="n">
        <f aca="false">Einstellungen!$B$5+INT((ROW()-9)/24)</f>
        <v>45978</v>
      </c>
      <c r="B298" s="11" t="n">
        <f aca="false">MOD(ROW()-9,24)</f>
        <v>1</v>
      </c>
      <c r="C298" s="12"/>
      <c r="D298" s="13" t="n">
        <f aca="false">IF(B298&lt;5,Einstellungen!$B$3,Einstellungen!$B$4)</f>
        <v>15.92</v>
      </c>
      <c r="E298" s="14" t="str">
        <f aca="false">IF(C298="","",C298*D298/100)</f>
        <v/>
      </c>
      <c r="F298" s="15" t="str">
        <f aca="false">IF(B298&lt;5,"Go","Standard")</f>
        <v>Go</v>
      </c>
    </row>
    <row r="299" customFormat="false" ht="15" hidden="false" customHeight="true" outlineLevel="0" collapsed="false">
      <c r="A299" s="10" t="n">
        <f aca="false">Einstellungen!$B$5+INT((ROW()-9)/24)</f>
        <v>45978</v>
      </c>
      <c r="B299" s="11" t="n">
        <f aca="false">MOD(ROW()-9,24)</f>
        <v>2</v>
      </c>
      <c r="C299" s="12"/>
      <c r="D299" s="13" t="n">
        <f aca="false">IF(B299&lt;5,Einstellungen!$B$3,Einstellungen!$B$4)</f>
        <v>15.92</v>
      </c>
      <c r="E299" s="14" t="str">
        <f aca="false">IF(C299="","",C299*D299/100)</f>
        <v/>
      </c>
      <c r="F299" s="15" t="str">
        <f aca="false">IF(B299&lt;5,"Go","Standard")</f>
        <v>Go</v>
      </c>
    </row>
    <row r="300" customFormat="false" ht="15" hidden="false" customHeight="true" outlineLevel="0" collapsed="false">
      <c r="A300" s="10" t="n">
        <f aca="false">Einstellungen!$B$5+INT((ROW()-9)/24)</f>
        <v>45978</v>
      </c>
      <c r="B300" s="11" t="n">
        <f aca="false">MOD(ROW()-9,24)</f>
        <v>3</v>
      </c>
      <c r="C300" s="12"/>
      <c r="D300" s="13" t="n">
        <f aca="false">IF(B300&lt;5,Einstellungen!$B$3,Einstellungen!$B$4)</f>
        <v>15.92</v>
      </c>
      <c r="E300" s="14" t="str">
        <f aca="false">IF(C300="","",C300*D300/100)</f>
        <v/>
      </c>
      <c r="F300" s="15" t="str">
        <f aca="false">IF(B300&lt;5,"Go","Standard")</f>
        <v>Go</v>
      </c>
    </row>
    <row r="301" customFormat="false" ht="15" hidden="false" customHeight="true" outlineLevel="0" collapsed="false">
      <c r="A301" s="10" t="n">
        <f aca="false">Einstellungen!$B$5+INT((ROW()-9)/24)</f>
        <v>45978</v>
      </c>
      <c r="B301" s="11" t="n">
        <f aca="false">MOD(ROW()-9,24)</f>
        <v>4</v>
      </c>
      <c r="C301" s="12"/>
      <c r="D301" s="13" t="n">
        <f aca="false">IF(B301&lt;5,Einstellungen!$B$3,Einstellungen!$B$4)</f>
        <v>15.92</v>
      </c>
      <c r="E301" s="14" t="str">
        <f aca="false">IF(C301="","",C301*D301/100)</f>
        <v/>
      </c>
      <c r="F301" s="15" t="str">
        <f aca="false">IF(B301&lt;5,"Go","Standard")</f>
        <v>Go</v>
      </c>
    </row>
    <row r="302" customFormat="false" ht="15" hidden="false" customHeight="true" outlineLevel="0" collapsed="false">
      <c r="A302" s="10" t="n">
        <f aca="false">Einstellungen!$B$5+INT((ROW()-9)/24)</f>
        <v>45978</v>
      </c>
      <c r="B302" s="11" t="n">
        <f aca="false">MOD(ROW()-9,24)</f>
        <v>5</v>
      </c>
      <c r="C302" s="12"/>
      <c r="D302" s="13" t="n">
        <f aca="false">IF(B302&lt;5,Einstellungen!$B$3,Einstellungen!$B$4)</f>
        <v>29.13</v>
      </c>
      <c r="E302" s="14" t="str">
        <f aca="false">IF(C302="","",C302*D302/100)</f>
        <v/>
      </c>
      <c r="F302" s="15" t="str">
        <f aca="false">IF(B302&lt;5,"Go","Standard")</f>
        <v>Standard</v>
      </c>
    </row>
    <row r="303" customFormat="false" ht="15" hidden="false" customHeight="true" outlineLevel="0" collapsed="false">
      <c r="A303" s="10" t="n">
        <f aca="false">Einstellungen!$B$5+INT((ROW()-9)/24)</f>
        <v>45978</v>
      </c>
      <c r="B303" s="11" t="n">
        <f aca="false">MOD(ROW()-9,24)</f>
        <v>6</v>
      </c>
      <c r="C303" s="12"/>
      <c r="D303" s="13" t="n">
        <f aca="false">IF(B303&lt;5,Einstellungen!$B$3,Einstellungen!$B$4)</f>
        <v>29.13</v>
      </c>
      <c r="E303" s="14" t="str">
        <f aca="false">IF(C303="","",C303*D303/100)</f>
        <v/>
      </c>
      <c r="F303" s="15" t="str">
        <f aca="false">IF(B303&lt;5,"Go","Standard")</f>
        <v>Standard</v>
      </c>
    </row>
    <row r="304" customFormat="false" ht="15" hidden="false" customHeight="true" outlineLevel="0" collapsed="false">
      <c r="A304" s="10" t="n">
        <f aca="false">Einstellungen!$B$5+INT((ROW()-9)/24)</f>
        <v>45978</v>
      </c>
      <c r="B304" s="11" t="n">
        <f aca="false">MOD(ROW()-9,24)</f>
        <v>7</v>
      </c>
      <c r="C304" s="12"/>
      <c r="D304" s="13" t="n">
        <f aca="false">IF(B304&lt;5,Einstellungen!$B$3,Einstellungen!$B$4)</f>
        <v>29.13</v>
      </c>
      <c r="E304" s="14" t="str">
        <f aca="false">IF(C304="","",C304*D304/100)</f>
        <v/>
      </c>
      <c r="F304" s="15" t="str">
        <f aca="false">IF(B304&lt;5,"Go","Standard")</f>
        <v>Standard</v>
      </c>
    </row>
    <row r="305" customFormat="false" ht="15" hidden="false" customHeight="true" outlineLevel="0" collapsed="false">
      <c r="A305" s="10" t="n">
        <f aca="false">Einstellungen!$B$5+INT((ROW()-9)/24)</f>
        <v>45978</v>
      </c>
      <c r="B305" s="11" t="n">
        <f aca="false">MOD(ROW()-9,24)</f>
        <v>8</v>
      </c>
      <c r="C305" s="12"/>
      <c r="D305" s="13" t="n">
        <f aca="false">IF(B305&lt;5,Einstellungen!$B$3,Einstellungen!$B$4)</f>
        <v>29.13</v>
      </c>
      <c r="E305" s="14" t="str">
        <f aca="false">IF(C305="","",C305*D305/100)</f>
        <v/>
      </c>
      <c r="F305" s="15" t="str">
        <f aca="false">IF(B305&lt;5,"Go","Standard")</f>
        <v>Standard</v>
      </c>
    </row>
    <row r="306" customFormat="false" ht="15" hidden="false" customHeight="true" outlineLevel="0" collapsed="false">
      <c r="A306" s="10" t="n">
        <f aca="false">Einstellungen!$B$5+INT((ROW()-9)/24)</f>
        <v>45978</v>
      </c>
      <c r="B306" s="11" t="n">
        <f aca="false">MOD(ROW()-9,24)</f>
        <v>9</v>
      </c>
      <c r="C306" s="12"/>
      <c r="D306" s="13" t="n">
        <f aca="false">IF(B306&lt;5,Einstellungen!$B$3,Einstellungen!$B$4)</f>
        <v>29.13</v>
      </c>
      <c r="E306" s="14" t="str">
        <f aca="false">IF(C306="","",C306*D306/100)</f>
        <v/>
      </c>
      <c r="F306" s="15" t="str">
        <f aca="false">IF(B306&lt;5,"Go","Standard")</f>
        <v>Standard</v>
      </c>
    </row>
    <row r="307" customFormat="false" ht="15" hidden="false" customHeight="true" outlineLevel="0" collapsed="false">
      <c r="A307" s="10" t="n">
        <f aca="false">Einstellungen!$B$5+INT((ROW()-9)/24)</f>
        <v>45978</v>
      </c>
      <c r="B307" s="11" t="n">
        <f aca="false">MOD(ROW()-9,24)</f>
        <v>10</v>
      </c>
      <c r="C307" s="12"/>
      <c r="D307" s="13" t="n">
        <f aca="false">IF(B307&lt;5,Einstellungen!$B$3,Einstellungen!$B$4)</f>
        <v>29.13</v>
      </c>
      <c r="E307" s="14" t="str">
        <f aca="false">IF(C307="","",C307*D307/100)</f>
        <v/>
      </c>
      <c r="F307" s="15" t="str">
        <f aca="false">IF(B307&lt;5,"Go","Standard")</f>
        <v>Standard</v>
      </c>
    </row>
    <row r="308" customFormat="false" ht="15" hidden="false" customHeight="true" outlineLevel="0" collapsed="false">
      <c r="A308" s="10" t="n">
        <f aca="false">Einstellungen!$B$5+INT((ROW()-9)/24)</f>
        <v>45978</v>
      </c>
      <c r="B308" s="11" t="n">
        <f aca="false">MOD(ROW()-9,24)</f>
        <v>11</v>
      </c>
      <c r="C308" s="12"/>
      <c r="D308" s="13" t="n">
        <f aca="false">IF(B308&lt;5,Einstellungen!$B$3,Einstellungen!$B$4)</f>
        <v>29.13</v>
      </c>
      <c r="E308" s="14" t="str">
        <f aca="false">IF(C308="","",C308*D308/100)</f>
        <v/>
      </c>
      <c r="F308" s="15" t="str">
        <f aca="false">IF(B308&lt;5,"Go","Standard")</f>
        <v>Standard</v>
      </c>
    </row>
    <row r="309" customFormat="false" ht="15" hidden="false" customHeight="true" outlineLevel="0" collapsed="false">
      <c r="A309" s="10" t="n">
        <f aca="false">Einstellungen!$B$5+INT((ROW()-9)/24)</f>
        <v>45978</v>
      </c>
      <c r="B309" s="11" t="n">
        <f aca="false">MOD(ROW()-9,24)</f>
        <v>12</v>
      </c>
      <c r="C309" s="12"/>
      <c r="D309" s="13" t="n">
        <f aca="false">IF(B309&lt;5,Einstellungen!$B$3,Einstellungen!$B$4)</f>
        <v>29.13</v>
      </c>
      <c r="E309" s="14" t="str">
        <f aca="false">IF(C309="","",C309*D309/100)</f>
        <v/>
      </c>
      <c r="F309" s="15" t="str">
        <f aca="false">IF(B309&lt;5,"Go","Standard")</f>
        <v>Standard</v>
      </c>
    </row>
    <row r="310" customFormat="false" ht="15" hidden="false" customHeight="true" outlineLevel="0" collapsed="false">
      <c r="A310" s="10" t="n">
        <f aca="false">Einstellungen!$B$5+INT((ROW()-9)/24)</f>
        <v>45978</v>
      </c>
      <c r="B310" s="11" t="n">
        <f aca="false">MOD(ROW()-9,24)</f>
        <v>13</v>
      </c>
      <c r="C310" s="12"/>
      <c r="D310" s="13" t="n">
        <f aca="false">IF(B310&lt;5,Einstellungen!$B$3,Einstellungen!$B$4)</f>
        <v>29.13</v>
      </c>
      <c r="E310" s="14" t="str">
        <f aca="false">IF(C310="","",C310*D310/100)</f>
        <v/>
      </c>
      <c r="F310" s="15" t="str">
        <f aca="false">IF(B310&lt;5,"Go","Standard")</f>
        <v>Standard</v>
      </c>
    </row>
    <row r="311" customFormat="false" ht="15" hidden="false" customHeight="true" outlineLevel="0" collapsed="false">
      <c r="A311" s="10" t="n">
        <f aca="false">Einstellungen!$B$5+INT((ROW()-9)/24)</f>
        <v>45978</v>
      </c>
      <c r="B311" s="11" t="n">
        <f aca="false">MOD(ROW()-9,24)</f>
        <v>14</v>
      </c>
      <c r="C311" s="12"/>
      <c r="D311" s="13" t="n">
        <f aca="false">IF(B311&lt;5,Einstellungen!$B$3,Einstellungen!$B$4)</f>
        <v>29.13</v>
      </c>
      <c r="E311" s="14" t="str">
        <f aca="false">IF(C311="","",C311*D311/100)</f>
        <v/>
      </c>
      <c r="F311" s="15" t="str">
        <f aca="false">IF(B311&lt;5,"Go","Standard")</f>
        <v>Standard</v>
      </c>
    </row>
    <row r="312" customFormat="false" ht="15" hidden="false" customHeight="true" outlineLevel="0" collapsed="false">
      <c r="A312" s="10" t="n">
        <f aca="false">Einstellungen!$B$5+INT((ROW()-9)/24)</f>
        <v>45978</v>
      </c>
      <c r="B312" s="11" t="n">
        <f aca="false">MOD(ROW()-9,24)</f>
        <v>15</v>
      </c>
      <c r="C312" s="12"/>
      <c r="D312" s="13" t="n">
        <f aca="false">IF(B312&lt;5,Einstellungen!$B$3,Einstellungen!$B$4)</f>
        <v>29.13</v>
      </c>
      <c r="E312" s="14" t="str">
        <f aca="false">IF(C312="","",C312*D312/100)</f>
        <v/>
      </c>
      <c r="F312" s="15" t="str">
        <f aca="false">IF(B312&lt;5,"Go","Standard")</f>
        <v>Standard</v>
      </c>
    </row>
    <row r="313" customFormat="false" ht="15" hidden="false" customHeight="true" outlineLevel="0" collapsed="false">
      <c r="A313" s="10" t="n">
        <f aca="false">Einstellungen!$B$5+INT((ROW()-9)/24)</f>
        <v>45978</v>
      </c>
      <c r="B313" s="11" t="n">
        <f aca="false">MOD(ROW()-9,24)</f>
        <v>16</v>
      </c>
      <c r="C313" s="12"/>
      <c r="D313" s="13" t="n">
        <f aca="false">IF(B313&lt;5,Einstellungen!$B$3,Einstellungen!$B$4)</f>
        <v>29.13</v>
      </c>
      <c r="E313" s="14" t="str">
        <f aca="false">IF(C313="","",C313*D313/100)</f>
        <v/>
      </c>
      <c r="F313" s="15" t="str">
        <f aca="false">IF(B313&lt;5,"Go","Standard")</f>
        <v>Standard</v>
      </c>
    </row>
    <row r="314" customFormat="false" ht="15" hidden="false" customHeight="true" outlineLevel="0" collapsed="false">
      <c r="A314" s="10" t="n">
        <f aca="false">Einstellungen!$B$5+INT((ROW()-9)/24)</f>
        <v>45978</v>
      </c>
      <c r="B314" s="11" t="n">
        <f aca="false">MOD(ROW()-9,24)</f>
        <v>17</v>
      </c>
      <c r="C314" s="12"/>
      <c r="D314" s="13" t="n">
        <f aca="false">IF(B314&lt;5,Einstellungen!$B$3,Einstellungen!$B$4)</f>
        <v>29.13</v>
      </c>
      <c r="E314" s="14" t="str">
        <f aca="false">IF(C314="","",C314*D314/100)</f>
        <v/>
      </c>
      <c r="F314" s="15" t="str">
        <f aca="false">IF(B314&lt;5,"Go","Standard")</f>
        <v>Standard</v>
      </c>
    </row>
    <row r="315" customFormat="false" ht="15" hidden="false" customHeight="true" outlineLevel="0" collapsed="false">
      <c r="A315" s="10" t="n">
        <f aca="false">Einstellungen!$B$5+INT((ROW()-9)/24)</f>
        <v>45978</v>
      </c>
      <c r="B315" s="11" t="n">
        <f aca="false">MOD(ROW()-9,24)</f>
        <v>18</v>
      </c>
      <c r="C315" s="12"/>
      <c r="D315" s="13" t="n">
        <f aca="false">IF(B315&lt;5,Einstellungen!$B$3,Einstellungen!$B$4)</f>
        <v>29.13</v>
      </c>
      <c r="E315" s="14" t="str">
        <f aca="false">IF(C315="","",C315*D315/100)</f>
        <v/>
      </c>
      <c r="F315" s="15" t="str">
        <f aca="false">IF(B315&lt;5,"Go","Standard")</f>
        <v>Standard</v>
      </c>
    </row>
    <row r="316" customFormat="false" ht="15" hidden="false" customHeight="true" outlineLevel="0" collapsed="false">
      <c r="A316" s="10" t="n">
        <f aca="false">Einstellungen!$B$5+INT((ROW()-9)/24)</f>
        <v>45978</v>
      </c>
      <c r="B316" s="11" t="n">
        <f aca="false">MOD(ROW()-9,24)</f>
        <v>19</v>
      </c>
      <c r="C316" s="12"/>
      <c r="D316" s="13" t="n">
        <f aca="false">IF(B316&lt;5,Einstellungen!$B$3,Einstellungen!$B$4)</f>
        <v>29.13</v>
      </c>
      <c r="E316" s="14" t="str">
        <f aca="false">IF(C316="","",C316*D316/100)</f>
        <v/>
      </c>
      <c r="F316" s="15" t="str">
        <f aca="false">IF(B316&lt;5,"Go","Standard")</f>
        <v>Standard</v>
      </c>
    </row>
    <row r="317" customFormat="false" ht="15" hidden="false" customHeight="true" outlineLevel="0" collapsed="false">
      <c r="A317" s="10" t="n">
        <f aca="false">Einstellungen!$B$5+INT((ROW()-9)/24)</f>
        <v>45978</v>
      </c>
      <c r="B317" s="11" t="n">
        <f aca="false">MOD(ROW()-9,24)</f>
        <v>20</v>
      </c>
      <c r="C317" s="12"/>
      <c r="D317" s="13" t="n">
        <f aca="false">IF(B317&lt;5,Einstellungen!$B$3,Einstellungen!$B$4)</f>
        <v>29.13</v>
      </c>
      <c r="E317" s="14" t="str">
        <f aca="false">IF(C317="","",C317*D317/100)</f>
        <v/>
      </c>
      <c r="F317" s="15" t="str">
        <f aca="false">IF(B317&lt;5,"Go","Standard")</f>
        <v>Standard</v>
      </c>
    </row>
    <row r="318" customFormat="false" ht="15" hidden="false" customHeight="true" outlineLevel="0" collapsed="false">
      <c r="A318" s="10" t="n">
        <f aca="false">Einstellungen!$B$5+INT((ROW()-9)/24)</f>
        <v>45978</v>
      </c>
      <c r="B318" s="11" t="n">
        <f aca="false">MOD(ROW()-9,24)</f>
        <v>21</v>
      </c>
      <c r="C318" s="12"/>
      <c r="D318" s="13" t="n">
        <f aca="false">IF(B318&lt;5,Einstellungen!$B$3,Einstellungen!$B$4)</f>
        <v>29.13</v>
      </c>
      <c r="E318" s="14" t="str">
        <f aca="false">IF(C318="","",C318*D318/100)</f>
        <v/>
      </c>
      <c r="F318" s="15" t="str">
        <f aca="false">IF(B318&lt;5,"Go","Standard")</f>
        <v>Standard</v>
      </c>
    </row>
    <row r="319" customFormat="false" ht="15" hidden="false" customHeight="true" outlineLevel="0" collapsed="false">
      <c r="A319" s="10" t="n">
        <f aca="false">Einstellungen!$B$5+INT((ROW()-9)/24)</f>
        <v>45978</v>
      </c>
      <c r="B319" s="11" t="n">
        <f aca="false">MOD(ROW()-9,24)</f>
        <v>22</v>
      </c>
      <c r="C319" s="12"/>
      <c r="D319" s="13" t="n">
        <f aca="false">IF(B319&lt;5,Einstellungen!$B$3,Einstellungen!$B$4)</f>
        <v>29.13</v>
      </c>
      <c r="E319" s="14" t="str">
        <f aca="false">IF(C319="","",C319*D319/100)</f>
        <v/>
      </c>
      <c r="F319" s="15" t="str">
        <f aca="false">IF(B319&lt;5,"Go","Standard")</f>
        <v>Standard</v>
      </c>
    </row>
    <row r="320" customFormat="false" ht="15" hidden="false" customHeight="true" outlineLevel="0" collapsed="false">
      <c r="A320" s="10" t="n">
        <f aca="false">Einstellungen!$B$5+INT((ROW()-9)/24)</f>
        <v>45978</v>
      </c>
      <c r="B320" s="11" t="n">
        <f aca="false">MOD(ROW()-9,24)</f>
        <v>23</v>
      </c>
      <c r="C320" s="12"/>
      <c r="D320" s="13" t="n">
        <f aca="false">IF(B320&lt;5,Einstellungen!$B$3,Einstellungen!$B$4)</f>
        <v>29.13</v>
      </c>
      <c r="E320" s="14" t="str">
        <f aca="false">IF(C320="","",C320*D320/100)</f>
        <v/>
      </c>
      <c r="F320" s="15" t="str">
        <f aca="false">IF(B320&lt;5,"Go","Standard")</f>
        <v>Standard</v>
      </c>
    </row>
    <row r="321" customFormat="false" ht="15" hidden="false" customHeight="true" outlineLevel="0" collapsed="false">
      <c r="A321" s="10" t="n">
        <f aca="false">Einstellungen!$B$5+INT((ROW()-9)/24)</f>
        <v>45979</v>
      </c>
      <c r="B321" s="11" t="n">
        <f aca="false">MOD(ROW()-9,24)</f>
        <v>0</v>
      </c>
      <c r="C321" s="12"/>
      <c r="D321" s="13" t="n">
        <f aca="false">IF(B321&lt;5,Einstellungen!$B$3,Einstellungen!$B$4)</f>
        <v>15.92</v>
      </c>
      <c r="E321" s="14" t="str">
        <f aca="false">IF(C321="","",C321*D321/100)</f>
        <v/>
      </c>
      <c r="F321" s="15" t="str">
        <f aca="false">IF(B321&lt;5,"Go","Standard")</f>
        <v>Go</v>
      </c>
    </row>
    <row r="322" customFormat="false" ht="15" hidden="false" customHeight="true" outlineLevel="0" collapsed="false">
      <c r="A322" s="10" t="n">
        <f aca="false">Einstellungen!$B$5+INT((ROW()-9)/24)</f>
        <v>45979</v>
      </c>
      <c r="B322" s="11" t="n">
        <f aca="false">MOD(ROW()-9,24)</f>
        <v>1</v>
      </c>
      <c r="C322" s="12"/>
      <c r="D322" s="13" t="n">
        <f aca="false">IF(B322&lt;5,Einstellungen!$B$3,Einstellungen!$B$4)</f>
        <v>15.92</v>
      </c>
      <c r="E322" s="14" t="str">
        <f aca="false">IF(C322="","",C322*D322/100)</f>
        <v/>
      </c>
      <c r="F322" s="15" t="str">
        <f aca="false">IF(B322&lt;5,"Go","Standard")</f>
        <v>Go</v>
      </c>
    </row>
    <row r="323" customFormat="false" ht="15" hidden="false" customHeight="true" outlineLevel="0" collapsed="false">
      <c r="A323" s="10" t="n">
        <f aca="false">Einstellungen!$B$5+INT((ROW()-9)/24)</f>
        <v>45979</v>
      </c>
      <c r="B323" s="11" t="n">
        <f aca="false">MOD(ROW()-9,24)</f>
        <v>2</v>
      </c>
      <c r="C323" s="12"/>
      <c r="D323" s="13" t="n">
        <f aca="false">IF(B323&lt;5,Einstellungen!$B$3,Einstellungen!$B$4)</f>
        <v>15.92</v>
      </c>
      <c r="E323" s="14" t="str">
        <f aca="false">IF(C323="","",C323*D323/100)</f>
        <v/>
      </c>
      <c r="F323" s="15" t="str">
        <f aca="false">IF(B323&lt;5,"Go","Standard")</f>
        <v>Go</v>
      </c>
    </row>
    <row r="324" customFormat="false" ht="15" hidden="false" customHeight="true" outlineLevel="0" collapsed="false">
      <c r="A324" s="10" t="n">
        <f aca="false">Einstellungen!$B$5+INT((ROW()-9)/24)</f>
        <v>45979</v>
      </c>
      <c r="B324" s="11" t="n">
        <f aca="false">MOD(ROW()-9,24)</f>
        <v>3</v>
      </c>
      <c r="C324" s="12"/>
      <c r="D324" s="13" t="n">
        <f aca="false">IF(B324&lt;5,Einstellungen!$B$3,Einstellungen!$B$4)</f>
        <v>15.92</v>
      </c>
      <c r="E324" s="14" t="str">
        <f aca="false">IF(C324="","",C324*D324/100)</f>
        <v/>
      </c>
      <c r="F324" s="15" t="str">
        <f aca="false">IF(B324&lt;5,"Go","Standard")</f>
        <v>Go</v>
      </c>
    </row>
    <row r="325" customFormat="false" ht="15" hidden="false" customHeight="true" outlineLevel="0" collapsed="false">
      <c r="A325" s="10" t="n">
        <f aca="false">Einstellungen!$B$5+INT((ROW()-9)/24)</f>
        <v>45979</v>
      </c>
      <c r="B325" s="11" t="n">
        <f aca="false">MOD(ROW()-9,24)</f>
        <v>4</v>
      </c>
      <c r="C325" s="12"/>
      <c r="D325" s="13" t="n">
        <f aca="false">IF(B325&lt;5,Einstellungen!$B$3,Einstellungen!$B$4)</f>
        <v>15.92</v>
      </c>
      <c r="E325" s="14" t="str">
        <f aca="false">IF(C325="","",C325*D325/100)</f>
        <v/>
      </c>
      <c r="F325" s="15" t="str">
        <f aca="false">IF(B325&lt;5,"Go","Standard")</f>
        <v>Go</v>
      </c>
    </row>
    <row r="326" customFormat="false" ht="15" hidden="false" customHeight="true" outlineLevel="0" collapsed="false">
      <c r="A326" s="10" t="n">
        <f aca="false">Einstellungen!$B$5+INT((ROW()-9)/24)</f>
        <v>45979</v>
      </c>
      <c r="B326" s="11" t="n">
        <f aca="false">MOD(ROW()-9,24)</f>
        <v>5</v>
      </c>
      <c r="C326" s="12"/>
      <c r="D326" s="13" t="n">
        <f aca="false">IF(B326&lt;5,Einstellungen!$B$3,Einstellungen!$B$4)</f>
        <v>29.13</v>
      </c>
      <c r="E326" s="14" t="str">
        <f aca="false">IF(C326="","",C326*D326/100)</f>
        <v/>
      </c>
      <c r="F326" s="15" t="str">
        <f aca="false">IF(B326&lt;5,"Go","Standard")</f>
        <v>Standard</v>
      </c>
    </row>
    <row r="327" customFormat="false" ht="15" hidden="false" customHeight="true" outlineLevel="0" collapsed="false">
      <c r="A327" s="10" t="n">
        <f aca="false">Einstellungen!$B$5+INT((ROW()-9)/24)</f>
        <v>45979</v>
      </c>
      <c r="B327" s="11" t="n">
        <f aca="false">MOD(ROW()-9,24)</f>
        <v>6</v>
      </c>
      <c r="C327" s="12"/>
      <c r="D327" s="13" t="n">
        <f aca="false">IF(B327&lt;5,Einstellungen!$B$3,Einstellungen!$B$4)</f>
        <v>29.13</v>
      </c>
      <c r="E327" s="14" t="str">
        <f aca="false">IF(C327="","",C327*D327/100)</f>
        <v/>
      </c>
      <c r="F327" s="15" t="str">
        <f aca="false">IF(B327&lt;5,"Go","Standard")</f>
        <v>Standard</v>
      </c>
    </row>
    <row r="328" customFormat="false" ht="15" hidden="false" customHeight="true" outlineLevel="0" collapsed="false">
      <c r="A328" s="10" t="n">
        <f aca="false">Einstellungen!$B$5+INT((ROW()-9)/24)</f>
        <v>45979</v>
      </c>
      <c r="B328" s="11" t="n">
        <f aca="false">MOD(ROW()-9,24)</f>
        <v>7</v>
      </c>
      <c r="C328" s="12"/>
      <c r="D328" s="13" t="n">
        <f aca="false">IF(B328&lt;5,Einstellungen!$B$3,Einstellungen!$B$4)</f>
        <v>29.13</v>
      </c>
      <c r="E328" s="14" t="str">
        <f aca="false">IF(C328="","",C328*D328/100)</f>
        <v/>
      </c>
      <c r="F328" s="15" t="str">
        <f aca="false">IF(B328&lt;5,"Go","Standard")</f>
        <v>Standard</v>
      </c>
    </row>
    <row r="329" customFormat="false" ht="15" hidden="false" customHeight="true" outlineLevel="0" collapsed="false">
      <c r="A329" s="10" t="n">
        <f aca="false">Einstellungen!$B$5+INT((ROW()-9)/24)</f>
        <v>45979</v>
      </c>
      <c r="B329" s="11" t="n">
        <f aca="false">MOD(ROW()-9,24)</f>
        <v>8</v>
      </c>
      <c r="C329" s="12"/>
      <c r="D329" s="13" t="n">
        <f aca="false">IF(B329&lt;5,Einstellungen!$B$3,Einstellungen!$B$4)</f>
        <v>29.13</v>
      </c>
      <c r="E329" s="14" t="str">
        <f aca="false">IF(C329="","",C329*D329/100)</f>
        <v/>
      </c>
      <c r="F329" s="15" t="str">
        <f aca="false">IF(B329&lt;5,"Go","Standard")</f>
        <v>Standard</v>
      </c>
    </row>
    <row r="330" customFormat="false" ht="15" hidden="false" customHeight="true" outlineLevel="0" collapsed="false">
      <c r="A330" s="10" t="n">
        <f aca="false">Einstellungen!$B$5+INT((ROW()-9)/24)</f>
        <v>45979</v>
      </c>
      <c r="B330" s="11" t="n">
        <f aca="false">MOD(ROW()-9,24)</f>
        <v>9</v>
      </c>
      <c r="C330" s="12"/>
      <c r="D330" s="13" t="n">
        <f aca="false">IF(B330&lt;5,Einstellungen!$B$3,Einstellungen!$B$4)</f>
        <v>29.13</v>
      </c>
      <c r="E330" s="14" t="str">
        <f aca="false">IF(C330="","",C330*D330/100)</f>
        <v/>
      </c>
      <c r="F330" s="15" t="str">
        <f aca="false">IF(B330&lt;5,"Go","Standard")</f>
        <v>Standard</v>
      </c>
    </row>
    <row r="331" customFormat="false" ht="15" hidden="false" customHeight="true" outlineLevel="0" collapsed="false">
      <c r="A331" s="10" t="n">
        <f aca="false">Einstellungen!$B$5+INT((ROW()-9)/24)</f>
        <v>45979</v>
      </c>
      <c r="B331" s="11" t="n">
        <f aca="false">MOD(ROW()-9,24)</f>
        <v>10</v>
      </c>
      <c r="C331" s="12"/>
      <c r="D331" s="13" t="n">
        <f aca="false">IF(B331&lt;5,Einstellungen!$B$3,Einstellungen!$B$4)</f>
        <v>29.13</v>
      </c>
      <c r="E331" s="14" t="str">
        <f aca="false">IF(C331="","",C331*D331/100)</f>
        <v/>
      </c>
      <c r="F331" s="15" t="str">
        <f aca="false">IF(B331&lt;5,"Go","Standard")</f>
        <v>Standard</v>
      </c>
    </row>
    <row r="332" customFormat="false" ht="15" hidden="false" customHeight="true" outlineLevel="0" collapsed="false">
      <c r="A332" s="10" t="n">
        <f aca="false">Einstellungen!$B$5+INT((ROW()-9)/24)</f>
        <v>45979</v>
      </c>
      <c r="B332" s="11" t="n">
        <f aca="false">MOD(ROW()-9,24)</f>
        <v>11</v>
      </c>
      <c r="C332" s="12"/>
      <c r="D332" s="13" t="n">
        <f aca="false">IF(B332&lt;5,Einstellungen!$B$3,Einstellungen!$B$4)</f>
        <v>29.13</v>
      </c>
      <c r="E332" s="14" t="str">
        <f aca="false">IF(C332="","",C332*D332/100)</f>
        <v/>
      </c>
      <c r="F332" s="15" t="str">
        <f aca="false">IF(B332&lt;5,"Go","Standard")</f>
        <v>Standard</v>
      </c>
    </row>
    <row r="333" customFormat="false" ht="15" hidden="false" customHeight="true" outlineLevel="0" collapsed="false">
      <c r="A333" s="10" t="n">
        <f aca="false">Einstellungen!$B$5+INT((ROW()-9)/24)</f>
        <v>45979</v>
      </c>
      <c r="B333" s="11" t="n">
        <f aca="false">MOD(ROW()-9,24)</f>
        <v>12</v>
      </c>
      <c r="C333" s="12"/>
      <c r="D333" s="13" t="n">
        <f aca="false">IF(B333&lt;5,Einstellungen!$B$3,Einstellungen!$B$4)</f>
        <v>29.13</v>
      </c>
      <c r="E333" s="14" t="str">
        <f aca="false">IF(C333="","",C333*D333/100)</f>
        <v/>
      </c>
      <c r="F333" s="15" t="str">
        <f aca="false">IF(B333&lt;5,"Go","Standard")</f>
        <v>Standard</v>
      </c>
    </row>
    <row r="334" customFormat="false" ht="15" hidden="false" customHeight="true" outlineLevel="0" collapsed="false">
      <c r="A334" s="10" t="n">
        <f aca="false">Einstellungen!$B$5+INT((ROW()-9)/24)</f>
        <v>45979</v>
      </c>
      <c r="B334" s="11" t="n">
        <f aca="false">MOD(ROW()-9,24)</f>
        <v>13</v>
      </c>
      <c r="C334" s="12"/>
      <c r="D334" s="13" t="n">
        <f aca="false">IF(B334&lt;5,Einstellungen!$B$3,Einstellungen!$B$4)</f>
        <v>29.13</v>
      </c>
      <c r="E334" s="14" t="str">
        <f aca="false">IF(C334="","",C334*D334/100)</f>
        <v/>
      </c>
      <c r="F334" s="15" t="str">
        <f aca="false">IF(B334&lt;5,"Go","Standard")</f>
        <v>Standard</v>
      </c>
    </row>
    <row r="335" customFormat="false" ht="15" hidden="false" customHeight="true" outlineLevel="0" collapsed="false">
      <c r="A335" s="10" t="n">
        <f aca="false">Einstellungen!$B$5+INT((ROW()-9)/24)</f>
        <v>45979</v>
      </c>
      <c r="B335" s="11" t="n">
        <f aca="false">MOD(ROW()-9,24)</f>
        <v>14</v>
      </c>
      <c r="C335" s="12"/>
      <c r="D335" s="13" t="n">
        <f aca="false">IF(B335&lt;5,Einstellungen!$B$3,Einstellungen!$B$4)</f>
        <v>29.13</v>
      </c>
      <c r="E335" s="14" t="str">
        <f aca="false">IF(C335="","",C335*D335/100)</f>
        <v/>
      </c>
      <c r="F335" s="15" t="str">
        <f aca="false">IF(B335&lt;5,"Go","Standard")</f>
        <v>Standard</v>
      </c>
    </row>
    <row r="336" customFormat="false" ht="15" hidden="false" customHeight="true" outlineLevel="0" collapsed="false">
      <c r="A336" s="10" t="n">
        <f aca="false">Einstellungen!$B$5+INT((ROW()-9)/24)</f>
        <v>45979</v>
      </c>
      <c r="B336" s="11" t="n">
        <f aca="false">MOD(ROW()-9,24)</f>
        <v>15</v>
      </c>
      <c r="C336" s="12"/>
      <c r="D336" s="13" t="n">
        <f aca="false">IF(B336&lt;5,Einstellungen!$B$3,Einstellungen!$B$4)</f>
        <v>29.13</v>
      </c>
      <c r="E336" s="14" t="str">
        <f aca="false">IF(C336="","",C336*D336/100)</f>
        <v/>
      </c>
      <c r="F336" s="15" t="str">
        <f aca="false">IF(B336&lt;5,"Go","Standard")</f>
        <v>Standard</v>
      </c>
    </row>
    <row r="337" customFormat="false" ht="15" hidden="false" customHeight="true" outlineLevel="0" collapsed="false">
      <c r="A337" s="10" t="n">
        <f aca="false">Einstellungen!$B$5+INT((ROW()-9)/24)</f>
        <v>45979</v>
      </c>
      <c r="B337" s="11" t="n">
        <f aca="false">MOD(ROW()-9,24)</f>
        <v>16</v>
      </c>
      <c r="C337" s="12"/>
      <c r="D337" s="13" t="n">
        <f aca="false">IF(B337&lt;5,Einstellungen!$B$3,Einstellungen!$B$4)</f>
        <v>29.13</v>
      </c>
      <c r="E337" s="14" t="str">
        <f aca="false">IF(C337="","",C337*D337/100)</f>
        <v/>
      </c>
      <c r="F337" s="15" t="str">
        <f aca="false">IF(B337&lt;5,"Go","Standard")</f>
        <v>Standard</v>
      </c>
    </row>
    <row r="338" customFormat="false" ht="15" hidden="false" customHeight="true" outlineLevel="0" collapsed="false">
      <c r="A338" s="10" t="n">
        <f aca="false">Einstellungen!$B$5+INT((ROW()-9)/24)</f>
        <v>45979</v>
      </c>
      <c r="B338" s="11" t="n">
        <f aca="false">MOD(ROW()-9,24)</f>
        <v>17</v>
      </c>
      <c r="C338" s="12"/>
      <c r="D338" s="13" t="n">
        <f aca="false">IF(B338&lt;5,Einstellungen!$B$3,Einstellungen!$B$4)</f>
        <v>29.13</v>
      </c>
      <c r="E338" s="14" t="str">
        <f aca="false">IF(C338="","",C338*D338/100)</f>
        <v/>
      </c>
      <c r="F338" s="15" t="str">
        <f aca="false">IF(B338&lt;5,"Go","Standard")</f>
        <v>Standard</v>
      </c>
    </row>
    <row r="339" customFormat="false" ht="15" hidden="false" customHeight="true" outlineLevel="0" collapsed="false">
      <c r="A339" s="10" t="n">
        <f aca="false">Einstellungen!$B$5+INT((ROW()-9)/24)</f>
        <v>45979</v>
      </c>
      <c r="B339" s="11" t="n">
        <f aca="false">MOD(ROW()-9,24)</f>
        <v>18</v>
      </c>
      <c r="C339" s="12"/>
      <c r="D339" s="13" t="n">
        <f aca="false">IF(B339&lt;5,Einstellungen!$B$3,Einstellungen!$B$4)</f>
        <v>29.13</v>
      </c>
      <c r="E339" s="14" t="str">
        <f aca="false">IF(C339="","",C339*D339/100)</f>
        <v/>
      </c>
      <c r="F339" s="15" t="str">
        <f aca="false">IF(B339&lt;5,"Go","Standard")</f>
        <v>Standard</v>
      </c>
    </row>
    <row r="340" customFormat="false" ht="15" hidden="false" customHeight="true" outlineLevel="0" collapsed="false">
      <c r="A340" s="10" t="n">
        <f aca="false">Einstellungen!$B$5+INT((ROW()-9)/24)</f>
        <v>45979</v>
      </c>
      <c r="B340" s="11" t="n">
        <f aca="false">MOD(ROW()-9,24)</f>
        <v>19</v>
      </c>
      <c r="C340" s="12"/>
      <c r="D340" s="13" t="n">
        <f aca="false">IF(B340&lt;5,Einstellungen!$B$3,Einstellungen!$B$4)</f>
        <v>29.13</v>
      </c>
      <c r="E340" s="14" t="str">
        <f aca="false">IF(C340="","",C340*D340/100)</f>
        <v/>
      </c>
      <c r="F340" s="15" t="str">
        <f aca="false">IF(B340&lt;5,"Go","Standard")</f>
        <v>Standard</v>
      </c>
    </row>
    <row r="341" customFormat="false" ht="15" hidden="false" customHeight="true" outlineLevel="0" collapsed="false">
      <c r="A341" s="10" t="n">
        <f aca="false">Einstellungen!$B$5+INT((ROW()-9)/24)</f>
        <v>45979</v>
      </c>
      <c r="B341" s="11" t="n">
        <f aca="false">MOD(ROW()-9,24)</f>
        <v>20</v>
      </c>
      <c r="C341" s="12"/>
      <c r="D341" s="13" t="n">
        <f aca="false">IF(B341&lt;5,Einstellungen!$B$3,Einstellungen!$B$4)</f>
        <v>29.13</v>
      </c>
      <c r="E341" s="14" t="str">
        <f aca="false">IF(C341="","",C341*D341/100)</f>
        <v/>
      </c>
      <c r="F341" s="15" t="str">
        <f aca="false">IF(B341&lt;5,"Go","Standard")</f>
        <v>Standard</v>
      </c>
    </row>
    <row r="342" customFormat="false" ht="15" hidden="false" customHeight="true" outlineLevel="0" collapsed="false">
      <c r="A342" s="10" t="n">
        <f aca="false">Einstellungen!$B$5+INT((ROW()-9)/24)</f>
        <v>45979</v>
      </c>
      <c r="B342" s="11" t="n">
        <f aca="false">MOD(ROW()-9,24)</f>
        <v>21</v>
      </c>
      <c r="C342" s="12"/>
      <c r="D342" s="13" t="n">
        <f aca="false">IF(B342&lt;5,Einstellungen!$B$3,Einstellungen!$B$4)</f>
        <v>29.13</v>
      </c>
      <c r="E342" s="14" t="str">
        <f aca="false">IF(C342="","",C342*D342/100)</f>
        <v/>
      </c>
      <c r="F342" s="15" t="str">
        <f aca="false">IF(B342&lt;5,"Go","Standard")</f>
        <v>Standard</v>
      </c>
    </row>
    <row r="343" customFormat="false" ht="15" hidden="false" customHeight="true" outlineLevel="0" collapsed="false">
      <c r="A343" s="10" t="n">
        <f aca="false">Einstellungen!$B$5+INT((ROW()-9)/24)</f>
        <v>45979</v>
      </c>
      <c r="B343" s="11" t="n">
        <f aca="false">MOD(ROW()-9,24)</f>
        <v>22</v>
      </c>
      <c r="C343" s="12"/>
      <c r="D343" s="13" t="n">
        <f aca="false">IF(B343&lt;5,Einstellungen!$B$3,Einstellungen!$B$4)</f>
        <v>29.13</v>
      </c>
      <c r="E343" s="14" t="str">
        <f aca="false">IF(C343="","",C343*D343/100)</f>
        <v/>
      </c>
      <c r="F343" s="15" t="str">
        <f aca="false">IF(B343&lt;5,"Go","Standard")</f>
        <v>Standard</v>
      </c>
    </row>
    <row r="344" customFormat="false" ht="15" hidden="false" customHeight="true" outlineLevel="0" collapsed="false">
      <c r="A344" s="10" t="n">
        <f aca="false">Einstellungen!$B$5+INT((ROW()-9)/24)</f>
        <v>45979</v>
      </c>
      <c r="B344" s="11" t="n">
        <f aca="false">MOD(ROW()-9,24)</f>
        <v>23</v>
      </c>
      <c r="C344" s="12"/>
      <c r="D344" s="13" t="n">
        <f aca="false">IF(B344&lt;5,Einstellungen!$B$3,Einstellungen!$B$4)</f>
        <v>29.13</v>
      </c>
      <c r="E344" s="14" t="str">
        <f aca="false">IF(C344="","",C344*D344/100)</f>
        <v/>
      </c>
      <c r="F344" s="15" t="str">
        <f aca="false">IF(B344&lt;5,"Go","Standard")</f>
        <v>Standard</v>
      </c>
    </row>
    <row r="345" customFormat="false" ht="15" hidden="false" customHeight="true" outlineLevel="0" collapsed="false">
      <c r="A345" s="10" t="n">
        <f aca="false">Einstellungen!$B$5+INT((ROW()-9)/24)</f>
        <v>45980</v>
      </c>
      <c r="B345" s="11" t="n">
        <f aca="false">MOD(ROW()-9,24)</f>
        <v>0</v>
      </c>
      <c r="C345" s="12"/>
      <c r="D345" s="13" t="n">
        <f aca="false">IF(B345&lt;5,Einstellungen!$B$3,Einstellungen!$B$4)</f>
        <v>15.92</v>
      </c>
      <c r="E345" s="14" t="str">
        <f aca="false">IF(C345="","",C345*D345/100)</f>
        <v/>
      </c>
      <c r="F345" s="15" t="str">
        <f aca="false">IF(B345&lt;5,"Go","Standard")</f>
        <v>Go</v>
      </c>
    </row>
    <row r="346" customFormat="false" ht="15" hidden="false" customHeight="true" outlineLevel="0" collapsed="false">
      <c r="A346" s="10" t="n">
        <f aca="false">Einstellungen!$B$5+INT((ROW()-9)/24)</f>
        <v>45980</v>
      </c>
      <c r="B346" s="11" t="n">
        <f aca="false">MOD(ROW()-9,24)</f>
        <v>1</v>
      </c>
      <c r="C346" s="12"/>
      <c r="D346" s="13" t="n">
        <f aca="false">IF(B346&lt;5,Einstellungen!$B$3,Einstellungen!$B$4)</f>
        <v>15.92</v>
      </c>
      <c r="E346" s="14" t="str">
        <f aca="false">IF(C346="","",C346*D346/100)</f>
        <v/>
      </c>
      <c r="F346" s="15" t="str">
        <f aca="false">IF(B346&lt;5,"Go","Standard")</f>
        <v>Go</v>
      </c>
    </row>
    <row r="347" customFormat="false" ht="15" hidden="false" customHeight="true" outlineLevel="0" collapsed="false">
      <c r="A347" s="10" t="n">
        <f aca="false">Einstellungen!$B$5+INT((ROW()-9)/24)</f>
        <v>45980</v>
      </c>
      <c r="B347" s="11" t="n">
        <f aca="false">MOD(ROW()-9,24)</f>
        <v>2</v>
      </c>
      <c r="C347" s="12"/>
      <c r="D347" s="13" t="n">
        <f aca="false">IF(B347&lt;5,Einstellungen!$B$3,Einstellungen!$B$4)</f>
        <v>15.92</v>
      </c>
      <c r="E347" s="14" t="str">
        <f aca="false">IF(C347="","",C347*D347/100)</f>
        <v/>
      </c>
      <c r="F347" s="15" t="str">
        <f aca="false">IF(B347&lt;5,"Go","Standard")</f>
        <v>Go</v>
      </c>
    </row>
    <row r="348" customFormat="false" ht="15" hidden="false" customHeight="true" outlineLevel="0" collapsed="false">
      <c r="A348" s="10" t="n">
        <f aca="false">Einstellungen!$B$5+INT((ROW()-9)/24)</f>
        <v>45980</v>
      </c>
      <c r="B348" s="11" t="n">
        <f aca="false">MOD(ROW()-9,24)</f>
        <v>3</v>
      </c>
      <c r="C348" s="12"/>
      <c r="D348" s="13" t="n">
        <f aca="false">IF(B348&lt;5,Einstellungen!$B$3,Einstellungen!$B$4)</f>
        <v>15.92</v>
      </c>
      <c r="E348" s="14" t="str">
        <f aca="false">IF(C348="","",C348*D348/100)</f>
        <v/>
      </c>
      <c r="F348" s="15" t="str">
        <f aca="false">IF(B348&lt;5,"Go","Standard")</f>
        <v>Go</v>
      </c>
    </row>
    <row r="349" customFormat="false" ht="15" hidden="false" customHeight="true" outlineLevel="0" collapsed="false">
      <c r="A349" s="10" t="n">
        <f aca="false">Einstellungen!$B$5+INT((ROW()-9)/24)</f>
        <v>45980</v>
      </c>
      <c r="B349" s="11" t="n">
        <f aca="false">MOD(ROW()-9,24)</f>
        <v>4</v>
      </c>
      <c r="C349" s="12"/>
      <c r="D349" s="13" t="n">
        <f aca="false">IF(B349&lt;5,Einstellungen!$B$3,Einstellungen!$B$4)</f>
        <v>15.92</v>
      </c>
      <c r="E349" s="14" t="str">
        <f aca="false">IF(C349="","",C349*D349/100)</f>
        <v/>
      </c>
      <c r="F349" s="15" t="str">
        <f aca="false">IF(B349&lt;5,"Go","Standard")</f>
        <v>Go</v>
      </c>
    </row>
    <row r="350" customFormat="false" ht="15" hidden="false" customHeight="true" outlineLevel="0" collapsed="false">
      <c r="A350" s="10" t="n">
        <f aca="false">Einstellungen!$B$5+INT((ROW()-9)/24)</f>
        <v>45980</v>
      </c>
      <c r="B350" s="11" t="n">
        <f aca="false">MOD(ROW()-9,24)</f>
        <v>5</v>
      </c>
      <c r="C350" s="12"/>
      <c r="D350" s="13" t="n">
        <f aca="false">IF(B350&lt;5,Einstellungen!$B$3,Einstellungen!$B$4)</f>
        <v>29.13</v>
      </c>
      <c r="E350" s="14" t="str">
        <f aca="false">IF(C350="","",C350*D350/100)</f>
        <v/>
      </c>
      <c r="F350" s="15" t="str">
        <f aca="false">IF(B350&lt;5,"Go","Standard")</f>
        <v>Standard</v>
      </c>
    </row>
    <row r="351" customFormat="false" ht="15" hidden="false" customHeight="true" outlineLevel="0" collapsed="false">
      <c r="A351" s="10" t="n">
        <f aca="false">Einstellungen!$B$5+INT((ROW()-9)/24)</f>
        <v>45980</v>
      </c>
      <c r="B351" s="11" t="n">
        <f aca="false">MOD(ROW()-9,24)</f>
        <v>6</v>
      </c>
      <c r="C351" s="12"/>
      <c r="D351" s="13" t="n">
        <f aca="false">IF(B351&lt;5,Einstellungen!$B$3,Einstellungen!$B$4)</f>
        <v>29.13</v>
      </c>
      <c r="E351" s="14" t="str">
        <f aca="false">IF(C351="","",C351*D351/100)</f>
        <v/>
      </c>
      <c r="F351" s="15" t="str">
        <f aca="false">IF(B351&lt;5,"Go","Standard")</f>
        <v>Standard</v>
      </c>
    </row>
    <row r="352" customFormat="false" ht="15" hidden="false" customHeight="true" outlineLevel="0" collapsed="false">
      <c r="A352" s="10" t="n">
        <f aca="false">Einstellungen!$B$5+INT((ROW()-9)/24)</f>
        <v>45980</v>
      </c>
      <c r="B352" s="11" t="n">
        <f aca="false">MOD(ROW()-9,24)</f>
        <v>7</v>
      </c>
      <c r="C352" s="12"/>
      <c r="D352" s="13" t="n">
        <f aca="false">IF(B352&lt;5,Einstellungen!$B$3,Einstellungen!$B$4)</f>
        <v>29.13</v>
      </c>
      <c r="E352" s="14" t="str">
        <f aca="false">IF(C352="","",C352*D352/100)</f>
        <v/>
      </c>
      <c r="F352" s="15" t="str">
        <f aca="false">IF(B352&lt;5,"Go","Standard")</f>
        <v>Standard</v>
      </c>
    </row>
    <row r="353" customFormat="false" ht="15" hidden="false" customHeight="true" outlineLevel="0" collapsed="false">
      <c r="A353" s="10" t="n">
        <f aca="false">Einstellungen!$B$5+INT((ROW()-9)/24)</f>
        <v>45980</v>
      </c>
      <c r="B353" s="11" t="n">
        <f aca="false">MOD(ROW()-9,24)</f>
        <v>8</v>
      </c>
      <c r="C353" s="12"/>
      <c r="D353" s="13" t="n">
        <f aca="false">IF(B353&lt;5,Einstellungen!$B$3,Einstellungen!$B$4)</f>
        <v>29.13</v>
      </c>
      <c r="E353" s="14" t="str">
        <f aca="false">IF(C353="","",C353*D353/100)</f>
        <v/>
      </c>
      <c r="F353" s="15" t="str">
        <f aca="false">IF(B353&lt;5,"Go","Standard")</f>
        <v>Standard</v>
      </c>
    </row>
    <row r="354" customFormat="false" ht="15" hidden="false" customHeight="true" outlineLevel="0" collapsed="false">
      <c r="A354" s="10" t="n">
        <f aca="false">Einstellungen!$B$5+INT((ROW()-9)/24)</f>
        <v>45980</v>
      </c>
      <c r="B354" s="11" t="n">
        <f aca="false">MOD(ROW()-9,24)</f>
        <v>9</v>
      </c>
      <c r="C354" s="12"/>
      <c r="D354" s="13" t="n">
        <f aca="false">IF(B354&lt;5,Einstellungen!$B$3,Einstellungen!$B$4)</f>
        <v>29.13</v>
      </c>
      <c r="E354" s="14" t="str">
        <f aca="false">IF(C354="","",C354*D354/100)</f>
        <v/>
      </c>
      <c r="F354" s="15" t="str">
        <f aca="false">IF(B354&lt;5,"Go","Standard")</f>
        <v>Standard</v>
      </c>
    </row>
    <row r="355" customFormat="false" ht="15" hidden="false" customHeight="true" outlineLevel="0" collapsed="false">
      <c r="A355" s="10" t="n">
        <f aca="false">Einstellungen!$B$5+INT((ROW()-9)/24)</f>
        <v>45980</v>
      </c>
      <c r="B355" s="11" t="n">
        <f aca="false">MOD(ROW()-9,24)</f>
        <v>10</v>
      </c>
      <c r="C355" s="12"/>
      <c r="D355" s="13" t="n">
        <f aca="false">IF(B355&lt;5,Einstellungen!$B$3,Einstellungen!$B$4)</f>
        <v>29.13</v>
      </c>
      <c r="E355" s="14" t="str">
        <f aca="false">IF(C355="","",C355*D355/100)</f>
        <v/>
      </c>
      <c r="F355" s="15" t="str">
        <f aca="false">IF(B355&lt;5,"Go","Standard")</f>
        <v>Standard</v>
      </c>
    </row>
    <row r="356" customFormat="false" ht="15" hidden="false" customHeight="true" outlineLevel="0" collapsed="false">
      <c r="A356" s="10" t="n">
        <f aca="false">Einstellungen!$B$5+INT((ROW()-9)/24)</f>
        <v>45980</v>
      </c>
      <c r="B356" s="11" t="n">
        <f aca="false">MOD(ROW()-9,24)</f>
        <v>11</v>
      </c>
      <c r="C356" s="12"/>
      <c r="D356" s="13" t="n">
        <f aca="false">IF(B356&lt;5,Einstellungen!$B$3,Einstellungen!$B$4)</f>
        <v>29.13</v>
      </c>
      <c r="E356" s="14" t="str">
        <f aca="false">IF(C356="","",C356*D356/100)</f>
        <v/>
      </c>
      <c r="F356" s="15" t="str">
        <f aca="false">IF(B356&lt;5,"Go","Standard")</f>
        <v>Standard</v>
      </c>
    </row>
    <row r="357" customFormat="false" ht="15" hidden="false" customHeight="true" outlineLevel="0" collapsed="false">
      <c r="A357" s="10" t="n">
        <f aca="false">Einstellungen!$B$5+INT((ROW()-9)/24)</f>
        <v>45980</v>
      </c>
      <c r="B357" s="11" t="n">
        <f aca="false">MOD(ROW()-9,24)</f>
        <v>12</v>
      </c>
      <c r="C357" s="12"/>
      <c r="D357" s="13" t="n">
        <f aca="false">IF(B357&lt;5,Einstellungen!$B$3,Einstellungen!$B$4)</f>
        <v>29.13</v>
      </c>
      <c r="E357" s="14" t="str">
        <f aca="false">IF(C357="","",C357*D357/100)</f>
        <v/>
      </c>
      <c r="F357" s="15" t="str">
        <f aca="false">IF(B357&lt;5,"Go","Standard")</f>
        <v>Standard</v>
      </c>
    </row>
    <row r="358" customFormat="false" ht="15" hidden="false" customHeight="true" outlineLevel="0" collapsed="false">
      <c r="A358" s="10" t="n">
        <f aca="false">Einstellungen!$B$5+INT((ROW()-9)/24)</f>
        <v>45980</v>
      </c>
      <c r="B358" s="11" t="n">
        <f aca="false">MOD(ROW()-9,24)</f>
        <v>13</v>
      </c>
      <c r="C358" s="12"/>
      <c r="D358" s="13" t="n">
        <f aca="false">IF(B358&lt;5,Einstellungen!$B$3,Einstellungen!$B$4)</f>
        <v>29.13</v>
      </c>
      <c r="E358" s="14" t="str">
        <f aca="false">IF(C358="","",C358*D358/100)</f>
        <v/>
      </c>
      <c r="F358" s="15" t="str">
        <f aca="false">IF(B358&lt;5,"Go","Standard")</f>
        <v>Standard</v>
      </c>
    </row>
    <row r="359" customFormat="false" ht="15" hidden="false" customHeight="true" outlineLevel="0" collapsed="false">
      <c r="A359" s="10" t="n">
        <f aca="false">Einstellungen!$B$5+INT((ROW()-9)/24)</f>
        <v>45980</v>
      </c>
      <c r="B359" s="11" t="n">
        <f aca="false">MOD(ROW()-9,24)</f>
        <v>14</v>
      </c>
      <c r="C359" s="12"/>
      <c r="D359" s="13" t="n">
        <f aca="false">IF(B359&lt;5,Einstellungen!$B$3,Einstellungen!$B$4)</f>
        <v>29.13</v>
      </c>
      <c r="E359" s="14" t="str">
        <f aca="false">IF(C359="","",C359*D359/100)</f>
        <v/>
      </c>
      <c r="F359" s="15" t="str">
        <f aca="false">IF(B359&lt;5,"Go","Standard")</f>
        <v>Standard</v>
      </c>
    </row>
    <row r="360" customFormat="false" ht="15" hidden="false" customHeight="true" outlineLevel="0" collapsed="false">
      <c r="A360" s="10" t="n">
        <f aca="false">Einstellungen!$B$5+INT((ROW()-9)/24)</f>
        <v>45980</v>
      </c>
      <c r="B360" s="11" t="n">
        <f aca="false">MOD(ROW()-9,24)</f>
        <v>15</v>
      </c>
      <c r="C360" s="12"/>
      <c r="D360" s="13" t="n">
        <f aca="false">IF(B360&lt;5,Einstellungen!$B$3,Einstellungen!$B$4)</f>
        <v>29.13</v>
      </c>
      <c r="E360" s="14" t="str">
        <f aca="false">IF(C360="","",C360*D360/100)</f>
        <v/>
      </c>
      <c r="F360" s="15" t="str">
        <f aca="false">IF(B360&lt;5,"Go","Standard")</f>
        <v>Standard</v>
      </c>
    </row>
    <row r="361" customFormat="false" ht="15" hidden="false" customHeight="true" outlineLevel="0" collapsed="false">
      <c r="A361" s="10" t="n">
        <f aca="false">Einstellungen!$B$5+INT((ROW()-9)/24)</f>
        <v>45980</v>
      </c>
      <c r="B361" s="11" t="n">
        <f aca="false">MOD(ROW()-9,24)</f>
        <v>16</v>
      </c>
      <c r="C361" s="12"/>
      <c r="D361" s="13" t="n">
        <f aca="false">IF(B361&lt;5,Einstellungen!$B$3,Einstellungen!$B$4)</f>
        <v>29.13</v>
      </c>
      <c r="E361" s="14" t="str">
        <f aca="false">IF(C361="","",C361*D361/100)</f>
        <v/>
      </c>
      <c r="F361" s="15" t="str">
        <f aca="false">IF(B361&lt;5,"Go","Standard")</f>
        <v>Standard</v>
      </c>
    </row>
    <row r="362" customFormat="false" ht="15" hidden="false" customHeight="true" outlineLevel="0" collapsed="false">
      <c r="A362" s="10" t="n">
        <f aca="false">Einstellungen!$B$5+INT((ROW()-9)/24)</f>
        <v>45980</v>
      </c>
      <c r="B362" s="11" t="n">
        <f aca="false">MOD(ROW()-9,24)</f>
        <v>17</v>
      </c>
      <c r="C362" s="12"/>
      <c r="D362" s="13" t="n">
        <f aca="false">IF(B362&lt;5,Einstellungen!$B$3,Einstellungen!$B$4)</f>
        <v>29.13</v>
      </c>
      <c r="E362" s="14" t="str">
        <f aca="false">IF(C362="","",C362*D362/100)</f>
        <v/>
      </c>
      <c r="F362" s="15" t="str">
        <f aca="false">IF(B362&lt;5,"Go","Standard")</f>
        <v>Standard</v>
      </c>
    </row>
    <row r="363" customFormat="false" ht="15" hidden="false" customHeight="true" outlineLevel="0" collapsed="false">
      <c r="A363" s="10" t="n">
        <f aca="false">Einstellungen!$B$5+INT((ROW()-9)/24)</f>
        <v>45980</v>
      </c>
      <c r="B363" s="11" t="n">
        <f aca="false">MOD(ROW()-9,24)</f>
        <v>18</v>
      </c>
      <c r="C363" s="12"/>
      <c r="D363" s="13" t="n">
        <f aca="false">IF(B363&lt;5,Einstellungen!$B$3,Einstellungen!$B$4)</f>
        <v>29.13</v>
      </c>
      <c r="E363" s="14" t="str">
        <f aca="false">IF(C363="","",C363*D363/100)</f>
        <v/>
      </c>
      <c r="F363" s="15" t="str">
        <f aca="false">IF(B363&lt;5,"Go","Standard")</f>
        <v>Standard</v>
      </c>
    </row>
    <row r="364" customFormat="false" ht="15" hidden="false" customHeight="true" outlineLevel="0" collapsed="false">
      <c r="A364" s="10" t="n">
        <f aca="false">Einstellungen!$B$5+INT((ROW()-9)/24)</f>
        <v>45980</v>
      </c>
      <c r="B364" s="11" t="n">
        <f aca="false">MOD(ROW()-9,24)</f>
        <v>19</v>
      </c>
      <c r="C364" s="12"/>
      <c r="D364" s="13" t="n">
        <f aca="false">IF(B364&lt;5,Einstellungen!$B$3,Einstellungen!$B$4)</f>
        <v>29.13</v>
      </c>
      <c r="E364" s="14" t="str">
        <f aca="false">IF(C364="","",C364*D364/100)</f>
        <v/>
      </c>
      <c r="F364" s="15" t="str">
        <f aca="false">IF(B364&lt;5,"Go","Standard")</f>
        <v>Standard</v>
      </c>
    </row>
    <row r="365" customFormat="false" ht="15" hidden="false" customHeight="true" outlineLevel="0" collapsed="false">
      <c r="A365" s="10" t="n">
        <f aca="false">Einstellungen!$B$5+INT((ROW()-9)/24)</f>
        <v>45980</v>
      </c>
      <c r="B365" s="11" t="n">
        <f aca="false">MOD(ROW()-9,24)</f>
        <v>20</v>
      </c>
      <c r="C365" s="12"/>
      <c r="D365" s="13" t="n">
        <f aca="false">IF(B365&lt;5,Einstellungen!$B$3,Einstellungen!$B$4)</f>
        <v>29.13</v>
      </c>
      <c r="E365" s="14" t="str">
        <f aca="false">IF(C365="","",C365*D365/100)</f>
        <v/>
      </c>
      <c r="F365" s="15" t="str">
        <f aca="false">IF(B365&lt;5,"Go","Standard")</f>
        <v>Standard</v>
      </c>
    </row>
    <row r="366" customFormat="false" ht="15" hidden="false" customHeight="true" outlineLevel="0" collapsed="false">
      <c r="A366" s="10" t="n">
        <f aca="false">Einstellungen!$B$5+INT((ROW()-9)/24)</f>
        <v>45980</v>
      </c>
      <c r="B366" s="11" t="n">
        <f aca="false">MOD(ROW()-9,24)</f>
        <v>21</v>
      </c>
      <c r="C366" s="12"/>
      <c r="D366" s="13" t="n">
        <f aca="false">IF(B366&lt;5,Einstellungen!$B$3,Einstellungen!$B$4)</f>
        <v>29.13</v>
      </c>
      <c r="E366" s="14" t="str">
        <f aca="false">IF(C366="","",C366*D366/100)</f>
        <v/>
      </c>
      <c r="F366" s="15" t="str">
        <f aca="false">IF(B366&lt;5,"Go","Standard")</f>
        <v>Standard</v>
      </c>
    </row>
    <row r="367" customFormat="false" ht="15" hidden="false" customHeight="true" outlineLevel="0" collapsed="false">
      <c r="A367" s="10" t="n">
        <f aca="false">Einstellungen!$B$5+INT((ROW()-9)/24)</f>
        <v>45980</v>
      </c>
      <c r="B367" s="11" t="n">
        <f aca="false">MOD(ROW()-9,24)</f>
        <v>22</v>
      </c>
      <c r="C367" s="12"/>
      <c r="D367" s="13" t="n">
        <f aca="false">IF(B367&lt;5,Einstellungen!$B$3,Einstellungen!$B$4)</f>
        <v>29.13</v>
      </c>
      <c r="E367" s="14" t="str">
        <f aca="false">IF(C367="","",C367*D367/100)</f>
        <v/>
      </c>
      <c r="F367" s="15" t="str">
        <f aca="false">IF(B367&lt;5,"Go","Standard")</f>
        <v>Standard</v>
      </c>
    </row>
    <row r="368" customFormat="false" ht="15" hidden="false" customHeight="true" outlineLevel="0" collapsed="false">
      <c r="A368" s="10" t="n">
        <f aca="false">Einstellungen!$B$5+INT((ROW()-9)/24)</f>
        <v>45980</v>
      </c>
      <c r="B368" s="11" t="n">
        <f aca="false">MOD(ROW()-9,24)</f>
        <v>23</v>
      </c>
      <c r="C368" s="12"/>
      <c r="D368" s="13" t="n">
        <f aca="false">IF(B368&lt;5,Einstellungen!$B$3,Einstellungen!$B$4)</f>
        <v>29.13</v>
      </c>
      <c r="E368" s="14" t="str">
        <f aca="false">IF(C368="","",C368*D368/100)</f>
        <v/>
      </c>
      <c r="F368" s="15" t="str">
        <f aca="false">IF(B368&lt;5,"Go","Standard")</f>
        <v>Standard</v>
      </c>
    </row>
    <row r="369" customFormat="false" ht="15" hidden="false" customHeight="true" outlineLevel="0" collapsed="false">
      <c r="A369" s="10" t="n">
        <f aca="false">Einstellungen!$B$5+INT((ROW()-9)/24)</f>
        <v>45981</v>
      </c>
      <c r="B369" s="11" t="n">
        <f aca="false">MOD(ROW()-9,24)</f>
        <v>0</v>
      </c>
      <c r="C369" s="12"/>
      <c r="D369" s="13" t="n">
        <f aca="false">IF(B369&lt;5,Einstellungen!$B$3,Einstellungen!$B$4)</f>
        <v>15.92</v>
      </c>
      <c r="E369" s="14" t="str">
        <f aca="false">IF(C369="","",C369*D369/100)</f>
        <v/>
      </c>
      <c r="F369" s="15" t="str">
        <f aca="false">IF(B369&lt;5,"Go","Standard")</f>
        <v>Go</v>
      </c>
    </row>
    <row r="370" customFormat="false" ht="15" hidden="false" customHeight="true" outlineLevel="0" collapsed="false">
      <c r="A370" s="10" t="n">
        <f aca="false">Einstellungen!$B$5+INT((ROW()-9)/24)</f>
        <v>45981</v>
      </c>
      <c r="B370" s="11" t="n">
        <f aca="false">MOD(ROW()-9,24)</f>
        <v>1</v>
      </c>
      <c r="C370" s="12"/>
      <c r="D370" s="13" t="n">
        <f aca="false">IF(B370&lt;5,Einstellungen!$B$3,Einstellungen!$B$4)</f>
        <v>15.92</v>
      </c>
      <c r="E370" s="14" t="str">
        <f aca="false">IF(C370="","",C370*D370/100)</f>
        <v/>
      </c>
      <c r="F370" s="15" t="str">
        <f aca="false">IF(B370&lt;5,"Go","Standard")</f>
        <v>Go</v>
      </c>
    </row>
    <row r="371" customFormat="false" ht="15" hidden="false" customHeight="true" outlineLevel="0" collapsed="false">
      <c r="A371" s="10" t="n">
        <f aca="false">Einstellungen!$B$5+INT((ROW()-9)/24)</f>
        <v>45981</v>
      </c>
      <c r="B371" s="11" t="n">
        <f aca="false">MOD(ROW()-9,24)</f>
        <v>2</v>
      </c>
      <c r="C371" s="12"/>
      <c r="D371" s="13" t="n">
        <f aca="false">IF(B371&lt;5,Einstellungen!$B$3,Einstellungen!$B$4)</f>
        <v>15.92</v>
      </c>
      <c r="E371" s="14" t="str">
        <f aca="false">IF(C371="","",C371*D371/100)</f>
        <v/>
      </c>
      <c r="F371" s="15" t="str">
        <f aca="false">IF(B371&lt;5,"Go","Standard")</f>
        <v>Go</v>
      </c>
    </row>
    <row r="372" customFormat="false" ht="15" hidden="false" customHeight="true" outlineLevel="0" collapsed="false">
      <c r="A372" s="10" t="n">
        <f aca="false">Einstellungen!$B$5+INT((ROW()-9)/24)</f>
        <v>45981</v>
      </c>
      <c r="B372" s="11" t="n">
        <f aca="false">MOD(ROW()-9,24)</f>
        <v>3</v>
      </c>
      <c r="C372" s="12"/>
      <c r="D372" s="13" t="n">
        <f aca="false">IF(B372&lt;5,Einstellungen!$B$3,Einstellungen!$B$4)</f>
        <v>15.92</v>
      </c>
      <c r="E372" s="14" t="str">
        <f aca="false">IF(C372="","",C372*D372/100)</f>
        <v/>
      </c>
      <c r="F372" s="15" t="str">
        <f aca="false">IF(B372&lt;5,"Go","Standard")</f>
        <v>Go</v>
      </c>
    </row>
    <row r="373" customFormat="false" ht="15" hidden="false" customHeight="true" outlineLevel="0" collapsed="false">
      <c r="A373" s="10" t="n">
        <f aca="false">Einstellungen!$B$5+INT((ROW()-9)/24)</f>
        <v>45981</v>
      </c>
      <c r="B373" s="11" t="n">
        <f aca="false">MOD(ROW()-9,24)</f>
        <v>4</v>
      </c>
      <c r="C373" s="12"/>
      <c r="D373" s="13" t="n">
        <f aca="false">IF(B373&lt;5,Einstellungen!$B$3,Einstellungen!$B$4)</f>
        <v>15.92</v>
      </c>
      <c r="E373" s="14" t="str">
        <f aca="false">IF(C373="","",C373*D373/100)</f>
        <v/>
      </c>
      <c r="F373" s="15" t="str">
        <f aca="false">IF(B373&lt;5,"Go","Standard")</f>
        <v>Go</v>
      </c>
    </row>
    <row r="374" customFormat="false" ht="15" hidden="false" customHeight="true" outlineLevel="0" collapsed="false">
      <c r="A374" s="10" t="n">
        <f aca="false">Einstellungen!$B$5+INT((ROW()-9)/24)</f>
        <v>45981</v>
      </c>
      <c r="B374" s="11" t="n">
        <f aca="false">MOD(ROW()-9,24)</f>
        <v>5</v>
      </c>
      <c r="C374" s="12"/>
      <c r="D374" s="13" t="n">
        <f aca="false">IF(B374&lt;5,Einstellungen!$B$3,Einstellungen!$B$4)</f>
        <v>29.13</v>
      </c>
      <c r="E374" s="14" t="str">
        <f aca="false">IF(C374="","",C374*D374/100)</f>
        <v/>
      </c>
      <c r="F374" s="15" t="str">
        <f aca="false">IF(B374&lt;5,"Go","Standard")</f>
        <v>Standard</v>
      </c>
    </row>
    <row r="375" customFormat="false" ht="15" hidden="false" customHeight="true" outlineLevel="0" collapsed="false">
      <c r="A375" s="10" t="n">
        <f aca="false">Einstellungen!$B$5+INT((ROW()-9)/24)</f>
        <v>45981</v>
      </c>
      <c r="B375" s="11" t="n">
        <f aca="false">MOD(ROW()-9,24)</f>
        <v>6</v>
      </c>
      <c r="C375" s="12"/>
      <c r="D375" s="13" t="n">
        <f aca="false">IF(B375&lt;5,Einstellungen!$B$3,Einstellungen!$B$4)</f>
        <v>29.13</v>
      </c>
      <c r="E375" s="14" t="str">
        <f aca="false">IF(C375="","",C375*D375/100)</f>
        <v/>
      </c>
      <c r="F375" s="15" t="str">
        <f aca="false">IF(B375&lt;5,"Go","Standard")</f>
        <v>Standard</v>
      </c>
    </row>
    <row r="376" customFormat="false" ht="15" hidden="false" customHeight="true" outlineLevel="0" collapsed="false">
      <c r="A376" s="10" t="n">
        <f aca="false">Einstellungen!$B$5+INT((ROW()-9)/24)</f>
        <v>45981</v>
      </c>
      <c r="B376" s="11" t="n">
        <f aca="false">MOD(ROW()-9,24)</f>
        <v>7</v>
      </c>
      <c r="C376" s="12"/>
      <c r="D376" s="13" t="n">
        <f aca="false">IF(B376&lt;5,Einstellungen!$B$3,Einstellungen!$B$4)</f>
        <v>29.13</v>
      </c>
      <c r="E376" s="14" t="str">
        <f aca="false">IF(C376="","",C376*D376/100)</f>
        <v/>
      </c>
      <c r="F376" s="15" t="str">
        <f aca="false">IF(B376&lt;5,"Go","Standard")</f>
        <v>Standard</v>
      </c>
    </row>
    <row r="377" customFormat="false" ht="15" hidden="false" customHeight="true" outlineLevel="0" collapsed="false">
      <c r="A377" s="10" t="n">
        <f aca="false">Einstellungen!$B$5+INT((ROW()-9)/24)</f>
        <v>45981</v>
      </c>
      <c r="B377" s="11" t="n">
        <f aca="false">MOD(ROW()-9,24)</f>
        <v>8</v>
      </c>
      <c r="C377" s="12"/>
      <c r="D377" s="13" t="n">
        <f aca="false">IF(B377&lt;5,Einstellungen!$B$3,Einstellungen!$B$4)</f>
        <v>29.13</v>
      </c>
      <c r="E377" s="14" t="str">
        <f aca="false">IF(C377="","",C377*D377/100)</f>
        <v/>
      </c>
      <c r="F377" s="15" t="str">
        <f aca="false">IF(B377&lt;5,"Go","Standard")</f>
        <v>Standard</v>
      </c>
    </row>
    <row r="378" customFormat="false" ht="15" hidden="false" customHeight="true" outlineLevel="0" collapsed="false">
      <c r="A378" s="10" t="n">
        <f aca="false">Einstellungen!$B$5+INT((ROW()-9)/24)</f>
        <v>45981</v>
      </c>
      <c r="B378" s="11" t="n">
        <f aca="false">MOD(ROW()-9,24)</f>
        <v>9</v>
      </c>
      <c r="C378" s="12"/>
      <c r="D378" s="13" t="n">
        <f aca="false">IF(B378&lt;5,Einstellungen!$B$3,Einstellungen!$B$4)</f>
        <v>29.13</v>
      </c>
      <c r="E378" s="14" t="str">
        <f aca="false">IF(C378="","",C378*D378/100)</f>
        <v/>
      </c>
      <c r="F378" s="15" t="str">
        <f aca="false">IF(B378&lt;5,"Go","Standard")</f>
        <v>Standard</v>
      </c>
    </row>
    <row r="379" customFormat="false" ht="15" hidden="false" customHeight="true" outlineLevel="0" collapsed="false">
      <c r="A379" s="10" t="n">
        <f aca="false">Einstellungen!$B$5+INT((ROW()-9)/24)</f>
        <v>45981</v>
      </c>
      <c r="B379" s="11" t="n">
        <f aca="false">MOD(ROW()-9,24)</f>
        <v>10</v>
      </c>
      <c r="C379" s="12"/>
      <c r="D379" s="13" t="n">
        <f aca="false">IF(B379&lt;5,Einstellungen!$B$3,Einstellungen!$B$4)</f>
        <v>29.13</v>
      </c>
      <c r="E379" s="14" t="str">
        <f aca="false">IF(C379="","",C379*D379/100)</f>
        <v/>
      </c>
      <c r="F379" s="15" t="str">
        <f aca="false">IF(B379&lt;5,"Go","Standard")</f>
        <v>Standard</v>
      </c>
    </row>
    <row r="380" customFormat="false" ht="15" hidden="false" customHeight="true" outlineLevel="0" collapsed="false">
      <c r="A380" s="10" t="n">
        <f aca="false">Einstellungen!$B$5+INT((ROW()-9)/24)</f>
        <v>45981</v>
      </c>
      <c r="B380" s="11" t="n">
        <f aca="false">MOD(ROW()-9,24)</f>
        <v>11</v>
      </c>
      <c r="C380" s="12"/>
      <c r="D380" s="13" t="n">
        <f aca="false">IF(B380&lt;5,Einstellungen!$B$3,Einstellungen!$B$4)</f>
        <v>29.13</v>
      </c>
      <c r="E380" s="14" t="str">
        <f aca="false">IF(C380="","",C380*D380/100)</f>
        <v/>
      </c>
      <c r="F380" s="15" t="str">
        <f aca="false">IF(B380&lt;5,"Go","Standard")</f>
        <v>Standard</v>
      </c>
    </row>
    <row r="381" customFormat="false" ht="15" hidden="false" customHeight="true" outlineLevel="0" collapsed="false">
      <c r="A381" s="10" t="n">
        <f aca="false">Einstellungen!$B$5+INT((ROW()-9)/24)</f>
        <v>45981</v>
      </c>
      <c r="B381" s="11" t="n">
        <f aca="false">MOD(ROW()-9,24)</f>
        <v>12</v>
      </c>
      <c r="C381" s="12"/>
      <c r="D381" s="13" t="n">
        <f aca="false">IF(B381&lt;5,Einstellungen!$B$3,Einstellungen!$B$4)</f>
        <v>29.13</v>
      </c>
      <c r="E381" s="14" t="str">
        <f aca="false">IF(C381="","",C381*D381/100)</f>
        <v/>
      </c>
      <c r="F381" s="15" t="str">
        <f aca="false">IF(B381&lt;5,"Go","Standard")</f>
        <v>Standard</v>
      </c>
    </row>
    <row r="382" customFormat="false" ht="15" hidden="false" customHeight="true" outlineLevel="0" collapsed="false">
      <c r="A382" s="10" t="n">
        <f aca="false">Einstellungen!$B$5+INT((ROW()-9)/24)</f>
        <v>45981</v>
      </c>
      <c r="B382" s="11" t="n">
        <f aca="false">MOD(ROW()-9,24)</f>
        <v>13</v>
      </c>
      <c r="C382" s="12"/>
      <c r="D382" s="13" t="n">
        <f aca="false">IF(B382&lt;5,Einstellungen!$B$3,Einstellungen!$B$4)</f>
        <v>29.13</v>
      </c>
      <c r="E382" s="14" t="str">
        <f aca="false">IF(C382="","",C382*D382/100)</f>
        <v/>
      </c>
      <c r="F382" s="15" t="str">
        <f aca="false">IF(B382&lt;5,"Go","Standard")</f>
        <v>Standard</v>
      </c>
    </row>
    <row r="383" customFormat="false" ht="15" hidden="false" customHeight="true" outlineLevel="0" collapsed="false">
      <c r="A383" s="10" t="n">
        <f aca="false">Einstellungen!$B$5+INT((ROW()-9)/24)</f>
        <v>45981</v>
      </c>
      <c r="B383" s="11" t="n">
        <f aca="false">MOD(ROW()-9,24)</f>
        <v>14</v>
      </c>
      <c r="C383" s="12"/>
      <c r="D383" s="13" t="n">
        <f aca="false">IF(B383&lt;5,Einstellungen!$B$3,Einstellungen!$B$4)</f>
        <v>29.13</v>
      </c>
      <c r="E383" s="14" t="str">
        <f aca="false">IF(C383="","",C383*D383/100)</f>
        <v/>
      </c>
      <c r="F383" s="15" t="str">
        <f aca="false">IF(B383&lt;5,"Go","Standard")</f>
        <v>Standard</v>
      </c>
    </row>
    <row r="384" customFormat="false" ht="15" hidden="false" customHeight="true" outlineLevel="0" collapsed="false">
      <c r="A384" s="10" t="n">
        <f aca="false">Einstellungen!$B$5+INT((ROW()-9)/24)</f>
        <v>45981</v>
      </c>
      <c r="B384" s="11" t="n">
        <f aca="false">MOD(ROW()-9,24)</f>
        <v>15</v>
      </c>
      <c r="C384" s="12"/>
      <c r="D384" s="13" t="n">
        <f aca="false">IF(B384&lt;5,Einstellungen!$B$3,Einstellungen!$B$4)</f>
        <v>29.13</v>
      </c>
      <c r="E384" s="14" t="str">
        <f aca="false">IF(C384="","",C384*D384/100)</f>
        <v/>
      </c>
      <c r="F384" s="15" t="str">
        <f aca="false">IF(B384&lt;5,"Go","Standard")</f>
        <v>Standard</v>
      </c>
    </row>
    <row r="385" customFormat="false" ht="15" hidden="false" customHeight="true" outlineLevel="0" collapsed="false">
      <c r="A385" s="10" t="n">
        <f aca="false">Einstellungen!$B$5+INT((ROW()-9)/24)</f>
        <v>45981</v>
      </c>
      <c r="B385" s="11" t="n">
        <f aca="false">MOD(ROW()-9,24)</f>
        <v>16</v>
      </c>
      <c r="C385" s="12"/>
      <c r="D385" s="13" t="n">
        <f aca="false">IF(B385&lt;5,Einstellungen!$B$3,Einstellungen!$B$4)</f>
        <v>29.13</v>
      </c>
      <c r="E385" s="14" t="str">
        <f aca="false">IF(C385="","",C385*D385/100)</f>
        <v/>
      </c>
      <c r="F385" s="15" t="str">
        <f aca="false">IF(B385&lt;5,"Go","Standard")</f>
        <v>Standard</v>
      </c>
    </row>
    <row r="386" customFormat="false" ht="15" hidden="false" customHeight="true" outlineLevel="0" collapsed="false">
      <c r="A386" s="10" t="n">
        <f aca="false">Einstellungen!$B$5+INT((ROW()-9)/24)</f>
        <v>45981</v>
      </c>
      <c r="B386" s="11" t="n">
        <f aca="false">MOD(ROW()-9,24)</f>
        <v>17</v>
      </c>
      <c r="C386" s="12"/>
      <c r="D386" s="13" t="n">
        <f aca="false">IF(B386&lt;5,Einstellungen!$B$3,Einstellungen!$B$4)</f>
        <v>29.13</v>
      </c>
      <c r="E386" s="14" t="str">
        <f aca="false">IF(C386="","",C386*D386/100)</f>
        <v/>
      </c>
      <c r="F386" s="15" t="str">
        <f aca="false">IF(B386&lt;5,"Go","Standard")</f>
        <v>Standard</v>
      </c>
    </row>
    <row r="387" customFormat="false" ht="15" hidden="false" customHeight="true" outlineLevel="0" collapsed="false">
      <c r="A387" s="10" t="n">
        <f aca="false">Einstellungen!$B$5+INT((ROW()-9)/24)</f>
        <v>45981</v>
      </c>
      <c r="B387" s="11" t="n">
        <f aca="false">MOD(ROW()-9,24)</f>
        <v>18</v>
      </c>
      <c r="C387" s="12"/>
      <c r="D387" s="13" t="n">
        <f aca="false">IF(B387&lt;5,Einstellungen!$B$3,Einstellungen!$B$4)</f>
        <v>29.13</v>
      </c>
      <c r="E387" s="14" t="str">
        <f aca="false">IF(C387="","",C387*D387/100)</f>
        <v/>
      </c>
      <c r="F387" s="15" t="str">
        <f aca="false">IF(B387&lt;5,"Go","Standard")</f>
        <v>Standard</v>
      </c>
    </row>
    <row r="388" customFormat="false" ht="15" hidden="false" customHeight="true" outlineLevel="0" collapsed="false">
      <c r="A388" s="10" t="n">
        <f aca="false">Einstellungen!$B$5+INT((ROW()-9)/24)</f>
        <v>45981</v>
      </c>
      <c r="B388" s="11" t="n">
        <f aca="false">MOD(ROW()-9,24)</f>
        <v>19</v>
      </c>
      <c r="C388" s="12"/>
      <c r="D388" s="13" t="n">
        <f aca="false">IF(B388&lt;5,Einstellungen!$B$3,Einstellungen!$B$4)</f>
        <v>29.13</v>
      </c>
      <c r="E388" s="14" t="str">
        <f aca="false">IF(C388="","",C388*D388/100)</f>
        <v/>
      </c>
      <c r="F388" s="15" t="str">
        <f aca="false">IF(B388&lt;5,"Go","Standard")</f>
        <v>Standard</v>
      </c>
    </row>
    <row r="389" customFormat="false" ht="15" hidden="false" customHeight="true" outlineLevel="0" collapsed="false">
      <c r="A389" s="10" t="n">
        <f aca="false">Einstellungen!$B$5+INT((ROW()-9)/24)</f>
        <v>45981</v>
      </c>
      <c r="B389" s="11" t="n">
        <f aca="false">MOD(ROW()-9,24)</f>
        <v>20</v>
      </c>
      <c r="C389" s="12"/>
      <c r="D389" s="13" t="n">
        <f aca="false">IF(B389&lt;5,Einstellungen!$B$3,Einstellungen!$B$4)</f>
        <v>29.13</v>
      </c>
      <c r="E389" s="14" t="str">
        <f aca="false">IF(C389="","",C389*D389/100)</f>
        <v/>
      </c>
      <c r="F389" s="15" t="str">
        <f aca="false">IF(B389&lt;5,"Go","Standard")</f>
        <v>Standard</v>
      </c>
    </row>
    <row r="390" customFormat="false" ht="15" hidden="false" customHeight="true" outlineLevel="0" collapsed="false">
      <c r="A390" s="10" t="n">
        <f aca="false">Einstellungen!$B$5+INT((ROW()-9)/24)</f>
        <v>45981</v>
      </c>
      <c r="B390" s="11" t="n">
        <f aca="false">MOD(ROW()-9,24)</f>
        <v>21</v>
      </c>
      <c r="C390" s="12"/>
      <c r="D390" s="13" t="n">
        <f aca="false">IF(B390&lt;5,Einstellungen!$B$3,Einstellungen!$B$4)</f>
        <v>29.13</v>
      </c>
      <c r="E390" s="14" t="str">
        <f aca="false">IF(C390="","",C390*D390/100)</f>
        <v/>
      </c>
      <c r="F390" s="15" t="str">
        <f aca="false">IF(B390&lt;5,"Go","Standard")</f>
        <v>Standard</v>
      </c>
    </row>
    <row r="391" customFormat="false" ht="15" hidden="false" customHeight="true" outlineLevel="0" collapsed="false">
      <c r="A391" s="10" t="n">
        <f aca="false">Einstellungen!$B$5+INT((ROW()-9)/24)</f>
        <v>45981</v>
      </c>
      <c r="B391" s="11" t="n">
        <f aca="false">MOD(ROW()-9,24)</f>
        <v>22</v>
      </c>
      <c r="C391" s="12"/>
      <c r="D391" s="13" t="n">
        <f aca="false">IF(B391&lt;5,Einstellungen!$B$3,Einstellungen!$B$4)</f>
        <v>29.13</v>
      </c>
      <c r="E391" s="14" t="str">
        <f aca="false">IF(C391="","",C391*D391/100)</f>
        <v/>
      </c>
      <c r="F391" s="15" t="str">
        <f aca="false">IF(B391&lt;5,"Go","Standard")</f>
        <v>Standard</v>
      </c>
    </row>
    <row r="392" customFormat="false" ht="15" hidden="false" customHeight="true" outlineLevel="0" collapsed="false">
      <c r="A392" s="10" t="n">
        <f aca="false">Einstellungen!$B$5+INT((ROW()-9)/24)</f>
        <v>45981</v>
      </c>
      <c r="B392" s="11" t="n">
        <f aca="false">MOD(ROW()-9,24)</f>
        <v>23</v>
      </c>
      <c r="C392" s="12"/>
      <c r="D392" s="13" t="n">
        <f aca="false">IF(B392&lt;5,Einstellungen!$B$3,Einstellungen!$B$4)</f>
        <v>29.13</v>
      </c>
      <c r="E392" s="14" t="str">
        <f aca="false">IF(C392="","",C392*D392/100)</f>
        <v/>
      </c>
      <c r="F392" s="15" t="str">
        <f aca="false">IF(B392&lt;5,"Go","Standard")</f>
        <v>Standard</v>
      </c>
    </row>
    <row r="393" customFormat="false" ht="15" hidden="false" customHeight="true" outlineLevel="0" collapsed="false">
      <c r="A393" s="10" t="n">
        <f aca="false">Einstellungen!$B$5+INT((ROW()-9)/24)</f>
        <v>45982</v>
      </c>
      <c r="B393" s="11" t="n">
        <f aca="false">MOD(ROW()-9,24)</f>
        <v>0</v>
      </c>
      <c r="C393" s="12"/>
      <c r="D393" s="13" t="n">
        <f aca="false">IF(B393&lt;5,Einstellungen!$B$3,Einstellungen!$B$4)</f>
        <v>15.92</v>
      </c>
      <c r="E393" s="14" t="str">
        <f aca="false">IF(C393="","",C393*D393/100)</f>
        <v/>
      </c>
      <c r="F393" s="15" t="str">
        <f aca="false">IF(B393&lt;5,"Go","Standard")</f>
        <v>Go</v>
      </c>
    </row>
    <row r="394" customFormat="false" ht="15" hidden="false" customHeight="true" outlineLevel="0" collapsed="false">
      <c r="A394" s="10" t="n">
        <f aca="false">Einstellungen!$B$5+INT((ROW()-9)/24)</f>
        <v>45982</v>
      </c>
      <c r="B394" s="11" t="n">
        <f aca="false">MOD(ROW()-9,24)</f>
        <v>1</v>
      </c>
      <c r="C394" s="12"/>
      <c r="D394" s="13" t="n">
        <f aca="false">IF(B394&lt;5,Einstellungen!$B$3,Einstellungen!$B$4)</f>
        <v>15.92</v>
      </c>
      <c r="E394" s="14" t="str">
        <f aca="false">IF(C394="","",C394*D394/100)</f>
        <v/>
      </c>
      <c r="F394" s="15" t="str">
        <f aca="false">IF(B394&lt;5,"Go","Standard")</f>
        <v>Go</v>
      </c>
    </row>
    <row r="395" customFormat="false" ht="15" hidden="false" customHeight="true" outlineLevel="0" collapsed="false">
      <c r="A395" s="10" t="n">
        <f aca="false">Einstellungen!$B$5+INT((ROW()-9)/24)</f>
        <v>45982</v>
      </c>
      <c r="B395" s="11" t="n">
        <f aca="false">MOD(ROW()-9,24)</f>
        <v>2</v>
      </c>
      <c r="C395" s="12"/>
      <c r="D395" s="13" t="n">
        <f aca="false">IF(B395&lt;5,Einstellungen!$B$3,Einstellungen!$B$4)</f>
        <v>15.92</v>
      </c>
      <c r="E395" s="14" t="str">
        <f aca="false">IF(C395="","",C395*D395/100)</f>
        <v/>
      </c>
      <c r="F395" s="15" t="str">
        <f aca="false">IF(B395&lt;5,"Go","Standard")</f>
        <v>Go</v>
      </c>
    </row>
    <row r="396" customFormat="false" ht="15" hidden="false" customHeight="true" outlineLevel="0" collapsed="false">
      <c r="A396" s="10" t="n">
        <f aca="false">Einstellungen!$B$5+INT((ROW()-9)/24)</f>
        <v>45982</v>
      </c>
      <c r="B396" s="11" t="n">
        <f aca="false">MOD(ROW()-9,24)</f>
        <v>3</v>
      </c>
      <c r="C396" s="12"/>
      <c r="D396" s="13" t="n">
        <f aca="false">IF(B396&lt;5,Einstellungen!$B$3,Einstellungen!$B$4)</f>
        <v>15.92</v>
      </c>
      <c r="E396" s="14" t="str">
        <f aca="false">IF(C396="","",C396*D396/100)</f>
        <v/>
      </c>
      <c r="F396" s="15" t="str">
        <f aca="false">IF(B396&lt;5,"Go","Standard")</f>
        <v>Go</v>
      </c>
    </row>
    <row r="397" customFormat="false" ht="15" hidden="false" customHeight="true" outlineLevel="0" collapsed="false">
      <c r="A397" s="10" t="n">
        <f aca="false">Einstellungen!$B$5+INT((ROW()-9)/24)</f>
        <v>45982</v>
      </c>
      <c r="B397" s="11" t="n">
        <f aca="false">MOD(ROW()-9,24)</f>
        <v>4</v>
      </c>
      <c r="C397" s="12"/>
      <c r="D397" s="13" t="n">
        <f aca="false">IF(B397&lt;5,Einstellungen!$B$3,Einstellungen!$B$4)</f>
        <v>15.92</v>
      </c>
      <c r="E397" s="14" t="str">
        <f aca="false">IF(C397="","",C397*D397/100)</f>
        <v/>
      </c>
      <c r="F397" s="15" t="str">
        <f aca="false">IF(B397&lt;5,"Go","Standard")</f>
        <v>Go</v>
      </c>
    </row>
    <row r="398" customFormat="false" ht="15" hidden="false" customHeight="true" outlineLevel="0" collapsed="false">
      <c r="A398" s="10" t="n">
        <f aca="false">Einstellungen!$B$5+INT((ROW()-9)/24)</f>
        <v>45982</v>
      </c>
      <c r="B398" s="11" t="n">
        <f aca="false">MOD(ROW()-9,24)</f>
        <v>5</v>
      </c>
      <c r="C398" s="12"/>
      <c r="D398" s="13" t="n">
        <f aca="false">IF(B398&lt;5,Einstellungen!$B$3,Einstellungen!$B$4)</f>
        <v>29.13</v>
      </c>
      <c r="E398" s="14" t="str">
        <f aca="false">IF(C398="","",C398*D398/100)</f>
        <v/>
      </c>
      <c r="F398" s="15" t="str">
        <f aca="false">IF(B398&lt;5,"Go","Standard")</f>
        <v>Standard</v>
      </c>
    </row>
    <row r="399" customFormat="false" ht="15" hidden="false" customHeight="true" outlineLevel="0" collapsed="false">
      <c r="A399" s="10" t="n">
        <f aca="false">Einstellungen!$B$5+INT((ROW()-9)/24)</f>
        <v>45982</v>
      </c>
      <c r="B399" s="11" t="n">
        <f aca="false">MOD(ROW()-9,24)</f>
        <v>6</v>
      </c>
      <c r="C399" s="12"/>
      <c r="D399" s="13" t="n">
        <f aca="false">IF(B399&lt;5,Einstellungen!$B$3,Einstellungen!$B$4)</f>
        <v>29.13</v>
      </c>
      <c r="E399" s="14" t="str">
        <f aca="false">IF(C399="","",C399*D399/100)</f>
        <v/>
      </c>
      <c r="F399" s="15" t="str">
        <f aca="false">IF(B399&lt;5,"Go","Standard")</f>
        <v>Standard</v>
      </c>
    </row>
    <row r="400" customFormat="false" ht="15" hidden="false" customHeight="true" outlineLevel="0" collapsed="false">
      <c r="A400" s="10" t="n">
        <f aca="false">Einstellungen!$B$5+INT((ROW()-9)/24)</f>
        <v>45982</v>
      </c>
      <c r="B400" s="11" t="n">
        <f aca="false">MOD(ROW()-9,24)</f>
        <v>7</v>
      </c>
      <c r="C400" s="12"/>
      <c r="D400" s="13" t="n">
        <f aca="false">IF(B400&lt;5,Einstellungen!$B$3,Einstellungen!$B$4)</f>
        <v>29.13</v>
      </c>
      <c r="E400" s="14" t="str">
        <f aca="false">IF(C400="","",C400*D400/100)</f>
        <v/>
      </c>
      <c r="F400" s="15" t="str">
        <f aca="false">IF(B400&lt;5,"Go","Standard")</f>
        <v>Standard</v>
      </c>
    </row>
    <row r="401" customFormat="false" ht="15" hidden="false" customHeight="true" outlineLevel="0" collapsed="false">
      <c r="A401" s="10" t="n">
        <f aca="false">Einstellungen!$B$5+INT((ROW()-9)/24)</f>
        <v>45982</v>
      </c>
      <c r="B401" s="11" t="n">
        <f aca="false">MOD(ROW()-9,24)</f>
        <v>8</v>
      </c>
      <c r="C401" s="12"/>
      <c r="D401" s="13" t="n">
        <f aca="false">IF(B401&lt;5,Einstellungen!$B$3,Einstellungen!$B$4)</f>
        <v>29.13</v>
      </c>
      <c r="E401" s="14" t="str">
        <f aca="false">IF(C401="","",C401*D401/100)</f>
        <v/>
      </c>
      <c r="F401" s="15" t="str">
        <f aca="false">IF(B401&lt;5,"Go","Standard")</f>
        <v>Standard</v>
      </c>
    </row>
    <row r="402" customFormat="false" ht="15" hidden="false" customHeight="true" outlineLevel="0" collapsed="false">
      <c r="A402" s="10" t="n">
        <f aca="false">Einstellungen!$B$5+INT((ROW()-9)/24)</f>
        <v>45982</v>
      </c>
      <c r="B402" s="11" t="n">
        <f aca="false">MOD(ROW()-9,24)</f>
        <v>9</v>
      </c>
      <c r="C402" s="12"/>
      <c r="D402" s="13" t="n">
        <f aca="false">IF(B402&lt;5,Einstellungen!$B$3,Einstellungen!$B$4)</f>
        <v>29.13</v>
      </c>
      <c r="E402" s="14" t="str">
        <f aca="false">IF(C402="","",C402*D402/100)</f>
        <v/>
      </c>
      <c r="F402" s="15" t="str">
        <f aca="false">IF(B402&lt;5,"Go","Standard")</f>
        <v>Standard</v>
      </c>
    </row>
    <row r="403" customFormat="false" ht="15" hidden="false" customHeight="true" outlineLevel="0" collapsed="false">
      <c r="A403" s="10" t="n">
        <f aca="false">Einstellungen!$B$5+INT((ROW()-9)/24)</f>
        <v>45982</v>
      </c>
      <c r="B403" s="11" t="n">
        <f aca="false">MOD(ROW()-9,24)</f>
        <v>10</v>
      </c>
      <c r="C403" s="12"/>
      <c r="D403" s="13" t="n">
        <f aca="false">IF(B403&lt;5,Einstellungen!$B$3,Einstellungen!$B$4)</f>
        <v>29.13</v>
      </c>
      <c r="E403" s="14" t="str">
        <f aca="false">IF(C403="","",C403*D403/100)</f>
        <v/>
      </c>
      <c r="F403" s="15" t="str">
        <f aca="false">IF(B403&lt;5,"Go","Standard")</f>
        <v>Standard</v>
      </c>
    </row>
    <row r="404" customFormat="false" ht="15" hidden="false" customHeight="true" outlineLevel="0" collapsed="false">
      <c r="A404" s="10" t="n">
        <f aca="false">Einstellungen!$B$5+INT((ROW()-9)/24)</f>
        <v>45982</v>
      </c>
      <c r="B404" s="11" t="n">
        <f aca="false">MOD(ROW()-9,24)</f>
        <v>11</v>
      </c>
      <c r="C404" s="12"/>
      <c r="D404" s="13" t="n">
        <f aca="false">IF(B404&lt;5,Einstellungen!$B$3,Einstellungen!$B$4)</f>
        <v>29.13</v>
      </c>
      <c r="E404" s="14" t="str">
        <f aca="false">IF(C404="","",C404*D404/100)</f>
        <v/>
      </c>
      <c r="F404" s="15" t="str">
        <f aca="false">IF(B404&lt;5,"Go","Standard")</f>
        <v>Standard</v>
      </c>
    </row>
    <row r="405" customFormat="false" ht="15" hidden="false" customHeight="true" outlineLevel="0" collapsed="false">
      <c r="A405" s="10" t="n">
        <f aca="false">Einstellungen!$B$5+INT((ROW()-9)/24)</f>
        <v>45982</v>
      </c>
      <c r="B405" s="11" t="n">
        <f aca="false">MOD(ROW()-9,24)</f>
        <v>12</v>
      </c>
      <c r="C405" s="12"/>
      <c r="D405" s="13" t="n">
        <f aca="false">IF(B405&lt;5,Einstellungen!$B$3,Einstellungen!$B$4)</f>
        <v>29.13</v>
      </c>
      <c r="E405" s="14" t="str">
        <f aca="false">IF(C405="","",C405*D405/100)</f>
        <v/>
      </c>
      <c r="F405" s="15" t="str">
        <f aca="false">IF(B405&lt;5,"Go","Standard")</f>
        <v>Standard</v>
      </c>
    </row>
    <row r="406" customFormat="false" ht="15" hidden="false" customHeight="true" outlineLevel="0" collapsed="false">
      <c r="A406" s="10" t="n">
        <f aca="false">Einstellungen!$B$5+INT((ROW()-9)/24)</f>
        <v>45982</v>
      </c>
      <c r="B406" s="11" t="n">
        <f aca="false">MOD(ROW()-9,24)</f>
        <v>13</v>
      </c>
      <c r="C406" s="12"/>
      <c r="D406" s="13" t="n">
        <f aca="false">IF(B406&lt;5,Einstellungen!$B$3,Einstellungen!$B$4)</f>
        <v>29.13</v>
      </c>
      <c r="E406" s="14" t="str">
        <f aca="false">IF(C406="","",C406*D406/100)</f>
        <v/>
      </c>
      <c r="F406" s="15" t="str">
        <f aca="false">IF(B406&lt;5,"Go","Standard")</f>
        <v>Standard</v>
      </c>
    </row>
    <row r="407" customFormat="false" ht="15" hidden="false" customHeight="true" outlineLevel="0" collapsed="false">
      <c r="A407" s="10" t="n">
        <f aca="false">Einstellungen!$B$5+INT((ROW()-9)/24)</f>
        <v>45982</v>
      </c>
      <c r="B407" s="11" t="n">
        <f aca="false">MOD(ROW()-9,24)</f>
        <v>14</v>
      </c>
      <c r="C407" s="12"/>
      <c r="D407" s="13" t="n">
        <f aca="false">IF(B407&lt;5,Einstellungen!$B$3,Einstellungen!$B$4)</f>
        <v>29.13</v>
      </c>
      <c r="E407" s="14" t="str">
        <f aca="false">IF(C407="","",C407*D407/100)</f>
        <v/>
      </c>
      <c r="F407" s="15" t="str">
        <f aca="false">IF(B407&lt;5,"Go","Standard")</f>
        <v>Standard</v>
      </c>
    </row>
    <row r="408" customFormat="false" ht="15" hidden="false" customHeight="true" outlineLevel="0" collapsed="false">
      <c r="A408" s="10" t="n">
        <f aca="false">Einstellungen!$B$5+INT((ROW()-9)/24)</f>
        <v>45982</v>
      </c>
      <c r="B408" s="11" t="n">
        <f aca="false">MOD(ROW()-9,24)</f>
        <v>15</v>
      </c>
      <c r="C408" s="12"/>
      <c r="D408" s="13" t="n">
        <f aca="false">IF(B408&lt;5,Einstellungen!$B$3,Einstellungen!$B$4)</f>
        <v>29.13</v>
      </c>
      <c r="E408" s="14" t="str">
        <f aca="false">IF(C408="","",C408*D408/100)</f>
        <v/>
      </c>
      <c r="F408" s="15" t="str">
        <f aca="false">IF(B408&lt;5,"Go","Standard")</f>
        <v>Standard</v>
      </c>
    </row>
    <row r="409" customFormat="false" ht="15" hidden="false" customHeight="true" outlineLevel="0" collapsed="false">
      <c r="A409" s="10" t="n">
        <f aca="false">Einstellungen!$B$5+INT((ROW()-9)/24)</f>
        <v>45982</v>
      </c>
      <c r="B409" s="11" t="n">
        <f aca="false">MOD(ROW()-9,24)</f>
        <v>16</v>
      </c>
      <c r="C409" s="12"/>
      <c r="D409" s="13" t="n">
        <f aca="false">IF(B409&lt;5,Einstellungen!$B$3,Einstellungen!$B$4)</f>
        <v>29.13</v>
      </c>
      <c r="E409" s="14" t="str">
        <f aca="false">IF(C409="","",C409*D409/100)</f>
        <v/>
      </c>
      <c r="F409" s="15" t="str">
        <f aca="false">IF(B409&lt;5,"Go","Standard")</f>
        <v>Standard</v>
      </c>
    </row>
    <row r="410" customFormat="false" ht="15" hidden="false" customHeight="true" outlineLevel="0" collapsed="false">
      <c r="A410" s="10" t="n">
        <f aca="false">Einstellungen!$B$5+INT((ROW()-9)/24)</f>
        <v>45982</v>
      </c>
      <c r="B410" s="11" t="n">
        <f aca="false">MOD(ROW()-9,24)</f>
        <v>17</v>
      </c>
      <c r="C410" s="12"/>
      <c r="D410" s="13" t="n">
        <f aca="false">IF(B410&lt;5,Einstellungen!$B$3,Einstellungen!$B$4)</f>
        <v>29.13</v>
      </c>
      <c r="E410" s="14" t="str">
        <f aca="false">IF(C410="","",C410*D410/100)</f>
        <v/>
      </c>
      <c r="F410" s="15" t="str">
        <f aca="false">IF(B410&lt;5,"Go","Standard")</f>
        <v>Standard</v>
      </c>
    </row>
    <row r="411" customFormat="false" ht="15" hidden="false" customHeight="true" outlineLevel="0" collapsed="false">
      <c r="A411" s="10" t="n">
        <f aca="false">Einstellungen!$B$5+INT((ROW()-9)/24)</f>
        <v>45982</v>
      </c>
      <c r="B411" s="11" t="n">
        <f aca="false">MOD(ROW()-9,24)</f>
        <v>18</v>
      </c>
      <c r="C411" s="12"/>
      <c r="D411" s="13" t="n">
        <f aca="false">IF(B411&lt;5,Einstellungen!$B$3,Einstellungen!$B$4)</f>
        <v>29.13</v>
      </c>
      <c r="E411" s="14" t="str">
        <f aca="false">IF(C411="","",C411*D411/100)</f>
        <v/>
      </c>
      <c r="F411" s="15" t="str">
        <f aca="false">IF(B411&lt;5,"Go","Standard")</f>
        <v>Standard</v>
      </c>
    </row>
    <row r="412" customFormat="false" ht="15" hidden="false" customHeight="true" outlineLevel="0" collapsed="false">
      <c r="A412" s="10" t="n">
        <f aca="false">Einstellungen!$B$5+INT((ROW()-9)/24)</f>
        <v>45982</v>
      </c>
      <c r="B412" s="11" t="n">
        <f aca="false">MOD(ROW()-9,24)</f>
        <v>19</v>
      </c>
      <c r="C412" s="12"/>
      <c r="D412" s="13" t="n">
        <f aca="false">IF(B412&lt;5,Einstellungen!$B$3,Einstellungen!$B$4)</f>
        <v>29.13</v>
      </c>
      <c r="E412" s="14" t="str">
        <f aca="false">IF(C412="","",C412*D412/100)</f>
        <v/>
      </c>
      <c r="F412" s="15" t="str">
        <f aca="false">IF(B412&lt;5,"Go","Standard")</f>
        <v>Standard</v>
      </c>
    </row>
    <row r="413" customFormat="false" ht="15" hidden="false" customHeight="true" outlineLevel="0" collapsed="false">
      <c r="A413" s="10" t="n">
        <f aca="false">Einstellungen!$B$5+INT((ROW()-9)/24)</f>
        <v>45982</v>
      </c>
      <c r="B413" s="11" t="n">
        <f aca="false">MOD(ROW()-9,24)</f>
        <v>20</v>
      </c>
      <c r="C413" s="12"/>
      <c r="D413" s="13" t="n">
        <f aca="false">IF(B413&lt;5,Einstellungen!$B$3,Einstellungen!$B$4)</f>
        <v>29.13</v>
      </c>
      <c r="E413" s="14" t="str">
        <f aca="false">IF(C413="","",C413*D413/100)</f>
        <v/>
      </c>
      <c r="F413" s="15" t="str">
        <f aca="false">IF(B413&lt;5,"Go","Standard")</f>
        <v>Standard</v>
      </c>
    </row>
    <row r="414" customFormat="false" ht="15" hidden="false" customHeight="true" outlineLevel="0" collapsed="false">
      <c r="A414" s="10" t="n">
        <f aca="false">Einstellungen!$B$5+INT((ROW()-9)/24)</f>
        <v>45982</v>
      </c>
      <c r="B414" s="11" t="n">
        <f aca="false">MOD(ROW()-9,24)</f>
        <v>21</v>
      </c>
      <c r="C414" s="12"/>
      <c r="D414" s="13" t="n">
        <f aca="false">IF(B414&lt;5,Einstellungen!$B$3,Einstellungen!$B$4)</f>
        <v>29.13</v>
      </c>
      <c r="E414" s="14" t="str">
        <f aca="false">IF(C414="","",C414*D414/100)</f>
        <v/>
      </c>
      <c r="F414" s="15" t="str">
        <f aca="false">IF(B414&lt;5,"Go","Standard")</f>
        <v>Standard</v>
      </c>
    </row>
    <row r="415" customFormat="false" ht="15" hidden="false" customHeight="true" outlineLevel="0" collapsed="false">
      <c r="A415" s="10" t="n">
        <f aca="false">Einstellungen!$B$5+INT((ROW()-9)/24)</f>
        <v>45982</v>
      </c>
      <c r="B415" s="11" t="n">
        <f aca="false">MOD(ROW()-9,24)</f>
        <v>22</v>
      </c>
      <c r="C415" s="12"/>
      <c r="D415" s="13" t="n">
        <f aca="false">IF(B415&lt;5,Einstellungen!$B$3,Einstellungen!$B$4)</f>
        <v>29.13</v>
      </c>
      <c r="E415" s="14" t="str">
        <f aca="false">IF(C415="","",C415*D415/100)</f>
        <v/>
      </c>
      <c r="F415" s="15" t="str">
        <f aca="false">IF(B415&lt;5,"Go","Standard")</f>
        <v>Standard</v>
      </c>
    </row>
    <row r="416" customFormat="false" ht="15" hidden="false" customHeight="true" outlineLevel="0" collapsed="false">
      <c r="A416" s="10" t="n">
        <f aca="false">Einstellungen!$B$5+INT((ROW()-9)/24)</f>
        <v>45982</v>
      </c>
      <c r="B416" s="11" t="n">
        <f aca="false">MOD(ROW()-9,24)</f>
        <v>23</v>
      </c>
      <c r="C416" s="12"/>
      <c r="D416" s="13" t="n">
        <f aca="false">IF(B416&lt;5,Einstellungen!$B$3,Einstellungen!$B$4)</f>
        <v>29.13</v>
      </c>
      <c r="E416" s="14" t="str">
        <f aca="false">IF(C416="","",C416*D416/100)</f>
        <v/>
      </c>
      <c r="F416" s="15" t="str">
        <f aca="false">IF(B416&lt;5,"Go","Standard")</f>
        <v>Standard</v>
      </c>
    </row>
    <row r="417" customFormat="false" ht="15" hidden="false" customHeight="true" outlineLevel="0" collapsed="false">
      <c r="A417" s="10" t="n">
        <f aca="false">Einstellungen!$B$5+INT((ROW()-9)/24)</f>
        <v>45983</v>
      </c>
      <c r="B417" s="11" t="n">
        <f aca="false">MOD(ROW()-9,24)</f>
        <v>0</v>
      </c>
      <c r="C417" s="12"/>
      <c r="D417" s="13" t="n">
        <f aca="false">IF(B417&lt;5,Einstellungen!$B$3,Einstellungen!$B$4)</f>
        <v>15.92</v>
      </c>
      <c r="E417" s="14" t="str">
        <f aca="false">IF(C417="","",C417*D417/100)</f>
        <v/>
      </c>
      <c r="F417" s="15" t="str">
        <f aca="false">IF(B417&lt;5,"Go","Standard")</f>
        <v>Go</v>
      </c>
    </row>
    <row r="418" customFormat="false" ht="15" hidden="false" customHeight="true" outlineLevel="0" collapsed="false">
      <c r="A418" s="10" t="n">
        <f aca="false">Einstellungen!$B$5+INT((ROW()-9)/24)</f>
        <v>45983</v>
      </c>
      <c r="B418" s="11" t="n">
        <f aca="false">MOD(ROW()-9,24)</f>
        <v>1</v>
      </c>
      <c r="C418" s="12"/>
      <c r="D418" s="13" t="n">
        <f aca="false">IF(B418&lt;5,Einstellungen!$B$3,Einstellungen!$B$4)</f>
        <v>15.92</v>
      </c>
      <c r="E418" s="14" t="str">
        <f aca="false">IF(C418="","",C418*D418/100)</f>
        <v/>
      </c>
      <c r="F418" s="15" t="str">
        <f aca="false">IF(B418&lt;5,"Go","Standard")</f>
        <v>Go</v>
      </c>
    </row>
    <row r="419" customFormat="false" ht="15" hidden="false" customHeight="true" outlineLevel="0" collapsed="false">
      <c r="A419" s="10" t="n">
        <f aca="false">Einstellungen!$B$5+INT((ROW()-9)/24)</f>
        <v>45983</v>
      </c>
      <c r="B419" s="11" t="n">
        <f aca="false">MOD(ROW()-9,24)</f>
        <v>2</v>
      </c>
      <c r="C419" s="12"/>
      <c r="D419" s="13" t="n">
        <f aca="false">IF(B419&lt;5,Einstellungen!$B$3,Einstellungen!$B$4)</f>
        <v>15.92</v>
      </c>
      <c r="E419" s="14" t="str">
        <f aca="false">IF(C419="","",C419*D419/100)</f>
        <v/>
      </c>
      <c r="F419" s="15" t="str">
        <f aca="false">IF(B419&lt;5,"Go","Standard")</f>
        <v>Go</v>
      </c>
    </row>
    <row r="420" customFormat="false" ht="15" hidden="false" customHeight="true" outlineLevel="0" collapsed="false">
      <c r="A420" s="10" t="n">
        <f aca="false">Einstellungen!$B$5+INT((ROW()-9)/24)</f>
        <v>45983</v>
      </c>
      <c r="B420" s="11" t="n">
        <f aca="false">MOD(ROW()-9,24)</f>
        <v>3</v>
      </c>
      <c r="C420" s="12"/>
      <c r="D420" s="13" t="n">
        <f aca="false">IF(B420&lt;5,Einstellungen!$B$3,Einstellungen!$B$4)</f>
        <v>15.92</v>
      </c>
      <c r="E420" s="14" t="str">
        <f aca="false">IF(C420="","",C420*D420/100)</f>
        <v/>
      </c>
      <c r="F420" s="15" t="str">
        <f aca="false">IF(B420&lt;5,"Go","Standard")</f>
        <v>Go</v>
      </c>
    </row>
    <row r="421" customFormat="false" ht="15" hidden="false" customHeight="true" outlineLevel="0" collapsed="false">
      <c r="A421" s="10" t="n">
        <f aca="false">Einstellungen!$B$5+INT((ROW()-9)/24)</f>
        <v>45983</v>
      </c>
      <c r="B421" s="11" t="n">
        <f aca="false">MOD(ROW()-9,24)</f>
        <v>4</v>
      </c>
      <c r="C421" s="12"/>
      <c r="D421" s="13" t="n">
        <f aca="false">IF(B421&lt;5,Einstellungen!$B$3,Einstellungen!$B$4)</f>
        <v>15.92</v>
      </c>
      <c r="E421" s="14" t="str">
        <f aca="false">IF(C421="","",C421*D421/100)</f>
        <v/>
      </c>
      <c r="F421" s="15" t="str">
        <f aca="false">IF(B421&lt;5,"Go","Standard")</f>
        <v>Go</v>
      </c>
    </row>
    <row r="422" customFormat="false" ht="15" hidden="false" customHeight="true" outlineLevel="0" collapsed="false">
      <c r="A422" s="10" t="n">
        <f aca="false">Einstellungen!$B$5+INT((ROW()-9)/24)</f>
        <v>45983</v>
      </c>
      <c r="B422" s="11" t="n">
        <f aca="false">MOD(ROW()-9,24)</f>
        <v>5</v>
      </c>
      <c r="C422" s="12"/>
      <c r="D422" s="13" t="n">
        <f aca="false">IF(B422&lt;5,Einstellungen!$B$3,Einstellungen!$B$4)</f>
        <v>29.13</v>
      </c>
      <c r="E422" s="14" t="str">
        <f aca="false">IF(C422="","",C422*D422/100)</f>
        <v/>
      </c>
      <c r="F422" s="15" t="str">
        <f aca="false">IF(B422&lt;5,"Go","Standard")</f>
        <v>Standard</v>
      </c>
    </row>
    <row r="423" customFormat="false" ht="15" hidden="false" customHeight="true" outlineLevel="0" collapsed="false">
      <c r="A423" s="10" t="n">
        <f aca="false">Einstellungen!$B$5+INT((ROW()-9)/24)</f>
        <v>45983</v>
      </c>
      <c r="B423" s="11" t="n">
        <f aca="false">MOD(ROW()-9,24)</f>
        <v>6</v>
      </c>
      <c r="C423" s="12"/>
      <c r="D423" s="13" t="n">
        <f aca="false">IF(B423&lt;5,Einstellungen!$B$3,Einstellungen!$B$4)</f>
        <v>29.13</v>
      </c>
      <c r="E423" s="14" t="str">
        <f aca="false">IF(C423="","",C423*D423/100)</f>
        <v/>
      </c>
      <c r="F423" s="15" t="str">
        <f aca="false">IF(B423&lt;5,"Go","Standard")</f>
        <v>Standard</v>
      </c>
    </row>
    <row r="424" customFormat="false" ht="15" hidden="false" customHeight="true" outlineLevel="0" collapsed="false">
      <c r="A424" s="10" t="n">
        <f aca="false">Einstellungen!$B$5+INT((ROW()-9)/24)</f>
        <v>45983</v>
      </c>
      <c r="B424" s="11" t="n">
        <f aca="false">MOD(ROW()-9,24)</f>
        <v>7</v>
      </c>
      <c r="C424" s="12"/>
      <c r="D424" s="13" t="n">
        <f aca="false">IF(B424&lt;5,Einstellungen!$B$3,Einstellungen!$B$4)</f>
        <v>29.13</v>
      </c>
      <c r="E424" s="14" t="str">
        <f aca="false">IF(C424="","",C424*D424/100)</f>
        <v/>
      </c>
      <c r="F424" s="15" t="str">
        <f aca="false">IF(B424&lt;5,"Go","Standard")</f>
        <v>Standard</v>
      </c>
    </row>
    <row r="425" customFormat="false" ht="15" hidden="false" customHeight="true" outlineLevel="0" collapsed="false">
      <c r="A425" s="10" t="n">
        <f aca="false">Einstellungen!$B$5+INT((ROW()-9)/24)</f>
        <v>45983</v>
      </c>
      <c r="B425" s="11" t="n">
        <f aca="false">MOD(ROW()-9,24)</f>
        <v>8</v>
      </c>
      <c r="C425" s="12"/>
      <c r="D425" s="13" t="n">
        <f aca="false">IF(B425&lt;5,Einstellungen!$B$3,Einstellungen!$B$4)</f>
        <v>29.13</v>
      </c>
      <c r="E425" s="14" t="str">
        <f aca="false">IF(C425="","",C425*D425/100)</f>
        <v/>
      </c>
      <c r="F425" s="15" t="str">
        <f aca="false">IF(B425&lt;5,"Go","Standard")</f>
        <v>Standard</v>
      </c>
    </row>
    <row r="426" customFormat="false" ht="15" hidden="false" customHeight="true" outlineLevel="0" collapsed="false">
      <c r="A426" s="10" t="n">
        <f aca="false">Einstellungen!$B$5+INT((ROW()-9)/24)</f>
        <v>45983</v>
      </c>
      <c r="B426" s="11" t="n">
        <f aca="false">MOD(ROW()-9,24)</f>
        <v>9</v>
      </c>
      <c r="C426" s="12"/>
      <c r="D426" s="13" t="n">
        <f aca="false">IF(B426&lt;5,Einstellungen!$B$3,Einstellungen!$B$4)</f>
        <v>29.13</v>
      </c>
      <c r="E426" s="14" t="str">
        <f aca="false">IF(C426="","",C426*D426/100)</f>
        <v/>
      </c>
      <c r="F426" s="15" t="str">
        <f aca="false">IF(B426&lt;5,"Go","Standard")</f>
        <v>Standard</v>
      </c>
    </row>
    <row r="427" customFormat="false" ht="15" hidden="false" customHeight="true" outlineLevel="0" collapsed="false">
      <c r="A427" s="10" t="n">
        <f aca="false">Einstellungen!$B$5+INT((ROW()-9)/24)</f>
        <v>45983</v>
      </c>
      <c r="B427" s="11" t="n">
        <f aca="false">MOD(ROW()-9,24)</f>
        <v>10</v>
      </c>
      <c r="C427" s="12"/>
      <c r="D427" s="13" t="n">
        <f aca="false">IF(B427&lt;5,Einstellungen!$B$3,Einstellungen!$B$4)</f>
        <v>29.13</v>
      </c>
      <c r="E427" s="14" t="str">
        <f aca="false">IF(C427="","",C427*D427/100)</f>
        <v/>
      </c>
      <c r="F427" s="15" t="str">
        <f aca="false">IF(B427&lt;5,"Go","Standard")</f>
        <v>Standard</v>
      </c>
    </row>
    <row r="428" customFormat="false" ht="15" hidden="false" customHeight="true" outlineLevel="0" collapsed="false">
      <c r="A428" s="10" t="n">
        <f aca="false">Einstellungen!$B$5+INT((ROW()-9)/24)</f>
        <v>45983</v>
      </c>
      <c r="B428" s="11" t="n">
        <f aca="false">MOD(ROW()-9,24)</f>
        <v>11</v>
      </c>
      <c r="C428" s="12"/>
      <c r="D428" s="13" t="n">
        <f aca="false">IF(B428&lt;5,Einstellungen!$B$3,Einstellungen!$B$4)</f>
        <v>29.13</v>
      </c>
      <c r="E428" s="14" t="str">
        <f aca="false">IF(C428="","",C428*D428/100)</f>
        <v/>
      </c>
      <c r="F428" s="15" t="str">
        <f aca="false">IF(B428&lt;5,"Go","Standard")</f>
        <v>Standard</v>
      </c>
    </row>
    <row r="429" customFormat="false" ht="15" hidden="false" customHeight="true" outlineLevel="0" collapsed="false">
      <c r="A429" s="10" t="n">
        <f aca="false">Einstellungen!$B$5+INT((ROW()-9)/24)</f>
        <v>45983</v>
      </c>
      <c r="B429" s="11" t="n">
        <f aca="false">MOD(ROW()-9,24)</f>
        <v>12</v>
      </c>
      <c r="C429" s="12"/>
      <c r="D429" s="13" t="n">
        <f aca="false">IF(B429&lt;5,Einstellungen!$B$3,Einstellungen!$B$4)</f>
        <v>29.13</v>
      </c>
      <c r="E429" s="14" t="str">
        <f aca="false">IF(C429="","",C429*D429/100)</f>
        <v/>
      </c>
      <c r="F429" s="15" t="str">
        <f aca="false">IF(B429&lt;5,"Go","Standard")</f>
        <v>Standard</v>
      </c>
    </row>
    <row r="430" customFormat="false" ht="15" hidden="false" customHeight="true" outlineLevel="0" collapsed="false">
      <c r="A430" s="10" t="n">
        <f aca="false">Einstellungen!$B$5+INT((ROW()-9)/24)</f>
        <v>45983</v>
      </c>
      <c r="B430" s="11" t="n">
        <f aca="false">MOD(ROW()-9,24)</f>
        <v>13</v>
      </c>
      <c r="C430" s="12"/>
      <c r="D430" s="13" t="n">
        <f aca="false">IF(B430&lt;5,Einstellungen!$B$3,Einstellungen!$B$4)</f>
        <v>29.13</v>
      </c>
      <c r="E430" s="14" t="str">
        <f aca="false">IF(C430="","",C430*D430/100)</f>
        <v/>
      </c>
      <c r="F430" s="15" t="str">
        <f aca="false">IF(B430&lt;5,"Go","Standard")</f>
        <v>Standard</v>
      </c>
    </row>
    <row r="431" customFormat="false" ht="15" hidden="false" customHeight="true" outlineLevel="0" collapsed="false">
      <c r="A431" s="10" t="n">
        <f aca="false">Einstellungen!$B$5+INT((ROW()-9)/24)</f>
        <v>45983</v>
      </c>
      <c r="B431" s="11" t="n">
        <f aca="false">MOD(ROW()-9,24)</f>
        <v>14</v>
      </c>
      <c r="C431" s="12"/>
      <c r="D431" s="13" t="n">
        <f aca="false">IF(B431&lt;5,Einstellungen!$B$3,Einstellungen!$B$4)</f>
        <v>29.13</v>
      </c>
      <c r="E431" s="14" t="str">
        <f aca="false">IF(C431="","",C431*D431/100)</f>
        <v/>
      </c>
      <c r="F431" s="15" t="str">
        <f aca="false">IF(B431&lt;5,"Go","Standard")</f>
        <v>Standard</v>
      </c>
    </row>
    <row r="432" customFormat="false" ht="15" hidden="false" customHeight="true" outlineLevel="0" collapsed="false">
      <c r="A432" s="10" t="n">
        <f aca="false">Einstellungen!$B$5+INT((ROW()-9)/24)</f>
        <v>45983</v>
      </c>
      <c r="B432" s="11" t="n">
        <f aca="false">MOD(ROW()-9,24)</f>
        <v>15</v>
      </c>
      <c r="C432" s="12"/>
      <c r="D432" s="13" t="n">
        <f aca="false">IF(B432&lt;5,Einstellungen!$B$3,Einstellungen!$B$4)</f>
        <v>29.13</v>
      </c>
      <c r="E432" s="14" t="str">
        <f aca="false">IF(C432="","",C432*D432/100)</f>
        <v/>
      </c>
      <c r="F432" s="15" t="str">
        <f aca="false">IF(B432&lt;5,"Go","Standard")</f>
        <v>Standard</v>
      </c>
    </row>
    <row r="433" customFormat="false" ht="15" hidden="false" customHeight="true" outlineLevel="0" collapsed="false">
      <c r="A433" s="10" t="n">
        <f aca="false">Einstellungen!$B$5+INT((ROW()-9)/24)</f>
        <v>45983</v>
      </c>
      <c r="B433" s="11" t="n">
        <f aca="false">MOD(ROW()-9,24)</f>
        <v>16</v>
      </c>
      <c r="C433" s="12"/>
      <c r="D433" s="13" t="n">
        <f aca="false">IF(B433&lt;5,Einstellungen!$B$3,Einstellungen!$B$4)</f>
        <v>29.13</v>
      </c>
      <c r="E433" s="14" t="str">
        <f aca="false">IF(C433="","",C433*D433/100)</f>
        <v/>
      </c>
      <c r="F433" s="15" t="str">
        <f aca="false">IF(B433&lt;5,"Go","Standard")</f>
        <v>Standard</v>
      </c>
    </row>
    <row r="434" customFormat="false" ht="15" hidden="false" customHeight="true" outlineLevel="0" collapsed="false">
      <c r="A434" s="10" t="n">
        <f aca="false">Einstellungen!$B$5+INT((ROW()-9)/24)</f>
        <v>45983</v>
      </c>
      <c r="B434" s="11" t="n">
        <f aca="false">MOD(ROW()-9,24)</f>
        <v>17</v>
      </c>
      <c r="C434" s="12"/>
      <c r="D434" s="13" t="n">
        <f aca="false">IF(B434&lt;5,Einstellungen!$B$3,Einstellungen!$B$4)</f>
        <v>29.13</v>
      </c>
      <c r="E434" s="14" t="str">
        <f aca="false">IF(C434="","",C434*D434/100)</f>
        <v/>
      </c>
      <c r="F434" s="15" t="str">
        <f aca="false">IF(B434&lt;5,"Go","Standard")</f>
        <v>Standard</v>
      </c>
    </row>
    <row r="435" customFormat="false" ht="15" hidden="false" customHeight="true" outlineLevel="0" collapsed="false">
      <c r="A435" s="10" t="n">
        <f aca="false">Einstellungen!$B$5+INT((ROW()-9)/24)</f>
        <v>45983</v>
      </c>
      <c r="B435" s="11" t="n">
        <f aca="false">MOD(ROW()-9,24)</f>
        <v>18</v>
      </c>
      <c r="C435" s="12"/>
      <c r="D435" s="13" t="n">
        <f aca="false">IF(B435&lt;5,Einstellungen!$B$3,Einstellungen!$B$4)</f>
        <v>29.13</v>
      </c>
      <c r="E435" s="14" t="str">
        <f aca="false">IF(C435="","",C435*D435/100)</f>
        <v/>
      </c>
      <c r="F435" s="15" t="str">
        <f aca="false">IF(B435&lt;5,"Go","Standard")</f>
        <v>Standard</v>
      </c>
    </row>
    <row r="436" customFormat="false" ht="15" hidden="false" customHeight="true" outlineLevel="0" collapsed="false">
      <c r="A436" s="10" t="n">
        <f aca="false">Einstellungen!$B$5+INT((ROW()-9)/24)</f>
        <v>45983</v>
      </c>
      <c r="B436" s="11" t="n">
        <f aca="false">MOD(ROW()-9,24)</f>
        <v>19</v>
      </c>
      <c r="C436" s="12"/>
      <c r="D436" s="13" t="n">
        <f aca="false">IF(B436&lt;5,Einstellungen!$B$3,Einstellungen!$B$4)</f>
        <v>29.13</v>
      </c>
      <c r="E436" s="14" t="str">
        <f aca="false">IF(C436="","",C436*D436/100)</f>
        <v/>
      </c>
      <c r="F436" s="15" t="str">
        <f aca="false">IF(B436&lt;5,"Go","Standard")</f>
        <v>Standard</v>
      </c>
    </row>
    <row r="437" customFormat="false" ht="15" hidden="false" customHeight="true" outlineLevel="0" collapsed="false">
      <c r="A437" s="10" t="n">
        <f aca="false">Einstellungen!$B$5+INT((ROW()-9)/24)</f>
        <v>45983</v>
      </c>
      <c r="B437" s="11" t="n">
        <f aca="false">MOD(ROW()-9,24)</f>
        <v>20</v>
      </c>
      <c r="C437" s="12"/>
      <c r="D437" s="13" t="n">
        <f aca="false">IF(B437&lt;5,Einstellungen!$B$3,Einstellungen!$B$4)</f>
        <v>29.13</v>
      </c>
      <c r="E437" s="14" t="str">
        <f aca="false">IF(C437="","",C437*D437/100)</f>
        <v/>
      </c>
      <c r="F437" s="15" t="str">
        <f aca="false">IF(B437&lt;5,"Go","Standard")</f>
        <v>Standard</v>
      </c>
    </row>
    <row r="438" customFormat="false" ht="15" hidden="false" customHeight="true" outlineLevel="0" collapsed="false">
      <c r="A438" s="10" t="n">
        <f aca="false">Einstellungen!$B$5+INT((ROW()-9)/24)</f>
        <v>45983</v>
      </c>
      <c r="B438" s="11" t="n">
        <f aca="false">MOD(ROW()-9,24)</f>
        <v>21</v>
      </c>
      <c r="C438" s="12"/>
      <c r="D438" s="13" t="n">
        <f aca="false">IF(B438&lt;5,Einstellungen!$B$3,Einstellungen!$B$4)</f>
        <v>29.13</v>
      </c>
      <c r="E438" s="14" t="str">
        <f aca="false">IF(C438="","",C438*D438/100)</f>
        <v/>
      </c>
      <c r="F438" s="15" t="str">
        <f aca="false">IF(B438&lt;5,"Go","Standard")</f>
        <v>Standard</v>
      </c>
    </row>
    <row r="439" customFormat="false" ht="15" hidden="false" customHeight="true" outlineLevel="0" collapsed="false">
      <c r="A439" s="10" t="n">
        <f aca="false">Einstellungen!$B$5+INT((ROW()-9)/24)</f>
        <v>45983</v>
      </c>
      <c r="B439" s="11" t="n">
        <f aca="false">MOD(ROW()-9,24)</f>
        <v>22</v>
      </c>
      <c r="C439" s="12"/>
      <c r="D439" s="13" t="n">
        <f aca="false">IF(B439&lt;5,Einstellungen!$B$3,Einstellungen!$B$4)</f>
        <v>29.13</v>
      </c>
      <c r="E439" s="14" t="str">
        <f aca="false">IF(C439="","",C439*D439/100)</f>
        <v/>
      </c>
      <c r="F439" s="15" t="str">
        <f aca="false">IF(B439&lt;5,"Go","Standard")</f>
        <v>Standard</v>
      </c>
    </row>
    <row r="440" customFormat="false" ht="15" hidden="false" customHeight="true" outlineLevel="0" collapsed="false">
      <c r="A440" s="10" t="n">
        <f aca="false">Einstellungen!$B$5+INT((ROW()-9)/24)</f>
        <v>45983</v>
      </c>
      <c r="B440" s="11" t="n">
        <f aca="false">MOD(ROW()-9,24)</f>
        <v>23</v>
      </c>
      <c r="C440" s="12"/>
      <c r="D440" s="13" t="n">
        <f aca="false">IF(B440&lt;5,Einstellungen!$B$3,Einstellungen!$B$4)</f>
        <v>29.13</v>
      </c>
      <c r="E440" s="14" t="str">
        <f aca="false">IF(C440="","",C440*D440/100)</f>
        <v/>
      </c>
      <c r="F440" s="15" t="str">
        <f aca="false">IF(B440&lt;5,"Go","Standard")</f>
        <v>Standard</v>
      </c>
    </row>
    <row r="441" customFormat="false" ht="15" hidden="false" customHeight="true" outlineLevel="0" collapsed="false">
      <c r="A441" s="10" t="n">
        <f aca="false">Einstellungen!$B$5+INT((ROW()-9)/24)</f>
        <v>45984</v>
      </c>
      <c r="B441" s="11" t="n">
        <f aca="false">MOD(ROW()-9,24)</f>
        <v>0</v>
      </c>
      <c r="C441" s="12"/>
      <c r="D441" s="13" t="n">
        <f aca="false">IF(B441&lt;5,Einstellungen!$B$3,Einstellungen!$B$4)</f>
        <v>15.92</v>
      </c>
      <c r="E441" s="14" t="str">
        <f aca="false">IF(C441="","",C441*D441/100)</f>
        <v/>
      </c>
      <c r="F441" s="15" t="str">
        <f aca="false">IF(B441&lt;5,"Go","Standard")</f>
        <v>Go</v>
      </c>
    </row>
    <row r="442" customFormat="false" ht="15" hidden="false" customHeight="true" outlineLevel="0" collapsed="false">
      <c r="A442" s="10" t="n">
        <f aca="false">Einstellungen!$B$5+INT((ROW()-9)/24)</f>
        <v>45984</v>
      </c>
      <c r="B442" s="11" t="n">
        <f aca="false">MOD(ROW()-9,24)</f>
        <v>1</v>
      </c>
      <c r="C442" s="12"/>
      <c r="D442" s="13" t="n">
        <f aca="false">IF(B442&lt;5,Einstellungen!$B$3,Einstellungen!$B$4)</f>
        <v>15.92</v>
      </c>
      <c r="E442" s="14" t="str">
        <f aca="false">IF(C442="","",C442*D442/100)</f>
        <v/>
      </c>
      <c r="F442" s="15" t="str">
        <f aca="false">IF(B442&lt;5,"Go","Standard")</f>
        <v>Go</v>
      </c>
    </row>
    <row r="443" customFormat="false" ht="15" hidden="false" customHeight="true" outlineLevel="0" collapsed="false">
      <c r="A443" s="10" t="n">
        <f aca="false">Einstellungen!$B$5+INT((ROW()-9)/24)</f>
        <v>45984</v>
      </c>
      <c r="B443" s="11" t="n">
        <f aca="false">MOD(ROW()-9,24)</f>
        <v>2</v>
      </c>
      <c r="C443" s="12"/>
      <c r="D443" s="13" t="n">
        <f aca="false">IF(B443&lt;5,Einstellungen!$B$3,Einstellungen!$B$4)</f>
        <v>15.92</v>
      </c>
      <c r="E443" s="14" t="str">
        <f aca="false">IF(C443="","",C443*D443/100)</f>
        <v/>
      </c>
      <c r="F443" s="15" t="str">
        <f aca="false">IF(B443&lt;5,"Go","Standard")</f>
        <v>Go</v>
      </c>
    </row>
    <row r="444" customFormat="false" ht="15" hidden="false" customHeight="true" outlineLevel="0" collapsed="false">
      <c r="A444" s="10" t="n">
        <f aca="false">Einstellungen!$B$5+INT((ROW()-9)/24)</f>
        <v>45984</v>
      </c>
      <c r="B444" s="11" t="n">
        <f aca="false">MOD(ROW()-9,24)</f>
        <v>3</v>
      </c>
      <c r="C444" s="12"/>
      <c r="D444" s="13" t="n">
        <f aca="false">IF(B444&lt;5,Einstellungen!$B$3,Einstellungen!$B$4)</f>
        <v>15.92</v>
      </c>
      <c r="E444" s="14" t="str">
        <f aca="false">IF(C444="","",C444*D444/100)</f>
        <v/>
      </c>
      <c r="F444" s="15" t="str">
        <f aca="false">IF(B444&lt;5,"Go","Standard")</f>
        <v>Go</v>
      </c>
    </row>
    <row r="445" customFormat="false" ht="15" hidden="false" customHeight="true" outlineLevel="0" collapsed="false">
      <c r="A445" s="10" t="n">
        <f aca="false">Einstellungen!$B$5+INT((ROW()-9)/24)</f>
        <v>45984</v>
      </c>
      <c r="B445" s="11" t="n">
        <f aca="false">MOD(ROW()-9,24)</f>
        <v>4</v>
      </c>
      <c r="C445" s="12"/>
      <c r="D445" s="13" t="n">
        <f aca="false">IF(B445&lt;5,Einstellungen!$B$3,Einstellungen!$B$4)</f>
        <v>15.92</v>
      </c>
      <c r="E445" s="14" t="str">
        <f aca="false">IF(C445="","",C445*D445/100)</f>
        <v/>
      </c>
      <c r="F445" s="15" t="str">
        <f aca="false">IF(B445&lt;5,"Go","Standard")</f>
        <v>Go</v>
      </c>
    </row>
    <row r="446" customFormat="false" ht="15" hidden="false" customHeight="true" outlineLevel="0" collapsed="false">
      <c r="A446" s="10" t="n">
        <f aca="false">Einstellungen!$B$5+INT((ROW()-9)/24)</f>
        <v>45984</v>
      </c>
      <c r="B446" s="11" t="n">
        <f aca="false">MOD(ROW()-9,24)</f>
        <v>5</v>
      </c>
      <c r="C446" s="12"/>
      <c r="D446" s="13" t="n">
        <f aca="false">IF(B446&lt;5,Einstellungen!$B$3,Einstellungen!$B$4)</f>
        <v>29.13</v>
      </c>
      <c r="E446" s="14" t="str">
        <f aca="false">IF(C446="","",C446*D446/100)</f>
        <v/>
      </c>
      <c r="F446" s="15" t="str">
        <f aca="false">IF(B446&lt;5,"Go","Standard")</f>
        <v>Standard</v>
      </c>
    </row>
    <row r="447" customFormat="false" ht="15" hidden="false" customHeight="true" outlineLevel="0" collapsed="false">
      <c r="A447" s="10" t="n">
        <f aca="false">Einstellungen!$B$5+INT((ROW()-9)/24)</f>
        <v>45984</v>
      </c>
      <c r="B447" s="11" t="n">
        <f aca="false">MOD(ROW()-9,24)</f>
        <v>6</v>
      </c>
      <c r="C447" s="12"/>
      <c r="D447" s="13" t="n">
        <f aca="false">IF(B447&lt;5,Einstellungen!$B$3,Einstellungen!$B$4)</f>
        <v>29.13</v>
      </c>
      <c r="E447" s="14" t="str">
        <f aca="false">IF(C447="","",C447*D447/100)</f>
        <v/>
      </c>
      <c r="F447" s="15" t="str">
        <f aca="false">IF(B447&lt;5,"Go","Standard")</f>
        <v>Standard</v>
      </c>
    </row>
    <row r="448" customFormat="false" ht="15" hidden="false" customHeight="true" outlineLevel="0" collapsed="false">
      <c r="A448" s="10" t="n">
        <f aca="false">Einstellungen!$B$5+INT((ROW()-9)/24)</f>
        <v>45984</v>
      </c>
      <c r="B448" s="11" t="n">
        <f aca="false">MOD(ROW()-9,24)</f>
        <v>7</v>
      </c>
      <c r="C448" s="12"/>
      <c r="D448" s="13" t="n">
        <f aca="false">IF(B448&lt;5,Einstellungen!$B$3,Einstellungen!$B$4)</f>
        <v>29.13</v>
      </c>
      <c r="E448" s="14" t="str">
        <f aca="false">IF(C448="","",C448*D448/100)</f>
        <v/>
      </c>
      <c r="F448" s="15" t="str">
        <f aca="false">IF(B448&lt;5,"Go","Standard")</f>
        <v>Standard</v>
      </c>
    </row>
    <row r="449" customFormat="false" ht="15" hidden="false" customHeight="true" outlineLevel="0" collapsed="false">
      <c r="A449" s="10" t="n">
        <f aca="false">Einstellungen!$B$5+INT((ROW()-9)/24)</f>
        <v>45984</v>
      </c>
      <c r="B449" s="11" t="n">
        <f aca="false">MOD(ROW()-9,24)</f>
        <v>8</v>
      </c>
      <c r="C449" s="12"/>
      <c r="D449" s="13" t="n">
        <f aca="false">IF(B449&lt;5,Einstellungen!$B$3,Einstellungen!$B$4)</f>
        <v>29.13</v>
      </c>
      <c r="E449" s="14" t="str">
        <f aca="false">IF(C449="","",C449*D449/100)</f>
        <v/>
      </c>
      <c r="F449" s="15" t="str">
        <f aca="false">IF(B449&lt;5,"Go","Standard")</f>
        <v>Standard</v>
      </c>
    </row>
    <row r="450" customFormat="false" ht="15" hidden="false" customHeight="true" outlineLevel="0" collapsed="false">
      <c r="A450" s="10" t="n">
        <f aca="false">Einstellungen!$B$5+INT((ROW()-9)/24)</f>
        <v>45984</v>
      </c>
      <c r="B450" s="11" t="n">
        <f aca="false">MOD(ROW()-9,24)</f>
        <v>9</v>
      </c>
      <c r="C450" s="12"/>
      <c r="D450" s="13" t="n">
        <f aca="false">IF(B450&lt;5,Einstellungen!$B$3,Einstellungen!$B$4)</f>
        <v>29.13</v>
      </c>
      <c r="E450" s="14" t="str">
        <f aca="false">IF(C450="","",C450*D450/100)</f>
        <v/>
      </c>
      <c r="F450" s="15" t="str">
        <f aca="false">IF(B450&lt;5,"Go","Standard")</f>
        <v>Standard</v>
      </c>
    </row>
    <row r="451" customFormat="false" ht="15" hidden="false" customHeight="true" outlineLevel="0" collapsed="false">
      <c r="A451" s="10" t="n">
        <f aca="false">Einstellungen!$B$5+INT((ROW()-9)/24)</f>
        <v>45984</v>
      </c>
      <c r="B451" s="11" t="n">
        <f aca="false">MOD(ROW()-9,24)</f>
        <v>10</v>
      </c>
      <c r="C451" s="12"/>
      <c r="D451" s="13" t="n">
        <f aca="false">IF(B451&lt;5,Einstellungen!$B$3,Einstellungen!$B$4)</f>
        <v>29.13</v>
      </c>
      <c r="E451" s="14" t="str">
        <f aca="false">IF(C451="","",C451*D451/100)</f>
        <v/>
      </c>
      <c r="F451" s="15" t="str">
        <f aca="false">IF(B451&lt;5,"Go","Standard")</f>
        <v>Standard</v>
      </c>
    </row>
    <row r="452" customFormat="false" ht="15" hidden="false" customHeight="true" outlineLevel="0" collapsed="false">
      <c r="A452" s="10" t="n">
        <f aca="false">Einstellungen!$B$5+INT((ROW()-9)/24)</f>
        <v>45984</v>
      </c>
      <c r="B452" s="11" t="n">
        <f aca="false">MOD(ROW()-9,24)</f>
        <v>11</v>
      </c>
      <c r="C452" s="12"/>
      <c r="D452" s="13" t="n">
        <f aca="false">IF(B452&lt;5,Einstellungen!$B$3,Einstellungen!$B$4)</f>
        <v>29.13</v>
      </c>
      <c r="E452" s="14" t="str">
        <f aca="false">IF(C452="","",C452*D452/100)</f>
        <v/>
      </c>
      <c r="F452" s="15" t="str">
        <f aca="false">IF(B452&lt;5,"Go","Standard")</f>
        <v>Standard</v>
      </c>
    </row>
    <row r="453" customFormat="false" ht="15" hidden="false" customHeight="true" outlineLevel="0" collapsed="false">
      <c r="A453" s="10" t="n">
        <f aca="false">Einstellungen!$B$5+INT((ROW()-9)/24)</f>
        <v>45984</v>
      </c>
      <c r="B453" s="11" t="n">
        <f aca="false">MOD(ROW()-9,24)</f>
        <v>12</v>
      </c>
      <c r="C453" s="12"/>
      <c r="D453" s="13" t="n">
        <f aca="false">IF(B453&lt;5,Einstellungen!$B$3,Einstellungen!$B$4)</f>
        <v>29.13</v>
      </c>
      <c r="E453" s="14" t="str">
        <f aca="false">IF(C453="","",C453*D453/100)</f>
        <v/>
      </c>
      <c r="F453" s="15" t="str">
        <f aca="false">IF(B453&lt;5,"Go","Standard")</f>
        <v>Standard</v>
      </c>
    </row>
    <row r="454" customFormat="false" ht="15" hidden="false" customHeight="true" outlineLevel="0" collapsed="false">
      <c r="A454" s="10" t="n">
        <f aca="false">Einstellungen!$B$5+INT((ROW()-9)/24)</f>
        <v>45984</v>
      </c>
      <c r="B454" s="11" t="n">
        <f aca="false">MOD(ROW()-9,24)</f>
        <v>13</v>
      </c>
      <c r="C454" s="12"/>
      <c r="D454" s="13" t="n">
        <f aca="false">IF(B454&lt;5,Einstellungen!$B$3,Einstellungen!$B$4)</f>
        <v>29.13</v>
      </c>
      <c r="E454" s="14" t="str">
        <f aca="false">IF(C454="","",C454*D454/100)</f>
        <v/>
      </c>
      <c r="F454" s="15" t="str">
        <f aca="false">IF(B454&lt;5,"Go","Standard")</f>
        <v>Standard</v>
      </c>
    </row>
    <row r="455" customFormat="false" ht="15" hidden="false" customHeight="true" outlineLevel="0" collapsed="false">
      <c r="A455" s="10" t="n">
        <f aca="false">Einstellungen!$B$5+INT((ROW()-9)/24)</f>
        <v>45984</v>
      </c>
      <c r="B455" s="11" t="n">
        <f aca="false">MOD(ROW()-9,24)</f>
        <v>14</v>
      </c>
      <c r="C455" s="12"/>
      <c r="D455" s="13" t="n">
        <f aca="false">IF(B455&lt;5,Einstellungen!$B$3,Einstellungen!$B$4)</f>
        <v>29.13</v>
      </c>
      <c r="E455" s="14" t="str">
        <f aca="false">IF(C455="","",C455*D455/100)</f>
        <v/>
      </c>
      <c r="F455" s="15" t="str">
        <f aca="false">IF(B455&lt;5,"Go","Standard")</f>
        <v>Standard</v>
      </c>
    </row>
    <row r="456" customFormat="false" ht="15" hidden="false" customHeight="true" outlineLevel="0" collapsed="false">
      <c r="A456" s="10" t="n">
        <f aca="false">Einstellungen!$B$5+INT((ROW()-9)/24)</f>
        <v>45984</v>
      </c>
      <c r="B456" s="11" t="n">
        <f aca="false">MOD(ROW()-9,24)</f>
        <v>15</v>
      </c>
      <c r="C456" s="12"/>
      <c r="D456" s="13" t="n">
        <f aca="false">IF(B456&lt;5,Einstellungen!$B$3,Einstellungen!$B$4)</f>
        <v>29.13</v>
      </c>
      <c r="E456" s="14" t="str">
        <f aca="false">IF(C456="","",C456*D456/100)</f>
        <v/>
      </c>
      <c r="F456" s="15" t="str">
        <f aca="false">IF(B456&lt;5,"Go","Standard")</f>
        <v>Standard</v>
      </c>
    </row>
    <row r="457" customFormat="false" ht="15" hidden="false" customHeight="true" outlineLevel="0" collapsed="false">
      <c r="A457" s="10" t="n">
        <f aca="false">Einstellungen!$B$5+INT((ROW()-9)/24)</f>
        <v>45984</v>
      </c>
      <c r="B457" s="11" t="n">
        <f aca="false">MOD(ROW()-9,24)</f>
        <v>16</v>
      </c>
      <c r="C457" s="12"/>
      <c r="D457" s="13" t="n">
        <f aca="false">IF(B457&lt;5,Einstellungen!$B$3,Einstellungen!$B$4)</f>
        <v>29.13</v>
      </c>
      <c r="E457" s="14" t="str">
        <f aca="false">IF(C457="","",C457*D457/100)</f>
        <v/>
      </c>
      <c r="F457" s="15" t="str">
        <f aca="false">IF(B457&lt;5,"Go","Standard")</f>
        <v>Standard</v>
      </c>
    </row>
    <row r="458" customFormat="false" ht="15" hidden="false" customHeight="true" outlineLevel="0" collapsed="false">
      <c r="A458" s="10" t="n">
        <f aca="false">Einstellungen!$B$5+INT((ROW()-9)/24)</f>
        <v>45984</v>
      </c>
      <c r="B458" s="11" t="n">
        <f aca="false">MOD(ROW()-9,24)</f>
        <v>17</v>
      </c>
      <c r="C458" s="12"/>
      <c r="D458" s="13" t="n">
        <f aca="false">IF(B458&lt;5,Einstellungen!$B$3,Einstellungen!$B$4)</f>
        <v>29.13</v>
      </c>
      <c r="E458" s="14" t="str">
        <f aca="false">IF(C458="","",C458*D458/100)</f>
        <v/>
      </c>
      <c r="F458" s="15" t="str">
        <f aca="false">IF(B458&lt;5,"Go","Standard")</f>
        <v>Standard</v>
      </c>
    </row>
    <row r="459" customFormat="false" ht="15" hidden="false" customHeight="true" outlineLevel="0" collapsed="false">
      <c r="A459" s="10" t="n">
        <f aca="false">Einstellungen!$B$5+INT((ROW()-9)/24)</f>
        <v>45984</v>
      </c>
      <c r="B459" s="11" t="n">
        <f aca="false">MOD(ROW()-9,24)</f>
        <v>18</v>
      </c>
      <c r="C459" s="12"/>
      <c r="D459" s="13" t="n">
        <f aca="false">IF(B459&lt;5,Einstellungen!$B$3,Einstellungen!$B$4)</f>
        <v>29.13</v>
      </c>
      <c r="E459" s="14" t="str">
        <f aca="false">IF(C459="","",C459*D459/100)</f>
        <v/>
      </c>
      <c r="F459" s="15" t="str">
        <f aca="false">IF(B459&lt;5,"Go","Standard")</f>
        <v>Standard</v>
      </c>
    </row>
    <row r="460" customFormat="false" ht="15" hidden="false" customHeight="true" outlineLevel="0" collapsed="false">
      <c r="A460" s="10" t="n">
        <f aca="false">Einstellungen!$B$5+INT((ROW()-9)/24)</f>
        <v>45984</v>
      </c>
      <c r="B460" s="11" t="n">
        <f aca="false">MOD(ROW()-9,24)</f>
        <v>19</v>
      </c>
      <c r="C460" s="12"/>
      <c r="D460" s="13" t="n">
        <f aca="false">IF(B460&lt;5,Einstellungen!$B$3,Einstellungen!$B$4)</f>
        <v>29.13</v>
      </c>
      <c r="E460" s="14" t="str">
        <f aca="false">IF(C460="","",C460*D460/100)</f>
        <v/>
      </c>
      <c r="F460" s="15" t="str">
        <f aca="false">IF(B460&lt;5,"Go","Standard")</f>
        <v>Standard</v>
      </c>
    </row>
    <row r="461" customFormat="false" ht="15" hidden="false" customHeight="true" outlineLevel="0" collapsed="false">
      <c r="A461" s="10" t="n">
        <f aca="false">Einstellungen!$B$5+INT((ROW()-9)/24)</f>
        <v>45984</v>
      </c>
      <c r="B461" s="11" t="n">
        <f aca="false">MOD(ROW()-9,24)</f>
        <v>20</v>
      </c>
      <c r="C461" s="12"/>
      <c r="D461" s="13" t="n">
        <f aca="false">IF(B461&lt;5,Einstellungen!$B$3,Einstellungen!$B$4)</f>
        <v>29.13</v>
      </c>
      <c r="E461" s="14" t="str">
        <f aca="false">IF(C461="","",C461*D461/100)</f>
        <v/>
      </c>
      <c r="F461" s="15" t="str">
        <f aca="false">IF(B461&lt;5,"Go","Standard")</f>
        <v>Standard</v>
      </c>
    </row>
    <row r="462" customFormat="false" ht="15" hidden="false" customHeight="true" outlineLevel="0" collapsed="false">
      <c r="A462" s="10" t="n">
        <f aca="false">Einstellungen!$B$5+INT((ROW()-9)/24)</f>
        <v>45984</v>
      </c>
      <c r="B462" s="11" t="n">
        <f aca="false">MOD(ROW()-9,24)</f>
        <v>21</v>
      </c>
      <c r="C462" s="12"/>
      <c r="D462" s="13" t="n">
        <f aca="false">IF(B462&lt;5,Einstellungen!$B$3,Einstellungen!$B$4)</f>
        <v>29.13</v>
      </c>
      <c r="E462" s="14" t="str">
        <f aca="false">IF(C462="","",C462*D462/100)</f>
        <v/>
      </c>
      <c r="F462" s="15" t="str">
        <f aca="false">IF(B462&lt;5,"Go","Standard")</f>
        <v>Standard</v>
      </c>
    </row>
    <row r="463" customFormat="false" ht="15" hidden="false" customHeight="true" outlineLevel="0" collapsed="false">
      <c r="A463" s="10" t="n">
        <f aca="false">Einstellungen!$B$5+INT((ROW()-9)/24)</f>
        <v>45984</v>
      </c>
      <c r="B463" s="11" t="n">
        <f aca="false">MOD(ROW()-9,24)</f>
        <v>22</v>
      </c>
      <c r="C463" s="12"/>
      <c r="D463" s="13" t="n">
        <f aca="false">IF(B463&lt;5,Einstellungen!$B$3,Einstellungen!$B$4)</f>
        <v>29.13</v>
      </c>
      <c r="E463" s="14" t="str">
        <f aca="false">IF(C463="","",C463*D463/100)</f>
        <v/>
      </c>
      <c r="F463" s="15" t="str">
        <f aca="false">IF(B463&lt;5,"Go","Standard")</f>
        <v>Standard</v>
      </c>
    </row>
    <row r="464" customFormat="false" ht="15" hidden="false" customHeight="true" outlineLevel="0" collapsed="false">
      <c r="A464" s="10" t="n">
        <f aca="false">Einstellungen!$B$5+INT((ROW()-9)/24)</f>
        <v>45984</v>
      </c>
      <c r="B464" s="11" t="n">
        <f aca="false">MOD(ROW()-9,24)</f>
        <v>23</v>
      </c>
      <c r="C464" s="12"/>
      <c r="D464" s="13" t="n">
        <f aca="false">IF(B464&lt;5,Einstellungen!$B$3,Einstellungen!$B$4)</f>
        <v>29.13</v>
      </c>
      <c r="E464" s="14" t="str">
        <f aca="false">IF(C464="","",C464*D464/100)</f>
        <v/>
      </c>
      <c r="F464" s="15" t="str">
        <f aca="false">IF(B464&lt;5,"Go","Standard")</f>
        <v>Standard</v>
      </c>
    </row>
    <row r="465" customFormat="false" ht="15" hidden="false" customHeight="true" outlineLevel="0" collapsed="false">
      <c r="A465" s="10" t="n">
        <f aca="false">Einstellungen!$B$5+INT((ROW()-9)/24)</f>
        <v>45985</v>
      </c>
      <c r="B465" s="11" t="n">
        <f aca="false">MOD(ROW()-9,24)</f>
        <v>0</v>
      </c>
      <c r="C465" s="12"/>
      <c r="D465" s="13" t="n">
        <f aca="false">IF(B465&lt;5,Einstellungen!$B$3,Einstellungen!$B$4)</f>
        <v>15.92</v>
      </c>
      <c r="E465" s="14" t="str">
        <f aca="false">IF(C465="","",C465*D465/100)</f>
        <v/>
      </c>
      <c r="F465" s="15" t="str">
        <f aca="false">IF(B465&lt;5,"Go","Standard")</f>
        <v>Go</v>
      </c>
    </row>
    <row r="466" customFormat="false" ht="15" hidden="false" customHeight="true" outlineLevel="0" collapsed="false">
      <c r="A466" s="10" t="n">
        <f aca="false">Einstellungen!$B$5+INT((ROW()-9)/24)</f>
        <v>45985</v>
      </c>
      <c r="B466" s="11" t="n">
        <f aca="false">MOD(ROW()-9,24)</f>
        <v>1</v>
      </c>
      <c r="C466" s="12"/>
      <c r="D466" s="13" t="n">
        <f aca="false">IF(B466&lt;5,Einstellungen!$B$3,Einstellungen!$B$4)</f>
        <v>15.92</v>
      </c>
      <c r="E466" s="14" t="str">
        <f aca="false">IF(C466="","",C466*D466/100)</f>
        <v/>
      </c>
      <c r="F466" s="15" t="str">
        <f aca="false">IF(B466&lt;5,"Go","Standard")</f>
        <v>Go</v>
      </c>
    </row>
    <row r="467" customFormat="false" ht="15" hidden="false" customHeight="true" outlineLevel="0" collapsed="false">
      <c r="A467" s="10" t="n">
        <f aca="false">Einstellungen!$B$5+INT((ROW()-9)/24)</f>
        <v>45985</v>
      </c>
      <c r="B467" s="11" t="n">
        <f aca="false">MOD(ROW()-9,24)</f>
        <v>2</v>
      </c>
      <c r="C467" s="12"/>
      <c r="D467" s="13" t="n">
        <f aca="false">IF(B467&lt;5,Einstellungen!$B$3,Einstellungen!$B$4)</f>
        <v>15.92</v>
      </c>
      <c r="E467" s="14" t="str">
        <f aca="false">IF(C467="","",C467*D467/100)</f>
        <v/>
      </c>
      <c r="F467" s="15" t="str">
        <f aca="false">IF(B467&lt;5,"Go","Standard")</f>
        <v>Go</v>
      </c>
    </row>
    <row r="468" customFormat="false" ht="15" hidden="false" customHeight="true" outlineLevel="0" collapsed="false">
      <c r="A468" s="10" t="n">
        <f aca="false">Einstellungen!$B$5+INT((ROW()-9)/24)</f>
        <v>45985</v>
      </c>
      <c r="B468" s="11" t="n">
        <f aca="false">MOD(ROW()-9,24)</f>
        <v>3</v>
      </c>
      <c r="C468" s="12"/>
      <c r="D468" s="13" t="n">
        <f aca="false">IF(B468&lt;5,Einstellungen!$B$3,Einstellungen!$B$4)</f>
        <v>15.92</v>
      </c>
      <c r="E468" s="14" t="str">
        <f aca="false">IF(C468="","",C468*D468/100)</f>
        <v/>
      </c>
      <c r="F468" s="15" t="str">
        <f aca="false">IF(B468&lt;5,"Go","Standard")</f>
        <v>Go</v>
      </c>
    </row>
    <row r="469" customFormat="false" ht="15" hidden="false" customHeight="true" outlineLevel="0" collapsed="false">
      <c r="A469" s="10" t="n">
        <f aca="false">Einstellungen!$B$5+INT((ROW()-9)/24)</f>
        <v>45985</v>
      </c>
      <c r="B469" s="11" t="n">
        <f aca="false">MOD(ROW()-9,24)</f>
        <v>4</v>
      </c>
      <c r="C469" s="12"/>
      <c r="D469" s="13" t="n">
        <f aca="false">IF(B469&lt;5,Einstellungen!$B$3,Einstellungen!$B$4)</f>
        <v>15.92</v>
      </c>
      <c r="E469" s="14" t="str">
        <f aca="false">IF(C469="","",C469*D469/100)</f>
        <v/>
      </c>
      <c r="F469" s="15" t="str">
        <f aca="false">IF(B469&lt;5,"Go","Standard")</f>
        <v>Go</v>
      </c>
    </row>
    <row r="470" customFormat="false" ht="15" hidden="false" customHeight="true" outlineLevel="0" collapsed="false">
      <c r="A470" s="10" t="n">
        <f aca="false">Einstellungen!$B$5+INT((ROW()-9)/24)</f>
        <v>45985</v>
      </c>
      <c r="B470" s="11" t="n">
        <f aca="false">MOD(ROW()-9,24)</f>
        <v>5</v>
      </c>
      <c r="C470" s="12"/>
      <c r="D470" s="13" t="n">
        <f aca="false">IF(B470&lt;5,Einstellungen!$B$3,Einstellungen!$B$4)</f>
        <v>29.13</v>
      </c>
      <c r="E470" s="14" t="str">
        <f aca="false">IF(C470="","",C470*D470/100)</f>
        <v/>
      </c>
      <c r="F470" s="15" t="str">
        <f aca="false">IF(B470&lt;5,"Go","Standard")</f>
        <v>Standard</v>
      </c>
    </row>
    <row r="471" customFormat="false" ht="15" hidden="false" customHeight="true" outlineLevel="0" collapsed="false">
      <c r="A471" s="10" t="n">
        <f aca="false">Einstellungen!$B$5+INT((ROW()-9)/24)</f>
        <v>45985</v>
      </c>
      <c r="B471" s="11" t="n">
        <f aca="false">MOD(ROW()-9,24)</f>
        <v>6</v>
      </c>
      <c r="C471" s="12"/>
      <c r="D471" s="13" t="n">
        <f aca="false">IF(B471&lt;5,Einstellungen!$B$3,Einstellungen!$B$4)</f>
        <v>29.13</v>
      </c>
      <c r="E471" s="14" t="str">
        <f aca="false">IF(C471="","",C471*D471/100)</f>
        <v/>
      </c>
      <c r="F471" s="15" t="str">
        <f aca="false">IF(B471&lt;5,"Go","Standard")</f>
        <v>Standard</v>
      </c>
    </row>
    <row r="472" customFormat="false" ht="15" hidden="false" customHeight="true" outlineLevel="0" collapsed="false">
      <c r="A472" s="10" t="n">
        <f aca="false">Einstellungen!$B$5+INT((ROW()-9)/24)</f>
        <v>45985</v>
      </c>
      <c r="B472" s="11" t="n">
        <f aca="false">MOD(ROW()-9,24)</f>
        <v>7</v>
      </c>
      <c r="C472" s="12"/>
      <c r="D472" s="13" t="n">
        <f aca="false">IF(B472&lt;5,Einstellungen!$B$3,Einstellungen!$B$4)</f>
        <v>29.13</v>
      </c>
      <c r="E472" s="14" t="str">
        <f aca="false">IF(C472="","",C472*D472/100)</f>
        <v/>
      </c>
      <c r="F472" s="15" t="str">
        <f aca="false">IF(B472&lt;5,"Go","Standard")</f>
        <v>Standard</v>
      </c>
    </row>
    <row r="473" customFormat="false" ht="15" hidden="false" customHeight="true" outlineLevel="0" collapsed="false">
      <c r="A473" s="10" t="n">
        <f aca="false">Einstellungen!$B$5+INT((ROW()-9)/24)</f>
        <v>45985</v>
      </c>
      <c r="B473" s="11" t="n">
        <f aca="false">MOD(ROW()-9,24)</f>
        <v>8</v>
      </c>
      <c r="C473" s="12"/>
      <c r="D473" s="13" t="n">
        <f aca="false">IF(B473&lt;5,Einstellungen!$B$3,Einstellungen!$B$4)</f>
        <v>29.13</v>
      </c>
      <c r="E473" s="14" t="str">
        <f aca="false">IF(C473="","",C473*D473/100)</f>
        <v/>
      </c>
      <c r="F473" s="15" t="str">
        <f aca="false">IF(B473&lt;5,"Go","Standard")</f>
        <v>Standard</v>
      </c>
    </row>
    <row r="474" customFormat="false" ht="15" hidden="false" customHeight="true" outlineLevel="0" collapsed="false">
      <c r="A474" s="10" t="n">
        <f aca="false">Einstellungen!$B$5+INT((ROW()-9)/24)</f>
        <v>45985</v>
      </c>
      <c r="B474" s="11" t="n">
        <f aca="false">MOD(ROW()-9,24)</f>
        <v>9</v>
      </c>
      <c r="C474" s="12"/>
      <c r="D474" s="13" t="n">
        <f aca="false">IF(B474&lt;5,Einstellungen!$B$3,Einstellungen!$B$4)</f>
        <v>29.13</v>
      </c>
      <c r="E474" s="14" t="str">
        <f aca="false">IF(C474="","",C474*D474/100)</f>
        <v/>
      </c>
      <c r="F474" s="15" t="str">
        <f aca="false">IF(B474&lt;5,"Go","Standard")</f>
        <v>Standard</v>
      </c>
    </row>
    <row r="475" customFormat="false" ht="15" hidden="false" customHeight="true" outlineLevel="0" collapsed="false">
      <c r="A475" s="10" t="n">
        <f aca="false">Einstellungen!$B$5+INT((ROW()-9)/24)</f>
        <v>45985</v>
      </c>
      <c r="B475" s="11" t="n">
        <f aca="false">MOD(ROW()-9,24)</f>
        <v>10</v>
      </c>
      <c r="C475" s="12"/>
      <c r="D475" s="13" t="n">
        <f aca="false">IF(B475&lt;5,Einstellungen!$B$3,Einstellungen!$B$4)</f>
        <v>29.13</v>
      </c>
      <c r="E475" s="14" t="str">
        <f aca="false">IF(C475="","",C475*D475/100)</f>
        <v/>
      </c>
      <c r="F475" s="15" t="str">
        <f aca="false">IF(B475&lt;5,"Go","Standard")</f>
        <v>Standard</v>
      </c>
    </row>
    <row r="476" customFormat="false" ht="15" hidden="false" customHeight="true" outlineLevel="0" collapsed="false">
      <c r="A476" s="10" t="n">
        <f aca="false">Einstellungen!$B$5+INT((ROW()-9)/24)</f>
        <v>45985</v>
      </c>
      <c r="B476" s="11" t="n">
        <f aca="false">MOD(ROW()-9,24)</f>
        <v>11</v>
      </c>
      <c r="C476" s="12"/>
      <c r="D476" s="13" t="n">
        <f aca="false">IF(B476&lt;5,Einstellungen!$B$3,Einstellungen!$B$4)</f>
        <v>29.13</v>
      </c>
      <c r="E476" s="14" t="str">
        <f aca="false">IF(C476="","",C476*D476/100)</f>
        <v/>
      </c>
      <c r="F476" s="15" t="str">
        <f aca="false">IF(B476&lt;5,"Go","Standard")</f>
        <v>Standard</v>
      </c>
    </row>
    <row r="477" customFormat="false" ht="15" hidden="false" customHeight="true" outlineLevel="0" collapsed="false">
      <c r="A477" s="10" t="n">
        <f aca="false">Einstellungen!$B$5+INT((ROW()-9)/24)</f>
        <v>45985</v>
      </c>
      <c r="B477" s="11" t="n">
        <f aca="false">MOD(ROW()-9,24)</f>
        <v>12</v>
      </c>
      <c r="C477" s="12"/>
      <c r="D477" s="13" t="n">
        <f aca="false">IF(B477&lt;5,Einstellungen!$B$3,Einstellungen!$B$4)</f>
        <v>29.13</v>
      </c>
      <c r="E477" s="14" t="str">
        <f aca="false">IF(C477="","",C477*D477/100)</f>
        <v/>
      </c>
      <c r="F477" s="15" t="str">
        <f aca="false">IF(B477&lt;5,"Go","Standard")</f>
        <v>Standard</v>
      </c>
    </row>
    <row r="478" customFormat="false" ht="15" hidden="false" customHeight="true" outlineLevel="0" collapsed="false">
      <c r="A478" s="10" t="n">
        <f aca="false">Einstellungen!$B$5+INT((ROW()-9)/24)</f>
        <v>45985</v>
      </c>
      <c r="B478" s="11" t="n">
        <f aca="false">MOD(ROW()-9,24)</f>
        <v>13</v>
      </c>
      <c r="C478" s="12"/>
      <c r="D478" s="13" t="n">
        <f aca="false">IF(B478&lt;5,Einstellungen!$B$3,Einstellungen!$B$4)</f>
        <v>29.13</v>
      </c>
      <c r="E478" s="14" t="str">
        <f aca="false">IF(C478="","",C478*D478/100)</f>
        <v/>
      </c>
      <c r="F478" s="15" t="str">
        <f aca="false">IF(B478&lt;5,"Go","Standard")</f>
        <v>Standard</v>
      </c>
    </row>
    <row r="479" customFormat="false" ht="15" hidden="false" customHeight="true" outlineLevel="0" collapsed="false">
      <c r="A479" s="10" t="n">
        <f aca="false">Einstellungen!$B$5+INT((ROW()-9)/24)</f>
        <v>45985</v>
      </c>
      <c r="B479" s="11" t="n">
        <f aca="false">MOD(ROW()-9,24)</f>
        <v>14</v>
      </c>
      <c r="C479" s="12"/>
      <c r="D479" s="13" t="n">
        <f aca="false">IF(B479&lt;5,Einstellungen!$B$3,Einstellungen!$B$4)</f>
        <v>29.13</v>
      </c>
      <c r="E479" s="14" t="str">
        <f aca="false">IF(C479="","",C479*D479/100)</f>
        <v/>
      </c>
      <c r="F479" s="15" t="str">
        <f aca="false">IF(B479&lt;5,"Go","Standard")</f>
        <v>Standard</v>
      </c>
    </row>
    <row r="480" customFormat="false" ht="15" hidden="false" customHeight="true" outlineLevel="0" collapsed="false">
      <c r="A480" s="10" t="n">
        <f aca="false">Einstellungen!$B$5+INT((ROW()-9)/24)</f>
        <v>45985</v>
      </c>
      <c r="B480" s="11" t="n">
        <f aca="false">MOD(ROW()-9,24)</f>
        <v>15</v>
      </c>
      <c r="C480" s="12"/>
      <c r="D480" s="13" t="n">
        <f aca="false">IF(B480&lt;5,Einstellungen!$B$3,Einstellungen!$B$4)</f>
        <v>29.13</v>
      </c>
      <c r="E480" s="14" t="str">
        <f aca="false">IF(C480="","",C480*D480/100)</f>
        <v/>
      </c>
      <c r="F480" s="15" t="str">
        <f aca="false">IF(B480&lt;5,"Go","Standard")</f>
        <v>Standard</v>
      </c>
    </row>
    <row r="481" customFormat="false" ht="15" hidden="false" customHeight="true" outlineLevel="0" collapsed="false">
      <c r="A481" s="10" t="n">
        <f aca="false">Einstellungen!$B$5+INT((ROW()-9)/24)</f>
        <v>45985</v>
      </c>
      <c r="B481" s="11" t="n">
        <f aca="false">MOD(ROW()-9,24)</f>
        <v>16</v>
      </c>
      <c r="C481" s="12"/>
      <c r="D481" s="13" t="n">
        <f aca="false">IF(B481&lt;5,Einstellungen!$B$3,Einstellungen!$B$4)</f>
        <v>29.13</v>
      </c>
      <c r="E481" s="14" t="str">
        <f aca="false">IF(C481="","",C481*D481/100)</f>
        <v/>
      </c>
      <c r="F481" s="15" t="str">
        <f aca="false">IF(B481&lt;5,"Go","Standard")</f>
        <v>Standard</v>
      </c>
    </row>
    <row r="482" customFormat="false" ht="15" hidden="false" customHeight="true" outlineLevel="0" collapsed="false">
      <c r="A482" s="10" t="n">
        <f aca="false">Einstellungen!$B$5+INT((ROW()-9)/24)</f>
        <v>45985</v>
      </c>
      <c r="B482" s="11" t="n">
        <f aca="false">MOD(ROW()-9,24)</f>
        <v>17</v>
      </c>
      <c r="C482" s="12"/>
      <c r="D482" s="13" t="n">
        <f aca="false">IF(B482&lt;5,Einstellungen!$B$3,Einstellungen!$B$4)</f>
        <v>29.13</v>
      </c>
      <c r="E482" s="14" t="str">
        <f aca="false">IF(C482="","",C482*D482/100)</f>
        <v/>
      </c>
      <c r="F482" s="15" t="str">
        <f aca="false">IF(B482&lt;5,"Go","Standard")</f>
        <v>Standard</v>
      </c>
    </row>
    <row r="483" customFormat="false" ht="15" hidden="false" customHeight="true" outlineLevel="0" collapsed="false">
      <c r="A483" s="10" t="n">
        <f aca="false">Einstellungen!$B$5+INT((ROW()-9)/24)</f>
        <v>45985</v>
      </c>
      <c r="B483" s="11" t="n">
        <f aca="false">MOD(ROW()-9,24)</f>
        <v>18</v>
      </c>
      <c r="C483" s="12"/>
      <c r="D483" s="13" t="n">
        <f aca="false">IF(B483&lt;5,Einstellungen!$B$3,Einstellungen!$B$4)</f>
        <v>29.13</v>
      </c>
      <c r="E483" s="14" t="str">
        <f aca="false">IF(C483="","",C483*D483/100)</f>
        <v/>
      </c>
      <c r="F483" s="15" t="str">
        <f aca="false">IF(B483&lt;5,"Go","Standard")</f>
        <v>Standard</v>
      </c>
    </row>
    <row r="484" customFormat="false" ht="15" hidden="false" customHeight="true" outlineLevel="0" collapsed="false">
      <c r="A484" s="10" t="n">
        <f aca="false">Einstellungen!$B$5+INT((ROW()-9)/24)</f>
        <v>45985</v>
      </c>
      <c r="B484" s="11" t="n">
        <f aca="false">MOD(ROW()-9,24)</f>
        <v>19</v>
      </c>
      <c r="C484" s="12"/>
      <c r="D484" s="13" t="n">
        <f aca="false">IF(B484&lt;5,Einstellungen!$B$3,Einstellungen!$B$4)</f>
        <v>29.13</v>
      </c>
      <c r="E484" s="14" t="str">
        <f aca="false">IF(C484="","",C484*D484/100)</f>
        <v/>
      </c>
      <c r="F484" s="15" t="str">
        <f aca="false">IF(B484&lt;5,"Go","Standard")</f>
        <v>Standard</v>
      </c>
    </row>
    <row r="485" customFormat="false" ht="15" hidden="false" customHeight="true" outlineLevel="0" collapsed="false">
      <c r="A485" s="10" t="n">
        <f aca="false">Einstellungen!$B$5+INT((ROW()-9)/24)</f>
        <v>45985</v>
      </c>
      <c r="B485" s="11" t="n">
        <f aca="false">MOD(ROW()-9,24)</f>
        <v>20</v>
      </c>
      <c r="C485" s="12"/>
      <c r="D485" s="13" t="n">
        <f aca="false">IF(B485&lt;5,Einstellungen!$B$3,Einstellungen!$B$4)</f>
        <v>29.13</v>
      </c>
      <c r="E485" s="14" t="str">
        <f aca="false">IF(C485="","",C485*D485/100)</f>
        <v/>
      </c>
      <c r="F485" s="15" t="str">
        <f aca="false">IF(B485&lt;5,"Go","Standard")</f>
        <v>Standard</v>
      </c>
    </row>
    <row r="486" customFormat="false" ht="15" hidden="false" customHeight="true" outlineLevel="0" collapsed="false">
      <c r="A486" s="10" t="n">
        <f aca="false">Einstellungen!$B$5+INT((ROW()-9)/24)</f>
        <v>45985</v>
      </c>
      <c r="B486" s="11" t="n">
        <f aca="false">MOD(ROW()-9,24)</f>
        <v>21</v>
      </c>
      <c r="C486" s="12"/>
      <c r="D486" s="13" t="n">
        <f aca="false">IF(B486&lt;5,Einstellungen!$B$3,Einstellungen!$B$4)</f>
        <v>29.13</v>
      </c>
      <c r="E486" s="14" t="str">
        <f aca="false">IF(C486="","",C486*D486/100)</f>
        <v/>
      </c>
      <c r="F486" s="15" t="str">
        <f aca="false">IF(B486&lt;5,"Go","Standard")</f>
        <v>Standard</v>
      </c>
    </row>
    <row r="487" customFormat="false" ht="15" hidden="false" customHeight="true" outlineLevel="0" collapsed="false">
      <c r="A487" s="10" t="n">
        <f aca="false">Einstellungen!$B$5+INT((ROW()-9)/24)</f>
        <v>45985</v>
      </c>
      <c r="B487" s="11" t="n">
        <f aca="false">MOD(ROW()-9,24)</f>
        <v>22</v>
      </c>
      <c r="C487" s="12"/>
      <c r="D487" s="13" t="n">
        <f aca="false">IF(B487&lt;5,Einstellungen!$B$3,Einstellungen!$B$4)</f>
        <v>29.13</v>
      </c>
      <c r="E487" s="14" t="str">
        <f aca="false">IF(C487="","",C487*D487/100)</f>
        <v/>
      </c>
      <c r="F487" s="15" t="str">
        <f aca="false">IF(B487&lt;5,"Go","Standard")</f>
        <v>Standard</v>
      </c>
    </row>
    <row r="488" customFormat="false" ht="15" hidden="false" customHeight="true" outlineLevel="0" collapsed="false">
      <c r="A488" s="10" t="n">
        <f aca="false">Einstellungen!$B$5+INT((ROW()-9)/24)</f>
        <v>45985</v>
      </c>
      <c r="B488" s="11" t="n">
        <f aca="false">MOD(ROW()-9,24)</f>
        <v>23</v>
      </c>
      <c r="C488" s="12"/>
      <c r="D488" s="13" t="n">
        <f aca="false">IF(B488&lt;5,Einstellungen!$B$3,Einstellungen!$B$4)</f>
        <v>29.13</v>
      </c>
      <c r="E488" s="14" t="str">
        <f aca="false">IF(C488="","",C488*D488/100)</f>
        <v/>
      </c>
      <c r="F488" s="15" t="str">
        <f aca="false">IF(B488&lt;5,"Go","Standard")</f>
        <v>Standard</v>
      </c>
    </row>
    <row r="489" customFormat="false" ht="15" hidden="false" customHeight="true" outlineLevel="0" collapsed="false">
      <c r="A489" s="10" t="n">
        <f aca="false">Einstellungen!$B$5+INT((ROW()-9)/24)</f>
        <v>45986</v>
      </c>
      <c r="B489" s="11" t="n">
        <f aca="false">MOD(ROW()-9,24)</f>
        <v>0</v>
      </c>
      <c r="C489" s="12"/>
      <c r="D489" s="13" t="n">
        <f aca="false">IF(B489&lt;5,Einstellungen!$B$3,Einstellungen!$B$4)</f>
        <v>15.92</v>
      </c>
      <c r="E489" s="14" t="str">
        <f aca="false">IF(C489="","",C489*D489/100)</f>
        <v/>
      </c>
      <c r="F489" s="15" t="str">
        <f aca="false">IF(B489&lt;5,"Go","Standard")</f>
        <v>Go</v>
      </c>
    </row>
    <row r="490" customFormat="false" ht="15" hidden="false" customHeight="true" outlineLevel="0" collapsed="false">
      <c r="A490" s="10" t="n">
        <f aca="false">Einstellungen!$B$5+INT((ROW()-9)/24)</f>
        <v>45986</v>
      </c>
      <c r="B490" s="11" t="n">
        <f aca="false">MOD(ROW()-9,24)</f>
        <v>1</v>
      </c>
      <c r="C490" s="12"/>
      <c r="D490" s="13" t="n">
        <f aca="false">IF(B490&lt;5,Einstellungen!$B$3,Einstellungen!$B$4)</f>
        <v>15.92</v>
      </c>
      <c r="E490" s="14" t="str">
        <f aca="false">IF(C490="","",C490*D490/100)</f>
        <v/>
      </c>
      <c r="F490" s="15" t="str">
        <f aca="false">IF(B490&lt;5,"Go","Standard")</f>
        <v>Go</v>
      </c>
    </row>
    <row r="491" customFormat="false" ht="15" hidden="false" customHeight="true" outlineLevel="0" collapsed="false">
      <c r="A491" s="10" t="n">
        <f aca="false">Einstellungen!$B$5+INT((ROW()-9)/24)</f>
        <v>45986</v>
      </c>
      <c r="B491" s="11" t="n">
        <f aca="false">MOD(ROW()-9,24)</f>
        <v>2</v>
      </c>
      <c r="C491" s="12"/>
      <c r="D491" s="13" t="n">
        <f aca="false">IF(B491&lt;5,Einstellungen!$B$3,Einstellungen!$B$4)</f>
        <v>15.92</v>
      </c>
      <c r="E491" s="14" t="str">
        <f aca="false">IF(C491="","",C491*D491/100)</f>
        <v/>
      </c>
      <c r="F491" s="15" t="str">
        <f aca="false">IF(B491&lt;5,"Go","Standard")</f>
        <v>Go</v>
      </c>
    </row>
    <row r="492" customFormat="false" ht="15" hidden="false" customHeight="true" outlineLevel="0" collapsed="false">
      <c r="A492" s="10" t="n">
        <f aca="false">Einstellungen!$B$5+INT((ROW()-9)/24)</f>
        <v>45986</v>
      </c>
      <c r="B492" s="11" t="n">
        <f aca="false">MOD(ROW()-9,24)</f>
        <v>3</v>
      </c>
      <c r="C492" s="12"/>
      <c r="D492" s="13" t="n">
        <f aca="false">IF(B492&lt;5,Einstellungen!$B$3,Einstellungen!$B$4)</f>
        <v>15.92</v>
      </c>
      <c r="E492" s="14" t="str">
        <f aca="false">IF(C492="","",C492*D492/100)</f>
        <v/>
      </c>
      <c r="F492" s="15" t="str">
        <f aca="false">IF(B492&lt;5,"Go","Standard")</f>
        <v>Go</v>
      </c>
    </row>
    <row r="493" customFormat="false" ht="15" hidden="false" customHeight="true" outlineLevel="0" collapsed="false">
      <c r="A493" s="10" t="n">
        <f aca="false">Einstellungen!$B$5+INT((ROW()-9)/24)</f>
        <v>45986</v>
      </c>
      <c r="B493" s="11" t="n">
        <f aca="false">MOD(ROW()-9,24)</f>
        <v>4</v>
      </c>
      <c r="C493" s="12"/>
      <c r="D493" s="13" t="n">
        <f aca="false">IF(B493&lt;5,Einstellungen!$B$3,Einstellungen!$B$4)</f>
        <v>15.92</v>
      </c>
      <c r="E493" s="14" t="str">
        <f aca="false">IF(C493="","",C493*D493/100)</f>
        <v/>
      </c>
      <c r="F493" s="15" t="str">
        <f aca="false">IF(B493&lt;5,"Go","Standard")</f>
        <v>Go</v>
      </c>
    </row>
    <row r="494" customFormat="false" ht="15" hidden="false" customHeight="true" outlineLevel="0" collapsed="false">
      <c r="A494" s="10" t="n">
        <f aca="false">Einstellungen!$B$5+INT((ROW()-9)/24)</f>
        <v>45986</v>
      </c>
      <c r="B494" s="11" t="n">
        <f aca="false">MOD(ROW()-9,24)</f>
        <v>5</v>
      </c>
      <c r="C494" s="12"/>
      <c r="D494" s="13" t="n">
        <f aca="false">IF(B494&lt;5,Einstellungen!$B$3,Einstellungen!$B$4)</f>
        <v>29.13</v>
      </c>
      <c r="E494" s="14" t="str">
        <f aca="false">IF(C494="","",C494*D494/100)</f>
        <v/>
      </c>
      <c r="F494" s="15" t="str">
        <f aca="false">IF(B494&lt;5,"Go","Standard")</f>
        <v>Standard</v>
      </c>
    </row>
    <row r="495" customFormat="false" ht="15" hidden="false" customHeight="true" outlineLevel="0" collapsed="false">
      <c r="A495" s="10" t="n">
        <f aca="false">Einstellungen!$B$5+INT((ROW()-9)/24)</f>
        <v>45986</v>
      </c>
      <c r="B495" s="11" t="n">
        <f aca="false">MOD(ROW()-9,24)</f>
        <v>6</v>
      </c>
      <c r="C495" s="12"/>
      <c r="D495" s="13" t="n">
        <f aca="false">IF(B495&lt;5,Einstellungen!$B$3,Einstellungen!$B$4)</f>
        <v>29.13</v>
      </c>
      <c r="E495" s="14" t="str">
        <f aca="false">IF(C495="","",C495*D495/100)</f>
        <v/>
      </c>
      <c r="F495" s="15" t="str">
        <f aca="false">IF(B495&lt;5,"Go","Standard")</f>
        <v>Standard</v>
      </c>
    </row>
    <row r="496" customFormat="false" ht="15" hidden="false" customHeight="true" outlineLevel="0" collapsed="false">
      <c r="A496" s="10" t="n">
        <f aca="false">Einstellungen!$B$5+INT((ROW()-9)/24)</f>
        <v>45986</v>
      </c>
      <c r="B496" s="11" t="n">
        <f aca="false">MOD(ROW()-9,24)</f>
        <v>7</v>
      </c>
      <c r="C496" s="12"/>
      <c r="D496" s="13" t="n">
        <f aca="false">IF(B496&lt;5,Einstellungen!$B$3,Einstellungen!$B$4)</f>
        <v>29.13</v>
      </c>
      <c r="E496" s="14" t="str">
        <f aca="false">IF(C496="","",C496*D496/100)</f>
        <v/>
      </c>
      <c r="F496" s="15" t="str">
        <f aca="false">IF(B496&lt;5,"Go","Standard")</f>
        <v>Standard</v>
      </c>
    </row>
    <row r="497" customFormat="false" ht="15" hidden="false" customHeight="true" outlineLevel="0" collapsed="false">
      <c r="A497" s="10" t="n">
        <f aca="false">Einstellungen!$B$5+INT((ROW()-9)/24)</f>
        <v>45986</v>
      </c>
      <c r="B497" s="11" t="n">
        <f aca="false">MOD(ROW()-9,24)</f>
        <v>8</v>
      </c>
      <c r="C497" s="12"/>
      <c r="D497" s="13" t="n">
        <f aca="false">IF(B497&lt;5,Einstellungen!$B$3,Einstellungen!$B$4)</f>
        <v>29.13</v>
      </c>
      <c r="E497" s="14" t="str">
        <f aca="false">IF(C497="","",C497*D497/100)</f>
        <v/>
      </c>
      <c r="F497" s="15" t="str">
        <f aca="false">IF(B497&lt;5,"Go","Standard")</f>
        <v>Standard</v>
      </c>
    </row>
    <row r="498" customFormat="false" ht="15" hidden="false" customHeight="true" outlineLevel="0" collapsed="false">
      <c r="A498" s="10" t="n">
        <f aca="false">Einstellungen!$B$5+INT((ROW()-9)/24)</f>
        <v>45986</v>
      </c>
      <c r="B498" s="11" t="n">
        <f aca="false">MOD(ROW()-9,24)</f>
        <v>9</v>
      </c>
      <c r="C498" s="12"/>
      <c r="D498" s="13" t="n">
        <f aca="false">IF(B498&lt;5,Einstellungen!$B$3,Einstellungen!$B$4)</f>
        <v>29.13</v>
      </c>
      <c r="E498" s="14" t="str">
        <f aca="false">IF(C498="","",C498*D498/100)</f>
        <v/>
      </c>
      <c r="F498" s="15" t="str">
        <f aca="false">IF(B498&lt;5,"Go","Standard")</f>
        <v>Standard</v>
      </c>
    </row>
    <row r="499" customFormat="false" ht="15" hidden="false" customHeight="true" outlineLevel="0" collapsed="false">
      <c r="A499" s="10" t="n">
        <f aca="false">Einstellungen!$B$5+INT((ROW()-9)/24)</f>
        <v>45986</v>
      </c>
      <c r="B499" s="11" t="n">
        <f aca="false">MOD(ROW()-9,24)</f>
        <v>10</v>
      </c>
      <c r="C499" s="12"/>
      <c r="D499" s="13" t="n">
        <f aca="false">IF(B499&lt;5,Einstellungen!$B$3,Einstellungen!$B$4)</f>
        <v>29.13</v>
      </c>
      <c r="E499" s="14" t="str">
        <f aca="false">IF(C499="","",C499*D499/100)</f>
        <v/>
      </c>
      <c r="F499" s="15" t="str">
        <f aca="false">IF(B499&lt;5,"Go","Standard")</f>
        <v>Standard</v>
      </c>
    </row>
    <row r="500" customFormat="false" ht="15" hidden="false" customHeight="true" outlineLevel="0" collapsed="false">
      <c r="A500" s="10" t="n">
        <f aca="false">Einstellungen!$B$5+INT((ROW()-9)/24)</f>
        <v>45986</v>
      </c>
      <c r="B500" s="11" t="n">
        <f aca="false">MOD(ROW()-9,24)</f>
        <v>11</v>
      </c>
      <c r="C500" s="12"/>
      <c r="D500" s="13" t="n">
        <f aca="false">IF(B500&lt;5,Einstellungen!$B$3,Einstellungen!$B$4)</f>
        <v>29.13</v>
      </c>
      <c r="E500" s="14" t="str">
        <f aca="false">IF(C500="","",C500*D500/100)</f>
        <v/>
      </c>
      <c r="F500" s="15" t="str">
        <f aca="false">IF(B500&lt;5,"Go","Standard")</f>
        <v>Standard</v>
      </c>
    </row>
    <row r="501" customFormat="false" ht="15" hidden="false" customHeight="true" outlineLevel="0" collapsed="false">
      <c r="A501" s="10" t="n">
        <f aca="false">Einstellungen!$B$5+INT((ROW()-9)/24)</f>
        <v>45986</v>
      </c>
      <c r="B501" s="11" t="n">
        <f aca="false">MOD(ROW()-9,24)</f>
        <v>12</v>
      </c>
      <c r="C501" s="12"/>
      <c r="D501" s="13" t="n">
        <f aca="false">IF(B501&lt;5,Einstellungen!$B$3,Einstellungen!$B$4)</f>
        <v>29.13</v>
      </c>
      <c r="E501" s="14" t="str">
        <f aca="false">IF(C501="","",C501*D501/100)</f>
        <v/>
      </c>
      <c r="F501" s="15" t="str">
        <f aca="false">IF(B501&lt;5,"Go","Standard")</f>
        <v>Standard</v>
      </c>
    </row>
    <row r="502" customFormat="false" ht="15" hidden="false" customHeight="true" outlineLevel="0" collapsed="false">
      <c r="A502" s="10" t="n">
        <f aca="false">Einstellungen!$B$5+INT((ROW()-9)/24)</f>
        <v>45986</v>
      </c>
      <c r="B502" s="11" t="n">
        <f aca="false">MOD(ROW()-9,24)</f>
        <v>13</v>
      </c>
      <c r="C502" s="12"/>
      <c r="D502" s="13" t="n">
        <f aca="false">IF(B502&lt;5,Einstellungen!$B$3,Einstellungen!$B$4)</f>
        <v>29.13</v>
      </c>
      <c r="E502" s="14" t="str">
        <f aca="false">IF(C502="","",C502*D502/100)</f>
        <v/>
      </c>
      <c r="F502" s="15" t="str">
        <f aca="false">IF(B502&lt;5,"Go","Standard")</f>
        <v>Standard</v>
      </c>
    </row>
    <row r="503" customFormat="false" ht="15" hidden="false" customHeight="true" outlineLevel="0" collapsed="false">
      <c r="A503" s="10" t="n">
        <f aca="false">Einstellungen!$B$5+INT((ROW()-9)/24)</f>
        <v>45986</v>
      </c>
      <c r="B503" s="11" t="n">
        <f aca="false">MOD(ROW()-9,24)</f>
        <v>14</v>
      </c>
      <c r="C503" s="12"/>
      <c r="D503" s="13" t="n">
        <f aca="false">IF(B503&lt;5,Einstellungen!$B$3,Einstellungen!$B$4)</f>
        <v>29.13</v>
      </c>
      <c r="E503" s="14" t="str">
        <f aca="false">IF(C503="","",C503*D503/100)</f>
        <v/>
      </c>
      <c r="F503" s="15" t="str">
        <f aca="false">IF(B503&lt;5,"Go","Standard")</f>
        <v>Standard</v>
      </c>
    </row>
    <row r="504" customFormat="false" ht="15" hidden="false" customHeight="true" outlineLevel="0" collapsed="false">
      <c r="A504" s="10" t="n">
        <f aca="false">Einstellungen!$B$5+INT((ROW()-9)/24)</f>
        <v>45986</v>
      </c>
      <c r="B504" s="11" t="n">
        <f aca="false">MOD(ROW()-9,24)</f>
        <v>15</v>
      </c>
      <c r="C504" s="12"/>
      <c r="D504" s="13" t="n">
        <f aca="false">IF(B504&lt;5,Einstellungen!$B$3,Einstellungen!$B$4)</f>
        <v>29.13</v>
      </c>
      <c r="E504" s="14" t="str">
        <f aca="false">IF(C504="","",C504*D504/100)</f>
        <v/>
      </c>
      <c r="F504" s="15" t="str">
        <f aca="false">IF(B504&lt;5,"Go","Standard")</f>
        <v>Standard</v>
      </c>
    </row>
    <row r="505" customFormat="false" ht="15" hidden="false" customHeight="true" outlineLevel="0" collapsed="false">
      <c r="A505" s="10" t="n">
        <f aca="false">Einstellungen!$B$5+INT((ROW()-9)/24)</f>
        <v>45986</v>
      </c>
      <c r="B505" s="11" t="n">
        <f aca="false">MOD(ROW()-9,24)</f>
        <v>16</v>
      </c>
      <c r="C505" s="12"/>
      <c r="D505" s="13" t="n">
        <f aca="false">IF(B505&lt;5,Einstellungen!$B$3,Einstellungen!$B$4)</f>
        <v>29.13</v>
      </c>
      <c r="E505" s="14" t="str">
        <f aca="false">IF(C505="","",C505*D505/100)</f>
        <v/>
      </c>
      <c r="F505" s="15" t="str">
        <f aca="false">IF(B505&lt;5,"Go","Standard")</f>
        <v>Standard</v>
      </c>
    </row>
    <row r="506" customFormat="false" ht="15" hidden="false" customHeight="true" outlineLevel="0" collapsed="false">
      <c r="A506" s="10" t="n">
        <f aca="false">Einstellungen!$B$5+INT((ROW()-9)/24)</f>
        <v>45986</v>
      </c>
      <c r="B506" s="11" t="n">
        <f aca="false">MOD(ROW()-9,24)</f>
        <v>17</v>
      </c>
      <c r="C506" s="12"/>
      <c r="D506" s="13" t="n">
        <f aca="false">IF(B506&lt;5,Einstellungen!$B$3,Einstellungen!$B$4)</f>
        <v>29.13</v>
      </c>
      <c r="E506" s="14" t="str">
        <f aca="false">IF(C506="","",C506*D506/100)</f>
        <v/>
      </c>
      <c r="F506" s="15" t="str">
        <f aca="false">IF(B506&lt;5,"Go","Standard")</f>
        <v>Standard</v>
      </c>
    </row>
    <row r="507" customFormat="false" ht="15" hidden="false" customHeight="true" outlineLevel="0" collapsed="false">
      <c r="A507" s="10" t="n">
        <f aca="false">Einstellungen!$B$5+INT((ROW()-9)/24)</f>
        <v>45986</v>
      </c>
      <c r="B507" s="11" t="n">
        <f aca="false">MOD(ROW()-9,24)</f>
        <v>18</v>
      </c>
      <c r="C507" s="12"/>
      <c r="D507" s="13" t="n">
        <f aca="false">IF(B507&lt;5,Einstellungen!$B$3,Einstellungen!$B$4)</f>
        <v>29.13</v>
      </c>
      <c r="E507" s="14" t="str">
        <f aca="false">IF(C507="","",C507*D507/100)</f>
        <v/>
      </c>
      <c r="F507" s="15" t="str">
        <f aca="false">IF(B507&lt;5,"Go","Standard")</f>
        <v>Standard</v>
      </c>
    </row>
    <row r="508" customFormat="false" ht="15" hidden="false" customHeight="true" outlineLevel="0" collapsed="false">
      <c r="A508" s="10" t="n">
        <f aca="false">Einstellungen!$B$5+INT((ROW()-9)/24)</f>
        <v>45986</v>
      </c>
      <c r="B508" s="11" t="n">
        <f aca="false">MOD(ROW()-9,24)</f>
        <v>19</v>
      </c>
      <c r="C508" s="12"/>
      <c r="D508" s="13" t="n">
        <f aca="false">IF(B508&lt;5,Einstellungen!$B$3,Einstellungen!$B$4)</f>
        <v>29.13</v>
      </c>
      <c r="E508" s="14" t="str">
        <f aca="false">IF(C508="","",C508*D508/100)</f>
        <v/>
      </c>
      <c r="F508" s="15" t="str">
        <f aca="false">IF(B508&lt;5,"Go","Standard")</f>
        <v>Standard</v>
      </c>
    </row>
    <row r="509" customFormat="false" ht="15" hidden="false" customHeight="true" outlineLevel="0" collapsed="false">
      <c r="A509" s="10" t="n">
        <f aca="false">Einstellungen!$B$5+INT((ROW()-9)/24)</f>
        <v>45986</v>
      </c>
      <c r="B509" s="11" t="n">
        <f aca="false">MOD(ROW()-9,24)</f>
        <v>20</v>
      </c>
      <c r="C509" s="12"/>
      <c r="D509" s="13" t="n">
        <f aca="false">IF(B509&lt;5,Einstellungen!$B$3,Einstellungen!$B$4)</f>
        <v>29.13</v>
      </c>
      <c r="E509" s="14" t="str">
        <f aca="false">IF(C509="","",C509*D509/100)</f>
        <v/>
      </c>
      <c r="F509" s="15" t="str">
        <f aca="false">IF(B509&lt;5,"Go","Standard")</f>
        <v>Standard</v>
      </c>
    </row>
    <row r="510" customFormat="false" ht="15" hidden="false" customHeight="true" outlineLevel="0" collapsed="false">
      <c r="A510" s="10" t="n">
        <f aca="false">Einstellungen!$B$5+INT((ROW()-9)/24)</f>
        <v>45986</v>
      </c>
      <c r="B510" s="11" t="n">
        <f aca="false">MOD(ROW()-9,24)</f>
        <v>21</v>
      </c>
      <c r="C510" s="12"/>
      <c r="D510" s="13" t="n">
        <f aca="false">IF(B510&lt;5,Einstellungen!$B$3,Einstellungen!$B$4)</f>
        <v>29.13</v>
      </c>
      <c r="E510" s="14" t="str">
        <f aca="false">IF(C510="","",C510*D510/100)</f>
        <v/>
      </c>
      <c r="F510" s="15" t="str">
        <f aca="false">IF(B510&lt;5,"Go","Standard")</f>
        <v>Standard</v>
      </c>
    </row>
    <row r="511" customFormat="false" ht="15" hidden="false" customHeight="true" outlineLevel="0" collapsed="false">
      <c r="A511" s="10" t="n">
        <f aca="false">Einstellungen!$B$5+INT((ROW()-9)/24)</f>
        <v>45986</v>
      </c>
      <c r="B511" s="11" t="n">
        <f aca="false">MOD(ROW()-9,24)</f>
        <v>22</v>
      </c>
      <c r="C511" s="12"/>
      <c r="D511" s="13" t="n">
        <f aca="false">IF(B511&lt;5,Einstellungen!$B$3,Einstellungen!$B$4)</f>
        <v>29.13</v>
      </c>
      <c r="E511" s="14" t="str">
        <f aca="false">IF(C511="","",C511*D511/100)</f>
        <v/>
      </c>
      <c r="F511" s="15" t="str">
        <f aca="false">IF(B511&lt;5,"Go","Standard")</f>
        <v>Standard</v>
      </c>
    </row>
    <row r="512" customFormat="false" ht="15" hidden="false" customHeight="true" outlineLevel="0" collapsed="false">
      <c r="A512" s="10" t="n">
        <f aca="false">Einstellungen!$B$5+INT((ROW()-9)/24)</f>
        <v>45986</v>
      </c>
      <c r="B512" s="11" t="n">
        <f aca="false">MOD(ROW()-9,24)</f>
        <v>23</v>
      </c>
      <c r="C512" s="12"/>
      <c r="D512" s="13" t="n">
        <f aca="false">IF(B512&lt;5,Einstellungen!$B$3,Einstellungen!$B$4)</f>
        <v>29.13</v>
      </c>
      <c r="E512" s="14" t="str">
        <f aca="false">IF(C512="","",C512*D512/100)</f>
        <v/>
      </c>
      <c r="F512" s="15" t="str">
        <f aca="false">IF(B512&lt;5,"Go","Standard")</f>
        <v>Standard</v>
      </c>
    </row>
    <row r="513" customFormat="false" ht="15" hidden="false" customHeight="true" outlineLevel="0" collapsed="false">
      <c r="A513" s="10" t="n">
        <f aca="false">Einstellungen!$B$5+INT((ROW()-9)/24)</f>
        <v>45987</v>
      </c>
      <c r="B513" s="11" t="n">
        <f aca="false">MOD(ROW()-9,24)</f>
        <v>0</v>
      </c>
      <c r="C513" s="12"/>
      <c r="D513" s="13" t="n">
        <f aca="false">IF(B513&lt;5,Einstellungen!$B$3,Einstellungen!$B$4)</f>
        <v>15.92</v>
      </c>
      <c r="E513" s="14" t="str">
        <f aca="false">IF(C513="","",C513*D513/100)</f>
        <v/>
      </c>
      <c r="F513" s="15" t="str">
        <f aca="false">IF(B513&lt;5,"Go","Standard")</f>
        <v>Go</v>
      </c>
    </row>
    <row r="514" customFormat="false" ht="15" hidden="false" customHeight="true" outlineLevel="0" collapsed="false">
      <c r="A514" s="10" t="n">
        <f aca="false">Einstellungen!$B$5+INT((ROW()-9)/24)</f>
        <v>45987</v>
      </c>
      <c r="B514" s="11" t="n">
        <f aca="false">MOD(ROW()-9,24)</f>
        <v>1</v>
      </c>
      <c r="C514" s="12"/>
      <c r="D514" s="13" t="n">
        <f aca="false">IF(B514&lt;5,Einstellungen!$B$3,Einstellungen!$B$4)</f>
        <v>15.92</v>
      </c>
      <c r="E514" s="14" t="str">
        <f aca="false">IF(C514="","",C514*D514/100)</f>
        <v/>
      </c>
      <c r="F514" s="15" t="str">
        <f aca="false">IF(B514&lt;5,"Go","Standard")</f>
        <v>Go</v>
      </c>
    </row>
    <row r="515" customFormat="false" ht="15" hidden="false" customHeight="true" outlineLevel="0" collapsed="false">
      <c r="A515" s="10" t="n">
        <f aca="false">Einstellungen!$B$5+INT((ROW()-9)/24)</f>
        <v>45987</v>
      </c>
      <c r="B515" s="11" t="n">
        <f aca="false">MOD(ROW()-9,24)</f>
        <v>2</v>
      </c>
      <c r="C515" s="12"/>
      <c r="D515" s="13" t="n">
        <f aca="false">IF(B515&lt;5,Einstellungen!$B$3,Einstellungen!$B$4)</f>
        <v>15.92</v>
      </c>
      <c r="E515" s="14" t="str">
        <f aca="false">IF(C515="","",C515*D515/100)</f>
        <v/>
      </c>
      <c r="F515" s="15" t="str">
        <f aca="false">IF(B515&lt;5,"Go","Standard")</f>
        <v>Go</v>
      </c>
    </row>
    <row r="516" customFormat="false" ht="15" hidden="false" customHeight="true" outlineLevel="0" collapsed="false">
      <c r="A516" s="10" t="n">
        <f aca="false">Einstellungen!$B$5+INT((ROW()-9)/24)</f>
        <v>45987</v>
      </c>
      <c r="B516" s="11" t="n">
        <f aca="false">MOD(ROW()-9,24)</f>
        <v>3</v>
      </c>
      <c r="C516" s="12"/>
      <c r="D516" s="13" t="n">
        <f aca="false">IF(B516&lt;5,Einstellungen!$B$3,Einstellungen!$B$4)</f>
        <v>15.92</v>
      </c>
      <c r="E516" s="14" t="str">
        <f aca="false">IF(C516="","",C516*D516/100)</f>
        <v/>
      </c>
      <c r="F516" s="15" t="str">
        <f aca="false">IF(B516&lt;5,"Go","Standard")</f>
        <v>Go</v>
      </c>
    </row>
    <row r="517" customFormat="false" ht="15" hidden="false" customHeight="true" outlineLevel="0" collapsed="false">
      <c r="A517" s="10" t="n">
        <f aca="false">Einstellungen!$B$5+INT((ROW()-9)/24)</f>
        <v>45987</v>
      </c>
      <c r="B517" s="11" t="n">
        <f aca="false">MOD(ROW()-9,24)</f>
        <v>4</v>
      </c>
      <c r="C517" s="12"/>
      <c r="D517" s="13" t="n">
        <f aca="false">IF(B517&lt;5,Einstellungen!$B$3,Einstellungen!$B$4)</f>
        <v>15.92</v>
      </c>
      <c r="E517" s="14" t="str">
        <f aca="false">IF(C517="","",C517*D517/100)</f>
        <v/>
      </c>
      <c r="F517" s="15" t="str">
        <f aca="false">IF(B517&lt;5,"Go","Standard")</f>
        <v>Go</v>
      </c>
    </row>
    <row r="518" customFormat="false" ht="15" hidden="false" customHeight="true" outlineLevel="0" collapsed="false">
      <c r="A518" s="10" t="n">
        <f aca="false">Einstellungen!$B$5+INT((ROW()-9)/24)</f>
        <v>45987</v>
      </c>
      <c r="B518" s="11" t="n">
        <f aca="false">MOD(ROW()-9,24)</f>
        <v>5</v>
      </c>
      <c r="C518" s="12"/>
      <c r="D518" s="13" t="n">
        <f aca="false">IF(B518&lt;5,Einstellungen!$B$3,Einstellungen!$B$4)</f>
        <v>29.13</v>
      </c>
      <c r="E518" s="14" t="str">
        <f aca="false">IF(C518="","",C518*D518/100)</f>
        <v/>
      </c>
      <c r="F518" s="15" t="str">
        <f aca="false">IF(B518&lt;5,"Go","Standard")</f>
        <v>Standard</v>
      </c>
    </row>
    <row r="519" customFormat="false" ht="15" hidden="false" customHeight="true" outlineLevel="0" collapsed="false">
      <c r="A519" s="10" t="n">
        <f aca="false">Einstellungen!$B$5+INT((ROW()-9)/24)</f>
        <v>45987</v>
      </c>
      <c r="B519" s="11" t="n">
        <f aca="false">MOD(ROW()-9,24)</f>
        <v>6</v>
      </c>
      <c r="C519" s="12"/>
      <c r="D519" s="13" t="n">
        <f aca="false">IF(B519&lt;5,Einstellungen!$B$3,Einstellungen!$B$4)</f>
        <v>29.13</v>
      </c>
      <c r="E519" s="14" t="str">
        <f aca="false">IF(C519="","",C519*D519/100)</f>
        <v/>
      </c>
      <c r="F519" s="15" t="str">
        <f aca="false">IF(B519&lt;5,"Go","Standard")</f>
        <v>Standard</v>
      </c>
    </row>
    <row r="520" customFormat="false" ht="15" hidden="false" customHeight="true" outlineLevel="0" collapsed="false">
      <c r="A520" s="10" t="n">
        <f aca="false">Einstellungen!$B$5+INT((ROW()-9)/24)</f>
        <v>45987</v>
      </c>
      <c r="B520" s="11" t="n">
        <f aca="false">MOD(ROW()-9,24)</f>
        <v>7</v>
      </c>
      <c r="C520" s="12"/>
      <c r="D520" s="13" t="n">
        <f aca="false">IF(B520&lt;5,Einstellungen!$B$3,Einstellungen!$B$4)</f>
        <v>29.13</v>
      </c>
      <c r="E520" s="14" t="str">
        <f aca="false">IF(C520="","",C520*D520/100)</f>
        <v/>
      </c>
      <c r="F520" s="15" t="str">
        <f aca="false">IF(B520&lt;5,"Go","Standard")</f>
        <v>Standard</v>
      </c>
    </row>
    <row r="521" customFormat="false" ht="15" hidden="false" customHeight="true" outlineLevel="0" collapsed="false">
      <c r="A521" s="10" t="n">
        <f aca="false">Einstellungen!$B$5+INT((ROW()-9)/24)</f>
        <v>45987</v>
      </c>
      <c r="B521" s="11" t="n">
        <f aca="false">MOD(ROW()-9,24)</f>
        <v>8</v>
      </c>
      <c r="C521" s="12"/>
      <c r="D521" s="13" t="n">
        <f aca="false">IF(B521&lt;5,Einstellungen!$B$3,Einstellungen!$B$4)</f>
        <v>29.13</v>
      </c>
      <c r="E521" s="14" t="str">
        <f aca="false">IF(C521="","",C521*D521/100)</f>
        <v/>
      </c>
      <c r="F521" s="15" t="str">
        <f aca="false">IF(B521&lt;5,"Go","Standard")</f>
        <v>Standard</v>
      </c>
    </row>
    <row r="522" customFormat="false" ht="15" hidden="false" customHeight="true" outlineLevel="0" collapsed="false">
      <c r="A522" s="10" t="n">
        <f aca="false">Einstellungen!$B$5+INT((ROW()-9)/24)</f>
        <v>45987</v>
      </c>
      <c r="B522" s="11" t="n">
        <f aca="false">MOD(ROW()-9,24)</f>
        <v>9</v>
      </c>
      <c r="C522" s="12"/>
      <c r="D522" s="13" t="n">
        <f aca="false">IF(B522&lt;5,Einstellungen!$B$3,Einstellungen!$B$4)</f>
        <v>29.13</v>
      </c>
      <c r="E522" s="14" t="str">
        <f aca="false">IF(C522="","",C522*D522/100)</f>
        <v/>
      </c>
      <c r="F522" s="15" t="str">
        <f aca="false">IF(B522&lt;5,"Go","Standard")</f>
        <v>Standard</v>
      </c>
    </row>
    <row r="523" customFormat="false" ht="15" hidden="false" customHeight="true" outlineLevel="0" collapsed="false">
      <c r="A523" s="10" t="n">
        <f aca="false">Einstellungen!$B$5+INT((ROW()-9)/24)</f>
        <v>45987</v>
      </c>
      <c r="B523" s="11" t="n">
        <f aca="false">MOD(ROW()-9,24)</f>
        <v>10</v>
      </c>
      <c r="C523" s="12"/>
      <c r="D523" s="13" t="n">
        <f aca="false">IF(B523&lt;5,Einstellungen!$B$3,Einstellungen!$B$4)</f>
        <v>29.13</v>
      </c>
      <c r="E523" s="14" t="str">
        <f aca="false">IF(C523="","",C523*D523/100)</f>
        <v/>
      </c>
      <c r="F523" s="15" t="str">
        <f aca="false">IF(B523&lt;5,"Go","Standard")</f>
        <v>Standard</v>
      </c>
    </row>
    <row r="524" customFormat="false" ht="15" hidden="false" customHeight="true" outlineLevel="0" collapsed="false">
      <c r="A524" s="10" t="n">
        <f aca="false">Einstellungen!$B$5+INT((ROW()-9)/24)</f>
        <v>45987</v>
      </c>
      <c r="B524" s="11" t="n">
        <f aca="false">MOD(ROW()-9,24)</f>
        <v>11</v>
      </c>
      <c r="C524" s="12"/>
      <c r="D524" s="13" t="n">
        <f aca="false">IF(B524&lt;5,Einstellungen!$B$3,Einstellungen!$B$4)</f>
        <v>29.13</v>
      </c>
      <c r="E524" s="14" t="str">
        <f aca="false">IF(C524="","",C524*D524/100)</f>
        <v/>
      </c>
      <c r="F524" s="15" t="str">
        <f aca="false">IF(B524&lt;5,"Go","Standard")</f>
        <v>Standard</v>
      </c>
    </row>
    <row r="525" customFormat="false" ht="15" hidden="false" customHeight="true" outlineLevel="0" collapsed="false">
      <c r="A525" s="10" t="n">
        <f aca="false">Einstellungen!$B$5+INT((ROW()-9)/24)</f>
        <v>45987</v>
      </c>
      <c r="B525" s="11" t="n">
        <f aca="false">MOD(ROW()-9,24)</f>
        <v>12</v>
      </c>
      <c r="C525" s="12"/>
      <c r="D525" s="13" t="n">
        <f aca="false">IF(B525&lt;5,Einstellungen!$B$3,Einstellungen!$B$4)</f>
        <v>29.13</v>
      </c>
      <c r="E525" s="14" t="str">
        <f aca="false">IF(C525="","",C525*D525/100)</f>
        <v/>
      </c>
      <c r="F525" s="15" t="str">
        <f aca="false">IF(B525&lt;5,"Go","Standard")</f>
        <v>Standard</v>
      </c>
    </row>
    <row r="526" customFormat="false" ht="15" hidden="false" customHeight="true" outlineLevel="0" collapsed="false">
      <c r="A526" s="10" t="n">
        <f aca="false">Einstellungen!$B$5+INT((ROW()-9)/24)</f>
        <v>45987</v>
      </c>
      <c r="B526" s="11" t="n">
        <f aca="false">MOD(ROW()-9,24)</f>
        <v>13</v>
      </c>
      <c r="C526" s="12"/>
      <c r="D526" s="13" t="n">
        <f aca="false">IF(B526&lt;5,Einstellungen!$B$3,Einstellungen!$B$4)</f>
        <v>29.13</v>
      </c>
      <c r="E526" s="14" t="str">
        <f aca="false">IF(C526="","",C526*D526/100)</f>
        <v/>
      </c>
      <c r="F526" s="15" t="str">
        <f aca="false">IF(B526&lt;5,"Go","Standard")</f>
        <v>Standard</v>
      </c>
    </row>
    <row r="527" customFormat="false" ht="15" hidden="false" customHeight="true" outlineLevel="0" collapsed="false">
      <c r="A527" s="10" t="n">
        <f aca="false">Einstellungen!$B$5+INT((ROW()-9)/24)</f>
        <v>45987</v>
      </c>
      <c r="B527" s="11" t="n">
        <f aca="false">MOD(ROW()-9,24)</f>
        <v>14</v>
      </c>
      <c r="C527" s="12"/>
      <c r="D527" s="13" t="n">
        <f aca="false">IF(B527&lt;5,Einstellungen!$B$3,Einstellungen!$B$4)</f>
        <v>29.13</v>
      </c>
      <c r="E527" s="14" t="str">
        <f aca="false">IF(C527="","",C527*D527/100)</f>
        <v/>
      </c>
      <c r="F527" s="15" t="str">
        <f aca="false">IF(B527&lt;5,"Go","Standard")</f>
        <v>Standard</v>
      </c>
    </row>
    <row r="528" customFormat="false" ht="15" hidden="false" customHeight="true" outlineLevel="0" collapsed="false">
      <c r="A528" s="10" t="n">
        <f aca="false">Einstellungen!$B$5+INT((ROW()-9)/24)</f>
        <v>45987</v>
      </c>
      <c r="B528" s="11" t="n">
        <f aca="false">MOD(ROW()-9,24)</f>
        <v>15</v>
      </c>
      <c r="C528" s="12"/>
      <c r="D528" s="13" t="n">
        <f aca="false">IF(B528&lt;5,Einstellungen!$B$3,Einstellungen!$B$4)</f>
        <v>29.13</v>
      </c>
      <c r="E528" s="14" t="str">
        <f aca="false">IF(C528="","",C528*D528/100)</f>
        <v/>
      </c>
      <c r="F528" s="15" t="str">
        <f aca="false">IF(B528&lt;5,"Go","Standard")</f>
        <v>Standard</v>
      </c>
    </row>
    <row r="529" customFormat="false" ht="15" hidden="false" customHeight="true" outlineLevel="0" collapsed="false">
      <c r="A529" s="10" t="n">
        <f aca="false">Einstellungen!$B$5+INT((ROW()-9)/24)</f>
        <v>45987</v>
      </c>
      <c r="B529" s="11" t="n">
        <f aca="false">MOD(ROW()-9,24)</f>
        <v>16</v>
      </c>
      <c r="C529" s="12"/>
      <c r="D529" s="13" t="n">
        <f aca="false">IF(B529&lt;5,Einstellungen!$B$3,Einstellungen!$B$4)</f>
        <v>29.13</v>
      </c>
      <c r="E529" s="14" t="str">
        <f aca="false">IF(C529="","",C529*D529/100)</f>
        <v/>
      </c>
      <c r="F529" s="15" t="str">
        <f aca="false">IF(B529&lt;5,"Go","Standard")</f>
        <v>Standard</v>
      </c>
    </row>
    <row r="530" customFormat="false" ht="15" hidden="false" customHeight="true" outlineLevel="0" collapsed="false">
      <c r="A530" s="10" t="n">
        <f aca="false">Einstellungen!$B$5+INT((ROW()-9)/24)</f>
        <v>45987</v>
      </c>
      <c r="B530" s="11" t="n">
        <f aca="false">MOD(ROW()-9,24)</f>
        <v>17</v>
      </c>
      <c r="C530" s="12"/>
      <c r="D530" s="13" t="n">
        <f aca="false">IF(B530&lt;5,Einstellungen!$B$3,Einstellungen!$B$4)</f>
        <v>29.13</v>
      </c>
      <c r="E530" s="14" t="str">
        <f aca="false">IF(C530="","",C530*D530/100)</f>
        <v/>
      </c>
      <c r="F530" s="15" t="str">
        <f aca="false">IF(B530&lt;5,"Go","Standard")</f>
        <v>Standard</v>
      </c>
    </row>
    <row r="531" customFormat="false" ht="15" hidden="false" customHeight="true" outlineLevel="0" collapsed="false">
      <c r="A531" s="10" t="n">
        <f aca="false">Einstellungen!$B$5+INT((ROW()-9)/24)</f>
        <v>45987</v>
      </c>
      <c r="B531" s="11" t="n">
        <f aca="false">MOD(ROW()-9,24)</f>
        <v>18</v>
      </c>
      <c r="C531" s="12"/>
      <c r="D531" s="13" t="n">
        <f aca="false">IF(B531&lt;5,Einstellungen!$B$3,Einstellungen!$B$4)</f>
        <v>29.13</v>
      </c>
      <c r="E531" s="14" t="str">
        <f aca="false">IF(C531="","",C531*D531/100)</f>
        <v/>
      </c>
      <c r="F531" s="15" t="str">
        <f aca="false">IF(B531&lt;5,"Go","Standard")</f>
        <v>Standard</v>
      </c>
    </row>
    <row r="532" customFormat="false" ht="15" hidden="false" customHeight="true" outlineLevel="0" collapsed="false">
      <c r="A532" s="10" t="n">
        <f aca="false">Einstellungen!$B$5+INT((ROW()-9)/24)</f>
        <v>45987</v>
      </c>
      <c r="B532" s="11" t="n">
        <f aca="false">MOD(ROW()-9,24)</f>
        <v>19</v>
      </c>
      <c r="C532" s="12"/>
      <c r="D532" s="13" t="n">
        <f aca="false">IF(B532&lt;5,Einstellungen!$B$3,Einstellungen!$B$4)</f>
        <v>29.13</v>
      </c>
      <c r="E532" s="14" t="str">
        <f aca="false">IF(C532="","",C532*D532/100)</f>
        <v/>
      </c>
      <c r="F532" s="15" t="str">
        <f aca="false">IF(B532&lt;5,"Go","Standard")</f>
        <v>Standard</v>
      </c>
    </row>
    <row r="533" customFormat="false" ht="15" hidden="false" customHeight="true" outlineLevel="0" collapsed="false">
      <c r="A533" s="10" t="n">
        <f aca="false">Einstellungen!$B$5+INT((ROW()-9)/24)</f>
        <v>45987</v>
      </c>
      <c r="B533" s="11" t="n">
        <f aca="false">MOD(ROW()-9,24)</f>
        <v>20</v>
      </c>
      <c r="C533" s="12"/>
      <c r="D533" s="13" t="n">
        <f aca="false">IF(B533&lt;5,Einstellungen!$B$3,Einstellungen!$B$4)</f>
        <v>29.13</v>
      </c>
      <c r="E533" s="14" t="str">
        <f aca="false">IF(C533="","",C533*D533/100)</f>
        <v/>
      </c>
      <c r="F533" s="15" t="str">
        <f aca="false">IF(B533&lt;5,"Go","Standard")</f>
        <v>Standard</v>
      </c>
    </row>
    <row r="534" customFormat="false" ht="15" hidden="false" customHeight="true" outlineLevel="0" collapsed="false">
      <c r="A534" s="10" t="n">
        <f aca="false">Einstellungen!$B$5+INT((ROW()-9)/24)</f>
        <v>45987</v>
      </c>
      <c r="B534" s="11" t="n">
        <f aca="false">MOD(ROW()-9,24)</f>
        <v>21</v>
      </c>
      <c r="C534" s="12"/>
      <c r="D534" s="13" t="n">
        <f aca="false">IF(B534&lt;5,Einstellungen!$B$3,Einstellungen!$B$4)</f>
        <v>29.13</v>
      </c>
      <c r="E534" s="14" t="str">
        <f aca="false">IF(C534="","",C534*D534/100)</f>
        <v/>
      </c>
      <c r="F534" s="15" t="str">
        <f aca="false">IF(B534&lt;5,"Go","Standard")</f>
        <v>Standard</v>
      </c>
    </row>
    <row r="535" customFormat="false" ht="15" hidden="false" customHeight="true" outlineLevel="0" collapsed="false">
      <c r="A535" s="10" t="n">
        <f aca="false">Einstellungen!$B$5+INT((ROW()-9)/24)</f>
        <v>45987</v>
      </c>
      <c r="B535" s="11" t="n">
        <f aca="false">MOD(ROW()-9,24)</f>
        <v>22</v>
      </c>
      <c r="C535" s="12"/>
      <c r="D535" s="13" t="n">
        <f aca="false">IF(B535&lt;5,Einstellungen!$B$3,Einstellungen!$B$4)</f>
        <v>29.13</v>
      </c>
      <c r="E535" s="14" t="str">
        <f aca="false">IF(C535="","",C535*D535/100)</f>
        <v/>
      </c>
      <c r="F535" s="15" t="str">
        <f aca="false">IF(B535&lt;5,"Go","Standard")</f>
        <v>Standard</v>
      </c>
    </row>
    <row r="536" customFormat="false" ht="15" hidden="false" customHeight="true" outlineLevel="0" collapsed="false">
      <c r="A536" s="10" t="n">
        <f aca="false">Einstellungen!$B$5+INT((ROW()-9)/24)</f>
        <v>45987</v>
      </c>
      <c r="B536" s="11" t="n">
        <f aca="false">MOD(ROW()-9,24)</f>
        <v>23</v>
      </c>
      <c r="C536" s="12"/>
      <c r="D536" s="13" t="n">
        <f aca="false">IF(B536&lt;5,Einstellungen!$B$3,Einstellungen!$B$4)</f>
        <v>29.13</v>
      </c>
      <c r="E536" s="14" t="str">
        <f aca="false">IF(C536="","",C536*D536/100)</f>
        <v/>
      </c>
      <c r="F536" s="15" t="str">
        <f aca="false">IF(B536&lt;5,"Go","Standard")</f>
        <v>Standard</v>
      </c>
    </row>
    <row r="537" customFormat="false" ht="15" hidden="false" customHeight="true" outlineLevel="0" collapsed="false">
      <c r="A537" s="10" t="n">
        <f aca="false">Einstellungen!$B$5+INT((ROW()-9)/24)</f>
        <v>45988</v>
      </c>
      <c r="B537" s="11" t="n">
        <f aca="false">MOD(ROW()-9,24)</f>
        <v>0</v>
      </c>
      <c r="C537" s="12"/>
      <c r="D537" s="13" t="n">
        <f aca="false">IF(B537&lt;5,Einstellungen!$B$3,Einstellungen!$B$4)</f>
        <v>15.92</v>
      </c>
      <c r="E537" s="14" t="str">
        <f aca="false">IF(C537="","",C537*D537/100)</f>
        <v/>
      </c>
      <c r="F537" s="15" t="str">
        <f aca="false">IF(B537&lt;5,"Go","Standard")</f>
        <v>Go</v>
      </c>
    </row>
    <row r="538" customFormat="false" ht="15" hidden="false" customHeight="true" outlineLevel="0" collapsed="false">
      <c r="A538" s="10" t="n">
        <f aca="false">Einstellungen!$B$5+INT((ROW()-9)/24)</f>
        <v>45988</v>
      </c>
      <c r="B538" s="11" t="n">
        <f aca="false">MOD(ROW()-9,24)</f>
        <v>1</v>
      </c>
      <c r="C538" s="12"/>
      <c r="D538" s="13" t="n">
        <f aca="false">IF(B538&lt;5,Einstellungen!$B$3,Einstellungen!$B$4)</f>
        <v>15.92</v>
      </c>
      <c r="E538" s="14" t="str">
        <f aca="false">IF(C538="","",C538*D538/100)</f>
        <v/>
      </c>
      <c r="F538" s="15" t="str">
        <f aca="false">IF(B538&lt;5,"Go","Standard")</f>
        <v>Go</v>
      </c>
    </row>
    <row r="539" customFormat="false" ht="15" hidden="false" customHeight="true" outlineLevel="0" collapsed="false">
      <c r="A539" s="10" t="n">
        <f aca="false">Einstellungen!$B$5+INT((ROW()-9)/24)</f>
        <v>45988</v>
      </c>
      <c r="B539" s="11" t="n">
        <f aca="false">MOD(ROW()-9,24)</f>
        <v>2</v>
      </c>
      <c r="C539" s="12"/>
      <c r="D539" s="13" t="n">
        <f aca="false">IF(B539&lt;5,Einstellungen!$B$3,Einstellungen!$B$4)</f>
        <v>15.92</v>
      </c>
      <c r="E539" s="14" t="str">
        <f aca="false">IF(C539="","",C539*D539/100)</f>
        <v/>
      </c>
      <c r="F539" s="15" t="str">
        <f aca="false">IF(B539&lt;5,"Go","Standard")</f>
        <v>Go</v>
      </c>
    </row>
    <row r="540" customFormat="false" ht="15" hidden="false" customHeight="true" outlineLevel="0" collapsed="false">
      <c r="A540" s="10" t="n">
        <f aca="false">Einstellungen!$B$5+INT((ROW()-9)/24)</f>
        <v>45988</v>
      </c>
      <c r="B540" s="11" t="n">
        <f aca="false">MOD(ROW()-9,24)</f>
        <v>3</v>
      </c>
      <c r="C540" s="12"/>
      <c r="D540" s="13" t="n">
        <f aca="false">IF(B540&lt;5,Einstellungen!$B$3,Einstellungen!$B$4)</f>
        <v>15.92</v>
      </c>
      <c r="E540" s="14" t="str">
        <f aca="false">IF(C540="","",C540*D540/100)</f>
        <v/>
      </c>
      <c r="F540" s="15" t="str">
        <f aca="false">IF(B540&lt;5,"Go","Standard")</f>
        <v>Go</v>
      </c>
    </row>
    <row r="541" customFormat="false" ht="15" hidden="false" customHeight="true" outlineLevel="0" collapsed="false">
      <c r="A541" s="10" t="n">
        <f aca="false">Einstellungen!$B$5+INT((ROW()-9)/24)</f>
        <v>45988</v>
      </c>
      <c r="B541" s="11" t="n">
        <f aca="false">MOD(ROW()-9,24)</f>
        <v>4</v>
      </c>
      <c r="C541" s="12"/>
      <c r="D541" s="13" t="n">
        <f aca="false">IF(B541&lt;5,Einstellungen!$B$3,Einstellungen!$B$4)</f>
        <v>15.92</v>
      </c>
      <c r="E541" s="14" t="str">
        <f aca="false">IF(C541="","",C541*D541/100)</f>
        <v/>
      </c>
      <c r="F541" s="15" t="str">
        <f aca="false">IF(B541&lt;5,"Go","Standard")</f>
        <v>Go</v>
      </c>
    </row>
    <row r="542" customFormat="false" ht="15" hidden="false" customHeight="true" outlineLevel="0" collapsed="false">
      <c r="A542" s="10" t="n">
        <f aca="false">Einstellungen!$B$5+INT((ROW()-9)/24)</f>
        <v>45988</v>
      </c>
      <c r="B542" s="11" t="n">
        <f aca="false">MOD(ROW()-9,24)</f>
        <v>5</v>
      </c>
      <c r="C542" s="12"/>
      <c r="D542" s="13" t="n">
        <f aca="false">IF(B542&lt;5,Einstellungen!$B$3,Einstellungen!$B$4)</f>
        <v>29.13</v>
      </c>
      <c r="E542" s="14" t="str">
        <f aca="false">IF(C542="","",C542*D542/100)</f>
        <v/>
      </c>
      <c r="F542" s="15" t="str">
        <f aca="false">IF(B542&lt;5,"Go","Standard")</f>
        <v>Standard</v>
      </c>
    </row>
    <row r="543" customFormat="false" ht="15" hidden="false" customHeight="true" outlineLevel="0" collapsed="false">
      <c r="A543" s="10" t="n">
        <f aca="false">Einstellungen!$B$5+INT((ROW()-9)/24)</f>
        <v>45988</v>
      </c>
      <c r="B543" s="11" t="n">
        <f aca="false">MOD(ROW()-9,24)</f>
        <v>6</v>
      </c>
      <c r="C543" s="12"/>
      <c r="D543" s="13" t="n">
        <f aca="false">IF(B543&lt;5,Einstellungen!$B$3,Einstellungen!$B$4)</f>
        <v>29.13</v>
      </c>
      <c r="E543" s="14" t="str">
        <f aca="false">IF(C543="","",C543*D543/100)</f>
        <v/>
      </c>
      <c r="F543" s="15" t="str">
        <f aca="false">IF(B543&lt;5,"Go","Standard")</f>
        <v>Standard</v>
      </c>
    </row>
    <row r="544" customFormat="false" ht="15" hidden="false" customHeight="true" outlineLevel="0" collapsed="false">
      <c r="A544" s="10" t="n">
        <f aca="false">Einstellungen!$B$5+INT((ROW()-9)/24)</f>
        <v>45988</v>
      </c>
      <c r="B544" s="11" t="n">
        <f aca="false">MOD(ROW()-9,24)</f>
        <v>7</v>
      </c>
      <c r="C544" s="12"/>
      <c r="D544" s="13" t="n">
        <f aca="false">IF(B544&lt;5,Einstellungen!$B$3,Einstellungen!$B$4)</f>
        <v>29.13</v>
      </c>
      <c r="E544" s="14" t="str">
        <f aca="false">IF(C544="","",C544*D544/100)</f>
        <v/>
      </c>
      <c r="F544" s="15" t="str">
        <f aca="false">IF(B544&lt;5,"Go","Standard")</f>
        <v>Standard</v>
      </c>
    </row>
    <row r="545" customFormat="false" ht="15" hidden="false" customHeight="true" outlineLevel="0" collapsed="false">
      <c r="A545" s="10" t="n">
        <f aca="false">Einstellungen!$B$5+INT((ROW()-9)/24)</f>
        <v>45988</v>
      </c>
      <c r="B545" s="11" t="n">
        <f aca="false">MOD(ROW()-9,24)</f>
        <v>8</v>
      </c>
      <c r="C545" s="12"/>
      <c r="D545" s="13" t="n">
        <f aca="false">IF(B545&lt;5,Einstellungen!$B$3,Einstellungen!$B$4)</f>
        <v>29.13</v>
      </c>
      <c r="E545" s="14" t="str">
        <f aca="false">IF(C545="","",C545*D545/100)</f>
        <v/>
      </c>
      <c r="F545" s="15" t="str">
        <f aca="false">IF(B545&lt;5,"Go","Standard")</f>
        <v>Standard</v>
      </c>
    </row>
    <row r="546" customFormat="false" ht="15" hidden="false" customHeight="true" outlineLevel="0" collapsed="false">
      <c r="A546" s="10" t="n">
        <f aca="false">Einstellungen!$B$5+INT((ROW()-9)/24)</f>
        <v>45988</v>
      </c>
      <c r="B546" s="11" t="n">
        <f aca="false">MOD(ROW()-9,24)</f>
        <v>9</v>
      </c>
      <c r="C546" s="12"/>
      <c r="D546" s="13" t="n">
        <f aca="false">IF(B546&lt;5,Einstellungen!$B$3,Einstellungen!$B$4)</f>
        <v>29.13</v>
      </c>
      <c r="E546" s="14" t="str">
        <f aca="false">IF(C546="","",C546*D546/100)</f>
        <v/>
      </c>
      <c r="F546" s="15" t="str">
        <f aca="false">IF(B546&lt;5,"Go","Standard")</f>
        <v>Standard</v>
      </c>
    </row>
    <row r="547" customFormat="false" ht="15" hidden="false" customHeight="true" outlineLevel="0" collapsed="false">
      <c r="A547" s="10" t="n">
        <f aca="false">Einstellungen!$B$5+INT((ROW()-9)/24)</f>
        <v>45988</v>
      </c>
      <c r="B547" s="11" t="n">
        <f aca="false">MOD(ROW()-9,24)</f>
        <v>10</v>
      </c>
      <c r="C547" s="12"/>
      <c r="D547" s="13" t="n">
        <f aca="false">IF(B547&lt;5,Einstellungen!$B$3,Einstellungen!$B$4)</f>
        <v>29.13</v>
      </c>
      <c r="E547" s="14" t="str">
        <f aca="false">IF(C547="","",C547*D547/100)</f>
        <v/>
      </c>
      <c r="F547" s="15" t="str">
        <f aca="false">IF(B547&lt;5,"Go","Standard")</f>
        <v>Standard</v>
      </c>
    </row>
    <row r="548" customFormat="false" ht="15" hidden="false" customHeight="true" outlineLevel="0" collapsed="false">
      <c r="A548" s="10" t="n">
        <f aca="false">Einstellungen!$B$5+INT((ROW()-9)/24)</f>
        <v>45988</v>
      </c>
      <c r="B548" s="11" t="n">
        <f aca="false">MOD(ROW()-9,24)</f>
        <v>11</v>
      </c>
      <c r="C548" s="12"/>
      <c r="D548" s="13" t="n">
        <f aca="false">IF(B548&lt;5,Einstellungen!$B$3,Einstellungen!$B$4)</f>
        <v>29.13</v>
      </c>
      <c r="E548" s="14" t="str">
        <f aca="false">IF(C548="","",C548*D548/100)</f>
        <v/>
      </c>
      <c r="F548" s="15" t="str">
        <f aca="false">IF(B548&lt;5,"Go","Standard")</f>
        <v>Standard</v>
      </c>
    </row>
    <row r="549" customFormat="false" ht="15" hidden="false" customHeight="true" outlineLevel="0" collapsed="false">
      <c r="A549" s="10" t="n">
        <f aca="false">Einstellungen!$B$5+INT((ROW()-9)/24)</f>
        <v>45988</v>
      </c>
      <c r="B549" s="11" t="n">
        <f aca="false">MOD(ROW()-9,24)</f>
        <v>12</v>
      </c>
      <c r="C549" s="12"/>
      <c r="D549" s="13" t="n">
        <f aca="false">IF(B549&lt;5,Einstellungen!$B$3,Einstellungen!$B$4)</f>
        <v>29.13</v>
      </c>
      <c r="E549" s="14" t="str">
        <f aca="false">IF(C549="","",C549*D549/100)</f>
        <v/>
      </c>
      <c r="F549" s="15" t="str">
        <f aca="false">IF(B549&lt;5,"Go","Standard")</f>
        <v>Standard</v>
      </c>
    </row>
    <row r="550" customFormat="false" ht="15" hidden="false" customHeight="true" outlineLevel="0" collapsed="false">
      <c r="A550" s="10" t="n">
        <f aca="false">Einstellungen!$B$5+INT((ROW()-9)/24)</f>
        <v>45988</v>
      </c>
      <c r="B550" s="11" t="n">
        <f aca="false">MOD(ROW()-9,24)</f>
        <v>13</v>
      </c>
      <c r="C550" s="12"/>
      <c r="D550" s="13" t="n">
        <f aca="false">IF(B550&lt;5,Einstellungen!$B$3,Einstellungen!$B$4)</f>
        <v>29.13</v>
      </c>
      <c r="E550" s="14" t="str">
        <f aca="false">IF(C550="","",C550*D550/100)</f>
        <v/>
      </c>
      <c r="F550" s="15" t="str">
        <f aca="false">IF(B550&lt;5,"Go","Standard")</f>
        <v>Standard</v>
      </c>
    </row>
    <row r="551" customFormat="false" ht="15" hidden="false" customHeight="true" outlineLevel="0" collapsed="false">
      <c r="A551" s="10" t="n">
        <f aca="false">Einstellungen!$B$5+INT((ROW()-9)/24)</f>
        <v>45988</v>
      </c>
      <c r="B551" s="11" t="n">
        <f aca="false">MOD(ROW()-9,24)</f>
        <v>14</v>
      </c>
      <c r="C551" s="12"/>
      <c r="D551" s="13" t="n">
        <f aca="false">IF(B551&lt;5,Einstellungen!$B$3,Einstellungen!$B$4)</f>
        <v>29.13</v>
      </c>
      <c r="E551" s="14" t="str">
        <f aca="false">IF(C551="","",C551*D551/100)</f>
        <v/>
      </c>
      <c r="F551" s="15" t="str">
        <f aca="false">IF(B551&lt;5,"Go","Standard")</f>
        <v>Standard</v>
      </c>
    </row>
    <row r="552" customFormat="false" ht="15" hidden="false" customHeight="true" outlineLevel="0" collapsed="false">
      <c r="A552" s="10" t="n">
        <f aca="false">Einstellungen!$B$5+INT((ROW()-9)/24)</f>
        <v>45988</v>
      </c>
      <c r="B552" s="11" t="n">
        <f aca="false">MOD(ROW()-9,24)</f>
        <v>15</v>
      </c>
      <c r="C552" s="12"/>
      <c r="D552" s="13" t="n">
        <f aca="false">IF(B552&lt;5,Einstellungen!$B$3,Einstellungen!$B$4)</f>
        <v>29.13</v>
      </c>
      <c r="E552" s="14" t="str">
        <f aca="false">IF(C552="","",C552*D552/100)</f>
        <v/>
      </c>
      <c r="F552" s="15" t="str">
        <f aca="false">IF(B552&lt;5,"Go","Standard")</f>
        <v>Standard</v>
      </c>
    </row>
    <row r="553" customFormat="false" ht="15" hidden="false" customHeight="true" outlineLevel="0" collapsed="false">
      <c r="A553" s="10" t="n">
        <f aca="false">Einstellungen!$B$5+INT((ROW()-9)/24)</f>
        <v>45988</v>
      </c>
      <c r="B553" s="11" t="n">
        <f aca="false">MOD(ROW()-9,24)</f>
        <v>16</v>
      </c>
      <c r="C553" s="12"/>
      <c r="D553" s="13" t="n">
        <f aca="false">IF(B553&lt;5,Einstellungen!$B$3,Einstellungen!$B$4)</f>
        <v>29.13</v>
      </c>
      <c r="E553" s="14" t="str">
        <f aca="false">IF(C553="","",C553*D553/100)</f>
        <v/>
      </c>
      <c r="F553" s="15" t="str">
        <f aca="false">IF(B553&lt;5,"Go","Standard")</f>
        <v>Standard</v>
      </c>
    </row>
    <row r="554" customFormat="false" ht="15" hidden="false" customHeight="true" outlineLevel="0" collapsed="false">
      <c r="A554" s="10" t="n">
        <f aca="false">Einstellungen!$B$5+INT((ROW()-9)/24)</f>
        <v>45988</v>
      </c>
      <c r="B554" s="11" t="n">
        <f aca="false">MOD(ROW()-9,24)</f>
        <v>17</v>
      </c>
      <c r="C554" s="12"/>
      <c r="D554" s="13" t="n">
        <f aca="false">IF(B554&lt;5,Einstellungen!$B$3,Einstellungen!$B$4)</f>
        <v>29.13</v>
      </c>
      <c r="E554" s="14" t="str">
        <f aca="false">IF(C554="","",C554*D554/100)</f>
        <v/>
      </c>
      <c r="F554" s="15" t="str">
        <f aca="false">IF(B554&lt;5,"Go","Standard")</f>
        <v>Standard</v>
      </c>
    </row>
    <row r="555" customFormat="false" ht="15" hidden="false" customHeight="true" outlineLevel="0" collapsed="false">
      <c r="A555" s="10" t="n">
        <f aca="false">Einstellungen!$B$5+INT((ROW()-9)/24)</f>
        <v>45988</v>
      </c>
      <c r="B555" s="11" t="n">
        <f aca="false">MOD(ROW()-9,24)</f>
        <v>18</v>
      </c>
      <c r="C555" s="12"/>
      <c r="D555" s="13" t="n">
        <f aca="false">IF(B555&lt;5,Einstellungen!$B$3,Einstellungen!$B$4)</f>
        <v>29.13</v>
      </c>
      <c r="E555" s="14" t="str">
        <f aca="false">IF(C555="","",C555*D555/100)</f>
        <v/>
      </c>
      <c r="F555" s="15" t="str">
        <f aca="false">IF(B555&lt;5,"Go","Standard")</f>
        <v>Standard</v>
      </c>
    </row>
    <row r="556" customFormat="false" ht="15" hidden="false" customHeight="true" outlineLevel="0" collapsed="false">
      <c r="A556" s="10" t="n">
        <f aca="false">Einstellungen!$B$5+INT((ROW()-9)/24)</f>
        <v>45988</v>
      </c>
      <c r="B556" s="11" t="n">
        <f aca="false">MOD(ROW()-9,24)</f>
        <v>19</v>
      </c>
      <c r="C556" s="12"/>
      <c r="D556" s="13" t="n">
        <f aca="false">IF(B556&lt;5,Einstellungen!$B$3,Einstellungen!$B$4)</f>
        <v>29.13</v>
      </c>
      <c r="E556" s="14" t="str">
        <f aca="false">IF(C556="","",C556*D556/100)</f>
        <v/>
      </c>
      <c r="F556" s="15" t="str">
        <f aca="false">IF(B556&lt;5,"Go","Standard")</f>
        <v>Standard</v>
      </c>
    </row>
    <row r="557" customFormat="false" ht="15" hidden="false" customHeight="true" outlineLevel="0" collapsed="false">
      <c r="A557" s="10" t="n">
        <f aca="false">Einstellungen!$B$5+INT((ROW()-9)/24)</f>
        <v>45988</v>
      </c>
      <c r="B557" s="11" t="n">
        <f aca="false">MOD(ROW()-9,24)</f>
        <v>20</v>
      </c>
      <c r="C557" s="12"/>
      <c r="D557" s="13" t="n">
        <f aca="false">IF(B557&lt;5,Einstellungen!$B$3,Einstellungen!$B$4)</f>
        <v>29.13</v>
      </c>
      <c r="E557" s="14" t="str">
        <f aca="false">IF(C557="","",C557*D557/100)</f>
        <v/>
      </c>
      <c r="F557" s="15" t="str">
        <f aca="false">IF(B557&lt;5,"Go","Standard")</f>
        <v>Standard</v>
      </c>
    </row>
    <row r="558" customFormat="false" ht="15" hidden="false" customHeight="true" outlineLevel="0" collapsed="false">
      <c r="A558" s="10" t="n">
        <f aca="false">Einstellungen!$B$5+INT((ROW()-9)/24)</f>
        <v>45988</v>
      </c>
      <c r="B558" s="11" t="n">
        <f aca="false">MOD(ROW()-9,24)</f>
        <v>21</v>
      </c>
      <c r="C558" s="12"/>
      <c r="D558" s="13" t="n">
        <f aca="false">IF(B558&lt;5,Einstellungen!$B$3,Einstellungen!$B$4)</f>
        <v>29.13</v>
      </c>
      <c r="E558" s="14" t="str">
        <f aca="false">IF(C558="","",C558*D558/100)</f>
        <v/>
      </c>
      <c r="F558" s="15" t="str">
        <f aca="false">IF(B558&lt;5,"Go","Standard")</f>
        <v>Standard</v>
      </c>
    </row>
    <row r="559" customFormat="false" ht="15" hidden="false" customHeight="true" outlineLevel="0" collapsed="false">
      <c r="A559" s="10" t="n">
        <f aca="false">Einstellungen!$B$5+INT((ROW()-9)/24)</f>
        <v>45988</v>
      </c>
      <c r="B559" s="11" t="n">
        <f aca="false">MOD(ROW()-9,24)</f>
        <v>22</v>
      </c>
      <c r="C559" s="12"/>
      <c r="D559" s="13" t="n">
        <f aca="false">IF(B559&lt;5,Einstellungen!$B$3,Einstellungen!$B$4)</f>
        <v>29.13</v>
      </c>
      <c r="E559" s="14" t="str">
        <f aca="false">IF(C559="","",C559*D559/100)</f>
        <v/>
      </c>
      <c r="F559" s="15" t="str">
        <f aca="false">IF(B559&lt;5,"Go","Standard")</f>
        <v>Standard</v>
      </c>
    </row>
    <row r="560" customFormat="false" ht="15" hidden="false" customHeight="true" outlineLevel="0" collapsed="false">
      <c r="A560" s="10" t="n">
        <f aca="false">Einstellungen!$B$5+INT((ROW()-9)/24)</f>
        <v>45988</v>
      </c>
      <c r="B560" s="11" t="n">
        <f aca="false">MOD(ROW()-9,24)</f>
        <v>23</v>
      </c>
      <c r="C560" s="12"/>
      <c r="D560" s="13" t="n">
        <f aca="false">IF(B560&lt;5,Einstellungen!$B$3,Einstellungen!$B$4)</f>
        <v>29.13</v>
      </c>
      <c r="E560" s="14" t="str">
        <f aca="false">IF(C560="","",C560*D560/100)</f>
        <v/>
      </c>
      <c r="F560" s="15" t="str">
        <f aca="false">IF(B560&lt;5,"Go","Standard")</f>
        <v>Standard</v>
      </c>
    </row>
    <row r="561" customFormat="false" ht="15" hidden="false" customHeight="true" outlineLevel="0" collapsed="false">
      <c r="A561" s="10" t="n">
        <f aca="false">Einstellungen!$B$5+INT((ROW()-9)/24)</f>
        <v>45989</v>
      </c>
      <c r="B561" s="11" t="n">
        <f aca="false">MOD(ROW()-9,24)</f>
        <v>0</v>
      </c>
      <c r="C561" s="12"/>
      <c r="D561" s="13" t="n">
        <f aca="false">IF(B561&lt;5,Einstellungen!$B$3,Einstellungen!$B$4)</f>
        <v>15.92</v>
      </c>
      <c r="E561" s="14" t="str">
        <f aca="false">IF(C561="","",C561*D561/100)</f>
        <v/>
      </c>
      <c r="F561" s="15" t="str">
        <f aca="false">IF(B561&lt;5,"Go","Standard")</f>
        <v>Go</v>
      </c>
    </row>
    <row r="562" customFormat="false" ht="15" hidden="false" customHeight="true" outlineLevel="0" collapsed="false">
      <c r="A562" s="10" t="n">
        <f aca="false">Einstellungen!$B$5+INT((ROW()-9)/24)</f>
        <v>45989</v>
      </c>
      <c r="B562" s="11" t="n">
        <f aca="false">MOD(ROW()-9,24)</f>
        <v>1</v>
      </c>
      <c r="C562" s="12"/>
      <c r="D562" s="13" t="n">
        <f aca="false">IF(B562&lt;5,Einstellungen!$B$3,Einstellungen!$B$4)</f>
        <v>15.92</v>
      </c>
      <c r="E562" s="14" t="str">
        <f aca="false">IF(C562="","",C562*D562/100)</f>
        <v/>
      </c>
      <c r="F562" s="15" t="str">
        <f aca="false">IF(B562&lt;5,"Go","Standard")</f>
        <v>Go</v>
      </c>
    </row>
    <row r="563" customFormat="false" ht="15" hidden="false" customHeight="true" outlineLevel="0" collapsed="false">
      <c r="A563" s="10" t="n">
        <f aca="false">Einstellungen!$B$5+INT((ROW()-9)/24)</f>
        <v>45989</v>
      </c>
      <c r="B563" s="11" t="n">
        <f aca="false">MOD(ROW()-9,24)</f>
        <v>2</v>
      </c>
      <c r="C563" s="12"/>
      <c r="D563" s="13" t="n">
        <f aca="false">IF(B563&lt;5,Einstellungen!$B$3,Einstellungen!$B$4)</f>
        <v>15.92</v>
      </c>
      <c r="E563" s="14" t="str">
        <f aca="false">IF(C563="","",C563*D563/100)</f>
        <v/>
      </c>
      <c r="F563" s="15" t="str">
        <f aca="false">IF(B563&lt;5,"Go","Standard")</f>
        <v>Go</v>
      </c>
    </row>
    <row r="564" customFormat="false" ht="15" hidden="false" customHeight="true" outlineLevel="0" collapsed="false">
      <c r="A564" s="10" t="n">
        <f aca="false">Einstellungen!$B$5+INT((ROW()-9)/24)</f>
        <v>45989</v>
      </c>
      <c r="B564" s="11" t="n">
        <f aca="false">MOD(ROW()-9,24)</f>
        <v>3</v>
      </c>
      <c r="C564" s="12"/>
      <c r="D564" s="13" t="n">
        <f aca="false">IF(B564&lt;5,Einstellungen!$B$3,Einstellungen!$B$4)</f>
        <v>15.92</v>
      </c>
      <c r="E564" s="14" t="str">
        <f aca="false">IF(C564="","",C564*D564/100)</f>
        <v/>
      </c>
      <c r="F564" s="15" t="str">
        <f aca="false">IF(B564&lt;5,"Go","Standard")</f>
        <v>Go</v>
      </c>
    </row>
    <row r="565" customFormat="false" ht="15" hidden="false" customHeight="true" outlineLevel="0" collapsed="false">
      <c r="A565" s="10" t="n">
        <f aca="false">Einstellungen!$B$5+INT((ROW()-9)/24)</f>
        <v>45989</v>
      </c>
      <c r="B565" s="11" t="n">
        <f aca="false">MOD(ROW()-9,24)</f>
        <v>4</v>
      </c>
      <c r="C565" s="12"/>
      <c r="D565" s="13" t="n">
        <f aca="false">IF(B565&lt;5,Einstellungen!$B$3,Einstellungen!$B$4)</f>
        <v>15.92</v>
      </c>
      <c r="E565" s="14" t="str">
        <f aca="false">IF(C565="","",C565*D565/100)</f>
        <v/>
      </c>
      <c r="F565" s="15" t="str">
        <f aca="false">IF(B565&lt;5,"Go","Standard")</f>
        <v>Go</v>
      </c>
    </row>
    <row r="566" customFormat="false" ht="15" hidden="false" customHeight="true" outlineLevel="0" collapsed="false">
      <c r="A566" s="10" t="n">
        <f aca="false">Einstellungen!$B$5+INT((ROW()-9)/24)</f>
        <v>45989</v>
      </c>
      <c r="B566" s="11" t="n">
        <f aca="false">MOD(ROW()-9,24)</f>
        <v>5</v>
      </c>
      <c r="C566" s="12"/>
      <c r="D566" s="13" t="n">
        <f aca="false">IF(B566&lt;5,Einstellungen!$B$3,Einstellungen!$B$4)</f>
        <v>29.13</v>
      </c>
      <c r="E566" s="14" t="str">
        <f aca="false">IF(C566="","",C566*D566/100)</f>
        <v/>
      </c>
      <c r="F566" s="15" t="str">
        <f aca="false">IF(B566&lt;5,"Go","Standard")</f>
        <v>Standard</v>
      </c>
    </row>
    <row r="567" customFormat="false" ht="15" hidden="false" customHeight="true" outlineLevel="0" collapsed="false">
      <c r="A567" s="10" t="n">
        <f aca="false">Einstellungen!$B$5+INT((ROW()-9)/24)</f>
        <v>45989</v>
      </c>
      <c r="B567" s="11" t="n">
        <f aca="false">MOD(ROW()-9,24)</f>
        <v>6</v>
      </c>
      <c r="C567" s="12"/>
      <c r="D567" s="13" t="n">
        <f aca="false">IF(B567&lt;5,Einstellungen!$B$3,Einstellungen!$B$4)</f>
        <v>29.13</v>
      </c>
      <c r="E567" s="14" t="str">
        <f aca="false">IF(C567="","",C567*D567/100)</f>
        <v/>
      </c>
      <c r="F567" s="15" t="str">
        <f aca="false">IF(B567&lt;5,"Go","Standard")</f>
        <v>Standard</v>
      </c>
    </row>
    <row r="568" customFormat="false" ht="15" hidden="false" customHeight="true" outlineLevel="0" collapsed="false">
      <c r="A568" s="10" t="n">
        <f aca="false">Einstellungen!$B$5+INT((ROW()-9)/24)</f>
        <v>45989</v>
      </c>
      <c r="B568" s="11" t="n">
        <f aca="false">MOD(ROW()-9,24)</f>
        <v>7</v>
      </c>
      <c r="C568" s="12"/>
      <c r="D568" s="13" t="n">
        <f aca="false">IF(B568&lt;5,Einstellungen!$B$3,Einstellungen!$B$4)</f>
        <v>29.13</v>
      </c>
      <c r="E568" s="14" t="str">
        <f aca="false">IF(C568="","",C568*D568/100)</f>
        <v/>
      </c>
      <c r="F568" s="15" t="str">
        <f aca="false">IF(B568&lt;5,"Go","Standard")</f>
        <v>Standard</v>
      </c>
    </row>
    <row r="569" customFormat="false" ht="15" hidden="false" customHeight="true" outlineLevel="0" collapsed="false">
      <c r="A569" s="10" t="n">
        <f aca="false">Einstellungen!$B$5+INT((ROW()-9)/24)</f>
        <v>45989</v>
      </c>
      <c r="B569" s="11" t="n">
        <f aca="false">MOD(ROW()-9,24)</f>
        <v>8</v>
      </c>
      <c r="C569" s="12"/>
      <c r="D569" s="13" t="n">
        <f aca="false">IF(B569&lt;5,Einstellungen!$B$3,Einstellungen!$B$4)</f>
        <v>29.13</v>
      </c>
      <c r="E569" s="14" t="str">
        <f aca="false">IF(C569="","",C569*D569/100)</f>
        <v/>
      </c>
      <c r="F569" s="15" t="str">
        <f aca="false">IF(B569&lt;5,"Go","Standard")</f>
        <v>Standard</v>
      </c>
    </row>
    <row r="570" customFormat="false" ht="15" hidden="false" customHeight="true" outlineLevel="0" collapsed="false">
      <c r="A570" s="10" t="n">
        <f aca="false">Einstellungen!$B$5+INT((ROW()-9)/24)</f>
        <v>45989</v>
      </c>
      <c r="B570" s="11" t="n">
        <f aca="false">MOD(ROW()-9,24)</f>
        <v>9</v>
      </c>
      <c r="C570" s="12"/>
      <c r="D570" s="13" t="n">
        <f aca="false">IF(B570&lt;5,Einstellungen!$B$3,Einstellungen!$B$4)</f>
        <v>29.13</v>
      </c>
      <c r="E570" s="14" t="str">
        <f aca="false">IF(C570="","",C570*D570/100)</f>
        <v/>
      </c>
      <c r="F570" s="15" t="str">
        <f aca="false">IF(B570&lt;5,"Go","Standard")</f>
        <v>Standard</v>
      </c>
    </row>
    <row r="571" customFormat="false" ht="15" hidden="false" customHeight="true" outlineLevel="0" collapsed="false">
      <c r="A571" s="10" t="n">
        <f aca="false">Einstellungen!$B$5+INT((ROW()-9)/24)</f>
        <v>45989</v>
      </c>
      <c r="B571" s="11" t="n">
        <f aca="false">MOD(ROW()-9,24)</f>
        <v>10</v>
      </c>
      <c r="C571" s="12"/>
      <c r="D571" s="13" t="n">
        <f aca="false">IF(B571&lt;5,Einstellungen!$B$3,Einstellungen!$B$4)</f>
        <v>29.13</v>
      </c>
      <c r="E571" s="14" t="str">
        <f aca="false">IF(C571="","",C571*D571/100)</f>
        <v/>
      </c>
      <c r="F571" s="15" t="str">
        <f aca="false">IF(B571&lt;5,"Go","Standard")</f>
        <v>Standard</v>
      </c>
    </row>
    <row r="572" customFormat="false" ht="15" hidden="false" customHeight="true" outlineLevel="0" collapsed="false">
      <c r="A572" s="10" t="n">
        <f aca="false">Einstellungen!$B$5+INT((ROW()-9)/24)</f>
        <v>45989</v>
      </c>
      <c r="B572" s="11" t="n">
        <f aca="false">MOD(ROW()-9,24)</f>
        <v>11</v>
      </c>
      <c r="C572" s="12"/>
      <c r="D572" s="13" t="n">
        <f aca="false">IF(B572&lt;5,Einstellungen!$B$3,Einstellungen!$B$4)</f>
        <v>29.13</v>
      </c>
      <c r="E572" s="14" t="str">
        <f aca="false">IF(C572="","",C572*D572/100)</f>
        <v/>
      </c>
      <c r="F572" s="15" t="str">
        <f aca="false">IF(B572&lt;5,"Go","Standard")</f>
        <v>Standard</v>
      </c>
    </row>
    <row r="573" customFormat="false" ht="15" hidden="false" customHeight="true" outlineLevel="0" collapsed="false">
      <c r="A573" s="10" t="n">
        <f aca="false">Einstellungen!$B$5+INT((ROW()-9)/24)</f>
        <v>45989</v>
      </c>
      <c r="B573" s="11" t="n">
        <f aca="false">MOD(ROW()-9,24)</f>
        <v>12</v>
      </c>
      <c r="C573" s="12"/>
      <c r="D573" s="13" t="n">
        <f aca="false">IF(B573&lt;5,Einstellungen!$B$3,Einstellungen!$B$4)</f>
        <v>29.13</v>
      </c>
      <c r="E573" s="14" t="str">
        <f aca="false">IF(C573="","",C573*D573/100)</f>
        <v/>
      </c>
      <c r="F573" s="15" t="str">
        <f aca="false">IF(B573&lt;5,"Go","Standard")</f>
        <v>Standard</v>
      </c>
    </row>
    <row r="574" customFormat="false" ht="15" hidden="false" customHeight="true" outlineLevel="0" collapsed="false">
      <c r="A574" s="10" t="n">
        <f aca="false">Einstellungen!$B$5+INT((ROW()-9)/24)</f>
        <v>45989</v>
      </c>
      <c r="B574" s="11" t="n">
        <f aca="false">MOD(ROW()-9,24)</f>
        <v>13</v>
      </c>
      <c r="C574" s="12"/>
      <c r="D574" s="13" t="n">
        <f aca="false">IF(B574&lt;5,Einstellungen!$B$3,Einstellungen!$B$4)</f>
        <v>29.13</v>
      </c>
      <c r="E574" s="14" t="str">
        <f aca="false">IF(C574="","",C574*D574/100)</f>
        <v/>
      </c>
      <c r="F574" s="15" t="str">
        <f aca="false">IF(B574&lt;5,"Go","Standard")</f>
        <v>Standard</v>
      </c>
    </row>
    <row r="575" customFormat="false" ht="15" hidden="false" customHeight="true" outlineLevel="0" collapsed="false">
      <c r="A575" s="10" t="n">
        <f aca="false">Einstellungen!$B$5+INT((ROW()-9)/24)</f>
        <v>45989</v>
      </c>
      <c r="B575" s="11" t="n">
        <f aca="false">MOD(ROW()-9,24)</f>
        <v>14</v>
      </c>
      <c r="C575" s="12"/>
      <c r="D575" s="13" t="n">
        <f aca="false">IF(B575&lt;5,Einstellungen!$B$3,Einstellungen!$B$4)</f>
        <v>29.13</v>
      </c>
      <c r="E575" s="14" t="str">
        <f aca="false">IF(C575="","",C575*D575/100)</f>
        <v/>
      </c>
      <c r="F575" s="15" t="str">
        <f aca="false">IF(B575&lt;5,"Go","Standard")</f>
        <v>Standard</v>
      </c>
    </row>
    <row r="576" customFormat="false" ht="15" hidden="false" customHeight="true" outlineLevel="0" collapsed="false">
      <c r="A576" s="10" t="n">
        <f aca="false">Einstellungen!$B$5+INT((ROW()-9)/24)</f>
        <v>45989</v>
      </c>
      <c r="B576" s="11" t="n">
        <f aca="false">MOD(ROW()-9,24)</f>
        <v>15</v>
      </c>
      <c r="C576" s="12"/>
      <c r="D576" s="13" t="n">
        <f aca="false">IF(B576&lt;5,Einstellungen!$B$3,Einstellungen!$B$4)</f>
        <v>29.13</v>
      </c>
      <c r="E576" s="14" t="str">
        <f aca="false">IF(C576="","",C576*D576/100)</f>
        <v/>
      </c>
      <c r="F576" s="15" t="str">
        <f aca="false">IF(B576&lt;5,"Go","Standard")</f>
        <v>Standard</v>
      </c>
    </row>
    <row r="577" customFormat="false" ht="15" hidden="false" customHeight="true" outlineLevel="0" collapsed="false">
      <c r="A577" s="10" t="n">
        <f aca="false">Einstellungen!$B$5+INT((ROW()-9)/24)</f>
        <v>45989</v>
      </c>
      <c r="B577" s="11" t="n">
        <f aca="false">MOD(ROW()-9,24)</f>
        <v>16</v>
      </c>
      <c r="C577" s="12"/>
      <c r="D577" s="13" t="n">
        <f aca="false">IF(B577&lt;5,Einstellungen!$B$3,Einstellungen!$B$4)</f>
        <v>29.13</v>
      </c>
      <c r="E577" s="14" t="str">
        <f aca="false">IF(C577="","",C577*D577/100)</f>
        <v/>
      </c>
      <c r="F577" s="15" t="str">
        <f aca="false">IF(B577&lt;5,"Go","Standard")</f>
        <v>Standard</v>
      </c>
    </row>
    <row r="578" customFormat="false" ht="15" hidden="false" customHeight="true" outlineLevel="0" collapsed="false">
      <c r="A578" s="10" t="n">
        <f aca="false">Einstellungen!$B$5+INT((ROW()-9)/24)</f>
        <v>45989</v>
      </c>
      <c r="B578" s="11" t="n">
        <f aca="false">MOD(ROW()-9,24)</f>
        <v>17</v>
      </c>
      <c r="C578" s="12"/>
      <c r="D578" s="13" t="n">
        <f aca="false">IF(B578&lt;5,Einstellungen!$B$3,Einstellungen!$B$4)</f>
        <v>29.13</v>
      </c>
      <c r="E578" s="14" t="str">
        <f aca="false">IF(C578="","",C578*D578/100)</f>
        <v/>
      </c>
      <c r="F578" s="15" t="str">
        <f aca="false">IF(B578&lt;5,"Go","Standard")</f>
        <v>Standard</v>
      </c>
    </row>
    <row r="579" customFormat="false" ht="15" hidden="false" customHeight="true" outlineLevel="0" collapsed="false">
      <c r="A579" s="10" t="n">
        <f aca="false">Einstellungen!$B$5+INT((ROW()-9)/24)</f>
        <v>45989</v>
      </c>
      <c r="B579" s="11" t="n">
        <f aca="false">MOD(ROW()-9,24)</f>
        <v>18</v>
      </c>
      <c r="C579" s="12"/>
      <c r="D579" s="13" t="n">
        <f aca="false">IF(B579&lt;5,Einstellungen!$B$3,Einstellungen!$B$4)</f>
        <v>29.13</v>
      </c>
      <c r="E579" s="14" t="str">
        <f aca="false">IF(C579="","",C579*D579/100)</f>
        <v/>
      </c>
      <c r="F579" s="15" t="str">
        <f aca="false">IF(B579&lt;5,"Go","Standard")</f>
        <v>Standard</v>
      </c>
    </row>
    <row r="580" customFormat="false" ht="15" hidden="false" customHeight="true" outlineLevel="0" collapsed="false">
      <c r="A580" s="10" t="n">
        <f aca="false">Einstellungen!$B$5+INT((ROW()-9)/24)</f>
        <v>45989</v>
      </c>
      <c r="B580" s="11" t="n">
        <f aca="false">MOD(ROW()-9,24)</f>
        <v>19</v>
      </c>
      <c r="C580" s="12"/>
      <c r="D580" s="13" t="n">
        <f aca="false">IF(B580&lt;5,Einstellungen!$B$3,Einstellungen!$B$4)</f>
        <v>29.13</v>
      </c>
      <c r="E580" s="14" t="str">
        <f aca="false">IF(C580="","",C580*D580/100)</f>
        <v/>
      </c>
      <c r="F580" s="15" t="str">
        <f aca="false">IF(B580&lt;5,"Go","Standard")</f>
        <v>Standard</v>
      </c>
    </row>
    <row r="581" customFormat="false" ht="15" hidden="false" customHeight="true" outlineLevel="0" collapsed="false">
      <c r="A581" s="10" t="n">
        <f aca="false">Einstellungen!$B$5+INT((ROW()-9)/24)</f>
        <v>45989</v>
      </c>
      <c r="B581" s="11" t="n">
        <f aca="false">MOD(ROW()-9,24)</f>
        <v>20</v>
      </c>
      <c r="C581" s="12"/>
      <c r="D581" s="13" t="n">
        <f aca="false">IF(B581&lt;5,Einstellungen!$B$3,Einstellungen!$B$4)</f>
        <v>29.13</v>
      </c>
      <c r="E581" s="14" t="str">
        <f aca="false">IF(C581="","",C581*D581/100)</f>
        <v/>
      </c>
      <c r="F581" s="15" t="str">
        <f aca="false">IF(B581&lt;5,"Go","Standard")</f>
        <v>Standard</v>
      </c>
    </row>
    <row r="582" customFormat="false" ht="15" hidden="false" customHeight="true" outlineLevel="0" collapsed="false">
      <c r="A582" s="10" t="n">
        <f aca="false">Einstellungen!$B$5+INT((ROW()-9)/24)</f>
        <v>45989</v>
      </c>
      <c r="B582" s="11" t="n">
        <f aca="false">MOD(ROW()-9,24)</f>
        <v>21</v>
      </c>
      <c r="C582" s="12"/>
      <c r="D582" s="13" t="n">
        <f aca="false">IF(B582&lt;5,Einstellungen!$B$3,Einstellungen!$B$4)</f>
        <v>29.13</v>
      </c>
      <c r="E582" s="14" t="str">
        <f aca="false">IF(C582="","",C582*D582/100)</f>
        <v/>
      </c>
      <c r="F582" s="15" t="str">
        <f aca="false">IF(B582&lt;5,"Go","Standard")</f>
        <v>Standard</v>
      </c>
    </row>
    <row r="583" customFormat="false" ht="15" hidden="false" customHeight="true" outlineLevel="0" collapsed="false">
      <c r="A583" s="10" t="n">
        <f aca="false">Einstellungen!$B$5+INT((ROW()-9)/24)</f>
        <v>45989</v>
      </c>
      <c r="B583" s="11" t="n">
        <f aca="false">MOD(ROW()-9,24)</f>
        <v>22</v>
      </c>
      <c r="C583" s="12"/>
      <c r="D583" s="13" t="n">
        <f aca="false">IF(B583&lt;5,Einstellungen!$B$3,Einstellungen!$B$4)</f>
        <v>29.13</v>
      </c>
      <c r="E583" s="14" t="str">
        <f aca="false">IF(C583="","",C583*D583/100)</f>
        <v/>
      </c>
      <c r="F583" s="15" t="str">
        <f aca="false">IF(B583&lt;5,"Go","Standard")</f>
        <v>Standard</v>
      </c>
    </row>
    <row r="584" customFormat="false" ht="15" hidden="false" customHeight="true" outlineLevel="0" collapsed="false">
      <c r="A584" s="10" t="n">
        <f aca="false">Einstellungen!$B$5+INT((ROW()-9)/24)</f>
        <v>45989</v>
      </c>
      <c r="B584" s="11" t="n">
        <f aca="false">MOD(ROW()-9,24)</f>
        <v>23</v>
      </c>
      <c r="C584" s="12"/>
      <c r="D584" s="13" t="n">
        <f aca="false">IF(B584&lt;5,Einstellungen!$B$3,Einstellungen!$B$4)</f>
        <v>29.13</v>
      </c>
      <c r="E584" s="14" t="str">
        <f aca="false">IF(C584="","",C584*D584/100)</f>
        <v/>
      </c>
      <c r="F584" s="15" t="str">
        <f aca="false">IF(B584&lt;5,"Go","Standard")</f>
        <v>Standard</v>
      </c>
    </row>
    <row r="585" customFormat="false" ht="15" hidden="false" customHeight="true" outlineLevel="0" collapsed="false">
      <c r="A585" s="10" t="n">
        <f aca="false">Einstellungen!$B$5+INT((ROW()-9)/24)</f>
        <v>45990</v>
      </c>
      <c r="B585" s="11" t="n">
        <f aca="false">MOD(ROW()-9,24)</f>
        <v>0</v>
      </c>
      <c r="C585" s="12"/>
      <c r="D585" s="13" t="n">
        <f aca="false">IF(B585&lt;5,Einstellungen!$B$3,Einstellungen!$B$4)</f>
        <v>15.92</v>
      </c>
      <c r="E585" s="14" t="str">
        <f aca="false">IF(C585="","",C585*D585/100)</f>
        <v/>
      </c>
      <c r="F585" s="15" t="str">
        <f aca="false">IF(B585&lt;5,"Go","Standard")</f>
        <v>Go</v>
      </c>
    </row>
    <row r="586" customFormat="false" ht="15" hidden="false" customHeight="true" outlineLevel="0" collapsed="false">
      <c r="A586" s="10" t="n">
        <f aca="false">Einstellungen!$B$5+INT((ROW()-9)/24)</f>
        <v>45990</v>
      </c>
      <c r="B586" s="11" t="n">
        <f aca="false">MOD(ROW()-9,24)</f>
        <v>1</v>
      </c>
      <c r="C586" s="12"/>
      <c r="D586" s="13" t="n">
        <f aca="false">IF(B586&lt;5,Einstellungen!$B$3,Einstellungen!$B$4)</f>
        <v>15.92</v>
      </c>
      <c r="E586" s="14" t="str">
        <f aca="false">IF(C586="","",C586*D586/100)</f>
        <v/>
      </c>
      <c r="F586" s="15" t="str">
        <f aca="false">IF(B586&lt;5,"Go","Standard")</f>
        <v>Go</v>
      </c>
    </row>
    <row r="587" customFormat="false" ht="15" hidden="false" customHeight="true" outlineLevel="0" collapsed="false">
      <c r="A587" s="10" t="n">
        <f aca="false">Einstellungen!$B$5+INT((ROW()-9)/24)</f>
        <v>45990</v>
      </c>
      <c r="B587" s="11" t="n">
        <f aca="false">MOD(ROW()-9,24)</f>
        <v>2</v>
      </c>
      <c r="C587" s="12"/>
      <c r="D587" s="13" t="n">
        <f aca="false">IF(B587&lt;5,Einstellungen!$B$3,Einstellungen!$B$4)</f>
        <v>15.92</v>
      </c>
      <c r="E587" s="14" t="str">
        <f aca="false">IF(C587="","",C587*D587/100)</f>
        <v/>
      </c>
      <c r="F587" s="15" t="str">
        <f aca="false">IF(B587&lt;5,"Go","Standard")</f>
        <v>Go</v>
      </c>
    </row>
    <row r="588" customFormat="false" ht="15" hidden="false" customHeight="true" outlineLevel="0" collapsed="false">
      <c r="A588" s="10" t="n">
        <f aca="false">Einstellungen!$B$5+INT((ROW()-9)/24)</f>
        <v>45990</v>
      </c>
      <c r="B588" s="11" t="n">
        <f aca="false">MOD(ROW()-9,24)</f>
        <v>3</v>
      </c>
      <c r="C588" s="12"/>
      <c r="D588" s="13" t="n">
        <f aca="false">IF(B588&lt;5,Einstellungen!$B$3,Einstellungen!$B$4)</f>
        <v>15.92</v>
      </c>
      <c r="E588" s="14" t="str">
        <f aca="false">IF(C588="","",C588*D588/100)</f>
        <v/>
      </c>
      <c r="F588" s="15" t="str">
        <f aca="false">IF(B588&lt;5,"Go","Standard")</f>
        <v>Go</v>
      </c>
    </row>
    <row r="589" customFormat="false" ht="15" hidden="false" customHeight="true" outlineLevel="0" collapsed="false">
      <c r="A589" s="10" t="n">
        <f aca="false">Einstellungen!$B$5+INT((ROW()-9)/24)</f>
        <v>45990</v>
      </c>
      <c r="B589" s="11" t="n">
        <f aca="false">MOD(ROW()-9,24)</f>
        <v>4</v>
      </c>
      <c r="C589" s="12"/>
      <c r="D589" s="13" t="n">
        <f aca="false">IF(B589&lt;5,Einstellungen!$B$3,Einstellungen!$B$4)</f>
        <v>15.92</v>
      </c>
      <c r="E589" s="14" t="str">
        <f aca="false">IF(C589="","",C589*D589/100)</f>
        <v/>
      </c>
      <c r="F589" s="15" t="str">
        <f aca="false">IF(B589&lt;5,"Go","Standard")</f>
        <v>Go</v>
      </c>
    </row>
    <row r="590" customFormat="false" ht="15" hidden="false" customHeight="true" outlineLevel="0" collapsed="false">
      <c r="A590" s="10" t="n">
        <f aca="false">Einstellungen!$B$5+INT((ROW()-9)/24)</f>
        <v>45990</v>
      </c>
      <c r="B590" s="11" t="n">
        <f aca="false">MOD(ROW()-9,24)</f>
        <v>5</v>
      </c>
      <c r="C590" s="12"/>
      <c r="D590" s="13" t="n">
        <f aca="false">IF(B590&lt;5,Einstellungen!$B$3,Einstellungen!$B$4)</f>
        <v>29.13</v>
      </c>
      <c r="E590" s="14" t="str">
        <f aca="false">IF(C590="","",C590*D590/100)</f>
        <v/>
      </c>
      <c r="F590" s="15" t="str">
        <f aca="false">IF(B590&lt;5,"Go","Standard")</f>
        <v>Standard</v>
      </c>
    </row>
    <row r="591" customFormat="false" ht="15" hidden="false" customHeight="true" outlineLevel="0" collapsed="false">
      <c r="A591" s="10" t="n">
        <f aca="false">Einstellungen!$B$5+INT((ROW()-9)/24)</f>
        <v>45990</v>
      </c>
      <c r="B591" s="11" t="n">
        <f aca="false">MOD(ROW()-9,24)</f>
        <v>6</v>
      </c>
      <c r="C591" s="12"/>
      <c r="D591" s="13" t="n">
        <f aca="false">IF(B591&lt;5,Einstellungen!$B$3,Einstellungen!$B$4)</f>
        <v>29.13</v>
      </c>
      <c r="E591" s="14" t="str">
        <f aca="false">IF(C591="","",C591*D591/100)</f>
        <v/>
      </c>
      <c r="F591" s="15" t="str">
        <f aca="false">IF(B591&lt;5,"Go","Standard")</f>
        <v>Standard</v>
      </c>
    </row>
    <row r="592" customFormat="false" ht="15" hidden="false" customHeight="true" outlineLevel="0" collapsed="false">
      <c r="A592" s="10" t="n">
        <f aca="false">Einstellungen!$B$5+INT((ROW()-9)/24)</f>
        <v>45990</v>
      </c>
      <c r="B592" s="11" t="n">
        <f aca="false">MOD(ROW()-9,24)</f>
        <v>7</v>
      </c>
      <c r="C592" s="12"/>
      <c r="D592" s="13" t="n">
        <f aca="false">IF(B592&lt;5,Einstellungen!$B$3,Einstellungen!$B$4)</f>
        <v>29.13</v>
      </c>
      <c r="E592" s="14" t="str">
        <f aca="false">IF(C592="","",C592*D592/100)</f>
        <v/>
      </c>
      <c r="F592" s="15" t="str">
        <f aca="false">IF(B592&lt;5,"Go","Standard")</f>
        <v>Standard</v>
      </c>
    </row>
    <row r="593" customFormat="false" ht="15" hidden="false" customHeight="true" outlineLevel="0" collapsed="false">
      <c r="A593" s="10" t="n">
        <f aca="false">Einstellungen!$B$5+INT((ROW()-9)/24)</f>
        <v>45990</v>
      </c>
      <c r="B593" s="11" t="n">
        <f aca="false">MOD(ROW()-9,24)</f>
        <v>8</v>
      </c>
      <c r="C593" s="12"/>
      <c r="D593" s="13" t="n">
        <f aca="false">IF(B593&lt;5,Einstellungen!$B$3,Einstellungen!$B$4)</f>
        <v>29.13</v>
      </c>
      <c r="E593" s="14" t="str">
        <f aca="false">IF(C593="","",C593*D593/100)</f>
        <v/>
      </c>
      <c r="F593" s="15" t="str">
        <f aca="false">IF(B593&lt;5,"Go","Standard")</f>
        <v>Standard</v>
      </c>
    </row>
    <row r="594" customFormat="false" ht="15" hidden="false" customHeight="true" outlineLevel="0" collapsed="false">
      <c r="A594" s="10" t="n">
        <f aca="false">Einstellungen!$B$5+INT((ROW()-9)/24)</f>
        <v>45990</v>
      </c>
      <c r="B594" s="11" t="n">
        <f aca="false">MOD(ROW()-9,24)</f>
        <v>9</v>
      </c>
      <c r="C594" s="12"/>
      <c r="D594" s="13" t="n">
        <f aca="false">IF(B594&lt;5,Einstellungen!$B$3,Einstellungen!$B$4)</f>
        <v>29.13</v>
      </c>
      <c r="E594" s="14" t="str">
        <f aca="false">IF(C594="","",C594*D594/100)</f>
        <v/>
      </c>
      <c r="F594" s="15" t="str">
        <f aca="false">IF(B594&lt;5,"Go","Standard")</f>
        <v>Standard</v>
      </c>
    </row>
    <row r="595" customFormat="false" ht="15" hidden="false" customHeight="true" outlineLevel="0" collapsed="false">
      <c r="A595" s="10" t="n">
        <f aca="false">Einstellungen!$B$5+INT((ROW()-9)/24)</f>
        <v>45990</v>
      </c>
      <c r="B595" s="11" t="n">
        <f aca="false">MOD(ROW()-9,24)</f>
        <v>10</v>
      </c>
      <c r="C595" s="12"/>
      <c r="D595" s="13" t="n">
        <f aca="false">IF(B595&lt;5,Einstellungen!$B$3,Einstellungen!$B$4)</f>
        <v>29.13</v>
      </c>
      <c r="E595" s="14" t="str">
        <f aca="false">IF(C595="","",C595*D595/100)</f>
        <v/>
      </c>
      <c r="F595" s="15" t="str">
        <f aca="false">IF(B595&lt;5,"Go","Standard")</f>
        <v>Standard</v>
      </c>
    </row>
    <row r="596" customFormat="false" ht="15" hidden="false" customHeight="true" outlineLevel="0" collapsed="false">
      <c r="A596" s="10" t="n">
        <f aca="false">Einstellungen!$B$5+INT((ROW()-9)/24)</f>
        <v>45990</v>
      </c>
      <c r="B596" s="11" t="n">
        <f aca="false">MOD(ROW()-9,24)</f>
        <v>11</v>
      </c>
      <c r="C596" s="12"/>
      <c r="D596" s="13" t="n">
        <f aca="false">IF(B596&lt;5,Einstellungen!$B$3,Einstellungen!$B$4)</f>
        <v>29.13</v>
      </c>
      <c r="E596" s="14" t="str">
        <f aca="false">IF(C596="","",C596*D596/100)</f>
        <v/>
      </c>
      <c r="F596" s="15" t="str">
        <f aca="false">IF(B596&lt;5,"Go","Standard")</f>
        <v>Standard</v>
      </c>
    </row>
    <row r="597" customFormat="false" ht="15" hidden="false" customHeight="true" outlineLevel="0" collapsed="false">
      <c r="A597" s="10" t="n">
        <f aca="false">Einstellungen!$B$5+INT((ROW()-9)/24)</f>
        <v>45990</v>
      </c>
      <c r="B597" s="11" t="n">
        <f aca="false">MOD(ROW()-9,24)</f>
        <v>12</v>
      </c>
      <c r="C597" s="12"/>
      <c r="D597" s="13" t="n">
        <f aca="false">IF(B597&lt;5,Einstellungen!$B$3,Einstellungen!$B$4)</f>
        <v>29.13</v>
      </c>
      <c r="E597" s="14" t="str">
        <f aca="false">IF(C597="","",C597*D597/100)</f>
        <v/>
      </c>
      <c r="F597" s="15" t="str">
        <f aca="false">IF(B597&lt;5,"Go","Standard")</f>
        <v>Standard</v>
      </c>
    </row>
    <row r="598" customFormat="false" ht="15" hidden="false" customHeight="true" outlineLevel="0" collapsed="false">
      <c r="A598" s="10" t="n">
        <f aca="false">Einstellungen!$B$5+INT((ROW()-9)/24)</f>
        <v>45990</v>
      </c>
      <c r="B598" s="11" t="n">
        <f aca="false">MOD(ROW()-9,24)</f>
        <v>13</v>
      </c>
      <c r="C598" s="12"/>
      <c r="D598" s="13" t="n">
        <f aca="false">IF(B598&lt;5,Einstellungen!$B$3,Einstellungen!$B$4)</f>
        <v>29.13</v>
      </c>
      <c r="E598" s="14" t="str">
        <f aca="false">IF(C598="","",C598*D598/100)</f>
        <v/>
      </c>
      <c r="F598" s="15" t="str">
        <f aca="false">IF(B598&lt;5,"Go","Standard")</f>
        <v>Standard</v>
      </c>
    </row>
    <row r="599" customFormat="false" ht="15" hidden="false" customHeight="true" outlineLevel="0" collapsed="false">
      <c r="A599" s="10" t="n">
        <f aca="false">Einstellungen!$B$5+INT((ROW()-9)/24)</f>
        <v>45990</v>
      </c>
      <c r="B599" s="11" t="n">
        <f aca="false">MOD(ROW()-9,24)</f>
        <v>14</v>
      </c>
      <c r="C599" s="12"/>
      <c r="D599" s="13" t="n">
        <f aca="false">IF(B599&lt;5,Einstellungen!$B$3,Einstellungen!$B$4)</f>
        <v>29.13</v>
      </c>
      <c r="E599" s="14" t="str">
        <f aca="false">IF(C599="","",C599*D599/100)</f>
        <v/>
      </c>
      <c r="F599" s="15" t="str">
        <f aca="false">IF(B599&lt;5,"Go","Standard")</f>
        <v>Standard</v>
      </c>
    </row>
    <row r="600" customFormat="false" ht="15" hidden="false" customHeight="true" outlineLevel="0" collapsed="false">
      <c r="A600" s="10" t="n">
        <f aca="false">Einstellungen!$B$5+INT((ROW()-9)/24)</f>
        <v>45990</v>
      </c>
      <c r="B600" s="11" t="n">
        <f aca="false">MOD(ROW()-9,24)</f>
        <v>15</v>
      </c>
      <c r="C600" s="12"/>
      <c r="D600" s="13" t="n">
        <f aca="false">IF(B600&lt;5,Einstellungen!$B$3,Einstellungen!$B$4)</f>
        <v>29.13</v>
      </c>
      <c r="E600" s="14" t="str">
        <f aca="false">IF(C600="","",C600*D600/100)</f>
        <v/>
      </c>
      <c r="F600" s="15" t="str">
        <f aca="false">IF(B600&lt;5,"Go","Standard")</f>
        <v>Standard</v>
      </c>
    </row>
    <row r="601" customFormat="false" ht="15" hidden="false" customHeight="true" outlineLevel="0" collapsed="false">
      <c r="A601" s="10" t="n">
        <f aca="false">Einstellungen!$B$5+INT((ROW()-9)/24)</f>
        <v>45990</v>
      </c>
      <c r="B601" s="11" t="n">
        <f aca="false">MOD(ROW()-9,24)</f>
        <v>16</v>
      </c>
      <c r="C601" s="12"/>
      <c r="D601" s="13" t="n">
        <f aca="false">IF(B601&lt;5,Einstellungen!$B$3,Einstellungen!$B$4)</f>
        <v>29.13</v>
      </c>
      <c r="E601" s="14" t="str">
        <f aca="false">IF(C601="","",C601*D601/100)</f>
        <v/>
      </c>
      <c r="F601" s="15" t="str">
        <f aca="false">IF(B601&lt;5,"Go","Standard")</f>
        <v>Standard</v>
      </c>
    </row>
    <row r="602" customFormat="false" ht="15" hidden="false" customHeight="true" outlineLevel="0" collapsed="false">
      <c r="A602" s="10" t="n">
        <f aca="false">Einstellungen!$B$5+INT((ROW()-9)/24)</f>
        <v>45990</v>
      </c>
      <c r="B602" s="11" t="n">
        <f aca="false">MOD(ROW()-9,24)</f>
        <v>17</v>
      </c>
      <c r="C602" s="12"/>
      <c r="D602" s="13" t="n">
        <f aca="false">IF(B602&lt;5,Einstellungen!$B$3,Einstellungen!$B$4)</f>
        <v>29.13</v>
      </c>
      <c r="E602" s="14" t="str">
        <f aca="false">IF(C602="","",C602*D602/100)</f>
        <v/>
      </c>
      <c r="F602" s="15" t="str">
        <f aca="false">IF(B602&lt;5,"Go","Standard")</f>
        <v>Standard</v>
      </c>
    </row>
    <row r="603" customFormat="false" ht="15" hidden="false" customHeight="true" outlineLevel="0" collapsed="false">
      <c r="A603" s="10" t="n">
        <f aca="false">Einstellungen!$B$5+INT((ROW()-9)/24)</f>
        <v>45990</v>
      </c>
      <c r="B603" s="11" t="n">
        <f aca="false">MOD(ROW()-9,24)</f>
        <v>18</v>
      </c>
      <c r="C603" s="12"/>
      <c r="D603" s="13" t="n">
        <f aca="false">IF(B603&lt;5,Einstellungen!$B$3,Einstellungen!$B$4)</f>
        <v>29.13</v>
      </c>
      <c r="E603" s="14" t="str">
        <f aca="false">IF(C603="","",C603*D603/100)</f>
        <v/>
      </c>
      <c r="F603" s="15" t="str">
        <f aca="false">IF(B603&lt;5,"Go","Standard")</f>
        <v>Standard</v>
      </c>
    </row>
    <row r="604" customFormat="false" ht="15" hidden="false" customHeight="true" outlineLevel="0" collapsed="false">
      <c r="A604" s="10" t="n">
        <f aca="false">Einstellungen!$B$5+INT((ROW()-9)/24)</f>
        <v>45990</v>
      </c>
      <c r="B604" s="11" t="n">
        <f aca="false">MOD(ROW()-9,24)</f>
        <v>19</v>
      </c>
      <c r="C604" s="12"/>
      <c r="D604" s="13" t="n">
        <f aca="false">IF(B604&lt;5,Einstellungen!$B$3,Einstellungen!$B$4)</f>
        <v>29.13</v>
      </c>
      <c r="E604" s="14" t="str">
        <f aca="false">IF(C604="","",C604*D604/100)</f>
        <v/>
      </c>
      <c r="F604" s="15" t="str">
        <f aca="false">IF(B604&lt;5,"Go","Standard")</f>
        <v>Standard</v>
      </c>
    </row>
    <row r="605" customFormat="false" ht="15" hidden="false" customHeight="true" outlineLevel="0" collapsed="false">
      <c r="A605" s="10" t="n">
        <f aca="false">Einstellungen!$B$5+INT((ROW()-9)/24)</f>
        <v>45990</v>
      </c>
      <c r="B605" s="11" t="n">
        <f aca="false">MOD(ROW()-9,24)</f>
        <v>20</v>
      </c>
      <c r="C605" s="12"/>
      <c r="D605" s="13" t="n">
        <f aca="false">IF(B605&lt;5,Einstellungen!$B$3,Einstellungen!$B$4)</f>
        <v>29.13</v>
      </c>
      <c r="E605" s="14" t="str">
        <f aca="false">IF(C605="","",C605*D605/100)</f>
        <v/>
      </c>
      <c r="F605" s="15" t="str">
        <f aca="false">IF(B605&lt;5,"Go","Standard")</f>
        <v>Standard</v>
      </c>
    </row>
    <row r="606" customFormat="false" ht="15" hidden="false" customHeight="true" outlineLevel="0" collapsed="false">
      <c r="A606" s="10" t="n">
        <f aca="false">Einstellungen!$B$5+INT((ROW()-9)/24)</f>
        <v>45990</v>
      </c>
      <c r="B606" s="11" t="n">
        <f aca="false">MOD(ROW()-9,24)</f>
        <v>21</v>
      </c>
      <c r="C606" s="12"/>
      <c r="D606" s="13" t="n">
        <f aca="false">IF(B606&lt;5,Einstellungen!$B$3,Einstellungen!$B$4)</f>
        <v>29.13</v>
      </c>
      <c r="E606" s="14" t="str">
        <f aca="false">IF(C606="","",C606*D606/100)</f>
        <v/>
      </c>
      <c r="F606" s="15" t="str">
        <f aca="false">IF(B606&lt;5,"Go","Standard")</f>
        <v>Standard</v>
      </c>
    </row>
    <row r="607" customFormat="false" ht="15" hidden="false" customHeight="true" outlineLevel="0" collapsed="false">
      <c r="A607" s="10" t="n">
        <f aca="false">Einstellungen!$B$5+INT((ROW()-9)/24)</f>
        <v>45990</v>
      </c>
      <c r="B607" s="11" t="n">
        <f aca="false">MOD(ROW()-9,24)</f>
        <v>22</v>
      </c>
      <c r="C607" s="12"/>
      <c r="D607" s="13" t="n">
        <f aca="false">IF(B607&lt;5,Einstellungen!$B$3,Einstellungen!$B$4)</f>
        <v>29.13</v>
      </c>
      <c r="E607" s="14" t="str">
        <f aca="false">IF(C607="","",C607*D607/100)</f>
        <v/>
      </c>
      <c r="F607" s="15" t="str">
        <f aca="false">IF(B607&lt;5,"Go","Standard")</f>
        <v>Standard</v>
      </c>
    </row>
    <row r="608" customFormat="false" ht="15" hidden="false" customHeight="true" outlineLevel="0" collapsed="false">
      <c r="A608" s="10" t="n">
        <f aca="false">Einstellungen!$B$5+INT((ROW()-9)/24)</f>
        <v>45990</v>
      </c>
      <c r="B608" s="11" t="n">
        <f aca="false">MOD(ROW()-9,24)</f>
        <v>23</v>
      </c>
      <c r="C608" s="12"/>
      <c r="D608" s="13" t="n">
        <f aca="false">IF(B608&lt;5,Einstellungen!$B$3,Einstellungen!$B$4)</f>
        <v>29.13</v>
      </c>
      <c r="E608" s="14" t="str">
        <f aca="false">IF(C608="","",C608*D608/100)</f>
        <v/>
      </c>
      <c r="F608" s="15" t="str">
        <f aca="false">IF(B608&lt;5,"Go","Standard")</f>
        <v>Standard</v>
      </c>
    </row>
    <row r="609" customFormat="false" ht="15" hidden="false" customHeight="true" outlineLevel="0" collapsed="false">
      <c r="A609" s="10" t="n">
        <f aca="false">Einstellungen!$B$5+INT((ROW()-9)/24)</f>
        <v>45991</v>
      </c>
      <c r="B609" s="11" t="n">
        <f aca="false">MOD(ROW()-9,24)</f>
        <v>0</v>
      </c>
      <c r="C609" s="12"/>
      <c r="D609" s="13" t="n">
        <f aca="false">IF(B609&lt;5,Einstellungen!$B$3,Einstellungen!$B$4)</f>
        <v>15.92</v>
      </c>
      <c r="E609" s="14" t="str">
        <f aca="false">IF(C609="","",C609*D609/100)</f>
        <v/>
      </c>
      <c r="F609" s="15" t="str">
        <f aca="false">IF(B609&lt;5,"Go","Standard")</f>
        <v>Go</v>
      </c>
    </row>
    <row r="610" customFormat="false" ht="15" hidden="false" customHeight="true" outlineLevel="0" collapsed="false">
      <c r="A610" s="10" t="n">
        <f aca="false">Einstellungen!$B$5+INT((ROW()-9)/24)</f>
        <v>45991</v>
      </c>
      <c r="B610" s="11" t="n">
        <f aca="false">MOD(ROW()-9,24)</f>
        <v>1</v>
      </c>
      <c r="C610" s="12"/>
      <c r="D610" s="13" t="n">
        <f aca="false">IF(B610&lt;5,Einstellungen!$B$3,Einstellungen!$B$4)</f>
        <v>15.92</v>
      </c>
      <c r="E610" s="14" t="str">
        <f aca="false">IF(C610="","",C610*D610/100)</f>
        <v/>
      </c>
      <c r="F610" s="15" t="str">
        <f aca="false">IF(B610&lt;5,"Go","Standard")</f>
        <v>Go</v>
      </c>
    </row>
    <row r="611" customFormat="false" ht="15" hidden="false" customHeight="true" outlineLevel="0" collapsed="false">
      <c r="A611" s="10" t="n">
        <f aca="false">Einstellungen!$B$5+INT((ROW()-9)/24)</f>
        <v>45991</v>
      </c>
      <c r="B611" s="11" t="n">
        <f aca="false">MOD(ROW()-9,24)</f>
        <v>2</v>
      </c>
      <c r="C611" s="12"/>
      <c r="D611" s="13" t="n">
        <f aca="false">IF(B611&lt;5,Einstellungen!$B$3,Einstellungen!$B$4)</f>
        <v>15.92</v>
      </c>
      <c r="E611" s="14" t="str">
        <f aca="false">IF(C611="","",C611*D611/100)</f>
        <v/>
      </c>
      <c r="F611" s="15" t="str">
        <f aca="false">IF(B611&lt;5,"Go","Standard")</f>
        <v>Go</v>
      </c>
    </row>
    <row r="612" customFormat="false" ht="15" hidden="false" customHeight="true" outlineLevel="0" collapsed="false">
      <c r="A612" s="10" t="n">
        <f aca="false">Einstellungen!$B$5+INT((ROW()-9)/24)</f>
        <v>45991</v>
      </c>
      <c r="B612" s="11" t="n">
        <f aca="false">MOD(ROW()-9,24)</f>
        <v>3</v>
      </c>
      <c r="C612" s="12"/>
      <c r="D612" s="13" t="n">
        <f aca="false">IF(B612&lt;5,Einstellungen!$B$3,Einstellungen!$B$4)</f>
        <v>15.92</v>
      </c>
      <c r="E612" s="14" t="str">
        <f aca="false">IF(C612="","",C612*D612/100)</f>
        <v/>
      </c>
      <c r="F612" s="15" t="str">
        <f aca="false">IF(B612&lt;5,"Go","Standard")</f>
        <v>Go</v>
      </c>
    </row>
    <row r="613" customFormat="false" ht="15" hidden="false" customHeight="true" outlineLevel="0" collapsed="false">
      <c r="A613" s="10" t="n">
        <f aca="false">Einstellungen!$B$5+INT((ROW()-9)/24)</f>
        <v>45991</v>
      </c>
      <c r="B613" s="11" t="n">
        <f aca="false">MOD(ROW()-9,24)</f>
        <v>4</v>
      </c>
      <c r="C613" s="12"/>
      <c r="D613" s="13" t="n">
        <f aca="false">IF(B613&lt;5,Einstellungen!$B$3,Einstellungen!$B$4)</f>
        <v>15.92</v>
      </c>
      <c r="E613" s="14" t="str">
        <f aca="false">IF(C613="","",C613*D613/100)</f>
        <v/>
      </c>
      <c r="F613" s="15" t="str">
        <f aca="false">IF(B613&lt;5,"Go","Standard")</f>
        <v>Go</v>
      </c>
    </row>
    <row r="614" customFormat="false" ht="15" hidden="false" customHeight="true" outlineLevel="0" collapsed="false">
      <c r="A614" s="10" t="n">
        <f aca="false">Einstellungen!$B$5+INT((ROW()-9)/24)</f>
        <v>45991</v>
      </c>
      <c r="B614" s="11" t="n">
        <f aca="false">MOD(ROW()-9,24)</f>
        <v>5</v>
      </c>
      <c r="C614" s="12"/>
      <c r="D614" s="13" t="n">
        <f aca="false">IF(B614&lt;5,Einstellungen!$B$3,Einstellungen!$B$4)</f>
        <v>29.13</v>
      </c>
      <c r="E614" s="14" t="str">
        <f aca="false">IF(C614="","",C614*D614/100)</f>
        <v/>
      </c>
      <c r="F614" s="15" t="str">
        <f aca="false">IF(B614&lt;5,"Go","Standard")</f>
        <v>Standard</v>
      </c>
    </row>
    <row r="615" customFormat="false" ht="15" hidden="false" customHeight="true" outlineLevel="0" collapsed="false">
      <c r="A615" s="10" t="n">
        <f aca="false">Einstellungen!$B$5+INT((ROW()-9)/24)</f>
        <v>45991</v>
      </c>
      <c r="B615" s="11" t="n">
        <f aca="false">MOD(ROW()-9,24)</f>
        <v>6</v>
      </c>
      <c r="C615" s="12"/>
      <c r="D615" s="13" t="n">
        <f aca="false">IF(B615&lt;5,Einstellungen!$B$3,Einstellungen!$B$4)</f>
        <v>29.13</v>
      </c>
      <c r="E615" s="14" t="str">
        <f aca="false">IF(C615="","",C615*D615/100)</f>
        <v/>
      </c>
      <c r="F615" s="15" t="str">
        <f aca="false">IF(B615&lt;5,"Go","Standard")</f>
        <v>Standard</v>
      </c>
    </row>
    <row r="616" customFormat="false" ht="15" hidden="false" customHeight="true" outlineLevel="0" collapsed="false">
      <c r="A616" s="10" t="n">
        <f aca="false">Einstellungen!$B$5+INT((ROW()-9)/24)</f>
        <v>45991</v>
      </c>
      <c r="B616" s="11" t="n">
        <f aca="false">MOD(ROW()-9,24)</f>
        <v>7</v>
      </c>
      <c r="C616" s="12"/>
      <c r="D616" s="13" t="n">
        <f aca="false">IF(B616&lt;5,Einstellungen!$B$3,Einstellungen!$B$4)</f>
        <v>29.13</v>
      </c>
      <c r="E616" s="14" t="str">
        <f aca="false">IF(C616="","",C616*D616/100)</f>
        <v/>
      </c>
      <c r="F616" s="15" t="str">
        <f aca="false">IF(B616&lt;5,"Go","Standard")</f>
        <v>Standard</v>
      </c>
    </row>
    <row r="617" customFormat="false" ht="15" hidden="false" customHeight="true" outlineLevel="0" collapsed="false">
      <c r="A617" s="10" t="n">
        <f aca="false">Einstellungen!$B$5+INT((ROW()-9)/24)</f>
        <v>45991</v>
      </c>
      <c r="B617" s="11" t="n">
        <f aca="false">MOD(ROW()-9,24)</f>
        <v>8</v>
      </c>
      <c r="C617" s="12"/>
      <c r="D617" s="13" t="n">
        <f aca="false">IF(B617&lt;5,Einstellungen!$B$3,Einstellungen!$B$4)</f>
        <v>29.13</v>
      </c>
      <c r="E617" s="14" t="str">
        <f aca="false">IF(C617="","",C617*D617/100)</f>
        <v/>
      </c>
      <c r="F617" s="15" t="str">
        <f aca="false">IF(B617&lt;5,"Go","Standard")</f>
        <v>Standard</v>
      </c>
    </row>
    <row r="618" customFormat="false" ht="15" hidden="false" customHeight="true" outlineLevel="0" collapsed="false">
      <c r="A618" s="10" t="n">
        <f aca="false">Einstellungen!$B$5+INT((ROW()-9)/24)</f>
        <v>45991</v>
      </c>
      <c r="B618" s="11" t="n">
        <f aca="false">MOD(ROW()-9,24)</f>
        <v>9</v>
      </c>
      <c r="C618" s="12"/>
      <c r="D618" s="13" t="n">
        <f aca="false">IF(B618&lt;5,Einstellungen!$B$3,Einstellungen!$B$4)</f>
        <v>29.13</v>
      </c>
      <c r="E618" s="14" t="str">
        <f aca="false">IF(C618="","",C618*D618/100)</f>
        <v/>
      </c>
      <c r="F618" s="15" t="str">
        <f aca="false">IF(B618&lt;5,"Go","Standard")</f>
        <v>Standard</v>
      </c>
    </row>
    <row r="619" customFormat="false" ht="15" hidden="false" customHeight="true" outlineLevel="0" collapsed="false">
      <c r="A619" s="10" t="n">
        <f aca="false">Einstellungen!$B$5+INT((ROW()-9)/24)</f>
        <v>45991</v>
      </c>
      <c r="B619" s="11" t="n">
        <f aca="false">MOD(ROW()-9,24)</f>
        <v>10</v>
      </c>
      <c r="C619" s="12"/>
      <c r="D619" s="13" t="n">
        <f aca="false">IF(B619&lt;5,Einstellungen!$B$3,Einstellungen!$B$4)</f>
        <v>29.13</v>
      </c>
      <c r="E619" s="14" t="str">
        <f aca="false">IF(C619="","",C619*D619/100)</f>
        <v/>
      </c>
      <c r="F619" s="15" t="str">
        <f aca="false">IF(B619&lt;5,"Go","Standard")</f>
        <v>Standard</v>
      </c>
    </row>
    <row r="620" customFormat="false" ht="15" hidden="false" customHeight="true" outlineLevel="0" collapsed="false">
      <c r="A620" s="10" t="n">
        <f aca="false">Einstellungen!$B$5+INT((ROW()-9)/24)</f>
        <v>45991</v>
      </c>
      <c r="B620" s="11" t="n">
        <f aca="false">MOD(ROW()-9,24)</f>
        <v>11</v>
      </c>
      <c r="C620" s="12"/>
      <c r="D620" s="13" t="n">
        <f aca="false">IF(B620&lt;5,Einstellungen!$B$3,Einstellungen!$B$4)</f>
        <v>29.13</v>
      </c>
      <c r="E620" s="14" t="str">
        <f aca="false">IF(C620="","",C620*D620/100)</f>
        <v/>
      </c>
      <c r="F620" s="15" t="str">
        <f aca="false">IF(B620&lt;5,"Go","Standard")</f>
        <v>Standard</v>
      </c>
    </row>
    <row r="621" customFormat="false" ht="15" hidden="false" customHeight="true" outlineLevel="0" collapsed="false">
      <c r="A621" s="10" t="n">
        <f aca="false">Einstellungen!$B$5+INT((ROW()-9)/24)</f>
        <v>45991</v>
      </c>
      <c r="B621" s="11" t="n">
        <f aca="false">MOD(ROW()-9,24)</f>
        <v>12</v>
      </c>
      <c r="C621" s="12"/>
      <c r="D621" s="13" t="n">
        <f aca="false">IF(B621&lt;5,Einstellungen!$B$3,Einstellungen!$B$4)</f>
        <v>29.13</v>
      </c>
      <c r="E621" s="14" t="str">
        <f aca="false">IF(C621="","",C621*D621/100)</f>
        <v/>
      </c>
      <c r="F621" s="15" t="str">
        <f aca="false">IF(B621&lt;5,"Go","Standard")</f>
        <v>Standard</v>
      </c>
    </row>
    <row r="622" customFormat="false" ht="15" hidden="false" customHeight="true" outlineLevel="0" collapsed="false">
      <c r="A622" s="10" t="n">
        <f aca="false">Einstellungen!$B$5+INT((ROW()-9)/24)</f>
        <v>45991</v>
      </c>
      <c r="B622" s="11" t="n">
        <f aca="false">MOD(ROW()-9,24)</f>
        <v>13</v>
      </c>
      <c r="C622" s="12"/>
      <c r="D622" s="13" t="n">
        <f aca="false">IF(B622&lt;5,Einstellungen!$B$3,Einstellungen!$B$4)</f>
        <v>29.13</v>
      </c>
      <c r="E622" s="14" t="str">
        <f aca="false">IF(C622="","",C622*D622/100)</f>
        <v/>
      </c>
      <c r="F622" s="15" t="str">
        <f aca="false">IF(B622&lt;5,"Go","Standard")</f>
        <v>Standard</v>
      </c>
    </row>
    <row r="623" customFormat="false" ht="15" hidden="false" customHeight="true" outlineLevel="0" collapsed="false">
      <c r="A623" s="10" t="n">
        <f aca="false">Einstellungen!$B$5+INT((ROW()-9)/24)</f>
        <v>45991</v>
      </c>
      <c r="B623" s="11" t="n">
        <f aca="false">MOD(ROW()-9,24)</f>
        <v>14</v>
      </c>
      <c r="C623" s="12"/>
      <c r="D623" s="13" t="n">
        <f aca="false">IF(B623&lt;5,Einstellungen!$B$3,Einstellungen!$B$4)</f>
        <v>29.13</v>
      </c>
      <c r="E623" s="14" t="str">
        <f aca="false">IF(C623="","",C623*D623/100)</f>
        <v/>
      </c>
      <c r="F623" s="15" t="str">
        <f aca="false">IF(B623&lt;5,"Go","Standard")</f>
        <v>Standard</v>
      </c>
    </row>
    <row r="624" customFormat="false" ht="15" hidden="false" customHeight="true" outlineLevel="0" collapsed="false">
      <c r="A624" s="10" t="n">
        <f aca="false">Einstellungen!$B$5+INT((ROW()-9)/24)</f>
        <v>45991</v>
      </c>
      <c r="B624" s="11" t="n">
        <f aca="false">MOD(ROW()-9,24)</f>
        <v>15</v>
      </c>
      <c r="C624" s="12"/>
      <c r="D624" s="13" t="n">
        <f aca="false">IF(B624&lt;5,Einstellungen!$B$3,Einstellungen!$B$4)</f>
        <v>29.13</v>
      </c>
      <c r="E624" s="14" t="str">
        <f aca="false">IF(C624="","",C624*D624/100)</f>
        <v/>
      </c>
      <c r="F624" s="15" t="str">
        <f aca="false">IF(B624&lt;5,"Go","Standard")</f>
        <v>Standard</v>
      </c>
    </row>
    <row r="625" customFormat="false" ht="15" hidden="false" customHeight="true" outlineLevel="0" collapsed="false">
      <c r="A625" s="10" t="n">
        <f aca="false">Einstellungen!$B$5+INT((ROW()-9)/24)</f>
        <v>45991</v>
      </c>
      <c r="B625" s="11" t="n">
        <f aca="false">MOD(ROW()-9,24)</f>
        <v>16</v>
      </c>
      <c r="C625" s="12"/>
      <c r="D625" s="13" t="n">
        <f aca="false">IF(B625&lt;5,Einstellungen!$B$3,Einstellungen!$B$4)</f>
        <v>29.13</v>
      </c>
      <c r="E625" s="14" t="str">
        <f aca="false">IF(C625="","",C625*D625/100)</f>
        <v/>
      </c>
      <c r="F625" s="15" t="str">
        <f aca="false">IF(B625&lt;5,"Go","Standard")</f>
        <v>Standard</v>
      </c>
    </row>
    <row r="626" customFormat="false" ht="15" hidden="false" customHeight="true" outlineLevel="0" collapsed="false">
      <c r="A626" s="10" t="n">
        <f aca="false">Einstellungen!$B$5+INT((ROW()-9)/24)</f>
        <v>45991</v>
      </c>
      <c r="B626" s="11" t="n">
        <f aca="false">MOD(ROW()-9,24)</f>
        <v>17</v>
      </c>
      <c r="C626" s="12"/>
      <c r="D626" s="13" t="n">
        <f aca="false">IF(B626&lt;5,Einstellungen!$B$3,Einstellungen!$B$4)</f>
        <v>29.13</v>
      </c>
      <c r="E626" s="14" t="str">
        <f aca="false">IF(C626="","",C626*D626/100)</f>
        <v/>
      </c>
      <c r="F626" s="15" t="str">
        <f aca="false">IF(B626&lt;5,"Go","Standard")</f>
        <v>Standard</v>
      </c>
    </row>
    <row r="627" customFormat="false" ht="15" hidden="false" customHeight="true" outlineLevel="0" collapsed="false">
      <c r="A627" s="10" t="n">
        <f aca="false">Einstellungen!$B$5+INT((ROW()-9)/24)</f>
        <v>45991</v>
      </c>
      <c r="B627" s="11" t="n">
        <f aca="false">MOD(ROW()-9,24)</f>
        <v>18</v>
      </c>
      <c r="C627" s="12"/>
      <c r="D627" s="13" t="n">
        <f aca="false">IF(B627&lt;5,Einstellungen!$B$3,Einstellungen!$B$4)</f>
        <v>29.13</v>
      </c>
      <c r="E627" s="14" t="str">
        <f aca="false">IF(C627="","",C627*D627/100)</f>
        <v/>
      </c>
      <c r="F627" s="15" t="str">
        <f aca="false">IF(B627&lt;5,"Go","Standard")</f>
        <v>Standard</v>
      </c>
    </row>
    <row r="628" customFormat="false" ht="15" hidden="false" customHeight="true" outlineLevel="0" collapsed="false">
      <c r="A628" s="10" t="n">
        <f aca="false">Einstellungen!$B$5+INT((ROW()-9)/24)</f>
        <v>45991</v>
      </c>
      <c r="B628" s="11" t="n">
        <f aca="false">MOD(ROW()-9,24)</f>
        <v>19</v>
      </c>
      <c r="C628" s="12"/>
      <c r="D628" s="13" t="n">
        <f aca="false">IF(B628&lt;5,Einstellungen!$B$3,Einstellungen!$B$4)</f>
        <v>29.13</v>
      </c>
      <c r="E628" s="14" t="str">
        <f aca="false">IF(C628="","",C628*D628/100)</f>
        <v/>
      </c>
      <c r="F628" s="15" t="str">
        <f aca="false">IF(B628&lt;5,"Go","Standard")</f>
        <v>Standard</v>
      </c>
    </row>
    <row r="629" customFormat="false" ht="15" hidden="false" customHeight="true" outlineLevel="0" collapsed="false">
      <c r="A629" s="10" t="n">
        <f aca="false">Einstellungen!$B$5+INT((ROW()-9)/24)</f>
        <v>45991</v>
      </c>
      <c r="B629" s="11" t="n">
        <f aca="false">MOD(ROW()-9,24)</f>
        <v>20</v>
      </c>
      <c r="C629" s="12"/>
      <c r="D629" s="13" t="n">
        <f aca="false">IF(B629&lt;5,Einstellungen!$B$3,Einstellungen!$B$4)</f>
        <v>29.13</v>
      </c>
      <c r="E629" s="14" t="str">
        <f aca="false">IF(C629="","",C629*D629/100)</f>
        <v/>
      </c>
      <c r="F629" s="15" t="str">
        <f aca="false">IF(B629&lt;5,"Go","Standard")</f>
        <v>Standard</v>
      </c>
    </row>
    <row r="630" customFormat="false" ht="15" hidden="false" customHeight="true" outlineLevel="0" collapsed="false">
      <c r="A630" s="10" t="n">
        <f aca="false">Einstellungen!$B$5+INT((ROW()-9)/24)</f>
        <v>45991</v>
      </c>
      <c r="B630" s="11" t="n">
        <f aca="false">MOD(ROW()-9,24)</f>
        <v>21</v>
      </c>
      <c r="C630" s="12"/>
      <c r="D630" s="13" t="n">
        <f aca="false">IF(B630&lt;5,Einstellungen!$B$3,Einstellungen!$B$4)</f>
        <v>29.13</v>
      </c>
      <c r="E630" s="14" t="str">
        <f aca="false">IF(C630="","",C630*D630/100)</f>
        <v/>
      </c>
      <c r="F630" s="15" t="str">
        <f aca="false">IF(B630&lt;5,"Go","Standard")</f>
        <v>Standard</v>
      </c>
    </row>
    <row r="631" customFormat="false" ht="15" hidden="false" customHeight="true" outlineLevel="0" collapsed="false">
      <c r="A631" s="10" t="n">
        <f aca="false">Einstellungen!$B$5+INT((ROW()-9)/24)</f>
        <v>45991</v>
      </c>
      <c r="B631" s="11" t="n">
        <f aca="false">MOD(ROW()-9,24)</f>
        <v>22</v>
      </c>
      <c r="C631" s="12"/>
      <c r="D631" s="13" t="n">
        <f aca="false">IF(B631&lt;5,Einstellungen!$B$3,Einstellungen!$B$4)</f>
        <v>29.13</v>
      </c>
      <c r="E631" s="14" t="str">
        <f aca="false">IF(C631="","",C631*D631/100)</f>
        <v/>
      </c>
      <c r="F631" s="15" t="str">
        <f aca="false">IF(B631&lt;5,"Go","Standard")</f>
        <v>Standard</v>
      </c>
    </row>
    <row r="632" customFormat="false" ht="15" hidden="false" customHeight="true" outlineLevel="0" collapsed="false">
      <c r="A632" s="10" t="n">
        <f aca="false">Einstellungen!$B$5+INT((ROW()-9)/24)</f>
        <v>45991</v>
      </c>
      <c r="B632" s="11" t="n">
        <f aca="false">MOD(ROW()-9,24)</f>
        <v>23</v>
      </c>
      <c r="C632" s="12"/>
      <c r="D632" s="13" t="n">
        <f aca="false">IF(B632&lt;5,Einstellungen!$B$3,Einstellungen!$B$4)</f>
        <v>29.13</v>
      </c>
      <c r="E632" s="14" t="str">
        <f aca="false">IF(C632="","",C632*D632/100)</f>
        <v/>
      </c>
      <c r="F632" s="15" t="str">
        <f aca="false">IF(B632&lt;5,"Go","Standard")</f>
        <v>Standard</v>
      </c>
    </row>
    <row r="633" customFormat="false" ht="15" hidden="false" customHeight="true" outlineLevel="0" collapsed="false">
      <c r="A633" s="10" t="n">
        <f aca="false">Einstellungen!$B$5+INT((ROW()-9)/24)</f>
        <v>45992</v>
      </c>
      <c r="B633" s="11" t="n">
        <f aca="false">MOD(ROW()-9,24)</f>
        <v>0</v>
      </c>
      <c r="C633" s="12"/>
      <c r="D633" s="13" t="n">
        <f aca="false">IF(B633&lt;5,Einstellungen!$B$3,Einstellungen!$B$4)</f>
        <v>15.92</v>
      </c>
      <c r="E633" s="14" t="str">
        <f aca="false">IF(C633="","",C633*D633/100)</f>
        <v/>
      </c>
      <c r="F633" s="15" t="str">
        <f aca="false">IF(B633&lt;5,"Go","Standard")</f>
        <v>Go</v>
      </c>
    </row>
    <row r="634" customFormat="false" ht="15" hidden="false" customHeight="true" outlineLevel="0" collapsed="false">
      <c r="A634" s="10" t="n">
        <f aca="false">Einstellungen!$B$5+INT((ROW()-9)/24)</f>
        <v>45992</v>
      </c>
      <c r="B634" s="11" t="n">
        <f aca="false">MOD(ROW()-9,24)</f>
        <v>1</v>
      </c>
      <c r="C634" s="12"/>
      <c r="D634" s="13" t="n">
        <f aca="false">IF(B634&lt;5,Einstellungen!$B$3,Einstellungen!$B$4)</f>
        <v>15.92</v>
      </c>
      <c r="E634" s="14" t="str">
        <f aca="false">IF(C634="","",C634*D634/100)</f>
        <v/>
      </c>
      <c r="F634" s="15" t="str">
        <f aca="false">IF(B634&lt;5,"Go","Standard")</f>
        <v>Go</v>
      </c>
    </row>
    <row r="635" customFormat="false" ht="15" hidden="false" customHeight="true" outlineLevel="0" collapsed="false">
      <c r="A635" s="10" t="n">
        <f aca="false">Einstellungen!$B$5+INT((ROW()-9)/24)</f>
        <v>45992</v>
      </c>
      <c r="B635" s="11" t="n">
        <f aca="false">MOD(ROW()-9,24)</f>
        <v>2</v>
      </c>
      <c r="C635" s="12"/>
      <c r="D635" s="13" t="n">
        <f aca="false">IF(B635&lt;5,Einstellungen!$B$3,Einstellungen!$B$4)</f>
        <v>15.92</v>
      </c>
      <c r="E635" s="14" t="str">
        <f aca="false">IF(C635="","",C635*D635/100)</f>
        <v/>
      </c>
      <c r="F635" s="15" t="str">
        <f aca="false">IF(B635&lt;5,"Go","Standard")</f>
        <v>Go</v>
      </c>
    </row>
    <row r="636" customFormat="false" ht="15" hidden="false" customHeight="true" outlineLevel="0" collapsed="false">
      <c r="A636" s="10" t="n">
        <f aca="false">Einstellungen!$B$5+INT((ROW()-9)/24)</f>
        <v>45992</v>
      </c>
      <c r="B636" s="11" t="n">
        <f aca="false">MOD(ROW()-9,24)</f>
        <v>3</v>
      </c>
      <c r="C636" s="12"/>
      <c r="D636" s="13" t="n">
        <f aca="false">IF(B636&lt;5,Einstellungen!$B$3,Einstellungen!$B$4)</f>
        <v>15.92</v>
      </c>
      <c r="E636" s="14" t="str">
        <f aca="false">IF(C636="","",C636*D636/100)</f>
        <v/>
      </c>
      <c r="F636" s="15" t="str">
        <f aca="false">IF(B636&lt;5,"Go","Standard")</f>
        <v>Go</v>
      </c>
    </row>
    <row r="637" customFormat="false" ht="15" hidden="false" customHeight="true" outlineLevel="0" collapsed="false">
      <c r="A637" s="10" t="n">
        <f aca="false">Einstellungen!$B$5+INT((ROW()-9)/24)</f>
        <v>45992</v>
      </c>
      <c r="B637" s="11" t="n">
        <f aca="false">MOD(ROW()-9,24)</f>
        <v>4</v>
      </c>
      <c r="C637" s="12"/>
      <c r="D637" s="13" t="n">
        <f aca="false">IF(B637&lt;5,Einstellungen!$B$3,Einstellungen!$B$4)</f>
        <v>15.92</v>
      </c>
      <c r="E637" s="14" t="str">
        <f aca="false">IF(C637="","",C637*D637/100)</f>
        <v/>
      </c>
      <c r="F637" s="15" t="str">
        <f aca="false">IF(B637&lt;5,"Go","Standard")</f>
        <v>Go</v>
      </c>
    </row>
    <row r="638" customFormat="false" ht="15" hidden="false" customHeight="true" outlineLevel="0" collapsed="false">
      <c r="A638" s="10" t="n">
        <f aca="false">Einstellungen!$B$5+INT((ROW()-9)/24)</f>
        <v>45992</v>
      </c>
      <c r="B638" s="11" t="n">
        <f aca="false">MOD(ROW()-9,24)</f>
        <v>5</v>
      </c>
      <c r="C638" s="12"/>
      <c r="D638" s="13" t="n">
        <f aca="false">IF(B638&lt;5,Einstellungen!$B$3,Einstellungen!$B$4)</f>
        <v>29.13</v>
      </c>
      <c r="E638" s="14" t="str">
        <f aca="false">IF(C638="","",C638*D638/100)</f>
        <v/>
      </c>
      <c r="F638" s="15" t="str">
        <f aca="false">IF(B638&lt;5,"Go","Standard")</f>
        <v>Standard</v>
      </c>
    </row>
    <row r="639" customFormat="false" ht="15" hidden="false" customHeight="true" outlineLevel="0" collapsed="false">
      <c r="A639" s="10" t="n">
        <f aca="false">Einstellungen!$B$5+INT((ROW()-9)/24)</f>
        <v>45992</v>
      </c>
      <c r="B639" s="11" t="n">
        <f aca="false">MOD(ROW()-9,24)</f>
        <v>6</v>
      </c>
      <c r="C639" s="12"/>
      <c r="D639" s="13" t="n">
        <f aca="false">IF(B639&lt;5,Einstellungen!$B$3,Einstellungen!$B$4)</f>
        <v>29.13</v>
      </c>
      <c r="E639" s="14" t="str">
        <f aca="false">IF(C639="","",C639*D639/100)</f>
        <v/>
      </c>
      <c r="F639" s="15" t="str">
        <f aca="false">IF(B639&lt;5,"Go","Standard")</f>
        <v>Standard</v>
      </c>
    </row>
    <row r="640" customFormat="false" ht="15" hidden="false" customHeight="true" outlineLevel="0" collapsed="false">
      <c r="A640" s="10" t="n">
        <f aca="false">Einstellungen!$B$5+INT((ROW()-9)/24)</f>
        <v>45992</v>
      </c>
      <c r="B640" s="11" t="n">
        <f aca="false">MOD(ROW()-9,24)</f>
        <v>7</v>
      </c>
      <c r="C640" s="12"/>
      <c r="D640" s="13" t="n">
        <f aca="false">IF(B640&lt;5,Einstellungen!$B$3,Einstellungen!$B$4)</f>
        <v>29.13</v>
      </c>
      <c r="E640" s="14" t="str">
        <f aca="false">IF(C640="","",C640*D640/100)</f>
        <v/>
      </c>
      <c r="F640" s="15" t="str">
        <f aca="false">IF(B640&lt;5,"Go","Standard")</f>
        <v>Standard</v>
      </c>
    </row>
    <row r="641" customFormat="false" ht="15" hidden="false" customHeight="true" outlineLevel="0" collapsed="false">
      <c r="A641" s="10" t="n">
        <f aca="false">Einstellungen!$B$5+INT((ROW()-9)/24)</f>
        <v>45992</v>
      </c>
      <c r="B641" s="11" t="n">
        <f aca="false">MOD(ROW()-9,24)</f>
        <v>8</v>
      </c>
      <c r="C641" s="12"/>
      <c r="D641" s="13" t="n">
        <f aca="false">IF(B641&lt;5,Einstellungen!$B$3,Einstellungen!$B$4)</f>
        <v>29.13</v>
      </c>
      <c r="E641" s="14" t="str">
        <f aca="false">IF(C641="","",C641*D641/100)</f>
        <v/>
      </c>
      <c r="F641" s="15" t="str">
        <f aca="false">IF(B641&lt;5,"Go","Standard")</f>
        <v>Standard</v>
      </c>
    </row>
    <row r="642" customFormat="false" ht="15" hidden="false" customHeight="true" outlineLevel="0" collapsed="false">
      <c r="A642" s="10" t="n">
        <f aca="false">Einstellungen!$B$5+INT((ROW()-9)/24)</f>
        <v>45992</v>
      </c>
      <c r="B642" s="11" t="n">
        <f aca="false">MOD(ROW()-9,24)</f>
        <v>9</v>
      </c>
      <c r="C642" s="12"/>
      <c r="D642" s="13" t="n">
        <f aca="false">IF(B642&lt;5,Einstellungen!$B$3,Einstellungen!$B$4)</f>
        <v>29.13</v>
      </c>
      <c r="E642" s="14" t="str">
        <f aca="false">IF(C642="","",C642*D642/100)</f>
        <v/>
      </c>
      <c r="F642" s="15" t="str">
        <f aca="false">IF(B642&lt;5,"Go","Standard")</f>
        <v>Standard</v>
      </c>
    </row>
    <row r="643" customFormat="false" ht="15" hidden="false" customHeight="true" outlineLevel="0" collapsed="false">
      <c r="A643" s="10" t="n">
        <f aca="false">Einstellungen!$B$5+INT((ROW()-9)/24)</f>
        <v>45992</v>
      </c>
      <c r="B643" s="11" t="n">
        <f aca="false">MOD(ROW()-9,24)</f>
        <v>10</v>
      </c>
      <c r="C643" s="12"/>
      <c r="D643" s="13" t="n">
        <f aca="false">IF(B643&lt;5,Einstellungen!$B$3,Einstellungen!$B$4)</f>
        <v>29.13</v>
      </c>
      <c r="E643" s="14" t="str">
        <f aca="false">IF(C643="","",C643*D643/100)</f>
        <v/>
      </c>
      <c r="F643" s="15" t="str">
        <f aca="false">IF(B643&lt;5,"Go","Standard")</f>
        <v>Standard</v>
      </c>
    </row>
    <row r="644" customFormat="false" ht="15" hidden="false" customHeight="true" outlineLevel="0" collapsed="false">
      <c r="A644" s="10" t="n">
        <f aca="false">Einstellungen!$B$5+INT((ROW()-9)/24)</f>
        <v>45992</v>
      </c>
      <c r="B644" s="11" t="n">
        <f aca="false">MOD(ROW()-9,24)</f>
        <v>11</v>
      </c>
      <c r="C644" s="12"/>
      <c r="D644" s="13" t="n">
        <f aca="false">IF(B644&lt;5,Einstellungen!$B$3,Einstellungen!$B$4)</f>
        <v>29.13</v>
      </c>
      <c r="E644" s="14" t="str">
        <f aca="false">IF(C644="","",C644*D644/100)</f>
        <v/>
      </c>
      <c r="F644" s="15" t="str">
        <f aca="false">IF(B644&lt;5,"Go","Standard")</f>
        <v>Standard</v>
      </c>
    </row>
    <row r="645" customFormat="false" ht="15" hidden="false" customHeight="true" outlineLevel="0" collapsed="false">
      <c r="A645" s="10" t="n">
        <f aca="false">Einstellungen!$B$5+INT((ROW()-9)/24)</f>
        <v>45992</v>
      </c>
      <c r="B645" s="11" t="n">
        <f aca="false">MOD(ROW()-9,24)</f>
        <v>12</v>
      </c>
      <c r="C645" s="12"/>
      <c r="D645" s="13" t="n">
        <f aca="false">IF(B645&lt;5,Einstellungen!$B$3,Einstellungen!$B$4)</f>
        <v>29.13</v>
      </c>
      <c r="E645" s="14" t="str">
        <f aca="false">IF(C645="","",C645*D645/100)</f>
        <v/>
      </c>
      <c r="F645" s="15" t="str">
        <f aca="false">IF(B645&lt;5,"Go","Standard")</f>
        <v>Standard</v>
      </c>
    </row>
    <row r="646" customFormat="false" ht="15" hidden="false" customHeight="true" outlineLevel="0" collapsed="false">
      <c r="A646" s="10" t="n">
        <f aca="false">Einstellungen!$B$5+INT((ROW()-9)/24)</f>
        <v>45992</v>
      </c>
      <c r="B646" s="11" t="n">
        <f aca="false">MOD(ROW()-9,24)</f>
        <v>13</v>
      </c>
      <c r="C646" s="12"/>
      <c r="D646" s="13" t="n">
        <f aca="false">IF(B646&lt;5,Einstellungen!$B$3,Einstellungen!$B$4)</f>
        <v>29.13</v>
      </c>
      <c r="E646" s="14" t="str">
        <f aca="false">IF(C646="","",C646*D646/100)</f>
        <v/>
      </c>
      <c r="F646" s="15" t="str">
        <f aca="false">IF(B646&lt;5,"Go","Standard")</f>
        <v>Standard</v>
      </c>
    </row>
    <row r="647" customFormat="false" ht="15" hidden="false" customHeight="true" outlineLevel="0" collapsed="false">
      <c r="A647" s="10" t="n">
        <f aca="false">Einstellungen!$B$5+INT((ROW()-9)/24)</f>
        <v>45992</v>
      </c>
      <c r="B647" s="11" t="n">
        <f aca="false">MOD(ROW()-9,24)</f>
        <v>14</v>
      </c>
      <c r="C647" s="12"/>
      <c r="D647" s="13" t="n">
        <f aca="false">IF(B647&lt;5,Einstellungen!$B$3,Einstellungen!$B$4)</f>
        <v>29.13</v>
      </c>
      <c r="E647" s="14" t="str">
        <f aca="false">IF(C647="","",C647*D647/100)</f>
        <v/>
      </c>
      <c r="F647" s="15" t="str">
        <f aca="false">IF(B647&lt;5,"Go","Standard")</f>
        <v>Standard</v>
      </c>
    </row>
    <row r="648" customFormat="false" ht="15" hidden="false" customHeight="true" outlineLevel="0" collapsed="false">
      <c r="A648" s="10" t="n">
        <f aca="false">Einstellungen!$B$5+INT((ROW()-9)/24)</f>
        <v>45992</v>
      </c>
      <c r="B648" s="11" t="n">
        <f aca="false">MOD(ROW()-9,24)</f>
        <v>15</v>
      </c>
      <c r="C648" s="12"/>
      <c r="D648" s="13" t="n">
        <f aca="false">IF(B648&lt;5,Einstellungen!$B$3,Einstellungen!$B$4)</f>
        <v>29.13</v>
      </c>
      <c r="E648" s="14" t="str">
        <f aca="false">IF(C648="","",C648*D648/100)</f>
        <v/>
      </c>
      <c r="F648" s="15" t="str">
        <f aca="false">IF(B648&lt;5,"Go","Standard")</f>
        <v>Standard</v>
      </c>
    </row>
    <row r="649" customFormat="false" ht="15" hidden="false" customHeight="true" outlineLevel="0" collapsed="false">
      <c r="A649" s="10" t="n">
        <f aca="false">Einstellungen!$B$5+INT((ROW()-9)/24)</f>
        <v>45992</v>
      </c>
      <c r="B649" s="11" t="n">
        <f aca="false">MOD(ROW()-9,24)</f>
        <v>16</v>
      </c>
      <c r="C649" s="12"/>
      <c r="D649" s="13" t="n">
        <f aca="false">IF(B649&lt;5,Einstellungen!$B$3,Einstellungen!$B$4)</f>
        <v>29.13</v>
      </c>
      <c r="E649" s="14" t="str">
        <f aca="false">IF(C649="","",C649*D649/100)</f>
        <v/>
      </c>
      <c r="F649" s="15" t="str">
        <f aca="false">IF(B649&lt;5,"Go","Standard")</f>
        <v>Standard</v>
      </c>
    </row>
    <row r="650" customFormat="false" ht="15" hidden="false" customHeight="true" outlineLevel="0" collapsed="false">
      <c r="A650" s="10" t="n">
        <f aca="false">Einstellungen!$B$5+INT((ROW()-9)/24)</f>
        <v>45992</v>
      </c>
      <c r="B650" s="11" t="n">
        <f aca="false">MOD(ROW()-9,24)</f>
        <v>17</v>
      </c>
      <c r="C650" s="12"/>
      <c r="D650" s="13" t="n">
        <f aca="false">IF(B650&lt;5,Einstellungen!$B$3,Einstellungen!$B$4)</f>
        <v>29.13</v>
      </c>
      <c r="E650" s="14" t="str">
        <f aca="false">IF(C650="","",C650*D650/100)</f>
        <v/>
      </c>
      <c r="F650" s="15" t="str">
        <f aca="false">IF(B650&lt;5,"Go","Standard")</f>
        <v>Standard</v>
      </c>
    </row>
    <row r="651" customFormat="false" ht="15" hidden="false" customHeight="true" outlineLevel="0" collapsed="false">
      <c r="A651" s="10" t="n">
        <f aca="false">Einstellungen!$B$5+INT((ROW()-9)/24)</f>
        <v>45992</v>
      </c>
      <c r="B651" s="11" t="n">
        <f aca="false">MOD(ROW()-9,24)</f>
        <v>18</v>
      </c>
      <c r="C651" s="12"/>
      <c r="D651" s="13" t="n">
        <f aca="false">IF(B651&lt;5,Einstellungen!$B$3,Einstellungen!$B$4)</f>
        <v>29.13</v>
      </c>
      <c r="E651" s="14" t="str">
        <f aca="false">IF(C651="","",C651*D651/100)</f>
        <v/>
      </c>
      <c r="F651" s="15" t="str">
        <f aca="false">IF(B651&lt;5,"Go","Standard")</f>
        <v>Standard</v>
      </c>
    </row>
    <row r="652" customFormat="false" ht="15" hidden="false" customHeight="true" outlineLevel="0" collapsed="false">
      <c r="A652" s="10" t="n">
        <f aca="false">Einstellungen!$B$5+INT((ROW()-9)/24)</f>
        <v>45992</v>
      </c>
      <c r="B652" s="11" t="n">
        <f aca="false">MOD(ROW()-9,24)</f>
        <v>19</v>
      </c>
      <c r="C652" s="12"/>
      <c r="D652" s="13" t="n">
        <f aca="false">IF(B652&lt;5,Einstellungen!$B$3,Einstellungen!$B$4)</f>
        <v>29.13</v>
      </c>
      <c r="E652" s="14" t="str">
        <f aca="false">IF(C652="","",C652*D652/100)</f>
        <v/>
      </c>
      <c r="F652" s="15" t="str">
        <f aca="false">IF(B652&lt;5,"Go","Standard")</f>
        <v>Standard</v>
      </c>
    </row>
    <row r="653" customFormat="false" ht="15" hidden="false" customHeight="true" outlineLevel="0" collapsed="false">
      <c r="A653" s="10" t="n">
        <f aca="false">Einstellungen!$B$5+INT((ROW()-9)/24)</f>
        <v>45992</v>
      </c>
      <c r="B653" s="11" t="n">
        <f aca="false">MOD(ROW()-9,24)</f>
        <v>20</v>
      </c>
      <c r="C653" s="12"/>
      <c r="D653" s="13" t="n">
        <f aca="false">IF(B653&lt;5,Einstellungen!$B$3,Einstellungen!$B$4)</f>
        <v>29.13</v>
      </c>
      <c r="E653" s="14" t="str">
        <f aca="false">IF(C653="","",C653*D653/100)</f>
        <v/>
      </c>
      <c r="F653" s="15" t="str">
        <f aca="false">IF(B653&lt;5,"Go","Standard")</f>
        <v>Standard</v>
      </c>
    </row>
    <row r="654" customFormat="false" ht="15" hidden="false" customHeight="true" outlineLevel="0" collapsed="false">
      <c r="A654" s="10" t="n">
        <f aca="false">Einstellungen!$B$5+INT((ROW()-9)/24)</f>
        <v>45992</v>
      </c>
      <c r="B654" s="11" t="n">
        <f aca="false">MOD(ROW()-9,24)</f>
        <v>21</v>
      </c>
      <c r="C654" s="12"/>
      <c r="D654" s="13" t="n">
        <f aca="false">IF(B654&lt;5,Einstellungen!$B$3,Einstellungen!$B$4)</f>
        <v>29.13</v>
      </c>
      <c r="E654" s="14" t="str">
        <f aca="false">IF(C654="","",C654*D654/100)</f>
        <v/>
      </c>
      <c r="F654" s="15" t="str">
        <f aca="false">IF(B654&lt;5,"Go","Standard")</f>
        <v>Standard</v>
      </c>
    </row>
    <row r="655" customFormat="false" ht="15" hidden="false" customHeight="true" outlineLevel="0" collapsed="false">
      <c r="A655" s="10" t="n">
        <f aca="false">Einstellungen!$B$5+INT((ROW()-9)/24)</f>
        <v>45992</v>
      </c>
      <c r="B655" s="11" t="n">
        <f aca="false">MOD(ROW()-9,24)</f>
        <v>22</v>
      </c>
      <c r="C655" s="12"/>
      <c r="D655" s="13" t="n">
        <f aca="false">IF(B655&lt;5,Einstellungen!$B$3,Einstellungen!$B$4)</f>
        <v>29.13</v>
      </c>
      <c r="E655" s="14" t="str">
        <f aca="false">IF(C655="","",C655*D655/100)</f>
        <v/>
      </c>
      <c r="F655" s="15" t="str">
        <f aca="false">IF(B655&lt;5,"Go","Standard")</f>
        <v>Standard</v>
      </c>
    </row>
    <row r="656" customFormat="false" ht="15" hidden="false" customHeight="true" outlineLevel="0" collapsed="false">
      <c r="A656" s="10" t="n">
        <f aca="false">Einstellungen!$B$5+INT((ROW()-9)/24)</f>
        <v>45992</v>
      </c>
      <c r="B656" s="11" t="n">
        <f aca="false">MOD(ROW()-9,24)</f>
        <v>23</v>
      </c>
      <c r="C656" s="12"/>
      <c r="D656" s="13" t="n">
        <f aca="false">IF(B656&lt;5,Einstellungen!$B$3,Einstellungen!$B$4)</f>
        <v>29.13</v>
      </c>
      <c r="E656" s="14" t="str">
        <f aca="false">IF(C656="","",C656*D656/100)</f>
        <v/>
      </c>
      <c r="F656" s="15" t="str">
        <f aca="false">IF(B656&lt;5,"Go","Standard")</f>
        <v>Standard</v>
      </c>
    </row>
    <row r="657" customFormat="false" ht="15" hidden="false" customHeight="true" outlineLevel="0" collapsed="false">
      <c r="A657" s="10" t="n">
        <f aca="false">Einstellungen!$B$5+INT((ROW()-9)/24)</f>
        <v>45993</v>
      </c>
      <c r="B657" s="11" t="n">
        <f aca="false">MOD(ROW()-9,24)</f>
        <v>0</v>
      </c>
      <c r="C657" s="12"/>
      <c r="D657" s="13" t="n">
        <f aca="false">IF(B657&lt;5,Einstellungen!$B$3,Einstellungen!$B$4)</f>
        <v>15.92</v>
      </c>
      <c r="E657" s="14" t="str">
        <f aca="false">IF(C657="","",C657*D657/100)</f>
        <v/>
      </c>
      <c r="F657" s="15" t="str">
        <f aca="false">IF(B657&lt;5,"Go","Standard")</f>
        <v>Go</v>
      </c>
    </row>
    <row r="658" customFormat="false" ht="15" hidden="false" customHeight="true" outlineLevel="0" collapsed="false">
      <c r="A658" s="10" t="n">
        <f aca="false">Einstellungen!$B$5+INT((ROW()-9)/24)</f>
        <v>45993</v>
      </c>
      <c r="B658" s="11" t="n">
        <f aca="false">MOD(ROW()-9,24)</f>
        <v>1</v>
      </c>
      <c r="C658" s="12"/>
      <c r="D658" s="13" t="n">
        <f aca="false">IF(B658&lt;5,Einstellungen!$B$3,Einstellungen!$B$4)</f>
        <v>15.92</v>
      </c>
      <c r="E658" s="14" t="str">
        <f aca="false">IF(C658="","",C658*D658/100)</f>
        <v/>
      </c>
      <c r="F658" s="15" t="str">
        <f aca="false">IF(B658&lt;5,"Go","Standard")</f>
        <v>Go</v>
      </c>
    </row>
    <row r="659" customFormat="false" ht="15" hidden="false" customHeight="true" outlineLevel="0" collapsed="false">
      <c r="A659" s="10" t="n">
        <f aca="false">Einstellungen!$B$5+INT((ROW()-9)/24)</f>
        <v>45993</v>
      </c>
      <c r="B659" s="11" t="n">
        <f aca="false">MOD(ROW()-9,24)</f>
        <v>2</v>
      </c>
      <c r="C659" s="12"/>
      <c r="D659" s="13" t="n">
        <f aca="false">IF(B659&lt;5,Einstellungen!$B$3,Einstellungen!$B$4)</f>
        <v>15.92</v>
      </c>
      <c r="E659" s="14" t="str">
        <f aca="false">IF(C659="","",C659*D659/100)</f>
        <v/>
      </c>
      <c r="F659" s="15" t="str">
        <f aca="false">IF(B659&lt;5,"Go","Standard")</f>
        <v>Go</v>
      </c>
    </row>
    <row r="660" customFormat="false" ht="15" hidden="false" customHeight="true" outlineLevel="0" collapsed="false">
      <c r="A660" s="10" t="n">
        <f aca="false">Einstellungen!$B$5+INT((ROW()-9)/24)</f>
        <v>45993</v>
      </c>
      <c r="B660" s="11" t="n">
        <f aca="false">MOD(ROW()-9,24)</f>
        <v>3</v>
      </c>
      <c r="C660" s="12"/>
      <c r="D660" s="13" t="n">
        <f aca="false">IF(B660&lt;5,Einstellungen!$B$3,Einstellungen!$B$4)</f>
        <v>15.92</v>
      </c>
      <c r="E660" s="14" t="str">
        <f aca="false">IF(C660="","",C660*D660/100)</f>
        <v/>
      </c>
      <c r="F660" s="15" t="str">
        <f aca="false">IF(B660&lt;5,"Go","Standard")</f>
        <v>Go</v>
      </c>
    </row>
    <row r="661" customFormat="false" ht="15" hidden="false" customHeight="true" outlineLevel="0" collapsed="false">
      <c r="A661" s="10" t="n">
        <f aca="false">Einstellungen!$B$5+INT((ROW()-9)/24)</f>
        <v>45993</v>
      </c>
      <c r="B661" s="11" t="n">
        <f aca="false">MOD(ROW()-9,24)</f>
        <v>4</v>
      </c>
      <c r="C661" s="12"/>
      <c r="D661" s="13" t="n">
        <f aca="false">IF(B661&lt;5,Einstellungen!$B$3,Einstellungen!$B$4)</f>
        <v>15.92</v>
      </c>
      <c r="E661" s="14" t="str">
        <f aca="false">IF(C661="","",C661*D661/100)</f>
        <v/>
      </c>
      <c r="F661" s="15" t="str">
        <f aca="false">IF(B661&lt;5,"Go","Standard")</f>
        <v>Go</v>
      </c>
    </row>
    <row r="662" customFormat="false" ht="15" hidden="false" customHeight="true" outlineLevel="0" collapsed="false">
      <c r="A662" s="10" t="n">
        <f aca="false">Einstellungen!$B$5+INT((ROW()-9)/24)</f>
        <v>45993</v>
      </c>
      <c r="B662" s="11" t="n">
        <f aca="false">MOD(ROW()-9,24)</f>
        <v>5</v>
      </c>
      <c r="C662" s="12"/>
      <c r="D662" s="13" t="n">
        <f aca="false">IF(B662&lt;5,Einstellungen!$B$3,Einstellungen!$B$4)</f>
        <v>29.13</v>
      </c>
      <c r="E662" s="14" t="str">
        <f aca="false">IF(C662="","",C662*D662/100)</f>
        <v/>
      </c>
      <c r="F662" s="15" t="str">
        <f aca="false">IF(B662&lt;5,"Go","Standard")</f>
        <v>Standard</v>
      </c>
    </row>
    <row r="663" customFormat="false" ht="15" hidden="false" customHeight="true" outlineLevel="0" collapsed="false">
      <c r="A663" s="10" t="n">
        <f aca="false">Einstellungen!$B$5+INT((ROW()-9)/24)</f>
        <v>45993</v>
      </c>
      <c r="B663" s="11" t="n">
        <f aca="false">MOD(ROW()-9,24)</f>
        <v>6</v>
      </c>
      <c r="C663" s="12"/>
      <c r="D663" s="13" t="n">
        <f aca="false">IF(B663&lt;5,Einstellungen!$B$3,Einstellungen!$B$4)</f>
        <v>29.13</v>
      </c>
      <c r="E663" s="14" t="str">
        <f aca="false">IF(C663="","",C663*D663/100)</f>
        <v/>
      </c>
      <c r="F663" s="15" t="str">
        <f aca="false">IF(B663&lt;5,"Go","Standard")</f>
        <v>Standard</v>
      </c>
    </row>
    <row r="664" customFormat="false" ht="15" hidden="false" customHeight="true" outlineLevel="0" collapsed="false">
      <c r="A664" s="10" t="n">
        <f aca="false">Einstellungen!$B$5+INT((ROW()-9)/24)</f>
        <v>45993</v>
      </c>
      <c r="B664" s="11" t="n">
        <f aca="false">MOD(ROW()-9,24)</f>
        <v>7</v>
      </c>
      <c r="C664" s="12"/>
      <c r="D664" s="13" t="n">
        <f aca="false">IF(B664&lt;5,Einstellungen!$B$3,Einstellungen!$B$4)</f>
        <v>29.13</v>
      </c>
      <c r="E664" s="14" t="str">
        <f aca="false">IF(C664="","",C664*D664/100)</f>
        <v/>
      </c>
      <c r="F664" s="15" t="str">
        <f aca="false">IF(B664&lt;5,"Go","Standard")</f>
        <v>Standard</v>
      </c>
    </row>
    <row r="665" customFormat="false" ht="15" hidden="false" customHeight="true" outlineLevel="0" collapsed="false">
      <c r="A665" s="10" t="n">
        <f aca="false">Einstellungen!$B$5+INT((ROW()-9)/24)</f>
        <v>45993</v>
      </c>
      <c r="B665" s="11" t="n">
        <f aca="false">MOD(ROW()-9,24)</f>
        <v>8</v>
      </c>
      <c r="C665" s="12"/>
      <c r="D665" s="13" t="n">
        <f aca="false">IF(B665&lt;5,Einstellungen!$B$3,Einstellungen!$B$4)</f>
        <v>29.13</v>
      </c>
      <c r="E665" s="14" t="str">
        <f aca="false">IF(C665="","",C665*D665/100)</f>
        <v/>
      </c>
      <c r="F665" s="15" t="str">
        <f aca="false">IF(B665&lt;5,"Go","Standard")</f>
        <v>Standard</v>
      </c>
    </row>
    <row r="666" customFormat="false" ht="15" hidden="false" customHeight="true" outlineLevel="0" collapsed="false">
      <c r="A666" s="10" t="n">
        <f aca="false">Einstellungen!$B$5+INT((ROW()-9)/24)</f>
        <v>45993</v>
      </c>
      <c r="B666" s="11" t="n">
        <f aca="false">MOD(ROW()-9,24)</f>
        <v>9</v>
      </c>
      <c r="C666" s="12"/>
      <c r="D666" s="13" t="n">
        <f aca="false">IF(B666&lt;5,Einstellungen!$B$3,Einstellungen!$B$4)</f>
        <v>29.13</v>
      </c>
      <c r="E666" s="14" t="str">
        <f aca="false">IF(C666="","",C666*D666/100)</f>
        <v/>
      </c>
      <c r="F666" s="15" t="str">
        <f aca="false">IF(B666&lt;5,"Go","Standard")</f>
        <v>Standard</v>
      </c>
    </row>
    <row r="667" customFormat="false" ht="15" hidden="false" customHeight="true" outlineLevel="0" collapsed="false">
      <c r="A667" s="10" t="n">
        <f aca="false">Einstellungen!$B$5+INT((ROW()-9)/24)</f>
        <v>45993</v>
      </c>
      <c r="B667" s="11" t="n">
        <f aca="false">MOD(ROW()-9,24)</f>
        <v>10</v>
      </c>
      <c r="C667" s="12"/>
      <c r="D667" s="13" t="n">
        <f aca="false">IF(B667&lt;5,Einstellungen!$B$3,Einstellungen!$B$4)</f>
        <v>29.13</v>
      </c>
      <c r="E667" s="14" t="str">
        <f aca="false">IF(C667="","",C667*D667/100)</f>
        <v/>
      </c>
      <c r="F667" s="15" t="str">
        <f aca="false">IF(B667&lt;5,"Go","Standard")</f>
        <v>Standard</v>
      </c>
    </row>
    <row r="668" customFormat="false" ht="15" hidden="false" customHeight="true" outlineLevel="0" collapsed="false">
      <c r="A668" s="10" t="n">
        <f aca="false">Einstellungen!$B$5+INT((ROW()-9)/24)</f>
        <v>45993</v>
      </c>
      <c r="B668" s="11" t="n">
        <f aca="false">MOD(ROW()-9,24)</f>
        <v>11</v>
      </c>
      <c r="C668" s="12"/>
      <c r="D668" s="13" t="n">
        <f aca="false">IF(B668&lt;5,Einstellungen!$B$3,Einstellungen!$B$4)</f>
        <v>29.13</v>
      </c>
      <c r="E668" s="14" t="str">
        <f aca="false">IF(C668="","",C668*D668/100)</f>
        <v/>
      </c>
      <c r="F668" s="15" t="str">
        <f aca="false">IF(B668&lt;5,"Go","Standard")</f>
        <v>Standard</v>
      </c>
    </row>
    <row r="669" customFormat="false" ht="15" hidden="false" customHeight="true" outlineLevel="0" collapsed="false">
      <c r="A669" s="10" t="n">
        <f aca="false">Einstellungen!$B$5+INT((ROW()-9)/24)</f>
        <v>45993</v>
      </c>
      <c r="B669" s="11" t="n">
        <f aca="false">MOD(ROW()-9,24)</f>
        <v>12</v>
      </c>
      <c r="C669" s="12"/>
      <c r="D669" s="13" t="n">
        <f aca="false">IF(B669&lt;5,Einstellungen!$B$3,Einstellungen!$B$4)</f>
        <v>29.13</v>
      </c>
      <c r="E669" s="14" t="str">
        <f aca="false">IF(C669="","",C669*D669/100)</f>
        <v/>
      </c>
      <c r="F669" s="15" t="str">
        <f aca="false">IF(B669&lt;5,"Go","Standard")</f>
        <v>Standard</v>
      </c>
    </row>
    <row r="670" customFormat="false" ht="15" hidden="false" customHeight="true" outlineLevel="0" collapsed="false">
      <c r="A670" s="10" t="n">
        <f aca="false">Einstellungen!$B$5+INT((ROW()-9)/24)</f>
        <v>45993</v>
      </c>
      <c r="B670" s="11" t="n">
        <f aca="false">MOD(ROW()-9,24)</f>
        <v>13</v>
      </c>
      <c r="C670" s="12"/>
      <c r="D670" s="13" t="n">
        <f aca="false">IF(B670&lt;5,Einstellungen!$B$3,Einstellungen!$B$4)</f>
        <v>29.13</v>
      </c>
      <c r="E670" s="14" t="str">
        <f aca="false">IF(C670="","",C670*D670/100)</f>
        <v/>
      </c>
      <c r="F670" s="15" t="str">
        <f aca="false">IF(B670&lt;5,"Go","Standard")</f>
        <v>Standard</v>
      </c>
    </row>
    <row r="671" customFormat="false" ht="15" hidden="false" customHeight="true" outlineLevel="0" collapsed="false">
      <c r="A671" s="10" t="n">
        <f aca="false">Einstellungen!$B$5+INT((ROW()-9)/24)</f>
        <v>45993</v>
      </c>
      <c r="B671" s="11" t="n">
        <f aca="false">MOD(ROW()-9,24)</f>
        <v>14</v>
      </c>
      <c r="C671" s="12"/>
      <c r="D671" s="13" t="n">
        <f aca="false">IF(B671&lt;5,Einstellungen!$B$3,Einstellungen!$B$4)</f>
        <v>29.13</v>
      </c>
      <c r="E671" s="14" t="str">
        <f aca="false">IF(C671="","",C671*D671/100)</f>
        <v/>
      </c>
      <c r="F671" s="15" t="str">
        <f aca="false">IF(B671&lt;5,"Go","Standard")</f>
        <v>Standard</v>
      </c>
    </row>
    <row r="672" customFormat="false" ht="15" hidden="false" customHeight="true" outlineLevel="0" collapsed="false">
      <c r="A672" s="10" t="n">
        <f aca="false">Einstellungen!$B$5+INT((ROW()-9)/24)</f>
        <v>45993</v>
      </c>
      <c r="B672" s="11" t="n">
        <f aca="false">MOD(ROW()-9,24)</f>
        <v>15</v>
      </c>
      <c r="C672" s="12"/>
      <c r="D672" s="13" t="n">
        <f aca="false">IF(B672&lt;5,Einstellungen!$B$3,Einstellungen!$B$4)</f>
        <v>29.13</v>
      </c>
      <c r="E672" s="14" t="str">
        <f aca="false">IF(C672="","",C672*D672/100)</f>
        <v/>
      </c>
      <c r="F672" s="15" t="str">
        <f aca="false">IF(B672&lt;5,"Go","Standard")</f>
        <v>Standard</v>
      </c>
    </row>
    <row r="673" customFormat="false" ht="15" hidden="false" customHeight="true" outlineLevel="0" collapsed="false">
      <c r="A673" s="10" t="n">
        <f aca="false">Einstellungen!$B$5+INT((ROW()-9)/24)</f>
        <v>45993</v>
      </c>
      <c r="B673" s="11" t="n">
        <f aca="false">MOD(ROW()-9,24)</f>
        <v>16</v>
      </c>
      <c r="C673" s="12"/>
      <c r="D673" s="13" t="n">
        <f aca="false">IF(B673&lt;5,Einstellungen!$B$3,Einstellungen!$B$4)</f>
        <v>29.13</v>
      </c>
      <c r="E673" s="14" t="str">
        <f aca="false">IF(C673="","",C673*D673/100)</f>
        <v/>
      </c>
      <c r="F673" s="15" t="str">
        <f aca="false">IF(B673&lt;5,"Go","Standard")</f>
        <v>Standard</v>
      </c>
    </row>
    <row r="674" customFormat="false" ht="15" hidden="false" customHeight="true" outlineLevel="0" collapsed="false">
      <c r="A674" s="10" t="n">
        <f aca="false">Einstellungen!$B$5+INT((ROW()-9)/24)</f>
        <v>45993</v>
      </c>
      <c r="B674" s="11" t="n">
        <f aca="false">MOD(ROW()-9,24)</f>
        <v>17</v>
      </c>
      <c r="C674" s="12"/>
      <c r="D674" s="13" t="n">
        <f aca="false">IF(B674&lt;5,Einstellungen!$B$3,Einstellungen!$B$4)</f>
        <v>29.13</v>
      </c>
      <c r="E674" s="14" t="str">
        <f aca="false">IF(C674="","",C674*D674/100)</f>
        <v/>
      </c>
      <c r="F674" s="15" t="str">
        <f aca="false">IF(B674&lt;5,"Go","Standard")</f>
        <v>Standard</v>
      </c>
    </row>
    <row r="675" customFormat="false" ht="15" hidden="false" customHeight="true" outlineLevel="0" collapsed="false">
      <c r="A675" s="10" t="n">
        <f aca="false">Einstellungen!$B$5+INT((ROW()-9)/24)</f>
        <v>45993</v>
      </c>
      <c r="B675" s="11" t="n">
        <f aca="false">MOD(ROW()-9,24)</f>
        <v>18</v>
      </c>
      <c r="C675" s="12"/>
      <c r="D675" s="13" t="n">
        <f aca="false">IF(B675&lt;5,Einstellungen!$B$3,Einstellungen!$B$4)</f>
        <v>29.13</v>
      </c>
      <c r="E675" s="14" t="str">
        <f aca="false">IF(C675="","",C675*D675/100)</f>
        <v/>
      </c>
      <c r="F675" s="15" t="str">
        <f aca="false">IF(B675&lt;5,"Go","Standard")</f>
        <v>Standard</v>
      </c>
    </row>
    <row r="676" customFormat="false" ht="15" hidden="false" customHeight="true" outlineLevel="0" collapsed="false">
      <c r="A676" s="10" t="n">
        <f aca="false">Einstellungen!$B$5+INT((ROW()-9)/24)</f>
        <v>45993</v>
      </c>
      <c r="B676" s="11" t="n">
        <f aca="false">MOD(ROW()-9,24)</f>
        <v>19</v>
      </c>
      <c r="C676" s="12"/>
      <c r="D676" s="13" t="n">
        <f aca="false">IF(B676&lt;5,Einstellungen!$B$3,Einstellungen!$B$4)</f>
        <v>29.13</v>
      </c>
      <c r="E676" s="14" t="str">
        <f aca="false">IF(C676="","",C676*D676/100)</f>
        <v/>
      </c>
      <c r="F676" s="15" t="str">
        <f aca="false">IF(B676&lt;5,"Go","Standard")</f>
        <v>Standard</v>
      </c>
    </row>
    <row r="677" customFormat="false" ht="15" hidden="false" customHeight="true" outlineLevel="0" collapsed="false">
      <c r="A677" s="10" t="n">
        <f aca="false">Einstellungen!$B$5+INT((ROW()-9)/24)</f>
        <v>45993</v>
      </c>
      <c r="B677" s="11" t="n">
        <f aca="false">MOD(ROW()-9,24)</f>
        <v>20</v>
      </c>
      <c r="C677" s="12"/>
      <c r="D677" s="13" t="n">
        <f aca="false">IF(B677&lt;5,Einstellungen!$B$3,Einstellungen!$B$4)</f>
        <v>29.13</v>
      </c>
      <c r="E677" s="14" t="str">
        <f aca="false">IF(C677="","",C677*D677/100)</f>
        <v/>
      </c>
      <c r="F677" s="15" t="str">
        <f aca="false">IF(B677&lt;5,"Go","Standard")</f>
        <v>Standard</v>
      </c>
    </row>
    <row r="678" customFormat="false" ht="15" hidden="false" customHeight="true" outlineLevel="0" collapsed="false">
      <c r="A678" s="10" t="n">
        <f aca="false">Einstellungen!$B$5+INT((ROW()-9)/24)</f>
        <v>45993</v>
      </c>
      <c r="B678" s="11" t="n">
        <f aca="false">MOD(ROW()-9,24)</f>
        <v>21</v>
      </c>
      <c r="C678" s="12"/>
      <c r="D678" s="13" t="n">
        <f aca="false">IF(B678&lt;5,Einstellungen!$B$3,Einstellungen!$B$4)</f>
        <v>29.13</v>
      </c>
      <c r="E678" s="14" t="str">
        <f aca="false">IF(C678="","",C678*D678/100)</f>
        <v/>
      </c>
      <c r="F678" s="15" t="str">
        <f aca="false">IF(B678&lt;5,"Go","Standard")</f>
        <v>Standard</v>
      </c>
    </row>
    <row r="679" customFormat="false" ht="15" hidden="false" customHeight="true" outlineLevel="0" collapsed="false">
      <c r="A679" s="10" t="n">
        <f aca="false">Einstellungen!$B$5+INT((ROW()-9)/24)</f>
        <v>45993</v>
      </c>
      <c r="B679" s="11" t="n">
        <f aca="false">MOD(ROW()-9,24)</f>
        <v>22</v>
      </c>
      <c r="C679" s="12"/>
      <c r="D679" s="13" t="n">
        <f aca="false">IF(B679&lt;5,Einstellungen!$B$3,Einstellungen!$B$4)</f>
        <v>29.13</v>
      </c>
      <c r="E679" s="14" t="str">
        <f aca="false">IF(C679="","",C679*D679/100)</f>
        <v/>
      </c>
      <c r="F679" s="15" t="str">
        <f aca="false">IF(B679&lt;5,"Go","Standard")</f>
        <v>Standard</v>
      </c>
    </row>
    <row r="680" customFormat="false" ht="15" hidden="false" customHeight="true" outlineLevel="0" collapsed="false">
      <c r="A680" s="10" t="n">
        <f aca="false">Einstellungen!$B$5+INT((ROW()-9)/24)</f>
        <v>45993</v>
      </c>
      <c r="B680" s="11" t="n">
        <f aca="false">MOD(ROW()-9,24)</f>
        <v>23</v>
      </c>
      <c r="C680" s="12"/>
      <c r="D680" s="13" t="n">
        <f aca="false">IF(B680&lt;5,Einstellungen!$B$3,Einstellungen!$B$4)</f>
        <v>29.13</v>
      </c>
      <c r="E680" s="14" t="str">
        <f aca="false">IF(C680="","",C680*D680/100)</f>
        <v/>
      </c>
      <c r="F680" s="15" t="str">
        <f aca="false">IF(B680&lt;5,"Go","Standard")</f>
        <v>Standard</v>
      </c>
    </row>
    <row r="681" customFormat="false" ht="15" hidden="false" customHeight="true" outlineLevel="0" collapsed="false">
      <c r="A681" s="10" t="n">
        <f aca="false">Einstellungen!$B$5+INT((ROW()-9)/24)</f>
        <v>45994</v>
      </c>
      <c r="B681" s="11" t="n">
        <f aca="false">MOD(ROW()-9,24)</f>
        <v>0</v>
      </c>
      <c r="C681" s="12"/>
      <c r="D681" s="13" t="n">
        <f aca="false">IF(B681&lt;5,Einstellungen!$B$3,Einstellungen!$B$4)</f>
        <v>15.92</v>
      </c>
      <c r="E681" s="14" t="str">
        <f aca="false">IF(C681="","",C681*D681/100)</f>
        <v/>
      </c>
      <c r="F681" s="15" t="str">
        <f aca="false">IF(B681&lt;5,"Go","Standard")</f>
        <v>Go</v>
      </c>
    </row>
    <row r="682" customFormat="false" ht="15" hidden="false" customHeight="true" outlineLevel="0" collapsed="false">
      <c r="A682" s="10" t="n">
        <f aca="false">Einstellungen!$B$5+INT((ROW()-9)/24)</f>
        <v>45994</v>
      </c>
      <c r="B682" s="11" t="n">
        <f aca="false">MOD(ROW()-9,24)</f>
        <v>1</v>
      </c>
      <c r="C682" s="12"/>
      <c r="D682" s="13" t="n">
        <f aca="false">IF(B682&lt;5,Einstellungen!$B$3,Einstellungen!$B$4)</f>
        <v>15.92</v>
      </c>
      <c r="E682" s="14" t="str">
        <f aca="false">IF(C682="","",C682*D682/100)</f>
        <v/>
      </c>
      <c r="F682" s="15" t="str">
        <f aca="false">IF(B682&lt;5,"Go","Standard")</f>
        <v>Go</v>
      </c>
    </row>
    <row r="683" customFormat="false" ht="15" hidden="false" customHeight="true" outlineLevel="0" collapsed="false">
      <c r="A683" s="10" t="n">
        <f aca="false">Einstellungen!$B$5+INT((ROW()-9)/24)</f>
        <v>45994</v>
      </c>
      <c r="B683" s="11" t="n">
        <f aca="false">MOD(ROW()-9,24)</f>
        <v>2</v>
      </c>
      <c r="C683" s="12"/>
      <c r="D683" s="13" t="n">
        <f aca="false">IF(B683&lt;5,Einstellungen!$B$3,Einstellungen!$B$4)</f>
        <v>15.92</v>
      </c>
      <c r="E683" s="14" t="str">
        <f aca="false">IF(C683="","",C683*D683/100)</f>
        <v/>
      </c>
      <c r="F683" s="15" t="str">
        <f aca="false">IF(B683&lt;5,"Go","Standard")</f>
        <v>Go</v>
      </c>
    </row>
    <row r="684" customFormat="false" ht="15" hidden="false" customHeight="true" outlineLevel="0" collapsed="false">
      <c r="A684" s="10" t="n">
        <f aca="false">Einstellungen!$B$5+INT((ROW()-9)/24)</f>
        <v>45994</v>
      </c>
      <c r="B684" s="11" t="n">
        <f aca="false">MOD(ROW()-9,24)</f>
        <v>3</v>
      </c>
      <c r="C684" s="12"/>
      <c r="D684" s="13" t="n">
        <f aca="false">IF(B684&lt;5,Einstellungen!$B$3,Einstellungen!$B$4)</f>
        <v>15.92</v>
      </c>
      <c r="E684" s="14" t="str">
        <f aca="false">IF(C684="","",C684*D684/100)</f>
        <v/>
      </c>
      <c r="F684" s="15" t="str">
        <f aca="false">IF(B684&lt;5,"Go","Standard")</f>
        <v>Go</v>
      </c>
    </row>
    <row r="685" customFormat="false" ht="15" hidden="false" customHeight="true" outlineLevel="0" collapsed="false">
      <c r="A685" s="10" t="n">
        <f aca="false">Einstellungen!$B$5+INT((ROW()-9)/24)</f>
        <v>45994</v>
      </c>
      <c r="B685" s="11" t="n">
        <f aca="false">MOD(ROW()-9,24)</f>
        <v>4</v>
      </c>
      <c r="C685" s="12"/>
      <c r="D685" s="13" t="n">
        <f aca="false">IF(B685&lt;5,Einstellungen!$B$3,Einstellungen!$B$4)</f>
        <v>15.92</v>
      </c>
      <c r="E685" s="14" t="str">
        <f aca="false">IF(C685="","",C685*D685/100)</f>
        <v/>
      </c>
      <c r="F685" s="15" t="str">
        <f aca="false">IF(B685&lt;5,"Go","Standard")</f>
        <v>Go</v>
      </c>
    </row>
    <row r="686" customFormat="false" ht="15" hidden="false" customHeight="true" outlineLevel="0" collapsed="false">
      <c r="A686" s="10" t="n">
        <f aca="false">Einstellungen!$B$5+INT((ROW()-9)/24)</f>
        <v>45994</v>
      </c>
      <c r="B686" s="11" t="n">
        <f aca="false">MOD(ROW()-9,24)</f>
        <v>5</v>
      </c>
      <c r="C686" s="12"/>
      <c r="D686" s="13" t="n">
        <f aca="false">IF(B686&lt;5,Einstellungen!$B$3,Einstellungen!$B$4)</f>
        <v>29.13</v>
      </c>
      <c r="E686" s="14" t="str">
        <f aca="false">IF(C686="","",C686*D686/100)</f>
        <v/>
      </c>
      <c r="F686" s="15" t="str">
        <f aca="false">IF(B686&lt;5,"Go","Standard")</f>
        <v>Standard</v>
      </c>
    </row>
    <row r="687" customFormat="false" ht="15" hidden="false" customHeight="true" outlineLevel="0" collapsed="false">
      <c r="A687" s="10" t="n">
        <f aca="false">Einstellungen!$B$5+INT((ROW()-9)/24)</f>
        <v>45994</v>
      </c>
      <c r="B687" s="11" t="n">
        <f aca="false">MOD(ROW()-9,24)</f>
        <v>6</v>
      </c>
      <c r="C687" s="12"/>
      <c r="D687" s="13" t="n">
        <f aca="false">IF(B687&lt;5,Einstellungen!$B$3,Einstellungen!$B$4)</f>
        <v>29.13</v>
      </c>
      <c r="E687" s="14" t="str">
        <f aca="false">IF(C687="","",C687*D687/100)</f>
        <v/>
      </c>
      <c r="F687" s="15" t="str">
        <f aca="false">IF(B687&lt;5,"Go","Standard")</f>
        <v>Standard</v>
      </c>
    </row>
    <row r="688" customFormat="false" ht="15" hidden="false" customHeight="true" outlineLevel="0" collapsed="false">
      <c r="A688" s="10" t="n">
        <f aca="false">Einstellungen!$B$5+INT((ROW()-9)/24)</f>
        <v>45994</v>
      </c>
      <c r="B688" s="11" t="n">
        <f aca="false">MOD(ROW()-9,24)</f>
        <v>7</v>
      </c>
      <c r="C688" s="12"/>
      <c r="D688" s="13" t="n">
        <f aca="false">IF(B688&lt;5,Einstellungen!$B$3,Einstellungen!$B$4)</f>
        <v>29.13</v>
      </c>
      <c r="E688" s="14" t="str">
        <f aca="false">IF(C688="","",C688*D688/100)</f>
        <v/>
      </c>
      <c r="F688" s="15" t="str">
        <f aca="false">IF(B688&lt;5,"Go","Standard")</f>
        <v>Standard</v>
      </c>
    </row>
    <row r="689" customFormat="false" ht="15" hidden="false" customHeight="true" outlineLevel="0" collapsed="false">
      <c r="A689" s="10" t="n">
        <f aca="false">Einstellungen!$B$5+INT((ROW()-9)/24)</f>
        <v>45994</v>
      </c>
      <c r="B689" s="11" t="n">
        <f aca="false">MOD(ROW()-9,24)</f>
        <v>8</v>
      </c>
      <c r="C689" s="12"/>
      <c r="D689" s="13" t="n">
        <f aca="false">IF(B689&lt;5,Einstellungen!$B$3,Einstellungen!$B$4)</f>
        <v>29.13</v>
      </c>
      <c r="E689" s="14" t="str">
        <f aca="false">IF(C689="","",C689*D689/100)</f>
        <v/>
      </c>
      <c r="F689" s="15" t="str">
        <f aca="false">IF(B689&lt;5,"Go","Standard")</f>
        <v>Standard</v>
      </c>
    </row>
    <row r="690" customFormat="false" ht="15" hidden="false" customHeight="true" outlineLevel="0" collapsed="false">
      <c r="A690" s="10" t="n">
        <f aca="false">Einstellungen!$B$5+INT((ROW()-9)/24)</f>
        <v>45994</v>
      </c>
      <c r="B690" s="11" t="n">
        <f aca="false">MOD(ROW()-9,24)</f>
        <v>9</v>
      </c>
      <c r="C690" s="12"/>
      <c r="D690" s="13" t="n">
        <f aca="false">IF(B690&lt;5,Einstellungen!$B$3,Einstellungen!$B$4)</f>
        <v>29.13</v>
      </c>
      <c r="E690" s="14" t="str">
        <f aca="false">IF(C690="","",C690*D690/100)</f>
        <v/>
      </c>
      <c r="F690" s="15" t="str">
        <f aca="false">IF(B690&lt;5,"Go","Standard")</f>
        <v>Standard</v>
      </c>
    </row>
    <row r="691" customFormat="false" ht="15" hidden="false" customHeight="true" outlineLevel="0" collapsed="false">
      <c r="A691" s="10" t="n">
        <f aca="false">Einstellungen!$B$5+INT((ROW()-9)/24)</f>
        <v>45994</v>
      </c>
      <c r="B691" s="11" t="n">
        <f aca="false">MOD(ROW()-9,24)</f>
        <v>10</v>
      </c>
      <c r="C691" s="12"/>
      <c r="D691" s="13" t="n">
        <f aca="false">IF(B691&lt;5,Einstellungen!$B$3,Einstellungen!$B$4)</f>
        <v>29.13</v>
      </c>
      <c r="E691" s="14" t="str">
        <f aca="false">IF(C691="","",C691*D691/100)</f>
        <v/>
      </c>
      <c r="F691" s="15" t="str">
        <f aca="false">IF(B691&lt;5,"Go","Standard")</f>
        <v>Standard</v>
      </c>
    </row>
    <row r="692" customFormat="false" ht="15" hidden="false" customHeight="true" outlineLevel="0" collapsed="false">
      <c r="A692" s="10" t="n">
        <f aca="false">Einstellungen!$B$5+INT((ROW()-9)/24)</f>
        <v>45994</v>
      </c>
      <c r="B692" s="11" t="n">
        <f aca="false">MOD(ROW()-9,24)</f>
        <v>11</v>
      </c>
      <c r="C692" s="12"/>
      <c r="D692" s="13" t="n">
        <f aca="false">IF(B692&lt;5,Einstellungen!$B$3,Einstellungen!$B$4)</f>
        <v>29.13</v>
      </c>
      <c r="E692" s="14" t="str">
        <f aca="false">IF(C692="","",C692*D692/100)</f>
        <v/>
      </c>
      <c r="F692" s="15" t="str">
        <f aca="false">IF(B692&lt;5,"Go","Standard")</f>
        <v>Standard</v>
      </c>
    </row>
    <row r="693" customFormat="false" ht="15" hidden="false" customHeight="true" outlineLevel="0" collapsed="false">
      <c r="A693" s="10" t="n">
        <f aca="false">Einstellungen!$B$5+INT((ROW()-9)/24)</f>
        <v>45994</v>
      </c>
      <c r="B693" s="11" t="n">
        <f aca="false">MOD(ROW()-9,24)</f>
        <v>12</v>
      </c>
      <c r="C693" s="12"/>
      <c r="D693" s="13" t="n">
        <f aca="false">IF(B693&lt;5,Einstellungen!$B$3,Einstellungen!$B$4)</f>
        <v>29.13</v>
      </c>
      <c r="E693" s="14" t="str">
        <f aca="false">IF(C693="","",C693*D693/100)</f>
        <v/>
      </c>
      <c r="F693" s="15" t="str">
        <f aca="false">IF(B693&lt;5,"Go","Standard")</f>
        <v>Standard</v>
      </c>
    </row>
    <row r="694" customFormat="false" ht="15" hidden="false" customHeight="true" outlineLevel="0" collapsed="false">
      <c r="A694" s="10" t="n">
        <f aca="false">Einstellungen!$B$5+INT((ROW()-9)/24)</f>
        <v>45994</v>
      </c>
      <c r="B694" s="11" t="n">
        <f aca="false">MOD(ROW()-9,24)</f>
        <v>13</v>
      </c>
      <c r="C694" s="12"/>
      <c r="D694" s="13" t="n">
        <f aca="false">IF(B694&lt;5,Einstellungen!$B$3,Einstellungen!$B$4)</f>
        <v>29.13</v>
      </c>
      <c r="E694" s="14" t="str">
        <f aca="false">IF(C694="","",C694*D694/100)</f>
        <v/>
      </c>
      <c r="F694" s="15" t="str">
        <f aca="false">IF(B694&lt;5,"Go","Standard")</f>
        <v>Standard</v>
      </c>
    </row>
    <row r="695" customFormat="false" ht="15" hidden="false" customHeight="true" outlineLevel="0" collapsed="false">
      <c r="A695" s="10" t="n">
        <f aca="false">Einstellungen!$B$5+INT((ROW()-9)/24)</f>
        <v>45994</v>
      </c>
      <c r="B695" s="11" t="n">
        <f aca="false">MOD(ROW()-9,24)</f>
        <v>14</v>
      </c>
      <c r="C695" s="12"/>
      <c r="D695" s="13" t="n">
        <f aca="false">IF(B695&lt;5,Einstellungen!$B$3,Einstellungen!$B$4)</f>
        <v>29.13</v>
      </c>
      <c r="E695" s="14" t="str">
        <f aca="false">IF(C695="","",C695*D695/100)</f>
        <v/>
      </c>
      <c r="F695" s="15" t="str">
        <f aca="false">IF(B695&lt;5,"Go","Standard")</f>
        <v>Standard</v>
      </c>
    </row>
    <row r="696" customFormat="false" ht="15" hidden="false" customHeight="true" outlineLevel="0" collapsed="false">
      <c r="A696" s="10" t="n">
        <f aca="false">Einstellungen!$B$5+INT((ROW()-9)/24)</f>
        <v>45994</v>
      </c>
      <c r="B696" s="11" t="n">
        <f aca="false">MOD(ROW()-9,24)</f>
        <v>15</v>
      </c>
      <c r="C696" s="12"/>
      <c r="D696" s="13" t="n">
        <f aca="false">IF(B696&lt;5,Einstellungen!$B$3,Einstellungen!$B$4)</f>
        <v>29.13</v>
      </c>
      <c r="E696" s="14" t="str">
        <f aca="false">IF(C696="","",C696*D696/100)</f>
        <v/>
      </c>
      <c r="F696" s="15" t="str">
        <f aca="false">IF(B696&lt;5,"Go","Standard")</f>
        <v>Standard</v>
      </c>
    </row>
    <row r="697" customFormat="false" ht="15" hidden="false" customHeight="true" outlineLevel="0" collapsed="false">
      <c r="A697" s="10" t="n">
        <f aca="false">Einstellungen!$B$5+INT((ROW()-9)/24)</f>
        <v>45994</v>
      </c>
      <c r="B697" s="11" t="n">
        <f aca="false">MOD(ROW()-9,24)</f>
        <v>16</v>
      </c>
      <c r="C697" s="12"/>
      <c r="D697" s="13" t="n">
        <f aca="false">IF(B697&lt;5,Einstellungen!$B$3,Einstellungen!$B$4)</f>
        <v>29.13</v>
      </c>
      <c r="E697" s="14" t="str">
        <f aca="false">IF(C697="","",C697*D697/100)</f>
        <v/>
      </c>
      <c r="F697" s="15" t="str">
        <f aca="false">IF(B697&lt;5,"Go","Standard")</f>
        <v>Standard</v>
      </c>
    </row>
    <row r="698" customFormat="false" ht="15" hidden="false" customHeight="true" outlineLevel="0" collapsed="false">
      <c r="A698" s="10" t="n">
        <f aca="false">Einstellungen!$B$5+INT((ROW()-9)/24)</f>
        <v>45994</v>
      </c>
      <c r="B698" s="11" t="n">
        <f aca="false">MOD(ROW()-9,24)</f>
        <v>17</v>
      </c>
      <c r="C698" s="12"/>
      <c r="D698" s="13" t="n">
        <f aca="false">IF(B698&lt;5,Einstellungen!$B$3,Einstellungen!$B$4)</f>
        <v>29.13</v>
      </c>
      <c r="E698" s="14" t="str">
        <f aca="false">IF(C698="","",C698*D698/100)</f>
        <v/>
      </c>
      <c r="F698" s="15" t="str">
        <f aca="false">IF(B698&lt;5,"Go","Standard")</f>
        <v>Standard</v>
      </c>
    </row>
    <row r="699" customFormat="false" ht="15" hidden="false" customHeight="true" outlineLevel="0" collapsed="false">
      <c r="A699" s="10" t="n">
        <f aca="false">Einstellungen!$B$5+INT((ROW()-9)/24)</f>
        <v>45994</v>
      </c>
      <c r="B699" s="11" t="n">
        <f aca="false">MOD(ROW()-9,24)</f>
        <v>18</v>
      </c>
      <c r="C699" s="12"/>
      <c r="D699" s="13" t="n">
        <f aca="false">IF(B699&lt;5,Einstellungen!$B$3,Einstellungen!$B$4)</f>
        <v>29.13</v>
      </c>
      <c r="E699" s="14" t="str">
        <f aca="false">IF(C699="","",C699*D699/100)</f>
        <v/>
      </c>
      <c r="F699" s="15" t="str">
        <f aca="false">IF(B699&lt;5,"Go","Standard")</f>
        <v>Standard</v>
      </c>
    </row>
    <row r="700" customFormat="false" ht="15" hidden="false" customHeight="true" outlineLevel="0" collapsed="false">
      <c r="A700" s="10" t="n">
        <f aca="false">Einstellungen!$B$5+INT((ROW()-9)/24)</f>
        <v>45994</v>
      </c>
      <c r="B700" s="11" t="n">
        <f aca="false">MOD(ROW()-9,24)</f>
        <v>19</v>
      </c>
      <c r="C700" s="12"/>
      <c r="D700" s="13" t="n">
        <f aca="false">IF(B700&lt;5,Einstellungen!$B$3,Einstellungen!$B$4)</f>
        <v>29.13</v>
      </c>
      <c r="E700" s="14" t="str">
        <f aca="false">IF(C700="","",C700*D700/100)</f>
        <v/>
      </c>
      <c r="F700" s="15" t="str">
        <f aca="false">IF(B700&lt;5,"Go","Standard")</f>
        <v>Standard</v>
      </c>
    </row>
    <row r="701" customFormat="false" ht="15" hidden="false" customHeight="true" outlineLevel="0" collapsed="false">
      <c r="A701" s="10" t="n">
        <f aca="false">Einstellungen!$B$5+INT((ROW()-9)/24)</f>
        <v>45994</v>
      </c>
      <c r="B701" s="11" t="n">
        <f aca="false">MOD(ROW()-9,24)</f>
        <v>20</v>
      </c>
      <c r="C701" s="12"/>
      <c r="D701" s="13" t="n">
        <f aca="false">IF(B701&lt;5,Einstellungen!$B$3,Einstellungen!$B$4)</f>
        <v>29.13</v>
      </c>
      <c r="E701" s="14" t="str">
        <f aca="false">IF(C701="","",C701*D701/100)</f>
        <v/>
      </c>
      <c r="F701" s="15" t="str">
        <f aca="false">IF(B701&lt;5,"Go","Standard")</f>
        <v>Standard</v>
      </c>
    </row>
    <row r="702" customFormat="false" ht="15" hidden="false" customHeight="true" outlineLevel="0" collapsed="false">
      <c r="A702" s="10" t="n">
        <f aca="false">Einstellungen!$B$5+INT((ROW()-9)/24)</f>
        <v>45994</v>
      </c>
      <c r="B702" s="11" t="n">
        <f aca="false">MOD(ROW()-9,24)</f>
        <v>21</v>
      </c>
      <c r="C702" s="12"/>
      <c r="D702" s="13" t="n">
        <f aca="false">IF(B702&lt;5,Einstellungen!$B$3,Einstellungen!$B$4)</f>
        <v>29.13</v>
      </c>
      <c r="E702" s="14" t="str">
        <f aca="false">IF(C702="","",C702*D702/100)</f>
        <v/>
      </c>
      <c r="F702" s="15" t="str">
        <f aca="false">IF(B702&lt;5,"Go","Standard")</f>
        <v>Standard</v>
      </c>
    </row>
    <row r="703" customFormat="false" ht="15" hidden="false" customHeight="true" outlineLevel="0" collapsed="false">
      <c r="A703" s="10" t="n">
        <f aca="false">Einstellungen!$B$5+INT((ROW()-9)/24)</f>
        <v>45994</v>
      </c>
      <c r="B703" s="11" t="n">
        <f aca="false">MOD(ROW()-9,24)</f>
        <v>22</v>
      </c>
      <c r="C703" s="12"/>
      <c r="D703" s="13" t="n">
        <f aca="false">IF(B703&lt;5,Einstellungen!$B$3,Einstellungen!$B$4)</f>
        <v>29.13</v>
      </c>
      <c r="E703" s="14" t="str">
        <f aca="false">IF(C703="","",C703*D703/100)</f>
        <v/>
      </c>
      <c r="F703" s="15" t="str">
        <f aca="false">IF(B703&lt;5,"Go","Standard")</f>
        <v>Standard</v>
      </c>
    </row>
    <row r="704" customFormat="false" ht="15" hidden="false" customHeight="true" outlineLevel="0" collapsed="false">
      <c r="A704" s="10" t="n">
        <f aca="false">Einstellungen!$B$5+INT((ROW()-9)/24)</f>
        <v>45994</v>
      </c>
      <c r="B704" s="11" t="n">
        <f aca="false">MOD(ROW()-9,24)</f>
        <v>23</v>
      </c>
      <c r="C704" s="12"/>
      <c r="D704" s="13" t="n">
        <f aca="false">IF(B704&lt;5,Einstellungen!$B$3,Einstellungen!$B$4)</f>
        <v>29.13</v>
      </c>
      <c r="E704" s="14" t="str">
        <f aca="false">IF(C704="","",C704*D704/100)</f>
        <v/>
      </c>
      <c r="F704" s="15" t="str">
        <f aca="false">IF(B704&lt;5,"Go","Standard")</f>
        <v>Standard</v>
      </c>
    </row>
    <row r="705" customFormat="false" ht="15" hidden="false" customHeight="true" outlineLevel="0" collapsed="false">
      <c r="A705" s="10" t="n">
        <f aca="false">Einstellungen!$B$5+INT((ROW()-9)/24)</f>
        <v>45995</v>
      </c>
      <c r="B705" s="11" t="n">
        <f aca="false">MOD(ROW()-9,24)</f>
        <v>0</v>
      </c>
      <c r="C705" s="12"/>
      <c r="D705" s="13" t="n">
        <f aca="false">IF(B705&lt;5,Einstellungen!$B$3,Einstellungen!$B$4)</f>
        <v>15.92</v>
      </c>
      <c r="E705" s="14" t="str">
        <f aca="false">IF(C705="","",C705*D705/100)</f>
        <v/>
      </c>
      <c r="F705" s="15" t="str">
        <f aca="false">IF(B705&lt;5,"Go","Standard")</f>
        <v>Go</v>
      </c>
    </row>
    <row r="706" customFormat="false" ht="15" hidden="false" customHeight="true" outlineLevel="0" collapsed="false">
      <c r="A706" s="10" t="n">
        <f aca="false">Einstellungen!$B$5+INT((ROW()-9)/24)</f>
        <v>45995</v>
      </c>
      <c r="B706" s="11" t="n">
        <f aca="false">MOD(ROW()-9,24)</f>
        <v>1</v>
      </c>
      <c r="C706" s="12"/>
      <c r="D706" s="13" t="n">
        <f aca="false">IF(B706&lt;5,Einstellungen!$B$3,Einstellungen!$B$4)</f>
        <v>15.92</v>
      </c>
      <c r="E706" s="14" t="str">
        <f aca="false">IF(C706="","",C706*D706/100)</f>
        <v/>
      </c>
      <c r="F706" s="15" t="str">
        <f aca="false">IF(B706&lt;5,"Go","Standard")</f>
        <v>Go</v>
      </c>
    </row>
    <row r="707" customFormat="false" ht="15" hidden="false" customHeight="true" outlineLevel="0" collapsed="false">
      <c r="A707" s="10" t="n">
        <f aca="false">Einstellungen!$B$5+INT((ROW()-9)/24)</f>
        <v>45995</v>
      </c>
      <c r="B707" s="11" t="n">
        <f aca="false">MOD(ROW()-9,24)</f>
        <v>2</v>
      </c>
      <c r="C707" s="12"/>
      <c r="D707" s="13" t="n">
        <f aca="false">IF(B707&lt;5,Einstellungen!$B$3,Einstellungen!$B$4)</f>
        <v>15.92</v>
      </c>
      <c r="E707" s="14" t="str">
        <f aca="false">IF(C707="","",C707*D707/100)</f>
        <v/>
      </c>
      <c r="F707" s="15" t="str">
        <f aca="false">IF(B707&lt;5,"Go","Standard")</f>
        <v>Go</v>
      </c>
    </row>
    <row r="708" customFormat="false" ht="15" hidden="false" customHeight="true" outlineLevel="0" collapsed="false">
      <c r="A708" s="10" t="n">
        <f aca="false">Einstellungen!$B$5+INT((ROW()-9)/24)</f>
        <v>45995</v>
      </c>
      <c r="B708" s="11" t="n">
        <f aca="false">MOD(ROW()-9,24)</f>
        <v>3</v>
      </c>
      <c r="C708" s="12"/>
      <c r="D708" s="13" t="n">
        <f aca="false">IF(B708&lt;5,Einstellungen!$B$3,Einstellungen!$B$4)</f>
        <v>15.92</v>
      </c>
      <c r="E708" s="14" t="str">
        <f aca="false">IF(C708="","",C708*D708/100)</f>
        <v/>
      </c>
      <c r="F708" s="15" t="str">
        <f aca="false">IF(B708&lt;5,"Go","Standard")</f>
        <v>Go</v>
      </c>
    </row>
    <row r="709" customFormat="false" ht="15" hidden="false" customHeight="true" outlineLevel="0" collapsed="false">
      <c r="A709" s="10" t="n">
        <f aca="false">Einstellungen!$B$5+INT((ROW()-9)/24)</f>
        <v>45995</v>
      </c>
      <c r="B709" s="11" t="n">
        <f aca="false">MOD(ROW()-9,24)</f>
        <v>4</v>
      </c>
      <c r="C709" s="12"/>
      <c r="D709" s="13" t="n">
        <f aca="false">IF(B709&lt;5,Einstellungen!$B$3,Einstellungen!$B$4)</f>
        <v>15.92</v>
      </c>
      <c r="E709" s="14" t="str">
        <f aca="false">IF(C709="","",C709*D709/100)</f>
        <v/>
      </c>
      <c r="F709" s="15" t="str">
        <f aca="false">IF(B709&lt;5,"Go","Standard")</f>
        <v>Go</v>
      </c>
    </row>
    <row r="710" customFormat="false" ht="15" hidden="false" customHeight="true" outlineLevel="0" collapsed="false">
      <c r="A710" s="10" t="n">
        <f aca="false">Einstellungen!$B$5+INT((ROW()-9)/24)</f>
        <v>45995</v>
      </c>
      <c r="B710" s="11" t="n">
        <f aca="false">MOD(ROW()-9,24)</f>
        <v>5</v>
      </c>
      <c r="C710" s="12"/>
      <c r="D710" s="13" t="n">
        <f aca="false">IF(B710&lt;5,Einstellungen!$B$3,Einstellungen!$B$4)</f>
        <v>29.13</v>
      </c>
      <c r="E710" s="14" t="str">
        <f aca="false">IF(C710="","",C710*D710/100)</f>
        <v/>
      </c>
      <c r="F710" s="15" t="str">
        <f aca="false">IF(B710&lt;5,"Go","Standard")</f>
        <v>Standard</v>
      </c>
    </row>
    <row r="711" customFormat="false" ht="15" hidden="false" customHeight="true" outlineLevel="0" collapsed="false">
      <c r="A711" s="10" t="n">
        <f aca="false">Einstellungen!$B$5+INT((ROW()-9)/24)</f>
        <v>45995</v>
      </c>
      <c r="B711" s="11" t="n">
        <f aca="false">MOD(ROW()-9,24)</f>
        <v>6</v>
      </c>
      <c r="C711" s="12"/>
      <c r="D711" s="13" t="n">
        <f aca="false">IF(B711&lt;5,Einstellungen!$B$3,Einstellungen!$B$4)</f>
        <v>29.13</v>
      </c>
      <c r="E711" s="14" t="str">
        <f aca="false">IF(C711="","",C711*D711/100)</f>
        <v/>
      </c>
      <c r="F711" s="15" t="str">
        <f aca="false">IF(B711&lt;5,"Go","Standard")</f>
        <v>Standard</v>
      </c>
    </row>
    <row r="712" customFormat="false" ht="15" hidden="false" customHeight="true" outlineLevel="0" collapsed="false">
      <c r="A712" s="10" t="n">
        <f aca="false">Einstellungen!$B$5+INT((ROW()-9)/24)</f>
        <v>45995</v>
      </c>
      <c r="B712" s="11" t="n">
        <f aca="false">MOD(ROW()-9,24)</f>
        <v>7</v>
      </c>
      <c r="C712" s="12"/>
      <c r="D712" s="13" t="n">
        <f aca="false">IF(B712&lt;5,Einstellungen!$B$3,Einstellungen!$B$4)</f>
        <v>29.13</v>
      </c>
      <c r="E712" s="14" t="str">
        <f aca="false">IF(C712="","",C712*D712/100)</f>
        <v/>
      </c>
      <c r="F712" s="15" t="str">
        <f aca="false">IF(B712&lt;5,"Go","Standard")</f>
        <v>Standard</v>
      </c>
    </row>
    <row r="713" customFormat="false" ht="15" hidden="false" customHeight="true" outlineLevel="0" collapsed="false">
      <c r="A713" s="10" t="n">
        <f aca="false">Einstellungen!$B$5+INT((ROW()-9)/24)</f>
        <v>45995</v>
      </c>
      <c r="B713" s="11" t="n">
        <f aca="false">MOD(ROW()-9,24)</f>
        <v>8</v>
      </c>
      <c r="C713" s="12"/>
      <c r="D713" s="13" t="n">
        <f aca="false">IF(B713&lt;5,Einstellungen!$B$3,Einstellungen!$B$4)</f>
        <v>29.13</v>
      </c>
      <c r="E713" s="14" t="str">
        <f aca="false">IF(C713="","",C713*D713/100)</f>
        <v/>
      </c>
      <c r="F713" s="15" t="str">
        <f aca="false">IF(B713&lt;5,"Go","Standard")</f>
        <v>Standard</v>
      </c>
    </row>
    <row r="714" customFormat="false" ht="15" hidden="false" customHeight="true" outlineLevel="0" collapsed="false">
      <c r="A714" s="10" t="n">
        <f aca="false">Einstellungen!$B$5+INT((ROW()-9)/24)</f>
        <v>45995</v>
      </c>
      <c r="B714" s="11" t="n">
        <f aca="false">MOD(ROW()-9,24)</f>
        <v>9</v>
      </c>
      <c r="C714" s="12"/>
      <c r="D714" s="13" t="n">
        <f aca="false">IF(B714&lt;5,Einstellungen!$B$3,Einstellungen!$B$4)</f>
        <v>29.13</v>
      </c>
      <c r="E714" s="14" t="str">
        <f aca="false">IF(C714="","",C714*D714/100)</f>
        <v/>
      </c>
      <c r="F714" s="15" t="str">
        <f aca="false">IF(B714&lt;5,"Go","Standard")</f>
        <v>Standard</v>
      </c>
    </row>
    <row r="715" customFormat="false" ht="15" hidden="false" customHeight="true" outlineLevel="0" collapsed="false">
      <c r="A715" s="10" t="n">
        <f aca="false">Einstellungen!$B$5+INT((ROW()-9)/24)</f>
        <v>45995</v>
      </c>
      <c r="B715" s="11" t="n">
        <f aca="false">MOD(ROW()-9,24)</f>
        <v>10</v>
      </c>
      <c r="C715" s="12"/>
      <c r="D715" s="13" t="n">
        <f aca="false">IF(B715&lt;5,Einstellungen!$B$3,Einstellungen!$B$4)</f>
        <v>29.13</v>
      </c>
      <c r="E715" s="14" t="str">
        <f aca="false">IF(C715="","",C715*D715/100)</f>
        <v/>
      </c>
      <c r="F715" s="15" t="str">
        <f aca="false">IF(B715&lt;5,"Go","Standard")</f>
        <v>Standard</v>
      </c>
    </row>
    <row r="716" customFormat="false" ht="15" hidden="false" customHeight="true" outlineLevel="0" collapsed="false">
      <c r="A716" s="10" t="n">
        <f aca="false">Einstellungen!$B$5+INT((ROW()-9)/24)</f>
        <v>45995</v>
      </c>
      <c r="B716" s="11" t="n">
        <f aca="false">MOD(ROW()-9,24)</f>
        <v>11</v>
      </c>
      <c r="C716" s="12"/>
      <c r="D716" s="13" t="n">
        <f aca="false">IF(B716&lt;5,Einstellungen!$B$3,Einstellungen!$B$4)</f>
        <v>29.13</v>
      </c>
      <c r="E716" s="14" t="str">
        <f aca="false">IF(C716="","",C716*D716/100)</f>
        <v/>
      </c>
      <c r="F716" s="15" t="str">
        <f aca="false">IF(B716&lt;5,"Go","Standard")</f>
        <v>Standard</v>
      </c>
    </row>
    <row r="717" customFormat="false" ht="15" hidden="false" customHeight="true" outlineLevel="0" collapsed="false">
      <c r="A717" s="10" t="n">
        <f aca="false">Einstellungen!$B$5+INT((ROW()-9)/24)</f>
        <v>45995</v>
      </c>
      <c r="B717" s="11" t="n">
        <f aca="false">MOD(ROW()-9,24)</f>
        <v>12</v>
      </c>
      <c r="C717" s="12"/>
      <c r="D717" s="13" t="n">
        <f aca="false">IF(B717&lt;5,Einstellungen!$B$3,Einstellungen!$B$4)</f>
        <v>29.13</v>
      </c>
      <c r="E717" s="14" t="str">
        <f aca="false">IF(C717="","",C717*D717/100)</f>
        <v/>
      </c>
      <c r="F717" s="15" t="str">
        <f aca="false">IF(B717&lt;5,"Go","Standard")</f>
        <v>Standard</v>
      </c>
    </row>
    <row r="718" customFormat="false" ht="15" hidden="false" customHeight="true" outlineLevel="0" collapsed="false">
      <c r="A718" s="10" t="n">
        <f aca="false">Einstellungen!$B$5+INT((ROW()-9)/24)</f>
        <v>45995</v>
      </c>
      <c r="B718" s="11" t="n">
        <f aca="false">MOD(ROW()-9,24)</f>
        <v>13</v>
      </c>
      <c r="C718" s="12"/>
      <c r="D718" s="13" t="n">
        <f aca="false">IF(B718&lt;5,Einstellungen!$B$3,Einstellungen!$B$4)</f>
        <v>29.13</v>
      </c>
      <c r="E718" s="14" t="str">
        <f aca="false">IF(C718="","",C718*D718/100)</f>
        <v/>
      </c>
      <c r="F718" s="15" t="str">
        <f aca="false">IF(B718&lt;5,"Go","Standard")</f>
        <v>Standard</v>
      </c>
    </row>
    <row r="719" customFormat="false" ht="15" hidden="false" customHeight="true" outlineLevel="0" collapsed="false">
      <c r="A719" s="10" t="n">
        <f aca="false">Einstellungen!$B$5+INT((ROW()-9)/24)</f>
        <v>45995</v>
      </c>
      <c r="B719" s="11" t="n">
        <f aca="false">MOD(ROW()-9,24)</f>
        <v>14</v>
      </c>
      <c r="C719" s="12"/>
      <c r="D719" s="13" t="n">
        <f aca="false">IF(B719&lt;5,Einstellungen!$B$3,Einstellungen!$B$4)</f>
        <v>29.13</v>
      </c>
      <c r="E719" s="14" t="str">
        <f aca="false">IF(C719="","",C719*D719/100)</f>
        <v/>
      </c>
      <c r="F719" s="15" t="str">
        <f aca="false">IF(B719&lt;5,"Go","Standard")</f>
        <v>Standard</v>
      </c>
    </row>
    <row r="720" customFormat="false" ht="15" hidden="false" customHeight="true" outlineLevel="0" collapsed="false">
      <c r="A720" s="10" t="n">
        <f aca="false">Einstellungen!$B$5+INT((ROW()-9)/24)</f>
        <v>45995</v>
      </c>
      <c r="B720" s="11" t="n">
        <f aca="false">MOD(ROW()-9,24)</f>
        <v>15</v>
      </c>
      <c r="C720" s="12"/>
      <c r="D720" s="13" t="n">
        <f aca="false">IF(B720&lt;5,Einstellungen!$B$3,Einstellungen!$B$4)</f>
        <v>29.13</v>
      </c>
      <c r="E720" s="14" t="str">
        <f aca="false">IF(C720="","",C720*D720/100)</f>
        <v/>
      </c>
      <c r="F720" s="15" t="str">
        <f aca="false">IF(B720&lt;5,"Go","Standard")</f>
        <v>Standard</v>
      </c>
    </row>
    <row r="721" customFormat="false" ht="15" hidden="false" customHeight="true" outlineLevel="0" collapsed="false">
      <c r="A721" s="10" t="n">
        <f aca="false">Einstellungen!$B$5+INT((ROW()-9)/24)</f>
        <v>45995</v>
      </c>
      <c r="B721" s="11" t="n">
        <f aca="false">MOD(ROW()-9,24)</f>
        <v>16</v>
      </c>
      <c r="C721" s="12"/>
      <c r="D721" s="13" t="n">
        <f aca="false">IF(B721&lt;5,Einstellungen!$B$3,Einstellungen!$B$4)</f>
        <v>29.13</v>
      </c>
      <c r="E721" s="14" t="str">
        <f aca="false">IF(C721="","",C721*D721/100)</f>
        <v/>
      </c>
      <c r="F721" s="15" t="str">
        <f aca="false">IF(B721&lt;5,"Go","Standard")</f>
        <v>Standard</v>
      </c>
    </row>
    <row r="722" customFormat="false" ht="15" hidden="false" customHeight="true" outlineLevel="0" collapsed="false">
      <c r="A722" s="10" t="n">
        <f aca="false">Einstellungen!$B$5+INT((ROW()-9)/24)</f>
        <v>45995</v>
      </c>
      <c r="B722" s="11" t="n">
        <f aca="false">MOD(ROW()-9,24)</f>
        <v>17</v>
      </c>
      <c r="C722" s="12"/>
      <c r="D722" s="13" t="n">
        <f aca="false">IF(B722&lt;5,Einstellungen!$B$3,Einstellungen!$B$4)</f>
        <v>29.13</v>
      </c>
      <c r="E722" s="14" t="str">
        <f aca="false">IF(C722="","",C722*D722/100)</f>
        <v/>
      </c>
      <c r="F722" s="15" t="str">
        <f aca="false">IF(B722&lt;5,"Go","Standard")</f>
        <v>Standard</v>
      </c>
    </row>
    <row r="723" customFormat="false" ht="15" hidden="false" customHeight="true" outlineLevel="0" collapsed="false">
      <c r="A723" s="10" t="n">
        <f aca="false">Einstellungen!$B$5+INT((ROW()-9)/24)</f>
        <v>45995</v>
      </c>
      <c r="B723" s="11" t="n">
        <f aca="false">MOD(ROW()-9,24)</f>
        <v>18</v>
      </c>
      <c r="C723" s="12"/>
      <c r="D723" s="13" t="n">
        <f aca="false">IF(B723&lt;5,Einstellungen!$B$3,Einstellungen!$B$4)</f>
        <v>29.13</v>
      </c>
      <c r="E723" s="14" t="str">
        <f aca="false">IF(C723="","",C723*D723/100)</f>
        <v/>
      </c>
      <c r="F723" s="15" t="str">
        <f aca="false">IF(B723&lt;5,"Go","Standard")</f>
        <v>Standard</v>
      </c>
    </row>
    <row r="724" customFormat="false" ht="15" hidden="false" customHeight="true" outlineLevel="0" collapsed="false">
      <c r="A724" s="10" t="n">
        <f aca="false">Einstellungen!$B$5+INT((ROW()-9)/24)</f>
        <v>45995</v>
      </c>
      <c r="B724" s="11" t="n">
        <f aca="false">MOD(ROW()-9,24)</f>
        <v>19</v>
      </c>
      <c r="C724" s="12"/>
      <c r="D724" s="13" t="n">
        <f aca="false">IF(B724&lt;5,Einstellungen!$B$3,Einstellungen!$B$4)</f>
        <v>29.13</v>
      </c>
      <c r="E724" s="14" t="str">
        <f aca="false">IF(C724="","",C724*D724/100)</f>
        <v/>
      </c>
      <c r="F724" s="15" t="str">
        <f aca="false">IF(B724&lt;5,"Go","Standard")</f>
        <v>Standard</v>
      </c>
    </row>
    <row r="725" customFormat="false" ht="15" hidden="false" customHeight="true" outlineLevel="0" collapsed="false">
      <c r="A725" s="10" t="n">
        <f aca="false">Einstellungen!$B$5+INT((ROW()-9)/24)</f>
        <v>45995</v>
      </c>
      <c r="B725" s="11" t="n">
        <f aca="false">MOD(ROW()-9,24)</f>
        <v>20</v>
      </c>
      <c r="C725" s="12"/>
      <c r="D725" s="13" t="n">
        <f aca="false">IF(B725&lt;5,Einstellungen!$B$3,Einstellungen!$B$4)</f>
        <v>29.13</v>
      </c>
      <c r="E725" s="14" t="str">
        <f aca="false">IF(C725="","",C725*D725/100)</f>
        <v/>
      </c>
      <c r="F725" s="15" t="str">
        <f aca="false">IF(B725&lt;5,"Go","Standard")</f>
        <v>Standard</v>
      </c>
    </row>
    <row r="726" customFormat="false" ht="15" hidden="false" customHeight="true" outlineLevel="0" collapsed="false">
      <c r="A726" s="10" t="n">
        <f aca="false">Einstellungen!$B$5+INT((ROW()-9)/24)</f>
        <v>45995</v>
      </c>
      <c r="B726" s="11" t="n">
        <f aca="false">MOD(ROW()-9,24)</f>
        <v>21</v>
      </c>
      <c r="C726" s="12"/>
      <c r="D726" s="13" t="n">
        <f aca="false">IF(B726&lt;5,Einstellungen!$B$3,Einstellungen!$B$4)</f>
        <v>29.13</v>
      </c>
      <c r="E726" s="14" t="str">
        <f aca="false">IF(C726="","",C726*D726/100)</f>
        <v/>
      </c>
      <c r="F726" s="15" t="str">
        <f aca="false">IF(B726&lt;5,"Go","Standard")</f>
        <v>Standard</v>
      </c>
    </row>
    <row r="727" customFormat="false" ht="15" hidden="false" customHeight="true" outlineLevel="0" collapsed="false">
      <c r="A727" s="10" t="n">
        <f aca="false">Einstellungen!$B$5+INT((ROW()-9)/24)</f>
        <v>45995</v>
      </c>
      <c r="B727" s="11" t="n">
        <f aca="false">MOD(ROW()-9,24)</f>
        <v>22</v>
      </c>
      <c r="C727" s="12"/>
      <c r="D727" s="13" t="n">
        <f aca="false">IF(B727&lt;5,Einstellungen!$B$3,Einstellungen!$B$4)</f>
        <v>29.13</v>
      </c>
      <c r="E727" s="14" t="str">
        <f aca="false">IF(C727="","",C727*D727/100)</f>
        <v/>
      </c>
      <c r="F727" s="15" t="str">
        <f aca="false">IF(B727&lt;5,"Go","Standard")</f>
        <v>Standard</v>
      </c>
    </row>
    <row r="728" customFormat="false" ht="15" hidden="false" customHeight="true" outlineLevel="0" collapsed="false">
      <c r="A728" s="10" t="n">
        <f aca="false">Einstellungen!$B$5+INT((ROW()-9)/24)</f>
        <v>45995</v>
      </c>
      <c r="B728" s="11" t="n">
        <f aca="false">MOD(ROW()-9,24)</f>
        <v>23</v>
      </c>
      <c r="C728" s="12"/>
      <c r="D728" s="13" t="n">
        <f aca="false">IF(B728&lt;5,Einstellungen!$B$3,Einstellungen!$B$4)</f>
        <v>29.13</v>
      </c>
      <c r="E728" s="14" t="str">
        <f aca="false">IF(C728="","",C728*D728/100)</f>
        <v/>
      </c>
      <c r="F728" s="15" t="str">
        <f aca="false">IF(B728&lt;5,"Go","Standard")</f>
        <v>Standard</v>
      </c>
    </row>
    <row r="729" customFormat="false" ht="15" hidden="false" customHeight="true" outlineLevel="0" collapsed="false">
      <c r="A729" s="10" t="n">
        <f aca="false">Einstellungen!$B$5+INT((ROW()-9)/24)</f>
        <v>45996</v>
      </c>
      <c r="B729" s="11" t="n">
        <f aca="false">MOD(ROW()-9,24)</f>
        <v>0</v>
      </c>
      <c r="C729" s="12"/>
      <c r="D729" s="13" t="n">
        <f aca="false">IF(B729&lt;5,Einstellungen!$B$3,Einstellungen!$B$4)</f>
        <v>15.92</v>
      </c>
      <c r="E729" s="14" t="str">
        <f aca="false">IF(C729="","",C729*D729/100)</f>
        <v/>
      </c>
      <c r="F729" s="15" t="str">
        <f aca="false">IF(B729&lt;5,"Go","Standard")</f>
        <v>Go</v>
      </c>
    </row>
    <row r="730" customFormat="false" ht="15" hidden="false" customHeight="true" outlineLevel="0" collapsed="false">
      <c r="A730" s="10" t="n">
        <f aca="false">Einstellungen!$B$5+INT((ROW()-9)/24)</f>
        <v>45996</v>
      </c>
      <c r="B730" s="11" t="n">
        <f aca="false">MOD(ROW()-9,24)</f>
        <v>1</v>
      </c>
      <c r="C730" s="12"/>
      <c r="D730" s="13" t="n">
        <f aca="false">IF(B730&lt;5,Einstellungen!$B$3,Einstellungen!$B$4)</f>
        <v>15.92</v>
      </c>
      <c r="E730" s="14" t="str">
        <f aca="false">IF(C730="","",C730*D730/100)</f>
        <v/>
      </c>
      <c r="F730" s="15" t="str">
        <f aca="false">IF(B730&lt;5,"Go","Standard")</f>
        <v>Go</v>
      </c>
    </row>
    <row r="731" customFormat="false" ht="15" hidden="false" customHeight="true" outlineLevel="0" collapsed="false">
      <c r="A731" s="10" t="n">
        <f aca="false">Einstellungen!$B$5+INT((ROW()-9)/24)</f>
        <v>45996</v>
      </c>
      <c r="B731" s="11" t="n">
        <f aca="false">MOD(ROW()-9,24)</f>
        <v>2</v>
      </c>
      <c r="C731" s="12"/>
      <c r="D731" s="13" t="n">
        <f aca="false">IF(B731&lt;5,Einstellungen!$B$3,Einstellungen!$B$4)</f>
        <v>15.92</v>
      </c>
      <c r="E731" s="14" t="str">
        <f aca="false">IF(C731="","",C731*D731/100)</f>
        <v/>
      </c>
      <c r="F731" s="15" t="str">
        <f aca="false">IF(B731&lt;5,"Go","Standard")</f>
        <v>Go</v>
      </c>
    </row>
    <row r="732" customFormat="false" ht="15" hidden="false" customHeight="true" outlineLevel="0" collapsed="false">
      <c r="A732" s="10" t="n">
        <f aca="false">Einstellungen!$B$5+INT((ROW()-9)/24)</f>
        <v>45996</v>
      </c>
      <c r="B732" s="11" t="n">
        <f aca="false">MOD(ROW()-9,24)</f>
        <v>3</v>
      </c>
      <c r="C732" s="12"/>
      <c r="D732" s="13" t="n">
        <f aca="false">IF(B732&lt;5,Einstellungen!$B$3,Einstellungen!$B$4)</f>
        <v>15.92</v>
      </c>
      <c r="E732" s="14" t="str">
        <f aca="false">IF(C732="","",C732*D732/100)</f>
        <v/>
      </c>
      <c r="F732" s="15" t="str">
        <f aca="false">IF(B732&lt;5,"Go","Standard")</f>
        <v>Go</v>
      </c>
    </row>
    <row r="733" customFormat="false" ht="15" hidden="false" customHeight="true" outlineLevel="0" collapsed="false">
      <c r="A733" s="10" t="n">
        <f aca="false">Einstellungen!$B$5+INT((ROW()-9)/24)</f>
        <v>45996</v>
      </c>
      <c r="B733" s="11" t="n">
        <f aca="false">MOD(ROW()-9,24)</f>
        <v>4</v>
      </c>
      <c r="C733" s="12"/>
      <c r="D733" s="13" t="n">
        <f aca="false">IF(B733&lt;5,Einstellungen!$B$3,Einstellungen!$B$4)</f>
        <v>15.92</v>
      </c>
      <c r="E733" s="14" t="str">
        <f aca="false">IF(C733="","",C733*D733/100)</f>
        <v/>
      </c>
      <c r="F733" s="15" t="str">
        <f aca="false">IF(B733&lt;5,"Go","Standard")</f>
        <v>Go</v>
      </c>
    </row>
    <row r="734" customFormat="false" ht="15" hidden="false" customHeight="true" outlineLevel="0" collapsed="false">
      <c r="A734" s="10" t="n">
        <f aca="false">Einstellungen!$B$5+INT((ROW()-9)/24)</f>
        <v>45996</v>
      </c>
      <c r="B734" s="11" t="n">
        <f aca="false">MOD(ROW()-9,24)</f>
        <v>5</v>
      </c>
      <c r="C734" s="12"/>
      <c r="D734" s="13" t="n">
        <f aca="false">IF(B734&lt;5,Einstellungen!$B$3,Einstellungen!$B$4)</f>
        <v>29.13</v>
      </c>
      <c r="E734" s="14" t="str">
        <f aca="false">IF(C734="","",C734*D734/100)</f>
        <v/>
      </c>
      <c r="F734" s="15" t="str">
        <f aca="false">IF(B734&lt;5,"Go","Standard")</f>
        <v>Standard</v>
      </c>
    </row>
    <row r="735" customFormat="false" ht="15" hidden="false" customHeight="true" outlineLevel="0" collapsed="false">
      <c r="A735" s="10" t="n">
        <f aca="false">Einstellungen!$B$5+INT((ROW()-9)/24)</f>
        <v>45996</v>
      </c>
      <c r="B735" s="11" t="n">
        <f aca="false">MOD(ROW()-9,24)</f>
        <v>6</v>
      </c>
      <c r="C735" s="12"/>
      <c r="D735" s="13" t="n">
        <f aca="false">IF(B735&lt;5,Einstellungen!$B$3,Einstellungen!$B$4)</f>
        <v>29.13</v>
      </c>
      <c r="E735" s="14" t="str">
        <f aca="false">IF(C735="","",C735*D735/100)</f>
        <v/>
      </c>
      <c r="F735" s="15" t="str">
        <f aca="false">IF(B735&lt;5,"Go","Standard")</f>
        <v>Standard</v>
      </c>
    </row>
    <row r="736" customFormat="false" ht="15" hidden="false" customHeight="true" outlineLevel="0" collapsed="false">
      <c r="A736" s="10" t="n">
        <f aca="false">Einstellungen!$B$5+INT((ROW()-9)/24)</f>
        <v>45996</v>
      </c>
      <c r="B736" s="11" t="n">
        <f aca="false">MOD(ROW()-9,24)</f>
        <v>7</v>
      </c>
      <c r="C736" s="12"/>
      <c r="D736" s="13" t="n">
        <f aca="false">IF(B736&lt;5,Einstellungen!$B$3,Einstellungen!$B$4)</f>
        <v>29.13</v>
      </c>
      <c r="E736" s="14" t="str">
        <f aca="false">IF(C736="","",C736*D736/100)</f>
        <v/>
      </c>
      <c r="F736" s="15" t="str">
        <f aca="false">IF(B736&lt;5,"Go","Standard")</f>
        <v>Standard</v>
      </c>
    </row>
    <row r="737" customFormat="false" ht="15" hidden="false" customHeight="true" outlineLevel="0" collapsed="false">
      <c r="A737" s="10" t="n">
        <f aca="false">Einstellungen!$B$5+INT((ROW()-9)/24)</f>
        <v>45996</v>
      </c>
      <c r="B737" s="11" t="n">
        <f aca="false">MOD(ROW()-9,24)</f>
        <v>8</v>
      </c>
      <c r="C737" s="12"/>
      <c r="D737" s="13" t="n">
        <f aca="false">IF(B737&lt;5,Einstellungen!$B$3,Einstellungen!$B$4)</f>
        <v>29.13</v>
      </c>
      <c r="E737" s="14" t="str">
        <f aca="false">IF(C737="","",C737*D737/100)</f>
        <v/>
      </c>
      <c r="F737" s="15" t="str">
        <f aca="false">IF(B737&lt;5,"Go","Standard")</f>
        <v>Standard</v>
      </c>
    </row>
    <row r="738" customFormat="false" ht="15" hidden="false" customHeight="true" outlineLevel="0" collapsed="false">
      <c r="A738" s="10" t="n">
        <f aca="false">Einstellungen!$B$5+INT((ROW()-9)/24)</f>
        <v>45996</v>
      </c>
      <c r="B738" s="11" t="n">
        <f aca="false">MOD(ROW()-9,24)</f>
        <v>9</v>
      </c>
      <c r="C738" s="12"/>
      <c r="D738" s="13" t="n">
        <f aca="false">IF(B738&lt;5,Einstellungen!$B$3,Einstellungen!$B$4)</f>
        <v>29.13</v>
      </c>
      <c r="E738" s="14" t="str">
        <f aca="false">IF(C738="","",C738*D738/100)</f>
        <v/>
      </c>
      <c r="F738" s="15" t="str">
        <f aca="false">IF(B738&lt;5,"Go","Standard")</f>
        <v>Standard</v>
      </c>
    </row>
    <row r="739" customFormat="false" ht="15" hidden="false" customHeight="true" outlineLevel="0" collapsed="false">
      <c r="A739" s="10" t="n">
        <f aca="false">Einstellungen!$B$5+INT((ROW()-9)/24)</f>
        <v>45996</v>
      </c>
      <c r="B739" s="11" t="n">
        <f aca="false">MOD(ROW()-9,24)</f>
        <v>10</v>
      </c>
      <c r="C739" s="12"/>
      <c r="D739" s="13" t="n">
        <f aca="false">IF(B739&lt;5,Einstellungen!$B$3,Einstellungen!$B$4)</f>
        <v>29.13</v>
      </c>
      <c r="E739" s="14" t="str">
        <f aca="false">IF(C739="","",C739*D739/100)</f>
        <v/>
      </c>
      <c r="F739" s="15" t="str">
        <f aca="false">IF(B739&lt;5,"Go","Standard")</f>
        <v>Standard</v>
      </c>
    </row>
    <row r="740" customFormat="false" ht="15" hidden="false" customHeight="true" outlineLevel="0" collapsed="false">
      <c r="A740" s="10" t="n">
        <f aca="false">Einstellungen!$B$5+INT((ROW()-9)/24)</f>
        <v>45996</v>
      </c>
      <c r="B740" s="11" t="n">
        <f aca="false">MOD(ROW()-9,24)</f>
        <v>11</v>
      </c>
      <c r="C740" s="12"/>
      <c r="D740" s="13" t="n">
        <f aca="false">IF(B740&lt;5,Einstellungen!$B$3,Einstellungen!$B$4)</f>
        <v>29.13</v>
      </c>
      <c r="E740" s="14" t="str">
        <f aca="false">IF(C740="","",C740*D740/100)</f>
        <v/>
      </c>
      <c r="F740" s="15" t="str">
        <f aca="false">IF(B740&lt;5,"Go","Standard")</f>
        <v>Standard</v>
      </c>
    </row>
    <row r="741" customFormat="false" ht="15" hidden="false" customHeight="true" outlineLevel="0" collapsed="false">
      <c r="A741" s="10" t="n">
        <f aca="false">Einstellungen!$B$5+INT((ROW()-9)/24)</f>
        <v>45996</v>
      </c>
      <c r="B741" s="11" t="n">
        <f aca="false">MOD(ROW()-9,24)</f>
        <v>12</v>
      </c>
      <c r="C741" s="12"/>
      <c r="D741" s="13" t="n">
        <f aca="false">IF(B741&lt;5,Einstellungen!$B$3,Einstellungen!$B$4)</f>
        <v>29.13</v>
      </c>
      <c r="E741" s="14" t="str">
        <f aca="false">IF(C741="","",C741*D741/100)</f>
        <v/>
      </c>
      <c r="F741" s="15" t="str">
        <f aca="false">IF(B741&lt;5,"Go","Standard")</f>
        <v>Standard</v>
      </c>
    </row>
    <row r="742" customFormat="false" ht="15" hidden="false" customHeight="true" outlineLevel="0" collapsed="false">
      <c r="A742" s="10" t="n">
        <f aca="false">Einstellungen!$B$5+INT((ROW()-9)/24)</f>
        <v>45996</v>
      </c>
      <c r="B742" s="11" t="n">
        <f aca="false">MOD(ROW()-9,24)</f>
        <v>13</v>
      </c>
      <c r="C742" s="12"/>
      <c r="D742" s="13" t="n">
        <f aca="false">IF(B742&lt;5,Einstellungen!$B$3,Einstellungen!$B$4)</f>
        <v>29.13</v>
      </c>
      <c r="E742" s="14" t="str">
        <f aca="false">IF(C742="","",C742*D742/100)</f>
        <v/>
      </c>
      <c r="F742" s="15" t="str">
        <f aca="false">IF(B742&lt;5,"Go","Standard")</f>
        <v>Standard</v>
      </c>
    </row>
    <row r="743" customFormat="false" ht="15" hidden="false" customHeight="true" outlineLevel="0" collapsed="false">
      <c r="A743" s="10" t="n">
        <f aca="false">Einstellungen!$B$5+INT((ROW()-9)/24)</f>
        <v>45996</v>
      </c>
      <c r="B743" s="11" t="n">
        <f aca="false">MOD(ROW()-9,24)</f>
        <v>14</v>
      </c>
      <c r="C743" s="12"/>
      <c r="D743" s="13" t="n">
        <f aca="false">IF(B743&lt;5,Einstellungen!$B$3,Einstellungen!$B$4)</f>
        <v>29.13</v>
      </c>
      <c r="E743" s="14" t="str">
        <f aca="false">IF(C743="","",C743*D743/100)</f>
        <v/>
      </c>
      <c r="F743" s="15" t="str">
        <f aca="false">IF(B743&lt;5,"Go","Standard")</f>
        <v>Standard</v>
      </c>
    </row>
    <row r="744" customFormat="false" ht="15" hidden="false" customHeight="true" outlineLevel="0" collapsed="false">
      <c r="A744" s="10" t="n">
        <f aca="false">Einstellungen!$B$5+INT((ROW()-9)/24)</f>
        <v>45996</v>
      </c>
      <c r="B744" s="11" t="n">
        <f aca="false">MOD(ROW()-9,24)</f>
        <v>15</v>
      </c>
      <c r="C744" s="12"/>
      <c r="D744" s="13" t="n">
        <f aca="false">IF(B744&lt;5,Einstellungen!$B$3,Einstellungen!$B$4)</f>
        <v>29.13</v>
      </c>
      <c r="E744" s="14" t="str">
        <f aca="false">IF(C744="","",C744*D744/100)</f>
        <v/>
      </c>
      <c r="F744" s="15" t="str">
        <f aca="false">IF(B744&lt;5,"Go","Standard")</f>
        <v>Standard</v>
      </c>
    </row>
    <row r="745" customFormat="false" ht="15" hidden="false" customHeight="true" outlineLevel="0" collapsed="false">
      <c r="A745" s="10" t="n">
        <f aca="false">Einstellungen!$B$5+INT((ROW()-9)/24)</f>
        <v>45996</v>
      </c>
      <c r="B745" s="11" t="n">
        <f aca="false">MOD(ROW()-9,24)</f>
        <v>16</v>
      </c>
      <c r="C745" s="12"/>
      <c r="D745" s="13" t="n">
        <f aca="false">IF(B745&lt;5,Einstellungen!$B$3,Einstellungen!$B$4)</f>
        <v>29.13</v>
      </c>
      <c r="E745" s="14" t="str">
        <f aca="false">IF(C745="","",C745*D745/100)</f>
        <v/>
      </c>
      <c r="F745" s="15" t="str">
        <f aca="false">IF(B745&lt;5,"Go","Standard")</f>
        <v>Standard</v>
      </c>
    </row>
    <row r="746" customFormat="false" ht="15" hidden="false" customHeight="true" outlineLevel="0" collapsed="false">
      <c r="A746" s="10" t="n">
        <f aca="false">Einstellungen!$B$5+INT((ROW()-9)/24)</f>
        <v>45996</v>
      </c>
      <c r="B746" s="11" t="n">
        <f aca="false">MOD(ROW()-9,24)</f>
        <v>17</v>
      </c>
      <c r="C746" s="12"/>
      <c r="D746" s="13" t="n">
        <f aca="false">IF(B746&lt;5,Einstellungen!$B$3,Einstellungen!$B$4)</f>
        <v>29.13</v>
      </c>
      <c r="E746" s="14" t="str">
        <f aca="false">IF(C746="","",C746*D746/100)</f>
        <v/>
      </c>
      <c r="F746" s="15" t="str">
        <f aca="false">IF(B746&lt;5,"Go","Standard")</f>
        <v>Standard</v>
      </c>
    </row>
    <row r="747" customFormat="false" ht="15" hidden="false" customHeight="true" outlineLevel="0" collapsed="false">
      <c r="A747" s="10" t="n">
        <f aca="false">Einstellungen!$B$5+INT((ROW()-9)/24)</f>
        <v>45996</v>
      </c>
      <c r="B747" s="11" t="n">
        <f aca="false">MOD(ROW()-9,24)</f>
        <v>18</v>
      </c>
      <c r="C747" s="12"/>
      <c r="D747" s="13" t="n">
        <f aca="false">IF(B747&lt;5,Einstellungen!$B$3,Einstellungen!$B$4)</f>
        <v>29.13</v>
      </c>
      <c r="E747" s="14" t="str">
        <f aca="false">IF(C747="","",C747*D747/100)</f>
        <v/>
      </c>
      <c r="F747" s="15" t="str">
        <f aca="false">IF(B747&lt;5,"Go","Standard")</f>
        <v>Standard</v>
      </c>
    </row>
    <row r="748" customFormat="false" ht="15" hidden="false" customHeight="true" outlineLevel="0" collapsed="false">
      <c r="A748" s="10" t="n">
        <f aca="false">Einstellungen!$B$5+INT((ROW()-9)/24)</f>
        <v>45996</v>
      </c>
      <c r="B748" s="11" t="n">
        <f aca="false">MOD(ROW()-9,24)</f>
        <v>19</v>
      </c>
      <c r="C748" s="12"/>
      <c r="D748" s="13" t="n">
        <f aca="false">IF(B748&lt;5,Einstellungen!$B$3,Einstellungen!$B$4)</f>
        <v>29.13</v>
      </c>
      <c r="E748" s="14" t="str">
        <f aca="false">IF(C748="","",C748*D748/100)</f>
        <v/>
      </c>
      <c r="F748" s="15" t="str">
        <f aca="false">IF(B748&lt;5,"Go","Standard")</f>
        <v>Standard</v>
      </c>
    </row>
    <row r="749" customFormat="false" ht="15" hidden="false" customHeight="true" outlineLevel="0" collapsed="false">
      <c r="A749" s="10" t="n">
        <f aca="false">Einstellungen!$B$5+INT((ROW()-9)/24)</f>
        <v>45996</v>
      </c>
      <c r="B749" s="11" t="n">
        <f aca="false">MOD(ROW()-9,24)</f>
        <v>20</v>
      </c>
      <c r="C749" s="12"/>
      <c r="D749" s="13" t="n">
        <f aca="false">IF(B749&lt;5,Einstellungen!$B$3,Einstellungen!$B$4)</f>
        <v>29.13</v>
      </c>
      <c r="E749" s="14" t="str">
        <f aca="false">IF(C749="","",C749*D749/100)</f>
        <v/>
      </c>
      <c r="F749" s="15" t="str">
        <f aca="false">IF(B749&lt;5,"Go","Standard")</f>
        <v>Standard</v>
      </c>
    </row>
    <row r="750" customFormat="false" ht="15" hidden="false" customHeight="true" outlineLevel="0" collapsed="false">
      <c r="A750" s="10" t="n">
        <f aca="false">Einstellungen!$B$5+INT((ROW()-9)/24)</f>
        <v>45996</v>
      </c>
      <c r="B750" s="11" t="n">
        <f aca="false">MOD(ROW()-9,24)</f>
        <v>21</v>
      </c>
      <c r="C750" s="12"/>
      <c r="D750" s="13" t="n">
        <f aca="false">IF(B750&lt;5,Einstellungen!$B$3,Einstellungen!$B$4)</f>
        <v>29.13</v>
      </c>
      <c r="E750" s="14" t="str">
        <f aca="false">IF(C750="","",C750*D750/100)</f>
        <v/>
      </c>
      <c r="F750" s="15" t="str">
        <f aca="false">IF(B750&lt;5,"Go","Standard")</f>
        <v>Standard</v>
      </c>
    </row>
    <row r="751" customFormat="false" ht="15" hidden="false" customHeight="true" outlineLevel="0" collapsed="false">
      <c r="A751" s="10" t="n">
        <f aca="false">Einstellungen!$B$5+INT((ROW()-9)/24)</f>
        <v>45996</v>
      </c>
      <c r="B751" s="11" t="n">
        <f aca="false">MOD(ROW()-9,24)</f>
        <v>22</v>
      </c>
      <c r="C751" s="12"/>
      <c r="D751" s="13" t="n">
        <f aca="false">IF(B751&lt;5,Einstellungen!$B$3,Einstellungen!$B$4)</f>
        <v>29.13</v>
      </c>
      <c r="E751" s="14" t="str">
        <f aca="false">IF(C751="","",C751*D751/100)</f>
        <v/>
      </c>
      <c r="F751" s="15" t="str">
        <f aca="false">IF(B751&lt;5,"Go","Standard")</f>
        <v>Standard</v>
      </c>
    </row>
    <row r="752" customFormat="false" ht="15" hidden="false" customHeight="true" outlineLevel="0" collapsed="false">
      <c r="A752" s="10" t="n">
        <f aca="false">Einstellungen!$B$5+INT((ROW()-9)/24)</f>
        <v>45996</v>
      </c>
      <c r="B752" s="11" t="n">
        <f aca="false">MOD(ROW()-9,24)</f>
        <v>23</v>
      </c>
      <c r="C752" s="12"/>
      <c r="D752" s="13" t="n">
        <f aca="false">IF(B752&lt;5,Einstellungen!$B$3,Einstellungen!$B$4)</f>
        <v>29.13</v>
      </c>
      <c r="E752" s="14" t="str">
        <f aca="false">IF(C752="","",C752*D752/100)</f>
        <v/>
      </c>
      <c r="F752" s="15" t="str">
        <f aca="false">IF(B752&lt;5,"Go","Standard")</f>
        <v>Standard</v>
      </c>
    </row>
    <row r="753" customFormat="false" ht="15" hidden="false" customHeight="true" outlineLevel="0" collapsed="false">
      <c r="A753" s="10" t="n">
        <f aca="false">Einstellungen!$B$5+INT((ROW()-9)/24)</f>
        <v>45997</v>
      </c>
      <c r="B753" s="11" t="n">
        <f aca="false">MOD(ROW()-9,24)</f>
        <v>0</v>
      </c>
      <c r="C753" s="12"/>
      <c r="D753" s="13" t="n">
        <f aca="false">IF(B753&lt;5,Einstellungen!$B$3,Einstellungen!$B$4)</f>
        <v>15.92</v>
      </c>
      <c r="E753" s="14" t="str">
        <f aca="false">IF(C753="","",C753*D753/100)</f>
        <v/>
      </c>
      <c r="F753" s="15" t="str">
        <f aca="false">IF(B753&lt;5,"Go","Standard")</f>
        <v>Go</v>
      </c>
    </row>
    <row r="754" customFormat="false" ht="15" hidden="false" customHeight="true" outlineLevel="0" collapsed="false">
      <c r="A754" s="10" t="n">
        <f aca="false">Einstellungen!$B$5+INT((ROW()-9)/24)</f>
        <v>45997</v>
      </c>
      <c r="B754" s="11" t="n">
        <f aca="false">MOD(ROW()-9,24)</f>
        <v>1</v>
      </c>
      <c r="C754" s="12"/>
      <c r="D754" s="13" t="n">
        <f aca="false">IF(B754&lt;5,Einstellungen!$B$3,Einstellungen!$B$4)</f>
        <v>15.92</v>
      </c>
      <c r="E754" s="14" t="str">
        <f aca="false">IF(C754="","",C754*D754/100)</f>
        <v/>
      </c>
      <c r="F754" s="15" t="str">
        <f aca="false">IF(B754&lt;5,"Go","Standard")</f>
        <v>Go</v>
      </c>
    </row>
    <row r="755" customFormat="false" ht="15" hidden="false" customHeight="true" outlineLevel="0" collapsed="false">
      <c r="A755" s="10" t="n">
        <f aca="false">Einstellungen!$B$5+INT((ROW()-9)/24)</f>
        <v>45997</v>
      </c>
      <c r="B755" s="11" t="n">
        <f aca="false">MOD(ROW()-9,24)</f>
        <v>2</v>
      </c>
      <c r="C755" s="12"/>
      <c r="D755" s="13" t="n">
        <f aca="false">IF(B755&lt;5,Einstellungen!$B$3,Einstellungen!$B$4)</f>
        <v>15.92</v>
      </c>
      <c r="E755" s="14" t="str">
        <f aca="false">IF(C755="","",C755*D755/100)</f>
        <v/>
      </c>
      <c r="F755" s="15" t="str">
        <f aca="false">IF(B755&lt;5,"Go","Standard")</f>
        <v>Go</v>
      </c>
    </row>
    <row r="756" customFormat="false" ht="15" hidden="false" customHeight="true" outlineLevel="0" collapsed="false">
      <c r="A756" s="10" t="n">
        <f aca="false">Einstellungen!$B$5+INT((ROW()-9)/24)</f>
        <v>45997</v>
      </c>
      <c r="B756" s="11" t="n">
        <f aca="false">MOD(ROW()-9,24)</f>
        <v>3</v>
      </c>
      <c r="C756" s="12"/>
      <c r="D756" s="13" t="n">
        <f aca="false">IF(B756&lt;5,Einstellungen!$B$3,Einstellungen!$B$4)</f>
        <v>15.92</v>
      </c>
      <c r="E756" s="14" t="str">
        <f aca="false">IF(C756="","",C756*D756/100)</f>
        <v/>
      </c>
      <c r="F756" s="15" t="str">
        <f aca="false">IF(B756&lt;5,"Go","Standard")</f>
        <v>Go</v>
      </c>
    </row>
    <row r="757" customFormat="false" ht="15" hidden="false" customHeight="true" outlineLevel="0" collapsed="false">
      <c r="A757" s="10" t="n">
        <f aca="false">Einstellungen!$B$5+INT((ROW()-9)/24)</f>
        <v>45997</v>
      </c>
      <c r="B757" s="11" t="n">
        <f aca="false">MOD(ROW()-9,24)</f>
        <v>4</v>
      </c>
      <c r="C757" s="12"/>
      <c r="D757" s="13" t="n">
        <f aca="false">IF(B757&lt;5,Einstellungen!$B$3,Einstellungen!$B$4)</f>
        <v>15.92</v>
      </c>
      <c r="E757" s="14" t="str">
        <f aca="false">IF(C757="","",C757*D757/100)</f>
        <v/>
      </c>
      <c r="F757" s="15" t="str">
        <f aca="false">IF(B757&lt;5,"Go","Standard")</f>
        <v>Go</v>
      </c>
    </row>
    <row r="758" customFormat="false" ht="15" hidden="false" customHeight="true" outlineLevel="0" collapsed="false">
      <c r="A758" s="10" t="n">
        <f aca="false">Einstellungen!$B$5+INT((ROW()-9)/24)</f>
        <v>45997</v>
      </c>
      <c r="B758" s="11" t="n">
        <f aca="false">MOD(ROW()-9,24)</f>
        <v>5</v>
      </c>
      <c r="C758" s="12"/>
      <c r="D758" s="13" t="n">
        <f aca="false">IF(B758&lt;5,Einstellungen!$B$3,Einstellungen!$B$4)</f>
        <v>29.13</v>
      </c>
      <c r="E758" s="14" t="str">
        <f aca="false">IF(C758="","",C758*D758/100)</f>
        <v/>
      </c>
      <c r="F758" s="15" t="str">
        <f aca="false">IF(B758&lt;5,"Go","Standard")</f>
        <v>Standard</v>
      </c>
    </row>
    <row r="759" customFormat="false" ht="15" hidden="false" customHeight="true" outlineLevel="0" collapsed="false">
      <c r="A759" s="10" t="n">
        <f aca="false">Einstellungen!$B$5+INT((ROW()-9)/24)</f>
        <v>45997</v>
      </c>
      <c r="B759" s="11" t="n">
        <f aca="false">MOD(ROW()-9,24)</f>
        <v>6</v>
      </c>
      <c r="C759" s="12"/>
      <c r="D759" s="13" t="n">
        <f aca="false">IF(B759&lt;5,Einstellungen!$B$3,Einstellungen!$B$4)</f>
        <v>29.13</v>
      </c>
      <c r="E759" s="14" t="str">
        <f aca="false">IF(C759="","",C759*D759/100)</f>
        <v/>
      </c>
      <c r="F759" s="15" t="str">
        <f aca="false">IF(B759&lt;5,"Go","Standard")</f>
        <v>Standard</v>
      </c>
    </row>
    <row r="760" customFormat="false" ht="15" hidden="false" customHeight="true" outlineLevel="0" collapsed="false">
      <c r="A760" s="10" t="n">
        <f aca="false">Einstellungen!$B$5+INT((ROW()-9)/24)</f>
        <v>45997</v>
      </c>
      <c r="B760" s="11" t="n">
        <f aca="false">MOD(ROW()-9,24)</f>
        <v>7</v>
      </c>
      <c r="C760" s="12"/>
      <c r="D760" s="13" t="n">
        <f aca="false">IF(B760&lt;5,Einstellungen!$B$3,Einstellungen!$B$4)</f>
        <v>29.13</v>
      </c>
      <c r="E760" s="14" t="str">
        <f aca="false">IF(C760="","",C760*D760/100)</f>
        <v/>
      </c>
      <c r="F760" s="15" t="str">
        <f aca="false">IF(B760&lt;5,"Go","Standard")</f>
        <v>Standard</v>
      </c>
    </row>
    <row r="761" customFormat="false" ht="15" hidden="false" customHeight="true" outlineLevel="0" collapsed="false">
      <c r="A761" s="10" t="n">
        <f aca="false">Einstellungen!$B$5+INT((ROW()-9)/24)</f>
        <v>45997</v>
      </c>
      <c r="B761" s="11" t="n">
        <f aca="false">MOD(ROW()-9,24)</f>
        <v>8</v>
      </c>
      <c r="C761" s="12"/>
      <c r="D761" s="13" t="n">
        <f aca="false">IF(B761&lt;5,Einstellungen!$B$3,Einstellungen!$B$4)</f>
        <v>29.13</v>
      </c>
      <c r="E761" s="14" t="str">
        <f aca="false">IF(C761="","",C761*D761/100)</f>
        <v/>
      </c>
      <c r="F761" s="15" t="str">
        <f aca="false">IF(B761&lt;5,"Go","Standard")</f>
        <v>Standard</v>
      </c>
    </row>
    <row r="762" customFormat="false" ht="15" hidden="false" customHeight="true" outlineLevel="0" collapsed="false">
      <c r="A762" s="10" t="n">
        <f aca="false">Einstellungen!$B$5+INT((ROW()-9)/24)</f>
        <v>45997</v>
      </c>
      <c r="B762" s="11" t="n">
        <f aca="false">MOD(ROW()-9,24)</f>
        <v>9</v>
      </c>
      <c r="C762" s="12"/>
      <c r="D762" s="13" t="n">
        <f aca="false">IF(B762&lt;5,Einstellungen!$B$3,Einstellungen!$B$4)</f>
        <v>29.13</v>
      </c>
      <c r="E762" s="14" t="str">
        <f aca="false">IF(C762="","",C762*D762/100)</f>
        <v/>
      </c>
      <c r="F762" s="15" t="str">
        <f aca="false">IF(B762&lt;5,"Go","Standard")</f>
        <v>Standard</v>
      </c>
    </row>
    <row r="763" customFormat="false" ht="15" hidden="false" customHeight="true" outlineLevel="0" collapsed="false">
      <c r="A763" s="10" t="n">
        <f aca="false">Einstellungen!$B$5+INT((ROW()-9)/24)</f>
        <v>45997</v>
      </c>
      <c r="B763" s="11" t="n">
        <f aca="false">MOD(ROW()-9,24)</f>
        <v>10</v>
      </c>
      <c r="C763" s="12"/>
      <c r="D763" s="13" t="n">
        <f aca="false">IF(B763&lt;5,Einstellungen!$B$3,Einstellungen!$B$4)</f>
        <v>29.13</v>
      </c>
      <c r="E763" s="14" t="str">
        <f aca="false">IF(C763="","",C763*D763/100)</f>
        <v/>
      </c>
      <c r="F763" s="15" t="str">
        <f aca="false">IF(B763&lt;5,"Go","Standard")</f>
        <v>Standard</v>
      </c>
    </row>
    <row r="764" customFormat="false" ht="15" hidden="false" customHeight="true" outlineLevel="0" collapsed="false">
      <c r="A764" s="10" t="n">
        <f aca="false">Einstellungen!$B$5+INT((ROW()-9)/24)</f>
        <v>45997</v>
      </c>
      <c r="B764" s="11" t="n">
        <f aca="false">MOD(ROW()-9,24)</f>
        <v>11</v>
      </c>
      <c r="C764" s="12"/>
      <c r="D764" s="13" t="n">
        <f aca="false">IF(B764&lt;5,Einstellungen!$B$3,Einstellungen!$B$4)</f>
        <v>29.13</v>
      </c>
      <c r="E764" s="14" t="str">
        <f aca="false">IF(C764="","",C764*D764/100)</f>
        <v/>
      </c>
      <c r="F764" s="15" t="str">
        <f aca="false">IF(B764&lt;5,"Go","Standard")</f>
        <v>Standard</v>
      </c>
    </row>
    <row r="765" customFormat="false" ht="15" hidden="false" customHeight="true" outlineLevel="0" collapsed="false">
      <c r="A765" s="10" t="n">
        <f aca="false">Einstellungen!$B$5+INT((ROW()-9)/24)</f>
        <v>45997</v>
      </c>
      <c r="B765" s="11" t="n">
        <f aca="false">MOD(ROW()-9,24)</f>
        <v>12</v>
      </c>
      <c r="C765" s="12"/>
      <c r="D765" s="13" t="n">
        <f aca="false">IF(B765&lt;5,Einstellungen!$B$3,Einstellungen!$B$4)</f>
        <v>29.13</v>
      </c>
      <c r="E765" s="14" t="str">
        <f aca="false">IF(C765="","",C765*D765/100)</f>
        <v/>
      </c>
      <c r="F765" s="15" t="str">
        <f aca="false">IF(B765&lt;5,"Go","Standard")</f>
        <v>Standard</v>
      </c>
    </row>
    <row r="766" customFormat="false" ht="15" hidden="false" customHeight="true" outlineLevel="0" collapsed="false">
      <c r="A766" s="10" t="n">
        <f aca="false">Einstellungen!$B$5+INT((ROW()-9)/24)</f>
        <v>45997</v>
      </c>
      <c r="B766" s="11" t="n">
        <f aca="false">MOD(ROW()-9,24)</f>
        <v>13</v>
      </c>
      <c r="C766" s="12"/>
      <c r="D766" s="13" t="n">
        <f aca="false">IF(B766&lt;5,Einstellungen!$B$3,Einstellungen!$B$4)</f>
        <v>29.13</v>
      </c>
      <c r="E766" s="14" t="str">
        <f aca="false">IF(C766="","",C766*D766/100)</f>
        <v/>
      </c>
      <c r="F766" s="15" t="str">
        <f aca="false">IF(B766&lt;5,"Go","Standard")</f>
        <v>Standard</v>
      </c>
    </row>
    <row r="767" customFormat="false" ht="15" hidden="false" customHeight="true" outlineLevel="0" collapsed="false">
      <c r="A767" s="10" t="n">
        <f aca="false">Einstellungen!$B$5+INT((ROW()-9)/24)</f>
        <v>45997</v>
      </c>
      <c r="B767" s="11" t="n">
        <f aca="false">MOD(ROW()-9,24)</f>
        <v>14</v>
      </c>
      <c r="C767" s="12"/>
      <c r="D767" s="13" t="n">
        <f aca="false">IF(B767&lt;5,Einstellungen!$B$3,Einstellungen!$B$4)</f>
        <v>29.13</v>
      </c>
      <c r="E767" s="14" t="str">
        <f aca="false">IF(C767="","",C767*D767/100)</f>
        <v/>
      </c>
      <c r="F767" s="15" t="str">
        <f aca="false">IF(B767&lt;5,"Go","Standard")</f>
        <v>Standard</v>
      </c>
    </row>
    <row r="768" customFormat="false" ht="15" hidden="false" customHeight="true" outlineLevel="0" collapsed="false">
      <c r="A768" s="10" t="n">
        <f aca="false">Einstellungen!$B$5+INT((ROW()-9)/24)</f>
        <v>45997</v>
      </c>
      <c r="B768" s="11" t="n">
        <f aca="false">MOD(ROW()-9,24)</f>
        <v>15</v>
      </c>
      <c r="C768" s="12"/>
      <c r="D768" s="13" t="n">
        <f aca="false">IF(B768&lt;5,Einstellungen!$B$3,Einstellungen!$B$4)</f>
        <v>29.13</v>
      </c>
      <c r="E768" s="14" t="str">
        <f aca="false">IF(C768="","",C768*D768/100)</f>
        <v/>
      </c>
      <c r="F768" s="15" t="str">
        <f aca="false">IF(B768&lt;5,"Go","Standard")</f>
        <v>Standard</v>
      </c>
    </row>
    <row r="769" customFormat="false" ht="15" hidden="false" customHeight="true" outlineLevel="0" collapsed="false">
      <c r="A769" s="10" t="n">
        <f aca="false">Einstellungen!$B$5+INT((ROW()-9)/24)</f>
        <v>45997</v>
      </c>
      <c r="B769" s="11" t="n">
        <f aca="false">MOD(ROW()-9,24)</f>
        <v>16</v>
      </c>
      <c r="C769" s="12"/>
      <c r="D769" s="13" t="n">
        <f aca="false">IF(B769&lt;5,Einstellungen!$B$3,Einstellungen!$B$4)</f>
        <v>29.13</v>
      </c>
      <c r="E769" s="14" t="str">
        <f aca="false">IF(C769="","",C769*D769/100)</f>
        <v/>
      </c>
      <c r="F769" s="15" t="str">
        <f aca="false">IF(B769&lt;5,"Go","Standard")</f>
        <v>Standard</v>
      </c>
    </row>
    <row r="770" customFormat="false" ht="15" hidden="false" customHeight="true" outlineLevel="0" collapsed="false">
      <c r="A770" s="10" t="n">
        <f aca="false">Einstellungen!$B$5+INT((ROW()-9)/24)</f>
        <v>45997</v>
      </c>
      <c r="B770" s="11" t="n">
        <f aca="false">MOD(ROW()-9,24)</f>
        <v>17</v>
      </c>
      <c r="C770" s="12"/>
      <c r="D770" s="13" t="n">
        <f aca="false">IF(B770&lt;5,Einstellungen!$B$3,Einstellungen!$B$4)</f>
        <v>29.13</v>
      </c>
      <c r="E770" s="14" t="str">
        <f aca="false">IF(C770="","",C770*D770/100)</f>
        <v/>
      </c>
      <c r="F770" s="15" t="str">
        <f aca="false">IF(B770&lt;5,"Go","Standard")</f>
        <v>Standard</v>
      </c>
    </row>
    <row r="771" customFormat="false" ht="15" hidden="false" customHeight="true" outlineLevel="0" collapsed="false">
      <c r="A771" s="10" t="n">
        <f aca="false">Einstellungen!$B$5+INT((ROW()-9)/24)</f>
        <v>45997</v>
      </c>
      <c r="B771" s="11" t="n">
        <f aca="false">MOD(ROW()-9,24)</f>
        <v>18</v>
      </c>
      <c r="C771" s="12"/>
      <c r="D771" s="13" t="n">
        <f aca="false">IF(B771&lt;5,Einstellungen!$B$3,Einstellungen!$B$4)</f>
        <v>29.13</v>
      </c>
      <c r="E771" s="14" t="str">
        <f aca="false">IF(C771="","",C771*D771/100)</f>
        <v/>
      </c>
      <c r="F771" s="15" t="str">
        <f aca="false">IF(B771&lt;5,"Go","Standard")</f>
        <v>Standard</v>
      </c>
    </row>
    <row r="772" customFormat="false" ht="15" hidden="false" customHeight="true" outlineLevel="0" collapsed="false">
      <c r="A772" s="10" t="n">
        <f aca="false">Einstellungen!$B$5+INT((ROW()-9)/24)</f>
        <v>45997</v>
      </c>
      <c r="B772" s="11" t="n">
        <f aca="false">MOD(ROW()-9,24)</f>
        <v>19</v>
      </c>
      <c r="C772" s="12"/>
      <c r="D772" s="13" t="n">
        <f aca="false">IF(B772&lt;5,Einstellungen!$B$3,Einstellungen!$B$4)</f>
        <v>29.13</v>
      </c>
      <c r="E772" s="14" t="str">
        <f aca="false">IF(C772="","",C772*D772/100)</f>
        <v/>
      </c>
      <c r="F772" s="15" t="str">
        <f aca="false">IF(B772&lt;5,"Go","Standard")</f>
        <v>Standard</v>
      </c>
    </row>
    <row r="773" customFormat="false" ht="15" hidden="false" customHeight="true" outlineLevel="0" collapsed="false">
      <c r="A773" s="10" t="n">
        <f aca="false">Einstellungen!$B$5+INT((ROW()-9)/24)</f>
        <v>45997</v>
      </c>
      <c r="B773" s="11" t="n">
        <f aca="false">MOD(ROW()-9,24)</f>
        <v>20</v>
      </c>
      <c r="C773" s="12"/>
      <c r="D773" s="13" t="n">
        <f aca="false">IF(B773&lt;5,Einstellungen!$B$3,Einstellungen!$B$4)</f>
        <v>29.13</v>
      </c>
      <c r="E773" s="14" t="str">
        <f aca="false">IF(C773="","",C773*D773/100)</f>
        <v/>
      </c>
      <c r="F773" s="15" t="str">
        <f aca="false">IF(B773&lt;5,"Go","Standard")</f>
        <v>Standard</v>
      </c>
    </row>
    <row r="774" customFormat="false" ht="15" hidden="false" customHeight="true" outlineLevel="0" collapsed="false">
      <c r="A774" s="10" t="n">
        <f aca="false">Einstellungen!$B$5+INT((ROW()-9)/24)</f>
        <v>45997</v>
      </c>
      <c r="B774" s="11" t="n">
        <f aca="false">MOD(ROW()-9,24)</f>
        <v>21</v>
      </c>
      <c r="C774" s="12"/>
      <c r="D774" s="13" t="n">
        <f aca="false">IF(B774&lt;5,Einstellungen!$B$3,Einstellungen!$B$4)</f>
        <v>29.13</v>
      </c>
      <c r="E774" s="14" t="str">
        <f aca="false">IF(C774="","",C774*D774/100)</f>
        <v/>
      </c>
      <c r="F774" s="15" t="str">
        <f aca="false">IF(B774&lt;5,"Go","Standard")</f>
        <v>Standard</v>
      </c>
    </row>
    <row r="775" customFormat="false" ht="15" hidden="false" customHeight="true" outlineLevel="0" collapsed="false">
      <c r="A775" s="10" t="n">
        <f aca="false">Einstellungen!$B$5+INT((ROW()-9)/24)</f>
        <v>45997</v>
      </c>
      <c r="B775" s="11" t="n">
        <f aca="false">MOD(ROW()-9,24)</f>
        <v>22</v>
      </c>
      <c r="C775" s="12"/>
      <c r="D775" s="13" t="n">
        <f aca="false">IF(B775&lt;5,Einstellungen!$B$3,Einstellungen!$B$4)</f>
        <v>29.13</v>
      </c>
      <c r="E775" s="14" t="str">
        <f aca="false">IF(C775="","",C775*D775/100)</f>
        <v/>
      </c>
      <c r="F775" s="15" t="str">
        <f aca="false">IF(B775&lt;5,"Go","Standard")</f>
        <v>Standard</v>
      </c>
    </row>
    <row r="776" customFormat="false" ht="15" hidden="false" customHeight="true" outlineLevel="0" collapsed="false">
      <c r="A776" s="10" t="n">
        <f aca="false">Einstellungen!$B$5+INT((ROW()-9)/24)</f>
        <v>45997</v>
      </c>
      <c r="B776" s="11" t="n">
        <f aca="false">MOD(ROW()-9,24)</f>
        <v>23</v>
      </c>
      <c r="C776" s="12"/>
      <c r="D776" s="13" t="n">
        <f aca="false">IF(B776&lt;5,Einstellungen!$B$3,Einstellungen!$B$4)</f>
        <v>29.13</v>
      </c>
      <c r="E776" s="14" t="str">
        <f aca="false">IF(C776="","",C776*D776/100)</f>
        <v/>
      </c>
      <c r="F776" s="15" t="str">
        <f aca="false">IF(B776&lt;5,"Go","Standard")</f>
        <v>Standard</v>
      </c>
    </row>
    <row r="777" customFormat="false" ht="15" hidden="false" customHeight="true" outlineLevel="0" collapsed="false">
      <c r="A777" s="10" t="n">
        <f aca="false">Einstellungen!$B$5+INT((ROW()-9)/24)</f>
        <v>45998</v>
      </c>
      <c r="B777" s="11" t="n">
        <f aca="false">MOD(ROW()-9,24)</f>
        <v>0</v>
      </c>
      <c r="C777" s="12"/>
      <c r="D777" s="13" t="n">
        <f aca="false">IF(B777&lt;5,Einstellungen!$B$3,Einstellungen!$B$4)</f>
        <v>15.92</v>
      </c>
      <c r="E777" s="14" t="str">
        <f aca="false">IF(C777="","",C777*D777/100)</f>
        <v/>
      </c>
      <c r="F777" s="15" t="str">
        <f aca="false">IF(B777&lt;5,"Go","Standard")</f>
        <v>Go</v>
      </c>
    </row>
    <row r="778" customFormat="false" ht="15" hidden="false" customHeight="true" outlineLevel="0" collapsed="false">
      <c r="A778" s="10" t="n">
        <f aca="false">Einstellungen!$B$5+INT((ROW()-9)/24)</f>
        <v>45998</v>
      </c>
      <c r="B778" s="11" t="n">
        <f aca="false">MOD(ROW()-9,24)</f>
        <v>1</v>
      </c>
      <c r="C778" s="12"/>
      <c r="D778" s="13" t="n">
        <f aca="false">IF(B778&lt;5,Einstellungen!$B$3,Einstellungen!$B$4)</f>
        <v>15.92</v>
      </c>
      <c r="E778" s="14" t="str">
        <f aca="false">IF(C778="","",C778*D778/100)</f>
        <v/>
      </c>
      <c r="F778" s="15" t="str">
        <f aca="false">IF(B778&lt;5,"Go","Standard")</f>
        <v>Go</v>
      </c>
    </row>
    <row r="779" customFormat="false" ht="15" hidden="false" customHeight="true" outlineLevel="0" collapsed="false">
      <c r="A779" s="10" t="n">
        <f aca="false">Einstellungen!$B$5+INT((ROW()-9)/24)</f>
        <v>45998</v>
      </c>
      <c r="B779" s="11" t="n">
        <f aca="false">MOD(ROW()-9,24)</f>
        <v>2</v>
      </c>
      <c r="C779" s="12"/>
      <c r="D779" s="13" t="n">
        <f aca="false">IF(B779&lt;5,Einstellungen!$B$3,Einstellungen!$B$4)</f>
        <v>15.92</v>
      </c>
      <c r="E779" s="14" t="str">
        <f aca="false">IF(C779="","",C779*D779/100)</f>
        <v/>
      </c>
      <c r="F779" s="15" t="str">
        <f aca="false">IF(B779&lt;5,"Go","Standard")</f>
        <v>Go</v>
      </c>
    </row>
    <row r="780" customFormat="false" ht="15" hidden="false" customHeight="true" outlineLevel="0" collapsed="false">
      <c r="A780" s="10" t="n">
        <f aca="false">Einstellungen!$B$5+INT((ROW()-9)/24)</f>
        <v>45998</v>
      </c>
      <c r="B780" s="11" t="n">
        <f aca="false">MOD(ROW()-9,24)</f>
        <v>3</v>
      </c>
      <c r="C780" s="12"/>
      <c r="D780" s="13" t="n">
        <f aca="false">IF(B780&lt;5,Einstellungen!$B$3,Einstellungen!$B$4)</f>
        <v>15.92</v>
      </c>
      <c r="E780" s="14" t="str">
        <f aca="false">IF(C780="","",C780*D780/100)</f>
        <v/>
      </c>
      <c r="F780" s="15" t="str">
        <f aca="false">IF(B780&lt;5,"Go","Standard")</f>
        <v>Go</v>
      </c>
    </row>
    <row r="781" customFormat="false" ht="15" hidden="false" customHeight="true" outlineLevel="0" collapsed="false">
      <c r="A781" s="10" t="n">
        <f aca="false">Einstellungen!$B$5+INT((ROW()-9)/24)</f>
        <v>45998</v>
      </c>
      <c r="B781" s="11" t="n">
        <f aca="false">MOD(ROW()-9,24)</f>
        <v>4</v>
      </c>
      <c r="C781" s="12"/>
      <c r="D781" s="13" t="n">
        <f aca="false">IF(B781&lt;5,Einstellungen!$B$3,Einstellungen!$B$4)</f>
        <v>15.92</v>
      </c>
      <c r="E781" s="14" t="str">
        <f aca="false">IF(C781="","",C781*D781/100)</f>
        <v/>
      </c>
      <c r="F781" s="15" t="str">
        <f aca="false">IF(B781&lt;5,"Go","Standard")</f>
        <v>Go</v>
      </c>
    </row>
    <row r="782" customFormat="false" ht="15" hidden="false" customHeight="true" outlineLevel="0" collapsed="false">
      <c r="A782" s="10" t="n">
        <f aca="false">Einstellungen!$B$5+INT((ROW()-9)/24)</f>
        <v>45998</v>
      </c>
      <c r="B782" s="11" t="n">
        <f aca="false">MOD(ROW()-9,24)</f>
        <v>5</v>
      </c>
      <c r="C782" s="12"/>
      <c r="D782" s="13" t="n">
        <f aca="false">IF(B782&lt;5,Einstellungen!$B$3,Einstellungen!$B$4)</f>
        <v>29.13</v>
      </c>
      <c r="E782" s="14" t="str">
        <f aca="false">IF(C782="","",C782*D782/100)</f>
        <v/>
      </c>
      <c r="F782" s="15" t="str">
        <f aca="false">IF(B782&lt;5,"Go","Standard")</f>
        <v>Standard</v>
      </c>
    </row>
    <row r="783" customFormat="false" ht="15" hidden="false" customHeight="true" outlineLevel="0" collapsed="false">
      <c r="A783" s="10" t="n">
        <f aca="false">Einstellungen!$B$5+INT((ROW()-9)/24)</f>
        <v>45998</v>
      </c>
      <c r="B783" s="11" t="n">
        <f aca="false">MOD(ROW()-9,24)</f>
        <v>6</v>
      </c>
      <c r="C783" s="12"/>
      <c r="D783" s="13" t="n">
        <f aca="false">IF(B783&lt;5,Einstellungen!$B$3,Einstellungen!$B$4)</f>
        <v>29.13</v>
      </c>
      <c r="E783" s="14" t="str">
        <f aca="false">IF(C783="","",C783*D783/100)</f>
        <v/>
      </c>
      <c r="F783" s="15" t="str">
        <f aca="false">IF(B783&lt;5,"Go","Standard")</f>
        <v>Standard</v>
      </c>
    </row>
    <row r="784" customFormat="false" ht="15" hidden="false" customHeight="true" outlineLevel="0" collapsed="false">
      <c r="A784" s="10" t="n">
        <f aca="false">Einstellungen!$B$5+INT((ROW()-9)/24)</f>
        <v>45998</v>
      </c>
      <c r="B784" s="11" t="n">
        <f aca="false">MOD(ROW()-9,24)</f>
        <v>7</v>
      </c>
      <c r="C784" s="12"/>
      <c r="D784" s="13" t="n">
        <f aca="false">IF(B784&lt;5,Einstellungen!$B$3,Einstellungen!$B$4)</f>
        <v>29.13</v>
      </c>
      <c r="E784" s="14" t="str">
        <f aca="false">IF(C784="","",C784*D784/100)</f>
        <v/>
      </c>
      <c r="F784" s="15" t="str">
        <f aca="false">IF(B784&lt;5,"Go","Standard")</f>
        <v>Standard</v>
      </c>
    </row>
    <row r="785" customFormat="false" ht="15" hidden="false" customHeight="true" outlineLevel="0" collapsed="false">
      <c r="A785" s="10" t="n">
        <f aca="false">Einstellungen!$B$5+INT((ROW()-9)/24)</f>
        <v>45998</v>
      </c>
      <c r="B785" s="11" t="n">
        <f aca="false">MOD(ROW()-9,24)</f>
        <v>8</v>
      </c>
      <c r="C785" s="12"/>
      <c r="D785" s="13" t="n">
        <f aca="false">IF(B785&lt;5,Einstellungen!$B$3,Einstellungen!$B$4)</f>
        <v>29.13</v>
      </c>
      <c r="E785" s="14" t="str">
        <f aca="false">IF(C785="","",C785*D785/100)</f>
        <v/>
      </c>
      <c r="F785" s="15" t="str">
        <f aca="false">IF(B785&lt;5,"Go","Standard")</f>
        <v>Standard</v>
      </c>
    </row>
    <row r="786" customFormat="false" ht="15" hidden="false" customHeight="true" outlineLevel="0" collapsed="false">
      <c r="A786" s="10" t="n">
        <f aca="false">Einstellungen!$B$5+INT((ROW()-9)/24)</f>
        <v>45998</v>
      </c>
      <c r="B786" s="11" t="n">
        <f aca="false">MOD(ROW()-9,24)</f>
        <v>9</v>
      </c>
      <c r="C786" s="12"/>
      <c r="D786" s="13" t="n">
        <f aca="false">IF(B786&lt;5,Einstellungen!$B$3,Einstellungen!$B$4)</f>
        <v>29.13</v>
      </c>
      <c r="E786" s="14" t="str">
        <f aca="false">IF(C786="","",C786*D786/100)</f>
        <v/>
      </c>
      <c r="F786" s="15" t="str">
        <f aca="false">IF(B786&lt;5,"Go","Standard")</f>
        <v>Standard</v>
      </c>
    </row>
    <row r="787" customFormat="false" ht="15" hidden="false" customHeight="true" outlineLevel="0" collapsed="false">
      <c r="A787" s="10" t="n">
        <f aca="false">Einstellungen!$B$5+INT((ROW()-9)/24)</f>
        <v>45998</v>
      </c>
      <c r="B787" s="11" t="n">
        <f aca="false">MOD(ROW()-9,24)</f>
        <v>10</v>
      </c>
      <c r="C787" s="12"/>
      <c r="D787" s="13" t="n">
        <f aca="false">IF(B787&lt;5,Einstellungen!$B$3,Einstellungen!$B$4)</f>
        <v>29.13</v>
      </c>
      <c r="E787" s="14" t="str">
        <f aca="false">IF(C787="","",C787*D787/100)</f>
        <v/>
      </c>
      <c r="F787" s="15" t="str">
        <f aca="false">IF(B787&lt;5,"Go","Standard")</f>
        <v>Standard</v>
      </c>
    </row>
    <row r="788" customFormat="false" ht="15" hidden="false" customHeight="true" outlineLevel="0" collapsed="false">
      <c r="A788" s="10" t="n">
        <f aca="false">Einstellungen!$B$5+INT((ROW()-9)/24)</f>
        <v>45998</v>
      </c>
      <c r="B788" s="11" t="n">
        <f aca="false">MOD(ROW()-9,24)</f>
        <v>11</v>
      </c>
      <c r="C788" s="12"/>
      <c r="D788" s="13" t="n">
        <f aca="false">IF(B788&lt;5,Einstellungen!$B$3,Einstellungen!$B$4)</f>
        <v>29.13</v>
      </c>
      <c r="E788" s="14" t="str">
        <f aca="false">IF(C788="","",C788*D788/100)</f>
        <v/>
      </c>
      <c r="F788" s="15" t="str">
        <f aca="false">IF(B788&lt;5,"Go","Standard")</f>
        <v>Standard</v>
      </c>
    </row>
    <row r="789" customFormat="false" ht="15" hidden="false" customHeight="true" outlineLevel="0" collapsed="false">
      <c r="A789" s="10" t="n">
        <f aca="false">Einstellungen!$B$5+INT((ROW()-9)/24)</f>
        <v>45998</v>
      </c>
      <c r="B789" s="11" t="n">
        <f aca="false">MOD(ROW()-9,24)</f>
        <v>12</v>
      </c>
      <c r="C789" s="12"/>
      <c r="D789" s="13" t="n">
        <f aca="false">IF(B789&lt;5,Einstellungen!$B$3,Einstellungen!$B$4)</f>
        <v>29.13</v>
      </c>
      <c r="E789" s="14" t="str">
        <f aca="false">IF(C789="","",C789*D789/100)</f>
        <v/>
      </c>
      <c r="F789" s="15" t="str">
        <f aca="false">IF(B789&lt;5,"Go","Standard")</f>
        <v>Standard</v>
      </c>
    </row>
    <row r="790" customFormat="false" ht="15" hidden="false" customHeight="true" outlineLevel="0" collapsed="false">
      <c r="A790" s="10" t="n">
        <f aca="false">Einstellungen!$B$5+INT((ROW()-9)/24)</f>
        <v>45998</v>
      </c>
      <c r="B790" s="11" t="n">
        <f aca="false">MOD(ROW()-9,24)</f>
        <v>13</v>
      </c>
      <c r="C790" s="12"/>
      <c r="D790" s="13" t="n">
        <f aca="false">IF(B790&lt;5,Einstellungen!$B$3,Einstellungen!$B$4)</f>
        <v>29.13</v>
      </c>
      <c r="E790" s="14" t="str">
        <f aca="false">IF(C790="","",C790*D790/100)</f>
        <v/>
      </c>
      <c r="F790" s="15" t="str">
        <f aca="false">IF(B790&lt;5,"Go","Standard")</f>
        <v>Standard</v>
      </c>
    </row>
    <row r="791" customFormat="false" ht="15" hidden="false" customHeight="true" outlineLevel="0" collapsed="false">
      <c r="A791" s="10" t="n">
        <f aca="false">Einstellungen!$B$5+INT((ROW()-9)/24)</f>
        <v>45998</v>
      </c>
      <c r="B791" s="11" t="n">
        <f aca="false">MOD(ROW()-9,24)</f>
        <v>14</v>
      </c>
      <c r="C791" s="12"/>
      <c r="D791" s="13" t="n">
        <f aca="false">IF(B791&lt;5,Einstellungen!$B$3,Einstellungen!$B$4)</f>
        <v>29.13</v>
      </c>
      <c r="E791" s="14" t="str">
        <f aca="false">IF(C791="","",C791*D791/100)</f>
        <v/>
      </c>
      <c r="F791" s="15" t="str">
        <f aca="false">IF(B791&lt;5,"Go","Standard")</f>
        <v>Standard</v>
      </c>
    </row>
    <row r="792" customFormat="false" ht="15" hidden="false" customHeight="true" outlineLevel="0" collapsed="false">
      <c r="A792" s="10" t="n">
        <f aca="false">Einstellungen!$B$5+INT((ROW()-9)/24)</f>
        <v>45998</v>
      </c>
      <c r="B792" s="11" t="n">
        <f aca="false">MOD(ROW()-9,24)</f>
        <v>15</v>
      </c>
      <c r="C792" s="12"/>
      <c r="D792" s="13" t="n">
        <f aca="false">IF(B792&lt;5,Einstellungen!$B$3,Einstellungen!$B$4)</f>
        <v>29.13</v>
      </c>
      <c r="E792" s="14" t="str">
        <f aca="false">IF(C792="","",C792*D792/100)</f>
        <v/>
      </c>
      <c r="F792" s="15" t="str">
        <f aca="false">IF(B792&lt;5,"Go","Standard")</f>
        <v>Standard</v>
      </c>
    </row>
    <row r="793" customFormat="false" ht="15" hidden="false" customHeight="true" outlineLevel="0" collapsed="false">
      <c r="A793" s="10" t="n">
        <f aca="false">Einstellungen!$B$5+INT((ROW()-9)/24)</f>
        <v>45998</v>
      </c>
      <c r="B793" s="11" t="n">
        <f aca="false">MOD(ROW()-9,24)</f>
        <v>16</v>
      </c>
      <c r="C793" s="12"/>
      <c r="D793" s="13" t="n">
        <f aca="false">IF(B793&lt;5,Einstellungen!$B$3,Einstellungen!$B$4)</f>
        <v>29.13</v>
      </c>
      <c r="E793" s="14" t="str">
        <f aca="false">IF(C793="","",C793*D793/100)</f>
        <v/>
      </c>
      <c r="F793" s="15" t="str">
        <f aca="false">IF(B793&lt;5,"Go","Standard")</f>
        <v>Standard</v>
      </c>
    </row>
    <row r="794" customFormat="false" ht="15" hidden="false" customHeight="true" outlineLevel="0" collapsed="false">
      <c r="A794" s="10" t="n">
        <f aca="false">Einstellungen!$B$5+INT((ROW()-9)/24)</f>
        <v>45998</v>
      </c>
      <c r="B794" s="11" t="n">
        <f aca="false">MOD(ROW()-9,24)</f>
        <v>17</v>
      </c>
      <c r="C794" s="12"/>
      <c r="D794" s="13" t="n">
        <f aca="false">IF(B794&lt;5,Einstellungen!$B$3,Einstellungen!$B$4)</f>
        <v>29.13</v>
      </c>
      <c r="E794" s="14" t="str">
        <f aca="false">IF(C794="","",C794*D794/100)</f>
        <v/>
      </c>
      <c r="F794" s="15" t="str">
        <f aca="false">IF(B794&lt;5,"Go","Standard")</f>
        <v>Standard</v>
      </c>
    </row>
    <row r="795" customFormat="false" ht="15" hidden="false" customHeight="true" outlineLevel="0" collapsed="false">
      <c r="A795" s="10" t="n">
        <f aca="false">Einstellungen!$B$5+INT((ROW()-9)/24)</f>
        <v>45998</v>
      </c>
      <c r="B795" s="11" t="n">
        <f aca="false">MOD(ROW()-9,24)</f>
        <v>18</v>
      </c>
      <c r="C795" s="12"/>
      <c r="D795" s="13" t="n">
        <f aca="false">IF(B795&lt;5,Einstellungen!$B$3,Einstellungen!$B$4)</f>
        <v>29.13</v>
      </c>
      <c r="E795" s="14" t="str">
        <f aca="false">IF(C795="","",C795*D795/100)</f>
        <v/>
      </c>
      <c r="F795" s="15" t="str">
        <f aca="false">IF(B795&lt;5,"Go","Standard")</f>
        <v>Standard</v>
      </c>
    </row>
    <row r="796" customFormat="false" ht="15" hidden="false" customHeight="true" outlineLevel="0" collapsed="false">
      <c r="A796" s="10" t="n">
        <f aca="false">Einstellungen!$B$5+INT((ROW()-9)/24)</f>
        <v>45998</v>
      </c>
      <c r="B796" s="11" t="n">
        <f aca="false">MOD(ROW()-9,24)</f>
        <v>19</v>
      </c>
      <c r="C796" s="12"/>
      <c r="D796" s="13" t="n">
        <f aca="false">IF(B796&lt;5,Einstellungen!$B$3,Einstellungen!$B$4)</f>
        <v>29.13</v>
      </c>
      <c r="E796" s="14" t="str">
        <f aca="false">IF(C796="","",C796*D796/100)</f>
        <v/>
      </c>
      <c r="F796" s="15" t="str">
        <f aca="false">IF(B796&lt;5,"Go","Standard")</f>
        <v>Standard</v>
      </c>
    </row>
    <row r="797" customFormat="false" ht="15" hidden="false" customHeight="true" outlineLevel="0" collapsed="false">
      <c r="A797" s="10" t="n">
        <f aca="false">Einstellungen!$B$5+INT((ROW()-9)/24)</f>
        <v>45998</v>
      </c>
      <c r="B797" s="11" t="n">
        <f aca="false">MOD(ROW()-9,24)</f>
        <v>20</v>
      </c>
      <c r="C797" s="12"/>
      <c r="D797" s="13" t="n">
        <f aca="false">IF(B797&lt;5,Einstellungen!$B$3,Einstellungen!$B$4)</f>
        <v>29.13</v>
      </c>
      <c r="E797" s="14" t="str">
        <f aca="false">IF(C797="","",C797*D797/100)</f>
        <v/>
      </c>
      <c r="F797" s="15" t="str">
        <f aca="false">IF(B797&lt;5,"Go","Standard")</f>
        <v>Standard</v>
      </c>
    </row>
    <row r="798" customFormat="false" ht="15" hidden="false" customHeight="true" outlineLevel="0" collapsed="false">
      <c r="A798" s="10" t="n">
        <f aca="false">Einstellungen!$B$5+INT((ROW()-9)/24)</f>
        <v>45998</v>
      </c>
      <c r="B798" s="11" t="n">
        <f aca="false">MOD(ROW()-9,24)</f>
        <v>21</v>
      </c>
      <c r="C798" s="12"/>
      <c r="D798" s="13" t="n">
        <f aca="false">IF(B798&lt;5,Einstellungen!$B$3,Einstellungen!$B$4)</f>
        <v>29.13</v>
      </c>
      <c r="E798" s="14" t="str">
        <f aca="false">IF(C798="","",C798*D798/100)</f>
        <v/>
      </c>
      <c r="F798" s="15" t="str">
        <f aca="false">IF(B798&lt;5,"Go","Standard")</f>
        <v>Standard</v>
      </c>
    </row>
    <row r="799" customFormat="false" ht="15" hidden="false" customHeight="true" outlineLevel="0" collapsed="false">
      <c r="A799" s="10" t="n">
        <f aca="false">Einstellungen!$B$5+INT((ROW()-9)/24)</f>
        <v>45998</v>
      </c>
      <c r="B799" s="11" t="n">
        <f aca="false">MOD(ROW()-9,24)</f>
        <v>22</v>
      </c>
      <c r="C799" s="12"/>
      <c r="D799" s="13" t="n">
        <f aca="false">IF(B799&lt;5,Einstellungen!$B$3,Einstellungen!$B$4)</f>
        <v>29.13</v>
      </c>
      <c r="E799" s="14" t="str">
        <f aca="false">IF(C799="","",C799*D799/100)</f>
        <v/>
      </c>
      <c r="F799" s="15" t="str">
        <f aca="false">IF(B799&lt;5,"Go","Standard")</f>
        <v>Standard</v>
      </c>
    </row>
    <row r="800" customFormat="false" ht="15" hidden="false" customHeight="true" outlineLevel="0" collapsed="false">
      <c r="A800" s="10" t="n">
        <f aca="false">Einstellungen!$B$5+INT((ROW()-9)/24)</f>
        <v>45998</v>
      </c>
      <c r="B800" s="11" t="n">
        <f aca="false">MOD(ROW()-9,24)</f>
        <v>23</v>
      </c>
      <c r="C800" s="12"/>
      <c r="D800" s="13" t="n">
        <f aca="false">IF(B800&lt;5,Einstellungen!$B$3,Einstellungen!$B$4)</f>
        <v>29.13</v>
      </c>
      <c r="E800" s="14" t="str">
        <f aca="false">IF(C800="","",C800*D800/100)</f>
        <v/>
      </c>
      <c r="F800" s="15" t="str">
        <f aca="false">IF(B800&lt;5,"Go","Standard")</f>
        <v>Standard</v>
      </c>
    </row>
    <row r="801" customFormat="false" ht="15" hidden="false" customHeight="true" outlineLevel="0" collapsed="false">
      <c r="A801" s="10" t="n">
        <f aca="false">Einstellungen!$B$5+INT((ROW()-9)/24)</f>
        <v>45999</v>
      </c>
      <c r="B801" s="11" t="n">
        <f aca="false">MOD(ROW()-9,24)</f>
        <v>0</v>
      </c>
      <c r="C801" s="12"/>
      <c r="D801" s="13" t="n">
        <f aca="false">IF(B801&lt;5,Einstellungen!$B$3,Einstellungen!$B$4)</f>
        <v>15.92</v>
      </c>
      <c r="E801" s="14" t="str">
        <f aca="false">IF(C801="","",C801*D801/100)</f>
        <v/>
      </c>
      <c r="F801" s="15" t="str">
        <f aca="false">IF(B801&lt;5,"Go","Standard")</f>
        <v>Go</v>
      </c>
    </row>
    <row r="802" customFormat="false" ht="15" hidden="false" customHeight="true" outlineLevel="0" collapsed="false">
      <c r="A802" s="10" t="n">
        <f aca="false">Einstellungen!$B$5+INT((ROW()-9)/24)</f>
        <v>45999</v>
      </c>
      <c r="B802" s="11" t="n">
        <f aca="false">MOD(ROW()-9,24)</f>
        <v>1</v>
      </c>
      <c r="C802" s="12"/>
      <c r="D802" s="13" t="n">
        <f aca="false">IF(B802&lt;5,Einstellungen!$B$3,Einstellungen!$B$4)</f>
        <v>15.92</v>
      </c>
      <c r="E802" s="14" t="str">
        <f aca="false">IF(C802="","",C802*D802/100)</f>
        <v/>
      </c>
      <c r="F802" s="15" t="str">
        <f aca="false">IF(B802&lt;5,"Go","Standard")</f>
        <v>Go</v>
      </c>
    </row>
    <row r="803" customFormat="false" ht="15" hidden="false" customHeight="true" outlineLevel="0" collapsed="false">
      <c r="A803" s="10" t="n">
        <f aca="false">Einstellungen!$B$5+INT((ROW()-9)/24)</f>
        <v>45999</v>
      </c>
      <c r="B803" s="11" t="n">
        <f aca="false">MOD(ROW()-9,24)</f>
        <v>2</v>
      </c>
      <c r="C803" s="12"/>
      <c r="D803" s="13" t="n">
        <f aca="false">IF(B803&lt;5,Einstellungen!$B$3,Einstellungen!$B$4)</f>
        <v>15.92</v>
      </c>
      <c r="E803" s="14" t="str">
        <f aca="false">IF(C803="","",C803*D803/100)</f>
        <v/>
      </c>
      <c r="F803" s="15" t="str">
        <f aca="false">IF(B803&lt;5,"Go","Standard")</f>
        <v>Go</v>
      </c>
    </row>
    <row r="804" customFormat="false" ht="15" hidden="false" customHeight="true" outlineLevel="0" collapsed="false">
      <c r="A804" s="10" t="n">
        <f aca="false">Einstellungen!$B$5+INT((ROW()-9)/24)</f>
        <v>45999</v>
      </c>
      <c r="B804" s="11" t="n">
        <f aca="false">MOD(ROW()-9,24)</f>
        <v>3</v>
      </c>
      <c r="C804" s="12"/>
      <c r="D804" s="13" t="n">
        <f aca="false">IF(B804&lt;5,Einstellungen!$B$3,Einstellungen!$B$4)</f>
        <v>15.92</v>
      </c>
      <c r="E804" s="14" t="str">
        <f aca="false">IF(C804="","",C804*D804/100)</f>
        <v/>
      </c>
      <c r="F804" s="15" t="str">
        <f aca="false">IF(B804&lt;5,"Go","Standard")</f>
        <v>Go</v>
      </c>
    </row>
    <row r="805" customFormat="false" ht="15" hidden="false" customHeight="true" outlineLevel="0" collapsed="false">
      <c r="A805" s="10" t="n">
        <f aca="false">Einstellungen!$B$5+INT((ROW()-9)/24)</f>
        <v>45999</v>
      </c>
      <c r="B805" s="11" t="n">
        <f aca="false">MOD(ROW()-9,24)</f>
        <v>4</v>
      </c>
      <c r="C805" s="12"/>
      <c r="D805" s="13" t="n">
        <f aca="false">IF(B805&lt;5,Einstellungen!$B$3,Einstellungen!$B$4)</f>
        <v>15.92</v>
      </c>
      <c r="E805" s="14" t="str">
        <f aca="false">IF(C805="","",C805*D805/100)</f>
        <v/>
      </c>
      <c r="F805" s="15" t="str">
        <f aca="false">IF(B805&lt;5,"Go","Standard")</f>
        <v>Go</v>
      </c>
    </row>
    <row r="806" customFormat="false" ht="15" hidden="false" customHeight="true" outlineLevel="0" collapsed="false">
      <c r="A806" s="10" t="n">
        <f aca="false">Einstellungen!$B$5+INT((ROW()-9)/24)</f>
        <v>45999</v>
      </c>
      <c r="B806" s="11" t="n">
        <f aca="false">MOD(ROW()-9,24)</f>
        <v>5</v>
      </c>
      <c r="C806" s="12"/>
      <c r="D806" s="13" t="n">
        <f aca="false">IF(B806&lt;5,Einstellungen!$B$3,Einstellungen!$B$4)</f>
        <v>29.13</v>
      </c>
      <c r="E806" s="14" t="str">
        <f aca="false">IF(C806="","",C806*D806/100)</f>
        <v/>
      </c>
      <c r="F806" s="15" t="str">
        <f aca="false">IF(B806&lt;5,"Go","Standard")</f>
        <v>Standard</v>
      </c>
    </row>
    <row r="807" customFormat="false" ht="15" hidden="false" customHeight="true" outlineLevel="0" collapsed="false">
      <c r="A807" s="10" t="n">
        <f aca="false">Einstellungen!$B$5+INT((ROW()-9)/24)</f>
        <v>45999</v>
      </c>
      <c r="B807" s="11" t="n">
        <f aca="false">MOD(ROW()-9,24)</f>
        <v>6</v>
      </c>
      <c r="C807" s="12"/>
      <c r="D807" s="13" t="n">
        <f aca="false">IF(B807&lt;5,Einstellungen!$B$3,Einstellungen!$B$4)</f>
        <v>29.13</v>
      </c>
      <c r="E807" s="14" t="str">
        <f aca="false">IF(C807="","",C807*D807/100)</f>
        <v/>
      </c>
      <c r="F807" s="15" t="str">
        <f aca="false">IF(B807&lt;5,"Go","Standard")</f>
        <v>Standard</v>
      </c>
    </row>
    <row r="808" customFormat="false" ht="15" hidden="false" customHeight="true" outlineLevel="0" collapsed="false">
      <c r="A808" s="10" t="n">
        <f aca="false">Einstellungen!$B$5+INT((ROW()-9)/24)</f>
        <v>45999</v>
      </c>
      <c r="B808" s="11" t="n">
        <f aca="false">MOD(ROW()-9,24)</f>
        <v>7</v>
      </c>
      <c r="C808" s="12"/>
      <c r="D808" s="13" t="n">
        <f aca="false">IF(B808&lt;5,Einstellungen!$B$3,Einstellungen!$B$4)</f>
        <v>29.13</v>
      </c>
      <c r="E808" s="14" t="str">
        <f aca="false">IF(C808="","",C808*D808/100)</f>
        <v/>
      </c>
      <c r="F808" s="15" t="str">
        <f aca="false">IF(B808&lt;5,"Go","Standard")</f>
        <v>Standard</v>
      </c>
    </row>
    <row r="809" customFormat="false" ht="15" hidden="false" customHeight="true" outlineLevel="0" collapsed="false">
      <c r="A809" s="10" t="n">
        <f aca="false">Einstellungen!$B$5+INT((ROW()-9)/24)</f>
        <v>45999</v>
      </c>
      <c r="B809" s="11" t="n">
        <f aca="false">MOD(ROW()-9,24)</f>
        <v>8</v>
      </c>
      <c r="C809" s="12"/>
      <c r="D809" s="13" t="n">
        <f aca="false">IF(B809&lt;5,Einstellungen!$B$3,Einstellungen!$B$4)</f>
        <v>29.13</v>
      </c>
      <c r="E809" s="14" t="str">
        <f aca="false">IF(C809="","",C809*D809/100)</f>
        <v/>
      </c>
      <c r="F809" s="15" t="str">
        <f aca="false">IF(B809&lt;5,"Go","Standard")</f>
        <v>Standard</v>
      </c>
    </row>
    <row r="810" customFormat="false" ht="15" hidden="false" customHeight="true" outlineLevel="0" collapsed="false">
      <c r="A810" s="10" t="n">
        <f aca="false">Einstellungen!$B$5+INT((ROW()-9)/24)</f>
        <v>45999</v>
      </c>
      <c r="B810" s="11" t="n">
        <f aca="false">MOD(ROW()-9,24)</f>
        <v>9</v>
      </c>
      <c r="C810" s="12"/>
      <c r="D810" s="13" t="n">
        <f aca="false">IF(B810&lt;5,Einstellungen!$B$3,Einstellungen!$B$4)</f>
        <v>29.13</v>
      </c>
      <c r="E810" s="14" t="str">
        <f aca="false">IF(C810="","",C810*D810/100)</f>
        <v/>
      </c>
      <c r="F810" s="15" t="str">
        <f aca="false">IF(B810&lt;5,"Go","Standard")</f>
        <v>Standard</v>
      </c>
    </row>
    <row r="811" customFormat="false" ht="15" hidden="false" customHeight="true" outlineLevel="0" collapsed="false">
      <c r="A811" s="10" t="n">
        <f aca="false">Einstellungen!$B$5+INT((ROW()-9)/24)</f>
        <v>45999</v>
      </c>
      <c r="B811" s="11" t="n">
        <f aca="false">MOD(ROW()-9,24)</f>
        <v>10</v>
      </c>
      <c r="C811" s="12"/>
      <c r="D811" s="13" t="n">
        <f aca="false">IF(B811&lt;5,Einstellungen!$B$3,Einstellungen!$B$4)</f>
        <v>29.13</v>
      </c>
      <c r="E811" s="14" t="str">
        <f aca="false">IF(C811="","",C811*D811/100)</f>
        <v/>
      </c>
      <c r="F811" s="15" t="str">
        <f aca="false">IF(B811&lt;5,"Go","Standard")</f>
        <v>Standard</v>
      </c>
    </row>
    <row r="812" customFormat="false" ht="15" hidden="false" customHeight="true" outlineLevel="0" collapsed="false">
      <c r="A812" s="10" t="n">
        <f aca="false">Einstellungen!$B$5+INT((ROW()-9)/24)</f>
        <v>45999</v>
      </c>
      <c r="B812" s="11" t="n">
        <f aca="false">MOD(ROW()-9,24)</f>
        <v>11</v>
      </c>
      <c r="C812" s="12"/>
      <c r="D812" s="13" t="n">
        <f aca="false">IF(B812&lt;5,Einstellungen!$B$3,Einstellungen!$B$4)</f>
        <v>29.13</v>
      </c>
      <c r="E812" s="14" t="str">
        <f aca="false">IF(C812="","",C812*D812/100)</f>
        <v/>
      </c>
      <c r="F812" s="15" t="str">
        <f aca="false">IF(B812&lt;5,"Go","Standard")</f>
        <v>Standard</v>
      </c>
    </row>
    <row r="813" customFormat="false" ht="15" hidden="false" customHeight="true" outlineLevel="0" collapsed="false">
      <c r="A813" s="10" t="n">
        <f aca="false">Einstellungen!$B$5+INT((ROW()-9)/24)</f>
        <v>45999</v>
      </c>
      <c r="B813" s="11" t="n">
        <f aca="false">MOD(ROW()-9,24)</f>
        <v>12</v>
      </c>
      <c r="C813" s="12"/>
      <c r="D813" s="13" t="n">
        <f aca="false">IF(B813&lt;5,Einstellungen!$B$3,Einstellungen!$B$4)</f>
        <v>29.13</v>
      </c>
      <c r="E813" s="14" t="str">
        <f aca="false">IF(C813="","",C813*D813/100)</f>
        <v/>
      </c>
      <c r="F813" s="15" t="str">
        <f aca="false">IF(B813&lt;5,"Go","Standard")</f>
        <v>Standard</v>
      </c>
    </row>
    <row r="814" customFormat="false" ht="15" hidden="false" customHeight="true" outlineLevel="0" collapsed="false">
      <c r="A814" s="10" t="n">
        <f aca="false">Einstellungen!$B$5+INT((ROW()-9)/24)</f>
        <v>45999</v>
      </c>
      <c r="B814" s="11" t="n">
        <f aca="false">MOD(ROW()-9,24)</f>
        <v>13</v>
      </c>
      <c r="C814" s="12"/>
      <c r="D814" s="13" t="n">
        <f aca="false">IF(B814&lt;5,Einstellungen!$B$3,Einstellungen!$B$4)</f>
        <v>29.13</v>
      </c>
      <c r="E814" s="14" t="str">
        <f aca="false">IF(C814="","",C814*D814/100)</f>
        <v/>
      </c>
      <c r="F814" s="15" t="str">
        <f aca="false">IF(B814&lt;5,"Go","Standard")</f>
        <v>Standard</v>
      </c>
    </row>
    <row r="815" customFormat="false" ht="15" hidden="false" customHeight="true" outlineLevel="0" collapsed="false">
      <c r="A815" s="10" t="n">
        <f aca="false">Einstellungen!$B$5+INT((ROW()-9)/24)</f>
        <v>45999</v>
      </c>
      <c r="B815" s="11" t="n">
        <f aca="false">MOD(ROW()-9,24)</f>
        <v>14</v>
      </c>
      <c r="C815" s="12"/>
      <c r="D815" s="13" t="n">
        <f aca="false">IF(B815&lt;5,Einstellungen!$B$3,Einstellungen!$B$4)</f>
        <v>29.13</v>
      </c>
      <c r="E815" s="14" t="str">
        <f aca="false">IF(C815="","",C815*D815/100)</f>
        <v/>
      </c>
      <c r="F815" s="15" t="str">
        <f aca="false">IF(B815&lt;5,"Go","Standard")</f>
        <v>Standard</v>
      </c>
    </row>
    <row r="816" customFormat="false" ht="15" hidden="false" customHeight="true" outlineLevel="0" collapsed="false">
      <c r="A816" s="10" t="n">
        <f aca="false">Einstellungen!$B$5+INT((ROW()-9)/24)</f>
        <v>45999</v>
      </c>
      <c r="B816" s="11" t="n">
        <f aca="false">MOD(ROW()-9,24)</f>
        <v>15</v>
      </c>
      <c r="C816" s="12"/>
      <c r="D816" s="13" t="n">
        <f aca="false">IF(B816&lt;5,Einstellungen!$B$3,Einstellungen!$B$4)</f>
        <v>29.13</v>
      </c>
      <c r="E816" s="14" t="str">
        <f aca="false">IF(C816="","",C816*D816/100)</f>
        <v/>
      </c>
      <c r="F816" s="15" t="str">
        <f aca="false">IF(B816&lt;5,"Go","Standard")</f>
        <v>Standard</v>
      </c>
    </row>
    <row r="817" customFormat="false" ht="15" hidden="false" customHeight="true" outlineLevel="0" collapsed="false">
      <c r="A817" s="10" t="n">
        <f aca="false">Einstellungen!$B$5+INT((ROW()-9)/24)</f>
        <v>45999</v>
      </c>
      <c r="B817" s="11" t="n">
        <f aca="false">MOD(ROW()-9,24)</f>
        <v>16</v>
      </c>
      <c r="C817" s="12"/>
      <c r="D817" s="13" t="n">
        <f aca="false">IF(B817&lt;5,Einstellungen!$B$3,Einstellungen!$B$4)</f>
        <v>29.13</v>
      </c>
      <c r="E817" s="14" t="str">
        <f aca="false">IF(C817="","",C817*D817/100)</f>
        <v/>
      </c>
      <c r="F817" s="15" t="str">
        <f aca="false">IF(B817&lt;5,"Go","Standard")</f>
        <v>Standard</v>
      </c>
    </row>
    <row r="818" customFormat="false" ht="15" hidden="false" customHeight="true" outlineLevel="0" collapsed="false">
      <c r="A818" s="10" t="n">
        <f aca="false">Einstellungen!$B$5+INT((ROW()-9)/24)</f>
        <v>45999</v>
      </c>
      <c r="B818" s="11" t="n">
        <f aca="false">MOD(ROW()-9,24)</f>
        <v>17</v>
      </c>
      <c r="C818" s="12"/>
      <c r="D818" s="13" t="n">
        <f aca="false">IF(B818&lt;5,Einstellungen!$B$3,Einstellungen!$B$4)</f>
        <v>29.13</v>
      </c>
      <c r="E818" s="14" t="str">
        <f aca="false">IF(C818="","",C818*D818/100)</f>
        <v/>
      </c>
      <c r="F818" s="15" t="str">
        <f aca="false">IF(B818&lt;5,"Go","Standard")</f>
        <v>Standard</v>
      </c>
    </row>
    <row r="819" customFormat="false" ht="15" hidden="false" customHeight="true" outlineLevel="0" collapsed="false">
      <c r="A819" s="10" t="n">
        <f aca="false">Einstellungen!$B$5+INT((ROW()-9)/24)</f>
        <v>45999</v>
      </c>
      <c r="B819" s="11" t="n">
        <f aca="false">MOD(ROW()-9,24)</f>
        <v>18</v>
      </c>
      <c r="C819" s="12"/>
      <c r="D819" s="13" t="n">
        <f aca="false">IF(B819&lt;5,Einstellungen!$B$3,Einstellungen!$B$4)</f>
        <v>29.13</v>
      </c>
      <c r="E819" s="14" t="str">
        <f aca="false">IF(C819="","",C819*D819/100)</f>
        <v/>
      </c>
      <c r="F819" s="15" t="str">
        <f aca="false">IF(B819&lt;5,"Go","Standard")</f>
        <v>Standard</v>
      </c>
    </row>
    <row r="820" customFormat="false" ht="15" hidden="false" customHeight="true" outlineLevel="0" collapsed="false">
      <c r="A820" s="10" t="n">
        <f aca="false">Einstellungen!$B$5+INT((ROW()-9)/24)</f>
        <v>45999</v>
      </c>
      <c r="B820" s="11" t="n">
        <f aca="false">MOD(ROW()-9,24)</f>
        <v>19</v>
      </c>
      <c r="C820" s="12"/>
      <c r="D820" s="13" t="n">
        <f aca="false">IF(B820&lt;5,Einstellungen!$B$3,Einstellungen!$B$4)</f>
        <v>29.13</v>
      </c>
      <c r="E820" s="14" t="str">
        <f aca="false">IF(C820="","",C820*D820/100)</f>
        <v/>
      </c>
      <c r="F820" s="15" t="str">
        <f aca="false">IF(B820&lt;5,"Go","Standard")</f>
        <v>Standard</v>
      </c>
    </row>
    <row r="821" customFormat="false" ht="15" hidden="false" customHeight="true" outlineLevel="0" collapsed="false">
      <c r="A821" s="10" t="n">
        <f aca="false">Einstellungen!$B$5+INT((ROW()-9)/24)</f>
        <v>45999</v>
      </c>
      <c r="B821" s="11" t="n">
        <f aca="false">MOD(ROW()-9,24)</f>
        <v>20</v>
      </c>
      <c r="C821" s="12"/>
      <c r="D821" s="13" t="n">
        <f aca="false">IF(B821&lt;5,Einstellungen!$B$3,Einstellungen!$B$4)</f>
        <v>29.13</v>
      </c>
      <c r="E821" s="14" t="str">
        <f aca="false">IF(C821="","",C821*D821/100)</f>
        <v/>
      </c>
      <c r="F821" s="15" t="str">
        <f aca="false">IF(B821&lt;5,"Go","Standard")</f>
        <v>Standard</v>
      </c>
    </row>
    <row r="822" customFormat="false" ht="15" hidden="false" customHeight="true" outlineLevel="0" collapsed="false">
      <c r="A822" s="10" t="n">
        <f aca="false">Einstellungen!$B$5+INT((ROW()-9)/24)</f>
        <v>45999</v>
      </c>
      <c r="B822" s="11" t="n">
        <f aca="false">MOD(ROW()-9,24)</f>
        <v>21</v>
      </c>
      <c r="C822" s="12"/>
      <c r="D822" s="13" t="n">
        <f aca="false">IF(B822&lt;5,Einstellungen!$B$3,Einstellungen!$B$4)</f>
        <v>29.13</v>
      </c>
      <c r="E822" s="14" t="str">
        <f aca="false">IF(C822="","",C822*D822/100)</f>
        <v/>
      </c>
      <c r="F822" s="15" t="str">
        <f aca="false">IF(B822&lt;5,"Go","Standard")</f>
        <v>Standard</v>
      </c>
    </row>
    <row r="823" customFormat="false" ht="15" hidden="false" customHeight="true" outlineLevel="0" collapsed="false">
      <c r="A823" s="10" t="n">
        <f aca="false">Einstellungen!$B$5+INT((ROW()-9)/24)</f>
        <v>45999</v>
      </c>
      <c r="B823" s="11" t="n">
        <f aca="false">MOD(ROW()-9,24)</f>
        <v>22</v>
      </c>
      <c r="C823" s="12"/>
      <c r="D823" s="13" t="n">
        <f aca="false">IF(B823&lt;5,Einstellungen!$B$3,Einstellungen!$B$4)</f>
        <v>29.13</v>
      </c>
      <c r="E823" s="14" t="str">
        <f aca="false">IF(C823="","",C823*D823/100)</f>
        <v/>
      </c>
      <c r="F823" s="15" t="str">
        <f aca="false">IF(B823&lt;5,"Go","Standard")</f>
        <v>Standard</v>
      </c>
    </row>
    <row r="824" customFormat="false" ht="15" hidden="false" customHeight="true" outlineLevel="0" collapsed="false">
      <c r="A824" s="10" t="n">
        <f aca="false">Einstellungen!$B$5+INT((ROW()-9)/24)</f>
        <v>45999</v>
      </c>
      <c r="B824" s="11" t="n">
        <f aca="false">MOD(ROW()-9,24)</f>
        <v>23</v>
      </c>
      <c r="C824" s="12"/>
      <c r="D824" s="13" t="n">
        <f aca="false">IF(B824&lt;5,Einstellungen!$B$3,Einstellungen!$B$4)</f>
        <v>29.13</v>
      </c>
      <c r="E824" s="14" t="str">
        <f aca="false">IF(C824="","",C824*D824/100)</f>
        <v/>
      </c>
      <c r="F824" s="15" t="str">
        <f aca="false">IF(B824&lt;5,"Go","Standard")</f>
        <v>Standard</v>
      </c>
    </row>
    <row r="825" customFormat="false" ht="15" hidden="false" customHeight="true" outlineLevel="0" collapsed="false">
      <c r="A825" s="10" t="n">
        <f aca="false">Einstellungen!$B$5+INT((ROW()-9)/24)</f>
        <v>46000</v>
      </c>
      <c r="B825" s="11" t="n">
        <f aca="false">MOD(ROW()-9,24)</f>
        <v>0</v>
      </c>
      <c r="C825" s="12"/>
      <c r="D825" s="13" t="n">
        <f aca="false">IF(B825&lt;5,Einstellungen!$B$3,Einstellungen!$B$4)</f>
        <v>15.92</v>
      </c>
      <c r="E825" s="14" t="str">
        <f aca="false">IF(C825="","",C825*D825/100)</f>
        <v/>
      </c>
      <c r="F825" s="15" t="str">
        <f aca="false">IF(B825&lt;5,"Go","Standard")</f>
        <v>Go</v>
      </c>
    </row>
    <row r="826" customFormat="false" ht="15" hidden="false" customHeight="true" outlineLevel="0" collapsed="false">
      <c r="A826" s="10" t="n">
        <f aca="false">Einstellungen!$B$5+INT((ROW()-9)/24)</f>
        <v>46000</v>
      </c>
      <c r="B826" s="11" t="n">
        <f aca="false">MOD(ROW()-9,24)</f>
        <v>1</v>
      </c>
      <c r="C826" s="12"/>
      <c r="D826" s="13" t="n">
        <f aca="false">IF(B826&lt;5,Einstellungen!$B$3,Einstellungen!$B$4)</f>
        <v>15.92</v>
      </c>
      <c r="E826" s="14" t="str">
        <f aca="false">IF(C826="","",C826*D826/100)</f>
        <v/>
      </c>
      <c r="F826" s="15" t="str">
        <f aca="false">IF(B826&lt;5,"Go","Standard")</f>
        <v>Go</v>
      </c>
    </row>
    <row r="827" customFormat="false" ht="15" hidden="false" customHeight="true" outlineLevel="0" collapsed="false">
      <c r="A827" s="10" t="n">
        <f aca="false">Einstellungen!$B$5+INT((ROW()-9)/24)</f>
        <v>46000</v>
      </c>
      <c r="B827" s="11" t="n">
        <f aca="false">MOD(ROW()-9,24)</f>
        <v>2</v>
      </c>
      <c r="C827" s="12"/>
      <c r="D827" s="13" t="n">
        <f aca="false">IF(B827&lt;5,Einstellungen!$B$3,Einstellungen!$B$4)</f>
        <v>15.92</v>
      </c>
      <c r="E827" s="14" t="str">
        <f aca="false">IF(C827="","",C827*D827/100)</f>
        <v/>
      </c>
      <c r="F827" s="15" t="str">
        <f aca="false">IF(B827&lt;5,"Go","Standard")</f>
        <v>Go</v>
      </c>
    </row>
    <row r="828" customFormat="false" ht="15" hidden="false" customHeight="true" outlineLevel="0" collapsed="false">
      <c r="A828" s="10" t="n">
        <f aca="false">Einstellungen!$B$5+INT((ROW()-9)/24)</f>
        <v>46000</v>
      </c>
      <c r="B828" s="11" t="n">
        <f aca="false">MOD(ROW()-9,24)</f>
        <v>3</v>
      </c>
      <c r="C828" s="12"/>
      <c r="D828" s="13" t="n">
        <f aca="false">IF(B828&lt;5,Einstellungen!$B$3,Einstellungen!$B$4)</f>
        <v>15.92</v>
      </c>
      <c r="E828" s="14" t="str">
        <f aca="false">IF(C828="","",C828*D828/100)</f>
        <v/>
      </c>
      <c r="F828" s="15" t="str">
        <f aca="false">IF(B828&lt;5,"Go","Standard")</f>
        <v>Go</v>
      </c>
    </row>
    <row r="829" customFormat="false" ht="15" hidden="false" customHeight="true" outlineLevel="0" collapsed="false">
      <c r="A829" s="10" t="n">
        <f aca="false">Einstellungen!$B$5+INT((ROW()-9)/24)</f>
        <v>46000</v>
      </c>
      <c r="B829" s="11" t="n">
        <f aca="false">MOD(ROW()-9,24)</f>
        <v>4</v>
      </c>
      <c r="C829" s="12"/>
      <c r="D829" s="13" t="n">
        <f aca="false">IF(B829&lt;5,Einstellungen!$B$3,Einstellungen!$B$4)</f>
        <v>15.92</v>
      </c>
      <c r="E829" s="14" t="str">
        <f aca="false">IF(C829="","",C829*D829/100)</f>
        <v/>
      </c>
      <c r="F829" s="15" t="str">
        <f aca="false">IF(B829&lt;5,"Go","Standard")</f>
        <v>Go</v>
      </c>
    </row>
    <row r="830" customFormat="false" ht="15" hidden="false" customHeight="true" outlineLevel="0" collapsed="false">
      <c r="A830" s="10" t="n">
        <f aca="false">Einstellungen!$B$5+INT((ROW()-9)/24)</f>
        <v>46000</v>
      </c>
      <c r="B830" s="11" t="n">
        <f aca="false">MOD(ROW()-9,24)</f>
        <v>5</v>
      </c>
      <c r="C830" s="12"/>
      <c r="D830" s="13" t="n">
        <f aca="false">IF(B830&lt;5,Einstellungen!$B$3,Einstellungen!$B$4)</f>
        <v>29.13</v>
      </c>
      <c r="E830" s="14" t="str">
        <f aca="false">IF(C830="","",C830*D830/100)</f>
        <v/>
      </c>
      <c r="F830" s="15" t="str">
        <f aca="false">IF(B830&lt;5,"Go","Standard")</f>
        <v>Standard</v>
      </c>
    </row>
    <row r="831" customFormat="false" ht="15" hidden="false" customHeight="true" outlineLevel="0" collapsed="false">
      <c r="A831" s="10" t="n">
        <f aca="false">Einstellungen!$B$5+INT((ROW()-9)/24)</f>
        <v>46000</v>
      </c>
      <c r="B831" s="11" t="n">
        <f aca="false">MOD(ROW()-9,24)</f>
        <v>6</v>
      </c>
      <c r="C831" s="12"/>
      <c r="D831" s="13" t="n">
        <f aca="false">IF(B831&lt;5,Einstellungen!$B$3,Einstellungen!$B$4)</f>
        <v>29.13</v>
      </c>
      <c r="E831" s="14" t="str">
        <f aca="false">IF(C831="","",C831*D831/100)</f>
        <v/>
      </c>
      <c r="F831" s="15" t="str">
        <f aca="false">IF(B831&lt;5,"Go","Standard")</f>
        <v>Standard</v>
      </c>
    </row>
    <row r="832" customFormat="false" ht="15" hidden="false" customHeight="true" outlineLevel="0" collapsed="false">
      <c r="A832" s="10" t="n">
        <f aca="false">Einstellungen!$B$5+INT((ROW()-9)/24)</f>
        <v>46000</v>
      </c>
      <c r="B832" s="11" t="n">
        <f aca="false">MOD(ROW()-9,24)</f>
        <v>7</v>
      </c>
      <c r="C832" s="12"/>
      <c r="D832" s="13" t="n">
        <f aca="false">IF(B832&lt;5,Einstellungen!$B$3,Einstellungen!$B$4)</f>
        <v>29.13</v>
      </c>
      <c r="E832" s="14" t="str">
        <f aca="false">IF(C832="","",C832*D832/100)</f>
        <v/>
      </c>
      <c r="F832" s="15" t="str">
        <f aca="false">IF(B832&lt;5,"Go","Standard")</f>
        <v>Standard</v>
      </c>
    </row>
    <row r="833" customFormat="false" ht="15" hidden="false" customHeight="true" outlineLevel="0" collapsed="false">
      <c r="A833" s="10" t="n">
        <f aca="false">Einstellungen!$B$5+INT((ROW()-9)/24)</f>
        <v>46000</v>
      </c>
      <c r="B833" s="11" t="n">
        <f aca="false">MOD(ROW()-9,24)</f>
        <v>8</v>
      </c>
      <c r="C833" s="12"/>
      <c r="D833" s="13" t="n">
        <f aca="false">IF(B833&lt;5,Einstellungen!$B$3,Einstellungen!$B$4)</f>
        <v>29.13</v>
      </c>
      <c r="E833" s="14" t="str">
        <f aca="false">IF(C833="","",C833*D833/100)</f>
        <v/>
      </c>
      <c r="F833" s="15" t="str">
        <f aca="false">IF(B833&lt;5,"Go","Standard")</f>
        <v>Standard</v>
      </c>
    </row>
    <row r="834" customFormat="false" ht="15" hidden="false" customHeight="true" outlineLevel="0" collapsed="false">
      <c r="A834" s="10" t="n">
        <f aca="false">Einstellungen!$B$5+INT((ROW()-9)/24)</f>
        <v>46000</v>
      </c>
      <c r="B834" s="11" t="n">
        <f aca="false">MOD(ROW()-9,24)</f>
        <v>9</v>
      </c>
      <c r="C834" s="12"/>
      <c r="D834" s="13" t="n">
        <f aca="false">IF(B834&lt;5,Einstellungen!$B$3,Einstellungen!$B$4)</f>
        <v>29.13</v>
      </c>
      <c r="E834" s="14" t="str">
        <f aca="false">IF(C834="","",C834*D834/100)</f>
        <v/>
      </c>
      <c r="F834" s="15" t="str">
        <f aca="false">IF(B834&lt;5,"Go","Standard")</f>
        <v>Standard</v>
      </c>
    </row>
    <row r="835" customFormat="false" ht="15" hidden="false" customHeight="true" outlineLevel="0" collapsed="false">
      <c r="A835" s="10" t="n">
        <f aca="false">Einstellungen!$B$5+INT((ROW()-9)/24)</f>
        <v>46000</v>
      </c>
      <c r="B835" s="11" t="n">
        <f aca="false">MOD(ROW()-9,24)</f>
        <v>10</v>
      </c>
      <c r="C835" s="12"/>
      <c r="D835" s="13" t="n">
        <f aca="false">IF(B835&lt;5,Einstellungen!$B$3,Einstellungen!$B$4)</f>
        <v>29.13</v>
      </c>
      <c r="E835" s="14" t="str">
        <f aca="false">IF(C835="","",C835*D835/100)</f>
        <v/>
      </c>
      <c r="F835" s="15" t="str">
        <f aca="false">IF(B835&lt;5,"Go","Standard")</f>
        <v>Standard</v>
      </c>
    </row>
    <row r="836" customFormat="false" ht="15" hidden="false" customHeight="true" outlineLevel="0" collapsed="false">
      <c r="A836" s="10" t="n">
        <f aca="false">Einstellungen!$B$5+INT((ROW()-9)/24)</f>
        <v>46000</v>
      </c>
      <c r="B836" s="11" t="n">
        <f aca="false">MOD(ROW()-9,24)</f>
        <v>11</v>
      </c>
      <c r="C836" s="12"/>
      <c r="D836" s="13" t="n">
        <f aca="false">IF(B836&lt;5,Einstellungen!$B$3,Einstellungen!$B$4)</f>
        <v>29.13</v>
      </c>
      <c r="E836" s="14" t="str">
        <f aca="false">IF(C836="","",C836*D836/100)</f>
        <v/>
      </c>
      <c r="F836" s="15" t="str">
        <f aca="false">IF(B836&lt;5,"Go","Standard")</f>
        <v>Standard</v>
      </c>
    </row>
    <row r="837" customFormat="false" ht="15" hidden="false" customHeight="true" outlineLevel="0" collapsed="false">
      <c r="A837" s="10" t="n">
        <f aca="false">Einstellungen!$B$5+INT((ROW()-9)/24)</f>
        <v>46000</v>
      </c>
      <c r="B837" s="11" t="n">
        <f aca="false">MOD(ROW()-9,24)</f>
        <v>12</v>
      </c>
      <c r="C837" s="12"/>
      <c r="D837" s="13" t="n">
        <f aca="false">IF(B837&lt;5,Einstellungen!$B$3,Einstellungen!$B$4)</f>
        <v>29.13</v>
      </c>
      <c r="E837" s="14" t="str">
        <f aca="false">IF(C837="","",C837*D837/100)</f>
        <v/>
      </c>
      <c r="F837" s="15" t="str">
        <f aca="false">IF(B837&lt;5,"Go","Standard")</f>
        <v>Standard</v>
      </c>
    </row>
    <row r="838" customFormat="false" ht="15" hidden="false" customHeight="true" outlineLevel="0" collapsed="false">
      <c r="A838" s="10" t="n">
        <f aca="false">Einstellungen!$B$5+INT((ROW()-9)/24)</f>
        <v>46000</v>
      </c>
      <c r="B838" s="11" t="n">
        <f aca="false">MOD(ROW()-9,24)</f>
        <v>13</v>
      </c>
      <c r="C838" s="12"/>
      <c r="D838" s="13" t="n">
        <f aca="false">IF(B838&lt;5,Einstellungen!$B$3,Einstellungen!$B$4)</f>
        <v>29.13</v>
      </c>
      <c r="E838" s="14" t="str">
        <f aca="false">IF(C838="","",C838*D838/100)</f>
        <v/>
      </c>
      <c r="F838" s="15" t="str">
        <f aca="false">IF(B838&lt;5,"Go","Standard")</f>
        <v>Standard</v>
      </c>
    </row>
    <row r="839" customFormat="false" ht="15" hidden="false" customHeight="true" outlineLevel="0" collapsed="false">
      <c r="A839" s="10" t="n">
        <f aca="false">Einstellungen!$B$5+INT((ROW()-9)/24)</f>
        <v>46000</v>
      </c>
      <c r="B839" s="11" t="n">
        <f aca="false">MOD(ROW()-9,24)</f>
        <v>14</v>
      </c>
      <c r="C839" s="12"/>
      <c r="D839" s="13" t="n">
        <f aca="false">IF(B839&lt;5,Einstellungen!$B$3,Einstellungen!$B$4)</f>
        <v>29.13</v>
      </c>
      <c r="E839" s="14" t="str">
        <f aca="false">IF(C839="","",C839*D839/100)</f>
        <v/>
      </c>
      <c r="F839" s="15" t="str">
        <f aca="false">IF(B839&lt;5,"Go","Standard")</f>
        <v>Standard</v>
      </c>
    </row>
    <row r="840" customFormat="false" ht="15" hidden="false" customHeight="true" outlineLevel="0" collapsed="false">
      <c r="A840" s="10" t="n">
        <f aca="false">Einstellungen!$B$5+INT((ROW()-9)/24)</f>
        <v>46000</v>
      </c>
      <c r="B840" s="11" t="n">
        <f aca="false">MOD(ROW()-9,24)</f>
        <v>15</v>
      </c>
      <c r="C840" s="12"/>
      <c r="D840" s="13" t="n">
        <f aca="false">IF(B840&lt;5,Einstellungen!$B$3,Einstellungen!$B$4)</f>
        <v>29.13</v>
      </c>
      <c r="E840" s="14" t="str">
        <f aca="false">IF(C840="","",C840*D840/100)</f>
        <v/>
      </c>
      <c r="F840" s="15" t="str">
        <f aca="false">IF(B840&lt;5,"Go","Standard")</f>
        <v>Standard</v>
      </c>
    </row>
    <row r="841" customFormat="false" ht="15" hidden="false" customHeight="true" outlineLevel="0" collapsed="false">
      <c r="A841" s="10" t="n">
        <f aca="false">Einstellungen!$B$5+INT((ROW()-9)/24)</f>
        <v>46000</v>
      </c>
      <c r="B841" s="11" t="n">
        <f aca="false">MOD(ROW()-9,24)</f>
        <v>16</v>
      </c>
      <c r="C841" s="12"/>
      <c r="D841" s="13" t="n">
        <f aca="false">IF(B841&lt;5,Einstellungen!$B$3,Einstellungen!$B$4)</f>
        <v>29.13</v>
      </c>
      <c r="E841" s="14" t="str">
        <f aca="false">IF(C841="","",C841*D841/100)</f>
        <v/>
      </c>
      <c r="F841" s="15" t="str">
        <f aca="false">IF(B841&lt;5,"Go","Standard")</f>
        <v>Standard</v>
      </c>
    </row>
    <row r="842" customFormat="false" ht="15" hidden="false" customHeight="true" outlineLevel="0" collapsed="false">
      <c r="A842" s="10" t="n">
        <f aca="false">Einstellungen!$B$5+INT((ROW()-9)/24)</f>
        <v>46000</v>
      </c>
      <c r="B842" s="11" t="n">
        <f aca="false">MOD(ROW()-9,24)</f>
        <v>17</v>
      </c>
      <c r="C842" s="12"/>
      <c r="D842" s="13" t="n">
        <f aca="false">IF(B842&lt;5,Einstellungen!$B$3,Einstellungen!$B$4)</f>
        <v>29.13</v>
      </c>
      <c r="E842" s="14" t="str">
        <f aca="false">IF(C842="","",C842*D842/100)</f>
        <v/>
      </c>
      <c r="F842" s="15" t="str">
        <f aca="false">IF(B842&lt;5,"Go","Standard")</f>
        <v>Standard</v>
      </c>
    </row>
    <row r="843" customFormat="false" ht="15" hidden="false" customHeight="true" outlineLevel="0" collapsed="false">
      <c r="A843" s="10" t="n">
        <f aca="false">Einstellungen!$B$5+INT((ROW()-9)/24)</f>
        <v>46000</v>
      </c>
      <c r="B843" s="11" t="n">
        <f aca="false">MOD(ROW()-9,24)</f>
        <v>18</v>
      </c>
      <c r="C843" s="12"/>
      <c r="D843" s="13" t="n">
        <f aca="false">IF(B843&lt;5,Einstellungen!$B$3,Einstellungen!$B$4)</f>
        <v>29.13</v>
      </c>
      <c r="E843" s="14" t="str">
        <f aca="false">IF(C843="","",C843*D843/100)</f>
        <v/>
      </c>
      <c r="F843" s="15" t="str">
        <f aca="false">IF(B843&lt;5,"Go","Standard")</f>
        <v>Standard</v>
      </c>
    </row>
    <row r="844" customFormat="false" ht="15" hidden="false" customHeight="true" outlineLevel="0" collapsed="false">
      <c r="A844" s="10" t="n">
        <f aca="false">Einstellungen!$B$5+INT((ROW()-9)/24)</f>
        <v>46000</v>
      </c>
      <c r="B844" s="11" t="n">
        <f aca="false">MOD(ROW()-9,24)</f>
        <v>19</v>
      </c>
      <c r="C844" s="12"/>
      <c r="D844" s="13" t="n">
        <f aca="false">IF(B844&lt;5,Einstellungen!$B$3,Einstellungen!$B$4)</f>
        <v>29.13</v>
      </c>
      <c r="E844" s="14" t="str">
        <f aca="false">IF(C844="","",C844*D844/100)</f>
        <v/>
      </c>
      <c r="F844" s="15" t="str">
        <f aca="false">IF(B844&lt;5,"Go","Standard")</f>
        <v>Standard</v>
      </c>
    </row>
    <row r="845" customFormat="false" ht="15" hidden="false" customHeight="true" outlineLevel="0" collapsed="false">
      <c r="A845" s="10" t="n">
        <f aca="false">Einstellungen!$B$5+INT((ROW()-9)/24)</f>
        <v>46000</v>
      </c>
      <c r="B845" s="11" t="n">
        <f aca="false">MOD(ROW()-9,24)</f>
        <v>20</v>
      </c>
      <c r="C845" s="12"/>
      <c r="D845" s="13" t="n">
        <f aca="false">IF(B845&lt;5,Einstellungen!$B$3,Einstellungen!$B$4)</f>
        <v>29.13</v>
      </c>
      <c r="E845" s="14" t="str">
        <f aca="false">IF(C845="","",C845*D845/100)</f>
        <v/>
      </c>
      <c r="F845" s="15" t="str">
        <f aca="false">IF(B845&lt;5,"Go","Standard")</f>
        <v>Standard</v>
      </c>
    </row>
    <row r="846" customFormat="false" ht="15" hidden="false" customHeight="true" outlineLevel="0" collapsed="false">
      <c r="A846" s="10" t="n">
        <f aca="false">Einstellungen!$B$5+INT((ROW()-9)/24)</f>
        <v>46000</v>
      </c>
      <c r="B846" s="11" t="n">
        <f aca="false">MOD(ROW()-9,24)</f>
        <v>21</v>
      </c>
      <c r="C846" s="12"/>
      <c r="D846" s="13" t="n">
        <f aca="false">IF(B846&lt;5,Einstellungen!$B$3,Einstellungen!$B$4)</f>
        <v>29.13</v>
      </c>
      <c r="E846" s="14" t="str">
        <f aca="false">IF(C846="","",C846*D846/100)</f>
        <v/>
      </c>
      <c r="F846" s="15" t="str">
        <f aca="false">IF(B846&lt;5,"Go","Standard")</f>
        <v>Standard</v>
      </c>
    </row>
    <row r="847" customFormat="false" ht="15" hidden="false" customHeight="true" outlineLevel="0" collapsed="false">
      <c r="A847" s="10" t="n">
        <f aca="false">Einstellungen!$B$5+INT((ROW()-9)/24)</f>
        <v>46000</v>
      </c>
      <c r="B847" s="11" t="n">
        <f aca="false">MOD(ROW()-9,24)</f>
        <v>22</v>
      </c>
      <c r="C847" s="12"/>
      <c r="D847" s="13" t="n">
        <f aca="false">IF(B847&lt;5,Einstellungen!$B$3,Einstellungen!$B$4)</f>
        <v>29.13</v>
      </c>
      <c r="E847" s="14" t="str">
        <f aca="false">IF(C847="","",C847*D847/100)</f>
        <v/>
      </c>
      <c r="F847" s="15" t="str">
        <f aca="false">IF(B847&lt;5,"Go","Standard")</f>
        <v>Standard</v>
      </c>
    </row>
    <row r="848" customFormat="false" ht="15" hidden="false" customHeight="true" outlineLevel="0" collapsed="false">
      <c r="A848" s="10" t="n">
        <f aca="false">Einstellungen!$B$5+INT((ROW()-9)/24)</f>
        <v>46000</v>
      </c>
      <c r="B848" s="11" t="n">
        <f aca="false">MOD(ROW()-9,24)</f>
        <v>23</v>
      </c>
      <c r="C848" s="12"/>
      <c r="D848" s="13" t="n">
        <f aca="false">IF(B848&lt;5,Einstellungen!$B$3,Einstellungen!$B$4)</f>
        <v>29.13</v>
      </c>
      <c r="E848" s="14" t="str">
        <f aca="false">IF(C848="","",C848*D848/100)</f>
        <v/>
      </c>
      <c r="F848" s="15" t="str">
        <f aca="false">IF(B848&lt;5,"Go","Standard")</f>
        <v>Standard</v>
      </c>
    </row>
    <row r="849" customFormat="false" ht="15" hidden="false" customHeight="true" outlineLevel="0" collapsed="false">
      <c r="A849" s="10" t="n">
        <f aca="false">Einstellungen!$B$5+INT((ROW()-9)/24)</f>
        <v>46001</v>
      </c>
      <c r="B849" s="11" t="n">
        <f aca="false">MOD(ROW()-9,24)</f>
        <v>0</v>
      </c>
      <c r="C849" s="12"/>
      <c r="D849" s="13" t="n">
        <f aca="false">IF(B849&lt;5,Einstellungen!$B$3,Einstellungen!$B$4)</f>
        <v>15.92</v>
      </c>
      <c r="E849" s="14" t="str">
        <f aca="false">IF(C849="","",C849*D849/100)</f>
        <v/>
      </c>
      <c r="F849" s="15" t="str">
        <f aca="false">IF(B849&lt;5,"Go","Standard")</f>
        <v>Go</v>
      </c>
    </row>
    <row r="850" customFormat="false" ht="15" hidden="false" customHeight="true" outlineLevel="0" collapsed="false">
      <c r="A850" s="10" t="n">
        <f aca="false">Einstellungen!$B$5+INT((ROW()-9)/24)</f>
        <v>46001</v>
      </c>
      <c r="B850" s="11" t="n">
        <f aca="false">MOD(ROW()-9,24)</f>
        <v>1</v>
      </c>
      <c r="C850" s="12"/>
      <c r="D850" s="13" t="n">
        <f aca="false">IF(B850&lt;5,Einstellungen!$B$3,Einstellungen!$B$4)</f>
        <v>15.92</v>
      </c>
      <c r="E850" s="14" t="str">
        <f aca="false">IF(C850="","",C850*D850/100)</f>
        <v/>
      </c>
      <c r="F850" s="15" t="str">
        <f aca="false">IF(B850&lt;5,"Go","Standard")</f>
        <v>Go</v>
      </c>
    </row>
    <row r="851" customFormat="false" ht="15" hidden="false" customHeight="true" outlineLevel="0" collapsed="false">
      <c r="A851" s="10" t="n">
        <f aca="false">Einstellungen!$B$5+INT((ROW()-9)/24)</f>
        <v>46001</v>
      </c>
      <c r="B851" s="11" t="n">
        <f aca="false">MOD(ROW()-9,24)</f>
        <v>2</v>
      </c>
      <c r="C851" s="12"/>
      <c r="D851" s="13" t="n">
        <f aca="false">IF(B851&lt;5,Einstellungen!$B$3,Einstellungen!$B$4)</f>
        <v>15.92</v>
      </c>
      <c r="E851" s="14" t="str">
        <f aca="false">IF(C851="","",C851*D851/100)</f>
        <v/>
      </c>
      <c r="F851" s="15" t="str">
        <f aca="false">IF(B851&lt;5,"Go","Standard")</f>
        <v>Go</v>
      </c>
    </row>
    <row r="852" customFormat="false" ht="15" hidden="false" customHeight="true" outlineLevel="0" collapsed="false">
      <c r="A852" s="10" t="n">
        <f aca="false">Einstellungen!$B$5+INT((ROW()-9)/24)</f>
        <v>46001</v>
      </c>
      <c r="B852" s="11" t="n">
        <f aca="false">MOD(ROW()-9,24)</f>
        <v>3</v>
      </c>
      <c r="C852" s="12"/>
      <c r="D852" s="13" t="n">
        <f aca="false">IF(B852&lt;5,Einstellungen!$B$3,Einstellungen!$B$4)</f>
        <v>15.92</v>
      </c>
      <c r="E852" s="14" t="str">
        <f aca="false">IF(C852="","",C852*D852/100)</f>
        <v/>
      </c>
      <c r="F852" s="15" t="str">
        <f aca="false">IF(B852&lt;5,"Go","Standard")</f>
        <v>Go</v>
      </c>
    </row>
    <row r="853" customFormat="false" ht="15" hidden="false" customHeight="true" outlineLevel="0" collapsed="false">
      <c r="A853" s="10" t="n">
        <f aca="false">Einstellungen!$B$5+INT((ROW()-9)/24)</f>
        <v>46001</v>
      </c>
      <c r="B853" s="11" t="n">
        <f aca="false">MOD(ROW()-9,24)</f>
        <v>4</v>
      </c>
      <c r="C853" s="12"/>
      <c r="D853" s="13" t="n">
        <f aca="false">IF(B853&lt;5,Einstellungen!$B$3,Einstellungen!$B$4)</f>
        <v>15.92</v>
      </c>
      <c r="E853" s="14" t="str">
        <f aca="false">IF(C853="","",C853*D853/100)</f>
        <v/>
      </c>
      <c r="F853" s="15" t="str">
        <f aca="false">IF(B853&lt;5,"Go","Standard")</f>
        <v>Go</v>
      </c>
    </row>
    <row r="854" customFormat="false" ht="15" hidden="false" customHeight="true" outlineLevel="0" collapsed="false">
      <c r="A854" s="10" t="n">
        <f aca="false">Einstellungen!$B$5+INT((ROW()-9)/24)</f>
        <v>46001</v>
      </c>
      <c r="B854" s="11" t="n">
        <f aca="false">MOD(ROW()-9,24)</f>
        <v>5</v>
      </c>
      <c r="C854" s="12"/>
      <c r="D854" s="13" t="n">
        <f aca="false">IF(B854&lt;5,Einstellungen!$B$3,Einstellungen!$B$4)</f>
        <v>29.13</v>
      </c>
      <c r="E854" s="14" t="str">
        <f aca="false">IF(C854="","",C854*D854/100)</f>
        <v/>
      </c>
      <c r="F854" s="15" t="str">
        <f aca="false">IF(B854&lt;5,"Go","Standard")</f>
        <v>Standard</v>
      </c>
    </row>
    <row r="855" customFormat="false" ht="15" hidden="false" customHeight="true" outlineLevel="0" collapsed="false">
      <c r="A855" s="10" t="n">
        <f aca="false">Einstellungen!$B$5+INT((ROW()-9)/24)</f>
        <v>46001</v>
      </c>
      <c r="B855" s="11" t="n">
        <f aca="false">MOD(ROW()-9,24)</f>
        <v>6</v>
      </c>
      <c r="C855" s="12"/>
      <c r="D855" s="13" t="n">
        <f aca="false">IF(B855&lt;5,Einstellungen!$B$3,Einstellungen!$B$4)</f>
        <v>29.13</v>
      </c>
      <c r="E855" s="14" t="str">
        <f aca="false">IF(C855="","",C855*D855/100)</f>
        <v/>
      </c>
      <c r="F855" s="15" t="str">
        <f aca="false">IF(B855&lt;5,"Go","Standard")</f>
        <v>Standard</v>
      </c>
    </row>
    <row r="856" customFormat="false" ht="15" hidden="false" customHeight="true" outlineLevel="0" collapsed="false">
      <c r="A856" s="10" t="n">
        <f aca="false">Einstellungen!$B$5+INT((ROW()-9)/24)</f>
        <v>46001</v>
      </c>
      <c r="B856" s="11" t="n">
        <f aca="false">MOD(ROW()-9,24)</f>
        <v>7</v>
      </c>
      <c r="C856" s="12"/>
      <c r="D856" s="13" t="n">
        <f aca="false">IF(B856&lt;5,Einstellungen!$B$3,Einstellungen!$B$4)</f>
        <v>29.13</v>
      </c>
      <c r="E856" s="14" t="str">
        <f aca="false">IF(C856="","",C856*D856/100)</f>
        <v/>
      </c>
      <c r="F856" s="15" t="str">
        <f aca="false">IF(B856&lt;5,"Go","Standard")</f>
        <v>Standard</v>
      </c>
    </row>
    <row r="857" customFormat="false" ht="15" hidden="false" customHeight="true" outlineLevel="0" collapsed="false">
      <c r="A857" s="10" t="n">
        <f aca="false">Einstellungen!$B$5+INT((ROW()-9)/24)</f>
        <v>46001</v>
      </c>
      <c r="B857" s="11" t="n">
        <f aca="false">MOD(ROW()-9,24)</f>
        <v>8</v>
      </c>
      <c r="C857" s="12"/>
      <c r="D857" s="13" t="n">
        <f aca="false">IF(B857&lt;5,Einstellungen!$B$3,Einstellungen!$B$4)</f>
        <v>29.13</v>
      </c>
      <c r="E857" s="14" t="str">
        <f aca="false">IF(C857="","",C857*D857/100)</f>
        <v/>
      </c>
      <c r="F857" s="15" t="str">
        <f aca="false">IF(B857&lt;5,"Go","Standard")</f>
        <v>Standard</v>
      </c>
    </row>
    <row r="858" customFormat="false" ht="15" hidden="false" customHeight="true" outlineLevel="0" collapsed="false">
      <c r="A858" s="10" t="n">
        <f aca="false">Einstellungen!$B$5+INT((ROW()-9)/24)</f>
        <v>46001</v>
      </c>
      <c r="B858" s="11" t="n">
        <f aca="false">MOD(ROW()-9,24)</f>
        <v>9</v>
      </c>
      <c r="C858" s="12"/>
      <c r="D858" s="13" t="n">
        <f aca="false">IF(B858&lt;5,Einstellungen!$B$3,Einstellungen!$B$4)</f>
        <v>29.13</v>
      </c>
      <c r="E858" s="14" t="str">
        <f aca="false">IF(C858="","",C858*D858/100)</f>
        <v/>
      </c>
      <c r="F858" s="15" t="str">
        <f aca="false">IF(B858&lt;5,"Go","Standard")</f>
        <v>Standard</v>
      </c>
    </row>
    <row r="859" customFormat="false" ht="15" hidden="false" customHeight="true" outlineLevel="0" collapsed="false">
      <c r="A859" s="10" t="n">
        <f aca="false">Einstellungen!$B$5+INT((ROW()-9)/24)</f>
        <v>46001</v>
      </c>
      <c r="B859" s="11" t="n">
        <f aca="false">MOD(ROW()-9,24)</f>
        <v>10</v>
      </c>
      <c r="C859" s="12"/>
      <c r="D859" s="13" t="n">
        <f aca="false">IF(B859&lt;5,Einstellungen!$B$3,Einstellungen!$B$4)</f>
        <v>29.13</v>
      </c>
      <c r="E859" s="14" t="str">
        <f aca="false">IF(C859="","",C859*D859/100)</f>
        <v/>
      </c>
      <c r="F859" s="15" t="str">
        <f aca="false">IF(B859&lt;5,"Go","Standard")</f>
        <v>Standard</v>
      </c>
    </row>
    <row r="860" customFormat="false" ht="15" hidden="false" customHeight="true" outlineLevel="0" collapsed="false">
      <c r="A860" s="10" t="n">
        <f aca="false">Einstellungen!$B$5+INT((ROW()-9)/24)</f>
        <v>46001</v>
      </c>
      <c r="B860" s="11" t="n">
        <f aca="false">MOD(ROW()-9,24)</f>
        <v>11</v>
      </c>
      <c r="C860" s="12"/>
      <c r="D860" s="13" t="n">
        <f aca="false">IF(B860&lt;5,Einstellungen!$B$3,Einstellungen!$B$4)</f>
        <v>29.13</v>
      </c>
      <c r="E860" s="14" t="str">
        <f aca="false">IF(C860="","",C860*D860/100)</f>
        <v/>
      </c>
      <c r="F860" s="15" t="str">
        <f aca="false">IF(B860&lt;5,"Go","Standard")</f>
        <v>Standard</v>
      </c>
    </row>
    <row r="861" customFormat="false" ht="15" hidden="false" customHeight="true" outlineLevel="0" collapsed="false">
      <c r="A861" s="10" t="n">
        <f aca="false">Einstellungen!$B$5+INT((ROW()-9)/24)</f>
        <v>46001</v>
      </c>
      <c r="B861" s="11" t="n">
        <f aca="false">MOD(ROW()-9,24)</f>
        <v>12</v>
      </c>
      <c r="C861" s="12"/>
      <c r="D861" s="13" t="n">
        <f aca="false">IF(B861&lt;5,Einstellungen!$B$3,Einstellungen!$B$4)</f>
        <v>29.13</v>
      </c>
      <c r="E861" s="14" t="str">
        <f aca="false">IF(C861="","",C861*D861/100)</f>
        <v/>
      </c>
      <c r="F861" s="15" t="str">
        <f aca="false">IF(B861&lt;5,"Go","Standard")</f>
        <v>Standard</v>
      </c>
    </row>
    <row r="862" customFormat="false" ht="15" hidden="false" customHeight="true" outlineLevel="0" collapsed="false">
      <c r="A862" s="10" t="n">
        <f aca="false">Einstellungen!$B$5+INT((ROW()-9)/24)</f>
        <v>46001</v>
      </c>
      <c r="B862" s="11" t="n">
        <f aca="false">MOD(ROW()-9,24)</f>
        <v>13</v>
      </c>
      <c r="C862" s="12"/>
      <c r="D862" s="13" t="n">
        <f aca="false">IF(B862&lt;5,Einstellungen!$B$3,Einstellungen!$B$4)</f>
        <v>29.13</v>
      </c>
      <c r="E862" s="14" t="str">
        <f aca="false">IF(C862="","",C862*D862/100)</f>
        <v/>
      </c>
      <c r="F862" s="15" t="str">
        <f aca="false">IF(B862&lt;5,"Go","Standard")</f>
        <v>Standard</v>
      </c>
    </row>
    <row r="863" customFormat="false" ht="15" hidden="false" customHeight="true" outlineLevel="0" collapsed="false">
      <c r="A863" s="10" t="n">
        <f aca="false">Einstellungen!$B$5+INT((ROW()-9)/24)</f>
        <v>46001</v>
      </c>
      <c r="B863" s="11" t="n">
        <f aca="false">MOD(ROW()-9,24)</f>
        <v>14</v>
      </c>
      <c r="C863" s="12"/>
      <c r="D863" s="13" t="n">
        <f aca="false">IF(B863&lt;5,Einstellungen!$B$3,Einstellungen!$B$4)</f>
        <v>29.13</v>
      </c>
      <c r="E863" s="14" t="str">
        <f aca="false">IF(C863="","",C863*D863/100)</f>
        <v/>
      </c>
      <c r="F863" s="15" t="str">
        <f aca="false">IF(B863&lt;5,"Go","Standard")</f>
        <v>Standard</v>
      </c>
    </row>
    <row r="864" customFormat="false" ht="15" hidden="false" customHeight="true" outlineLevel="0" collapsed="false">
      <c r="A864" s="10" t="n">
        <f aca="false">Einstellungen!$B$5+INT((ROW()-9)/24)</f>
        <v>46001</v>
      </c>
      <c r="B864" s="11" t="n">
        <f aca="false">MOD(ROW()-9,24)</f>
        <v>15</v>
      </c>
      <c r="C864" s="12"/>
      <c r="D864" s="13" t="n">
        <f aca="false">IF(B864&lt;5,Einstellungen!$B$3,Einstellungen!$B$4)</f>
        <v>29.13</v>
      </c>
      <c r="E864" s="14" t="str">
        <f aca="false">IF(C864="","",C864*D864/100)</f>
        <v/>
      </c>
      <c r="F864" s="15" t="str">
        <f aca="false">IF(B864&lt;5,"Go","Standard")</f>
        <v>Standard</v>
      </c>
    </row>
    <row r="865" customFormat="false" ht="15" hidden="false" customHeight="true" outlineLevel="0" collapsed="false">
      <c r="A865" s="10" t="n">
        <f aca="false">Einstellungen!$B$5+INT((ROW()-9)/24)</f>
        <v>46001</v>
      </c>
      <c r="B865" s="11" t="n">
        <f aca="false">MOD(ROW()-9,24)</f>
        <v>16</v>
      </c>
      <c r="C865" s="12"/>
      <c r="D865" s="13" t="n">
        <f aca="false">IF(B865&lt;5,Einstellungen!$B$3,Einstellungen!$B$4)</f>
        <v>29.13</v>
      </c>
      <c r="E865" s="14" t="str">
        <f aca="false">IF(C865="","",C865*D865/100)</f>
        <v/>
      </c>
      <c r="F865" s="15" t="str">
        <f aca="false">IF(B865&lt;5,"Go","Standard")</f>
        <v>Standard</v>
      </c>
    </row>
    <row r="866" customFormat="false" ht="15" hidden="false" customHeight="true" outlineLevel="0" collapsed="false">
      <c r="A866" s="10" t="n">
        <f aca="false">Einstellungen!$B$5+INT((ROW()-9)/24)</f>
        <v>46001</v>
      </c>
      <c r="B866" s="11" t="n">
        <f aca="false">MOD(ROW()-9,24)</f>
        <v>17</v>
      </c>
      <c r="C866" s="12"/>
      <c r="D866" s="13" t="n">
        <f aca="false">IF(B866&lt;5,Einstellungen!$B$3,Einstellungen!$B$4)</f>
        <v>29.13</v>
      </c>
      <c r="E866" s="14" t="str">
        <f aca="false">IF(C866="","",C866*D866/100)</f>
        <v/>
      </c>
      <c r="F866" s="15" t="str">
        <f aca="false">IF(B866&lt;5,"Go","Standard")</f>
        <v>Standard</v>
      </c>
    </row>
    <row r="867" customFormat="false" ht="15" hidden="false" customHeight="true" outlineLevel="0" collapsed="false">
      <c r="A867" s="10" t="n">
        <f aca="false">Einstellungen!$B$5+INT((ROW()-9)/24)</f>
        <v>46001</v>
      </c>
      <c r="B867" s="11" t="n">
        <f aca="false">MOD(ROW()-9,24)</f>
        <v>18</v>
      </c>
      <c r="C867" s="12"/>
      <c r="D867" s="13" t="n">
        <f aca="false">IF(B867&lt;5,Einstellungen!$B$3,Einstellungen!$B$4)</f>
        <v>29.13</v>
      </c>
      <c r="E867" s="14" t="str">
        <f aca="false">IF(C867="","",C867*D867/100)</f>
        <v/>
      </c>
      <c r="F867" s="15" t="str">
        <f aca="false">IF(B867&lt;5,"Go","Standard")</f>
        <v>Standard</v>
      </c>
    </row>
    <row r="868" customFormat="false" ht="15" hidden="false" customHeight="true" outlineLevel="0" collapsed="false">
      <c r="A868" s="10" t="n">
        <f aca="false">Einstellungen!$B$5+INT((ROW()-9)/24)</f>
        <v>46001</v>
      </c>
      <c r="B868" s="11" t="n">
        <f aca="false">MOD(ROW()-9,24)</f>
        <v>19</v>
      </c>
      <c r="C868" s="12"/>
      <c r="D868" s="13" t="n">
        <f aca="false">IF(B868&lt;5,Einstellungen!$B$3,Einstellungen!$B$4)</f>
        <v>29.13</v>
      </c>
      <c r="E868" s="14" t="str">
        <f aca="false">IF(C868="","",C868*D868/100)</f>
        <v/>
      </c>
      <c r="F868" s="15" t="str">
        <f aca="false">IF(B868&lt;5,"Go","Standard")</f>
        <v>Standard</v>
      </c>
    </row>
    <row r="869" customFormat="false" ht="15" hidden="false" customHeight="true" outlineLevel="0" collapsed="false">
      <c r="A869" s="10" t="n">
        <f aca="false">Einstellungen!$B$5+INT((ROW()-9)/24)</f>
        <v>46001</v>
      </c>
      <c r="B869" s="11" t="n">
        <f aca="false">MOD(ROW()-9,24)</f>
        <v>20</v>
      </c>
      <c r="C869" s="12"/>
      <c r="D869" s="13" t="n">
        <f aca="false">IF(B869&lt;5,Einstellungen!$B$3,Einstellungen!$B$4)</f>
        <v>29.13</v>
      </c>
      <c r="E869" s="14" t="str">
        <f aca="false">IF(C869="","",C869*D869/100)</f>
        <v/>
      </c>
      <c r="F869" s="15" t="str">
        <f aca="false">IF(B869&lt;5,"Go","Standard")</f>
        <v>Standard</v>
      </c>
    </row>
    <row r="870" customFormat="false" ht="15" hidden="false" customHeight="true" outlineLevel="0" collapsed="false">
      <c r="A870" s="10" t="n">
        <f aca="false">Einstellungen!$B$5+INT((ROW()-9)/24)</f>
        <v>46001</v>
      </c>
      <c r="B870" s="11" t="n">
        <f aca="false">MOD(ROW()-9,24)</f>
        <v>21</v>
      </c>
      <c r="C870" s="12"/>
      <c r="D870" s="13" t="n">
        <f aca="false">IF(B870&lt;5,Einstellungen!$B$3,Einstellungen!$B$4)</f>
        <v>29.13</v>
      </c>
      <c r="E870" s="14" t="str">
        <f aca="false">IF(C870="","",C870*D870/100)</f>
        <v/>
      </c>
      <c r="F870" s="15" t="str">
        <f aca="false">IF(B870&lt;5,"Go","Standard")</f>
        <v>Standard</v>
      </c>
    </row>
    <row r="871" customFormat="false" ht="15" hidden="false" customHeight="true" outlineLevel="0" collapsed="false">
      <c r="A871" s="10" t="n">
        <f aca="false">Einstellungen!$B$5+INT((ROW()-9)/24)</f>
        <v>46001</v>
      </c>
      <c r="B871" s="11" t="n">
        <f aca="false">MOD(ROW()-9,24)</f>
        <v>22</v>
      </c>
      <c r="C871" s="12"/>
      <c r="D871" s="13" t="n">
        <f aca="false">IF(B871&lt;5,Einstellungen!$B$3,Einstellungen!$B$4)</f>
        <v>29.13</v>
      </c>
      <c r="E871" s="14" t="str">
        <f aca="false">IF(C871="","",C871*D871/100)</f>
        <v/>
      </c>
      <c r="F871" s="15" t="str">
        <f aca="false">IF(B871&lt;5,"Go","Standard")</f>
        <v>Standard</v>
      </c>
    </row>
    <row r="872" customFormat="false" ht="15" hidden="false" customHeight="true" outlineLevel="0" collapsed="false">
      <c r="A872" s="10" t="n">
        <f aca="false">Einstellungen!$B$5+INT((ROW()-9)/24)</f>
        <v>46001</v>
      </c>
      <c r="B872" s="11" t="n">
        <f aca="false">MOD(ROW()-9,24)</f>
        <v>23</v>
      </c>
      <c r="C872" s="12"/>
      <c r="D872" s="13" t="n">
        <f aca="false">IF(B872&lt;5,Einstellungen!$B$3,Einstellungen!$B$4)</f>
        <v>29.13</v>
      </c>
      <c r="E872" s="14" t="str">
        <f aca="false">IF(C872="","",C872*D872/100)</f>
        <v/>
      </c>
      <c r="F872" s="15" t="str">
        <f aca="false">IF(B872&lt;5,"Go","Standard")</f>
        <v>Standard</v>
      </c>
    </row>
    <row r="873" customFormat="false" ht="15" hidden="false" customHeight="true" outlineLevel="0" collapsed="false">
      <c r="A873" s="10" t="n">
        <f aca="false">Einstellungen!$B$5+INT((ROW()-9)/24)</f>
        <v>46002</v>
      </c>
      <c r="B873" s="11" t="n">
        <f aca="false">MOD(ROW()-9,24)</f>
        <v>0</v>
      </c>
      <c r="C873" s="12"/>
      <c r="D873" s="13" t="n">
        <f aca="false">IF(B873&lt;5,Einstellungen!$B$3,Einstellungen!$B$4)</f>
        <v>15.92</v>
      </c>
      <c r="E873" s="14" t="str">
        <f aca="false">IF(C873="","",C873*D873/100)</f>
        <v/>
      </c>
      <c r="F873" s="15" t="str">
        <f aca="false">IF(B873&lt;5,"Go","Standard")</f>
        <v>Go</v>
      </c>
    </row>
    <row r="874" customFormat="false" ht="15" hidden="false" customHeight="true" outlineLevel="0" collapsed="false">
      <c r="A874" s="10" t="n">
        <f aca="false">Einstellungen!$B$5+INT((ROW()-9)/24)</f>
        <v>46002</v>
      </c>
      <c r="B874" s="11" t="n">
        <f aca="false">MOD(ROW()-9,24)</f>
        <v>1</v>
      </c>
      <c r="C874" s="12"/>
      <c r="D874" s="13" t="n">
        <f aca="false">IF(B874&lt;5,Einstellungen!$B$3,Einstellungen!$B$4)</f>
        <v>15.92</v>
      </c>
      <c r="E874" s="14" t="str">
        <f aca="false">IF(C874="","",C874*D874/100)</f>
        <v/>
      </c>
      <c r="F874" s="15" t="str">
        <f aca="false">IF(B874&lt;5,"Go","Standard")</f>
        <v>Go</v>
      </c>
    </row>
    <row r="875" customFormat="false" ht="15" hidden="false" customHeight="true" outlineLevel="0" collapsed="false">
      <c r="A875" s="10" t="n">
        <f aca="false">Einstellungen!$B$5+INT((ROW()-9)/24)</f>
        <v>46002</v>
      </c>
      <c r="B875" s="11" t="n">
        <f aca="false">MOD(ROW()-9,24)</f>
        <v>2</v>
      </c>
      <c r="C875" s="12"/>
      <c r="D875" s="13" t="n">
        <f aca="false">IF(B875&lt;5,Einstellungen!$B$3,Einstellungen!$B$4)</f>
        <v>15.92</v>
      </c>
      <c r="E875" s="14" t="str">
        <f aca="false">IF(C875="","",C875*D875/100)</f>
        <v/>
      </c>
      <c r="F875" s="15" t="str">
        <f aca="false">IF(B875&lt;5,"Go","Standard")</f>
        <v>Go</v>
      </c>
    </row>
    <row r="876" customFormat="false" ht="15" hidden="false" customHeight="true" outlineLevel="0" collapsed="false">
      <c r="A876" s="10" t="n">
        <f aca="false">Einstellungen!$B$5+INT((ROW()-9)/24)</f>
        <v>46002</v>
      </c>
      <c r="B876" s="11" t="n">
        <f aca="false">MOD(ROW()-9,24)</f>
        <v>3</v>
      </c>
      <c r="C876" s="12"/>
      <c r="D876" s="13" t="n">
        <f aca="false">IF(B876&lt;5,Einstellungen!$B$3,Einstellungen!$B$4)</f>
        <v>15.92</v>
      </c>
      <c r="E876" s="14" t="str">
        <f aca="false">IF(C876="","",C876*D876/100)</f>
        <v/>
      </c>
      <c r="F876" s="15" t="str">
        <f aca="false">IF(B876&lt;5,"Go","Standard")</f>
        <v>Go</v>
      </c>
    </row>
    <row r="877" customFormat="false" ht="15" hidden="false" customHeight="true" outlineLevel="0" collapsed="false">
      <c r="A877" s="10" t="n">
        <f aca="false">Einstellungen!$B$5+INT((ROW()-9)/24)</f>
        <v>46002</v>
      </c>
      <c r="B877" s="11" t="n">
        <f aca="false">MOD(ROW()-9,24)</f>
        <v>4</v>
      </c>
      <c r="C877" s="12"/>
      <c r="D877" s="13" t="n">
        <f aca="false">IF(B877&lt;5,Einstellungen!$B$3,Einstellungen!$B$4)</f>
        <v>15.92</v>
      </c>
      <c r="E877" s="14" t="str">
        <f aca="false">IF(C877="","",C877*D877/100)</f>
        <v/>
      </c>
      <c r="F877" s="15" t="str">
        <f aca="false">IF(B877&lt;5,"Go","Standard")</f>
        <v>Go</v>
      </c>
    </row>
    <row r="878" customFormat="false" ht="15" hidden="false" customHeight="true" outlineLevel="0" collapsed="false">
      <c r="A878" s="10" t="n">
        <f aca="false">Einstellungen!$B$5+INT((ROW()-9)/24)</f>
        <v>46002</v>
      </c>
      <c r="B878" s="11" t="n">
        <f aca="false">MOD(ROW()-9,24)</f>
        <v>5</v>
      </c>
      <c r="C878" s="12"/>
      <c r="D878" s="13" t="n">
        <f aca="false">IF(B878&lt;5,Einstellungen!$B$3,Einstellungen!$B$4)</f>
        <v>29.13</v>
      </c>
      <c r="E878" s="14" t="str">
        <f aca="false">IF(C878="","",C878*D878/100)</f>
        <v/>
      </c>
      <c r="F878" s="15" t="str">
        <f aca="false">IF(B878&lt;5,"Go","Standard")</f>
        <v>Standard</v>
      </c>
    </row>
    <row r="879" customFormat="false" ht="15" hidden="false" customHeight="true" outlineLevel="0" collapsed="false">
      <c r="A879" s="10" t="n">
        <f aca="false">Einstellungen!$B$5+INT((ROW()-9)/24)</f>
        <v>46002</v>
      </c>
      <c r="B879" s="11" t="n">
        <f aca="false">MOD(ROW()-9,24)</f>
        <v>6</v>
      </c>
      <c r="C879" s="12"/>
      <c r="D879" s="13" t="n">
        <f aca="false">IF(B879&lt;5,Einstellungen!$B$3,Einstellungen!$B$4)</f>
        <v>29.13</v>
      </c>
      <c r="E879" s="14" t="str">
        <f aca="false">IF(C879="","",C879*D879/100)</f>
        <v/>
      </c>
      <c r="F879" s="15" t="str">
        <f aca="false">IF(B879&lt;5,"Go","Standard")</f>
        <v>Standard</v>
      </c>
    </row>
    <row r="880" customFormat="false" ht="15" hidden="false" customHeight="true" outlineLevel="0" collapsed="false">
      <c r="A880" s="10" t="n">
        <f aca="false">Einstellungen!$B$5+INT((ROW()-9)/24)</f>
        <v>46002</v>
      </c>
      <c r="B880" s="11" t="n">
        <f aca="false">MOD(ROW()-9,24)</f>
        <v>7</v>
      </c>
      <c r="C880" s="12"/>
      <c r="D880" s="13" t="n">
        <f aca="false">IF(B880&lt;5,Einstellungen!$B$3,Einstellungen!$B$4)</f>
        <v>29.13</v>
      </c>
      <c r="E880" s="14" t="str">
        <f aca="false">IF(C880="","",C880*D880/100)</f>
        <v/>
      </c>
      <c r="F880" s="15" t="str">
        <f aca="false">IF(B880&lt;5,"Go","Standard")</f>
        <v>Standard</v>
      </c>
    </row>
    <row r="881" customFormat="false" ht="15" hidden="false" customHeight="true" outlineLevel="0" collapsed="false">
      <c r="A881" s="10" t="n">
        <f aca="false">Einstellungen!$B$5+INT((ROW()-9)/24)</f>
        <v>46002</v>
      </c>
      <c r="B881" s="11" t="n">
        <f aca="false">MOD(ROW()-9,24)</f>
        <v>8</v>
      </c>
      <c r="C881" s="12"/>
      <c r="D881" s="13" t="n">
        <f aca="false">IF(B881&lt;5,Einstellungen!$B$3,Einstellungen!$B$4)</f>
        <v>29.13</v>
      </c>
      <c r="E881" s="14" t="str">
        <f aca="false">IF(C881="","",C881*D881/100)</f>
        <v/>
      </c>
      <c r="F881" s="15" t="str">
        <f aca="false">IF(B881&lt;5,"Go","Standard")</f>
        <v>Standard</v>
      </c>
    </row>
    <row r="882" customFormat="false" ht="15" hidden="false" customHeight="true" outlineLevel="0" collapsed="false">
      <c r="A882" s="10" t="n">
        <f aca="false">Einstellungen!$B$5+INT((ROW()-9)/24)</f>
        <v>46002</v>
      </c>
      <c r="B882" s="11" t="n">
        <f aca="false">MOD(ROW()-9,24)</f>
        <v>9</v>
      </c>
      <c r="C882" s="12"/>
      <c r="D882" s="13" t="n">
        <f aca="false">IF(B882&lt;5,Einstellungen!$B$3,Einstellungen!$B$4)</f>
        <v>29.13</v>
      </c>
      <c r="E882" s="14" t="str">
        <f aca="false">IF(C882="","",C882*D882/100)</f>
        <v/>
      </c>
      <c r="F882" s="15" t="str">
        <f aca="false">IF(B882&lt;5,"Go","Standard")</f>
        <v>Standard</v>
      </c>
    </row>
    <row r="883" customFormat="false" ht="15" hidden="false" customHeight="true" outlineLevel="0" collapsed="false">
      <c r="A883" s="10" t="n">
        <f aca="false">Einstellungen!$B$5+INT((ROW()-9)/24)</f>
        <v>46002</v>
      </c>
      <c r="B883" s="11" t="n">
        <f aca="false">MOD(ROW()-9,24)</f>
        <v>10</v>
      </c>
      <c r="C883" s="12"/>
      <c r="D883" s="13" t="n">
        <f aca="false">IF(B883&lt;5,Einstellungen!$B$3,Einstellungen!$B$4)</f>
        <v>29.13</v>
      </c>
      <c r="E883" s="14" t="str">
        <f aca="false">IF(C883="","",C883*D883/100)</f>
        <v/>
      </c>
      <c r="F883" s="15" t="str">
        <f aca="false">IF(B883&lt;5,"Go","Standard")</f>
        <v>Standard</v>
      </c>
    </row>
    <row r="884" customFormat="false" ht="15" hidden="false" customHeight="true" outlineLevel="0" collapsed="false">
      <c r="A884" s="10" t="n">
        <f aca="false">Einstellungen!$B$5+INT((ROW()-9)/24)</f>
        <v>46002</v>
      </c>
      <c r="B884" s="11" t="n">
        <f aca="false">MOD(ROW()-9,24)</f>
        <v>11</v>
      </c>
      <c r="C884" s="12"/>
      <c r="D884" s="13" t="n">
        <f aca="false">IF(B884&lt;5,Einstellungen!$B$3,Einstellungen!$B$4)</f>
        <v>29.13</v>
      </c>
      <c r="E884" s="14" t="str">
        <f aca="false">IF(C884="","",C884*D884/100)</f>
        <v/>
      </c>
      <c r="F884" s="15" t="str">
        <f aca="false">IF(B884&lt;5,"Go","Standard")</f>
        <v>Standard</v>
      </c>
    </row>
    <row r="885" customFormat="false" ht="15" hidden="false" customHeight="true" outlineLevel="0" collapsed="false">
      <c r="A885" s="10" t="n">
        <f aca="false">Einstellungen!$B$5+INT((ROW()-9)/24)</f>
        <v>46002</v>
      </c>
      <c r="B885" s="11" t="n">
        <f aca="false">MOD(ROW()-9,24)</f>
        <v>12</v>
      </c>
      <c r="C885" s="12"/>
      <c r="D885" s="13" t="n">
        <f aca="false">IF(B885&lt;5,Einstellungen!$B$3,Einstellungen!$B$4)</f>
        <v>29.13</v>
      </c>
      <c r="E885" s="14" t="str">
        <f aca="false">IF(C885="","",C885*D885/100)</f>
        <v/>
      </c>
      <c r="F885" s="15" t="str">
        <f aca="false">IF(B885&lt;5,"Go","Standard")</f>
        <v>Standard</v>
      </c>
    </row>
    <row r="886" customFormat="false" ht="15" hidden="false" customHeight="true" outlineLevel="0" collapsed="false">
      <c r="A886" s="10" t="n">
        <f aca="false">Einstellungen!$B$5+INT((ROW()-9)/24)</f>
        <v>46002</v>
      </c>
      <c r="B886" s="11" t="n">
        <f aca="false">MOD(ROW()-9,24)</f>
        <v>13</v>
      </c>
      <c r="C886" s="12"/>
      <c r="D886" s="13" t="n">
        <f aca="false">IF(B886&lt;5,Einstellungen!$B$3,Einstellungen!$B$4)</f>
        <v>29.13</v>
      </c>
      <c r="E886" s="14" t="str">
        <f aca="false">IF(C886="","",C886*D886/100)</f>
        <v/>
      </c>
      <c r="F886" s="15" t="str">
        <f aca="false">IF(B886&lt;5,"Go","Standard")</f>
        <v>Standard</v>
      </c>
    </row>
    <row r="887" customFormat="false" ht="15" hidden="false" customHeight="true" outlineLevel="0" collapsed="false">
      <c r="A887" s="10" t="n">
        <f aca="false">Einstellungen!$B$5+INT((ROW()-9)/24)</f>
        <v>46002</v>
      </c>
      <c r="B887" s="11" t="n">
        <f aca="false">MOD(ROW()-9,24)</f>
        <v>14</v>
      </c>
      <c r="C887" s="12"/>
      <c r="D887" s="13" t="n">
        <f aca="false">IF(B887&lt;5,Einstellungen!$B$3,Einstellungen!$B$4)</f>
        <v>29.13</v>
      </c>
      <c r="E887" s="14" t="str">
        <f aca="false">IF(C887="","",C887*D887/100)</f>
        <v/>
      </c>
      <c r="F887" s="15" t="str">
        <f aca="false">IF(B887&lt;5,"Go","Standard")</f>
        <v>Standard</v>
      </c>
    </row>
    <row r="888" customFormat="false" ht="15" hidden="false" customHeight="true" outlineLevel="0" collapsed="false">
      <c r="A888" s="10" t="n">
        <f aca="false">Einstellungen!$B$5+INT((ROW()-9)/24)</f>
        <v>46002</v>
      </c>
      <c r="B888" s="11" t="n">
        <f aca="false">MOD(ROW()-9,24)</f>
        <v>15</v>
      </c>
      <c r="C888" s="12"/>
      <c r="D888" s="13" t="n">
        <f aca="false">IF(B888&lt;5,Einstellungen!$B$3,Einstellungen!$B$4)</f>
        <v>29.13</v>
      </c>
      <c r="E888" s="14" t="str">
        <f aca="false">IF(C888="","",C888*D888/100)</f>
        <v/>
      </c>
      <c r="F888" s="15" t="str">
        <f aca="false">IF(B888&lt;5,"Go","Standard")</f>
        <v>Standard</v>
      </c>
    </row>
    <row r="889" customFormat="false" ht="15" hidden="false" customHeight="true" outlineLevel="0" collapsed="false">
      <c r="A889" s="10" t="n">
        <f aca="false">Einstellungen!$B$5+INT((ROW()-9)/24)</f>
        <v>46002</v>
      </c>
      <c r="B889" s="11" t="n">
        <f aca="false">MOD(ROW()-9,24)</f>
        <v>16</v>
      </c>
      <c r="C889" s="12"/>
      <c r="D889" s="13" t="n">
        <f aca="false">IF(B889&lt;5,Einstellungen!$B$3,Einstellungen!$B$4)</f>
        <v>29.13</v>
      </c>
      <c r="E889" s="14" t="str">
        <f aca="false">IF(C889="","",C889*D889/100)</f>
        <v/>
      </c>
      <c r="F889" s="15" t="str">
        <f aca="false">IF(B889&lt;5,"Go","Standard")</f>
        <v>Standard</v>
      </c>
    </row>
    <row r="890" customFormat="false" ht="15" hidden="false" customHeight="true" outlineLevel="0" collapsed="false">
      <c r="A890" s="10" t="n">
        <f aca="false">Einstellungen!$B$5+INT((ROW()-9)/24)</f>
        <v>46002</v>
      </c>
      <c r="B890" s="11" t="n">
        <f aca="false">MOD(ROW()-9,24)</f>
        <v>17</v>
      </c>
      <c r="C890" s="12"/>
      <c r="D890" s="13" t="n">
        <f aca="false">IF(B890&lt;5,Einstellungen!$B$3,Einstellungen!$B$4)</f>
        <v>29.13</v>
      </c>
      <c r="E890" s="14" t="str">
        <f aca="false">IF(C890="","",C890*D890/100)</f>
        <v/>
      </c>
      <c r="F890" s="15" t="str">
        <f aca="false">IF(B890&lt;5,"Go","Standard")</f>
        <v>Standard</v>
      </c>
    </row>
    <row r="891" customFormat="false" ht="15" hidden="false" customHeight="true" outlineLevel="0" collapsed="false">
      <c r="A891" s="10" t="n">
        <f aca="false">Einstellungen!$B$5+INT((ROW()-9)/24)</f>
        <v>46002</v>
      </c>
      <c r="B891" s="11" t="n">
        <f aca="false">MOD(ROW()-9,24)</f>
        <v>18</v>
      </c>
      <c r="C891" s="12"/>
      <c r="D891" s="13" t="n">
        <f aca="false">IF(B891&lt;5,Einstellungen!$B$3,Einstellungen!$B$4)</f>
        <v>29.13</v>
      </c>
      <c r="E891" s="14" t="str">
        <f aca="false">IF(C891="","",C891*D891/100)</f>
        <v/>
      </c>
      <c r="F891" s="15" t="str">
        <f aca="false">IF(B891&lt;5,"Go","Standard")</f>
        <v>Standard</v>
      </c>
    </row>
    <row r="892" customFormat="false" ht="15" hidden="false" customHeight="true" outlineLevel="0" collapsed="false">
      <c r="A892" s="10" t="n">
        <f aca="false">Einstellungen!$B$5+INT((ROW()-9)/24)</f>
        <v>46002</v>
      </c>
      <c r="B892" s="11" t="n">
        <f aca="false">MOD(ROW()-9,24)</f>
        <v>19</v>
      </c>
      <c r="C892" s="12"/>
      <c r="D892" s="13" t="n">
        <f aca="false">IF(B892&lt;5,Einstellungen!$B$3,Einstellungen!$B$4)</f>
        <v>29.13</v>
      </c>
      <c r="E892" s="14" t="str">
        <f aca="false">IF(C892="","",C892*D892/100)</f>
        <v/>
      </c>
      <c r="F892" s="15" t="str">
        <f aca="false">IF(B892&lt;5,"Go","Standard")</f>
        <v>Standard</v>
      </c>
    </row>
    <row r="893" customFormat="false" ht="15" hidden="false" customHeight="true" outlineLevel="0" collapsed="false">
      <c r="A893" s="10" t="n">
        <f aca="false">Einstellungen!$B$5+INT((ROW()-9)/24)</f>
        <v>46002</v>
      </c>
      <c r="B893" s="11" t="n">
        <f aca="false">MOD(ROW()-9,24)</f>
        <v>20</v>
      </c>
      <c r="C893" s="12"/>
      <c r="D893" s="13" t="n">
        <f aca="false">IF(B893&lt;5,Einstellungen!$B$3,Einstellungen!$B$4)</f>
        <v>29.13</v>
      </c>
      <c r="E893" s="14" t="str">
        <f aca="false">IF(C893="","",C893*D893/100)</f>
        <v/>
      </c>
      <c r="F893" s="15" t="str">
        <f aca="false">IF(B893&lt;5,"Go","Standard")</f>
        <v>Standard</v>
      </c>
    </row>
    <row r="894" customFormat="false" ht="15" hidden="false" customHeight="true" outlineLevel="0" collapsed="false">
      <c r="A894" s="10" t="n">
        <f aca="false">Einstellungen!$B$5+INT((ROW()-9)/24)</f>
        <v>46002</v>
      </c>
      <c r="B894" s="11" t="n">
        <f aca="false">MOD(ROW()-9,24)</f>
        <v>21</v>
      </c>
      <c r="C894" s="12"/>
      <c r="D894" s="13" t="n">
        <f aca="false">IF(B894&lt;5,Einstellungen!$B$3,Einstellungen!$B$4)</f>
        <v>29.13</v>
      </c>
      <c r="E894" s="14" t="str">
        <f aca="false">IF(C894="","",C894*D894/100)</f>
        <v/>
      </c>
      <c r="F894" s="15" t="str">
        <f aca="false">IF(B894&lt;5,"Go","Standard")</f>
        <v>Standard</v>
      </c>
    </row>
    <row r="895" customFormat="false" ht="15" hidden="false" customHeight="true" outlineLevel="0" collapsed="false">
      <c r="A895" s="10" t="n">
        <f aca="false">Einstellungen!$B$5+INT((ROW()-9)/24)</f>
        <v>46002</v>
      </c>
      <c r="B895" s="11" t="n">
        <f aca="false">MOD(ROW()-9,24)</f>
        <v>22</v>
      </c>
      <c r="C895" s="12"/>
      <c r="D895" s="13" t="n">
        <f aca="false">IF(B895&lt;5,Einstellungen!$B$3,Einstellungen!$B$4)</f>
        <v>29.13</v>
      </c>
      <c r="E895" s="14" t="str">
        <f aca="false">IF(C895="","",C895*D895/100)</f>
        <v/>
      </c>
      <c r="F895" s="15" t="str">
        <f aca="false">IF(B895&lt;5,"Go","Standard")</f>
        <v>Standard</v>
      </c>
    </row>
    <row r="896" customFormat="false" ht="15" hidden="false" customHeight="true" outlineLevel="0" collapsed="false">
      <c r="A896" s="10" t="n">
        <f aca="false">Einstellungen!$B$5+INT((ROW()-9)/24)</f>
        <v>46002</v>
      </c>
      <c r="B896" s="11" t="n">
        <f aca="false">MOD(ROW()-9,24)</f>
        <v>23</v>
      </c>
      <c r="C896" s="12"/>
      <c r="D896" s="13" t="n">
        <f aca="false">IF(B896&lt;5,Einstellungen!$B$3,Einstellungen!$B$4)</f>
        <v>29.13</v>
      </c>
      <c r="E896" s="14" t="str">
        <f aca="false">IF(C896="","",C896*D896/100)</f>
        <v/>
      </c>
      <c r="F896" s="15" t="str">
        <f aca="false">IF(B896&lt;5,"Go","Standard")</f>
        <v>Standard</v>
      </c>
    </row>
    <row r="897" customFormat="false" ht="15" hidden="false" customHeight="true" outlineLevel="0" collapsed="false">
      <c r="A897" s="10" t="n">
        <f aca="false">Einstellungen!$B$5+INT((ROW()-9)/24)</f>
        <v>46003</v>
      </c>
      <c r="B897" s="11" t="n">
        <f aca="false">MOD(ROW()-9,24)</f>
        <v>0</v>
      </c>
      <c r="C897" s="12"/>
      <c r="D897" s="13" t="n">
        <f aca="false">IF(B897&lt;5,Einstellungen!$B$3,Einstellungen!$B$4)</f>
        <v>15.92</v>
      </c>
      <c r="E897" s="14" t="str">
        <f aca="false">IF(C897="","",C897*D897/100)</f>
        <v/>
      </c>
      <c r="F897" s="15" t="str">
        <f aca="false">IF(B897&lt;5,"Go","Standard")</f>
        <v>Go</v>
      </c>
    </row>
    <row r="898" customFormat="false" ht="15" hidden="false" customHeight="true" outlineLevel="0" collapsed="false">
      <c r="A898" s="10" t="n">
        <f aca="false">Einstellungen!$B$5+INT((ROW()-9)/24)</f>
        <v>46003</v>
      </c>
      <c r="B898" s="11" t="n">
        <f aca="false">MOD(ROW()-9,24)</f>
        <v>1</v>
      </c>
      <c r="C898" s="12"/>
      <c r="D898" s="13" t="n">
        <f aca="false">IF(B898&lt;5,Einstellungen!$B$3,Einstellungen!$B$4)</f>
        <v>15.92</v>
      </c>
      <c r="E898" s="14" t="str">
        <f aca="false">IF(C898="","",C898*D898/100)</f>
        <v/>
      </c>
      <c r="F898" s="15" t="str">
        <f aca="false">IF(B898&lt;5,"Go","Standard")</f>
        <v>Go</v>
      </c>
    </row>
    <row r="899" customFormat="false" ht="15" hidden="false" customHeight="true" outlineLevel="0" collapsed="false">
      <c r="A899" s="10" t="n">
        <f aca="false">Einstellungen!$B$5+INT((ROW()-9)/24)</f>
        <v>46003</v>
      </c>
      <c r="B899" s="11" t="n">
        <f aca="false">MOD(ROW()-9,24)</f>
        <v>2</v>
      </c>
      <c r="C899" s="12"/>
      <c r="D899" s="13" t="n">
        <f aca="false">IF(B899&lt;5,Einstellungen!$B$3,Einstellungen!$B$4)</f>
        <v>15.92</v>
      </c>
      <c r="E899" s="14" t="str">
        <f aca="false">IF(C899="","",C899*D899/100)</f>
        <v/>
      </c>
      <c r="F899" s="15" t="str">
        <f aca="false">IF(B899&lt;5,"Go","Standard")</f>
        <v>Go</v>
      </c>
    </row>
    <row r="900" customFormat="false" ht="15" hidden="false" customHeight="true" outlineLevel="0" collapsed="false">
      <c r="A900" s="10" t="n">
        <f aca="false">Einstellungen!$B$5+INT((ROW()-9)/24)</f>
        <v>46003</v>
      </c>
      <c r="B900" s="11" t="n">
        <f aca="false">MOD(ROW()-9,24)</f>
        <v>3</v>
      </c>
      <c r="C900" s="12"/>
      <c r="D900" s="13" t="n">
        <f aca="false">IF(B900&lt;5,Einstellungen!$B$3,Einstellungen!$B$4)</f>
        <v>15.92</v>
      </c>
      <c r="E900" s="14" t="str">
        <f aca="false">IF(C900="","",C900*D900/100)</f>
        <v/>
      </c>
      <c r="F900" s="15" t="str">
        <f aca="false">IF(B900&lt;5,"Go","Standard")</f>
        <v>Go</v>
      </c>
    </row>
    <row r="901" customFormat="false" ht="15" hidden="false" customHeight="true" outlineLevel="0" collapsed="false">
      <c r="A901" s="10" t="n">
        <f aca="false">Einstellungen!$B$5+INT((ROW()-9)/24)</f>
        <v>46003</v>
      </c>
      <c r="B901" s="11" t="n">
        <f aca="false">MOD(ROW()-9,24)</f>
        <v>4</v>
      </c>
      <c r="C901" s="12"/>
      <c r="D901" s="13" t="n">
        <f aca="false">IF(B901&lt;5,Einstellungen!$B$3,Einstellungen!$B$4)</f>
        <v>15.92</v>
      </c>
      <c r="E901" s="14" t="str">
        <f aca="false">IF(C901="","",C901*D901/100)</f>
        <v/>
      </c>
      <c r="F901" s="15" t="str">
        <f aca="false">IF(B901&lt;5,"Go","Standard")</f>
        <v>Go</v>
      </c>
    </row>
    <row r="902" customFormat="false" ht="15" hidden="false" customHeight="true" outlineLevel="0" collapsed="false">
      <c r="A902" s="10" t="n">
        <f aca="false">Einstellungen!$B$5+INT((ROW()-9)/24)</f>
        <v>46003</v>
      </c>
      <c r="B902" s="11" t="n">
        <f aca="false">MOD(ROW()-9,24)</f>
        <v>5</v>
      </c>
      <c r="C902" s="12"/>
      <c r="D902" s="13" t="n">
        <f aca="false">IF(B902&lt;5,Einstellungen!$B$3,Einstellungen!$B$4)</f>
        <v>29.13</v>
      </c>
      <c r="E902" s="14" t="str">
        <f aca="false">IF(C902="","",C902*D902/100)</f>
        <v/>
      </c>
      <c r="F902" s="15" t="str">
        <f aca="false">IF(B902&lt;5,"Go","Standard")</f>
        <v>Standard</v>
      </c>
    </row>
    <row r="903" customFormat="false" ht="15" hidden="false" customHeight="true" outlineLevel="0" collapsed="false">
      <c r="A903" s="10" t="n">
        <f aca="false">Einstellungen!$B$5+INT((ROW()-9)/24)</f>
        <v>46003</v>
      </c>
      <c r="B903" s="11" t="n">
        <f aca="false">MOD(ROW()-9,24)</f>
        <v>6</v>
      </c>
      <c r="C903" s="12"/>
      <c r="D903" s="13" t="n">
        <f aca="false">IF(B903&lt;5,Einstellungen!$B$3,Einstellungen!$B$4)</f>
        <v>29.13</v>
      </c>
      <c r="E903" s="14" t="str">
        <f aca="false">IF(C903="","",C903*D903/100)</f>
        <v/>
      </c>
      <c r="F903" s="15" t="str">
        <f aca="false">IF(B903&lt;5,"Go","Standard")</f>
        <v>Standard</v>
      </c>
    </row>
    <row r="904" customFormat="false" ht="15" hidden="false" customHeight="true" outlineLevel="0" collapsed="false">
      <c r="A904" s="10" t="n">
        <f aca="false">Einstellungen!$B$5+INT((ROW()-9)/24)</f>
        <v>46003</v>
      </c>
      <c r="B904" s="11" t="n">
        <f aca="false">MOD(ROW()-9,24)</f>
        <v>7</v>
      </c>
      <c r="C904" s="12"/>
      <c r="D904" s="13" t="n">
        <f aca="false">IF(B904&lt;5,Einstellungen!$B$3,Einstellungen!$B$4)</f>
        <v>29.13</v>
      </c>
      <c r="E904" s="14" t="str">
        <f aca="false">IF(C904="","",C904*D904/100)</f>
        <v/>
      </c>
      <c r="F904" s="15" t="str">
        <f aca="false">IF(B904&lt;5,"Go","Standard")</f>
        <v>Standard</v>
      </c>
    </row>
    <row r="905" customFormat="false" ht="15" hidden="false" customHeight="true" outlineLevel="0" collapsed="false">
      <c r="A905" s="10" t="n">
        <f aca="false">Einstellungen!$B$5+INT((ROW()-9)/24)</f>
        <v>46003</v>
      </c>
      <c r="B905" s="11" t="n">
        <f aca="false">MOD(ROW()-9,24)</f>
        <v>8</v>
      </c>
      <c r="C905" s="12"/>
      <c r="D905" s="13" t="n">
        <f aca="false">IF(B905&lt;5,Einstellungen!$B$3,Einstellungen!$B$4)</f>
        <v>29.13</v>
      </c>
      <c r="E905" s="14" t="str">
        <f aca="false">IF(C905="","",C905*D905/100)</f>
        <v/>
      </c>
      <c r="F905" s="15" t="str">
        <f aca="false">IF(B905&lt;5,"Go","Standard")</f>
        <v>Standard</v>
      </c>
    </row>
    <row r="906" customFormat="false" ht="15" hidden="false" customHeight="true" outlineLevel="0" collapsed="false">
      <c r="A906" s="10" t="n">
        <f aca="false">Einstellungen!$B$5+INT((ROW()-9)/24)</f>
        <v>46003</v>
      </c>
      <c r="B906" s="11" t="n">
        <f aca="false">MOD(ROW()-9,24)</f>
        <v>9</v>
      </c>
      <c r="C906" s="12"/>
      <c r="D906" s="13" t="n">
        <f aca="false">IF(B906&lt;5,Einstellungen!$B$3,Einstellungen!$B$4)</f>
        <v>29.13</v>
      </c>
      <c r="E906" s="14" t="str">
        <f aca="false">IF(C906="","",C906*D906/100)</f>
        <v/>
      </c>
      <c r="F906" s="15" t="str">
        <f aca="false">IF(B906&lt;5,"Go","Standard")</f>
        <v>Standard</v>
      </c>
    </row>
    <row r="907" customFormat="false" ht="15" hidden="false" customHeight="true" outlineLevel="0" collapsed="false">
      <c r="A907" s="10" t="n">
        <f aca="false">Einstellungen!$B$5+INT((ROW()-9)/24)</f>
        <v>46003</v>
      </c>
      <c r="B907" s="11" t="n">
        <f aca="false">MOD(ROW()-9,24)</f>
        <v>10</v>
      </c>
      <c r="C907" s="12"/>
      <c r="D907" s="13" t="n">
        <f aca="false">IF(B907&lt;5,Einstellungen!$B$3,Einstellungen!$B$4)</f>
        <v>29.13</v>
      </c>
      <c r="E907" s="14" t="str">
        <f aca="false">IF(C907="","",C907*D907/100)</f>
        <v/>
      </c>
      <c r="F907" s="15" t="str">
        <f aca="false">IF(B907&lt;5,"Go","Standard")</f>
        <v>Standard</v>
      </c>
    </row>
    <row r="908" customFormat="false" ht="15" hidden="false" customHeight="true" outlineLevel="0" collapsed="false">
      <c r="A908" s="10" t="n">
        <f aca="false">Einstellungen!$B$5+INT((ROW()-9)/24)</f>
        <v>46003</v>
      </c>
      <c r="B908" s="11" t="n">
        <f aca="false">MOD(ROW()-9,24)</f>
        <v>11</v>
      </c>
      <c r="C908" s="12"/>
      <c r="D908" s="13" t="n">
        <f aca="false">IF(B908&lt;5,Einstellungen!$B$3,Einstellungen!$B$4)</f>
        <v>29.13</v>
      </c>
      <c r="E908" s="14" t="str">
        <f aca="false">IF(C908="","",C908*D908/100)</f>
        <v/>
      </c>
      <c r="F908" s="15" t="str">
        <f aca="false">IF(B908&lt;5,"Go","Standard")</f>
        <v>Standard</v>
      </c>
    </row>
    <row r="909" customFormat="false" ht="15" hidden="false" customHeight="true" outlineLevel="0" collapsed="false">
      <c r="A909" s="10" t="n">
        <f aca="false">Einstellungen!$B$5+INT((ROW()-9)/24)</f>
        <v>46003</v>
      </c>
      <c r="B909" s="11" t="n">
        <f aca="false">MOD(ROW()-9,24)</f>
        <v>12</v>
      </c>
      <c r="C909" s="12"/>
      <c r="D909" s="13" t="n">
        <f aca="false">IF(B909&lt;5,Einstellungen!$B$3,Einstellungen!$B$4)</f>
        <v>29.13</v>
      </c>
      <c r="E909" s="14" t="str">
        <f aca="false">IF(C909="","",C909*D909/100)</f>
        <v/>
      </c>
      <c r="F909" s="15" t="str">
        <f aca="false">IF(B909&lt;5,"Go","Standard")</f>
        <v>Standard</v>
      </c>
    </row>
    <row r="910" customFormat="false" ht="15" hidden="false" customHeight="true" outlineLevel="0" collapsed="false">
      <c r="A910" s="10" t="n">
        <f aca="false">Einstellungen!$B$5+INT((ROW()-9)/24)</f>
        <v>46003</v>
      </c>
      <c r="B910" s="11" t="n">
        <f aca="false">MOD(ROW()-9,24)</f>
        <v>13</v>
      </c>
      <c r="C910" s="12"/>
      <c r="D910" s="13" t="n">
        <f aca="false">IF(B910&lt;5,Einstellungen!$B$3,Einstellungen!$B$4)</f>
        <v>29.13</v>
      </c>
      <c r="E910" s="14" t="str">
        <f aca="false">IF(C910="","",C910*D910/100)</f>
        <v/>
      </c>
      <c r="F910" s="15" t="str">
        <f aca="false">IF(B910&lt;5,"Go","Standard")</f>
        <v>Standard</v>
      </c>
    </row>
    <row r="911" customFormat="false" ht="15" hidden="false" customHeight="true" outlineLevel="0" collapsed="false">
      <c r="A911" s="10" t="n">
        <f aca="false">Einstellungen!$B$5+INT((ROW()-9)/24)</f>
        <v>46003</v>
      </c>
      <c r="B911" s="11" t="n">
        <f aca="false">MOD(ROW()-9,24)</f>
        <v>14</v>
      </c>
      <c r="C911" s="12"/>
      <c r="D911" s="13" t="n">
        <f aca="false">IF(B911&lt;5,Einstellungen!$B$3,Einstellungen!$B$4)</f>
        <v>29.13</v>
      </c>
      <c r="E911" s="14" t="str">
        <f aca="false">IF(C911="","",C911*D911/100)</f>
        <v/>
      </c>
      <c r="F911" s="15" t="str">
        <f aca="false">IF(B911&lt;5,"Go","Standard")</f>
        <v>Standard</v>
      </c>
    </row>
    <row r="912" customFormat="false" ht="15" hidden="false" customHeight="true" outlineLevel="0" collapsed="false">
      <c r="A912" s="10" t="n">
        <f aca="false">Einstellungen!$B$5+INT((ROW()-9)/24)</f>
        <v>46003</v>
      </c>
      <c r="B912" s="11" t="n">
        <f aca="false">MOD(ROW()-9,24)</f>
        <v>15</v>
      </c>
      <c r="C912" s="12"/>
      <c r="D912" s="13" t="n">
        <f aca="false">IF(B912&lt;5,Einstellungen!$B$3,Einstellungen!$B$4)</f>
        <v>29.13</v>
      </c>
      <c r="E912" s="14" t="str">
        <f aca="false">IF(C912="","",C912*D912/100)</f>
        <v/>
      </c>
      <c r="F912" s="15" t="str">
        <f aca="false">IF(B912&lt;5,"Go","Standard")</f>
        <v>Standard</v>
      </c>
    </row>
    <row r="913" customFormat="false" ht="15" hidden="false" customHeight="true" outlineLevel="0" collapsed="false">
      <c r="A913" s="10" t="n">
        <f aca="false">Einstellungen!$B$5+INT((ROW()-9)/24)</f>
        <v>46003</v>
      </c>
      <c r="B913" s="11" t="n">
        <f aca="false">MOD(ROW()-9,24)</f>
        <v>16</v>
      </c>
      <c r="C913" s="12"/>
      <c r="D913" s="13" t="n">
        <f aca="false">IF(B913&lt;5,Einstellungen!$B$3,Einstellungen!$B$4)</f>
        <v>29.13</v>
      </c>
      <c r="E913" s="14" t="str">
        <f aca="false">IF(C913="","",C913*D913/100)</f>
        <v/>
      </c>
      <c r="F913" s="15" t="str">
        <f aca="false">IF(B913&lt;5,"Go","Standard")</f>
        <v>Standard</v>
      </c>
    </row>
    <row r="914" customFormat="false" ht="15" hidden="false" customHeight="true" outlineLevel="0" collapsed="false">
      <c r="A914" s="10" t="n">
        <f aca="false">Einstellungen!$B$5+INT((ROW()-9)/24)</f>
        <v>46003</v>
      </c>
      <c r="B914" s="11" t="n">
        <f aca="false">MOD(ROW()-9,24)</f>
        <v>17</v>
      </c>
      <c r="C914" s="12"/>
      <c r="D914" s="13" t="n">
        <f aca="false">IF(B914&lt;5,Einstellungen!$B$3,Einstellungen!$B$4)</f>
        <v>29.13</v>
      </c>
      <c r="E914" s="14" t="str">
        <f aca="false">IF(C914="","",C914*D914/100)</f>
        <v/>
      </c>
      <c r="F914" s="15" t="str">
        <f aca="false">IF(B914&lt;5,"Go","Standard")</f>
        <v>Standard</v>
      </c>
    </row>
    <row r="915" customFormat="false" ht="15" hidden="false" customHeight="true" outlineLevel="0" collapsed="false">
      <c r="A915" s="10" t="n">
        <f aca="false">Einstellungen!$B$5+INT((ROW()-9)/24)</f>
        <v>46003</v>
      </c>
      <c r="B915" s="11" t="n">
        <f aca="false">MOD(ROW()-9,24)</f>
        <v>18</v>
      </c>
      <c r="C915" s="12"/>
      <c r="D915" s="13" t="n">
        <f aca="false">IF(B915&lt;5,Einstellungen!$B$3,Einstellungen!$B$4)</f>
        <v>29.13</v>
      </c>
      <c r="E915" s="14" t="str">
        <f aca="false">IF(C915="","",C915*D915/100)</f>
        <v/>
      </c>
      <c r="F915" s="15" t="str">
        <f aca="false">IF(B915&lt;5,"Go","Standard")</f>
        <v>Standard</v>
      </c>
    </row>
    <row r="916" customFormat="false" ht="15" hidden="false" customHeight="true" outlineLevel="0" collapsed="false">
      <c r="A916" s="10" t="n">
        <f aca="false">Einstellungen!$B$5+INT((ROW()-9)/24)</f>
        <v>46003</v>
      </c>
      <c r="B916" s="11" t="n">
        <f aca="false">MOD(ROW()-9,24)</f>
        <v>19</v>
      </c>
      <c r="C916" s="12"/>
      <c r="D916" s="13" t="n">
        <f aca="false">IF(B916&lt;5,Einstellungen!$B$3,Einstellungen!$B$4)</f>
        <v>29.13</v>
      </c>
      <c r="E916" s="14" t="str">
        <f aca="false">IF(C916="","",C916*D916/100)</f>
        <v/>
      </c>
      <c r="F916" s="15" t="str">
        <f aca="false">IF(B916&lt;5,"Go","Standard")</f>
        <v>Standard</v>
      </c>
    </row>
    <row r="917" customFormat="false" ht="15" hidden="false" customHeight="true" outlineLevel="0" collapsed="false">
      <c r="A917" s="10" t="n">
        <f aca="false">Einstellungen!$B$5+INT((ROW()-9)/24)</f>
        <v>46003</v>
      </c>
      <c r="B917" s="11" t="n">
        <f aca="false">MOD(ROW()-9,24)</f>
        <v>20</v>
      </c>
      <c r="C917" s="12"/>
      <c r="D917" s="13" t="n">
        <f aca="false">IF(B917&lt;5,Einstellungen!$B$3,Einstellungen!$B$4)</f>
        <v>29.13</v>
      </c>
      <c r="E917" s="14" t="str">
        <f aca="false">IF(C917="","",C917*D917/100)</f>
        <v/>
      </c>
      <c r="F917" s="15" t="str">
        <f aca="false">IF(B917&lt;5,"Go","Standard")</f>
        <v>Standard</v>
      </c>
    </row>
    <row r="918" customFormat="false" ht="15" hidden="false" customHeight="true" outlineLevel="0" collapsed="false">
      <c r="A918" s="10" t="n">
        <f aca="false">Einstellungen!$B$5+INT((ROW()-9)/24)</f>
        <v>46003</v>
      </c>
      <c r="B918" s="11" t="n">
        <f aca="false">MOD(ROW()-9,24)</f>
        <v>21</v>
      </c>
      <c r="C918" s="12"/>
      <c r="D918" s="13" t="n">
        <f aca="false">IF(B918&lt;5,Einstellungen!$B$3,Einstellungen!$B$4)</f>
        <v>29.13</v>
      </c>
      <c r="E918" s="14" t="str">
        <f aca="false">IF(C918="","",C918*D918/100)</f>
        <v/>
      </c>
      <c r="F918" s="15" t="str">
        <f aca="false">IF(B918&lt;5,"Go","Standard")</f>
        <v>Standard</v>
      </c>
    </row>
    <row r="919" customFormat="false" ht="15" hidden="false" customHeight="true" outlineLevel="0" collapsed="false">
      <c r="A919" s="10" t="n">
        <f aca="false">Einstellungen!$B$5+INT((ROW()-9)/24)</f>
        <v>46003</v>
      </c>
      <c r="B919" s="11" t="n">
        <f aca="false">MOD(ROW()-9,24)</f>
        <v>22</v>
      </c>
      <c r="C919" s="12"/>
      <c r="D919" s="13" t="n">
        <f aca="false">IF(B919&lt;5,Einstellungen!$B$3,Einstellungen!$B$4)</f>
        <v>29.13</v>
      </c>
      <c r="E919" s="14" t="str">
        <f aca="false">IF(C919="","",C919*D919/100)</f>
        <v/>
      </c>
      <c r="F919" s="15" t="str">
        <f aca="false">IF(B919&lt;5,"Go","Standard")</f>
        <v>Standard</v>
      </c>
    </row>
    <row r="920" customFormat="false" ht="15" hidden="false" customHeight="true" outlineLevel="0" collapsed="false">
      <c r="A920" s="10" t="n">
        <f aca="false">Einstellungen!$B$5+INT((ROW()-9)/24)</f>
        <v>46003</v>
      </c>
      <c r="B920" s="11" t="n">
        <f aca="false">MOD(ROW()-9,24)</f>
        <v>23</v>
      </c>
      <c r="C920" s="12"/>
      <c r="D920" s="13" t="n">
        <f aca="false">IF(B920&lt;5,Einstellungen!$B$3,Einstellungen!$B$4)</f>
        <v>29.13</v>
      </c>
      <c r="E920" s="14" t="str">
        <f aca="false">IF(C920="","",C920*D920/100)</f>
        <v/>
      </c>
      <c r="F920" s="15" t="str">
        <f aca="false">IF(B920&lt;5,"Go","Standard")</f>
        <v>Standard</v>
      </c>
    </row>
    <row r="921" customFormat="false" ht="15" hidden="false" customHeight="true" outlineLevel="0" collapsed="false">
      <c r="A921" s="10" t="n">
        <f aca="false">Einstellungen!$B$5+INT((ROW()-9)/24)</f>
        <v>46004</v>
      </c>
      <c r="B921" s="11" t="n">
        <f aca="false">MOD(ROW()-9,24)</f>
        <v>0</v>
      </c>
      <c r="C921" s="12"/>
      <c r="D921" s="13" t="n">
        <f aca="false">IF(B921&lt;5,Einstellungen!$B$3,Einstellungen!$B$4)</f>
        <v>15.92</v>
      </c>
      <c r="E921" s="14" t="str">
        <f aca="false">IF(C921="","",C921*D921/100)</f>
        <v/>
      </c>
      <c r="F921" s="15" t="str">
        <f aca="false">IF(B921&lt;5,"Go","Standard")</f>
        <v>Go</v>
      </c>
    </row>
    <row r="922" customFormat="false" ht="15" hidden="false" customHeight="true" outlineLevel="0" collapsed="false">
      <c r="A922" s="10" t="n">
        <f aca="false">Einstellungen!$B$5+INT((ROW()-9)/24)</f>
        <v>46004</v>
      </c>
      <c r="B922" s="11" t="n">
        <f aca="false">MOD(ROW()-9,24)</f>
        <v>1</v>
      </c>
      <c r="C922" s="12"/>
      <c r="D922" s="13" t="n">
        <f aca="false">IF(B922&lt;5,Einstellungen!$B$3,Einstellungen!$B$4)</f>
        <v>15.92</v>
      </c>
      <c r="E922" s="14" t="str">
        <f aca="false">IF(C922="","",C922*D922/100)</f>
        <v/>
      </c>
      <c r="F922" s="15" t="str">
        <f aca="false">IF(B922&lt;5,"Go","Standard")</f>
        <v>Go</v>
      </c>
    </row>
    <row r="923" customFormat="false" ht="15" hidden="false" customHeight="true" outlineLevel="0" collapsed="false">
      <c r="A923" s="10" t="n">
        <f aca="false">Einstellungen!$B$5+INT((ROW()-9)/24)</f>
        <v>46004</v>
      </c>
      <c r="B923" s="11" t="n">
        <f aca="false">MOD(ROW()-9,24)</f>
        <v>2</v>
      </c>
      <c r="C923" s="12"/>
      <c r="D923" s="13" t="n">
        <f aca="false">IF(B923&lt;5,Einstellungen!$B$3,Einstellungen!$B$4)</f>
        <v>15.92</v>
      </c>
      <c r="E923" s="14" t="str">
        <f aca="false">IF(C923="","",C923*D923/100)</f>
        <v/>
      </c>
      <c r="F923" s="15" t="str">
        <f aca="false">IF(B923&lt;5,"Go","Standard")</f>
        <v>Go</v>
      </c>
    </row>
    <row r="924" customFormat="false" ht="15" hidden="false" customHeight="true" outlineLevel="0" collapsed="false">
      <c r="A924" s="10" t="n">
        <f aca="false">Einstellungen!$B$5+INT((ROW()-9)/24)</f>
        <v>46004</v>
      </c>
      <c r="B924" s="11" t="n">
        <f aca="false">MOD(ROW()-9,24)</f>
        <v>3</v>
      </c>
      <c r="C924" s="12"/>
      <c r="D924" s="13" t="n">
        <f aca="false">IF(B924&lt;5,Einstellungen!$B$3,Einstellungen!$B$4)</f>
        <v>15.92</v>
      </c>
      <c r="E924" s="14" t="str">
        <f aca="false">IF(C924="","",C924*D924/100)</f>
        <v/>
      </c>
      <c r="F924" s="15" t="str">
        <f aca="false">IF(B924&lt;5,"Go","Standard")</f>
        <v>Go</v>
      </c>
    </row>
    <row r="925" customFormat="false" ht="15" hidden="false" customHeight="true" outlineLevel="0" collapsed="false">
      <c r="A925" s="10" t="n">
        <f aca="false">Einstellungen!$B$5+INT((ROW()-9)/24)</f>
        <v>46004</v>
      </c>
      <c r="B925" s="11" t="n">
        <f aca="false">MOD(ROW()-9,24)</f>
        <v>4</v>
      </c>
      <c r="C925" s="12"/>
      <c r="D925" s="13" t="n">
        <f aca="false">IF(B925&lt;5,Einstellungen!$B$3,Einstellungen!$B$4)</f>
        <v>15.92</v>
      </c>
      <c r="E925" s="14" t="str">
        <f aca="false">IF(C925="","",C925*D925/100)</f>
        <v/>
      </c>
      <c r="F925" s="15" t="str">
        <f aca="false">IF(B925&lt;5,"Go","Standard")</f>
        <v>Go</v>
      </c>
    </row>
    <row r="926" customFormat="false" ht="15" hidden="false" customHeight="true" outlineLevel="0" collapsed="false">
      <c r="A926" s="10" t="n">
        <f aca="false">Einstellungen!$B$5+INT((ROW()-9)/24)</f>
        <v>46004</v>
      </c>
      <c r="B926" s="11" t="n">
        <f aca="false">MOD(ROW()-9,24)</f>
        <v>5</v>
      </c>
      <c r="C926" s="12"/>
      <c r="D926" s="13" t="n">
        <f aca="false">IF(B926&lt;5,Einstellungen!$B$3,Einstellungen!$B$4)</f>
        <v>29.13</v>
      </c>
      <c r="E926" s="14" t="str">
        <f aca="false">IF(C926="","",C926*D926/100)</f>
        <v/>
      </c>
      <c r="F926" s="15" t="str">
        <f aca="false">IF(B926&lt;5,"Go","Standard")</f>
        <v>Standard</v>
      </c>
    </row>
    <row r="927" customFormat="false" ht="15" hidden="false" customHeight="true" outlineLevel="0" collapsed="false">
      <c r="A927" s="10" t="n">
        <f aca="false">Einstellungen!$B$5+INT((ROW()-9)/24)</f>
        <v>46004</v>
      </c>
      <c r="B927" s="11" t="n">
        <f aca="false">MOD(ROW()-9,24)</f>
        <v>6</v>
      </c>
      <c r="C927" s="12"/>
      <c r="D927" s="13" t="n">
        <f aca="false">IF(B927&lt;5,Einstellungen!$B$3,Einstellungen!$B$4)</f>
        <v>29.13</v>
      </c>
      <c r="E927" s="14" t="str">
        <f aca="false">IF(C927="","",C927*D927/100)</f>
        <v/>
      </c>
      <c r="F927" s="15" t="str">
        <f aca="false">IF(B927&lt;5,"Go","Standard")</f>
        <v>Standard</v>
      </c>
    </row>
    <row r="928" customFormat="false" ht="15" hidden="false" customHeight="true" outlineLevel="0" collapsed="false">
      <c r="A928" s="10" t="n">
        <f aca="false">Einstellungen!$B$5+INT((ROW()-9)/24)</f>
        <v>46004</v>
      </c>
      <c r="B928" s="11" t="n">
        <f aca="false">MOD(ROW()-9,24)</f>
        <v>7</v>
      </c>
      <c r="C928" s="12"/>
      <c r="D928" s="13" t="n">
        <f aca="false">IF(B928&lt;5,Einstellungen!$B$3,Einstellungen!$B$4)</f>
        <v>29.13</v>
      </c>
      <c r="E928" s="14" t="str">
        <f aca="false">IF(C928="","",C928*D928/100)</f>
        <v/>
      </c>
      <c r="F928" s="15" t="str">
        <f aca="false">IF(B928&lt;5,"Go","Standard")</f>
        <v>Standard</v>
      </c>
    </row>
    <row r="929" customFormat="false" ht="15" hidden="false" customHeight="true" outlineLevel="0" collapsed="false">
      <c r="A929" s="10" t="n">
        <f aca="false">Einstellungen!$B$5+INT((ROW()-9)/24)</f>
        <v>46004</v>
      </c>
      <c r="B929" s="11" t="n">
        <f aca="false">MOD(ROW()-9,24)</f>
        <v>8</v>
      </c>
      <c r="C929" s="12"/>
      <c r="D929" s="13" t="n">
        <f aca="false">IF(B929&lt;5,Einstellungen!$B$3,Einstellungen!$B$4)</f>
        <v>29.13</v>
      </c>
      <c r="E929" s="14" t="str">
        <f aca="false">IF(C929="","",C929*D929/100)</f>
        <v/>
      </c>
      <c r="F929" s="15" t="str">
        <f aca="false">IF(B929&lt;5,"Go","Standard")</f>
        <v>Standard</v>
      </c>
    </row>
    <row r="930" customFormat="false" ht="15" hidden="false" customHeight="true" outlineLevel="0" collapsed="false">
      <c r="A930" s="10" t="n">
        <f aca="false">Einstellungen!$B$5+INT((ROW()-9)/24)</f>
        <v>46004</v>
      </c>
      <c r="B930" s="11" t="n">
        <f aca="false">MOD(ROW()-9,24)</f>
        <v>9</v>
      </c>
      <c r="C930" s="12"/>
      <c r="D930" s="13" t="n">
        <f aca="false">IF(B930&lt;5,Einstellungen!$B$3,Einstellungen!$B$4)</f>
        <v>29.13</v>
      </c>
      <c r="E930" s="14" t="str">
        <f aca="false">IF(C930="","",C930*D930/100)</f>
        <v/>
      </c>
      <c r="F930" s="15" t="str">
        <f aca="false">IF(B930&lt;5,"Go","Standard")</f>
        <v>Standard</v>
      </c>
    </row>
    <row r="931" customFormat="false" ht="15" hidden="false" customHeight="true" outlineLevel="0" collapsed="false">
      <c r="A931" s="10" t="n">
        <f aca="false">Einstellungen!$B$5+INT((ROW()-9)/24)</f>
        <v>46004</v>
      </c>
      <c r="B931" s="11" t="n">
        <f aca="false">MOD(ROW()-9,24)</f>
        <v>10</v>
      </c>
      <c r="C931" s="12"/>
      <c r="D931" s="13" t="n">
        <f aca="false">IF(B931&lt;5,Einstellungen!$B$3,Einstellungen!$B$4)</f>
        <v>29.13</v>
      </c>
      <c r="E931" s="14" t="str">
        <f aca="false">IF(C931="","",C931*D931/100)</f>
        <v/>
      </c>
      <c r="F931" s="15" t="str">
        <f aca="false">IF(B931&lt;5,"Go","Standard")</f>
        <v>Standard</v>
      </c>
    </row>
    <row r="932" customFormat="false" ht="15" hidden="false" customHeight="true" outlineLevel="0" collapsed="false">
      <c r="A932" s="10" t="n">
        <f aca="false">Einstellungen!$B$5+INT((ROW()-9)/24)</f>
        <v>46004</v>
      </c>
      <c r="B932" s="11" t="n">
        <f aca="false">MOD(ROW()-9,24)</f>
        <v>11</v>
      </c>
      <c r="C932" s="12"/>
      <c r="D932" s="13" t="n">
        <f aca="false">IF(B932&lt;5,Einstellungen!$B$3,Einstellungen!$B$4)</f>
        <v>29.13</v>
      </c>
      <c r="E932" s="14" t="str">
        <f aca="false">IF(C932="","",C932*D932/100)</f>
        <v/>
      </c>
      <c r="F932" s="15" t="str">
        <f aca="false">IF(B932&lt;5,"Go","Standard")</f>
        <v>Standard</v>
      </c>
    </row>
    <row r="933" customFormat="false" ht="15" hidden="false" customHeight="true" outlineLevel="0" collapsed="false">
      <c r="A933" s="10" t="n">
        <f aca="false">Einstellungen!$B$5+INT((ROW()-9)/24)</f>
        <v>46004</v>
      </c>
      <c r="B933" s="11" t="n">
        <f aca="false">MOD(ROW()-9,24)</f>
        <v>12</v>
      </c>
      <c r="C933" s="12"/>
      <c r="D933" s="13" t="n">
        <f aca="false">IF(B933&lt;5,Einstellungen!$B$3,Einstellungen!$B$4)</f>
        <v>29.13</v>
      </c>
      <c r="E933" s="14" t="str">
        <f aca="false">IF(C933="","",C933*D933/100)</f>
        <v/>
      </c>
      <c r="F933" s="15" t="str">
        <f aca="false">IF(B933&lt;5,"Go","Standard")</f>
        <v>Standard</v>
      </c>
    </row>
    <row r="934" customFormat="false" ht="15" hidden="false" customHeight="true" outlineLevel="0" collapsed="false">
      <c r="A934" s="10" t="n">
        <f aca="false">Einstellungen!$B$5+INT((ROW()-9)/24)</f>
        <v>46004</v>
      </c>
      <c r="B934" s="11" t="n">
        <f aca="false">MOD(ROW()-9,24)</f>
        <v>13</v>
      </c>
      <c r="C934" s="12"/>
      <c r="D934" s="13" t="n">
        <f aca="false">IF(B934&lt;5,Einstellungen!$B$3,Einstellungen!$B$4)</f>
        <v>29.13</v>
      </c>
      <c r="E934" s="14" t="str">
        <f aca="false">IF(C934="","",C934*D934/100)</f>
        <v/>
      </c>
      <c r="F934" s="15" t="str">
        <f aca="false">IF(B934&lt;5,"Go","Standard")</f>
        <v>Standard</v>
      </c>
    </row>
    <row r="935" customFormat="false" ht="15" hidden="false" customHeight="true" outlineLevel="0" collapsed="false">
      <c r="A935" s="10" t="n">
        <f aca="false">Einstellungen!$B$5+INT((ROW()-9)/24)</f>
        <v>46004</v>
      </c>
      <c r="B935" s="11" t="n">
        <f aca="false">MOD(ROW()-9,24)</f>
        <v>14</v>
      </c>
      <c r="C935" s="12"/>
      <c r="D935" s="13" t="n">
        <f aca="false">IF(B935&lt;5,Einstellungen!$B$3,Einstellungen!$B$4)</f>
        <v>29.13</v>
      </c>
      <c r="E935" s="14" t="str">
        <f aca="false">IF(C935="","",C935*D935/100)</f>
        <v/>
      </c>
      <c r="F935" s="15" t="str">
        <f aca="false">IF(B935&lt;5,"Go","Standard")</f>
        <v>Standard</v>
      </c>
    </row>
    <row r="936" customFormat="false" ht="15" hidden="false" customHeight="true" outlineLevel="0" collapsed="false">
      <c r="A936" s="10" t="n">
        <f aca="false">Einstellungen!$B$5+INT((ROW()-9)/24)</f>
        <v>46004</v>
      </c>
      <c r="B936" s="11" t="n">
        <f aca="false">MOD(ROW()-9,24)</f>
        <v>15</v>
      </c>
      <c r="C936" s="12"/>
      <c r="D936" s="13" t="n">
        <f aca="false">IF(B936&lt;5,Einstellungen!$B$3,Einstellungen!$B$4)</f>
        <v>29.13</v>
      </c>
      <c r="E936" s="14" t="str">
        <f aca="false">IF(C936="","",C936*D936/100)</f>
        <v/>
      </c>
      <c r="F936" s="15" t="str">
        <f aca="false">IF(B936&lt;5,"Go","Standard")</f>
        <v>Standard</v>
      </c>
    </row>
    <row r="937" customFormat="false" ht="15" hidden="false" customHeight="true" outlineLevel="0" collapsed="false">
      <c r="A937" s="10" t="n">
        <f aca="false">Einstellungen!$B$5+INT((ROW()-9)/24)</f>
        <v>46004</v>
      </c>
      <c r="B937" s="11" t="n">
        <f aca="false">MOD(ROW()-9,24)</f>
        <v>16</v>
      </c>
      <c r="C937" s="12"/>
      <c r="D937" s="13" t="n">
        <f aca="false">IF(B937&lt;5,Einstellungen!$B$3,Einstellungen!$B$4)</f>
        <v>29.13</v>
      </c>
      <c r="E937" s="14" t="str">
        <f aca="false">IF(C937="","",C937*D937/100)</f>
        <v/>
      </c>
      <c r="F937" s="15" t="str">
        <f aca="false">IF(B937&lt;5,"Go","Standard")</f>
        <v>Standard</v>
      </c>
    </row>
    <row r="938" customFormat="false" ht="15" hidden="false" customHeight="true" outlineLevel="0" collapsed="false">
      <c r="A938" s="10" t="n">
        <f aca="false">Einstellungen!$B$5+INT((ROW()-9)/24)</f>
        <v>46004</v>
      </c>
      <c r="B938" s="11" t="n">
        <f aca="false">MOD(ROW()-9,24)</f>
        <v>17</v>
      </c>
      <c r="C938" s="12"/>
      <c r="D938" s="13" t="n">
        <f aca="false">IF(B938&lt;5,Einstellungen!$B$3,Einstellungen!$B$4)</f>
        <v>29.13</v>
      </c>
      <c r="E938" s="14" t="str">
        <f aca="false">IF(C938="","",C938*D938/100)</f>
        <v/>
      </c>
      <c r="F938" s="15" t="str">
        <f aca="false">IF(B938&lt;5,"Go","Standard")</f>
        <v>Standard</v>
      </c>
    </row>
    <row r="939" customFormat="false" ht="15" hidden="false" customHeight="true" outlineLevel="0" collapsed="false">
      <c r="A939" s="10" t="n">
        <f aca="false">Einstellungen!$B$5+INT((ROW()-9)/24)</f>
        <v>46004</v>
      </c>
      <c r="B939" s="11" t="n">
        <f aca="false">MOD(ROW()-9,24)</f>
        <v>18</v>
      </c>
      <c r="C939" s="12"/>
      <c r="D939" s="13" t="n">
        <f aca="false">IF(B939&lt;5,Einstellungen!$B$3,Einstellungen!$B$4)</f>
        <v>29.13</v>
      </c>
      <c r="E939" s="14" t="str">
        <f aca="false">IF(C939="","",C939*D939/100)</f>
        <v/>
      </c>
      <c r="F939" s="15" t="str">
        <f aca="false">IF(B939&lt;5,"Go","Standard")</f>
        <v>Standard</v>
      </c>
    </row>
    <row r="940" customFormat="false" ht="15" hidden="false" customHeight="true" outlineLevel="0" collapsed="false">
      <c r="A940" s="10" t="n">
        <f aca="false">Einstellungen!$B$5+INT((ROW()-9)/24)</f>
        <v>46004</v>
      </c>
      <c r="B940" s="11" t="n">
        <f aca="false">MOD(ROW()-9,24)</f>
        <v>19</v>
      </c>
      <c r="C940" s="12"/>
      <c r="D940" s="13" t="n">
        <f aca="false">IF(B940&lt;5,Einstellungen!$B$3,Einstellungen!$B$4)</f>
        <v>29.13</v>
      </c>
      <c r="E940" s="14" t="str">
        <f aca="false">IF(C940="","",C940*D940/100)</f>
        <v/>
      </c>
      <c r="F940" s="15" t="str">
        <f aca="false">IF(B940&lt;5,"Go","Standard")</f>
        <v>Standard</v>
      </c>
    </row>
    <row r="941" customFormat="false" ht="15" hidden="false" customHeight="true" outlineLevel="0" collapsed="false">
      <c r="A941" s="10" t="n">
        <f aca="false">Einstellungen!$B$5+INT((ROW()-9)/24)</f>
        <v>46004</v>
      </c>
      <c r="B941" s="11" t="n">
        <f aca="false">MOD(ROW()-9,24)</f>
        <v>20</v>
      </c>
      <c r="C941" s="12"/>
      <c r="D941" s="13" t="n">
        <f aca="false">IF(B941&lt;5,Einstellungen!$B$3,Einstellungen!$B$4)</f>
        <v>29.13</v>
      </c>
      <c r="E941" s="14" t="str">
        <f aca="false">IF(C941="","",C941*D941/100)</f>
        <v/>
      </c>
      <c r="F941" s="15" t="str">
        <f aca="false">IF(B941&lt;5,"Go","Standard")</f>
        <v>Standard</v>
      </c>
    </row>
    <row r="942" customFormat="false" ht="15" hidden="false" customHeight="true" outlineLevel="0" collapsed="false">
      <c r="A942" s="10" t="n">
        <f aca="false">Einstellungen!$B$5+INT((ROW()-9)/24)</f>
        <v>46004</v>
      </c>
      <c r="B942" s="11" t="n">
        <f aca="false">MOD(ROW()-9,24)</f>
        <v>21</v>
      </c>
      <c r="C942" s="12"/>
      <c r="D942" s="13" t="n">
        <f aca="false">IF(B942&lt;5,Einstellungen!$B$3,Einstellungen!$B$4)</f>
        <v>29.13</v>
      </c>
      <c r="E942" s="14" t="str">
        <f aca="false">IF(C942="","",C942*D942/100)</f>
        <v/>
      </c>
      <c r="F942" s="15" t="str">
        <f aca="false">IF(B942&lt;5,"Go","Standard")</f>
        <v>Standard</v>
      </c>
    </row>
    <row r="943" customFormat="false" ht="15" hidden="false" customHeight="true" outlineLevel="0" collapsed="false">
      <c r="A943" s="10" t="n">
        <f aca="false">Einstellungen!$B$5+INT((ROW()-9)/24)</f>
        <v>46004</v>
      </c>
      <c r="B943" s="11" t="n">
        <f aca="false">MOD(ROW()-9,24)</f>
        <v>22</v>
      </c>
      <c r="C943" s="12"/>
      <c r="D943" s="13" t="n">
        <f aca="false">IF(B943&lt;5,Einstellungen!$B$3,Einstellungen!$B$4)</f>
        <v>29.13</v>
      </c>
      <c r="E943" s="14" t="str">
        <f aca="false">IF(C943="","",C943*D943/100)</f>
        <v/>
      </c>
      <c r="F943" s="15" t="str">
        <f aca="false">IF(B943&lt;5,"Go","Standard")</f>
        <v>Standard</v>
      </c>
    </row>
    <row r="944" customFormat="false" ht="15" hidden="false" customHeight="true" outlineLevel="0" collapsed="false">
      <c r="A944" s="10" t="n">
        <f aca="false">Einstellungen!$B$5+INT((ROW()-9)/24)</f>
        <v>46004</v>
      </c>
      <c r="B944" s="11" t="n">
        <f aca="false">MOD(ROW()-9,24)</f>
        <v>23</v>
      </c>
      <c r="C944" s="12"/>
      <c r="D944" s="13" t="n">
        <f aca="false">IF(B944&lt;5,Einstellungen!$B$3,Einstellungen!$B$4)</f>
        <v>29.13</v>
      </c>
      <c r="E944" s="14" t="str">
        <f aca="false">IF(C944="","",C944*D944/100)</f>
        <v/>
      </c>
      <c r="F944" s="15" t="str">
        <f aca="false">IF(B944&lt;5,"Go","Standard")</f>
        <v>Standard</v>
      </c>
    </row>
    <row r="945" customFormat="false" ht="15" hidden="false" customHeight="true" outlineLevel="0" collapsed="false">
      <c r="A945" s="10" t="n">
        <f aca="false">Einstellungen!$B$5+INT((ROW()-9)/24)</f>
        <v>46005</v>
      </c>
      <c r="B945" s="11" t="n">
        <f aca="false">MOD(ROW()-9,24)</f>
        <v>0</v>
      </c>
      <c r="C945" s="12"/>
      <c r="D945" s="13" t="n">
        <f aca="false">IF(B945&lt;5,Einstellungen!$B$3,Einstellungen!$B$4)</f>
        <v>15.92</v>
      </c>
      <c r="E945" s="14" t="str">
        <f aca="false">IF(C945="","",C945*D945/100)</f>
        <v/>
      </c>
      <c r="F945" s="15" t="str">
        <f aca="false">IF(B945&lt;5,"Go","Standard")</f>
        <v>Go</v>
      </c>
    </row>
    <row r="946" customFormat="false" ht="15" hidden="false" customHeight="true" outlineLevel="0" collapsed="false">
      <c r="A946" s="10" t="n">
        <f aca="false">Einstellungen!$B$5+INT((ROW()-9)/24)</f>
        <v>46005</v>
      </c>
      <c r="B946" s="11" t="n">
        <f aca="false">MOD(ROW()-9,24)</f>
        <v>1</v>
      </c>
      <c r="C946" s="12"/>
      <c r="D946" s="13" t="n">
        <f aca="false">IF(B946&lt;5,Einstellungen!$B$3,Einstellungen!$B$4)</f>
        <v>15.92</v>
      </c>
      <c r="E946" s="14" t="str">
        <f aca="false">IF(C946="","",C946*D946/100)</f>
        <v/>
      </c>
      <c r="F946" s="15" t="str">
        <f aca="false">IF(B946&lt;5,"Go","Standard")</f>
        <v>Go</v>
      </c>
    </row>
    <row r="947" customFormat="false" ht="15" hidden="false" customHeight="true" outlineLevel="0" collapsed="false">
      <c r="A947" s="10" t="n">
        <f aca="false">Einstellungen!$B$5+INT((ROW()-9)/24)</f>
        <v>46005</v>
      </c>
      <c r="B947" s="11" t="n">
        <f aca="false">MOD(ROW()-9,24)</f>
        <v>2</v>
      </c>
      <c r="C947" s="12"/>
      <c r="D947" s="13" t="n">
        <f aca="false">IF(B947&lt;5,Einstellungen!$B$3,Einstellungen!$B$4)</f>
        <v>15.92</v>
      </c>
      <c r="E947" s="14" t="str">
        <f aca="false">IF(C947="","",C947*D947/100)</f>
        <v/>
      </c>
      <c r="F947" s="15" t="str">
        <f aca="false">IF(B947&lt;5,"Go","Standard")</f>
        <v>Go</v>
      </c>
    </row>
    <row r="948" customFormat="false" ht="15" hidden="false" customHeight="true" outlineLevel="0" collapsed="false">
      <c r="A948" s="10" t="n">
        <f aca="false">Einstellungen!$B$5+INT((ROW()-9)/24)</f>
        <v>46005</v>
      </c>
      <c r="B948" s="11" t="n">
        <f aca="false">MOD(ROW()-9,24)</f>
        <v>3</v>
      </c>
      <c r="C948" s="12"/>
      <c r="D948" s="13" t="n">
        <f aca="false">IF(B948&lt;5,Einstellungen!$B$3,Einstellungen!$B$4)</f>
        <v>15.92</v>
      </c>
      <c r="E948" s="14" t="str">
        <f aca="false">IF(C948="","",C948*D948/100)</f>
        <v/>
      </c>
      <c r="F948" s="15" t="str">
        <f aca="false">IF(B948&lt;5,"Go","Standard")</f>
        <v>Go</v>
      </c>
    </row>
    <row r="949" customFormat="false" ht="15" hidden="false" customHeight="true" outlineLevel="0" collapsed="false">
      <c r="A949" s="10" t="n">
        <f aca="false">Einstellungen!$B$5+INT((ROW()-9)/24)</f>
        <v>46005</v>
      </c>
      <c r="B949" s="11" t="n">
        <f aca="false">MOD(ROW()-9,24)</f>
        <v>4</v>
      </c>
      <c r="C949" s="12"/>
      <c r="D949" s="13" t="n">
        <f aca="false">IF(B949&lt;5,Einstellungen!$B$3,Einstellungen!$B$4)</f>
        <v>15.92</v>
      </c>
      <c r="E949" s="14" t="str">
        <f aca="false">IF(C949="","",C949*D949/100)</f>
        <v/>
      </c>
      <c r="F949" s="15" t="str">
        <f aca="false">IF(B949&lt;5,"Go","Standard")</f>
        <v>Go</v>
      </c>
    </row>
    <row r="950" customFormat="false" ht="15" hidden="false" customHeight="true" outlineLevel="0" collapsed="false">
      <c r="A950" s="10" t="n">
        <f aca="false">Einstellungen!$B$5+INT((ROW()-9)/24)</f>
        <v>46005</v>
      </c>
      <c r="B950" s="11" t="n">
        <f aca="false">MOD(ROW()-9,24)</f>
        <v>5</v>
      </c>
      <c r="C950" s="12"/>
      <c r="D950" s="13" t="n">
        <f aca="false">IF(B950&lt;5,Einstellungen!$B$3,Einstellungen!$B$4)</f>
        <v>29.13</v>
      </c>
      <c r="E950" s="14" t="str">
        <f aca="false">IF(C950="","",C950*D950/100)</f>
        <v/>
      </c>
      <c r="F950" s="15" t="str">
        <f aca="false">IF(B950&lt;5,"Go","Standard")</f>
        <v>Standard</v>
      </c>
    </row>
    <row r="951" customFormat="false" ht="15" hidden="false" customHeight="true" outlineLevel="0" collapsed="false">
      <c r="A951" s="10" t="n">
        <f aca="false">Einstellungen!$B$5+INT((ROW()-9)/24)</f>
        <v>46005</v>
      </c>
      <c r="B951" s="11" t="n">
        <f aca="false">MOD(ROW()-9,24)</f>
        <v>6</v>
      </c>
      <c r="C951" s="12"/>
      <c r="D951" s="13" t="n">
        <f aca="false">IF(B951&lt;5,Einstellungen!$B$3,Einstellungen!$B$4)</f>
        <v>29.13</v>
      </c>
      <c r="E951" s="14" t="str">
        <f aca="false">IF(C951="","",C951*D951/100)</f>
        <v/>
      </c>
      <c r="F951" s="15" t="str">
        <f aca="false">IF(B951&lt;5,"Go","Standard")</f>
        <v>Standard</v>
      </c>
    </row>
    <row r="952" customFormat="false" ht="15" hidden="false" customHeight="true" outlineLevel="0" collapsed="false">
      <c r="A952" s="10" t="n">
        <f aca="false">Einstellungen!$B$5+INT((ROW()-9)/24)</f>
        <v>46005</v>
      </c>
      <c r="B952" s="11" t="n">
        <f aca="false">MOD(ROW()-9,24)</f>
        <v>7</v>
      </c>
      <c r="C952" s="12"/>
      <c r="D952" s="13" t="n">
        <f aca="false">IF(B952&lt;5,Einstellungen!$B$3,Einstellungen!$B$4)</f>
        <v>29.13</v>
      </c>
      <c r="E952" s="14" t="str">
        <f aca="false">IF(C952="","",C952*D952/100)</f>
        <v/>
      </c>
      <c r="F952" s="15" t="str">
        <f aca="false">IF(B952&lt;5,"Go","Standard")</f>
        <v>Standard</v>
      </c>
    </row>
    <row r="953" customFormat="false" ht="15" hidden="false" customHeight="true" outlineLevel="0" collapsed="false">
      <c r="A953" s="10" t="n">
        <f aca="false">Einstellungen!$B$5+INT((ROW()-9)/24)</f>
        <v>46005</v>
      </c>
      <c r="B953" s="11" t="n">
        <f aca="false">MOD(ROW()-9,24)</f>
        <v>8</v>
      </c>
      <c r="C953" s="12"/>
      <c r="D953" s="13" t="n">
        <f aca="false">IF(B953&lt;5,Einstellungen!$B$3,Einstellungen!$B$4)</f>
        <v>29.13</v>
      </c>
      <c r="E953" s="14" t="str">
        <f aca="false">IF(C953="","",C953*D953/100)</f>
        <v/>
      </c>
      <c r="F953" s="15" t="str">
        <f aca="false">IF(B953&lt;5,"Go","Standard")</f>
        <v>Standard</v>
      </c>
    </row>
    <row r="954" customFormat="false" ht="15" hidden="false" customHeight="true" outlineLevel="0" collapsed="false">
      <c r="A954" s="10" t="n">
        <f aca="false">Einstellungen!$B$5+INT((ROW()-9)/24)</f>
        <v>46005</v>
      </c>
      <c r="B954" s="11" t="n">
        <f aca="false">MOD(ROW()-9,24)</f>
        <v>9</v>
      </c>
      <c r="C954" s="12"/>
      <c r="D954" s="13" t="n">
        <f aca="false">IF(B954&lt;5,Einstellungen!$B$3,Einstellungen!$B$4)</f>
        <v>29.13</v>
      </c>
      <c r="E954" s="14" t="str">
        <f aca="false">IF(C954="","",C954*D954/100)</f>
        <v/>
      </c>
      <c r="F954" s="15" t="str">
        <f aca="false">IF(B954&lt;5,"Go","Standard")</f>
        <v>Standard</v>
      </c>
    </row>
    <row r="955" customFormat="false" ht="15" hidden="false" customHeight="true" outlineLevel="0" collapsed="false">
      <c r="A955" s="10" t="n">
        <f aca="false">Einstellungen!$B$5+INT((ROW()-9)/24)</f>
        <v>46005</v>
      </c>
      <c r="B955" s="11" t="n">
        <f aca="false">MOD(ROW()-9,24)</f>
        <v>10</v>
      </c>
      <c r="C955" s="12"/>
      <c r="D955" s="13" t="n">
        <f aca="false">IF(B955&lt;5,Einstellungen!$B$3,Einstellungen!$B$4)</f>
        <v>29.13</v>
      </c>
      <c r="E955" s="14" t="str">
        <f aca="false">IF(C955="","",C955*D955/100)</f>
        <v/>
      </c>
      <c r="F955" s="15" t="str">
        <f aca="false">IF(B955&lt;5,"Go","Standard")</f>
        <v>Standard</v>
      </c>
    </row>
    <row r="956" customFormat="false" ht="15" hidden="false" customHeight="true" outlineLevel="0" collapsed="false">
      <c r="A956" s="10" t="n">
        <f aca="false">Einstellungen!$B$5+INT((ROW()-9)/24)</f>
        <v>46005</v>
      </c>
      <c r="B956" s="11" t="n">
        <f aca="false">MOD(ROW()-9,24)</f>
        <v>11</v>
      </c>
      <c r="C956" s="12"/>
      <c r="D956" s="13" t="n">
        <f aca="false">IF(B956&lt;5,Einstellungen!$B$3,Einstellungen!$B$4)</f>
        <v>29.13</v>
      </c>
      <c r="E956" s="14" t="str">
        <f aca="false">IF(C956="","",C956*D956/100)</f>
        <v/>
      </c>
      <c r="F956" s="15" t="str">
        <f aca="false">IF(B956&lt;5,"Go","Standard")</f>
        <v>Standard</v>
      </c>
    </row>
    <row r="957" customFormat="false" ht="15" hidden="false" customHeight="true" outlineLevel="0" collapsed="false">
      <c r="A957" s="10" t="n">
        <f aca="false">Einstellungen!$B$5+INT((ROW()-9)/24)</f>
        <v>46005</v>
      </c>
      <c r="B957" s="11" t="n">
        <f aca="false">MOD(ROW()-9,24)</f>
        <v>12</v>
      </c>
      <c r="C957" s="12"/>
      <c r="D957" s="13" t="n">
        <f aca="false">IF(B957&lt;5,Einstellungen!$B$3,Einstellungen!$B$4)</f>
        <v>29.13</v>
      </c>
      <c r="E957" s="14" t="str">
        <f aca="false">IF(C957="","",C957*D957/100)</f>
        <v/>
      </c>
      <c r="F957" s="15" t="str">
        <f aca="false">IF(B957&lt;5,"Go","Standard")</f>
        <v>Standard</v>
      </c>
    </row>
    <row r="958" customFormat="false" ht="15" hidden="false" customHeight="true" outlineLevel="0" collapsed="false">
      <c r="A958" s="10" t="n">
        <f aca="false">Einstellungen!$B$5+INT((ROW()-9)/24)</f>
        <v>46005</v>
      </c>
      <c r="B958" s="11" t="n">
        <f aca="false">MOD(ROW()-9,24)</f>
        <v>13</v>
      </c>
      <c r="C958" s="12"/>
      <c r="D958" s="13" t="n">
        <f aca="false">IF(B958&lt;5,Einstellungen!$B$3,Einstellungen!$B$4)</f>
        <v>29.13</v>
      </c>
      <c r="E958" s="14" t="str">
        <f aca="false">IF(C958="","",C958*D958/100)</f>
        <v/>
      </c>
      <c r="F958" s="15" t="str">
        <f aca="false">IF(B958&lt;5,"Go","Standard")</f>
        <v>Standard</v>
      </c>
    </row>
    <row r="959" customFormat="false" ht="15" hidden="false" customHeight="true" outlineLevel="0" collapsed="false">
      <c r="A959" s="10" t="n">
        <f aca="false">Einstellungen!$B$5+INT((ROW()-9)/24)</f>
        <v>46005</v>
      </c>
      <c r="B959" s="11" t="n">
        <f aca="false">MOD(ROW()-9,24)</f>
        <v>14</v>
      </c>
      <c r="C959" s="12"/>
      <c r="D959" s="13" t="n">
        <f aca="false">IF(B959&lt;5,Einstellungen!$B$3,Einstellungen!$B$4)</f>
        <v>29.13</v>
      </c>
      <c r="E959" s="14" t="str">
        <f aca="false">IF(C959="","",C959*D959/100)</f>
        <v/>
      </c>
      <c r="F959" s="15" t="str">
        <f aca="false">IF(B959&lt;5,"Go","Standard")</f>
        <v>Standard</v>
      </c>
    </row>
    <row r="960" customFormat="false" ht="15" hidden="false" customHeight="true" outlineLevel="0" collapsed="false">
      <c r="A960" s="10" t="n">
        <f aca="false">Einstellungen!$B$5+INT((ROW()-9)/24)</f>
        <v>46005</v>
      </c>
      <c r="B960" s="11" t="n">
        <f aca="false">MOD(ROW()-9,24)</f>
        <v>15</v>
      </c>
      <c r="C960" s="12"/>
      <c r="D960" s="13" t="n">
        <f aca="false">IF(B960&lt;5,Einstellungen!$B$3,Einstellungen!$B$4)</f>
        <v>29.13</v>
      </c>
      <c r="E960" s="14" t="str">
        <f aca="false">IF(C960="","",C960*D960/100)</f>
        <v/>
      </c>
      <c r="F960" s="15" t="str">
        <f aca="false">IF(B960&lt;5,"Go","Standard")</f>
        <v>Standard</v>
      </c>
    </row>
    <row r="961" customFormat="false" ht="15" hidden="false" customHeight="true" outlineLevel="0" collapsed="false">
      <c r="A961" s="10" t="n">
        <f aca="false">Einstellungen!$B$5+INT((ROW()-9)/24)</f>
        <v>46005</v>
      </c>
      <c r="B961" s="11" t="n">
        <f aca="false">MOD(ROW()-9,24)</f>
        <v>16</v>
      </c>
      <c r="C961" s="12"/>
      <c r="D961" s="13" t="n">
        <f aca="false">IF(B961&lt;5,Einstellungen!$B$3,Einstellungen!$B$4)</f>
        <v>29.13</v>
      </c>
      <c r="E961" s="14" t="str">
        <f aca="false">IF(C961="","",C961*D961/100)</f>
        <v/>
      </c>
      <c r="F961" s="15" t="str">
        <f aca="false">IF(B961&lt;5,"Go","Standard")</f>
        <v>Standard</v>
      </c>
    </row>
    <row r="962" customFormat="false" ht="15" hidden="false" customHeight="true" outlineLevel="0" collapsed="false">
      <c r="A962" s="10" t="n">
        <f aca="false">Einstellungen!$B$5+INT((ROW()-9)/24)</f>
        <v>46005</v>
      </c>
      <c r="B962" s="11" t="n">
        <f aca="false">MOD(ROW()-9,24)</f>
        <v>17</v>
      </c>
      <c r="C962" s="12"/>
      <c r="D962" s="13" t="n">
        <f aca="false">IF(B962&lt;5,Einstellungen!$B$3,Einstellungen!$B$4)</f>
        <v>29.13</v>
      </c>
      <c r="E962" s="14" t="str">
        <f aca="false">IF(C962="","",C962*D962/100)</f>
        <v/>
      </c>
      <c r="F962" s="15" t="str">
        <f aca="false">IF(B962&lt;5,"Go","Standard")</f>
        <v>Standard</v>
      </c>
    </row>
    <row r="963" customFormat="false" ht="15" hidden="false" customHeight="true" outlineLevel="0" collapsed="false">
      <c r="A963" s="10" t="n">
        <f aca="false">Einstellungen!$B$5+INT((ROW()-9)/24)</f>
        <v>46005</v>
      </c>
      <c r="B963" s="11" t="n">
        <f aca="false">MOD(ROW()-9,24)</f>
        <v>18</v>
      </c>
      <c r="C963" s="12"/>
      <c r="D963" s="13" t="n">
        <f aca="false">IF(B963&lt;5,Einstellungen!$B$3,Einstellungen!$B$4)</f>
        <v>29.13</v>
      </c>
      <c r="E963" s="14" t="str">
        <f aca="false">IF(C963="","",C963*D963/100)</f>
        <v/>
      </c>
      <c r="F963" s="15" t="str">
        <f aca="false">IF(B963&lt;5,"Go","Standard")</f>
        <v>Standard</v>
      </c>
    </row>
    <row r="964" customFormat="false" ht="15" hidden="false" customHeight="true" outlineLevel="0" collapsed="false">
      <c r="A964" s="10" t="n">
        <f aca="false">Einstellungen!$B$5+INT((ROW()-9)/24)</f>
        <v>46005</v>
      </c>
      <c r="B964" s="11" t="n">
        <f aca="false">MOD(ROW()-9,24)</f>
        <v>19</v>
      </c>
      <c r="C964" s="12"/>
      <c r="D964" s="13" t="n">
        <f aca="false">IF(B964&lt;5,Einstellungen!$B$3,Einstellungen!$B$4)</f>
        <v>29.13</v>
      </c>
      <c r="E964" s="14" t="str">
        <f aca="false">IF(C964="","",C964*D964/100)</f>
        <v/>
      </c>
      <c r="F964" s="15" t="str">
        <f aca="false">IF(B964&lt;5,"Go","Standard")</f>
        <v>Standard</v>
      </c>
    </row>
    <row r="965" customFormat="false" ht="15" hidden="false" customHeight="true" outlineLevel="0" collapsed="false">
      <c r="A965" s="10" t="n">
        <f aca="false">Einstellungen!$B$5+INT((ROW()-9)/24)</f>
        <v>46005</v>
      </c>
      <c r="B965" s="11" t="n">
        <f aca="false">MOD(ROW()-9,24)</f>
        <v>20</v>
      </c>
      <c r="C965" s="12"/>
      <c r="D965" s="13" t="n">
        <f aca="false">IF(B965&lt;5,Einstellungen!$B$3,Einstellungen!$B$4)</f>
        <v>29.13</v>
      </c>
      <c r="E965" s="14" t="str">
        <f aca="false">IF(C965="","",C965*D965/100)</f>
        <v/>
      </c>
      <c r="F965" s="15" t="str">
        <f aca="false">IF(B965&lt;5,"Go","Standard")</f>
        <v>Standard</v>
      </c>
    </row>
    <row r="966" customFormat="false" ht="15" hidden="false" customHeight="true" outlineLevel="0" collapsed="false">
      <c r="A966" s="10" t="n">
        <f aca="false">Einstellungen!$B$5+INT((ROW()-9)/24)</f>
        <v>46005</v>
      </c>
      <c r="B966" s="11" t="n">
        <f aca="false">MOD(ROW()-9,24)</f>
        <v>21</v>
      </c>
      <c r="C966" s="12"/>
      <c r="D966" s="13" t="n">
        <f aca="false">IF(B966&lt;5,Einstellungen!$B$3,Einstellungen!$B$4)</f>
        <v>29.13</v>
      </c>
      <c r="E966" s="14" t="str">
        <f aca="false">IF(C966="","",C966*D966/100)</f>
        <v/>
      </c>
      <c r="F966" s="15" t="str">
        <f aca="false">IF(B966&lt;5,"Go","Standard")</f>
        <v>Standard</v>
      </c>
    </row>
    <row r="967" customFormat="false" ht="15" hidden="false" customHeight="true" outlineLevel="0" collapsed="false">
      <c r="A967" s="10" t="n">
        <f aca="false">Einstellungen!$B$5+INT((ROW()-9)/24)</f>
        <v>46005</v>
      </c>
      <c r="B967" s="11" t="n">
        <f aca="false">MOD(ROW()-9,24)</f>
        <v>22</v>
      </c>
      <c r="C967" s="12"/>
      <c r="D967" s="13" t="n">
        <f aca="false">IF(B967&lt;5,Einstellungen!$B$3,Einstellungen!$B$4)</f>
        <v>29.13</v>
      </c>
      <c r="E967" s="14" t="str">
        <f aca="false">IF(C967="","",C967*D967/100)</f>
        <v/>
      </c>
      <c r="F967" s="15" t="str">
        <f aca="false">IF(B967&lt;5,"Go","Standard")</f>
        <v>Standard</v>
      </c>
    </row>
    <row r="968" customFormat="false" ht="15" hidden="false" customHeight="true" outlineLevel="0" collapsed="false">
      <c r="A968" s="10" t="n">
        <f aca="false">Einstellungen!$B$5+INT((ROW()-9)/24)</f>
        <v>46005</v>
      </c>
      <c r="B968" s="11" t="n">
        <f aca="false">MOD(ROW()-9,24)</f>
        <v>23</v>
      </c>
      <c r="C968" s="12"/>
      <c r="D968" s="13" t="n">
        <f aca="false">IF(B968&lt;5,Einstellungen!$B$3,Einstellungen!$B$4)</f>
        <v>29.13</v>
      </c>
      <c r="E968" s="14" t="str">
        <f aca="false">IF(C968="","",C968*D968/100)</f>
        <v/>
      </c>
      <c r="F968" s="15" t="str">
        <f aca="false">IF(B968&lt;5,"Go","Standard")</f>
        <v>Standard</v>
      </c>
    </row>
    <row r="969" customFormat="false" ht="15" hidden="false" customHeight="true" outlineLevel="0" collapsed="false">
      <c r="A969" s="10" t="n">
        <f aca="false">Einstellungen!$B$5+INT((ROW()-9)/24)</f>
        <v>46006</v>
      </c>
      <c r="B969" s="11" t="n">
        <f aca="false">MOD(ROW()-9,24)</f>
        <v>0</v>
      </c>
      <c r="C969" s="12"/>
      <c r="D969" s="13" t="n">
        <f aca="false">IF(B969&lt;5,Einstellungen!$B$3,Einstellungen!$B$4)</f>
        <v>15.92</v>
      </c>
      <c r="E969" s="14" t="str">
        <f aca="false">IF(C969="","",C969*D969/100)</f>
        <v/>
      </c>
      <c r="F969" s="15" t="str">
        <f aca="false">IF(B969&lt;5,"Go","Standard")</f>
        <v>Go</v>
      </c>
    </row>
    <row r="970" customFormat="false" ht="15" hidden="false" customHeight="true" outlineLevel="0" collapsed="false">
      <c r="A970" s="10" t="n">
        <f aca="false">Einstellungen!$B$5+INT((ROW()-9)/24)</f>
        <v>46006</v>
      </c>
      <c r="B970" s="11" t="n">
        <f aca="false">MOD(ROW()-9,24)</f>
        <v>1</v>
      </c>
      <c r="C970" s="12"/>
      <c r="D970" s="13" t="n">
        <f aca="false">IF(B970&lt;5,Einstellungen!$B$3,Einstellungen!$B$4)</f>
        <v>15.92</v>
      </c>
      <c r="E970" s="14" t="str">
        <f aca="false">IF(C970="","",C970*D970/100)</f>
        <v/>
      </c>
      <c r="F970" s="15" t="str">
        <f aca="false">IF(B970&lt;5,"Go","Standard")</f>
        <v>Go</v>
      </c>
    </row>
    <row r="971" customFormat="false" ht="15" hidden="false" customHeight="true" outlineLevel="0" collapsed="false">
      <c r="A971" s="10" t="n">
        <f aca="false">Einstellungen!$B$5+INT((ROW()-9)/24)</f>
        <v>46006</v>
      </c>
      <c r="B971" s="11" t="n">
        <f aca="false">MOD(ROW()-9,24)</f>
        <v>2</v>
      </c>
      <c r="C971" s="12"/>
      <c r="D971" s="13" t="n">
        <f aca="false">IF(B971&lt;5,Einstellungen!$B$3,Einstellungen!$B$4)</f>
        <v>15.92</v>
      </c>
      <c r="E971" s="14" t="str">
        <f aca="false">IF(C971="","",C971*D971/100)</f>
        <v/>
      </c>
      <c r="F971" s="15" t="str">
        <f aca="false">IF(B971&lt;5,"Go","Standard")</f>
        <v>Go</v>
      </c>
    </row>
    <row r="972" customFormat="false" ht="15" hidden="false" customHeight="true" outlineLevel="0" collapsed="false">
      <c r="A972" s="10" t="n">
        <f aca="false">Einstellungen!$B$5+INT((ROW()-9)/24)</f>
        <v>46006</v>
      </c>
      <c r="B972" s="11" t="n">
        <f aca="false">MOD(ROW()-9,24)</f>
        <v>3</v>
      </c>
      <c r="C972" s="12"/>
      <c r="D972" s="13" t="n">
        <f aca="false">IF(B972&lt;5,Einstellungen!$B$3,Einstellungen!$B$4)</f>
        <v>15.92</v>
      </c>
      <c r="E972" s="14" t="str">
        <f aca="false">IF(C972="","",C972*D972/100)</f>
        <v/>
      </c>
      <c r="F972" s="15" t="str">
        <f aca="false">IF(B972&lt;5,"Go","Standard")</f>
        <v>Go</v>
      </c>
    </row>
    <row r="973" customFormat="false" ht="15" hidden="false" customHeight="true" outlineLevel="0" collapsed="false">
      <c r="A973" s="10" t="n">
        <f aca="false">Einstellungen!$B$5+INT((ROW()-9)/24)</f>
        <v>46006</v>
      </c>
      <c r="B973" s="11" t="n">
        <f aca="false">MOD(ROW()-9,24)</f>
        <v>4</v>
      </c>
      <c r="C973" s="12"/>
      <c r="D973" s="13" t="n">
        <f aca="false">IF(B973&lt;5,Einstellungen!$B$3,Einstellungen!$B$4)</f>
        <v>15.92</v>
      </c>
      <c r="E973" s="14" t="str">
        <f aca="false">IF(C973="","",C973*D973/100)</f>
        <v/>
      </c>
      <c r="F973" s="15" t="str">
        <f aca="false">IF(B973&lt;5,"Go","Standard")</f>
        <v>Go</v>
      </c>
    </row>
    <row r="974" customFormat="false" ht="15" hidden="false" customHeight="true" outlineLevel="0" collapsed="false">
      <c r="A974" s="10" t="n">
        <f aca="false">Einstellungen!$B$5+INT((ROW()-9)/24)</f>
        <v>46006</v>
      </c>
      <c r="B974" s="11" t="n">
        <f aca="false">MOD(ROW()-9,24)</f>
        <v>5</v>
      </c>
      <c r="C974" s="12"/>
      <c r="D974" s="13" t="n">
        <f aca="false">IF(B974&lt;5,Einstellungen!$B$3,Einstellungen!$B$4)</f>
        <v>29.13</v>
      </c>
      <c r="E974" s="14" t="str">
        <f aca="false">IF(C974="","",C974*D974/100)</f>
        <v/>
      </c>
      <c r="F974" s="15" t="str">
        <f aca="false">IF(B974&lt;5,"Go","Standard")</f>
        <v>Standard</v>
      </c>
    </row>
    <row r="975" customFormat="false" ht="15" hidden="false" customHeight="true" outlineLevel="0" collapsed="false">
      <c r="A975" s="10" t="n">
        <f aca="false">Einstellungen!$B$5+INT((ROW()-9)/24)</f>
        <v>46006</v>
      </c>
      <c r="B975" s="11" t="n">
        <f aca="false">MOD(ROW()-9,24)</f>
        <v>6</v>
      </c>
      <c r="C975" s="12"/>
      <c r="D975" s="13" t="n">
        <f aca="false">IF(B975&lt;5,Einstellungen!$B$3,Einstellungen!$B$4)</f>
        <v>29.13</v>
      </c>
      <c r="E975" s="14" t="str">
        <f aca="false">IF(C975="","",C975*D975/100)</f>
        <v/>
      </c>
      <c r="F975" s="15" t="str">
        <f aca="false">IF(B975&lt;5,"Go","Standard")</f>
        <v>Standard</v>
      </c>
    </row>
    <row r="976" customFormat="false" ht="15" hidden="false" customHeight="true" outlineLevel="0" collapsed="false">
      <c r="A976" s="10" t="n">
        <f aca="false">Einstellungen!$B$5+INT((ROW()-9)/24)</f>
        <v>46006</v>
      </c>
      <c r="B976" s="11" t="n">
        <f aca="false">MOD(ROW()-9,24)</f>
        <v>7</v>
      </c>
      <c r="C976" s="12"/>
      <c r="D976" s="13" t="n">
        <f aca="false">IF(B976&lt;5,Einstellungen!$B$3,Einstellungen!$B$4)</f>
        <v>29.13</v>
      </c>
      <c r="E976" s="14" t="str">
        <f aca="false">IF(C976="","",C976*D976/100)</f>
        <v/>
      </c>
      <c r="F976" s="15" t="str">
        <f aca="false">IF(B976&lt;5,"Go","Standard")</f>
        <v>Standard</v>
      </c>
    </row>
    <row r="977" customFormat="false" ht="15" hidden="false" customHeight="true" outlineLevel="0" collapsed="false">
      <c r="A977" s="10" t="n">
        <f aca="false">Einstellungen!$B$5+INT((ROW()-9)/24)</f>
        <v>46006</v>
      </c>
      <c r="B977" s="11" t="n">
        <f aca="false">MOD(ROW()-9,24)</f>
        <v>8</v>
      </c>
      <c r="C977" s="12"/>
      <c r="D977" s="13" t="n">
        <f aca="false">IF(B977&lt;5,Einstellungen!$B$3,Einstellungen!$B$4)</f>
        <v>29.13</v>
      </c>
      <c r="E977" s="14" t="str">
        <f aca="false">IF(C977="","",C977*D977/100)</f>
        <v/>
      </c>
      <c r="F977" s="15" t="str">
        <f aca="false">IF(B977&lt;5,"Go","Standard")</f>
        <v>Standard</v>
      </c>
    </row>
    <row r="978" customFormat="false" ht="15" hidden="false" customHeight="true" outlineLevel="0" collapsed="false">
      <c r="A978" s="10" t="n">
        <f aca="false">Einstellungen!$B$5+INT((ROW()-9)/24)</f>
        <v>46006</v>
      </c>
      <c r="B978" s="11" t="n">
        <f aca="false">MOD(ROW()-9,24)</f>
        <v>9</v>
      </c>
      <c r="C978" s="12"/>
      <c r="D978" s="13" t="n">
        <f aca="false">IF(B978&lt;5,Einstellungen!$B$3,Einstellungen!$B$4)</f>
        <v>29.13</v>
      </c>
      <c r="E978" s="14" t="str">
        <f aca="false">IF(C978="","",C978*D978/100)</f>
        <v/>
      </c>
      <c r="F978" s="15" t="str">
        <f aca="false">IF(B978&lt;5,"Go","Standard")</f>
        <v>Standard</v>
      </c>
    </row>
    <row r="979" customFormat="false" ht="15" hidden="false" customHeight="true" outlineLevel="0" collapsed="false">
      <c r="A979" s="10" t="n">
        <f aca="false">Einstellungen!$B$5+INT((ROW()-9)/24)</f>
        <v>46006</v>
      </c>
      <c r="B979" s="11" t="n">
        <f aca="false">MOD(ROW()-9,24)</f>
        <v>10</v>
      </c>
      <c r="C979" s="12"/>
      <c r="D979" s="13" t="n">
        <f aca="false">IF(B979&lt;5,Einstellungen!$B$3,Einstellungen!$B$4)</f>
        <v>29.13</v>
      </c>
      <c r="E979" s="14" t="str">
        <f aca="false">IF(C979="","",C979*D979/100)</f>
        <v/>
      </c>
      <c r="F979" s="15" t="str">
        <f aca="false">IF(B979&lt;5,"Go","Standard")</f>
        <v>Standard</v>
      </c>
    </row>
    <row r="980" customFormat="false" ht="15" hidden="false" customHeight="true" outlineLevel="0" collapsed="false">
      <c r="A980" s="10" t="n">
        <f aca="false">Einstellungen!$B$5+INT((ROW()-9)/24)</f>
        <v>46006</v>
      </c>
      <c r="B980" s="11" t="n">
        <f aca="false">MOD(ROW()-9,24)</f>
        <v>11</v>
      </c>
      <c r="C980" s="12"/>
      <c r="D980" s="13" t="n">
        <f aca="false">IF(B980&lt;5,Einstellungen!$B$3,Einstellungen!$B$4)</f>
        <v>29.13</v>
      </c>
      <c r="E980" s="14" t="str">
        <f aca="false">IF(C980="","",C980*D980/100)</f>
        <v/>
      </c>
      <c r="F980" s="15" t="str">
        <f aca="false">IF(B980&lt;5,"Go","Standard")</f>
        <v>Standard</v>
      </c>
    </row>
    <row r="981" customFormat="false" ht="15" hidden="false" customHeight="true" outlineLevel="0" collapsed="false">
      <c r="A981" s="10" t="n">
        <f aca="false">Einstellungen!$B$5+INT((ROW()-9)/24)</f>
        <v>46006</v>
      </c>
      <c r="B981" s="11" t="n">
        <f aca="false">MOD(ROW()-9,24)</f>
        <v>12</v>
      </c>
      <c r="C981" s="12"/>
      <c r="D981" s="13" t="n">
        <f aca="false">IF(B981&lt;5,Einstellungen!$B$3,Einstellungen!$B$4)</f>
        <v>29.13</v>
      </c>
      <c r="E981" s="14" t="str">
        <f aca="false">IF(C981="","",C981*D981/100)</f>
        <v/>
      </c>
      <c r="F981" s="15" t="str">
        <f aca="false">IF(B981&lt;5,"Go","Standard")</f>
        <v>Standard</v>
      </c>
    </row>
    <row r="982" customFormat="false" ht="15" hidden="false" customHeight="true" outlineLevel="0" collapsed="false">
      <c r="A982" s="10" t="n">
        <f aca="false">Einstellungen!$B$5+INT((ROW()-9)/24)</f>
        <v>46006</v>
      </c>
      <c r="B982" s="11" t="n">
        <f aca="false">MOD(ROW()-9,24)</f>
        <v>13</v>
      </c>
      <c r="C982" s="12"/>
      <c r="D982" s="13" t="n">
        <f aca="false">IF(B982&lt;5,Einstellungen!$B$3,Einstellungen!$B$4)</f>
        <v>29.13</v>
      </c>
      <c r="E982" s="14" t="str">
        <f aca="false">IF(C982="","",C982*D982/100)</f>
        <v/>
      </c>
      <c r="F982" s="15" t="str">
        <f aca="false">IF(B982&lt;5,"Go","Standard")</f>
        <v>Standard</v>
      </c>
    </row>
    <row r="983" customFormat="false" ht="15" hidden="false" customHeight="true" outlineLevel="0" collapsed="false">
      <c r="A983" s="10" t="n">
        <f aca="false">Einstellungen!$B$5+INT((ROW()-9)/24)</f>
        <v>46006</v>
      </c>
      <c r="B983" s="11" t="n">
        <f aca="false">MOD(ROW()-9,24)</f>
        <v>14</v>
      </c>
      <c r="C983" s="12"/>
      <c r="D983" s="13" t="n">
        <f aca="false">IF(B983&lt;5,Einstellungen!$B$3,Einstellungen!$B$4)</f>
        <v>29.13</v>
      </c>
      <c r="E983" s="14" t="str">
        <f aca="false">IF(C983="","",C983*D983/100)</f>
        <v/>
      </c>
      <c r="F983" s="15" t="str">
        <f aca="false">IF(B983&lt;5,"Go","Standard")</f>
        <v>Standard</v>
      </c>
    </row>
    <row r="984" customFormat="false" ht="15" hidden="false" customHeight="true" outlineLevel="0" collapsed="false">
      <c r="A984" s="10" t="n">
        <f aca="false">Einstellungen!$B$5+INT((ROW()-9)/24)</f>
        <v>46006</v>
      </c>
      <c r="B984" s="11" t="n">
        <f aca="false">MOD(ROW()-9,24)</f>
        <v>15</v>
      </c>
      <c r="C984" s="12"/>
      <c r="D984" s="13" t="n">
        <f aca="false">IF(B984&lt;5,Einstellungen!$B$3,Einstellungen!$B$4)</f>
        <v>29.13</v>
      </c>
      <c r="E984" s="14" t="str">
        <f aca="false">IF(C984="","",C984*D984/100)</f>
        <v/>
      </c>
      <c r="F984" s="15" t="str">
        <f aca="false">IF(B984&lt;5,"Go","Standard")</f>
        <v>Standard</v>
      </c>
    </row>
    <row r="985" customFormat="false" ht="15" hidden="false" customHeight="true" outlineLevel="0" collapsed="false">
      <c r="A985" s="10" t="n">
        <f aca="false">Einstellungen!$B$5+INT((ROW()-9)/24)</f>
        <v>46006</v>
      </c>
      <c r="B985" s="11" t="n">
        <f aca="false">MOD(ROW()-9,24)</f>
        <v>16</v>
      </c>
      <c r="C985" s="12"/>
      <c r="D985" s="13" t="n">
        <f aca="false">IF(B985&lt;5,Einstellungen!$B$3,Einstellungen!$B$4)</f>
        <v>29.13</v>
      </c>
      <c r="E985" s="14" t="str">
        <f aca="false">IF(C985="","",C985*D985/100)</f>
        <v/>
      </c>
      <c r="F985" s="15" t="str">
        <f aca="false">IF(B985&lt;5,"Go","Standard")</f>
        <v>Standard</v>
      </c>
    </row>
    <row r="986" customFormat="false" ht="15" hidden="false" customHeight="true" outlineLevel="0" collapsed="false">
      <c r="A986" s="10" t="n">
        <f aca="false">Einstellungen!$B$5+INT((ROW()-9)/24)</f>
        <v>46006</v>
      </c>
      <c r="B986" s="11" t="n">
        <f aca="false">MOD(ROW()-9,24)</f>
        <v>17</v>
      </c>
      <c r="C986" s="12"/>
      <c r="D986" s="13" t="n">
        <f aca="false">IF(B986&lt;5,Einstellungen!$B$3,Einstellungen!$B$4)</f>
        <v>29.13</v>
      </c>
      <c r="E986" s="14" t="str">
        <f aca="false">IF(C986="","",C986*D986/100)</f>
        <v/>
      </c>
      <c r="F986" s="15" t="str">
        <f aca="false">IF(B986&lt;5,"Go","Standard")</f>
        <v>Standard</v>
      </c>
    </row>
    <row r="987" customFormat="false" ht="15" hidden="false" customHeight="true" outlineLevel="0" collapsed="false">
      <c r="A987" s="10" t="n">
        <f aca="false">Einstellungen!$B$5+INT((ROW()-9)/24)</f>
        <v>46006</v>
      </c>
      <c r="B987" s="11" t="n">
        <f aca="false">MOD(ROW()-9,24)</f>
        <v>18</v>
      </c>
      <c r="C987" s="12"/>
      <c r="D987" s="13" t="n">
        <f aca="false">IF(B987&lt;5,Einstellungen!$B$3,Einstellungen!$B$4)</f>
        <v>29.13</v>
      </c>
      <c r="E987" s="14" t="str">
        <f aca="false">IF(C987="","",C987*D987/100)</f>
        <v/>
      </c>
      <c r="F987" s="15" t="str">
        <f aca="false">IF(B987&lt;5,"Go","Standard")</f>
        <v>Standard</v>
      </c>
    </row>
    <row r="988" customFormat="false" ht="15" hidden="false" customHeight="true" outlineLevel="0" collapsed="false">
      <c r="A988" s="10" t="n">
        <f aca="false">Einstellungen!$B$5+INT((ROW()-9)/24)</f>
        <v>46006</v>
      </c>
      <c r="B988" s="11" t="n">
        <f aca="false">MOD(ROW()-9,24)</f>
        <v>19</v>
      </c>
      <c r="C988" s="12"/>
      <c r="D988" s="13" t="n">
        <f aca="false">IF(B988&lt;5,Einstellungen!$B$3,Einstellungen!$B$4)</f>
        <v>29.13</v>
      </c>
      <c r="E988" s="14" t="str">
        <f aca="false">IF(C988="","",C988*D988/100)</f>
        <v/>
      </c>
      <c r="F988" s="15" t="str">
        <f aca="false">IF(B988&lt;5,"Go","Standard")</f>
        <v>Standard</v>
      </c>
    </row>
    <row r="989" customFormat="false" ht="15" hidden="false" customHeight="true" outlineLevel="0" collapsed="false">
      <c r="A989" s="10" t="n">
        <f aca="false">Einstellungen!$B$5+INT((ROW()-9)/24)</f>
        <v>46006</v>
      </c>
      <c r="B989" s="11" t="n">
        <f aca="false">MOD(ROW()-9,24)</f>
        <v>20</v>
      </c>
      <c r="C989" s="12"/>
      <c r="D989" s="13" t="n">
        <f aca="false">IF(B989&lt;5,Einstellungen!$B$3,Einstellungen!$B$4)</f>
        <v>29.13</v>
      </c>
      <c r="E989" s="14" t="str">
        <f aca="false">IF(C989="","",C989*D989/100)</f>
        <v/>
      </c>
      <c r="F989" s="15" t="str">
        <f aca="false">IF(B989&lt;5,"Go","Standard")</f>
        <v>Standard</v>
      </c>
    </row>
    <row r="990" customFormat="false" ht="15" hidden="false" customHeight="true" outlineLevel="0" collapsed="false">
      <c r="A990" s="10" t="n">
        <f aca="false">Einstellungen!$B$5+INT((ROW()-9)/24)</f>
        <v>46006</v>
      </c>
      <c r="B990" s="11" t="n">
        <f aca="false">MOD(ROW()-9,24)</f>
        <v>21</v>
      </c>
      <c r="C990" s="12"/>
      <c r="D990" s="13" t="n">
        <f aca="false">IF(B990&lt;5,Einstellungen!$B$3,Einstellungen!$B$4)</f>
        <v>29.13</v>
      </c>
      <c r="E990" s="14" t="str">
        <f aca="false">IF(C990="","",C990*D990/100)</f>
        <v/>
      </c>
      <c r="F990" s="15" t="str">
        <f aca="false">IF(B990&lt;5,"Go","Standard")</f>
        <v>Standard</v>
      </c>
    </row>
    <row r="991" customFormat="false" ht="15" hidden="false" customHeight="true" outlineLevel="0" collapsed="false">
      <c r="A991" s="10" t="n">
        <f aca="false">Einstellungen!$B$5+INT((ROW()-9)/24)</f>
        <v>46006</v>
      </c>
      <c r="B991" s="11" t="n">
        <f aca="false">MOD(ROW()-9,24)</f>
        <v>22</v>
      </c>
      <c r="C991" s="12"/>
      <c r="D991" s="13" t="n">
        <f aca="false">IF(B991&lt;5,Einstellungen!$B$3,Einstellungen!$B$4)</f>
        <v>29.13</v>
      </c>
      <c r="E991" s="14" t="str">
        <f aca="false">IF(C991="","",C991*D991/100)</f>
        <v/>
      </c>
      <c r="F991" s="15" t="str">
        <f aca="false">IF(B991&lt;5,"Go","Standard")</f>
        <v>Standard</v>
      </c>
    </row>
    <row r="992" customFormat="false" ht="15" hidden="false" customHeight="true" outlineLevel="0" collapsed="false">
      <c r="A992" s="10" t="n">
        <f aca="false">Einstellungen!$B$5+INT((ROW()-9)/24)</f>
        <v>46006</v>
      </c>
      <c r="B992" s="11" t="n">
        <f aca="false">MOD(ROW()-9,24)</f>
        <v>23</v>
      </c>
      <c r="C992" s="12"/>
      <c r="D992" s="13" t="n">
        <f aca="false">IF(B992&lt;5,Einstellungen!$B$3,Einstellungen!$B$4)</f>
        <v>29.13</v>
      </c>
      <c r="E992" s="14" t="str">
        <f aca="false">IF(C992="","",C992*D992/100)</f>
        <v/>
      </c>
      <c r="F992" s="15" t="str">
        <f aca="false">IF(B992&lt;5,"Go","Standard")</f>
        <v>Standard</v>
      </c>
    </row>
    <row r="993" customFormat="false" ht="15" hidden="false" customHeight="true" outlineLevel="0" collapsed="false">
      <c r="A993" s="10" t="n">
        <f aca="false">Einstellungen!$B$5+INT((ROW()-9)/24)</f>
        <v>46007</v>
      </c>
      <c r="B993" s="11" t="n">
        <f aca="false">MOD(ROW()-9,24)</f>
        <v>0</v>
      </c>
      <c r="C993" s="12"/>
      <c r="D993" s="13" t="n">
        <f aca="false">IF(B993&lt;5,Einstellungen!$B$3,Einstellungen!$B$4)</f>
        <v>15.92</v>
      </c>
      <c r="E993" s="14" t="str">
        <f aca="false">IF(C993="","",C993*D993/100)</f>
        <v/>
      </c>
      <c r="F993" s="15" t="str">
        <f aca="false">IF(B993&lt;5,"Go","Standard")</f>
        <v>Go</v>
      </c>
    </row>
    <row r="994" customFormat="false" ht="15" hidden="false" customHeight="true" outlineLevel="0" collapsed="false">
      <c r="A994" s="10" t="n">
        <f aca="false">Einstellungen!$B$5+INT((ROW()-9)/24)</f>
        <v>46007</v>
      </c>
      <c r="B994" s="11" t="n">
        <f aca="false">MOD(ROW()-9,24)</f>
        <v>1</v>
      </c>
      <c r="C994" s="12"/>
      <c r="D994" s="13" t="n">
        <f aca="false">IF(B994&lt;5,Einstellungen!$B$3,Einstellungen!$B$4)</f>
        <v>15.92</v>
      </c>
      <c r="E994" s="14" t="str">
        <f aca="false">IF(C994="","",C994*D994/100)</f>
        <v/>
      </c>
      <c r="F994" s="15" t="str">
        <f aca="false">IF(B994&lt;5,"Go","Standard")</f>
        <v>Go</v>
      </c>
    </row>
    <row r="995" customFormat="false" ht="15" hidden="false" customHeight="true" outlineLevel="0" collapsed="false">
      <c r="A995" s="10" t="n">
        <f aca="false">Einstellungen!$B$5+INT((ROW()-9)/24)</f>
        <v>46007</v>
      </c>
      <c r="B995" s="11" t="n">
        <f aca="false">MOD(ROW()-9,24)</f>
        <v>2</v>
      </c>
      <c r="C995" s="12"/>
      <c r="D995" s="13" t="n">
        <f aca="false">IF(B995&lt;5,Einstellungen!$B$3,Einstellungen!$B$4)</f>
        <v>15.92</v>
      </c>
      <c r="E995" s="14" t="str">
        <f aca="false">IF(C995="","",C995*D995/100)</f>
        <v/>
      </c>
      <c r="F995" s="15" t="str">
        <f aca="false">IF(B995&lt;5,"Go","Standard")</f>
        <v>Go</v>
      </c>
    </row>
    <row r="996" customFormat="false" ht="15" hidden="false" customHeight="true" outlineLevel="0" collapsed="false">
      <c r="A996" s="10" t="n">
        <f aca="false">Einstellungen!$B$5+INT((ROW()-9)/24)</f>
        <v>46007</v>
      </c>
      <c r="B996" s="11" t="n">
        <f aca="false">MOD(ROW()-9,24)</f>
        <v>3</v>
      </c>
      <c r="C996" s="12"/>
      <c r="D996" s="13" t="n">
        <f aca="false">IF(B996&lt;5,Einstellungen!$B$3,Einstellungen!$B$4)</f>
        <v>15.92</v>
      </c>
      <c r="E996" s="14" t="str">
        <f aca="false">IF(C996="","",C996*D996/100)</f>
        <v/>
      </c>
      <c r="F996" s="15" t="str">
        <f aca="false">IF(B996&lt;5,"Go","Standard")</f>
        <v>Go</v>
      </c>
    </row>
    <row r="997" customFormat="false" ht="15" hidden="false" customHeight="true" outlineLevel="0" collapsed="false">
      <c r="A997" s="10" t="n">
        <f aca="false">Einstellungen!$B$5+INT((ROW()-9)/24)</f>
        <v>46007</v>
      </c>
      <c r="B997" s="11" t="n">
        <f aca="false">MOD(ROW()-9,24)</f>
        <v>4</v>
      </c>
      <c r="C997" s="12"/>
      <c r="D997" s="13" t="n">
        <f aca="false">IF(B997&lt;5,Einstellungen!$B$3,Einstellungen!$B$4)</f>
        <v>15.92</v>
      </c>
      <c r="E997" s="14" t="str">
        <f aca="false">IF(C997="","",C997*D997/100)</f>
        <v/>
      </c>
      <c r="F997" s="15" t="str">
        <f aca="false">IF(B997&lt;5,"Go","Standard")</f>
        <v>Go</v>
      </c>
    </row>
    <row r="998" customFormat="false" ht="15" hidden="false" customHeight="true" outlineLevel="0" collapsed="false">
      <c r="A998" s="10" t="n">
        <f aca="false">Einstellungen!$B$5+INT((ROW()-9)/24)</f>
        <v>46007</v>
      </c>
      <c r="B998" s="11" t="n">
        <f aca="false">MOD(ROW()-9,24)</f>
        <v>5</v>
      </c>
      <c r="C998" s="12"/>
      <c r="D998" s="13" t="n">
        <f aca="false">IF(B998&lt;5,Einstellungen!$B$3,Einstellungen!$B$4)</f>
        <v>29.13</v>
      </c>
      <c r="E998" s="14" t="str">
        <f aca="false">IF(C998="","",C998*D998/100)</f>
        <v/>
      </c>
      <c r="F998" s="15" t="str">
        <f aca="false">IF(B998&lt;5,"Go","Standard")</f>
        <v>Standard</v>
      </c>
    </row>
    <row r="999" customFormat="false" ht="15" hidden="false" customHeight="true" outlineLevel="0" collapsed="false">
      <c r="A999" s="10" t="n">
        <f aca="false">Einstellungen!$B$5+INT((ROW()-9)/24)</f>
        <v>46007</v>
      </c>
      <c r="B999" s="11" t="n">
        <f aca="false">MOD(ROW()-9,24)</f>
        <v>6</v>
      </c>
      <c r="C999" s="12"/>
      <c r="D999" s="13" t="n">
        <f aca="false">IF(B999&lt;5,Einstellungen!$B$3,Einstellungen!$B$4)</f>
        <v>29.13</v>
      </c>
      <c r="E999" s="14" t="str">
        <f aca="false">IF(C999="","",C999*D999/100)</f>
        <v/>
      </c>
      <c r="F999" s="15" t="str">
        <f aca="false">IF(B999&lt;5,"Go","Standard")</f>
        <v>Standard</v>
      </c>
    </row>
    <row r="1000" customFormat="false" ht="15" hidden="false" customHeight="true" outlineLevel="0" collapsed="false">
      <c r="A1000" s="10" t="n">
        <f aca="false">Einstellungen!$B$5+INT((ROW()-9)/24)</f>
        <v>46007</v>
      </c>
      <c r="B1000" s="11" t="n">
        <f aca="false">MOD(ROW()-9,24)</f>
        <v>7</v>
      </c>
      <c r="C1000" s="12"/>
      <c r="D1000" s="13" t="n">
        <f aca="false">IF(B1000&lt;5,Einstellungen!$B$3,Einstellungen!$B$4)</f>
        <v>29.13</v>
      </c>
      <c r="E1000" s="14" t="str">
        <f aca="false">IF(C1000="","",C1000*D1000/100)</f>
        <v/>
      </c>
      <c r="F1000" s="15" t="str">
        <f aca="false">IF(B1000&lt;5,"Go","Standard")</f>
        <v>Standard</v>
      </c>
    </row>
    <row r="1001" customFormat="false" ht="15" hidden="false" customHeight="true" outlineLevel="0" collapsed="false">
      <c r="A1001" s="10" t="n">
        <f aca="false">Einstellungen!$B$5+INT((ROW()-9)/24)</f>
        <v>46007</v>
      </c>
      <c r="B1001" s="11" t="n">
        <f aca="false">MOD(ROW()-9,24)</f>
        <v>8</v>
      </c>
      <c r="C1001" s="12"/>
      <c r="D1001" s="13" t="n">
        <f aca="false">IF(B1001&lt;5,Einstellungen!$B$3,Einstellungen!$B$4)</f>
        <v>29.13</v>
      </c>
      <c r="E1001" s="14" t="str">
        <f aca="false">IF(C1001="","",C1001*D1001/100)</f>
        <v/>
      </c>
      <c r="F1001" s="15" t="str">
        <f aca="false">IF(B1001&lt;5,"Go","Standard")</f>
        <v>Standard</v>
      </c>
    </row>
    <row r="1002" customFormat="false" ht="15" hidden="false" customHeight="true" outlineLevel="0" collapsed="false">
      <c r="A1002" s="10" t="n">
        <f aca="false">Einstellungen!$B$5+INT((ROW()-9)/24)</f>
        <v>46007</v>
      </c>
      <c r="B1002" s="11" t="n">
        <f aca="false">MOD(ROW()-9,24)</f>
        <v>9</v>
      </c>
      <c r="C1002" s="12"/>
      <c r="D1002" s="13" t="n">
        <f aca="false">IF(B1002&lt;5,Einstellungen!$B$3,Einstellungen!$B$4)</f>
        <v>29.13</v>
      </c>
      <c r="E1002" s="14" t="str">
        <f aca="false">IF(C1002="","",C1002*D1002/100)</f>
        <v/>
      </c>
      <c r="F1002" s="15" t="str">
        <f aca="false">IF(B1002&lt;5,"Go","Standard")</f>
        <v>Standard</v>
      </c>
    </row>
    <row r="1003" customFormat="false" ht="15" hidden="false" customHeight="true" outlineLevel="0" collapsed="false">
      <c r="A1003" s="10" t="n">
        <f aca="false">Einstellungen!$B$5+INT((ROW()-9)/24)</f>
        <v>46007</v>
      </c>
      <c r="B1003" s="11" t="n">
        <f aca="false">MOD(ROW()-9,24)</f>
        <v>10</v>
      </c>
      <c r="C1003" s="12"/>
      <c r="D1003" s="13" t="n">
        <f aca="false">IF(B1003&lt;5,Einstellungen!$B$3,Einstellungen!$B$4)</f>
        <v>29.13</v>
      </c>
      <c r="E1003" s="14" t="str">
        <f aca="false">IF(C1003="","",C1003*D1003/100)</f>
        <v/>
      </c>
      <c r="F1003" s="15" t="str">
        <f aca="false">IF(B1003&lt;5,"Go","Standard")</f>
        <v>Standard</v>
      </c>
    </row>
    <row r="1004" customFormat="false" ht="15" hidden="false" customHeight="true" outlineLevel="0" collapsed="false">
      <c r="A1004" s="10" t="n">
        <f aca="false">Einstellungen!$B$5+INT((ROW()-9)/24)</f>
        <v>46007</v>
      </c>
      <c r="B1004" s="11" t="n">
        <f aca="false">MOD(ROW()-9,24)</f>
        <v>11</v>
      </c>
      <c r="C1004" s="12"/>
      <c r="D1004" s="13" t="n">
        <f aca="false">IF(B1004&lt;5,Einstellungen!$B$3,Einstellungen!$B$4)</f>
        <v>29.13</v>
      </c>
      <c r="E1004" s="14" t="str">
        <f aca="false">IF(C1004="","",C1004*D1004/100)</f>
        <v/>
      </c>
      <c r="F1004" s="15" t="str">
        <f aca="false">IF(B1004&lt;5,"Go","Standard")</f>
        <v>Standard</v>
      </c>
    </row>
    <row r="1005" customFormat="false" ht="15" hidden="false" customHeight="true" outlineLevel="0" collapsed="false">
      <c r="A1005" s="10" t="n">
        <f aca="false">Einstellungen!$B$5+INT((ROW()-9)/24)</f>
        <v>46007</v>
      </c>
      <c r="B1005" s="11" t="n">
        <f aca="false">MOD(ROW()-9,24)</f>
        <v>12</v>
      </c>
      <c r="C1005" s="12"/>
      <c r="D1005" s="13" t="n">
        <f aca="false">IF(B1005&lt;5,Einstellungen!$B$3,Einstellungen!$B$4)</f>
        <v>29.13</v>
      </c>
      <c r="E1005" s="14" t="str">
        <f aca="false">IF(C1005="","",C1005*D1005/100)</f>
        <v/>
      </c>
      <c r="F1005" s="15" t="str">
        <f aca="false">IF(B1005&lt;5,"Go","Standard")</f>
        <v>Standard</v>
      </c>
    </row>
    <row r="1006" customFormat="false" ht="15" hidden="false" customHeight="true" outlineLevel="0" collapsed="false">
      <c r="A1006" s="10" t="n">
        <f aca="false">Einstellungen!$B$5+INT((ROW()-9)/24)</f>
        <v>46007</v>
      </c>
      <c r="B1006" s="11" t="n">
        <f aca="false">MOD(ROW()-9,24)</f>
        <v>13</v>
      </c>
      <c r="C1006" s="12"/>
      <c r="D1006" s="13" t="n">
        <f aca="false">IF(B1006&lt;5,Einstellungen!$B$3,Einstellungen!$B$4)</f>
        <v>29.13</v>
      </c>
      <c r="E1006" s="14" t="str">
        <f aca="false">IF(C1006="","",C1006*D1006/100)</f>
        <v/>
      </c>
      <c r="F1006" s="15" t="str">
        <f aca="false">IF(B1006&lt;5,"Go","Standard")</f>
        <v>Standard</v>
      </c>
    </row>
    <row r="1007" customFormat="false" ht="15" hidden="false" customHeight="true" outlineLevel="0" collapsed="false">
      <c r="A1007" s="10" t="n">
        <f aca="false">Einstellungen!$B$5+INT((ROW()-9)/24)</f>
        <v>46007</v>
      </c>
      <c r="B1007" s="11" t="n">
        <f aca="false">MOD(ROW()-9,24)</f>
        <v>14</v>
      </c>
      <c r="C1007" s="12"/>
      <c r="D1007" s="13" t="n">
        <f aca="false">IF(B1007&lt;5,Einstellungen!$B$3,Einstellungen!$B$4)</f>
        <v>29.13</v>
      </c>
      <c r="E1007" s="14" t="str">
        <f aca="false">IF(C1007="","",C1007*D1007/100)</f>
        <v/>
      </c>
      <c r="F1007" s="15" t="str">
        <f aca="false">IF(B1007&lt;5,"Go","Standard")</f>
        <v>Standard</v>
      </c>
    </row>
    <row r="1008" customFormat="false" ht="15" hidden="false" customHeight="true" outlineLevel="0" collapsed="false">
      <c r="A1008" s="10" t="n">
        <f aca="false">Einstellungen!$B$5+INT((ROW()-9)/24)</f>
        <v>46007</v>
      </c>
      <c r="B1008" s="11" t="n">
        <f aca="false">MOD(ROW()-9,24)</f>
        <v>15</v>
      </c>
      <c r="C1008" s="12"/>
      <c r="D1008" s="13" t="n">
        <f aca="false">IF(B1008&lt;5,Einstellungen!$B$3,Einstellungen!$B$4)</f>
        <v>29.13</v>
      </c>
      <c r="E1008" s="14" t="str">
        <f aca="false">IF(C1008="","",C1008*D1008/100)</f>
        <v/>
      </c>
      <c r="F1008" s="15" t="str">
        <f aca="false">IF(B1008&lt;5,"Go","Standard")</f>
        <v>Standard</v>
      </c>
    </row>
    <row r="1009" customFormat="false" ht="15" hidden="false" customHeight="true" outlineLevel="0" collapsed="false">
      <c r="A1009" s="10" t="n">
        <f aca="false">Einstellungen!$B$5+INT((ROW()-9)/24)</f>
        <v>46007</v>
      </c>
      <c r="B1009" s="11" t="n">
        <f aca="false">MOD(ROW()-9,24)</f>
        <v>16</v>
      </c>
      <c r="C1009" s="12"/>
      <c r="D1009" s="13" t="n">
        <f aca="false">IF(B1009&lt;5,Einstellungen!$B$3,Einstellungen!$B$4)</f>
        <v>29.13</v>
      </c>
      <c r="E1009" s="14" t="str">
        <f aca="false">IF(C1009="","",C1009*D1009/100)</f>
        <v/>
      </c>
      <c r="F1009" s="15" t="str">
        <f aca="false">IF(B1009&lt;5,"Go","Standard")</f>
        <v>Standard</v>
      </c>
    </row>
    <row r="1010" customFormat="false" ht="15" hidden="false" customHeight="true" outlineLevel="0" collapsed="false">
      <c r="A1010" s="10" t="n">
        <f aca="false">Einstellungen!$B$5+INT((ROW()-9)/24)</f>
        <v>46007</v>
      </c>
      <c r="B1010" s="11" t="n">
        <f aca="false">MOD(ROW()-9,24)</f>
        <v>17</v>
      </c>
      <c r="C1010" s="12"/>
      <c r="D1010" s="13" t="n">
        <f aca="false">IF(B1010&lt;5,Einstellungen!$B$3,Einstellungen!$B$4)</f>
        <v>29.13</v>
      </c>
      <c r="E1010" s="14" t="str">
        <f aca="false">IF(C1010="","",C1010*D1010/100)</f>
        <v/>
      </c>
      <c r="F1010" s="15" t="str">
        <f aca="false">IF(B1010&lt;5,"Go","Standard")</f>
        <v>Standard</v>
      </c>
    </row>
    <row r="1011" customFormat="false" ht="15" hidden="false" customHeight="true" outlineLevel="0" collapsed="false">
      <c r="A1011" s="10" t="n">
        <f aca="false">Einstellungen!$B$5+INT((ROW()-9)/24)</f>
        <v>46007</v>
      </c>
      <c r="B1011" s="11" t="n">
        <f aca="false">MOD(ROW()-9,24)</f>
        <v>18</v>
      </c>
      <c r="C1011" s="12"/>
      <c r="D1011" s="13" t="n">
        <f aca="false">IF(B1011&lt;5,Einstellungen!$B$3,Einstellungen!$B$4)</f>
        <v>29.13</v>
      </c>
      <c r="E1011" s="14" t="str">
        <f aca="false">IF(C1011="","",C1011*D1011/100)</f>
        <v/>
      </c>
      <c r="F1011" s="15" t="str">
        <f aca="false">IF(B1011&lt;5,"Go","Standard")</f>
        <v>Standard</v>
      </c>
    </row>
    <row r="1012" customFormat="false" ht="15" hidden="false" customHeight="true" outlineLevel="0" collapsed="false">
      <c r="A1012" s="10" t="n">
        <f aca="false">Einstellungen!$B$5+INT((ROW()-9)/24)</f>
        <v>46007</v>
      </c>
      <c r="B1012" s="11" t="n">
        <f aca="false">MOD(ROW()-9,24)</f>
        <v>19</v>
      </c>
      <c r="C1012" s="12"/>
      <c r="D1012" s="13" t="n">
        <f aca="false">IF(B1012&lt;5,Einstellungen!$B$3,Einstellungen!$B$4)</f>
        <v>29.13</v>
      </c>
      <c r="E1012" s="14" t="str">
        <f aca="false">IF(C1012="","",C1012*D1012/100)</f>
        <v/>
      </c>
      <c r="F1012" s="15" t="str">
        <f aca="false">IF(B1012&lt;5,"Go","Standard")</f>
        <v>Standard</v>
      </c>
    </row>
    <row r="1013" customFormat="false" ht="15" hidden="false" customHeight="true" outlineLevel="0" collapsed="false">
      <c r="A1013" s="10" t="n">
        <f aca="false">Einstellungen!$B$5+INT((ROW()-9)/24)</f>
        <v>46007</v>
      </c>
      <c r="B1013" s="11" t="n">
        <f aca="false">MOD(ROW()-9,24)</f>
        <v>20</v>
      </c>
      <c r="C1013" s="12"/>
      <c r="D1013" s="13" t="n">
        <f aca="false">IF(B1013&lt;5,Einstellungen!$B$3,Einstellungen!$B$4)</f>
        <v>29.13</v>
      </c>
      <c r="E1013" s="14" t="str">
        <f aca="false">IF(C1013="","",C1013*D1013/100)</f>
        <v/>
      </c>
      <c r="F1013" s="15" t="str">
        <f aca="false">IF(B1013&lt;5,"Go","Standard")</f>
        <v>Standard</v>
      </c>
    </row>
    <row r="1014" customFormat="false" ht="15" hidden="false" customHeight="true" outlineLevel="0" collapsed="false">
      <c r="A1014" s="10" t="n">
        <f aca="false">Einstellungen!$B$5+INT((ROW()-9)/24)</f>
        <v>46007</v>
      </c>
      <c r="B1014" s="11" t="n">
        <f aca="false">MOD(ROW()-9,24)</f>
        <v>21</v>
      </c>
      <c r="C1014" s="12"/>
      <c r="D1014" s="13" t="n">
        <f aca="false">IF(B1014&lt;5,Einstellungen!$B$3,Einstellungen!$B$4)</f>
        <v>29.13</v>
      </c>
      <c r="E1014" s="14" t="str">
        <f aca="false">IF(C1014="","",C1014*D1014/100)</f>
        <v/>
      </c>
      <c r="F1014" s="15" t="str">
        <f aca="false">IF(B1014&lt;5,"Go","Standard")</f>
        <v>Standard</v>
      </c>
    </row>
    <row r="1015" customFormat="false" ht="15" hidden="false" customHeight="true" outlineLevel="0" collapsed="false">
      <c r="A1015" s="10" t="n">
        <f aca="false">Einstellungen!$B$5+INT((ROW()-9)/24)</f>
        <v>46007</v>
      </c>
      <c r="B1015" s="11" t="n">
        <f aca="false">MOD(ROW()-9,24)</f>
        <v>22</v>
      </c>
      <c r="C1015" s="12"/>
      <c r="D1015" s="13" t="n">
        <f aca="false">IF(B1015&lt;5,Einstellungen!$B$3,Einstellungen!$B$4)</f>
        <v>29.13</v>
      </c>
      <c r="E1015" s="14" t="str">
        <f aca="false">IF(C1015="","",C1015*D1015/100)</f>
        <v/>
      </c>
      <c r="F1015" s="15" t="str">
        <f aca="false">IF(B1015&lt;5,"Go","Standard")</f>
        <v>Standard</v>
      </c>
    </row>
    <row r="1016" customFormat="false" ht="15" hidden="false" customHeight="true" outlineLevel="0" collapsed="false">
      <c r="A1016" s="10" t="n">
        <f aca="false">Einstellungen!$B$5+INT((ROW()-9)/24)</f>
        <v>46007</v>
      </c>
      <c r="B1016" s="11" t="n">
        <f aca="false">MOD(ROW()-9,24)</f>
        <v>23</v>
      </c>
      <c r="C1016" s="12"/>
      <c r="D1016" s="13" t="n">
        <f aca="false">IF(B1016&lt;5,Einstellungen!$B$3,Einstellungen!$B$4)</f>
        <v>29.13</v>
      </c>
      <c r="E1016" s="14" t="str">
        <f aca="false">IF(C1016="","",C1016*D1016/100)</f>
        <v/>
      </c>
      <c r="F1016" s="15" t="str">
        <f aca="false">IF(B1016&lt;5,"Go","Standard")</f>
        <v>Standard</v>
      </c>
    </row>
    <row r="1017" customFormat="false" ht="15" hidden="false" customHeight="true" outlineLevel="0" collapsed="false">
      <c r="A1017" s="10" t="n">
        <f aca="false">Einstellungen!$B$5+INT((ROW()-9)/24)</f>
        <v>46008</v>
      </c>
      <c r="B1017" s="11" t="n">
        <f aca="false">MOD(ROW()-9,24)</f>
        <v>0</v>
      </c>
      <c r="C1017" s="12"/>
      <c r="D1017" s="13" t="n">
        <f aca="false">IF(B1017&lt;5,Einstellungen!$B$3,Einstellungen!$B$4)</f>
        <v>15.92</v>
      </c>
      <c r="E1017" s="14" t="str">
        <f aca="false">IF(C1017="","",C1017*D1017/100)</f>
        <v/>
      </c>
      <c r="F1017" s="15" t="str">
        <f aca="false">IF(B1017&lt;5,"Go","Standard")</f>
        <v>Go</v>
      </c>
    </row>
    <row r="1018" customFormat="false" ht="15" hidden="false" customHeight="true" outlineLevel="0" collapsed="false">
      <c r="A1018" s="10" t="n">
        <f aca="false">Einstellungen!$B$5+INT((ROW()-9)/24)</f>
        <v>46008</v>
      </c>
      <c r="B1018" s="11" t="n">
        <f aca="false">MOD(ROW()-9,24)</f>
        <v>1</v>
      </c>
      <c r="C1018" s="12"/>
      <c r="D1018" s="13" t="n">
        <f aca="false">IF(B1018&lt;5,Einstellungen!$B$3,Einstellungen!$B$4)</f>
        <v>15.92</v>
      </c>
      <c r="E1018" s="14" t="str">
        <f aca="false">IF(C1018="","",C1018*D1018/100)</f>
        <v/>
      </c>
      <c r="F1018" s="15" t="str">
        <f aca="false">IF(B1018&lt;5,"Go","Standard")</f>
        <v>Go</v>
      </c>
    </row>
    <row r="1019" customFormat="false" ht="15" hidden="false" customHeight="true" outlineLevel="0" collapsed="false">
      <c r="A1019" s="10" t="n">
        <f aca="false">Einstellungen!$B$5+INT((ROW()-9)/24)</f>
        <v>46008</v>
      </c>
      <c r="B1019" s="11" t="n">
        <f aca="false">MOD(ROW()-9,24)</f>
        <v>2</v>
      </c>
      <c r="C1019" s="12"/>
      <c r="D1019" s="13" t="n">
        <f aca="false">IF(B1019&lt;5,Einstellungen!$B$3,Einstellungen!$B$4)</f>
        <v>15.92</v>
      </c>
      <c r="E1019" s="14" t="str">
        <f aca="false">IF(C1019="","",C1019*D1019/100)</f>
        <v/>
      </c>
      <c r="F1019" s="15" t="str">
        <f aca="false">IF(B1019&lt;5,"Go","Standard")</f>
        <v>Go</v>
      </c>
    </row>
    <row r="1020" customFormat="false" ht="15" hidden="false" customHeight="true" outlineLevel="0" collapsed="false">
      <c r="A1020" s="10" t="n">
        <f aca="false">Einstellungen!$B$5+INT((ROW()-9)/24)</f>
        <v>46008</v>
      </c>
      <c r="B1020" s="11" t="n">
        <f aca="false">MOD(ROW()-9,24)</f>
        <v>3</v>
      </c>
      <c r="C1020" s="12"/>
      <c r="D1020" s="13" t="n">
        <f aca="false">IF(B1020&lt;5,Einstellungen!$B$3,Einstellungen!$B$4)</f>
        <v>15.92</v>
      </c>
      <c r="E1020" s="14" t="str">
        <f aca="false">IF(C1020="","",C1020*D1020/100)</f>
        <v/>
      </c>
      <c r="F1020" s="15" t="str">
        <f aca="false">IF(B1020&lt;5,"Go","Standard")</f>
        <v>Go</v>
      </c>
    </row>
    <row r="1021" customFormat="false" ht="15" hidden="false" customHeight="true" outlineLevel="0" collapsed="false">
      <c r="A1021" s="10" t="n">
        <f aca="false">Einstellungen!$B$5+INT((ROW()-9)/24)</f>
        <v>46008</v>
      </c>
      <c r="B1021" s="11" t="n">
        <f aca="false">MOD(ROW()-9,24)</f>
        <v>4</v>
      </c>
      <c r="C1021" s="12"/>
      <c r="D1021" s="13" t="n">
        <f aca="false">IF(B1021&lt;5,Einstellungen!$B$3,Einstellungen!$B$4)</f>
        <v>15.92</v>
      </c>
      <c r="E1021" s="14" t="str">
        <f aca="false">IF(C1021="","",C1021*D1021/100)</f>
        <v/>
      </c>
      <c r="F1021" s="15" t="str">
        <f aca="false">IF(B1021&lt;5,"Go","Standard")</f>
        <v>Go</v>
      </c>
    </row>
    <row r="1022" customFormat="false" ht="15" hidden="false" customHeight="true" outlineLevel="0" collapsed="false">
      <c r="A1022" s="10" t="n">
        <f aca="false">Einstellungen!$B$5+INT((ROW()-9)/24)</f>
        <v>46008</v>
      </c>
      <c r="B1022" s="11" t="n">
        <f aca="false">MOD(ROW()-9,24)</f>
        <v>5</v>
      </c>
      <c r="C1022" s="12"/>
      <c r="D1022" s="13" t="n">
        <f aca="false">IF(B1022&lt;5,Einstellungen!$B$3,Einstellungen!$B$4)</f>
        <v>29.13</v>
      </c>
      <c r="E1022" s="14" t="str">
        <f aca="false">IF(C1022="","",C1022*D1022/100)</f>
        <v/>
      </c>
      <c r="F1022" s="15" t="str">
        <f aca="false">IF(B1022&lt;5,"Go","Standard")</f>
        <v>Standard</v>
      </c>
    </row>
    <row r="1023" customFormat="false" ht="15" hidden="false" customHeight="true" outlineLevel="0" collapsed="false">
      <c r="A1023" s="10" t="n">
        <f aca="false">Einstellungen!$B$5+INT((ROW()-9)/24)</f>
        <v>46008</v>
      </c>
      <c r="B1023" s="11" t="n">
        <f aca="false">MOD(ROW()-9,24)</f>
        <v>6</v>
      </c>
      <c r="C1023" s="12"/>
      <c r="D1023" s="13" t="n">
        <f aca="false">IF(B1023&lt;5,Einstellungen!$B$3,Einstellungen!$B$4)</f>
        <v>29.13</v>
      </c>
      <c r="E1023" s="14" t="str">
        <f aca="false">IF(C1023="","",C1023*D1023/100)</f>
        <v/>
      </c>
      <c r="F1023" s="15" t="str">
        <f aca="false">IF(B1023&lt;5,"Go","Standard")</f>
        <v>Standard</v>
      </c>
    </row>
    <row r="1024" customFormat="false" ht="15" hidden="false" customHeight="true" outlineLevel="0" collapsed="false">
      <c r="A1024" s="10" t="n">
        <f aca="false">Einstellungen!$B$5+INT((ROW()-9)/24)</f>
        <v>46008</v>
      </c>
      <c r="B1024" s="11" t="n">
        <f aca="false">MOD(ROW()-9,24)</f>
        <v>7</v>
      </c>
      <c r="C1024" s="12"/>
      <c r="D1024" s="13" t="n">
        <f aca="false">IF(B1024&lt;5,Einstellungen!$B$3,Einstellungen!$B$4)</f>
        <v>29.13</v>
      </c>
      <c r="E1024" s="14" t="str">
        <f aca="false">IF(C1024="","",C1024*D1024/100)</f>
        <v/>
      </c>
      <c r="F1024" s="15" t="str">
        <f aca="false">IF(B1024&lt;5,"Go","Standard")</f>
        <v>Standard</v>
      </c>
    </row>
    <row r="1025" customFormat="false" ht="15" hidden="false" customHeight="true" outlineLevel="0" collapsed="false">
      <c r="A1025" s="10" t="n">
        <f aca="false">Einstellungen!$B$5+INT((ROW()-9)/24)</f>
        <v>46008</v>
      </c>
      <c r="B1025" s="11" t="n">
        <f aca="false">MOD(ROW()-9,24)</f>
        <v>8</v>
      </c>
      <c r="C1025" s="12"/>
      <c r="D1025" s="13" t="n">
        <f aca="false">IF(B1025&lt;5,Einstellungen!$B$3,Einstellungen!$B$4)</f>
        <v>29.13</v>
      </c>
      <c r="E1025" s="14" t="str">
        <f aca="false">IF(C1025="","",C1025*D1025/100)</f>
        <v/>
      </c>
      <c r="F1025" s="15" t="str">
        <f aca="false">IF(B1025&lt;5,"Go","Standard")</f>
        <v>Standard</v>
      </c>
    </row>
    <row r="1026" customFormat="false" ht="15" hidden="false" customHeight="true" outlineLevel="0" collapsed="false">
      <c r="A1026" s="10" t="n">
        <f aca="false">Einstellungen!$B$5+INT((ROW()-9)/24)</f>
        <v>46008</v>
      </c>
      <c r="B1026" s="11" t="n">
        <f aca="false">MOD(ROW()-9,24)</f>
        <v>9</v>
      </c>
      <c r="C1026" s="12"/>
      <c r="D1026" s="13" t="n">
        <f aca="false">IF(B1026&lt;5,Einstellungen!$B$3,Einstellungen!$B$4)</f>
        <v>29.13</v>
      </c>
      <c r="E1026" s="14" t="str">
        <f aca="false">IF(C1026="","",C1026*D1026/100)</f>
        <v/>
      </c>
      <c r="F1026" s="15" t="str">
        <f aca="false">IF(B1026&lt;5,"Go","Standard")</f>
        <v>Standard</v>
      </c>
    </row>
    <row r="1027" customFormat="false" ht="15" hidden="false" customHeight="true" outlineLevel="0" collapsed="false">
      <c r="A1027" s="10" t="n">
        <f aca="false">Einstellungen!$B$5+INT((ROW()-9)/24)</f>
        <v>46008</v>
      </c>
      <c r="B1027" s="11" t="n">
        <f aca="false">MOD(ROW()-9,24)</f>
        <v>10</v>
      </c>
      <c r="C1027" s="12"/>
      <c r="D1027" s="13" t="n">
        <f aca="false">IF(B1027&lt;5,Einstellungen!$B$3,Einstellungen!$B$4)</f>
        <v>29.13</v>
      </c>
      <c r="E1027" s="14" t="str">
        <f aca="false">IF(C1027="","",C1027*D1027/100)</f>
        <v/>
      </c>
      <c r="F1027" s="15" t="str">
        <f aca="false">IF(B1027&lt;5,"Go","Standard")</f>
        <v>Standard</v>
      </c>
    </row>
    <row r="1028" customFormat="false" ht="15" hidden="false" customHeight="true" outlineLevel="0" collapsed="false">
      <c r="A1028" s="10" t="n">
        <f aca="false">Einstellungen!$B$5+INT((ROW()-9)/24)</f>
        <v>46008</v>
      </c>
      <c r="B1028" s="11" t="n">
        <f aca="false">MOD(ROW()-9,24)</f>
        <v>11</v>
      </c>
      <c r="C1028" s="12"/>
      <c r="D1028" s="13" t="n">
        <f aca="false">IF(B1028&lt;5,Einstellungen!$B$3,Einstellungen!$B$4)</f>
        <v>29.13</v>
      </c>
      <c r="E1028" s="14" t="str">
        <f aca="false">IF(C1028="","",C1028*D1028/100)</f>
        <v/>
      </c>
      <c r="F1028" s="15" t="str">
        <f aca="false">IF(B1028&lt;5,"Go","Standard")</f>
        <v>Standard</v>
      </c>
    </row>
    <row r="1029" customFormat="false" ht="15" hidden="false" customHeight="true" outlineLevel="0" collapsed="false">
      <c r="A1029" s="10" t="n">
        <f aca="false">Einstellungen!$B$5+INT((ROW()-9)/24)</f>
        <v>46008</v>
      </c>
      <c r="B1029" s="11" t="n">
        <f aca="false">MOD(ROW()-9,24)</f>
        <v>12</v>
      </c>
      <c r="C1029" s="12"/>
      <c r="D1029" s="13" t="n">
        <f aca="false">IF(B1029&lt;5,Einstellungen!$B$3,Einstellungen!$B$4)</f>
        <v>29.13</v>
      </c>
      <c r="E1029" s="14" t="str">
        <f aca="false">IF(C1029="","",C1029*D1029/100)</f>
        <v/>
      </c>
      <c r="F1029" s="15" t="str">
        <f aca="false">IF(B1029&lt;5,"Go","Standard")</f>
        <v>Standard</v>
      </c>
    </row>
    <row r="1030" customFormat="false" ht="15" hidden="false" customHeight="true" outlineLevel="0" collapsed="false">
      <c r="A1030" s="10" t="n">
        <f aca="false">Einstellungen!$B$5+INT((ROW()-9)/24)</f>
        <v>46008</v>
      </c>
      <c r="B1030" s="11" t="n">
        <f aca="false">MOD(ROW()-9,24)</f>
        <v>13</v>
      </c>
      <c r="C1030" s="12"/>
      <c r="D1030" s="13" t="n">
        <f aca="false">IF(B1030&lt;5,Einstellungen!$B$3,Einstellungen!$B$4)</f>
        <v>29.13</v>
      </c>
      <c r="E1030" s="14" t="str">
        <f aca="false">IF(C1030="","",C1030*D1030/100)</f>
        <v/>
      </c>
      <c r="F1030" s="15" t="str">
        <f aca="false">IF(B1030&lt;5,"Go","Standard")</f>
        <v>Standard</v>
      </c>
    </row>
    <row r="1031" customFormat="false" ht="15" hidden="false" customHeight="true" outlineLevel="0" collapsed="false">
      <c r="A1031" s="10" t="n">
        <f aca="false">Einstellungen!$B$5+INT((ROW()-9)/24)</f>
        <v>46008</v>
      </c>
      <c r="B1031" s="11" t="n">
        <f aca="false">MOD(ROW()-9,24)</f>
        <v>14</v>
      </c>
      <c r="C1031" s="12"/>
      <c r="D1031" s="13" t="n">
        <f aca="false">IF(B1031&lt;5,Einstellungen!$B$3,Einstellungen!$B$4)</f>
        <v>29.13</v>
      </c>
      <c r="E1031" s="14" t="str">
        <f aca="false">IF(C1031="","",C1031*D1031/100)</f>
        <v/>
      </c>
      <c r="F1031" s="15" t="str">
        <f aca="false">IF(B1031&lt;5,"Go","Standard")</f>
        <v>Standard</v>
      </c>
    </row>
    <row r="1032" customFormat="false" ht="15" hidden="false" customHeight="true" outlineLevel="0" collapsed="false">
      <c r="A1032" s="10" t="n">
        <f aca="false">Einstellungen!$B$5+INT((ROW()-9)/24)</f>
        <v>46008</v>
      </c>
      <c r="B1032" s="11" t="n">
        <f aca="false">MOD(ROW()-9,24)</f>
        <v>15</v>
      </c>
      <c r="C1032" s="12"/>
      <c r="D1032" s="13" t="n">
        <f aca="false">IF(B1032&lt;5,Einstellungen!$B$3,Einstellungen!$B$4)</f>
        <v>29.13</v>
      </c>
      <c r="E1032" s="14" t="str">
        <f aca="false">IF(C1032="","",C1032*D1032/100)</f>
        <v/>
      </c>
      <c r="F1032" s="15" t="str">
        <f aca="false">IF(B1032&lt;5,"Go","Standard")</f>
        <v>Standard</v>
      </c>
    </row>
    <row r="1033" customFormat="false" ht="15" hidden="false" customHeight="true" outlineLevel="0" collapsed="false">
      <c r="A1033" s="10" t="n">
        <f aca="false">Einstellungen!$B$5+INT((ROW()-9)/24)</f>
        <v>46008</v>
      </c>
      <c r="B1033" s="11" t="n">
        <f aca="false">MOD(ROW()-9,24)</f>
        <v>16</v>
      </c>
      <c r="C1033" s="12"/>
      <c r="D1033" s="13" t="n">
        <f aca="false">IF(B1033&lt;5,Einstellungen!$B$3,Einstellungen!$B$4)</f>
        <v>29.13</v>
      </c>
      <c r="E1033" s="14" t="str">
        <f aca="false">IF(C1033="","",C1033*D1033/100)</f>
        <v/>
      </c>
      <c r="F1033" s="15" t="str">
        <f aca="false">IF(B1033&lt;5,"Go","Standard")</f>
        <v>Standard</v>
      </c>
    </row>
    <row r="1034" customFormat="false" ht="15" hidden="false" customHeight="true" outlineLevel="0" collapsed="false">
      <c r="A1034" s="10" t="n">
        <f aca="false">Einstellungen!$B$5+INT((ROW()-9)/24)</f>
        <v>46008</v>
      </c>
      <c r="B1034" s="11" t="n">
        <f aca="false">MOD(ROW()-9,24)</f>
        <v>17</v>
      </c>
      <c r="C1034" s="12"/>
      <c r="D1034" s="13" t="n">
        <f aca="false">IF(B1034&lt;5,Einstellungen!$B$3,Einstellungen!$B$4)</f>
        <v>29.13</v>
      </c>
      <c r="E1034" s="14" t="str">
        <f aca="false">IF(C1034="","",C1034*D1034/100)</f>
        <v/>
      </c>
      <c r="F1034" s="15" t="str">
        <f aca="false">IF(B1034&lt;5,"Go","Standard")</f>
        <v>Standard</v>
      </c>
    </row>
    <row r="1035" customFormat="false" ht="15" hidden="false" customHeight="true" outlineLevel="0" collapsed="false">
      <c r="A1035" s="10" t="n">
        <f aca="false">Einstellungen!$B$5+INT((ROW()-9)/24)</f>
        <v>46008</v>
      </c>
      <c r="B1035" s="11" t="n">
        <f aca="false">MOD(ROW()-9,24)</f>
        <v>18</v>
      </c>
      <c r="C1035" s="12"/>
      <c r="D1035" s="13" t="n">
        <f aca="false">IF(B1035&lt;5,Einstellungen!$B$3,Einstellungen!$B$4)</f>
        <v>29.13</v>
      </c>
      <c r="E1035" s="14" t="str">
        <f aca="false">IF(C1035="","",C1035*D1035/100)</f>
        <v/>
      </c>
      <c r="F1035" s="15" t="str">
        <f aca="false">IF(B1035&lt;5,"Go","Standard")</f>
        <v>Standard</v>
      </c>
    </row>
    <row r="1036" customFormat="false" ht="15" hidden="false" customHeight="true" outlineLevel="0" collapsed="false">
      <c r="A1036" s="10" t="n">
        <f aca="false">Einstellungen!$B$5+INT((ROW()-9)/24)</f>
        <v>46008</v>
      </c>
      <c r="B1036" s="11" t="n">
        <f aca="false">MOD(ROW()-9,24)</f>
        <v>19</v>
      </c>
      <c r="C1036" s="12"/>
      <c r="D1036" s="13" t="n">
        <f aca="false">IF(B1036&lt;5,Einstellungen!$B$3,Einstellungen!$B$4)</f>
        <v>29.13</v>
      </c>
      <c r="E1036" s="14" t="str">
        <f aca="false">IF(C1036="","",C1036*D1036/100)</f>
        <v/>
      </c>
      <c r="F1036" s="15" t="str">
        <f aca="false">IF(B1036&lt;5,"Go","Standard")</f>
        <v>Standard</v>
      </c>
    </row>
    <row r="1037" customFormat="false" ht="15" hidden="false" customHeight="true" outlineLevel="0" collapsed="false">
      <c r="A1037" s="10" t="n">
        <f aca="false">Einstellungen!$B$5+INT((ROW()-9)/24)</f>
        <v>46008</v>
      </c>
      <c r="B1037" s="11" t="n">
        <f aca="false">MOD(ROW()-9,24)</f>
        <v>20</v>
      </c>
      <c r="C1037" s="12"/>
      <c r="D1037" s="13" t="n">
        <f aca="false">IF(B1037&lt;5,Einstellungen!$B$3,Einstellungen!$B$4)</f>
        <v>29.13</v>
      </c>
      <c r="E1037" s="14" t="str">
        <f aca="false">IF(C1037="","",C1037*D1037/100)</f>
        <v/>
      </c>
      <c r="F1037" s="15" t="str">
        <f aca="false">IF(B1037&lt;5,"Go","Standard")</f>
        <v>Standard</v>
      </c>
    </row>
    <row r="1038" customFormat="false" ht="15" hidden="false" customHeight="true" outlineLevel="0" collapsed="false">
      <c r="A1038" s="10" t="n">
        <f aca="false">Einstellungen!$B$5+INT((ROW()-9)/24)</f>
        <v>46008</v>
      </c>
      <c r="B1038" s="11" t="n">
        <f aca="false">MOD(ROW()-9,24)</f>
        <v>21</v>
      </c>
      <c r="C1038" s="12"/>
      <c r="D1038" s="13" t="n">
        <f aca="false">IF(B1038&lt;5,Einstellungen!$B$3,Einstellungen!$B$4)</f>
        <v>29.13</v>
      </c>
      <c r="E1038" s="14" t="str">
        <f aca="false">IF(C1038="","",C1038*D1038/100)</f>
        <v/>
      </c>
      <c r="F1038" s="15" t="str">
        <f aca="false">IF(B1038&lt;5,"Go","Standard")</f>
        <v>Standard</v>
      </c>
    </row>
    <row r="1039" customFormat="false" ht="15" hidden="false" customHeight="true" outlineLevel="0" collapsed="false">
      <c r="A1039" s="10" t="n">
        <f aca="false">Einstellungen!$B$5+INT((ROW()-9)/24)</f>
        <v>46008</v>
      </c>
      <c r="B1039" s="11" t="n">
        <f aca="false">MOD(ROW()-9,24)</f>
        <v>22</v>
      </c>
      <c r="C1039" s="12"/>
      <c r="D1039" s="13" t="n">
        <f aca="false">IF(B1039&lt;5,Einstellungen!$B$3,Einstellungen!$B$4)</f>
        <v>29.13</v>
      </c>
      <c r="E1039" s="14" t="str">
        <f aca="false">IF(C1039="","",C1039*D1039/100)</f>
        <v/>
      </c>
      <c r="F1039" s="15" t="str">
        <f aca="false">IF(B1039&lt;5,"Go","Standard")</f>
        <v>Standard</v>
      </c>
    </row>
    <row r="1040" customFormat="false" ht="15" hidden="false" customHeight="true" outlineLevel="0" collapsed="false">
      <c r="A1040" s="10" t="n">
        <f aca="false">Einstellungen!$B$5+INT((ROW()-9)/24)</f>
        <v>46008</v>
      </c>
      <c r="B1040" s="11" t="n">
        <f aca="false">MOD(ROW()-9,24)</f>
        <v>23</v>
      </c>
      <c r="C1040" s="12"/>
      <c r="D1040" s="13" t="n">
        <f aca="false">IF(B1040&lt;5,Einstellungen!$B$3,Einstellungen!$B$4)</f>
        <v>29.13</v>
      </c>
      <c r="E1040" s="14" t="str">
        <f aca="false">IF(C1040="","",C1040*D1040/100)</f>
        <v/>
      </c>
      <c r="F1040" s="15" t="str">
        <f aca="false">IF(B1040&lt;5,"Go","Standard")</f>
        <v>Standard</v>
      </c>
    </row>
    <row r="1041" customFormat="false" ht="15" hidden="false" customHeight="true" outlineLevel="0" collapsed="false">
      <c r="A1041" s="10" t="n">
        <f aca="false">Einstellungen!$B$5+INT((ROW()-9)/24)</f>
        <v>46009</v>
      </c>
      <c r="B1041" s="11" t="n">
        <f aca="false">MOD(ROW()-9,24)</f>
        <v>0</v>
      </c>
      <c r="C1041" s="12"/>
      <c r="D1041" s="13" t="n">
        <f aca="false">IF(B1041&lt;5,Einstellungen!$B$3,Einstellungen!$B$4)</f>
        <v>15.92</v>
      </c>
      <c r="E1041" s="14" t="str">
        <f aca="false">IF(C1041="","",C1041*D1041/100)</f>
        <v/>
      </c>
      <c r="F1041" s="15" t="str">
        <f aca="false">IF(B1041&lt;5,"Go","Standard")</f>
        <v>Go</v>
      </c>
    </row>
    <row r="1042" customFormat="false" ht="15" hidden="false" customHeight="true" outlineLevel="0" collapsed="false">
      <c r="A1042" s="10" t="n">
        <f aca="false">Einstellungen!$B$5+INT((ROW()-9)/24)</f>
        <v>46009</v>
      </c>
      <c r="B1042" s="11" t="n">
        <f aca="false">MOD(ROW()-9,24)</f>
        <v>1</v>
      </c>
      <c r="C1042" s="12"/>
      <c r="D1042" s="13" t="n">
        <f aca="false">IF(B1042&lt;5,Einstellungen!$B$3,Einstellungen!$B$4)</f>
        <v>15.92</v>
      </c>
      <c r="E1042" s="14" t="str">
        <f aca="false">IF(C1042="","",C1042*D1042/100)</f>
        <v/>
      </c>
      <c r="F1042" s="15" t="str">
        <f aca="false">IF(B1042&lt;5,"Go","Standard")</f>
        <v>Go</v>
      </c>
    </row>
    <row r="1043" customFormat="false" ht="15" hidden="false" customHeight="true" outlineLevel="0" collapsed="false">
      <c r="A1043" s="10" t="n">
        <f aca="false">Einstellungen!$B$5+INT((ROW()-9)/24)</f>
        <v>46009</v>
      </c>
      <c r="B1043" s="11" t="n">
        <f aca="false">MOD(ROW()-9,24)</f>
        <v>2</v>
      </c>
      <c r="C1043" s="12"/>
      <c r="D1043" s="13" t="n">
        <f aca="false">IF(B1043&lt;5,Einstellungen!$B$3,Einstellungen!$B$4)</f>
        <v>15.92</v>
      </c>
      <c r="E1043" s="14" t="str">
        <f aca="false">IF(C1043="","",C1043*D1043/100)</f>
        <v/>
      </c>
      <c r="F1043" s="15" t="str">
        <f aca="false">IF(B1043&lt;5,"Go","Standard")</f>
        <v>Go</v>
      </c>
    </row>
    <row r="1044" customFormat="false" ht="15" hidden="false" customHeight="true" outlineLevel="0" collapsed="false">
      <c r="A1044" s="10" t="n">
        <f aca="false">Einstellungen!$B$5+INT((ROW()-9)/24)</f>
        <v>46009</v>
      </c>
      <c r="B1044" s="11" t="n">
        <f aca="false">MOD(ROW()-9,24)</f>
        <v>3</v>
      </c>
      <c r="C1044" s="12"/>
      <c r="D1044" s="13" t="n">
        <f aca="false">IF(B1044&lt;5,Einstellungen!$B$3,Einstellungen!$B$4)</f>
        <v>15.92</v>
      </c>
      <c r="E1044" s="14" t="str">
        <f aca="false">IF(C1044="","",C1044*D1044/100)</f>
        <v/>
      </c>
      <c r="F1044" s="15" t="str">
        <f aca="false">IF(B1044&lt;5,"Go","Standard")</f>
        <v>Go</v>
      </c>
    </row>
    <row r="1045" customFormat="false" ht="15" hidden="false" customHeight="true" outlineLevel="0" collapsed="false">
      <c r="A1045" s="10" t="n">
        <f aca="false">Einstellungen!$B$5+INT((ROW()-9)/24)</f>
        <v>46009</v>
      </c>
      <c r="B1045" s="11" t="n">
        <f aca="false">MOD(ROW()-9,24)</f>
        <v>4</v>
      </c>
      <c r="C1045" s="12"/>
      <c r="D1045" s="13" t="n">
        <f aca="false">IF(B1045&lt;5,Einstellungen!$B$3,Einstellungen!$B$4)</f>
        <v>15.92</v>
      </c>
      <c r="E1045" s="14" t="str">
        <f aca="false">IF(C1045="","",C1045*D1045/100)</f>
        <v/>
      </c>
      <c r="F1045" s="15" t="str">
        <f aca="false">IF(B1045&lt;5,"Go","Standard")</f>
        <v>Go</v>
      </c>
    </row>
    <row r="1046" customFormat="false" ht="15" hidden="false" customHeight="true" outlineLevel="0" collapsed="false">
      <c r="A1046" s="10" t="n">
        <f aca="false">Einstellungen!$B$5+INT((ROW()-9)/24)</f>
        <v>46009</v>
      </c>
      <c r="B1046" s="11" t="n">
        <f aca="false">MOD(ROW()-9,24)</f>
        <v>5</v>
      </c>
      <c r="C1046" s="12"/>
      <c r="D1046" s="13" t="n">
        <f aca="false">IF(B1046&lt;5,Einstellungen!$B$3,Einstellungen!$B$4)</f>
        <v>29.13</v>
      </c>
      <c r="E1046" s="14" t="str">
        <f aca="false">IF(C1046="","",C1046*D1046/100)</f>
        <v/>
      </c>
      <c r="F1046" s="15" t="str">
        <f aca="false">IF(B1046&lt;5,"Go","Standard")</f>
        <v>Standard</v>
      </c>
    </row>
    <row r="1047" customFormat="false" ht="15" hidden="false" customHeight="true" outlineLevel="0" collapsed="false">
      <c r="A1047" s="10" t="n">
        <f aca="false">Einstellungen!$B$5+INT((ROW()-9)/24)</f>
        <v>46009</v>
      </c>
      <c r="B1047" s="11" t="n">
        <f aca="false">MOD(ROW()-9,24)</f>
        <v>6</v>
      </c>
      <c r="C1047" s="12"/>
      <c r="D1047" s="13" t="n">
        <f aca="false">IF(B1047&lt;5,Einstellungen!$B$3,Einstellungen!$B$4)</f>
        <v>29.13</v>
      </c>
      <c r="E1047" s="14" t="str">
        <f aca="false">IF(C1047="","",C1047*D1047/100)</f>
        <v/>
      </c>
      <c r="F1047" s="15" t="str">
        <f aca="false">IF(B1047&lt;5,"Go","Standard")</f>
        <v>Standard</v>
      </c>
    </row>
    <row r="1048" customFormat="false" ht="15" hidden="false" customHeight="true" outlineLevel="0" collapsed="false">
      <c r="A1048" s="10" t="n">
        <f aca="false">Einstellungen!$B$5+INT((ROW()-9)/24)</f>
        <v>46009</v>
      </c>
      <c r="B1048" s="11" t="n">
        <f aca="false">MOD(ROW()-9,24)</f>
        <v>7</v>
      </c>
      <c r="C1048" s="12"/>
      <c r="D1048" s="13" t="n">
        <f aca="false">IF(B1048&lt;5,Einstellungen!$B$3,Einstellungen!$B$4)</f>
        <v>29.13</v>
      </c>
      <c r="E1048" s="14" t="str">
        <f aca="false">IF(C1048="","",C1048*D1048/100)</f>
        <v/>
      </c>
      <c r="F1048" s="15" t="str">
        <f aca="false">IF(B1048&lt;5,"Go","Standard")</f>
        <v>Standard</v>
      </c>
    </row>
    <row r="1049" customFormat="false" ht="15" hidden="false" customHeight="true" outlineLevel="0" collapsed="false">
      <c r="A1049" s="10" t="n">
        <f aca="false">Einstellungen!$B$5+INT((ROW()-9)/24)</f>
        <v>46009</v>
      </c>
      <c r="B1049" s="11" t="n">
        <f aca="false">MOD(ROW()-9,24)</f>
        <v>8</v>
      </c>
      <c r="C1049" s="12"/>
      <c r="D1049" s="13" t="n">
        <f aca="false">IF(B1049&lt;5,Einstellungen!$B$3,Einstellungen!$B$4)</f>
        <v>29.13</v>
      </c>
      <c r="E1049" s="14" t="str">
        <f aca="false">IF(C1049="","",C1049*D1049/100)</f>
        <v/>
      </c>
      <c r="F1049" s="15" t="str">
        <f aca="false">IF(B1049&lt;5,"Go","Standard")</f>
        <v>Standard</v>
      </c>
    </row>
    <row r="1050" customFormat="false" ht="15" hidden="false" customHeight="true" outlineLevel="0" collapsed="false">
      <c r="A1050" s="10" t="n">
        <f aca="false">Einstellungen!$B$5+INT((ROW()-9)/24)</f>
        <v>46009</v>
      </c>
      <c r="B1050" s="11" t="n">
        <f aca="false">MOD(ROW()-9,24)</f>
        <v>9</v>
      </c>
      <c r="C1050" s="12"/>
      <c r="D1050" s="13" t="n">
        <f aca="false">IF(B1050&lt;5,Einstellungen!$B$3,Einstellungen!$B$4)</f>
        <v>29.13</v>
      </c>
      <c r="E1050" s="14" t="str">
        <f aca="false">IF(C1050="","",C1050*D1050/100)</f>
        <v/>
      </c>
      <c r="F1050" s="15" t="str">
        <f aca="false">IF(B1050&lt;5,"Go","Standard")</f>
        <v>Standard</v>
      </c>
    </row>
    <row r="1051" customFormat="false" ht="15" hidden="false" customHeight="true" outlineLevel="0" collapsed="false">
      <c r="A1051" s="10" t="n">
        <f aca="false">Einstellungen!$B$5+INT((ROW()-9)/24)</f>
        <v>46009</v>
      </c>
      <c r="B1051" s="11" t="n">
        <f aca="false">MOD(ROW()-9,24)</f>
        <v>10</v>
      </c>
      <c r="C1051" s="12"/>
      <c r="D1051" s="13" t="n">
        <f aca="false">IF(B1051&lt;5,Einstellungen!$B$3,Einstellungen!$B$4)</f>
        <v>29.13</v>
      </c>
      <c r="E1051" s="14" t="str">
        <f aca="false">IF(C1051="","",C1051*D1051/100)</f>
        <v/>
      </c>
      <c r="F1051" s="15" t="str">
        <f aca="false">IF(B1051&lt;5,"Go","Standard")</f>
        <v>Standard</v>
      </c>
    </row>
    <row r="1052" customFormat="false" ht="15" hidden="false" customHeight="true" outlineLevel="0" collapsed="false">
      <c r="A1052" s="10" t="n">
        <f aca="false">Einstellungen!$B$5+INT((ROW()-9)/24)</f>
        <v>46009</v>
      </c>
      <c r="B1052" s="11" t="n">
        <f aca="false">MOD(ROW()-9,24)</f>
        <v>11</v>
      </c>
      <c r="C1052" s="12"/>
      <c r="D1052" s="13" t="n">
        <f aca="false">IF(B1052&lt;5,Einstellungen!$B$3,Einstellungen!$B$4)</f>
        <v>29.13</v>
      </c>
      <c r="E1052" s="14" t="str">
        <f aca="false">IF(C1052="","",C1052*D1052/100)</f>
        <v/>
      </c>
      <c r="F1052" s="15" t="str">
        <f aca="false">IF(B1052&lt;5,"Go","Standard")</f>
        <v>Standard</v>
      </c>
    </row>
    <row r="1053" customFormat="false" ht="15" hidden="false" customHeight="true" outlineLevel="0" collapsed="false">
      <c r="A1053" s="10" t="n">
        <f aca="false">Einstellungen!$B$5+INT((ROW()-9)/24)</f>
        <v>46009</v>
      </c>
      <c r="B1053" s="11" t="n">
        <f aca="false">MOD(ROW()-9,24)</f>
        <v>12</v>
      </c>
      <c r="C1053" s="12"/>
      <c r="D1053" s="13" t="n">
        <f aca="false">IF(B1053&lt;5,Einstellungen!$B$3,Einstellungen!$B$4)</f>
        <v>29.13</v>
      </c>
      <c r="E1053" s="14" t="str">
        <f aca="false">IF(C1053="","",C1053*D1053/100)</f>
        <v/>
      </c>
      <c r="F1053" s="15" t="str">
        <f aca="false">IF(B1053&lt;5,"Go","Standard")</f>
        <v>Standard</v>
      </c>
    </row>
    <row r="1054" customFormat="false" ht="15" hidden="false" customHeight="true" outlineLevel="0" collapsed="false">
      <c r="A1054" s="10" t="n">
        <f aca="false">Einstellungen!$B$5+INT((ROW()-9)/24)</f>
        <v>46009</v>
      </c>
      <c r="B1054" s="11" t="n">
        <f aca="false">MOD(ROW()-9,24)</f>
        <v>13</v>
      </c>
      <c r="C1054" s="12"/>
      <c r="D1054" s="13" t="n">
        <f aca="false">IF(B1054&lt;5,Einstellungen!$B$3,Einstellungen!$B$4)</f>
        <v>29.13</v>
      </c>
      <c r="E1054" s="14" t="str">
        <f aca="false">IF(C1054="","",C1054*D1054/100)</f>
        <v/>
      </c>
      <c r="F1054" s="15" t="str">
        <f aca="false">IF(B1054&lt;5,"Go","Standard")</f>
        <v>Standard</v>
      </c>
    </row>
    <row r="1055" customFormat="false" ht="15" hidden="false" customHeight="true" outlineLevel="0" collapsed="false">
      <c r="A1055" s="10" t="n">
        <f aca="false">Einstellungen!$B$5+INT((ROW()-9)/24)</f>
        <v>46009</v>
      </c>
      <c r="B1055" s="11" t="n">
        <f aca="false">MOD(ROW()-9,24)</f>
        <v>14</v>
      </c>
      <c r="C1055" s="12"/>
      <c r="D1055" s="13" t="n">
        <f aca="false">IF(B1055&lt;5,Einstellungen!$B$3,Einstellungen!$B$4)</f>
        <v>29.13</v>
      </c>
      <c r="E1055" s="14" t="str">
        <f aca="false">IF(C1055="","",C1055*D1055/100)</f>
        <v/>
      </c>
      <c r="F1055" s="15" t="str">
        <f aca="false">IF(B1055&lt;5,"Go","Standard")</f>
        <v>Standard</v>
      </c>
    </row>
    <row r="1056" customFormat="false" ht="15" hidden="false" customHeight="true" outlineLevel="0" collapsed="false">
      <c r="A1056" s="10" t="n">
        <f aca="false">Einstellungen!$B$5+INT((ROW()-9)/24)</f>
        <v>46009</v>
      </c>
      <c r="B1056" s="11" t="n">
        <f aca="false">MOD(ROW()-9,24)</f>
        <v>15</v>
      </c>
      <c r="C1056" s="12"/>
      <c r="D1056" s="13" t="n">
        <f aca="false">IF(B1056&lt;5,Einstellungen!$B$3,Einstellungen!$B$4)</f>
        <v>29.13</v>
      </c>
      <c r="E1056" s="14" t="str">
        <f aca="false">IF(C1056="","",C1056*D1056/100)</f>
        <v/>
      </c>
      <c r="F1056" s="15" t="str">
        <f aca="false">IF(B1056&lt;5,"Go","Standard")</f>
        <v>Standard</v>
      </c>
    </row>
    <row r="1057" customFormat="false" ht="15" hidden="false" customHeight="true" outlineLevel="0" collapsed="false">
      <c r="A1057" s="10" t="n">
        <f aca="false">Einstellungen!$B$5+INT((ROW()-9)/24)</f>
        <v>46009</v>
      </c>
      <c r="B1057" s="11" t="n">
        <f aca="false">MOD(ROW()-9,24)</f>
        <v>16</v>
      </c>
      <c r="C1057" s="12"/>
      <c r="D1057" s="13" t="n">
        <f aca="false">IF(B1057&lt;5,Einstellungen!$B$3,Einstellungen!$B$4)</f>
        <v>29.13</v>
      </c>
      <c r="E1057" s="14" t="str">
        <f aca="false">IF(C1057="","",C1057*D1057/100)</f>
        <v/>
      </c>
      <c r="F1057" s="15" t="str">
        <f aca="false">IF(B1057&lt;5,"Go","Standard")</f>
        <v>Standard</v>
      </c>
    </row>
    <row r="1058" customFormat="false" ht="15" hidden="false" customHeight="true" outlineLevel="0" collapsed="false">
      <c r="A1058" s="10" t="n">
        <f aca="false">Einstellungen!$B$5+INT((ROW()-9)/24)</f>
        <v>46009</v>
      </c>
      <c r="B1058" s="11" t="n">
        <f aca="false">MOD(ROW()-9,24)</f>
        <v>17</v>
      </c>
      <c r="C1058" s="12"/>
      <c r="D1058" s="13" t="n">
        <f aca="false">IF(B1058&lt;5,Einstellungen!$B$3,Einstellungen!$B$4)</f>
        <v>29.13</v>
      </c>
      <c r="E1058" s="14" t="str">
        <f aca="false">IF(C1058="","",C1058*D1058/100)</f>
        <v/>
      </c>
      <c r="F1058" s="15" t="str">
        <f aca="false">IF(B1058&lt;5,"Go","Standard")</f>
        <v>Standard</v>
      </c>
    </row>
    <row r="1059" customFormat="false" ht="15" hidden="false" customHeight="true" outlineLevel="0" collapsed="false">
      <c r="A1059" s="10" t="n">
        <f aca="false">Einstellungen!$B$5+INT((ROW()-9)/24)</f>
        <v>46009</v>
      </c>
      <c r="B1059" s="11" t="n">
        <f aca="false">MOD(ROW()-9,24)</f>
        <v>18</v>
      </c>
      <c r="C1059" s="12"/>
      <c r="D1059" s="13" t="n">
        <f aca="false">IF(B1059&lt;5,Einstellungen!$B$3,Einstellungen!$B$4)</f>
        <v>29.13</v>
      </c>
      <c r="E1059" s="14" t="str">
        <f aca="false">IF(C1059="","",C1059*D1059/100)</f>
        <v/>
      </c>
      <c r="F1059" s="15" t="str">
        <f aca="false">IF(B1059&lt;5,"Go","Standard")</f>
        <v>Standard</v>
      </c>
    </row>
    <row r="1060" customFormat="false" ht="15" hidden="false" customHeight="true" outlineLevel="0" collapsed="false">
      <c r="A1060" s="10" t="n">
        <f aca="false">Einstellungen!$B$5+INT((ROW()-9)/24)</f>
        <v>46009</v>
      </c>
      <c r="B1060" s="11" t="n">
        <f aca="false">MOD(ROW()-9,24)</f>
        <v>19</v>
      </c>
      <c r="C1060" s="12"/>
      <c r="D1060" s="13" t="n">
        <f aca="false">IF(B1060&lt;5,Einstellungen!$B$3,Einstellungen!$B$4)</f>
        <v>29.13</v>
      </c>
      <c r="E1060" s="14" t="str">
        <f aca="false">IF(C1060="","",C1060*D1060/100)</f>
        <v/>
      </c>
      <c r="F1060" s="15" t="str">
        <f aca="false">IF(B1060&lt;5,"Go","Standard")</f>
        <v>Standard</v>
      </c>
    </row>
    <row r="1061" customFormat="false" ht="15" hidden="false" customHeight="true" outlineLevel="0" collapsed="false">
      <c r="A1061" s="10" t="n">
        <f aca="false">Einstellungen!$B$5+INT((ROW()-9)/24)</f>
        <v>46009</v>
      </c>
      <c r="B1061" s="11" t="n">
        <f aca="false">MOD(ROW()-9,24)</f>
        <v>20</v>
      </c>
      <c r="C1061" s="12"/>
      <c r="D1061" s="13" t="n">
        <f aca="false">IF(B1061&lt;5,Einstellungen!$B$3,Einstellungen!$B$4)</f>
        <v>29.13</v>
      </c>
      <c r="E1061" s="14" t="str">
        <f aca="false">IF(C1061="","",C1061*D1061/100)</f>
        <v/>
      </c>
      <c r="F1061" s="15" t="str">
        <f aca="false">IF(B1061&lt;5,"Go","Standard")</f>
        <v>Standard</v>
      </c>
    </row>
    <row r="1062" customFormat="false" ht="15" hidden="false" customHeight="true" outlineLevel="0" collapsed="false">
      <c r="A1062" s="10" t="n">
        <f aca="false">Einstellungen!$B$5+INT((ROW()-9)/24)</f>
        <v>46009</v>
      </c>
      <c r="B1062" s="11" t="n">
        <f aca="false">MOD(ROW()-9,24)</f>
        <v>21</v>
      </c>
      <c r="C1062" s="12"/>
      <c r="D1062" s="13" t="n">
        <f aca="false">IF(B1062&lt;5,Einstellungen!$B$3,Einstellungen!$B$4)</f>
        <v>29.13</v>
      </c>
      <c r="E1062" s="14" t="str">
        <f aca="false">IF(C1062="","",C1062*D1062/100)</f>
        <v/>
      </c>
      <c r="F1062" s="15" t="str">
        <f aca="false">IF(B1062&lt;5,"Go","Standard")</f>
        <v>Standard</v>
      </c>
    </row>
    <row r="1063" customFormat="false" ht="15" hidden="false" customHeight="true" outlineLevel="0" collapsed="false">
      <c r="A1063" s="10" t="n">
        <f aca="false">Einstellungen!$B$5+INT((ROW()-9)/24)</f>
        <v>46009</v>
      </c>
      <c r="B1063" s="11" t="n">
        <f aca="false">MOD(ROW()-9,24)</f>
        <v>22</v>
      </c>
      <c r="C1063" s="12"/>
      <c r="D1063" s="13" t="n">
        <f aca="false">IF(B1063&lt;5,Einstellungen!$B$3,Einstellungen!$B$4)</f>
        <v>29.13</v>
      </c>
      <c r="E1063" s="14" t="str">
        <f aca="false">IF(C1063="","",C1063*D1063/100)</f>
        <v/>
      </c>
      <c r="F1063" s="15" t="str">
        <f aca="false">IF(B1063&lt;5,"Go","Standard")</f>
        <v>Standard</v>
      </c>
    </row>
    <row r="1064" customFormat="false" ht="15" hidden="false" customHeight="true" outlineLevel="0" collapsed="false">
      <c r="A1064" s="10" t="n">
        <f aca="false">Einstellungen!$B$5+INT((ROW()-9)/24)</f>
        <v>46009</v>
      </c>
      <c r="B1064" s="11" t="n">
        <f aca="false">MOD(ROW()-9,24)</f>
        <v>23</v>
      </c>
      <c r="C1064" s="12"/>
      <c r="D1064" s="13" t="n">
        <f aca="false">IF(B1064&lt;5,Einstellungen!$B$3,Einstellungen!$B$4)</f>
        <v>29.13</v>
      </c>
      <c r="E1064" s="14" t="str">
        <f aca="false">IF(C1064="","",C1064*D1064/100)</f>
        <v/>
      </c>
      <c r="F1064" s="15" t="str">
        <f aca="false">IF(B1064&lt;5,"Go","Standard")</f>
        <v>Standard</v>
      </c>
    </row>
    <row r="1065" customFormat="false" ht="15" hidden="false" customHeight="true" outlineLevel="0" collapsed="false">
      <c r="A1065" s="10" t="n">
        <f aca="false">Einstellungen!$B$5+INT((ROW()-9)/24)</f>
        <v>46010</v>
      </c>
      <c r="B1065" s="11" t="n">
        <f aca="false">MOD(ROW()-9,24)</f>
        <v>0</v>
      </c>
      <c r="C1065" s="12"/>
      <c r="D1065" s="13" t="n">
        <f aca="false">IF(B1065&lt;5,Einstellungen!$B$3,Einstellungen!$B$4)</f>
        <v>15.92</v>
      </c>
      <c r="E1065" s="14" t="str">
        <f aca="false">IF(C1065="","",C1065*D1065/100)</f>
        <v/>
      </c>
      <c r="F1065" s="15" t="str">
        <f aca="false">IF(B1065&lt;5,"Go","Standard")</f>
        <v>Go</v>
      </c>
    </row>
    <row r="1066" customFormat="false" ht="15" hidden="false" customHeight="true" outlineLevel="0" collapsed="false">
      <c r="A1066" s="10" t="n">
        <f aca="false">Einstellungen!$B$5+INT((ROW()-9)/24)</f>
        <v>46010</v>
      </c>
      <c r="B1066" s="11" t="n">
        <f aca="false">MOD(ROW()-9,24)</f>
        <v>1</v>
      </c>
      <c r="C1066" s="12"/>
      <c r="D1066" s="13" t="n">
        <f aca="false">IF(B1066&lt;5,Einstellungen!$B$3,Einstellungen!$B$4)</f>
        <v>15.92</v>
      </c>
      <c r="E1066" s="14" t="str">
        <f aca="false">IF(C1066="","",C1066*D1066/100)</f>
        <v/>
      </c>
      <c r="F1066" s="15" t="str">
        <f aca="false">IF(B1066&lt;5,"Go","Standard")</f>
        <v>Go</v>
      </c>
    </row>
    <row r="1067" customFormat="false" ht="15" hidden="false" customHeight="true" outlineLevel="0" collapsed="false">
      <c r="A1067" s="10" t="n">
        <f aca="false">Einstellungen!$B$5+INT((ROW()-9)/24)</f>
        <v>46010</v>
      </c>
      <c r="B1067" s="11" t="n">
        <f aca="false">MOD(ROW()-9,24)</f>
        <v>2</v>
      </c>
      <c r="C1067" s="12"/>
      <c r="D1067" s="13" t="n">
        <f aca="false">IF(B1067&lt;5,Einstellungen!$B$3,Einstellungen!$B$4)</f>
        <v>15.92</v>
      </c>
      <c r="E1067" s="14" t="str">
        <f aca="false">IF(C1067="","",C1067*D1067/100)</f>
        <v/>
      </c>
      <c r="F1067" s="15" t="str">
        <f aca="false">IF(B1067&lt;5,"Go","Standard")</f>
        <v>Go</v>
      </c>
    </row>
    <row r="1068" customFormat="false" ht="15" hidden="false" customHeight="true" outlineLevel="0" collapsed="false">
      <c r="A1068" s="10" t="n">
        <f aca="false">Einstellungen!$B$5+INT((ROW()-9)/24)</f>
        <v>46010</v>
      </c>
      <c r="B1068" s="11" t="n">
        <f aca="false">MOD(ROW()-9,24)</f>
        <v>3</v>
      </c>
      <c r="C1068" s="12"/>
      <c r="D1068" s="13" t="n">
        <f aca="false">IF(B1068&lt;5,Einstellungen!$B$3,Einstellungen!$B$4)</f>
        <v>15.92</v>
      </c>
      <c r="E1068" s="14" t="str">
        <f aca="false">IF(C1068="","",C1068*D1068/100)</f>
        <v/>
      </c>
      <c r="F1068" s="15" t="str">
        <f aca="false">IF(B1068&lt;5,"Go","Standard")</f>
        <v>Go</v>
      </c>
    </row>
    <row r="1069" customFormat="false" ht="15" hidden="false" customHeight="true" outlineLevel="0" collapsed="false">
      <c r="A1069" s="10" t="n">
        <f aca="false">Einstellungen!$B$5+INT((ROW()-9)/24)</f>
        <v>46010</v>
      </c>
      <c r="B1069" s="11" t="n">
        <f aca="false">MOD(ROW()-9,24)</f>
        <v>4</v>
      </c>
      <c r="C1069" s="12"/>
      <c r="D1069" s="13" t="n">
        <f aca="false">IF(B1069&lt;5,Einstellungen!$B$3,Einstellungen!$B$4)</f>
        <v>15.92</v>
      </c>
      <c r="E1069" s="14" t="str">
        <f aca="false">IF(C1069="","",C1069*D1069/100)</f>
        <v/>
      </c>
      <c r="F1069" s="15" t="str">
        <f aca="false">IF(B1069&lt;5,"Go","Standard")</f>
        <v>Go</v>
      </c>
    </row>
    <row r="1070" customFormat="false" ht="15" hidden="false" customHeight="true" outlineLevel="0" collapsed="false">
      <c r="A1070" s="10" t="n">
        <f aca="false">Einstellungen!$B$5+INT((ROW()-9)/24)</f>
        <v>46010</v>
      </c>
      <c r="B1070" s="11" t="n">
        <f aca="false">MOD(ROW()-9,24)</f>
        <v>5</v>
      </c>
      <c r="C1070" s="12"/>
      <c r="D1070" s="13" t="n">
        <f aca="false">IF(B1070&lt;5,Einstellungen!$B$3,Einstellungen!$B$4)</f>
        <v>29.13</v>
      </c>
      <c r="E1070" s="14" t="str">
        <f aca="false">IF(C1070="","",C1070*D1070/100)</f>
        <v/>
      </c>
      <c r="F1070" s="15" t="str">
        <f aca="false">IF(B1070&lt;5,"Go","Standard")</f>
        <v>Standard</v>
      </c>
    </row>
    <row r="1071" customFormat="false" ht="15" hidden="false" customHeight="true" outlineLevel="0" collapsed="false">
      <c r="A1071" s="10" t="n">
        <f aca="false">Einstellungen!$B$5+INT((ROW()-9)/24)</f>
        <v>46010</v>
      </c>
      <c r="B1071" s="11" t="n">
        <f aca="false">MOD(ROW()-9,24)</f>
        <v>6</v>
      </c>
      <c r="C1071" s="12"/>
      <c r="D1071" s="13" t="n">
        <f aca="false">IF(B1071&lt;5,Einstellungen!$B$3,Einstellungen!$B$4)</f>
        <v>29.13</v>
      </c>
      <c r="E1071" s="14" t="str">
        <f aca="false">IF(C1071="","",C1071*D1071/100)</f>
        <v/>
      </c>
      <c r="F1071" s="15" t="str">
        <f aca="false">IF(B1071&lt;5,"Go","Standard")</f>
        <v>Standard</v>
      </c>
    </row>
    <row r="1072" customFormat="false" ht="15" hidden="false" customHeight="true" outlineLevel="0" collapsed="false">
      <c r="A1072" s="10" t="n">
        <f aca="false">Einstellungen!$B$5+INT((ROW()-9)/24)</f>
        <v>46010</v>
      </c>
      <c r="B1072" s="11" t="n">
        <f aca="false">MOD(ROW()-9,24)</f>
        <v>7</v>
      </c>
      <c r="C1072" s="12"/>
      <c r="D1072" s="13" t="n">
        <f aca="false">IF(B1072&lt;5,Einstellungen!$B$3,Einstellungen!$B$4)</f>
        <v>29.13</v>
      </c>
      <c r="E1072" s="14" t="str">
        <f aca="false">IF(C1072="","",C1072*D1072/100)</f>
        <v/>
      </c>
      <c r="F1072" s="15" t="str">
        <f aca="false">IF(B1072&lt;5,"Go","Standard")</f>
        <v>Standard</v>
      </c>
    </row>
    <row r="1073" customFormat="false" ht="15" hidden="false" customHeight="true" outlineLevel="0" collapsed="false">
      <c r="A1073" s="10" t="n">
        <f aca="false">Einstellungen!$B$5+INT((ROW()-9)/24)</f>
        <v>46010</v>
      </c>
      <c r="B1073" s="11" t="n">
        <f aca="false">MOD(ROW()-9,24)</f>
        <v>8</v>
      </c>
      <c r="C1073" s="12"/>
      <c r="D1073" s="13" t="n">
        <f aca="false">IF(B1073&lt;5,Einstellungen!$B$3,Einstellungen!$B$4)</f>
        <v>29.13</v>
      </c>
      <c r="E1073" s="14" t="str">
        <f aca="false">IF(C1073="","",C1073*D1073/100)</f>
        <v/>
      </c>
      <c r="F1073" s="15" t="str">
        <f aca="false">IF(B1073&lt;5,"Go","Standard")</f>
        <v>Standard</v>
      </c>
    </row>
    <row r="1074" customFormat="false" ht="15" hidden="false" customHeight="true" outlineLevel="0" collapsed="false">
      <c r="A1074" s="10" t="n">
        <f aca="false">Einstellungen!$B$5+INT((ROW()-9)/24)</f>
        <v>46010</v>
      </c>
      <c r="B1074" s="11" t="n">
        <f aca="false">MOD(ROW()-9,24)</f>
        <v>9</v>
      </c>
      <c r="C1074" s="12"/>
      <c r="D1074" s="13" t="n">
        <f aca="false">IF(B1074&lt;5,Einstellungen!$B$3,Einstellungen!$B$4)</f>
        <v>29.13</v>
      </c>
      <c r="E1074" s="14" t="str">
        <f aca="false">IF(C1074="","",C1074*D1074/100)</f>
        <v/>
      </c>
      <c r="F1074" s="15" t="str">
        <f aca="false">IF(B1074&lt;5,"Go","Standard")</f>
        <v>Standard</v>
      </c>
    </row>
    <row r="1075" customFormat="false" ht="15" hidden="false" customHeight="true" outlineLevel="0" collapsed="false">
      <c r="A1075" s="10" t="n">
        <f aca="false">Einstellungen!$B$5+INT((ROW()-9)/24)</f>
        <v>46010</v>
      </c>
      <c r="B1075" s="11" t="n">
        <f aca="false">MOD(ROW()-9,24)</f>
        <v>10</v>
      </c>
      <c r="C1075" s="12"/>
      <c r="D1075" s="13" t="n">
        <f aca="false">IF(B1075&lt;5,Einstellungen!$B$3,Einstellungen!$B$4)</f>
        <v>29.13</v>
      </c>
      <c r="E1075" s="14" t="str">
        <f aca="false">IF(C1075="","",C1075*D1075/100)</f>
        <v/>
      </c>
      <c r="F1075" s="15" t="str">
        <f aca="false">IF(B1075&lt;5,"Go","Standard")</f>
        <v>Standard</v>
      </c>
    </row>
    <row r="1076" customFormat="false" ht="15" hidden="false" customHeight="true" outlineLevel="0" collapsed="false">
      <c r="A1076" s="10" t="n">
        <f aca="false">Einstellungen!$B$5+INT((ROW()-9)/24)</f>
        <v>46010</v>
      </c>
      <c r="B1076" s="11" t="n">
        <f aca="false">MOD(ROW()-9,24)</f>
        <v>11</v>
      </c>
      <c r="C1076" s="12"/>
      <c r="D1076" s="13" t="n">
        <f aca="false">IF(B1076&lt;5,Einstellungen!$B$3,Einstellungen!$B$4)</f>
        <v>29.13</v>
      </c>
      <c r="E1076" s="14" t="str">
        <f aca="false">IF(C1076="","",C1076*D1076/100)</f>
        <v/>
      </c>
      <c r="F1076" s="15" t="str">
        <f aca="false">IF(B1076&lt;5,"Go","Standard")</f>
        <v>Standard</v>
      </c>
    </row>
    <row r="1077" customFormat="false" ht="15" hidden="false" customHeight="true" outlineLevel="0" collapsed="false">
      <c r="A1077" s="10" t="n">
        <f aca="false">Einstellungen!$B$5+INT((ROW()-9)/24)</f>
        <v>46010</v>
      </c>
      <c r="B1077" s="11" t="n">
        <f aca="false">MOD(ROW()-9,24)</f>
        <v>12</v>
      </c>
      <c r="C1077" s="12"/>
      <c r="D1077" s="13" t="n">
        <f aca="false">IF(B1077&lt;5,Einstellungen!$B$3,Einstellungen!$B$4)</f>
        <v>29.13</v>
      </c>
      <c r="E1077" s="14" t="str">
        <f aca="false">IF(C1077="","",C1077*D1077/100)</f>
        <v/>
      </c>
      <c r="F1077" s="15" t="str">
        <f aca="false">IF(B1077&lt;5,"Go","Standard")</f>
        <v>Standard</v>
      </c>
    </row>
    <row r="1078" customFormat="false" ht="15" hidden="false" customHeight="true" outlineLevel="0" collapsed="false">
      <c r="A1078" s="10" t="n">
        <f aca="false">Einstellungen!$B$5+INT((ROW()-9)/24)</f>
        <v>46010</v>
      </c>
      <c r="B1078" s="11" t="n">
        <f aca="false">MOD(ROW()-9,24)</f>
        <v>13</v>
      </c>
      <c r="C1078" s="12"/>
      <c r="D1078" s="13" t="n">
        <f aca="false">IF(B1078&lt;5,Einstellungen!$B$3,Einstellungen!$B$4)</f>
        <v>29.13</v>
      </c>
      <c r="E1078" s="14" t="str">
        <f aca="false">IF(C1078="","",C1078*D1078/100)</f>
        <v/>
      </c>
      <c r="F1078" s="15" t="str">
        <f aca="false">IF(B1078&lt;5,"Go","Standard")</f>
        <v>Standard</v>
      </c>
    </row>
    <row r="1079" customFormat="false" ht="15" hidden="false" customHeight="true" outlineLevel="0" collapsed="false">
      <c r="A1079" s="10" t="n">
        <f aca="false">Einstellungen!$B$5+INT((ROW()-9)/24)</f>
        <v>46010</v>
      </c>
      <c r="B1079" s="11" t="n">
        <f aca="false">MOD(ROW()-9,24)</f>
        <v>14</v>
      </c>
      <c r="C1079" s="12"/>
      <c r="D1079" s="13" t="n">
        <f aca="false">IF(B1079&lt;5,Einstellungen!$B$3,Einstellungen!$B$4)</f>
        <v>29.13</v>
      </c>
      <c r="E1079" s="14" t="str">
        <f aca="false">IF(C1079="","",C1079*D1079/100)</f>
        <v/>
      </c>
      <c r="F1079" s="15" t="str">
        <f aca="false">IF(B1079&lt;5,"Go","Standard")</f>
        <v>Standard</v>
      </c>
    </row>
    <row r="1080" customFormat="false" ht="15" hidden="false" customHeight="true" outlineLevel="0" collapsed="false">
      <c r="A1080" s="10" t="n">
        <f aca="false">Einstellungen!$B$5+INT((ROW()-9)/24)</f>
        <v>46010</v>
      </c>
      <c r="B1080" s="11" t="n">
        <f aca="false">MOD(ROW()-9,24)</f>
        <v>15</v>
      </c>
      <c r="C1080" s="12"/>
      <c r="D1080" s="13" t="n">
        <f aca="false">IF(B1080&lt;5,Einstellungen!$B$3,Einstellungen!$B$4)</f>
        <v>29.13</v>
      </c>
      <c r="E1080" s="14" t="str">
        <f aca="false">IF(C1080="","",C1080*D1080/100)</f>
        <v/>
      </c>
      <c r="F1080" s="15" t="str">
        <f aca="false">IF(B1080&lt;5,"Go","Standard")</f>
        <v>Standard</v>
      </c>
    </row>
    <row r="1081" customFormat="false" ht="15" hidden="false" customHeight="true" outlineLevel="0" collapsed="false">
      <c r="A1081" s="10" t="n">
        <f aca="false">Einstellungen!$B$5+INT((ROW()-9)/24)</f>
        <v>46010</v>
      </c>
      <c r="B1081" s="11" t="n">
        <f aca="false">MOD(ROW()-9,24)</f>
        <v>16</v>
      </c>
      <c r="C1081" s="12"/>
      <c r="D1081" s="13" t="n">
        <f aca="false">IF(B1081&lt;5,Einstellungen!$B$3,Einstellungen!$B$4)</f>
        <v>29.13</v>
      </c>
      <c r="E1081" s="14" t="str">
        <f aca="false">IF(C1081="","",C1081*D1081/100)</f>
        <v/>
      </c>
      <c r="F1081" s="15" t="str">
        <f aca="false">IF(B1081&lt;5,"Go","Standard")</f>
        <v>Standard</v>
      </c>
    </row>
    <row r="1082" customFormat="false" ht="15" hidden="false" customHeight="true" outlineLevel="0" collapsed="false">
      <c r="A1082" s="10" t="n">
        <f aca="false">Einstellungen!$B$5+INT((ROW()-9)/24)</f>
        <v>46010</v>
      </c>
      <c r="B1082" s="11" t="n">
        <f aca="false">MOD(ROW()-9,24)</f>
        <v>17</v>
      </c>
      <c r="C1082" s="12"/>
      <c r="D1082" s="13" t="n">
        <f aca="false">IF(B1082&lt;5,Einstellungen!$B$3,Einstellungen!$B$4)</f>
        <v>29.13</v>
      </c>
      <c r="E1082" s="14" t="str">
        <f aca="false">IF(C1082="","",C1082*D1082/100)</f>
        <v/>
      </c>
      <c r="F1082" s="15" t="str">
        <f aca="false">IF(B1082&lt;5,"Go","Standard")</f>
        <v>Standard</v>
      </c>
    </row>
    <row r="1083" customFormat="false" ht="15" hidden="false" customHeight="true" outlineLevel="0" collapsed="false">
      <c r="A1083" s="10" t="n">
        <f aca="false">Einstellungen!$B$5+INT((ROW()-9)/24)</f>
        <v>46010</v>
      </c>
      <c r="B1083" s="11" t="n">
        <f aca="false">MOD(ROW()-9,24)</f>
        <v>18</v>
      </c>
      <c r="C1083" s="12"/>
      <c r="D1083" s="13" t="n">
        <f aca="false">IF(B1083&lt;5,Einstellungen!$B$3,Einstellungen!$B$4)</f>
        <v>29.13</v>
      </c>
      <c r="E1083" s="14" t="str">
        <f aca="false">IF(C1083="","",C1083*D1083/100)</f>
        <v/>
      </c>
      <c r="F1083" s="15" t="str">
        <f aca="false">IF(B1083&lt;5,"Go","Standard")</f>
        <v>Standard</v>
      </c>
    </row>
    <row r="1084" customFormat="false" ht="15" hidden="false" customHeight="true" outlineLevel="0" collapsed="false">
      <c r="A1084" s="10" t="n">
        <f aca="false">Einstellungen!$B$5+INT((ROW()-9)/24)</f>
        <v>46010</v>
      </c>
      <c r="B1084" s="11" t="n">
        <f aca="false">MOD(ROW()-9,24)</f>
        <v>19</v>
      </c>
      <c r="C1084" s="12"/>
      <c r="D1084" s="13" t="n">
        <f aca="false">IF(B1084&lt;5,Einstellungen!$B$3,Einstellungen!$B$4)</f>
        <v>29.13</v>
      </c>
      <c r="E1084" s="14" t="str">
        <f aca="false">IF(C1084="","",C1084*D1084/100)</f>
        <v/>
      </c>
      <c r="F1084" s="15" t="str">
        <f aca="false">IF(B1084&lt;5,"Go","Standard")</f>
        <v>Standard</v>
      </c>
    </row>
    <row r="1085" customFormat="false" ht="15" hidden="false" customHeight="true" outlineLevel="0" collapsed="false">
      <c r="A1085" s="10" t="n">
        <f aca="false">Einstellungen!$B$5+INT((ROW()-9)/24)</f>
        <v>46010</v>
      </c>
      <c r="B1085" s="11" t="n">
        <f aca="false">MOD(ROW()-9,24)</f>
        <v>20</v>
      </c>
      <c r="C1085" s="12"/>
      <c r="D1085" s="13" t="n">
        <f aca="false">IF(B1085&lt;5,Einstellungen!$B$3,Einstellungen!$B$4)</f>
        <v>29.13</v>
      </c>
      <c r="E1085" s="14" t="str">
        <f aca="false">IF(C1085="","",C1085*D1085/100)</f>
        <v/>
      </c>
      <c r="F1085" s="15" t="str">
        <f aca="false">IF(B1085&lt;5,"Go","Standard")</f>
        <v>Standard</v>
      </c>
    </row>
    <row r="1086" customFormat="false" ht="15" hidden="false" customHeight="true" outlineLevel="0" collapsed="false">
      <c r="A1086" s="10" t="n">
        <f aca="false">Einstellungen!$B$5+INT((ROW()-9)/24)</f>
        <v>46010</v>
      </c>
      <c r="B1086" s="11" t="n">
        <f aca="false">MOD(ROW()-9,24)</f>
        <v>21</v>
      </c>
      <c r="C1086" s="12"/>
      <c r="D1086" s="13" t="n">
        <f aca="false">IF(B1086&lt;5,Einstellungen!$B$3,Einstellungen!$B$4)</f>
        <v>29.13</v>
      </c>
      <c r="E1086" s="14" t="str">
        <f aca="false">IF(C1086="","",C1086*D1086/100)</f>
        <v/>
      </c>
      <c r="F1086" s="15" t="str">
        <f aca="false">IF(B1086&lt;5,"Go","Standard")</f>
        <v>Standard</v>
      </c>
    </row>
    <row r="1087" customFormat="false" ht="15" hidden="false" customHeight="true" outlineLevel="0" collapsed="false">
      <c r="A1087" s="10" t="n">
        <f aca="false">Einstellungen!$B$5+INT((ROW()-9)/24)</f>
        <v>46010</v>
      </c>
      <c r="B1087" s="11" t="n">
        <f aca="false">MOD(ROW()-9,24)</f>
        <v>22</v>
      </c>
      <c r="C1087" s="12"/>
      <c r="D1087" s="13" t="n">
        <f aca="false">IF(B1087&lt;5,Einstellungen!$B$3,Einstellungen!$B$4)</f>
        <v>29.13</v>
      </c>
      <c r="E1087" s="14" t="str">
        <f aca="false">IF(C1087="","",C1087*D1087/100)</f>
        <v/>
      </c>
      <c r="F1087" s="15" t="str">
        <f aca="false">IF(B1087&lt;5,"Go","Standard")</f>
        <v>Standard</v>
      </c>
    </row>
    <row r="1088" customFormat="false" ht="15" hidden="false" customHeight="true" outlineLevel="0" collapsed="false">
      <c r="A1088" s="10" t="n">
        <f aca="false">Einstellungen!$B$5+INT((ROW()-9)/24)</f>
        <v>46010</v>
      </c>
      <c r="B1088" s="11" t="n">
        <f aca="false">MOD(ROW()-9,24)</f>
        <v>23</v>
      </c>
      <c r="C1088" s="12"/>
      <c r="D1088" s="13" t="n">
        <f aca="false">IF(B1088&lt;5,Einstellungen!$B$3,Einstellungen!$B$4)</f>
        <v>29.13</v>
      </c>
      <c r="E1088" s="14" t="str">
        <f aca="false">IF(C1088="","",C1088*D1088/100)</f>
        <v/>
      </c>
      <c r="F1088" s="15" t="str">
        <f aca="false">IF(B1088&lt;5,"Go","Standard")</f>
        <v>Standard</v>
      </c>
    </row>
    <row r="1089" customFormat="false" ht="15" hidden="false" customHeight="true" outlineLevel="0" collapsed="false">
      <c r="A1089" s="10" t="n">
        <f aca="false">Einstellungen!$B$5+INT((ROW()-9)/24)</f>
        <v>46011</v>
      </c>
      <c r="B1089" s="11" t="n">
        <f aca="false">MOD(ROW()-9,24)</f>
        <v>0</v>
      </c>
      <c r="C1089" s="12"/>
      <c r="D1089" s="13" t="n">
        <f aca="false">IF(B1089&lt;5,Einstellungen!$B$3,Einstellungen!$B$4)</f>
        <v>15.92</v>
      </c>
      <c r="E1089" s="14" t="str">
        <f aca="false">IF(C1089="","",C1089*D1089/100)</f>
        <v/>
      </c>
      <c r="F1089" s="15" t="str">
        <f aca="false">IF(B1089&lt;5,"Go","Standard")</f>
        <v>Go</v>
      </c>
    </row>
    <row r="1090" customFormat="false" ht="15" hidden="false" customHeight="true" outlineLevel="0" collapsed="false">
      <c r="A1090" s="10" t="n">
        <f aca="false">Einstellungen!$B$5+INT((ROW()-9)/24)</f>
        <v>46011</v>
      </c>
      <c r="B1090" s="11" t="n">
        <f aca="false">MOD(ROW()-9,24)</f>
        <v>1</v>
      </c>
      <c r="C1090" s="12"/>
      <c r="D1090" s="13" t="n">
        <f aca="false">IF(B1090&lt;5,Einstellungen!$B$3,Einstellungen!$B$4)</f>
        <v>15.92</v>
      </c>
      <c r="E1090" s="14" t="str">
        <f aca="false">IF(C1090="","",C1090*D1090/100)</f>
        <v/>
      </c>
      <c r="F1090" s="15" t="str">
        <f aca="false">IF(B1090&lt;5,"Go","Standard")</f>
        <v>Go</v>
      </c>
    </row>
    <row r="1091" customFormat="false" ht="15" hidden="false" customHeight="true" outlineLevel="0" collapsed="false">
      <c r="A1091" s="10" t="n">
        <f aca="false">Einstellungen!$B$5+INT((ROW()-9)/24)</f>
        <v>46011</v>
      </c>
      <c r="B1091" s="11" t="n">
        <f aca="false">MOD(ROW()-9,24)</f>
        <v>2</v>
      </c>
      <c r="C1091" s="12"/>
      <c r="D1091" s="13" t="n">
        <f aca="false">IF(B1091&lt;5,Einstellungen!$B$3,Einstellungen!$B$4)</f>
        <v>15.92</v>
      </c>
      <c r="E1091" s="14" t="str">
        <f aca="false">IF(C1091="","",C1091*D1091/100)</f>
        <v/>
      </c>
      <c r="F1091" s="15" t="str">
        <f aca="false">IF(B1091&lt;5,"Go","Standard")</f>
        <v>Go</v>
      </c>
    </row>
    <row r="1092" customFormat="false" ht="15" hidden="false" customHeight="true" outlineLevel="0" collapsed="false">
      <c r="A1092" s="10" t="n">
        <f aca="false">Einstellungen!$B$5+INT((ROW()-9)/24)</f>
        <v>46011</v>
      </c>
      <c r="B1092" s="11" t="n">
        <f aca="false">MOD(ROW()-9,24)</f>
        <v>3</v>
      </c>
      <c r="C1092" s="12"/>
      <c r="D1092" s="13" t="n">
        <f aca="false">IF(B1092&lt;5,Einstellungen!$B$3,Einstellungen!$B$4)</f>
        <v>15.92</v>
      </c>
      <c r="E1092" s="14" t="str">
        <f aca="false">IF(C1092="","",C1092*D1092/100)</f>
        <v/>
      </c>
      <c r="F1092" s="15" t="str">
        <f aca="false">IF(B1092&lt;5,"Go","Standard")</f>
        <v>Go</v>
      </c>
    </row>
    <row r="1093" customFormat="false" ht="15" hidden="false" customHeight="true" outlineLevel="0" collapsed="false">
      <c r="A1093" s="10" t="n">
        <f aca="false">Einstellungen!$B$5+INT((ROW()-9)/24)</f>
        <v>46011</v>
      </c>
      <c r="B1093" s="11" t="n">
        <f aca="false">MOD(ROW()-9,24)</f>
        <v>4</v>
      </c>
      <c r="C1093" s="12"/>
      <c r="D1093" s="13" t="n">
        <f aca="false">IF(B1093&lt;5,Einstellungen!$B$3,Einstellungen!$B$4)</f>
        <v>15.92</v>
      </c>
      <c r="E1093" s="14" t="str">
        <f aca="false">IF(C1093="","",C1093*D1093/100)</f>
        <v/>
      </c>
      <c r="F1093" s="15" t="str">
        <f aca="false">IF(B1093&lt;5,"Go","Standard")</f>
        <v>Go</v>
      </c>
    </row>
    <row r="1094" customFormat="false" ht="15" hidden="false" customHeight="true" outlineLevel="0" collapsed="false">
      <c r="A1094" s="10" t="n">
        <f aca="false">Einstellungen!$B$5+INT((ROW()-9)/24)</f>
        <v>46011</v>
      </c>
      <c r="B1094" s="11" t="n">
        <f aca="false">MOD(ROW()-9,24)</f>
        <v>5</v>
      </c>
      <c r="C1094" s="12"/>
      <c r="D1094" s="13" t="n">
        <f aca="false">IF(B1094&lt;5,Einstellungen!$B$3,Einstellungen!$B$4)</f>
        <v>29.13</v>
      </c>
      <c r="E1094" s="14" t="str">
        <f aca="false">IF(C1094="","",C1094*D1094/100)</f>
        <v/>
      </c>
      <c r="F1094" s="15" t="str">
        <f aca="false">IF(B1094&lt;5,"Go","Standard")</f>
        <v>Standard</v>
      </c>
    </row>
    <row r="1095" customFormat="false" ht="15" hidden="false" customHeight="true" outlineLevel="0" collapsed="false">
      <c r="A1095" s="10" t="n">
        <f aca="false">Einstellungen!$B$5+INT((ROW()-9)/24)</f>
        <v>46011</v>
      </c>
      <c r="B1095" s="11" t="n">
        <f aca="false">MOD(ROW()-9,24)</f>
        <v>6</v>
      </c>
      <c r="C1095" s="12"/>
      <c r="D1095" s="13" t="n">
        <f aca="false">IF(B1095&lt;5,Einstellungen!$B$3,Einstellungen!$B$4)</f>
        <v>29.13</v>
      </c>
      <c r="E1095" s="14" t="str">
        <f aca="false">IF(C1095="","",C1095*D1095/100)</f>
        <v/>
      </c>
      <c r="F1095" s="15" t="str">
        <f aca="false">IF(B1095&lt;5,"Go","Standard")</f>
        <v>Standard</v>
      </c>
    </row>
    <row r="1096" customFormat="false" ht="15" hidden="false" customHeight="true" outlineLevel="0" collapsed="false">
      <c r="A1096" s="10" t="n">
        <f aca="false">Einstellungen!$B$5+INT((ROW()-9)/24)</f>
        <v>46011</v>
      </c>
      <c r="B1096" s="11" t="n">
        <f aca="false">MOD(ROW()-9,24)</f>
        <v>7</v>
      </c>
      <c r="C1096" s="12"/>
      <c r="D1096" s="13" t="n">
        <f aca="false">IF(B1096&lt;5,Einstellungen!$B$3,Einstellungen!$B$4)</f>
        <v>29.13</v>
      </c>
      <c r="E1096" s="14" t="str">
        <f aca="false">IF(C1096="","",C1096*D1096/100)</f>
        <v/>
      </c>
      <c r="F1096" s="15" t="str">
        <f aca="false">IF(B1096&lt;5,"Go","Standard")</f>
        <v>Standard</v>
      </c>
    </row>
    <row r="1097" customFormat="false" ht="15" hidden="false" customHeight="true" outlineLevel="0" collapsed="false">
      <c r="A1097" s="10" t="n">
        <f aca="false">Einstellungen!$B$5+INT((ROW()-9)/24)</f>
        <v>46011</v>
      </c>
      <c r="B1097" s="11" t="n">
        <f aca="false">MOD(ROW()-9,24)</f>
        <v>8</v>
      </c>
      <c r="C1097" s="12"/>
      <c r="D1097" s="13" t="n">
        <f aca="false">IF(B1097&lt;5,Einstellungen!$B$3,Einstellungen!$B$4)</f>
        <v>29.13</v>
      </c>
      <c r="E1097" s="14" t="str">
        <f aca="false">IF(C1097="","",C1097*D1097/100)</f>
        <v/>
      </c>
      <c r="F1097" s="15" t="str">
        <f aca="false">IF(B1097&lt;5,"Go","Standard")</f>
        <v>Standard</v>
      </c>
    </row>
    <row r="1098" customFormat="false" ht="15" hidden="false" customHeight="true" outlineLevel="0" collapsed="false">
      <c r="A1098" s="10" t="n">
        <f aca="false">Einstellungen!$B$5+INT((ROW()-9)/24)</f>
        <v>46011</v>
      </c>
      <c r="B1098" s="11" t="n">
        <f aca="false">MOD(ROW()-9,24)</f>
        <v>9</v>
      </c>
      <c r="C1098" s="12"/>
      <c r="D1098" s="13" t="n">
        <f aca="false">IF(B1098&lt;5,Einstellungen!$B$3,Einstellungen!$B$4)</f>
        <v>29.13</v>
      </c>
      <c r="E1098" s="14" t="str">
        <f aca="false">IF(C1098="","",C1098*D1098/100)</f>
        <v/>
      </c>
      <c r="F1098" s="15" t="str">
        <f aca="false">IF(B1098&lt;5,"Go","Standard")</f>
        <v>Standard</v>
      </c>
    </row>
    <row r="1099" customFormat="false" ht="15" hidden="false" customHeight="true" outlineLevel="0" collapsed="false">
      <c r="A1099" s="10" t="n">
        <f aca="false">Einstellungen!$B$5+INT((ROW()-9)/24)</f>
        <v>46011</v>
      </c>
      <c r="B1099" s="11" t="n">
        <f aca="false">MOD(ROW()-9,24)</f>
        <v>10</v>
      </c>
      <c r="C1099" s="12"/>
      <c r="D1099" s="13" t="n">
        <f aca="false">IF(B1099&lt;5,Einstellungen!$B$3,Einstellungen!$B$4)</f>
        <v>29.13</v>
      </c>
      <c r="E1099" s="14" t="str">
        <f aca="false">IF(C1099="","",C1099*D1099/100)</f>
        <v/>
      </c>
      <c r="F1099" s="15" t="str">
        <f aca="false">IF(B1099&lt;5,"Go","Standard")</f>
        <v>Standard</v>
      </c>
    </row>
    <row r="1100" customFormat="false" ht="15" hidden="false" customHeight="true" outlineLevel="0" collapsed="false">
      <c r="A1100" s="10" t="n">
        <f aca="false">Einstellungen!$B$5+INT((ROW()-9)/24)</f>
        <v>46011</v>
      </c>
      <c r="B1100" s="11" t="n">
        <f aca="false">MOD(ROW()-9,24)</f>
        <v>11</v>
      </c>
      <c r="C1100" s="12"/>
      <c r="D1100" s="13" t="n">
        <f aca="false">IF(B1100&lt;5,Einstellungen!$B$3,Einstellungen!$B$4)</f>
        <v>29.13</v>
      </c>
      <c r="E1100" s="14" t="str">
        <f aca="false">IF(C1100="","",C1100*D1100/100)</f>
        <v/>
      </c>
      <c r="F1100" s="15" t="str">
        <f aca="false">IF(B1100&lt;5,"Go","Standard")</f>
        <v>Standard</v>
      </c>
    </row>
    <row r="1101" customFormat="false" ht="15" hidden="false" customHeight="true" outlineLevel="0" collapsed="false">
      <c r="A1101" s="10" t="n">
        <f aca="false">Einstellungen!$B$5+INT((ROW()-9)/24)</f>
        <v>46011</v>
      </c>
      <c r="B1101" s="11" t="n">
        <f aca="false">MOD(ROW()-9,24)</f>
        <v>12</v>
      </c>
      <c r="C1101" s="12"/>
      <c r="D1101" s="13" t="n">
        <f aca="false">IF(B1101&lt;5,Einstellungen!$B$3,Einstellungen!$B$4)</f>
        <v>29.13</v>
      </c>
      <c r="E1101" s="14" t="str">
        <f aca="false">IF(C1101="","",C1101*D1101/100)</f>
        <v/>
      </c>
      <c r="F1101" s="15" t="str">
        <f aca="false">IF(B1101&lt;5,"Go","Standard")</f>
        <v>Standard</v>
      </c>
    </row>
    <row r="1102" customFormat="false" ht="15" hidden="false" customHeight="true" outlineLevel="0" collapsed="false">
      <c r="A1102" s="10" t="n">
        <f aca="false">Einstellungen!$B$5+INT((ROW()-9)/24)</f>
        <v>46011</v>
      </c>
      <c r="B1102" s="11" t="n">
        <f aca="false">MOD(ROW()-9,24)</f>
        <v>13</v>
      </c>
      <c r="C1102" s="12"/>
      <c r="D1102" s="13" t="n">
        <f aca="false">IF(B1102&lt;5,Einstellungen!$B$3,Einstellungen!$B$4)</f>
        <v>29.13</v>
      </c>
      <c r="E1102" s="14" t="str">
        <f aca="false">IF(C1102="","",C1102*D1102/100)</f>
        <v/>
      </c>
      <c r="F1102" s="15" t="str">
        <f aca="false">IF(B1102&lt;5,"Go","Standard")</f>
        <v>Standard</v>
      </c>
    </row>
    <row r="1103" customFormat="false" ht="15" hidden="false" customHeight="true" outlineLevel="0" collapsed="false">
      <c r="A1103" s="10" t="n">
        <f aca="false">Einstellungen!$B$5+INT((ROW()-9)/24)</f>
        <v>46011</v>
      </c>
      <c r="B1103" s="11" t="n">
        <f aca="false">MOD(ROW()-9,24)</f>
        <v>14</v>
      </c>
      <c r="C1103" s="12"/>
      <c r="D1103" s="13" t="n">
        <f aca="false">IF(B1103&lt;5,Einstellungen!$B$3,Einstellungen!$B$4)</f>
        <v>29.13</v>
      </c>
      <c r="E1103" s="14" t="str">
        <f aca="false">IF(C1103="","",C1103*D1103/100)</f>
        <v/>
      </c>
      <c r="F1103" s="15" t="str">
        <f aca="false">IF(B1103&lt;5,"Go","Standard")</f>
        <v>Standard</v>
      </c>
    </row>
    <row r="1104" customFormat="false" ht="15" hidden="false" customHeight="true" outlineLevel="0" collapsed="false">
      <c r="A1104" s="10" t="n">
        <f aca="false">Einstellungen!$B$5+INT((ROW()-9)/24)</f>
        <v>46011</v>
      </c>
      <c r="B1104" s="11" t="n">
        <f aca="false">MOD(ROW()-9,24)</f>
        <v>15</v>
      </c>
      <c r="C1104" s="12"/>
      <c r="D1104" s="13" t="n">
        <f aca="false">IF(B1104&lt;5,Einstellungen!$B$3,Einstellungen!$B$4)</f>
        <v>29.13</v>
      </c>
      <c r="E1104" s="14" t="str">
        <f aca="false">IF(C1104="","",C1104*D1104/100)</f>
        <v/>
      </c>
      <c r="F1104" s="15" t="str">
        <f aca="false">IF(B1104&lt;5,"Go","Standard")</f>
        <v>Standard</v>
      </c>
    </row>
    <row r="1105" customFormat="false" ht="15" hidden="false" customHeight="true" outlineLevel="0" collapsed="false">
      <c r="A1105" s="10" t="n">
        <f aca="false">Einstellungen!$B$5+INT((ROW()-9)/24)</f>
        <v>46011</v>
      </c>
      <c r="B1105" s="11" t="n">
        <f aca="false">MOD(ROW()-9,24)</f>
        <v>16</v>
      </c>
      <c r="C1105" s="12"/>
      <c r="D1105" s="13" t="n">
        <f aca="false">IF(B1105&lt;5,Einstellungen!$B$3,Einstellungen!$B$4)</f>
        <v>29.13</v>
      </c>
      <c r="E1105" s="14" t="str">
        <f aca="false">IF(C1105="","",C1105*D1105/100)</f>
        <v/>
      </c>
      <c r="F1105" s="15" t="str">
        <f aca="false">IF(B1105&lt;5,"Go","Standard")</f>
        <v>Standard</v>
      </c>
    </row>
    <row r="1106" customFormat="false" ht="15" hidden="false" customHeight="true" outlineLevel="0" collapsed="false">
      <c r="A1106" s="10" t="n">
        <f aca="false">Einstellungen!$B$5+INT((ROW()-9)/24)</f>
        <v>46011</v>
      </c>
      <c r="B1106" s="11" t="n">
        <f aca="false">MOD(ROW()-9,24)</f>
        <v>17</v>
      </c>
      <c r="C1106" s="12"/>
      <c r="D1106" s="13" t="n">
        <f aca="false">IF(B1106&lt;5,Einstellungen!$B$3,Einstellungen!$B$4)</f>
        <v>29.13</v>
      </c>
      <c r="E1106" s="14" t="str">
        <f aca="false">IF(C1106="","",C1106*D1106/100)</f>
        <v/>
      </c>
      <c r="F1106" s="15" t="str">
        <f aca="false">IF(B1106&lt;5,"Go","Standard")</f>
        <v>Standard</v>
      </c>
    </row>
    <row r="1107" customFormat="false" ht="15" hidden="false" customHeight="true" outlineLevel="0" collapsed="false">
      <c r="A1107" s="10" t="n">
        <f aca="false">Einstellungen!$B$5+INT((ROW()-9)/24)</f>
        <v>46011</v>
      </c>
      <c r="B1107" s="11" t="n">
        <f aca="false">MOD(ROW()-9,24)</f>
        <v>18</v>
      </c>
      <c r="C1107" s="12"/>
      <c r="D1107" s="13" t="n">
        <f aca="false">IF(B1107&lt;5,Einstellungen!$B$3,Einstellungen!$B$4)</f>
        <v>29.13</v>
      </c>
      <c r="E1107" s="14" t="str">
        <f aca="false">IF(C1107="","",C1107*D1107/100)</f>
        <v/>
      </c>
      <c r="F1107" s="15" t="str">
        <f aca="false">IF(B1107&lt;5,"Go","Standard")</f>
        <v>Standard</v>
      </c>
    </row>
    <row r="1108" customFormat="false" ht="15" hidden="false" customHeight="true" outlineLevel="0" collapsed="false">
      <c r="A1108" s="10" t="n">
        <f aca="false">Einstellungen!$B$5+INT((ROW()-9)/24)</f>
        <v>46011</v>
      </c>
      <c r="B1108" s="11" t="n">
        <f aca="false">MOD(ROW()-9,24)</f>
        <v>19</v>
      </c>
      <c r="C1108" s="12"/>
      <c r="D1108" s="13" t="n">
        <f aca="false">IF(B1108&lt;5,Einstellungen!$B$3,Einstellungen!$B$4)</f>
        <v>29.13</v>
      </c>
      <c r="E1108" s="14" t="str">
        <f aca="false">IF(C1108="","",C1108*D1108/100)</f>
        <v/>
      </c>
      <c r="F1108" s="15" t="str">
        <f aca="false">IF(B1108&lt;5,"Go","Standard")</f>
        <v>Standard</v>
      </c>
    </row>
    <row r="1109" customFormat="false" ht="15" hidden="false" customHeight="true" outlineLevel="0" collapsed="false">
      <c r="A1109" s="10" t="n">
        <f aca="false">Einstellungen!$B$5+INT((ROW()-9)/24)</f>
        <v>46011</v>
      </c>
      <c r="B1109" s="11" t="n">
        <f aca="false">MOD(ROW()-9,24)</f>
        <v>20</v>
      </c>
      <c r="C1109" s="12"/>
      <c r="D1109" s="13" t="n">
        <f aca="false">IF(B1109&lt;5,Einstellungen!$B$3,Einstellungen!$B$4)</f>
        <v>29.13</v>
      </c>
      <c r="E1109" s="14" t="str">
        <f aca="false">IF(C1109="","",C1109*D1109/100)</f>
        <v/>
      </c>
      <c r="F1109" s="15" t="str">
        <f aca="false">IF(B1109&lt;5,"Go","Standard")</f>
        <v>Standard</v>
      </c>
    </row>
    <row r="1110" customFormat="false" ht="15" hidden="false" customHeight="true" outlineLevel="0" collapsed="false">
      <c r="A1110" s="10" t="n">
        <f aca="false">Einstellungen!$B$5+INT((ROW()-9)/24)</f>
        <v>46011</v>
      </c>
      <c r="B1110" s="11" t="n">
        <f aca="false">MOD(ROW()-9,24)</f>
        <v>21</v>
      </c>
      <c r="C1110" s="12"/>
      <c r="D1110" s="13" t="n">
        <f aca="false">IF(B1110&lt;5,Einstellungen!$B$3,Einstellungen!$B$4)</f>
        <v>29.13</v>
      </c>
      <c r="E1110" s="14" t="str">
        <f aca="false">IF(C1110="","",C1110*D1110/100)</f>
        <v/>
      </c>
      <c r="F1110" s="15" t="str">
        <f aca="false">IF(B1110&lt;5,"Go","Standard")</f>
        <v>Standard</v>
      </c>
    </row>
    <row r="1111" customFormat="false" ht="15" hidden="false" customHeight="true" outlineLevel="0" collapsed="false">
      <c r="A1111" s="10" t="n">
        <f aca="false">Einstellungen!$B$5+INT((ROW()-9)/24)</f>
        <v>46011</v>
      </c>
      <c r="B1111" s="11" t="n">
        <f aca="false">MOD(ROW()-9,24)</f>
        <v>22</v>
      </c>
      <c r="C1111" s="12"/>
      <c r="D1111" s="13" t="n">
        <f aca="false">IF(B1111&lt;5,Einstellungen!$B$3,Einstellungen!$B$4)</f>
        <v>29.13</v>
      </c>
      <c r="E1111" s="14" t="str">
        <f aca="false">IF(C1111="","",C1111*D1111/100)</f>
        <v/>
      </c>
      <c r="F1111" s="15" t="str">
        <f aca="false">IF(B1111&lt;5,"Go","Standard")</f>
        <v>Standard</v>
      </c>
    </row>
    <row r="1112" customFormat="false" ht="15" hidden="false" customHeight="true" outlineLevel="0" collapsed="false">
      <c r="A1112" s="10" t="n">
        <f aca="false">Einstellungen!$B$5+INT((ROW()-9)/24)</f>
        <v>46011</v>
      </c>
      <c r="B1112" s="11" t="n">
        <f aca="false">MOD(ROW()-9,24)</f>
        <v>23</v>
      </c>
      <c r="C1112" s="12"/>
      <c r="D1112" s="13" t="n">
        <f aca="false">IF(B1112&lt;5,Einstellungen!$B$3,Einstellungen!$B$4)</f>
        <v>29.13</v>
      </c>
      <c r="E1112" s="14" t="str">
        <f aca="false">IF(C1112="","",C1112*D1112/100)</f>
        <v/>
      </c>
      <c r="F1112" s="15" t="str">
        <f aca="false">IF(B1112&lt;5,"Go","Standard")</f>
        <v>Standard</v>
      </c>
    </row>
    <row r="1113" customFormat="false" ht="15" hidden="false" customHeight="true" outlineLevel="0" collapsed="false">
      <c r="A1113" s="10" t="n">
        <f aca="false">Einstellungen!$B$5+INT((ROW()-9)/24)</f>
        <v>46012</v>
      </c>
      <c r="B1113" s="11" t="n">
        <f aca="false">MOD(ROW()-9,24)</f>
        <v>0</v>
      </c>
      <c r="C1113" s="12"/>
      <c r="D1113" s="13" t="n">
        <f aca="false">IF(B1113&lt;5,Einstellungen!$B$3,Einstellungen!$B$4)</f>
        <v>15.92</v>
      </c>
      <c r="E1113" s="14" t="str">
        <f aca="false">IF(C1113="","",C1113*D1113/100)</f>
        <v/>
      </c>
      <c r="F1113" s="15" t="str">
        <f aca="false">IF(B1113&lt;5,"Go","Standard")</f>
        <v>Go</v>
      </c>
    </row>
    <row r="1114" customFormat="false" ht="15" hidden="false" customHeight="true" outlineLevel="0" collapsed="false">
      <c r="A1114" s="10" t="n">
        <f aca="false">Einstellungen!$B$5+INT((ROW()-9)/24)</f>
        <v>46012</v>
      </c>
      <c r="B1114" s="11" t="n">
        <f aca="false">MOD(ROW()-9,24)</f>
        <v>1</v>
      </c>
      <c r="C1114" s="12"/>
      <c r="D1114" s="13" t="n">
        <f aca="false">IF(B1114&lt;5,Einstellungen!$B$3,Einstellungen!$B$4)</f>
        <v>15.92</v>
      </c>
      <c r="E1114" s="14" t="str">
        <f aca="false">IF(C1114="","",C1114*D1114/100)</f>
        <v/>
      </c>
      <c r="F1114" s="15" t="str">
        <f aca="false">IF(B1114&lt;5,"Go","Standard")</f>
        <v>Go</v>
      </c>
    </row>
    <row r="1115" customFormat="false" ht="15" hidden="false" customHeight="true" outlineLevel="0" collapsed="false">
      <c r="A1115" s="10" t="n">
        <f aca="false">Einstellungen!$B$5+INT((ROW()-9)/24)</f>
        <v>46012</v>
      </c>
      <c r="B1115" s="11" t="n">
        <f aca="false">MOD(ROW()-9,24)</f>
        <v>2</v>
      </c>
      <c r="C1115" s="12"/>
      <c r="D1115" s="13" t="n">
        <f aca="false">IF(B1115&lt;5,Einstellungen!$B$3,Einstellungen!$B$4)</f>
        <v>15.92</v>
      </c>
      <c r="E1115" s="14" t="str">
        <f aca="false">IF(C1115="","",C1115*D1115/100)</f>
        <v/>
      </c>
      <c r="F1115" s="15" t="str">
        <f aca="false">IF(B1115&lt;5,"Go","Standard")</f>
        <v>Go</v>
      </c>
    </row>
    <row r="1116" customFormat="false" ht="15" hidden="false" customHeight="true" outlineLevel="0" collapsed="false">
      <c r="A1116" s="10" t="n">
        <f aca="false">Einstellungen!$B$5+INT((ROW()-9)/24)</f>
        <v>46012</v>
      </c>
      <c r="B1116" s="11" t="n">
        <f aca="false">MOD(ROW()-9,24)</f>
        <v>3</v>
      </c>
      <c r="C1116" s="12"/>
      <c r="D1116" s="13" t="n">
        <f aca="false">IF(B1116&lt;5,Einstellungen!$B$3,Einstellungen!$B$4)</f>
        <v>15.92</v>
      </c>
      <c r="E1116" s="14" t="str">
        <f aca="false">IF(C1116="","",C1116*D1116/100)</f>
        <v/>
      </c>
      <c r="F1116" s="15" t="str">
        <f aca="false">IF(B1116&lt;5,"Go","Standard")</f>
        <v>Go</v>
      </c>
    </row>
    <row r="1117" customFormat="false" ht="15" hidden="false" customHeight="true" outlineLevel="0" collapsed="false">
      <c r="A1117" s="10" t="n">
        <f aca="false">Einstellungen!$B$5+INT((ROW()-9)/24)</f>
        <v>46012</v>
      </c>
      <c r="B1117" s="11" t="n">
        <f aca="false">MOD(ROW()-9,24)</f>
        <v>4</v>
      </c>
      <c r="C1117" s="12"/>
      <c r="D1117" s="13" t="n">
        <f aca="false">IF(B1117&lt;5,Einstellungen!$B$3,Einstellungen!$B$4)</f>
        <v>15.92</v>
      </c>
      <c r="E1117" s="14" t="str">
        <f aca="false">IF(C1117="","",C1117*D1117/100)</f>
        <v/>
      </c>
      <c r="F1117" s="15" t="str">
        <f aca="false">IF(B1117&lt;5,"Go","Standard")</f>
        <v>Go</v>
      </c>
    </row>
    <row r="1118" customFormat="false" ht="15" hidden="false" customHeight="true" outlineLevel="0" collapsed="false">
      <c r="A1118" s="10" t="n">
        <f aca="false">Einstellungen!$B$5+INT((ROW()-9)/24)</f>
        <v>46012</v>
      </c>
      <c r="B1118" s="11" t="n">
        <f aca="false">MOD(ROW()-9,24)</f>
        <v>5</v>
      </c>
      <c r="C1118" s="12"/>
      <c r="D1118" s="13" t="n">
        <f aca="false">IF(B1118&lt;5,Einstellungen!$B$3,Einstellungen!$B$4)</f>
        <v>29.13</v>
      </c>
      <c r="E1118" s="14" t="str">
        <f aca="false">IF(C1118="","",C1118*D1118/100)</f>
        <v/>
      </c>
      <c r="F1118" s="15" t="str">
        <f aca="false">IF(B1118&lt;5,"Go","Standard")</f>
        <v>Standard</v>
      </c>
    </row>
    <row r="1119" customFormat="false" ht="15" hidden="false" customHeight="true" outlineLevel="0" collapsed="false">
      <c r="A1119" s="10" t="n">
        <f aca="false">Einstellungen!$B$5+INT((ROW()-9)/24)</f>
        <v>46012</v>
      </c>
      <c r="B1119" s="11" t="n">
        <f aca="false">MOD(ROW()-9,24)</f>
        <v>6</v>
      </c>
      <c r="C1119" s="12"/>
      <c r="D1119" s="13" t="n">
        <f aca="false">IF(B1119&lt;5,Einstellungen!$B$3,Einstellungen!$B$4)</f>
        <v>29.13</v>
      </c>
      <c r="E1119" s="14" t="str">
        <f aca="false">IF(C1119="","",C1119*D1119/100)</f>
        <v/>
      </c>
      <c r="F1119" s="15" t="str">
        <f aca="false">IF(B1119&lt;5,"Go","Standard")</f>
        <v>Standard</v>
      </c>
    </row>
    <row r="1120" customFormat="false" ht="15" hidden="false" customHeight="true" outlineLevel="0" collapsed="false">
      <c r="A1120" s="10" t="n">
        <f aca="false">Einstellungen!$B$5+INT((ROW()-9)/24)</f>
        <v>46012</v>
      </c>
      <c r="B1120" s="11" t="n">
        <f aca="false">MOD(ROW()-9,24)</f>
        <v>7</v>
      </c>
      <c r="C1120" s="12"/>
      <c r="D1120" s="13" t="n">
        <f aca="false">IF(B1120&lt;5,Einstellungen!$B$3,Einstellungen!$B$4)</f>
        <v>29.13</v>
      </c>
      <c r="E1120" s="14" t="str">
        <f aca="false">IF(C1120="","",C1120*D1120/100)</f>
        <v/>
      </c>
      <c r="F1120" s="15" t="str">
        <f aca="false">IF(B1120&lt;5,"Go","Standard")</f>
        <v>Standard</v>
      </c>
    </row>
    <row r="1121" customFormat="false" ht="15" hidden="false" customHeight="true" outlineLevel="0" collapsed="false">
      <c r="A1121" s="10" t="n">
        <f aca="false">Einstellungen!$B$5+INT((ROW()-9)/24)</f>
        <v>46012</v>
      </c>
      <c r="B1121" s="11" t="n">
        <f aca="false">MOD(ROW()-9,24)</f>
        <v>8</v>
      </c>
      <c r="C1121" s="12"/>
      <c r="D1121" s="13" t="n">
        <f aca="false">IF(B1121&lt;5,Einstellungen!$B$3,Einstellungen!$B$4)</f>
        <v>29.13</v>
      </c>
      <c r="E1121" s="14" t="str">
        <f aca="false">IF(C1121="","",C1121*D1121/100)</f>
        <v/>
      </c>
      <c r="F1121" s="15" t="str">
        <f aca="false">IF(B1121&lt;5,"Go","Standard")</f>
        <v>Standard</v>
      </c>
    </row>
    <row r="1122" customFormat="false" ht="15" hidden="false" customHeight="true" outlineLevel="0" collapsed="false">
      <c r="A1122" s="10" t="n">
        <f aca="false">Einstellungen!$B$5+INT((ROW()-9)/24)</f>
        <v>46012</v>
      </c>
      <c r="B1122" s="11" t="n">
        <f aca="false">MOD(ROW()-9,24)</f>
        <v>9</v>
      </c>
      <c r="C1122" s="12"/>
      <c r="D1122" s="13" t="n">
        <f aca="false">IF(B1122&lt;5,Einstellungen!$B$3,Einstellungen!$B$4)</f>
        <v>29.13</v>
      </c>
      <c r="E1122" s="14" t="str">
        <f aca="false">IF(C1122="","",C1122*D1122/100)</f>
        <v/>
      </c>
      <c r="F1122" s="15" t="str">
        <f aca="false">IF(B1122&lt;5,"Go","Standard")</f>
        <v>Standard</v>
      </c>
    </row>
    <row r="1123" customFormat="false" ht="15" hidden="false" customHeight="true" outlineLevel="0" collapsed="false">
      <c r="A1123" s="10" t="n">
        <f aca="false">Einstellungen!$B$5+INT((ROW()-9)/24)</f>
        <v>46012</v>
      </c>
      <c r="B1123" s="11" t="n">
        <f aca="false">MOD(ROW()-9,24)</f>
        <v>10</v>
      </c>
      <c r="C1123" s="12"/>
      <c r="D1123" s="13" t="n">
        <f aca="false">IF(B1123&lt;5,Einstellungen!$B$3,Einstellungen!$B$4)</f>
        <v>29.13</v>
      </c>
      <c r="E1123" s="14" t="str">
        <f aca="false">IF(C1123="","",C1123*D1123/100)</f>
        <v/>
      </c>
      <c r="F1123" s="15" t="str">
        <f aca="false">IF(B1123&lt;5,"Go","Standard")</f>
        <v>Standard</v>
      </c>
    </row>
    <row r="1124" customFormat="false" ht="15" hidden="false" customHeight="true" outlineLevel="0" collapsed="false">
      <c r="A1124" s="10" t="n">
        <f aca="false">Einstellungen!$B$5+INT((ROW()-9)/24)</f>
        <v>46012</v>
      </c>
      <c r="B1124" s="11" t="n">
        <f aca="false">MOD(ROW()-9,24)</f>
        <v>11</v>
      </c>
      <c r="C1124" s="12"/>
      <c r="D1124" s="13" t="n">
        <f aca="false">IF(B1124&lt;5,Einstellungen!$B$3,Einstellungen!$B$4)</f>
        <v>29.13</v>
      </c>
      <c r="E1124" s="14" t="str">
        <f aca="false">IF(C1124="","",C1124*D1124/100)</f>
        <v/>
      </c>
      <c r="F1124" s="15" t="str">
        <f aca="false">IF(B1124&lt;5,"Go","Standard")</f>
        <v>Standard</v>
      </c>
    </row>
    <row r="1125" customFormat="false" ht="15" hidden="false" customHeight="true" outlineLevel="0" collapsed="false">
      <c r="A1125" s="10" t="n">
        <f aca="false">Einstellungen!$B$5+INT((ROW()-9)/24)</f>
        <v>46012</v>
      </c>
      <c r="B1125" s="11" t="n">
        <f aca="false">MOD(ROW()-9,24)</f>
        <v>12</v>
      </c>
      <c r="C1125" s="12"/>
      <c r="D1125" s="13" t="n">
        <f aca="false">IF(B1125&lt;5,Einstellungen!$B$3,Einstellungen!$B$4)</f>
        <v>29.13</v>
      </c>
      <c r="E1125" s="14" t="str">
        <f aca="false">IF(C1125="","",C1125*D1125/100)</f>
        <v/>
      </c>
      <c r="F1125" s="15" t="str">
        <f aca="false">IF(B1125&lt;5,"Go","Standard")</f>
        <v>Standard</v>
      </c>
    </row>
    <row r="1126" customFormat="false" ht="15" hidden="false" customHeight="true" outlineLevel="0" collapsed="false">
      <c r="A1126" s="10" t="n">
        <f aca="false">Einstellungen!$B$5+INT((ROW()-9)/24)</f>
        <v>46012</v>
      </c>
      <c r="B1126" s="11" t="n">
        <f aca="false">MOD(ROW()-9,24)</f>
        <v>13</v>
      </c>
      <c r="C1126" s="12"/>
      <c r="D1126" s="13" t="n">
        <f aca="false">IF(B1126&lt;5,Einstellungen!$B$3,Einstellungen!$B$4)</f>
        <v>29.13</v>
      </c>
      <c r="E1126" s="14" t="str">
        <f aca="false">IF(C1126="","",C1126*D1126/100)</f>
        <v/>
      </c>
      <c r="F1126" s="15" t="str">
        <f aca="false">IF(B1126&lt;5,"Go","Standard")</f>
        <v>Standard</v>
      </c>
    </row>
    <row r="1127" customFormat="false" ht="15" hidden="false" customHeight="true" outlineLevel="0" collapsed="false">
      <c r="A1127" s="10" t="n">
        <f aca="false">Einstellungen!$B$5+INT((ROW()-9)/24)</f>
        <v>46012</v>
      </c>
      <c r="B1127" s="11" t="n">
        <f aca="false">MOD(ROW()-9,24)</f>
        <v>14</v>
      </c>
      <c r="C1127" s="12"/>
      <c r="D1127" s="13" t="n">
        <f aca="false">IF(B1127&lt;5,Einstellungen!$B$3,Einstellungen!$B$4)</f>
        <v>29.13</v>
      </c>
      <c r="E1127" s="14" t="str">
        <f aca="false">IF(C1127="","",C1127*D1127/100)</f>
        <v/>
      </c>
      <c r="F1127" s="15" t="str">
        <f aca="false">IF(B1127&lt;5,"Go","Standard")</f>
        <v>Standard</v>
      </c>
    </row>
    <row r="1128" customFormat="false" ht="15" hidden="false" customHeight="true" outlineLevel="0" collapsed="false">
      <c r="A1128" s="10" t="n">
        <f aca="false">Einstellungen!$B$5+INT((ROW()-9)/24)</f>
        <v>46012</v>
      </c>
      <c r="B1128" s="11" t="n">
        <f aca="false">MOD(ROW()-9,24)</f>
        <v>15</v>
      </c>
      <c r="C1128" s="12"/>
      <c r="D1128" s="13" t="n">
        <f aca="false">IF(B1128&lt;5,Einstellungen!$B$3,Einstellungen!$B$4)</f>
        <v>29.13</v>
      </c>
      <c r="E1128" s="14" t="str">
        <f aca="false">IF(C1128="","",C1128*D1128/100)</f>
        <v/>
      </c>
      <c r="F1128" s="15" t="str">
        <f aca="false">IF(B1128&lt;5,"Go","Standard")</f>
        <v>Standard</v>
      </c>
    </row>
    <row r="1129" customFormat="false" ht="15" hidden="false" customHeight="true" outlineLevel="0" collapsed="false">
      <c r="A1129" s="10" t="n">
        <f aca="false">Einstellungen!$B$5+INT((ROW()-9)/24)</f>
        <v>46012</v>
      </c>
      <c r="B1129" s="11" t="n">
        <f aca="false">MOD(ROW()-9,24)</f>
        <v>16</v>
      </c>
      <c r="C1129" s="12"/>
      <c r="D1129" s="13" t="n">
        <f aca="false">IF(B1129&lt;5,Einstellungen!$B$3,Einstellungen!$B$4)</f>
        <v>29.13</v>
      </c>
      <c r="E1129" s="14" t="str">
        <f aca="false">IF(C1129="","",C1129*D1129/100)</f>
        <v/>
      </c>
      <c r="F1129" s="15" t="str">
        <f aca="false">IF(B1129&lt;5,"Go","Standard")</f>
        <v>Standard</v>
      </c>
    </row>
    <row r="1130" customFormat="false" ht="15" hidden="false" customHeight="true" outlineLevel="0" collapsed="false">
      <c r="A1130" s="10" t="n">
        <f aca="false">Einstellungen!$B$5+INT((ROW()-9)/24)</f>
        <v>46012</v>
      </c>
      <c r="B1130" s="11" t="n">
        <f aca="false">MOD(ROW()-9,24)</f>
        <v>17</v>
      </c>
      <c r="C1130" s="12"/>
      <c r="D1130" s="13" t="n">
        <f aca="false">IF(B1130&lt;5,Einstellungen!$B$3,Einstellungen!$B$4)</f>
        <v>29.13</v>
      </c>
      <c r="E1130" s="14" t="str">
        <f aca="false">IF(C1130="","",C1130*D1130/100)</f>
        <v/>
      </c>
      <c r="F1130" s="15" t="str">
        <f aca="false">IF(B1130&lt;5,"Go","Standard")</f>
        <v>Standard</v>
      </c>
    </row>
    <row r="1131" customFormat="false" ht="15" hidden="false" customHeight="true" outlineLevel="0" collapsed="false">
      <c r="A1131" s="10" t="n">
        <f aca="false">Einstellungen!$B$5+INT((ROW()-9)/24)</f>
        <v>46012</v>
      </c>
      <c r="B1131" s="11" t="n">
        <f aca="false">MOD(ROW()-9,24)</f>
        <v>18</v>
      </c>
      <c r="C1131" s="12"/>
      <c r="D1131" s="13" t="n">
        <f aca="false">IF(B1131&lt;5,Einstellungen!$B$3,Einstellungen!$B$4)</f>
        <v>29.13</v>
      </c>
      <c r="E1131" s="14" t="str">
        <f aca="false">IF(C1131="","",C1131*D1131/100)</f>
        <v/>
      </c>
      <c r="F1131" s="15" t="str">
        <f aca="false">IF(B1131&lt;5,"Go","Standard")</f>
        <v>Standard</v>
      </c>
    </row>
    <row r="1132" customFormat="false" ht="15" hidden="false" customHeight="true" outlineLevel="0" collapsed="false">
      <c r="A1132" s="10" t="n">
        <f aca="false">Einstellungen!$B$5+INT((ROW()-9)/24)</f>
        <v>46012</v>
      </c>
      <c r="B1132" s="11" t="n">
        <f aca="false">MOD(ROW()-9,24)</f>
        <v>19</v>
      </c>
      <c r="C1132" s="12"/>
      <c r="D1132" s="13" t="n">
        <f aca="false">IF(B1132&lt;5,Einstellungen!$B$3,Einstellungen!$B$4)</f>
        <v>29.13</v>
      </c>
      <c r="E1132" s="14" t="str">
        <f aca="false">IF(C1132="","",C1132*D1132/100)</f>
        <v/>
      </c>
      <c r="F1132" s="15" t="str">
        <f aca="false">IF(B1132&lt;5,"Go","Standard")</f>
        <v>Standard</v>
      </c>
    </row>
    <row r="1133" customFormat="false" ht="15" hidden="false" customHeight="true" outlineLevel="0" collapsed="false">
      <c r="A1133" s="10" t="n">
        <f aca="false">Einstellungen!$B$5+INT((ROW()-9)/24)</f>
        <v>46012</v>
      </c>
      <c r="B1133" s="11" t="n">
        <f aca="false">MOD(ROW()-9,24)</f>
        <v>20</v>
      </c>
      <c r="C1133" s="12"/>
      <c r="D1133" s="13" t="n">
        <f aca="false">IF(B1133&lt;5,Einstellungen!$B$3,Einstellungen!$B$4)</f>
        <v>29.13</v>
      </c>
      <c r="E1133" s="14" t="str">
        <f aca="false">IF(C1133="","",C1133*D1133/100)</f>
        <v/>
      </c>
      <c r="F1133" s="15" t="str">
        <f aca="false">IF(B1133&lt;5,"Go","Standard")</f>
        <v>Standard</v>
      </c>
    </row>
    <row r="1134" customFormat="false" ht="15" hidden="false" customHeight="true" outlineLevel="0" collapsed="false">
      <c r="A1134" s="10" t="n">
        <f aca="false">Einstellungen!$B$5+INT((ROW()-9)/24)</f>
        <v>46012</v>
      </c>
      <c r="B1134" s="11" t="n">
        <f aca="false">MOD(ROW()-9,24)</f>
        <v>21</v>
      </c>
      <c r="C1134" s="12"/>
      <c r="D1134" s="13" t="n">
        <f aca="false">IF(B1134&lt;5,Einstellungen!$B$3,Einstellungen!$B$4)</f>
        <v>29.13</v>
      </c>
      <c r="E1134" s="14" t="str">
        <f aca="false">IF(C1134="","",C1134*D1134/100)</f>
        <v/>
      </c>
      <c r="F1134" s="15" t="str">
        <f aca="false">IF(B1134&lt;5,"Go","Standard")</f>
        <v>Standard</v>
      </c>
    </row>
    <row r="1135" customFormat="false" ht="15" hidden="false" customHeight="true" outlineLevel="0" collapsed="false">
      <c r="A1135" s="10" t="n">
        <f aca="false">Einstellungen!$B$5+INT((ROW()-9)/24)</f>
        <v>46012</v>
      </c>
      <c r="B1135" s="11" t="n">
        <f aca="false">MOD(ROW()-9,24)</f>
        <v>22</v>
      </c>
      <c r="C1135" s="12"/>
      <c r="D1135" s="13" t="n">
        <f aca="false">IF(B1135&lt;5,Einstellungen!$B$3,Einstellungen!$B$4)</f>
        <v>29.13</v>
      </c>
      <c r="E1135" s="14" t="str">
        <f aca="false">IF(C1135="","",C1135*D1135/100)</f>
        <v/>
      </c>
      <c r="F1135" s="15" t="str">
        <f aca="false">IF(B1135&lt;5,"Go","Standard")</f>
        <v>Standard</v>
      </c>
    </row>
    <row r="1136" customFormat="false" ht="15" hidden="false" customHeight="true" outlineLevel="0" collapsed="false">
      <c r="A1136" s="10" t="n">
        <f aca="false">Einstellungen!$B$5+INT((ROW()-9)/24)</f>
        <v>46012</v>
      </c>
      <c r="B1136" s="11" t="n">
        <f aca="false">MOD(ROW()-9,24)</f>
        <v>23</v>
      </c>
      <c r="C1136" s="12"/>
      <c r="D1136" s="13" t="n">
        <f aca="false">IF(B1136&lt;5,Einstellungen!$B$3,Einstellungen!$B$4)</f>
        <v>29.13</v>
      </c>
      <c r="E1136" s="14" t="str">
        <f aca="false">IF(C1136="","",C1136*D1136/100)</f>
        <v/>
      </c>
      <c r="F1136" s="15" t="str">
        <f aca="false">IF(B1136&lt;5,"Go","Standard")</f>
        <v>Standard</v>
      </c>
    </row>
    <row r="1137" customFormat="false" ht="15" hidden="false" customHeight="true" outlineLevel="0" collapsed="false">
      <c r="A1137" s="10" t="n">
        <f aca="false">Einstellungen!$B$5+INT((ROW()-9)/24)</f>
        <v>46013</v>
      </c>
      <c r="B1137" s="11" t="n">
        <f aca="false">MOD(ROW()-9,24)</f>
        <v>0</v>
      </c>
      <c r="C1137" s="12"/>
      <c r="D1137" s="13" t="n">
        <f aca="false">IF(B1137&lt;5,Einstellungen!$B$3,Einstellungen!$B$4)</f>
        <v>15.92</v>
      </c>
      <c r="E1137" s="14" t="str">
        <f aca="false">IF(C1137="","",C1137*D1137/100)</f>
        <v/>
      </c>
      <c r="F1137" s="15" t="str">
        <f aca="false">IF(B1137&lt;5,"Go","Standard")</f>
        <v>Go</v>
      </c>
    </row>
    <row r="1138" customFormat="false" ht="15" hidden="false" customHeight="true" outlineLevel="0" collapsed="false">
      <c r="A1138" s="10" t="n">
        <f aca="false">Einstellungen!$B$5+INT((ROW()-9)/24)</f>
        <v>46013</v>
      </c>
      <c r="B1138" s="11" t="n">
        <f aca="false">MOD(ROW()-9,24)</f>
        <v>1</v>
      </c>
      <c r="C1138" s="12"/>
      <c r="D1138" s="13" t="n">
        <f aca="false">IF(B1138&lt;5,Einstellungen!$B$3,Einstellungen!$B$4)</f>
        <v>15.92</v>
      </c>
      <c r="E1138" s="14" t="str">
        <f aca="false">IF(C1138="","",C1138*D1138/100)</f>
        <v/>
      </c>
      <c r="F1138" s="15" t="str">
        <f aca="false">IF(B1138&lt;5,"Go","Standard")</f>
        <v>Go</v>
      </c>
    </row>
    <row r="1139" customFormat="false" ht="15" hidden="false" customHeight="true" outlineLevel="0" collapsed="false">
      <c r="A1139" s="10" t="n">
        <f aca="false">Einstellungen!$B$5+INT((ROW()-9)/24)</f>
        <v>46013</v>
      </c>
      <c r="B1139" s="11" t="n">
        <f aca="false">MOD(ROW()-9,24)</f>
        <v>2</v>
      </c>
      <c r="C1139" s="12"/>
      <c r="D1139" s="13" t="n">
        <f aca="false">IF(B1139&lt;5,Einstellungen!$B$3,Einstellungen!$B$4)</f>
        <v>15.92</v>
      </c>
      <c r="E1139" s="14" t="str">
        <f aca="false">IF(C1139="","",C1139*D1139/100)</f>
        <v/>
      </c>
      <c r="F1139" s="15" t="str">
        <f aca="false">IF(B1139&lt;5,"Go","Standard")</f>
        <v>Go</v>
      </c>
    </row>
    <row r="1140" customFormat="false" ht="15" hidden="false" customHeight="true" outlineLevel="0" collapsed="false">
      <c r="A1140" s="10" t="n">
        <f aca="false">Einstellungen!$B$5+INT((ROW()-9)/24)</f>
        <v>46013</v>
      </c>
      <c r="B1140" s="11" t="n">
        <f aca="false">MOD(ROW()-9,24)</f>
        <v>3</v>
      </c>
      <c r="C1140" s="12"/>
      <c r="D1140" s="13" t="n">
        <f aca="false">IF(B1140&lt;5,Einstellungen!$B$3,Einstellungen!$B$4)</f>
        <v>15.92</v>
      </c>
      <c r="E1140" s="14" t="str">
        <f aca="false">IF(C1140="","",C1140*D1140/100)</f>
        <v/>
      </c>
      <c r="F1140" s="15" t="str">
        <f aca="false">IF(B1140&lt;5,"Go","Standard")</f>
        <v>Go</v>
      </c>
    </row>
    <row r="1141" customFormat="false" ht="15" hidden="false" customHeight="true" outlineLevel="0" collapsed="false">
      <c r="A1141" s="10" t="n">
        <f aca="false">Einstellungen!$B$5+INT((ROW()-9)/24)</f>
        <v>46013</v>
      </c>
      <c r="B1141" s="11" t="n">
        <f aca="false">MOD(ROW()-9,24)</f>
        <v>4</v>
      </c>
      <c r="C1141" s="12"/>
      <c r="D1141" s="13" t="n">
        <f aca="false">IF(B1141&lt;5,Einstellungen!$B$3,Einstellungen!$B$4)</f>
        <v>15.92</v>
      </c>
      <c r="E1141" s="14" t="str">
        <f aca="false">IF(C1141="","",C1141*D1141/100)</f>
        <v/>
      </c>
      <c r="F1141" s="15" t="str">
        <f aca="false">IF(B1141&lt;5,"Go","Standard")</f>
        <v>Go</v>
      </c>
    </row>
    <row r="1142" customFormat="false" ht="15" hidden="false" customHeight="true" outlineLevel="0" collapsed="false">
      <c r="A1142" s="10" t="n">
        <f aca="false">Einstellungen!$B$5+INT((ROW()-9)/24)</f>
        <v>46013</v>
      </c>
      <c r="B1142" s="11" t="n">
        <f aca="false">MOD(ROW()-9,24)</f>
        <v>5</v>
      </c>
      <c r="C1142" s="12"/>
      <c r="D1142" s="13" t="n">
        <f aca="false">IF(B1142&lt;5,Einstellungen!$B$3,Einstellungen!$B$4)</f>
        <v>29.13</v>
      </c>
      <c r="E1142" s="14" t="str">
        <f aca="false">IF(C1142="","",C1142*D1142/100)</f>
        <v/>
      </c>
      <c r="F1142" s="15" t="str">
        <f aca="false">IF(B1142&lt;5,"Go","Standard")</f>
        <v>Standard</v>
      </c>
    </row>
    <row r="1143" customFormat="false" ht="15" hidden="false" customHeight="true" outlineLevel="0" collapsed="false">
      <c r="A1143" s="10" t="n">
        <f aca="false">Einstellungen!$B$5+INT((ROW()-9)/24)</f>
        <v>46013</v>
      </c>
      <c r="B1143" s="11" t="n">
        <f aca="false">MOD(ROW()-9,24)</f>
        <v>6</v>
      </c>
      <c r="C1143" s="12"/>
      <c r="D1143" s="13" t="n">
        <f aca="false">IF(B1143&lt;5,Einstellungen!$B$3,Einstellungen!$B$4)</f>
        <v>29.13</v>
      </c>
      <c r="E1143" s="14" t="str">
        <f aca="false">IF(C1143="","",C1143*D1143/100)</f>
        <v/>
      </c>
      <c r="F1143" s="15" t="str">
        <f aca="false">IF(B1143&lt;5,"Go","Standard")</f>
        <v>Standard</v>
      </c>
    </row>
    <row r="1144" customFormat="false" ht="15" hidden="false" customHeight="true" outlineLevel="0" collapsed="false">
      <c r="A1144" s="10" t="n">
        <f aca="false">Einstellungen!$B$5+INT((ROW()-9)/24)</f>
        <v>46013</v>
      </c>
      <c r="B1144" s="11" t="n">
        <f aca="false">MOD(ROW()-9,24)</f>
        <v>7</v>
      </c>
      <c r="C1144" s="12"/>
      <c r="D1144" s="13" t="n">
        <f aca="false">IF(B1144&lt;5,Einstellungen!$B$3,Einstellungen!$B$4)</f>
        <v>29.13</v>
      </c>
      <c r="E1144" s="14" t="str">
        <f aca="false">IF(C1144="","",C1144*D1144/100)</f>
        <v/>
      </c>
      <c r="F1144" s="15" t="str">
        <f aca="false">IF(B1144&lt;5,"Go","Standard")</f>
        <v>Standard</v>
      </c>
    </row>
    <row r="1145" customFormat="false" ht="15" hidden="false" customHeight="true" outlineLevel="0" collapsed="false">
      <c r="A1145" s="10" t="n">
        <f aca="false">Einstellungen!$B$5+INT((ROW()-9)/24)</f>
        <v>46013</v>
      </c>
      <c r="B1145" s="11" t="n">
        <f aca="false">MOD(ROW()-9,24)</f>
        <v>8</v>
      </c>
      <c r="C1145" s="12"/>
      <c r="D1145" s="13" t="n">
        <f aca="false">IF(B1145&lt;5,Einstellungen!$B$3,Einstellungen!$B$4)</f>
        <v>29.13</v>
      </c>
      <c r="E1145" s="14" t="str">
        <f aca="false">IF(C1145="","",C1145*D1145/100)</f>
        <v/>
      </c>
      <c r="F1145" s="15" t="str">
        <f aca="false">IF(B1145&lt;5,"Go","Standard")</f>
        <v>Standard</v>
      </c>
    </row>
    <row r="1146" customFormat="false" ht="15" hidden="false" customHeight="true" outlineLevel="0" collapsed="false">
      <c r="A1146" s="10" t="n">
        <f aca="false">Einstellungen!$B$5+INT((ROW()-9)/24)</f>
        <v>46013</v>
      </c>
      <c r="B1146" s="11" t="n">
        <f aca="false">MOD(ROW()-9,24)</f>
        <v>9</v>
      </c>
      <c r="C1146" s="12"/>
      <c r="D1146" s="13" t="n">
        <f aca="false">IF(B1146&lt;5,Einstellungen!$B$3,Einstellungen!$B$4)</f>
        <v>29.13</v>
      </c>
      <c r="E1146" s="14" t="str">
        <f aca="false">IF(C1146="","",C1146*D1146/100)</f>
        <v/>
      </c>
      <c r="F1146" s="15" t="str">
        <f aca="false">IF(B1146&lt;5,"Go","Standard")</f>
        <v>Standard</v>
      </c>
    </row>
    <row r="1147" customFormat="false" ht="15" hidden="false" customHeight="true" outlineLevel="0" collapsed="false">
      <c r="A1147" s="10" t="n">
        <f aca="false">Einstellungen!$B$5+INT((ROW()-9)/24)</f>
        <v>46013</v>
      </c>
      <c r="B1147" s="11" t="n">
        <f aca="false">MOD(ROW()-9,24)</f>
        <v>10</v>
      </c>
      <c r="C1147" s="12"/>
      <c r="D1147" s="13" t="n">
        <f aca="false">IF(B1147&lt;5,Einstellungen!$B$3,Einstellungen!$B$4)</f>
        <v>29.13</v>
      </c>
      <c r="E1147" s="14" t="str">
        <f aca="false">IF(C1147="","",C1147*D1147/100)</f>
        <v/>
      </c>
      <c r="F1147" s="15" t="str">
        <f aca="false">IF(B1147&lt;5,"Go","Standard")</f>
        <v>Standard</v>
      </c>
    </row>
    <row r="1148" customFormat="false" ht="15" hidden="false" customHeight="true" outlineLevel="0" collapsed="false">
      <c r="A1148" s="10" t="n">
        <f aca="false">Einstellungen!$B$5+INT((ROW()-9)/24)</f>
        <v>46013</v>
      </c>
      <c r="B1148" s="11" t="n">
        <f aca="false">MOD(ROW()-9,24)</f>
        <v>11</v>
      </c>
      <c r="C1148" s="12"/>
      <c r="D1148" s="13" t="n">
        <f aca="false">IF(B1148&lt;5,Einstellungen!$B$3,Einstellungen!$B$4)</f>
        <v>29.13</v>
      </c>
      <c r="E1148" s="14" t="str">
        <f aca="false">IF(C1148="","",C1148*D1148/100)</f>
        <v/>
      </c>
      <c r="F1148" s="15" t="str">
        <f aca="false">IF(B1148&lt;5,"Go","Standard")</f>
        <v>Standard</v>
      </c>
    </row>
    <row r="1149" customFormat="false" ht="15" hidden="false" customHeight="true" outlineLevel="0" collapsed="false">
      <c r="A1149" s="10" t="n">
        <f aca="false">Einstellungen!$B$5+INT((ROW()-9)/24)</f>
        <v>46013</v>
      </c>
      <c r="B1149" s="11" t="n">
        <f aca="false">MOD(ROW()-9,24)</f>
        <v>12</v>
      </c>
      <c r="C1149" s="12"/>
      <c r="D1149" s="13" t="n">
        <f aca="false">IF(B1149&lt;5,Einstellungen!$B$3,Einstellungen!$B$4)</f>
        <v>29.13</v>
      </c>
      <c r="E1149" s="14" t="str">
        <f aca="false">IF(C1149="","",C1149*D1149/100)</f>
        <v/>
      </c>
      <c r="F1149" s="15" t="str">
        <f aca="false">IF(B1149&lt;5,"Go","Standard")</f>
        <v>Standard</v>
      </c>
    </row>
    <row r="1150" customFormat="false" ht="15" hidden="false" customHeight="true" outlineLevel="0" collapsed="false">
      <c r="A1150" s="10" t="n">
        <f aca="false">Einstellungen!$B$5+INT((ROW()-9)/24)</f>
        <v>46013</v>
      </c>
      <c r="B1150" s="11" t="n">
        <f aca="false">MOD(ROW()-9,24)</f>
        <v>13</v>
      </c>
      <c r="C1150" s="12"/>
      <c r="D1150" s="13" t="n">
        <f aca="false">IF(B1150&lt;5,Einstellungen!$B$3,Einstellungen!$B$4)</f>
        <v>29.13</v>
      </c>
      <c r="E1150" s="14" t="str">
        <f aca="false">IF(C1150="","",C1150*D1150/100)</f>
        <v/>
      </c>
      <c r="F1150" s="15" t="str">
        <f aca="false">IF(B1150&lt;5,"Go","Standard")</f>
        <v>Standard</v>
      </c>
    </row>
    <row r="1151" customFormat="false" ht="15" hidden="false" customHeight="true" outlineLevel="0" collapsed="false">
      <c r="A1151" s="10" t="n">
        <f aca="false">Einstellungen!$B$5+INT((ROW()-9)/24)</f>
        <v>46013</v>
      </c>
      <c r="B1151" s="11" t="n">
        <f aca="false">MOD(ROW()-9,24)</f>
        <v>14</v>
      </c>
      <c r="C1151" s="12"/>
      <c r="D1151" s="13" t="n">
        <f aca="false">IF(B1151&lt;5,Einstellungen!$B$3,Einstellungen!$B$4)</f>
        <v>29.13</v>
      </c>
      <c r="E1151" s="14" t="str">
        <f aca="false">IF(C1151="","",C1151*D1151/100)</f>
        <v/>
      </c>
      <c r="F1151" s="15" t="str">
        <f aca="false">IF(B1151&lt;5,"Go","Standard")</f>
        <v>Standard</v>
      </c>
    </row>
    <row r="1152" customFormat="false" ht="15" hidden="false" customHeight="true" outlineLevel="0" collapsed="false">
      <c r="A1152" s="10" t="n">
        <f aca="false">Einstellungen!$B$5+INT((ROW()-9)/24)</f>
        <v>46013</v>
      </c>
      <c r="B1152" s="11" t="n">
        <f aca="false">MOD(ROW()-9,24)</f>
        <v>15</v>
      </c>
      <c r="C1152" s="12"/>
      <c r="D1152" s="13" t="n">
        <f aca="false">IF(B1152&lt;5,Einstellungen!$B$3,Einstellungen!$B$4)</f>
        <v>29.13</v>
      </c>
      <c r="E1152" s="14" t="str">
        <f aca="false">IF(C1152="","",C1152*D1152/100)</f>
        <v/>
      </c>
      <c r="F1152" s="15" t="str">
        <f aca="false">IF(B1152&lt;5,"Go","Standard")</f>
        <v>Standard</v>
      </c>
    </row>
    <row r="1153" customFormat="false" ht="15" hidden="false" customHeight="true" outlineLevel="0" collapsed="false">
      <c r="A1153" s="10" t="n">
        <f aca="false">Einstellungen!$B$5+INT((ROW()-9)/24)</f>
        <v>46013</v>
      </c>
      <c r="B1153" s="11" t="n">
        <f aca="false">MOD(ROW()-9,24)</f>
        <v>16</v>
      </c>
      <c r="C1153" s="12"/>
      <c r="D1153" s="13" t="n">
        <f aca="false">IF(B1153&lt;5,Einstellungen!$B$3,Einstellungen!$B$4)</f>
        <v>29.13</v>
      </c>
      <c r="E1153" s="14" t="str">
        <f aca="false">IF(C1153="","",C1153*D1153/100)</f>
        <v/>
      </c>
      <c r="F1153" s="15" t="str">
        <f aca="false">IF(B1153&lt;5,"Go","Standard")</f>
        <v>Standard</v>
      </c>
    </row>
    <row r="1154" customFormat="false" ht="15" hidden="false" customHeight="true" outlineLevel="0" collapsed="false">
      <c r="A1154" s="10" t="n">
        <f aca="false">Einstellungen!$B$5+INT((ROW()-9)/24)</f>
        <v>46013</v>
      </c>
      <c r="B1154" s="11" t="n">
        <f aca="false">MOD(ROW()-9,24)</f>
        <v>17</v>
      </c>
      <c r="C1154" s="12"/>
      <c r="D1154" s="13" t="n">
        <f aca="false">IF(B1154&lt;5,Einstellungen!$B$3,Einstellungen!$B$4)</f>
        <v>29.13</v>
      </c>
      <c r="E1154" s="14" t="str">
        <f aca="false">IF(C1154="","",C1154*D1154/100)</f>
        <v/>
      </c>
      <c r="F1154" s="15" t="str">
        <f aca="false">IF(B1154&lt;5,"Go","Standard")</f>
        <v>Standard</v>
      </c>
    </row>
    <row r="1155" customFormat="false" ht="15" hidden="false" customHeight="true" outlineLevel="0" collapsed="false">
      <c r="A1155" s="10" t="n">
        <f aca="false">Einstellungen!$B$5+INT((ROW()-9)/24)</f>
        <v>46013</v>
      </c>
      <c r="B1155" s="11" t="n">
        <f aca="false">MOD(ROW()-9,24)</f>
        <v>18</v>
      </c>
      <c r="C1155" s="12"/>
      <c r="D1155" s="13" t="n">
        <f aca="false">IF(B1155&lt;5,Einstellungen!$B$3,Einstellungen!$B$4)</f>
        <v>29.13</v>
      </c>
      <c r="E1155" s="14" t="str">
        <f aca="false">IF(C1155="","",C1155*D1155/100)</f>
        <v/>
      </c>
      <c r="F1155" s="15" t="str">
        <f aca="false">IF(B1155&lt;5,"Go","Standard")</f>
        <v>Standard</v>
      </c>
    </row>
    <row r="1156" customFormat="false" ht="15" hidden="false" customHeight="true" outlineLevel="0" collapsed="false">
      <c r="A1156" s="10" t="n">
        <f aca="false">Einstellungen!$B$5+INT((ROW()-9)/24)</f>
        <v>46013</v>
      </c>
      <c r="B1156" s="11" t="n">
        <f aca="false">MOD(ROW()-9,24)</f>
        <v>19</v>
      </c>
      <c r="C1156" s="12"/>
      <c r="D1156" s="13" t="n">
        <f aca="false">IF(B1156&lt;5,Einstellungen!$B$3,Einstellungen!$B$4)</f>
        <v>29.13</v>
      </c>
      <c r="E1156" s="14" t="str">
        <f aca="false">IF(C1156="","",C1156*D1156/100)</f>
        <v/>
      </c>
      <c r="F1156" s="15" t="str">
        <f aca="false">IF(B1156&lt;5,"Go","Standard")</f>
        <v>Standard</v>
      </c>
    </row>
    <row r="1157" customFormat="false" ht="15" hidden="false" customHeight="true" outlineLevel="0" collapsed="false">
      <c r="A1157" s="10" t="n">
        <f aca="false">Einstellungen!$B$5+INT((ROW()-9)/24)</f>
        <v>46013</v>
      </c>
      <c r="B1157" s="11" t="n">
        <f aca="false">MOD(ROW()-9,24)</f>
        <v>20</v>
      </c>
      <c r="C1157" s="12"/>
      <c r="D1157" s="13" t="n">
        <f aca="false">IF(B1157&lt;5,Einstellungen!$B$3,Einstellungen!$B$4)</f>
        <v>29.13</v>
      </c>
      <c r="E1157" s="14" t="str">
        <f aca="false">IF(C1157="","",C1157*D1157/100)</f>
        <v/>
      </c>
      <c r="F1157" s="15" t="str">
        <f aca="false">IF(B1157&lt;5,"Go","Standard")</f>
        <v>Standard</v>
      </c>
    </row>
    <row r="1158" customFormat="false" ht="15" hidden="false" customHeight="true" outlineLevel="0" collapsed="false">
      <c r="A1158" s="10" t="n">
        <f aca="false">Einstellungen!$B$5+INT((ROW()-9)/24)</f>
        <v>46013</v>
      </c>
      <c r="B1158" s="11" t="n">
        <f aca="false">MOD(ROW()-9,24)</f>
        <v>21</v>
      </c>
      <c r="C1158" s="12"/>
      <c r="D1158" s="13" t="n">
        <f aca="false">IF(B1158&lt;5,Einstellungen!$B$3,Einstellungen!$B$4)</f>
        <v>29.13</v>
      </c>
      <c r="E1158" s="14" t="str">
        <f aca="false">IF(C1158="","",C1158*D1158/100)</f>
        <v/>
      </c>
      <c r="F1158" s="15" t="str">
        <f aca="false">IF(B1158&lt;5,"Go","Standard")</f>
        <v>Standard</v>
      </c>
    </row>
    <row r="1159" customFormat="false" ht="15" hidden="false" customHeight="true" outlineLevel="0" collapsed="false">
      <c r="A1159" s="10" t="n">
        <f aca="false">Einstellungen!$B$5+INT((ROW()-9)/24)</f>
        <v>46013</v>
      </c>
      <c r="B1159" s="11" t="n">
        <f aca="false">MOD(ROW()-9,24)</f>
        <v>22</v>
      </c>
      <c r="C1159" s="12"/>
      <c r="D1159" s="13" t="n">
        <f aca="false">IF(B1159&lt;5,Einstellungen!$B$3,Einstellungen!$B$4)</f>
        <v>29.13</v>
      </c>
      <c r="E1159" s="14" t="str">
        <f aca="false">IF(C1159="","",C1159*D1159/100)</f>
        <v/>
      </c>
      <c r="F1159" s="15" t="str">
        <f aca="false">IF(B1159&lt;5,"Go","Standard")</f>
        <v>Standard</v>
      </c>
    </row>
    <row r="1160" customFormat="false" ht="15" hidden="false" customHeight="true" outlineLevel="0" collapsed="false">
      <c r="A1160" s="10" t="n">
        <f aca="false">Einstellungen!$B$5+INT((ROW()-9)/24)</f>
        <v>46013</v>
      </c>
      <c r="B1160" s="11" t="n">
        <f aca="false">MOD(ROW()-9,24)</f>
        <v>23</v>
      </c>
      <c r="C1160" s="12"/>
      <c r="D1160" s="13" t="n">
        <f aca="false">IF(B1160&lt;5,Einstellungen!$B$3,Einstellungen!$B$4)</f>
        <v>29.13</v>
      </c>
      <c r="E1160" s="14" t="str">
        <f aca="false">IF(C1160="","",C1160*D1160/100)</f>
        <v/>
      </c>
      <c r="F1160" s="15" t="str">
        <f aca="false">IF(B1160&lt;5,"Go","Standard")</f>
        <v>Standard</v>
      </c>
    </row>
    <row r="1161" customFormat="false" ht="15" hidden="false" customHeight="true" outlineLevel="0" collapsed="false">
      <c r="A1161" s="10" t="n">
        <f aca="false">Einstellungen!$B$5+INT((ROW()-9)/24)</f>
        <v>46014</v>
      </c>
      <c r="B1161" s="11" t="n">
        <f aca="false">MOD(ROW()-9,24)</f>
        <v>0</v>
      </c>
      <c r="C1161" s="12"/>
      <c r="D1161" s="13" t="n">
        <f aca="false">IF(B1161&lt;5,Einstellungen!$B$3,Einstellungen!$B$4)</f>
        <v>15.92</v>
      </c>
      <c r="E1161" s="14" t="str">
        <f aca="false">IF(C1161="","",C1161*D1161/100)</f>
        <v/>
      </c>
      <c r="F1161" s="15" t="str">
        <f aca="false">IF(B1161&lt;5,"Go","Standard")</f>
        <v>Go</v>
      </c>
    </row>
    <row r="1162" customFormat="false" ht="15" hidden="false" customHeight="true" outlineLevel="0" collapsed="false">
      <c r="A1162" s="10" t="n">
        <f aca="false">Einstellungen!$B$5+INT((ROW()-9)/24)</f>
        <v>46014</v>
      </c>
      <c r="B1162" s="11" t="n">
        <f aca="false">MOD(ROW()-9,24)</f>
        <v>1</v>
      </c>
      <c r="C1162" s="12"/>
      <c r="D1162" s="13" t="n">
        <f aca="false">IF(B1162&lt;5,Einstellungen!$B$3,Einstellungen!$B$4)</f>
        <v>15.92</v>
      </c>
      <c r="E1162" s="14" t="str">
        <f aca="false">IF(C1162="","",C1162*D1162/100)</f>
        <v/>
      </c>
      <c r="F1162" s="15" t="str">
        <f aca="false">IF(B1162&lt;5,"Go","Standard")</f>
        <v>Go</v>
      </c>
    </row>
    <row r="1163" customFormat="false" ht="15" hidden="false" customHeight="true" outlineLevel="0" collapsed="false">
      <c r="A1163" s="10" t="n">
        <f aca="false">Einstellungen!$B$5+INT((ROW()-9)/24)</f>
        <v>46014</v>
      </c>
      <c r="B1163" s="11" t="n">
        <f aca="false">MOD(ROW()-9,24)</f>
        <v>2</v>
      </c>
      <c r="C1163" s="12"/>
      <c r="D1163" s="13" t="n">
        <f aca="false">IF(B1163&lt;5,Einstellungen!$B$3,Einstellungen!$B$4)</f>
        <v>15.92</v>
      </c>
      <c r="E1163" s="14" t="str">
        <f aca="false">IF(C1163="","",C1163*D1163/100)</f>
        <v/>
      </c>
      <c r="F1163" s="15" t="str">
        <f aca="false">IF(B1163&lt;5,"Go","Standard")</f>
        <v>Go</v>
      </c>
    </row>
    <row r="1164" customFormat="false" ht="15" hidden="false" customHeight="true" outlineLevel="0" collapsed="false">
      <c r="A1164" s="10" t="n">
        <f aca="false">Einstellungen!$B$5+INT((ROW()-9)/24)</f>
        <v>46014</v>
      </c>
      <c r="B1164" s="11" t="n">
        <f aca="false">MOD(ROW()-9,24)</f>
        <v>3</v>
      </c>
      <c r="C1164" s="12"/>
      <c r="D1164" s="13" t="n">
        <f aca="false">IF(B1164&lt;5,Einstellungen!$B$3,Einstellungen!$B$4)</f>
        <v>15.92</v>
      </c>
      <c r="E1164" s="14" t="str">
        <f aca="false">IF(C1164="","",C1164*D1164/100)</f>
        <v/>
      </c>
      <c r="F1164" s="15" t="str">
        <f aca="false">IF(B1164&lt;5,"Go","Standard")</f>
        <v>Go</v>
      </c>
    </row>
    <row r="1165" customFormat="false" ht="15" hidden="false" customHeight="true" outlineLevel="0" collapsed="false">
      <c r="A1165" s="10" t="n">
        <f aca="false">Einstellungen!$B$5+INT((ROW()-9)/24)</f>
        <v>46014</v>
      </c>
      <c r="B1165" s="11" t="n">
        <f aca="false">MOD(ROW()-9,24)</f>
        <v>4</v>
      </c>
      <c r="C1165" s="12"/>
      <c r="D1165" s="13" t="n">
        <f aca="false">IF(B1165&lt;5,Einstellungen!$B$3,Einstellungen!$B$4)</f>
        <v>15.92</v>
      </c>
      <c r="E1165" s="14" t="str">
        <f aca="false">IF(C1165="","",C1165*D1165/100)</f>
        <v/>
      </c>
      <c r="F1165" s="15" t="str">
        <f aca="false">IF(B1165&lt;5,"Go","Standard")</f>
        <v>Go</v>
      </c>
    </row>
    <row r="1166" customFormat="false" ht="15" hidden="false" customHeight="true" outlineLevel="0" collapsed="false">
      <c r="A1166" s="10" t="n">
        <f aca="false">Einstellungen!$B$5+INT((ROW()-9)/24)</f>
        <v>46014</v>
      </c>
      <c r="B1166" s="11" t="n">
        <f aca="false">MOD(ROW()-9,24)</f>
        <v>5</v>
      </c>
      <c r="C1166" s="12"/>
      <c r="D1166" s="13" t="n">
        <f aca="false">IF(B1166&lt;5,Einstellungen!$B$3,Einstellungen!$B$4)</f>
        <v>29.13</v>
      </c>
      <c r="E1166" s="14" t="str">
        <f aca="false">IF(C1166="","",C1166*D1166/100)</f>
        <v/>
      </c>
      <c r="F1166" s="15" t="str">
        <f aca="false">IF(B1166&lt;5,"Go","Standard")</f>
        <v>Standard</v>
      </c>
    </row>
    <row r="1167" customFormat="false" ht="15" hidden="false" customHeight="true" outlineLevel="0" collapsed="false">
      <c r="A1167" s="10" t="n">
        <f aca="false">Einstellungen!$B$5+INT((ROW()-9)/24)</f>
        <v>46014</v>
      </c>
      <c r="B1167" s="11" t="n">
        <f aca="false">MOD(ROW()-9,24)</f>
        <v>6</v>
      </c>
      <c r="C1167" s="12"/>
      <c r="D1167" s="13" t="n">
        <f aca="false">IF(B1167&lt;5,Einstellungen!$B$3,Einstellungen!$B$4)</f>
        <v>29.13</v>
      </c>
      <c r="E1167" s="14" t="str">
        <f aca="false">IF(C1167="","",C1167*D1167/100)</f>
        <v/>
      </c>
      <c r="F1167" s="15" t="str">
        <f aca="false">IF(B1167&lt;5,"Go","Standard")</f>
        <v>Standard</v>
      </c>
    </row>
    <row r="1168" customFormat="false" ht="15" hidden="false" customHeight="true" outlineLevel="0" collapsed="false">
      <c r="A1168" s="10" t="n">
        <f aca="false">Einstellungen!$B$5+INT((ROW()-9)/24)</f>
        <v>46014</v>
      </c>
      <c r="B1168" s="11" t="n">
        <f aca="false">MOD(ROW()-9,24)</f>
        <v>7</v>
      </c>
      <c r="C1168" s="12"/>
      <c r="D1168" s="13" t="n">
        <f aca="false">IF(B1168&lt;5,Einstellungen!$B$3,Einstellungen!$B$4)</f>
        <v>29.13</v>
      </c>
      <c r="E1168" s="14" t="str">
        <f aca="false">IF(C1168="","",C1168*D1168/100)</f>
        <v/>
      </c>
      <c r="F1168" s="15" t="str">
        <f aca="false">IF(B1168&lt;5,"Go","Standard")</f>
        <v>Standard</v>
      </c>
    </row>
    <row r="1169" customFormat="false" ht="15" hidden="false" customHeight="true" outlineLevel="0" collapsed="false">
      <c r="A1169" s="10" t="n">
        <f aca="false">Einstellungen!$B$5+INT((ROW()-9)/24)</f>
        <v>46014</v>
      </c>
      <c r="B1169" s="11" t="n">
        <f aca="false">MOD(ROW()-9,24)</f>
        <v>8</v>
      </c>
      <c r="C1169" s="12"/>
      <c r="D1169" s="13" t="n">
        <f aca="false">IF(B1169&lt;5,Einstellungen!$B$3,Einstellungen!$B$4)</f>
        <v>29.13</v>
      </c>
      <c r="E1169" s="14" t="str">
        <f aca="false">IF(C1169="","",C1169*D1169/100)</f>
        <v/>
      </c>
      <c r="F1169" s="15" t="str">
        <f aca="false">IF(B1169&lt;5,"Go","Standard")</f>
        <v>Standard</v>
      </c>
    </row>
    <row r="1170" customFormat="false" ht="15" hidden="false" customHeight="true" outlineLevel="0" collapsed="false">
      <c r="A1170" s="10" t="n">
        <f aca="false">Einstellungen!$B$5+INT((ROW()-9)/24)</f>
        <v>46014</v>
      </c>
      <c r="B1170" s="11" t="n">
        <f aca="false">MOD(ROW()-9,24)</f>
        <v>9</v>
      </c>
      <c r="C1170" s="12"/>
      <c r="D1170" s="13" t="n">
        <f aca="false">IF(B1170&lt;5,Einstellungen!$B$3,Einstellungen!$B$4)</f>
        <v>29.13</v>
      </c>
      <c r="E1170" s="14" t="str">
        <f aca="false">IF(C1170="","",C1170*D1170/100)</f>
        <v/>
      </c>
      <c r="F1170" s="15" t="str">
        <f aca="false">IF(B1170&lt;5,"Go","Standard")</f>
        <v>Standard</v>
      </c>
    </row>
    <row r="1171" customFormat="false" ht="15" hidden="false" customHeight="true" outlineLevel="0" collapsed="false">
      <c r="A1171" s="10" t="n">
        <f aca="false">Einstellungen!$B$5+INT((ROW()-9)/24)</f>
        <v>46014</v>
      </c>
      <c r="B1171" s="11" t="n">
        <f aca="false">MOD(ROW()-9,24)</f>
        <v>10</v>
      </c>
      <c r="C1171" s="12"/>
      <c r="D1171" s="13" t="n">
        <f aca="false">IF(B1171&lt;5,Einstellungen!$B$3,Einstellungen!$B$4)</f>
        <v>29.13</v>
      </c>
      <c r="E1171" s="14" t="str">
        <f aca="false">IF(C1171="","",C1171*D1171/100)</f>
        <v/>
      </c>
      <c r="F1171" s="15" t="str">
        <f aca="false">IF(B1171&lt;5,"Go","Standard")</f>
        <v>Standard</v>
      </c>
    </row>
    <row r="1172" customFormat="false" ht="15" hidden="false" customHeight="true" outlineLevel="0" collapsed="false">
      <c r="A1172" s="10" t="n">
        <f aca="false">Einstellungen!$B$5+INT((ROW()-9)/24)</f>
        <v>46014</v>
      </c>
      <c r="B1172" s="11" t="n">
        <f aca="false">MOD(ROW()-9,24)</f>
        <v>11</v>
      </c>
      <c r="C1172" s="12"/>
      <c r="D1172" s="13" t="n">
        <f aca="false">IF(B1172&lt;5,Einstellungen!$B$3,Einstellungen!$B$4)</f>
        <v>29.13</v>
      </c>
      <c r="E1172" s="14" t="str">
        <f aca="false">IF(C1172="","",C1172*D1172/100)</f>
        <v/>
      </c>
      <c r="F1172" s="15" t="str">
        <f aca="false">IF(B1172&lt;5,"Go","Standard")</f>
        <v>Standard</v>
      </c>
    </row>
    <row r="1173" customFormat="false" ht="15" hidden="false" customHeight="true" outlineLevel="0" collapsed="false">
      <c r="A1173" s="10" t="n">
        <f aca="false">Einstellungen!$B$5+INT((ROW()-9)/24)</f>
        <v>46014</v>
      </c>
      <c r="B1173" s="11" t="n">
        <f aca="false">MOD(ROW()-9,24)</f>
        <v>12</v>
      </c>
      <c r="C1173" s="12"/>
      <c r="D1173" s="13" t="n">
        <f aca="false">IF(B1173&lt;5,Einstellungen!$B$3,Einstellungen!$B$4)</f>
        <v>29.13</v>
      </c>
      <c r="E1173" s="14" t="str">
        <f aca="false">IF(C1173="","",C1173*D1173/100)</f>
        <v/>
      </c>
      <c r="F1173" s="15" t="str">
        <f aca="false">IF(B1173&lt;5,"Go","Standard")</f>
        <v>Standard</v>
      </c>
    </row>
    <row r="1174" customFormat="false" ht="15" hidden="false" customHeight="true" outlineLevel="0" collapsed="false">
      <c r="A1174" s="10" t="n">
        <f aca="false">Einstellungen!$B$5+INT((ROW()-9)/24)</f>
        <v>46014</v>
      </c>
      <c r="B1174" s="11" t="n">
        <f aca="false">MOD(ROW()-9,24)</f>
        <v>13</v>
      </c>
      <c r="C1174" s="12"/>
      <c r="D1174" s="13" t="n">
        <f aca="false">IF(B1174&lt;5,Einstellungen!$B$3,Einstellungen!$B$4)</f>
        <v>29.13</v>
      </c>
      <c r="E1174" s="14" t="str">
        <f aca="false">IF(C1174="","",C1174*D1174/100)</f>
        <v/>
      </c>
      <c r="F1174" s="15" t="str">
        <f aca="false">IF(B1174&lt;5,"Go","Standard")</f>
        <v>Standard</v>
      </c>
    </row>
    <row r="1175" customFormat="false" ht="15" hidden="false" customHeight="true" outlineLevel="0" collapsed="false">
      <c r="A1175" s="10" t="n">
        <f aca="false">Einstellungen!$B$5+INT((ROW()-9)/24)</f>
        <v>46014</v>
      </c>
      <c r="B1175" s="11" t="n">
        <f aca="false">MOD(ROW()-9,24)</f>
        <v>14</v>
      </c>
      <c r="C1175" s="12"/>
      <c r="D1175" s="13" t="n">
        <f aca="false">IF(B1175&lt;5,Einstellungen!$B$3,Einstellungen!$B$4)</f>
        <v>29.13</v>
      </c>
      <c r="E1175" s="14" t="str">
        <f aca="false">IF(C1175="","",C1175*D1175/100)</f>
        <v/>
      </c>
      <c r="F1175" s="15" t="str">
        <f aca="false">IF(B1175&lt;5,"Go","Standard")</f>
        <v>Standard</v>
      </c>
    </row>
    <row r="1176" customFormat="false" ht="15" hidden="false" customHeight="true" outlineLevel="0" collapsed="false">
      <c r="A1176" s="10" t="n">
        <f aca="false">Einstellungen!$B$5+INT((ROW()-9)/24)</f>
        <v>46014</v>
      </c>
      <c r="B1176" s="11" t="n">
        <f aca="false">MOD(ROW()-9,24)</f>
        <v>15</v>
      </c>
      <c r="C1176" s="12"/>
      <c r="D1176" s="13" t="n">
        <f aca="false">IF(B1176&lt;5,Einstellungen!$B$3,Einstellungen!$B$4)</f>
        <v>29.13</v>
      </c>
      <c r="E1176" s="14" t="str">
        <f aca="false">IF(C1176="","",C1176*D1176/100)</f>
        <v/>
      </c>
      <c r="F1176" s="15" t="str">
        <f aca="false">IF(B1176&lt;5,"Go","Standard")</f>
        <v>Standard</v>
      </c>
    </row>
    <row r="1177" customFormat="false" ht="15" hidden="false" customHeight="true" outlineLevel="0" collapsed="false">
      <c r="A1177" s="10" t="n">
        <f aca="false">Einstellungen!$B$5+INT((ROW()-9)/24)</f>
        <v>46014</v>
      </c>
      <c r="B1177" s="11" t="n">
        <f aca="false">MOD(ROW()-9,24)</f>
        <v>16</v>
      </c>
      <c r="C1177" s="12"/>
      <c r="D1177" s="13" t="n">
        <f aca="false">IF(B1177&lt;5,Einstellungen!$B$3,Einstellungen!$B$4)</f>
        <v>29.13</v>
      </c>
      <c r="E1177" s="14" t="str">
        <f aca="false">IF(C1177="","",C1177*D1177/100)</f>
        <v/>
      </c>
      <c r="F1177" s="15" t="str">
        <f aca="false">IF(B1177&lt;5,"Go","Standard")</f>
        <v>Standard</v>
      </c>
    </row>
    <row r="1178" customFormat="false" ht="15" hidden="false" customHeight="true" outlineLevel="0" collapsed="false">
      <c r="A1178" s="10" t="n">
        <f aca="false">Einstellungen!$B$5+INT((ROW()-9)/24)</f>
        <v>46014</v>
      </c>
      <c r="B1178" s="11" t="n">
        <f aca="false">MOD(ROW()-9,24)</f>
        <v>17</v>
      </c>
      <c r="C1178" s="12"/>
      <c r="D1178" s="13" t="n">
        <f aca="false">IF(B1178&lt;5,Einstellungen!$B$3,Einstellungen!$B$4)</f>
        <v>29.13</v>
      </c>
      <c r="E1178" s="14" t="str">
        <f aca="false">IF(C1178="","",C1178*D1178/100)</f>
        <v/>
      </c>
      <c r="F1178" s="15" t="str">
        <f aca="false">IF(B1178&lt;5,"Go","Standard")</f>
        <v>Standard</v>
      </c>
    </row>
    <row r="1179" customFormat="false" ht="15" hidden="false" customHeight="true" outlineLevel="0" collapsed="false">
      <c r="A1179" s="10" t="n">
        <f aca="false">Einstellungen!$B$5+INT((ROW()-9)/24)</f>
        <v>46014</v>
      </c>
      <c r="B1179" s="11" t="n">
        <f aca="false">MOD(ROW()-9,24)</f>
        <v>18</v>
      </c>
      <c r="C1179" s="12"/>
      <c r="D1179" s="13" t="n">
        <f aca="false">IF(B1179&lt;5,Einstellungen!$B$3,Einstellungen!$B$4)</f>
        <v>29.13</v>
      </c>
      <c r="E1179" s="14" t="str">
        <f aca="false">IF(C1179="","",C1179*D1179/100)</f>
        <v/>
      </c>
      <c r="F1179" s="15" t="str">
        <f aca="false">IF(B1179&lt;5,"Go","Standard")</f>
        <v>Standard</v>
      </c>
    </row>
    <row r="1180" customFormat="false" ht="15" hidden="false" customHeight="true" outlineLevel="0" collapsed="false">
      <c r="A1180" s="10" t="n">
        <f aca="false">Einstellungen!$B$5+INT((ROW()-9)/24)</f>
        <v>46014</v>
      </c>
      <c r="B1180" s="11" t="n">
        <f aca="false">MOD(ROW()-9,24)</f>
        <v>19</v>
      </c>
      <c r="C1180" s="12"/>
      <c r="D1180" s="13" t="n">
        <f aca="false">IF(B1180&lt;5,Einstellungen!$B$3,Einstellungen!$B$4)</f>
        <v>29.13</v>
      </c>
      <c r="E1180" s="14" t="str">
        <f aca="false">IF(C1180="","",C1180*D1180/100)</f>
        <v/>
      </c>
      <c r="F1180" s="15" t="str">
        <f aca="false">IF(B1180&lt;5,"Go","Standard")</f>
        <v>Standard</v>
      </c>
    </row>
    <row r="1181" customFormat="false" ht="15" hidden="false" customHeight="true" outlineLevel="0" collapsed="false">
      <c r="A1181" s="10" t="n">
        <f aca="false">Einstellungen!$B$5+INT((ROW()-9)/24)</f>
        <v>46014</v>
      </c>
      <c r="B1181" s="11" t="n">
        <f aca="false">MOD(ROW()-9,24)</f>
        <v>20</v>
      </c>
      <c r="C1181" s="12"/>
      <c r="D1181" s="13" t="n">
        <f aca="false">IF(B1181&lt;5,Einstellungen!$B$3,Einstellungen!$B$4)</f>
        <v>29.13</v>
      </c>
      <c r="E1181" s="14" t="str">
        <f aca="false">IF(C1181="","",C1181*D1181/100)</f>
        <v/>
      </c>
      <c r="F1181" s="15" t="str">
        <f aca="false">IF(B1181&lt;5,"Go","Standard")</f>
        <v>Standard</v>
      </c>
    </row>
    <row r="1182" customFormat="false" ht="15" hidden="false" customHeight="true" outlineLevel="0" collapsed="false">
      <c r="A1182" s="10" t="n">
        <f aca="false">Einstellungen!$B$5+INT((ROW()-9)/24)</f>
        <v>46014</v>
      </c>
      <c r="B1182" s="11" t="n">
        <f aca="false">MOD(ROW()-9,24)</f>
        <v>21</v>
      </c>
      <c r="C1182" s="12"/>
      <c r="D1182" s="13" t="n">
        <f aca="false">IF(B1182&lt;5,Einstellungen!$B$3,Einstellungen!$B$4)</f>
        <v>29.13</v>
      </c>
      <c r="E1182" s="14" t="str">
        <f aca="false">IF(C1182="","",C1182*D1182/100)</f>
        <v/>
      </c>
      <c r="F1182" s="15" t="str">
        <f aca="false">IF(B1182&lt;5,"Go","Standard")</f>
        <v>Standard</v>
      </c>
    </row>
    <row r="1183" customFormat="false" ht="15" hidden="false" customHeight="true" outlineLevel="0" collapsed="false">
      <c r="A1183" s="10" t="n">
        <f aca="false">Einstellungen!$B$5+INT((ROW()-9)/24)</f>
        <v>46014</v>
      </c>
      <c r="B1183" s="11" t="n">
        <f aca="false">MOD(ROW()-9,24)</f>
        <v>22</v>
      </c>
      <c r="C1183" s="12"/>
      <c r="D1183" s="13" t="n">
        <f aca="false">IF(B1183&lt;5,Einstellungen!$B$3,Einstellungen!$B$4)</f>
        <v>29.13</v>
      </c>
      <c r="E1183" s="14" t="str">
        <f aca="false">IF(C1183="","",C1183*D1183/100)</f>
        <v/>
      </c>
      <c r="F1183" s="15" t="str">
        <f aca="false">IF(B1183&lt;5,"Go","Standard")</f>
        <v>Standard</v>
      </c>
    </row>
    <row r="1184" customFormat="false" ht="15" hidden="false" customHeight="true" outlineLevel="0" collapsed="false">
      <c r="A1184" s="10" t="n">
        <f aca="false">Einstellungen!$B$5+INT((ROW()-9)/24)</f>
        <v>46014</v>
      </c>
      <c r="B1184" s="11" t="n">
        <f aca="false">MOD(ROW()-9,24)</f>
        <v>23</v>
      </c>
      <c r="C1184" s="12"/>
      <c r="D1184" s="13" t="n">
        <f aca="false">IF(B1184&lt;5,Einstellungen!$B$3,Einstellungen!$B$4)</f>
        <v>29.13</v>
      </c>
      <c r="E1184" s="14" t="str">
        <f aca="false">IF(C1184="","",C1184*D1184/100)</f>
        <v/>
      </c>
      <c r="F1184" s="15" t="str">
        <f aca="false">IF(B1184&lt;5,"Go","Standard")</f>
        <v>Standard</v>
      </c>
    </row>
    <row r="1185" customFormat="false" ht="15" hidden="false" customHeight="true" outlineLevel="0" collapsed="false">
      <c r="A1185" s="10" t="n">
        <f aca="false">Einstellungen!$B$5+INT((ROW()-9)/24)</f>
        <v>46015</v>
      </c>
      <c r="B1185" s="11" t="n">
        <f aca="false">MOD(ROW()-9,24)</f>
        <v>0</v>
      </c>
      <c r="C1185" s="12"/>
      <c r="D1185" s="13" t="n">
        <f aca="false">IF(B1185&lt;5,Einstellungen!$B$3,Einstellungen!$B$4)</f>
        <v>15.92</v>
      </c>
      <c r="E1185" s="14" t="str">
        <f aca="false">IF(C1185="","",C1185*D1185/100)</f>
        <v/>
      </c>
      <c r="F1185" s="15" t="str">
        <f aca="false">IF(B1185&lt;5,"Go","Standard")</f>
        <v>Go</v>
      </c>
    </row>
    <row r="1186" customFormat="false" ht="15" hidden="false" customHeight="true" outlineLevel="0" collapsed="false">
      <c r="A1186" s="10" t="n">
        <f aca="false">Einstellungen!$B$5+INT((ROW()-9)/24)</f>
        <v>46015</v>
      </c>
      <c r="B1186" s="11" t="n">
        <f aca="false">MOD(ROW()-9,24)</f>
        <v>1</v>
      </c>
      <c r="C1186" s="12"/>
      <c r="D1186" s="13" t="n">
        <f aca="false">IF(B1186&lt;5,Einstellungen!$B$3,Einstellungen!$B$4)</f>
        <v>15.92</v>
      </c>
      <c r="E1186" s="14" t="str">
        <f aca="false">IF(C1186="","",C1186*D1186/100)</f>
        <v/>
      </c>
      <c r="F1186" s="15" t="str">
        <f aca="false">IF(B1186&lt;5,"Go","Standard")</f>
        <v>Go</v>
      </c>
    </row>
    <row r="1187" customFormat="false" ht="15" hidden="false" customHeight="true" outlineLevel="0" collapsed="false">
      <c r="A1187" s="10" t="n">
        <f aca="false">Einstellungen!$B$5+INT((ROW()-9)/24)</f>
        <v>46015</v>
      </c>
      <c r="B1187" s="11" t="n">
        <f aca="false">MOD(ROW()-9,24)</f>
        <v>2</v>
      </c>
      <c r="C1187" s="12"/>
      <c r="D1187" s="13" t="n">
        <f aca="false">IF(B1187&lt;5,Einstellungen!$B$3,Einstellungen!$B$4)</f>
        <v>15.92</v>
      </c>
      <c r="E1187" s="14" t="str">
        <f aca="false">IF(C1187="","",C1187*D1187/100)</f>
        <v/>
      </c>
      <c r="F1187" s="15" t="str">
        <f aca="false">IF(B1187&lt;5,"Go","Standard")</f>
        <v>Go</v>
      </c>
    </row>
    <row r="1188" customFormat="false" ht="15" hidden="false" customHeight="true" outlineLevel="0" collapsed="false">
      <c r="A1188" s="10" t="n">
        <f aca="false">Einstellungen!$B$5+INT((ROW()-9)/24)</f>
        <v>46015</v>
      </c>
      <c r="B1188" s="11" t="n">
        <f aca="false">MOD(ROW()-9,24)</f>
        <v>3</v>
      </c>
      <c r="C1188" s="12"/>
      <c r="D1188" s="13" t="n">
        <f aca="false">IF(B1188&lt;5,Einstellungen!$B$3,Einstellungen!$B$4)</f>
        <v>15.92</v>
      </c>
      <c r="E1188" s="14" t="str">
        <f aca="false">IF(C1188="","",C1188*D1188/100)</f>
        <v/>
      </c>
      <c r="F1188" s="15" t="str">
        <f aca="false">IF(B1188&lt;5,"Go","Standard")</f>
        <v>Go</v>
      </c>
    </row>
    <row r="1189" customFormat="false" ht="15" hidden="false" customHeight="true" outlineLevel="0" collapsed="false">
      <c r="A1189" s="10" t="n">
        <f aca="false">Einstellungen!$B$5+INT((ROW()-9)/24)</f>
        <v>46015</v>
      </c>
      <c r="B1189" s="11" t="n">
        <f aca="false">MOD(ROW()-9,24)</f>
        <v>4</v>
      </c>
      <c r="C1189" s="12"/>
      <c r="D1189" s="13" t="n">
        <f aca="false">IF(B1189&lt;5,Einstellungen!$B$3,Einstellungen!$B$4)</f>
        <v>15.92</v>
      </c>
      <c r="E1189" s="14" t="str">
        <f aca="false">IF(C1189="","",C1189*D1189/100)</f>
        <v/>
      </c>
      <c r="F1189" s="15" t="str">
        <f aca="false">IF(B1189&lt;5,"Go","Standard")</f>
        <v>Go</v>
      </c>
    </row>
    <row r="1190" customFormat="false" ht="15" hidden="false" customHeight="true" outlineLevel="0" collapsed="false">
      <c r="A1190" s="10" t="n">
        <f aca="false">Einstellungen!$B$5+INT((ROW()-9)/24)</f>
        <v>46015</v>
      </c>
      <c r="B1190" s="11" t="n">
        <f aca="false">MOD(ROW()-9,24)</f>
        <v>5</v>
      </c>
      <c r="C1190" s="12"/>
      <c r="D1190" s="13" t="n">
        <f aca="false">IF(B1190&lt;5,Einstellungen!$B$3,Einstellungen!$B$4)</f>
        <v>29.13</v>
      </c>
      <c r="E1190" s="14" t="str">
        <f aca="false">IF(C1190="","",C1190*D1190/100)</f>
        <v/>
      </c>
      <c r="F1190" s="15" t="str">
        <f aca="false">IF(B1190&lt;5,"Go","Standard")</f>
        <v>Standard</v>
      </c>
    </row>
    <row r="1191" customFormat="false" ht="15" hidden="false" customHeight="true" outlineLevel="0" collapsed="false">
      <c r="A1191" s="10" t="n">
        <f aca="false">Einstellungen!$B$5+INT((ROW()-9)/24)</f>
        <v>46015</v>
      </c>
      <c r="B1191" s="11" t="n">
        <f aca="false">MOD(ROW()-9,24)</f>
        <v>6</v>
      </c>
      <c r="C1191" s="12"/>
      <c r="D1191" s="13" t="n">
        <f aca="false">IF(B1191&lt;5,Einstellungen!$B$3,Einstellungen!$B$4)</f>
        <v>29.13</v>
      </c>
      <c r="E1191" s="14" t="str">
        <f aca="false">IF(C1191="","",C1191*D1191/100)</f>
        <v/>
      </c>
      <c r="F1191" s="15" t="str">
        <f aca="false">IF(B1191&lt;5,"Go","Standard")</f>
        <v>Standard</v>
      </c>
    </row>
    <row r="1192" customFormat="false" ht="15" hidden="false" customHeight="true" outlineLevel="0" collapsed="false">
      <c r="A1192" s="10" t="n">
        <f aca="false">Einstellungen!$B$5+INT((ROW()-9)/24)</f>
        <v>46015</v>
      </c>
      <c r="B1192" s="11" t="n">
        <f aca="false">MOD(ROW()-9,24)</f>
        <v>7</v>
      </c>
      <c r="C1192" s="12"/>
      <c r="D1192" s="13" t="n">
        <f aca="false">IF(B1192&lt;5,Einstellungen!$B$3,Einstellungen!$B$4)</f>
        <v>29.13</v>
      </c>
      <c r="E1192" s="14" t="str">
        <f aca="false">IF(C1192="","",C1192*D1192/100)</f>
        <v/>
      </c>
      <c r="F1192" s="15" t="str">
        <f aca="false">IF(B1192&lt;5,"Go","Standard")</f>
        <v>Standard</v>
      </c>
    </row>
    <row r="1193" customFormat="false" ht="15" hidden="false" customHeight="true" outlineLevel="0" collapsed="false">
      <c r="A1193" s="10" t="n">
        <f aca="false">Einstellungen!$B$5+INT((ROW()-9)/24)</f>
        <v>46015</v>
      </c>
      <c r="B1193" s="11" t="n">
        <f aca="false">MOD(ROW()-9,24)</f>
        <v>8</v>
      </c>
      <c r="C1193" s="12"/>
      <c r="D1193" s="13" t="n">
        <f aca="false">IF(B1193&lt;5,Einstellungen!$B$3,Einstellungen!$B$4)</f>
        <v>29.13</v>
      </c>
      <c r="E1193" s="14" t="str">
        <f aca="false">IF(C1193="","",C1193*D1193/100)</f>
        <v/>
      </c>
      <c r="F1193" s="15" t="str">
        <f aca="false">IF(B1193&lt;5,"Go","Standard")</f>
        <v>Standard</v>
      </c>
    </row>
    <row r="1194" customFormat="false" ht="15" hidden="false" customHeight="true" outlineLevel="0" collapsed="false">
      <c r="A1194" s="10" t="n">
        <f aca="false">Einstellungen!$B$5+INT((ROW()-9)/24)</f>
        <v>46015</v>
      </c>
      <c r="B1194" s="11" t="n">
        <f aca="false">MOD(ROW()-9,24)</f>
        <v>9</v>
      </c>
      <c r="C1194" s="12"/>
      <c r="D1194" s="13" t="n">
        <f aca="false">IF(B1194&lt;5,Einstellungen!$B$3,Einstellungen!$B$4)</f>
        <v>29.13</v>
      </c>
      <c r="E1194" s="14" t="str">
        <f aca="false">IF(C1194="","",C1194*D1194/100)</f>
        <v/>
      </c>
      <c r="F1194" s="15" t="str">
        <f aca="false">IF(B1194&lt;5,"Go","Standard")</f>
        <v>Standard</v>
      </c>
    </row>
    <row r="1195" customFormat="false" ht="15" hidden="false" customHeight="true" outlineLevel="0" collapsed="false">
      <c r="A1195" s="10" t="n">
        <f aca="false">Einstellungen!$B$5+INT((ROW()-9)/24)</f>
        <v>46015</v>
      </c>
      <c r="B1195" s="11" t="n">
        <f aca="false">MOD(ROW()-9,24)</f>
        <v>10</v>
      </c>
      <c r="C1195" s="12"/>
      <c r="D1195" s="13" t="n">
        <f aca="false">IF(B1195&lt;5,Einstellungen!$B$3,Einstellungen!$B$4)</f>
        <v>29.13</v>
      </c>
      <c r="E1195" s="14" t="str">
        <f aca="false">IF(C1195="","",C1195*D1195/100)</f>
        <v/>
      </c>
      <c r="F1195" s="15" t="str">
        <f aca="false">IF(B1195&lt;5,"Go","Standard")</f>
        <v>Standard</v>
      </c>
    </row>
    <row r="1196" customFormat="false" ht="15" hidden="false" customHeight="true" outlineLevel="0" collapsed="false">
      <c r="A1196" s="10" t="n">
        <f aca="false">Einstellungen!$B$5+INT((ROW()-9)/24)</f>
        <v>46015</v>
      </c>
      <c r="B1196" s="11" t="n">
        <f aca="false">MOD(ROW()-9,24)</f>
        <v>11</v>
      </c>
      <c r="C1196" s="12"/>
      <c r="D1196" s="13" t="n">
        <f aca="false">IF(B1196&lt;5,Einstellungen!$B$3,Einstellungen!$B$4)</f>
        <v>29.13</v>
      </c>
      <c r="E1196" s="14" t="str">
        <f aca="false">IF(C1196="","",C1196*D1196/100)</f>
        <v/>
      </c>
      <c r="F1196" s="15" t="str">
        <f aca="false">IF(B1196&lt;5,"Go","Standard")</f>
        <v>Standard</v>
      </c>
    </row>
    <row r="1197" customFormat="false" ht="15" hidden="false" customHeight="true" outlineLevel="0" collapsed="false">
      <c r="A1197" s="10" t="n">
        <f aca="false">Einstellungen!$B$5+INT((ROW()-9)/24)</f>
        <v>46015</v>
      </c>
      <c r="B1197" s="11" t="n">
        <f aca="false">MOD(ROW()-9,24)</f>
        <v>12</v>
      </c>
      <c r="C1197" s="12"/>
      <c r="D1197" s="13" t="n">
        <f aca="false">IF(B1197&lt;5,Einstellungen!$B$3,Einstellungen!$B$4)</f>
        <v>29.13</v>
      </c>
      <c r="E1197" s="14" t="str">
        <f aca="false">IF(C1197="","",C1197*D1197/100)</f>
        <v/>
      </c>
      <c r="F1197" s="15" t="str">
        <f aca="false">IF(B1197&lt;5,"Go","Standard")</f>
        <v>Standard</v>
      </c>
    </row>
    <row r="1198" customFormat="false" ht="15" hidden="false" customHeight="true" outlineLevel="0" collapsed="false">
      <c r="A1198" s="10" t="n">
        <f aca="false">Einstellungen!$B$5+INT((ROW()-9)/24)</f>
        <v>46015</v>
      </c>
      <c r="B1198" s="11" t="n">
        <f aca="false">MOD(ROW()-9,24)</f>
        <v>13</v>
      </c>
      <c r="C1198" s="12"/>
      <c r="D1198" s="13" t="n">
        <f aca="false">IF(B1198&lt;5,Einstellungen!$B$3,Einstellungen!$B$4)</f>
        <v>29.13</v>
      </c>
      <c r="E1198" s="14" t="str">
        <f aca="false">IF(C1198="","",C1198*D1198/100)</f>
        <v/>
      </c>
      <c r="F1198" s="15" t="str">
        <f aca="false">IF(B1198&lt;5,"Go","Standard")</f>
        <v>Standard</v>
      </c>
    </row>
    <row r="1199" customFormat="false" ht="15" hidden="false" customHeight="true" outlineLevel="0" collapsed="false">
      <c r="A1199" s="10" t="n">
        <f aca="false">Einstellungen!$B$5+INT((ROW()-9)/24)</f>
        <v>46015</v>
      </c>
      <c r="B1199" s="11" t="n">
        <f aca="false">MOD(ROW()-9,24)</f>
        <v>14</v>
      </c>
      <c r="C1199" s="12"/>
      <c r="D1199" s="13" t="n">
        <f aca="false">IF(B1199&lt;5,Einstellungen!$B$3,Einstellungen!$B$4)</f>
        <v>29.13</v>
      </c>
      <c r="E1199" s="14" t="str">
        <f aca="false">IF(C1199="","",C1199*D1199/100)</f>
        <v/>
      </c>
      <c r="F1199" s="15" t="str">
        <f aca="false">IF(B1199&lt;5,"Go","Standard")</f>
        <v>Standard</v>
      </c>
    </row>
    <row r="1200" customFormat="false" ht="15" hidden="false" customHeight="true" outlineLevel="0" collapsed="false">
      <c r="A1200" s="10" t="n">
        <f aca="false">Einstellungen!$B$5+INT((ROW()-9)/24)</f>
        <v>46015</v>
      </c>
      <c r="B1200" s="11" t="n">
        <f aca="false">MOD(ROW()-9,24)</f>
        <v>15</v>
      </c>
      <c r="C1200" s="12"/>
      <c r="D1200" s="13" t="n">
        <f aca="false">IF(B1200&lt;5,Einstellungen!$B$3,Einstellungen!$B$4)</f>
        <v>29.13</v>
      </c>
      <c r="E1200" s="14" t="str">
        <f aca="false">IF(C1200="","",C1200*D1200/100)</f>
        <v/>
      </c>
      <c r="F1200" s="15" t="str">
        <f aca="false">IF(B1200&lt;5,"Go","Standard")</f>
        <v>Standard</v>
      </c>
    </row>
    <row r="1201" customFormat="false" ht="15" hidden="false" customHeight="true" outlineLevel="0" collapsed="false">
      <c r="A1201" s="10" t="n">
        <f aca="false">Einstellungen!$B$5+INT((ROW()-9)/24)</f>
        <v>46015</v>
      </c>
      <c r="B1201" s="11" t="n">
        <f aca="false">MOD(ROW()-9,24)</f>
        <v>16</v>
      </c>
      <c r="C1201" s="12"/>
      <c r="D1201" s="13" t="n">
        <f aca="false">IF(B1201&lt;5,Einstellungen!$B$3,Einstellungen!$B$4)</f>
        <v>29.13</v>
      </c>
      <c r="E1201" s="14" t="str">
        <f aca="false">IF(C1201="","",C1201*D1201/100)</f>
        <v/>
      </c>
      <c r="F1201" s="15" t="str">
        <f aca="false">IF(B1201&lt;5,"Go","Standard")</f>
        <v>Standard</v>
      </c>
    </row>
    <row r="1202" customFormat="false" ht="15" hidden="false" customHeight="true" outlineLevel="0" collapsed="false">
      <c r="A1202" s="10" t="n">
        <f aca="false">Einstellungen!$B$5+INT((ROW()-9)/24)</f>
        <v>46015</v>
      </c>
      <c r="B1202" s="11" t="n">
        <f aca="false">MOD(ROW()-9,24)</f>
        <v>17</v>
      </c>
      <c r="C1202" s="12"/>
      <c r="D1202" s="13" t="n">
        <f aca="false">IF(B1202&lt;5,Einstellungen!$B$3,Einstellungen!$B$4)</f>
        <v>29.13</v>
      </c>
      <c r="E1202" s="14" t="str">
        <f aca="false">IF(C1202="","",C1202*D1202/100)</f>
        <v/>
      </c>
      <c r="F1202" s="15" t="str">
        <f aca="false">IF(B1202&lt;5,"Go","Standard")</f>
        <v>Standard</v>
      </c>
    </row>
    <row r="1203" customFormat="false" ht="15" hidden="false" customHeight="true" outlineLevel="0" collapsed="false">
      <c r="A1203" s="10" t="n">
        <f aca="false">Einstellungen!$B$5+INT((ROW()-9)/24)</f>
        <v>46015</v>
      </c>
      <c r="B1203" s="11" t="n">
        <f aca="false">MOD(ROW()-9,24)</f>
        <v>18</v>
      </c>
      <c r="C1203" s="12"/>
      <c r="D1203" s="13" t="n">
        <f aca="false">IF(B1203&lt;5,Einstellungen!$B$3,Einstellungen!$B$4)</f>
        <v>29.13</v>
      </c>
      <c r="E1203" s="14" t="str">
        <f aca="false">IF(C1203="","",C1203*D1203/100)</f>
        <v/>
      </c>
      <c r="F1203" s="15" t="str">
        <f aca="false">IF(B1203&lt;5,"Go","Standard")</f>
        <v>Standard</v>
      </c>
    </row>
    <row r="1204" customFormat="false" ht="15" hidden="false" customHeight="true" outlineLevel="0" collapsed="false">
      <c r="A1204" s="10" t="n">
        <f aca="false">Einstellungen!$B$5+INT((ROW()-9)/24)</f>
        <v>46015</v>
      </c>
      <c r="B1204" s="11" t="n">
        <f aca="false">MOD(ROW()-9,24)</f>
        <v>19</v>
      </c>
      <c r="C1204" s="12"/>
      <c r="D1204" s="13" t="n">
        <f aca="false">IF(B1204&lt;5,Einstellungen!$B$3,Einstellungen!$B$4)</f>
        <v>29.13</v>
      </c>
      <c r="E1204" s="14" t="str">
        <f aca="false">IF(C1204="","",C1204*D1204/100)</f>
        <v/>
      </c>
      <c r="F1204" s="15" t="str">
        <f aca="false">IF(B1204&lt;5,"Go","Standard")</f>
        <v>Standard</v>
      </c>
    </row>
    <row r="1205" customFormat="false" ht="15" hidden="false" customHeight="true" outlineLevel="0" collapsed="false">
      <c r="A1205" s="10" t="n">
        <f aca="false">Einstellungen!$B$5+INT((ROW()-9)/24)</f>
        <v>46015</v>
      </c>
      <c r="B1205" s="11" t="n">
        <f aca="false">MOD(ROW()-9,24)</f>
        <v>20</v>
      </c>
      <c r="C1205" s="12"/>
      <c r="D1205" s="13" t="n">
        <f aca="false">IF(B1205&lt;5,Einstellungen!$B$3,Einstellungen!$B$4)</f>
        <v>29.13</v>
      </c>
      <c r="E1205" s="14" t="str">
        <f aca="false">IF(C1205="","",C1205*D1205/100)</f>
        <v/>
      </c>
      <c r="F1205" s="15" t="str">
        <f aca="false">IF(B1205&lt;5,"Go","Standard")</f>
        <v>Standard</v>
      </c>
    </row>
    <row r="1206" customFormat="false" ht="15" hidden="false" customHeight="true" outlineLevel="0" collapsed="false">
      <c r="A1206" s="10" t="n">
        <f aca="false">Einstellungen!$B$5+INT((ROW()-9)/24)</f>
        <v>46015</v>
      </c>
      <c r="B1206" s="11" t="n">
        <f aca="false">MOD(ROW()-9,24)</f>
        <v>21</v>
      </c>
      <c r="C1206" s="12"/>
      <c r="D1206" s="13" t="n">
        <f aca="false">IF(B1206&lt;5,Einstellungen!$B$3,Einstellungen!$B$4)</f>
        <v>29.13</v>
      </c>
      <c r="E1206" s="14" t="str">
        <f aca="false">IF(C1206="","",C1206*D1206/100)</f>
        <v/>
      </c>
      <c r="F1206" s="15" t="str">
        <f aca="false">IF(B1206&lt;5,"Go","Standard")</f>
        <v>Standard</v>
      </c>
    </row>
    <row r="1207" customFormat="false" ht="15" hidden="false" customHeight="true" outlineLevel="0" collapsed="false">
      <c r="A1207" s="10" t="n">
        <f aca="false">Einstellungen!$B$5+INT((ROW()-9)/24)</f>
        <v>46015</v>
      </c>
      <c r="B1207" s="11" t="n">
        <f aca="false">MOD(ROW()-9,24)</f>
        <v>22</v>
      </c>
      <c r="C1207" s="12"/>
      <c r="D1207" s="13" t="n">
        <f aca="false">IF(B1207&lt;5,Einstellungen!$B$3,Einstellungen!$B$4)</f>
        <v>29.13</v>
      </c>
      <c r="E1207" s="14" t="str">
        <f aca="false">IF(C1207="","",C1207*D1207/100)</f>
        <v/>
      </c>
      <c r="F1207" s="15" t="str">
        <f aca="false">IF(B1207&lt;5,"Go","Standard")</f>
        <v>Standard</v>
      </c>
    </row>
    <row r="1208" customFormat="false" ht="15" hidden="false" customHeight="true" outlineLevel="0" collapsed="false">
      <c r="A1208" s="10" t="n">
        <f aca="false">Einstellungen!$B$5+INT((ROW()-9)/24)</f>
        <v>46015</v>
      </c>
      <c r="B1208" s="11" t="n">
        <f aca="false">MOD(ROW()-9,24)</f>
        <v>23</v>
      </c>
      <c r="C1208" s="12"/>
      <c r="D1208" s="13" t="n">
        <f aca="false">IF(B1208&lt;5,Einstellungen!$B$3,Einstellungen!$B$4)</f>
        <v>29.13</v>
      </c>
      <c r="E1208" s="14" t="str">
        <f aca="false">IF(C1208="","",C1208*D1208/100)</f>
        <v/>
      </c>
      <c r="F1208" s="15" t="str">
        <f aca="false">IF(B1208&lt;5,"Go","Standard")</f>
        <v>Standard</v>
      </c>
    </row>
    <row r="1209" customFormat="false" ht="15" hidden="false" customHeight="true" outlineLevel="0" collapsed="false">
      <c r="A1209" s="10" t="n">
        <f aca="false">Einstellungen!$B$5+INT((ROW()-9)/24)</f>
        <v>46016</v>
      </c>
      <c r="B1209" s="11" t="n">
        <f aca="false">MOD(ROW()-9,24)</f>
        <v>0</v>
      </c>
      <c r="C1209" s="12"/>
      <c r="D1209" s="13" t="n">
        <f aca="false">IF(B1209&lt;5,Einstellungen!$B$3,Einstellungen!$B$4)</f>
        <v>15.92</v>
      </c>
      <c r="E1209" s="14" t="str">
        <f aca="false">IF(C1209="","",C1209*D1209/100)</f>
        <v/>
      </c>
      <c r="F1209" s="15" t="str">
        <f aca="false">IF(B1209&lt;5,"Go","Standard")</f>
        <v>Go</v>
      </c>
    </row>
    <row r="1210" customFormat="false" ht="15" hidden="false" customHeight="true" outlineLevel="0" collapsed="false">
      <c r="A1210" s="10" t="n">
        <f aca="false">Einstellungen!$B$5+INT((ROW()-9)/24)</f>
        <v>46016</v>
      </c>
      <c r="B1210" s="11" t="n">
        <f aca="false">MOD(ROW()-9,24)</f>
        <v>1</v>
      </c>
      <c r="C1210" s="12"/>
      <c r="D1210" s="13" t="n">
        <f aca="false">IF(B1210&lt;5,Einstellungen!$B$3,Einstellungen!$B$4)</f>
        <v>15.92</v>
      </c>
      <c r="E1210" s="14" t="str">
        <f aca="false">IF(C1210="","",C1210*D1210/100)</f>
        <v/>
      </c>
      <c r="F1210" s="15" t="str">
        <f aca="false">IF(B1210&lt;5,"Go","Standard")</f>
        <v>Go</v>
      </c>
    </row>
    <row r="1211" customFormat="false" ht="15" hidden="false" customHeight="true" outlineLevel="0" collapsed="false">
      <c r="A1211" s="10" t="n">
        <f aca="false">Einstellungen!$B$5+INT((ROW()-9)/24)</f>
        <v>46016</v>
      </c>
      <c r="B1211" s="11" t="n">
        <f aca="false">MOD(ROW()-9,24)</f>
        <v>2</v>
      </c>
      <c r="C1211" s="12"/>
      <c r="D1211" s="13" t="n">
        <f aca="false">IF(B1211&lt;5,Einstellungen!$B$3,Einstellungen!$B$4)</f>
        <v>15.92</v>
      </c>
      <c r="E1211" s="14" t="str">
        <f aca="false">IF(C1211="","",C1211*D1211/100)</f>
        <v/>
      </c>
      <c r="F1211" s="15" t="str">
        <f aca="false">IF(B1211&lt;5,"Go","Standard")</f>
        <v>Go</v>
      </c>
    </row>
    <row r="1212" customFormat="false" ht="15" hidden="false" customHeight="true" outlineLevel="0" collapsed="false">
      <c r="A1212" s="10" t="n">
        <f aca="false">Einstellungen!$B$5+INT((ROW()-9)/24)</f>
        <v>46016</v>
      </c>
      <c r="B1212" s="11" t="n">
        <f aca="false">MOD(ROW()-9,24)</f>
        <v>3</v>
      </c>
      <c r="C1212" s="12"/>
      <c r="D1212" s="13" t="n">
        <f aca="false">IF(B1212&lt;5,Einstellungen!$B$3,Einstellungen!$B$4)</f>
        <v>15.92</v>
      </c>
      <c r="E1212" s="14" t="str">
        <f aca="false">IF(C1212="","",C1212*D1212/100)</f>
        <v/>
      </c>
      <c r="F1212" s="15" t="str">
        <f aca="false">IF(B1212&lt;5,"Go","Standard")</f>
        <v>Go</v>
      </c>
    </row>
    <row r="1213" customFormat="false" ht="15" hidden="false" customHeight="true" outlineLevel="0" collapsed="false">
      <c r="A1213" s="10" t="n">
        <f aca="false">Einstellungen!$B$5+INT((ROW()-9)/24)</f>
        <v>46016</v>
      </c>
      <c r="B1213" s="11" t="n">
        <f aca="false">MOD(ROW()-9,24)</f>
        <v>4</v>
      </c>
      <c r="C1213" s="12"/>
      <c r="D1213" s="13" t="n">
        <f aca="false">IF(B1213&lt;5,Einstellungen!$B$3,Einstellungen!$B$4)</f>
        <v>15.92</v>
      </c>
      <c r="E1213" s="14" t="str">
        <f aca="false">IF(C1213="","",C1213*D1213/100)</f>
        <v/>
      </c>
      <c r="F1213" s="15" t="str">
        <f aca="false">IF(B1213&lt;5,"Go","Standard")</f>
        <v>Go</v>
      </c>
    </row>
    <row r="1214" customFormat="false" ht="15" hidden="false" customHeight="true" outlineLevel="0" collapsed="false">
      <c r="A1214" s="10" t="n">
        <f aca="false">Einstellungen!$B$5+INT((ROW()-9)/24)</f>
        <v>46016</v>
      </c>
      <c r="B1214" s="11" t="n">
        <f aca="false">MOD(ROW()-9,24)</f>
        <v>5</v>
      </c>
      <c r="C1214" s="12"/>
      <c r="D1214" s="13" t="n">
        <f aca="false">IF(B1214&lt;5,Einstellungen!$B$3,Einstellungen!$B$4)</f>
        <v>29.13</v>
      </c>
      <c r="E1214" s="14" t="str">
        <f aca="false">IF(C1214="","",C1214*D1214/100)</f>
        <v/>
      </c>
      <c r="F1214" s="15" t="str">
        <f aca="false">IF(B1214&lt;5,"Go","Standard")</f>
        <v>Standard</v>
      </c>
    </row>
    <row r="1215" customFormat="false" ht="15" hidden="false" customHeight="true" outlineLevel="0" collapsed="false">
      <c r="A1215" s="10" t="n">
        <f aca="false">Einstellungen!$B$5+INT((ROW()-9)/24)</f>
        <v>46016</v>
      </c>
      <c r="B1215" s="11" t="n">
        <f aca="false">MOD(ROW()-9,24)</f>
        <v>6</v>
      </c>
      <c r="C1215" s="12"/>
      <c r="D1215" s="13" t="n">
        <f aca="false">IF(B1215&lt;5,Einstellungen!$B$3,Einstellungen!$B$4)</f>
        <v>29.13</v>
      </c>
      <c r="E1215" s="14" t="str">
        <f aca="false">IF(C1215="","",C1215*D1215/100)</f>
        <v/>
      </c>
      <c r="F1215" s="15" t="str">
        <f aca="false">IF(B1215&lt;5,"Go","Standard")</f>
        <v>Standard</v>
      </c>
    </row>
    <row r="1216" customFormat="false" ht="15" hidden="false" customHeight="true" outlineLevel="0" collapsed="false">
      <c r="A1216" s="10" t="n">
        <f aca="false">Einstellungen!$B$5+INT((ROW()-9)/24)</f>
        <v>46016</v>
      </c>
      <c r="B1216" s="11" t="n">
        <f aca="false">MOD(ROW()-9,24)</f>
        <v>7</v>
      </c>
      <c r="C1216" s="12"/>
      <c r="D1216" s="13" t="n">
        <f aca="false">IF(B1216&lt;5,Einstellungen!$B$3,Einstellungen!$B$4)</f>
        <v>29.13</v>
      </c>
      <c r="E1216" s="14" t="str">
        <f aca="false">IF(C1216="","",C1216*D1216/100)</f>
        <v/>
      </c>
      <c r="F1216" s="15" t="str">
        <f aca="false">IF(B1216&lt;5,"Go","Standard")</f>
        <v>Standard</v>
      </c>
    </row>
    <row r="1217" customFormat="false" ht="15" hidden="false" customHeight="true" outlineLevel="0" collapsed="false">
      <c r="A1217" s="10" t="n">
        <f aca="false">Einstellungen!$B$5+INT((ROW()-9)/24)</f>
        <v>46016</v>
      </c>
      <c r="B1217" s="11" t="n">
        <f aca="false">MOD(ROW()-9,24)</f>
        <v>8</v>
      </c>
      <c r="C1217" s="12"/>
      <c r="D1217" s="13" t="n">
        <f aca="false">IF(B1217&lt;5,Einstellungen!$B$3,Einstellungen!$B$4)</f>
        <v>29.13</v>
      </c>
      <c r="E1217" s="14" t="str">
        <f aca="false">IF(C1217="","",C1217*D1217/100)</f>
        <v/>
      </c>
      <c r="F1217" s="15" t="str">
        <f aca="false">IF(B1217&lt;5,"Go","Standard")</f>
        <v>Standard</v>
      </c>
    </row>
    <row r="1218" customFormat="false" ht="15" hidden="false" customHeight="true" outlineLevel="0" collapsed="false">
      <c r="A1218" s="10" t="n">
        <f aca="false">Einstellungen!$B$5+INT((ROW()-9)/24)</f>
        <v>46016</v>
      </c>
      <c r="B1218" s="11" t="n">
        <f aca="false">MOD(ROW()-9,24)</f>
        <v>9</v>
      </c>
      <c r="C1218" s="12"/>
      <c r="D1218" s="13" t="n">
        <f aca="false">IF(B1218&lt;5,Einstellungen!$B$3,Einstellungen!$B$4)</f>
        <v>29.13</v>
      </c>
      <c r="E1218" s="14" t="str">
        <f aca="false">IF(C1218="","",C1218*D1218/100)</f>
        <v/>
      </c>
      <c r="F1218" s="15" t="str">
        <f aca="false">IF(B1218&lt;5,"Go","Standard")</f>
        <v>Standard</v>
      </c>
    </row>
    <row r="1219" customFormat="false" ht="15" hidden="false" customHeight="true" outlineLevel="0" collapsed="false">
      <c r="A1219" s="10" t="n">
        <f aca="false">Einstellungen!$B$5+INT((ROW()-9)/24)</f>
        <v>46016</v>
      </c>
      <c r="B1219" s="11" t="n">
        <f aca="false">MOD(ROW()-9,24)</f>
        <v>10</v>
      </c>
      <c r="C1219" s="12"/>
      <c r="D1219" s="13" t="n">
        <f aca="false">IF(B1219&lt;5,Einstellungen!$B$3,Einstellungen!$B$4)</f>
        <v>29.13</v>
      </c>
      <c r="E1219" s="14" t="str">
        <f aca="false">IF(C1219="","",C1219*D1219/100)</f>
        <v/>
      </c>
      <c r="F1219" s="15" t="str">
        <f aca="false">IF(B1219&lt;5,"Go","Standard")</f>
        <v>Standard</v>
      </c>
    </row>
    <row r="1220" customFormat="false" ht="15" hidden="false" customHeight="true" outlineLevel="0" collapsed="false">
      <c r="A1220" s="10" t="n">
        <f aca="false">Einstellungen!$B$5+INT((ROW()-9)/24)</f>
        <v>46016</v>
      </c>
      <c r="B1220" s="11" t="n">
        <f aca="false">MOD(ROW()-9,24)</f>
        <v>11</v>
      </c>
      <c r="C1220" s="12"/>
      <c r="D1220" s="13" t="n">
        <f aca="false">IF(B1220&lt;5,Einstellungen!$B$3,Einstellungen!$B$4)</f>
        <v>29.13</v>
      </c>
      <c r="E1220" s="14" t="str">
        <f aca="false">IF(C1220="","",C1220*D1220/100)</f>
        <v/>
      </c>
      <c r="F1220" s="15" t="str">
        <f aca="false">IF(B1220&lt;5,"Go","Standard")</f>
        <v>Standard</v>
      </c>
    </row>
    <row r="1221" customFormat="false" ht="15" hidden="false" customHeight="true" outlineLevel="0" collapsed="false">
      <c r="A1221" s="10" t="n">
        <f aca="false">Einstellungen!$B$5+INT((ROW()-9)/24)</f>
        <v>46016</v>
      </c>
      <c r="B1221" s="11" t="n">
        <f aca="false">MOD(ROW()-9,24)</f>
        <v>12</v>
      </c>
      <c r="C1221" s="12"/>
      <c r="D1221" s="13" t="n">
        <f aca="false">IF(B1221&lt;5,Einstellungen!$B$3,Einstellungen!$B$4)</f>
        <v>29.13</v>
      </c>
      <c r="E1221" s="14" t="str">
        <f aca="false">IF(C1221="","",C1221*D1221/100)</f>
        <v/>
      </c>
      <c r="F1221" s="15" t="str">
        <f aca="false">IF(B1221&lt;5,"Go","Standard")</f>
        <v>Standard</v>
      </c>
    </row>
    <row r="1222" customFormat="false" ht="15" hidden="false" customHeight="true" outlineLevel="0" collapsed="false">
      <c r="A1222" s="10" t="n">
        <f aca="false">Einstellungen!$B$5+INT((ROW()-9)/24)</f>
        <v>46016</v>
      </c>
      <c r="B1222" s="11" t="n">
        <f aca="false">MOD(ROW()-9,24)</f>
        <v>13</v>
      </c>
      <c r="C1222" s="12"/>
      <c r="D1222" s="13" t="n">
        <f aca="false">IF(B1222&lt;5,Einstellungen!$B$3,Einstellungen!$B$4)</f>
        <v>29.13</v>
      </c>
      <c r="E1222" s="14" t="str">
        <f aca="false">IF(C1222="","",C1222*D1222/100)</f>
        <v/>
      </c>
      <c r="F1222" s="15" t="str">
        <f aca="false">IF(B1222&lt;5,"Go","Standard")</f>
        <v>Standard</v>
      </c>
    </row>
    <row r="1223" customFormat="false" ht="15" hidden="false" customHeight="true" outlineLevel="0" collapsed="false">
      <c r="A1223" s="10" t="n">
        <f aca="false">Einstellungen!$B$5+INT((ROW()-9)/24)</f>
        <v>46016</v>
      </c>
      <c r="B1223" s="11" t="n">
        <f aca="false">MOD(ROW()-9,24)</f>
        <v>14</v>
      </c>
      <c r="C1223" s="12"/>
      <c r="D1223" s="13" t="n">
        <f aca="false">IF(B1223&lt;5,Einstellungen!$B$3,Einstellungen!$B$4)</f>
        <v>29.13</v>
      </c>
      <c r="E1223" s="14" t="str">
        <f aca="false">IF(C1223="","",C1223*D1223/100)</f>
        <v/>
      </c>
      <c r="F1223" s="15" t="str">
        <f aca="false">IF(B1223&lt;5,"Go","Standard")</f>
        <v>Standard</v>
      </c>
    </row>
    <row r="1224" customFormat="false" ht="15" hidden="false" customHeight="true" outlineLevel="0" collapsed="false">
      <c r="A1224" s="10" t="n">
        <f aca="false">Einstellungen!$B$5+INT((ROW()-9)/24)</f>
        <v>46016</v>
      </c>
      <c r="B1224" s="11" t="n">
        <f aca="false">MOD(ROW()-9,24)</f>
        <v>15</v>
      </c>
      <c r="C1224" s="12"/>
      <c r="D1224" s="13" t="n">
        <f aca="false">IF(B1224&lt;5,Einstellungen!$B$3,Einstellungen!$B$4)</f>
        <v>29.13</v>
      </c>
      <c r="E1224" s="14" t="str">
        <f aca="false">IF(C1224="","",C1224*D1224/100)</f>
        <v/>
      </c>
      <c r="F1224" s="15" t="str">
        <f aca="false">IF(B1224&lt;5,"Go","Standard")</f>
        <v>Standard</v>
      </c>
    </row>
    <row r="1225" customFormat="false" ht="15" hidden="false" customHeight="true" outlineLevel="0" collapsed="false">
      <c r="A1225" s="10" t="n">
        <f aca="false">Einstellungen!$B$5+INT((ROW()-9)/24)</f>
        <v>46016</v>
      </c>
      <c r="B1225" s="11" t="n">
        <f aca="false">MOD(ROW()-9,24)</f>
        <v>16</v>
      </c>
      <c r="C1225" s="12"/>
      <c r="D1225" s="13" t="n">
        <f aca="false">IF(B1225&lt;5,Einstellungen!$B$3,Einstellungen!$B$4)</f>
        <v>29.13</v>
      </c>
      <c r="E1225" s="14" t="str">
        <f aca="false">IF(C1225="","",C1225*D1225/100)</f>
        <v/>
      </c>
      <c r="F1225" s="15" t="str">
        <f aca="false">IF(B1225&lt;5,"Go","Standard")</f>
        <v>Standard</v>
      </c>
    </row>
    <row r="1226" customFormat="false" ht="15" hidden="false" customHeight="true" outlineLevel="0" collapsed="false">
      <c r="A1226" s="10" t="n">
        <f aca="false">Einstellungen!$B$5+INT((ROW()-9)/24)</f>
        <v>46016</v>
      </c>
      <c r="B1226" s="11" t="n">
        <f aca="false">MOD(ROW()-9,24)</f>
        <v>17</v>
      </c>
      <c r="C1226" s="12"/>
      <c r="D1226" s="13" t="n">
        <f aca="false">IF(B1226&lt;5,Einstellungen!$B$3,Einstellungen!$B$4)</f>
        <v>29.13</v>
      </c>
      <c r="E1226" s="14" t="str">
        <f aca="false">IF(C1226="","",C1226*D1226/100)</f>
        <v/>
      </c>
      <c r="F1226" s="15" t="str">
        <f aca="false">IF(B1226&lt;5,"Go","Standard")</f>
        <v>Standard</v>
      </c>
    </row>
    <row r="1227" customFormat="false" ht="15" hidden="false" customHeight="true" outlineLevel="0" collapsed="false">
      <c r="A1227" s="10" t="n">
        <f aca="false">Einstellungen!$B$5+INT((ROW()-9)/24)</f>
        <v>46016</v>
      </c>
      <c r="B1227" s="11" t="n">
        <f aca="false">MOD(ROW()-9,24)</f>
        <v>18</v>
      </c>
      <c r="C1227" s="12"/>
      <c r="D1227" s="13" t="n">
        <f aca="false">IF(B1227&lt;5,Einstellungen!$B$3,Einstellungen!$B$4)</f>
        <v>29.13</v>
      </c>
      <c r="E1227" s="14" t="str">
        <f aca="false">IF(C1227="","",C1227*D1227/100)</f>
        <v/>
      </c>
      <c r="F1227" s="15" t="str">
        <f aca="false">IF(B1227&lt;5,"Go","Standard")</f>
        <v>Standard</v>
      </c>
    </row>
    <row r="1228" customFormat="false" ht="15" hidden="false" customHeight="true" outlineLevel="0" collapsed="false">
      <c r="A1228" s="10" t="n">
        <f aca="false">Einstellungen!$B$5+INT((ROW()-9)/24)</f>
        <v>46016</v>
      </c>
      <c r="B1228" s="11" t="n">
        <f aca="false">MOD(ROW()-9,24)</f>
        <v>19</v>
      </c>
      <c r="C1228" s="12"/>
      <c r="D1228" s="13" t="n">
        <f aca="false">IF(B1228&lt;5,Einstellungen!$B$3,Einstellungen!$B$4)</f>
        <v>29.13</v>
      </c>
      <c r="E1228" s="14" t="str">
        <f aca="false">IF(C1228="","",C1228*D1228/100)</f>
        <v/>
      </c>
      <c r="F1228" s="15" t="str">
        <f aca="false">IF(B1228&lt;5,"Go","Standard")</f>
        <v>Standard</v>
      </c>
    </row>
    <row r="1229" customFormat="false" ht="15" hidden="false" customHeight="true" outlineLevel="0" collapsed="false">
      <c r="A1229" s="10" t="n">
        <f aca="false">Einstellungen!$B$5+INT((ROW()-9)/24)</f>
        <v>46016</v>
      </c>
      <c r="B1229" s="11" t="n">
        <f aca="false">MOD(ROW()-9,24)</f>
        <v>20</v>
      </c>
      <c r="C1229" s="12"/>
      <c r="D1229" s="13" t="n">
        <f aca="false">IF(B1229&lt;5,Einstellungen!$B$3,Einstellungen!$B$4)</f>
        <v>29.13</v>
      </c>
      <c r="E1229" s="14" t="str">
        <f aca="false">IF(C1229="","",C1229*D1229/100)</f>
        <v/>
      </c>
      <c r="F1229" s="15" t="str">
        <f aca="false">IF(B1229&lt;5,"Go","Standard")</f>
        <v>Standard</v>
      </c>
    </row>
    <row r="1230" customFormat="false" ht="15" hidden="false" customHeight="true" outlineLevel="0" collapsed="false">
      <c r="A1230" s="10" t="n">
        <f aca="false">Einstellungen!$B$5+INT((ROW()-9)/24)</f>
        <v>46016</v>
      </c>
      <c r="B1230" s="11" t="n">
        <f aca="false">MOD(ROW()-9,24)</f>
        <v>21</v>
      </c>
      <c r="C1230" s="12"/>
      <c r="D1230" s="13" t="n">
        <f aca="false">IF(B1230&lt;5,Einstellungen!$B$3,Einstellungen!$B$4)</f>
        <v>29.13</v>
      </c>
      <c r="E1230" s="14" t="str">
        <f aca="false">IF(C1230="","",C1230*D1230/100)</f>
        <v/>
      </c>
      <c r="F1230" s="15" t="str">
        <f aca="false">IF(B1230&lt;5,"Go","Standard")</f>
        <v>Standard</v>
      </c>
    </row>
    <row r="1231" customFormat="false" ht="15" hidden="false" customHeight="true" outlineLevel="0" collapsed="false">
      <c r="A1231" s="10" t="n">
        <f aca="false">Einstellungen!$B$5+INT((ROW()-9)/24)</f>
        <v>46016</v>
      </c>
      <c r="B1231" s="11" t="n">
        <f aca="false">MOD(ROW()-9,24)</f>
        <v>22</v>
      </c>
      <c r="C1231" s="12"/>
      <c r="D1231" s="13" t="n">
        <f aca="false">IF(B1231&lt;5,Einstellungen!$B$3,Einstellungen!$B$4)</f>
        <v>29.13</v>
      </c>
      <c r="E1231" s="14" t="str">
        <f aca="false">IF(C1231="","",C1231*D1231/100)</f>
        <v/>
      </c>
      <c r="F1231" s="15" t="str">
        <f aca="false">IF(B1231&lt;5,"Go","Standard")</f>
        <v>Standard</v>
      </c>
    </row>
    <row r="1232" customFormat="false" ht="15" hidden="false" customHeight="true" outlineLevel="0" collapsed="false">
      <c r="A1232" s="10" t="n">
        <f aca="false">Einstellungen!$B$5+INT((ROW()-9)/24)</f>
        <v>46016</v>
      </c>
      <c r="B1232" s="11" t="n">
        <f aca="false">MOD(ROW()-9,24)</f>
        <v>23</v>
      </c>
      <c r="C1232" s="12"/>
      <c r="D1232" s="13" t="n">
        <f aca="false">IF(B1232&lt;5,Einstellungen!$B$3,Einstellungen!$B$4)</f>
        <v>29.13</v>
      </c>
      <c r="E1232" s="14" t="str">
        <f aca="false">IF(C1232="","",C1232*D1232/100)</f>
        <v/>
      </c>
      <c r="F1232" s="15" t="str">
        <f aca="false">IF(B1232&lt;5,"Go","Standard")</f>
        <v>Standard</v>
      </c>
    </row>
    <row r="1233" customFormat="false" ht="15" hidden="false" customHeight="true" outlineLevel="0" collapsed="false">
      <c r="A1233" s="10" t="n">
        <f aca="false">Einstellungen!$B$5+INT((ROW()-9)/24)</f>
        <v>46017</v>
      </c>
      <c r="B1233" s="11" t="n">
        <f aca="false">MOD(ROW()-9,24)</f>
        <v>0</v>
      </c>
      <c r="C1233" s="12"/>
      <c r="D1233" s="13" t="n">
        <f aca="false">IF(B1233&lt;5,Einstellungen!$B$3,Einstellungen!$B$4)</f>
        <v>15.92</v>
      </c>
      <c r="E1233" s="14" t="str">
        <f aca="false">IF(C1233="","",C1233*D1233/100)</f>
        <v/>
      </c>
      <c r="F1233" s="15" t="str">
        <f aca="false">IF(B1233&lt;5,"Go","Standard")</f>
        <v>Go</v>
      </c>
    </row>
    <row r="1234" customFormat="false" ht="15" hidden="false" customHeight="true" outlineLevel="0" collapsed="false">
      <c r="A1234" s="10" t="n">
        <f aca="false">Einstellungen!$B$5+INT((ROW()-9)/24)</f>
        <v>46017</v>
      </c>
      <c r="B1234" s="11" t="n">
        <f aca="false">MOD(ROW()-9,24)</f>
        <v>1</v>
      </c>
      <c r="C1234" s="12"/>
      <c r="D1234" s="13" t="n">
        <f aca="false">IF(B1234&lt;5,Einstellungen!$B$3,Einstellungen!$B$4)</f>
        <v>15.92</v>
      </c>
      <c r="E1234" s="14" t="str">
        <f aca="false">IF(C1234="","",C1234*D1234/100)</f>
        <v/>
      </c>
      <c r="F1234" s="15" t="str">
        <f aca="false">IF(B1234&lt;5,"Go","Standard")</f>
        <v>Go</v>
      </c>
    </row>
    <row r="1235" customFormat="false" ht="15" hidden="false" customHeight="true" outlineLevel="0" collapsed="false">
      <c r="A1235" s="10" t="n">
        <f aca="false">Einstellungen!$B$5+INT((ROW()-9)/24)</f>
        <v>46017</v>
      </c>
      <c r="B1235" s="11" t="n">
        <f aca="false">MOD(ROW()-9,24)</f>
        <v>2</v>
      </c>
      <c r="C1235" s="12"/>
      <c r="D1235" s="13" t="n">
        <f aca="false">IF(B1235&lt;5,Einstellungen!$B$3,Einstellungen!$B$4)</f>
        <v>15.92</v>
      </c>
      <c r="E1235" s="14" t="str">
        <f aca="false">IF(C1235="","",C1235*D1235/100)</f>
        <v/>
      </c>
      <c r="F1235" s="15" t="str">
        <f aca="false">IF(B1235&lt;5,"Go","Standard")</f>
        <v>Go</v>
      </c>
    </row>
    <row r="1236" customFormat="false" ht="15" hidden="false" customHeight="true" outlineLevel="0" collapsed="false">
      <c r="A1236" s="10" t="n">
        <f aca="false">Einstellungen!$B$5+INT((ROW()-9)/24)</f>
        <v>46017</v>
      </c>
      <c r="B1236" s="11" t="n">
        <f aca="false">MOD(ROW()-9,24)</f>
        <v>3</v>
      </c>
      <c r="C1236" s="12"/>
      <c r="D1236" s="13" t="n">
        <f aca="false">IF(B1236&lt;5,Einstellungen!$B$3,Einstellungen!$B$4)</f>
        <v>15.92</v>
      </c>
      <c r="E1236" s="14" t="str">
        <f aca="false">IF(C1236="","",C1236*D1236/100)</f>
        <v/>
      </c>
      <c r="F1236" s="15" t="str">
        <f aca="false">IF(B1236&lt;5,"Go","Standard")</f>
        <v>Go</v>
      </c>
    </row>
    <row r="1237" customFormat="false" ht="15" hidden="false" customHeight="true" outlineLevel="0" collapsed="false">
      <c r="A1237" s="10" t="n">
        <f aca="false">Einstellungen!$B$5+INT((ROW()-9)/24)</f>
        <v>46017</v>
      </c>
      <c r="B1237" s="11" t="n">
        <f aca="false">MOD(ROW()-9,24)</f>
        <v>4</v>
      </c>
      <c r="C1237" s="12"/>
      <c r="D1237" s="13" t="n">
        <f aca="false">IF(B1237&lt;5,Einstellungen!$B$3,Einstellungen!$B$4)</f>
        <v>15.92</v>
      </c>
      <c r="E1237" s="14" t="str">
        <f aca="false">IF(C1237="","",C1237*D1237/100)</f>
        <v/>
      </c>
      <c r="F1237" s="15" t="str">
        <f aca="false">IF(B1237&lt;5,"Go","Standard")</f>
        <v>Go</v>
      </c>
    </row>
    <row r="1238" customFormat="false" ht="15" hidden="false" customHeight="true" outlineLevel="0" collapsed="false">
      <c r="A1238" s="10" t="n">
        <f aca="false">Einstellungen!$B$5+INT((ROW()-9)/24)</f>
        <v>46017</v>
      </c>
      <c r="B1238" s="11" t="n">
        <f aca="false">MOD(ROW()-9,24)</f>
        <v>5</v>
      </c>
      <c r="C1238" s="12"/>
      <c r="D1238" s="13" t="n">
        <f aca="false">IF(B1238&lt;5,Einstellungen!$B$3,Einstellungen!$B$4)</f>
        <v>29.13</v>
      </c>
      <c r="E1238" s="14" t="str">
        <f aca="false">IF(C1238="","",C1238*D1238/100)</f>
        <v/>
      </c>
      <c r="F1238" s="15" t="str">
        <f aca="false">IF(B1238&lt;5,"Go","Standard")</f>
        <v>Standard</v>
      </c>
    </row>
    <row r="1239" customFormat="false" ht="15" hidden="false" customHeight="true" outlineLevel="0" collapsed="false">
      <c r="A1239" s="10" t="n">
        <f aca="false">Einstellungen!$B$5+INT((ROW()-9)/24)</f>
        <v>46017</v>
      </c>
      <c r="B1239" s="11" t="n">
        <f aca="false">MOD(ROW()-9,24)</f>
        <v>6</v>
      </c>
      <c r="C1239" s="12"/>
      <c r="D1239" s="13" t="n">
        <f aca="false">IF(B1239&lt;5,Einstellungen!$B$3,Einstellungen!$B$4)</f>
        <v>29.13</v>
      </c>
      <c r="E1239" s="14" t="str">
        <f aca="false">IF(C1239="","",C1239*D1239/100)</f>
        <v/>
      </c>
      <c r="F1239" s="15" t="str">
        <f aca="false">IF(B1239&lt;5,"Go","Standard")</f>
        <v>Standard</v>
      </c>
    </row>
    <row r="1240" customFormat="false" ht="15" hidden="false" customHeight="true" outlineLevel="0" collapsed="false">
      <c r="A1240" s="10" t="n">
        <f aca="false">Einstellungen!$B$5+INT((ROW()-9)/24)</f>
        <v>46017</v>
      </c>
      <c r="B1240" s="11" t="n">
        <f aca="false">MOD(ROW()-9,24)</f>
        <v>7</v>
      </c>
      <c r="C1240" s="12"/>
      <c r="D1240" s="13" t="n">
        <f aca="false">IF(B1240&lt;5,Einstellungen!$B$3,Einstellungen!$B$4)</f>
        <v>29.13</v>
      </c>
      <c r="E1240" s="14" t="str">
        <f aca="false">IF(C1240="","",C1240*D1240/100)</f>
        <v/>
      </c>
      <c r="F1240" s="15" t="str">
        <f aca="false">IF(B1240&lt;5,"Go","Standard")</f>
        <v>Standard</v>
      </c>
    </row>
    <row r="1241" customFormat="false" ht="15" hidden="false" customHeight="true" outlineLevel="0" collapsed="false">
      <c r="A1241" s="10" t="n">
        <f aca="false">Einstellungen!$B$5+INT((ROW()-9)/24)</f>
        <v>46017</v>
      </c>
      <c r="B1241" s="11" t="n">
        <f aca="false">MOD(ROW()-9,24)</f>
        <v>8</v>
      </c>
      <c r="C1241" s="12"/>
      <c r="D1241" s="13" t="n">
        <f aca="false">IF(B1241&lt;5,Einstellungen!$B$3,Einstellungen!$B$4)</f>
        <v>29.13</v>
      </c>
      <c r="E1241" s="14" t="str">
        <f aca="false">IF(C1241="","",C1241*D1241/100)</f>
        <v/>
      </c>
      <c r="F1241" s="15" t="str">
        <f aca="false">IF(B1241&lt;5,"Go","Standard")</f>
        <v>Standard</v>
      </c>
    </row>
    <row r="1242" customFormat="false" ht="15" hidden="false" customHeight="true" outlineLevel="0" collapsed="false">
      <c r="A1242" s="10" t="n">
        <f aca="false">Einstellungen!$B$5+INT((ROW()-9)/24)</f>
        <v>46017</v>
      </c>
      <c r="B1242" s="11" t="n">
        <f aca="false">MOD(ROW()-9,24)</f>
        <v>9</v>
      </c>
      <c r="C1242" s="12"/>
      <c r="D1242" s="13" t="n">
        <f aca="false">IF(B1242&lt;5,Einstellungen!$B$3,Einstellungen!$B$4)</f>
        <v>29.13</v>
      </c>
      <c r="E1242" s="14" t="str">
        <f aca="false">IF(C1242="","",C1242*D1242/100)</f>
        <v/>
      </c>
      <c r="F1242" s="15" t="str">
        <f aca="false">IF(B1242&lt;5,"Go","Standard")</f>
        <v>Standard</v>
      </c>
    </row>
    <row r="1243" customFormat="false" ht="15" hidden="false" customHeight="true" outlineLevel="0" collapsed="false">
      <c r="A1243" s="10" t="n">
        <f aca="false">Einstellungen!$B$5+INT((ROW()-9)/24)</f>
        <v>46017</v>
      </c>
      <c r="B1243" s="11" t="n">
        <f aca="false">MOD(ROW()-9,24)</f>
        <v>10</v>
      </c>
      <c r="C1243" s="12"/>
      <c r="D1243" s="13" t="n">
        <f aca="false">IF(B1243&lt;5,Einstellungen!$B$3,Einstellungen!$B$4)</f>
        <v>29.13</v>
      </c>
      <c r="E1243" s="14" t="str">
        <f aca="false">IF(C1243="","",C1243*D1243/100)</f>
        <v/>
      </c>
      <c r="F1243" s="15" t="str">
        <f aca="false">IF(B1243&lt;5,"Go","Standard")</f>
        <v>Standard</v>
      </c>
    </row>
    <row r="1244" customFormat="false" ht="15" hidden="false" customHeight="true" outlineLevel="0" collapsed="false">
      <c r="A1244" s="10" t="n">
        <f aca="false">Einstellungen!$B$5+INT((ROW()-9)/24)</f>
        <v>46017</v>
      </c>
      <c r="B1244" s="11" t="n">
        <f aca="false">MOD(ROW()-9,24)</f>
        <v>11</v>
      </c>
      <c r="C1244" s="12"/>
      <c r="D1244" s="13" t="n">
        <f aca="false">IF(B1244&lt;5,Einstellungen!$B$3,Einstellungen!$B$4)</f>
        <v>29.13</v>
      </c>
      <c r="E1244" s="14" t="str">
        <f aca="false">IF(C1244="","",C1244*D1244/100)</f>
        <v/>
      </c>
      <c r="F1244" s="15" t="str">
        <f aca="false">IF(B1244&lt;5,"Go","Standard")</f>
        <v>Standard</v>
      </c>
    </row>
    <row r="1245" customFormat="false" ht="15" hidden="false" customHeight="true" outlineLevel="0" collapsed="false">
      <c r="A1245" s="10" t="n">
        <f aca="false">Einstellungen!$B$5+INT((ROW()-9)/24)</f>
        <v>46017</v>
      </c>
      <c r="B1245" s="11" t="n">
        <f aca="false">MOD(ROW()-9,24)</f>
        <v>12</v>
      </c>
      <c r="C1245" s="12"/>
      <c r="D1245" s="13" t="n">
        <f aca="false">IF(B1245&lt;5,Einstellungen!$B$3,Einstellungen!$B$4)</f>
        <v>29.13</v>
      </c>
      <c r="E1245" s="14" t="str">
        <f aca="false">IF(C1245="","",C1245*D1245/100)</f>
        <v/>
      </c>
      <c r="F1245" s="15" t="str">
        <f aca="false">IF(B1245&lt;5,"Go","Standard")</f>
        <v>Standard</v>
      </c>
    </row>
    <row r="1246" customFormat="false" ht="15" hidden="false" customHeight="true" outlineLevel="0" collapsed="false">
      <c r="A1246" s="10" t="n">
        <f aca="false">Einstellungen!$B$5+INT((ROW()-9)/24)</f>
        <v>46017</v>
      </c>
      <c r="B1246" s="11" t="n">
        <f aca="false">MOD(ROW()-9,24)</f>
        <v>13</v>
      </c>
      <c r="C1246" s="12"/>
      <c r="D1246" s="13" t="n">
        <f aca="false">IF(B1246&lt;5,Einstellungen!$B$3,Einstellungen!$B$4)</f>
        <v>29.13</v>
      </c>
      <c r="E1246" s="14" t="str">
        <f aca="false">IF(C1246="","",C1246*D1246/100)</f>
        <v/>
      </c>
      <c r="F1246" s="15" t="str">
        <f aca="false">IF(B1246&lt;5,"Go","Standard")</f>
        <v>Standard</v>
      </c>
    </row>
    <row r="1247" customFormat="false" ht="15" hidden="false" customHeight="true" outlineLevel="0" collapsed="false">
      <c r="A1247" s="10" t="n">
        <f aca="false">Einstellungen!$B$5+INT((ROW()-9)/24)</f>
        <v>46017</v>
      </c>
      <c r="B1247" s="11" t="n">
        <f aca="false">MOD(ROW()-9,24)</f>
        <v>14</v>
      </c>
      <c r="C1247" s="12"/>
      <c r="D1247" s="13" t="n">
        <f aca="false">IF(B1247&lt;5,Einstellungen!$B$3,Einstellungen!$B$4)</f>
        <v>29.13</v>
      </c>
      <c r="E1247" s="14" t="str">
        <f aca="false">IF(C1247="","",C1247*D1247/100)</f>
        <v/>
      </c>
      <c r="F1247" s="15" t="str">
        <f aca="false">IF(B1247&lt;5,"Go","Standard")</f>
        <v>Standard</v>
      </c>
    </row>
    <row r="1248" customFormat="false" ht="15" hidden="false" customHeight="true" outlineLevel="0" collapsed="false">
      <c r="A1248" s="10" t="n">
        <f aca="false">Einstellungen!$B$5+INT((ROW()-9)/24)</f>
        <v>46017</v>
      </c>
      <c r="B1248" s="11" t="n">
        <f aca="false">MOD(ROW()-9,24)</f>
        <v>15</v>
      </c>
      <c r="C1248" s="12"/>
      <c r="D1248" s="13" t="n">
        <f aca="false">IF(B1248&lt;5,Einstellungen!$B$3,Einstellungen!$B$4)</f>
        <v>29.13</v>
      </c>
      <c r="E1248" s="14" t="str">
        <f aca="false">IF(C1248="","",C1248*D1248/100)</f>
        <v/>
      </c>
      <c r="F1248" s="15" t="str">
        <f aca="false">IF(B1248&lt;5,"Go","Standard")</f>
        <v>Standard</v>
      </c>
    </row>
    <row r="1249" customFormat="false" ht="15" hidden="false" customHeight="true" outlineLevel="0" collapsed="false">
      <c r="A1249" s="10" t="n">
        <f aca="false">Einstellungen!$B$5+INT((ROW()-9)/24)</f>
        <v>46017</v>
      </c>
      <c r="B1249" s="11" t="n">
        <f aca="false">MOD(ROW()-9,24)</f>
        <v>16</v>
      </c>
      <c r="C1249" s="12"/>
      <c r="D1249" s="13" t="n">
        <f aca="false">IF(B1249&lt;5,Einstellungen!$B$3,Einstellungen!$B$4)</f>
        <v>29.13</v>
      </c>
      <c r="E1249" s="14" t="str">
        <f aca="false">IF(C1249="","",C1249*D1249/100)</f>
        <v/>
      </c>
      <c r="F1249" s="15" t="str">
        <f aca="false">IF(B1249&lt;5,"Go","Standard")</f>
        <v>Standard</v>
      </c>
    </row>
    <row r="1250" customFormat="false" ht="15" hidden="false" customHeight="true" outlineLevel="0" collapsed="false">
      <c r="A1250" s="10" t="n">
        <f aca="false">Einstellungen!$B$5+INT((ROW()-9)/24)</f>
        <v>46017</v>
      </c>
      <c r="B1250" s="11" t="n">
        <f aca="false">MOD(ROW()-9,24)</f>
        <v>17</v>
      </c>
      <c r="C1250" s="12"/>
      <c r="D1250" s="13" t="n">
        <f aca="false">IF(B1250&lt;5,Einstellungen!$B$3,Einstellungen!$B$4)</f>
        <v>29.13</v>
      </c>
      <c r="E1250" s="14" t="str">
        <f aca="false">IF(C1250="","",C1250*D1250/100)</f>
        <v/>
      </c>
      <c r="F1250" s="15" t="str">
        <f aca="false">IF(B1250&lt;5,"Go","Standard")</f>
        <v>Standard</v>
      </c>
    </row>
    <row r="1251" customFormat="false" ht="15" hidden="false" customHeight="true" outlineLevel="0" collapsed="false">
      <c r="A1251" s="10" t="n">
        <f aca="false">Einstellungen!$B$5+INT((ROW()-9)/24)</f>
        <v>46017</v>
      </c>
      <c r="B1251" s="11" t="n">
        <f aca="false">MOD(ROW()-9,24)</f>
        <v>18</v>
      </c>
      <c r="C1251" s="12"/>
      <c r="D1251" s="13" t="n">
        <f aca="false">IF(B1251&lt;5,Einstellungen!$B$3,Einstellungen!$B$4)</f>
        <v>29.13</v>
      </c>
      <c r="E1251" s="14" t="str">
        <f aca="false">IF(C1251="","",C1251*D1251/100)</f>
        <v/>
      </c>
      <c r="F1251" s="15" t="str">
        <f aca="false">IF(B1251&lt;5,"Go","Standard")</f>
        <v>Standard</v>
      </c>
    </row>
    <row r="1252" customFormat="false" ht="15" hidden="false" customHeight="true" outlineLevel="0" collapsed="false">
      <c r="A1252" s="10" t="n">
        <f aca="false">Einstellungen!$B$5+INT((ROW()-9)/24)</f>
        <v>46017</v>
      </c>
      <c r="B1252" s="11" t="n">
        <f aca="false">MOD(ROW()-9,24)</f>
        <v>19</v>
      </c>
      <c r="C1252" s="12"/>
      <c r="D1252" s="13" t="n">
        <f aca="false">IF(B1252&lt;5,Einstellungen!$B$3,Einstellungen!$B$4)</f>
        <v>29.13</v>
      </c>
      <c r="E1252" s="14" t="str">
        <f aca="false">IF(C1252="","",C1252*D1252/100)</f>
        <v/>
      </c>
      <c r="F1252" s="15" t="str">
        <f aca="false">IF(B1252&lt;5,"Go","Standard")</f>
        <v>Standard</v>
      </c>
    </row>
    <row r="1253" customFormat="false" ht="15" hidden="false" customHeight="true" outlineLevel="0" collapsed="false">
      <c r="A1253" s="10" t="n">
        <f aca="false">Einstellungen!$B$5+INT((ROW()-9)/24)</f>
        <v>46017</v>
      </c>
      <c r="B1253" s="11" t="n">
        <f aca="false">MOD(ROW()-9,24)</f>
        <v>20</v>
      </c>
      <c r="C1253" s="12"/>
      <c r="D1253" s="13" t="n">
        <f aca="false">IF(B1253&lt;5,Einstellungen!$B$3,Einstellungen!$B$4)</f>
        <v>29.13</v>
      </c>
      <c r="E1253" s="14" t="str">
        <f aca="false">IF(C1253="","",C1253*D1253/100)</f>
        <v/>
      </c>
      <c r="F1253" s="15" t="str">
        <f aca="false">IF(B1253&lt;5,"Go","Standard")</f>
        <v>Standard</v>
      </c>
    </row>
    <row r="1254" customFormat="false" ht="15" hidden="false" customHeight="true" outlineLevel="0" collapsed="false">
      <c r="A1254" s="10" t="n">
        <f aca="false">Einstellungen!$B$5+INT((ROW()-9)/24)</f>
        <v>46017</v>
      </c>
      <c r="B1254" s="11" t="n">
        <f aca="false">MOD(ROW()-9,24)</f>
        <v>21</v>
      </c>
      <c r="C1254" s="12"/>
      <c r="D1254" s="13" t="n">
        <f aca="false">IF(B1254&lt;5,Einstellungen!$B$3,Einstellungen!$B$4)</f>
        <v>29.13</v>
      </c>
      <c r="E1254" s="14" t="str">
        <f aca="false">IF(C1254="","",C1254*D1254/100)</f>
        <v/>
      </c>
      <c r="F1254" s="15" t="str">
        <f aca="false">IF(B1254&lt;5,"Go","Standard")</f>
        <v>Standard</v>
      </c>
    </row>
    <row r="1255" customFormat="false" ht="15" hidden="false" customHeight="true" outlineLevel="0" collapsed="false">
      <c r="A1255" s="10" t="n">
        <f aca="false">Einstellungen!$B$5+INT((ROW()-9)/24)</f>
        <v>46017</v>
      </c>
      <c r="B1255" s="11" t="n">
        <f aca="false">MOD(ROW()-9,24)</f>
        <v>22</v>
      </c>
      <c r="C1255" s="12"/>
      <c r="D1255" s="13" t="n">
        <f aca="false">IF(B1255&lt;5,Einstellungen!$B$3,Einstellungen!$B$4)</f>
        <v>29.13</v>
      </c>
      <c r="E1255" s="14" t="str">
        <f aca="false">IF(C1255="","",C1255*D1255/100)</f>
        <v/>
      </c>
      <c r="F1255" s="15" t="str">
        <f aca="false">IF(B1255&lt;5,"Go","Standard")</f>
        <v>Standard</v>
      </c>
    </row>
    <row r="1256" customFormat="false" ht="15" hidden="false" customHeight="true" outlineLevel="0" collapsed="false">
      <c r="A1256" s="10" t="n">
        <f aca="false">Einstellungen!$B$5+INT((ROW()-9)/24)</f>
        <v>46017</v>
      </c>
      <c r="B1256" s="11" t="n">
        <f aca="false">MOD(ROW()-9,24)</f>
        <v>23</v>
      </c>
      <c r="C1256" s="12"/>
      <c r="D1256" s="13" t="n">
        <f aca="false">IF(B1256&lt;5,Einstellungen!$B$3,Einstellungen!$B$4)</f>
        <v>29.13</v>
      </c>
      <c r="E1256" s="14" t="str">
        <f aca="false">IF(C1256="","",C1256*D1256/100)</f>
        <v/>
      </c>
      <c r="F1256" s="15" t="str">
        <f aca="false">IF(B1256&lt;5,"Go","Standard")</f>
        <v>Standard</v>
      </c>
    </row>
    <row r="1257" customFormat="false" ht="15" hidden="false" customHeight="true" outlineLevel="0" collapsed="false">
      <c r="A1257" s="10" t="n">
        <f aca="false">Einstellungen!$B$5+INT((ROW()-9)/24)</f>
        <v>46018</v>
      </c>
      <c r="B1257" s="11" t="n">
        <f aca="false">MOD(ROW()-9,24)</f>
        <v>0</v>
      </c>
      <c r="C1257" s="12"/>
      <c r="D1257" s="13" t="n">
        <f aca="false">IF(B1257&lt;5,Einstellungen!$B$3,Einstellungen!$B$4)</f>
        <v>15.92</v>
      </c>
      <c r="E1257" s="14" t="str">
        <f aca="false">IF(C1257="","",C1257*D1257/100)</f>
        <v/>
      </c>
      <c r="F1257" s="15" t="str">
        <f aca="false">IF(B1257&lt;5,"Go","Standard")</f>
        <v>Go</v>
      </c>
    </row>
    <row r="1258" customFormat="false" ht="15" hidden="false" customHeight="true" outlineLevel="0" collapsed="false">
      <c r="A1258" s="10" t="n">
        <f aca="false">Einstellungen!$B$5+INT((ROW()-9)/24)</f>
        <v>46018</v>
      </c>
      <c r="B1258" s="11" t="n">
        <f aca="false">MOD(ROW()-9,24)</f>
        <v>1</v>
      </c>
      <c r="C1258" s="12"/>
      <c r="D1258" s="13" t="n">
        <f aca="false">IF(B1258&lt;5,Einstellungen!$B$3,Einstellungen!$B$4)</f>
        <v>15.92</v>
      </c>
      <c r="E1258" s="14" t="str">
        <f aca="false">IF(C1258="","",C1258*D1258/100)</f>
        <v/>
      </c>
      <c r="F1258" s="15" t="str">
        <f aca="false">IF(B1258&lt;5,"Go","Standard")</f>
        <v>Go</v>
      </c>
    </row>
    <row r="1259" customFormat="false" ht="15" hidden="false" customHeight="true" outlineLevel="0" collapsed="false">
      <c r="A1259" s="10" t="n">
        <f aca="false">Einstellungen!$B$5+INT((ROW()-9)/24)</f>
        <v>46018</v>
      </c>
      <c r="B1259" s="11" t="n">
        <f aca="false">MOD(ROW()-9,24)</f>
        <v>2</v>
      </c>
      <c r="C1259" s="12"/>
      <c r="D1259" s="13" t="n">
        <f aca="false">IF(B1259&lt;5,Einstellungen!$B$3,Einstellungen!$B$4)</f>
        <v>15.92</v>
      </c>
      <c r="E1259" s="14" t="str">
        <f aca="false">IF(C1259="","",C1259*D1259/100)</f>
        <v/>
      </c>
      <c r="F1259" s="15" t="str">
        <f aca="false">IF(B1259&lt;5,"Go","Standard")</f>
        <v>Go</v>
      </c>
    </row>
    <row r="1260" customFormat="false" ht="15" hidden="false" customHeight="true" outlineLevel="0" collapsed="false">
      <c r="A1260" s="10" t="n">
        <f aca="false">Einstellungen!$B$5+INT((ROW()-9)/24)</f>
        <v>46018</v>
      </c>
      <c r="B1260" s="11" t="n">
        <f aca="false">MOD(ROW()-9,24)</f>
        <v>3</v>
      </c>
      <c r="C1260" s="12"/>
      <c r="D1260" s="13" t="n">
        <f aca="false">IF(B1260&lt;5,Einstellungen!$B$3,Einstellungen!$B$4)</f>
        <v>15.92</v>
      </c>
      <c r="E1260" s="14" t="str">
        <f aca="false">IF(C1260="","",C1260*D1260/100)</f>
        <v/>
      </c>
      <c r="F1260" s="15" t="str">
        <f aca="false">IF(B1260&lt;5,"Go","Standard")</f>
        <v>Go</v>
      </c>
    </row>
    <row r="1261" customFormat="false" ht="15" hidden="false" customHeight="true" outlineLevel="0" collapsed="false">
      <c r="A1261" s="10" t="n">
        <f aca="false">Einstellungen!$B$5+INT((ROW()-9)/24)</f>
        <v>46018</v>
      </c>
      <c r="B1261" s="11" t="n">
        <f aca="false">MOD(ROW()-9,24)</f>
        <v>4</v>
      </c>
      <c r="C1261" s="12"/>
      <c r="D1261" s="13" t="n">
        <f aca="false">IF(B1261&lt;5,Einstellungen!$B$3,Einstellungen!$B$4)</f>
        <v>15.92</v>
      </c>
      <c r="E1261" s="14" t="str">
        <f aca="false">IF(C1261="","",C1261*D1261/100)</f>
        <v/>
      </c>
      <c r="F1261" s="15" t="str">
        <f aca="false">IF(B1261&lt;5,"Go","Standard")</f>
        <v>Go</v>
      </c>
    </row>
    <row r="1262" customFormat="false" ht="15" hidden="false" customHeight="true" outlineLevel="0" collapsed="false">
      <c r="A1262" s="10" t="n">
        <f aca="false">Einstellungen!$B$5+INT((ROW()-9)/24)</f>
        <v>46018</v>
      </c>
      <c r="B1262" s="11" t="n">
        <f aca="false">MOD(ROW()-9,24)</f>
        <v>5</v>
      </c>
      <c r="C1262" s="12"/>
      <c r="D1262" s="13" t="n">
        <f aca="false">IF(B1262&lt;5,Einstellungen!$B$3,Einstellungen!$B$4)</f>
        <v>29.13</v>
      </c>
      <c r="E1262" s="14" t="str">
        <f aca="false">IF(C1262="","",C1262*D1262/100)</f>
        <v/>
      </c>
      <c r="F1262" s="15" t="str">
        <f aca="false">IF(B1262&lt;5,"Go","Standard")</f>
        <v>Standard</v>
      </c>
    </row>
    <row r="1263" customFormat="false" ht="15" hidden="false" customHeight="true" outlineLevel="0" collapsed="false">
      <c r="A1263" s="10" t="n">
        <f aca="false">Einstellungen!$B$5+INT((ROW()-9)/24)</f>
        <v>46018</v>
      </c>
      <c r="B1263" s="11" t="n">
        <f aca="false">MOD(ROW()-9,24)</f>
        <v>6</v>
      </c>
      <c r="C1263" s="12"/>
      <c r="D1263" s="13" t="n">
        <f aca="false">IF(B1263&lt;5,Einstellungen!$B$3,Einstellungen!$B$4)</f>
        <v>29.13</v>
      </c>
      <c r="E1263" s="14" t="str">
        <f aca="false">IF(C1263="","",C1263*D1263/100)</f>
        <v/>
      </c>
      <c r="F1263" s="15" t="str">
        <f aca="false">IF(B1263&lt;5,"Go","Standard")</f>
        <v>Standard</v>
      </c>
    </row>
    <row r="1264" customFormat="false" ht="15" hidden="false" customHeight="true" outlineLevel="0" collapsed="false">
      <c r="A1264" s="10" t="n">
        <f aca="false">Einstellungen!$B$5+INT((ROW()-9)/24)</f>
        <v>46018</v>
      </c>
      <c r="B1264" s="11" t="n">
        <f aca="false">MOD(ROW()-9,24)</f>
        <v>7</v>
      </c>
      <c r="C1264" s="12"/>
      <c r="D1264" s="13" t="n">
        <f aca="false">IF(B1264&lt;5,Einstellungen!$B$3,Einstellungen!$B$4)</f>
        <v>29.13</v>
      </c>
      <c r="E1264" s="14" t="str">
        <f aca="false">IF(C1264="","",C1264*D1264/100)</f>
        <v/>
      </c>
      <c r="F1264" s="15" t="str">
        <f aca="false">IF(B1264&lt;5,"Go","Standard")</f>
        <v>Standard</v>
      </c>
    </row>
    <row r="1265" customFormat="false" ht="15" hidden="false" customHeight="true" outlineLevel="0" collapsed="false">
      <c r="A1265" s="10" t="n">
        <f aca="false">Einstellungen!$B$5+INT((ROW()-9)/24)</f>
        <v>46018</v>
      </c>
      <c r="B1265" s="11" t="n">
        <f aca="false">MOD(ROW()-9,24)</f>
        <v>8</v>
      </c>
      <c r="C1265" s="12"/>
      <c r="D1265" s="13" t="n">
        <f aca="false">IF(B1265&lt;5,Einstellungen!$B$3,Einstellungen!$B$4)</f>
        <v>29.13</v>
      </c>
      <c r="E1265" s="14" t="str">
        <f aca="false">IF(C1265="","",C1265*D1265/100)</f>
        <v/>
      </c>
      <c r="F1265" s="15" t="str">
        <f aca="false">IF(B1265&lt;5,"Go","Standard")</f>
        <v>Standard</v>
      </c>
    </row>
    <row r="1266" customFormat="false" ht="15" hidden="false" customHeight="true" outlineLevel="0" collapsed="false">
      <c r="A1266" s="10" t="n">
        <f aca="false">Einstellungen!$B$5+INT((ROW()-9)/24)</f>
        <v>46018</v>
      </c>
      <c r="B1266" s="11" t="n">
        <f aca="false">MOD(ROW()-9,24)</f>
        <v>9</v>
      </c>
      <c r="C1266" s="12"/>
      <c r="D1266" s="13" t="n">
        <f aca="false">IF(B1266&lt;5,Einstellungen!$B$3,Einstellungen!$B$4)</f>
        <v>29.13</v>
      </c>
      <c r="E1266" s="14" t="str">
        <f aca="false">IF(C1266="","",C1266*D1266/100)</f>
        <v/>
      </c>
      <c r="F1266" s="15" t="str">
        <f aca="false">IF(B1266&lt;5,"Go","Standard")</f>
        <v>Standard</v>
      </c>
    </row>
    <row r="1267" customFormat="false" ht="15" hidden="false" customHeight="true" outlineLevel="0" collapsed="false">
      <c r="A1267" s="10" t="n">
        <f aca="false">Einstellungen!$B$5+INT((ROW()-9)/24)</f>
        <v>46018</v>
      </c>
      <c r="B1267" s="11" t="n">
        <f aca="false">MOD(ROW()-9,24)</f>
        <v>10</v>
      </c>
      <c r="C1267" s="12"/>
      <c r="D1267" s="13" t="n">
        <f aca="false">IF(B1267&lt;5,Einstellungen!$B$3,Einstellungen!$B$4)</f>
        <v>29.13</v>
      </c>
      <c r="E1267" s="14" t="str">
        <f aca="false">IF(C1267="","",C1267*D1267/100)</f>
        <v/>
      </c>
      <c r="F1267" s="15" t="str">
        <f aca="false">IF(B1267&lt;5,"Go","Standard")</f>
        <v>Standard</v>
      </c>
    </row>
    <row r="1268" customFormat="false" ht="15" hidden="false" customHeight="true" outlineLevel="0" collapsed="false">
      <c r="A1268" s="10" t="n">
        <f aca="false">Einstellungen!$B$5+INT((ROW()-9)/24)</f>
        <v>46018</v>
      </c>
      <c r="B1268" s="11" t="n">
        <f aca="false">MOD(ROW()-9,24)</f>
        <v>11</v>
      </c>
      <c r="C1268" s="12"/>
      <c r="D1268" s="13" t="n">
        <f aca="false">IF(B1268&lt;5,Einstellungen!$B$3,Einstellungen!$B$4)</f>
        <v>29.13</v>
      </c>
      <c r="E1268" s="14" t="str">
        <f aca="false">IF(C1268="","",C1268*D1268/100)</f>
        <v/>
      </c>
      <c r="F1268" s="15" t="str">
        <f aca="false">IF(B1268&lt;5,"Go","Standard")</f>
        <v>Standard</v>
      </c>
    </row>
    <row r="1269" customFormat="false" ht="15" hidden="false" customHeight="true" outlineLevel="0" collapsed="false">
      <c r="A1269" s="10" t="n">
        <f aca="false">Einstellungen!$B$5+INT((ROW()-9)/24)</f>
        <v>46018</v>
      </c>
      <c r="B1269" s="11" t="n">
        <f aca="false">MOD(ROW()-9,24)</f>
        <v>12</v>
      </c>
      <c r="C1269" s="12"/>
      <c r="D1269" s="13" t="n">
        <f aca="false">IF(B1269&lt;5,Einstellungen!$B$3,Einstellungen!$B$4)</f>
        <v>29.13</v>
      </c>
      <c r="E1269" s="14" t="str">
        <f aca="false">IF(C1269="","",C1269*D1269/100)</f>
        <v/>
      </c>
      <c r="F1269" s="15" t="str">
        <f aca="false">IF(B1269&lt;5,"Go","Standard")</f>
        <v>Standard</v>
      </c>
    </row>
    <row r="1270" customFormat="false" ht="15" hidden="false" customHeight="true" outlineLevel="0" collapsed="false">
      <c r="A1270" s="10" t="n">
        <f aca="false">Einstellungen!$B$5+INT((ROW()-9)/24)</f>
        <v>46018</v>
      </c>
      <c r="B1270" s="11" t="n">
        <f aca="false">MOD(ROW()-9,24)</f>
        <v>13</v>
      </c>
      <c r="C1270" s="12"/>
      <c r="D1270" s="13" t="n">
        <f aca="false">IF(B1270&lt;5,Einstellungen!$B$3,Einstellungen!$B$4)</f>
        <v>29.13</v>
      </c>
      <c r="E1270" s="14" t="str">
        <f aca="false">IF(C1270="","",C1270*D1270/100)</f>
        <v/>
      </c>
      <c r="F1270" s="15" t="str">
        <f aca="false">IF(B1270&lt;5,"Go","Standard")</f>
        <v>Standard</v>
      </c>
    </row>
    <row r="1271" customFormat="false" ht="15" hidden="false" customHeight="true" outlineLevel="0" collapsed="false">
      <c r="A1271" s="10" t="n">
        <f aca="false">Einstellungen!$B$5+INT((ROW()-9)/24)</f>
        <v>46018</v>
      </c>
      <c r="B1271" s="11" t="n">
        <f aca="false">MOD(ROW()-9,24)</f>
        <v>14</v>
      </c>
      <c r="C1271" s="12"/>
      <c r="D1271" s="13" t="n">
        <f aca="false">IF(B1271&lt;5,Einstellungen!$B$3,Einstellungen!$B$4)</f>
        <v>29.13</v>
      </c>
      <c r="E1271" s="14" t="str">
        <f aca="false">IF(C1271="","",C1271*D1271/100)</f>
        <v/>
      </c>
      <c r="F1271" s="15" t="str">
        <f aca="false">IF(B1271&lt;5,"Go","Standard")</f>
        <v>Standard</v>
      </c>
    </row>
    <row r="1272" customFormat="false" ht="15" hidden="false" customHeight="true" outlineLevel="0" collapsed="false">
      <c r="A1272" s="10" t="n">
        <f aca="false">Einstellungen!$B$5+INT((ROW()-9)/24)</f>
        <v>46018</v>
      </c>
      <c r="B1272" s="11" t="n">
        <f aca="false">MOD(ROW()-9,24)</f>
        <v>15</v>
      </c>
      <c r="C1272" s="12"/>
      <c r="D1272" s="13" t="n">
        <f aca="false">IF(B1272&lt;5,Einstellungen!$B$3,Einstellungen!$B$4)</f>
        <v>29.13</v>
      </c>
      <c r="E1272" s="14" t="str">
        <f aca="false">IF(C1272="","",C1272*D1272/100)</f>
        <v/>
      </c>
      <c r="F1272" s="15" t="str">
        <f aca="false">IF(B1272&lt;5,"Go","Standard")</f>
        <v>Standard</v>
      </c>
    </row>
    <row r="1273" customFormat="false" ht="15" hidden="false" customHeight="true" outlineLevel="0" collapsed="false">
      <c r="A1273" s="10" t="n">
        <f aca="false">Einstellungen!$B$5+INT((ROW()-9)/24)</f>
        <v>46018</v>
      </c>
      <c r="B1273" s="11" t="n">
        <f aca="false">MOD(ROW()-9,24)</f>
        <v>16</v>
      </c>
      <c r="C1273" s="12"/>
      <c r="D1273" s="13" t="n">
        <f aca="false">IF(B1273&lt;5,Einstellungen!$B$3,Einstellungen!$B$4)</f>
        <v>29.13</v>
      </c>
      <c r="E1273" s="14" t="str">
        <f aca="false">IF(C1273="","",C1273*D1273/100)</f>
        <v/>
      </c>
      <c r="F1273" s="15" t="str">
        <f aca="false">IF(B1273&lt;5,"Go","Standard")</f>
        <v>Standard</v>
      </c>
    </row>
    <row r="1274" customFormat="false" ht="15" hidden="false" customHeight="true" outlineLevel="0" collapsed="false">
      <c r="A1274" s="10" t="n">
        <f aca="false">Einstellungen!$B$5+INT((ROW()-9)/24)</f>
        <v>46018</v>
      </c>
      <c r="B1274" s="11" t="n">
        <f aca="false">MOD(ROW()-9,24)</f>
        <v>17</v>
      </c>
      <c r="C1274" s="12"/>
      <c r="D1274" s="13" t="n">
        <f aca="false">IF(B1274&lt;5,Einstellungen!$B$3,Einstellungen!$B$4)</f>
        <v>29.13</v>
      </c>
      <c r="E1274" s="14" t="str">
        <f aca="false">IF(C1274="","",C1274*D1274/100)</f>
        <v/>
      </c>
      <c r="F1274" s="15" t="str">
        <f aca="false">IF(B1274&lt;5,"Go","Standard")</f>
        <v>Standard</v>
      </c>
    </row>
    <row r="1275" customFormat="false" ht="15" hidden="false" customHeight="true" outlineLevel="0" collapsed="false">
      <c r="A1275" s="10" t="n">
        <f aca="false">Einstellungen!$B$5+INT((ROW()-9)/24)</f>
        <v>46018</v>
      </c>
      <c r="B1275" s="11" t="n">
        <f aca="false">MOD(ROW()-9,24)</f>
        <v>18</v>
      </c>
      <c r="C1275" s="12"/>
      <c r="D1275" s="13" t="n">
        <f aca="false">IF(B1275&lt;5,Einstellungen!$B$3,Einstellungen!$B$4)</f>
        <v>29.13</v>
      </c>
      <c r="E1275" s="14" t="str">
        <f aca="false">IF(C1275="","",C1275*D1275/100)</f>
        <v/>
      </c>
      <c r="F1275" s="15" t="str">
        <f aca="false">IF(B1275&lt;5,"Go","Standard")</f>
        <v>Standard</v>
      </c>
    </row>
    <row r="1276" customFormat="false" ht="15" hidden="false" customHeight="true" outlineLevel="0" collapsed="false">
      <c r="A1276" s="10" t="n">
        <f aca="false">Einstellungen!$B$5+INT((ROW()-9)/24)</f>
        <v>46018</v>
      </c>
      <c r="B1276" s="11" t="n">
        <f aca="false">MOD(ROW()-9,24)</f>
        <v>19</v>
      </c>
      <c r="C1276" s="12"/>
      <c r="D1276" s="13" t="n">
        <f aca="false">IF(B1276&lt;5,Einstellungen!$B$3,Einstellungen!$B$4)</f>
        <v>29.13</v>
      </c>
      <c r="E1276" s="14" t="str">
        <f aca="false">IF(C1276="","",C1276*D1276/100)</f>
        <v/>
      </c>
      <c r="F1276" s="15" t="str">
        <f aca="false">IF(B1276&lt;5,"Go","Standard")</f>
        <v>Standard</v>
      </c>
    </row>
    <row r="1277" customFormat="false" ht="15" hidden="false" customHeight="true" outlineLevel="0" collapsed="false">
      <c r="A1277" s="10" t="n">
        <f aca="false">Einstellungen!$B$5+INT((ROW()-9)/24)</f>
        <v>46018</v>
      </c>
      <c r="B1277" s="11" t="n">
        <f aca="false">MOD(ROW()-9,24)</f>
        <v>20</v>
      </c>
      <c r="C1277" s="12"/>
      <c r="D1277" s="13" t="n">
        <f aca="false">IF(B1277&lt;5,Einstellungen!$B$3,Einstellungen!$B$4)</f>
        <v>29.13</v>
      </c>
      <c r="E1277" s="14" t="str">
        <f aca="false">IF(C1277="","",C1277*D1277/100)</f>
        <v/>
      </c>
      <c r="F1277" s="15" t="str">
        <f aca="false">IF(B1277&lt;5,"Go","Standard")</f>
        <v>Standard</v>
      </c>
    </row>
    <row r="1278" customFormat="false" ht="15" hidden="false" customHeight="true" outlineLevel="0" collapsed="false">
      <c r="A1278" s="10" t="n">
        <f aca="false">Einstellungen!$B$5+INT((ROW()-9)/24)</f>
        <v>46018</v>
      </c>
      <c r="B1278" s="11" t="n">
        <f aca="false">MOD(ROW()-9,24)</f>
        <v>21</v>
      </c>
      <c r="C1278" s="12"/>
      <c r="D1278" s="13" t="n">
        <f aca="false">IF(B1278&lt;5,Einstellungen!$B$3,Einstellungen!$B$4)</f>
        <v>29.13</v>
      </c>
      <c r="E1278" s="14" t="str">
        <f aca="false">IF(C1278="","",C1278*D1278/100)</f>
        <v/>
      </c>
      <c r="F1278" s="15" t="str">
        <f aca="false">IF(B1278&lt;5,"Go","Standard")</f>
        <v>Standard</v>
      </c>
    </row>
    <row r="1279" customFormat="false" ht="15" hidden="false" customHeight="true" outlineLevel="0" collapsed="false">
      <c r="A1279" s="10" t="n">
        <f aca="false">Einstellungen!$B$5+INT((ROW()-9)/24)</f>
        <v>46018</v>
      </c>
      <c r="B1279" s="11" t="n">
        <f aca="false">MOD(ROW()-9,24)</f>
        <v>22</v>
      </c>
      <c r="C1279" s="12"/>
      <c r="D1279" s="13" t="n">
        <f aca="false">IF(B1279&lt;5,Einstellungen!$B$3,Einstellungen!$B$4)</f>
        <v>29.13</v>
      </c>
      <c r="E1279" s="14" t="str">
        <f aca="false">IF(C1279="","",C1279*D1279/100)</f>
        <v/>
      </c>
      <c r="F1279" s="15" t="str">
        <f aca="false">IF(B1279&lt;5,"Go","Standard")</f>
        <v>Standard</v>
      </c>
    </row>
    <row r="1280" customFormat="false" ht="15" hidden="false" customHeight="true" outlineLevel="0" collapsed="false">
      <c r="A1280" s="10" t="n">
        <f aca="false">Einstellungen!$B$5+INT((ROW()-9)/24)</f>
        <v>46018</v>
      </c>
      <c r="B1280" s="11" t="n">
        <f aca="false">MOD(ROW()-9,24)</f>
        <v>23</v>
      </c>
      <c r="C1280" s="12"/>
      <c r="D1280" s="13" t="n">
        <f aca="false">IF(B1280&lt;5,Einstellungen!$B$3,Einstellungen!$B$4)</f>
        <v>29.13</v>
      </c>
      <c r="E1280" s="14" t="str">
        <f aca="false">IF(C1280="","",C1280*D1280/100)</f>
        <v/>
      </c>
      <c r="F1280" s="15" t="str">
        <f aca="false">IF(B1280&lt;5,"Go","Standard")</f>
        <v>Standard</v>
      </c>
    </row>
    <row r="1281" customFormat="false" ht="15" hidden="false" customHeight="true" outlineLevel="0" collapsed="false">
      <c r="A1281" s="10" t="n">
        <f aca="false">Einstellungen!$B$5+INT((ROW()-9)/24)</f>
        <v>46019</v>
      </c>
      <c r="B1281" s="11" t="n">
        <f aca="false">MOD(ROW()-9,24)</f>
        <v>0</v>
      </c>
      <c r="C1281" s="12"/>
      <c r="D1281" s="13" t="n">
        <f aca="false">IF(B1281&lt;5,Einstellungen!$B$3,Einstellungen!$B$4)</f>
        <v>15.92</v>
      </c>
      <c r="E1281" s="14" t="str">
        <f aca="false">IF(C1281="","",C1281*D1281/100)</f>
        <v/>
      </c>
      <c r="F1281" s="15" t="str">
        <f aca="false">IF(B1281&lt;5,"Go","Standard")</f>
        <v>Go</v>
      </c>
    </row>
    <row r="1282" customFormat="false" ht="15" hidden="false" customHeight="true" outlineLevel="0" collapsed="false">
      <c r="A1282" s="10" t="n">
        <f aca="false">Einstellungen!$B$5+INT((ROW()-9)/24)</f>
        <v>46019</v>
      </c>
      <c r="B1282" s="11" t="n">
        <f aca="false">MOD(ROW()-9,24)</f>
        <v>1</v>
      </c>
      <c r="C1282" s="12"/>
      <c r="D1282" s="13" t="n">
        <f aca="false">IF(B1282&lt;5,Einstellungen!$B$3,Einstellungen!$B$4)</f>
        <v>15.92</v>
      </c>
      <c r="E1282" s="14" t="str">
        <f aca="false">IF(C1282="","",C1282*D1282/100)</f>
        <v/>
      </c>
      <c r="F1282" s="15" t="str">
        <f aca="false">IF(B1282&lt;5,"Go","Standard")</f>
        <v>Go</v>
      </c>
    </row>
    <row r="1283" customFormat="false" ht="15" hidden="false" customHeight="true" outlineLevel="0" collapsed="false">
      <c r="A1283" s="10" t="n">
        <f aca="false">Einstellungen!$B$5+INT((ROW()-9)/24)</f>
        <v>46019</v>
      </c>
      <c r="B1283" s="11" t="n">
        <f aca="false">MOD(ROW()-9,24)</f>
        <v>2</v>
      </c>
      <c r="C1283" s="12"/>
      <c r="D1283" s="13" t="n">
        <f aca="false">IF(B1283&lt;5,Einstellungen!$B$3,Einstellungen!$B$4)</f>
        <v>15.92</v>
      </c>
      <c r="E1283" s="14" t="str">
        <f aca="false">IF(C1283="","",C1283*D1283/100)</f>
        <v/>
      </c>
      <c r="F1283" s="15" t="str">
        <f aca="false">IF(B1283&lt;5,"Go","Standard")</f>
        <v>Go</v>
      </c>
    </row>
    <row r="1284" customFormat="false" ht="15" hidden="false" customHeight="true" outlineLevel="0" collapsed="false">
      <c r="A1284" s="10" t="n">
        <f aca="false">Einstellungen!$B$5+INT((ROW()-9)/24)</f>
        <v>46019</v>
      </c>
      <c r="B1284" s="11" t="n">
        <f aca="false">MOD(ROW()-9,24)</f>
        <v>3</v>
      </c>
      <c r="C1284" s="12"/>
      <c r="D1284" s="13" t="n">
        <f aca="false">IF(B1284&lt;5,Einstellungen!$B$3,Einstellungen!$B$4)</f>
        <v>15.92</v>
      </c>
      <c r="E1284" s="14" t="str">
        <f aca="false">IF(C1284="","",C1284*D1284/100)</f>
        <v/>
      </c>
      <c r="F1284" s="15" t="str">
        <f aca="false">IF(B1284&lt;5,"Go","Standard")</f>
        <v>Go</v>
      </c>
    </row>
    <row r="1285" customFormat="false" ht="15" hidden="false" customHeight="true" outlineLevel="0" collapsed="false">
      <c r="A1285" s="10" t="n">
        <f aca="false">Einstellungen!$B$5+INT((ROW()-9)/24)</f>
        <v>46019</v>
      </c>
      <c r="B1285" s="11" t="n">
        <f aca="false">MOD(ROW()-9,24)</f>
        <v>4</v>
      </c>
      <c r="C1285" s="12"/>
      <c r="D1285" s="13" t="n">
        <f aca="false">IF(B1285&lt;5,Einstellungen!$B$3,Einstellungen!$B$4)</f>
        <v>15.92</v>
      </c>
      <c r="E1285" s="14" t="str">
        <f aca="false">IF(C1285="","",C1285*D1285/100)</f>
        <v/>
      </c>
      <c r="F1285" s="15" t="str">
        <f aca="false">IF(B1285&lt;5,"Go","Standard")</f>
        <v>Go</v>
      </c>
    </row>
    <row r="1286" customFormat="false" ht="15" hidden="false" customHeight="true" outlineLevel="0" collapsed="false">
      <c r="A1286" s="10" t="n">
        <f aca="false">Einstellungen!$B$5+INT((ROW()-9)/24)</f>
        <v>46019</v>
      </c>
      <c r="B1286" s="11" t="n">
        <f aca="false">MOD(ROW()-9,24)</f>
        <v>5</v>
      </c>
      <c r="C1286" s="12"/>
      <c r="D1286" s="13" t="n">
        <f aca="false">IF(B1286&lt;5,Einstellungen!$B$3,Einstellungen!$B$4)</f>
        <v>29.13</v>
      </c>
      <c r="E1286" s="14" t="str">
        <f aca="false">IF(C1286="","",C1286*D1286/100)</f>
        <v/>
      </c>
      <c r="F1286" s="15" t="str">
        <f aca="false">IF(B1286&lt;5,"Go","Standard")</f>
        <v>Standard</v>
      </c>
    </row>
    <row r="1287" customFormat="false" ht="15" hidden="false" customHeight="true" outlineLevel="0" collapsed="false">
      <c r="A1287" s="10" t="n">
        <f aca="false">Einstellungen!$B$5+INT((ROW()-9)/24)</f>
        <v>46019</v>
      </c>
      <c r="B1287" s="11" t="n">
        <f aca="false">MOD(ROW()-9,24)</f>
        <v>6</v>
      </c>
      <c r="C1287" s="12"/>
      <c r="D1287" s="13" t="n">
        <f aca="false">IF(B1287&lt;5,Einstellungen!$B$3,Einstellungen!$B$4)</f>
        <v>29.13</v>
      </c>
      <c r="E1287" s="14" t="str">
        <f aca="false">IF(C1287="","",C1287*D1287/100)</f>
        <v/>
      </c>
      <c r="F1287" s="15" t="str">
        <f aca="false">IF(B1287&lt;5,"Go","Standard")</f>
        <v>Standard</v>
      </c>
    </row>
    <row r="1288" customFormat="false" ht="15" hidden="false" customHeight="true" outlineLevel="0" collapsed="false">
      <c r="A1288" s="10" t="n">
        <f aca="false">Einstellungen!$B$5+INT((ROW()-9)/24)</f>
        <v>46019</v>
      </c>
      <c r="B1288" s="11" t="n">
        <f aca="false">MOD(ROW()-9,24)</f>
        <v>7</v>
      </c>
      <c r="C1288" s="12"/>
      <c r="D1288" s="13" t="n">
        <f aca="false">IF(B1288&lt;5,Einstellungen!$B$3,Einstellungen!$B$4)</f>
        <v>29.13</v>
      </c>
      <c r="E1288" s="14" t="str">
        <f aca="false">IF(C1288="","",C1288*D1288/100)</f>
        <v/>
      </c>
      <c r="F1288" s="15" t="str">
        <f aca="false">IF(B1288&lt;5,"Go","Standard")</f>
        <v>Standard</v>
      </c>
    </row>
    <row r="1289" customFormat="false" ht="15" hidden="false" customHeight="true" outlineLevel="0" collapsed="false">
      <c r="A1289" s="10" t="n">
        <f aca="false">Einstellungen!$B$5+INT((ROW()-9)/24)</f>
        <v>46019</v>
      </c>
      <c r="B1289" s="11" t="n">
        <f aca="false">MOD(ROW()-9,24)</f>
        <v>8</v>
      </c>
      <c r="C1289" s="12"/>
      <c r="D1289" s="13" t="n">
        <f aca="false">IF(B1289&lt;5,Einstellungen!$B$3,Einstellungen!$B$4)</f>
        <v>29.13</v>
      </c>
      <c r="E1289" s="14" t="str">
        <f aca="false">IF(C1289="","",C1289*D1289/100)</f>
        <v/>
      </c>
      <c r="F1289" s="15" t="str">
        <f aca="false">IF(B1289&lt;5,"Go","Standard")</f>
        <v>Standard</v>
      </c>
    </row>
    <row r="1290" customFormat="false" ht="15" hidden="false" customHeight="true" outlineLevel="0" collapsed="false">
      <c r="A1290" s="10" t="n">
        <f aca="false">Einstellungen!$B$5+INT((ROW()-9)/24)</f>
        <v>46019</v>
      </c>
      <c r="B1290" s="11" t="n">
        <f aca="false">MOD(ROW()-9,24)</f>
        <v>9</v>
      </c>
      <c r="C1290" s="12"/>
      <c r="D1290" s="13" t="n">
        <f aca="false">IF(B1290&lt;5,Einstellungen!$B$3,Einstellungen!$B$4)</f>
        <v>29.13</v>
      </c>
      <c r="E1290" s="14" t="str">
        <f aca="false">IF(C1290="","",C1290*D1290/100)</f>
        <v/>
      </c>
      <c r="F1290" s="15" t="str">
        <f aca="false">IF(B1290&lt;5,"Go","Standard")</f>
        <v>Standard</v>
      </c>
    </row>
    <row r="1291" customFormat="false" ht="15" hidden="false" customHeight="true" outlineLevel="0" collapsed="false">
      <c r="A1291" s="10" t="n">
        <f aca="false">Einstellungen!$B$5+INT((ROW()-9)/24)</f>
        <v>46019</v>
      </c>
      <c r="B1291" s="11" t="n">
        <f aca="false">MOD(ROW()-9,24)</f>
        <v>10</v>
      </c>
      <c r="C1291" s="12"/>
      <c r="D1291" s="13" t="n">
        <f aca="false">IF(B1291&lt;5,Einstellungen!$B$3,Einstellungen!$B$4)</f>
        <v>29.13</v>
      </c>
      <c r="E1291" s="14" t="str">
        <f aca="false">IF(C1291="","",C1291*D1291/100)</f>
        <v/>
      </c>
      <c r="F1291" s="15" t="str">
        <f aca="false">IF(B1291&lt;5,"Go","Standard")</f>
        <v>Standard</v>
      </c>
    </row>
    <row r="1292" customFormat="false" ht="15" hidden="false" customHeight="true" outlineLevel="0" collapsed="false">
      <c r="A1292" s="10" t="n">
        <f aca="false">Einstellungen!$B$5+INT((ROW()-9)/24)</f>
        <v>46019</v>
      </c>
      <c r="B1292" s="11" t="n">
        <f aca="false">MOD(ROW()-9,24)</f>
        <v>11</v>
      </c>
      <c r="C1292" s="12"/>
      <c r="D1292" s="13" t="n">
        <f aca="false">IF(B1292&lt;5,Einstellungen!$B$3,Einstellungen!$B$4)</f>
        <v>29.13</v>
      </c>
      <c r="E1292" s="14" t="str">
        <f aca="false">IF(C1292="","",C1292*D1292/100)</f>
        <v/>
      </c>
      <c r="F1292" s="15" t="str">
        <f aca="false">IF(B1292&lt;5,"Go","Standard")</f>
        <v>Standard</v>
      </c>
    </row>
    <row r="1293" customFormat="false" ht="15" hidden="false" customHeight="true" outlineLevel="0" collapsed="false">
      <c r="A1293" s="10" t="n">
        <f aca="false">Einstellungen!$B$5+INT((ROW()-9)/24)</f>
        <v>46019</v>
      </c>
      <c r="B1293" s="11" t="n">
        <f aca="false">MOD(ROW()-9,24)</f>
        <v>12</v>
      </c>
      <c r="C1293" s="12"/>
      <c r="D1293" s="13" t="n">
        <f aca="false">IF(B1293&lt;5,Einstellungen!$B$3,Einstellungen!$B$4)</f>
        <v>29.13</v>
      </c>
      <c r="E1293" s="14" t="str">
        <f aca="false">IF(C1293="","",C1293*D1293/100)</f>
        <v/>
      </c>
      <c r="F1293" s="15" t="str">
        <f aca="false">IF(B1293&lt;5,"Go","Standard")</f>
        <v>Standard</v>
      </c>
    </row>
    <row r="1294" customFormat="false" ht="15" hidden="false" customHeight="true" outlineLevel="0" collapsed="false">
      <c r="A1294" s="10" t="n">
        <f aca="false">Einstellungen!$B$5+INT((ROW()-9)/24)</f>
        <v>46019</v>
      </c>
      <c r="B1294" s="11" t="n">
        <f aca="false">MOD(ROW()-9,24)</f>
        <v>13</v>
      </c>
      <c r="C1294" s="12"/>
      <c r="D1294" s="13" t="n">
        <f aca="false">IF(B1294&lt;5,Einstellungen!$B$3,Einstellungen!$B$4)</f>
        <v>29.13</v>
      </c>
      <c r="E1294" s="14" t="str">
        <f aca="false">IF(C1294="","",C1294*D1294/100)</f>
        <v/>
      </c>
      <c r="F1294" s="15" t="str">
        <f aca="false">IF(B1294&lt;5,"Go","Standard")</f>
        <v>Standard</v>
      </c>
    </row>
    <row r="1295" customFormat="false" ht="15" hidden="false" customHeight="true" outlineLevel="0" collapsed="false">
      <c r="A1295" s="10" t="n">
        <f aca="false">Einstellungen!$B$5+INT((ROW()-9)/24)</f>
        <v>46019</v>
      </c>
      <c r="B1295" s="11" t="n">
        <f aca="false">MOD(ROW()-9,24)</f>
        <v>14</v>
      </c>
      <c r="C1295" s="12"/>
      <c r="D1295" s="13" t="n">
        <f aca="false">IF(B1295&lt;5,Einstellungen!$B$3,Einstellungen!$B$4)</f>
        <v>29.13</v>
      </c>
      <c r="E1295" s="14" t="str">
        <f aca="false">IF(C1295="","",C1295*D1295/100)</f>
        <v/>
      </c>
      <c r="F1295" s="15" t="str">
        <f aca="false">IF(B1295&lt;5,"Go","Standard")</f>
        <v>Standard</v>
      </c>
    </row>
    <row r="1296" customFormat="false" ht="15" hidden="false" customHeight="true" outlineLevel="0" collapsed="false">
      <c r="A1296" s="10" t="n">
        <f aca="false">Einstellungen!$B$5+INT((ROW()-9)/24)</f>
        <v>46019</v>
      </c>
      <c r="B1296" s="11" t="n">
        <f aca="false">MOD(ROW()-9,24)</f>
        <v>15</v>
      </c>
      <c r="C1296" s="12"/>
      <c r="D1296" s="13" t="n">
        <f aca="false">IF(B1296&lt;5,Einstellungen!$B$3,Einstellungen!$B$4)</f>
        <v>29.13</v>
      </c>
      <c r="E1296" s="14" t="str">
        <f aca="false">IF(C1296="","",C1296*D1296/100)</f>
        <v/>
      </c>
      <c r="F1296" s="15" t="str">
        <f aca="false">IF(B1296&lt;5,"Go","Standard")</f>
        <v>Standard</v>
      </c>
    </row>
    <row r="1297" customFormat="false" ht="15" hidden="false" customHeight="true" outlineLevel="0" collapsed="false">
      <c r="A1297" s="10" t="n">
        <f aca="false">Einstellungen!$B$5+INT((ROW()-9)/24)</f>
        <v>46019</v>
      </c>
      <c r="B1297" s="11" t="n">
        <f aca="false">MOD(ROW()-9,24)</f>
        <v>16</v>
      </c>
      <c r="C1297" s="12"/>
      <c r="D1297" s="13" t="n">
        <f aca="false">IF(B1297&lt;5,Einstellungen!$B$3,Einstellungen!$B$4)</f>
        <v>29.13</v>
      </c>
      <c r="E1297" s="14" t="str">
        <f aca="false">IF(C1297="","",C1297*D1297/100)</f>
        <v/>
      </c>
      <c r="F1297" s="15" t="str">
        <f aca="false">IF(B1297&lt;5,"Go","Standard")</f>
        <v>Standard</v>
      </c>
    </row>
    <row r="1298" customFormat="false" ht="15" hidden="false" customHeight="true" outlineLevel="0" collapsed="false">
      <c r="A1298" s="10" t="n">
        <f aca="false">Einstellungen!$B$5+INT((ROW()-9)/24)</f>
        <v>46019</v>
      </c>
      <c r="B1298" s="11" t="n">
        <f aca="false">MOD(ROW()-9,24)</f>
        <v>17</v>
      </c>
      <c r="C1298" s="12"/>
      <c r="D1298" s="13" t="n">
        <f aca="false">IF(B1298&lt;5,Einstellungen!$B$3,Einstellungen!$B$4)</f>
        <v>29.13</v>
      </c>
      <c r="E1298" s="14" t="str">
        <f aca="false">IF(C1298="","",C1298*D1298/100)</f>
        <v/>
      </c>
      <c r="F1298" s="15" t="str">
        <f aca="false">IF(B1298&lt;5,"Go","Standard")</f>
        <v>Standard</v>
      </c>
    </row>
    <row r="1299" customFormat="false" ht="15" hidden="false" customHeight="true" outlineLevel="0" collapsed="false">
      <c r="A1299" s="10" t="n">
        <f aca="false">Einstellungen!$B$5+INT((ROW()-9)/24)</f>
        <v>46019</v>
      </c>
      <c r="B1299" s="11" t="n">
        <f aca="false">MOD(ROW()-9,24)</f>
        <v>18</v>
      </c>
      <c r="C1299" s="12"/>
      <c r="D1299" s="13" t="n">
        <f aca="false">IF(B1299&lt;5,Einstellungen!$B$3,Einstellungen!$B$4)</f>
        <v>29.13</v>
      </c>
      <c r="E1299" s="14" t="str">
        <f aca="false">IF(C1299="","",C1299*D1299/100)</f>
        <v/>
      </c>
      <c r="F1299" s="15" t="str">
        <f aca="false">IF(B1299&lt;5,"Go","Standard")</f>
        <v>Standard</v>
      </c>
    </row>
    <row r="1300" customFormat="false" ht="15" hidden="false" customHeight="true" outlineLevel="0" collapsed="false">
      <c r="A1300" s="10" t="n">
        <f aca="false">Einstellungen!$B$5+INT((ROW()-9)/24)</f>
        <v>46019</v>
      </c>
      <c r="B1300" s="11" t="n">
        <f aca="false">MOD(ROW()-9,24)</f>
        <v>19</v>
      </c>
      <c r="C1300" s="12"/>
      <c r="D1300" s="13" t="n">
        <f aca="false">IF(B1300&lt;5,Einstellungen!$B$3,Einstellungen!$B$4)</f>
        <v>29.13</v>
      </c>
      <c r="E1300" s="14" t="str">
        <f aca="false">IF(C1300="","",C1300*D1300/100)</f>
        <v/>
      </c>
      <c r="F1300" s="15" t="str">
        <f aca="false">IF(B1300&lt;5,"Go","Standard")</f>
        <v>Standard</v>
      </c>
    </row>
    <row r="1301" customFormat="false" ht="15" hidden="false" customHeight="true" outlineLevel="0" collapsed="false">
      <c r="A1301" s="10" t="n">
        <f aca="false">Einstellungen!$B$5+INT((ROW()-9)/24)</f>
        <v>46019</v>
      </c>
      <c r="B1301" s="11" t="n">
        <f aca="false">MOD(ROW()-9,24)</f>
        <v>20</v>
      </c>
      <c r="C1301" s="12"/>
      <c r="D1301" s="13" t="n">
        <f aca="false">IF(B1301&lt;5,Einstellungen!$B$3,Einstellungen!$B$4)</f>
        <v>29.13</v>
      </c>
      <c r="E1301" s="14" t="str">
        <f aca="false">IF(C1301="","",C1301*D1301/100)</f>
        <v/>
      </c>
      <c r="F1301" s="15" t="str">
        <f aca="false">IF(B1301&lt;5,"Go","Standard")</f>
        <v>Standard</v>
      </c>
    </row>
    <row r="1302" customFormat="false" ht="15" hidden="false" customHeight="true" outlineLevel="0" collapsed="false">
      <c r="A1302" s="10" t="n">
        <f aca="false">Einstellungen!$B$5+INT((ROW()-9)/24)</f>
        <v>46019</v>
      </c>
      <c r="B1302" s="11" t="n">
        <f aca="false">MOD(ROW()-9,24)</f>
        <v>21</v>
      </c>
      <c r="C1302" s="12"/>
      <c r="D1302" s="13" t="n">
        <f aca="false">IF(B1302&lt;5,Einstellungen!$B$3,Einstellungen!$B$4)</f>
        <v>29.13</v>
      </c>
      <c r="E1302" s="14" t="str">
        <f aca="false">IF(C1302="","",C1302*D1302/100)</f>
        <v/>
      </c>
      <c r="F1302" s="15" t="str">
        <f aca="false">IF(B1302&lt;5,"Go","Standard")</f>
        <v>Standard</v>
      </c>
    </row>
    <row r="1303" customFormat="false" ht="15" hidden="false" customHeight="true" outlineLevel="0" collapsed="false">
      <c r="A1303" s="10" t="n">
        <f aca="false">Einstellungen!$B$5+INT((ROW()-9)/24)</f>
        <v>46019</v>
      </c>
      <c r="B1303" s="11" t="n">
        <f aca="false">MOD(ROW()-9,24)</f>
        <v>22</v>
      </c>
      <c r="C1303" s="12"/>
      <c r="D1303" s="13" t="n">
        <f aca="false">IF(B1303&lt;5,Einstellungen!$B$3,Einstellungen!$B$4)</f>
        <v>29.13</v>
      </c>
      <c r="E1303" s="14" t="str">
        <f aca="false">IF(C1303="","",C1303*D1303/100)</f>
        <v/>
      </c>
      <c r="F1303" s="15" t="str">
        <f aca="false">IF(B1303&lt;5,"Go","Standard")</f>
        <v>Standard</v>
      </c>
    </row>
    <row r="1304" customFormat="false" ht="15" hidden="false" customHeight="true" outlineLevel="0" collapsed="false">
      <c r="A1304" s="10" t="n">
        <f aca="false">Einstellungen!$B$5+INT((ROW()-9)/24)</f>
        <v>46019</v>
      </c>
      <c r="B1304" s="11" t="n">
        <f aca="false">MOD(ROW()-9,24)</f>
        <v>23</v>
      </c>
      <c r="C1304" s="12"/>
      <c r="D1304" s="13" t="n">
        <f aca="false">IF(B1304&lt;5,Einstellungen!$B$3,Einstellungen!$B$4)</f>
        <v>29.13</v>
      </c>
      <c r="E1304" s="14" t="str">
        <f aca="false">IF(C1304="","",C1304*D1304/100)</f>
        <v/>
      </c>
      <c r="F1304" s="15" t="str">
        <f aca="false">IF(B1304&lt;5,"Go","Standard")</f>
        <v>Standard</v>
      </c>
    </row>
    <row r="1305" customFormat="false" ht="15" hidden="false" customHeight="true" outlineLevel="0" collapsed="false">
      <c r="A1305" s="10" t="n">
        <f aca="false">Einstellungen!$B$5+INT((ROW()-9)/24)</f>
        <v>46020</v>
      </c>
      <c r="B1305" s="11" t="n">
        <f aca="false">MOD(ROW()-9,24)</f>
        <v>0</v>
      </c>
      <c r="C1305" s="12"/>
      <c r="D1305" s="13" t="n">
        <f aca="false">IF(B1305&lt;5,Einstellungen!$B$3,Einstellungen!$B$4)</f>
        <v>15.92</v>
      </c>
      <c r="E1305" s="14" t="str">
        <f aca="false">IF(C1305="","",C1305*D1305/100)</f>
        <v/>
      </c>
      <c r="F1305" s="15" t="str">
        <f aca="false">IF(B1305&lt;5,"Go","Standard")</f>
        <v>Go</v>
      </c>
    </row>
    <row r="1306" customFormat="false" ht="15" hidden="false" customHeight="true" outlineLevel="0" collapsed="false">
      <c r="A1306" s="10" t="n">
        <f aca="false">Einstellungen!$B$5+INT((ROW()-9)/24)</f>
        <v>46020</v>
      </c>
      <c r="B1306" s="11" t="n">
        <f aca="false">MOD(ROW()-9,24)</f>
        <v>1</v>
      </c>
      <c r="C1306" s="12"/>
      <c r="D1306" s="13" t="n">
        <f aca="false">IF(B1306&lt;5,Einstellungen!$B$3,Einstellungen!$B$4)</f>
        <v>15.92</v>
      </c>
      <c r="E1306" s="14" t="str">
        <f aca="false">IF(C1306="","",C1306*D1306/100)</f>
        <v/>
      </c>
      <c r="F1306" s="15" t="str">
        <f aca="false">IF(B1306&lt;5,"Go","Standard")</f>
        <v>Go</v>
      </c>
    </row>
    <row r="1307" customFormat="false" ht="15" hidden="false" customHeight="true" outlineLevel="0" collapsed="false">
      <c r="A1307" s="10" t="n">
        <f aca="false">Einstellungen!$B$5+INT((ROW()-9)/24)</f>
        <v>46020</v>
      </c>
      <c r="B1307" s="11" t="n">
        <f aca="false">MOD(ROW()-9,24)</f>
        <v>2</v>
      </c>
      <c r="C1307" s="12"/>
      <c r="D1307" s="13" t="n">
        <f aca="false">IF(B1307&lt;5,Einstellungen!$B$3,Einstellungen!$B$4)</f>
        <v>15.92</v>
      </c>
      <c r="E1307" s="14" t="str">
        <f aca="false">IF(C1307="","",C1307*D1307/100)</f>
        <v/>
      </c>
      <c r="F1307" s="15" t="str">
        <f aca="false">IF(B1307&lt;5,"Go","Standard")</f>
        <v>Go</v>
      </c>
    </row>
    <row r="1308" customFormat="false" ht="15" hidden="false" customHeight="true" outlineLevel="0" collapsed="false">
      <c r="A1308" s="10" t="n">
        <f aca="false">Einstellungen!$B$5+INT((ROW()-9)/24)</f>
        <v>46020</v>
      </c>
      <c r="B1308" s="11" t="n">
        <f aca="false">MOD(ROW()-9,24)</f>
        <v>3</v>
      </c>
      <c r="C1308" s="12"/>
      <c r="D1308" s="13" t="n">
        <f aca="false">IF(B1308&lt;5,Einstellungen!$B$3,Einstellungen!$B$4)</f>
        <v>15.92</v>
      </c>
      <c r="E1308" s="14" t="str">
        <f aca="false">IF(C1308="","",C1308*D1308/100)</f>
        <v/>
      </c>
      <c r="F1308" s="15" t="str">
        <f aca="false">IF(B1308&lt;5,"Go","Standard")</f>
        <v>Go</v>
      </c>
    </row>
    <row r="1309" customFormat="false" ht="15" hidden="false" customHeight="true" outlineLevel="0" collapsed="false">
      <c r="A1309" s="10" t="n">
        <f aca="false">Einstellungen!$B$5+INT((ROW()-9)/24)</f>
        <v>46020</v>
      </c>
      <c r="B1309" s="11" t="n">
        <f aca="false">MOD(ROW()-9,24)</f>
        <v>4</v>
      </c>
      <c r="C1309" s="12"/>
      <c r="D1309" s="13" t="n">
        <f aca="false">IF(B1309&lt;5,Einstellungen!$B$3,Einstellungen!$B$4)</f>
        <v>15.92</v>
      </c>
      <c r="E1309" s="14" t="str">
        <f aca="false">IF(C1309="","",C1309*D1309/100)</f>
        <v/>
      </c>
      <c r="F1309" s="15" t="str">
        <f aca="false">IF(B1309&lt;5,"Go","Standard")</f>
        <v>Go</v>
      </c>
    </row>
    <row r="1310" customFormat="false" ht="15" hidden="false" customHeight="true" outlineLevel="0" collapsed="false">
      <c r="A1310" s="10" t="n">
        <f aca="false">Einstellungen!$B$5+INT((ROW()-9)/24)</f>
        <v>46020</v>
      </c>
      <c r="B1310" s="11" t="n">
        <f aca="false">MOD(ROW()-9,24)</f>
        <v>5</v>
      </c>
      <c r="C1310" s="12"/>
      <c r="D1310" s="13" t="n">
        <f aca="false">IF(B1310&lt;5,Einstellungen!$B$3,Einstellungen!$B$4)</f>
        <v>29.13</v>
      </c>
      <c r="E1310" s="14" t="str">
        <f aca="false">IF(C1310="","",C1310*D1310/100)</f>
        <v/>
      </c>
      <c r="F1310" s="15" t="str">
        <f aca="false">IF(B1310&lt;5,"Go","Standard")</f>
        <v>Standard</v>
      </c>
    </row>
    <row r="1311" customFormat="false" ht="15" hidden="false" customHeight="true" outlineLevel="0" collapsed="false">
      <c r="A1311" s="10" t="n">
        <f aca="false">Einstellungen!$B$5+INT((ROW()-9)/24)</f>
        <v>46020</v>
      </c>
      <c r="B1311" s="11" t="n">
        <f aca="false">MOD(ROW()-9,24)</f>
        <v>6</v>
      </c>
      <c r="C1311" s="12"/>
      <c r="D1311" s="13" t="n">
        <f aca="false">IF(B1311&lt;5,Einstellungen!$B$3,Einstellungen!$B$4)</f>
        <v>29.13</v>
      </c>
      <c r="E1311" s="14" t="str">
        <f aca="false">IF(C1311="","",C1311*D1311/100)</f>
        <v/>
      </c>
      <c r="F1311" s="15" t="str">
        <f aca="false">IF(B1311&lt;5,"Go","Standard")</f>
        <v>Standard</v>
      </c>
    </row>
    <row r="1312" customFormat="false" ht="15" hidden="false" customHeight="true" outlineLevel="0" collapsed="false">
      <c r="A1312" s="10" t="n">
        <f aca="false">Einstellungen!$B$5+INT((ROW()-9)/24)</f>
        <v>46020</v>
      </c>
      <c r="B1312" s="11" t="n">
        <f aca="false">MOD(ROW()-9,24)</f>
        <v>7</v>
      </c>
      <c r="C1312" s="12"/>
      <c r="D1312" s="13" t="n">
        <f aca="false">IF(B1312&lt;5,Einstellungen!$B$3,Einstellungen!$B$4)</f>
        <v>29.13</v>
      </c>
      <c r="E1312" s="14" t="str">
        <f aca="false">IF(C1312="","",C1312*D1312/100)</f>
        <v/>
      </c>
      <c r="F1312" s="15" t="str">
        <f aca="false">IF(B1312&lt;5,"Go","Standard")</f>
        <v>Standard</v>
      </c>
    </row>
    <row r="1313" customFormat="false" ht="15" hidden="false" customHeight="true" outlineLevel="0" collapsed="false">
      <c r="A1313" s="10" t="n">
        <f aca="false">Einstellungen!$B$5+INT((ROW()-9)/24)</f>
        <v>46020</v>
      </c>
      <c r="B1313" s="11" t="n">
        <f aca="false">MOD(ROW()-9,24)</f>
        <v>8</v>
      </c>
      <c r="C1313" s="12"/>
      <c r="D1313" s="13" t="n">
        <f aca="false">IF(B1313&lt;5,Einstellungen!$B$3,Einstellungen!$B$4)</f>
        <v>29.13</v>
      </c>
      <c r="E1313" s="14" t="str">
        <f aca="false">IF(C1313="","",C1313*D1313/100)</f>
        <v/>
      </c>
      <c r="F1313" s="15" t="str">
        <f aca="false">IF(B1313&lt;5,"Go","Standard")</f>
        <v>Standard</v>
      </c>
    </row>
    <row r="1314" customFormat="false" ht="15" hidden="false" customHeight="true" outlineLevel="0" collapsed="false">
      <c r="A1314" s="10" t="n">
        <f aca="false">Einstellungen!$B$5+INT((ROW()-9)/24)</f>
        <v>46020</v>
      </c>
      <c r="B1314" s="11" t="n">
        <f aca="false">MOD(ROW()-9,24)</f>
        <v>9</v>
      </c>
      <c r="C1314" s="12"/>
      <c r="D1314" s="13" t="n">
        <f aca="false">IF(B1314&lt;5,Einstellungen!$B$3,Einstellungen!$B$4)</f>
        <v>29.13</v>
      </c>
      <c r="E1314" s="14" t="str">
        <f aca="false">IF(C1314="","",C1314*D1314/100)</f>
        <v/>
      </c>
      <c r="F1314" s="15" t="str">
        <f aca="false">IF(B1314&lt;5,"Go","Standard")</f>
        <v>Standard</v>
      </c>
    </row>
    <row r="1315" customFormat="false" ht="15" hidden="false" customHeight="true" outlineLevel="0" collapsed="false">
      <c r="A1315" s="10" t="n">
        <f aca="false">Einstellungen!$B$5+INT((ROW()-9)/24)</f>
        <v>46020</v>
      </c>
      <c r="B1315" s="11" t="n">
        <f aca="false">MOD(ROW()-9,24)</f>
        <v>10</v>
      </c>
      <c r="C1315" s="12"/>
      <c r="D1315" s="13" t="n">
        <f aca="false">IF(B1315&lt;5,Einstellungen!$B$3,Einstellungen!$B$4)</f>
        <v>29.13</v>
      </c>
      <c r="E1315" s="14" t="str">
        <f aca="false">IF(C1315="","",C1315*D1315/100)</f>
        <v/>
      </c>
      <c r="F1315" s="15" t="str">
        <f aca="false">IF(B1315&lt;5,"Go","Standard")</f>
        <v>Standard</v>
      </c>
    </row>
    <row r="1316" customFormat="false" ht="15" hidden="false" customHeight="true" outlineLevel="0" collapsed="false">
      <c r="A1316" s="10" t="n">
        <f aca="false">Einstellungen!$B$5+INT((ROW()-9)/24)</f>
        <v>46020</v>
      </c>
      <c r="B1316" s="11" t="n">
        <f aca="false">MOD(ROW()-9,24)</f>
        <v>11</v>
      </c>
      <c r="C1316" s="12"/>
      <c r="D1316" s="13" t="n">
        <f aca="false">IF(B1316&lt;5,Einstellungen!$B$3,Einstellungen!$B$4)</f>
        <v>29.13</v>
      </c>
      <c r="E1316" s="14" t="str">
        <f aca="false">IF(C1316="","",C1316*D1316/100)</f>
        <v/>
      </c>
      <c r="F1316" s="15" t="str">
        <f aca="false">IF(B1316&lt;5,"Go","Standard")</f>
        <v>Standard</v>
      </c>
    </row>
    <row r="1317" customFormat="false" ht="15" hidden="false" customHeight="true" outlineLevel="0" collapsed="false">
      <c r="A1317" s="10" t="n">
        <f aca="false">Einstellungen!$B$5+INT((ROW()-9)/24)</f>
        <v>46020</v>
      </c>
      <c r="B1317" s="11" t="n">
        <f aca="false">MOD(ROW()-9,24)</f>
        <v>12</v>
      </c>
      <c r="C1317" s="12"/>
      <c r="D1317" s="13" t="n">
        <f aca="false">IF(B1317&lt;5,Einstellungen!$B$3,Einstellungen!$B$4)</f>
        <v>29.13</v>
      </c>
      <c r="E1317" s="14" t="str">
        <f aca="false">IF(C1317="","",C1317*D1317/100)</f>
        <v/>
      </c>
      <c r="F1317" s="15" t="str">
        <f aca="false">IF(B1317&lt;5,"Go","Standard")</f>
        <v>Standard</v>
      </c>
    </row>
    <row r="1318" customFormat="false" ht="15" hidden="false" customHeight="true" outlineLevel="0" collapsed="false">
      <c r="A1318" s="10" t="n">
        <f aca="false">Einstellungen!$B$5+INT((ROW()-9)/24)</f>
        <v>46020</v>
      </c>
      <c r="B1318" s="11" t="n">
        <f aca="false">MOD(ROW()-9,24)</f>
        <v>13</v>
      </c>
      <c r="C1318" s="12"/>
      <c r="D1318" s="13" t="n">
        <f aca="false">IF(B1318&lt;5,Einstellungen!$B$3,Einstellungen!$B$4)</f>
        <v>29.13</v>
      </c>
      <c r="E1318" s="14" t="str">
        <f aca="false">IF(C1318="","",C1318*D1318/100)</f>
        <v/>
      </c>
      <c r="F1318" s="15" t="str">
        <f aca="false">IF(B1318&lt;5,"Go","Standard")</f>
        <v>Standard</v>
      </c>
    </row>
    <row r="1319" customFormat="false" ht="15" hidden="false" customHeight="true" outlineLevel="0" collapsed="false">
      <c r="A1319" s="10" t="n">
        <f aca="false">Einstellungen!$B$5+INT((ROW()-9)/24)</f>
        <v>46020</v>
      </c>
      <c r="B1319" s="11" t="n">
        <f aca="false">MOD(ROW()-9,24)</f>
        <v>14</v>
      </c>
      <c r="C1319" s="12"/>
      <c r="D1319" s="13" t="n">
        <f aca="false">IF(B1319&lt;5,Einstellungen!$B$3,Einstellungen!$B$4)</f>
        <v>29.13</v>
      </c>
      <c r="E1319" s="14" t="str">
        <f aca="false">IF(C1319="","",C1319*D1319/100)</f>
        <v/>
      </c>
      <c r="F1319" s="15" t="str">
        <f aca="false">IF(B1319&lt;5,"Go","Standard")</f>
        <v>Standard</v>
      </c>
    </row>
    <row r="1320" customFormat="false" ht="15" hidden="false" customHeight="true" outlineLevel="0" collapsed="false">
      <c r="A1320" s="10" t="n">
        <f aca="false">Einstellungen!$B$5+INT((ROW()-9)/24)</f>
        <v>46020</v>
      </c>
      <c r="B1320" s="11" t="n">
        <f aca="false">MOD(ROW()-9,24)</f>
        <v>15</v>
      </c>
      <c r="C1320" s="12"/>
      <c r="D1320" s="13" t="n">
        <f aca="false">IF(B1320&lt;5,Einstellungen!$B$3,Einstellungen!$B$4)</f>
        <v>29.13</v>
      </c>
      <c r="E1320" s="14" t="str">
        <f aca="false">IF(C1320="","",C1320*D1320/100)</f>
        <v/>
      </c>
      <c r="F1320" s="15" t="str">
        <f aca="false">IF(B1320&lt;5,"Go","Standard")</f>
        <v>Standard</v>
      </c>
    </row>
    <row r="1321" customFormat="false" ht="15" hidden="false" customHeight="true" outlineLevel="0" collapsed="false">
      <c r="A1321" s="10" t="n">
        <f aca="false">Einstellungen!$B$5+INT((ROW()-9)/24)</f>
        <v>46020</v>
      </c>
      <c r="B1321" s="11" t="n">
        <f aca="false">MOD(ROW()-9,24)</f>
        <v>16</v>
      </c>
      <c r="C1321" s="12"/>
      <c r="D1321" s="13" t="n">
        <f aca="false">IF(B1321&lt;5,Einstellungen!$B$3,Einstellungen!$B$4)</f>
        <v>29.13</v>
      </c>
      <c r="E1321" s="14" t="str">
        <f aca="false">IF(C1321="","",C1321*D1321/100)</f>
        <v/>
      </c>
      <c r="F1321" s="15" t="str">
        <f aca="false">IF(B1321&lt;5,"Go","Standard")</f>
        <v>Standard</v>
      </c>
    </row>
    <row r="1322" customFormat="false" ht="15" hidden="false" customHeight="true" outlineLevel="0" collapsed="false">
      <c r="A1322" s="10" t="n">
        <f aca="false">Einstellungen!$B$5+INT((ROW()-9)/24)</f>
        <v>46020</v>
      </c>
      <c r="B1322" s="11" t="n">
        <f aca="false">MOD(ROW()-9,24)</f>
        <v>17</v>
      </c>
      <c r="C1322" s="12"/>
      <c r="D1322" s="13" t="n">
        <f aca="false">IF(B1322&lt;5,Einstellungen!$B$3,Einstellungen!$B$4)</f>
        <v>29.13</v>
      </c>
      <c r="E1322" s="14" t="str">
        <f aca="false">IF(C1322="","",C1322*D1322/100)</f>
        <v/>
      </c>
      <c r="F1322" s="15" t="str">
        <f aca="false">IF(B1322&lt;5,"Go","Standard")</f>
        <v>Standard</v>
      </c>
    </row>
    <row r="1323" customFormat="false" ht="15" hidden="false" customHeight="true" outlineLevel="0" collapsed="false">
      <c r="A1323" s="10" t="n">
        <f aca="false">Einstellungen!$B$5+INT((ROW()-9)/24)</f>
        <v>46020</v>
      </c>
      <c r="B1323" s="11" t="n">
        <f aca="false">MOD(ROW()-9,24)</f>
        <v>18</v>
      </c>
      <c r="C1323" s="12"/>
      <c r="D1323" s="13" t="n">
        <f aca="false">IF(B1323&lt;5,Einstellungen!$B$3,Einstellungen!$B$4)</f>
        <v>29.13</v>
      </c>
      <c r="E1323" s="14" t="str">
        <f aca="false">IF(C1323="","",C1323*D1323/100)</f>
        <v/>
      </c>
      <c r="F1323" s="15" t="str">
        <f aca="false">IF(B1323&lt;5,"Go","Standard")</f>
        <v>Standard</v>
      </c>
    </row>
    <row r="1324" customFormat="false" ht="15" hidden="false" customHeight="true" outlineLevel="0" collapsed="false">
      <c r="A1324" s="10" t="n">
        <f aca="false">Einstellungen!$B$5+INT((ROW()-9)/24)</f>
        <v>46020</v>
      </c>
      <c r="B1324" s="11" t="n">
        <f aca="false">MOD(ROW()-9,24)</f>
        <v>19</v>
      </c>
      <c r="C1324" s="12"/>
      <c r="D1324" s="13" t="n">
        <f aca="false">IF(B1324&lt;5,Einstellungen!$B$3,Einstellungen!$B$4)</f>
        <v>29.13</v>
      </c>
      <c r="E1324" s="14" t="str">
        <f aca="false">IF(C1324="","",C1324*D1324/100)</f>
        <v/>
      </c>
      <c r="F1324" s="15" t="str">
        <f aca="false">IF(B1324&lt;5,"Go","Standard")</f>
        <v>Standard</v>
      </c>
    </row>
    <row r="1325" customFormat="false" ht="15" hidden="false" customHeight="true" outlineLevel="0" collapsed="false">
      <c r="A1325" s="10" t="n">
        <f aca="false">Einstellungen!$B$5+INT((ROW()-9)/24)</f>
        <v>46020</v>
      </c>
      <c r="B1325" s="11" t="n">
        <f aca="false">MOD(ROW()-9,24)</f>
        <v>20</v>
      </c>
      <c r="C1325" s="12"/>
      <c r="D1325" s="13" t="n">
        <f aca="false">IF(B1325&lt;5,Einstellungen!$B$3,Einstellungen!$B$4)</f>
        <v>29.13</v>
      </c>
      <c r="E1325" s="14" t="str">
        <f aca="false">IF(C1325="","",C1325*D1325/100)</f>
        <v/>
      </c>
      <c r="F1325" s="15" t="str">
        <f aca="false">IF(B1325&lt;5,"Go","Standard")</f>
        <v>Standard</v>
      </c>
    </row>
    <row r="1326" customFormat="false" ht="15" hidden="false" customHeight="true" outlineLevel="0" collapsed="false">
      <c r="A1326" s="10" t="n">
        <f aca="false">Einstellungen!$B$5+INT((ROW()-9)/24)</f>
        <v>46020</v>
      </c>
      <c r="B1326" s="11" t="n">
        <f aca="false">MOD(ROW()-9,24)</f>
        <v>21</v>
      </c>
      <c r="C1326" s="12"/>
      <c r="D1326" s="13" t="n">
        <f aca="false">IF(B1326&lt;5,Einstellungen!$B$3,Einstellungen!$B$4)</f>
        <v>29.13</v>
      </c>
      <c r="E1326" s="14" t="str">
        <f aca="false">IF(C1326="","",C1326*D1326/100)</f>
        <v/>
      </c>
      <c r="F1326" s="15" t="str">
        <f aca="false">IF(B1326&lt;5,"Go","Standard")</f>
        <v>Standard</v>
      </c>
    </row>
    <row r="1327" customFormat="false" ht="15" hidden="false" customHeight="true" outlineLevel="0" collapsed="false">
      <c r="A1327" s="10" t="n">
        <f aca="false">Einstellungen!$B$5+INT((ROW()-9)/24)</f>
        <v>46020</v>
      </c>
      <c r="B1327" s="11" t="n">
        <f aca="false">MOD(ROW()-9,24)</f>
        <v>22</v>
      </c>
      <c r="C1327" s="12"/>
      <c r="D1327" s="13" t="n">
        <f aca="false">IF(B1327&lt;5,Einstellungen!$B$3,Einstellungen!$B$4)</f>
        <v>29.13</v>
      </c>
      <c r="E1327" s="14" t="str">
        <f aca="false">IF(C1327="","",C1327*D1327/100)</f>
        <v/>
      </c>
      <c r="F1327" s="15" t="str">
        <f aca="false">IF(B1327&lt;5,"Go","Standard")</f>
        <v>Standard</v>
      </c>
    </row>
    <row r="1328" customFormat="false" ht="15" hidden="false" customHeight="true" outlineLevel="0" collapsed="false">
      <c r="A1328" s="10" t="n">
        <f aca="false">Einstellungen!$B$5+INT((ROW()-9)/24)</f>
        <v>46020</v>
      </c>
      <c r="B1328" s="11" t="n">
        <f aca="false">MOD(ROW()-9,24)</f>
        <v>23</v>
      </c>
      <c r="C1328" s="12"/>
      <c r="D1328" s="13" t="n">
        <f aca="false">IF(B1328&lt;5,Einstellungen!$B$3,Einstellungen!$B$4)</f>
        <v>29.13</v>
      </c>
      <c r="E1328" s="14" t="str">
        <f aca="false">IF(C1328="","",C1328*D1328/100)</f>
        <v/>
      </c>
      <c r="F1328" s="15" t="str">
        <f aca="false">IF(B1328&lt;5,"Go","Standard")</f>
        <v>Standard</v>
      </c>
    </row>
    <row r="1329" customFormat="false" ht="15" hidden="false" customHeight="true" outlineLevel="0" collapsed="false">
      <c r="A1329" s="10" t="n">
        <f aca="false">Einstellungen!$B$5+INT((ROW()-9)/24)</f>
        <v>46021</v>
      </c>
      <c r="B1329" s="11" t="n">
        <f aca="false">MOD(ROW()-9,24)</f>
        <v>0</v>
      </c>
      <c r="C1329" s="12"/>
      <c r="D1329" s="13" t="n">
        <f aca="false">IF(B1329&lt;5,Einstellungen!$B$3,Einstellungen!$B$4)</f>
        <v>15.92</v>
      </c>
      <c r="E1329" s="14" t="str">
        <f aca="false">IF(C1329="","",C1329*D1329/100)</f>
        <v/>
      </c>
      <c r="F1329" s="15" t="str">
        <f aca="false">IF(B1329&lt;5,"Go","Standard")</f>
        <v>Go</v>
      </c>
    </row>
    <row r="1330" customFormat="false" ht="15" hidden="false" customHeight="true" outlineLevel="0" collapsed="false">
      <c r="A1330" s="10" t="n">
        <f aca="false">Einstellungen!$B$5+INT((ROW()-9)/24)</f>
        <v>46021</v>
      </c>
      <c r="B1330" s="11" t="n">
        <f aca="false">MOD(ROW()-9,24)</f>
        <v>1</v>
      </c>
      <c r="C1330" s="12"/>
      <c r="D1330" s="13" t="n">
        <f aca="false">IF(B1330&lt;5,Einstellungen!$B$3,Einstellungen!$B$4)</f>
        <v>15.92</v>
      </c>
      <c r="E1330" s="14" t="str">
        <f aca="false">IF(C1330="","",C1330*D1330/100)</f>
        <v/>
      </c>
      <c r="F1330" s="15" t="str">
        <f aca="false">IF(B1330&lt;5,"Go","Standard")</f>
        <v>Go</v>
      </c>
    </row>
    <row r="1331" customFormat="false" ht="15" hidden="false" customHeight="true" outlineLevel="0" collapsed="false">
      <c r="A1331" s="10" t="n">
        <f aca="false">Einstellungen!$B$5+INT((ROW()-9)/24)</f>
        <v>46021</v>
      </c>
      <c r="B1331" s="11" t="n">
        <f aca="false">MOD(ROW()-9,24)</f>
        <v>2</v>
      </c>
      <c r="C1331" s="12"/>
      <c r="D1331" s="13" t="n">
        <f aca="false">IF(B1331&lt;5,Einstellungen!$B$3,Einstellungen!$B$4)</f>
        <v>15.92</v>
      </c>
      <c r="E1331" s="14" t="str">
        <f aca="false">IF(C1331="","",C1331*D1331/100)</f>
        <v/>
      </c>
      <c r="F1331" s="15" t="str">
        <f aca="false">IF(B1331&lt;5,"Go","Standard")</f>
        <v>Go</v>
      </c>
    </row>
    <row r="1332" customFormat="false" ht="15" hidden="false" customHeight="true" outlineLevel="0" collapsed="false">
      <c r="A1332" s="10" t="n">
        <f aca="false">Einstellungen!$B$5+INT((ROW()-9)/24)</f>
        <v>46021</v>
      </c>
      <c r="B1332" s="11" t="n">
        <f aca="false">MOD(ROW()-9,24)</f>
        <v>3</v>
      </c>
      <c r="C1332" s="12"/>
      <c r="D1332" s="13" t="n">
        <f aca="false">IF(B1332&lt;5,Einstellungen!$B$3,Einstellungen!$B$4)</f>
        <v>15.92</v>
      </c>
      <c r="E1332" s="14" t="str">
        <f aca="false">IF(C1332="","",C1332*D1332/100)</f>
        <v/>
      </c>
      <c r="F1332" s="15" t="str">
        <f aca="false">IF(B1332&lt;5,"Go","Standard")</f>
        <v>Go</v>
      </c>
    </row>
    <row r="1333" customFormat="false" ht="15" hidden="false" customHeight="true" outlineLevel="0" collapsed="false">
      <c r="A1333" s="10" t="n">
        <f aca="false">Einstellungen!$B$5+INT((ROW()-9)/24)</f>
        <v>46021</v>
      </c>
      <c r="B1333" s="11" t="n">
        <f aca="false">MOD(ROW()-9,24)</f>
        <v>4</v>
      </c>
      <c r="C1333" s="12"/>
      <c r="D1333" s="13" t="n">
        <f aca="false">IF(B1333&lt;5,Einstellungen!$B$3,Einstellungen!$B$4)</f>
        <v>15.92</v>
      </c>
      <c r="E1333" s="14" t="str">
        <f aca="false">IF(C1333="","",C1333*D1333/100)</f>
        <v/>
      </c>
      <c r="F1333" s="15" t="str">
        <f aca="false">IF(B1333&lt;5,"Go","Standard")</f>
        <v>Go</v>
      </c>
    </row>
    <row r="1334" customFormat="false" ht="15" hidden="false" customHeight="true" outlineLevel="0" collapsed="false">
      <c r="A1334" s="10" t="n">
        <f aca="false">Einstellungen!$B$5+INT((ROW()-9)/24)</f>
        <v>46021</v>
      </c>
      <c r="B1334" s="11" t="n">
        <f aca="false">MOD(ROW()-9,24)</f>
        <v>5</v>
      </c>
      <c r="C1334" s="12"/>
      <c r="D1334" s="13" t="n">
        <f aca="false">IF(B1334&lt;5,Einstellungen!$B$3,Einstellungen!$B$4)</f>
        <v>29.13</v>
      </c>
      <c r="E1334" s="14" t="str">
        <f aca="false">IF(C1334="","",C1334*D1334/100)</f>
        <v/>
      </c>
      <c r="F1334" s="15" t="str">
        <f aca="false">IF(B1334&lt;5,"Go","Standard")</f>
        <v>Standard</v>
      </c>
    </row>
    <row r="1335" customFormat="false" ht="15" hidden="false" customHeight="true" outlineLevel="0" collapsed="false">
      <c r="A1335" s="10" t="n">
        <f aca="false">Einstellungen!$B$5+INT((ROW()-9)/24)</f>
        <v>46021</v>
      </c>
      <c r="B1335" s="11" t="n">
        <f aca="false">MOD(ROW()-9,24)</f>
        <v>6</v>
      </c>
      <c r="C1335" s="12"/>
      <c r="D1335" s="13" t="n">
        <f aca="false">IF(B1335&lt;5,Einstellungen!$B$3,Einstellungen!$B$4)</f>
        <v>29.13</v>
      </c>
      <c r="E1335" s="14" t="str">
        <f aca="false">IF(C1335="","",C1335*D1335/100)</f>
        <v/>
      </c>
      <c r="F1335" s="15" t="str">
        <f aca="false">IF(B1335&lt;5,"Go","Standard")</f>
        <v>Standard</v>
      </c>
    </row>
    <row r="1336" customFormat="false" ht="15" hidden="false" customHeight="true" outlineLevel="0" collapsed="false">
      <c r="A1336" s="10" t="n">
        <f aca="false">Einstellungen!$B$5+INT((ROW()-9)/24)</f>
        <v>46021</v>
      </c>
      <c r="B1336" s="11" t="n">
        <f aca="false">MOD(ROW()-9,24)</f>
        <v>7</v>
      </c>
      <c r="C1336" s="12"/>
      <c r="D1336" s="13" t="n">
        <f aca="false">IF(B1336&lt;5,Einstellungen!$B$3,Einstellungen!$B$4)</f>
        <v>29.13</v>
      </c>
      <c r="E1336" s="14" t="str">
        <f aca="false">IF(C1336="","",C1336*D1336/100)</f>
        <v/>
      </c>
      <c r="F1336" s="15" t="str">
        <f aca="false">IF(B1336&lt;5,"Go","Standard")</f>
        <v>Standard</v>
      </c>
    </row>
    <row r="1337" customFormat="false" ht="15" hidden="false" customHeight="true" outlineLevel="0" collapsed="false">
      <c r="A1337" s="10" t="n">
        <f aca="false">Einstellungen!$B$5+INT((ROW()-9)/24)</f>
        <v>46021</v>
      </c>
      <c r="B1337" s="11" t="n">
        <f aca="false">MOD(ROW()-9,24)</f>
        <v>8</v>
      </c>
      <c r="C1337" s="12"/>
      <c r="D1337" s="13" t="n">
        <f aca="false">IF(B1337&lt;5,Einstellungen!$B$3,Einstellungen!$B$4)</f>
        <v>29.13</v>
      </c>
      <c r="E1337" s="14" t="str">
        <f aca="false">IF(C1337="","",C1337*D1337/100)</f>
        <v/>
      </c>
      <c r="F1337" s="15" t="str">
        <f aca="false">IF(B1337&lt;5,"Go","Standard")</f>
        <v>Standard</v>
      </c>
    </row>
    <row r="1338" customFormat="false" ht="15" hidden="false" customHeight="true" outlineLevel="0" collapsed="false">
      <c r="A1338" s="10" t="n">
        <f aca="false">Einstellungen!$B$5+INT((ROW()-9)/24)</f>
        <v>46021</v>
      </c>
      <c r="B1338" s="11" t="n">
        <f aca="false">MOD(ROW()-9,24)</f>
        <v>9</v>
      </c>
      <c r="C1338" s="12"/>
      <c r="D1338" s="13" t="n">
        <f aca="false">IF(B1338&lt;5,Einstellungen!$B$3,Einstellungen!$B$4)</f>
        <v>29.13</v>
      </c>
      <c r="E1338" s="14" t="str">
        <f aca="false">IF(C1338="","",C1338*D1338/100)</f>
        <v/>
      </c>
      <c r="F1338" s="15" t="str">
        <f aca="false">IF(B1338&lt;5,"Go","Standard")</f>
        <v>Standard</v>
      </c>
    </row>
    <row r="1339" customFormat="false" ht="15" hidden="false" customHeight="true" outlineLevel="0" collapsed="false">
      <c r="A1339" s="10" t="n">
        <f aca="false">Einstellungen!$B$5+INT((ROW()-9)/24)</f>
        <v>46021</v>
      </c>
      <c r="B1339" s="11" t="n">
        <f aca="false">MOD(ROW()-9,24)</f>
        <v>10</v>
      </c>
      <c r="C1339" s="12"/>
      <c r="D1339" s="13" t="n">
        <f aca="false">IF(B1339&lt;5,Einstellungen!$B$3,Einstellungen!$B$4)</f>
        <v>29.13</v>
      </c>
      <c r="E1339" s="14" t="str">
        <f aca="false">IF(C1339="","",C1339*D1339/100)</f>
        <v/>
      </c>
      <c r="F1339" s="15" t="str">
        <f aca="false">IF(B1339&lt;5,"Go","Standard")</f>
        <v>Standard</v>
      </c>
    </row>
    <row r="1340" customFormat="false" ht="15" hidden="false" customHeight="true" outlineLevel="0" collapsed="false">
      <c r="A1340" s="10" t="n">
        <f aca="false">Einstellungen!$B$5+INT((ROW()-9)/24)</f>
        <v>46021</v>
      </c>
      <c r="B1340" s="11" t="n">
        <f aca="false">MOD(ROW()-9,24)</f>
        <v>11</v>
      </c>
      <c r="C1340" s="12"/>
      <c r="D1340" s="13" t="n">
        <f aca="false">IF(B1340&lt;5,Einstellungen!$B$3,Einstellungen!$B$4)</f>
        <v>29.13</v>
      </c>
      <c r="E1340" s="14" t="str">
        <f aca="false">IF(C1340="","",C1340*D1340/100)</f>
        <v/>
      </c>
      <c r="F1340" s="15" t="str">
        <f aca="false">IF(B1340&lt;5,"Go","Standard")</f>
        <v>Standard</v>
      </c>
    </row>
    <row r="1341" customFormat="false" ht="15" hidden="false" customHeight="true" outlineLevel="0" collapsed="false">
      <c r="A1341" s="10" t="n">
        <f aca="false">Einstellungen!$B$5+INT((ROW()-9)/24)</f>
        <v>46021</v>
      </c>
      <c r="B1341" s="11" t="n">
        <f aca="false">MOD(ROW()-9,24)</f>
        <v>12</v>
      </c>
      <c r="C1341" s="12"/>
      <c r="D1341" s="13" t="n">
        <f aca="false">IF(B1341&lt;5,Einstellungen!$B$3,Einstellungen!$B$4)</f>
        <v>29.13</v>
      </c>
      <c r="E1341" s="14" t="str">
        <f aca="false">IF(C1341="","",C1341*D1341/100)</f>
        <v/>
      </c>
      <c r="F1341" s="15" t="str">
        <f aca="false">IF(B1341&lt;5,"Go","Standard")</f>
        <v>Standard</v>
      </c>
    </row>
    <row r="1342" customFormat="false" ht="15" hidden="false" customHeight="true" outlineLevel="0" collapsed="false">
      <c r="A1342" s="10" t="n">
        <f aca="false">Einstellungen!$B$5+INT((ROW()-9)/24)</f>
        <v>46021</v>
      </c>
      <c r="B1342" s="11" t="n">
        <f aca="false">MOD(ROW()-9,24)</f>
        <v>13</v>
      </c>
      <c r="C1342" s="12"/>
      <c r="D1342" s="13" t="n">
        <f aca="false">IF(B1342&lt;5,Einstellungen!$B$3,Einstellungen!$B$4)</f>
        <v>29.13</v>
      </c>
      <c r="E1342" s="14" t="str">
        <f aca="false">IF(C1342="","",C1342*D1342/100)</f>
        <v/>
      </c>
      <c r="F1342" s="15" t="str">
        <f aca="false">IF(B1342&lt;5,"Go","Standard")</f>
        <v>Standard</v>
      </c>
    </row>
    <row r="1343" customFormat="false" ht="15" hidden="false" customHeight="true" outlineLevel="0" collapsed="false">
      <c r="A1343" s="10" t="n">
        <f aca="false">Einstellungen!$B$5+INT((ROW()-9)/24)</f>
        <v>46021</v>
      </c>
      <c r="B1343" s="11" t="n">
        <f aca="false">MOD(ROW()-9,24)</f>
        <v>14</v>
      </c>
      <c r="C1343" s="12"/>
      <c r="D1343" s="13" t="n">
        <f aca="false">IF(B1343&lt;5,Einstellungen!$B$3,Einstellungen!$B$4)</f>
        <v>29.13</v>
      </c>
      <c r="E1343" s="14" t="str">
        <f aca="false">IF(C1343="","",C1343*D1343/100)</f>
        <v/>
      </c>
      <c r="F1343" s="15" t="str">
        <f aca="false">IF(B1343&lt;5,"Go","Standard")</f>
        <v>Standard</v>
      </c>
    </row>
    <row r="1344" customFormat="false" ht="15" hidden="false" customHeight="true" outlineLevel="0" collapsed="false">
      <c r="A1344" s="10" t="n">
        <f aca="false">Einstellungen!$B$5+INT((ROW()-9)/24)</f>
        <v>46021</v>
      </c>
      <c r="B1344" s="11" t="n">
        <f aca="false">MOD(ROW()-9,24)</f>
        <v>15</v>
      </c>
      <c r="C1344" s="12"/>
      <c r="D1344" s="13" t="n">
        <f aca="false">IF(B1344&lt;5,Einstellungen!$B$3,Einstellungen!$B$4)</f>
        <v>29.13</v>
      </c>
      <c r="E1344" s="14" t="str">
        <f aca="false">IF(C1344="","",C1344*D1344/100)</f>
        <v/>
      </c>
      <c r="F1344" s="15" t="str">
        <f aca="false">IF(B1344&lt;5,"Go","Standard")</f>
        <v>Standard</v>
      </c>
    </row>
    <row r="1345" customFormat="false" ht="15" hidden="false" customHeight="true" outlineLevel="0" collapsed="false">
      <c r="A1345" s="10" t="n">
        <f aca="false">Einstellungen!$B$5+INT((ROW()-9)/24)</f>
        <v>46021</v>
      </c>
      <c r="B1345" s="11" t="n">
        <f aca="false">MOD(ROW()-9,24)</f>
        <v>16</v>
      </c>
      <c r="C1345" s="12"/>
      <c r="D1345" s="13" t="n">
        <f aca="false">IF(B1345&lt;5,Einstellungen!$B$3,Einstellungen!$B$4)</f>
        <v>29.13</v>
      </c>
      <c r="E1345" s="14" t="str">
        <f aca="false">IF(C1345="","",C1345*D1345/100)</f>
        <v/>
      </c>
      <c r="F1345" s="15" t="str">
        <f aca="false">IF(B1345&lt;5,"Go","Standard")</f>
        <v>Standard</v>
      </c>
    </row>
    <row r="1346" customFormat="false" ht="15" hidden="false" customHeight="true" outlineLevel="0" collapsed="false">
      <c r="A1346" s="10" t="n">
        <f aca="false">Einstellungen!$B$5+INT((ROW()-9)/24)</f>
        <v>46021</v>
      </c>
      <c r="B1346" s="11" t="n">
        <f aca="false">MOD(ROW()-9,24)</f>
        <v>17</v>
      </c>
      <c r="C1346" s="12"/>
      <c r="D1346" s="13" t="n">
        <f aca="false">IF(B1346&lt;5,Einstellungen!$B$3,Einstellungen!$B$4)</f>
        <v>29.13</v>
      </c>
      <c r="E1346" s="14" t="str">
        <f aca="false">IF(C1346="","",C1346*D1346/100)</f>
        <v/>
      </c>
      <c r="F1346" s="15" t="str">
        <f aca="false">IF(B1346&lt;5,"Go","Standard")</f>
        <v>Standard</v>
      </c>
    </row>
    <row r="1347" customFormat="false" ht="15" hidden="false" customHeight="true" outlineLevel="0" collapsed="false">
      <c r="A1347" s="10" t="n">
        <f aca="false">Einstellungen!$B$5+INT((ROW()-9)/24)</f>
        <v>46021</v>
      </c>
      <c r="B1347" s="11" t="n">
        <f aca="false">MOD(ROW()-9,24)</f>
        <v>18</v>
      </c>
      <c r="C1347" s="12"/>
      <c r="D1347" s="13" t="n">
        <f aca="false">IF(B1347&lt;5,Einstellungen!$B$3,Einstellungen!$B$4)</f>
        <v>29.13</v>
      </c>
      <c r="E1347" s="14" t="str">
        <f aca="false">IF(C1347="","",C1347*D1347/100)</f>
        <v/>
      </c>
      <c r="F1347" s="15" t="str">
        <f aca="false">IF(B1347&lt;5,"Go","Standard")</f>
        <v>Standard</v>
      </c>
    </row>
    <row r="1348" customFormat="false" ht="15" hidden="false" customHeight="true" outlineLevel="0" collapsed="false">
      <c r="A1348" s="10" t="n">
        <f aca="false">Einstellungen!$B$5+INT((ROW()-9)/24)</f>
        <v>46021</v>
      </c>
      <c r="B1348" s="11" t="n">
        <f aca="false">MOD(ROW()-9,24)</f>
        <v>19</v>
      </c>
      <c r="C1348" s="12"/>
      <c r="D1348" s="13" t="n">
        <f aca="false">IF(B1348&lt;5,Einstellungen!$B$3,Einstellungen!$B$4)</f>
        <v>29.13</v>
      </c>
      <c r="E1348" s="14" t="str">
        <f aca="false">IF(C1348="","",C1348*D1348/100)</f>
        <v/>
      </c>
      <c r="F1348" s="15" t="str">
        <f aca="false">IF(B1348&lt;5,"Go","Standard")</f>
        <v>Standard</v>
      </c>
    </row>
    <row r="1349" customFormat="false" ht="15" hidden="false" customHeight="true" outlineLevel="0" collapsed="false">
      <c r="A1349" s="10" t="n">
        <f aca="false">Einstellungen!$B$5+INT((ROW()-9)/24)</f>
        <v>46021</v>
      </c>
      <c r="B1349" s="11" t="n">
        <f aca="false">MOD(ROW()-9,24)</f>
        <v>20</v>
      </c>
      <c r="C1349" s="12"/>
      <c r="D1349" s="13" t="n">
        <f aca="false">IF(B1349&lt;5,Einstellungen!$B$3,Einstellungen!$B$4)</f>
        <v>29.13</v>
      </c>
      <c r="E1349" s="14" t="str">
        <f aca="false">IF(C1349="","",C1349*D1349/100)</f>
        <v/>
      </c>
      <c r="F1349" s="15" t="str">
        <f aca="false">IF(B1349&lt;5,"Go","Standard")</f>
        <v>Standard</v>
      </c>
    </row>
    <row r="1350" customFormat="false" ht="15" hidden="false" customHeight="true" outlineLevel="0" collapsed="false">
      <c r="A1350" s="10" t="n">
        <f aca="false">Einstellungen!$B$5+INT((ROW()-9)/24)</f>
        <v>46021</v>
      </c>
      <c r="B1350" s="11" t="n">
        <f aca="false">MOD(ROW()-9,24)</f>
        <v>21</v>
      </c>
      <c r="C1350" s="12"/>
      <c r="D1350" s="13" t="n">
        <f aca="false">IF(B1350&lt;5,Einstellungen!$B$3,Einstellungen!$B$4)</f>
        <v>29.13</v>
      </c>
      <c r="E1350" s="14" t="str">
        <f aca="false">IF(C1350="","",C1350*D1350/100)</f>
        <v/>
      </c>
      <c r="F1350" s="15" t="str">
        <f aca="false">IF(B1350&lt;5,"Go","Standard")</f>
        <v>Standard</v>
      </c>
    </row>
    <row r="1351" customFormat="false" ht="15" hidden="false" customHeight="true" outlineLevel="0" collapsed="false">
      <c r="A1351" s="10" t="n">
        <f aca="false">Einstellungen!$B$5+INT((ROW()-9)/24)</f>
        <v>46021</v>
      </c>
      <c r="B1351" s="11" t="n">
        <f aca="false">MOD(ROW()-9,24)</f>
        <v>22</v>
      </c>
      <c r="C1351" s="12"/>
      <c r="D1351" s="13" t="n">
        <f aca="false">IF(B1351&lt;5,Einstellungen!$B$3,Einstellungen!$B$4)</f>
        <v>29.13</v>
      </c>
      <c r="E1351" s="14" t="str">
        <f aca="false">IF(C1351="","",C1351*D1351/100)</f>
        <v/>
      </c>
      <c r="F1351" s="15" t="str">
        <f aca="false">IF(B1351&lt;5,"Go","Standard")</f>
        <v>Standard</v>
      </c>
    </row>
    <row r="1352" customFormat="false" ht="15" hidden="false" customHeight="true" outlineLevel="0" collapsed="false">
      <c r="A1352" s="10" t="n">
        <f aca="false">Einstellungen!$B$5+INT((ROW()-9)/24)</f>
        <v>46021</v>
      </c>
      <c r="B1352" s="11" t="n">
        <f aca="false">MOD(ROW()-9,24)</f>
        <v>23</v>
      </c>
      <c r="C1352" s="12"/>
      <c r="D1352" s="13" t="n">
        <f aca="false">IF(B1352&lt;5,Einstellungen!$B$3,Einstellungen!$B$4)</f>
        <v>29.13</v>
      </c>
      <c r="E1352" s="14" t="str">
        <f aca="false">IF(C1352="","",C1352*D1352/100)</f>
        <v/>
      </c>
      <c r="F1352" s="15" t="str">
        <f aca="false">IF(B1352&lt;5,"Go","Standard")</f>
        <v>Standard</v>
      </c>
    </row>
    <row r="1353" customFormat="false" ht="15" hidden="false" customHeight="true" outlineLevel="0" collapsed="false">
      <c r="A1353" s="10" t="n">
        <f aca="false">Einstellungen!$B$5+INT((ROW()-9)/24)</f>
        <v>46022</v>
      </c>
      <c r="B1353" s="11" t="n">
        <f aca="false">MOD(ROW()-9,24)</f>
        <v>0</v>
      </c>
      <c r="C1353" s="12"/>
      <c r="D1353" s="13" t="n">
        <f aca="false">IF(B1353&lt;5,Einstellungen!$B$3,Einstellungen!$B$4)</f>
        <v>15.92</v>
      </c>
      <c r="E1353" s="14" t="str">
        <f aca="false">IF(C1353="","",C1353*D1353/100)</f>
        <v/>
      </c>
      <c r="F1353" s="15" t="str">
        <f aca="false">IF(B1353&lt;5,"Go","Standard")</f>
        <v>Go</v>
      </c>
    </row>
    <row r="1354" customFormat="false" ht="15" hidden="false" customHeight="true" outlineLevel="0" collapsed="false">
      <c r="A1354" s="10" t="n">
        <f aca="false">Einstellungen!$B$5+INT((ROW()-9)/24)</f>
        <v>46022</v>
      </c>
      <c r="B1354" s="11" t="n">
        <f aca="false">MOD(ROW()-9,24)</f>
        <v>1</v>
      </c>
      <c r="C1354" s="12"/>
      <c r="D1354" s="13" t="n">
        <f aca="false">IF(B1354&lt;5,Einstellungen!$B$3,Einstellungen!$B$4)</f>
        <v>15.92</v>
      </c>
      <c r="E1354" s="14" t="str">
        <f aca="false">IF(C1354="","",C1354*D1354/100)</f>
        <v/>
      </c>
      <c r="F1354" s="15" t="str">
        <f aca="false">IF(B1354&lt;5,"Go","Standard")</f>
        <v>Go</v>
      </c>
    </row>
    <row r="1355" customFormat="false" ht="15" hidden="false" customHeight="true" outlineLevel="0" collapsed="false">
      <c r="A1355" s="10" t="n">
        <f aca="false">Einstellungen!$B$5+INT((ROW()-9)/24)</f>
        <v>46022</v>
      </c>
      <c r="B1355" s="11" t="n">
        <f aca="false">MOD(ROW()-9,24)</f>
        <v>2</v>
      </c>
      <c r="C1355" s="12"/>
      <c r="D1355" s="13" t="n">
        <f aca="false">IF(B1355&lt;5,Einstellungen!$B$3,Einstellungen!$B$4)</f>
        <v>15.92</v>
      </c>
      <c r="E1355" s="14" t="str">
        <f aca="false">IF(C1355="","",C1355*D1355/100)</f>
        <v/>
      </c>
      <c r="F1355" s="15" t="str">
        <f aca="false">IF(B1355&lt;5,"Go","Standard")</f>
        <v>Go</v>
      </c>
    </row>
    <row r="1356" customFormat="false" ht="15" hidden="false" customHeight="true" outlineLevel="0" collapsed="false">
      <c r="A1356" s="10" t="n">
        <f aca="false">Einstellungen!$B$5+INT((ROW()-9)/24)</f>
        <v>46022</v>
      </c>
      <c r="B1356" s="11" t="n">
        <f aca="false">MOD(ROW()-9,24)</f>
        <v>3</v>
      </c>
      <c r="C1356" s="12"/>
      <c r="D1356" s="13" t="n">
        <f aca="false">IF(B1356&lt;5,Einstellungen!$B$3,Einstellungen!$B$4)</f>
        <v>15.92</v>
      </c>
      <c r="E1356" s="14" t="str">
        <f aca="false">IF(C1356="","",C1356*D1356/100)</f>
        <v/>
      </c>
      <c r="F1356" s="15" t="str">
        <f aca="false">IF(B1356&lt;5,"Go","Standard")</f>
        <v>Go</v>
      </c>
    </row>
    <row r="1357" customFormat="false" ht="15" hidden="false" customHeight="true" outlineLevel="0" collapsed="false">
      <c r="A1357" s="10" t="n">
        <f aca="false">Einstellungen!$B$5+INT((ROW()-9)/24)</f>
        <v>46022</v>
      </c>
      <c r="B1357" s="11" t="n">
        <f aca="false">MOD(ROW()-9,24)</f>
        <v>4</v>
      </c>
      <c r="C1357" s="12"/>
      <c r="D1357" s="13" t="n">
        <f aca="false">IF(B1357&lt;5,Einstellungen!$B$3,Einstellungen!$B$4)</f>
        <v>15.92</v>
      </c>
      <c r="E1357" s="14" t="str">
        <f aca="false">IF(C1357="","",C1357*D1357/100)</f>
        <v/>
      </c>
      <c r="F1357" s="15" t="str">
        <f aca="false">IF(B1357&lt;5,"Go","Standard")</f>
        <v>Go</v>
      </c>
    </row>
    <row r="1358" customFormat="false" ht="15" hidden="false" customHeight="true" outlineLevel="0" collapsed="false">
      <c r="A1358" s="10" t="n">
        <f aca="false">Einstellungen!$B$5+INT((ROW()-9)/24)</f>
        <v>46022</v>
      </c>
      <c r="B1358" s="11" t="n">
        <f aca="false">MOD(ROW()-9,24)</f>
        <v>5</v>
      </c>
      <c r="C1358" s="12"/>
      <c r="D1358" s="13" t="n">
        <f aca="false">IF(B1358&lt;5,Einstellungen!$B$3,Einstellungen!$B$4)</f>
        <v>29.13</v>
      </c>
      <c r="E1358" s="14" t="str">
        <f aca="false">IF(C1358="","",C1358*D1358/100)</f>
        <v/>
      </c>
      <c r="F1358" s="15" t="str">
        <f aca="false">IF(B1358&lt;5,"Go","Standard")</f>
        <v>Standard</v>
      </c>
    </row>
    <row r="1359" customFormat="false" ht="15" hidden="false" customHeight="true" outlineLevel="0" collapsed="false">
      <c r="A1359" s="10" t="n">
        <f aca="false">Einstellungen!$B$5+INT((ROW()-9)/24)</f>
        <v>46022</v>
      </c>
      <c r="B1359" s="11" t="n">
        <f aca="false">MOD(ROW()-9,24)</f>
        <v>6</v>
      </c>
      <c r="C1359" s="12"/>
      <c r="D1359" s="13" t="n">
        <f aca="false">IF(B1359&lt;5,Einstellungen!$B$3,Einstellungen!$B$4)</f>
        <v>29.13</v>
      </c>
      <c r="E1359" s="14" t="str">
        <f aca="false">IF(C1359="","",C1359*D1359/100)</f>
        <v/>
      </c>
      <c r="F1359" s="15" t="str">
        <f aca="false">IF(B1359&lt;5,"Go","Standard")</f>
        <v>Standard</v>
      </c>
    </row>
    <row r="1360" customFormat="false" ht="15" hidden="false" customHeight="true" outlineLevel="0" collapsed="false">
      <c r="A1360" s="10" t="n">
        <f aca="false">Einstellungen!$B$5+INT((ROW()-9)/24)</f>
        <v>46022</v>
      </c>
      <c r="B1360" s="11" t="n">
        <f aca="false">MOD(ROW()-9,24)</f>
        <v>7</v>
      </c>
      <c r="C1360" s="12"/>
      <c r="D1360" s="13" t="n">
        <f aca="false">IF(B1360&lt;5,Einstellungen!$B$3,Einstellungen!$B$4)</f>
        <v>29.13</v>
      </c>
      <c r="E1360" s="14" t="str">
        <f aca="false">IF(C1360="","",C1360*D1360/100)</f>
        <v/>
      </c>
      <c r="F1360" s="15" t="str">
        <f aca="false">IF(B1360&lt;5,"Go","Standard")</f>
        <v>Standard</v>
      </c>
    </row>
    <row r="1361" customFormat="false" ht="15" hidden="false" customHeight="true" outlineLevel="0" collapsed="false">
      <c r="A1361" s="10" t="n">
        <f aca="false">Einstellungen!$B$5+INT((ROW()-9)/24)</f>
        <v>46022</v>
      </c>
      <c r="B1361" s="11" t="n">
        <f aca="false">MOD(ROW()-9,24)</f>
        <v>8</v>
      </c>
      <c r="C1361" s="12"/>
      <c r="D1361" s="13" t="n">
        <f aca="false">IF(B1361&lt;5,Einstellungen!$B$3,Einstellungen!$B$4)</f>
        <v>29.13</v>
      </c>
      <c r="E1361" s="14" t="str">
        <f aca="false">IF(C1361="","",C1361*D1361/100)</f>
        <v/>
      </c>
      <c r="F1361" s="15" t="str">
        <f aca="false">IF(B1361&lt;5,"Go","Standard")</f>
        <v>Standard</v>
      </c>
    </row>
    <row r="1362" customFormat="false" ht="15" hidden="false" customHeight="true" outlineLevel="0" collapsed="false">
      <c r="A1362" s="10" t="n">
        <f aca="false">Einstellungen!$B$5+INT((ROW()-9)/24)</f>
        <v>46022</v>
      </c>
      <c r="B1362" s="11" t="n">
        <f aca="false">MOD(ROW()-9,24)</f>
        <v>9</v>
      </c>
      <c r="C1362" s="12"/>
      <c r="D1362" s="13" t="n">
        <f aca="false">IF(B1362&lt;5,Einstellungen!$B$3,Einstellungen!$B$4)</f>
        <v>29.13</v>
      </c>
      <c r="E1362" s="14" t="str">
        <f aca="false">IF(C1362="","",C1362*D1362/100)</f>
        <v/>
      </c>
      <c r="F1362" s="15" t="str">
        <f aca="false">IF(B1362&lt;5,"Go","Standard")</f>
        <v>Standard</v>
      </c>
    </row>
    <row r="1363" customFormat="false" ht="15" hidden="false" customHeight="true" outlineLevel="0" collapsed="false">
      <c r="A1363" s="10" t="n">
        <f aca="false">Einstellungen!$B$5+INT((ROW()-9)/24)</f>
        <v>46022</v>
      </c>
      <c r="B1363" s="11" t="n">
        <f aca="false">MOD(ROW()-9,24)</f>
        <v>10</v>
      </c>
      <c r="C1363" s="12"/>
      <c r="D1363" s="13" t="n">
        <f aca="false">IF(B1363&lt;5,Einstellungen!$B$3,Einstellungen!$B$4)</f>
        <v>29.13</v>
      </c>
      <c r="E1363" s="14" t="str">
        <f aca="false">IF(C1363="","",C1363*D1363/100)</f>
        <v/>
      </c>
      <c r="F1363" s="15" t="str">
        <f aca="false">IF(B1363&lt;5,"Go","Standard")</f>
        <v>Standard</v>
      </c>
    </row>
    <row r="1364" customFormat="false" ht="15" hidden="false" customHeight="true" outlineLevel="0" collapsed="false">
      <c r="A1364" s="10" t="n">
        <f aca="false">Einstellungen!$B$5+INT((ROW()-9)/24)</f>
        <v>46022</v>
      </c>
      <c r="B1364" s="11" t="n">
        <f aca="false">MOD(ROW()-9,24)</f>
        <v>11</v>
      </c>
      <c r="C1364" s="12"/>
      <c r="D1364" s="13" t="n">
        <f aca="false">IF(B1364&lt;5,Einstellungen!$B$3,Einstellungen!$B$4)</f>
        <v>29.13</v>
      </c>
      <c r="E1364" s="14" t="str">
        <f aca="false">IF(C1364="","",C1364*D1364/100)</f>
        <v/>
      </c>
      <c r="F1364" s="15" t="str">
        <f aca="false">IF(B1364&lt;5,"Go","Standard")</f>
        <v>Standard</v>
      </c>
    </row>
    <row r="1365" customFormat="false" ht="15" hidden="false" customHeight="true" outlineLevel="0" collapsed="false">
      <c r="A1365" s="10" t="n">
        <f aca="false">Einstellungen!$B$5+INT((ROW()-9)/24)</f>
        <v>46022</v>
      </c>
      <c r="B1365" s="11" t="n">
        <f aca="false">MOD(ROW()-9,24)</f>
        <v>12</v>
      </c>
      <c r="C1365" s="12"/>
      <c r="D1365" s="13" t="n">
        <f aca="false">IF(B1365&lt;5,Einstellungen!$B$3,Einstellungen!$B$4)</f>
        <v>29.13</v>
      </c>
      <c r="E1365" s="14" t="str">
        <f aca="false">IF(C1365="","",C1365*D1365/100)</f>
        <v/>
      </c>
      <c r="F1365" s="15" t="str">
        <f aca="false">IF(B1365&lt;5,"Go","Standard")</f>
        <v>Standard</v>
      </c>
    </row>
    <row r="1366" customFormat="false" ht="15" hidden="false" customHeight="true" outlineLevel="0" collapsed="false">
      <c r="A1366" s="10" t="n">
        <f aca="false">Einstellungen!$B$5+INT((ROW()-9)/24)</f>
        <v>46022</v>
      </c>
      <c r="B1366" s="11" t="n">
        <f aca="false">MOD(ROW()-9,24)</f>
        <v>13</v>
      </c>
      <c r="C1366" s="12"/>
      <c r="D1366" s="13" t="n">
        <f aca="false">IF(B1366&lt;5,Einstellungen!$B$3,Einstellungen!$B$4)</f>
        <v>29.13</v>
      </c>
      <c r="E1366" s="14" t="str">
        <f aca="false">IF(C1366="","",C1366*D1366/100)</f>
        <v/>
      </c>
      <c r="F1366" s="15" t="str">
        <f aca="false">IF(B1366&lt;5,"Go","Standard")</f>
        <v>Standard</v>
      </c>
    </row>
    <row r="1367" customFormat="false" ht="15" hidden="false" customHeight="true" outlineLevel="0" collapsed="false">
      <c r="A1367" s="10" t="n">
        <f aca="false">Einstellungen!$B$5+INT((ROW()-9)/24)</f>
        <v>46022</v>
      </c>
      <c r="B1367" s="11" t="n">
        <f aca="false">MOD(ROW()-9,24)</f>
        <v>14</v>
      </c>
      <c r="C1367" s="12"/>
      <c r="D1367" s="13" t="n">
        <f aca="false">IF(B1367&lt;5,Einstellungen!$B$3,Einstellungen!$B$4)</f>
        <v>29.13</v>
      </c>
      <c r="E1367" s="14" t="str">
        <f aca="false">IF(C1367="","",C1367*D1367/100)</f>
        <v/>
      </c>
      <c r="F1367" s="15" t="str">
        <f aca="false">IF(B1367&lt;5,"Go","Standard")</f>
        <v>Standard</v>
      </c>
    </row>
    <row r="1368" customFormat="false" ht="15" hidden="false" customHeight="true" outlineLevel="0" collapsed="false">
      <c r="A1368" s="10" t="n">
        <f aca="false">Einstellungen!$B$5+INT((ROW()-9)/24)</f>
        <v>46022</v>
      </c>
      <c r="B1368" s="11" t="n">
        <f aca="false">MOD(ROW()-9,24)</f>
        <v>15</v>
      </c>
      <c r="C1368" s="12"/>
      <c r="D1368" s="13" t="n">
        <f aca="false">IF(B1368&lt;5,Einstellungen!$B$3,Einstellungen!$B$4)</f>
        <v>29.13</v>
      </c>
      <c r="E1368" s="14" t="str">
        <f aca="false">IF(C1368="","",C1368*D1368/100)</f>
        <v/>
      </c>
      <c r="F1368" s="15" t="str">
        <f aca="false">IF(B1368&lt;5,"Go","Standard")</f>
        <v>Standard</v>
      </c>
    </row>
    <row r="1369" customFormat="false" ht="15" hidden="false" customHeight="true" outlineLevel="0" collapsed="false">
      <c r="A1369" s="10" t="n">
        <f aca="false">Einstellungen!$B$5+INT((ROW()-9)/24)</f>
        <v>46022</v>
      </c>
      <c r="B1369" s="11" t="n">
        <f aca="false">MOD(ROW()-9,24)</f>
        <v>16</v>
      </c>
      <c r="C1369" s="12"/>
      <c r="D1369" s="13" t="n">
        <f aca="false">IF(B1369&lt;5,Einstellungen!$B$3,Einstellungen!$B$4)</f>
        <v>29.13</v>
      </c>
      <c r="E1369" s="14" t="str">
        <f aca="false">IF(C1369="","",C1369*D1369/100)</f>
        <v/>
      </c>
      <c r="F1369" s="15" t="str">
        <f aca="false">IF(B1369&lt;5,"Go","Standard")</f>
        <v>Standard</v>
      </c>
    </row>
    <row r="1370" customFormat="false" ht="15" hidden="false" customHeight="true" outlineLevel="0" collapsed="false">
      <c r="A1370" s="10" t="n">
        <f aca="false">Einstellungen!$B$5+INT((ROW()-9)/24)</f>
        <v>46022</v>
      </c>
      <c r="B1370" s="11" t="n">
        <f aca="false">MOD(ROW()-9,24)</f>
        <v>17</v>
      </c>
      <c r="C1370" s="12"/>
      <c r="D1370" s="13" t="n">
        <f aca="false">IF(B1370&lt;5,Einstellungen!$B$3,Einstellungen!$B$4)</f>
        <v>29.13</v>
      </c>
      <c r="E1370" s="14" t="str">
        <f aca="false">IF(C1370="","",C1370*D1370/100)</f>
        <v/>
      </c>
      <c r="F1370" s="15" t="str">
        <f aca="false">IF(B1370&lt;5,"Go","Standard")</f>
        <v>Standard</v>
      </c>
    </row>
    <row r="1371" customFormat="false" ht="15" hidden="false" customHeight="true" outlineLevel="0" collapsed="false">
      <c r="A1371" s="10" t="n">
        <f aca="false">Einstellungen!$B$5+INT((ROW()-9)/24)</f>
        <v>46022</v>
      </c>
      <c r="B1371" s="11" t="n">
        <f aca="false">MOD(ROW()-9,24)</f>
        <v>18</v>
      </c>
      <c r="C1371" s="12"/>
      <c r="D1371" s="13" t="n">
        <f aca="false">IF(B1371&lt;5,Einstellungen!$B$3,Einstellungen!$B$4)</f>
        <v>29.13</v>
      </c>
      <c r="E1371" s="14" t="str">
        <f aca="false">IF(C1371="","",C1371*D1371/100)</f>
        <v/>
      </c>
      <c r="F1371" s="15" t="str">
        <f aca="false">IF(B1371&lt;5,"Go","Standard")</f>
        <v>Standard</v>
      </c>
    </row>
    <row r="1372" customFormat="false" ht="15" hidden="false" customHeight="true" outlineLevel="0" collapsed="false">
      <c r="A1372" s="10" t="n">
        <f aca="false">Einstellungen!$B$5+INT((ROW()-9)/24)</f>
        <v>46022</v>
      </c>
      <c r="B1372" s="11" t="n">
        <f aca="false">MOD(ROW()-9,24)</f>
        <v>19</v>
      </c>
      <c r="C1372" s="12"/>
      <c r="D1372" s="13" t="n">
        <f aca="false">IF(B1372&lt;5,Einstellungen!$B$3,Einstellungen!$B$4)</f>
        <v>29.13</v>
      </c>
      <c r="E1372" s="14" t="str">
        <f aca="false">IF(C1372="","",C1372*D1372/100)</f>
        <v/>
      </c>
      <c r="F1372" s="15" t="str">
        <f aca="false">IF(B1372&lt;5,"Go","Standard")</f>
        <v>Standard</v>
      </c>
    </row>
    <row r="1373" customFormat="false" ht="15" hidden="false" customHeight="true" outlineLevel="0" collapsed="false">
      <c r="A1373" s="10" t="n">
        <f aca="false">Einstellungen!$B$5+INT((ROW()-9)/24)</f>
        <v>46022</v>
      </c>
      <c r="B1373" s="11" t="n">
        <f aca="false">MOD(ROW()-9,24)</f>
        <v>20</v>
      </c>
      <c r="C1373" s="12"/>
      <c r="D1373" s="13" t="n">
        <f aca="false">IF(B1373&lt;5,Einstellungen!$B$3,Einstellungen!$B$4)</f>
        <v>29.13</v>
      </c>
      <c r="E1373" s="14" t="str">
        <f aca="false">IF(C1373="","",C1373*D1373/100)</f>
        <v/>
      </c>
      <c r="F1373" s="15" t="str">
        <f aca="false">IF(B1373&lt;5,"Go","Standard")</f>
        <v>Standard</v>
      </c>
    </row>
    <row r="1374" customFormat="false" ht="15" hidden="false" customHeight="true" outlineLevel="0" collapsed="false">
      <c r="A1374" s="10" t="n">
        <f aca="false">Einstellungen!$B$5+INT((ROW()-9)/24)</f>
        <v>46022</v>
      </c>
      <c r="B1374" s="11" t="n">
        <f aca="false">MOD(ROW()-9,24)</f>
        <v>21</v>
      </c>
      <c r="C1374" s="12"/>
      <c r="D1374" s="13" t="n">
        <f aca="false">IF(B1374&lt;5,Einstellungen!$B$3,Einstellungen!$B$4)</f>
        <v>29.13</v>
      </c>
      <c r="E1374" s="14" t="str">
        <f aca="false">IF(C1374="","",C1374*D1374/100)</f>
        <v/>
      </c>
      <c r="F1374" s="15" t="str">
        <f aca="false">IF(B1374&lt;5,"Go","Standard")</f>
        <v>Standard</v>
      </c>
    </row>
    <row r="1375" customFormat="false" ht="15" hidden="false" customHeight="true" outlineLevel="0" collapsed="false">
      <c r="A1375" s="10" t="n">
        <f aca="false">Einstellungen!$B$5+INT((ROW()-9)/24)</f>
        <v>46022</v>
      </c>
      <c r="B1375" s="11" t="n">
        <f aca="false">MOD(ROW()-9,24)</f>
        <v>22</v>
      </c>
      <c r="C1375" s="12"/>
      <c r="D1375" s="13" t="n">
        <f aca="false">IF(B1375&lt;5,Einstellungen!$B$3,Einstellungen!$B$4)</f>
        <v>29.13</v>
      </c>
      <c r="E1375" s="14" t="str">
        <f aca="false">IF(C1375="","",C1375*D1375/100)</f>
        <v/>
      </c>
      <c r="F1375" s="15" t="str">
        <f aca="false">IF(B1375&lt;5,"Go","Standard")</f>
        <v>Standard</v>
      </c>
    </row>
    <row r="1376" customFormat="false" ht="15" hidden="false" customHeight="true" outlineLevel="0" collapsed="false">
      <c r="A1376" s="10" t="n">
        <f aca="false">Einstellungen!$B$5+INT((ROW()-9)/24)</f>
        <v>46022</v>
      </c>
      <c r="B1376" s="11" t="n">
        <f aca="false">MOD(ROW()-9,24)</f>
        <v>23</v>
      </c>
      <c r="C1376" s="12"/>
      <c r="D1376" s="13" t="n">
        <f aca="false">IF(B1376&lt;5,Einstellungen!$B$3,Einstellungen!$B$4)</f>
        <v>29.13</v>
      </c>
      <c r="E1376" s="14" t="str">
        <f aca="false">IF(C1376="","",C1376*D1376/100)</f>
        <v/>
      </c>
      <c r="F1376" s="15" t="str">
        <f aca="false">IF(B1376&lt;5,"Go","Standard")</f>
        <v>Standard</v>
      </c>
    </row>
    <row r="1377" customFormat="false" ht="15" hidden="false" customHeight="true" outlineLevel="0" collapsed="false">
      <c r="A1377" s="10" t="n">
        <f aca="false">Einstellungen!$B$5+INT((ROW()-9)/24)</f>
        <v>46023</v>
      </c>
      <c r="B1377" s="11" t="n">
        <f aca="false">MOD(ROW()-9,24)</f>
        <v>0</v>
      </c>
      <c r="C1377" s="12"/>
      <c r="D1377" s="13" t="n">
        <f aca="false">IF(B1377&lt;5,Einstellungen!$B$3,Einstellungen!$B$4)</f>
        <v>15.92</v>
      </c>
      <c r="E1377" s="14" t="str">
        <f aca="false">IF(C1377="","",C1377*D1377/100)</f>
        <v/>
      </c>
      <c r="F1377" s="15" t="str">
        <f aca="false">IF(B1377&lt;5,"Go","Standard")</f>
        <v>Go</v>
      </c>
    </row>
    <row r="1378" customFormat="false" ht="15" hidden="false" customHeight="true" outlineLevel="0" collapsed="false">
      <c r="A1378" s="10" t="n">
        <f aca="false">Einstellungen!$B$5+INT((ROW()-9)/24)</f>
        <v>46023</v>
      </c>
      <c r="B1378" s="11" t="n">
        <f aca="false">MOD(ROW()-9,24)</f>
        <v>1</v>
      </c>
      <c r="C1378" s="12"/>
      <c r="D1378" s="13" t="n">
        <f aca="false">IF(B1378&lt;5,Einstellungen!$B$3,Einstellungen!$B$4)</f>
        <v>15.92</v>
      </c>
      <c r="E1378" s="14" t="str">
        <f aca="false">IF(C1378="","",C1378*D1378/100)</f>
        <v/>
      </c>
      <c r="F1378" s="15" t="str">
        <f aca="false">IF(B1378&lt;5,"Go","Standard")</f>
        <v>Go</v>
      </c>
    </row>
    <row r="1379" customFormat="false" ht="15" hidden="false" customHeight="true" outlineLevel="0" collapsed="false">
      <c r="A1379" s="10" t="n">
        <f aca="false">Einstellungen!$B$5+INT((ROW()-9)/24)</f>
        <v>46023</v>
      </c>
      <c r="B1379" s="11" t="n">
        <f aca="false">MOD(ROW()-9,24)</f>
        <v>2</v>
      </c>
      <c r="C1379" s="12"/>
      <c r="D1379" s="13" t="n">
        <f aca="false">IF(B1379&lt;5,Einstellungen!$B$3,Einstellungen!$B$4)</f>
        <v>15.92</v>
      </c>
      <c r="E1379" s="14" t="str">
        <f aca="false">IF(C1379="","",C1379*D1379/100)</f>
        <v/>
      </c>
      <c r="F1379" s="15" t="str">
        <f aca="false">IF(B1379&lt;5,"Go","Standard")</f>
        <v>Go</v>
      </c>
    </row>
    <row r="1380" customFormat="false" ht="15" hidden="false" customHeight="true" outlineLevel="0" collapsed="false">
      <c r="A1380" s="10" t="n">
        <f aca="false">Einstellungen!$B$5+INT((ROW()-9)/24)</f>
        <v>46023</v>
      </c>
      <c r="B1380" s="11" t="n">
        <f aca="false">MOD(ROW()-9,24)</f>
        <v>3</v>
      </c>
      <c r="C1380" s="12"/>
      <c r="D1380" s="13" t="n">
        <f aca="false">IF(B1380&lt;5,Einstellungen!$B$3,Einstellungen!$B$4)</f>
        <v>15.92</v>
      </c>
      <c r="E1380" s="14" t="str">
        <f aca="false">IF(C1380="","",C1380*D1380/100)</f>
        <v/>
      </c>
      <c r="F1380" s="15" t="str">
        <f aca="false">IF(B1380&lt;5,"Go","Standard")</f>
        <v>Go</v>
      </c>
    </row>
    <row r="1381" customFormat="false" ht="15" hidden="false" customHeight="true" outlineLevel="0" collapsed="false">
      <c r="A1381" s="10" t="n">
        <f aca="false">Einstellungen!$B$5+INT((ROW()-9)/24)</f>
        <v>46023</v>
      </c>
      <c r="B1381" s="11" t="n">
        <f aca="false">MOD(ROW()-9,24)</f>
        <v>4</v>
      </c>
      <c r="C1381" s="12"/>
      <c r="D1381" s="13" t="n">
        <f aca="false">IF(B1381&lt;5,Einstellungen!$B$3,Einstellungen!$B$4)</f>
        <v>15.92</v>
      </c>
      <c r="E1381" s="14" t="str">
        <f aca="false">IF(C1381="","",C1381*D1381/100)</f>
        <v/>
      </c>
      <c r="F1381" s="15" t="str">
        <f aca="false">IF(B1381&lt;5,"Go","Standard")</f>
        <v>Go</v>
      </c>
    </row>
    <row r="1382" customFormat="false" ht="15" hidden="false" customHeight="true" outlineLevel="0" collapsed="false">
      <c r="A1382" s="10" t="n">
        <f aca="false">Einstellungen!$B$5+INT((ROW()-9)/24)</f>
        <v>46023</v>
      </c>
      <c r="B1382" s="11" t="n">
        <f aca="false">MOD(ROW()-9,24)</f>
        <v>5</v>
      </c>
      <c r="C1382" s="12"/>
      <c r="D1382" s="13" t="n">
        <f aca="false">IF(B1382&lt;5,Einstellungen!$B$3,Einstellungen!$B$4)</f>
        <v>29.13</v>
      </c>
      <c r="E1382" s="14" t="str">
        <f aca="false">IF(C1382="","",C1382*D1382/100)</f>
        <v/>
      </c>
      <c r="F1382" s="15" t="str">
        <f aca="false">IF(B1382&lt;5,"Go","Standard")</f>
        <v>Standard</v>
      </c>
    </row>
    <row r="1383" customFormat="false" ht="15" hidden="false" customHeight="true" outlineLevel="0" collapsed="false">
      <c r="A1383" s="10" t="n">
        <f aca="false">Einstellungen!$B$5+INT((ROW()-9)/24)</f>
        <v>46023</v>
      </c>
      <c r="B1383" s="11" t="n">
        <f aca="false">MOD(ROW()-9,24)</f>
        <v>6</v>
      </c>
      <c r="C1383" s="12"/>
      <c r="D1383" s="13" t="n">
        <f aca="false">IF(B1383&lt;5,Einstellungen!$B$3,Einstellungen!$B$4)</f>
        <v>29.13</v>
      </c>
      <c r="E1383" s="14" t="str">
        <f aca="false">IF(C1383="","",C1383*D1383/100)</f>
        <v/>
      </c>
      <c r="F1383" s="15" t="str">
        <f aca="false">IF(B1383&lt;5,"Go","Standard")</f>
        <v>Standard</v>
      </c>
    </row>
    <row r="1384" customFormat="false" ht="15" hidden="false" customHeight="true" outlineLevel="0" collapsed="false">
      <c r="A1384" s="10" t="n">
        <f aca="false">Einstellungen!$B$5+INT((ROW()-9)/24)</f>
        <v>46023</v>
      </c>
      <c r="B1384" s="11" t="n">
        <f aca="false">MOD(ROW()-9,24)</f>
        <v>7</v>
      </c>
      <c r="C1384" s="12"/>
      <c r="D1384" s="13" t="n">
        <f aca="false">IF(B1384&lt;5,Einstellungen!$B$3,Einstellungen!$B$4)</f>
        <v>29.13</v>
      </c>
      <c r="E1384" s="14" t="str">
        <f aca="false">IF(C1384="","",C1384*D1384/100)</f>
        <v/>
      </c>
      <c r="F1384" s="15" t="str">
        <f aca="false">IF(B1384&lt;5,"Go","Standard")</f>
        <v>Standard</v>
      </c>
    </row>
    <row r="1385" customFormat="false" ht="15" hidden="false" customHeight="true" outlineLevel="0" collapsed="false">
      <c r="A1385" s="10" t="n">
        <f aca="false">Einstellungen!$B$5+INT((ROW()-9)/24)</f>
        <v>46023</v>
      </c>
      <c r="B1385" s="11" t="n">
        <f aca="false">MOD(ROW()-9,24)</f>
        <v>8</v>
      </c>
      <c r="C1385" s="12"/>
      <c r="D1385" s="13" t="n">
        <f aca="false">IF(B1385&lt;5,Einstellungen!$B$3,Einstellungen!$B$4)</f>
        <v>29.13</v>
      </c>
      <c r="E1385" s="14" t="str">
        <f aca="false">IF(C1385="","",C1385*D1385/100)</f>
        <v/>
      </c>
      <c r="F1385" s="15" t="str">
        <f aca="false">IF(B1385&lt;5,"Go","Standard")</f>
        <v>Standard</v>
      </c>
    </row>
    <row r="1386" customFormat="false" ht="15" hidden="false" customHeight="true" outlineLevel="0" collapsed="false">
      <c r="A1386" s="10" t="n">
        <f aca="false">Einstellungen!$B$5+INT((ROW()-9)/24)</f>
        <v>46023</v>
      </c>
      <c r="B1386" s="11" t="n">
        <f aca="false">MOD(ROW()-9,24)</f>
        <v>9</v>
      </c>
      <c r="C1386" s="12"/>
      <c r="D1386" s="13" t="n">
        <f aca="false">IF(B1386&lt;5,Einstellungen!$B$3,Einstellungen!$B$4)</f>
        <v>29.13</v>
      </c>
      <c r="E1386" s="14" t="str">
        <f aca="false">IF(C1386="","",C1386*D1386/100)</f>
        <v/>
      </c>
      <c r="F1386" s="15" t="str">
        <f aca="false">IF(B1386&lt;5,"Go","Standard")</f>
        <v>Standard</v>
      </c>
    </row>
    <row r="1387" customFormat="false" ht="15" hidden="false" customHeight="true" outlineLevel="0" collapsed="false">
      <c r="A1387" s="10" t="n">
        <f aca="false">Einstellungen!$B$5+INT((ROW()-9)/24)</f>
        <v>46023</v>
      </c>
      <c r="B1387" s="11" t="n">
        <f aca="false">MOD(ROW()-9,24)</f>
        <v>10</v>
      </c>
      <c r="C1387" s="12"/>
      <c r="D1387" s="13" t="n">
        <f aca="false">IF(B1387&lt;5,Einstellungen!$B$3,Einstellungen!$B$4)</f>
        <v>29.13</v>
      </c>
      <c r="E1387" s="14" t="str">
        <f aca="false">IF(C1387="","",C1387*D1387/100)</f>
        <v/>
      </c>
      <c r="F1387" s="15" t="str">
        <f aca="false">IF(B1387&lt;5,"Go","Standard")</f>
        <v>Standard</v>
      </c>
    </row>
    <row r="1388" customFormat="false" ht="15" hidden="false" customHeight="true" outlineLevel="0" collapsed="false">
      <c r="A1388" s="10" t="n">
        <f aca="false">Einstellungen!$B$5+INT((ROW()-9)/24)</f>
        <v>46023</v>
      </c>
      <c r="B1388" s="11" t="n">
        <f aca="false">MOD(ROW()-9,24)</f>
        <v>11</v>
      </c>
      <c r="C1388" s="12"/>
      <c r="D1388" s="13" t="n">
        <f aca="false">IF(B1388&lt;5,Einstellungen!$B$3,Einstellungen!$B$4)</f>
        <v>29.13</v>
      </c>
      <c r="E1388" s="14" t="str">
        <f aca="false">IF(C1388="","",C1388*D1388/100)</f>
        <v/>
      </c>
      <c r="F1388" s="15" t="str">
        <f aca="false">IF(B1388&lt;5,"Go","Standard")</f>
        <v>Standard</v>
      </c>
    </row>
    <row r="1389" customFormat="false" ht="15" hidden="false" customHeight="true" outlineLevel="0" collapsed="false">
      <c r="A1389" s="10" t="n">
        <f aca="false">Einstellungen!$B$5+INT((ROW()-9)/24)</f>
        <v>46023</v>
      </c>
      <c r="B1389" s="11" t="n">
        <f aca="false">MOD(ROW()-9,24)</f>
        <v>12</v>
      </c>
      <c r="C1389" s="12"/>
      <c r="D1389" s="13" t="n">
        <f aca="false">IF(B1389&lt;5,Einstellungen!$B$3,Einstellungen!$B$4)</f>
        <v>29.13</v>
      </c>
      <c r="E1389" s="14" t="str">
        <f aca="false">IF(C1389="","",C1389*D1389/100)</f>
        <v/>
      </c>
      <c r="F1389" s="15" t="str">
        <f aca="false">IF(B1389&lt;5,"Go","Standard")</f>
        <v>Standard</v>
      </c>
    </row>
    <row r="1390" customFormat="false" ht="15" hidden="false" customHeight="true" outlineLevel="0" collapsed="false">
      <c r="A1390" s="10" t="n">
        <f aca="false">Einstellungen!$B$5+INT((ROW()-9)/24)</f>
        <v>46023</v>
      </c>
      <c r="B1390" s="11" t="n">
        <f aca="false">MOD(ROW()-9,24)</f>
        <v>13</v>
      </c>
      <c r="C1390" s="12"/>
      <c r="D1390" s="13" t="n">
        <f aca="false">IF(B1390&lt;5,Einstellungen!$B$3,Einstellungen!$B$4)</f>
        <v>29.13</v>
      </c>
      <c r="E1390" s="14" t="str">
        <f aca="false">IF(C1390="","",C1390*D1390/100)</f>
        <v/>
      </c>
      <c r="F1390" s="15" t="str">
        <f aca="false">IF(B1390&lt;5,"Go","Standard")</f>
        <v>Standard</v>
      </c>
    </row>
    <row r="1391" customFormat="false" ht="15" hidden="false" customHeight="true" outlineLevel="0" collapsed="false">
      <c r="A1391" s="10" t="n">
        <f aca="false">Einstellungen!$B$5+INT((ROW()-9)/24)</f>
        <v>46023</v>
      </c>
      <c r="B1391" s="11" t="n">
        <f aca="false">MOD(ROW()-9,24)</f>
        <v>14</v>
      </c>
      <c r="C1391" s="12"/>
      <c r="D1391" s="13" t="n">
        <f aca="false">IF(B1391&lt;5,Einstellungen!$B$3,Einstellungen!$B$4)</f>
        <v>29.13</v>
      </c>
      <c r="E1391" s="14" t="str">
        <f aca="false">IF(C1391="","",C1391*D1391/100)</f>
        <v/>
      </c>
      <c r="F1391" s="15" t="str">
        <f aca="false">IF(B1391&lt;5,"Go","Standard")</f>
        <v>Standard</v>
      </c>
    </row>
    <row r="1392" customFormat="false" ht="15" hidden="false" customHeight="true" outlineLevel="0" collapsed="false">
      <c r="A1392" s="10" t="n">
        <f aca="false">Einstellungen!$B$5+INT((ROW()-9)/24)</f>
        <v>46023</v>
      </c>
      <c r="B1392" s="11" t="n">
        <f aca="false">MOD(ROW()-9,24)</f>
        <v>15</v>
      </c>
      <c r="C1392" s="12"/>
      <c r="D1392" s="13" t="n">
        <f aca="false">IF(B1392&lt;5,Einstellungen!$B$3,Einstellungen!$B$4)</f>
        <v>29.13</v>
      </c>
      <c r="E1392" s="14" t="str">
        <f aca="false">IF(C1392="","",C1392*D1392/100)</f>
        <v/>
      </c>
      <c r="F1392" s="15" t="str">
        <f aca="false">IF(B1392&lt;5,"Go","Standard")</f>
        <v>Standard</v>
      </c>
    </row>
    <row r="1393" customFormat="false" ht="15" hidden="false" customHeight="true" outlineLevel="0" collapsed="false">
      <c r="A1393" s="10" t="n">
        <f aca="false">Einstellungen!$B$5+INT((ROW()-9)/24)</f>
        <v>46023</v>
      </c>
      <c r="B1393" s="11" t="n">
        <f aca="false">MOD(ROW()-9,24)</f>
        <v>16</v>
      </c>
      <c r="C1393" s="12"/>
      <c r="D1393" s="13" t="n">
        <f aca="false">IF(B1393&lt;5,Einstellungen!$B$3,Einstellungen!$B$4)</f>
        <v>29.13</v>
      </c>
      <c r="E1393" s="14" t="str">
        <f aca="false">IF(C1393="","",C1393*D1393/100)</f>
        <v/>
      </c>
      <c r="F1393" s="15" t="str">
        <f aca="false">IF(B1393&lt;5,"Go","Standard")</f>
        <v>Standard</v>
      </c>
    </row>
    <row r="1394" customFormat="false" ht="15" hidden="false" customHeight="true" outlineLevel="0" collapsed="false">
      <c r="A1394" s="10" t="n">
        <f aca="false">Einstellungen!$B$5+INT((ROW()-9)/24)</f>
        <v>46023</v>
      </c>
      <c r="B1394" s="11" t="n">
        <f aca="false">MOD(ROW()-9,24)</f>
        <v>17</v>
      </c>
      <c r="C1394" s="12"/>
      <c r="D1394" s="13" t="n">
        <f aca="false">IF(B1394&lt;5,Einstellungen!$B$3,Einstellungen!$B$4)</f>
        <v>29.13</v>
      </c>
      <c r="E1394" s="14" t="str">
        <f aca="false">IF(C1394="","",C1394*D1394/100)</f>
        <v/>
      </c>
      <c r="F1394" s="15" t="str">
        <f aca="false">IF(B1394&lt;5,"Go","Standard")</f>
        <v>Standard</v>
      </c>
    </row>
    <row r="1395" customFormat="false" ht="15" hidden="false" customHeight="true" outlineLevel="0" collapsed="false">
      <c r="A1395" s="10" t="n">
        <f aca="false">Einstellungen!$B$5+INT((ROW()-9)/24)</f>
        <v>46023</v>
      </c>
      <c r="B1395" s="11" t="n">
        <f aca="false">MOD(ROW()-9,24)</f>
        <v>18</v>
      </c>
      <c r="C1395" s="12"/>
      <c r="D1395" s="13" t="n">
        <f aca="false">IF(B1395&lt;5,Einstellungen!$B$3,Einstellungen!$B$4)</f>
        <v>29.13</v>
      </c>
      <c r="E1395" s="14" t="str">
        <f aca="false">IF(C1395="","",C1395*D1395/100)</f>
        <v/>
      </c>
      <c r="F1395" s="15" t="str">
        <f aca="false">IF(B1395&lt;5,"Go","Standard")</f>
        <v>Standard</v>
      </c>
    </row>
    <row r="1396" customFormat="false" ht="15" hidden="false" customHeight="true" outlineLevel="0" collapsed="false">
      <c r="A1396" s="10" t="n">
        <f aca="false">Einstellungen!$B$5+INT((ROW()-9)/24)</f>
        <v>46023</v>
      </c>
      <c r="B1396" s="11" t="n">
        <f aca="false">MOD(ROW()-9,24)</f>
        <v>19</v>
      </c>
      <c r="C1396" s="12"/>
      <c r="D1396" s="13" t="n">
        <f aca="false">IF(B1396&lt;5,Einstellungen!$B$3,Einstellungen!$B$4)</f>
        <v>29.13</v>
      </c>
      <c r="E1396" s="14" t="str">
        <f aca="false">IF(C1396="","",C1396*D1396/100)</f>
        <v/>
      </c>
      <c r="F1396" s="15" t="str">
        <f aca="false">IF(B1396&lt;5,"Go","Standard")</f>
        <v>Standard</v>
      </c>
    </row>
    <row r="1397" customFormat="false" ht="15" hidden="false" customHeight="true" outlineLevel="0" collapsed="false">
      <c r="A1397" s="10" t="n">
        <f aca="false">Einstellungen!$B$5+INT((ROW()-9)/24)</f>
        <v>46023</v>
      </c>
      <c r="B1397" s="11" t="n">
        <f aca="false">MOD(ROW()-9,24)</f>
        <v>20</v>
      </c>
      <c r="C1397" s="12"/>
      <c r="D1397" s="13" t="n">
        <f aca="false">IF(B1397&lt;5,Einstellungen!$B$3,Einstellungen!$B$4)</f>
        <v>29.13</v>
      </c>
      <c r="E1397" s="14" t="str">
        <f aca="false">IF(C1397="","",C1397*D1397/100)</f>
        <v/>
      </c>
      <c r="F1397" s="15" t="str">
        <f aca="false">IF(B1397&lt;5,"Go","Standard")</f>
        <v>Standard</v>
      </c>
    </row>
    <row r="1398" customFormat="false" ht="15" hidden="false" customHeight="true" outlineLevel="0" collapsed="false">
      <c r="A1398" s="10" t="n">
        <f aca="false">Einstellungen!$B$5+INT((ROW()-9)/24)</f>
        <v>46023</v>
      </c>
      <c r="B1398" s="11" t="n">
        <f aca="false">MOD(ROW()-9,24)</f>
        <v>21</v>
      </c>
      <c r="C1398" s="12"/>
      <c r="D1398" s="13" t="n">
        <f aca="false">IF(B1398&lt;5,Einstellungen!$B$3,Einstellungen!$B$4)</f>
        <v>29.13</v>
      </c>
      <c r="E1398" s="14" t="str">
        <f aca="false">IF(C1398="","",C1398*D1398/100)</f>
        <v/>
      </c>
      <c r="F1398" s="15" t="str">
        <f aca="false">IF(B1398&lt;5,"Go","Standard")</f>
        <v>Standard</v>
      </c>
    </row>
    <row r="1399" customFormat="false" ht="15" hidden="false" customHeight="true" outlineLevel="0" collapsed="false">
      <c r="A1399" s="10" t="n">
        <f aca="false">Einstellungen!$B$5+INT((ROW()-9)/24)</f>
        <v>46023</v>
      </c>
      <c r="B1399" s="11" t="n">
        <f aca="false">MOD(ROW()-9,24)</f>
        <v>22</v>
      </c>
      <c r="C1399" s="12"/>
      <c r="D1399" s="13" t="n">
        <f aca="false">IF(B1399&lt;5,Einstellungen!$B$3,Einstellungen!$B$4)</f>
        <v>29.13</v>
      </c>
      <c r="E1399" s="14" t="str">
        <f aca="false">IF(C1399="","",C1399*D1399/100)</f>
        <v/>
      </c>
      <c r="F1399" s="15" t="str">
        <f aca="false">IF(B1399&lt;5,"Go","Standard")</f>
        <v>Standard</v>
      </c>
    </row>
    <row r="1400" customFormat="false" ht="15" hidden="false" customHeight="true" outlineLevel="0" collapsed="false">
      <c r="A1400" s="10" t="n">
        <f aca="false">Einstellungen!$B$5+INT((ROW()-9)/24)</f>
        <v>46023</v>
      </c>
      <c r="B1400" s="11" t="n">
        <f aca="false">MOD(ROW()-9,24)</f>
        <v>23</v>
      </c>
      <c r="C1400" s="12"/>
      <c r="D1400" s="13" t="n">
        <f aca="false">IF(B1400&lt;5,Einstellungen!$B$3,Einstellungen!$B$4)</f>
        <v>29.13</v>
      </c>
      <c r="E1400" s="14" t="str">
        <f aca="false">IF(C1400="","",C1400*D1400/100)</f>
        <v/>
      </c>
      <c r="F1400" s="15" t="str">
        <f aca="false">IF(B1400&lt;5,"Go","Standard")</f>
        <v>Standard</v>
      </c>
    </row>
    <row r="1401" customFormat="false" ht="15" hidden="false" customHeight="true" outlineLevel="0" collapsed="false">
      <c r="A1401" s="10" t="n">
        <f aca="false">Einstellungen!$B$5+INT((ROW()-9)/24)</f>
        <v>46024</v>
      </c>
      <c r="B1401" s="11" t="n">
        <f aca="false">MOD(ROW()-9,24)</f>
        <v>0</v>
      </c>
      <c r="C1401" s="12"/>
      <c r="D1401" s="13" t="n">
        <f aca="false">IF(B1401&lt;5,Einstellungen!$B$3,Einstellungen!$B$4)</f>
        <v>15.92</v>
      </c>
      <c r="E1401" s="14" t="str">
        <f aca="false">IF(C1401="","",C1401*D1401/100)</f>
        <v/>
      </c>
      <c r="F1401" s="15" t="str">
        <f aca="false">IF(B1401&lt;5,"Go","Standard")</f>
        <v>Go</v>
      </c>
    </row>
    <row r="1402" customFormat="false" ht="15" hidden="false" customHeight="true" outlineLevel="0" collapsed="false">
      <c r="A1402" s="10" t="n">
        <f aca="false">Einstellungen!$B$5+INT((ROW()-9)/24)</f>
        <v>46024</v>
      </c>
      <c r="B1402" s="11" t="n">
        <f aca="false">MOD(ROW()-9,24)</f>
        <v>1</v>
      </c>
      <c r="C1402" s="12"/>
      <c r="D1402" s="13" t="n">
        <f aca="false">IF(B1402&lt;5,Einstellungen!$B$3,Einstellungen!$B$4)</f>
        <v>15.92</v>
      </c>
      <c r="E1402" s="14" t="str">
        <f aca="false">IF(C1402="","",C1402*D1402/100)</f>
        <v/>
      </c>
      <c r="F1402" s="15" t="str">
        <f aca="false">IF(B1402&lt;5,"Go","Standard")</f>
        <v>Go</v>
      </c>
    </row>
    <row r="1403" customFormat="false" ht="15" hidden="false" customHeight="true" outlineLevel="0" collapsed="false">
      <c r="A1403" s="10" t="n">
        <f aca="false">Einstellungen!$B$5+INT((ROW()-9)/24)</f>
        <v>46024</v>
      </c>
      <c r="B1403" s="11" t="n">
        <f aca="false">MOD(ROW()-9,24)</f>
        <v>2</v>
      </c>
      <c r="C1403" s="12"/>
      <c r="D1403" s="13" t="n">
        <f aca="false">IF(B1403&lt;5,Einstellungen!$B$3,Einstellungen!$B$4)</f>
        <v>15.92</v>
      </c>
      <c r="E1403" s="14" t="str">
        <f aca="false">IF(C1403="","",C1403*D1403/100)</f>
        <v/>
      </c>
      <c r="F1403" s="15" t="str">
        <f aca="false">IF(B1403&lt;5,"Go","Standard")</f>
        <v>Go</v>
      </c>
    </row>
    <row r="1404" customFormat="false" ht="15" hidden="false" customHeight="true" outlineLevel="0" collapsed="false">
      <c r="A1404" s="10" t="n">
        <f aca="false">Einstellungen!$B$5+INT((ROW()-9)/24)</f>
        <v>46024</v>
      </c>
      <c r="B1404" s="11" t="n">
        <f aca="false">MOD(ROW()-9,24)</f>
        <v>3</v>
      </c>
      <c r="C1404" s="12"/>
      <c r="D1404" s="13" t="n">
        <f aca="false">IF(B1404&lt;5,Einstellungen!$B$3,Einstellungen!$B$4)</f>
        <v>15.92</v>
      </c>
      <c r="E1404" s="14" t="str">
        <f aca="false">IF(C1404="","",C1404*D1404/100)</f>
        <v/>
      </c>
      <c r="F1404" s="15" t="str">
        <f aca="false">IF(B1404&lt;5,"Go","Standard")</f>
        <v>Go</v>
      </c>
    </row>
    <row r="1405" customFormat="false" ht="15" hidden="false" customHeight="true" outlineLevel="0" collapsed="false">
      <c r="A1405" s="10" t="n">
        <f aca="false">Einstellungen!$B$5+INT((ROW()-9)/24)</f>
        <v>46024</v>
      </c>
      <c r="B1405" s="11" t="n">
        <f aca="false">MOD(ROW()-9,24)</f>
        <v>4</v>
      </c>
      <c r="C1405" s="12"/>
      <c r="D1405" s="13" t="n">
        <f aca="false">IF(B1405&lt;5,Einstellungen!$B$3,Einstellungen!$B$4)</f>
        <v>15.92</v>
      </c>
      <c r="E1405" s="14" t="str">
        <f aca="false">IF(C1405="","",C1405*D1405/100)</f>
        <v/>
      </c>
      <c r="F1405" s="15" t="str">
        <f aca="false">IF(B1405&lt;5,"Go","Standard")</f>
        <v>Go</v>
      </c>
    </row>
    <row r="1406" customFormat="false" ht="15" hidden="false" customHeight="true" outlineLevel="0" collapsed="false">
      <c r="A1406" s="10" t="n">
        <f aca="false">Einstellungen!$B$5+INT((ROW()-9)/24)</f>
        <v>46024</v>
      </c>
      <c r="B1406" s="11" t="n">
        <f aca="false">MOD(ROW()-9,24)</f>
        <v>5</v>
      </c>
      <c r="C1406" s="12"/>
      <c r="D1406" s="13" t="n">
        <f aca="false">IF(B1406&lt;5,Einstellungen!$B$3,Einstellungen!$B$4)</f>
        <v>29.13</v>
      </c>
      <c r="E1406" s="14" t="str">
        <f aca="false">IF(C1406="","",C1406*D1406/100)</f>
        <v/>
      </c>
      <c r="F1406" s="15" t="str">
        <f aca="false">IF(B1406&lt;5,"Go","Standard")</f>
        <v>Standard</v>
      </c>
    </row>
    <row r="1407" customFormat="false" ht="15" hidden="false" customHeight="true" outlineLevel="0" collapsed="false">
      <c r="A1407" s="10" t="n">
        <f aca="false">Einstellungen!$B$5+INT((ROW()-9)/24)</f>
        <v>46024</v>
      </c>
      <c r="B1407" s="11" t="n">
        <f aca="false">MOD(ROW()-9,24)</f>
        <v>6</v>
      </c>
      <c r="C1407" s="12"/>
      <c r="D1407" s="13" t="n">
        <f aca="false">IF(B1407&lt;5,Einstellungen!$B$3,Einstellungen!$B$4)</f>
        <v>29.13</v>
      </c>
      <c r="E1407" s="14" t="str">
        <f aca="false">IF(C1407="","",C1407*D1407/100)</f>
        <v/>
      </c>
      <c r="F1407" s="15" t="str">
        <f aca="false">IF(B1407&lt;5,"Go","Standard")</f>
        <v>Standard</v>
      </c>
    </row>
    <row r="1408" customFormat="false" ht="15" hidden="false" customHeight="true" outlineLevel="0" collapsed="false">
      <c r="A1408" s="10" t="n">
        <f aca="false">Einstellungen!$B$5+INT((ROW()-9)/24)</f>
        <v>46024</v>
      </c>
      <c r="B1408" s="11" t="n">
        <f aca="false">MOD(ROW()-9,24)</f>
        <v>7</v>
      </c>
      <c r="C1408" s="12"/>
      <c r="D1408" s="13" t="n">
        <f aca="false">IF(B1408&lt;5,Einstellungen!$B$3,Einstellungen!$B$4)</f>
        <v>29.13</v>
      </c>
      <c r="E1408" s="14" t="str">
        <f aca="false">IF(C1408="","",C1408*D1408/100)</f>
        <v/>
      </c>
      <c r="F1408" s="15" t="str">
        <f aca="false">IF(B1408&lt;5,"Go","Standard")</f>
        <v>Standard</v>
      </c>
    </row>
    <row r="1409" customFormat="false" ht="15" hidden="false" customHeight="true" outlineLevel="0" collapsed="false">
      <c r="A1409" s="10" t="n">
        <f aca="false">Einstellungen!$B$5+INT((ROW()-9)/24)</f>
        <v>46024</v>
      </c>
      <c r="B1409" s="11" t="n">
        <f aca="false">MOD(ROW()-9,24)</f>
        <v>8</v>
      </c>
      <c r="C1409" s="12"/>
      <c r="D1409" s="13" t="n">
        <f aca="false">IF(B1409&lt;5,Einstellungen!$B$3,Einstellungen!$B$4)</f>
        <v>29.13</v>
      </c>
      <c r="E1409" s="14" t="str">
        <f aca="false">IF(C1409="","",C1409*D1409/100)</f>
        <v/>
      </c>
      <c r="F1409" s="15" t="str">
        <f aca="false">IF(B1409&lt;5,"Go","Standard")</f>
        <v>Standard</v>
      </c>
    </row>
    <row r="1410" customFormat="false" ht="15" hidden="false" customHeight="true" outlineLevel="0" collapsed="false">
      <c r="A1410" s="10" t="n">
        <f aca="false">Einstellungen!$B$5+INT((ROW()-9)/24)</f>
        <v>46024</v>
      </c>
      <c r="B1410" s="11" t="n">
        <f aca="false">MOD(ROW()-9,24)</f>
        <v>9</v>
      </c>
      <c r="C1410" s="12"/>
      <c r="D1410" s="13" t="n">
        <f aca="false">IF(B1410&lt;5,Einstellungen!$B$3,Einstellungen!$B$4)</f>
        <v>29.13</v>
      </c>
      <c r="E1410" s="14" t="str">
        <f aca="false">IF(C1410="","",C1410*D1410/100)</f>
        <v/>
      </c>
      <c r="F1410" s="15" t="str">
        <f aca="false">IF(B1410&lt;5,"Go","Standard")</f>
        <v>Standard</v>
      </c>
    </row>
    <row r="1411" customFormat="false" ht="15" hidden="false" customHeight="true" outlineLevel="0" collapsed="false">
      <c r="A1411" s="10" t="n">
        <f aca="false">Einstellungen!$B$5+INT((ROW()-9)/24)</f>
        <v>46024</v>
      </c>
      <c r="B1411" s="11" t="n">
        <f aca="false">MOD(ROW()-9,24)</f>
        <v>10</v>
      </c>
      <c r="C1411" s="12"/>
      <c r="D1411" s="13" t="n">
        <f aca="false">IF(B1411&lt;5,Einstellungen!$B$3,Einstellungen!$B$4)</f>
        <v>29.13</v>
      </c>
      <c r="E1411" s="14" t="str">
        <f aca="false">IF(C1411="","",C1411*D1411/100)</f>
        <v/>
      </c>
      <c r="F1411" s="15" t="str">
        <f aca="false">IF(B1411&lt;5,"Go","Standard")</f>
        <v>Standard</v>
      </c>
    </row>
    <row r="1412" customFormat="false" ht="15" hidden="false" customHeight="true" outlineLevel="0" collapsed="false">
      <c r="A1412" s="10" t="n">
        <f aca="false">Einstellungen!$B$5+INT((ROW()-9)/24)</f>
        <v>46024</v>
      </c>
      <c r="B1412" s="11" t="n">
        <f aca="false">MOD(ROW()-9,24)</f>
        <v>11</v>
      </c>
      <c r="C1412" s="12"/>
      <c r="D1412" s="13" t="n">
        <f aca="false">IF(B1412&lt;5,Einstellungen!$B$3,Einstellungen!$B$4)</f>
        <v>29.13</v>
      </c>
      <c r="E1412" s="14" t="str">
        <f aca="false">IF(C1412="","",C1412*D1412/100)</f>
        <v/>
      </c>
      <c r="F1412" s="15" t="str">
        <f aca="false">IF(B1412&lt;5,"Go","Standard")</f>
        <v>Standard</v>
      </c>
    </row>
    <row r="1413" customFormat="false" ht="15" hidden="false" customHeight="true" outlineLevel="0" collapsed="false">
      <c r="A1413" s="10" t="n">
        <f aca="false">Einstellungen!$B$5+INT((ROW()-9)/24)</f>
        <v>46024</v>
      </c>
      <c r="B1413" s="11" t="n">
        <f aca="false">MOD(ROW()-9,24)</f>
        <v>12</v>
      </c>
      <c r="C1413" s="12"/>
      <c r="D1413" s="13" t="n">
        <f aca="false">IF(B1413&lt;5,Einstellungen!$B$3,Einstellungen!$B$4)</f>
        <v>29.13</v>
      </c>
      <c r="E1413" s="14" t="str">
        <f aca="false">IF(C1413="","",C1413*D1413/100)</f>
        <v/>
      </c>
      <c r="F1413" s="15" t="str">
        <f aca="false">IF(B1413&lt;5,"Go","Standard")</f>
        <v>Standard</v>
      </c>
    </row>
    <row r="1414" customFormat="false" ht="15" hidden="false" customHeight="true" outlineLevel="0" collapsed="false">
      <c r="A1414" s="10" t="n">
        <f aca="false">Einstellungen!$B$5+INT((ROW()-9)/24)</f>
        <v>46024</v>
      </c>
      <c r="B1414" s="11" t="n">
        <f aca="false">MOD(ROW()-9,24)</f>
        <v>13</v>
      </c>
      <c r="C1414" s="12"/>
      <c r="D1414" s="13" t="n">
        <f aca="false">IF(B1414&lt;5,Einstellungen!$B$3,Einstellungen!$B$4)</f>
        <v>29.13</v>
      </c>
      <c r="E1414" s="14" t="str">
        <f aca="false">IF(C1414="","",C1414*D1414/100)</f>
        <v/>
      </c>
      <c r="F1414" s="15" t="str">
        <f aca="false">IF(B1414&lt;5,"Go","Standard")</f>
        <v>Standard</v>
      </c>
    </row>
    <row r="1415" customFormat="false" ht="15" hidden="false" customHeight="true" outlineLevel="0" collapsed="false">
      <c r="A1415" s="10" t="n">
        <f aca="false">Einstellungen!$B$5+INT((ROW()-9)/24)</f>
        <v>46024</v>
      </c>
      <c r="B1415" s="11" t="n">
        <f aca="false">MOD(ROW()-9,24)</f>
        <v>14</v>
      </c>
      <c r="C1415" s="12"/>
      <c r="D1415" s="13" t="n">
        <f aca="false">IF(B1415&lt;5,Einstellungen!$B$3,Einstellungen!$B$4)</f>
        <v>29.13</v>
      </c>
      <c r="E1415" s="14" t="str">
        <f aca="false">IF(C1415="","",C1415*D1415/100)</f>
        <v/>
      </c>
      <c r="F1415" s="15" t="str">
        <f aca="false">IF(B1415&lt;5,"Go","Standard")</f>
        <v>Standard</v>
      </c>
    </row>
    <row r="1416" customFormat="false" ht="15" hidden="false" customHeight="true" outlineLevel="0" collapsed="false">
      <c r="A1416" s="10" t="n">
        <f aca="false">Einstellungen!$B$5+INT((ROW()-9)/24)</f>
        <v>46024</v>
      </c>
      <c r="B1416" s="11" t="n">
        <f aca="false">MOD(ROW()-9,24)</f>
        <v>15</v>
      </c>
      <c r="C1416" s="12"/>
      <c r="D1416" s="13" t="n">
        <f aca="false">IF(B1416&lt;5,Einstellungen!$B$3,Einstellungen!$B$4)</f>
        <v>29.13</v>
      </c>
      <c r="E1416" s="14" t="str">
        <f aca="false">IF(C1416="","",C1416*D1416/100)</f>
        <v/>
      </c>
      <c r="F1416" s="15" t="str">
        <f aca="false">IF(B1416&lt;5,"Go","Standard")</f>
        <v>Standard</v>
      </c>
    </row>
    <row r="1417" customFormat="false" ht="15" hidden="false" customHeight="true" outlineLevel="0" collapsed="false">
      <c r="A1417" s="10" t="n">
        <f aca="false">Einstellungen!$B$5+INT((ROW()-9)/24)</f>
        <v>46024</v>
      </c>
      <c r="B1417" s="11" t="n">
        <f aca="false">MOD(ROW()-9,24)</f>
        <v>16</v>
      </c>
      <c r="C1417" s="12"/>
      <c r="D1417" s="13" t="n">
        <f aca="false">IF(B1417&lt;5,Einstellungen!$B$3,Einstellungen!$B$4)</f>
        <v>29.13</v>
      </c>
      <c r="E1417" s="14" t="str">
        <f aca="false">IF(C1417="","",C1417*D1417/100)</f>
        <v/>
      </c>
      <c r="F1417" s="15" t="str">
        <f aca="false">IF(B1417&lt;5,"Go","Standard")</f>
        <v>Standard</v>
      </c>
    </row>
    <row r="1418" customFormat="false" ht="15" hidden="false" customHeight="true" outlineLevel="0" collapsed="false">
      <c r="A1418" s="10" t="n">
        <f aca="false">Einstellungen!$B$5+INT((ROW()-9)/24)</f>
        <v>46024</v>
      </c>
      <c r="B1418" s="11" t="n">
        <f aca="false">MOD(ROW()-9,24)</f>
        <v>17</v>
      </c>
      <c r="C1418" s="12"/>
      <c r="D1418" s="13" t="n">
        <f aca="false">IF(B1418&lt;5,Einstellungen!$B$3,Einstellungen!$B$4)</f>
        <v>29.13</v>
      </c>
      <c r="E1418" s="14" t="str">
        <f aca="false">IF(C1418="","",C1418*D1418/100)</f>
        <v/>
      </c>
      <c r="F1418" s="15" t="str">
        <f aca="false">IF(B1418&lt;5,"Go","Standard")</f>
        <v>Standard</v>
      </c>
    </row>
    <row r="1419" customFormat="false" ht="15" hidden="false" customHeight="true" outlineLevel="0" collapsed="false">
      <c r="A1419" s="10" t="n">
        <f aca="false">Einstellungen!$B$5+INT((ROW()-9)/24)</f>
        <v>46024</v>
      </c>
      <c r="B1419" s="11" t="n">
        <f aca="false">MOD(ROW()-9,24)</f>
        <v>18</v>
      </c>
      <c r="C1419" s="12"/>
      <c r="D1419" s="13" t="n">
        <f aca="false">IF(B1419&lt;5,Einstellungen!$B$3,Einstellungen!$B$4)</f>
        <v>29.13</v>
      </c>
      <c r="E1419" s="14" t="str">
        <f aca="false">IF(C1419="","",C1419*D1419/100)</f>
        <v/>
      </c>
      <c r="F1419" s="15" t="str">
        <f aca="false">IF(B1419&lt;5,"Go","Standard")</f>
        <v>Standard</v>
      </c>
    </row>
    <row r="1420" customFormat="false" ht="15" hidden="false" customHeight="true" outlineLevel="0" collapsed="false">
      <c r="A1420" s="10" t="n">
        <f aca="false">Einstellungen!$B$5+INT((ROW()-9)/24)</f>
        <v>46024</v>
      </c>
      <c r="B1420" s="11" t="n">
        <f aca="false">MOD(ROW()-9,24)</f>
        <v>19</v>
      </c>
      <c r="C1420" s="12"/>
      <c r="D1420" s="13" t="n">
        <f aca="false">IF(B1420&lt;5,Einstellungen!$B$3,Einstellungen!$B$4)</f>
        <v>29.13</v>
      </c>
      <c r="E1420" s="14" t="str">
        <f aca="false">IF(C1420="","",C1420*D1420/100)</f>
        <v/>
      </c>
      <c r="F1420" s="15" t="str">
        <f aca="false">IF(B1420&lt;5,"Go","Standard")</f>
        <v>Standard</v>
      </c>
    </row>
    <row r="1421" customFormat="false" ht="15" hidden="false" customHeight="true" outlineLevel="0" collapsed="false">
      <c r="A1421" s="10" t="n">
        <f aca="false">Einstellungen!$B$5+INT((ROW()-9)/24)</f>
        <v>46024</v>
      </c>
      <c r="B1421" s="11" t="n">
        <f aca="false">MOD(ROW()-9,24)</f>
        <v>20</v>
      </c>
      <c r="C1421" s="12"/>
      <c r="D1421" s="13" t="n">
        <f aca="false">IF(B1421&lt;5,Einstellungen!$B$3,Einstellungen!$B$4)</f>
        <v>29.13</v>
      </c>
      <c r="E1421" s="14" t="str">
        <f aca="false">IF(C1421="","",C1421*D1421/100)</f>
        <v/>
      </c>
      <c r="F1421" s="15" t="str">
        <f aca="false">IF(B1421&lt;5,"Go","Standard")</f>
        <v>Standard</v>
      </c>
    </row>
    <row r="1422" customFormat="false" ht="15" hidden="false" customHeight="true" outlineLevel="0" collapsed="false">
      <c r="A1422" s="10" t="n">
        <f aca="false">Einstellungen!$B$5+INT((ROW()-9)/24)</f>
        <v>46024</v>
      </c>
      <c r="B1422" s="11" t="n">
        <f aca="false">MOD(ROW()-9,24)</f>
        <v>21</v>
      </c>
      <c r="C1422" s="12"/>
      <c r="D1422" s="13" t="n">
        <f aca="false">IF(B1422&lt;5,Einstellungen!$B$3,Einstellungen!$B$4)</f>
        <v>29.13</v>
      </c>
      <c r="E1422" s="14" t="str">
        <f aca="false">IF(C1422="","",C1422*D1422/100)</f>
        <v/>
      </c>
      <c r="F1422" s="15" t="str">
        <f aca="false">IF(B1422&lt;5,"Go","Standard")</f>
        <v>Standard</v>
      </c>
    </row>
    <row r="1423" customFormat="false" ht="15" hidden="false" customHeight="true" outlineLevel="0" collapsed="false">
      <c r="A1423" s="10" t="n">
        <f aca="false">Einstellungen!$B$5+INT((ROW()-9)/24)</f>
        <v>46024</v>
      </c>
      <c r="B1423" s="11" t="n">
        <f aca="false">MOD(ROW()-9,24)</f>
        <v>22</v>
      </c>
      <c r="C1423" s="12"/>
      <c r="D1423" s="13" t="n">
        <f aca="false">IF(B1423&lt;5,Einstellungen!$B$3,Einstellungen!$B$4)</f>
        <v>29.13</v>
      </c>
      <c r="E1423" s="14" t="str">
        <f aca="false">IF(C1423="","",C1423*D1423/100)</f>
        <v/>
      </c>
      <c r="F1423" s="15" t="str">
        <f aca="false">IF(B1423&lt;5,"Go","Standard")</f>
        <v>Standard</v>
      </c>
    </row>
    <row r="1424" customFormat="false" ht="15" hidden="false" customHeight="true" outlineLevel="0" collapsed="false">
      <c r="A1424" s="10" t="n">
        <f aca="false">Einstellungen!$B$5+INT((ROW()-9)/24)</f>
        <v>46024</v>
      </c>
      <c r="B1424" s="11" t="n">
        <f aca="false">MOD(ROW()-9,24)</f>
        <v>23</v>
      </c>
      <c r="C1424" s="12"/>
      <c r="D1424" s="13" t="n">
        <f aca="false">IF(B1424&lt;5,Einstellungen!$B$3,Einstellungen!$B$4)</f>
        <v>29.13</v>
      </c>
      <c r="E1424" s="14" t="str">
        <f aca="false">IF(C1424="","",C1424*D1424/100)</f>
        <v/>
      </c>
      <c r="F1424" s="15" t="str">
        <f aca="false">IF(B1424&lt;5,"Go","Standard")</f>
        <v>Standard</v>
      </c>
    </row>
    <row r="1425" customFormat="false" ht="15" hidden="false" customHeight="true" outlineLevel="0" collapsed="false">
      <c r="A1425" s="10" t="n">
        <f aca="false">Einstellungen!$B$5+INT((ROW()-9)/24)</f>
        <v>46025</v>
      </c>
      <c r="B1425" s="11" t="n">
        <f aca="false">MOD(ROW()-9,24)</f>
        <v>0</v>
      </c>
      <c r="C1425" s="12"/>
      <c r="D1425" s="13" t="n">
        <f aca="false">IF(B1425&lt;5,Einstellungen!$B$3,Einstellungen!$B$4)</f>
        <v>15.92</v>
      </c>
      <c r="E1425" s="14" t="str">
        <f aca="false">IF(C1425="","",C1425*D1425/100)</f>
        <v/>
      </c>
      <c r="F1425" s="15" t="str">
        <f aca="false">IF(B1425&lt;5,"Go","Standard")</f>
        <v>Go</v>
      </c>
    </row>
    <row r="1426" customFormat="false" ht="15" hidden="false" customHeight="true" outlineLevel="0" collapsed="false">
      <c r="A1426" s="10" t="n">
        <f aca="false">Einstellungen!$B$5+INT((ROW()-9)/24)</f>
        <v>46025</v>
      </c>
      <c r="B1426" s="11" t="n">
        <f aca="false">MOD(ROW()-9,24)</f>
        <v>1</v>
      </c>
      <c r="C1426" s="12"/>
      <c r="D1426" s="13" t="n">
        <f aca="false">IF(B1426&lt;5,Einstellungen!$B$3,Einstellungen!$B$4)</f>
        <v>15.92</v>
      </c>
      <c r="E1426" s="14" t="str">
        <f aca="false">IF(C1426="","",C1426*D1426/100)</f>
        <v/>
      </c>
      <c r="F1426" s="15" t="str">
        <f aca="false">IF(B1426&lt;5,"Go","Standard")</f>
        <v>Go</v>
      </c>
    </row>
    <row r="1427" customFormat="false" ht="15" hidden="false" customHeight="true" outlineLevel="0" collapsed="false">
      <c r="A1427" s="10" t="n">
        <f aca="false">Einstellungen!$B$5+INT((ROW()-9)/24)</f>
        <v>46025</v>
      </c>
      <c r="B1427" s="11" t="n">
        <f aca="false">MOD(ROW()-9,24)</f>
        <v>2</v>
      </c>
      <c r="C1427" s="12"/>
      <c r="D1427" s="13" t="n">
        <f aca="false">IF(B1427&lt;5,Einstellungen!$B$3,Einstellungen!$B$4)</f>
        <v>15.92</v>
      </c>
      <c r="E1427" s="14" t="str">
        <f aca="false">IF(C1427="","",C1427*D1427/100)</f>
        <v/>
      </c>
      <c r="F1427" s="15" t="str">
        <f aca="false">IF(B1427&lt;5,"Go","Standard")</f>
        <v>Go</v>
      </c>
    </row>
    <row r="1428" customFormat="false" ht="15" hidden="false" customHeight="true" outlineLevel="0" collapsed="false">
      <c r="A1428" s="10" t="n">
        <f aca="false">Einstellungen!$B$5+INT((ROW()-9)/24)</f>
        <v>46025</v>
      </c>
      <c r="B1428" s="11" t="n">
        <f aca="false">MOD(ROW()-9,24)</f>
        <v>3</v>
      </c>
      <c r="C1428" s="12"/>
      <c r="D1428" s="13" t="n">
        <f aca="false">IF(B1428&lt;5,Einstellungen!$B$3,Einstellungen!$B$4)</f>
        <v>15.92</v>
      </c>
      <c r="E1428" s="14" t="str">
        <f aca="false">IF(C1428="","",C1428*D1428/100)</f>
        <v/>
      </c>
      <c r="F1428" s="15" t="str">
        <f aca="false">IF(B1428&lt;5,"Go","Standard")</f>
        <v>Go</v>
      </c>
    </row>
    <row r="1429" customFormat="false" ht="15" hidden="false" customHeight="true" outlineLevel="0" collapsed="false">
      <c r="A1429" s="10" t="n">
        <f aca="false">Einstellungen!$B$5+INT((ROW()-9)/24)</f>
        <v>46025</v>
      </c>
      <c r="B1429" s="11" t="n">
        <f aca="false">MOD(ROW()-9,24)</f>
        <v>4</v>
      </c>
      <c r="C1429" s="12"/>
      <c r="D1429" s="13" t="n">
        <f aca="false">IF(B1429&lt;5,Einstellungen!$B$3,Einstellungen!$B$4)</f>
        <v>15.92</v>
      </c>
      <c r="E1429" s="14" t="str">
        <f aca="false">IF(C1429="","",C1429*D1429/100)</f>
        <v/>
      </c>
      <c r="F1429" s="15" t="str">
        <f aca="false">IF(B1429&lt;5,"Go","Standard")</f>
        <v>Go</v>
      </c>
    </row>
    <row r="1430" customFormat="false" ht="15" hidden="false" customHeight="true" outlineLevel="0" collapsed="false">
      <c r="A1430" s="10" t="n">
        <f aca="false">Einstellungen!$B$5+INT((ROW()-9)/24)</f>
        <v>46025</v>
      </c>
      <c r="B1430" s="11" t="n">
        <f aca="false">MOD(ROW()-9,24)</f>
        <v>5</v>
      </c>
      <c r="C1430" s="12"/>
      <c r="D1430" s="13" t="n">
        <f aca="false">IF(B1430&lt;5,Einstellungen!$B$3,Einstellungen!$B$4)</f>
        <v>29.13</v>
      </c>
      <c r="E1430" s="14" t="str">
        <f aca="false">IF(C1430="","",C1430*D1430/100)</f>
        <v/>
      </c>
      <c r="F1430" s="15" t="str">
        <f aca="false">IF(B1430&lt;5,"Go","Standard")</f>
        <v>Standard</v>
      </c>
    </row>
    <row r="1431" customFormat="false" ht="15" hidden="false" customHeight="true" outlineLevel="0" collapsed="false">
      <c r="A1431" s="10" t="n">
        <f aca="false">Einstellungen!$B$5+INT((ROW()-9)/24)</f>
        <v>46025</v>
      </c>
      <c r="B1431" s="11" t="n">
        <f aca="false">MOD(ROW()-9,24)</f>
        <v>6</v>
      </c>
      <c r="C1431" s="12"/>
      <c r="D1431" s="13" t="n">
        <f aca="false">IF(B1431&lt;5,Einstellungen!$B$3,Einstellungen!$B$4)</f>
        <v>29.13</v>
      </c>
      <c r="E1431" s="14" t="str">
        <f aca="false">IF(C1431="","",C1431*D1431/100)</f>
        <v/>
      </c>
      <c r="F1431" s="15" t="str">
        <f aca="false">IF(B1431&lt;5,"Go","Standard")</f>
        <v>Standard</v>
      </c>
    </row>
    <row r="1432" customFormat="false" ht="15" hidden="false" customHeight="true" outlineLevel="0" collapsed="false">
      <c r="A1432" s="10" t="n">
        <f aca="false">Einstellungen!$B$5+INT((ROW()-9)/24)</f>
        <v>46025</v>
      </c>
      <c r="B1432" s="11" t="n">
        <f aca="false">MOD(ROW()-9,24)</f>
        <v>7</v>
      </c>
      <c r="C1432" s="12"/>
      <c r="D1432" s="13" t="n">
        <f aca="false">IF(B1432&lt;5,Einstellungen!$B$3,Einstellungen!$B$4)</f>
        <v>29.13</v>
      </c>
      <c r="E1432" s="14" t="str">
        <f aca="false">IF(C1432="","",C1432*D1432/100)</f>
        <v/>
      </c>
      <c r="F1432" s="15" t="str">
        <f aca="false">IF(B1432&lt;5,"Go","Standard")</f>
        <v>Standard</v>
      </c>
    </row>
    <row r="1433" customFormat="false" ht="15" hidden="false" customHeight="true" outlineLevel="0" collapsed="false">
      <c r="A1433" s="10" t="n">
        <f aca="false">Einstellungen!$B$5+INT((ROW()-9)/24)</f>
        <v>46025</v>
      </c>
      <c r="B1433" s="11" t="n">
        <f aca="false">MOD(ROW()-9,24)</f>
        <v>8</v>
      </c>
      <c r="C1433" s="12"/>
      <c r="D1433" s="13" t="n">
        <f aca="false">IF(B1433&lt;5,Einstellungen!$B$3,Einstellungen!$B$4)</f>
        <v>29.13</v>
      </c>
      <c r="E1433" s="14" t="str">
        <f aca="false">IF(C1433="","",C1433*D1433/100)</f>
        <v/>
      </c>
      <c r="F1433" s="15" t="str">
        <f aca="false">IF(B1433&lt;5,"Go","Standard")</f>
        <v>Standard</v>
      </c>
    </row>
    <row r="1434" customFormat="false" ht="15" hidden="false" customHeight="true" outlineLevel="0" collapsed="false">
      <c r="A1434" s="10" t="n">
        <f aca="false">Einstellungen!$B$5+INT((ROW()-9)/24)</f>
        <v>46025</v>
      </c>
      <c r="B1434" s="11" t="n">
        <f aca="false">MOD(ROW()-9,24)</f>
        <v>9</v>
      </c>
      <c r="C1434" s="12"/>
      <c r="D1434" s="13" t="n">
        <f aca="false">IF(B1434&lt;5,Einstellungen!$B$3,Einstellungen!$B$4)</f>
        <v>29.13</v>
      </c>
      <c r="E1434" s="14" t="str">
        <f aca="false">IF(C1434="","",C1434*D1434/100)</f>
        <v/>
      </c>
      <c r="F1434" s="15" t="str">
        <f aca="false">IF(B1434&lt;5,"Go","Standard")</f>
        <v>Standard</v>
      </c>
    </row>
    <row r="1435" customFormat="false" ht="15" hidden="false" customHeight="true" outlineLevel="0" collapsed="false">
      <c r="A1435" s="10" t="n">
        <f aca="false">Einstellungen!$B$5+INT((ROW()-9)/24)</f>
        <v>46025</v>
      </c>
      <c r="B1435" s="11" t="n">
        <f aca="false">MOD(ROW()-9,24)</f>
        <v>10</v>
      </c>
      <c r="C1435" s="12"/>
      <c r="D1435" s="13" t="n">
        <f aca="false">IF(B1435&lt;5,Einstellungen!$B$3,Einstellungen!$B$4)</f>
        <v>29.13</v>
      </c>
      <c r="E1435" s="14" t="str">
        <f aca="false">IF(C1435="","",C1435*D1435/100)</f>
        <v/>
      </c>
      <c r="F1435" s="15" t="str">
        <f aca="false">IF(B1435&lt;5,"Go","Standard")</f>
        <v>Standard</v>
      </c>
    </row>
    <row r="1436" customFormat="false" ht="15" hidden="false" customHeight="true" outlineLevel="0" collapsed="false">
      <c r="A1436" s="10" t="n">
        <f aca="false">Einstellungen!$B$5+INT((ROW()-9)/24)</f>
        <v>46025</v>
      </c>
      <c r="B1436" s="11" t="n">
        <f aca="false">MOD(ROW()-9,24)</f>
        <v>11</v>
      </c>
      <c r="C1436" s="12"/>
      <c r="D1436" s="13" t="n">
        <f aca="false">IF(B1436&lt;5,Einstellungen!$B$3,Einstellungen!$B$4)</f>
        <v>29.13</v>
      </c>
      <c r="E1436" s="14" t="str">
        <f aca="false">IF(C1436="","",C1436*D1436/100)</f>
        <v/>
      </c>
      <c r="F1436" s="15" t="str">
        <f aca="false">IF(B1436&lt;5,"Go","Standard")</f>
        <v>Standard</v>
      </c>
    </row>
    <row r="1437" customFormat="false" ht="15" hidden="false" customHeight="true" outlineLevel="0" collapsed="false">
      <c r="A1437" s="10" t="n">
        <f aca="false">Einstellungen!$B$5+INT((ROW()-9)/24)</f>
        <v>46025</v>
      </c>
      <c r="B1437" s="11" t="n">
        <f aca="false">MOD(ROW()-9,24)</f>
        <v>12</v>
      </c>
      <c r="C1437" s="12"/>
      <c r="D1437" s="13" t="n">
        <f aca="false">IF(B1437&lt;5,Einstellungen!$B$3,Einstellungen!$B$4)</f>
        <v>29.13</v>
      </c>
      <c r="E1437" s="14" t="str">
        <f aca="false">IF(C1437="","",C1437*D1437/100)</f>
        <v/>
      </c>
      <c r="F1437" s="15" t="str">
        <f aca="false">IF(B1437&lt;5,"Go","Standard")</f>
        <v>Standard</v>
      </c>
    </row>
    <row r="1438" customFormat="false" ht="15" hidden="false" customHeight="true" outlineLevel="0" collapsed="false">
      <c r="A1438" s="10" t="n">
        <f aca="false">Einstellungen!$B$5+INT((ROW()-9)/24)</f>
        <v>46025</v>
      </c>
      <c r="B1438" s="11" t="n">
        <f aca="false">MOD(ROW()-9,24)</f>
        <v>13</v>
      </c>
      <c r="C1438" s="12"/>
      <c r="D1438" s="13" t="n">
        <f aca="false">IF(B1438&lt;5,Einstellungen!$B$3,Einstellungen!$B$4)</f>
        <v>29.13</v>
      </c>
      <c r="E1438" s="14" t="str">
        <f aca="false">IF(C1438="","",C1438*D1438/100)</f>
        <v/>
      </c>
      <c r="F1438" s="15" t="str">
        <f aca="false">IF(B1438&lt;5,"Go","Standard")</f>
        <v>Standard</v>
      </c>
    </row>
    <row r="1439" customFormat="false" ht="15" hidden="false" customHeight="true" outlineLevel="0" collapsed="false">
      <c r="A1439" s="10" t="n">
        <f aca="false">Einstellungen!$B$5+INT((ROW()-9)/24)</f>
        <v>46025</v>
      </c>
      <c r="B1439" s="11" t="n">
        <f aca="false">MOD(ROW()-9,24)</f>
        <v>14</v>
      </c>
      <c r="C1439" s="12"/>
      <c r="D1439" s="13" t="n">
        <f aca="false">IF(B1439&lt;5,Einstellungen!$B$3,Einstellungen!$B$4)</f>
        <v>29.13</v>
      </c>
      <c r="E1439" s="14" t="str">
        <f aca="false">IF(C1439="","",C1439*D1439/100)</f>
        <v/>
      </c>
      <c r="F1439" s="15" t="str">
        <f aca="false">IF(B1439&lt;5,"Go","Standard")</f>
        <v>Standard</v>
      </c>
    </row>
    <row r="1440" customFormat="false" ht="15" hidden="false" customHeight="true" outlineLevel="0" collapsed="false">
      <c r="A1440" s="10" t="n">
        <f aca="false">Einstellungen!$B$5+INT((ROW()-9)/24)</f>
        <v>46025</v>
      </c>
      <c r="B1440" s="11" t="n">
        <f aca="false">MOD(ROW()-9,24)</f>
        <v>15</v>
      </c>
      <c r="C1440" s="12"/>
      <c r="D1440" s="13" t="n">
        <f aca="false">IF(B1440&lt;5,Einstellungen!$B$3,Einstellungen!$B$4)</f>
        <v>29.13</v>
      </c>
      <c r="E1440" s="14" t="str">
        <f aca="false">IF(C1440="","",C1440*D1440/100)</f>
        <v/>
      </c>
      <c r="F1440" s="15" t="str">
        <f aca="false">IF(B1440&lt;5,"Go","Standard")</f>
        <v>Standard</v>
      </c>
    </row>
    <row r="1441" customFormat="false" ht="15" hidden="false" customHeight="true" outlineLevel="0" collapsed="false">
      <c r="A1441" s="10" t="n">
        <f aca="false">Einstellungen!$B$5+INT((ROW()-9)/24)</f>
        <v>46025</v>
      </c>
      <c r="B1441" s="11" t="n">
        <f aca="false">MOD(ROW()-9,24)</f>
        <v>16</v>
      </c>
      <c r="C1441" s="12"/>
      <c r="D1441" s="13" t="n">
        <f aca="false">IF(B1441&lt;5,Einstellungen!$B$3,Einstellungen!$B$4)</f>
        <v>29.13</v>
      </c>
      <c r="E1441" s="14" t="str">
        <f aca="false">IF(C1441="","",C1441*D1441/100)</f>
        <v/>
      </c>
      <c r="F1441" s="15" t="str">
        <f aca="false">IF(B1441&lt;5,"Go","Standard")</f>
        <v>Standard</v>
      </c>
    </row>
    <row r="1442" customFormat="false" ht="15" hidden="false" customHeight="true" outlineLevel="0" collapsed="false">
      <c r="A1442" s="10" t="n">
        <f aca="false">Einstellungen!$B$5+INT((ROW()-9)/24)</f>
        <v>46025</v>
      </c>
      <c r="B1442" s="11" t="n">
        <f aca="false">MOD(ROW()-9,24)</f>
        <v>17</v>
      </c>
      <c r="C1442" s="12"/>
      <c r="D1442" s="13" t="n">
        <f aca="false">IF(B1442&lt;5,Einstellungen!$B$3,Einstellungen!$B$4)</f>
        <v>29.13</v>
      </c>
      <c r="E1442" s="14" t="str">
        <f aca="false">IF(C1442="","",C1442*D1442/100)</f>
        <v/>
      </c>
      <c r="F1442" s="15" t="str">
        <f aca="false">IF(B1442&lt;5,"Go","Standard")</f>
        <v>Standard</v>
      </c>
    </row>
    <row r="1443" customFormat="false" ht="15" hidden="false" customHeight="true" outlineLevel="0" collapsed="false">
      <c r="A1443" s="10" t="n">
        <f aca="false">Einstellungen!$B$5+INT((ROW()-9)/24)</f>
        <v>46025</v>
      </c>
      <c r="B1443" s="11" t="n">
        <f aca="false">MOD(ROW()-9,24)</f>
        <v>18</v>
      </c>
      <c r="C1443" s="12"/>
      <c r="D1443" s="13" t="n">
        <f aca="false">IF(B1443&lt;5,Einstellungen!$B$3,Einstellungen!$B$4)</f>
        <v>29.13</v>
      </c>
      <c r="E1443" s="14" t="str">
        <f aca="false">IF(C1443="","",C1443*D1443/100)</f>
        <v/>
      </c>
      <c r="F1443" s="15" t="str">
        <f aca="false">IF(B1443&lt;5,"Go","Standard")</f>
        <v>Standard</v>
      </c>
    </row>
    <row r="1444" customFormat="false" ht="15" hidden="false" customHeight="true" outlineLevel="0" collapsed="false">
      <c r="A1444" s="10" t="n">
        <f aca="false">Einstellungen!$B$5+INT((ROW()-9)/24)</f>
        <v>46025</v>
      </c>
      <c r="B1444" s="11" t="n">
        <f aca="false">MOD(ROW()-9,24)</f>
        <v>19</v>
      </c>
      <c r="C1444" s="12"/>
      <c r="D1444" s="13" t="n">
        <f aca="false">IF(B1444&lt;5,Einstellungen!$B$3,Einstellungen!$B$4)</f>
        <v>29.13</v>
      </c>
      <c r="E1444" s="14" t="str">
        <f aca="false">IF(C1444="","",C1444*D1444/100)</f>
        <v/>
      </c>
      <c r="F1444" s="15" t="str">
        <f aca="false">IF(B1444&lt;5,"Go","Standard")</f>
        <v>Standard</v>
      </c>
    </row>
    <row r="1445" customFormat="false" ht="15" hidden="false" customHeight="true" outlineLevel="0" collapsed="false">
      <c r="A1445" s="10" t="n">
        <f aca="false">Einstellungen!$B$5+INT((ROW()-9)/24)</f>
        <v>46025</v>
      </c>
      <c r="B1445" s="11" t="n">
        <f aca="false">MOD(ROW()-9,24)</f>
        <v>20</v>
      </c>
      <c r="C1445" s="12"/>
      <c r="D1445" s="13" t="n">
        <f aca="false">IF(B1445&lt;5,Einstellungen!$B$3,Einstellungen!$B$4)</f>
        <v>29.13</v>
      </c>
      <c r="E1445" s="14" t="str">
        <f aca="false">IF(C1445="","",C1445*D1445/100)</f>
        <v/>
      </c>
      <c r="F1445" s="15" t="str">
        <f aca="false">IF(B1445&lt;5,"Go","Standard")</f>
        <v>Standard</v>
      </c>
    </row>
    <row r="1446" customFormat="false" ht="15" hidden="false" customHeight="true" outlineLevel="0" collapsed="false">
      <c r="A1446" s="10" t="n">
        <f aca="false">Einstellungen!$B$5+INT((ROW()-9)/24)</f>
        <v>46025</v>
      </c>
      <c r="B1446" s="11" t="n">
        <f aca="false">MOD(ROW()-9,24)</f>
        <v>21</v>
      </c>
      <c r="C1446" s="12"/>
      <c r="D1446" s="13" t="n">
        <f aca="false">IF(B1446&lt;5,Einstellungen!$B$3,Einstellungen!$B$4)</f>
        <v>29.13</v>
      </c>
      <c r="E1446" s="14" t="str">
        <f aca="false">IF(C1446="","",C1446*D1446/100)</f>
        <v/>
      </c>
      <c r="F1446" s="15" t="str">
        <f aca="false">IF(B1446&lt;5,"Go","Standard")</f>
        <v>Standard</v>
      </c>
    </row>
    <row r="1447" customFormat="false" ht="15" hidden="false" customHeight="true" outlineLevel="0" collapsed="false">
      <c r="A1447" s="10" t="n">
        <f aca="false">Einstellungen!$B$5+INT((ROW()-9)/24)</f>
        <v>46025</v>
      </c>
      <c r="B1447" s="11" t="n">
        <f aca="false">MOD(ROW()-9,24)</f>
        <v>22</v>
      </c>
      <c r="C1447" s="12"/>
      <c r="D1447" s="13" t="n">
        <f aca="false">IF(B1447&lt;5,Einstellungen!$B$3,Einstellungen!$B$4)</f>
        <v>29.13</v>
      </c>
      <c r="E1447" s="14" t="str">
        <f aca="false">IF(C1447="","",C1447*D1447/100)</f>
        <v/>
      </c>
      <c r="F1447" s="15" t="str">
        <f aca="false">IF(B1447&lt;5,"Go","Standard")</f>
        <v>Standard</v>
      </c>
    </row>
    <row r="1448" customFormat="false" ht="15" hidden="false" customHeight="true" outlineLevel="0" collapsed="false">
      <c r="A1448" s="10" t="n">
        <f aca="false">Einstellungen!$B$5+INT((ROW()-9)/24)</f>
        <v>46025</v>
      </c>
      <c r="B1448" s="11" t="n">
        <f aca="false">MOD(ROW()-9,24)</f>
        <v>23</v>
      </c>
      <c r="C1448" s="12"/>
      <c r="D1448" s="13" t="n">
        <f aca="false">IF(B1448&lt;5,Einstellungen!$B$3,Einstellungen!$B$4)</f>
        <v>29.13</v>
      </c>
      <c r="E1448" s="14" t="str">
        <f aca="false">IF(C1448="","",C1448*D1448/100)</f>
        <v/>
      </c>
      <c r="F1448" s="15" t="str">
        <f aca="false">IF(B1448&lt;5,"Go","Standard")</f>
        <v>Standard</v>
      </c>
    </row>
    <row r="1449" customFormat="false" ht="15" hidden="false" customHeight="true" outlineLevel="0" collapsed="false">
      <c r="A1449" s="10" t="n">
        <f aca="false">Einstellungen!$B$5+INT((ROW()-9)/24)</f>
        <v>46026</v>
      </c>
      <c r="B1449" s="11" t="n">
        <f aca="false">MOD(ROW()-9,24)</f>
        <v>0</v>
      </c>
      <c r="C1449" s="12"/>
      <c r="D1449" s="13" t="n">
        <f aca="false">IF(B1449&lt;5,Einstellungen!$B$3,Einstellungen!$B$4)</f>
        <v>15.92</v>
      </c>
      <c r="E1449" s="14" t="str">
        <f aca="false">IF(C1449="","",C1449*D1449/100)</f>
        <v/>
      </c>
      <c r="F1449" s="15" t="str">
        <f aca="false">IF(B1449&lt;5,"Go","Standard")</f>
        <v>Go</v>
      </c>
    </row>
    <row r="1450" customFormat="false" ht="15" hidden="false" customHeight="true" outlineLevel="0" collapsed="false">
      <c r="A1450" s="10" t="n">
        <f aca="false">Einstellungen!$B$5+INT((ROW()-9)/24)</f>
        <v>46026</v>
      </c>
      <c r="B1450" s="11" t="n">
        <f aca="false">MOD(ROW()-9,24)</f>
        <v>1</v>
      </c>
      <c r="C1450" s="12"/>
      <c r="D1450" s="13" t="n">
        <f aca="false">IF(B1450&lt;5,Einstellungen!$B$3,Einstellungen!$B$4)</f>
        <v>15.92</v>
      </c>
      <c r="E1450" s="14" t="str">
        <f aca="false">IF(C1450="","",C1450*D1450/100)</f>
        <v/>
      </c>
      <c r="F1450" s="15" t="str">
        <f aca="false">IF(B1450&lt;5,"Go","Standard")</f>
        <v>Go</v>
      </c>
    </row>
    <row r="1451" customFormat="false" ht="15" hidden="false" customHeight="true" outlineLevel="0" collapsed="false">
      <c r="A1451" s="10" t="n">
        <f aca="false">Einstellungen!$B$5+INT((ROW()-9)/24)</f>
        <v>46026</v>
      </c>
      <c r="B1451" s="11" t="n">
        <f aca="false">MOD(ROW()-9,24)</f>
        <v>2</v>
      </c>
      <c r="C1451" s="12"/>
      <c r="D1451" s="13" t="n">
        <f aca="false">IF(B1451&lt;5,Einstellungen!$B$3,Einstellungen!$B$4)</f>
        <v>15.92</v>
      </c>
      <c r="E1451" s="14" t="str">
        <f aca="false">IF(C1451="","",C1451*D1451/100)</f>
        <v/>
      </c>
      <c r="F1451" s="15" t="str">
        <f aca="false">IF(B1451&lt;5,"Go","Standard")</f>
        <v>Go</v>
      </c>
    </row>
    <row r="1452" customFormat="false" ht="15" hidden="false" customHeight="true" outlineLevel="0" collapsed="false">
      <c r="A1452" s="10" t="n">
        <f aca="false">Einstellungen!$B$5+INT((ROW()-9)/24)</f>
        <v>46026</v>
      </c>
      <c r="B1452" s="11" t="n">
        <f aca="false">MOD(ROW()-9,24)</f>
        <v>3</v>
      </c>
      <c r="C1452" s="12"/>
      <c r="D1452" s="13" t="n">
        <f aca="false">IF(B1452&lt;5,Einstellungen!$B$3,Einstellungen!$B$4)</f>
        <v>15.92</v>
      </c>
      <c r="E1452" s="14" t="str">
        <f aca="false">IF(C1452="","",C1452*D1452/100)</f>
        <v/>
      </c>
      <c r="F1452" s="15" t="str">
        <f aca="false">IF(B1452&lt;5,"Go","Standard")</f>
        <v>Go</v>
      </c>
    </row>
    <row r="1453" customFormat="false" ht="15" hidden="false" customHeight="true" outlineLevel="0" collapsed="false">
      <c r="A1453" s="10" t="n">
        <f aca="false">Einstellungen!$B$5+INT((ROW()-9)/24)</f>
        <v>46026</v>
      </c>
      <c r="B1453" s="11" t="n">
        <f aca="false">MOD(ROW()-9,24)</f>
        <v>4</v>
      </c>
      <c r="C1453" s="12"/>
      <c r="D1453" s="13" t="n">
        <f aca="false">IF(B1453&lt;5,Einstellungen!$B$3,Einstellungen!$B$4)</f>
        <v>15.92</v>
      </c>
      <c r="E1453" s="14" t="str">
        <f aca="false">IF(C1453="","",C1453*D1453/100)</f>
        <v/>
      </c>
      <c r="F1453" s="15" t="str">
        <f aca="false">IF(B1453&lt;5,"Go","Standard")</f>
        <v>Go</v>
      </c>
    </row>
    <row r="1454" customFormat="false" ht="15" hidden="false" customHeight="true" outlineLevel="0" collapsed="false">
      <c r="A1454" s="10" t="n">
        <f aca="false">Einstellungen!$B$5+INT((ROW()-9)/24)</f>
        <v>46026</v>
      </c>
      <c r="B1454" s="11" t="n">
        <f aca="false">MOD(ROW()-9,24)</f>
        <v>5</v>
      </c>
      <c r="C1454" s="12"/>
      <c r="D1454" s="13" t="n">
        <f aca="false">IF(B1454&lt;5,Einstellungen!$B$3,Einstellungen!$B$4)</f>
        <v>29.13</v>
      </c>
      <c r="E1454" s="14" t="str">
        <f aca="false">IF(C1454="","",C1454*D1454/100)</f>
        <v/>
      </c>
      <c r="F1454" s="15" t="str">
        <f aca="false">IF(B1454&lt;5,"Go","Standard")</f>
        <v>Standard</v>
      </c>
    </row>
    <row r="1455" customFormat="false" ht="15" hidden="false" customHeight="true" outlineLevel="0" collapsed="false">
      <c r="A1455" s="10" t="n">
        <f aca="false">Einstellungen!$B$5+INT((ROW()-9)/24)</f>
        <v>46026</v>
      </c>
      <c r="B1455" s="11" t="n">
        <f aca="false">MOD(ROW()-9,24)</f>
        <v>6</v>
      </c>
      <c r="C1455" s="12"/>
      <c r="D1455" s="13" t="n">
        <f aca="false">IF(B1455&lt;5,Einstellungen!$B$3,Einstellungen!$B$4)</f>
        <v>29.13</v>
      </c>
      <c r="E1455" s="14" t="str">
        <f aca="false">IF(C1455="","",C1455*D1455/100)</f>
        <v/>
      </c>
      <c r="F1455" s="15" t="str">
        <f aca="false">IF(B1455&lt;5,"Go","Standard")</f>
        <v>Standard</v>
      </c>
    </row>
    <row r="1456" customFormat="false" ht="15" hidden="false" customHeight="true" outlineLevel="0" collapsed="false">
      <c r="A1456" s="10" t="n">
        <f aca="false">Einstellungen!$B$5+INT((ROW()-9)/24)</f>
        <v>46026</v>
      </c>
      <c r="B1456" s="11" t="n">
        <f aca="false">MOD(ROW()-9,24)</f>
        <v>7</v>
      </c>
      <c r="C1456" s="12"/>
      <c r="D1456" s="13" t="n">
        <f aca="false">IF(B1456&lt;5,Einstellungen!$B$3,Einstellungen!$B$4)</f>
        <v>29.13</v>
      </c>
      <c r="E1456" s="14" t="str">
        <f aca="false">IF(C1456="","",C1456*D1456/100)</f>
        <v/>
      </c>
      <c r="F1456" s="15" t="str">
        <f aca="false">IF(B1456&lt;5,"Go","Standard")</f>
        <v>Standard</v>
      </c>
    </row>
    <row r="1457" customFormat="false" ht="15" hidden="false" customHeight="true" outlineLevel="0" collapsed="false">
      <c r="A1457" s="10" t="n">
        <f aca="false">Einstellungen!$B$5+INT((ROW()-9)/24)</f>
        <v>46026</v>
      </c>
      <c r="B1457" s="11" t="n">
        <f aca="false">MOD(ROW()-9,24)</f>
        <v>8</v>
      </c>
      <c r="C1457" s="12"/>
      <c r="D1457" s="13" t="n">
        <f aca="false">IF(B1457&lt;5,Einstellungen!$B$3,Einstellungen!$B$4)</f>
        <v>29.13</v>
      </c>
      <c r="E1457" s="14" t="str">
        <f aca="false">IF(C1457="","",C1457*D1457/100)</f>
        <v/>
      </c>
      <c r="F1457" s="15" t="str">
        <f aca="false">IF(B1457&lt;5,"Go","Standard")</f>
        <v>Standard</v>
      </c>
    </row>
    <row r="1458" customFormat="false" ht="15" hidden="false" customHeight="true" outlineLevel="0" collapsed="false">
      <c r="A1458" s="10" t="n">
        <f aca="false">Einstellungen!$B$5+INT((ROW()-9)/24)</f>
        <v>46026</v>
      </c>
      <c r="B1458" s="11" t="n">
        <f aca="false">MOD(ROW()-9,24)</f>
        <v>9</v>
      </c>
      <c r="C1458" s="12"/>
      <c r="D1458" s="13" t="n">
        <f aca="false">IF(B1458&lt;5,Einstellungen!$B$3,Einstellungen!$B$4)</f>
        <v>29.13</v>
      </c>
      <c r="E1458" s="14" t="str">
        <f aca="false">IF(C1458="","",C1458*D1458/100)</f>
        <v/>
      </c>
      <c r="F1458" s="15" t="str">
        <f aca="false">IF(B1458&lt;5,"Go","Standard")</f>
        <v>Standard</v>
      </c>
    </row>
    <row r="1459" customFormat="false" ht="15" hidden="false" customHeight="true" outlineLevel="0" collapsed="false">
      <c r="A1459" s="10" t="n">
        <f aca="false">Einstellungen!$B$5+INT((ROW()-9)/24)</f>
        <v>46026</v>
      </c>
      <c r="B1459" s="11" t="n">
        <f aca="false">MOD(ROW()-9,24)</f>
        <v>10</v>
      </c>
      <c r="C1459" s="12"/>
      <c r="D1459" s="13" t="n">
        <f aca="false">IF(B1459&lt;5,Einstellungen!$B$3,Einstellungen!$B$4)</f>
        <v>29.13</v>
      </c>
      <c r="E1459" s="14" t="str">
        <f aca="false">IF(C1459="","",C1459*D1459/100)</f>
        <v/>
      </c>
      <c r="F1459" s="15" t="str">
        <f aca="false">IF(B1459&lt;5,"Go","Standard")</f>
        <v>Standard</v>
      </c>
    </row>
    <row r="1460" customFormat="false" ht="15" hidden="false" customHeight="true" outlineLevel="0" collapsed="false">
      <c r="A1460" s="10" t="n">
        <f aca="false">Einstellungen!$B$5+INT((ROW()-9)/24)</f>
        <v>46026</v>
      </c>
      <c r="B1460" s="11" t="n">
        <f aca="false">MOD(ROW()-9,24)</f>
        <v>11</v>
      </c>
      <c r="C1460" s="12"/>
      <c r="D1460" s="13" t="n">
        <f aca="false">IF(B1460&lt;5,Einstellungen!$B$3,Einstellungen!$B$4)</f>
        <v>29.13</v>
      </c>
      <c r="E1460" s="14" t="str">
        <f aca="false">IF(C1460="","",C1460*D1460/100)</f>
        <v/>
      </c>
      <c r="F1460" s="15" t="str">
        <f aca="false">IF(B1460&lt;5,"Go","Standard")</f>
        <v>Standard</v>
      </c>
    </row>
    <row r="1461" customFormat="false" ht="15" hidden="false" customHeight="true" outlineLevel="0" collapsed="false">
      <c r="A1461" s="10" t="n">
        <f aca="false">Einstellungen!$B$5+INT((ROW()-9)/24)</f>
        <v>46026</v>
      </c>
      <c r="B1461" s="11" t="n">
        <f aca="false">MOD(ROW()-9,24)</f>
        <v>12</v>
      </c>
      <c r="C1461" s="12"/>
      <c r="D1461" s="13" t="n">
        <f aca="false">IF(B1461&lt;5,Einstellungen!$B$3,Einstellungen!$B$4)</f>
        <v>29.13</v>
      </c>
      <c r="E1461" s="14" t="str">
        <f aca="false">IF(C1461="","",C1461*D1461/100)</f>
        <v/>
      </c>
      <c r="F1461" s="15" t="str">
        <f aca="false">IF(B1461&lt;5,"Go","Standard")</f>
        <v>Standard</v>
      </c>
    </row>
    <row r="1462" customFormat="false" ht="15" hidden="false" customHeight="true" outlineLevel="0" collapsed="false">
      <c r="A1462" s="10" t="n">
        <f aca="false">Einstellungen!$B$5+INT((ROW()-9)/24)</f>
        <v>46026</v>
      </c>
      <c r="B1462" s="11" t="n">
        <f aca="false">MOD(ROW()-9,24)</f>
        <v>13</v>
      </c>
      <c r="C1462" s="12"/>
      <c r="D1462" s="13" t="n">
        <f aca="false">IF(B1462&lt;5,Einstellungen!$B$3,Einstellungen!$B$4)</f>
        <v>29.13</v>
      </c>
      <c r="E1462" s="14" t="str">
        <f aca="false">IF(C1462="","",C1462*D1462/100)</f>
        <v/>
      </c>
      <c r="F1462" s="15" t="str">
        <f aca="false">IF(B1462&lt;5,"Go","Standard")</f>
        <v>Standard</v>
      </c>
    </row>
    <row r="1463" customFormat="false" ht="15" hidden="false" customHeight="true" outlineLevel="0" collapsed="false">
      <c r="A1463" s="10" t="n">
        <f aca="false">Einstellungen!$B$5+INT((ROW()-9)/24)</f>
        <v>46026</v>
      </c>
      <c r="B1463" s="11" t="n">
        <f aca="false">MOD(ROW()-9,24)</f>
        <v>14</v>
      </c>
      <c r="C1463" s="12"/>
      <c r="D1463" s="13" t="n">
        <f aca="false">IF(B1463&lt;5,Einstellungen!$B$3,Einstellungen!$B$4)</f>
        <v>29.13</v>
      </c>
      <c r="E1463" s="14" t="str">
        <f aca="false">IF(C1463="","",C1463*D1463/100)</f>
        <v/>
      </c>
      <c r="F1463" s="15" t="str">
        <f aca="false">IF(B1463&lt;5,"Go","Standard")</f>
        <v>Standard</v>
      </c>
    </row>
    <row r="1464" customFormat="false" ht="15" hidden="false" customHeight="true" outlineLevel="0" collapsed="false">
      <c r="A1464" s="10" t="n">
        <f aca="false">Einstellungen!$B$5+INT((ROW()-9)/24)</f>
        <v>46026</v>
      </c>
      <c r="B1464" s="11" t="n">
        <f aca="false">MOD(ROW()-9,24)</f>
        <v>15</v>
      </c>
      <c r="C1464" s="12"/>
      <c r="D1464" s="13" t="n">
        <f aca="false">IF(B1464&lt;5,Einstellungen!$B$3,Einstellungen!$B$4)</f>
        <v>29.13</v>
      </c>
      <c r="E1464" s="14" t="str">
        <f aca="false">IF(C1464="","",C1464*D1464/100)</f>
        <v/>
      </c>
      <c r="F1464" s="15" t="str">
        <f aca="false">IF(B1464&lt;5,"Go","Standard")</f>
        <v>Standard</v>
      </c>
    </row>
    <row r="1465" customFormat="false" ht="15" hidden="false" customHeight="true" outlineLevel="0" collapsed="false">
      <c r="A1465" s="10" t="n">
        <f aca="false">Einstellungen!$B$5+INT((ROW()-9)/24)</f>
        <v>46026</v>
      </c>
      <c r="B1465" s="11" t="n">
        <f aca="false">MOD(ROW()-9,24)</f>
        <v>16</v>
      </c>
      <c r="C1465" s="12"/>
      <c r="D1465" s="13" t="n">
        <f aca="false">IF(B1465&lt;5,Einstellungen!$B$3,Einstellungen!$B$4)</f>
        <v>29.13</v>
      </c>
      <c r="E1465" s="14" t="str">
        <f aca="false">IF(C1465="","",C1465*D1465/100)</f>
        <v/>
      </c>
      <c r="F1465" s="15" t="str">
        <f aca="false">IF(B1465&lt;5,"Go","Standard")</f>
        <v>Standard</v>
      </c>
    </row>
    <row r="1466" customFormat="false" ht="15" hidden="false" customHeight="true" outlineLevel="0" collapsed="false">
      <c r="A1466" s="10" t="n">
        <f aca="false">Einstellungen!$B$5+INT((ROW()-9)/24)</f>
        <v>46026</v>
      </c>
      <c r="B1466" s="11" t="n">
        <f aca="false">MOD(ROW()-9,24)</f>
        <v>17</v>
      </c>
      <c r="C1466" s="12"/>
      <c r="D1466" s="13" t="n">
        <f aca="false">IF(B1466&lt;5,Einstellungen!$B$3,Einstellungen!$B$4)</f>
        <v>29.13</v>
      </c>
      <c r="E1466" s="14" t="str">
        <f aca="false">IF(C1466="","",C1466*D1466/100)</f>
        <v/>
      </c>
      <c r="F1466" s="15" t="str">
        <f aca="false">IF(B1466&lt;5,"Go","Standard")</f>
        <v>Standard</v>
      </c>
    </row>
    <row r="1467" customFormat="false" ht="15" hidden="false" customHeight="true" outlineLevel="0" collapsed="false">
      <c r="A1467" s="10" t="n">
        <f aca="false">Einstellungen!$B$5+INT((ROW()-9)/24)</f>
        <v>46026</v>
      </c>
      <c r="B1467" s="11" t="n">
        <f aca="false">MOD(ROW()-9,24)</f>
        <v>18</v>
      </c>
      <c r="C1467" s="12"/>
      <c r="D1467" s="13" t="n">
        <f aca="false">IF(B1467&lt;5,Einstellungen!$B$3,Einstellungen!$B$4)</f>
        <v>29.13</v>
      </c>
      <c r="E1467" s="14" t="str">
        <f aca="false">IF(C1467="","",C1467*D1467/100)</f>
        <v/>
      </c>
      <c r="F1467" s="15" t="str">
        <f aca="false">IF(B1467&lt;5,"Go","Standard")</f>
        <v>Standard</v>
      </c>
    </row>
    <row r="1468" customFormat="false" ht="15" hidden="false" customHeight="true" outlineLevel="0" collapsed="false">
      <c r="A1468" s="10" t="n">
        <f aca="false">Einstellungen!$B$5+INT((ROW()-9)/24)</f>
        <v>46026</v>
      </c>
      <c r="B1468" s="11" t="n">
        <f aca="false">MOD(ROW()-9,24)</f>
        <v>19</v>
      </c>
      <c r="C1468" s="12"/>
      <c r="D1468" s="13" t="n">
        <f aca="false">IF(B1468&lt;5,Einstellungen!$B$3,Einstellungen!$B$4)</f>
        <v>29.13</v>
      </c>
      <c r="E1468" s="14" t="str">
        <f aca="false">IF(C1468="","",C1468*D1468/100)</f>
        <v/>
      </c>
      <c r="F1468" s="15" t="str">
        <f aca="false">IF(B1468&lt;5,"Go","Standard")</f>
        <v>Standard</v>
      </c>
    </row>
    <row r="1469" customFormat="false" ht="15" hidden="false" customHeight="true" outlineLevel="0" collapsed="false">
      <c r="A1469" s="10" t="n">
        <f aca="false">Einstellungen!$B$5+INT((ROW()-9)/24)</f>
        <v>46026</v>
      </c>
      <c r="B1469" s="11" t="n">
        <f aca="false">MOD(ROW()-9,24)</f>
        <v>20</v>
      </c>
      <c r="C1469" s="12"/>
      <c r="D1469" s="13" t="n">
        <f aca="false">IF(B1469&lt;5,Einstellungen!$B$3,Einstellungen!$B$4)</f>
        <v>29.13</v>
      </c>
      <c r="E1469" s="14" t="str">
        <f aca="false">IF(C1469="","",C1469*D1469/100)</f>
        <v/>
      </c>
      <c r="F1469" s="15" t="str">
        <f aca="false">IF(B1469&lt;5,"Go","Standard")</f>
        <v>Standard</v>
      </c>
    </row>
    <row r="1470" customFormat="false" ht="15" hidden="false" customHeight="true" outlineLevel="0" collapsed="false">
      <c r="A1470" s="10" t="n">
        <f aca="false">Einstellungen!$B$5+INT((ROW()-9)/24)</f>
        <v>46026</v>
      </c>
      <c r="B1470" s="11" t="n">
        <f aca="false">MOD(ROW()-9,24)</f>
        <v>21</v>
      </c>
      <c r="C1470" s="12"/>
      <c r="D1470" s="13" t="n">
        <f aca="false">IF(B1470&lt;5,Einstellungen!$B$3,Einstellungen!$B$4)</f>
        <v>29.13</v>
      </c>
      <c r="E1470" s="14" t="str">
        <f aca="false">IF(C1470="","",C1470*D1470/100)</f>
        <v/>
      </c>
      <c r="F1470" s="15" t="str">
        <f aca="false">IF(B1470&lt;5,"Go","Standard")</f>
        <v>Standard</v>
      </c>
    </row>
    <row r="1471" customFormat="false" ht="15" hidden="false" customHeight="true" outlineLevel="0" collapsed="false">
      <c r="A1471" s="10" t="n">
        <f aca="false">Einstellungen!$B$5+INT((ROW()-9)/24)</f>
        <v>46026</v>
      </c>
      <c r="B1471" s="11" t="n">
        <f aca="false">MOD(ROW()-9,24)</f>
        <v>22</v>
      </c>
      <c r="C1471" s="12"/>
      <c r="D1471" s="13" t="n">
        <f aca="false">IF(B1471&lt;5,Einstellungen!$B$3,Einstellungen!$B$4)</f>
        <v>29.13</v>
      </c>
      <c r="E1471" s="14" t="str">
        <f aca="false">IF(C1471="","",C1471*D1471/100)</f>
        <v/>
      </c>
      <c r="F1471" s="15" t="str">
        <f aca="false">IF(B1471&lt;5,"Go","Standard")</f>
        <v>Standard</v>
      </c>
    </row>
    <row r="1472" customFormat="false" ht="15" hidden="false" customHeight="true" outlineLevel="0" collapsed="false">
      <c r="A1472" s="10" t="n">
        <f aca="false">Einstellungen!$B$5+INT((ROW()-9)/24)</f>
        <v>46026</v>
      </c>
      <c r="B1472" s="11" t="n">
        <f aca="false">MOD(ROW()-9,24)</f>
        <v>23</v>
      </c>
      <c r="C1472" s="12"/>
      <c r="D1472" s="13" t="n">
        <f aca="false">IF(B1472&lt;5,Einstellungen!$B$3,Einstellungen!$B$4)</f>
        <v>29.13</v>
      </c>
      <c r="E1472" s="14" t="str">
        <f aca="false">IF(C1472="","",C1472*D1472/100)</f>
        <v/>
      </c>
      <c r="F1472" s="15" t="str">
        <f aca="false">IF(B1472&lt;5,"Go","Standard")</f>
        <v>Standard</v>
      </c>
    </row>
    <row r="1473" customFormat="false" ht="15" hidden="false" customHeight="true" outlineLevel="0" collapsed="false">
      <c r="A1473" s="10" t="n">
        <f aca="false">Einstellungen!$B$5+INT((ROW()-9)/24)</f>
        <v>46027</v>
      </c>
      <c r="B1473" s="11" t="n">
        <f aca="false">MOD(ROW()-9,24)</f>
        <v>0</v>
      </c>
      <c r="C1473" s="12"/>
      <c r="D1473" s="13" t="n">
        <f aca="false">IF(B1473&lt;5,Einstellungen!$B$3,Einstellungen!$B$4)</f>
        <v>15.92</v>
      </c>
      <c r="E1473" s="14" t="str">
        <f aca="false">IF(C1473="","",C1473*D1473/100)</f>
        <v/>
      </c>
      <c r="F1473" s="15" t="str">
        <f aca="false">IF(B1473&lt;5,"Go","Standard")</f>
        <v>Go</v>
      </c>
    </row>
    <row r="1474" customFormat="false" ht="15" hidden="false" customHeight="true" outlineLevel="0" collapsed="false">
      <c r="A1474" s="10" t="n">
        <f aca="false">Einstellungen!$B$5+INT((ROW()-9)/24)</f>
        <v>46027</v>
      </c>
      <c r="B1474" s="11" t="n">
        <f aca="false">MOD(ROW()-9,24)</f>
        <v>1</v>
      </c>
      <c r="C1474" s="12"/>
      <c r="D1474" s="13" t="n">
        <f aca="false">IF(B1474&lt;5,Einstellungen!$B$3,Einstellungen!$B$4)</f>
        <v>15.92</v>
      </c>
      <c r="E1474" s="14" t="str">
        <f aca="false">IF(C1474="","",C1474*D1474/100)</f>
        <v/>
      </c>
      <c r="F1474" s="15" t="str">
        <f aca="false">IF(B1474&lt;5,"Go","Standard")</f>
        <v>Go</v>
      </c>
    </row>
    <row r="1475" customFormat="false" ht="15" hidden="false" customHeight="true" outlineLevel="0" collapsed="false">
      <c r="A1475" s="10" t="n">
        <f aca="false">Einstellungen!$B$5+INT((ROW()-9)/24)</f>
        <v>46027</v>
      </c>
      <c r="B1475" s="11" t="n">
        <f aca="false">MOD(ROW()-9,24)</f>
        <v>2</v>
      </c>
      <c r="C1475" s="12"/>
      <c r="D1475" s="13" t="n">
        <f aca="false">IF(B1475&lt;5,Einstellungen!$B$3,Einstellungen!$B$4)</f>
        <v>15.92</v>
      </c>
      <c r="E1475" s="14" t="str">
        <f aca="false">IF(C1475="","",C1475*D1475/100)</f>
        <v/>
      </c>
      <c r="F1475" s="15" t="str">
        <f aca="false">IF(B1475&lt;5,"Go","Standard")</f>
        <v>Go</v>
      </c>
    </row>
    <row r="1476" customFormat="false" ht="15" hidden="false" customHeight="true" outlineLevel="0" collapsed="false">
      <c r="A1476" s="10" t="n">
        <f aca="false">Einstellungen!$B$5+INT((ROW()-9)/24)</f>
        <v>46027</v>
      </c>
      <c r="B1476" s="11" t="n">
        <f aca="false">MOD(ROW()-9,24)</f>
        <v>3</v>
      </c>
      <c r="C1476" s="12"/>
      <c r="D1476" s="13" t="n">
        <f aca="false">IF(B1476&lt;5,Einstellungen!$B$3,Einstellungen!$B$4)</f>
        <v>15.92</v>
      </c>
      <c r="E1476" s="14" t="str">
        <f aca="false">IF(C1476="","",C1476*D1476/100)</f>
        <v/>
      </c>
      <c r="F1476" s="15" t="str">
        <f aca="false">IF(B1476&lt;5,"Go","Standard")</f>
        <v>Go</v>
      </c>
    </row>
    <row r="1477" customFormat="false" ht="15" hidden="false" customHeight="true" outlineLevel="0" collapsed="false">
      <c r="A1477" s="10" t="n">
        <f aca="false">Einstellungen!$B$5+INT((ROW()-9)/24)</f>
        <v>46027</v>
      </c>
      <c r="B1477" s="11" t="n">
        <f aca="false">MOD(ROW()-9,24)</f>
        <v>4</v>
      </c>
      <c r="C1477" s="12"/>
      <c r="D1477" s="13" t="n">
        <f aca="false">IF(B1477&lt;5,Einstellungen!$B$3,Einstellungen!$B$4)</f>
        <v>15.92</v>
      </c>
      <c r="E1477" s="14" t="str">
        <f aca="false">IF(C1477="","",C1477*D1477/100)</f>
        <v/>
      </c>
      <c r="F1477" s="15" t="str">
        <f aca="false">IF(B1477&lt;5,"Go","Standard")</f>
        <v>Go</v>
      </c>
    </row>
    <row r="1478" customFormat="false" ht="15" hidden="false" customHeight="true" outlineLevel="0" collapsed="false">
      <c r="A1478" s="10" t="n">
        <f aca="false">Einstellungen!$B$5+INT((ROW()-9)/24)</f>
        <v>46027</v>
      </c>
      <c r="B1478" s="11" t="n">
        <f aca="false">MOD(ROW()-9,24)</f>
        <v>5</v>
      </c>
      <c r="C1478" s="12"/>
      <c r="D1478" s="13" t="n">
        <f aca="false">IF(B1478&lt;5,Einstellungen!$B$3,Einstellungen!$B$4)</f>
        <v>29.13</v>
      </c>
      <c r="E1478" s="14" t="str">
        <f aca="false">IF(C1478="","",C1478*D1478/100)</f>
        <v/>
      </c>
      <c r="F1478" s="15" t="str">
        <f aca="false">IF(B1478&lt;5,"Go","Standard")</f>
        <v>Standard</v>
      </c>
    </row>
    <row r="1479" customFormat="false" ht="15" hidden="false" customHeight="true" outlineLevel="0" collapsed="false">
      <c r="A1479" s="10" t="n">
        <f aca="false">Einstellungen!$B$5+INT((ROW()-9)/24)</f>
        <v>46027</v>
      </c>
      <c r="B1479" s="11" t="n">
        <f aca="false">MOD(ROW()-9,24)</f>
        <v>6</v>
      </c>
      <c r="C1479" s="12"/>
      <c r="D1479" s="13" t="n">
        <f aca="false">IF(B1479&lt;5,Einstellungen!$B$3,Einstellungen!$B$4)</f>
        <v>29.13</v>
      </c>
      <c r="E1479" s="14" t="str">
        <f aca="false">IF(C1479="","",C1479*D1479/100)</f>
        <v/>
      </c>
      <c r="F1479" s="15" t="str">
        <f aca="false">IF(B1479&lt;5,"Go","Standard")</f>
        <v>Standard</v>
      </c>
    </row>
    <row r="1480" customFormat="false" ht="15" hidden="false" customHeight="true" outlineLevel="0" collapsed="false">
      <c r="A1480" s="10" t="n">
        <f aca="false">Einstellungen!$B$5+INT((ROW()-9)/24)</f>
        <v>46027</v>
      </c>
      <c r="B1480" s="11" t="n">
        <f aca="false">MOD(ROW()-9,24)</f>
        <v>7</v>
      </c>
      <c r="C1480" s="12"/>
      <c r="D1480" s="13" t="n">
        <f aca="false">IF(B1480&lt;5,Einstellungen!$B$3,Einstellungen!$B$4)</f>
        <v>29.13</v>
      </c>
      <c r="E1480" s="14" t="str">
        <f aca="false">IF(C1480="","",C1480*D1480/100)</f>
        <v/>
      </c>
      <c r="F1480" s="15" t="str">
        <f aca="false">IF(B1480&lt;5,"Go","Standard")</f>
        <v>Standard</v>
      </c>
    </row>
    <row r="1481" customFormat="false" ht="15" hidden="false" customHeight="true" outlineLevel="0" collapsed="false">
      <c r="A1481" s="10" t="n">
        <f aca="false">Einstellungen!$B$5+INT((ROW()-9)/24)</f>
        <v>46027</v>
      </c>
      <c r="B1481" s="11" t="n">
        <f aca="false">MOD(ROW()-9,24)</f>
        <v>8</v>
      </c>
      <c r="C1481" s="12"/>
      <c r="D1481" s="13" t="n">
        <f aca="false">IF(B1481&lt;5,Einstellungen!$B$3,Einstellungen!$B$4)</f>
        <v>29.13</v>
      </c>
      <c r="E1481" s="14" t="str">
        <f aca="false">IF(C1481="","",C1481*D1481/100)</f>
        <v/>
      </c>
      <c r="F1481" s="15" t="str">
        <f aca="false">IF(B1481&lt;5,"Go","Standard")</f>
        <v>Standard</v>
      </c>
    </row>
    <row r="1482" customFormat="false" ht="15" hidden="false" customHeight="true" outlineLevel="0" collapsed="false">
      <c r="A1482" s="10" t="n">
        <f aca="false">Einstellungen!$B$5+INT((ROW()-9)/24)</f>
        <v>46027</v>
      </c>
      <c r="B1482" s="11" t="n">
        <f aca="false">MOD(ROW()-9,24)</f>
        <v>9</v>
      </c>
      <c r="C1482" s="12"/>
      <c r="D1482" s="13" t="n">
        <f aca="false">IF(B1482&lt;5,Einstellungen!$B$3,Einstellungen!$B$4)</f>
        <v>29.13</v>
      </c>
      <c r="E1482" s="14" t="str">
        <f aca="false">IF(C1482="","",C1482*D1482/100)</f>
        <v/>
      </c>
      <c r="F1482" s="15" t="str">
        <f aca="false">IF(B1482&lt;5,"Go","Standard")</f>
        <v>Standard</v>
      </c>
    </row>
    <row r="1483" customFormat="false" ht="15" hidden="false" customHeight="true" outlineLevel="0" collapsed="false">
      <c r="A1483" s="10" t="n">
        <f aca="false">Einstellungen!$B$5+INT((ROW()-9)/24)</f>
        <v>46027</v>
      </c>
      <c r="B1483" s="11" t="n">
        <f aca="false">MOD(ROW()-9,24)</f>
        <v>10</v>
      </c>
      <c r="C1483" s="12"/>
      <c r="D1483" s="13" t="n">
        <f aca="false">IF(B1483&lt;5,Einstellungen!$B$3,Einstellungen!$B$4)</f>
        <v>29.13</v>
      </c>
      <c r="E1483" s="14" t="str">
        <f aca="false">IF(C1483="","",C1483*D1483/100)</f>
        <v/>
      </c>
      <c r="F1483" s="15" t="str">
        <f aca="false">IF(B1483&lt;5,"Go","Standard")</f>
        <v>Standard</v>
      </c>
    </row>
    <row r="1484" customFormat="false" ht="15" hidden="false" customHeight="true" outlineLevel="0" collapsed="false">
      <c r="A1484" s="10" t="n">
        <f aca="false">Einstellungen!$B$5+INT((ROW()-9)/24)</f>
        <v>46027</v>
      </c>
      <c r="B1484" s="11" t="n">
        <f aca="false">MOD(ROW()-9,24)</f>
        <v>11</v>
      </c>
      <c r="C1484" s="12"/>
      <c r="D1484" s="13" t="n">
        <f aca="false">IF(B1484&lt;5,Einstellungen!$B$3,Einstellungen!$B$4)</f>
        <v>29.13</v>
      </c>
      <c r="E1484" s="14" t="str">
        <f aca="false">IF(C1484="","",C1484*D1484/100)</f>
        <v/>
      </c>
      <c r="F1484" s="15" t="str">
        <f aca="false">IF(B1484&lt;5,"Go","Standard")</f>
        <v>Standard</v>
      </c>
    </row>
    <row r="1485" customFormat="false" ht="15" hidden="false" customHeight="true" outlineLevel="0" collapsed="false">
      <c r="A1485" s="10" t="n">
        <f aca="false">Einstellungen!$B$5+INT((ROW()-9)/24)</f>
        <v>46027</v>
      </c>
      <c r="B1485" s="11" t="n">
        <f aca="false">MOD(ROW()-9,24)</f>
        <v>12</v>
      </c>
      <c r="C1485" s="12"/>
      <c r="D1485" s="13" t="n">
        <f aca="false">IF(B1485&lt;5,Einstellungen!$B$3,Einstellungen!$B$4)</f>
        <v>29.13</v>
      </c>
      <c r="E1485" s="14" t="str">
        <f aca="false">IF(C1485="","",C1485*D1485/100)</f>
        <v/>
      </c>
      <c r="F1485" s="15" t="str">
        <f aca="false">IF(B1485&lt;5,"Go","Standard")</f>
        <v>Standard</v>
      </c>
    </row>
    <row r="1486" customFormat="false" ht="15" hidden="false" customHeight="true" outlineLevel="0" collapsed="false">
      <c r="A1486" s="10" t="n">
        <f aca="false">Einstellungen!$B$5+INT((ROW()-9)/24)</f>
        <v>46027</v>
      </c>
      <c r="B1486" s="11" t="n">
        <f aca="false">MOD(ROW()-9,24)</f>
        <v>13</v>
      </c>
      <c r="C1486" s="12"/>
      <c r="D1486" s="13" t="n">
        <f aca="false">IF(B1486&lt;5,Einstellungen!$B$3,Einstellungen!$B$4)</f>
        <v>29.13</v>
      </c>
      <c r="E1486" s="14" t="str">
        <f aca="false">IF(C1486="","",C1486*D1486/100)</f>
        <v/>
      </c>
      <c r="F1486" s="15" t="str">
        <f aca="false">IF(B1486&lt;5,"Go","Standard")</f>
        <v>Standard</v>
      </c>
    </row>
    <row r="1487" customFormat="false" ht="15" hidden="false" customHeight="true" outlineLevel="0" collapsed="false">
      <c r="A1487" s="10" t="n">
        <f aca="false">Einstellungen!$B$5+INT((ROW()-9)/24)</f>
        <v>46027</v>
      </c>
      <c r="B1487" s="11" t="n">
        <f aca="false">MOD(ROW()-9,24)</f>
        <v>14</v>
      </c>
      <c r="C1487" s="12"/>
      <c r="D1487" s="13" t="n">
        <f aca="false">IF(B1487&lt;5,Einstellungen!$B$3,Einstellungen!$B$4)</f>
        <v>29.13</v>
      </c>
      <c r="E1487" s="14" t="str">
        <f aca="false">IF(C1487="","",C1487*D1487/100)</f>
        <v/>
      </c>
      <c r="F1487" s="15" t="str">
        <f aca="false">IF(B1487&lt;5,"Go","Standard")</f>
        <v>Standard</v>
      </c>
    </row>
    <row r="1488" customFormat="false" ht="15" hidden="false" customHeight="true" outlineLevel="0" collapsed="false">
      <c r="A1488" s="10" t="n">
        <f aca="false">Einstellungen!$B$5+INT((ROW()-9)/24)</f>
        <v>46027</v>
      </c>
      <c r="B1488" s="11" t="n">
        <f aca="false">MOD(ROW()-9,24)</f>
        <v>15</v>
      </c>
      <c r="C1488" s="12"/>
      <c r="D1488" s="13" t="n">
        <f aca="false">IF(B1488&lt;5,Einstellungen!$B$3,Einstellungen!$B$4)</f>
        <v>29.13</v>
      </c>
      <c r="E1488" s="14" t="str">
        <f aca="false">IF(C1488="","",C1488*D1488/100)</f>
        <v/>
      </c>
      <c r="F1488" s="15" t="str">
        <f aca="false">IF(B1488&lt;5,"Go","Standard")</f>
        <v>Standard</v>
      </c>
    </row>
    <row r="1489" customFormat="false" ht="15" hidden="false" customHeight="true" outlineLevel="0" collapsed="false">
      <c r="A1489" s="10" t="n">
        <f aca="false">Einstellungen!$B$5+INT((ROW()-9)/24)</f>
        <v>46027</v>
      </c>
      <c r="B1489" s="11" t="n">
        <f aca="false">MOD(ROW()-9,24)</f>
        <v>16</v>
      </c>
      <c r="C1489" s="12"/>
      <c r="D1489" s="13" t="n">
        <f aca="false">IF(B1489&lt;5,Einstellungen!$B$3,Einstellungen!$B$4)</f>
        <v>29.13</v>
      </c>
      <c r="E1489" s="14" t="str">
        <f aca="false">IF(C1489="","",C1489*D1489/100)</f>
        <v/>
      </c>
      <c r="F1489" s="15" t="str">
        <f aca="false">IF(B1489&lt;5,"Go","Standard")</f>
        <v>Standard</v>
      </c>
    </row>
    <row r="1490" customFormat="false" ht="15" hidden="false" customHeight="true" outlineLevel="0" collapsed="false">
      <c r="A1490" s="10" t="n">
        <f aca="false">Einstellungen!$B$5+INT((ROW()-9)/24)</f>
        <v>46027</v>
      </c>
      <c r="B1490" s="11" t="n">
        <f aca="false">MOD(ROW()-9,24)</f>
        <v>17</v>
      </c>
      <c r="C1490" s="12"/>
      <c r="D1490" s="13" t="n">
        <f aca="false">IF(B1490&lt;5,Einstellungen!$B$3,Einstellungen!$B$4)</f>
        <v>29.13</v>
      </c>
      <c r="E1490" s="14" t="str">
        <f aca="false">IF(C1490="","",C1490*D1490/100)</f>
        <v/>
      </c>
      <c r="F1490" s="15" t="str">
        <f aca="false">IF(B1490&lt;5,"Go","Standard")</f>
        <v>Standard</v>
      </c>
    </row>
    <row r="1491" customFormat="false" ht="15" hidden="false" customHeight="true" outlineLevel="0" collapsed="false">
      <c r="A1491" s="10" t="n">
        <f aca="false">Einstellungen!$B$5+INT((ROW()-9)/24)</f>
        <v>46027</v>
      </c>
      <c r="B1491" s="11" t="n">
        <f aca="false">MOD(ROW()-9,24)</f>
        <v>18</v>
      </c>
      <c r="C1491" s="12"/>
      <c r="D1491" s="13" t="n">
        <f aca="false">IF(B1491&lt;5,Einstellungen!$B$3,Einstellungen!$B$4)</f>
        <v>29.13</v>
      </c>
      <c r="E1491" s="14" t="str">
        <f aca="false">IF(C1491="","",C1491*D1491/100)</f>
        <v/>
      </c>
      <c r="F1491" s="15" t="str">
        <f aca="false">IF(B1491&lt;5,"Go","Standard")</f>
        <v>Standard</v>
      </c>
    </row>
    <row r="1492" customFormat="false" ht="15" hidden="false" customHeight="true" outlineLevel="0" collapsed="false">
      <c r="A1492" s="10" t="n">
        <f aca="false">Einstellungen!$B$5+INT((ROW()-9)/24)</f>
        <v>46027</v>
      </c>
      <c r="B1492" s="11" t="n">
        <f aca="false">MOD(ROW()-9,24)</f>
        <v>19</v>
      </c>
      <c r="C1492" s="12"/>
      <c r="D1492" s="13" t="n">
        <f aca="false">IF(B1492&lt;5,Einstellungen!$B$3,Einstellungen!$B$4)</f>
        <v>29.13</v>
      </c>
      <c r="E1492" s="14" t="str">
        <f aca="false">IF(C1492="","",C1492*D1492/100)</f>
        <v/>
      </c>
      <c r="F1492" s="15" t="str">
        <f aca="false">IF(B1492&lt;5,"Go","Standard")</f>
        <v>Standard</v>
      </c>
    </row>
    <row r="1493" customFormat="false" ht="15" hidden="false" customHeight="true" outlineLevel="0" collapsed="false">
      <c r="A1493" s="10" t="n">
        <f aca="false">Einstellungen!$B$5+INT((ROW()-9)/24)</f>
        <v>46027</v>
      </c>
      <c r="B1493" s="11" t="n">
        <f aca="false">MOD(ROW()-9,24)</f>
        <v>20</v>
      </c>
      <c r="C1493" s="12"/>
      <c r="D1493" s="13" t="n">
        <f aca="false">IF(B1493&lt;5,Einstellungen!$B$3,Einstellungen!$B$4)</f>
        <v>29.13</v>
      </c>
      <c r="E1493" s="14" t="str">
        <f aca="false">IF(C1493="","",C1493*D1493/100)</f>
        <v/>
      </c>
      <c r="F1493" s="15" t="str">
        <f aca="false">IF(B1493&lt;5,"Go","Standard")</f>
        <v>Standard</v>
      </c>
    </row>
    <row r="1494" customFormat="false" ht="15" hidden="false" customHeight="true" outlineLevel="0" collapsed="false">
      <c r="A1494" s="10" t="n">
        <f aca="false">Einstellungen!$B$5+INT((ROW()-9)/24)</f>
        <v>46027</v>
      </c>
      <c r="B1494" s="11" t="n">
        <f aca="false">MOD(ROW()-9,24)</f>
        <v>21</v>
      </c>
      <c r="C1494" s="12"/>
      <c r="D1494" s="13" t="n">
        <f aca="false">IF(B1494&lt;5,Einstellungen!$B$3,Einstellungen!$B$4)</f>
        <v>29.13</v>
      </c>
      <c r="E1494" s="14" t="str">
        <f aca="false">IF(C1494="","",C1494*D1494/100)</f>
        <v/>
      </c>
      <c r="F1494" s="15" t="str">
        <f aca="false">IF(B1494&lt;5,"Go","Standard")</f>
        <v>Standard</v>
      </c>
    </row>
    <row r="1495" customFormat="false" ht="15" hidden="false" customHeight="true" outlineLevel="0" collapsed="false">
      <c r="A1495" s="10" t="n">
        <f aca="false">Einstellungen!$B$5+INT((ROW()-9)/24)</f>
        <v>46027</v>
      </c>
      <c r="B1495" s="11" t="n">
        <f aca="false">MOD(ROW()-9,24)</f>
        <v>22</v>
      </c>
      <c r="C1495" s="12"/>
      <c r="D1495" s="13" t="n">
        <f aca="false">IF(B1495&lt;5,Einstellungen!$B$3,Einstellungen!$B$4)</f>
        <v>29.13</v>
      </c>
      <c r="E1495" s="14" t="str">
        <f aca="false">IF(C1495="","",C1495*D1495/100)</f>
        <v/>
      </c>
      <c r="F1495" s="15" t="str">
        <f aca="false">IF(B1495&lt;5,"Go","Standard")</f>
        <v>Standard</v>
      </c>
    </row>
    <row r="1496" customFormat="false" ht="15" hidden="false" customHeight="true" outlineLevel="0" collapsed="false">
      <c r="A1496" s="10" t="n">
        <f aca="false">Einstellungen!$B$5+INT((ROW()-9)/24)</f>
        <v>46027</v>
      </c>
      <c r="B1496" s="11" t="n">
        <f aca="false">MOD(ROW()-9,24)</f>
        <v>23</v>
      </c>
      <c r="C1496" s="12"/>
      <c r="D1496" s="13" t="n">
        <f aca="false">IF(B1496&lt;5,Einstellungen!$B$3,Einstellungen!$B$4)</f>
        <v>29.13</v>
      </c>
      <c r="E1496" s="14" t="str">
        <f aca="false">IF(C1496="","",C1496*D1496/100)</f>
        <v/>
      </c>
      <c r="F1496" s="15" t="str">
        <f aca="false">IF(B1496&lt;5,"Go","Standard")</f>
        <v>Standard</v>
      </c>
    </row>
    <row r="1497" customFormat="false" ht="15" hidden="false" customHeight="true" outlineLevel="0" collapsed="false">
      <c r="A1497" s="10" t="n">
        <f aca="false">Einstellungen!$B$5+INT((ROW()-9)/24)</f>
        <v>46028</v>
      </c>
      <c r="B1497" s="11" t="n">
        <f aca="false">MOD(ROW()-9,24)</f>
        <v>0</v>
      </c>
      <c r="C1497" s="12"/>
      <c r="D1497" s="13" t="n">
        <f aca="false">IF(B1497&lt;5,Einstellungen!$B$3,Einstellungen!$B$4)</f>
        <v>15.92</v>
      </c>
      <c r="E1497" s="14" t="str">
        <f aca="false">IF(C1497="","",C1497*D1497/100)</f>
        <v/>
      </c>
      <c r="F1497" s="15" t="str">
        <f aca="false">IF(B1497&lt;5,"Go","Standard")</f>
        <v>Go</v>
      </c>
    </row>
    <row r="1498" customFormat="false" ht="15" hidden="false" customHeight="true" outlineLevel="0" collapsed="false">
      <c r="A1498" s="10" t="n">
        <f aca="false">Einstellungen!$B$5+INT((ROW()-9)/24)</f>
        <v>46028</v>
      </c>
      <c r="B1498" s="11" t="n">
        <f aca="false">MOD(ROW()-9,24)</f>
        <v>1</v>
      </c>
      <c r="C1498" s="12"/>
      <c r="D1498" s="13" t="n">
        <f aca="false">IF(B1498&lt;5,Einstellungen!$B$3,Einstellungen!$B$4)</f>
        <v>15.92</v>
      </c>
      <c r="E1498" s="14" t="str">
        <f aca="false">IF(C1498="","",C1498*D1498/100)</f>
        <v/>
      </c>
      <c r="F1498" s="15" t="str">
        <f aca="false">IF(B1498&lt;5,"Go","Standard")</f>
        <v>Go</v>
      </c>
    </row>
    <row r="1499" customFormat="false" ht="15" hidden="false" customHeight="true" outlineLevel="0" collapsed="false">
      <c r="A1499" s="10" t="n">
        <f aca="false">Einstellungen!$B$5+INT((ROW()-9)/24)</f>
        <v>46028</v>
      </c>
      <c r="B1499" s="11" t="n">
        <f aca="false">MOD(ROW()-9,24)</f>
        <v>2</v>
      </c>
      <c r="C1499" s="12"/>
      <c r="D1499" s="13" t="n">
        <f aca="false">IF(B1499&lt;5,Einstellungen!$B$3,Einstellungen!$B$4)</f>
        <v>15.92</v>
      </c>
      <c r="E1499" s="14" t="str">
        <f aca="false">IF(C1499="","",C1499*D1499/100)</f>
        <v/>
      </c>
      <c r="F1499" s="15" t="str">
        <f aca="false">IF(B1499&lt;5,"Go","Standard")</f>
        <v>Go</v>
      </c>
    </row>
    <row r="1500" customFormat="false" ht="15" hidden="false" customHeight="true" outlineLevel="0" collapsed="false">
      <c r="A1500" s="10" t="n">
        <f aca="false">Einstellungen!$B$5+INT((ROW()-9)/24)</f>
        <v>46028</v>
      </c>
      <c r="B1500" s="11" t="n">
        <f aca="false">MOD(ROW()-9,24)</f>
        <v>3</v>
      </c>
      <c r="C1500" s="12"/>
      <c r="D1500" s="13" t="n">
        <f aca="false">IF(B1500&lt;5,Einstellungen!$B$3,Einstellungen!$B$4)</f>
        <v>15.92</v>
      </c>
      <c r="E1500" s="14" t="str">
        <f aca="false">IF(C1500="","",C1500*D1500/100)</f>
        <v/>
      </c>
      <c r="F1500" s="15" t="str">
        <f aca="false">IF(B1500&lt;5,"Go","Standard")</f>
        <v>Go</v>
      </c>
    </row>
    <row r="1501" customFormat="false" ht="15" hidden="false" customHeight="true" outlineLevel="0" collapsed="false">
      <c r="A1501" s="10" t="n">
        <f aca="false">Einstellungen!$B$5+INT((ROW()-9)/24)</f>
        <v>46028</v>
      </c>
      <c r="B1501" s="11" t="n">
        <f aca="false">MOD(ROW()-9,24)</f>
        <v>4</v>
      </c>
      <c r="C1501" s="12"/>
      <c r="D1501" s="13" t="n">
        <f aca="false">IF(B1501&lt;5,Einstellungen!$B$3,Einstellungen!$B$4)</f>
        <v>15.92</v>
      </c>
      <c r="E1501" s="14" t="str">
        <f aca="false">IF(C1501="","",C1501*D1501/100)</f>
        <v/>
      </c>
      <c r="F1501" s="15" t="str">
        <f aca="false">IF(B1501&lt;5,"Go","Standard")</f>
        <v>Go</v>
      </c>
    </row>
    <row r="1502" customFormat="false" ht="15" hidden="false" customHeight="true" outlineLevel="0" collapsed="false">
      <c r="A1502" s="10" t="n">
        <f aca="false">Einstellungen!$B$5+INT((ROW()-9)/24)</f>
        <v>46028</v>
      </c>
      <c r="B1502" s="11" t="n">
        <f aca="false">MOD(ROW()-9,24)</f>
        <v>5</v>
      </c>
      <c r="C1502" s="12"/>
      <c r="D1502" s="13" t="n">
        <f aca="false">IF(B1502&lt;5,Einstellungen!$B$3,Einstellungen!$B$4)</f>
        <v>29.13</v>
      </c>
      <c r="E1502" s="14" t="str">
        <f aca="false">IF(C1502="","",C1502*D1502/100)</f>
        <v/>
      </c>
      <c r="F1502" s="15" t="str">
        <f aca="false">IF(B1502&lt;5,"Go","Standard")</f>
        <v>Standard</v>
      </c>
    </row>
    <row r="1503" customFormat="false" ht="15" hidden="false" customHeight="true" outlineLevel="0" collapsed="false">
      <c r="A1503" s="10" t="n">
        <f aca="false">Einstellungen!$B$5+INT((ROW()-9)/24)</f>
        <v>46028</v>
      </c>
      <c r="B1503" s="11" t="n">
        <f aca="false">MOD(ROW()-9,24)</f>
        <v>6</v>
      </c>
      <c r="C1503" s="12"/>
      <c r="D1503" s="13" t="n">
        <f aca="false">IF(B1503&lt;5,Einstellungen!$B$3,Einstellungen!$B$4)</f>
        <v>29.13</v>
      </c>
      <c r="E1503" s="14" t="str">
        <f aca="false">IF(C1503="","",C1503*D1503/100)</f>
        <v/>
      </c>
      <c r="F1503" s="15" t="str">
        <f aca="false">IF(B1503&lt;5,"Go","Standard")</f>
        <v>Standard</v>
      </c>
    </row>
    <row r="1504" customFormat="false" ht="15" hidden="false" customHeight="true" outlineLevel="0" collapsed="false">
      <c r="A1504" s="10" t="n">
        <f aca="false">Einstellungen!$B$5+INT((ROW()-9)/24)</f>
        <v>46028</v>
      </c>
      <c r="B1504" s="11" t="n">
        <f aca="false">MOD(ROW()-9,24)</f>
        <v>7</v>
      </c>
      <c r="C1504" s="12"/>
      <c r="D1504" s="13" t="n">
        <f aca="false">IF(B1504&lt;5,Einstellungen!$B$3,Einstellungen!$B$4)</f>
        <v>29.13</v>
      </c>
      <c r="E1504" s="14" t="str">
        <f aca="false">IF(C1504="","",C1504*D1504/100)</f>
        <v/>
      </c>
      <c r="F1504" s="15" t="str">
        <f aca="false">IF(B1504&lt;5,"Go","Standard")</f>
        <v>Standard</v>
      </c>
    </row>
    <row r="1505" customFormat="false" ht="15" hidden="false" customHeight="true" outlineLevel="0" collapsed="false">
      <c r="A1505" s="10" t="n">
        <f aca="false">Einstellungen!$B$5+INT((ROW()-9)/24)</f>
        <v>46028</v>
      </c>
      <c r="B1505" s="11" t="n">
        <f aca="false">MOD(ROW()-9,24)</f>
        <v>8</v>
      </c>
      <c r="C1505" s="12"/>
      <c r="D1505" s="13" t="n">
        <f aca="false">IF(B1505&lt;5,Einstellungen!$B$3,Einstellungen!$B$4)</f>
        <v>29.13</v>
      </c>
      <c r="E1505" s="14" t="str">
        <f aca="false">IF(C1505="","",C1505*D1505/100)</f>
        <v/>
      </c>
      <c r="F1505" s="15" t="str">
        <f aca="false">IF(B1505&lt;5,"Go","Standard")</f>
        <v>Standard</v>
      </c>
    </row>
    <row r="1506" customFormat="false" ht="15" hidden="false" customHeight="true" outlineLevel="0" collapsed="false">
      <c r="A1506" s="10" t="n">
        <f aca="false">Einstellungen!$B$5+INT((ROW()-9)/24)</f>
        <v>46028</v>
      </c>
      <c r="B1506" s="11" t="n">
        <f aca="false">MOD(ROW()-9,24)</f>
        <v>9</v>
      </c>
      <c r="C1506" s="12"/>
      <c r="D1506" s="13" t="n">
        <f aca="false">IF(B1506&lt;5,Einstellungen!$B$3,Einstellungen!$B$4)</f>
        <v>29.13</v>
      </c>
      <c r="E1506" s="14" t="str">
        <f aca="false">IF(C1506="","",C1506*D1506/100)</f>
        <v/>
      </c>
      <c r="F1506" s="15" t="str">
        <f aca="false">IF(B1506&lt;5,"Go","Standard")</f>
        <v>Standard</v>
      </c>
    </row>
    <row r="1507" customFormat="false" ht="15" hidden="false" customHeight="true" outlineLevel="0" collapsed="false">
      <c r="A1507" s="10" t="n">
        <f aca="false">Einstellungen!$B$5+INT((ROW()-9)/24)</f>
        <v>46028</v>
      </c>
      <c r="B1507" s="11" t="n">
        <f aca="false">MOD(ROW()-9,24)</f>
        <v>10</v>
      </c>
      <c r="C1507" s="12"/>
      <c r="D1507" s="13" t="n">
        <f aca="false">IF(B1507&lt;5,Einstellungen!$B$3,Einstellungen!$B$4)</f>
        <v>29.13</v>
      </c>
      <c r="E1507" s="14" t="str">
        <f aca="false">IF(C1507="","",C1507*D1507/100)</f>
        <v/>
      </c>
      <c r="F1507" s="15" t="str">
        <f aca="false">IF(B1507&lt;5,"Go","Standard")</f>
        <v>Standard</v>
      </c>
    </row>
    <row r="1508" customFormat="false" ht="15" hidden="false" customHeight="true" outlineLevel="0" collapsed="false">
      <c r="A1508" s="10" t="n">
        <f aca="false">Einstellungen!$B$5+INT((ROW()-9)/24)</f>
        <v>46028</v>
      </c>
      <c r="B1508" s="11" t="n">
        <f aca="false">MOD(ROW()-9,24)</f>
        <v>11</v>
      </c>
      <c r="C1508" s="12"/>
      <c r="D1508" s="13" t="n">
        <f aca="false">IF(B1508&lt;5,Einstellungen!$B$3,Einstellungen!$B$4)</f>
        <v>29.13</v>
      </c>
      <c r="E1508" s="14" t="str">
        <f aca="false">IF(C1508="","",C1508*D1508/100)</f>
        <v/>
      </c>
      <c r="F1508" s="15" t="str">
        <f aca="false">IF(B1508&lt;5,"Go","Standard")</f>
        <v>Standard</v>
      </c>
    </row>
    <row r="1509" customFormat="false" ht="15" hidden="false" customHeight="true" outlineLevel="0" collapsed="false">
      <c r="A1509" s="10" t="n">
        <f aca="false">Einstellungen!$B$5+INT((ROW()-9)/24)</f>
        <v>46028</v>
      </c>
      <c r="B1509" s="11" t="n">
        <f aca="false">MOD(ROW()-9,24)</f>
        <v>12</v>
      </c>
      <c r="C1509" s="12"/>
      <c r="D1509" s="13" t="n">
        <f aca="false">IF(B1509&lt;5,Einstellungen!$B$3,Einstellungen!$B$4)</f>
        <v>29.13</v>
      </c>
      <c r="E1509" s="14" t="str">
        <f aca="false">IF(C1509="","",C1509*D1509/100)</f>
        <v/>
      </c>
      <c r="F1509" s="15" t="str">
        <f aca="false">IF(B1509&lt;5,"Go","Standard")</f>
        <v>Standard</v>
      </c>
    </row>
    <row r="1510" customFormat="false" ht="15" hidden="false" customHeight="true" outlineLevel="0" collapsed="false">
      <c r="A1510" s="10" t="n">
        <f aca="false">Einstellungen!$B$5+INT((ROW()-9)/24)</f>
        <v>46028</v>
      </c>
      <c r="B1510" s="11" t="n">
        <f aca="false">MOD(ROW()-9,24)</f>
        <v>13</v>
      </c>
      <c r="C1510" s="12"/>
      <c r="D1510" s="13" t="n">
        <f aca="false">IF(B1510&lt;5,Einstellungen!$B$3,Einstellungen!$B$4)</f>
        <v>29.13</v>
      </c>
      <c r="E1510" s="14" t="str">
        <f aca="false">IF(C1510="","",C1510*D1510/100)</f>
        <v/>
      </c>
      <c r="F1510" s="15" t="str">
        <f aca="false">IF(B1510&lt;5,"Go","Standard")</f>
        <v>Standard</v>
      </c>
    </row>
    <row r="1511" customFormat="false" ht="15" hidden="false" customHeight="true" outlineLevel="0" collapsed="false">
      <c r="A1511" s="10" t="n">
        <f aca="false">Einstellungen!$B$5+INT((ROW()-9)/24)</f>
        <v>46028</v>
      </c>
      <c r="B1511" s="11" t="n">
        <f aca="false">MOD(ROW()-9,24)</f>
        <v>14</v>
      </c>
      <c r="C1511" s="12"/>
      <c r="D1511" s="13" t="n">
        <f aca="false">IF(B1511&lt;5,Einstellungen!$B$3,Einstellungen!$B$4)</f>
        <v>29.13</v>
      </c>
      <c r="E1511" s="14" t="str">
        <f aca="false">IF(C1511="","",C1511*D1511/100)</f>
        <v/>
      </c>
      <c r="F1511" s="15" t="str">
        <f aca="false">IF(B1511&lt;5,"Go","Standard")</f>
        <v>Standard</v>
      </c>
    </row>
    <row r="1512" customFormat="false" ht="15" hidden="false" customHeight="true" outlineLevel="0" collapsed="false">
      <c r="A1512" s="10" t="n">
        <f aca="false">Einstellungen!$B$5+INT((ROW()-9)/24)</f>
        <v>46028</v>
      </c>
      <c r="B1512" s="11" t="n">
        <f aca="false">MOD(ROW()-9,24)</f>
        <v>15</v>
      </c>
      <c r="C1512" s="12"/>
      <c r="D1512" s="13" t="n">
        <f aca="false">IF(B1512&lt;5,Einstellungen!$B$3,Einstellungen!$B$4)</f>
        <v>29.13</v>
      </c>
      <c r="E1512" s="14" t="str">
        <f aca="false">IF(C1512="","",C1512*D1512/100)</f>
        <v/>
      </c>
      <c r="F1512" s="15" t="str">
        <f aca="false">IF(B1512&lt;5,"Go","Standard")</f>
        <v>Standard</v>
      </c>
    </row>
    <row r="1513" customFormat="false" ht="15" hidden="false" customHeight="true" outlineLevel="0" collapsed="false">
      <c r="A1513" s="10" t="n">
        <f aca="false">Einstellungen!$B$5+INT((ROW()-9)/24)</f>
        <v>46028</v>
      </c>
      <c r="B1513" s="11" t="n">
        <f aca="false">MOD(ROW()-9,24)</f>
        <v>16</v>
      </c>
      <c r="C1513" s="12"/>
      <c r="D1513" s="13" t="n">
        <f aca="false">IF(B1513&lt;5,Einstellungen!$B$3,Einstellungen!$B$4)</f>
        <v>29.13</v>
      </c>
      <c r="E1513" s="14" t="str">
        <f aca="false">IF(C1513="","",C1513*D1513/100)</f>
        <v/>
      </c>
      <c r="F1513" s="15" t="str">
        <f aca="false">IF(B1513&lt;5,"Go","Standard")</f>
        <v>Standard</v>
      </c>
    </row>
    <row r="1514" customFormat="false" ht="15" hidden="false" customHeight="true" outlineLevel="0" collapsed="false">
      <c r="A1514" s="10" t="n">
        <f aca="false">Einstellungen!$B$5+INT((ROW()-9)/24)</f>
        <v>46028</v>
      </c>
      <c r="B1514" s="11" t="n">
        <f aca="false">MOD(ROW()-9,24)</f>
        <v>17</v>
      </c>
      <c r="C1514" s="12"/>
      <c r="D1514" s="13" t="n">
        <f aca="false">IF(B1514&lt;5,Einstellungen!$B$3,Einstellungen!$B$4)</f>
        <v>29.13</v>
      </c>
      <c r="E1514" s="14" t="str">
        <f aca="false">IF(C1514="","",C1514*D1514/100)</f>
        <v/>
      </c>
      <c r="F1514" s="15" t="str">
        <f aca="false">IF(B1514&lt;5,"Go","Standard")</f>
        <v>Standard</v>
      </c>
    </row>
    <row r="1515" customFormat="false" ht="15" hidden="false" customHeight="true" outlineLevel="0" collapsed="false">
      <c r="A1515" s="10" t="n">
        <f aca="false">Einstellungen!$B$5+INT((ROW()-9)/24)</f>
        <v>46028</v>
      </c>
      <c r="B1515" s="11" t="n">
        <f aca="false">MOD(ROW()-9,24)</f>
        <v>18</v>
      </c>
      <c r="C1515" s="12"/>
      <c r="D1515" s="13" t="n">
        <f aca="false">IF(B1515&lt;5,Einstellungen!$B$3,Einstellungen!$B$4)</f>
        <v>29.13</v>
      </c>
      <c r="E1515" s="14" t="str">
        <f aca="false">IF(C1515="","",C1515*D1515/100)</f>
        <v/>
      </c>
      <c r="F1515" s="15" t="str">
        <f aca="false">IF(B1515&lt;5,"Go","Standard")</f>
        <v>Standard</v>
      </c>
    </row>
    <row r="1516" customFormat="false" ht="15" hidden="false" customHeight="true" outlineLevel="0" collapsed="false">
      <c r="A1516" s="10" t="n">
        <f aca="false">Einstellungen!$B$5+INT((ROW()-9)/24)</f>
        <v>46028</v>
      </c>
      <c r="B1516" s="11" t="n">
        <f aca="false">MOD(ROW()-9,24)</f>
        <v>19</v>
      </c>
      <c r="C1516" s="12"/>
      <c r="D1516" s="13" t="n">
        <f aca="false">IF(B1516&lt;5,Einstellungen!$B$3,Einstellungen!$B$4)</f>
        <v>29.13</v>
      </c>
      <c r="E1516" s="14" t="str">
        <f aca="false">IF(C1516="","",C1516*D1516/100)</f>
        <v/>
      </c>
      <c r="F1516" s="15" t="str">
        <f aca="false">IF(B1516&lt;5,"Go","Standard")</f>
        <v>Standard</v>
      </c>
    </row>
    <row r="1517" customFormat="false" ht="15" hidden="false" customHeight="true" outlineLevel="0" collapsed="false">
      <c r="A1517" s="10" t="n">
        <f aca="false">Einstellungen!$B$5+INT((ROW()-9)/24)</f>
        <v>46028</v>
      </c>
      <c r="B1517" s="11" t="n">
        <f aca="false">MOD(ROW()-9,24)</f>
        <v>20</v>
      </c>
      <c r="C1517" s="12"/>
      <c r="D1517" s="13" t="n">
        <f aca="false">IF(B1517&lt;5,Einstellungen!$B$3,Einstellungen!$B$4)</f>
        <v>29.13</v>
      </c>
      <c r="E1517" s="14" t="str">
        <f aca="false">IF(C1517="","",C1517*D1517/100)</f>
        <v/>
      </c>
      <c r="F1517" s="15" t="str">
        <f aca="false">IF(B1517&lt;5,"Go","Standard")</f>
        <v>Standard</v>
      </c>
    </row>
    <row r="1518" customFormat="false" ht="15" hidden="false" customHeight="true" outlineLevel="0" collapsed="false">
      <c r="A1518" s="10" t="n">
        <f aca="false">Einstellungen!$B$5+INT((ROW()-9)/24)</f>
        <v>46028</v>
      </c>
      <c r="B1518" s="11" t="n">
        <f aca="false">MOD(ROW()-9,24)</f>
        <v>21</v>
      </c>
      <c r="C1518" s="12"/>
      <c r="D1518" s="13" t="n">
        <f aca="false">IF(B1518&lt;5,Einstellungen!$B$3,Einstellungen!$B$4)</f>
        <v>29.13</v>
      </c>
      <c r="E1518" s="14" t="str">
        <f aca="false">IF(C1518="","",C1518*D1518/100)</f>
        <v/>
      </c>
      <c r="F1518" s="15" t="str">
        <f aca="false">IF(B1518&lt;5,"Go","Standard")</f>
        <v>Standard</v>
      </c>
    </row>
    <row r="1519" customFormat="false" ht="15" hidden="false" customHeight="true" outlineLevel="0" collapsed="false">
      <c r="A1519" s="10" t="n">
        <f aca="false">Einstellungen!$B$5+INT((ROW()-9)/24)</f>
        <v>46028</v>
      </c>
      <c r="B1519" s="11" t="n">
        <f aca="false">MOD(ROW()-9,24)</f>
        <v>22</v>
      </c>
      <c r="C1519" s="12"/>
      <c r="D1519" s="13" t="n">
        <f aca="false">IF(B1519&lt;5,Einstellungen!$B$3,Einstellungen!$B$4)</f>
        <v>29.13</v>
      </c>
      <c r="E1519" s="14" t="str">
        <f aca="false">IF(C1519="","",C1519*D1519/100)</f>
        <v/>
      </c>
      <c r="F1519" s="15" t="str">
        <f aca="false">IF(B1519&lt;5,"Go","Standard")</f>
        <v>Standard</v>
      </c>
    </row>
    <row r="1520" customFormat="false" ht="15" hidden="false" customHeight="true" outlineLevel="0" collapsed="false">
      <c r="A1520" s="10" t="n">
        <f aca="false">Einstellungen!$B$5+INT((ROW()-9)/24)</f>
        <v>46028</v>
      </c>
      <c r="B1520" s="11" t="n">
        <f aca="false">MOD(ROW()-9,24)</f>
        <v>23</v>
      </c>
      <c r="C1520" s="12"/>
      <c r="D1520" s="13" t="n">
        <f aca="false">IF(B1520&lt;5,Einstellungen!$B$3,Einstellungen!$B$4)</f>
        <v>29.13</v>
      </c>
      <c r="E1520" s="14" t="str">
        <f aca="false">IF(C1520="","",C1520*D1520/100)</f>
        <v/>
      </c>
      <c r="F1520" s="15" t="str">
        <f aca="false">IF(B1520&lt;5,"Go","Standard")</f>
        <v>Standard</v>
      </c>
    </row>
    <row r="1521" customFormat="false" ht="15" hidden="false" customHeight="true" outlineLevel="0" collapsed="false">
      <c r="A1521" s="10" t="n">
        <f aca="false">Einstellungen!$B$5+INT((ROW()-9)/24)</f>
        <v>46029</v>
      </c>
      <c r="B1521" s="11" t="n">
        <f aca="false">MOD(ROW()-9,24)</f>
        <v>0</v>
      </c>
      <c r="C1521" s="12"/>
      <c r="D1521" s="13" t="n">
        <f aca="false">IF(B1521&lt;5,Einstellungen!$B$3,Einstellungen!$B$4)</f>
        <v>15.92</v>
      </c>
      <c r="E1521" s="14" t="str">
        <f aca="false">IF(C1521="","",C1521*D1521/100)</f>
        <v/>
      </c>
      <c r="F1521" s="15" t="str">
        <f aca="false">IF(B1521&lt;5,"Go","Standard")</f>
        <v>Go</v>
      </c>
    </row>
    <row r="1522" customFormat="false" ht="15" hidden="false" customHeight="true" outlineLevel="0" collapsed="false">
      <c r="A1522" s="10" t="n">
        <f aca="false">Einstellungen!$B$5+INT((ROW()-9)/24)</f>
        <v>46029</v>
      </c>
      <c r="B1522" s="11" t="n">
        <f aca="false">MOD(ROW()-9,24)</f>
        <v>1</v>
      </c>
      <c r="C1522" s="12"/>
      <c r="D1522" s="13" t="n">
        <f aca="false">IF(B1522&lt;5,Einstellungen!$B$3,Einstellungen!$B$4)</f>
        <v>15.92</v>
      </c>
      <c r="E1522" s="14" t="str">
        <f aca="false">IF(C1522="","",C1522*D1522/100)</f>
        <v/>
      </c>
      <c r="F1522" s="15" t="str">
        <f aca="false">IF(B1522&lt;5,"Go","Standard")</f>
        <v>Go</v>
      </c>
    </row>
    <row r="1523" customFormat="false" ht="15" hidden="false" customHeight="true" outlineLevel="0" collapsed="false">
      <c r="A1523" s="10" t="n">
        <f aca="false">Einstellungen!$B$5+INT((ROW()-9)/24)</f>
        <v>46029</v>
      </c>
      <c r="B1523" s="11" t="n">
        <f aca="false">MOD(ROW()-9,24)</f>
        <v>2</v>
      </c>
      <c r="C1523" s="12"/>
      <c r="D1523" s="13" t="n">
        <f aca="false">IF(B1523&lt;5,Einstellungen!$B$3,Einstellungen!$B$4)</f>
        <v>15.92</v>
      </c>
      <c r="E1523" s="14" t="str">
        <f aca="false">IF(C1523="","",C1523*D1523/100)</f>
        <v/>
      </c>
      <c r="F1523" s="15" t="str">
        <f aca="false">IF(B1523&lt;5,"Go","Standard")</f>
        <v>Go</v>
      </c>
    </row>
    <row r="1524" customFormat="false" ht="15" hidden="false" customHeight="true" outlineLevel="0" collapsed="false">
      <c r="A1524" s="10" t="n">
        <f aca="false">Einstellungen!$B$5+INT((ROW()-9)/24)</f>
        <v>46029</v>
      </c>
      <c r="B1524" s="11" t="n">
        <f aca="false">MOD(ROW()-9,24)</f>
        <v>3</v>
      </c>
      <c r="C1524" s="12"/>
      <c r="D1524" s="13" t="n">
        <f aca="false">IF(B1524&lt;5,Einstellungen!$B$3,Einstellungen!$B$4)</f>
        <v>15.92</v>
      </c>
      <c r="E1524" s="14" t="str">
        <f aca="false">IF(C1524="","",C1524*D1524/100)</f>
        <v/>
      </c>
      <c r="F1524" s="15" t="str">
        <f aca="false">IF(B1524&lt;5,"Go","Standard")</f>
        <v>Go</v>
      </c>
    </row>
    <row r="1525" customFormat="false" ht="15" hidden="false" customHeight="true" outlineLevel="0" collapsed="false">
      <c r="A1525" s="10" t="n">
        <f aca="false">Einstellungen!$B$5+INT((ROW()-9)/24)</f>
        <v>46029</v>
      </c>
      <c r="B1525" s="11" t="n">
        <f aca="false">MOD(ROW()-9,24)</f>
        <v>4</v>
      </c>
      <c r="C1525" s="12"/>
      <c r="D1525" s="13" t="n">
        <f aca="false">IF(B1525&lt;5,Einstellungen!$B$3,Einstellungen!$B$4)</f>
        <v>15.92</v>
      </c>
      <c r="E1525" s="14" t="str">
        <f aca="false">IF(C1525="","",C1525*D1525/100)</f>
        <v/>
      </c>
      <c r="F1525" s="15" t="str">
        <f aca="false">IF(B1525&lt;5,"Go","Standard")</f>
        <v>Go</v>
      </c>
    </row>
    <row r="1526" customFormat="false" ht="15" hidden="false" customHeight="true" outlineLevel="0" collapsed="false">
      <c r="A1526" s="10" t="n">
        <f aca="false">Einstellungen!$B$5+INT((ROW()-9)/24)</f>
        <v>46029</v>
      </c>
      <c r="B1526" s="11" t="n">
        <f aca="false">MOD(ROW()-9,24)</f>
        <v>5</v>
      </c>
      <c r="C1526" s="12"/>
      <c r="D1526" s="13" t="n">
        <f aca="false">IF(B1526&lt;5,Einstellungen!$B$3,Einstellungen!$B$4)</f>
        <v>29.13</v>
      </c>
      <c r="E1526" s="14" t="str">
        <f aca="false">IF(C1526="","",C1526*D1526/100)</f>
        <v/>
      </c>
      <c r="F1526" s="15" t="str">
        <f aca="false">IF(B1526&lt;5,"Go","Standard")</f>
        <v>Standard</v>
      </c>
    </row>
    <row r="1527" customFormat="false" ht="15" hidden="false" customHeight="true" outlineLevel="0" collapsed="false">
      <c r="A1527" s="10" t="n">
        <f aca="false">Einstellungen!$B$5+INT((ROW()-9)/24)</f>
        <v>46029</v>
      </c>
      <c r="B1527" s="11" t="n">
        <f aca="false">MOD(ROW()-9,24)</f>
        <v>6</v>
      </c>
      <c r="C1527" s="12"/>
      <c r="D1527" s="13" t="n">
        <f aca="false">IF(B1527&lt;5,Einstellungen!$B$3,Einstellungen!$B$4)</f>
        <v>29.13</v>
      </c>
      <c r="E1527" s="14" t="str">
        <f aca="false">IF(C1527="","",C1527*D1527/100)</f>
        <v/>
      </c>
      <c r="F1527" s="15" t="str">
        <f aca="false">IF(B1527&lt;5,"Go","Standard")</f>
        <v>Standard</v>
      </c>
    </row>
    <row r="1528" customFormat="false" ht="15" hidden="false" customHeight="true" outlineLevel="0" collapsed="false">
      <c r="A1528" s="10" t="n">
        <f aca="false">Einstellungen!$B$5+INT((ROW()-9)/24)</f>
        <v>46029</v>
      </c>
      <c r="B1528" s="11" t="n">
        <f aca="false">MOD(ROW()-9,24)</f>
        <v>7</v>
      </c>
      <c r="C1528" s="12"/>
      <c r="D1528" s="13" t="n">
        <f aca="false">IF(B1528&lt;5,Einstellungen!$B$3,Einstellungen!$B$4)</f>
        <v>29.13</v>
      </c>
      <c r="E1528" s="14" t="str">
        <f aca="false">IF(C1528="","",C1528*D1528/100)</f>
        <v/>
      </c>
      <c r="F1528" s="15" t="str">
        <f aca="false">IF(B1528&lt;5,"Go","Standard")</f>
        <v>Standard</v>
      </c>
    </row>
    <row r="1529" customFormat="false" ht="15" hidden="false" customHeight="true" outlineLevel="0" collapsed="false">
      <c r="A1529" s="10" t="n">
        <f aca="false">Einstellungen!$B$5+INT((ROW()-9)/24)</f>
        <v>46029</v>
      </c>
      <c r="B1529" s="11" t="n">
        <f aca="false">MOD(ROW()-9,24)</f>
        <v>8</v>
      </c>
      <c r="C1529" s="12"/>
      <c r="D1529" s="13" t="n">
        <f aca="false">IF(B1529&lt;5,Einstellungen!$B$3,Einstellungen!$B$4)</f>
        <v>29.13</v>
      </c>
      <c r="E1529" s="14" t="str">
        <f aca="false">IF(C1529="","",C1529*D1529/100)</f>
        <v/>
      </c>
      <c r="F1529" s="15" t="str">
        <f aca="false">IF(B1529&lt;5,"Go","Standard")</f>
        <v>Standard</v>
      </c>
    </row>
    <row r="1530" customFormat="false" ht="15" hidden="false" customHeight="true" outlineLevel="0" collapsed="false">
      <c r="A1530" s="10" t="n">
        <f aca="false">Einstellungen!$B$5+INT((ROW()-9)/24)</f>
        <v>46029</v>
      </c>
      <c r="B1530" s="11" t="n">
        <f aca="false">MOD(ROW()-9,24)</f>
        <v>9</v>
      </c>
      <c r="C1530" s="12"/>
      <c r="D1530" s="13" t="n">
        <f aca="false">IF(B1530&lt;5,Einstellungen!$B$3,Einstellungen!$B$4)</f>
        <v>29.13</v>
      </c>
      <c r="E1530" s="14" t="str">
        <f aca="false">IF(C1530="","",C1530*D1530/100)</f>
        <v/>
      </c>
      <c r="F1530" s="15" t="str">
        <f aca="false">IF(B1530&lt;5,"Go","Standard")</f>
        <v>Standard</v>
      </c>
    </row>
    <row r="1531" customFormat="false" ht="15" hidden="false" customHeight="true" outlineLevel="0" collapsed="false">
      <c r="A1531" s="10" t="n">
        <f aca="false">Einstellungen!$B$5+INT((ROW()-9)/24)</f>
        <v>46029</v>
      </c>
      <c r="B1531" s="11" t="n">
        <f aca="false">MOD(ROW()-9,24)</f>
        <v>10</v>
      </c>
      <c r="C1531" s="12"/>
      <c r="D1531" s="13" t="n">
        <f aca="false">IF(B1531&lt;5,Einstellungen!$B$3,Einstellungen!$B$4)</f>
        <v>29.13</v>
      </c>
      <c r="E1531" s="14" t="str">
        <f aca="false">IF(C1531="","",C1531*D1531/100)</f>
        <v/>
      </c>
      <c r="F1531" s="15" t="str">
        <f aca="false">IF(B1531&lt;5,"Go","Standard")</f>
        <v>Standard</v>
      </c>
    </row>
    <row r="1532" customFormat="false" ht="15" hidden="false" customHeight="true" outlineLevel="0" collapsed="false">
      <c r="A1532" s="10" t="n">
        <f aca="false">Einstellungen!$B$5+INT((ROW()-9)/24)</f>
        <v>46029</v>
      </c>
      <c r="B1532" s="11" t="n">
        <f aca="false">MOD(ROW()-9,24)</f>
        <v>11</v>
      </c>
      <c r="C1532" s="12"/>
      <c r="D1532" s="13" t="n">
        <f aca="false">IF(B1532&lt;5,Einstellungen!$B$3,Einstellungen!$B$4)</f>
        <v>29.13</v>
      </c>
      <c r="E1532" s="14" t="str">
        <f aca="false">IF(C1532="","",C1532*D1532/100)</f>
        <v/>
      </c>
      <c r="F1532" s="15" t="str">
        <f aca="false">IF(B1532&lt;5,"Go","Standard")</f>
        <v>Standard</v>
      </c>
    </row>
    <row r="1533" customFormat="false" ht="15" hidden="false" customHeight="true" outlineLevel="0" collapsed="false">
      <c r="A1533" s="10" t="n">
        <f aca="false">Einstellungen!$B$5+INT((ROW()-9)/24)</f>
        <v>46029</v>
      </c>
      <c r="B1533" s="11" t="n">
        <f aca="false">MOD(ROW()-9,24)</f>
        <v>12</v>
      </c>
      <c r="C1533" s="12"/>
      <c r="D1533" s="13" t="n">
        <f aca="false">IF(B1533&lt;5,Einstellungen!$B$3,Einstellungen!$B$4)</f>
        <v>29.13</v>
      </c>
      <c r="E1533" s="14" t="str">
        <f aca="false">IF(C1533="","",C1533*D1533/100)</f>
        <v/>
      </c>
      <c r="F1533" s="15" t="str">
        <f aca="false">IF(B1533&lt;5,"Go","Standard")</f>
        <v>Standard</v>
      </c>
    </row>
    <row r="1534" customFormat="false" ht="15" hidden="false" customHeight="true" outlineLevel="0" collapsed="false">
      <c r="A1534" s="10" t="n">
        <f aca="false">Einstellungen!$B$5+INT((ROW()-9)/24)</f>
        <v>46029</v>
      </c>
      <c r="B1534" s="11" t="n">
        <f aca="false">MOD(ROW()-9,24)</f>
        <v>13</v>
      </c>
      <c r="C1534" s="12"/>
      <c r="D1534" s="13" t="n">
        <f aca="false">IF(B1534&lt;5,Einstellungen!$B$3,Einstellungen!$B$4)</f>
        <v>29.13</v>
      </c>
      <c r="E1534" s="14" t="str">
        <f aca="false">IF(C1534="","",C1534*D1534/100)</f>
        <v/>
      </c>
      <c r="F1534" s="15" t="str">
        <f aca="false">IF(B1534&lt;5,"Go","Standard")</f>
        <v>Standard</v>
      </c>
    </row>
    <row r="1535" customFormat="false" ht="15" hidden="false" customHeight="true" outlineLevel="0" collapsed="false">
      <c r="A1535" s="10" t="n">
        <f aca="false">Einstellungen!$B$5+INT((ROW()-9)/24)</f>
        <v>46029</v>
      </c>
      <c r="B1535" s="11" t="n">
        <f aca="false">MOD(ROW()-9,24)</f>
        <v>14</v>
      </c>
      <c r="C1535" s="12"/>
      <c r="D1535" s="13" t="n">
        <f aca="false">IF(B1535&lt;5,Einstellungen!$B$3,Einstellungen!$B$4)</f>
        <v>29.13</v>
      </c>
      <c r="E1535" s="14" t="str">
        <f aca="false">IF(C1535="","",C1535*D1535/100)</f>
        <v/>
      </c>
      <c r="F1535" s="15" t="str">
        <f aca="false">IF(B1535&lt;5,"Go","Standard")</f>
        <v>Standard</v>
      </c>
    </row>
    <row r="1536" customFormat="false" ht="15" hidden="false" customHeight="true" outlineLevel="0" collapsed="false">
      <c r="A1536" s="10" t="n">
        <f aca="false">Einstellungen!$B$5+INT((ROW()-9)/24)</f>
        <v>46029</v>
      </c>
      <c r="B1536" s="11" t="n">
        <f aca="false">MOD(ROW()-9,24)</f>
        <v>15</v>
      </c>
      <c r="C1536" s="12"/>
      <c r="D1536" s="13" t="n">
        <f aca="false">IF(B1536&lt;5,Einstellungen!$B$3,Einstellungen!$B$4)</f>
        <v>29.13</v>
      </c>
      <c r="E1536" s="14" t="str">
        <f aca="false">IF(C1536="","",C1536*D1536/100)</f>
        <v/>
      </c>
      <c r="F1536" s="15" t="str">
        <f aca="false">IF(B1536&lt;5,"Go","Standard")</f>
        <v>Standard</v>
      </c>
    </row>
    <row r="1537" customFormat="false" ht="15" hidden="false" customHeight="true" outlineLevel="0" collapsed="false">
      <c r="A1537" s="10" t="n">
        <f aca="false">Einstellungen!$B$5+INT((ROW()-9)/24)</f>
        <v>46029</v>
      </c>
      <c r="B1537" s="11" t="n">
        <f aca="false">MOD(ROW()-9,24)</f>
        <v>16</v>
      </c>
      <c r="C1537" s="12"/>
      <c r="D1537" s="13" t="n">
        <f aca="false">IF(B1537&lt;5,Einstellungen!$B$3,Einstellungen!$B$4)</f>
        <v>29.13</v>
      </c>
      <c r="E1537" s="14" t="str">
        <f aca="false">IF(C1537="","",C1537*D1537/100)</f>
        <v/>
      </c>
      <c r="F1537" s="15" t="str">
        <f aca="false">IF(B1537&lt;5,"Go","Standard")</f>
        <v>Standard</v>
      </c>
    </row>
    <row r="1538" customFormat="false" ht="15" hidden="false" customHeight="true" outlineLevel="0" collapsed="false">
      <c r="A1538" s="10" t="n">
        <f aca="false">Einstellungen!$B$5+INT((ROW()-9)/24)</f>
        <v>46029</v>
      </c>
      <c r="B1538" s="11" t="n">
        <f aca="false">MOD(ROW()-9,24)</f>
        <v>17</v>
      </c>
      <c r="C1538" s="12"/>
      <c r="D1538" s="13" t="n">
        <f aca="false">IF(B1538&lt;5,Einstellungen!$B$3,Einstellungen!$B$4)</f>
        <v>29.13</v>
      </c>
      <c r="E1538" s="14" t="str">
        <f aca="false">IF(C1538="","",C1538*D1538/100)</f>
        <v/>
      </c>
      <c r="F1538" s="15" t="str">
        <f aca="false">IF(B1538&lt;5,"Go","Standard")</f>
        <v>Standard</v>
      </c>
    </row>
    <row r="1539" customFormat="false" ht="15" hidden="false" customHeight="true" outlineLevel="0" collapsed="false">
      <c r="A1539" s="10" t="n">
        <f aca="false">Einstellungen!$B$5+INT((ROW()-9)/24)</f>
        <v>46029</v>
      </c>
      <c r="B1539" s="11" t="n">
        <f aca="false">MOD(ROW()-9,24)</f>
        <v>18</v>
      </c>
      <c r="C1539" s="12"/>
      <c r="D1539" s="13" t="n">
        <f aca="false">IF(B1539&lt;5,Einstellungen!$B$3,Einstellungen!$B$4)</f>
        <v>29.13</v>
      </c>
      <c r="E1539" s="14" t="str">
        <f aca="false">IF(C1539="","",C1539*D1539/100)</f>
        <v/>
      </c>
      <c r="F1539" s="15" t="str">
        <f aca="false">IF(B1539&lt;5,"Go","Standard")</f>
        <v>Standard</v>
      </c>
    </row>
    <row r="1540" customFormat="false" ht="15" hidden="false" customHeight="true" outlineLevel="0" collapsed="false">
      <c r="A1540" s="10" t="n">
        <f aca="false">Einstellungen!$B$5+INT((ROW()-9)/24)</f>
        <v>46029</v>
      </c>
      <c r="B1540" s="11" t="n">
        <f aca="false">MOD(ROW()-9,24)</f>
        <v>19</v>
      </c>
      <c r="C1540" s="12"/>
      <c r="D1540" s="13" t="n">
        <f aca="false">IF(B1540&lt;5,Einstellungen!$B$3,Einstellungen!$B$4)</f>
        <v>29.13</v>
      </c>
      <c r="E1540" s="14" t="str">
        <f aca="false">IF(C1540="","",C1540*D1540/100)</f>
        <v/>
      </c>
      <c r="F1540" s="15" t="str">
        <f aca="false">IF(B1540&lt;5,"Go","Standard")</f>
        <v>Standard</v>
      </c>
    </row>
    <row r="1541" customFormat="false" ht="15" hidden="false" customHeight="true" outlineLevel="0" collapsed="false">
      <c r="A1541" s="10" t="n">
        <f aca="false">Einstellungen!$B$5+INT((ROW()-9)/24)</f>
        <v>46029</v>
      </c>
      <c r="B1541" s="11" t="n">
        <f aca="false">MOD(ROW()-9,24)</f>
        <v>20</v>
      </c>
      <c r="C1541" s="12"/>
      <c r="D1541" s="13" t="n">
        <f aca="false">IF(B1541&lt;5,Einstellungen!$B$3,Einstellungen!$B$4)</f>
        <v>29.13</v>
      </c>
      <c r="E1541" s="14" t="str">
        <f aca="false">IF(C1541="","",C1541*D1541/100)</f>
        <v/>
      </c>
      <c r="F1541" s="15" t="str">
        <f aca="false">IF(B1541&lt;5,"Go","Standard")</f>
        <v>Standard</v>
      </c>
    </row>
    <row r="1542" customFormat="false" ht="15" hidden="false" customHeight="true" outlineLevel="0" collapsed="false">
      <c r="A1542" s="10" t="n">
        <f aca="false">Einstellungen!$B$5+INT((ROW()-9)/24)</f>
        <v>46029</v>
      </c>
      <c r="B1542" s="11" t="n">
        <f aca="false">MOD(ROW()-9,24)</f>
        <v>21</v>
      </c>
      <c r="C1542" s="12"/>
      <c r="D1542" s="13" t="n">
        <f aca="false">IF(B1542&lt;5,Einstellungen!$B$3,Einstellungen!$B$4)</f>
        <v>29.13</v>
      </c>
      <c r="E1542" s="14" t="str">
        <f aca="false">IF(C1542="","",C1542*D1542/100)</f>
        <v/>
      </c>
      <c r="F1542" s="15" t="str">
        <f aca="false">IF(B1542&lt;5,"Go","Standard")</f>
        <v>Standard</v>
      </c>
    </row>
    <row r="1543" customFormat="false" ht="15" hidden="false" customHeight="true" outlineLevel="0" collapsed="false">
      <c r="A1543" s="10" t="n">
        <f aca="false">Einstellungen!$B$5+INT((ROW()-9)/24)</f>
        <v>46029</v>
      </c>
      <c r="B1543" s="11" t="n">
        <f aca="false">MOD(ROW()-9,24)</f>
        <v>22</v>
      </c>
      <c r="C1543" s="12"/>
      <c r="D1543" s="13" t="n">
        <f aca="false">IF(B1543&lt;5,Einstellungen!$B$3,Einstellungen!$B$4)</f>
        <v>29.13</v>
      </c>
      <c r="E1543" s="14" t="str">
        <f aca="false">IF(C1543="","",C1543*D1543/100)</f>
        <v/>
      </c>
      <c r="F1543" s="15" t="str">
        <f aca="false">IF(B1543&lt;5,"Go","Standard")</f>
        <v>Standard</v>
      </c>
    </row>
    <row r="1544" customFormat="false" ht="15" hidden="false" customHeight="true" outlineLevel="0" collapsed="false">
      <c r="A1544" s="10" t="n">
        <f aca="false">Einstellungen!$B$5+INT((ROW()-9)/24)</f>
        <v>46029</v>
      </c>
      <c r="B1544" s="11" t="n">
        <f aca="false">MOD(ROW()-9,24)</f>
        <v>23</v>
      </c>
      <c r="C1544" s="12"/>
      <c r="D1544" s="13" t="n">
        <f aca="false">IF(B1544&lt;5,Einstellungen!$B$3,Einstellungen!$B$4)</f>
        <v>29.13</v>
      </c>
      <c r="E1544" s="14" t="str">
        <f aca="false">IF(C1544="","",C1544*D1544/100)</f>
        <v/>
      </c>
      <c r="F1544" s="15" t="str">
        <f aca="false">IF(B1544&lt;5,"Go","Standard")</f>
        <v>Standard</v>
      </c>
    </row>
    <row r="1545" customFormat="false" ht="15" hidden="false" customHeight="true" outlineLevel="0" collapsed="false">
      <c r="A1545" s="10" t="n">
        <f aca="false">Einstellungen!$B$5+INT((ROW()-9)/24)</f>
        <v>46030</v>
      </c>
      <c r="B1545" s="11" t="n">
        <f aca="false">MOD(ROW()-9,24)</f>
        <v>0</v>
      </c>
      <c r="C1545" s="12"/>
      <c r="D1545" s="13" t="n">
        <f aca="false">IF(B1545&lt;5,Einstellungen!$B$3,Einstellungen!$B$4)</f>
        <v>15.92</v>
      </c>
      <c r="E1545" s="14" t="str">
        <f aca="false">IF(C1545="","",C1545*D1545/100)</f>
        <v/>
      </c>
      <c r="F1545" s="15" t="str">
        <f aca="false">IF(B1545&lt;5,"Go","Standard")</f>
        <v>Go</v>
      </c>
    </row>
    <row r="1546" customFormat="false" ht="15" hidden="false" customHeight="true" outlineLevel="0" collapsed="false">
      <c r="A1546" s="10" t="n">
        <f aca="false">Einstellungen!$B$5+INT((ROW()-9)/24)</f>
        <v>46030</v>
      </c>
      <c r="B1546" s="11" t="n">
        <f aca="false">MOD(ROW()-9,24)</f>
        <v>1</v>
      </c>
      <c r="C1546" s="12"/>
      <c r="D1546" s="13" t="n">
        <f aca="false">IF(B1546&lt;5,Einstellungen!$B$3,Einstellungen!$B$4)</f>
        <v>15.92</v>
      </c>
      <c r="E1546" s="14" t="str">
        <f aca="false">IF(C1546="","",C1546*D1546/100)</f>
        <v/>
      </c>
      <c r="F1546" s="15" t="str">
        <f aca="false">IF(B1546&lt;5,"Go","Standard")</f>
        <v>Go</v>
      </c>
    </row>
    <row r="1547" customFormat="false" ht="15" hidden="false" customHeight="true" outlineLevel="0" collapsed="false">
      <c r="A1547" s="10" t="n">
        <f aca="false">Einstellungen!$B$5+INT((ROW()-9)/24)</f>
        <v>46030</v>
      </c>
      <c r="B1547" s="11" t="n">
        <f aca="false">MOD(ROW()-9,24)</f>
        <v>2</v>
      </c>
      <c r="C1547" s="12"/>
      <c r="D1547" s="13" t="n">
        <f aca="false">IF(B1547&lt;5,Einstellungen!$B$3,Einstellungen!$B$4)</f>
        <v>15.92</v>
      </c>
      <c r="E1547" s="14" t="str">
        <f aca="false">IF(C1547="","",C1547*D1547/100)</f>
        <v/>
      </c>
      <c r="F1547" s="15" t="str">
        <f aca="false">IF(B1547&lt;5,"Go","Standard")</f>
        <v>Go</v>
      </c>
    </row>
    <row r="1548" customFormat="false" ht="15" hidden="false" customHeight="true" outlineLevel="0" collapsed="false">
      <c r="A1548" s="10" t="n">
        <f aca="false">Einstellungen!$B$5+INT((ROW()-9)/24)</f>
        <v>46030</v>
      </c>
      <c r="B1548" s="11" t="n">
        <f aca="false">MOD(ROW()-9,24)</f>
        <v>3</v>
      </c>
      <c r="C1548" s="12"/>
      <c r="D1548" s="13" t="n">
        <f aca="false">IF(B1548&lt;5,Einstellungen!$B$3,Einstellungen!$B$4)</f>
        <v>15.92</v>
      </c>
      <c r="E1548" s="14" t="str">
        <f aca="false">IF(C1548="","",C1548*D1548/100)</f>
        <v/>
      </c>
      <c r="F1548" s="15" t="str">
        <f aca="false">IF(B1548&lt;5,"Go","Standard")</f>
        <v>Go</v>
      </c>
    </row>
    <row r="1549" customFormat="false" ht="15" hidden="false" customHeight="true" outlineLevel="0" collapsed="false">
      <c r="A1549" s="10" t="n">
        <f aca="false">Einstellungen!$B$5+INT((ROW()-9)/24)</f>
        <v>46030</v>
      </c>
      <c r="B1549" s="11" t="n">
        <f aca="false">MOD(ROW()-9,24)</f>
        <v>4</v>
      </c>
      <c r="C1549" s="12"/>
      <c r="D1549" s="13" t="n">
        <f aca="false">IF(B1549&lt;5,Einstellungen!$B$3,Einstellungen!$B$4)</f>
        <v>15.92</v>
      </c>
      <c r="E1549" s="14" t="str">
        <f aca="false">IF(C1549="","",C1549*D1549/100)</f>
        <v/>
      </c>
      <c r="F1549" s="15" t="str">
        <f aca="false">IF(B1549&lt;5,"Go","Standard")</f>
        <v>Go</v>
      </c>
    </row>
    <row r="1550" customFormat="false" ht="15" hidden="false" customHeight="true" outlineLevel="0" collapsed="false">
      <c r="A1550" s="10" t="n">
        <f aca="false">Einstellungen!$B$5+INT((ROW()-9)/24)</f>
        <v>46030</v>
      </c>
      <c r="B1550" s="11" t="n">
        <f aca="false">MOD(ROW()-9,24)</f>
        <v>5</v>
      </c>
      <c r="C1550" s="12"/>
      <c r="D1550" s="13" t="n">
        <f aca="false">IF(B1550&lt;5,Einstellungen!$B$3,Einstellungen!$B$4)</f>
        <v>29.13</v>
      </c>
      <c r="E1550" s="14" t="str">
        <f aca="false">IF(C1550="","",C1550*D1550/100)</f>
        <v/>
      </c>
      <c r="F1550" s="15" t="str">
        <f aca="false">IF(B1550&lt;5,"Go","Standard")</f>
        <v>Standard</v>
      </c>
    </row>
    <row r="1551" customFormat="false" ht="15" hidden="false" customHeight="true" outlineLevel="0" collapsed="false">
      <c r="A1551" s="10" t="n">
        <f aca="false">Einstellungen!$B$5+INT((ROW()-9)/24)</f>
        <v>46030</v>
      </c>
      <c r="B1551" s="11" t="n">
        <f aca="false">MOD(ROW()-9,24)</f>
        <v>6</v>
      </c>
      <c r="C1551" s="12"/>
      <c r="D1551" s="13" t="n">
        <f aca="false">IF(B1551&lt;5,Einstellungen!$B$3,Einstellungen!$B$4)</f>
        <v>29.13</v>
      </c>
      <c r="E1551" s="14" t="str">
        <f aca="false">IF(C1551="","",C1551*D1551/100)</f>
        <v/>
      </c>
      <c r="F1551" s="15" t="str">
        <f aca="false">IF(B1551&lt;5,"Go","Standard")</f>
        <v>Standard</v>
      </c>
    </row>
    <row r="1552" customFormat="false" ht="15" hidden="false" customHeight="true" outlineLevel="0" collapsed="false">
      <c r="A1552" s="10" t="n">
        <f aca="false">Einstellungen!$B$5+INT((ROW()-9)/24)</f>
        <v>46030</v>
      </c>
      <c r="B1552" s="11" t="n">
        <f aca="false">MOD(ROW()-9,24)</f>
        <v>7</v>
      </c>
      <c r="C1552" s="12"/>
      <c r="D1552" s="13" t="n">
        <f aca="false">IF(B1552&lt;5,Einstellungen!$B$3,Einstellungen!$B$4)</f>
        <v>29.13</v>
      </c>
      <c r="E1552" s="14" t="str">
        <f aca="false">IF(C1552="","",C1552*D1552/100)</f>
        <v/>
      </c>
      <c r="F1552" s="15" t="str">
        <f aca="false">IF(B1552&lt;5,"Go","Standard")</f>
        <v>Standard</v>
      </c>
    </row>
    <row r="1553" customFormat="false" ht="15" hidden="false" customHeight="true" outlineLevel="0" collapsed="false">
      <c r="A1553" s="10" t="n">
        <f aca="false">Einstellungen!$B$5+INT((ROW()-9)/24)</f>
        <v>46030</v>
      </c>
      <c r="B1553" s="11" t="n">
        <f aca="false">MOD(ROW()-9,24)</f>
        <v>8</v>
      </c>
      <c r="C1553" s="12"/>
      <c r="D1553" s="13" t="n">
        <f aca="false">IF(B1553&lt;5,Einstellungen!$B$3,Einstellungen!$B$4)</f>
        <v>29.13</v>
      </c>
      <c r="E1553" s="14" t="str">
        <f aca="false">IF(C1553="","",C1553*D1553/100)</f>
        <v/>
      </c>
      <c r="F1553" s="15" t="str">
        <f aca="false">IF(B1553&lt;5,"Go","Standard")</f>
        <v>Standard</v>
      </c>
    </row>
    <row r="1554" customFormat="false" ht="15" hidden="false" customHeight="true" outlineLevel="0" collapsed="false">
      <c r="A1554" s="10" t="n">
        <f aca="false">Einstellungen!$B$5+INT((ROW()-9)/24)</f>
        <v>46030</v>
      </c>
      <c r="B1554" s="11" t="n">
        <f aca="false">MOD(ROW()-9,24)</f>
        <v>9</v>
      </c>
      <c r="C1554" s="12"/>
      <c r="D1554" s="13" t="n">
        <f aca="false">IF(B1554&lt;5,Einstellungen!$B$3,Einstellungen!$B$4)</f>
        <v>29.13</v>
      </c>
      <c r="E1554" s="14" t="str">
        <f aca="false">IF(C1554="","",C1554*D1554/100)</f>
        <v/>
      </c>
      <c r="F1554" s="15" t="str">
        <f aca="false">IF(B1554&lt;5,"Go","Standard")</f>
        <v>Standard</v>
      </c>
    </row>
    <row r="1555" customFormat="false" ht="15" hidden="false" customHeight="true" outlineLevel="0" collapsed="false">
      <c r="A1555" s="10" t="n">
        <f aca="false">Einstellungen!$B$5+INT((ROW()-9)/24)</f>
        <v>46030</v>
      </c>
      <c r="B1555" s="11" t="n">
        <f aca="false">MOD(ROW()-9,24)</f>
        <v>10</v>
      </c>
      <c r="C1555" s="12"/>
      <c r="D1555" s="13" t="n">
        <f aca="false">IF(B1555&lt;5,Einstellungen!$B$3,Einstellungen!$B$4)</f>
        <v>29.13</v>
      </c>
      <c r="E1555" s="14" t="str">
        <f aca="false">IF(C1555="","",C1555*D1555/100)</f>
        <v/>
      </c>
      <c r="F1555" s="15" t="str">
        <f aca="false">IF(B1555&lt;5,"Go","Standard")</f>
        <v>Standard</v>
      </c>
    </row>
    <row r="1556" customFormat="false" ht="15" hidden="false" customHeight="true" outlineLevel="0" collapsed="false">
      <c r="A1556" s="10" t="n">
        <f aca="false">Einstellungen!$B$5+INT((ROW()-9)/24)</f>
        <v>46030</v>
      </c>
      <c r="B1556" s="11" t="n">
        <f aca="false">MOD(ROW()-9,24)</f>
        <v>11</v>
      </c>
      <c r="C1556" s="12"/>
      <c r="D1556" s="13" t="n">
        <f aca="false">IF(B1556&lt;5,Einstellungen!$B$3,Einstellungen!$B$4)</f>
        <v>29.13</v>
      </c>
      <c r="E1556" s="14" t="str">
        <f aca="false">IF(C1556="","",C1556*D1556/100)</f>
        <v/>
      </c>
      <c r="F1556" s="15" t="str">
        <f aca="false">IF(B1556&lt;5,"Go","Standard")</f>
        <v>Standard</v>
      </c>
    </row>
    <row r="1557" customFormat="false" ht="15" hidden="false" customHeight="true" outlineLevel="0" collapsed="false">
      <c r="A1557" s="10" t="n">
        <f aca="false">Einstellungen!$B$5+INT((ROW()-9)/24)</f>
        <v>46030</v>
      </c>
      <c r="B1557" s="11" t="n">
        <f aca="false">MOD(ROW()-9,24)</f>
        <v>12</v>
      </c>
      <c r="C1557" s="12"/>
      <c r="D1557" s="13" t="n">
        <f aca="false">IF(B1557&lt;5,Einstellungen!$B$3,Einstellungen!$B$4)</f>
        <v>29.13</v>
      </c>
      <c r="E1557" s="14" t="str">
        <f aca="false">IF(C1557="","",C1557*D1557/100)</f>
        <v/>
      </c>
      <c r="F1557" s="15" t="str">
        <f aca="false">IF(B1557&lt;5,"Go","Standard")</f>
        <v>Standard</v>
      </c>
    </row>
    <row r="1558" customFormat="false" ht="15" hidden="false" customHeight="true" outlineLevel="0" collapsed="false">
      <c r="A1558" s="10" t="n">
        <f aca="false">Einstellungen!$B$5+INT((ROW()-9)/24)</f>
        <v>46030</v>
      </c>
      <c r="B1558" s="11" t="n">
        <f aca="false">MOD(ROW()-9,24)</f>
        <v>13</v>
      </c>
      <c r="C1558" s="12"/>
      <c r="D1558" s="13" t="n">
        <f aca="false">IF(B1558&lt;5,Einstellungen!$B$3,Einstellungen!$B$4)</f>
        <v>29.13</v>
      </c>
      <c r="E1558" s="14" t="str">
        <f aca="false">IF(C1558="","",C1558*D1558/100)</f>
        <v/>
      </c>
      <c r="F1558" s="15" t="str">
        <f aca="false">IF(B1558&lt;5,"Go","Standard")</f>
        <v>Standard</v>
      </c>
    </row>
    <row r="1559" customFormat="false" ht="15" hidden="false" customHeight="true" outlineLevel="0" collapsed="false">
      <c r="A1559" s="10" t="n">
        <f aca="false">Einstellungen!$B$5+INT((ROW()-9)/24)</f>
        <v>46030</v>
      </c>
      <c r="B1559" s="11" t="n">
        <f aca="false">MOD(ROW()-9,24)</f>
        <v>14</v>
      </c>
      <c r="C1559" s="12"/>
      <c r="D1559" s="13" t="n">
        <f aca="false">IF(B1559&lt;5,Einstellungen!$B$3,Einstellungen!$B$4)</f>
        <v>29.13</v>
      </c>
      <c r="E1559" s="14" t="str">
        <f aca="false">IF(C1559="","",C1559*D1559/100)</f>
        <v/>
      </c>
      <c r="F1559" s="15" t="str">
        <f aca="false">IF(B1559&lt;5,"Go","Standard")</f>
        <v>Standard</v>
      </c>
    </row>
    <row r="1560" customFormat="false" ht="15" hidden="false" customHeight="true" outlineLevel="0" collapsed="false">
      <c r="A1560" s="10" t="n">
        <f aca="false">Einstellungen!$B$5+INT((ROW()-9)/24)</f>
        <v>46030</v>
      </c>
      <c r="B1560" s="11" t="n">
        <f aca="false">MOD(ROW()-9,24)</f>
        <v>15</v>
      </c>
      <c r="C1560" s="12"/>
      <c r="D1560" s="13" t="n">
        <f aca="false">IF(B1560&lt;5,Einstellungen!$B$3,Einstellungen!$B$4)</f>
        <v>29.13</v>
      </c>
      <c r="E1560" s="14" t="str">
        <f aca="false">IF(C1560="","",C1560*D1560/100)</f>
        <v/>
      </c>
      <c r="F1560" s="15" t="str">
        <f aca="false">IF(B1560&lt;5,"Go","Standard")</f>
        <v>Standard</v>
      </c>
    </row>
    <row r="1561" customFormat="false" ht="15" hidden="false" customHeight="true" outlineLevel="0" collapsed="false">
      <c r="A1561" s="10" t="n">
        <f aca="false">Einstellungen!$B$5+INT((ROW()-9)/24)</f>
        <v>46030</v>
      </c>
      <c r="B1561" s="11" t="n">
        <f aca="false">MOD(ROW()-9,24)</f>
        <v>16</v>
      </c>
      <c r="C1561" s="12"/>
      <c r="D1561" s="13" t="n">
        <f aca="false">IF(B1561&lt;5,Einstellungen!$B$3,Einstellungen!$B$4)</f>
        <v>29.13</v>
      </c>
      <c r="E1561" s="14" t="str">
        <f aca="false">IF(C1561="","",C1561*D1561/100)</f>
        <v/>
      </c>
      <c r="F1561" s="15" t="str">
        <f aca="false">IF(B1561&lt;5,"Go","Standard")</f>
        <v>Standard</v>
      </c>
    </row>
    <row r="1562" customFormat="false" ht="15" hidden="false" customHeight="true" outlineLevel="0" collapsed="false">
      <c r="A1562" s="10" t="n">
        <f aca="false">Einstellungen!$B$5+INT((ROW()-9)/24)</f>
        <v>46030</v>
      </c>
      <c r="B1562" s="11" t="n">
        <f aca="false">MOD(ROW()-9,24)</f>
        <v>17</v>
      </c>
      <c r="C1562" s="12"/>
      <c r="D1562" s="13" t="n">
        <f aca="false">IF(B1562&lt;5,Einstellungen!$B$3,Einstellungen!$B$4)</f>
        <v>29.13</v>
      </c>
      <c r="E1562" s="14" t="str">
        <f aca="false">IF(C1562="","",C1562*D1562/100)</f>
        <v/>
      </c>
      <c r="F1562" s="15" t="str">
        <f aca="false">IF(B1562&lt;5,"Go","Standard")</f>
        <v>Standard</v>
      </c>
    </row>
    <row r="1563" customFormat="false" ht="15" hidden="false" customHeight="true" outlineLevel="0" collapsed="false">
      <c r="A1563" s="10" t="n">
        <f aca="false">Einstellungen!$B$5+INT((ROW()-9)/24)</f>
        <v>46030</v>
      </c>
      <c r="B1563" s="11" t="n">
        <f aca="false">MOD(ROW()-9,24)</f>
        <v>18</v>
      </c>
      <c r="C1563" s="12"/>
      <c r="D1563" s="13" t="n">
        <f aca="false">IF(B1563&lt;5,Einstellungen!$B$3,Einstellungen!$B$4)</f>
        <v>29.13</v>
      </c>
      <c r="E1563" s="14" t="str">
        <f aca="false">IF(C1563="","",C1563*D1563/100)</f>
        <v/>
      </c>
      <c r="F1563" s="15" t="str">
        <f aca="false">IF(B1563&lt;5,"Go","Standard")</f>
        <v>Standard</v>
      </c>
    </row>
    <row r="1564" customFormat="false" ht="15" hidden="false" customHeight="true" outlineLevel="0" collapsed="false">
      <c r="A1564" s="10" t="n">
        <f aca="false">Einstellungen!$B$5+INT((ROW()-9)/24)</f>
        <v>46030</v>
      </c>
      <c r="B1564" s="11" t="n">
        <f aca="false">MOD(ROW()-9,24)</f>
        <v>19</v>
      </c>
      <c r="C1564" s="12"/>
      <c r="D1564" s="13" t="n">
        <f aca="false">IF(B1564&lt;5,Einstellungen!$B$3,Einstellungen!$B$4)</f>
        <v>29.13</v>
      </c>
      <c r="E1564" s="14" t="str">
        <f aca="false">IF(C1564="","",C1564*D1564/100)</f>
        <v/>
      </c>
      <c r="F1564" s="15" t="str">
        <f aca="false">IF(B1564&lt;5,"Go","Standard")</f>
        <v>Standard</v>
      </c>
    </row>
    <row r="1565" customFormat="false" ht="15" hidden="false" customHeight="true" outlineLevel="0" collapsed="false">
      <c r="A1565" s="10" t="n">
        <f aca="false">Einstellungen!$B$5+INT((ROW()-9)/24)</f>
        <v>46030</v>
      </c>
      <c r="B1565" s="11" t="n">
        <f aca="false">MOD(ROW()-9,24)</f>
        <v>20</v>
      </c>
      <c r="C1565" s="12"/>
      <c r="D1565" s="13" t="n">
        <f aca="false">IF(B1565&lt;5,Einstellungen!$B$3,Einstellungen!$B$4)</f>
        <v>29.13</v>
      </c>
      <c r="E1565" s="14" t="str">
        <f aca="false">IF(C1565="","",C1565*D1565/100)</f>
        <v/>
      </c>
      <c r="F1565" s="15" t="str">
        <f aca="false">IF(B1565&lt;5,"Go","Standard")</f>
        <v>Standard</v>
      </c>
    </row>
    <row r="1566" customFormat="false" ht="15" hidden="false" customHeight="true" outlineLevel="0" collapsed="false">
      <c r="A1566" s="10" t="n">
        <f aca="false">Einstellungen!$B$5+INT((ROW()-9)/24)</f>
        <v>46030</v>
      </c>
      <c r="B1566" s="11" t="n">
        <f aca="false">MOD(ROW()-9,24)</f>
        <v>21</v>
      </c>
      <c r="C1566" s="12"/>
      <c r="D1566" s="13" t="n">
        <f aca="false">IF(B1566&lt;5,Einstellungen!$B$3,Einstellungen!$B$4)</f>
        <v>29.13</v>
      </c>
      <c r="E1566" s="14" t="str">
        <f aca="false">IF(C1566="","",C1566*D1566/100)</f>
        <v/>
      </c>
      <c r="F1566" s="15" t="str">
        <f aca="false">IF(B1566&lt;5,"Go","Standard")</f>
        <v>Standard</v>
      </c>
    </row>
    <row r="1567" customFormat="false" ht="15" hidden="false" customHeight="true" outlineLevel="0" collapsed="false">
      <c r="A1567" s="10" t="n">
        <f aca="false">Einstellungen!$B$5+INT((ROW()-9)/24)</f>
        <v>46030</v>
      </c>
      <c r="B1567" s="11" t="n">
        <f aca="false">MOD(ROW()-9,24)</f>
        <v>22</v>
      </c>
      <c r="C1567" s="12"/>
      <c r="D1567" s="13" t="n">
        <f aca="false">IF(B1567&lt;5,Einstellungen!$B$3,Einstellungen!$B$4)</f>
        <v>29.13</v>
      </c>
      <c r="E1567" s="14" t="str">
        <f aca="false">IF(C1567="","",C1567*D1567/100)</f>
        <v/>
      </c>
      <c r="F1567" s="15" t="str">
        <f aca="false">IF(B1567&lt;5,"Go","Standard")</f>
        <v>Standard</v>
      </c>
    </row>
    <row r="1568" customFormat="false" ht="15" hidden="false" customHeight="true" outlineLevel="0" collapsed="false">
      <c r="A1568" s="10" t="n">
        <f aca="false">Einstellungen!$B$5+INT((ROW()-9)/24)</f>
        <v>46030</v>
      </c>
      <c r="B1568" s="11" t="n">
        <f aca="false">MOD(ROW()-9,24)</f>
        <v>23</v>
      </c>
      <c r="C1568" s="12"/>
      <c r="D1568" s="13" t="n">
        <f aca="false">IF(B1568&lt;5,Einstellungen!$B$3,Einstellungen!$B$4)</f>
        <v>29.13</v>
      </c>
      <c r="E1568" s="14" t="str">
        <f aca="false">IF(C1568="","",C1568*D1568/100)</f>
        <v/>
      </c>
      <c r="F1568" s="15" t="str">
        <f aca="false">IF(B1568&lt;5,"Go","Standard")</f>
        <v>Standard</v>
      </c>
    </row>
    <row r="1569" customFormat="false" ht="15" hidden="false" customHeight="true" outlineLevel="0" collapsed="false">
      <c r="A1569" s="10" t="n">
        <f aca="false">Einstellungen!$B$5+INT((ROW()-9)/24)</f>
        <v>46031</v>
      </c>
      <c r="B1569" s="11" t="n">
        <f aca="false">MOD(ROW()-9,24)</f>
        <v>0</v>
      </c>
      <c r="C1569" s="12"/>
      <c r="D1569" s="13" t="n">
        <f aca="false">IF(B1569&lt;5,Einstellungen!$B$3,Einstellungen!$B$4)</f>
        <v>15.92</v>
      </c>
      <c r="E1569" s="14" t="str">
        <f aca="false">IF(C1569="","",C1569*D1569/100)</f>
        <v/>
      </c>
      <c r="F1569" s="15" t="str">
        <f aca="false">IF(B1569&lt;5,"Go","Standard")</f>
        <v>Go</v>
      </c>
    </row>
    <row r="1570" customFormat="false" ht="15" hidden="false" customHeight="true" outlineLevel="0" collapsed="false">
      <c r="A1570" s="10" t="n">
        <f aca="false">Einstellungen!$B$5+INT((ROW()-9)/24)</f>
        <v>46031</v>
      </c>
      <c r="B1570" s="11" t="n">
        <f aca="false">MOD(ROW()-9,24)</f>
        <v>1</v>
      </c>
      <c r="C1570" s="12"/>
      <c r="D1570" s="13" t="n">
        <f aca="false">IF(B1570&lt;5,Einstellungen!$B$3,Einstellungen!$B$4)</f>
        <v>15.92</v>
      </c>
      <c r="E1570" s="14" t="str">
        <f aca="false">IF(C1570="","",C1570*D1570/100)</f>
        <v/>
      </c>
      <c r="F1570" s="15" t="str">
        <f aca="false">IF(B1570&lt;5,"Go","Standard")</f>
        <v>Go</v>
      </c>
    </row>
    <row r="1571" customFormat="false" ht="15" hidden="false" customHeight="true" outlineLevel="0" collapsed="false">
      <c r="A1571" s="10" t="n">
        <f aca="false">Einstellungen!$B$5+INT((ROW()-9)/24)</f>
        <v>46031</v>
      </c>
      <c r="B1571" s="11" t="n">
        <f aca="false">MOD(ROW()-9,24)</f>
        <v>2</v>
      </c>
      <c r="C1571" s="12"/>
      <c r="D1571" s="13" t="n">
        <f aca="false">IF(B1571&lt;5,Einstellungen!$B$3,Einstellungen!$B$4)</f>
        <v>15.92</v>
      </c>
      <c r="E1571" s="14" t="str">
        <f aca="false">IF(C1571="","",C1571*D1571/100)</f>
        <v/>
      </c>
      <c r="F1571" s="15" t="str">
        <f aca="false">IF(B1571&lt;5,"Go","Standard")</f>
        <v>Go</v>
      </c>
    </row>
    <row r="1572" customFormat="false" ht="15" hidden="false" customHeight="true" outlineLevel="0" collapsed="false">
      <c r="A1572" s="10" t="n">
        <f aca="false">Einstellungen!$B$5+INT((ROW()-9)/24)</f>
        <v>46031</v>
      </c>
      <c r="B1572" s="11" t="n">
        <f aca="false">MOD(ROW()-9,24)</f>
        <v>3</v>
      </c>
      <c r="C1572" s="12"/>
      <c r="D1572" s="13" t="n">
        <f aca="false">IF(B1572&lt;5,Einstellungen!$B$3,Einstellungen!$B$4)</f>
        <v>15.92</v>
      </c>
      <c r="E1572" s="14" t="str">
        <f aca="false">IF(C1572="","",C1572*D1572/100)</f>
        <v/>
      </c>
      <c r="F1572" s="15" t="str">
        <f aca="false">IF(B1572&lt;5,"Go","Standard")</f>
        <v>Go</v>
      </c>
    </row>
    <row r="1573" customFormat="false" ht="15" hidden="false" customHeight="true" outlineLevel="0" collapsed="false">
      <c r="A1573" s="10" t="n">
        <f aca="false">Einstellungen!$B$5+INT((ROW()-9)/24)</f>
        <v>46031</v>
      </c>
      <c r="B1573" s="11" t="n">
        <f aca="false">MOD(ROW()-9,24)</f>
        <v>4</v>
      </c>
      <c r="C1573" s="12"/>
      <c r="D1573" s="13" t="n">
        <f aca="false">IF(B1573&lt;5,Einstellungen!$B$3,Einstellungen!$B$4)</f>
        <v>15.92</v>
      </c>
      <c r="E1573" s="14" t="str">
        <f aca="false">IF(C1573="","",C1573*D1573/100)</f>
        <v/>
      </c>
      <c r="F1573" s="15" t="str">
        <f aca="false">IF(B1573&lt;5,"Go","Standard")</f>
        <v>Go</v>
      </c>
    </row>
    <row r="1574" customFormat="false" ht="15" hidden="false" customHeight="true" outlineLevel="0" collapsed="false">
      <c r="A1574" s="10" t="n">
        <f aca="false">Einstellungen!$B$5+INT((ROW()-9)/24)</f>
        <v>46031</v>
      </c>
      <c r="B1574" s="11" t="n">
        <f aca="false">MOD(ROW()-9,24)</f>
        <v>5</v>
      </c>
      <c r="C1574" s="12"/>
      <c r="D1574" s="13" t="n">
        <f aca="false">IF(B1574&lt;5,Einstellungen!$B$3,Einstellungen!$B$4)</f>
        <v>29.13</v>
      </c>
      <c r="E1574" s="14" t="str">
        <f aca="false">IF(C1574="","",C1574*D1574/100)</f>
        <v/>
      </c>
      <c r="F1574" s="15" t="str">
        <f aca="false">IF(B1574&lt;5,"Go","Standard")</f>
        <v>Standard</v>
      </c>
    </row>
    <row r="1575" customFormat="false" ht="15" hidden="false" customHeight="true" outlineLevel="0" collapsed="false">
      <c r="A1575" s="10" t="n">
        <f aca="false">Einstellungen!$B$5+INT((ROW()-9)/24)</f>
        <v>46031</v>
      </c>
      <c r="B1575" s="11" t="n">
        <f aca="false">MOD(ROW()-9,24)</f>
        <v>6</v>
      </c>
      <c r="C1575" s="12"/>
      <c r="D1575" s="13" t="n">
        <f aca="false">IF(B1575&lt;5,Einstellungen!$B$3,Einstellungen!$B$4)</f>
        <v>29.13</v>
      </c>
      <c r="E1575" s="14" t="str">
        <f aca="false">IF(C1575="","",C1575*D1575/100)</f>
        <v/>
      </c>
      <c r="F1575" s="15" t="str">
        <f aca="false">IF(B1575&lt;5,"Go","Standard")</f>
        <v>Standard</v>
      </c>
    </row>
    <row r="1576" customFormat="false" ht="15" hidden="false" customHeight="true" outlineLevel="0" collapsed="false">
      <c r="A1576" s="10" t="n">
        <f aca="false">Einstellungen!$B$5+INT((ROW()-9)/24)</f>
        <v>46031</v>
      </c>
      <c r="B1576" s="11" t="n">
        <f aca="false">MOD(ROW()-9,24)</f>
        <v>7</v>
      </c>
      <c r="C1576" s="12"/>
      <c r="D1576" s="13" t="n">
        <f aca="false">IF(B1576&lt;5,Einstellungen!$B$3,Einstellungen!$B$4)</f>
        <v>29.13</v>
      </c>
      <c r="E1576" s="14" t="str">
        <f aca="false">IF(C1576="","",C1576*D1576/100)</f>
        <v/>
      </c>
      <c r="F1576" s="15" t="str">
        <f aca="false">IF(B1576&lt;5,"Go","Standard")</f>
        <v>Standard</v>
      </c>
    </row>
    <row r="1577" customFormat="false" ht="15" hidden="false" customHeight="true" outlineLevel="0" collapsed="false">
      <c r="A1577" s="10" t="n">
        <f aca="false">Einstellungen!$B$5+INT((ROW()-9)/24)</f>
        <v>46031</v>
      </c>
      <c r="B1577" s="11" t="n">
        <f aca="false">MOD(ROW()-9,24)</f>
        <v>8</v>
      </c>
      <c r="C1577" s="12"/>
      <c r="D1577" s="13" t="n">
        <f aca="false">IF(B1577&lt;5,Einstellungen!$B$3,Einstellungen!$B$4)</f>
        <v>29.13</v>
      </c>
      <c r="E1577" s="14" t="str">
        <f aca="false">IF(C1577="","",C1577*D1577/100)</f>
        <v/>
      </c>
      <c r="F1577" s="15" t="str">
        <f aca="false">IF(B1577&lt;5,"Go","Standard")</f>
        <v>Standard</v>
      </c>
    </row>
    <row r="1578" customFormat="false" ht="15" hidden="false" customHeight="true" outlineLevel="0" collapsed="false">
      <c r="A1578" s="10" t="n">
        <f aca="false">Einstellungen!$B$5+INT((ROW()-9)/24)</f>
        <v>46031</v>
      </c>
      <c r="B1578" s="11" t="n">
        <f aca="false">MOD(ROW()-9,24)</f>
        <v>9</v>
      </c>
      <c r="C1578" s="12"/>
      <c r="D1578" s="13" t="n">
        <f aca="false">IF(B1578&lt;5,Einstellungen!$B$3,Einstellungen!$B$4)</f>
        <v>29.13</v>
      </c>
      <c r="E1578" s="14" t="str">
        <f aca="false">IF(C1578="","",C1578*D1578/100)</f>
        <v/>
      </c>
      <c r="F1578" s="15" t="str">
        <f aca="false">IF(B1578&lt;5,"Go","Standard")</f>
        <v>Standard</v>
      </c>
    </row>
    <row r="1579" customFormat="false" ht="15" hidden="false" customHeight="true" outlineLevel="0" collapsed="false">
      <c r="A1579" s="10" t="n">
        <f aca="false">Einstellungen!$B$5+INT((ROW()-9)/24)</f>
        <v>46031</v>
      </c>
      <c r="B1579" s="11" t="n">
        <f aca="false">MOD(ROW()-9,24)</f>
        <v>10</v>
      </c>
      <c r="C1579" s="12"/>
      <c r="D1579" s="13" t="n">
        <f aca="false">IF(B1579&lt;5,Einstellungen!$B$3,Einstellungen!$B$4)</f>
        <v>29.13</v>
      </c>
      <c r="E1579" s="14" t="str">
        <f aca="false">IF(C1579="","",C1579*D1579/100)</f>
        <v/>
      </c>
      <c r="F1579" s="15" t="str">
        <f aca="false">IF(B1579&lt;5,"Go","Standard")</f>
        <v>Standard</v>
      </c>
    </row>
    <row r="1580" customFormat="false" ht="15" hidden="false" customHeight="true" outlineLevel="0" collapsed="false">
      <c r="A1580" s="10" t="n">
        <f aca="false">Einstellungen!$B$5+INT((ROW()-9)/24)</f>
        <v>46031</v>
      </c>
      <c r="B1580" s="11" t="n">
        <f aca="false">MOD(ROW()-9,24)</f>
        <v>11</v>
      </c>
      <c r="C1580" s="12"/>
      <c r="D1580" s="13" t="n">
        <f aca="false">IF(B1580&lt;5,Einstellungen!$B$3,Einstellungen!$B$4)</f>
        <v>29.13</v>
      </c>
      <c r="E1580" s="14" t="str">
        <f aca="false">IF(C1580="","",C1580*D1580/100)</f>
        <v/>
      </c>
      <c r="F1580" s="15" t="str">
        <f aca="false">IF(B1580&lt;5,"Go","Standard")</f>
        <v>Standard</v>
      </c>
    </row>
    <row r="1581" customFormat="false" ht="15" hidden="false" customHeight="true" outlineLevel="0" collapsed="false">
      <c r="A1581" s="10" t="n">
        <f aca="false">Einstellungen!$B$5+INT((ROW()-9)/24)</f>
        <v>46031</v>
      </c>
      <c r="B1581" s="11" t="n">
        <f aca="false">MOD(ROW()-9,24)</f>
        <v>12</v>
      </c>
      <c r="C1581" s="12"/>
      <c r="D1581" s="13" t="n">
        <f aca="false">IF(B1581&lt;5,Einstellungen!$B$3,Einstellungen!$B$4)</f>
        <v>29.13</v>
      </c>
      <c r="E1581" s="14" t="str">
        <f aca="false">IF(C1581="","",C1581*D1581/100)</f>
        <v/>
      </c>
      <c r="F1581" s="15" t="str">
        <f aca="false">IF(B1581&lt;5,"Go","Standard")</f>
        <v>Standard</v>
      </c>
    </row>
    <row r="1582" customFormat="false" ht="15" hidden="false" customHeight="true" outlineLevel="0" collapsed="false">
      <c r="A1582" s="10" t="n">
        <f aca="false">Einstellungen!$B$5+INT((ROW()-9)/24)</f>
        <v>46031</v>
      </c>
      <c r="B1582" s="11" t="n">
        <f aca="false">MOD(ROW()-9,24)</f>
        <v>13</v>
      </c>
      <c r="C1582" s="12"/>
      <c r="D1582" s="13" t="n">
        <f aca="false">IF(B1582&lt;5,Einstellungen!$B$3,Einstellungen!$B$4)</f>
        <v>29.13</v>
      </c>
      <c r="E1582" s="14" t="str">
        <f aca="false">IF(C1582="","",C1582*D1582/100)</f>
        <v/>
      </c>
      <c r="F1582" s="15" t="str">
        <f aca="false">IF(B1582&lt;5,"Go","Standard")</f>
        <v>Standard</v>
      </c>
    </row>
    <row r="1583" customFormat="false" ht="15" hidden="false" customHeight="true" outlineLevel="0" collapsed="false">
      <c r="A1583" s="10" t="n">
        <f aca="false">Einstellungen!$B$5+INT((ROW()-9)/24)</f>
        <v>46031</v>
      </c>
      <c r="B1583" s="11" t="n">
        <f aca="false">MOD(ROW()-9,24)</f>
        <v>14</v>
      </c>
      <c r="C1583" s="12"/>
      <c r="D1583" s="13" t="n">
        <f aca="false">IF(B1583&lt;5,Einstellungen!$B$3,Einstellungen!$B$4)</f>
        <v>29.13</v>
      </c>
      <c r="E1583" s="14" t="str">
        <f aca="false">IF(C1583="","",C1583*D1583/100)</f>
        <v/>
      </c>
      <c r="F1583" s="15" t="str">
        <f aca="false">IF(B1583&lt;5,"Go","Standard")</f>
        <v>Standard</v>
      </c>
    </row>
    <row r="1584" customFormat="false" ht="15" hidden="false" customHeight="true" outlineLevel="0" collapsed="false">
      <c r="A1584" s="10" t="n">
        <f aca="false">Einstellungen!$B$5+INT((ROW()-9)/24)</f>
        <v>46031</v>
      </c>
      <c r="B1584" s="11" t="n">
        <f aca="false">MOD(ROW()-9,24)</f>
        <v>15</v>
      </c>
      <c r="C1584" s="12"/>
      <c r="D1584" s="13" t="n">
        <f aca="false">IF(B1584&lt;5,Einstellungen!$B$3,Einstellungen!$B$4)</f>
        <v>29.13</v>
      </c>
      <c r="E1584" s="14" t="str">
        <f aca="false">IF(C1584="","",C1584*D1584/100)</f>
        <v/>
      </c>
      <c r="F1584" s="15" t="str">
        <f aca="false">IF(B1584&lt;5,"Go","Standard")</f>
        <v>Standard</v>
      </c>
    </row>
    <row r="1585" customFormat="false" ht="15" hidden="false" customHeight="true" outlineLevel="0" collapsed="false">
      <c r="A1585" s="10" t="n">
        <f aca="false">Einstellungen!$B$5+INT((ROW()-9)/24)</f>
        <v>46031</v>
      </c>
      <c r="B1585" s="11" t="n">
        <f aca="false">MOD(ROW()-9,24)</f>
        <v>16</v>
      </c>
      <c r="C1585" s="12"/>
      <c r="D1585" s="13" t="n">
        <f aca="false">IF(B1585&lt;5,Einstellungen!$B$3,Einstellungen!$B$4)</f>
        <v>29.13</v>
      </c>
      <c r="E1585" s="14" t="str">
        <f aca="false">IF(C1585="","",C1585*D1585/100)</f>
        <v/>
      </c>
      <c r="F1585" s="15" t="str">
        <f aca="false">IF(B1585&lt;5,"Go","Standard")</f>
        <v>Standard</v>
      </c>
    </row>
    <row r="1586" customFormat="false" ht="15" hidden="false" customHeight="true" outlineLevel="0" collapsed="false">
      <c r="A1586" s="10" t="n">
        <f aca="false">Einstellungen!$B$5+INT((ROW()-9)/24)</f>
        <v>46031</v>
      </c>
      <c r="B1586" s="11" t="n">
        <f aca="false">MOD(ROW()-9,24)</f>
        <v>17</v>
      </c>
      <c r="C1586" s="12"/>
      <c r="D1586" s="13" t="n">
        <f aca="false">IF(B1586&lt;5,Einstellungen!$B$3,Einstellungen!$B$4)</f>
        <v>29.13</v>
      </c>
      <c r="E1586" s="14" t="str">
        <f aca="false">IF(C1586="","",C1586*D1586/100)</f>
        <v/>
      </c>
      <c r="F1586" s="15" t="str">
        <f aca="false">IF(B1586&lt;5,"Go","Standard")</f>
        <v>Standard</v>
      </c>
    </row>
    <row r="1587" customFormat="false" ht="15" hidden="false" customHeight="true" outlineLevel="0" collapsed="false">
      <c r="A1587" s="10" t="n">
        <f aca="false">Einstellungen!$B$5+INT((ROW()-9)/24)</f>
        <v>46031</v>
      </c>
      <c r="B1587" s="11" t="n">
        <f aca="false">MOD(ROW()-9,24)</f>
        <v>18</v>
      </c>
      <c r="C1587" s="12"/>
      <c r="D1587" s="13" t="n">
        <f aca="false">IF(B1587&lt;5,Einstellungen!$B$3,Einstellungen!$B$4)</f>
        <v>29.13</v>
      </c>
      <c r="E1587" s="14" t="str">
        <f aca="false">IF(C1587="","",C1587*D1587/100)</f>
        <v/>
      </c>
      <c r="F1587" s="15" t="str">
        <f aca="false">IF(B1587&lt;5,"Go","Standard")</f>
        <v>Standard</v>
      </c>
    </row>
    <row r="1588" customFormat="false" ht="15" hidden="false" customHeight="true" outlineLevel="0" collapsed="false">
      <c r="A1588" s="10" t="n">
        <f aca="false">Einstellungen!$B$5+INT((ROW()-9)/24)</f>
        <v>46031</v>
      </c>
      <c r="B1588" s="11" t="n">
        <f aca="false">MOD(ROW()-9,24)</f>
        <v>19</v>
      </c>
      <c r="C1588" s="12"/>
      <c r="D1588" s="13" t="n">
        <f aca="false">IF(B1588&lt;5,Einstellungen!$B$3,Einstellungen!$B$4)</f>
        <v>29.13</v>
      </c>
      <c r="E1588" s="14" t="str">
        <f aca="false">IF(C1588="","",C1588*D1588/100)</f>
        <v/>
      </c>
      <c r="F1588" s="15" t="str">
        <f aca="false">IF(B1588&lt;5,"Go","Standard")</f>
        <v>Standard</v>
      </c>
    </row>
    <row r="1589" customFormat="false" ht="15" hidden="false" customHeight="true" outlineLevel="0" collapsed="false">
      <c r="A1589" s="10" t="n">
        <f aca="false">Einstellungen!$B$5+INT((ROW()-9)/24)</f>
        <v>46031</v>
      </c>
      <c r="B1589" s="11" t="n">
        <f aca="false">MOD(ROW()-9,24)</f>
        <v>20</v>
      </c>
      <c r="C1589" s="12"/>
      <c r="D1589" s="13" t="n">
        <f aca="false">IF(B1589&lt;5,Einstellungen!$B$3,Einstellungen!$B$4)</f>
        <v>29.13</v>
      </c>
      <c r="E1589" s="14" t="str">
        <f aca="false">IF(C1589="","",C1589*D1589/100)</f>
        <v/>
      </c>
      <c r="F1589" s="15" t="str">
        <f aca="false">IF(B1589&lt;5,"Go","Standard")</f>
        <v>Standard</v>
      </c>
    </row>
    <row r="1590" customFormat="false" ht="15" hidden="false" customHeight="true" outlineLevel="0" collapsed="false">
      <c r="A1590" s="10" t="n">
        <f aca="false">Einstellungen!$B$5+INT((ROW()-9)/24)</f>
        <v>46031</v>
      </c>
      <c r="B1590" s="11" t="n">
        <f aca="false">MOD(ROW()-9,24)</f>
        <v>21</v>
      </c>
      <c r="C1590" s="12"/>
      <c r="D1590" s="13" t="n">
        <f aca="false">IF(B1590&lt;5,Einstellungen!$B$3,Einstellungen!$B$4)</f>
        <v>29.13</v>
      </c>
      <c r="E1590" s="14" t="str">
        <f aca="false">IF(C1590="","",C1590*D1590/100)</f>
        <v/>
      </c>
      <c r="F1590" s="15" t="str">
        <f aca="false">IF(B1590&lt;5,"Go","Standard")</f>
        <v>Standard</v>
      </c>
    </row>
    <row r="1591" customFormat="false" ht="15" hidden="false" customHeight="true" outlineLevel="0" collapsed="false">
      <c r="A1591" s="10" t="n">
        <f aca="false">Einstellungen!$B$5+INT((ROW()-9)/24)</f>
        <v>46031</v>
      </c>
      <c r="B1591" s="11" t="n">
        <f aca="false">MOD(ROW()-9,24)</f>
        <v>22</v>
      </c>
      <c r="C1591" s="12"/>
      <c r="D1591" s="13" t="n">
        <f aca="false">IF(B1591&lt;5,Einstellungen!$B$3,Einstellungen!$B$4)</f>
        <v>29.13</v>
      </c>
      <c r="E1591" s="14" t="str">
        <f aca="false">IF(C1591="","",C1591*D1591/100)</f>
        <v/>
      </c>
      <c r="F1591" s="15" t="str">
        <f aca="false">IF(B1591&lt;5,"Go","Standard")</f>
        <v>Standard</v>
      </c>
    </row>
    <row r="1592" customFormat="false" ht="15" hidden="false" customHeight="true" outlineLevel="0" collapsed="false">
      <c r="A1592" s="10" t="n">
        <f aca="false">Einstellungen!$B$5+INT((ROW()-9)/24)</f>
        <v>46031</v>
      </c>
      <c r="B1592" s="11" t="n">
        <f aca="false">MOD(ROW()-9,24)</f>
        <v>23</v>
      </c>
      <c r="C1592" s="12"/>
      <c r="D1592" s="13" t="n">
        <f aca="false">IF(B1592&lt;5,Einstellungen!$B$3,Einstellungen!$B$4)</f>
        <v>29.13</v>
      </c>
      <c r="E1592" s="14" t="str">
        <f aca="false">IF(C1592="","",C1592*D1592/100)</f>
        <v/>
      </c>
      <c r="F1592" s="15" t="str">
        <f aca="false">IF(B1592&lt;5,"Go","Standard")</f>
        <v>Standard</v>
      </c>
    </row>
    <row r="1593" customFormat="false" ht="15" hidden="false" customHeight="true" outlineLevel="0" collapsed="false">
      <c r="A1593" s="10" t="n">
        <f aca="false">Einstellungen!$B$5+INT((ROW()-9)/24)</f>
        <v>46032</v>
      </c>
      <c r="B1593" s="11" t="n">
        <f aca="false">MOD(ROW()-9,24)</f>
        <v>0</v>
      </c>
      <c r="C1593" s="12"/>
      <c r="D1593" s="13" t="n">
        <f aca="false">IF(B1593&lt;5,Einstellungen!$B$3,Einstellungen!$B$4)</f>
        <v>15.92</v>
      </c>
      <c r="E1593" s="14" t="str">
        <f aca="false">IF(C1593="","",C1593*D1593/100)</f>
        <v/>
      </c>
      <c r="F1593" s="15" t="str">
        <f aca="false">IF(B1593&lt;5,"Go","Standard")</f>
        <v>Go</v>
      </c>
    </row>
    <row r="1594" customFormat="false" ht="15" hidden="false" customHeight="true" outlineLevel="0" collapsed="false">
      <c r="A1594" s="10" t="n">
        <f aca="false">Einstellungen!$B$5+INT((ROW()-9)/24)</f>
        <v>46032</v>
      </c>
      <c r="B1594" s="11" t="n">
        <f aca="false">MOD(ROW()-9,24)</f>
        <v>1</v>
      </c>
      <c r="C1594" s="12"/>
      <c r="D1594" s="13" t="n">
        <f aca="false">IF(B1594&lt;5,Einstellungen!$B$3,Einstellungen!$B$4)</f>
        <v>15.92</v>
      </c>
      <c r="E1594" s="14" t="str">
        <f aca="false">IF(C1594="","",C1594*D1594/100)</f>
        <v/>
      </c>
      <c r="F1594" s="15" t="str">
        <f aca="false">IF(B1594&lt;5,"Go","Standard")</f>
        <v>Go</v>
      </c>
    </row>
    <row r="1595" customFormat="false" ht="15" hidden="false" customHeight="true" outlineLevel="0" collapsed="false">
      <c r="A1595" s="10" t="n">
        <f aca="false">Einstellungen!$B$5+INT((ROW()-9)/24)</f>
        <v>46032</v>
      </c>
      <c r="B1595" s="11" t="n">
        <f aca="false">MOD(ROW()-9,24)</f>
        <v>2</v>
      </c>
      <c r="C1595" s="12"/>
      <c r="D1595" s="13" t="n">
        <f aca="false">IF(B1595&lt;5,Einstellungen!$B$3,Einstellungen!$B$4)</f>
        <v>15.92</v>
      </c>
      <c r="E1595" s="14" t="str">
        <f aca="false">IF(C1595="","",C1595*D1595/100)</f>
        <v/>
      </c>
      <c r="F1595" s="15" t="str">
        <f aca="false">IF(B1595&lt;5,"Go","Standard")</f>
        <v>Go</v>
      </c>
    </row>
    <row r="1596" customFormat="false" ht="15" hidden="false" customHeight="true" outlineLevel="0" collapsed="false">
      <c r="A1596" s="10" t="n">
        <f aca="false">Einstellungen!$B$5+INT((ROW()-9)/24)</f>
        <v>46032</v>
      </c>
      <c r="B1596" s="11" t="n">
        <f aca="false">MOD(ROW()-9,24)</f>
        <v>3</v>
      </c>
      <c r="C1596" s="12"/>
      <c r="D1596" s="13" t="n">
        <f aca="false">IF(B1596&lt;5,Einstellungen!$B$3,Einstellungen!$B$4)</f>
        <v>15.92</v>
      </c>
      <c r="E1596" s="14" t="str">
        <f aca="false">IF(C1596="","",C1596*D1596/100)</f>
        <v/>
      </c>
      <c r="F1596" s="15" t="str">
        <f aca="false">IF(B1596&lt;5,"Go","Standard")</f>
        <v>Go</v>
      </c>
    </row>
    <row r="1597" customFormat="false" ht="15" hidden="false" customHeight="true" outlineLevel="0" collapsed="false">
      <c r="A1597" s="10" t="n">
        <f aca="false">Einstellungen!$B$5+INT((ROW()-9)/24)</f>
        <v>46032</v>
      </c>
      <c r="B1597" s="11" t="n">
        <f aca="false">MOD(ROW()-9,24)</f>
        <v>4</v>
      </c>
      <c r="C1597" s="12"/>
      <c r="D1597" s="13" t="n">
        <f aca="false">IF(B1597&lt;5,Einstellungen!$B$3,Einstellungen!$B$4)</f>
        <v>15.92</v>
      </c>
      <c r="E1597" s="14" t="str">
        <f aca="false">IF(C1597="","",C1597*D1597/100)</f>
        <v/>
      </c>
      <c r="F1597" s="15" t="str">
        <f aca="false">IF(B1597&lt;5,"Go","Standard")</f>
        <v>Go</v>
      </c>
    </row>
    <row r="1598" customFormat="false" ht="15" hidden="false" customHeight="true" outlineLevel="0" collapsed="false">
      <c r="A1598" s="10" t="n">
        <f aca="false">Einstellungen!$B$5+INT((ROW()-9)/24)</f>
        <v>46032</v>
      </c>
      <c r="B1598" s="11" t="n">
        <f aca="false">MOD(ROW()-9,24)</f>
        <v>5</v>
      </c>
      <c r="C1598" s="12"/>
      <c r="D1598" s="13" t="n">
        <f aca="false">IF(B1598&lt;5,Einstellungen!$B$3,Einstellungen!$B$4)</f>
        <v>29.13</v>
      </c>
      <c r="E1598" s="14" t="str">
        <f aca="false">IF(C1598="","",C1598*D1598/100)</f>
        <v/>
      </c>
      <c r="F1598" s="15" t="str">
        <f aca="false">IF(B1598&lt;5,"Go","Standard")</f>
        <v>Standard</v>
      </c>
    </row>
    <row r="1599" customFormat="false" ht="15" hidden="false" customHeight="true" outlineLevel="0" collapsed="false">
      <c r="A1599" s="10" t="n">
        <f aca="false">Einstellungen!$B$5+INT((ROW()-9)/24)</f>
        <v>46032</v>
      </c>
      <c r="B1599" s="11" t="n">
        <f aca="false">MOD(ROW()-9,24)</f>
        <v>6</v>
      </c>
      <c r="C1599" s="12"/>
      <c r="D1599" s="13" t="n">
        <f aca="false">IF(B1599&lt;5,Einstellungen!$B$3,Einstellungen!$B$4)</f>
        <v>29.13</v>
      </c>
      <c r="E1599" s="14" t="str">
        <f aca="false">IF(C1599="","",C1599*D1599/100)</f>
        <v/>
      </c>
      <c r="F1599" s="15" t="str">
        <f aca="false">IF(B1599&lt;5,"Go","Standard")</f>
        <v>Standard</v>
      </c>
    </row>
    <row r="1600" customFormat="false" ht="15" hidden="false" customHeight="true" outlineLevel="0" collapsed="false">
      <c r="A1600" s="10" t="n">
        <f aca="false">Einstellungen!$B$5+INT((ROW()-9)/24)</f>
        <v>46032</v>
      </c>
      <c r="B1600" s="11" t="n">
        <f aca="false">MOD(ROW()-9,24)</f>
        <v>7</v>
      </c>
      <c r="C1600" s="12"/>
      <c r="D1600" s="13" t="n">
        <f aca="false">IF(B1600&lt;5,Einstellungen!$B$3,Einstellungen!$B$4)</f>
        <v>29.13</v>
      </c>
      <c r="E1600" s="14" t="str">
        <f aca="false">IF(C1600="","",C1600*D1600/100)</f>
        <v/>
      </c>
      <c r="F1600" s="15" t="str">
        <f aca="false">IF(B1600&lt;5,"Go","Standard")</f>
        <v>Standard</v>
      </c>
    </row>
    <row r="1601" customFormat="false" ht="15" hidden="false" customHeight="true" outlineLevel="0" collapsed="false">
      <c r="A1601" s="10" t="n">
        <f aca="false">Einstellungen!$B$5+INT((ROW()-9)/24)</f>
        <v>46032</v>
      </c>
      <c r="B1601" s="11" t="n">
        <f aca="false">MOD(ROW()-9,24)</f>
        <v>8</v>
      </c>
      <c r="C1601" s="12"/>
      <c r="D1601" s="13" t="n">
        <f aca="false">IF(B1601&lt;5,Einstellungen!$B$3,Einstellungen!$B$4)</f>
        <v>29.13</v>
      </c>
      <c r="E1601" s="14" t="str">
        <f aca="false">IF(C1601="","",C1601*D1601/100)</f>
        <v/>
      </c>
      <c r="F1601" s="15" t="str">
        <f aca="false">IF(B1601&lt;5,"Go","Standard")</f>
        <v>Standard</v>
      </c>
    </row>
    <row r="1602" customFormat="false" ht="15" hidden="false" customHeight="true" outlineLevel="0" collapsed="false">
      <c r="A1602" s="10" t="n">
        <f aca="false">Einstellungen!$B$5+INT((ROW()-9)/24)</f>
        <v>46032</v>
      </c>
      <c r="B1602" s="11" t="n">
        <f aca="false">MOD(ROW()-9,24)</f>
        <v>9</v>
      </c>
      <c r="C1602" s="12"/>
      <c r="D1602" s="13" t="n">
        <f aca="false">IF(B1602&lt;5,Einstellungen!$B$3,Einstellungen!$B$4)</f>
        <v>29.13</v>
      </c>
      <c r="E1602" s="14" t="str">
        <f aca="false">IF(C1602="","",C1602*D1602/100)</f>
        <v/>
      </c>
      <c r="F1602" s="15" t="str">
        <f aca="false">IF(B1602&lt;5,"Go","Standard")</f>
        <v>Standard</v>
      </c>
    </row>
    <row r="1603" customFormat="false" ht="15" hidden="false" customHeight="true" outlineLevel="0" collapsed="false">
      <c r="A1603" s="10" t="n">
        <f aca="false">Einstellungen!$B$5+INT((ROW()-9)/24)</f>
        <v>46032</v>
      </c>
      <c r="B1603" s="11" t="n">
        <f aca="false">MOD(ROW()-9,24)</f>
        <v>10</v>
      </c>
      <c r="C1603" s="12"/>
      <c r="D1603" s="13" t="n">
        <f aca="false">IF(B1603&lt;5,Einstellungen!$B$3,Einstellungen!$B$4)</f>
        <v>29.13</v>
      </c>
      <c r="E1603" s="14" t="str">
        <f aca="false">IF(C1603="","",C1603*D1603/100)</f>
        <v/>
      </c>
      <c r="F1603" s="15" t="str">
        <f aca="false">IF(B1603&lt;5,"Go","Standard")</f>
        <v>Standard</v>
      </c>
    </row>
    <row r="1604" customFormat="false" ht="15" hidden="false" customHeight="true" outlineLevel="0" collapsed="false">
      <c r="A1604" s="10" t="n">
        <f aca="false">Einstellungen!$B$5+INT((ROW()-9)/24)</f>
        <v>46032</v>
      </c>
      <c r="B1604" s="11" t="n">
        <f aca="false">MOD(ROW()-9,24)</f>
        <v>11</v>
      </c>
      <c r="C1604" s="12"/>
      <c r="D1604" s="13" t="n">
        <f aca="false">IF(B1604&lt;5,Einstellungen!$B$3,Einstellungen!$B$4)</f>
        <v>29.13</v>
      </c>
      <c r="E1604" s="14" t="str">
        <f aca="false">IF(C1604="","",C1604*D1604/100)</f>
        <v/>
      </c>
      <c r="F1604" s="15" t="str">
        <f aca="false">IF(B1604&lt;5,"Go","Standard")</f>
        <v>Standard</v>
      </c>
    </row>
    <row r="1605" customFormat="false" ht="15" hidden="false" customHeight="true" outlineLevel="0" collapsed="false">
      <c r="A1605" s="10" t="n">
        <f aca="false">Einstellungen!$B$5+INT((ROW()-9)/24)</f>
        <v>46032</v>
      </c>
      <c r="B1605" s="11" t="n">
        <f aca="false">MOD(ROW()-9,24)</f>
        <v>12</v>
      </c>
      <c r="C1605" s="12"/>
      <c r="D1605" s="13" t="n">
        <f aca="false">IF(B1605&lt;5,Einstellungen!$B$3,Einstellungen!$B$4)</f>
        <v>29.13</v>
      </c>
      <c r="E1605" s="14" t="str">
        <f aca="false">IF(C1605="","",C1605*D1605/100)</f>
        <v/>
      </c>
      <c r="F1605" s="15" t="str">
        <f aca="false">IF(B1605&lt;5,"Go","Standard")</f>
        <v>Standard</v>
      </c>
    </row>
    <row r="1606" customFormat="false" ht="15" hidden="false" customHeight="true" outlineLevel="0" collapsed="false">
      <c r="A1606" s="10" t="n">
        <f aca="false">Einstellungen!$B$5+INT((ROW()-9)/24)</f>
        <v>46032</v>
      </c>
      <c r="B1606" s="11" t="n">
        <f aca="false">MOD(ROW()-9,24)</f>
        <v>13</v>
      </c>
      <c r="C1606" s="12"/>
      <c r="D1606" s="13" t="n">
        <f aca="false">IF(B1606&lt;5,Einstellungen!$B$3,Einstellungen!$B$4)</f>
        <v>29.13</v>
      </c>
      <c r="E1606" s="14" t="str">
        <f aca="false">IF(C1606="","",C1606*D1606/100)</f>
        <v/>
      </c>
      <c r="F1606" s="15" t="str">
        <f aca="false">IF(B1606&lt;5,"Go","Standard")</f>
        <v>Standard</v>
      </c>
    </row>
    <row r="1607" customFormat="false" ht="15" hidden="false" customHeight="true" outlineLevel="0" collapsed="false">
      <c r="A1607" s="10" t="n">
        <f aca="false">Einstellungen!$B$5+INT((ROW()-9)/24)</f>
        <v>46032</v>
      </c>
      <c r="B1607" s="11" t="n">
        <f aca="false">MOD(ROW()-9,24)</f>
        <v>14</v>
      </c>
      <c r="C1607" s="12"/>
      <c r="D1607" s="13" t="n">
        <f aca="false">IF(B1607&lt;5,Einstellungen!$B$3,Einstellungen!$B$4)</f>
        <v>29.13</v>
      </c>
      <c r="E1607" s="14" t="str">
        <f aca="false">IF(C1607="","",C1607*D1607/100)</f>
        <v/>
      </c>
      <c r="F1607" s="15" t="str">
        <f aca="false">IF(B1607&lt;5,"Go","Standard")</f>
        <v>Standard</v>
      </c>
    </row>
    <row r="1608" customFormat="false" ht="15" hidden="false" customHeight="true" outlineLevel="0" collapsed="false">
      <c r="A1608" s="10" t="n">
        <f aca="false">Einstellungen!$B$5+INT((ROW()-9)/24)</f>
        <v>46032</v>
      </c>
      <c r="B1608" s="11" t="n">
        <f aca="false">MOD(ROW()-9,24)</f>
        <v>15</v>
      </c>
      <c r="C1608" s="12"/>
      <c r="D1608" s="13" t="n">
        <f aca="false">IF(B1608&lt;5,Einstellungen!$B$3,Einstellungen!$B$4)</f>
        <v>29.13</v>
      </c>
      <c r="E1608" s="14" t="str">
        <f aca="false">IF(C1608="","",C1608*D1608/100)</f>
        <v/>
      </c>
      <c r="F1608" s="15" t="str">
        <f aca="false">IF(B1608&lt;5,"Go","Standard")</f>
        <v>Standard</v>
      </c>
    </row>
    <row r="1609" customFormat="false" ht="15" hidden="false" customHeight="true" outlineLevel="0" collapsed="false">
      <c r="A1609" s="10" t="n">
        <f aca="false">Einstellungen!$B$5+INT((ROW()-9)/24)</f>
        <v>46032</v>
      </c>
      <c r="B1609" s="11" t="n">
        <f aca="false">MOD(ROW()-9,24)</f>
        <v>16</v>
      </c>
      <c r="C1609" s="12"/>
      <c r="D1609" s="13" t="n">
        <f aca="false">IF(B1609&lt;5,Einstellungen!$B$3,Einstellungen!$B$4)</f>
        <v>29.13</v>
      </c>
      <c r="E1609" s="14" t="str">
        <f aca="false">IF(C1609="","",C1609*D1609/100)</f>
        <v/>
      </c>
      <c r="F1609" s="15" t="str">
        <f aca="false">IF(B1609&lt;5,"Go","Standard")</f>
        <v>Standard</v>
      </c>
    </row>
    <row r="1610" customFormat="false" ht="15" hidden="false" customHeight="true" outlineLevel="0" collapsed="false">
      <c r="A1610" s="10" t="n">
        <f aca="false">Einstellungen!$B$5+INT((ROW()-9)/24)</f>
        <v>46032</v>
      </c>
      <c r="B1610" s="11" t="n">
        <f aca="false">MOD(ROW()-9,24)</f>
        <v>17</v>
      </c>
      <c r="C1610" s="12"/>
      <c r="D1610" s="13" t="n">
        <f aca="false">IF(B1610&lt;5,Einstellungen!$B$3,Einstellungen!$B$4)</f>
        <v>29.13</v>
      </c>
      <c r="E1610" s="14" t="str">
        <f aca="false">IF(C1610="","",C1610*D1610/100)</f>
        <v/>
      </c>
      <c r="F1610" s="15" t="str">
        <f aca="false">IF(B1610&lt;5,"Go","Standard")</f>
        <v>Standard</v>
      </c>
    </row>
    <row r="1611" customFormat="false" ht="15" hidden="false" customHeight="true" outlineLevel="0" collapsed="false">
      <c r="A1611" s="10" t="n">
        <f aca="false">Einstellungen!$B$5+INT((ROW()-9)/24)</f>
        <v>46032</v>
      </c>
      <c r="B1611" s="11" t="n">
        <f aca="false">MOD(ROW()-9,24)</f>
        <v>18</v>
      </c>
      <c r="C1611" s="12"/>
      <c r="D1611" s="13" t="n">
        <f aca="false">IF(B1611&lt;5,Einstellungen!$B$3,Einstellungen!$B$4)</f>
        <v>29.13</v>
      </c>
      <c r="E1611" s="14" t="str">
        <f aca="false">IF(C1611="","",C1611*D1611/100)</f>
        <v/>
      </c>
      <c r="F1611" s="15" t="str">
        <f aca="false">IF(B1611&lt;5,"Go","Standard")</f>
        <v>Standard</v>
      </c>
    </row>
    <row r="1612" customFormat="false" ht="15" hidden="false" customHeight="true" outlineLevel="0" collapsed="false">
      <c r="A1612" s="10" t="n">
        <f aca="false">Einstellungen!$B$5+INT((ROW()-9)/24)</f>
        <v>46032</v>
      </c>
      <c r="B1612" s="11" t="n">
        <f aca="false">MOD(ROW()-9,24)</f>
        <v>19</v>
      </c>
      <c r="C1612" s="12"/>
      <c r="D1612" s="13" t="n">
        <f aca="false">IF(B1612&lt;5,Einstellungen!$B$3,Einstellungen!$B$4)</f>
        <v>29.13</v>
      </c>
      <c r="E1612" s="14" t="str">
        <f aca="false">IF(C1612="","",C1612*D1612/100)</f>
        <v/>
      </c>
      <c r="F1612" s="15" t="str">
        <f aca="false">IF(B1612&lt;5,"Go","Standard")</f>
        <v>Standard</v>
      </c>
    </row>
    <row r="1613" customFormat="false" ht="15" hidden="false" customHeight="true" outlineLevel="0" collapsed="false">
      <c r="A1613" s="10" t="n">
        <f aca="false">Einstellungen!$B$5+INT((ROW()-9)/24)</f>
        <v>46032</v>
      </c>
      <c r="B1613" s="11" t="n">
        <f aca="false">MOD(ROW()-9,24)</f>
        <v>20</v>
      </c>
      <c r="C1613" s="12"/>
      <c r="D1613" s="13" t="n">
        <f aca="false">IF(B1613&lt;5,Einstellungen!$B$3,Einstellungen!$B$4)</f>
        <v>29.13</v>
      </c>
      <c r="E1613" s="14" t="str">
        <f aca="false">IF(C1613="","",C1613*D1613/100)</f>
        <v/>
      </c>
      <c r="F1613" s="15" t="str">
        <f aca="false">IF(B1613&lt;5,"Go","Standard")</f>
        <v>Standard</v>
      </c>
    </row>
    <row r="1614" customFormat="false" ht="15" hidden="false" customHeight="true" outlineLevel="0" collapsed="false">
      <c r="A1614" s="10" t="n">
        <f aca="false">Einstellungen!$B$5+INT((ROW()-9)/24)</f>
        <v>46032</v>
      </c>
      <c r="B1614" s="11" t="n">
        <f aca="false">MOD(ROW()-9,24)</f>
        <v>21</v>
      </c>
      <c r="C1614" s="12"/>
      <c r="D1614" s="13" t="n">
        <f aca="false">IF(B1614&lt;5,Einstellungen!$B$3,Einstellungen!$B$4)</f>
        <v>29.13</v>
      </c>
      <c r="E1614" s="14" t="str">
        <f aca="false">IF(C1614="","",C1614*D1614/100)</f>
        <v/>
      </c>
      <c r="F1614" s="15" t="str">
        <f aca="false">IF(B1614&lt;5,"Go","Standard")</f>
        <v>Standard</v>
      </c>
    </row>
    <row r="1615" customFormat="false" ht="15" hidden="false" customHeight="true" outlineLevel="0" collapsed="false">
      <c r="A1615" s="10" t="n">
        <f aca="false">Einstellungen!$B$5+INT((ROW()-9)/24)</f>
        <v>46032</v>
      </c>
      <c r="B1615" s="11" t="n">
        <f aca="false">MOD(ROW()-9,24)</f>
        <v>22</v>
      </c>
      <c r="C1615" s="12"/>
      <c r="D1615" s="13" t="n">
        <f aca="false">IF(B1615&lt;5,Einstellungen!$B$3,Einstellungen!$B$4)</f>
        <v>29.13</v>
      </c>
      <c r="E1615" s="14" t="str">
        <f aca="false">IF(C1615="","",C1615*D1615/100)</f>
        <v/>
      </c>
      <c r="F1615" s="15" t="str">
        <f aca="false">IF(B1615&lt;5,"Go","Standard")</f>
        <v>Standard</v>
      </c>
    </row>
    <row r="1616" customFormat="false" ht="15" hidden="false" customHeight="true" outlineLevel="0" collapsed="false">
      <c r="A1616" s="10" t="n">
        <f aca="false">Einstellungen!$B$5+INT((ROW()-9)/24)</f>
        <v>46032</v>
      </c>
      <c r="B1616" s="11" t="n">
        <f aca="false">MOD(ROW()-9,24)</f>
        <v>23</v>
      </c>
      <c r="C1616" s="12"/>
      <c r="D1616" s="13" t="n">
        <f aca="false">IF(B1616&lt;5,Einstellungen!$B$3,Einstellungen!$B$4)</f>
        <v>29.13</v>
      </c>
      <c r="E1616" s="14" t="str">
        <f aca="false">IF(C1616="","",C1616*D1616/100)</f>
        <v/>
      </c>
      <c r="F1616" s="15" t="str">
        <f aca="false">IF(B1616&lt;5,"Go","Standard")</f>
        <v>Standard</v>
      </c>
    </row>
    <row r="1617" customFormat="false" ht="15" hidden="false" customHeight="true" outlineLevel="0" collapsed="false">
      <c r="A1617" s="10" t="n">
        <f aca="false">Einstellungen!$B$5+INT((ROW()-9)/24)</f>
        <v>46033</v>
      </c>
      <c r="B1617" s="11" t="n">
        <f aca="false">MOD(ROW()-9,24)</f>
        <v>0</v>
      </c>
      <c r="C1617" s="12"/>
      <c r="D1617" s="13" t="n">
        <f aca="false">IF(B1617&lt;5,Einstellungen!$B$3,Einstellungen!$B$4)</f>
        <v>15.92</v>
      </c>
      <c r="E1617" s="14" t="str">
        <f aca="false">IF(C1617="","",C1617*D1617/100)</f>
        <v/>
      </c>
      <c r="F1617" s="15" t="str">
        <f aca="false">IF(B1617&lt;5,"Go","Standard")</f>
        <v>Go</v>
      </c>
    </row>
    <row r="1618" customFormat="false" ht="15" hidden="false" customHeight="true" outlineLevel="0" collapsed="false">
      <c r="A1618" s="10" t="n">
        <f aca="false">Einstellungen!$B$5+INT((ROW()-9)/24)</f>
        <v>46033</v>
      </c>
      <c r="B1618" s="11" t="n">
        <f aca="false">MOD(ROW()-9,24)</f>
        <v>1</v>
      </c>
      <c r="C1618" s="12"/>
      <c r="D1618" s="13" t="n">
        <f aca="false">IF(B1618&lt;5,Einstellungen!$B$3,Einstellungen!$B$4)</f>
        <v>15.92</v>
      </c>
      <c r="E1618" s="14" t="str">
        <f aca="false">IF(C1618="","",C1618*D1618/100)</f>
        <v/>
      </c>
      <c r="F1618" s="15" t="str">
        <f aca="false">IF(B1618&lt;5,"Go","Standard")</f>
        <v>Go</v>
      </c>
    </row>
    <row r="1619" customFormat="false" ht="15" hidden="false" customHeight="true" outlineLevel="0" collapsed="false">
      <c r="A1619" s="10" t="n">
        <f aca="false">Einstellungen!$B$5+INT((ROW()-9)/24)</f>
        <v>46033</v>
      </c>
      <c r="B1619" s="11" t="n">
        <f aca="false">MOD(ROW()-9,24)</f>
        <v>2</v>
      </c>
      <c r="C1619" s="12"/>
      <c r="D1619" s="13" t="n">
        <f aca="false">IF(B1619&lt;5,Einstellungen!$B$3,Einstellungen!$B$4)</f>
        <v>15.92</v>
      </c>
      <c r="E1619" s="14" t="str">
        <f aca="false">IF(C1619="","",C1619*D1619/100)</f>
        <v/>
      </c>
      <c r="F1619" s="15" t="str">
        <f aca="false">IF(B1619&lt;5,"Go","Standard")</f>
        <v>Go</v>
      </c>
    </row>
    <row r="1620" customFormat="false" ht="15" hidden="false" customHeight="true" outlineLevel="0" collapsed="false">
      <c r="A1620" s="10" t="n">
        <f aca="false">Einstellungen!$B$5+INT((ROW()-9)/24)</f>
        <v>46033</v>
      </c>
      <c r="B1620" s="11" t="n">
        <f aca="false">MOD(ROW()-9,24)</f>
        <v>3</v>
      </c>
      <c r="C1620" s="12"/>
      <c r="D1620" s="13" t="n">
        <f aca="false">IF(B1620&lt;5,Einstellungen!$B$3,Einstellungen!$B$4)</f>
        <v>15.92</v>
      </c>
      <c r="E1620" s="14" t="str">
        <f aca="false">IF(C1620="","",C1620*D1620/100)</f>
        <v/>
      </c>
      <c r="F1620" s="15" t="str">
        <f aca="false">IF(B1620&lt;5,"Go","Standard")</f>
        <v>Go</v>
      </c>
    </row>
    <row r="1621" customFormat="false" ht="15" hidden="false" customHeight="true" outlineLevel="0" collapsed="false">
      <c r="A1621" s="10" t="n">
        <f aca="false">Einstellungen!$B$5+INT((ROW()-9)/24)</f>
        <v>46033</v>
      </c>
      <c r="B1621" s="11" t="n">
        <f aca="false">MOD(ROW()-9,24)</f>
        <v>4</v>
      </c>
      <c r="C1621" s="12"/>
      <c r="D1621" s="13" t="n">
        <f aca="false">IF(B1621&lt;5,Einstellungen!$B$3,Einstellungen!$B$4)</f>
        <v>15.92</v>
      </c>
      <c r="E1621" s="14" t="str">
        <f aca="false">IF(C1621="","",C1621*D1621/100)</f>
        <v/>
      </c>
      <c r="F1621" s="15" t="str">
        <f aca="false">IF(B1621&lt;5,"Go","Standard")</f>
        <v>Go</v>
      </c>
    </row>
    <row r="1622" customFormat="false" ht="15" hidden="false" customHeight="true" outlineLevel="0" collapsed="false">
      <c r="A1622" s="10" t="n">
        <f aca="false">Einstellungen!$B$5+INT((ROW()-9)/24)</f>
        <v>46033</v>
      </c>
      <c r="B1622" s="11" t="n">
        <f aca="false">MOD(ROW()-9,24)</f>
        <v>5</v>
      </c>
      <c r="C1622" s="12"/>
      <c r="D1622" s="13" t="n">
        <f aca="false">IF(B1622&lt;5,Einstellungen!$B$3,Einstellungen!$B$4)</f>
        <v>29.13</v>
      </c>
      <c r="E1622" s="14" t="str">
        <f aca="false">IF(C1622="","",C1622*D1622/100)</f>
        <v/>
      </c>
      <c r="F1622" s="15" t="str">
        <f aca="false">IF(B1622&lt;5,"Go","Standard")</f>
        <v>Standard</v>
      </c>
    </row>
    <row r="1623" customFormat="false" ht="15" hidden="false" customHeight="true" outlineLevel="0" collapsed="false">
      <c r="A1623" s="10" t="n">
        <f aca="false">Einstellungen!$B$5+INT((ROW()-9)/24)</f>
        <v>46033</v>
      </c>
      <c r="B1623" s="11" t="n">
        <f aca="false">MOD(ROW()-9,24)</f>
        <v>6</v>
      </c>
      <c r="C1623" s="12"/>
      <c r="D1623" s="13" t="n">
        <f aca="false">IF(B1623&lt;5,Einstellungen!$B$3,Einstellungen!$B$4)</f>
        <v>29.13</v>
      </c>
      <c r="E1623" s="14" t="str">
        <f aca="false">IF(C1623="","",C1623*D1623/100)</f>
        <v/>
      </c>
      <c r="F1623" s="15" t="str">
        <f aca="false">IF(B1623&lt;5,"Go","Standard")</f>
        <v>Standard</v>
      </c>
    </row>
    <row r="1624" customFormat="false" ht="15" hidden="false" customHeight="true" outlineLevel="0" collapsed="false">
      <c r="A1624" s="10" t="n">
        <f aca="false">Einstellungen!$B$5+INT((ROW()-9)/24)</f>
        <v>46033</v>
      </c>
      <c r="B1624" s="11" t="n">
        <f aca="false">MOD(ROW()-9,24)</f>
        <v>7</v>
      </c>
      <c r="C1624" s="12"/>
      <c r="D1624" s="13" t="n">
        <f aca="false">IF(B1624&lt;5,Einstellungen!$B$3,Einstellungen!$B$4)</f>
        <v>29.13</v>
      </c>
      <c r="E1624" s="14" t="str">
        <f aca="false">IF(C1624="","",C1624*D1624/100)</f>
        <v/>
      </c>
      <c r="F1624" s="15" t="str">
        <f aca="false">IF(B1624&lt;5,"Go","Standard")</f>
        <v>Standard</v>
      </c>
    </row>
    <row r="1625" customFormat="false" ht="15" hidden="false" customHeight="true" outlineLevel="0" collapsed="false">
      <c r="A1625" s="10" t="n">
        <f aca="false">Einstellungen!$B$5+INT((ROW()-9)/24)</f>
        <v>46033</v>
      </c>
      <c r="B1625" s="11" t="n">
        <f aca="false">MOD(ROW()-9,24)</f>
        <v>8</v>
      </c>
      <c r="C1625" s="12"/>
      <c r="D1625" s="13" t="n">
        <f aca="false">IF(B1625&lt;5,Einstellungen!$B$3,Einstellungen!$B$4)</f>
        <v>29.13</v>
      </c>
      <c r="E1625" s="14" t="str">
        <f aca="false">IF(C1625="","",C1625*D1625/100)</f>
        <v/>
      </c>
      <c r="F1625" s="15" t="str">
        <f aca="false">IF(B1625&lt;5,"Go","Standard")</f>
        <v>Standard</v>
      </c>
    </row>
    <row r="1626" customFormat="false" ht="15" hidden="false" customHeight="true" outlineLevel="0" collapsed="false">
      <c r="A1626" s="10" t="n">
        <f aca="false">Einstellungen!$B$5+INT((ROW()-9)/24)</f>
        <v>46033</v>
      </c>
      <c r="B1626" s="11" t="n">
        <f aca="false">MOD(ROW()-9,24)</f>
        <v>9</v>
      </c>
      <c r="C1626" s="12"/>
      <c r="D1626" s="13" t="n">
        <f aca="false">IF(B1626&lt;5,Einstellungen!$B$3,Einstellungen!$B$4)</f>
        <v>29.13</v>
      </c>
      <c r="E1626" s="14" t="str">
        <f aca="false">IF(C1626="","",C1626*D1626/100)</f>
        <v/>
      </c>
      <c r="F1626" s="15" t="str">
        <f aca="false">IF(B1626&lt;5,"Go","Standard")</f>
        <v>Standard</v>
      </c>
    </row>
    <row r="1627" customFormat="false" ht="15" hidden="false" customHeight="true" outlineLevel="0" collapsed="false">
      <c r="A1627" s="10" t="n">
        <f aca="false">Einstellungen!$B$5+INT((ROW()-9)/24)</f>
        <v>46033</v>
      </c>
      <c r="B1627" s="11" t="n">
        <f aca="false">MOD(ROW()-9,24)</f>
        <v>10</v>
      </c>
      <c r="C1627" s="12"/>
      <c r="D1627" s="13" t="n">
        <f aca="false">IF(B1627&lt;5,Einstellungen!$B$3,Einstellungen!$B$4)</f>
        <v>29.13</v>
      </c>
      <c r="E1627" s="14" t="str">
        <f aca="false">IF(C1627="","",C1627*D1627/100)</f>
        <v/>
      </c>
      <c r="F1627" s="15" t="str">
        <f aca="false">IF(B1627&lt;5,"Go","Standard")</f>
        <v>Standard</v>
      </c>
    </row>
    <row r="1628" customFormat="false" ht="15" hidden="false" customHeight="true" outlineLevel="0" collapsed="false">
      <c r="A1628" s="10" t="n">
        <f aca="false">Einstellungen!$B$5+INT((ROW()-9)/24)</f>
        <v>46033</v>
      </c>
      <c r="B1628" s="11" t="n">
        <f aca="false">MOD(ROW()-9,24)</f>
        <v>11</v>
      </c>
      <c r="C1628" s="12"/>
      <c r="D1628" s="13" t="n">
        <f aca="false">IF(B1628&lt;5,Einstellungen!$B$3,Einstellungen!$B$4)</f>
        <v>29.13</v>
      </c>
      <c r="E1628" s="14" t="str">
        <f aca="false">IF(C1628="","",C1628*D1628/100)</f>
        <v/>
      </c>
      <c r="F1628" s="15" t="str">
        <f aca="false">IF(B1628&lt;5,"Go","Standard")</f>
        <v>Standard</v>
      </c>
    </row>
    <row r="1629" customFormat="false" ht="15" hidden="false" customHeight="true" outlineLevel="0" collapsed="false">
      <c r="A1629" s="10" t="n">
        <f aca="false">Einstellungen!$B$5+INT((ROW()-9)/24)</f>
        <v>46033</v>
      </c>
      <c r="B1629" s="11" t="n">
        <f aca="false">MOD(ROW()-9,24)</f>
        <v>12</v>
      </c>
      <c r="C1629" s="12"/>
      <c r="D1629" s="13" t="n">
        <f aca="false">IF(B1629&lt;5,Einstellungen!$B$3,Einstellungen!$B$4)</f>
        <v>29.13</v>
      </c>
      <c r="E1629" s="14" t="str">
        <f aca="false">IF(C1629="","",C1629*D1629/100)</f>
        <v/>
      </c>
      <c r="F1629" s="15" t="str">
        <f aca="false">IF(B1629&lt;5,"Go","Standard")</f>
        <v>Standard</v>
      </c>
    </row>
    <row r="1630" customFormat="false" ht="15" hidden="false" customHeight="true" outlineLevel="0" collapsed="false">
      <c r="A1630" s="10" t="n">
        <f aca="false">Einstellungen!$B$5+INT((ROW()-9)/24)</f>
        <v>46033</v>
      </c>
      <c r="B1630" s="11" t="n">
        <f aca="false">MOD(ROW()-9,24)</f>
        <v>13</v>
      </c>
      <c r="C1630" s="12"/>
      <c r="D1630" s="13" t="n">
        <f aca="false">IF(B1630&lt;5,Einstellungen!$B$3,Einstellungen!$B$4)</f>
        <v>29.13</v>
      </c>
      <c r="E1630" s="14" t="str">
        <f aca="false">IF(C1630="","",C1630*D1630/100)</f>
        <v/>
      </c>
      <c r="F1630" s="15" t="str">
        <f aca="false">IF(B1630&lt;5,"Go","Standard")</f>
        <v>Standard</v>
      </c>
    </row>
    <row r="1631" customFormat="false" ht="15" hidden="false" customHeight="true" outlineLevel="0" collapsed="false">
      <c r="A1631" s="10" t="n">
        <f aca="false">Einstellungen!$B$5+INT((ROW()-9)/24)</f>
        <v>46033</v>
      </c>
      <c r="B1631" s="11" t="n">
        <f aca="false">MOD(ROW()-9,24)</f>
        <v>14</v>
      </c>
      <c r="C1631" s="12"/>
      <c r="D1631" s="13" t="n">
        <f aca="false">IF(B1631&lt;5,Einstellungen!$B$3,Einstellungen!$B$4)</f>
        <v>29.13</v>
      </c>
      <c r="E1631" s="14" t="str">
        <f aca="false">IF(C1631="","",C1631*D1631/100)</f>
        <v/>
      </c>
      <c r="F1631" s="15" t="str">
        <f aca="false">IF(B1631&lt;5,"Go","Standard")</f>
        <v>Standard</v>
      </c>
    </row>
    <row r="1632" customFormat="false" ht="15" hidden="false" customHeight="true" outlineLevel="0" collapsed="false">
      <c r="A1632" s="10" t="n">
        <f aca="false">Einstellungen!$B$5+INT((ROW()-9)/24)</f>
        <v>46033</v>
      </c>
      <c r="B1632" s="11" t="n">
        <f aca="false">MOD(ROW()-9,24)</f>
        <v>15</v>
      </c>
      <c r="C1632" s="12"/>
      <c r="D1632" s="13" t="n">
        <f aca="false">IF(B1632&lt;5,Einstellungen!$B$3,Einstellungen!$B$4)</f>
        <v>29.13</v>
      </c>
      <c r="E1632" s="14" t="str">
        <f aca="false">IF(C1632="","",C1632*D1632/100)</f>
        <v/>
      </c>
      <c r="F1632" s="15" t="str">
        <f aca="false">IF(B1632&lt;5,"Go","Standard")</f>
        <v>Standard</v>
      </c>
    </row>
    <row r="1633" customFormat="false" ht="15" hidden="false" customHeight="true" outlineLevel="0" collapsed="false">
      <c r="A1633" s="10" t="n">
        <f aca="false">Einstellungen!$B$5+INT((ROW()-9)/24)</f>
        <v>46033</v>
      </c>
      <c r="B1633" s="11" t="n">
        <f aca="false">MOD(ROW()-9,24)</f>
        <v>16</v>
      </c>
      <c r="C1633" s="12"/>
      <c r="D1633" s="13" t="n">
        <f aca="false">IF(B1633&lt;5,Einstellungen!$B$3,Einstellungen!$B$4)</f>
        <v>29.13</v>
      </c>
      <c r="E1633" s="14" t="str">
        <f aca="false">IF(C1633="","",C1633*D1633/100)</f>
        <v/>
      </c>
      <c r="F1633" s="15" t="str">
        <f aca="false">IF(B1633&lt;5,"Go","Standard")</f>
        <v>Standard</v>
      </c>
    </row>
    <row r="1634" customFormat="false" ht="15" hidden="false" customHeight="true" outlineLevel="0" collapsed="false">
      <c r="A1634" s="10" t="n">
        <f aca="false">Einstellungen!$B$5+INT((ROW()-9)/24)</f>
        <v>46033</v>
      </c>
      <c r="B1634" s="11" t="n">
        <f aca="false">MOD(ROW()-9,24)</f>
        <v>17</v>
      </c>
      <c r="C1634" s="12"/>
      <c r="D1634" s="13" t="n">
        <f aca="false">IF(B1634&lt;5,Einstellungen!$B$3,Einstellungen!$B$4)</f>
        <v>29.13</v>
      </c>
      <c r="E1634" s="14" t="str">
        <f aca="false">IF(C1634="","",C1634*D1634/100)</f>
        <v/>
      </c>
      <c r="F1634" s="15" t="str">
        <f aca="false">IF(B1634&lt;5,"Go","Standard")</f>
        <v>Standard</v>
      </c>
    </row>
    <row r="1635" customFormat="false" ht="15" hidden="false" customHeight="true" outlineLevel="0" collapsed="false">
      <c r="A1635" s="10" t="n">
        <f aca="false">Einstellungen!$B$5+INT((ROW()-9)/24)</f>
        <v>46033</v>
      </c>
      <c r="B1635" s="11" t="n">
        <f aca="false">MOD(ROW()-9,24)</f>
        <v>18</v>
      </c>
      <c r="C1635" s="12"/>
      <c r="D1635" s="13" t="n">
        <f aca="false">IF(B1635&lt;5,Einstellungen!$B$3,Einstellungen!$B$4)</f>
        <v>29.13</v>
      </c>
      <c r="E1635" s="14" t="str">
        <f aca="false">IF(C1635="","",C1635*D1635/100)</f>
        <v/>
      </c>
      <c r="F1635" s="15" t="str">
        <f aca="false">IF(B1635&lt;5,"Go","Standard")</f>
        <v>Standard</v>
      </c>
    </row>
    <row r="1636" customFormat="false" ht="15" hidden="false" customHeight="true" outlineLevel="0" collapsed="false">
      <c r="A1636" s="10" t="n">
        <f aca="false">Einstellungen!$B$5+INT((ROW()-9)/24)</f>
        <v>46033</v>
      </c>
      <c r="B1636" s="11" t="n">
        <f aca="false">MOD(ROW()-9,24)</f>
        <v>19</v>
      </c>
      <c r="C1636" s="12"/>
      <c r="D1636" s="13" t="n">
        <f aca="false">IF(B1636&lt;5,Einstellungen!$B$3,Einstellungen!$B$4)</f>
        <v>29.13</v>
      </c>
      <c r="E1636" s="14" t="str">
        <f aca="false">IF(C1636="","",C1636*D1636/100)</f>
        <v/>
      </c>
      <c r="F1636" s="15" t="str">
        <f aca="false">IF(B1636&lt;5,"Go","Standard")</f>
        <v>Standard</v>
      </c>
    </row>
    <row r="1637" customFormat="false" ht="15" hidden="false" customHeight="true" outlineLevel="0" collapsed="false">
      <c r="A1637" s="10" t="n">
        <f aca="false">Einstellungen!$B$5+INT((ROW()-9)/24)</f>
        <v>46033</v>
      </c>
      <c r="B1637" s="11" t="n">
        <f aca="false">MOD(ROW()-9,24)</f>
        <v>20</v>
      </c>
      <c r="C1637" s="12"/>
      <c r="D1637" s="13" t="n">
        <f aca="false">IF(B1637&lt;5,Einstellungen!$B$3,Einstellungen!$B$4)</f>
        <v>29.13</v>
      </c>
      <c r="E1637" s="14" t="str">
        <f aca="false">IF(C1637="","",C1637*D1637/100)</f>
        <v/>
      </c>
      <c r="F1637" s="15" t="str">
        <f aca="false">IF(B1637&lt;5,"Go","Standard")</f>
        <v>Standard</v>
      </c>
    </row>
    <row r="1638" customFormat="false" ht="15" hidden="false" customHeight="true" outlineLevel="0" collapsed="false">
      <c r="A1638" s="10" t="n">
        <f aca="false">Einstellungen!$B$5+INT((ROW()-9)/24)</f>
        <v>46033</v>
      </c>
      <c r="B1638" s="11" t="n">
        <f aca="false">MOD(ROW()-9,24)</f>
        <v>21</v>
      </c>
      <c r="C1638" s="12"/>
      <c r="D1638" s="13" t="n">
        <f aca="false">IF(B1638&lt;5,Einstellungen!$B$3,Einstellungen!$B$4)</f>
        <v>29.13</v>
      </c>
      <c r="E1638" s="14" t="str">
        <f aca="false">IF(C1638="","",C1638*D1638/100)</f>
        <v/>
      </c>
      <c r="F1638" s="15" t="str">
        <f aca="false">IF(B1638&lt;5,"Go","Standard")</f>
        <v>Standard</v>
      </c>
    </row>
    <row r="1639" customFormat="false" ht="15" hidden="false" customHeight="true" outlineLevel="0" collapsed="false">
      <c r="A1639" s="10" t="n">
        <f aca="false">Einstellungen!$B$5+INT((ROW()-9)/24)</f>
        <v>46033</v>
      </c>
      <c r="B1639" s="11" t="n">
        <f aca="false">MOD(ROW()-9,24)</f>
        <v>22</v>
      </c>
      <c r="C1639" s="12"/>
      <c r="D1639" s="13" t="n">
        <f aca="false">IF(B1639&lt;5,Einstellungen!$B$3,Einstellungen!$B$4)</f>
        <v>29.13</v>
      </c>
      <c r="E1639" s="14" t="str">
        <f aca="false">IF(C1639="","",C1639*D1639/100)</f>
        <v/>
      </c>
      <c r="F1639" s="15" t="str">
        <f aca="false">IF(B1639&lt;5,"Go","Standard")</f>
        <v>Standard</v>
      </c>
    </row>
    <row r="1640" customFormat="false" ht="15" hidden="false" customHeight="true" outlineLevel="0" collapsed="false">
      <c r="A1640" s="10" t="n">
        <f aca="false">Einstellungen!$B$5+INT((ROW()-9)/24)</f>
        <v>46033</v>
      </c>
      <c r="B1640" s="11" t="n">
        <f aca="false">MOD(ROW()-9,24)</f>
        <v>23</v>
      </c>
      <c r="C1640" s="12"/>
      <c r="D1640" s="13" t="n">
        <f aca="false">IF(B1640&lt;5,Einstellungen!$B$3,Einstellungen!$B$4)</f>
        <v>29.13</v>
      </c>
      <c r="E1640" s="14" t="str">
        <f aca="false">IF(C1640="","",C1640*D1640/100)</f>
        <v/>
      </c>
      <c r="F1640" s="15" t="str">
        <f aca="false">IF(B1640&lt;5,"Go","Standard")</f>
        <v>Standard</v>
      </c>
    </row>
    <row r="1641" customFormat="false" ht="15" hidden="false" customHeight="true" outlineLevel="0" collapsed="false">
      <c r="A1641" s="10" t="n">
        <f aca="false">Einstellungen!$B$5+INT((ROW()-9)/24)</f>
        <v>46034</v>
      </c>
      <c r="B1641" s="11" t="n">
        <f aca="false">MOD(ROW()-9,24)</f>
        <v>0</v>
      </c>
      <c r="C1641" s="12"/>
      <c r="D1641" s="13" t="n">
        <f aca="false">IF(B1641&lt;5,Einstellungen!$B$3,Einstellungen!$B$4)</f>
        <v>15.92</v>
      </c>
      <c r="E1641" s="14" t="str">
        <f aca="false">IF(C1641="","",C1641*D1641/100)</f>
        <v/>
      </c>
      <c r="F1641" s="15" t="str">
        <f aca="false">IF(B1641&lt;5,"Go","Standard")</f>
        <v>Go</v>
      </c>
    </row>
    <row r="1642" customFormat="false" ht="15" hidden="false" customHeight="true" outlineLevel="0" collapsed="false">
      <c r="A1642" s="10" t="n">
        <f aca="false">Einstellungen!$B$5+INT((ROW()-9)/24)</f>
        <v>46034</v>
      </c>
      <c r="B1642" s="11" t="n">
        <f aca="false">MOD(ROW()-9,24)</f>
        <v>1</v>
      </c>
      <c r="C1642" s="12"/>
      <c r="D1642" s="13" t="n">
        <f aca="false">IF(B1642&lt;5,Einstellungen!$B$3,Einstellungen!$B$4)</f>
        <v>15.92</v>
      </c>
      <c r="E1642" s="14" t="str">
        <f aca="false">IF(C1642="","",C1642*D1642/100)</f>
        <v/>
      </c>
      <c r="F1642" s="15" t="str">
        <f aca="false">IF(B1642&lt;5,"Go","Standard")</f>
        <v>Go</v>
      </c>
    </row>
    <row r="1643" customFormat="false" ht="15" hidden="false" customHeight="true" outlineLevel="0" collapsed="false">
      <c r="A1643" s="10" t="n">
        <f aca="false">Einstellungen!$B$5+INT((ROW()-9)/24)</f>
        <v>46034</v>
      </c>
      <c r="B1643" s="11" t="n">
        <f aca="false">MOD(ROW()-9,24)</f>
        <v>2</v>
      </c>
      <c r="C1643" s="12"/>
      <c r="D1643" s="13" t="n">
        <f aca="false">IF(B1643&lt;5,Einstellungen!$B$3,Einstellungen!$B$4)</f>
        <v>15.92</v>
      </c>
      <c r="E1643" s="14" t="str">
        <f aca="false">IF(C1643="","",C1643*D1643/100)</f>
        <v/>
      </c>
      <c r="F1643" s="15" t="str">
        <f aca="false">IF(B1643&lt;5,"Go","Standard")</f>
        <v>Go</v>
      </c>
    </row>
    <row r="1644" customFormat="false" ht="15" hidden="false" customHeight="true" outlineLevel="0" collapsed="false">
      <c r="A1644" s="10" t="n">
        <f aca="false">Einstellungen!$B$5+INT((ROW()-9)/24)</f>
        <v>46034</v>
      </c>
      <c r="B1644" s="11" t="n">
        <f aca="false">MOD(ROW()-9,24)</f>
        <v>3</v>
      </c>
      <c r="C1644" s="12"/>
      <c r="D1644" s="13" t="n">
        <f aca="false">IF(B1644&lt;5,Einstellungen!$B$3,Einstellungen!$B$4)</f>
        <v>15.92</v>
      </c>
      <c r="E1644" s="14" t="str">
        <f aca="false">IF(C1644="","",C1644*D1644/100)</f>
        <v/>
      </c>
      <c r="F1644" s="15" t="str">
        <f aca="false">IF(B1644&lt;5,"Go","Standard")</f>
        <v>Go</v>
      </c>
    </row>
    <row r="1645" customFormat="false" ht="15" hidden="false" customHeight="true" outlineLevel="0" collapsed="false">
      <c r="A1645" s="10" t="n">
        <f aca="false">Einstellungen!$B$5+INT((ROW()-9)/24)</f>
        <v>46034</v>
      </c>
      <c r="B1645" s="11" t="n">
        <f aca="false">MOD(ROW()-9,24)</f>
        <v>4</v>
      </c>
      <c r="C1645" s="12"/>
      <c r="D1645" s="13" t="n">
        <f aca="false">IF(B1645&lt;5,Einstellungen!$B$3,Einstellungen!$B$4)</f>
        <v>15.92</v>
      </c>
      <c r="E1645" s="14" t="str">
        <f aca="false">IF(C1645="","",C1645*D1645/100)</f>
        <v/>
      </c>
      <c r="F1645" s="15" t="str">
        <f aca="false">IF(B1645&lt;5,"Go","Standard")</f>
        <v>Go</v>
      </c>
    </row>
    <row r="1646" customFormat="false" ht="15" hidden="false" customHeight="true" outlineLevel="0" collapsed="false">
      <c r="A1646" s="10" t="n">
        <f aca="false">Einstellungen!$B$5+INT((ROW()-9)/24)</f>
        <v>46034</v>
      </c>
      <c r="B1646" s="11" t="n">
        <f aca="false">MOD(ROW()-9,24)</f>
        <v>5</v>
      </c>
      <c r="C1646" s="12"/>
      <c r="D1646" s="13" t="n">
        <f aca="false">IF(B1646&lt;5,Einstellungen!$B$3,Einstellungen!$B$4)</f>
        <v>29.13</v>
      </c>
      <c r="E1646" s="14" t="str">
        <f aca="false">IF(C1646="","",C1646*D1646/100)</f>
        <v/>
      </c>
      <c r="F1646" s="15" t="str">
        <f aca="false">IF(B1646&lt;5,"Go","Standard")</f>
        <v>Standard</v>
      </c>
    </row>
    <row r="1647" customFormat="false" ht="15" hidden="false" customHeight="true" outlineLevel="0" collapsed="false">
      <c r="A1647" s="10" t="n">
        <f aca="false">Einstellungen!$B$5+INT((ROW()-9)/24)</f>
        <v>46034</v>
      </c>
      <c r="B1647" s="11" t="n">
        <f aca="false">MOD(ROW()-9,24)</f>
        <v>6</v>
      </c>
      <c r="C1647" s="12"/>
      <c r="D1647" s="13" t="n">
        <f aca="false">IF(B1647&lt;5,Einstellungen!$B$3,Einstellungen!$B$4)</f>
        <v>29.13</v>
      </c>
      <c r="E1647" s="14" t="str">
        <f aca="false">IF(C1647="","",C1647*D1647/100)</f>
        <v/>
      </c>
      <c r="F1647" s="15" t="str">
        <f aca="false">IF(B1647&lt;5,"Go","Standard")</f>
        <v>Standard</v>
      </c>
    </row>
    <row r="1648" customFormat="false" ht="15" hidden="false" customHeight="true" outlineLevel="0" collapsed="false">
      <c r="A1648" s="10" t="n">
        <f aca="false">Einstellungen!$B$5+INT((ROW()-9)/24)</f>
        <v>46034</v>
      </c>
      <c r="B1648" s="11" t="n">
        <f aca="false">MOD(ROW()-9,24)</f>
        <v>7</v>
      </c>
      <c r="C1648" s="12"/>
      <c r="D1648" s="13" t="n">
        <f aca="false">IF(B1648&lt;5,Einstellungen!$B$3,Einstellungen!$B$4)</f>
        <v>29.13</v>
      </c>
      <c r="E1648" s="14" t="str">
        <f aca="false">IF(C1648="","",C1648*D1648/100)</f>
        <v/>
      </c>
      <c r="F1648" s="15" t="str">
        <f aca="false">IF(B1648&lt;5,"Go","Standard")</f>
        <v>Standard</v>
      </c>
    </row>
    <row r="1649" customFormat="false" ht="15" hidden="false" customHeight="true" outlineLevel="0" collapsed="false">
      <c r="A1649" s="10" t="n">
        <f aca="false">Einstellungen!$B$5+INT((ROW()-9)/24)</f>
        <v>46034</v>
      </c>
      <c r="B1649" s="11" t="n">
        <f aca="false">MOD(ROW()-9,24)</f>
        <v>8</v>
      </c>
      <c r="C1649" s="12"/>
      <c r="D1649" s="13" t="n">
        <f aca="false">IF(B1649&lt;5,Einstellungen!$B$3,Einstellungen!$B$4)</f>
        <v>29.13</v>
      </c>
      <c r="E1649" s="14" t="str">
        <f aca="false">IF(C1649="","",C1649*D1649/100)</f>
        <v/>
      </c>
      <c r="F1649" s="15" t="str">
        <f aca="false">IF(B1649&lt;5,"Go","Standard")</f>
        <v>Standard</v>
      </c>
    </row>
    <row r="1650" customFormat="false" ht="15" hidden="false" customHeight="true" outlineLevel="0" collapsed="false">
      <c r="A1650" s="10" t="n">
        <f aca="false">Einstellungen!$B$5+INT((ROW()-9)/24)</f>
        <v>46034</v>
      </c>
      <c r="B1650" s="11" t="n">
        <f aca="false">MOD(ROW()-9,24)</f>
        <v>9</v>
      </c>
      <c r="C1650" s="12"/>
      <c r="D1650" s="13" t="n">
        <f aca="false">IF(B1650&lt;5,Einstellungen!$B$3,Einstellungen!$B$4)</f>
        <v>29.13</v>
      </c>
      <c r="E1650" s="14" t="str">
        <f aca="false">IF(C1650="","",C1650*D1650/100)</f>
        <v/>
      </c>
      <c r="F1650" s="15" t="str">
        <f aca="false">IF(B1650&lt;5,"Go","Standard")</f>
        <v>Standard</v>
      </c>
    </row>
    <row r="1651" customFormat="false" ht="15" hidden="false" customHeight="true" outlineLevel="0" collapsed="false">
      <c r="A1651" s="10" t="n">
        <f aca="false">Einstellungen!$B$5+INT((ROW()-9)/24)</f>
        <v>46034</v>
      </c>
      <c r="B1651" s="11" t="n">
        <f aca="false">MOD(ROW()-9,24)</f>
        <v>10</v>
      </c>
      <c r="C1651" s="12"/>
      <c r="D1651" s="13" t="n">
        <f aca="false">IF(B1651&lt;5,Einstellungen!$B$3,Einstellungen!$B$4)</f>
        <v>29.13</v>
      </c>
      <c r="E1651" s="14" t="str">
        <f aca="false">IF(C1651="","",C1651*D1651/100)</f>
        <v/>
      </c>
      <c r="F1651" s="15" t="str">
        <f aca="false">IF(B1651&lt;5,"Go","Standard")</f>
        <v>Standard</v>
      </c>
    </row>
    <row r="1652" customFormat="false" ht="15" hidden="false" customHeight="true" outlineLevel="0" collapsed="false">
      <c r="A1652" s="10" t="n">
        <f aca="false">Einstellungen!$B$5+INT((ROW()-9)/24)</f>
        <v>46034</v>
      </c>
      <c r="B1652" s="11" t="n">
        <f aca="false">MOD(ROW()-9,24)</f>
        <v>11</v>
      </c>
      <c r="C1652" s="12"/>
      <c r="D1652" s="13" t="n">
        <f aca="false">IF(B1652&lt;5,Einstellungen!$B$3,Einstellungen!$B$4)</f>
        <v>29.13</v>
      </c>
      <c r="E1652" s="14" t="str">
        <f aca="false">IF(C1652="","",C1652*D1652/100)</f>
        <v/>
      </c>
      <c r="F1652" s="15" t="str">
        <f aca="false">IF(B1652&lt;5,"Go","Standard")</f>
        <v>Standard</v>
      </c>
    </row>
    <row r="1653" customFormat="false" ht="15" hidden="false" customHeight="true" outlineLevel="0" collapsed="false">
      <c r="A1653" s="10" t="n">
        <f aca="false">Einstellungen!$B$5+INT((ROW()-9)/24)</f>
        <v>46034</v>
      </c>
      <c r="B1653" s="11" t="n">
        <f aca="false">MOD(ROW()-9,24)</f>
        <v>12</v>
      </c>
      <c r="C1653" s="12"/>
      <c r="D1653" s="13" t="n">
        <f aca="false">IF(B1653&lt;5,Einstellungen!$B$3,Einstellungen!$B$4)</f>
        <v>29.13</v>
      </c>
      <c r="E1653" s="14" t="str">
        <f aca="false">IF(C1653="","",C1653*D1653/100)</f>
        <v/>
      </c>
      <c r="F1653" s="15" t="str">
        <f aca="false">IF(B1653&lt;5,"Go","Standard")</f>
        <v>Standard</v>
      </c>
    </row>
    <row r="1654" customFormat="false" ht="15" hidden="false" customHeight="true" outlineLevel="0" collapsed="false">
      <c r="A1654" s="10" t="n">
        <f aca="false">Einstellungen!$B$5+INT((ROW()-9)/24)</f>
        <v>46034</v>
      </c>
      <c r="B1654" s="11" t="n">
        <f aca="false">MOD(ROW()-9,24)</f>
        <v>13</v>
      </c>
      <c r="C1654" s="12"/>
      <c r="D1654" s="13" t="n">
        <f aca="false">IF(B1654&lt;5,Einstellungen!$B$3,Einstellungen!$B$4)</f>
        <v>29.13</v>
      </c>
      <c r="E1654" s="14" t="str">
        <f aca="false">IF(C1654="","",C1654*D1654/100)</f>
        <v/>
      </c>
      <c r="F1654" s="15" t="str">
        <f aca="false">IF(B1654&lt;5,"Go","Standard")</f>
        <v>Standard</v>
      </c>
    </row>
    <row r="1655" customFormat="false" ht="15" hidden="false" customHeight="true" outlineLevel="0" collapsed="false">
      <c r="A1655" s="10" t="n">
        <f aca="false">Einstellungen!$B$5+INT((ROW()-9)/24)</f>
        <v>46034</v>
      </c>
      <c r="B1655" s="11" t="n">
        <f aca="false">MOD(ROW()-9,24)</f>
        <v>14</v>
      </c>
      <c r="C1655" s="12"/>
      <c r="D1655" s="13" t="n">
        <f aca="false">IF(B1655&lt;5,Einstellungen!$B$3,Einstellungen!$B$4)</f>
        <v>29.13</v>
      </c>
      <c r="E1655" s="14" t="str">
        <f aca="false">IF(C1655="","",C1655*D1655/100)</f>
        <v/>
      </c>
      <c r="F1655" s="15" t="str">
        <f aca="false">IF(B1655&lt;5,"Go","Standard")</f>
        <v>Standard</v>
      </c>
    </row>
    <row r="1656" customFormat="false" ht="15" hidden="false" customHeight="true" outlineLevel="0" collapsed="false">
      <c r="A1656" s="10" t="n">
        <f aca="false">Einstellungen!$B$5+INT((ROW()-9)/24)</f>
        <v>46034</v>
      </c>
      <c r="B1656" s="11" t="n">
        <f aca="false">MOD(ROW()-9,24)</f>
        <v>15</v>
      </c>
      <c r="C1656" s="12"/>
      <c r="D1656" s="13" t="n">
        <f aca="false">IF(B1656&lt;5,Einstellungen!$B$3,Einstellungen!$B$4)</f>
        <v>29.13</v>
      </c>
      <c r="E1656" s="14" t="str">
        <f aca="false">IF(C1656="","",C1656*D1656/100)</f>
        <v/>
      </c>
      <c r="F1656" s="15" t="str">
        <f aca="false">IF(B1656&lt;5,"Go","Standard")</f>
        <v>Standard</v>
      </c>
    </row>
    <row r="1657" customFormat="false" ht="15" hidden="false" customHeight="true" outlineLevel="0" collapsed="false">
      <c r="A1657" s="10" t="n">
        <f aca="false">Einstellungen!$B$5+INT((ROW()-9)/24)</f>
        <v>46034</v>
      </c>
      <c r="B1657" s="11" t="n">
        <f aca="false">MOD(ROW()-9,24)</f>
        <v>16</v>
      </c>
      <c r="C1657" s="12"/>
      <c r="D1657" s="13" t="n">
        <f aca="false">IF(B1657&lt;5,Einstellungen!$B$3,Einstellungen!$B$4)</f>
        <v>29.13</v>
      </c>
      <c r="E1657" s="14" t="str">
        <f aca="false">IF(C1657="","",C1657*D1657/100)</f>
        <v/>
      </c>
      <c r="F1657" s="15" t="str">
        <f aca="false">IF(B1657&lt;5,"Go","Standard")</f>
        <v>Standard</v>
      </c>
    </row>
    <row r="1658" customFormat="false" ht="15" hidden="false" customHeight="true" outlineLevel="0" collapsed="false">
      <c r="A1658" s="10" t="n">
        <f aca="false">Einstellungen!$B$5+INT((ROW()-9)/24)</f>
        <v>46034</v>
      </c>
      <c r="B1658" s="11" t="n">
        <f aca="false">MOD(ROW()-9,24)</f>
        <v>17</v>
      </c>
      <c r="C1658" s="12"/>
      <c r="D1658" s="13" t="n">
        <f aca="false">IF(B1658&lt;5,Einstellungen!$B$3,Einstellungen!$B$4)</f>
        <v>29.13</v>
      </c>
      <c r="E1658" s="14" t="str">
        <f aca="false">IF(C1658="","",C1658*D1658/100)</f>
        <v/>
      </c>
      <c r="F1658" s="15" t="str">
        <f aca="false">IF(B1658&lt;5,"Go","Standard")</f>
        <v>Standard</v>
      </c>
    </row>
    <row r="1659" customFormat="false" ht="15" hidden="false" customHeight="true" outlineLevel="0" collapsed="false">
      <c r="A1659" s="10" t="n">
        <f aca="false">Einstellungen!$B$5+INT((ROW()-9)/24)</f>
        <v>46034</v>
      </c>
      <c r="B1659" s="11" t="n">
        <f aca="false">MOD(ROW()-9,24)</f>
        <v>18</v>
      </c>
      <c r="C1659" s="12"/>
      <c r="D1659" s="13" t="n">
        <f aca="false">IF(B1659&lt;5,Einstellungen!$B$3,Einstellungen!$B$4)</f>
        <v>29.13</v>
      </c>
      <c r="E1659" s="14" t="str">
        <f aca="false">IF(C1659="","",C1659*D1659/100)</f>
        <v/>
      </c>
      <c r="F1659" s="15" t="str">
        <f aca="false">IF(B1659&lt;5,"Go","Standard")</f>
        <v>Standard</v>
      </c>
    </row>
    <row r="1660" customFormat="false" ht="15" hidden="false" customHeight="true" outlineLevel="0" collapsed="false">
      <c r="A1660" s="10" t="n">
        <f aca="false">Einstellungen!$B$5+INT((ROW()-9)/24)</f>
        <v>46034</v>
      </c>
      <c r="B1660" s="11" t="n">
        <f aca="false">MOD(ROW()-9,24)</f>
        <v>19</v>
      </c>
      <c r="C1660" s="12"/>
      <c r="D1660" s="13" t="n">
        <f aca="false">IF(B1660&lt;5,Einstellungen!$B$3,Einstellungen!$B$4)</f>
        <v>29.13</v>
      </c>
      <c r="E1660" s="14" t="str">
        <f aca="false">IF(C1660="","",C1660*D1660/100)</f>
        <v/>
      </c>
      <c r="F1660" s="15" t="str">
        <f aca="false">IF(B1660&lt;5,"Go","Standard")</f>
        <v>Standard</v>
      </c>
    </row>
    <row r="1661" customFormat="false" ht="15" hidden="false" customHeight="true" outlineLevel="0" collapsed="false">
      <c r="A1661" s="10" t="n">
        <f aca="false">Einstellungen!$B$5+INT((ROW()-9)/24)</f>
        <v>46034</v>
      </c>
      <c r="B1661" s="11" t="n">
        <f aca="false">MOD(ROW()-9,24)</f>
        <v>20</v>
      </c>
      <c r="C1661" s="12"/>
      <c r="D1661" s="13" t="n">
        <f aca="false">IF(B1661&lt;5,Einstellungen!$B$3,Einstellungen!$B$4)</f>
        <v>29.13</v>
      </c>
      <c r="E1661" s="14" t="str">
        <f aca="false">IF(C1661="","",C1661*D1661/100)</f>
        <v/>
      </c>
      <c r="F1661" s="15" t="str">
        <f aca="false">IF(B1661&lt;5,"Go","Standard")</f>
        <v>Standard</v>
      </c>
    </row>
    <row r="1662" customFormat="false" ht="15" hidden="false" customHeight="true" outlineLevel="0" collapsed="false">
      <c r="A1662" s="10" t="n">
        <f aca="false">Einstellungen!$B$5+INT((ROW()-9)/24)</f>
        <v>46034</v>
      </c>
      <c r="B1662" s="11" t="n">
        <f aca="false">MOD(ROW()-9,24)</f>
        <v>21</v>
      </c>
      <c r="C1662" s="12"/>
      <c r="D1662" s="13" t="n">
        <f aca="false">IF(B1662&lt;5,Einstellungen!$B$3,Einstellungen!$B$4)</f>
        <v>29.13</v>
      </c>
      <c r="E1662" s="14" t="str">
        <f aca="false">IF(C1662="","",C1662*D1662/100)</f>
        <v/>
      </c>
      <c r="F1662" s="15" t="str">
        <f aca="false">IF(B1662&lt;5,"Go","Standard")</f>
        <v>Standard</v>
      </c>
    </row>
    <row r="1663" customFormat="false" ht="15" hidden="false" customHeight="true" outlineLevel="0" collapsed="false">
      <c r="A1663" s="10" t="n">
        <f aca="false">Einstellungen!$B$5+INT((ROW()-9)/24)</f>
        <v>46034</v>
      </c>
      <c r="B1663" s="11" t="n">
        <f aca="false">MOD(ROW()-9,24)</f>
        <v>22</v>
      </c>
      <c r="C1663" s="12"/>
      <c r="D1663" s="13" t="n">
        <f aca="false">IF(B1663&lt;5,Einstellungen!$B$3,Einstellungen!$B$4)</f>
        <v>29.13</v>
      </c>
      <c r="E1663" s="14" t="str">
        <f aca="false">IF(C1663="","",C1663*D1663/100)</f>
        <v/>
      </c>
      <c r="F1663" s="15" t="str">
        <f aca="false">IF(B1663&lt;5,"Go","Standard")</f>
        <v>Standard</v>
      </c>
    </row>
    <row r="1664" customFormat="false" ht="15" hidden="false" customHeight="true" outlineLevel="0" collapsed="false">
      <c r="A1664" s="10" t="n">
        <f aca="false">Einstellungen!$B$5+INT((ROW()-9)/24)</f>
        <v>46034</v>
      </c>
      <c r="B1664" s="11" t="n">
        <f aca="false">MOD(ROW()-9,24)</f>
        <v>23</v>
      </c>
      <c r="C1664" s="12"/>
      <c r="D1664" s="13" t="n">
        <f aca="false">IF(B1664&lt;5,Einstellungen!$B$3,Einstellungen!$B$4)</f>
        <v>29.13</v>
      </c>
      <c r="E1664" s="14" t="str">
        <f aca="false">IF(C1664="","",C1664*D1664/100)</f>
        <v/>
      </c>
      <c r="F1664" s="15" t="str">
        <f aca="false">IF(B1664&lt;5,"Go","Standard")</f>
        <v>Standard</v>
      </c>
    </row>
    <row r="1665" customFormat="false" ht="15" hidden="false" customHeight="true" outlineLevel="0" collapsed="false">
      <c r="A1665" s="10" t="n">
        <f aca="false">Einstellungen!$B$5+INT((ROW()-9)/24)</f>
        <v>46035</v>
      </c>
      <c r="B1665" s="11" t="n">
        <f aca="false">MOD(ROW()-9,24)</f>
        <v>0</v>
      </c>
      <c r="C1665" s="12"/>
      <c r="D1665" s="13" t="n">
        <f aca="false">IF(B1665&lt;5,Einstellungen!$B$3,Einstellungen!$B$4)</f>
        <v>15.92</v>
      </c>
      <c r="E1665" s="14" t="str">
        <f aca="false">IF(C1665="","",C1665*D1665/100)</f>
        <v/>
      </c>
      <c r="F1665" s="15" t="str">
        <f aca="false">IF(B1665&lt;5,"Go","Standard")</f>
        <v>Go</v>
      </c>
    </row>
    <row r="1666" customFormat="false" ht="15" hidden="false" customHeight="true" outlineLevel="0" collapsed="false">
      <c r="A1666" s="10" t="n">
        <f aca="false">Einstellungen!$B$5+INT((ROW()-9)/24)</f>
        <v>46035</v>
      </c>
      <c r="B1666" s="11" t="n">
        <f aca="false">MOD(ROW()-9,24)</f>
        <v>1</v>
      </c>
      <c r="C1666" s="12"/>
      <c r="D1666" s="13" t="n">
        <f aca="false">IF(B1666&lt;5,Einstellungen!$B$3,Einstellungen!$B$4)</f>
        <v>15.92</v>
      </c>
      <c r="E1666" s="14" t="str">
        <f aca="false">IF(C1666="","",C1666*D1666/100)</f>
        <v/>
      </c>
      <c r="F1666" s="15" t="str">
        <f aca="false">IF(B1666&lt;5,"Go","Standard")</f>
        <v>Go</v>
      </c>
    </row>
    <row r="1667" customFormat="false" ht="15" hidden="false" customHeight="true" outlineLevel="0" collapsed="false">
      <c r="A1667" s="10" t="n">
        <f aca="false">Einstellungen!$B$5+INT((ROW()-9)/24)</f>
        <v>46035</v>
      </c>
      <c r="B1667" s="11" t="n">
        <f aca="false">MOD(ROW()-9,24)</f>
        <v>2</v>
      </c>
      <c r="C1667" s="12"/>
      <c r="D1667" s="13" t="n">
        <f aca="false">IF(B1667&lt;5,Einstellungen!$B$3,Einstellungen!$B$4)</f>
        <v>15.92</v>
      </c>
      <c r="E1667" s="14" t="str">
        <f aca="false">IF(C1667="","",C1667*D1667/100)</f>
        <v/>
      </c>
      <c r="F1667" s="15" t="str">
        <f aca="false">IF(B1667&lt;5,"Go","Standard")</f>
        <v>Go</v>
      </c>
    </row>
    <row r="1668" customFormat="false" ht="15" hidden="false" customHeight="true" outlineLevel="0" collapsed="false">
      <c r="A1668" s="10" t="n">
        <f aca="false">Einstellungen!$B$5+INT((ROW()-9)/24)</f>
        <v>46035</v>
      </c>
      <c r="B1668" s="11" t="n">
        <f aca="false">MOD(ROW()-9,24)</f>
        <v>3</v>
      </c>
      <c r="C1668" s="12"/>
      <c r="D1668" s="13" t="n">
        <f aca="false">IF(B1668&lt;5,Einstellungen!$B$3,Einstellungen!$B$4)</f>
        <v>15.92</v>
      </c>
      <c r="E1668" s="14" t="str">
        <f aca="false">IF(C1668="","",C1668*D1668/100)</f>
        <v/>
      </c>
      <c r="F1668" s="15" t="str">
        <f aca="false">IF(B1668&lt;5,"Go","Standard")</f>
        <v>Go</v>
      </c>
    </row>
    <row r="1669" customFormat="false" ht="15" hidden="false" customHeight="true" outlineLevel="0" collapsed="false">
      <c r="A1669" s="10" t="n">
        <f aca="false">Einstellungen!$B$5+INT((ROW()-9)/24)</f>
        <v>46035</v>
      </c>
      <c r="B1669" s="11" t="n">
        <f aca="false">MOD(ROW()-9,24)</f>
        <v>4</v>
      </c>
      <c r="C1669" s="12"/>
      <c r="D1669" s="13" t="n">
        <f aca="false">IF(B1669&lt;5,Einstellungen!$B$3,Einstellungen!$B$4)</f>
        <v>15.92</v>
      </c>
      <c r="E1669" s="14" t="str">
        <f aca="false">IF(C1669="","",C1669*D1669/100)</f>
        <v/>
      </c>
      <c r="F1669" s="15" t="str">
        <f aca="false">IF(B1669&lt;5,"Go","Standard")</f>
        <v>Go</v>
      </c>
    </row>
    <row r="1670" customFormat="false" ht="15" hidden="false" customHeight="true" outlineLevel="0" collapsed="false">
      <c r="A1670" s="10" t="n">
        <f aca="false">Einstellungen!$B$5+INT((ROW()-9)/24)</f>
        <v>46035</v>
      </c>
      <c r="B1670" s="11" t="n">
        <f aca="false">MOD(ROW()-9,24)</f>
        <v>5</v>
      </c>
      <c r="C1670" s="12"/>
      <c r="D1670" s="13" t="n">
        <f aca="false">IF(B1670&lt;5,Einstellungen!$B$3,Einstellungen!$B$4)</f>
        <v>29.13</v>
      </c>
      <c r="E1670" s="14" t="str">
        <f aca="false">IF(C1670="","",C1670*D1670/100)</f>
        <v/>
      </c>
      <c r="F1670" s="15" t="str">
        <f aca="false">IF(B1670&lt;5,"Go","Standard")</f>
        <v>Standard</v>
      </c>
    </row>
    <row r="1671" customFormat="false" ht="15" hidden="false" customHeight="true" outlineLevel="0" collapsed="false">
      <c r="A1671" s="10" t="n">
        <f aca="false">Einstellungen!$B$5+INT((ROW()-9)/24)</f>
        <v>46035</v>
      </c>
      <c r="B1671" s="11" t="n">
        <f aca="false">MOD(ROW()-9,24)</f>
        <v>6</v>
      </c>
      <c r="C1671" s="12"/>
      <c r="D1671" s="13" t="n">
        <f aca="false">IF(B1671&lt;5,Einstellungen!$B$3,Einstellungen!$B$4)</f>
        <v>29.13</v>
      </c>
      <c r="E1671" s="14" t="str">
        <f aca="false">IF(C1671="","",C1671*D1671/100)</f>
        <v/>
      </c>
      <c r="F1671" s="15" t="str">
        <f aca="false">IF(B1671&lt;5,"Go","Standard")</f>
        <v>Standard</v>
      </c>
    </row>
    <row r="1672" customFormat="false" ht="15" hidden="false" customHeight="true" outlineLevel="0" collapsed="false">
      <c r="A1672" s="10" t="n">
        <f aca="false">Einstellungen!$B$5+INT((ROW()-9)/24)</f>
        <v>46035</v>
      </c>
      <c r="B1672" s="11" t="n">
        <f aca="false">MOD(ROW()-9,24)</f>
        <v>7</v>
      </c>
      <c r="C1672" s="12"/>
      <c r="D1672" s="13" t="n">
        <f aca="false">IF(B1672&lt;5,Einstellungen!$B$3,Einstellungen!$B$4)</f>
        <v>29.13</v>
      </c>
      <c r="E1672" s="14" t="str">
        <f aca="false">IF(C1672="","",C1672*D1672/100)</f>
        <v/>
      </c>
      <c r="F1672" s="15" t="str">
        <f aca="false">IF(B1672&lt;5,"Go","Standard")</f>
        <v>Standard</v>
      </c>
    </row>
    <row r="1673" customFormat="false" ht="15" hidden="false" customHeight="true" outlineLevel="0" collapsed="false">
      <c r="A1673" s="10" t="n">
        <f aca="false">Einstellungen!$B$5+INT((ROW()-9)/24)</f>
        <v>46035</v>
      </c>
      <c r="B1673" s="11" t="n">
        <f aca="false">MOD(ROW()-9,24)</f>
        <v>8</v>
      </c>
      <c r="C1673" s="12"/>
      <c r="D1673" s="13" t="n">
        <f aca="false">IF(B1673&lt;5,Einstellungen!$B$3,Einstellungen!$B$4)</f>
        <v>29.13</v>
      </c>
      <c r="E1673" s="14" t="str">
        <f aca="false">IF(C1673="","",C1673*D1673/100)</f>
        <v/>
      </c>
      <c r="F1673" s="15" t="str">
        <f aca="false">IF(B1673&lt;5,"Go","Standard")</f>
        <v>Standard</v>
      </c>
    </row>
    <row r="1674" customFormat="false" ht="15" hidden="false" customHeight="true" outlineLevel="0" collapsed="false">
      <c r="A1674" s="10" t="n">
        <f aca="false">Einstellungen!$B$5+INT((ROW()-9)/24)</f>
        <v>46035</v>
      </c>
      <c r="B1674" s="11" t="n">
        <f aca="false">MOD(ROW()-9,24)</f>
        <v>9</v>
      </c>
      <c r="C1674" s="12"/>
      <c r="D1674" s="13" t="n">
        <f aca="false">IF(B1674&lt;5,Einstellungen!$B$3,Einstellungen!$B$4)</f>
        <v>29.13</v>
      </c>
      <c r="E1674" s="14" t="str">
        <f aca="false">IF(C1674="","",C1674*D1674/100)</f>
        <v/>
      </c>
      <c r="F1674" s="15" t="str">
        <f aca="false">IF(B1674&lt;5,"Go","Standard")</f>
        <v>Standard</v>
      </c>
    </row>
    <row r="1675" customFormat="false" ht="15" hidden="false" customHeight="true" outlineLevel="0" collapsed="false">
      <c r="A1675" s="10" t="n">
        <f aca="false">Einstellungen!$B$5+INT((ROW()-9)/24)</f>
        <v>46035</v>
      </c>
      <c r="B1675" s="11" t="n">
        <f aca="false">MOD(ROW()-9,24)</f>
        <v>10</v>
      </c>
      <c r="C1675" s="12"/>
      <c r="D1675" s="13" t="n">
        <f aca="false">IF(B1675&lt;5,Einstellungen!$B$3,Einstellungen!$B$4)</f>
        <v>29.13</v>
      </c>
      <c r="E1675" s="14" t="str">
        <f aca="false">IF(C1675="","",C1675*D1675/100)</f>
        <v/>
      </c>
      <c r="F1675" s="15" t="str">
        <f aca="false">IF(B1675&lt;5,"Go","Standard")</f>
        <v>Standard</v>
      </c>
    </row>
    <row r="1676" customFormat="false" ht="15" hidden="false" customHeight="true" outlineLevel="0" collapsed="false">
      <c r="A1676" s="10" t="n">
        <f aca="false">Einstellungen!$B$5+INT((ROW()-9)/24)</f>
        <v>46035</v>
      </c>
      <c r="B1676" s="11" t="n">
        <f aca="false">MOD(ROW()-9,24)</f>
        <v>11</v>
      </c>
      <c r="C1676" s="12"/>
      <c r="D1676" s="13" t="n">
        <f aca="false">IF(B1676&lt;5,Einstellungen!$B$3,Einstellungen!$B$4)</f>
        <v>29.13</v>
      </c>
      <c r="E1676" s="14" t="str">
        <f aca="false">IF(C1676="","",C1676*D1676/100)</f>
        <v/>
      </c>
      <c r="F1676" s="15" t="str">
        <f aca="false">IF(B1676&lt;5,"Go","Standard")</f>
        <v>Standard</v>
      </c>
    </row>
    <row r="1677" customFormat="false" ht="15" hidden="false" customHeight="true" outlineLevel="0" collapsed="false">
      <c r="A1677" s="10" t="n">
        <f aca="false">Einstellungen!$B$5+INT((ROW()-9)/24)</f>
        <v>46035</v>
      </c>
      <c r="B1677" s="11" t="n">
        <f aca="false">MOD(ROW()-9,24)</f>
        <v>12</v>
      </c>
      <c r="C1677" s="12"/>
      <c r="D1677" s="13" t="n">
        <f aca="false">IF(B1677&lt;5,Einstellungen!$B$3,Einstellungen!$B$4)</f>
        <v>29.13</v>
      </c>
      <c r="E1677" s="14" t="str">
        <f aca="false">IF(C1677="","",C1677*D1677/100)</f>
        <v/>
      </c>
      <c r="F1677" s="15" t="str">
        <f aca="false">IF(B1677&lt;5,"Go","Standard")</f>
        <v>Standard</v>
      </c>
    </row>
    <row r="1678" customFormat="false" ht="15" hidden="false" customHeight="true" outlineLevel="0" collapsed="false">
      <c r="A1678" s="10" t="n">
        <f aca="false">Einstellungen!$B$5+INT((ROW()-9)/24)</f>
        <v>46035</v>
      </c>
      <c r="B1678" s="11" t="n">
        <f aca="false">MOD(ROW()-9,24)</f>
        <v>13</v>
      </c>
      <c r="C1678" s="12"/>
      <c r="D1678" s="13" t="n">
        <f aca="false">IF(B1678&lt;5,Einstellungen!$B$3,Einstellungen!$B$4)</f>
        <v>29.13</v>
      </c>
      <c r="E1678" s="14" t="str">
        <f aca="false">IF(C1678="","",C1678*D1678/100)</f>
        <v/>
      </c>
      <c r="F1678" s="15" t="str">
        <f aca="false">IF(B1678&lt;5,"Go","Standard")</f>
        <v>Standard</v>
      </c>
    </row>
    <row r="1679" customFormat="false" ht="15" hidden="false" customHeight="true" outlineLevel="0" collapsed="false">
      <c r="A1679" s="10" t="n">
        <f aca="false">Einstellungen!$B$5+INT((ROW()-9)/24)</f>
        <v>46035</v>
      </c>
      <c r="B1679" s="11" t="n">
        <f aca="false">MOD(ROW()-9,24)</f>
        <v>14</v>
      </c>
      <c r="C1679" s="12"/>
      <c r="D1679" s="13" t="n">
        <f aca="false">IF(B1679&lt;5,Einstellungen!$B$3,Einstellungen!$B$4)</f>
        <v>29.13</v>
      </c>
      <c r="E1679" s="14" t="str">
        <f aca="false">IF(C1679="","",C1679*D1679/100)</f>
        <v/>
      </c>
      <c r="F1679" s="15" t="str">
        <f aca="false">IF(B1679&lt;5,"Go","Standard")</f>
        <v>Standard</v>
      </c>
    </row>
    <row r="1680" customFormat="false" ht="15" hidden="false" customHeight="true" outlineLevel="0" collapsed="false">
      <c r="A1680" s="10" t="n">
        <f aca="false">Einstellungen!$B$5+INT((ROW()-9)/24)</f>
        <v>46035</v>
      </c>
      <c r="B1680" s="11" t="n">
        <f aca="false">MOD(ROW()-9,24)</f>
        <v>15</v>
      </c>
      <c r="C1680" s="12"/>
      <c r="D1680" s="13" t="n">
        <f aca="false">IF(B1680&lt;5,Einstellungen!$B$3,Einstellungen!$B$4)</f>
        <v>29.13</v>
      </c>
      <c r="E1680" s="14" t="str">
        <f aca="false">IF(C1680="","",C1680*D1680/100)</f>
        <v/>
      </c>
      <c r="F1680" s="15" t="str">
        <f aca="false">IF(B1680&lt;5,"Go","Standard")</f>
        <v>Standard</v>
      </c>
    </row>
    <row r="1681" customFormat="false" ht="15" hidden="false" customHeight="true" outlineLevel="0" collapsed="false">
      <c r="A1681" s="10" t="n">
        <f aca="false">Einstellungen!$B$5+INT((ROW()-9)/24)</f>
        <v>46035</v>
      </c>
      <c r="B1681" s="11" t="n">
        <f aca="false">MOD(ROW()-9,24)</f>
        <v>16</v>
      </c>
      <c r="C1681" s="12"/>
      <c r="D1681" s="13" t="n">
        <f aca="false">IF(B1681&lt;5,Einstellungen!$B$3,Einstellungen!$B$4)</f>
        <v>29.13</v>
      </c>
      <c r="E1681" s="14" t="str">
        <f aca="false">IF(C1681="","",C1681*D1681/100)</f>
        <v/>
      </c>
      <c r="F1681" s="15" t="str">
        <f aca="false">IF(B1681&lt;5,"Go","Standard")</f>
        <v>Standard</v>
      </c>
    </row>
    <row r="1682" customFormat="false" ht="15" hidden="false" customHeight="true" outlineLevel="0" collapsed="false">
      <c r="A1682" s="10" t="n">
        <f aca="false">Einstellungen!$B$5+INT((ROW()-9)/24)</f>
        <v>46035</v>
      </c>
      <c r="B1682" s="11" t="n">
        <f aca="false">MOD(ROW()-9,24)</f>
        <v>17</v>
      </c>
      <c r="C1682" s="12"/>
      <c r="D1682" s="13" t="n">
        <f aca="false">IF(B1682&lt;5,Einstellungen!$B$3,Einstellungen!$B$4)</f>
        <v>29.13</v>
      </c>
      <c r="E1682" s="14" t="str">
        <f aca="false">IF(C1682="","",C1682*D1682/100)</f>
        <v/>
      </c>
      <c r="F1682" s="15" t="str">
        <f aca="false">IF(B1682&lt;5,"Go","Standard")</f>
        <v>Standard</v>
      </c>
    </row>
    <row r="1683" customFormat="false" ht="15" hidden="false" customHeight="true" outlineLevel="0" collapsed="false">
      <c r="A1683" s="10" t="n">
        <f aca="false">Einstellungen!$B$5+INT((ROW()-9)/24)</f>
        <v>46035</v>
      </c>
      <c r="B1683" s="11" t="n">
        <f aca="false">MOD(ROW()-9,24)</f>
        <v>18</v>
      </c>
      <c r="C1683" s="12"/>
      <c r="D1683" s="13" t="n">
        <f aca="false">IF(B1683&lt;5,Einstellungen!$B$3,Einstellungen!$B$4)</f>
        <v>29.13</v>
      </c>
      <c r="E1683" s="14" t="str">
        <f aca="false">IF(C1683="","",C1683*D1683/100)</f>
        <v/>
      </c>
      <c r="F1683" s="15" t="str">
        <f aca="false">IF(B1683&lt;5,"Go","Standard")</f>
        <v>Standard</v>
      </c>
    </row>
    <row r="1684" customFormat="false" ht="15" hidden="false" customHeight="true" outlineLevel="0" collapsed="false">
      <c r="A1684" s="10" t="n">
        <f aca="false">Einstellungen!$B$5+INT((ROW()-9)/24)</f>
        <v>46035</v>
      </c>
      <c r="B1684" s="11" t="n">
        <f aca="false">MOD(ROW()-9,24)</f>
        <v>19</v>
      </c>
      <c r="C1684" s="12"/>
      <c r="D1684" s="13" t="n">
        <f aca="false">IF(B1684&lt;5,Einstellungen!$B$3,Einstellungen!$B$4)</f>
        <v>29.13</v>
      </c>
      <c r="E1684" s="14" t="str">
        <f aca="false">IF(C1684="","",C1684*D1684/100)</f>
        <v/>
      </c>
      <c r="F1684" s="15" t="str">
        <f aca="false">IF(B1684&lt;5,"Go","Standard")</f>
        <v>Standard</v>
      </c>
    </row>
    <row r="1685" customFormat="false" ht="15" hidden="false" customHeight="true" outlineLevel="0" collapsed="false">
      <c r="A1685" s="10" t="n">
        <f aca="false">Einstellungen!$B$5+INT((ROW()-9)/24)</f>
        <v>46035</v>
      </c>
      <c r="B1685" s="11" t="n">
        <f aca="false">MOD(ROW()-9,24)</f>
        <v>20</v>
      </c>
      <c r="C1685" s="12"/>
      <c r="D1685" s="13" t="n">
        <f aca="false">IF(B1685&lt;5,Einstellungen!$B$3,Einstellungen!$B$4)</f>
        <v>29.13</v>
      </c>
      <c r="E1685" s="14" t="str">
        <f aca="false">IF(C1685="","",C1685*D1685/100)</f>
        <v/>
      </c>
      <c r="F1685" s="15" t="str">
        <f aca="false">IF(B1685&lt;5,"Go","Standard")</f>
        <v>Standard</v>
      </c>
    </row>
    <row r="1686" customFormat="false" ht="15" hidden="false" customHeight="true" outlineLevel="0" collapsed="false">
      <c r="A1686" s="10" t="n">
        <f aca="false">Einstellungen!$B$5+INT((ROW()-9)/24)</f>
        <v>46035</v>
      </c>
      <c r="B1686" s="11" t="n">
        <f aca="false">MOD(ROW()-9,24)</f>
        <v>21</v>
      </c>
      <c r="C1686" s="12"/>
      <c r="D1686" s="13" t="n">
        <f aca="false">IF(B1686&lt;5,Einstellungen!$B$3,Einstellungen!$B$4)</f>
        <v>29.13</v>
      </c>
      <c r="E1686" s="14" t="str">
        <f aca="false">IF(C1686="","",C1686*D1686/100)</f>
        <v/>
      </c>
      <c r="F1686" s="15" t="str">
        <f aca="false">IF(B1686&lt;5,"Go","Standard")</f>
        <v>Standard</v>
      </c>
    </row>
    <row r="1687" customFormat="false" ht="15" hidden="false" customHeight="true" outlineLevel="0" collapsed="false">
      <c r="A1687" s="10" t="n">
        <f aca="false">Einstellungen!$B$5+INT((ROW()-9)/24)</f>
        <v>46035</v>
      </c>
      <c r="B1687" s="11" t="n">
        <f aca="false">MOD(ROW()-9,24)</f>
        <v>22</v>
      </c>
      <c r="C1687" s="12"/>
      <c r="D1687" s="13" t="n">
        <f aca="false">IF(B1687&lt;5,Einstellungen!$B$3,Einstellungen!$B$4)</f>
        <v>29.13</v>
      </c>
      <c r="E1687" s="14" t="str">
        <f aca="false">IF(C1687="","",C1687*D1687/100)</f>
        <v/>
      </c>
      <c r="F1687" s="15" t="str">
        <f aca="false">IF(B1687&lt;5,"Go","Standard")</f>
        <v>Standard</v>
      </c>
    </row>
    <row r="1688" customFormat="false" ht="15" hidden="false" customHeight="true" outlineLevel="0" collapsed="false">
      <c r="A1688" s="10" t="n">
        <f aca="false">Einstellungen!$B$5+INT((ROW()-9)/24)</f>
        <v>46035</v>
      </c>
      <c r="B1688" s="11" t="n">
        <f aca="false">MOD(ROW()-9,24)</f>
        <v>23</v>
      </c>
      <c r="C1688" s="12"/>
      <c r="D1688" s="13" t="n">
        <f aca="false">IF(B1688&lt;5,Einstellungen!$B$3,Einstellungen!$B$4)</f>
        <v>29.13</v>
      </c>
      <c r="E1688" s="14" t="str">
        <f aca="false">IF(C1688="","",C1688*D1688/100)</f>
        <v/>
      </c>
      <c r="F1688" s="15" t="str">
        <f aca="false">IF(B1688&lt;5,"Go","Standard")</f>
        <v>Standard</v>
      </c>
    </row>
    <row r="1689" customFormat="false" ht="15" hidden="false" customHeight="true" outlineLevel="0" collapsed="false">
      <c r="A1689" s="10" t="n">
        <f aca="false">Einstellungen!$B$5+INT((ROW()-9)/24)</f>
        <v>46036</v>
      </c>
      <c r="B1689" s="11" t="n">
        <f aca="false">MOD(ROW()-9,24)</f>
        <v>0</v>
      </c>
      <c r="C1689" s="12"/>
      <c r="D1689" s="13" t="n">
        <f aca="false">IF(B1689&lt;5,Einstellungen!$B$3,Einstellungen!$B$4)</f>
        <v>15.92</v>
      </c>
      <c r="E1689" s="14" t="str">
        <f aca="false">IF(C1689="","",C1689*D1689/100)</f>
        <v/>
      </c>
      <c r="F1689" s="15" t="str">
        <f aca="false">IF(B1689&lt;5,"Go","Standard")</f>
        <v>Go</v>
      </c>
    </row>
    <row r="1690" customFormat="false" ht="15" hidden="false" customHeight="true" outlineLevel="0" collapsed="false">
      <c r="A1690" s="10" t="n">
        <f aca="false">Einstellungen!$B$5+INT((ROW()-9)/24)</f>
        <v>46036</v>
      </c>
      <c r="B1690" s="11" t="n">
        <f aca="false">MOD(ROW()-9,24)</f>
        <v>1</v>
      </c>
      <c r="C1690" s="12"/>
      <c r="D1690" s="13" t="n">
        <f aca="false">IF(B1690&lt;5,Einstellungen!$B$3,Einstellungen!$B$4)</f>
        <v>15.92</v>
      </c>
      <c r="E1690" s="14" t="str">
        <f aca="false">IF(C1690="","",C1690*D1690/100)</f>
        <v/>
      </c>
      <c r="F1690" s="15" t="str">
        <f aca="false">IF(B1690&lt;5,"Go","Standard")</f>
        <v>Go</v>
      </c>
    </row>
    <row r="1691" customFormat="false" ht="15" hidden="false" customHeight="true" outlineLevel="0" collapsed="false">
      <c r="A1691" s="10" t="n">
        <f aca="false">Einstellungen!$B$5+INT((ROW()-9)/24)</f>
        <v>46036</v>
      </c>
      <c r="B1691" s="11" t="n">
        <f aca="false">MOD(ROW()-9,24)</f>
        <v>2</v>
      </c>
      <c r="C1691" s="12"/>
      <c r="D1691" s="13" t="n">
        <f aca="false">IF(B1691&lt;5,Einstellungen!$B$3,Einstellungen!$B$4)</f>
        <v>15.92</v>
      </c>
      <c r="E1691" s="14" t="str">
        <f aca="false">IF(C1691="","",C1691*D1691/100)</f>
        <v/>
      </c>
      <c r="F1691" s="15" t="str">
        <f aca="false">IF(B1691&lt;5,"Go","Standard")</f>
        <v>Go</v>
      </c>
    </row>
    <row r="1692" customFormat="false" ht="15" hidden="false" customHeight="true" outlineLevel="0" collapsed="false">
      <c r="A1692" s="10" t="n">
        <f aca="false">Einstellungen!$B$5+INT((ROW()-9)/24)</f>
        <v>46036</v>
      </c>
      <c r="B1692" s="11" t="n">
        <f aca="false">MOD(ROW()-9,24)</f>
        <v>3</v>
      </c>
      <c r="C1692" s="12"/>
      <c r="D1692" s="13" t="n">
        <f aca="false">IF(B1692&lt;5,Einstellungen!$B$3,Einstellungen!$B$4)</f>
        <v>15.92</v>
      </c>
      <c r="E1692" s="14" t="str">
        <f aca="false">IF(C1692="","",C1692*D1692/100)</f>
        <v/>
      </c>
      <c r="F1692" s="15" t="str">
        <f aca="false">IF(B1692&lt;5,"Go","Standard")</f>
        <v>Go</v>
      </c>
    </row>
    <row r="1693" customFormat="false" ht="15" hidden="false" customHeight="true" outlineLevel="0" collapsed="false">
      <c r="A1693" s="10" t="n">
        <f aca="false">Einstellungen!$B$5+INT((ROW()-9)/24)</f>
        <v>46036</v>
      </c>
      <c r="B1693" s="11" t="n">
        <f aca="false">MOD(ROW()-9,24)</f>
        <v>4</v>
      </c>
      <c r="C1693" s="12"/>
      <c r="D1693" s="13" t="n">
        <f aca="false">IF(B1693&lt;5,Einstellungen!$B$3,Einstellungen!$B$4)</f>
        <v>15.92</v>
      </c>
      <c r="E1693" s="14" t="str">
        <f aca="false">IF(C1693="","",C1693*D1693/100)</f>
        <v/>
      </c>
      <c r="F1693" s="15" t="str">
        <f aca="false">IF(B1693&lt;5,"Go","Standard")</f>
        <v>Go</v>
      </c>
    </row>
    <row r="1694" customFormat="false" ht="15" hidden="false" customHeight="true" outlineLevel="0" collapsed="false">
      <c r="A1694" s="10" t="n">
        <f aca="false">Einstellungen!$B$5+INT((ROW()-9)/24)</f>
        <v>46036</v>
      </c>
      <c r="B1694" s="11" t="n">
        <f aca="false">MOD(ROW()-9,24)</f>
        <v>5</v>
      </c>
      <c r="C1694" s="12"/>
      <c r="D1694" s="13" t="n">
        <f aca="false">IF(B1694&lt;5,Einstellungen!$B$3,Einstellungen!$B$4)</f>
        <v>29.13</v>
      </c>
      <c r="E1694" s="14" t="str">
        <f aca="false">IF(C1694="","",C1694*D1694/100)</f>
        <v/>
      </c>
      <c r="F1694" s="15" t="str">
        <f aca="false">IF(B1694&lt;5,"Go","Standard")</f>
        <v>Standard</v>
      </c>
    </row>
    <row r="1695" customFormat="false" ht="15" hidden="false" customHeight="true" outlineLevel="0" collapsed="false">
      <c r="A1695" s="10" t="n">
        <f aca="false">Einstellungen!$B$5+INT((ROW()-9)/24)</f>
        <v>46036</v>
      </c>
      <c r="B1695" s="11" t="n">
        <f aca="false">MOD(ROW()-9,24)</f>
        <v>6</v>
      </c>
      <c r="C1695" s="12"/>
      <c r="D1695" s="13" t="n">
        <f aca="false">IF(B1695&lt;5,Einstellungen!$B$3,Einstellungen!$B$4)</f>
        <v>29.13</v>
      </c>
      <c r="E1695" s="14" t="str">
        <f aca="false">IF(C1695="","",C1695*D1695/100)</f>
        <v/>
      </c>
      <c r="F1695" s="15" t="str">
        <f aca="false">IF(B1695&lt;5,"Go","Standard")</f>
        <v>Standard</v>
      </c>
    </row>
    <row r="1696" customFormat="false" ht="15" hidden="false" customHeight="true" outlineLevel="0" collapsed="false">
      <c r="A1696" s="10" t="n">
        <f aca="false">Einstellungen!$B$5+INT((ROW()-9)/24)</f>
        <v>46036</v>
      </c>
      <c r="B1696" s="11" t="n">
        <f aca="false">MOD(ROW()-9,24)</f>
        <v>7</v>
      </c>
      <c r="C1696" s="12"/>
      <c r="D1696" s="13" t="n">
        <f aca="false">IF(B1696&lt;5,Einstellungen!$B$3,Einstellungen!$B$4)</f>
        <v>29.13</v>
      </c>
      <c r="E1696" s="14" t="str">
        <f aca="false">IF(C1696="","",C1696*D1696/100)</f>
        <v/>
      </c>
      <c r="F1696" s="15" t="str">
        <f aca="false">IF(B1696&lt;5,"Go","Standard")</f>
        <v>Standard</v>
      </c>
    </row>
    <row r="1697" customFormat="false" ht="15" hidden="false" customHeight="true" outlineLevel="0" collapsed="false">
      <c r="A1697" s="10" t="n">
        <f aca="false">Einstellungen!$B$5+INT((ROW()-9)/24)</f>
        <v>46036</v>
      </c>
      <c r="B1697" s="11" t="n">
        <f aca="false">MOD(ROW()-9,24)</f>
        <v>8</v>
      </c>
      <c r="C1697" s="12"/>
      <c r="D1697" s="13" t="n">
        <f aca="false">IF(B1697&lt;5,Einstellungen!$B$3,Einstellungen!$B$4)</f>
        <v>29.13</v>
      </c>
      <c r="E1697" s="14" t="str">
        <f aca="false">IF(C1697="","",C1697*D1697/100)</f>
        <v/>
      </c>
      <c r="F1697" s="15" t="str">
        <f aca="false">IF(B1697&lt;5,"Go","Standard")</f>
        <v>Standard</v>
      </c>
    </row>
    <row r="1698" customFormat="false" ht="15" hidden="false" customHeight="true" outlineLevel="0" collapsed="false">
      <c r="A1698" s="10" t="n">
        <f aca="false">Einstellungen!$B$5+INT((ROW()-9)/24)</f>
        <v>46036</v>
      </c>
      <c r="B1698" s="11" t="n">
        <f aca="false">MOD(ROW()-9,24)</f>
        <v>9</v>
      </c>
      <c r="C1698" s="12"/>
      <c r="D1698" s="13" t="n">
        <f aca="false">IF(B1698&lt;5,Einstellungen!$B$3,Einstellungen!$B$4)</f>
        <v>29.13</v>
      </c>
      <c r="E1698" s="14" t="str">
        <f aca="false">IF(C1698="","",C1698*D1698/100)</f>
        <v/>
      </c>
      <c r="F1698" s="15" t="str">
        <f aca="false">IF(B1698&lt;5,"Go","Standard")</f>
        <v>Standard</v>
      </c>
    </row>
    <row r="1699" customFormat="false" ht="15" hidden="false" customHeight="true" outlineLevel="0" collapsed="false">
      <c r="A1699" s="10" t="n">
        <f aca="false">Einstellungen!$B$5+INT((ROW()-9)/24)</f>
        <v>46036</v>
      </c>
      <c r="B1699" s="11" t="n">
        <f aca="false">MOD(ROW()-9,24)</f>
        <v>10</v>
      </c>
      <c r="C1699" s="12"/>
      <c r="D1699" s="13" t="n">
        <f aca="false">IF(B1699&lt;5,Einstellungen!$B$3,Einstellungen!$B$4)</f>
        <v>29.13</v>
      </c>
      <c r="E1699" s="14" t="str">
        <f aca="false">IF(C1699="","",C1699*D1699/100)</f>
        <v/>
      </c>
      <c r="F1699" s="15" t="str">
        <f aca="false">IF(B1699&lt;5,"Go","Standard")</f>
        <v>Standard</v>
      </c>
    </row>
    <row r="1700" customFormat="false" ht="15" hidden="false" customHeight="true" outlineLevel="0" collapsed="false">
      <c r="A1700" s="10" t="n">
        <f aca="false">Einstellungen!$B$5+INT((ROW()-9)/24)</f>
        <v>46036</v>
      </c>
      <c r="B1700" s="11" t="n">
        <f aca="false">MOD(ROW()-9,24)</f>
        <v>11</v>
      </c>
      <c r="C1700" s="12"/>
      <c r="D1700" s="13" t="n">
        <f aca="false">IF(B1700&lt;5,Einstellungen!$B$3,Einstellungen!$B$4)</f>
        <v>29.13</v>
      </c>
      <c r="E1700" s="14" t="str">
        <f aca="false">IF(C1700="","",C1700*D1700/100)</f>
        <v/>
      </c>
      <c r="F1700" s="15" t="str">
        <f aca="false">IF(B1700&lt;5,"Go","Standard")</f>
        <v>Standard</v>
      </c>
    </row>
    <row r="1701" customFormat="false" ht="15" hidden="false" customHeight="true" outlineLevel="0" collapsed="false">
      <c r="A1701" s="10" t="n">
        <f aca="false">Einstellungen!$B$5+INT((ROW()-9)/24)</f>
        <v>46036</v>
      </c>
      <c r="B1701" s="11" t="n">
        <f aca="false">MOD(ROW()-9,24)</f>
        <v>12</v>
      </c>
      <c r="C1701" s="12"/>
      <c r="D1701" s="13" t="n">
        <f aca="false">IF(B1701&lt;5,Einstellungen!$B$3,Einstellungen!$B$4)</f>
        <v>29.13</v>
      </c>
      <c r="E1701" s="14" t="str">
        <f aca="false">IF(C1701="","",C1701*D1701/100)</f>
        <v/>
      </c>
      <c r="F1701" s="15" t="str">
        <f aca="false">IF(B1701&lt;5,"Go","Standard")</f>
        <v>Standard</v>
      </c>
    </row>
    <row r="1702" customFormat="false" ht="15" hidden="false" customHeight="true" outlineLevel="0" collapsed="false">
      <c r="A1702" s="10" t="n">
        <f aca="false">Einstellungen!$B$5+INT((ROW()-9)/24)</f>
        <v>46036</v>
      </c>
      <c r="B1702" s="11" t="n">
        <f aca="false">MOD(ROW()-9,24)</f>
        <v>13</v>
      </c>
      <c r="C1702" s="12"/>
      <c r="D1702" s="13" t="n">
        <f aca="false">IF(B1702&lt;5,Einstellungen!$B$3,Einstellungen!$B$4)</f>
        <v>29.13</v>
      </c>
      <c r="E1702" s="14" t="str">
        <f aca="false">IF(C1702="","",C1702*D1702/100)</f>
        <v/>
      </c>
      <c r="F1702" s="15" t="str">
        <f aca="false">IF(B1702&lt;5,"Go","Standard")</f>
        <v>Standard</v>
      </c>
    </row>
    <row r="1703" customFormat="false" ht="15" hidden="false" customHeight="true" outlineLevel="0" collapsed="false">
      <c r="A1703" s="10" t="n">
        <f aca="false">Einstellungen!$B$5+INT((ROW()-9)/24)</f>
        <v>46036</v>
      </c>
      <c r="B1703" s="11" t="n">
        <f aca="false">MOD(ROW()-9,24)</f>
        <v>14</v>
      </c>
      <c r="C1703" s="12"/>
      <c r="D1703" s="13" t="n">
        <f aca="false">IF(B1703&lt;5,Einstellungen!$B$3,Einstellungen!$B$4)</f>
        <v>29.13</v>
      </c>
      <c r="E1703" s="14" t="str">
        <f aca="false">IF(C1703="","",C1703*D1703/100)</f>
        <v/>
      </c>
      <c r="F1703" s="15" t="str">
        <f aca="false">IF(B1703&lt;5,"Go","Standard")</f>
        <v>Standard</v>
      </c>
    </row>
    <row r="1704" customFormat="false" ht="15" hidden="false" customHeight="true" outlineLevel="0" collapsed="false">
      <c r="A1704" s="10" t="n">
        <f aca="false">Einstellungen!$B$5+INT((ROW()-9)/24)</f>
        <v>46036</v>
      </c>
      <c r="B1704" s="11" t="n">
        <f aca="false">MOD(ROW()-9,24)</f>
        <v>15</v>
      </c>
      <c r="C1704" s="12"/>
      <c r="D1704" s="13" t="n">
        <f aca="false">IF(B1704&lt;5,Einstellungen!$B$3,Einstellungen!$B$4)</f>
        <v>29.13</v>
      </c>
      <c r="E1704" s="14" t="str">
        <f aca="false">IF(C1704="","",C1704*D1704/100)</f>
        <v/>
      </c>
      <c r="F1704" s="15" t="str">
        <f aca="false">IF(B1704&lt;5,"Go","Standard")</f>
        <v>Standard</v>
      </c>
    </row>
    <row r="1705" customFormat="false" ht="15" hidden="false" customHeight="true" outlineLevel="0" collapsed="false">
      <c r="A1705" s="10" t="n">
        <f aca="false">Einstellungen!$B$5+INT((ROW()-9)/24)</f>
        <v>46036</v>
      </c>
      <c r="B1705" s="11" t="n">
        <f aca="false">MOD(ROW()-9,24)</f>
        <v>16</v>
      </c>
      <c r="C1705" s="12"/>
      <c r="D1705" s="13" t="n">
        <f aca="false">IF(B1705&lt;5,Einstellungen!$B$3,Einstellungen!$B$4)</f>
        <v>29.13</v>
      </c>
      <c r="E1705" s="14" t="str">
        <f aca="false">IF(C1705="","",C1705*D1705/100)</f>
        <v/>
      </c>
      <c r="F1705" s="15" t="str">
        <f aca="false">IF(B1705&lt;5,"Go","Standard")</f>
        <v>Standard</v>
      </c>
    </row>
    <row r="1706" customFormat="false" ht="15" hidden="false" customHeight="true" outlineLevel="0" collapsed="false">
      <c r="A1706" s="10" t="n">
        <f aca="false">Einstellungen!$B$5+INT((ROW()-9)/24)</f>
        <v>46036</v>
      </c>
      <c r="B1706" s="11" t="n">
        <f aca="false">MOD(ROW()-9,24)</f>
        <v>17</v>
      </c>
      <c r="C1706" s="12"/>
      <c r="D1706" s="13" t="n">
        <f aca="false">IF(B1706&lt;5,Einstellungen!$B$3,Einstellungen!$B$4)</f>
        <v>29.13</v>
      </c>
      <c r="E1706" s="14" t="str">
        <f aca="false">IF(C1706="","",C1706*D1706/100)</f>
        <v/>
      </c>
      <c r="F1706" s="15" t="str">
        <f aca="false">IF(B1706&lt;5,"Go","Standard")</f>
        <v>Standard</v>
      </c>
    </row>
    <row r="1707" customFormat="false" ht="15" hidden="false" customHeight="true" outlineLevel="0" collapsed="false">
      <c r="A1707" s="10" t="n">
        <f aca="false">Einstellungen!$B$5+INT((ROW()-9)/24)</f>
        <v>46036</v>
      </c>
      <c r="B1707" s="11" t="n">
        <f aca="false">MOD(ROW()-9,24)</f>
        <v>18</v>
      </c>
      <c r="C1707" s="12"/>
      <c r="D1707" s="13" t="n">
        <f aca="false">IF(B1707&lt;5,Einstellungen!$B$3,Einstellungen!$B$4)</f>
        <v>29.13</v>
      </c>
      <c r="E1707" s="14" t="str">
        <f aca="false">IF(C1707="","",C1707*D1707/100)</f>
        <v/>
      </c>
      <c r="F1707" s="15" t="str">
        <f aca="false">IF(B1707&lt;5,"Go","Standard")</f>
        <v>Standard</v>
      </c>
    </row>
    <row r="1708" customFormat="false" ht="15" hidden="false" customHeight="true" outlineLevel="0" collapsed="false">
      <c r="A1708" s="10" t="n">
        <f aca="false">Einstellungen!$B$5+INT((ROW()-9)/24)</f>
        <v>46036</v>
      </c>
      <c r="B1708" s="11" t="n">
        <f aca="false">MOD(ROW()-9,24)</f>
        <v>19</v>
      </c>
      <c r="C1708" s="12"/>
      <c r="D1708" s="13" t="n">
        <f aca="false">IF(B1708&lt;5,Einstellungen!$B$3,Einstellungen!$B$4)</f>
        <v>29.13</v>
      </c>
      <c r="E1708" s="14" t="str">
        <f aca="false">IF(C1708="","",C1708*D1708/100)</f>
        <v/>
      </c>
      <c r="F1708" s="15" t="str">
        <f aca="false">IF(B1708&lt;5,"Go","Standard")</f>
        <v>Standard</v>
      </c>
    </row>
    <row r="1709" customFormat="false" ht="15" hidden="false" customHeight="true" outlineLevel="0" collapsed="false">
      <c r="A1709" s="10" t="n">
        <f aca="false">Einstellungen!$B$5+INT((ROW()-9)/24)</f>
        <v>46036</v>
      </c>
      <c r="B1709" s="11" t="n">
        <f aca="false">MOD(ROW()-9,24)</f>
        <v>20</v>
      </c>
      <c r="C1709" s="12"/>
      <c r="D1709" s="13" t="n">
        <f aca="false">IF(B1709&lt;5,Einstellungen!$B$3,Einstellungen!$B$4)</f>
        <v>29.13</v>
      </c>
      <c r="E1709" s="14" t="str">
        <f aca="false">IF(C1709="","",C1709*D1709/100)</f>
        <v/>
      </c>
      <c r="F1709" s="15" t="str">
        <f aca="false">IF(B1709&lt;5,"Go","Standard")</f>
        <v>Standard</v>
      </c>
    </row>
    <row r="1710" customFormat="false" ht="15" hidden="false" customHeight="true" outlineLevel="0" collapsed="false">
      <c r="A1710" s="10" t="n">
        <f aca="false">Einstellungen!$B$5+INT((ROW()-9)/24)</f>
        <v>46036</v>
      </c>
      <c r="B1710" s="11" t="n">
        <f aca="false">MOD(ROW()-9,24)</f>
        <v>21</v>
      </c>
      <c r="C1710" s="12"/>
      <c r="D1710" s="13" t="n">
        <f aca="false">IF(B1710&lt;5,Einstellungen!$B$3,Einstellungen!$B$4)</f>
        <v>29.13</v>
      </c>
      <c r="E1710" s="14" t="str">
        <f aca="false">IF(C1710="","",C1710*D1710/100)</f>
        <v/>
      </c>
      <c r="F1710" s="15" t="str">
        <f aca="false">IF(B1710&lt;5,"Go","Standard")</f>
        <v>Standard</v>
      </c>
    </row>
    <row r="1711" customFormat="false" ht="15" hidden="false" customHeight="true" outlineLevel="0" collapsed="false">
      <c r="A1711" s="10" t="n">
        <f aca="false">Einstellungen!$B$5+INT((ROW()-9)/24)</f>
        <v>46036</v>
      </c>
      <c r="B1711" s="11" t="n">
        <f aca="false">MOD(ROW()-9,24)</f>
        <v>22</v>
      </c>
      <c r="C1711" s="12"/>
      <c r="D1711" s="13" t="n">
        <f aca="false">IF(B1711&lt;5,Einstellungen!$B$3,Einstellungen!$B$4)</f>
        <v>29.13</v>
      </c>
      <c r="E1711" s="14" t="str">
        <f aca="false">IF(C1711="","",C1711*D1711/100)</f>
        <v/>
      </c>
      <c r="F1711" s="15" t="str">
        <f aca="false">IF(B1711&lt;5,"Go","Standard")</f>
        <v>Standard</v>
      </c>
    </row>
    <row r="1712" customFormat="false" ht="15" hidden="false" customHeight="true" outlineLevel="0" collapsed="false">
      <c r="A1712" s="10" t="n">
        <f aca="false">Einstellungen!$B$5+INT((ROW()-9)/24)</f>
        <v>46036</v>
      </c>
      <c r="B1712" s="11" t="n">
        <f aca="false">MOD(ROW()-9,24)</f>
        <v>23</v>
      </c>
      <c r="C1712" s="12"/>
      <c r="D1712" s="13" t="n">
        <f aca="false">IF(B1712&lt;5,Einstellungen!$B$3,Einstellungen!$B$4)</f>
        <v>29.13</v>
      </c>
      <c r="E1712" s="14" t="str">
        <f aca="false">IF(C1712="","",C1712*D1712/100)</f>
        <v/>
      </c>
      <c r="F1712" s="15" t="str">
        <f aca="false">IF(B1712&lt;5,"Go","Standard")</f>
        <v>Standard</v>
      </c>
    </row>
    <row r="1713" customFormat="false" ht="15" hidden="false" customHeight="true" outlineLevel="0" collapsed="false">
      <c r="A1713" s="10" t="n">
        <f aca="false">Einstellungen!$B$5+INT((ROW()-9)/24)</f>
        <v>46037</v>
      </c>
      <c r="B1713" s="11" t="n">
        <f aca="false">MOD(ROW()-9,24)</f>
        <v>0</v>
      </c>
      <c r="C1713" s="12"/>
      <c r="D1713" s="13" t="n">
        <f aca="false">IF(B1713&lt;5,Einstellungen!$B$3,Einstellungen!$B$4)</f>
        <v>15.92</v>
      </c>
      <c r="E1713" s="14" t="str">
        <f aca="false">IF(C1713="","",C1713*D1713/100)</f>
        <v/>
      </c>
      <c r="F1713" s="15" t="str">
        <f aca="false">IF(B1713&lt;5,"Go","Standard")</f>
        <v>Go</v>
      </c>
    </row>
    <row r="1714" customFormat="false" ht="15" hidden="false" customHeight="true" outlineLevel="0" collapsed="false">
      <c r="A1714" s="10" t="n">
        <f aca="false">Einstellungen!$B$5+INT((ROW()-9)/24)</f>
        <v>46037</v>
      </c>
      <c r="B1714" s="11" t="n">
        <f aca="false">MOD(ROW()-9,24)</f>
        <v>1</v>
      </c>
      <c r="C1714" s="12"/>
      <c r="D1714" s="13" t="n">
        <f aca="false">IF(B1714&lt;5,Einstellungen!$B$3,Einstellungen!$B$4)</f>
        <v>15.92</v>
      </c>
      <c r="E1714" s="14" t="str">
        <f aca="false">IF(C1714="","",C1714*D1714/100)</f>
        <v/>
      </c>
      <c r="F1714" s="15" t="str">
        <f aca="false">IF(B1714&lt;5,"Go","Standard")</f>
        <v>Go</v>
      </c>
    </row>
    <row r="1715" customFormat="false" ht="15" hidden="false" customHeight="true" outlineLevel="0" collapsed="false">
      <c r="A1715" s="10" t="n">
        <f aca="false">Einstellungen!$B$5+INT((ROW()-9)/24)</f>
        <v>46037</v>
      </c>
      <c r="B1715" s="11" t="n">
        <f aca="false">MOD(ROW()-9,24)</f>
        <v>2</v>
      </c>
      <c r="C1715" s="12"/>
      <c r="D1715" s="13" t="n">
        <f aca="false">IF(B1715&lt;5,Einstellungen!$B$3,Einstellungen!$B$4)</f>
        <v>15.92</v>
      </c>
      <c r="E1715" s="14" t="str">
        <f aca="false">IF(C1715="","",C1715*D1715/100)</f>
        <v/>
      </c>
      <c r="F1715" s="15" t="str">
        <f aca="false">IF(B1715&lt;5,"Go","Standard")</f>
        <v>Go</v>
      </c>
    </row>
    <row r="1716" customFormat="false" ht="15" hidden="false" customHeight="true" outlineLevel="0" collapsed="false">
      <c r="A1716" s="10" t="n">
        <f aca="false">Einstellungen!$B$5+INT((ROW()-9)/24)</f>
        <v>46037</v>
      </c>
      <c r="B1716" s="11" t="n">
        <f aca="false">MOD(ROW()-9,24)</f>
        <v>3</v>
      </c>
      <c r="C1716" s="12"/>
      <c r="D1716" s="13" t="n">
        <f aca="false">IF(B1716&lt;5,Einstellungen!$B$3,Einstellungen!$B$4)</f>
        <v>15.92</v>
      </c>
      <c r="E1716" s="14" t="str">
        <f aca="false">IF(C1716="","",C1716*D1716/100)</f>
        <v/>
      </c>
      <c r="F1716" s="15" t="str">
        <f aca="false">IF(B1716&lt;5,"Go","Standard")</f>
        <v>Go</v>
      </c>
    </row>
    <row r="1717" customFormat="false" ht="15" hidden="false" customHeight="true" outlineLevel="0" collapsed="false">
      <c r="A1717" s="10" t="n">
        <f aca="false">Einstellungen!$B$5+INT((ROW()-9)/24)</f>
        <v>46037</v>
      </c>
      <c r="B1717" s="11" t="n">
        <f aca="false">MOD(ROW()-9,24)</f>
        <v>4</v>
      </c>
      <c r="C1717" s="12"/>
      <c r="D1717" s="13" t="n">
        <f aca="false">IF(B1717&lt;5,Einstellungen!$B$3,Einstellungen!$B$4)</f>
        <v>15.92</v>
      </c>
      <c r="E1717" s="14" t="str">
        <f aca="false">IF(C1717="","",C1717*D1717/100)</f>
        <v/>
      </c>
      <c r="F1717" s="15" t="str">
        <f aca="false">IF(B1717&lt;5,"Go","Standard")</f>
        <v>Go</v>
      </c>
    </row>
    <row r="1718" customFormat="false" ht="15" hidden="false" customHeight="true" outlineLevel="0" collapsed="false">
      <c r="A1718" s="10" t="n">
        <f aca="false">Einstellungen!$B$5+INT((ROW()-9)/24)</f>
        <v>46037</v>
      </c>
      <c r="B1718" s="11" t="n">
        <f aca="false">MOD(ROW()-9,24)</f>
        <v>5</v>
      </c>
      <c r="C1718" s="12"/>
      <c r="D1718" s="13" t="n">
        <f aca="false">IF(B1718&lt;5,Einstellungen!$B$3,Einstellungen!$B$4)</f>
        <v>29.13</v>
      </c>
      <c r="E1718" s="14" t="str">
        <f aca="false">IF(C1718="","",C1718*D1718/100)</f>
        <v/>
      </c>
      <c r="F1718" s="15" t="str">
        <f aca="false">IF(B1718&lt;5,"Go","Standard")</f>
        <v>Standard</v>
      </c>
    </row>
    <row r="1719" customFormat="false" ht="15" hidden="false" customHeight="true" outlineLevel="0" collapsed="false">
      <c r="A1719" s="10" t="n">
        <f aca="false">Einstellungen!$B$5+INT((ROW()-9)/24)</f>
        <v>46037</v>
      </c>
      <c r="B1719" s="11" t="n">
        <f aca="false">MOD(ROW()-9,24)</f>
        <v>6</v>
      </c>
      <c r="C1719" s="12"/>
      <c r="D1719" s="13" t="n">
        <f aca="false">IF(B1719&lt;5,Einstellungen!$B$3,Einstellungen!$B$4)</f>
        <v>29.13</v>
      </c>
      <c r="E1719" s="14" t="str">
        <f aca="false">IF(C1719="","",C1719*D1719/100)</f>
        <v/>
      </c>
      <c r="F1719" s="15" t="str">
        <f aca="false">IF(B1719&lt;5,"Go","Standard")</f>
        <v>Standard</v>
      </c>
    </row>
    <row r="1720" customFormat="false" ht="15" hidden="false" customHeight="true" outlineLevel="0" collapsed="false">
      <c r="A1720" s="10" t="n">
        <f aca="false">Einstellungen!$B$5+INT((ROW()-9)/24)</f>
        <v>46037</v>
      </c>
      <c r="B1720" s="11" t="n">
        <f aca="false">MOD(ROW()-9,24)</f>
        <v>7</v>
      </c>
      <c r="C1720" s="12"/>
      <c r="D1720" s="13" t="n">
        <f aca="false">IF(B1720&lt;5,Einstellungen!$B$3,Einstellungen!$B$4)</f>
        <v>29.13</v>
      </c>
      <c r="E1720" s="14" t="str">
        <f aca="false">IF(C1720="","",C1720*D1720/100)</f>
        <v/>
      </c>
      <c r="F1720" s="15" t="str">
        <f aca="false">IF(B1720&lt;5,"Go","Standard")</f>
        <v>Standard</v>
      </c>
    </row>
    <row r="1721" customFormat="false" ht="15" hidden="false" customHeight="true" outlineLevel="0" collapsed="false">
      <c r="A1721" s="10" t="n">
        <f aca="false">Einstellungen!$B$5+INT((ROW()-9)/24)</f>
        <v>46037</v>
      </c>
      <c r="B1721" s="11" t="n">
        <f aca="false">MOD(ROW()-9,24)</f>
        <v>8</v>
      </c>
      <c r="C1721" s="12"/>
      <c r="D1721" s="13" t="n">
        <f aca="false">IF(B1721&lt;5,Einstellungen!$B$3,Einstellungen!$B$4)</f>
        <v>29.13</v>
      </c>
      <c r="E1721" s="14" t="str">
        <f aca="false">IF(C1721="","",C1721*D1721/100)</f>
        <v/>
      </c>
      <c r="F1721" s="15" t="str">
        <f aca="false">IF(B1721&lt;5,"Go","Standard")</f>
        <v>Standard</v>
      </c>
    </row>
    <row r="1722" customFormat="false" ht="15" hidden="false" customHeight="true" outlineLevel="0" collapsed="false">
      <c r="A1722" s="10" t="n">
        <f aca="false">Einstellungen!$B$5+INT((ROW()-9)/24)</f>
        <v>46037</v>
      </c>
      <c r="B1722" s="11" t="n">
        <f aca="false">MOD(ROW()-9,24)</f>
        <v>9</v>
      </c>
      <c r="C1722" s="12"/>
      <c r="D1722" s="13" t="n">
        <f aca="false">IF(B1722&lt;5,Einstellungen!$B$3,Einstellungen!$B$4)</f>
        <v>29.13</v>
      </c>
      <c r="E1722" s="14" t="str">
        <f aca="false">IF(C1722="","",C1722*D1722/100)</f>
        <v/>
      </c>
      <c r="F1722" s="15" t="str">
        <f aca="false">IF(B1722&lt;5,"Go","Standard")</f>
        <v>Standard</v>
      </c>
    </row>
    <row r="1723" customFormat="false" ht="15" hidden="false" customHeight="true" outlineLevel="0" collapsed="false">
      <c r="A1723" s="10" t="n">
        <f aca="false">Einstellungen!$B$5+INT((ROW()-9)/24)</f>
        <v>46037</v>
      </c>
      <c r="B1723" s="11" t="n">
        <f aca="false">MOD(ROW()-9,24)</f>
        <v>10</v>
      </c>
      <c r="C1723" s="12"/>
      <c r="D1723" s="13" t="n">
        <f aca="false">IF(B1723&lt;5,Einstellungen!$B$3,Einstellungen!$B$4)</f>
        <v>29.13</v>
      </c>
      <c r="E1723" s="14" t="str">
        <f aca="false">IF(C1723="","",C1723*D1723/100)</f>
        <v/>
      </c>
      <c r="F1723" s="15" t="str">
        <f aca="false">IF(B1723&lt;5,"Go","Standard")</f>
        <v>Standard</v>
      </c>
    </row>
    <row r="1724" customFormat="false" ht="15" hidden="false" customHeight="true" outlineLevel="0" collapsed="false">
      <c r="A1724" s="10" t="n">
        <f aca="false">Einstellungen!$B$5+INT((ROW()-9)/24)</f>
        <v>46037</v>
      </c>
      <c r="B1724" s="11" t="n">
        <f aca="false">MOD(ROW()-9,24)</f>
        <v>11</v>
      </c>
      <c r="C1724" s="12"/>
      <c r="D1724" s="13" t="n">
        <f aca="false">IF(B1724&lt;5,Einstellungen!$B$3,Einstellungen!$B$4)</f>
        <v>29.13</v>
      </c>
      <c r="E1724" s="14" t="str">
        <f aca="false">IF(C1724="","",C1724*D1724/100)</f>
        <v/>
      </c>
      <c r="F1724" s="15" t="str">
        <f aca="false">IF(B1724&lt;5,"Go","Standard")</f>
        <v>Standard</v>
      </c>
    </row>
    <row r="1725" customFormat="false" ht="15" hidden="false" customHeight="true" outlineLevel="0" collapsed="false">
      <c r="A1725" s="10" t="n">
        <f aca="false">Einstellungen!$B$5+INT((ROW()-9)/24)</f>
        <v>46037</v>
      </c>
      <c r="B1725" s="11" t="n">
        <f aca="false">MOD(ROW()-9,24)</f>
        <v>12</v>
      </c>
      <c r="C1725" s="12"/>
      <c r="D1725" s="13" t="n">
        <f aca="false">IF(B1725&lt;5,Einstellungen!$B$3,Einstellungen!$B$4)</f>
        <v>29.13</v>
      </c>
      <c r="E1725" s="14" t="str">
        <f aca="false">IF(C1725="","",C1725*D1725/100)</f>
        <v/>
      </c>
      <c r="F1725" s="15" t="str">
        <f aca="false">IF(B1725&lt;5,"Go","Standard")</f>
        <v>Standard</v>
      </c>
    </row>
    <row r="1726" customFormat="false" ht="15" hidden="false" customHeight="true" outlineLevel="0" collapsed="false">
      <c r="A1726" s="10" t="n">
        <f aca="false">Einstellungen!$B$5+INT((ROW()-9)/24)</f>
        <v>46037</v>
      </c>
      <c r="B1726" s="11" t="n">
        <f aca="false">MOD(ROW()-9,24)</f>
        <v>13</v>
      </c>
      <c r="C1726" s="12"/>
      <c r="D1726" s="13" t="n">
        <f aca="false">IF(B1726&lt;5,Einstellungen!$B$3,Einstellungen!$B$4)</f>
        <v>29.13</v>
      </c>
      <c r="E1726" s="14" t="str">
        <f aca="false">IF(C1726="","",C1726*D1726/100)</f>
        <v/>
      </c>
      <c r="F1726" s="15" t="str">
        <f aca="false">IF(B1726&lt;5,"Go","Standard")</f>
        <v>Standard</v>
      </c>
    </row>
    <row r="1727" customFormat="false" ht="15" hidden="false" customHeight="true" outlineLevel="0" collapsed="false">
      <c r="A1727" s="10" t="n">
        <f aca="false">Einstellungen!$B$5+INT((ROW()-9)/24)</f>
        <v>46037</v>
      </c>
      <c r="B1727" s="11" t="n">
        <f aca="false">MOD(ROW()-9,24)</f>
        <v>14</v>
      </c>
      <c r="C1727" s="12"/>
      <c r="D1727" s="13" t="n">
        <f aca="false">IF(B1727&lt;5,Einstellungen!$B$3,Einstellungen!$B$4)</f>
        <v>29.13</v>
      </c>
      <c r="E1727" s="14" t="str">
        <f aca="false">IF(C1727="","",C1727*D1727/100)</f>
        <v/>
      </c>
      <c r="F1727" s="15" t="str">
        <f aca="false">IF(B1727&lt;5,"Go","Standard")</f>
        <v>Standard</v>
      </c>
    </row>
    <row r="1728" customFormat="false" ht="15" hidden="false" customHeight="true" outlineLevel="0" collapsed="false">
      <c r="A1728" s="10" t="n">
        <f aca="false">Einstellungen!$B$5+INT((ROW()-9)/24)</f>
        <v>46037</v>
      </c>
      <c r="B1728" s="11" t="n">
        <f aca="false">MOD(ROW()-9,24)</f>
        <v>15</v>
      </c>
      <c r="C1728" s="12"/>
      <c r="D1728" s="13" t="n">
        <f aca="false">IF(B1728&lt;5,Einstellungen!$B$3,Einstellungen!$B$4)</f>
        <v>29.13</v>
      </c>
      <c r="E1728" s="14" t="str">
        <f aca="false">IF(C1728="","",C1728*D1728/100)</f>
        <v/>
      </c>
      <c r="F1728" s="15" t="str">
        <f aca="false">IF(B1728&lt;5,"Go","Standard")</f>
        <v>Standard</v>
      </c>
    </row>
    <row r="1729" customFormat="false" ht="15" hidden="false" customHeight="true" outlineLevel="0" collapsed="false">
      <c r="A1729" s="10" t="n">
        <f aca="false">Einstellungen!$B$5+INT((ROW()-9)/24)</f>
        <v>46037</v>
      </c>
      <c r="B1729" s="11" t="n">
        <f aca="false">MOD(ROW()-9,24)</f>
        <v>16</v>
      </c>
      <c r="C1729" s="12"/>
      <c r="D1729" s="13" t="n">
        <f aca="false">IF(B1729&lt;5,Einstellungen!$B$3,Einstellungen!$B$4)</f>
        <v>29.13</v>
      </c>
      <c r="E1729" s="14" t="str">
        <f aca="false">IF(C1729="","",C1729*D1729/100)</f>
        <v/>
      </c>
      <c r="F1729" s="15" t="str">
        <f aca="false">IF(B1729&lt;5,"Go","Standard")</f>
        <v>Standard</v>
      </c>
    </row>
    <row r="1730" customFormat="false" ht="15" hidden="false" customHeight="true" outlineLevel="0" collapsed="false">
      <c r="A1730" s="10" t="n">
        <f aca="false">Einstellungen!$B$5+INT((ROW()-9)/24)</f>
        <v>46037</v>
      </c>
      <c r="B1730" s="11" t="n">
        <f aca="false">MOD(ROW()-9,24)</f>
        <v>17</v>
      </c>
      <c r="C1730" s="12"/>
      <c r="D1730" s="13" t="n">
        <f aca="false">IF(B1730&lt;5,Einstellungen!$B$3,Einstellungen!$B$4)</f>
        <v>29.13</v>
      </c>
      <c r="E1730" s="14" t="str">
        <f aca="false">IF(C1730="","",C1730*D1730/100)</f>
        <v/>
      </c>
      <c r="F1730" s="15" t="str">
        <f aca="false">IF(B1730&lt;5,"Go","Standard")</f>
        <v>Standard</v>
      </c>
    </row>
    <row r="1731" customFormat="false" ht="15" hidden="false" customHeight="true" outlineLevel="0" collapsed="false">
      <c r="A1731" s="10" t="n">
        <f aca="false">Einstellungen!$B$5+INT((ROW()-9)/24)</f>
        <v>46037</v>
      </c>
      <c r="B1731" s="11" t="n">
        <f aca="false">MOD(ROW()-9,24)</f>
        <v>18</v>
      </c>
      <c r="C1731" s="12"/>
      <c r="D1731" s="13" t="n">
        <f aca="false">IF(B1731&lt;5,Einstellungen!$B$3,Einstellungen!$B$4)</f>
        <v>29.13</v>
      </c>
      <c r="E1731" s="14" t="str">
        <f aca="false">IF(C1731="","",C1731*D1731/100)</f>
        <v/>
      </c>
      <c r="F1731" s="15" t="str">
        <f aca="false">IF(B1731&lt;5,"Go","Standard")</f>
        <v>Standard</v>
      </c>
    </row>
    <row r="1732" customFormat="false" ht="15" hidden="false" customHeight="true" outlineLevel="0" collapsed="false">
      <c r="A1732" s="10" t="n">
        <f aca="false">Einstellungen!$B$5+INT((ROW()-9)/24)</f>
        <v>46037</v>
      </c>
      <c r="B1732" s="11" t="n">
        <f aca="false">MOD(ROW()-9,24)</f>
        <v>19</v>
      </c>
      <c r="C1732" s="12"/>
      <c r="D1732" s="13" t="n">
        <f aca="false">IF(B1732&lt;5,Einstellungen!$B$3,Einstellungen!$B$4)</f>
        <v>29.13</v>
      </c>
      <c r="E1732" s="14" t="str">
        <f aca="false">IF(C1732="","",C1732*D1732/100)</f>
        <v/>
      </c>
      <c r="F1732" s="15" t="str">
        <f aca="false">IF(B1732&lt;5,"Go","Standard")</f>
        <v>Standard</v>
      </c>
    </row>
    <row r="1733" customFormat="false" ht="15" hidden="false" customHeight="true" outlineLevel="0" collapsed="false">
      <c r="A1733" s="10" t="n">
        <f aca="false">Einstellungen!$B$5+INT((ROW()-9)/24)</f>
        <v>46037</v>
      </c>
      <c r="B1733" s="11" t="n">
        <f aca="false">MOD(ROW()-9,24)</f>
        <v>20</v>
      </c>
      <c r="C1733" s="12"/>
      <c r="D1733" s="13" t="n">
        <f aca="false">IF(B1733&lt;5,Einstellungen!$B$3,Einstellungen!$B$4)</f>
        <v>29.13</v>
      </c>
      <c r="E1733" s="14" t="str">
        <f aca="false">IF(C1733="","",C1733*D1733/100)</f>
        <v/>
      </c>
      <c r="F1733" s="15" t="str">
        <f aca="false">IF(B1733&lt;5,"Go","Standard")</f>
        <v>Standard</v>
      </c>
    </row>
    <row r="1734" customFormat="false" ht="15" hidden="false" customHeight="true" outlineLevel="0" collapsed="false">
      <c r="A1734" s="10" t="n">
        <f aca="false">Einstellungen!$B$5+INT((ROW()-9)/24)</f>
        <v>46037</v>
      </c>
      <c r="B1734" s="11" t="n">
        <f aca="false">MOD(ROW()-9,24)</f>
        <v>21</v>
      </c>
      <c r="C1734" s="12"/>
      <c r="D1734" s="13" t="n">
        <f aca="false">IF(B1734&lt;5,Einstellungen!$B$3,Einstellungen!$B$4)</f>
        <v>29.13</v>
      </c>
      <c r="E1734" s="14" t="str">
        <f aca="false">IF(C1734="","",C1734*D1734/100)</f>
        <v/>
      </c>
      <c r="F1734" s="15" t="str">
        <f aca="false">IF(B1734&lt;5,"Go","Standard")</f>
        <v>Standard</v>
      </c>
    </row>
    <row r="1735" customFormat="false" ht="15" hidden="false" customHeight="true" outlineLevel="0" collapsed="false">
      <c r="A1735" s="10" t="n">
        <f aca="false">Einstellungen!$B$5+INT((ROW()-9)/24)</f>
        <v>46037</v>
      </c>
      <c r="B1735" s="11" t="n">
        <f aca="false">MOD(ROW()-9,24)</f>
        <v>22</v>
      </c>
      <c r="C1735" s="12"/>
      <c r="D1735" s="13" t="n">
        <f aca="false">IF(B1735&lt;5,Einstellungen!$B$3,Einstellungen!$B$4)</f>
        <v>29.13</v>
      </c>
      <c r="E1735" s="14" t="str">
        <f aca="false">IF(C1735="","",C1735*D1735/100)</f>
        <v/>
      </c>
      <c r="F1735" s="15" t="str">
        <f aca="false">IF(B1735&lt;5,"Go","Standard")</f>
        <v>Standard</v>
      </c>
    </row>
    <row r="1736" customFormat="false" ht="15" hidden="false" customHeight="true" outlineLevel="0" collapsed="false">
      <c r="A1736" s="10" t="n">
        <f aca="false">Einstellungen!$B$5+INT((ROW()-9)/24)</f>
        <v>46037</v>
      </c>
      <c r="B1736" s="11" t="n">
        <f aca="false">MOD(ROW()-9,24)</f>
        <v>23</v>
      </c>
      <c r="C1736" s="12"/>
      <c r="D1736" s="13" t="n">
        <f aca="false">IF(B1736&lt;5,Einstellungen!$B$3,Einstellungen!$B$4)</f>
        <v>29.13</v>
      </c>
      <c r="E1736" s="14" t="str">
        <f aca="false">IF(C1736="","",C1736*D1736/100)</f>
        <v/>
      </c>
      <c r="F1736" s="15" t="str">
        <f aca="false">IF(B1736&lt;5,"Go","Standard")</f>
        <v>Standard</v>
      </c>
    </row>
    <row r="1737" customFormat="false" ht="15" hidden="false" customHeight="true" outlineLevel="0" collapsed="false">
      <c r="A1737" s="10" t="n">
        <f aca="false">Einstellungen!$B$5+INT((ROW()-9)/24)</f>
        <v>46038</v>
      </c>
      <c r="B1737" s="11" t="n">
        <f aca="false">MOD(ROW()-9,24)</f>
        <v>0</v>
      </c>
      <c r="C1737" s="12"/>
      <c r="D1737" s="13" t="n">
        <f aca="false">IF(B1737&lt;5,Einstellungen!$B$3,Einstellungen!$B$4)</f>
        <v>15.92</v>
      </c>
      <c r="E1737" s="14" t="str">
        <f aca="false">IF(C1737="","",C1737*D1737/100)</f>
        <v/>
      </c>
      <c r="F1737" s="15" t="str">
        <f aca="false">IF(B1737&lt;5,"Go","Standard")</f>
        <v>Go</v>
      </c>
    </row>
    <row r="1738" customFormat="false" ht="15" hidden="false" customHeight="true" outlineLevel="0" collapsed="false">
      <c r="A1738" s="10" t="n">
        <f aca="false">Einstellungen!$B$5+INT((ROW()-9)/24)</f>
        <v>46038</v>
      </c>
      <c r="B1738" s="11" t="n">
        <f aca="false">MOD(ROW()-9,24)</f>
        <v>1</v>
      </c>
      <c r="C1738" s="12"/>
      <c r="D1738" s="13" t="n">
        <f aca="false">IF(B1738&lt;5,Einstellungen!$B$3,Einstellungen!$B$4)</f>
        <v>15.92</v>
      </c>
      <c r="E1738" s="14" t="str">
        <f aca="false">IF(C1738="","",C1738*D1738/100)</f>
        <v/>
      </c>
      <c r="F1738" s="15" t="str">
        <f aca="false">IF(B1738&lt;5,"Go","Standard")</f>
        <v>Go</v>
      </c>
    </row>
    <row r="1739" customFormat="false" ht="15" hidden="false" customHeight="true" outlineLevel="0" collapsed="false">
      <c r="A1739" s="10" t="n">
        <f aca="false">Einstellungen!$B$5+INT((ROW()-9)/24)</f>
        <v>46038</v>
      </c>
      <c r="B1739" s="11" t="n">
        <f aca="false">MOD(ROW()-9,24)</f>
        <v>2</v>
      </c>
      <c r="C1739" s="12"/>
      <c r="D1739" s="13" t="n">
        <f aca="false">IF(B1739&lt;5,Einstellungen!$B$3,Einstellungen!$B$4)</f>
        <v>15.92</v>
      </c>
      <c r="E1739" s="14" t="str">
        <f aca="false">IF(C1739="","",C1739*D1739/100)</f>
        <v/>
      </c>
      <c r="F1739" s="15" t="str">
        <f aca="false">IF(B1739&lt;5,"Go","Standard")</f>
        <v>Go</v>
      </c>
    </row>
    <row r="1740" customFormat="false" ht="15" hidden="false" customHeight="true" outlineLevel="0" collapsed="false">
      <c r="A1740" s="10" t="n">
        <f aca="false">Einstellungen!$B$5+INT((ROW()-9)/24)</f>
        <v>46038</v>
      </c>
      <c r="B1740" s="11" t="n">
        <f aca="false">MOD(ROW()-9,24)</f>
        <v>3</v>
      </c>
      <c r="C1740" s="12"/>
      <c r="D1740" s="13" t="n">
        <f aca="false">IF(B1740&lt;5,Einstellungen!$B$3,Einstellungen!$B$4)</f>
        <v>15.92</v>
      </c>
      <c r="E1740" s="14" t="str">
        <f aca="false">IF(C1740="","",C1740*D1740/100)</f>
        <v/>
      </c>
      <c r="F1740" s="15" t="str">
        <f aca="false">IF(B1740&lt;5,"Go","Standard")</f>
        <v>Go</v>
      </c>
    </row>
    <row r="1741" customFormat="false" ht="15" hidden="false" customHeight="true" outlineLevel="0" collapsed="false">
      <c r="A1741" s="10" t="n">
        <f aca="false">Einstellungen!$B$5+INT((ROW()-9)/24)</f>
        <v>46038</v>
      </c>
      <c r="B1741" s="11" t="n">
        <f aca="false">MOD(ROW()-9,24)</f>
        <v>4</v>
      </c>
      <c r="C1741" s="12"/>
      <c r="D1741" s="13" t="n">
        <f aca="false">IF(B1741&lt;5,Einstellungen!$B$3,Einstellungen!$B$4)</f>
        <v>15.92</v>
      </c>
      <c r="E1741" s="14" t="str">
        <f aca="false">IF(C1741="","",C1741*D1741/100)</f>
        <v/>
      </c>
      <c r="F1741" s="15" t="str">
        <f aca="false">IF(B1741&lt;5,"Go","Standard")</f>
        <v>Go</v>
      </c>
    </row>
    <row r="1742" customFormat="false" ht="15" hidden="false" customHeight="true" outlineLevel="0" collapsed="false">
      <c r="A1742" s="10" t="n">
        <f aca="false">Einstellungen!$B$5+INT((ROW()-9)/24)</f>
        <v>46038</v>
      </c>
      <c r="B1742" s="11" t="n">
        <f aca="false">MOD(ROW()-9,24)</f>
        <v>5</v>
      </c>
      <c r="C1742" s="12"/>
      <c r="D1742" s="13" t="n">
        <f aca="false">IF(B1742&lt;5,Einstellungen!$B$3,Einstellungen!$B$4)</f>
        <v>29.13</v>
      </c>
      <c r="E1742" s="14" t="str">
        <f aca="false">IF(C1742="","",C1742*D1742/100)</f>
        <v/>
      </c>
      <c r="F1742" s="15" t="str">
        <f aca="false">IF(B1742&lt;5,"Go","Standard")</f>
        <v>Standard</v>
      </c>
    </row>
    <row r="1743" customFormat="false" ht="15" hidden="false" customHeight="true" outlineLevel="0" collapsed="false">
      <c r="A1743" s="10" t="n">
        <f aca="false">Einstellungen!$B$5+INT((ROW()-9)/24)</f>
        <v>46038</v>
      </c>
      <c r="B1743" s="11" t="n">
        <f aca="false">MOD(ROW()-9,24)</f>
        <v>6</v>
      </c>
      <c r="C1743" s="12"/>
      <c r="D1743" s="13" t="n">
        <f aca="false">IF(B1743&lt;5,Einstellungen!$B$3,Einstellungen!$B$4)</f>
        <v>29.13</v>
      </c>
      <c r="E1743" s="14" t="str">
        <f aca="false">IF(C1743="","",C1743*D1743/100)</f>
        <v/>
      </c>
      <c r="F1743" s="15" t="str">
        <f aca="false">IF(B1743&lt;5,"Go","Standard")</f>
        <v>Standard</v>
      </c>
    </row>
    <row r="1744" customFormat="false" ht="15" hidden="false" customHeight="true" outlineLevel="0" collapsed="false">
      <c r="A1744" s="10" t="n">
        <f aca="false">Einstellungen!$B$5+INT((ROW()-9)/24)</f>
        <v>46038</v>
      </c>
      <c r="B1744" s="11" t="n">
        <f aca="false">MOD(ROW()-9,24)</f>
        <v>7</v>
      </c>
      <c r="C1744" s="12"/>
      <c r="D1744" s="13" t="n">
        <f aca="false">IF(B1744&lt;5,Einstellungen!$B$3,Einstellungen!$B$4)</f>
        <v>29.13</v>
      </c>
      <c r="E1744" s="14" t="str">
        <f aca="false">IF(C1744="","",C1744*D1744/100)</f>
        <v/>
      </c>
      <c r="F1744" s="15" t="str">
        <f aca="false">IF(B1744&lt;5,"Go","Standard")</f>
        <v>Standard</v>
      </c>
    </row>
    <row r="1745" customFormat="false" ht="15" hidden="false" customHeight="true" outlineLevel="0" collapsed="false">
      <c r="A1745" s="10" t="n">
        <f aca="false">Einstellungen!$B$5+INT((ROW()-9)/24)</f>
        <v>46038</v>
      </c>
      <c r="B1745" s="11" t="n">
        <f aca="false">MOD(ROW()-9,24)</f>
        <v>8</v>
      </c>
      <c r="C1745" s="12"/>
      <c r="D1745" s="13" t="n">
        <f aca="false">IF(B1745&lt;5,Einstellungen!$B$3,Einstellungen!$B$4)</f>
        <v>29.13</v>
      </c>
      <c r="E1745" s="14" t="str">
        <f aca="false">IF(C1745="","",C1745*D1745/100)</f>
        <v/>
      </c>
      <c r="F1745" s="15" t="str">
        <f aca="false">IF(B1745&lt;5,"Go","Standard")</f>
        <v>Standard</v>
      </c>
    </row>
    <row r="1746" customFormat="false" ht="15" hidden="false" customHeight="true" outlineLevel="0" collapsed="false">
      <c r="A1746" s="10" t="n">
        <f aca="false">Einstellungen!$B$5+INT((ROW()-9)/24)</f>
        <v>46038</v>
      </c>
      <c r="B1746" s="11" t="n">
        <f aca="false">MOD(ROW()-9,24)</f>
        <v>9</v>
      </c>
      <c r="C1746" s="12"/>
      <c r="D1746" s="13" t="n">
        <f aca="false">IF(B1746&lt;5,Einstellungen!$B$3,Einstellungen!$B$4)</f>
        <v>29.13</v>
      </c>
      <c r="E1746" s="14" t="str">
        <f aca="false">IF(C1746="","",C1746*D1746/100)</f>
        <v/>
      </c>
      <c r="F1746" s="15" t="str">
        <f aca="false">IF(B1746&lt;5,"Go","Standard")</f>
        <v>Standard</v>
      </c>
    </row>
    <row r="1747" customFormat="false" ht="15" hidden="false" customHeight="true" outlineLevel="0" collapsed="false">
      <c r="A1747" s="10" t="n">
        <f aca="false">Einstellungen!$B$5+INT((ROW()-9)/24)</f>
        <v>46038</v>
      </c>
      <c r="B1747" s="11" t="n">
        <f aca="false">MOD(ROW()-9,24)</f>
        <v>10</v>
      </c>
      <c r="C1747" s="12"/>
      <c r="D1747" s="13" t="n">
        <f aca="false">IF(B1747&lt;5,Einstellungen!$B$3,Einstellungen!$B$4)</f>
        <v>29.13</v>
      </c>
      <c r="E1747" s="14" t="str">
        <f aca="false">IF(C1747="","",C1747*D1747/100)</f>
        <v/>
      </c>
      <c r="F1747" s="15" t="str">
        <f aca="false">IF(B1747&lt;5,"Go","Standard")</f>
        <v>Standard</v>
      </c>
    </row>
    <row r="1748" customFormat="false" ht="15" hidden="false" customHeight="true" outlineLevel="0" collapsed="false">
      <c r="A1748" s="10" t="n">
        <f aca="false">Einstellungen!$B$5+INT((ROW()-9)/24)</f>
        <v>46038</v>
      </c>
      <c r="B1748" s="11" t="n">
        <f aca="false">MOD(ROW()-9,24)</f>
        <v>11</v>
      </c>
      <c r="C1748" s="12"/>
      <c r="D1748" s="13" t="n">
        <f aca="false">IF(B1748&lt;5,Einstellungen!$B$3,Einstellungen!$B$4)</f>
        <v>29.13</v>
      </c>
      <c r="E1748" s="14" t="str">
        <f aca="false">IF(C1748="","",C1748*D1748/100)</f>
        <v/>
      </c>
      <c r="F1748" s="15" t="str">
        <f aca="false">IF(B1748&lt;5,"Go","Standard")</f>
        <v>Standard</v>
      </c>
    </row>
    <row r="1749" customFormat="false" ht="15" hidden="false" customHeight="true" outlineLevel="0" collapsed="false">
      <c r="A1749" s="10" t="n">
        <f aca="false">Einstellungen!$B$5+INT((ROW()-9)/24)</f>
        <v>46038</v>
      </c>
      <c r="B1749" s="11" t="n">
        <f aca="false">MOD(ROW()-9,24)</f>
        <v>12</v>
      </c>
      <c r="C1749" s="12"/>
      <c r="D1749" s="13" t="n">
        <f aca="false">IF(B1749&lt;5,Einstellungen!$B$3,Einstellungen!$B$4)</f>
        <v>29.13</v>
      </c>
      <c r="E1749" s="14" t="str">
        <f aca="false">IF(C1749="","",C1749*D1749/100)</f>
        <v/>
      </c>
      <c r="F1749" s="15" t="str">
        <f aca="false">IF(B1749&lt;5,"Go","Standard")</f>
        <v>Standard</v>
      </c>
    </row>
    <row r="1750" customFormat="false" ht="15" hidden="false" customHeight="true" outlineLevel="0" collapsed="false">
      <c r="A1750" s="10" t="n">
        <f aca="false">Einstellungen!$B$5+INT((ROW()-9)/24)</f>
        <v>46038</v>
      </c>
      <c r="B1750" s="11" t="n">
        <f aca="false">MOD(ROW()-9,24)</f>
        <v>13</v>
      </c>
      <c r="C1750" s="12"/>
      <c r="D1750" s="13" t="n">
        <f aca="false">IF(B1750&lt;5,Einstellungen!$B$3,Einstellungen!$B$4)</f>
        <v>29.13</v>
      </c>
      <c r="E1750" s="14" t="str">
        <f aca="false">IF(C1750="","",C1750*D1750/100)</f>
        <v/>
      </c>
      <c r="F1750" s="15" t="str">
        <f aca="false">IF(B1750&lt;5,"Go","Standard")</f>
        <v>Standard</v>
      </c>
    </row>
    <row r="1751" customFormat="false" ht="15" hidden="false" customHeight="true" outlineLevel="0" collapsed="false">
      <c r="A1751" s="10" t="n">
        <f aca="false">Einstellungen!$B$5+INT((ROW()-9)/24)</f>
        <v>46038</v>
      </c>
      <c r="B1751" s="11" t="n">
        <f aca="false">MOD(ROW()-9,24)</f>
        <v>14</v>
      </c>
      <c r="C1751" s="12"/>
      <c r="D1751" s="13" t="n">
        <f aca="false">IF(B1751&lt;5,Einstellungen!$B$3,Einstellungen!$B$4)</f>
        <v>29.13</v>
      </c>
      <c r="E1751" s="14" t="str">
        <f aca="false">IF(C1751="","",C1751*D1751/100)</f>
        <v/>
      </c>
      <c r="F1751" s="15" t="str">
        <f aca="false">IF(B1751&lt;5,"Go","Standard")</f>
        <v>Standard</v>
      </c>
    </row>
    <row r="1752" customFormat="false" ht="15" hidden="false" customHeight="true" outlineLevel="0" collapsed="false">
      <c r="A1752" s="10" t="n">
        <f aca="false">Einstellungen!$B$5+INT((ROW()-9)/24)</f>
        <v>46038</v>
      </c>
      <c r="B1752" s="11" t="n">
        <f aca="false">MOD(ROW()-9,24)</f>
        <v>15</v>
      </c>
      <c r="C1752" s="12"/>
      <c r="D1752" s="13" t="n">
        <f aca="false">IF(B1752&lt;5,Einstellungen!$B$3,Einstellungen!$B$4)</f>
        <v>29.13</v>
      </c>
      <c r="E1752" s="14" t="str">
        <f aca="false">IF(C1752="","",C1752*D1752/100)</f>
        <v/>
      </c>
      <c r="F1752" s="15" t="str">
        <f aca="false">IF(B1752&lt;5,"Go","Standard")</f>
        <v>Standard</v>
      </c>
    </row>
    <row r="1753" customFormat="false" ht="15" hidden="false" customHeight="true" outlineLevel="0" collapsed="false">
      <c r="A1753" s="10" t="n">
        <f aca="false">Einstellungen!$B$5+INT((ROW()-9)/24)</f>
        <v>46038</v>
      </c>
      <c r="B1753" s="11" t="n">
        <f aca="false">MOD(ROW()-9,24)</f>
        <v>16</v>
      </c>
      <c r="C1753" s="12"/>
      <c r="D1753" s="13" t="n">
        <f aca="false">IF(B1753&lt;5,Einstellungen!$B$3,Einstellungen!$B$4)</f>
        <v>29.13</v>
      </c>
      <c r="E1753" s="14" t="str">
        <f aca="false">IF(C1753="","",C1753*D1753/100)</f>
        <v/>
      </c>
      <c r="F1753" s="15" t="str">
        <f aca="false">IF(B1753&lt;5,"Go","Standard")</f>
        <v>Standard</v>
      </c>
    </row>
    <row r="1754" customFormat="false" ht="15" hidden="false" customHeight="true" outlineLevel="0" collapsed="false">
      <c r="A1754" s="10" t="n">
        <f aca="false">Einstellungen!$B$5+INT((ROW()-9)/24)</f>
        <v>46038</v>
      </c>
      <c r="B1754" s="11" t="n">
        <f aca="false">MOD(ROW()-9,24)</f>
        <v>17</v>
      </c>
      <c r="C1754" s="12"/>
      <c r="D1754" s="13" t="n">
        <f aca="false">IF(B1754&lt;5,Einstellungen!$B$3,Einstellungen!$B$4)</f>
        <v>29.13</v>
      </c>
      <c r="E1754" s="14" t="str">
        <f aca="false">IF(C1754="","",C1754*D1754/100)</f>
        <v/>
      </c>
      <c r="F1754" s="15" t="str">
        <f aca="false">IF(B1754&lt;5,"Go","Standard")</f>
        <v>Standard</v>
      </c>
    </row>
    <row r="1755" customFormat="false" ht="15" hidden="false" customHeight="true" outlineLevel="0" collapsed="false">
      <c r="A1755" s="10" t="n">
        <f aca="false">Einstellungen!$B$5+INT((ROW()-9)/24)</f>
        <v>46038</v>
      </c>
      <c r="B1755" s="11" t="n">
        <f aca="false">MOD(ROW()-9,24)</f>
        <v>18</v>
      </c>
      <c r="C1755" s="12"/>
      <c r="D1755" s="13" t="n">
        <f aca="false">IF(B1755&lt;5,Einstellungen!$B$3,Einstellungen!$B$4)</f>
        <v>29.13</v>
      </c>
      <c r="E1755" s="14" t="str">
        <f aca="false">IF(C1755="","",C1755*D1755/100)</f>
        <v/>
      </c>
      <c r="F1755" s="15" t="str">
        <f aca="false">IF(B1755&lt;5,"Go","Standard")</f>
        <v>Standard</v>
      </c>
    </row>
    <row r="1756" customFormat="false" ht="15" hidden="false" customHeight="true" outlineLevel="0" collapsed="false">
      <c r="A1756" s="10" t="n">
        <f aca="false">Einstellungen!$B$5+INT((ROW()-9)/24)</f>
        <v>46038</v>
      </c>
      <c r="B1756" s="11" t="n">
        <f aca="false">MOD(ROW()-9,24)</f>
        <v>19</v>
      </c>
      <c r="C1756" s="12"/>
      <c r="D1756" s="13" t="n">
        <f aca="false">IF(B1756&lt;5,Einstellungen!$B$3,Einstellungen!$B$4)</f>
        <v>29.13</v>
      </c>
      <c r="E1756" s="14" t="str">
        <f aca="false">IF(C1756="","",C1756*D1756/100)</f>
        <v/>
      </c>
      <c r="F1756" s="15" t="str">
        <f aca="false">IF(B1756&lt;5,"Go","Standard")</f>
        <v>Standard</v>
      </c>
    </row>
    <row r="1757" customFormat="false" ht="15" hidden="false" customHeight="true" outlineLevel="0" collapsed="false">
      <c r="A1757" s="10" t="n">
        <f aca="false">Einstellungen!$B$5+INT((ROW()-9)/24)</f>
        <v>46038</v>
      </c>
      <c r="B1757" s="11" t="n">
        <f aca="false">MOD(ROW()-9,24)</f>
        <v>20</v>
      </c>
      <c r="C1757" s="12"/>
      <c r="D1757" s="13" t="n">
        <f aca="false">IF(B1757&lt;5,Einstellungen!$B$3,Einstellungen!$B$4)</f>
        <v>29.13</v>
      </c>
      <c r="E1757" s="14" t="str">
        <f aca="false">IF(C1757="","",C1757*D1757/100)</f>
        <v/>
      </c>
      <c r="F1757" s="15" t="str">
        <f aca="false">IF(B1757&lt;5,"Go","Standard")</f>
        <v>Standard</v>
      </c>
    </row>
    <row r="1758" customFormat="false" ht="15" hidden="false" customHeight="true" outlineLevel="0" collapsed="false">
      <c r="A1758" s="10" t="n">
        <f aca="false">Einstellungen!$B$5+INT((ROW()-9)/24)</f>
        <v>46038</v>
      </c>
      <c r="B1758" s="11" t="n">
        <f aca="false">MOD(ROW()-9,24)</f>
        <v>21</v>
      </c>
      <c r="C1758" s="12"/>
      <c r="D1758" s="13" t="n">
        <f aca="false">IF(B1758&lt;5,Einstellungen!$B$3,Einstellungen!$B$4)</f>
        <v>29.13</v>
      </c>
      <c r="E1758" s="14" t="str">
        <f aca="false">IF(C1758="","",C1758*D1758/100)</f>
        <v/>
      </c>
      <c r="F1758" s="15" t="str">
        <f aca="false">IF(B1758&lt;5,"Go","Standard")</f>
        <v>Standard</v>
      </c>
    </row>
    <row r="1759" customFormat="false" ht="15" hidden="false" customHeight="true" outlineLevel="0" collapsed="false">
      <c r="A1759" s="10" t="n">
        <f aca="false">Einstellungen!$B$5+INT((ROW()-9)/24)</f>
        <v>46038</v>
      </c>
      <c r="B1759" s="11" t="n">
        <f aca="false">MOD(ROW()-9,24)</f>
        <v>22</v>
      </c>
      <c r="C1759" s="12"/>
      <c r="D1759" s="13" t="n">
        <f aca="false">IF(B1759&lt;5,Einstellungen!$B$3,Einstellungen!$B$4)</f>
        <v>29.13</v>
      </c>
      <c r="E1759" s="14" t="str">
        <f aca="false">IF(C1759="","",C1759*D1759/100)</f>
        <v/>
      </c>
      <c r="F1759" s="15" t="str">
        <f aca="false">IF(B1759&lt;5,"Go","Standard")</f>
        <v>Standard</v>
      </c>
    </row>
    <row r="1760" customFormat="false" ht="15" hidden="false" customHeight="true" outlineLevel="0" collapsed="false">
      <c r="A1760" s="10" t="n">
        <f aca="false">Einstellungen!$B$5+INT((ROW()-9)/24)</f>
        <v>46038</v>
      </c>
      <c r="B1760" s="11" t="n">
        <f aca="false">MOD(ROW()-9,24)</f>
        <v>23</v>
      </c>
      <c r="C1760" s="12"/>
      <c r="D1760" s="13" t="n">
        <f aca="false">IF(B1760&lt;5,Einstellungen!$B$3,Einstellungen!$B$4)</f>
        <v>29.13</v>
      </c>
      <c r="E1760" s="14" t="str">
        <f aca="false">IF(C1760="","",C1760*D1760/100)</f>
        <v/>
      </c>
      <c r="F1760" s="15" t="str">
        <f aca="false">IF(B1760&lt;5,"Go","Standard")</f>
        <v>Standard</v>
      </c>
    </row>
    <row r="1761" customFormat="false" ht="15" hidden="false" customHeight="true" outlineLevel="0" collapsed="false">
      <c r="A1761" s="10" t="n">
        <f aca="false">Einstellungen!$B$5+INT((ROW()-9)/24)</f>
        <v>46039</v>
      </c>
      <c r="B1761" s="11" t="n">
        <f aca="false">MOD(ROW()-9,24)</f>
        <v>0</v>
      </c>
      <c r="C1761" s="12"/>
      <c r="D1761" s="13" t="n">
        <f aca="false">IF(B1761&lt;5,Einstellungen!$B$3,Einstellungen!$B$4)</f>
        <v>15.92</v>
      </c>
      <c r="E1761" s="14" t="str">
        <f aca="false">IF(C1761="","",C1761*D1761/100)</f>
        <v/>
      </c>
      <c r="F1761" s="15" t="str">
        <f aca="false">IF(B1761&lt;5,"Go","Standard")</f>
        <v>Go</v>
      </c>
    </row>
    <row r="1762" customFormat="false" ht="15" hidden="false" customHeight="true" outlineLevel="0" collapsed="false">
      <c r="A1762" s="10" t="n">
        <f aca="false">Einstellungen!$B$5+INT((ROW()-9)/24)</f>
        <v>46039</v>
      </c>
      <c r="B1762" s="11" t="n">
        <f aca="false">MOD(ROW()-9,24)</f>
        <v>1</v>
      </c>
      <c r="C1762" s="12"/>
      <c r="D1762" s="13" t="n">
        <f aca="false">IF(B1762&lt;5,Einstellungen!$B$3,Einstellungen!$B$4)</f>
        <v>15.92</v>
      </c>
      <c r="E1762" s="14" t="str">
        <f aca="false">IF(C1762="","",C1762*D1762/100)</f>
        <v/>
      </c>
      <c r="F1762" s="15" t="str">
        <f aca="false">IF(B1762&lt;5,"Go","Standard")</f>
        <v>Go</v>
      </c>
    </row>
    <row r="1763" customFormat="false" ht="15" hidden="false" customHeight="true" outlineLevel="0" collapsed="false">
      <c r="A1763" s="10" t="n">
        <f aca="false">Einstellungen!$B$5+INT((ROW()-9)/24)</f>
        <v>46039</v>
      </c>
      <c r="B1763" s="11" t="n">
        <f aca="false">MOD(ROW()-9,24)</f>
        <v>2</v>
      </c>
      <c r="C1763" s="12"/>
      <c r="D1763" s="13" t="n">
        <f aca="false">IF(B1763&lt;5,Einstellungen!$B$3,Einstellungen!$B$4)</f>
        <v>15.92</v>
      </c>
      <c r="E1763" s="14" t="str">
        <f aca="false">IF(C1763="","",C1763*D1763/100)</f>
        <v/>
      </c>
      <c r="F1763" s="15" t="str">
        <f aca="false">IF(B1763&lt;5,"Go","Standard")</f>
        <v>Go</v>
      </c>
    </row>
    <row r="1764" customFormat="false" ht="15" hidden="false" customHeight="true" outlineLevel="0" collapsed="false">
      <c r="A1764" s="10" t="n">
        <f aca="false">Einstellungen!$B$5+INT((ROW()-9)/24)</f>
        <v>46039</v>
      </c>
      <c r="B1764" s="11" t="n">
        <f aca="false">MOD(ROW()-9,24)</f>
        <v>3</v>
      </c>
      <c r="C1764" s="12"/>
      <c r="D1764" s="13" t="n">
        <f aca="false">IF(B1764&lt;5,Einstellungen!$B$3,Einstellungen!$B$4)</f>
        <v>15.92</v>
      </c>
      <c r="E1764" s="14" t="str">
        <f aca="false">IF(C1764="","",C1764*D1764/100)</f>
        <v/>
      </c>
      <c r="F1764" s="15" t="str">
        <f aca="false">IF(B1764&lt;5,"Go","Standard")</f>
        <v>Go</v>
      </c>
    </row>
    <row r="1765" customFormat="false" ht="15" hidden="false" customHeight="true" outlineLevel="0" collapsed="false">
      <c r="A1765" s="10" t="n">
        <f aca="false">Einstellungen!$B$5+INT((ROW()-9)/24)</f>
        <v>46039</v>
      </c>
      <c r="B1765" s="11" t="n">
        <f aca="false">MOD(ROW()-9,24)</f>
        <v>4</v>
      </c>
      <c r="C1765" s="12"/>
      <c r="D1765" s="13" t="n">
        <f aca="false">IF(B1765&lt;5,Einstellungen!$B$3,Einstellungen!$B$4)</f>
        <v>15.92</v>
      </c>
      <c r="E1765" s="14" t="str">
        <f aca="false">IF(C1765="","",C1765*D1765/100)</f>
        <v/>
      </c>
      <c r="F1765" s="15" t="str">
        <f aca="false">IF(B1765&lt;5,"Go","Standard")</f>
        <v>Go</v>
      </c>
    </row>
    <row r="1766" customFormat="false" ht="15" hidden="false" customHeight="true" outlineLevel="0" collapsed="false">
      <c r="A1766" s="10" t="n">
        <f aca="false">Einstellungen!$B$5+INT((ROW()-9)/24)</f>
        <v>46039</v>
      </c>
      <c r="B1766" s="11" t="n">
        <f aca="false">MOD(ROW()-9,24)</f>
        <v>5</v>
      </c>
      <c r="C1766" s="12"/>
      <c r="D1766" s="13" t="n">
        <f aca="false">IF(B1766&lt;5,Einstellungen!$B$3,Einstellungen!$B$4)</f>
        <v>29.13</v>
      </c>
      <c r="E1766" s="14" t="str">
        <f aca="false">IF(C1766="","",C1766*D1766/100)</f>
        <v/>
      </c>
      <c r="F1766" s="15" t="str">
        <f aca="false">IF(B1766&lt;5,"Go","Standard")</f>
        <v>Standard</v>
      </c>
    </row>
    <row r="1767" customFormat="false" ht="15" hidden="false" customHeight="true" outlineLevel="0" collapsed="false">
      <c r="A1767" s="10" t="n">
        <f aca="false">Einstellungen!$B$5+INT((ROW()-9)/24)</f>
        <v>46039</v>
      </c>
      <c r="B1767" s="11" t="n">
        <f aca="false">MOD(ROW()-9,24)</f>
        <v>6</v>
      </c>
      <c r="C1767" s="12"/>
      <c r="D1767" s="13" t="n">
        <f aca="false">IF(B1767&lt;5,Einstellungen!$B$3,Einstellungen!$B$4)</f>
        <v>29.13</v>
      </c>
      <c r="E1767" s="14" t="str">
        <f aca="false">IF(C1767="","",C1767*D1767/100)</f>
        <v/>
      </c>
      <c r="F1767" s="15" t="str">
        <f aca="false">IF(B1767&lt;5,"Go","Standard")</f>
        <v>Standard</v>
      </c>
    </row>
    <row r="1768" customFormat="false" ht="15" hidden="false" customHeight="true" outlineLevel="0" collapsed="false">
      <c r="A1768" s="10" t="n">
        <f aca="false">Einstellungen!$B$5+INT((ROW()-9)/24)</f>
        <v>46039</v>
      </c>
      <c r="B1768" s="11" t="n">
        <f aca="false">MOD(ROW()-9,24)</f>
        <v>7</v>
      </c>
      <c r="C1768" s="12"/>
      <c r="D1768" s="13" t="n">
        <f aca="false">IF(B1768&lt;5,Einstellungen!$B$3,Einstellungen!$B$4)</f>
        <v>29.13</v>
      </c>
      <c r="E1768" s="14" t="str">
        <f aca="false">IF(C1768="","",C1768*D1768/100)</f>
        <v/>
      </c>
      <c r="F1768" s="15" t="str">
        <f aca="false">IF(B1768&lt;5,"Go","Standard")</f>
        <v>Standard</v>
      </c>
    </row>
    <row r="1769" customFormat="false" ht="15" hidden="false" customHeight="true" outlineLevel="0" collapsed="false">
      <c r="A1769" s="10" t="n">
        <f aca="false">Einstellungen!$B$5+INT((ROW()-9)/24)</f>
        <v>46039</v>
      </c>
      <c r="B1769" s="11" t="n">
        <f aca="false">MOD(ROW()-9,24)</f>
        <v>8</v>
      </c>
      <c r="C1769" s="12"/>
      <c r="D1769" s="13" t="n">
        <f aca="false">IF(B1769&lt;5,Einstellungen!$B$3,Einstellungen!$B$4)</f>
        <v>29.13</v>
      </c>
      <c r="E1769" s="14" t="str">
        <f aca="false">IF(C1769="","",C1769*D1769/100)</f>
        <v/>
      </c>
      <c r="F1769" s="15" t="str">
        <f aca="false">IF(B1769&lt;5,"Go","Standard")</f>
        <v>Standard</v>
      </c>
    </row>
    <row r="1770" customFormat="false" ht="15" hidden="false" customHeight="true" outlineLevel="0" collapsed="false">
      <c r="A1770" s="10" t="n">
        <f aca="false">Einstellungen!$B$5+INT((ROW()-9)/24)</f>
        <v>46039</v>
      </c>
      <c r="B1770" s="11" t="n">
        <f aca="false">MOD(ROW()-9,24)</f>
        <v>9</v>
      </c>
      <c r="C1770" s="12"/>
      <c r="D1770" s="13" t="n">
        <f aca="false">IF(B1770&lt;5,Einstellungen!$B$3,Einstellungen!$B$4)</f>
        <v>29.13</v>
      </c>
      <c r="E1770" s="14" t="str">
        <f aca="false">IF(C1770="","",C1770*D1770/100)</f>
        <v/>
      </c>
      <c r="F1770" s="15" t="str">
        <f aca="false">IF(B1770&lt;5,"Go","Standard")</f>
        <v>Standard</v>
      </c>
    </row>
    <row r="1771" customFormat="false" ht="15" hidden="false" customHeight="true" outlineLevel="0" collapsed="false">
      <c r="A1771" s="10" t="n">
        <f aca="false">Einstellungen!$B$5+INT((ROW()-9)/24)</f>
        <v>46039</v>
      </c>
      <c r="B1771" s="11" t="n">
        <f aca="false">MOD(ROW()-9,24)</f>
        <v>10</v>
      </c>
      <c r="C1771" s="12"/>
      <c r="D1771" s="13" t="n">
        <f aca="false">IF(B1771&lt;5,Einstellungen!$B$3,Einstellungen!$B$4)</f>
        <v>29.13</v>
      </c>
      <c r="E1771" s="14" t="str">
        <f aca="false">IF(C1771="","",C1771*D1771/100)</f>
        <v/>
      </c>
      <c r="F1771" s="15" t="str">
        <f aca="false">IF(B1771&lt;5,"Go","Standard")</f>
        <v>Standard</v>
      </c>
    </row>
    <row r="1772" customFormat="false" ht="15" hidden="false" customHeight="true" outlineLevel="0" collapsed="false">
      <c r="A1772" s="10" t="n">
        <f aca="false">Einstellungen!$B$5+INT((ROW()-9)/24)</f>
        <v>46039</v>
      </c>
      <c r="B1772" s="11" t="n">
        <f aca="false">MOD(ROW()-9,24)</f>
        <v>11</v>
      </c>
      <c r="C1772" s="12"/>
      <c r="D1772" s="13" t="n">
        <f aca="false">IF(B1772&lt;5,Einstellungen!$B$3,Einstellungen!$B$4)</f>
        <v>29.13</v>
      </c>
      <c r="E1772" s="14" t="str">
        <f aca="false">IF(C1772="","",C1772*D1772/100)</f>
        <v/>
      </c>
      <c r="F1772" s="15" t="str">
        <f aca="false">IF(B1772&lt;5,"Go","Standard")</f>
        <v>Standard</v>
      </c>
    </row>
    <row r="1773" customFormat="false" ht="15" hidden="false" customHeight="true" outlineLevel="0" collapsed="false">
      <c r="A1773" s="10" t="n">
        <f aca="false">Einstellungen!$B$5+INT((ROW()-9)/24)</f>
        <v>46039</v>
      </c>
      <c r="B1773" s="11" t="n">
        <f aca="false">MOD(ROW()-9,24)</f>
        <v>12</v>
      </c>
      <c r="C1773" s="12"/>
      <c r="D1773" s="13" t="n">
        <f aca="false">IF(B1773&lt;5,Einstellungen!$B$3,Einstellungen!$B$4)</f>
        <v>29.13</v>
      </c>
      <c r="E1773" s="14" t="str">
        <f aca="false">IF(C1773="","",C1773*D1773/100)</f>
        <v/>
      </c>
      <c r="F1773" s="15" t="str">
        <f aca="false">IF(B1773&lt;5,"Go","Standard")</f>
        <v>Standard</v>
      </c>
    </row>
    <row r="1774" customFormat="false" ht="15" hidden="false" customHeight="true" outlineLevel="0" collapsed="false">
      <c r="A1774" s="10" t="n">
        <f aca="false">Einstellungen!$B$5+INT((ROW()-9)/24)</f>
        <v>46039</v>
      </c>
      <c r="B1774" s="11" t="n">
        <f aca="false">MOD(ROW()-9,24)</f>
        <v>13</v>
      </c>
      <c r="C1774" s="12"/>
      <c r="D1774" s="13" t="n">
        <f aca="false">IF(B1774&lt;5,Einstellungen!$B$3,Einstellungen!$B$4)</f>
        <v>29.13</v>
      </c>
      <c r="E1774" s="14" t="str">
        <f aca="false">IF(C1774="","",C1774*D1774/100)</f>
        <v/>
      </c>
      <c r="F1774" s="15" t="str">
        <f aca="false">IF(B1774&lt;5,"Go","Standard")</f>
        <v>Standard</v>
      </c>
    </row>
    <row r="1775" customFormat="false" ht="15" hidden="false" customHeight="true" outlineLevel="0" collapsed="false">
      <c r="A1775" s="10" t="n">
        <f aca="false">Einstellungen!$B$5+INT((ROW()-9)/24)</f>
        <v>46039</v>
      </c>
      <c r="B1775" s="11" t="n">
        <f aca="false">MOD(ROW()-9,24)</f>
        <v>14</v>
      </c>
      <c r="C1775" s="12"/>
      <c r="D1775" s="13" t="n">
        <f aca="false">IF(B1775&lt;5,Einstellungen!$B$3,Einstellungen!$B$4)</f>
        <v>29.13</v>
      </c>
      <c r="E1775" s="14" t="str">
        <f aca="false">IF(C1775="","",C1775*D1775/100)</f>
        <v/>
      </c>
      <c r="F1775" s="15" t="str">
        <f aca="false">IF(B1775&lt;5,"Go","Standard")</f>
        <v>Standard</v>
      </c>
    </row>
    <row r="1776" customFormat="false" ht="15" hidden="false" customHeight="true" outlineLevel="0" collapsed="false">
      <c r="A1776" s="10" t="n">
        <f aca="false">Einstellungen!$B$5+INT((ROW()-9)/24)</f>
        <v>46039</v>
      </c>
      <c r="B1776" s="11" t="n">
        <f aca="false">MOD(ROW()-9,24)</f>
        <v>15</v>
      </c>
      <c r="C1776" s="12"/>
      <c r="D1776" s="13" t="n">
        <f aca="false">IF(B1776&lt;5,Einstellungen!$B$3,Einstellungen!$B$4)</f>
        <v>29.13</v>
      </c>
      <c r="E1776" s="14" t="str">
        <f aca="false">IF(C1776="","",C1776*D1776/100)</f>
        <v/>
      </c>
      <c r="F1776" s="15" t="str">
        <f aca="false">IF(B1776&lt;5,"Go","Standard")</f>
        <v>Standard</v>
      </c>
    </row>
    <row r="1777" customFormat="false" ht="15" hidden="false" customHeight="true" outlineLevel="0" collapsed="false">
      <c r="A1777" s="10" t="n">
        <f aca="false">Einstellungen!$B$5+INT((ROW()-9)/24)</f>
        <v>46039</v>
      </c>
      <c r="B1777" s="11" t="n">
        <f aca="false">MOD(ROW()-9,24)</f>
        <v>16</v>
      </c>
      <c r="C1777" s="12"/>
      <c r="D1777" s="13" t="n">
        <f aca="false">IF(B1777&lt;5,Einstellungen!$B$3,Einstellungen!$B$4)</f>
        <v>29.13</v>
      </c>
      <c r="E1777" s="14" t="str">
        <f aca="false">IF(C1777="","",C1777*D1777/100)</f>
        <v/>
      </c>
      <c r="F1777" s="15" t="str">
        <f aca="false">IF(B1777&lt;5,"Go","Standard")</f>
        <v>Standard</v>
      </c>
    </row>
    <row r="1778" customFormat="false" ht="15" hidden="false" customHeight="true" outlineLevel="0" collapsed="false">
      <c r="A1778" s="10" t="n">
        <f aca="false">Einstellungen!$B$5+INT((ROW()-9)/24)</f>
        <v>46039</v>
      </c>
      <c r="B1778" s="11" t="n">
        <f aca="false">MOD(ROW()-9,24)</f>
        <v>17</v>
      </c>
      <c r="C1778" s="12"/>
      <c r="D1778" s="13" t="n">
        <f aca="false">IF(B1778&lt;5,Einstellungen!$B$3,Einstellungen!$B$4)</f>
        <v>29.13</v>
      </c>
      <c r="E1778" s="14" t="str">
        <f aca="false">IF(C1778="","",C1778*D1778/100)</f>
        <v/>
      </c>
      <c r="F1778" s="15" t="str">
        <f aca="false">IF(B1778&lt;5,"Go","Standard")</f>
        <v>Standard</v>
      </c>
    </row>
    <row r="1779" customFormat="false" ht="15" hidden="false" customHeight="true" outlineLevel="0" collapsed="false">
      <c r="A1779" s="10" t="n">
        <f aca="false">Einstellungen!$B$5+INT((ROW()-9)/24)</f>
        <v>46039</v>
      </c>
      <c r="B1779" s="11" t="n">
        <f aca="false">MOD(ROW()-9,24)</f>
        <v>18</v>
      </c>
      <c r="C1779" s="12"/>
      <c r="D1779" s="13" t="n">
        <f aca="false">IF(B1779&lt;5,Einstellungen!$B$3,Einstellungen!$B$4)</f>
        <v>29.13</v>
      </c>
      <c r="E1779" s="14" t="str">
        <f aca="false">IF(C1779="","",C1779*D1779/100)</f>
        <v/>
      </c>
      <c r="F1779" s="15" t="str">
        <f aca="false">IF(B1779&lt;5,"Go","Standard")</f>
        <v>Standard</v>
      </c>
    </row>
    <row r="1780" customFormat="false" ht="15" hidden="false" customHeight="true" outlineLevel="0" collapsed="false">
      <c r="A1780" s="10" t="n">
        <f aca="false">Einstellungen!$B$5+INT((ROW()-9)/24)</f>
        <v>46039</v>
      </c>
      <c r="B1780" s="11" t="n">
        <f aca="false">MOD(ROW()-9,24)</f>
        <v>19</v>
      </c>
      <c r="C1780" s="12"/>
      <c r="D1780" s="13" t="n">
        <f aca="false">IF(B1780&lt;5,Einstellungen!$B$3,Einstellungen!$B$4)</f>
        <v>29.13</v>
      </c>
      <c r="E1780" s="14" t="str">
        <f aca="false">IF(C1780="","",C1780*D1780/100)</f>
        <v/>
      </c>
      <c r="F1780" s="15" t="str">
        <f aca="false">IF(B1780&lt;5,"Go","Standard")</f>
        <v>Standard</v>
      </c>
    </row>
    <row r="1781" customFormat="false" ht="15" hidden="false" customHeight="true" outlineLevel="0" collapsed="false">
      <c r="A1781" s="10" t="n">
        <f aca="false">Einstellungen!$B$5+INT((ROW()-9)/24)</f>
        <v>46039</v>
      </c>
      <c r="B1781" s="11" t="n">
        <f aca="false">MOD(ROW()-9,24)</f>
        <v>20</v>
      </c>
      <c r="C1781" s="12"/>
      <c r="D1781" s="13" t="n">
        <f aca="false">IF(B1781&lt;5,Einstellungen!$B$3,Einstellungen!$B$4)</f>
        <v>29.13</v>
      </c>
      <c r="E1781" s="14" t="str">
        <f aca="false">IF(C1781="","",C1781*D1781/100)</f>
        <v/>
      </c>
      <c r="F1781" s="15" t="str">
        <f aca="false">IF(B1781&lt;5,"Go","Standard")</f>
        <v>Standard</v>
      </c>
    </row>
    <row r="1782" customFormat="false" ht="15" hidden="false" customHeight="true" outlineLevel="0" collapsed="false">
      <c r="A1782" s="10" t="n">
        <f aca="false">Einstellungen!$B$5+INT((ROW()-9)/24)</f>
        <v>46039</v>
      </c>
      <c r="B1782" s="11" t="n">
        <f aca="false">MOD(ROW()-9,24)</f>
        <v>21</v>
      </c>
      <c r="C1782" s="12"/>
      <c r="D1782" s="13" t="n">
        <f aca="false">IF(B1782&lt;5,Einstellungen!$B$3,Einstellungen!$B$4)</f>
        <v>29.13</v>
      </c>
      <c r="E1782" s="14" t="str">
        <f aca="false">IF(C1782="","",C1782*D1782/100)</f>
        <v/>
      </c>
      <c r="F1782" s="15" t="str">
        <f aca="false">IF(B1782&lt;5,"Go","Standard")</f>
        <v>Standard</v>
      </c>
    </row>
    <row r="1783" customFormat="false" ht="15" hidden="false" customHeight="true" outlineLevel="0" collapsed="false">
      <c r="A1783" s="10" t="n">
        <f aca="false">Einstellungen!$B$5+INT((ROW()-9)/24)</f>
        <v>46039</v>
      </c>
      <c r="B1783" s="11" t="n">
        <f aca="false">MOD(ROW()-9,24)</f>
        <v>22</v>
      </c>
      <c r="C1783" s="12"/>
      <c r="D1783" s="13" t="n">
        <f aca="false">IF(B1783&lt;5,Einstellungen!$B$3,Einstellungen!$B$4)</f>
        <v>29.13</v>
      </c>
      <c r="E1783" s="14" t="str">
        <f aca="false">IF(C1783="","",C1783*D1783/100)</f>
        <v/>
      </c>
      <c r="F1783" s="15" t="str">
        <f aca="false">IF(B1783&lt;5,"Go","Standard")</f>
        <v>Standard</v>
      </c>
    </row>
    <row r="1784" customFormat="false" ht="15" hidden="false" customHeight="true" outlineLevel="0" collapsed="false">
      <c r="A1784" s="10" t="n">
        <f aca="false">Einstellungen!$B$5+INT((ROW()-9)/24)</f>
        <v>46039</v>
      </c>
      <c r="B1784" s="11" t="n">
        <f aca="false">MOD(ROW()-9,24)</f>
        <v>23</v>
      </c>
      <c r="C1784" s="12"/>
      <c r="D1784" s="13" t="n">
        <f aca="false">IF(B1784&lt;5,Einstellungen!$B$3,Einstellungen!$B$4)</f>
        <v>29.13</v>
      </c>
      <c r="E1784" s="14" t="str">
        <f aca="false">IF(C1784="","",C1784*D1784/100)</f>
        <v/>
      </c>
      <c r="F1784" s="15" t="str">
        <f aca="false">IF(B1784&lt;5,"Go","Standard")</f>
        <v>Standard</v>
      </c>
    </row>
    <row r="1785" customFormat="false" ht="15" hidden="false" customHeight="true" outlineLevel="0" collapsed="false">
      <c r="A1785" s="10" t="n">
        <f aca="false">Einstellungen!$B$5+INT((ROW()-9)/24)</f>
        <v>46040</v>
      </c>
      <c r="B1785" s="11" t="n">
        <f aca="false">MOD(ROW()-9,24)</f>
        <v>0</v>
      </c>
      <c r="C1785" s="12"/>
      <c r="D1785" s="13" t="n">
        <f aca="false">IF(B1785&lt;5,Einstellungen!$B$3,Einstellungen!$B$4)</f>
        <v>15.92</v>
      </c>
      <c r="E1785" s="14" t="str">
        <f aca="false">IF(C1785="","",C1785*D1785/100)</f>
        <v/>
      </c>
      <c r="F1785" s="15" t="str">
        <f aca="false">IF(B1785&lt;5,"Go","Standard")</f>
        <v>Go</v>
      </c>
    </row>
    <row r="1786" customFormat="false" ht="15" hidden="false" customHeight="true" outlineLevel="0" collapsed="false">
      <c r="A1786" s="10" t="n">
        <f aca="false">Einstellungen!$B$5+INT((ROW()-9)/24)</f>
        <v>46040</v>
      </c>
      <c r="B1786" s="11" t="n">
        <f aca="false">MOD(ROW()-9,24)</f>
        <v>1</v>
      </c>
      <c r="C1786" s="12"/>
      <c r="D1786" s="13" t="n">
        <f aca="false">IF(B1786&lt;5,Einstellungen!$B$3,Einstellungen!$B$4)</f>
        <v>15.92</v>
      </c>
      <c r="E1786" s="14" t="str">
        <f aca="false">IF(C1786="","",C1786*D1786/100)</f>
        <v/>
      </c>
      <c r="F1786" s="15" t="str">
        <f aca="false">IF(B1786&lt;5,"Go","Standard")</f>
        <v>Go</v>
      </c>
    </row>
    <row r="1787" customFormat="false" ht="15" hidden="false" customHeight="true" outlineLevel="0" collapsed="false">
      <c r="A1787" s="10" t="n">
        <f aca="false">Einstellungen!$B$5+INT((ROW()-9)/24)</f>
        <v>46040</v>
      </c>
      <c r="B1787" s="11" t="n">
        <f aca="false">MOD(ROW()-9,24)</f>
        <v>2</v>
      </c>
      <c r="C1787" s="12"/>
      <c r="D1787" s="13" t="n">
        <f aca="false">IF(B1787&lt;5,Einstellungen!$B$3,Einstellungen!$B$4)</f>
        <v>15.92</v>
      </c>
      <c r="E1787" s="14" t="str">
        <f aca="false">IF(C1787="","",C1787*D1787/100)</f>
        <v/>
      </c>
      <c r="F1787" s="15" t="str">
        <f aca="false">IF(B1787&lt;5,"Go","Standard")</f>
        <v>Go</v>
      </c>
    </row>
    <row r="1788" customFormat="false" ht="15" hidden="false" customHeight="true" outlineLevel="0" collapsed="false">
      <c r="A1788" s="10" t="n">
        <f aca="false">Einstellungen!$B$5+INT((ROW()-9)/24)</f>
        <v>46040</v>
      </c>
      <c r="B1788" s="11" t="n">
        <f aca="false">MOD(ROW()-9,24)</f>
        <v>3</v>
      </c>
      <c r="C1788" s="12"/>
      <c r="D1788" s="13" t="n">
        <f aca="false">IF(B1788&lt;5,Einstellungen!$B$3,Einstellungen!$B$4)</f>
        <v>15.92</v>
      </c>
      <c r="E1788" s="14" t="str">
        <f aca="false">IF(C1788="","",C1788*D1788/100)</f>
        <v/>
      </c>
      <c r="F1788" s="15" t="str">
        <f aca="false">IF(B1788&lt;5,"Go","Standard")</f>
        <v>Go</v>
      </c>
    </row>
    <row r="1789" customFormat="false" ht="15" hidden="false" customHeight="true" outlineLevel="0" collapsed="false">
      <c r="A1789" s="10" t="n">
        <f aca="false">Einstellungen!$B$5+INT((ROW()-9)/24)</f>
        <v>46040</v>
      </c>
      <c r="B1789" s="11" t="n">
        <f aca="false">MOD(ROW()-9,24)</f>
        <v>4</v>
      </c>
      <c r="C1789" s="12"/>
      <c r="D1789" s="13" t="n">
        <f aca="false">IF(B1789&lt;5,Einstellungen!$B$3,Einstellungen!$B$4)</f>
        <v>15.92</v>
      </c>
      <c r="E1789" s="14" t="str">
        <f aca="false">IF(C1789="","",C1789*D1789/100)</f>
        <v/>
      </c>
      <c r="F1789" s="15" t="str">
        <f aca="false">IF(B1789&lt;5,"Go","Standard")</f>
        <v>Go</v>
      </c>
    </row>
    <row r="1790" customFormat="false" ht="15" hidden="false" customHeight="true" outlineLevel="0" collapsed="false">
      <c r="A1790" s="10" t="n">
        <f aca="false">Einstellungen!$B$5+INT((ROW()-9)/24)</f>
        <v>46040</v>
      </c>
      <c r="B1790" s="11" t="n">
        <f aca="false">MOD(ROW()-9,24)</f>
        <v>5</v>
      </c>
      <c r="C1790" s="12"/>
      <c r="D1790" s="13" t="n">
        <f aca="false">IF(B1790&lt;5,Einstellungen!$B$3,Einstellungen!$B$4)</f>
        <v>29.13</v>
      </c>
      <c r="E1790" s="14" t="str">
        <f aca="false">IF(C1790="","",C1790*D1790/100)</f>
        <v/>
      </c>
      <c r="F1790" s="15" t="str">
        <f aca="false">IF(B1790&lt;5,"Go","Standard")</f>
        <v>Standard</v>
      </c>
    </row>
    <row r="1791" customFormat="false" ht="15" hidden="false" customHeight="true" outlineLevel="0" collapsed="false">
      <c r="A1791" s="10" t="n">
        <f aca="false">Einstellungen!$B$5+INT((ROW()-9)/24)</f>
        <v>46040</v>
      </c>
      <c r="B1791" s="11" t="n">
        <f aca="false">MOD(ROW()-9,24)</f>
        <v>6</v>
      </c>
      <c r="C1791" s="12"/>
      <c r="D1791" s="13" t="n">
        <f aca="false">IF(B1791&lt;5,Einstellungen!$B$3,Einstellungen!$B$4)</f>
        <v>29.13</v>
      </c>
      <c r="E1791" s="14" t="str">
        <f aca="false">IF(C1791="","",C1791*D1791/100)</f>
        <v/>
      </c>
      <c r="F1791" s="15" t="str">
        <f aca="false">IF(B1791&lt;5,"Go","Standard")</f>
        <v>Standard</v>
      </c>
    </row>
    <row r="1792" customFormat="false" ht="15" hidden="false" customHeight="true" outlineLevel="0" collapsed="false">
      <c r="A1792" s="10" t="n">
        <f aca="false">Einstellungen!$B$5+INT((ROW()-9)/24)</f>
        <v>46040</v>
      </c>
      <c r="B1792" s="11" t="n">
        <f aca="false">MOD(ROW()-9,24)</f>
        <v>7</v>
      </c>
      <c r="C1792" s="12"/>
      <c r="D1792" s="13" t="n">
        <f aca="false">IF(B1792&lt;5,Einstellungen!$B$3,Einstellungen!$B$4)</f>
        <v>29.13</v>
      </c>
      <c r="E1792" s="14" t="str">
        <f aca="false">IF(C1792="","",C1792*D1792/100)</f>
        <v/>
      </c>
      <c r="F1792" s="15" t="str">
        <f aca="false">IF(B1792&lt;5,"Go","Standard")</f>
        <v>Standard</v>
      </c>
    </row>
    <row r="1793" customFormat="false" ht="15" hidden="false" customHeight="true" outlineLevel="0" collapsed="false">
      <c r="A1793" s="10" t="n">
        <f aca="false">Einstellungen!$B$5+INT((ROW()-9)/24)</f>
        <v>46040</v>
      </c>
      <c r="B1793" s="11" t="n">
        <f aca="false">MOD(ROW()-9,24)</f>
        <v>8</v>
      </c>
      <c r="C1793" s="12"/>
      <c r="D1793" s="13" t="n">
        <f aca="false">IF(B1793&lt;5,Einstellungen!$B$3,Einstellungen!$B$4)</f>
        <v>29.13</v>
      </c>
      <c r="E1793" s="14" t="str">
        <f aca="false">IF(C1793="","",C1793*D1793/100)</f>
        <v/>
      </c>
      <c r="F1793" s="15" t="str">
        <f aca="false">IF(B1793&lt;5,"Go","Standard")</f>
        <v>Standard</v>
      </c>
    </row>
    <row r="1794" customFormat="false" ht="15" hidden="false" customHeight="true" outlineLevel="0" collapsed="false">
      <c r="A1794" s="10" t="n">
        <f aca="false">Einstellungen!$B$5+INT((ROW()-9)/24)</f>
        <v>46040</v>
      </c>
      <c r="B1794" s="11" t="n">
        <f aca="false">MOD(ROW()-9,24)</f>
        <v>9</v>
      </c>
      <c r="C1794" s="12"/>
      <c r="D1794" s="13" t="n">
        <f aca="false">IF(B1794&lt;5,Einstellungen!$B$3,Einstellungen!$B$4)</f>
        <v>29.13</v>
      </c>
      <c r="E1794" s="14" t="str">
        <f aca="false">IF(C1794="","",C1794*D1794/100)</f>
        <v/>
      </c>
      <c r="F1794" s="15" t="str">
        <f aca="false">IF(B1794&lt;5,"Go","Standard")</f>
        <v>Standard</v>
      </c>
    </row>
    <row r="1795" customFormat="false" ht="15" hidden="false" customHeight="true" outlineLevel="0" collapsed="false">
      <c r="A1795" s="10" t="n">
        <f aca="false">Einstellungen!$B$5+INT((ROW()-9)/24)</f>
        <v>46040</v>
      </c>
      <c r="B1795" s="11" t="n">
        <f aca="false">MOD(ROW()-9,24)</f>
        <v>10</v>
      </c>
      <c r="C1795" s="12"/>
      <c r="D1795" s="13" t="n">
        <f aca="false">IF(B1795&lt;5,Einstellungen!$B$3,Einstellungen!$B$4)</f>
        <v>29.13</v>
      </c>
      <c r="E1795" s="14" t="str">
        <f aca="false">IF(C1795="","",C1795*D1795/100)</f>
        <v/>
      </c>
      <c r="F1795" s="15" t="str">
        <f aca="false">IF(B1795&lt;5,"Go","Standard")</f>
        <v>Standard</v>
      </c>
    </row>
    <row r="1796" customFormat="false" ht="15" hidden="false" customHeight="true" outlineLevel="0" collapsed="false">
      <c r="A1796" s="10" t="n">
        <f aca="false">Einstellungen!$B$5+INT((ROW()-9)/24)</f>
        <v>46040</v>
      </c>
      <c r="B1796" s="11" t="n">
        <f aca="false">MOD(ROW()-9,24)</f>
        <v>11</v>
      </c>
      <c r="C1796" s="12"/>
      <c r="D1796" s="13" t="n">
        <f aca="false">IF(B1796&lt;5,Einstellungen!$B$3,Einstellungen!$B$4)</f>
        <v>29.13</v>
      </c>
      <c r="E1796" s="14" t="str">
        <f aca="false">IF(C1796="","",C1796*D1796/100)</f>
        <v/>
      </c>
      <c r="F1796" s="15" t="str">
        <f aca="false">IF(B1796&lt;5,"Go","Standard")</f>
        <v>Standard</v>
      </c>
    </row>
    <row r="1797" customFormat="false" ht="15" hidden="false" customHeight="true" outlineLevel="0" collapsed="false">
      <c r="A1797" s="10" t="n">
        <f aca="false">Einstellungen!$B$5+INT((ROW()-9)/24)</f>
        <v>46040</v>
      </c>
      <c r="B1797" s="11" t="n">
        <f aca="false">MOD(ROW()-9,24)</f>
        <v>12</v>
      </c>
      <c r="C1797" s="12"/>
      <c r="D1797" s="13" t="n">
        <f aca="false">IF(B1797&lt;5,Einstellungen!$B$3,Einstellungen!$B$4)</f>
        <v>29.13</v>
      </c>
      <c r="E1797" s="14" t="str">
        <f aca="false">IF(C1797="","",C1797*D1797/100)</f>
        <v/>
      </c>
      <c r="F1797" s="15" t="str">
        <f aca="false">IF(B1797&lt;5,"Go","Standard")</f>
        <v>Standard</v>
      </c>
    </row>
    <row r="1798" customFormat="false" ht="15" hidden="false" customHeight="true" outlineLevel="0" collapsed="false">
      <c r="A1798" s="10" t="n">
        <f aca="false">Einstellungen!$B$5+INT((ROW()-9)/24)</f>
        <v>46040</v>
      </c>
      <c r="B1798" s="11" t="n">
        <f aca="false">MOD(ROW()-9,24)</f>
        <v>13</v>
      </c>
      <c r="C1798" s="12"/>
      <c r="D1798" s="13" t="n">
        <f aca="false">IF(B1798&lt;5,Einstellungen!$B$3,Einstellungen!$B$4)</f>
        <v>29.13</v>
      </c>
      <c r="E1798" s="14" t="str">
        <f aca="false">IF(C1798="","",C1798*D1798/100)</f>
        <v/>
      </c>
      <c r="F1798" s="15" t="str">
        <f aca="false">IF(B1798&lt;5,"Go","Standard")</f>
        <v>Standard</v>
      </c>
    </row>
    <row r="1799" customFormat="false" ht="15" hidden="false" customHeight="true" outlineLevel="0" collapsed="false">
      <c r="A1799" s="10" t="n">
        <f aca="false">Einstellungen!$B$5+INT((ROW()-9)/24)</f>
        <v>46040</v>
      </c>
      <c r="B1799" s="11" t="n">
        <f aca="false">MOD(ROW()-9,24)</f>
        <v>14</v>
      </c>
      <c r="C1799" s="12"/>
      <c r="D1799" s="13" t="n">
        <f aca="false">IF(B1799&lt;5,Einstellungen!$B$3,Einstellungen!$B$4)</f>
        <v>29.13</v>
      </c>
      <c r="E1799" s="14" t="str">
        <f aca="false">IF(C1799="","",C1799*D1799/100)</f>
        <v/>
      </c>
      <c r="F1799" s="15" t="str">
        <f aca="false">IF(B1799&lt;5,"Go","Standard")</f>
        <v>Standard</v>
      </c>
    </row>
    <row r="1800" customFormat="false" ht="15" hidden="false" customHeight="true" outlineLevel="0" collapsed="false">
      <c r="A1800" s="10" t="n">
        <f aca="false">Einstellungen!$B$5+INT((ROW()-9)/24)</f>
        <v>46040</v>
      </c>
      <c r="B1800" s="11" t="n">
        <f aca="false">MOD(ROW()-9,24)</f>
        <v>15</v>
      </c>
      <c r="C1800" s="12"/>
      <c r="D1800" s="13" t="n">
        <f aca="false">IF(B1800&lt;5,Einstellungen!$B$3,Einstellungen!$B$4)</f>
        <v>29.13</v>
      </c>
      <c r="E1800" s="14" t="str">
        <f aca="false">IF(C1800="","",C1800*D1800/100)</f>
        <v/>
      </c>
      <c r="F1800" s="15" t="str">
        <f aca="false">IF(B1800&lt;5,"Go","Standard")</f>
        <v>Standard</v>
      </c>
    </row>
    <row r="1801" customFormat="false" ht="15" hidden="false" customHeight="true" outlineLevel="0" collapsed="false">
      <c r="A1801" s="10" t="n">
        <f aca="false">Einstellungen!$B$5+INT((ROW()-9)/24)</f>
        <v>46040</v>
      </c>
      <c r="B1801" s="11" t="n">
        <f aca="false">MOD(ROW()-9,24)</f>
        <v>16</v>
      </c>
      <c r="C1801" s="12"/>
      <c r="D1801" s="13" t="n">
        <f aca="false">IF(B1801&lt;5,Einstellungen!$B$3,Einstellungen!$B$4)</f>
        <v>29.13</v>
      </c>
      <c r="E1801" s="14" t="str">
        <f aca="false">IF(C1801="","",C1801*D1801/100)</f>
        <v/>
      </c>
      <c r="F1801" s="15" t="str">
        <f aca="false">IF(B1801&lt;5,"Go","Standard")</f>
        <v>Standard</v>
      </c>
    </row>
    <row r="1802" customFormat="false" ht="15" hidden="false" customHeight="true" outlineLevel="0" collapsed="false">
      <c r="A1802" s="10" t="n">
        <f aca="false">Einstellungen!$B$5+INT((ROW()-9)/24)</f>
        <v>46040</v>
      </c>
      <c r="B1802" s="11" t="n">
        <f aca="false">MOD(ROW()-9,24)</f>
        <v>17</v>
      </c>
      <c r="C1802" s="12"/>
      <c r="D1802" s="13" t="n">
        <f aca="false">IF(B1802&lt;5,Einstellungen!$B$3,Einstellungen!$B$4)</f>
        <v>29.13</v>
      </c>
      <c r="E1802" s="14" t="str">
        <f aca="false">IF(C1802="","",C1802*D1802/100)</f>
        <v/>
      </c>
      <c r="F1802" s="15" t="str">
        <f aca="false">IF(B1802&lt;5,"Go","Standard")</f>
        <v>Standard</v>
      </c>
    </row>
    <row r="1803" customFormat="false" ht="15" hidden="false" customHeight="true" outlineLevel="0" collapsed="false">
      <c r="A1803" s="10" t="n">
        <f aca="false">Einstellungen!$B$5+INT((ROW()-9)/24)</f>
        <v>46040</v>
      </c>
      <c r="B1803" s="11" t="n">
        <f aca="false">MOD(ROW()-9,24)</f>
        <v>18</v>
      </c>
      <c r="C1803" s="12"/>
      <c r="D1803" s="13" t="n">
        <f aca="false">IF(B1803&lt;5,Einstellungen!$B$3,Einstellungen!$B$4)</f>
        <v>29.13</v>
      </c>
      <c r="E1803" s="14" t="str">
        <f aca="false">IF(C1803="","",C1803*D1803/100)</f>
        <v/>
      </c>
      <c r="F1803" s="15" t="str">
        <f aca="false">IF(B1803&lt;5,"Go","Standard")</f>
        <v>Standard</v>
      </c>
    </row>
    <row r="1804" customFormat="false" ht="15" hidden="false" customHeight="true" outlineLevel="0" collapsed="false">
      <c r="A1804" s="10" t="n">
        <f aca="false">Einstellungen!$B$5+INT((ROW()-9)/24)</f>
        <v>46040</v>
      </c>
      <c r="B1804" s="11" t="n">
        <f aca="false">MOD(ROW()-9,24)</f>
        <v>19</v>
      </c>
      <c r="C1804" s="12"/>
      <c r="D1804" s="13" t="n">
        <f aca="false">IF(B1804&lt;5,Einstellungen!$B$3,Einstellungen!$B$4)</f>
        <v>29.13</v>
      </c>
      <c r="E1804" s="14" t="str">
        <f aca="false">IF(C1804="","",C1804*D1804/100)</f>
        <v/>
      </c>
      <c r="F1804" s="15" t="str">
        <f aca="false">IF(B1804&lt;5,"Go","Standard")</f>
        <v>Standard</v>
      </c>
    </row>
    <row r="1805" customFormat="false" ht="15" hidden="false" customHeight="true" outlineLevel="0" collapsed="false">
      <c r="A1805" s="10" t="n">
        <f aca="false">Einstellungen!$B$5+INT((ROW()-9)/24)</f>
        <v>46040</v>
      </c>
      <c r="B1805" s="11" t="n">
        <f aca="false">MOD(ROW()-9,24)</f>
        <v>20</v>
      </c>
      <c r="C1805" s="12"/>
      <c r="D1805" s="13" t="n">
        <f aca="false">IF(B1805&lt;5,Einstellungen!$B$3,Einstellungen!$B$4)</f>
        <v>29.13</v>
      </c>
      <c r="E1805" s="14" t="str">
        <f aca="false">IF(C1805="","",C1805*D1805/100)</f>
        <v/>
      </c>
      <c r="F1805" s="15" t="str">
        <f aca="false">IF(B1805&lt;5,"Go","Standard")</f>
        <v>Standard</v>
      </c>
    </row>
    <row r="1806" customFormat="false" ht="15" hidden="false" customHeight="true" outlineLevel="0" collapsed="false">
      <c r="A1806" s="10" t="n">
        <f aca="false">Einstellungen!$B$5+INT((ROW()-9)/24)</f>
        <v>46040</v>
      </c>
      <c r="B1806" s="11" t="n">
        <f aca="false">MOD(ROW()-9,24)</f>
        <v>21</v>
      </c>
      <c r="C1806" s="12"/>
      <c r="D1806" s="13" t="n">
        <f aca="false">IF(B1806&lt;5,Einstellungen!$B$3,Einstellungen!$B$4)</f>
        <v>29.13</v>
      </c>
      <c r="E1806" s="14" t="str">
        <f aca="false">IF(C1806="","",C1806*D1806/100)</f>
        <v/>
      </c>
      <c r="F1806" s="15" t="str">
        <f aca="false">IF(B1806&lt;5,"Go","Standard")</f>
        <v>Standard</v>
      </c>
    </row>
    <row r="1807" customFormat="false" ht="15" hidden="false" customHeight="true" outlineLevel="0" collapsed="false">
      <c r="A1807" s="10" t="n">
        <f aca="false">Einstellungen!$B$5+INT((ROW()-9)/24)</f>
        <v>46040</v>
      </c>
      <c r="B1807" s="11" t="n">
        <f aca="false">MOD(ROW()-9,24)</f>
        <v>22</v>
      </c>
      <c r="C1807" s="12"/>
      <c r="D1807" s="13" t="n">
        <f aca="false">IF(B1807&lt;5,Einstellungen!$B$3,Einstellungen!$B$4)</f>
        <v>29.13</v>
      </c>
      <c r="E1807" s="14" t="str">
        <f aca="false">IF(C1807="","",C1807*D1807/100)</f>
        <v/>
      </c>
      <c r="F1807" s="15" t="str">
        <f aca="false">IF(B1807&lt;5,"Go","Standard")</f>
        <v>Standard</v>
      </c>
    </row>
    <row r="1808" customFormat="false" ht="15" hidden="false" customHeight="true" outlineLevel="0" collapsed="false">
      <c r="A1808" s="10" t="n">
        <f aca="false">Einstellungen!$B$5+INT((ROW()-9)/24)</f>
        <v>46040</v>
      </c>
      <c r="B1808" s="11" t="n">
        <f aca="false">MOD(ROW()-9,24)</f>
        <v>23</v>
      </c>
      <c r="C1808" s="12"/>
      <c r="D1808" s="13" t="n">
        <f aca="false">IF(B1808&lt;5,Einstellungen!$B$3,Einstellungen!$B$4)</f>
        <v>29.13</v>
      </c>
      <c r="E1808" s="14" t="str">
        <f aca="false">IF(C1808="","",C1808*D1808/100)</f>
        <v/>
      </c>
      <c r="F1808" s="15" t="str">
        <f aca="false">IF(B1808&lt;5,"Go","Standard")</f>
        <v>Standard</v>
      </c>
    </row>
    <row r="1809" customFormat="false" ht="15" hidden="false" customHeight="true" outlineLevel="0" collapsed="false">
      <c r="A1809" s="10" t="n">
        <f aca="false">Einstellungen!$B$5+INT((ROW()-9)/24)</f>
        <v>46041</v>
      </c>
      <c r="B1809" s="11" t="n">
        <f aca="false">MOD(ROW()-9,24)</f>
        <v>0</v>
      </c>
      <c r="C1809" s="12"/>
      <c r="D1809" s="13" t="n">
        <f aca="false">IF(B1809&lt;5,Einstellungen!$B$3,Einstellungen!$B$4)</f>
        <v>15.92</v>
      </c>
      <c r="E1809" s="14" t="str">
        <f aca="false">IF(C1809="","",C1809*D1809/100)</f>
        <v/>
      </c>
      <c r="F1809" s="15" t="str">
        <f aca="false">IF(B1809&lt;5,"Go","Standard")</f>
        <v>Go</v>
      </c>
    </row>
    <row r="1810" customFormat="false" ht="15" hidden="false" customHeight="true" outlineLevel="0" collapsed="false">
      <c r="A1810" s="10" t="n">
        <f aca="false">Einstellungen!$B$5+INT((ROW()-9)/24)</f>
        <v>46041</v>
      </c>
      <c r="B1810" s="11" t="n">
        <f aca="false">MOD(ROW()-9,24)</f>
        <v>1</v>
      </c>
      <c r="C1810" s="12"/>
      <c r="D1810" s="13" t="n">
        <f aca="false">IF(B1810&lt;5,Einstellungen!$B$3,Einstellungen!$B$4)</f>
        <v>15.92</v>
      </c>
      <c r="E1810" s="14" t="str">
        <f aca="false">IF(C1810="","",C1810*D1810/100)</f>
        <v/>
      </c>
      <c r="F1810" s="15" t="str">
        <f aca="false">IF(B1810&lt;5,"Go","Standard")</f>
        <v>Go</v>
      </c>
    </row>
    <row r="1811" customFormat="false" ht="15" hidden="false" customHeight="true" outlineLevel="0" collapsed="false">
      <c r="A1811" s="10" t="n">
        <f aca="false">Einstellungen!$B$5+INT((ROW()-9)/24)</f>
        <v>46041</v>
      </c>
      <c r="B1811" s="11" t="n">
        <f aca="false">MOD(ROW()-9,24)</f>
        <v>2</v>
      </c>
      <c r="C1811" s="12"/>
      <c r="D1811" s="13" t="n">
        <f aca="false">IF(B1811&lt;5,Einstellungen!$B$3,Einstellungen!$B$4)</f>
        <v>15.92</v>
      </c>
      <c r="E1811" s="14" t="str">
        <f aca="false">IF(C1811="","",C1811*D1811/100)</f>
        <v/>
      </c>
      <c r="F1811" s="15" t="str">
        <f aca="false">IF(B1811&lt;5,"Go","Standard")</f>
        <v>Go</v>
      </c>
    </row>
    <row r="1812" customFormat="false" ht="15" hidden="false" customHeight="true" outlineLevel="0" collapsed="false">
      <c r="A1812" s="10" t="n">
        <f aca="false">Einstellungen!$B$5+INT((ROW()-9)/24)</f>
        <v>46041</v>
      </c>
      <c r="B1812" s="11" t="n">
        <f aca="false">MOD(ROW()-9,24)</f>
        <v>3</v>
      </c>
      <c r="C1812" s="12"/>
      <c r="D1812" s="13" t="n">
        <f aca="false">IF(B1812&lt;5,Einstellungen!$B$3,Einstellungen!$B$4)</f>
        <v>15.92</v>
      </c>
      <c r="E1812" s="14" t="str">
        <f aca="false">IF(C1812="","",C1812*D1812/100)</f>
        <v/>
      </c>
      <c r="F1812" s="15" t="str">
        <f aca="false">IF(B1812&lt;5,"Go","Standard")</f>
        <v>Go</v>
      </c>
    </row>
    <row r="1813" customFormat="false" ht="15" hidden="false" customHeight="true" outlineLevel="0" collapsed="false">
      <c r="A1813" s="10" t="n">
        <f aca="false">Einstellungen!$B$5+INT((ROW()-9)/24)</f>
        <v>46041</v>
      </c>
      <c r="B1813" s="11" t="n">
        <f aca="false">MOD(ROW()-9,24)</f>
        <v>4</v>
      </c>
      <c r="C1813" s="12"/>
      <c r="D1813" s="13" t="n">
        <f aca="false">IF(B1813&lt;5,Einstellungen!$B$3,Einstellungen!$B$4)</f>
        <v>15.92</v>
      </c>
      <c r="E1813" s="14" t="str">
        <f aca="false">IF(C1813="","",C1813*D1813/100)</f>
        <v/>
      </c>
      <c r="F1813" s="15" t="str">
        <f aca="false">IF(B1813&lt;5,"Go","Standard")</f>
        <v>Go</v>
      </c>
    </row>
    <row r="1814" customFormat="false" ht="15" hidden="false" customHeight="true" outlineLevel="0" collapsed="false">
      <c r="A1814" s="10" t="n">
        <f aca="false">Einstellungen!$B$5+INT((ROW()-9)/24)</f>
        <v>46041</v>
      </c>
      <c r="B1814" s="11" t="n">
        <f aca="false">MOD(ROW()-9,24)</f>
        <v>5</v>
      </c>
      <c r="C1814" s="12"/>
      <c r="D1814" s="13" t="n">
        <f aca="false">IF(B1814&lt;5,Einstellungen!$B$3,Einstellungen!$B$4)</f>
        <v>29.13</v>
      </c>
      <c r="E1814" s="14" t="str">
        <f aca="false">IF(C1814="","",C1814*D1814/100)</f>
        <v/>
      </c>
      <c r="F1814" s="15" t="str">
        <f aca="false">IF(B1814&lt;5,"Go","Standard")</f>
        <v>Standard</v>
      </c>
    </row>
    <row r="1815" customFormat="false" ht="15" hidden="false" customHeight="true" outlineLevel="0" collapsed="false">
      <c r="A1815" s="10" t="n">
        <f aca="false">Einstellungen!$B$5+INT((ROW()-9)/24)</f>
        <v>46041</v>
      </c>
      <c r="B1815" s="11" t="n">
        <f aca="false">MOD(ROW()-9,24)</f>
        <v>6</v>
      </c>
      <c r="C1815" s="12"/>
      <c r="D1815" s="13" t="n">
        <f aca="false">IF(B1815&lt;5,Einstellungen!$B$3,Einstellungen!$B$4)</f>
        <v>29.13</v>
      </c>
      <c r="E1815" s="14" t="str">
        <f aca="false">IF(C1815="","",C1815*D1815/100)</f>
        <v/>
      </c>
      <c r="F1815" s="15" t="str">
        <f aca="false">IF(B1815&lt;5,"Go","Standard")</f>
        <v>Standard</v>
      </c>
    </row>
    <row r="1816" customFormat="false" ht="15" hidden="false" customHeight="true" outlineLevel="0" collapsed="false">
      <c r="A1816" s="10" t="n">
        <f aca="false">Einstellungen!$B$5+INT((ROW()-9)/24)</f>
        <v>46041</v>
      </c>
      <c r="B1816" s="11" t="n">
        <f aca="false">MOD(ROW()-9,24)</f>
        <v>7</v>
      </c>
      <c r="C1816" s="12"/>
      <c r="D1816" s="13" t="n">
        <f aca="false">IF(B1816&lt;5,Einstellungen!$B$3,Einstellungen!$B$4)</f>
        <v>29.13</v>
      </c>
      <c r="E1816" s="14" t="str">
        <f aca="false">IF(C1816="","",C1816*D1816/100)</f>
        <v/>
      </c>
      <c r="F1816" s="15" t="str">
        <f aca="false">IF(B1816&lt;5,"Go","Standard")</f>
        <v>Standard</v>
      </c>
    </row>
    <row r="1817" customFormat="false" ht="15" hidden="false" customHeight="true" outlineLevel="0" collapsed="false">
      <c r="A1817" s="10" t="n">
        <f aca="false">Einstellungen!$B$5+INT((ROW()-9)/24)</f>
        <v>46041</v>
      </c>
      <c r="B1817" s="11" t="n">
        <f aca="false">MOD(ROW()-9,24)</f>
        <v>8</v>
      </c>
      <c r="C1817" s="12"/>
      <c r="D1817" s="13" t="n">
        <f aca="false">IF(B1817&lt;5,Einstellungen!$B$3,Einstellungen!$B$4)</f>
        <v>29.13</v>
      </c>
      <c r="E1817" s="14" t="str">
        <f aca="false">IF(C1817="","",C1817*D1817/100)</f>
        <v/>
      </c>
      <c r="F1817" s="15" t="str">
        <f aca="false">IF(B1817&lt;5,"Go","Standard")</f>
        <v>Standard</v>
      </c>
    </row>
    <row r="1818" customFormat="false" ht="15" hidden="false" customHeight="true" outlineLevel="0" collapsed="false">
      <c r="A1818" s="10" t="n">
        <f aca="false">Einstellungen!$B$5+INT((ROW()-9)/24)</f>
        <v>46041</v>
      </c>
      <c r="B1818" s="11" t="n">
        <f aca="false">MOD(ROW()-9,24)</f>
        <v>9</v>
      </c>
      <c r="C1818" s="12"/>
      <c r="D1818" s="13" t="n">
        <f aca="false">IF(B1818&lt;5,Einstellungen!$B$3,Einstellungen!$B$4)</f>
        <v>29.13</v>
      </c>
      <c r="E1818" s="14" t="str">
        <f aca="false">IF(C1818="","",C1818*D1818/100)</f>
        <v/>
      </c>
      <c r="F1818" s="15" t="str">
        <f aca="false">IF(B1818&lt;5,"Go","Standard")</f>
        <v>Standard</v>
      </c>
    </row>
    <row r="1819" customFormat="false" ht="15" hidden="false" customHeight="true" outlineLevel="0" collapsed="false">
      <c r="A1819" s="10" t="n">
        <f aca="false">Einstellungen!$B$5+INT((ROW()-9)/24)</f>
        <v>46041</v>
      </c>
      <c r="B1819" s="11" t="n">
        <f aca="false">MOD(ROW()-9,24)</f>
        <v>10</v>
      </c>
      <c r="C1819" s="12"/>
      <c r="D1819" s="13" t="n">
        <f aca="false">IF(B1819&lt;5,Einstellungen!$B$3,Einstellungen!$B$4)</f>
        <v>29.13</v>
      </c>
      <c r="E1819" s="14" t="str">
        <f aca="false">IF(C1819="","",C1819*D1819/100)</f>
        <v/>
      </c>
      <c r="F1819" s="15" t="str">
        <f aca="false">IF(B1819&lt;5,"Go","Standard")</f>
        <v>Standard</v>
      </c>
    </row>
    <row r="1820" customFormat="false" ht="15" hidden="false" customHeight="true" outlineLevel="0" collapsed="false">
      <c r="A1820" s="10" t="n">
        <f aca="false">Einstellungen!$B$5+INT((ROW()-9)/24)</f>
        <v>46041</v>
      </c>
      <c r="B1820" s="11" t="n">
        <f aca="false">MOD(ROW()-9,24)</f>
        <v>11</v>
      </c>
      <c r="C1820" s="12"/>
      <c r="D1820" s="13" t="n">
        <f aca="false">IF(B1820&lt;5,Einstellungen!$B$3,Einstellungen!$B$4)</f>
        <v>29.13</v>
      </c>
      <c r="E1820" s="14" t="str">
        <f aca="false">IF(C1820="","",C1820*D1820/100)</f>
        <v/>
      </c>
      <c r="F1820" s="15" t="str">
        <f aca="false">IF(B1820&lt;5,"Go","Standard")</f>
        <v>Standard</v>
      </c>
    </row>
    <row r="1821" customFormat="false" ht="15" hidden="false" customHeight="true" outlineLevel="0" collapsed="false">
      <c r="A1821" s="10" t="n">
        <f aca="false">Einstellungen!$B$5+INT((ROW()-9)/24)</f>
        <v>46041</v>
      </c>
      <c r="B1821" s="11" t="n">
        <f aca="false">MOD(ROW()-9,24)</f>
        <v>12</v>
      </c>
      <c r="C1821" s="12"/>
      <c r="D1821" s="13" t="n">
        <f aca="false">IF(B1821&lt;5,Einstellungen!$B$3,Einstellungen!$B$4)</f>
        <v>29.13</v>
      </c>
      <c r="E1821" s="14" t="str">
        <f aca="false">IF(C1821="","",C1821*D1821/100)</f>
        <v/>
      </c>
      <c r="F1821" s="15" t="str">
        <f aca="false">IF(B1821&lt;5,"Go","Standard")</f>
        <v>Standard</v>
      </c>
    </row>
    <row r="1822" customFormat="false" ht="15" hidden="false" customHeight="true" outlineLevel="0" collapsed="false">
      <c r="A1822" s="10" t="n">
        <f aca="false">Einstellungen!$B$5+INT((ROW()-9)/24)</f>
        <v>46041</v>
      </c>
      <c r="B1822" s="11" t="n">
        <f aca="false">MOD(ROW()-9,24)</f>
        <v>13</v>
      </c>
      <c r="C1822" s="12"/>
      <c r="D1822" s="13" t="n">
        <f aca="false">IF(B1822&lt;5,Einstellungen!$B$3,Einstellungen!$B$4)</f>
        <v>29.13</v>
      </c>
      <c r="E1822" s="14" t="str">
        <f aca="false">IF(C1822="","",C1822*D1822/100)</f>
        <v/>
      </c>
      <c r="F1822" s="15" t="str">
        <f aca="false">IF(B1822&lt;5,"Go","Standard")</f>
        <v>Standard</v>
      </c>
    </row>
    <row r="1823" customFormat="false" ht="15" hidden="false" customHeight="true" outlineLevel="0" collapsed="false">
      <c r="A1823" s="10" t="n">
        <f aca="false">Einstellungen!$B$5+INT((ROW()-9)/24)</f>
        <v>46041</v>
      </c>
      <c r="B1823" s="11" t="n">
        <f aca="false">MOD(ROW()-9,24)</f>
        <v>14</v>
      </c>
      <c r="C1823" s="12"/>
      <c r="D1823" s="13" t="n">
        <f aca="false">IF(B1823&lt;5,Einstellungen!$B$3,Einstellungen!$B$4)</f>
        <v>29.13</v>
      </c>
      <c r="E1823" s="14" t="str">
        <f aca="false">IF(C1823="","",C1823*D1823/100)</f>
        <v/>
      </c>
      <c r="F1823" s="15" t="str">
        <f aca="false">IF(B1823&lt;5,"Go","Standard")</f>
        <v>Standard</v>
      </c>
    </row>
    <row r="1824" customFormat="false" ht="15" hidden="false" customHeight="true" outlineLevel="0" collapsed="false">
      <c r="A1824" s="10" t="n">
        <f aca="false">Einstellungen!$B$5+INT((ROW()-9)/24)</f>
        <v>46041</v>
      </c>
      <c r="B1824" s="11" t="n">
        <f aca="false">MOD(ROW()-9,24)</f>
        <v>15</v>
      </c>
      <c r="C1824" s="12"/>
      <c r="D1824" s="13" t="n">
        <f aca="false">IF(B1824&lt;5,Einstellungen!$B$3,Einstellungen!$B$4)</f>
        <v>29.13</v>
      </c>
      <c r="E1824" s="14" t="str">
        <f aca="false">IF(C1824="","",C1824*D1824/100)</f>
        <v/>
      </c>
      <c r="F1824" s="15" t="str">
        <f aca="false">IF(B1824&lt;5,"Go","Standard")</f>
        <v>Standard</v>
      </c>
    </row>
    <row r="1825" customFormat="false" ht="15" hidden="false" customHeight="true" outlineLevel="0" collapsed="false">
      <c r="A1825" s="10" t="n">
        <f aca="false">Einstellungen!$B$5+INT((ROW()-9)/24)</f>
        <v>46041</v>
      </c>
      <c r="B1825" s="11" t="n">
        <f aca="false">MOD(ROW()-9,24)</f>
        <v>16</v>
      </c>
      <c r="C1825" s="12"/>
      <c r="D1825" s="13" t="n">
        <f aca="false">IF(B1825&lt;5,Einstellungen!$B$3,Einstellungen!$B$4)</f>
        <v>29.13</v>
      </c>
      <c r="E1825" s="14" t="str">
        <f aca="false">IF(C1825="","",C1825*D1825/100)</f>
        <v/>
      </c>
      <c r="F1825" s="15" t="str">
        <f aca="false">IF(B1825&lt;5,"Go","Standard")</f>
        <v>Standard</v>
      </c>
    </row>
    <row r="1826" customFormat="false" ht="15" hidden="false" customHeight="true" outlineLevel="0" collapsed="false">
      <c r="A1826" s="10" t="n">
        <f aca="false">Einstellungen!$B$5+INT((ROW()-9)/24)</f>
        <v>46041</v>
      </c>
      <c r="B1826" s="11" t="n">
        <f aca="false">MOD(ROW()-9,24)</f>
        <v>17</v>
      </c>
      <c r="C1826" s="12"/>
      <c r="D1826" s="13" t="n">
        <f aca="false">IF(B1826&lt;5,Einstellungen!$B$3,Einstellungen!$B$4)</f>
        <v>29.13</v>
      </c>
      <c r="E1826" s="14" t="str">
        <f aca="false">IF(C1826="","",C1826*D1826/100)</f>
        <v/>
      </c>
      <c r="F1826" s="15" t="str">
        <f aca="false">IF(B1826&lt;5,"Go","Standard")</f>
        <v>Standard</v>
      </c>
    </row>
    <row r="1827" customFormat="false" ht="15" hidden="false" customHeight="true" outlineLevel="0" collapsed="false">
      <c r="A1827" s="10" t="n">
        <f aca="false">Einstellungen!$B$5+INT((ROW()-9)/24)</f>
        <v>46041</v>
      </c>
      <c r="B1827" s="11" t="n">
        <f aca="false">MOD(ROW()-9,24)</f>
        <v>18</v>
      </c>
      <c r="C1827" s="12"/>
      <c r="D1827" s="13" t="n">
        <f aca="false">IF(B1827&lt;5,Einstellungen!$B$3,Einstellungen!$B$4)</f>
        <v>29.13</v>
      </c>
      <c r="E1827" s="14" t="str">
        <f aca="false">IF(C1827="","",C1827*D1827/100)</f>
        <v/>
      </c>
      <c r="F1827" s="15" t="str">
        <f aca="false">IF(B1827&lt;5,"Go","Standard")</f>
        <v>Standard</v>
      </c>
    </row>
    <row r="1828" customFormat="false" ht="15" hidden="false" customHeight="true" outlineLevel="0" collapsed="false">
      <c r="A1828" s="10" t="n">
        <f aca="false">Einstellungen!$B$5+INT((ROW()-9)/24)</f>
        <v>46041</v>
      </c>
      <c r="B1828" s="11" t="n">
        <f aca="false">MOD(ROW()-9,24)</f>
        <v>19</v>
      </c>
      <c r="C1828" s="12"/>
      <c r="D1828" s="13" t="n">
        <f aca="false">IF(B1828&lt;5,Einstellungen!$B$3,Einstellungen!$B$4)</f>
        <v>29.13</v>
      </c>
      <c r="E1828" s="14" t="str">
        <f aca="false">IF(C1828="","",C1828*D1828/100)</f>
        <v/>
      </c>
      <c r="F1828" s="15" t="str">
        <f aca="false">IF(B1828&lt;5,"Go","Standard")</f>
        <v>Standard</v>
      </c>
    </row>
    <row r="1829" customFormat="false" ht="15" hidden="false" customHeight="true" outlineLevel="0" collapsed="false">
      <c r="A1829" s="10" t="n">
        <f aca="false">Einstellungen!$B$5+INT((ROW()-9)/24)</f>
        <v>46041</v>
      </c>
      <c r="B1829" s="11" t="n">
        <f aca="false">MOD(ROW()-9,24)</f>
        <v>20</v>
      </c>
      <c r="C1829" s="12"/>
      <c r="D1829" s="13" t="n">
        <f aca="false">IF(B1829&lt;5,Einstellungen!$B$3,Einstellungen!$B$4)</f>
        <v>29.13</v>
      </c>
      <c r="E1829" s="14" t="str">
        <f aca="false">IF(C1829="","",C1829*D1829/100)</f>
        <v/>
      </c>
      <c r="F1829" s="15" t="str">
        <f aca="false">IF(B1829&lt;5,"Go","Standard")</f>
        <v>Standard</v>
      </c>
    </row>
    <row r="1830" customFormat="false" ht="15" hidden="false" customHeight="true" outlineLevel="0" collapsed="false">
      <c r="A1830" s="10" t="n">
        <f aca="false">Einstellungen!$B$5+INT((ROW()-9)/24)</f>
        <v>46041</v>
      </c>
      <c r="B1830" s="11" t="n">
        <f aca="false">MOD(ROW()-9,24)</f>
        <v>21</v>
      </c>
      <c r="C1830" s="12"/>
      <c r="D1830" s="13" t="n">
        <f aca="false">IF(B1830&lt;5,Einstellungen!$B$3,Einstellungen!$B$4)</f>
        <v>29.13</v>
      </c>
      <c r="E1830" s="14" t="str">
        <f aca="false">IF(C1830="","",C1830*D1830/100)</f>
        <v/>
      </c>
      <c r="F1830" s="15" t="str">
        <f aca="false">IF(B1830&lt;5,"Go","Standard")</f>
        <v>Standard</v>
      </c>
    </row>
    <row r="1831" customFormat="false" ht="15" hidden="false" customHeight="true" outlineLevel="0" collapsed="false">
      <c r="A1831" s="10" t="n">
        <f aca="false">Einstellungen!$B$5+INT((ROW()-9)/24)</f>
        <v>46041</v>
      </c>
      <c r="B1831" s="11" t="n">
        <f aca="false">MOD(ROW()-9,24)</f>
        <v>22</v>
      </c>
      <c r="C1831" s="12"/>
      <c r="D1831" s="13" t="n">
        <f aca="false">IF(B1831&lt;5,Einstellungen!$B$3,Einstellungen!$B$4)</f>
        <v>29.13</v>
      </c>
      <c r="E1831" s="14" t="str">
        <f aca="false">IF(C1831="","",C1831*D1831/100)</f>
        <v/>
      </c>
      <c r="F1831" s="15" t="str">
        <f aca="false">IF(B1831&lt;5,"Go","Standard")</f>
        <v>Standard</v>
      </c>
    </row>
    <row r="1832" customFormat="false" ht="15" hidden="false" customHeight="true" outlineLevel="0" collapsed="false">
      <c r="A1832" s="10" t="n">
        <f aca="false">Einstellungen!$B$5+INT((ROW()-9)/24)</f>
        <v>46041</v>
      </c>
      <c r="B1832" s="11" t="n">
        <f aca="false">MOD(ROW()-9,24)</f>
        <v>23</v>
      </c>
      <c r="C1832" s="12"/>
      <c r="D1832" s="13" t="n">
        <f aca="false">IF(B1832&lt;5,Einstellungen!$B$3,Einstellungen!$B$4)</f>
        <v>29.13</v>
      </c>
      <c r="E1832" s="14" t="str">
        <f aca="false">IF(C1832="","",C1832*D1832/100)</f>
        <v/>
      </c>
      <c r="F1832" s="15" t="str">
        <f aca="false">IF(B1832&lt;5,"Go","Standard")</f>
        <v>Standard</v>
      </c>
    </row>
    <row r="1833" customFormat="false" ht="15" hidden="false" customHeight="true" outlineLevel="0" collapsed="false">
      <c r="A1833" s="10" t="n">
        <f aca="false">Einstellungen!$B$5+INT((ROW()-9)/24)</f>
        <v>46042</v>
      </c>
      <c r="B1833" s="11" t="n">
        <f aca="false">MOD(ROW()-9,24)</f>
        <v>0</v>
      </c>
      <c r="C1833" s="12"/>
      <c r="D1833" s="13" t="n">
        <f aca="false">IF(B1833&lt;5,Einstellungen!$B$3,Einstellungen!$B$4)</f>
        <v>15.92</v>
      </c>
      <c r="E1833" s="14" t="str">
        <f aca="false">IF(C1833="","",C1833*D1833/100)</f>
        <v/>
      </c>
      <c r="F1833" s="15" t="str">
        <f aca="false">IF(B1833&lt;5,"Go","Standard")</f>
        <v>Go</v>
      </c>
    </row>
    <row r="1834" customFormat="false" ht="15" hidden="false" customHeight="true" outlineLevel="0" collapsed="false">
      <c r="A1834" s="10" t="n">
        <f aca="false">Einstellungen!$B$5+INT((ROW()-9)/24)</f>
        <v>46042</v>
      </c>
      <c r="B1834" s="11" t="n">
        <f aca="false">MOD(ROW()-9,24)</f>
        <v>1</v>
      </c>
      <c r="C1834" s="12"/>
      <c r="D1834" s="13" t="n">
        <f aca="false">IF(B1834&lt;5,Einstellungen!$B$3,Einstellungen!$B$4)</f>
        <v>15.92</v>
      </c>
      <c r="E1834" s="14" t="str">
        <f aca="false">IF(C1834="","",C1834*D1834/100)</f>
        <v/>
      </c>
      <c r="F1834" s="15" t="str">
        <f aca="false">IF(B1834&lt;5,"Go","Standard")</f>
        <v>Go</v>
      </c>
    </row>
    <row r="1835" customFormat="false" ht="15" hidden="false" customHeight="true" outlineLevel="0" collapsed="false">
      <c r="A1835" s="10" t="n">
        <f aca="false">Einstellungen!$B$5+INT((ROW()-9)/24)</f>
        <v>46042</v>
      </c>
      <c r="B1835" s="11" t="n">
        <f aca="false">MOD(ROW()-9,24)</f>
        <v>2</v>
      </c>
      <c r="C1835" s="12"/>
      <c r="D1835" s="13" t="n">
        <f aca="false">IF(B1835&lt;5,Einstellungen!$B$3,Einstellungen!$B$4)</f>
        <v>15.92</v>
      </c>
      <c r="E1835" s="14" t="str">
        <f aca="false">IF(C1835="","",C1835*D1835/100)</f>
        <v/>
      </c>
      <c r="F1835" s="15" t="str">
        <f aca="false">IF(B1835&lt;5,"Go","Standard")</f>
        <v>Go</v>
      </c>
    </row>
    <row r="1836" customFormat="false" ht="15" hidden="false" customHeight="true" outlineLevel="0" collapsed="false">
      <c r="A1836" s="10" t="n">
        <f aca="false">Einstellungen!$B$5+INT((ROW()-9)/24)</f>
        <v>46042</v>
      </c>
      <c r="B1836" s="11" t="n">
        <f aca="false">MOD(ROW()-9,24)</f>
        <v>3</v>
      </c>
      <c r="C1836" s="12"/>
      <c r="D1836" s="13" t="n">
        <f aca="false">IF(B1836&lt;5,Einstellungen!$B$3,Einstellungen!$B$4)</f>
        <v>15.92</v>
      </c>
      <c r="E1836" s="14" t="str">
        <f aca="false">IF(C1836="","",C1836*D1836/100)</f>
        <v/>
      </c>
      <c r="F1836" s="15" t="str">
        <f aca="false">IF(B1836&lt;5,"Go","Standard")</f>
        <v>Go</v>
      </c>
    </row>
    <row r="1837" customFormat="false" ht="15" hidden="false" customHeight="true" outlineLevel="0" collapsed="false">
      <c r="A1837" s="10" t="n">
        <f aca="false">Einstellungen!$B$5+INT((ROW()-9)/24)</f>
        <v>46042</v>
      </c>
      <c r="B1837" s="11" t="n">
        <f aca="false">MOD(ROW()-9,24)</f>
        <v>4</v>
      </c>
      <c r="C1837" s="12"/>
      <c r="D1837" s="13" t="n">
        <f aca="false">IF(B1837&lt;5,Einstellungen!$B$3,Einstellungen!$B$4)</f>
        <v>15.92</v>
      </c>
      <c r="E1837" s="14" t="str">
        <f aca="false">IF(C1837="","",C1837*D1837/100)</f>
        <v/>
      </c>
      <c r="F1837" s="15" t="str">
        <f aca="false">IF(B1837&lt;5,"Go","Standard")</f>
        <v>Go</v>
      </c>
    </row>
    <row r="1838" customFormat="false" ht="15" hidden="false" customHeight="true" outlineLevel="0" collapsed="false">
      <c r="A1838" s="10" t="n">
        <f aca="false">Einstellungen!$B$5+INT((ROW()-9)/24)</f>
        <v>46042</v>
      </c>
      <c r="B1838" s="11" t="n">
        <f aca="false">MOD(ROW()-9,24)</f>
        <v>5</v>
      </c>
      <c r="C1838" s="12"/>
      <c r="D1838" s="13" t="n">
        <f aca="false">IF(B1838&lt;5,Einstellungen!$B$3,Einstellungen!$B$4)</f>
        <v>29.13</v>
      </c>
      <c r="E1838" s="14" t="str">
        <f aca="false">IF(C1838="","",C1838*D1838/100)</f>
        <v/>
      </c>
      <c r="F1838" s="15" t="str">
        <f aca="false">IF(B1838&lt;5,"Go","Standard")</f>
        <v>Standard</v>
      </c>
    </row>
    <row r="1839" customFormat="false" ht="15" hidden="false" customHeight="true" outlineLevel="0" collapsed="false">
      <c r="A1839" s="10" t="n">
        <f aca="false">Einstellungen!$B$5+INT((ROW()-9)/24)</f>
        <v>46042</v>
      </c>
      <c r="B1839" s="11" t="n">
        <f aca="false">MOD(ROW()-9,24)</f>
        <v>6</v>
      </c>
      <c r="C1839" s="12"/>
      <c r="D1839" s="13" t="n">
        <f aca="false">IF(B1839&lt;5,Einstellungen!$B$3,Einstellungen!$B$4)</f>
        <v>29.13</v>
      </c>
      <c r="E1839" s="14" t="str">
        <f aca="false">IF(C1839="","",C1839*D1839/100)</f>
        <v/>
      </c>
      <c r="F1839" s="15" t="str">
        <f aca="false">IF(B1839&lt;5,"Go","Standard")</f>
        <v>Standard</v>
      </c>
    </row>
    <row r="1840" customFormat="false" ht="15" hidden="false" customHeight="true" outlineLevel="0" collapsed="false">
      <c r="A1840" s="10" t="n">
        <f aca="false">Einstellungen!$B$5+INT((ROW()-9)/24)</f>
        <v>46042</v>
      </c>
      <c r="B1840" s="11" t="n">
        <f aca="false">MOD(ROW()-9,24)</f>
        <v>7</v>
      </c>
      <c r="C1840" s="12"/>
      <c r="D1840" s="13" t="n">
        <f aca="false">IF(B1840&lt;5,Einstellungen!$B$3,Einstellungen!$B$4)</f>
        <v>29.13</v>
      </c>
      <c r="E1840" s="14" t="str">
        <f aca="false">IF(C1840="","",C1840*D1840/100)</f>
        <v/>
      </c>
      <c r="F1840" s="15" t="str">
        <f aca="false">IF(B1840&lt;5,"Go","Standard")</f>
        <v>Standard</v>
      </c>
    </row>
    <row r="1841" customFormat="false" ht="15" hidden="false" customHeight="true" outlineLevel="0" collapsed="false">
      <c r="A1841" s="10" t="n">
        <f aca="false">Einstellungen!$B$5+INT((ROW()-9)/24)</f>
        <v>46042</v>
      </c>
      <c r="B1841" s="11" t="n">
        <f aca="false">MOD(ROW()-9,24)</f>
        <v>8</v>
      </c>
      <c r="C1841" s="12"/>
      <c r="D1841" s="13" t="n">
        <f aca="false">IF(B1841&lt;5,Einstellungen!$B$3,Einstellungen!$B$4)</f>
        <v>29.13</v>
      </c>
      <c r="E1841" s="14" t="str">
        <f aca="false">IF(C1841="","",C1841*D1841/100)</f>
        <v/>
      </c>
      <c r="F1841" s="15" t="str">
        <f aca="false">IF(B1841&lt;5,"Go","Standard")</f>
        <v>Standard</v>
      </c>
    </row>
    <row r="1842" customFormat="false" ht="15" hidden="false" customHeight="true" outlineLevel="0" collapsed="false">
      <c r="A1842" s="10" t="n">
        <f aca="false">Einstellungen!$B$5+INT((ROW()-9)/24)</f>
        <v>46042</v>
      </c>
      <c r="B1842" s="11" t="n">
        <f aca="false">MOD(ROW()-9,24)</f>
        <v>9</v>
      </c>
      <c r="C1842" s="12"/>
      <c r="D1842" s="13" t="n">
        <f aca="false">IF(B1842&lt;5,Einstellungen!$B$3,Einstellungen!$B$4)</f>
        <v>29.13</v>
      </c>
      <c r="E1842" s="14" t="str">
        <f aca="false">IF(C1842="","",C1842*D1842/100)</f>
        <v/>
      </c>
      <c r="F1842" s="15" t="str">
        <f aca="false">IF(B1842&lt;5,"Go","Standard")</f>
        <v>Standard</v>
      </c>
    </row>
    <row r="1843" customFormat="false" ht="15" hidden="false" customHeight="true" outlineLevel="0" collapsed="false">
      <c r="A1843" s="10" t="n">
        <f aca="false">Einstellungen!$B$5+INT((ROW()-9)/24)</f>
        <v>46042</v>
      </c>
      <c r="B1843" s="11" t="n">
        <f aca="false">MOD(ROW()-9,24)</f>
        <v>10</v>
      </c>
      <c r="C1843" s="12"/>
      <c r="D1843" s="13" t="n">
        <f aca="false">IF(B1843&lt;5,Einstellungen!$B$3,Einstellungen!$B$4)</f>
        <v>29.13</v>
      </c>
      <c r="E1843" s="14" t="str">
        <f aca="false">IF(C1843="","",C1843*D1843/100)</f>
        <v/>
      </c>
      <c r="F1843" s="15" t="str">
        <f aca="false">IF(B1843&lt;5,"Go","Standard")</f>
        <v>Standard</v>
      </c>
    </row>
    <row r="1844" customFormat="false" ht="15" hidden="false" customHeight="true" outlineLevel="0" collapsed="false">
      <c r="A1844" s="10" t="n">
        <f aca="false">Einstellungen!$B$5+INT((ROW()-9)/24)</f>
        <v>46042</v>
      </c>
      <c r="B1844" s="11" t="n">
        <f aca="false">MOD(ROW()-9,24)</f>
        <v>11</v>
      </c>
      <c r="C1844" s="12"/>
      <c r="D1844" s="13" t="n">
        <f aca="false">IF(B1844&lt;5,Einstellungen!$B$3,Einstellungen!$B$4)</f>
        <v>29.13</v>
      </c>
      <c r="E1844" s="14" t="str">
        <f aca="false">IF(C1844="","",C1844*D1844/100)</f>
        <v/>
      </c>
      <c r="F1844" s="15" t="str">
        <f aca="false">IF(B1844&lt;5,"Go","Standard")</f>
        <v>Standard</v>
      </c>
    </row>
    <row r="1845" customFormat="false" ht="15" hidden="false" customHeight="true" outlineLevel="0" collapsed="false">
      <c r="A1845" s="10" t="n">
        <f aca="false">Einstellungen!$B$5+INT((ROW()-9)/24)</f>
        <v>46042</v>
      </c>
      <c r="B1845" s="11" t="n">
        <f aca="false">MOD(ROW()-9,24)</f>
        <v>12</v>
      </c>
      <c r="C1845" s="12"/>
      <c r="D1845" s="13" t="n">
        <f aca="false">IF(B1845&lt;5,Einstellungen!$B$3,Einstellungen!$B$4)</f>
        <v>29.13</v>
      </c>
      <c r="E1845" s="14" t="str">
        <f aca="false">IF(C1845="","",C1845*D1845/100)</f>
        <v/>
      </c>
      <c r="F1845" s="15" t="str">
        <f aca="false">IF(B1845&lt;5,"Go","Standard")</f>
        <v>Standard</v>
      </c>
    </row>
    <row r="1846" customFormat="false" ht="15" hidden="false" customHeight="true" outlineLevel="0" collapsed="false">
      <c r="A1846" s="10" t="n">
        <f aca="false">Einstellungen!$B$5+INT((ROW()-9)/24)</f>
        <v>46042</v>
      </c>
      <c r="B1846" s="11" t="n">
        <f aca="false">MOD(ROW()-9,24)</f>
        <v>13</v>
      </c>
      <c r="C1846" s="12"/>
      <c r="D1846" s="13" t="n">
        <f aca="false">IF(B1846&lt;5,Einstellungen!$B$3,Einstellungen!$B$4)</f>
        <v>29.13</v>
      </c>
      <c r="E1846" s="14" t="str">
        <f aca="false">IF(C1846="","",C1846*D1846/100)</f>
        <v/>
      </c>
      <c r="F1846" s="15" t="str">
        <f aca="false">IF(B1846&lt;5,"Go","Standard")</f>
        <v>Standard</v>
      </c>
    </row>
    <row r="1847" customFormat="false" ht="15" hidden="false" customHeight="true" outlineLevel="0" collapsed="false">
      <c r="A1847" s="10" t="n">
        <f aca="false">Einstellungen!$B$5+INT((ROW()-9)/24)</f>
        <v>46042</v>
      </c>
      <c r="B1847" s="11" t="n">
        <f aca="false">MOD(ROW()-9,24)</f>
        <v>14</v>
      </c>
      <c r="C1847" s="12"/>
      <c r="D1847" s="13" t="n">
        <f aca="false">IF(B1847&lt;5,Einstellungen!$B$3,Einstellungen!$B$4)</f>
        <v>29.13</v>
      </c>
      <c r="E1847" s="14" t="str">
        <f aca="false">IF(C1847="","",C1847*D1847/100)</f>
        <v/>
      </c>
      <c r="F1847" s="15" t="str">
        <f aca="false">IF(B1847&lt;5,"Go","Standard")</f>
        <v>Standard</v>
      </c>
    </row>
    <row r="1848" customFormat="false" ht="15" hidden="false" customHeight="true" outlineLevel="0" collapsed="false">
      <c r="A1848" s="10" t="n">
        <f aca="false">Einstellungen!$B$5+INT((ROW()-9)/24)</f>
        <v>46042</v>
      </c>
      <c r="B1848" s="11" t="n">
        <f aca="false">MOD(ROW()-9,24)</f>
        <v>15</v>
      </c>
      <c r="C1848" s="12"/>
      <c r="D1848" s="13" t="n">
        <f aca="false">IF(B1848&lt;5,Einstellungen!$B$3,Einstellungen!$B$4)</f>
        <v>29.13</v>
      </c>
      <c r="E1848" s="14" t="str">
        <f aca="false">IF(C1848="","",C1848*D1848/100)</f>
        <v/>
      </c>
      <c r="F1848" s="15" t="str">
        <f aca="false">IF(B1848&lt;5,"Go","Standard")</f>
        <v>Standard</v>
      </c>
    </row>
    <row r="1849" customFormat="false" ht="15" hidden="false" customHeight="true" outlineLevel="0" collapsed="false">
      <c r="A1849" s="10" t="n">
        <f aca="false">Einstellungen!$B$5+INT((ROW()-9)/24)</f>
        <v>46042</v>
      </c>
      <c r="B1849" s="11" t="n">
        <f aca="false">MOD(ROW()-9,24)</f>
        <v>16</v>
      </c>
      <c r="C1849" s="12"/>
      <c r="D1849" s="13" t="n">
        <f aca="false">IF(B1849&lt;5,Einstellungen!$B$3,Einstellungen!$B$4)</f>
        <v>29.13</v>
      </c>
      <c r="E1849" s="14" t="str">
        <f aca="false">IF(C1849="","",C1849*D1849/100)</f>
        <v/>
      </c>
      <c r="F1849" s="15" t="str">
        <f aca="false">IF(B1849&lt;5,"Go","Standard")</f>
        <v>Standard</v>
      </c>
    </row>
    <row r="1850" customFormat="false" ht="15" hidden="false" customHeight="true" outlineLevel="0" collapsed="false">
      <c r="A1850" s="10" t="n">
        <f aca="false">Einstellungen!$B$5+INT((ROW()-9)/24)</f>
        <v>46042</v>
      </c>
      <c r="B1850" s="11" t="n">
        <f aca="false">MOD(ROW()-9,24)</f>
        <v>17</v>
      </c>
      <c r="C1850" s="12"/>
      <c r="D1850" s="13" t="n">
        <f aca="false">IF(B1850&lt;5,Einstellungen!$B$3,Einstellungen!$B$4)</f>
        <v>29.13</v>
      </c>
      <c r="E1850" s="14" t="str">
        <f aca="false">IF(C1850="","",C1850*D1850/100)</f>
        <v/>
      </c>
      <c r="F1850" s="15" t="str">
        <f aca="false">IF(B1850&lt;5,"Go","Standard")</f>
        <v>Standard</v>
      </c>
    </row>
    <row r="1851" customFormat="false" ht="15" hidden="false" customHeight="true" outlineLevel="0" collapsed="false">
      <c r="A1851" s="10" t="n">
        <f aca="false">Einstellungen!$B$5+INT((ROW()-9)/24)</f>
        <v>46042</v>
      </c>
      <c r="B1851" s="11" t="n">
        <f aca="false">MOD(ROW()-9,24)</f>
        <v>18</v>
      </c>
      <c r="C1851" s="12"/>
      <c r="D1851" s="13" t="n">
        <f aca="false">IF(B1851&lt;5,Einstellungen!$B$3,Einstellungen!$B$4)</f>
        <v>29.13</v>
      </c>
      <c r="E1851" s="14" t="str">
        <f aca="false">IF(C1851="","",C1851*D1851/100)</f>
        <v/>
      </c>
      <c r="F1851" s="15" t="str">
        <f aca="false">IF(B1851&lt;5,"Go","Standard")</f>
        <v>Standard</v>
      </c>
    </row>
    <row r="1852" customFormat="false" ht="15" hidden="false" customHeight="true" outlineLevel="0" collapsed="false">
      <c r="A1852" s="10" t="n">
        <f aca="false">Einstellungen!$B$5+INT((ROW()-9)/24)</f>
        <v>46042</v>
      </c>
      <c r="B1852" s="11" t="n">
        <f aca="false">MOD(ROW()-9,24)</f>
        <v>19</v>
      </c>
      <c r="C1852" s="12"/>
      <c r="D1852" s="13" t="n">
        <f aca="false">IF(B1852&lt;5,Einstellungen!$B$3,Einstellungen!$B$4)</f>
        <v>29.13</v>
      </c>
      <c r="E1852" s="14" t="str">
        <f aca="false">IF(C1852="","",C1852*D1852/100)</f>
        <v/>
      </c>
      <c r="F1852" s="15" t="str">
        <f aca="false">IF(B1852&lt;5,"Go","Standard")</f>
        <v>Standard</v>
      </c>
    </row>
    <row r="1853" customFormat="false" ht="15" hidden="false" customHeight="true" outlineLevel="0" collapsed="false">
      <c r="A1853" s="10" t="n">
        <f aca="false">Einstellungen!$B$5+INT((ROW()-9)/24)</f>
        <v>46042</v>
      </c>
      <c r="B1853" s="11" t="n">
        <f aca="false">MOD(ROW()-9,24)</f>
        <v>20</v>
      </c>
      <c r="C1853" s="12"/>
      <c r="D1853" s="13" t="n">
        <f aca="false">IF(B1853&lt;5,Einstellungen!$B$3,Einstellungen!$B$4)</f>
        <v>29.13</v>
      </c>
      <c r="E1853" s="14" t="str">
        <f aca="false">IF(C1853="","",C1853*D1853/100)</f>
        <v/>
      </c>
      <c r="F1853" s="15" t="str">
        <f aca="false">IF(B1853&lt;5,"Go","Standard")</f>
        <v>Standard</v>
      </c>
    </row>
    <row r="1854" customFormat="false" ht="15" hidden="false" customHeight="true" outlineLevel="0" collapsed="false">
      <c r="A1854" s="10" t="n">
        <f aca="false">Einstellungen!$B$5+INT((ROW()-9)/24)</f>
        <v>46042</v>
      </c>
      <c r="B1854" s="11" t="n">
        <f aca="false">MOD(ROW()-9,24)</f>
        <v>21</v>
      </c>
      <c r="C1854" s="12"/>
      <c r="D1854" s="13" t="n">
        <f aca="false">IF(B1854&lt;5,Einstellungen!$B$3,Einstellungen!$B$4)</f>
        <v>29.13</v>
      </c>
      <c r="E1854" s="14" t="str">
        <f aca="false">IF(C1854="","",C1854*D1854/100)</f>
        <v/>
      </c>
      <c r="F1854" s="15" t="str">
        <f aca="false">IF(B1854&lt;5,"Go","Standard")</f>
        <v>Standard</v>
      </c>
    </row>
    <row r="1855" customFormat="false" ht="15" hidden="false" customHeight="true" outlineLevel="0" collapsed="false">
      <c r="A1855" s="10" t="n">
        <f aca="false">Einstellungen!$B$5+INT((ROW()-9)/24)</f>
        <v>46042</v>
      </c>
      <c r="B1855" s="11" t="n">
        <f aca="false">MOD(ROW()-9,24)</f>
        <v>22</v>
      </c>
      <c r="C1855" s="12"/>
      <c r="D1855" s="13" t="n">
        <f aca="false">IF(B1855&lt;5,Einstellungen!$B$3,Einstellungen!$B$4)</f>
        <v>29.13</v>
      </c>
      <c r="E1855" s="14" t="str">
        <f aca="false">IF(C1855="","",C1855*D1855/100)</f>
        <v/>
      </c>
      <c r="F1855" s="15" t="str">
        <f aca="false">IF(B1855&lt;5,"Go","Standard")</f>
        <v>Standard</v>
      </c>
    </row>
    <row r="1856" customFormat="false" ht="15" hidden="false" customHeight="true" outlineLevel="0" collapsed="false">
      <c r="A1856" s="10" t="n">
        <f aca="false">Einstellungen!$B$5+INT((ROW()-9)/24)</f>
        <v>46042</v>
      </c>
      <c r="B1856" s="11" t="n">
        <f aca="false">MOD(ROW()-9,24)</f>
        <v>23</v>
      </c>
      <c r="C1856" s="12"/>
      <c r="D1856" s="13" t="n">
        <f aca="false">IF(B1856&lt;5,Einstellungen!$B$3,Einstellungen!$B$4)</f>
        <v>29.13</v>
      </c>
      <c r="E1856" s="14" t="str">
        <f aca="false">IF(C1856="","",C1856*D1856/100)</f>
        <v/>
      </c>
      <c r="F1856" s="15" t="str">
        <f aca="false">IF(B1856&lt;5,"Go","Standard")</f>
        <v>Standard</v>
      </c>
    </row>
    <row r="1857" customFormat="false" ht="15" hidden="false" customHeight="true" outlineLevel="0" collapsed="false">
      <c r="A1857" s="10" t="n">
        <f aca="false">Einstellungen!$B$5+INT((ROW()-9)/24)</f>
        <v>46043</v>
      </c>
      <c r="B1857" s="11" t="n">
        <f aca="false">MOD(ROW()-9,24)</f>
        <v>0</v>
      </c>
      <c r="C1857" s="12"/>
      <c r="D1857" s="13" t="n">
        <f aca="false">IF(B1857&lt;5,Einstellungen!$B$3,Einstellungen!$B$4)</f>
        <v>15.92</v>
      </c>
      <c r="E1857" s="14" t="str">
        <f aca="false">IF(C1857="","",C1857*D1857/100)</f>
        <v/>
      </c>
      <c r="F1857" s="15" t="str">
        <f aca="false">IF(B1857&lt;5,"Go","Standard")</f>
        <v>Go</v>
      </c>
    </row>
    <row r="1858" customFormat="false" ht="15" hidden="false" customHeight="true" outlineLevel="0" collapsed="false">
      <c r="A1858" s="10" t="n">
        <f aca="false">Einstellungen!$B$5+INT((ROW()-9)/24)</f>
        <v>46043</v>
      </c>
      <c r="B1858" s="11" t="n">
        <f aca="false">MOD(ROW()-9,24)</f>
        <v>1</v>
      </c>
      <c r="C1858" s="12"/>
      <c r="D1858" s="13" t="n">
        <f aca="false">IF(B1858&lt;5,Einstellungen!$B$3,Einstellungen!$B$4)</f>
        <v>15.92</v>
      </c>
      <c r="E1858" s="14" t="str">
        <f aca="false">IF(C1858="","",C1858*D1858/100)</f>
        <v/>
      </c>
      <c r="F1858" s="15" t="str">
        <f aca="false">IF(B1858&lt;5,"Go","Standard")</f>
        <v>Go</v>
      </c>
    </row>
    <row r="1859" customFormat="false" ht="15" hidden="false" customHeight="true" outlineLevel="0" collapsed="false">
      <c r="A1859" s="10" t="n">
        <f aca="false">Einstellungen!$B$5+INT((ROW()-9)/24)</f>
        <v>46043</v>
      </c>
      <c r="B1859" s="11" t="n">
        <f aca="false">MOD(ROW()-9,24)</f>
        <v>2</v>
      </c>
      <c r="C1859" s="12"/>
      <c r="D1859" s="13" t="n">
        <f aca="false">IF(B1859&lt;5,Einstellungen!$B$3,Einstellungen!$B$4)</f>
        <v>15.92</v>
      </c>
      <c r="E1859" s="14" t="str">
        <f aca="false">IF(C1859="","",C1859*D1859/100)</f>
        <v/>
      </c>
      <c r="F1859" s="15" t="str">
        <f aca="false">IF(B1859&lt;5,"Go","Standard")</f>
        <v>Go</v>
      </c>
    </row>
    <row r="1860" customFormat="false" ht="15" hidden="false" customHeight="true" outlineLevel="0" collapsed="false">
      <c r="A1860" s="10" t="n">
        <f aca="false">Einstellungen!$B$5+INT((ROW()-9)/24)</f>
        <v>46043</v>
      </c>
      <c r="B1860" s="11" t="n">
        <f aca="false">MOD(ROW()-9,24)</f>
        <v>3</v>
      </c>
      <c r="C1860" s="12"/>
      <c r="D1860" s="13" t="n">
        <f aca="false">IF(B1860&lt;5,Einstellungen!$B$3,Einstellungen!$B$4)</f>
        <v>15.92</v>
      </c>
      <c r="E1860" s="14" t="str">
        <f aca="false">IF(C1860="","",C1860*D1860/100)</f>
        <v/>
      </c>
      <c r="F1860" s="15" t="str">
        <f aca="false">IF(B1860&lt;5,"Go","Standard")</f>
        <v>Go</v>
      </c>
    </row>
    <row r="1861" customFormat="false" ht="15" hidden="false" customHeight="true" outlineLevel="0" collapsed="false">
      <c r="A1861" s="10" t="n">
        <f aca="false">Einstellungen!$B$5+INT((ROW()-9)/24)</f>
        <v>46043</v>
      </c>
      <c r="B1861" s="11" t="n">
        <f aca="false">MOD(ROW()-9,24)</f>
        <v>4</v>
      </c>
      <c r="C1861" s="12"/>
      <c r="D1861" s="13" t="n">
        <f aca="false">IF(B1861&lt;5,Einstellungen!$B$3,Einstellungen!$B$4)</f>
        <v>15.92</v>
      </c>
      <c r="E1861" s="14" t="str">
        <f aca="false">IF(C1861="","",C1861*D1861/100)</f>
        <v/>
      </c>
      <c r="F1861" s="15" t="str">
        <f aca="false">IF(B1861&lt;5,"Go","Standard")</f>
        <v>Go</v>
      </c>
    </row>
    <row r="1862" customFormat="false" ht="15" hidden="false" customHeight="true" outlineLevel="0" collapsed="false">
      <c r="A1862" s="10" t="n">
        <f aca="false">Einstellungen!$B$5+INT((ROW()-9)/24)</f>
        <v>46043</v>
      </c>
      <c r="B1862" s="11" t="n">
        <f aca="false">MOD(ROW()-9,24)</f>
        <v>5</v>
      </c>
      <c r="C1862" s="12"/>
      <c r="D1862" s="13" t="n">
        <f aca="false">IF(B1862&lt;5,Einstellungen!$B$3,Einstellungen!$B$4)</f>
        <v>29.13</v>
      </c>
      <c r="E1862" s="14" t="str">
        <f aca="false">IF(C1862="","",C1862*D1862/100)</f>
        <v/>
      </c>
      <c r="F1862" s="15" t="str">
        <f aca="false">IF(B1862&lt;5,"Go","Standard")</f>
        <v>Standard</v>
      </c>
    </row>
    <row r="1863" customFormat="false" ht="15" hidden="false" customHeight="true" outlineLevel="0" collapsed="false">
      <c r="A1863" s="10" t="n">
        <f aca="false">Einstellungen!$B$5+INT((ROW()-9)/24)</f>
        <v>46043</v>
      </c>
      <c r="B1863" s="11" t="n">
        <f aca="false">MOD(ROW()-9,24)</f>
        <v>6</v>
      </c>
      <c r="C1863" s="12"/>
      <c r="D1863" s="13" t="n">
        <f aca="false">IF(B1863&lt;5,Einstellungen!$B$3,Einstellungen!$B$4)</f>
        <v>29.13</v>
      </c>
      <c r="E1863" s="14" t="str">
        <f aca="false">IF(C1863="","",C1863*D1863/100)</f>
        <v/>
      </c>
      <c r="F1863" s="15" t="str">
        <f aca="false">IF(B1863&lt;5,"Go","Standard")</f>
        <v>Standard</v>
      </c>
    </row>
    <row r="1864" customFormat="false" ht="15" hidden="false" customHeight="true" outlineLevel="0" collapsed="false">
      <c r="A1864" s="10" t="n">
        <f aca="false">Einstellungen!$B$5+INT((ROW()-9)/24)</f>
        <v>46043</v>
      </c>
      <c r="B1864" s="11" t="n">
        <f aca="false">MOD(ROW()-9,24)</f>
        <v>7</v>
      </c>
      <c r="C1864" s="12"/>
      <c r="D1864" s="13" t="n">
        <f aca="false">IF(B1864&lt;5,Einstellungen!$B$3,Einstellungen!$B$4)</f>
        <v>29.13</v>
      </c>
      <c r="E1864" s="14" t="str">
        <f aca="false">IF(C1864="","",C1864*D1864/100)</f>
        <v/>
      </c>
      <c r="F1864" s="15" t="str">
        <f aca="false">IF(B1864&lt;5,"Go","Standard")</f>
        <v>Standard</v>
      </c>
    </row>
    <row r="1865" customFormat="false" ht="15" hidden="false" customHeight="true" outlineLevel="0" collapsed="false">
      <c r="A1865" s="10" t="n">
        <f aca="false">Einstellungen!$B$5+INT((ROW()-9)/24)</f>
        <v>46043</v>
      </c>
      <c r="B1865" s="11" t="n">
        <f aca="false">MOD(ROW()-9,24)</f>
        <v>8</v>
      </c>
      <c r="C1865" s="12"/>
      <c r="D1865" s="13" t="n">
        <f aca="false">IF(B1865&lt;5,Einstellungen!$B$3,Einstellungen!$B$4)</f>
        <v>29.13</v>
      </c>
      <c r="E1865" s="14" t="str">
        <f aca="false">IF(C1865="","",C1865*D1865/100)</f>
        <v/>
      </c>
      <c r="F1865" s="15" t="str">
        <f aca="false">IF(B1865&lt;5,"Go","Standard")</f>
        <v>Standard</v>
      </c>
    </row>
    <row r="1866" customFormat="false" ht="15" hidden="false" customHeight="true" outlineLevel="0" collapsed="false">
      <c r="A1866" s="10" t="n">
        <f aca="false">Einstellungen!$B$5+INT((ROW()-9)/24)</f>
        <v>46043</v>
      </c>
      <c r="B1866" s="11" t="n">
        <f aca="false">MOD(ROW()-9,24)</f>
        <v>9</v>
      </c>
      <c r="C1866" s="12"/>
      <c r="D1866" s="13" t="n">
        <f aca="false">IF(B1866&lt;5,Einstellungen!$B$3,Einstellungen!$B$4)</f>
        <v>29.13</v>
      </c>
      <c r="E1866" s="14" t="str">
        <f aca="false">IF(C1866="","",C1866*D1866/100)</f>
        <v/>
      </c>
      <c r="F1866" s="15" t="str">
        <f aca="false">IF(B1866&lt;5,"Go","Standard")</f>
        <v>Standard</v>
      </c>
    </row>
    <row r="1867" customFormat="false" ht="15" hidden="false" customHeight="true" outlineLevel="0" collapsed="false">
      <c r="A1867" s="10" t="n">
        <f aca="false">Einstellungen!$B$5+INT((ROW()-9)/24)</f>
        <v>46043</v>
      </c>
      <c r="B1867" s="11" t="n">
        <f aca="false">MOD(ROW()-9,24)</f>
        <v>10</v>
      </c>
      <c r="C1867" s="12"/>
      <c r="D1867" s="13" t="n">
        <f aca="false">IF(B1867&lt;5,Einstellungen!$B$3,Einstellungen!$B$4)</f>
        <v>29.13</v>
      </c>
      <c r="E1867" s="14" t="str">
        <f aca="false">IF(C1867="","",C1867*D1867/100)</f>
        <v/>
      </c>
      <c r="F1867" s="15" t="str">
        <f aca="false">IF(B1867&lt;5,"Go","Standard")</f>
        <v>Standard</v>
      </c>
    </row>
    <row r="1868" customFormat="false" ht="15" hidden="false" customHeight="true" outlineLevel="0" collapsed="false">
      <c r="A1868" s="10" t="n">
        <f aca="false">Einstellungen!$B$5+INT((ROW()-9)/24)</f>
        <v>46043</v>
      </c>
      <c r="B1868" s="11" t="n">
        <f aca="false">MOD(ROW()-9,24)</f>
        <v>11</v>
      </c>
      <c r="C1868" s="12"/>
      <c r="D1868" s="13" t="n">
        <f aca="false">IF(B1868&lt;5,Einstellungen!$B$3,Einstellungen!$B$4)</f>
        <v>29.13</v>
      </c>
      <c r="E1868" s="14" t="str">
        <f aca="false">IF(C1868="","",C1868*D1868/100)</f>
        <v/>
      </c>
      <c r="F1868" s="15" t="str">
        <f aca="false">IF(B1868&lt;5,"Go","Standard")</f>
        <v>Standard</v>
      </c>
    </row>
    <row r="1869" customFormat="false" ht="15" hidden="false" customHeight="true" outlineLevel="0" collapsed="false">
      <c r="A1869" s="10" t="n">
        <f aca="false">Einstellungen!$B$5+INT((ROW()-9)/24)</f>
        <v>46043</v>
      </c>
      <c r="B1869" s="11" t="n">
        <f aca="false">MOD(ROW()-9,24)</f>
        <v>12</v>
      </c>
      <c r="C1869" s="12"/>
      <c r="D1869" s="13" t="n">
        <f aca="false">IF(B1869&lt;5,Einstellungen!$B$3,Einstellungen!$B$4)</f>
        <v>29.13</v>
      </c>
      <c r="E1869" s="14" t="str">
        <f aca="false">IF(C1869="","",C1869*D1869/100)</f>
        <v/>
      </c>
      <c r="F1869" s="15" t="str">
        <f aca="false">IF(B1869&lt;5,"Go","Standard")</f>
        <v>Standard</v>
      </c>
    </row>
    <row r="1870" customFormat="false" ht="15" hidden="false" customHeight="true" outlineLevel="0" collapsed="false">
      <c r="A1870" s="10" t="n">
        <f aca="false">Einstellungen!$B$5+INT((ROW()-9)/24)</f>
        <v>46043</v>
      </c>
      <c r="B1870" s="11" t="n">
        <f aca="false">MOD(ROW()-9,24)</f>
        <v>13</v>
      </c>
      <c r="C1870" s="12"/>
      <c r="D1870" s="13" t="n">
        <f aca="false">IF(B1870&lt;5,Einstellungen!$B$3,Einstellungen!$B$4)</f>
        <v>29.13</v>
      </c>
      <c r="E1870" s="14" t="str">
        <f aca="false">IF(C1870="","",C1870*D1870/100)</f>
        <v/>
      </c>
      <c r="F1870" s="15" t="str">
        <f aca="false">IF(B1870&lt;5,"Go","Standard")</f>
        <v>Standard</v>
      </c>
    </row>
    <row r="1871" customFormat="false" ht="15" hidden="false" customHeight="true" outlineLevel="0" collapsed="false">
      <c r="A1871" s="10" t="n">
        <f aca="false">Einstellungen!$B$5+INT((ROW()-9)/24)</f>
        <v>46043</v>
      </c>
      <c r="B1871" s="11" t="n">
        <f aca="false">MOD(ROW()-9,24)</f>
        <v>14</v>
      </c>
      <c r="C1871" s="12"/>
      <c r="D1871" s="13" t="n">
        <f aca="false">IF(B1871&lt;5,Einstellungen!$B$3,Einstellungen!$B$4)</f>
        <v>29.13</v>
      </c>
      <c r="E1871" s="14" t="str">
        <f aca="false">IF(C1871="","",C1871*D1871/100)</f>
        <v/>
      </c>
      <c r="F1871" s="15" t="str">
        <f aca="false">IF(B1871&lt;5,"Go","Standard")</f>
        <v>Standard</v>
      </c>
    </row>
    <row r="1872" customFormat="false" ht="15" hidden="false" customHeight="true" outlineLevel="0" collapsed="false">
      <c r="A1872" s="10" t="n">
        <f aca="false">Einstellungen!$B$5+INT((ROW()-9)/24)</f>
        <v>46043</v>
      </c>
      <c r="B1872" s="11" t="n">
        <f aca="false">MOD(ROW()-9,24)</f>
        <v>15</v>
      </c>
      <c r="C1872" s="12"/>
      <c r="D1872" s="13" t="n">
        <f aca="false">IF(B1872&lt;5,Einstellungen!$B$3,Einstellungen!$B$4)</f>
        <v>29.13</v>
      </c>
      <c r="E1872" s="14" t="str">
        <f aca="false">IF(C1872="","",C1872*D1872/100)</f>
        <v/>
      </c>
      <c r="F1872" s="15" t="str">
        <f aca="false">IF(B1872&lt;5,"Go","Standard")</f>
        <v>Standard</v>
      </c>
    </row>
    <row r="1873" customFormat="false" ht="15" hidden="false" customHeight="true" outlineLevel="0" collapsed="false">
      <c r="A1873" s="10" t="n">
        <f aca="false">Einstellungen!$B$5+INT((ROW()-9)/24)</f>
        <v>46043</v>
      </c>
      <c r="B1873" s="11" t="n">
        <f aca="false">MOD(ROW()-9,24)</f>
        <v>16</v>
      </c>
      <c r="C1873" s="12"/>
      <c r="D1873" s="13" t="n">
        <f aca="false">IF(B1873&lt;5,Einstellungen!$B$3,Einstellungen!$B$4)</f>
        <v>29.13</v>
      </c>
      <c r="E1873" s="14" t="str">
        <f aca="false">IF(C1873="","",C1873*D1873/100)</f>
        <v/>
      </c>
      <c r="F1873" s="15" t="str">
        <f aca="false">IF(B1873&lt;5,"Go","Standard")</f>
        <v>Standard</v>
      </c>
    </row>
    <row r="1874" customFormat="false" ht="15" hidden="false" customHeight="true" outlineLevel="0" collapsed="false">
      <c r="A1874" s="10" t="n">
        <f aca="false">Einstellungen!$B$5+INT((ROW()-9)/24)</f>
        <v>46043</v>
      </c>
      <c r="B1874" s="11" t="n">
        <f aca="false">MOD(ROW()-9,24)</f>
        <v>17</v>
      </c>
      <c r="C1874" s="12"/>
      <c r="D1874" s="13" t="n">
        <f aca="false">IF(B1874&lt;5,Einstellungen!$B$3,Einstellungen!$B$4)</f>
        <v>29.13</v>
      </c>
      <c r="E1874" s="14" t="str">
        <f aca="false">IF(C1874="","",C1874*D1874/100)</f>
        <v/>
      </c>
      <c r="F1874" s="15" t="str">
        <f aca="false">IF(B1874&lt;5,"Go","Standard")</f>
        <v>Standard</v>
      </c>
    </row>
    <row r="1875" customFormat="false" ht="15" hidden="false" customHeight="true" outlineLevel="0" collapsed="false">
      <c r="A1875" s="10" t="n">
        <f aca="false">Einstellungen!$B$5+INT((ROW()-9)/24)</f>
        <v>46043</v>
      </c>
      <c r="B1875" s="11" t="n">
        <f aca="false">MOD(ROW()-9,24)</f>
        <v>18</v>
      </c>
      <c r="C1875" s="12"/>
      <c r="D1875" s="13" t="n">
        <f aca="false">IF(B1875&lt;5,Einstellungen!$B$3,Einstellungen!$B$4)</f>
        <v>29.13</v>
      </c>
      <c r="E1875" s="14" t="str">
        <f aca="false">IF(C1875="","",C1875*D1875/100)</f>
        <v/>
      </c>
      <c r="F1875" s="15" t="str">
        <f aca="false">IF(B1875&lt;5,"Go","Standard")</f>
        <v>Standard</v>
      </c>
    </row>
    <row r="1876" customFormat="false" ht="15" hidden="false" customHeight="true" outlineLevel="0" collapsed="false">
      <c r="A1876" s="10" t="n">
        <f aca="false">Einstellungen!$B$5+INT((ROW()-9)/24)</f>
        <v>46043</v>
      </c>
      <c r="B1876" s="11" t="n">
        <f aca="false">MOD(ROW()-9,24)</f>
        <v>19</v>
      </c>
      <c r="C1876" s="12"/>
      <c r="D1876" s="13" t="n">
        <f aca="false">IF(B1876&lt;5,Einstellungen!$B$3,Einstellungen!$B$4)</f>
        <v>29.13</v>
      </c>
      <c r="E1876" s="14" t="str">
        <f aca="false">IF(C1876="","",C1876*D1876/100)</f>
        <v/>
      </c>
      <c r="F1876" s="15" t="str">
        <f aca="false">IF(B1876&lt;5,"Go","Standard")</f>
        <v>Standard</v>
      </c>
    </row>
    <row r="1877" customFormat="false" ht="15" hidden="false" customHeight="true" outlineLevel="0" collapsed="false">
      <c r="A1877" s="10" t="n">
        <f aca="false">Einstellungen!$B$5+INT((ROW()-9)/24)</f>
        <v>46043</v>
      </c>
      <c r="B1877" s="11" t="n">
        <f aca="false">MOD(ROW()-9,24)</f>
        <v>20</v>
      </c>
      <c r="C1877" s="12"/>
      <c r="D1877" s="13" t="n">
        <f aca="false">IF(B1877&lt;5,Einstellungen!$B$3,Einstellungen!$B$4)</f>
        <v>29.13</v>
      </c>
      <c r="E1877" s="14" t="str">
        <f aca="false">IF(C1877="","",C1877*D1877/100)</f>
        <v/>
      </c>
      <c r="F1877" s="15" t="str">
        <f aca="false">IF(B1877&lt;5,"Go","Standard")</f>
        <v>Standard</v>
      </c>
    </row>
    <row r="1878" customFormat="false" ht="15" hidden="false" customHeight="true" outlineLevel="0" collapsed="false">
      <c r="A1878" s="10" t="n">
        <f aca="false">Einstellungen!$B$5+INT((ROW()-9)/24)</f>
        <v>46043</v>
      </c>
      <c r="B1878" s="11" t="n">
        <f aca="false">MOD(ROW()-9,24)</f>
        <v>21</v>
      </c>
      <c r="C1878" s="12"/>
      <c r="D1878" s="13" t="n">
        <f aca="false">IF(B1878&lt;5,Einstellungen!$B$3,Einstellungen!$B$4)</f>
        <v>29.13</v>
      </c>
      <c r="E1878" s="14" t="str">
        <f aca="false">IF(C1878="","",C1878*D1878/100)</f>
        <v/>
      </c>
      <c r="F1878" s="15" t="str">
        <f aca="false">IF(B1878&lt;5,"Go","Standard")</f>
        <v>Standard</v>
      </c>
    </row>
    <row r="1879" customFormat="false" ht="15" hidden="false" customHeight="true" outlineLevel="0" collapsed="false">
      <c r="A1879" s="10" t="n">
        <f aca="false">Einstellungen!$B$5+INT((ROW()-9)/24)</f>
        <v>46043</v>
      </c>
      <c r="B1879" s="11" t="n">
        <f aca="false">MOD(ROW()-9,24)</f>
        <v>22</v>
      </c>
      <c r="C1879" s="12"/>
      <c r="D1879" s="13" t="n">
        <f aca="false">IF(B1879&lt;5,Einstellungen!$B$3,Einstellungen!$B$4)</f>
        <v>29.13</v>
      </c>
      <c r="E1879" s="14" t="str">
        <f aca="false">IF(C1879="","",C1879*D1879/100)</f>
        <v/>
      </c>
      <c r="F1879" s="15" t="str">
        <f aca="false">IF(B1879&lt;5,"Go","Standard")</f>
        <v>Standard</v>
      </c>
    </row>
    <row r="1880" customFormat="false" ht="15" hidden="false" customHeight="true" outlineLevel="0" collapsed="false">
      <c r="A1880" s="10" t="n">
        <f aca="false">Einstellungen!$B$5+INT((ROW()-9)/24)</f>
        <v>46043</v>
      </c>
      <c r="B1880" s="11" t="n">
        <f aca="false">MOD(ROW()-9,24)</f>
        <v>23</v>
      </c>
      <c r="C1880" s="12"/>
      <c r="D1880" s="13" t="n">
        <f aca="false">IF(B1880&lt;5,Einstellungen!$B$3,Einstellungen!$B$4)</f>
        <v>29.13</v>
      </c>
      <c r="E1880" s="14" t="str">
        <f aca="false">IF(C1880="","",C1880*D1880/100)</f>
        <v/>
      </c>
      <c r="F1880" s="15" t="str">
        <f aca="false">IF(B1880&lt;5,"Go","Standard")</f>
        <v>Standard</v>
      </c>
    </row>
    <row r="1881" customFormat="false" ht="15" hidden="false" customHeight="true" outlineLevel="0" collapsed="false">
      <c r="A1881" s="10" t="n">
        <f aca="false">Einstellungen!$B$5+INT((ROW()-9)/24)</f>
        <v>46044</v>
      </c>
      <c r="B1881" s="11" t="n">
        <f aca="false">MOD(ROW()-9,24)</f>
        <v>0</v>
      </c>
      <c r="C1881" s="12"/>
      <c r="D1881" s="13" t="n">
        <f aca="false">IF(B1881&lt;5,Einstellungen!$B$3,Einstellungen!$B$4)</f>
        <v>15.92</v>
      </c>
      <c r="E1881" s="14" t="str">
        <f aca="false">IF(C1881="","",C1881*D1881/100)</f>
        <v/>
      </c>
      <c r="F1881" s="15" t="str">
        <f aca="false">IF(B1881&lt;5,"Go","Standard")</f>
        <v>Go</v>
      </c>
    </row>
    <row r="1882" customFormat="false" ht="15" hidden="false" customHeight="true" outlineLevel="0" collapsed="false">
      <c r="A1882" s="10" t="n">
        <f aca="false">Einstellungen!$B$5+INT((ROW()-9)/24)</f>
        <v>46044</v>
      </c>
      <c r="B1882" s="11" t="n">
        <f aca="false">MOD(ROW()-9,24)</f>
        <v>1</v>
      </c>
      <c r="C1882" s="12"/>
      <c r="D1882" s="13" t="n">
        <f aca="false">IF(B1882&lt;5,Einstellungen!$B$3,Einstellungen!$B$4)</f>
        <v>15.92</v>
      </c>
      <c r="E1882" s="14" t="str">
        <f aca="false">IF(C1882="","",C1882*D1882/100)</f>
        <v/>
      </c>
      <c r="F1882" s="15" t="str">
        <f aca="false">IF(B1882&lt;5,"Go","Standard")</f>
        <v>Go</v>
      </c>
    </row>
    <row r="1883" customFormat="false" ht="15" hidden="false" customHeight="true" outlineLevel="0" collapsed="false">
      <c r="A1883" s="10" t="n">
        <f aca="false">Einstellungen!$B$5+INT((ROW()-9)/24)</f>
        <v>46044</v>
      </c>
      <c r="B1883" s="11" t="n">
        <f aca="false">MOD(ROW()-9,24)</f>
        <v>2</v>
      </c>
      <c r="C1883" s="12"/>
      <c r="D1883" s="13" t="n">
        <f aca="false">IF(B1883&lt;5,Einstellungen!$B$3,Einstellungen!$B$4)</f>
        <v>15.92</v>
      </c>
      <c r="E1883" s="14" t="str">
        <f aca="false">IF(C1883="","",C1883*D1883/100)</f>
        <v/>
      </c>
      <c r="F1883" s="15" t="str">
        <f aca="false">IF(B1883&lt;5,"Go","Standard")</f>
        <v>Go</v>
      </c>
    </row>
    <row r="1884" customFormat="false" ht="15" hidden="false" customHeight="true" outlineLevel="0" collapsed="false">
      <c r="A1884" s="10" t="n">
        <f aca="false">Einstellungen!$B$5+INT((ROW()-9)/24)</f>
        <v>46044</v>
      </c>
      <c r="B1884" s="11" t="n">
        <f aca="false">MOD(ROW()-9,24)</f>
        <v>3</v>
      </c>
      <c r="C1884" s="12"/>
      <c r="D1884" s="13" t="n">
        <f aca="false">IF(B1884&lt;5,Einstellungen!$B$3,Einstellungen!$B$4)</f>
        <v>15.92</v>
      </c>
      <c r="E1884" s="14" t="str">
        <f aca="false">IF(C1884="","",C1884*D1884/100)</f>
        <v/>
      </c>
      <c r="F1884" s="15" t="str">
        <f aca="false">IF(B1884&lt;5,"Go","Standard")</f>
        <v>Go</v>
      </c>
    </row>
    <row r="1885" customFormat="false" ht="15" hidden="false" customHeight="true" outlineLevel="0" collapsed="false">
      <c r="A1885" s="10" t="n">
        <f aca="false">Einstellungen!$B$5+INT((ROW()-9)/24)</f>
        <v>46044</v>
      </c>
      <c r="B1885" s="11" t="n">
        <f aca="false">MOD(ROW()-9,24)</f>
        <v>4</v>
      </c>
      <c r="C1885" s="12"/>
      <c r="D1885" s="13" t="n">
        <f aca="false">IF(B1885&lt;5,Einstellungen!$B$3,Einstellungen!$B$4)</f>
        <v>15.92</v>
      </c>
      <c r="E1885" s="14" t="str">
        <f aca="false">IF(C1885="","",C1885*D1885/100)</f>
        <v/>
      </c>
      <c r="F1885" s="15" t="str">
        <f aca="false">IF(B1885&lt;5,"Go","Standard")</f>
        <v>Go</v>
      </c>
    </row>
    <row r="1886" customFormat="false" ht="15" hidden="false" customHeight="true" outlineLevel="0" collapsed="false">
      <c r="A1886" s="10" t="n">
        <f aca="false">Einstellungen!$B$5+INT((ROW()-9)/24)</f>
        <v>46044</v>
      </c>
      <c r="B1886" s="11" t="n">
        <f aca="false">MOD(ROW()-9,24)</f>
        <v>5</v>
      </c>
      <c r="C1886" s="12"/>
      <c r="D1886" s="13" t="n">
        <f aca="false">IF(B1886&lt;5,Einstellungen!$B$3,Einstellungen!$B$4)</f>
        <v>29.13</v>
      </c>
      <c r="E1886" s="14" t="str">
        <f aca="false">IF(C1886="","",C1886*D1886/100)</f>
        <v/>
      </c>
      <c r="F1886" s="15" t="str">
        <f aca="false">IF(B1886&lt;5,"Go","Standard")</f>
        <v>Standard</v>
      </c>
    </row>
    <row r="1887" customFormat="false" ht="15" hidden="false" customHeight="true" outlineLevel="0" collapsed="false">
      <c r="A1887" s="10" t="n">
        <f aca="false">Einstellungen!$B$5+INT((ROW()-9)/24)</f>
        <v>46044</v>
      </c>
      <c r="B1887" s="11" t="n">
        <f aca="false">MOD(ROW()-9,24)</f>
        <v>6</v>
      </c>
      <c r="C1887" s="12"/>
      <c r="D1887" s="13" t="n">
        <f aca="false">IF(B1887&lt;5,Einstellungen!$B$3,Einstellungen!$B$4)</f>
        <v>29.13</v>
      </c>
      <c r="E1887" s="14" t="str">
        <f aca="false">IF(C1887="","",C1887*D1887/100)</f>
        <v/>
      </c>
      <c r="F1887" s="15" t="str">
        <f aca="false">IF(B1887&lt;5,"Go","Standard")</f>
        <v>Standard</v>
      </c>
    </row>
    <row r="1888" customFormat="false" ht="15" hidden="false" customHeight="true" outlineLevel="0" collapsed="false">
      <c r="A1888" s="10" t="n">
        <f aca="false">Einstellungen!$B$5+INT((ROW()-9)/24)</f>
        <v>46044</v>
      </c>
      <c r="B1888" s="11" t="n">
        <f aca="false">MOD(ROW()-9,24)</f>
        <v>7</v>
      </c>
      <c r="C1888" s="12"/>
      <c r="D1888" s="13" t="n">
        <f aca="false">IF(B1888&lt;5,Einstellungen!$B$3,Einstellungen!$B$4)</f>
        <v>29.13</v>
      </c>
      <c r="E1888" s="14" t="str">
        <f aca="false">IF(C1888="","",C1888*D1888/100)</f>
        <v/>
      </c>
      <c r="F1888" s="15" t="str">
        <f aca="false">IF(B1888&lt;5,"Go","Standard")</f>
        <v>Standard</v>
      </c>
    </row>
    <row r="1889" customFormat="false" ht="15" hidden="false" customHeight="true" outlineLevel="0" collapsed="false">
      <c r="A1889" s="10" t="n">
        <f aca="false">Einstellungen!$B$5+INT((ROW()-9)/24)</f>
        <v>46044</v>
      </c>
      <c r="B1889" s="11" t="n">
        <f aca="false">MOD(ROW()-9,24)</f>
        <v>8</v>
      </c>
      <c r="C1889" s="12"/>
      <c r="D1889" s="13" t="n">
        <f aca="false">IF(B1889&lt;5,Einstellungen!$B$3,Einstellungen!$B$4)</f>
        <v>29.13</v>
      </c>
      <c r="E1889" s="14" t="str">
        <f aca="false">IF(C1889="","",C1889*D1889/100)</f>
        <v/>
      </c>
      <c r="F1889" s="15" t="str">
        <f aca="false">IF(B1889&lt;5,"Go","Standard")</f>
        <v>Standard</v>
      </c>
    </row>
    <row r="1890" customFormat="false" ht="15" hidden="false" customHeight="true" outlineLevel="0" collapsed="false">
      <c r="A1890" s="10" t="n">
        <f aca="false">Einstellungen!$B$5+INT((ROW()-9)/24)</f>
        <v>46044</v>
      </c>
      <c r="B1890" s="11" t="n">
        <f aca="false">MOD(ROW()-9,24)</f>
        <v>9</v>
      </c>
      <c r="C1890" s="12"/>
      <c r="D1890" s="13" t="n">
        <f aca="false">IF(B1890&lt;5,Einstellungen!$B$3,Einstellungen!$B$4)</f>
        <v>29.13</v>
      </c>
      <c r="E1890" s="14" t="str">
        <f aca="false">IF(C1890="","",C1890*D1890/100)</f>
        <v/>
      </c>
      <c r="F1890" s="15" t="str">
        <f aca="false">IF(B1890&lt;5,"Go","Standard")</f>
        <v>Standard</v>
      </c>
    </row>
    <row r="1891" customFormat="false" ht="15" hidden="false" customHeight="true" outlineLevel="0" collapsed="false">
      <c r="A1891" s="10" t="n">
        <f aca="false">Einstellungen!$B$5+INT((ROW()-9)/24)</f>
        <v>46044</v>
      </c>
      <c r="B1891" s="11" t="n">
        <f aca="false">MOD(ROW()-9,24)</f>
        <v>10</v>
      </c>
      <c r="C1891" s="12"/>
      <c r="D1891" s="13" t="n">
        <f aca="false">IF(B1891&lt;5,Einstellungen!$B$3,Einstellungen!$B$4)</f>
        <v>29.13</v>
      </c>
      <c r="E1891" s="14" t="str">
        <f aca="false">IF(C1891="","",C1891*D1891/100)</f>
        <v/>
      </c>
      <c r="F1891" s="15" t="str">
        <f aca="false">IF(B1891&lt;5,"Go","Standard")</f>
        <v>Standard</v>
      </c>
    </row>
    <row r="1892" customFormat="false" ht="15" hidden="false" customHeight="true" outlineLevel="0" collapsed="false">
      <c r="A1892" s="10" t="n">
        <f aca="false">Einstellungen!$B$5+INT((ROW()-9)/24)</f>
        <v>46044</v>
      </c>
      <c r="B1892" s="11" t="n">
        <f aca="false">MOD(ROW()-9,24)</f>
        <v>11</v>
      </c>
      <c r="C1892" s="12"/>
      <c r="D1892" s="13" t="n">
        <f aca="false">IF(B1892&lt;5,Einstellungen!$B$3,Einstellungen!$B$4)</f>
        <v>29.13</v>
      </c>
      <c r="E1892" s="14" t="str">
        <f aca="false">IF(C1892="","",C1892*D1892/100)</f>
        <v/>
      </c>
      <c r="F1892" s="15" t="str">
        <f aca="false">IF(B1892&lt;5,"Go","Standard")</f>
        <v>Standard</v>
      </c>
    </row>
    <row r="1893" customFormat="false" ht="15" hidden="false" customHeight="true" outlineLevel="0" collapsed="false">
      <c r="A1893" s="10" t="n">
        <f aca="false">Einstellungen!$B$5+INT((ROW()-9)/24)</f>
        <v>46044</v>
      </c>
      <c r="B1893" s="11" t="n">
        <f aca="false">MOD(ROW()-9,24)</f>
        <v>12</v>
      </c>
      <c r="C1893" s="12"/>
      <c r="D1893" s="13" t="n">
        <f aca="false">IF(B1893&lt;5,Einstellungen!$B$3,Einstellungen!$B$4)</f>
        <v>29.13</v>
      </c>
      <c r="E1893" s="14" t="str">
        <f aca="false">IF(C1893="","",C1893*D1893/100)</f>
        <v/>
      </c>
      <c r="F1893" s="15" t="str">
        <f aca="false">IF(B1893&lt;5,"Go","Standard")</f>
        <v>Standard</v>
      </c>
    </row>
    <row r="1894" customFormat="false" ht="15" hidden="false" customHeight="true" outlineLevel="0" collapsed="false">
      <c r="A1894" s="10" t="n">
        <f aca="false">Einstellungen!$B$5+INT((ROW()-9)/24)</f>
        <v>46044</v>
      </c>
      <c r="B1894" s="11" t="n">
        <f aca="false">MOD(ROW()-9,24)</f>
        <v>13</v>
      </c>
      <c r="C1894" s="12"/>
      <c r="D1894" s="13" t="n">
        <f aca="false">IF(B1894&lt;5,Einstellungen!$B$3,Einstellungen!$B$4)</f>
        <v>29.13</v>
      </c>
      <c r="E1894" s="14" t="str">
        <f aca="false">IF(C1894="","",C1894*D1894/100)</f>
        <v/>
      </c>
      <c r="F1894" s="15" t="str">
        <f aca="false">IF(B1894&lt;5,"Go","Standard")</f>
        <v>Standard</v>
      </c>
    </row>
    <row r="1895" customFormat="false" ht="15" hidden="false" customHeight="true" outlineLevel="0" collapsed="false">
      <c r="A1895" s="10" t="n">
        <f aca="false">Einstellungen!$B$5+INT((ROW()-9)/24)</f>
        <v>46044</v>
      </c>
      <c r="B1895" s="11" t="n">
        <f aca="false">MOD(ROW()-9,24)</f>
        <v>14</v>
      </c>
      <c r="C1895" s="12"/>
      <c r="D1895" s="13" t="n">
        <f aca="false">IF(B1895&lt;5,Einstellungen!$B$3,Einstellungen!$B$4)</f>
        <v>29.13</v>
      </c>
      <c r="E1895" s="14" t="str">
        <f aca="false">IF(C1895="","",C1895*D1895/100)</f>
        <v/>
      </c>
      <c r="F1895" s="15" t="str">
        <f aca="false">IF(B1895&lt;5,"Go","Standard")</f>
        <v>Standard</v>
      </c>
    </row>
    <row r="1896" customFormat="false" ht="15" hidden="false" customHeight="true" outlineLevel="0" collapsed="false">
      <c r="A1896" s="10" t="n">
        <f aca="false">Einstellungen!$B$5+INT((ROW()-9)/24)</f>
        <v>46044</v>
      </c>
      <c r="B1896" s="11" t="n">
        <f aca="false">MOD(ROW()-9,24)</f>
        <v>15</v>
      </c>
      <c r="C1896" s="12"/>
      <c r="D1896" s="13" t="n">
        <f aca="false">IF(B1896&lt;5,Einstellungen!$B$3,Einstellungen!$B$4)</f>
        <v>29.13</v>
      </c>
      <c r="E1896" s="14" t="str">
        <f aca="false">IF(C1896="","",C1896*D1896/100)</f>
        <v/>
      </c>
      <c r="F1896" s="15" t="str">
        <f aca="false">IF(B1896&lt;5,"Go","Standard")</f>
        <v>Standard</v>
      </c>
    </row>
    <row r="1897" customFormat="false" ht="15" hidden="false" customHeight="true" outlineLevel="0" collapsed="false">
      <c r="A1897" s="10" t="n">
        <f aca="false">Einstellungen!$B$5+INT((ROW()-9)/24)</f>
        <v>46044</v>
      </c>
      <c r="B1897" s="11" t="n">
        <f aca="false">MOD(ROW()-9,24)</f>
        <v>16</v>
      </c>
      <c r="C1897" s="12"/>
      <c r="D1897" s="13" t="n">
        <f aca="false">IF(B1897&lt;5,Einstellungen!$B$3,Einstellungen!$B$4)</f>
        <v>29.13</v>
      </c>
      <c r="E1897" s="14" t="str">
        <f aca="false">IF(C1897="","",C1897*D1897/100)</f>
        <v/>
      </c>
      <c r="F1897" s="15" t="str">
        <f aca="false">IF(B1897&lt;5,"Go","Standard")</f>
        <v>Standard</v>
      </c>
    </row>
    <row r="1898" customFormat="false" ht="15" hidden="false" customHeight="true" outlineLevel="0" collapsed="false">
      <c r="A1898" s="10" t="n">
        <f aca="false">Einstellungen!$B$5+INT((ROW()-9)/24)</f>
        <v>46044</v>
      </c>
      <c r="B1898" s="11" t="n">
        <f aca="false">MOD(ROW()-9,24)</f>
        <v>17</v>
      </c>
      <c r="C1898" s="12"/>
      <c r="D1898" s="13" t="n">
        <f aca="false">IF(B1898&lt;5,Einstellungen!$B$3,Einstellungen!$B$4)</f>
        <v>29.13</v>
      </c>
      <c r="E1898" s="14" t="str">
        <f aca="false">IF(C1898="","",C1898*D1898/100)</f>
        <v/>
      </c>
      <c r="F1898" s="15" t="str">
        <f aca="false">IF(B1898&lt;5,"Go","Standard")</f>
        <v>Standard</v>
      </c>
    </row>
    <row r="1899" customFormat="false" ht="15" hidden="false" customHeight="true" outlineLevel="0" collapsed="false">
      <c r="A1899" s="10" t="n">
        <f aca="false">Einstellungen!$B$5+INT((ROW()-9)/24)</f>
        <v>46044</v>
      </c>
      <c r="B1899" s="11" t="n">
        <f aca="false">MOD(ROW()-9,24)</f>
        <v>18</v>
      </c>
      <c r="C1899" s="12"/>
      <c r="D1899" s="13" t="n">
        <f aca="false">IF(B1899&lt;5,Einstellungen!$B$3,Einstellungen!$B$4)</f>
        <v>29.13</v>
      </c>
      <c r="E1899" s="14" t="str">
        <f aca="false">IF(C1899="","",C1899*D1899/100)</f>
        <v/>
      </c>
      <c r="F1899" s="15" t="str">
        <f aca="false">IF(B1899&lt;5,"Go","Standard")</f>
        <v>Standard</v>
      </c>
    </row>
    <row r="1900" customFormat="false" ht="15" hidden="false" customHeight="true" outlineLevel="0" collapsed="false">
      <c r="A1900" s="10" t="n">
        <f aca="false">Einstellungen!$B$5+INT((ROW()-9)/24)</f>
        <v>46044</v>
      </c>
      <c r="B1900" s="11" t="n">
        <f aca="false">MOD(ROW()-9,24)</f>
        <v>19</v>
      </c>
      <c r="C1900" s="12"/>
      <c r="D1900" s="13" t="n">
        <f aca="false">IF(B1900&lt;5,Einstellungen!$B$3,Einstellungen!$B$4)</f>
        <v>29.13</v>
      </c>
      <c r="E1900" s="14" t="str">
        <f aca="false">IF(C1900="","",C1900*D1900/100)</f>
        <v/>
      </c>
      <c r="F1900" s="15" t="str">
        <f aca="false">IF(B1900&lt;5,"Go","Standard")</f>
        <v>Standard</v>
      </c>
    </row>
    <row r="1901" customFormat="false" ht="15" hidden="false" customHeight="true" outlineLevel="0" collapsed="false">
      <c r="A1901" s="10" t="n">
        <f aca="false">Einstellungen!$B$5+INT((ROW()-9)/24)</f>
        <v>46044</v>
      </c>
      <c r="B1901" s="11" t="n">
        <f aca="false">MOD(ROW()-9,24)</f>
        <v>20</v>
      </c>
      <c r="C1901" s="12"/>
      <c r="D1901" s="13" t="n">
        <f aca="false">IF(B1901&lt;5,Einstellungen!$B$3,Einstellungen!$B$4)</f>
        <v>29.13</v>
      </c>
      <c r="E1901" s="14" t="str">
        <f aca="false">IF(C1901="","",C1901*D1901/100)</f>
        <v/>
      </c>
      <c r="F1901" s="15" t="str">
        <f aca="false">IF(B1901&lt;5,"Go","Standard")</f>
        <v>Standard</v>
      </c>
    </row>
    <row r="1902" customFormat="false" ht="15" hidden="false" customHeight="true" outlineLevel="0" collapsed="false">
      <c r="A1902" s="10" t="n">
        <f aca="false">Einstellungen!$B$5+INT((ROW()-9)/24)</f>
        <v>46044</v>
      </c>
      <c r="B1902" s="11" t="n">
        <f aca="false">MOD(ROW()-9,24)</f>
        <v>21</v>
      </c>
      <c r="C1902" s="12"/>
      <c r="D1902" s="13" t="n">
        <f aca="false">IF(B1902&lt;5,Einstellungen!$B$3,Einstellungen!$B$4)</f>
        <v>29.13</v>
      </c>
      <c r="E1902" s="14" t="str">
        <f aca="false">IF(C1902="","",C1902*D1902/100)</f>
        <v/>
      </c>
      <c r="F1902" s="15" t="str">
        <f aca="false">IF(B1902&lt;5,"Go","Standard")</f>
        <v>Standard</v>
      </c>
    </row>
    <row r="1903" customFormat="false" ht="15" hidden="false" customHeight="true" outlineLevel="0" collapsed="false">
      <c r="A1903" s="10" t="n">
        <f aca="false">Einstellungen!$B$5+INT((ROW()-9)/24)</f>
        <v>46044</v>
      </c>
      <c r="B1903" s="11" t="n">
        <f aca="false">MOD(ROW()-9,24)</f>
        <v>22</v>
      </c>
      <c r="C1903" s="12"/>
      <c r="D1903" s="13" t="n">
        <f aca="false">IF(B1903&lt;5,Einstellungen!$B$3,Einstellungen!$B$4)</f>
        <v>29.13</v>
      </c>
      <c r="E1903" s="14" t="str">
        <f aca="false">IF(C1903="","",C1903*D1903/100)</f>
        <v/>
      </c>
      <c r="F1903" s="15" t="str">
        <f aca="false">IF(B1903&lt;5,"Go","Standard")</f>
        <v>Standard</v>
      </c>
    </row>
    <row r="1904" customFormat="false" ht="15" hidden="false" customHeight="true" outlineLevel="0" collapsed="false">
      <c r="A1904" s="10" t="n">
        <f aca="false">Einstellungen!$B$5+INT((ROW()-9)/24)</f>
        <v>46044</v>
      </c>
      <c r="B1904" s="11" t="n">
        <f aca="false">MOD(ROW()-9,24)</f>
        <v>23</v>
      </c>
      <c r="C1904" s="12"/>
      <c r="D1904" s="13" t="n">
        <f aca="false">IF(B1904&lt;5,Einstellungen!$B$3,Einstellungen!$B$4)</f>
        <v>29.13</v>
      </c>
      <c r="E1904" s="14" t="str">
        <f aca="false">IF(C1904="","",C1904*D1904/100)</f>
        <v/>
      </c>
      <c r="F1904" s="15" t="str">
        <f aca="false">IF(B1904&lt;5,"Go","Standard")</f>
        <v>Standard</v>
      </c>
    </row>
    <row r="1905" customFormat="false" ht="15" hidden="false" customHeight="true" outlineLevel="0" collapsed="false">
      <c r="A1905" s="10" t="n">
        <f aca="false">Einstellungen!$B$5+INT((ROW()-9)/24)</f>
        <v>46045</v>
      </c>
      <c r="B1905" s="11" t="n">
        <f aca="false">MOD(ROW()-9,24)</f>
        <v>0</v>
      </c>
      <c r="C1905" s="12"/>
      <c r="D1905" s="13" t="n">
        <f aca="false">IF(B1905&lt;5,Einstellungen!$B$3,Einstellungen!$B$4)</f>
        <v>15.92</v>
      </c>
      <c r="E1905" s="14" t="str">
        <f aca="false">IF(C1905="","",C1905*D1905/100)</f>
        <v/>
      </c>
      <c r="F1905" s="15" t="str">
        <f aca="false">IF(B1905&lt;5,"Go","Standard")</f>
        <v>Go</v>
      </c>
    </row>
    <row r="1906" customFormat="false" ht="15" hidden="false" customHeight="true" outlineLevel="0" collapsed="false">
      <c r="A1906" s="10" t="n">
        <f aca="false">Einstellungen!$B$5+INT((ROW()-9)/24)</f>
        <v>46045</v>
      </c>
      <c r="B1906" s="11" t="n">
        <f aca="false">MOD(ROW()-9,24)</f>
        <v>1</v>
      </c>
      <c r="C1906" s="12"/>
      <c r="D1906" s="13" t="n">
        <f aca="false">IF(B1906&lt;5,Einstellungen!$B$3,Einstellungen!$B$4)</f>
        <v>15.92</v>
      </c>
      <c r="E1906" s="14" t="str">
        <f aca="false">IF(C1906="","",C1906*D1906/100)</f>
        <v/>
      </c>
      <c r="F1906" s="15" t="str">
        <f aca="false">IF(B1906&lt;5,"Go","Standard")</f>
        <v>Go</v>
      </c>
    </row>
    <row r="1907" customFormat="false" ht="15" hidden="false" customHeight="true" outlineLevel="0" collapsed="false">
      <c r="A1907" s="10" t="n">
        <f aca="false">Einstellungen!$B$5+INT((ROW()-9)/24)</f>
        <v>46045</v>
      </c>
      <c r="B1907" s="11" t="n">
        <f aca="false">MOD(ROW()-9,24)</f>
        <v>2</v>
      </c>
      <c r="C1907" s="12"/>
      <c r="D1907" s="13" t="n">
        <f aca="false">IF(B1907&lt;5,Einstellungen!$B$3,Einstellungen!$B$4)</f>
        <v>15.92</v>
      </c>
      <c r="E1907" s="14" t="str">
        <f aca="false">IF(C1907="","",C1907*D1907/100)</f>
        <v/>
      </c>
      <c r="F1907" s="15" t="str">
        <f aca="false">IF(B1907&lt;5,"Go","Standard")</f>
        <v>Go</v>
      </c>
    </row>
    <row r="1908" customFormat="false" ht="15" hidden="false" customHeight="true" outlineLevel="0" collapsed="false">
      <c r="A1908" s="10" t="n">
        <f aca="false">Einstellungen!$B$5+INT((ROW()-9)/24)</f>
        <v>46045</v>
      </c>
      <c r="B1908" s="11" t="n">
        <f aca="false">MOD(ROW()-9,24)</f>
        <v>3</v>
      </c>
      <c r="C1908" s="12"/>
      <c r="D1908" s="13" t="n">
        <f aca="false">IF(B1908&lt;5,Einstellungen!$B$3,Einstellungen!$B$4)</f>
        <v>15.92</v>
      </c>
      <c r="E1908" s="14" t="str">
        <f aca="false">IF(C1908="","",C1908*D1908/100)</f>
        <v/>
      </c>
      <c r="F1908" s="15" t="str">
        <f aca="false">IF(B1908&lt;5,"Go","Standard")</f>
        <v>Go</v>
      </c>
    </row>
    <row r="1909" customFormat="false" ht="15" hidden="false" customHeight="true" outlineLevel="0" collapsed="false">
      <c r="A1909" s="10" t="n">
        <f aca="false">Einstellungen!$B$5+INT((ROW()-9)/24)</f>
        <v>46045</v>
      </c>
      <c r="B1909" s="11" t="n">
        <f aca="false">MOD(ROW()-9,24)</f>
        <v>4</v>
      </c>
      <c r="C1909" s="12"/>
      <c r="D1909" s="13" t="n">
        <f aca="false">IF(B1909&lt;5,Einstellungen!$B$3,Einstellungen!$B$4)</f>
        <v>15.92</v>
      </c>
      <c r="E1909" s="14" t="str">
        <f aca="false">IF(C1909="","",C1909*D1909/100)</f>
        <v/>
      </c>
      <c r="F1909" s="15" t="str">
        <f aca="false">IF(B1909&lt;5,"Go","Standard")</f>
        <v>Go</v>
      </c>
    </row>
    <row r="1910" customFormat="false" ht="15" hidden="false" customHeight="true" outlineLevel="0" collapsed="false">
      <c r="A1910" s="10" t="n">
        <f aca="false">Einstellungen!$B$5+INT((ROW()-9)/24)</f>
        <v>46045</v>
      </c>
      <c r="B1910" s="11" t="n">
        <f aca="false">MOD(ROW()-9,24)</f>
        <v>5</v>
      </c>
      <c r="C1910" s="12"/>
      <c r="D1910" s="13" t="n">
        <f aca="false">IF(B1910&lt;5,Einstellungen!$B$3,Einstellungen!$B$4)</f>
        <v>29.13</v>
      </c>
      <c r="E1910" s="14" t="str">
        <f aca="false">IF(C1910="","",C1910*D1910/100)</f>
        <v/>
      </c>
      <c r="F1910" s="15" t="str">
        <f aca="false">IF(B1910&lt;5,"Go","Standard")</f>
        <v>Standard</v>
      </c>
    </row>
    <row r="1911" customFormat="false" ht="15" hidden="false" customHeight="true" outlineLevel="0" collapsed="false">
      <c r="A1911" s="10" t="n">
        <f aca="false">Einstellungen!$B$5+INT((ROW()-9)/24)</f>
        <v>46045</v>
      </c>
      <c r="B1911" s="11" t="n">
        <f aca="false">MOD(ROW()-9,24)</f>
        <v>6</v>
      </c>
      <c r="C1911" s="12"/>
      <c r="D1911" s="13" t="n">
        <f aca="false">IF(B1911&lt;5,Einstellungen!$B$3,Einstellungen!$B$4)</f>
        <v>29.13</v>
      </c>
      <c r="E1911" s="14" t="str">
        <f aca="false">IF(C1911="","",C1911*D1911/100)</f>
        <v/>
      </c>
      <c r="F1911" s="15" t="str">
        <f aca="false">IF(B1911&lt;5,"Go","Standard")</f>
        <v>Standard</v>
      </c>
    </row>
    <row r="1912" customFormat="false" ht="15" hidden="false" customHeight="true" outlineLevel="0" collapsed="false">
      <c r="A1912" s="10" t="n">
        <f aca="false">Einstellungen!$B$5+INT((ROW()-9)/24)</f>
        <v>46045</v>
      </c>
      <c r="B1912" s="11" t="n">
        <f aca="false">MOD(ROW()-9,24)</f>
        <v>7</v>
      </c>
      <c r="C1912" s="12"/>
      <c r="D1912" s="13" t="n">
        <f aca="false">IF(B1912&lt;5,Einstellungen!$B$3,Einstellungen!$B$4)</f>
        <v>29.13</v>
      </c>
      <c r="E1912" s="14" t="str">
        <f aca="false">IF(C1912="","",C1912*D1912/100)</f>
        <v/>
      </c>
      <c r="F1912" s="15" t="str">
        <f aca="false">IF(B1912&lt;5,"Go","Standard")</f>
        <v>Standard</v>
      </c>
    </row>
    <row r="1913" customFormat="false" ht="15" hidden="false" customHeight="true" outlineLevel="0" collapsed="false">
      <c r="A1913" s="10" t="n">
        <f aca="false">Einstellungen!$B$5+INT((ROW()-9)/24)</f>
        <v>46045</v>
      </c>
      <c r="B1913" s="11" t="n">
        <f aca="false">MOD(ROW()-9,24)</f>
        <v>8</v>
      </c>
      <c r="C1913" s="12"/>
      <c r="D1913" s="13" t="n">
        <f aca="false">IF(B1913&lt;5,Einstellungen!$B$3,Einstellungen!$B$4)</f>
        <v>29.13</v>
      </c>
      <c r="E1913" s="14" t="str">
        <f aca="false">IF(C1913="","",C1913*D1913/100)</f>
        <v/>
      </c>
      <c r="F1913" s="15" t="str">
        <f aca="false">IF(B1913&lt;5,"Go","Standard")</f>
        <v>Standard</v>
      </c>
    </row>
    <row r="1914" customFormat="false" ht="15" hidden="false" customHeight="true" outlineLevel="0" collapsed="false">
      <c r="A1914" s="10" t="n">
        <f aca="false">Einstellungen!$B$5+INT((ROW()-9)/24)</f>
        <v>46045</v>
      </c>
      <c r="B1914" s="11" t="n">
        <f aca="false">MOD(ROW()-9,24)</f>
        <v>9</v>
      </c>
      <c r="C1914" s="12"/>
      <c r="D1914" s="13" t="n">
        <f aca="false">IF(B1914&lt;5,Einstellungen!$B$3,Einstellungen!$B$4)</f>
        <v>29.13</v>
      </c>
      <c r="E1914" s="14" t="str">
        <f aca="false">IF(C1914="","",C1914*D1914/100)</f>
        <v/>
      </c>
      <c r="F1914" s="15" t="str">
        <f aca="false">IF(B1914&lt;5,"Go","Standard")</f>
        <v>Standard</v>
      </c>
    </row>
    <row r="1915" customFormat="false" ht="15" hidden="false" customHeight="true" outlineLevel="0" collapsed="false">
      <c r="A1915" s="10" t="n">
        <f aca="false">Einstellungen!$B$5+INT((ROW()-9)/24)</f>
        <v>46045</v>
      </c>
      <c r="B1915" s="11" t="n">
        <f aca="false">MOD(ROW()-9,24)</f>
        <v>10</v>
      </c>
      <c r="C1915" s="12"/>
      <c r="D1915" s="13" t="n">
        <f aca="false">IF(B1915&lt;5,Einstellungen!$B$3,Einstellungen!$B$4)</f>
        <v>29.13</v>
      </c>
      <c r="E1915" s="14" t="str">
        <f aca="false">IF(C1915="","",C1915*D1915/100)</f>
        <v/>
      </c>
      <c r="F1915" s="15" t="str">
        <f aca="false">IF(B1915&lt;5,"Go","Standard")</f>
        <v>Standard</v>
      </c>
    </row>
    <row r="1916" customFormat="false" ht="15" hidden="false" customHeight="true" outlineLevel="0" collapsed="false">
      <c r="A1916" s="10" t="n">
        <f aca="false">Einstellungen!$B$5+INT((ROW()-9)/24)</f>
        <v>46045</v>
      </c>
      <c r="B1916" s="11" t="n">
        <f aca="false">MOD(ROW()-9,24)</f>
        <v>11</v>
      </c>
      <c r="C1916" s="12"/>
      <c r="D1916" s="13" t="n">
        <f aca="false">IF(B1916&lt;5,Einstellungen!$B$3,Einstellungen!$B$4)</f>
        <v>29.13</v>
      </c>
      <c r="E1916" s="14" t="str">
        <f aca="false">IF(C1916="","",C1916*D1916/100)</f>
        <v/>
      </c>
      <c r="F1916" s="15" t="str">
        <f aca="false">IF(B1916&lt;5,"Go","Standard")</f>
        <v>Standard</v>
      </c>
    </row>
    <row r="1917" customFormat="false" ht="15" hidden="false" customHeight="true" outlineLevel="0" collapsed="false">
      <c r="A1917" s="10" t="n">
        <f aca="false">Einstellungen!$B$5+INT((ROW()-9)/24)</f>
        <v>46045</v>
      </c>
      <c r="B1917" s="11" t="n">
        <f aca="false">MOD(ROW()-9,24)</f>
        <v>12</v>
      </c>
      <c r="C1917" s="12"/>
      <c r="D1917" s="13" t="n">
        <f aca="false">IF(B1917&lt;5,Einstellungen!$B$3,Einstellungen!$B$4)</f>
        <v>29.13</v>
      </c>
      <c r="E1917" s="14" t="str">
        <f aca="false">IF(C1917="","",C1917*D1917/100)</f>
        <v/>
      </c>
      <c r="F1917" s="15" t="str">
        <f aca="false">IF(B1917&lt;5,"Go","Standard")</f>
        <v>Standard</v>
      </c>
    </row>
    <row r="1918" customFormat="false" ht="15" hidden="false" customHeight="true" outlineLevel="0" collapsed="false">
      <c r="A1918" s="10" t="n">
        <f aca="false">Einstellungen!$B$5+INT((ROW()-9)/24)</f>
        <v>46045</v>
      </c>
      <c r="B1918" s="11" t="n">
        <f aca="false">MOD(ROW()-9,24)</f>
        <v>13</v>
      </c>
      <c r="C1918" s="12"/>
      <c r="D1918" s="13" t="n">
        <f aca="false">IF(B1918&lt;5,Einstellungen!$B$3,Einstellungen!$B$4)</f>
        <v>29.13</v>
      </c>
      <c r="E1918" s="14" t="str">
        <f aca="false">IF(C1918="","",C1918*D1918/100)</f>
        <v/>
      </c>
      <c r="F1918" s="15" t="str">
        <f aca="false">IF(B1918&lt;5,"Go","Standard")</f>
        <v>Standard</v>
      </c>
    </row>
    <row r="1919" customFormat="false" ht="15" hidden="false" customHeight="true" outlineLevel="0" collapsed="false">
      <c r="A1919" s="10" t="n">
        <f aca="false">Einstellungen!$B$5+INT((ROW()-9)/24)</f>
        <v>46045</v>
      </c>
      <c r="B1919" s="11" t="n">
        <f aca="false">MOD(ROW()-9,24)</f>
        <v>14</v>
      </c>
      <c r="C1919" s="12"/>
      <c r="D1919" s="13" t="n">
        <f aca="false">IF(B1919&lt;5,Einstellungen!$B$3,Einstellungen!$B$4)</f>
        <v>29.13</v>
      </c>
      <c r="E1919" s="14" t="str">
        <f aca="false">IF(C1919="","",C1919*D1919/100)</f>
        <v/>
      </c>
      <c r="F1919" s="15" t="str">
        <f aca="false">IF(B1919&lt;5,"Go","Standard")</f>
        <v>Standard</v>
      </c>
    </row>
    <row r="1920" customFormat="false" ht="15" hidden="false" customHeight="true" outlineLevel="0" collapsed="false">
      <c r="A1920" s="10" t="n">
        <f aca="false">Einstellungen!$B$5+INT((ROW()-9)/24)</f>
        <v>46045</v>
      </c>
      <c r="B1920" s="11" t="n">
        <f aca="false">MOD(ROW()-9,24)</f>
        <v>15</v>
      </c>
      <c r="C1920" s="12"/>
      <c r="D1920" s="13" t="n">
        <f aca="false">IF(B1920&lt;5,Einstellungen!$B$3,Einstellungen!$B$4)</f>
        <v>29.13</v>
      </c>
      <c r="E1920" s="14" t="str">
        <f aca="false">IF(C1920="","",C1920*D1920/100)</f>
        <v/>
      </c>
      <c r="F1920" s="15" t="str">
        <f aca="false">IF(B1920&lt;5,"Go","Standard")</f>
        <v>Standard</v>
      </c>
    </row>
    <row r="1921" customFormat="false" ht="15" hidden="false" customHeight="true" outlineLevel="0" collapsed="false">
      <c r="A1921" s="10" t="n">
        <f aca="false">Einstellungen!$B$5+INT((ROW()-9)/24)</f>
        <v>46045</v>
      </c>
      <c r="B1921" s="11" t="n">
        <f aca="false">MOD(ROW()-9,24)</f>
        <v>16</v>
      </c>
      <c r="C1921" s="12"/>
      <c r="D1921" s="13" t="n">
        <f aca="false">IF(B1921&lt;5,Einstellungen!$B$3,Einstellungen!$B$4)</f>
        <v>29.13</v>
      </c>
      <c r="E1921" s="14" t="str">
        <f aca="false">IF(C1921="","",C1921*D1921/100)</f>
        <v/>
      </c>
      <c r="F1921" s="15" t="str">
        <f aca="false">IF(B1921&lt;5,"Go","Standard")</f>
        <v>Standard</v>
      </c>
    </row>
    <row r="1922" customFormat="false" ht="15" hidden="false" customHeight="true" outlineLevel="0" collapsed="false">
      <c r="A1922" s="10" t="n">
        <f aca="false">Einstellungen!$B$5+INT((ROW()-9)/24)</f>
        <v>46045</v>
      </c>
      <c r="B1922" s="11" t="n">
        <f aca="false">MOD(ROW()-9,24)</f>
        <v>17</v>
      </c>
      <c r="C1922" s="12"/>
      <c r="D1922" s="13" t="n">
        <f aca="false">IF(B1922&lt;5,Einstellungen!$B$3,Einstellungen!$B$4)</f>
        <v>29.13</v>
      </c>
      <c r="E1922" s="14" t="str">
        <f aca="false">IF(C1922="","",C1922*D1922/100)</f>
        <v/>
      </c>
      <c r="F1922" s="15" t="str">
        <f aca="false">IF(B1922&lt;5,"Go","Standard")</f>
        <v>Standard</v>
      </c>
    </row>
    <row r="1923" customFormat="false" ht="15" hidden="false" customHeight="true" outlineLevel="0" collapsed="false">
      <c r="A1923" s="10" t="n">
        <f aca="false">Einstellungen!$B$5+INT((ROW()-9)/24)</f>
        <v>46045</v>
      </c>
      <c r="B1923" s="11" t="n">
        <f aca="false">MOD(ROW()-9,24)</f>
        <v>18</v>
      </c>
      <c r="C1923" s="12"/>
      <c r="D1923" s="13" t="n">
        <f aca="false">IF(B1923&lt;5,Einstellungen!$B$3,Einstellungen!$B$4)</f>
        <v>29.13</v>
      </c>
      <c r="E1923" s="14" t="str">
        <f aca="false">IF(C1923="","",C1923*D1923/100)</f>
        <v/>
      </c>
      <c r="F1923" s="15" t="str">
        <f aca="false">IF(B1923&lt;5,"Go","Standard")</f>
        <v>Standard</v>
      </c>
    </row>
    <row r="1924" customFormat="false" ht="15" hidden="false" customHeight="true" outlineLevel="0" collapsed="false">
      <c r="A1924" s="10" t="n">
        <f aca="false">Einstellungen!$B$5+INT((ROW()-9)/24)</f>
        <v>46045</v>
      </c>
      <c r="B1924" s="11" t="n">
        <f aca="false">MOD(ROW()-9,24)</f>
        <v>19</v>
      </c>
      <c r="C1924" s="12"/>
      <c r="D1924" s="13" t="n">
        <f aca="false">IF(B1924&lt;5,Einstellungen!$B$3,Einstellungen!$B$4)</f>
        <v>29.13</v>
      </c>
      <c r="E1924" s="14" t="str">
        <f aca="false">IF(C1924="","",C1924*D1924/100)</f>
        <v/>
      </c>
      <c r="F1924" s="15" t="str">
        <f aca="false">IF(B1924&lt;5,"Go","Standard")</f>
        <v>Standard</v>
      </c>
    </row>
    <row r="1925" customFormat="false" ht="15" hidden="false" customHeight="true" outlineLevel="0" collapsed="false">
      <c r="A1925" s="10" t="n">
        <f aca="false">Einstellungen!$B$5+INT((ROW()-9)/24)</f>
        <v>46045</v>
      </c>
      <c r="B1925" s="11" t="n">
        <f aca="false">MOD(ROW()-9,24)</f>
        <v>20</v>
      </c>
      <c r="C1925" s="12"/>
      <c r="D1925" s="13" t="n">
        <f aca="false">IF(B1925&lt;5,Einstellungen!$B$3,Einstellungen!$B$4)</f>
        <v>29.13</v>
      </c>
      <c r="E1925" s="14" t="str">
        <f aca="false">IF(C1925="","",C1925*D1925/100)</f>
        <v/>
      </c>
      <c r="F1925" s="15" t="str">
        <f aca="false">IF(B1925&lt;5,"Go","Standard")</f>
        <v>Standard</v>
      </c>
    </row>
    <row r="1926" customFormat="false" ht="15" hidden="false" customHeight="true" outlineLevel="0" collapsed="false">
      <c r="A1926" s="10" t="n">
        <f aca="false">Einstellungen!$B$5+INT((ROW()-9)/24)</f>
        <v>46045</v>
      </c>
      <c r="B1926" s="11" t="n">
        <f aca="false">MOD(ROW()-9,24)</f>
        <v>21</v>
      </c>
      <c r="C1926" s="12"/>
      <c r="D1926" s="13" t="n">
        <f aca="false">IF(B1926&lt;5,Einstellungen!$B$3,Einstellungen!$B$4)</f>
        <v>29.13</v>
      </c>
      <c r="E1926" s="14" t="str">
        <f aca="false">IF(C1926="","",C1926*D1926/100)</f>
        <v/>
      </c>
      <c r="F1926" s="15" t="str">
        <f aca="false">IF(B1926&lt;5,"Go","Standard")</f>
        <v>Standard</v>
      </c>
    </row>
    <row r="1927" customFormat="false" ht="15" hidden="false" customHeight="true" outlineLevel="0" collapsed="false">
      <c r="A1927" s="10" t="n">
        <f aca="false">Einstellungen!$B$5+INT((ROW()-9)/24)</f>
        <v>46045</v>
      </c>
      <c r="B1927" s="11" t="n">
        <f aca="false">MOD(ROW()-9,24)</f>
        <v>22</v>
      </c>
      <c r="C1927" s="12"/>
      <c r="D1927" s="13" t="n">
        <f aca="false">IF(B1927&lt;5,Einstellungen!$B$3,Einstellungen!$B$4)</f>
        <v>29.13</v>
      </c>
      <c r="E1927" s="14" t="str">
        <f aca="false">IF(C1927="","",C1927*D1927/100)</f>
        <v/>
      </c>
      <c r="F1927" s="15" t="str">
        <f aca="false">IF(B1927&lt;5,"Go","Standard")</f>
        <v>Standard</v>
      </c>
    </row>
    <row r="1928" customFormat="false" ht="15" hidden="false" customHeight="true" outlineLevel="0" collapsed="false">
      <c r="A1928" s="10" t="n">
        <f aca="false">Einstellungen!$B$5+INT((ROW()-9)/24)</f>
        <v>46045</v>
      </c>
      <c r="B1928" s="11" t="n">
        <f aca="false">MOD(ROW()-9,24)</f>
        <v>23</v>
      </c>
      <c r="C1928" s="12"/>
      <c r="D1928" s="13" t="n">
        <f aca="false">IF(B1928&lt;5,Einstellungen!$B$3,Einstellungen!$B$4)</f>
        <v>29.13</v>
      </c>
      <c r="E1928" s="14" t="str">
        <f aca="false">IF(C1928="","",C1928*D1928/100)</f>
        <v/>
      </c>
      <c r="F1928" s="15" t="str">
        <f aca="false">IF(B1928&lt;5,"Go","Standard")</f>
        <v>Standard</v>
      </c>
    </row>
    <row r="1929" customFormat="false" ht="15" hidden="false" customHeight="true" outlineLevel="0" collapsed="false">
      <c r="A1929" s="10" t="n">
        <f aca="false">Einstellungen!$B$5+INT((ROW()-9)/24)</f>
        <v>46046</v>
      </c>
      <c r="B1929" s="11" t="n">
        <f aca="false">MOD(ROW()-9,24)</f>
        <v>0</v>
      </c>
      <c r="C1929" s="12"/>
      <c r="D1929" s="13" t="n">
        <f aca="false">IF(B1929&lt;5,Einstellungen!$B$3,Einstellungen!$B$4)</f>
        <v>15.92</v>
      </c>
      <c r="E1929" s="14" t="str">
        <f aca="false">IF(C1929="","",C1929*D1929/100)</f>
        <v/>
      </c>
      <c r="F1929" s="15" t="str">
        <f aca="false">IF(B1929&lt;5,"Go","Standard")</f>
        <v>Go</v>
      </c>
    </row>
    <row r="1930" customFormat="false" ht="15" hidden="false" customHeight="true" outlineLevel="0" collapsed="false">
      <c r="A1930" s="10" t="n">
        <f aca="false">Einstellungen!$B$5+INT((ROW()-9)/24)</f>
        <v>46046</v>
      </c>
      <c r="B1930" s="11" t="n">
        <f aca="false">MOD(ROW()-9,24)</f>
        <v>1</v>
      </c>
      <c r="C1930" s="12"/>
      <c r="D1930" s="13" t="n">
        <f aca="false">IF(B1930&lt;5,Einstellungen!$B$3,Einstellungen!$B$4)</f>
        <v>15.92</v>
      </c>
      <c r="E1930" s="14" t="str">
        <f aca="false">IF(C1930="","",C1930*D1930/100)</f>
        <v/>
      </c>
      <c r="F1930" s="15" t="str">
        <f aca="false">IF(B1930&lt;5,"Go","Standard")</f>
        <v>Go</v>
      </c>
    </row>
    <row r="1931" customFormat="false" ht="15" hidden="false" customHeight="true" outlineLevel="0" collapsed="false">
      <c r="A1931" s="10" t="n">
        <f aca="false">Einstellungen!$B$5+INT((ROW()-9)/24)</f>
        <v>46046</v>
      </c>
      <c r="B1931" s="11" t="n">
        <f aca="false">MOD(ROW()-9,24)</f>
        <v>2</v>
      </c>
      <c r="C1931" s="12"/>
      <c r="D1931" s="13" t="n">
        <f aca="false">IF(B1931&lt;5,Einstellungen!$B$3,Einstellungen!$B$4)</f>
        <v>15.92</v>
      </c>
      <c r="E1931" s="14" t="str">
        <f aca="false">IF(C1931="","",C1931*D1931/100)</f>
        <v/>
      </c>
      <c r="F1931" s="15" t="str">
        <f aca="false">IF(B1931&lt;5,"Go","Standard")</f>
        <v>Go</v>
      </c>
    </row>
    <row r="1932" customFormat="false" ht="15" hidden="false" customHeight="true" outlineLevel="0" collapsed="false">
      <c r="A1932" s="10" t="n">
        <f aca="false">Einstellungen!$B$5+INT((ROW()-9)/24)</f>
        <v>46046</v>
      </c>
      <c r="B1932" s="11" t="n">
        <f aca="false">MOD(ROW()-9,24)</f>
        <v>3</v>
      </c>
      <c r="C1932" s="12"/>
      <c r="D1932" s="13" t="n">
        <f aca="false">IF(B1932&lt;5,Einstellungen!$B$3,Einstellungen!$B$4)</f>
        <v>15.92</v>
      </c>
      <c r="E1932" s="14" t="str">
        <f aca="false">IF(C1932="","",C1932*D1932/100)</f>
        <v/>
      </c>
      <c r="F1932" s="15" t="str">
        <f aca="false">IF(B1932&lt;5,"Go","Standard")</f>
        <v>Go</v>
      </c>
    </row>
    <row r="1933" customFormat="false" ht="15" hidden="false" customHeight="true" outlineLevel="0" collapsed="false">
      <c r="A1933" s="10" t="n">
        <f aca="false">Einstellungen!$B$5+INT((ROW()-9)/24)</f>
        <v>46046</v>
      </c>
      <c r="B1933" s="11" t="n">
        <f aca="false">MOD(ROW()-9,24)</f>
        <v>4</v>
      </c>
      <c r="C1933" s="12"/>
      <c r="D1933" s="13" t="n">
        <f aca="false">IF(B1933&lt;5,Einstellungen!$B$3,Einstellungen!$B$4)</f>
        <v>15.92</v>
      </c>
      <c r="E1933" s="14" t="str">
        <f aca="false">IF(C1933="","",C1933*D1933/100)</f>
        <v/>
      </c>
      <c r="F1933" s="15" t="str">
        <f aca="false">IF(B1933&lt;5,"Go","Standard")</f>
        <v>Go</v>
      </c>
    </row>
    <row r="1934" customFormat="false" ht="15" hidden="false" customHeight="true" outlineLevel="0" collapsed="false">
      <c r="A1934" s="10" t="n">
        <f aca="false">Einstellungen!$B$5+INT((ROW()-9)/24)</f>
        <v>46046</v>
      </c>
      <c r="B1934" s="11" t="n">
        <f aca="false">MOD(ROW()-9,24)</f>
        <v>5</v>
      </c>
      <c r="C1934" s="12"/>
      <c r="D1934" s="13" t="n">
        <f aca="false">IF(B1934&lt;5,Einstellungen!$B$3,Einstellungen!$B$4)</f>
        <v>29.13</v>
      </c>
      <c r="E1934" s="14" t="str">
        <f aca="false">IF(C1934="","",C1934*D1934/100)</f>
        <v/>
      </c>
      <c r="F1934" s="15" t="str">
        <f aca="false">IF(B1934&lt;5,"Go","Standard")</f>
        <v>Standard</v>
      </c>
    </row>
    <row r="1935" customFormat="false" ht="15" hidden="false" customHeight="true" outlineLevel="0" collapsed="false">
      <c r="A1935" s="10" t="n">
        <f aca="false">Einstellungen!$B$5+INT((ROW()-9)/24)</f>
        <v>46046</v>
      </c>
      <c r="B1935" s="11" t="n">
        <f aca="false">MOD(ROW()-9,24)</f>
        <v>6</v>
      </c>
      <c r="C1935" s="12"/>
      <c r="D1935" s="13" t="n">
        <f aca="false">IF(B1935&lt;5,Einstellungen!$B$3,Einstellungen!$B$4)</f>
        <v>29.13</v>
      </c>
      <c r="E1935" s="14" t="str">
        <f aca="false">IF(C1935="","",C1935*D1935/100)</f>
        <v/>
      </c>
      <c r="F1935" s="15" t="str">
        <f aca="false">IF(B1935&lt;5,"Go","Standard")</f>
        <v>Standard</v>
      </c>
    </row>
    <row r="1936" customFormat="false" ht="15" hidden="false" customHeight="true" outlineLevel="0" collapsed="false">
      <c r="A1936" s="10" t="n">
        <f aca="false">Einstellungen!$B$5+INT((ROW()-9)/24)</f>
        <v>46046</v>
      </c>
      <c r="B1936" s="11" t="n">
        <f aca="false">MOD(ROW()-9,24)</f>
        <v>7</v>
      </c>
      <c r="C1936" s="12"/>
      <c r="D1936" s="13" t="n">
        <f aca="false">IF(B1936&lt;5,Einstellungen!$B$3,Einstellungen!$B$4)</f>
        <v>29.13</v>
      </c>
      <c r="E1936" s="14" t="str">
        <f aca="false">IF(C1936="","",C1936*D1936/100)</f>
        <v/>
      </c>
      <c r="F1936" s="15" t="str">
        <f aca="false">IF(B1936&lt;5,"Go","Standard")</f>
        <v>Standard</v>
      </c>
    </row>
    <row r="1937" customFormat="false" ht="15" hidden="false" customHeight="true" outlineLevel="0" collapsed="false">
      <c r="A1937" s="10" t="n">
        <f aca="false">Einstellungen!$B$5+INT((ROW()-9)/24)</f>
        <v>46046</v>
      </c>
      <c r="B1937" s="11" t="n">
        <f aca="false">MOD(ROW()-9,24)</f>
        <v>8</v>
      </c>
      <c r="C1937" s="12"/>
      <c r="D1937" s="13" t="n">
        <f aca="false">IF(B1937&lt;5,Einstellungen!$B$3,Einstellungen!$B$4)</f>
        <v>29.13</v>
      </c>
      <c r="E1937" s="14" t="str">
        <f aca="false">IF(C1937="","",C1937*D1937/100)</f>
        <v/>
      </c>
      <c r="F1937" s="15" t="str">
        <f aca="false">IF(B1937&lt;5,"Go","Standard")</f>
        <v>Standard</v>
      </c>
    </row>
    <row r="1938" customFormat="false" ht="15" hidden="false" customHeight="true" outlineLevel="0" collapsed="false">
      <c r="A1938" s="10" t="n">
        <f aca="false">Einstellungen!$B$5+INT((ROW()-9)/24)</f>
        <v>46046</v>
      </c>
      <c r="B1938" s="11" t="n">
        <f aca="false">MOD(ROW()-9,24)</f>
        <v>9</v>
      </c>
      <c r="C1938" s="12"/>
      <c r="D1938" s="13" t="n">
        <f aca="false">IF(B1938&lt;5,Einstellungen!$B$3,Einstellungen!$B$4)</f>
        <v>29.13</v>
      </c>
      <c r="E1938" s="14" t="str">
        <f aca="false">IF(C1938="","",C1938*D1938/100)</f>
        <v/>
      </c>
      <c r="F1938" s="15" t="str">
        <f aca="false">IF(B1938&lt;5,"Go","Standard")</f>
        <v>Standard</v>
      </c>
    </row>
    <row r="1939" customFormat="false" ht="15" hidden="false" customHeight="true" outlineLevel="0" collapsed="false">
      <c r="A1939" s="10" t="n">
        <f aca="false">Einstellungen!$B$5+INT((ROW()-9)/24)</f>
        <v>46046</v>
      </c>
      <c r="B1939" s="11" t="n">
        <f aca="false">MOD(ROW()-9,24)</f>
        <v>10</v>
      </c>
      <c r="C1939" s="12"/>
      <c r="D1939" s="13" t="n">
        <f aca="false">IF(B1939&lt;5,Einstellungen!$B$3,Einstellungen!$B$4)</f>
        <v>29.13</v>
      </c>
      <c r="E1939" s="14" t="str">
        <f aca="false">IF(C1939="","",C1939*D1939/100)</f>
        <v/>
      </c>
      <c r="F1939" s="15" t="str">
        <f aca="false">IF(B1939&lt;5,"Go","Standard")</f>
        <v>Standard</v>
      </c>
    </row>
    <row r="1940" customFormat="false" ht="15" hidden="false" customHeight="true" outlineLevel="0" collapsed="false">
      <c r="A1940" s="10" t="n">
        <f aca="false">Einstellungen!$B$5+INT((ROW()-9)/24)</f>
        <v>46046</v>
      </c>
      <c r="B1940" s="11" t="n">
        <f aca="false">MOD(ROW()-9,24)</f>
        <v>11</v>
      </c>
      <c r="C1940" s="12"/>
      <c r="D1940" s="13" t="n">
        <f aca="false">IF(B1940&lt;5,Einstellungen!$B$3,Einstellungen!$B$4)</f>
        <v>29.13</v>
      </c>
      <c r="E1940" s="14" t="str">
        <f aca="false">IF(C1940="","",C1940*D1940/100)</f>
        <v/>
      </c>
      <c r="F1940" s="15" t="str">
        <f aca="false">IF(B1940&lt;5,"Go","Standard")</f>
        <v>Standard</v>
      </c>
    </row>
    <row r="1941" customFormat="false" ht="15" hidden="false" customHeight="true" outlineLevel="0" collapsed="false">
      <c r="A1941" s="10" t="n">
        <f aca="false">Einstellungen!$B$5+INT((ROW()-9)/24)</f>
        <v>46046</v>
      </c>
      <c r="B1941" s="11" t="n">
        <f aca="false">MOD(ROW()-9,24)</f>
        <v>12</v>
      </c>
      <c r="C1941" s="12"/>
      <c r="D1941" s="13" t="n">
        <f aca="false">IF(B1941&lt;5,Einstellungen!$B$3,Einstellungen!$B$4)</f>
        <v>29.13</v>
      </c>
      <c r="E1941" s="14" t="str">
        <f aca="false">IF(C1941="","",C1941*D1941/100)</f>
        <v/>
      </c>
      <c r="F1941" s="15" t="str">
        <f aca="false">IF(B1941&lt;5,"Go","Standard")</f>
        <v>Standard</v>
      </c>
    </row>
    <row r="1942" customFormat="false" ht="15" hidden="false" customHeight="true" outlineLevel="0" collapsed="false">
      <c r="A1942" s="10" t="n">
        <f aca="false">Einstellungen!$B$5+INT((ROW()-9)/24)</f>
        <v>46046</v>
      </c>
      <c r="B1942" s="11" t="n">
        <f aca="false">MOD(ROW()-9,24)</f>
        <v>13</v>
      </c>
      <c r="C1942" s="12"/>
      <c r="D1942" s="13" t="n">
        <f aca="false">IF(B1942&lt;5,Einstellungen!$B$3,Einstellungen!$B$4)</f>
        <v>29.13</v>
      </c>
      <c r="E1942" s="14" t="str">
        <f aca="false">IF(C1942="","",C1942*D1942/100)</f>
        <v/>
      </c>
      <c r="F1942" s="15" t="str">
        <f aca="false">IF(B1942&lt;5,"Go","Standard")</f>
        <v>Standard</v>
      </c>
    </row>
    <row r="1943" customFormat="false" ht="15" hidden="false" customHeight="true" outlineLevel="0" collapsed="false">
      <c r="A1943" s="10" t="n">
        <f aca="false">Einstellungen!$B$5+INT((ROW()-9)/24)</f>
        <v>46046</v>
      </c>
      <c r="B1943" s="11" t="n">
        <f aca="false">MOD(ROW()-9,24)</f>
        <v>14</v>
      </c>
      <c r="C1943" s="12"/>
      <c r="D1943" s="13" t="n">
        <f aca="false">IF(B1943&lt;5,Einstellungen!$B$3,Einstellungen!$B$4)</f>
        <v>29.13</v>
      </c>
      <c r="E1943" s="14" t="str">
        <f aca="false">IF(C1943="","",C1943*D1943/100)</f>
        <v/>
      </c>
      <c r="F1943" s="15" t="str">
        <f aca="false">IF(B1943&lt;5,"Go","Standard")</f>
        <v>Standard</v>
      </c>
    </row>
    <row r="1944" customFormat="false" ht="15" hidden="false" customHeight="true" outlineLevel="0" collapsed="false">
      <c r="A1944" s="10" t="n">
        <f aca="false">Einstellungen!$B$5+INT((ROW()-9)/24)</f>
        <v>46046</v>
      </c>
      <c r="B1944" s="11" t="n">
        <f aca="false">MOD(ROW()-9,24)</f>
        <v>15</v>
      </c>
      <c r="C1944" s="12"/>
      <c r="D1944" s="13" t="n">
        <f aca="false">IF(B1944&lt;5,Einstellungen!$B$3,Einstellungen!$B$4)</f>
        <v>29.13</v>
      </c>
      <c r="E1944" s="14" t="str">
        <f aca="false">IF(C1944="","",C1944*D1944/100)</f>
        <v/>
      </c>
      <c r="F1944" s="15" t="str">
        <f aca="false">IF(B1944&lt;5,"Go","Standard")</f>
        <v>Standard</v>
      </c>
    </row>
    <row r="1945" customFormat="false" ht="15" hidden="false" customHeight="true" outlineLevel="0" collapsed="false">
      <c r="A1945" s="10" t="n">
        <f aca="false">Einstellungen!$B$5+INT((ROW()-9)/24)</f>
        <v>46046</v>
      </c>
      <c r="B1945" s="11" t="n">
        <f aca="false">MOD(ROW()-9,24)</f>
        <v>16</v>
      </c>
      <c r="C1945" s="12"/>
      <c r="D1945" s="13" t="n">
        <f aca="false">IF(B1945&lt;5,Einstellungen!$B$3,Einstellungen!$B$4)</f>
        <v>29.13</v>
      </c>
      <c r="E1945" s="14" t="str">
        <f aca="false">IF(C1945="","",C1945*D1945/100)</f>
        <v/>
      </c>
      <c r="F1945" s="15" t="str">
        <f aca="false">IF(B1945&lt;5,"Go","Standard")</f>
        <v>Standard</v>
      </c>
    </row>
    <row r="1946" customFormat="false" ht="15" hidden="false" customHeight="true" outlineLevel="0" collapsed="false">
      <c r="A1946" s="10" t="n">
        <f aca="false">Einstellungen!$B$5+INT((ROW()-9)/24)</f>
        <v>46046</v>
      </c>
      <c r="B1946" s="11" t="n">
        <f aca="false">MOD(ROW()-9,24)</f>
        <v>17</v>
      </c>
      <c r="C1946" s="12"/>
      <c r="D1946" s="13" t="n">
        <f aca="false">IF(B1946&lt;5,Einstellungen!$B$3,Einstellungen!$B$4)</f>
        <v>29.13</v>
      </c>
      <c r="E1946" s="14" t="str">
        <f aca="false">IF(C1946="","",C1946*D1946/100)</f>
        <v/>
      </c>
      <c r="F1946" s="15" t="str">
        <f aca="false">IF(B1946&lt;5,"Go","Standard")</f>
        <v>Standard</v>
      </c>
    </row>
    <row r="1947" customFormat="false" ht="15" hidden="false" customHeight="true" outlineLevel="0" collapsed="false">
      <c r="A1947" s="10" t="n">
        <f aca="false">Einstellungen!$B$5+INT((ROW()-9)/24)</f>
        <v>46046</v>
      </c>
      <c r="B1947" s="11" t="n">
        <f aca="false">MOD(ROW()-9,24)</f>
        <v>18</v>
      </c>
      <c r="C1947" s="12"/>
      <c r="D1947" s="13" t="n">
        <f aca="false">IF(B1947&lt;5,Einstellungen!$B$3,Einstellungen!$B$4)</f>
        <v>29.13</v>
      </c>
      <c r="E1947" s="14" t="str">
        <f aca="false">IF(C1947="","",C1947*D1947/100)</f>
        <v/>
      </c>
      <c r="F1947" s="15" t="str">
        <f aca="false">IF(B1947&lt;5,"Go","Standard")</f>
        <v>Standard</v>
      </c>
    </row>
    <row r="1948" customFormat="false" ht="15" hidden="false" customHeight="true" outlineLevel="0" collapsed="false">
      <c r="A1948" s="10" t="n">
        <f aca="false">Einstellungen!$B$5+INT((ROW()-9)/24)</f>
        <v>46046</v>
      </c>
      <c r="B1948" s="11" t="n">
        <f aca="false">MOD(ROW()-9,24)</f>
        <v>19</v>
      </c>
      <c r="C1948" s="12"/>
      <c r="D1948" s="13" t="n">
        <f aca="false">IF(B1948&lt;5,Einstellungen!$B$3,Einstellungen!$B$4)</f>
        <v>29.13</v>
      </c>
      <c r="E1948" s="14" t="str">
        <f aca="false">IF(C1948="","",C1948*D1948/100)</f>
        <v/>
      </c>
      <c r="F1948" s="15" t="str">
        <f aca="false">IF(B1948&lt;5,"Go","Standard")</f>
        <v>Standard</v>
      </c>
    </row>
    <row r="1949" customFormat="false" ht="15" hidden="false" customHeight="true" outlineLevel="0" collapsed="false">
      <c r="A1949" s="10" t="n">
        <f aca="false">Einstellungen!$B$5+INT((ROW()-9)/24)</f>
        <v>46046</v>
      </c>
      <c r="B1949" s="11" t="n">
        <f aca="false">MOD(ROW()-9,24)</f>
        <v>20</v>
      </c>
      <c r="C1949" s="12"/>
      <c r="D1949" s="13" t="n">
        <f aca="false">IF(B1949&lt;5,Einstellungen!$B$3,Einstellungen!$B$4)</f>
        <v>29.13</v>
      </c>
      <c r="E1949" s="14" t="str">
        <f aca="false">IF(C1949="","",C1949*D1949/100)</f>
        <v/>
      </c>
      <c r="F1949" s="15" t="str">
        <f aca="false">IF(B1949&lt;5,"Go","Standard")</f>
        <v>Standard</v>
      </c>
    </row>
    <row r="1950" customFormat="false" ht="15" hidden="false" customHeight="true" outlineLevel="0" collapsed="false">
      <c r="A1950" s="10" t="n">
        <f aca="false">Einstellungen!$B$5+INT((ROW()-9)/24)</f>
        <v>46046</v>
      </c>
      <c r="B1950" s="11" t="n">
        <f aca="false">MOD(ROW()-9,24)</f>
        <v>21</v>
      </c>
      <c r="C1950" s="12"/>
      <c r="D1950" s="13" t="n">
        <f aca="false">IF(B1950&lt;5,Einstellungen!$B$3,Einstellungen!$B$4)</f>
        <v>29.13</v>
      </c>
      <c r="E1950" s="14" t="str">
        <f aca="false">IF(C1950="","",C1950*D1950/100)</f>
        <v/>
      </c>
      <c r="F1950" s="15" t="str">
        <f aca="false">IF(B1950&lt;5,"Go","Standard")</f>
        <v>Standard</v>
      </c>
    </row>
    <row r="1951" customFormat="false" ht="15" hidden="false" customHeight="true" outlineLevel="0" collapsed="false">
      <c r="A1951" s="10" t="n">
        <f aca="false">Einstellungen!$B$5+INT((ROW()-9)/24)</f>
        <v>46046</v>
      </c>
      <c r="B1951" s="11" t="n">
        <f aca="false">MOD(ROW()-9,24)</f>
        <v>22</v>
      </c>
      <c r="C1951" s="12"/>
      <c r="D1951" s="13" t="n">
        <f aca="false">IF(B1951&lt;5,Einstellungen!$B$3,Einstellungen!$B$4)</f>
        <v>29.13</v>
      </c>
      <c r="E1951" s="14" t="str">
        <f aca="false">IF(C1951="","",C1951*D1951/100)</f>
        <v/>
      </c>
      <c r="F1951" s="15" t="str">
        <f aca="false">IF(B1951&lt;5,"Go","Standard")</f>
        <v>Standard</v>
      </c>
    </row>
    <row r="1952" customFormat="false" ht="15" hidden="false" customHeight="true" outlineLevel="0" collapsed="false">
      <c r="A1952" s="10" t="n">
        <f aca="false">Einstellungen!$B$5+INT((ROW()-9)/24)</f>
        <v>46046</v>
      </c>
      <c r="B1952" s="11" t="n">
        <f aca="false">MOD(ROW()-9,24)</f>
        <v>23</v>
      </c>
      <c r="C1952" s="12"/>
      <c r="D1952" s="13" t="n">
        <f aca="false">IF(B1952&lt;5,Einstellungen!$B$3,Einstellungen!$B$4)</f>
        <v>29.13</v>
      </c>
      <c r="E1952" s="14" t="str">
        <f aca="false">IF(C1952="","",C1952*D1952/100)</f>
        <v/>
      </c>
      <c r="F1952" s="15" t="str">
        <f aca="false">IF(B1952&lt;5,"Go","Standard")</f>
        <v>Standard</v>
      </c>
    </row>
    <row r="1953" customFormat="false" ht="15" hidden="false" customHeight="true" outlineLevel="0" collapsed="false">
      <c r="A1953" s="10" t="n">
        <f aca="false">Einstellungen!$B$5+INT((ROW()-9)/24)</f>
        <v>46047</v>
      </c>
      <c r="B1953" s="11" t="n">
        <f aca="false">MOD(ROW()-9,24)</f>
        <v>0</v>
      </c>
      <c r="C1953" s="12"/>
      <c r="D1953" s="13" t="n">
        <f aca="false">IF(B1953&lt;5,Einstellungen!$B$3,Einstellungen!$B$4)</f>
        <v>15.92</v>
      </c>
      <c r="E1953" s="14" t="str">
        <f aca="false">IF(C1953="","",C1953*D1953/100)</f>
        <v/>
      </c>
      <c r="F1953" s="15" t="str">
        <f aca="false">IF(B1953&lt;5,"Go","Standard")</f>
        <v>Go</v>
      </c>
    </row>
    <row r="1954" customFormat="false" ht="15" hidden="false" customHeight="true" outlineLevel="0" collapsed="false">
      <c r="A1954" s="10" t="n">
        <f aca="false">Einstellungen!$B$5+INT((ROW()-9)/24)</f>
        <v>46047</v>
      </c>
      <c r="B1954" s="11" t="n">
        <f aca="false">MOD(ROW()-9,24)</f>
        <v>1</v>
      </c>
      <c r="C1954" s="12"/>
      <c r="D1954" s="13" t="n">
        <f aca="false">IF(B1954&lt;5,Einstellungen!$B$3,Einstellungen!$B$4)</f>
        <v>15.92</v>
      </c>
      <c r="E1954" s="14" t="str">
        <f aca="false">IF(C1954="","",C1954*D1954/100)</f>
        <v/>
      </c>
      <c r="F1954" s="15" t="str">
        <f aca="false">IF(B1954&lt;5,"Go","Standard")</f>
        <v>Go</v>
      </c>
    </row>
    <row r="1955" customFormat="false" ht="15" hidden="false" customHeight="true" outlineLevel="0" collapsed="false">
      <c r="A1955" s="10" t="n">
        <f aca="false">Einstellungen!$B$5+INT((ROW()-9)/24)</f>
        <v>46047</v>
      </c>
      <c r="B1955" s="11" t="n">
        <f aca="false">MOD(ROW()-9,24)</f>
        <v>2</v>
      </c>
      <c r="C1955" s="12"/>
      <c r="D1955" s="13" t="n">
        <f aca="false">IF(B1955&lt;5,Einstellungen!$B$3,Einstellungen!$B$4)</f>
        <v>15.92</v>
      </c>
      <c r="E1955" s="14" t="str">
        <f aca="false">IF(C1955="","",C1955*D1955/100)</f>
        <v/>
      </c>
      <c r="F1955" s="15" t="str">
        <f aca="false">IF(B1955&lt;5,"Go","Standard")</f>
        <v>Go</v>
      </c>
    </row>
    <row r="1956" customFormat="false" ht="15" hidden="false" customHeight="true" outlineLevel="0" collapsed="false">
      <c r="A1956" s="10" t="n">
        <f aca="false">Einstellungen!$B$5+INT((ROW()-9)/24)</f>
        <v>46047</v>
      </c>
      <c r="B1956" s="11" t="n">
        <f aca="false">MOD(ROW()-9,24)</f>
        <v>3</v>
      </c>
      <c r="C1956" s="12"/>
      <c r="D1956" s="13" t="n">
        <f aca="false">IF(B1956&lt;5,Einstellungen!$B$3,Einstellungen!$B$4)</f>
        <v>15.92</v>
      </c>
      <c r="E1956" s="14" t="str">
        <f aca="false">IF(C1956="","",C1956*D1956/100)</f>
        <v/>
      </c>
      <c r="F1956" s="15" t="str">
        <f aca="false">IF(B1956&lt;5,"Go","Standard")</f>
        <v>Go</v>
      </c>
    </row>
    <row r="1957" customFormat="false" ht="15" hidden="false" customHeight="true" outlineLevel="0" collapsed="false">
      <c r="A1957" s="10" t="n">
        <f aca="false">Einstellungen!$B$5+INT((ROW()-9)/24)</f>
        <v>46047</v>
      </c>
      <c r="B1957" s="11" t="n">
        <f aca="false">MOD(ROW()-9,24)</f>
        <v>4</v>
      </c>
      <c r="C1957" s="12"/>
      <c r="D1957" s="13" t="n">
        <f aca="false">IF(B1957&lt;5,Einstellungen!$B$3,Einstellungen!$B$4)</f>
        <v>15.92</v>
      </c>
      <c r="E1957" s="14" t="str">
        <f aca="false">IF(C1957="","",C1957*D1957/100)</f>
        <v/>
      </c>
      <c r="F1957" s="15" t="str">
        <f aca="false">IF(B1957&lt;5,"Go","Standard")</f>
        <v>Go</v>
      </c>
    </row>
    <row r="1958" customFormat="false" ht="15" hidden="false" customHeight="true" outlineLevel="0" collapsed="false">
      <c r="A1958" s="10" t="n">
        <f aca="false">Einstellungen!$B$5+INT((ROW()-9)/24)</f>
        <v>46047</v>
      </c>
      <c r="B1958" s="11" t="n">
        <f aca="false">MOD(ROW()-9,24)</f>
        <v>5</v>
      </c>
      <c r="C1958" s="12"/>
      <c r="D1958" s="13" t="n">
        <f aca="false">IF(B1958&lt;5,Einstellungen!$B$3,Einstellungen!$B$4)</f>
        <v>29.13</v>
      </c>
      <c r="E1958" s="14" t="str">
        <f aca="false">IF(C1958="","",C1958*D1958/100)</f>
        <v/>
      </c>
      <c r="F1958" s="15" t="str">
        <f aca="false">IF(B1958&lt;5,"Go","Standard")</f>
        <v>Standard</v>
      </c>
    </row>
    <row r="1959" customFormat="false" ht="15" hidden="false" customHeight="true" outlineLevel="0" collapsed="false">
      <c r="A1959" s="10" t="n">
        <f aca="false">Einstellungen!$B$5+INT((ROW()-9)/24)</f>
        <v>46047</v>
      </c>
      <c r="B1959" s="11" t="n">
        <f aca="false">MOD(ROW()-9,24)</f>
        <v>6</v>
      </c>
      <c r="C1959" s="12"/>
      <c r="D1959" s="13" t="n">
        <f aca="false">IF(B1959&lt;5,Einstellungen!$B$3,Einstellungen!$B$4)</f>
        <v>29.13</v>
      </c>
      <c r="E1959" s="14" t="str">
        <f aca="false">IF(C1959="","",C1959*D1959/100)</f>
        <v/>
      </c>
      <c r="F1959" s="15" t="str">
        <f aca="false">IF(B1959&lt;5,"Go","Standard")</f>
        <v>Standard</v>
      </c>
    </row>
    <row r="1960" customFormat="false" ht="15" hidden="false" customHeight="true" outlineLevel="0" collapsed="false">
      <c r="A1960" s="10" t="n">
        <f aca="false">Einstellungen!$B$5+INT((ROW()-9)/24)</f>
        <v>46047</v>
      </c>
      <c r="B1960" s="11" t="n">
        <f aca="false">MOD(ROW()-9,24)</f>
        <v>7</v>
      </c>
      <c r="C1960" s="12"/>
      <c r="D1960" s="13" t="n">
        <f aca="false">IF(B1960&lt;5,Einstellungen!$B$3,Einstellungen!$B$4)</f>
        <v>29.13</v>
      </c>
      <c r="E1960" s="14" t="str">
        <f aca="false">IF(C1960="","",C1960*D1960/100)</f>
        <v/>
      </c>
      <c r="F1960" s="15" t="str">
        <f aca="false">IF(B1960&lt;5,"Go","Standard")</f>
        <v>Standard</v>
      </c>
    </row>
    <row r="1961" customFormat="false" ht="15" hidden="false" customHeight="true" outlineLevel="0" collapsed="false">
      <c r="A1961" s="10" t="n">
        <f aca="false">Einstellungen!$B$5+INT((ROW()-9)/24)</f>
        <v>46047</v>
      </c>
      <c r="B1961" s="11" t="n">
        <f aca="false">MOD(ROW()-9,24)</f>
        <v>8</v>
      </c>
      <c r="C1961" s="12"/>
      <c r="D1961" s="13" t="n">
        <f aca="false">IF(B1961&lt;5,Einstellungen!$B$3,Einstellungen!$B$4)</f>
        <v>29.13</v>
      </c>
      <c r="E1961" s="14" t="str">
        <f aca="false">IF(C1961="","",C1961*D1961/100)</f>
        <v/>
      </c>
      <c r="F1961" s="15" t="str">
        <f aca="false">IF(B1961&lt;5,"Go","Standard")</f>
        <v>Standard</v>
      </c>
    </row>
    <row r="1962" customFormat="false" ht="15" hidden="false" customHeight="true" outlineLevel="0" collapsed="false">
      <c r="A1962" s="10" t="n">
        <f aca="false">Einstellungen!$B$5+INT((ROW()-9)/24)</f>
        <v>46047</v>
      </c>
      <c r="B1962" s="11" t="n">
        <f aca="false">MOD(ROW()-9,24)</f>
        <v>9</v>
      </c>
      <c r="C1962" s="12"/>
      <c r="D1962" s="13" t="n">
        <f aca="false">IF(B1962&lt;5,Einstellungen!$B$3,Einstellungen!$B$4)</f>
        <v>29.13</v>
      </c>
      <c r="E1962" s="14" t="str">
        <f aca="false">IF(C1962="","",C1962*D1962/100)</f>
        <v/>
      </c>
      <c r="F1962" s="15" t="str">
        <f aca="false">IF(B1962&lt;5,"Go","Standard")</f>
        <v>Standard</v>
      </c>
    </row>
    <row r="1963" customFormat="false" ht="15" hidden="false" customHeight="true" outlineLevel="0" collapsed="false">
      <c r="A1963" s="10" t="n">
        <f aca="false">Einstellungen!$B$5+INT((ROW()-9)/24)</f>
        <v>46047</v>
      </c>
      <c r="B1963" s="11" t="n">
        <f aca="false">MOD(ROW()-9,24)</f>
        <v>10</v>
      </c>
      <c r="C1963" s="12"/>
      <c r="D1963" s="13" t="n">
        <f aca="false">IF(B1963&lt;5,Einstellungen!$B$3,Einstellungen!$B$4)</f>
        <v>29.13</v>
      </c>
      <c r="E1963" s="14" t="str">
        <f aca="false">IF(C1963="","",C1963*D1963/100)</f>
        <v/>
      </c>
      <c r="F1963" s="15" t="str">
        <f aca="false">IF(B1963&lt;5,"Go","Standard")</f>
        <v>Standard</v>
      </c>
    </row>
    <row r="1964" customFormat="false" ht="15" hidden="false" customHeight="true" outlineLevel="0" collapsed="false">
      <c r="A1964" s="10" t="n">
        <f aca="false">Einstellungen!$B$5+INT((ROW()-9)/24)</f>
        <v>46047</v>
      </c>
      <c r="B1964" s="11" t="n">
        <f aca="false">MOD(ROW()-9,24)</f>
        <v>11</v>
      </c>
      <c r="C1964" s="12"/>
      <c r="D1964" s="13" t="n">
        <f aca="false">IF(B1964&lt;5,Einstellungen!$B$3,Einstellungen!$B$4)</f>
        <v>29.13</v>
      </c>
      <c r="E1964" s="14" t="str">
        <f aca="false">IF(C1964="","",C1964*D1964/100)</f>
        <v/>
      </c>
      <c r="F1964" s="15" t="str">
        <f aca="false">IF(B1964&lt;5,"Go","Standard")</f>
        <v>Standard</v>
      </c>
    </row>
    <row r="1965" customFormat="false" ht="15" hidden="false" customHeight="true" outlineLevel="0" collapsed="false">
      <c r="A1965" s="10" t="n">
        <f aca="false">Einstellungen!$B$5+INT((ROW()-9)/24)</f>
        <v>46047</v>
      </c>
      <c r="B1965" s="11" t="n">
        <f aca="false">MOD(ROW()-9,24)</f>
        <v>12</v>
      </c>
      <c r="C1965" s="12"/>
      <c r="D1965" s="13" t="n">
        <f aca="false">IF(B1965&lt;5,Einstellungen!$B$3,Einstellungen!$B$4)</f>
        <v>29.13</v>
      </c>
      <c r="E1965" s="14" t="str">
        <f aca="false">IF(C1965="","",C1965*D1965/100)</f>
        <v/>
      </c>
      <c r="F1965" s="15" t="str">
        <f aca="false">IF(B1965&lt;5,"Go","Standard")</f>
        <v>Standard</v>
      </c>
    </row>
    <row r="1966" customFormat="false" ht="15" hidden="false" customHeight="true" outlineLevel="0" collapsed="false">
      <c r="A1966" s="10" t="n">
        <f aca="false">Einstellungen!$B$5+INT((ROW()-9)/24)</f>
        <v>46047</v>
      </c>
      <c r="B1966" s="11" t="n">
        <f aca="false">MOD(ROW()-9,24)</f>
        <v>13</v>
      </c>
      <c r="C1966" s="12"/>
      <c r="D1966" s="13" t="n">
        <f aca="false">IF(B1966&lt;5,Einstellungen!$B$3,Einstellungen!$B$4)</f>
        <v>29.13</v>
      </c>
      <c r="E1966" s="14" t="str">
        <f aca="false">IF(C1966="","",C1966*D1966/100)</f>
        <v/>
      </c>
      <c r="F1966" s="15" t="str">
        <f aca="false">IF(B1966&lt;5,"Go","Standard")</f>
        <v>Standard</v>
      </c>
    </row>
    <row r="1967" customFormat="false" ht="15" hidden="false" customHeight="true" outlineLevel="0" collapsed="false">
      <c r="A1967" s="10" t="n">
        <f aca="false">Einstellungen!$B$5+INT((ROW()-9)/24)</f>
        <v>46047</v>
      </c>
      <c r="B1967" s="11" t="n">
        <f aca="false">MOD(ROW()-9,24)</f>
        <v>14</v>
      </c>
      <c r="C1967" s="12"/>
      <c r="D1967" s="13" t="n">
        <f aca="false">IF(B1967&lt;5,Einstellungen!$B$3,Einstellungen!$B$4)</f>
        <v>29.13</v>
      </c>
      <c r="E1967" s="14" t="str">
        <f aca="false">IF(C1967="","",C1967*D1967/100)</f>
        <v/>
      </c>
      <c r="F1967" s="15" t="str">
        <f aca="false">IF(B1967&lt;5,"Go","Standard")</f>
        <v>Standard</v>
      </c>
    </row>
    <row r="1968" customFormat="false" ht="15" hidden="false" customHeight="true" outlineLevel="0" collapsed="false">
      <c r="A1968" s="10" t="n">
        <f aca="false">Einstellungen!$B$5+INT((ROW()-9)/24)</f>
        <v>46047</v>
      </c>
      <c r="B1968" s="11" t="n">
        <f aca="false">MOD(ROW()-9,24)</f>
        <v>15</v>
      </c>
      <c r="C1968" s="12"/>
      <c r="D1968" s="13" t="n">
        <f aca="false">IF(B1968&lt;5,Einstellungen!$B$3,Einstellungen!$B$4)</f>
        <v>29.13</v>
      </c>
      <c r="E1968" s="14" t="str">
        <f aca="false">IF(C1968="","",C1968*D1968/100)</f>
        <v/>
      </c>
      <c r="F1968" s="15" t="str">
        <f aca="false">IF(B1968&lt;5,"Go","Standard")</f>
        <v>Standard</v>
      </c>
    </row>
    <row r="1969" customFormat="false" ht="15" hidden="false" customHeight="true" outlineLevel="0" collapsed="false">
      <c r="A1969" s="10" t="n">
        <f aca="false">Einstellungen!$B$5+INT((ROW()-9)/24)</f>
        <v>46047</v>
      </c>
      <c r="B1969" s="11" t="n">
        <f aca="false">MOD(ROW()-9,24)</f>
        <v>16</v>
      </c>
      <c r="C1969" s="12"/>
      <c r="D1969" s="13" t="n">
        <f aca="false">IF(B1969&lt;5,Einstellungen!$B$3,Einstellungen!$B$4)</f>
        <v>29.13</v>
      </c>
      <c r="E1969" s="14" t="str">
        <f aca="false">IF(C1969="","",C1969*D1969/100)</f>
        <v/>
      </c>
      <c r="F1969" s="15" t="str">
        <f aca="false">IF(B1969&lt;5,"Go","Standard")</f>
        <v>Standard</v>
      </c>
    </row>
    <row r="1970" customFormat="false" ht="15" hidden="false" customHeight="true" outlineLevel="0" collapsed="false">
      <c r="A1970" s="10" t="n">
        <f aca="false">Einstellungen!$B$5+INT((ROW()-9)/24)</f>
        <v>46047</v>
      </c>
      <c r="B1970" s="11" t="n">
        <f aca="false">MOD(ROW()-9,24)</f>
        <v>17</v>
      </c>
      <c r="C1970" s="12"/>
      <c r="D1970" s="13" t="n">
        <f aca="false">IF(B1970&lt;5,Einstellungen!$B$3,Einstellungen!$B$4)</f>
        <v>29.13</v>
      </c>
      <c r="E1970" s="14" t="str">
        <f aca="false">IF(C1970="","",C1970*D1970/100)</f>
        <v/>
      </c>
      <c r="F1970" s="15" t="str">
        <f aca="false">IF(B1970&lt;5,"Go","Standard")</f>
        <v>Standard</v>
      </c>
    </row>
    <row r="1971" customFormat="false" ht="15" hidden="false" customHeight="true" outlineLevel="0" collapsed="false">
      <c r="A1971" s="10" t="n">
        <f aca="false">Einstellungen!$B$5+INT((ROW()-9)/24)</f>
        <v>46047</v>
      </c>
      <c r="B1971" s="11" t="n">
        <f aca="false">MOD(ROW()-9,24)</f>
        <v>18</v>
      </c>
      <c r="C1971" s="12"/>
      <c r="D1971" s="13" t="n">
        <f aca="false">IF(B1971&lt;5,Einstellungen!$B$3,Einstellungen!$B$4)</f>
        <v>29.13</v>
      </c>
      <c r="E1971" s="14" t="str">
        <f aca="false">IF(C1971="","",C1971*D1971/100)</f>
        <v/>
      </c>
      <c r="F1971" s="15" t="str">
        <f aca="false">IF(B1971&lt;5,"Go","Standard")</f>
        <v>Standard</v>
      </c>
    </row>
    <row r="1972" customFormat="false" ht="15" hidden="false" customHeight="true" outlineLevel="0" collapsed="false">
      <c r="A1972" s="10" t="n">
        <f aca="false">Einstellungen!$B$5+INT((ROW()-9)/24)</f>
        <v>46047</v>
      </c>
      <c r="B1972" s="11" t="n">
        <f aca="false">MOD(ROW()-9,24)</f>
        <v>19</v>
      </c>
      <c r="C1972" s="12"/>
      <c r="D1972" s="13" t="n">
        <f aca="false">IF(B1972&lt;5,Einstellungen!$B$3,Einstellungen!$B$4)</f>
        <v>29.13</v>
      </c>
      <c r="E1972" s="14" t="str">
        <f aca="false">IF(C1972="","",C1972*D1972/100)</f>
        <v/>
      </c>
      <c r="F1972" s="15" t="str">
        <f aca="false">IF(B1972&lt;5,"Go","Standard")</f>
        <v>Standard</v>
      </c>
    </row>
    <row r="1973" customFormat="false" ht="15" hidden="false" customHeight="true" outlineLevel="0" collapsed="false">
      <c r="A1973" s="10" t="n">
        <f aca="false">Einstellungen!$B$5+INT((ROW()-9)/24)</f>
        <v>46047</v>
      </c>
      <c r="B1973" s="11" t="n">
        <f aca="false">MOD(ROW()-9,24)</f>
        <v>20</v>
      </c>
      <c r="C1973" s="12"/>
      <c r="D1973" s="13" t="n">
        <f aca="false">IF(B1973&lt;5,Einstellungen!$B$3,Einstellungen!$B$4)</f>
        <v>29.13</v>
      </c>
      <c r="E1973" s="14" t="str">
        <f aca="false">IF(C1973="","",C1973*D1973/100)</f>
        <v/>
      </c>
      <c r="F1973" s="15" t="str">
        <f aca="false">IF(B1973&lt;5,"Go","Standard")</f>
        <v>Standard</v>
      </c>
    </row>
    <row r="1974" customFormat="false" ht="15" hidden="false" customHeight="true" outlineLevel="0" collapsed="false">
      <c r="A1974" s="10" t="n">
        <f aca="false">Einstellungen!$B$5+INT((ROW()-9)/24)</f>
        <v>46047</v>
      </c>
      <c r="B1974" s="11" t="n">
        <f aca="false">MOD(ROW()-9,24)</f>
        <v>21</v>
      </c>
      <c r="C1974" s="12"/>
      <c r="D1974" s="13" t="n">
        <f aca="false">IF(B1974&lt;5,Einstellungen!$B$3,Einstellungen!$B$4)</f>
        <v>29.13</v>
      </c>
      <c r="E1974" s="14" t="str">
        <f aca="false">IF(C1974="","",C1974*D1974/100)</f>
        <v/>
      </c>
      <c r="F1974" s="15" t="str">
        <f aca="false">IF(B1974&lt;5,"Go","Standard")</f>
        <v>Standard</v>
      </c>
    </row>
    <row r="1975" customFormat="false" ht="15" hidden="false" customHeight="true" outlineLevel="0" collapsed="false">
      <c r="A1975" s="10" t="n">
        <f aca="false">Einstellungen!$B$5+INT((ROW()-9)/24)</f>
        <v>46047</v>
      </c>
      <c r="B1975" s="11" t="n">
        <f aca="false">MOD(ROW()-9,24)</f>
        <v>22</v>
      </c>
      <c r="C1975" s="12"/>
      <c r="D1975" s="13" t="n">
        <f aca="false">IF(B1975&lt;5,Einstellungen!$B$3,Einstellungen!$B$4)</f>
        <v>29.13</v>
      </c>
      <c r="E1975" s="14" t="str">
        <f aca="false">IF(C1975="","",C1975*D1975/100)</f>
        <v/>
      </c>
      <c r="F1975" s="15" t="str">
        <f aca="false">IF(B1975&lt;5,"Go","Standard")</f>
        <v>Standard</v>
      </c>
    </row>
    <row r="1976" customFormat="false" ht="15" hidden="false" customHeight="true" outlineLevel="0" collapsed="false">
      <c r="A1976" s="10" t="n">
        <f aca="false">Einstellungen!$B$5+INT((ROW()-9)/24)</f>
        <v>46047</v>
      </c>
      <c r="B1976" s="11" t="n">
        <f aca="false">MOD(ROW()-9,24)</f>
        <v>23</v>
      </c>
      <c r="C1976" s="12"/>
      <c r="D1976" s="13" t="n">
        <f aca="false">IF(B1976&lt;5,Einstellungen!$B$3,Einstellungen!$B$4)</f>
        <v>29.13</v>
      </c>
      <c r="E1976" s="14" t="str">
        <f aca="false">IF(C1976="","",C1976*D1976/100)</f>
        <v/>
      </c>
      <c r="F1976" s="15" t="str">
        <f aca="false">IF(B1976&lt;5,"Go","Standard")</f>
        <v>Standard</v>
      </c>
    </row>
    <row r="1977" customFormat="false" ht="15" hidden="false" customHeight="true" outlineLevel="0" collapsed="false">
      <c r="A1977" s="10" t="n">
        <f aca="false">Einstellungen!$B$5+INT((ROW()-9)/24)</f>
        <v>46048</v>
      </c>
      <c r="B1977" s="11" t="n">
        <f aca="false">MOD(ROW()-9,24)</f>
        <v>0</v>
      </c>
      <c r="C1977" s="12"/>
      <c r="D1977" s="13" t="n">
        <f aca="false">IF(B1977&lt;5,Einstellungen!$B$3,Einstellungen!$B$4)</f>
        <v>15.92</v>
      </c>
      <c r="E1977" s="14" t="str">
        <f aca="false">IF(C1977="","",C1977*D1977/100)</f>
        <v/>
      </c>
      <c r="F1977" s="15" t="str">
        <f aca="false">IF(B1977&lt;5,"Go","Standard")</f>
        <v>Go</v>
      </c>
    </row>
    <row r="1978" customFormat="false" ht="15" hidden="false" customHeight="true" outlineLevel="0" collapsed="false">
      <c r="A1978" s="10" t="n">
        <f aca="false">Einstellungen!$B$5+INT((ROW()-9)/24)</f>
        <v>46048</v>
      </c>
      <c r="B1978" s="11" t="n">
        <f aca="false">MOD(ROW()-9,24)</f>
        <v>1</v>
      </c>
      <c r="C1978" s="12"/>
      <c r="D1978" s="13" t="n">
        <f aca="false">IF(B1978&lt;5,Einstellungen!$B$3,Einstellungen!$B$4)</f>
        <v>15.92</v>
      </c>
      <c r="E1978" s="14" t="str">
        <f aca="false">IF(C1978="","",C1978*D1978/100)</f>
        <v/>
      </c>
      <c r="F1978" s="15" t="str">
        <f aca="false">IF(B1978&lt;5,"Go","Standard")</f>
        <v>Go</v>
      </c>
    </row>
    <row r="1979" customFormat="false" ht="15" hidden="false" customHeight="true" outlineLevel="0" collapsed="false">
      <c r="A1979" s="10" t="n">
        <f aca="false">Einstellungen!$B$5+INT((ROW()-9)/24)</f>
        <v>46048</v>
      </c>
      <c r="B1979" s="11" t="n">
        <f aca="false">MOD(ROW()-9,24)</f>
        <v>2</v>
      </c>
      <c r="C1979" s="12"/>
      <c r="D1979" s="13" t="n">
        <f aca="false">IF(B1979&lt;5,Einstellungen!$B$3,Einstellungen!$B$4)</f>
        <v>15.92</v>
      </c>
      <c r="E1979" s="14" t="str">
        <f aca="false">IF(C1979="","",C1979*D1979/100)</f>
        <v/>
      </c>
      <c r="F1979" s="15" t="str">
        <f aca="false">IF(B1979&lt;5,"Go","Standard")</f>
        <v>Go</v>
      </c>
    </row>
    <row r="1980" customFormat="false" ht="15" hidden="false" customHeight="true" outlineLevel="0" collapsed="false">
      <c r="A1980" s="10" t="n">
        <f aca="false">Einstellungen!$B$5+INT((ROW()-9)/24)</f>
        <v>46048</v>
      </c>
      <c r="B1980" s="11" t="n">
        <f aca="false">MOD(ROW()-9,24)</f>
        <v>3</v>
      </c>
      <c r="C1980" s="12"/>
      <c r="D1980" s="13" t="n">
        <f aca="false">IF(B1980&lt;5,Einstellungen!$B$3,Einstellungen!$B$4)</f>
        <v>15.92</v>
      </c>
      <c r="E1980" s="14" t="str">
        <f aca="false">IF(C1980="","",C1980*D1980/100)</f>
        <v/>
      </c>
      <c r="F1980" s="15" t="str">
        <f aca="false">IF(B1980&lt;5,"Go","Standard")</f>
        <v>Go</v>
      </c>
    </row>
    <row r="1981" customFormat="false" ht="15" hidden="false" customHeight="true" outlineLevel="0" collapsed="false">
      <c r="A1981" s="10" t="n">
        <f aca="false">Einstellungen!$B$5+INT((ROW()-9)/24)</f>
        <v>46048</v>
      </c>
      <c r="B1981" s="11" t="n">
        <f aca="false">MOD(ROW()-9,24)</f>
        <v>4</v>
      </c>
      <c r="C1981" s="12"/>
      <c r="D1981" s="13" t="n">
        <f aca="false">IF(B1981&lt;5,Einstellungen!$B$3,Einstellungen!$B$4)</f>
        <v>15.92</v>
      </c>
      <c r="E1981" s="14" t="str">
        <f aca="false">IF(C1981="","",C1981*D1981/100)</f>
        <v/>
      </c>
      <c r="F1981" s="15" t="str">
        <f aca="false">IF(B1981&lt;5,"Go","Standard")</f>
        <v>Go</v>
      </c>
    </row>
    <row r="1982" customFormat="false" ht="15" hidden="false" customHeight="true" outlineLevel="0" collapsed="false">
      <c r="A1982" s="10" t="n">
        <f aca="false">Einstellungen!$B$5+INT((ROW()-9)/24)</f>
        <v>46048</v>
      </c>
      <c r="B1982" s="11" t="n">
        <f aca="false">MOD(ROW()-9,24)</f>
        <v>5</v>
      </c>
      <c r="C1982" s="12"/>
      <c r="D1982" s="13" t="n">
        <f aca="false">IF(B1982&lt;5,Einstellungen!$B$3,Einstellungen!$B$4)</f>
        <v>29.13</v>
      </c>
      <c r="E1982" s="14" t="str">
        <f aca="false">IF(C1982="","",C1982*D1982/100)</f>
        <v/>
      </c>
      <c r="F1982" s="15" t="str">
        <f aca="false">IF(B1982&lt;5,"Go","Standard")</f>
        <v>Standard</v>
      </c>
    </row>
    <row r="1983" customFormat="false" ht="15" hidden="false" customHeight="true" outlineLevel="0" collapsed="false">
      <c r="A1983" s="10" t="n">
        <f aca="false">Einstellungen!$B$5+INT((ROW()-9)/24)</f>
        <v>46048</v>
      </c>
      <c r="B1983" s="11" t="n">
        <f aca="false">MOD(ROW()-9,24)</f>
        <v>6</v>
      </c>
      <c r="C1983" s="12"/>
      <c r="D1983" s="13" t="n">
        <f aca="false">IF(B1983&lt;5,Einstellungen!$B$3,Einstellungen!$B$4)</f>
        <v>29.13</v>
      </c>
      <c r="E1983" s="14" t="str">
        <f aca="false">IF(C1983="","",C1983*D1983/100)</f>
        <v/>
      </c>
      <c r="F1983" s="15" t="str">
        <f aca="false">IF(B1983&lt;5,"Go","Standard")</f>
        <v>Standard</v>
      </c>
    </row>
    <row r="1984" customFormat="false" ht="15" hidden="false" customHeight="true" outlineLevel="0" collapsed="false">
      <c r="A1984" s="10" t="n">
        <f aca="false">Einstellungen!$B$5+INT((ROW()-9)/24)</f>
        <v>46048</v>
      </c>
      <c r="B1984" s="11" t="n">
        <f aca="false">MOD(ROW()-9,24)</f>
        <v>7</v>
      </c>
      <c r="C1984" s="12"/>
      <c r="D1984" s="13" t="n">
        <f aca="false">IF(B1984&lt;5,Einstellungen!$B$3,Einstellungen!$B$4)</f>
        <v>29.13</v>
      </c>
      <c r="E1984" s="14" t="str">
        <f aca="false">IF(C1984="","",C1984*D1984/100)</f>
        <v/>
      </c>
      <c r="F1984" s="15" t="str">
        <f aca="false">IF(B1984&lt;5,"Go","Standard")</f>
        <v>Standard</v>
      </c>
    </row>
    <row r="1985" customFormat="false" ht="15" hidden="false" customHeight="true" outlineLevel="0" collapsed="false">
      <c r="A1985" s="10" t="n">
        <f aca="false">Einstellungen!$B$5+INT((ROW()-9)/24)</f>
        <v>46048</v>
      </c>
      <c r="B1985" s="11" t="n">
        <f aca="false">MOD(ROW()-9,24)</f>
        <v>8</v>
      </c>
      <c r="C1985" s="12"/>
      <c r="D1985" s="13" t="n">
        <f aca="false">IF(B1985&lt;5,Einstellungen!$B$3,Einstellungen!$B$4)</f>
        <v>29.13</v>
      </c>
      <c r="E1985" s="14" t="str">
        <f aca="false">IF(C1985="","",C1985*D1985/100)</f>
        <v/>
      </c>
      <c r="F1985" s="15" t="str">
        <f aca="false">IF(B1985&lt;5,"Go","Standard")</f>
        <v>Standard</v>
      </c>
    </row>
    <row r="1986" customFormat="false" ht="15" hidden="false" customHeight="true" outlineLevel="0" collapsed="false">
      <c r="A1986" s="10" t="n">
        <f aca="false">Einstellungen!$B$5+INT((ROW()-9)/24)</f>
        <v>46048</v>
      </c>
      <c r="B1986" s="11" t="n">
        <f aca="false">MOD(ROW()-9,24)</f>
        <v>9</v>
      </c>
      <c r="C1986" s="12"/>
      <c r="D1986" s="13" t="n">
        <f aca="false">IF(B1986&lt;5,Einstellungen!$B$3,Einstellungen!$B$4)</f>
        <v>29.13</v>
      </c>
      <c r="E1986" s="14" t="str">
        <f aca="false">IF(C1986="","",C1986*D1986/100)</f>
        <v/>
      </c>
      <c r="F1986" s="15" t="str">
        <f aca="false">IF(B1986&lt;5,"Go","Standard")</f>
        <v>Standard</v>
      </c>
    </row>
    <row r="1987" customFormat="false" ht="15" hidden="false" customHeight="true" outlineLevel="0" collapsed="false">
      <c r="A1987" s="10" t="n">
        <f aca="false">Einstellungen!$B$5+INT((ROW()-9)/24)</f>
        <v>46048</v>
      </c>
      <c r="B1987" s="11" t="n">
        <f aca="false">MOD(ROW()-9,24)</f>
        <v>10</v>
      </c>
      <c r="C1987" s="12"/>
      <c r="D1987" s="13" t="n">
        <f aca="false">IF(B1987&lt;5,Einstellungen!$B$3,Einstellungen!$B$4)</f>
        <v>29.13</v>
      </c>
      <c r="E1987" s="14" t="str">
        <f aca="false">IF(C1987="","",C1987*D1987/100)</f>
        <v/>
      </c>
      <c r="F1987" s="15" t="str">
        <f aca="false">IF(B1987&lt;5,"Go","Standard")</f>
        <v>Standard</v>
      </c>
    </row>
    <row r="1988" customFormat="false" ht="15" hidden="false" customHeight="true" outlineLevel="0" collapsed="false">
      <c r="A1988" s="10" t="n">
        <f aca="false">Einstellungen!$B$5+INT((ROW()-9)/24)</f>
        <v>46048</v>
      </c>
      <c r="B1988" s="11" t="n">
        <f aca="false">MOD(ROW()-9,24)</f>
        <v>11</v>
      </c>
      <c r="C1988" s="12"/>
      <c r="D1988" s="13" t="n">
        <f aca="false">IF(B1988&lt;5,Einstellungen!$B$3,Einstellungen!$B$4)</f>
        <v>29.13</v>
      </c>
      <c r="E1988" s="14" t="str">
        <f aca="false">IF(C1988="","",C1988*D1988/100)</f>
        <v/>
      </c>
      <c r="F1988" s="15" t="str">
        <f aca="false">IF(B1988&lt;5,"Go","Standard")</f>
        <v>Standard</v>
      </c>
    </row>
    <row r="1989" customFormat="false" ht="15" hidden="false" customHeight="true" outlineLevel="0" collapsed="false">
      <c r="A1989" s="10" t="n">
        <f aca="false">Einstellungen!$B$5+INT((ROW()-9)/24)</f>
        <v>46048</v>
      </c>
      <c r="B1989" s="11" t="n">
        <f aca="false">MOD(ROW()-9,24)</f>
        <v>12</v>
      </c>
      <c r="C1989" s="12"/>
      <c r="D1989" s="13" t="n">
        <f aca="false">IF(B1989&lt;5,Einstellungen!$B$3,Einstellungen!$B$4)</f>
        <v>29.13</v>
      </c>
      <c r="E1989" s="14" t="str">
        <f aca="false">IF(C1989="","",C1989*D1989/100)</f>
        <v/>
      </c>
      <c r="F1989" s="15" t="str">
        <f aca="false">IF(B1989&lt;5,"Go","Standard")</f>
        <v>Standard</v>
      </c>
    </row>
    <row r="1990" customFormat="false" ht="15" hidden="false" customHeight="true" outlineLevel="0" collapsed="false">
      <c r="A1990" s="10" t="n">
        <f aca="false">Einstellungen!$B$5+INT((ROW()-9)/24)</f>
        <v>46048</v>
      </c>
      <c r="B1990" s="11" t="n">
        <f aca="false">MOD(ROW()-9,24)</f>
        <v>13</v>
      </c>
      <c r="C1990" s="12"/>
      <c r="D1990" s="13" t="n">
        <f aca="false">IF(B1990&lt;5,Einstellungen!$B$3,Einstellungen!$B$4)</f>
        <v>29.13</v>
      </c>
      <c r="E1990" s="14" t="str">
        <f aca="false">IF(C1990="","",C1990*D1990/100)</f>
        <v/>
      </c>
      <c r="F1990" s="15" t="str">
        <f aca="false">IF(B1990&lt;5,"Go","Standard")</f>
        <v>Standard</v>
      </c>
    </row>
    <row r="1991" customFormat="false" ht="15" hidden="false" customHeight="true" outlineLevel="0" collapsed="false">
      <c r="A1991" s="10" t="n">
        <f aca="false">Einstellungen!$B$5+INT((ROW()-9)/24)</f>
        <v>46048</v>
      </c>
      <c r="B1991" s="11" t="n">
        <f aca="false">MOD(ROW()-9,24)</f>
        <v>14</v>
      </c>
      <c r="C1991" s="12"/>
      <c r="D1991" s="13" t="n">
        <f aca="false">IF(B1991&lt;5,Einstellungen!$B$3,Einstellungen!$B$4)</f>
        <v>29.13</v>
      </c>
      <c r="E1991" s="14" t="str">
        <f aca="false">IF(C1991="","",C1991*D1991/100)</f>
        <v/>
      </c>
      <c r="F1991" s="15" t="str">
        <f aca="false">IF(B1991&lt;5,"Go","Standard")</f>
        <v>Standard</v>
      </c>
    </row>
    <row r="1992" customFormat="false" ht="15" hidden="false" customHeight="true" outlineLevel="0" collapsed="false">
      <c r="A1992" s="10" t="n">
        <f aca="false">Einstellungen!$B$5+INT((ROW()-9)/24)</f>
        <v>46048</v>
      </c>
      <c r="B1992" s="11" t="n">
        <f aca="false">MOD(ROW()-9,24)</f>
        <v>15</v>
      </c>
      <c r="C1992" s="12"/>
      <c r="D1992" s="13" t="n">
        <f aca="false">IF(B1992&lt;5,Einstellungen!$B$3,Einstellungen!$B$4)</f>
        <v>29.13</v>
      </c>
      <c r="E1992" s="14" t="str">
        <f aca="false">IF(C1992="","",C1992*D1992/100)</f>
        <v/>
      </c>
      <c r="F1992" s="15" t="str">
        <f aca="false">IF(B1992&lt;5,"Go","Standard")</f>
        <v>Standard</v>
      </c>
    </row>
    <row r="1993" customFormat="false" ht="15" hidden="false" customHeight="true" outlineLevel="0" collapsed="false">
      <c r="A1993" s="10" t="n">
        <f aca="false">Einstellungen!$B$5+INT((ROW()-9)/24)</f>
        <v>46048</v>
      </c>
      <c r="B1993" s="11" t="n">
        <f aca="false">MOD(ROW()-9,24)</f>
        <v>16</v>
      </c>
      <c r="C1993" s="12"/>
      <c r="D1993" s="13" t="n">
        <f aca="false">IF(B1993&lt;5,Einstellungen!$B$3,Einstellungen!$B$4)</f>
        <v>29.13</v>
      </c>
      <c r="E1993" s="14" t="str">
        <f aca="false">IF(C1993="","",C1993*D1993/100)</f>
        <v/>
      </c>
      <c r="F1993" s="15" t="str">
        <f aca="false">IF(B1993&lt;5,"Go","Standard")</f>
        <v>Standard</v>
      </c>
    </row>
    <row r="1994" customFormat="false" ht="15" hidden="false" customHeight="true" outlineLevel="0" collapsed="false">
      <c r="A1994" s="10" t="n">
        <f aca="false">Einstellungen!$B$5+INT((ROW()-9)/24)</f>
        <v>46048</v>
      </c>
      <c r="B1994" s="11" t="n">
        <f aca="false">MOD(ROW()-9,24)</f>
        <v>17</v>
      </c>
      <c r="C1994" s="12"/>
      <c r="D1994" s="13" t="n">
        <f aca="false">IF(B1994&lt;5,Einstellungen!$B$3,Einstellungen!$B$4)</f>
        <v>29.13</v>
      </c>
      <c r="E1994" s="14" t="str">
        <f aca="false">IF(C1994="","",C1994*D1994/100)</f>
        <v/>
      </c>
      <c r="F1994" s="15" t="str">
        <f aca="false">IF(B1994&lt;5,"Go","Standard")</f>
        <v>Standard</v>
      </c>
    </row>
    <row r="1995" customFormat="false" ht="15" hidden="false" customHeight="true" outlineLevel="0" collapsed="false">
      <c r="A1995" s="10" t="n">
        <f aca="false">Einstellungen!$B$5+INT((ROW()-9)/24)</f>
        <v>46048</v>
      </c>
      <c r="B1995" s="11" t="n">
        <f aca="false">MOD(ROW()-9,24)</f>
        <v>18</v>
      </c>
      <c r="C1995" s="12"/>
      <c r="D1995" s="13" t="n">
        <f aca="false">IF(B1995&lt;5,Einstellungen!$B$3,Einstellungen!$B$4)</f>
        <v>29.13</v>
      </c>
      <c r="E1995" s="14" t="str">
        <f aca="false">IF(C1995="","",C1995*D1995/100)</f>
        <v/>
      </c>
      <c r="F1995" s="15" t="str">
        <f aca="false">IF(B1995&lt;5,"Go","Standard")</f>
        <v>Standard</v>
      </c>
    </row>
    <row r="1996" customFormat="false" ht="15" hidden="false" customHeight="true" outlineLevel="0" collapsed="false">
      <c r="A1996" s="10" t="n">
        <f aca="false">Einstellungen!$B$5+INT((ROW()-9)/24)</f>
        <v>46048</v>
      </c>
      <c r="B1996" s="11" t="n">
        <f aca="false">MOD(ROW()-9,24)</f>
        <v>19</v>
      </c>
      <c r="C1996" s="12"/>
      <c r="D1996" s="13" t="n">
        <f aca="false">IF(B1996&lt;5,Einstellungen!$B$3,Einstellungen!$B$4)</f>
        <v>29.13</v>
      </c>
      <c r="E1996" s="14" t="str">
        <f aca="false">IF(C1996="","",C1996*D1996/100)</f>
        <v/>
      </c>
      <c r="F1996" s="15" t="str">
        <f aca="false">IF(B1996&lt;5,"Go","Standard")</f>
        <v>Standard</v>
      </c>
    </row>
    <row r="1997" customFormat="false" ht="15" hidden="false" customHeight="true" outlineLevel="0" collapsed="false">
      <c r="A1997" s="10" t="n">
        <f aca="false">Einstellungen!$B$5+INT((ROW()-9)/24)</f>
        <v>46048</v>
      </c>
      <c r="B1997" s="11" t="n">
        <f aca="false">MOD(ROW()-9,24)</f>
        <v>20</v>
      </c>
      <c r="C1997" s="12"/>
      <c r="D1997" s="13" t="n">
        <f aca="false">IF(B1997&lt;5,Einstellungen!$B$3,Einstellungen!$B$4)</f>
        <v>29.13</v>
      </c>
      <c r="E1997" s="14" t="str">
        <f aca="false">IF(C1997="","",C1997*D1997/100)</f>
        <v/>
      </c>
      <c r="F1997" s="15" t="str">
        <f aca="false">IF(B1997&lt;5,"Go","Standard")</f>
        <v>Standard</v>
      </c>
    </row>
    <row r="1998" customFormat="false" ht="15" hidden="false" customHeight="true" outlineLevel="0" collapsed="false">
      <c r="A1998" s="10" t="n">
        <f aca="false">Einstellungen!$B$5+INT((ROW()-9)/24)</f>
        <v>46048</v>
      </c>
      <c r="B1998" s="11" t="n">
        <f aca="false">MOD(ROW()-9,24)</f>
        <v>21</v>
      </c>
      <c r="C1998" s="12"/>
      <c r="D1998" s="13" t="n">
        <f aca="false">IF(B1998&lt;5,Einstellungen!$B$3,Einstellungen!$B$4)</f>
        <v>29.13</v>
      </c>
      <c r="E1998" s="14" t="str">
        <f aca="false">IF(C1998="","",C1998*D1998/100)</f>
        <v/>
      </c>
      <c r="F1998" s="15" t="str">
        <f aca="false">IF(B1998&lt;5,"Go","Standard")</f>
        <v>Standard</v>
      </c>
    </row>
    <row r="1999" customFormat="false" ht="15" hidden="false" customHeight="true" outlineLevel="0" collapsed="false">
      <c r="A1999" s="10" t="n">
        <f aca="false">Einstellungen!$B$5+INT((ROW()-9)/24)</f>
        <v>46048</v>
      </c>
      <c r="B1999" s="11" t="n">
        <f aca="false">MOD(ROW()-9,24)</f>
        <v>22</v>
      </c>
      <c r="C1999" s="12"/>
      <c r="D1999" s="13" t="n">
        <f aca="false">IF(B1999&lt;5,Einstellungen!$B$3,Einstellungen!$B$4)</f>
        <v>29.13</v>
      </c>
      <c r="E1999" s="14" t="str">
        <f aca="false">IF(C1999="","",C1999*D1999/100)</f>
        <v/>
      </c>
      <c r="F1999" s="15" t="str">
        <f aca="false">IF(B1999&lt;5,"Go","Standard")</f>
        <v>Standard</v>
      </c>
    </row>
    <row r="2000" customFormat="false" ht="15" hidden="false" customHeight="true" outlineLevel="0" collapsed="false">
      <c r="A2000" s="10" t="n">
        <f aca="false">Einstellungen!$B$5+INT((ROW()-9)/24)</f>
        <v>46048</v>
      </c>
      <c r="B2000" s="11" t="n">
        <f aca="false">MOD(ROW()-9,24)</f>
        <v>23</v>
      </c>
      <c r="C2000" s="12"/>
      <c r="D2000" s="13" t="n">
        <f aca="false">IF(B2000&lt;5,Einstellungen!$B$3,Einstellungen!$B$4)</f>
        <v>29.13</v>
      </c>
      <c r="E2000" s="14" t="str">
        <f aca="false">IF(C2000="","",C2000*D2000/100)</f>
        <v/>
      </c>
      <c r="F2000" s="15" t="str">
        <f aca="false">IF(B2000&lt;5,"Go","Standard")</f>
        <v>Standard</v>
      </c>
    </row>
    <row r="2001" customFormat="false" ht="15" hidden="false" customHeight="true" outlineLevel="0" collapsed="false">
      <c r="A2001" s="10" t="n">
        <f aca="false">Einstellungen!$B$5+INT((ROW()-9)/24)</f>
        <v>46049</v>
      </c>
      <c r="B2001" s="11" t="n">
        <f aca="false">MOD(ROW()-9,24)</f>
        <v>0</v>
      </c>
      <c r="C2001" s="12"/>
      <c r="D2001" s="13" t="n">
        <f aca="false">IF(B2001&lt;5,Einstellungen!$B$3,Einstellungen!$B$4)</f>
        <v>15.92</v>
      </c>
      <c r="E2001" s="14" t="str">
        <f aca="false">IF(C2001="","",C2001*D2001/100)</f>
        <v/>
      </c>
      <c r="F2001" s="15" t="str">
        <f aca="false">IF(B2001&lt;5,"Go","Standard")</f>
        <v>Go</v>
      </c>
    </row>
    <row r="2002" customFormat="false" ht="15" hidden="false" customHeight="true" outlineLevel="0" collapsed="false">
      <c r="A2002" s="10" t="n">
        <f aca="false">Einstellungen!$B$5+INT((ROW()-9)/24)</f>
        <v>46049</v>
      </c>
      <c r="B2002" s="11" t="n">
        <f aca="false">MOD(ROW()-9,24)</f>
        <v>1</v>
      </c>
      <c r="C2002" s="12"/>
      <c r="D2002" s="13" t="n">
        <f aca="false">IF(B2002&lt;5,Einstellungen!$B$3,Einstellungen!$B$4)</f>
        <v>15.92</v>
      </c>
      <c r="E2002" s="14" t="str">
        <f aca="false">IF(C2002="","",C2002*D2002/100)</f>
        <v/>
      </c>
      <c r="F2002" s="15" t="str">
        <f aca="false">IF(B2002&lt;5,"Go","Standard")</f>
        <v>Go</v>
      </c>
    </row>
    <row r="2003" customFormat="false" ht="15" hidden="false" customHeight="true" outlineLevel="0" collapsed="false">
      <c r="A2003" s="10" t="n">
        <f aca="false">Einstellungen!$B$5+INT((ROW()-9)/24)</f>
        <v>46049</v>
      </c>
      <c r="B2003" s="11" t="n">
        <f aca="false">MOD(ROW()-9,24)</f>
        <v>2</v>
      </c>
      <c r="C2003" s="12"/>
      <c r="D2003" s="13" t="n">
        <f aca="false">IF(B2003&lt;5,Einstellungen!$B$3,Einstellungen!$B$4)</f>
        <v>15.92</v>
      </c>
      <c r="E2003" s="14" t="str">
        <f aca="false">IF(C2003="","",C2003*D2003/100)</f>
        <v/>
      </c>
      <c r="F2003" s="15" t="str">
        <f aca="false">IF(B2003&lt;5,"Go","Standard")</f>
        <v>Go</v>
      </c>
    </row>
    <row r="2004" customFormat="false" ht="15" hidden="false" customHeight="true" outlineLevel="0" collapsed="false">
      <c r="A2004" s="10" t="n">
        <f aca="false">Einstellungen!$B$5+INT((ROW()-9)/24)</f>
        <v>46049</v>
      </c>
      <c r="B2004" s="11" t="n">
        <f aca="false">MOD(ROW()-9,24)</f>
        <v>3</v>
      </c>
      <c r="C2004" s="12"/>
      <c r="D2004" s="13" t="n">
        <f aca="false">IF(B2004&lt;5,Einstellungen!$B$3,Einstellungen!$B$4)</f>
        <v>15.92</v>
      </c>
      <c r="E2004" s="14" t="str">
        <f aca="false">IF(C2004="","",C2004*D2004/100)</f>
        <v/>
      </c>
      <c r="F2004" s="15" t="str">
        <f aca="false">IF(B2004&lt;5,"Go","Standard")</f>
        <v>Go</v>
      </c>
    </row>
    <row r="2005" customFormat="false" ht="15" hidden="false" customHeight="true" outlineLevel="0" collapsed="false">
      <c r="A2005" s="10" t="n">
        <f aca="false">Einstellungen!$B$5+INT((ROW()-9)/24)</f>
        <v>46049</v>
      </c>
      <c r="B2005" s="11" t="n">
        <f aca="false">MOD(ROW()-9,24)</f>
        <v>4</v>
      </c>
      <c r="C2005" s="12"/>
      <c r="D2005" s="13" t="n">
        <f aca="false">IF(B2005&lt;5,Einstellungen!$B$3,Einstellungen!$B$4)</f>
        <v>15.92</v>
      </c>
      <c r="E2005" s="14" t="str">
        <f aca="false">IF(C2005="","",C2005*D2005/100)</f>
        <v/>
      </c>
      <c r="F2005" s="15" t="str">
        <f aca="false">IF(B2005&lt;5,"Go","Standard")</f>
        <v>Go</v>
      </c>
    </row>
    <row r="2006" customFormat="false" ht="15" hidden="false" customHeight="true" outlineLevel="0" collapsed="false">
      <c r="A2006" s="10" t="n">
        <f aca="false">Einstellungen!$B$5+INT((ROW()-9)/24)</f>
        <v>46049</v>
      </c>
      <c r="B2006" s="11" t="n">
        <f aca="false">MOD(ROW()-9,24)</f>
        <v>5</v>
      </c>
      <c r="C2006" s="12"/>
      <c r="D2006" s="13" t="n">
        <f aca="false">IF(B2006&lt;5,Einstellungen!$B$3,Einstellungen!$B$4)</f>
        <v>29.13</v>
      </c>
      <c r="E2006" s="14" t="str">
        <f aca="false">IF(C2006="","",C2006*D2006/100)</f>
        <v/>
      </c>
      <c r="F2006" s="15" t="str">
        <f aca="false">IF(B2006&lt;5,"Go","Standard")</f>
        <v>Standard</v>
      </c>
    </row>
    <row r="2007" customFormat="false" ht="15" hidden="false" customHeight="true" outlineLevel="0" collapsed="false">
      <c r="A2007" s="10" t="n">
        <f aca="false">Einstellungen!$B$5+INT((ROW()-9)/24)</f>
        <v>46049</v>
      </c>
      <c r="B2007" s="11" t="n">
        <f aca="false">MOD(ROW()-9,24)</f>
        <v>6</v>
      </c>
      <c r="C2007" s="12"/>
      <c r="D2007" s="13" t="n">
        <f aca="false">IF(B2007&lt;5,Einstellungen!$B$3,Einstellungen!$B$4)</f>
        <v>29.13</v>
      </c>
      <c r="E2007" s="14" t="str">
        <f aca="false">IF(C2007="","",C2007*D2007/100)</f>
        <v/>
      </c>
      <c r="F2007" s="15" t="str">
        <f aca="false">IF(B2007&lt;5,"Go","Standard")</f>
        <v>Standard</v>
      </c>
    </row>
    <row r="2008" customFormat="false" ht="15" hidden="false" customHeight="true" outlineLevel="0" collapsed="false">
      <c r="A2008" s="10" t="n">
        <f aca="false">Einstellungen!$B$5+INT((ROW()-9)/24)</f>
        <v>46049</v>
      </c>
      <c r="B2008" s="11" t="n">
        <f aca="false">MOD(ROW()-9,24)</f>
        <v>7</v>
      </c>
      <c r="C2008" s="12"/>
      <c r="D2008" s="13" t="n">
        <f aca="false">IF(B2008&lt;5,Einstellungen!$B$3,Einstellungen!$B$4)</f>
        <v>29.13</v>
      </c>
      <c r="E2008" s="14" t="str">
        <f aca="false">IF(C2008="","",C2008*D2008/100)</f>
        <v/>
      </c>
      <c r="F2008" s="15" t="str">
        <f aca="false">IF(B2008&lt;5,"Go","Standard")</f>
        <v>Standard</v>
      </c>
    </row>
    <row r="2009" customFormat="false" ht="15" hidden="false" customHeight="true" outlineLevel="0" collapsed="false">
      <c r="A2009" s="10" t="n">
        <f aca="false">Einstellungen!$B$5+INT((ROW()-9)/24)</f>
        <v>46049</v>
      </c>
      <c r="B2009" s="11" t="n">
        <f aca="false">MOD(ROW()-9,24)</f>
        <v>8</v>
      </c>
      <c r="C2009" s="12"/>
      <c r="D2009" s="13" t="n">
        <f aca="false">IF(B2009&lt;5,Einstellungen!$B$3,Einstellungen!$B$4)</f>
        <v>29.13</v>
      </c>
      <c r="E2009" s="14" t="str">
        <f aca="false">IF(C2009="","",C2009*D2009/100)</f>
        <v/>
      </c>
      <c r="F2009" s="15" t="str">
        <f aca="false">IF(B2009&lt;5,"Go","Standard")</f>
        <v>Standard</v>
      </c>
    </row>
    <row r="2010" customFormat="false" ht="15" hidden="false" customHeight="true" outlineLevel="0" collapsed="false">
      <c r="A2010" s="10" t="n">
        <f aca="false">Einstellungen!$B$5+INT((ROW()-9)/24)</f>
        <v>46049</v>
      </c>
      <c r="B2010" s="11" t="n">
        <f aca="false">MOD(ROW()-9,24)</f>
        <v>9</v>
      </c>
      <c r="C2010" s="12"/>
      <c r="D2010" s="13" t="n">
        <f aca="false">IF(B2010&lt;5,Einstellungen!$B$3,Einstellungen!$B$4)</f>
        <v>29.13</v>
      </c>
      <c r="E2010" s="14" t="str">
        <f aca="false">IF(C2010="","",C2010*D2010/100)</f>
        <v/>
      </c>
      <c r="F2010" s="15" t="str">
        <f aca="false">IF(B2010&lt;5,"Go","Standard")</f>
        <v>Standard</v>
      </c>
    </row>
    <row r="2011" customFormat="false" ht="15" hidden="false" customHeight="true" outlineLevel="0" collapsed="false">
      <c r="A2011" s="10" t="n">
        <f aca="false">Einstellungen!$B$5+INT((ROW()-9)/24)</f>
        <v>46049</v>
      </c>
      <c r="B2011" s="11" t="n">
        <f aca="false">MOD(ROW()-9,24)</f>
        <v>10</v>
      </c>
      <c r="C2011" s="12"/>
      <c r="D2011" s="13" t="n">
        <f aca="false">IF(B2011&lt;5,Einstellungen!$B$3,Einstellungen!$B$4)</f>
        <v>29.13</v>
      </c>
      <c r="E2011" s="14" t="str">
        <f aca="false">IF(C2011="","",C2011*D2011/100)</f>
        <v/>
      </c>
      <c r="F2011" s="15" t="str">
        <f aca="false">IF(B2011&lt;5,"Go","Standard")</f>
        <v>Standard</v>
      </c>
    </row>
    <row r="2012" customFormat="false" ht="15" hidden="false" customHeight="true" outlineLevel="0" collapsed="false">
      <c r="A2012" s="10" t="n">
        <f aca="false">Einstellungen!$B$5+INT((ROW()-9)/24)</f>
        <v>46049</v>
      </c>
      <c r="B2012" s="11" t="n">
        <f aca="false">MOD(ROW()-9,24)</f>
        <v>11</v>
      </c>
      <c r="C2012" s="12"/>
      <c r="D2012" s="13" t="n">
        <f aca="false">IF(B2012&lt;5,Einstellungen!$B$3,Einstellungen!$B$4)</f>
        <v>29.13</v>
      </c>
      <c r="E2012" s="14" t="str">
        <f aca="false">IF(C2012="","",C2012*D2012/100)</f>
        <v/>
      </c>
      <c r="F2012" s="15" t="str">
        <f aca="false">IF(B2012&lt;5,"Go","Standard")</f>
        <v>Standard</v>
      </c>
    </row>
    <row r="2013" customFormat="false" ht="15" hidden="false" customHeight="true" outlineLevel="0" collapsed="false">
      <c r="A2013" s="10" t="n">
        <f aca="false">Einstellungen!$B$5+INT((ROW()-9)/24)</f>
        <v>46049</v>
      </c>
      <c r="B2013" s="11" t="n">
        <f aca="false">MOD(ROW()-9,24)</f>
        <v>12</v>
      </c>
      <c r="C2013" s="12"/>
      <c r="D2013" s="13" t="n">
        <f aca="false">IF(B2013&lt;5,Einstellungen!$B$3,Einstellungen!$B$4)</f>
        <v>29.13</v>
      </c>
      <c r="E2013" s="14" t="str">
        <f aca="false">IF(C2013="","",C2013*D2013/100)</f>
        <v/>
      </c>
      <c r="F2013" s="15" t="str">
        <f aca="false">IF(B2013&lt;5,"Go","Standard")</f>
        <v>Standard</v>
      </c>
    </row>
    <row r="2014" customFormat="false" ht="15" hidden="false" customHeight="true" outlineLevel="0" collapsed="false">
      <c r="A2014" s="10" t="n">
        <f aca="false">Einstellungen!$B$5+INT((ROW()-9)/24)</f>
        <v>46049</v>
      </c>
      <c r="B2014" s="11" t="n">
        <f aca="false">MOD(ROW()-9,24)</f>
        <v>13</v>
      </c>
      <c r="C2014" s="12"/>
      <c r="D2014" s="13" t="n">
        <f aca="false">IF(B2014&lt;5,Einstellungen!$B$3,Einstellungen!$B$4)</f>
        <v>29.13</v>
      </c>
      <c r="E2014" s="14" t="str">
        <f aca="false">IF(C2014="","",C2014*D2014/100)</f>
        <v/>
      </c>
      <c r="F2014" s="15" t="str">
        <f aca="false">IF(B2014&lt;5,"Go","Standard")</f>
        <v>Standard</v>
      </c>
    </row>
    <row r="2015" customFormat="false" ht="15" hidden="false" customHeight="true" outlineLevel="0" collapsed="false">
      <c r="A2015" s="10" t="n">
        <f aca="false">Einstellungen!$B$5+INT((ROW()-9)/24)</f>
        <v>46049</v>
      </c>
      <c r="B2015" s="11" t="n">
        <f aca="false">MOD(ROW()-9,24)</f>
        <v>14</v>
      </c>
      <c r="C2015" s="12"/>
      <c r="D2015" s="13" t="n">
        <f aca="false">IF(B2015&lt;5,Einstellungen!$B$3,Einstellungen!$B$4)</f>
        <v>29.13</v>
      </c>
      <c r="E2015" s="14" t="str">
        <f aca="false">IF(C2015="","",C2015*D2015/100)</f>
        <v/>
      </c>
      <c r="F2015" s="15" t="str">
        <f aca="false">IF(B2015&lt;5,"Go","Standard")</f>
        <v>Standard</v>
      </c>
    </row>
    <row r="2016" customFormat="false" ht="15" hidden="false" customHeight="true" outlineLevel="0" collapsed="false">
      <c r="A2016" s="10" t="n">
        <f aca="false">Einstellungen!$B$5+INT((ROW()-9)/24)</f>
        <v>46049</v>
      </c>
      <c r="B2016" s="11" t="n">
        <f aca="false">MOD(ROW()-9,24)</f>
        <v>15</v>
      </c>
      <c r="C2016" s="12"/>
      <c r="D2016" s="13" t="n">
        <f aca="false">IF(B2016&lt;5,Einstellungen!$B$3,Einstellungen!$B$4)</f>
        <v>29.13</v>
      </c>
      <c r="E2016" s="14" t="str">
        <f aca="false">IF(C2016="","",C2016*D2016/100)</f>
        <v/>
      </c>
      <c r="F2016" s="15" t="str">
        <f aca="false">IF(B2016&lt;5,"Go","Standard")</f>
        <v>Standard</v>
      </c>
    </row>
    <row r="2017" customFormat="false" ht="15" hidden="false" customHeight="true" outlineLevel="0" collapsed="false">
      <c r="A2017" s="10" t="n">
        <f aca="false">Einstellungen!$B$5+INT((ROW()-9)/24)</f>
        <v>46049</v>
      </c>
      <c r="B2017" s="11" t="n">
        <f aca="false">MOD(ROW()-9,24)</f>
        <v>16</v>
      </c>
      <c r="C2017" s="12"/>
      <c r="D2017" s="13" t="n">
        <f aca="false">IF(B2017&lt;5,Einstellungen!$B$3,Einstellungen!$B$4)</f>
        <v>29.13</v>
      </c>
      <c r="E2017" s="14" t="str">
        <f aca="false">IF(C2017="","",C2017*D2017/100)</f>
        <v/>
      </c>
      <c r="F2017" s="15" t="str">
        <f aca="false">IF(B2017&lt;5,"Go","Standard")</f>
        <v>Standard</v>
      </c>
    </row>
    <row r="2018" customFormat="false" ht="15" hidden="false" customHeight="true" outlineLevel="0" collapsed="false">
      <c r="A2018" s="10" t="n">
        <f aca="false">Einstellungen!$B$5+INT((ROW()-9)/24)</f>
        <v>46049</v>
      </c>
      <c r="B2018" s="11" t="n">
        <f aca="false">MOD(ROW()-9,24)</f>
        <v>17</v>
      </c>
      <c r="C2018" s="12"/>
      <c r="D2018" s="13" t="n">
        <f aca="false">IF(B2018&lt;5,Einstellungen!$B$3,Einstellungen!$B$4)</f>
        <v>29.13</v>
      </c>
      <c r="E2018" s="14" t="str">
        <f aca="false">IF(C2018="","",C2018*D2018/100)</f>
        <v/>
      </c>
      <c r="F2018" s="15" t="str">
        <f aca="false">IF(B2018&lt;5,"Go","Standard")</f>
        <v>Standard</v>
      </c>
    </row>
    <row r="2019" customFormat="false" ht="15" hidden="false" customHeight="true" outlineLevel="0" collapsed="false">
      <c r="A2019" s="10" t="n">
        <f aca="false">Einstellungen!$B$5+INT((ROW()-9)/24)</f>
        <v>46049</v>
      </c>
      <c r="B2019" s="11" t="n">
        <f aca="false">MOD(ROW()-9,24)</f>
        <v>18</v>
      </c>
      <c r="C2019" s="12"/>
      <c r="D2019" s="13" t="n">
        <f aca="false">IF(B2019&lt;5,Einstellungen!$B$3,Einstellungen!$B$4)</f>
        <v>29.13</v>
      </c>
      <c r="E2019" s="14" t="str">
        <f aca="false">IF(C2019="","",C2019*D2019/100)</f>
        <v/>
      </c>
      <c r="F2019" s="15" t="str">
        <f aca="false">IF(B2019&lt;5,"Go","Standard")</f>
        <v>Standard</v>
      </c>
    </row>
    <row r="2020" customFormat="false" ht="15" hidden="false" customHeight="true" outlineLevel="0" collapsed="false">
      <c r="A2020" s="10" t="n">
        <f aca="false">Einstellungen!$B$5+INT((ROW()-9)/24)</f>
        <v>46049</v>
      </c>
      <c r="B2020" s="11" t="n">
        <f aca="false">MOD(ROW()-9,24)</f>
        <v>19</v>
      </c>
      <c r="C2020" s="12"/>
      <c r="D2020" s="13" t="n">
        <f aca="false">IF(B2020&lt;5,Einstellungen!$B$3,Einstellungen!$B$4)</f>
        <v>29.13</v>
      </c>
      <c r="E2020" s="14" t="str">
        <f aca="false">IF(C2020="","",C2020*D2020/100)</f>
        <v/>
      </c>
      <c r="F2020" s="15" t="str">
        <f aca="false">IF(B2020&lt;5,"Go","Standard")</f>
        <v>Standard</v>
      </c>
    </row>
    <row r="2021" customFormat="false" ht="15" hidden="false" customHeight="true" outlineLevel="0" collapsed="false">
      <c r="A2021" s="10" t="n">
        <f aca="false">Einstellungen!$B$5+INT((ROW()-9)/24)</f>
        <v>46049</v>
      </c>
      <c r="B2021" s="11" t="n">
        <f aca="false">MOD(ROW()-9,24)</f>
        <v>20</v>
      </c>
      <c r="C2021" s="12"/>
      <c r="D2021" s="13" t="n">
        <f aca="false">IF(B2021&lt;5,Einstellungen!$B$3,Einstellungen!$B$4)</f>
        <v>29.13</v>
      </c>
      <c r="E2021" s="14" t="str">
        <f aca="false">IF(C2021="","",C2021*D2021/100)</f>
        <v/>
      </c>
      <c r="F2021" s="15" t="str">
        <f aca="false">IF(B2021&lt;5,"Go","Standard")</f>
        <v>Standard</v>
      </c>
    </row>
    <row r="2022" customFormat="false" ht="15" hidden="false" customHeight="true" outlineLevel="0" collapsed="false">
      <c r="A2022" s="10" t="n">
        <f aca="false">Einstellungen!$B$5+INT((ROW()-9)/24)</f>
        <v>46049</v>
      </c>
      <c r="B2022" s="11" t="n">
        <f aca="false">MOD(ROW()-9,24)</f>
        <v>21</v>
      </c>
      <c r="C2022" s="12"/>
      <c r="D2022" s="13" t="n">
        <f aca="false">IF(B2022&lt;5,Einstellungen!$B$3,Einstellungen!$B$4)</f>
        <v>29.13</v>
      </c>
      <c r="E2022" s="14" t="str">
        <f aca="false">IF(C2022="","",C2022*D2022/100)</f>
        <v/>
      </c>
      <c r="F2022" s="15" t="str">
        <f aca="false">IF(B2022&lt;5,"Go","Standard")</f>
        <v>Standard</v>
      </c>
    </row>
    <row r="2023" customFormat="false" ht="15" hidden="false" customHeight="true" outlineLevel="0" collapsed="false">
      <c r="A2023" s="10" t="n">
        <f aca="false">Einstellungen!$B$5+INT((ROW()-9)/24)</f>
        <v>46049</v>
      </c>
      <c r="B2023" s="11" t="n">
        <f aca="false">MOD(ROW()-9,24)</f>
        <v>22</v>
      </c>
      <c r="C2023" s="12"/>
      <c r="D2023" s="13" t="n">
        <f aca="false">IF(B2023&lt;5,Einstellungen!$B$3,Einstellungen!$B$4)</f>
        <v>29.13</v>
      </c>
      <c r="E2023" s="14" t="str">
        <f aca="false">IF(C2023="","",C2023*D2023/100)</f>
        <v/>
      </c>
      <c r="F2023" s="15" t="str">
        <f aca="false">IF(B2023&lt;5,"Go","Standard")</f>
        <v>Standard</v>
      </c>
    </row>
    <row r="2024" customFormat="false" ht="15" hidden="false" customHeight="true" outlineLevel="0" collapsed="false">
      <c r="A2024" s="10" t="n">
        <f aca="false">Einstellungen!$B$5+INT((ROW()-9)/24)</f>
        <v>46049</v>
      </c>
      <c r="B2024" s="11" t="n">
        <f aca="false">MOD(ROW()-9,24)</f>
        <v>23</v>
      </c>
      <c r="C2024" s="12"/>
      <c r="D2024" s="13" t="n">
        <f aca="false">IF(B2024&lt;5,Einstellungen!$B$3,Einstellungen!$B$4)</f>
        <v>29.13</v>
      </c>
      <c r="E2024" s="14" t="str">
        <f aca="false">IF(C2024="","",C2024*D2024/100)</f>
        <v/>
      </c>
      <c r="F2024" s="15" t="str">
        <f aca="false">IF(B2024&lt;5,"Go","Standard")</f>
        <v>Standard</v>
      </c>
    </row>
    <row r="2025" customFormat="false" ht="15" hidden="false" customHeight="true" outlineLevel="0" collapsed="false">
      <c r="A2025" s="10" t="n">
        <f aca="false">Einstellungen!$B$5+INT((ROW()-9)/24)</f>
        <v>46050</v>
      </c>
      <c r="B2025" s="11" t="n">
        <f aca="false">MOD(ROW()-9,24)</f>
        <v>0</v>
      </c>
      <c r="C2025" s="12"/>
      <c r="D2025" s="13" t="n">
        <f aca="false">IF(B2025&lt;5,Einstellungen!$B$3,Einstellungen!$B$4)</f>
        <v>15.92</v>
      </c>
      <c r="E2025" s="14" t="str">
        <f aca="false">IF(C2025="","",C2025*D2025/100)</f>
        <v/>
      </c>
      <c r="F2025" s="15" t="str">
        <f aca="false">IF(B2025&lt;5,"Go","Standard")</f>
        <v>Go</v>
      </c>
    </row>
    <row r="2026" customFormat="false" ht="15" hidden="false" customHeight="true" outlineLevel="0" collapsed="false">
      <c r="A2026" s="10" t="n">
        <f aca="false">Einstellungen!$B$5+INT((ROW()-9)/24)</f>
        <v>46050</v>
      </c>
      <c r="B2026" s="11" t="n">
        <f aca="false">MOD(ROW()-9,24)</f>
        <v>1</v>
      </c>
      <c r="C2026" s="12"/>
      <c r="D2026" s="13" t="n">
        <f aca="false">IF(B2026&lt;5,Einstellungen!$B$3,Einstellungen!$B$4)</f>
        <v>15.92</v>
      </c>
      <c r="E2026" s="14" t="str">
        <f aca="false">IF(C2026="","",C2026*D2026/100)</f>
        <v/>
      </c>
      <c r="F2026" s="15" t="str">
        <f aca="false">IF(B2026&lt;5,"Go","Standard")</f>
        <v>Go</v>
      </c>
    </row>
    <row r="2027" customFormat="false" ht="15" hidden="false" customHeight="true" outlineLevel="0" collapsed="false">
      <c r="A2027" s="10" t="n">
        <f aca="false">Einstellungen!$B$5+INT((ROW()-9)/24)</f>
        <v>46050</v>
      </c>
      <c r="B2027" s="11" t="n">
        <f aca="false">MOD(ROW()-9,24)</f>
        <v>2</v>
      </c>
      <c r="C2027" s="12"/>
      <c r="D2027" s="13" t="n">
        <f aca="false">IF(B2027&lt;5,Einstellungen!$B$3,Einstellungen!$B$4)</f>
        <v>15.92</v>
      </c>
      <c r="E2027" s="14" t="str">
        <f aca="false">IF(C2027="","",C2027*D2027/100)</f>
        <v/>
      </c>
      <c r="F2027" s="15" t="str">
        <f aca="false">IF(B2027&lt;5,"Go","Standard")</f>
        <v>Go</v>
      </c>
    </row>
    <row r="2028" customFormat="false" ht="15" hidden="false" customHeight="true" outlineLevel="0" collapsed="false">
      <c r="A2028" s="10" t="n">
        <f aca="false">Einstellungen!$B$5+INT((ROW()-9)/24)</f>
        <v>46050</v>
      </c>
      <c r="B2028" s="11" t="n">
        <f aca="false">MOD(ROW()-9,24)</f>
        <v>3</v>
      </c>
      <c r="C2028" s="12"/>
      <c r="D2028" s="13" t="n">
        <f aca="false">IF(B2028&lt;5,Einstellungen!$B$3,Einstellungen!$B$4)</f>
        <v>15.92</v>
      </c>
      <c r="E2028" s="14" t="str">
        <f aca="false">IF(C2028="","",C2028*D2028/100)</f>
        <v/>
      </c>
      <c r="F2028" s="15" t="str">
        <f aca="false">IF(B2028&lt;5,"Go","Standard")</f>
        <v>Go</v>
      </c>
    </row>
    <row r="2029" customFormat="false" ht="15" hidden="false" customHeight="true" outlineLevel="0" collapsed="false">
      <c r="A2029" s="10" t="n">
        <f aca="false">Einstellungen!$B$5+INT((ROW()-9)/24)</f>
        <v>46050</v>
      </c>
      <c r="B2029" s="11" t="n">
        <f aca="false">MOD(ROW()-9,24)</f>
        <v>4</v>
      </c>
      <c r="C2029" s="12"/>
      <c r="D2029" s="13" t="n">
        <f aca="false">IF(B2029&lt;5,Einstellungen!$B$3,Einstellungen!$B$4)</f>
        <v>15.92</v>
      </c>
      <c r="E2029" s="14" t="str">
        <f aca="false">IF(C2029="","",C2029*D2029/100)</f>
        <v/>
      </c>
      <c r="F2029" s="15" t="str">
        <f aca="false">IF(B2029&lt;5,"Go","Standard")</f>
        <v>Go</v>
      </c>
    </row>
    <row r="2030" customFormat="false" ht="15" hidden="false" customHeight="true" outlineLevel="0" collapsed="false">
      <c r="A2030" s="10" t="n">
        <f aca="false">Einstellungen!$B$5+INT((ROW()-9)/24)</f>
        <v>46050</v>
      </c>
      <c r="B2030" s="11" t="n">
        <f aca="false">MOD(ROW()-9,24)</f>
        <v>5</v>
      </c>
      <c r="C2030" s="12"/>
      <c r="D2030" s="13" t="n">
        <f aca="false">IF(B2030&lt;5,Einstellungen!$B$3,Einstellungen!$B$4)</f>
        <v>29.13</v>
      </c>
      <c r="E2030" s="14" t="str">
        <f aca="false">IF(C2030="","",C2030*D2030/100)</f>
        <v/>
      </c>
      <c r="F2030" s="15" t="str">
        <f aca="false">IF(B2030&lt;5,"Go","Standard")</f>
        <v>Standard</v>
      </c>
    </row>
    <row r="2031" customFormat="false" ht="15" hidden="false" customHeight="true" outlineLevel="0" collapsed="false">
      <c r="A2031" s="10" t="n">
        <f aca="false">Einstellungen!$B$5+INT((ROW()-9)/24)</f>
        <v>46050</v>
      </c>
      <c r="B2031" s="11" t="n">
        <f aca="false">MOD(ROW()-9,24)</f>
        <v>6</v>
      </c>
      <c r="C2031" s="12"/>
      <c r="D2031" s="13" t="n">
        <f aca="false">IF(B2031&lt;5,Einstellungen!$B$3,Einstellungen!$B$4)</f>
        <v>29.13</v>
      </c>
      <c r="E2031" s="14" t="str">
        <f aca="false">IF(C2031="","",C2031*D2031/100)</f>
        <v/>
      </c>
      <c r="F2031" s="15" t="str">
        <f aca="false">IF(B2031&lt;5,"Go","Standard")</f>
        <v>Standard</v>
      </c>
    </row>
    <row r="2032" customFormat="false" ht="15" hidden="false" customHeight="true" outlineLevel="0" collapsed="false">
      <c r="A2032" s="10" t="n">
        <f aca="false">Einstellungen!$B$5+INT((ROW()-9)/24)</f>
        <v>46050</v>
      </c>
      <c r="B2032" s="11" t="n">
        <f aca="false">MOD(ROW()-9,24)</f>
        <v>7</v>
      </c>
      <c r="C2032" s="12"/>
      <c r="D2032" s="13" t="n">
        <f aca="false">IF(B2032&lt;5,Einstellungen!$B$3,Einstellungen!$B$4)</f>
        <v>29.13</v>
      </c>
      <c r="E2032" s="14" t="str">
        <f aca="false">IF(C2032="","",C2032*D2032/100)</f>
        <v/>
      </c>
      <c r="F2032" s="15" t="str">
        <f aca="false">IF(B2032&lt;5,"Go","Standard")</f>
        <v>Standard</v>
      </c>
    </row>
    <row r="2033" customFormat="false" ht="15" hidden="false" customHeight="true" outlineLevel="0" collapsed="false">
      <c r="A2033" s="10" t="n">
        <f aca="false">Einstellungen!$B$5+INT((ROW()-9)/24)</f>
        <v>46050</v>
      </c>
      <c r="B2033" s="11" t="n">
        <f aca="false">MOD(ROW()-9,24)</f>
        <v>8</v>
      </c>
      <c r="C2033" s="12"/>
      <c r="D2033" s="13" t="n">
        <f aca="false">IF(B2033&lt;5,Einstellungen!$B$3,Einstellungen!$B$4)</f>
        <v>29.13</v>
      </c>
      <c r="E2033" s="14" t="str">
        <f aca="false">IF(C2033="","",C2033*D2033/100)</f>
        <v/>
      </c>
      <c r="F2033" s="15" t="str">
        <f aca="false">IF(B2033&lt;5,"Go","Standard")</f>
        <v>Standard</v>
      </c>
    </row>
    <row r="2034" customFormat="false" ht="15" hidden="false" customHeight="true" outlineLevel="0" collapsed="false">
      <c r="A2034" s="10" t="n">
        <f aca="false">Einstellungen!$B$5+INT((ROW()-9)/24)</f>
        <v>46050</v>
      </c>
      <c r="B2034" s="11" t="n">
        <f aca="false">MOD(ROW()-9,24)</f>
        <v>9</v>
      </c>
      <c r="C2034" s="12"/>
      <c r="D2034" s="13" t="n">
        <f aca="false">IF(B2034&lt;5,Einstellungen!$B$3,Einstellungen!$B$4)</f>
        <v>29.13</v>
      </c>
      <c r="E2034" s="14" t="str">
        <f aca="false">IF(C2034="","",C2034*D2034/100)</f>
        <v/>
      </c>
      <c r="F2034" s="15" t="str">
        <f aca="false">IF(B2034&lt;5,"Go","Standard")</f>
        <v>Standard</v>
      </c>
    </row>
    <row r="2035" customFormat="false" ht="15" hidden="false" customHeight="true" outlineLevel="0" collapsed="false">
      <c r="A2035" s="10" t="n">
        <f aca="false">Einstellungen!$B$5+INT((ROW()-9)/24)</f>
        <v>46050</v>
      </c>
      <c r="B2035" s="11" t="n">
        <f aca="false">MOD(ROW()-9,24)</f>
        <v>10</v>
      </c>
      <c r="C2035" s="12"/>
      <c r="D2035" s="13" t="n">
        <f aca="false">IF(B2035&lt;5,Einstellungen!$B$3,Einstellungen!$B$4)</f>
        <v>29.13</v>
      </c>
      <c r="E2035" s="14" t="str">
        <f aca="false">IF(C2035="","",C2035*D2035/100)</f>
        <v/>
      </c>
      <c r="F2035" s="15" t="str">
        <f aca="false">IF(B2035&lt;5,"Go","Standard")</f>
        <v>Standard</v>
      </c>
    </row>
    <row r="2036" customFormat="false" ht="15" hidden="false" customHeight="true" outlineLevel="0" collapsed="false">
      <c r="A2036" s="10" t="n">
        <f aca="false">Einstellungen!$B$5+INT((ROW()-9)/24)</f>
        <v>46050</v>
      </c>
      <c r="B2036" s="11" t="n">
        <f aca="false">MOD(ROW()-9,24)</f>
        <v>11</v>
      </c>
      <c r="C2036" s="12"/>
      <c r="D2036" s="13" t="n">
        <f aca="false">IF(B2036&lt;5,Einstellungen!$B$3,Einstellungen!$B$4)</f>
        <v>29.13</v>
      </c>
      <c r="E2036" s="14" t="str">
        <f aca="false">IF(C2036="","",C2036*D2036/100)</f>
        <v/>
      </c>
      <c r="F2036" s="15" t="str">
        <f aca="false">IF(B2036&lt;5,"Go","Standard")</f>
        <v>Standard</v>
      </c>
    </row>
    <row r="2037" customFormat="false" ht="15" hidden="false" customHeight="true" outlineLevel="0" collapsed="false">
      <c r="A2037" s="10" t="n">
        <f aca="false">Einstellungen!$B$5+INT((ROW()-9)/24)</f>
        <v>46050</v>
      </c>
      <c r="B2037" s="11" t="n">
        <f aca="false">MOD(ROW()-9,24)</f>
        <v>12</v>
      </c>
      <c r="C2037" s="12"/>
      <c r="D2037" s="13" t="n">
        <f aca="false">IF(B2037&lt;5,Einstellungen!$B$3,Einstellungen!$B$4)</f>
        <v>29.13</v>
      </c>
      <c r="E2037" s="14" t="str">
        <f aca="false">IF(C2037="","",C2037*D2037/100)</f>
        <v/>
      </c>
      <c r="F2037" s="15" t="str">
        <f aca="false">IF(B2037&lt;5,"Go","Standard")</f>
        <v>Standard</v>
      </c>
    </row>
    <row r="2038" customFormat="false" ht="15" hidden="false" customHeight="true" outlineLevel="0" collapsed="false">
      <c r="A2038" s="10" t="n">
        <f aca="false">Einstellungen!$B$5+INT((ROW()-9)/24)</f>
        <v>46050</v>
      </c>
      <c r="B2038" s="11" t="n">
        <f aca="false">MOD(ROW()-9,24)</f>
        <v>13</v>
      </c>
      <c r="C2038" s="12"/>
      <c r="D2038" s="13" t="n">
        <f aca="false">IF(B2038&lt;5,Einstellungen!$B$3,Einstellungen!$B$4)</f>
        <v>29.13</v>
      </c>
      <c r="E2038" s="14" t="str">
        <f aca="false">IF(C2038="","",C2038*D2038/100)</f>
        <v/>
      </c>
      <c r="F2038" s="15" t="str">
        <f aca="false">IF(B2038&lt;5,"Go","Standard")</f>
        <v>Standard</v>
      </c>
    </row>
    <row r="2039" customFormat="false" ht="15" hidden="false" customHeight="true" outlineLevel="0" collapsed="false">
      <c r="A2039" s="10" t="n">
        <f aca="false">Einstellungen!$B$5+INT((ROW()-9)/24)</f>
        <v>46050</v>
      </c>
      <c r="B2039" s="11" t="n">
        <f aca="false">MOD(ROW()-9,24)</f>
        <v>14</v>
      </c>
      <c r="C2039" s="12"/>
      <c r="D2039" s="13" t="n">
        <f aca="false">IF(B2039&lt;5,Einstellungen!$B$3,Einstellungen!$B$4)</f>
        <v>29.13</v>
      </c>
      <c r="E2039" s="14" t="str">
        <f aca="false">IF(C2039="","",C2039*D2039/100)</f>
        <v/>
      </c>
      <c r="F2039" s="15" t="str">
        <f aca="false">IF(B2039&lt;5,"Go","Standard")</f>
        <v>Standard</v>
      </c>
    </row>
    <row r="2040" customFormat="false" ht="15" hidden="false" customHeight="true" outlineLevel="0" collapsed="false">
      <c r="A2040" s="10" t="n">
        <f aca="false">Einstellungen!$B$5+INT((ROW()-9)/24)</f>
        <v>46050</v>
      </c>
      <c r="B2040" s="11" t="n">
        <f aca="false">MOD(ROW()-9,24)</f>
        <v>15</v>
      </c>
      <c r="C2040" s="12"/>
      <c r="D2040" s="13" t="n">
        <f aca="false">IF(B2040&lt;5,Einstellungen!$B$3,Einstellungen!$B$4)</f>
        <v>29.13</v>
      </c>
      <c r="E2040" s="14" t="str">
        <f aca="false">IF(C2040="","",C2040*D2040/100)</f>
        <v/>
      </c>
      <c r="F2040" s="15" t="str">
        <f aca="false">IF(B2040&lt;5,"Go","Standard")</f>
        <v>Standard</v>
      </c>
    </row>
    <row r="2041" customFormat="false" ht="15" hidden="false" customHeight="true" outlineLevel="0" collapsed="false">
      <c r="A2041" s="10" t="n">
        <f aca="false">Einstellungen!$B$5+INT((ROW()-9)/24)</f>
        <v>46050</v>
      </c>
      <c r="B2041" s="11" t="n">
        <f aca="false">MOD(ROW()-9,24)</f>
        <v>16</v>
      </c>
      <c r="C2041" s="12"/>
      <c r="D2041" s="13" t="n">
        <f aca="false">IF(B2041&lt;5,Einstellungen!$B$3,Einstellungen!$B$4)</f>
        <v>29.13</v>
      </c>
      <c r="E2041" s="14" t="str">
        <f aca="false">IF(C2041="","",C2041*D2041/100)</f>
        <v/>
      </c>
      <c r="F2041" s="15" t="str">
        <f aca="false">IF(B2041&lt;5,"Go","Standard")</f>
        <v>Standard</v>
      </c>
    </row>
    <row r="2042" customFormat="false" ht="15" hidden="false" customHeight="true" outlineLevel="0" collapsed="false">
      <c r="A2042" s="10" t="n">
        <f aca="false">Einstellungen!$B$5+INT((ROW()-9)/24)</f>
        <v>46050</v>
      </c>
      <c r="B2042" s="11" t="n">
        <f aca="false">MOD(ROW()-9,24)</f>
        <v>17</v>
      </c>
      <c r="C2042" s="12"/>
      <c r="D2042" s="13" t="n">
        <f aca="false">IF(B2042&lt;5,Einstellungen!$B$3,Einstellungen!$B$4)</f>
        <v>29.13</v>
      </c>
      <c r="E2042" s="14" t="str">
        <f aca="false">IF(C2042="","",C2042*D2042/100)</f>
        <v/>
      </c>
      <c r="F2042" s="15" t="str">
        <f aca="false">IF(B2042&lt;5,"Go","Standard")</f>
        <v>Standard</v>
      </c>
    </row>
    <row r="2043" customFormat="false" ht="15" hidden="false" customHeight="true" outlineLevel="0" collapsed="false">
      <c r="A2043" s="10" t="n">
        <f aca="false">Einstellungen!$B$5+INT((ROW()-9)/24)</f>
        <v>46050</v>
      </c>
      <c r="B2043" s="11" t="n">
        <f aca="false">MOD(ROW()-9,24)</f>
        <v>18</v>
      </c>
      <c r="C2043" s="12"/>
      <c r="D2043" s="13" t="n">
        <f aca="false">IF(B2043&lt;5,Einstellungen!$B$3,Einstellungen!$B$4)</f>
        <v>29.13</v>
      </c>
      <c r="E2043" s="14" t="str">
        <f aca="false">IF(C2043="","",C2043*D2043/100)</f>
        <v/>
      </c>
      <c r="F2043" s="15" t="str">
        <f aca="false">IF(B2043&lt;5,"Go","Standard")</f>
        <v>Standard</v>
      </c>
    </row>
    <row r="2044" customFormat="false" ht="15" hidden="false" customHeight="true" outlineLevel="0" collapsed="false">
      <c r="A2044" s="10" t="n">
        <f aca="false">Einstellungen!$B$5+INT((ROW()-9)/24)</f>
        <v>46050</v>
      </c>
      <c r="B2044" s="11" t="n">
        <f aca="false">MOD(ROW()-9,24)</f>
        <v>19</v>
      </c>
      <c r="C2044" s="12"/>
      <c r="D2044" s="13" t="n">
        <f aca="false">IF(B2044&lt;5,Einstellungen!$B$3,Einstellungen!$B$4)</f>
        <v>29.13</v>
      </c>
      <c r="E2044" s="14" t="str">
        <f aca="false">IF(C2044="","",C2044*D2044/100)</f>
        <v/>
      </c>
      <c r="F2044" s="15" t="str">
        <f aca="false">IF(B2044&lt;5,"Go","Standard")</f>
        <v>Standard</v>
      </c>
    </row>
    <row r="2045" customFormat="false" ht="15" hidden="false" customHeight="true" outlineLevel="0" collapsed="false">
      <c r="A2045" s="10" t="n">
        <f aca="false">Einstellungen!$B$5+INT((ROW()-9)/24)</f>
        <v>46050</v>
      </c>
      <c r="B2045" s="11" t="n">
        <f aca="false">MOD(ROW()-9,24)</f>
        <v>20</v>
      </c>
      <c r="C2045" s="12"/>
      <c r="D2045" s="13" t="n">
        <f aca="false">IF(B2045&lt;5,Einstellungen!$B$3,Einstellungen!$B$4)</f>
        <v>29.13</v>
      </c>
      <c r="E2045" s="14" t="str">
        <f aca="false">IF(C2045="","",C2045*D2045/100)</f>
        <v/>
      </c>
      <c r="F2045" s="15" t="str">
        <f aca="false">IF(B2045&lt;5,"Go","Standard")</f>
        <v>Standard</v>
      </c>
    </row>
    <row r="2046" customFormat="false" ht="15" hidden="false" customHeight="true" outlineLevel="0" collapsed="false">
      <c r="A2046" s="10" t="n">
        <f aca="false">Einstellungen!$B$5+INT((ROW()-9)/24)</f>
        <v>46050</v>
      </c>
      <c r="B2046" s="11" t="n">
        <f aca="false">MOD(ROW()-9,24)</f>
        <v>21</v>
      </c>
      <c r="C2046" s="12"/>
      <c r="D2046" s="13" t="n">
        <f aca="false">IF(B2046&lt;5,Einstellungen!$B$3,Einstellungen!$B$4)</f>
        <v>29.13</v>
      </c>
      <c r="E2046" s="14" t="str">
        <f aca="false">IF(C2046="","",C2046*D2046/100)</f>
        <v/>
      </c>
      <c r="F2046" s="15" t="str">
        <f aca="false">IF(B2046&lt;5,"Go","Standard")</f>
        <v>Standard</v>
      </c>
    </row>
    <row r="2047" customFormat="false" ht="15" hidden="false" customHeight="true" outlineLevel="0" collapsed="false">
      <c r="A2047" s="10" t="n">
        <f aca="false">Einstellungen!$B$5+INT((ROW()-9)/24)</f>
        <v>46050</v>
      </c>
      <c r="B2047" s="11" t="n">
        <f aca="false">MOD(ROW()-9,24)</f>
        <v>22</v>
      </c>
      <c r="C2047" s="12"/>
      <c r="D2047" s="13" t="n">
        <f aca="false">IF(B2047&lt;5,Einstellungen!$B$3,Einstellungen!$B$4)</f>
        <v>29.13</v>
      </c>
      <c r="E2047" s="14" t="str">
        <f aca="false">IF(C2047="","",C2047*D2047/100)</f>
        <v/>
      </c>
      <c r="F2047" s="15" t="str">
        <f aca="false">IF(B2047&lt;5,"Go","Standard")</f>
        <v>Standard</v>
      </c>
    </row>
    <row r="2048" customFormat="false" ht="15" hidden="false" customHeight="true" outlineLevel="0" collapsed="false">
      <c r="A2048" s="10" t="n">
        <f aca="false">Einstellungen!$B$5+INT((ROW()-9)/24)</f>
        <v>46050</v>
      </c>
      <c r="B2048" s="11" t="n">
        <f aca="false">MOD(ROW()-9,24)</f>
        <v>23</v>
      </c>
      <c r="C2048" s="12"/>
      <c r="D2048" s="13" t="n">
        <f aca="false">IF(B2048&lt;5,Einstellungen!$B$3,Einstellungen!$B$4)</f>
        <v>29.13</v>
      </c>
      <c r="E2048" s="14" t="str">
        <f aca="false">IF(C2048="","",C2048*D2048/100)</f>
        <v/>
      </c>
      <c r="F2048" s="15" t="str">
        <f aca="false">IF(B2048&lt;5,"Go","Standard")</f>
        <v>Standard</v>
      </c>
    </row>
    <row r="2049" customFormat="false" ht="15" hidden="false" customHeight="true" outlineLevel="0" collapsed="false">
      <c r="A2049" s="10" t="n">
        <f aca="false">Einstellungen!$B$5+INT((ROW()-9)/24)</f>
        <v>46051</v>
      </c>
      <c r="B2049" s="11" t="n">
        <f aca="false">MOD(ROW()-9,24)</f>
        <v>0</v>
      </c>
      <c r="C2049" s="12"/>
      <c r="D2049" s="13" t="n">
        <f aca="false">IF(B2049&lt;5,Einstellungen!$B$3,Einstellungen!$B$4)</f>
        <v>15.92</v>
      </c>
      <c r="E2049" s="14" t="str">
        <f aca="false">IF(C2049="","",C2049*D2049/100)</f>
        <v/>
      </c>
      <c r="F2049" s="15" t="str">
        <f aca="false">IF(B2049&lt;5,"Go","Standard")</f>
        <v>Go</v>
      </c>
    </row>
    <row r="2050" customFormat="false" ht="15" hidden="false" customHeight="true" outlineLevel="0" collapsed="false">
      <c r="A2050" s="10" t="n">
        <f aca="false">Einstellungen!$B$5+INT((ROW()-9)/24)</f>
        <v>46051</v>
      </c>
      <c r="B2050" s="11" t="n">
        <f aca="false">MOD(ROW()-9,24)</f>
        <v>1</v>
      </c>
      <c r="C2050" s="12"/>
      <c r="D2050" s="13" t="n">
        <f aca="false">IF(B2050&lt;5,Einstellungen!$B$3,Einstellungen!$B$4)</f>
        <v>15.92</v>
      </c>
      <c r="E2050" s="14" t="str">
        <f aca="false">IF(C2050="","",C2050*D2050/100)</f>
        <v/>
      </c>
      <c r="F2050" s="15" t="str">
        <f aca="false">IF(B2050&lt;5,"Go","Standard")</f>
        <v>Go</v>
      </c>
    </row>
    <row r="2051" customFormat="false" ht="15" hidden="false" customHeight="true" outlineLevel="0" collapsed="false">
      <c r="A2051" s="10" t="n">
        <f aca="false">Einstellungen!$B$5+INT((ROW()-9)/24)</f>
        <v>46051</v>
      </c>
      <c r="B2051" s="11" t="n">
        <f aca="false">MOD(ROW()-9,24)</f>
        <v>2</v>
      </c>
      <c r="C2051" s="12"/>
      <c r="D2051" s="13" t="n">
        <f aca="false">IF(B2051&lt;5,Einstellungen!$B$3,Einstellungen!$B$4)</f>
        <v>15.92</v>
      </c>
      <c r="E2051" s="14" t="str">
        <f aca="false">IF(C2051="","",C2051*D2051/100)</f>
        <v/>
      </c>
      <c r="F2051" s="15" t="str">
        <f aca="false">IF(B2051&lt;5,"Go","Standard")</f>
        <v>Go</v>
      </c>
    </row>
    <row r="2052" customFormat="false" ht="15" hidden="false" customHeight="true" outlineLevel="0" collapsed="false">
      <c r="A2052" s="10" t="n">
        <f aca="false">Einstellungen!$B$5+INT((ROW()-9)/24)</f>
        <v>46051</v>
      </c>
      <c r="B2052" s="11" t="n">
        <f aca="false">MOD(ROW()-9,24)</f>
        <v>3</v>
      </c>
      <c r="C2052" s="12"/>
      <c r="D2052" s="13" t="n">
        <f aca="false">IF(B2052&lt;5,Einstellungen!$B$3,Einstellungen!$B$4)</f>
        <v>15.92</v>
      </c>
      <c r="E2052" s="14" t="str">
        <f aca="false">IF(C2052="","",C2052*D2052/100)</f>
        <v/>
      </c>
      <c r="F2052" s="15" t="str">
        <f aca="false">IF(B2052&lt;5,"Go","Standard")</f>
        <v>Go</v>
      </c>
    </row>
    <row r="2053" customFormat="false" ht="15" hidden="false" customHeight="true" outlineLevel="0" collapsed="false">
      <c r="A2053" s="10" t="n">
        <f aca="false">Einstellungen!$B$5+INT((ROW()-9)/24)</f>
        <v>46051</v>
      </c>
      <c r="B2053" s="11" t="n">
        <f aca="false">MOD(ROW()-9,24)</f>
        <v>4</v>
      </c>
      <c r="C2053" s="12"/>
      <c r="D2053" s="13" t="n">
        <f aca="false">IF(B2053&lt;5,Einstellungen!$B$3,Einstellungen!$B$4)</f>
        <v>15.92</v>
      </c>
      <c r="E2053" s="14" t="str">
        <f aca="false">IF(C2053="","",C2053*D2053/100)</f>
        <v/>
      </c>
      <c r="F2053" s="15" t="str">
        <f aca="false">IF(B2053&lt;5,"Go","Standard")</f>
        <v>Go</v>
      </c>
    </row>
    <row r="2054" customFormat="false" ht="15" hidden="false" customHeight="true" outlineLevel="0" collapsed="false">
      <c r="A2054" s="10" t="n">
        <f aca="false">Einstellungen!$B$5+INT((ROW()-9)/24)</f>
        <v>46051</v>
      </c>
      <c r="B2054" s="11" t="n">
        <f aca="false">MOD(ROW()-9,24)</f>
        <v>5</v>
      </c>
      <c r="C2054" s="12"/>
      <c r="D2054" s="13" t="n">
        <f aca="false">IF(B2054&lt;5,Einstellungen!$B$3,Einstellungen!$B$4)</f>
        <v>29.13</v>
      </c>
      <c r="E2054" s="14" t="str">
        <f aca="false">IF(C2054="","",C2054*D2054/100)</f>
        <v/>
      </c>
      <c r="F2054" s="15" t="str">
        <f aca="false">IF(B2054&lt;5,"Go","Standard")</f>
        <v>Standard</v>
      </c>
    </row>
    <row r="2055" customFormat="false" ht="15" hidden="false" customHeight="true" outlineLevel="0" collapsed="false">
      <c r="A2055" s="10" t="n">
        <f aca="false">Einstellungen!$B$5+INT((ROW()-9)/24)</f>
        <v>46051</v>
      </c>
      <c r="B2055" s="11" t="n">
        <f aca="false">MOD(ROW()-9,24)</f>
        <v>6</v>
      </c>
      <c r="C2055" s="12"/>
      <c r="D2055" s="13" t="n">
        <f aca="false">IF(B2055&lt;5,Einstellungen!$B$3,Einstellungen!$B$4)</f>
        <v>29.13</v>
      </c>
      <c r="E2055" s="14" t="str">
        <f aca="false">IF(C2055="","",C2055*D2055/100)</f>
        <v/>
      </c>
      <c r="F2055" s="15" t="str">
        <f aca="false">IF(B2055&lt;5,"Go","Standard")</f>
        <v>Standard</v>
      </c>
    </row>
    <row r="2056" customFormat="false" ht="15" hidden="false" customHeight="true" outlineLevel="0" collapsed="false">
      <c r="A2056" s="10" t="n">
        <f aca="false">Einstellungen!$B$5+INT((ROW()-9)/24)</f>
        <v>46051</v>
      </c>
      <c r="B2056" s="11" t="n">
        <f aca="false">MOD(ROW()-9,24)</f>
        <v>7</v>
      </c>
      <c r="C2056" s="12"/>
      <c r="D2056" s="13" t="n">
        <f aca="false">IF(B2056&lt;5,Einstellungen!$B$3,Einstellungen!$B$4)</f>
        <v>29.13</v>
      </c>
      <c r="E2056" s="14" t="str">
        <f aca="false">IF(C2056="","",C2056*D2056/100)</f>
        <v/>
      </c>
      <c r="F2056" s="15" t="str">
        <f aca="false">IF(B2056&lt;5,"Go","Standard")</f>
        <v>Standard</v>
      </c>
    </row>
    <row r="2057" customFormat="false" ht="15" hidden="false" customHeight="true" outlineLevel="0" collapsed="false">
      <c r="A2057" s="10" t="n">
        <f aca="false">Einstellungen!$B$5+INT((ROW()-9)/24)</f>
        <v>46051</v>
      </c>
      <c r="B2057" s="11" t="n">
        <f aca="false">MOD(ROW()-9,24)</f>
        <v>8</v>
      </c>
      <c r="C2057" s="12"/>
      <c r="D2057" s="13" t="n">
        <f aca="false">IF(B2057&lt;5,Einstellungen!$B$3,Einstellungen!$B$4)</f>
        <v>29.13</v>
      </c>
      <c r="E2057" s="14" t="str">
        <f aca="false">IF(C2057="","",C2057*D2057/100)</f>
        <v/>
      </c>
      <c r="F2057" s="15" t="str">
        <f aca="false">IF(B2057&lt;5,"Go","Standard")</f>
        <v>Standard</v>
      </c>
    </row>
    <row r="2058" customFormat="false" ht="15" hidden="false" customHeight="true" outlineLevel="0" collapsed="false">
      <c r="A2058" s="10" t="n">
        <f aca="false">Einstellungen!$B$5+INT((ROW()-9)/24)</f>
        <v>46051</v>
      </c>
      <c r="B2058" s="11" t="n">
        <f aca="false">MOD(ROW()-9,24)</f>
        <v>9</v>
      </c>
      <c r="C2058" s="12"/>
      <c r="D2058" s="13" t="n">
        <f aca="false">IF(B2058&lt;5,Einstellungen!$B$3,Einstellungen!$B$4)</f>
        <v>29.13</v>
      </c>
      <c r="E2058" s="14" t="str">
        <f aca="false">IF(C2058="","",C2058*D2058/100)</f>
        <v/>
      </c>
      <c r="F2058" s="15" t="str">
        <f aca="false">IF(B2058&lt;5,"Go","Standard")</f>
        <v>Standard</v>
      </c>
    </row>
    <row r="2059" customFormat="false" ht="15" hidden="false" customHeight="true" outlineLevel="0" collapsed="false">
      <c r="A2059" s="10" t="n">
        <f aca="false">Einstellungen!$B$5+INT((ROW()-9)/24)</f>
        <v>46051</v>
      </c>
      <c r="B2059" s="11" t="n">
        <f aca="false">MOD(ROW()-9,24)</f>
        <v>10</v>
      </c>
      <c r="C2059" s="12"/>
      <c r="D2059" s="13" t="n">
        <f aca="false">IF(B2059&lt;5,Einstellungen!$B$3,Einstellungen!$B$4)</f>
        <v>29.13</v>
      </c>
      <c r="E2059" s="14" t="str">
        <f aca="false">IF(C2059="","",C2059*D2059/100)</f>
        <v/>
      </c>
      <c r="F2059" s="15" t="str">
        <f aca="false">IF(B2059&lt;5,"Go","Standard")</f>
        <v>Standard</v>
      </c>
    </row>
    <row r="2060" customFormat="false" ht="15" hidden="false" customHeight="true" outlineLevel="0" collapsed="false">
      <c r="A2060" s="10" t="n">
        <f aca="false">Einstellungen!$B$5+INT((ROW()-9)/24)</f>
        <v>46051</v>
      </c>
      <c r="B2060" s="11" t="n">
        <f aca="false">MOD(ROW()-9,24)</f>
        <v>11</v>
      </c>
      <c r="C2060" s="12"/>
      <c r="D2060" s="13" t="n">
        <f aca="false">IF(B2060&lt;5,Einstellungen!$B$3,Einstellungen!$B$4)</f>
        <v>29.13</v>
      </c>
      <c r="E2060" s="14" t="str">
        <f aca="false">IF(C2060="","",C2060*D2060/100)</f>
        <v/>
      </c>
      <c r="F2060" s="15" t="str">
        <f aca="false">IF(B2060&lt;5,"Go","Standard")</f>
        <v>Standard</v>
      </c>
    </row>
    <row r="2061" customFormat="false" ht="15" hidden="false" customHeight="true" outlineLevel="0" collapsed="false">
      <c r="A2061" s="10" t="n">
        <f aca="false">Einstellungen!$B$5+INT((ROW()-9)/24)</f>
        <v>46051</v>
      </c>
      <c r="B2061" s="11" t="n">
        <f aca="false">MOD(ROW()-9,24)</f>
        <v>12</v>
      </c>
      <c r="C2061" s="12"/>
      <c r="D2061" s="13" t="n">
        <f aca="false">IF(B2061&lt;5,Einstellungen!$B$3,Einstellungen!$B$4)</f>
        <v>29.13</v>
      </c>
      <c r="E2061" s="14" t="str">
        <f aca="false">IF(C2061="","",C2061*D2061/100)</f>
        <v/>
      </c>
      <c r="F2061" s="15" t="str">
        <f aca="false">IF(B2061&lt;5,"Go","Standard")</f>
        <v>Standard</v>
      </c>
    </row>
    <row r="2062" customFormat="false" ht="15" hidden="false" customHeight="true" outlineLevel="0" collapsed="false">
      <c r="A2062" s="10" t="n">
        <f aca="false">Einstellungen!$B$5+INT((ROW()-9)/24)</f>
        <v>46051</v>
      </c>
      <c r="B2062" s="11" t="n">
        <f aca="false">MOD(ROW()-9,24)</f>
        <v>13</v>
      </c>
      <c r="C2062" s="12"/>
      <c r="D2062" s="13" t="n">
        <f aca="false">IF(B2062&lt;5,Einstellungen!$B$3,Einstellungen!$B$4)</f>
        <v>29.13</v>
      </c>
      <c r="E2062" s="14" t="str">
        <f aca="false">IF(C2062="","",C2062*D2062/100)</f>
        <v/>
      </c>
      <c r="F2062" s="15" t="str">
        <f aca="false">IF(B2062&lt;5,"Go","Standard")</f>
        <v>Standard</v>
      </c>
    </row>
    <row r="2063" customFormat="false" ht="15" hidden="false" customHeight="true" outlineLevel="0" collapsed="false">
      <c r="A2063" s="10" t="n">
        <f aca="false">Einstellungen!$B$5+INT((ROW()-9)/24)</f>
        <v>46051</v>
      </c>
      <c r="B2063" s="11" t="n">
        <f aca="false">MOD(ROW()-9,24)</f>
        <v>14</v>
      </c>
      <c r="C2063" s="12"/>
      <c r="D2063" s="13" t="n">
        <f aca="false">IF(B2063&lt;5,Einstellungen!$B$3,Einstellungen!$B$4)</f>
        <v>29.13</v>
      </c>
      <c r="E2063" s="14" t="str">
        <f aca="false">IF(C2063="","",C2063*D2063/100)</f>
        <v/>
      </c>
      <c r="F2063" s="15" t="str">
        <f aca="false">IF(B2063&lt;5,"Go","Standard")</f>
        <v>Standard</v>
      </c>
    </row>
    <row r="2064" customFormat="false" ht="15" hidden="false" customHeight="true" outlineLevel="0" collapsed="false">
      <c r="A2064" s="10" t="n">
        <f aca="false">Einstellungen!$B$5+INT((ROW()-9)/24)</f>
        <v>46051</v>
      </c>
      <c r="B2064" s="11" t="n">
        <f aca="false">MOD(ROW()-9,24)</f>
        <v>15</v>
      </c>
      <c r="C2064" s="12"/>
      <c r="D2064" s="13" t="n">
        <f aca="false">IF(B2064&lt;5,Einstellungen!$B$3,Einstellungen!$B$4)</f>
        <v>29.13</v>
      </c>
      <c r="E2064" s="14" t="str">
        <f aca="false">IF(C2064="","",C2064*D2064/100)</f>
        <v/>
      </c>
      <c r="F2064" s="15" t="str">
        <f aca="false">IF(B2064&lt;5,"Go","Standard")</f>
        <v>Standard</v>
      </c>
    </row>
    <row r="2065" customFormat="false" ht="15" hidden="false" customHeight="true" outlineLevel="0" collapsed="false">
      <c r="A2065" s="10" t="n">
        <f aca="false">Einstellungen!$B$5+INT((ROW()-9)/24)</f>
        <v>46051</v>
      </c>
      <c r="B2065" s="11" t="n">
        <f aca="false">MOD(ROW()-9,24)</f>
        <v>16</v>
      </c>
      <c r="C2065" s="12"/>
      <c r="D2065" s="13" t="n">
        <f aca="false">IF(B2065&lt;5,Einstellungen!$B$3,Einstellungen!$B$4)</f>
        <v>29.13</v>
      </c>
      <c r="E2065" s="14" t="str">
        <f aca="false">IF(C2065="","",C2065*D2065/100)</f>
        <v/>
      </c>
      <c r="F2065" s="15" t="str">
        <f aca="false">IF(B2065&lt;5,"Go","Standard")</f>
        <v>Standard</v>
      </c>
    </row>
    <row r="2066" customFormat="false" ht="15" hidden="false" customHeight="true" outlineLevel="0" collapsed="false">
      <c r="A2066" s="10" t="n">
        <f aca="false">Einstellungen!$B$5+INT((ROW()-9)/24)</f>
        <v>46051</v>
      </c>
      <c r="B2066" s="11" t="n">
        <f aca="false">MOD(ROW()-9,24)</f>
        <v>17</v>
      </c>
      <c r="C2066" s="12"/>
      <c r="D2066" s="13" t="n">
        <f aca="false">IF(B2066&lt;5,Einstellungen!$B$3,Einstellungen!$B$4)</f>
        <v>29.13</v>
      </c>
      <c r="E2066" s="14" t="str">
        <f aca="false">IF(C2066="","",C2066*D2066/100)</f>
        <v/>
      </c>
      <c r="F2066" s="15" t="str">
        <f aca="false">IF(B2066&lt;5,"Go","Standard")</f>
        <v>Standard</v>
      </c>
    </row>
    <row r="2067" customFormat="false" ht="15" hidden="false" customHeight="true" outlineLevel="0" collapsed="false">
      <c r="A2067" s="10" t="n">
        <f aca="false">Einstellungen!$B$5+INT((ROW()-9)/24)</f>
        <v>46051</v>
      </c>
      <c r="B2067" s="11" t="n">
        <f aca="false">MOD(ROW()-9,24)</f>
        <v>18</v>
      </c>
      <c r="C2067" s="12"/>
      <c r="D2067" s="13" t="n">
        <f aca="false">IF(B2067&lt;5,Einstellungen!$B$3,Einstellungen!$B$4)</f>
        <v>29.13</v>
      </c>
      <c r="E2067" s="14" t="str">
        <f aca="false">IF(C2067="","",C2067*D2067/100)</f>
        <v/>
      </c>
      <c r="F2067" s="15" t="str">
        <f aca="false">IF(B2067&lt;5,"Go","Standard")</f>
        <v>Standard</v>
      </c>
    </row>
    <row r="2068" customFormat="false" ht="15" hidden="false" customHeight="true" outlineLevel="0" collapsed="false">
      <c r="A2068" s="10" t="n">
        <f aca="false">Einstellungen!$B$5+INT((ROW()-9)/24)</f>
        <v>46051</v>
      </c>
      <c r="B2068" s="11" t="n">
        <f aca="false">MOD(ROW()-9,24)</f>
        <v>19</v>
      </c>
      <c r="C2068" s="12"/>
      <c r="D2068" s="13" t="n">
        <f aca="false">IF(B2068&lt;5,Einstellungen!$B$3,Einstellungen!$B$4)</f>
        <v>29.13</v>
      </c>
      <c r="E2068" s="14" t="str">
        <f aca="false">IF(C2068="","",C2068*D2068/100)</f>
        <v/>
      </c>
      <c r="F2068" s="15" t="str">
        <f aca="false">IF(B2068&lt;5,"Go","Standard")</f>
        <v>Standard</v>
      </c>
    </row>
    <row r="2069" customFormat="false" ht="15" hidden="false" customHeight="true" outlineLevel="0" collapsed="false">
      <c r="A2069" s="10" t="n">
        <f aca="false">Einstellungen!$B$5+INT((ROW()-9)/24)</f>
        <v>46051</v>
      </c>
      <c r="B2069" s="11" t="n">
        <f aca="false">MOD(ROW()-9,24)</f>
        <v>20</v>
      </c>
      <c r="C2069" s="12"/>
      <c r="D2069" s="13" t="n">
        <f aca="false">IF(B2069&lt;5,Einstellungen!$B$3,Einstellungen!$B$4)</f>
        <v>29.13</v>
      </c>
      <c r="E2069" s="14" t="str">
        <f aca="false">IF(C2069="","",C2069*D2069/100)</f>
        <v/>
      </c>
      <c r="F2069" s="15" t="str">
        <f aca="false">IF(B2069&lt;5,"Go","Standard")</f>
        <v>Standard</v>
      </c>
    </row>
    <row r="2070" customFormat="false" ht="15" hidden="false" customHeight="true" outlineLevel="0" collapsed="false">
      <c r="A2070" s="10" t="n">
        <f aca="false">Einstellungen!$B$5+INT((ROW()-9)/24)</f>
        <v>46051</v>
      </c>
      <c r="B2070" s="11" t="n">
        <f aca="false">MOD(ROW()-9,24)</f>
        <v>21</v>
      </c>
      <c r="C2070" s="12"/>
      <c r="D2070" s="13" t="n">
        <f aca="false">IF(B2070&lt;5,Einstellungen!$B$3,Einstellungen!$B$4)</f>
        <v>29.13</v>
      </c>
      <c r="E2070" s="14" t="str">
        <f aca="false">IF(C2070="","",C2070*D2070/100)</f>
        <v/>
      </c>
      <c r="F2070" s="15" t="str">
        <f aca="false">IF(B2070&lt;5,"Go","Standard")</f>
        <v>Standard</v>
      </c>
    </row>
    <row r="2071" customFormat="false" ht="15" hidden="false" customHeight="true" outlineLevel="0" collapsed="false">
      <c r="A2071" s="10" t="n">
        <f aca="false">Einstellungen!$B$5+INT((ROW()-9)/24)</f>
        <v>46051</v>
      </c>
      <c r="B2071" s="11" t="n">
        <f aca="false">MOD(ROW()-9,24)</f>
        <v>22</v>
      </c>
      <c r="C2071" s="12"/>
      <c r="D2071" s="13" t="n">
        <f aca="false">IF(B2071&lt;5,Einstellungen!$B$3,Einstellungen!$B$4)</f>
        <v>29.13</v>
      </c>
      <c r="E2071" s="14" t="str">
        <f aca="false">IF(C2071="","",C2071*D2071/100)</f>
        <v/>
      </c>
      <c r="F2071" s="15" t="str">
        <f aca="false">IF(B2071&lt;5,"Go","Standard")</f>
        <v>Standard</v>
      </c>
    </row>
    <row r="2072" customFormat="false" ht="15" hidden="false" customHeight="true" outlineLevel="0" collapsed="false">
      <c r="A2072" s="10" t="n">
        <f aca="false">Einstellungen!$B$5+INT((ROW()-9)/24)</f>
        <v>46051</v>
      </c>
      <c r="B2072" s="11" t="n">
        <f aca="false">MOD(ROW()-9,24)</f>
        <v>23</v>
      </c>
      <c r="C2072" s="12"/>
      <c r="D2072" s="13" t="n">
        <f aca="false">IF(B2072&lt;5,Einstellungen!$B$3,Einstellungen!$B$4)</f>
        <v>29.13</v>
      </c>
      <c r="E2072" s="14" t="str">
        <f aca="false">IF(C2072="","",C2072*D2072/100)</f>
        <v/>
      </c>
      <c r="F2072" s="15" t="str">
        <f aca="false">IF(B2072&lt;5,"Go","Standard")</f>
        <v>Standard</v>
      </c>
    </row>
    <row r="2073" customFormat="false" ht="15" hidden="false" customHeight="true" outlineLevel="0" collapsed="false">
      <c r="A2073" s="10" t="n">
        <f aca="false">Einstellungen!$B$5+INT((ROW()-9)/24)</f>
        <v>46052</v>
      </c>
      <c r="B2073" s="11" t="n">
        <f aca="false">MOD(ROW()-9,24)</f>
        <v>0</v>
      </c>
      <c r="C2073" s="12"/>
      <c r="D2073" s="13" t="n">
        <f aca="false">IF(B2073&lt;5,Einstellungen!$B$3,Einstellungen!$B$4)</f>
        <v>15.92</v>
      </c>
      <c r="E2073" s="14" t="str">
        <f aca="false">IF(C2073="","",C2073*D2073/100)</f>
        <v/>
      </c>
      <c r="F2073" s="15" t="str">
        <f aca="false">IF(B2073&lt;5,"Go","Standard")</f>
        <v>Go</v>
      </c>
    </row>
    <row r="2074" customFormat="false" ht="15" hidden="false" customHeight="true" outlineLevel="0" collapsed="false">
      <c r="A2074" s="10" t="n">
        <f aca="false">Einstellungen!$B$5+INT((ROW()-9)/24)</f>
        <v>46052</v>
      </c>
      <c r="B2074" s="11" t="n">
        <f aca="false">MOD(ROW()-9,24)</f>
        <v>1</v>
      </c>
      <c r="C2074" s="12"/>
      <c r="D2074" s="13" t="n">
        <f aca="false">IF(B2074&lt;5,Einstellungen!$B$3,Einstellungen!$B$4)</f>
        <v>15.92</v>
      </c>
      <c r="E2074" s="14" t="str">
        <f aca="false">IF(C2074="","",C2074*D2074/100)</f>
        <v/>
      </c>
      <c r="F2074" s="15" t="str">
        <f aca="false">IF(B2074&lt;5,"Go","Standard")</f>
        <v>Go</v>
      </c>
    </row>
    <row r="2075" customFormat="false" ht="15" hidden="false" customHeight="true" outlineLevel="0" collapsed="false">
      <c r="A2075" s="10" t="n">
        <f aca="false">Einstellungen!$B$5+INT((ROW()-9)/24)</f>
        <v>46052</v>
      </c>
      <c r="B2075" s="11" t="n">
        <f aca="false">MOD(ROW()-9,24)</f>
        <v>2</v>
      </c>
      <c r="C2075" s="12"/>
      <c r="D2075" s="13" t="n">
        <f aca="false">IF(B2075&lt;5,Einstellungen!$B$3,Einstellungen!$B$4)</f>
        <v>15.92</v>
      </c>
      <c r="E2075" s="14" t="str">
        <f aca="false">IF(C2075="","",C2075*D2075/100)</f>
        <v/>
      </c>
      <c r="F2075" s="15" t="str">
        <f aca="false">IF(B2075&lt;5,"Go","Standard")</f>
        <v>Go</v>
      </c>
    </row>
    <row r="2076" customFormat="false" ht="15" hidden="false" customHeight="true" outlineLevel="0" collapsed="false">
      <c r="A2076" s="10" t="n">
        <f aca="false">Einstellungen!$B$5+INT((ROW()-9)/24)</f>
        <v>46052</v>
      </c>
      <c r="B2076" s="11" t="n">
        <f aca="false">MOD(ROW()-9,24)</f>
        <v>3</v>
      </c>
      <c r="C2076" s="12"/>
      <c r="D2076" s="13" t="n">
        <f aca="false">IF(B2076&lt;5,Einstellungen!$B$3,Einstellungen!$B$4)</f>
        <v>15.92</v>
      </c>
      <c r="E2076" s="14" t="str">
        <f aca="false">IF(C2076="","",C2076*D2076/100)</f>
        <v/>
      </c>
      <c r="F2076" s="15" t="str">
        <f aca="false">IF(B2076&lt;5,"Go","Standard")</f>
        <v>Go</v>
      </c>
    </row>
    <row r="2077" customFormat="false" ht="15" hidden="false" customHeight="true" outlineLevel="0" collapsed="false">
      <c r="A2077" s="10" t="n">
        <f aca="false">Einstellungen!$B$5+INT((ROW()-9)/24)</f>
        <v>46052</v>
      </c>
      <c r="B2077" s="11" t="n">
        <f aca="false">MOD(ROW()-9,24)</f>
        <v>4</v>
      </c>
      <c r="C2077" s="12"/>
      <c r="D2077" s="13" t="n">
        <f aca="false">IF(B2077&lt;5,Einstellungen!$B$3,Einstellungen!$B$4)</f>
        <v>15.92</v>
      </c>
      <c r="E2077" s="14" t="str">
        <f aca="false">IF(C2077="","",C2077*D2077/100)</f>
        <v/>
      </c>
      <c r="F2077" s="15" t="str">
        <f aca="false">IF(B2077&lt;5,"Go","Standard")</f>
        <v>Go</v>
      </c>
    </row>
    <row r="2078" customFormat="false" ht="15" hidden="false" customHeight="true" outlineLevel="0" collapsed="false">
      <c r="A2078" s="10" t="n">
        <f aca="false">Einstellungen!$B$5+INT((ROW()-9)/24)</f>
        <v>46052</v>
      </c>
      <c r="B2078" s="11" t="n">
        <f aca="false">MOD(ROW()-9,24)</f>
        <v>5</v>
      </c>
      <c r="C2078" s="12"/>
      <c r="D2078" s="13" t="n">
        <f aca="false">IF(B2078&lt;5,Einstellungen!$B$3,Einstellungen!$B$4)</f>
        <v>29.13</v>
      </c>
      <c r="E2078" s="14" t="str">
        <f aca="false">IF(C2078="","",C2078*D2078/100)</f>
        <v/>
      </c>
      <c r="F2078" s="15" t="str">
        <f aca="false">IF(B2078&lt;5,"Go","Standard")</f>
        <v>Standard</v>
      </c>
    </row>
    <row r="2079" customFormat="false" ht="15" hidden="false" customHeight="true" outlineLevel="0" collapsed="false">
      <c r="A2079" s="10" t="n">
        <f aca="false">Einstellungen!$B$5+INT((ROW()-9)/24)</f>
        <v>46052</v>
      </c>
      <c r="B2079" s="11" t="n">
        <f aca="false">MOD(ROW()-9,24)</f>
        <v>6</v>
      </c>
      <c r="C2079" s="12"/>
      <c r="D2079" s="13" t="n">
        <f aca="false">IF(B2079&lt;5,Einstellungen!$B$3,Einstellungen!$B$4)</f>
        <v>29.13</v>
      </c>
      <c r="E2079" s="14" t="str">
        <f aca="false">IF(C2079="","",C2079*D2079/100)</f>
        <v/>
      </c>
      <c r="F2079" s="15" t="str">
        <f aca="false">IF(B2079&lt;5,"Go","Standard")</f>
        <v>Standard</v>
      </c>
    </row>
    <row r="2080" customFormat="false" ht="15" hidden="false" customHeight="true" outlineLevel="0" collapsed="false">
      <c r="A2080" s="10" t="n">
        <f aca="false">Einstellungen!$B$5+INT((ROW()-9)/24)</f>
        <v>46052</v>
      </c>
      <c r="B2080" s="11" t="n">
        <f aca="false">MOD(ROW()-9,24)</f>
        <v>7</v>
      </c>
      <c r="C2080" s="12"/>
      <c r="D2080" s="13" t="n">
        <f aca="false">IF(B2080&lt;5,Einstellungen!$B$3,Einstellungen!$B$4)</f>
        <v>29.13</v>
      </c>
      <c r="E2080" s="14" t="str">
        <f aca="false">IF(C2080="","",C2080*D2080/100)</f>
        <v/>
      </c>
      <c r="F2080" s="15" t="str">
        <f aca="false">IF(B2080&lt;5,"Go","Standard")</f>
        <v>Standard</v>
      </c>
    </row>
    <row r="2081" customFormat="false" ht="15" hidden="false" customHeight="true" outlineLevel="0" collapsed="false">
      <c r="A2081" s="10" t="n">
        <f aca="false">Einstellungen!$B$5+INT((ROW()-9)/24)</f>
        <v>46052</v>
      </c>
      <c r="B2081" s="11" t="n">
        <f aca="false">MOD(ROW()-9,24)</f>
        <v>8</v>
      </c>
      <c r="C2081" s="12"/>
      <c r="D2081" s="13" t="n">
        <f aca="false">IF(B2081&lt;5,Einstellungen!$B$3,Einstellungen!$B$4)</f>
        <v>29.13</v>
      </c>
      <c r="E2081" s="14" t="str">
        <f aca="false">IF(C2081="","",C2081*D2081/100)</f>
        <v/>
      </c>
      <c r="F2081" s="15" t="str">
        <f aca="false">IF(B2081&lt;5,"Go","Standard")</f>
        <v>Standard</v>
      </c>
    </row>
    <row r="2082" customFormat="false" ht="15" hidden="false" customHeight="true" outlineLevel="0" collapsed="false">
      <c r="A2082" s="10" t="n">
        <f aca="false">Einstellungen!$B$5+INT((ROW()-9)/24)</f>
        <v>46052</v>
      </c>
      <c r="B2082" s="11" t="n">
        <f aca="false">MOD(ROW()-9,24)</f>
        <v>9</v>
      </c>
      <c r="C2082" s="12"/>
      <c r="D2082" s="13" t="n">
        <f aca="false">IF(B2082&lt;5,Einstellungen!$B$3,Einstellungen!$B$4)</f>
        <v>29.13</v>
      </c>
      <c r="E2082" s="14" t="str">
        <f aca="false">IF(C2082="","",C2082*D2082/100)</f>
        <v/>
      </c>
      <c r="F2082" s="15" t="str">
        <f aca="false">IF(B2082&lt;5,"Go","Standard")</f>
        <v>Standard</v>
      </c>
    </row>
    <row r="2083" customFormat="false" ht="15" hidden="false" customHeight="true" outlineLevel="0" collapsed="false">
      <c r="A2083" s="10" t="n">
        <f aca="false">Einstellungen!$B$5+INT((ROW()-9)/24)</f>
        <v>46052</v>
      </c>
      <c r="B2083" s="11" t="n">
        <f aca="false">MOD(ROW()-9,24)</f>
        <v>10</v>
      </c>
      <c r="C2083" s="12"/>
      <c r="D2083" s="13" t="n">
        <f aca="false">IF(B2083&lt;5,Einstellungen!$B$3,Einstellungen!$B$4)</f>
        <v>29.13</v>
      </c>
      <c r="E2083" s="14" t="str">
        <f aca="false">IF(C2083="","",C2083*D2083/100)</f>
        <v/>
      </c>
      <c r="F2083" s="15" t="str">
        <f aca="false">IF(B2083&lt;5,"Go","Standard")</f>
        <v>Standard</v>
      </c>
    </row>
    <row r="2084" customFormat="false" ht="15" hidden="false" customHeight="true" outlineLevel="0" collapsed="false">
      <c r="A2084" s="10" t="n">
        <f aca="false">Einstellungen!$B$5+INT((ROW()-9)/24)</f>
        <v>46052</v>
      </c>
      <c r="B2084" s="11" t="n">
        <f aca="false">MOD(ROW()-9,24)</f>
        <v>11</v>
      </c>
      <c r="C2084" s="12"/>
      <c r="D2084" s="13" t="n">
        <f aca="false">IF(B2084&lt;5,Einstellungen!$B$3,Einstellungen!$B$4)</f>
        <v>29.13</v>
      </c>
      <c r="E2084" s="14" t="str">
        <f aca="false">IF(C2084="","",C2084*D2084/100)</f>
        <v/>
      </c>
      <c r="F2084" s="15" t="str">
        <f aca="false">IF(B2084&lt;5,"Go","Standard")</f>
        <v>Standard</v>
      </c>
    </row>
    <row r="2085" customFormat="false" ht="15" hidden="false" customHeight="true" outlineLevel="0" collapsed="false">
      <c r="A2085" s="10" t="n">
        <f aca="false">Einstellungen!$B$5+INT((ROW()-9)/24)</f>
        <v>46052</v>
      </c>
      <c r="B2085" s="11" t="n">
        <f aca="false">MOD(ROW()-9,24)</f>
        <v>12</v>
      </c>
      <c r="C2085" s="12"/>
      <c r="D2085" s="13" t="n">
        <f aca="false">IF(B2085&lt;5,Einstellungen!$B$3,Einstellungen!$B$4)</f>
        <v>29.13</v>
      </c>
      <c r="E2085" s="14" t="str">
        <f aca="false">IF(C2085="","",C2085*D2085/100)</f>
        <v/>
      </c>
      <c r="F2085" s="15" t="str">
        <f aca="false">IF(B2085&lt;5,"Go","Standard")</f>
        <v>Standard</v>
      </c>
    </row>
    <row r="2086" customFormat="false" ht="15" hidden="false" customHeight="true" outlineLevel="0" collapsed="false">
      <c r="A2086" s="10" t="n">
        <f aca="false">Einstellungen!$B$5+INT((ROW()-9)/24)</f>
        <v>46052</v>
      </c>
      <c r="B2086" s="11" t="n">
        <f aca="false">MOD(ROW()-9,24)</f>
        <v>13</v>
      </c>
      <c r="C2086" s="12"/>
      <c r="D2086" s="13" t="n">
        <f aca="false">IF(B2086&lt;5,Einstellungen!$B$3,Einstellungen!$B$4)</f>
        <v>29.13</v>
      </c>
      <c r="E2086" s="14" t="str">
        <f aca="false">IF(C2086="","",C2086*D2086/100)</f>
        <v/>
      </c>
      <c r="F2086" s="15" t="str">
        <f aca="false">IF(B2086&lt;5,"Go","Standard")</f>
        <v>Standard</v>
      </c>
    </row>
    <row r="2087" customFormat="false" ht="15" hidden="false" customHeight="true" outlineLevel="0" collapsed="false">
      <c r="A2087" s="10" t="n">
        <f aca="false">Einstellungen!$B$5+INT((ROW()-9)/24)</f>
        <v>46052</v>
      </c>
      <c r="B2087" s="11" t="n">
        <f aca="false">MOD(ROW()-9,24)</f>
        <v>14</v>
      </c>
      <c r="C2087" s="12"/>
      <c r="D2087" s="13" t="n">
        <f aca="false">IF(B2087&lt;5,Einstellungen!$B$3,Einstellungen!$B$4)</f>
        <v>29.13</v>
      </c>
      <c r="E2087" s="14" t="str">
        <f aca="false">IF(C2087="","",C2087*D2087/100)</f>
        <v/>
      </c>
      <c r="F2087" s="15" t="str">
        <f aca="false">IF(B2087&lt;5,"Go","Standard")</f>
        <v>Standard</v>
      </c>
    </row>
    <row r="2088" customFormat="false" ht="15" hidden="false" customHeight="true" outlineLevel="0" collapsed="false">
      <c r="A2088" s="10" t="n">
        <f aca="false">Einstellungen!$B$5+INT((ROW()-9)/24)</f>
        <v>46052</v>
      </c>
      <c r="B2088" s="11" t="n">
        <f aca="false">MOD(ROW()-9,24)</f>
        <v>15</v>
      </c>
      <c r="C2088" s="12"/>
      <c r="D2088" s="13" t="n">
        <f aca="false">IF(B2088&lt;5,Einstellungen!$B$3,Einstellungen!$B$4)</f>
        <v>29.13</v>
      </c>
      <c r="E2088" s="14" t="str">
        <f aca="false">IF(C2088="","",C2088*D2088/100)</f>
        <v/>
      </c>
      <c r="F2088" s="15" t="str">
        <f aca="false">IF(B2088&lt;5,"Go","Standard")</f>
        <v>Standard</v>
      </c>
    </row>
    <row r="2089" customFormat="false" ht="15" hidden="false" customHeight="true" outlineLevel="0" collapsed="false">
      <c r="A2089" s="10" t="n">
        <f aca="false">Einstellungen!$B$5+INT((ROW()-9)/24)</f>
        <v>46052</v>
      </c>
      <c r="B2089" s="11" t="n">
        <f aca="false">MOD(ROW()-9,24)</f>
        <v>16</v>
      </c>
      <c r="C2089" s="12"/>
      <c r="D2089" s="13" t="n">
        <f aca="false">IF(B2089&lt;5,Einstellungen!$B$3,Einstellungen!$B$4)</f>
        <v>29.13</v>
      </c>
      <c r="E2089" s="14" t="str">
        <f aca="false">IF(C2089="","",C2089*D2089/100)</f>
        <v/>
      </c>
      <c r="F2089" s="15" t="str">
        <f aca="false">IF(B2089&lt;5,"Go","Standard")</f>
        <v>Standard</v>
      </c>
    </row>
    <row r="2090" customFormat="false" ht="15" hidden="false" customHeight="true" outlineLevel="0" collapsed="false">
      <c r="A2090" s="10" t="n">
        <f aca="false">Einstellungen!$B$5+INT((ROW()-9)/24)</f>
        <v>46052</v>
      </c>
      <c r="B2090" s="11" t="n">
        <f aca="false">MOD(ROW()-9,24)</f>
        <v>17</v>
      </c>
      <c r="C2090" s="12"/>
      <c r="D2090" s="13" t="n">
        <f aca="false">IF(B2090&lt;5,Einstellungen!$B$3,Einstellungen!$B$4)</f>
        <v>29.13</v>
      </c>
      <c r="E2090" s="14" t="str">
        <f aca="false">IF(C2090="","",C2090*D2090/100)</f>
        <v/>
      </c>
      <c r="F2090" s="15" t="str">
        <f aca="false">IF(B2090&lt;5,"Go","Standard")</f>
        <v>Standard</v>
      </c>
    </row>
    <row r="2091" customFormat="false" ht="15" hidden="false" customHeight="true" outlineLevel="0" collapsed="false">
      <c r="A2091" s="10" t="n">
        <f aca="false">Einstellungen!$B$5+INT((ROW()-9)/24)</f>
        <v>46052</v>
      </c>
      <c r="B2091" s="11" t="n">
        <f aca="false">MOD(ROW()-9,24)</f>
        <v>18</v>
      </c>
      <c r="C2091" s="12"/>
      <c r="D2091" s="13" t="n">
        <f aca="false">IF(B2091&lt;5,Einstellungen!$B$3,Einstellungen!$B$4)</f>
        <v>29.13</v>
      </c>
      <c r="E2091" s="14" t="str">
        <f aca="false">IF(C2091="","",C2091*D2091/100)</f>
        <v/>
      </c>
      <c r="F2091" s="15" t="str">
        <f aca="false">IF(B2091&lt;5,"Go","Standard")</f>
        <v>Standard</v>
      </c>
    </row>
    <row r="2092" customFormat="false" ht="15" hidden="false" customHeight="true" outlineLevel="0" collapsed="false">
      <c r="A2092" s="10" t="n">
        <f aca="false">Einstellungen!$B$5+INT((ROW()-9)/24)</f>
        <v>46052</v>
      </c>
      <c r="B2092" s="11" t="n">
        <f aca="false">MOD(ROW()-9,24)</f>
        <v>19</v>
      </c>
      <c r="C2092" s="12"/>
      <c r="D2092" s="13" t="n">
        <f aca="false">IF(B2092&lt;5,Einstellungen!$B$3,Einstellungen!$B$4)</f>
        <v>29.13</v>
      </c>
      <c r="E2092" s="14" t="str">
        <f aca="false">IF(C2092="","",C2092*D2092/100)</f>
        <v/>
      </c>
      <c r="F2092" s="15" t="str">
        <f aca="false">IF(B2092&lt;5,"Go","Standard")</f>
        <v>Standard</v>
      </c>
    </row>
    <row r="2093" customFormat="false" ht="15" hidden="false" customHeight="true" outlineLevel="0" collapsed="false">
      <c r="A2093" s="10" t="n">
        <f aca="false">Einstellungen!$B$5+INT((ROW()-9)/24)</f>
        <v>46052</v>
      </c>
      <c r="B2093" s="11" t="n">
        <f aca="false">MOD(ROW()-9,24)</f>
        <v>20</v>
      </c>
      <c r="C2093" s="12"/>
      <c r="D2093" s="13" t="n">
        <f aca="false">IF(B2093&lt;5,Einstellungen!$B$3,Einstellungen!$B$4)</f>
        <v>29.13</v>
      </c>
      <c r="E2093" s="14" t="str">
        <f aca="false">IF(C2093="","",C2093*D2093/100)</f>
        <v/>
      </c>
      <c r="F2093" s="15" t="str">
        <f aca="false">IF(B2093&lt;5,"Go","Standard")</f>
        <v>Standard</v>
      </c>
    </row>
    <row r="2094" customFormat="false" ht="15" hidden="false" customHeight="true" outlineLevel="0" collapsed="false">
      <c r="A2094" s="10" t="n">
        <f aca="false">Einstellungen!$B$5+INT((ROW()-9)/24)</f>
        <v>46052</v>
      </c>
      <c r="B2094" s="11" t="n">
        <f aca="false">MOD(ROW()-9,24)</f>
        <v>21</v>
      </c>
      <c r="C2094" s="12"/>
      <c r="D2094" s="13" t="n">
        <f aca="false">IF(B2094&lt;5,Einstellungen!$B$3,Einstellungen!$B$4)</f>
        <v>29.13</v>
      </c>
      <c r="E2094" s="14" t="str">
        <f aca="false">IF(C2094="","",C2094*D2094/100)</f>
        <v/>
      </c>
      <c r="F2094" s="15" t="str">
        <f aca="false">IF(B2094&lt;5,"Go","Standard")</f>
        <v>Standard</v>
      </c>
    </row>
    <row r="2095" customFormat="false" ht="15" hidden="false" customHeight="true" outlineLevel="0" collapsed="false">
      <c r="A2095" s="10" t="n">
        <f aca="false">Einstellungen!$B$5+INT((ROW()-9)/24)</f>
        <v>46052</v>
      </c>
      <c r="B2095" s="11" t="n">
        <f aca="false">MOD(ROW()-9,24)</f>
        <v>22</v>
      </c>
      <c r="C2095" s="12"/>
      <c r="D2095" s="13" t="n">
        <f aca="false">IF(B2095&lt;5,Einstellungen!$B$3,Einstellungen!$B$4)</f>
        <v>29.13</v>
      </c>
      <c r="E2095" s="14" t="str">
        <f aca="false">IF(C2095="","",C2095*D2095/100)</f>
        <v/>
      </c>
      <c r="F2095" s="15" t="str">
        <f aca="false">IF(B2095&lt;5,"Go","Standard")</f>
        <v>Standard</v>
      </c>
    </row>
    <row r="2096" customFormat="false" ht="15" hidden="false" customHeight="true" outlineLevel="0" collapsed="false">
      <c r="A2096" s="10" t="n">
        <f aca="false">Einstellungen!$B$5+INT((ROW()-9)/24)</f>
        <v>46052</v>
      </c>
      <c r="B2096" s="11" t="n">
        <f aca="false">MOD(ROW()-9,24)</f>
        <v>23</v>
      </c>
      <c r="C2096" s="12"/>
      <c r="D2096" s="13" t="n">
        <f aca="false">IF(B2096&lt;5,Einstellungen!$B$3,Einstellungen!$B$4)</f>
        <v>29.13</v>
      </c>
      <c r="E2096" s="14" t="str">
        <f aca="false">IF(C2096="","",C2096*D2096/100)</f>
        <v/>
      </c>
      <c r="F2096" s="15" t="str">
        <f aca="false">IF(B2096&lt;5,"Go","Standard")</f>
        <v>Standard</v>
      </c>
    </row>
    <row r="2097" customFormat="false" ht="15" hidden="false" customHeight="true" outlineLevel="0" collapsed="false">
      <c r="A2097" s="10" t="n">
        <f aca="false">Einstellungen!$B$5+INT((ROW()-9)/24)</f>
        <v>46053</v>
      </c>
      <c r="B2097" s="11" t="n">
        <f aca="false">MOD(ROW()-9,24)</f>
        <v>0</v>
      </c>
      <c r="C2097" s="12"/>
      <c r="D2097" s="13" t="n">
        <f aca="false">IF(B2097&lt;5,Einstellungen!$B$3,Einstellungen!$B$4)</f>
        <v>15.92</v>
      </c>
      <c r="E2097" s="14" t="str">
        <f aca="false">IF(C2097="","",C2097*D2097/100)</f>
        <v/>
      </c>
      <c r="F2097" s="15" t="str">
        <f aca="false">IF(B2097&lt;5,"Go","Standard")</f>
        <v>Go</v>
      </c>
    </row>
    <row r="2098" customFormat="false" ht="15" hidden="false" customHeight="true" outlineLevel="0" collapsed="false">
      <c r="A2098" s="10" t="n">
        <f aca="false">Einstellungen!$B$5+INT((ROW()-9)/24)</f>
        <v>46053</v>
      </c>
      <c r="B2098" s="11" t="n">
        <f aca="false">MOD(ROW()-9,24)</f>
        <v>1</v>
      </c>
      <c r="C2098" s="12"/>
      <c r="D2098" s="13" t="n">
        <f aca="false">IF(B2098&lt;5,Einstellungen!$B$3,Einstellungen!$B$4)</f>
        <v>15.92</v>
      </c>
      <c r="E2098" s="14" t="str">
        <f aca="false">IF(C2098="","",C2098*D2098/100)</f>
        <v/>
      </c>
      <c r="F2098" s="15" t="str">
        <f aca="false">IF(B2098&lt;5,"Go","Standard")</f>
        <v>Go</v>
      </c>
    </row>
    <row r="2099" customFormat="false" ht="15" hidden="false" customHeight="true" outlineLevel="0" collapsed="false">
      <c r="A2099" s="10" t="n">
        <f aca="false">Einstellungen!$B$5+INT((ROW()-9)/24)</f>
        <v>46053</v>
      </c>
      <c r="B2099" s="11" t="n">
        <f aca="false">MOD(ROW()-9,24)</f>
        <v>2</v>
      </c>
      <c r="C2099" s="12"/>
      <c r="D2099" s="13" t="n">
        <f aca="false">IF(B2099&lt;5,Einstellungen!$B$3,Einstellungen!$B$4)</f>
        <v>15.92</v>
      </c>
      <c r="E2099" s="14" t="str">
        <f aca="false">IF(C2099="","",C2099*D2099/100)</f>
        <v/>
      </c>
      <c r="F2099" s="15" t="str">
        <f aca="false">IF(B2099&lt;5,"Go","Standard")</f>
        <v>Go</v>
      </c>
    </row>
    <row r="2100" customFormat="false" ht="15" hidden="false" customHeight="true" outlineLevel="0" collapsed="false">
      <c r="A2100" s="10" t="n">
        <f aca="false">Einstellungen!$B$5+INT((ROW()-9)/24)</f>
        <v>46053</v>
      </c>
      <c r="B2100" s="11" t="n">
        <f aca="false">MOD(ROW()-9,24)</f>
        <v>3</v>
      </c>
      <c r="C2100" s="12"/>
      <c r="D2100" s="13" t="n">
        <f aca="false">IF(B2100&lt;5,Einstellungen!$B$3,Einstellungen!$B$4)</f>
        <v>15.92</v>
      </c>
      <c r="E2100" s="14" t="str">
        <f aca="false">IF(C2100="","",C2100*D2100/100)</f>
        <v/>
      </c>
      <c r="F2100" s="15" t="str">
        <f aca="false">IF(B2100&lt;5,"Go","Standard")</f>
        <v>Go</v>
      </c>
    </row>
    <row r="2101" customFormat="false" ht="15" hidden="false" customHeight="true" outlineLevel="0" collapsed="false">
      <c r="A2101" s="10" t="n">
        <f aca="false">Einstellungen!$B$5+INT((ROW()-9)/24)</f>
        <v>46053</v>
      </c>
      <c r="B2101" s="11" t="n">
        <f aca="false">MOD(ROW()-9,24)</f>
        <v>4</v>
      </c>
      <c r="C2101" s="12"/>
      <c r="D2101" s="13" t="n">
        <f aca="false">IF(B2101&lt;5,Einstellungen!$B$3,Einstellungen!$B$4)</f>
        <v>15.92</v>
      </c>
      <c r="E2101" s="14" t="str">
        <f aca="false">IF(C2101="","",C2101*D2101/100)</f>
        <v/>
      </c>
      <c r="F2101" s="15" t="str">
        <f aca="false">IF(B2101&lt;5,"Go","Standard")</f>
        <v>Go</v>
      </c>
    </row>
    <row r="2102" customFormat="false" ht="15" hidden="false" customHeight="true" outlineLevel="0" collapsed="false">
      <c r="A2102" s="10" t="n">
        <f aca="false">Einstellungen!$B$5+INT((ROW()-9)/24)</f>
        <v>46053</v>
      </c>
      <c r="B2102" s="11" t="n">
        <f aca="false">MOD(ROW()-9,24)</f>
        <v>5</v>
      </c>
      <c r="C2102" s="12"/>
      <c r="D2102" s="13" t="n">
        <f aca="false">IF(B2102&lt;5,Einstellungen!$B$3,Einstellungen!$B$4)</f>
        <v>29.13</v>
      </c>
      <c r="E2102" s="14" t="str">
        <f aca="false">IF(C2102="","",C2102*D2102/100)</f>
        <v/>
      </c>
      <c r="F2102" s="15" t="str">
        <f aca="false">IF(B2102&lt;5,"Go","Standard")</f>
        <v>Standard</v>
      </c>
    </row>
    <row r="2103" customFormat="false" ht="15" hidden="false" customHeight="true" outlineLevel="0" collapsed="false">
      <c r="A2103" s="10" t="n">
        <f aca="false">Einstellungen!$B$5+INT((ROW()-9)/24)</f>
        <v>46053</v>
      </c>
      <c r="B2103" s="11" t="n">
        <f aca="false">MOD(ROW()-9,24)</f>
        <v>6</v>
      </c>
      <c r="C2103" s="12"/>
      <c r="D2103" s="13" t="n">
        <f aca="false">IF(B2103&lt;5,Einstellungen!$B$3,Einstellungen!$B$4)</f>
        <v>29.13</v>
      </c>
      <c r="E2103" s="14" t="str">
        <f aca="false">IF(C2103="","",C2103*D2103/100)</f>
        <v/>
      </c>
      <c r="F2103" s="15" t="str">
        <f aca="false">IF(B2103&lt;5,"Go","Standard")</f>
        <v>Standard</v>
      </c>
    </row>
    <row r="2104" customFormat="false" ht="15" hidden="false" customHeight="true" outlineLevel="0" collapsed="false">
      <c r="A2104" s="10" t="n">
        <f aca="false">Einstellungen!$B$5+INT((ROW()-9)/24)</f>
        <v>46053</v>
      </c>
      <c r="B2104" s="11" t="n">
        <f aca="false">MOD(ROW()-9,24)</f>
        <v>7</v>
      </c>
      <c r="C2104" s="12"/>
      <c r="D2104" s="13" t="n">
        <f aca="false">IF(B2104&lt;5,Einstellungen!$B$3,Einstellungen!$B$4)</f>
        <v>29.13</v>
      </c>
      <c r="E2104" s="14" t="str">
        <f aca="false">IF(C2104="","",C2104*D2104/100)</f>
        <v/>
      </c>
      <c r="F2104" s="15" t="str">
        <f aca="false">IF(B2104&lt;5,"Go","Standard")</f>
        <v>Standard</v>
      </c>
    </row>
    <row r="2105" customFormat="false" ht="15" hidden="false" customHeight="true" outlineLevel="0" collapsed="false">
      <c r="A2105" s="10" t="n">
        <f aca="false">Einstellungen!$B$5+INT((ROW()-9)/24)</f>
        <v>46053</v>
      </c>
      <c r="B2105" s="11" t="n">
        <f aca="false">MOD(ROW()-9,24)</f>
        <v>8</v>
      </c>
      <c r="C2105" s="12"/>
      <c r="D2105" s="13" t="n">
        <f aca="false">IF(B2105&lt;5,Einstellungen!$B$3,Einstellungen!$B$4)</f>
        <v>29.13</v>
      </c>
      <c r="E2105" s="14" t="str">
        <f aca="false">IF(C2105="","",C2105*D2105/100)</f>
        <v/>
      </c>
      <c r="F2105" s="15" t="str">
        <f aca="false">IF(B2105&lt;5,"Go","Standard")</f>
        <v>Standard</v>
      </c>
    </row>
    <row r="2106" customFormat="false" ht="15" hidden="false" customHeight="true" outlineLevel="0" collapsed="false">
      <c r="A2106" s="10" t="n">
        <f aca="false">Einstellungen!$B$5+INT((ROW()-9)/24)</f>
        <v>46053</v>
      </c>
      <c r="B2106" s="11" t="n">
        <f aca="false">MOD(ROW()-9,24)</f>
        <v>9</v>
      </c>
      <c r="C2106" s="12"/>
      <c r="D2106" s="13" t="n">
        <f aca="false">IF(B2106&lt;5,Einstellungen!$B$3,Einstellungen!$B$4)</f>
        <v>29.13</v>
      </c>
      <c r="E2106" s="14" t="str">
        <f aca="false">IF(C2106="","",C2106*D2106/100)</f>
        <v/>
      </c>
      <c r="F2106" s="15" t="str">
        <f aca="false">IF(B2106&lt;5,"Go","Standard")</f>
        <v>Standard</v>
      </c>
    </row>
    <row r="2107" customFormat="false" ht="15" hidden="false" customHeight="true" outlineLevel="0" collapsed="false">
      <c r="A2107" s="10" t="n">
        <f aca="false">Einstellungen!$B$5+INT((ROW()-9)/24)</f>
        <v>46053</v>
      </c>
      <c r="B2107" s="11" t="n">
        <f aca="false">MOD(ROW()-9,24)</f>
        <v>10</v>
      </c>
      <c r="C2107" s="12"/>
      <c r="D2107" s="13" t="n">
        <f aca="false">IF(B2107&lt;5,Einstellungen!$B$3,Einstellungen!$B$4)</f>
        <v>29.13</v>
      </c>
      <c r="E2107" s="14" t="str">
        <f aca="false">IF(C2107="","",C2107*D2107/100)</f>
        <v/>
      </c>
      <c r="F2107" s="15" t="str">
        <f aca="false">IF(B2107&lt;5,"Go","Standard")</f>
        <v>Standard</v>
      </c>
    </row>
    <row r="2108" customFormat="false" ht="15" hidden="false" customHeight="true" outlineLevel="0" collapsed="false">
      <c r="A2108" s="10" t="n">
        <f aca="false">Einstellungen!$B$5+INT((ROW()-9)/24)</f>
        <v>46053</v>
      </c>
      <c r="B2108" s="11" t="n">
        <f aca="false">MOD(ROW()-9,24)</f>
        <v>11</v>
      </c>
      <c r="C2108" s="12"/>
      <c r="D2108" s="13" t="n">
        <f aca="false">IF(B2108&lt;5,Einstellungen!$B$3,Einstellungen!$B$4)</f>
        <v>29.13</v>
      </c>
      <c r="E2108" s="14" t="str">
        <f aca="false">IF(C2108="","",C2108*D2108/100)</f>
        <v/>
      </c>
      <c r="F2108" s="15" t="str">
        <f aca="false">IF(B2108&lt;5,"Go","Standard")</f>
        <v>Standard</v>
      </c>
    </row>
    <row r="2109" customFormat="false" ht="15" hidden="false" customHeight="true" outlineLevel="0" collapsed="false">
      <c r="A2109" s="10" t="n">
        <f aca="false">Einstellungen!$B$5+INT((ROW()-9)/24)</f>
        <v>46053</v>
      </c>
      <c r="B2109" s="11" t="n">
        <f aca="false">MOD(ROW()-9,24)</f>
        <v>12</v>
      </c>
      <c r="C2109" s="12"/>
      <c r="D2109" s="13" t="n">
        <f aca="false">IF(B2109&lt;5,Einstellungen!$B$3,Einstellungen!$B$4)</f>
        <v>29.13</v>
      </c>
      <c r="E2109" s="14" t="str">
        <f aca="false">IF(C2109="","",C2109*D2109/100)</f>
        <v/>
      </c>
      <c r="F2109" s="15" t="str">
        <f aca="false">IF(B2109&lt;5,"Go","Standard")</f>
        <v>Standard</v>
      </c>
    </row>
    <row r="2110" customFormat="false" ht="15" hidden="false" customHeight="true" outlineLevel="0" collapsed="false">
      <c r="A2110" s="10" t="n">
        <f aca="false">Einstellungen!$B$5+INT((ROW()-9)/24)</f>
        <v>46053</v>
      </c>
      <c r="B2110" s="11" t="n">
        <f aca="false">MOD(ROW()-9,24)</f>
        <v>13</v>
      </c>
      <c r="C2110" s="12"/>
      <c r="D2110" s="13" t="n">
        <f aca="false">IF(B2110&lt;5,Einstellungen!$B$3,Einstellungen!$B$4)</f>
        <v>29.13</v>
      </c>
      <c r="E2110" s="14" t="str">
        <f aca="false">IF(C2110="","",C2110*D2110/100)</f>
        <v/>
      </c>
      <c r="F2110" s="15" t="str">
        <f aca="false">IF(B2110&lt;5,"Go","Standard")</f>
        <v>Standard</v>
      </c>
    </row>
    <row r="2111" customFormat="false" ht="15" hidden="false" customHeight="true" outlineLevel="0" collapsed="false">
      <c r="A2111" s="10" t="n">
        <f aca="false">Einstellungen!$B$5+INT((ROW()-9)/24)</f>
        <v>46053</v>
      </c>
      <c r="B2111" s="11" t="n">
        <f aca="false">MOD(ROW()-9,24)</f>
        <v>14</v>
      </c>
      <c r="C2111" s="12"/>
      <c r="D2111" s="13" t="n">
        <f aca="false">IF(B2111&lt;5,Einstellungen!$B$3,Einstellungen!$B$4)</f>
        <v>29.13</v>
      </c>
      <c r="E2111" s="14" t="str">
        <f aca="false">IF(C2111="","",C2111*D2111/100)</f>
        <v/>
      </c>
      <c r="F2111" s="15" t="str">
        <f aca="false">IF(B2111&lt;5,"Go","Standard")</f>
        <v>Standard</v>
      </c>
    </row>
    <row r="2112" customFormat="false" ht="15" hidden="false" customHeight="true" outlineLevel="0" collapsed="false">
      <c r="A2112" s="10" t="n">
        <f aca="false">Einstellungen!$B$5+INT((ROW()-9)/24)</f>
        <v>46053</v>
      </c>
      <c r="B2112" s="11" t="n">
        <f aca="false">MOD(ROW()-9,24)</f>
        <v>15</v>
      </c>
      <c r="C2112" s="12"/>
      <c r="D2112" s="13" t="n">
        <f aca="false">IF(B2112&lt;5,Einstellungen!$B$3,Einstellungen!$B$4)</f>
        <v>29.13</v>
      </c>
      <c r="E2112" s="14" t="str">
        <f aca="false">IF(C2112="","",C2112*D2112/100)</f>
        <v/>
      </c>
      <c r="F2112" s="15" t="str">
        <f aca="false">IF(B2112&lt;5,"Go","Standard")</f>
        <v>Standard</v>
      </c>
    </row>
    <row r="2113" customFormat="false" ht="15" hidden="false" customHeight="true" outlineLevel="0" collapsed="false">
      <c r="A2113" s="10" t="n">
        <f aca="false">Einstellungen!$B$5+INT((ROW()-9)/24)</f>
        <v>46053</v>
      </c>
      <c r="B2113" s="11" t="n">
        <f aca="false">MOD(ROW()-9,24)</f>
        <v>16</v>
      </c>
      <c r="C2113" s="12"/>
      <c r="D2113" s="13" t="n">
        <f aca="false">IF(B2113&lt;5,Einstellungen!$B$3,Einstellungen!$B$4)</f>
        <v>29.13</v>
      </c>
      <c r="E2113" s="14" t="str">
        <f aca="false">IF(C2113="","",C2113*D2113/100)</f>
        <v/>
      </c>
      <c r="F2113" s="15" t="str">
        <f aca="false">IF(B2113&lt;5,"Go","Standard")</f>
        <v>Standard</v>
      </c>
    </row>
    <row r="2114" customFormat="false" ht="15" hidden="false" customHeight="true" outlineLevel="0" collapsed="false">
      <c r="A2114" s="10" t="n">
        <f aca="false">Einstellungen!$B$5+INT((ROW()-9)/24)</f>
        <v>46053</v>
      </c>
      <c r="B2114" s="11" t="n">
        <f aca="false">MOD(ROW()-9,24)</f>
        <v>17</v>
      </c>
      <c r="C2114" s="12"/>
      <c r="D2114" s="13" t="n">
        <f aca="false">IF(B2114&lt;5,Einstellungen!$B$3,Einstellungen!$B$4)</f>
        <v>29.13</v>
      </c>
      <c r="E2114" s="14" t="str">
        <f aca="false">IF(C2114="","",C2114*D2114/100)</f>
        <v/>
      </c>
      <c r="F2114" s="15" t="str">
        <f aca="false">IF(B2114&lt;5,"Go","Standard")</f>
        <v>Standard</v>
      </c>
    </row>
    <row r="2115" customFormat="false" ht="15" hidden="false" customHeight="true" outlineLevel="0" collapsed="false">
      <c r="A2115" s="10" t="n">
        <f aca="false">Einstellungen!$B$5+INT((ROW()-9)/24)</f>
        <v>46053</v>
      </c>
      <c r="B2115" s="11" t="n">
        <f aca="false">MOD(ROW()-9,24)</f>
        <v>18</v>
      </c>
      <c r="C2115" s="12"/>
      <c r="D2115" s="13" t="n">
        <f aca="false">IF(B2115&lt;5,Einstellungen!$B$3,Einstellungen!$B$4)</f>
        <v>29.13</v>
      </c>
      <c r="E2115" s="14" t="str">
        <f aca="false">IF(C2115="","",C2115*D2115/100)</f>
        <v/>
      </c>
      <c r="F2115" s="15" t="str">
        <f aca="false">IF(B2115&lt;5,"Go","Standard")</f>
        <v>Standard</v>
      </c>
    </row>
    <row r="2116" customFormat="false" ht="15" hidden="false" customHeight="true" outlineLevel="0" collapsed="false">
      <c r="A2116" s="10" t="n">
        <f aca="false">Einstellungen!$B$5+INT((ROW()-9)/24)</f>
        <v>46053</v>
      </c>
      <c r="B2116" s="11" t="n">
        <f aca="false">MOD(ROW()-9,24)</f>
        <v>19</v>
      </c>
      <c r="C2116" s="12"/>
      <c r="D2116" s="13" t="n">
        <f aca="false">IF(B2116&lt;5,Einstellungen!$B$3,Einstellungen!$B$4)</f>
        <v>29.13</v>
      </c>
      <c r="E2116" s="14" t="str">
        <f aca="false">IF(C2116="","",C2116*D2116/100)</f>
        <v/>
      </c>
      <c r="F2116" s="15" t="str">
        <f aca="false">IF(B2116&lt;5,"Go","Standard")</f>
        <v>Standard</v>
      </c>
    </row>
    <row r="2117" customFormat="false" ht="15" hidden="false" customHeight="true" outlineLevel="0" collapsed="false">
      <c r="A2117" s="10" t="n">
        <f aca="false">Einstellungen!$B$5+INT((ROW()-9)/24)</f>
        <v>46053</v>
      </c>
      <c r="B2117" s="11" t="n">
        <f aca="false">MOD(ROW()-9,24)</f>
        <v>20</v>
      </c>
      <c r="C2117" s="12"/>
      <c r="D2117" s="13" t="n">
        <f aca="false">IF(B2117&lt;5,Einstellungen!$B$3,Einstellungen!$B$4)</f>
        <v>29.13</v>
      </c>
      <c r="E2117" s="14" t="str">
        <f aca="false">IF(C2117="","",C2117*D2117/100)</f>
        <v/>
      </c>
      <c r="F2117" s="15" t="str">
        <f aca="false">IF(B2117&lt;5,"Go","Standard")</f>
        <v>Standard</v>
      </c>
    </row>
    <row r="2118" customFormat="false" ht="15" hidden="false" customHeight="true" outlineLevel="0" collapsed="false">
      <c r="A2118" s="10" t="n">
        <f aca="false">Einstellungen!$B$5+INT((ROW()-9)/24)</f>
        <v>46053</v>
      </c>
      <c r="B2118" s="11" t="n">
        <f aca="false">MOD(ROW()-9,24)</f>
        <v>21</v>
      </c>
      <c r="C2118" s="12"/>
      <c r="D2118" s="13" t="n">
        <f aca="false">IF(B2118&lt;5,Einstellungen!$B$3,Einstellungen!$B$4)</f>
        <v>29.13</v>
      </c>
      <c r="E2118" s="14" t="str">
        <f aca="false">IF(C2118="","",C2118*D2118/100)</f>
        <v/>
      </c>
      <c r="F2118" s="15" t="str">
        <f aca="false">IF(B2118&lt;5,"Go","Standard")</f>
        <v>Standard</v>
      </c>
    </row>
    <row r="2119" customFormat="false" ht="15" hidden="false" customHeight="true" outlineLevel="0" collapsed="false">
      <c r="A2119" s="10" t="n">
        <f aca="false">Einstellungen!$B$5+INT((ROW()-9)/24)</f>
        <v>46053</v>
      </c>
      <c r="B2119" s="11" t="n">
        <f aca="false">MOD(ROW()-9,24)</f>
        <v>22</v>
      </c>
      <c r="C2119" s="12"/>
      <c r="D2119" s="13" t="n">
        <f aca="false">IF(B2119&lt;5,Einstellungen!$B$3,Einstellungen!$B$4)</f>
        <v>29.13</v>
      </c>
      <c r="E2119" s="14" t="str">
        <f aca="false">IF(C2119="","",C2119*D2119/100)</f>
        <v/>
      </c>
      <c r="F2119" s="15" t="str">
        <f aca="false">IF(B2119&lt;5,"Go","Standard")</f>
        <v>Standard</v>
      </c>
    </row>
    <row r="2120" customFormat="false" ht="15" hidden="false" customHeight="true" outlineLevel="0" collapsed="false">
      <c r="A2120" s="10" t="n">
        <f aca="false">Einstellungen!$B$5+INT((ROW()-9)/24)</f>
        <v>46053</v>
      </c>
      <c r="B2120" s="11" t="n">
        <f aca="false">MOD(ROW()-9,24)</f>
        <v>23</v>
      </c>
      <c r="C2120" s="12"/>
      <c r="D2120" s="13" t="n">
        <f aca="false">IF(B2120&lt;5,Einstellungen!$B$3,Einstellungen!$B$4)</f>
        <v>29.13</v>
      </c>
      <c r="E2120" s="14" t="str">
        <f aca="false">IF(C2120="","",C2120*D2120/100)</f>
        <v/>
      </c>
      <c r="F2120" s="15" t="str">
        <f aca="false">IF(B2120&lt;5,"Go","Standard")</f>
        <v>Standard</v>
      </c>
    </row>
    <row r="2121" customFormat="false" ht="15" hidden="false" customHeight="true" outlineLevel="0" collapsed="false">
      <c r="A2121" s="10" t="n">
        <f aca="false">Einstellungen!$B$5+INT((ROW()-9)/24)</f>
        <v>46054</v>
      </c>
      <c r="B2121" s="11" t="n">
        <f aca="false">MOD(ROW()-9,24)</f>
        <v>0</v>
      </c>
      <c r="C2121" s="12"/>
      <c r="D2121" s="13" t="n">
        <f aca="false">IF(B2121&lt;5,Einstellungen!$B$3,Einstellungen!$B$4)</f>
        <v>15.92</v>
      </c>
      <c r="E2121" s="14" t="str">
        <f aca="false">IF(C2121="","",C2121*D2121/100)</f>
        <v/>
      </c>
      <c r="F2121" s="15" t="str">
        <f aca="false">IF(B2121&lt;5,"Go","Standard")</f>
        <v>Go</v>
      </c>
    </row>
    <row r="2122" customFormat="false" ht="15" hidden="false" customHeight="true" outlineLevel="0" collapsed="false">
      <c r="A2122" s="10" t="n">
        <f aca="false">Einstellungen!$B$5+INT((ROW()-9)/24)</f>
        <v>46054</v>
      </c>
      <c r="B2122" s="11" t="n">
        <f aca="false">MOD(ROW()-9,24)</f>
        <v>1</v>
      </c>
      <c r="C2122" s="12"/>
      <c r="D2122" s="13" t="n">
        <f aca="false">IF(B2122&lt;5,Einstellungen!$B$3,Einstellungen!$B$4)</f>
        <v>15.92</v>
      </c>
      <c r="E2122" s="14" t="str">
        <f aca="false">IF(C2122="","",C2122*D2122/100)</f>
        <v/>
      </c>
      <c r="F2122" s="15" t="str">
        <f aca="false">IF(B2122&lt;5,"Go","Standard")</f>
        <v>Go</v>
      </c>
    </row>
    <row r="2123" customFormat="false" ht="15" hidden="false" customHeight="true" outlineLevel="0" collapsed="false">
      <c r="A2123" s="10" t="n">
        <f aca="false">Einstellungen!$B$5+INT((ROW()-9)/24)</f>
        <v>46054</v>
      </c>
      <c r="B2123" s="11" t="n">
        <f aca="false">MOD(ROW()-9,24)</f>
        <v>2</v>
      </c>
      <c r="C2123" s="12"/>
      <c r="D2123" s="13" t="n">
        <f aca="false">IF(B2123&lt;5,Einstellungen!$B$3,Einstellungen!$B$4)</f>
        <v>15.92</v>
      </c>
      <c r="E2123" s="14" t="str">
        <f aca="false">IF(C2123="","",C2123*D2123/100)</f>
        <v/>
      </c>
      <c r="F2123" s="15" t="str">
        <f aca="false">IF(B2123&lt;5,"Go","Standard")</f>
        <v>Go</v>
      </c>
    </row>
    <row r="2124" customFormat="false" ht="15" hidden="false" customHeight="true" outlineLevel="0" collapsed="false">
      <c r="A2124" s="10" t="n">
        <f aca="false">Einstellungen!$B$5+INT((ROW()-9)/24)</f>
        <v>46054</v>
      </c>
      <c r="B2124" s="11" t="n">
        <f aca="false">MOD(ROW()-9,24)</f>
        <v>3</v>
      </c>
      <c r="C2124" s="12"/>
      <c r="D2124" s="13" t="n">
        <f aca="false">IF(B2124&lt;5,Einstellungen!$B$3,Einstellungen!$B$4)</f>
        <v>15.92</v>
      </c>
      <c r="E2124" s="14" t="str">
        <f aca="false">IF(C2124="","",C2124*D2124/100)</f>
        <v/>
      </c>
      <c r="F2124" s="15" t="str">
        <f aca="false">IF(B2124&lt;5,"Go","Standard")</f>
        <v>Go</v>
      </c>
    </row>
    <row r="2125" customFormat="false" ht="15" hidden="false" customHeight="true" outlineLevel="0" collapsed="false">
      <c r="A2125" s="10" t="n">
        <f aca="false">Einstellungen!$B$5+INT((ROW()-9)/24)</f>
        <v>46054</v>
      </c>
      <c r="B2125" s="11" t="n">
        <f aca="false">MOD(ROW()-9,24)</f>
        <v>4</v>
      </c>
      <c r="C2125" s="12"/>
      <c r="D2125" s="13" t="n">
        <f aca="false">IF(B2125&lt;5,Einstellungen!$B$3,Einstellungen!$B$4)</f>
        <v>15.92</v>
      </c>
      <c r="E2125" s="14" t="str">
        <f aca="false">IF(C2125="","",C2125*D2125/100)</f>
        <v/>
      </c>
      <c r="F2125" s="15" t="str">
        <f aca="false">IF(B2125&lt;5,"Go","Standard")</f>
        <v>Go</v>
      </c>
    </row>
    <row r="2126" customFormat="false" ht="15" hidden="false" customHeight="true" outlineLevel="0" collapsed="false">
      <c r="A2126" s="10" t="n">
        <f aca="false">Einstellungen!$B$5+INT((ROW()-9)/24)</f>
        <v>46054</v>
      </c>
      <c r="B2126" s="11" t="n">
        <f aca="false">MOD(ROW()-9,24)</f>
        <v>5</v>
      </c>
      <c r="C2126" s="12"/>
      <c r="D2126" s="13" t="n">
        <f aca="false">IF(B2126&lt;5,Einstellungen!$B$3,Einstellungen!$B$4)</f>
        <v>29.13</v>
      </c>
      <c r="E2126" s="14" t="str">
        <f aca="false">IF(C2126="","",C2126*D2126/100)</f>
        <v/>
      </c>
      <c r="F2126" s="15" t="str">
        <f aca="false">IF(B2126&lt;5,"Go","Standard")</f>
        <v>Standard</v>
      </c>
    </row>
    <row r="2127" customFormat="false" ht="15" hidden="false" customHeight="true" outlineLevel="0" collapsed="false">
      <c r="A2127" s="10" t="n">
        <f aca="false">Einstellungen!$B$5+INT((ROW()-9)/24)</f>
        <v>46054</v>
      </c>
      <c r="B2127" s="11" t="n">
        <f aca="false">MOD(ROW()-9,24)</f>
        <v>6</v>
      </c>
      <c r="C2127" s="12"/>
      <c r="D2127" s="13" t="n">
        <f aca="false">IF(B2127&lt;5,Einstellungen!$B$3,Einstellungen!$B$4)</f>
        <v>29.13</v>
      </c>
      <c r="E2127" s="14" t="str">
        <f aca="false">IF(C2127="","",C2127*D2127/100)</f>
        <v/>
      </c>
      <c r="F2127" s="15" t="str">
        <f aca="false">IF(B2127&lt;5,"Go","Standard")</f>
        <v>Standard</v>
      </c>
    </row>
    <row r="2128" customFormat="false" ht="15" hidden="false" customHeight="true" outlineLevel="0" collapsed="false">
      <c r="A2128" s="10" t="n">
        <f aca="false">Einstellungen!$B$5+INT((ROW()-9)/24)</f>
        <v>46054</v>
      </c>
      <c r="B2128" s="11" t="n">
        <f aca="false">MOD(ROW()-9,24)</f>
        <v>7</v>
      </c>
      <c r="C2128" s="12"/>
      <c r="D2128" s="13" t="n">
        <f aca="false">IF(B2128&lt;5,Einstellungen!$B$3,Einstellungen!$B$4)</f>
        <v>29.13</v>
      </c>
      <c r="E2128" s="14" t="str">
        <f aca="false">IF(C2128="","",C2128*D2128/100)</f>
        <v/>
      </c>
      <c r="F2128" s="15" t="str">
        <f aca="false">IF(B2128&lt;5,"Go","Standard")</f>
        <v>Standard</v>
      </c>
    </row>
    <row r="2129" customFormat="false" ht="15" hidden="false" customHeight="true" outlineLevel="0" collapsed="false">
      <c r="A2129" s="10" t="n">
        <f aca="false">Einstellungen!$B$5+INT((ROW()-9)/24)</f>
        <v>46054</v>
      </c>
      <c r="B2129" s="11" t="n">
        <f aca="false">MOD(ROW()-9,24)</f>
        <v>8</v>
      </c>
      <c r="C2129" s="12"/>
      <c r="D2129" s="13" t="n">
        <f aca="false">IF(B2129&lt;5,Einstellungen!$B$3,Einstellungen!$B$4)</f>
        <v>29.13</v>
      </c>
      <c r="E2129" s="14" t="str">
        <f aca="false">IF(C2129="","",C2129*D2129/100)</f>
        <v/>
      </c>
      <c r="F2129" s="15" t="str">
        <f aca="false">IF(B2129&lt;5,"Go","Standard")</f>
        <v>Standard</v>
      </c>
    </row>
    <row r="2130" customFormat="false" ht="15" hidden="false" customHeight="true" outlineLevel="0" collapsed="false">
      <c r="A2130" s="10" t="n">
        <f aca="false">Einstellungen!$B$5+INT((ROW()-9)/24)</f>
        <v>46054</v>
      </c>
      <c r="B2130" s="11" t="n">
        <f aca="false">MOD(ROW()-9,24)</f>
        <v>9</v>
      </c>
      <c r="C2130" s="12"/>
      <c r="D2130" s="13" t="n">
        <f aca="false">IF(B2130&lt;5,Einstellungen!$B$3,Einstellungen!$B$4)</f>
        <v>29.13</v>
      </c>
      <c r="E2130" s="14" t="str">
        <f aca="false">IF(C2130="","",C2130*D2130/100)</f>
        <v/>
      </c>
      <c r="F2130" s="15" t="str">
        <f aca="false">IF(B2130&lt;5,"Go","Standard")</f>
        <v>Standard</v>
      </c>
    </row>
    <row r="2131" customFormat="false" ht="15" hidden="false" customHeight="true" outlineLevel="0" collapsed="false">
      <c r="A2131" s="10" t="n">
        <f aca="false">Einstellungen!$B$5+INT((ROW()-9)/24)</f>
        <v>46054</v>
      </c>
      <c r="B2131" s="11" t="n">
        <f aca="false">MOD(ROW()-9,24)</f>
        <v>10</v>
      </c>
      <c r="C2131" s="12"/>
      <c r="D2131" s="13" t="n">
        <f aca="false">IF(B2131&lt;5,Einstellungen!$B$3,Einstellungen!$B$4)</f>
        <v>29.13</v>
      </c>
      <c r="E2131" s="14" t="str">
        <f aca="false">IF(C2131="","",C2131*D2131/100)</f>
        <v/>
      </c>
      <c r="F2131" s="15" t="str">
        <f aca="false">IF(B2131&lt;5,"Go","Standard")</f>
        <v>Standard</v>
      </c>
    </row>
    <row r="2132" customFormat="false" ht="15" hidden="false" customHeight="true" outlineLevel="0" collapsed="false">
      <c r="A2132" s="10" t="n">
        <f aca="false">Einstellungen!$B$5+INT((ROW()-9)/24)</f>
        <v>46054</v>
      </c>
      <c r="B2132" s="11" t="n">
        <f aca="false">MOD(ROW()-9,24)</f>
        <v>11</v>
      </c>
      <c r="C2132" s="12"/>
      <c r="D2132" s="13" t="n">
        <f aca="false">IF(B2132&lt;5,Einstellungen!$B$3,Einstellungen!$B$4)</f>
        <v>29.13</v>
      </c>
      <c r="E2132" s="14" t="str">
        <f aca="false">IF(C2132="","",C2132*D2132/100)</f>
        <v/>
      </c>
      <c r="F2132" s="15" t="str">
        <f aca="false">IF(B2132&lt;5,"Go","Standard")</f>
        <v>Standard</v>
      </c>
    </row>
    <row r="2133" customFormat="false" ht="15" hidden="false" customHeight="true" outlineLevel="0" collapsed="false">
      <c r="A2133" s="10" t="n">
        <f aca="false">Einstellungen!$B$5+INT((ROW()-9)/24)</f>
        <v>46054</v>
      </c>
      <c r="B2133" s="11" t="n">
        <f aca="false">MOD(ROW()-9,24)</f>
        <v>12</v>
      </c>
      <c r="C2133" s="12"/>
      <c r="D2133" s="13" t="n">
        <f aca="false">IF(B2133&lt;5,Einstellungen!$B$3,Einstellungen!$B$4)</f>
        <v>29.13</v>
      </c>
      <c r="E2133" s="14" t="str">
        <f aca="false">IF(C2133="","",C2133*D2133/100)</f>
        <v/>
      </c>
      <c r="F2133" s="15" t="str">
        <f aca="false">IF(B2133&lt;5,"Go","Standard")</f>
        <v>Standard</v>
      </c>
    </row>
    <row r="2134" customFormat="false" ht="15" hidden="false" customHeight="true" outlineLevel="0" collapsed="false">
      <c r="A2134" s="10" t="n">
        <f aca="false">Einstellungen!$B$5+INT((ROW()-9)/24)</f>
        <v>46054</v>
      </c>
      <c r="B2134" s="11" t="n">
        <f aca="false">MOD(ROW()-9,24)</f>
        <v>13</v>
      </c>
      <c r="C2134" s="12"/>
      <c r="D2134" s="13" t="n">
        <f aca="false">IF(B2134&lt;5,Einstellungen!$B$3,Einstellungen!$B$4)</f>
        <v>29.13</v>
      </c>
      <c r="E2134" s="14" t="str">
        <f aca="false">IF(C2134="","",C2134*D2134/100)</f>
        <v/>
      </c>
      <c r="F2134" s="15" t="str">
        <f aca="false">IF(B2134&lt;5,"Go","Standard")</f>
        <v>Standard</v>
      </c>
    </row>
    <row r="2135" customFormat="false" ht="15" hidden="false" customHeight="true" outlineLevel="0" collapsed="false">
      <c r="A2135" s="10" t="n">
        <f aca="false">Einstellungen!$B$5+INT((ROW()-9)/24)</f>
        <v>46054</v>
      </c>
      <c r="B2135" s="11" t="n">
        <f aca="false">MOD(ROW()-9,24)</f>
        <v>14</v>
      </c>
      <c r="C2135" s="12"/>
      <c r="D2135" s="13" t="n">
        <f aca="false">IF(B2135&lt;5,Einstellungen!$B$3,Einstellungen!$B$4)</f>
        <v>29.13</v>
      </c>
      <c r="E2135" s="14" t="str">
        <f aca="false">IF(C2135="","",C2135*D2135/100)</f>
        <v/>
      </c>
      <c r="F2135" s="15" t="str">
        <f aca="false">IF(B2135&lt;5,"Go","Standard")</f>
        <v>Standard</v>
      </c>
    </row>
    <row r="2136" customFormat="false" ht="15" hidden="false" customHeight="true" outlineLevel="0" collapsed="false">
      <c r="A2136" s="10" t="n">
        <f aca="false">Einstellungen!$B$5+INT((ROW()-9)/24)</f>
        <v>46054</v>
      </c>
      <c r="B2136" s="11" t="n">
        <f aca="false">MOD(ROW()-9,24)</f>
        <v>15</v>
      </c>
      <c r="C2136" s="12"/>
      <c r="D2136" s="13" t="n">
        <f aca="false">IF(B2136&lt;5,Einstellungen!$B$3,Einstellungen!$B$4)</f>
        <v>29.13</v>
      </c>
      <c r="E2136" s="14" t="str">
        <f aca="false">IF(C2136="","",C2136*D2136/100)</f>
        <v/>
      </c>
      <c r="F2136" s="15" t="str">
        <f aca="false">IF(B2136&lt;5,"Go","Standard")</f>
        <v>Standard</v>
      </c>
    </row>
    <row r="2137" customFormat="false" ht="15" hidden="false" customHeight="true" outlineLevel="0" collapsed="false">
      <c r="A2137" s="10" t="n">
        <f aca="false">Einstellungen!$B$5+INT((ROW()-9)/24)</f>
        <v>46054</v>
      </c>
      <c r="B2137" s="11" t="n">
        <f aca="false">MOD(ROW()-9,24)</f>
        <v>16</v>
      </c>
      <c r="C2137" s="12"/>
      <c r="D2137" s="13" t="n">
        <f aca="false">IF(B2137&lt;5,Einstellungen!$B$3,Einstellungen!$B$4)</f>
        <v>29.13</v>
      </c>
      <c r="E2137" s="14" t="str">
        <f aca="false">IF(C2137="","",C2137*D2137/100)</f>
        <v/>
      </c>
      <c r="F2137" s="15" t="str">
        <f aca="false">IF(B2137&lt;5,"Go","Standard")</f>
        <v>Standard</v>
      </c>
    </row>
    <row r="2138" customFormat="false" ht="15" hidden="false" customHeight="true" outlineLevel="0" collapsed="false">
      <c r="A2138" s="10" t="n">
        <f aca="false">Einstellungen!$B$5+INT((ROW()-9)/24)</f>
        <v>46054</v>
      </c>
      <c r="B2138" s="11" t="n">
        <f aca="false">MOD(ROW()-9,24)</f>
        <v>17</v>
      </c>
      <c r="C2138" s="12"/>
      <c r="D2138" s="13" t="n">
        <f aca="false">IF(B2138&lt;5,Einstellungen!$B$3,Einstellungen!$B$4)</f>
        <v>29.13</v>
      </c>
      <c r="E2138" s="14" t="str">
        <f aca="false">IF(C2138="","",C2138*D2138/100)</f>
        <v/>
      </c>
      <c r="F2138" s="15" t="str">
        <f aca="false">IF(B2138&lt;5,"Go","Standard")</f>
        <v>Standard</v>
      </c>
    </row>
    <row r="2139" customFormat="false" ht="15" hidden="false" customHeight="true" outlineLevel="0" collapsed="false">
      <c r="A2139" s="10" t="n">
        <f aca="false">Einstellungen!$B$5+INT((ROW()-9)/24)</f>
        <v>46054</v>
      </c>
      <c r="B2139" s="11" t="n">
        <f aca="false">MOD(ROW()-9,24)</f>
        <v>18</v>
      </c>
      <c r="C2139" s="12"/>
      <c r="D2139" s="13" t="n">
        <f aca="false">IF(B2139&lt;5,Einstellungen!$B$3,Einstellungen!$B$4)</f>
        <v>29.13</v>
      </c>
      <c r="E2139" s="14" t="str">
        <f aca="false">IF(C2139="","",C2139*D2139/100)</f>
        <v/>
      </c>
      <c r="F2139" s="15" t="str">
        <f aca="false">IF(B2139&lt;5,"Go","Standard")</f>
        <v>Standard</v>
      </c>
    </row>
    <row r="2140" customFormat="false" ht="15" hidden="false" customHeight="true" outlineLevel="0" collapsed="false">
      <c r="A2140" s="10" t="n">
        <f aca="false">Einstellungen!$B$5+INT((ROW()-9)/24)</f>
        <v>46054</v>
      </c>
      <c r="B2140" s="11" t="n">
        <f aca="false">MOD(ROW()-9,24)</f>
        <v>19</v>
      </c>
      <c r="C2140" s="12"/>
      <c r="D2140" s="13" t="n">
        <f aca="false">IF(B2140&lt;5,Einstellungen!$B$3,Einstellungen!$B$4)</f>
        <v>29.13</v>
      </c>
      <c r="E2140" s="14" t="str">
        <f aca="false">IF(C2140="","",C2140*D2140/100)</f>
        <v/>
      </c>
      <c r="F2140" s="15" t="str">
        <f aca="false">IF(B2140&lt;5,"Go","Standard")</f>
        <v>Standard</v>
      </c>
    </row>
    <row r="2141" customFormat="false" ht="15" hidden="false" customHeight="true" outlineLevel="0" collapsed="false">
      <c r="A2141" s="10" t="n">
        <f aca="false">Einstellungen!$B$5+INT((ROW()-9)/24)</f>
        <v>46054</v>
      </c>
      <c r="B2141" s="11" t="n">
        <f aca="false">MOD(ROW()-9,24)</f>
        <v>20</v>
      </c>
      <c r="C2141" s="12"/>
      <c r="D2141" s="13" t="n">
        <f aca="false">IF(B2141&lt;5,Einstellungen!$B$3,Einstellungen!$B$4)</f>
        <v>29.13</v>
      </c>
      <c r="E2141" s="14" t="str">
        <f aca="false">IF(C2141="","",C2141*D2141/100)</f>
        <v/>
      </c>
      <c r="F2141" s="15" t="str">
        <f aca="false">IF(B2141&lt;5,"Go","Standard")</f>
        <v>Standard</v>
      </c>
    </row>
    <row r="2142" customFormat="false" ht="15" hidden="false" customHeight="true" outlineLevel="0" collapsed="false">
      <c r="A2142" s="10" t="n">
        <f aca="false">Einstellungen!$B$5+INT((ROW()-9)/24)</f>
        <v>46054</v>
      </c>
      <c r="B2142" s="11" t="n">
        <f aca="false">MOD(ROW()-9,24)</f>
        <v>21</v>
      </c>
      <c r="C2142" s="12"/>
      <c r="D2142" s="13" t="n">
        <f aca="false">IF(B2142&lt;5,Einstellungen!$B$3,Einstellungen!$B$4)</f>
        <v>29.13</v>
      </c>
      <c r="E2142" s="14" t="str">
        <f aca="false">IF(C2142="","",C2142*D2142/100)</f>
        <v/>
      </c>
      <c r="F2142" s="15" t="str">
        <f aca="false">IF(B2142&lt;5,"Go","Standard")</f>
        <v>Standard</v>
      </c>
    </row>
    <row r="2143" customFormat="false" ht="15" hidden="false" customHeight="true" outlineLevel="0" collapsed="false">
      <c r="A2143" s="10" t="n">
        <f aca="false">Einstellungen!$B$5+INT((ROW()-9)/24)</f>
        <v>46054</v>
      </c>
      <c r="B2143" s="11" t="n">
        <f aca="false">MOD(ROW()-9,24)</f>
        <v>22</v>
      </c>
      <c r="C2143" s="12"/>
      <c r="D2143" s="13" t="n">
        <f aca="false">IF(B2143&lt;5,Einstellungen!$B$3,Einstellungen!$B$4)</f>
        <v>29.13</v>
      </c>
      <c r="E2143" s="14" t="str">
        <f aca="false">IF(C2143="","",C2143*D2143/100)</f>
        <v/>
      </c>
      <c r="F2143" s="15" t="str">
        <f aca="false">IF(B2143&lt;5,"Go","Standard")</f>
        <v>Standard</v>
      </c>
    </row>
    <row r="2144" customFormat="false" ht="15" hidden="false" customHeight="true" outlineLevel="0" collapsed="false">
      <c r="A2144" s="10" t="n">
        <f aca="false">Einstellungen!$B$5+INT((ROW()-9)/24)</f>
        <v>46054</v>
      </c>
      <c r="B2144" s="11" t="n">
        <f aca="false">MOD(ROW()-9,24)</f>
        <v>23</v>
      </c>
      <c r="C2144" s="12"/>
      <c r="D2144" s="13" t="n">
        <f aca="false">IF(B2144&lt;5,Einstellungen!$B$3,Einstellungen!$B$4)</f>
        <v>29.13</v>
      </c>
      <c r="E2144" s="14" t="str">
        <f aca="false">IF(C2144="","",C2144*D2144/100)</f>
        <v/>
      </c>
      <c r="F2144" s="15" t="str">
        <f aca="false">IF(B2144&lt;5,"Go","Standard")</f>
        <v>Standard</v>
      </c>
    </row>
    <row r="2145" customFormat="false" ht="15" hidden="false" customHeight="true" outlineLevel="0" collapsed="false">
      <c r="A2145" s="10" t="n">
        <f aca="false">Einstellungen!$B$5+INT((ROW()-9)/24)</f>
        <v>46055</v>
      </c>
      <c r="B2145" s="11" t="n">
        <f aca="false">MOD(ROW()-9,24)</f>
        <v>0</v>
      </c>
      <c r="C2145" s="12"/>
      <c r="D2145" s="13" t="n">
        <f aca="false">IF(B2145&lt;5,Einstellungen!$B$3,Einstellungen!$B$4)</f>
        <v>15.92</v>
      </c>
      <c r="E2145" s="14" t="str">
        <f aca="false">IF(C2145="","",C2145*D2145/100)</f>
        <v/>
      </c>
      <c r="F2145" s="15" t="str">
        <f aca="false">IF(B2145&lt;5,"Go","Standard")</f>
        <v>Go</v>
      </c>
    </row>
    <row r="2146" customFormat="false" ht="15" hidden="false" customHeight="true" outlineLevel="0" collapsed="false">
      <c r="A2146" s="10" t="n">
        <f aca="false">Einstellungen!$B$5+INT((ROW()-9)/24)</f>
        <v>46055</v>
      </c>
      <c r="B2146" s="11" t="n">
        <f aca="false">MOD(ROW()-9,24)</f>
        <v>1</v>
      </c>
      <c r="C2146" s="12"/>
      <c r="D2146" s="13" t="n">
        <f aca="false">IF(B2146&lt;5,Einstellungen!$B$3,Einstellungen!$B$4)</f>
        <v>15.92</v>
      </c>
      <c r="E2146" s="14" t="str">
        <f aca="false">IF(C2146="","",C2146*D2146/100)</f>
        <v/>
      </c>
      <c r="F2146" s="15" t="str">
        <f aca="false">IF(B2146&lt;5,"Go","Standard")</f>
        <v>Go</v>
      </c>
    </row>
    <row r="2147" customFormat="false" ht="15" hidden="false" customHeight="true" outlineLevel="0" collapsed="false">
      <c r="A2147" s="10" t="n">
        <f aca="false">Einstellungen!$B$5+INT((ROW()-9)/24)</f>
        <v>46055</v>
      </c>
      <c r="B2147" s="11" t="n">
        <f aca="false">MOD(ROW()-9,24)</f>
        <v>2</v>
      </c>
      <c r="C2147" s="12"/>
      <c r="D2147" s="13" t="n">
        <f aca="false">IF(B2147&lt;5,Einstellungen!$B$3,Einstellungen!$B$4)</f>
        <v>15.92</v>
      </c>
      <c r="E2147" s="14" t="str">
        <f aca="false">IF(C2147="","",C2147*D2147/100)</f>
        <v/>
      </c>
      <c r="F2147" s="15" t="str">
        <f aca="false">IF(B2147&lt;5,"Go","Standard")</f>
        <v>Go</v>
      </c>
    </row>
    <row r="2148" customFormat="false" ht="15" hidden="false" customHeight="true" outlineLevel="0" collapsed="false">
      <c r="A2148" s="10" t="n">
        <f aca="false">Einstellungen!$B$5+INT((ROW()-9)/24)</f>
        <v>46055</v>
      </c>
      <c r="B2148" s="11" t="n">
        <f aca="false">MOD(ROW()-9,24)</f>
        <v>3</v>
      </c>
      <c r="C2148" s="12"/>
      <c r="D2148" s="13" t="n">
        <f aca="false">IF(B2148&lt;5,Einstellungen!$B$3,Einstellungen!$B$4)</f>
        <v>15.92</v>
      </c>
      <c r="E2148" s="14" t="str">
        <f aca="false">IF(C2148="","",C2148*D2148/100)</f>
        <v/>
      </c>
      <c r="F2148" s="15" t="str">
        <f aca="false">IF(B2148&lt;5,"Go","Standard")</f>
        <v>Go</v>
      </c>
    </row>
    <row r="2149" customFormat="false" ht="15" hidden="false" customHeight="true" outlineLevel="0" collapsed="false">
      <c r="A2149" s="10" t="n">
        <f aca="false">Einstellungen!$B$5+INT((ROW()-9)/24)</f>
        <v>46055</v>
      </c>
      <c r="B2149" s="11" t="n">
        <f aca="false">MOD(ROW()-9,24)</f>
        <v>4</v>
      </c>
      <c r="C2149" s="12"/>
      <c r="D2149" s="13" t="n">
        <f aca="false">IF(B2149&lt;5,Einstellungen!$B$3,Einstellungen!$B$4)</f>
        <v>15.92</v>
      </c>
      <c r="E2149" s="14" t="str">
        <f aca="false">IF(C2149="","",C2149*D2149/100)</f>
        <v/>
      </c>
      <c r="F2149" s="15" t="str">
        <f aca="false">IF(B2149&lt;5,"Go","Standard")</f>
        <v>Go</v>
      </c>
    </row>
    <row r="2150" customFormat="false" ht="15" hidden="false" customHeight="true" outlineLevel="0" collapsed="false">
      <c r="A2150" s="10" t="n">
        <f aca="false">Einstellungen!$B$5+INT((ROW()-9)/24)</f>
        <v>46055</v>
      </c>
      <c r="B2150" s="11" t="n">
        <f aca="false">MOD(ROW()-9,24)</f>
        <v>5</v>
      </c>
      <c r="C2150" s="12"/>
      <c r="D2150" s="13" t="n">
        <f aca="false">IF(B2150&lt;5,Einstellungen!$B$3,Einstellungen!$B$4)</f>
        <v>29.13</v>
      </c>
      <c r="E2150" s="14" t="str">
        <f aca="false">IF(C2150="","",C2150*D2150/100)</f>
        <v/>
      </c>
      <c r="F2150" s="15" t="str">
        <f aca="false">IF(B2150&lt;5,"Go","Standard")</f>
        <v>Standard</v>
      </c>
    </row>
    <row r="2151" customFormat="false" ht="15" hidden="false" customHeight="true" outlineLevel="0" collapsed="false">
      <c r="A2151" s="10" t="n">
        <f aca="false">Einstellungen!$B$5+INT((ROW()-9)/24)</f>
        <v>46055</v>
      </c>
      <c r="B2151" s="11" t="n">
        <f aca="false">MOD(ROW()-9,24)</f>
        <v>6</v>
      </c>
      <c r="C2151" s="12"/>
      <c r="D2151" s="13" t="n">
        <f aca="false">IF(B2151&lt;5,Einstellungen!$B$3,Einstellungen!$B$4)</f>
        <v>29.13</v>
      </c>
      <c r="E2151" s="14" t="str">
        <f aca="false">IF(C2151="","",C2151*D2151/100)</f>
        <v/>
      </c>
      <c r="F2151" s="15" t="str">
        <f aca="false">IF(B2151&lt;5,"Go","Standard")</f>
        <v>Standard</v>
      </c>
    </row>
    <row r="2152" customFormat="false" ht="15" hidden="false" customHeight="true" outlineLevel="0" collapsed="false">
      <c r="A2152" s="10" t="n">
        <f aca="false">Einstellungen!$B$5+INT((ROW()-9)/24)</f>
        <v>46055</v>
      </c>
      <c r="B2152" s="11" t="n">
        <f aca="false">MOD(ROW()-9,24)</f>
        <v>7</v>
      </c>
      <c r="C2152" s="12"/>
      <c r="D2152" s="13" t="n">
        <f aca="false">IF(B2152&lt;5,Einstellungen!$B$3,Einstellungen!$B$4)</f>
        <v>29.13</v>
      </c>
      <c r="E2152" s="14" t="str">
        <f aca="false">IF(C2152="","",C2152*D2152/100)</f>
        <v/>
      </c>
      <c r="F2152" s="15" t="str">
        <f aca="false">IF(B2152&lt;5,"Go","Standard")</f>
        <v>Standard</v>
      </c>
    </row>
    <row r="2153" customFormat="false" ht="15" hidden="false" customHeight="true" outlineLevel="0" collapsed="false">
      <c r="A2153" s="10" t="n">
        <f aca="false">Einstellungen!$B$5+INT((ROW()-9)/24)</f>
        <v>46055</v>
      </c>
      <c r="B2153" s="11" t="n">
        <f aca="false">MOD(ROW()-9,24)</f>
        <v>8</v>
      </c>
      <c r="C2153" s="12"/>
      <c r="D2153" s="13" t="n">
        <f aca="false">IF(B2153&lt;5,Einstellungen!$B$3,Einstellungen!$B$4)</f>
        <v>29.13</v>
      </c>
      <c r="E2153" s="14" t="str">
        <f aca="false">IF(C2153="","",C2153*D2153/100)</f>
        <v/>
      </c>
      <c r="F2153" s="15" t="str">
        <f aca="false">IF(B2153&lt;5,"Go","Standard")</f>
        <v>Standard</v>
      </c>
    </row>
    <row r="2154" customFormat="false" ht="15" hidden="false" customHeight="true" outlineLevel="0" collapsed="false">
      <c r="A2154" s="10" t="n">
        <f aca="false">Einstellungen!$B$5+INT((ROW()-9)/24)</f>
        <v>46055</v>
      </c>
      <c r="B2154" s="11" t="n">
        <f aca="false">MOD(ROW()-9,24)</f>
        <v>9</v>
      </c>
      <c r="C2154" s="12"/>
      <c r="D2154" s="13" t="n">
        <f aca="false">IF(B2154&lt;5,Einstellungen!$B$3,Einstellungen!$B$4)</f>
        <v>29.13</v>
      </c>
      <c r="E2154" s="14" t="str">
        <f aca="false">IF(C2154="","",C2154*D2154/100)</f>
        <v/>
      </c>
      <c r="F2154" s="15" t="str">
        <f aca="false">IF(B2154&lt;5,"Go","Standard")</f>
        <v>Standard</v>
      </c>
    </row>
    <row r="2155" customFormat="false" ht="15" hidden="false" customHeight="true" outlineLevel="0" collapsed="false">
      <c r="A2155" s="10" t="n">
        <f aca="false">Einstellungen!$B$5+INT((ROW()-9)/24)</f>
        <v>46055</v>
      </c>
      <c r="B2155" s="11" t="n">
        <f aca="false">MOD(ROW()-9,24)</f>
        <v>10</v>
      </c>
      <c r="C2155" s="12"/>
      <c r="D2155" s="13" t="n">
        <f aca="false">IF(B2155&lt;5,Einstellungen!$B$3,Einstellungen!$B$4)</f>
        <v>29.13</v>
      </c>
      <c r="E2155" s="14" t="str">
        <f aca="false">IF(C2155="","",C2155*D2155/100)</f>
        <v/>
      </c>
      <c r="F2155" s="15" t="str">
        <f aca="false">IF(B2155&lt;5,"Go","Standard")</f>
        <v>Standard</v>
      </c>
    </row>
    <row r="2156" customFormat="false" ht="15" hidden="false" customHeight="true" outlineLevel="0" collapsed="false">
      <c r="A2156" s="10" t="n">
        <f aca="false">Einstellungen!$B$5+INT((ROW()-9)/24)</f>
        <v>46055</v>
      </c>
      <c r="B2156" s="11" t="n">
        <f aca="false">MOD(ROW()-9,24)</f>
        <v>11</v>
      </c>
      <c r="C2156" s="12"/>
      <c r="D2156" s="13" t="n">
        <f aca="false">IF(B2156&lt;5,Einstellungen!$B$3,Einstellungen!$B$4)</f>
        <v>29.13</v>
      </c>
      <c r="E2156" s="14" t="str">
        <f aca="false">IF(C2156="","",C2156*D2156/100)</f>
        <v/>
      </c>
      <c r="F2156" s="15" t="str">
        <f aca="false">IF(B2156&lt;5,"Go","Standard")</f>
        <v>Standard</v>
      </c>
    </row>
    <row r="2157" customFormat="false" ht="15" hidden="false" customHeight="true" outlineLevel="0" collapsed="false">
      <c r="A2157" s="10" t="n">
        <f aca="false">Einstellungen!$B$5+INT((ROW()-9)/24)</f>
        <v>46055</v>
      </c>
      <c r="B2157" s="11" t="n">
        <f aca="false">MOD(ROW()-9,24)</f>
        <v>12</v>
      </c>
      <c r="C2157" s="12"/>
      <c r="D2157" s="13" t="n">
        <f aca="false">IF(B2157&lt;5,Einstellungen!$B$3,Einstellungen!$B$4)</f>
        <v>29.13</v>
      </c>
      <c r="E2157" s="14" t="str">
        <f aca="false">IF(C2157="","",C2157*D2157/100)</f>
        <v/>
      </c>
      <c r="F2157" s="15" t="str">
        <f aca="false">IF(B2157&lt;5,"Go","Standard")</f>
        <v>Standard</v>
      </c>
    </row>
    <row r="2158" customFormat="false" ht="15" hidden="false" customHeight="true" outlineLevel="0" collapsed="false">
      <c r="A2158" s="10" t="n">
        <f aca="false">Einstellungen!$B$5+INT((ROW()-9)/24)</f>
        <v>46055</v>
      </c>
      <c r="B2158" s="11" t="n">
        <f aca="false">MOD(ROW()-9,24)</f>
        <v>13</v>
      </c>
      <c r="C2158" s="12"/>
      <c r="D2158" s="13" t="n">
        <f aca="false">IF(B2158&lt;5,Einstellungen!$B$3,Einstellungen!$B$4)</f>
        <v>29.13</v>
      </c>
      <c r="E2158" s="14" t="str">
        <f aca="false">IF(C2158="","",C2158*D2158/100)</f>
        <v/>
      </c>
      <c r="F2158" s="15" t="str">
        <f aca="false">IF(B2158&lt;5,"Go","Standard")</f>
        <v>Standard</v>
      </c>
    </row>
    <row r="2159" customFormat="false" ht="15" hidden="false" customHeight="true" outlineLevel="0" collapsed="false">
      <c r="A2159" s="10" t="n">
        <f aca="false">Einstellungen!$B$5+INT((ROW()-9)/24)</f>
        <v>46055</v>
      </c>
      <c r="B2159" s="11" t="n">
        <f aca="false">MOD(ROW()-9,24)</f>
        <v>14</v>
      </c>
      <c r="C2159" s="12"/>
      <c r="D2159" s="13" t="n">
        <f aca="false">IF(B2159&lt;5,Einstellungen!$B$3,Einstellungen!$B$4)</f>
        <v>29.13</v>
      </c>
      <c r="E2159" s="14" t="str">
        <f aca="false">IF(C2159="","",C2159*D2159/100)</f>
        <v/>
      </c>
      <c r="F2159" s="15" t="str">
        <f aca="false">IF(B2159&lt;5,"Go","Standard")</f>
        <v>Standard</v>
      </c>
    </row>
    <row r="2160" customFormat="false" ht="15" hidden="false" customHeight="true" outlineLevel="0" collapsed="false">
      <c r="A2160" s="10" t="n">
        <f aca="false">Einstellungen!$B$5+INT((ROW()-9)/24)</f>
        <v>46055</v>
      </c>
      <c r="B2160" s="11" t="n">
        <f aca="false">MOD(ROW()-9,24)</f>
        <v>15</v>
      </c>
      <c r="C2160" s="12"/>
      <c r="D2160" s="13" t="n">
        <f aca="false">IF(B2160&lt;5,Einstellungen!$B$3,Einstellungen!$B$4)</f>
        <v>29.13</v>
      </c>
      <c r="E2160" s="14" t="str">
        <f aca="false">IF(C2160="","",C2160*D2160/100)</f>
        <v/>
      </c>
      <c r="F2160" s="15" t="str">
        <f aca="false">IF(B2160&lt;5,"Go","Standard")</f>
        <v>Standard</v>
      </c>
    </row>
    <row r="2161" customFormat="false" ht="15" hidden="false" customHeight="true" outlineLevel="0" collapsed="false">
      <c r="A2161" s="10" t="n">
        <f aca="false">Einstellungen!$B$5+INT((ROW()-9)/24)</f>
        <v>46055</v>
      </c>
      <c r="B2161" s="11" t="n">
        <f aca="false">MOD(ROW()-9,24)</f>
        <v>16</v>
      </c>
      <c r="C2161" s="12"/>
      <c r="D2161" s="13" t="n">
        <f aca="false">IF(B2161&lt;5,Einstellungen!$B$3,Einstellungen!$B$4)</f>
        <v>29.13</v>
      </c>
      <c r="E2161" s="14" t="str">
        <f aca="false">IF(C2161="","",C2161*D2161/100)</f>
        <v/>
      </c>
      <c r="F2161" s="15" t="str">
        <f aca="false">IF(B2161&lt;5,"Go","Standard")</f>
        <v>Standard</v>
      </c>
    </row>
    <row r="2162" customFormat="false" ht="15" hidden="false" customHeight="true" outlineLevel="0" collapsed="false">
      <c r="A2162" s="10" t="n">
        <f aca="false">Einstellungen!$B$5+INT((ROW()-9)/24)</f>
        <v>46055</v>
      </c>
      <c r="B2162" s="11" t="n">
        <f aca="false">MOD(ROW()-9,24)</f>
        <v>17</v>
      </c>
      <c r="C2162" s="12"/>
      <c r="D2162" s="13" t="n">
        <f aca="false">IF(B2162&lt;5,Einstellungen!$B$3,Einstellungen!$B$4)</f>
        <v>29.13</v>
      </c>
      <c r="E2162" s="14" t="str">
        <f aca="false">IF(C2162="","",C2162*D2162/100)</f>
        <v/>
      </c>
      <c r="F2162" s="15" t="str">
        <f aca="false">IF(B2162&lt;5,"Go","Standard")</f>
        <v>Standard</v>
      </c>
    </row>
    <row r="2163" customFormat="false" ht="15" hidden="false" customHeight="true" outlineLevel="0" collapsed="false">
      <c r="A2163" s="10" t="n">
        <f aca="false">Einstellungen!$B$5+INT((ROW()-9)/24)</f>
        <v>46055</v>
      </c>
      <c r="B2163" s="11" t="n">
        <f aca="false">MOD(ROW()-9,24)</f>
        <v>18</v>
      </c>
      <c r="C2163" s="12"/>
      <c r="D2163" s="13" t="n">
        <f aca="false">IF(B2163&lt;5,Einstellungen!$B$3,Einstellungen!$B$4)</f>
        <v>29.13</v>
      </c>
      <c r="E2163" s="14" t="str">
        <f aca="false">IF(C2163="","",C2163*D2163/100)</f>
        <v/>
      </c>
      <c r="F2163" s="15" t="str">
        <f aca="false">IF(B2163&lt;5,"Go","Standard")</f>
        <v>Standard</v>
      </c>
    </row>
    <row r="2164" customFormat="false" ht="15" hidden="false" customHeight="true" outlineLevel="0" collapsed="false">
      <c r="A2164" s="10" t="n">
        <f aca="false">Einstellungen!$B$5+INT((ROW()-9)/24)</f>
        <v>46055</v>
      </c>
      <c r="B2164" s="11" t="n">
        <f aca="false">MOD(ROW()-9,24)</f>
        <v>19</v>
      </c>
      <c r="C2164" s="12"/>
      <c r="D2164" s="13" t="n">
        <f aca="false">IF(B2164&lt;5,Einstellungen!$B$3,Einstellungen!$B$4)</f>
        <v>29.13</v>
      </c>
      <c r="E2164" s="14" t="str">
        <f aca="false">IF(C2164="","",C2164*D2164/100)</f>
        <v/>
      </c>
      <c r="F2164" s="15" t="str">
        <f aca="false">IF(B2164&lt;5,"Go","Standard")</f>
        <v>Standard</v>
      </c>
    </row>
    <row r="2165" customFormat="false" ht="15" hidden="false" customHeight="true" outlineLevel="0" collapsed="false">
      <c r="A2165" s="10" t="n">
        <f aca="false">Einstellungen!$B$5+INT((ROW()-9)/24)</f>
        <v>46055</v>
      </c>
      <c r="B2165" s="11" t="n">
        <f aca="false">MOD(ROW()-9,24)</f>
        <v>20</v>
      </c>
      <c r="C2165" s="12"/>
      <c r="D2165" s="13" t="n">
        <f aca="false">IF(B2165&lt;5,Einstellungen!$B$3,Einstellungen!$B$4)</f>
        <v>29.13</v>
      </c>
      <c r="E2165" s="14" t="str">
        <f aca="false">IF(C2165="","",C2165*D2165/100)</f>
        <v/>
      </c>
      <c r="F2165" s="15" t="str">
        <f aca="false">IF(B2165&lt;5,"Go","Standard")</f>
        <v>Standard</v>
      </c>
    </row>
    <row r="2166" customFormat="false" ht="15" hidden="false" customHeight="true" outlineLevel="0" collapsed="false">
      <c r="A2166" s="10" t="n">
        <f aca="false">Einstellungen!$B$5+INT((ROW()-9)/24)</f>
        <v>46055</v>
      </c>
      <c r="B2166" s="11" t="n">
        <f aca="false">MOD(ROW()-9,24)</f>
        <v>21</v>
      </c>
      <c r="C2166" s="12"/>
      <c r="D2166" s="13" t="n">
        <f aca="false">IF(B2166&lt;5,Einstellungen!$B$3,Einstellungen!$B$4)</f>
        <v>29.13</v>
      </c>
      <c r="E2166" s="14" t="str">
        <f aca="false">IF(C2166="","",C2166*D2166/100)</f>
        <v/>
      </c>
      <c r="F2166" s="15" t="str">
        <f aca="false">IF(B2166&lt;5,"Go","Standard")</f>
        <v>Standard</v>
      </c>
    </row>
    <row r="2167" customFormat="false" ht="15" hidden="false" customHeight="true" outlineLevel="0" collapsed="false">
      <c r="A2167" s="10" t="n">
        <f aca="false">Einstellungen!$B$5+INT((ROW()-9)/24)</f>
        <v>46055</v>
      </c>
      <c r="B2167" s="11" t="n">
        <f aca="false">MOD(ROW()-9,24)</f>
        <v>22</v>
      </c>
      <c r="C2167" s="12"/>
      <c r="D2167" s="13" t="n">
        <f aca="false">IF(B2167&lt;5,Einstellungen!$B$3,Einstellungen!$B$4)</f>
        <v>29.13</v>
      </c>
      <c r="E2167" s="14" t="str">
        <f aca="false">IF(C2167="","",C2167*D2167/100)</f>
        <v/>
      </c>
      <c r="F2167" s="15" t="str">
        <f aca="false">IF(B2167&lt;5,"Go","Standard")</f>
        <v>Standard</v>
      </c>
    </row>
    <row r="2168" customFormat="false" ht="15" hidden="false" customHeight="true" outlineLevel="0" collapsed="false">
      <c r="A2168" s="10" t="n">
        <f aca="false">Einstellungen!$B$5+INT((ROW()-9)/24)</f>
        <v>46055</v>
      </c>
      <c r="B2168" s="11" t="n">
        <f aca="false">MOD(ROW()-9,24)</f>
        <v>23</v>
      </c>
      <c r="C2168" s="12"/>
      <c r="D2168" s="13" t="n">
        <f aca="false">IF(B2168&lt;5,Einstellungen!$B$3,Einstellungen!$B$4)</f>
        <v>29.13</v>
      </c>
      <c r="E2168" s="14" t="str">
        <f aca="false">IF(C2168="","",C2168*D2168/100)</f>
        <v/>
      </c>
      <c r="F2168" s="15" t="str">
        <f aca="false">IF(B2168&lt;5,"Go","Standard")</f>
        <v>Standard</v>
      </c>
    </row>
    <row r="2169" customFormat="false" ht="15" hidden="false" customHeight="true" outlineLevel="0" collapsed="false">
      <c r="A2169" s="10" t="n">
        <f aca="false">Einstellungen!$B$5+INT((ROW()-9)/24)</f>
        <v>46056</v>
      </c>
      <c r="B2169" s="11" t="n">
        <f aca="false">MOD(ROW()-9,24)</f>
        <v>0</v>
      </c>
      <c r="C2169" s="12"/>
      <c r="D2169" s="13" t="n">
        <f aca="false">IF(B2169&lt;5,Einstellungen!$B$3,Einstellungen!$B$4)</f>
        <v>15.92</v>
      </c>
      <c r="E2169" s="14" t="str">
        <f aca="false">IF(C2169="","",C2169*D2169/100)</f>
        <v/>
      </c>
      <c r="F2169" s="15" t="str">
        <f aca="false">IF(B2169&lt;5,"Go","Standard")</f>
        <v>Go</v>
      </c>
    </row>
    <row r="2170" customFormat="false" ht="15" hidden="false" customHeight="true" outlineLevel="0" collapsed="false">
      <c r="A2170" s="10" t="n">
        <f aca="false">Einstellungen!$B$5+INT((ROW()-9)/24)</f>
        <v>46056</v>
      </c>
      <c r="B2170" s="11" t="n">
        <f aca="false">MOD(ROW()-9,24)</f>
        <v>1</v>
      </c>
      <c r="C2170" s="12"/>
      <c r="D2170" s="13" t="n">
        <f aca="false">IF(B2170&lt;5,Einstellungen!$B$3,Einstellungen!$B$4)</f>
        <v>15.92</v>
      </c>
      <c r="E2170" s="14" t="str">
        <f aca="false">IF(C2170="","",C2170*D2170/100)</f>
        <v/>
      </c>
      <c r="F2170" s="15" t="str">
        <f aca="false">IF(B2170&lt;5,"Go","Standard")</f>
        <v>Go</v>
      </c>
    </row>
    <row r="2171" customFormat="false" ht="15" hidden="false" customHeight="true" outlineLevel="0" collapsed="false">
      <c r="A2171" s="10" t="n">
        <f aca="false">Einstellungen!$B$5+INT((ROW()-9)/24)</f>
        <v>46056</v>
      </c>
      <c r="B2171" s="11" t="n">
        <f aca="false">MOD(ROW()-9,24)</f>
        <v>2</v>
      </c>
      <c r="C2171" s="12"/>
      <c r="D2171" s="13" t="n">
        <f aca="false">IF(B2171&lt;5,Einstellungen!$B$3,Einstellungen!$B$4)</f>
        <v>15.92</v>
      </c>
      <c r="E2171" s="14" t="str">
        <f aca="false">IF(C2171="","",C2171*D2171/100)</f>
        <v/>
      </c>
      <c r="F2171" s="15" t="str">
        <f aca="false">IF(B2171&lt;5,"Go","Standard")</f>
        <v>Go</v>
      </c>
    </row>
    <row r="2172" customFormat="false" ht="15" hidden="false" customHeight="true" outlineLevel="0" collapsed="false">
      <c r="A2172" s="10" t="n">
        <f aca="false">Einstellungen!$B$5+INT((ROW()-9)/24)</f>
        <v>46056</v>
      </c>
      <c r="B2172" s="11" t="n">
        <f aca="false">MOD(ROW()-9,24)</f>
        <v>3</v>
      </c>
      <c r="C2172" s="12"/>
      <c r="D2172" s="13" t="n">
        <f aca="false">IF(B2172&lt;5,Einstellungen!$B$3,Einstellungen!$B$4)</f>
        <v>15.92</v>
      </c>
      <c r="E2172" s="14" t="str">
        <f aca="false">IF(C2172="","",C2172*D2172/100)</f>
        <v/>
      </c>
      <c r="F2172" s="15" t="str">
        <f aca="false">IF(B2172&lt;5,"Go","Standard")</f>
        <v>Go</v>
      </c>
    </row>
    <row r="2173" customFormat="false" ht="15" hidden="false" customHeight="true" outlineLevel="0" collapsed="false">
      <c r="A2173" s="10" t="n">
        <f aca="false">Einstellungen!$B$5+INT((ROW()-9)/24)</f>
        <v>46056</v>
      </c>
      <c r="B2173" s="11" t="n">
        <f aca="false">MOD(ROW()-9,24)</f>
        <v>4</v>
      </c>
      <c r="C2173" s="12"/>
      <c r="D2173" s="13" t="n">
        <f aca="false">IF(B2173&lt;5,Einstellungen!$B$3,Einstellungen!$B$4)</f>
        <v>15.92</v>
      </c>
      <c r="E2173" s="14" t="str">
        <f aca="false">IF(C2173="","",C2173*D2173/100)</f>
        <v/>
      </c>
      <c r="F2173" s="15" t="str">
        <f aca="false">IF(B2173&lt;5,"Go","Standard")</f>
        <v>Go</v>
      </c>
    </row>
    <row r="2174" customFormat="false" ht="15" hidden="false" customHeight="true" outlineLevel="0" collapsed="false">
      <c r="A2174" s="10" t="n">
        <f aca="false">Einstellungen!$B$5+INT((ROW()-9)/24)</f>
        <v>46056</v>
      </c>
      <c r="B2174" s="11" t="n">
        <f aca="false">MOD(ROW()-9,24)</f>
        <v>5</v>
      </c>
      <c r="C2174" s="12"/>
      <c r="D2174" s="13" t="n">
        <f aca="false">IF(B2174&lt;5,Einstellungen!$B$3,Einstellungen!$B$4)</f>
        <v>29.13</v>
      </c>
      <c r="E2174" s="14" t="str">
        <f aca="false">IF(C2174="","",C2174*D2174/100)</f>
        <v/>
      </c>
      <c r="F2174" s="15" t="str">
        <f aca="false">IF(B2174&lt;5,"Go","Standard")</f>
        <v>Standard</v>
      </c>
    </row>
    <row r="2175" customFormat="false" ht="15" hidden="false" customHeight="true" outlineLevel="0" collapsed="false">
      <c r="A2175" s="10" t="n">
        <f aca="false">Einstellungen!$B$5+INT((ROW()-9)/24)</f>
        <v>46056</v>
      </c>
      <c r="B2175" s="11" t="n">
        <f aca="false">MOD(ROW()-9,24)</f>
        <v>6</v>
      </c>
      <c r="C2175" s="12"/>
      <c r="D2175" s="13" t="n">
        <f aca="false">IF(B2175&lt;5,Einstellungen!$B$3,Einstellungen!$B$4)</f>
        <v>29.13</v>
      </c>
      <c r="E2175" s="14" t="str">
        <f aca="false">IF(C2175="","",C2175*D2175/100)</f>
        <v/>
      </c>
      <c r="F2175" s="15" t="str">
        <f aca="false">IF(B2175&lt;5,"Go","Standard")</f>
        <v>Standard</v>
      </c>
    </row>
    <row r="2176" customFormat="false" ht="15" hidden="false" customHeight="true" outlineLevel="0" collapsed="false">
      <c r="A2176" s="10" t="n">
        <f aca="false">Einstellungen!$B$5+INT((ROW()-9)/24)</f>
        <v>46056</v>
      </c>
      <c r="B2176" s="11" t="n">
        <f aca="false">MOD(ROW()-9,24)</f>
        <v>7</v>
      </c>
      <c r="C2176" s="12"/>
      <c r="D2176" s="13" t="n">
        <f aca="false">IF(B2176&lt;5,Einstellungen!$B$3,Einstellungen!$B$4)</f>
        <v>29.13</v>
      </c>
      <c r="E2176" s="14" t="str">
        <f aca="false">IF(C2176="","",C2176*D2176/100)</f>
        <v/>
      </c>
      <c r="F2176" s="15" t="str">
        <f aca="false">IF(B2176&lt;5,"Go","Standard")</f>
        <v>Standard</v>
      </c>
    </row>
    <row r="2177" customFormat="false" ht="15" hidden="false" customHeight="true" outlineLevel="0" collapsed="false">
      <c r="A2177" s="10" t="n">
        <f aca="false">Einstellungen!$B$5+INT((ROW()-9)/24)</f>
        <v>46056</v>
      </c>
      <c r="B2177" s="11" t="n">
        <f aca="false">MOD(ROW()-9,24)</f>
        <v>8</v>
      </c>
      <c r="C2177" s="12"/>
      <c r="D2177" s="13" t="n">
        <f aca="false">IF(B2177&lt;5,Einstellungen!$B$3,Einstellungen!$B$4)</f>
        <v>29.13</v>
      </c>
      <c r="E2177" s="14" t="str">
        <f aca="false">IF(C2177="","",C2177*D2177/100)</f>
        <v/>
      </c>
      <c r="F2177" s="15" t="str">
        <f aca="false">IF(B2177&lt;5,"Go","Standard")</f>
        <v>Standard</v>
      </c>
    </row>
    <row r="2178" customFormat="false" ht="15" hidden="false" customHeight="true" outlineLevel="0" collapsed="false">
      <c r="A2178" s="10" t="n">
        <f aca="false">Einstellungen!$B$5+INT((ROW()-9)/24)</f>
        <v>46056</v>
      </c>
      <c r="B2178" s="11" t="n">
        <f aca="false">MOD(ROW()-9,24)</f>
        <v>9</v>
      </c>
      <c r="C2178" s="12"/>
      <c r="D2178" s="13" t="n">
        <f aca="false">IF(B2178&lt;5,Einstellungen!$B$3,Einstellungen!$B$4)</f>
        <v>29.13</v>
      </c>
      <c r="E2178" s="14" t="str">
        <f aca="false">IF(C2178="","",C2178*D2178/100)</f>
        <v/>
      </c>
      <c r="F2178" s="15" t="str">
        <f aca="false">IF(B2178&lt;5,"Go","Standard")</f>
        <v>Standard</v>
      </c>
    </row>
    <row r="2179" customFormat="false" ht="15" hidden="false" customHeight="true" outlineLevel="0" collapsed="false">
      <c r="A2179" s="10" t="n">
        <f aca="false">Einstellungen!$B$5+INT((ROW()-9)/24)</f>
        <v>46056</v>
      </c>
      <c r="B2179" s="11" t="n">
        <f aca="false">MOD(ROW()-9,24)</f>
        <v>10</v>
      </c>
      <c r="C2179" s="12"/>
      <c r="D2179" s="13" t="n">
        <f aca="false">IF(B2179&lt;5,Einstellungen!$B$3,Einstellungen!$B$4)</f>
        <v>29.13</v>
      </c>
      <c r="E2179" s="14" t="str">
        <f aca="false">IF(C2179="","",C2179*D2179/100)</f>
        <v/>
      </c>
      <c r="F2179" s="15" t="str">
        <f aca="false">IF(B2179&lt;5,"Go","Standard")</f>
        <v>Standard</v>
      </c>
    </row>
    <row r="2180" customFormat="false" ht="15" hidden="false" customHeight="true" outlineLevel="0" collapsed="false">
      <c r="A2180" s="10" t="n">
        <f aca="false">Einstellungen!$B$5+INT((ROW()-9)/24)</f>
        <v>46056</v>
      </c>
      <c r="B2180" s="11" t="n">
        <f aca="false">MOD(ROW()-9,24)</f>
        <v>11</v>
      </c>
      <c r="C2180" s="12"/>
      <c r="D2180" s="13" t="n">
        <f aca="false">IF(B2180&lt;5,Einstellungen!$B$3,Einstellungen!$B$4)</f>
        <v>29.13</v>
      </c>
      <c r="E2180" s="14" t="str">
        <f aca="false">IF(C2180="","",C2180*D2180/100)</f>
        <v/>
      </c>
      <c r="F2180" s="15" t="str">
        <f aca="false">IF(B2180&lt;5,"Go","Standard")</f>
        <v>Standard</v>
      </c>
    </row>
    <row r="2181" customFormat="false" ht="15" hidden="false" customHeight="true" outlineLevel="0" collapsed="false">
      <c r="A2181" s="10" t="n">
        <f aca="false">Einstellungen!$B$5+INT((ROW()-9)/24)</f>
        <v>46056</v>
      </c>
      <c r="B2181" s="11" t="n">
        <f aca="false">MOD(ROW()-9,24)</f>
        <v>12</v>
      </c>
      <c r="C2181" s="12"/>
      <c r="D2181" s="13" t="n">
        <f aca="false">IF(B2181&lt;5,Einstellungen!$B$3,Einstellungen!$B$4)</f>
        <v>29.13</v>
      </c>
      <c r="E2181" s="14" t="str">
        <f aca="false">IF(C2181="","",C2181*D2181/100)</f>
        <v/>
      </c>
      <c r="F2181" s="15" t="str">
        <f aca="false">IF(B2181&lt;5,"Go","Standard")</f>
        <v>Standard</v>
      </c>
    </row>
    <row r="2182" customFormat="false" ht="15" hidden="false" customHeight="true" outlineLevel="0" collapsed="false">
      <c r="A2182" s="10" t="n">
        <f aca="false">Einstellungen!$B$5+INT((ROW()-9)/24)</f>
        <v>46056</v>
      </c>
      <c r="B2182" s="11" t="n">
        <f aca="false">MOD(ROW()-9,24)</f>
        <v>13</v>
      </c>
      <c r="C2182" s="12"/>
      <c r="D2182" s="13" t="n">
        <f aca="false">IF(B2182&lt;5,Einstellungen!$B$3,Einstellungen!$B$4)</f>
        <v>29.13</v>
      </c>
      <c r="E2182" s="14" t="str">
        <f aca="false">IF(C2182="","",C2182*D2182/100)</f>
        <v/>
      </c>
      <c r="F2182" s="15" t="str">
        <f aca="false">IF(B2182&lt;5,"Go","Standard")</f>
        <v>Standard</v>
      </c>
    </row>
    <row r="2183" customFormat="false" ht="15" hidden="false" customHeight="true" outlineLevel="0" collapsed="false">
      <c r="A2183" s="10" t="n">
        <f aca="false">Einstellungen!$B$5+INT((ROW()-9)/24)</f>
        <v>46056</v>
      </c>
      <c r="B2183" s="11" t="n">
        <f aca="false">MOD(ROW()-9,24)</f>
        <v>14</v>
      </c>
      <c r="C2183" s="12"/>
      <c r="D2183" s="13" t="n">
        <f aca="false">IF(B2183&lt;5,Einstellungen!$B$3,Einstellungen!$B$4)</f>
        <v>29.13</v>
      </c>
      <c r="E2183" s="14" t="str">
        <f aca="false">IF(C2183="","",C2183*D2183/100)</f>
        <v/>
      </c>
      <c r="F2183" s="15" t="str">
        <f aca="false">IF(B2183&lt;5,"Go","Standard")</f>
        <v>Standard</v>
      </c>
    </row>
    <row r="2184" customFormat="false" ht="15" hidden="false" customHeight="true" outlineLevel="0" collapsed="false">
      <c r="A2184" s="10" t="n">
        <f aca="false">Einstellungen!$B$5+INT((ROW()-9)/24)</f>
        <v>46056</v>
      </c>
      <c r="B2184" s="11" t="n">
        <f aca="false">MOD(ROW()-9,24)</f>
        <v>15</v>
      </c>
      <c r="C2184" s="12"/>
      <c r="D2184" s="13" t="n">
        <f aca="false">IF(B2184&lt;5,Einstellungen!$B$3,Einstellungen!$B$4)</f>
        <v>29.13</v>
      </c>
      <c r="E2184" s="14" t="str">
        <f aca="false">IF(C2184="","",C2184*D2184/100)</f>
        <v/>
      </c>
      <c r="F2184" s="15" t="str">
        <f aca="false">IF(B2184&lt;5,"Go","Standard")</f>
        <v>Standard</v>
      </c>
    </row>
    <row r="2185" customFormat="false" ht="15" hidden="false" customHeight="true" outlineLevel="0" collapsed="false">
      <c r="A2185" s="10" t="n">
        <f aca="false">Einstellungen!$B$5+INT((ROW()-9)/24)</f>
        <v>46056</v>
      </c>
      <c r="B2185" s="11" t="n">
        <f aca="false">MOD(ROW()-9,24)</f>
        <v>16</v>
      </c>
      <c r="C2185" s="12"/>
      <c r="D2185" s="13" t="n">
        <f aca="false">IF(B2185&lt;5,Einstellungen!$B$3,Einstellungen!$B$4)</f>
        <v>29.13</v>
      </c>
      <c r="E2185" s="14" t="str">
        <f aca="false">IF(C2185="","",C2185*D2185/100)</f>
        <v/>
      </c>
      <c r="F2185" s="15" t="str">
        <f aca="false">IF(B2185&lt;5,"Go","Standard")</f>
        <v>Standard</v>
      </c>
    </row>
    <row r="2186" customFormat="false" ht="15" hidden="false" customHeight="true" outlineLevel="0" collapsed="false">
      <c r="A2186" s="10" t="n">
        <f aca="false">Einstellungen!$B$5+INT((ROW()-9)/24)</f>
        <v>46056</v>
      </c>
      <c r="B2186" s="11" t="n">
        <f aca="false">MOD(ROW()-9,24)</f>
        <v>17</v>
      </c>
      <c r="C2186" s="12"/>
      <c r="D2186" s="13" t="n">
        <f aca="false">IF(B2186&lt;5,Einstellungen!$B$3,Einstellungen!$B$4)</f>
        <v>29.13</v>
      </c>
      <c r="E2186" s="14" t="str">
        <f aca="false">IF(C2186="","",C2186*D2186/100)</f>
        <v/>
      </c>
      <c r="F2186" s="15" t="str">
        <f aca="false">IF(B2186&lt;5,"Go","Standard")</f>
        <v>Standard</v>
      </c>
    </row>
    <row r="2187" customFormat="false" ht="15" hidden="false" customHeight="true" outlineLevel="0" collapsed="false">
      <c r="A2187" s="10" t="n">
        <f aca="false">Einstellungen!$B$5+INT((ROW()-9)/24)</f>
        <v>46056</v>
      </c>
      <c r="B2187" s="11" t="n">
        <f aca="false">MOD(ROW()-9,24)</f>
        <v>18</v>
      </c>
      <c r="C2187" s="12"/>
      <c r="D2187" s="13" t="n">
        <f aca="false">IF(B2187&lt;5,Einstellungen!$B$3,Einstellungen!$B$4)</f>
        <v>29.13</v>
      </c>
      <c r="E2187" s="14" t="str">
        <f aca="false">IF(C2187="","",C2187*D2187/100)</f>
        <v/>
      </c>
      <c r="F2187" s="15" t="str">
        <f aca="false">IF(B2187&lt;5,"Go","Standard")</f>
        <v>Standard</v>
      </c>
    </row>
    <row r="2188" customFormat="false" ht="15" hidden="false" customHeight="true" outlineLevel="0" collapsed="false">
      <c r="A2188" s="10" t="n">
        <f aca="false">Einstellungen!$B$5+INT((ROW()-9)/24)</f>
        <v>46056</v>
      </c>
      <c r="B2188" s="11" t="n">
        <f aca="false">MOD(ROW()-9,24)</f>
        <v>19</v>
      </c>
      <c r="C2188" s="12"/>
      <c r="D2188" s="13" t="n">
        <f aca="false">IF(B2188&lt;5,Einstellungen!$B$3,Einstellungen!$B$4)</f>
        <v>29.13</v>
      </c>
      <c r="E2188" s="14" t="str">
        <f aca="false">IF(C2188="","",C2188*D2188/100)</f>
        <v/>
      </c>
      <c r="F2188" s="15" t="str">
        <f aca="false">IF(B2188&lt;5,"Go","Standard")</f>
        <v>Standard</v>
      </c>
    </row>
    <row r="2189" customFormat="false" ht="15" hidden="false" customHeight="true" outlineLevel="0" collapsed="false">
      <c r="A2189" s="10" t="n">
        <f aca="false">Einstellungen!$B$5+INT((ROW()-9)/24)</f>
        <v>46056</v>
      </c>
      <c r="B2189" s="11" t="n">
        <f aca="false">MOD(ROW()-9,24)</f>
        <v>20</v>
      </c>
      <c r="C2189" s="12"/>
      <c r="D2189" s="13" t="n">
        <f aca="false">IF(B2189&lt;5,Einstellungen!$B$3,Einstellungen!$B$4)</f>
        <v>29.13</v>
      </c>
      <c r="E2189" s="14" t="str">
        <f aca="false">IF(C2189="","",C2189*D2189/100)</f>
        <v/>
      </c>
      <c r="F2189" s="15" t="str">
        <f aca="false">IF(B2189&lt;5,"Go","Standard")</f>
        <v>Standard</v>
      </c>
    </row>
    <row r="2190" customFormat="false" ht="15" hidden="false" customHeight="true" outlineLevel="0" collapsed="false">
      <c r="A2190" s="10" t="n">
        <f aca="false">Einstellungen!$B$5+INT((ROW()-9)/24)</f>
        <v>46056</v>
      </c>
      <c r="B2190" s="11" t="n">
        <f aca="false">MOD(ROW()-9,24)</f>
        <v>21</v>
      </c>
      <c r="C2190" s="12"/>
      <c r="D2190" s="13" t="n">
        <f aca="false">IF(B2190&lt;5,Einstellungen!$B$3,Einstellungen!$B$4)</f>
        <v>29.13</v>
      </c>
      <c r="E2190" s="14" t="str">
        <f aca="false">IF(C2190="","",C2190*D2190/100)</f>
        <v/>
      </c>
      <c r="F2190" s="15" t="str">
        <f aca="false">IF(B2190&lt;5,"Go","Standard")</f>
        <v>Standard</v>
      </c>
    </row>
    <row r="2191" customFormat="false" ht="15" hidden="false" customHeight="true" outlineLevel="0" collapsed="false">
      <c r="A2191" s="10" t="n">
        <f aca="false">Einstellungen!$B$5+INT((ROW()-9)/24)</f>
        <v>46056</v>
      </c>
      <c r="B2191" s="11" t="n">
        <f aca="false">MOD(ROW()-9,24)</f>
        <v>22</v>
      </c>
      <c r="C2191" s="12"/>
      <c r="D2191" s="13" t="n">
        <f aca="false">IF(B2191&lt;5,Einstellungen!$B$3,Einstellungen!$B$4)</f>
        <v>29.13</v>
      </c>
      <c r="E2191" s="14" t="str">
        <f aca="false">IF(C2191="","",C2191*D2191/100)</f>
        <v/>
      </c>
      <c r="F2191" s="15" t="str">
        <f aca="false">IF(B2191&lt;5,"Go","Standard")</f>
        <v>Standard</v>
      </c>
    </row>
    <row r="2192" customFormat="false" ht="15" hidden="false" customHeight="true" outlineLevel="0" collapsed="false">
      <c r="A2192" s="10" t="n">
        <f aca="false">Einstellungen!$B$5+INT((ROW()-9)/24)</f>
        <v>46056</v>
      </c>
      <c r="B2192" s="11" t="n">
        <f aca="false">MOD(ROW()-9,24)</f>
        <v>23</v>
      </c>
      <c r="C2192" s="12"/>
      <c r="D2192" s="13" t="n">
        <f aca="false">IF(B2192&lt;5,Einstellungen!$B$3,Einstellungen!$B$4)</f>
        <v>29.13</v>
      </c>
      <c r="E2192" s="14" t="str">
        <f aca="false">IF(C2192="","",C2192*D2192/100)</f>
        <v/>
      </c>
      <c r="F2192" s="15" t="str">
        <f aca="false">IF(B2192&lt;5,"Go","Standard")</f>
        <v>Standard</v>
      </c>
    </row>
    <row r="2193" customFormat="false" ht="15" hidden="false" customHeight="true" outlineLevel="0" collapsed="false">
      <c r="A2193" s="10" t="n">
        <f aca="false">Einstellungen!$B$5+INT((ROW()-9)/24)</f>
        <v>46057</v>
      </c>
      <c r="B2193" s="11" t="n">
        <f aca="false">MOD(ROW()-9,24)</f>
        <v>0</v>
      </c>
      <c r="C2193" s="12"/>
      <c r="D2193" s="13" t="n">
        <f aca="false">IF(B2193&lt;5,Einstellungen!$B$3,Einstellungen!$B$4)</f>
        <v>15.92</v>
      </c>
      <c r="E2193" s="14" t="str">
        <f aca="false">IF(C2193="","",C2193*D2193/100)</f>
        <v/>
      </c>
      <c r="F2193" s="15" t="str">
        <f aca="false">IF(B2193&lt;5,"Go","Standard")</f>
        <v>Go</v>
      </c>
    </row>
    <row r="2194" customFormat="false" ht="15" hidden="false" customHeight="true" outlineLevel="0" collapsed="false">
      <c r="A2194" s="10" t="n">
        <f aca="false">Einstellungen!$B$5+INT((ROW()-9)/24)</f>
        <v>46057</v>
      </c>
      <c r="B2194" s="11" t="n">
        <f aca="false">MOD(ROW()-9,24)</f>
        <v>1</v>
      </c>
      <c r="C2194" s="12"/>
      <c r="D2194" s="13" t="n">
        <f aca="false">IF(B2194&lt;5,Einstellungen!$B$3,Einstellungen!$B$4)</f>
        <v>15.92</v>
      </c>
      <c r="E2194" s="14" t="str">
        <f aca="false">IF(C2194="","",C2194*D2194/100)</f>
        <v/>
      </c>
      <c r="F2194" s="15" t="str">
        <f aca="false">IF(B2194&lt;5,"Go","Standard")</f>
        <v>Go</v>
      </c>
    </row>
    <row r="2195" customFormat="false" ht="15" hidden="false" customHeight="true" outlineLevel="0" collapsed="false">
      <c r="A2195" s="10" t="n">
        <f aca="false">Einstellungen!$B$5+INT((ROW()-9)/24)</f>
        <v>46057</v>
      </c>
      <c r="B2195" s="11" t="n">
        <f aca="false">MOD(ROW()-9,24)</f>
        <v>2</v>
      </c>
      <c r="C2195" s="12"/>
      <c r="D2195" s="13" t="n">
        <f aca="false">IF(B2195&lt;5,Einstellungen!$B$3,Einstellungen!$B$4)</f>
        <v>15.92</v>
      </c>
      <c r="E2195" s="14" t="str">
        <f aca="false">IF(C2195="","",C2195*D2195/100)</f>
        <v/>
      </c>
      <c r="F2195" s="15" t="str">
        <f aca="false">IF(B2195&lt;5,"Go","Standard")</f>
        <v>Go</v>
      </c>
    </row>
    <row r="2196" customFormat="false" ht="15" hidden="false" customHeight="true" outlineLevel="0" collapsed="false">
      <c r="A2196" s="10" t="n">
        <f aca="false">Einstellungen!$B$5+INT((ROW()-9)/24)</f>
        <v>46057</v>
      </c>
      <c r="B2196" s="11" t="n">
        <f aca="false">MOD(ROW()-9,24)</f>
        <v>3</v>
      </c>
      <c r="C2196" s="12"/>
      <c r="D2196" s="13" t="n">
        <f aca="false">IF(B2196&lt;5,Einstellungen!$B$3,Einstellungen!$B$4)</f>
        <v>15.92</v>
      </c>
      <c r="E2196" s="14" t="str">
        <f aca="false">IF(C2196="","",C2196*D2196/100)</f>
        <v/>
      </c>
      <c r="F2196" s="15" t="str">
        <f aca="false">IF(B2196&lt;5,"Go","Standard")</f>
        <v>Go</v>
      </c>
    </row>
    <row r="2197" customFormat="false" ht="15" hidden="false" customHeight="true" outlineLevel="0" collapsed="false">
      <c r="A2197" s="10" t="n">
        <f aca="false">Einstellungen!$B$5+INT((ROW()-9)/24)</f>
        <v>46057</v>
      </c>
      <c r="B2197" s="11" t="n">
        <f aca="false">MOD(ROW()-9,24)</f>
        <v>4</v>
      </c>
      <c r="C2197" s="12"/>
      <c r="D2197" s="13" t="n">
        <f aca="false">IF(B2197&lt;5,Einstellungen!$B$3,Einstellungen!$B$4)</f>
        <v>15.92</v>
      </c>
      <c r="E2197" s="14" t="str">
        <f aca="false">IF(C2197="","",C2197*D2197/100)</f>
        <v/>
      </c>
      <c r="F2197" s="15" t="str">
        <f aca="false">IF(B2197&lt;5,"Go","Standard")</f>
        <v>Go</v>
      </c>
    </row>
    <row r="2198" customFormat="false" ht="15" hidden="false" customHeight="true" outlineLevel="0" collapsed="false">
      <c r="A2198" s="10" t="n">
        <f aca="false">Einstellungen!$B$5+INT((ROW()-9)/24)</f>
        <v>46057</v>
      </c>
      <c r="B2198" s="11" t="n">
        <f aca="false">MOD(ROW()-9,24)</f>
        <v>5</v>
      </c>
      <c r="C2198" s="12"/>
      <c r="D2198" s="13" t="n">
        <f aca="false">IF(B2198&lt;5,Einstellungen!$B$3,Einstellungen!$B$4)</f>
        <v>29.13</v>
      </c>
      <c r="E2198" s="14" t="str">
        <f aca="false">IF(C2198="","",C2198*D2198/100)</f>
        <v/>
      </c>
      <c r="F2198" s="15" t="str">
        <f aca="false">IF(B2198&lt;5,"Go","Standard")</f>
        <v>Standard</v>
      </c>
    </row>
    <row r="2199" customFormat="false" ht="15" hidden="false" customHeight="true" outlineLevel="0" collapsed="false">
      <c r="A2199" s="10" t="n">
        <f aca="false">Einstellungen!$B$5+INT((ROW()-9)/24)</f>
        <v>46057</v>
      </c>
      <c r="B2199" s="11" t="n">
        <f aca="false">MOD(ROW()-9,24)</f>
        <v>6</v>
      </c>
      <c r="C2199" s="12"/>
      <c r="D2199" s="13" t="n">
        <f aca="false">IF(B2199&lt;5,Einstellungen!$B$3,Einstellungen!$B$4)</f>
        <v>29.13</v>
      </c>
      <c r="E2199" s="14" t="str">
        <f aca="false">IF(C2199="","",C2199*D2199/100)</f>
        <v/>
      </c>
      <c r="F2199" s="15" t="str">
        <f aca="false">IF(B2199&lt;5,"Go","Standard")</f>
        <v>Standard</v>
      </c>
    </row>
    <row r="2200" customFormat="false" ht="15" hidden="false" customHeight="true" outlineLevel="0" collapsed="false">
      <c r="A2200" s="10" t="n">
        <f aca="false">Einstellungen!$B$5+INT((ROW()-9)/24)</f>
        <v>46057</v>
      </c>
      <c r="B2200" s="11" t="n">
        <f aca="false">MOD(ROW()-9,24)</f>
        <v>7</v>
      </c>
      <c r="C2200" s="12"/>
      <c r="D2200" s="13" t="n">
        <f aca="false">IF(B2200&lt;5,Einstellungen!$B$3,Einstellungen!$B$4)</f>
        <v>29.13</v>
      </c>
      <c r="E2200" s="14" t="str">
        <f aca="false">IF(C2200="","",C2200*D2200/100)</f>
        <v/>
      </c>
      <c r="F2200" s="15" t="str">
        <f aca="false">IF(B2200&lt;5,"Go","Standard")</f>
        <v>Standard</v>
      </c>
    </row>
    <row r="2201" customFormat="false" ht="15" hidden="false" customHeight="true" outlineLevel="0" collapsed="false">
      <c r="A2201" s="10" t="n">
        <f aca="false">Einstellungen!$B$5+INT((ROW()-9)/24)</f>
        <v>46057</v>
      </c>
      <c r="B2201" s="11" t="n">
        <f aca="false">MOD(ROW()-9,24)</f>
        <v>8</v>
      </c>
      <c r="C2201" s="12"/>
      <c r="D2201" s="13" t="n">
        <f aca="false">IF(B2201&lt;5,Einstellungen!$B$3,Einstellungen!$B$4)</f>
        <v>29.13</v>
      </c>
      <c r="E2201" s="14" t="str">
        <f aca="false">IF(C2201="","",C2201*D2201/100)</f>
        <v/>
      </c>
      <c r="F2201" s="15" t="str">
        <f aca="false">IF(B2201&lt;5,"Go","Standard")</f>
        <v>Standard</v>
      </c>
    </row>
    <row r="2202" customFormat="false" ht="15" hidden="false" customHeight="true" outlineLevel="0" collapsed="false">
      <c r="A2202" s="10" t="n">
        <f aca="false">Einstellungen!$B$5+INT((ROW()-9)/24)</f>
        <v>46057</v>
      </c>
      <c r="B2202" s="11" t="n">
        <f aca="false">MOD(ROW()-9,24)</f>
        <v>9</v>
      </c>
      <c r="C2202" s="12"/>
      <c r="D2202" s="13" t="n">
        <f aca="false">IF(B2202&lt;5,Einstellungen!$B$3,Einstellungen!$B$4)</f>
        <v>29.13</v>
      </c>
      <c r="E2202" s="14" t="str">
        <f aca="false">IF(C2202="","",C2202*D2202/100)</f>
        <v/>
      </c>
      <c r="F2202" s="15" t="str">
        <f aca="false">IF(B2202&lt;5,"Go","Standard")</f>
        <v>Standard</v>
      </c>
    </row>
    <row r="2203" customFormat="false" ht="15" hidden="false" customHeight="true" outlineLevel="0" collapsed="false">
      <c r="A2203" s="10" t="n">
        <f aca="false">Einstellungen!$B$5+INT((ROW()-9)/24)</f>
        <v>46057</v>
      </c>
      <c r="B2203" s="11" t="n">
        <f aca="false">MOD(ROW()-9,24)</f>
        <v>10</v>
      </c>
      <c r="C2203" s="12"/>
      <c r="D2203" s="13" t="n">
        <f aca="false">IF(B2203&lt;5,Einstellungen!$B$3,Einstellungen!$B$4)</f>
        <v>29.13</v>
      </c>
      <c r="E2203" s="14" t="str">
        <f aca="false">IF(C2203="","",C2203*D2203/100)</f>
        <v/>
      </c>
      <c r="F2203" s="15" t="str">
        <f aca="false">IF(B2203&lt;5,"Go","Standard")</f>
        <v>Standard</v>
      </c>
    </row>
    <row r="2204" customFormat="false" ht="15" hidden="false" customHeight="true" outlineLevel="0" collapsed="false">
      <c r="A2204" s="10" t="n">
        <f aca="false">Einstellungen!$B$5+INT((ROW()-9)/24)</f>
        <v>46057</v>
      </c>
      <c r="B2204" s="11" t="n">
        <f aca="false">MOD(ROW()-9,24)</f>
        <v>11</v>
      </c>
      <c r="C2204" s="12"/>
      <c r="D2204" s="13" t="n">
        <f aca="false">IF(B2204&lt;5,Einstellungen!$B$3,Einstellungen!$B$4)</f>
        <v>29.13</v>
      </c>
      <c r="E2204" s="14" t="str">
        <f aca="false">IF(C2204="","",C2204*D2204/100)</f>
        <v/>
      </c>
      <c r="F2204" s="15" t="str">
        <f aca="false">IF(B2204&lt;5,"Go","Standard")</f>
        <v>Standard</v>
      </c>
    </row>
    <row r="2205" customFormat="false" ht="15" hidden="false" customHeight="true" outlineLevel="0" collapsed="false">
      <c r="A2205" s="10" t="n">
        <f aca="false">Einstellungen!$B$5+INT((ROW()-9)/24)</f>
        <v>46057</v>
      </c>
      <c r="B2205" s="11" t="n">
        <f aca="false">MOD(ROW()-9,24)</f>
        <v>12</v>
      </c>
      <c r="C2205" s="12"/>
      <c r="D2205" s="13" t="n">
        <f aca="false">IF(B2205&lt;5,Einstellungen!$B$3,Einstellungen!$B$4)</f>
        <v>29.13</v>
      </c>
      <c r="E2205" s="14" t="str">
        <f aca="false">IF(C2205="","",C2205*D2205/100)</f>
        <v/>
      </c>
      <c r="F2205" s="15" t="str">
        <f aca="false">IF(B2205&lt;5,"Go","Standard")</f>
        <v>Standard</v>
      </c>
    </row>
    <row r="2206" customFormat="false" ht="15" hidden="false" customHeight="true" outlineLevel="0" collapsed="false">
      <c r="A2206" s="10" t="n">
        <f aca="false">Einstellungen!$B$5+INT((ROW()-9)/24)</f>
        <v>46057</v>
      </c>
      <c r="B2206" s="11" t="n">
        <f aca="false">MOD(ROW()-9,24)</f>
        <v>13</v>
      </c>
      <c r="C2206" s="12"/>
      <c r="D2206" s="13" t="n">
        <f aca="false">IF(B2206&lt;5,Einstellungen!$B$3,Einstellungen!$B$4)</f>
        <v>29.13</v>
      </c>
      <c r="E2206" s="14" t="str">
        <f aca="false">IF(C2206="","",C2206*D2206/100)</f>
        <v/>
      </c>
      <c r="F2206" s="15" t="str">
        <f aca="false">IF(B2206&lt;5,"Go","Standard")</f>
        <v>Standard</v>
      </c>
    </row>
    <row r="2207" customFormat="false" ht="15" hidden="false" customHeight="true" outlineLevel="0" collapsed="false">
      <c r="A2207" s="10" t="n">
        <f aca="false">Einstellungen!$B$5+INT((ROW()-9)/24)</f>
        <v>46057</v>
      </c>
      <c r="B2207" s="11" t="n">
        <f aca="false">MOD(ROW()-9,24)</f>
        <v>14</v>
      </c>
      <c r="C2207" s="12"/>
      <c r="D2207" s="13" t="n">
        <f aca="false">IF(B2207&lt;5,Einstellungen!$B$3,Einstellungen!$B$4)</f>
        <v>29.13</v>
      </c>
      <c r="E2207" s="14" t="str">
        <f aca="false">IF(C2207="","",C2207*D2207/100)</f>
        <v/>
      </c>
      <c r="F2207" s="15" t="str">
        <f aca="false">IF(B2207&lt;5,"Go","Standard")</f>
        <v>Standard</v>
      </c>
    </row>
    <row r="2208" customFormat="false" ht="15" hidden="false" customHeight="true" outlineLevel="0" collapsed="false">
      <c r="A2208" s="10" t="n">
        <f aca="false">Einstellungen!$B$5+INT((ROW()-9)/24)</f>
        <v>46057</v>
      </c>
      <c r="B2208" s="11" t="n">
        <f aca="false">MOD(ROW()-9,24)</f>
        <v>15</v>
      </c>
      <c r="C2208" s="12"/>
      <c r="D2208" s="13" t="n">
        <f aca="false">IF(B2208&lt;5,Einstellungen!$B$3,Einstellungen!$B$4)</f>
        <v>29.13</v>
      </c>
      <c r="E2208" s="14" t="str">
        <f aca="false">IF(C2208="","",C2208*D2208/100)</f>
        <v/>
      </c>
      <c r="F2208" s="15" t="str">
        <f aca="false">IF(B2208&lt;5,"Go","Standard")</f>
        <v>Standard</v>
      </c>
    </row>
    <row r="2209" customFormat="false" ht="15" hidden="false" customHeight="true" outlineLevel="0" collapsed="false">
      <c r="A2209" s="10" t="n">
        <f aca="false">Einstellungen!$B$5+INT((ROW()-9)/24)</f>
        <v>46057</v>
      </c>
      <c r="B2209" s="11" t="n">
        <f aca="false">MOD(ROW()-9,24)</f>
        <v>16</v>
      </c>
      <c r="C2209" s="12"/>
      <c r="D2209" s="13" t="n">
        <f aca="false">IF(B2209&lt;5,Einstellungen!$B$3,Einstellungen!$B$4)</f>
        <v>29.13</v>
      </c>
      <c r="E2209" s="14" t="str">
        <f aca="false">IF(C2209="","",C2209*D2209/100)</f>
        <v/>
      </c>
      <c r="F2209" s="15" t="str">
        <f aca="false">IF(B2209&lt;5,"Go","Standard")</f>
        <v>Standard</v>
      </c>
    </row>
    <row r="2210" customFormat="false" ht="15" hidden="false" customHeight="true" outlineLevel="0" collapsed="false">
      <c r="A2210" s="10" t="n">
        <f aca="false">Einstellungen!$B$5+INT((ROW()-9)/24)</f>
        <v>46057</v>
      </c>
      <c r="B2210" s="11" t="n">
        <f aca="false">MOD(ROW()-9,24)</f>
        <v>17</v>
      </c>
      <c r="C2210" s="12"/>
      <c r="D2210" s="13" t="n">
        <f aca="false">IF(B2210&lt;5,Einstellungen!$B$3,Einstellungen!$B$4)</f>
        <v>29.13</v>
      </c>
      <c r="E2210" s="14" t="str">
        <f aca="false">IF(C2210="","",C2210*D2210/100)</f>
        <v/>
      </c>
      <c r="F2210" s="15" t="str">
        <f aca="false">IF(B2210&lt;5,"Go","Standard")</f>
        <v>Standard</v>
      </c>
    </row>
    <row r="2211" customFormat="false" ht="15" hidden="false" customHeight="true" outlineLevel="0" collapsed="false">
      <c r="A2211" s="10" t="n">
        <f aca="false">Einstellungen!$B$5+INT((ROW()-9)/24)</f>
        <v>46057</v>
      </c>
      <c r="B2211" s="11" t="n">
        <f aca="false">MOD(ROW()-9,24)</f>
        <v>18</v>
      </c>
      <c r="C2211" s="12"/>
      <c r="D2211" s="13" t="n">
        <f aca="false">IF(B2211&lt;5,Einstellungen!$B$3,Einstellungen!$B$4)</f>
        <v>29.13</v>
      </c>
      <c r="E2211" s="14" t="str">
        <f aca="false">IF(C2211="","",C2211*D2211/100)</f>
        <v/>
      </c>
      <c r="F2211" s="15" t="str">
        <f aca="false">IF(B2211&lt;5,"Go","Standard")</f>
        <v>Standard</v>
      </c>
    </row>
    <row r="2212" customFormat="false" ht="15" hidden="false" customHeight="true" outlineLevel="0" collapsed="false">
      <c r="A2212" s="10" t="n">
        <f aca="false">Einstellungen!$B$5+INT((ROW()-9)/24)</f>
        <v>46057</v>
      </c>
      <c r="B2212" s="11" t="n">
        <f aca="false">MOD(ROW()-9,24)</f>
        <v>19</v>
      </c>
      <c r="C2212" s="12"/>
      <c r="D2212" s="13" t="n">
        <f aca="false">IF(B2212&lt;5,Einstellungen!$B$3,Einstellungen!$B$4)</f>
        <v>29.13</v>
      </c>
      <c r="E2212" s="14" t="str">
        <f aca="false">IF(C2212="","",C2212*D2212/100)</f>
        <v/>
      </c>
      <c r="F2212" s="15" t="str">
        <f aca="false">IF(B2212&lt;5,"Go","Standard")</f>
        <v>Standard</v>
      </c>
    </row>
    <row r="2213" customFormat="false" ht="15" hidden="false" customHeight="true" outlineLevel="0" collapsed="false">
      <c r="A2213" s="10" t="n">
        <f aca="false">Einstellungen!$B$5+INT((ROW()-9)/24)</f>
        <v>46057</v>
      </c>
      <c r="B2213" s="11" t="n">
        <f aca="false">MOD(ROW()-9,24)</f>
        <v>20</v>
      </c>
      <c r="C2213" s="12"/>
      <c r="D2213" s="13" t="n">
        <f aca="false">IF(B2213&lt;5,Einstellungen!$B$3,Einstellungen!$B$4)</f>
        <v>29.13</v>
      </c>
      <c r="E2213" s="14" t="str">
        <f aca="false">IF(C2213="","",C2213*D2213/100)</f>
        <v/>
      </c>
      <c r="F2213" s="15" t="str">
        <f aca="false">IF(B2213&lt;5,"Go","Standard")</f>
        <v>Standard</v>
      </c>
    </row>
    <row r="2214" customFormat="false" ht="15" hidden="false" customHeight="true" outlineLevel="0" collapsed="false">
      <c r="A2214" s="10" t="n">
        <f aca="false">Einstellungen!$B$5+INT((ROW()-9)/24)</f>
        <v>46057</v>
      </c>
      <c r="B2214" s="11" t="n">
        <f aca="false">MOD(ROW()-9,24)</f>
        <v>21</v>
      </c>
      <c r="C2214" s="12"/>
      <c r="D2214" s="13" t="n">
        <f aca="false">IF(B2214&lt;5,Einstellungen!$B$3,Einstellungen!$B$4)</f>
        <v>29.13</v>
      </c>
      <c r="E2214" s="14" t="str">
        <f aca="false">IF(C2214="","",C2214*D2214/100)</f>
        <v/>
      </c>
      <c r="F2214" s="15" t="str">
        <f aca="false">IF(B2214&lt;5,"Go","Standard")</f>
        <v>Standard</v>
      </c>
    </row>
    <row r="2215" customFormat="false" ht="15" hidden="false" customHeight="true" outlineLevel="0" collapsed="false">
      <c r="A2215" s="10" t="n">
        <f aca="false">Einstellungen!$B$5+INT((ROW()-9)/24)</f>
        <v>46057</v>
      </c>
      <c r="B2215" s="11" t="n">
        <f aca="false">MOD(ROW()-9,24)</f>
        <v>22</v>
      </c>
      <c r="C2215" s="12"/>
      <c r="D2215" s="13" t="n">
        <f aca="false">IF(B2215&lt;5,Einstellungen!$B$3,Einstellungen!$B$4)</f>
        <v>29.13</v>
      </c>
      <c r="E2215" s="14" t="str">
        <f aca="false">IF(C2215="","",C2215*D2215/100)</f>
        <v/>
      </c>
      <c r="F2215" s="15" t="str">
        <f aca="false">IF(B2215&lt;5,"Go","Standard")</f>
        <v>Standard</v>
      </c>
    </row>
    <row r="2216" customFormat="false" ht="15" hidden="false" customHeight="true" outlineLevel="0" collapsed="false">
      <c r="A2216" s="10" t="n">
        <f aca="false">Einstellungen!$B$5+INT((ROW()-9)/24)</f>
        <v>46057</v>
      </c>
      <c r="B2216" s="11" t="n">
        <f aca="false">MOD(ROW()-9,24)</f>
        <v>23</v>
      </c>
      <c r="C2216" s="12"/>
      <c r="D2216" s="13" t="n">
        <f aca="false">IF(B2216&lt;5,Einstellungen!$B$3,Einstellungen!$B$4)</f>
        <v>29.13</v>
      </c>
      <c r="E2216" s="14" t="str">
        <f aca="false">IF(C2216="","",C2216*D2216/100)</f>
        <v/>
      </c>
      <c r="F2216" s="15" t="str">
        <f aca="false">IF(B2216&lt;5,"Go","Standard")</f>
        <v>Standard</v>
      </c>
    </row>
    <row r="2217" customFormat="false" ht="15" hidden="false" customHeight="true" outlineLevel="0" collapsed="false">
      <c r="A2217" s="10" t="n">
        <f aca="false">Einstellungen!$B$5+INT((ROW()-9)/24)</f>
        <v>46058</v>
      </c>
      <c r="B2217" s="11" t="n">
        <f aca="false">MOD(ROW()-9,24)</f>
        <v>0</v>
      </c>
      <c r="C2217" s="12"/>
      <c r="D2217" s="13" t="n">
        <f aca="false">IF(B2217&lt;5,Einstellungen!$B$3,Einstellungen!$B$4)</f>
        <v>15.92</v>
      </c>
      <c r="E2217" s="14" t="str">
        <f aca="false">IF(C2217="","",C2217*D2217/100)</f>
        <v/>
      </c>
      <c r="F2217" s="15" t="str">
        <f aca="false">IF(B2217&lt;5,"Go","Standard")</f>
        <v>Go</v>
      </c>
    </row>
    <row r="2218" customFormat="false" ht="15" hidden="false" customHeight="true" outlineLevel="0" collapsed="false">
      <c r="A2218" s="10" t="n">
        <f aca="false">Einstellungen!$B$5+INT((ROW()-9)/24)</f>
        <v>46058</v>
      </c>
      <c r="B2218" s="11" t="n">
        <f aca="false">MOD(ROW()-9,24)</f>
        <v>1</v>
      </c>
      <c r="C2218" s="12"/>
      <c r="D2218" s="13" t="n">
        <f aca="false">IF(B2218&lt;5,Einstellungen!$B$3,Einstellungen!$B$4)</f>
        <v>15.92</v>
      </c>
      <c r="E2218" s="14" t="str">
        <f aca="false">IF(C2218="","",C2218*D2218/100)</f>
        <v/>
      </c>
      <c r="F2218" s="15" t="str">
        <f aca="false">IF(B2218&lt;5,"Go","Standard")</f>
        <v>Go</v>
      </c>
    </row>
    <row r="2219" customFormat="false" ht="15" hidden="false" customHeight="true" outlineLevel="0" collapsed="false">
      <c r="A2219" s="10" t="n">
        <f aca="false">Einstellungen!$B$5+INT((ROW()-9)/24)</f>
        <v>46058</v>
      </c>
      <c r="B2219" s="11" t="n">
        <f aca="false">MOD(ROW()-9,24)</f>
        <v>2</v>
      </c>
      <c r="C2219" s="12"/>
      <c r="D2219" s="13" t="n">
        <f aca="false">IF(B2219&lt;5,Einstellungen!$B$3,Einstellungen!$B$4)</f>
        <v>15.92</v>
      </c>
      <c r="E2219" s="14" t="str">
        <f aca="false">IF(C2219="","",C2219*D2219/100)</f>
        <v/>
      </c>
      <c r="F2219" s="15" t="str">
        <f aca="false">IF(B2219&lt;5,"Go","Standard")</f>
        <v>Go</v>
      </c>
    </row>
    <row r="2220" customFormat="false" ht="15" hidden="false" customHeight="true" outlineLevel="0" collapsed="false">
      <c r="A2220" s="10" t="n">
        <f aca="false">Einstellungen!$B$5+INT((ROW()-9)/24)</f>
        <v>46058</v>
      </c>
      <c r="B2220" s="11" t="n">
        <f aca="false">MOD(ROW()-9,24)</f>
        <v>3</v>
      </c>
      <c r="C2220" s="12"/>
      <c r="D2220" s="13" t="n">
        <f aca="false">IF(B2220&lt;5,Einstellungen!$B$3,Einstellungen!$B$4)</f>
        <v>15.92</v>
      </c>
      <c r="E2220" s="14" t="str">
        <f aca="false">IF(C2220="","",C2220*D2220/100)</f>
        <v/>
      </c>
      <c r="F2220" s="15" t="str">
        <f aca="false">IF(B2220&lt;5,"Go","Standard")</f>
        <v>Go</v>
      </c>
    </row>
    <row r="2221" customFormat="false" ht="15" hidden="false" customHeight="true" outlineLevel="0" collapsed="false">
      <c r="A2221" s="10" t="n">
        <f aca="false">Einstellungen!$B$5+INT((ROW()-9)/24)</f>
        <v>46058</v>
      </c>
      <c r="B2221" s="11" t="n">
        <f aca="false">MOD(ROW()-9,24)</f>
        <v>4</v>
      </c>
      <c r="C2221" s="12"/>
      <c r="D2221" s="13" t="n">
        <f aca="false">IF(B2221&lt;5,Einstellungen!$B$3,Einstellungen!$B$4)</f>
        <v>15.92</v>
      </c>
      <c r="E2221" s="14" t="str">
        <f aca="false">IF(C2221="","",C2221*D2221/100)</f>
        <v/>
      </c>
      <c r="F2221" s="15" t="str">
        <f aca="false">IF(B2221&lt;5,"Go","Standard")</f>
        <v>Go</v>
      </c>
    </row>
    <row r="2222" customFormat="false" ht="15" hidden="false" customHeight="true" outlineLevel="0" collapsed="false">
      <c r="A2222" s="10" t="n">
        <f aca="false">Einstellungen!$B$5+INT((ROW()-9)/24)</f>
        <v>46058</v>
      </c>
      <c r="B2222" s="11" t="n">
        <f aca="false">MOD(ROW()-9,24)</f>
        <v>5</v>
      </c>
      <c r="C2222" s="12"/>
      <c r="D2222" s="13" t="n">
        <f aca="false">IF(B2222&lt;5,Einstellungen!$B$3,Einstellungen!$B$4)</f>
        <v>29.13</v>
      </c>
      <c r="E2222" s="14" t="str">
        <f aca="false">IF(C2222="","",C2222*D2222/100)</f>
        <v/>
      </c>
      <c r="F2222" s="15" t="str">
        <f aca="false">IF(B2222&lt;5,"Go","Standard")</f>
        <v>Standard</v>
      </c>
    </row>
    <row r="2223" customFormat="false" ht="15" hidden="false" customHeight="true" outlineLevel="0" collapsed="false">
      <c r="A2223" s="10" t="n">
        <f aca="false">Einstellungen!$B$5+INT((ROW()-9)/24)</f>
        <v>46058</v>
      </c>
      <c r="B2223" s="11" t="n">
        <f aca="false">MOD(ROW()-9,24)</f>
        <v>6</v>
      </c>
      <c r="C2223" s="12"/>
      <c r="D2223" s="13" t="n">
        <f aca="false">IF(B2223&lt;5,Einstellungen!$B$3,Einstellungen!$B$4)</f>
        <v>29.13</v>
      </c>
      <c r="E2223" s="14" t="str">
        <f aca="false">IF(C2223="","",C2223*D2223/100)</f>
        <v/>
      </c>
      <c r="F2223" s="15" t="str">
        <f aca="false">IF(B2223&lt;5,"Go","Standard")</f>
        <v>Standard</v>
      </c>
    </row>
    <row r="2224" customFormat="false" ht="15" hidden="false" customHeight="true" outlineLevel="0" collapsed="false">
      <c r="A2224" s="10" t="n">
        <f aca="false">Einstellungen!$B$5+INT((ROW()-9)/24)</f>
        <v>46058</v>
      </c>
      <c r="B2224" s="11" t="n">
        <f aca="false">MOD(ROW()-9,24)</f>
        <v>7</v>
      </c>
      <c r="C2224" s="12"/>
      <c r="D2224" s="13" t="n">
        <f aca="false">IF(B2224&lt;5,Einstellungen!$B$3,Einstellungen!$B$4)</f>
        <v>29.13</v>
      </c>
      <c r="E2224" s="14" t="str">
        <f aca="false">IF(C2224="","",C2224*D2224/100)</f>
        <v/>
      </c>
      <c r="F2224" s="15" t="str">
        <f aca="false">IF(B2224&lt;5,"Go","Standard")</f>
        <v>Standard</v>
      </c>
    </row>
    <row r="2225" customFormat="false" ht="15" hidden="false" customHeight="true" outlineLevel="0" collapsed="false">
      <c r="A2225" s="10" t="n">
        <f aca="false">Einstellungen!$B$5+INT((ROW()-9)/24)</f>
        <v>46058</v>
      </c>
      <c r="B2225" s="11" t="n">
        <f aca="false">MOD(ROW()-9,24)</f>
        <v>8</v>
      </c>
      <c r="C2225" s="12"/>
      <c r="D2225" s="13" t="n">
        <f aca="false">IF(B2225&lt;5,Einstellungen!$B$3,Einstellungen!$B$4)</f>
        <v>29.13</v>
      </c>
      <c r="E2225" s="14" t="str">
        <f aca="false">IF(C2225="","",C2225*D2225/100)</f>
        <v/>
      </c>
      <c r="F2225" s="15" t="str">
        <f aca="false">IF(B2225&lt;5,"Go","Standard")</f>
        <v>Standard</v>
      </c>
    </row>
    <row r="2226" customFormat="false" ht="15" hidden="false" customHeight="true" outlineLevel="0" collapsed="false">
      <c r="A2226" s="10" t="n">
        <f aca="false">Einstellungen!$B$5+INT((ROW()-9)/24)</f>
        <v>46058</v>
      </c>
      <c r="B2226" s="11" t="n">
        <f aca="false">MOD(ROW()-9,24)</f>
        <v>9</v>
      </c>
      <c r="C2226" s="12"/>
      <c r="D2226" s="13" t="n">
        <f aca="false">IF(B2226&lt;5,Einstellungen!$B$3,Einstellungen!$B$4)</f>
        <v>29.13</v>
      </c>
      <c r="E2226" s="14" t="str">
        <f aca="false">IF(C2226="","",C2226*D2226/100)</f>
        <v/>
      </c>
      <c r="F2226" s="15" t="str">
        <f aca="false">IF(B2226&lt;5,"Go","Standard")</f>
        <v>Standard</v>
      </c>
    </row>
    <row r="2227" customFormat="false" ht="15" hidden="false" customHeight="true" outlineLevel="0" collapsed="false">
      <c r="A2227" s="10" t="n">
        <f aca="false">Einstellungen!$B$5+INT((ROW()-9)/24)</f>
        <v>46058</v>
      </c>
      <c r="B2227" s="11" t="n">
        <f aca="false">MOD(ROW()-9,24)</f>
        <v>10</v>
      </c>
      <c r="C2227" s="12"/>
      <c r="D2227" s="13" t="n">
        <f aca="false">IF(B2227&lt;5,Einstellungen!$B$3,Einstellungen!$B$4)</f>
        <v>29.13</v>
      </c>
      <c r="E2227" s="14" t="str">
        <f aca="false">IF(C2227="","",C2227*D2227/100)</f>
        <v/>
      </c>
      <c r="F2227" s="15" t="str">
        <f aca="false">IF(B2227&lt;5,"Go","Standard")</f>
        <v>Standard</v>
      </c>
    </row>
    <row r="2228" customFormat="false" ht="15" hidden="false" customHeight="true" outlineLevel="0" collapsed="false">
      <c r="A2228" s="10" t="n">
        <f aca="false">Einstellungen!$B$5+INT((ROW()-9)/24)</f>
        <v>46058</v>
      </c>
      <c r="B2228" s="11" t="n">
        <f aca="false">MOD(ROW()-9,24)</f>
        <v>11</v>
      </c>
      <c r="C2228" s="12"/>
      <c r="D2228" s="13" t="n">
        <f aca="false">IF(B2228&lt;5,Einstellungen!$B$3,Einstellungen!$B$4)</f>
        <v>29.13</v>
      </c>
      <c r="E2228" s="14" t="str">
        <f aca="false">IF(C2228="","",C2228*D2228/100)</f>
        <v/>
      </c>
      <c r="F2228" s="15" t="str">
        <f aca="false">IF(B2228&lt;5,"Go","Standard")</f>
        <v>Standard</v>
      </c>
    </row>
    <row r="2229" customFormat="false" ht="15" hidden="false" customHeight="true" outlineLevel="0" collapsed="false">
      <c r="A2229" s="10" t="n">
        <f aca="false">Einstellungen!$B$5+INT((ROW()-9)/24)</f>
        <v>46058</v>
      </c>
      <c r="B2229" s="11" t="n">
        <f aca="false">MOD(ROW()-9,24)</f>
        <v>12</v>
      </c>
      <c r="C2229" s="12"/>
      <c r="D2229" s="13" t="n">
        <f aca="false">IF(B2229&lt;5,Einstellungen!$B$3,Einstellungen!$B$4)</f>
        <v>29.13</v>
      </c>
      <c r="E2229" s="14" t="str">
        <f aca="false">IF(C2229="","",C2229*D2229/100)</f>
        <v/>
      </c>
      <c r="F2229" s="15" t="str">
        <f aca="false">IF(B2229&lt;5,"Go","Standard")</f>
        <v>Standard</v>
      </c>
    </row>
    <row r="2230" customFormat="false" ht="15" hidden="false" customHeight="true" outlineLevel="0" collapsed="false">
      <c r="A2230" s="10" t="n">
        <f aca="false">Einstellungen!$B$5+INT((ROW()-9)/24)</f>
        <v>46058</v>
      </c>
      <c r="B2230" s="11" t="n">
        <f aca="false">MOD(ROW()-9,24)</f>
        <v>13</v>
      </c>
      <c r="C2230" s="12"/>
      <c r="D2230" s="13" t="n">
        <f aca="false">IF(B2230&lt;5,Einstellungen!$B$3,Einstellungen!$B$4)</f>
        <v>29.13</v>
      </c>
      <c r="E2230" s="14" t="str">
        <f aca="false">IF(C2230="","",C2230*D2230/100)</f>
        <v/>
      </c>
      <c r="F2230" s="15" t="str">
        <f aca="false">IF(B2230&lt;5,"Go","Standard")</f>
        <v>Standard</v>
      </c>
    </row>
    <row r="2231" customFormat="false" ht="15" hidden="false" customHeight="true" outlineLevel="0" collapsed="false">
      <c r="A2231" s="10" t="n">
        <f aca="false">Einstellungen!$B$5+INT((ROW()-9)/24)</f>
        <v>46058</v>
      </c>
      <c r="B2231" s="11" t="n">
        <f aca="false">MOD(ROW()-9,24)</f>
        <v>14</v>
      </c>
      <c r="C2231" s="12"/>
      <c r="D2231" s="13" t="n">
        <f aca="false">IF(B2231&lt;5,Einstellungen!$B$3,Einstellungen!$B$4)</f>
        <v>29.13</v>
      </c>
      <c r="E2231" s="14" t="str">
        <f aca="false">IF(C2231="","",C2231*D2231/100)</f>
        <v/>
      </c>
      <c r="F2231" s="15" t="str">
        <f aca="false">IF(B2231&lt;5,"Go","Standard")</f>
        <v>Standard</v>
      </c>
    </row>
    <row r="2232" customFormat="false" ht="15" hidden="false" customHeight="true" outlineLevel="0" collapsed="false">
      <c r="A2232" s="10" t="n">
        <f aca="false">Einstellungen!$B$5+INT((ROW()-9)/24)</f>
        <v>46058</v>
      </c>
      <c r="B2232" s="11" t="n">
        <f aca="false">MOD(ROW()-9,24)</f>
        <v>15</v>
      </c>
      <c r="C2232" s="12"/>
      <c r="D2232" s="13" t="n">
        <f aca="false">IF(B2232&lt;5,Einstellungen!$B$3,Einstellungen!$B$4)</f>
        <v>29.13</v>
      </c>
      <c r="E2232" s="14" t="str">
        <f aca="false">IF(C2232="","",C2232*D2232/100)</f>
        <v/>
      </c>
      <c r="F2232" s="15" t="str">
        <f aca="false">IF(B2232&lt;5,"Go","Standard")</f>
        <v>Standard</v>
      </c>
    </row>
    <row r="2233" customFormat="false" ht="15" hidden="false" customHeight="true" outlineLevel="0" collapsed="false">
      <c r="A2233" s="10" t="n">
        <f aca="false">Einstellungen!$B$5+INT((ROW()-9)/24)</f>
        <v>46058</v>
      </c>
      <c r="B2233" s="11" t="n">
        <f aca="false">MOD(ROW()-9,24)</f>
        <v>16</v>
      </c>
      <c r="C2233" s="12"/>
      <c r="D2233" s="13" t="n">
        <f aca="false">IF(B2233&lt;5,Einstellungen!$B$3,Einstellungen!$B$4)</f>
        <v>29.13</v>
      </c>
      <c r="E2233" s="14" t="str">
        <f aca="false">IF(C2233="","",C2233*D2233/100)</f>
        <v/>
      </c>
      <c r="F2233" s="15" t="str">
        <f aca="false">IF(B2233&lt;5,"Go","Standard")</f>
        <v>Standard</v>
      </c>
    </row>
    <row r="2234" customFormat="false" ht="15" hidden="false" customHeight="true" outlineLevel="0" collapsed="false">
      <c r="A2234" s="10" t="n">
        <f aca="false">Einstellungen!$B$5+INT((ROW()-9)/24)</f>
        <v>46058</v>
      </c>
      <c r="B2234" s="11" t="n">
        <f aca="false">MOD(ROW()-9,24)</f>
        <v>17</v>
      </c>
      <c r="C2234" s="12"/>
      <c r="D2234" s="13" t="n">
        <f aca="false">IF(B2234&lt;5,Einstellungen!$B$3,Einstellungen!$B$4)</f>
        <v>29.13</v>
      </c>
      <c r="E2234" s="14" t="str">
        <f aca="false">IF(C2234="","",C2234*D2234/100)</f>
        <v/>
      </c>
      <c r="F2234" s="15" t="str">
        <f aca="false">IF(B2234&lt;5,"Go","Standard")</f>
        <v>Standard</v>
      </c>
    </row>
    <row r="2235" customFormat="false" ht="15" hidden="false" customHeight="true" outlineLevel="0" collapsed="false">
      <c r="A2235" s="10" t="n">
        <f aca="false">Einstellungen!$B$5+INT((ROW()-9)/24)</f>
        <v>46058</v>
      </c>
      <c r="B2235" s="11" t="n">
        <f aca="false">MOD(ROW()-9,24)</f>
        <v>18</v>
      </c>
      <c r="C2235" s="12"/>
      <c r="D2235" s="13" t="n">
        <f aca="false">IF(B2235&lt;5,Einstellungen!$B$3,Einstellungen!$B$4)</f>
        <v>29.13</v>
      </c>
      <c r="E2235" s="14" t="str">
        <f aca="false">IF(C2235="","",C2235*D2235/100)</f>
        <v/>
      </c>
      <c r="F2235" s="15" t="str">
        <f aca="false">IF(B2235&lt;5,"Go","Standard")</f>
        <v>Standard</v>
      </c>
    </row>
    <row r="2236" customFormat="false" ht="15" hidden="false" customHeight="true" outlineLevel="0" collapsed="false">
      <c r="A2236" s="10" t="n">
        <f aca="false">Einstellungen!$B$5+INT((ROW()-9)/24)</f>
        <v>46058</v>
      </c>
      <c r="B2236" s="11" t="n">
        <f aca="false">MOD(ROW()-9,24)</f>
        <v>19</v>
      </c>
      <c r="C2236" s="12"/>
      <c r="D2236" s="13" t="n">
        <f aca="false">IF(B2236&lt;5,Einstellungen!$B$3,Einstellungen!$B$4)</f>
        <v>29.13</v>
      </c>
      <c r="E2236" s="14" t="str">
        <f aca="false">IF(C2236="","",C2236*D2236/100)</f>
        <v/>
      </c>
      <c r="F2236" s="15" t="str">
        <f aca="false">IF(B2236&lt;5,"Go","Standard")</f>
        <v>Standard</v>
      </c>
    </row>
    <row r="2237" customFormat="false" ht="15" hidden="false" customHeight="true" outlineLevel="0" collapsed="false">
      <c r="A2237" s="10" t="n">
        <f aca="false">Einstellungen!$B$5+INT((ROW()-9)/24)</f>
        <v>46058</v>
      </c>
      <c r="B2237" s="11" t="n">
        <f aca="false">MOD(ROW()-9,24)</f>
        <v>20</v>
      </c>
      <c r="C2237" s="12"/>
      <c r="D2237" s="13" t="n">
        <f aca="false">IF(B2237&lt;5,Einstellungen!$B$3,Einstellungen!$B$4)</f>
        <v>29.13</v>
      </c>
      <c r="E2237" s="14" t="str">
        <f aca="false">IF(C2237="","",C2237*D2237/100)</f>
        <v/>
      </c>
      <c r="F2237" s="15" t="str">
        <f aca="false">IF(B2237&lt;5,"Go","Standard")</f>
        <v>Standard</v>
      </c>
    </row>
    <row r="2238" customFormat="false" ht="15" hidden="false" customHeight="true" outlineLevel="0" collapsed="false">
      <c r="A2238" s="10" t="n">
        <f aca="false">Einstellungen!$B$5+INT((ROW()-9)/24)</f>
        <v>46058</v>
      </c>
      <c r="B2238" s="11" t="n">
        <f aca="false">MOD(ROW()-9,24)</f>
        <v>21</v>
      </c>
      <c r="C2238" s="12"/>
      <c r="D2238" s="13" t="n">
        <f aca="false">IF(B2238&lt;5,Einstellungen!$B$3,Einstellungen!$B$4)</f>
        <v>29.13</v>
      </c>
      <c r="E2238" s="14" t="str">
        <f aca="false">IF(C2238="","",C2238*D2238/100)</f>
        <v/>
      </c>
      <c r="F2238" s="15" t="str">
        <f aca="false">IF(B2238&lt;5,"Go","Standard")</f>
        <v>Standard</v>
      </c>
    </row>
    <row r="2239" customFormat="false" ht="15" hidden="false" customHeight="true" outlineLevel="0" collapsed="false">
      <c r="A2239" s="10" t="n">
        <f aca="false">Einstellungen!$B$5+INT((ROW()-9)/24)</f>
        <v>46058</v>
      </c>
      <c r="B2239" s="11" t="n">
        <f aca="false">MOD(ROW()-9,24)</f>
        <v>22</v>
      </c>
      <c r="C2239" s="12"/>
      <c r="D2239" s="13" t="n">
        <f aca="false">IF(B2239&lt;5,Einstellungen!$B$3,Einstellungen!$B$4)</f>
        <v>29.13</v>
      </c>
      <c r="E2239" s="14" t="str">
        <f aca="false">IF(C2239="","",C2239*D2239/100)</f>
        <v/>
      </c>
      <c r="F2239" s="15" t="str">
        <f aca="false">IF(B2239&lt;5,"Go","Standard")</f>
        <v>Standard</v>
      </c>
    </row>
    <row r="2240" customFormat="false" ht="15" hidden="false" customHeight="true" outlineLevel="0" collapsed="false">
      <c r="A2240" s="10" t="n">
        <f aca="false">Einstellungen!$B$5+INT((ROW()-9)/24)</f>
        <v>46058</v>
      </c>
      <c r="B2240" s="11" t="n">
        <f aca="false">MOD(ROW()-9,24)</f>
        <v>23</v>
      </c>
      <c r="C2240" s="12"/>
      <c r="D2240" s="13" t="n">
        <f aca="false">IF(B2240&lt;5,Einstellungen!$B$3,Einstellungen!$B$4)</f>
        <v>29.13</v>
      </c>
      <c r="E2240" s="14" t="str">
        <f aca="false">IF(C2240="","",C2240*D2240/100)</f>
        <v/>
      </c>
      <c r="F2240" s="15" t="str">
        <f aca="false">IF(B2240&lt;5,"Go","Standard")</f>
        <v>Standard</v>
      </c>
    </row>
    <row r="2241" customFormat="false" ht="15" hidden="false" customHeight="true" outlineLevel="0" collapsed="false">
      <c r="A2241" s="10" t="n">
        <f aca="false">Einstellungen!$B$5+INT((ROW()-9)/24)</f>
        <v>46059</v>
      </c>
      <c r="B2241" s="11" t="n">
        <f aca="false">MOD(ROW()-9,24)</f>
        <v>0</v>
      </c>
      <c r="C2241" s="12"/>
      <c r="D2241" s="13" t="n">
        <f aca="false">IF(B2241&lt;5,Einstellungen!$B$3,Einstellungen!$B$4)</f>
        <v>15.92</v>
      </c>
      <c r="E2241" s="14" t="str">
        <f aca="false">IF(C2241="","",C2241*D2241/100)</f>
        <v/>
      </c>
      <c r="F2241" s="15" t="str">
        <f aca="false">IF(B2241&lt;5,"Go","Standard")</f>
        <v>Go</v>
      </c>
    </row>
    <row r="2242" customFormat="false" ht="15" hidden="false" customHeight="true" outlineLevel="0" collapsed="false">
      <c r="A2242" s="10" t="n">
        <f aca="false">Einstellungen!$B$5+INT((ROW()-9)/24)</f>
        <v>46059</v>
      </c>
      <c r="B2242" s="11" t="n">
        <f aca="false">MOD(ROW()-9,24)</f>
        <v>1</v>
      </c>
      <c r="C2242" s="12"/>
      <c r="D2242" s="13" t="n">
        <f aca="false">IF(B2242&lt;5,Einstellungen!$B$3,Einstellungen!$B$4)</f>
        <v>15.92</v>
      </c>
      <c r="E2242" s="14" t="str">
        <f aca="false">IF(C2242="","",C2242*D2242/100)</f>
        <v/>
      </c>
      <c r="F2242" s="15" t="str">
        <f aca="false">IF(B2242&lt;5,"Go","Standard")</f>
        <v>Go</v>
      </c>
    </row>
    <row r="2243" customFormat="false" ht="15" hidden="false" customHeight="true" outlineLevel="0" collapsed="false">
      <c r="A2243" s="10" t="n">
        <f aca="false">Einstellungen!$B$5+INT((ROW()-9)/24)</f>
        <v>46059</v>
      </c>
      <c r="B2243" s="11" t="n">
        <f aca="false">MOD(ROW()-9,24)</f>
        <v>2</v>
      </c>
      <c r="C2243" s="12"/>
      <c r="D2243" s="13" t="n">
        <f aca="false">IF(B2243&lt;5,Einstellungen!$B$3,Einstellungen!$B$4)</f>
        <v>15.92</v>
      </c>
      <c r="E2243" s="14" t="str">
        <f aca="false">IF(C2243="","",C2243*D2243/100)</f>
        <v/>
      </c>
      <c r="F2243" s="15" t="str">
        <f aca="false">IF(B2243&lt;5,"Go","Standard")</f>
        <v>Go</v>
      </c>
    </row>
    <row r="2244" customFormat="false" ht="15" hidden="false" customHeight="true" outlineLevel="0" collapsed="false">
      <c r="A2244" s="10" t="n">
        <f aca="false">Einstellungen!$B$5+INT((ROW()-9)/24)</f>
        <v>46059</v>
      </c>
      <c r="B2244" s="11" t="n">
        <f aca="false">MOD(ROW()-9,24)</f>
        <v>3</v>
      </c>
      <c r="C2244" s="12"/>
      <c r="D2244" s="13" t="n">
        <f aca="false">IF(B2244&lt;5,Einstellungen!$B$3,Einstellungen!$B$4)</f>
        <v>15.92</v>
      </c>
      <c r="E2244" s="14" t="str">
        <f aca="false">IF(C2244="","",C2244*D2244/100)</f>
        <v/>
      </c>
      <c r="F2244" s="15" t="str">
        <f aca="false">IF(B2244&lt;5,"Go","Standard")</f>
        <v>Go</v>
      </c>
    </row>
    <row r="2245" customFormat="false" ht="15" hidden="false" customHeight="true" outlineLevel="0" collapsed="false">
      <c r="A2245" s="10" t="n">
        <f aca="false">Einstellungen!$B$5+INT((ROW()-9)/24)</f>
        <v>46059</v>
      </c>
      <c r="B2245" s="11" t="n">
        <f aca="false">MOD(ROW()-9,24)</f>
        <v>4</v>
      </c>
      <c r="C2245" s="12"/>
      <c r="D2245" s="13" t="n">
        <f aca="false">IF(B2245&lt;5,Einstellungen!$B$3,Einstellungen!$B$4)</f>
        <v>15.92</v>
      </c>
      <c r="E2245" s="14" t="str">
        <f aca="false">IF(C2245="","",C2245*D2245/100)</f>
        <v/>
      </c>
      <c r="F2245" s="15" t="str">
        <f aca="false">IF(B2245&lt;5,"Go","Standard")</f>
        <v>Go</v>
      </c>
    </row>
    <row r="2246" customFormat="false" ht="15" hidden="false" customHeight="true" outlineLevel="0" collapsed="false">
      <c r="A2246" s="10" t="n">
        <f aca="false">Einstellungen!$B$5+INT((ROW()-9)/24)</f>
        <v>46059</v>
      </c>
      <c r="B2246" s="11" t="n">
        <f aca="false">MOD(ROW()-9,24)</f>
        <v>5</v>
      </c>
      <c r="C2246" s="12"/>
      <c r="D2246" s="13" t="n">
        <f aca="false">IF(B2246&lt;5,Einstellungen!$B$3,Einstellungen!$B$4)</f>
        <v>29.13</v>
      </c>
      <c r="E2246" s="14" t="str">
        <f aca="false">IF(C2246="","",C2246*D2246/100)</f>
        <v/>
      </c>
      <c r="F2246" s="15" t="str">
        <f aca="false">IF(B2246&lt;5,"Go","Standard")</f>
        <v>Standard</v>
      </c>
    </row>
    <row r="2247" customFormat="false" ht="15" hidden="false" customHeight="true" outlineLevel="0" collapsed="false">
      <c r="A2247" s="10" t="n">
        <f aca="false">Einstellungen!$B$5+INT((ROW()-9)/24)</f>
        <v>46059</v>
      </c>
      <c r="B2247" s="11" t="n">
        <f aca="false">MOD(ROW()-9,24)</f>
        <v>6</v>
      </c>
      <c r="C2247" s="12"/>
      <c r="D2247" s="13" t="n">
        <f aca="false">IF(B2247&lt;5,Einstellungen!$B$3,Einstellungen!$B$4)</f>
        <v>29.13</v>
      </c>
      <c r="E2247" s="14" t="str">
        <f aca="false">IF(C2247="","",C2247*D2247/100)</f>
        <v/>
      </c>
      <c r="F2247" s="15" t="str">
        <f aca="false">IF(B2247&lt;5,"Go","Standard")</f>
        <v>Standard</v>
      </c>
    </row>
    <row r="2248" customFormat="false" ht="15" hidden="false" customHeight="true" outlineLevel="0" collapsed="false">
      <c r="A2248" s="10" t="n">
        <f aca="false">Einstellungen!$B$5+INT((ROW()-9)/24)</f>
        <v>46059</v>
      </c>
      <c r="B2248" s="11" t="n">
        <f aca="false">MOD(ROW()-9,24)</f>
        <v>7</v>
      </c>
      <c r="C2248" s="12"/>
      <c r="D2248" s="13" t="n">
        <f aca="false">IF(B2248&lt;5,Einstellungen!$B$3,Einstellungen!$B$4)</f>
        <v>29.13</v>
      </c>
      <c r="E2248" s="14" t="str">
        <f aca="false">IF(C2248="","",C2248*D2248/100)</f>
        <v/>
      </c>
      <c r="F2248" s="15" t="str">
        <f aca="false">IF(B2248&lt;5,"Go","Standard")</f>
        <v>Standard</v>
      </c>
    </row>
    <row r="2249" customFormat="false" ht="15" hidden="false" customHeight="true" outlineLevel="0" collapsed="false">
      <c r="A2249" s="10" t="n">
        <f aca="false">Einstellungen!$B$5+INT((ROW()-9)/24)</f>
        <v>46059</v>
      </c>
      <c r="B2249" s="11" t="n">
        <f aca="false">MOD(ROW()-9,24)</f>
        <v>8</v>
      </c>
      <c r="C2249" s="12"/>
      <c r="D2249" s="13" t="n">
        <f aca="false">IF(B2249&lt;5,Einstellungen!$B$3,Einstellungen!$B$4)</f>
        <v>29.13</v>
      </c>
      <c r="E2249" s="14" t="str">
        <f aca="false">IF(C2249="","",C2249*D2249/100)</f>
        <v/>
      </c>
      <c r="F2249" s="15" t="str">
        <f aca="false">IF(B2249&lt;5,"Go","Standard")</f>
        <v>Standard</v>
      </c>
    </row>
    <row r="2250" customFormat="false" ht="15" hidden="false" customHeight="true" outlineLevel="0" collapsed="false">
      <c r="A2250" s="10" t="n">
        <f aca="false">Einstellungen!$B$5+INT((ROW()-9)/24)</f>
        <v>46059</v>
      </c>
      <c r="B2250" s="11" t="n">
        <f aca="false">MOD(ROW()-9,24)</f>
        <v>9</v>
      </c>
      <c r="C2250" s="12"/>
      <c r="D2250" s="13" t="n">
        <f aca="false">IF(B2250&lt;5,Einstellungen!$B$3,Einstellungen!$B$4)</f>
        <v>29.13</v>
      </c>
      <c r="E2250" s="14" t="str">
        <f aca="false">IF(C2250="","",C2250*D2250/100)</f>
        <v/>
      </c>
      <c r="F2250" s="15" t="str">
        <f aca="false">IF(B2250&lt;5,"Go","Standard")</f>
        <v>Standard</v>
      </c>
    </row>
    <row r="2251" customFormat="false" ht="15" hidden="false" customHeight="true" outlineLevel="0" collapsed="false">
      <c r="A2251" s="10" t="n">
        <f aca="false">Einstellungen!$B$5+INT((ROW()-9)/24)</f>
        <v>46059</v>
      </c>
      <c r="B2251" s="11" t="n">
        <f aca="false">MOD(ROW()-9,24)</f>
        <v>10</v>
      </c>
      <c r="C2251" s="12"/>
      <c r="D2251" s="13" t="n">
        <f aca="false">IF(B2251&lt;5,Einstellungen!$B$3,Einstellungen!$B$4)</f>
        <v>29.13</v>
      </c>
      <c r="E2251" s="14" t="str">
        <f aca="false">IF(C2251="","",C2251*D2251/100)</f>
        <v/>
      </c>
      <c r="F2251" s="15" t="str">
        <f aca="false">IF(B2251&lt;5,"Go","Standard")</f>
        <v>Standard</v>
      </c>
    </row>
    <row r="2252" customFormat="false" ht="15" hidden="false" customHeight="true" outlineLevel="0" collapsed="false">
      <c r="A2252" s="10" t="n">
        <f aca="false">Einstellungen!$B$5+INT((ROW()-9)/24)</f>
        <v>46059</v>
      </c>
      <c r="B2252" s="11" t="n">
        <f aca="false">MOD(ROW()-9,24)</f>
        <v>11</v>
      </c>
      <c r="C2252" s="12"/>
      <c r="D2252" s="13" t="n">
        <f aca="false">IF(B2252&lt;5,Einstellungen!$B$3,Einstellungen!$B$4)</f>
        <v>29.13</v>
      </c>
      <c r="E2252" s="14" t="str">
        <f aca="false">IF(C2252="","",C2252*D2252/100)</f>
        <v/>
      </c>
      <c r="F2252" s="15" t="str">
        <f aca="false">IF(B2252&lt;5,"Go","Standard")</f>
        <v>Standard</v>
      </c>
    </row>
    <row r="2253" customFormat="false" ht="15" hidden="false" customHeight="true" outlineLevel="0" collapsed="false">
      <c r="A2253" s="10" t="n">
        <f aca="false">Einstellungen!$B$5+INT((ROW()-9)/24)</f>
        <v>46059</v>
      </c>
      <c r="B2253" s="11" t="n">
        <f aca="false">MOD(ROW()-9,24)</f>
        <v>12</v>
      </c>
      <c r="C2253" s="12"/>
      <c r="D2253" s="13" t="n">
        <f aca="false">IF(B2253&lt;5,Einstellungen!$B$3,Einstellungen!$B$4)</f>
        <v>29.13</v>
      </c>
      <c r="E2253" s="14" t="str">
        <f aca="false">IF(C2253="","",C2253*D2253/100)</f>
        <v/>
      </c>
      <c r="F2253" s="15" t="str">
        <f aca="false">IF(B2253&lt;5,"Go","Standard")</f>
        <v>Standard</v>
      </c>
    </row>
    <row r="2254" customFormat="false" ht="15" hidden="false" customHeight="true" outlineLevel="0" collapsed="false">
      <c r="A2254" s="10" t="n">
        <f aca="false">Einstellungen!$B$5+INT((ROW()-9)/24)</f>
        <v>46059</v>
      </c>
      <c r="B2254" s="11" t="n">
        <f aca="false">MOD(ROW()-9,24)</f>
        <v>13</v>
      </c>
      <c r="C2254" s="12"/>
      <c r="D2254" s="13" t="n">
        <f aca="false">IF(B2254&lt;5,Einstellungen!$B$3,Einstellungen!$B$4)</f>
        <v>29.13</v>
      </c>
      <c r="E2254" s="14" t="str">
        <f aca="false">IF(C2254="","",C2254*D2254/100)</f>
        <v/>
      </c>
      <c r="F2254" s="15" t="str">
        <f aca="false">IF(B2254&lt;5,"Go","Standard")</f>
        <v>Standard</v>
      </c>
    </row>
    <row r="2255" customFormat="false" ht="15" hidden="false" customHeight="true" outlineLevel="0" collapsed="false">
      <c r="A2255" s="10" t="n">
        <f aca="false">Einstellungen!$B$5+INT((ROW()-9)/24)</f>
        <v>46059</v>
      </c>
      <c r="B2255" s="11" t="n">
        <f aca="false">MOD(ROW()-9,24)</f>
        <v>14</v>
      </c>
      <c r="C2255" s="12"/>
      <c r="D2255" s="13" t="n">
        <f aca="false">IF(B2255&lt;5,Einstellungen!$B$3,Einstellungen!$B$4)</f>
        <v>29.13</v>
      </c>
      <c r="E2255" s="14" t="str">
        <f aca="false">IF(C2255="","",C2255*D2255/100)</f>
        <v/>
      </c>
      <c r="F2255" s="15" t="str">
        <f aca="false">IF(B2255&lt;5,"Go","Standard")</f>
        <v>Standard</v>
      </c>
    </row>
    <row r="2256" customFormat="false" ht="15" hidden="false" customHeight="true" outlineLevel="0" collapsed="false">
      <c r="A2256" s="10" t="n">
        <f aca="false">Einstellungen!$B$5+INT((ROW()-9)/24)</f>
        <v>46059</v>
      </c>
      <c r="B2256" s="11" t="n">
        <f aca="false">MOD(ROW()-9,24)</f>
        <v>15</v>
      </c>
      <c r="C2256" s="12"/>
      <c r="D2256" s="13" t="n">
        <f aca="false">IF(B2256&lt;5,Einstellungen!$B$3,Einstellungen!$B$4)</f>
        <v>29.13</v>
      </c>
      <c r="E2256" s="14" t="str">
        <f aca="false">IF(C2256="","",C2256*D2256/100)</f>
        <v/>
      </c>
      <c r="F2256" s="15" t="str">
        <f aca="false">IF(B2256&lt;5,"Go","Standard")</f>
        <v>Standard</v>
      </c>
    </row>
    <row r="2257" customFormat="false" ht="15" hidden="false" customHeight="true" outlineLevel="0" collapsed="false">
      <c r="A2257" s="10" t="n">
        <f aca="false">Einstellungen!$B$5+INT((ROW()-9)/24)</f>
        <v>46059</v>
      </c>
      <c r="B2257" s="11" t="n">
        <f aca="false">MOD(ROW()-9,24)</f>
        <v>16</v>
      </c>
      <c r="C2257" s="12"/>
      <c r="D2257" s="13" t="n">
        <f aca="false">IF(B2257&lt;5,Einstellungen!$B$3,Einstellungen!$B$4)</f>
        <v>29.13</v>
      </c>
      <c r="E2257" s="14" t="str">
        <f aca="false">IF(C2257="","",C2257*D2257/100)</f>
        <v/>
      </c>
      <c r="F2257" s="15" t="str">
        <f aca="false">IF(B2257&lt;5,"Go","Standard")</f>
        <v>Standard</v>
      </c>
    </row>
    <row r="2258" customFormat="false" ht="15" hidden="false" customHeight="true" outlineLevel="0" collapsed="false">
      <c r="A2258" s="10" t="n">
        <f aca="false">Einstellungen!$B$5+INT((ROW()-9)/24)</f>
        <v>46059</v>
      </c>
      <c r="B2258" s="11" t="n">
        <f aca="false">MOD(ROW()-9,24)</f>
        <v>17</v>
      </c>
      <c r="C2258" s="12"/>
      <c r="D2258" s="13" t="n">
        <f aca="false">IF(B2258&lt;5,Einstellungen!$B$3,Einstellungen!$B$4)</f>
        <v>29.13</v>
      </c>
      <c r="E2258" s="14" t="str">
        <f aca="false">IF(C2258="","",C2258*D2258/100)</f>
        <v/>
      </c>
      <c r="F2258" s="15" t="str">
        <f aca="false">IF(B2258&lt;5,"Go","Standard")</f>
        <v>Standard</v>
      </c>
    </row>
    <row r="2259" customFormat="false" ht="15" hidden="false" customHeight="true" outlineLevel="0" collapsed="false">
      <c r="A2259" s="10" t="n">
        <f aca="false">Einstellungen!$B$5+INT((ROW()-9)/24)</f>
        <v>46059</v>
      </c>
      <c r="B2259" s="11" t="n">
        <f aca="false">MOD(ROW()-9,24)</f>
        <v>18</v>
      </c>
      <c r="C2259" s="12"/>
      <c r="D2259" s="13" t="n">
        <f aca="false">IF(B2259&lt;5,Einstellungen!$B$3,Einstellungen!$B$4)</f>
        <v>29.13</v>
      </c>
      <c r="E2259" s="14" t="str">
        <f aca="false">IF(C2259="","",C2259*D2259/100)</f>
        <v/>
      </c>
      <c r="F2259" s="15" t="str">
        <f aca="false">IF(B2259&lt;5,"Go","Standard")</f>
        <v>Standard</v>
      </c>
    </row>
    <row r="2260" customFormat="false" ht="15" hidden="false" customHeight="true" outlineLevel="0" collapsed="false">
      <c r="A2260" s="10" t="n">
        <f aca="false">Einstellungen!$B$5+INT((ROW()-9)/24)</f>
        <v>46059</v>
      </c>
      <c r="B2260" s="11" t="n">
        <f aca="false">MOD(ROW()-9,24)</f>
        <v>19</v>
      </c>
      <c r="C2260" s="12"/>
      <c r="D2260" s="13" t="n">
        <f aca="false">IF(B2260&lt;5,Einstellungen!$B$3,Einstellungen!$B$4)</f>
        <v>29.13</v>
      </c>
      <c r="E2260" s="14" t="str">
        <f aca="false">IF(C2260="","",C2260*D2260/100)</f>
        <v/>
      </c>
      <c r="F2260" s="15" t="str">
        <f aca="false">IF(B2260&lt;5,"Go","Standard")</f>
        <v>Standard</v>
      </c>
    </row>
    <row r="2261" customFormat="false" ht="15" hidden="false" customHeight="true" outlineLevel="0" collapsed="false">
      <c r="A2261" s="10" t="n">
        <f aca="false">Einstellungen!$B$5+INT((ROW()-9)/24)</f>
        <v>46059</v>
      </c>
      <c r="B2261" s="11" t="n">
        <f aca="false">MOD(ROW()-9,24)</f>
        <v>20</v>
      </c>
      <c r="C2261" s="12"/>
      <c r="D2261" s="13" t="n">
        <f aca="false">IF(B2261&lt;5,Einstellungen!$B$3,Einstellungen!$B$4)</f>
        <v>29.13</v>
      </c>
      <c r="E2261" s="14" t="str">
        <f aca="false">IF(C2261="","",C2261*D2261/100)</f>
        <v/>
      </c>
      <c r="F2261" s="15" t="str">
        <f aca="false">IF(B2261&lt;5,"Go","Standard")</f>
        <v>Standard</v>
      </c>
    </row>
    <row r="2262" customFormat="false" ht="15" hidden="false" customHeight="true" outlineLevel="0" collapsed="false">
      <c r="A2262" s="10" t="n">
        <f aca="false">Einstellungen!$B$5+INT((ROW()-9)/24)</f>
        <v>46059</v>
      </c>
      <c r="B2262" s="11" t="n">
        <f aca="false">MOD(ROW()-9,24)</f>
        <v>21</v>
      </c>
      <c r="C2262" s="12"/>
      <c r="D2262" s="13" t="n">
        <f aca="false">IF(B2262&lt;5,Einstellungen!$B$3,Einstellungen!$B$4)</f>
        <v>29.13</v>
      </c>
      <c r="E2262" s="14" t="str">
        <f aca="false">IF(C2262="","",C2262*D2262/100)</f>
        <v/>
      </c>
      <c r="F2262" s="15" t="str">
        <f aca="false">IF(B2262&lt;5,"Go","Standard")</f>
        <v>Standard</v>
      </c>
    </row>
    <row r="2263" customFormat="false" ht="15" hidden="false" customHeight="true" outlineLevel="0" collapsed="false">
      <c r="A2263" s="10" t="n">
        <f aca="false">Einstellungen!$B$5+INT((ROW()-9)/24)</f>
        <v>46059</v>
      </c>
      <c r="B2263" s="11" t="n">
        <f aca="false">MOD(ROW()-9,24)</f>
        <v>22</v>
      </c>
      <c r="C2263" s="12"/>
      <c r="D2263" s="13" t="n">
        <f aca="false">IF(B2263&lt;5,Einstellungen!$B$3,Einstellungen!$B$4)</f>
        <v>29.13</v>
      </c>
      <c r="E2263" s="14" t="str">
        <f aca="false">IF(C2263="","",C2263*D2263/100)</f>
        <v/>
      </c>
      <c r="F2263" s="15" t="str">
        <f aca="false">IF(B2263&lt;5,"Go","Standard")</f>
        <v>Standard</v>
      </c>
    </row>
    <row r="2264" customFormat="false" ht="15" hidden="false" customHeight="true" outlineLevel="0" collapsed="false">
      <c r="A2264" s="10" t="n">
        <f aca="false">Einstellungen!$B$5+INT((ROW()-9)/24)</f>
        <v>46059</v>
      </c>
      <c r="B2264" s="11" t="n">
        <f aca="false">MOD(ROW()-9,24)</f>
        <v>23</v>
      </c>
      <c r="C2264" s="12"/>
      <c r="D2264" s="13" t="n">
        <f aca="false">IF(B2264&lt;5,Einstellungen!$B$3,Einstellungen!$B$4)</f>
        <v>29.13</v>
      </c>
      <c r="E2264" s="14" t="str">
        <f aca="false">IF(C2264="","",C2264*D2264/100)</f>
        <v/>
      </c>
      <c r="F2264" s="15" t="str">
        <f aca="false">IF(B2264&lt;5,"Go","Standard")</f>
        <v>Standard</v>
      </c>
    </row>
    <row r="2265" customFormat="false" ht="15" hidden="false" customHeight="true" outlineLevel="0" collapsed="false">
      <c r="A2265" s="10" t="n">
        <f aca="false">Einstellungen!$B$5+INT((ROW()-9)/24)</f>
        <v>46060</v>
      </c>
      <c r="B2265" s="11" t="n">
        <f aca="false">MOD(ROW()-9,24)</f>
        <v>0</v>
      </c>
      <c r="C2265" s="12"/>
      <c r="D2265" s="13" t="n">
        <f aca="false">IF(B2265&lt;5,Einstellungen!$B$3,Einstellungen!$B$4)</f>
        <v>15.92</v>
      </c>
      <c r="E2265" s="14" t="str">
        <f aca="false">IF(C2265="","",C2265*D2265/100)</f>
        <v/>
      </c>
      <c r="F2265" s="15" t="str">
        <f aca="false">IF(B2265&lt;5,"Go","Standard")</f>
        <v>Go</v>
      </c>
    </row>
    <row r="2266" customFormat="false" ht="15" hidden="false" customHeight="true" outlineLevel="0" collapsed="false">
      <c r="A2266" s="10" t="n">
        <f aca="false">Einstellungen!$B$5+INT((ROW()-9)/24)</f>
        <v>46060</v>
      </c>
      <c r="B2266" s="11" t="n">
        <f aca="false">MOD(ROW()-9,24)</f>
        <v>1</v>
      </c>
      <c r="C2266" s="12"/>
      <c r="D2266" s="13" t="n">
        <f aca="false">IF(B2266&lt;5,Einstellungen!$B$3,Einstellungen!$B$4)</f>
        <v>15.92</v>
      </c>
      <c r="E2266" s="14" t="str">
        <f aca="false">IF(C2266="","",C2266*D2266/100)</f>
        <v/>
      </c>
      <c r="F2266" s="15" t="str">
        <f aca="false">IF(B2266&lt;5,"Go","Standard")</f>
        <v>Go</v>
      </c>
    </row>
    <row r="2267" customFormat="false" ht="15" hidden="false" customHeight="true" outlineLevel="0" collapsed="false">
      <c r="A2267" s="10" t="n">
        <f aca="false">Einstellungen!$B$5+INT((ROW()-9)/24)</f>
        <v>46060</v>
      </c>
      <c r="B2267" s="11" t="n">
        <f aca="false">MOD(ROW()-9,24)</f>
        <v>2</v>
      </c>
      <c r="C2267" s="12"/>
      <c r="D2267" s="13" t="n">
        <f aca="false">IF(B2267&lt;5,Einstellungen!$B$3,Einstellungen!$B$4)</f>
        <v>15.92</v>
      </c>
      <c r="E2267" s="14" t="str">
        <f aca="false">IF(C2267="","",C2267*D2267/100)</f>
        <v/>
      </c>
      <c r="F2267" s="15" t="str">
        <f aca="false">IF(B2267&lt;5,"Go","Standard")</f>
        <v>Go</v>
      </c>
    </row>
    <row r="2268" customFormat="false" ht="15" hidden="false" customHeight="true" outlineLevel="0" collapsed="false">
      <c r="A2268" s="10" t="n">
        <f aca="false">Einstellungen!$B$5+INT((ROW()-9)/24)</f>
        <v>46060</v>
      </c>
      <c r="B2268" s="11" t="n">
        <f aca="false">MOD(ROW()-9,24)</f>
        <v>3</v>
      </c>
      <c r="C2268" s="12"/>
      <c r="D2268" s="13" t="n">
        <f aca="false">IF(B2268&lt;5,Einstellungen!$B$3,Einstellungen!$B$4)</f>
        <v>15.92</v>
      </c>
      <c r="E2268" s="14" t="str">
        <f aca="false">IF(C2268="","",C2268*D2268/100)</f>
        <v/>
      </c>
      <c r="F2268" s="15" t="str">
        <f aca="false">IF(B2268&lt;5,"Go","Standard")</f>
        <v>Go</v>
      </c>
    </row>
    <row r="2269" customFormat="false" ht="15" hidden="false" customHeight="true" outlineLevel="0" collapsed="false">
      <c r="A2269" s="10" t="n">
        <f aca="false">Einstellungen!$B$5+INT((ROW()-9)/24)</f>
        <v>46060</v>
      </c>
      <c r="B2269" s="11" t="n">
        <f aca="false">MOD(ROW()-9,24)</f>
        <v>4</v>
      </c>
      <c r="C2269" s="12"/>
      <c r="D2269" s="13" t="n">
        <f aca="false">IF(B2269&lt;5,Einstellungen!$B$3,Einstellungen!$B$4)</f>
        <v>15.92</v>
      </c>
      <c r="E2269" s="14" t="str">
        <f aca="false">IF(C2269="","",C2269*D2269/100)</f>
        <v/>
      </c>
      <c r="F2269" s="15" t="str">
        <f aca="false">IF(B2269&lt;5,"Go","Standard")</f>
        <v>Go</v>
      </c>
    </row>
    <row r="2270" customFormat="false" ht="15" hidden="false" customHeight="true" outlineLevel="0" collapsed="false">
      <c r="A2270" s="10" t="n">
        <f aca="false">Einstellungen!$B$5+INT((ROW()-9)/24)</f>
        <v>46060</v>
      </c>
      <c r="B2270" s="11" t="n">
        <f aca="false">MOD(ROW()-9,24)</f>
        <v>5</v>
      </c>
      <c r="C2270" s="12"/>
      <c r="D2270" s="13" t="n">
        <f aca="false">IF(B2270&lt;5,Einstellungen!$B$3,Einstellungen!$B$4)</f>
        <v>29.13</v>
      </c>
      <c r="E2270" s="14" t="str">
        <f aca="false">IF(C2270="","",C2270*D2270/100)</f>
        <v/>
      </c>
      <c r="F2270" s="15" t="str">
        <f aca="false">IF(B2270&lt;5,"Go","Standard")</f>
        <v>Standard</v>
      </c>
    </row>
    <row r="2271" customFormat="false" ht="15" hidden="false" customHeight="true" outlineLevel="0" collapsed="false">
      <c r="A2271" s="10" t="n">
        <f aca="false">Einstellungen!$B$5+INT((ROW()-9)/24)</f>
        <v>46060</v>
      </c>
      <c r="B2271" s="11" t="n">
        <f aca="false">MOD(ROW()-9,24)</f>
        <v>6</v>
      </c>
      <c r="C2271" s="12"/>
      <c r="D2271" s="13" t="n">
        <f aca="false">IF(B2271&lt;5,Einstellungen!$B$3,Einstellungen!$B$4)</f>
        <v>29.13</v>
      </c>
      <c r="E2271" s="14" t="str">
        <f aca="false">IF(C2271="","",C2271*D2271/100)</f>
        <v/>
      </c>
      <c r="F2271" s="15" t="str">
        <f aca="false">IF(B2271&lt;5,"Go","Standard")</f>
        <v>Standard</v>
      </c>
    </row>
    <row r="2272" customFormat="false" ht="15" hidden="false" customHeight="true" outlineLevel="0" collapsed="false">
      <c r="A2272" s="10" t="n">
        <f aca="false">Einstellungen!$B$5+INT((ROW()-9)/24)</f>
        <v>46060</v>
      </c>
      <c r="B2272" s="11" t="n">
        <f aca="false">MOD(ROW()-9,24)</f>
        <v>7</v>
      </c>
      <c r="C2272" s="12"/>
      <c r="D2272" s="13" t="n">
        <f aca="false">IF(B2272&lt;5,Einstellungen!$B$3,Einstellungen!$B$4)</f>
        <v>29.13</v>
      </c>
      <c r="E2272" s="14" t="str">
        <f aca="false">IF(C2272="","",C2272*D2272/100)</f>
        <v/>
      </c>
      <c r="F2272" s="15" t="str">
        <f aca="false">IF(B2272&lt;5,"Go","Standard")</f>
        <v>Standard</v>
      </c>
    </row>
    <row r="2273" customFormat="false" ht="15" hidden="false" customHeight="true" outlineLevel="0" collapsed="false">
      <c r="A2273" s="10" t="n">
        <f aca="false">Einstellungen!$B$5+INT((ROW()-9)/24)</f>
        <v>46060</v>
      </c>
      <c r="B2273" s="11" t="n">
        <f aca="false">MOD(ROW()-9,24)</f>
        <v>8</v>
      </c>
      <c r="C2273" s="12"/>
      <c r="D2273" s="13" t="n">
        <f aca="false">IF(B2273&lt;5,Einstellungen!$B$3,Einstellungen!$B$4)</f>
        <v>29.13</v>
      </c>
      <c r="E2273" s="14" t="str">
        <f aca="false">IF(C2273="","",C2273*D2273/100)</f>
        <v/>
      </c>
      <c r="F2273" s="15" t="str">
        <f aca="false">IF(B2273&lt;5,"Go","Standard")</f>
        <v>Standard</v>
      </c>
    </row>
    <row r="2274" customFormat="false" ht="15" hidden="false" customHeight="true" outlineLevel="0" collapsed="false">
      <c r="A2274" s="10" t="n">
        <f aca="false">Einstellungen!$B$5+INT((ROW()-9)/24)</f>
        <v>46060</v>
      </c>
      <c r="B2274" s="11" t="n">
        <f aca="false">MOD(ROW()-9,24)</f>
        <v>9</v>
      </c>
      <c r="C2274" s="12"/>
      <c r="D2274" s="13" t="n">
        <f aca="false">IF(B2274&lt;5,Einstellungen!$B$3,Einstellungen!$B$4)</f>
        <v>29.13</v>
      </c>
      <c r="E2274" s="14" t="str">
        <f aca="false">IF(C2274="","",C2274*D2274/100)</f>
        <v/>
      </c>
      <c r="F2274" s="15" t="str">
        <f aca="false">IF(B2274&lt;5,"Go","Standard")</f>
        <v>Standard</v>
      </c>
    </row>
    <row r="2275" customFormat="false" ht="15" hidden="false" customHeight="true" outlineLevel="0" collapsed="false">
      <c r="A2275" s="10" t="n">
        <f aca="false">Einstellungen!$B$5+INT((ROW()-9)/24)</f>
        <v>46060</v>
      </c>
      <c r="B2275" s="11" t="n">
        <f aca="false">MOD(ROW()-9,24)</f>
        <v>10</v>
      </c>
      <c r="C2275" s="12"/>
      <c r="D2275" s="13" t="n">
        <f aca="false">IF(B2275&lt;5,Einstellungen!$B$3,Einstellungen!$B$4)</f>
        <v>29.13</v>
      </c>
      <c r="E2275" s="14" t="str">
        <f aca="false">IF(C2275="","",C2275*D2275/100)</f>
        <v/>
      </c>
      <c r="F2275" s="15" t="str">
        <f aca="false">IF(B2275&lt;5,"Go","Standard")</f>
        <v>Standard</v>
      </c>
    </row>
    <row r="2276" customFormat="false" ht="15" hidden="false" customHeight="true" outlineLevel="0" collapsed="false">
      <c r="A2276" s="10" t="n">
        <f aca="false">Einstellungen!$B$5+INT((ROW()-9)/24)</f>
        <v>46060</v>
      </c>
      <c r="B2276" s="11" t="n">
        <f aca="false">MOD(ROW()-9,24)</f>
        <v>11</v>
      </c>
      <c r="C2276" s="12"/>
      <c r="D2276" s="13" t="n">
        <f aca="false">IF(B2276&lt;5,Einstellungen!$B$3,Einstellungen!$B$4)</f>
        <v>29.13</v>
      </c>
      <c r="E2276" s="14" t="str">
        <f aca="false">IF(C2276="","",C2276*D2276/100)</f>
        <v/>
      </c>
      <c r="F2276" s="15" t="str">
        <f aca="false">IF(B2276&lt;5,"Go","Standard")</f>
        <v>Standard</v>
      </c>
    </row>
    <row r="2277" customFormat="false" ht="15" hidden="false" customHeight="true" outlineLevel="0" collapsed="false">
      <c r="A2277" s="10" t="n">
        <f aca="false">Einstellungen!$B$5+INT((ROW()-9)/24)</f>
        <v>46060</v>
      </c>
      <c r="B2277" s="11" t="n">
        <f aca="false">MOD(ROW()-9,24)</f>
        <v>12</v>
      </c>
      <c r="C2277" s="12"/>
      <c r="D2277" s="13" t="n">
        <f aca="false">IF(B2277&lt;5,Einstellungen!$B$3,Einstellungen!$B$4)</f>
        <v>29.13</v>
      </c>
      <c r="E2277" s="14" t="str">
        <f aca="false">IF(C2277="","",C2277*D2277/100)</f>
        <v/>
      </c>
      <c r="F2277" s="15" t="str">
        <f aca="false">IF(B2277&lt;5,"Go","Standard")</f>
        <v>Standard</v>
      </c>
    </row>
    <row r="2278" customFormat="false" ht="15" hidden="false" customHeight="true" outlineLevel="0" collapsed="false">
      <c r="A2278" s="10" t="n">
        <f aca="false">Einstellungen!$B$5+INT((ROW()-9)/24)</f>
        <v>46060</v>
      </c>
      <c r="B2278" s="11" t="n">
        <f aca="false">MOD(ROW()-9,24)</f>
        <v>13</v>
      </c>
      <c r="C2278" s="12"/>
      <c r="D2278" s="13" t="n">
        <f aca="false">IF(B2278&lt;5,Einstellungen!$B$3,Einstellungen!$B$4)</f>
        <v>29.13</v>
      </c>
      <c r="E2278" s="14" t="str">
        <f aca="false">IF(C2278="","",C2278*D2278/100)</f>
        <v/>
      </c>
      <c r="F2278" s="15" t="str">
        <f aca="false">IF(B2278&lt;5,"Go","Standard")</f>
        <v>Standard</v>
      </c>
    </row>
    <row r="2279" customFormat="false" ht="15" hidden="false" customHeight="true" outlineLevel="0" collapsed="false">
      <c r="A2279" s="10" t="n">
        <f aca="false">Einstellungen!$B$5+INT((ROW()-9)/24)</f>
        <v>46060</v>
      </c>
      <c r="B2279" s="11" t="n">
        <f aca="false">MOD(ROW()-9,24)</f>
        <v>14</v>
      </c>
      <c r="C2279" s="12"/>
      <c r="D2279" s="13" t="n">
        <f aca="false">IF(B2279&lt;5,Einstellungen!$B$3,Einstellungen!$B$4)</f>
        <v>29.13</v>
      </c>
      <c r="E2279" s="14" t="str">
        <f aca="false">IF(C2279="","",C2279*D2279/100)</f>
        <v/>
      </c>
      <c r="F2279" s="15" t="str">
        <f aca="false">IF(B2279&lt;5,"Go","Standard")</f>
        <v>Standard</v>
      </c>
    </row>
    <row r="2280" customFormat="false" ht="15" hidden="false" customHeight="true" outlineLevel="0" collapsed="false">
      <c r="A2280" s="10" t="n">
        <f aca="false">Einstellungen!$B$5+INT((ROW()-9)/24)</f>
        <v>46060</v>
      </c>
      <c r="B2280" s="11" t="n">
        <f aca="false">MOD(ROW()-9,24)</f>
        <v>15</v>
      </c>
      <c r="C2280" s="12"/>
      <c r="D2280" s="13" t="n">
        <f aca="false">IF(B2280&lt;5,Einstellungen!$B$3,Einstellungen!$B$4)</f>
        <v>29.13</v>
      </c>
      <c r="E2280" s="14" t="str">
        <f aca="false">IF(C2280="","",C2280*D2280/100)</f>
        <v/>
      </c>
      <c r="F2280" s="15" t="str">
        <f aca="false">IF(B2280&lt;5,"Go","Standard")</f>
        <v>Standard</v>
      </c>
    </row>
    <row r="2281" customFormat="false" ht="15" hidden="false" customHeight="true" outlineLevel="0" collapsed="false">
      <c r="A2281" s="10" t="n">
        <f aca="false">Einstellungen!$B$5+INT((ROW()-9)/24)</f>
        <v>46060</v>
      </c>
      <c r="B2281" s="11" t="n">
        <f aca="false">MOD(ROW()-9,24)</f>
        <v>16</v>
      </c>
      <c r="C2281" s="12"/>
      <c r="D2281" s="13" t="n">
        <f aca="false">IF(B2281&lt;5,Einstellungen!$B$3,Einstellungen!$B$4)</f>
        <v>29.13</v>
      </c>
      <c r="E2281" s="14" t="str">
        <f aca="false">IF(C2281="","",C2281*D2281/100)</f>
        <v/>
      </c>
      <c r="F2281" s="15" t="str">
        <f aca="false">IF(B2281&lt;5,"Go","Standard")</f>
        <v>Standard</v>
      </c>
    </row>
    <row r="2282" customFormat="false" ht="15" hidden="false" customHeight="true" outlineLevel="0" collapsed="false">
      <c r="A2282" s="10" t="n">
        <f aca="false">Einstellungen!$B$5+INT((ROW()-9)/24)</f>
        <v>46060</v>
      </c>
      <c r="B2282" s="11" t="n">
        <f aca="false">MOD(ROW()-9,24)</f>
        <v>17</v>
      </c>
      <c r="C2282" s="12"/>
      <c r="D2282" s="13" t="n">
        <f aca="false">IF(B2282&lt;5,Einstellungen!$B$3,Einstellungen!$B$4)</f>
        <v>29.13</v>
      </c>
      <c r="E2282" s="14" t="str">
        <f aca="false">IF(C2282="","",C2282*D2282/100)</f>
        <v/>
      </c>
      <c r="F2282" s="15" t="str">
        <f aca="false">IF(B2282&lt;5,"Go","Standard")</f>
        <v>Standard</v>
      </c>
    </row>
    <row r="2283" customFormat="false" ht="15" hidden="false" customHeight="true" outlineLevel="0" collapsed="false">
      <c r="A2283" s="10" t="n">
        <f aca="false">Einstellungen!$B$5+INT((ROW()-9)/24)</f>
        <v>46060</v>
      </c>
      <c r="B2283" s="11" t="n">
        <f aca="false">MOD(ROW()-9,24)</f>
        <v>18</v>
      </c>
      <c r="C2283" s="12"/>
      <c r="D2283" s="13" t="n">
        <f aca="false">IF(B2283&lt;5,Einstellungen!$B$3,Einstellungen!$B$4)</f>
        <v>29.13</v>
      </c>
      <c r="E2283" s="14" t="str">
        <f aca="false">IF(C2283="","",C2283*D2283/100)</f>
        <v/>
      </c>
      <c r="F2283" s="15" t="str">
        <f aca="false">IF(B2283&lt;5,"Go","Standard")</f>
        <v>Standard</v>
      </c>
    </row>
    <row r="2284" customFormat="false" ht="15" hidden="false" customHeight="true" outlineLevel="0" collapsed="false">
      <c r="A2284" s="10" t="n">
        <f aca="false">Einstellungen!$B$5+INT((ROW()-9)/24)</f>
        <v>46060</v>
      </c>
      <c r="B2284" s="11" t="n">
        <f aca="false">MOD(ROW()-9,24)</f>
        <v>19</v>
      </c>
      <c r="C2284" s="12"/>
      <c r="D2284" s="13" t="n">
        <f aca="false">IF(B2284&lt;5,Einstellungen!$B$3,Einstellungen!$B$4)</f>
        <v>29.13</v>
      </c>
      <c r="E2284" s="14" t="str">
        <f aca="false">IF(C2284="","",C2284*D2284/100)</f>
        <v/>
      </c>
      <c r="F2284" s="15" t="str">
        <f aca="false">IF(B2284&lt;5,"Go","Standard")</f>
        <v>Standard</v>
      </c>
    </row>
    <row r="2285" customFormat="false" ht="15" hidden="false" customHeight="true" outlineLevel="0" collapsed="false">
      <c r="A2285" s="10" t="n">
        <f aca="false">Einstellungen!$B$5+INT((ROW()-9)/24)</f>
        <v>46060</v>
      </c>
      <c r="B2285" s="11" t="n">
        <f aca="false">MOD(ROW()-9,24)</f>
        <v>20</v>
      </c>
      <c r="C2285" s="12"/>
      <c r="D2285" s="13" t="n">
        <f aca="false">IF(B2285&lt;5,Einstellungen!$B$3,Einstellungen!$B$4)</f>
        <v>29.13</v>
      </c>
      <c r="E2285" s="14" t="str">
        <f aca="false">IF(C2285="","",C2285*D2285/100)</f>
        <v/>
      </c>
      <c r="F2285" s="15" t="str">
        <f aca="false">IF(B2285&lt;5,"Go","Standard")</f>
        <v>Standard</v>
      </c>
    </row>
    <row r="2286" customFormat="false" ht="15" hidden="false" customHeight="true" outlineLevel="0" collapsed="false">
      <c r="A2286" s="10" t="n">
        <f aca="false">Einstellungen!$B$5+INT((ROW()-9)/24)</f>
        <v>46060</v>
      </c>
      <c r="B2286" s="11" t="n">
        <f aca="false">MOD(ROW()-9,24)</f>
        <v>21</v>
      </c>
      <c r="C2286" s="12"/>
      <c r="D2286" s="13" t="n">
        <f aca="false">IF(B2286&lt;5,Einstellungen!$B$3,Einstellungen!$B$4)</f>
        <v>29.13</v>
      </c>
      <c r="E2286" s="14" t="str">
        <f aca="false">IF(C2286="","",C2286*D2286/100)</f>
        <v/>
      </c>
      <c r="F2286" s="15" t="str">
        <f aca="false">IF(B2286&lt;5,"Go","Standard")</f>
        <v>Standard</v>
      </c>
    </row>
    <row r="2287" customFormat="false" ht="15" hidden="false" customHeight="true" outlineLevel="0" collapsed="false">
      <c r="A2287" s="10" t="n">
        <f aca="false">Einstellungen!$B$5+INT((ROW()-9)/24)</f>
        <v>46060</v>
      </c>
      <c r="B2287" s="11" t="n">
        <f aca="false">MOD(ROW()-9,24)</f>
        <v>22</v>
      </c>
      <c r="C2287" s="12"/>
      <c r="D2287" s="13" t="n">
        <f aca="false">IF(B2287&lt;5,Einstellungen!$B$3,Einstellungen!$B$4)</f>
        <v>29.13</v>
      </c>
      <c r="E2287" s="14" t="str">
        <f aca="false">IF(C2287="","",C2287*D2287/100)</f>
        <v/>
      </c>
      <c r="F2287" s="15" t="str">
        <f aca="false">IF(B2287&lt;5,"Go","Standard")</f>
        <v>Standard</v>
      </c>
    </row>
    <row r="2288" customFormat="false" ht="15" hidden="false" customHeight="true" outlineLevel="0" collapsed="false">
      <c r="A2288" s="10" t="n">
        <f aca="false">Einstellungen!$B$5+INT((ROW()-9)/24)</f>
        <v>46060</v>
      </c>
      <c r="B2288" s="11" t="n">
        <f aca="false">MOD(ROW()-9,24)</f>
        <v>23</v>
      </c>
      <c r="C2288" s="12"/>
      <c r="D2288" s="13" t="n">
        <f aca="false">IF(B2288&lt;5,Einstellungen!$B$3,Einstellungen!$B$4)</f>
        <v>29.13</v>
      </c>
      <c r="E2288" s="14" t="str">
        <f aca="false">IF(C2288="","",C2288*D2288/100)</f>
        <v/>
      </c>
      <c r="F2288" s="15" t="str">
        <f aca="false">IF(B2288&lt;5,"Go","Standard")</f>
        <v>Standard</v>
      </c>
    </row>
    <row r="2289" customFormat="false" ht="15" hidden="false" customHeight="true" outlineLevel="0" collapsed="false">
      <c r="A2289" s="10" t="n">
        <f aca="false">Einstellungen!$B$5+INT((ROW()-9)/24)</f>
        <v>46061</v>
      </c>
      <c r="B2289" s="11" t="n">
        <f aca="false">MOD(ROW()-9,24)</f>
        <v>0</v>
      </c>
      <c r="C2289" s="12"/>
      <c r="D2289" s="13" t="n">
        <f aca="false">IF(B2289&lt;5,Einstellungen!$B$3,Einstellungen!$B$4)</f>
        <v>15.92</v>
      </c>
      <c r="E2289" s="14" t="str">
        <f aca="false">IF(C2289="","",C2289*D2289/100)</f>
        <v/>
      </c>
      <c r="F2289" s="15" t="str">
        <f aca="false">IF(B2289&lt;5,"Go","Standard")</f>
        <v>Go</v>
      </c>
    </row>
    <row r="2290" customFormat="false" ht="15" hidden="false" customHeight="true" outlineLevel="0" collapsed="false">
      <c r="A2290" s="10" t="n">
        <f aca="false">Einstellungen!$B$5+INT((ROW()-9)/24)</f>
        <v>46061</v>
      </c>
      <c r="B2290" s="11" t="n">
        <f aca="false">MOD(ROW()-9,24)</f>
        <v>1</v>
      </c>
      <c r="C2290" s="12"/>
      <c r="D2290" s="13" t="n">
        <f aca="false">IF(B2290&lt;5,Einstellungen!$B$3,Einstellungen!$B$4)</f>
        <v>15.92</v>
      </c>
      <c r="E2290" s="14" t="str">
        <f aca="false">IF(C2290="","",C2290*D2290/100)</f>
        <v/>
      </c>
      <c r="F2290" s="15" t="str">
        <f aca="false">IF(B2290&lt;5,"Go","Standard")</f>
        <v>Go</v>
      </c>
    </row>
    <row r="2291" customFormat="false" ht="15" hidden="false" customHeight="true" outlineLevel="0" collapsed="false">
      <c r="A2291" s="10" t="n">
        <f aca="false">Einstellungen!$B$5+INT((ROW()-9)/24)</f>
        <v>46061</v>
      </c>
      <c r="B2291" s="11" t="n">
        <f aca="false">MOD(ROW()-9,24)</f>
        <v>2</v>
      </c>
      <c r="C2291" s="12"/>
      <c r="D2291" s="13" t="n">
        <f aca="false">IF(B2291&lt;5,Einstellungen!$B$3,Einstellungen!$B$4)</f>
        <v>15.92</v>
      </c>
      <c r="E2291" s="14" t="str">
        <f aca="false">IF(C2291="","",C2291*D2291/100)</f>
        <v/>
      </c>
      <c r="F2291" s="15" t="str">
        <f aca="false">IF(B2291&lt;5,"Go","Standard")</f>
        <v>Go</v>
      </c>
    </row>
    <row r="2292" customFormat="false" ht="15" hidden="false" customHeight="true" outlineLevel="0" collapsed="false">
      <c r="A2292" s="10" t="n">
        <f aca="false">Einstellungen!$B$5+INT((ROW()-9)/24)</f>
        <v>46061</v>
      </c>
      <c r="B2292" s="11" t="n">
        <f aca="false">MOD(ROW()-9,24)</f>
        <v>3</v>
      </c>
      <c r="C2292" s="12"/>
      <c r="D2292" s="13" t="n">
        <f aca="false">IF(B2292&lt;5,Einstellungen!$B$3,Einstellungen!$B$4)</f>
        <v>15.92</v>
      </c>
      <c r="E2292" s="14" t="str">
        <f aca="false">IF(C2292="","",C2292*D2292/100)</f>
        <v/>
      </c>
      <c r="F2292" s="15" t="str">
        <f aca="false">IF(B2292&lt;5,"Go","Standard")</f>
        <v>Go</v>
      </c>
    </row>
    <row r="2293" customFormat="false" ht="15" hidden="false" customHeight="true" outlineLevel="0" collapsed="false">
      <c r="A2293" s="10" t="n">
        <f aca="false">Einstellungen!$B$5+INT((ROW()-9)/24)</f>
        <v>46061</v>
      </c>
      <c r="B2293" s="11" t="n">
        <f aca="false">MOD(ROW()-9,24)</f>
        <v>4</v>
      </c>
      <c r="C2293" s="12"/>
      <c r="D2293" s="13" t="n">
        <f aca="false">IF(B2293&lt;5,Einstellungen!$B$3,Einstellungen!$B$4)</f>
        <v>15.92</v>
      </c>
      <c r="E2293" s="14" t="str">
        <f aca="false">IF(C2293="","",C2293*D2293/100)</f>
        <v/>
      </c>
      <c r="F2293" s="15" t="str">
        <f aca="false">IF(B2293&lt;5,"Go","Standard")</f>
        <v>Go</v>
      </c>
    </row>
    <row r="2294" customFormat="false" ht="15" hidden="false" customHeight="true" outlineLevel="0" collapsed="false">
      <c r="A2294" s="10" t="n">
        <f aca="false">Einstellungen!$B$5+INT((ROW()-9)/24)</f>
        <v>46061</v>
      </c>
      <c r="B2294" s="11" t="n">
        <f aca="false">MOD(ROW()-9,24)</f>
        <v>5</v>
      </c>
      <c r="C2294" s="12"/>
      <c r="D2294" s="13" t="n">
        <f aca="false">IF(B2294&lt;5,Einstellungen!$B$3,Einstellungen!$B$4)</f>
        <v>29.13</v>
      </c>
      <c r="E2294" s="14" t="str">
        <f aca="false">IF(C2294="","",C2294*D2294/100)</f>
        <v/>
      </c>
      <c r="F2294" s="15" t="str">
        <f aca="false">IF(B2294&lt;5,"Go","Standard")</f>
        <v>Standard</v>
      </c>
    </row>
    <row r="2295" customFormat="false" ht="15" hidden="false" customHeight="true" outlineLevel="0" collapsed="false">
      <c r="A2295" s="10" t="n">
        <f aca="false">Einstellungen!$B$5+INT((ROW()-9)/24)</f>
        <v>46061</v>
      </c>
      <c r="B2295" s="11" t="n">
        <f aca="false">MOD(ROW()-9,24)</f>
        <v>6</v>
      </c>
      <c r="C2295" s="12"/>
      <c r="D2295" s="13" t="n">
        <f aca="false">IF(B2295&lt;5,Einstellungen!$B$3,Einstellungen!$B$4)</f>
        <v>29.13</v>
      </c>
      <c r="E2295" s="14" t="str">
        <f aca="false">IF(C2295="","",C2295*D2295/100)</f>
        <v/>
      </c>
      <c r="F2295" s="15" t="str">
        <f aca="false">IF(B2295&lt;5,"Go","Standard")</f>
        <v>Standard</v>
      </c>
    </row>
    <row r="2296" customFormat="false" ht="15" hidden="false" customHeight="true" outlineLevel="0" collapsed="false">
      <c r="A2296" s="10" t="n">
        <f aca="false">Einstellungen!$B$5+INT((ROW()-9)/24)</f>
        <v>46061</v>
      </c>
      <c r="B2296" s="11" t="n">
        <f aca="false">MOD(ROW()-9,24)</f>
        <v>7</v>
      </c>
      <c r="C2296" s="12"/>
      <c r="D2296" s="13" t="n">
        <f aca="false">IF(B2296&lt;5,Einstellungen!$B$3,Einstellungen!$B$4)</f>
        <v>29.13</v>
      </c>
      <c r="E2296" s="14" t="str">
        <f aca="false">IF(C2296="","",C2296*D2296/100)</f>
        <v/>
      </c>
      <c r="F2296" s="15" t="str">
        <f aca="false">IF(B2296&lt;5,"Go","Standard")</f>
        <v>Standard</v>
      </c>
    </row>
    <row r="2297" customFormat="false" ht="15" hidden="false" customHeight="true" outlineLevel="0" collapsed="false">
      <c r="A2297" s="10" t="n">
        <f aca="false">Einstellungen!$B$5+INT((ROW()-9)/24)</f>
        <v>46061</v>
      </c>
      <c r="B2297" s="11" t="n">
        <f aca="false">MOD(ROW()-9,24)</f>
        <v>8</v>
      </c>
      <c r="C2297" s="12"/>
      <c r="D2297" s="13" t="n">
        <f aca="false">IF(B2297&lt;5,Einstellungen!$B$3,Einstellungen!$B$4)</f>
        <v>29.13</v>
      </c>
      <c r="E2297" s="14" t="str">
        <f aca="false">IF(C2297="","",C2297*D2297/100)</f>
        <v/>
      </c>
      <c r="F2297" s="15" t="str">
        <f aca="false">IF(B2297&lt;5,"Go","Standard")</f>
        <v>Standard</v>
      </c>
    </row>
    <row r="2298" customFormat="false" ht="15" hidden="false" customHeight="true" outlineLevel="0" collapsed="false">
      <c r="A2298" s="10" t="n">
        <f aca="false">Einstellungen!$B$5+INT((ROW()-9)/24)</f>
        <v>46061</v>
      </c>
      <c r="B2298" s="11" t="n">
        <f aca="false">MOD(ROW()-9,24)</f>
        <v>9</v>
      </c>
      <c r="C2298" s="12"/>
      <c r="D2298" s="13" t="n">
        <f aca="false">IF(B2298&lt;5,Einstellungen!$B$3,Einstellungen!$B$4)</f>
        <v>29.13</v>
      </c>
      <c r="E2298" s="14" t="str">
        <f aca="false">IF(C2298="","",C2298*D2298/100)</f>
        <v/>
      </c>
      <c r="F2298" s="15" t="str">
        <f aca="false">IF(B2298&lt;5,"Go","Standard")</f>
        <v>Standard</v>
      </c>
    </row>
    <row r="2299" customFormat="false" ht="15" hidden="false" customHeight="true" outlineLevel="0" collapsed="false">
      <c r="A2299" s="10" t="n">
        <f aca="false">Einstellungen!$B$5+INT((ROW()-9)/24)</f>
        <v>46061</v>
      </c>
      <c r="B2299" s="11" t="n">
        <f aca="false">MOD(ROW()-9,24)</f>
        <v>10</v>
      </c>
      <c r="C2299" s="12"/>
      <c r="D2299" s="13" t="n">
        <f aca="false">IF(B2299&lt;5,Einstellungen!$B$3,Einstellungen!$B$4)</f>
        <v>29.13</v>
      </c>
      <c r="E2299" s="14" t="str">
        <f aca="false">IF(C2299="","",C2299*D2299/100)</f>
        <v/>
      </c>
      <c r="F2299" s="15" t="str">
        <f aca="false">IF(B2299&lt;5,"Go","Standard")</f>
        <v>Standard</v>
      </c>
    </row>
    <row r="2300" customFormat="false" ht="15" hidden="false" customHeight="true" outlineLevel="0" collapsed="false">
      <c r="A2300" s="10" t="n">
        <f aca="false">Einstellungen!$B$5+INT((ROW()-9)/24)</f>
        <v>46061</v>
      </c>
      <c r="B2300" s="11" t="n">
        <f aca="false">MOD(ROW()-9,24)</f>
        <v>11</v>
      </c>
      <c r="C2300" s="12"/>
      <c r="D2300" s="13" t="n">
        <f aca="false">IF(B2300&lt;5,Einstellungen!$B$3,Einstellungen!$B$4)</f>
        <v>29.13</v>
      </c>
      <c r="E2300" s="14" t="str">
        <f aca="false">IF(C2300="","",C2300*D2300/100)</f>
        <v/>
      </c>
      <c r="F2300" s="15" t="str">
        <f aca="false">IF(B2300&lt;5,"Go","Standard")</f>
        <v>Standard</v>
      </c>
    </row>
    <row r="2301" customFormat="false" ht="15" hidden="false" customHeight="true" outlineLevel="0" collapsed="false">
      <c r="A2301" s="10" t="n">
        <f aca="false">Einstellungen!$B$5+INT((ROW()-9)/24)</f>
        <v>46061</v>
      </c>
      <c r="B2301" s="11" t="n">
        <f aca="false">MOD(ROW()-9,24)</f>
        <v>12</v>
      </c>
      <c r="C2301" s="12"/>
      <c r="D2301" s="13" t="n">
        <f aca="false">IF(B2301&lt;5,Einstellungen!$B$3,Einstellungen!$B$4)</f>
        <v>29.13</v>
      </c>
      <c r="E2301" s="14" t="str">
        <f aca="false">IF(C2301="","",C2301*D2301/100)</f>
        <v/>
      </c>
      <c r="F2301" s="15" t="str">
        <f aca="false">IF(B2301&lt;5,"Go","Standard")</f>
        <v>Standard</v>
      </c>
    </row>
    <row r="2302" customFormat="false" ht="15" hidden="false" customHeight="true" outlineLevel="0" collapsed="false">
      <c r="A2302" s="10" t="n">
        <f aca="false">Einstellungen!$B$5+INT((ROW()-9)/24)</f>
        <v>46061</v>
      </c>
      <c r="B2302" s="11" t="n">
        <f aca="false">MOD(ROW()-9,24)</f>
        <v>13</v>
      </c>
      <c r="C2302" s="12"/>
      <c r="D2302" s="13" t="n">
        <f aca="false">IF(B2302&lt;5,Einstellungen!$B$3,Einstellungen!$B$4)</f>
        <v>29.13</v>
      </c>
      <c r="E2302" s="14" t="str">
        <f aca="false">IF(C2302="","",C2302*D2302/100)</f>
        <v/>
      </c>
      <c r="F2302" s="15" t="str">
        <f aca="false">IF(B2302&lt;5,"Go","Standard")</f>
        <v>Standard</v>
      </c>
    </row>
    <row r="2303" customFormat="false" ht="15" hidden="false" customHeight="true" outlineLevel="0" collapsed="false">
      <c r="A2303" s="10" t="n">
        <f aca="false">Einstellungen!$B$5+INT((ROW()-9)/24)</f>
        <v>46061</v>
      </c>
      <c r="B2303" s="11" t="n">
        <f aca="false">MOD(ROW()-9,24)</f>
        <v>14</v>
      </c>
      <c r="C2303" s="12"/>
      <c r="D2303" s="13" t="n">
        <f aca="false">IF(B2303&lt;5,Einstellungen!$B$3,Einstellungen!$B$4)</f>
        <v>29.13</v>
      </c>
      <c r="E2303" s="14" t="str">
        <f aca="false">IF(C2303="","",C2303*D2303/100)</f>
        <v/>
      </c>
      <c r="F2303" s="15" t="str">
        <f aca="false">IF(B2303&lt;5,"Go","Standard")</f>
        <v>Standard</v>
      </c>
    </row>
    <row r="2304" customFormat="false" ht="15" hidden="false" customHeight="true" outlineLevel="0" collapsed="false">
      <c r="A2304" s="10" t="n">
        <f aca="false">Einstellungen!$B$5+INT((ROW()-9)/24)</f>
        <v>46061</v>
      </c>
      <c r="B2304" s="11" t="n">
        <f aca="false">MOD(ROW()-9,24)</f>
        <v>15</v>
      </c>
      <c r="C2304" s="12"/>
      <c r="D2304" s="13" t="n">
        <f aca="false">IF(B2304&lt;5,Einstellungen!$B$3,Einstellungen!$B$4)</f>
        <v>29.13</v>
      </c>
      <c r="E2304" s="14" t="str">
        <f aca="false">IF(C2304="","",C2304*D2304/100)</f>
        <v/>
      </c>
      <c r="F2304" s="15" t="str">
        <f aca="false">IF(B2304&lt;5,"Go","Standard")</f>
        <v>Standard</v>
      </c>
    </row>
    <row r="2305" customFormat="false" ht="15" hidden="false" customHeight="true" outlineLevel="0" collapsed="false">
      <c r="A2305" s="10" t="n">
        <f aca="false">Einstellungen!$B$5+INT((ROW()-9)/24)</f>
        <v>46061</v>
      </c>
      <c r="B2305" s="11" t="n">
        <f aca="false">MOD(ROW()-9,24)</f>
        <v>16</v>
      </c>
      <c r="C2305" s="12"/>
      <c r="D2305" s="13" t="n">
        <f aca="false">IF(B2305&lt;5,Einstellungen!$B$3,Einstellungen!$B$4)</f>
        <v>29.13</v>
      </c>
      <c r="E2305" s="14" t="str">
        <f aca="false">IF(C2305="","",C2305*D2305/100)</f>
        <v/>
      </c>
      <c r="F2305" s="15" t="str">
        <f aca="false">IF(B2305&lt;5,"Go","Standard")</f>
        <v>Standard</v>
      </c>
    </row>
    <row r="2306" customFormat="false" ht="15" hidden="false" customHeight="true" outlineLevel="0" collapsed="false">
      <c r="A2306" s="10" t="n">
        <f aca="false">Einstellungen!$B$5+INT((ROW()-9)/24)</f>
        <v>46061</v>
      </c>
      <c r="B2306" s="11" t="n">
        <f aca="false">MOD(ROW()-9,24)</f>
        <v>17</v>
      </c>
      <c r="C2306" s="12"/>
      <c r="D2306" s="13" t="n">
        <f aca="false">IF(B2306&lt;5,Einstellungen!$B$3,Einstellungen!$B$4)</f>
        <v>29.13</v>
      </c>
      <c r="E2306" s="14" t="str">
        <f aca="false">IF(C2306="","",C2306*D2306/100)</f>
        <v/>
      </c>
      <c r="F2306" s="15" t="str">
        <f aca="false">IF(B2306&lt;5,"Go","Standard")</f>
        <v>Standard</v>
      </c>
    </row>
    <row r="2307" customFormat="false" ht="15" hidden="false" customHeight="true" outlineLevel="0" collapsed="false">
      <c r="A2307" s="10" t="n">
        <f aca="false">Einstellungen!$B$5+INT((ROW()-9)/24)</f>
        <v>46061</v>
      </c>
      <c r="B2307" s="11" t="n">
        <f aca="false">MOD(ROW()-9,24)</f>
        <v>18</v>
      </c>
      <c r="C2307" s="12"/>
      <c r="D2307" s="13" t="n">
        <f aca="false">IF(B2307&lt;5,Einstellungen!$B$3,Einstellungen!$B$4)</f>
        <v>29.13</v>
      </c>
      <c r="E2307" s="14" t="str">
        <f aca="false">IF(C2307="","",C2307*D2307/100)</f>
        <v/>
      </c>
      <c r="F2307" s="15" t="str">
        <f aca="false">IF(B2307&lt;5,"Go","Standard")</f>
        <v>Standard</v>
      </c>
    </row>
    <row r="2308" customFormat="false" ht="15" hidden="false" customHeight="true" outlineLevel="0" collapsed="false">
      <c r="A2308" s="10" t="n">
        <f aca="false">Einstellungen!$B$5+INT((ROW()-9)/24)</f>
        <v>46061</v>
      </c>
      <c r="B2308" s="11" t="n">
        <f aca="false">MOD(ROW()-9,24)</f>
        <v>19</v>
      </c>
      <c r="C2308" s="12"/>
      <c r="D2308" s="13" t="n">
        <f aca="false">IF(B2308&lt;5,Einstellungen!$B$3,Einstellungen!$B$4)</f>
        <v>29.13</v>
      </c>
      <c r="E2308" s="14" t="str">
        <f aca="false">IF(C2308="","",C2308*D2308/100)</f>
        <v/>
      </c>
      <c r="F2308" s="15" t="str">
        <f aca="false">IF(B2308&lt;5,"Go","Standard")</f>
        <v>Standard</v>
      </c>
    </row>
    <row r="2309" customFormat="false" ht="15" hidden="false" customHeight="true" outlineLevel="0" collapsed="false">
      <c r="A2309" s="10" t="n">
        <f aca="false">Einstellungen!$B$5+INT((ROW()-9)/24)</f>
        <v>46061</v>
      </c>
      <c r="B2309" s="11" t="n">
        <f aca="false">MOD(ROW()-9,24)</f>
        <v>20</v>
      </c>
      <c r="C2309" s="12"/>
      <c r="D2309" s="13" t="n">
        <f aca="false">IF(B2309&lt;5,Einstellungen!$B$3,Einstellungen!$B$4)</f>
        <v>29.13</v>
      </c>
      <c r="E2309" s="14" t="str">
        <f aca="false">IF(C2309="","",C2309*D2309/100)</f>
        <v/>
      </c>
      <c r="F2309" s="15" t="str">
        <f aca="false">IF(B2309&lt;5,"Go","Standard")</f>
        <v>Standard</v>
      </c>
    </row>
    <row r="2310" customFormat="false" ht="15" hidden="false" customHeight="true" outlineLevel="0" collapsed="false">
      <c r="A2310" s="10" t="n">
        <f aca="false">Einstellungen!$B$5+INT((ROW()-9)/24)</f>
        <v>46061</v>
      </c>
      <c r="B2310" s="11" t="n">
        <f aca="false">MOD(ROW()-9,24)</f>
        <v>21</v>
      </c>
      <c r="C2310" s="12"/>
      <c r="D2310" s="13" t="n">
        <f aca="false">IF(B2310&lt;5,Einstellungen!$B$3,Einstellungen!$B$4)</f>
        <v>29.13</v>
      </c>
      <c r="E2310" s="14" t="str">
        <f aca="false">IF(C2310="","",C2310*D2310/100)</f>
        <v/>
      </c>
      <c r="F2310" s="15" t="str">
        <f aca="false">IF(B2310&lt;5,"Go","Standard")</f>
        <v>Standard</v>
      </c>
    </row>
    <row r="2311" customFormat="false" ht="15" hidden="false" customHeight="true" outlineLevel="0" collapsed="false">
      <c r="A2311" s="10" t="n">
        <f aca="false">Einstellungen!$B$5+INT((ROW()-9)/24)</f>
        <v>46061</v>
      </c>
      <c r="B2311" s="11" t="n">
        <f aca="false">MOD(ROW()-9,24)</f>
        <v>22</v>
      </c>
      <c r="C2311" s="12"/>
      <c r="D2311" s="13" t="n">
        <f aca="false">IF(B2311&lt;5,Einstellungen!$B$3,Einstellungen!$B$4)</f>
        <v>29.13</v>
      </c>
      <c r="E2311" s="14" t="str">
        <f aca="false">IF(C2311="","",C2311*D2311/100)</f>
        <v/>
      </c>
      <c r="F2311" s="15" t="str">
        <f aca="false">IF(B2311&lt;5,"Go","Standard")</f>
        <v>Standard</v>
      </c>
    </row>
    <row r="2312" customFormat="false" ht="15" hidden="false" customHeight="true" outlineLevel="0" collapsed="false">
      <c r="A2312" s="10" t="n">
        <f aca="false">Einstellungen!$B$5+INT((ROW()-9)/24)</f>
        <v>46061</v>
      </c>
      <c r="B2312" s="11" t="n">
        <f aca="false">MOD(ROW()-9,24)</f>
        <v>23</v>
      </c>
      <c r="C2312" s="12"/>
      <c r="D2312" s="13" t="n">
        <f aca="false">IF(B2312&lt;5,Einstellungen!$B$3,Einstellungen!$B$4)</f>
        <v>29.13</v>
      </c>
      <c r="E2312" s="14" t="str">
        <f aca="false">IF(C2312="","",C2312*D2312/100)</f>
        <v/>
      </c>
      <c r="F2312" s="15" t="str">
        <f aca="false">IF(B2312&lt;5,"Go","Standard")</f>
        <v>Standard</v>
      </c>
    </row>
    <row r="2313" customFormat="false" ht="15" hidden="false" customHeight="true" outlineLevel="0" collapsed="false">
      <c r="A2313" s="10" t="n">
        <f aca="false">Einstellungen!$B$5+INT((ROW()-9)/24)</f>
        <v>46062</v>
      </c>
      <c r="B2313" s="11" t="n">
        <f aca="false">MOD(ROW()-9,24)</f>
        <v>0</v>
      </c>
      <c r="C2313" s="12"/>
      <c r="D2313" s="13" t="n">
        <f aca="false">IF(B2313&lt;5,Einstellungen!$B$3,Einstellungen!$B$4)</f>
        <v>15.92</v>
      </c>
      <c r="E2313" s="14" t="str">
        <f aca="false">IF(C2313="","",C2313*D2313/100)</f>
        <v/>
      </c>
      <c r="F2313" s="15" t="str">
        <f aca="false">IF(B2313&lt;5,"Go","Standard")</f>
        <v>Go</v>
      </c>
    </row>
    <row r="2314" customFormat="false" ht="15" hidden="false" customHeight="true" outlineLevel="0" collapsed="false">
      <c r="A2314" s="10" t="n">
        <f aca="false">Einstellungen!$B$5+INT((ROW()-9)/24)</f>
        <v>46062</v>
      </c>
      <c r="B2314" s="11" t="n">
        <f aca="false">MOD(ROW()-9,24)</f>
        <v>1</v>
      </c>
      <c r="C2314" s="12"/>
      <c r="D2314" s="13" t="n">
        <f aca="false">IF(B2314&lt;5,Einstellungen!$B$3,Einstellungen!$B$4)</f>
        <v>15.92</v>
      </c>
      <c r="E2314" s="14" t="str">
        <f aca="false">IF(C2314="","",C2314*D2314/100)</f>
        <v/>
      </c>
      <c r="F2314" s="15" t="str">
        <f aca="false">IF(B2314&lt;5,"Go","Standard")</f>
        <v>Go</v>
      </c>
    </row>
    <row r="2315" customFormat="false" ht="15" hidden="false" customHeight="true" outlineLevel="0" collapsed="false">
      <c r="A2315" s="10" t="n">
        <f aca="false">Einstellungen!$B$5+INT((ROW()-9)/24)</f>
        <v>46062</v>
      </c>
      <c r="B2315" s="11" t="n">
        <f aca="false">MOD(ROW()-9,24)</f>
        <v>2</v>
      </c>
      <c r="C2315" s="12"/>
      <c r="D2315" s="13" t="n">
        <f aca="false">IF(B2315&lt;5,Einstellungen!$B$3,Einstellungen!$B$4)</f>
        <v>15.92</v>
      </c>
      <c r="E2315" s="14" t="str">
        <f aca="false">IF(C2315="","",C2315*D2315/100)</f>
        <v/>
      </c>
      <c r="F2315" s="15" t="str">
        <f aca="false">IF(B2315&lt;5,"Go","Standard")</f>
        <v>Go</v>
      </c>
    </row>
    <row r="2316" customFormat="false" ht="15" hidden="false" customHeight="true" outlineLevel="0" collapsed="false">
      <c r="A2316" s="10" t="n">
        <f aca="false">Einstellungen!$B$5+INT((ROW()-9)/24)</f>
        <v>46062</v>
      </c>
      <c r="B2316" s="11" t="n">
        <f aca="false">MOD(ROW()-9,24)</f>
        <v>3</v>
      </c>
      <c r="C2316" s="12"/>
      <c r="D2316" s="13" t="n">
        <f aca="false">IF(B2316&lt;5,Einstellungen!$B$3,Einstellungen!$B$4)</f>
        <v>15.92</v>
      </c>
      <c r="E2316" s="14" t="str">
        <f aca="false">IF(C2316="","",C2316*D2316/100)</f>
        <v/>
      </c>
      <c r="F2316" s="15" t="str">
        <f aca="false">IF(B2316&lt;5,"Go","Standard")</f>
        <v>Go</v>
      </c>
    </row>
    <row r="2317" customFormat="false" ht="15" hidden="false" customHeight="true" outlineLevel="0" collapsed="false">
      <c r="A2317" s="10" t="n">
        <f aca="false">Einstellungen!$B$5+INT((ROW()-9)/24)</f>
        <v>46062</v>
      </c>
      <c r="B2317" s="11" t="n">
        <f aca="false">MOD(ROW()-9,24)</f>
        <v>4</v>
      </c>
      <c r="C2317" s="12"/>
      <c r="D2317" s="13" t="n">
        <f aca="false">IF(B2317&lt;5,Einstellungen!$B$3,Einstellungen!$B$4)</f>
        <v>15.92</v>
      </c>
      <c r="E2317" s="14" t="str">
        <f aca="false">IF(C2317="","",C2317*D2317/100)</f>
        <v/>
      </c>
      <c r="F2317" s="15" t="str">
        <f aca="false">IF(B2317&lt;5,"Go","Standard")</f>
        <v>Go</v>
      </c>
    </row>
    <row r="2318" customFormat="false" ht="15" hidden="false" customHeight="true" outlineLevel="0" collapsed="false">
      <c r="A2318" s="10" t="n">
        <f aca="false">Einstellungen!$B$5+INT((ROW()-9)/24)</f>
        <v>46062</v>
      </c>
      <c r="B2318" s="11" t="n">
        <f aca="false">MOD(ROW()-9,24)</f>
        <v>5</v>
      </c>
      <c r="C2318" s="12"/>
      <c r="D2318" s="13" t="n">
        <f aca="false">IF(B2318&lt;5,Einstellungen!$B$3,Einstellungen!$B$4)</f>
        <v>29.13</v>
      </c>
      <c r="E2318" s="14" t="str">
        <f aca="false">IF(C2318="","",C2318*D2318/100)</f>
        <v/>
      </c>
      <c r="F2318" s="15" t="str">
        <f aca="false">IF(B2318&lt;5,"Go","Standard")</f>
        <v>Standard</v>
      </c>
    </row>
    <row r="2319" customFormat="false" ht="15" hidden="false" customHeight="true" outlineLevel="0" collapsed="false">
      <c r="A2319" s="10" t="n">
        <f aca="false">Einstellungen!$B$5+INT((ROW()-9)/24)</f>
        <v>46062</v>
      </c>
      <c r="B2319" s="11" t="n">
        <f aca="false">MOD(ROW()-9,24)</f>
        <v>6</v>
      </c>
      <c r="C2319" s="12"/>
      <c r="D2319" s="13" t="n">
        <f aca="false">IF(B2319&lt;5,Einstellungen!$B$3,Einstellungen!$B$4)</f>
        <v>29.13</v>
      </c>
      <c r="E2319" s="14" t="str">
        <f aca="false">IF(C2319="","",C2319*D2319/100)</f>
        <v/>
      </c>
      <c r="F2319" s="15" t="str">
        <f aca="false">IF(B2319&lt;5,"Go","Standard")</f>
        <v>Standard</v>
      </c>
    </row>
    <row r="2320" customFormat="false" ht="15" hidden="false" customHeight="true" outlineLevel="0" collapsed="false">
      <c r="A2320" s="10" t="n">
        <f aca="false">Einstellungen!$B$5+INT((ROW()-9)/24)</f>
        <v>46062</v>
      </c>
      <c r="B2320" s="11" t="n">
        <f aca="false">MOD(ROW()-9,24)</f>
        <v>7</v>
      </c>
      <c r="C2320" s="12"/>
      <c r="D2320" s="13" t="n">
        <f aca="false">IF(B2320&lt;5,Einstellungen!$B$3,Einstellungen!$B$4)</f>
        <v>29.13</v>
      </c>
      <c r="E2320" s="14" t="str">
        <f aca="false">IF(C2320="","",C2320*D2320/100)</f>
        <v/>
      </c>
      <c r="F2320" s="15" t="str">
        <f aca="false">IF(B2320&lt;5,"Go","Standard")</f>
        <v>Standard</v>
      </c>
    </row>
    <row r="2321" customFormat="false" ht="15" hidden="false" customHeight="true" outlineLevel="0" collapsed="false">
      <c r="A2321" s="10" t="n">
        <f aca="false">Einstellungen!$B$5+INT((ROW()-9)/24)</f>
        <v>46062</v>
      </c>
      <c r="B2321" s="11" t="n">
        <f aca="false">MOD(ROW()-9,24)</f>
        <v>8</v>
      </c>
      <c r="C2321" s="12"/>
      <c r="D2321" s="13" t="n">
        <f aca="false">IF(B2321&lt;5,Einstellungen!$B$3,Einstellungen!$B$4)</f>
        <v>29.13</v>
      </c>
      <c r="E2321" s="14" t="str">
        <f aca="false">IF(C2321="","",C2321*D2321/100)</f>
        <v/>
      </c>
      <c r="F2321" s="15" t="str">
        <f aca="false">IF(B2321&lt;5,"Go","Standard")</f>
        <v>Standard</v>
      </c>
    </row>
    <row r="2322" customFormat="false" ht="15" hidden="false" customHeight="true" outlineLevel="0" collapsed="false">
      <c r="A2322" s="10" t="n">
        <f aca="false">Einstellungen!$B$5+INT((ROW()-9)/24)</f>
        <v>46062</v>
      </c>
      <c r="B2322" s="11" t="n">
        <f aca="false">MOD(ROW()-9,24)</f>
        <v>9</v>
      </c>
      <c r="C2322" s="12"/>
      <c r="D2322" s="13" t="n">
        <f aca="false">IF(B2322&lt;5,Einstellungen!$B$3,Einstellungen!$B$4)</f>
        <v>29.13</v>
      </c>
      <c r="E2322" s="14" t="str">
        <f aca="false">IF(C2322="","",C2322*D2322/100)</f>
        <v/>
      </c>
      <c r="F2322" s="15" t="str">
        <f aca="false">IF(B2322&lt;5,"Go","Standard")</f>
        <v>Standard</v>
      </c>
    </row>
    <row r="2323" customFormat="false" ht="15" hidden="false" customHeight="true" outlineLevel="0" collapsed="false">
      <c r="A2323" s="10" t="n">
        <f aca="false">Einstellungen!$B$5+INT((ROW()-9)/24)</f>
        <v>46062</v>
      </c>
      <c r="B2323" s="11" t="n">
        <f aca="false">MOD(ROW()-9,24)</f>
        <v>10</v>
      </c>
      <c r="C2323" s="12"/>
      <c r="D2323" s="13" t="n">
        <f aca="false">IF(B2323&lt;5,Einstellungen!$B$3,Einstellungen!$B$4)</f>
        <v>29.13</v>
      </c>
      <c r="E2323" s="14" t="str">
        <f aca="false">IF(C2323="","",C2323*D2323/100)</f>
        <v/>
      </c>
      <c r="F2323" s="15" t="str">
        <f aca="false">IF(B2323&lt;5,"Go","Standard")</f>
        <v>Standard</v>
      </c>
    </row>
    <row r="2324" customFormat="false" ht="15" hidden="false" customHeight="true" outlineLevel="0" collapsed="false">
      <c r="A2324" s="10" t="n">
        <f aca="false">Einstellungen!$B$5+INT((ROW()-9)/24)</f>
        <v>46062</v>
      </c>
      <c r="B2324" s="11" t="n">
        <f aca="false">MOD(ROW()-9,24)</f>
        <v>11</v>
      </c>
      <c r="C2324" s="12"/>
      <c r="D2324" s="13" t="n">
        <f aca="false">IF(B2324&lt;5,Einstellungen!$B$3,Einstellungen!$B$4)</f>
        <v>29.13</v>
      </c>
      <c r="E2324" s="14" t="str">
        <f aca="false">IF(C2324="","",C2324*D2324/100)</f>
        <v/>
      </c>
      <c r="F2324" s="15" t="str">
        <f aca="false">IF(B2324&lt;5,"Go","Standard")</f>
        <v>Standard</v>
      </c>
    </row>
    <row r="2325" customFormat="false" ht="15" hidden="false" customHeight="true" outlineLevel="0" collapsed="false">
      <c r="A2325" s="10" t="n">
        <f aca="false">Einstellungen!$B$5+INT((ROW()-9)/24)</f>
        <v>46062</v>
      </c>
      <c r="B2325" s="11" t="n">
        <f aca="false">MOD(ROW()-9,24)</f>
        <v>12</v>
      </c>
      <c r="C2325" s="12"/>
      <c r="D2325" s="13" t="n">
        <f aca="false">IF(B2325&lt;5,Einstellungen!$B$3,Einstellungen!$B$4)</f>
        <v>29.13</v>
      </c>
      <c r="E2325" s="14" t="str">
        <f aca="false">IF(C2325="","",C2325*D2325/100)</f>
        <v/>
      </c>
      <c r="F2325" s="15" t="str">
        <f aca="false">IF(B2325&lt;5,"Go","Standard")</f>
        <v>Standard</v>
      </c>
    </row>
    <row r="2326" customFormat="false" ht="15" hidden="false" customHeight="true" outlineLevel="0" collapsed="false">
      <c r="A2326" s="10" t="n">
        <f aca="false">Einstellungen!$B$5+INT((ROW()-9)/24)</f>
        <v>46062</v>
      </c>
      <c r="B2326" s="11" t="n">
        <f aca="false">MOD(ROW()-9,24)</f>
        <v>13</v>
      </c>
      <c r="C2326" s="12"/>
      <c r="D2326" s="13" t="n">
        <f aca="false">IF(B2326&lt;5,Einstellungen!$B$3,Einstellungen!$B$4)</f>
        <v>29.13</v>
      </c>
      <c r="E2326" s="14" t="str">
        <f aca="false">IF(C2326="","",C2326*D2326/100)</f>
        <v/>
      </c>
      <c r="F2326" s="15" t="str">
        <f aca="false">IF(B2326&lt;5,"Go","Standard")</f>
        <v>Standard</v>
      </c>
    </row>
    <row r="2327" customFormat="false" ht="15" hidden="false" customHeight="true" outlineLevel="0" collapsed="false">
      <c r="A2327" s="10" t="n">
        <f aca="false">Einstellungen!$B$5+INT((ROW()-9)/24)</f>
        <v>46062</v>
      </c>
      <c r="B2327" s="11" t="n">
        <f aca="false">MOD(ROW()-9,24)</f>
        <v>14</v>
      </c>
      <c r="C2327" s="12"/>
      <c r="D2327" s="13" t="n">
        <f aca="false">IF(B2327&lt;5,Einstellungen!$B$3,Einstellungen!$B$4)</f>
        <v>29.13</v>
      </c>
      <c r="E2327" s="14" t="str">
        <f aca="false">IF(C2327="","",C2327*D2327/100)</f>
        <v/>
      </c>
      <c r="F2327" s="15" t="str">
        <f aca="false">IF(B2327&lt;5,"Go","Standard")</f>
        <v>Standard</v>
      </c>
    </row>
    <row r="2328" customFormat="false" ht="15" hidden="false" customHeight="true" outlineLevel="0" collapsed="false">
      <c r="A2328" s="10" t="n">
        <f aca="false">Einstellungen!$B$5+INT((ROW()-9)/24)</f>
        <v>46062</v>
      </c>
      <c r="B2328" s="11" t="n">
        <f aca="false">MOD(ROW()-9,24)</f>
        <v>15</v>
      </c>
      <c r="C2328" s="12"/>
      <c r="D2328" s="13" t="n">
        <f aca="false">IF(B2328&lt;5,Einstellungen!$B$3,Einstellungen!$B$4)</f>
        <v>29.13</v>
      </c>
      <c r="E2328" s="14" t="str">
        <f aca="false">IF(C2328="","",C2328*D2328/100)</f>
        <v/>
      </c>
      <c r="F2328" s="15" t="str">
        <f aca="false">IF(B2328&lt;5,"Go","Standard")</f>
        <v>Standard</v>
      </c>
    </row>
    <row r="2329" customFormat="false" ht="15" hidden="false" customHeight="true" outlineLevel="0" collapsed="false">
      <c r="A2329" s="10" t="n">
        <f aca="false">Einstellungen!$B$5+INT((ROW()-9)/24)</f>
        <v>46062</v>
      </c>
      <c r="B2329" s="11" t="n">
        <f aca="false">MOD(ROW()-9,24)</f>
        <v>16</v>
      </c>
      <c r="C2329" s="12"/>
      <c r="D2329" s="13" t="n">
        <f aca="false">IF(B2329&lt;5,Einstellungen!$B$3,Einstellungen!$B$4)</f>
        <v>29.13</v>
      </c>
      <c r="E2329" s="14" t="str">
        <f aca="false">IF(C2329="","",C2329*D2329/100)</f>
        <v/>
      </c>
      <c r="F2329" s="15" t="str">
        <f aca="false">IF(B2329&lt;5,"Go","Standard")</f>
        <v>Standard</v>
      </c>
    </row>
    <row r="2330" customFormat="false" ht="15" hidden="false" customHeight="true" outlineLevel="0" collapsed="false">
      <c r="A2330" s="10" t="n">
        <f aca="false">Einstellungen!$B$5+INT((ROW()-9)/24)</f>
        <v>46062</v>
      </c>
      <c r="B2330" s="11" t="n">
        <f aca="false">MOD(ROW()-9,24)</f>
        <v>17</v>
      </c>
      <c r="C2330" s="12"/>
      <c r="D2330" s="13" t="n">
        <f aca="false">IF(B2330&lt;5,Einstellungen!$B$3,Einstellungen!$B$4)</f>
        <v>29.13</v>
      </c>
      <c r="E2330" s="14" t="str">
        <f aca="false">IF(C2330="","",C2330*D2330/100)</f>
        <v/>
      </c>
      <c r="F2330" s="15" t="str">
        <f aca="false">IF(B2330&lt;5,"Go","Standard")</f>
        <v>Standard</v>
      </c>
    </row>
    <row r="2331" customFormat="false" ht="15" hidden="false" customHeight="true" outlineLevel="0" collapsed="false">
      <c r="A2331" s="10" t="n">
        <f aca="false">Einstellungen!$B$5+INT((ROW()-9)/24)</f>
        <v>46062</v>
      </c>
      <c r="B2331" s="11" t="n">
        <f aca="false">MOD(ROW()-9,24)</f>
        <v>18</v>
      </c>
      <c r="C2331" s="12"/>
      <c r="D2331" s="13" t="n">
        <f aca="false">IF(B2331&lt;5,Einstellungen!$B$3,Einstellungen!$B$4)</f>
        <v>29.13</v>
      </c>
      <c r="E2331" s="14" t="str">
        <f aca="false">IF(C2331="","",C2331*D2331/100)</f>
        <v/>
      </c>
      <c r="F2331" s="15" t="str">
        <f aca="false">IF(B2331&lt;5,"Go","Standard")</f>
        <v>Standard</v>
      </c>
    </row>
    <row r="2332" customFormat="false" ht="15" hidden="false" customHeight="true" outlineLevel="0" collapsed="false">
      <c r="A2332" s="10" t="n">
        <f aca="false">Einstellungen!$B$5+INT((ROW()-9)/24)</f>
        <v>46062</v>
      </c>
      <c r="B2332" s="11" t="n">
        <f aca="false">MOD(ROW()-9,24)</f>
        <v>19</v>
      </c>
      <c r="C2332" s="12"/>
      <c r="D2332" s="13" t="n">
        <f aca="false">IF(B2332&lt;5,Einstellungen!$B$3,Einstellungen!$B$4)</f>
        <v>29.13</v>
      </c>
      <c r="E2332" s="14" t="str">
        <f aca="false">IF(C2332="","",C2332*D2332/100)</f>
        <v/>
      </c>
      <c r="F2332" s="15" t="str">
        <f aca="false">IF(B2332&lt;5,"Go","Standard")</f>
        <v>Standard</v>
      </c>
    </row>
    <row r="2333" customFormat="false" ht="15" hidden="false" customHeight="true" outlineLevel="0" collapsed="false">
      <c r="A2333" s="10" t="n">
        <f aca="false">Einstellungen!$B$5+INT((ROW()-9)/24)</f>
        <v>46062</v>
      </c>
      <c r="B2333" s="11" t="n">
        <f aca="false">MOD(ROW()-9,24)</f>
        <v>20</v>
      </c>
      <c r="C2333" s="12"/>
      <c r="D2333" s="13" t="n">
        <f aca="false">IF(B2333&lt;5,Einstellungen!$B$3,Einstellungen!$B$4)</f>
        <v>29.13</v>
      </c>
      <c r="E2333" s="14" t="str">
        <f aca="false">IF(C2333="","",C2333*D2333/100)</f>
        <v/>
      </c>
      <c r="F2333" s="15" t="str">
        <f aca="false">IF(B2333&lt;5,"Go","Standard")</f>
        <v>Standard</v>
      </c>
    </row>
    <row r="2334" customFormat="false" ht="15" hidden="false" customHeight="true" outlineLevel="0" collapsed="false">
      <c r="A2334" s="10" t="n">
        <f aca="false">Einstellungen!$B$5+INT((ROW()-9)/24)</f>
        <v>46062</v>
      </c>
      <c r="B2334" s="11" t="n">
        <f aca="false">MOD(ROW()-9,24)</f>
        <v>21</v>
      </c>
      <c r="C2334" s="12"/>
      <c r="D2334" s="13" t="n">
        <f aca="false">IF(B2334&lt;5,Einstellungen!$B$3,Einstellungen!$B$4)</f>
        <v>29.13</v>
      </c>
      <c r="E2334" s="14" t="str">
        <f aca="false">IF(C2334="","",C2334*D2334/100)</f>
        <v/>
      </c>
      <c r="F2334" s="15" t="str">
        <f aca="false">IF(B2334&lt;5,"Go","Standard")</f>
        <v>Standard</v>
      </c>
    </row>
    <row r="2335" customFormat="false" ht="15" hidden="false" customHeight="true" outlineLevel="0" collapsed="false">
      <c r="A2335" s="10" t="n">
        <f aca="false">Einstellungen!$B$5+INT((ROW()-9)/24)</f>
        <v>46062</v>
      </c>
      <c r="B2335" s="11" t="n">
        <f aca="false">MOD(ROW()-9,24)</f>
        <v>22</v>
      </c>
      <c r="C2335" s="12"/>
      <c r="D2335" s="13" t="n">
        <f aca="false">IF(B2335&lt;5,Einstellungen!$B$3,Einstellungen!$B$4)</f>
        <v>29.13</v>
      </c>
      <c r="E2335" s="14" t="str">
        <f aca="false">IF(C2335="","",C2335*D2335/100)</f>
        <v/>
      </c>
      <c r="F2335" s="15" t="str">
        <f aca="false">IF(B2335&lt;5,"Go","Standard")</f>
        <v>Standard</v>
      </c>
    </row>
    <row r="2336" customFormat="false" ht="15" hidden="false" customHeight="true" outlineLevel="0" collapsed="false">
      <c r="A2336" s="10" t="n">
        <f aca="false">Einstellungen!$B$5+INT((ROW()-9)/24)</f>
        <v>46062</v>
      </c>
      <c r="B2336" s="11" t="n">
        <f aca="false">MOD(ROW()-9,24)</f>
        <v>23</v>
      </c>
      <c r="C2336" s="12"/>
      <c r="D2336" s="13" t="n">
        <f aca="false">IF(B2336&lt;5,Einstellungen!$B$3,Einstellungen!$B$4)</f>
        <v>29.13</v>
      </c>
      <c r="E2336" s="14" t="str">
        <f aca="false">IF(C2336="","",C2336*D2336/100)</f>
        <v/>
      </c>
      <c r="F2336" s="15" t="str">
        <f aca="false">IF(B2336&lt;5,"Go","Standard")</f>
        <v>Standard</v>
      </c>
    </row>
    <row r="2337" customFormat="false" ht="15" hidden="false" customHeight="true" outlineLevel="0" collapsed="false">
      <c r="A2337" s="10" t="n">
        <f aca="false">Einstellungen!$B$5+INT((ROW()-9)/24)</f>
        <v>46063</v>
      </c>
      <c r="B2337" s="11" t="n">
        <f aca="false">MOD(ROW()-9,24)</f>
        <v>0</v>
      </c>
      <c r="C2337" s="12"/>
      <c r="D2337" s="13" t="n">
        <f aca="false">IF(B2337&lt;5,Einstellungen!$B$3,Einstellungen!$B$4)</f>
        <v>15.92</v>
      </c>
      <c r="E2337" s="14" t="str">
        <f aca="false">IF(C2337="","",C2337*D2337/100)</f>
        <v/>
      </c>
      <c r="F2337" s="15" t="str">
        <f aca="false">IF(B2337&lt;5,"Go","Standard")</f>
        <v>Go</v>
      </c>
    </row>
    <row r="2338" customFormat="false" ht="15" hidden="false" customHeight="true" outlineLevel="0" collapsed="false">
      <c r="A2338" s="10" t="n">
        <f aca="false">Einstellungen!$B$5+INT((ROW()-9)/24)</f>
        <v>46063</v>
      </c>
      <c r="B2338" s="11" t="n">
        <f aca="false">MOD(ROW()-9,24)</f>
        <v>1</v>
      </c>
      <c r="C2338" s="12"/>
      <c r="D2338" s="13" t="n">
        <f aca="false">IF(B2338&lt;5,Einstellungen!$B$3,Einstellungen!$B$4)</f>
        <v>15.92</v>
      </c>
      <c r="E2338" s="14" t="str">
        <f aca="false">IF(C2338="","",C2338*D2338/100)</f>
        <v/>
      </c>
      <c r="F2338" s="15" t="str">
        <f aca="false">IF(B2338&lt;5,"Go","Standard")</f>
        <v>Go</v>
      </c>
    </row>
    <row r="2339" customFormat="false" ht="15" hidden="false" customHeight="true" outlineLevel="0" collapsed="false">
      <c r="A2339" s="10" t="n">
        <f aca="false">Einstellungen!$B$5+INT((ROW()-9)/24)</f>
        <v>46063</v>
      </c>
      <c r="B2339" s="11" t="n">
        <f aca="false">MOD(ROW()-9,24)</f>
        <v>2</v>
      </c>
      <c r="C2339" s="12"/>
      <c r="D2339" s="13" t="n">
        <f aca="false">IF(B2339&lt;5,Einstellungen!$B$3,Einstellungen!$B$4)</f>
        <v>15.92</v>
      </c>
      <c r="E2339" s="14" t="str">
        <f aca="false">IF(C2339="","",C2339*D2339/100)</f>
        <v/>
      </c>
      <c r="F2339" s="15" t="str">
        <f aca="false">IF(B2339&lt;5,"Go","Standard")</f>
        <v>Go</v>
      </c>
    </row>
    <row r="2340" customFormat="false" ht="15" hidden="false" customHeight="true" outlineLevel="0" collapsed="false">
      <c r="A2340" s="10" t="n">
        <f aca="false">Einstellungen!$B$5+INT((ROW()-9)/24)</f>
        <v>46063</v>
      </c>
      <c r="B2340" s="11" t="n">
        <f aca="false">MOD(ROW()-9,24)</f>
        <v>3</v>
      </c>
      <c r="C2340" s="12"/>
      <c r="D2340" s="13" t="n">
        <f aca="false">IF(B2340&lt;5,Einstellungen!$B$3,Einstellungen!$B$4)</f>
        <v>15.92</v>
      </c>
      <c r="E2340" s="14" t="str">
        <f aca="false">IF(C2340="","",C2340*D2340/100)</f>
        <v/>
      </c>
      <c r="F2340" s="15" t="str">
        <f aca="false">IF(B2340&lt;5,"Go","Standard")</f>
        <v>Go</v>
      </c>
    </row>
    <row r="2341" customFormat="false" ht="15" hidden="false" customHeight="true" outlineLevel="0" collapsed="false">
      <c r="A2341" s="10" t="n">
        <f aca="false">Einstellungen!$B$5+INT((ROW()-9)/24)</f>
        <v>46063</v>
      </c>
      <c r="B2341" s="11" t="n">
        <f aca="false">MOD(ROW()-9,24)</f>
        <v>4</v>
      </c>
      <c r="C2341" s="12"/>
      <c r="D2341" s="13" t="n">
        <f aca="false">IF(B2341&lt;5,Einstellungen!$B$3,Einstellungen!$B$4)</f>
        <v>15.92</v>
      </c>
      <c r="E2341" s="14" t="str">
        <f aca="false">IF(C2341="","",C2341*D2341/100)</f>
        <v/>
      </c>
      <c r="F2341" s="15" t="str">
        <f aca="false">IF(B2341&lt;5,"Go","Standard")</f>
        <v>Go</v>
      </c>
    </row>
    <row r="2342" customFormat="false" ht="15" hidden="false" customHeight="true" outlineLevel="0" collapsed="false">
      <c r="A2342" s="10" t="n">
        <f aca="false">Einstellungen!$B$5+INT((ROW()-9)/24)</f>
        <v>46063</v>
      </c>
      <c r="B2342" s="11" t="n">
        <f aca="false">MOD(ROW()-9,24)</f>
        <v>5</v>
      </c>
      <c r="C2342" s="12"/>
      <c r="D2342" s="13" t="n">
        <f aca="false">IF(B2342&lt;5,Einstellungen!$B$3,Einstellungen!$B$4)</f>
        <v>29.13</v>
      </c>
      <c r="E2342" s="14" t="str">
        <f aca="false">IF(C2342="","",C2342*D2342/100)</f>
        <v/>
      </c>
      <c r="F2342" s="15" t="str">
        <f aca="false">IF(B2342&lt;5,"Go","Standard")</f>
        <v>Standard</v>
      </c>
    </row>
    <row r="2343" customFormat="false" ht="15" hidden="false" customHeight="true" outlineLevel="0" collapsed="false">
      <c r="A2343" s="10" t="n">
        <f aca="false">Einstellungen!$B$5+INT((ROW()-9)/24)</f>
        <v>46063</v>
      </c>
      <c r="B2343" s="11" t="n">
        <f aca="false">MOD(ROW()-9,24)</f>
        <v>6</v>
      </c>
      <c r="C2343" s="12"/>
      <c r="D2343" s="13" t="n">
        <f aca="false">IF(B2343&lt;5,Einstellungen!$B$3,Einstellungen!$B$4)</f>
        <v>29.13</v>
      </c>
      <c r="E2343" s="14" t="str">
        <f aca="false">IF(C2343="","",C2343*D2343/100)</f>
        <v/>
      </c>
      <c r="F2343" s="15" t="str">
        <f aca="false">IF(B2343&lt;5,"Go","Standard")</f>
        <v>Standard</v>
      </c>
    </row>
    <row r="2344" customFormat="false" ht="15" hidden="false" customHeight="true" outlineLevel="0" collapsed="false">
      <c r="A2344" s="10" t="n">
        <f aca="false">Einstellungen!$B$5+INT((ROW()-9)/24)</f>
        <v>46063</v>
      </c>
      <c r="B2344" s="11" t="n">
        <f aca="false">MOD(ROW()-9,24)</f>
        <v>7</v>
      </c>
      <c r="C2344" s="12"/>
      <c r="D2344" s="13" t="n">
        <f aca="false">IF(B2344&lt;5,Einstellungen!$B$3,Einstellungen!$B$4)</f>
        <v>29.13</v>
      </c>
      <c r="E2344" s="14" t="str">
        <f aca="false">IF(C2344="","",C2344*D2344/100)</f>
        <v/>
      </c>
      <c r="F2344" s="15" t="str">
        <f aca="false">IF(B2344&lt;5,"Go","Standard")</f>
        <v>Standard</v>
      </c>
    </row>
    <row r="2345" customFormat="false" ht="15" hidden="false" customHeight="true" outlineLevel="0" collapsed="false">
      <c r="A2345" s="10" t="n">
        <f aca="false">Einstellungen!$B$5+INT((ROW()-9)/24)</f>
        <v>46063</v>
      </c>
      <c r="B2345" s="11" t="n">
        <f aca="false">MOD(ROW()-9,24)</f>
        <v>8</v>
      </c>
      <c r="C2345" s="12"/>
      <c r="D2345" s="13" t="n">
        <f aca="false">IF(B2345&lt;5,Einstellungen!$B$3,Einstellungen!$B$4)</f>
        <v>29.13</v>
      </c>
      <c r="E2345" s="14" t="str">
        <f aca="false">IF(C2345="","",C2345*D2345/100)</f>
        <v/>
      </c>
      <c r="F2345" s="15" t="str">
        <f aca="false">IF(B2345&lt;5,"Go","Standard")</f>
        <v>Standard</v>
      </c>
    </row>
    <row r="2346" customFormat="false" ht="15" hidden="false" customHeight="true" outlineLevel="0" collapsed="false">
      <c r="A2346" s="10" t="n">
        <f aca="false">Einstellungen!$B$5+INT((ROW()-9)/24)</f>
        <v>46063</v>
      </c>
      <c r="B2346" s="11" t="n">
        <f aca="false">MOD(ROW()-9,24)</f>
        <v>9</v>
      </c>
      <c r="C2346" s="12"/>
      <c r="D2346" s="13" t="n">
        <f aca="false">IF(B2346&lt;5,Einstellungen!$B$3,Einstellungen!$B$4)</f>
        <v>29.13</v>
      </c>
      <c r="E2346" s="14" t="str">
        <f aca="false">IF(C2346="","",C2346*D2346/100)</f>
        <v/>
      </c>
      <c r="F2346" s="15" t="str">
        <f aca="false">IF(B2346&lt;5,"Go","Standard")</f>
        <v>Standard</v>
      </c>
    </row>
    <row r="2347" customFormat="false" ht="15" hidden="false" customHeight="true" outlineLevel="0" collapsed="false">
      <c r="A2347" s="10" t="n">
        <f aca="false">Einstellungen!$B$5+INT((ROW()-9)/24)</f>
        <v>46063</v>
      </c>
      <c r="B2347" s="11" t="n">
        <f aca="false">MOD(ROW()-9,24)</f>
        <v>10</v>
      </c>
      <c r="C2347" s="12"/>
      <c r="D2347" s="13" t="n">
        <f aca="false">IF(B2347&lt;5,Einstellungen!$B$3,Einstellungen!$B$4)</f>
        <v>29.13</v>
      </c>
      <c r="E2347" s="14" t="str">
        <f aca="false">IF(C2347="","",C2347*D2347/100)</f>
        <v/>
      </c>
      <c r="F2347" s="15" t="str">
        <f aca="false">IF(B2347&lt;5,"Go","Standard")</f>
        <v>Standard</v>
      </c>
    </row>
    <row r="2348" customFormat="false" ht="15" hidden="false" customHeight="true" outlineLevel="0" collapsed="false">
      <c r="A2348" s="10" t="n">
        <f aca="false">Einstellungen!$B$5+INT((ROW()-9)/24)</f>
        <v>46063</v>
      </c>
      <c r="B2348" s="11" t="n">
        <f aca="false">MOD(ROW()-9,24)</f>
        <v>11</v>
      </c>
      <c r="C2348" s="12"/>
      <c r="D2348" s="13" t="n">
        <f aca="false">IF(B2348&lt;5,Einstellungen!$B$3,Einstellungen!$B$4)</f>
        <v>29.13</v>
      </c>
      <c r="E2348" s="14" t="str">
        <f aca="false">IF(C2348="","",C2348*D2348/100)</f>
        <v/>
      </c>
      <c r="F2348" s="15" t="str">
        <f aca="false">IF(B2348&lt;5,"Go","Standard")</f>
        <v>Standard</v>
      </c>
    </row>
    <row r="2349" customFormat="false" ht="15" hidden="false" customHeight="true" outlineLevel="0" collapsed="false">
      <c r="A2349" s="10" t="n">
        <f aca="false">Einstellungen!$B$5+INT((ROW()-9)/24)</f>
        <v>46063</v>
      </c>
      <c r="B2349" s="11" t="n">
        <f aca="false">MOD(ROW()-9,24)</f>
        <v>12</v>
      </c>
      <c r="C2349" s="12"/>
      <c r="D2349" s="13" t="n">
        <f aca="false">IF(B2349&lt;5,Einstellungen!$B$3,Einstellungen!$B$4)</f>
        <v>29.13</v>
      </c>
      <c r="E2349" s="14" t="str">
        <f aca="false">IF(C2349="","",C2349*D2349/100)</f>
        <v/>
      </c>
      <c r="F2349" s="15" t="str">
        <f aca="false">IF(B2349&lt;5,"Go","Standard")</f>
        <v>Standard</v>
      </c>
    </row>
    <row r="2350" customFormat="false" ht="15" hidden="false" customHeight="true" outlineLevel="0" collapsed="false">
      <c r="A2350" s="10" t="n">
        <f aca="false">Einstellungen!$B$5+INT((ROW()-9)/24)</f>
        <v>46063</v>
      </c>
      <c r="B2350" s="11" t="n">
        <f aca="false">MOD(ROW()-9,24)</f>
        <v>13</v>
      </c>
      <c r="C2350" s="12"/>
      <c r="D2350" s="13" t="n">
        <f aca="false">IF(B2350&lt;5,Einstellungen!$B$3,Einstellungen!$B$4)</f>
        <v>29.13</v>
      </c>
      <c r="E2350" s="14" t="str">
        <f aca="false">IF(C2350="","",C2350*D2350/100)</f>
        <v/>
      </c>
      <c r="F2350" s="15" t="str">
        <f aca="false">IF(B2350&lt;5,"Go","Standard")</f>
        <v>Standard</v>
      </c>
    </row>
    <row r="2351" customFormat="false" ht="15" hidden="false" customHeight="true" outlineLevel="0" collapsed="false">
      <c r="A2351" s="10" t="n">
        <f aca="false">Einstellungen!$B$5+INT((ROW()-9)/24)</f>
        <v>46063</v>
      </c>
      <c r="B2351" s="11" t="n">
        <f aca="false">MOD(ROW()-9,24)</f>
        <v>14</v>
      </c>
      <c r="C2351" s="12"/>
      <c r="D2351" s="13" t="n">
        <f aca="false">IF(B2351&lt;5,Einstellungen!$B$3,Einstellungen!$B$4)</f>
        <v>29.13</v>
      </c>
      <c r="E2351" s="14" t="str">
        <f aca="false">IF(C2351="","",C2351*D2351/100)</f>
        <v/>
      </c>
      <c r="F2351" s="15" t="str">
        <f aca="false">IF(B2351&lt;5,"Go","Standard")</f>
        <v>Standard</v>
      </c>
    </row>
    <row r="2352" customFormat="false" ht="15" hidden="false" customHeight="true" outlineLevel="0" collapsed="false">
      <c r="A2352" s="10" t="n">
        <f aca="false">Einstellungen!$B$5+INT((ROW()-9)/24)</f>
        <v>46063</v>
      </c>
      <c r="B2352" s="11" t="n">
        <f aca="false">MOD(ROW()-9,24)</f>
        <v>15</v>
      </c>
      <c r="C2352" s="12"/>
      <c r="D2352" s="13" t="n">
        <f aca="false">IF(B2352&lt;5,Einstellungen!$B$3,Einstellungen!$B$4)</f>
        <v>29.13</v>
      </c>
      <c r="E2352" s="14" t="str">
        <f aca="false">IF(C2352="","",C2352*D2352/100)</f>
        <v/>
      </c>
      <c r="F2352" s="15" t="str">
        <f aca="false">IF(B2352&lt;5,"Go","Standard")</f>
        <v>Standard</v>
      </c>
    </row>
    <row r="2353" customFormat="false" ht="15" hidden="false" customHeight="true" outlineLevel="0" collapsed="false">
      <c r="A2353" s="10" t="n">
        <f aca="false">Einstellungen!$B$5+INT((ROW()-9)/24)</f>
        <v>46063</v>
      </c>
      <c r="B2353" s="11" t="n">
        <f aca="false">MOD(ROW()-9,24)</f>
        <v>16</v>
      </c>
      <c r="C2353" s="12"/>
      <c r="D2353" s="13" t="n">
        <f aca="false">IF(B2353&lt;5,Einstellungen!$B$3,Einstellungen!$B$4)</f>
        <v>29.13</v>
      </c>
      <c r="E2353" s="14" t="str">
        <f aca="false">IF(C2353="","",C2353*D2353/100)</f>
        <v/>
      </c>
      <c r="F2353" s="15" t="str">
        <f aca="false">IF(B2353&lt;5,"Go","Standard")</f>
        <v>Standard</v>
      </c>
    </row>
    <row r="2354" customFormat="false" ht="15" hidden="false" customHeight="true" outlineLevel="0" collapsed="false">
      <c r="A2354" s="10" t="n">
        <f aca="false">Einstellungen!$B$5+INT((ROW()-9)/24)</f>
        <v>46063</v>
      </c>
      <c r="B2354" s="11" t="n">
        <f aca="false">MOD(ROW()-9,24)</f>
        <v>17</v>
      </c>
      <c r="C2354" s="12"/>
      <c r="D2354" s="13" t="n">
        <f aca="false">IF(B2354&lt;5,Einstellungen!$B$3,Einstellungen!$B$4)</f>
        <v>29.13</v>
      </c>
      <c r="E2354" s="14" t="str">
        <f aca="false">IF(C2354="","",C2354*D2354/100)</f>
        <v/>
      </c>
      <c r="F2354" s="15" t="str">
        <f aca="false">IF(B2354&lt;5,"Go","Standard")</f>
        <v>Standard</v>
      </c>
    </row>
    <row r="2355" customFormat="false" ht="15" hidden="false" customHeight="true" outlineLevel="0" collapsed="false">
      <c r="A2355" s="10" t="n">
        <f aca="false">Einstellungen!$B$5+INT((ROW()-9)/24)</f>
        <v>46063</v>
      </c>
      <c r="B2355" s="11" t="n">
        <f aca="false">MOD(ROW()-9,24)</f>
        <v>18</v>
      </c>
      <c r="C2355" s="12"/>
      <c r="D2355" s="13" t="n">
        <f aca="false">IF(B2355&lt;5,Einstellungen!$B$3,Einstellungen!$B$4)</f>
        <v>29.13</v>
      </c>
      <c r="E2355" s="14" t="str">
        <f aca="false">IF(C2355="","",C2355*D2355/100)</f>
        <v/>
      </c>
      <c r="F2355" s="15" t="str">
        <f aca="false">IF(B2355&lt;5,"Go","Standard")</f>
        <v>Standard</v>
      </c>
    </row>
    <row r="2356" customFormat="false" ht="15" hidden="false" customHeight="true" outlineLevel="0" collapsed="false">
      <c r="A2356" s="10" t="n">
        <f aca="false">Einstellungen!$B$5+INT((ROW()-9)/24)</f>
        <v>46063</v>
      </c>
      <c r="B2356" s="11" t="n">
        <f aca="false">MOD(ROW()-9,24)</f>
        <v>19</v>
      </c>
      <c r="C2356" s="12"/>
      <c r="D2356" s="13" t="n">
        <f aca="false">IF(B2356&lt;5,Einstellungen!$B$3,Einstellungen!$B$4)</f>
        <v>29.13</v>
      </c>
      <c r="E2356" s="14" t="str">
        <f aca="false">IF(C2356="","",C2356*D2356/100)</f>
        <v/>
      </c>
      <c r="F2356" s="15" t="str">
        <f aca="false">IF(B2356&lt;5,"Go","Standard")</f>
        <v>Standard</v>
      </c>
    </row>
    <row r="2357" customFormat="false" ht="15" hidden="false" customHeight="true" outlineLevel="0" collapsed="false">
      <c r="A2357" s="10" t="n">
        <f aca="false">Einstellungen!$B$5+INT((ROW()-9)/24)</f>
        <v>46063</v>
      </c>
      <c r="B2357" s="11" t="n">
        <f aca="false">MOD(ROW()-9,24)</f>
        <v>20</v>
      </c>
      <c r="C2357" s="12"/>
      <c r="D2357" s="13" t="n">
        <f aca="false">IF(B2357&lt;5,Einstellungen!$B$3,Einstellungen!$B$4)</f>
        <v>29.13</v>
      </c>
      <c r="E2357" s="14" t="str">
        <f aca="false">IF(C2357="","",C2357*D2357/100)</f>
        <v/>
      </c>
      <c r="F2357" s="15" t="str">
        <f aca="false">IF(B2357&lt;5,"Go","Standard")</f>
        <v>Standard</v>
      </c>
    </row>
    <row r="2358" customFormat="false" ht="15" hidden="false" customHeight="true" outlineLevel="0" collapsed="false">
      <c r="A2358" s="10" t="n">
        <f aca="false">Einstellungen!$B$5+INT((ROW()-9)/24)</f>
        <v>46063</v>
      </c>
      <c r="B2358" s="11" t="n">
        <f aca="false">MOD(ROW()-9,24)</f>
        <v>21</v>
      </c>
      <c r="C2358" s="12"/>
      <c r="D2358" s="13" t="n">
        <f aca="false">IF(B2358&lt;5,Einstellungen!$B$3,Einstellungen!$B$4)</f>
        <v>29.13</v>
      </c>
      <c r="E2358" s="14" t="str">
        <f aca="false">IF(C2358="","",C2358*D2358/100)</f>
        <v/>
      </c>
      <c r="F2358" s="15" t="str">
        <f aca="false">IF(B2358&lt;5,"Go","Standard")</f>
        <v>Standard</v>
      </c>
    </row>
    <row r="2359" customFormat="false" ht="15" hidden="false" customHeight="true" outlineLevel="0" collapsed="false">
      <c r="A2359" s="10" t="n">
        <f aca="false">Einstellungen!$B$5+INT((ROW()-9)/24)</f>
        <v>46063</v>
      </c>
      <c r="B2359" s="11" t="n">
        <f aca="false">MOD(ROW()-9,24)</f>
        <v>22</v>
      </c>
      <c r="C2359" s="12"/>
      <c r="D2359" s="13" t="n">
        <f aca="false">IF(B2359&lt;5,Einstellungen!$B$3,Einstellungen!$B$4)</f>
        <v>29.13</v>
      </c>
      <c r="E2359" s="14" t="str">
        <f aca="false">IF(C2359="","",C2359*D2359/100)</f>
        <v/>
      </c>
      <c r="F2359" s="15" t="str">
        <f aca="false">IF(B2359&lt;5,"Go","Standard")</f>
        <v>Standard</v>
      </c>
    </row>
    <row r="2360" customFormat="false" ht="15" hidden="false" customHeight="true" outlineLevel="0" collapsed="false">
      <c r="A2360" s="10" t="n">
        <f aca="false">Einstellungen!$B$5+INT((ROW()-9)/24)</f>
        <v>46063</v>
      </c>
      <c r="B2360" s="11" t="n">
        <f aca="false">MOD(ROW()-9,24)</f>
        <v>23</v>
      </c>
      <c r="C2360" s="12"/>
      <c r="D2360" s="13" t="n">
        <f aca="false">IF(B2360&lt;5,Einstellungen!$B$3,Einstellungen!$B$4)</f>
        <v>29.13</v>
      </c>
      <c r="E2360" s="14" t="str">
        <f aca="false">IF(C2360="","",C2360*D2360/100)</f>
        <v/>
      </c>
      <c r="F2360" s="15" t="str">
        <f aca="false">IF(B2360&lt;5,"Go","Standard")</f>
        <v>Standard</v>
      </c>
    </row>
    <row r="2361" customFormat="false" ht="15" hidden="false" customHeight="true" outlineLevel="0" collapsed="false">
      <c r="A2361" s="10" t="n">
        <f aca="false">Einstellungen!$B$5+INT((ROW()-9)/24)</f>
        <v>46064</v>
      </c>
      <c r="B2361" s="11" t="n">
        <f aca="false">MOD(ROW()-9,24)</f>
        <v>0</v>
      </c>
      <c r="C2361" s="12"/>
      <c r="D2361" s="13" t="n">
        <f aca="false">IF(B2361&lt;5,Einstellungen!$B$3,Einstellungen!$B$4)</f>
        <v>15.92</v>
      </c>
      <c r="E2361" s="14" t="str">
        <f aca="false">IF(C2361="","",C2361*D2361/100)</f>
        <v/>
      </c>
      <c r="F2361" s="15" t="str">
        <f aca="false">IF(B2361&lt;5,"Go","Standard")</f>
        <v>Go</v>
      </c>
    </row>
    <row r="2362" customFormat="false" ht="15" hidden="false" customHeight="true" outlineLevel="0" collapsed="false">
      <c r="A2362" s="10" t="n">
        <f aca="false">Einstellungen!$B$5+INT((ROW()-9)/24)</f>
        <v>46064</v>
      </c>
      <c r="B2362" s="11" t="n">
        <f aca="false">MOD(ROW()-9,24)</f>
        <v>1</v>
      </c>
      <c r="C2362" s="12"/>
      <c r="D2362" s="13" t="n">
        <f aca="false">IF(B2362&lt;5,Einstellungen!$B$3,Einstellungen!$B$4)</f>
        <v>15.92</v>
      </c>
      <c r="E2362" s="14" t="str">
        <f aca="false">IF(C2362="","",C2362*D2362/100)</f>
        <v/>
      </c>
      <c r="F2362" s="15" t="str">
        <f aca="false">IF(B2362&lt;5,"Go","Standard")</f>
        <v>Go</v>
      </c>
    </row>
    <row r="2363" customFormat="false" ht="15" hidden="false" customHeight="true" outlineLevel="0" collapsed="false">
      <c r="A2363" s="10" t="n">
        <f aca="false">Einstellungen!$B$5+INT((ROW()-9)/24)</f>
        <v>46064</v>
      </c>
      <c r="B2363" s="11" t="n">
        <f aca="false">MOD(ROW()-9,24)</f>
        <v>2</v>
      </c>
      <c r="C2363" s="12"/>
      <c r="D2363" s="13" t="n">
        <f aca="false">IF(B2363&lt;5,Einstellungen!$B$3,Einstellungen!$B$4)</f>
        <v>15.92</v>
      </c>
      <c r="E2363" s="14" t="str">
        <f aca="false">IF(C2363="","",C2363*D2363/100)</f>
        <v/>
      </c>
      <c r="F2363" s="15" t="str">
        <f aca="false">IF(B2363&lt;5,"Go","Standard")</f>
        <v>Go</v>
      </c>
    </row>
    <row r="2364" customFormat="false" ht="15" hidden="false" customHeight="true" outlineLevel="0" collapsed="false">
      <c r="A2364" s="10" t="n">
        <f aca="false">Einstellungen!$B$5+INT((ROW()-9)/24)</f>
        <v>46064</v>
      </c>
      <c r="B2364" s="11" t="n">
        <f aca="false">MOD(ROW()-9,24)</f>
        <v>3</v>
      </c>
      <c r="C2364" s="12"/>
      <c r="D2364" s="13" t="n">
        <f aca="false">IF(B2364&lt;5,Einstellungen!$B$3,Einstellungen!$B$4)</f>
        <v>15.92</v>
      </c>
      <c r="E2364" s="14" t="str">
        <f aca="false">IF(C2364="","",C2364*D2364/100)</f>
        <v/>
      </c>
      <c r="F2364" s="15" t="str">
        <f aca="false">IF(B2364&lt;5,"Go","Standard")</f>
        <v>Go</v>
      </c>
    </row>
    <row r="2365" customFormat="false" ht="15" hidden="false" customHeight="true" outlineLevel="0" collapsed="false">
      <c r="A2365" s="10" t="n">
        <f aca="false">Einstellungen!$B$5+INT((ROW()-9)/24)</f>
        <v>46064</v>
      </c>
      <c r="B2365" s="11" t="n">
        <f aca="false">MOD(ROW()-9,24)</f>
        <v>4</v>
      </c>
      <c r="C2365" s="12"/>
      <c r="D2365" s="13" t="n">
        <f aca="false">IF(B2365&lt;5,Einstellungen!$B$3,Einstellungen!$B$4)</f>
        <v>15.92</v>
      </c>
      <c r="E2365" s="14" t="str">
        <f aca="false">IF(C2365="","",C2365*D2365/100)</f>
        <v/>
      </c>
      <c r="F2365" s="15" t="str">
        <f aca="false">IF(B2365&lt;5,"Go","Standard")</f>
        <v>Go</v>
      </c>
    </row>
    <row r="2366" customFormat="false" ht="15" hidden="false" customHeight="true" outlineLevel="0" collapsed="false">
      <c r="A2366" s="10" t="n">
        <f aca="false">Einstellungen!$B$5+INT((ROW()-9)/24)</f>
        <v>46064</v>
      </c>
      <c r="B2366" s="11" t="n">
        <f aca="false">MOD(ROW()-9,24)</f>
        <v>5</v>
      </c>
      <c r="C2366" s="12"/>
      <c r="D2366" s="13" t="n">
        <f aca="false">IF(B2366&lt;5,Einstellungen!$B$3,Einstellungen!$B$4)</f>
        <v>29.13</v>
      </c>
      <c r="E2366" s="14" t="str">
        <f aca="false">IF(C2366="","",C2366*D2366/100)</f>
        <v/>
      </c>
      <c r="F2366" s="15" t="str">
        <f aca="false">IF(B2366&lt;5,"Go","Standard")</f>
        <v>Standard</v>
      </c>
    </row>
    <row r="2367" customFormat="false" ht="15" hidden="false" customHeight="true" outlineLevel="0" collapsed="false">
      <c r="A2367" s="10" t="n">
        <f aca="false">Einstellungen!$B$5+INT((ROW()-9)/24)</f>
        <v>46064</v>
      </c>
      <c r="B2367" s="11" t="n">
        <f aca="false">MOD(ROW()-9,24)</f>
        <v>6</v>
      </c>
      <c r="C2367" s="12"/>
      <c r="D2367" s="13" t="n">
        <f aca="false">IF(B2367&lt;5,Einstellungen!$B$3,Einstellungen!$B$4)</f>
        <v>29.13</v>
      </c>
      <c r="E2367" s="14" t="str">
        <f aca="false">IF(C2367="","",C2367*D2367/100)</f>
        <v/>
      </c>
      <c r="F2367" s="15" t="str">
        <f aca="false">IF(B2367&lt;5,"Go","Standard")</f>
        <v>Standard</v>
      </c>
    </row>
    <row r="2368" customFormat="false" ht="15" hidden="false" customHeight="true" outlineLevel="0" collapsed="false">
      <c r="A2368" s="10" t="n">
        <f aca="false">Einstellungen!$B$5+INT((ROW()-9)/24)</f>
        <v>46064</v>
      </c>
      <c r="B2368" s="11" t="n">
        <f aca="false">MOD(ROW()-9,24)</f>
        <v>7</v>
      </c>
      <c r="C2368" s="12"/>
      <c r="D2368" s="13" t="n">
        <f aca="false">IF(B2368&lt;5,Einstellungen!$B$3,Einstellungen!$B$4)</f>
        <v>29.13</v>
      </c>
      <c r="E2368" s="14" t="str">
        <f aca="false">IF(C2368="","",C2368*D2368/100)</f>
        <v/>
      </c>
      <c r="F2368" s="15" t="str">
        <f aca="false">IF(B2368&lt;5,"Go","Standard")</f>
        <v>Standard</v>
      </c>
    </row>
    <row r="2369" customFormat="false" ht="15" hidden="false" customHeight="true" outlineLevel="0" collapsed="false">
      <c r="A2369" s="10" t="n">
        <f aca="false">Einstellungen!$B$5+INT((ROW()-9)/24)</f>
        <v>46064</v>
      </c>
      <c r="B2369" s="11" t="n">
        <f aca="false">MOD(ROW()-9,24)</f>
        <v>8</v>
      </c>
      <c r="C2369" s="12"/>
      <c r="D2369" s="13" t="n">
        <f aca="false">IF(B2369&lt;5,Einstellungen!$B$3,Einstellungen!$B$4)</f>
        <v>29.13</v>
      </c>
      <c r="E2369" s="14" t="str">
        <f aca="false">IF(C2369="","",C2369*D2369/100)</f>
        <v/>
      </c>
      <c r="F2369" s="15" t="str">
        <f aca="false">IF(B2369&lt;5,"Go","Standard")</f>
        <v>Standard</v>
      </c>
    </row>
    <row r="2370" customFormat="false" ht="15" hidden="false" customHeight="true" outlineLevel="0" collapsed="false">
      <c r="A2370" s="10" t="n">
        <f aca="false">Einstellungen!$B$5+INT((ROW()-9)/24)</f>
        <v>46064</v>
      </c>
      <c r="B2370" s="11" t="n">
        <f aca="false">MOD(ROW()-9,24)</f>
        <v>9</v>
      </c>
      <c r="C2370" s="12"/>
      <c r="D2370" s="13" t="n">
        <f aca="false">IF(B2370&lt;5,Einstellungen!$B$3,Einstellungen!$B$4)</f>
        <v>29.13</v>
      </c>
      <c r="E2370" s="14" t="str">
        <f aca="false">IF(C2370="","",C2370*D2370/100)</f>
        <v/>
      </c>
      <c r="F2370" s="15" t="str">
        <f aca="false">IF(B2370&lt;5,"Go","Standard")</f>
        <v>Standard</v>
      </c>
    </row>
    <row r="2371" customFormat="false" ht="15" hidden="false" customHeight="true" outlineLevel="0" collapsed="false">
      <c r="A2371" s="10" t="n">
        <f aca="false">Einstellungen!$B$5+INT((ROW()-9)/24)</f>
        <v>46064</v>
      </c>
      <c r="B2371" s="11" t="n">
        <f aca="false">MOD(ROW()-9,24)</f>
        <v>10</v>
      </c>
      <c r="C2371" s="12"/>
      <c r="D2371" s="13" t="n">
        <f aca="false">IF(B2371&lt;5,Einstellungen!$B$3,Einstellungen!$B$4)</f>
        <v>29.13</v>
      </c>
      <c r="E2371" s="14" t="str">
        <f aca="false">IF(C2371="","",C2371*D2371/100)</f>
        <v/>
      </c>
      <c r="F2371" s="15" t="str">
        <f aca="false">IF(B2371&lt;5,"Go","Standard")</f>
        <v>Standard</v>
      </c>
    </row>
    <row r="2372" customFormat="false" ht="15" hidden="false" customHeight="true" outlineLevel="0" collapsed="false">
      <c r="A2372" s="10" t="n">
        <f aca="false">Einstellungen!$B$5+INT((ROW()-9)/24)</f>
        <v>46064</v>
      </c>
      <c r="B2372" s="11" t="n">
        <f aca="false">MOD(ROW()-9,24)</f>
        <v>11</v>
      </c>
      <c r="C2372" s="12"/>
      <c r="D2372" s="13" t="n">
        <f aca="false">IF(B2372&lt;5,Einstellungen!$B$3,Einstellungen!$B$4)</f>
        <v>29.13</v>
      </c>
      <c r="E2372" s="14" t="str">
        <f aca="false">IF(C2372="","",C2372*D2372/100)</f>
        <v/>
      </c>
      <c r="F2372" s="15" t="str">
        <f aca="false">IF(B2372&lt;5,"Go","Standard")</f>
        <v>Standard</v>
      </c>
    </row>
    <row r="2373" customFormat="false" ht="15" hidden="false" customHeight="true" outlineLevel="0" collapsed="false">
      <c r="A2373" s="10" t="n">
        <f aca="false">Einstellungen!$B$5+INT((ROW()-9)/24)</f>
        <v>46064</v>
      </c>
      <c r="B2373" s="11" t="n">
        <f aca="false">MOD(ROW()-9,24)</f>
        <v>12</v>
      </c>
      <c r="C2373" s="12"/>
      <c r="D2373" s="13" t="n">
        <f aca="false">IF(B2373&lt;5,Einstellungen!$B$3,Einstellungen!$B$4)</f>
        <v>29.13</v>
      </c>
      <c r="E2373" s="14" t="str">
        <f aca="false">IF(C2373="","",C2373*D2373/100)</f>
        <v/>
      </c>
      <c r="F2373" s="15" t="str">
        <f aca="false">IF(B2373&lt;5,"Go","Standard")</f>
        <v>Standard</v>
      </c>
    </row>
    <row r="2374" customFormat="false" ht="15" hidden="false" customHeight="true" outlineLevel="0" collapsed="false">
      <c r="A2374" s="10" t="n">
        <f aca="false">Einstellungen!$B$5+INT((ROW()-9)/24)</f>
        <v>46064</v>
      </c>
      <c r="B2374" s="11" t="n">
        <f aca="false">MOD(ROW()-9,24)</f>
        <v>13</v>
      </c>
      <c r="C2374" s="12"/>
      <c r="D2374" s="13" t="n">
        <f aca="false">IF(B2374&lt;5,Einstellungen!$B$3,Einstellungen!$B$4)</f>
        <v>29.13</v>
      </c>
      <c r="E2374" s="14" t="str">
        <f aca="false">IF(C2374="","",C2374*D2374/100)</f>
        <v/>
      </c>
      <c r="F2374" s="15" t="str">
        <f aca="false">IF(B2374&lt;5,"Go","Standard")</f>
        <v>Standard</v>
      </c>
    </row>
    <row r="2375" customFormat="false" ht="15" hidden="false" customHeight="true" outlineLevel="0" collapsed="false">
      <c r="A2375" s="10" t="n">
        <f aca="false">Einstellungen!$B$5+INT((ROW()-9)/24)</f>
        <v>46064</v>
      </c>
      <c r="B2375" s="11" t="n">
        <f aca="false">MOD(ROW()-9,24)</f>
        <v>14</v>
      </c>
      <c r="C2375" s="12"/>
      <c r="D2375" s="13" t="n">
        <f aca="false">IF(B2375&lt;5,Einstellungen!$B$3,Einstellungen!$B$4)</f>
        <v>29.13</v>
      </c>
      <c r="E2375" s="14" t="str">
        <f aca="false">IF(C2375="","",C2375*D2375/100)</f>
        <v/>
      </c>
      <c r="F2375" s="15" t="str">
        <f aca="false">IF(B2375&lt;5,"Go","Standard")</f>
        <v>Standard</v>
      </c>
    </row>
    <row r="2376" customFormat="false" ht="15" hidden="false" customHeight="true" outlineLevel="0" collapsed="false">
      <c r="A2376" s="10" t="n">
        <f aca="false">Einstellungen!$B$5+INT((ROW()-9)/24)</f>
        <v>46064</v>
      </c>
      <c r="B2376" s="11" t="n">
        <f aca="false">MOD(ROW()-9,24)</f>
        <v>15</v>
      </c>
      <c r="C2376" s="12"/>
      <c r="D2376" s="13" t="n">
        <f aca="false">IF(B2376&lt;5,Einstellungen!$B$3,Einstellungen!$B$4)</f>
        <v>29.13</v>
      </c>
      <c r="E2376" s="14" t="str">
        <f aca="false">IF(C2376="","",C2376*D2376/100)</f>
        <v/>
      </c>
      <c r="F2376" s="15" t="str">
        <f aca="false">IF(B2376&lt;5,"Go","Standard")</f>
        <v>Standard</v>
      </c>
    </row>
    <row r="2377" customFormat="false" ht="15" hidden="false" customHeight="true" outlineLevel="0" collapsed="false">
      <c r="A2377" s="10" t="n">
        <f aca="false">Einstellungen!$B$5+INT((ROW()-9)/24)</f>
        <v>46064</v>
      </c>
      <c r="B2377" s="11" t="n">
        <f aca="false">MOD(ROW()-9,24)</f>
        <v>16</v>
      </c>
      <c r="C2377" s="12"/>
      <c r="D2377" s="13" t="n">
        <f aca="false">IF(B2377&lt;5,Einstellungen!$B$3,Einstellungen!$B$4)</f>
        <v>29.13</v>
      </c>
      <c r="E2377" s="14" t="str">
        <f aca="false">IF(C2377="","",C2377*D2377/100)</f>
        <v/>
      </c>
      <c r="F2377" s="15" t="str">
        <f aca="false">IF(B2377&lt;5,"Go","Standard")</f>
        <v>Standard</v>
      </c>
    </row>
    <row r="2378" customFormat="false" ht="15" hidden="false" customHeight="true" outlineLevel="0" collapsed="false">
      <c r="A2378" s="10" t="n">
        <f aca="false">Einstellungen!$B$5+INT((ROW()-9)/24)</f>
        <v>46064</v>
      </c>
      <c r="B2378" s="11" t="n">
        <f aca="false">MOD(ROW()-9,24)</f>
        <v>17</v>
      </c>
      <c r="C2378" s="12"/>
      <c r="D2378" s="13" t="n">
        <f aca="false">IF(B2378&lt;5,Einstellungen!$B$3,Einstellungen!$B$4)</f>
        <v>29.13</v>
      </c>
      <c r="E2378" s="14" t="str">
        <f aca="false">IF(C2378="","",C2378*D2378/100)</f>
        <v/>
      </c>
      <c r="F2378" s="15" t="str">
        <f aca="false">IF(B2378&lt;5,"Go","Standard")</f>
        <v>Standard</v>
      </c>
    </row>
    <row r="2379" customFormat="false" ht="15" hidden="false" customHeight="true" outlineLevel="0" collapsed="false">
      <c r="A2379" s="10" t="n">
        <f aca="false">Einstellungen!$B$5+INT((ROW()-9)/24)</f>
        <v>46064</v>
      </c>
      <c r="B2379" s="11" t="n">
        <f aca="false">MOD(ROW()-9,24)</f>
        <v>18</v>
      </c>
      <c r="C2379" s="12"/>
      <c r="D2379" s="13" t="n">
        <f aca="false">IF(B2379&lt;5,Einstellungen!$B$3,Einstellungen!$B$4)</f>
        <v>29.13</v>
      </c>
      <c r="E2379" s="14" t="str">
        <f aca="false">IF(C2379="","",C2379*D2379/100)</f>
        <v/>
      </c>
      <c r="F2379" s="15" t="str">
        <f aca="false">IF(B2379&lt;5,"Go","Standard")</f>
        <v>Standard</v>
      </c>
    </row>
    <row r="2380" customFormat="false" ht="15" hidden="false" customHeight="true" outlineLevel="0" collapsed="false">
      <c r="A2380" s="10" t="n">
        <f aca="false">Einstellungen!$B$5+INT((ROW()-9)/24)</f>
        <v>46064</v>
      </c>
      <c r="B2380" s="11" t="n">
        <f aca="false">MOD(ROW()-9,24)</f>
        <v>19</v>
      </c>
      <c r="C2380" s="12"/>
      <c r="D2380" s="13" t="n">
        <f aca="false">IF(B2380&lt;5,Einstellungen!$B$3,Einstellungen!$B$4)</f>
        <v>29.13</v>
      </c>
      <c r="E2380" s="14" t="str">
        <f aca="false">IF(C2380="","",C2380*D2380/100)</f>
        <v/>
      </c>
      <c r="F2380" s="15" t="str">
        <f aca="false">IF(B2380&lt;5,"Go","Standard")</f>
        <v>Standard</v>
      </c>
    </row>
    <row r="2381" customFormat="false" ht="15" hidden="false" customHeight="true" outlineLevel="0" collapsed="false">
      <c r="A2381" s="10" t="n">
        <f aca="false">Einstellungen!$B$5+INT((ROW()-9)/24)</f>
        <v>46064</v>
      </c>
      <c r="B2381" s="11" t="n">
        <f aca="false">MOD(ROW()-9,24)</f>
        <v>20</v>
      </c>
      <c r="C2381" s="12"/>
      <c r="D2381" s="13" t="n">
        <f aca="false">IF(B2381&lt;5,Einstellungen!$B$3,Einstellungen!$B$4)</f>
        <v>29.13</v>
      </c>
      <c r="E2381" s="14" t="str">
        <f aca="false">IF(C2381="","",C2381*D2381/100)</f>
        <v/>
      </c>
      <c r="F2381" s="15" t="str">
        <f aca="false">IF(B2381&lt;5,"Go","Standard")</f>
        <v>Standard</v>
      </c>
    </row>
    <row r="2382" customFormat="false" ht="15" hidden="false" customHeight="true" outlineLevel="0" collapsed="false">
      <c r="A2382" s="10" t="n">
        <f aca="false">Einstellungen!$B$5+INT((ROW()-9)/24)</f>
        <v>46064</v>
      </c>
      <c r="B2382" s="11" t="n">
        <f aca="false">MOD(ROW()-9,24)</f>
        <v>21</v>
      </c>
      <c r="C2382" s="12"/>
      <c r="D2382" s="13" t="n">
        <f aca="false">IF(B2382&lt;5,Einstellungen!$B$3,Einstellungen!$B$4)</f>
        <v>29.13</v>
      </c>
      <c r="E2382" s="14" t="str">
        <f aca="false">IF(C2382="","",C2382*D2382/100)</f>
        <v/>
      </c>
      <c r="F2382" s="15" t="str">
        <f aca="false">IF(B2382&lt;5,"Go","Standard")</f>
        <v>Standard</v>
      </c>
    </row>
    <row r="2383" customFormat="false" ht="15" hidden="false" customHeight="true" outlineLevel="0" collapsed="false">
      <c r="A2383" s="10" t="n">
        <f aca="false">Einstellungen!$B$5+INT((ROW()-9)/24)</f>
        <v>46064</v>
      </c>
      <c r="B2383" s="11" t="n">
        <f aca="false">MOD(ROW()-9,24)</f>
        <v>22</v>
      </c>
      <c r="C2383" s="12"/>
      <c r="D2383" s="13" t="n">
        <f aca="false">IF(B2383&lt;5,Einstellungen!$B$3,Einstellungen!$B$4)</f>
        <v>29.13</v>
      </c>
      <c r="E2383" s="14" t="str">
        <f aca="false">IF(C2383="","",C2383*D2383/100)</f>
        <v/>
      </c>
      <c r="F2383" s="15" t="str">
        <f aca="false">IF(B2383&lt;5,"Go","Standard")</f>
        <v>Standard</v>
      </c>
    </row>
    <row r="2384" customFormat="false" ht="15" hidden="false" customHeight="true" outlineLevel="0" collapsed="false">
      <c r="A2384" s="10" t="n">
        <f aca="false">Einstellungen!$B$5+INT((ROW()-9)/24)</f>
        <v>46064</v>
      </c>
      <c r="B2384" s="11" t="n">
        <f aca="false">MOD(ROW()-9,24)</f>
        <v>23</v>
      </c>
      <c r="C2384" s="12"/>
      <c r="D2384" s="13" t="n">
        <f aca="false">IF(B2384&lt;5,Einstellungen!$B$3,Einstellungen!$B$4)</f>
        <v>29.13</v>
      </c>
      <c r="E2384" s="14" t="str">
        <f aca="false">IF(C2384="","",C2384*D2384/100)</f>
        <v/>
      </c>
      <c r="F2384" s="15" t="str">
        <f aca="false">IF(B2384&lt;5,"Go","Standard")</f>
        <v>Standard</v>
      </c>
    </row>
    <row r="2385" customFormat="false" ht="15" hidden="false" customHeight="true" outlineLevel="0" collapsed="false">
      <c r="A2385" s="10" t="n">
        <f aca="false">Einstellungen!$B$5+INT((ROW()-9)/24)</f>
        <v>46065</v>
      </c>
      <c r="B2385" s="11" t="n">
        <f aca="false">MOD(ROW()-9,24)</f>
        <v>0</v>
      </c>
      <c r="C2385" s="12"/>
      <c r="D2385" s="13" t="n">
        <f aca="false">IF(B2385&lt;5,Einstellungen!$B$3,Einstellungen!$B$4)</f>
        <v>15.92</v>
      </c>
      <c r="E2385" s="14" t="str">
        <f aca="false">IF(C2385="","",C2385*D2385/100)</f>
        <v/>
      </c>
      <c r="F2385" s="15" t="str">
        <f aca="false">IF(B2385&lt;5,"Go","Standard")</f>
        <v>Go</v>
      </c>
    </row>
    <row r="2386" customFormat="false" ht="15" hidden="false" customHeight="true" outlineLevel="0" collapsed="false">
      <c r="A2386" s="10" t="n">
        <f aca="false">Einstellungen!$B$5+INT((ROW()-9)/24)</f>
        <v>46065</v>
      </c>
      <c r="B2386" s="11" t="n">
        <f aca="false">MOD(ROW()-9,24)</f>
        <v>1</v>
      </c>
      <c r="C2386" s="12"/>
      <c r="D2386" s="13" t="n">
        <f aca="false">IF(B2386&lt;5,Einstellungen!$B$3,Einstellungen!$B$4)</f>
        <v>15.92</v>
      </c>
      <c r="E2386" s="14" t="str">
        <f aca="false">IF(C2386="","",C2386*D2386/100)</f>
        <v/>
      </c>
      <c r="F2386" s="15" t="str">
        <f aca="false">IF(B2386&lt;5,"Go","Standard")</f>
        <v>Go</v>
      </c>
    </row>
    <row r="2387" customFormat="false" ht="15" hidden="false" customHeight="true" outlineLevel="0" collapsed="false">
      <c r="A2387" s="10" t="n">
        <f aca="false">Einstellungen!$B$5+INT((ROW()-9)/24)</f>
        <v>46065</v>
      </c>
      <c r="B2387" s="11" t="n">
        <f aca="false">MOD(ROW()-9,24)</f>
        <v>2</v>
      </c>
      <c r="C2387" s="12"/>
      <c r="D2387" s="13" t="n">
        <f aca="false">IF(B2387&lt;5,Einstellungen!$B$3,Einstellungen!$B$4)</f>
        <v>15.92</v>
      </c>
      <c r="E2387" s="14" t="str">
        <f aca="false">IF(C2387="","",C2387*D2387/100)</f>
        <v/>
      </c>
      <c r="F2387" s="15" t="str">
        <f aca="false">IF(B2387&lt;5,"Go","Standard")</f>
        <v>Go</v>
      </c>
    </row>
    <row r="2388" customFormat="false" ht="15" hidden="false" customHeight="true" outlineLevel="0" collapsed="false">
      <c r="A2388" s="10" t="n">
        <f aca="false">Einstellungen!$B$5+INT((ROW()-9)/24)</f>
        <v>46065</v>
      </c>
      <c r="B2388" s="11" t="n">
        <f aca="false">MOD(ROW()-9,24)</f>
        <v>3</v>
      </c>
      <c r="C2388" s="12"/>
      <c r="D2388" s="13" t="n">
        <f aca="false">IF(B2388&lt;5,Einstellungen!$B$3,Einstellungen!$B$4)</f>
        <v>15.92</v>
      </c>
      <c r="E2388" s="14" t="str">
        <f aca="false">IF(C2388="","",C2388*D2388/100)</f>
        <v/>
      </c>
      <c r="F2388" s="15" t="str">
        <f aca="false">IF(B2388&lt;5,"Go","Standard")</f>
        <v>Go</v>
      </c>
    </row>
    <row r="2389" customFormat="false" ht="15" hidden="false" customHeight="true" outlineLevel="0" collapsed="false">
      <c r="A2389" s="10" t="n">
        <f aca="false">Einstellungen!$B$5+INT((ROW()-9)/24)</f>
        <v>46065</v>
      </c>
      <c r="B2389" s="11" t="n">
        <f aca="false">MOD(ROW()-9,24)</f>
        <v>4</v>
      </c>
      <c r="C2389" s="12"/>
      <c r="D2389" s="13" t="n">
        <f aca="false">IF(B2389&lt;5,Einstellungen!$B$3,Einstellungen!$B$4)</f>
        <v>15.92</v>
      </c>
      <c r="E2389" s="14" t="str">
        <f aca="false">IF(C2389="","",C2389*D2389/100)</f>
        <v/>
      </c>
      <c r="F2389" s="15" t="str">
        <f aca="false">IF(B2389&lt;5,"Go","Standard")</f>
        <v>Go</v>
      </c>
    </row>
    <row r="2390" customFormat="false" ht="15" hidden="false" customHeight="true" outlineLevel="0" collapsed="false">
      <c r="A2390" s="10" t="n">
        <f aca="false">Einstellungen!$B$5+INT((ROW()-9)/24)</f>
        <v>46065</v>
      </c>
      <c r="B2390" s="11" t="n">
        <f aca="false">MOD(ROW()-9,24)</f>
        <v>5</v>
      </c>
      <c r="C2390" s="12"/>
      <c r="D2390" s="13" t="n">
        <f aca="false">IF(B2390&lt;5,Einstellungen!$B$3,Einstellungen!$B$4)</f>
        <v>29.13</v>
      </c>
      <c r="E2390" s="14" t="str">
        <f aca="false">IF(C2390="","",C2390*D2390/100)</f>
        <v/>
      </c>
      <c r="F2390" s="15" t="str">
        <f aca="false">IF(B2390&lt;5,"Go","Standard")</f>
        <v>Standard</v>
      </c>
    </row>
    <row r="2391" customFormat="false" ht="15" hidden="false" customHeight="true" outlineLevel="0" collapsed="false">
      <c r="A2391" s="10" t="n">
        <f aca="false">Einstellungen!$B$5+INT((ROW()-9)/24)</f>
        <v>46065</v>
      </c>
      <c r="B2391" s="11" t="n">
        <f aca="false">MOD(ROW()-9,24)</f>
        <v>6</v>
      </c>
      <c r="C2391" s="12"/>
      <c r="D2391" s="13" t="n">
        <f aca="false">IF(B2391&lt;5,Einstellungen!$B$3,Einstellungen!$B$4)</f>
        <v>29.13</v>
      </c>
      <c r="E2391" s="14" t="str">
        <f aca="false">IF(C2391="","",C2391*D2391/100)</f>
        <v/>
      </c>
      <c r="F2391" s="15" t="str">
        <f aca="false">IF(B2391&lt;5,"Go","Standard")</f>
        <v>Standard</v>
      </c>
    </row>
    <row r="2392" customFormat="false" ht="15" hidden="false" customHeight="true" outlineLevel="0" collapsed="false">
      <c r="A2392" s="10" t="n">
        <f aca="false">Einstellungen!$B$5+INT((ROW()-9)/24)</f>
        <v>46065</v>
      </c>
      <c r="B2392" s="11" t="n">
        <f aca="false">MOD(ROW()-9,24)</f>
        <v>7</v>
      </c>
      <c r="C2392" s="12"/>
      <c r="D2392" s="13" t="n">
        <f aca="false">IF(B2392&lt;5,Einstellungen!$B$3,Einstellungen!$B$4)</f>
        <v>29.13</v>
      </c>
      <c r="E2392" s="14" t="str">
        <f aca="false">IF(C2392="","",C2392*D2392/100)</f>
        <v/>
      </c>
      <c r="F2392" s="15" t="str">
        <f aca="false">IF(B2392&lt;5,"Go","Standard")</f>
        <v>Standard</v>
      </c>
    </row>
    <row r="2393" customFormat="false" ht="15" hidden="false" customHeight="true" outlineLevel="0" collapsed="false">
      <c r="A2393" s="10" t="n">
        <f aca="false">Einstellungen!$B$5+INT((ROW()-9)/24)</f>
        <v>46065</v>
      </c>
      <c r="B2393" s="11" t="n">
        <f aca="false">MOD(ROW()-9,24)</f>
        <v>8</v>
      </c>
      <c r="C2393" s="12"/>
      <c r="D2393" s="13" t="n">
        <f aca="false">IF(B2393&lt;5,Einstellungen!$B$3,Einstellungen!$B$4)</f>
        <v>29.13</v>
      </c>
      <c r="E2393" s="14" t="str">
        <f aca="false">IF(C2393="","",C2393*D2393/100)</f>
        <v/>
      </c>
      <c r="F2393" s="15" t="str">
        <f aca="false">IF(B2393&lt;5,"Go","Standard")</f>
        <v>Standard</v>
      </c>
    </row>
    <row r="2394" customFormat="false" ht="15" hidden="false" customHeight="true" outlineLevel="0" collapsed="false">
      <c r="A2394" s="10" t="n">
        <f aca="false">Einstellungen!$B$5+INT((ROW()-9)/24)</f>
        <v>46065</v>
      </c>
      <c r="B2394" s="11" t="n">
        <f aca="false">MOD(ROW()-9,24)</f>
        <v>9</v>
      </c>
      <c r="C2394" s="12"/>
      <c r="D2394" s="13" t="n">
        <f aca="false">IF(B2394&lt;5,Einstellungen!$B$3,Einstellungen!$B$4)</f>
        <v>29.13</v>
      </c>
      <c r="E2394" s="14" t="str">
        <f aca="false">IF(C2394="","",C2394*D2394/100)</f>
        <v/>
      </c>
      <c r="F2394" s="15" t="str">
        <f aca="false">IF(B2394&lt;5,"Go","Standard")</f>
        <v>Standard</v>
      </c>
    </row>
    <row r="2395" customFormat="false" ht="15" hidden="false" customHeight="true" outlineLevel="0" collapsed="false">
      <c r="A2395" s="10" t="n">
        <f aca="false">Einstellungen!$B$5+INT((ROW()-9)/24)</f>
        <v>46065</v>
      </c>
      <c r="B2395" s="11" t="n">
        <f aca="false">MOD(ROW()-9,24)</f>
        <v>10</v>
      </c>
      <c r="C2395" s="12"/>
      <c r="D2395" s="13" t="n">
        <f aca="false">IF(B2395&lt;5,Einstellungen!$B$3,Einstellungen!$B$4)</f>
        <v>29.13</v>
      </c>
      <c r="E2395" s="14" t="str">
        <f aca="false">IF(C2395="","",C2395*D2395/100)</f>
        <v/>
      </c>
      <c r="F2395" s="15" t="str">
        <f aca="false">IF(B2395&lt;5,"Go","Standard")</f>
        <v>Standard</v>
      </c>
    </row>
    <row r="2396" customFormat="false" ht="15" hidden="false" customHeight="true" outlineLevel="0" collapsed="false">
      <c r="A2396" s="10" t="n">
        <f aca="false">Einstellungen!$B$5+INT((ROW()-9)/24)</f>
        <v>46065</v>
      </c>
      <c r="B2396" s="11" t="n">
        <f aca="false">MOD(ROW()-9,24)</f>
        <v>11</v>
      </c>
      <c r="C2396" s="12"/>
      <c r="D2396" s="13" t="n">
        <f aca="false">IF(B2396&lt;5,Einstellungen!$B$3,Einstellungen!$B$4)</f>
        <v>29.13</v>
      </c>
      <c r="E2396" s="14" t="str">
        <f aca="false">IF(C2396="","",C2396*D2396/100)</f>
        <v/>
      </c>
      <c r="F2396" s="15" t="str">
        <f aca="false">IF(B2396&lt;5,"Go","Standard")</f>
        <v>Standard</v>
      </c>
    </row>
    <row r="2397" customFormat="false" ht="15" hidden="false" customHeight="true" outlineLevel="0" collapsed="false">
      <c r="A2397" s="10" t="n">
        <f aca="false">Einstellungen!$B$5+INT((ROW()-9)/24)</f>
        <v>46065</v>
      </c>
      <c r="B2397" s="11" t="n">
        <f aca="false">MOD(ROW()-9,24)</f>
        <v>12</v>
      </c>
      <c r="C2397" s="12"/>
      <c r="D2397" s="13" t="n">
        <f aca="false">IF(B2397&lt;5,Einstellungen!$B$3,Einstellungen!$B$4)</f>
        <v>29.13</v>
      </c>
      <c r="E2397" s="14" t="str">
        <f aca="false">IF(C2397="","",C2397*D2397/100)</f>
        <v/>
      </c>
      <c r="F2397" s="15" t="str">
        <f aca="false">IF(B2397&lt;5,"Go","Standard")</f>
        <v>Standard</v>
      </c>
    </row>
    <row r="2398" customFormat="false" ht="15" hidden="false" customHeight="true" outlineLevel="0" collapsed="false">
      <c r="A2398" s="10" t="n">
        <f aca="false">Einstellungen!$B$5+INT((ROW()-9)/24)</f>
        <v>46065</v>
      </c>
      <c r="B2398" s="11" t="n">
        <f aca="false">MOD(ROW()-9,24)</f>
        <v>13</v>
      </c>
      <c r="C2398" s="12"/>
      <c r="D2398" s="13" t="n">
        <f aca="false">IF(B2398&lt;5,Einstellungen!$B$3,Einstellungen!$B$4)</f>
        <v>29.13</v>
      </c>
      <c r="E2398" s="14" t="str">
        <f aca="false">IF(C2398="","",C2398*D2398/100)</f>
        <v/>
      </c>
      <c r="F2398" s="15" t="str">
        <f aca="false">IF(B2398&lt;5,"Go","Standard")</f>
        <v>Standard</v>
      </c>
    </row>
    <row r="2399" customFormat="false" ht="15" hidden="false" customHeight="true" outlineLevel="0" collapsed="false">
      <c r="A2399" s="10" t="n">
        <f aca="false">Einstellungen!$B$5+INT((ROW()-9)/24)</f>
        <v>46065</v>
      </c>
      <c r="B2399" s="11" t="n">
        <f aca="false">MOD(ROW()-9,24)</f>
        <v>14</v>
      </c>
      <c r="C2399" s="12"/>
      <c r="D2399" s="13" t="n">
        <f aca="false">IF(B2399&lt;5,Einstellungen!$B$3,Einstellungen!$B$4)</f>
        <v>29.13</v>
      </c>
      <c r="E2399" s="14" t="str">
        <f aca="false">IF(C2399="","",C2399*D2399/100)</f>
        <v/>
      </c>
      <c r="F2399" s="15" t="str">
        <f aca="false">IF(B2399&lt;5,"Go","Standard")</f>
        <v>Standard</v>
      </c>
    </row>
    <row r="2400" customFormat="false" ht="15" hidden="false" customHeight="true" outlineLevel="0" collapsed="false">
      <c r="A2400" s="10" t="n">
        <f aca="false">Einstellungen!$B$5+INT((ROW()-9)/24)</f>
        <v>46065</v>
      </c>
      <c r="B2400" s="11" t="n">
        <f aca="false">MOD(ROW()-9,24)</f>
        <v>15</v>
      </c>
      <c r="C2400" s="12"/>
      <c r="D2400" s="13" t="n">
        <f aca="false">IF(B2400&lt;5,Einstellungen!$B$3,Einstellungen!$B$4)</f>
        <v>29.13</v>
      </c>
      <c r="E2400" s="14" t="str">
        <f aca="false">IF(C2400="","",C2400*D2400/100)</f>
        <v/>
      </c>
      <c r="F2400" s="15" t="str">
        <f aca="false">IF(B2400&lt;5,"Go","Standard")</f>
        <v>Standard</v>
      </c>
    </row>
    <row r="2401" customFormat="false" ht="15" hidden="false" customHeight="true" outlineLevel="0" collapsed="false">
      <c r="A2401" s="10" t="n">
        <f aca="false">Einstellungen!$B$5+INT((ROW()-9)/24)</f>
        <v>46065</v>
      </c>
      <c r="B2401" s="11" t="n">
        <f aca="false">MOD(ROW()-9,24)</f>
        <v>16</v>
      </c>
      <c r="C2401" s="12"/>
      <c r="D2401" s="13" t="n">
        <f aca="false">IF(B2401&lt;5,Einstellungen!$B$3,Einstellungen!$B$4)</f>
        <v>29.13</v>
      </c>
      <c r="E2401" s="14" t="str">
        <f aca="false">IF(C2401="","",C2401*D2401/100)</f>
        <v/>
      </c>
      <c r="F2401" s="15" t="str">
        <f aca="false">IF(B2401&lt;5,"Go","Standard")</f>
        <v>Standard</v>
      </c>
    </row>
    <row r="2402" customFormat="false" ht="15" hidden="false" customHeight="true" outlineLevel="0" collapsed="false">
      <c r="A2402" s="10" t="n">
        <f aca="false">Einstellungen!$B$5+INT((ROW()-9)/24)</f>
        <v>46065</v>
      </c>
      <c r="B2402" s="11" t="n">
        <f aca="false">MOD(ROW()-9,24)</f>
        <v>17</v>
      </c>
      <c r="C2402" s="12"/>
      <c r="D2402" s="13" t="n">
        <f aca="false">IF(B2402&lt;5,Einstellungen!$B$3,Einstellungen!$B$4)</f>
        <v>29.13</v>
      </c>
      <c r="E2402" s="14" t="str">
        <f aca="false">IF(C2402="","",C2402*D2402/100)</f>
        <v/>
      </c>
      <c r="F2402" s="15" t="str">
        <f aca="false">IF(B2402&lt;5,"Go","Standard")</f>
        <v>Standard</v>
      </c>
    </row>
    <row r="2403" customFormat="false" ht="15" hidden="false" customHeight="true" outlineLevel="0" collapsed="false">
      <c r="A2403" s="10" t="n">
        <f aca="false">Einstellungen!$B$5+INT((ROW()-9)/24)</f>
        <v>46065</v>
      </c>
      <c r="B2403" s="11" t="n">
        <f aca="false">MOD(ROW()-9,24)</f>
        <v>18</v>
      </c>
      <c r="C2403" s="12"/>
      <c r="D2403" s="13" t="n">
        <f aca="false">IF(B2403&lt;5,Einstellungen!$B$3,Einstellungen!$B$4)</f>
        <v>29.13</v>
      </c>
      <c r="E2403" s="14" t="str">
        <f aca="false">IF(C2403="","",C2403*D2403/100)</f>
        <v/>
      </c>
      <c r="F2403" s="15" t="str">
        <f aca="false">IF(B2403&lt;5,"Go","Standard")</f>
        <v>Standard</v>
      </c>
    </row>
    <row r="2404" customFormat="false" ht="15" hidden="false" customHeight="true" outlineLevel="0" collapsed="false">
      <c r="A2404" s="10" t="n">
        <f aca="false">Einstellungen!$B$5+INT((ROW()-9)/24)</f>
        <v>46065</v>
      </c>
      <c r="B2404" s="11" t="n">
        <f aca="false">MOD(ROW()-9,24)</f>
        <v>19</v>
      </c>
      <c r="C2404" s="12"/>
      <c r="D2404" s="13" t="n">
        <f aca="false">IF(B2404&lt;5,Einstellungen!$B$3,Einstellungen!$B$4)</f>
        <v>29.13</v>
      </c>
      <c r="E2404" s="14" t="str">
        <f aca="false">IF(C2404="","",C2404*D2404/100)</f>
        <v/>
      </c>
      <c r="F2404" s="15" t="str">
        <f aca="false">IF(B2404&lt;5,"Go","Standard")</f>
        <v>Standard</v>
      </c>
    </row>
    <row r="2405" customFormat="false" ht="15" hidden="false" customHeight="true" outlineLevel="0" collapsed="false">
      <c r="A2405" s="10" t="n">
        <f aca="false">Einstellungen!$B$5+INT((ROW()-9)/24)</f>
        <v>46065</v>
      </c>
      <c r="B2405" s="11" t="n">
        <f aca="false">MOD(ROW()-9,24)</f>
        <v>20</v>
      </c>
      <c r="C2405" s="12"/>
      <c r="D2405" s="13" t="n">
        <f aca="false">IF(B2405&lt;5,Einstellungen!$B$3,Einstellungen!$B$4)</f>
        <v>29.13</v>
      </c>
      <c r="E2405" s="14" t="str">
        <f aca="false">IF(C2405="","",C2405*D2405/100)</f>
        <v/>
      </c>
      <c r="F2405" s="15" t="str">
        <f aca="false">IF(B2405&lt;5,"Go","Standard")</f>
        <v>Standard</v>
      </c>
    </row>
    <row r="2406" customFormat="false" ht="15" hidden="false" customHeight="true" outlineLevel="0" collapsed="false">
      <c r="A2406" s="10" t="n">
        <f aca="false">Einstellungen!$B$5+INT((ROW()-9)/24)</f>
        <v>46065</v>
      </c>
      <c r="B2406" s="11" t="n">
        <f aca="false">MOD(ROW()-9,24)</f>
        <v>21</v>
      </c>
      <c r="C2406" s="12"/>
      <c r="D2406" s="13" t="n">
        <f aca="false">IF(B2406&lt;5,Einstellungen!$B$3,Einstellungen!$B$4)</f>
        <v>29.13</v>
      </c>
      <c r="E2406" s="14" t="str">
        <f aca="false">IF(C2406="","",C2406*D2406/100)</f>
        <v/>
      </c>
      <c r="F2406" s="15" t="str">
        <f aca="false">IF(B2406&lt;5,"Go","Standard")</f>
        <v>Standard</v>
      </c>
    </row>
    <row r="2407" customFormat="false" ht="15" hidden="false" customHeight="true" outlineLevel="0" collapsed="false">
      <c r="A2407" s="10" t="n">
        <f aca="false">Einstellungen!$B$5+INT((ROW()-9)/24)</f>
        <v>46065</v>
      </c>
      <c r="B2407" s="11" t="n">
        <f aca="false">MOD(ROW()-9,24)</f>
        <v>22</v>
      </c>
      <c r="C2407" s="12"/>
      <c r="D2407" s="13" t="n">
        <f aca="false">IF(B2407&lt;5,Einstellungen!$B$3,Einstellungen!$B$4)</f>
        <v>29.13</v>
      </c>
      <c r="E2407" s="14" t="str">
        <f aca="false">IF(C2407="","",C2407*D2407/100)</f>
        <v/>
      </c>
      <c r="F2407" s="15" t="str">
        <f aca="false">IF(B2407&lt;5,"Go","Standard")</f>
        <v>Standard</v>
      </c>
    </row>
    <row r="2408" customFormat="false" ht="15" hidden="false" customHeight="true" outlineLevel="0" collapsed="false">
      <c r="A2408" s="10" t="n">
        <f aca="false">Einstellungen!$B$5+INT((ROW()-9)/24)</f>
        <v>46065</v>
      </c>
      <c r="B2408" s="11" t="n">
        <f aca="false">MOD(ROW()-9,24)</f>
        <v>23</v>
      </c>
      <c r="C2408" s="12"/>
      <c r="D2408" s="13" t="n">
        <f aca="false">IF(B2408&lt;5,Einstellungen!$B$3,Einstellungen!$B$4)</f>
        <v>29.13</v>
      </c>
      <c r="E2408" s="14" t="str">
        <f aca="false">IF(C2408="","",C2408*D2408/100)</f>
        <v/>
      </c>
      <c r="F2408" s="15" t="str">
        <f aca="false">IF(B2408&lt;5,"Go","Standard")</f>
        <v>Standard</v>
      </c>
    </row>
    <row r="2409" customFormat="false" ht="15" hidden="false" customHeight="true" outlineLevel="0" collapsed="false">
      <c r="A2409" s="10" t="n">
        <f aca="false">Einstellungen!$B$5+INT((ROW()-9)/24)</f>
        <v>46066</v>
      </c>
      <c r="B2409" s="11" t="n">
        <f aca="false">MOD(ROW()-9,24)</f>
        <v>0</v>
      </c>
      <c r="C2409" s="12"/>
      <c r="D2409" s="13" t="n">
        <f aca="false">IF(B2409&lt;5,Einstellungen!$B$3,Einstellungen!$B$4)</f>
        <v>15.92</v>
      </c>
      <c r="E2409" s="14" t="str">
        <f aca="false">IF(C2409="","",C2409*D2409/100)</f>
        <v/>
      </c>
      <c r="F2409" s="15" t="str">
        <f aca="false">IF(B2409&lt;5,"Go","Standard")</f>
        <v>Go</v>
      </c>
    </row>
    <row r="2410" customFormat="false" ht="15" hidden="false" customHeight="true" outlineLevel="0" collapsed="false">
      <c r="A2410" s="10" t="n">
        <f aca="false">Einstellungen!$B$5+INT((ROW()-9)/24)</f>
        <v>46066</v>
      </c>
      <c r="B2410" s="11" t="n">
        <f aca="false">MOD(ROW()-9,24)</f>
        <v>1</v>
      </c>
      <c r="C2410" s="12"/>
      <c r="D2410" s="13" t="n">
        <f aca="false">IF(B2410&lt;5,Einstellungen!$B$3,Einstellungen!$B$4)</f>
        <v>15.92</v>
      </c>
      <c r="E2410" s="14" t="str">
        <f aca="false">IF(C2410="","",C2410*D2410/100)</f>
        <v/>
      </c>
      <c r="F2410" s="15" t="str">
        <f aca="false">IF(B2410&lt;5,"Go","Standard")</f>
        <v>Go</v>
      </c>
    </row>
    <row r="2411" customFormat="false" ht="15" hidden="false" customHeight="true" outlineLevel="0" collapsed="false">
      <c r="A2411" s="10" t="n">
        <f aca="false">Einstellungen!$B$5+INT((ROW()-9)/24)</f>
        <v>46066</v>
      </c>
      <c r="B2411" s="11" t="n">
        <f aca="false">MOD(ROW()-9,24)</f>
        <v>2</v>
      </c>
      <c r="C2411" s="12"/>
      <c r="D2411" s="13" t="n">
        <f aca="false">IF(B2411&lt;5,Einstellungen!$B$3,Einstellungen!$B$4)</f>
        <v>15.92</v>
      </c>
      <c r="E2411" s="14" t="str">
        <f aca="false">IF(C2411="","",C2411*D2411/100)</f>
        <v/>
      </c>
      <c r="F2411" s="15" t="str">
        <f aca="false">IF(B2411&lt;5,"Go","Standard")</f>
        <v>Go</v>
      </c>
    </row>
    <row r="2412" customFormat="false" ht="15" hidden="false" customHeight="true" outlineLevel="0" collapsed="false">
      <c r="A2412" s="10" t="n">
        <f aca="false">Einstellungen!$B$5+INT((ROW()-9)/24)</f>
        <v>46066</v>
      </c>
      <c r="B2412" s="11" t="n">
        <f aca="false">MOD(ROW()-9,24)</f>
        <v>3</v>
      </c>
      <c r="C2412" s="12"/>
      <c r="D2412" s="13" t="n">
        <f aca="false">IF(B2412&lt;5,Einstellungen!$B$3,Einstellungen!$B$4)</f>
        <v>15.92</v>
      </c>
      <c r="E2412" s="14" t="str">
        <f aca="false">IF(C2412="","",C2412*D2412/100)</f>
        <v/>
      </c>
      <c r="F2412" s="15" t="str">
        <f aca="false">IF(B2412&lt;5,"Go","Standard")</f>
        <v>Go</v>
      </c>
    </row>
    <row r="2413" customFormat="false" ht="15" hidden="false" customHeight="true" outlineLevel="0" collapsed="false">
      <c r="A2413" s="10" t="n">
        <f aca="false">Einstellungen!$B$5+INT((ROW()-9)/24)</f>
        <v>46066</v>
      </c>
      <c r="B2413" s="11" t="n">
        <f aca="false">MOD(ROW()-9,24)</f>
        <v>4</v>
      </c>
      <c r="C2413" s="12"/>
      <c r="D2413" s="13" t="n">
        <f aca="false">IF(B2413&lt;5,Einstellungen!$B$3,Einstellungen!$B$4)</f>
        <v>15.92</v>
      </c>
      <c r="E2413" s="14" t="str">
        <f aca="false">IF(C2413="","",C2413*D2413/100)</f>
        <v/>
      </c>
      <c r="F2413" s="15" t="str">
        <f aca="false">IF(B2413&lt;5,"Go","Standard")</f>
        <v>Go</v>
      </c>
    </row>
    <row r="2414" customFormat="false" ht="15" hidden="false" customHeight="true" outlineLevel="0" collapsed="false">
      <c r="A2414" s="10" t="n">
        <f aca="false">Einstellungen!$B$5+INT((ROW()-9)/24)</f>
        <v>46066</v>
      </c>
      <c r="B2414" s="11" t="n">
        <f aca="false">MOD(ROW()-9,24)</f>
        <v>5</v>
      </c>
      <c r="C2414" s="12"/>
      <c r="D2414" s="13" t="n">
        <f aca="false">IF(B2414&lt;5,Einstellungen!$B$3,Einstellungen!$B$4)</f>
        <v>29.13</v>
      </c>
      <c r="E2414" s="14" t="str">
        <f aca="false">IF(C2414="","",C2414*D2414/100)</f>
        <v/>
      </c>
      <c r="F2414" s="15" t="str">
        <f aca="false">IF(B2414&lt;5,"Go","Standard")</f>
        <v>Standard</v>
      </c>
    </row>
    <row r="2415" customFormat="false" ht="15" hidden="false" customHeight="true" outlineLevel="0" collapsed="false">
      <c r="A2415" s="10" t="n">
        <f aca="false">Einstellungen!$B$5+INT((ROW()-9)/24)</f>
        <v>46066</v>
      </c>
      <c r="B2415" s="11" t="n">
        <f aca="false">MOD(ROW()-9,24)</f>
        <v>6</v>
      </c>
      <c r="C2415" s="12"/>
      <c r="D2415" s="13" t="n">
        <f aca="false">IF(B2415&lt;5,Einstellungen!$B$3,Einstellungen!$B$4)</f>
        <v>29.13</v>
      </c>
      <c r="E2415" s="14" t="str">
        <f aca="false">IF(C2415="","",C2415*D2415/100)</f>
        <v/>
      </c>
      <c r="F2415" s="15" t="str">
        <f aca="false">IF(B2415&lt;5,"Go","Standard")</f>
        <v>Standard</v>
      </c>
    </row>
    <row r="2416" customFormat="false" ht="15" hidden="false" customHeight="true" outlineLevel="0" collapsed="false">
      <c r="A2416" s="10" t="n">
        <f aca="false">Einstellungen!$B$5+INT((ROW()-9)/24)</f>
        <v>46066</v>
      </c>
      <c r="B2416" s="11" t="n">
        <f aca="false">MOD(ROW()-9,24)</f>
        <v>7</v>
      </c>
      <c r="C2416" s="12"/>
      <c r="D2416" s="13" t="n">
        <f aca="false">IF(B2416&lt;5,Einstellungen!$B$3,Einstellungen!$B$4)</f>
        <v>29.13</v>
      </c>
      <c r="E2416" s="14" t="str">
        <f aca="false">IF(C2416="","",C2416*D2416/100)</f>
        <v/>
      </c>
      <c r="F2416" s="15" t="str">
        <f aca="false">IF(B2416&lt;5,"Go","Standard")</f>
        <v>Standard</v>
      </c>
    </row>
    <row r="2417" customFormat="false" ht="15" hidden="false" customHeight="true" outlineLevel="0" collapsed="false">
      <c r="A2417" s="10" t="n">
        <f aca="false">Einstellungen!$B$5+INT((ROW()-9)/24)</f>
        <v>46066</v>
      </c>
      <c r="B2417" s="11" t="n">
        <f aca="false">MOD(ROW()-9,24)</f>
        <v>8</v>
      </c>
      <c r="C2417" s="12"/>
      <c r="D2417" s="13" t="n">
        <f aca="false">IF(B2417&lt;5,Einstellungen!$B$3,Einstellungen!$B$4)</f>
        <v>29.13</v>
      </c>
      <c r="E2417" s="14" t="str">
        <f aca="false">IF(C2417="","",C2417*D2417/100)</f>
        <v/>
      </c>
      <c r="F2417" s="15" t="str">
        <f aca="false">IF(B2417&lt;5,"Go","Standard")</f>
        <v>Standard</v>
      </c>
    </row>
    <row r="2418" customFormat="false" ht="15" hidden="false" customHeight="true" outlineLevel="0" collapsed="false">
      <c r="A2418" s="10" t="n">
        <f aca="false">Einstellungen!$B$5+INT((ROW()-9)/24)</f>
        <v>46066</v>
      </c>
      <c r="B2418" s="11" t="n">
        <f aca="false">MOD(ROW()-9,24)</f>
        <v>9</v>
      </c>
      <c r="C2418" s="12"/>
      <c r="D2418" s="13" t="n">
        <f aca="false">IF(B2418&lt;5,Einstellungen!$B$3,Einstellungen!$B$4)</f>
        <v>29.13</v>
      </c>
      <c r="E2418" s="14" t="str">
        <f aca="false">IF(C2418="","",C2418*D2418/100)</f>
        <v/>
      </c>
      <c r="F2418" s="15" t="str">
        <f aca="false">IF(B2418&lt;5,"Go","Standard")</f>
        <v>Standard</v>
      </c>
    </row>
    <row r="2419" customFormat="false" ht="15" hidden="false" customHeight="true" outlineLevel="0" collapsed="false">
      <c r="A2419" s="10" t="n">
        <f aca="false">Einstellungen!$B$5+INT((ROW()-9)/24)</f>
        <v>46066</v>
      </c>
      <c r="B2419" s="11" t="n">
        <f aca="false">MOD(ROW()-9,24)</f>
        <v>10</v>
      </c>
      <c r="C2419" s="12"/>
      <c r="D2419" s="13" t="n">
        <f aca="false">IF(B2419&lt;5,Einstellungen!$B$3,Einstellungen!$B$4)</f>
        <v>29.13</v>
      </c>
      <c r="E2419" s="14" t="str">
        <f aca="false">IF(C2419="","",C2419*D2419/100)</f>
        <v/>
      </c>
      <c r="F2419" s="15" t="str">
        <f aca="false">IF(B2419&lt;5,"Go","Standard")</f>
        <v>Standard</v>
      </c>
    </row>
    <row r="2420" customFormat="false" ht="15" hidden="false" customHeight="true" outlineLevel="0" collapsed="false">
      <c r="A2420" s="10" t="n">
        <f aca="false">Einstellungen!$B$5+INT((ROW()-9)/24)</f>
        <v>46066</v>
      </c>
      <c r="B2420" s="11" t="n">
        <f aca="false">MOD(ROW()-9,24)</f>
        <v>11</v>
      </c>
      <c r="C2420" s="12"/>
      <c r="D2420" s="13" t="n">
        <f aca="false">IF(B2420&lt;5,Einstellungen!$B$3,Einstellungen!$B$4)</f>
        <v>29.13</v>
      </c>
      <c r="E2420" s="14" t="str">
        <f aca="false">IF(C2420="","",C2420*D2420/100)</f>
        <v/>
      </c>
      <c r="F2420" s="15" t="str">
        <f aca="false">IF(B2420&lt;5,"Go","Standard")</f>
        <v>Standard</v>
      </c>
    </row>
    <row r="2421" customFormat="false" ht="15" hidden="false" customHeight="true" outlineLevel="0" collapsed="false">
      <c r="A2421" s="10" t="n">
        <f aca="false">Einstellungen!$B$5+INT((ROW()-9)/24)</f>
        <v>46066</v>
      </c>
      <c r="B2421" s="11" t="n">
        <f aca="false">MOD(ROW()-9,24)</f>
        <v>12</v>
      </c>
      <c r="C2421" s="12"/>
      <c r="D2421" s="13" t="n">
        <f aca="false">IF(B2421&lt;5,Einstellungen!$B$3,Einstellungen!$B$4)</f>
        <v>29.13</v>
      </c>
      <c r="E2421" s="14" t="str">
        <f aca="false">IF(C2421="","",C2421*D2421/100)</f>
        <v/>
      </c>
      <c r="F2421" s="15" t="str">
        <f aca="false">IF(B2421&lt;5,"Go","Standard")</f>
        <v>Standard</v>
      </c>
    </row>
    <row r="2422" customFormat="false" ht="15" hidden="false" customHeight="true" outlineLevel="0" collapsed="false">
      <c r="A2422" s="10" t="n">
        <f aca="false">Einstellungen!$B$5+INT((ROW()-9)/24)</f>
        <v>46066</v>
      </c>
      <c r="B2422" s="11" t="n">
        <f aca="false">MOD(ROW()-9,24)</f>
        <v>13</v>
      </c>
      <c r="C2422" s="12"/>
      <c r="D2422" s="13" t="n">
        <f aca="false">IF(B2422&lt;5,Einstellungen!$B$3,Einstellungen!$B$4)</f>
        <v>29.13</v>
      </c>
      <c r="E2422" s="14" t="str">
        <f aca="false">IF(C2422="","",C2422*D2422/100)</f>
        <v/>
      </c>
      <c r="F2422" s="15" t="str">
        <f aca="false">IF(B2422&lt;5,"Go","Standard")</f>
        <v>Standard</v>
      </c>
    </row>
    <row r="2423" customFormat="false" ht="15" hidden="false" customHeight="true" outlineLevel="0" collapsed="false">
      <c r="A2423" s="10" t="n">
        <f aca="false">Einstellungen!$B$5+INT((ROW()-9)/24)</f>
        <v>46066</v>
      </c>
      <c r="B2423" s="11" t="n">
        <f aca="false">MOD(ROW()-9,24)</f>
        <v>14</v>
      </c>
      <c r="C2423" s="12"/>
      <c r="D2423" s="13" t="n">
        <f aca="false">IF(B2423&lt;5,Einstellungen!$B$3,Einstellungen!$B$4)</f>
        <v>29.13</v>
      </c>
      <c r="E2423" s="14" t="str">
        <f aca="false">IF(C2423="","",C2423*D2423/100)</f>
        <v/>
      </c>
      <c r="F2423" s="15" t="str">
        <f aca="false">IF(B2423&lt;5,"Go","Standard")</f>
        <v>Standard</v>
      </c>
    </row>
    <row r="2424" customFormat="false" ht="15" hidden="false" customHeight="true" outlineLevel="0" collapsed="false">
      <c r="A2424" s="10" t="n">
        <f aca="false">Einstellungen!$B$5+INT((ROW()-9)/24)</f>
        <v>46066</v>
      </c>
      <c r="B2424" s="11" t="n">
        <f aca="false">MOD(ROW()-9,24)</f>
        <v>15</v>
      </c>
      <c r="C2424" s="12"/>
      <c r="D2424" s="13" t="n">
        <f aca="false">IF(B2424&lt;5,Einstellungen!$B$3,Einstellungen!$B$4)</f>
        <v>29.13</v>
      </c>
      <c r="E2424" s="14" t="str">
        <f aca="false">IF(C2424="","",C2424*D2424/100)</f>
        <v/>
      </c>
      <c r="F2424" s="15" t="str">
        <f aca="false">IF(B2424&lt;5,"Go","Standard")</f>
        <v>Standard</v>
      </c>
    </row>
    <row r="2425" customFormat="false" ht="15" hidden="false" customHeight="true" outlineLevel="0" collapsed="false">
      <c r="A2425" s="10" t="n">
        <f aca="false">Einstellungen!$B$5+INT((ROW()-9)/24)</f>
        <v>46066</v>
      </c>
      <c r="B2425" s="11" t="n">
        <f aca="false">MOD(ROW()-9,24)</f>
        <v>16</v>
      </c>
      <c r="C2425" s="12"/>
      <c r="D2425" s="13" t="n">
        <f aca="false">IF(B2425&lt;5,Einstellungen!$B$3,Einstellungen!$B$4)</f>
        <v>29.13</v>
      </c>
      <c r="E2425" s="14" t="str">
        <f aca="false">IF(C2425="","",C2425*D2425/100)</f>
        <v/>
      </c>
      <c r="F2425" s="15" t="str">
        <f aca="false">IF(B2425&lt;5,"Go","Standard")</f>
        <v>Standard</v>
      </c>
    </row>
    <row r="2426" customFormat="false" ht="15" hidden="false" customHeight="true" outlineLevel="0" collapsed="false">
      <c r="A2426" s="10" t="n">
        <f aca="false">Einstellungen!$B$5+INT((ROW()-9)/24)</f>
        <v>46066</v>
      </c>
      <c r="B2426" s="11" t="n">
        <f aca="false">MOD(ROW()-9,24)</f>
        <v>17</v>
      </c>
      <c r="C2426" s="12"/>
      <c r="D2426" s="13" t="n">
        <f aca="false">IF(B2426&lt;5,Einstellungen!$B$3,Einstellungen!$B$4)</f>
        <v>29.13</v>
      </c>
      <c r="E2426" s="14" t="str">
        <f aca="false">IF(C2426="","",C2426*D2426/100)</f>
        <v/>
      </c>
      <c r="F2426" s="15" t="str">
        <f aca="false">IF(B2426&lt;5,"Go","Standard")</f>
        <v>Standard</v>
      </c>
    </row>
    <row r="2427" customFormat="false" ht="15" hidden="false" customHeight="true" outlineLevel="0" collapsed="false">
      <c r="A2427" s="10" t="n">
        <f aca="false">Einstellungen!$B$5+INT((ROW()-9)/24)</f>
        <v>46066</v>
      </c>
      <c r="B2427" s="11" t="n">
        <f aca="false">MOD(ROW()-9,24)</f>
        <v>18</v>
      </c>
      <c r="C2427" s="12"/>
      <c r="D2427" s="13" t="n">
        <f aca="false">IF(B2427&lt;5,Einstellungen!$B$3,Einstellungen!$B$4)</f>
        <v>29.13</v>
      </c>
      <c r="E2427" s="14" t="str">
        <f aca="false">IF(C2427="","",C2427*D2427/100)</f>
        <v/>
      </c>
      <c r="F2427" s="15" t="str">
        <f aca="false">IF(B2427&lt;5,"Go","Standard")</f>
        <v>Standard</v>
      </c>
    </row>
    <row r="2428" customFormat="false" ht="15" hidden="false" customHeight="true" outlineLevel="0" collapsed="false">
      <c r="A2428" s="10" t="n">
        <f aca="false">Einstellungen!$B$5+INT((ROW()-9)/24)</f>
        <v>46066</v>
      </c>
      <c r="B2428" s="11" t="n">
        <f aca="false">MOD(ROW()-9,24)</f>
        <v>19</v>
      </c>
      <c r="C2428" s="12"/>
      <c r="D2428" s="13" t="n">
        <f aca="false">IF(B2428&lt;5,Einstellungen!$B$3,Einstellungen!$B$4)</f>
        <v>29.13</v>
      </c>
      <c r="E2428" s="14" t="str">
        <f aca="false">IF(C2428="","",C2428*D2428/100)</f>
        <v/>
      </c>
      <c r="F2428" s="15" t="str">
        <f aca="false">IF(B2428&lt;5,"Go","Standard")</f>
        <v>Standard</v>
      </c>
    </row>
    <row r="2429" customFormat="false" ht="15" hidden="false" customHeight="true" outlineLevel="0" collapsed="false">
      <c r="A2429" s="10" t="n">
        <f aca="false">Einstellungen!$B$5+INT((ROW()-9)/24)</f>
        <v>46066</v>
      </c>
      <c r="B2429" s="11" t="n">
        <f aca="false">MOD(ROW()-9,24)</f>
        <v>20</v>
      </c>
      <c r="C2429" s="12"/>
      <c r="D2429" s="13" t="n">
        <f aca="false">IF(B2429&lt;5,Einstellungen!$B$3,Einstellungen!$B$4)</f>
        <v>29.13</v>
      </c>
      <c r="E2429" s="14" t="str">
        <f aca="false">IF(C2429="","",C2429*D2429/100)</f>
        <v/>
      </c>
      <c r="F2429" s="15" t="str">
        <f aca="false">IF(B2429&lt;5,"Go","Standard")</f>
        <v>Standard</v>
      </c>
    </row>
    <row r="2430" customFormat="false" ht="15" hidden="false" customHeight="true" outlineLevel="0" collapsed="false">
      <c r="A2430" s="10" t="n">
        <f aca="false">Einstellungen!$B$5+INT((ROW()-9)/24)</f>
        <v>46066</v>
      </c>
      <c r="B2430" s="11" t="n">
        <f aca="false">MOD(ROW()-9,24)</f>
        <v>21</v>
      </c>
      <c r="C2430" s="12"/>
      <c r="D2430" s="13" t="n">
        <f aca="false">IF(B2430&lt;5,Einstellungen!$B$3,Einstellungen!$B$4)</f>
        <v>29.13</v>
      </c>
      <c r="E2430" s="14" t="str">
        <f aca="false">IF(C2430="","",C2430*D2430/100)</f>
        <v/>
      </c>
      <c r="F2430" s="15" t="str">
        <f aca="false">IF(B2430&lt;5,"Go","Standard")</f>
        <v>Standard</v>
      </c>
    </row>
    <row r="2431" customFormat="false" ht="15" hidden="false" customHeight="true" outlineLevel="0" collapsed="false">
      <c r="A2431" s="10" t="n">
        <f aca="false">Einstellungen!$B$5+INT((ROW()-9)/24)</f>
        <v>46066</v>
      </c>
      <c r="B2431" s="11" t="n">
        <f aca="false">MOD(ROW()-9,24)</f>
        <v>22</v>
      </c>
      <c r="C2431" s="12"/>
      <c r="D2431" s="13" t="n">
        <f aca="false">IF(B2431&lt;5,Einstellungen!$B$3,Einstellungen!$B$4)</f>
        <v>29.13</v>
      </c>
      <c r="E2431" s="14" t="str">
        <f aca="false">IF(C2431="","",C2431*D2431/100)</f>
        <v/>
      </c>
      <c r="F2431" s="15" t="str">
        <f aca="false">IF(B2431&lt;5,"Go","Standard")</f>
        <v>Standard</v>
      </c>
    </row>
    <row r="2432" customFormat="false" ht="15" hidden="false" customHeight="true" outlineLevel="0" collapsed="false">
      <c r="A2432" s="10" t="n">
        <f aca="false">Einstellungen!$B$5+INT((ROW()-9)/24)</f>
        <v>46066</v>
      </c>
      <c r="B2432" s="11" t="n">
        <f aca="false">MOD(ROW()-9,24)</f>
        <v>23</v>
      </c>
      <c r="C2432" s="12"/>
      <c r="D2432" s="13" t="n">
        <f aca="false">IF(B2432&lt;5,Einstellungen!$B$3,Einstellungen!$B$4)</f>
        <v>29.13</v>
      </c>
      <c r="E2432" s="14" t="str">
        <f aca="false">IF(C2432="","",C2432*D2432/100)</f>
        <v/>
      </c>
      <c r="F2432" s="15" t="str">
        <f aca="false">IF(B2432&lt;5,"Go","Standard")</f>
        <v>Standard</v>
      </c>
    </row>
    <row r="2433" customFormat="false" ht="15" hidden="false" customHeight="true" outlineLevel="0" collapsed="false">
      <c r="A2433" s="10" t="n">
        <f aca="false">Einstellungen!$B$5+INT((ROW()-9)/24)</f>
        <v>46067</v>
      </c>
      <c r="B2433" s="11" t="n">
        <f aca="false">MOD(ROW()-9,24)</f>
        <v>0</v>
      </c>
      <c r="C2433" s="12"/>
      <c r="D2433" s="13" t="n">
        <f aca="false">IF(B2433&lt;5,Einstellungen!$B$3,Einstellungen!$B$4)</f>
        <v>15.92</v>
      </c>
      <c r="E2433" s="14" t="str">
        <f aca="false">IF(C2433="","",C2433*D2433/100)</f>
        <v/>
      </c>
      <c r="F2433" s="15" t="str">
        <f aca="false">IF(B2433&lt;5,"Go","Standard")</f>
        <v>Go</v>
      </c>
    </row>
    <row r="2434" customFormat="false" ht="15" hidden="false" customHeight="true" outlineLevel="0" collapsed="false">
      <c r="A2434" s="10" t="n">
        <f aca="false">Einstellungen!$B$5+INT((ROW()-9)/24)</f>
        <v>46067</v>
      </c>
      <c r="B2434" s="11" t="n">
        <f aca="false">MOD(ROW()-9,24)</f>
        <v>1</v>
      </c>
      <c r="C2434" s="12"/>
      <c r="D2434" s="13" t="n">
        <f aca="false">IF(B2434&lt;5,Einstellungen!$B$3,Einstellungen!$B$4)</f>
        <v>15.92</v>
      </c>
      <c r="E2434" s="14" t="str">
        <f aca="false">IF(C2434="","",C2434*D2434/100)</f>
        <v/>
      </c>
      <c r="F2434" s="15" t="str">
        <f aca="false">IF(B2434&lt;5,"Go","Standard")</f>
        <v>Go</v>
      </c>
    </row>
    <row r="2435" customFormat="false" ht="15" hidden="false" customHeight="true" outlineLevel="0" collapsed="false">
      <c r="A2435" s="10" t="n">
        <f aca="false">Einstellungen!$B$5+INT((ROW()-9)/24)</f>
        <v>46067</v>
      </c>
      <c r="B2435" s="11" t="n">
        <f aca="false">MOD(ROW()-9,24)</f>
        <v>2</v>
      </c>
      <c r="C2435" s="12"/>
      <c r="D2435" s="13" t="n">
        <f aca="false">IF(B2435&lt;5,Einstellungen!$B$3,Einstellungen!$B$4)</f>
        <v>15.92</v>
      </c>
      <c r="E2435" s="14" t="str">
        <f aca="false">IF(C2435="","",C2435*D2435/100)</f>
        <v/>
      </c>
      <c r="F2435" s="15" t="str">
        <f aca="false">IF(B2435&lt;5,"Go","Standard")</f>
        <v>Go</v>
      </c>
    </row>
    <row r="2436" customFormat="false" ht="15" hidden="false" customHeight="true" outlineLevel="0" collapsed="false">
      <c r="A2436" s="10" t="n">
        <f aca="false">Einstellungen!$B$5+INT((ROW()-9)/24)</f>
        <v>46067</v>
      </c>
      <c r="B2436" s="11" t="n">
        <f aca="false">MOD(ROW()-9,24)</f>
        <v>3</v>
      </c>
      <c r="C2436" s="12"/>
      <c r="D2436" s="13" t="n">
        <f aca="false">IF(B2436&lt;5,Einstellungen!$B$3,Einstellungen!$B$4)</f>
        <v>15.92</v>
      </c>
      <c r="E2436" s="14" t="str">
        <f aca="false">IF(C2436="","",C2436*D2436/100)</f>
        <v/>
      </c>
      <c r="F2436" s="15" t="str">
        <f aca="false">IF(B2436&lt;5,"Go","Standard")</f>
        <v>Go</v>
      </c>
    </row>
    <row r="2437" customFormat="false" ht="15" hidden="false" customHeight="true" outlineLevel="0" collapsed="false">
      <c r="A2437" s="10" t="n">
        <f aca="false">Einstellungen!$B$5+INT((ROW()-9)/24)</f>
        <v>46067</v>
      </c>
      <c r="B2437" s="11" t="n">
        <f aca="false">MOD(ROW()-9,24)</f>
        <v>4</v>
      </c>
      <c r="C2437" s="12"/>
      <c r="D2437" s="13" t="n">
        <f aca="false">IF(B2437&lt;5,Einstellungen!$B$3,Einstellungen!$B$4)</f>
        <v>15.92</v>
      </c>
      <c r="E2437" s="14" t="str">
        <f aca="false">IF(C2437="","",C2437*D2437/100)</f>
        <v/>
      </c>
      <c r="F2437" s="15" t="str">
        <f aca="false">IF(B2437&lt;5,"Go","Standard")</f>
        <v>Go</v>
      </c>
    </row>
    <row r="2438" customFormat="false" ht="15" hidden="false" customHeight="true" outlineLevel="0" collapsed="false">
      <c r="A2438" s="10" t="n">
        <f aca="false">Einstellungen!$B$5+INT((ROW()-9)/24)</f>
        <v>46067</v>
      </c>
      <c r="B2438" s="11" t="n">
        <f aca="false">MOD(ROW()-9,24)</f>
        <v>5</v>
      </c>
      <c r="C2438" s="12"/>
      <c r="D2438" s="13" t="n">
        <f aca="false">IF(B2438&lt;5,Einstellungen!$B$3,Einstellungen!$B$4)</f>
        <v>29.13</v>
      </c>
      <c r="E2438" s="14" t="str">
        <f aca="false">IF(C2438="","",C2438*D2438/100)</f>
        <v/>
      </c>
      <c r="F2438" s="15" t="str">
        <f aca="false">IF(B2438&lt;5,"Go","Standard")</f>
        <v>Standard</v>
      </c>
    </row>
    <row r="2439" customFormat="false" ht="15" hidden="false" customHeight="true" outlineLevel="0" collapsed="false">
      <c r="A2439" s="10" t="n">
        <f aca="false">Einstellungen!$B$5+INT((ROW()-9)/24)</f>
        <v>46067</v>
      </c>
      <c r="B2439" s="11" t="n">
        <f aca="false">MOD(ROW()-9,24)</f>
        <v>6</v>
      </c>
      <c r="C2439" s="12"/>
      <c r="D2439" s="13" t="n">
        <f aca="false">IF(B2439&lt;5,Einstellungen!$B$3,Einstellungen!$B$4)</f>
        <v>29.13</v>
      </c>
      <c r="E2439" s="14" t="str">
        <f aca="false">IF(C2439="","",C2439*D2439/100)</f>
        <v/>
      </c>
      <c r="F2439" s="15" t="str">
        <f aca="false">IF(B2439&lt;5,"Go","Standard")</f>
        <v>Standard</v>
      </c>
    </row>
    <row r="2440" customFormat="false" ht="15" hidden="false" customHeight="true" outlineLevel="0" collapsed="false">
      <c r="A2440" s="10" t="n">
        <f aca="false">Einstellungen!$B$5+INT((ROW()-9)/24)</f>
        <v>46067</v>
      </c>
      <c r="B2440" s="11" t="n">
        <f aca="false">MOD(ROW()-9,24)</f>
        <v>7</v>
      </c>
      <c r="C2440" s="12"/>
      <c r="D2440" s="13" t="n">
        <f aca="false">IF(B2440&lt;5,Einstellungen!$B$3,Einstellungen!$B$4)</f>
        <v>29.13</v>
      </c>
      <c r="E2440" s="14" t="str">
        <f aca="false">IF(C2440="","",C2440*D2440/100)</f>
        <v/>
      </c>
      <c r="F2440" s="15" t="str">
        <f aca="false">IF(B2440&lt;5,"Go","Standard")</f>
        <v>Standard</v>
      </c>
    </row>
    <row r="2441" customFormat="false" ht="15" hidden="false" customHeight="true" outlineLevel="0" collapsed="false">
      <c r="A2441" s="10" t="n">
        <f aca="false">Einstellungen!$B$5+INT((ROW()-9)/24)</f>
        <v>46067</v>
      </c>
      <c r="B2441" s="11" t="n">
        <f aca="false">MOD(ROW()-9,24)</f>
        <v>8</v>
      </c>
      <c r="C2441" s="12"/>
      <c r="D2441" s="13" t="n">
        <f aca="false">IF(B2441&lt;5,Einstellungen!$B$3,Einstellungen!$B$4)</f>
        <v>29.13</v>
      </c>
      <c r="E2441" s="14" t="str">
        <f aca="false">IF(C2441="","",C2441*D2441/100)</f>
        <v/>
      </c>
      <c r="F2441" s="15" t="str">
        <f aca="false">IF(B2441&lt;5,"Go","Standard")</f>
        <v>Standard</v>
      </c>
    </row>
    <row r="2442" customFormat="false" ht="15" hidden="false" customHeight="true" outlineLevel="0" collapsed="false">
      <c r="A2442" s="10" t="n">
        <f aca="false">Einstellungen!$B$5+INT((ROW()-9)/24)</f>
        <v>46067</v>
      </c>
      <c r="B2442" s="11" t="n">
        <f aca="false">MOD(ROW()-9,24)</f>
        <v>9</v>
      </c>
      <c r="C2442" s="12"/>
      <c r="D2442" s="13" t="n">
        <f aca="false">IF(B2442&lt;5,Einstellungen!$B$3,Einstellungen!$B$4)</f>
        <v>29.13</v>
      </c>
      <c r="E2442" s="14" t="str">
        <f aca="false">IF(C2442="","",C2442*D2442/100)</f>
        <v/>
      </c>
      <c r="F2442" s="15" t="str">
        <f aca="false">IF(B2442&lt;5,"Go","Standard")</f>
        <v>Standard</v>
      </c>
    </row>
    <row r="2443" customFormat="false" ht="15" hidden="false" customHeight="true" outlineLevel="0" collapsed="false">
      <c r="A2443" s="10" t="n">
        <f aca="false">Einstellungen!$B$5+INT((ROW()-9)/24)</f>
        <v>46067</v>
      </c>
      <c r="B2443" s="11" t="n">
        <f aca="false">MOD(ROW()-9,24)</f>
        <v>10</v>
      </c>
      <c r="C2443" s="12"/>
      <c r="D2443" s="13" t="n">
        <f aca="false">IF(B2443&lt;5,Einstellungen!$B$3,Einstellungen!$B$4)</f>
        <v>29.13</v>
      </c>
      <c r="E2443" s="14" t="str">
        <f aca="false">IF(C2443="","",C2443*D2443/100)</f>
        <v/>
      </c>
      <c r="F2443" s="15" t="str">
        <f aca="false">IF(B2443&lt;5,"Go","Standard")</f>
        <v>Standard</v>
      </c>
    </row>
    <row r="2444" customFormat="false" ht="15" hidden="false" customHeight="true" outlineLevel="0" collapsed="false">
      <c r="A2444" s="10" t="n">
        <f aca="false">Einstellungen!$B$5+INT((ROW()-9)/24)</f>
        <v>46067</v>
      </c>
      <c r="B2444" s="11" t="n">
        <f aca="false">MOD(ROW()-9,24)</f>
        <v>11</v>
      </c>
      <c r="C2444" s="12"/>
      <c r="D2444" s="13" t="n">
        <f aca="false">IF(B2444&lt;5,Einstellungen!$B$3,Einstellungen!$B$4)</f>
        <v>29.13</v>
      </c>
      <c r="E2444" s="14" t="str">
        <f aca="false">IF(C2444="","",C2444*D2444/100)</f>
        <v/>
      </c>
      <c r="F2444" s="15" t="str">
        <f aca="false">IF(B2444&lt;5,"Go","Standard")</f>
        <v>Standard</v>
      </c>
    </row>
    <row r="2445" customFormat="false" ht="15" hidden="false" customHeight="true" outlineLevel="0" collapsed="false">
      <c r="A2445" s="10" t="n">
        <f aca="false">Einstellungen!$B$5+INT((ROW()-9)/24)</f>
        <v>46067</v>
      </c>
      <c r="B2445" s="11" t="n">
        <f aca="false">MOD(ROW()-9,24)</f>
        <v>12</v>
      </c>
      <c r="C2445" s="12"/>
      <c r="D2445" s="13" t="n">
        <f aca="false">IF(B2445&lt;5,Einstellungen!$B$3,Einstellungen!$B$4)</f>
        <v>29.13</v>
      </c>
      <c r="E2445" s="14" t="str">
        <f aca="false">IF(C2445="","",C2445*D2445/100)</f>
        <v/>
      </c>
      <c r="F2445" s="15" t="str">
        <f aca="false">IF(B2445&lt;5,"Go","Standard")</f>
        <v>Standard</v>
      </c>
    </row>
    <row r="2446" customFormat="false" ht="15" hidden="false" customHeight="true" outlineLevel="0" collapsed="false">
      <c r="A2446" s="10" t="n">
        <f aca="false">Einstellungen!$B$5+INT((ROW()-9)/24)</f>
        <v>46067</v>
      </c>
      <c r="B2446" s="11" t="n">
        <f aca="false">MOD(ROW()-9,24)</f>
        <v>13</v>
      </c>
      <c r="C2446" s="12"/>
      <c r="D2446" s="13" t="n">
        <f aca="false">IF(B2446&lt;5,Einstellungen!$B$3,Einstellungen!$B$4)</f>
        <v>29.13</v>
      </c>
      <c r="E2446" s="14" t="str">
        <f aca="false">IF(C2446="","",C2446*D2446/100)</f>
        <v/>
      </c>
      <c r="F2446" s="15" t="str">
        <f aca="false">IF(B2446&lt;5,"Go","Standard")</f>
        <v>Standard</v>
      </c>
    </row>
    <row r="2447" customFormat="false" ht="15" hidden="false" customHeight="true" outlineLevel="0" collapsed="false">
      <c r="A2447" s="10" t="n">
        <f aca="false">Einstellungen!$B$5+INT((ROW()-9)/24)</f>
        <v>46067</v>
      </c>
      <c r="B2447" s="11" t="n">
        <f aca="false">MOD(ROW()-9,24)</f>
        <v>14</v>
      </c>
      <c r="C2447" s="12"/>
      <c r="D2447" s="13" t="n">
        <f aca="false">IF(B2447&lt;5,Einstellungen!$B$3,Einstellungen!$B$4)</f>
        <v>29.13</v>
      </c>
      <c r="E2447" s="14" t="str">
        <f aca="false">IF(C2447="","",C2447*D2447/100)</f>
        <v/>
      </c>
      <c r="F2447" s="15" t="str">
        <f aca="false">IF(B2447&lt;5,"Go","Standard")</f>
        <v>Standard</v>
      </c>
    </row>
    <row r="2448" customFormat="false" ht="15" hidden="false" customHeight="true" outlineLevel="0" collapsed="false">
      <c r="A2448" s="10" t="n">
        <f aca="false">Einstellungen!$B$5+INT((ROW()-9)/24)</f>
        <v>46067</v>
      </c>
      <c r="B2448" s="11" t="n">
        <f aca="false">MOD(ROW()-9,24)</f>
        <v>15</v>
      </c>
      <c r="C2448" s="12"/>
      <c r="D2448" s="13" t="n">
        <f aca="false">IF(B2448&lt;5,Einstellungen!$B$3,Einstellungen!$B$4)</f>
        <v>29.13</v>
      </c>
      <c r="E2448" s="14" t="str">
        <f aca="false">IF(C2448="","",C2448*D2448/100)</f>
        <v/>
      </c>
      <c r="F2448" s="15" t="str">
        <f aca="false">IF(B2448&lt;5,"Go","Standard")</f>
        <v>Standard</v>
      </c>
    </row>
    <row r="2449" customFormat="false" ht="15" hidden="false" customHeight="true" outlineLevel="0" collapsed="false">
      <c r="A2449" s="10" t="n">
        <f aca="false">Einstellungen!$B$5+INT((ROW()-9)/24)</f>
        <v>46067</v>
      </c>
      <c r="B2449" s="11" t="n">
        <f aca="false">MOD(ROW()-9,24)</f>
        <v>16</v>
      </c>
      <c r="C2449" s="12"/>
      <c r="D2449" s="13" t="n">
        <f aca="false">IF(B2449&lt;5,Einstellungen!$B$3,Einstellungen!$B$4)</f>
        <v>29.13</v>
      </c>
      <c r="E2449" s="14" t="str">
        <f aca="false">IF(C2449="","",C2449*D2449/100)</f>
        <v/>
      </c>
      <c r="F2449" s="15" t="str">
        <f aca="false">IF(B2449&lt;5,"Go","Standard")</f>
        <v>Standard</v>
      </c>
    </row>
    <row r="2450" customFormat="false" ht="15" hidden="false" customHeight="true" outlineLevel="0" collapsed="false">
      <c r="A2450" s="10" t="n">
        <f aca="false">Einstellungen!$B$5+INT((ROW()-9)/24)</f>
        <v>46067</v>
      </c>
      <c r="B2450" s="11" t="n">
        <f aca="false">MOD(ROW()-9,24)</f>
        <v>17</v>
      </c>
      <c r="C2450" s="12"/>
      <c r="D2450" s="13" t="n">
        <f aca="false">IF(B2450&lt;5,Einstellungen!$B$3,Einstellungen!$B$4)</f>
        <v>29.13</v>
      </c>
      <c r="E2450" s="14" t="str">
        <f aca="false">IF(C2450="","",C2450*D2450/100)</f>
        <v/>
      </c>
      <c r="F2450" s="15" t="str">
        <f aca="false">IF(B2450&lt;5,"Go","Standard")</f>
        <v>Standard</v>
      </c>
    </row>
    <row r="2451" customFormat="false" ht="15" hidden="false" customHeight="true" outlineLevel="0" collapsed="false">
      <c r="A2451" s="10" t="n">
        <f aca="false">Einstellungen!$B$5+INT((ROW()-9)/24)</f>
        <v>46067</v>
      </c>
      <c r="B2451" s="11" t="n">
        <f aca="false">MOD(ROW()-9,24)</f>
        <v>18</v>
      </c>
      <c r="C2451" s="12"/>
      <c r="D2451" s="13" t="n">
        <f aca="false">IF(B2451&lt;5,Einstellungen!$B$3,Einstellungen!$B$4)</f>
        <v>29.13</v>
      </c>
      <c r="E2451" s="14" t="str">
        <f aca="false">IF(C2451="","",C2451*D2451/100)</f>
        <v/>
      </c>
      <c r="F2451" s="15" t="str">
        <f aca="false">IF(B2451&lt;5,"Go","Standard")</f>
        <v>Standard</v>
      </c>
    </row>
    <row r="2452" customFormat="false" ht="15" hidden="false" customHeight="true" outlineLevel="0" collapsed="false">
      <c r="A2452" s="10" t="n">
        <f aca="false">Einstellungen!$B$5+INT((ROW()-9)/24)</f>
        <v>46067</v>
      </c>
      <c r="B2452" s="11" t="n">
        <f aca="false">MOD(ROW()-9,24)</f>
        <v>19</v>
      </c>
      <c r="C2452" s="12"/>
      <c r="D2452" s="13" t="n">
        <f aca="false">IF(B2452&lt;5,Einstellungen!$B$3,Einstellungen!$B$4)</f>
        <v>29.13</v>
      </c>
      <c r="E2452" s="14" t="str">
        <f aca="false">IF(C2452="","",C2452*D2452/100)</f>
        <v/>
      </c>
      <c r="F2452" s="15" t="str">
        <f aca="false">IF(B2452&lt;5,"Go","Standard")</f>
        <v>Standard</v>
      </c>
    </row>
    <row r="2453" customFormat="false" ht="15" hidden="false" customHeight="true" outlineLevel="0" collapsed="false">
      <c r="A2453" s="10" t="n">
        <f aca="false">Einstellungen!$B$5+INT((ROW()-9)/24)</f>
        <v>46067</v>
      </c>
      <c r="B2453" s="11" t="n">
        <f aca="false">MOD(ROW()-9,24)</f>
        <v>20</v>
      </c>
      <c r="C2453" s="12"/>
      <c r="D2453" s="13" t="n">
        <f aca="false">IF(B2453&lt;5,Einstellungen!$B$3,Einstellungen!$B$4)</f>
        <v>29.13</v>
      </c>
      <c r="E2453" s="14" t="str">
        <f aca="false">IF(C2453="","",C2453*D2453/100)</f>
        <v/>
      </c>
      <c r="F2453" s="15" t="str">
        <f aca="false">IF(B2453&lt;5,"Go","Standard")</f>
        <v>Standard</v>
      </c>
    </row>
    <row r="2454" customFormat="false" ht="15" hidden="false" customHeight="true" outlineLevel="0" collapsed="false">
      <c r="A2454" s="10" t="n">
        <f aca="false">Einstellungen!$B$5+INT((ROW()-9)/24)</f>
        <v>46067</v>
      </c>
      <c r="B2454" s="11" t="n">
        <f aca="false">MOD(ROW()-9,24)</f>
        <v>21</v>
      </c>
      <c r="C2454" s="12"/>
      <c r="D2454" s="13" t="n">
        <f aca="false">IF(B2454&lt;5,Einstellungen!$B$3,Einstellungen!$B$4)</f>
        <v>29.13</v>
      </c>
      <c r="E2454" s="14" t="str">
        <f aca="false">IF(C2454="","",C2454*D2454/100)</f>
        <v/>
      </c>
      <c r="F2454" s="15" t="str">
        <f aca="false">IF(B2454&lt;5,"Go","Standard")</f>
        <v>Standard</v>
      </c>
    </row>
    <row r="2455" customFormat="false" ht="15" hidden="false" customHeight="true" outlineLevel="0" collapsed="false">
      <c r="A2455" s="10" t="n">
        <f aca="false">Einstellungen!$B$5+INT((ROW()-9)/24)</f>
        <v>46067</v>
      </c>
      <c r="B2455" s="11" t="n">
        <f aca="false">MOD(ROW()-9,24)</f>
        <v>22</v>
      </c>
      <c r="C2455" s="12"/>
      <c r="D2455" s="13" t="n">
        <f aca="false">IF(B2455&lt;5,Einstellungen!$B$3,Einstellungen!$B$4)</f>
        <v>29.13</v>
      </c>
      <c r="E2455" s="14" t="str">
        <f aca="false">IF(C2455="","",C2455*D2455/100)</f>
        <v/>
      </c>
      <c r="F2455" s="15" t="str">
        <f aca="false">IF(B2455&lt;5,"Go","Standard")</f>
        <v>Standard</v>
      </c>
    </row>
    <row r="2456" customFormat="false" ht="15" hidden="false" customHeight="true" outlineLevel="0" collapsed="false">
      <c r="A2456" s="10" t="n">
        <f aca="false">Einstellungen!$B$5+INT((ROW()-9)/24)</f>
        <v>46067</v>
      </c>
      <c r="B2456" s="11" t="n">
        <f aca="false">MOD(ROW()-9,24)</f>
        <v>23</v>
      </c>
      <c r="C2456" s="12"/>
      <c r="D2456" s="13" t="n">
        <f aca="false">IF(B2456&lt;5,Einstellungen!$B$3,Einstellungen!$B$4)</f>
        <v>29.13</v>
      </c>
      <c r="E2456" s="14" t="str">
        <f aca="false">IF(C2456="","",C2456*D2456/100)</f>
        <v/>
      </c>
      <c r="F2456" s="15" t="str">
        <f aca="false">IF(B2456&lt;5,"Go","Standard")</f>
        <v>Standard</v>
      </c>
    </row>
    <row r="2457" customFormat="false" ht="15" hidden="false" customHeight="true" outlineLevel="0" collapsed="false">
      <c r="A2457" s="10" t="n">
        <f aca="false">Einstellungen!$B$5+INT((ROW()-9)/24)</f>
        <v>46068</v>
      </c>
      <c r="B2457" s="11" t="n">
        <f aca="false">MOD(ROW()-9,24)</f>
        <v>0</v>
      </c>
      <c r="C2457" s="12"/>
      <c r="D2457" s="13" t="n">
        <f aca="false">IF(B2457&lt;5,Einstellungen!$B$3,Einstellungen!$B$4)</f>
        <v>15.92</v>
      </c>
      <c r="E2457" s="14" t="str">
        <f aca="false">IF(C2457="","",C2457*D2457/100)</f>
        <v/>
      </c>
      <c r="F2457" s="15" t="str">
        <f aca="false">IF(B2457&lt;5,"Go","Standard")</f>
        <v>Go</v>
      </c>
    </row>
    <row r="2458" customFormat="false" ht="15" hidden="false" customHeight="true" outlineLevel="0" collapsed="false">
      <c r="A2458" s="10" t="n">
        <f aca="false">Einstellungen!$B$5+INT((ROW()-9)/24)</f>
        <v>46068</v>
      </c>
      <c r="B2458" s="11" t="n">
        <f aca="false">MOD(ROW()-9,24)</f>
        <v>1</v>
      </c>
      <c r="C2458" s="12"/>
      <c r="D2458" s="13" t="n">
        <f aca="false">IF(B2458&lt;5,Einstellungen!$B$3,Einstellungen!$B$4)</f>
        <v>15.92</v>
      </c>
      <c r="E2458" s="14" t="str">
        <f aca="false">IF(C2458="","",C2458*D2458/100)</f>
        <v/>
      </c>
      <c r="F2458" s="15" t="str">
        <f aca="false">IF(B2458&lt;5,"Go","Standard")</f>
        <v>Go</v>
      </c>
    </row>
    <row r="2459" customFormat="false" ht="15" hidden="false" customHeight="true" outlineLevel="0" collapsed="false">
      <c r="A2459" s="10" t="n">
        <f aca="false">Einstellungen!$B$5+INT((ROW()-9)/24)</f>
        <v>46068</v>
      </c>
      <c r="B2459" s="11" t="n">
        <f aca="false">MOD(ROW()-9,24)</f>
        <v>2</v>
      </c>
      <c r="C2459" s="12"/>
      <c r="D2459" s="13" t="n">
        <f aca="false">IF(B2459&lt;5,Einstellungen!$B$3,Einstellungen!$B$4)</f>
        <v>15.92</v>
      </c>
      <c r="E2459" s="14" t="str">
        <f aca="false">IF(C2459="","",C2459*D2459/100)</f>
        <v/>
      </c>
      <c r="F2459" s="15" t="str">
        <f aca="false">IF(B2459&lt;5,"Go","Standard")</f>
        <v>Go</v>
      </c>
    </row>
    <row r="2460" customFormat="false" ht="15" hidden="false" customHeight="true" outlineLevel="0" collapsed="false">
      <c r="A2460" s="10" t="n">
        <f aca="false">Einstellungen!$B$5+INT((ROW()-9)/24)</f>
        <v>46068</v>
      </c>
      <c r="B2460" s="11" t="n">
        <f aca="false">MOD(ROW()-9,24)</f>
        <v>3</v>
      </c>
      <c r="C2460" s="12"/>
      <c r="D2460" s="13" t="n">
        <f aca="false">IF(B2460&lt;5,Einstellungen!$B$3,Einstellungen!$B$4)</f>
        <v>15.92</v>
      </c>
      <c r="E2460" s="14" t="str">
        <f aca="false">IF(C2460="","",C2460*D2460/100)</f>
        <v/>
      </c>
      <c r="F2460" s="15" t="str">
        <f aca="false">IF(B2460&lt;5,"Go","Standard")</f>
        <v>Go</v>
      </c>
    </row>
    <row r="2461" customFormat="false" ht="15" hidden="false" customHeight="true" outlineLevel="0" collapsed="false">
      <c r="A2461" s="10" t="n">
        <f aca="false">Einstellungen!$B$5+INT((ROW()-9)/24)</f>
        <v>46068</v>
      </c>
      <c r="B2461" s="11" t="n">
        <f aca="false">MOD(ROW()-9,24)</f>
        <v>4</v>
      </c>
      <c r="C2461" s="12"/>
      <c r="D2461" s="13" t="n">
        <f aca="false">IF(B2461&lt;5,Einstellungen!$B$3,Einstellungen!$B$4)</f>
        <v>15.92</v>
      </c>
      <c r="E2461" s="14" t="str">
        <f aca="false">IF(C2461="","",C2461*D2461/100)</f>
        <v/>
      </c>
      <c r="F2461" s="15" t="str">
        <f aca="false">IF(B2461&lt;5,"Go","Standard")</f>
        <v>Go</v>
      </c>
    </row>
    <row r="2462" customFormat="false" ht="15" hidden="false" customHeight="true" outlineLevel="0" collapsed="false">
      <c r="A2462" s="10" t="n">
        <f aca="false">Einstellungen!$B$5+INT((ROW()-9)/24)</f>
        <v>46068</v>
      </c>
      <c r="B2462" s="11" t="n">
        <f aca="false">MOD(ROW()-9,24)</f>
        <v>5</v>
      </c>
      <c r="C2462" s="12"/>
      <c r="D2462" s="13" t="n">
        <f aca="false">IF(B2462&lt;5,Einstellungen!$B$3,Einstellungen!$B$4)</f>
        <v>29.13</v>
      </c>
      <c r="E2462" s="14" t="str">
        <f aca="false">IF(C2462="","",C2462*D2462/100)</f>
        <v/>
      </c>
      <c r="F2462" s="15" t="str">
        <f aca="false">IF(B2462&lt;5,"Go","Standard")</f>
        <v>Standard</v>
      </c>
    </row>
    <row r="2463" customFormat="false" ht="15" hidden="false" customHeight="true" outlineLevel="0" collapsed="false">
      <c r="A2463" s="10" t="n">
        <f aca="false">Einstellungen!$B$5+INT((ROW()-9)/24)</f>
        <v>46068</v>
      </c>
      <c r="B2463" s="11" t="n">
        <f aca="false">MOD(ROW()-9,24)</f>
        <v>6</v>
      </c>
      <c r="C2463" s="12"/>
      <c r="D2463" s="13" t="n">
        <f aca="false">IF(B2463&lt;5,Einstellungen!$B$3,Einstellungen!$B$4)</f>
        <v>29.13</v>
      </c>
      <c r="E2463" s="14" t="str">
        <f aca="false">IF(C2463="","",C2463*D2463/100)</f>
        <v/>
      </c>
      <c r="F2463" s="15" t="str">
        <f aca="false">IF(B2463&lt;5,"Go","Standard")</f>
        <v>Standard</v>
      </c>
    </row>
    <row r="2464" customFormat="false" ht="15" hidden="false" customHeight="true" outlineLevel="0" collapsed="false">
      <c r="A2464" s="10" t="n">
        <f aca="false">Einstellungen!$B$5+INT((ROW()-9)/24)</f>
        <v>46068</v>
      </c>
      <c r="B2464" s="11" t="n">
        <f aca="false">MOD(ROW()-9,24)</f>
        <v>7</v>
      </c>
      <c r="C2464" s="12"/>
      <c r="D2464" s="13" t="n">
        <f aca="false">IF(B2464&lt;5,Einstellungen!$B$3,Einstellungen!$B$4)</f>
        <v>29.13</v>
      </c>
      <c r="E2464" s="14" t="str">
        <f aca="false">IF(C2464="","",C2464*D2464/100)</f>
        <v/>
      </c>
      <c r="F2464" s="15" t="str">
        <f aca="false">IF(B2464&lt;5,"Go","Standard")</f>
        <v>Standard</v>
      </c>
    </row>
    <row r="2465" customFormat="false" ht="15" hidden="false" customHeight="true" outlineLevel="0" collapsed="false">
      <c r="A2465" s="10" t="n">
        <f aca="false">Einstellungen!$B$5+INT((ROW()-9)/24)</f>
        <v>46068</v>
      </c>
      <c r="B2465" s="11" t="n">
        <f aca="false">MOD(ROW()-9,24)</f>
        <v>8</v>
      </c>
      <c r="C2465" s="12"/>
      <c r="D2465" s="13" t="n">
        <f aca="false">IF(B2465&lt;5,Einstellungen!$B$3,Einstellungen!$B$4)</f>
        <v>29.13</v>
      </c>
      <c r="E2465" s="14" t="str">
        <f aca="false">IF(C2465="","",C2465*D2465/100)</f>
        <v/>
      </c>
      <c r="F2465" s="15" t="str">
        <f aca="false">IF(B2465&lt;5,"Go","Standard")</f>
        <v>Standard</v>
      </c>
    </row>
    <row r="2466" customFormat="false" ht="15" hidden="false" customHeight="true" outlineLevel="0" collapsed="false">
      <c r="A2466" s="10" t="n">
        <f aca="false">Einstellungen!$B$5+INT((ROW()-9)/24)</f>
        <v>46068</v>
      </c>
      <c r="B2466" s="11" t="n">
        <f aca="false">MOD(ROW()-9,24)</f>
        <v>9</v>
      </c>
      <c r="C2466" s="12"/>
      <c r="D2466" s="13" t="n">
        <f aca="false">IF(B2466&lt;5,Einstellungen!$B$3,Einstellungen!$B$4)</f>
        <v>29.13</v>
      </c>
      <c r="E2466" s="14" t="str">
        <f aca="false">IF(C2466="","",C2466*D2466/100)</f>
        <v/>
      </c>
      <c r="F2466" s="15" t="str">
        <f aca="false">IF(B2466&lt;5,"Go","Standard")</f>
        <v>Standard</v>
      </c>
    </row>
    <row r="2467" customFormat="false" ht="15" hidden="false" customHeight="true" outlineLevel="0" collapsed="false">
      <c r="A2467" s="10" t="n">
        <f aca="false">Einstellungen!$B$5+INT((ROW()-9)/24)</f>
        <v>46068</v>
      </c>
      <c r="B2467" s="11" t="n">
        <f aca="false">MOD(ROW()-9,24)</f>
        <v>10</v>
      </c>
      <c r="C2467" s="12"/>
      <c r="D2467" s="13" t="n">
        <f aca="false">IF(B2467&lt;5,Einstellungen!$B$3,Einstellungen!$B$4)</f>
        <v>29.13</v>
      </c>
      <c r="E2467" s="14" t="str">
        <f aca="false">IF(C2467="","",C2467*D2467/100)</f>
        <v/>
      </c>
      <c r="F2467" s="15" t="str">
        <f aca="false">IF(B2467&lt;5,"Go","Standard")</f>
        <v>Standard</v>
      </c>
    </row>
    <row r="2468" customFormat="false" ht="15" hidden="false" customHeight="true" outlineLevel="0" collapsed="false">
      <c r="A2468" s="10" t="n">
        <f aca="false">Einstellungen!$B$5+INT((ROW()-9)/24)</f>
        <v>46068</v>
      </c>
      <c r="B2468" s="11" t="n">
        <f aca="false">MOD(ROW()-9,24)</f>
        <v>11</v>
      </c>
      <c r="C2468" s="12"/>
      <c r="D2468" s="13" t="n">
        <f aca="false">IF(B2468&lt;5,Einstellungen!$B$3,Einstellungen!$B$4)</f>
        <v>29.13</v>
      </c>
      <c r="E2468" s="14" t="str">
        <f aca="false">IF(C2468="","",C2468*D2468/100)</f>
        <v/>
      </c>
      <c r="F2468" s="15" t="str">
        <f aca="false">IF(B2468&lt;5,"Go","Standard")</f>
        <v>Standard</v>
      </c>
    </row>
    <row r="2469" customFormat="false" ht="15" hidden="false" customHeight="true" outlineLevel="0" collapsed="false">
      <c r="A2469" s="10" t="n">
        <f aca="false">Einstellungen!$B$5+INT((ROW()-9)/24)</f>
        <v>46068</v>
      </c>
      <c r="B2469" s="11" t="n">
        <f aca="false">MOD(ROW()-9,24)</f>
        <v>12</v>
      </c>
      <c r="C2469" s="12"/>
      <c r="D2469" s="13" t="n">
        <f aca="false">IF(B2469&lt;5,Einstellungen!$B$3,Einstellungen!$B$4)</f>
        <v>29.13</v>
      </c>
      <c r="E2469" s="14" t="str">
        <f aca="false">IF(C2469="","",C2469*D2469/100)</f>
        <v/>
      </c>
      <c r="F2469" s="15" t="str">
        <f aca="false">IF(B2469&lt;5,"Go","Standard")</f>
        <v>Standard</v>
      </c>
    </row>
    <row r="2470" customFormat="false" ht="15" hidden="false" customHeight="true" outlineLevel="0" collapsed="false">
      <c r="A2470" s="10" t="n">
        <f aca="false">Einstellungen!$B$5+INT((ROW()-9)/24)</f>
        <v>46068</v>
      </c>
      <c r="B2470" s="11" t="n">
        <f aca="false">MOD(ROW()-9,24)</f>
        <v>13</v>
      </c>
      <c r="C2470" s="12"/>
      <c r="D2470" s="13" t="n">
        <f aca="false">IF(B2470&lt;5,Einstellungen!$B$3,Einstellungen!$B$4)</f>
        <v>29.13</v>
      </c>
      <c r="E2470" s="14" t="str">
        <f aca="false">IF(C2470="","",C2470*D2470/100)</f>
        <v/>
      </c>
      <c r="F2470" s="15" t="str">
        <f aca="false">IF(B2470&lt;5,"Go","Standard")</f>
        <v>Standard</v>
      </c>
    </row>
    <row r="2471" customFormat="false" ht="15" hidden="false" customHeight="true" outlineLevel="0" collapsed="false">
      <c r="A2471" s="10" t="n">
        <f aca="false">Einstellungen!$B$5+INT((ROW()-9)/24)</f>
        <v>46068</v>
      </c>
      <c r="B2471" s="11" t="n">
        <f aca="false">MOD(ROW()-9,24)</f>
        <v>14</v>
      </c>
      <c r="C2471" s="12"/>
      <c r="D2471" s="13" t="n">
        <f aca="false">IF(B2471&lt;5,Einstellungen!$B$3,Einstellungen!$B$4)</f>
        <v>29.13</v>
      </c>
      <c r="E2471" s="14" t="str">
        <f aca="false">IF(C2471="","",C2471*D2471/100)</f>
        <v/>
      </c>
      <c r="F2471" s="15" t="str">
        <f aca="false">IF(B2471&lt;5,"Go","Standard")</f>
        <v>Standard</v>
      </c>
    </row>
    <row r="2472" customFormat="false" ht="15" hidden="false" customHeight="true" outlineLevel="0" collapsed="false">
      <c r="A2472" s="10" t="n">
        <f aca="false">Einstellungen!$B$5+INT((ROW()-9)/24)</f>
        <v>46068</v>
      </c>
      <c r="B2472" s="11" t="n">
        <f aca="false">MOD(ROW()-9,24)</f>
        <v>15</v>
      </c>
      <c r="C2472" s="12"/>
      <c r="D2472" s="13" t="n">
        <f aca="false">IF(B2472&lt;5,Einstellungen!$B$3,Einstellungen!$B$4)</f>
        <v>29.13</v>
      </c>
      <c r="E2472" s="14" t="str">
        <f aca="false">IF(C2472="","",C2472*D2472/100)</f>
        <v/>
      </c>
      <c r="F2472" s="15" t="str">
        <f aca="false">IF(B2472&lt;5,"Go","Standard")</f>
        <v>Standard</v>
      </c>
    </row>
    <row r="2473" customFormat="false" ht="15" hidden="false" customHeight="true" outlineLevel="0" collapsed="false">
      <c r="A2473" s="10" t="n">
        <f aca="false">Einstellungen!$B$5+INT((ROW()-9)/24)</f>
        <v>46068</v>
      </c>
      <c r="B2473" s="11" t="n">
        <f aca="false">MOD(ROW()-9,24)</f>
        <v>16</v>
      </c>
      <c r="C2473" s="12"/>
      <c r="D2473" s="13" t="n">
        <f aca="false">IF(B2473&lt;5,Einstellungen!$B$3,Einstellungen!$B$4)</f>
        <v>29.13</v>
      </c>
      <c r="E2473" s="14" t="str">
        <f aca="false">IF(C2473="","",C2473*D2473/100)</f>
        <v/>
      </c>
      <c r="F2473" s="15" t="str">
        <f aca="false">IF(B2473&lt;5,"Go","Standard")</f>
        <v>Standard</v>
      </c>
    </row>
    <row r="2474" customFormat="false" ht="15" hidden="false" customHeight="true" outlineLevel="0" collapsed="false">
      <c r="A2474" s="10" t="n">
        <f aca="false">Einstellungen!$B$5+INT((ROW()-9)/24)</f>
        <v>46068</v>
      </c>
      <c r="B2474" s="11" t="n">
        <f aca="false">MOD(ROW()-9,24)</f>
        <v>17</v>
      </c>
      <c r="C2474" s="12"/>
      <c r="D2474" s="13" t="n">
        <f aca="false">IF(B2474&lt;5,Einstellungen!$B$3,Einstellungen!$B$4)</f>
        <v>29.13</v>
      </c>
      <c r="E2474" s="14" t="str">
        <f aca="false">IF(C2474="","",C2474*D2474/100)</f>
        <v/>
      </c>
      <c r="F2474" s="15" t="str">
        <f aca="false">IF(B2474&lt;5,"Go","Standard")</f>
        <v>Standard</v>
      </c>
    </row>
    <row r="2475" customFormat="false" ht="15" hidden="false" customHeight="true" outlineLevel="0" collapsed="false">
      <c r="A2475" s="10" t="n">
        <f aca="false">Einstellungen!$B$5+INT((ROW()-9)/24)</f>
        <v>46068</v>
      </c>
      <c r="B2475" s="11" t="n">
        <f aca="false">MOD(ROW()-9,24)</f>
        <v>18</v>
      </c>
      <c r="C2475" s="12"/>
      <c r="D2475" s="13" t="n">
        <f aca="false">IF(B2475&lt;5,Einstellungen!$B$3,Einstellungen!$B$4)</f>
        <v>29.13</v>
      </c>
      <c r="E2475" s="14" t="str">
        <f aca="false">IF(C2475="","",C2475*D2475/100)</f>
        <v/>
      </c>
      <c r="F2475" s="15" t="str">
        <f aca="false">IF(B2475&lt;5,"Go","Standard")</f>
        <v>Standard</v>
      </c>
    </row>
    <row r="2476" customFormat="false" ht="15" hidden="false" customHeight="true" outlineLevel="0" collapsed="false">
      <c r="A2476" s="10" t="n">
        <f aca="false">Einstellungen!$B$5+INT((ROW()-9)/24)</f>
        <v>46068</v>
      </c>
      <c r="B2476" s="11" t="n">
        <f aca="false">MOD(ROW()-9,24)</f>
        <v>19</v>
      </c>
      <c r="C2476" s="12"/>
      <c r="D2476" s="13" t="n">
        <f aca="false">IF(B2476&lt;5,Einstellungen!$B$3,Einstellungen!$B$4)</f>
        <v>29.13</v>
      </c>
      <c r="E2476" s="14" t="str">
        <f aca="false">IF(C2476="","",C2476*D2476/100)</f>
        <v/>
      </c>
      <c r="F2476" s="15" t="str">
        <f aca="false">IF(B2476&lt;5,"Go","Standard")</f>
        <v>Standard</v>
      </c>
    </row>
    <row r="2477" customFormat="false" ht="15" hidden="false" customHeight="true" outlineLevel="0" collapsed="false">
      <c r="A2477" s="10" t="n">
        <f aca="false">Einstellungen!$B$5+INT((ROW()-9)/24)</f>
        <v>46068</v>
      </c>
      <c r="B2477" s="11" t="n">
        <f aca="false">MOD(ROW()-9,24)</f>
        <v>20</v>
      </c>
      <c r="C2477" s="12"/>
      <c r="D2477" s="13" t="n">
        <f aca="false">IF(B2477&lt;5,Einstellungen!$B$3,Einstellungen!$B$4)</f>
        <v>29.13</v>
      </c>
      <c r="E2477" s="14" t="str">
        <f aca="false">IF(C2477="","",C2477*D2477/100)</f>
        <v/>
      </c>
      <c r="F2477" s="15" t="str">
        <f aca="false">IF(B2477&lt;5,"Go","Standard")</f>
        <v>Standard</v>
      </c>
    </row>
    <row r="2478" customFormat="false" ht="15" hidden="false" customHeight="true" outlineLevel="0" collapsed="false">
      <c r="A2478" s="10" t="n">
        <f aca="false">Einstellungen!$B$5+INT((ROW()-9)/24)</f>
        <v>46068</v>
      </c>
      <c r="B2478" s="11" t="n">
        <f aca="false">MOD(ROW()-9,24)</f>
        <v>21</v>
      </c>
      <c r="C2478" s="12"/>
      <c r="D2478" s="13" t="n">
        <f aca="false">IF(B2478&lt;5,Einstellungen!$B$3,Einstellungen!$B$4)</f>
        <v>29.13</v>
      </c>
      <c r="E2478" s="14" t="str">
        <f aca="false">IF(C2478="","",C2478*D2478/100)</f>
        <v/>
      </c>
      <c r="F2478" s="15" t="str">
        <f aca="false">IF(B2478&lt;5,"Go","Standard")</f>
        <v>Standard</v>
      </c>
    </row>
    <row r="2479" customFormat="false" ht="15" hidden="false" customHeight="true" outlineLevel="0" collapsed="false">
      <c r="A2479" s="10" t="n">
        <f aca="false">Einstellungen!$B$5+INT((ROW()-9)/24)</f>
        <v>46068</v>
      </c>
      <c r="B2479" s="11" t="n">
        <f aca="false">MOD(ROW()-9,24)</f>
        <v>22</v>
      </c>
      <c r="C2479" s="12"/>
      <c r="D2479" s="13" t="n">
        <f aca="false">IF(B2479&lt;5,Einstellungen!$B$3,Einstellungen!$B$4)</f>
        <v>29.13</v>
      </c>
      <c r="E2479" s="14" t="str">
        <f aca="false">IF(C2479="","",C2479*D2479/100)</f>
        <v/>
      </c>
      <c r="F2479" s="15" t="str">
        <f aca="false">IF(B2479&lt;5,"Go","Standard")</f>
        <v>Standard</v>
      </c>
    </row>
    <row r="2480" customFormat="false" ht="15" hidden="false" customHeight="true" outlineLevel="0" collapsed="false">
      <c r="A2480" s="10" t="n">
        <f aca="false">Einstellungen!$B$5+INT((ROW()-9)/24)</f>
        <v>46068</v>
      </c>
      <c r="B2480" s="11" t="n">
        <f aca="false">MOD(ROW()-9,24)</f>
        <v>23</v>
      </c>
      <c r="C2480" s="12"/>
      <c r="D2480" s="13" t="n">
        <f aca="false">IF(B2480&lt;5,Einstellungen!$B$3,Einstellungen!$B$4)</f>
        <v>29.13</v>
      </c>
      <c r="E2480" s="14" t="str">
        <f aca="false">IF(C2480="","",C2480*D2480/100)</f>
        <v/>
      </c>
      <c r="F2480" s="15" t="str">
        <f aca="false">IF(B2480&lt;5,"Go","Standard")</f>
        <v>Standard</v>
      </c>
    </row>
    <row r="2481" customFormat="false" ht="15" hidden="false" customHeight="true" outlineLevel="0" collapsed="false">
      <c r="A2481" s="10" t="n">
        <f aca="false">Einstellungen!$B$5+INT((ROW()-9)/24)</f>
        <v>46069</v>
      </c>
      <c r="B2481" s="11" t="n">
        <f aca="false">MOD(ROW()-9,24)</f>
        <v>0</v>
      </c>
      <c r="C2481" s="12"/>
      <c r="D2481" s="13" t="n">
        <f aca="false">IF(B2481&lt;5,Einstellungen!$B$3,Einstellungen!$B$4)</f>
        <v>15.92</v>
      </c>
      <c r="E2481" s="14" t="str">
        <f aca="false">IF(C2481="","",C2481*D2481/100)</f>
        <v/>
      </c>
      <c r="F2481" s="15" t="str">
        <f aca="false">IF(B2481&lt;5,"Go","Standard")</f>
        <v>Go</v>
      </c>
    </row>
    <row r="2482" customFormat="false" ht="15" hidden="false" customHeight="true" outlineLevel="0" collapsed="false">
      <c r="A2482" s="10" t="n">
        <f aca="false">Einstellungen!$B$5+INT((ROW()-9)/24)</f>
        <v>46069</v>
      </c>
      <c r="B2482" s="11" t="n">
        <f aca="false">MOD(ROW()-9,24)</f>
        <v>1</v>
      </c>
      <c r="C2482" s="12"/>
      <c r="D2482" s="13" t="n">
        <f aca="false">IF(B2482&lt;5,Einstellungen!$B$3,Einstellungen!$B$4)</f>
        <v>15.92</v>
      </c>
      <c r="E2482" s="14" t="str">
        <f aca="false">IF(C2482="","",C2482*D2482/100)</f>
        <v/>
      </c>
      <c r="F2482" s="15" t="str">
        <f aca="false">IF(B2482&lt;5,"Go","Standard")</f>
        <v>Go</v>
      </c>
    </row>
    <row r="2483" customFormat="false" ht="15" hidden="false" customHeight="true" outlineLevel="0" collapsed="false">
      <c r="A2483" s="10" t="n">
        <f aca="false">Einstellungen!$B$5+INT((ROW()-9)/24)</f>
        <v>46069</v>
      </c>
      <c r="B2483" s="11" t="n">
        <f aca="false">MOD(ROW()-9,24)</f>
        <v>2</v>
      </c>
      <c r="C2483" s="12"/>
      <c r="D2483" s="13" t="n">
        <f aca="false">IF(B2483&lt;5,Einstellungen!$B$3,Einstellungen!$B$4)</f>
        <v>15.92</v>
      </c>
      <c r="E2483" s="14" t="str">
        <f aca="false">IF(C2483="","",C2483*D2483/100)</f>
        <v/>
      </c>
      <c r="F2483" s="15" t="str">
        <f aca="false">IF(B2483&lt;5,"Go","Standard")</f>
        <v>Go</v>
      </c>
    </row>
    <row r="2484" customFormat="false" ht="15" hidden="false" customHeight="true" outlineLevel="0" collapsed="false">
      <c r="A2484" s="10" t="n">
        <f aca="false">Einstellungen!$B$5+INT((ROW()-9)/24)</f>
        <v>46069</v>
      </c>
      <c r="B2484" s="11" t="n">
        <f aca="false">MOD(ROW()-9,24)</f>
        <v>3</v>
      </c>
      <c r="C2484" s="12"/>
      <c r="D2484" s="13" t="n">
        <f aca="false">IF(B2484&lt;5,Einstellungen!$B$3,Einstellungen!$B$4)</f>
        <v>15.92</v>
      </c>
      <c r="E2484" s="14" t="str">
        <f aca="false">IF(C2484="","",C2484*D2484/100)</f>
        <v/>
      </c>
      <c r="F2484" s="15" t="str">
        <f aca="false">IF(B2484&lt;5,"Go","Standard")</f>
        <v>Go</v>
      </c>
    </row>
    <row r="2485" customFormat="false" ht="15" hidden="false" customHeight="true" outlineLevel="0" collapsed="false">
      <c r="A2485" s="10" t="n">
        <f aca="false">Einstellungen!$B$5+INT((ROW()-9)/24)</f>
        <v>46069</v>
      </c>
      <c r="B2485" s="11" t="n">
        <f aca="false">MOD(ROW()-9,24)</f>
        <v>4</v>
      </c>
      <c r="C2485" s="12"/>
      <c r="D2485" s="13" t="n">
        <f aca="false">IF(B2485&lt;5,Einstellungen!$B$3,Einstellungen!$B$4)</f>
        <v>15.92</v>
      </c>
      <c r="E2485" s="14" t="str">
        <f aca="false">IF(C2485="","",C2485*D2485/100)</f>
        <v/>
      </c>
      <c r="F2485" s="15" t="str">
        <f aca="false">IF(B2485&lt;5,"Go","Standard")</f>
        <v>Go</v>
      </c>
    </row>
    <row r="2486" customFormat="false" ht="15" hidden="false" customHeight="true" outlineLevel="0" collapsed="false">
      <c r="A2486" s="10" t="n">
        <f aca="false">Einstellungen!$B$5+INT((ROW()-9)/24)</f>
        <v>46069</v>
      </c>
      <c r="B2486" s="11" t="n">
        <f aca="false">MOD(ROW()-9,24)</f>
        <v>5</v>
      </c>
      <c r="C2486" s="12"/>
      <c r="D2486" s="13" t="n">
        <f aca="false">IF(B2486&lt;5,Einstellungen!$B$3,Einstellungen!$B$4)</f>
        <v>29.13</v>
      </c>
      <c r="E2486" s="14" t="str">
        <f aca="false">IF(C2486="","",C2486*D2486/100)</f>
        <v/>
      </c>
      <c r="F2486" s="15" t="str">
        <f aca="false">IF(B2486&lt;5,"Go","Standard")</f>
        <v>Standard</v>
      </c>
    </row>
    <row r="2487" customFormat="false" ht="15" hidden="false" customHeight="true" outlineLevel="0" collapsed="false">
      <c r="A2487" s="10" t="n">
        <f aca="false">Einstellungen!$B$5+INT((ROW()-9)/24)</f>
        <v>46069</v>
      </c>
      <c r="B2487" s="11" t="n">
        <f aca="false">MOD(ROW()-9,24)</f>
        <v>6</v>
      </c>
      <c r="C2487" s="12"/>
      <c r="D2487" s="13" t="n">
        <f aca="false">IF(B2487&lt;5,Einstellungen!$B$3,Einstellungen!$B$4)</f>
        <v>29.13</v>
      </c>
      <c r="E2487" s="14" t="str">
        <f aca="false">IF(C2487="","",C2487*D2487/100)</f>
        <v/>
      </c>
      <c r="F2487" s="15" t="str">
        <f aca="false">IF(B2487&lt;5,"Go","Standard")</f>
        <v>Standard</v>
      </c>
    </row>
    <row r="2488" customFormat="false" ht="15" hidden="false" customHeight="true" outlineLevel="0" collapsed="false">
      <c r="A2488" s="10" t="n">
        <f aca="false">Einstellungen!$B$5+INT((ROW()-9)/24)</f>
        <v>46069</v>
      </c>
      <c r="B2488" s="11" t="n">
        <f aca="false">MOD(ROW()-9,24)</f>
        <v>7</v>
      </c>
      <c r="C2488" s="12"/>
      <c r="D2488" s="13" t="n">
        <f aca="false">IF(B2488&lt;5,Einstellungen!$B$3,Einstellungen!$B$4)</f>
        <v>29.13</v>
      </c>
      <c r="E2488" s="14" t="str">
        <f aca="false">IF(C2488="","",C2488*D2488/100)</f>
        <v/>
      </c>
      <c r="F2488" s="15" t="str">
        <f aca="false">IF(B2488&lt;5,"Go","Standard")</f>
        <v>Standard</v>
      </c>
    </row>
    <row r="2489" customFormat="false" ht="15" hidden="false" customHeight="true" outlineLevel="0" collapsed="false">
      <c r="A2489" s="10" t="n">
        <f aca="false">Einstellungen!$B$5+INT((ROW()-9)/24)</f>
        <v>46069</v>
      </c>
      <c r="B2489" s="11" t="n">
        <f aca="false">MOD(ROW()-9,24)</f>
        <v>8</v>
      </c>
      <c r="C2489" s="12"/>
      <c r="D2489" s="13" t="n">
        <f aca="false">IF(B2489&lt;5,Einstellungen!$B$3,Einstellungen!$B$4)</f>
        <v>29.13</v>
      </c>
      <c r="E2489" s="14" t="str">
        <f aca="false">IF(C2489="","",C2489*D2489/100)</f>
        <v/>
      </c>
      <c r="F2489" s="15" t="str">
        <f aca="false">IF(B2489&lt;5,"Go","Standard")</f>
        <v>Standard</v>
      </c>
    </row>
    <row r="2490" customFormat="false" ht="15" hidden="false" customHeight="true" outlineLevel="0" collapsed="false">
      <c r="A2490" s="10" t="n">
        <f aca="false">Einstellungen!$B$5+INT((ROW()-9)/24)</f>
        <v>46069</v>
      </c>
      <c r="B2490" s="11" t="n">
        <f aca="false">MOD(ROW()-9,24)</f>
        <v>9</v>
      </c>
      <c r="C2490" s="12"/>
      <c r="D2490" s="13" t="n">
        <f aca="false">IF(B2490&lt;5,Einstellungen!$B$3,Einstellungen!$B$4)</f>
        <v>29.13</v>
      </c>
      <c r="E2490" s="14" t="str">
        <f aca="false">IF(C2490="","",C2490*D2490/100)</f>
        <v/>
      </c>
      <c r="F2490" s="15" t="str">
        <f aca="false">IF(B2490&lt;5,"Go","Standard")</f>
        <v>Standard</v>
      </c>
    </row>
    <row r="2491" customFormat="false" ht="15" hidden="false" customHeight="true" outlineLevel="0" collapsed="false">
      <c r="A2491" s="10" t="n">
        <f aca="false">Einstellungen!$B$5+INT((ROW()-9)/24)</f>
        <v>46069</v>
      </c>
      <c r="B2491" s="11" t="n">
        <f aca="false">MOD(ROW()-9,24)</f>
        <v>10</v>
      </c>
      <c r="C2491" s="12"/>
      <c r="D2491" s="13" t="n">
        <f aca="false">IF(B2491&lt;5,Einstellungen!$B$3,Einstellungen!$B$4)</f>
        <v>29.13</v>
      </c>
      <c r="E2491" s="14" t="str">
        <f aca="false">IF(C2491="","",C2491*D2491/100)</f>
        <v/>
      </c>
      <c r="F2491" s="15" t="str">
        <f aca="false">IF(B2491&lt;5,"Go","Standard")</f>
        <v>Standard</v>
      </c>
    </row>
    <row r="2492" customFormat="false" ht="15" hidden="false" customHeight="true" outlineLevel="0" collapsed="false">
      <c r="A2492" s="10" t="n">
        <f aca="false">Einstellungen!$B$5+INT((ROW()-9)/24)</f>
        <v>46069</v>
      </c>
      <c r="B2492" s="11" t="n">
        <f aca="false">MOD(ROW()-9,24)</f>
        <v>11</v>
      </c>
      <c r="C2492" s="12"/>
      <c r="D2492" s="13" t="n">
        <f aca="false">IF(B2492&lt;5,Einstellungen!$B$3,Einstellungen!$B$4)</f>
        <v>29.13</v>
      </c>
      <c r="E2492" s="14" t="str">
        <f aca="false">IF(C2492="","",C2492*D2492/100)</f>
        <v/>
      </c>
      <c r="F2492" s="15" t="str">
        <f aca="false">IF(B2492&lt;5,"Go","Standard")</f>
        <v>Standard</v>
      </c>
    </row>
    <row r="2493" customFormat="false" ht="15" hidden="false" customHeight="true" outlineLevel="0" collapsed="false">
      <c r="A2493" s="10" t="n">
        <f aca="false">Einstellungen!$B$5+INT((ROW()-9)/24)</f>
        <v>46069</v>
      </c>
      <c r="B2493" s="11" t="n">
        <f aca="false">MOD(ROW()-9,24)</f>
        <v>12</v>
      </c>
      <c r="C2493" s="12"/>
      <c r="D2493" s="13" t="n">
        <f aca="false">IF(B2493&lt;5,Einstellungen!$B$3,Einstellungen!$B$4)</f>
        <v>29.13</v>
      </c>
      <c r="E2493" s="14" t="str">
        <f aca="false">IF(C2493="","",C2493*D2493/100)</f>
        <v/>
      </c>
      <c r="F2493" s="15" t="str">
        <f aca="false">IF(B2493&lt;5,"Go","Standard")</f>
        <v>Standard</v>
      </c>
    </row>
    <row r="2494" customFormat="false" ht="15" hidden="false" customHeight="true" outlineLevel="0" collapsed="false">
      <c r="A2494" s="10" t="n">
        <f aca="false">Einstellungen!$B$5+INT((ROW()-9)/24)</f>
        <v>46069</v>
      </c>
      <c r="B2494" s="11" t="n">
        <f aca="false">MOD(ROW()-9,24)</f>
        <v>13</v>
      </c>
      <c r="C2494" s="12"/>
      <c r="D2494" s="13" t="n">
        <f aca="false">IF(B2494&lt;5,Einstellungen!$B$3,Einstellungen!$B$4)</f>
        <v>29.13</v>
      </c>
      <c r="E2494" s="14" t="str">
        <f aca="false">IF(C2494="","",C2494*D2494/100)</f>
        <v/>
      </c>
      <c r="F2494" s="15" t="str">
        <f aca="false">IF(B2494&lt;5,"Go","Standard")</f>
        <v>Standard</v>
      </c>
    </row>
    <row r="2495" customFormat="false" ht="15" hidden="false" customHeight="true" outlineLevel="0" collapsed="false">
      <c r="A2495" s="10" t="n">
        <f aca="false">Einstellungen!$B$5+INT((ROW()-9)/24)</f>
        <v>46069</v>
      </c>
      <c r="B2495" s="11" t="n">
        <f aca="false">MOD(ROW()-9,24)</f>
        <v>14</v>
      </c>
      <c r="C2495" s="12"/>
      <c r="D2495" s="13" t="n">
        <f aca="false">IF(B2495&lt;5,Einstellungen!$B$3,Einstellungen!$B$4)</f>
        <v>29.13</v>
      </c>
      <c r="E2495" s="14" t="str">
        <f aca="false">IF(C2495="","",C2495*D2495/100)</f>
        <v/>
      </c>
      <c r="F2495" s="15" t="str">
        <f aca="false">IF(B2495&lt;5,"Go","Standard")</f>
        <v>Standard</v>
      </c>
    </row>
    <row r="2496" customFormat="false" ht="15" hidden="false" customHeight="true" outlineLevel="0" collapsed="false">
      <c r="A2496" s="10" t="n">
        <f aca="false">Einstellungen!$B$5+INT((ROW()-9)/24)</f>
        <v>46069</v>
      </c>
      <c r="B2496" s="11" t="n">
        <f aca="false">MOD(ROW()-9,24)</f>
        <v>15</v>
      </c>
      <c r="C2496" s="12"/>
      <c r="D2496" s="13" t="n">
        <f aca="false">IF(B2496&lt;5,Einstellungen!$B$3,Einstellungen!$B$4)</f>
        <v>29.13</v>
      </c>
      <c r="E2496" s="14" t="str">
        <f aca="false">IF(C2496="","",C2496*D2496/100)</f>
        <v/>
      </c>
      <c r="F2496" s="15" t="str">
        <f aca="false">IF(B2496&lt;5,"Go","Standard")</f>
        <v>Standard</v>
      </c>
    </row>
    <row r="2497" customFormat="false" ht="15" hidden="false" customHeight="true" outlineLevel="0" collapsed="false">
      <c r="A2497" s="10" t="n">
        <f aca="false">Einstellungen!$B$5+INT((ROW()-9)/24)</f>
        <v>46069</v>
      </c>
      <c r="B2497" s="11" t="n">
        <f aca="false">MOD(ROW()-9,24)</f>
        <v>16</v>
      </c>
      <c r="C2497" s="12"/>
      <c r="D2497" s="13" t="n">
        <f aca="false">IF(B2497&lt;5,Einstellungen!$B$3,Einstellungen!$B$4)</f>
        <v>29.13</v>
      </c>
      <c r="E2497" s="14" t="str">
        <f aca="false">IF(C2497="","",C2497*D2497/100)</f>
        <v/>
      </c>
      <c r="F2497" s="15" t="str">
        <f aca="false">IF(B2497&lt;5,"Go","Standard")</f>
        <v>Standard</v>
      </c>
    </row>
    <row r="2498" customFormat="false" ht="15" hidden="false" customHeight="true" outlineLevel="0" collapsed="false">
      <c r="A2498" s="10" t="n">
        <f aca="false">Einstellungen!$B$5+INT((ROW()-9)/24)</f>
        <v>46069</v>
      </c>
      <c r="B2498" s="11" t="n">
        <f aca="false">MOD(ROW()-9,24)</f>
        <v>17</v>
      </c>
      <c r="C2498" s="12"/>
      <c r="D2498" s="13" t="n">
        <f aca="false">IF(B2498&lt;5,Einstellungen!$B$3,Einstellungen!$B$4)</f>
        <v>29.13</v>
      </c>
      <c r="E2498" s="14" t="str">
        <f aca="false">IF(C2498="","",C2498*D2498/100)</f>
        <v/>
      </c>
      <c r="F2498" s="15" t="str">
        <f aca="false">IF(B2498&lt;5,"Go","Standard")</f>
        <v>Standard</v>
      </c>
    </row>
    <row r="2499" customFormat="false" ht="15" hidden="false" customHeight="true" outlineLevel="0" collapsed="false">
      <c r="A2499" s="10" t="n">
        <f aca="false">Einstellungen!$B$5+INT((ROW()-9)/24)</f>
        <v>46069</v>
      </c>
      <c r="B2499" s="11" t="n">
        <f aca="false">MOD(ROW()-9,24)</f>
        <v>18</v>
      </c>
      <c r="C2499" s="12"/>
      <c r="D2499" s="13" t="n">
        <f aca="false">IF(B2499&lt;5,Einstellungen!$B$3,Einstellungen!$B$4)</f>
        <v>29.13</v>
      </c>
      <c r="E2499" s="14" t="str">
        <f aca="false">IF(C2499="","",C2499*D2499/100)</f>
        <v/>
      </c>
      <c r="F2499" s="15" t="str">
        <f aca="false">IF(B2499&lt;5,"Go","Standard")</f>
        <v>Standard</v>
      </c>
    </row>
    <row r="2500" customFormat="false" ht="15" hidden="false" customHeight="true" outlineLevel="0" collapsed="false">
      <c r="A2500" s="10" t="n">
        <f aca="false">Einstellungen!$B$5+INT((ROW()-9)/24)</f>
        <v>46069</v>
      </c>
      <c r="B2500" s="11" t="n">
        <f aca="false">MOD(ROW()-9,24)</f>
        <v>19</v>
      </c>
      <c r="C2500" s="12"/>
      <c r="D2500" s="13" t="n">
        <f aca="false">IF(B2500&lt;5,Einstellungen!$B$3,Einstellungen!$B$4)</f>
        <v>29.13</v>
      </c>
      <c r="E2500" s="14" t="str">
        <f aca="false">IF(C2500="","",C2500*D2500/100)</f>
        <v/>
      </c>
      <c r="F2500" s="15" t="str">
        <f aca="false">IF(B2500&lt;5,"Go","Standard")</f>
        <v>Standard</v>
      </c>
    </row>
    <row r="2501" customFormat="false" ht="15" hidden="false" customHeight="true" outlineLevel="0" collapsed="false">
      <c r="A2501" s="10" t="n">
        <f aca="false">Einstellungen!$B$5+INT((ROW()-9)/24)</f>
        <v>46069</v>
      </c>
      <c r="B2501" s="11" t="n">
        <f aca="false">MOD(ROW()-9,24)</f>
        <v>20</v>
      </c>
      <c r="C2501" s="12"/>
      <c r="D2501" s="13" t="n">
        <f aca="false">IF(B2501&lt;5,Einstellungen!$B$3,Einstellungen!$B$4)</f>
        <v>29.13</v>
      </c>
      <c r="E2501" s="14" t="str">
        <f aca="false">IF(C2501="","",C2501*D2501/100)</f>
        <v/>
      </c>
      <c r="F2501" s="15" t="str">
        <f aca="false">IF(B2501&lt;5,"Go","Standard")</f>
        <v>Standard</v>
      </c>
    </row>
    <row r="2502" customFormat="false" ht="15" hidden="false" customHeight="true" outlineLevel="0" collapsed="false">
      <c r="A2502" s="10" t="n">
        <f aca="false">Einstellungen!$B$5+INT((ROW()-9)/24)</f>
        <v>46069</v>
      </c>
      <c r="B2502" s="11" t="n">
        <f aca="false">MOD(ROW()-9,24)</f>
        <v>21</v>
      </c>
      <c r="C2502" s="12"/>
      <c r="D2502" s="13" t="n">
        <f aca="false">IF(B2502&lt;5,Einstellungen!$B$3,Einstellungen!$B$4)</f>
        <v>29.13</v>
      </c>
      <c r="E2502" s="14" t="str">
        <f aca="false">IF(C2502="","",C2502*D2502/100)</f>
        <v/>
      </c>
      <c r="F2502" s="15" t="str">
        <f aca="false">IF(B2502&lt;5,"Go","Standard")</f>
        <v>Standard</v>
      </c>
    </row>
    <row r="2503" customFormat="false" ht="15" hidden="false" customHeight="true" outlineLevel="0" collapsed="false">
      <c r="A2503" s="10" t="n">
        <f aca="false">Einstellungen!$B$5+INT((ROW()-9)/24)</f>
        <v>46069</v>
      </c>
      <c r="B2503" s="11" t="n">
        <f aca="false">MOD(ROW()-9,24)</f>
        <v>22</v>
      </c>
      <c r="C2503" s="12"/>
      <c r="D2503" s="13" t="n">
        <f aca="false">IF(B2503&lt;5,Einstellungen!$B$3,Einstellungen!$B$4)</f>
        <v>29.13</v>
      </c>
      <c r="E2503" s="14" t="str">
        <f aca="false">IF(C2503="","",C2503*D2503/100)</f>
        <v/>
      </c>
      <c r="F2503" s="15" t="str">
        <f aca="false">IF(B2503&lt;5,"Go","Standard")</f>
        <v>Standard</v>
      </c>
    </row>
    <row r="2504" customFormat="false" ht="15" hidden="false" customHeight="true" outlineLevel="0" collapsed="false">
      <c r="A2504" s="10" t="n">
        <f aca="false">Einstellungen!$B$5+INT((ROW()-9)/24)</f>
        <v>46069</v>
      </c>
      <c r="B2504" s="11" t="n">
        <f aca="false">MOD(ROW()-9,24)</f>
        <v>23</v>
      </c>
      <c r="C2504" s="12"/>
      <c r="D2504" s="13" t="n">
        <f aca="false">IF(B2504&lt;5,Einstellungen!$B$3,Einstellungen!$B$4)</f>
        <v>29.13</v>
      </c>
      <c r="E2504" s="14" t="str">
        <f aca="false">IF(C2504="","",C2504*D2504/100)</f>
        <v/>
      </c>
      <c r="F2504" s="15" t="str">
        <f aca="false">IF(B2504&lt;5,"Go","Standard")</f>
        <v>Standard</v>
      </c>
    </row>
    <row r="2505" customFormat="false" ht="15" hidden="false" customHeight="true" outlineLevel="0" collapsed="false">
      <c r="A2505" s="10" t="n">
        <f aca="false">Einstellungen!$B$5+INT((ROW()-9)/24)</f>
        <v>46070</v>
      </c>
      <c r="B2505" s="11" t="n">
        <f aca="false">MOD(ROW()-9,24)</f>
        <v>0</v>
      </c>
      <c r="C2505" s="12"/>
      <c r="D2505" s="13" t="n">
        <f aca="false">IF(B2505&lt;5,Einstellungen!$B$3,Einstellungen!$B$4)</f>
        <v>15.92</v>
      </c>
      <c r="E2505" s="14" t="str">
        <f aca="false">IF(C2505="","",C2505*D2505/100)</f>
        <v/>
      </c>
      <c r="F2505" s="15" t="str">
        <f aca="false">IF(B2505&lt;5,"Go","Standard")</f>
        <v>Go</v>
      </c>
    </row>
    <row r="2506" customFormat="false" ht="15" hidden="false" customHeight="true" outlineLevel="0" collapsed="false">
      <c r="A2506" s="10" t="n">
        <f aca="false">Einstellungen!$B$5+INT((ROW()-9)/24)</f>
        <v>46070</v>
      </c>
      <c r="B2506" s="11" t="n">
        <f aca="false">MOD(ROW()-9,24)</f>
        <v>1</v>
      </c>
      <c r="C2506" s="12"/>
      <c r="D2506" s="13" t="n">
        <f aca="false">IF(B2506&lt;5,Einstellungen!$B$3,Einstellungen!$B$4)</f>
        <v>15.92</v>
      </c>
      <c r="E2506" s="14" t="str">
        <f aca="false">IF(C2506="","",C2506*D2506/100)</f>
        <v/>
      </c>
      <c r="F2506" s="15" t="str">
        <f aca="false">IF(B2506&lt;5,"Go","Standard")</f>
        <v>Go</v>
      </c>
    </row>
    <row r="2507" customFormat="false" ht="15" hidden="false" customHeight="true" outlineLevel="0" collapsed="false">
      <c r="A2507" s="10" t="n">
        <f aca="false">Einstellungen!$B$5+INT((ROW()-9)/24)</f>
        <v>46070</v>
      </c>
      <c r="B2507" s="11" t="n">
        <f aca="false">MOD(ROW()-9,24)</f>
        <v>2</v>
      </c>
      <c r="C2507" s="12"/>
      <c r="D2507" s="13" t="n">
        <f aca="false">IF(B2507&lt;5,Einstellungen!$B$3,Einstellungen!$B$4)</f>
        <v>15.92</v>
      </c>
      <c r="E2507" s="14" t="str">
        <f aca="false">IF(C2507="","",C2507*D2507/100)</f>
        <v/>
      </c>
      <c r="F2507" s="15" t="str">
        <f aca="false">IF(B2507&lt;5,"Go","Standard")</f>
        <v>Go</v>
      </c>
    </row>
    <row r="2508" customFormat="false" ht="15" hidden="false" customHeight="true" outlineLevel="0" collapsed="false">
      <c r="A2508" s="10" t="n">
        <f aca="false">Einstellungen!$B$5+INT((ROW()-9)/24)</f>
        <v>46070</v>
      </c>
      <c r="B2508" s="11" t="n">
        <f aca="false">MOD(ROW()-9,24)</f>
        <v>3</v>
      </c>
      <c r="C2508" s="12"/>
      <c r="D2508" s="13" t="n">
        <f aca="false">IF(B2508&lt;5,Einstellungen!$B$3,Einstellungen!$B$4)</f>
        <v>15.92</v>
      </c>
      <c r="E2508" s="14" t="str">
        <f aca="false">IF(C2508="","",C2508*D2508/100)</f>
        <v/>
      </c>
      <c r="F2508" s="15" t="str">
        <f aca="false">IF(B2508&lt;5,"Go","Standard")</f>
        <v>Go</v>
      </c>
    </row>
    <row r="2509" customFormat="false" ht="15" hidden="false" customHeight="true" outlineLevel="0" collapsed="false">
      <c r="A2509" s="10" t="n">
        <f aca="false">Einstellungen!$B$5+INT((ROW()-9)/24)</f>
        <v>46070</v>
      </c>
      <c r="B2509" s="11" t="n">
        <f aca="false">MOD(ROW()-9,24)</f>
        <v>4</v>
      </c>
      <c r="C2509" s="12"/>
      <c r="D2509" s="13" t="n">
        <f aca="false">IF(B2509&lt;5,Einstellungen!$B$3,Einstellungen!$B$4)</f>
        <v>15.92</v>
      </c>
      <c r="E2509" s="14" t="str">
        <f aca="false">IF(C2509="","",C2509*D2509/100)</f>
        <v/>
      </c>
      <c r="F2509" s="15" t="str">
        <f aca="false">IF(B2509&lt;5,"Go","Standard")</f>
        <v>Go</v>
      </c>
    </row>
    <row r="2510" customFormat="false" ht="15" hidden="false" customHeight="true" outlineLevel="0" collapsed="false">
      <c r="A2510" s="10" t="n">
        <f aca="false">Einstellungen!$B$5+INT((ROW()-9)/24)</f>
        <v>46070</v>
      </c>
      <c r="B2510" s="11" t="n">
        <f aca="false">MOD(ROW()-9,24)</f>
        <v>5</v>
      </c>
      <c r="C2510" s="12"/>
      <c r="D2510" s="13" t="n">
        <f aca="false">IF(B2510&lt;5,Einstellungen!$B$3,Einstellungen!$B$4)</f>
        <v>29.13</v>
      </c>
      <c r="E2510" s="14" t="str">
        <f aca="false">IF(C2510="","",C2510*D2510/100)</f>
        <v/>
      </c>
      <c r="F2510" s="15" t="str">
        <f aca="false">IF(B2510&lt;5,"Go","Standard")</f>
        <v>Standard</v>
      </c>
    </row>
    <row r="2511" customFormat="false" ht="15" hidden="false" customHeight="true" outlineLevel="0" collapsed="false">
      <c r="A2511" s="10" t="n">
        <f aca="false">Einstellungen!$B$5+INT((ROW()-9)/24)</f>
        <v>46070</v>
      </c>
      <c r="B2511" s="11" t="n">
        <f aca="false">MOD(ROW()-9,24)</f>
        <v>6</v>
      </c>
      <c r="C2511" s="12"/>
      <c r="D2511" s="13" t="n">
        <f aca="false">IF(B2511&lt;5,Einstellungen!$B$3,Einstellungen!$B$4)</f>
        <v>29.13</v>
      </c>
      <c r="E2511" s="14" t="str">
        <f aca="false">IF(C2511="","",C2511*D2511/100)</f>
        <v/>
      </c>
      <c r="F2511" s="15" t="str">
        <f aca="false">IF(B2511&lt;5,"Go","Standard")</f>
        <v>Standard</v>
      </c>
    </row>
    <row r="2512" customFormat="false" ht="15" hidden="false" customHeight="true" outlineLevel="0" collapsed="false">
      <c r="A2512" s="10" t="n">
        <f aca="false">Einstellungen!$B$5+INT((ROW()-9)/24)</f>
        <v>46070</v>
      </c>
      <c r="B2512" s="11" t="n">
        <f aca="false">MOD(ROW()-9,24)</f>
        <v>7</v>
      </c>
      <c r="C2512" s="12"/>
      <c r="D2512" s="13" t="n">
        <f aca="false">IF(B2512&lt;5,Einstellungen!$B$3,Einstellungen!$B$4)</f>
        <v>29.13</v>
      </c>
      <c r="E2512" s="14" t="str">
        <f aca="false">IF(C2512="","",C2512*D2512/100)</f>
        <v/>
      </c>
      <c r="F2512" s="15" t="str">
        <f aca="false">IF(B2512&lt;5,"Go","Standard")</f>
        <v>Standard</v>
      </c>
    </row>
    <row r="2513" customFormat="false" ht="15" hidden="false" customHeight="true" outlineLevel="0" collapsed="false">
      <c r="A2513" s="10" t="n">
        <f aca="false">Einstellungen!$B$5+INT((ROW()-9)/24)</f>
        <v>46070</v>
      </c>
      <c r="B2513" s="11" t="n">
        <f aca="false">MOD(ROW()-9,24)</f>
        <v>8</v>
      </c>
      <c r="C2513" s="12"/>
      <c r="D2513" s="13" t="n">
        <f aca="false">IF(B2513&lt;5,Einstellungen!$B$3,Einstellungen!$B$4)</f>
        <v>29.13</v>
      </c>
      <c r="E2513" s="14" t="str">
        <f aca="false">IF(C2513="","",C2513*D2513/100)</f>
        <v/>
      </c>
      <c r="F2513" s="15" t="str">
        <f aca="false">IF(B2513&lt;5,"Go","Standard")</f>
        <v>Standard</v>
      </c>
    </row>
    <row r="2514" customFormat="false" ht="15" hidden="false" customHeight="true" outlineLevel="0" collapsed="false">
      <c r="A2514" s="10" t="n">
        <f aca="false">Einstellungen!$B$5+INT((ROW()-9)/24)</f>
        <v>46070</v>
      </c>
      <c r="B2514" s="11" t="n">
        <f aca="false">MOD(ROW()-9,24)</f>
        <v>9</v>
      </c>
      <c r="C2514" s="12"/>
      <c r="D2514" s="13" t="n">
        <f aca="false">IF(B2514&lt;5,Einstellungen!$B$3,Einstellungen!$B$4)</f>
        <v>29.13</v>
      </c>
      <c r="E2514" s="14" t="str">
        <f aca="false">IF(C2514="","",C2514*D2514/100)</f>
        <v/>
      </c>
      <c r="F2514" s="15" t="str">
        <f aca="false">IF(B2514&lt;5,"Go","Standard")</f>
        <v>Standard</v>
      </c>
    </row>
    <row r="2515" customFormat="false" ht="15" hidden="false" customHeight="true" outlineLevel="0" collapsed="false">
      <c r="A2515" s="10" t="n">
        <f aca="false">Einstellungen!$B$5+INT((ROW()-9)/24)</f>
        <v>46070</v>
      </c>
      <c r="B2515" s="11" t="n">
        <f aca="false">MOD(ROW()-9,24)</f>
        <v>10</v>
      </c>
      <c r="C2515" s="12"/>
      <c r="D2515" s="13" t="n">
        <f aca="false">IF(B2515&lt;5,Einstellungen!$B$3,Einstellungen!$B$4)</f>
        <v>29.13</v>
      </c>
      <c r="E2515" s="14" t="str">
        <f aca="false">IF(C2515="","",C2515*D2515/100)</f>
        <v/>
      </c>
      <c r="F2515" s="15" t="str">
        <f aca="false">IF(B2515&lt;5,"Go","Standard")</f>
        <v>Standard</v>
      </c>
    </row>
    <row r="2516" customFormat="false" ht="15" hidden="false" customHeight="true" outlineLevel="0" collapsed="false">
      <c r="A2516" s="10" t="n">
        <f aca="false">Einstellungen!$B$5+INT((ROW()-9)/24)</f>
        <v>46070</v>
      </c>
      <c r="B2516" s="11" t="n">
        <f aca="false">MOD(ROW()-9,24)</f>
        <v>11</v>
      </c>
      <c r="C2516" s="12"/>
      <c r="D2516" s="13" t="n">
        <f aca="false">IF(B2516&lt;5,Einstellungen!$B$3,Einstellungen!$B$4)</f>
        <v>29.13</v>
      </c>
      <c r="E2516" s="14" t="str">
        <f aca="false">IF(C2516="","",C2516*D2516/100)</f>
        <v/>
      </c>
      <c r="F2516" s="15" t="str">
        <f aca="false">IF(B2516&lt;5,"Go","Standard")</f>
        <v>Standard</v>
      </c>
    </row>
    <row r="2517" customFormat="false" ht="15" hidden="false" customHeight="true" outlineLevel="0" collapsed="false">
      <c r="A2517" s="10" t="n">
        <f aca="false">Einstellungen!$B$5+INT((ROW()-9)/24)</f>
        <v>46070</v>
      </c>
      <c r="B2517" s="11" t="n">
        <f aca="false">MOD(ROW()-9,24)</f>
        <v>12</v>
      </c>
      <c r="C2517" s="12"/>
      <c r="D2517" s="13" t="n">
        <f aca="false">IF(B2517&lt;5,Einstellungen!$B$3,Einstellungen!$B$4)</f>
        <v>29.13</v>
      </c>
      <c r="E2517" s="14" t="str">
        <f aca="false">IF(C2517="","",C2517*D2517/100)</f>
        <v/>
      </c>
      <c r="F2517" s="15" t="str">
        <f aca="false">IF(B2517&lt;5,"Go","Standard")</f>
        <v>Standard</v>
      </c>
    </row>
    <row r="2518" customFormat="false" ht="15" hidden="false" customHeight="true" outlineLevel="0" collapsed="false">
      <c r="A2518" s="10" t="n">
        <f aca="false">Einstellungen!$B$5+INT((ROW()-9)/24)</f>
        <v>46070</v>
      </c>
      <c r="B2518" s="11" t="n">
        <f aca="false">MOD(ROW()-9,24)</f>
        <v>13</v>
      </c>
      <c r="C2518" s="12"/>
      <c r="D2518" s="13" t="n">
        <f aca="false">IF(B2518&lt;5,Einstellungen!$B$3,Einstellungen!$B$4)</f>
        <v>29.13</v>
      </c>
      <c r="E2518" s="14" t="str">
        <f aca="false">IF(C2518="","",C2518*D2518/100)</f>
        <v/>
      </c>
      <c r="F2518" s="15" t="str">
        <f aca="false">IF(B2518&lt;5,"Go","Standard")</f>
        <v>Standard</v>
      </c>
    </row>
    <row r="2519" customFormat="false" ht="15" hidden="false" customHeight="true" outlineLevel="0" collapsed="false">
      <c r="A2519" s="10" t="n">
        <f aca="false">Einstellungen!$B$5+INT((ROW()-9)/24)</f>
        <v>46070</v>
      </c>
      <c r="B2519" s="11" t="n">
        <f aca="false">MOD(ROW()-9,24)</f>
        <v>14</v>
      </c>
      <c r="C2519" s="12"/>
      <c r="D2519" s="13" t="n">
        <f aca="false">IF(B2519&lt;5,Einstellungen!$B$3,Einstellungen!$B$4)</f>
        <v>29.13</v>
      </c>
      <c r="E2519" s="14" t="str">
        <f aca="false">IF(C2519="","",C2519*D2519/100)</f>
        <v/>
      </c>
      <c r="F2519" s="15" t="str">
        <f aca="false">IF(B2519&lt;5,"Go","Standard")</f>
        <v>Standard</v>
      </c>
    </row>
    <row r="2520" customFormat="false" ht="15" hidden="false" customHeight="true" outlineLevel="0" collapsed="false">
      <c r="A2520" s="10" t="n">
        <f aca="false">Einstellungen!$B$5+INT((ROW()-9)/24)</f>
        <v>46070</v>
      </c>
      <c r="B2520" s="11" t="n">
        <f aca="false">MOD(ROW()-9,24)</f>
        <v>15</v>
      </c>
      <c r="C2520" s="12"/>
      <c r="D2520" s="13" t="n">
        <f aca="false">IF(B2520&lt;5,Einstellungen!$B$3,Einstellungen!$B$4)</f>
        <v>29.13</v>
      </c>
      <c r="E2520" s="14" t="str">
        <f aca="false">IF(C2520="","",C2520*D2520/100)</f>
        <v/>
      </c>
      <c r="F2520" s="15" t="str">
        <f aca="false">IF(B2520&lt;5,"Go","Standard")</f>
        <v>Standard</v>
      </c>
    </row>
    <row r="2521" customFormat="false" ht="15" hidden="false" customHeight="true" outlineLevel="0" collapsed="false">
      <c r="A2521" s="10" t="n">
        <f aca="false">Einstellungen!$B$5+INT((ROW()-9)/24)</f>
        <v>46070</v>
      </c>
      <c r="B2521" s="11" t="n">
        <f aca="false">MOD(ROW()-9,24)</f>
        <v>16</v>
      </c>
      <c r="C2521" s="12"/>
      <c r="D2521" s="13" t="n">
        <f aca="false">IF(B2521&lt;5,Einstellungen!$B$3,Einstellungen!$B$4)</f>
        <v>29.13</v>
      </c>
      <c r="E2521" s="14" t="str">
        <f aca="false">IF(C2521="","",C2521*D2521/100)</f>
        <v/>
      </c>
      <c r="F2521" s="15" t="str">
        <f aca="false">IF(B2521&lt;5,"Go","Standard")</f>
        <v>Standard</v>
      </c>
    </row>
    <row r="2522" customFormat="false" ht="15" hidden="false" customHeight="true" outlineLevel="0" collapsed="false">
      <c r="A2522" s="10" t="n">
        <f aca="false">Einstellungen!$B$5+INT((ROW()-9)/24)</f>
        <v>46070</v>
      </c>
      <c r="B2522" s="11" t="n">
        <f aca="false">MOD(ROW()-9,24)</f>
        <v>17</v>
      </c>
      <c r="C2522" s="12"/>
      <c r="D2522" s="13" t="n">
        <f aca="false">IF(B2522&lt;5,Einstellungen!$B$3,Einstellungen!$B$4)</f>
        <v>29.13</v>
      </c>
      <c r="E2522" s="14" t="str">
        <f aca="false">IF(C2522="","",C2522*D2522/100)</f>
        <v/>
      </c>
      <c r="F2522" s="15" t="str">
        <f aca="false">IF(B2522&lt;5,"Go","Standard")</f>
        <v>Standard</v>
      </c>
    </row>
    <row r="2523" customFormat="false" ht="15" hidden="false" customHeight="true" outlineLevel="0" collapsed="false">
      <c r="A2523" s="10" t="n">
        <f aca="false">Einstellungen!$B$5+INT((ROW()-9)/24)</f>
        <v>46070</v>
      </c>
      <c r="B2523" s="11" t="n">
        <f aca="false">MOD(ROW()-9,24)</f>
        <v>18</v>
      </c>
      <c r="C2523" s="12"/>
      <c r="D2523" s="13" t="n">
        <f aca="false">IF(B2523&lt;5,Einstellungen!$B$3,Einstellungen!$B$4)</f>
        <v>29.13</v>
      </c>
      <c r="E2523" s="14" t="str">
        <f aca="false">IF(C2523="","",C2523*D2523/100)</f>
        <v/>
      </c>
      <c r="F2523" s="15" t="str">
        <f aca="false">IF(B2523&lt;5,"Go","Standard")</f>
        <v>Standard</v>
      </c>
    </row>
    <row r="2524" customFormat="false" ht="15" hidden="false" customHeight="true" outlineLevel="0" collapsed="false">
      <c r="A2524" s="10" t="n">
        <f aca="false">Einstellungen!$B$5+INT((ROW()-9)/24)</f>
        <v>46070</v>
      </c>
      <c r="B2524" s="11" t="n">
        <f aca="false">MOD(ROW()-9,24)</f>
        <v>19</v>
      </c>
      <c r="C2524" s="12"/>
      <c r="D2524" s="13" t="n">
        <f aca="false">IF(B2524&lt;5,Einstellungen!$B$3,Einstellungen!$B$4)</f>
        <v>29.13</v>
      </c>
      <c r="E2524" s="14" t="str">
        <f aca="false">IF(C2524="","",C2524*D2524/100)</f>
        <v/>
      </c>
      <c r="F2524" s="15" t="str">
        <f aca="false">IF(B2524&lt;5,"Go","Standard")</f>
        <v>Standard</v>
      </c>
    </row>
    <row r="2525" customFormat="false" ht="15" hidden="false" customHeight="true" outlineLevel="0" collapsed="false">
      <c r="A2525" s="10" t="n">
        <f aca="false">Einstellungen!$B$5+INT((ROW()-9)/24)</f>
        <v>46070</v>
      </c>
      <c r="B2525" s="11" t="n">
        <f aca="false">MOD(ROW()-9,24)</f>
        <v>20</v>
      </c>
      <c r="C2525" s="12"/>
      <c r="D2525" s="13" t="n">
        <f aca="false">IF(B2525&lt;5,Einstellungen!$B$3,Einstellungen!$B$4)</f>
        <v>29.13</v>
      </c>
      <c r="E2525" s="14" t="str">
        <f aca="false">IF(C2525="","",C2525*D2525/100)</f>
        <v/>
      </c>
      <c r="F2525" s="15" t="str">
        <f aca="false">IF(B2525&lt;5,"Go","Standard")</f>
        <v>Standard</v>
      </c>
    </row>
    <row r="2526" customFormat="false" ht="15" hidden="false" customHeight="true" outlineLevel="0" collapsed="false">
      <c r="A2526" s="10" t="n">
        <f aca="false">Einstellungen!$B$5+INT((ROW()-9)/24)</f>
        <v>46070</v>
      </c>
      <c r="B2526" s="11" t="n">
        <f aca="false">MOD(ROW()-9,24)</f>
        <v>21</v>
      </c>
      <c r="C2526" s="12"/>
      <c r="D2526" s="13" t="n">
        <f aca="false">IF(B2526&lt;5,Einstellungen!$B$3,Einstellungen!$B$4)</f>
        <v>29.13</v>
      </c>
      <c r="E2526" s="14" t="str">
        <f aca="false">IF(C2526="","",C2526*D2526/100)</f>
        <v/>
      </c>
      <c r="F2526" s="15" t="str">
        <f aca="false">IF(B2526&lt;5,"Go","Standard")</f>
        <v>Standard</v>
      </c>
    </row>
    <row r="2527" customFormat="false" ht="15" hidden="false" customHeight="true" outlineLevel="0" collapsed="false">
      <c r="A2527" s="10" t="n">
        <f aca="false">Einstellungen!$B$5+INT((ROW()-9)/24)</f>
        <v>46070</v>
      </c>
      <c r="B2527" s="11" t="n">
        <f aca="false">MOD(ROW()-9,24)</f>
        <v>22</v>
      </c>
      <c r="C2527" s="12"/>
      <c r="D2527" s="13" t="n">
        <f aca="false">IF(B2527&lt;5,Einstellungen!$B$3,Einstellungen!$B$4)</f>
        <v>29.13</v>
      </c>
      <c r="E2527" s="14" t="str">
        <f aca="false">IF(C2527="","",C2527*D2527/100)</f>
        <v/>
      </c>
      <c r="F2527" s="15" t="str">
        <f aca="false">IF(B2527&lt;5,"Go","Standard")</f>
        <v>Standard</v>
      </c>
    </row>
    <row r="2528" customFormat="false" ht="15" hidden="false" customHeight="true" outlineLevel="0" collapsed="false">
      <c r="A2528" s="10" t="n">
        <f aca="false">Einstellungen!$B$5+INT((ROW()-9)/24)</f>
        <v>46070</v>
      </c>
      <c r="B2528" s="11" t="n">
        <f aca="false">MOD(ROW()-9,24)</f>
        <v>23</v>
      </c>
      <c r="C2528" s="12"/>
      <c r="D2528" s="13" t="n">
        <f aca="false">IF(B2528&lt;5,Einstellungen!$B$3,Einstellungen!$B$4)</f>
        <v>29.13</v>
      </c>
      <c r="E2528" s="14" t="str">
        <f aca="false">IF(C2528="","",C2528*D2528/100)</f>
        <v/>
      </c>
      <c r="F2528" s="15" t="str">
        <f aca="false">IF(B2528&lt;5,"Go","Standard")</f>
        <v>Standard</v>
      </c>
    </row>
    <row r="2529" customFormat="false" ht="15" hidden="false" customHeight="true" outlineLevel="0" collapsed="false">
      <c r="A2529" s="10" t="n">
        <f aca="false">Einstellungen!$B$5+INT((ROW()-9)/24)</f>
        <v>46071</v>
      </c>
      <c r="B2529" s="11" t="n">
        <f aca="false">MOD(ROW()-9,24)</f>
        <v>0</v>
      </c>
      <c r="C2529" s="12"/>
      <c r="D2529" s="13" t="n">
        <f aca="false">IF(B2529&lt;5,Einstellungen!$B$3,Einstellungen!$B$4)</f>
        <v>15.92</v>
      </c>
      <c r="E2529" s="14" t="str">
        <f aca="false">IF(C2529="","",C2529*D2529/100)</f>
        <v/>
      </c>
      <c r="F2529" s="15" t="str">
        <f aca="false">IF(B2529&lt;5,"Go","Standard")</f>
        <v>Go</v>
      </c>
    </row>
    <row r="2530" customFormat="false" ht="15" hidden="false" customHeight="true" outlineLevel="0" collapsed="false">
      <c r="A2530" s="10" t="n">
        <f aca="false">Einstellungen!$B$5+INT((ROW()-9)/24)</f>
        <v>46071</v>
      </c>
      <c r="B2530" s="11" t="n">
        <f aca="false">MOD(ROW()-9,24)</f>
        <v>1</v>
      </c>
      <c r="C2530" s="12"/>
      <c r="D2530" s="13" t="n">
        <f aca="false">IF(B2530&lt;5,Einstellungen!$B$3,Einstellungen!$B$4)</f>
        <v>15.92</v>
      </c>
      <c r="E2530" s="14" t="str">
        <f aca="false">IF(C2530="","",C2530*D2530/100)</f>
        <v/>
      </c>
      <c r="F2530" s="15" t="str">
        <f aca="false">IF(B2530&lt;5,"Go","Standard")</f>
        <v>Go</v>
      </c>
    </row>
    <row r="2531" customFormat="false" ht="15" hidden="false" customHeight="true" outlineLevel="0" collapsed="false">
      <c r="A2531" s="10" t="n">
        <f aca="false">Einstellungen!$B$5+INT((ROW()-9)/24)</f>
        <v>46071</v>
      </c>
      <c r="B2531" s="11" t="n">
        <f aca="false">MOD(ROW()-9,24)</f>
        <v>2</v>
      </c>
      <c r="C2531" s="12"/>
      <c r="D2531" s="13" t="n">
        <f aca="false">IF(B2531&lt;5,Einstellungen!$B$3,Einstellungen!$B$4)</f>
        <v>15.92</v>
      </c>
      <c r="E2531" s="14" t="str">
        <f aca="false">IF(C2531="","",C2531*D2531/100)</f>
        <v/>
      </c>
      <c r="F2531" s="15" t="str">
        <f aca="false">IF(B2531&lt;5,"Go","Standard")</f>
        <v>Go</v>
      </c>
    </row>
    <row r="2532" customFormat="false" ht="15" hidden="false" customHeight="true" outlineLevel="0" collapsed="false">
      <c r="A2532" s="10" t="n">
        <f aca="false">Einstellungen!$B$5+INT((ROW()-9)/24)</f>
        <v>46071</v>
      </c>
      <c r="B2532" s="11" t="n">
        <f aca="false">MOD(ROW()-9,24)</f>
        <v>3</v>
      </c>
      <c r="C2532" s="12"/>
      <c r="D2532" s="13" t="n">
        <f aca="false">IF(B2532&lt;5,Einstellungen!$B$3,Einstellungen!$B$4)</f>
        <v>15.92</v>
      </c>
      <c r="E2532" s="14" t="str">
        <f aca="false">IF(C2532="","",C2532*D2532/100)</f>
        <v/>
      </c>
      <c r="F2532" s="15" t="str">
        <f aca="false">IF(B2532&lt;5,"Go","Standard")</f>
        <v>Go</v>
      </c>
    </row>
    <row r="2533" customFormat="false" ht="15" hidden="false" customHeight="true" outlineLevel="0" collapsed="false">
      <c r="A2533" s="10" t="n">
        <f aca="false">Einstellungen!$B$5+INT((ROW()-9)/24)</f>
        <v>46071</v>
      </c>
      <c r="B2533" s="11" t="n">
        <f aca="false">MOD(ROW()-9,24)</f>
        <v>4</v>
      </c>
      <c r="C2533" s="12"/>
      <c r="D2533" s="13" t="n">
        <f aca="false">IF(B2533&lt;5,Einstellungen!$B$3,Einstellungen!$B$4)</f>
        <v>15.92</v>
      </c>
      <c r="E2533" s="14" t="str">
        <f aca="false">IF(C2533="","",C2533*D2533/100)</f>
        <v/>
      </c>
      <c r="F2533" s="15" t="str">
        <f aca="false">IF(B2533&lt;5,"Go","Standard")</f>
        <v>Go</v>
      </c>
    </row>
    <row r="2534" customFormat="false" ht="15" hidden="false" customHeight="true" outlineLevel="0" collapsed="false">
      <c r="A2534" s="10" t="n">
        <f aca="false">Einstellungen!$B$5+INT((ROW()-9)/24)</f>
        <v>46071</v>
      </c>
      <c r="B2534" s="11" t="n">
        <f aca="false">MOD(ROW()-9,24)</f>
        <v>5</v>
      </c>
      <c r="C2534" s="12"/>
      <c r="D2534" s="13" t="n">
        <f aca="false">IF(B2534&lt;5,Einstellungen!$B$3,Einstellungen!$B$4)</f>
        <v>29.13</v>
      </c>
      <c r="E2534" s="14" t="str">
        <f aca="false">IF(C2534="","",C2534*D2534/100)</f>
        <v/>
      </c>
      <c r="F2534" s="15" t="str">
        <f aca="false">IF(B2534&lt;5,"Go","Standard")</f>
        <v>Standard</v>
      </c>
    </row>
    <row r="2535" customFormat="false" ht="15" hidden="false" customHeight="true" outlineLevel="0" collapsed="false">
      <c r="A2535" s="10" t="n">
        <f aca="false">Einstellungen!$B$5+INT((ROW()-9)/24)</f>
        <v>46071</v>
      </c>
      <c r="B2535" s="11" t="n">
        <f aca="false">MOD(ROW()-9,24)</f>
        <v>6</v>
      </c>
      <c r="C2535" s="12"/>
      <c r="D2535" s="13" t="n">
        <f aca="false">IF(B2535&lt;5,Einstellungen!$B$3,Einstellungen!$B$4)</f>
        <v>29.13</v>
      </c>
      <c r="E2535" s="14" t="str">
        <f aca="false">IF(C2535="","",C2535*D2535/100)</f>
        <v/>
      </c>
      <c r="F2535" s="15" t="str">
        <f aca="false">IF(B2535&lt;5,"Go","Standard")</f>
        <v>Standard</v>
      </c>
    </row>
    <row r="2536" customFormat="false" ht="15" hidden="false" customHeight="true" outlineLevel="0" collapsed="false">
      <c r="A2536" s="10" t="n">
        <f aca="false">Einstellungen!$B$5+INT((ROW()-9)/24)</f>
        <v>46071</v>
      </c>
      <c r="B2536" s="11" t="n">
        <f aca="false">MOD(ROW()-9,24)</f>
        <v>7</v>
      </c>
      <c r="C2536" s="12"/>
      <c r="D2536" s="13" t="n">
        <f aca="false">IF(B2536&lt;5,Einstellungen!$B$3,Einstellungen!$B$4)</f>
        <v>29.13</v>
      </c>
      <c r="E2536" s="14" t="str">
        <f aca="false">IF(C2536="","",C2536*D2536/100)</f>
        <v/>
      </c>
      <c r="F2536" s="15" t="str">
        <f aca="false">IF(B2536&lt;5,"Go","Standard")</f>
        <v>Standard</v>
      </c>
    </row>
    <row r="2537" customFormat="false" ht="15" hidden="false" customHeight="true" outlineLevel="0" collapsed="false">
      <c r="A2537" s="10" t="n">
        <f aca="false">Einstellungen!$B$5+INT((ROW()-9)/24)</f>
        <v>46071</v>
      </c>
      <c r="B2537" s="11" t="n">
        <f aca="false">MOD(ROW()-9,24)</f>
        <v>8</v>
      </c>
      <c r="C2537" s="12"/>
      <c r="D2537" s="13" t="n">
        <f aca="false">IF(B2537&lt;5,Einstellungen!$B$3,Einstellungen!$B$4)</f>
        <v>29.13</v>
      </c>
      <c r="E2537" s="14" t="str">
        <f aca="false">IF(C2537="","",C2537*D2537/100)</f>
        <v/>
      </c>
      <c r="F2537" s="15" t="str">
        <f aca="false">IF(B2537&lt;5,"Go","Standard")</f>
        <v>Standard</v>
      </c>
    </row>
    <row r="2538" customFormat="false" ht="15" hidden="false" customHeight="true" outlineLevel="0" collapsed="false">
      <c r="A2538" s="10" t="n">
        <f aca="false">Einstellungen!$B$5+INT((ROW()-9)/24)</f>
        <v>46071</v>
      </c>
      <c r="B2538" s="11" t="n">
        <f aca="false">MOD(ROW()-9,24)</f>
        <v>9</v>
      </c>
      <c r="C2538" s="12"/>
      <c r="D2538" s="13" t="n">
        <f aca="false">IF(B2538&lt;5,Einstellungen!$B$3,Einstellungen!$B$4)</f>
        <v>29.13</v>
      </c>
      <c r="E2538" s="14" t="str">
        <f aca="false">IF(C2538="","",C2538*D2538/100)</f>
        <v/>
      </c>
      <c r="F2538" s="15" t="str">
        <f aca="false">IF(B2538&lt;5,"Go","Standard")</f>
        <v>Standard</v>
      </c>
    </row>
    <row r="2539" customFormat="false" ht="15" hidden="false" customHeight="true" outlineLevel="0" collapsed="false">
      <c r="A2539" s="10" t="n">
        <f aca="false">Einstellungen!$B$5+INT((ROW()-9)/24)</f>
        <v>46071</v>
      </c>
      <c r="B2539" s="11" t="n">
        <f aca="false">MOD(ROW()-9,24)</f>
        <v>10</v>
      </c>
      <c r="C2539" s="12"/>
      <c r="D2539" s="13" t="n">
        <f aca="false">IF(B2539&lt;5,Einstellungen!$B$3,Einstellungen!$B$4)</f>
        <v>29.13</v>
      </c>
      <c r="E2539" s="14" t="str">
        <f aca="false">IF(C2539="","",C2539*D2539/100)</f>
        <v/>
      </c>
      <c r="F2539" s="15" t="str">
        <f aca="false">IF(B2539&lt;5,"Go","Standard")</f>
        <v>Standard</v>
      </c>
    </row>
    <row r="2540" customFormat="false" ht="15" hidden="false" customHeight="true" outlineLevel="0" collapsed="false">
      <c r="A2540" s="10" t="n">
        <f aca="false">Einstellungen!$B$5+INT((ROW()-9)/24)</f>
        <v>46071</v>
      </c>
      <c r="B2540" s="11" t="n">
        <f aca="false">MOD(ROW()-9,24)</f>
        <v>11</v>
      </c>
      <c r="C2540" s="12"/>
      <c r="D2540" s="13" t="n">
        <f aca="false">IF(B2540&lt;5,Einstellungen!$B$3,Einstellungen!$B$4)</f>
        <v>29.13</v>
      </c>
      <c r="E2540" s="14" t="str">
        <f aca="false">IF(C2540="","",C2540*D2540/100)</f>
        <v/>
      </c>
      <c r="F2540" s="15" t="str">
        <f aca="false">IF(B2540&lt;5,"Go","Standard")</f>
        <v>Standard</v>
      </c>
    </row>
    <row r="2541" customFormat="false" ht="15" hidden="false" customHeight="true" outlineLevel="0" collapsed="false">
      <c r="A2541" s="10" t="n">
        <f aca="false">Einstellungen!$B$5+INT((ROW()-9)/24)</f>
        <v>46071</v>
      </c>
      <c r="B2541" s="11" t="n">
        <f aca="false">MOD(ROW()-9,24)</f>
        <v>12</v>
      </c>
      <c r="C2541" s="12"/>
      <c r="D2541" s="13" t="n">
        <f aca="false">IF(B2541&lt;5,Einstellungen!$B$3,Einstellungen!$B$4)</f>
        <v>29.13</v>
      </c>
      <c r="E2541" s="14" t="str">
        <f aca="false">IF(C2541="","",C2541*D2541/100)</f>
        <v/>
      </c>
      <c r="F2541" s="15" t="str">
        <f aca="false">IF(B2541&lt;5,"Go","Standard")</f>
        <v>Standard</v>
      </c>
    </row>
    <row r="2542" customFormat="false" ht="15" hidden="false" customHeight="true" outlineLevel="0" collapsed="false">
      <c r="A2542" s="10" t="n">
        <f aca="false">Einstellungen!$B$5+INT((ROW()-9)/24)</f>
        <v>46071</v>
      </c>
      <c r="B2542" s="11" t="n">
        <f aca="false">MOD(ROW()-9,24)</f>
        <v>13</v>
      </c>
      <c r="C2542" s="12"/>
      <c r="D2542" s="13" t="n">
        <f aca="false">IF(B2542&lt;5,Einstellungen!$B$3,Einstellungen!$B$4)</f>
        <v>29.13</v>
      </c>
      <c r="E2542" s="14" t="str">
        <f aca="false">IF(C2542="","",C2542*D2542/100)</f>
        <v/>
      </c>
      <c r="F2542" s="15" t="str">
        <f aca="false">IF(B2542&lt;5,"Go","Standard")</f>
        <v>Standard</v>
      </c>
    </row>
    <row r="2543" customFormat="false" ht="15" hidden="false" customHeight="true" outlineLevel="0" collapsed="false">
      <c r="A2543" s="10" t="n">
        <f aca="false">Einstellungen!$B$5+INT((ROW()-9)/24)</f>
        <v>46071</v>
      </c>
      <c r="B2543" s="11" t="n">
        <f aca="false">MOD(ROW()-9,24)</f>
        <v>14</v>
      </c>
      <c r="C2543" s="12"/>
      <c r="D2543" s="13" t="n">
        <f aca="false">IF(B2543&lt;5,Einstellungen!$B$3,Einstellungen!$B$4)</f>
        <v>29.13</v>
      </c>
      <c r="E2543" s="14" t="str">
        <f aca="false">IF(C2543="","",C2543*D2543/100)</f>
        <v/>
      </c>
      <c r="F2543" s="15" t="str">
        <f aca="false">IF(B2543&lt;5,"Go","Standard")</f>
        <v>Standard</v>
      </c>
    </row>
    <row r="2544" customFormat="false" ht="15" hidden="false" customHeight="true" outlineLevel="0" collapsed="false">
      <c r="A2544" s="10" t="n">
        <f aca="false">Einstellungen!$B$5+INT((ROW()-9)/24)</f>
        <v>46071</v>
      </c>
      <c r="B2544" s="11" t="n">
        <f aca="false">MOD(ROW()-9,24)</f>
        <v>15</v>
      </c>
      <c r="C2544" s="12"/>
      <c r="D2544" s="13" t="n">
        <f aca="false">IF(B2544&lt;5,Einstellungen!$B$3,Einstellungen!$B$4)</f>
        <v>29.13</v>
      </c>
      <c r="E2544" s="14" t="str">
        <f aca="false">IF(C2544="","",C2544*D2544/100)</f>
        <v/>
      </c>
      <c r="F2544" s="15" t="str">
        <f aca="false">IF(B2544&lt;5,"Go","Standard")</f>
        <v>Standard</v>
      </c>
    </row>
    <row r="2545" customFormat="false" ht="15" hidden="false" customHeight="true" outlineLevel="0" collapsed="false">
      <c r="A2545" s="10" t="n">
        <f aca="false">Einstellungen!$B$5+INT((ROW()-9)/24)</f>
        <v>46071</v>
      </c>
      <c r="B2545" s="11" t="n">
        <f aca="false">MOD(ROW()-9,24)</f>
        <v>16</v>
      </c>
      <c r="C2545" s="12"/>
      <c r="D2545" s="13" t="n">
        <f aca="false">IF(B2545&lt;5,Einstellungen!$B$3,Einstellungen!$B$4)</f>
        <v>29.13</v>
      </c>
      <c r="E2545" s="14" t="str">
        <f aca="false">IF(C2545="","",C2545*D2545/100)</f>
        <v/>
      </c>
      <c r="F2545" s="15" t="str">
        <f aca="false">IF(B2545&lt;5,"Go","Standard")</f>
        <v>Standard</v>
      </c>
    </row>
    <row r="2546" customFormat="false" ht="15" hidden="false" customHeight="true" outlineLevel="0" collapsed="false">
      <c r="A2546" s="10" t="n">
        <f aca="false">Einstellungen!$B$5+INT((ROW()-9)/24)</f>
        <v>46071</v>
      </c>
      <c r="B2546" s="11" t="n">
        <f aca="false">MOD(ROW()-9,24)</f>
        <v>17</v>
      </c>
      <c r="C2546" s="12"/>
      <c r="D2546" s="13" t="n">
        <f aca="false">IF(B2546&lt;5,Einstellungen!$B$3,Einstellungen!$B$4)</f>
        <v>29.13</v>
      </c>
      <c r="E2546" s="14" t="str">
        <f aca="false">IF(C2546="","",C2546*D2546/100)</f>
        <v/>
      </c>
      <c r="F2546" s="15" t="str">
        <f aca="false">IF(B2546&lt;5,"Go","Standard")</f>
        <v>Standard</v>
      </c>
    </row>
    <row r="2547" customFormat="false" ht="15" hidden="false" customHeight="true" outlineLevel="0" collapsed="false">
      <c r="A2547" s="10" t="n">
        <f aca="false">Einstellungen!$B$5+INT((ROW()-9)/24)</f>
        <v>46071</v>
      </c>
      <c r="B2547" s="11" t="n">
        <f aca="false">MOD(ROW()-9,24)</f>
        <v>18</v>
      </c>
      <c r="C2547" s="12"/>
      <c r="D2547" s="13" t="n">
        <f aca="false">IF(B2547&lt;5,Einstellungen!$B$3,Einstellungen!$B$4)</f>
        <v>29.13</v>
      </c>
      <c r="E2547" s="14" t="str">
        <f aca="false">IF(C2547="","",C2547*D2547/100)</f>
        <v/>
      </c>
      <c r="F2547" s="15" t="str">
        <f aca="false">IF(B2547&lt;5,"Go","Standard")</f>
        <v>Standard</v>
      </c>
    </row>
    <row r="2548" customFormat="false" ht="15" hidden="false" customHeight="true" outlineLevel="0" collapsed="false">
      <c r="A2548" s="10" t="n">
        <f aca="false">Einstellungen!$B$5+INT((ROW()-9)/24)</f>
        <v>46071</v>
      </c>
      <c r="B2548" s="11" t="n">
        <f aca="false">MOD(ROW()-9,24)</f>
        <v>19</v>
      </c>
      <c r="C2548" s="12"/>
      <c r="D2548" s="13" t="n">
        <f aca="false">IF(B2548&lt;5,Einstellungen!$B$3,Einstellungen!$B$4)</f>
        <v>29.13</v>
      </c>
      <c r="E2548" s="14" t="str">
        <f aca="false">IF(C2548="","",C2548*D2548/100)</f>
        <v/>
      </c>
      <c r="F2548" s="15" t="str">
        <f aca="false">IF(B2548&lt;5,"Go","Standard")</f>
        <v>Standard</v>
      </c>
    </row>
    <row r="2549" customFormat="false" ht="15" hidden="false" customHeight="true" outlineLevel="0" collapsed="false">
      <c r="A2549" s="10" t="n">
        <f aca="false">Einstellungen!$B$5+INT((ROW()-9)/24)</f>
        <v>46071</v>
      </c>
      <c r="B2549" s="11" t="n">
        <f aca="false">MOD(ROW()-9,24)</f>
        <v>20</v>
      </c>
      <c r="C2549" s="12"/>
      <c r="D2549" s="13" t="n">
        <f aca="false">IF(B2549&lt;5,Einstellungen!$B$3,Einstellungen!$B$4)</f>
        <v>29.13</v>
      </c>
      <c r="E2549" s="14" t="str">
        <f aca="false">IF(C2549="","",C2549*D2549/100)</f>
        <v/>
      </c>
      <c r="F2549" s="15" t="str">
        <f aca="false">IF(B2549&lt;5,"Go","Standard")</f>
        <v>Standard</v>
      </c>
    </row>
    <row r="2550" customFormat="false" ht="15" hidden="false" customHeight="true" outlineLevel="0" collapsed="false">
      <c r="A2550" s="10" t="n">
        <f aca="false">Einstellungen!$B$5+INT((ROW()-9)/24)</f>
        <v>46071</v>
      </c>
      <c r="B2550" s="11" t="n">
        <f aca="false">MOD(ROW()-9,24)</f>
        <v>21</v>
      </c>
      <c r="C2550" s="12"/>
      <c r="D2550" s="13" t="n">
        <f aca="false">IF(B2550&lt;5,Einstellungen!$B$3,Einstellungen!$B$4)</f>
        <v>29.13</v>
      </c>
      <c r="E2550" s="14" t="str">
        <f aca="false">IF(C2550="","",C2550*D2550/100)</f>
        <v/>
      </c>
      <c r="F2550" s="15" t="str">
        <f aca="false">IF(B2550&lt;5,"Go","Standard")</f>
        <v>Standard</v>
      </c>
    </row>
    <row r="2551" customFormat="false" ht="15" hidden="false" customHeight="true" outlineLevel="0" collapsed="false">
      <c r="A2551" s="10" t="n">
        <f aca="false">Einstellungen!$B$5+INT((ROW()-9)/24)</f>
        <v>46071</v>
      </c>
      <c r="B2551" s="11" t="n">
        <f aca="false">MOD(ROW()-9,24)</f>
        <v>22</v>
      </c>
      <c r="C2551" s="12"/>
      <c r="D2551" s="13" t="n">
        <f aca="false">IF(B2551&lt;5,Einstellungen!$B$3,Einstellungen!$B$4)</f>
        <v>29.13</v>
      </c>
      <c r="E2551" s="14" t="str">
        <f aca="false">IF(C2551="","",C2551*D2551/100)</f>
        <v/>
      </c>
      <c r="F2551" s="15" t="str">
        <f aca="false">IF(B2551&lt;5,"Go","Standard")</f>
        <v>Standard</v>
      </c>
    </row>
    <row r="2552" customFormat="false" ht="15" hidden="false" customHeight="true" outlineLevel="0" collapsed="false">
      <c r="A2552" s="10" t="n">
        <f aca="false">Einstellungen!$B$5+INT((ROW()-9)/24)</f>
        <v>46071</v>
      </c>
      <c r="B2552" s="11" t="n">
        <f aca="false">MOD(ROW()-9,24)</f>
        <v>23</v>
      </c>
      <c r="C2552" s="12"/>
      <c r="D2552" s="13" t="n">
        <f aca="false">IF(B2552&lt;5,Einstellungen!$B$3,Einstellungen!$B$4)</f>
        <v>29.13</v>
      </c>
      <c r="E2552" s="14" t="str">
        <f aca="false">IF(C2552="","",C2552*D2552/100)</f>
        <v/>
      </c>
      <c r="F2552" s="15" t="str">
        <f aca="false">IF(B2552&lt;5,"Go","Standard")</f>
        <v>Standard</v>
      </c>
    </row>
    <row r="2553" customFormat="false" ht="15" hidden="false" customHeight="true" outlineLevel="0" collapsed="false">
      <c r="A2553" s="10" t="n">
        <f aca="false">Einstellungen!$B$5+INT((ROW()-9)/24)</f>
        <v>46072</v>
      </c>
      <c r="B2553" s="11" t="n">
        <f aca="false">MOD(ROW()-9,24)</f>
        <v>0</v>
      </c>
      <c r="C2553" s="12"/>
      <c r="D2553" s="13" t="n">
        <f aca="false">IF(B2553&lt;5,Einstellungen!$B$3,Einstellungen!$B$4)</f>
        <v>15.92</v>
      </c>
      <c r="E2553" s="14" t="str">
        <f aca="false">IF(C2553="","",C2553*D2553/100)</f>
        <v/>
      </c>
      <c r="F2553" s="15" t="str">
        <f aca="false">IF(B2553&lt;5,"Go","Standard")</f>
        <v>Go</v>
      </c>
    </row>
    <row r="2554" customFormat="false" ht="15" hidden="false" customHeight="true" outlineLevel="0" collapsed="false">
      <c r="A2554" s="10" t="n">
        <f aca="false">Einstellungen!$B$5+INT((ROW()-9)/24)</f>
        <v>46072</v>
      </c>
      <c r="B2554" s="11" t="n">
        <f aca="false">MOD(ROW()-9,24)</f>
        <v>1</v>
      </c>
      <c r="C2554" s="12"/>
      <c r="D2554" s="13" t="n">
        <f aca="false">IF(B2554&lt;5,Einstellungen!$B$3,Einstellungen!$B$4)</f>
        <v>15.92</v>
      </c>
      <c r="E2554" s="14" t="str">
        <f aca="false">IF(C2554="","",C2554*D2554/100)</f>
        <v/>
      </c>
      <c r="F2554" s="15" t="str">
        <f aca="false">IF(B2554&lt;5,"Go","Standard")</f>
        <v>Go</v>
      </c>
    </row>
    <row r="2555" customFormat="false" ht="15" hidden="false" customHeight="true" outlineLevel="0" collapsed="false">
      <c r="A2555" s="10" t="n">
        <f aca="false">Einstellungen!$B$5+INT((ROW()-9)/24)</f>
        <v>46072</v>
      </c>
      <c r="B2555" s="11" t="n">
        <f aca="false">MOD(ROW()-9,24)</f>
        <v>2</v>
      </c>
      <c r="C2555" s="12"/>
      <c r="D2555" s="13" t="n">
        <f aca="false">IF(B2555&lt;5,Einstellungen!$B$3,Einstellungen!$B$4)</f>
        <v>15.92</v>
      </c>
      <c r="E2555" s="14" t="str">
        <f aca="false">IF(C2555="","",C2555*D2555/100)</f>
        <v/>
      </c>
      <c r="F2555" s="15" t="str">
        <f aca="false">IF(B2555&lt;5,"Go","Standard")</f>
        <v>Go</v>
      </c>
    </row>
    <row r="2556" customFormat="false" ht="15" hidden="false" customHeight="true" outlineLevel="0" collapsed="false">
      <c r="A2556" s="10" t="n">
        <f aca="false">Einstellungen!$B$5+INT((ROW()-9)/24)</f>
        <v>46072</v>
      </c>
      <c r="B2556" s="11" t="n">
        <f aca="false">MOD(ROW()-9,24)</f>
        <v>3</v>
      </c>
      <c r="C2556" s="12"/>
      <c r="D2556" s="13" t="n">
        <f aca="false">IF(B2556&lt;5,Einstellungen!$B$3,Einstellungen!$B$4)</f>
        <v>15.92</v>
      </c>
      <c r="E2556" s="14" t="str">
        <f aca="false">IF(C2556="","",C2556*D2556/100)</f>
        <v/>
      </c>
      <c r="F2556" s="15" t="str">
        <f aca="false">IF(B2556&lt;5,"Go","Standard")</f>
        <v>Go</v>
      </c>
    </row>
    <row r="2557" customFormat="false" ht="15" hidden="false" customHeight="true" outlineLevel="0" collapsed="false">
      <c r="A2557" s="10" t="n">
        <f aca="false">Einstellungen!$B$5+INT((ROW()-9)/24)</f>
        <v>46072</v>
      </c>
      <c r="B2557" s="11" t="n">
        <f aca="false">MOD(ROW()-9,24)</f>
        <v>4</v>
      </c>
      <c r="C2557" s="12"/>
      <c r="D2557" s="13" t="n">
        <f aca="false">IF(B2557&lt;5,Einstellungen!$B$3,Einstellungen!$B$4)</f>
        <v>15.92</v>
      </c>
      <c r="E2557" s="14" t="str">
        <f aca="false">IF(C2557="","",C2557*D2557/100)</f>
        <v/>
      </c>
      <c r="F2557" s="15" t="str">
        <f aca="false">IF(B2557&lt;5,"Go","Standard")</f>
        <v>Go</v>
      </c>
    </row>
    <row r="2558" customFormat="false" ht="15" hidden="false" customHeight="true" outlineLevel="0" collapsed="false">
      <c r="A2558" s="10" t="n">
        <f aca="false">Einstellungen!$B$5+INT((ROW()-9)/24)</f>
        <v>46072</v>
      </c>
      <c r="B2558" s="11" t="n">
        <f aca="false">MOD(ROW()-9,24)</f>
        <v>5</v>
      </c>
      <c r="C2558" s="12"/>
      <c r="D2558" s="13" t="n">
        <f aca="false">IF(B2558&lt;5,Einstellungen!$B$3,Einstellungen!$B$4)</f>
        <v>29.13</v>
      </c>
      <c r="E2558" s="14" t="str">
        <f aca="false">IF(C2558="","",C2558*D2558/100)</f>
        <v/>
      </c>
      <c r="F2558" s="15" t="str">
        <f aca="false">IF(B2558&lt;5,"Go","Standard")</f>
        <v>Standard</v>
      </c>
    </row>
    <row r="2559" customFormat="false" ht="15" hidden="false" customHeight="true" outlineLevel="0" collapsed="false">
      <c r="A2559" s="10" t="n">
        <f aca="false">Einstellungen!$B$5+INT((ROW()-9)/24)</f>
        <v>46072</v>
      </c>
      <c r="B2559" s="11" t="n">
        <f aca="false">MOD(ROW()-9,24)</f>
        <v>6</v>
      </c>
      <c r="C2559" s="12"/>
      <c r="D2559" s="13" t="n">
        <f aca="false">IF(B2559&lt;5,Einstellungen!$B$3,Einstellungen!$B$4)</f>
        <v>29.13</v>
      </c>
      <c r="E2559" s="14" t="str">
        <f aca="false">IF(C2559="","",C2559*D2559/100)</f>
        <v/>
      </c>
      <c r="F2559" s="15" t="str">
        <f aca="false">IF(B2559&lt;5,"Go","Standard")</f>
        <v>Standard</v>
      </c>
    </row>
    <row r="2560" customFormat="false" ht="15" hidden="false" customHeight="true" outlineLevel="0" collapsed="false">
      <c r="A2560" s="10" t="n">
        <f aca="false">Einstellungen!$B$5+INT((ROW()-9)/24)</f>
        <v>46072</v>
      </c>
      <c r="B2560" s="11" t="n">
        <f aca="false">MOD(ROW()-9,24)</f>
        <v>7</v>
      </c>
      <c r="C2560" s="12"/>
      <c r="D2560" s="13" t="n">
        <f aca="false">IF(B2560&lt;5,Einstellungen!$B$3,Einstellungen!$B$4)</f>
        <v>29.13</v>
      </c>
      <c r="E2560" s="14" t="str">
        <f aca="false">IF(C2560="","",C2560*D2560/100)</f>
        <v/>
      </c>
      <c r="F2560" s="15" t="str">
        <f aca="false">IF(B2560&lt;5,"Go","Standard")</f>
        <v>Standard</v>
      </c>
    </row>
    <row r="2561" customFormat="false" ht="15" hidden="false" customHeight="true" outlineLevel="0" collapsed="false">
      <c r="A2561" s="10" t="n">
        <f aca="false">Einstellungen!$B$5+INT((ROW()-9)/24)</f>
        <v>46072</v>
      </c>
      <c r="B2561" s="11" t="n">
        <f aca="false">MOD(ROW()-9,24)</f>
        <v>8</v>
      </c>
      <c r="C2561" s="12"/>
      <c r="D2561" s="13" t="n">
        <f aca="false">IF(B2561&lt;5,Einstellungen!$B$3,Einstellungen!$B$4)</f>
        <v>29.13</v>
      </c>
      <c r="E2561" s="14" t="str">
        <f aca="false">IF(C2561="","",C2561*D2561/100)</f>
        <v/>
      </c>
      <c r="F2561" s="15" t="str">
        <f aca="false">IF(B2561&lt;5,"Go","Standard")</f>
        <v>Standard</v>
      </c>
    </row>
    <row r="2562" customFormat="false" ht="15" hidden="false" customHeight="true" outlineLevel="0" collapsed="false">
      <c r="A2562" s="10" t="n">
        <f aca="false">Einstellungen!$B$5+INT((ROW()-9)/24)</f>
        <v>46072</v>
      </c>
      <c r="B2562" s="11" t="n">
        <f aca="false">MOD(ROW()-9,24)</f>
        <v>9</v>
      </c>
      <c r="C2562" s="12"/>
      <c r="D2562" s="13" t="n">
        <f aca="false">IF(B2562&lt;5,Einstellungen!$B$3,Einstellungen!$B$4)</f>
        <v>29.13</v>
      </c>
      <c r="E2562" s="14" t="str">
        <f aca="false">IF(C2562="","",C2562*D2562/100)</f>
        <v/>
      </c>
      <c r="F2562" s="15" t="str">
        <f aca="false">IF(B2562&lt;5,"Go","Standard")</f>
        <v>Standard</v>
      </c>
    </row>
    <row r="2563" customFormat="false" ht="15" hidden="false" customHeight="true" outlineLevel="0" collapsed="false">
      <c r="A2563" s="10" t="n">
        <f aca="false">Einstellungen!$B$5+INT((ROW()-9)/24)</f>
        <v>46072</v>
      </c>
      <c r="B2563" s="11" t="n">
        <f aca="false">MOD(ROW()-9,24)</f>
        <v>10</v>
      </c>
      <c r="C2563" s="12"/>
      <c r="D2563" s="13" t="n">
        <f aca="false">IF(B2563&lt;5,Einstellungen!$B$3,Einstellungen!$B$4)</f>
        <v>29.13</v>
      </c>
      <c r="E2563" s="14" t="str">
        <f aca="false">IF(C2563="","",C2563*D2563/100)</f>
        <v/>
      </c>
      <c r="F2563" s="15" t="str">
        <f aca="false">IF(B2563&lt;5,"Go","Standard")</f>
        <v>Standard</v>
      </c>
    </row>
    <row r="2564" customFormat="false" ht="15" hidden="false" customHeight="true" outlineLevel="0" collapsed="false">
      <c r="A2564" s="10" t="n">
        <f aca="false">Einstellungen!$B$5+INT((ROW()-9)/24)</f>
        <v>46072</v>
      </c>
      <c r="B2564" s="11" t="n">
        <f aca="false">MOD(ROW()-9,24)</f>
        <v>11</v>
      </c>
      <c r="C2564" s="12"/>
      <c r="D2564" s="13" t="n">
        <f aca="false">IF(B2564&lt;5,Einstellungen!$B$3,Einstellungen!$B$4)</f>
        <v>29.13</v>
      </c>
      <c r="E2564" s="14" t="str">
        <f aca="false">IF(C2564="","",C2564*D2564/100)</f>
        <v/>
      </c>
      <c r="F2564" s="15" t="str">
        <f aca="false">IF(B2564&lt;5,"Go","Standard")</f>
        <v>Standard</v>
      </c>
    </row>
    <row r="2565" customFormat="false" ht="15" hidden="false" customHeight="true" outlineLevel="0" collapsed="false">
      <c r="A2565" s="10" t="n">
        <f aca="false">Einstellungen!$B$5+INT((ROW()-9)/24)</f>
        <v>46072</v>
      </c>
      <c r="B2565" s="11" t="n">
        <f aca="false">MOD(ROW()-9,24)</f>
        <v>12</v>
      </c>
      <c r="C2565" s="12"/>
      <c r="D2565" s="13" t="n">
        <f aca="false">IF(B2565&lt;5,Einstellungen!$B$3,Einstellungen!$B$4)</f>
        <v>29.13</v>
      </c>
      <c r="E2565" s="14" t="str">
        <f aca="false">IF(C2565="","",C2565*D2565/100)</f>
        <v/>
      </c>
      <c r="F2565" s="15" t="str">
        <f aca="false">IF(B2565&lt;5,"Go","Standard")</f>
        <v>Standard</v>
      </c>
    </row>
    <row r="2566" customFormat="false" ht="15" hidden="false" customHeight="true" outlineLevel="0" collapsed="false">
      <c r="A2566" s="10" t="n">
        <f aca="false">Einstellungen!$B$5+INT((ROW()-9)/24)</f>
        <v>46072</v>
      </c>
      <c r="B2566" s="11" t="n">
        <f aca="false">MOD(ROW()-9,24)</f>
        <v>13</v>
      </c>
      <c r="C2566" s="12"/>
      <c r="D2566" s="13" t="n">
        <f aca="false">IF(B2566&lt;5,Einstellungen!$B$3,Einstellungen!$B$4)</f>
        <v>29.13</v>
      </c>
      <c r="E2566" s="14" t="str">
        <f aca="false">IF(C2566="","",C2566*D2566/100)</f>
        <v/>
      </c>
      <c r="F2566" s="15" t="str">
        <f aca="false">IF(B2566&lt;5,"Go","Standard")</f>
        <v>Standard</v>
      </c>
    </row>
    <row r="2567" customFormat="false" ht="15" hidden="false" customHeight="true" outlineLevel="0" collapsed="false">
      <c r="A2567" s="10" t="n">
        <f aca="false">Einstellungen!$B$5+INT((ROW()-9)/24)</f>
        <v>46072</v>
      </c>
      <c r="B2567" s="11" t="n">
        <f aca="false">MOD(ROW()-9,24)</f>
        <v>14</v>
      </c>
      <c r="C2567" s="12"/>
      <c r="D2567" s="13" t="n">
        <f aca="false">IF(B2567&lt;5,Einstellungen!$B$3,Einstellungen!$B$4)</f>
        <v>29.13</v>
      </c>
      <c r="E2567" s="14" t="str">
        <f aca="false">IF(C2567="","",C2567*D2567/100)</f>
        <v/>
      </c>
      <c r="F2567" s="15" t="str">
        <f aca="false">IF(B2567&lt;5,"Go","Standard")</f>
        <v>Standard</v>
      </c>
    </row>
    <row r="2568" customFormat="false" ht="15" hidden="false" customHeight="true" outlineLevel="0" collapsed="false">
      <c r="A2568" s="10" t="n">
        <f aca="false">Einstellungen!$B$5+INT((ROW()-9)/24)</f>
        <v>46072</v>
      </c>
      <c r="B2568" s="11" t="n">
        <f aca="false">MOD(ROW()-9,24)</f>
        <v>15</v>
      </c>
      <c r="C2568" s="12"/>
      <c r="D2568" s="13" t="n">
        <f aca="false">IF(B2568&lt;5,Einstellungen!$B$3,Einstellungen!$B$4)</f>
        <v>29.13</v>
      </c>
      <c r="E2568" s="14" t="str">
        <f aca="false">IF(C2568="","",C2568*D2568/100)</f>
        <v/>
      </c>
      <c r="F2568" s="15" t="str">
        <f aca="false">IF(B2568&lt;5,"Go","Standard")</f>
        <v>Standard</v>
      </c>
    </row>
    <row r="2569" customFormat="false" ht="15" hidden="false" customHeight="true" outlineLevel="0" collapsed="false">
      <c r="A2569" s="10" t="n">
        <f aca="false">Einstellungen!$B$5+INT((ROW()-9)/24)</f>
        <v>46072</v>
      </c>
      <c r="B2569" s="11" t="n">
        <f aca="false">MOD(ROW()-9,24)</f>
        <v>16</v>
      </c>
      <c r="C2569" s="12"/>
      <c r="D2569" s="13" t="n">
        <f aca="false">IF(B2569&lt;5,Einstellungen!$B$3,Einstellungen!$B$4)</f>
        <v>29.13</v>
      </c>
      <c r="E2569" s="14" t="str">
        <f aca="false">IF(C2569="","",C2569*D2569/100)</f>
        <v/>
      </c>
      <c r="F2569" s="15" t="str">
        <f aca="false">IF(B2569&lt;5,"Go","Standard")</f>
        <v>Standard</v>
      </c>
    </row>
    <row r="2570" customFormat="false" ht="15" hidden="false" customHeight="true" outlineLevel="0" collapsed="false">
      <c r="A2570" s="10" t="n">
        <f aca="false">Einstellungen!$B$5+INT((ROW()-9)/24)</f>
        <v>46072</v>
      </c>
      <c r="B2570" s="11" t="n">
        <f aca="false">MOD(ROW()-9,24)</f>
        <v>17</v>
      </c>
      <c r="C2570" s="12"/>
      <c r="D2570" s="13" t="n">
        <f aca="false">IF(B2570&lt;5,Einstellungen!$B$3,Einstellungen!$B$4)</f>
        <v>29.13</v>
      </c>
      <c r="E2570" s="14" t="str">
        <f aca="false">IF(C2570="","",C2570*D2570/100)</f>
        <v/>
      </c>
      <c r="F2570" s="15" t="str">
        <f aca="false">IF(B2570&lt;5,"Go","Standard")</f>
        <v>Standard</v>
      </c>
    </row>
    <row r="2571" customFormat="false" ht="15" hidden="false" customHeight="true" outlineLevel="0" collapsed="false">
      <c r="A2571" s="10" t="n">
        <f aca="false">Einstellungen!$B$5+INT((ROW()-9)/24)</f>
        <v>46072</v>
      </c>
      <c r="B2571" s="11" t="n">
        <f aca="false">MOD(ROW()-9,24)</f>
        <v>18</v>
      </c>
      <c r="C2571" s="12"/>
      <c r="D2571" s="13" t="n">
        <f aca="false">IF(B2571&lt;5,Einstellungen!$B$3,Einstellungen!$B$4)</f>
        <v>29.13</v>
      </c>
      <c r="E2571" s="14" t="str">
        <f aca="false">IF(C2571="","",C2571*D2571/100)</f>
        <v/>
      </c>
      <c r="F2571" s="15" t="str">
        <f aca="false">IF(B2571&lt;5,"Go","Standard")</f>
        <v>Standard</v>
      </c>
    </row>
    <row r="2572" customFormat="false" ht="15" hidden="false" customHeight="true" outlineLevel="0" collapsed="false">
      <c r="A2572" s="10" t="n">
        <f aca="false">Einstellungen!$B$5+INT((ROW()-9)/24)</f>
        <v>46072</v>
      </c>
      <c r="B2572" s="11" t="n">
        <f aca="false">MOD(ROW()-9,24)</f>
        <v>19</v>
      </c>
      <c r="C2572" s="12"/>
      <c r="D2572" s="13" t="n">
        <f aca="false">IF(B2572&lt;5,Einstellungen!$B$3,Einstellungen!$B$4)</f>
        <v>29.13</v>
      </c>
      <c r="E2572" s="14" t="str">
        <f aca="false">IF(C2572="","",C2572*D2572/100)</f>
        <v/>
      </c>
      <c r="F2572" s="15" t="str">
        <f aca="false">IF(B2572&lt;5,"Go","Standard")</f>
        <v>Standard</v>
      </c>
    </row>
    <row r="2573" customFormat="false" ht="15" hidden="false" customHeight="true" outlineLevel="0" collapsed="false">
      <c r="A2573" s="10" t="n">
        <f aca="false">Einstellungen!$B$5+INT((ROW()-9)/24)</f>
        <v>46072</v>
      </c>
      <c r="B2573" s="11" t="n">
        <f aca="false">MOD(ROW()-9,24)</f>
        <v>20</v>
      </c>
      <c r="C2573" s="12"/>
      <c r="D2573" s="13" t="n">
        <f aca="false">IF(B2573&lt;5,Einstellungen!$B$3,Einstellungen!$B$4)</f>
        <v>29.13</v>
      </c>
      <c r="E2573" s="14" t="str">
        <f aca="false">IF(C2573="","",C2573*D2573/100)</f>
        <v/>
      </c>
      <c r="F2573" s="15" t="str">
        <f aca="false">IF(B2573&lt;5,"Go","Standard")</f>
        <v>Standard</v>
      </c>
    </row>
    <row r="2574" customFormat="false" ht="15" hidden="false" customHeight="true" outlineLevel="0" collapsed="false">
      <c r="A2574" s="10" t="n">
        <f aca="false">Einstellungen!$B$5+INT((ROW()-9)/24)</f>
        <v>46072</v>
      </c>
      <c r="B2574" s="11" t="n">
        <f aca="false">MOD(ROW()-9,24)</f>
        <v>21</v>
      </c>
      <c r="C2574" s="12"/>
      <c r="D2574" s="13" t="n">
        <f aca="false">IF(B2574&lt;5,Einstellungen!$B$3,Einstellungen!$B$4)</f>
        <v>29.13</v>
      </c>
      <c r="E2574" s="14" t="str">
        <f aca="false">IF(C2574="","",C2574*D2574/100)</f>
        <v/>
      </c>
      <c r="F2574" s="15" t="str">
        <f aca="false">IF(B2574&lt;5,"Go","Standard")</f>
        <v>Standard</v>
      </c>
    </row>
    <row r="2575" customFormat="false" ht="15" hidden="false" customHeight="true" outlineLevel="0" collapsed="false">
      <c r="A2575" s="10" t="n">
        <f aca="false">Einstellungen!$B$5+INT((ROW()-9)/24)</f>
        <v>46072</v>
      </c>
      <c r="B2575" s="11" t="n">
        <f aca="false">MOD(ROW()-9,24)</f>
        <v>22</v>
      </c>
      <c r="C2575" s="12"/>
      <c r="D2575" s="13" t="n">
        <f aca="false">IF(B2575&lt;5,Einstellungen!$B$3,Einstellungen!$B$4)</f>
        <v>29.13</v>
      </c>
      <c r="E2575" s="14" t="str">
        <f aca="false">IF(C2575="","",C2575*D2575/100)</f>
        <v/>
      </c>
      <c r="F2575" s="15" t="str">
        <f aca="false">IF(B2575&lt;5,"Go","Standard")</f>
        <v>Standard</v>
      </c>
    </row>
    <row r="2576" customFormat="false" ht="15" hidden="false" customHeight="true" outlineLevel="0" collapsed="false">
      <c r="A2576" s="10" t="n">
        <f aca="false">Einstellungen!$B$5+INT((ROW()-9)/24)</f>
        <v>46072</v>
      </c>
      <c r="B2576" s="11" t="n">
        <f aca="false">MOD(ROW()-9,24)</f>
        <v>23</v>
      </c>
      <c r="C2576" s="12"/>
      <c r="D2576" s="13" t="n">
        <f aca="false">IF(B2576&lt;5,Einstellungen!$B$3,Einstellungen!$B$4)</f>
        <v>29.13</v>
      </c>
      <c r="E2576" s="14" t="str">
        <f aca="false">IF(C2576="","",C2576*D2576/100)</f>
        <v/>
      </c>
      <c r="F2576" s="15" t="str">
        <f aca="false">IF(B2576&lt;5,"Go","Standard")</f>
        <v>Standard</v>
      </c>
    </row>
    <row r="2577" customFormat="false" ht="15" hidden="false" customHeight="true" outlineLevel="0" collapsed="false">
      <c r="A2577" s="10" t="n">
        <f aca="false">Einstellungen!$B$5+INT((ROW()-9)/24)</f>
        <v>46073</v>
      </c>
      <c r="B2577" s="11" t="n">
        <f aca="false">MOD(ROW()-9,24)</f>
        <v>0</v>
      </c>
      <c r="C2577" s="12"/>
      <c r="D2577" s="13" t="n">
        <f aca="false">IF(B2577&lt;5,Einstellungen!$B$3,Einstellungen!$B$4)</f>
        <v>15.92</v>
      </c>
      <c r="E2577" s="14" t="str">
        <f aca="false">IF(C2577="","",C2577*D2577/100)</f>
        <v/>
      </c>
      <c r="F2577" s="15" t="str">
        <f aca="false">IF(B2577&lt;5,"Go","Standard")</f>
        <v>Go</v>
      </c>
    </row>
    <row r="2578" customFormat="false" ht="15" hidden="false" customHeight="true" outlineLevel="0" collapsed="false">
      <c r="A2578" s="10" t="n">
        <f aca="false">Einstellungen!$B$5+INT((ROW()-9)/24)</f>
        <v>46073</v>
      </c>
      <c r="B2578" s="11" t="n">
        <f aca="false">MOD(ROW()-9,24)</f>
        <v>1</v>
      </c>
      <c r="C2578" s="12"/>
      <c r="D2578" s="13" t="n">
        <f aca="false">IF(B2578&lt;5,Einstellungen!$B$3,Einstellungen!$B$4)</f>
        <v>15.92</v>
      </c>
      <c r="E2578" s="14" t="str">
        <f aca="false">IF(C2578="","",C2578*D2578/100)</f>
        <v/>
      </c>
      <c r="F2578" s="15" t="str">
        <f aca="false">IF(B2578&lt;5,"Go","Standard")</f>
        <v>Go</v>
      </c>
    </row>
    <row r="2579" customFormat="false" ht="15" hidden="false" customHeight="true" outlineLevel="0" collapsed="false">
      <c r="A2579" s="10" t="n">
        <f aca="false">Einstellungen!$B$5+INT((ROW()-9)/24)</f>
        <v>46073</v>
      </c>
      <c r="B2579" s="11" t="n">
        <f aca="false">MOD(ROW()-9,24)</f>
        <v>2</v>
      </c>
      <c r="C2579" s="12"/>
      <c r="D2579" s="13" t="n">
        <f aca="false">IF(B2579&lt;5,Einstellungen!$B$3,Einstellungen!$B$4)</f>
        <v>15.92</v>
      </c>
      <c r="E2579" s="14" t="str">
        <f aca="false">IF(C2579="","",C2579*D2579/100)</f>
        <v/>
      </c>
      <c r="F2579" s="15" t="str">
        <f aca="false">IF(B2579&lt;5,"Go","Standard")</f>
        <v>Go</v>
      </c>
    </row>
    <row r="2580" customFormat="false" ht="15" hidden="false" customHeight="true" outlineLevel="0" collapsed="false">
      <c r="A2580" s="10" t="n">
        <f aca="false">Einstellungen!$B$5+INT((ROW()-9)/24)</f>
        <v>46073</v>
      </c>
      <c r="B2580" s="11" t="n">
        <f aca="false">MOD(ROW()-9,24)</f>
        <v>3</v>
      </c>
      <c r="C2580" s="12"/>
      <c r="D2580" s="13" t="n">
        <f aca="false">IF(B2580&lt;5,Einstellungen!$B$3,Einstellungen!$B$4)</f>
        <v>15.92</v>
      </c>
      <c r="E2580" s="14" t="str">
        <f aca="false">IF(C2580="","",C2580*D2580/100)</f>
        <v/>
      </c>
      <c r="F2580" s="15" t="str">
        <f aca="false">IF(B2580&lt;5,"Go","Standard")</f>
        <v>Go</v>
      </c>
    </row>
    <row r="2581" customFormat="false" ht="15" hidden="false" customHeight="true" outlineLevel="0" collapsed="false">
      <c r="A2581" s="10" t="n">
        <f aca="false">Einstellungen!$B$5+INT((ROW()-9)/24)</f>
        <v>46073</v>
      </c>
      <c r="B2581" s="11" t="n">
        <f aca="false">MOD(ROW()-9,24)</f>
        <v>4</v>
      </c>
      <c r="C2581" s="12"/>
      <c r="D2581" s="13" t="n">
        <f aca="false">IF(B2581&lt;5,Einstellungen!$B$3,Einstellungen!$B$4)</f>
        <v>15.92</v>
      </c>
      <c r="E2581" s="14" t="str">
        <f aca="false">IF(C2581="","",C2581*D2581/100)</f>
        <v/>
      </c>
      <c r="F2581" s="15" t="str">
        <f aca="false">IF(B2581&lt;5,"Go","Standard")</f>
        <v>Go</v>
      </c>
    </row>
    <row r="2582" customFormat="false" ht="15" hidden="false" customHeight="true" outlineLevel="0" collapsed="false">
      <c r="A2582" s="10" t="n">
        <f aca="false">Einstellungen!$B$5+INT((ROW()-9)/24)</f>
        <v>46073</v>
      </c>
      <c r="B2582" s="11" t="n">
        <f aca="false">MOD(ROW()-9,24)</f>
        <v>5</v>
      </c>
      <c r="C2582" s="12"/>
      <c r="D2582" s="13" t="n">
        <f aca="false">IF(B2582&lt;5,Einstellungen!$B$3,Einstellungen!$B$4)</f>
        <v>29.13</v>
      </c>
      <c r="E2582" s="14" t="str">
        <f aca="false">IF(C2582="","",C2582*D2582/100)</f>
        <v/>
      </c>
      <c r="F2582" s="15" t="str">
        <f aca="false">IF(B2582&lt;5,"Go","Standard")</f>
        <v>Standard</v>
      </c>
    </row>
    <row r="2583" customFormat="false" ht="15" hidden="false" customHeight="true" outlineLevel="0" collapsed="false">
      <c r="A2583" s="10" t="n">
        <f aca="false">Einstellungen!$B$5+INT((ROW()-9)/24)</f>
        <v>46073</v>
      </c>
      <c r="B2583" s="11" t="n">
        <f aca="false">MOD(ROW()-9,24)</f>
        <v>6</v>
      </c>
      <c r="C2583" s="12"/>
      <c r="D2583" s="13" t="n">
        <f aca="false">IF(B2583&lt;5,Einstellungen!$B$3,Einstellungen!$B$4)</f>
        <v>29.13</v>
      </c>
      <c r="E2583" s="14" t="str">
        <f aca="false">IF(C2583="","",C2583*D2583/100)</f>
        <v/>
      </c>
      <c r="F2583" s="15" t="str">
        <f aca="false">IF(B2583&lt;5,"Go","Standard")</f>
        <v>Standard</v>
      </c>
    </row>
    <row r="2584" customFormat="false" ht="15" hidden="false" customHeight="true" outlineLevel="0" collapsed="false">
      <c r="A2584" s="10" t="n">
        <f aca="false">Einstellungen!$B$5+INT((ROW()-9)/24)</f>
        <v>46073</v>
      </c>
      <c r="B2584" s="11" t="n">
        <f aca="false">MOD(ROW()-9,24)</f>
        <v>7</v>
      </c>
      <c r="C2584" s="12"/>
      <c r="D2584" s="13" t="n">
        <f aca="false">IF(B2584&lt;5,Einstellungen!$B$3,Einstellungen!$B$4)</f>
        <v>29.13</v>
      </c>
      <c r="E2584" s="14" t="str">
        <f aca="false">IF(C2584="","",C2584*D2584/100)</f>
        <v/>
      </c>
      <c r="F2584" s="15" t="str">
        <f aca="false">IF(B2584&lt;5,"Go","Standard")</f>
        <v>Standard</v>
      </c>
    </row>
    <row r="2585" customFormat="false" ht="15" hidden="false" customHeight="true" outlineLevel="0" collapsed="false">
      <c r="A2585" s="10" t="n">
        <f aca="false">Einstellungen!$B$5+INT((ROW()-9)/24)</f>
        <v>46073</v>
      </c>
      <c r="B2585" s="11" t="n">
        <f aca="false">MOD(ROW()-9,24)</f>
        <v>8</v>
      </c>
      <c r="C2585" s="12"/>
      <c r="D2585" s="13" t="n">
        <f aca="false">IF(B2585&lt;5,Einstellungen!$B$3,Einstellungen!$B$4)</f>
        <v>29.13</v>
      </c>
      <c r="E2585" s="14" t="str">
        <f aca="false">IF(C2585="","",C2585*D2585/100)</f>
        <v/>
      </c>
      <c r="F2585" s="15" t="str">
        <f aca="false">IF(B2585&lt;5,"Go","Standard")</f>
        <v>Standard</v>
      </c>
    </row>
    <row r="2586" customFormat="false" ht="15" hidden="false" customHeight="true" outlineLevel="0" collapsed="false">
      <c r="A2586" s="10" t="n">
        <f aca="false">Einstellungen!$B$5+INT((ROW()-9)/24)</f>
        <v>46073</v>
      </c>
      <c r="B2586" s="11" t="n">
        <f aca="false">MOD(ROW()-9,24)</f>
        <v>9</v>
      </c>
      <c r="C2586" s="12"/>
      <c r="D2586" s="13" t="n">
        <f aca="false">IF(B2586&lt;5,Einstellungen!$B$3,Einstellungen!$B$4)</f>
        <v>29.13</v>
      </c>
      <c r="E2586" s="14" t="str">
        <f aca="false">IF(C2586="","",C2586*D2586/100)</f>
        <v/>
      </c>
      <c r="F2586" s="15" t="str">
        <f aca="false">IF(B2586&lt;5,"Go","Standard")</f>
        <v>Standard</v>
      </c>
    </row>
    <row r="2587" customFormat="false" ht="15" hidden="false" customHeight="true" outlineLevel="0" collapsed="false">
      <c r="A2587" s="10" t="n">
        <f aca="false">Einstellungen!$B$5+INT((ROW()-9)/24)</f>
        <v>46073</v>
      </c>
      <c r="B2587" s="11" t="n">
        <f aca="false">MOD(ROW()-9,24)</f>
        <v>10</v>
      </c>
      <c r="C2587" s="12"/>
      <c r="D2587" s="13" t="n">
        <f aca="false">IF(B2587&lt;5,Einstellungen!$B$3,Einstellungen!$B$4)</f>
        <v>29.13</v>
      </c>
      <c r="E2587" s="14" t="str">
        <f aca="false">IF(C2587="","",C2587*D2587/100)</f>
        <v/>
      </c>
      <c r="F2587" s="15" t="str">
        <f aca="false">IF(B2587&lt;5,"Go","Standard")</f>
        <v>Standard</v>
      </c>
    </row>
    <row r="2588" customFormat="false" ht="15" hidden="false" customHeight="true" outlineLevel="0" collapsed="false">
      <c r="A2588" s="10" t="n">
        <f aca="false">Einstellungen!$B$5+INT((ROW()-9)/24)</f>
        <v>46073</v>
      </c>
      <c r="B2588" s="11" t="n">
        <f aca="false">MOD(ROW()-9,24)</f>
        <v>11</v>
      </c>
      <c r="C2588" s="12"/>
      <c r="D2588" s="13" t="n">
        <f aca="false">IF(B2588&lt;5,Einstellungen!$B$3,Einstellungen!$B$4)</f>
        <v>29.13</v>
      </c>
      <c r="E2588" s="14" t="str">
        <f aca="false">IF(C2588="","",C2588*D2588/100)</f>
        <v/>
      </c>
      <c r="F2588" s="15" t="str">
        <f aca="false">IF(B2588&lt;5,"Go","Standard")</f>
        <v>Standard</v>
      </c>
    </row>
    <row r="2589" customFormat="false" ht="15" hidden="false" customHeight="true" outlineLevel="0" collapsed="false">
      <c r="A2589" s="10" t="n">
        <f aca="false">Einstellungen!$B$5+INT((ROW()-9)/24)</f>
        <v>46073</v>
      </c>
      <c r="B2589" s="11" t="n">
        <f aca="false">MOD(ROW()-9,24)</f>
        <v>12</v>
      </c>
      <c r="C2589" s="12"/>
      <c r="D2589" s="13" t="n">
        <f aca="false">IF(B2589&lt;5,Einstellungen!$B$3,Einstellungen!$B$4)</f>
        <v>29.13</v>
      </c>
      <c r="E2589" s="14" t="str">
        <f aca="false">IF(C2589="","",C2589*D2589/100)</f>
        <v/>
      </c>
      <c r="F2589" s="15" t="str">
        <f aca="false">IF(B2589&lt;5,"Go","Standard")</f>
        <v>Standard</v>
      </c>
    </row>
    <row r="2590" customFormat="false" ht="15" hidden="false" customHeight="true" outlineLevel="0" collapsed="false">
      <c r="A2590" s="10" t="n">
        <f aca="false">Einstellungen!$B$5+INT((ROW()-9)/24)</f>
        <v>46073</v>
      </c>
      <c r="B2590" s="11" t="n">
        <f aca="false">MOD(ROW()-9,24)</f>
        <v>13</v>
      </c>
      <c r="C2590" s="12"/>
      <c r="D2590" s="13" t="n">
        <f aca="false">IF(B2590&lt;5,Einstellungen!$B$3,Einstellungen!$B$4)</f>
        <v>29.13</v>
      </c>
      <c r="E2590" s="14" t="str">
        <f aca="false">IF(C2590="","",C2590*D2590/100)</f>
        <v/>
      </c>
      <c r="F2590" s="15" t="str">
        <f aca="false">IF(B2590&lt;5,"Go","Standard")</f>
        <v>Standard</v>
      </c>
    </row>
    <row r="2591" customFormat="false" ht="15" hidden="false" customHeight="true" outlineLevel="0" collapsed="false">
      <c r="A2591" s="10" t="n">
        <f aca="false">Einstellungen!$B$5+INT((ROW()-9)/24)</f>
        <v>46073</v>
      </c>
      <c r="B2591" s="11" t="n">
        <f aca="false">MOD(ROW()-9,24)</f>
        <v>14</v>
      </c>
      <c r="C2591" s="12"/>
      <c r="D2591" s="13" t="n">
        <f aca="false">IF(B2591&lt;5,Einstellungen!$B$3,Einstellungen!$B$4)</f>
        <v>29.13</v>
      </c>
      <c r="E2591" s="14" t="str">
        <f aca="false">IF(C2591="","",C2591*D2591/100)</f>
        <v/>
      </c>
      <c r="F2591" s="15" t="str">
        <f aca="false">IF(B2591&lt;5,"Go","Standard")</f>
        <v>Standard</v>
      </c>
    </row>
    <row r="2592" customFormat="false" ht="15" hidden="false" customHeight="true" outlineLevel="0" collapsed="false">
      <c r="A2592" s="10" t="n">
        <f aca="false">Einstellungen!$B$5+INT((ROW()-9)/24)</f>
        <v>46073</v>
      </c>
      <c r="B2592" s="11" t="n">
        <f aca="false">MOD(ROW()-9,24)</f>
        <v>15</v>
      </c>
      <c r="C2592" s="12"/>
      <c r="D2592" s="13" t="n">
        <f aca="false">IF(B2592&lt;5,Einstellungen!$B$3,Einstellungen!$B$4)</f>
        <v>29.13</v>
      </c>
      <c r="E2592" s="14" t="str">
        <f aca="false">IF(C2592="","",C2592*D2592/100)</f>
        <v/>
      </c>
      <c r="F2592" s="15" t="str">
        <f aca="false">IF(B2592&lt;5,"Go","Standard")</f>
        <v>Standard</v>
      </c>
    </row>
    <row r="2593" customFormat="false" ht="15" hidden="false" customHeight="true" outlineLevel="0" collapsed="false">
      <c r="A2593" s="10" t="n">
        <f aca="false">Einstellungen!$B$5+INT((ROW()-9)/24)</f>
        <v>46073</v>
      </c>
      <c r="B2593" s="11" t="n">
        <f aca="false">MOD(ROW()-9,24)</f>
        <v>16</v>
      </c>
      <c r="C2593" s="12"/>
      <c r="D2593" s="13" t="n">
        <f aca="false">IF(B2593&lt;5,Einstellungen!$B$3,Einstellungen!$B$4)</f>
        <v>29.13</v>
      </c>
      <c r="E2593" s="14" t="str">
        <f aca="false">IF(C2593="","",C2593*D2593/100)</f>
        <v/>
      </c>
      <c r="F2593" s="15" t="str">
        <f aca="false">IF(B2593&lt;5,"Go","Standard")</f>
        <v>Standard</v>
      </c>
    </row>
    <row r="2594" customFormat="false" ht="15" hidden="false" customHeight="true" outlineLevel="0" collapsed="false">
      <c r="A2594" s="10" t="n">
        <f aca="false">Einstellungen!$B$5+INT((ROW()-9)/24)</f>
        <v>46073</v>
      </c>
      <c r="B2594" s="11" t="n">
        <f aca="false">MOD(ROW()-9,24)</f>
        <v>17</v>
      </c>
      <c r="C2594" s="12"/>
      <c r="D2594" s="13" t="n">
        <f aca="false">IF(B2594&lt;5,Einstellungen!$B$3,Einstellungen!$B$4)</f>
        <v>29.13</v>
      </c>
      <c r="E2594" s="14" t="str">
        <f aca="false">IF(C2594="","",C2594*D2594/100)</f>
        <v/>
      </c>
      <c r="F2594" s="15" t="str">
        <f aca="false">IF(B2594&lt;5,"Go","Standard")</f>
        <v>Standard</v>
      </c>
    </row>
    <row r="2595" customFormat="false" ht="15" hidden="false" customHeight="true" outlineLevel="0" collapsed="false">
      <c r="A2595" s="10" t="n">
        <f aca="false">Einstellungen!$B$5+INT((ROW()-9)/24)</f>
        <v>46073</v>
      </c>
      <c r="B2595" s="11" t="n">
        <f aca="false">MOD(ROW()-9,24)</f>
        <v>18</v>
      </c>
      <c r="C2595" s="12"/>
      <c r="D2595" s="13" t="n">
        <f aca="false">IF(B2595&lt;5,Einstellungen!$B$3,Einstellungen!$B$4)</f>
        <v>29.13</v>
      </c>
      <c r="E2595" s="14" t="str">
        <f aca="false">IF(C2595="","",C2595*D2595/100)</f>
        <v/>
      </c>
      <c r="F2595" s="15" t="str">
        <f aca="false">IF(B2595&lt;5,"Go","Standard")</f>
        <v>Standard</v>
      </c>
    </row>
    <row r="2596" customFormat="false" ht="15" hidden="false" customHeight="true" outlineLevel="0" collapsed="false">
      <c r="A2596" s="10" t="n">
        <f aca="false">Einstellungen!$B$5+INT((ROW()-9)/24)</f>
        <v>46073</v>
      </c>
      <c r="B2596" s="11" t="n">
        <f aca="false">MOD(ROW()-9,24)</f>
        <v>19</v>
      </c>
      <c r="C2596" s="12"/>
      <c r="D2596" s="13" t="n">
        <f aca="false">IF(B2596&lt;5,Einstellungen!$B$3,Einstellungen!$B$4)</f>
        <v>29.13</v>
      </c>
      <c r="E2596" s="14" t="str">
        <f aca="false">IF(C2596="","",C2596*D2596/100)</f>
        <v/>
      </c>
      <c r="F2596" s="15" t="str">
        <f aca="false">IF(B2596&lt;5,"Go","Standard")</f>
        <v>Standard</v>
      </c>
    </row>
    <row r="2597" customFormat="false" ht="15" hidden="false" customHeight="true" outlineLevel="0" collapsed="false">
      <c r="A2597" s="10" t="n">
        <f aca="false">Einstellungen!$B$5+INT((ROW()-9)/24)</f>
        <v>46073</v>
      </c>
      <c r="B2597" s="11" t="n">
        <f aca="false">MOD(ROW()-9,24)</f>
        <v>20</v>
      </c>
      <c r="C2597" s="12"/>
      <c r="D2597" s="13" t="n">
        <f aca="false">IF(B2597&lt;5,Einstellungen!$B$3,Einstellungen!$B$4)</f>
        <v>29.13</v>
      </c>
      <c r="E2597" s="14" t="str">
        <f aca="false">IF(C2597="","",C2597*D2597/100)</f>
        <v/>
      </c>
      <c r="F2597" s="15" t="str">
        <f aca="false">IF(B2597&lt;5,"Go","Standard")</f>
        <v>Standard</v>
      </c>
    </row>
    <row r="2598" customFormat="false" ht="15" hidden="false" customHeight="true" outlineLevel="0" collapsed="false">
      <c r="A2598" s="10" t="n">
        <f aca="false">Einstellungen!$B$5+INT((ROW()-9)/24)</f>
        <v>46073</v>
      </c>
      <c r="B2598" s="11" t="n">
        <f aca="false">MOD(ROW()-9,24)</f>
        <v>21</v>
      </c>
      <c r="C2598" s="12"/>
      <c r="D2598" s="13" t="n">
        <f aca="false">IF(B2598&lt;5,Einstellungen!$B$3,Einstellungen!$B$4)</f>
        <v>29.13</v>
      </c>
      <c r="E2598" s="14" t="str">
        <f aca="false">IF(C2598="","",C2598*D2598/100)</f>
        <v/>
      </c>
      <c r="F2598" s="15" t="str">
        <f aca="false">IF(B2598&lt;5,"Go","Standard")</f>
        <v>Standard</v>
      </c>
    </row>
    <row r="2599" customFormat="false" ht="15" hidden="false" customHeight="true" outlineLevel="0" collapsed="false">
      <c r="A2599" s="10" t="n">
        <f aca="false">Einstellungen!$B$5+INT((ROW()-9)/24)</f>
        <v>46073</v>
      </c>
      <c r="B2599" s="11" t="n">
        <f aca="false">MOD(ROW()-9,24)</f>
        <v>22</v>
      </c>
      <c r="C2599" s="12"/>
      <c r="D2599" s="13" t="n">
        <f aca="false">IF(B2599&lt;5,Einstellungen!$B$3,Einstellungen!$B$4)</f>
        <v>29.13</v>
      </c>
      <c r="E2599" s="14" t="str">
        <f aca="false">IF(C2599="","",C2599*D2599/100)</f>
        <v/>
      </c>
      <c r="F2599" s="15" t="str">
        <f aca="false">IF(B2599&lt;5,"Go","Standard")</f>
        <v>Standard</v>
      </c>
    </row>
    <row r="2600" customFormat="false" ht="15" hidden="false" customHeight="true" outlineLevel="0" collapsed="false">
      <c r="A2600" s="10" t="n">
        <f aca="false">Einstellungen!$B$5+INT((ROW()-9)/24)</f>
        <v>46073</v>
      </c>
      <c r="B2600" s="11" t="n">
        <f aca="false">MOD(ROW()-9,24)</f>
        <v>23</v>
      </c>
      <c r="C2600" s="12"/>
      <c r="D2600" s="13" t="n">
        <f aca="false">IF(B2600&lt;5,Einstellungen!$B$3,Einstellungen!$B$4)</f>
        <v>29.13</v>
      </c>
      <c r="E2600" s="14" t="str">
        <f aca="false">IF(C2600="","",C2600*D2600/100)</f>
        <v/>
      </c>
      <c r="F2600" s="15" t="str">
        <f aca="false">IF(B2600&lt;5,"Go","Standard")</f>
        <v>Standard</v>
      </c>
    </row>
    <row r="2601" customFormat="false" ht="15" hidden="false" customHeight="true" outlineLevel="0" collapsed="false">
      <c r="A2601" s="10" t="n">
        <f aca="false">Einstellungen!$B$5+INT((ROW()-9)/24)</f>
        <v>46074</v>
      </c>
      <c r="B2601" s="11" t="n">
        <f aca="false">MOD(ROW()-9,24)</f>
        <v>0</v>
      </c>
      <c r="C2601" s="12"/>
      <c r="D2601" s="13" t="n">
        <f aca="false">IF(B2601&lt;5,Einstellungen!$B$3,Einstellungen!$B$4)</f>
        <v>15.92</v>
      </c>
      <c r="E2601" s="14" t="str">
        <f aca="false">IF(C2601="","",C2601*D2601/100)</f>
        <v/>
      </c>
      <c r="F2601" s="15" t="str">
        <f aca="false">IF(B2601&lt;5,"Go","Standard")</f>
        <v>Go</v>
      </c>
    </row>
    <row r="2602" customFormat="false" ht="15" hidden="false" customHeight="true" outlineLevel="0" collapsed="false">
      <c r="A2602" s="10" t="n">
        <f aca="false">Einstellungen!$B$5+INT((ROW()-9)/24)</f>
        <v>46074</v>
      </c>
      <c r="B2602" s="11" t="n">
        <f aca="false">MOD(ROW()-9,24)</f>
        <v>1</v>
      </c>
      <c r="C2602" s="12"/>
      <c r="D2602" s="13" t="n">
        <f aca="false">IF(B2602&lt;5,Einstellungen!$B$3,Einstellungen!$B$4)</f>
        <v>15.92</v>
      </c>
      <c r="E2602" s="14" t="str">
        <f aca="false">IF(C2602="","",C2602*D2602/100)</f>
        <v/>
      </c>
      <c r="F2602" s="15" t="str">
        <f aca="false">IF(B2602&lt;5,"Go","Standard")</f>
        <v>Go</v>
      </c>
    </row>
    <row r="2603" customFormat="false" ht="15" hidden="false" customHeight="true" outlineLevel="0" collapsed="false">
      <c r="A2603" s="10" t="n">
        <f aca="false">Einstellungen!$B$5+INT((ROW()-9)/24)</f>
        <v>46074</v>
      </c>
      <c r="B2603" s="11" t="n">
        <f aca="false">MOD(ROW()-9,24)</f>
        <v>2</v>
      </c>
      <c r="C2603" s="12"/>
      <c r="D2603" s="13" t="n">
        <f aca="false">IF(B2603&lt;5,Einstellungen!$B$3,Einstellungen!$B$4)</f>
        <v>15.92</v>
      </c>
      <c r="E2603" s="14" t="str">
        <f aca="false">IF(C2603="","",C2603*D2603/100)</f>
        <v/>
      </c>
      <c r="F2603" s="15" t="str">
        <f aca="false">IF(B2603&lt;5,"Go","Standard")</f>
        <v>Go</v>
      </c>
    </row>
    <row r="2604" customFormat="false" ht="15" hidden="false" customHeight="true" outlineLevel="0" collapsed="false">
      <c r="A2604" s="10" t="n">
        <f aca="false">Einstellungen!$B$5+INT((ROW()-9)/24)</f>
        <v>46074</v>
      </c>
      <c r="B2604" s="11" t="n">
        <f aca="false">MOD(ROW()-9,24)</f>
        <v>3</v>
      </c>
      <c r="C2604" s="12"/>
      <c r="D2604" s="13" t="n">
        <f aca="false">IF(B2604&lt;5,Einstellungen!$B$3,Einstellungen!$B$4)</f>
        <v>15.92</v>
      </c>
      <c r="E2604" s="14" t="str">
        <f aca="false">IF(C2604="","",C2604*D2604/100)</f>
        <v/>
      </c>
      <c r="F2604" s="15" t="str">
        <f aca="false">IF(B2604&lt;5,"Go","Standard")</f>
        <v>Go</v>
      </c>
    </row>
    <row r="2605" customFormat="false" ht="15" hidden="false" customHeight="true" outlineLevel="0" collapsed="false">
      <c r="A2605" s="10" t="n">
        <f aca="false">Einstellungen!$B$5+INT((ROW()-9)/24)</f>
        <v>46074</v>
      </c>
      <c r="B2605" s="11" t="n">
        <f aca="false">MOD(ROW()-9,24)</f>
        <v>4</v>
      </c>
      <c r="C2605" s="12"/>
      <c r="D2605" s="13" t="n">
        <f aca="false">IF(B2605&lt;5,Einstellungen!$B$3,Einstellungen!$B$4)</f>
        <v>15.92</v>
      </c>
      <c r="E2605" s="14" t="str">
        <f aca="false">IF(C2605="","",C2605*D2605/100)</f>
        <v/>
      </c>
      <c r="F2605" s="15" t="str">
        <f aca="false">IF(B2605&lt;5,"Go","Standard")</f>
        <v>Go</v>
      </c>
    </row>
    <row r="2606" customFormat="false" ht="15" hidden="false" customHeight="true" outlineLevel="0" collapsed="false">
      <c r="A2606" s="10" t="n">
        <f aca="false">Einstellungen!$B$5+INT((ROW()-9)/24)</f>
        <v>46074</v>
      </c>
      <c r="B2606" s="11" t="n">
        <f aca="false">MOD(ROW()-9,24)</f>
        <v>5</v>
      </c>
      <c r="C2606" s="12"/>
      <c r="D2606" s="13" t="n">
        <f aca="false">IF(B2606&lt;5,Einstellungen!$B$3,Einstellungen!$B$4)</f>
        <v>29.13</v>
      </c>
      <c r="E2606" s="14" t="str">
        <f aca="false">IF(C2606="","",C2606*D2606/100)</f>
        <v/>
      </c>
      <c r="F2606" s="15" t="str">
        <f aca="false">IF(B2606&lt;5,"Go","Standard")</f>
        <v>Standard</v>
      </c>
    </row>
    <row r="2607" customFormat="false" ht="15" hidden="false" customHeight="true" outlineLevel="0" collapsed="false">
      <c r="A2607" s="10" t="n">
        <f aca="false">Einstellungen!$B$5+INT((ROW()-9)/24)</f>
        <v>46074</v>
      </c>
      <c r="B2607" s="11" t="n">
        <f aca="false">MOD(ROW()-9,24)</f>
        <v>6</v>
      </c>
      <c r="C2607" s="12"/>
      <c r="D2607" s="13" t="n">
        <f aca="false">IF(B2607&lt;5,Einstellungen!$B$3,Einstellungen!$B$4)</f>
        <v>29.13</v>
      </c>
      <c r="E2607" s="14" t="str">
        <f aca="false">IF(C2607="","",C2607*D2607/100)</f>
        <v/>
      </c>
      <c r="F2607" s="15" t="str">
        <f aca="false">IF(B2607&lt;5,"Go","Standard")</f>
        <v>Standard</v>
      </c>
    </row>
    <row r="2608" customFormat="false" ht="15" hidden="false" customHeight="true" outlineLevel="0" collapsed="false">
      <c r="A2608" s="10" t="n">
        <f aca="false">Einstellungen!$B$5+INT((ROW()-9)/24)</f>
        <v>46074</v>
      </c>
      <c r="B2608" s="11" t="n">
        <f aca="false">MOD(ROW()-9,24)</f>
        <v>7</v>
      </c>
      <c r="C2608" s="12"/>
      <c r="D2608" s="13" t="n">
        <f aca="false">IF(B2608&lt;5,Einstellungen!$B$3,Einstellungen!$B$4)</f>
        <v>29.13</v>
      </c>
      <c r="E2608" s="14" t="str">
        <f aca="false">IF(C2608="","",C2608*D2608/100)</f>
        <v/>
      </c>
      <c r="F2608" s="15" t="str">
        <f aca="false">IF(B2608&lt;5,"Go","Standard")</f>
        <v>Standard</v>
      </c>
    </row>
    <row r="2609" customFormat="false" ht="15" hidden="false" customHeight="true" outlineLevel="0" collapsed="false">
      <c r="A2609" s="10" t="n">
        <f aca="false">Einstellungen!$B$5+INT((ROW()-9)/24)</f>
        <v>46074</v>
      </c>
      <c r="B2609" s="11" t="n">
        <f aca="false">MOD(ROW()-9,24)</f>
        <v>8</v>
      </c>
      <c r="C2609" s="12"/>
      <c r="D2609" s="13" t="n">
        <f aca="false">IF(B2609&lt;5,Einstellungen!$B$3,Einstellungen!$B$4)</f>
        <v>29.13</v>
      </c>
      <c r="E2609" s="14" t="str">
        <f aca="false">IF(C2609="","",C2609*D2609/100)</f>
        <v/>
      </c>
      <c r="F2609" s="15" t="str">
        <f aca="false">IF(B2609&lt;5,"Go","Standard")</f>
        <v>Standard</v>
      </c>
    </row>
    <row r="2610" customFormat="false" ht="15" hidden="false" customHeight="true" outlineLevel="0" collapsed="false">
      <c r="A2610" s="10" t="n">
        <f aca="false">Einstellungen!$B$5+INT((ROW()-9)/24)</f>
        <v>46074</v>
      </c>
      <c r="B2610" s="11" t="n">
        <f aca="false">MOD(ROW()-9,24)</f>
        <v>9</v>
      </c>
      <c r="C2610" s="12"/>
      <c r="D2610" s="13" t="n">
        <f aca="false">IF(B2610&lt;5,Einstellungen!$B$3,Einstellungen!$B$4)</f>
        <v>29.13</v>
      </c>
      <c r="E2610" s="14" t="str">
        <f aca="false">IF(C2610="","",C2610*D2610/100)</f>
        <v/>
      </c>
      <c r="F2610" s="15" t="str">
        <f aca="false">IF(B2610&lt;5,"Go","Standard")</f>
        <v>Standard</v>
      </c>
    </row>
    <row r="2611" customFormat="false" ht="15" hidden="false" customHeight="true" outlineLevel="0" collapsed="false">
      <c r="A2611" s="10" t="n">
        <f aca="false">Einstellungen!$B$5+INT((ROW()-9)/24)</f>
        <v>46074</v>
      </c>
      <c r="B2611" s="11" t="n">
        <f aca="false">MOD(ROW()-9,24)</f>
        <v>10</v>
      </c>
      <c r="C2611" s="12"/>
      <c r="D2611" s="13" t="n">
        <f aca="false">IF(B2611&lt;5,Einstellungen!$B$3,Einstellungen!$B$4)</f>
        <v>29.13</v>
      </c>
      <c r="E2611" s="14" t="str">
        <f aca="false">IF(C2611="","",C2611*D2611/100)</f>
        <v/>
      </c>
      <c r="F2611" s="15" t="str">
        <f aca="false">IF(B2611&lt;5,"Go","Standard")</f>
        <v>Standard</v>
      </c>
    </row>
    <row r="2612" customFormat="false" ht="15" hidden="false" customHeight="true" outlineLevel="0" collapsed="false">
      <c r="A2612" s="10" t="n">
        <f aca="false">Einstellungen!$B$5+INT((ROW()-9)/24)</f>
        <v>46074</v>
      </c>
      <c r="B2612" s="11" t="n">
        <f aca="false">MOD(ROW()-9,24)</f>
        <v>11</v>
      </c>
      <c r="C2612" s="12"/>
      <c r="D2612" s="13" t="n">
        <f aca="false">IF(B2612&lt;5,Einstellungen!$B$3,Einstellungen!$B$4)</f>
        <v>29.13</v>
      </c>
      <c r="E2612" s="14" t="str">
        <f aca="false">IF(C2612="","",C2612*D2612/100)</f>
        <v/>
      </c>
      <c r="F2612" s="15" t="str">
        <f aca="false">IF(B2612&lt;5,"Go","Standard")</f>
        <v>Standard</v>
      </c>
    </row>
    <row r="2613" customFormat="false" ht="15" hidden="false" customHeight="true" outlineLevel="0" collapsed="false">
      <c r="A2613" s="10" t="n">
        <f aca="false">Einstellungen!$B$5+INT((ROW()-9)/24)</f>
        <v>46074</v>
      </c>
      <c r="B2613" s="11" t="n">
        <f aca="false">MOD(ROW()-9,24)</f>
        <v>12</v>
      </c>
      <c r="C2613" s="12"/>
      <c r="D2613" s="13" t="n">
        <f aca="false">IF(B2613&lt;5,Einstellungen!$B$3,Einstellungen!$B$4)</f>
        <v>29.13</v>
      </c>
      <c r="E2613" s="14" t="str">
        <f aca="false">IF(C2613="","",C2613*D2613/100)</f>
        <v/>
      </c>
      <c r="F2613" s="15" t="str">
        <f aca="false">IF(B2613&lt;5,"Go","Standard")</f>
        <v>Standard</v>
      </c>
    </row>
    <row r="2614" customFormat="false" ht="15" hidden="false" customHeight="true" outlineLevel="0" collapsed="false">
      <c r="A2614" s="10" t="n">
        <f aca="false">Einstellungen!$B$5+INT((ROW()-9)/24)</f>
        <v>46074</v>
      </c>
      <c r="B2614" s="11" t="n">
        <f aca="false">MOD(ROW()-9,24)</f>
        <v>13</v>
      </c>
      <c r="C2614" s="12"/>
      <c r="D2614" s="13" t="n">
        <f aca="false">IF(B2614&lt;5,Einstellungen!$B$3,Einstellungen!$B$4)</f>
        <v>29.13</v>
      </c>
      <c r="E2614" s="14" t="str">
        <f aca="false">IF(C2614="","",C2614*D2614/100)</f>
        <v/>
      </c>
      <c r="F2614" s="15" t="str">
        <f aca="false">IF(B2614&lt;5,"Go","Standard")</f>
        <v>Standard</v>
      </c>
    </row>
    <row r="2615" customFormat="false" ht="15" hidden="false" customHeight="true" outlineLevel="0" collapsed="false">
      <c r="A2615" s="10" t="n">
        <f aca="false">Einstellungen!$B$5+INT((ROW()-9)/24)</f>
        <v>46074</v>
      </c>
      <c r="B2615" s="11" t="n">
        <f aca="false">MOD(ROW()-9,24)</f>
        <v>14</v>
      </c>
      <c r="C2615" s="12"/>
      <c r="D2615" s="13" t="n">
        <f aca="false">IF(B2615&lt;5,Einstellungen!$B$3,Einstellungen!$B$4)</f>
        <v>29.13</v>
      </c>
      <c r="E2615" s="14" t="str">
        <f aca="false">IF(C2615="","",C2615*D2615/100)</f>
        <v/>
      </c>
      <c r="F2615" s="15" t="str">
        <f aca="false">IF(B2615&lt;5,"Go","Standard")</f>
        <v>Standard</v>
      </c>
    </row>
    <row r="2616" customFormat="false" ht="15" hidden="false" customHeight="true" outlineLevel="0" collapsed="false">
      <c r="A2616" s="10" t="n">
        <f aca="false">Einstellungen!$B$5+INT((ROW()-9)/24)</f>
        <v>46074</v>
      </c>
      <c r="B2616" s="11" t="n">
        <f aca="false">MOD(ROW()-9,24)</f>
        <v>15</v>
      </c>
      <c r="C2616" s="12"/>
      <c r="D2616" s="13" t="n">
        <f aca="false">IF(B2616&lt;5,Einstellungen!$B$3,Einstellungen!$B$4)</f>
        <v>29.13</v>
      </c>
      <c r="E2616" s="14" t="str">
        <f aca="false">IF(C2616="","",C2616*D2616/100)</f>
        <v/>
      </c>
      <c r="F2616" s="15" t="str">
        <f aca="false">IF(B2616&lt;5,"Go","Standard")</f>
        <v>Standard</v>
      </c>
    </row>
    <row r="2617" customFormat="false" ht="15" hidden="false" customHeight="true" outlineLevel="0" collapsed="false">
      <c r="A2617" s="10" t="n">
        <f aca="false">Einstellungen!$B$5+INT((ROW()-9)/24)</f>
        <v>46074</v>
      </c>
      <c r="B2617" s="11" t="n">
        <f aca="false">MOD(ROW()-9,24)</f>
        <v>16</v>
      </c>
      <c r="C2617" s="12"/>
      <c r="D2617" s="13" t="n">
        <f aca="false">IF(B2617&lt;5,Einstellungen!$B$3,Einstellungen!$B$4)</f>
        <v>29.13</v>
      </c>
      <c r="E2617" s="14" t="str">
        <f aca="false">IF(C2617="","",C2617*D2617/100)</f>
        <v/>
      </c>
      <c r="F2617" s="15" t="str">
        <f aca="false">IF(B2617&lt;5,"Go","Standard")</f>
        <v>Standard</v>
      </c>
    </row>
    <row r="2618" customFormat="false" ht="15" hidden="false" customHeight="true" outlineLevel="0" collapsed="false">
      <c r="A2618" s="10" t="n">
        <f aca="false">Einstellungen!$B$5+INT((ROW()-9)/24)</f>
        <v>46074</v>
      </c>
      <c r="B2618" s="11" t="n">
        <f aca="false">MOD(ROW()-9,24)</f>
        <v>17</v>
      </c>
      <c r="C2618" s="12"/>
      <c r="D2618" s="13" t="n">
        <f aca="false">IF(B2618&lt;5,Einstellungen!$B$3,Einstellungen!$B$4)</f>
        <v>29.13</v>
      </c>
      <c r="E2618" s="14" t="str">
        <f aca="false">IF(C2618="","",C2618*D2618/100)</f>
        <v/>
      </c>
      <c r="F2618" s="15" t="str">
        <f aca="false">IF(B2618&lt;5,"Go","Standard")</f>
        <v>Standard</v>
      </c>
    </row>
    <row r="2619" customFormat="false" ht="15" hidden="false" customHeight="true" outlineLevel="0" collapsed="false">
      <c r="A2619" s="10" t="n">
        <f aca="false">Einstellungen!$B$5+INT((ROW()-9)/24)</f>
        <v>46074</v>
      </c>
      <c r="B2619" s="11" t="n">
        <f aca="false">MOD(ROW()-9,24)</f>
        <v>18</v>
      </c>
      <c r="C2619" s="12"/>
      <c r="D2619" s="13" t="n">
        <f aca="false">IF(B2619&lt;5,Einstellungen!$B$3,Einstellungen!$B$4)</f>
        <v>29.13</v>
      </c>
      <c r="E2619" s="14" t="str">
        <f aca="false">IF(C2619="","",C2619*D2619/100)</f>
        <v/>
      </c>
      <c r="F2619" s="15" t="str">
        <f aca="false">IF(B2619&lt;5,"Go","Standard")</f>
        <v>Standard</v>
      </c>
    </row>
    <row r="2620" customFormat="false" ht="15" hidden="false" customHeight="true" outlineLevel="0" collapsed="false">
      <c r="A2620" s="10" t="n">
        <f aca="false">Einstellungen!$B$5+INT((ROW()-9)/24)</f>
        <v>46074</v>
      </c>
      <c r="B2620" s="11" t="n">
        <f aca="false">MOD(ROW()-9,24)</f>
        <v>19</v>
      </c>
      <c r="C2620" s="12"/>
      <c r="D2620" s="13" t="n">
        <f aca="false">IF(B2620&lt;5,Einstellungen!$B$3,Einstellungen!$B$4)</f>
        <v>29.13</v>
      </c>
      <c r="E2620" s="14" t="str">
        <f aca="false">IF(C2620="","",C2620*D2620/100)</f>
        <v/>
      </c>
      <c r="F2620" s="15" t="str">
        <f aca="false">IF(B2620&lt;5,"Go","Standard")</f>
        <v>Standard</v>
      </c>
    </row>
    <row r="2621" customFormat="false" ht="15" hidden="false" customHeight="true" outlineLevel="0" collapsed="false">
      <c r="A2621" s="10" t="n">
        <f aca="false">Einstellungen!$B$5+INT((ROW()-9)/24)</f>
        <v>46074</v>
      </c>
      <c r="B2621" s="11" t="n">
        <f aca="false">MOD(ROW()-9,24)</f>
        <v>20</v>
      </c>
      <c r="C2621" s="12"/>
      <c r="D2621" s="13" t="n">
        <f aca="false">IF(B2621&lt;5,Einstellungen!$B$3,Einstellungen!$B$4)</f>
        <v>29.13</v>
      </c>
      <c r="E2621" s="14" t="str">
        <f aca="false">IF(C2621="","",C2621*D2621/100)</f>
        <v/>
      </c>
      <c r="F2621" s="15" t="str">
        <f aca="false">IF(B2621&lt;5,"Go","Standard")</f>
        <v>Standard</v>
      </c>
    </row>
    <row r="2622" customFormat="false" ht="15" hidden="false" customHeight="true" outlineLevel="0" collapsed="false">
      <c r="A2622" s="10" t="n">
        <f aca="false">Einstellungen!$B$5+INT((ROW()-9)/24)</f>
        <v>46074</v>
      </c>
      <c r="B2622" s="11" t="n">
        <f aca="false">MOD(ROW()-9,24)</f>
        <v>21</v>
      </c>
      <c r="C2622" s="12"/>
      <c r="D2622" s="13" t="n">
        <f aca="false">IF(B2622&lt;5,Einstellungen!$B$3,Einstellungen!$B$4)</f>
        <v>29.13</v>
      </c>
      <c r="E2622" s="14" t="str">
        <f aca="false">IF(C2622="","",C2622*D2622/100)</f>
        <v/>
      </c>
      <c r="F2622" s="15" t="str">
        <f aca="false">IF(B2622&lt;5,"Go","Standard")</f>
        <v>Standard</v>
      </c>
    </row>
    <row r="2623" customFormat="false" ht="15" hidden="false" customHeight="true" outlineLevel="0" collapsed="false">
      <c r="A2623" s="10" t="n">
        <f aca="false">Einstellungen!$B$5+INT((ROW()-9)/24)</f>
        <v>46074</v>
      </c>
      <c r="B2623" s="11" t="n">
        <f aca="false">MOD(ROW()-9,24)</f>
        <v>22</v>
      </c>
      <c r="C2623" s="12"/>
      <c r="D2623" s="13" t="n">
        <f aca="false">IF(B2623&lt;5,Einstellungen!$B$3,Einstellungen!$B$4)</f>
        <v>29.13</v>
      </c>
      <c r="E2623" s="14" t="str">
        <f aca="false">IF(C2623="","",C2623*D2623/100)</f>
        <v/>
      </c>
      <c r="F2623" s="15" t="str">
        <f aca="false">IF(B2623&lt;5,"Go","Standard")</f>
        <v>Standard</v>
      </c>
    </row>
    <row r="2624" customFormat="false" ht="15" hidden="false" customHeight="true" outlineLevel="0" collapsed="false">
      <c r="A2624" s="10" t="n">
        <f aca="false">Einstellungen!$B$5+INT((ROW()-9)/24)</f>
        <v>46074</v>
      </c>
      <c r="B2624" s="11" t="n">
        <f aca="false">MOD(ROW()-9,24)</f>
        <v>23</v>
      </c>
      <c r="C2624" s="12"/>
      <c r="D2624" s="13" t="n">
        <f aca="false">IF(B2624&lt;5,Einstellungen!$B$3,Einstellungen!$B$4)</f>
        <v>29.13</v>
      </c>
      <c r="E2624" s="14" t="str">
        <f aca="false">IF(C2624="","",C2624*D2624/100)</f>
        <v/>
      </c>
      <c r="F2624" s="15" t="str">
        <f aca="false">IF(B2624&lt;5,"Go","Standard")</f>
        <v>Standard</v>
      </c>
    </row>
    <row r="2625" customFormat="false" ht="15" hidden="false" customHeight="true" outlineLevel="0" collapsed="false">
      <c r="A2625" s="10" t="n">
        <f aca="false">Einstellungen!$B$5+INT((ROW()-9)/24)</f>
        <v>46075</v>
      </c>
      <c r="B2625" s="11" t="n">
        <f aca="false">MOD(ROW()-9,24)</f>
        <v>0</v>
      </c>
      <c r="C2625" s="12"/>
      <c r="D2625" s="13" t="n">
        <f aca="false">IF(B2625&lt;5,Einstellungen!$B$3,Einstellungen!$B$4)</f>
        <v>15.92</v>
      </c>
      <c r="E2625" s="14" t="str">
        <f aca="false">IF(C2625="","",C2625*D2625/100)</f>
        <v/>
      </c>
      <c r="F2625" s="15" t="str">
        <f aca="false">IF(B2625&lt;5,"Go","Standard")</f>
        <v>Go</v>
      </c>
    </row>
    <row r="2626" customFormat="false" ht="15" hidden="false" customHeight="true" outlineLevel="0" collapsed="false">
      <c r="A2626" s="10" t="n">
        <f aca="false">Einstellungen!$B$5+INT((ROW()-9)/24)</f>
        <v>46075</v>
      </c>
      <c r="B2626" s="11" t="n">
        <f aca="false">MOD(ROW()-9,24)</f>
        <v>1</v>
      </c>
      <c r="C2626" s="12"/>
      <c r="D2626" s="13" t="n">
        <f aca="false">IF(B2626&lt;5,Einstellungen!$B$3,Einstellungen!$B$4)</f>
        <v>15.92</v>
      </c>
      <c r="E2626" s="14" t="str">
        <f aca="false">IF(C2626="","",C2626*D2626/100)</f>
        <v/>
      </c>
      <c r="F2626" s="15" t="str">
        <f aca="false">IF(B2626&lt;5,"Go","Standard")</f>
        <v>Go</v>
      </c>
    </row>
    <row r="2627" customFormat="false" ht="15" hidden="false" customHeight="true" outlineLevel="0" collapsed="false">
      <c r="A2627" s="10" t="n">
        <f aca="false">Einstellungen!$B$5+INT((ROW()-9)/24)</f>
        <v>46075</v>
      </c>
      <c r="B2627" s="11" t="n">
        <f aca="false">MOD(ROW()-9,24)</f>
        <v>2</v>
      </c>
      <c r="C2627" s="12"/>
      <c r="D2627" s="13" t="n">
        <f aca="false">IF(B2627&lt;5,Einstellungen!$B$3,Einstellungen!$B$4)</f>
        <v>15.92</v>
      </c>
      <c r="E2627" s="14" t="str">
        <f aca="false">IF(C2627="","",C2627*D2627/100)</f>
        <v/>
      </c>
      <c r="F2627" s="15" t="str">
        <f aca="false">IF(B2627&lt;5,"Go","Standard")</f>
        <v>Go</v>
      </c>
    </row>
    <row r="2628" customFormat="false" ht="15" hidden="false" customHeight="true" outlineLevel="0" collapsed="false">
      <c r="A2628" s="10" t="n">
        <f aca="false">Einstellungen!$B$5+INT((ROW()-9)/24)</f>
        <v>46075</v>
      </c>
      <c r="B2628" s="11" t="n">
        <f aca="false">MOD(ROW()-9,24)</f>
        <v>3</v>
      </c>
      <c r="C2628" s="12"/>
      <c r="D2628" s="13" t="n">
        <f aca="false">IF(B2628&lt;5,Einstellungen!$B$3,Einstellungen!$B$4)</f>
        <v>15.92</v>
      </c>
      <c r="E2628" s="14" t="str">
        <f aca="false">IF(C2628="","",C2628*D2628/100)</f>
        <v/>
      </c>
      <c r="F2628" s="15" t="str">
        <f aca="false">IF(B2628&lt;5,"Go","Standard")</f>
        <v>Go</v>
      </c>
    </row>
    <row r="2629" customFormat="false" ht="15" hidden="false" customHeight="true" outlineLevel="0" collapsed="false">
      <c r="A2629" s="10" t="n">
        <f aca="false">Einstellungen!$B$5+INT((ROW()-9)/24)</f>
        <v>46075</v>
      </c>
      <c r="B2629" s="11" t="n">
        <f aca="false">MOD(ROW()-9,24)</f>
        <v>4</v>
      </c>
      <c r="C2629" s="12"/>
      <c r="D2629" s="13" t="n">
        <f aca="false">IF(B2629&lt;5,Einstellungen!$B$3,Einstellungen!$B$4)</f>
        <v>15.92</v>
      </c>
      <c r="E2629" s="14" t="str">
        <f aca="false">IF(C2629="","",C2629*D2629/100)</f>
        <v/>
      </c>
      <c r="F2629" s="15" t="str">
        <f aca="false">IF(B2629&lt;5,"Go","Standard")</f>
        <v>Go</v>
      </c>
    </row>
    <row r="2630" customFormat="false" ht="15" hidden="false" customHeight="true" outlineLevel="0" collapsed="false">
      <c r="A2630" s="10" t="n">
        <f aca="false">Einstellungen!$B$5+INT((ROW()-9)/24)</f>
        <v>46075</v>
      </c>
      <c r="B2630" s="11" t="n">
        <f aca="false">MOD(ROW()-9,24)</f>
        <v>5</v>
      </c>
      <c r="C2630" s="12"/>
      <c r="D2630" s="13" t="n">
        <f aca="false">IF(B2630&lt;5,Einstellungen!$B$3,Einstellungen!$B$4)</f>
        <v>29.13</v>
      </c>
      <c r="E2630" s="14" t="str">
        <f aca="false">IF(C2630="","",C2630*D2630/100)</f>
        <v/>
      </c>
      <c r="F2630" s="15" t="str">
        <f aca="false">IF(B2630&lt;5,"Go","Standard")</f>
        <v>Standard</v>
      </c>
    </row>
    <row r="2631" customFormat="false" ht="15" hidden="false" customHeight="true" outlineLevel="0" collapsed="false">
      <c r="A2631" s="10" t="n">
        <f aca="false">Einstellungen!$B$5+INT((ROW()-9)/24)</f>
        <v>46075</v>
      </c>
      <c r="B2631" s="11" t="n">
        <f aca="false">MOD(ROW()-9,24)</f>
        <v>6</v>
      </c>
      <c r="C2631" s="12"/>
      <c r="D2631" s="13" t="n">
        <f aca="false">IF(B2631&lt;5,Einstellungen!$B$3,Einstellungen!$B$4)</f>
        <v>29.13</v>
      </c>
      <c r="E2631" s="14" t="str">
        <f aca="false">IF(C2631="","",C2631*D2631/100)</f>
        <v/>
      </c>
      <c r="F2631" s="15" t="str">
        <f aca="false">IF(B2631&lt;5,"Go","Standard")</f>
        <v>Standard</v>
      </c>
    </row>
    <row r="2632" customFormat="false" ht="15" hidden="false" customHeight="true" outlineLevel="0" collapsed="false">
      <c r="A2632" s="10" t="n">
        <f aca="false">Einstellungen!$B$5+INT((ROW()-9)/24)</f>
        <v>46075</v>
      </c>
      <c r="B2632" s="11" t="n">
        <f aca="false">MOD(ROW()-9,24)</f>
        <v>7</v>
      </c>
      <c r="C2632" s="12"/>
      <c r="D2632" s="13" t="n">
        <f aca="false">IF(B2632&lt;5,Einstellungen!$B$3,Einstellungen!$B$4)</f>
        <v>29.13</v>
      </c>
      <c r="E2632" s="14" t="str">
        <f aca="false">IF(C2632="","",C2632*D2632/100)</f>
        <v/>
      </c>
      <c r="F2632" s="15" t="str">
        <f aca="false">IF(B2632&lt;5,"Go","Standard")</f>
        <v>Standard</v>
      </c>
    </row>
    <row r="2633" customFormat="false" ht="15" hidden="false" customHeight="true" outlineLevel="0" collapsed="false">
      <c r="A2633" s="10" t="n">
        <f aca="false">Einstellungen!$B$5+INT((ROW()-9)/24)</f>
        <v>46075</v>
      </c>
      <c r="B2633" s="11" t="n">
        <f aca="false">MOD(ROW()-9,24)</f>
        <v>8</v>
      </c>
      <c r="C2633" s="12"/>
      <c r="D2633" s="13" t="n">
        <f aca="false">IF(B2633&lt;5,Einstellungen!$B$3,Einstellungen!$B$4)</f>
        <v>29.13</v>
      </c>
      <c r="E2633" s="14" t="str">
        <f aca="false">IF(C2633="","",C2633*D2633/100)</f>
        <v/>
      </c>
      <c r="F2633" s="15" t="str">
        <f aca="false">IF(B2633&lt;5,"Go","Standard")</f>
        <v>Standard</v>
      </c>
    </row>
    <row r="2634" customFormat="false" ht="15" hidden="false" customHeight="true" outlineLevel="0" collapsed="false">
      <c r="A2634" s="10" t="n">
        <f aca="false">Einstellungen!$B$5+INT((ROW()-9)/24)</f>
        <v>46075</v>
      </c>
      <c r="B2634" s="11" t="n">
        <f aca="false">MOD(ROW()-9,24)</f>
        <v>9</v>
      </c>
      <c r="C2634" s="12"/>
      <c r="D2634" s="13" t="n">
        <f aca="false">IF(B2634&lt;5,Einstellungen!$B$3,Einstellungen!$B$4)</f>
        <v>29.13</v>
      </c>
      <c r="E2634" s="14" t="str">
        <f aca="false">IF(C2634="","",C2634*D2634/100)</f>
        <v/>
      </c>
      <c r="F2634" s="15" t="str">
        <f aca="false">IF(B2634&lt;5,"Go","Standard")</f>
        <v>Standard</v>
      </c>
    </row>
    <row r="2635" customFormat="false" ht="15" hidden="false" customHeight="true" outlineLevel="0" collapsed="false">
      <c r="A2635" s="10" t="n">
        <f aca="false">Einstellungen!$B$5+INT((ROW()-9)/24)</f>
        <v>46075</v>
      </c>
      <c r="B2635" s="11" t="n">
        <f aca="false">MOD(ROW()-9,24)</f>
        <v>10</v>
      </c>
      <c r="C2635" s="12"/>
      <c r="D2635" s="13" t="n">
        <f aca="false">IF(B2635&lt;5,Einstellungen!$B$3,Einstellungen!$B$4)</f>
        <v>29.13</v>
      </c>
      <c r="E2635" s="14" t="str">
        <f aca="false">IF(C2635="","",C2635*D2635/100)</f>
        <v/>
      </c>
      <c r="F2635" s="15" t="str">
        <f aca="false">IF(B2635&lt;5,"Go","Standard")</f>
        <v>Standard</v>
      </c>
    </row>
    <row r="2636" customFormat="false" ht="15" hidden="false" customHeight="true" outlineLevel="0" collapsed="false">
      <c r="A2636" s="10" t="n">
        <f aca="false">Einstellungen!$B$5+INT((ROW()-9)/24)</f>
        <v>46075</v>
      </c>
      <c r="B2636" s="11" t="n">
        <f aca="false">MOD(ROW()-9,24)</f>
        <v>11</v>
      </c>
      <c r="C2636" s="12"/>
      <c r="D2636" s="13" t="n">
        <f aca="false">IF(B2636&lt;5,Einstellungen!$B$3,Einstellungen!$B$4)</f>
        <v>29.13</v>
      </c>
      <c r="E2636" s="14" t="str">
        <f aca="false">IF(C2636="","",C2636*D2636/100)</f>
        <v/>
      </c>
      <c r="F2636" s="15" t="str">
        <f aca="false">IF(B2636&lt;5,"Go","Standard")</f>
        <v>Standard</v>
      </c>
    </row>
    <row r="2637" customFormat="false" ht="15" hidden="false" customHeight="true" outlineLevel="0" collapsed="false">
      <c r="A2637" s="10" t="n">
        <f aca="false">Einstellungen!$B$5+INT((ROW()-9)/24)</f>
        <v>46075</v>
      </c>
      <c r="B2637" s="11" t="n">
        <f aca="false">MOD(ROW()-9,24)</f>
        <v>12</v>
      </c>
      <c r="C2637" s="12"/>
      <c r="D2637" s="13" t="n">
        <f aca="false">IF(B2637&lt;5,Einstellungen!$B$3,Einstellungen!$B$4)</f>
        <v>29.13</v>
      </c>
      <c r="E2637" s="14" t="str">
        <f aca="false">IF(C2637="","",C2637*D2637/100)</f>
        <v/>
      </c>
      <c r="F2637" s="15" t="str">
        <f aca="false">IF(B2637&lt;5,"Go","Standard")</f>
        <v>Standard</v>
      </c>
    </row>
    <row r="2638" customFormat="false" ht="15" hidden="false" customHeight="true" outlineLevel="0" collapsed="false">
      <c r="A2638" s="10" t="n">
        <f aca="false">Einstellungen!$B$5+INT((ROW()-9)/24)</f>
        <v>46075</v>
      </c>
      <c r="B2638" s="11" t="n">
        <f aca="false">MOD(ROW()-9,24)</f>
        <v>13</v>
      </c>
      <c r="C2638" s="12"/>
      <c r="D2638" s="13" t="n">
        <f aca="false">IF(B2638&lt;5,Einstellungen!$B$3,Einstellungen!$B$4)</f>
        <v>29.13</v>
      </c>
      <c r="E2638" s="14" t="str">
        <f aca="false">IF(C2638="","",C2638*D2638/100)</f>
        <v/>
      </c>
      <c r="F2638" s="15" t="str">
        <f aca="false">IF(B2638&lt;5,"Go","Standard")</f>
        <v>Standard</v>
      </c>
    </row>
    <row r="2639" customFormat="false" ht="15" hidden="false" customHeight="true" outlineLevel="0" collapsed="false">
      <c r="A2639" s="10" t="n">
        <f aca="false">Einstellungen!$B$5+INT((ROW()-9)/24)</f>
        <v>46075</v>
      </c>
      <c r="B2639" s="11" t="n">
        <f aca="false">MOD(ROW()-9,24)</f>
        <v>14</v>
      </c>
      <c r="C2639" s="12"/>
      <c r="D2639" s="13" t="n">
        <f aca="false">IF(B2639&lt;5,Einstellungen!$B$3,Einstellungen!$B$4)</f>
        <v>29.13</v>
      </c>
      <c r="E2639" s="14" t="str">
        <f aca="false">IF(C2639="","",C2639*D2639/100)</f>
        <v/>
      </c>
      <c r="F2639" s="15" t="str">
        <f aca="false">IF(B2639&lt;5,"Go","Standard")</f>
        <v>Standard</v>
      </c>
    </row>
    <row r="2640" customFormat="false" ht="15" hidden="false" customHeight="true" outlineLevel="0" collapsed="false">
      <c r="A2640" s="10" t="n">
        <f aca="false">Einstellungen!$B$5+INT((ROW()-9)/24)</f>
        <v>46075</v>
      </c>
      <c r="B2640" s="11" t="n">
        <f aca="false">MOD(ROW()-9,24)</f>
        <v>15</v>
      </c>
      <c r="C2640" s="12"/>
      <c r="D2640" s="13" t="n">
        <f aca="false">IF(B2640&lt;5,Einstellungen!$B$3,Einstellungen!$B$4)</f>
        <v>29.13</v>
      </c>
      <c r="E2640" s="14" t="str">
        <f aca="false">IF(C2640="","",C2640*D2640/100)</f>
        <v/>
      </c>
      <c r="F2640" s="15" t="str">
        <f aca="false">IF(B2640&lt;5,"Go","Standard")</f>
        <v>Standard</v>
      </c>
    </row>
    <row r="2641" customFormat="false" ht="15" hidden="false" customHeight="true" outlineLevel="0" collapsed="false">
      <c r="A2641" s="10" t="n">
        <f aca="false">Einstellungen!$B$5+INT((ROW()-9)/24)</f>
        <v>46075</v>
      </c>
      <c r="B2641" s="11" t="n">
        <f aca="false">MOD(ROW()-9,24)</f>
        <v>16</v>
      </c>
      <c r="C2641" s="12"/>
      <c r="D2641" s="13" t="n">
        <f aca="false">IF(B2641&lt;5,Einstellungen!$B$3,Einstellungen!$B$4)</f>
        <v>29.13</v>
      </c>
      <c r="E2641" s="14" t="str">
        <f aca="false">IF(C2641="","",C2641*D2641/100)</f>
        <v/>
      </c>
      <c r="F2641" s="15" t="str">
        <f aca="false">IF(B2641&lt;5,"Go","Standard")</f>
        <v>Standard</v>
      </c>
    </row>
    <row r="2642" customFormat="false" ht="15" hidden="false" customHeight="true" outlineLevel="0" collapsed="false">
      <c r="A2642" s="10" t="n">
        <f aca="false">Einstellungen!$B$5+INT((ROW()-9)/24)</f>
        <v>46075</v>
      </c>
      <c r="B2642" s="11" t="n">
        <f aca="false">MOD(ROW()-9,24)</f>
        <v>17</v>
      </c>
      <c r="C2642" s="12"/>
      <c r="D2642" s="13" t="n">
        <f aca="false">IF(B2642&lt;5,Einstellungen!$B$3,Einstellungen!$B$4)</f>
        <v>29.13</v>
      </c>
      <c r="E2642" s="14" t="str">
        <f aca="false">IF(C2642="","",C2642*D2642/100)</f>
        <v/>
      </c>
      <c r="F2642" s="15" t="str">
        <f aca="false">IF(B2642&lt;5,"Go","Standard")</f>
        <v>Standard</v>
      </c>
    </row>
    <row r="2643" customFormat="false" ht="15" hidden="false" customHeight="true" outlineLevel="0" collapsed="false">
      <c r="A2643" s="10" t="n">
        <f aca="false">Einstellungen!$B$5+INT((ROW()-9)/24)</f>
        <v>46075</v>
      </c>
      <c r="B2643" s="11" t="n">
        <f aca="false">MOD(ROW()-9,24)</f>
        <v>18</v>
      </c>
      <c r="C2643" s="12"/>
      <c r="D2643" s="13" t="n">
        <f aca="false">IF(B2643&lt;5,Einstellungen!$B$3,Einstellungen!$B$4)</f>
        <v>29.13</v>
      </c>
      <c r="E2643" s="14" t="str">
        <f aca="false">IF(C2643="","",C2643*D2643/100)</f>
        <v/>
      </c>
      <c r="F2643" s="15" t="str">
        <f aca="false">IF(B2643&lt;5,"Go","Standard")</f>
        <v>Standard</v>
      </c>
    </row>
    <row r="2644" customFormat="false" ht="15" hidden="false" customHeight="true" outlineLevel="0" collapsed="false">
      <c r="A2644" s="10" t="n">
        <f aca="false">Einstellungen!$B$5+INT((ROW()-9)/24)</f>
        <v>46075</v>
      </c>
      <c r="B2644" s="11" t="n">
        <f aca="false">MOD(ROW()-9,24)</f>
        <v>19</v>
      </c>
      <c r="C2644" s="12"/>
      <c r="D2644" s="13" t="n">
        <f aca="false">IF(B2644&lt;5,Einstellungen!$B$3,Einstellungen!$B$4)</f>
        <v>29.13</v>
      </c>
      <c r="E2644" s="14" t="str">
        <f aca="false">IF(C2644="","",C2644*D2644/100)</f>
        <v/>
      </c>
      <c r="F2644" s="15" t="str">
        <f aca="false">IF(B2644&lt;5,"Go","Standard")</f>
        <v>Standard</v>
      </c>
    </row>
    <row r="2645" customFormat="false" ht="15" hidden="false" customHeight="true" outlineLevel="0" collapsed="false">
      <c r="A2645" s="10" t="n">
        <f aca="false">Einstellungen!$B$5+INT((ROW()-9)/24)</f>
        <v>46075</v>
      </c>
      <c r="B2645" s="11" t="n">
        <f aca="false">MOD(ROW()-9,24)</f>
        <v>20</v>
      </c>
      <c r="C2645" s="12"/>
      <c r="D2645" s="13" t="n">
        <f aca="false">IF(B2645&lt;5,Einstellungen!$B$3,Einstellungen!$B$4)</f>
        <v>29.13</v>
      </c>
      <c r="E2645" s="14" t="str">
        <f aca="false">IF(C2645="","",C2645*D2645/100)</f>
        <v/>
      </c>
      <c r="F2645" s="15" t="str">
        <f aca="false">IF(B2645&lt;5,"Go","Standard")</f>
        <v>Standard</v>
      </c>
    </row>
    <row r="2646" customFormat="false" ht="15" hidden="false" customHeight="true" outlineLevel="0" collapsed="false">
      <c r="A2646" s="10" t="n">
        <f aca="false">Einstellungen!$B$5+INT((ROW()-9)/24)</f>
        <v>46075</v>
      </c>
      <c r="B2646" s="11" t="n">
        <f aca="false">MOD(ROW()-9,24)</f>
        <v>21</v>
      </c>
      <c r="C2646" s="12"/>
      <c r="D2646" s="13" t="n">
        <f aca="false">IF(B2646&lt;5,Einstellungen!$B$3,Einstellungen!$B$4)</f>
        <v>29.13</v>
      </c>
      <c r="E2646" s="14" t="str">
        <f aca="false">IF(C2646="","",C2646*D2646/100)</f>
        <v/>
      </c>
      <c r="F2646" s="15" t="str">
        <f aca="false">IF(B2646&lt;5,"Go","Standard")</f>
        <v>Standard</v>
      </c>
    </row>
    <row r="2647" customFormat="false" ht="15" hidden="false" customHeight="true" outlineLevel="0" collapsed="false">
      <c r="A2647" s="10" t="n">
        <f aca="false">Einstellungen!$B$5+INT((ROW()-9)/24)</f>
        <v>46075</v>
      </c>
      <c r="B2647" s="11" t="n">
        <f aca="false">MOD(ROW()-9,24)</f>
        <v>22</v>
      </c>
      <c r="C2647" s="12"/>
      <c r="D2647" s="13" t="n">
        <f aca="false">IF(B2647&lt;5,Einstellungen!$B$3,Einstellungen!$B$4)</f>
        <v>29.13</v>
      </c>
      <c r="E2647" s="14" t="str">
        <f aca="false">IF(C2647="","",C2647*D2647/100)</f>
        <v/>
      </c>
      <c r="F2647" s="15" t="str">
        <f aca="false">IF(B2647&lt;5,"Go","Standard")</f>
        <v>Standard</v>
      </c>
    </row>
    <row r="2648" customFormat="false" ht="15" hidden="false" customHeight="true" outlineLevel="0" collapsed="false">
      <c r="A2648" s="10" t="n">
        <f aca="false">Einstellungen!$B$5+INT((ROW()-9)/24)</f>
        <v>46075</v>
      </c>
      <c r="B2648" s="11" t="n">
        <f aca="false">MOD(ROW()-9,24)</f>
        <v>23</v>
      </c>
      <c r="C2648" s="12"/>
      <c r="D2648" s="13" t="n">
        <f aca="false">IF(B2648&lt;5,Einstellungen!$B$3,Einstellungen!$B$4)</f>
        <v>29.13</v>
      </c>
      <c r="E2648" s="14" t="str">
        <f aca="false">IF(C2648="","",C2648*D2648/100)</f>
        <v/>
      </c>
      <c r="F2648" s="15" t="str">
        <f aca="false">IF(B2648&lt;5,"Go","Standard")</f>
        <v>Standard</v>
      </c>
    </row>
    <row r="2649" customFormat="false" ht="15" hidden="false" customHeight="true" outlineLevel="0" collapsed="false">
      <c r="A2649" s="10" t="n">
        <f aca="false">Einstellungen!$B$5+INT((ROW()-9)/24)</f>
        <v>46076</v>
      </c>
      <c r="B2649" s="11" t="n">
        <f aca="false">MOD(ROW()-9,24)</f>
        <v>0</v>
      </c>
      <c r="C2649" s="12"/>
      <c r="D2649" s="13" t="n">
        <f aca="false">IF(B2649&lt;5,Einstellungen!$B$3,Einstellungen!$B$4)</f>
        <v>15.92</v>
      </c>
      <c r="E2649" s="14" t="str">
        <f aca="false">IF(C2649="","",C2649*D2649/100)</f>
        <v/>
      </c>
      <c r="F2649" s="15" t="str">
        <f aca="false">IF(B2649&lt;5,"Go","Standard")</f>
        <v>Go</v>
      </c>
    </row>
    <row r="2650" customFormat="false" ht="15" hidden="false" customHeight="true" outlineLevel="0" collapsed="false">
      <c r="A2650" s="10" t="n">
        <f aca="false">Einstellungen!$B$5+INT((ROW()-9)/24)</f>
        <v>46076</v>
      </c>
      <c r="B2650" s="11" t="n">
        <f aca="false">MOD(ROW()-9,24)</f>
        <v>1</v>
      </c>
      <c r="C2650" s="12"/>
      <c r="D2650" s="13" t="n">
        <f aca="false">IF(B2650&lt;5,Einstellungen!$B$3,Einstellungen!$B$4)</f>
        <v>15.92</v>
      </c>
      <c r="E2650" s="14" t="str">
        <f aca="false">IF(C2650="","",C2650*D2650/100)</f>
        <v/>
      </c>
      <c r="F2650" s="15" t="str">
        <f aca="false">IF(B2650&lt;5,"Go","Standard")</f>
        <v>Go</v>
      </c>
    </row>
    <row r="2651" customFormat="false" ht="15" hidden="false" customHeight="true" outlineLevel="0" collapsed="false">
      <c r="A2651" s="10" t="n">
        <f aca="false">Einstellungen!$B$5+INT((ROW()-9)/24)</f>
        <v>46076</v>
      </c>
      <c r="B2651" s="11" t="n">
        <f aca="false">MOD(ROW()-9,24)</f>
        <v>2</v>
      </c>
      <c r="C2651" s="12"/>
      <c r="D2651" s="13" t="n">
        <f aca="false">IF(B2651&lt;5,Einstellungen!$B$3,Einstellungen!$B$4)</f>
        <v>15.92</v>
      </c>
      <c r="E2651" s="14" t="str">
        <f aca="false">IF(C2651="","",C2651*D2651/100)</f>
        <v/>
      </c>
      <c r="F2651" s="15" t="str">
        <f aca="false">IF(B2651&lt;5,"Go","Standard")</f>
        <v>Go</v>
      </c>
    </row>
    <row r="2652" customFormat="false" ht="15" hidden="false" customHeight="true" outlineLevel="0" collapsed="false">
      <c r="A2652" s="10" t="n">
        <f aca="false">Einstellungen!$B$5+INT((ROW()-9)/24)</f>
        <v>46076</v>
      </c>
      <c r="B2652" s="11" t="n">
        <f aca="false">MOD(ROW()-9,24)</f>
        <v>3</v>
      </c>
      <c r="C2652" s="12"/>
      <c r="D2652" s="13" t="n">
        <f aca="false">IF(B2652&lt;5,Einstellungen!$B$3,Einstellungen!$B$4)</f>
        <v>15.92</v>
      </c>
      <c r="E2652" s="14" t="str">
        <f aca="false">IF(C2652="","",C2652*D2652/100)</f>
        <v/>
      </c>
      <c r="F2652" s="15" t="str">
        <f aca="false">IF(B2652&lt;5,"Go","Standard")</f>
        <v>Go</v>
      </c>
    </row>
    <row r="2653" customFormat="false" ht="15" hidden="false" customHeight="true" outlineLevel="0" collapsed="false">
      <c r="A2653" s="10" t="n">
        <f aca="false">Einstellungen!$B$5+INT((ROW()-9)/24)</f>
        <v>46076</v>
      </c>
      <c r="B2653" s="11" t="n">
        <f aca="false">MOD(ROW()-9,24)</f>
        <v>4</v>
      </c>
      <c r="C2653" s="12"/>
      <c r="D2653" s="13" t="n">
        <f aca="false">IF(B2653&lt;5,Einstellungen!$B$3,Einstellungen!$B$4)</f>
        <v>15.92</v>
      </c>
      <c r="E2653" s="14" t="str">
        <f aca="false">IF(C2653="","",C2653*D2653/100)</f>
        <v/>
      </c>
      <c r="F2653" s="15" t="str">
        <f aca="false">IF(B2653&lt;5,"Go","Standard")</f>
        <v>Go</v>
      </c>
    </row>
    <row r="2654" customFormat="false" ht="15" hidden="false" customHeight="true" outlineLevel="0" collapsed="false">
      <c r="A2654" s="10" t="n">
        <f aca="false">Einstellungen!$B$5+INT((ROW()-9)/24)</f>
        <v>46076</v>
      </c>
      <c r="B2654" s="11" t="n">
        <f aca="false">MOD(ROW()-9,24)</f>
        <v>5</v>
      </c>
      <c r="C2654" s="12"/>
      <c r="D2654" s="13" t="n">
        <f aca="false">IF(B2654&lt;5,Einstellungen!$B$3,Einstellungen!$B$4)</f>
        <v>29.13</v>
      </c>
      <c r="E2654" s="14" t="str">
        <f aca="false">IF(C2654="","",C2654*D2654/100)</f>
        <v/>
      </c>
      <c r="F2654" s="15" t="str">
        <f aca="false">IF(B2654&lt;5,"Go","Standard")</f>
        <v>Standard</v>
      </c>
    </row>
    <row r="2655" customFormat="false" ht="15" hidden="false" customHeight="true" outlineLevel="0" collapsed="false">
      <c r="A2655" s="10" t="n">
        <f aca="false">Einstellungen!$B$5+INT((ROW()-9)/24)</f>
        <v>46076</v>
      </c>
      <c r="B2655" s="11" t="n">
        <f aca="false">MOD(ROW()-9,24)</f>
        <v>6</v>
      </c>
      <c r="C2655" s="12"/>
      <c r="D2655" s="13" t="n">
        <f aca="false">IF(B2655&lt;5,Einstellungen!$B$3,Einstellungen!$B$4)</f>
        <v>29.13</v>
      </c>
      <c r="E2655" s="14" t="str">
        <f aca="false">IF(C2655="","",C2655*D2655/100)</f>
        <v/>
      </c>
      <c r="F2655" s="15" t="str">
        <f aca="false">IF(B2655&lt;5,"Go","Standard")</f>
        <v>Standard</v>
      </c>
    </row>
    <row r="2656" customFormat="false" ht="15" hidden="false" customHeight="true" outlineLevel="0" collapsed="false">
      <c r="A2656" s="10" t="n">
        <f aca="false">Einstellungen!$B$5+INT((ROW()-9)/24)</f>
        <v>46076</v>
      </c>
      <c r="B2656" s="11" t="n">
        <f aca="false">MOD(ROW()-9,24)</f>
        <v>7</v>
      </c>
      <c r="C2656" s="12"/>
      <c r="D2656" s="13" t="n">
        <f aca="false">IF(B2656&lt;5,Einstellungen!$B$3,Einstellungen!$B$4)</f>
        <v>29.13</v>
      </c>
      <c r="E2656" s="14" t="str">
        <f aca="false">IF(C2656="","",C2656*D2656/100)</f>
        <v/>
      </c>
      <c r="F2656" s="15" t="str">
        <f aca="false">IF(B2656&lt;5,"Go","Standard")</f>
        <v>Standard</v>
      </c>
    </row>
    <row r="2657" customFormat="false" ht="15" hidden="false" customHeight="true" outlineLevel="0" collapsed="false">
      <c r="A2657" s="10" t="n">
        <f aca="false">Einstellungen!$B$5+INT((ROW()-9)/24)</f>
        <v>46076</v>
      </c>
      <c r="B2657" s="11" t="n">
        <f aca="false">MOD(ROW()-9,24)</f>
        <v>8</v>
      </c>
      <c r="C2657" s="12"/>
      <c r="D2657" s="13" t="n">
        <f aca="false">IF(B2657&lt;5,Einstellungen!$B$3,Einstellungen!$B$4)</f>
        <v>29.13</v>
      </c>
      <c r="E2657" s="14" t="str">
        <f aca="false">IF(C2657="","",C2657*D2657/100)</f>
        <v/>
      </c>
      <c r="F2657" s="15" t="str">
        <f aca="false">IF(B2657&lt;5,"Go","Standard")</f>
        <v>Standard</v>
      </c>
    </row>
    <row r="2658" customFormat="false" ht="15" hidden="false" customHeight="true" outlineLevel="0" collapsed="false">
      <c r="A2658" s="10" t="n">
        <f aca="false">Einstellungen!$B$5+INT((ROW()-9)/24)</f>
        <v>46076</v>
      </c>
      <c r="B2658" s="11" t="n">
        <f aca="false">MOD(ROW()-9,24)</f>
        <v>9</v>
      </c>
      <c r="C2658" s="12"/>
      <c r="D2658" s="13" t="n">
        <f aca="false">IF(B2658&lt;5,Einstellungen!$B$3,Einstellungen!$B$4)</f>
        <v>29.13</v>
      </c>
      <c r="E2658" s="14" t="str">
        <f aca="false">IF(C2658="","",C2658*D2658/100)</f>
        <v/>
      </c>
      <c r="F2658" s="15" t="str">
        <f aca="false">IF(B2658&lt;5,"Go","Standard")</f>
        <v>Standard</v>
      </c>
    </row>
    <row r="2659" customFormat="false" ht="15" hidden="false" customHeight="true" outlineLevel="0" collapsed="false">
      <c r="A2659" s="10" t="n">
        <f aca="false">Einstellungen!$B$5+INT((ROW()-9)/24)</f>
        <v>46076</v>
      </c>
      <c r="B2659" s="11" t="n">
        <f aca="false">MOD(ROW()-9,24)</f>
        <v>10</v>
      </c>
      <c r="C2659" s="12"/>
      <c r="D2659" s="13" t="n">
        <f aca="false">IF(B2659&lt;5,Einstellungen!$B$3,Einstellungen!$B$4)</f>
        <v>29.13</v>
      </c>
      <c r="E2659" s="14" t="str">
        <f aca="false">IF(C2659="","",C2659*D2659/100)</f>
        <v/>
      </c>
      <c r="F2659" s="15" t="str">
        <f aca="false">IF(B2659&lt;5,"Go","Standard")</f>
        <v>Standard</v>
      </c>
    </row>
    <row r="2660" customFormat="false" ht="15" hidden="false" customHeight="true" outlineLevel="0" collapsed="false">
      <c r="A2660" s="10" t="n">
        <f aca="false">Einstellungen!$B$5+INT((ROW()-9)/24)</f>
        <v>46076</v>
      </c>
      <c r="B2660" s="11" t="n">
        <f aca="false">MOD(ROW()-9,24)</f>
        <v>11</v>
      </c>
      <c r="C2660" s="12"/>
      <c r="D2660" s="13" t="n">
        <f aca="false">IF(B2660&lt;5,Einstellungen!$B$3,Einstellungen!$B$4)</f>
        <v>29.13</v>
      </c>
      <c r="E2660" s="14" t="str">
        <f aca="false">IF(C2660="","",C2660*D2660/100)</f>
        <v/>
      </c>
      <c r="F2660" s="15" t="str">
        <f aca="false">IF(B2660&lt;5,"Go","Standard")</f>
        <v>Standard</v>
      </c>
    </row>
    <row r="2661" customFormat="false" ht="15" hidden="false" customHeight="true" outlineLevel="0" collapsed="false">
      <c r="A2661" s="10" t="n">
        <f aca="false">Einstellungen!$B$5+INT((ROW()-9)/24)</f>
        <v>46076</v>
      </c>
      <c r="B2661" s="11" t="n">
        <f aca="false">MOD(ROW()-9,24)</f>
        <v>12</v>
      </c>
      <c r="C2661" s="12"/>
      <c r="D2661" s="13" t="n">
        <f aca="false">IF(B2661&lt;5,Einstellungen!$B$3,Einstellungen!$B$4)</f>
        <v>29.13</v>
      </c>
      <c r="E2661" s="14" t="str">
        <f aca="false">IF(C2661="","",C2661*D2661/100)</f>
        <v/>
      </c>
      <c r="F2661" s="15" t="str">
        <f aca="false">IF(B2661&lt;5,"Go","Standard")</f>
        <v>Standard</v>
      </c>
    </row>
    <row r="2662" customFormat="false" ht="15" hidden="false" customHeight="true" outlineLevel="0" collapsed="false">
      <c r="A2662" s="10" t="n">
        <f aca="false">Einstellungen!$B$5+INT((ROW()-9)/24)</f>
        <v>46076</v>
      </c>
      <c r="B2662" s="11" t="n">
        <f aca="false">MOD(ROW()-9,24)</f>
        <v>13</v>
      </c>
      <c r="C2662" s="12"/>
      <c r="D2662" s="13" t="n">
        <f aca="false">IF(B2662&lt;5,Einstellungen!$B$3,Einstellungen!$B$4)</f>
        <v>29.13</v>
      </c>
      <c r="E2662" s="14" t="str">
        <f aca="false">IF(C2662="","",C2662*D2662/100)</f>
        <v/>
      </c>
      <c r="F2662" s="15" t="str">
        <f aca="false">IF(B2662&lt;5,"Go","Standard")</f>
        <v>Standard</v>
      </c>
    </row>
    <row r="2663" customFormat="false" ht="15" hidden="false" customHeight="true" outlineLevel="0" collapsed="false">
      <c r="A2663" s="10" t="n">
        <f aca="false">Einstellungen!$B$5+INT((ROW()-9)/24)</f>
        <v>46076</v>
      </c>
      <c r="B2663" s="11" t="n">
        <f aca="false">MOD(ROW()-9,24)</f>
        <v>14</v>
      </c>
      <c r="C2663" s="12"/>
      <c r="D2663" s="13" t="n">
        <f aca="false">IF(B2663&lt;5,Einstellungen!$B$3,Einstellungen!$B$4)</f>
        <v>29.13</v>
      </c>
      <c r="E2663" s="14" t="str">
        <f aca="false">IF(C2663="","",C2663*D2663/100)</f>
        <v/>
      </c>
      <c r="F2663" s="15" t="str">
        <f aca="false">IF(B2663&lt;5,"Go","Standard")</f>
        <v>Standard</v>
      </c>
    </row>
    <row r="2664" customFormat="false" ht="15" hidden="false" customHeight="true" outlineLevel="0" collapsed="false">
      <c r="A2664" s="10" t="n">
        <f aca="false">Einstellungen!$B$5+INT((ROW()-9)/24)</f>
        <v>46076</v>
      </c>
      <c r="B2664" s="11" t="n">
        <f aca="false">MOD(ROW()-9,24)</f>
        <v>15</v>
      </c>
      <c r="C2664" s="12"/>
      <c r="D2664" s="13" t="n">
        <f aca="false">IF(B2664&lt;5,Einstellungen!$B$3,Einstellungen!$B$4)</f>
        <v>29.13</v>
      </c>
      <c r="E2664" s="14" t="str">
        <f aca="false">IF(C2664="","",C2664*D2664/100)</f>
        <v/>
      </c>
      <c r="F2664" s="15" t="str">
        <f aca="false">IF(B2664&lt;5,"Go","Standard")</f>
        <v>Standard</v>
      </c>
    </row>
    <row r="2665" customFormat="false" ht="15" hidden="false" customHeight="true" outlineLevel="0" collapsed="false">
      <c r="A2665" s="10" t="n">
        <f aca="false">Einstellungen!$B$5+INT((ROW()-9)/24)</f>
        <v>46076</v>
      </c>
      <c r="B2665" s="11" t="n">
        <f aca="false">MOD(ROW()-9,24)</f>
        <v>16</v>
      </c>
      <c r="C2665" s="12"/>
      <c r="D2665" s="13" t="n">
        <f aca="false">IF(B2665&lt;5,Einstellungen!$B$3,Einstellungen!$B$4)</f>
        <v>29.13</v>
      </c>
      <c r="E2665" s="14" t="str">
        <f aca="false">IF(C2665="","",C2665*D2665/100)</f>
        <v/>
      </c>
      <c r="F2665" s="15" t="str">
        <f aca="false">IF(B2665&lt;5,"Go","Standard")</f>
        <v>Standard</v>
      </c>
    </row>
    <row r="2666" customFormat="false" ht="15" hidden="false" customHeight="true" outlineLevel="0" collapsed="false">
      <c r="A2666" s="10" t="n">
        <f aca="false">Einstellungen!$B$5+INT((ROW()-9)/24)</f>
        <v>46076</v>
      </c>
      <c r="B2666" s="11" t="n">
        <f aca="false">MOD(ROW()-9,24)</f>
        <v>17</v>
      </c>
      <c r="C2666" s="12"/>
      <c r="D2666" s="13" t="n">
        <f aca="false">IF(B2666&lt;5,Einstellungen!$B$3,Einstellungen!$B$4)</f>
        <v>29.13</v>
      </c>
      <c r="E2666" s="14" t="str">
        <f aca="false">IF(C2666="","",C2666*D2666/100)</f>
        <v/>
      </c>
      <c r="F2666" s="15" t="str">
        <f aca="false">IF(B2666&lt;5,"Go","Standard")</f>
        <v>Standard</v>
      </c>
    </row>
    <row r="2667" customFormat="false" ht="15" hidden="false" customHeight="true" outlineLevel="0" collapsed="false">
      <c r="A2667" s="10" t="n">
        <f aca="false">Einstellungen!$B$5+INT((ROW()-9)/24)</f>
        <v>46076</v>
      </c>
      <c r="B2667" s="11" t="n">
        <f aca="false">MOD(ROW()-9,24)</f>
        <v>18</v>
      </c>
      <c r="C2667" s="12"/>
      <c r="D2667" s="13" t="n">
        <f aca="false">IF(B2667&lt;5,Einstellungen!$B$3,Einstellungen!$B$4)</f>
        <v>29.13</v>
      </c>
      <c r="E2667" s="14" t="str">
        <f aca="false">IF(C2667="","",C2667*D2667/100)</f>
        <v/>
      </c>
      <c r="F2667" s="15" t="str">
        <f aca="false">IF(B2667&lt;5,"Go","Standard")</f>
        <v>Standard</v>
      </c>
    </row>
    <row r="2668" customFormat="false" ht="15" hidden="false" customHeight="true" outlineLevel="0" collapsed="false">
      <c r="A2668" s="10" t="n">
        <f aca="false">Einstellungen!$B$5+INT((ROW()-9)/24)</f>
        <v>46076</v>
      </c>
      <c r="B2668" s="11" t="n">
        <f aca="false">MOD(ROW()-9,24)</f>
        <v>19</v>
      </c>
      <c r="C2668" s="12"/>
      <c r="D2668" s="13" t="n">
        <f aca="false">IF(B2668&lt;5,Einstellungen!$B$3,Einstellungen!$B$4)</f>
        <v>29.13</v>
      </c>
      <c r="E2668" s="14" t="str">
        <f aca="false">IF(C2668="","",C2668*D2668/100)</f>
        <v/>
      </c>
      <c r="F2668" s="15" t="str">
        <f aca="false">IF(B2668&lt;5,"Go","Standard")</f>
        <v>Standard</v>
      </c>
    </row>
    <row r="2669" customFormat="false" ht="15" hidden="false" customHeight="true" outlineLevel="0" collapsed="false">
      <c r="A2669" s="10" t="n">
        <f aca="false">Einstellungen!$B$5+INT((ROW()-9)/24)</f>
        <v>46076</v>
      </c>
      <c r="B2669" s="11" t="n">
        <f aca="false">MOD(ROW()-9,24)</f>
        <v>20</v>
      </c>
      <c r="C2669" s="12"/>
      <c r="D2669" s="13" t="n">
        <f aca="false">IF(B2669&lt;5,Einstellungen!$B$3,Einstellungen!$B$4)</f>
        <v>29.13</v>
      </c>
      <c r="E2669" s="14" t="str">
        <f aca="false">IF(C2669="","",C2669*D2669/100)</f>
        <v/>
      </c>
      <c r="F2669" s="15" t="str">
        <f aca="false">IF(B2669&lt;5,"Go","Standard")</f>
        <v>Standard</v>
      </c>
    </row>
    <row r="2670" customFormat="false" ht="15" hidden="false" customHeight="true" outlineLevel="0" collapsed="false">
      <c r="A2670" s="10" t="n">
        <f aca="false">Einstellungen!$B$5+INT((ROW()-9)/24)</f>
        <v>46076</v>
      </c>
      <c r="B2670" s="11" t="n">
        <f aca="false">MOD(ROW()-9,24)</f>
        <v>21</v>
      </c>
      <c r="C2670" s="12"/>
      <c r="D2670" s="13" t="n">
        <f aca="false">IF(B2670&lt;5,Einstellungen!$B$3,Einstellungen!$B$4)</f>
        <v>29.13</v>
      </c>
      <c r="E2670" s="14" t="str">
        <f aca="false">IF(C2670="","",C2670*D2670/100)</f>
        <v/>
      </c>
      <c r="F2670" s="15" t="str">
        <f aca="false">IF(B2670&lt;5,"Go","Standard")</f>
        <v>Standard</v>
      </c>
    </row>
    <row r="2671" customFormat="false" ht="15" hidden="false" customHeight="true" outlineLevel="0" collapsed="false">
      <c r="A2671" s="10" t="n">
        <f aca="false">Einstellungen!$B$5+INT((ROW()-9)/24)</f>
        <v>46076</v>
      </c>
      <c r="B2671" s="11" t="n">
        <f aca="false">MOD(ROW()-9,24)</f>
        <v>22</v>
      </c>
      <c r="C2671" s="12"/>
      <c r="D2671" s="13" t="n">
        <f aca="false">IF(B2671&lt;5,Einstellungen!$B$3,Einstellungen!$B$4)</f>
        <v>29.13</v>
      </c>
      <c r="E2671" s="14" t="str">
        <f aca="false">IF(C2671="","",C2671*D2671/100)</f>
        <v/>
      </c>
      <c r="F2671" s="15" t="str">
        <f aca="false">IF(B2671&lt;5,"Go","Standard")</f>
        <v>Standard</v>
      </c>
    </row>
    <row r="2672" customFormat="false" ht="15" hidden="false" customHeight="true" outlineLevel="0" collapsed="false">
      <c r="A2672" s="10" t="n">
        <f aca="false">Einstellungen!$B$5+INT((ROW()-9)/24)</f>
        <v>46076</v>
      </c>
      <c r="B2672" s="11" t="n">
        <f aca="false">MOD(ROW()-9,24)</f>
        <v>23</v>
      </c>
      <c r="C2672" s="12"/>
      <c r="D2672" s="13" t="n">
        <f aca="false">IF(B2672&lt;5,Einstellungen!$B$3,Einstellungen!$B$4)</f>
        <v>29.13</v>
      </c>
      <c r="E2672" s="14" t="str">
        <f aca="false">IF(C2672="","",C2672*D2672/100)</f>
        <v/>
      </c>
      <c r="F2672" s="15" t="str">
        <f aca="false">IF(B2672&lt;5,"Go","Standard")</f>
        <v>Standard</v>
      </c>
    </row>
    <row r="2673" customFormat="false" ht="15" hidden="false" customHeight="true" outlineLevel="0" collapsed="false">
      <c r="A2673" s="10" t="n">
        <f aca="false">Einstellungen!$B$5+INT((ROW()-9)/24)</f>
        <v>46077</v>
      </c>
      <c r="B2673" s="11" t="n">
        <f aca="false">MOD(ROW()-9,24)</f>
        <v>0</v>
      </c>
      <c r="C2673" s="12"/>
      <c r="D2673" s="13" t="n">
        <f aca="false">IF(B2673&lt;5,Einstellungen!$B$3,Einstellungen!$B$4)</f>
        <v>15.92</v>
      </c>
      <c r="E2673" s="14" t="str">
        <f aca="false">IF(C2673="","",C2673*D2673/100)</f>
        <v/>
      </c>
      <c r="F2673" s="15" t="str">
        <f aca="false">IF(B2673&lt;5,"Go","Standard")</f>
        <v>Go</v>
      </c>
    </row>
    <row r="2674" customFormat="false" ht="15" hidden="false" customHeight="true" outlineLevel="0" collapsed="false">
      <c r="A2674" s="10" t="n">
        <f aca="false">Einstellungen!$B$5+INT((ROW()-9)/24)</f>
        <v>46077</v>
      </c>
      <c r="B2674" s="11" t="n">
        <f aca="false">MOD(ROW()-9,24)</f>
        <v>1</v>
      </c>
      <c r="C2674" s="12"/>
      <c r="D2674" s="13" t="n">
        <f aca="false">IF(B2674&lt;5,Einstellungen!$B$3,Einstellungen!$B$4)</f>
        <v>15.92</v>
      </c>
      <c r="E2674" s="14" t="str">
        <f aca="false">IF(C2674="","",C2674*D2674/100)</f>
        <v/>
      </c>
      <c r="F2674" s="15" t="str">
        <f aca="false">IF(B2674&lt;5,"Go","Standard")</f>
        <v>Go</v>
      </c>
    </row>
    <row r="2675" customFormat="false" ht="15" hidden="false" customHeight="true" outlineLevel="0" collapsed="false">
      <c r="A2675" s="10" t="n">
        <f aca="false">Einstellungen!$B$5+INT((ROW()-9)/24)</f>
        <v>46077</v>
      </c>
      <c r="B2675" s="11" t="n">
        <f aca="false">MOD(ROW()-9,24)</f>
        <v>2</v>
      </c>
      <c r="C2675" s="12"/>
      <c r="D2675" s="13" t="n">
        <f aca="false">IF(B2675&lt;5,Einstellungen!$B$3,Einstellungen!$B$4)</f>
        <v>15.92</v>
      </c>
      <c r="E2675" s="14" t="str">
        <f aca="false">IF(C2675="","",C2675*D2675/100)</f>
        <v/>
      </c>
      <c r="F2675" s="15" t="str">
        <f aca="false">IF(B2675&lt;5,"Go","Standard")</f>
        <v>Go</v>
      </c>
    </row>
    <row r="2676" customFormat="false" ht="15" hidden="false" customHeight="true" outlineLevel="0" collapsed="false">
      <c r="A2676" s="10" t="n">
        <f aca="false">Einstellungen!$B$5+INT((ROW()-9)/24)</f>
        <v>46077</v>
      </c>
      <c r="B2676" s="11" t="n">
        <f aca="false">MOD(ROW()-9,24)</f>
        <v>3</v>
      </c>
      <c r="C2676" s="12"/>
      <c r="D2676" s="13" t="n">
        <f aca="false">IF(B2676&lt;5,Einstellungen!$B$3,Einstellungen!$B$4)</f>
        <v>15.92</v>
      </c>
      <c r="E2676" s="14" t="str">
        <f aca="false">IF(C2676="","",C2676*D2676/100)</f>
        <v/>
      </c>
      <c r="F2676" s="15" t="str">
        <f aca="false">IF(B2676&lt;5,"Go","Standard")</f>
        <v>Go</v>
      </c>
    </row>
    <row r="2677" customFormat="false" ht="15" hidden="false" customHeight="true" outlineLevel="0" collapsed="false">
      <c r="A2677" s="10" t="n">
        <f aca="false">Einstellungen!$B$5+INT((ROW()-9)/24)</f>
        <v>46077</v>
      </c>
      <c r="B2677" s="11" t="n">
        <f aca="false">MOD(ROW()-9,24)</f>
        <v>4</v>
      </c>
      <c r="C2677" s="12"/>
      <c r="D2677" s="13" t="n">
        <f aca="false">IF(B2677&lt;5,Einstellungen!$B$3,Einstellungen!$B$4)</f>
        <v>15.92</v>
      </c>
      <c r="E2677" s="14" t="str">
        <f aca="false">IF(C2677="","",C2677*D2677/100)</f>
        <v/>
      </c>
      <c r="F2677" s="15" t="str">
        <f aca="false">IF(B2677&lt;5,"Go","Standard")</f>
        <v>Go</v>
      </c>
    </row>
    <row r="2678" customFormat="false" ht="15" hidden="false" customHeight="true" outlineLevel="0" collapsed="false">
      <c r="A2678" s="10" t="n">
        <f aca="false">Einstellungen!$B$5+INT((ROW()-9)/24)</f>
        <v>46077</v>
      </c>
      <c r="B2678" s="11" t="n">
        <f aca="false">MOD(ROW()-9,24)</f>
        <v>5</v>
      </c>
      <c r="C2678" s="12"/>
      <c r="D2678" s="13" t="n">
        <f aca="false">IF(B2678&lt;5,Einstellungen!$B$3,Einstellungen!$B$4)</f>
        <v>29.13</v>
      </c>
      <c r="E2678" s="14" t="str">
        <f aca="false">IF(C2678="","",C2678*D2678/100)</f>
        <v/>
      </c>
      <c r="F2678" s="15" t="str">
        <f aca="false">IF(B2678&lt;5,"Go","Standard")</f>
        <v>Standard</v>
      </c>
    </row>
    <row r="2679" customFormat="false" ht="15" hidden="false" customHeight="true" outlineLevel="0" collapsed="false">
      <c r="A2679" s="10" t="n">
        <f aca="false">Einstellungen!$B$5+INT((ROW()-9)/24)</f>
        <v>46077</v>
      </c>
      <c r="B2679" s="11" t="n">
        <f aca="false">MOD(ROW()-9,24)</f>
        <v>6</v>
      </c>
      <c r="C2679" s="12"/>
      <c r="D2679" s="13" t="n">
        <f aca="false">IF(B2679&lt;5,Einstellungen!$B$3,Einstellungen!$B$4)</f>
        <v>29.13</v>
      </c>
      <c r="E2679" s="14" t="str">
        <f aca="false">IF(C2679="","",C2679*D2679/100)</f>
        <v/>
      </c>
      <c r="F2679" s="15" t="str">
        <f aca="false">IF(B2679&lt;5,"Go","Standard")</f>
        <v>Standard</v>
      </c>
    </row>
    <row r="2680" customFormat="false" ht="15" hidden="false" customHeight="true" outlineLevel="0" collapsed="false">
      <c r="A2680" s="10" t="n">
        <f aca="false">Einstellungen!$B$5+INT((ROW()-9)/24)</f>
        <v>46077</v>
      </c>
      <c r="B2680" s="11" t="n">
        <f aca="false">MOD(ROW()-9,24)</f>
        <v>7</v>
      </c>
      <c r="C2680" s="12"/>
      <c r="D2680" s="13" t="n">
        <f aca="false">IF(B2680&lt;5,Einstellungen!$B$3,Einstellungen!$B$4)</f>
        <v>29.13</v>
      </c>
      <c r="E2680" s="14" t="str">
        <f aca="false">IF(C2680="","",C2680*D2680/100)</f>
        <v/>
      </c>
      <c r="F2680" s="15" t="str">
        <f aca="false">IF(B2680&lt;5,"Go","Standard")</f>
        <v>Standard</v>
      </c>
    </row>
    <row r="2681" customFormat="false" ht="15" hidden="false" customHeight="true" outlineLevel="0" collapsed="false">
      <c r="A2681" s="10" t="n">
        <f aca="false">Einstellungen!$B$5+INT((ROW()-9)/24)</f>
        <v>46077</v>
      </c>
      <c r="B2681" s="11" t="n">
        <f aca="false">MOD(ROW()-9,24)</f>
        <v>8</v>
      </c>
      <c r="C2681" s="12"/>
      <c r="D2681" s="13" t="n">
        <f aca="false">IF(B2681&lt;5,Einstellungen!$B$3,Einstellungen!$B$4)</f>
        <v>29.13</v>
      </c>
      <c r="E2681" s="14" t="str">
        <f aca="false">IF(C2681="","",C2681*D2681/100)</f>
        <v/>
      </c>
      <c r="F2681" s="15" t="str">
        <f aca="false">IF(B2681&lt;5,"Go","Standard")</f>
        <v>Standard</v>
      </c>
    </row>
    <row r="2682" customFormat="false" ht="15" hidden="false" customHeight="true" outlineLevel="0" collapsed="false">
      <c r="A2682" s="10" t="n">
        <f aca="false">Einstellungen!$B$5+INT((ROW()-9)/24)</f>
        <v>46077</v>
      </c>
      <c r="B2682" s="11" t="n">
        <f aca="false">MOD(ROW()-9,24)</f>
        <v>9</v>
      </c>
      <c r="C2682" s="12"/>
      <c r="D2682" s="13" t="n">
        <f aca="false">IF(B2682&lt;5,Einstellungen!$B$3,Einstellungen!$B$4)</f>
        <v>29.13</v>
      </c>
      <c r="E2682" s="14" t="str">
        <f aca="false">IF(C2682="","",C2682*D2682/100)</f>
        <v/>
      </c>
      <c r="F2682" s="15" t="str">
        <f aca="false">IF(B2682&lt;5,"Go","Standard")</f>
        <v>Standard</v>
      </c>
    </row>
    <row r="2683" customFormat="false" ht="15" hidden="false" customHeight="true" outlineLevel="0" collapsed="false">
      <c r="A2683" s="10" t="n">
        <f aca="false">Einstellungen!$B$5+INT((ROW()-9)/24)</f>
        <v>46077</v>
      </c>
      <c r="B2683" s="11" t="n">
        <f aca="false">MOD(ROW()-9,24)</f>
        <v>10</v>
      </c>
      <c r="C2683" s="12"/>
      <c r="D2683" s="13" t="n">
        <f aca="false">IF(B2683&lt;5,Einstellungen!$B$3,Einstellungen!$B$4)</f>
        <v>29.13</v>
      </c>
      <c r="E2683" s="14" t="str">
        <f aca="false">IF(C2683="","",C2683*D2683/100)</f>
        <v/>
      </c>
      <c r="F2683" s="15" t="str">
        <f aca="false">IF(B2683&lt;5,"Go","Standard")</f>
        <v>Standard</v>
      </c>
    </row>
    <row r="2684" customFormat="false" ht="15" hidden="false" customHeight="true" outlineLevel="0" collapsed="false">
      <c r="A2684" s="10" t="n">
        <f aca="false">Einstellungen!$B$5+INT((ROW()-9)/24)</f>
        <v>46077</v>
      </c>
      <c r="B2684" s="11" t="n">
        <f aca="false">MOD(ROW()-9,24)</f>
        <v>11</v>
      </c>
      <c r="C2684" s="12"/>
      <c r="D2684" s="13" t="n">
        <f aca="false">IF(B2684&lt;5,Einstellungen!$B$3,Einstellungen!$B$4)</f>
        <v>29.13</v>
      </c>
      <c r="E2684" s="14" t="str">
        <f aca="false">IF(C2684="","",C2684*D2684/100)</f>
        <v/>
      </c>
      <c r="F2684" s="15" t="str">
        <f aca="false">IF(B2684&lt;5,"Go","Standard")</f>
        <v>Standard</v>
      </c>
    </row>
    <row r="2685" customFormat="false" ht="15" hidden="false" customHeight="true" outlineLevel="0" collapsed="false">
      <c r="A2685" s="10" t="n">
        <f aca="false">Einstellungen!$B$5+INT((ROW()-9)/24)</f>
        <v>46077</v>
      </c>
      <c r="B2685" s="11" t="n">
        <f aca="false">MOD(ROW()-9,24)</f>
        <v>12</v>
      </c>
      <c r="C2685" s="12"/>
      <c r="D2685" s="13" t="n">
        <f aca="false">IF(B2685&lt;5,Einstellungen!$B$3,Einstellungen!$B$4)</f>
        <v>29.13</v>
      </c>
      <c r="E2685" s="14" t="str">
        <f aca="false">IF(C2685="","",C2685*D2685/100)</f>
        <v/>
      </c>
      <c r="F2685" s="15" t="str">
        <f aca="false">IF(B2685&lt;5,"Go","Standard")</f>
        <v>Standard</v>
      </c>
    </row>
    <row r="2686" customFormat="false" ht="15" hidden="false" customHeight="true" outlineLevel="0" collapsed="false">
      <c r="A2686" s="10" t="n">
        <f aca="false">Einstellungen!$B$5+INT((ROW()-9)/24)</f>
        <v>46077</v>
      </c>
      <c r="B2686" s="11" t="n">
        <f aca="false">MOD(ROW()-9,24)</f>
        <v>13</v>
      </c>
      <c r="C2686" s="12"/>
      <c r="D2686" s="13" t="n">
        <f aca="false">IF(B2686&lt;5,Einstellungen!$B$3,Einstellungen!$B$4)</f>
        <v>29.13</v>
      </c>
      <c r="E2686" s="14" t="str">
        <f aca="false">IF(C2686="","",C2686*D2686/100)</f>
        <v/>
      </c>
      <c r="F2686" s="15" t="str">
        <f aca="false">IF(B2686&lt;5,"Go","Standard")</f>
        <v>Standard</v>
      </c>
    </row>
    <row r="2687" customFormat="false" ht="15" hidden="false" customHeight="true" outlineLevel="0" collapsed="false">
      <c r="A2687" s="10" t="n">
        <f aca="false">Einstellungen!$B$5+INT((ROW()-9)/24)</f>
        <v>46077</v>
      </c>
      <c r="B2687" s="11" t="n">
        <f aca="false">MOD(ROW()-9,24)</f>
        <v>14</v>
      </c>
      <c r="C2687" s="12"/>
      <c r="D2687" s="13" t="n">
        <f aca="false">IF(B2687&lt;5,Einstellungen!$B$3,Einstellungen!$B$4)</f>
        <v>29.13</v>
      </c>
      <c r="E2687" s="14" t="str">
        <f aca="false">IF(C2687="","",C2687*D2687/100)</f>
        <v/>
      </c>
      <c r="F2687" s="15" t="str">
        <f aca="false">IF(B2687&lt;5,"Go","Standard")</f>
        <v>Standard</v>
      </c>
    </row>
    <row r="2688" customFormat="false" ht="15" hidden="false" customHeight="true" outlineLevel="0" collapsed="false">
      <c r="A2688" s="10" t="n">
        <f aca="false">Einstellungen!$B$5+INT((ROW()-9)/24)</f>
        <v>46077</v>
      </c>
      <c r="B2688" s="11" t="n">
        <f aca="false">MOD(ROW()-9,24)</f>
        <v>15</v>
      </c>
      <c r="C2688" s="12"/>
      <c r="D2688" s="13" t="n">
        <f aca="false">IF(B2688&lt;5,Einstellungen!$B$3,Einstellungen!$B$4)</f>
        <v>29.13</v>
      </c>
      <c r="E2688" s="14" t="str">
        <f aca="false">IF(C2688="","",C2688*D2688/100)</f>
        <v/>
      </c>
      <c r="F2688" s="15" t="str">
        <f aca="false">IF(B2688&lt;5,"Go","Standard")</f>
        <v>Standard</v>
      </c>
    </row>
    <row r="2689" customFormat="false" ht="15" hidden="false" customHeight="true" outlineLevel="0" collapsed="false">
      <c r="A2689" s="10" t="n">
        <f aca="false">Einstellungen!$B$5+INT((ROW()-9)/24)</f>
        <v>46077</v>
      </c>
      <c r="B2689" s="11" t="n">
        <f aca="false">MOD(ROW()-9,24)</f>
        <v>16</v>
      </c>
      <c r="C2689" s="12"/>
      <c r="D2689" s="13" t="n">
        <f aca="false">IF(B2689&lt;5,Einstellungen!$B$3,Einstellungen!$B$4)</f>
        <v>29.13</v>
      </c>
      <c r="E2689" s="14" t="str">
        <f aca="false">IF(C2689="","",C2689*D2689/100)</f>
        <v/>
      </c>
      <c r="F2689" s="15" t="str">
        <f aca="false">IF(B2689&lt;5,"Go","Standard")</f>
        <v>Standard</v>
      </c>
    </row>
    <row r="2690" customFormat="false" ht="15" hidden="false" customHeight="true" outlineLevel="0" collapsed="false">
      <c r="A2690" s="10" t="n">
        <f aca="false">Einstellungen!$B$5+INT((ROW()-9)/24)</f>
        <v>46077</v>
      </c>
      <c r="B2690" s="11" t="n">
        <f aca="false">MOD(ROW()-9,24)</f>
        <v>17</v>
      </c>
      <c r="C2690" s="12"/>
      <c r="D2690" s="13" t="n">
        <f aca="false">IF(B2690&lt;5,Einstellungen!$B$3,Einstellungen!$B$4)</f>
        <v>29.13</v>
      </c>
      <c r="E2690" s="14" t="str">
        <f aca="false">IF(C2690="","",C2690*D2690/100)</f>
        <v/>
      </c>
      <c r="F2690" s="15" t="str">
        <f aca="false">IF(B2690&lt;5,"Go","Standard")</f>
        <v>Standard</v>
      </c>
    </row>
    <row r="2691" customFormat="false" ht="15" hidden="false" customHeight="true" outlineLevel="0" collapsed="false">
      <c r="A2691" s="10" t="n">
        <f aca="false">Einstellungen!$B$5+INT((ROW()-9)/24)</f>
        <v>46077</v>
      </c>
      <c r="B2691" s="11" t="n">
        <f aca="false">MOD(ROW()-9,24)</f>
        <v>18</v>
      </c>
      <c r="C2691" s="12"/>
      <c r="D2691" s="13" t="n">
        <f aca="false">IF(B2691&lt;5,Einstellungen!$B$3,Einstellungen!$B$4)</f>
        <v>29.13</v>
      </c>
      <c r="E2691" s="14" t="str">
        <f aca="false">IF(C2691="","",C2691*D2691/100)</f>
        <v/>
      </c>
      <c r="F2691" s="15" t="str">
        <f aca="false">IF(B2691&lt;5,"Go","Standard")</f>
        <v>Standard</v>
      </c>
    </row>
    <row r="2692" customFormat="false" ht="15" hidden="false" customHeight="true" outlineLevel="0" collapsed="false">
      <c r="A2692" s="10" t="n">
        <f aca="false">Einstellungen!$B$5+INT((ROW()-9)/24)</f>
        <v>46077</v>
      </c>
      <c r="B2692" s="11" t="n">
        <f aca="false">MOD(ROW()-9,24)</f>
        <v>19</v>
      </c>
      <c r="C2692" s="12"/>
      <c r="D2692" s="13" t="n">
        <f aca="false">IF(B2692&lt;5,Einstellungen!$B$3,Einstellungen!$B$4)</f>
        <v>29.13</v>
      </c>
      <c r="E2692" s="14" t="str">
        <f aca="false">IF(C2692="","",C2692*D2692/100)</f>
        <v/>
      </c>
      <c r="F2692" s="15" t="str">
        <f aca="false">IF(B2692&lt;5,"Go","Standard")</f>
        <v>Standard</v>
      </c>
    </row>
    <row r="2693" customFormat="false" ht="15" hidden="false" customHeight="true" outlineLevel="0" collapsed="false">
      <c r="A2693" s="10" t="n">
        <f aca="false">Einstellungen!$B$5+INT((ROW()-9)/24)</f>
        <v>46077</v>
      </c>
      <c r="B2693" s="11" t="n">
        <f aca="false">MOD(ROW()-9,24)</f>
        <v>20</v>
      </c>
      <c r="C2693" s="12"/>
      <c r="D2693" s="13" t="n">
        <f aca="false">IF(B2693&lt;5,Einstellungen!$B$3,Einstellungen!$B$4)</f>
        <v>29.13</v>
      </c>
      <c r="E2693" s="14" t="str">
        <f aca="false">IF(C2693="","",C2693*D2693/100)</f>
        <v/>
      </c>
      <c r="F2693" s="15" t="str">
        <f aca="false">IF(B2693&lt;5,"Go","Standard")</f>
        <v>Standard</v>
      </c>
    </row>
    <row r="2694" customFormat="false" ht="15" hidden="false" customHeight="true" outlineLevel="0" collapsed="false">
      <c r="A2694" s="10" t="n">
        <f aca="false">Einstellungen!$B$5+INT((ROW()-9)/24)</f>
        <v>46077</v>
      </c>
      <c r="B2694" s="11" t="n">
        <f aca="false">MOD(ROW()-9,24)</f>
        <v>21</v>
      </c>
      <c r="C2694" s="12"/>
      <c r="D2694" s="13" t="n">
        <f aca="false">IF(B2694&lt;5,Einstellungen!$B$3,Einstellungen!$B$4)</f>
        <v>29.13</v>
      </c>
      <c r="E2694" s="14" t="str">
        <f aca="false">IF(C2694="","",C2694*D2694/100)</f>
        <v/>
      </c>
      <c r="F2694" s="15" t="str">
        <f aca="false">IF(B2694&lt;5,"Go","Standard")</f>
        <v>Standard</v>
      </c>
    </row>
    <row r="2695" customFormat="false" ht="15" hidden="false" customHeight="true" outlineLevel="0" collapsed="false">
      <c r="A2695" s="10" t="n">
        <f aca="false">Einstellungen!$B$5+INT((ROW()-9)/24)</f>
        <v>46077</v>
      </c>
      <c r="B2695" s="11" t="n">
        <f aca="false">MOD(ROW()-9,24)</f>
        <v>22</v>
      </c>
      <c r="C2695" s="12"/>
      <c r="D2695" s="13" t="n">
        <f aca="false">IF(B2695&lt;5,Einstellungen!$B$3,Einstellungen!$B$4)</f>
        <v>29.13</v>
      </c>
      <c r="E2695" s="14" t="str">
        <f aca="false">IF(C2695="","",C2695*D2695/100)</f>
        <v/>
      </c>
      <c r="F2695" s="15" t="str">
        <f aca="false">IF(B2695&lt;5,"Go","Standard")</f>
        <v>Standard</v>
      </c>
    </row>
    <row r="2696" customFormat="false" ht="15" hidden="false" customHeight="true" outlineLevel="0" collapsed="false">
      <c r="A2696" s="10" t="n">
        <f aca="false">Einstellungen!$B$5+INT((ROW()-9)/24)</f>
        <v>46077</v>
      </c>
      <c r="B2696" s="11" t="n">
        <f aca="false">MOD(ROW()-9,24)</f>
        <v>23</v>
      </c>
      <c r="C2696" s="12"/>
      <c r="D2696" s="13" t="n">
        <f aca="false">IF(B2696&lt;5,Einstellungen!$B$3,Einstellungen!$B$4)</f>
        <v>29.13</v>
      </c>
      <c r="E2696" s="14" t="str">
        <f aca="false">IF(C2696="","",C2696*D2696/100)</f>
        <v/>
      </c>
      <c r="F2696" s="15" t="str">
        <f aca="false">IF(B2696&lt;5,"Go","Standard")</f>
        <v>Standard</v>
      </c>
    </row>
    <row r="2697" customFormat="false" ht="15" hidden="false" customHeight="true" outlineLevel="0" collapsed="false">
      <c r="A2697" s="10" t="n">
        <f aca="false">Einstellungen!$B$5+INT((ROW()-9)/24)</f>
        <v>46078</v>
      </c>
      <c r="B2697" s="11" t="n">
        <f aca="false">MOD(ROW()-9,24)</f>
        <v>0</v>
      </c>
      <c r="C2697" s="12"/>
      <c r="D2697" s="13" t="n">
        <f aca="false">IF(B2697&lt;5,Einstellungen!$B$3,Einstellungen!$B$4)</f>
        <v>15.92</v>
      </c>
      <c r="E2697" s="14" t="str">
        <f aca="false">IF(C2697="","",C2697*D2697/100)</f>
        <v/>
      </c>
      <c r="F2697" s="15" t="str">
        <f aca="false">IF(B2697&lt;5,"Go","Standard")</f>
        <v>Go</v>
      </c>
    </row>
    <row r="2698" customFormat="false" ht="15" hidden="false" customHeight="true" outlineLevel="0" collapsed="false">
      <c r="A2698" s="10" t="n">
        <f aca="false">Einstellungen!$B$5+INT((ROW()-9)/24)</f>
        <v>46078</v>
      </c>
      <c r="B2698" s="11" t="n">
        <f aca="false">MOD(ROW()-9,24)</f>
        <v>1</v>
      </c>
      <c r="C2698" s="12"/>
      <c r="D2698" s="13" t="n">
        <f aca="false">IF(B2698&lt;5,Einstellungen!$B$3,Einstellungen!$B$4)</f>
        <v>15.92</v>
      </c>
      <c r="E2698" s="14" t="str">
        <f aca="false">IF(C2698="","",C2698*D2698/100)</f>
        <v/>
      </c>
      <c r="F2698" s="15" t="str">
        <f aca="false">IF(B2698&lt;5,"Go","Standard")</f>
        <v>Go</v>
      </c>
    </row>
    <row r="2699" customFormat="false" ht="15" hidden="false" customHeight="true" outlineLevel="0" collapsed="false">
      <c r="A2699" s="10" t="n">
        <f aca="false">Einstellungen!$B$5+INT((ROW()-9)/24)</f>
        <v>46078</v>
      </c>
      <c r="B2699" s="11" t="n">
        <f aca="false">MOD(ROW()-9,24)</f>
        <v>2</v>
      </c>
      <c r="C2699" s="12"/>
      <c r="D2699" s="13" t="n">
        <f aca="false">IF(B2699&lt;5,Einstellungen!$B$3,Einstellungen!$B$4)</f>
        <v>15.92</v>
      </c>
      <c r="E2699" s="14" t="str">
        <f aca="false">IF(C2699="","",C2699*D2699/100)</f>
        <v/>
      </c>
      <c r="F2699" s="15" t="str">
        <f aca="false">IF(B2699&lt;5,"Go","Standard")</f>
        <v>Go</v>
      </c>
    </row>
    <row r="2700" customFormat="false" ht="15" hidden="false" customHeight="true" outlineLevel="0" collapsed="false">
      <c r="A2700" s="10" t="n">
        <f aca="false">Einstellungen!$B$5+INT((ROW()-9)/24)</f>
        <v>46078</v>
      </c>
      <c r="B2700" s="11" t="n">
        <f aca="false">MOD(ROW()-9,24)</f>
        <v>3</v>
      </c>
      <c r="C2700" s="12"/>
      <c r="D2700" s="13" t="n">
        <f aca="false">IF(B2700&lt;5,Einstellungen!$B$3,Einstellungen!$B$4)</f>
        <v>15.92</v>
      </c>
      <c r="E2700" s="14" t="str">
        <f aca="false">IF(C2700="","",C2700*D2700/100)</f>
        <v/>
      </c>
      <c r="F2700" s="15" t="str">
        <f aca="false">IF(B2700&lt;5,"Go","Standard")</f>
        <v>Go</v>
      </c>
    </row>
    <row r="2701" customFormat="false" ht="15" hidden="false" customHeight="true" outlineLevel="0" collapsed="false">
      <c r="A2701" s="10" t="n">
        <f aca="false">Einstellungen!$B$5+INT((ROW()-9)/24)</f>
        <v>46078</v>
      </c>
      <c r="B2701" s="11" t="n">
        <f aca="false">MOD(ROW()-9,24)</f>
        <v>4</v>
      </c>
      <c r="C2701" s="12"/>
      <c r="D2701" s="13" t="n">
        <f aca="false">IF(B2701&lt;5,Einstellungen!$B$3,Einstellungen!$B$4)</f>
        <v>15.92</v>
      </c>
      <c r="E2701" s="14" t="str">
        <f aca="false">IF(C2701="","",C2701*D2701/100)</f>
        <v/>
      </c>
      <c r="F2701" s="15" t="str">
        <f aca="false">IF(B2701&lt;5,"Go","Standard")</f>
        <v>Go</v>
      </c>
    </row>
    <row r="2702" customFormat="false" ht="15" hidden="false" customHeight="true" outlineLevel="0" collapsed="false">
      <c r="A2702" s="10" t="n">
        <f aca="false">Einstellungen!$B$5+INT((ROW()-9)/24)</f>
        <v>46078</v>
      </c>
      <c r="B2702" s="11" t="n">
        <f aca="false">MOD(ROW()-9,24)</f>
        <v>5</v>
      </c>
      <c r="C2702" s="12"/>
      <c r="D2702" s="13" t="n">
        <f aca="false">IF(B2702&lt;5,Einstellungen!$B$3,Einstellungen!$B$4)</f>
        <v>29.13</v>
      </c>
      <c r="E2702" s="14" t="str">
        <f aca="false">IF(C2702="","",C2702*D2702/100)</f>
        <v/>
      </c>
      <c r="F2702" s="15" t="str">
        <f aca="false">IF(B2702&lt;5,"Go","Standard")</f>
        <v>Standard</v>
      </c>
    </row>
    <row r="2703" customFormat="false" ht="15" hidden="false" customHeight="true" outlineLevel="0" collapsed="false">
      <c r="A2703" s="10" t="n">
        <f aca="false">Einstellungen!$B$5+INT((ROW()-9)/24)</f>
        <v>46078</v>
      </c>
      <c r="B2703" s="11" t="n">
        <f aca="false">MOD(ROW()-9,24)</f>
        <v>6</v>
      </c>
      <c r="C2703" s="12"/>
      <c r="D2703" s="13" t="n">
        <f aca="false">IF(B2703&lt;5,Einstellungen!$B$3,Einstellungen!$B$4)</f>
        <v>29.13</v>
      </c>
      <c r="E2703" s="14" t="str">
        <f aca="false">IF(C2703="","",C2703*D2703/100)</f>
        <v/>
      </c>
      <c r="F2703" s="15" t="str">
        <f aca="false">IF(B2703&lt;5,"Go","Standard")</f>
        <v>Standard</v>
      </c>
    </row>
    <row r="2704" customFormat="false" ht="15" hidden="false" customHeight="true" outlineLevel="0" collapsed="false">
      <c r="A2704" s="10" t="n">
        <f aca="false">Einstellungen!$B$5+INT((ROW()-9)/24)</f>
        <v>46078</v>
      </c>
      <c r="B2704" s="11" t="n">
        <f aca="false">MOD(ROW()-9,24)</f>
        <v>7</v>
      </c>
      <c r="C2704" s="12"/>
      <c r="D2704" s="13" t="n">
        <f aca="false">IF(B2704&lt;5,Einstellungen!$B$3,Einstellungen!$B$4)</f>
        <v>29.13</v>
      </c>
      <c r="E2704" s="14" t="str">
        <f aca="false">IF(C2704="","",C2704*D2704/100)</f>
        <v/>
      </c>
      <c r="F2704" s="15" t="str">
        <f aca="false">IF(B2704&lt;5,"Go","Standard")</f>
        <v>Standard</v>
      </c>
    </row>
    <row r="2705" customFormat="false" ht="15" hidden="false" customHeight="true" outlineLevel="0" collapsed="false">
      <c r="A2705" s="10" t="n">
        <f aca="false">Einstellungen!$B$5+INT((ROW()-9)/24)</f>
        <v>46078</v>
      </c>
      <c r="B2705" s="11" t="n">
        <f aca="false">MOD(ROW()-9,24)</f>
        <v>8</v>
      </c>
      <c r="C2705" s="12"/>
      <c r="D2705" s="13" t="n">
        <f aca="false">IF(B2705&lt;5,Einstellungen!$B$3,Einstellungen!$B$4)</f>
        <v>29.13</v>
      </c>
      <c r="E2705" s="14" t="str">
        <f aca="false">IF(C2705="","",C2705*D2705/100)</f>
        <v/>
      </c>
      <c r="F2705" s="15" t="str">
        <f aca="false">IF(B2705&lt;5,"Go","Standard")</f>
        <v>Standard</v>
      </c>
    </row>
    <row r="2706" customFormat="false" ht="15" hidden="false" customHeight="true" outlineLevel="0" collapsed="false">
      <c r="A2706" s="10" t="n">
        <f aca="false">Einstellungen!$B$5+INT((ROW()-9)/24)</f>
        <v>46078</v>
      </c>
      <c r="B2706" s="11" t="n">
        <f aca="false">MOD(ROW()-9,24)</f>
        <v>9</v>
      </c>
      <c r="C2706" s="12"/>
      <c r="D2706" s="13" t="n">
        <f aca="false">IF(B2706&lt;5,Einstellungen!$B$3,Einstellungen!$B$4)</f>
        <v>29.13</v>
      </c>
      <c r="E2706" s="14" t="str">
        <f aca="false">IF(C2706="","",C2706*D2706/100)</f>
        <v/>
      </c>
      <c r="F2706" s="15" t="str">
        <f aca="false">IF(B2706&lt;5,"Go","Standard")</f>
        <v>Standard</v>
      </c>
    </row>
    <row r="2707" customFormat="false" ht="15" hidden="false" customHeight="true" outlineLevel="0" collapsed="false">
      <c r="A2707" s="10" t="n">
        <f aca="false">Einstellungen!$B$5+INT((ROW()-9)/24)</f>
        <v>46078</v>
      </c>
      <c r="B2707" s="11" t="n">
        <f aca="false">MOD(ROW()-9,24)</f>
        <v>10</v>
      </c>
      <c r="C2707" s="12"/>
      <c r="D2707" s="13" t="n">
        <f aca="false">IF(B2707&lt;5,Einstellungen!$B$3,Einstellungen!$B$4)</f>
        <v>29.13</v>
      </c>
      <c r="E2707" s="14" t="str">
        <f aca="false">IF(C2707="","",C2707*D2707/100)</f>
        <v/>
      </c>
      <c r="F2707" s="15" t="str">
        <f aca="false">IF(B2707&lt;5,"Go","Standard")</f>
        <v>Standard</v>
      </c>
    </row>
    <row r="2708" customFormat="false" ht="15" hidden="false" customHeight="true" outlineLevel="0" collapsed="false">
      <c r="A2708" s="10" t="n">
        <f aca="false">Einstellungen!$B$5+INT((ROW()-9)/24)</f>
        <v>46078</v>
      </c>
      <c r="B2708" s="11" t="n">
        <f aca="false">MOD(ROW()-9,24)</f>
        <v>11</v>
      </c>
      <c r="C2708" s="12"/>
      <c r="D2708" s="13" t="n">
        <f aca="false">IF(B2708&lt;5,Einstellungen!$B$3,Einstellungen!$B$4)</f>
        <v>29.13</v>
      </c>
      <c r="E2708" s="14" t="str">
        <f aca="false">IF(C2708="","",C2708*D2708/100)</f>
        <v/>
      </c>
      <c r="F2708" s="15" t="str">
        <f aca="false">IF(B2708&lt;5,"Go","Standard")</f>
        <v>Standard</v>
      </c>
    </row>
    <row r="2709" customFormat="false" ht="15" hidden="false" customHeight="true" outlineLevel="0" collapsed="false">
      <c r="A2709" s="10" t="n">
        <f aca="false">Einstellungen!$B$5+INT((ROW()-9)/24)</f>
        <v>46078</v>
      </c>
      <c r="B2709" s="11" t="n">
        <f aca="false">MOD(ROW()-9,24)</f>
        <v>12</v>
      </c>
      <c r="C2709" s="12"/>
      <c r="D2709" s="13" t="n">
        <f aca="false">IF(B2709&lt;5,Einstellungen!$B$3,Einstellungen!$B$4)</f>
        <v>29.13</v>
      </c>
      <c r="E2709" s="14" t="str">
        <f aca="false">IF(C2709="","",C2709*D2709/100)</f>
        <v/>
      </c>
      <c r="F2709" s="15" t="str">
        <f aca="false">IF(B2709&lt;5,"Go","Standard")</f>
        <v>Standard</v>
      </c>
    </row>
    <row r="2710" customFormat="false" ht="15" hidden="false" customHeight="true" outlineLevel="0" collapsed="false">
      <c r="A2710" s="10" t="n">
        <f aca="false">Einstellungen!$B$5+INT((ROW()-9)/24)</f>
        <v>46078</v>
      </c>
      <c r="B2710" s="11" t="n">
        <f aca="false">MOD(ROW()-9,24)</f>
        <v>13</v>
      </c>
      <c r="C2710" s="12"/>
      <c r="D2710" s="13" t="n">
        <f aca="false">IF(B2710&lt;5,Einstellungen!$B$3,Einstellungen!$B$4)</f>
        <v>29.13</v>
      </c>
      <c r="E2710" s="14" t="str">
        <f aca="false">IF(C2710="","",C2710*D2710/100)</f>
        <v/>
      </c>
      <c r="F2710" s="15" t="str">
        <f aca="false">IF(B2710&lt;5,"Go","Standard")</f>
        <v>Standard</v>
      </c>
    </row>
    <row r="2711" customFormat="false" ht="15" hidden="false" customHeight="true" outlineLevel="0" collapsed="false">
      <c r="A2711" s="10" t="n">
        <f aca="false">Einstellungen!$B$5+INT((ROW()-9)/24)</f>
        <v>46078</v>
      </c>
      <c r="B2711" s="11" t="n">
        <f aca="false">MOD(ROW()-9,24)</f>
        <v>14</v>
      </c>
      <c r="C2711" s="12"/>
      <c r="D2711" s="13" t="n">
        <f aca="false">IF(B2711&lt;5,Einstellungen!$B$3,Einstellungen!$B$4)</f>
        <v>29.13</v>
      </c>
      <c r="E2711" s="14" t="str">
        <f aca="false">IF(C2711="","",C2711*D2711/100)</f>
        <v/>
      </c>
      <c r="F2711" s="15" t="str">
        <f aca="false">IF(B2711&lt;5,"Go","Standard")</f>
        <v>Standard</v>
      </c>
    </row>
    <row r="2712" customFormat="false" ht="15" hidden="false" customHeight="true" outlineLevel="0" collapsed="false">
      <c r="A2712" s="10" t="n">
        <f aca="false">Einstellungen!$B$5+INT((ROW()-9)/24)</f>
        <v>46078</v>
      </c>
      <c r="B2712" s="11" t="n">
        <f aca="false">MOD(ROW()-9,24)</f>
        <v>15</v>
      </c>
      <c r="C2712" s="12"/>
      <c r="D2712" s="13" t="n">
        <f aca="false">IF(B2712&lt;5,Einstellungen!$B$3,Einstellungen!$B$4)</f>
        <v>29.13</v>
      </c>
      <c r="E2712" s="14" t="str">
        <f aca="false">IF(C2712="","",C2712*D2712/100)</f>
        <v/>
      </c>
      <c r="F2712" s="15" t="str">
        <f aca="false">IF(B2712&lt;5,"Go","Standard")</f>
        <v>Standard</v>
      </c>
    </row>
    <row r="2713" customFormat="false" ht="15" hidden="false" customHeight="true" outlineLevel="0" collapsed="false">
      <c r="A2713" s="10" t="n">
        <f aca="false">Einstellungen!$B$5+INT((ROW()-9)/24)</f>
        <v>46078</v>
      </c>
      <c r="B2713" s="11" t="n">
        <f aca="false">MOD(ROW()-9,24)</f>
        <v>16</v>
      </c>
      <c r="C2713" s="12"/>
      <c r="D2713" s="13" t="n">
        <f aca="false">IF(B2713&lt;5,Einstellungen!$B$3,Einstellungen!$B$4)</f>
        <v>29.13</v>
      </c>
      <c r="E2713" s="14" t="str">
        <f aca="false">IF(C2713="","",C2713*D2713/100)</f>
        <v/>
      </c>
      <c r="F2713" s="15" t="str">
        <f aca="false">IF(B2713&lt;5,"Go","Standard")</f>
        <v>Standard</v>
      </c>
    </row>
    <row r="2714" customFormat="false" ht="15" hidden="false" customHeight="true" outlineLevel="0" collapsed="false">
      <c r="A2714" s="10" t="n">
        <f aca="false">Einstellungen!$B$5+INT((ROW()-9)/24)</f>
        <v>46078</v>
      </c>
      <c r="B2714" s="11" t="n">
        <f aca="false">MOD(ROW()-9,24)</f>
        <v>17</v>
      </c>
      <c r="C2714" s="12"/>
      <c r="D2714" s="13" t="n">
        <f aca="false">IF(B2714&lt;5,Einstellungen!$B$3,Einstellungen!$B$4)</f>
        <v>29.13</v>
      </c>
      <c r="E2714" s="14" t="str">
        <f aca="false">IF(C2714="","",C2714*D2714/100)</f>
        <v/>
      </c>
      <c r="F2714" s="15" t="str">
        <f aca="false">IF(B2714&lt;5,"Go","Standard")</f>
        <v>Standard</v>
      </c>
    </row>
    <row r="2715" customFormat="false" ht="15" hidden="false" customHeight="true" outlineLevel="0" collapsed="false">
      <c r="A2715" s="10" t="n">
        <f aca="false">Einstellungen!$B$5+INT((ROW()-9)/24)</f>
        <v>46078</v>
      </c>
      <c r="B2715" s="11" t="n">
        <f aca="false">MOD(ROW()-9,24)</f>
        <v>18</v>
      </c>
      <c r="C2715" s="12"/>
      <c r="D2715" s="13" t="n">
        <f aca="false">IF(B2715&lt;5,Einstellungen!$B$3,Einstellungen!$B$4)</f>
        <v>29.13</v>
      </c>
      <c r="E2715" s="14" t="str">
        <f aca="false">IF(C2715="","",C2715*D2715/100)</f>
        <v/>
      </c>
      <c r="F2715" s="15" t="str">
        <f aca="false">IF(B2715&lt;5,"Go","Standard")</f>
        <v>Standard</v>
      </c>
    </row>
    <row r="2716" customFormat="false" ht="15" hidden="false" customHeight="true" outlineLevel="0" collapsed="false">
      <c r="A2716" s="10" t="n">
        <f aca="false">Einstellungen!$B$5+INT((ROW()-9)/24)</f>
        <v>46078</v>
      </c>
      <c r="B2716" s="11" t="n">
        <f aca="false">MOD(ROW()-9,24)</f>
        <v>19</v>
      </c>
      <c r="C2716" s="12"/>
      <c r="D2716" s="13" t="n">
        <f aca="false">IF(B2716&lt;5,Einstellungen!$B$3,Einstellungen!$B$4)</f>
        <v>29.13</v>
      </c>
      <c r="E2716" s="14" t="str">
        <f aca="false">IF(C2716="","",C2716*D2716/100)</f>
        <v/>
      </c>
      <c r="F2716" s="15" t="str">
        <f aca="false">IF(B2716&lt;5,"Go","Standard")</f>
        <v>Standard</v>
      </c>
    </row>
    <row r="2717" customFormat="false" ht="15" hidden="false" customHeight="true" outlineLevel="0" collapsed="false">
      <c r="A2717" s="10" t="n">
        <f aca="false">Einstellungen!$B$5+INT((ROW()-9)/24)</f>
        <v>46078</v>
      </c>
      <c r="B2717" s="11" t="n">
        <f aca="false">MOD(ROW()-9,24)</f>
        <v>20</v>
      </c>
      <c r="C2717" s="12"/>
      <c r="D2717" s="13" t="n">
        <f aca="false">IF(B2717&lt;5,Einstellungen!$B$3,Einstellungen!$B$4)</f>
        <v>29.13</v>
      </c>
      <c r="E2717" s="14" t="str">
        <f aca="false">IF(C2717="","",C2717*D2717/100)</f>
        <v/>
      </c>
      <c r="F2717" s="15" t="str">
        <f aca="false">IF(B2717&lt;5,"Go","Standard")</f>
        <v>Standard</v>
      </c>
    </row>
    <row r="2718" customFormat="false" ht="15" hidden="false" customHeight="true" outlineLevel="0" collapsed="false">
      <c r="A2718" s="10" t="n">
        <f aca="false">Einstellungen!$B$5+INT((ROW()-9)/24)</f>
        <v>46078</v>
      </c>
      <c r="B2718" s="11" t="n">
        <f aca="false">MOD(ROW()-9,24)</f>
        <v>21</v>
      </c>
      <c r="C2718" s="12"/>
      <c r="D2718" s="13" t="n">
        <f aca="false">IF(B2718&lt;5,Einstellungen!$B$3,Einstellungen!$B$4)</f>
        <v>29.13</v>
      </c>
      <c r="E2718" s="14" t="str">
        <f aca="false">IF(C2718="","",C2718*D2718/100)</f>
        <v/>
      </c>
      <c r="F2718" s="15" t="str">
        <f aca="false">IF(B2718&lt;5,"Go","Standard")</f>
        <v>Standard</v>
      </c>
    </row>
    <row r="2719" customFormat="false" ht="15" hidden="false" customHeight="true" outlineLevel="0" collapsed="false">
      <c r="A2719" s="10" t="n">
        <f aca="false">Einstellungen!$B$5+INT((ROW()-9)/24)</f>
        <v>46078</v>
      </c>
      <c r="B2719" s="11" t="n">
        <f aca="false">MOD(ROW()-9,24)</f>
        <v>22</v>
      </c>
      <c r="C2719" s="12"/>
      <c r="D2719" s="13" t="n">
        <f aca="false">IF(B2719&lt;5,Einstellungen!$B$3,Einstellungen!$B$4)</f>
        <v>29.13</v>
      </c>
      <c r="E2719" s="14" t="str">
        <f aca="false">IF(C2719="","",C2719*D2719/100)</f>
        <v/>
      </c>
      <c r="F2719" s="15" t="str">
        <f aca="false">IF(B2719&lt;5,"Go","Standard")</f>
        <v>Standard</v>
      </c>
    </row>
    <row r="2720" customFormat="false" ht="15" hidden="false" customHeight="true" outlineLevel="0" collapsed="false">
      <c r="A2720" s="10" t="n">
        <f aca="false">Einstellungen!$B$5+INT((ROW()-9)/24)</f>
        <v>46078</v>
      </c>
      <c r="B2720" s="11" t="n">
        <f aca="false">MOD(ROW()-9,24)</f>
        <v>23</v>
      </c>
      <c r="C2720" s="12"/>
      <c r="D2720" s="13" t="n">
        <f aca="false">IF(B2720&lt;5,Einstellungen!$B$3,Einstellungen!$B$4)</f>
        <v>29.13</v>
      </c>
      <c r="E2720" s="14" t="str">
        <f aca="false">IF(C2720="","",C2720*D2720/100)</f>
        <v/>
      </c>
      <c r="F2720" s="15" t="str">
        <f aca="false">IF(B2720&lt;5,"Go","Standard")</f>
        <v>Standard</v>
      </c>
    </row>
    <row r="2721" customFormat="false" ht="15" hidden="false" customHeight="true" outlineLevel="0" collapsed="false">
      <c r="A2721" s="10" t="n">
        <f aca="false">Einstellungen!$B$5+INT((ROW()-9)/24)</f>
        <v>46079</v>
      </c>
      <c r="B2721" s="11" t="n">
        <f aca="false">MOD(ROW()-9,24)</f>
        <v>0</v>
      </c>
      <c r="C2721" s="12"/>
      <c r="D2721" s="13" t="n">
        <f aca="false">IF(B2721&lt;5,Einstellungen!$B$3,Einstellungen!$B$4)</f>
        <v>15.92</v>
      </c>
      <c r="E2721" s="14" t="str">
        <f aca="false">IF(C2721="","",C2721*D2721/100)</f>
        <v/>
      </c>
      <c r="F2721" s="15" t="str">
        <f aca="false">IF(B2721&lt;5,"Go","Standard")</f>
        <v>Go</v>
      </c>
    </row>
    <row r="2722" customFormat="false" ht="15" hidden="false" customHeight="true" outlineLevel="0" collapsed="false">
      <c r="A2722" s="10" t="n">
        <f aca="false">Einstellungen!$B$5+INT((ROW()-9)/24)</f>
        <v>46079</v>
      </c>
      <c r="B2722" s="11" t="n">
        <f aca="false">MOD(ROW()-9,24)</f>
        <v>1</v>
      </c>
      <c r="C2722" s="12"/>
      <c r="D2722" s="13" t="n">
        <f aca="false">IF(B2722&lt;5,Einstellungen!$B$3,Einstellungen!$B$4)</f>
        <v>15.92</v>
      </c>
      <c r="E2722" s="14" t="str">
        <f aca="false">IF(C2722="","",C2722*D2722/100)</f>
        <v/>
      </c>
      <c r="F2722" s="15" t="str">
        <f aca="false">IF(B2722&lt;5,"Go","Standard")</f>
        <v>Go</v>
      </c>
    </row>
    <row r="2723" customFormat="false" ht="15" hidden="false" customHeight="true" outlineLevel="0" collapsed="false">
      <c r="A2723" s="10" t="n">
        <f aca="false">Einstellungen!$B$5+INT((ROW()-9)/24)</f>
        <v>46079</v>
      </c>
      <c r="B2723" s="11" t="n">
        <f aca="false">MOD(ROW()-9,24)</f>
        <v>2</v>
      </c>
      <c r="C2723" s="12"/>
      <c r="D2723" s="13" t="n">
        <f aca="false">IF(B2723&lt;5,Einstellungen!$B$3,Einstellungen!$B$4)</f>
        <v>15.92</v>
      </c>
      <c r="E2723" s="14" t="str">
        <f aca="false">IF(C2723="","",C2723*D2723/100)</f>
        <v/>
      </c>
      <c r="F2723" s="15" t="str">
        <f aca="false">IF(B2723&lt;5,"Go","Standard")</f>
        <v>Go</v>
      </c>
    </row>
    <row r="2724" customFormat="false" ht="15" hidden="false" customHeight="true" outlineLevel="0" collapsed="false">
      <c r="A2724" s="10" t="n">
        <f aca="false">Einstellungen!$B$5+INT((ROW()-9)/24)</f>
        <v>46079</v>
      </c>
      <c r="B2724" s="11" t="n">
        <f aca="false">MOD(ROW()-9,24)</f>
        <v>3</v>
      </c>
      <c r="C2724" s="12"/>
      <c r="D2724" s="13" t="n">
        <f aca="false">IF(B2724&lt;5,Einstellungen!$B$3,Einstellungen!$B$4)</f>
        <v>15.92</v>
      </c>
      <c r="E2724" s="14" t="str">
        <f aca="false">IF(C2724="","",C2724*D2724/100)</f>
        <v/>
      </c>
      <c r="F2724" s="15" t="str">
        <f aca="false">IF(B2724&lt;5,"Go","Standard")</f>
        <v>Go</v>
      </c>
    </row>
    <row r="2725" customFormat="false" ht="15" hidden="false" customHeight="true" outlineLevel="0" collapsed="false">
      <c r="A2725" s="10" t="n">
        <f aca="false">Einstellungen!$B$5+INT((ROW()-9)/24)</f>
        <v>46079</v>
      </c>
      <c r="B2725" s="11" t="n">
        <f aca="false">MOD(ROW()-9,24)</f>
        <v>4</v>
      </c>
      <c r="C2725" s="12"/>
      <c r="D2725" s="13" t="n">
        <f aca="false">IF(B2725&lt;5,Einstellungen!$B$3,Einstellungen!$B$4)</f>
        <v>15.92</v>
      </c>
      <c r="E2725" s="14" t="str">
        <f aca="false">IF(C2725="","",C2725*D2725/100)</f>
        <v/>
      </c>
      <c r="F2725" s="15" t="str">
        <f aca="false">IF(B2725&lt;5,"Go","Standard")</f>
        <v>Go</v>
      </c>
    </row>
    <row r="2726" customFormat="false" ht="15" hidden="false" customHeight="true" outlineLevel="0" collapsed="false">
      <c r="A2726" s="10" t="n">
        <f aca="false">Einstellungen!$B$5+INT((ROW()-9)/24)</f>
        <v>46079</v>
      </c>
      <c r="B2726" s="11" t="n">
        <f aca="false">MOD(ROW()-9,24)</f>
        <v>5</v>
      </c>
      <c r="C2726" s="12"/>
      <c r="D2726" s="13" t="n">
        <f aca="false">IF(B2726&lt;5,Einstellungen!$B$3,Einstellungen!$B$4)</f>
        <v>29.13</v>
      </c>
      <c r="E2726" s="14" t="str">
        <f aca="false">IF(C2726="","",C2726*D2726/100)</f>
        <v/>
      </c>
      <c r="F2726" s="15" t="str">
        <f aca="false">IF(B2726&lt;5,"Go","Standard")</f>
        <v>Standard</v>
      </c>
    </row>
    <row r="2727" customFormat="false" ht="15" hidden="false" customHeight="true" outlineLevel="0" collapsed="false">
      <c r="A2727" s="10" t="n">
        <f aca="false">Einstellungen!$B$5+INT((ROW()-9)/24)</f>
        <v>46079</v>
      </c>
      <c r="B2727" s="11" t="n">
        <f aca="false">MOD(ROW()-9,24)</f>
        <v>6</v>
      </c>
      <c r="C2727" s="12"/>
      <c r="D2727" s="13" t="n">
        <f aca="false">IF(B2727&lt;5,Einstellungen!$B$3,Einstellungen!$B$4)</f>
        <v>29.13</v>
      </c>
      <c r="E2727" s="14" t="str">
        <f aca="false">IF(C2727="","",C2727*D2727/100)</f>
        <v/>
      </c>
      <c r="F2727" s="15" t="str">
        <f aca="false">IF(B2727&lt;5,"Go","Standard")</f>
        <v>Standard</v>
      </c>
    </row>
    <row r="2728" customFormat="false" ht="15" hidden="false" customHeight="true" outlineLevel="0" collapsed="false">
      <c r="A2728" s="10" t="n">
        <f aca="false">Einstellungen!$B$5+INT((ROW()-9)/24)</f>
        <v>46079</v>
      </c>
      <c r="B2728" s="11" t="n">
        <f aca="false">MOD(ROW()-9,24)</f>
        <v>7</v>
      </c>
      <c r="C2728" s="12"/>
      <c r="D2728" s="13" t="n">
        <f aca="false">IF(B2728&lt;5,Einstellungen!$B$3,Einstellungen!$B$4)</f>
        <v>29.13</v>
      </c>
      <c r="E2728" s="14" t="str">
        <f aca="false">IF(C2728="","",C2728*D2728/100)</f>
        <v/>
      </c>
      <c r="F2728" s="15" t="str">
        <f aca="false">IF(B2728&lt;5,"Go","Standard")</f>
        <v>Standard</v>
      </c>
    </row>
    <row r="2729" customFormat="false" ht="15" hidden="false" customHeight="true" outlineLevel="0" collapsed="false">
      <c r="A2729" s="10" t="n">
        <f aca="false">Einstellungen!$B$5+INT((ROW()-9)/24)</f>
        <v>46079</v>
      </c>
      <c r="B2729" s="11" t="n">
        <f aca="false">MOD(ROW()-9,24)</f>
        <v>8</v>
      </c>
      <c r="C2729" s="12"/>
      <c r="D2729" s="13" t="n">
        <f aca="false">IF(B2729&lt;5,Einstellungen!$B$3,Einstellungen!$B$4)</f>
        <v>29.13</v>
      </c>
      <c r="E2729" s="14" t="str">
        <f aca="false">IF(C2729="","",C2729*D2729/100)</f>
        <v/>
      </c>
      <c r="F2729" s="15" t="str">
        <f aca="false">IF(B2729&lt;5,"Go","Standard")</f>
        <v>Standard</v>
      </c>
    </row>
    <row r="2730" customFormat="false" ht="15" hidden="false" customHeight="true" outlineLevel="0" collapsed="false">
      <c r="A2730" s="10" t="n">
        <f aca="false">Einstellungen!$B$5+INT((ROW()-9)/24)</f>
        <v>46079</v>
      </c>
      <c r="B2730" s="11" t="n">
        <f aca="false">MOD(ROW()-9,24)</f>
        <v>9</v>
      </c>
      <c r="C2730" s="12"/>
      <c r="D2730" s="13" t="n">
        <f aca="false">IF(B2730&lt;5,Einstellungen!$B$3,Einstellungen!$B$4)</f>
        <v>29.13</v>
      </c>
      <c r="E2730" s="14" t="str">
        <f aca="false">IF(C2730="","",C2730*D2730/100)</f>
        <v/>
      </c>
      <c r="F2730" s="15" t="str">
        <f aca="false">IF(B2730&lt;5,"Go","Standard")</f>
        <v>Standard</v>
      </c>
    </row>
    <row r="2731" customFormat="false" ht="15" hidden="false" customHeight="true" outlineLevel="0" collapsed="false">
      <c r="A2731" s="10" t="n">
        <f aca="false">Einstellungen!$B$5+INT((ROW()-9)/24)</f>
        <v>46079</v>
      </c>
      <c r="B2731" s="11" t="n">
        <f aca="false">MOD(ROW()-9,24)</f>
        <v>10</v>
      </c>
      <c r="C2731" s="12"/>
      <c r="D2731" s="13" t="n">
        <f aca="false">IF(B2731&lt;5,Einstellungen!$B$3,Einstellungen!$B$4)</f>
        <v>29.13</v>
      </c>
      <c r="E2731" s="14" t="str">
        <f aca="false">IF(C2731="","",C2731*D2731/100)</f>
        <v/>
      </c>
      <c r="F2731" s="15" t="str">
        <f aca="false">IF(B2731&lt;5,"Go","Standard")</f>
        <v>Standard</v>
      </c>
    </row>
    <row r="2732" customFormat="false" ht="15" hidden="false" customHeight="true" outlineLevel="0" collapsed="false">
      <c r="A2732" s="10" t="n">
        <f aca="false">Einstellungen!$B$5+INT((ROW()-9)/24)</f>
        <v>46079</v>
      </c>
      <c r="B2732" s="11" t="n">
        <f aca="false">MOD(ROW()-9,24)</f>
        <v>11</v>
      </c>
      <c r="C2732" s="12"/>
      <c r="D2732" s="13" t="n">
        <f aca="false">IF(B2732&lt;5,Einstellungen!$B$3,Einstellungen!$B$4)</f>
        <v>29.13</v>
      </c>
      <c r="E2732" s="14" t="str">
        <f aca="false">IF(C2732="","",C2732*D2732/100)</f>
        <v/>
      </c>
      <c r="F2732" s="15" t="str">
        <f aca="false">IF(B2732&lt;5,"Go","Standard")</f>
        <v>Standard</v>
      </c>
    </row>
    <row r="2733" customFormat="false" ht="15" hidden="false" customHeight="true" outlineLevel="0" collapsed="false">
      <c r="A2733" s="10" t="n">
        <f aca="false">Einstellungen!$B$5+INT((ROW()-9)/24)</f>
        <v>46079</v>
      </c>
      <c r="B2733" s="11" t="n">
        <f aca="false">MOD(ROW()-9,24)</f>
        <v>12</v>
      </c>
      <c r="C2733" s="12"/>
      <c r="D2733" s="13" t="n">
        <f aca="false">IF(B2733&lt;5,Einstellungen!$B$3,Einstellungen!$B$4)</f>
        <v>29.13</v>
      </c>
      <c r="E2733" s="14" t="str">
        <f aca="false">IF(C2733="","",C2733*D2733/100)</f>
        <v/>
      </c>
      <c r="F2733" s="15" t="str">
        <f aca="false">IF(B2733&lt;5,"Go","Standard")</f>
        <v>Standard</v>
      </c>
    </row>
    <row r="2734" customFormat="false" ht="15" hidden="false" customHeight="true" outlineLevel="0" collapsed="false">
      <c r="A2734" s="10" t="n">
        <f aca="false">Einstellungen!$B$5+INT((ROW()-9)/24)</f>
        <v>46079</v>
      </c>
      <c r="B2734" s="11" t="n">
        <f aca="false">MOD(ROW()-9,24)</f>
        <v>13</v>
      </c>
      <c r="C2734" s="12"/>
      <c r="D2734" s="13" t="n">
        <f aca="false">IF(B2734&lt;5,Einstellungen!$B$3,Einstellungen!$B$4)</f>
        <v>29.13</v>
      </c>
      <c r="E2734" s="14" t="str">
        <f aca="false">IF(C2734="","",C2734*D2734/100)</f>
        <v/>
      </c>
      <c r="F2734" s="15" t="str">
        <f aca="false">IF(B2734&lt;5,"Go","Standard")</f>
        <v>Standard</v>
      </c>
    </row>
    <row r="2735" customFormat="false" ht="15" hidden="false" customHeight="true" outlineLevel="0" collapsed="false">
      <c r="A2735" s="10" t="n">
        <f aca="false">Einstellungen!$B$5+INT((ROW()-9)/24)</f>
        <v>46079</v>
      </c>
      <c r="B2735" s="11" t="n">
        <f aca="false">MOD(ROW()-9,24)</f>
        <v>14</v>
      </c>
      <c r="C2735" s="12"/>
      <c r="D2735" s="13" t="n">
        <f aca="false">IF(B2735&lt;5,Einstellungen!$B$3,Einstellungen!$B$4)</f>
        <v>29.13</v>
      </c>
      <c r="E2735" s="14" t="str">
        <f aca="false">IF(C2735="","",C2735*D2735/100)</f>
        <v/>
      </c>
      <c r="F2735" s="15" t="str">
        <f aca="false">IF(B2735&lt;5,"Go","Standard")</f>
        <v>Standard</v>
      </c>
    </row>
    <row r="2736" customFormat="false" ht="15" hidden="false" customHeight="true" outlineLevel="0" collapsed="false">
      <c r="A2736" s="10" t="n">
        <f aca="false">Einstellungen!$B$5+INT((ROW()-9)/24)</f>
        <v>46079</v>
      </c>
      <c r="B2736" s="11" t="n">
        <f aca="false">MOD(ROW()-9,24)</f>
        <v>15</v>
      </c>
      <c r="C2736" s="12"/>
      <c r="D2736" s="13" t="n">
        <f aca="false">IF(B2736&lt;5,Einstellungen!$B$3,Einstellungen!$B$4)</f>
        <v>29.13</v>
      </c>
      <c r="E2736" s="14" t="str">
        <f aca="false">IF(C2736="","",C2736*D2736/100)</f>
        <v/>
      </c>
      <c r="F2736" s="15" t="str">
        <f aca="false">IF(B2736&lt;5,"Go","Standard")</f>
        <v>Standard</v>
      </c>
    </row>
    <row r="2737" customFormat="false" ht="15" hidden="false" customHeight="true" outlineLevel="0" collapsed="false">
      <c r="A2737" s="10" t="n">
        <f aca="false">Einstellungen!$B$5+INT((ROW()-9)/24)</f>
        <v>46079</v>
      </c>
      <c r="B2737" s="11" t="n">
        <f aca="false">MOD(ROW()-9,24)</f>
        <v>16</v>
      </c>
      <c r="C2737" s="12"/>
      <c r="D2737" s="13" t="n">
        <f aca="false">IF(B2737&lt;5,Einstellungen!$B$3,Einstellungen!$B$4)</f>
        <v>29.13</v>
      </c>
      <c r="E2737" s="14" t="str">
        <f aca="false">IF(C2737="","",C2737*D2737/100)</f>
        <v/>
      </c>
      <c r="F2737" s="15" t="str">
        <f aca="false">IF(B2737&lt;5,"Go","Standard")</f>
        <v>Standard</v>
      </c>
    </row>
    <row r="2738" customFormat="false" ht="15" hidden="false" customHeight="true" outlineLevel="0" collapsed="false">
      <c r="A2738" s="10" t="n">
        <f aca="false">Einstellungen!$B$5+INT((ROW()-9)/24)</f>
        <v>46079</v>
      </c>
      <c r="B2738" s="11" t="n">
        <f aca="false">MOD(ROW()-9,24)</f>
        <v>17</v>
      </c>
      <c r="C2738" s="12"/>
      <c r="D2738" s="13" t="n">
        <f aca="false">IF(B2738&lt;5,Einstellungen!$B$3,Einstellungen!$B$4)</f>
        <v>29.13</v>
      </c>
      <c r="E2738" s="14" t="str">
        <f aca="false">IF(C2738="","",C2738*D2738/100)</f>
        <v/>
      </c>
      <c r="F2738" s="15" t="str">
        <f aca="false">IF(B2738&lt;5,"Go","Standard")</f>
        <v>Standard</v>
      </c>
    </row>
    <row r="2739" customFormat="false" ht="15" hidden="false" customHeight="true" outlineLevel="0" collapsed="false">
      <c r="A2739" s="10" t="n">
        <f aca="false">Einstellungen!$B$5+INT((ROW()-9)/24)</f>
        <v>46079</v>
      </c>
      <c r="B2739" s="11" t="n">
        <f aca="false">MOD(ROW()-9,24)</f>
        <v>18</v>
      </c>
      <c r="C2739" s="12"/>
      <c r="D2739" s="13" t="n">
        <f aca="false">IF(B2739&lt;5,Einstellungen!$B$3,Einstellungen!$B$4)</f>
        <v>29.13</v>
      </c>
      <c r="E2739" s="14" t="str">
        <f aca="false">IF(C2739="","",C2739*D2739/100)</f>
        <v/>
      </c>
      <c r="F2739" s="15" t="str">
        <f aca="false">IF(B2739&lt;5,"Go","Standard")</f>
        <v>Standard</v>
      </c>
    </row>
    <row r="2740" customFormat="false" ht="15" hidden="false" customHeight="true" outlineLevel="0" collapsed="false">
      <c r="A2740" s="10" t="n">
        <f aca="false">Einstellungen!$B$5+INT((ROW()-9)/24)</f>
        <v>46079</v>
      </c>
      <c r="B2740" s="11" t="n">
        <f aca="false">MOD(ROW()-9,24)</f>
        <v>19</v>
      </c>
      <c r="C2740" s="12"/>
      <c r="D2740" s="13" t="n">
        <f aca="false">IF(B2740&lt;5,Einstellungen!$B$3,Einstellungen!$B$4)</f>
        <v>29.13</v>
      </c>
      <c r="E2740" s="14" t="str">
        <f aca="false">IF(C2740="","",C2740*D2740/100)</f>
        <v/>
      </c>
      <c r="F2740" s="15" t="str">
        <f aca="false">IF(B2740&lt;5,"Go","Standard")</f>
        <v>Standard</v>
      </c>
    </row>
    <row r="2741" customFormat="false" ht="15" hidden="false" customHeight="true" outlineLevel="0" collapsed="false">
      <c r="A2741" s="10" t="n">
        <f aca="false">Einstellungen!$B$5+INT((ROW()-9)/24)</f>
        <v>46079</v>
      </c>
      <c r="B2741" s="11" t="n">
        <f aca="false">MOD(ROW()-9,24)</f>
        <v>20</v>
      </c>
      <c r="C2741" s="12"/>
      <c r="D2741" s="13" t="n">
        <f aca="false">IF(B2741&lt;5,Einstellungen!$B$3,Einstellungen!$B$4)</f>
        <v>29.13</v>
      </c>
      <c r="E2741" s="14" t="str">
        <f aca="false">IF(C2741="","",C2741*D2741/100)</f>
        <v/>
      </c>
      <c r="F2741" s="15" t="str">
        <f aca="false">IF(B2741&lt;5,"Go","Standard")</f>
        <v>Standard</v>
      </c>
    </row>
    <row r="2742" customFormat="false" ht="15" hidden="false" customHeight="true" outlineLevel="0" collapsed="false">
      <c r="A2742" s="10" t="n">
        <f aca="false">Einstellungen!$B$5+INT((ROW()-9)/24)</f>
        <v>46079</v>
      </c>
      <c r="B2742" s="11" t="n">
        <f aca="false">MOD(ROW()-9,24)</f>
        <v>21</v>
      </c>
      <c r="C2742" s="12"/>
      <c r="D2742" s="13" t="n">
        <f aca="false">IF(B2742&lt;5,Einstellungen!$B$3,Einstellungen!$B$4)</f>
        <v>29.13</v>
      </c>
      <c r="E2742" s="14" t="str">
        <f aca="false">IF(C2742="","",C2742*D2742/100)</f>
        <v/>
      </c>
      <c r="F2742" s="15" t="str">
        <f aca="false">IF(B2742&lt;5,"Go","Standard")</f>
        <v>Standard</v>
      </c>
    </row>
    <row r="2743" customFormat="false" ht="15" hidden="false" customHeight="true" outlineLevel="0" collapsed="false">
      <c r="A2743" s="10" t="n">
        <f aca="false">Einstellungen!$B$5+INT((ROW()-9)/24)</f>
        <v>46079</v>
      </c>
      <c r="B2743" s="11" t="n">
        <f aca="false">MOD(ROW()-9,24)</f>
        <v>22</v>
      </c>
      <c r="C2743" s="12"/>
      <c r="D2743" s="13" t="n">
        <f aca="false">IF(B2743&lt;5,Einstellungen!$B$3,Einstellungen!$B$4)</f>
        <v>29.13</v>
      </c>
      <c r="E2743" s="14" t="str">
        <f aca="false">IF(C2743="","",C2743*D2743/100)</f>
        <v/>
      </c>
      <c r="F2743" s="15" t="str">
        <f aca="false">IF(B2743&lt;5,"Go","Standard")</f>
        <v>Standard</v>
      </c>
    </row>
    <row r="2744" customFormat="false" ht="15" hidden="false" customHeight="true" outlineLevel="0" collapsed="false">
      <c r="A2744" s="10" t="n">
        <f aca="false">Einstellungen!$B$5+INT((ROW()-9)/24)</f>
        <v>46079</v>
      </c>
      <c r="B2744" s="11" t="n">
        <f aca="false">MOD(ROW()-9,24)</f>
        <v>23</v>
      </c>
      <c r="C2744" s="12"/>
      <c r="D2744" s="13" t="n">
        <f aca="false">IF(B2744&lt;5,Einstellungen!$B$3,Einstellungen!$B$4)</f>
        <v>29.13</v>
      </c>
      <c r="E2744" s="14" t="str">
        <f aca="false">IF(C2744="","",C2744*D2744/100)</f>
        <v/>
      </c>
      <c r="F2744" s="15" t="str">
        <f aca="false">IF(B2744&lt;5,"Go","Standard")</f>
        <v>Standard</v>
      </c>
    </row>
    <row r="2745" customFormat="false" ht="15" hidden="false" customHeight="true" outlineLevel="0" collapsed="false">
      <c r="A2745" s="10" t="n">
        <f aca="false">Einstellungen!$B$5+INT((ROW()-9)/24)</f>
        <v>46080</v>
      </c>
      <c r="B2745" s="11" t="n">
        <f aca="false">MOD(ROW()-9,24)</f>
        <v>0</v>
      </c>
      <c r="C2745" s="12"/>
      <c r="D2745" s="13" t="n">
        <f aca="false">IF(B2745&lt;5,Einstellungen!$B$3,Einstellungen!$B$4)</f>
        <v>15.92</v>
      </c>
      <c r="E2745" s="14" t="str">
        <f aca="false">IF(C2745="","",C2745*D2745/100)</f>
        <v/>
      </c>
      <c r="F2745" s="15" t="str">
        <f aca="false">IF(B2745&lt;5,"Go","Standard")</f>
        <v>Go</v>
      </c>
    </row>
    <row r="2746" customFormat="false" ht="15" hidden="false" customHeight="true" outlineLevel="0" collapsed="false">
      <c r="A2746" s="10" t="n">
        <f aca="false">Einstellungen!$B$5+INT((ROW()-9)/24)</f>
        <v>46080</v>
      </c>
      <c r="B2746" s="11" t="n">
        <f aca="false">MOD(ROW()-9,24)</f>
        <v>1</v>
      </c>
      <c r="C2746" s="12"/>
      <c r="D2746" s="13" t="n">
        <f aca="false">IF(B2746&lt;5,Einstellungen!$B$3,Einstellungen!$B$4)</f>
        <v>15.92</v>
      </c>
      <c r="E2746" s="14" t="str">
        <f aca="false">IF(C2746="","",C2746*D2746/100)</f>
        <v/>
      </c>
      <c r="F2746" s="15" t="str">
        <f aca="false">IF(B2746&lt;5,"Go","Standard")</f>
        <v>Go</v>
      </c>
    </row>
    <row r="2747" customFormat="false" ht="15" hidden="false" customHeight="true" outlineLevel="0" collapsed="false">
      <c r="A2747" s="10" t="n">
        <f aca="false">Einstellungen!$B$5+INT((ROW()-9)/24)</f>
        <v>46080</v>
      </c>
      <c r="B2747" s="11" t="n">
        <f aca="false">MOD(ROW()-9,24)</f>
        <v>2</v>
      </c>
      <c r="C2747" s="12"/>
      <c r="D2747" s="13" t="n">
        <f aca="false">IF(B2747&lt;5,Einstellungen!$B$3,Einstellungen!$B$4)</f>
        <v>15.92</v>
      </c>
      <c r="E2747" s="14" t="str">
        <f aca="false">IF(C2747="","",C2747*D2747/100)</f>
        <v/>
      </c>
      <c r="F2747" s="15" t="str">
        <f aca="false">IF(B2747&lt;5,"Go","Standard")</f>
        <v>Go</v>
      </c>
    </row>
    <row r="2748" customFormat="false" ht="15" hidden="false" customHeight="true" outlineLevel="0" collapsed="false">
      <c r="A2748" s="10" t="n">
        <f aca="false">Einstellungen!$B$5+INT((ROW()-9)/24)</f>
        <v>46080</v>
      </c>
      <c r="B2748" s="11" t="n">
        <f aca="false">MOD(ROW()-9,24)</f>
        <v>3</v>
      </c>
      <c r="C2748" s="12"/>
      <c r="D2748" s="13" t="n">
        <f aca="false">IF(B2748&lt;5,Einstellungen!$B$3,Einstellungen!$B$4)</f>
        <v>15.92</v>
      </c>
      <c r="E2748" s="14" t="str">
        <f aca="false">IF(C2748="","",C2748*D2748/100)</f>
        <v/>
      </c>
      <c r="F2748" s="15" t="str">
        <f aca="false">IF(B2748&lt;5,"Go","Standard")</f>
        <v>Go</v>
      </c>
    </row>
    <row r="2749" customFormat="false" ht="15" hidden="false" customHeight="true" outlineLevel="0" collapsed="false">
      <c r="A2749" s="10" t="n">
        <f aca="false">Einstellungen!$B$5+INT((ROW()-9)/24)</f>
        <v>46080</v>
      </c>
      <c r="B2749" s="11" t="n">
        <f aca="false">MOD(ROW()-9,24)</f>
        <v>4</v>
      </c>
      <c r="C2749" s="12"/>
      <c r="D2749" s="13" t="n">
        <f aca="false">IF(B2749&lt;5,Einstellungen!$B$3,Einstellungen!$B$4)</f>
        <v>15.92</v>
      </c>
      <c r="E2749" s="14" t="str">
        <f aca="false">IF(C2749="","",C2749*D2749/100)</f>
        <v/>
      </c>
      <c r="F2749" s="15" t="str">
        <f aca="false">IF(B2749&lt;5,"Go","Standard")</f>
        <v>Go</v>
      </c>
    </row>
    <row r="2750" customFormat="false" ht="15" hidden="false" customHeight="true" outlineLevel="0" collapsed="false">
      <c r="A2750" s="10" t="n">
        <f aca="false">Einstellungen!$B$5+INT((ROW()-9)/24)</f>
        <v>46080</v>
      </c>
      <c r="B2750" s="11" t="n">
        <f aca="false">MOD(ROW()-9,24)</f>
        <v>5</v>
      </c>
      <c r="C2750" s="12"/>
      <c r="D2750" s="13" t="n">
        <f aca="false">IF(B2750&lt;5,Einstellungen!$B$3,Einstellungen!$B$4)</f>
        <v>29.13</v>
      </c>
      <c r="E2750" s="14" t="str">
        <f aca="false">IF(C2750="","",C2750*D2750/100)</f>
        <v/>
      </c>
      <c r="F2750" s="15" t="str">
        <f aca="false">IF(B2750&lt;5,"Go","Standard")</f>
        <v>Standard</v>
      </c>
    </row>
    <row r="2751" customFormat="false" ht="15" hidden="false" customHeight="true" outlineLevel="0" collapsed="false">
      <c r="A2751" s="10" t="n">
        <f aca="false">Einstellungen!$B$5+INT((ROW()-9)/24)</f>
        <v>46080</v>
      </c>
      <c r="B2751" s="11" t="n">
        <f aca="false">MOD(ROW()-9,24)</f>
        <v>6</v>
      </c>
      <c r="C2751" s="12"/>
      <c r="D2751" s="13" t="n">
        <f aca="false">IF(B2751&lt;5,Einstellungen!$B$3,Einstellungen!$B$4)</f>
        <v>29.13</v>
      </c>
      <c r="E2751" s="14" t="str">
        <f aca="false">IF(C2751="","",C2751*D2751/100)</f>
        <v/>
      </c>
      <c r="F2751" s="15" t="str">
        <f aca="false">IF(B2751&lt;5,"Go","Standard")</f>
        <v>Standard</v>
      </c>
    </row>
    <row r="2752" customFormat="false" ht="15" hidden="false" customHeight="true" outlineLevel="0" collapsed="false">
      <c r="A2752" s="10" t="n">
        <f aca="false">Einstellungen!$B$5+INT((ROW()-9)/24)</f>
        <v>46080</v>
      </c>
      <c r="B2752" s="11" t="n">
        <f aca="false">MOD(ROW()-9,24)</f>
        <v>7</v>
      </c>
      <c r="C2752" s="12"/>
      <c r="D2752" s="13" t="n">
        <f aca="false">IF(B2752&lt;5,Einstellungen!$B$3,Einstellungen!$B$4)</f>
        <v>29.13</v>
      </c>
      <c r="E2752" s="14" t="str">
        <f aca="false">IF(C2752="","",C2752*D2752/100)</f>
        <v/>
      </c>
      <c r="F2752" s="15" t="str">
        <f aca="false">IF(B2752&lt;5,"Go","Standard")</f>
        <v>Standard</v>
      </c>
    </row>
    <row r="2753" customFormat="false" ht="15" hidden="false" customHeight="true" outlineLevel="0" collapsed="false">
      <c r="A2753" s="10" t="n">
        <f aca="false">Einstellungen!$B$5+INT((ROW()-9)/24)</f>
        <v>46080</v>
      </c>
      <c r="B2753" s="11" t="n">
        <f aca="false">MOD(ROW()-9,24)</f>
        <v>8</v>
      </c>
      <c r="C2753" s="12"/>
      <c r="D2753" s="13" t="n">
        <f aca="false">IF(B2753&lt;5,Einstellungen!$B$3,Einstellungen!$B$4)</f>
        <v>29.13</v>
      </c>
      <c r="E2753" s="14" t="str">
        <f aca="false">IF(C2753="","",C2753*D2753/100)</f>
        <v/>
      </c>
      <c r="F2753" s="15" t="str">
        <f aca="false">IF(B2753&lt;5,"Go","Standard")</f>
        <v>Standard</v>
      </c>
    </row>
    <row r="2754" customFormat="false" ht="15" hidden="false" customHeight="true" outlineLevel="0" collapsed="false">
      <c r="A2754" s="10" t="n">
        <f aca="false">Einstellungen!$B$5+INT((ROW()-9)/24)</f>
        <v>46080</v>
      </c>
      <c r="B2754" s="11" t="n">
        <f aca="false">MOD(ROW()-9,24)</f>
        <v>9</v>
      </c>
      <c r="C2754" s="12"/>
      <c r="D2754" s="13" t="n">
        <f aca="false">IF(B2754&lt;5,Einstellungen!$B$3,Einstellungen!$B$4)</f>
        <v>29.13</v>
      </c>
      <c r="E2754" s="14" t="str">
        <f aca="false">IF(C2754="","",C2754*D2754/100)</f>
        <v/>
      </c>
      <c r="F2754" s="15" t="str">
        <f aca="false">IF(B2754&lt;5,"Go","Standard")</f>
        <v>Standard</v>
      </c>
    </row>
    <row r="2755" customFormat="false" ht="15" hidden="false" customHeight="true" outlineLevel="0" collapsed="false">
      <c r="A2755" s="10" t="n">
        <f aca="false">Einstellungen!$B$5+INT((ROW()-9)/24)</f>
        <v>46080</v>
      </c>
      <c r="B2755" s="11" t="n">
        <f aca="false">MOD(ROW()-9,24)</f>
        <v>10</v>
      </c>
      <c r="C2755" s="12"/>
      <c r="D2755" s="13" t="n">
        <f aca="false">IF(B2755&lt;5,Einstellungen!$B$3,Einstellungen!$B$4)</f>
        <v>29.13</v>
      </c>
      <c r="E2755" s="14" t="str">
        <f aca="false">IF(C2755="","",C2755*D2755/100)</f>
        <v/>
      </c>
      <c r="F2755" s="15" t="str">
        <f aca="false">IF(B2755&lt;5,"Go","Standard")</f>
        <v>Standard</v>
      </c>
    </row>
    <row r="2756" customFormat="false" ht="15" hidden="false" customHeight="true" outlineLevel="0" collapsed="false">
      <c r="A2756" s="10" t="n">
        <f aca="false">Einstellungen!$B$5+INT((ROW()-9)/24)</f>
        <v>46080</v>
      </c>
      <c r="B2756" s="11" t="n">
        <f aca="false">MOD(ROW()-9,24)</f>
        <v>11</v>
      </c>
      <c r="C2756" s="12"/>
      <c r="D2756" s="13" t="n">
        <f aca="false">IF(B2756&lt;5,Einstellungen!$B$3,Einstellungen!$B$4)</f>
        <v>29.13</v>
      </c>
      <c r="E2756" s="14" t="str">
        <f aca="false">IF(C2756="","",C2756*D2756/100)</f>
        <v/>
      </c>
      <c r="F2756" s="15" t="str">
        <f aca="false">IF(B2756&lt;5,"Go","Standard")</f>
        <v>Standard</v>
      </c>
    </row>
    <row r="2757" customFormat="false" ht="15" hidden="false" customHeight="true" outlineLevel="0" collapsed="false">
      <c r="A2757" s="10" t="n">
        <f aca="false">Einstellungen!$B$5+INT((ROW()-9)/24)</f>
        <v>46080</v>
      </c>
      <c r="B2757" s="11" t="n">
        <f aca="false">MOD(ROW()-9,24)</f>
        <v>12</v>
      </c>
      <c r="C2757" s="12"/>
      <c r="D2757" s="13" t="n">
        <f aca="false">IF(B2757&lt;5,Einstellungen!$B$3,Einstellungen!$B$4)</f>
        <v>29.13</v>
      </c>
      <c r="E2757" s="14" t="str">
        <f aca="false">IF(C2757="","",C2757*D2757/100)</f>
        <v/>
      </c>
      <c r="F2757" s="15" t="str">
        <f aca="false">IF(B2757&lt;5,"Go","Standard")</f>
        <v>Standard</v>
      </c>
    </row>
    <row r="2758" customFormat="false" ht="15" hidden="false" customHeight="true" outlineLevel="0" collapsed="false">
      <c r="A2758" s="10" t="n">
        <f aca="false">Einstellungen!$B$5+INT((ROW()-9)/24)</f>
        <v>46080</v>
      </c>
      <c r="B2758" s="11" t="n">
        <f aca="false">MOD(ROW()-9,24)</f>
        <v>13</v>
      </c>
      <c r="C2758" s="12"/>
      <c r="D2758" s="13" t="n">
        <f aca="false">IF(B2758&lt;5,Einstellungen!$B$3,Einstellungen!$B$4)</f>
        <v>29.13</v>
      </c>
      <c r="E2758" s="14" t="str">
        <f aca="false">IF(C2758="","",C2758*D2758/100)</f>
        <v/>
      </c>
      <c r="F2758" s="15" t="str">
        <f aca="false">IF(B2758&lt;5,"Go","Standard")</f>
        <v>Standard</v>
      </c>
    </row>
    <row r="2759" customFormat="false" ht="15" hidden="false" customHeight="true" outlineLevel="0" collapsed="false">
      <c r="A2759" s="10" t="n">
        <f aca="false">Einstellungen!$B$5+INT((ROW()-9)/24)</f>
        <v>46080</v>
      </c>
      <c r="B2759" s="11" t="n">
        <f aca="false">MOD(ROW()-9,24)</f>
        <v>14</v>
      </c>
      <c r="C2759" s="12"/>
      <c r="D2759" s="13" t="n">
        <f aca="false">IF(B2759&lt;5,Einstellungen!$B$3,Einstellungen!$B$4)</f>
        <v>29.13</v>
      </c>
      <c r="E2759" s="14" t="str">
        <f aca="false">IF(C2759="","",C2759*D2759/100)</f>
        <v/>
      </c>
      <c r="F2759" s="15" t="str">
        <f aca="false">IF(B2759&lt;5,"Go","Standard")</f>
        <v>Standard</v>
      </c>
    </row>
    <row r="2760" customFormat="false" ht="15" hidden="false" customHeight="true" outlineLevel="0" collapsed="false">
      <c r="A2760" s="10" t="n">
        <f aca="false">Einstellungen!$B$5+INT((ROW()-9)/24)</f>
        <v>46080</v>
      </c>
      <c r="B2760" s="11" t="n">
        <f aca="false">MOD(ROW()-9,24)</f>
        <v>15</v>
      </c>
      <c r="C2760" s="12"/>
      <c r="D2760" s="13" t="n">
        <f aca="false">IF(B2760&lt;5,Einstellungen!$B$3,Einstellungen!$B$4)</f>
        <v>29.13</v>
      </c>
      <c r="E2760" s="14" t="str">
        <f aca="false">IF(C2760="","",C2760*D2760/100)</f>
        <v/>
      </c>
      <c r="F2760" s="15" t="str">
        <f aca="false">IF(B2760&lt;5,"Go","Standard")</f>
        <v>Standard</v>
      </c>
    </row>
    <row r="2761" customFormat="false" ht="15" hidden="false" customHeight="true" outlineLevel="0" collapsed="false">
      <c r="A2761" s="10" t="n">
        <f aca="false">Einstellungen!$B$5+INT((ROW()-9)/24)</f>
        <v>46080</v>
      </c>
      <c r="B2761" s="11" t="n">
        <f aca="false">MOD(ROW()-9,24)</f>
        <v>16</v>
      </c>
      <c r="C2761" s="12"/>
      <c r="D2761" s="13" t="n">
        <f aca="false">IF(B2761&lt;5,Einstellungen!$B$3,Einstellungen!$B$4)</f>
        <v>29.13</v>
      </c>
      <c r="E2761" s="14" t="str">
        <f aca="false">IF(C2761="","",C2761*D2761/100)</f>
        <v/>
      </c>
      <c r="F2761" s="15" t="str">
        <f aca="false">IF(B2761&lt;5,"Go","Standard")</f>
        <v>Standard</v>
      </c>
    </row>
    <row r="2762" customFormat="false" ht="15" hidden="false" customHeight="true" outlineLevel="0" collapsed="false">
      <c r="A2762" s="10" t="n">
        <f aca="false">Einstellungen!$B$5+INT((ROW()-9)/24)</f>
        <v>46080</v>
      </c>
      <c r="B2762" s="11" t="n">
        <f aca="false">MOD(ROW()-9,24)</f>
        <v>17</v>
      </c>
      <c r="C2762" s="12"/>
      <c r="D2762" s="13" t="n">
        <f aca="false">IF(B2762&lt;5,Einstellungen!$B$3,Einstellungen!$B$4)</f>
        <v>29.13</v>
      </c>
      <c r="E2762" s="14" t="str">
        <f aca="false">IF(C2762="","",C2762*D2762/100)</f>
        <v/>
      </c>
      <c r="F2762" s="15" t="str">
        <f aca="false">IF(B2762&lt;5,"Go","Standard")</f>
        <v>Standard</v>
      </c>
    </row>
    <row r="2763" customFormat="false" ht="15" hidden="false" customHeight="true" outlineLevel="0" collapsed="false">
      <c r="A2763" s="10" t="n">
        <f aca="false">Einstellungen!$B$5+INT((ROW()-9)/24)</f>
        <v>46080</v>
      </c>
      <c r="B2763" s="11" t="n">
        <f aca="false">MOD(ROW()-9,24)</f>
        <v>18</v>
      </c>
      <c r="C2763" s="12"/>
      <c r="D2763" s="13" t="n">
        <f aca="false">IF(B2763&lt;5,Einstellungen!$B$3,Einstellungen!$B$4)</f>
        <v>29.13</v>
      </c>
      <c r="E2763" s="14" t="str">
        <f aca="false">IF(C2763="","",C2763*D2763/100)</f>
        <v/>
      </c>
      <c r="F2763" s="15" t="str">
        <f aca="false">IF(B2763&lt;5,"Go","Standard")</f>
        <v>Standard</v>
      </c>
    </row>
    <row r="2764" customFormat="false" ht="15" hidden="false" customHeight="true" outlineLevel="0" collapsed="false">
      <c r="A2764" s="10" t="n">
        <f aca="false">Einstellungen!$B$5+INT((ROW()-9)/24)</f>
        <v>46080</v>
      </c>
      <c r="B2764" s="11" t="n">
        <f aca="false">MOD(ROW()-9,24)</f>
        <v>19</v>
      </c>
      <c r="C2764" s="12"/>
      <c r="D2764" s="13" t="n">
        <f aca="false">IF(B2764&lt;5,Einstellungen!$B$3,Einstellungen!$B$4)</f>
        <v>29.13</v>
      </c>
      <c r="E2764" s="14" t="str">
        <f aca="false">IF(C2764="","",C2764*D2764/100)</f>
        <v/>
      </c>
      <c r="F2764" s="15" t="str">
        <f aca="false">IF(B2764&lt;5,"Go","Standard")</f>
        <v>Standard</v>
      </c>
    </row>
    <row r="2765" customFormat="false" ht="15" hidden="false" customHeight="true" outlineLevel="0" collapsed="false">
      <c r="A2765" s="10" t="n">
        <f aca="false">Einstellungen!$B$5+INT((ROW()-9)/24)</f>
        <v>46080</v>
      </c>
      <c r="B2765" s="11" t="n">
        <f aca="false">MOD(ROW()-9,24)</f>
        <v>20</v>
      </c>
      <c r="C2765" s="12"/>
      <c r="D2765" s="13" t="n">
        <f aca="false">IF(B2765&lt;5,Einstellungen!$B$3,Einstellungen!$B$4)</f>
        <v>29.13</v>
      </c>
      <c r="E2765" s="14" t="str">
        <f aca="false">IF(C2765="","",C2765*D2765/100)</f>
        <v/>
      </c>
      <c r="F2765" s="15" t="str">
        <f aca="false">IF(B2765&lt;5,"Go","Standard")</f>
        <v>Standard</v>
      </c>
    </row>
    <row r="2766" customFormat="false" ht="15" hidden="false" customHeight="true" outlineLevel="0" collapsed="false">
      <c r="A2766" s="10" t="n">
        <f aca="false">Einstellungen!$B$5+INT((ROW()-9)/24)</f>
        <v>46080</v>
      </c>
      <c r="B2766" s="11" t="n">
        <f aca="false">MOD(ROW()-9,24)</f>
        <v>21</v>
      </c>
      <c r="C2766" s="12"/>
      <c r="D2766" s="13" t="n">
        <f aca="false">IF(B2766&lt;5,Einstellungen!$B$3,Einstellungen!$B$4)</f>
        <v>29.13</v>
      </c>
      <c r="E2766" s="14" t="str">
        <f aca="false">IF(C2766="","",C2766*D2766/100)</f>
        <v/>
      </c>
      <c r="F2766" s="15" t="str">
        <f aca="false">IF(B2766&lt;5,"Go","Standard")</f>
        <v>Standard</v>
      </c>
    </row>
    <row r="2767" customFormat="false" ht="15" hidden="false" customHeight="true" outlineLevel="0" collapsed="false">
      <c r="A2767" s="10" t="n">
        <f aca="false">Einstellungen!$B$5+INT((ROW()-9)/24)</f>
        <v>46080</v>
      </c>
      <c r="B2767" s="11" t="n">
        <f aca="false">MOD(ROW()-9,24)</f>
        <v>22</v>
      </c>
      <c r="C2767" s="12"/>
      <c r="D2767" s="13" t="n">
        <f aca="false">IF(B2767&lt;5,Einstellungen!$B$3,Einstellungen!$B$4)</f>
        <v>29.13</v>
      </c>
      <c r="E2767" s="14" t="str">
        <f aca="false">IF(C2767="","",C2767*D2767/100)</f>
        <v/>
      </c>
      <c r="F2767" s="15" t="str">
        <f aca="false">IF(B2767&lt;5,"Go","Standard")</f>
        <v>Standard</v>
      </c>
    </row>
    <row r="2768" customFormat="false" ht="15" hidden="false" customHeight="true" outlineLevel="0" collapsed="false">
      <c r="A2768" s="10" t="n">
        <f aca="false">Einstellungen!$B$5+INT((ROW()-9)/24)</f>
        <v>46080</v>
      </c>
      <c r="B2768" s="11" t="n">
        <f aca="false">MOD(ROW()-9,24)</f>
        <v>23</v>
      </c>
      <c r="C2768" s="12"/>
      <c r="D2768" s="13" t="n">
        <f aca="false">IF(B2768&lt;5,Einstellungen!$B$3,Einstellungen!$B$4)</f>
        <v>29.13</v>
      </c>
      <c r="E2768" s="14" t="str">
        <f aca="false">IF(C2768="","",C2768*D2768/100)</f>
        <v/>
      </c>
      <c r="F2768" s="15" t="str">
        <f aca="false">IF(B2768&lt;5,"Go","Standard")</f>
        <v>Standard</v>
      </c>
    </row>
    <row r="2769" customFormat="false" ht="15" hidden="false" customHeight="true" outlineLevel="0" collapsed="false">
      <c r="A2769" s="10" t="n">
        <f aca="false">Einstellungen!$B$5+INT((ROW()-9)/24)</f>
        <v>46081</v>
      </c>
      <c r="B2769" s="11" t="n">
        <f aca="false">MOD(ROW()-9,24)</f>
        <v>0</v>
      </c>
      <c r="C2769" s="12"/>
      <c r="D2769" s="13" t="n">
        <f aca="false">IF(B2769&lt;5,Einstellungen!$B$3,Einstellungen!$B$4)</f>
        <v>15.92</v>
      </c>
      <c r="E2769" s="14" t="str">
        <f aca="false">IF(C2769="","",C2769*D2769/100)</f>
        <v/>
      </c>
      <c r="F2769" s="15" t="str">
        <f aca="false">IF(B2769&lt;5,"Go","Standard")</f>
        <v>Go</v>
      </c>
    </row>
    <row r="2770" customFormat="false" ht="15" hidden="false" customHeight="true" outlineLevel="0" collapsed="false">
      <c r="A2770" s="10" t="n">
        <f aca="false">Einstellungen!$B$5+INT((ROW()-9)/24)</f>
        <v>46081</v>
      </c>
      <c r="B2770" s="11" t="n">
        <f aca="false">MOD(ROW()-9,24)</f>
        <v>1</v>
      </c>
      <c r="C2770" s="12"/>
      <c r="D2770" s="13" t="n">
        <f aca="false">IF(B2770&lt;5,Einstellungen!$B$3,Einstellungen!$B$4)</f>
        <v>15.92</v>
      </c>
      <c r="E2770" s="14" t="str">
        <f aca="false">IF(C2770="","",C2770*D2770/100)</f>
        <v/>
      </c>
      <c r="F2770" s="15" t="str">
        <f aca="false">IF(B2770&lt;5,"Go","Standard")</f>
        <v>Go</v>
      </c>
    </row>
    <row r="2771" customFormat="false" ht="15" hidden="false" customHeight="true" outlineLevel="0" collapsed="false">
      <c r="A2771" s="10" t="n">
        <f aca="false">Einstellungen!$B$5+INT((ROW()-9)/24)</f>
        <v>46081</v>
      </c>
      <c r="B2771" s="11" t="n">
        <f aca="false">MOD(ROW()-9,24)</f>
        <v>2</v>
      </c>
      <c r="C2771" s="12"/>
      <c r="D2771" s="13" t="n">
        <f aca="false">IF(B2771&lt;5,Einstellungen!$B$3,Einstellungen!$B$4)</f>
        <v>15.92</v>
      </c>
      <c r="E2771" s="14" t="str">
        <f aca="false">IF(C2771="","",C2771*D2771/100)</f>
        <v/>
      </c>
      <c r="F2771" s="15" t="str">
        <f aca="false">IF(B2771&lt;5,"Go","Standard")</f>
        <v>Go</v>
      </c>
    </row>
    <row r="2772" customFormat="false" ht="15" hidden="false" customHeight="true" outlineLevel="0" collapsed="false">
      <c r="A2772" s="10" t="n">
        <f aca="false">Einstellungen!$B$5+INT((ROW()-9)/24)</f>
        <v>46081</v>
      </c>
      <c r="B2772" s="11" t="n">
        <f aca="false">MOD(ROW()-9,24)</f>
        <v>3</v>
      </c>
      <c r="C2772" s="12"/>
      <c r="D2772" s="13" t="n">
        <f aca="false">IF(B2772&lt;5,Einstellungen!$B$3,Einstellungen!$B$4)</f>
        <v>15.92</v>
      </c>
      <c r="E2772" s="14" t="str">
        <f aca="false">IF(C2772="","",C2772*D2772/100)</f>
        <v/>
      </c>
      <c r="F2772" s="15" t="str">
        <f aca="false">IF(B2772&lt;5,"Go","Standard")</f>
        <v>Go</v>
      </c>
    </row>
    <row r="2773" customFormat="false" ht="15" hidden="false" customHeight="true" outlineLevel="0" collapsed="false">
      <c r="A2773" s="10" t="n">
        <f aca="false">Einstellungen!$B$5+INT((ROW()-9)/24)</f>
        <v>46081</v>
      </c>
      <c r="B2773" s="11" t="n">
        <f aca="false">MOD(ROW()-9,24)</f>
        <v>4</v>
      </c>
      <c r="C2773" s="12"/>
      <c r="D2773" s="13" t="n">
        <f aca="false">IF(B2773&lt;5,Einstellungen!$B$3,Einstellungen!$B$4)</f>
        <v>15.92</v>
      </c>
      <c r="E2773" s="14" t="str">
        <f aca="false">IF(C2773="","",C2773*D2773/100)</f>
        <v/>
      </c>
      <c r="F2773" s="15" t="str">
        <f aca="false">IF(B2773&lt;5,"Go","Standard")</f>
        <v>Go</v>
      </c>
    </row>
    <row r="2774" customFormat="false" ht="15" hidden="false" customHeight="true" outlineLevel="0" collapsed="false">
      <c r="A2774" s="10" t="n">
        <f aca="false">Einstellungen!$B$5+INT((ROW()-9)/24)</f>
        <v>46081</v>
      </c>
      <c r="B2774" s="11" t="n">
        <f aca="false">MOD(ROW()-9,24)</f>
        <v>5</v>
      </c>
      <c r="C2774" s="12"/>
      <c r="D2774" s="13" t="n">
        <f aca="false">IF(B2774&lt;5,Einstellungen!$B$3,Einstellungen!$B$4)</f>
        <v>29.13</v>
      </c>
      <c r="E2774" s="14" t="str">
        <f aca="false">IF(C2774="","",C2774*D2774/100)</f>
        <v/>
      </c>
      <c r="F2774" s="15" t="str">
        <f aca="false">IF(B2774&lt;5,"Go","Standard")</f>
        <v>Standard</v>
      </c>
    </row>
    <row r="2775" customFormat="false" ht="15" hidden="false" customHeight="true" outlineLevel="0" collapsed="false">
      <c r="A2775" s="10" t="n">
        <f aca="false">Einstellungen!$B$5+INT((ROW()-9)/24)</f>
        <v>46081</v>
      </c>
      <c r="B2775" s="11" t="n">
        <f aca="false">MOD(ROW()-9,24)</f>
        <v>6</v>
      </c>
      <c r="C2775" s="12"/>
      <c r="D2775" s="13" t="n">
        <f aca="false">IF(B2775&lt;5,Einstellungen!$B$3,Einstellungen!$B$4)</f>
        <v>29.13</v>
      </c>
      <c r="E2775" s="14" t="str">
        <f aca="false">IF(C2775="","",C2775*D2775/100)</f>
        <v/>
      </c>
      <c r="F2775" s="15" t="str">
        <f aca="false">IF(B2775&lt;5,"Go","Standard")</f>
        <v>Standard</v>
      </c>
    </row>
    <row r="2776" customFormat="false" ht="15" hidden="false" customHeight="true" outlineLevel="0" collapsed="false">
      <c r="A2776" s="10" t="n">
        <f aca="false">Einstellungen!$B$5+INT((ROW()-9)/24)</f>
        <v>46081</v>
      </c>
      <c r="B2776" s="11" t="n">
        <f aca="false">MOD(ROW()-9,24)</f>
        <v>7</v>
      </c>
      <c r="C2776" s="12"/>
      <c r="D2776" s="13" t="n">
        <f aca="false">IF(B2776&lt;5,Einstellungen!$B$3,Einstellungen!$B$4)</f>
        <v>29.13</v>
      </c>
      <c r="E2776" s="14" t="str">
        <f aca="false">IF(C2776="","",C2776*D2776/100)</f>
        <v/>
      </c>
      <c r="F2776" s="15" t="str">
        <f aca="false">IF(B2776&lt;5,"Go","Standard")</f>
        <v>Standard</v>
      </c>
    </row>
    <row r="2777" customFormat="false" ht="15" hidden="false" customHeight="true" outlineLevel="0" collapsed="false">
      <c r="A2777" s="10" t="n">
        <f aca="false">Einstellungen!$B$5+INT((ROW()-9)/24)</f>
        <v>46081</v>
      </c>
      <c r="B2777" s="11" t="n">
        <f aca="false">MOD(ROW()-9,24)</f>
        <v>8</v>
      </c>
      <c r="C2777" s="12"/>
      <c r="D2777" s="13" t="n">
        <f aca="false">IF(B2777&lt;5,Einstellungen!$B$3,Einstellungen!$B$4)</f>
        <v>29.13</v>
      </c>
      <c r="E2777" s="14" t="str">
        <f aca="false">IF(C2777="","",C2777*D2777/100)</f>
        <v/>
      </c>
      <c r="F2777" s="15" t="str">
        <f aca="false">IF(B2777&lt;5,"Go","Standard")</f>
        <v>Standard</v>
      </c>
    </row>
    <row r="2778" customFormat="false" ht="15" hidden="false" customHeight="true" outlineLevel="0" collapsed="false">
      <c r="A2778" s="10" t="n">
        <f aca="false">Einstellungen!$B$5+INT((ROW()-9)/24)</f>
        <v>46081</v>
      </c>
      <c r="B2778" s="11" t="n">
        <f aca="false">MOD(ROW()-9,24)</f>
        <v>9</v>
      </c>
      <c r="C2778" s="12"/>
      <c r="D2778" s="13" t="n">
        <f aca="false">IF(B2778&lt;5,Einstellungen!$B$3,Einstellungen!$B$4)</f>
        <v>29.13</v>
      </c>
      <c r="E2778" s="14" t="str">
        <f aca="false">IF(C2778="","",C2778*D2778/100)</f>
        <v/>
      </c>
      <c r="F2778" s="15" t="str">
        <f aca="false">IF(B2778&lt;5,"Go","Standard")</f>
        <v>Standard</v>
      </c>
    </row>
    <row r="2779" customFormat="false" ht="15" hidden="false" customHeight="true" outlineLevel="0" collapsed="false">
      <c r="A2779" s="10" t="n">
        <f aca="false">Einstellungen!$B$5+INT((ROW()-9)/24)</f>
        <v>46081</v>
      </c>
      <c r="B2779" s="11" t="n">
        <f aca="false">MOD(ROW()-9,24)</f>
        <v>10</v>
      </c>
      <c r="C2779" s="12"/>
      <c r="D2779" s="13" t="n">
        <f aca="false">IF(B2779&lt;5,Einstellungen!$B$3,Einstellungen!$B$4)</f>
        <v>29.13</v>
      </c>
      <c r="E2779" s="14" t="str">
        <f aca="false">IF(C2779="","",C2779*D2779/100)</f>
        <v/>
      </c>
      <c r="F2779" s="15" t="str">
        <f aca="false">IF(B2779&lt;5,"Go","Standard")</f>
        <v>Standard</v>
      </c>
    </row>
    <row r="2780" customFormat="false" ht="15" hidden="false" customHeight="true" outlineLevel="0" collapsed="false">
      <c r="A2780" s="10" t="n">
        <f aca="false">Einstellungen!$B$5+INT((ROW()-9)/24)</f>
        <v>46081</v>
      </c>
      <c r="B2780" s="11" t="n">
        <f aca="false">MOD(ROW()-9,24)</f>
        <v>11</v>
      </c>
      <c r="C2780" s="12"/>
      <c r="D2780" s="13" t="n">
        <f aca="false">IF(B2780&lt;5,Einstellungen!$B$3,Einstellungen!$B$4)</f>
        <v>29.13</v>
      </c>
      <c r="E2780" s="14" t="str">
        <f aca="false">IF(C2780="","",C2780*D2780/100)</f>
        <v/>
      </c>
      <c r="F2780" s="15" t="str">
        <f aca="false">IF(B2780&lt;5,"Go","Standard")</f>
        <v>Standard</v>
      </c>
    </row>
    <row r="2781" customFormat="false" ht="15" hidden="false" customHeight="true" outlineLevel="0" collapsed="false">
      <c r="A2781" s="10" t="n">
        <f aca="false">Einstellungen!$B$5+INT((ROW()-9)/24)</f>
        <v>46081</v>
      </c>
      <c r="B2781" s="11" t="n">
        <f aca="false">MOD(ROW()-9,24)</f>
        <v>12</v>
      </c>
      <c r="C2781" s="12"/>
      <c r="D2781" s="13" t="n">
        <f aca="false">IF(B2781&lt;5,Einstellungen!$B$3,Einstellungen!$B$4)</f>
        <v>29.13</v>
      </c>
      <c r="E2781" s="14" t="str">
        <f aca="false">IF(C2781="","",C2781*D2781/100)</f>
        <v/>
      </c>
      <c r="F2781" s="15" t="str">
        <f aca="false">IF(B2781&lt;5,"Go","Standard")</f>
        <v>Standard</v>
      </c>
    </row>
    <row r="2782" customFormat="false" ht="15" hidden="false" customHeight="true" outlineLevel="0" collapsed="false">
      <c r="A2782" s="10" t="n">
        <f aca="false">Einstellungen!$B$5+INT((ROW()-9)/24)</f>
        <v>46081</v>
      </c>
      <c r="B2782" s="11" t="n">
        <f aca="false">MOD(ROW()-9,24)</f>
        <v>13</v>
      </c>
      <c r="C2782" s="12"/>
      <c r="D2782" s="13" t="n">
        <f aca="false">IF(B2782&lt;5,Einstellungen!$B$3,Einstellungen!$B$4)</f>
        <v>29.13</v>
      </c>
      <c r="E2782" s="14" t="str">
        <f aca="false">IF(C2782="","",C2782*D2782/100)</f>
        <v/>
      </c>
      <c r="F2782" s="15" t="str">
        <f aca="false">IF(B2782&lt;5,"Go","Standard")</f>
        <v>Standard</v>
      </c>
    </row>
    <row r="2783" customFormat="false" ht="15" hidden="false" customHeight="true" outlineLevel="0" collapsed="false">
      <c r="A2783" s="10" t="n">
        <f aca="false">Einstellungen!$B$5+INT((ROW()-9)/24)</f>
        <v>46081</v>
      </c>
      <c r="B2783" s="11" t="n">
        <f aca="false">MOD(ROW()-9,24)</f>
        <v>14</v>
      </c>
      <c r="C2783" s="12"/>
      <c r="D2783" s="13" t="n">
        <f aca="false">IF(B2783&lt;5,Einstellungen!$B$3,Einstellungen!$B$4)</f>
        <v>29.13</v>
      </c>
      <c r="E2783" s="14" t="str">
        <f aca="false">IF(C2783="","",C2783*D2783/100)</f>
        <v/>
      </c>
      <c r="F2783" s="15" t="str">
        <f aca="false">IF(B2783&lt;5,"Go","Standard")</f>
        <v>Standard</v>
      </c>
    </row>
    <row r="2784" customFormat="false" ht="15" hidden="false" customHeight="true" outlineLevel="0" collapsed="false">
      <c r="A2784" s="10" t="n">
        <f aca="false">Einstellungen!$B$5+INT((ROW()-9)/24)</f>
        <v>46081</v>
      </c>
      <c r="B2784" s="11" t="n">
        <f aca="false">MOD(ROW()-9,24)</f>
        <v>15</v>
      </c>
      <c r="C2784" s="12"/>
      <c r="D2784" s="13" t="n">
        <f aca="false">IF(B2784&lt;5,Einstellungen!$B$3,Einstellungen!$B$4)</f>
        <v>29.13</v>
      </c>
      <c r="E2784" s="14" t="str">
        <f aca="false">IF(C2784="","",C2784*D2784/100)</f>
        <v/>
      </c>
      <c r="F2784" s="15" t="str">
        <f aca="false">IF(B2784&lt;5,"Go","Standard")</f>
        <v>Standard</v>
      </c>
    </row>
    <row r="2785" customFormat="false" ht="15" hidden="false" customHeight="true" outlineLevel="0" collapsed="false">
      <c r="A2785" s="10" t="n">
        <f aca="false">Einstellungen!$B$5+INT((ROW()-9)/24)</f>
        <v>46081</v>
      </c>
      <c r="B2785" s="11" t="n">
        <f aca="false">MOD(ROW()-9,24)</f>
        <v>16</v>
      </c>
      <c r="C2785" s="12"/>
      <c r="D2785" s="13" t="n">
        <f aca="false">IF(B2785&lt;5,Einstellungen!$B$3,Einstellungen!$B$4)</f>
        <v>29.13</v>
      </c>
      <c r="E2785" s="14" t="str">
        <f aca="false">IF(C2785="","",C2785*D2785/100)</f>
        <v/>
      </c>
      <c r="F2785" s="15" t="str">
        <f aca="false">IF(B2785&lt;5,"Go","Standard")</f>
        <v>Standard</v>
      </c>
    </row>
    <row r="2786" customFormat="false" ht="15" hidden="false" customHeight="true" outlineLevel="0" collapsed="false">
      <c r="A2786" s="10" t="n">
        <f aca="false">Einstellungen!$B$5+INT((ROW()-9)/24)</f>
        <v>46081</v>
      </c>
      <c r="B2786" s="11" t="n">
        <f aca="false">MOD(ROW()-9,24)</f>
        <v>17</v>
      </c>
      <c r="C2786" s="12"/>
      <c r="D2786" s="13" t="n">
        <f aca="false">IF(B2786&lt;5,Einstellungen!$B$3,Einstellungen!$B$4)</f>
        <v>29.13</v>
      </c>
      <c r="E2786" s="14" t="str">
        <f aca="false">IF(C2786="","",C2786*D2786/100)</f>
        <v/>
      </c>
      <c r="F2786" s="15" t="str">
        <f aca="false">IF(B2786&lt;5,"Go","Standard")</f>
        <v>Standard</v>
      </c>
    </row>
    <row r="2787" customFormat="false" ht="15" hidden="false" customHeight="true" outlineLevel="0" collapsed="false">
      <c r="A2787" s="10" t="n">
        <f aca="false">Einstellungen!$B$5+INT((ROW()-9)/24)</f>
        <v>46081</v>
      </c>
      <c r="B2787" s="11" t="n">
        <f aca="false">MOD(ROW()-9,24)</f>
        <v>18</v>
      </c>
      <c r="C2787" s="12"/>
      <c r="D2787" s="13" t="n">
        <f aca="false">IF(B2787&lt;5,Einstellungen!$B$3,Einstellungen!$B$4)</f>
        <v>29.13</v>
      </c>
      <c r="E2787" s="14" t="str">
        <f aca="false">IF(C2787="","",C2787*D2787/100)</f>
        <v/>
      </c>
      <c r="F2787" s="15" t="str">
        <f aca="false">IF(B2787&lt;5,"Go","Standard")</f>
        <v>Standard</v>
      </c>
    </row>
    <row r="2788" customFormat="false" ht="15" hidden="false" customHeight="true" outlineLevel="0" collapsed="false">
      <c r="A2788" s="10" t="n">
        <f aca="false">Einstellungen!$B$5+INT((ROW()-9)/24)</f>
        <v>46081</v>
      </c>
      <c r="B2788" s="11" t="n">
        <f aca="false">MOD(ROW()-9,24)</f>
        <v>19</v>
      </c>
      <c r="C2788" s="12"/>
      <c r="D2788" s="13" t="n">
        <f aca="false">IF(B2788&lt;5,Einstellungen!$B$3,Einstellungen!$B$4)</f>
        <v>29.13</v>
      </c>
      <c r="E2788" s="14" t="str">
        <f aca="false">IF(C2788="","",C2788*D2788/100)</f>
        <v/>
      </c>
      <c r="F2788" s="15" t="str">
        <f aca="false">IF(B2788&lt;5,"Go","Standard")</f>
        <v>Standard</v>
      </c>
    </row>
    <row r="2789" customFormat="false" ht="15" hidden="false" customHeight="true" outlineLevel="0" collapsed="false">
      <c r="A2789" s="10" t="n">
        <f aca="false">Einstellungen!$B$5+INT((ROW()-9)/24)</f>
        <v>46081</v>
      </c>
      <c r="B2789" s="11" t="n">
        <f aca="false">MOD(ROW()-9,24)</f>
        <v>20</v>
      </c>
      <c r="C2789" s="12"/>
      <c r="D2789" s="13" t="n">
        <f aca="false">IF(B2789&lt;5,Einstellungen!$B$3,Einstellungen!$B$4)</f>
        <v>29.13</v>
      </c>
      <c r="E2789" s="14" t="str">
        <f aca="false">IF(C2789="","",C2789*D2789/100)</f>
        <v/>
      </c>
      <c r="F2789" s="15" t="str">
        <f aca="false">IF(B2789&lt;5,"Go","Standard")</f>
        <v>Standard</v>
      </c>
    </row>
    <row r="2790" customFormat="false" ht="15" hidden="false" customHeight="true" outlineLevel="0" collapsed="false">
      <c r="A2790" s="10" t="n">
        <f aca="false">Einstellungen!$B$5+INT((ROW()-9)/24)</f>
        <v>46081</v>
      </c>
      <c r="B2790" s="11" t="n">
        <f aca="false">MOD(ROW()-9,24)</f>
        <v>21</v>
      </c>
      <c r="C2790" s="12"/>
      <c r="D2790" s="13" t="n">
        <f aca="false">IF(B2790&lt;5,Einstellungen!$B$3,Einstellungen!$B$4)</f>
        <v>29.13</v>
      </c>
      <c r="E2790" s="14" t="str">
        <f aca="false">IF(C2790="","",C2790*D2790/100)</f>
        <v/>
      </c>
      <c r="F2790" s="15" t="str">
        <f aca="false">IF(B2790&lt;5,"Go","Standard")</f>
        <v>Standard</v>
      </c>
    </row>
    <row r="2791" customFormat="false" ht="15" hidden="false" customHeight="true" outlineLevel="0" collapsed="false">
      <c r="A2791" s="10" t="n">
        <f aca="false">Einstellungen!$B$5+INT((ROW()-9)/24)</f>
        <v>46081</v>
      </c>
      <c r="B2791" s="11" t="n">
        <f aca="false">MOD(ROW()-9,24)</f>
        <v>22</v>
      </c>
      <c r="C2791" s="12"/>
      <c r="D2791" s="13" t="n">
        <f aca="false">IF(B2791&lt;5,Einstellungen!$B$3,Einstellungen!$B$4)</f>
        <v>29.13</v>
      </c>
      <c r="E2791" s="14" t="str">
        <f aca="false">IF(C2791="","",C2791*D2791/100)</f>
        <v/>
      </c>
      <c r="F2791" s="15" t="str">
        <f aca="false">IF(B2791&lt;5,"Go","Standard")</f>
        <v>Standard</v>
      </c>
    </row>
    <row r="2792" customFormat="false" ht="15" hidden="false" customHeight="true" outlineLevel="0" collapsed="false">
      <c r="A2792" s="10" t="n">
        <f aca="false">Einstellungen!$B$5+INT((ROW()-9)/24)</f>
        <v>46081</v>
      </c>
      <c r="B2792" s="11" t="n">
        <f aca="false">MOD(ROW()-9,24)</f>
        <v>23</v>
      </c>
      <c r="C2792" s="12"/>
      <c r="D2792" s="13" t="n">
        <f aca="false">IF(B2792&lt;5,Einstellungen!$B$3,Einstellungen!$B$4)</f>
        <v>29.13</v>
      </c>
      <c r="E2792" s="14" t="str">
        <f aca="false">IF(C2792="","",C2792*D2792/100)</f>
        <v/>
      </c>
      <c r="F2792" s="15" t="str">
        <f aca="false">IF(B2792&lt;5,"Go","Standard")</f>
        <v>Standard</v>
      </c>
    </row>
    <row r="2793" customFormat="false" ht="15" hidden="false" customHeight="true" outlineLevel="0" collapsed="false">
      <c r="A2793" s="10" t="n">
        <f aca="false">Einstellungen!$B$5+INT((ROW()-9)/24)</f>
        <v>46082</v>
      </c>
      <c r="B2793" s="11" t="n">
        <f aca="false">MOD(ROW()-9,24)</f>
        <v>0</v>
      </c>
      <c r="C2793" s="12"/>
      <c r="D2793" s="13" t="n">
        <f aca="false">IF(B2793&lt;5,Einstellungen!$B$3,Einstellungen!$B$4)</f>
        <v>15.92</v>
      </c>
      <c r="E2793" s="14" t="str">
        <f aca="false">IF(C2793="","",C2793*D2793/100)</f>
        <v/>
      </c>
      <c r="F2793" s="15" t="str">
        <f aca="false">IF(B2793&lt;5,"Go","Standard")</f>
        <v>Go</v>
      </c>
    </row>
    <row r="2794" customFormat="false" ht="15" hidden="false" customHeight="true" outlineLevel="0" collapsed="false">
      <c r="A2794" s="10" t="n">
        <f aca="false">Einstellungen!$B$5+INT((ROW()-9)/24)</f>
        <v>46082</v>
      </c>
      <c r="B2794" s="11" t="n">
        <f aca="false">MOD(ROW()-9,24)</f>
        <v>1</v>
      </c>
      <c r="C2794" s="12"/>
      <c r="D2794" s="13" t="n">
        <f aca="false">IF(B2794&lt;5,Einstellungen!$B$3,Einstellungen!$B$4)</f>
        <v>15.92</v>
      </c>
      <c r="E2794" s="14" t="str">
        <f aca="false">IF(C2794="","",C2794*D2794/100)</f>
        <v/>
      </c>
      <c r="F2794" s="15" t="str">
        <f aca="false">IF(B2794&lt;5,"Go","Standard")</f>
        <v>Go</v>
      </c>
    </row>
    <row r="2795" customFormat="false" ht="15" hidden="false" customHeight="true" outlineLevel="0" collapsed="false">
      <c r="A2795" s="10" t="n">
        <f aca="false">Einstellungen!$B$5+INT((ROW()-9)/24)</f>
        <v>46082</v>
      </c>
      <c r="B2795" s="11" t="n">
        <f aca="false">MOD(ROW()-9,24)</f>
        <v>2</v>
      </c>
      <c r="C2795" s="12"/>
      <c r="D2795" s="13" t="n">
        <f aca="false">IF(B2795&lt;5,Einstellungen!$B$3,Einstellungen!$B$4)</f>
        <v>15.92</v>
      </c>
      <c r="E2795" s="14" t="str">
        <f aca="false">IF(C2795="","",C2795*D2795/100)</f>
        <v/>
      </c>
      <c r="F2795" s="15" t="str">
        <f aca="false">IF(B2795&lt;5,"Go","Standard")</f>
        <v>Go</v>
      </c>
    </row>
    <row r="2796" customFormat="false" ht="15" hidden="false" customHeight="true" outlineLevel="0" collapsed="false">
      <c r="A2796" s="10" t="n">
        <f aca="false">Einstellungen!$B$5+INT((ROW()-9)/24)</f>
        <v>46082</v>
      </c>
      <c r="B2796" s="11" t="n">
        <f aca="false">MOD(ROW()-9,24)</f>
        <v>3</v>
      </c>
      <c r="C2796" s="12"/>
      <c r="D2796" s="13" t="n">
        <f aca="false">IF(B2796&lt;5,Einstellungen!$B$3,Einstellungen!$B$4)</f>
        <v>15.92</v>
      </c>
      <c r="E2796" s="14" t="str">
        <f aca="false">IF(C2796="","",C2796*D2796/100)</f>
        <v/>
      </c>
      <c r="F2796" s="15" t="str">
        <f aca="false">IF(B2796&lt;5,"Go","Standard")</f>
        <v>Go</v>
      </c>
    </row>
    <row r="2797" customFormat="false" ht="15" hidden="false" customHeight="true" outlineLevel="0" collapsed="false">
      <c r="A2797" s="10" t="n">
        <f aca="false">Einstellungen!$B$5+INT((ROW()-9)/24)</f>
        <v>46082</v>
      </c>
      <c r="B2797" s="11" t="n">
        <f aca="false">MOD(ROW()-9,24)</f>
        <v>4</v>
      </c>
      <c r="C2797" s="12"/>
      <c r="D2797" s="13" t="n">
        <f aca="false">IF(B2797&lt;5,Einstellungen!$B$3,Einstellungen!$B$4)</f>
        <v>15.92</v>
      </c>
      <c r="E2797" s="14" t="str">
        <f aca="false">IF(C2797="","",C2797*D2797/100)</f>
        <v/>
      </c>
      <c r="F2797" s="15" t="str">
        <f aca="false">IF(B2797&lt;5,"Go","Standard")</f>
        <v>Go</v>
      </c>
    </row>
    <row r="2798" customFormat="false" ht="15" hidden="false" customHeight="true" outlineLevel="0" collapsed="false">
      <c r="A2798" s="10" t="n">
        <f aca="false">Einstellungen!$B$5+INT((ROW()-9)/24)</f>
        <v>46082</v>
      </c>
      <c r="B2798" s="11" t="n">
        <f aca="false">MOD(ROW()-9,24)</f>
        <v>5</v>
      </c>
      <c r="C2798" s="12"/>
      <c r="D2798" s="13" t="n">
        <f aca="false">IF(B2798&lt;5,Einstellungen!$B$3,Einstellungen!$B$4)</f>
        <v>29.13</v>
      </c>
      <c r="E2798" s="14" t="str">
        <f aca="false">IF(C2798="","",C2798*D2798/100)</f>
        <v/>
      </c>
      <c r="F2798" s="15" t="str">
        <f aca="false">IF(B2798&lt;5,"Go","Standard")</f>
        <v>Standard</v>
      </c>
    </row>
    <row r="2799" customFormat="false" ht="15" hidden="false" customHeight="true" outlineLevel="0" collapsed="false">
      <c r="A2799" s="10" t="n">
        <f aca="false">Einstellungen!$B$5+INT((ROW()-9)/24)</f>
        <v>46082</v>
      </c>
      <c r="B2799" s="11" t="n">
        <f aca="false">MOD(ROW()-9,24)</f>
        <v>6</v>
      </c>
      <c r="C2799" s="12"/>
      <c r="D2799" s="13" t="n">
        <f aca="false">IF(B2799&lt;5,Einstellungen!$B$3,Einstellungen!$B$4)</f>
        <v>29.13</v>
      </c>
      <c r="E2799" s="14" t="str">
        <f aca="false">IF(C2799="","",C2799*D2799/100)</f>
        <v/>
      </c>
      <c r="F2799" s="15" t="str">
        <f aca="false">IF(B2799&lt;5,"Go","Standard")</f>
        <v>Standard</v>
      </c>
    </row>
    <row r="2800" customFormat="false" ht="15" hidden="false" customHeight="true" outlineLevel="0" collapsed="false">
      <c r="A2800" s="10" t="n">
        <f aca="false">Einstellungen!$B$5+INT((ROW()-9)/24)</f>
        <v>46082</v>
      </c>
      <c r="B2800" s="11" t="n">
        <f aca="false">MOD(ROW()-9,24)</f>
        <v>7</v>
      </c>
      <c r="C2800" s="12"/>
      <c r="D2800" s="13" t="n">
        <f aca="false">IF(B2800&lt;5,Einstellungen!$B$3,Einstellungen!$B$4)</f>
        <v>29.13</v>
      </c>
      <c r="E2800" s="14" t="str">
        <f aca="false">IF(C2800="","",C2800*D2800/100)</f>
        <v/>
      </c>
      <c r="F2800" s="15" t="str">
        <f aca="false">IF(B2800&lt;5,"Go","Standard")</f>
        <v>Standard</v>
      </c>
    </row>
    <row r="2801" customFormat="false" ht="15" hidden="false" customHeight="true" outlineLevel="0" collapsed="false">
      <c r="A2801" s="10" t="n">
        <f aca="false">Einstellungen!$B$5+INT((ROW()-9)/24)</f>
        <v>46082</v>
      </c>
      <c r="B2801" s="11" t="n">
        <f aca="false">MOD(ROW()-9,24)</f>
        <v>8</v>
      </c>
      <c r="C2801" s="12"/>
      <c r="D2801" s="13" t="n">
        <f aca="false">IF(B2801&lt;5,Einstellungen!$B$3,Einstellungen!$B$4)</f>
        <v>29.13</v>
      </c>
      <c r="E2801" s="14" t="str">
        <f aca="false">IF(C2801="","",C2801*D2801/100)</f>
        <v/>
      </c>
      <c r="F2801" s="15" t="str">
        <f aca="false">IF(B2801&lt;5,"Go","Standard")</f>
        <v>Standard</v>
      </c>
    </row>
    <row r="2802" customFormat="false" ht="15" hidden="false" customHeight="true" outlineLevel="0" collapsed="false">
      <c r="A2802" s="10" t="n">
        <f aca="false">Einstellungen!$B$5+INT((ROW()-9)/24)</f>
        <v>46082</v>
      </c>
      <c r="B2802" s="11" t="n">
        <f aca="false">MOD(ROW()-9,24)</f>
        <v>9</v>
      </c>
      <c r="C2802" s="12"/>
      <c r="D2802" s="13" t="n">
        <f aca="false">IF(B2802&lt;5,Einstellungen!$B$3,Einstellungen!$B$4)</f>
        <v>29.13</v>
      </c>
      <c r="E2802" s="14" t="str">
        <f aca="false">IF(C2802="","",C2802*D2802/100)</f>
        <v/>
      </c>
      <c r="F2802" s="15" t="str">
        <f aca="false">IF(B2802&lt;5,"Go","Standard")</f>
        <v>Standard</v>
      </c>
    </row>
    <row r="2803" customFormat="false" ht="15" hidden="false" customHeight="true" outlineLevel="0" collapsed="false">
      <c r="A2803" s="10" t="n">
        <f aca="false">Einstellungen!$B$5+INT((ROW()-9)/24)</f>
        <v>46082</v>
      </c>
      <c r="B2803" s="11" t="n">
        <f aca="false">MOD(ROW()-9,24)</f>
        <v>10</v>
      </c>
      <c r="C2803" s="12"/>
      <c r="D2803" s="13" t="n">
        <f aca="false">IF(B2803&lt;5,Einstellungen!$B$3,Einstellungen!$B$4)</f>
        <v>29.13</v>
      </c>
      <c r="E2803" s="14" t="str">
        <f aca="false">IF(C2803="","",C2803*D2803/100)</f>
        <v/>
      </c>
      <c r="F2803" s="15" t="str">
        <f aca="false">IF(B2803&lt;5,"Go","Standard")</f>
        <v>Standard</v>
      </c>
    </row>
    <row r="2804" customFormat="false" ht="15" hidden="false" customHeight="true" outlineLevel="0" collapsed="false">
      <c r="A2804" s="10" t="n">
        <f aca="false">Einstellungen!$B$5+INT((ROW()-9)/24)</f>
        <v>46082</v>
      </c>
      <c r="B2804" s="11" t="n">
        <f aca="false">MOD(ROW()-9,24)</f>
        <v>11</v>
      </c>
      <c r="C2804" s="12"/>
      <c r="D2804" s="13" t="n">
        <f aca="false">IF(B2804&lt;5,Einstellungen!$B$3,Einstellungen!$B$4)</f>
        <v>29.13</v>
      </c>
      <c r="E2804" s="14" t="str">
        <f aca="false">IF(C2804="","",C2804*D2804/100)</f>
        <v/>
      </c>
      <c r="F2804" s="15" t="str">
        <f aca="false">IF(B2804&lt;5,"Go","Standard")</f>
        <v>Standard</v>
      </c>
    </row>
    <row r="2805" customFormat="false" ht="15" hidden="false" customHeight="true" outlineLevel="0" collapsed="false">
      <c r="A2805" s="10" t="n">
        <f aca="false">Einstellungen!$B$5+INT((ROW()-9)/24)</f>
        <v>46082</v>
      </c>
      <c r="B2805" s="11" t="n">
        <f aca="false">MOD(ROW()-9,24)</f>
        <v>12</v>
      </c>
      <c r="C2805" s="12"/>
      <c r="D2805" s="13" t="n">
        <f aca="false">IF(B2805&lt;5,Einstellungen!$B$3,Einstellungen!$B$4)</f>
        <v>29.13</v>
      </c>
      <c r="E2805" s="14" t="str">
        <f aca="false">IF(C2805="","",C2805*D2805/100)</f>
        <v/>
      </c>
      <c r="F2805" s="15" t="str">
        <f aca="false">IF(B2805&lt;5,"Go","Standard")</f>
        <v>Standard</v>
      </c>
    </row>
    <row r="2806" customFormat="false" ht="15" hidden="false" customHeight="true" outlineLevel="0" collapsed="false">
      <c r="A2806" s="10" t="n">
        <f aca="false">Einstellungen!$B$5+INT((ROW()-9)/24)</f>
        <v>46082</v>
      </c>
      <c r="B2806" s="11" t="n">
        <f aca="false">MOD(ROW()-9,24)</f>
        <v>13</v>
      </c>
      <c r="C2806" s="12"/>
      <c r="D2806" s="13" t="n">
        <f aca="false">IF(B2806&lt;5,Einstellungen!$B$3,Einstellungen!$B$4)</f>
        <v>29.13</v>
      </c>
      <c r="E2806" s="14" t="str">
        <f aca="false">IF(C2806="","",C2806*D2806/100)</f>
        <v/>
      </c>
      <c r="F2806" s="15" t="str">
        <f aca="false">IF(B2806&lt;5,"Go","Standard")</f>
        <v>Standard</v>
      </c>
    </row>
    <row r="2807" customFormat="false" ht="15" hidden="false" customHeight="true" outlineLevel="0" collapsed="false">
      <c r="A2807" s="10" t="n">
        <f aca="false">Einstellungen!$B$5+INT((ROW()-9)/24)</f>
        <v>46082</v>
      </c>
      <c r="B2807" s="11" t="n">
        <f aca="false">MOD(ROW()-9,24)</f>
        <v>14</v>
      </c>
      <c r="C2807" s="12"/>
      <c r="D2807" s="13" t="n">
        <f aca="false">IF(B2807&lt;5,Einstellungen!$B$3,Einstellungen!$B$4)</f>
        <v>29.13</v>
      </c>
      <c r="E2807" s="14" t="str">
        <f aca="false">IF(C2807="","",C2807*D2807/100)</f>
        <v/>
      </c>
      <c r="F2807" s="15" t="str">
        <f aca="false">IF(B2807&lt;5,"Go","Standard")</f>
        <v>Standard</v>
      </c>
    </row>
    <row r="2808" customFormat="false" ht="15" hidden="false" customHeight="true" outlineLevel="0" collapsed="false">
      <c r="A2808" s="10" t="n">
        <f aca="false">Einstellungen!$B$5+INT((ROW()-9)/24)</f>
        <v>46082</v>
      </c>
      <c r="B2808" s="11" t="n">
        <f aca="false">MOD(ROW()-9,24)</f>
        <v>15</v>
      </c>
      <c r="C2808" s="12"/>
      <c r="D2808" s="13" t="n">
        <f aca="false">IF(B2808&lt;5,Einstellungen!$B$3,Einstellungen!$B$4)</f>
        <v>29.13</v>
      </c>
      <c r="E2808" s="14" t="str">
        <f aca="false">IF(C2808="","",C2808*D2808/100)</f>
        <v/>
      </c>
      <c r="F2808" s="15" t="str">
        <f aca="false">IF(B2808&lt;5,"Go","Standard")</f>
        <v>Standard</v>
      </c>
    </row>
    <row r="2809" customFormat="false" ht="15" hidden="false" customHeight="true" outlineLevel="0" collapsed="false">
      <c r="A2809" s="10" t="n">
        <f aca="false">Einstellungen!$B$5+INT((ROW()-9)/24)</f>
        <v>46082</v>
      </c>
      <c r="B2809" s="11" t="n">
        <f aca="false">MOD(ROW()-9,24)</f>
        <v>16</v>
      </c>
      <c r="C2809" s="12"/>
      <c r="D2809" s="13" t="n">
        <f aca="false">IF(B2809&lt;5,Einstellungen!$B$3,Einstellungen!$B$4)</f>
        <v>29.13</v>
      </c>
      <c r="E2809" s="14" t="str">
        <f aca="false">IF(C2809="","",C2809*D2809/100)</f>
        <v/>
      </c>
      <c r="F2809" s="15" t="str">
        <f aca="false">IF(B2809&lt;5,"Go","Standard")</f>
        <v>Standard</v>
      </c>
    </row>
    <row r="2810" customFormat="false" ht="15" hidden="false" customHeight="true" outlineLevel="0" collapsed="false">
      <c r="A2810" s="10" t="n">
        <f aca="false">Einstellungen!$B$5+INT((ROW()-9)/24)</f>
        <v>46082</v>
      </c>
      <c r="B2810" s="11" t="n">
        <f aca="false">MOD(ROW()-9,24)</f>
        <v>17</v>
      </c>
      <c r="C2810" s="12"/>
      <c r="D2810" s="13" t="n">
        <f aca="false">IF(B2810&lt;5,Einstellungen!$B$3,Einstellungen!$B$4)</f>
        <v>29.13</v>
      </c>
      <c r="E2810" s="14" t="str">
        <f aca="false">IF(C2810="","",C2810*D2810/100)</f>
        <v/>
      </c>
      <c r="F2810" s="15" t="str">
        <f aca="false">IF(B2810&lt;5,"Go","Standard")</f>
        <v>Standard</v>
      </c>
    </row>
    <row r="2811" customFormat="false" ht="15" hidden="false" customHeight="true" outlineLevel="0" collapsed="false">
      <c r="A2811" s="10" t="n">
        <f aca="false">Einstellungen!$B$5+INT((ROW()-9)/24)</f>
        <v>46082</v>
      </c>
      <c r="B2811" s="11" t="n">
        <f aca="false">MOD(ROW()-9,24)</f>
        <v>18</v>
      </c>
      <c r="C2811" s="12"/>
      <c r="D2811" s="13" t="n">
        <f aca="false">IF(B2811&lt;5,Einstellungen!$B$3,Einstellungen!$B$4)</f>
        <v>29.13</v>
      </c>
      <c r="E2811" s="14" t="str">
        <f aca="false">IF(C2811="","",C2811*D2811/100)</f>
        <v/>
      </c>
      <c r="F2811" s="15" t="str">
        <f aca="false">IF(B2811&lt;5,"Go","Standard")</f>
        <v>Standard</v>
      </c>
    </row>
    <row r="2812" customFormat="false" ht="15" hidden="false" customHeight="true" outlineLevel="0" collapsed="false">
      <c r="A2812" s="10" t="n">
        <f aca="false">Einstellungen!$B$5+INT((ROW()-9)/24)</f>
        <v>46082</v>
      </c>
      <c r="B2812" s="11" t="n">
        <f aca="false">MOD(ROW()-9,24)</f>
        <v>19</v>
      </c>
      <c r="C2812" s="12"/>
      <c r="D2812" s="13" t="n">
        <f aca="false">IF(B2812&lt;5,Einstellungen!$B$3,Einstellungen!$B$4)</f>
        <v>29.13</v>
      </c>
      <c r="E2812" s="14" t="str">
        <f aca="false">IF(C2812="","",C2812*D2812/100)</f>
        <v/>
      </c>
      <c r="F2812" s="15" t="str">
        <f aca="false">IF(B2812&lt;5,"Go","Standard")</f>
        <v>Standard</v>
      </c>
    </row>
    <row r="2813" customFormat="false" ht="15" hidden="false" customHeight="true" outlineLevel="0" collapsed="false">
      <c r="A2813" s="10" t="n">
        <f aca="false">Einstellungen!$B$5+INT((ROW()-9)/24)</f>
        <v>46082</v>
      </c>
      <c r="B2813" s="11" t="n">
        <f aca="false">MOD(ROW()-9,24)</f>
        <v>20</v>
      </c>
      <c r="C2813" s="12"/>
      <c r="D2813" s="13" t="n">
        <f aca="false">IF(B2813&lt;5,Einstellungen!$B$3,Einstellungen!$B$4)</f>
        <v>29.13</v>
      </c>
      <c r="E2813" s="14" t="str">
        <f aca="false">IF(C2813="","",C2813*D2813/100)</f>
        <v/>
      </c>
      <c r="F2813" s="15" t="str">
        <f aca="false">IF(B2813&lt;5,"Go","Standard")</f>
        <v>Standard</v>
      </c>
    </row>
    <row r="2814" customFormat="false" ht="15" hidden="false" customHeight="true" outlineLevel="0" collapsed="false">
      <c r="A2814" s="10" t="n">
        <f aca="false">Einstellungen!$B$5+INT((ROW()-9)/24)</f>
        <v>46082</v>
      </c>
      <c r="B2814" s="11" t="n">
        <f aca="false">MOD(ROW()-9,24)</f>
        <v>21</v>
      </c>
      <c r="C2814" s="12"/>
      <c r="D2814" s="13" t="n">
        <f aca="false">IF(B2814&lt;5,Einstellungen!$B$3,Einstellungen!$B$4)</f>
        <v>29.13</v>
      </c>
      <c r="E2814" s="14" t="str">
        <f aca="false">IF(C2814="","",C2814*D2814/100)</f>
        <v/>
      </c>
      <c r="F2814" s="15" t="str">
        <f aca="false">IF(B2814&lt;5,"Go","Standard")</f>
        <v>Standard</v>
      </c>
    </row>
    <row r="2815" customFormat="false" ht="15" hidden="false" customHeight="true" outlineLevel="0" collapsed="false">
      <c r="A2815" s="10" t="n">
        <f aca="false">Einstellungen!$B$5+INT((ROW()-9)/24)</f>
        <v>46082</v>
      </c>
      <c r="B2815" s="11" t="n">
        <f aca="false">MOD(ROW()-9,24)</f>
        <v>22</v>
      </c>
      <c r="C2815" s="12"/>
      <c r="D2815" s="13" t="n">
        <f aca="false">IF(B2815&lt;5,Einstellungen!$B$3,Einstellungen!$B$4)</f>
        <v>29.13</v>
      </c>
      <c r="E2815" s="14" t="str">
        <f aca="false">IF(C2815="","",C2815*D2815/100)</f>
        <v/>
      </c>
      <c r="F2815" s="15" t="str">
        <f aca="false">IF(B2815&lt;5,"Go","Standard")</f>
        <v>Standard</v>
      </c>
    </row>
    <row r="2816" customFormat="false" ht="15" hidden="false" customHeight="true" outlineLevel="0" collapsed="false">
      <c r="A2816" s="10" t="n">
        <f aca="false">Einstellungen!$B$5+INT((ROW()-9)/24)</f>
        <v>46082</v>
      </c>
      <c r="B2816" s="11" t="n">
        <f aca="false">MOD(ROW()-9,24)</f>
        <v>23</v>
      </c>
      <c r="C2816" s="12"/>
      <c r="D2816" s="13" t="n">
        <f aca="false">IF(B2816&lt;5,Einstellungen!$B$3,Einstellungen!$B$4)</f>
        <v>29.13</v>
      </c>
      <c r="E2816" s="14" t="str">
        <f aca="false">IF(C2816="","",C2816*D2816/100)</f>
        <v/>
      </c>
      <c r="F2816" s="15" t="str">
        <f aca="false">IF(B2816&lt;5,"Go","Standard")</f>
        <v>Standard</v>
      </c>
    </row>
    <row r="2817" customFormat="false" ht="15" hidden="false" customHeight="true" outlineLevel="0" collapsed="false">
      <c r="A2817" s="10" t="n">
        <f aca="false">Einstellungen!$B$5+INT((ROW()-9)/24)</f>
        <v>46083</v>
      </c>
      <c r="B2817" s="11" t="n">
        <f aca="false">MOD(ROW()-9,24)</f>
        <v>0</v>
      </c>
      <c r="C2817" s="12"/>
      <c r="D2817" s="13" t="n">
        <f aca="false">IF(B2817&lt;5,Einstellungen!$B$3,Einstellungen!$B$4)</f>
        <v>15.92</v>
      </c>
      <c r="E2817" s="14" t="str">
        <f aca="false">IF(C2817="","",C2817*D2817/100)</f>
        <v/>
      </c>
      <c r="F2817" s="15" t="str">
        <f aca="false">IF(B2817&lt;5,"Go","Standard")</f>
        <v>Go</v>
      </c>
    </row>
    <row r="2818" customFormat="false" ht="15" hidden="false" customHeight="true" outlineLevel="0" collapsed="false">
      <c r="A2818" s="10" t="n">
        <f aca="false">Einstellungen!$B$5+INT((ROW()-9)/24)</f>
        <v>46083</v>
      </c>
      <c r="B2818" s="11" t="n">
        <f aca="false">MOD(ROW()-9,24)</f>
        <v>1</v>
      </c>
      <c r="C2818" s="12"/>
      <c r="D2818" s="13" t="n">
        <f aca="false">IF(B2818&lt;5,Einstellungen!$B$3,Einstellungen!$B$4)</f>
        <v>15.92</v>
      </c>
      <c r="E2818" s="14" t="str">
        <f aca="false">IF(C2818="","",C2818*D2818/100)</f>
        <v/>
      </c>
      <c r="F2818" s="15" t="str">
        <f aca="false">IF(B2818&lt;5,"Go","Standard")</f>
        <v>Go</v>
      </c>
    </row>
    <row r="2819" customFormat="false" ht="15" hidden="false" customHeight="true" outlineLevel="0" collapsed="false">
      <c r="A2819" s="10" t="n">
        <f aca="false">Einstellungen!$B$5+INT((ROW()-9)/24)</f>
        <v>46083</v>
      </c>
      <c r="B2819" s="11" t="n">
        <f aca="false">MOD(ROW()-9,24)</f>
        <v>2</v>
      </c>
      <c r="C2819" s="12"/>
      <c r="D2819" s="13" t="n">
        <f aca="false">IF(B2819&lt;5,Einstellungen!$B$3,Einstellungen!$B$4)</f>
        <v>15.92</v>
      </c>
      <c r="E2819" s="14" t="str">
        <f aca="false">IF(C2819="","",C2819*D2819/100)</f>
        <v/>
      </c>
      <c r="F2819" s="15" t="str">
        <f aca="false">IF(B2819&lt;5,"Go","Standard")</f>
        <v>Go</v>
      </c>
    </row>
    <row r="2820" customFormat="false" ht="15" hidden="false" customHeight="true" outlineLevel="0" collapsed="false">
      <c r="A2820" s="10" t="n">
        <f aca="false">Einstellungen!$B$5+INT((ROW()-9)/24)</f>
        <v>46083</v>
      </c>
      <c r="B2820" s="11" t="n">
        <f aca="false">MOD(ROW()-9,24)</f>
        <v>3</v>
      </c>
      <c r="C2820" s="12"/>
      <c r="D2820" s="13" t="n">
        <f aca="false">IF(B2820&lt;5,Einstellungen!$B$3,Einstellungen!$B$4)</f>
        <v>15.92</v>
      </c>
      <c r="E2820" s="14" t="str">
        <f aca="false">IF(C2820="","",C2820*D2820/100)</f>
        <v/>
      </c>
      <c r="F2820" s="15" t="str">
        <f aca="false">IF(B2820&lt;5,"Go","Standard")</f>
        <v>Go</v>
      </c>
    </row>
    <row r="2821" customFormat="false" ht="15" hidden="false" customHeight="true" outlineLevel="0" collapsed="false">
      <c r="A2821" s="10" t="n">
        <f aca="false">Einstellungen!$B$5+INT((ROW()-9)/24)</f>
        <v>46083</v>
      </c>
      <c r="B2821" s="11" t="n">
        <f aca="false">MOD(ROW()-9,24)</f>
        <v>4</v>
      </c>
      <c r="C2821" s="12"/>
      <c r="D2821" s="13" t="n">
        <f aca="false">IF(B2821&lt;5,Einstellungen!$B$3,Einstellungen!$B$4)</f>
        <v>15.92</v>
      </c>
      <c r="E2821" s="14" t="str">
        <f aca="false">IF(C2821="","",C2821*D2821/100)</f>
        <v/>
      </c>
      <c r="F2821" s="15" t="str">
        <f aca="false">IF(B2821&lt;5,"Go","Standard")</f>
        <v>Go</v>
      </c>
    </row>
    <row r="2822" customFormat="false" ht="15" hidden="false" customHeight="true" outlineLevel="0" collapsed="false">
      <c r="A2822" s="10" t="n">
        <f aca="false">Einstellungen!$B$5+INT((ROW()-9)/24)</f>
        <v>46083</v>
      </c>
      <c r="B2822" s="11" t="n">
        <f aca="false">MOD(ROW()-9,24)</f>
        <v>5</v>
      </c>
      <c r="C2822" s="12"/>
      <c r="D2822" s="13" t="n">
        <f aca="false">IF(B2822&lt;5,Einstellungen!$B$3,Einstellungen!$B$4)</f>
        <v>29.13</v>
      </c>
      <c r="E2822" s="14" t="str">
        <f aca="false">IF(C2822="","",C2822*D2822/100)</f>
        <v/>
      </c>
      <c r="F2822" s="15" t="str">
        <f aca="false">IF(B2822&lt;5,"Go","Standard")</f>
        <v>Standard</v>
      </c>
    </row>
    <row r="2823" customFormat="false" ht="15" hidden="false" customHeight="true" outlineLevel="0" collapsed="false">
      <c r="A2823" s="10" t="n">
        <f aca="false">Einstellungen!$B$5+INT((ROW()-9)/24)</f>
        <v>46083</v>
      </c>
      <c r="B2823" s="11" t="n">
        <f aca="false">MOD(ROW()-9,24)</f>
        <v>6</v>
      </c>
      <c r="C2823" s="12"/>
      <c r="D2823" s="13" t="n">
        <f aca="false">IF(B2823&lt;5,Einstellungen!$B$3,Einstellungen!$B$4)</f>
        <v>29.13</v>
      </c>
      <c r="E2823" s="14" t="str">
        <f aca="false">IF(C2823="","",C2823*D2823/100)</f>
        <v/>
      </c>
      <c r="F2823" s="15" t="str">
        <f aca="false">IF(B2823&lt;5,"Go","Standard")</f>
        <v>Standard</v>
      </c>
    </row>
    <row r="2824" customFormat="false" ht="15" hidden="false" customHeight="true" outlineLevel="0" collapsed="false">
      <c r="A2824" s="10" t="n">
        <f aca="false">Einstellungen!$B$5+INT((ROW()-9)/24)</f>
        <v>46083</v>
      </c>
      <c r="B2824" s="11" t="n">
        <f aca="false">MOD(ROW()-9,24)</f>
        <v>7</v>
      </c>
      <c r="C2824" s="12"/>
      <c r="D2824" s="13" t="n">
        <f aca="false">IF(B2824&lt;5,Einstellungen!$B$3,Einstellungen!$B$4)</f>
        <v>29.13</v>
      </c>
      <c r="E2824" s="14" t="str">
        <f aca="false">IF(C2824="","",C2824*D2824/100)</f>
        <v/>
      </c>
      <c r="F2824" s="15" t="str">
        <f aca="false">IF(B2824&lt;5,"Go","Standard")</f>
        <v>Standard</v>
      </c>
    </row>
    <row r="2825" customFormat="false" ht="15" hidden="false" customHeight="true" outlineLevel="0" collapsed="false">
      <c r="A2825" s="10" t="n">
        <f aca="false">Einstellungen!$B$5+INT((ROW()-9)/24)</f>
        <v>46083</v>
      </c>
      <c r="B2825" s="11" t="n">
        <f aca="false">MOD(ROW()-9,24)</f>
        <v>8</v>
      </c>
      <c r="C2825" s="12"/>
      <c r="D2825" s="13" t="n">
        <f aca="false">IF(B2825&lt;5,Einstellungen!$B$3,Einstellungen!$B$4)</f>
        <v>29.13</v>
      </c>
      <c r="E2825" s="14" t="str">
        <f aca="false">IF(C2825="","",C2825*D2825/100)</f>
        <v/>
      </c>
      <c r="F2825" s="15" t="str">
        <f aca="false">IF(B2825&lt;5,"Go","Standard")</f>
        <v>Standard</v>
      </c>
    </row>
    <row r="2826" customFormat="false" ht="15" hidden="false" customHeight="true" outlineLevel="0" collapsed="false">
      <c r="A2826" s="10" t="n">
        <f aca="false">Einstellungen!$B$5+INT((ROW()-9)/24)</f>
        <v>46083</v>
      </c>
      <c r="B2826" s="11" t="n">
        <f aca="false">MOD(ROW()-9,24)</f>
        <v>9</v>
      </c>
      <c r="C2826" s="12"/>
      <c r="D2826" s="13" t="n">
        <f aca="false">IF(B2826&lt;5,Einstellungen!$B$3,Einstellungen!$B$4)</f>
        <v>29.13</v>
      </c>
      <c r="E2826" s="14" t="str">
        <f aca="false">IF(C2826="","",C2826*D2826/100)</f>
        <v/>
      </c>
      <c r="F2826" s="15" t="str">
        <f aca="false">IF(B2826&lt;5,"Go","Standard")</f>
        <v>Standard</v>
      </c>
    </row>
    <row r="2827" customFormat="false" ht="15" hidden="false" customHeight="true" outlineLevel="0" collapsed="false">
      <c r="A2827" s="10" t="n">
        <f aca="false">Einstellungen!$B$5+INT((ROW()-9)/24)</f>
        <v>46083</v>
      </c>
      <c r="B2827" s="11" t="n">
        <f aca="false">MOD(ROW()-9,24)</f>
        <v>10</v>
      </c>
      <c r="C2827" s="12"/>
      <c r="D2827" s="13" t="n">
        <f aca="false">IF(B2827&lt;5,Einstellungen!$B$3,Einstellungen!$B$4)</f>
        <v>29.13</v>
      </c>
      <c r="E2827" s="14" t="str">
        <f aca="false">IF(C2827="","",C2827*D2827/100)</f>
        <v/>
      </c>
      <c r="F2827" s="15" t="str">
        <f aca="false">IF(B2827&lt;5,"Go","Standard")</f>
        <v>Standard</v>
      </c>
    </row>
    <row r="2828" customFormat="false" ht="15" hidden="false" customHeight="true" outlineLevel="0" collapsed="false">
      <c r="A2828" s="10" t="n">
        <f aca="false">Einstellungen!$B$5+INT((ROW()-9)/24)</f>
        <v>46083</v>
      </c>
      <c r="B2828" s="11" t="n">
        <f aca="false">MOD(ROW()-9,24)</f>
        <v>11</v>
      </c>
      <c r="C2828" s="12"/>
      <c r="D2828" s="13" t="n">
        <f aca="false">IF(B2828&lt;5,Einstellungen!$B$3,Einstellungen!$B$4)</f>
        <v>29.13</v>
      </c>
      <c r="E2828" s="14" t="str">
        <f aca="false">IF(C2828="","",C2828*D2828/100)</f>
        <v/>
      </c>
      <c r="F2828" s="15" t="str">
        <f aca="false">IF(B2828&lt;5,"Go","Standard")</f>
        <v>Standard</v>
      </c>
    </row>
    <row r="2829" customFormat="false" ht="15" hidden="false" customHeight="true" outlineLevel="0" collapsed="false">
      <c r="A2829" s="10" t="n">
        <f aca="false">Einstellungen!$B$5+INT((ROW()-9)/24)</f>
        <v>46083</v>
      </c>
      <c r="B2829" s="11" t="n">
        <f aca="false">MOD(ROW()-9,24)</f>
        <v>12</v>
      </c>
      <c r="C2829" s="12"/>
      <c r="D2829" s="13" t="n">
        <f aca="false">IF(B2829&lt;5,Einstellungen!$B$3,Einstellungen!$B$4)</f>
        <v>29.13</v>
      </c>
      <c r="E2829" s="14" t="str">
        <f aca="false">IF(C2829="","",C2829*D2829/100)</f>
        <v/>
      </c>
      <c r="F2829" s="15" t="str">
        <f aca="false">IF(B2829&lt;5,"Go","Standard")</f>
        <v>Standard</v>
      </c>
    </row>
    <row r="2830" customFormat="false" ht="15" hidden="false" customHeight="true" outlineLevel="0" collapsed="false">
      <c r="A2830" s="10" t="n">
        <f aca="false">Einstellungen!$B$5+INT((ROW()-9)/24)</f>
        <v>46083</v>
      </c>
      <c r="B2830" s="11" t="n">
        <f aca="false">MOD(ROW()-9,24)</f>
        <v>13</v>
      </c>
      <c r="C2830" s="12"/>
      <c r="D2830" s="13" t="n">
        <f aca="false">IF(B2830&lt;5,Einstellungen!$B$3,Einstellungen!$B$4)</f>
        <v>29.13</v>
      </c>
      <c r="E2830" s="14" t="str">
        <f aca="false">IF(C2830="","",C2830*D2830/100)</f>
        <v/>
      </c>
      <c r="F2830" s="15" t="str">
        <f aca="false">IF(B2830&lt;5,"Go","Standard")</f>
        <v>Standard</v>
      </c>
    </row>
    <row r="2831" customFormat="false" ht="15" hidden="false" customHeight="true" outlineLevel="0" collapsed="false">
      <c r="A2831" s="10" t="n">
        <f aca="false">Einstellungen!$B$5+INT((ROW()-9)/24)</f>
        <v>46083</v>
      </c>
      <c r="B2831" s="11" t="n">
        <f aca="false">MOD(ROW()-9,24)</f>
        <v>14</v>
      </c>
      <c r="C2831" s="12"/>
      <c r="D2831" s="13" t="n">
        <f aca="false">IF(B2831&lt;5,Einstellungen!$B$3,Einstellungen!$B$4)</f>
        <v>29.13</v>
      </c>
      <c r="E2831" s="14" t="str">
        <f aca="false">IF(C2831="","",C2831*D2831/100)</f>
        <v/>
      </c>
      <c r="F2831" s="15" t="str">
        <f aca="false">IF(B2831&lt;5,"Go","Standard")</f>
        <v>Standard</v>
      </c>
    </row>
    <row r="2832" customFormat="false" ht="15" hidden="false" customHeight="true" outlineLevel="0" collapsed="false">
      <c r="A2832" s="10" t="n">
        <f aca="false">Einstellungen!$B$5+INT((ROW()-9)/24)</f>
        <v>46083</v>
      </c>
      <c r="B2832" s="11" t="n">
        <f aca="false">MOD(ROW()-9,24)</f>
        <v>15</v>
      </c>
      <c r="C2832" s="12"/>
      <c r="D2832" s="13" t="n">
        <f aca="false">IF(B2832&lt;5,Einstellungen!$B$3,Einstellungen!$B$4)</f>
        <v>29.13</v>
      </c>
      <c r="E2832" s="14" t="str">
        <f aca="false">IF(C2832="","",C2832*D2832/100)</f>
        <v/>
      </c>
      <c r="F2832" s="15" t="str">
        <f aca="false">IF(B2832&lt;5,"Go","Standard")</f>
        <v>Standard</v>
      </c>
    </row>
    <row r="2833" customFormat="false" ht="15" hidden="false" customHeight="true" outlineLevel="0" collapsed="false">
      <c r="A2833" s="10" t="n">
        <f aca="false">Einstellungen!$B$5+INT((ROW()-9)/24)</f>
        <v>46083</v>
      </c>
      <c r="B2833" s="11" t="n">
        <f aca="false">MOD(ROW()-9,24)</f>
        <v>16</v>
      </c>
      <c r="C2833" s="12"/>
      <c r="D2833" s="13" t="n">
        <f aca="false">IF(B2833&lt;5,Einstellungen!$B$3,Einstellungen!$B$4)</f>
        <v>29.13</v>
      </c>
      <c r="E2833" s="14" t="str">
        <f aca="false">IF(C2833="","",C2833*D2833/100)</f>
        <v/>
      </c>
      <c r="F2833" s="15" t="str">
        <f aca="false">IF(B2833&lt;5,"Go","Standard")</f>
        <v>Standard</v>
      </c>
    </row>
    <row r="2834" customFormat="false" ht="15" hidden="false" customHeight="true" outlineLevel="0" collapsed="false">
      <c r="A2834" s="10" t="n">
        <f aca="false">Einstellungen!$B$5+INT((ROW()-9)/24)</f>
        <v>46083</v>
      </c>
      <c r="B2834" s="11" t="n">
        <f aca="false">MOD(ROW()-9,24)</f>
        <v>17</v>
      </c>
      <c r="C2834" s="12"/>
      <c r="D2834" s="13" t="n">
        <f aca="false">IF(B2834&lt;5,Einstellungen!$B$3,Einstellungen!$B$4)</f>
        <v>29.13</v>
      </c>
      <c r="E2834" s="14" t="str">
        <f aca="false">IF(C2834="","",C2834*D2834/100)</f>
        <v/>
      </c>
      <c r="F2834" s="15" t="str">
        <f aca="false">IF(B2834&lt;5,"Go","Standard")</f>
        <v>Standard</v>
      </c>
    </row>
    <row r="2835" customFormat="false" ht="15" hidden="false" customHeight="true" outlineLevel="0" collapsed="false">
      <c r="A2835" s="10" t="n">
        <f aca="false">Einstellungen!$B$5+INT((ROW()-9)/24)</f>
        <v>46083</v>
      </c>
      <c r="B2835" s="11" t="n">
        <f aca="false">MOD(ROW()-9,24)</f>
        <v>18</v>
      </c>
      <c r="C2835" s="12"/>
      <c r="D2835" s="13" t="n">
        <f aca="false">IF(B2835&lt;5,Einstellungen!$B$3,Einstellungen!$B$4)</f>
        <v>29.13</v>
      </c>
      <c r="E2835" s="14" t="str">
        <f aca="false">IF(C2835="","",C2835*D2835/100)</f>
        <v/>
      </c>
      <c r="F2835" s="15" t="str">
        <f aca="false">IF(B2835&lt;5,"Go","Standard")</f>
        <v>Standard</v>
      </c>
    </row>
    <row r="2836" customFormat="false" ht="15" hidden="false" customHeight="true" outlineLevel="0" collapsed="false">
      <c r="A2836" s="10" t="n">
        <f aca="false">Einstellungen!$B$5+INT((ROW()-9)/24)</f>
        <v>46083</v>
      </c>
      <c r="B2836" s="11" t="n">
        <f aca="false">MOD(ROW()-9,24)</f>
        <v>19</v>
      </c>
      <c r="C2836" s="12"/>
      <c r="D2836" s="13" t="n">
        <f aca="false">IF(B2836&lt;5,Einstellungen!$B$3,Einstellungen!$B$4)</f>
        <v>29.13</v>
      </c>
      <c r="E2836" s="14" t="str">
        <f aca="false">IF(C2836="","",C2836*D2836/100)</f>
        <v/>
      </c>
      <c r="F2836" s="15" t="str">
        <f aca="false">IF(B2836&lt;5,"Go","Standard")</f>
        <v>Standard</v>
      </c>
    </row>
    <row r="2837" customFormat="false" ht="15" hidden="false" customHeight="true" outlineLevel="0" collapsed="false">
      <c r="A2837" s="10" t="n">
        <f aca="false">Einstellungen!$B$5+INT((ROW()-9)/24)</f>
        <v>46083</v>
      </c>
      <c r="B2837" s="11" t="n">
        <f aca="false">MOD(ROW()-9,24)</f>
        <v>20</v>
      </c>
      <c r="C2837" s="12"/>
      <c r="D2837" s="13" t="n">
        <f aca="false">IF(B2837&lt;5,Einstellungen!$B$3,Einstellungen!$B$4)</f>
        <v>29.13</v>
      </c>
      <c r="E2837" s="14" t="str">
        <f aca="false">IF(C2837="","",C2837*D2837/100)</f>
        <v/>
      </c>
      <c r="F2837" s="15" t="str">
        <f aca="false">IF(B2837&lt;5,"Go","Standard")</f>
        <v>Standard</v>
      </c>
    </row>
    <row r="2838" customFormat="false" ht="15" hidden="false" customHeight="true" outlineLevel="0" collapsed="false">
      <c r="A2838" s="10" t="n">
        <f aca="false">Einstellungen!$B$5+INT((ROW()-9)/24)</f>
        <v>46083</v>
      </c>
      <c r="B2838" s="11" t="n">
        <f aca="false">MOD(ROW()-9,24)</f>
        <v>21</v>
      </c>
      <c r="C2838" s="12"/>
      <c r="D2838" s="13" t="n">
        <f aca="false">IF(B2838&lt;5,Einstellungen!$B$3,Einstellungen!$B$4)</f>
        <v>29.13</v>
      </c>
      <c r="E2838" s="14" t="str">
        <f aca="false">IF(C2838="","",C2838*D2838/100)</f>
        <v/>
      </c>
      <c r="F2838" s="15" t="str">
        <f aca="false">IF(B2838&lt;5,"Go","Standard")</f>
        <v>Standard</v>
      </c>
    </row>
    <row r="2839" customFormat="false" ht="15" hidden="false" customHeight="true" outlineLevel="0" collapsed="false">
      <c r="A2839" s="10" t="n">
        <f aca="false">Einstellungen!$B$5+INT((ROW()-9)/24)</f>
        <v>46083</v>
      </c>
      <c r="B2839" s="11" t="n">
        <f aca="false">MOD(ROW()-9,24)</f>
        <v>22</v>
      </c>
      <c r="C2839" s="12"/>
      <c r="D2839" s="13" t="n">
        <f aca="false">IF(B2839&lt;5,Einstellungen!$B$3,Einstellungen!$B$4)</f>
        <v>29.13</v>
      </c>
      <c r="E2839" s="14" t="str">
        <f aca="false">IF(C2839="","",C2839*D2839/100)</f>
        <v/>
      </c>
      <c r="F2839" s="15" t="str">
        <f aca="false">IF(B2839&lt;5,"Go","Standard")</f>
        <v>Standard</v>
      </c>
    </row>
    <row r="2840" customFormat="false" ht="15" hidden="false" customHeight="true" outlineLevel="0" collapsed="false">
      <c r="A2840" s="10" t="n">
        <f aca="false">Einstellungen!$B$5+INT((ROW()-9)/24)</f>
        <v>46083</v>
      </c>
      <c r="B2840" s="11" t="n">
        <f aca="false">MOD(ROW()-9,24)</f>
        <v>23</v>
      </c>
      <c r="C2840" s="12"/>
      <c r="D2840" s="13" t="n">
        <f aca="false">IF(B2840&lt;5,Einstellungen!$B$3,Einstellungen!$B$4)</f>
        <v>29.13</v>
      </c>
      <c r="E2840" s="14" t="str">
        <f aca="false">IF(C2840="","",C2840*D2840/100)</f>
        <v/>
      </c>
      <c r="F2840" s="15" t="str">
        <f aca="false">IF(B2840&lt;5,"Go","Standard")</f>
        <v>Standard</v>
      </c>
    </row>
    <row r="2841" customFormat="false" ht="15" hidden="false" customHeight="true" outlineLevel="0" collapsed="false">
      <c r="A2841" s="10" t="n">
        <f aca="false">Einstellungen!$B$5+INT((ROW()-9)/24)</f>
        <v>46084</v>
      </c>
      <c r="B2841" s="11" t="n">
        <f aca="false">MOD(ROW()-9,24)</f>
        <v>0</v>
      </c>
      <c r="C2841" s="12"/>
      <c r="D2841" s="13" t="n">
        <f aca="false">IF(B2841&lt;5,Einstellungen!$B$3,Einstellungen!$B$4)</f>
        <v>15.92</v>
      </c>
      <c r="E2841" s="14" t="str">
        <f aca="false">IF(C2841="","",C2841*D2841/100)</f>
        <v/>
      </c>
      <c r="F2841" s="15" t="str">
        <f aca="false">IF(B2841&lt;5,"Go","Standard")</f>
        <v>Go</v>
      </c>
    </row>
    <row r="2842" customFormat="false" ht="15" hidden="false" customHeight="true" outlineLevel="0" collapsed="false">
      <c r="A2842" s="10" t="n">
        <f aca="false">Einstellungen!$B$5+INT((ROW()-9)/24)</f>
        <v>46084</v>
      </c>
      <c r="B2842" s="11" t="n">
        <f aca="false">MOD(ROW()-9,24)</f>
        <v>1</v>
      </c>
      <c r="C2842" s="12"/>
      <c r="D2842" s="13" t="n">
        <f aca="false">IF(B2842&lt;5,Einstellungen!$B$3,Einstellungen!$B$4)</f>
        <v>15.92</v>
      </c>
      <c r="E2842" s="14" t="str">
        <f aca="false">IF(C2842="","",C2842*D2842/100)</f>
        <v/>
      </c>
      <c r="F2842" s="15" t="str">
        <f aca="false">IF(B2842&lt;5,"Go","Standard")</f>
        <v>Go</v>
      </c>
    </row>
    <row r="2843" customFormat="false" ht="15" hidden="false" customHeight="true" outlineLevel="0" collapsed="false">
      <c r="A2843" s="10" t="n">
        <f aca="false">Einstellungen!$B$5+INT((ROW()-9)/24)</f>
        <v>46084</v>
      </c>
      <c r="B2843" s="11" t="n">
        <f aca="false">MOD(ROW()-9,24)</f>
        <v>2</v>
      </c>
      <c r="C2843" s="12"/>
      <c r="D2843" s="13" t="n">
        <f aca="false">IF(B2843&lt;5,Einstellungen!$B$3,Einstellungen!$B$4)</f>
        <v>15.92</v>
      </c>
      <c r="E2843" s="14" t="str">
        <f aca="false">IF(C2843="","",C2843*D2843/100)</f>
        <v/>
      </c>
      <c r="F2843" s="15" t="str">
        <f aca="false">IF(B2843&lt;5,"Go","Standard")</f>
        <v>Go</v>
      </c>
    </row>
    <row r="2844" customFormat="false" ht="15" hidden="false" customHeight="true" outlineLevel="0" collapsed="false">
      <c r="A2844" s="10" t="n">
        <f aca="false">Einstellungen!$B$5+INT((ROW()-9)/24)</f>
        <v>46084</v>
      </c>
      <c r="B2844" s="11" t="n">
        <f aca="false">MOD(ROW()-9,24)</f>
        <v>3</v>
      </c>
      <c r="C2844" s="12"/>
      <c r="D2844" s="13" t="n">
        <f aca="false">IF(B2844&lt;5,Einstellungen!$B$3,Einstellungen!$B$4)</f>
        <v>15.92</v>
      </c>
      <c r="E2844" s="14" t="str">
        <f aca="false">IF(C2844="","",C2844*D2844/100)</f>
        <v/>
      </c>
      <c r="F2844" s="15" t="str">
        <f aca="false">IF(B2844&lt;5,"Go","Standard")</f>
        <v>Go</v>
      </c>
    </row>
    <row r="2845" customFormat="false" ht="15" hidden="false" customHeight="true" outlineLevel="0" collapsed="false">
      <c r="A2845" s="10" t="n">
        <f aca="false">Einstellungen!$B$5+INT((ROW()-9)/24)</f>
        <v>46084</v>
      </c>
      <c r="B2845" s="11" t="n">
        <f aca="false">MOD(ROW()-9,24)</f>
        <v>4</v>
      </c>
      <c r="C2845" s="12"/>
      <c r="D2845" s="13" t="n">
        <f aca="false">IF(B2845&lt;5,Einstellungen!$B$3,Einstellungen!$B$4)</f>
        <v>15.92</v>
      </c>
      <c r="E2845" s="14" t="str">
        <f aca="false">IF(C2845="","",C2845*D2845/100)</f>
        <v/>
      </c>
      <c r="F2845" s="15" t="str">
        <f aca="false">IF(B2845&lt;5,"Go","Standard")</f>
        <v>Go</v>
      </c>
    </row>
    <row r="2846" customFormat="false" ht="15" hidden="false" customHeight="true" outlineLevel="0" collapsed="false">
      <c r="A2846" s="10" t="n">
        <f aca="false">Einstellungen!$B$5+INT((ROW()-9)/24)</f>
        <v>46084</v>
      </c>
      <c r="B2846" s="11" t="n">
        <f aca="false">MOD(ROW()-9,24)</f>
        <v>5</v>
      </c>
      <c r="C2846" s="12"/>
      <c r="D2846" s="13" t="n">
        <f aca="false">IF(B2846&lt;5,Einstellungen!$B$3,Einstellungen!$B$4)</f>
        <v>29.13</v>
      </c>
      <c r="E2846" s="14" t="str">
        <f aca="false">IF(C2846="","",C2846*D2846/100)</f>
        <v/>
      </c>
      <c r="F2846" s="15" t="str">
        <f aca="false">IF(B2846&lt;5,"Go","Standard")</f>
        <v>Standard</v>
      </c>
    </row>
    <row r="2847" customFormat="false" ht="15" hidden="false" customHeight="true" outlineLevel="0" collapsed="false">
      <c r="A2847" s="10" t="n">
        <f aca="false">Einstellungen!$B$5+INT((ROW()-9)/24)</f>
        <v>46084</v>
      </c>
      <c r="B2847" s="11" t="n">
        <f aca="false">MOD(ROW()-9,24)</f>
        <v>6</v>
      </c>
      <c r="C2847" s="12"/>
      <c r="D2847" s="13" t="n">
        <f aca="false">IF(B2847&lt;5,Einstellungen!$B$3,Einstellungen!$B$4)</f>
        <v>29.13</v>
      </c>
      <c r="E2847" s="14" t="str">
        <f aca="false">IF(C2847="","",C2847*D2847/100)</f>
        <v/>
      </c>
      <c r="F2847" s="15" t="str">
        <f aca="false">IF(B2847&lt;5,"Go","Standard")</f>
        <v>Standard</v>
      </c>
    </row>
    <row r="2848" customFormat="false" ht="15" hidden="false" customHeight="true" outlineLevel="0" collapsed="false">
      <c r="A2848" s="10" t="n">
        <f aca="false">Einstellungen!$B$5+INT((ROW()-9)/24)</f>
        <v>46084</v>
      </c>
      <c r="B2848" s="11" t="n">
        <f aca="false">MOD(ROW()-9,24)</f>
        <v>7</v>
      </c>
      <c r="C2848" s="12"/>
      <c r="D2848" s="13" t="n">
        <f aca="false">IF(B2848&lt;5,Einstellungen!$B$3,Einstellungen!$B$4)</f>
        <v>29.13</v>
      </c>
      <c r="E2848" s="14" t="str">
        <f aca="false">IF(C2848="","",C2848*D2848/100)</f>
        <v/>
      </c>
      <c r="F2848" s="15" t="str">
        <f aca="false">IF(B2848&lt;5,"Go","Standard")</f>
        <v>Standard</v>
      </c>
    </row>
    <row r="2849" customFormat="false" ht="15" hidden="false" customHeight="true" outlineLevel="0" collapsed="false">
      <c r="A2849" s="10" t="n">
        <f aca="false">Einstellungen!$B$5+INT((ROW()-9)/24)</f>
        <v>46084</v>
      </c>
      <c r="B2849" s="11" t="n">
        <f aca="false">MOD(ROW()-9,24)</f>
        <v>8</v>
      </c>
      <c r="C2849" s="12"/>
      <c r="D2849" s="13" t="n">
        <f aca="false">IF(B2849&lt;5,Einstellungen!$B$3,Einstellungen!$B$4)</f>
        <v>29.13</v>
      </c>
      <c r="E2849" s="14" t="str">
        <f aca="false">IF(C2849="","",C2849*D2849/100)</f>
        <v/>
      </c>
      <c r="F2849" s="15" t="str">
        <f aca="false">IF(B2849&lt;5,"Go","Standard")</f>
        <v>Standard</v>
      </c>
    </row>
    <row r="2850" customFormat="false" ht="15" hidden="false" customHeight="true" outlineLevel="0" collapsed="false">
      <c r="A2850" s="10" t="n">
        <f aca="false">Einstellungen!$B$5+INT((ROW()-9)/24)</f>
        <v>46084</v>
      </c>
      <c r="B2850" s="11" t="n">
        <f aca="false">MOD(ROW()-9,24)</f>
        <v>9</v>
      </c>
      <c r="C2850" s="12"/>
      <c r="D2850" s="13" t="n">
        <f aca="false">IF(B2850&lt;5,Einstellungen!$B$3,Einstellungen!$B$4)</f>
        <v>29.13</v>
      </c>
      <c r="E2850" s="14" t="str">
        <f aca="false">IF(C2850="","",C2850*D2850/100)</f>
        <v/>
      </c>
      <c r="F2850" s="15" t="str">
        <f aca="false">IF(B2850&lt;5,"Go","Standard")</f>
        <v>Standard</v>
      </c>
    </row>
    <row r="2851" customFormat="false" ht="15" hidden="false" customHeight="true" outlineLevel="0" collapsed="false">
      <c r="A2851" s="10" t="n">
        <f aca="false">Einstellungen!$B$5+INT((ROW()-9)/24)</f>
        <v>46084</v>
      </c>
      <c r="B2851" s="11" t="n">
        <f aca="false">MOD(ROW()-9,24)</f>
        <v>10</v>
      </c>
      <c r="C2851" s="12"/>
      <c r="D2851" s="13" t="n">
        <f aca="false">IF(B2851&lt;5,Einstellungen!$B$3,Einstellungen!$B$4)</f>
        <v>29.13</v>
      </c>
      <c r="E2851" s="14" t="str">
        <f aca="false">IF(C2851="","",C2851*D2851/100)</f>
        <v/>
      </c>
      <c r="F2851" s="15" t="str">
        <f aca="false">IF(B2851&lt;5,"Go","Standard")</f>
        <v>Standard</v>
      </c>
    </row>
    <row r="2852" customFormat="false" ht="15" hidden="false" customHeight="true" outlineLevel="0" collapsed="false">
      <c r="A2852" s="10" t="n">
        <f aca="false">Einstellungen!$B$5+INT((ROW()-9)/24)</f>
        <v>46084</v>
      </c>
      <c r="B2852" s="11" t="n">
        <f aca="false">MOD(ROW()-9,24)</f>
        <v>11</v>
      </c>
      <c r="C2852" s="12"/>
      <c r="D2852" s="13" t="n">
        <f aca="false">IF(B2852&lt;5,Einstellungen!$B$3,Einstellungen!$B$4)</f>
        <v>29.13</v>
      </c>
      <c r="E2852" s="14" t="str">
        <f aca="false">IF(C2852="","",C2852*D2852/100)</f>
        <v/>
      </c>
      <c r="F2852" s="15" t="str">
        <f aca="false">IF(B2852&lt;5,"Go","Standard")</f>
        <v>Standard</v>
      </c>
    </row>
    <row r="2853" customFormat="false" ht="15" hidden="false" customHeight="true" outlineLevel="0" collapsed="false">
      <c r="A2853" s="10" t="n">
        <f aca="false">Einstellungen!$B$5+INT((ROW()-9)/24)</f>
        <v>46084</v>
      </c>
      <c r="B2853" s="11" t="n">
        <f aca="false">MOD(ROW()-9,24)</f>
        <v>12</v>
      </c>
      <c r="C2853" s="12"/>
      <c r="D2853" s="13" t="n">
        <f aca="false">IF(B2853&lt;5,Einstellungen!$B$3,Einstellungen!$B$4)</f>
        <v>29.13</v>
      </c>
      <c r="E2853" s="14" t="str">
        <f aca="false">IF(C2853="","",C2853*D2853/100)</f>
        <v/>
      </c>
      <c r="F2853" s="15" t="str">
        <f aca="false">IF(B2853&lt;5,"Go","Standard")</f>
        <v>Standard</v>
      </c>
    </row>
    <row r="2854" customFormat="false" ht="15" hidden="false" customHeight="true" outlineLevel="0" collapsed="false">
      <c r="A2854" s="10" t="n">
        <f aca="false">Einstellungen!$B$5+INT((ROW()-9)/24)</f>
        <v>46084</v>
      </c>
      <c r="B2854" s="11" t="n">
        <f aca="false">MOD(ROW()-9,24)</f>
        <v>13</v>
      </c>
      <c r="C2854" s="12"/>
      <c r="D2854" s="13" t="n">
        <f aca="false">IF(B2854&lt;5,Einstellungen!$B$3,Einstellungen!$B$4)</f>
        <v>29.13</v>
      </c>
      <c r="E2854" s="14" t="str">
        <f aca="false">IF(C2854="","",C2854*D2854/100)</f>
        <v/>
      </c>
      <c r="F2854" s="15" t="str">
        <f aca="false">IF(B2854&lt;5,"Go","Standard")</f>
        <v>Standard</v>
      </c>
    </row>
    <row r="2855" customFormat="false" ht="15" hidden="false" customHeight="true" outlineLevel="0" collapsed="false">
      <c r="A2855" s="10" t="n">
        <f aca="false">Einstellungen!$B$5+INT((ROW()-9)/24)</f>
        <v>46084</v>
      </c>
      <c r="B2855" s="11" t="n">
        <f aca="false">MOD(ROW()-9,24)</f>
        <v>14</v>
      </c>
      <c r="C2855" s="12"/>
      <c r="D2855" s="13" t="n">
        <f aca="false">IF(B2855&lt;5,Einstellungen!$B$3,Einstellungen!$B$4)</f>
        <v>29.13</v>
      </c>
      <c r="E2855" s="14" t="str">
        <f aca="false">IF(C2855="","",C2855*D2855/100)</f>
        <v/>
      </c>
      <c r="F2855" s="15" t="str">
        <f aca="false">IF(B2855&lt;5,"Go","Standard")</f>
        <v>Standard</v>
      </c>
    </row>
    <row r="2856" customFormat="false" ht="15" hidden="false" customHeight="true" outlineLevel="0" collapsed="false">
      <c r="A2856" s="10" t="n">
        <f aca="false">Einstellungen!$B$5+INT((ROW()-9)/24)</f>
        <v>46084</v>
      </c>
      <c r="B2856" s="11" t="n">
        <f aca="false">MOD(ROW()-9,24)</f>
        <v>15</v>
      </c>
      <c r="C2856" s="12"/>
      <c r="D2856" s="13" t="n">
        <f aca="false">IF(B2856&lt;5,Einstellungen!$B$3,Einstellungen!$B$4)</f>
        <v>29.13</v>
      </c>
      <c r="E2856" s="14" t="str">
        <f aca="false">IF(C2856="","",C2856*D2856/100)</f>
        <v/>
      </c>
      <c r="F2856" s="15" t="str">
        <f aca="false">IF(B2856&lt;5,"Go","Standard")</f>
        <v>Standard</v>
      </c>
    </row>
    <row r="2857" customFormat="false" ht="15" hidden="false" customHeight="true" outlineLevel="0" collapsed="false">
      <c r="A2857" s="10" t="n">
        <f aca="false">Einstellungen!$B$5+INT((ROW()-9)/24)</f>
        <v>46084</v>
      </c>
      <c r="B2857" s="11" t="n">
        <f aca="false">MOD(ROW()-9,24)</f>
        <v>16</v>
      </c>
      <c r="C2857" s="12"/>
      <c r="D2857" s="13" t="n">
        <f aca="false">IF(B2857&lt;5,Einstellungen!$B$3,Einstellungen!$B$4)</f>
        <v>29.13</v>
      </c>
      <c r="E2857" s="14" t="str">
        <f aca="false">IF(C2857="","",C2857*D2857/100)</f>
        <v/>
      </c>
      <c r="F2857" s="15" t="str">
        <f aca="false">IF(B2857&lt;5,"Go","Standard")</f>
        <v>Standard</v>
      </c>
    </row>
    <row r="2858" customFormat="false" ht="15" hidden="false" customHeight="true" outlineLevel="0" collapsed="false">
      <c r="A2858" s="10" t="n">
        <f aca="false">Einstellungen!$B$5+INT((ROW()-9)/24)</f>
        <v>46084</v>
      </c>
      <c r="B2858" s="11" t="n">
        <f aca="false">MOD(ROW()-9,24)</f>
        <v>17</v>
      </c>
      <c r="C2858" s="12"/>
      <c r="D2858" s="13" t="n">
        <f aca="false">IF(B2858&lt;5,Einstellungen!$B$3,Einstellungen!$B$4)</f>
        <v>29.13</v>
      </c>
      <c r="E2858" s="14" t="str">
        <f aca="false">IF(C2858="","",C2858*D2858/100)</f>
        <v/>
      </c>
      <c r="F2858" s="15" t="str">
        <f aca="false">IF(B2858&lt;5,"Go","Standard")</f>
        <v>Standard</v>
      </c>
    </row>
    <row r="2859" customFormat="false" ht="15" hidden="false" customHeight="true" outlineLevel="0" collapsed="false">
      <c r="A2859" s="10" t="n">
        <f aca="false">Einstellungen!$B$5+INT((ROW()-9)/24)</f>
        <v>46084</v>
      </c>
      <c r="B2859" s="11" t="n">
        <f aca="false">MOD(ROW()-9,24)</f>
        <v>18</v>
      </c>
      <c r="C2859" s="12"/>
      <c r="D2859" s="13" t="n">
        <f aca="false">IF(B2859&lt;5,Einstellungen!$B$3,Einstellungen!$B$4)</f>
        <v>29.13</v>
      </c>
      <c r="E2859" s="14" t="str">
        <f aca="false">IF(C2859="","",C2859*D2859/100)</f>
        <v/>
      </c>
      <c r="F2859" s="15" t="str">
        <f aca="false">IF(B2859&lt;5,"Go","Standard")</f>
        <v>Standard</v>
      </c>
    </row>
    <row r="2860" customFormat="false" ht="15" hidden="false" customHeight="true" outlineLevel="0" collapsed="false">
      <c r="A2860" s="10" t="n">
        <f aca="false">Einstellungen!$B$5+INT((ROW()-9)/24)</f>
        <v>46084</v>
      </c>
      <c r="B2860" s="11" t="n">
        <f aca="false">MOD(ROW()-9,24)</f>
        <v>19</v>
      </c>
      <c r="C2860" s="12"/>
      <c r="D2860" s="13" t="n">
        <f aca="false">IF(B2860&lt;5,Einstellungen!$B$3,Einstellungen!$B$4)</f>
        <v>29.13</v>
      </c>
      <c r="E2860" s="14" t="str">
        <f aca="false">IF(C2860="","",C2860*D2860/100)</f>
        <v/>
      </c>
      <c r="F2860" s="15" t="str">
        <f aca="false">IF(B2860&lt;5,"Go","Standard")</f>
        <v>Standard</v>
      </c>
    </row>
    <row r="2861" customFormat="false" ht="15" hidden="false" customHeight="true" outlineLevel="0" collapsed="false">
      <c r="A2861" s="10" t="n">
        <f aca="false">Einstellungen!$B$5+INT((ROW()-9)/24)</f>
        <v>46084</v>
      </c>
      <c r="B2861" s="11" t="n">
        <f aca="false">MOD(ROW()-9,24)</f>
        <v>20</v>
      </c>
      <c r="C2861" s="12"/>
      <c r="D2861" s="13" t="n">
        <f aca="false">IF(B2861&lt;5,Einstellungen!$B$3,Einstellungen!$B$4)</f>
        <v>29.13</v>
      </c>
      <c r="E2861" s="14" t="str">
        <f aca="false">IF(C2861="","",C2861*D2861/100)</f>
        <v/>
      </c>
      <c r="F2861" s="15" t="str">
        <f aca="false">IF(B2861&lt;5,"Go","Standard")</f>
        <v>Standard</v>
      </c>
    </row>
    <row r="2862" customFormat="false" ht="15" hidden="false" customHeight="true" outlineLevel="0" collapsed="false">
      <c r="A2862" s="10" t="n">
        <f aca="false">Einstellungen!$B$5+INT((ROW()-9)/24)</f>
        <v>46084</v>
      </c>
      <c r="B2862" s="11" t="n">
        <f aca="false">MOD(ROW()-9,24)</f>
        <v>21</v>
      </c>
      <c r="C2862" s="12"/>
      <c r="D2862" s="13" t="n">
        <f aca="false">IF(B2862&lt;5,Einstellungen!$B$3,Einstellungen!$B$4)</f>
        <v>29.13</v>
      </c>
      <c r="E2862" s="14" t="str">
        <f aca="false">IF(C2862="","",C2862*D2862/100)</f>
        <v/>
      </c>
      <c r="F2862" s="15" t="str">
        <f aca="false">IF(B2862&lt;5,"Go","Standard")</f>
        <v>Standard</v>
      </c>
    </row>
    <row r="2863" customFormat="false" ht="15" hidden="false" customHeight="true" outlineLevel="0" collapsed="false">
      <c r="A2863" s="10" t="n">
        <f aca="false">Einstellungen!$B$5+INT((ROW()-9)/24)</f>
        <v>46084</v>
      </c>
      <c r="B2863" s="11" t="n">
        <f aca="false">MOD(ROW()-9,24)</f>
        <v>22</v>
      </c>
      <c r="C2863" s="12"/>
      <c r="D2863" s="13" t="n">
        <f aca="false">IF(B2863&lt;5,Einstellungen!$B$3,Einstellungen!$B$4)</f>
        <v>29.13</v>
      </c>
      <c r="E2863" s="14" t="str">
        <f aca="false">IF(C2863="","",C2863*D2863/100)</f>
        <v/>
      </c>
      <c r="F2863" s="15" t="str">
        <f aca="false">IF(B2863&lt;5,"Go","Standard")</f>
        <v>Standard</v>
      </c>
    </row>
    <row r="2864" customFormat="false" ht="15" hidden="false" customHeight="true" outlineLevel="0" collapsed="false">
      <c r="A2864" s="10" t="n">
        <f aca="false">Einstellungen!$B$5+INT((ROW()-9)/24)</f>
        <v>46084</v>
      </c>
      <c r="B2864" s="11" t="n">
        <f aca="false">MOD(ROW()-9,24)</f>
        <v>23</v>
      </c>
      <c r="C2864" s="12"/>
      <c r="D2864" s="13" t="n">
        <f aca="false">IF(B2864&lt;5,Einstellungen!$B$3,Einstellungen!$B$4)</f>
        <v>29.13</v>
      </c>
      <c r="E2864" s="14" t="str">
        <f aca="false">IF(C2864="","",C2864*D2864/100)</f>
        <v/>
      </c>
      <c r="F2864" s="15" t="str">
        <f aca="false">IF(B2864&lt;5,"Go","Standard")</f>
        <v>Standard</v>
      </c>
    </row>
    <row r="2865" customFormat="false" ht="15" hidden="false" customHeight="true" outlineLevel="0" collapsed="false">
      <c r="A2865" s="10" t="n">
        <f aca="false">Einstellungen!$B$5+INT((ROW()-9)/24)</f>
        <v>46085</v>
      </c>
      <c r="B2865" s="11" t="n">
        <f aca="false">MOD(ROW()-9,24)</f>
        <v>0</v>
      </c>
      <c r="C2865" s="12"/>
      <c r="D2865" s="13" t="n">
        <f aca="false">IF(B2865&lt;5,Einstellungen!$B$3,Einstellungen!$B$4)</f>
        <v>15.92</v>
      </c>
      <c r="E2865" s="14" t="str">
        <f aca="false">IF(C2865="","",C2865*D2865/100)</f>
        <v/>
      </c>
      <c r="F2865" s="15" t="str">
        <f aca="false">IF(B2865&lt;5,"Go","Standard")</f>
        <v>Go</v>
      </c>
    </row>
    <row r="2866" customFormat="false" ht="15" hidden="false" customHeight="true" outlineLevel="0" collapsed="false">
      <c r="A2866" s="10" t="n">
        <f aca="false">Einstellungen!$B$5+INT((ROW()-9)/24)</f>
        <v>46085</v>
      </c>
      <c r="B2866" s="11" t="n">
        <f aca="false">MOD(ROW()-9,24)</f>
        <v>1</v>
      </c>
      <c r="C2866" s="12"/>
      <c r="D2866" s="13" t="n">
        <f aca="false">IF(B2866&lt;5,Einstellungen!$B$3,Einstellungen!$B$4)</f>
        <v>15.92</v>
      </c>
      <c r="E2866" s="14" t="str">
        <f aca="false">IF(C2866="","",C2866*D2866/100)</f>
        <v/>
      </c>
      <c r="F2866" s="15" t="str">
        <f aca="false">IF(B2866&lt;5,"Go","Standard")</f>
        <v>Go</v>
      </c>
    </row>
    <row r="2867" customFormat="false" ht="15" hidden="false" customHeight="true" outlineLevel="0" collapsed="false">
      <c r="A2867" s="10" t="n">
        <f aca="false">Einstellungen!$B$5+INT((ROW()-9)/24)</f>
        <v>46085</v>
      </c>
      <c r="B2867" s="11" t="n">
        <f aca="false">MOD(ROW()-9,24)</f>
        <v>2</v>
      </c>
      <c r="C2867" s="12"/>
      <c r="D2867" s="13" t="n">
        <f aca="false">IF(B2867&lt;5,Einstellungen!$B$3,Einstellungen!$B$4)</f>
        <v>15.92</v>
      </c>
      <c r="E2867" s="14" t="str">
        <f aca="false">IF(C2867="","",C2867*D2867/100)</f>
        <v/>
      </c>
      <c r="F2867" s="15" t="str">
        <f aca="false">IF(B2867&lt;5,"Go","Standard")</f>
        <v>Go</v>
      </c>
    </row>
    <row r="2868" customFormat="false" ht="15" hidden="false" customHeight="true" outlineLevel="0" collapsed="false">
      <c r="A2868" s="10" t="n">
        <f aca="false">Einstellungen!$B$5+INT((ROW()-9)/24)</f>
        <v>46085</v>
      </c>
      <c r="B2868" s="11" t="n">
        <f aca="false">MOD(ROW()-9,24)</f>
        <v>3</v>
      </c>
      <c r="C2868" s="12"/>
      <c r="D2868" s="13" t="n">
        <f aca="false">IF(B2868&lt;5,Einstellungen!$B$3,Einstellungen!$B$4)</f>
        <v>15.92</v>
      </c>
      <c r="E2868" s="14" t="str">
        <f aca="false">IF(C2868="","",C2868*D2868/100)</f>
        <v/>
      </c>
      <c r="F2868" s="15" t="str">
        <f aca="false">IF(B2868&lt;5,"Go","Standard")</f>
        <v>Go</v>
      </c>
    </row>
    <row r="2869" customFormat="false" ht="15" hidden="false" customHeight="true" outlineLevel="0" collapsed="false">
      <c r="A2869" s="10" t="n">
        <f aca="false">Einstellungen!$B$5+INT((ROW()-9)/24)</f>
        <v>46085</v>
      </c>
      <c r="B2869" s="11" t="n">
        <f aca="false">MOD(ROW()-9,24)</f>
        <v>4</v>
      </c>
      <c r="C2869" s="12"/>
      <c r="D2869" s="13" t="n">
        <f aca="false">IF(B2869&lt;5,Einstellungen!$B$3,Einstellungen!$B$4)</f>
        <v>15.92</v>
      </c>
      <c r="E2869" s="14" t="str">
        <f aca="false">IF(C2869="","",C2869*D2869/100)</f>
        <v/>
      </c>
      <c r="F2869" s="15" t="str">
        <f aca="false">IF(B2869&lt;5,"Go","Standard")</f>
        <v>Go</v>
      </c>
    </row>
    <row r="2870" customFormat="false" ht="15" hidden="false" customHeight="true" outlineLevel="0" collapsed="false">
      <c r="A2870" s="10" t="n">
        <f aca="false">Einstellungen!$B$5+INT((ROW()-9)/24)</f>
        <v>46085</v>
      </c>
      <c r="B2870" s="11" t="n">
        <f aca="false">MOD(ROW()-9,24)</f>
        <v>5</v>
      </c>
      <c r="C2870" s="12"/>
      <c r="D2870" s="13" t="n">
        <f aca="false">IF(B2870&lt;5,Einstellungen!$B$3,Einstellungen!$B$4)</f>
        <v>29.13</v>
      </c>
      <c r="E2870" s="14" t="str">
        <f aca="false">IF(C2870="","",C2870*D2870/100)</f>
        <v/>
      </c>
      <c r="F2870" s="15" t="str">
        <f aca="false">IF(B2870&lt;5,"Go","Standard")</f>
        <v>Standard</v>
      </c>
    </row>
    <row r="2871" customFormat="false" ht="15" hidden="false" customHeight="true" outlineLevel="0" collapsed="false">
      <c r="A2871" s="10" t="n">
        <f aca="false">Einstellungen!$B$5+INT((ROW()-9)/24)</f>
        <v>46085</v>
      </c>
      <c r="B2871" s="11" t="n">
        <f aca="false">MOD(ROW()-9,24)</f>
        <v>6</v>
      </c>
      <c r="C2871" s="12"/>
      <c r="D2871" s="13" t="n">
        <f aca="false">IF(B2871&lt;5,Einstellungen!$B$3,Einstellungen!$B$4)</f>
        <v>29.13</v>
      </c>
      <c r="E2871" s="14" t="str">
        <f aca="false">IF(C2871="","",C2871*D2871/100)</f>
        <v/>
      </c>
      <c r="F2871" s="15" t="str">
        <f aca="false">IF(B2871&lt;5,"Go","Standard")</f>
        <v>Standard</v>
      </c>
    </row>
    <row r="2872" customFormat="false" ht="15" hidden="false" customHeight="true" outlineLevel="0" collapsed="false">
      <c r="A2872" s="10" t="n">
        <f aca="false">Einstellungen!$B$5+INT((ROW()-9)/24)</f>
        <v>46085</v>
      </c>
      <c r="B2872" s="11" t="n">
        <f aca="false">MOD(ROW()-9,24)</f>
        <v>7</v>
      </c>
      <c r="C2872" s="12"/>
      <c r="D2872" s="13" t="n">
        <f aca="false">IF(B2872&lt;5,Einstellungen!$B$3,Einstellungen!$B$4)</f>
        <v>29.13</v>
      </c>
      <c r="E2872" s="14" t="str">
        <f aca="false">IF(C2872="","",C2872*D2872/100)</f>
        <v/>
      </c>
      <c r="F2872" s="15" t="str">
        <f aca="false">IF(B2872&lt;5,"Go","Standard")</f>
        <v>Standard</v>
      </c>
    </row>
    <row r="2873" customFormat="false" ht="15" hidden="false" customHeight="true" outlineLevel="0" collapsed="false">
      <c r="A2873" s="10" t="n">
        <f aca="false">Einstellungen!$B$5+INT((ROW()-9)/24)</f>
        <v>46085</v>
      </c>
      <c r="B2873" s="11" t="n">
        <f aca="false">MOD(ROW()-9,24)</f>
        <v>8</v>
      </c>
      <c r="C2873" s="12"/>
      <c r="D2873" s="13" t="n">
        <f aca="false">IF(B2873&lt;5,Einstellungen!$B$3,Einstellungen!$B$4)</f>
        <v>29.13</v>
      </c>
      <c r="E2873" s="14" t="str">
        <f aca="false">IF(C2873="","",C2873*D2873/100)</f>
        <v/>
      </c>
      <c r="F2873" s="15" t="str">
        <f aca="false">IF(B2873&lt;5,"Go","Standard")</f>
        <v>Standard</v>
      </c>
    </row>
    <row r="2874" customFormat="false" ht="15" hidden="false" customHeight="true" outlineLevel="0" collapsed="false">
      <c r="A2874" s="10" t="n">
        <f aca="false">Einstellungen!$B$5+INT((ROW()-9)/24)</f>
        <v>46085</v>
      </c>
      <c r="B2874" s="11" t="n">
        <f aca="false">MOD(ROW()-9,24)</f>
        <v>9</v>
      </c>
      <c r="C2874" s="12"/>
      <c r="D2874" s="13" t="n">
        <f aca="false">IF(B2874&lt;5,Einstellungen!$B$3,Einstellungen!$B$4)</f>
        <v>29.13</v>
      </c>
      <c r="E2874" s="14" t="str">
        <f aca="false">IF(C2874="","",C2874*D2874/100)</f>
        <v/>
      </c>
      <c r="F2874" s="15" t="str">
        <f aca="false">IF(B2874&lt;5,"Go","Standard")</f>
        <v>Standard</v>
      </c>
    </row>
    <row r="2875" customFormat="false" ht="15" hidden="false" customHeight="true" outlineLevel="0" collapsed="false">
      <c r="A2875" s="10" t="n">
        <f aca="false">Einstellungen!$B$5+INT((ROW()-9)/24)</f>
        <v>46085</v>
      </c>
      <c r="B2875" s="11" t="n">
        <f aca="false">MOD(ROW()-9,24)</f>
        <v>10</v>
      </c>
      <c r="C2875" s="12"/>
      <c r="D2875" s="13" t="n">
        <f aca="false">IF(B2875&lt;5,Einstellungen!$B$3,Einstellungen!$B$4)</f>
        <v>29.13</v>
      </c>
      <c r="E2875" s="14" t="str">
        <f aca="false">IF(C2875="","",C2875*D2875/100)</f>
        <v/>
      </c>
      <c r="F2875" s="15" t="str">
        <f aca="false">IF(B2875&lt;5,"Go","Standard")</f>
        <v>Standard</v>
      </c>
    </row>
    <row r="2876" customFormat="false" ht="15" hidden="false" customHeight="true" outlineLevel="0" collapsed="false">
      <c r="A2876" s="10" t="n">
        <f aca="false">Einstellungen!$B$5+INT((ROW()-9)/24)</f>
        <v>46085</v>
      </c>
      <c r="B2876" s="11" t="n">
        <f aca="false">MOD(ROW()-9,24)</f>
        <v>11</v>
      </c>
      <c r="C2876" s="12"/>
      <c r="D2876" s="13" t="n">
        <f aca="false">IF(B2876&lt;5,Einstellungen!$B$3,Einstellungen!$B$4)</f>
        <v>29.13</v>
      </c>
      <c r="E2876" s="14" t="str">
        <f aca="false">IF(C2876="","",C2876*D2876/100)</f>
        <v/>
      </c>
      <c r="F2876" s="15" t="str">
        <f aca="false">IF(B2876&lt;5,"Go","Standard")</f>
        <v>Standard</v>
      </c>
    </row>
    <row r="2877" customFormat="false" ht="15" hidden="false" customHeight="true" outlineLevel="0" collapsed="false">
      <c r="A2877" s="10" t="n">
        <f aca="false">Einstellungen!$B$5+INT((ROW()-9)/24)</f>
        <v>46085</v>
      </c>
      <c r="B2877" s="11" t="n">
        <f aca="false">MOD(ROW()-9,24)</f>
        <v>12</v>
      </c>
      <c r="C2877" s="12"/>
      <c r="D2877" s="13" t="n">
        <f aca="false">IF(B2877&lt;5,Einstellungen!$B$3,Einstellungen!$B$4)</f>
        <v>29.13</v>
      </c>
      <c r="E2877" s="14" t="str">
        <f aca="false">IF(C2877="","",C2877*D2877/100)</f>
        <v/>
      </c>
      <c r="F2877" s="15" t="str">
        <f aca="false">IF(B2877&lt;5,"Go","Standard")</f>
        <v>Standard</v>
      </c>
    </row>
    <row r="2878" customFormat="false" ht="15" hidden="false" customHeight="true" outlineLevel="0" collapsed="false">
      <c r="A2878" s="10" t="n">
        <f aca="false">Einstellungen!$B$5+INT((ROW()-9)/24)</f>
        <v>46085</v>
      </c>
      <c r="B2878" s="11" t="n">
        <f aca="false">MOD(ROW()-9,24)</f>
        <v>13</v>
      </c>
      <c r="C2878" s="12"/>
      <c r="D2878" s="13" t="n">
        <f aca="false">IF(B2878&lt;5,Einstellungen!$B$3,Einstellungen!$B$4)</f>
        <v>29.13</v>
      </c>
      <c r="E2878" s="14" t="str">
        <f aca="false">IF(C2878="","",C2878*D2878/100)</f>
        <v/>
      </c>
      <c r="F2878" s="15" t="str">
        <f aca="false">IF(B2878&lt;5,"Go","Standard")</f>
        <v>Standard</v>
      </c>
    </row>
    <row r="2879" customFormat="false" ht="15" hidden="false" customHeight="true" outlineLevel="0" collapsed="false">
      <c r="A2879" s="10" t="n">
        <f aca="false">Einstellungen!$B$5+INT((ROW()-9)/24)</f>
        <v>46085</v>
      </c>
      <c r="B2879" s="11" t="n">
        <f aca="false">MOD(ROW()-9,24)</f>
        <v>14</v>
      </c>
      <c r="C2879" s="12"/>
      <c r="D2879" s="13" t="n">
        <f aca="false">IF(B2879&lt;5,Einstellungen!$B$3,Einstellungen!$B$4)</f>
        <v>29.13</v>
      </c>
      <c r="E2879" s="14" t="str">
        <f aca="false">IF(C2879="","",C2879*D2879/100)</f>
        <v/>
      </c>
      <c r="F2879" s="15" t="str">
        <f aca="false">IF(B2879&lt;5,"Go","Standard")</f>
        <v>Standard</v>
      </c>
    </row>
    <row r="2880" customFormat="false" ht="15" hidden="false" customHeight="true" outlineLevel="0" collapsed="false">
      <c r="A2880" s="10" t="n">
        <f aca="false">Einstellungen!$B$5+INT((ROW()-9)/24)</f>
        <v>46085</v>
      </c>
      <c r="B2880" s="11" t="n">
        <f aca="false">MOD(ROW()-9,24)</f>
        <v>15</v>
      </c>
      <c r="C2880" s="12"/>
      <c r="D2880" s="13" t="n">
        <f aca="false">IF(B2880&lt;5,Einstellungen!$B$3,Einstellungen!$B$4)</f>
        <v>29.13</v>
      </c>
      <c r="E2880" s="14" t="str">
        <f aca="false">IF(C2880="","",C2880*D2880/100)</f>
        <v/>
      </c>
      <c r="F2880" s="15" t="str">
        <f aca="false">IF(B2880&lt;5,"Go","Standard")</f>
        <v>Standard</v>
      </c>
    </row>
    <row r="2881" customFormat="false" ht="15" hidden="false" customHeight="true" outlineLevel="0" collapsed="false">
      <c r="A2881" s="10" t="n">
        <f aca="false">Einstellungen!$B$5+INT((ROW()-9)/24)</f>
        <v>46085</v>
      </c>
      <c r="B2881" s="11" t="n">
        <f aca="false">MOD(ROW()-9,24)</f>
        <v>16</v>
      </c>
      <c r="C2881" s="12"/>
      <c r="D2881" s="13" t="n">
        <f aca="false">IF(B2881&lt;5,Einstellungen!$B$3,Einstellungen!$B$4)</f>
        <v>29.13</v>
      </c>
      <c r="E2881" s="14" t="str">
        <f aca="false">IF(C2881="","",C2881*D2881/100)</f>
        <v/>
      </c>
      <c r="F2881" s="15" t="str">
        <f aca="false">IF(B2881&lt;5,"Go","Standard")</f>
        <v>Standard</v>
      </c>
    </row>
    <row r="2882" customFormat="false" ht="15" hidden="false" customHeight="true" outlineLevel="0" collapsed="false">
      <c r="A2882" s="10" t="n">
        <f aca="false">Einstellungen!$B$5+INT((ROW()-9)/24)</f>
        <v>46085</v>
      </c>
      <c r="B2882" s="11" t="n">
        <f aca="false">MOD(ROW()-9,24)</f>
        <v>17</v>
      </c>
      <c r="C2882" s="12"/>
      <c r="D2882" s="13" t="n">
        <f aca="false">IF(B2882&lt;5,Einstellungen!$B$3,Einstellungen!$B$4)</f>
        <v>29.13</v>
      </c>
      <c r="E2882" s="14" t="str">
        <f aca="false">IF(C2882="","",C2882*D2882/100)</f>
        <v/>
      </c>
      <c r="F2882" s="15" t="str">
        <f aca="false">IF(B2882&lt;5,"Go","Standard")</f>
        <v>Standard</v>
      </c>
    </row>
    <row r="2883" customFormat="false" ht="15" hidden="false" customHeight="true" outlineLevel="0" collapsed="false">
      <c r="A2883" s="10" t="n">
        <f aca="false">Einstellungen!$B$5+INT((ROW()-9)/24)</f>
        <v>46085</v>
      </c>
      <c r="B2883" s="11" t="n">
        <f aca="false">MOD(ROW()-9,24)</f>
        <v>18</v>
      </c>
      <c r="C2883" s="12"/>
      <c r="D2883" s="13" t="n">
        <f aca="false">IF(B2883&lt;5,Einstellungen!$B$3,Einstellungen!$B$4)</f>
        <v>29.13</v>
      </c>
      <c r="E2883" s="14" t="str">
        <f aca="false">IF(C2883="","",C2883*D2883/100)</f>
        <v/>
      </c>
      <c r="F2883" s="15" t="str">
        <f aca="false">IF(B2883&lt;5,"Go","Standard")</f>
        <v>Standard</v>
      </c>
    </row>
    <row r="2884" customFormat="false" ht="15" hidden="false" customHeight="true" outlineLevel="0" collapsed="false">
      <c r="A2884" s="10" t="n">
        <f aca="false">Einstellungen!$B$5+INT((ROW()-9)/24)</f>
        <v>46085</v>
      </c>
      <c r="B2884" s="11" t="n">
        <f aca="false">MOD(ROW()-9,24)</f>
        <v>19</v>
      </c>
      <c r="C2884" s="12"/>
      <c r="D2884" s="13" t="n">
        <f aca="false">IF(B2884&lt;5,Einstellungen!$B$3,Einstellungen!$B$4)</f>
        <v>29.13</v>
      </c>
      <c r="E2884" s="14" t="str">
        <f aca="false">IF(C2884="","",C2884*D2884/100)</f>
        <v/>
      </c>
      <c r="F2884" s="15" t="str">
        <f aca="false">IF(B2884&lt;5,"Go","Standard")</f>
        <v>Standard</v>
      </c>
    </row>
    <row r="2885" customFormat="false" ht="15" hidden="false" customHeight="true" outlineLevel="0" collapsed="false">
      <c r="A2885" s="10" t="n">
        <f aca="false">Einstellungen!$B$5+INT((ROW()-9)/24)</f>
        <v>46085</v>
      </c>
      <c r="B2885" s="11" t="n">
        <f aca="false">MOD(ROW()-9,24)</f>
        <v>20</v>
      </c>
      <c r="C2885" s="12"/>
      <c r="D2885" s="13" t="n">
        <f aca="false">IF(B2885&lt;5,Einstellungen!$B$3,Einstellungen!$B$4)</f>
        <v>29.13</v>
      </c>
      <c r="E2885" s="14" t="str">
        <f aca="false">IF(C2885="","",C2885*D2885/100)</f>
        <v/>
      </c>
      <c r="F2885" s="15" t="str">
        <f aca="false">IF(B2885&lt;5,"Go","Standard")</f>
        <v>Standard</v>
      </c>
    </row>
    <row r="2886" customFormat="false" ht="15" hidden="false" customHeight="true" outlineLevel="0" collapsed="false">
      <c r="A2886" s="10" t="n">
        <f aca="false">Einstellungen!$B$5+INT((ROW()-9)/24)</f>
        <v>46085</v>
      </c>
      <c r="B2886" s="11" t="n">
        <f aca="false">MOD(ROW()-9,24)</f>
        <v>21</v>
      </c>
      <c r="C2886" s="12"/>
      <c r="D2886" s="13" t="n">
        <f aca="false">IF(B2886&lt;5,Einstellungen!$B$3,Einstellungen!$B$4)</f>
        <v>29.13</v>
      </c>
      <c r="E2886" s="14" t="str">
        <f aca="false">IF(C2886="","",C2886*D2886/100)</f>
        <v/>
      </c>
      <c r="F2886" s="15" t="str">
        <f aca="false">IF(B2886&lt;5,"Go","Standard")</f>
        <v>Standard</v>
      </c>
    </row>
    <row r="2887" customFormat="false" ht="15" hidden="false" customHeight="true" outlineLevel="0" collapsed="false">
      <c r="A2887" s="10" t="n">
        <f aca="false">Einstellungen!$B$5+INT((ROW()-9)/24)</f>
        <v>46085</v>
      </c>
      <c r="B2887" s="11" t="n">
        <f aca="false">MOD(ROW()-9,24)</f>
        <v>22</v>
      </c>
      <c r="C2887" s="12"/>
      <c r="D2887" s="13" t="n">
        <f aca="false">IF(B2887&lt;5,Einstellungen!$B$3,Einstellungen!$B$4)</f>
        <v>29.13</v>
      </c>
      <c r="E2887" s="14" t="str">
        <f aca="false">IF(C2887="","",C2887*D2887/100)</f>
        <v/>
      </c>
      <c r="F2887" s="15" t="str">
        <f aca="false">IF(B2887&lt;5,"Go","Standard")</f>
        <v>Standard</v>
      </c>
    </row>
    <row r="2888" customFormat="false" ht="15" hidden="false" customHeight="true" outlineLevel="0" collapsed="false">
      <c r="A2888" s="10" t="n">
        <f aca="false">Einstellungen!$B$5+INT((ROW()-9)/24)</f>
        <v>46085</v>
      </c>
      <c r="B2888" s="11" t="n">
        <f aca="false">MOD(ROW()-9,24)</f>
        <v>23</v>
      </c>
      <c r="C2888" s="12"/>
      <c r="D2888" s="13" t="n">
        <f aca="false">IF(B2888&lt;5,Einstellungen!$B$3,Einstellungen!$B$4)</f>
        <v>29.13</v>
      </c>
      <c r="E2888" s="14" t="str">
        <f aca="false">IF(C2888="","",C2888*D2888/100)</f>
        <v/>
      </c>
      <c r="F2888" s="15" t="str">
        <f aca="false">IF(B2888&lt;5,"Go","Standard")</f>
        <v>Standard</v>
      </c>
    </row>
    <row r="2889" customFormat="false" ht="15" hidden="false" customHeight="true" outlineLevel="0" collapsed="false">
      <c r="A2889" s="10" t="n">
        <f aca="false">Einstellungen!$B$5+INT((ROW()-9)/24)</f>
        <v>46086</v>
      </c>
      <c r="B2889" s="11" t="n">
        <f aca="false">MOD(ROW()-9,24)</f>
        <v>0</v>
      </c>
      <c r="C2889" s="12"/>
      <c r="D2889" s="13" t="n">
        <f aca="false">IF(B2889&lt;5,Einstellungen!$B$3,Einstellungen!$B$4)</f>
        <v>15.92</v>
      </c>
      <c r="E2889" s="14" t="str">
        <f aca="false">IF(C2889="","",C2889*D2889/100)</f>
        <v/>
      </c>
      <c r="F2889" s="15" t="str">
        <f aca="false">IF(B2889&lt;5,"Go","Standard")</f>
        <v>Go</v>
      </c>
    </row>
    <row r="2890" customFormat="false" ht="15" hidden="false" customHeight="true" outlineLevel="0" collapsed="false">
      <c r="A2890" s="10" t="n">
        <f aca="false">Einstellungen!$B$5+INT((ROW()-9)/24)</f>
        <v>46086</v>
      </c>
      <c r="B2890" s="11" t="n">
        <f aca="false">MOD(ROW()-9,24)</f>
        <v>1</v>
      </c>
      <c r="C2890" s="12"/>
      <c r="D2890" s="13" t="n">
        <f aca="false">IF(B2890&lt;5,Einstellungen!$B$3,Einstellungen!$B$4)</f>
        <v>15.92</v>
      </c>
      <c r="E2890" s="14" t="str">
        <f aca="false">IF(C2890="","",C2890*D2890/100)</f>
        <v/>
      </c>
      <c r="F2890" s="15" t="str">
        <f aca="false">IF(B2890&lt;5,"Go","Standard")</f>
        <v>Go</v>
      </c>
    </row>
    <row r="2891" customFormat="false" ht="15" hidden="false" customHeight="true" outlineLevel="0" collapsed="false">
      <c r="A2891" s="10" t="n">
        <f aca="false">Einstellungen!$B$5+INT((ROW()-9)/24)</f>
        <v>46086</v>
      </c>
      <c r="B2891" s="11" t="n">
        <f aca="false">MOD(ROW()-9,24)</f>
        <v>2</v>
      </c>
      <c r="C2891" s="12"/>
      <c r="D2891" s="13" t="n">
        <f aca="false">IF(B2891&lt;5,Einstellungen!$B$3,Einstellungen!$B$4)</f>
        <v>15.92</v>
      </c>
      <c r="E2891" s="14" t="str">
        <f aca="false">IF(C2891="","",C2891*D2891/100)</f>
        <v/>
      </c>
      <c r="F2891" s="15" t="str">
        <f aca="false">IF(B2891&lt;5,"Go","Standard")</f>
        <v>Go</v>
      </c>
    </row>
    <row r="2892" customFormat="false" ht="15" hidden="false" customHeight="true" outlineLevel="0" collapsed="false">
      <c r="A2892" s="10" t="n">
        <f aca="false">Einstellungen!$B$5+INT((ROW()-9)/24)</f>
        <v>46086</v>
      </c>
      <c r="B2892" s="11" t="n">
        <f aca="false">MOD(ROW()-9,24)</f>
        <v>3</v>
      </c>
      <c r="C2892" s="12"/>
      <c r="D2892" s="13" t="n">
        <f aca="false">IF(B2892&lt;5,Einstellungen!$B$3,Einstellungen!$B$4)</f>
        <v>15.92</v>
      </c>
      <c r="E2892" s="14" t="str">
        <f aca="false">IF(C2892="","",C2892*D2892/100)</f>
        <v/>
      </c>
      <c r="F2892" s="15" t="str">
        <f aca="false">IF(B2892&lt;5,"Go","Standard")</f>
        <v>Go</v>
      </c>
    </row>
    <row r="2893" customFormat="false" ht="15" hidden="false" customHeight="true" outlineLevel="0" collapsed="false">
      <c r="A2893" s="10" t="n">
        <f aca="false">Einstellungen!$B$5+INT((ROW()-9)/24)</f>
        <v>46086</v>
      </c>
      <c r="B2893" s="11" t="n">
        <f aca="false">MOD(ROW()-9,24)</f>
        <v>4</v>
      </c>
      <c r="C2893" s="12"/>
      <c r="D2893" s="13" t="n">
        <f aca="false">IF(B2893&lt;5,Einstellungen!$B$3,Einstellungen!$B$4)</f>
        <v>15.92</v>
      </c>
      <c r="E2893" s="14" t="str">
        <f aca="false">IF(C2893="","",C2893*D2893/100)</f>
        <v/>
      </c>
      <c r="F2893" s="15" t="str">
        <f aca="false">IF(B2893&lt;5,"Go","Standard")</f>
        <v>Go</v>
      </c>
    </row>
    <row r="2894" customFormat="false" ht="15" hidden="false" customHeight="true" outlineLevel="0" collapsed="false">
      <c r="A2894" s="10" t="n">
        <f aca="false">Einstellungen!$B$5+INT((ROW()-9)/24)</f>
        <v>46086</v>
      </c>
      <c r="B2894" s="11" t="n">
        <f aca="false">MOD(ROW()-9,24)</f>
        <v>5</v>
      </c>
      <c r="C2894" s="12"/>
      <c r="D2894" s="13" t="n">
        <f aca="false">IF(B2894&lt;5,Einstellungen!$B$3,Einstellungen!$B$4)</f>
        <v>29.13</v>
      </c>
      <c r="E2894" s="14" t="str">
        <f aca="false">IF(C2894="","",C2894*D2894/100)</f>
        <v/>
      </c>
      <c r="F2894" s="15" t="str">
        <f aca="false">IF(B2894&lt;5,"Go","Standard")</f>
        <v>Standard</v>
      </c>
    </row>
    <row r="2895" customFormat="false" ht="15" hidden="false" customHeight="true" outlineLevel="0" collapsed="false">
      <c r="A2895" s="10" t="n">
        <f aca="false">Einstellungen!$B$5+INT((ROW()-9)/24)</f>
        <v>46086</v>
      </c>
      <c r="B2895" s="11" t="n">
        <f aca="false">MOD(ROW()-9,24)</f>
        <v>6</v>
      </c>
      <c r="C2895" s="12"/>
      <c r="D2895" s="13" t="n">
        <f aca="false">IF(B2895&lt;5,Einstellungen!$B$3,Einstellungen!$B$4)</f>
        <v>29.13</v>
      </c>
      <c r="E2895" s="14" t="str">
        <f aca="false">IF(C2895="","",C2895*D2895/100)</f>
        <v/>
      </c>
      <c r="F2895" s="15" t="str">
        <f aca="false">IF(B2895&lt;5,"Go","Standard")</f>
        <v>Standard</v>
      </c>
    </row>
    <row r="2896" customFormat="false" ht="15" hidden="false" customHeight="true" outlineLevel="0" collapsed="false">
      <c r="A2896" s="10" t="n">
        <f aca="false">Einstellungen!$B$5+INT((ROW()-9)/24)</f>
        <v>46086</v>
      </c>
      <c r="B2896" s="11" t="n">
        <f aca="false">MOD(ROW()-9,24)</f>
        <v>7</v>
      </c>
      <c r="C2896" s="12"/>
      <c r="D2896" s="13" t="n">
        <f aca="false">IF(B2896&lt;5,Einstellungen!$B$3,Einstellungen!$B$4)</f>
        <v>29.13</v>
      </c>
      <c r="E2896" s="14" t="str">
        <f aca="false">IF(C2896="","",C2896*D2896/100)</f>
        <v/>
      </c>
      <c r="F2896" s="15" t="str">
        <f aca="false">IF(B2896&lt;5,"Go","Standard")</f>
        <v>Standard</v>
      </c>
    </row>
    <row r="2897" customFormat="false" ht="15" hidden="false" customHeight="true" outlineLevel="0" collapsed="false">
      <c r="A2897" s="10" t="n">
        <f aca="false">Einstellungen!$B$5+INT((ROW()-9)/24)</f>
        <v>46086</v>
      </c>
      <c r="B2897" s="11" t="n">
        <f aca="false">MOD(ROW()-9,24)</f>
        <v>8</v>
      </c>
      <c r="C2897" s="12"/>
      <c r="D2897" s="13" t="n">
        <f aca="false">IF(B2897&lt;5,Einstellungen!$B$3,Einstellungen!$B$4)</f>
        <v>29.13</v>
      </c>
      <c r="E2897" s="14" t="str">
        <f aca="false">IF(C2897="","",C2897*D2897/100)</f>
        <v/>
      </c>
      <c r="F2897" s="15" t="str">
        <f aca="false">IF(B2897&lt;5,"Go","Standard")</f>
        <v>Standard</v>
      </c>
    </row>
    <row r="2898" customFormat="false" ht="15" hidden="false" customHeight="true" outlineLevel="0" collapsed="false">
      <c r="A2898" s="10" t="n">
        <f aca="false">Einstellungen!$B$5+INT((ROW()-9)/24)</f>
        <v>46086</v>
      </c>
      <c r="B2898" s="11" t="n">
        <f aca="false">MOD(ROW()-9,24)</f>
        <v>9</v>
      </c>
      <c r="C2898" s="12"/>
      <c r="D2898" s="13" t="n">
        <f aca="false">IF(B2898&lt;5,Einstellungen!$B$3,Einstellungen!$B$4)</f>
        <v>29.13</v>
      </c>
      <c r="E2898" s="14" t="str">
        <f aca="false">IF(C2898="","",C2898*D2898/100)</f>
        <v/>
      </c>
      <c r="F2898" s="15" t="str">
        <f aca="false">IF(B2898&lt;5,"Go","Standard")</f>
        <v>Standard</v>
      </c>
    </row>
    <row r="2899" customFormat="false" ht="15" hidden="false" customHeight="true" outlineLevel="0" collapsed="false">
      <c r="A2899" s="10" t="n">
        <f aca="false">Einstellungen!$B$5+INT((ROW()-9)/24)</f>
        <v>46086</v>
      </c>
      <c r="B2899" s="11" t="n">
        <f aca="false">MOD(ROW()-9,24)</f>
        <v>10</v>
      </c>
      <c r="C2899" s="12"/>
      <c r="D2899" s="13" t="n">
        <f aca="false">IF(B2899&lt;5,Einstellungen!$B$3,Einstellungen!$B$4)</f>
        <v>29.13</v>
      </c>
      <c r="E2899" s="14" t="str">
        <f aca="false">IF(C2899="","",C2899*D2899/100)</f>
        <v/>
      </c>
      <c r="F2899" s="15" t="str">
        <f aca="false">IF(B2899&lt;5,"Go","Standard")</f>
        <v>Standard</v>
      </c>
    </row>
    <row r="2900" customFormat="false" ht="15" hidden="false" customHeight="true" outlineLevel="0" collapsed="false">
      <c r="A2900" s="10" t="n">
        <f aca="false">Einstellungen!$B$5+INT((ROW()-9)/24)</f>
        <v>46086</v>
      </c>
      <c r="B2900" s="11" t="n">
        <f aca="false">MOD(ROW()-9,24)</f>
        <v>11</v>
      </c>
      <c r="C2900" s="12"/>
      <c r="D2900" s="13" t="n">
        <f aca="false">IF(B2900&lt;5,Einstellungen!$B$3,Einstellungen!$B$4)</f>
        <v>29.13</v>
      </c>
      <c r="E2900" s="14" t="str">
        <f aca="false">IF(C2900="","",C2900*D2900/100)</f>
        <v/>
      </c>
      <c r="F2900" s="15" t="str">
        <f aca="false">IF(B2900&lt;5,"Go","Standard")</f>
        <v>Standard</v>
      </c>
    </row>
    <row r="2901" customFormat="false" ht="15" hidden="false" customHeight="true" outlineLevel="0" collapsed="false">
      <c r="A2901" s="10" t="n">
        <f aca="false">Einstellungen!$B$5+INT((ROW()-9)/24)</f>
        <v>46086</v>
      </c>
      <c r="B2901" s="11" t="n">
        <f aca="false">MOD(ROW()-9,24)</f>
        <v>12</v>
      </c>
      <c r="C2901" s="12"/>
      <c r="D2901" s="13" t="n">
        <f aca="false">IF(B2901&lt;5,Einstellungen!$B$3,Einstellungen!$B$4)</f>
        <v>29.13</v>
      </c>
      <c r="E2901" s="14" t="str">
        <f aca="false">IF(C2901="","",C2901*D2901/100)</f>
        <v/>
      </c>
      <c r="F2901" s="15" t="str">
        <f aca="false">IF(B2901&lt;5,"Go","Standard")</f>
        <v>Standard</v>
      </c>
    </row>
    <row r="2902" customFormat="false" ht="15" hidden="false" customHeight="true" outlineLevel="0" collapsed="false">
      <c r="A2902" s="10" t="n">
        <f aca="false">Einstellungen!$B$5+INT((ROW()-9)/24)</f>
        <v>46086</v>
      </c>
      <c r="B2902" s="11" t="n">
        <f aca="false">MOD(ROW()-9,24)</f>
        <v>13</v>
      </c>
      <c r="C2902" s="12"/>
      <c r="D2902" s="13" t="n">
        <f aca="false">IF(B2902&lt;5,Einstellungen!$B$3,Einstellungen!$B$4)</f>
        <v>29.13</v>
      </c>
      <c r="E2902" s="14" t="str">
        <f aca="false">IF(C2902="","",C2902*D2902/100)</f>
        <v/>
      </c>
      <c r="F2902" s="15" t="str">
        <f aca="false">IF(B2902&lt;5,"Go","Standard")</f>
        <v>Standard</v>
      </c>
    </row>
    <row r="2903" customFormat="false" ht="15" hidden="false" customHeight="true" outlineLevel="0" collapsed="false">
      <c r="A2903" s="10" t="n">
        <f aca="false">Einstellungen!$B$5+INT((ROW()-9)/24)</f>
        <v>46086</v>
      </c>
      <c r="B2903" s="11" t="n">
        <f aca="false">MOD(ROW()-9,24)</f>
        <v>14</v>
      </c>
      <c r="C2903" s="12"/>
      <c r="D2903" s="13" t="n">
        <f aca="false">IF(B2903&lt;5,Einstellungen!$B$3,Einstellungen!$B$4)</f>
        <v>29.13</v>
      </c>
      <c r="E2903" s="14" t="str">
        <f aca="false">IF(C2903="","",C2903*D2903/100)</f>
        <v/>
      </c>
      <c r="F2903" s="15" t="str">
        <f aca="false">IF(B2903&lt;5,"Go","Standard")</f>
        <v>Standard</v>
      </c>
    </row>
    <row r="2904" customFormat="false" ht="15" hidden="false" customHeight="true" outlineLevel="0" collapsed="false">
      <c r="A2904" s="10" t="n">
        <f aca="false">Einstellungen!$B$5+INT((ROW()-9)/24)</f>
        <v>46086</v>
      </c>
      <c r="B2904" s="11" t="n">
        <f aca="false">MOD(ROW()-9,24)</f>
        <v>15</v>
      </c>
      <c r="C2904" s="12"/>
      <c r="D2904" s="13" t="n">
        <f aca="false">IF(B2904&lt;5,Einstellungen!$B$3,Einstellungen!$B$4)</f>
        <v>29.13</v>
      </c>
      <c r="E2904" s="14" t="str">
        <f aca="false">IF(C2904="","",C2904*D2904/100)</f>
        <v/>
      </c>
      <c r="F2904" s="15" t="str">
        <f aca="false">IF(B2904&lt;5,"Go","Standard")</f>
        <v>Standard</v>
      </c>
    </row>
    <row r="2905" customFormat="false" ht="15" hidden="false" customHeight="true" outlineLevel="0" collapsed="false">
      <c r="A2905" s="10" t="n">
        <f aca="false">Einstellungen!$B$5+INT((ROW()-9)/24)</f>
        <v>46086</v>
      </c>
      <c r="B2905" s="11" t="n">
        <f aca="false">MOD(ROW()-9,24)</f>
        <v>16</v>
      </c>
      <c r="C2905" s="12"/>
      <c r="D2905" s="13" t="n">
        <f aca="false">IF(B2905&lt;5,Einstellungen!$B$3,Einstellungen!$B$4)</f>
        <v>29.13</v>
      </c>
      <c r="E2905" s="14" t="str">
        <f aca="false">IF(C2905="","",C2905*D2905/100)</f>
        <v/>
      </c>
      <c r="F2905" s="15" t="str">
        <f aca="false">IF(B2905&lt;5,"Go","Standard")</f>
        <v>Standard</v>
      </c>
    </row>
    <row r="2906" customFormat="false" ht="15" hidden="false" customHeight="true" outlineLevel="0" collapsed="false">
      <c r="A2906" s="10" t="n">
        <f aca="false">Einstellungen!$B$5+INT((ROW()-9)/24)</f>
        <v>46086</v>
      </c>
      <c r="B2906" s="11" t="n">
        <f aca="false">MOD(ROW()-9,24)</f>
        <v>17</v>
      </c>
      <c r="C2906" s="12"/>
      <c r="D2906" s="13" t="n">
        <f aca="false">IF(B2906&lt;5,Einstellungen!$B$3,Einstellungen!$B$4)</f>
        <v>29.13</v>
      </c>
      <c r="E2906" s="14" t="str">
        <f aca="false">IF(C2906="","",C2906*D2906/100)</f>
        <v/>
      </c>
      <c r="F2906" s="15" t="str">
        <f aca="false">IF(B2906&lt;5,"Go","Standard")</f>
        <v>Standard</v>
      </c>
    </row>
    <row r="2907" customFormat="false" ht="15" hidden="false" customHeight="true" outlineLevel="0" collapsed="false">
      <c r="A2907" s="10" t="n">
        <f aca="false">Einstellungen!$B$5+INT((ROW()-9)/24)</f>
        <v>46086</v>
      </c>
      <c r="B2907" s="11" t="n">
        <f aca="false">MOD(ROW()-9,24)</f>
        <v>18</v>
      </c>
      <c r="C2907" s="12"/>
      <c r="D2907" s="13" t="n">
        <f aca="false">IF(B2907&lt;5,Einstellungen!$B$3,Einstellungen!$B$4)</f>
        <v>29.13</v>
      </c>
      <c r="E2907" s="14" t="str">
        <f aca="false">IF(C2907="","",C2907*D2907/100)</f>
        <v/>
      </c>
      <c r="F2907" s="15" t="str">
        <f aca="false">IF(B2907&lt;5,"Go","Standard")</f>
        <v>Standard</v>
      </c>
    </row>
    <row r="2908" customFormat="false" ht="15" hidden="false" customHeight="true" outlineLevel="0" collapsed="false">
      <c r="A2908" s="10" t="n">
        <f aca="false">Einstellungen!$B$5+INT((ROW()-9)/24)</f>
        <v>46086</v>
      </c>
      <c r="B2908" s="11" t="n">
        <f aca="false">MOD(ROW()-9,24)</f>
        <v>19</v>
      </c>
      <c r="C2908" s="12"/>
      <c r="D2908" s="13" t="n">
        <f aca="false">IF(B2908&lt;5,Einstellungen!$B$3,Einstellungen!$B$4)</f>
        <v>29.13</v>
      </c>
      <c r="E2908" s="14" t="str">
        <f aca="false">IF(C2908="","",C2908*D2908/100)</f>
        <v/>
      </c>
      <c r="F2908" s="15" t="str">
        <f aca="false">IF(B2908&lt;5,"Go","Standard")</f>
        <v>Standard</v>
      </c>
    </row>
    <row r="2909" customFormat="false" ht="15" hidden="false" customHeight="true" outlineLevel="0" collapsed="false">
      <c r="A2909" s="10" t="n">
        <f aca="false">Einstellungen!$B$5+INT((ROW()-9)/24)</f>
        <v>46086</v>
      </c>
      <c r="B2909" s="11" t="n">
        <f aca="false">MOD(ROW()-9,24)</f>
        <v>20</v>
      </c>
      <c r="C2909" s="12"/>
      <c r="D2909" s="13" t="n">
        <f aca="false">IF(B2909&lt;5,Einstellungen!$B$3,Einstellungen!$B$4)</f>
        <v>29.13</v>
      </c>
      <c r="E2909" s="14" t="str">
        <f aca="false">IF(C2909="","",C2909*D2909/100)</f>
        <v/>
      </c>
      <c r="F2909" s="15" t="str">
        <f aca="false">IF(B2909&lt;5,"Go","Standard")</f>
        <v>Standard</v>
      </c>
    </row>
    <row r="2910" customFormat="false" ht="15" hidden="false" customHeight="true" outlineLevel="0" collapsed="false">
      <c r="A2910" s="10" t="n">
        <f aca="false">Einstellungen!$B$5+INT((ROW()-9)/24)</f>
        <v>46086</v>
      </c>
      <c r="B2910" s="11" t="n">
        <f aca="false">MOD(ROW()-9,24)</f>
        <v>21</v>
      </c>
      <c r="C2910" s="12"/>
      <c r="D2910" s="13" t="n">
        <f aca="false">IF(B2910&lt;5,Einstellungen!$B$3,Einstellungen!$B$4)</f>
        <v>29.13</v>
      </c>
      <c r="E2910" s="14" t="str">
        <f aca="false">IF(C2910="","",C2910*D2910/100)</f>
        <v/>
      </c>
      <c r="F2910" s="15" t="str">
        <f aca="false">IF(B2910&lt;5,"Go","Standard")</f>
        <v>Standard</v>
      </c>
    </row>
    <row r="2911" customFormat="false" ht="15" hidden="false" customHeight="true" outlineLevel="0" collapsed="false">
      <c r="A2911" s="10" t="n">
        <f aca="false">Einstellungen!$B$5+INT((ROW()-9)/24)</f>
        <v>46086</v>
      </c>
      <c r="B2911" s="11" t="n">
        <f aca="false">MOD(ROW()-9,24)</f>
        <v>22</v>
      </c>
      <c r="C2911" s="12"/>
      <c r="D2911" s="13" t="n">
        <f aca="false">IF(B2911&lt;5,Einstellungen!$B$3,Einstellungen!$B$4)</f>
        <v>29.13</v>
      </c>
      <c r="E2911" s="14" t="str">
        <f aca="false">IF(C2911="","",C2911*D2911/100)</f>
        <v/>
      </c>
      <c r="F2911" s="15" t="str">
        <f aca="false">IF(B2911&lt;5,"Go","Standard")</f>
        <v>Standard</v>
      </c>
    </row>
    <row r="2912" customFormat="false" ht="15" hidden="false" customHeight="true" outlineLevel="0" collapsed="false">
      <c r="A2912" s="10" t="n">
        <f aca="false">Einstellungen!$B$5+INT((ROW()-9)/24)</f>
        <v>46086</v>
      </c>
      <c r="B2912" s="11" t="n">
        <f aca="false">MOD(ROW()-9,24)</f>
        <v>23</v>
      </c>
      <c r="C2912" s="12"/>
      <c r="D2912" s="13" t="n">
        <f aca="false">IF(B2912&lt;5,Einstellungen!$B$3,Einstellungen!$B$4)</f>
        <v>29.13</v>
      </c>
      <c r="E2912" s="14" t="str">
        <f aca="false">IF(C2912="","",C2912*D2912/100)</f>
        <v/>
      </c>
      <c r="F2912" s="15" t="str">
        <f aca="false">IF(B2912&lt;5,"Go","Standard")</f>
        <v>Standard</v>
      </c>
    </row>
    <row r="2913" customFormat="false" ht="15" hidden="false" customHeight="true" outlineLevel="0" collapsed="false">
      <c r="A2913" s="10" t="n">
        <f aca="false">Einstellungen!$B$5+INT((ROW()-9)/24)</f>
        <v>46087</v>
      </c>
      <c r="B2913" s="11" t="n">
        <f aca="false">MOD(ROW()-9,24)</f>
        <v>0</v>
      </c>
      <c r="C2913" s="12"/>
      <c r="D2913" s="13" t="n">
        <f aca="false">IF(B2913&lt;5,Einstellungen!$B$3,Einstellungen!$B$4)</f>
        <v>15.92</v>
      </c>
      <c r="E2913" s="14" t="str">
        <f aca="false">IF(C2913="","",C2913*D2913/100)</f>
        <v/>
      </c>
      <c r="F2913" s="15" t="str">
        <f aca="false">IF(B2913&lt;5,"Go","Standard")</f>
        <v>Go</v>
      </c>
    </row>
    <row r="2914" customFormat="false" ht="15" hidden="false" customHeight="true" outlineLevel="0" collapsed="false">
      <c r="A2914" s="10" t="n">
        <f aca="false">Einstellungen!$B$5+INT((ROW()-9)/24)</f>
        <v>46087</v>
      </c>
      <c r="B2914" s="11" t="n">
        <f aca="false">MOD(ROW()-9,24)</f>
        <v>1</v>
      </c>
      <c r="C2914" s="12"/>
      <c r="D2914" s="13" t="n">
        <f aca="false">IF(B2914&lt;5,Einstellungen!$B$3,Einstellungen!$B$4)</f>
        <v>15.92</v>
      </c>
      <c r="E2914" s="14" t="str">
        <f aca="false">IF(C2914="","",C2914*D2914/100)</f>
        <v/>
      </c>
      <c r="F2914" s="15" t="str">
        <f aca="false">IF(B2914&lt;5,"Go","Standard")</f>
        <v>Go</v>
      </c>
    </row>
    <row r="2915" customFormat="false" ht="15" hidden="false" customHeight="true" outlineLevel="0" collapsed="false">
      <c r="A2915" s="10" t="n">
        <f aca="false">Einstellungen!$B$5+INT((ROW()-9)/24)</f>
        <v>46087</v>
      </c>
      <c r="B2915" s="11" t="n">
        <f aca="false">MOD(ROW()-9,24)</f>
        <v>2</v>
      </c>
      <c r="C2915" s="12"/>
      <c r="D2915" s="13" t="n">
        <f aca="false">IF(B2915&lt;5,Einstellungen!$B$3,Einstellungen!$B$4)</f>
        <v>15.92</v>
      </c>
      <c r="E2915" s="14" t="str">
        <f aca="false">IF(C2915="","",C2915*D2915/100)</f>
        <v/>
      </c>
      <c r="F2915" s="15" t="str">
        <f aca="false">IF(B2915&lt;5,"Go","Standard")</f>
        <v>Go</v>
      </c>
    </row>
    <row r="2916" customFormat="false" ht="15" hidden="false" customHeight="true" outlineLevel="0" collapsed="false">
      <c r="A2916" s="10" t="n">
        <f aca="false">Einstellungen!$B$5+INT((ROW()-9)/24)</f>
        <v>46087</v>
      </c>
      <c r="B2916" s="11" t="n">
        <f aca="false">MOD(ROW()-9,24)</f>
        <v>3</v>
      </c>
      <c r="C2916" s="12"/>
      <c r="D2916" s="13" t="n">
        <f aca="false">IF(B2916&lt;5,Einstellungen!$B$3,Einstellungen!$B$4)</f>
        <v>15.92</v>
      </c>
      <c r="E2916" s="14" t="str">
        <f aca="false">IF(C2916="","",C2916*D2916/100)</f>
        <v/>
      </c>
      <c r="F2916" s="15" t="str">
        <f aca="false">IF(B2916&lt;5,"Go","Standard")</f>
        <v>Go</v>
      </c>
    </row>
    <row r="2917" customFormat="false" ht="15" hidden="false" customHeight="true" outlineLevel="0" collapsed="false">
      <c r="A2917" s="10" t="n">
        <f aca="false">Einstellungen!$B$5+INT((ROW()-9)/24)</f>
        <v>46087</v>
      </c>
      <c r="B2917" s="11" t="n">
        <f aca="false">MOD(ROW()-9,24)</f>
        <v>4</v>
      </c>
      <c r="C2917" s="12"/>
      <c r="D2917" s="13" t="n">
        <f aca="false">IF(B2917&lt;5,Einstellungen!$B$3,Einstellungen!$B$4)</f>
        <v>15.92</v>
      </c>
      <c r="E2917" s="14" t="str">
        <f aca="false">IF(C2917="","",C2917*D2917/100)</f>
        <v/>
      </c>
      <c r="F2917" s="15" t="str">
        <f aca="false">IF(B2917&lt;5,"Go","Standard")</f>
        <v>Go</v>
      </c>
    </row>
    <row r="2918" customFormat="false" ht="15" hidden="false" customHeight="true" outlineLevel="0" collapsed="false">
      <c r="A2918" s="10" t="n">
        <f aca="false">Einstellungen!$B$5+INT((ROW()-9)/24)</f>
        <v>46087</v>
      </c>
      <c r="B2918" s="11" t="n">
        <f aca="false">MOD(ROW()-9,24)</f>
        <v>5</v>
      </c>
      <c r="C2918" s="12"/>
      <c r="D2918" s="13" t="n">
        <f aca="false">IF(B2918&lt;5,Einstellungen!$B$3,Einstellungen!$B$4)</f>
        <v>29.13</v>
      </c>
      <c r="E2918" s="14" t="str">
        <f aca="false">IF(C2918="","",C2918*D2918/100)</f>
        <v/>
      </c>
      <c r="F2918" s="15" t="str">
        <f aca="false">IF(B2918&lt;5,"Go","Standard")</f>
        <v>Standard</v>
      </c>
    </row>
    <row r="2919" customFormat="false" ht="15" hidden="false" customHeight="true" outlineLevel="0" collapsed="false">
      <c r="A2919" s="10" t="n">
        <f aca="false">Einstellungen!$B$5+INT((ROW()-9)/24)</f>
        <v>46087</v>
      </c>
      <c r="B2919" s="11" t="n">
        <f aca="false">MOD(ROW()-9,24)</f>
        <v>6</v>
      </c>
      <c r="C2919" s="12"/>
      <c r="D2919" s="13" t="n">
        <f aca="false">IF(B2919&lt;5,Einstellungen!$B$3,Einstellungen!$B$4)</f>
        <v>29.13</v>
      </c>
      <c r="E2919" s="14" t="str">
        <f aca="false">IF(C2919="","",C2919*D2919/100)</f>
        <v/>
      </c>
      <c r="F2919" s="15" t="str">
        <f aca="false">IF(B2919&lt;5,"Go","Standard")</f>
        <v>Standard</v>
      </c>
    </row>
    <row r="2920" customFormat="false" ht="15" hidden="false" customHeight="true" outlineLevel="0" collapsed="false">
      <c r="A2920" s="10" t="n">
        <f aca="false">Einstellungen!$B$5+INT((ROW()-9)/24)</f>
        <v>46087</v>
      </c>
      <c r="B2920" s="11" t="n">
        <f aca="false">MOD(ROW()-9,24)</f>
        <v>7</v>
      </c>
      <c r="C2920" s="12"/>
      <c r="D2920" s="13" t="n">
        <f aca="false">IF(B2920&lt;5,Einstellungen!$B$3,Einstellungen!$B$4)</f>
        <v>29.13</v>
      </c>
      <c r="E2920" s="14" t="str">
        <f aca="false">IF(C2920="","",C2920*D2920/100)</f>
        <v/>
      </c>
      <c r="F2920" s="15" t="str">
        <f aca="false">IF(B2920&lt;5,"Go","Standard")</f>
        <v>Standard</v>
      </c>
    </row>
    <row r="2921" customFormat="false" ht="15" hidden="false" customHeight="true" outlineLevel="0" collapsed="false">
      <c r="A2921" s="10" t="n">
        <f aca="false">Einstellungen!$B$5+INT((ROW()-9)/24)</f>
        <v>46087</v>
      </c>
      <c r="B2921" s="11" t="n">
        <f aca="false">MOD(ROW()-9,24)</f>
        <v>8</v>
      </c>
      <c r="C2921" s="12"/>
      <c r="D2921" s="13" t="n">
        <f aca="false">IF(B2921&lt;5,Einstellungen!$B$3,Einstellungen!$B$4)</f>
        <v>29.13</v>
      </c>
      <c r="E2921" s="14" t="str">
        <f aca="false">IF(C2921="","",C2921*D2921/100)</f>
        <v/>
      </c>
      <c r="F2921" s="15" t="str">
        <f aca="false">IF(B2921&lt;5,"Go","Standard")</f>
        <v>Standard</v>
      </c>
    </row>
    <row r="2922" customFormat="false" ht="15" hidden="false" customHeight="true" outlineLevel="0" collapsed="false">
      <c r="A2922" s="10" t="n">
        <f aca="false">Einstellungen!$B$5+INT((ROW()-9)/24)</f>
        <v>46087</v>
      </c>
      <c r="B2922" s="11" t="n">
        <f aca="false">MOD(ROW()-9,24)</f>
        <v>9</v>
      </c>
      <c r="C2922" s="12"/>
      <c r="D2922" s="13" t="n">
        <f aca="false">IF(B2922&lt;5,Einstellungen!$B$3,Einstellungen!$B$4)</f>
        <v>29.13</v>
      </c>
      <c r="E2922" s="14" t="str">
        <f aca="false">IF(C2922="","",C2922*D2922/100)</f>
        <v/>
      </c>
      <c r="F2922" s="15" t="str">
        <f aca="false">IF(B2922&lt;5,"Go","Standard")</f>
        <v>Standard</v>
      </c>
    </row>
    <row r="2923" customFormat="false" ht="15" hidden="false" customHeight="true" outlineLevel="0" collapsed="false">
      <c r="A2923" s="10" t="n">
        <f aca="false">Einstellungen!$B$5+INT((ROW()-9)/24)</f>
        <v>46087</v>
      </c>
      <c r="B2923" s="11" t="n">
        <f aca="false">MOD(ROW()-9,24)</f>
        <v>10</v>
      </c>
      <c r="C2923" s="12"/>
      <c r="D2923" s="13" t="n">
        <f aca="false">IF(B2923&lt;5,Einstellungen!$B$3,Einstellungen!$B$4)</f>
        <v>29.13</v>
      </c>
      <c r="E2923" s="14" t="str">
        <f aca="false">IF(C2923="","",C2923*D2923/100)</f>
        <v/>
      </c>
      <c r="F2923" s="15" t="str">
        <f aca="false">IF(B2923&lt;5,"Go","Standard")</f>
        <v>Standard</v>
      </c>
    </row>
    <row r="2924" customFormat="false" ht="15" hidden="false" customHeight="true" outlineLevel="0" collapsed="false">
      <c r="A2924" s="10" t="n">
        <f aca="false">Einstellungen!$B$5+INT((ROW()-9)/24)</f>
        <v>46087</v>
      </c>
      <c r="B2924" s="11" t="n">
        <f aca="false">MOD(ROW()-9,24)</f>
        <v>11</v>
      </c>
      <c r="C2924" s="12"/>
      <c r="D2924" s="13" t="n">
        <f aca="false">IF(B2924&lt;5,Einstellungen!$B$3,Einstellungen!$B$4)</f>
        <v>29.13</v>
      </c>
      <c r="E2924" s="14" t="str">
        <f aca="false">IF(C2924="","",C2924*D2924/100)</f>
        <v/>
      </c>
      <c r="F2924" s="15" t="str">
        <f aca="false">IF(B2924&lt;5,"Go","Standard")</f>
        <v>Standard</v>
      </c>
    </row>
    <row r="2925" customFormat="false" ht="15" hidden="false" customHeight="true" outlineLevel="0" collapsed="false">
      <c r="A2925" s="10" t="n">
        <f aca="false">Einstellungen!$B$5+INT((ROW()-9)/24)</f>
        <v>46087</v>
      </c>
      <c r="B2925" s="11" t="n">
        <f aca="false">MOD(ROW()-9,24)</f>
        <v>12</v>
      </c>
      <c r="C2925" s="12"/>
      <c r="D2925" s="13" t="n">
        <f aca="false">IF(B2925&lt;5,Einstellungen!$B$3,Einstellungen!$B$4)</f>
        <v>29.13</v>
      </c>
      <c r="E2925" s="14" t="str">
        <f aca="false">IF(C2925="","",C2925*D2925/100)</f>
        <v/>
      </c>
      <c r="F2925" s="15" t="str">
        <f aca="false">IF(B2925&lt;5,"Go","Standard")</f>
        <v>Standard</v>
      </c>
    </row>
    <row r="2926" customFormat="false" ht="15" hidden="false" customHeight="true" outlineLevel="0" collapsed="false">
      <c r="A2926" s="10" t="n">
        <f aca="false">Einstellungen!$B$5+INT((ROW()-9)/24)</f>
        <v>46087</v>
      </c>
      <c r="B2926" s="11" t="n">
        <f aca="false">MOD(ROW()-9,24)</f>
        <v>13</v>
      </c>
      <c r="C2926" s="12"/>
      <c r="D2926" s="13" t="n">
        <f aca="false">IF(B2926&lt;5,Einstellungen!$B$3,Einstellungen!$B$4)</f>
        <v>29.13</v>
      </c>
      <c r="E2926" s="14" t="str">
        <f aca="false">IF(C2926="","",C2926*D2926/100)</f>
        <v/>
      </c>
      <c r="F2926" s="15" t="str">
        <f aca="false">IF(B2926&lt;5,"Go","Standard")</f>
        <v>Standard</v>
      </c>
    </row>
    <row r="2927" customFormat="false" ht="15" hidden="false" customHeight="true" outlineLevel="0" collapsed="false">
      <c r="A2927" s="10" t="n">
        <f aca="false">Einstellungen!$B$5+INT((ROW()-9)/24)</f>
        <v>46087</v>
      </c>
      <c r="B2927" s="11" t="n">
        <f aca="false">MOD(ROW()-9,24)</f>
        <v>14</v>
      </c>
      <c r="C2927" s="12"/>
      <c r="D2927" s="13" t="n">
        <f aca="false">IF(B2927&lt;5,Einstellungen!$B$3,Einstellungen!$B$4)</f>
        <v>29.13</v>
      </c>
      <c r="E2927" s="14" t="str">
        <f aca="false">IF(C2927="","",C2927*D2927/100)</f>
        <v/>
      </c>
      <c r="F2927" s="15" t="str">
        <f aca="false">IF(B2927&lt;5,"Go","Standard")</f>
        <v>Standard</v>
      </c>
    </row>
    <row r="2928" customFormat="false" ht="15" hidden="false" customHeight="true" outlineLevel="0" collapsed="false">
      <c r="A2928" s="10" t="n">
        <f aca="false">Einstellungen!$B$5+INT((ROW()-9)/24)</f>
        <v>46087</v>
      </c>
      <c r="B2928" s="11" t="n">
        <f aca="false">MOD(ROW()-9,24)</f>
        <v>15</v>
      </c>
      <c r="C2928" s="12"/>
      <c r="D2928" s="13" t="n">
        <f aca="false">IF(B2928&lt;5,Einstellungen!$B$3,Einstellungen!$B$4)</f>
        <v>29.13</v>
      </c>
      <c r="E2928" s="14" t="str">
        <f aca="false">IF(C2928="","",C2928*D2928/100)</f>
        <v/>
      </c>
      <c r="F2928" s="15" t="str">
        <f aca="false">IF(B2928&lt;5,"Go","Standard")</f>
        <v>Standard</v>
      </c>
    </row>
    <row r="2929" customFormat="false" ht="15" hidden="false" customHeight="true" outlineLevel="0" collapsed="false">
      <c r="A2929" s="10" t="n">
        <f aca="false">Einstellungen!$B$5+INT((ROW()-9)/24)</f>
        <v>46087</v>
      </c>
      <c r="B2929" s="11" t="n">
        <f aca="false">MOD(ROW()-9,24)</f>
        <v>16</v>
      </c>
      <c r="C2929" s="12"/>
      <c r="D2929" s="13" t="n">
        <f aca="false">IF(B2929&lt;5,Einstellungen!$B$3,Einstellungen!$B$4)</f>
        <v>29.13</v>
      </c>
      <c r="E2929" s="14" t="str">
        <f aca="false">IF(C2929="","",C2929*D2929/100)</f>
        <v/>
      </c>
      <c r="F2929" s="15" t="str">
        <f aca="false">IF(B2929&lt;5,"Go","Standard")</f>
        <v>Standard</v>
      </c>
    </row>
    <row r="2930" customFormat="false" ht="15" hidden="false" customHeight="true" outlineLevel="0" collapsed="false">
      <c r="A2930" s="10" t="n">
        <f aca="false">Einstellungen!$B$5+INT((ROW()-9)/24)</f>
        <v>46087</v>
      </c>
      <c r="B2930" s="11" t="n">
        <f aca="false">MOD(ROW()-9,24)</f>
        <v>17</v>
      </c>
      <c r="C2930" s="12"/>
      <c r="D2930" s="13" t="n">
        <f aca="false">IF(B2930&lt;5,Einstellungen!$B$3,Einstellungen!$B$4)</f>
        <v>29.13</v>
      </c>
      <c r="E2930" s="14" t="str">
        <f aca="false">IF(C2930="","",C2930*D2930/100)</f>
        <v/>
      </c>
      <c r="F2930" s="15" t="str">
        <f aca="false">IF(B2930&lt;5,"Go","Standard")</f>
        <v>Standard</v>
      </c>
    </row>
    <row r="2931" customFormat="false" ht="15" hidden="false" customHeight="true" outlineLevel="0" collapsed="false">
      <c r="A2931" s="10" t="n">
        <f aca="false">Einstellungen!$B$5+INT((ROW()-9)/24)</f>
        <v>46087</v>
      </c>
      <c r="B2931" s="11" t="n">
        <f aca="false">MOD(ROW()-9,24)</f>
        <v>18</v>
      </c>
      <c r="C2931" s="12"/>
      <c r="D2931" s="13" t="n">
        <f aca="false">IF(B2931&lt;5,Einstellungen!$B$3,Einstellungen!$B$4)</f>
        <v>29.13</v>
      </c>
      <c r="E2931" s="14" t="str">
        <f aca="false">IF(C2931="","",C2931*D2931/100)</f>
        <v/>
      </c>
      <c r="F2931" s="15" t="str">
        <f aca="false">IF(B2931&lt;5,"Go","Standard")</f>
        <v>Standard</v>
      </c>
    </row>
    <row r="2932" customFormat="false" ht="15" hidden="false" customHeight="true" outlineLevel="0" collapsed="false">
      <c r="A2932" s="10" t="n">
        <f aca="false">Einstellungen!$B$5+INT((ROW()-9)/24)</f>
        <v>46087</v>
      </c>
      <c r="B2932" s="11" t="n">
        <f aca="false">MOD(ROW()-9,24)</f>
        <v>19</v>
      </c>
      <c r="C2932" s="12"/>
      <c r="D2932" s="13" t="n">
        <f aca="false">IF(B2932&lt;5,Einstellungen!$B$3,Einstellungen!$B$4)</f>
        <v>29.13</v>
      </c>
      <c r="E2932" s="14" t="str">
        <f aca="false">IF(C2932="","",C2932*D2932/100)</f>
        <v/>
      </c>
      <c r="F2932" s="15" t="str">
        <f aca="false">IF(B2932&lt;5,"Go","Standard")</f>
        <v>Standard</v>
      </c>
    </row>
    <row r="2933" customFormat="false" ht="15" hidden="false" customHeight="true" outlineLevel="0" collapsed="false">
      <c r="A2933" s="10" t="n">
        <f aca="false">Einstellungen!$B$5+INT((ROW()-9)/24)</f>
        <v>46087</v>
      </c>
      <c r="B2933" s="11" t="n">
        <f aca="false">MOD(ROW()-9,24)</f>
        <v>20</v>
      </c>
      <c r="C2933" s="12"/>
      <c r="D2933" s="13" t="n">
        <f aca="false">IF(B2933&lt;5,Einstellungen!$B$3,Einstellungen!$B$4)</f>
        <v>29.13</v>
      </c>
      <c r="E2933" s="14" t="str">
        <f aca="false">IF(C2933="","",C2933*D2933/100)</f>
        <v/>
      </c>
      <c r="F2933" s="15" t="str">
        <f aca="false">IF(B2933&lt;5,"Go","Standard")</f>
        <v>Standard</v>
      </c>
    </row>
    <row r="2934" customFormat="false" ht="15" hidden="false" customHeight="true" outlineLevel="0" collapsed="false">
      <c r="A2934" s="10" t="n">
        <f aca="false">Einstellungen!$B$5+INT((ROW()-9)/24)</f>
        <v>46087</v>
      </c>
      <c r="B2934" s="11" t="n">
        <f aca="false">MOD(ROW()-9,24)</f>
        <v>21</v>
      </c>
      <c r="C2934" s="12"/>
      <c r="D2934" s="13" t="n">
        <f aca="false">IF(B2934&lt;5,Einstellungen!$B$3,Einstellungen!$B$4)</f>
        <v>29.13</v>
      </c>
      <c r="E2934" s="14" t="str">
        <f aca="false">IF(C2934="","",C2934*D2934/100)</f>
        <v/>
      </c>
      <c r="F2934" s="15" t="str">
        <f aca="false">IF(B2934&lt;5,"Go","Standard")</f>
        <v>Standard</v>
      </c>
    </row>
    <row r="2935" customFormat="false" ht="15" hidden="false" customHeight="true" outlineLevel="0" collapsed="false">
      <c r="A2935" s="10" t="n">
        <f aca="false">Einstellungen!$B$5+INT((ROW()-9)/24)</f>
        <v>46087</v>
      </c>
      <c r="B2935" s="11" t="n">
        <f aca="false">MOD(ROW()-9,24)</f>
        <v>22</v>
      </c>
      <c r="C2935" s="12"/>
      <c r="D2935" s="13" t="n">
        <f aca="false">IF(B2935&lt;5,Einstellungen!$B$3,Einstellungen!$B$4)</f>
        <v>29.13</v>
      </c>
      <c r="E2935" s="14" t="str">
        <f aca="false">IF(C2935="","",C2935*D2935/100)</f>
        <v/>
      </c>
      <c r="F2935" s="15" t="str">
        <f aca="false">IF(B2935&lt;5,"Go","Standard")</f>
        <v>Standard</v>
      </c>
    </row>
    <row r="2936" customFormat="false" ht="15" hidden="false" customHeight="true" outlineLevel="0" collapsed="false">
      <c r="A2936" s="10" t="n">
        <f aca="false">Einstellungen!$B$5+INT((ROW()-9)/24)</f>
        <v>46087</v>
      </c>
      <c r="B2936" s="11" t="n">
        <f aca="false">MOD(ROW()-9,24)</f>
        <v>23</v>
      </c>
      <c r="C2936" s="12"/>
      <c r="D2936" s="13" t="n">
        <f aca="false">IF(B2936&lt;5,Einstellungen!$B$3,Einstellungen!$B$4)</f>
        <v>29.13</v>
      </c>
      <c r="E2936" s="14" t="str">
        <f aca="false">IF(C2936="","",C2936*D2936/100)</f>
        <v/>
      </c>
      <c r="F2936" s="15" t="str">
        <f aca="false">IF(B2936&lt;5,"Go","Standard")</f>
        <v>Standard</v>
      </c>
    </row>
    <row r="2937" customFormat="false" ht="15" hidden="false" customHeight="true" outlineLevel="0" collapsed="false">
      <c r="A2937" s="10" t="n">
        <f aca="false">Einstellungen!$B$5+INT((ROW()-9)/24)</f>
        <v>46088</v>
      </c>
      <c r="B2937" s="11" t="n">
        <f aca="false">MOD(ROW()-9,24)</f>
        <v>0</v>
      </c>
      <c r="C2937" s="12"/>
      <c r="D2937" s="13" t="n">
        <f aca="false">IF(B2937&lt;5,Einstellungen!$B$3,Einstellungen!$B$4)</f>
        <v>15.92</v>
      </c>
      <c r="E2937" s="14" t="str">
        <f aca="false">IF(C2937="","",C2937*D2937/100)</f>
        <v/>
      </c>
      <c r="F2937" s="15" t="str">
        <f aca="false">IF(B2937&lt;5,"Go","Standard")</f>
        <v>Go</v>
      </c>
    </row>
    <row r="2938" customFormat="false" ht="15" hidden="false" customHeight="true" outlineLevel="0" collapsed="false">
      <c r="A2938" s="10" t="n">
        <f aca="false">Einstellungen!$B$5+INT((ROW()-9)/24)</f>
        <v>46088</v>
      </c>
      <c r="B2938" s="11" t="n">
        <f aca="false">MOD(ROW()-9,24)</f>
        <v>1</v>
      </c>
      <c r="C2938" s="12"/>
      <c r="D2938" s="13" t="n">
        <f aca="false">IF(B2938&lt;5,Einstellungen!$B$3,Einstellungen!$B$4)</f>
        <v>15.92</v>
      </c>
      <c r="E2938" s="14" t="str">
        <f aca="false">IF(C2938="","",C2938*D2938/100)</f>
        <v/>
      </c>
      <c r="F2938" s="15" t="str">
        <f aca="false">IF(B2938&lt;5,"Go","Standard")</f>
        <v>Go</v>
      </c>
    </row>
    <row r="2939" customFormat="false" ht="15" hidden="false" customHeight="true" outlineLevel="0" collapsed="false">
      <c r="A2939" s="10" t="n">
        <f aca="false">Einstellungen!$B$5+INT((ROW()-9)/24)</f>
        <v>46088</v>
      </c>
      <c r="B2939" s="11" t="n">
        <f aca="false">MOD(ROW()-9,24)</f>
        <v>2</v>
      </c>
      <c r="C2939" s="12"/>
      <c r="D2939" s="13" t="n">
        <f aca="false">IF(B2939&lt;5,Einstellungen!$B$3,Einstellungen!$B$4)</f>
        <v>15.92</v>
      </c>
      <c r="E2939" s="14" t="str">
        <f aca="false">IF(C2939="","",C2939*D2939/100)</f>
        <v/>
      </c>
      <c r="F2939" s="15" t="str">
        <f aca="false">IF(B2939&lt;5,"Go","Standard")</f>
        <v>Go</v>
      </c>
    </row>
    <row r="2940" customFormat="false" ht="15" hidden="false" customHeight="true" outlineLevel="0" collapsed="false">
      <c r="A2940" s="10" t="n">
        <f aca="false">Einstellungen!$B$5+INT((ROW()-9)/24)</f>
        <v>46088</v>
      </c>
      <c r="B2940" s="11" t="n">
        <f aca="false">MOD(ROW()-9,24)</f>
        <v>3</v>
      </c>
      <c r="C2940" s="12"/>
      <c r="D2940" s="13" t="n">
        <f aca="false">IF(B2940&lt;5,Einstellungen!$B$3,Einstellungen!$B$4)</f>
        <v>15.92</v>
      </c>
      <c r="E2940" s="14" t="str">
        <f aca="false">IF(C2940="","",C2940*D2940/100)</f>
        <v/>
      </c>
      <c r="F2940" s="15" t="str">
        <f aca="false">IF(B2940&lt;5,"Go","Standard")</f>
        <v>Go</v>
      </c>
    </row>
    <row r="2941" customFormat="false" ht="15" hidden="false" customHeight="true" outlineLevel="0" collapsed="false">
      <c r="A2941" s="10" t="n">
        <f aca="false">Einstellungen!$B$5+INT((ROW()-9)/24)</f>
        <v>46088</v>
      </c>
      <c r="B2941" s="11" t="n">
        <f aca="false">MOD(ROW()-9,24)</f>
        <v>4</v>
      </c>
      <c r="C2941" s="12"/>
      <c r="D2941" s="13" t="n">
        <f aca="false">IF(B2941&lt;5,Einstellungen!$B$3,Einstellungen!$B$4)</f>
        <v>15.92</v>
      </c>
      <c r="E2941" s="14" t="str">
        <f aca="false">IF(C2941="","",C2941*D2941/100)</f>
        <v/>
      </c>
      <c r="F2941" s="15" t="str">
        <f aca="false">IF(B2941&lt;5,"Go","Standard")</f>
        <v>Go</v>
      </c>
    </row>
    <row r="2942" customFormat="false" ht="15" hidden="false" customHeight="true" outlineLevel="0" collapsed="false">
      <c r="A2942" s="10" t="n">
        <f aca="false">Einstellungen!$B$5+INT((ROW()-9)/24)</f>
        <v>46088</v>
      </c>
      <c r="B2942" s="11" t="n">
        <f aca="false">MOD(ROW()-9,24)</f>
        <v>5</v>
      </c>
      <c r="C2942" s="12"/>
      <c r="D2942" s="13" t="n">
        <f aca="false">IF(B2942&lt;5,Einstellungen!$B$3,Einstellungen!$B$4)</f>
        <v>29.13</v>
      </c>
      <c r="E2942" s="14" t="str">
        <f aca="false">IF(C2942="","",C2942*D2942/100)</f>
        <v/>
      </c>
      <c r="F2942" s="15" t="str">
        <f aca="false">IF(B2942&lt;5,"Go","Standard")</f>
        <v>Standard</v>
      </c>
    </row>
    <row r="2943" customFormat="false" ht="15" hidden="false" customHeight="true" outlineLevel="0" collapsed="false">
      <c r="A2943" s="10" t="n">
        <f aca="false">Einstellungen!$B$5+INT((ROW()-9)/24)</f>
        <v>46088</v>
      </c>
      <c r="B2943" s="11" t="n">
        <f aca="false">MOD(ROW()-9,24)</f>
        <v>6</v>
      </c>
      <c r="C2943" s="12"/>
      <c r="D2943" s="13" t="n">
        <f aca="false">IF(B2943&lt;5,Einstellungen!$B$3,Einstellungen!$B$4)</f>
        <v>29.13</v>
      </c>
      <c r="E2943" s="14" t="str">
        <f aca="false">IF(C2943="","",C2943*D2943/100)</f>
        <v/>
      </c>
      <c r="F2943" s="15" t="str">
        <f aca="false">IF(B2943&lt;5,"Go","Standard")</f>
        <v>Standard</v>
      </c>
    </row>
    <row r="2944" customFormat="false" ht="15" hidden="false" customHeight="true" outlineLevel="0" collapsed="false">
      <c r="A2944" s="10" t="n">
        <f aca="false">Einstellungen!$B$5+INT((ROW()-9)/24)</f>
        <v>46088</v>
      </c>
      <c r="B2944" s="11" t="n">
        <f aca="false">MOD(ROW()-9,24)</f>
        <v>7</v>
      </c>
      <c r="C2944" s="12"/>
      <c r="D2944" s="13" t="n">
        <f aca="false">IF(B2944&lt;5,Einstellungen!$B$3,Einstellungen!$B$4)</f>
        <v>29.13</v>
      </c>
      <c r="E2944" s="14" t="str">
        <f aca="false">IF(C2944="","",C2944*D2944/100)</f>
        <v/>
      </c>
      <c r="F2944" s="15" t="str">
        <f aca="false">IF(B2944&lt;5,"Go","Standard")</f>
        <v>Standard</v>
      </c>
    </row>
    <row r="2945" customFormat="false" ht="15" hidden="false" customHeight="true" outlineLevel="0" collapsed="false">
      <c r="A2945" s="10" t="n">
        <f aca="false">Einstellungen!$B$5+INT((ROW()-9)/24)</f>
        <v>46088</v>
      </c>
      <c r="B2945" s="11" t="n">
        <f aca="false">MOD(ROW()-9,24)</f>
        <v>8</v>
      </c>
      <c r="C2945" s="12"/>
      <c r="D2945" s="13" t="n">
        <f aca="false">IF(B2945&lt;5,Einstellungen!$B$3,Einstellungen!$B$4)</f>
        <v>29.13</v>
      </c>
      <c r="E2945" s="14" t="str">
        <f aca="false">IF(C2945="","",C2945*D2945/100)</f>
        <v/>
      </c>
      <c r="F2945" s="15" t="str">
        <f aca="false">IF(B2945&lt;5,"Go","Standard")</f>
        <v>Standard</v>
      </c>
    </row>
    <row r="2946" customFormat="false" ht="15" hidden="false" customHeight="true" outlineLevel="0" collapsed="false">
      <c r="A2946" s="10" t="n">
        <f aca="false">Einstellungen!$B$5+INT((ROW()-9)/24)</f>
        <v>46088</v>
      </c>
      <c r="B2946" s="11" t="n">
        <f aca="false">MOD(ROW()-9,24)</f>
        <v>9</v>
      </c>
      <c r="C2946" s="12"/>
      <c r="D2946" s="13" t="n">
        <f aca="false">IF(B2946&lt;5,Einstellungen!$B$3,Einstellungen!$B$4)</f>
        <v>29.13</v>
      </c>
      <c r="E2946" s="14" t="str">
        <f aca="false">IF(C2946="","",C2946*D2946/100)</f>
        <v/>
      </c>
      <c r="F2946" s="15" t="str">
        <f aca="false">IF(B2946&lt;5,"Go","Standard")</f>
        <v>Standard</v>
      </c>
    </row>
    <row r="2947" customFormat="false" ht="15" hidden="false" customHeight="true" outlineLevel="0" collapsed="false">
      <c r="A2947" s="10" t="n">
        <f aca="false">Einstellungen!$B$5+INT((ROW()-9)/24)</f>
        <v>46088</v>
      </c>
      <c r="B2947" s="11" t="n">
        <f aca="false">MOD(ROW()-9,24)</f>
        <v>10</v>
      </c>
      <c r="C2947" s="12"/>
      <c r="D2947" s="13" t="n">
        <f aca="false">IF(B2947&lt;5,Einstellungen!$B$3,Einstellungen!$B$4)</f>
        <v>29.13</v>
      </c>
      <c r="E2947" s="14" t="str">
        <f aca="false">IF(C2947="","",C2947*D2947/100)</f>
        <v/>
      </c>
      <c r="F2947" s="15" t="str">
        <f aca="false">IF(B2947&lt;5,"Go","Standard")</f>
        <v>Standard</v>
      </c>
    </row>
    <row r="2948" customFormat="false" ht="15" hidden="false" customHeight="true" outlineLevel="0" collapsed="false">
      <c r="A2948" s="10" t="n">
        <f aca="false">Einstellungen!$B$5+INT((ROW()-9)/24)</f>
        <v>46088</v>
      </c>
      <c r="B2948" s="11" t="n">
        <f aca="false">MOD(ROW()-9,24)</f>
        <v>11</v>
      </c>
      <c r="C2948" s="12"/>
      <c r="D2948" s="13" t="n">
        <f aca="false">IF(B2948&lt;5,Einstellungen!$B$3,Einstellungen!$B$4)</f>
        <v>29.13</v>
      </c>
      <c r="E2948" s="14" t="str">
        <f aca="false">IF(C2948="","",C2948*D2948/100)</f>
        <v/>
      </c>
      <c r="F2948" s="15" t="str">
        <f aca="false">IF(B2948&lt;5,"Go","Standard")</f>
        <v>Standard</v>
      </c>
    </row>
    <row r="2949" customFormat="false" ht="15" hidden="false" customHeight="true" outlineLevel="0" collapsed="false">
      <c r="A2949" s="10" t="n">
        <f aca="false">Einstellungen!$B$5+INT((ROW()-9)/24)</f>
        <v>46088</v>
      </c>
      <c r="B2949" s="11" t="n">
        <f aca="false">MOD(ROW()-9,24)</f>
        <v>12</v>
      </c>
      <c r="C2949" s="12"/>
      <c r="D2949" s="13" t="n">
        <f aca="false">IF(B2949&lt;5,Einstellungen!$B$3,Einstellungen!$B$4)</f>
        <v>29.13</v>
      </c>
      <c r="E2949" s="14" t="str">
        <f aca="false">IF(C2949="","",C2949*D2949/100)</f>
        <v/>
      </c>
      <c r="F2949" s="15" t="str">
        <f aca="false">IF(B2949&lt;5,"Go","Standard")</f>
        <v>Standard</v>
      </c>
    </row>
    <row r="2950" customFormat="false" ht="15" hidden="false" customHeight="true" outlineLevel="0" collapsed="false">
      <c r="A2950" s="10" t="n">
        <f aca="false">Einstellungen!$B$5+INT((ROW()-9)/24)</f>
        <v>46088</v>
      </c>
      <c r="B2950" s="11" t="n">
        <f aca="false">MOD(ROW()-9,24)</f>
        <v>13</v>
      </c>
      <c r="C2950" s="12"/>
      <c r="D2950" s="13" t="n">
        <f aca="false">IF(B2950&lt;5,Einstellungen!$B$3,Einstellungen!$B$4)</f>
        <v>29.13</v>
      </c>
      <c r="E2950" s="14" t="str">
        <f aca="false">IF(C2950="","",C2950*D2950/100)</f>
        <v/>
      </c>
      <c r="F2950" s="15" t="str">
        <f aca="false">IF(B2950&lt;5,"Go","Standard")</f>
        <v>Standard</v>
      </c>
    </row>
    <row r="2951" customFormat="false" ht="15" hidden="false" customHeight="true" outlineLevel="0" collapsed="false">
      <c r="A2951" s="10" t="n">
        <f aca="false">Einstellungen!$B$5+INT((ROW()-9)/24)</f>
        <v>46088</v>
      </c>
      <c r="B2951" s="11" t="n">
        <f aca="false">MOD(ROW()-9,24)</f>
        <v>14</v>
      </c>
      <c r="C2951" s="12"/>
      <c r="D2951" s="13" t="n">
        <f aca="false">IF(B2951&lt;5,Einstellungen!$B$3,Einstellungen!$B$4)</f>
        <v>29.13</v>
      </c>
      <c r="E2951" s="14" t="str">
        <f aca="false">IF(C2951="","",C2951*D2951/100)</f>
        <v/>
      </c>
      <c r="F2951" s="15" t="str">
        <f aca="false">IF(B2951&lt;5,"Go","Standard")</f>
        <v>Standard</v>
      </c>
    </row>
    <row r="2952" customFormat="false" ht="15" hidden="false" customHeight="true" outlineLevel="0" collapsed="false">
      <c r="A2952" s="10" t="n">
        <f aca="false">Einstellungen!$B$5+INT((ROW()-9)/24)</f>
        <v>46088</v>
      </c>
      <c r="B2952" s="11" t="n">
        <f aca="false">MOD(ROW()-9,24)</f>
        <v>15</v>
      </c>
      <c r="C2952" s="12"/>
      <c r="D2952" s="13" t="n">
        <f aca="false">IF(B2952&lt;5,Einstellungen!$B$3,Einstellungen!$B$4)</f>
        <v>29.13</v>
      </c>
      <c r="E2952" s="14" t="str">
        <f aca="false">IF(C2952="","",C2952*D2952/100)</f>
        <v/>
      </c>
      <c r="F2952" s="15" t="str">
        <f aca="false">IF(B2952&lt;5,"Go","Standard")</f>
        <v>Standard</v>
      </c>
    </row>
    <row r="2953" customFormat="false" ht="15" hidden="false" customHeight="true" outlineLevel="0" collapsed="false">
      <c r="A2953" s="10" t="n">
        <f aca="false">Einstellungen!$B$5+INT((ROW()-9)/24)</f>
        <v>46088</v>
      </c>
      <c r="B2953" s="11" t="n">
        <f aca="false">MOD(ROW()-9,24)</f>
        <v>16</v>
      </c>
      <c r="C2953" s="12"/>
      <c r="D2953" s="13" t="n">
        <f aca="false">IF(B2953&lt;5,Einstellungen!$B$3,Einstellungen!$B$4)</f>
        <v>29.13</v>
      </c>
      <c r="E2953" s="14" t="str">
        <f aca="false">IF(C2953="","",C2953*D2953/100)</f>
        <v/>
      </c>
      <c r="F2953" s="15" t="str">
        <f aca="false">IF(B2953&lt;5,"Go","Standard")</f>
        <v>Standard</v>
      </c>
    </row>
    <row r="2954" customFormat="false" ht="15" hidden="false" customHeight="true" outlineLevel="0" collapsed="false">
      <c r="A2954" s="10" t="n">
        <f aca="false">Einstellungen!$B$5+INT((ROW()-9)/24)</f>
        <v>46088</v>
      </c>
      <c r="B2954" s="11" t="n">
        <f aca="false">MOD(ROW()-9,24)</f>
        <v>17</v>
      </c>
      <c r="C2954" s="12"/>
      <c r="D2954" s="13" t="n">
        <f aca="false">IF(B2954&lt;5,Einstellungen!$B$3,Einstellungen!$B$4)</f>
        <v>29.13</v>
      </c>
      <c r="E2954" s="14" t="str">
        <f aca="false">IF(C2954="","",C2954*D2954/100)</f>
        <v/>
      </c>
      <c r="F2954" s="15" t="str">
        <f aca="false">IF(B2954&lt;5,"Go","Standard")</f>
        <v>Standard</v>
      </c>
    </row>
    <row r="2955" customFormat="false" ht="15" hidden="false" customHeight="true" outlineLevel="0" collapsed="false">
      <c r="A2955" s="10" t="n">
        <f aca="false">Einstellungen!$B$5+INT((ROW()-9)/24)</f>
        <v>46088</v>
      </c>
      <c r="B2955" s="11" t="n">
        <f aca="false">MOD(ROW()-9,24)</f>
        <v>18</v>
      </c>
      <c r="C2955" s="12"/>
      <c r="D2955" s="13" t="n">
        <f aca="false">IF(B2955&lt;5,Einstellungen!$B$3,Einstellungen!$B$4)</f>
        <v>29.13</v>
      </c>
      <c r="E2955" s="14" t="str">
        <f aca="false">IF(C2955="","",C2955*D2955/100)</f>
        <v/>
      </c>
      <c r="F2955" s="15" t="str">
        <f aca="false">IF(B2955&lt;5,"Go","Standard")</f>
        <v>Standard</v>
      </c>
    </row>
    <row r="2956" customFormat="false" ht="15" hidden="false" customHeight="true" outlineLevel="0" collapsed="false">
      <c r="A2956" s="10" t="n">
        <f aca="false">Einstellungen!$B$5+INT((ROW()-9)/24)</f>
        <v>46088</v>
      </c>
      <c r="B2956" s="11" t="n">
        <f aca="false">MOD(ROW()-9,24)</f>
        <v>19</v>
      </c>
      <c r="C2956" s="12"/>
      <c r="D2956" s="13" t="n">
        <f aca="false">IF(B2956&lt;5,Einstellungen!$B$3,Einstellungen!$B$4)</f>
        <v>29.13</v>
      </c>
      <c r="E2956" s="14" t="str">
        <f aca="false">IF(C2956="","",C2956*D2956/100)</f>
        <v/>
      </c>
      <c r="F2956" s="15" t="str">
        <f aca="false">IF(B2956&lt;5,"Go","Standard")</f>
        <v>Standard</v>
      </c>
    </row>
    <row r="2957" customFormat="false" ht="15" hidden="false" customHeight="true" outlineLevel="0" collapsed="false">
      <c r="A2957" s="10" t="n">
        <f aca="false">Einstellungen!$B$5+INT((ROW()-9)/24)</f>
        <v>46088</v>
      </c>
      <c r="B2957" s="11" t="n">
        <f aca="false">MOD(ROW()-9,24)</f>
        <v>20</v>
      </c>
      <c r="C2957" s="12"/>
      <c r="D2957" s="13" t="n">
        <f aca="false">IF(B2957&lt;5,Einstellungen!$B$3,Einstellungen!$B$4)</f>
        <v>29.13</v>
      </c>
      <c r="E2957" s="14" t="str">
        <f aca="false">IF(C2957="","",C2957*D2957/100)</f>
        <v/>
      </c>
      <c r="F2957" s="15" t="str">
        <f aca="false">IF(B2957&lt;5,"Go","Standard")</f>
        <v>Standard</v>
      </c>
    </row>
    <row r="2958" customFormat="false" ht="15" hidden="false" customHeight="true" outlineLevel="0" collapsed="false">
      <c r="A2958" s="10" t="n">
        <f aca="false">Einstellungen!$B$5+INT((ROW()-9)/24)</f>
        <v>46088</v>
      </c>
      <c r="B2958" s="11" t="n">
        <f aca="false">MOD(ROW()-9,24)</f>
        <v>21</v>
      </c>
      <c r="C2958" s="12"/>
      <c r="D2958" s="13" t="n">
        <f aca="false">IF(B2958&lt;5,Einstellungen!$B$3,Einstellungen!$B$4)</f>
        <v>29.13</v>
      </c>
      <c r="E2958" s="14" t="str">
        <f aca="false">IF(C2958="","",C2958*D2958/100)</f>
        <v/>
      </c>
      <c r="F2958" s="15" t="str">
        <f aca="false">IF(B2958&lt;5,"Go","Standard")</f>
        <v>Standard</v>
      </c>
    </row>
    <row r="2959" customFormat="false" ht="15" hidden="false" customHeight="true" outlineLevel="0" collapsed="false">
      <c r="A2959" s="10" t="n">
        <f aca="false">Einstellungen!$B$5+INT((ROW()-9)/24)</f>
        <v>46088</v>
      </c>
      <c r="B2959" s="11" t="n">
        <f aca="false">MOD(ROW()-9,24)</f>
        <v>22</v>
      </c>
      <c r="C2959" s="12"/>
      <c r="D2959" s="13" t="n">
        <f aca="false">IF(B2959&lt;5,Einstellungen!$B$3,Einstellungen!$B$4)</f>
        <v>29.13</v>
      </c>
      <c r="E2959" s="14" t="str">
        <f aca="false">IF(C2959="","",C2959*D2959/100)</f>
        <v/>
      </c>
      <c r="F2959" s="15" t="str">
        <f aca="false">IF(B2959&lt;5,"Go","Standard")</f>
        <v>Standard</v>
      </c>
    </row>
    <row r="2960" customFormat="false" ht="15" hidden="false" customHeight="true" outlineLevel="0" collapsed="false">
      <c r="A2960" s="10" t="n">
        <f aca="false">Einstellungen!$B$5+INT((ROW()-9)/24)</f>
        <v>46088</v>
      </c>
      <c r="B2960" s="11" t="n">
        <f aca="false">MOD(ROW()-9,24)</f>
        <v>23</v>
      </c>
      <c r="C2960" s="12"/>
      <c r="D2960" s="13" t="n">
        <f aca="false">IF(B2960&lt;5,Einstellungen!$B$3,Einstellungen!$B$4)</f>
        <v>29.13</v>
      </c>
      <c r="E2960" s="14" t="str">
        <f aca="false">IF(C2960="","",C2960*D2960/100)</f>
        <v/>
      </c>
      <c r="F2960" s="15" t="str">
        <f aca="false">IF(B2960&lt;5,"Go","Standard")</f>
        <v>Standard</v>
      </c>
    </row>
    <row r="2961" customFormat="false" ht="15" hidden="false" customHeight="true" outlineLevel="0" collapsed="false">
      <c r="A2961" s="10" t="n">
        <f aca="false">Einstellungen!$B$5+INT((ROW()-9)/24)</f>
        <v>46089</v>
      </c>
      <c r="B2961" s="11" t="n">
        <f aca="false">MOD(ROW()-9,24)</f>
        <v>0</v>
      </c>
      <c r="C2961" s="12"/>
      <c r="D2961" s="13" t="n">
        <f aca="false">IF(B2961&lt;5,Einstellungen!$B$3,Einstellungen!$B$4)</f>
        <v>15.92</v>
      </c>
      <c r="E2961" s="14" t="str">
        <f aca="false">IF(C2961="","",C2961*D2961/100)</f>
        <v/>
      </c>
      <c r="F2961" s="15" t="str">
        <f aca="false">IF(B2961&lt;5,"Go","Standard")</f>
        <v>Go</v>
      </c>
    </row>
    <row r="2962" customFormat="false" ht="15" hidden="false" customHeight="true" outlineLevel="0" collapsed="false">
      <c r="A2962" s="10" t="n">
        <f aca="false">Einstellungen!$B$5+INT((ROW()-9)/24)</f>
        <v>46089</v>
      </c>
      <c r="B2962" s="11" t="n">
        <f aca="false">MOD(ROW()-9,24)</f>
        <v>1</v>
      </c>
      <c r="C2962" s="12"/>
      <c r="D2962" s="13" t="n">
        <f aca="false">IF(B2962&lt;5,Einstellungen!$B$3,Einstellungen!$B$4)</f>
        <v>15.92</v>
      </c>
      <c r="E2962" s="14" t="str">
        <f aca="false">IF(C2962="","",C2962*D2962/100)</f>
        <v/>
      </c>
      <c r="F2962" s="15" t="str">
        <f aca="false">IF(B2962&lt;5,"Go","Standard")</f>
        <v>Go</v>
      </c>
    </row>
    <row r="2963" customFormat="false" ht="15" hidden="false" customHeight="true" outlineLevel="0" collapsed="false">
      <c r="A2963" s="10" t="n">
        <f aca="false">Einstellungen!$B$5+INT((ROW()-9)/24)</f>
        <v>46089</v>
      </c>
      <c r="B2963" s="11" t="n">
        <f aca="false">MOD(ROW()-9,24)</f>
        <v>2</v>
      </c>
      <c r="C2963" s="12"/>
      <c r="D2963" s="13" t="n">
        <f aca="false">IF(B2963&lt;5,Einstellungen!$B$3,Einstellungen!$B$4)</f>
        <v>15.92</v>
      </c>
      <c r="E2963" s="14" t="str">
        <f aca="false">IF(C2963="","",C2963*D2963/100)</f>
        <v/>
      </c>
      <c r="F2963" s="15" t="str">
        <f aca="false">IF(B2963&lt;5,"Go","Standard")</f>
        <v>Go</v>
      </c>
    </row>
    <row r="2964" customFormat="false" ht="15" hidden="false" customHeight="true" outlineLevel="0" collapsed="false">
      <c r="A2964" s="10" t="n">
        <f aca="false">Einstellungen!$B$5+INT((ROW()-9)/24)</f>
        <v>46089</v>
      </c>
      <c r="B2964" s="11" t="n">
        <f aca="false">MOD(ROW()-9,24)</f>
        <v>3</v>
      </c>
      <c r="C2964" s="12"/>
      <c r="D2964" s="13" t="n">
        <f aca="false">IF(B2964&lt;5,Einstellungen!$B$3,Einstellungen!$B$4)</f>
        <v>15.92</v>
      </c>
      <c r="E2964" s="14" t="str">
        <f aca="false">IF(C2964="","",C2964*D2964/100)</f>
        <v/>
      </c>
      <c r="F2964" s="15" t="str">
        <f aca="false">IF(B2964&lt;5,"Go","Standard")</f>
        <v>Go</v>
      </c>
    </row>
    <row r="2965" customFormat="false" ht="15" hidden="false" customHeight="true" outlineLevel="0" collapsed="false">
      <c r="A2965" s="10" t="n">
        <f aca="false">Einstellungen!$B$5+INT((ROW()-9)/24)</f>
        <v>46089</v>
      </c>
      <c r="B2965" s="11" t="n">
        <f aca="false">MOD(ROW()-9,24)</f>
        <v>4</v>
      </c>
      <c r="C2965" s="12"/>
      <c r="D2965" s="13" t="n">
        <f aca="false">IF(B2965&lt;5,Einstellungen!$B$3,Einstellungen!$B$4)</f>
        <v>15.92</v>
      </c>
      <c r="E2965" s="14" t="str">
        <f aca="false">IF(C2965="","",C2965*D2965/100)</f>
        <v/>
      </c>
      <c r="F2965" s="15" t="str">
        <f aca="false">IF(B2965&lt;5,"Go","Standard")</f>
        <v>Go</v>
      </c>
    </row>
    <row r="2966" customFormat="false" ht="15" hidden="false" customHeight="true" outlineLevel="0" collapsed="false">
      <c r="A2966" s="10" t="n">
        <f aca="false">Einstellungen!$B$5+INT((ROW()-9)/24)</f>
        <v>46089</v>
      </c>
      <c r="B2966" s="11" t="n">
        <f aca="false">MOD(ROW()-9,24)</f>
        <v>5</v>
      </c>
      <c r="C2966" s="12"/>
      <c r="D2966" s="13" t="n">
        <f aca="false">IF(B2966&lt;5,Einstellungen!$B$3,Einstellungen!$B$4)</f>
        <v>29.13</v>
      </c>
      <c r="E2966" s="14" t="str">
        <f aca="false">IF(C2966="","",C2966*D2966/100)</f>
        <v/>
      </c>
      <c r="F2966" s="15" t="str">
        <f aca="false">IF(B2966&lt;5,"Go","Standard")</f>
        <v>Standard</v>
      </c>
    </row>
    <row r="2967" customFormat="false" ht="15" hidden="false" customHeight="true" outlineLevel="0" collapsed="false">
      <c r="A2967" s="10" t="n">
        <f aca="false">Einstellungen!$B$5+INT((ROW()-9)/24)</f>
        <v>46089</v>
      </c>
      <c r="B2967" s="11" t="n">
        <f aca="false">MOD(ROW()-9,24)</f>
        <v>6</v>
      </c>
      <c r="C2967" s="12"/>
      <c r="D2967" s="13" t="n">
        <f aca="false">IF(B2967&lt;5,Einstellungen!$B$3,Einstellungen!$B$4)</f>
        <v>29.13</v>
      </c>
      <c r="E2967" s="14" t="str">
        <f aca="false">IF(C2967="","",C2967*D2967/100)</f>
        <v/>
      </c>
      <c r="F2967" s="15" t="str">
        <f aca="false">IF(B2967&lt;5,"Go","Standard")</f>
        <v>Standard</v>
      </c>
    </row>
    <row r="2968" customFormat="false" ht="15" hidden="false" customHeight="true" outlineLevel="0" collapsed="false">
      <c r="A2968" s="10" t="n">
        <f aca="false">Einstellungen!$B$5+INT((ROW()-9)/24)</f>
        <v>46089</v>
      </c>
      <c r="B2968" s="11" t="n">
        <f aca="false">MOD(ROW()-9,24)</f>
        <v>7</v>
      </c>
      <c r="C2968" s="12"/>
      <c r="D2968" s="13" t="n">
        <f aca="false">IF(B2968&lt;5,Einstellungen!$B$3,Einstellungen!$B$4)</f>
        <v>29.13</v>
      </c>
      <c r="E2968" s="14" t="str">
        <f aca="false">IF(C2968="","",C2968*D2968/100)</f>
        <v/>
      </c>
      <c r="F2968" s="15" t="str">
        <f aca="false">IF(B2968&lt;5,"Go","Standard")</f>
        <v>Standard</v>
      </c>
    </row>
    <row r="2969" customFormat="false" ht="15" hidden="false" customHeight="true" outlineLevel="0" collapsed="false">
      <c r="A2969" s="10" t="n">
        <f aca="false">Einstellungen!$B$5+INT((ROW()-9)/24)</f>
        <v>46089</v>
      </c>
      <c r="B2969" s="11" t="n">
        <f aca="false">MOD(ROW()-9,24)</f>
        <v>8</v>
      </c>
      <c r="C2969" s="12"/>
      <c r="D2969" s="13" t="n">
        <f aca="false">IF(B2969&lt;5,Einstellungen!$B$3,Einstellungen!$B$4)</f>
        <v>29.13</v>
      </c>
      <c r="E2969" s="14" t="str">
        <f aca="false">IF(C2969="","",C2969*D2969/100)</f>
        <v/>
      </c>
      <c r="F2969" s="15" t="str">
        <f aca="false">IF(B2969&lt;5,"Go","Standard")</f>
        <v>Standard</v>
      </c>
    </row>
    <row r="2970" customFormat="false" ht="15" hidden="false" customHeight="true" outlineLevel="0" collapsed="false">
      <c r="A2970" s="10" t="n">
        <f aca="false">Einstellungen!$B$5+INT((ROW()-9)/24)</f>
        <v>46089</v>
      </c>
      <c r="B2970" s="11" t="n">
        <f aca="false">MOD(ROW()-9,24)</f>
        <v>9</v>
      </c>
      <c r="C2970" s="12"/>
      <c r="D2970" s="13" t="n">
        <f aca="false">IF(B2970&lt;5,Einstellungen!$B$3,Einstellungen!$B$4)</f>
        <v>29.13</v>
      </c>
      <c r="E2970" s="14" t="str">
        <f aca="false">IF(C2970="","",C2970*D2970/100)</f>
        <v/>
      </c>
      <c r="F2970" s="15" t="str">
        <f aca="false">IF(B2970&lt;5,"Go","Standard")</f>
        <v>Standard</v>
      </c>
    </row>
    <row r="2971" customFormat="false" ht="15" hidden="false" customHeight="true" outlineLevel="0" collapsed="false">
      <c r="A2971" s="10" t="n">
        <f aca="false">Einstellungen!$B$5+INT((ROW()-9)/24)</f>
        <v>46089</v>
      </c>
      <c r="B2971" s="11" t="n">
        <f aca="false">MOD(ROW()-9,24)</f>
        <v>10</v>
      </c>
      <c r="C2971" s="12"/>
      <c r="D2971" s="13" t="n">
        <f aca="false">IF(B2971&lt;5,Einstellungen!$B$3,Einstellungen!$B$4)</f>
        <v>29.13</v>
      </c>
      <c r="E2971" s="14" t="str">
        <f aca="false">IF(C2971="","",C2971*D2971/100)</f>
        <v/>
      </c>
      <c r="F2971" s="15" t="str">
        <f aca="false">IF(B2971&lt;5,"Go","Standard")</f>
        <v>Standard</v>
      </c>
    </row>
    <row r="2972" customFormat="false" ht="15" hidden="false" customHeight="true" outlineLevel="0" collapsed="false">
      <c r="A2972" s="10" t="n">
        <f aca="false">Einstellungen!$B$5+INT((ROW()-9)/24)</f>
        <v>46089</v>
      </c>
      <c r="B2972" s="11" t="n">
        <f aca="false">MOD(ROW()-9,24)</f>
        <v>11</v>
      </c>
      <c r="C2972" s="12"/>
      <c r="D2972" s="13" t="n">
        <f aca="false">IF(B2972&lt;5,Einstellungen!$B$3,Einstellungen!$B$4)</f>
        <v>29.13</v>
      </c>
      <c r="E2972" s="14" t="str">
        <f aca="false">IF(C2972="","",C2972*D2972/100)</f>
        <v/>
      </c>
      <c r="F2972" s="15" t="str">
        <f aca="false">IF(B2972&lt;5,"Go","Standard")</f>
        <v>Standard</v>
      </c>
    </row>
    <row r="2973" customFormat="false" ht="15" hidden="false" customHeight="true" outlineLevel="0" collapsed="false">
      <c r="A2973" s="10" t="n">
        <f aca="false">Einstellungen!$B$5+INT((ROW()-9)/24)</f>
        <v>46089</v>
      </c>
      <c r="B2973" s="11" t="n">
        <f aca="false">MOD(ROW()-9,24)</f>
        <v>12</v>
      </c>
      <c r="C2973" s="12"/>
      <c r="D2973" s="13" t="n">
        <f aca="false">IF(B2973&lt;5,Einstellungen!$B$3,Einstellungen!$B$4)</f>
        <v>29.13</v>
      </c>
      <c r="E2973" s="14" t="str">
        <f aca="false">IF(C2973="","",C2973*D2973/100)</f>
        <v/>
      </c>
      <c r="F2973" s="15" t="str">
        <f aca="false">IF(B2973&lt;5,"Go","Standard")</f>
        <v>Standard</v>
      </c>
    </row>
    <row r="2974" customFormat="false" ht="15" hidden="false" customHeight="true" outlineLevel="0" collapsed="false">
      <c r="A2974" s="10" t="n">
        <f aca="false">Einstellungen!$B$5+INT((ROW()-9)/24)</f>
        <v>46089</v>
      </c>
      <c r="B2974" s="11" t="n">
        <f aca="false">MOD(ROW()-9,24)</f>
        <v>13</v>
      </c>
      <c r="C2974" s="12"/>
      <c r="D2974" s="13" t="n">
        <f aca="false">IF(B2974&lt;5,Einstellungen!$B$3,Einstellungen!$B$4)</f>
        <v>29.13</v>
      </c>
      <c r="E2974" s="14" t="str">
        <f aca="false">IF(C2974="","",C2974*D2974/100)</f>
        <v/>
      </c>
      <c r="F2974" s="15" t="str">
        <f aca="false">IF(B2974&lt;5,"Go","Standard")</f>
        <v>Standard</v>
      </c>
    </row>
    <row r="2975" customFormat="false" ht="15" hidden="false" customHeight="true" outlineLevel="0" collapsed="false">
      <c r="A2975" s="10" t="n">
        <f aca="false">Einstellungen!$B$5+INT((ROW()-9)/24)</f>
        <v>46089</v>
      </c>
      <c r="B2975" s="11" t="n">
        <f aca="false">MOD(ROW()-9,24)</f>
        <v>14</v>
      </c>
      <c r="C2975" s="12"/>
      <c r="D2975" s="13" t="n">
        <f aca="false">IF(B2975&lt;5,Einstellungen!$B$3,Einstellungen!$B$4)</f>
        <v>29.13</v>
      </c>
      <c r="E2975" s="14" t="str">
        <f aca="false">IF(C2975="","",C2975*D2975/100)</f>
        <v/>
      </c>
      <c r="F2975" s="15" t="str">
        <f aca="false">IF(B2975&lt;5,"Go","Standard")</f>
        <v>Standard</v>
      </c>
    </row>
    <row r="2976" customFormat="false" ht="15" hidden="false" customHeight="true" outlineLevel="0" collapsed="false">
      <c r="A2976" s="10" t="n">
        <f aca="false">Einstellungen!$B$5+INT((ROW()-9)/24)</f>
        <v>46089</v>
      </c>
      <c r="B2976" s="11" t="n">
        <f aca="false">MOD(ROW()-9,24)</f>
        <v>15</v>
      </c>
      <c r="C2976" s="12"/>
      <c r="D2976" s="13" t="n">
        <f aca="false">IF(B2976&lt;5,Einstellungen!$B$3,Einstellungen!$B$4)</f>
        <v>29.13</v>
      </c>
      <c r="E2976" s="14" t="str">
        <f aca="false">IF(C2976="","",C2976*D2976/100)</f>
        <v/>
      </c>
      <c r="F2976" s="15" t="str">
        <f aca="false">IF(B2976&lt;5,"Go","Standard")</f>
        <v>Standard</v>
      </c>
    </row>
    <row r="2977" customFormat="false" ht="15" hidden="false" customHeight="true" outlineLevel="0" collapsed="false">
      <c r="A2977" s="10" t="n">
        <f aca="false">Einstellungen!$B$5+INT((ROW()-9)/24)</f>
        <v>46089</v>
      </c>
      <c r="B2977" s="11" t="n">
        <f aca="false">MOD(ROW()-9,24)</f>
        <v>16</v>
      </c>
      <c r="C2977" s="12"/>
      <c r="D2977" s="13" t="n">
        <f aca="false">IF(B2977&lt;5,Einstellungen!$B$3,Einstellungen!$B$4)</f>
        <v>29.13</v>
      </c>
      <c r="E2977" s="14" t="str">
        <f aca="false">IF(C2977="","",C2977*D2977/100)</f>
        <v/>
      </c>
      <c r="F2977" s="15" t="str">
        <f aca="false">IF(B2977&lt;5,"Go","Standard")</f>
        <v>Standard</v>
      </c>
    </row>
    <row r="2978" customFormat="false" ht="15" hidden="false" customHeight="true" outlineLevel="0" collapsed="false">
      <c r="A2978" s="10" t="n">
        <f aca="false">Einstellungen!$B$5+INT((ROW()-9)/24)</f>
        <v>46089</v>
      </c>
      <c r="B2978" s="11" t="n">
        <f aca="false">MOD(ROW()-9,24)</f>
        <v>17</v>
      </c>
      <c r="C2978" s="12"/>
      <c r="D2978" s="13" t="n">
        <f aca="false">IF(B2978&lt;5,Einstellungen!$B$3,Einstellungen!$B$4)</f>
        <v>29.13</v>
      </c>
      <c r="E2978" s="14" t="str">
        <f aca="false">IF(C2978="","",C2978*D2978/100)</f>
        <v/>
      </c>
      <c r="F2978" s="15" t="str">
        <f aca="false">IF(B2978&lt;5,"Go","Standard")</f>
        <v>Standard</v>
      </c>
    </row>
    <row r="2979" customFormat="false" ht="15" hidden="false" customHeight="true" outlineLevel="0" collapsed="false">
      <c r="A2979" s="10" t="n">
        <f aca="false">Einstellungen!$B$5+INT((ROW()-9)/24)</f>
        <v>46089</v>
      </c>
      <c r="B2979" s="11" t="n">
        <f aca="false">MOD(ROW()-9,24)</f>
        <v>18</v>
      </c>
      <c r="C2979" s="12"/>
      <c r="D2979" s="13" t="n">
        <f aca="false">IF(B2979&lt;5,Einstellungen!$B$3,Einstellungen!$B$4)</f>
        <v>29.13</v>
      </c>
      <c r="E2979" s="14" t="str">
        <f aca="false">IF(C2979="","",C2979*D2979/100)</f>
        <v/>
      </c>
      <c r="F2979" s="15" t="str">
        <f aca="false">IF(B2979&lt;5,"Go","Standard")</f>
        <v>Standard</v>
      </c>
    </row>
    <row r="2980" customFormat="false" ht="15" hidden="false" customHeight="true" outlineLevel="0" collapsed="false">
      <c r="A2980" s="10" t="n">
        <f aca="false">Einstellungen!$B$5+INT((ROW()-9)/24)</f>
        <v>46089</v>
      </c>
      <c r="B2980" s="11" t="n">
        <f aca="false">MOD(ROW()-9,24)</f>
        <v>19</v>
      </c>
      <c r="C2980" s="12"/>
      <c r="D2980" s="13" t="n">
        <f aca="false">IF(B2980&lt;5,Einstellungen!$B$3,Einstellungen!$B$4)</f>
        <v>29.13</v>
      </c>
      <c r="E2980" s="14" t="str">
        <f aca="false">IF(C2980="","",C2980*D2980/100)</f>
        <v/>
      </c>
      <c r="F2980" s="15" t="str">
        <f aca="false">IF(B2980&lt;5,"Go","Standard")</f>
        <v>Standard</v>
      </c>
    </row>
    <row r="2981" customFormat="false" ht="15" hidden="false" customHeight="true" outlineLevel="0" collapsed="false">
      <c r="A2981" s="10" t="n">
        <f aca="false">Einstellungen!$B$5+INT((ROW()-9)/24)</f>
        <v>46089</v>
      </c>
      <c r="B2981" s="11" t="n">
        <f aca="false">MOD(ROW()-9,24)</f>
        <v>20</v>
      </c>
      <c r="C2981" s="12"/>
      <c r="D2981" s="13" t="n">
        <f aca="false">IF(B2981&lt;5,Einstellungen!$B$3,Einstellungen!$B$4)</f>
        <v>29.13</v>
      </c>
      <c r="E2981" s="14" t="str">
        <f aca="false">IF(C2981="","",C2981*D2981/100)</f>
        <v/>
      </c>
      <c r="F2981" s="15" t="str">
        <f aca="false">IF(B2981&lt;5,"Go","Standard")</f>
        <v>Standard</v>
      </c>
    </row>
    <row r="2982" customFormat="false" ht="15" hidden="false" customHeight="true" outlineLevel="0" collapsed="false">
      <c r="A2982" s="10" t="n">
        <f aca="false">Einstellungen!$B$5+INT((ROW()-9)/24)</f>
        <v>46089</v>
      </c>
      <c r="B2982" s="11" t="n">
        <f aca="false">MOD(ROW()-9,24)</f>
        <v>21</v>
      </c>
      <c r="C2982" s="12"/>
      <c r="D2982" s="13" t="n">
        <f aca="false">IF(B2982&lt;5,Einstellungen!$B$3,Einstellungen!$B$4)</f>
        <v>29.13</v>
      </c>
      <c r="E2982" s="14" t="str">
        <f aca="false">IF(C2982="","",C2982*D2982/100)</f>
        <v/>
      </c>
      <c r="F2982" s="15" t="str">
        <f aca="false">IF(B2982&lt;5,"Go","Standard")</f>
        <v>Standard</v>
      </c>
    </row>
    <row r="2983" customFormat="false" ht="15" hidden="false" customHeight="true" outlineLevel="0" collapsed="false">
      <c r="A2983" s="10" t="n">
        <f aca="false">Einstellungen!$B$5+INT((ROW()-9)/24)</f>
        <v>46089</v>
      </c>
      <c r="B2983" s="11" t="n">
        <f aca="false">MOD(ROW()-9,24)</f>
        <v>22</v>
      </c>
      <c r="C2983" s="12"/>
      <c r="D2983" s="13" t="n">
        <f aca="false">IF(B2983&lt;5,Einstellungen!$B$3,Einstellungen!$B$4)</f>
        <v>29.13</v>
      </c>
      <c r="E2983" s="14" t="str">
        <f aca="false">IF(C2983="","",C2983*D2983/100)</f>
        <v/>
      </c>
      <c r="F2983" s="15" t="str">
        <f aca="false">IF(B2983&lt;5,"Go","Standard")</f>
        <v>Standard</v>
      </c>
    </row>
    <row r="2984" customFormat="false" ht="15" hidden="false" customHeight="true" outlineLevel="0" collapsed="false">
      <c r="A2984" s="10" t="n">
        <f aca="false">Einstellungen!$B$5+INT((ROW()-9)/24)</f>
        <v>46089</v>
      </c>
      <c r="B2984" s="11" t="n">
        <f aca="false">MOD(ROW()-9,24)</f>
        <v>23</v>
      </c>
      <c r="C2984" s="12"/>
      <c r="D2984" s="13" t="n">
        <f aca="false">IF(B2984&lt;5,Einstellungen!$B$3,Einstellungen!$B$4)</f>
        <v>29.13</v>
      </c>
      <c r="E2984" s="14" t="str">
        <f aca="false">IF(C2984="","",C2984*D2984/100)</f>
        <v/>
      </c>
      <c r="F2984" s="15" t="str">
        <f aca="false">IF(B2984&lt;5,"Go","Standard")</f>
        <v>Standard</v>
      </c>
    </row>
    <row r="2985" customFormat="false" ht="15" hidden="false" customHeight="true" outlineLevel="0" collapsed="false">
      <c r="A2985" s="10" t="n">
        <f aca="false">Einstellungen!$B$5+INT((ROW()-9)/24)</f>
        <v>46090</v>
      </c>
      <c r="B2985" s="11" t="n">
        <f aca="false">MOD(ROW()-9,24)</f>
        <v>0</v>
      </c>
      <c r="C2985" s="12"/>
      <c r="D2985" s="13" t="n">
        <f aca="false">IF(B2985&lt;5,Einstellungen!$B$3,Einstellungen!$B$4)</f>
        <v>15.92</v>
      </c>
      <c r="E2985" s="14" t="str">
        <f aca="false">IF(C2985="","",C2985*D2985/100)</f>
        <v/>
      </c>
      <c r="F2985" s="15" t="str">
        <f aca="false">IF(B2985&lt;5,"Go","Standard")</f>
        <v>Go</v>
      </c>
    </row>
    <row r="2986" customFormat="false" ht="15" hidden="false" customHeight="true" outlineLevel="0" collapsed="false">
      <c r="A2986" s="10" t="n">
        <f aca="false">Einstellungen!$B$5+INT((ROW()-9)/24)</f>
        <v>46090</v>
      </c>
      <c r="B2986" s="11" t="n">
        <f aca="false">MOD(ROW()-9,24)</f>
        <v>1</v>
      </c>
      <c r="C2986" s="12"/>
      <c r="D2986" s="13" t="n">
        <f aca="false">IF(B2986&lt;5,Einstellungen!$B$3,Einstellungen!$B$4)</f>
        <v>15.92</v>
      </c>
      <c r="E2986" s="14" t="str">
        <f aca="false">IF(C2986="","",C2986*D2986/100)</f>
        <v/>
      </c>
      <c r="F2986" s="15" t="str">
        <f aca="false">IF(B2986&lt;5,"Go","Standard")</f>
        <v>Go</v>
      </c>
    </row>
    <row r="2987" customFormat="false" ht="15" hidden="false" customHeight="true" outlineLevel="0" collapsed="false">
      <c r="A2987" s="10" t="n">
        <f aca="false">Einstellungen!$B$5+INT((ROW()-9)/24)</f>
        <v>46090</v>
      </c>
      <c r="B2987" s="11" t="n">
        <f aca="false">MOD(ROW()-9,24)</f>
        <v>2</v>
      </c>
      <c r="C2987" s="12"/>
      <c r="D2987" s="13" t="n">
        <f aca="false">IF(B2987&lt;5,Einstellungen!$B$3,Einstellungen!$B$4)</f>
        <v>15.92</v>
      </c>
      <c r="E2987" s="14" t="str">
        <f aca="false">IF(C2987="","",C2987*D2987/100)</f>
        <v/>
      </c>
      <c r="F2987" s="15" t="str">
        <f aca="false">IF(B2987&lt;5,"Go","Standard")</f>
        <v>Go</v>
      </c>
    </row>
    <row r="2988" customFormat="false" ht="15" hidden="false" customHeight="true" outlineLevel="0" collapsed="false">
      <c r="A2988" s="10" t="n">
        <f aca="false">Einstellungen!$B$5+INT((ROW()-9)/24)</f>
        <v>46090</v>
      </c>
      <c r="B2988" s="11" t="n">
        <f aca="false">MOD(ROW()-9,24)</f>
        <v>3</v>
      </c>
      <c r="C2988" s="12"/>
      <c r="D2988" s="13" t="n">
        <f aca="false">IF(B2988&lt;5,Einstellungen!$B$3,Einstellungen!$B$4)</f>
        <v>15.92</v>
      </c>
      <c r="E2988" s="14" t="str">
        <f aca="false">IF(C2988="","",C2988*D2988/100)</f>
        <v/>
      </c>
      <c r="F2988" s="15" t="str">
        <f aca="false">IF(B2988&lt;5,"Go","Standard")</f>
        <v>Go</v>
      </c>
    </row>
    <row r="2989" customFormat="false" ht="15" hidden="false" customHeight="true" outlineLevel="0" collapsed="false">
      <c r="A2989" s="10" t="n">
        <f aca="false">Einstellungen!$B$5+INT((ROW()-9)/24)</f>
        <v>46090</v>
      </c>
      <c r="B2989" s="11" t="n">
        <f aca="false">MOD(ROW()-9,24)</f>
        <v>4</v>
      </c>
      <c r="C2989" s="12"/>
      <c r="D2989" s="13" t="n">
        <f aca="false">IF(B2989&lt;5,Einstellungen!$B$3,Einstellungen!$B$4)</f>
        <v>15.92</v>
      </c>
      <c r="E2989" s="14" t="str">
        <f aca="false">IF(C2989="","",C2989*D2989/100)</f>
        <v/>
      </c>
      <c r="F2989" s="15" t="str">
        <f aca="false">IF(B2989&lt;5,"Go","Standard")</f>
        <v>Go</v>
      </c>
    </row>
    <row r="2990" customFormat="false" ht="15" hidden="false" customHeight="true" outlineLevel="0" collapsed="false">
      <c r="A2990" s="10" t="n">
        <f aca="false">Einstellungen!$B$5+INT((ROW()-9)/24)</f>
        <v>46090</v>
      </c>
      <c r="B2990" s="11" t="n">
        <f aca="false">MOD(ROW()-9,24)</f>
        <v>5</v>
      </c>
      <c r="C2990" s="12"/>
      <c r="D2990" s="13" t="n">
        <f aca="false">IF(B2990&lt;5,Einstellungen!$B$3,Einstellungen!$B$4)</f>
        <v>29.13</v>
      </c>
      <c r="E2990" s="14" t="str">
        <f aca="false">IF(C2990="","",C2990*D2990/100)</f>
        <v/>
      </c>
      <c r="F2990" s="15" t="str">
        <f aca="false">IF(B2990&lt;5,"Go","Standard")</f>
        <v>Standard</v>
      </c>
    </row>
    <row r="2991" customFormat="false" ht="15" hidden="false" customHeight="true" outlineLevel="0" collapsed="false">
      <c r="A2991" s="10" t="n">
        <f aca="false">Einstellungen!$B$5+INT((ROW()-9)/24)</f>
        <v>46090</v>
      </c>
      <c r="B2991" s="11" t="n">
        <f aca="false">MOD(ROW()-9,24)</f>
        <v>6</v>
      </c>
      <c r="C2991" s="12"/>
      <c r="D2991" s="13" t="n">
        <f aca="false">IF(B2991&lt;5,Einstellungen!$B$3,Einstellungen!$B$4)</f>
        <v>29.13</v>
      </c>
      <c r="E2991" s="14" t="str">
        <f aca="false">IF(C2991="","",C2991*D2991/100)</f>
        <v/>
      </c>
      <c r="F2991" s="15" t="str">
        <f aca="false">IF(B2991&lt;5,"Go","Standard")</f>
        <v>Standard</v>
      </c>
    </row>
    <row r="2992" customFormat="false" ht="15" hidden="false" customHeight="true" outlineLevel="0" collapsed="false">
      <c r="A2992" s="10" t="n">
        <f aca="false">Einstellungen!$B$5+INT((ROW()-9)/24)</f>
        <v>46090</v>
      </c>
      <c r="B2992" s="11" t="n">
        <f aca="false">MOD(ROW()-9,24)</f>
        <v>7</v>
      </c>
      <c r="C2992" s="12"/>
      <c r="D2992" s="13" t="n">
        <f aca="false">IF(B2992&lt;5,Einstellungen!$B$3,Einstellungen!$B$4)</f>
        <v>29.13</v>
      </c>
      <c r="E2992" s="14" t="str">
        <f aca="false">IF(C2992="","",C2992*D2992/100)</f>
        <v/>
      </c>
      <c r="F2992" s="15" t="str">
        <f aca="false">IF(B2992&lt;5,"Go","Standard")</f>
        <v>Standard</v>
      </c>
    </row>
    <row r="2993" customFormat="false" ht="15" hidden="false" customHeight="true" outlineLevel="0" collapsed="false">
      <c r="A2993" s="10" t="n">
        <f aca="false">Einstellungen!$B$5+INT((ROW()-9)/24)</f>
        <v>46090</v>
      </c>
      <c r="B2993" s="11" t="n">
        <f aca="false">MOD(ROW()-9,24)</f>
        <v>8</v>
      </c>
      <c r="C2993" s="12"/>
      <c r="D2993" s="13" t="n">
        <f aca="false">IF(B2993&lt;5,Einstellungen!$B$3,Einstellungen!$B$4)</f>
        <v>29.13</v>
      </c>
      <c r="E2993" s="14" t="str">
        <f aca="false">IF(C2993="","",C2993*D2993/100)</f>
        <v/>
      </c>
      <c r="F2993" s="15" t="str">
        <f aca="false">IF(B2993&lt;5,"Go","Standard")</f>
        <v>Standard</v>
      </c>
    </row>
    <row r="2994" customFormat="false" ht="15" hidden="false" customHeight="true" outlineLevel="0" collapsed="false">
      <c r="A2994" s="10" t="n">
        <f aca="false">Einstellungen!$B$5+INT((ROW()-9)/24)</f>
        <v>46090</v>
      </c>
      <c r="B2994" s="11" t="n">
        <f aca="false">MOD(ROW()-9,24)</f>
        <v>9</v>
      </c>
      <c r="C2994" s="12"/>
      <c r="D2994" s="13" t="n">
        <f aca="false">IF(B2994&lt;5,Einstellungen!$B$3,Einstellungen!$B$4)</f>
        <v>29.13</v>
      </c>
      <c r="E2994" s="14" t="str">
        <f aca="false">IF(C2994="","",C2994*D2994/100)</f>
        <v/>
      </c>
      <c r="F2994" s="15" t="str">
        <f aca="false">IF(B2994&lt;5,"Go","Standard")</f>
        <v>Standard</v>
      </c>
    </row>
    <row r="2995" customFormat="false" ht="15" hidden="false" customHeight="true" outlineLevel="0" collapsed="false">
      <c r="A2995" s="10" t="n">
        <f aca="false">Einstellungen!$B$5+INT((ROW()-9)/24)</f>
        <v>46090</v>
      </c>
      <c r="B2995" s="11" t="n">
        <f aca="false">MOD(ROW()-9,24)</f>
        <v>10</v>
      </c>
      <c r="C2995" s="12"/>
      <c r="D2995" s="13" t="n">
        <f aca="false">IF(B2995&lt;5,Einstellungen!$B$3,Einstellungen!$B$4)</f>
        <v>29.13</v>
      </c>
      <c r="E2995" s="14" t="str">
        <f aca="false">IF(C2995="","",C2995*D2995/100)</f>
        <v/>
      </c>
      <c r="F2995" s="15" t="str">
        <f aca="false">IF(B2995&lt;5,"Go","Standard")</f>
        <v>Standard</v>
      </c>
    </row>
    <row r="2996" customFormat="false" ht="15" hidden="false" customHeight="true" outlineLevel="0" collapsed="false">
      <c r="A2996" s="10" t="n">
        <f aca="false">Einstellungen!$B$5+INT((ROW()-9)/24)</f>
        <v>46090</v>
      </c>
      <c r="B2996" s="11" t="n">
        <f aca="false">MOD(ROW()-9,24)</f>
        <v>11</v>
      </c>
      <c r="C2996" s="12"/>
      <c r="D2996" s="13" t="n">
        <f aca="false">IF(B2996&lt;5,Einstellungen!$B$3,Einstellungen!$B$4)</f>
        <v>29.13</v>
      </c>
      <c r="E2996" s="14" t="str">
        <f aca="false">IF(C2996="","",C2996*D2996/100)</f>
        <v/>
      </c>
      <c r="F2996" s="15" t="str">
        <f aca="false">IF(B2996&lt;5,"Go","Standard")</f>
        <v>Standard</v>
      </c>
    </row>
    <row r="2997" customFormat="false" ht="15" hidden="false" customHeight="true" outlineLevel="0" collapsed="false">
      <c r="A2997" s="10" t="n">
        <f aca="false">Einstellungen!$B$5+INT((ROW()-9)/24)</f>
        <v>46090</v>
      </c>
      <c r="B2997" s="11" t="n">
        <f aca="false">MOD(ROW()-9,24)</f>
        <v>12</v>
      </c>
      <c r="C2997" s="12"/>
      <c r="D2997" s="13" t="n">
        <f aca="false">IF(B2997&lt;5,Einstellungen!$B$3,Einstellungen!$B$4)</f>
        <v>29.13</v>
      </c>
      <c r="E2997" s="14" t="str">
        <f aca="false">IF(C2997="","",C2997*D2997/100)</f>
        <v/>
      </c>
      <c r="F2997" s="15" t="str">
        <f aca="false">IF(B2997&lt;5,"Go","Standard")</f>
        <v>Standard</v>
      </c>
    </row>
    <row r="2998" customFormat="false" ht="15" hidden="false" customHeight="true" outlineLevel="0" collapsed="false">
      <c r="A2998" s="10" t="n">
        <f aca="false">Einstellungen!$B$5+INT((ROW()-9)/24)</f>
        <v>46090</v>
      </c>
      <c r="B2998" s="11" t="n">
        <f aca="false">MOD(ROW()-9,24)</f>
        <v>13</v>
      </c>
      <c r="C2998" s="12"/>
      <c r="D2998" s="13" t="n">
        <f aca="false">IF(B2998&lt;5,Einstellungen!$B$3,Einstellungen!$B$4)</f>
        <v>29.13</v>
      </c>
      <c r="E2998" s="14" t="str">
        <f aca="false">IF(C2998="","",C2998*D2998/100)</f>
        <v/>
      </c>
      <c r="F2998" s="15" t="str">
        <f aca="false">IF(B2998&lt;5,"Go","Standard")</f>
        <v>Standard</v>
      </c>
    </row>
    <row r="2999" customFormat="false" ht="15" hidden="false" customHeight="true" outlineLevel="0" collapsed="false">
      <c r="A2999" s="10" t="n">
        <f aca="false">Einstellungen!$B$5+INT((ROW()-9)/24)</f>
        <v>46090</v>
      </c>
      <c r="B2999" s="11" t="n">
        <f aca="false">MOD(ROW()-9,24)</f>
        <v>14</v>
      </c>
      <c r="C2999" s="12"/>
      <c r="D2999" s="13" t="n">
        <f aca="false">IF(B2999&lt;5,Einstellungen!$B$3,Einstellungen!$B$4)</f>
        <v>29.13</v>
      </c>
      <c r="E2999" s="14" t="str">
        <f aca="false">IF(C2999="","",C2999*D2999/100)</f>
        <v/>
      </c>
      <c r="F2999" s="15" t="str">
        <f aca="false">IF(B2999&lt;5,"Go","Standard")</f>
        <v>Standard</v>
      </c>
    </row>
    <row r="3000" customFormat="false" ht="15" hidden="false" customHeight="true" outlineLevel="0" collapsed="false">
      <c r="A3000" s="10" t="n">
        <f aca="false">Einstellungen!$B$5+INT((ROW()-9)/24)</f>
        <v>46090</v>
      </c>
      <c r="B3000" s="11" t="n">
        <f aca="false">MOD(ROW()-9,24)</f>
        <v>15</v>
      </c>
      <c r="C3000" s="12"/>
      <c r="D3000" s="13" t="n">
        <f aca="false">IF(B3000&lt;5,Einstellungen!$B$3,Einstellungen!$B$4)</f>
        <v>29.13</v>
      </c>
      <c r="E3000" s="14" t="str">
        <f aca="false">IF(C3000="","",C3000*D3000/100)</f>
        <v/>
      </c>
      <c r="F3000" s="15" t="str">
        <f aca="false">IF(B3000&lt;5,"Go","Standard")</f>
        <v>Standard</v>
      </c>
    </row>
    <row r="3001" customFormat="false" ht="15" hidden="false" customHeight="true" outlineLevel="0" collapsed="false">
      <c r="A3001" s="10" t="n">
        <f aca="false">Einstellungen!$B$5+INT((ROW()-9)/24)</f>
        <v>46090</v>
      </c>
      <c r="B3001" s="11" t="n">
        <f aca="false">MOD(ROW()-9,24)</f>
        <v>16</v>
      </c>
      <c r="C3001" s="12"/>
      <c r="D3001" s="13" t="n">
        <f aca="false">IF(B3001&lt;5,Einstellungen!$B$3,Einstellungen!$B$4)</f>
        <v>29.13</v>
      </c>
      <c r="E3001" s="14" t="str">
        <f aca="false">IF(C3001="","",C3001*D3001/100)</f>
        <v/>
      </c>
      <c r="F3001" s="15" t="str">
        <f aca="false">IF(B3001&lt;5,"Go","Standard")</f>
        <v>Standard</v>
      </c>
    </row>
    <row r="3002" customFormat="false" ht="15" hidden="false" customHeight="true" outlineLevel="0" collapsed="false">
      <c r="A3002" s="10" t="n">
        <f aca="false">Einstellungen!$B$5+INT((ROW()-9)/24)</f>
        <v>46090</v>
      </c>
      <c r="B3002" s="11" t="n">
        <f aca="false">MOD(ROW()-9,24)</f>
        <v>17</v>
      </c>
      <c r="C3002" s="12"/>
      <c r="D3002" s="13" t="n">
        <f aca="false">IF(B3002&lt;5,Einstellungen!$B$3,Einstellungen!$B$4)</f>
        <v>29.13</v>
      </c>
      <c r="E3002" s="14" t="str">
        <f aca="false">IF(C3002="","",C3002*D3002/100)</f>
        <v/>
      </c>
      <c r="F3002" s="15" t="str">
        <f aca="false">IF(B3002&lt;5,"Go","Standard")</f>
        <v>Standard</v>
      </c>
    </row>
    <row r="3003" customFormat="false" ht="15" hidden="false" customHeight="true" outlineLevel="0" collapsed="false">
      <c r="A3003" s="10" t="n">
        <f aca="false">Einstellungen!$B$5+INT((ROW()-9)/24)</f>
        <v>46090</v>
      </c>
      <c r="B3003" s="11" t="n">
        <f aca="false">MOD(ROW()-9,24)</f>
        <v>18</v>
      </c>
      <c r="C3003" s="12"/>
      <c r="D3003" s="13" t="n">
        <f aca="false">IF(B3003&lt;5,Einstellungen!$B$3,Einstellungen!$B$4)</f>
        <v>29.13</v>
      </c>
      <c r="E3003" s="14" t="str">
        <f aca="false">IF(C3003="","",C3003*D3003/100)</f>
        <v/>
      </c>
      <c r="F3003" s="15" t="str">
        <f aca="false">IF(B3003&lt;5,"Go","Standard")</f>
        <v>Standard</v>
      </c>
    </row>
    <row r="3004" customFormat="false" ht="15" hidden="false" customHeight="true" outlineLevel="0" collapsed="false">
      <c r="A3004" s="10" t="n">
        <f aca="false">Einstellungen!$B$5+INT((ROW()-9)/24)</f>
        <v>46090</v>
      </c>
      <c r="B3004" s="11" t="n">
        <f aca="false">MOD(ROW()-9,24)</f>
        <v>19</v>
      </c>
      <c r="C3004" s="12"/>
      <c r="D3004" s="13" t="n">
        <f aca="false">IF(B3004&lt;5,Einstellungen!$B$3,Einstellungen!$B$4)</f>
        <v>29.13</v>
      </c>
      <c r="E3004" s="14" t="str">
        <f aca="false">IF(C3004="","",C3004*D3004/100)</f>
        <v/>
      </c>
      <c r="F3004" s="15" t="str">
        <f aca="false">IF(B3004&lt;5,"Go","Standard")</f>
        <v>Standard</v>
      </c>
    </row>
    <row r="3005" customFormat="false" ht="15" hidden="false" customHeight="true" outlineLevel="0" collapsed="false">
      <c r="A3005" s="10" t="n">
        <f aca="false">Einstellungen!$B$5+INT((ROW()-9)/24)</f>
        <v>46090</v>
      </c>
      <c r="B3005" s="11" t="n">
        <f aca="false">MOD(ROW()-9,24)</f>
        <v>20</v>
      </c>
      <c r="C3005" s="12"/>
      <c r="D3005" s="13" t="n">
        <f aca="false">IF(B3005&lt;5,Einstellungen!$B$3,Einstellungen!$B$4)</f>
        <v>29.13</v>
      </c>
      <c r="E3005" s="14" t="str">
        <f aca="false">IF(C3005="","",C3005*D3005/100)</f>
        <v/>
      </c>
      <c r="F3005" s="15" t="str">
        <f aca="false">IF(B3005&lt;5,"Go","Standard")</f>
        <v>Standard</v>
      </c>
    </row>
    <row r="3006" customFormat="false" ht="15" hidden="false" customHeight="true" outlineLevel="0" collapsed="false">
      <c r="A3006" s="10" t="n">
        <f aca="false">Einstellungen!$B$5+INT((ROW()-9)/24)</f>
        <v>46090</v>
      </c>
      <c r="B3006" s="11" t="n">
        <f aca="false">MOD(ROW()-9,24)</f>
        <v>21</v>
      </c>
      <c r="C3006" s="12"/>
      <c r="D3006" s="13" t="n">
        <f aca="false">IF(B3006&lt;5,Einstellungen!$B$3,Einstellungen!$B$4)</f>
        <v>29.13</v>
      </c>
      <c r="E3006" s="14" t="str">
        <f aca="false">IF(C3006="","",C3006*D3006/100)</f>
        <v/>
      </c>
      <c r="F3006" s="15" t="str">
        <f aca="false">IF(B3006&lt;5,"Go","Standard")</f>
        <v>Standard</v>
      </c>
    </row>
    <row r="3007" customFormat="false" ht="15" hidden="false" customHeight="true" outlineLevel="0" collapsed="false">
      <c r="A3007" s="10" t="n">
        <f aca="false">Einstellungen!$B$5+INT((ROW()-9)/24)</f>
        <v>46090</v>
      </c>
      <c r="B3007" s="11" t="n">
        <f aca="false">MOD(ROW()-9,24)</f>
        <v>22</v>
      </c>
      <c r="C3007" s="12"/>
      <c r="D3007" s="13" t="n">
        <f aca="false">IF(B3007&lt;5,Einstellungen!$B$3,Einstellungen!$B$4)</f>
        <v>29.13</v>
      </c>
      <c r="E3007" s="14" t="str">
        <f aca="false">IF(C3007="","",C3007*D3007/100)</f>
        <v/>
      </c>
      <c r="F3007" s="15" t="str">
        <f aca="false">IF(B3007&lt;5,"Go","Standard")</f>
        <v>Standard</v>
      </c>
    </row>
    <row r="3008" customFormat="false" ht="15" hidden="false" customHeight="true" outlineLevel="0" collapsed="false">
      <c r="A3008" s="10" t="n">
        <f aca="false">Einstellungen!$B$5+INT((ROW()-9)/24)</f>
        <v>46090</v>
      </c>
      <c r="B3008" s="11" t="n">
        <f aca="false">MOD(ROW()-9,24)</f>
        <v>23</v>
      </c>
      <c r="C3008" s="12"/>
      <c r="D3008" s="13" t="n">
        <f aca="false">IF(B3008&lt;5,Einstellungen!$B$3,Einstellungen!$B$4)</f>
        <v>29.13</v>
      </c>
      <c r="E3008" s="14" t="str">
        <f aca="false">IF(C3008="","",C3008*D3008/100)</f>
        <v/>
      </c>
      <c r="F3008" s="15" t="str">
        <f aca="false">IF(B3008&lt;5,"Go","Standard")</f>
        <v>Standard</v>
      </c>
    </row>
    <row r="3009" customFormat="false" ht="15" hidden="false" customHeight="true" outlineLevel="0" collapsed="false">
      <c r="A3009" s="10" t="n">
        <f aca="false">Einstellungen!$B$5+INT((ROW()-9)/24)</f>
        <v>46091</v>
      </c>
      <c r="B3009" s="11" t="n">
        <f aca="false">MOD(ROW()-9,24)</f>
        <v>0</v>
      </c>
      <c r="C3009" s="12"/>
      <c r="D3009" s="13" t="n">
        <f aca="false">IF(B3009&lt;5,Einstellungen!$B$3,Einstellungen!$B$4)</f>
        <v>15.92</v>
      </c>
      <c r="E3009" s="14" t="str">
        <f aca="false">IF(C3009="","",C3009*D3009/100)</f>
        <v/>
      </c>
      <c r="F3009" s="15" t="str">
        <f aca="false">IF(B3009&lt;5,"Go","Standard")</f>
        <v>Go</v>
      </c>
    </row>
    <row r="3010" customFormat="false" ht="15" hidden="false" customHeight="true" outlineLevel="0" collapsed="false">
      <c r="A3010" s="10" t="n">
        <f aca="false">Einstellungen!$B$5+INT((ROW()-9)/24)</f>
        <v>46091</v>
      </c>
      <c r="B3010" s="11" t="n">
        <f aca="false">MOD(ROW()-9,24)</f>
        <v>1</v>
      </c>
      <c r="C3010" s="12"/>
      <c r="D3010" s="13" t="n">
        <f aca="false">IF(B3010&lt;5,Einstellungen!$B$3,Einstellungen!$B$4)</f>
        <v>15.92</v>
      </c>
      <c r="E3010" s="14" t="str">
        <f aca="false">IF(C3010="","",C3010*D3010/100)</f>
        <v/>
      </c>
      <c r="F3010" s="15" t="str">
        <f aca="false">IF(B3010&lt;5,"Go","Standard")</f>
        <v>Go</v>
      </c>
    </row>
    <row r="3011" customFormat="false" ht="15" hidden="false" customHeight="true" outlineLevel="0" collapsed="false">
      <c r="A3011" s="10" t="n">
        <f aca="false">Einstellungen!$B$5+INT((ROW()-9)/24)</f>
        <v>46091</v>
      </c>
      <c r="B3011" s="11" t="n">
        <f aca="false">MOD(ROW()-9,24)</f>
        <v>2</v>
      </c>
      <c r="C3011" s="12"/>
      <c r="D3011" s="13" t="n">
        <f aca="false">IF(B3011&lt;5,Einstellungen!$B$3,Einstellungen!$B$4)</f>
        <v>15.92</v>
      </c>
      <c r="E3011" s="14" t="str">
        <f aca="false">IF(C3011="","",C3011*D3011/100)</f>
        <v/>
      </c>
      <c r="F3011" s="15" t="str">
        <f aca="false">IF(B3011&lt;5,"Go","Standard")</f>
        <v>Go</v>
      </c>
    </row>
    <row r="3012" customFormat="false" ht="15" hidden="false" customHeight="true" outlineLevel="0" collapsed="false">
      <c r="A3012" s="10" t="n">
        <f aca="false">Einstellungen!$B$5+INT((ROW()-9)/24)</f>
        <v>46091</v>
      </c>
      <c r="B3012" s="11" t="n">
        <f aca="false">MOD(ROW()-9,24)</f>
        <v>3</v>
      </c>
      <c r="C3012" s="12"/>
      <c r="D3012" s="13" t="n">
        <f aca="false">IF(B3012&lt;5,Einstellungen!$B$3,Einstellungen!$B$4)</f>
        <v>15.92</v>
      </c>
      <c r="E3012" s="14" t="str">
        <f aca="false">IF(C3012="","",C3012*D3012/100)</f>
        <v/>
      </c>
      <c r="F3012" s="15" t="str">
        <f aca="false">IF(B3012&lt;5,"Go","Standard")</f>
        <v>Go</v>
      </c>
    </row>
    <row r="3013" customFormat="false" ht="15" hidden="false" customHeight="true" outlineLevel="0" collapsed="false">
      <c r="A3013" s="10" t="n">
        <f aca="false">Einstellungen!$B$5+INT((ROW()-9)/24)</f>
        <v>46091</v>
      </c>
      <c r="B3013" s="11" t="n">
        <f aca="false">MOD(ROW()-9,24)</f>
        <v>4</v>
      </c>
      <c r="C3013" s="12"/>
      <c r="D3013" s="13" t="n">
        <f aca="false">IF(B3013&lt;5,Einstellungen!$B$3,Einstellungen!$B$4)</f>
        <v>15.92</v>
      </c>
      <c r="E3013" s="14" t="str">
        <f aca="false">IF(C3013="","",C3013*D3013/100)</f>
        <v/>
      </c>
      <c r="F3013" s="15" t="str">
        <f aca="false">IF(B3013&lt;5,"Go","Standard")</f>
        <v>Go</v>
      </c>
    </row>
    <row r="3014" customFormat="false" ht="15" hidden="false" customHeight="true" outlineLevel="0" collapsed="false">
      <c r="A3014" s="10" t="n">
        <f aca="false">Einstellungen!$B$5+INT((ROW()-9)/24)</f>
        <v>46091</v>
      </c>
      <c r="B3014" s="11" t="n">
        <f aca="false">MOD(ROW()-9,24)</f>
        <v>5</v>
      </c>
      <c r="C3014" s="12"/>
      <c r="D3014" s="13" t="n">
        <f aca="false">IF(B3014&lt;5,Einstellungen!$B$3,Einstellungen!$B$4)</f>
        <v>29.13</v>
      </c>
      <c r="E3014" s="14" t="str">
        <f aca="false">IF(C3014="","",C3014*D3014/100)</f>
        <v/>
      </c>
      <c r="F3014" s="15" t="str">
        <f aca="false">IF(B3014&lt;5,"Go","Standard")</f>
        <v>Standard</v>
      </c>
    </row>
    <row r="3015" customFormat="false" ht="15" hidden="false" customHeight="true" outlineLevel="0" collapsed="false">
      <c r="A3015" s="10" t="n">
        <f aca="false">Einstellungen!$B$5+INT((ROW()-9)/24)</f>
        <v>46091</v>
      </c>
      <c r="B3015" s="11" t="n">
        <f aca="false">MOD(ROW()-9,24)</f>
        <v>6</v>
      </c>
      <c r="C3015" s="12"/>
      <c r="D3015" s="13" t="n">
        <f aca="false">IF(B3015&lt;5,Einstellungen!$B$3,Einstellungen!$B$4)</f>
        <v>29.13</v>
      </c>
      <c r="E3015" s="14" t="str">
        <f aca="false">IF(C3015="","",C3015*D3015/100)</f>
        <v/>
      </c>
      <c r="F3015" s="15" t="str">
        <f aca="false">IF(B3015&lt;5,"Go","Standard")</f>
        <v>Standard</v>
      </c>
    </row>
    <row r="3016" customFormat="false" ht="15" hidden="false" customHeight="true" outlineLevel="0" collapsed="false">
      <c r="A3016" s="10" t="n">
        <f aca="false">Einstellungen!$B$5+INT((ROW()-9)/24)</f>
        <v>46091</v>
      </c>
      <c r="B3016" s="11" t="n">
        <f aca="false">MOD(ROW()-9,24)</f>
        <v>7</v>
      </c>
      <c r="C3016" s="12"/>
      <c r="D3016" s="13" t="n">
        <f aca="false">IF(B3016&lt;5,Einstellungen!$B$3,Einstellungen!$B$4)</f>
        <v>29.13</v>
      </c>
      <c r="E3016" s="14" t="str">
        <f aca="false">IF(C3016="","",C3016*D3016/100)</f>
        <v/>
      </c>
      <c r="F3016" s="15" t="str">
        <f aca="false">IF(B3016&lt;5,"Go","Standard")</f>
        <v>Standard</v>
      </c>
    </row>
    <row r="3017" customFormat="false" ht="15" hidden="false" customHeight="true" outlineLevel="0" collapsed="false">
      <c r="A3017" s="10" t="n">
        <f aca="false">Einstellungen!$B$5+INT((ROW()-9)/24)</f>
        <v>46091</v>
      </c>
      <c r="B3017" s="11" t="n">
        <f aca="false">MOD(ROW()-9,24)</f>
        <v>8</v>
      </c>
      <c r="C3017" s="12"/>
      <c r="D3017" s="13" t="n">
        <f aca="false">IF(B3017&lt;5,Einstellungen!$B$3,Einstellungen!$B$4)</f>
        <v>29.13</v>
      </c>
      <c r="E3017" s="14" t="str">
        <f aca="false">IF(C3017="","",C3017*D3017/100)</f>
        <v/>
      </c>
      <c r="F3017" s="15" t="str">
        <f aca="false">IF(B3017&lt;5,"Go","Standard")</f>
        <v>Standard</v>
      </c>
    </row>
    <row r="3018" customFormat="false" ht="15" hidden="false" customHeight="true" outlineLevel="0" collapsed="false">
      <c r="A3018" s="10" t="n">
        <f aca="false">Einstellungen!$B$5+INT((ROW()-9)/24)</f>
        <v>46091</v>
      </c>
      <c r="B3018" s="11" t="n">
        <f aca="false">MOD(ROW()-9,24)</f>
        <v>9</v>
      </c>
      <c r="C3018" s="12"/>
      <c r="D3018" s="13" t="n">
        <f aca="false">IF(B3018&lt;5,Einstellungen!$B$3,Einstellungen!$B$4)</f>
        <v>29.13</v>
      </c>
      <c r="E3018" s="14" t="str">
        <f aca="false">IF(C3018="","",C3018*D3018/100)</f>
        <v/>
      </c>
      <c r="F3018" s="15" t="str">
        <f aca="false">IF(B3018&lt;5,"Go","Standard")</f>
        <v>Standard</v>
      </c>
    </row>
    <row r="3019" customFormat="false" ht="15" hidden="false" customHeight="true" outlineLevel="0" collapsed="false">
      <c r="A3019" s="10" t="n">
        <f aca="false">Einstellungen!$B$5+INT((ROW()-9)/24)</f>
        <v>46091</v>
      </c>
      <c r="B3019" s="11" t="n">
        <f aca="false">MOD(ROW()-9,24)</f>
        <v>10</v>
      </c>
      <c r="C3019" s="12"/>
      <c r="D3019" s="13" t="n">
        <f aca="false">IF(B3019&lt;5,Einstellungen!$B$3,Einstellungen!$B$4)</f>
        <v>29.13</v>
      </c>
      <c r="E3019" s="14" t="str">
        <f aca="false">IF(C3019="","",C3019*D3019/100)</f>
        <v/>
      </c>
      <c r="F3019" s="15" t="str">
        <f aca="false">IF(B3019&lt;5,"Go","Standard")</f>
        <v>Standard</v>
      </c>
    </row>
    <row r="3020" customFormat="false" ht="15" hidden="false" customHeight="true" outlineLevel="0" collapsed="false">
      <c r="A3020" s="10" t="n">
        <f aca="false">Einstellungen!$B$5+INT((ROW()-9)/24)</f>
        <v>46091</v>
      </c>
      <c r="B3020" s="11" t="n">
        <f aca="false">MOD(ROW()-9,24)</f>
        <v>11</v>
      </c>
      <c r="C3020" s="12"/>
      <c r="D3020" s="13" t="n">
        <f aca="false">IF(B3020&lt;5,Einstellungen!$B$3,Einstellungen!$B$4)</f>
        <v>29.13</v>
      </c>
      <c r="E3020" s="14" t="str">
        <f aca="false">IF(C3020="","",C3020*D3020/100)</f>
        <v/>
      </c>
      <c r="F3020" s="15" t="str">
        <f aca="false">IF(B3020&lt;5,"Go","Standard")</f>
        <v>Standard</v>
      </c>
    </row>
    <row r="3021" customFormat="false" ht="15" hidden="false" customHeight="true" outlineLevel="0" collapsed="false">
      <c r="A3021" s="10" t="n">
        <f aca="false">Einstellungen!$B$5+INT((ROW()-9)/24)</f>
        <v>46091</v>
      </c>
      <c r="B3021" s="11" t="n">
        <f aca="false">MOD(ROW()-9,24)</f>
        <v>12</v>
      </c>
      <c r="C3021" s="12"/>
      <c r="D3021" s="13" t="n">
        <f aca="false">IF(B3021&lt;5,Einstellungen!$B$3,Einstellungen!$B$4)</f>
        <v>29.13</v>
      </c>
      <c r="E3021" s="14" t="str">
        <f aca="false">IF(C3021="","",C3021*D3021/100)</f>
        <v/>
      </c>
      <c r="F3021" s="15" t="str">
        <f aca="false">IF(B3021&lt;5,"Go","Standard")</f>
        <v>Standard</v>
      </c>
    </row>
    <row r="3022" customFormat="false" ht="15" hidden="false" customHeight="true" outlineLevel="0" collapsed="false">
      <c r="A3022" s="10" t="n">
        <f aca="false">Einstellungen!$B$5+INT((ROW()-9)/24)</f>
        <v>46091</v>
      </c>
      <c r="B3022" s="11" t="n">
        <f aca="false">MOD(ROW()-9,24)</f>
        <v>13</v>
      </c>
      <c r="C3022" s="12"/>
      <c r="D3022" s="13" t="n">
        <f aca="false">IF(B3022&lt;5,Einstellungen!$B$3,Einstellungen!$B$4)</f>
        <v>29.13</v>
      </c>
      <c r="E3022" s="14" t="str">
        <f aca="false">IF(C3022="","",C3022*D3022/100)</f>
        <v/>
      </c>
      <c r="F3022" s="15" t="str">
        <f aca="false">IF(B3022&lt;5,"Go","Standard")</f>
        <v>Standard</v>
      </c>
    </row>
    <row r="3023" customFormat="false" ht="15" hidden="false" customHeight="true" outlineLevel="0" collapsed="false">
      <c r="A3023" s="10" t="n">
        <f aca="false">Einstellungen!$B$5+INT((ROW()-9)/24)</f>
        <v>46091</v>
      </c>
      <c r="B3023" s="11" t="n">
        <f aca="false">MOD(ROW()-9,24)</f>
        <v>14</v>
      </c>
      <c r="C3023" s="12"/>
      <c r="D3023" s="13" t="n">
        <f aca="false">IF(B3023&lt;5,Einstellungen!$B$3,Einstellungen!$B$4)</f>
        <v>29.13</v>
      </c>
      <c r="E3023" s="14" t="str">
        <f aca="false">IF(C3023="","",C3023*D3023/100)</f>
        <v/>
      </c>
      <c r="F3023" s="15" t="str">
        <f aca="false">IF(B3023&lt;5,"Go","Standard")</f>
        <v>Standard</v>
      </c>
    </row>
    <row r="3024" customFormat="false" ht="15" hidden="false" customHeight="true" outlineLevel="0" collapsed="false">
      <c r="A3024" s="10" t="n">
        <f aca="false">Einstellungen!$B$5+INT((ROW()-9)/24)</f>
        <v>46091</v>
      </c>
      <c r="B3024" s="11" t="n">
        <f aca="false">MOD(ROW()-9,24)</f>
        <v>15</v>
      </c>
      <c r="C3024" s="12"/>
      <c r="D3024" s="13" t="n">
        <f aca="false">IF(B3024&lt;5,Einstellungen!$B$3,Einstellungen!$B$4)</f>
        <v>29.13</v>
      </c>
      <c r="E3024" s="14" t="str">
        <f aca="false">IF(C3024="","",C3024*D3024/100)</f>
        <v/>
      </c>
      <c r="F3024" s="15" t="str">
        <f aca="false">IF(B3024&lt;5,"Go","Standard")</f>
        <v>Standard</v>
      </c>
    </row>
    <row r="3025" customFormat="false" ht="15" hidden="false" customHeight="true" outlineLevel="0" collapsed="false">
      <c r="A3025" s="10" t="n">
        <f aca="false">Einstellungen!$B$5+INT((ROW()-9)/24)</f>
        <v>46091</v>
      </c>
      <c r="B3025" s="11" t="n">
        <f aca="false">MOD(ROW()-9,24)</f>
        <v>16</v>
      </c>
      <c r="C3025" s="12"/>
      <c r="D3025" s="13" t="n">
        <f aca="false">IF(B3025&lt;5,Einstellungen!$B$3,Einstellungen!$B$4)</f>
        <v>29.13</v>
      </c>
      <c r="E3025" s="14" t="str">
        <f aca="false">IF(C3025="","",C3025*D3025/100)</f>
        <v/>
      </c>
      <c r="F3025" s="15" t="str">
        <f aca="false">IF(B3025&lt;5,"Go","Standard")</f>
        <v>Standard</v>
      </c>
    </row>
    <row r="3026" customFormat="false" ht="15" hidden="false" customHeight="true" outlineLevel="0" collapsed="false">
      <c r="A3026" s="10" t="n">
        <f aca="false">Einstellungen!$B$5+INT((ROW()-9)/24)</f>
        <v>46091</v>
      </c>
      <c r="B3026" s="11" t="n">
        <f aca="false">MOD(ROW()-9,24)</f>
        <v>17</v>
      </c>
      <c r="C3026" s="12"/>
      <c r="D3026" s="13" t="n">
        <f aca="false">IF(B3026&lt;5,Einstellungen!$B$3,Einstellungen!$B$4)</f>
        <v>29.13</v>
      </c>
      <c r="E3026" s="14" t="str">
        <f aca="false">IF(C3026="","",C3026*D3026/100)</f>
        <v/>
      </c>
      <c r="F3026" s="15" t="str">
        <f aca="false">IF(B3026&lt;5,"Go","Standard")</f>
        <v>Standard</v>
      </c>
    </row>
    <row r="3027" customFormat="false" ht="15" hidden="false" customHeight="true" outlineLevel="0" collapsed="false">
      <c r="A3027" s="10" t="n">
        <f aca="false">Einstellungen!$B$5+INT((ROW()-9)/24)</f>
        <v>46091</v>
      </c>
      <c r="B3027" s="11" t="n">
        <f aca="false">MOD(ROW()-9,24)</f>
        <v>18</v>
      </c>
      <c r="C3027" s="12"/>
      <c r="D3027" s="13" t="n">
        <f aca="false">IF(B3027&lt;5,Einstellungen!$B$3,Einstellungen!$B$4)</f>
        <v>29.13</v>
      </c>
      <c r="E3027" s="14" t="str">
        <f aca="false">IF(C3027="","",C3027*D3027/100)</f>
        <v/>
      </c>
      <c r="F3027" s="15" t="str">
        <f aca="false">IF(B3027&lt;5,"Go","Standard")</f>
        <v>Standard</v>
      </c>
    </row>
    <row r="3028" customFormat="false" ht="15" hidden="false" customHeight="true" outlineLevel="0" collapsed="false">
      <c r="A3028" s="10" t="n">
        <f aca="false">Einstellungen!$B$5+INT((ROW()-9)/24)</f>
        <v>46091</v>
      </c>
      <c r="B3028" s="11" t="n">
        <f aca="false">MOD(ROW()-9,24)</f>
        <v>19</v>
      </c>
      <c r="C3028" s="12"/>
      <c r="D3028" s="13" t="n">
        <f aca="false">IF(B3028&lt;5,Einstellungen!$B$3,Einstellungen!$B$4)</f>
        <v>29.13</v>
      </c>
      <c r="E3028" s="14" t="str">
        <f aca="false">IF(C3028="","",C3028*D3028/100)</f>
        <v/>
      </c>
      <c r="F3028" s="15" t="str">
        <f aca="false">IF(B3028&lt;5,"Go","Standard")</f>
        <v>Standard</v>
      </c>
    </row>
    <row r="3029" customFormat="false" ht="15" hidden="false" customHeight="true" outlineLevel="0" collapsed="false">
      <c r="A3029" s="10" t="n">
        <f aca="false">Einstellungen!$B$5+INT((ROW()-9)/24)</f>
        <v>46091</v>
      </c>
      <c r="B3029" s="11" t="n">
        <f aca="false">MOD(ROW()-9,24)</f>
        <v>20</v>
      </c>
      <c r="C3029" s="12"/>
      <c r="D3029" s="13" t="n">
        <f aca="false">IF(B3029&lt;5,Einstellungen!$B$3,Einstellungen!$B$4)</f>
        <v>29.13</v>
      </c>
      <c r="E3029" s="14" t="str">
        <f aca="false">IF(C3029="","",C3029*D3029/100)</f>
        <v/>
      </c>
      <c r="F3029" s="15" t="str">
        <f aca="false">IF(B3029&lt;5,"Go","Standard")</f>
        <v>Standard</v>
      </c>
    </row>
    <row r="3030" customFormat="false" ht="15" hidden="false" customHeight="true" outlineLevel="0" collapsed="false">
      <c r="A3030" s="10" t="n">
        <f aca="false">Einstellungen!$B$5+INT((ROW()-9)/24)</f>
        <v>46091</v>
      </c>
      <c r="B3030" s="11" t="n">
        <f aca="false">MOD(ROW()-9,24)</f>
        <v>21</v>
      </c>
      <c r="C3030" s="12"/>
      <c r="D3030" s="13" t="n">
        <f aca="false">IF(B3030&lt;5,Einstellungen!$B$3,Einstellungen!$B$4)</f>
        <v>29.13</v>
      </c>
      <c r="E3030" s="14" t="str">
        <f aca="false">IF(C3030="","",C3030*D3030/100)</f>
        <v/>
      </c>
      <c r="F3030" s="15" t="str">
        <f aca="false">IF(B3030&lt;5,"Go","Standard")</f>
        <v>Standard</v>
      </c>
    </row>
    <row r="3031" customFormat="false" ht="15" hidden="false" customHeight="true" outlineLevel="0" collapsed="false">
      <c r="A3031" s="10" t="n">
        <f aca="false">Einstellungen!$B$5+INT((ROW()-9)/24)</f>
        <v>46091</v>
      </c>
      <c r="B3031" s="11" t="n">
        <f aca="false">MOD(ROW()-9,24)</f>
        <v>22</v>
      </c>
      <c r="C3031" s="12"/>
      <c r="D3031" s="13" t="n">
        <f aca="false">IF(B3031&lt;5,Einstellungen!$B$3,Einstellungen!$B$4)</f>
        <v>29.13</v>
      </c>
      <c r="E3031" s="14" t="str">
        <f aca="false">IF(C3031="","",C3031*D3031/100)</f>
        <v/>
      </c>
      <c r="F3031" s="15" t="str">
        <f aca="false">IF(B3031&lt;5,"Go","Standard")</f>
        <v>Standard</v>
      </c>
    </row>
    <row r="3032" customFormat="false" ht="15" hidden="false" customHeight="true" outlineLevel="0" collapsed="false">
      <c r="A3032" s="10" t="n">
        <f aca="false">Einstellungen!$B$5+INT((ROW()-9)/24)</f>
        <v>46091</v>
      </c>
      <c r="B3032" s="11" t="n">
        <f aca="false">MOD(ROW()-9,24)</f>
        <v>23</v>
      </c>
      <c r="C3032" s="12"/>
      <c r="D3032" s="13" t="n">
        <f aca="false">IF(B3032&lt;5,Einstellungen!$B$3,Einstellungen!$B$4)</f>
        <v>29.13</v>
      </c>
      <c r="E3032" s="14" t="str">
        <f aca="false">IF(C3032="","",C3032*D3032/100)</f>
        <v/>
      </c>
      <c r="F3032" s="15" t="str">
        <f aca="false">IF(B3032&lt;5,"Go","Standard")</f>
        <v>Standard</v>
      </c>
    </row>
    <row r="3033" customFormat="false" ht="15" hidden="false" customHeight="true" outlineLevel="0" collapsed="false">
      <c r="A3033" s="10" t="n">
        <f aca="false">Einstellungen!$B$5+INT((ROW()-9)/24)</f>
        <v>46092</v>
      </c>
      <c r="B3033" s="11" t="n">
        <f aca="false">MOD(ROW()-9,24)</f>
        <v>0</v>
      </c>
      <c r="C3033" s="12"/>
      <c r="D3033" s="13" t="n">
        <f aca="false">IF(B3033&lt;5,Einstellungen!$B$3,Einstellungen!$B$4)</f>
        <v>15.92</v>
      </c>
      <c r="E3033" s="14" t="str">
        <f aca="false">IF(C3033="","",C3033*D3033/100)</f>
        <v/>
      </c>
      <c r="F3033" s="15" t="str">
        <f aca="false">IF(B3033&lt;5,"Go","Standard")</f>
        <v>Go</v>
      </c>
    </row>
    <row r="3034" customFormat="false" ht="15" hidden="false" customHeight="true" outlineLevel="0" collapsed="false">
      <c r="A3034" s="10" t="n">
        <f aca="false">Einstellungen!$B$5+INT((ROW()-9)/24)</f>
        <v>46092</v>
      </c>
      <c r="B3034" s="11" t="n">
        <f aca="false">MOD(ROW()-9,24)</f>
        <v>1</v>
      </c>
      <c r="C3034" s="12"/>
      <c r="D3034" s="13" t="n">
        <f aca="false">IF(B3034&lt;5,Einstellungen!$B$3,Einstellungen!$B$4)</f>
        <v>15.92</v>
      </c>
      <c r="E3034" s="14" t="str">
        <f aca="false">IF(C3034="","",C3034*D3034/100)</f>
        <v/>
      </c>
      <c r="F3034" s="15" t="str">
        <f aca="false">IF(B3034&lt;5,"Go","Standard")</f>
        <v>Go</v>
      </c>
    </row>
    <row r="3035" customFormat="false" ht="15" hidden="false" customHeight="true" outlineLevel="0" collapsed="false">
      <c r="A3035" s="10" t="n">
        <f aca="false">Einstellungen!$B$5+INT((ROW()-9)/24)</f>
        <v>46092</v>
      </c>
      <c r="B3035" s="11" t="n">
        <f aca="false">MOD(ROW()-9,24)</f>
        <v>2</v>
      </c>
      <c r="C3035" s="12"/>
      <c r="D3035" s="13" t="n">
        <f aca="false">IF(B3035&lt;5,Einstellungen!$B$3,Einstellungen!$B$4)</f>
        <v>15.92</v>
      </c>
      <c r="E3035" s="14" t="str">
        <f aca="false">IF(C3035="","",C3035*D3035/100)</f>
        <v/>
      </c>
      <c r="F3035" s="15" t="str">
        <f aca="false">IF(B3035&lt;5,"Go","Standard")</f>
        <v>Go</v>
      </c>
    </row>
    <row r="3036" customFormat="false" ht="15" hidden="false" customHeight="true" outlineLevel="0" collapsed="false">
      <c r="A3036" s="10" t="n">
        <f aca="false">Einstellungen!$B$5+INT((ROW()-9)/24)</f>
        <v>46092</v>
      </c>
      <c r="B3036" s="11" t="n">
        <f aca="false">MOD(ROW()-9,24)</f>
        <v>3</v>
      </c>
      <c r="C3036" s="12"/>
      <c r="D3036" s="13" t="n">
        <f aca="false">IF(B3036&lt;5,Einstellungen!$B$3,Einstellungen!$B$4)</f>
        <v>15.92</v>
      </c>
      <c r="E3036" s="14" t="str">
        <f aca="false">IF(C3036="","",C3036*D3036/100)</f>
        <v/>
      </c>
      <c r="F3036" s="15" t="str">
        <f aca="false">IF(B3036&lt;5,"Go","Standard")</f>
        <v>Go</v>
      </c>
    </row>
    <row r="3037" customFormat="false" ht="15" hidden="false" customHeight="true" outlineLevel="0" collapsed="false">
      <c r="A3037" s="10" t="n">
        <f aca="false">Einstellungen!$B$5+INT((ROW()-9)/24)</f>
        <v>46092</v>
      </c>
      <c r="B3037" s="11" t="n">
        <f aca="false">MOD(ROW()-9,24)</f>
        <v>4</v>
      </c>
      <c r="C3037" s="12"/>
      <c r="D3037" s="13" t="n">
        <f aca="false">IF(B3037&lt;5,Einstellungen!$B$3,Einstellungen!$B$4)</f>
        <v>15.92</v>
      </c>
      <c r="E3037" s="14" t="str">
        <f aca="false">IF(C3037="","",C3037*D3037/100)</f>
        <v/>
      </c>
      <c r="F3037" s="15" t="str">
        <f aca="false">IF(B3037&lt;5,"Go","Standard")</f>
        <v>Go</v>
      </c>
    </row>
    <row r="3038" customFormat="false" ht="15" hidden="false" customHeight="true" outlineLevel="0" collapsed="false">
      <c r="A3038" s="10" t="n">
        <f aca="false">Einstellungen!$B$5+INT((ROW()-9)/24)</f>
        <v>46092</v>
      </c>
      <c r="B3038" s="11" t="n">
        <f aca="false">MOD(ROW()-9,24)</f>
        <v>5</v>
      </c>
      <c r="C3038" s="12"/>
      <c r="D3038" s="13" t="n">
        <f aca="false">IF(B3038&lt;5,Einstellungen!$B$3,Einstellungen!$B$4)</f>
        <v>29.13</v>
      </c>
      <c r="E3038" s="14" t="str">
        <f aca="false">IF(C3038="","",C3038*D3038/100)</f>
        <v/>
      </c>
      <c r="F3038" s="15" t="str">
        <f aca="false">IF(B3038&lt;5,"Go","Standard")</f>
        <v>Standard</v>
      </c>
    </row>
    <row r="3039" customFormat="false" ht="15" hidden="false" customHeight="true" outlineLevel="0" collapsed="false">
      <c r="A3039" s="10" t="n">
        <f aca="false">Einstellungen!$B$5+INT((ROW()-9)/24)</f>
        <v>46092</v>
      </c>
      <c r="B3039" s="11" t="n">
        <f aca="false">MOD(ROW()-9,24)</f>
        <v>6</v>
      </c>
      <c r="C3039" s="12"/>
      <c r="D3039" s="13" t="n">
        <f aca="false">IF(B3039&lt;5,Einstellungen!$B$3,Einstellungen!$B$4)</f>
        <v>29.13</v>
      </c>
      <c r="E3039" s="14" t="str">
        <f aca="false">IF(C3039="","",C3039*D3039/100)</f>
        <v/>
      </c>
      <c r="F3039" s="15" t="str">
        <f aca="false">IF(B3039&lt;5,"Go","Standard")</f>
        <v>Standard</v>
      </c>
    </row>
    <row r="3040" customFormat="false" ht="15" hidden="false" customHeight="true" outlineLevel="0" collapsed="false">
      <c r="A3040" s="10" t="n">
        <f aca="false">Einstellungen!$B$5+INT((ROW()-9)/24)</f>
        <v>46092</v>
      </c>
      <c r="B3040" s="11" t="n">
        <f aca="false">MOD(ROW()-9,24)</f>
        <v>7</v>
      </c>
      <c r="C3040" s="12"/>
      <c r="D3040" s="13" t="n">
        <f aca="false">IF(B3040&lt;5,Einstellungen!$B$3,Einstellungen!$B$4)</f>
        <v>29.13</v>
      </c>
      <c r="E3040" s="14" t="str">
        <f aca="false">IF(C3040="","",C3040*D3040/100)</f>
        <v/>
      </c>
      <c r="F3040" s="15" t="str">
        <f aca="false">IF(B3040&lt;5,"Go","Standard")</f>
        <v>Standard</v>
      </c>
    </row>
    <row r="3041" customFormat="false" ht="15" hidden="false" customHeight="true" outlineLevel="0" collapsed="false">
      <c r="A3041" s="10" t="n">
        <f aca="false">Einstellungen!$B$5+INT((ROW()-9)/24)</f>
        <v>46092</v>
      </c>
      <c r="B3041" s="11" t="n">
        <f aca="false">MOD(ROW()-9,24)</f>
        <v>8</v>
      </c>
      <c r="C3041" s="12"/>
      <c r="D3041" s="13" t="n">
        <f aca="false">IF(B3041&lt;5,Einstellungen!$B$3,Einstellungen!$B$4)</f>
        <v>29.13</v>
      </c>
      <c r="E3041" s="14" t="str">
        <f aca="false">IF(C3041="","",C3041*D3041/100)</f>
        <v/>
      </c>
      <c r="F3041" s="15" t="str">
        <f aca="false">IF(B3041&lt;5,"Go","Standard")</f>
        <v>Standard</v>
      </c>
    </row>
    <row r="3042" customFormat="false" ht="15" hidden="false" customHeight="true" outlineLevel="0" collapsed="false">
      <c r="A3042" s="10" t="n">
        <f aca="false">Einstellungen!$B$5+INT((ROW()-9)/24)</f>
        <v>46092</v>
      </c>
      <c r="B3042" s="11" t="n">
        <f aca="false">MOD(ROW()-9,24)</f>
        <v>9</v>
      </c>
      <c r="C3042" s="12"/>
      <c r="D3042" s="13" t="n">
        <f aca="false">IF(B3042&lt;5,Einstellungen!$B$3,Einstellungen!$B$4)</f>
        <v>29.13</v>
      </c>
      <c r="E3042" s="14" t="str">
        <f aca="false">IF(C3042="","",C3042*D3042/100)</f>
        <v/>
      </c>
      <c r="F3042" s="15" t="str">
        <f aca="false">IF(B3042&lt;5,"Go","Standard")</f>
        <v>Standard</v>
      </c>
    </row>
    <row r="3043" customFormat="false" ht="15" hidden="false" customHeight="true" outlineLevel="0" collapsed="false">
      <c r="A3043" s="10" t="n">
        <f aca="false">Einstellungen!$B$5+INT((ROW()-9)/24)</f>
        <v>46092</v>
      </c>
      <c r="B3043" s="11" t="n">
        <f aca="false">MOD(ROW()-9,24)</f>
        <v>10</v>
      </c>
      <c r="C3043" s="12"/>
      <c r="D3043" s="13" t="n">
        <f aca="false">IF(B3043&lt;5,Einstellungen!$B$3,Einstellungen!$B$4)</f>
        <v>29.13</v>
      </c>
      <c r="E3043" s="14" t="str">
        <f aca="false">IF(C3043="","",C3043*D3043/100)</f>
        <v/>
      </c>
      <c r="F3043" s="15" t="str">
        <f aca="false">IF(B3043&lt;5,"Go","Standard")</f>
        <v>Standard</v>
      </c>
    </row>
    <row r="3044" customFormat="false" ht="15" hidden="false" customHeight="true" outlineLevel="0" collapsed="false">
      <c r="A3044" s="10" t="n">
        <f aca="false">Einstellungen!$B$5+INT((ROW()-9)/24)</f>
        <v>46092</v>
      </c>
      <c r="B3044" s="11" t="n">
        <f aca="false">MOD(ROW()-9,24)</f>
        <v>11</v>
      </c>
      <c r="C3044" s="12"/>
      <c r="D3044" s="13" t="n">
        <f aca="false">IF(B3044&lt;5,Einstellungen!$B$3,Einstellungen!$B$4)</f>
        <v>29.13</v>
      </c>
      <c r="E3044" s="14" t="str">
        <f aca="false">IF(C3044="","",C3044*D3044/100)</f>
        <v/>
      </c>
      <c r="F3044" s="15" t="str">
        <f aca="false">IF(B3044&lt;5,"Go","Standard")</f>
        <v>Standard</v>
      </c>
    </row>
    <row r="3045" customFormat="false" ht="15" hidden="false" customHeight="true" outlineLevel="0" collapsed="false">
      <c r="A3045" s="10" t="n">
        <f aca="false">Einstellungen!$B$5+INT((ROW()-9)/24)</f>
        <v>46092</v>
      </c>
      <c r="B3045" s="11" t="n">
        <f aca="false">MOD(ROW()-9,24)</f>
        <v>12</v>
      </c>
      <c r="C3045" s="12"/>
      <c r="D3045" s="13" t="n">
        <f aca="false">IF(B3045&lt;5,Einstellungen!$B$3,Einstellungen!$B$4)</f>
        <v>29.13</v>
      </c>
      <c r="E3045" s="14" t="str">
        <f aca="false">IF(C3045="","",C3045*D3045/100)</f>
        <v/>
      </c>
      <c r="F3045" s="15" t="str">
        <f aca="false">IF(B3045&lt;5,"Go","Standard")</f>
        <v>Standard</v>
      </c>
    </row>
    <row r="3046" customFormat="false" ht="15" hidden="false" customHeight="true" outlineLevel="0" collapsed="false">
      <c r="A3046" s="10" t="n">
        <f aca="false">Einstellungen!$B$5+INT((ROW()-9)/24)</f>
        <v>46092</v>
      </c>
      <c r="B3046" s="11" t="n">
        <f aca="false">MOD(ROW()-9,24)</f>
        <v>13</v>
      </c>
      <c r="C3046" s="12"/>
      <c r="D3046" s="13" t="n">
        <f aca="false">IF(B3046&lt;5,Einstellungen!$B$3,Einstellungen!$B$4)</f>
        <v>29.13</v>
      </c>
      <c r="E3046" s="14" t="str">
        <f aca="false">IF(C3046="","",C3046*D3046/100)</f>
        <v/>
      </c>
      <c r="F3046" s="15" t="str">
        <f aca="false">IF(B3046&lt;5,"Go","Standard")</f>
        <v>Standard</v>
      </c>
    </row>
    <row r="3047" customFormat="false" ht="15" hidden="false" customHeight="true" outlineLevel="0" collapsed="false">
      <c r="A3047" s="10" t="n">
        <f aca="false">Einstellungen!$B$5+INT((ROW()-9)/24)</f>
        <v>46092</v>
      </c>
      <c r="B3047" s="11" t="n">
        <f aca="false">MOD(ROW()-9,24)</f>
        <v>14</v>
      </c>
      <c r="C3047" s="12"/>
      <c r="D3047" s="13" t="n">
        <f aca="false">IF(B3047&lt;5,Einstellungen!$B$3,Einstellungen!$B$4)</f>
        <v>29.13</v>
      </c>
      <c r="E3047" s="14" t="str">
        <f aca="false">IF(C3047="","",C3047*D3047/100)</f>
        <v/>
      </c>
      <c r="F3047" s="15" t="str">
        <f aca="false">IF(B3047&lt;5,"Go","Standard")</f>
        <v>Standard</v>
      </c>
    </row>
    <row r="3048" customFormat="false" ht="15" hidden="false" customHeight="true" outlineLevel="0" collapsed="false">
      <c r="A3048" s="10" t="n">
        <f aca="false">Einstellungen!$B$5+INT((ROW()-9)/24)</f>
        <v>46092</v>
      </c>
      <c r="B3048" s="11" t="n">
        <f aca="false">MOD(ROW()-9,24)</f>
        <v>15</v>
      </c>
      <c r="C3048" s="12"/>
      <c r="D3048" s="13" t="n">
        <f aca="false">IF(B3048&lt;5,Einstellungen!$B$3,Einstellungen!$B$4)</f>
        <v>29.13</v>
      </c>
      <c r="E3048" s="14" t="str">
        <f aca="false">IF(C3048="","",C3048*D3048/100)</f>
        <v/>
      </c>
      <c r="F3048" s="15" t="str">
        <f aca="false">IF(B3048&lt;5,"Go","Standard")</f>
        <v>Standard</v>
      </c>
    </row>
    <row r="3049" customFormat="false" ht="15" hidden="false" customHeight="true" outlineLevel="0" collapsed="false">
      <c r="A3049" s="10" t="n">
        <f aca="false">Einstellungen!$B$5+INT((ROW()-9)/24)</f>
        <v>46092</v>
      </c>
      <c r="B3049" s="11" t="n">
        <f aca="false">MOD(ROW()-9,24)</f>
        <v>16</v>
      </c>
      <c r="C3049" s="12"/>
      <c r="D3049" s="13" t="n">
        <f aca="false">IF(B3049&lt;5,Einstellungen!$B$3,Einstellungen!$B$4)</f>
        <v>29.13</v>
      </c>
      <c r="E3049" s="14" t="str">
        <f aca="false">IF(C3049="","",C3049*D3049/100)</f>
        <v/>
      </c>
      <c r="F3049" s="15" t="str">
        <f aca="false">IF(B3049&lt;5,"Go","Standard")</f>
        <v>Standard</v>
      </c>
    </row>
    <row r="3050" customFormat="false" ht="15" hidden="false" customHeight="true" outlineLevel="0" collapsed="false">
      <c r="A3050" s="10" t="n">
        <f aca="false">Einstellungen!$B$5+INT((ROW()-9)/24)</f>
        <v>46092</v>
      </c>
      <c r="B3050" s="11" t="n">
        <f aca="false">MOD(ROW()-9,24)</f>
        <v>17</v>
      </c>
      <c r="C3050" s="12"/>
      <c r="D3050" s="13" t="n">
        <f aca="false">IF(B3050&lt;5,Einstellungen!$B$3,Einstellungen!$B$4)</f>
        <v>29.13</v>
      </c>
      <c r="E3050" s="14" t="str">
        <f aca="false">IF(C3050="","",C3050*D3050/100)</f>
        <v/>
      </c>
      <c r="F3050" s="15" t="str">
        <f aca="false">IF(B3050&lt;5,"Go","Standard")</f>
        <v>Standard</v>
      </c>
    </row>
    <row r="3051" customFormat="false" ht="15" hidden="false" customHeight="true" outlineLevel="0" collapsed="false">
      <c r="A3051" s="10" t="n">
        <f aca="false">Einstellungen!$B$5+INT((ROW()-9)/24)</f>
        <v>46092</v>
      </c>
      <c r="B3051" s="11" t="n">
        <f aca="false">MOD(ROW()-9,24)</f>
        <v>18</v>
      </c>
      <c r="C3051" s="12"/>
      <c r="D3051" s="13" t="n">
        <f aca="false">IF(B3051&lt;5,Einstellungen!$B$3,Einstellungen!$B$4)</f>
        <v>29.13</v>
      </c>
      <c r="E3051" s="14" t="str">
        <f aca="false">IF(C3051="","",C3051*D3051/100)</f>
        <v/>
      </c>
      <c r="F3051" s="15" t="str">
        <f aca="false">IF(B3051&lt;5,"Go","Standard")</f>
        <v>Standard</v>
      </c>
    </row>
    <row r="3052" customFormat="false" ht="15" hidden="false" customHeight="true" outlineLevel="0" collapsed="false">
      <c r="A3052" s="10" t="n">
        <f aca="false">Einstellungen!$B$5+INT((ROW()-9)/24)</f>
        <v>46092</v>
      </c>
      <c r="B3052" s="11" t="n">
        <f aca="false">MOD(ROW()-9,24)</f>
        <v>19</v>
      </c>
      <c r="C3052" s="12"/>
      <c r="D3052" s="13" t="n">
        <f aca="false">IF(B3052&lt;5,Einstellungen!$B$3,Einstellungen!$B$4)</f>
        <v>29.13</v>
      </c>
      <c r="E3052" s="14" t="str">
        <f aca="false">IF(C3052="","",C3052*D3052/100)</f>
        <v/>
      </c>
      <c r="F3052" s="15" t="str">
        <f aca="false">IF(B3052&lt;5,"Go","Standard")</f>
        <v>Standard</v>
      </c>
    </row>
    <row r="3053" customFormat="false" ht="15" hidden="false" customHeight="true" outlineLevel="0" collapsed="false">
      <c r="A3053" s="10" t="n">
        <f aca="false">Einstellungen!$B$5+INT((ROW()-9)/24)</f>
        <v>46092</v>
      </c>
      <c r="B3053" s="11" t="n">
        <f aca="false">MOD(ROW()-9,24)</f>
        <v>20</v>
      </c>
      <c r="C3053" s="12"/>
      <c r="D3053" s="13" t="n">
        <f aca="false">IF(B3053&lt;5,Einstellungen!$B$3,Einstellungen!$B$4)</f>
        <v>29.13</v>
      </c>
      <c r="E3053" s="14" t="str">
        <f aca="false">IF(C3053="","",C3053*D3053/100)</f>
        <v/>
      </c>
      <c r="F3053" s="15" t="str">
        <f aca="false">IF(B3053&lt;5,"Go","Standard")</f>
        <v>Standard</v>
      </c>
    </row>
    <row r="3054" customFormat="false" ht="15" hidden="false" customHeight="true" outlineLevel="0" collapsed="false">
      <c r="A3054" s="10" t="n">
        <f aca="false">Einstellungen!$B$5+INT((ROW()-9)/24)</f>
        <v>46092</v>
      </c>
      <c r="B3054" s="11" t="n">
        <f aca="false">MOD(ROW()-9,24)</f>
        <v>21</v>
      </c>
      <c r="C3054" s="12"/>
      <c r="D3054" s="13" t="n">
        <f aca="false">IF(B3054&lt;5,Einstellungen!$B$3,Einstellungen!$B$4)</f>
        <v>29.13</v>
      </c>
      <c r="E3054" s="14" t="str">
        <f aca="false">IF(C3054="","",C3054*D3054/100)</f>
        <v/>
      </c>
      <c r="F3054" s="15" t="str">
        <f aca="false">IF(B3054&lt;5,"Go","Standard")</f>
        <v>Standard</v>
      </c>
    </row>
    <row r="3055" customFormat="false" ht="15" hidden="false" customHeight="true" outlineLevel="0" collapsed="false">
      <c r="A3055" s="10" t="n">
        <f aca="false">Einstellungen!$B$5+INT((ROW()-9)/24)</f>
        <v>46092</v>
      </c>
      <c r="B3055" s="11" t="n">
        <f aca="false">MOD(ROW()-9,24)</f>
        <v>22</v>
      </c>
      <c r="C3055" s="12"/>
      <c r="D3055" s="13" t="n">
        <f aca="false">IF(B3055&lt;5,Einstellungen!$B$3,Einstellungen!$B$4)</f>
        <v>29.13</v>
      </c>
      <c r="E3055" s="14" t="str">
        <f aca="false">IF(C3055="","",C3055*D3055/100)</f>
        <v/>
      </c>
      <c r="F3055" s="15" t="str">
        <f aca="false">IF(B3055&lt;5,"Go","Standard")</f>
        <v>Standard</v>
      </c>
    </row>
    <row r="3056" customFormat="false" ht="15" hidden="false" customHeight="true" outlineLevel="0" collapsed="false">
      <c r="A3056" s="10" t="n">
        <f aca="false">Einstellungen!$B$5+INT((ROW()-9)/24)</f>
        <v>46092</v>
      </c>
      <c r="B3056" s="11" t="n">
        <f aca="false">MOD(ROW()-9,24)</f>
        <v>23</v>
      </c>
      <c r="C3056" s="12"/>
      <c r="D3056" s="13" t="n">
        <f aca="false">IF(B3056&lt;5,Einstellungen!$B$3,Einstellungen!$B$4)</f>
        <v>29.13</v>
      </c>
      <c r="E3056" s="14" t="str">
        <f aca="false">IF(C3056="","",C3056*D3056/100)</f>
        <v/>
      </c>
      <c r="F3056" s="15" t="str">
        <f aca="false">IF(B3056&lt;5,"Go","Standard")</f>
        <v>Standard</v>
      </c>
    </row>
    <row r="3057" customFormat="false" ht="15" hidden="false" customHeight="true" outlineLevel="0" collapsed="false">
      <c r="A3057" s="10" t="n">
        <f aca="false">Einstellungen!$B$5+INT((ROW()-9)/24)</f>
        <v>46093</v>
      </c>
      <c r="B3057" s="11" t="n">
        <f aca="false">MOD(ROW()-9,24)</f>
        <v>0</v>
      </c>
      <c r="C3057" s="12"/>
      <c r="D3057" s="13" t="n">
        <f aca="false">IF(B3057&lt;5,Einstellungen!$B$3,Einstellungen!$B$4)</f>
        <v>15.92</v>
      </c>
      <c r="E3057" s="14" t="str">
        <f aca="false">IF(C3057="","",C3057*D3057/100)</f>
        <v/>
      </c>
      <c r="F3057" s="15" t="str">
        <f aca="false">IF(B3057&lt;5,"Go","Standard")</f>
        <v>Go</v>
      </c>
    </row>
    <row r="3058" customFormat="false" ht="15" hidden="false" customHeight="true" outlineLevel="0" collapsed="false">
      <c r="A3058" s="10" t="n">
        <f aca="false">Einstellungen!$B$5+INT((ROW()-9)/24)</f>
        <v>46093</v>
      </c>
      <c r="B3058" s="11" t="n">
        <f aca="false">MOD(ROW()-9,24)</f>
        <v>1</v>
      </c>
      <c r="C3058" s="12"/>
      <c r="D3058" s="13" t="n">
        <f aca="false">IF(B3058&lt;5,Einstellungen!$B$3,Einstellungen!$B$4)</f>
        <v>15.92</v>
      </c>
      <c r="E3058" s="14" t="str">
        <f aca="false">IF(C3058="","",C3058*D3058/100)</f>
        <v/>
      </c>
      <c r="F3058" s="15" t="str">
        <f aca="false">IF(B3058&lt;5,"Go","Standard")</f>
        <v>Go</v>
      </c>
    </row>
    <row r="3059" customFormat="false" ht="15" hidden="false" customHeight="true" outlineLevel="0" collapsed="false">
      <c r="A3059" s="10" t="n">
        <f aca="false">Einstellungen!$B$5+INT((ROW()-9)/24)</f>
        <v>46093</v>
      </c>
      <c r="B3059" s="11" t="n">
        <f aca="false">MOD(ROW()-9,24)</f>
        <v>2</v>
      </c>
      <c r="C3059" s="12"/>
      <c r="D3059" s="13" t="n">
        <f aca="false">IF(B3059&lt;5,Einstellungen!$B$3,Einstellungen!$B$4)</f>
        <v>15.92</v>
      </c>
      <c r="E3059" s="14" t="str">
        <f aca="false">IF(C3059="","",C3059*D3059/100)</f>
        <v/>
      </c>
      <c r="F3059" s="15" t="str">
        <f aca="false">IF(B3059&lt;5,"Go","Standard")</f>
        <v>Go</v>
      </c>
    </row>
    <row r="3060" customFormat="false" ht="15" hidden="false" customHeight="true" outlineLevel="0" collapsed="false">
      <c r="A3060" s="10" t="n">
        <f aca="false">Einstellungen!$B$5+INT((ROW()-9)/24)</f>
        <v>46093</v>
      </c>
      <c r="B3060" s="11" t="n">
        <f aca="false">MOD(ROW()-9,24)</f>
        <v>3</v>
      </c>
      <c r="C3060" s="12"/>
      <c r="D3060" s="13" t="n">
        <f aca="false">IF(B3060&lt;5,Einstellungen!$B$3,Einstellungen!$B$4)</f>
        <v>15.92</v>
      </c>
      <c r="E3060" s="14" t="str">
        <f aca="false">IF(C3060="","",C3060*D3060/100)</f>
        <v/>
      </c>
      <c r="F3060" s="15" t="str">
        <f aca="false">IF(B3060&lt;5,"Go","Standard")</f>
        <v>Go</v>
      </c>
    </row>
    <row r="3061" customFormat="false" ht="15" hidden="false" customHeight="true" outlineLevel="0" collapsed="false">
      <c r="A3061" s="10" t="n">
        <f aca="false">Einstellungen!$B$5+INT((ROW()-9)/24)</f>
        <v>46093</v>
      </c>
      <c r="B3061" s="11" t="n">
        <f aca="false">MOD(ROW()-9,24)</f>
        <v>4</v>
      </c>
      <c r="C3061" s="12"/>
      <c r="D3061" s="13" t="n">
        <f aca="false">IF(B3061&lt;5,Einstellungen!$B$3,Einstellungen!$B$4)</f>
        <v>15.92</v>
      </c>
      <c r="E3061" s="14" t="str">
        <f aca="false">IF(C3061="","",C3061*D3061/100)</f>
        <v/>
      </c>
      <c r="F3061" s="15" t="str">
        <f aca="false">IF(B3061&lt;5,"Go","Standard")</f>
        <v>Go</v>
      </c>
    </row>
    <row r="3062" customFormat="false" ht="15" hidden="false" customHeight="true" outlineLevel="0" collapsed="false">
      <c r="A3062" s="10" t="n">
        <f aca="false">Einstellungen!$B$5+INT((ROW()-9)/24)</f>
        <v>46093</v>
      </c>
      <c r="B3062" s="11" t="n">
        <f aca="false">MOD(ROW()-9,24)</f>
        <v>5</v>
      </c>
      <c r="C3062" s="12"/>
      <c r="D3062" s="13" t="n">
        <f aca="false">IF(B3062&lt;5,Einstellungen!$B$3,Einstellungen!$B$4)</f>
        <v>29.13</v>
      </c>
      <c r="E3062" s="14" t="str">
        <f aca="false">IF(C3062="","",C3062*D3062/100)</f>
        <v/>
      </c>
      <c r="F3062" s="15" t="str">
        <f aca="false">IF(B3062&lt;5,"Go","Standard")</f>
        <v>Standard</v>
      </c>
    </row>
    <row r="3063" customFormat="false" ht="15" hidden="false" customHeight="true" outlineLevel="0" collapsed="false">
      <c r="A3063" s="10" t="n">
        <f aca="false">Einstellungen!$B$5+INT((ROW()-9)/24)</f>
        <v>46093</v>
      </c>
      <c r="B3063" s="11" t="n">
        <f aca="false">MOD(ROW()-9,24)</f>
        <v>6</v>
      </c>
      <c r="C3063" s="12"/>
      <c r="D3063" s="13" t="n">
        <f aca="false">IF(B3063&lt;5,Einstellungen!$B$3,Einstellungen!$B$4)</f>
        <v>29.13</v>
      </c>
      <c r="E3063" s="14" t="str">
        <f aca="false">IF(C3063="","",C3063*D3063/100)</f>
        <v/>
      </c>
      <c r="F3063" s="15" t="str">
        <f aca="false">IF(B3063&lt;5,"Go","Standard")</f>
        <v>Standard</v>
      </c>
    </row>
    <row r="3064" customFormat="false" ht="15" hidden="false" customHeight="true" outlineLevel="0" collapsed="false">
      <c r="A3064" s="10" t="n">
        <f aca="false">Einstellungen!$B$5+INT((ROW()-9)/24)</f>
        <v>46093</v>
      </c>
      <c r="B3064" s="11" t="n">
        <f aca="false">MOD(ROW()-9,24)</f>
        <v>7</v>
      </c>
      <c r="C3064" s="12"/>
      <c r="D3064" s="13" t="n">
        <f aca="false">IF(B3064&lt;5,Einstellungen!$B$3,Einstellungen!$B$4)</f>
        <v>29.13</v>
      </c>
      <c r="E3064" s="14" t="str">
        <f aca="false">IF(C3064="","",C3064*D3064/100)</f>
        <v/>
      </c>
      <c r="F3064" s="15" t="str">
        <f aca="false">IF(B3064&lt;5,"Go","Standard")</f>
        <v>Standard</v>
      </c>
    </row>
    <row r="3065" customFormat="false" ht="15" hidden="false" customHeight="true" outlineLevel="0" collapsed="false">
      <c r="A3065" s="10" t="n">
        <f aca="false">Einstellungen!$B$5+INT((ROW()-9)/24)</f>
        <v>46093</v>
      </c>
      <c r="B3065" s="11" t="n">
        <f aca="false">MOD(ROW()-9,24)</f>
        <v>8</v>
      </c>
      <c r="C3065" s="12"/>
      <c r="D3065" s="13" t="n">
        <f aca="false">IF(B3065&lt;5,Einstellungen!$B$3,Einstellungen!$B$4)</f>
        <v>29.13</v>
      </c>
      <c r="E3065" s="14" t="str">
        <f aca="false">IF(C3065="","",C3065*D3065/100)</f>
        <v/>
      </c>
      <c r="F3065" s="15" t="str">
        <f aca="false">IF(B3065&lt;5,"Go","Standard")</f>
        <v>Standard</v>
      </c>
    </row>
    <row r="3066" customFormat="false" ht="15" hidden="false" customHeight="true" outlineLevel="0" collapsed="false">
      <c r="A3066" s="10" t="n">
        <f aca="false">Einstellungen!$B$5+INT((ROW()-9)/24)</f>
        <v>46093</v>
      </c>
      <c r="B3066" s="11" t="n">
        <f aca="false">MOD(ROW()-9,24)</f>
        <v>9</v>
      </c>
      <c r="C3066" s="12"/>
      <c r="D3066" s="13" t="n">
        <f aca="false">IF(B3066&lt;5,Einstellungen!$B$3,Einstellungen!$B$4)</f>
        <v>29.13</v>
      </c>
      <c r="E3066" s="14" t="str">
        <f aca="false">IF(C3066="","",C3066*D3066/100)</f>
        <v/>
      </c>
      <c r="F3066" s="15" t="str">
        <f aca="false">IF(B3066&lt;5,"Go","Standard")</f>
        <v>Standard</v>
      </c>
    </row>
    <row r="3067" customFormat="false" ht="15" hidden="false" customHeight="true" outlineLevel="0" collapsed="false">
      <c r="A3067" s="10" t="n">
        <f aca="false">Einstellungen!$B$5+INT((ROW()-9)/24)</f>
        <v>46093</v>
      </c>
      <c r="B3067" s="11" t="n">
        <f aca="false">MOD(ROW()-9,24)</f>
        <v>10</v>
      </c>
      <c r="C3067" s="12"/>
      <c r="D3067" s="13" t="n">
        <f aca="false">IF(B3067&lt;5,Einstellungen!$B$3,Einstellungen!$B$4)</f>
        <v>29.13</v>
      </c>
      <c r="E3067" s="14" t="str">
        <f aca="false">IF(C3067="","",C3067*D3067/100)</f>
        <v/>
      </c>
      <c r="F3067" s="15" t="str">
        <f aca="false">IF(B3067&lt;5,"Go","Standard")</f>
        <v>Standard</v>
      </c>
    </row>
    <row r="3068" customFormat="false" ht="15" hidden="false" customHeight="true" outlineLevel="0" collapsed="false">
      <c r="A3068" s="10" t="n">
        <f aca="false">Einstellungen!$B$5+INT((ROW()-9)/24)</f>
        <v>46093</v>
      </c>
      <c r="B3068" s="11" t="n">
        <f aca="false">MOD(ROW()-9,24)</f>
        <v>11</v>
      </c>
      <c r="C3068" s="12"/>
      <c r="D3068" s="13" t="n">
        <f aca="false">IF(B3068&lt;5,Einstellungen!$B$3,Einstellungen!$B$4)</f>
        <v>29.13</v>
      </c>
      <c r="E3068" s="14" t="str">
        <f aca="false">IF(C3068="","",C3068*D3068/100)</f>
        <v/>
      </c>
      <c r="F3068" s="15" t="str">
        <f aca="false">IF(B3068&lt;5,"Go","Standard")</f>
        <v>Standard</v>
      </c>
    </row>
    <row r="3069" customFormat="false" ht="15" hidden="false" customHeight="true" outlineLevel="0" collapsed="false">
      <c r="A3069" s="10" t="n">
        <f aca="false">Einstellungen!$B$5+INT((ROW()-9)/24)</f>
        <v>46093</v>
      </c>
      <c r="B3069" s="11" t="n">
        <f aca="false">MOD(ROW()-9,24)</f>
        <v>12</v>
      </c>
      <c r="C3069" s="12"/>
      <c r="D3069" s="13" t="n">
        <f aca="false">IF(B3069&lt;5,Einstellungen!$B$3,Einstellungen!$B$4)</f>
        <v>29.13</v>
      </c>
      <c r="E3069" s="14" t="str">
        <f aca="false">IF(C3069="","",C3069*D3069/100)</f>
        <v/>
      </c>
      <c r="F3069" s="15" t="str">
        <f aca="false">IF(B3069&lt;5,"Go","Standard")</f>
        <v>Standard</v>
      </c>
    </row>
    <row r="3070" customFormat="false" ht="15" hidden="false" customHeight="true" outlineLevel="0" collapsed="false">
      <c r="A3070" s="10" t="n">
        <f aca="false">Einstellungen!$B$5+INT((ROW()-9)/24)</f>
        <v>46093</v>
      </c>
      <c r="B3070" s="11" t="n">
        <f aca="false">MOD(ROW()-9,24)</f>
        <v>13</v>
      </c>
      <c r="C3070" s="12"/>
      <c r="D3070" s="13" t="n">
        <f aca="false">IF(B3070&lt;5,Einstellungen!$B$3,Einstellungen!$B$4)</f>
        <v>29.13</v>
      </c>
      <c r="E3070" s="14" t="str">
        <f aca="false">IF(C3070="","",C3070*D3070/100)</f>
        <v/>
      </c>
      <c r="F3070" s="15" t="str">
        <f aca="false">IF(B3070&lt;5,"Go","Standard")</f>
        <v>Standard</v>
      </c>
    </row>
    <row r="3071" customFormat="false" ht="15" hidden="false" customHeight="true" outlineLevel="0" collapsed="false">
      <c r="A3071" s="10" t="n">
        <f aca="false">Einstellungen!$B$5+INT((ROW()-9)/24)</f>
        <v>46093</v>
      </c>
      <c r="B3071" s="11" t="n">
        <f aca="false">MOD(ROW()-9,24)</f>
        <v>14</v>
      </c>
      <c r="C3071" s="12"/>
      <c r="D3071" s="13" t="n">
        <f aca="false">IF(B3071&lt;5,Einstellungen!$B$3,Einstellungen!$B$4)</f>
        <v>29.13</v>
      </c>
      <c r="E3071" s="14" t="str">
        <f aca="false">IF(C3071="","",C3071*D3071/100)</f>
        <v/>
      </c>
      <c r="F3071" s="15" t="str">
        <f aca="false">IF(B3071&lt;5,"Go","Standard")</f>
        <v>Standard</v>
      </c>
    </row>
    <row r="3072" customFormat="false" ht="15" hidden="false" customHeight="true" outlineLevel="0" collapsed="false">
      <c r="A3072" s="10" t="n">
        <f aca="false">Einstellungen!$B$5+INT((ROW()-9)/24)</f>
        <v>46093</v>
      </c>
      <c r="B3072" s="11" t="n">
        <f aca="false">MOD(ROW()-9,24)</f>
        <v>15</v>
      </c>
      <c r="C3072" s="12"/>
      <c r="D3072" s="13" t="n">
        <f aca="false">IF(B3072&lt;5,Einstellungen!$B$3,Einstellungen!$B$4)</f>
        <v>29.13</v>
      </c>
      <c r="E3072" s="14" t="str">
        <f aca="false">IF(C3072="","",C3072*D3072/100)</f>
        <v/>
      </c>
      <c r="F3072" s="15" t="str">
        <f aca="false">IF(B3072&lt;5,"Go","Standard")</f>
        <v>Standard</v>
      </c>
    </row>
    <row r="3073" customFormat="false" ht="15" hidden="false" customHeight="true" outlineLevel="0" collapsed="false">
      <c r="A3073" s="10" t="n">
        <f aca="false">Einstellungen!$B$5+INT((ROW()-9)/24)</f>
        <v>46093</v>
      </c>
      <c r="B3073" s="11" t="n">
        <f aca="false">MOD(ROW()-9,24)</f>
        <v>16</v>
      </c>
      <c r="C3073" s="12"/>
      <c r="D3073" s="13" t="n">
        <f aca="false">IF(B3073&lt;5,Einstellungen!$B$3,Einstellungen!$B$4)</f>
        <v>29.13</v>
      </c>
      <c r="E3073" s="14" t="str">
        <f aca="false">IF(C3073="","",C3073*D3073/100)</f>
        <v/>
      </c>
      <c r="F3073" s="15" t="str">
        <f aca="false">IF(B3073&lt;5,"Go","Standard")</f>
        <v>Standard</v>
      </c>
    </row>
    <row r="3074" customFormat="false" ht="15" hidden="false" customHeight="true" outlineLevel="0" collapsed="false">
      <c r="A3074" s="10" t="n">
        <f aca="false">Einstellungen!$B$5+INT((ROW()-9)/24)</f>
        <v>46093</v>
      </c>
      <c r="B3074" s="11" t="n">
        <f aca="false">MOD(ROW()-9,24)</f>
        <v>17</v>
      </c>
      <c r="C3074" s="12"/>
      <c r="D3074" s="13" t="n">
        <f aca="false">IF(B3074&lt;5,Einstellungen!$B$3,Einstellungen!$B$4)</f>
        <v>29.13</v>
      </c>
      <c r="E3074" s="14" t="str">
        <f aca="false">IF(C3074="","",C3074*D3074/100)</f>
        <v/>
      </c>
      <c r="F3074" s="15" t="str">
        <f aca="false">IF(B3074&lt;5,"Go","Standard")</f>
        <v>Standard</v>
      </c>
    </row>
    <row r="3075" customFormat="false" ht="15" hidden="false" customHeight="true" outlineLevel="0" collapsed="false">
      <c r="A3075" s="10" t="n">
        <f aca="false">Einstellungen!$B$5+INT((ROW()-9)/24)</f>
        <v>46093</v>
      </c>
      <c r="B3075" s="11" t="n">
        <f aca="false">MOD(ROW()-9,24)</f>
        <v>18</v>
      </c>
      <c r="C3075" s="12"/>
      <c r="D3075" s="13" t="n">
        <f aca="false">IF(B3075&lt;5,Einstellungen!$B$3,Einstellungen!$B$4)</f>
        <v>29.13</v>
      </c>
      <c r="E3075" s="14" t="str">
        <f aca="false">IF(C3075="","",C3075*D3075/100)</f>
        <v/>
      </c>
      <c r="F3075" s="15" t="str">
        <f aca="false">IF(B3075&lt;5,"Go","Standard")</f>
        <v>Standard</v>
      </c>
    </row>
    <row r="3076" customFormat="false" ht="15" hidden="false" customHeight="true" outlineLevel="0" collapsed="false">
      <c r="A3076" s="10" t="n">
        <f aca="false">Einstellungen!$B$5+INT((ROW()-9)/24)</f>
        <v>46093</v>
      </c>
      <c r="B3076" s="11" t="n">
        <f aca="false">MOD(ROW()-9,24)</f>
        <v>19</v>
      </c>
      <c r="C3076" s="12"/>
      <c r="D3076" s="13" t="n">
        <f aca="false">IF(B3076&lt;5,Einstellungen!$B$3,Einstellungen!$B$4)</f>
        <v>29.13</v>
      </c>
      <c r="E3076" s="14" t="str">
        <f aca="false">IF(C3076="","",C3076*D3076/100)</f>
        <v/>
      </c>
      <c r="F3076" s="15" t="str">
        <f aca="false">IF(B3076&lt;5,"Go","Standard")</f>
        <v>Standard</v>
      </c>
    </row>
    <row r="3077" customFormat="false" ht="15" hidden="false" customHeight="true" outlineLevel="0" collapsed="false">
      <c r="A3077" s="10" t="n">
        <f aca="false">Einstellungen!$B$5+INT((ROW()-9)/24)</f>
        <v>46093</v>
      </c>
      <c r="B3077" s="11" t="n">
        <f aca="false">MOD(ROW()-9,24)</f>
        <v>20</v>
      </c>
      <c r="C3077" s="12"/>
      <c r="D3077" s="13" t="n">
        <f aca="false">IF(B3077&lt;5,Einstellungen!$B$3,Einstellungen!$B$4)</f>
        <v>29.13</v>
      </c>
      <c r="E3077" s="14" t="str">
        <f aca="false">IF(C3077="","",C3077*D3077/100)</f>
        <v/>
      </c>
      <c r="F3077" s="15" t="str">
        <f aca="false">IF(B3077&lt;5,"Go","Standard")</f>
        <v>Standard</v>
      </c>
    </row>
    <row r="3078" customFormat="false" ht="15" hidden="false" customHeight="true" outlineLevel="0" collapsed="false">
      <c r="A3078" s="10" t="n">
        <f aca="false">Einstellungen!$B$5+INT((ROW()-9)/24)</f>
        <v>46093</v>
      </c>
      <c r="B3078" s="11" t="n">
        <f aca="false">MOD(ROW()-9,24)</f>
        <v>21</v>
      </c>
      <c r="C3078" s="12"/>
      <c r="D3078" s="13" t="n">
        <f aca="false">IF(B3078&lt;5,Einstellungen!$B$3,Einstellungen!$B$4)</f>
        <v>29.13</v>
      </c>
      <c r="E3078" s="14" t="str">
        <f aca="false">IF(C3078="","",C3078*D3078/100)</f>
        <v/>
      </c>
      <c r="F3078" s="15" t="str">
        <f aca="false">IF(B3078&lt;5,"Go","Standard")</f>
        <v>Standard</v>
      </c>
    </row>
    <row r="3079" customFormat="false" ht="15" hidden="false" customHeight="true" outlineLevel="0" collapsed="false">
      <c r="A3079" s="10" t="n">
        <f aca="false">Einstellungen!$B$5+INT((ROW()-9)/24)</f>
        <v>46093</v>
      </c>
      <c r="B3079" s="11" t="n">
        <f aca="false">MOD(ROW()-9,24)</f>
        <v>22</v>
      </c>
      <c r="C3079" s="12"/>
      <c r="D3079" s="13" t="n">
        <f aca="false">IF(B3079&lt;5,Einstellungen!$B$3,Einstellungen!$B$4)</f>
        <v>29.13</v>
      </c>
      <c r="E3079" s="14" t="str">
        <f aca="false">IF(C3079="","",C3079*D3079/100)</f>
        <v/>
      </c>
      <c r="F3079" s="15" t="str">
        <f aca="false">IF(B3079&lt;5,"Go","Standard")</f>
        <v>Standard</v>
      </c>
    </row>
    <row r="3080" customFormat="false" ht="15" hidden="false" customHeight="true" outlineLevel="0" collapsed="false">
      <c r="A3080" s="10" t="n">
        <f aca="false">Einstellungen!$B$5+INT((ROW()-9)/24)</f>
        <v>46093</v>
      </c>
      <c r="B3080" s="11" t="n">
        <f aca="false">MOD(ROW()-9,24)</f>
        <v>23</v>
      </c>
      <c r="C3080" s="12"/>
      <c r="D3080" s="13" t="n">
        <f aca="false">IF(B3080&lt;5,Einstellungen!$B$3,Einstellungen!$B$4)</f>
        <v>29.13</v>
      </c>
      <c r="E3080" s="14" t="str">
        <f aca="false">IF(C3080="","",C3080*D3080/100)</f>
        <v/>
      </c>
      <c r="F3080" s="15" t="str">
        <f aca="false">IF(B3080&lt;5,"Go","Standard")</f>
        <v>Standard</v>
      </c>
    </row>
    <row r="3081" customFormat="false" ht="15" hidden="false" customHeight="true" outlineLevel="0" collapsed="false">
      <c r="A3081" s="10" t="n">
        <f aca="false">Einstellungen!$B$5+INT((ROW()-9)/24)</f>
        <v>46094</v>
      </c>
      <c r="B3081" s="11" t="n">
        <f aca="false">MOD(ROW()-9,24)</f>
        <v>0</v>
      </c>
      <c r="C3081" s="12"/>
      <c r="D3081" s="13" t="n">
        <f aca="false">IF(B3081&lt;5,Einstellungen!$B$3,Einstellungen!$B$4)</f>
        <v>15.92</v>
      </c>
      <c r="E3081" s="14" t="str">
        <f aca="false">IF(C3081="","",C3081*D3081/100)</f>
        <v/>
      </c>
      <c r="F3081" s="15" t="str">
        <f aca="false">IF(B3081&lt;5,"Go","Standard")</f>
        <v>Go</v>
      </c>
    </row>
    <row r="3082" customFormat="false" ht="15" hidden="false" customHeight="true" outlineLevel="0" collapsed="false">
      <c r="A3082" s="10" t="n">
        <f aca="false">Einstellungen!$B$5+INT((ROW()-9)/24)</f>
        <v>46094</v>
      </c>
      <c r="B3082" s="11" t="n">
        <f aca="false">MOD(ROW()-9,24)</f>
        <v>1</v>
      </c>
      <c r="C3082" s="12"/>
      <c r="D3082" s="13" t="n">
        <f aca="false">IF(B3082&lt;5,Einstellungen!$B$3,Einstellungen!$B$4)</f>
        <v>15.92</v>
      </c>
      <c r="E3082" s="14" t="str">
        <f aca="false">IF(C3082="","",C3082*D3082/100)</f>
        <v/>
      </c>
      <c r="F3082" s="15" t="str">
        <f aca="false">IF(B3082&lt;5,"Go","Standard")</f>
        <v>Go</v>
      </c>
    </row>
    <row r="3083" customFormat="false" ht="15" hidden="false" customHeight="true" outlineLevel="0" collapsed="false">
      <c r="A3083" s="10" t="n">
        <f aca="false">Einstellungen!$B$5+INT((ROW()-9)/24)</f>
        <v>46094</v>
      </c>
      <c r="B3083" s="11" t="n">
        <f aca="false">MOD(ROW()-9,24)</f>
        <v>2</v>
      </c>
      <c r="C3083" s="12"/>
      <c r="D3083" s="13" t="n">
        <f aca="false">IF(B3083&lt;5,Einstellungen!$B$3,Einstellungen!$B$4)</f>
        <v>15.92</v>
      </c>
      <c r="E3083" s="14" t="str">
        <f aca="false">IF(C3083="","",C3083*D3083/100)</f>
        <v/>
      </c>
      <c r="F3083" s="15" t="str">
        <f aca="false">IF(B3083&lt;5,"Go","Standard")</f>
        <v>Go</v>
      </c>
    </row>
    <row r="3084" customFormat="false" ht="15" hidden="false" customHeight="true" outlineLevel="0" collapsed="false">
      <c r="A3084" s="10" t="n">
        <f aca="false">Einstellungen!$B$5+INT((ROW()-9)/24)</f>
        <v>46094</v>
      </c>
      <c r="B3084" s="11" t="n">
        <f aca="false">MOD(ROW()-9,24)</f>
        <v>3</v>
      </c>
      <c r="C3084" s="12"/>
      <c r="D3084" s="13" t="n">
        <f aca="false">IF(B3084&lt;5,Einstellungen!$B$3,Einstellungen!$B$4)</f>
        <v>15.92</v>
      </c>
      <c r="E3084" s="14" t="str">
        <f aca="false">IF(C3084="","",C3084*D3084/100)</f>
        <v/>
      </c>
      <c r="F3084" s="15" t="str">
        <f aca="false">IF(B3084&lt;5,"Go","Standard")</f>
        <v>Go</v>
      </c>
    </row>
    <row r="3085" customFormat="false" ht="15" hidden="false" customHeight="true" outlineLevel="0" collapsed="false">
      <c r="A3085" s="10" t="n">
        <f aca="false">Einstellungen!$B$5+INT((ROW()-9)/24)</f>
        <v>46094</v>
      </c>
      <c r="B3085" s="11" t="n">
        <f aca="false">MOD(ROW()-9,24)</f>
        <v>4</v>
      </c>
      <c r="C3085" s="12"/>
      <c r="D3085" s="13" t="n">
        <f aca="false">IF(B3085&lt;5,Einstellungen!$B$3,Einstellungen!$B$4)</f>
        <v>15.92</v>
      </c>
      <c r="E3085" s="14" t="str">
        <f aca="false">IF(C3085="","",C3085*D3085/100)</f>
        <v/>
      </c>
      <c r="F3085" s="15" t="str">
        <f aca="false">IF(B3085&lt;5,"Go","Standard")</f>
        <v>Go</v>
      </c>
    </row>
    <row r="3086" customFormat="false" ht="15" hidden="false" customHeight="true" outlineLevel="0" collapsed="false">
      <c r="A3086" s="10" t="n">
        <f aca="false">Einstellungen!$B$5+INT((ROW()-9)/24)</f>
        <v>46094</v>
      </c>
      <c r="B3086" s="11" t="n">
        <f aca="false">MOD(ROW()-9,24)</f>
        <v>5</v>
      </c>
      <c r="C3086" s="12"/>
      <c r="D3086" s="13" t="n">
        <f aca="false">IF(B3086&lt;5,Einstellungen!$B$3,Einstellungen!$B$4)</f>
        <v>29.13</v>
      </c>
      <c r="E3086" s="14" t="str">
        <f aca="false">IF(C3086="","",C3086*D3086/100)</f>
        <v/>
      </c>
      <c r="F3086" s="15" t="str">
        <f aca="false">IF(B3086&lt;5,"Go","Standard")</f>
        <v>Standard</v>
      </c>
    </row>
    <row r="3087" customFormat="false" ht="15" hidden="false" customHeight="true" outlineLevel="0" collapsed="false">
      <c r="A3087" s="10" t="n">
        <f aca="false">Einstellungen!$B$5+INT((ROW()-9)/24)</f>
        <v>46094</v>
      </c>
      <c r="B3087" s="11" t="n">
        <f aca="false">MOD(ROW()-9,24)</f>
        <v>6</v>
      </c>
      <c r="C3087" s="12"/>
      <c r="D3087" s="13" t="n">
        <f aca="false">IF(B3087&lt;5,Einstellungen!$B$3,Einstellungen!$B$4)</f>
        <v>29.13</v>
      </c>
      <c r="E3087" s="14" t="str">
        <f aca="false">IF(C3087="","",C3087*D3087/100)</f>
        <v/>
      </c>
      <c r="F3087" s="15" t="str">
        <f aca="false">IF(B3087&lt;5,"Go","Standard")</f>
        <v>Standard</v>
      </c>
    </row>
    <row r="3088" customFormat="false" ht="15" hidden="false" customHeight="true" outlineLevel="0" collapsed="false">
      <c r="A3088" s="10" t="n">
        <f aca="false">Einstellungen!$B$5+INT((ROW()-9)/24)</f>
        <v>46094</v>
      </c>
      <c r="B3088" s="11" t="n">
        <f aca="false">MOD(ROW()-9,24)</f>
        <v>7</v>
      </c>
      <c r="C3088" s="12"/>
      <c r="D3088" s="13" t="n">
        <f aca="false">IF(B3088&lt;5,Einstellungen!$B$3,Einstellungen!$B$4)</f>
        <v>29.13</v>
      </c>
      <c r="E3088" s="14" t="str">
        <f aca="false">IF(C3088="","",C3088*D3088/100)</f>
        <v/>
      </c>
      <c r="F3088" s="15" t="str">
        <f aca="false">IF(B3088&lt;5,"Go","Standard")</f>
        <v>Standard</v>
      </c>
    </row>
    <row r="3089" customFormat="false" ht="15" hidden="false" customHeight="true" outlineLevel="0" collapsed="false">
      <c r="A3089" s="10" t="n">
        <f aca="false">Einstellungen!$B$5+INT((ROW()-9)/24)</f>
        <v>46094</v>
      </c>
      <c r="B3089" s="11" t="n">
        <f aca="false">MOD(ROW()-9,24)</f>
        <v>8</v>
      </c>
      <c r="C3089" s="12"/>
      <c r="D3089" s="13" t="n">
        <f aca="false">IF(B3089&lt;5,Einstellungen!$B$3,Einstellungen!$B$4)</f>
        <v>29.13</v>
      </c>
      <c r="E3089" s="14" t="str">
        <f aca="false">IF(C3089="","",C3089*D3089/100)</f>
        <v/>
      </c>
      <c r="F3089" s="15" t="str">
        <f aca="false">IF(B3089&lt;5,"Go","Standard")</f>
        <v>Standard</v>
      </c>
    </row>
    <row r="3090" customFormat="false" ht="15" hidden="false" customHeight="true" outlineLevel="0" collapsed="false">
      <c r="A3090" s="10" t="n">
        <f aca="false">Einstellungen!$B$5+INT((ROW()-9)/24)</f>
        <v>46094</v>
      </c>
      <c r="B3090" s="11" t="n">
        <f aca="false">MOD(ROW()-9,24)</f>
        <v>9</v>
      </c>
      <c r="C3090" s="12"/>
      <c r="D3090" s="13" t="n">
        <f aca="false">IF(B3090&lt;5,Einstellungen!$B$3,Einstellungen!$B$4)</f>
        <v>29.13</v>
      </c>
      <c r="E3090" s="14" t="str">
        <f aca="false">IF(C3090="","",C3090*D3090/100)</f>
        <v/>
      </c>
      <c r="F3090" s="15" t="str">
        <f aca="false">IF(B3090&lt;5,"Go","Standard")</f>
        <v>Standard</v>
      </c>
    </row>
    <row r="3091" customFormat="false" ht="15" hidden="false" customHeight="true" outlineLevel="0" collapsed="false">
      <c r="A3091" s="10" t="n">
        <f aca="false">Einstellungen!$B$5+INT((ROW()-9)/24)</f>
        <v>46094</v>
      </c>
      <c r="B3091" s="11" t="n">
        <f aca="false">MOD(ROW()-9,24)</f>
        <v>10</v>
      </c>
      <c r="C3091" s="12"/>
      <c r="D3091" s="13" t="n">
        <f aca="false">IF(B3091&lt;5,Einstellungen!$B$3,Einstellungen!$B$4)</f>
        <v>29.13</v>
      </c>
      <c r="E3091" s="14" t="str">
        <f aca="false">IF(C3091="","",C3091*D3091/100)</f>
        <v/>
      </c>
      <c r="F3091" s="15" t="str">
        <f aca="false">IF(B3091&lt;5,"Go","Standard")</f>
        <v>Standard</v>
      </c>
    </row>
    <row r="3092" customFormat="false" ht="15" hidden="false" customHeight="true" outlineLevel="0" collapsed="false">
      <c r="A3092" s="10" t="n">
        <f aca="false">Einstellungen!$B$5+INT((ROW()-9)/24)</f>
        <v>46094</v>
      </c>
      <c r="B3092" s="11" t="n">
        <f aca="false">MOD(ROW()-9,24)</f>
        <v>11</v>
      </c>
      <c r="C3092" s="12"/>
      <c r="D3092" s="13" t="n">
        <f aca="false">IF(B3092&lt;5,Einstellungen!$B$3,Einstellungen!$B$4)</f>
        <v>29.13</v>
      </c>
      <c r="E3092" s="14" t="str">
        <f aca="false">IF(C3092="","",C3092*D3092/100)</f>
        <v/>
      </c>
      <c r="F3092" s="15" t="str">
        <f aca="false">IF(B3092&lt;5,"Go","Standard")</f>
        <v>Standard</v>
      </c>
    </row>
    <row r="3093" customFormat="false" ht="15" hidden="false" customHeight="true" outlineLevel="0" collapsed="false">
      <c r="A3093" s="10" t="n">
        <f aca="false">Einstellungen!$B$5+INT((ROW()-9)/24)</f>
        <v>46094</v>
      </c>
      <c r="B3093" s="11" t="n">
        <f aca="false">MOD(ROW()-9,24)</f>
        <v>12</v>
      </c>
      <c r="C3093" s="12"/>
      <c r="D3093" s="13" t="n">
        <f aca="false">IF(B3093&lt;5,Einstellungen!$B$3,Einstellungen!$B$4)</f>
        <v>29.13</v>
      </c>
      <c r="E3093" s="14" t="str">
        <f aca="false">IF(C3093="","",C3093*D3093/100)</f>
        <v/>
      </c>
      <c r="F3093" s="15" t="str">
        <f aca="false">IF(B3093&lt;5,"Go","Standard")</f>
        <v>Standard</v>
      </c>
    </row>
    <row r="3094" customFormat="false" ht="15" hidden="false" customHeight="true" outlineLevel="0" collapsed="false">
      <c r="A3094" s="10" t="n">
        <f aca="false">Einstellungen!$B$5+INT((ROW()-9)/24)</f>
        <v>46094</v>
      </c>
      <c r="B3094" s="11" t="n">
        <f aca="false">MOD(ROW()-9,24)</f>
        <v>13</v>
      </c>
      <c r="C3094" s="12"/>
      <c r="D3094" s="13" t="n">
        <f aca="false">IF(B3094&lt;5,Einstellungen!$B$3,Einstellungen!$B$4)</f>
        <v>29.13</v>
      </c>
      <c r="E3094" s="14" t="str">
        <f aca="false">IF(C3094="","",C3094*D3094/100)</f>
        <v/>
      </c>
      <c r="F3094" s="15" t="str">
        <f aca="false">IF(B3094&lt;5,"Go","Standard")</f>
        <v>Standard</v>
      </c>
    </row>
    <row r="3095" customFormat="false" ht="15" hidden="false" customHeight="true" outlineLevel="0" collapsed="false">
      <c r="A3095" s="10" t="n">
        <f aca="false">Einstellungen!$B$5+INT((ROW()-9)/24)</f>
        <v>46094</v>
      </c>
      <c r="B3095" s="11" t="n">
        <f aca="false">MOD(ROW()-9,24)</f>
        <v>14</v>
      </c>
      <c r="C3095" s="12"/>
      <c r="D3095" s="13" t="n">
        <f aca="false">IF(B3095&lt;5,Einstellungen!$B$3,Einstellungen!$B$4)</f>
        <v>29.13</v>
      </c>
      <c r="E3095" s="14" t="str">
        <f aca="false">IF(C3095="","",C3095*D3095/100)</f>
        <v/>
      </c>
      <c r="F3095" s="15" t="str">
        <f aca="false">IF(B3095&lt;5,"Go","Standard")</f>
        <v>Standard</v>
      </c>
    </row>
    <row r="3096" customFormat="false" ht="15" hidden="false" customHeight="true" outlineLevel="0" collapsed="false">
      <c r="A3096" s="10" t="n">
        <f aca="false">Einstellungen!$B$5+INT((ROW()-9)/24)</f>
        <v>46094</v>
      </c>
      <c r="B3096" s="11" t="n">
        <f aca="false">MOD(ROW()-9,24)</f>
        <v>15</v>
      </c>
      <c r="C3096" s="12"/>
      <c r="D3096" s="13" t="n">
        <f aca="false">IF(B3096&lt;5,Einstellungen!$B$3,Einstellungen!$B$4)</f>
        <v>29.13</v>
      </c>
      <c r="E3096" s="14" t="str">
        <f aca="false">IF(C3096="","",C3096*D3096/100)</f>
        <v/>
      </c>
      <c r="F3096" s="15" t="str">
        <f aca="false">IF(B3096&lt;5,"Go","Standard")</f>
        <v>Standard</v>
      </c>
    </row>
    <row r="3097" customFormat="false" ht="15" hidden="false" customHeight="true" outlineLevel="0" collapsed="false">
      <c r="A3097" s="10" t="n">
        <f aca="false">Einstellungen!$B$5+INT((ROW()-9)/24)</f>
        <v>46094</v>
      </c>
      <c r="B3097" s="11" t="n">
        <f aca="false">MOD(ROW()-9,24)</f>
        <v>16</v>
      </c>
      <c r="C3097" s="12"/>
      <c r="D3097" s="13" t="n">
        <f aca="false">IF(B3097&lt;5,Einstellungen!$B$3,Einstellungen!$B$4)</f>
        <v>29.13</v>
      </c>
      <c r="E3097" s="14" t="str">
        <f aca="false">IF(C3097="","",C3097*D3097/100)</f>
        <v/>
      </c>
      <c r="F3097" s="15" t="str">
        <f aca="false">IF(B3097&lt;5,"Go","Standard")</f>
        <v>Standard</v>
      </c>
    </row>
    <row r="3098" customFormat="false" ht="15" hidden="false" customHeight="true" outlineLevel="0" collapsed="false">
      <c r="A3098" s="10" t="n">
        <f aca="false">Einstellungen!$B$5+INT((ROW()-9)/24)</f>
        <v>46094</v>
      </c>
      <c r="B3098" s="11" t="n">
        <f aca="false">MOD(ROW()-9,24)</f>
        <v>17</v>
      </c>
      <c r="C3098" s="12"/>
      <c r="D3098" s="13" t="n">
        <f aca="false">IF(B3098&lt;5,Einstellungen!$B$3,Einstellungen!$B$4)</f>
        <v>29.13</v>
      </c>
      <c r="E3098" s="14" t="str">
        <f aca="false">IF(C3098="","",C3098*D3098/100)</f>
        <v/>
      </c>
      <c r="F3098" s="15" t="str">
        <f aca="false">IF(B3098&lt;5,"Go","Standard")</f>
        <v>Standard</v>
      </c>
    </row>
    <row r="3099" customFormat="false" ht="15" hidden="false" customHeight="true" outlineLevel="0" collapsed="false">
      <c r="A3099" s="10" t="n">
        <f aca="false">Einstellungen!$B$5+INT((ROW()-9)/24)</f>
        <v>46094</v>
      </c>
      <c r="B3099" s="11" t="n">
        <f aca="false">MOD(ROW()-9,24)</f>
        <v>18</v>
      </c>
      <c r="C3099" s="12"/>
      <c r="D3099" s="13" t="n">
        <f aca="false">IF(B3099&lt;5,Einstellungen!$B$3,Einstellungen!$B$4)</f>
        <v>29.13</v>
      </c>
      <c r="E3099" s="14" t="str">
        <f aca="false">IF(C3099="","",C3099*D3099/100)</f>
        <v/>
      </c>
      <c r="F3099" s="15" t="str">
        <f aca="false">IF(B3099&lt;5,"Go","Standard")</f>
        <v>Standard</v>
      </c>
    </row>
    <row r="3100" customFormat="false" ht="15" hidden="false" customHeight="true" outlineLevel="0" collapsed="false">
      <c r="A3100" s="10" t="n">
        <f aca="false">Einstellungen!$B$5+INT((ROW()-9)/24)</f>
        <v>46094</v>
      </c>
      <c r="B3100" s="11" t="n">
        <f aca="false">MOD(ROW()-9,24)</f>
        <v>19</v>
      </c>
      <c r="C3100" s="12"/>
      <c r="D3100" s="13" t="n">
        <f aca="false">IF(B3100&lt;5,Einstellungen!$B$3,Einstellungen!$B$4)</f>
        <v>29.13</v>
      </c>
      <c r="E3100" s="14" t="str">
        <f aca="false">IF(C3100="","",C3100*D3100/100)</f>
        <v/>
      </c>
      <c r="F3100" s="15" t="str">
        <f aca="false">IF(B3100&lt;5,"Go","Standard")</f>
        <v>Standard</v>
      </c>
    </row>
    <row r="3101" customFormat="false" ht="15" hidden="false" customHeight="true" outlineLevel="0" collapsed="false">
      <c r="A3101" s="10" t="n">
        <f aca="false">Einstellungen!$B$5+INT((ROW()-9)/24)</f>
        <v>46094</v>
      </c>
      <c r="B3101" s="11" t="n">
        <f aca="false">MOD(ROW()-9,24)</f>
        <v>20</v>
      </c>
      <c r="C3101" s="12"/>
      <c r="D3101" s="13" t="n">
        <f aca="false">IF(B3101&lt;5,Einstellungen!$B$3,Einstellungen!$B$4)</f>
        <v>29.13</v>
      </c>
      <c r="E3101" s="14" t="str">
        <f aca="false">IF(C3101="","",C3101*D3101/100)</f>
        <v/>
      </c>
      <c r="F3101" s="15" t="str">
        <f aca="false">IF(B3101&lt;5,"Go","Standard")</f>
        <v>Standard</v>
      </c>
    </row>
    <row r="3102" customFormat="false" ht="15" hidden="false" customHeight="true" outlineLevel="0" collapsed="false">
      <c r="A3102" s="10" t="n">
        <f aca="false">Einstellungen!$B$5+INT((ROW()-9)/24)</f>
        <v>46094</v>
      </c>
      <c r="B3102" s="11" t="n">
        <f aca="false">MOD(ROW()-9,24)</f>
        <v>21</v>
      </c>
      <c r="C3102" s="12"/>
      <c r="D3102" s="13" t="n">
        <f aca="false">IF(B3102&lt;5,Einstellungen!$B$3,Einstellungen!$B$4)</f>
        <v>29.13</v>
      </c>
      <c r="E3102" s="14" t="str">
        <f aca="false">IF(C3102="","",C3102*D3102/100)</f>
        <v/>
      </c>
      <c r="F3102" s="15" t="str">
        <f aca="false">IF(B3102&lt;5,"Go","Standard")</f>
        <v>Standard</v>
      </c>
    </row>
    <row r="3103" customFormat="false" ht="15" hidden="false" customHeight="true" outlineLevel="0" collapsed="false">
      <c r="A3103" s="10" t="n">
        <f aca="false">Einstellungen!$B$5+INT((ROW()-9)/24)</f>
        <v>46094</v>
      </c>
      <c r="B3103" s="11" t="n">
        <f aca="false">MOD(ROW()-9,24)</f>
        <v>22</v>
      </c>
      <c r="C3103" s="12"/>
      <c r="D3103" s="13" t="n">
        <f aca="false">IF(B3103&lt;5,Einstellungen!$B$3,Einstellungen!$B$4)</f>
        <v>29.13</v>
      </c>
      <c r="E3103" s="14" t="str">
        <f aca="false">IF(C3103="","",C3103*D3103/100)</f>
        <v/>
      </c>
      <c r="F3103" s="15" t="str">
        <f aca="false">IF(B3103&lt;5,"Go","Standard")</f>
        <v>Standard</v>
      </c>
    </row>
    <row r="3104" customFormat="false" ht="15" hidden="false" customHeight="true" outlineLevel="0" collapsed="false">
      <c r="A3104" s="10" t="n">
        <f aca="false">Einstellungen!$B$5+INT((ROW()-9)/24)</f>
        <v>46094</v>
      </c>
      <c r="B3104" s="11" t="n">
        <f aca="false">MOD(ROW()-9,24)</f>
        <v>23</v>
      </c>
      <c r="C3104" s="12"/>
      <c r="D3104" s="13" t="n">
        <f aca="false">IF(B3104&lt;5,Einstellungen!$B$3,Einstellungen!$B$4)</f>
        <v>29.13</v>
      </c>
      <c r="E3104" s="14" t="str">
        <f aca="false">IF(C3104="","",C3104*D3104/100)</f>
        <v/>
      </c>
      <c r="F3104" s="15" t="str">
        <f aca="false">IF(B3104&lt;5,"Go","Standard")</f>
        <v>Standard</v>
      </c>
    </row>
    <row r="3105" customFormat="false" ht="15" hidden="false" customHeight="true" outlineLevel="0" collapsed="false">
      <c r="A3105" s="10" t="n">
        <f aca="false">Einstellungen!$B$5+INT((ROW()-9)/24)</f>
        <v>46095</v>
      </c>
      <c r="B3105" s="11" t="n">
        <f aca="false">MOD(ROW()-9,24)</f>
        <v>0</v>
      </c>
      <c r="C3105" s="12"/>
      <c r="D3105" s="13" t="n">
        <f aca="false">IF(B3105&lt;5,Einstellungen!$B$3,Einstellungen!$B$4)</f>
        <v>15.92</v>
      </c>
      <c r="E3105" s="14" t="str">
        <f aca="false">IF(C3105="","",C3105*D3105/100)</f>
        <v/>
      </c>
      <c r="F3105" s="15" t="str">
        <f aca="false">IF(B3105&lt;5,"Go","Standard")</f>
        <v>Go</v>
      </c>
    </row>
    <row r="3106" customFormat="false" ht="15" hidden="false" customHeight="true" outlineLevel="0" collapsed="false">
      <c r="A3106" s="10" t="n">
        <f aca="false">Einstellungen!$B$5+INT((ROW()-9)/24)</f>
        <v>46095</v>
      </c>
      <c r="B3106" s="11" t="n">
        <f aca="false">MOD(ROW()-9,24)</f>
        <v>1</v>
      </c>
      <c r="C3106" s="12"/>
      <c r="D3106" s="13" t="n">
        <f aca="false">IF(B3106&lt;5,Einstellungen!$B$3,Einstellungen!$B$4)</f>
        <v>15.92</v>
      </c>
      <c r="E3106" s="14" t="str">
        <f aca="false">IF(C3106="","",C3106*D3106/100)</f>
        <v/>
      </c>
      <c r="F3106" s="15" t="str">
        <f aca="false">IF(B3106&lt;5,"Go","Standard")</f>
        <v>Go</v>
      </c>
    </row>
    <row r="3107" customFormat="false" ht="15" hidden="false" customHeight="true" outlineLevel="0" collapsed="false">
      <c r="A3107" s="10" t="n">
        <f aca="false">Einstellungen!$B$5+INT((ROW()-9)/24)</f>
        <v>46095</v>
      </c>
      <c r="B3107" s="11" t="n">
        <f aca="false">MOD(ROW()-9,24)</f>
        <v>2</v>
      </c>
      <c r="C3107" s="12"/>
      <c r="D3107" s="13" t="n">
        <f aca="false">IF(B3107&lt;5,Einstellungen!$B$3,Einstellungen!$B$4)</f>
        <v>15.92</v>
      </c>
      <c r="E3107" s="14" t="str">
        <f aca="false">IF(C3107="","",C3107*D3107/100)</f>
        <v/>
      </c>
      <c r="F3107" s="15" t="str">
        <f aca="false">IF(B3107&lt;5,"Go","Standard")</f>
        <v>Go</v>
      </c>
    </row>
    <row r="3108" customFormat="false" ht="15" hidden="false" customHeight="true" outlineLevel="0" collapsed="false">
      <c r="A3108" s="10" t="n">
        <f aca="false">Einstellungen!$B$5+INT((ROW()-9)/24)</f>
        <v>46095</v>
      </c>
      <c r="B3108" s="11" t="n">
        <f aca="false">MOD(ROW()-9,24)</f>
        <v>3</v>
      </c>
      <c r="C3108" s="12"/>
      <c r="D3108" s="13" t="n">
        <f aca="false">IF(B3108&lt;5,Einstellungen!$B$3,Einstellungen!$B$4)</f>
        <v>15.92</v>
      </c>
      <c r="E3108" s="14" t="str">
        <f aca="false">IF(C3108="","",C3108*D3108/100)</f>
        <v/>
      </c>
      <c r="F3108" s="15" t="str">
        <f aca="false">IF(B3108&lt;5,"Go","Standard")</f>
        <v>Go</v>
      </c>
    </row>
    <row r="3109" customFormat="false" ht="15" hidden="false" customHeight="true" outlineLevel="0" collapsed="false">
      <c r="A3109" s="10" t="n">
        <f aca="false">Einstellungen!$B$5+INT((ROW()-9)/24)</f>
        <v>46095</v>
      </c>
      <c r="B3109" s="11" t="n">
        <f aca="false">MOD(ROW()-9,24)</f>
        <v>4</v>
      </c>
      <c r="C3109" s="12"/>
      <c r="D3109" s="13" t="n">
        <f aca="false">IF(B3109&lt;5,Einstellungen!$B$3,Einstellungen!$B$4)</f>
        <v>15.92</v>
      </c>
      <c r="E3109" s="14" t="str">
        <f aca="false">IF(C3109="","",C3109*D3109/100)</f>
        <v/>
      </c>
      <c r="F3109" s="15" t="str">
        <f aca="false">IF(B3109&lt;5,"Go","Standard")</f>
        <v>Go</v>
      </c>
    </row>
    <row r="3110" customFormat="false" ht="15" hidden="false" customHeight="true" outlineLevel="0" collapsed="false">
      <c r="A3110" s="10" t="n">
        <f aca="false">Einstellungen!$B$5+INT((ROW()-9)/24)</f>
        <v>46095</v>
      </c>
      <c r="B3110" s="11" t="n">
        <f aca="false">MOD(ROW()-9,24)</f>
        <v>5</v>
      </c>
      <c r="C3110" s="12"/>
      <c r="D3110" s="13" t="n">
        <f aca="false">IF(B3110&lt;5,Einstellungen!$B$3,Einstellungen!$B$4)</f>
        <v>29.13</v>
      </c>
      <c r="E3110" s="14" t="str">
        <f aca="false">IF(C3110="","",C3110*D3110/100)</f>
        <v/>
      </c>
      <c r="F3110" s="15" t="str">
        <f aca="false">IF(B3110&lt;5,"Go","Standard")</f>
        <v>Standard</v>
      </c>
    </row>
    <row r="3111" customFormat="false" ht="15" hidden="false" customHeight="true" outlineLevel="0" collapsed="false">
      <c r="A3111" s="10" t="n">
        <f aca="false">Einstellungen!$B$5+INT((ROW()-9)/24)</f>
        <v>46095</v>
      </c>
      <c r="B3111" s="11" t="n">
        <f aca="false">MOD(ROW()-9,24)</f>
        <v>6</v>
      </c>
      <c r="C3111" s="12"/>
      <c r="D3111" s="13" t="n">
        <f aca="false">IF(B3111&lt;5,Einstellungen!$B$3,Einstellungen!$B$4)</f>
        <v>29.13</v>
      </c>
      <c r="E3111" s="14" t="str">
        <f aca="false">IF(C3111="","",C3111*D3111/100)</f>
        <v/>
      </c>
      <c r="F3111" s="15" t="str">
        <f aca="false">IF(B3111&lt;5,"Go","Standard")</f>
        <v>Standard</v>
      </c>
    </row>
    <row r="3112" customFormat="false" ht="15" hidden="false" customHeight="true" outlineLevel="0" collapsed="false">
      <c r="A3112" s="10" t="n">
        <f aca="false">Einstellungen!$B$5+INT((ROW()-9)/24)</f>
        <v>46095</v>
      </c>
      <c r="B3112" s="11" t="n">
        <f aca="false">MOD(ROW()-9,24)</f>
        <v>7</v>
      </c>
      <c r="C3112" s="12"/>
      <c r="D3112" s="13" t="n">
        <f aca="false">IF(B3112&lt;5,Einstellungen!$B$3,Einstellungen!$B$4)</f>
        <v>29.13</v>
      </c>
      <c r="E3112" s="14" t="str">
        <f aca="false">IF(C3112="","",C3112*D3112/100)</f>
        <v/>
      </c>
      <c r="F3112" s="15" t="str">
        <f aca="false">IF(B3112&lt;5,"Go","Standard")</f>
        <v>Standard</v>
      </c>
    </row>
    <row r="3113" customFormat="false" ht="15" hidden="false" customHeight="true" outlineLevel="0" collapsed="false">
      <c r="A3113" s="10" t="n">
        <f aca="false">Einstellungen!$B$5+INT((ROW()-9)/24)</f>
        <v>46095</v>
      </c>
      <c r="B3113" s="11" t="n">
        <f aca="false">MOD(ROW()-9,24)</f>
        <v>8</v>
      </c>
      <c r="C3113" s="12"/>
      <c r="D3113" s="13" t="n">
        <f aca="false">IF(B3113&lt;5,Einstellungen!$B$3,Einstellungen!$B$4)</f>
        <v>29.13</v>
      </c>
      <c r="E3113" s="14" t="str">
        <f aca="false">IF(C3113="","",C3113*D3113/100)</f>
        <v/>
      </c>
      <c r="F3113" s="15" t="str">
        <f aca="false">IF(B3113&lt;5,"Go","Standard")</f>
        <v>Standard</v>
      </c>
    </row>
    <row r="3114" customFormat="false" ht="15" hidden="false" customHeight="true" outlineLevel="0" collapsed="false">
      <c r="A3114" s="10" t="n">
        <f aca="false">Einstellungen!$B$5+INT((ROW()-9)/24)</f>
        <v>46095</v>
      </c>
      <c r="B3114" s="11" t="n">
        <f aca="false">MOD(ROW()-9,24)</f>
        <v>9</v>
      </c>
      <c r="C3114" s="12"/>
      <c r="D3114" s="13" t="n">
        <f aca="false">IF(B3114&lt;5,Einstellungen!$B$3,Einstellungen!$B$4)</f>
        <v>29.13</v>
      </c>
      <c r="E3114" s="14" t="str">
        <f aca="false">IF(C3114="","",C3114*D3114/100)</f>
        <v/>
      </c>
      <c r="F3114" s="15" t="str">
        <f aca="false">IF(B3114&lt;5,"Go","Standard")</f>
        <v>Standard</v>
      </c>
    </row>
    <row r="3115" customFormat="false" ht="15" hidden="false" customHeight="true" outlineLevel="0" collapsed="false">
      <c r="A3115" s="10" t="n">
        <f aca="false">Einstellungen!$B$5+INT((ROW()-9)/24)</f>
        <v>46095</v>
      </c>
      <c r="B3115" s="11" t="n">
        <f aca="false">MOD(ROW()-9,24)</f>
        <v>10</v>
      </c>
      <c r="C3115" s="12"/>
      <c r="D3115" s="13" t="n">
        <f aca="false">IF(B3115&lt;5,Einstellungen!$B$3,Einstellungen!$B$4)</f>
        <v>29.13</v>
      </c>
      <c r="E3115" s="14" t="str">
        <f aca="false">IF(C3115="","",C3115*D3115/100)</f>
        <v/>
      </c>
      <c r="F3115" s="15" t="str">
        <f aca="false">IF(B3115&lt;5,"Go","Standard")</f>
        <v>Standard</v>
      </c>
    </row>
    <row r="3116" customFormat="false" ht="15" hidden="false" customHeight="true" outlineLevel="0" collapsed="false">
      <c r="A3116" s="10" t="n">
        <f aca="false">Einstellungen!$B$5+INT((ROW()-9)/24)</f>
        <v>46095</v>
      </c>
      <c r="B3116" s="11" t="n">
        <f aca="false">MOD(ROW()-9,24)</f>
        <v>11</v>
      </c>
      <c r="C3116" s="12"/>
      <c r="D3116" s="13" t="n">
        <f aca="false">IF(B3116&lt;5,Einstellungen!$B$3,Einstellungen!$B$4)</f>
        <v>29.13</v>
      </c>
      <c r="E3116" s="14" t="str">
        <f aca="false">IF(C3116="","",C3116*D3116/100)</f>
        <v/>
      </c>
      <c r="F3116" s="15" t="str">
        <f aca="false">IF(B3116&lt;5,"Go","Standard")</f>
        <v>Standard</v>
      </c>
    </row>
    <row r="3117" customFormat="false" ht="15" hidden="false" customHeight="true" outlineLevel="0" collapsed="false">
      <c r="A3117" s="10" t="n">
        <f aca="false">Einstellungen!$B$5+INT((ROW()-9)/24)</f>
        <v>46095</v>
      </c>
      <c r="B3117" s="11" t="n">
        <f aca="false">MOD(ROW()-9,24)</f>
        <v>12</v>
      </c>
      <c r="C3117" s="12"/>
      <c r="D3117" s="13" t="n">
        <f aca="false">IF(B3117&lt;5,Einstellungen!$B$3,Einstellungen!$B$4)</f>
        <v>29.13</v>
      </c>
      <c r="E3117" s="14" t="str">
        <f aca="false">IF(C3117="","",C3117*D3117/100)</f>
        <v/>
      </c>
      <c r="F3117" s="15" t="str">
        <f aca="false">IF(B3117&lt;5,"Go","Standard")</f>
        <v>Standard</v>
      </c>
    </row>
    <row r="3118" customFormat="false" ht="15" hidden="false" customHeight="true" outlineLevel="0" collapsed="false">
      <c r="A3118" s="10" t="n">
        <f aca="false">Einstellungen!$B$5+INT((ROW()-9)/24)</f>
        <v>46095</v>
      </c>
      <c r="B3118" s="11" t="n">
        <f aca="false">MOD(ROW()-9,24)</f>
        <v>13</v>
      </c>
      <c r="C3118" s="12"/>
      <c r="D3118" s="13" t="n">
        <f aca="false">IF(B3118&lt;5,Einstellungen!$B$3,Einstellungen!$B$4)</f>
        <v>29.13</v>
      </c>
      <c r="E3118" s="14" t="str">
        <f aca="false">IF(C3118="","",C3118*D3118/100)</f>
        <v/>
      </c>
      <c r="F3118" s="15" t="str">
        <f aca="false">IF(B3118&lt;5,"Go","Standard")</f>
        <v>Standard</v>
      </c>
    </row>
    <row r="3119" customFormat="false" ht="15" hidden="false" customHeight="true" outlineLevel="0" collapsed="false">
      <c r="A3119" s="10" t="n">
        <f aca="false">Einstellungen!$B$5+INT((ROW()-9)/24)</f>
        <v>46095</v>
      </c>
      <c r="B3119" s="11" t="n">
        <f aca="false">MOD(ROW()-9,24)</f>
        <v>14</v>
      </c>
      <c r="C3119" s="12"/>
      <c r="D3119" s="13" t="n">
        <f aca="false">IF(B3119&lt;5,Einstellungen!$B$3,Einstellungen!$B$4)</f>
        <v>29.13</v>
      </c>
      <c r="E3119" s="14" t="str">
        <f aca="false">IF(C3119="","",C3119*D3119/100)</f>
        <v/>
      </c>
      <c r="F3119" s="15" t="str">
        <f aca="false">IF(B3119&lt;5,"Go","Standard")</f>
        <v>Standard</v>
      </c>
    </row>
    <row r="3120" customFormat="false" ht="15" hidden="false" customHeight="true" outlineLevel="0" collapsed="false">
      <c r="A3120" s="10" t="n">
        <f aca="false">Einstellungen!$B$5+INT((ROW()-9)/24)</f>
        <v>46095</v>
      </c>
      <c r="B3120" s="11" t="n">
        <f aca="false">MOD(ROW()-9,24)</f>
        <v>15</v>
      </c>
      <c r="C3120" s="12"/>
      <c r="D3120" s="13" t="n">
        <f aca="false">IF(B3120&lt;5,Einstellungen!$B$3,Einstellungen!$B$4)</f>
        <v>29.13</v>
      </c>
      <c r="E3120" s="14" t="str">
        <f aca="false">IF(C3120="","",C3120*D3120/100)</f>
        <v/>
      </c>
      <c r="F3120" s="15" t="str">
        <f aca="false">IF(B3120&lt;5,"Go","Standard")</f>
        <v>Standard</v>
      </c>
    </row>
    <row r="3121" customFormat="false" ht="15" hidden="false" customHeight="true" outlineLevel="0" collapsed="false">
      <c r="A3121" s="10" t="n">
        <f aca="false">Einstellungen!$B$5+INT((ROW()-9)/24)</f>
        <v>46095</v>
      </c>
      <c r="B3121" s="11" t="n">
        <f aca="false">MOD(ROW()-9,24)</f>
        <v>16</v>
      </c>
      <c r="C3121" s="12"/>
      <c r="D3121" s="13" t="n">
        <f aca="false">IF(B3121&lt;5,Einstellungen!$B$3,Einstellungen!$B$4)</f>
        <v>29.13</v>
      </c>
      <c r="E3121" s="14" t="str">
        <f aca="false">IF(C3121="","",C3121*D3121/100)</f>
        <v/>
      </c>
      <c r="F3121" s="15" t="str">
        <f aca="false">IF(B3121&lt;5,"Go","Standard")</f>
        <v>Standard</v>
      </c>
    </row>
    <row r="3122" customFormat="false" ht="15" hidden="false" customHeight="true" outlineLevel="0" collapsed="false">
      <c r="A3122" s="10" t="n">
        <f aca="false">Einstellungen!$B$5+INT((ROW()-9)/24)</f>
        <v>46095</v>
      </c>
      <c r="B3122" s="11" t="n">
        <f aca="false">MOD(ROW()-9,24)</f>
        <v>17</v>
      </c>
      <c r="C3122" s="12"/>
      <c r="D3122" s="13" t="n">
        <f aca="false">IF(B3122&lt;5,Einstellungen!$B$3,Einstellungen!$B$4)</f>
        <v>29.13</v>
      </c>
      <c r="E3122" s="14" t="str">
        <f aca="false">IF(C3122="","",C3122*D3122/100)</f>
        <v/>
      </c>
      <c r="F3122" s="15" t="str">
        <f aca="false">IF(B3122&lt;5,"Go","Standard")</f>
        <v>Standard</v>
      </c>
    </row>
    <row r="3123" customFormat="false" ht="15" hidden="false" customHeight="true" outlineLevel="0" collapsed="false">
      <c r="A3123" s="10" t="n">
        <f aca="false">Einstellungen!$B$5+INT((ROW()-9)/24)</f>
        <v>46095</v>
      </c>
      <c r="B3123" s="11" t="n">
        <f aca="false">MOD(ROW()-9,24)</f>
        <v>18</v>
      </c>
      <c r="C3123" s="12"/>
      <c r="D3123" s="13" t="n">
        <f aca="false">IF(B3123&lt;5,Einstellungen!$B$3,Einstellungen!$B$4)</f>
        <v>29.13</v>
      </c>
      <c r="E3123" s="14" t="str">
        <f aca="false">IF(C3123="","",C3123*D3123/100)</f>
        <v/>
      </c>
      <c r="F3123" s="15" t="str">
        <f aca="false">IF(B3123&lt;5,"Go","Standard")</f>
        <v>Standard</v>
      </c>
    </row>
    <row r="3124" customFormat="false" ht="15" hidden="false" customHeight="true" outlineLevel="0" collapsed="false">
      <c r="A3124" s="10" t="n">
        <f aca="false">Einstellungen!$B$5+INT((ROW()-9)/24)</f>
        <v>46095</v>
      </c>
      <c r="B3124" s="11" t="n">
        <f aca="false">MOD(ROW()-9,24)</f>
        <v>19</v>
      </c>
      <c r="C3124" s="12"/>
      <c r="D3124" s="13" t="n">
        <f aca="false">IF(B3124&lt;5,Einstellungen!$B$3,Einstellungen!$B$4)</f>
        <v>29.13</v>
      </c>
      <c r="E3124" s="14" t="str">
        <f aca="false">IF(C3124="","",C3124*D3124/100)</f>
        <v/>
      </c>
      <c r="F3124" s="15" t="str">
        <f aca="false">IF(B3124&lt;5,"Go","Standard")</f>
        <v>Standard</v>
      </c>
    </row>
    <row r="3125" customFormat="false" ht="15" hidden="false" customHeight="true" outlineLevel="0" collapsed="false">
      <c r="A3125" s="10" t="n">
        <f aca="false">Einstellungen!$B$5+INT((ROW()-9)/24)</f>
        <v>46095</v>
      </c>
      <c r="B3125" s="11" t="n">
        <f aca="false">MOD(ROW()-9,24)</f>
        <v>20</v>
      </c>
      <c r="C3125" s="12"/>
      <c r="D3125" s="13" t="n">
        <f aca="false">IF(B3125&lt;5,Einstellungen!$B$3,Einstellungen!$B$4)</f>
        <v>29.13</v>
      </c>
      <c r="E3125" s="14" t="str">
        <f aca="false">IF(C3125="","",C3125*D3125/100)</f>
        <v/>
      </c>
      <c r="F3125" s="15" t="str">
        <f aca="false">IF(B3125&lt;5,"Go","Standard")</f>
        <v>Standard</v>
      </c>
    </row>
    <row r="3126" customFormat="false" ht="15" hidden="false" customHeight="true" outlineLevel="0" collapsed="false">
      <c r="A3126" s="10" t="n">
        <f aca="false">Einstellungen!$B$5+INT((ROW()-9)/24)</f>
        <v>46095</v>
      </c>
      <c r="B3126" s="11" t="n">
        <f aca="false">MOD(ROW()-9,24)</f>
        <v>21</v>
      </c>
      <c r="C3126" s="12"/>
      <c r="D3126" s="13" t="n">
        <f aca="false">IF(B3126&lt;5,Einstellungen!$B$3,Einstellungen!$B$4)</f>
        <v>29.13</v>
      </c>
      <c r="E3126" s="14" t="str">
        <f aca="false">IF(C3126="","",C3126*D3126/100)</f>
        <v/>
      </c>
      <c r="F3126" s="15" t="str">
        <f aca="false">IF(B3126&lt;5,"Go","Standard")</f>
        <v>Standard</v>
      </c>
    </row>
    <row r="3127" customFormat="false" ht="15" hidden="false" customHeight="true" outlineLevel="0" collapsed="false">
      <c r="A3127" s="10" t="n">
        <f aca="false">Einstellungen!$B$5+INT((ROW()-9)/24)</f>
        <v>46095</v>
      </c>
      <c r="B3127" s="11" t="n">
        <f aca="false">MOD(ROW()-9,24)</f>
        <v>22</v>
      </c>
      <c r="C3127" s="12"/>
      <c r="D3127" s="13" t="n">
        <f aca="false">IF(B3127&lt;5,Einstellungen!$B$3,Einstellungen!$B$4)</f>
        <v>29.13</v>
      </c>
      <c r="E3127" s="14" t="str">
        <f aca="false">IF(C3127="","",C3127*D3127/100)</f>
        <v/>
      </c>
      <c r="F3127" s="15" t="str">
        <f aca="false">IF(B3127&lt;5,"Go","Standard")</f>
        <v>Standard</v>
      </c>
    </row>
    <row r="3128" customFormat="false" ht="15" hidden="false" customHeight="true" outlineLevel="0" collapsed="false">
      <c r="A3128" s="10" t="n">
        <f aca="false">Einstellungen!$B$5+INT((ROW()-9)/24)</f>
        <v>46095</v>
      </c>
      <c r="B3128" s="11" t="n">
        <f aca="false">MOD(ROW()-9,24)</f>
        <v>23</v>
      </c>
      <c r="C3128" s="12"/>
      <c r="D3128" s="13" t="n">
        <f aca="false">IF(B3128&lt;5,Einstellungen!$B$3,Einstellungen!$B$4)</f>
        <v>29.13</v>
      </c>
      <c r="E3128" s="14" t="str">
        <f aca="false">IF(C3128="","",C3128*D3128/100)</f>
        <v/>
      </c>
      <c r="F3128" s="15" t="str">
        <f aca="false">IF(B3128&lt;5,"Go","Standard")</f>
        <v>Standard</v>
      </c>
    </row>
    <row r="3129" customFormat="false" ht="15" hidden="false" customHeight="true" outlineLevel="0" collapsed="false">
      <c r="A3129" s="10" t="n">
        <f aca="false">Einstellungen!$B$5+INT((ROW()-9)/24)</f>
        <v>46096</v>
      </c>
      <c r="B3129" s="11" t="n">
        <f aca="false">MOD(ROW()-9,24)</f>
        <v>0</v>
      </c>
      <c r="C3129" s="12"/>
      <c r="D3129" s="13" t="n">
        <f aca="false">IF(B3129&lt;5,Einstellungen!$B$3,Einstellungen!$B$4)</f>
        <v>15.92</v>
      </c>
      <c r="E3129" s="14" t="str">
        <f aca="false">IF(C3129="","",C3129*D3129/100)</f>
        <v/>
      </c>
      <c r="F3129" s="15" t="str">
        <f aca="false">IF(B3129&lt;5,"Go","Standard")</f>
        <v>Go</v>
      </c>
    </row>
    <row r="3130" customFormat="false" ht="15" hidden="false" customHeight="true" outlineLevel="0" collapsed="false">
      <c r="A3130" s="10" t="n">
        <f aca="false">Einstellungen!$B$5+INT((ROW()-9)/24)</f>
        <v>46096</v>
      </c>
      <c r="B3130" s="11" t="n">
        <f aca="false">MOD(ROW()-9,24)</f>
        <v>1</v>
      </c>
      <c r="C3130" s="12"/>
      <c r="D3130" s="13" t="n">
        <f aca="false">IF(B3130&lt;5,Einstellungen!$B$3,Einstellungen!$B$4)</f>
        <v>15.92</v>
      </c>
      <c r="E3130" s="14" t="str">
        <f aca="false">IF(C3130="","",C3130*D3130/100)</f>
        <v/>
      </c>
      <c r="F3130" s="15" t="str">
        <f aca="false">IF(B3130&lt;5,"Go","Standard")</f>
        <v>Go</v>
      </c>
    </row>
    <row r="3131" customFormat="false" ht="15" hidden="false" customHeight="true" outlineLevel="0" collapsed="false">
      <c r="A3131" s="10" t="n">
        <f aca="false">Einstellungen!$B$5+INT((ROW()-9)/24)</f>
        <v>46096</v>
      </c>
      <c r="B3131" s="11" t="n">
        <f aca="false">MOD(ROW()-9,24)</f>
        <v>2</v>
      </c>
      <c r="C3131" s="12"/>
      <c r="D3131" s="13" t="n">
        <f aca="false">IF(B3131&lt;5,Einstellungen!$B$3,Einstellungen!$B$4)</f>
        <v>15.92</v>
      </c>
      <c r="E3131" s="14" t="str">
        <f aca="false">IF(C3131="","",C3131*D3131/100)</f>
        <v/>
      </c>
      <c r="F3131" s="15" t="str">
        <f aca="false">IF(B3131&lt;5,"Go","Standard")</f>
        <v>Go</v>
      </c>
    </row>
    <row r="3132" customFormat="false" ht="15" hidden="false" customHeight="true" outlineLevel="0" collapsed="false">
      <c r="A3132" s="10" t="n">
        <f aca="false">Einstellungen!$B$5+INT((ROW()-9)/24)</f>
        <v>46096</v>
      </c>
      <c r="B3132" s="11" t="n">
        <f aca="false">MOD(ROW()-9,24)</f>
        <v>3</v>
      </c>
      <c r="C3132" s="12"/>
      <c r="D3132" s="13" t="n">
        <f aca="false">IF(B3132&lt;5,Einstellungen!$B$3,Einstellungen!$B$4)</f>
        <v>15.92</v>
      </c>
      <c r="E3132" s="14" t="str">
        <f aca="false">IF(C3132="","",C3132*D3132/100)</f>
        <v/>
      </c>
      <c r="F3132" s="15" t="str">
        <f aca="false">IF(B3132&lt;5,"Go","Standard")</f>
        <v>Go</v>
      </c>
    </row>
    <row r="3133" customFormat="false" ht="15" hidden="false" customHeight="true" outlineLevel="0" collapsed="false">
      <c r="A3133" s="10" t="n">
        <f aca="false">Einstellungen!$B$5+INT((ROW()-9)/24)</f>
        <v>46096</v>
      </c>
      <c r="B3133" s="11" t="n">
        <f aca="false">MOD(ROW()-9,24)</f>
        <v>4</v>
      </c>
      <c r="C3133" s="12"/>
      <c r="D3133" s="13" t="n">
        <f aca="false">IF(B3133&lt;5,Einstellungen!$B$3,Einstellungen!$B$4)</f>
        <v>15.92</v>
      </c>
      <c r="E3133" s="14" t="str">
        <f aca="false">IF(C3133="","",C3133*D3133/100)</f>
        <v/>
      </c>
      <c r="F3133" s="15" t="str">
        <f aca="false">IF(B3133&lt;5,"Go","Standard")</f>
        <v>Go</v>
      </c>
    </row>
    <row r="3134" customFormat="false" ht="15" hidden="false" customHeight="true" outlineLevel="0" collapsed="false">
      <c r="A3134" s="10" t="n">
        <f aca="false">Einstellungen!$B$5+INT((ROW()-9)/24)</f>
        <v>46096</v>
      </c>
      <c r="B3134" s="11" t="n">
        <f aca="false">MOD(ROW()-9,24)</f>
        <v>5</v>
      </c>
      <c r="C3134" s="12"/>
      <c r="D3134" s="13" t="n">
        <f aca="false">IF(B3134&lt;5,Einstellungen!$B$3,Einstellungen!$B$4)</f>
        <v>29.13</v>
      </c>
      <c r="E3134" s="14" t="str">
        <f aca="false">IF(C3134="","",C3134*D3134/100)</f>
        <v/>
      </c>
      <c r="F3134" s="15" t="str">
        <f aca="false">IF(B3134&lt;5,"Go","Standard")</f>
        <v>Standard</v>
      </c>
    </row>
    <row r="3135" customFormat="false" ht="15" hidden="false" customHeight="true" outlineLevel="0" collapsed="false">
      <c r="A3135" s="10" t="n">
        <f aca="false">Einstellungen!$B$5+INT((ROW()-9)/24)</f>
        <v>46096</v>
      </c>
      <c r="B3135" s="11" t="n">
        <f aca="false">MOD(ROW()-9,24)</f>
        <v>6</v>
      </c>
      <c r="C3135" s="12"/>
      <c r="D3135" s="13" t="n">
        <f aca="false">IF(B3135&lt;5,Einstellungen!$B$3,Einstellungen!$B$4)</f>
        <v>29.13</v>
      </c>
      <c r="E3135" s="14" t="str">
        <f aca="false">IF(C3135="","",C3135*D3135/100)</f>
        <v/>
      </c>
      <c r="F3135" s="15" t="str">
        <f aca="false">IF(B3135&lt;5,"Go","Standard")</f>
        <v>Standard</v>
      </c>
    </row>
    <row r="3136" customFormat="false" ht="15" hidden="false" customHeight="true" outlineLevel="0" collapsed="false">
      <c r="A3136" s="10" t="n">
        <f aca="false">Einstellungen!$B$5+INT((ROW()-9)/24)</f>
        <v>46096</v>
      </c>
      <c r="B3136" s="11" t="n">
        <f aca="false">MOD(ROW()-9,24)</f>
        <v>7</v>
      </c>
      <c r="C3136" s="12"/>
      <c r="D3136" s="13" t="n">
        <f aca="false">IF(B3136&lt;5,Einstellungen!$B$3,Einstellungen!$B$4)</f>
        <v>29.13</v>
      </c>
      <c r="E3136" s="14" t="str">
        <f aca="false">IF(C3136="","",C3136*D3136/100)</f>
        <v/>
      </c>
      <c r="F3136" s="15" t="str">
        <f aca="false">IF(B3136&lt;5,"Go","Standard")</f>
        <v>Standard</v>
      </c>
    </row>
    <row r="3137" customFormat="false" ht="15" hidden="false" customHeight="true" outlineLevel="0" collapsed="false">
      <c r="A3137" s="10" t="n">
        <f aca="false">Einstellungen!$B$5+INT((ROW()-9)/24)</f>
        <v>46096</v>
      </c>
      <c r="B3137" s="11" t="n">
        <f aca="false">MOD(ROW()-9,24)</f>
        <v>8</v>
      </c>
      <c r="C3137" s="12"/>
      <c r="D3137" s="13" t="n">
        <f aca="false">IF(B3137&lt;5,Einstellungen!$B$3,Einstellungen!$B$4)</f>
        <v>29.13</v>
      </c>
      <c r="E3137" s="14" t="str">
        <f aca="false">IF(C3137="","",C3137*D3137/100)</f>
        <v/>
      </c>
      <c r="F3137" s="15" t="str">
        <f aca="false">IF(B3137&lt;5,"Go","Standard")</f>
        <v>Standard</v>
      </c>
    </row>
    <row r="3138" customFormat="false" ht="15" hidden="false" customHeight="true" outlineLevel="0" collapsed="false">
      <c r="A3138" s="10" t="n">
        <f aca="false">Einstellungen!$B$5+INT((ROW()-9)/24)</f>
        <v>46096</v>
      </c>
      <c r="B3138" s="11" t="n">
        <f aca="false">MOD(ROW()-9,24)</f>
        <v>9</v>
      </c>
      <c r="C3138" s="12"/>
      <c r="D3138" s="13" t="n">
        <f aca="false">IF(B3138&lt;5,Einstellungen!$B$3,Einstellungen!$B$4)</f>
        <v>29.13</v>
      </c>
      <c r="E3138" s="14" t="str">
        <f aca="false">IF(C3138="","",C3138*D3138/100)</f>
        <v/>
      </c>
      <c r="F3138" s="15" t="str">
        <f aca="false">IF(B3138&lt;5,"Go","Standard")</f>
        <v>Standard</v>
      </c>
    </row>
    <row r="3139" customFormat="false" ht="15" hidden="false" customHeight="true" outlineLevel="0" collapsed="false">
      <c r="A3139" s="10" t="n">
        <f aca="false">Einstellungen!$B$5+INT((ROW()-9)/24)</f>
        <v>46096</v>
      </c>
      <c r="B3139" s="11" t="n">
        <f aca="false">MOD(ROW()-9,24)</f>
        <v>10</v>
      </c>
      <c r="C3139" s="12"/>
      <c r="D3139" s="13" t="n">
        <f aca="false">IF(B3139&lt;5,Einstellungen!$B$3,Einstellungen!$B$4)</f>
        <v>29.13</v>
      </c>
      <c r="E3139" s="14" t="str">
        <f aca="false">IF(C3139="","",C3139*D3139/100)</f>
        <v/>
      </c>
      <c r="F3139" s="15" t="str">
        <f aca="false">IF(B3139&lt;5,"Go","Standard")</f>
        <v>Standard</v>
      </c>
    </row>
    <row r="3140" customFormat="false" ht="15" hidden="false" customHeight="true" outlineLevel="0" collapsed="false">
      <c r="A3140" s="10" t="n">
        <f aca="false">Einstellungen!$B$5+INT((ROW()-9)/24)</f>
        <v>46096</v>
      </c>
      <c r="B3140" s="11" t="n">
        <f aca="false">MOD(ROW()-9,24)</f>
        <v>11</v>
      </c>
      <c r="C3140" s="12"/>
      <c r="D3140" s="13" t="n">
        <f aca="false">IF(B3140&lt;5,Einstellungen!$B$3,Einstellungen!$B$4)</f>
        <v>29.13</v>
      </c>
      <c r="E3140" s="14" t="str">
        <f aca="false">IF(C3140="","",C3140*D3140/100)</f>
        <v/>
      </c>
      <c r="F3140" s="15" t="str">
        <f aca="false">IF(B3140&lt;5,"Go","Standard")</f>
        <v>Standard</v>
      </c>
    </row>
    <row r="3141" customFormat="false" ht="15" hidden="false" customHeight="true" outlineLevel="0" collapsed="false">
      <c r="A3141" s="10" t="n">
        <f aca="false">Einstellungen!$B$5+INT((ROW()-9)/24)</f>
        <v>46096</v>
      </c>
      <c r="B3141" s="11" t="n">
        <f aca="false">MOD(ROW()-9,24)</f>
        <v>12</v>
      </c>
      <c r="C3141" s="12"/>
      <c r="D3141" s="13" t="n">
        <f aca="false">IF(B3141&lt;5,Einstellungen!$B$3,Einstellungen!$B$4)</f>
        <v>29.13</v>
      </c>
      <c r="E3141" s="14" t="str">
        <f aca="false">IF(C3141="","",C3141*D3141/100)</f>
        <v/>
      </c>
      <c r="F3141" s="15" t="str">
        <f aca="false">IF(B3141&lt;5,"Go","Standard")</f>
        <v>Standard</v>
      </c>
    </row>
    <row r="3142" customFormat="false" ht="15" hidden="false" customHeight="true" outlineLevel="0" collapsed="false">
      <c r="A3142" s="10" t="n">
        <f aca="false">Einstellungen!$B$5+INT((ROW()-9)/24)</f>
        <v>46096</v>
      </c>
      <c r="B3142" s="11" t="n">
        <f aca="false">MOD(ROW()-9,24)</f>
        <v>13</v>
      </c>
      <c r="C3142" s="12"/>
      <c r="D3142" s="13" t="n">
        <f aca="false">IF(B3142&lt;5,Einstellungen!$B$3,Einstellungen!$B$4)</f>
        <v>29.13</v>
      </c>
      <c r="E3142" s="14" t="str">
        <f aca="false">IF(C3142="","",C3142*D3142/100)</f>
        <v/>
      </c>
      <c r="F3142" s="15" t="str">
        <f aca="false">IF(B3142&lt;5,"Go","Standard")</f>
        <v>Standard</v>
      </c>
    </row>
    <row r="3143" customFormat="false" ht="15" hidden="false" customHeight="true" outlineLevel="0" collapsed="false">
      <c r="A3143" s="10" t="n">
        <f aca="false">Einstellungen!$B$5+INT((ROW()-9)/24)</f>
        <v>46096</v>
      </c>
      <c r="B3143" s="11" t="n">
        <f aca="false">MOD(ROW()-9,24)</f>
        <v>14</v>
      </c>
      <c r="C3143" s="12"/>
      <c r="D3143" s="13" t="n">
        <f aca="false">IF(B3143&lt;5,Einstellungen!$B$3,Einstellungen!$B$4)</f>
        <v>29.13</v>
      </c>
      <c r="E3143" s="14" t="str">
        <f aca="false">IF(C3143="","",C3143*D3143/100)</f>
        <v/>
      </c>
      <c r="F3143" s="15" t="str">
        <f aca="false">IF(B3143&lt;5,"Go","Standard")</f>
        <v>Standard</v>
      </c>
    </row>
    <row r="3144" customFormat="false" ht="15" hidden="false" customHeight="true" outlineLevel="0" collapsed="false">
      <c r="A3144" s="10" t="n">
        <f aca="false">Einstellungen!$B$5+INT((ROW()-9)/24)</f>
        <v>46096</v>
      </c>
      <c r="B3144" s="11" t="n">
        <f aca="false">MOD(ROW()-9,24)</f>
        <v>15</v>
      </c>
      <c r="C3144" s="12"/>
      <c r="D3144" s="13" t="n">
        <f aca="false">IF(B3144&lt;5,Einstellungen!$B$3,Einstellungen!$B$4)</f>
        <v>29.13</v>
      </c>
      <c r="E3144" s="14" t="str">
        <f aca="false">IF(C3144="","",C3144*D3144/100)</f>
        <v/>
      </c>
      <c r="F3144" s="15" t="str">
        <f aca="false">IF(B3144&lt;5,"Go","Standard")</f>
        <v>Standard</v>
      </c>
    </row>
    <row r="3145" customFormat="false" ht="15" hidden="false" customHeight="true" outlineLevel="0" collapsed="false">
      <c r="A3145" s="10" t="n">
        <f aca="false">Einstellungen!$B$5+INT((ROW()-9)/24)</f>
        <v>46096</v>
      </c>
      <c r="B3145" s="11" t="n">
        <f aca="false">MOD(ROW()-9,24)</f>
        <v>16</v>
      </c>
      <c r="C3145" s="12"/>
      <c r="D3145" s="13" t="n">
        <f aca="false">IF(B3145&lt;5,Einstellungen!$B$3,Einstellungen!$B$4)</f>
        <v>29.13</v>
      </c>
      <c r="E3145" s="14" t="str">
        <f aca="false">IF(C3145="","",C3145*D3145/100)</f>
        <v/>
      </c>
      <c r="F3145" s="15" t="str">
        <f aca="false">IF(B3145&lt;5,"Go","Standard")</f>
        <v>Standard</v>
      </c>
    </row>
    <row r="3146" customFormat="false" ht="15" hidden="false" customHeight="true" outlineLevel="0" collapsed="false">
      <c r="A3146" s="10" t="n">
        <f aca="false">Einstellungen!$B$5+INT((ROW()-9)/24)</f>
        <v>46096</v>
      </c>
      <c r="B3146" s="11" t="n">
        <f aca="false">MOD(ROW()-9,24)</f>
        <v>17</v>
      </c>
      <c r="C3146" s="12"/>
      <c r="D3146" s="13" t="n">
        <f aca="false">IF(B3146&lt;5,Einstellungen!$B$3,Einstellungen!$B$4)</f>
        <v>29.13</v>
      </c>
      <c r="E3146" s="14" t="str">
        <f aca="false">IF(C3146="","",C3146*D3146/100)</f>
        <v/>
      </c>
      <c r="F3146" s="15" t="str">
        <f aca="false">IF(B3146&lt;5,"Go","Standard")</f>
        <v>Standard</v>
      </c>
    </row>
    <row r="3147" customFormat="false" ht="15" hidden="false" customHeight="true" outlineLevel="0" collapsed="false">
      <c r="A3147" s="10" t="n">
        <f aca="false">Einstellungen!$B$5+INT((ROW()-9)/24)</f>
        <v>46096</v>
      </c>
      <c r="B3147" s="11" t="n">
        <f aca="false">MOD(ROW()-9,24)</f>
        <v>18</v>
      </c>
      <c r="C3147" s="12"/>
      <c r="D3147" s="13" t="n">
        <f aca="false">IF(B3147&lt;5,Einstellungen!$B$3,Einstellungen!$B$4)</f>
        <v>29.13</v>
      </c>
      <c r="E3147" s="14" t="str">
        <f aca="false">IF(C3147="","",C3147*D3147/100)</f>
        <v/>
      </c>
      <c r="F3147" s="15" t="str">
        <f aca="false">IF(B3147&lt;5,"Go","Standard")</f>
        <v>Standard</v>
      </c>
    </row>
    <row r="3148" customFormat="false" ht="15" hidden="false" customHeight="true" outlineLevel="0" collapsed="false">
      <c r="A3148" s="10" t="n">
        <f aca="false">Einstellungen!$B$5+INT((ROW()-9)/24)</f>
        <v>46096</v>
      </c>
      <c r="B3148" s="11" t="n">
        <f aca="false">MOD(ROW()-9,24)</f>
        <v>19</v>
      </c>
      <c r="C3148" s="12"/>
      <c r="D3148" s="13" t="n">
        <f aca="false">IF(B3148&lt;5,Einstellungen!$B$3,Einstellungen!$B$4)</f>
        <v>29.13</v>
      </c>
      <c r="E3148" s="14" t="str">
        <f aca="false">IF(C3148="","",C3148*D3148/100)</f>
        <v/>
      </c>
      <c r="F3148" s="15" t="str">
        <f aca="false">IF(B3148&lt;5,"Go","Standard")</f>
        <v>Standard</v>
      </c>
    </row>
    <row r="3149" customFormat="false" ht="15" hidden="false" customHeight="true" outlineLevel="0" collapsed="false">
      <c r="A3149" s="10" t="n">
        <f aca="false">Einstellungen!$B$5+INT((ROW()-9)/24)</f>
        <v>46096</v>
      </c>
      <c r="B3149" s="11" t="n">
        <f aca="false">MOD(ROW()-9,24)</f>
        <v>20</v>
      </c>
      <c r="C3149" s="12"/>
      <c r="D3149" s="13" t="n">
        <f aca="false">IF(B3149&lt;5,Einstellungen!$B$3,Einstellungen!$B$4)</f>
        <v>29.13</v>
      </c>
      <c r="E3149" s="14" t="str">
        <f aca="false">IF(C3149="","",C3149*D3149/100)</f>
        <v/>
      </c>
      <c r="F3149" s="15" t="str">
        <f aca="false">IF(B3149&lt;5,"Go","Standard")</f>
        <v>Standard</v>
      </c>
    </row>
    <row r="3150" customFormat="false" ht="15" hidden="false" customHeight="true" outlineLevel="0" collapsed="false">
      <c r="A3150" s="10" t="n">
        <f aca="false">Einstellungen!$B$5+INT((ROW()-9)/24)</f>
        <v>46096</v>
      </c>
      <c r="B3150" s="11" t="n">
        <f aca="false">MOD(ROW()-9,24)</f>
        <v>21</v>
      </c>
      <c r="C3150" s="12"/>
      <c r="D3150" s="13" t="n">
        <f aca="false">IF(B3150&lt;5,Einstellungen!$B$3,Einstellungen!$B$4)</f>
        <v>29.13</v>
      </c>
      <c r="E3150" s="14" t="str">
        <f aca="false">IF(C3150="","",C3150*D3150/100)</f>
        <v/>
      </c>
      <c r="F3150" s="15" t="str">
        <f aca="false">IF(B3150&lt;5,"Go","Standard")</f>
        <v>Standard</v>
      </c>
    </row>
    <row r="3151" customFormat="false" ht="15" hidden="false" customHeight="true" outlineLevel="0" collapsed="false">
      <c r="A3151" s="10" t="n">
        <f aca="false">Einstellungen!$B$5+INT((ROW()-9)/24)</f>
        <v>46096</v>
      </c>
      <c r="B3151" s="11" t="n">
        <f aca="false">MOD(ROW()-9,24)</f>
        <v>22</v>
      </c>
      <c r="C3151" s="12"/>
      <c r="D3151" s="13" t="n">
        <f aca="false">IF(B3151&lt;5,Einstellungen!$B$3,Einstellungen!$B$4)</f>
        <v>29.13</v>
      </c>
      <c r="E3151" s="14" t="str">
        <f aca="false">IF(C3151="","",C3151*D3151/100)</f>
        <v/>
      </c>
      <c r="F3151" s="15" t="str">
        <f aca="false">IF(B3151&lt;5,"Go","Standard")</f>
        <v>Standard</v>
      </c>
    </row>
    <row r="3152" customFormat="false" ht="15" hidden="false" customHeight="true" outlineLevel="0" collapsed="false">
      <c r="A3152" s="10" t="n">
        <f aca="false">Einstellungen!$B$5+INT((ROW()-9)/24)</f>
        <v>46096</v>
      </c>
      <c r="B3152" s="11" t="n">
        <f aca="false">MOD(ROW()-9,24)</f>
        <v>23</v>
      </c>
      <c r="C3152" s="12"/>
      <c r="D3152" s="13" t="n">
        <f aca="false">IF(B3152&lt;5,Einstellungen!$B$3,Einstellungen!$B$4)</f>
        <v>29.13</v>
      </c>
      <c r="E3152" s="14" t="str">
        <f aca="false">IF(C3152="","",C3152*D3152/100)</f>
        <v/>
      </c>
      <c r="F3152" s="15" t="str">
        <f aca="false">IF(B3152&lt;5,"Go","Standard")</f>
        <v>Standard</v>
      </c>
    </row>
    <row r="3153" customFormat="false" ht="15" hidden="false" customHeight="true" outlineLevel="0" collapsed="false">
      <c r="A3153" s="10" t="n">
        <f aca="false">Einstellungen!$B$5+INT((ROW()-9)/24)</f>
        <v>46097</v>
      </c>
      <c r="B3153" s="11" t="n">
        <f aca="false">MOD(ROW()-9,24)</f>
        <v>0</v>
      </c>
      <c r="C3153" s="12"/>
      <c r="D3153" s="13" t="n">
        <f aca="false">IF(B3153&lt;5,Einstellungen!$B$3,Einstellungen!$B$4)</f>
        <v>15.92</v>
      </c>
      <c r="E3153" s="14" t="str">
        <f aca="false">IF(C3153="","",C3153*D3153/100)</f>
        <v/>
      </c>
      <c r="F3153" s="15" t="str">
        <f aca="false">IF(B3153&lt;5,"Go","Standard")</f>
        <v>Go</v>
      </c>
    </row>
    <row r="3154" customFormat="false" ht="15" hidden="false" customHeight="true" outlineLevel="0" collapsed="false">
      <c r="A3154" s="10" t="n">
        <f aca="false">Einstellungen!$B$5+INT((ROW()-9)/24)</f>
        <v>46097</v>
      </c>
      <c r="B3154" s="11" t="n">
        <f aca="false">MOD(ROW()-9,24)</f>
        <v>1</v>
      </c>
      <c r="C3154" s="12"/>
      <c r="D3154" s="13" t="n">
        <f aca="false">IF(B3154&lt;5,Einstellungen!$B$3,Einstellungen!$B$4)</f>
        <v>15.92</v>
      </c>
      <c r="E3154" s="14" t="str">
        <f aca="false">IF(C3154="","",C3154*D3154/100)</f>
        <v/>
      </c>
      <c r="F3154" s="15" t="str">
        <f aca="false">IF(B3154&lt;5,"Go","Standard")</f>
        <v>Go</v>
      </c>
    </row>
    <row r="3155" customFormat="false" ht="15" hidden="false" customHeight="true" outlineLevel="0" collapsed="false">
      <c r="A3155" s="10" t="n">
        <f aca="false">Einstellungen!$B$5+INT((ROW()-9)/24)</f>
        <v>46097</v>
      </c>
      <c r="B3155" s="11" t="n">
        <f aca="false">MOD(ROW()-9,24)</f>
        <v>2</v>
      </c>
      <c r="C3155" s="12"/>
      <c r="D3155" s="13" t="n">
        <f aca="false">IF(B3155&lt;5,Einstellungen!$B$3,Einstellungen!$B$4)</f>
        <v>15.92</v>
      </c>
      <c r="E3155" s="14" t="str">
        <f aca="false">IF(C3155="","",C3155*D3155/100)</f>
        <v/>
      </c>
      <c r="F3155" s="15" t="str">
        <f aca="false">IF(B3155&lt;5,"Go","Standard")</f>
        <v>Go</v>
      </c>
    </row>
    <row r="3156" customFormat="false" ht="15" hidden="false" customHeight="true" outlineLevel="0" collapsed="false">
      <c r="A3156" s="10" t="n">
        <f aca="false">Einstellungen!$B$5+INT((ROW()-9)/24)</f>
        <v>46097</v>
      </c>
      <c r="B3156" s="11" t="n">
        <f aca="false">MOD(ROW()-9,24)</f>
        <v>3</v>
      </c>
      <c r="C3156" s="12"/>
      <c r="D3156" s="13" t="n">
        <f aca="false">IF(B3156&lt;5,Einstellungen!$B$3,Einstellungen!$B$4)</f>
        <v>15.92</v>
      </c>
      <c r="E3156" s="14" t="str">
        <f aca="false">IF(C3156="","",C3156*D3156/100)</f>
        <v/>
      </c>
      <c r="F3156" s="15" t="str">
        <f aca="false">IF(B3156&lt;5,"Go","Standard")</f>
        <v>Go</v>
      </c>
    </row>
    <row r="3157" customFormat="false" ht="15" hidden="false" customHeight="true" outlineLevel="0" collapsed="false">
      <c r="A3157" s="10" t="n">
        <f aca="false">Einstellungen!$B$5+INT((ROW()-9)/24)</f>
        <v>46097</v>
      </c>
      <c r="B3157" s="11" t="n">
        <f aca="false">MOD(ROW()-9,24)</f>
        <v>4</v>
      </c>
      <c r="C3157" s="12"/>
      <c r="D3157" s="13" t="n">
        <f aca="false">IF(B3157&lt;5,Einstellungen!$B$3,Einstellungen!$B$4)</f>
        <v>15.92</v>
      </c>
      <c r="E3157" s="14" t="str">
        <f aca="false">IF(C3157="","",C3157*D3157/100)</f>
        <v/>
      </c>
      <c r="F3157" s="15" t="str">
        <f aca="false">IF(B3157&lt;5,"Go","Standard")</f>
        <v>Go</v>
      </c>
    </row>
    <row r="3158" customFormat="false" ht="15" hidden="false" customHeight="true" outlineLevel="0" collapsed="false">
      <c r="A3158" s="10" t="n">
        <f aca="false">Einstellungen!$B$5+INT((ROW()-9)/24)</f>
        <v>46097</v>
      </c>
      <c r="B3158" s="11" t="n">
        <f aca="false">MOD(ROW()-9,24)</f>
        <v>5</v>
      </c>
      <c r="C3158" s="12"/>
      <c r="D3158" s="13" t="n">
        <f aca="false">IF(B3158&lt;5,Einstellungen!$B$3,Einstellungen!$B$4)</f>
        <v>29.13</v>
      </c>
      <c r="E3158" s="14" t="str">
        <f aca="false">IF(C3158="","",C3158*D3158/100)</f>
        <v/>
      </c>
      <c r="F3158" s="15" t="str">
        <f aca="false">IF(B3158&lt;5,"Go","Standard")</f>
        <v>Standard</v>
      </c>
    </row>
    <row r="3159" customFormat="false" ht="15" hidden="false" customHeight="true" outlineLevel="0" collapsed="false">
      <c r="A3159" s="10" t="n">
        <f aca="false">Einstellungen!$B$5+INT((ROW()-9)/24)</f>
        <v>46097</v>
      </c>
      <c r="B3159" s="11" t="n">
        <f aca="false">MOD(ROW()-9,24)</f>
        <v>6</v>
      </c>
      <c r="C3159" s="12"/>
      <c r="D3159" s="13" t="n">
        <f aca="false">IF(B3159&lt;5,Einstellungen!$B$3,Einstellungen!$B$4)</f>
        <v>29.13</v>
      </c>
      <c r="E3159" s="14" t="str">
        <f aca="false">IF(C3159="","",C3159*D3159/100)</f>
        <v/>
      </c>
      <c r="F3159" s="15" t="str">
        <f aca="false">IF(B3159&lt;5,"Go","Standard")</f>
        <v>Standard</v>
      </c>
    </row>
    <row r="3160" customFormat="false" ht="15" hidden="false" customHeight="true" outlineLevel="0" collapsed="false">
      <c r="A3160" s="10" t="n">
        <f aca="false">Einstellungen!$B$5+INT((ROW()-9)/24)</f>
        <v>46097</v>
      </c>
      <c r="B3160" s="11" t="n">
        <f aca="false">MOD(ROW()-9,24)</f>
        <v>7</v>
      </c>
      <c r="C3160" s="12"/>
      <c r="D3160" s="13" t="n">
        <f aca="false">IF(B3160&lt;5,Einstellungen!$B$3,Einstellungen!$B$4)</f>
        <v>29.13</v>
      </c>
      <c r="E3160" s="14" t="str">
        <f aca="false">IF(C3160="","",C3160*D3160/100)</f>
        <v/>
      </c>
      <c r="F3160" s="15" t="str">
        <f aca="false">IF(B3160&lt;5,"Go","Standard")</f>
        <v>Standard</v>
      </c>
    </row>
    <row r="3161" customFormat="false" ht="15" hidden="false" customHeight="true" outlineLevel="0" collapsed="false">
      <c r="A3161" s="10" t="n">
        <f aca="false">Einstellungen!$B$5+INT((ROW()-9)/24)</f>
        <v>46097</v>
      </c>
      <c r="B3161" s="11" t="n">
        <f aca="false">MOD(ROW()-9,24)</f>
        <v>8</v>
      </c>
      <c r="C3161" s="12"/>
      <c r="D3161" s="13" t="n">
        <f aca="false">IF(B3161&lt;5,Einstellungen!$B$3,Einstellungen!$B$4)</f>
        <v>29.13</v>
      </c>
      <c r="E3161" s="14" t="str">
        <f aca="false">IF(C3161="","",C3161*D3161/100)</f>
        <v/>
      </c>
      <c r="F3161" s="15" t="str">
        <f aca="false">IF(B3161&lt;5,"Go","Standard")</f>
        <v>Standard</v>
      </c>
    </row>
    <row r="3162" customFormat="false" ht="15" hidden="false" customHeight="true" outlineLevel="0" collapsed="false">
      <c r="A3162" s="10" t="n">
        <f aca="false">Einstellungen!$B$5+INT((ROW()-9)/24)</f>
        <v>46097</v>
      </c>
      <c r="B3162" s="11" t="n">
        <f aca="false">MOD(ROW()-9,24)</f>
        <v>9</v>
      </c>
      <c r="C3162" s="12"/>
      <c r="D3162" s="13" t="n">
        <f aca="false">IF(B3162&lt;5,Einstellungen!$B$3,Einstellungen!$B$4)</f>
        <v>29.13</v>
      </c>
      <c r="E3162" s="14" t="str">
        <f aca="false">IF(C3162="","",C3162*D3162/100)</f>
        <v/>
      </c>
      <c r="F3162" s="15" t="str">
        <f aca="false">IF(B3162&lt;5,"Go","Standard")</f>
        <v>Standard</v>
      </c>
    </row>
    <row r="3163" customFormat="false" ht="15" hidden="false" customHeight="true" outlineLevel="0" collapsed="false">
      <c r="A3163" s="10" t="n">
        <f aca="false">Einstellungen!$B$5+INT((ROW()-9)/24)</f>
        <v>46097</v>
      </c>
      <c r="B3163" s="11" t="n">
        <f aca="false">MOD(ROW()-9,24)</f>
        <v>10</v>
      </c>
      <c r="C3163" s="12"/>
      <c r="D3163" s="13" t="n">
        <f aca="false">IF(B3163&lt;5,Einstellungen!$B$3,Einstellungen!$B$4)</f>
        <v>29.13</v>
      </c>
      <c r="E3163" s="14" t="str">
        <f aca="false">IF(C3163="","",C3163*D3163/100)</f>
        <v/>
      </c>
      <c r="F3163" s="15" t="str">
        <f aca="false">IF(B3163&lt;5,"Go","Standard")</f>
        <v>Standard</v>
      </c>
    </row>
    <row r="3164" customFormat="false" ht="15" hidden="false" customHeight="true" outlineLevel="0" collapsed="false">
      <c r="A3164" s="10" t="n">
        <f aca="false">Einstellungen!$B$5+INT((ROW()-9)/24)</f>
        <v>46097</v>
      </c>
      <c r="B3164" s="11" t="n">
        <f aca="false">MOD(ROW()-9,24)</f>
        <v>11</v>
      </c>
      <c r="C3164" s="12"/>
      <c r="D3164" s="13" t="n">
        <f aca="false">IF(B3164&lt;5,Einstellungen!$B$3,Einstellungen!$B$4)</f>
        <v>29.13</v>
      </c>
      <c r="E3164" s="14" t="str">
        <f aca="false">IF(C3164="","",C3164*D3164/100)</f>
        <v/>
      </c>
      <c r="F3164" s="15" t="str">
        <f aca="false">IF(B3164&lt;5,"Go","Standard")</f>
        <v>Standard</v>
      </c>
    </row>
    <row r="3165" customFormat="false" ht="15" hidden="false" customHeight="true" outlineLevel="0" collapsed="false">
      <c r="A3165" s="10" t="n">
        <f aca="false">Einstellungen!$B$5+INT((ROW()-9)/24)</f>
        <v>46097</v>
      </c>
      <c r="B3165" s="11" t="n">
        <f aca="false">MOD(ROW()-9,24)</f>
        <v>12</v>
      </c>
      <c r="C3165" s="12"/>
      <c r="D3165" s="13" t="n">
        <f aca="false">IF(B3165&lt;5,Einstellungen!$B$3,Einstellungen!$B$4)</f>
        <v>29.13</v>
      </c>
      <c r="E3165" s="14" t="str">
        <f aca="false">IF(C3165="","",C3165*D3165/100)</f>
        <v/>
      </c>
      <c r="F3165" s="15" t="str">
        <f aca="false">IF(B3165&lt;5,"Go","Standard")</f>
        <v>Standard</v>
      </c>
    </row>
    <row r="3166" customFormat="false" ht="15" hidden="false" customHeight="true" outlineLevel="0" collapsed="false">
      <c r="A3166" s="10" t="n">
        <f aca="false">Einstellungen!$B$5+INT((ROW()-9)/24)</f>
        <v>46097</v>
      </c>
      <c r="B3166" s="11" t="n">
        <f aca="false">MOD(ROW()-9,24)</f>
        <v>13</v>
      </c>
      <c r="C3166" s="12"/>
      <c r="D3166" s="13" t="n">
        <f aca="false">IF(B3166&lt;5,Einstellungen!$B$3,Einstellungen!$B$4)</f>
        <v>29.13</v>
      </c>
      <c r="E3166" s="14" t="str">
        <f aca="false">IF(C3166="","",C3166*D3166/100)</f>
        <v/>
      </c>
      <c r="F3166" s="15" t="str">
        <f aca="false">IF(B3166&lt;5,"Go","Standard")</f>
        <v>Standard</v>
      </c>
    </row>
    <row r="3167" customFormat="false" ht="15" hidden="false" customHeight="true" outlineLevel="0" collapsed="false">
      <c r="A3167" s="10" t="n">
        <f aca="false">Einstellungen!$B$5+INT((ROW()-9)/24)</f>
        <v>46097</v>
      </c>
      <c r="B3167" s="11" t="n">
        <f aca="false">MOD(ROW()-9,24)</f>
        <v>14</v>
      </c>
      <c r="C3167" s="12"/>
      <c r="D3167" s="13" t="n">
        <f aca="false">IF(B3167&lt;5,Einstellungen!$B$3,Einstellungen!$B$4)</f>
        <v>29.13</v>
      </c>
      <c r="E3167" s="14" t="str">
        <f aca="false">IF(C3167="","",C3167*D3167/100)</f>
        <v/>
      </c>
      <c r="F3167" s="15" t="str">
        <f aca="false">IF(B3167&lt;5,"Go","Standard")</f>
        <v>Standard</v>
      </c>
    </row>
    <row r="3168" customFormat="false" ht="15" hidden="false" customHeight="true" outlineLevel="0" collapsed="false">
      <c r="A3168" s="10" t="n">
        <f aca="false">Einstellungen!$B$5+INT((ROW()-9)/24)</f>
        <v>46097</v>
      </c>
      <c r="B3168" s="11" t="n">
        <f aca="false">MOD(ROW()-9,24)</f>
        <v>15</v>
      </c>
      <c r="C3168" s="12"/>
      <c r="D3168" s="13" t="n">
        <f aca="false">IF(B3168&lt;5,Einstellungen!$B$3,Einstellungen!$B$4)</f>
        <v>29.13</v>
      </c>
      <c r="E3168" s="14" t="str">
        <f aca="false">IF(C3168="","",C3168*D3168/100)</f>
        <v/>
      </c>
      <c r="F3168" s="15" t="str">
        <f aca="false">IF(B3168&lt;5,"Go","Standard")</f>
        <v>Standard</v>
      </c>
    </row>
    <row r="3169" customFormat="false" ht="15" hidden="false" customHeight="true" outlineLevel="0" collapsed="false">
      <c r="A3169" s="10" t="n">
        <f aca="false">Einstellungen!$B$5+INT((ROW()-9)/24)</f>
        <v>46097</v>
      </c>
      <c r="B3169" s="11" t="n">
        <f aca="false">MOD(ROW()-9,24)</f>
        <v>16</v>
      </c>
      <c r="C3169" s="12"/>
      <c r="D3169" s="13" t="n">
        <f aca="false">IF(B3169&lt;5,Einstellungen!$B$3,Einstellungen!$B$4)</f>
        <v>29.13</v>
      </c>
      <c r="E3169" s="14" t="str">
        <f aca="false">IF(C3169="","",C3169*D3169/100)</f>
        <v/>
      </c>
      <c r="F3169" s="15" t="str">
        <f aca="false">IF(B3169&lt;5,"Go","Standard")</f>
        <v>Standard</v>
      </c>
    </row>
    <row r="3170" customFormat="false" ht="15" hidden="false" customHeight="true" outlineLevel="0" collapsed="false">
      <c r="A3170" s="10" t="n">
        <f aca="false">Einstellungen!$B$5+INT((ROW()-9)/24)</f>
        <v>46097</v>
      </c>
      <c r="B3170" s="11" t="n">
        <f aca="false">MOD(ROW()-9,24)</f>
        <v>17</v>
      </c>
      <c r="C3170" s="12"/>
      <c r="D3170" s="13" t="n">
        <f aca="false">IF(B3170&lt;5,Einstellungen!$B$3,Einstellungen!$B$4)</f>
        <v>29.13</v>
      </c>
      <c r="E3170" s="14" t="str">
        <f aca="false">IF(C3170="","",C3170*D3170/100)</f>
        <v/>
      </c>
      <c r="F3170" s="15" t="str">
        <f aca="false">IF(B3170&lt;5,"Go","Standard")</f>
        <v>Standard</v>
      </c>
    </row>
    <row r="3171" customFormat="false" ht="15" hidden="false" customHeight="true" outlineLevel="0" collapsed="false">
      <c r="A3171" s="10" t="n">
        <f aca="false">Einstellungen!$B$5+INT((ROW()-9)/24)</f>
        <v>46097</v>
      </c>
      <c r="B3171" s="11" t="n">
        <f aca="false">MOD(ROW()-9,24)</f>
        <v>18</v>
      </c>
      <c r="C3171" s="12"/>
      <c r="D3171" s="13" t="n">
        <f aca="false">IF(B3171&lt;5,Einstellungen!$B$3,Einstellungen!$B$4)</f>
        <v>29.13</v>
      </c>
      <c r="E3171" s="14" t="str">
        <f aca="false">IF(C3171="","",C3171*D3171/100)</f>
        <v/>
      </c>
      <c r="F3171" s="15" t="str">
        <f aca="false">IF(B3171&lt;5,"Go","Standard")</f>
        <v>Standard</v>
      </c>
    </row>
    <row r="3172" customFormat="false" ht="15" hidden="false" customHeight="true" outlineLevel="0" collapsed="false">
      <c r="A3172" s="10" t="n">
        <f aca="false">Einstellungen!$B$5+INT((ROW()-9)/24)</f>
        <v>46097</v>
      </c>
      <c r="B3172" s="11" t="n">
        <f aca="false">MOD(ROW()-9,24)</f>
        <v>19</v>
      </c>
      <c r="C3172" s="12"/>
      <c r="D3172" s="13" t="n">
        <f aca="false">IF(B3172&lt;5,Einstellungen!$B$3,Einstellungen!$B$4)</f>
        <v>29.13</v>
      </c>
      <c r="E3172" s="14" t="str">
        <f aca="false">IF(C3172="","",C3172*D3172/100)</f>
        <v/>
      </c>
      <c r="F3172" s="15" t="str">
        <f aca="false">IF(B3172&lt;5,"Go","Standard")</f>
        <v>Standard</v>
      </c>
    </row>
    <row r="3173" customFormat="false" ht="15" hidden="false" customHeight="true" outlineLevel="0" collapsed="false">
      <c r="A3173" s="10" t="n">
        <f aca="false">Einstellungen!$B$5+INT((ROW()-9)/24)</f>
        <v>46097</v>
      </c>
      <c r="B3173" s="11" t="n">
        <f aca="false">MOD(ROW()-9,24)</f>
        <v>20</v>
      </c>
      <c r="C3173" s="12"/>
      <c r="D3173" s="13" t="n">
        <f aca="false">IF(B3173&lt;5,Einstellungen!$B$3,Einstellungen!$B$4)</f>
        <v>29.13</v>
      </c>
      <c r="E3173" s="14" t="str">
        <f aca="false">IF(C3173="","",C3173*D3173/100)</f>
        <v/>
      </c>
      <c r="F3173" s="15" t="str">
        <f aca="false">IF(B3173&lt;5,"Go","Standard")</f>
        <v>Standard</v>
      </c>
    </row>
    <row r="3174" customFormat="false" ht="15" hidden="false" customHeight="true" outlineLevel="0" collapsed="false">
      <c r="A3174" s="10" t="n">
        <f aca="false">Einstellungen!$B$5+INT((ROW()-9)/24)</f>
        <v>46097</v>
      </c>
      <c r="B3174" s="11" t="n">
        <f aca="false">MOD(ROW()-9,24)</f>
        <v>21</v>
      </c>
      <c r="C3174" s="12"/>
      <c r="D3174" s="13" t="n">
        <f aca="false">IF(B3174&lt;5,Einstellungen!$B$3,Einstellungen!$B$4)</f>
        <v>29.13</v>
      </c>
      <c r="E3174" s="14" t="str">
        <f aca="false">IF(C3174="","",C3174*D3174/100)</f>
        <v/>
      </c>
      <c r="F3174" s="15" t="str">
        <f aca="false">IF(B3174&lt;5,"Go","Standard")</f>
        <v>Standard</v>
      </c>
    </row>
    <row r="3175" customFormat="false" ht="15" hidden="false" customHeight="true" outlineLevel="0" collapsed="false">
      <c r="A3175" s="10" t="n">
        <f aca="false">Einstellungen!$B$5+INT((ROW()-9)/24)</f>
        <v>46097</v>
      </c>
      <c r="B3175" s="11" t="n">
        <f aca="false">MOD(ROW()-9,24)</f>
        <v>22</v>
      </c>
      <c r="C3175" s="12"/>
      <c r="D3175" s="13" t="n">
        <f aca="false">IF(B3175&lt;5,Einstellungen!$B$3,Einstellungen!$B$4)</f>
        <v>29.13</v>
      </c>
      <c r="E3175" s="14" t="str">
        <f aca="false">IF(C3175="","",C3175*D3175/100)</f>
        <v/>
      </c>
      <c r="F3175" s="15" t="str">
        <f aca="false">IF(B3175&lt;5,"Go","Standard")</f>
        <v>Standard</v>
      </c>
    </row>
    <row r="3176" customFormat="false" ht="15" hidden="false" customHeight="true" outlineLevel="0" collapsed="false">
      <c r="A3176" s="10" t="n">
        <f aca="false">Einstellungen!$B$5+INT((ROW()-9)/24)</f>
        <v>46097</v>
      </c>
      <c r="B3176" s="11" t="n">
        <f aca="false">MOD(ROW()-9,24)</f>
        <v>23</v>
      </c>
      <c r="C3176" s="12"/>
      <c r="D3176" s="13" t="n">
        <f aca="false">IF(B3176&lt;5,Einstellungen!$B$3,Einstellungen!$B$4)</f>
        <v>29.13</v>
      </c>
      <c r="E3176" s="14" t="str">
        <f aca="false">IF(C3176="","",C3176*D3176/100)</f>
        <v/>
      </c>
      <c r="F3176" s="15" t="str">
        <f aca="false">IF(B3176&lt;5,"Go","Standard")</f>
        <v>Standard</v>
      </c>
    </row>
    <row r="3177" customFormat="false" ht="15" hidden="false" customHeight="true" outlineLevel="0" collapsed="false">
      <c r="A3177" s="10" t="n">
        <f aca="false">Einstellungen!$B$5+INT((ROW()-9)/24)</f>
        <v>46098</v>
      </c>
      <c r="B3177" s="11" t="n">
        <f aca="false">MOD(ROW()-9,24)</f>
        <v>0</v>
      </c>
      <c r="C3177" s="12"/>
      <c r="D3177" s="13" t="n">
        <f aca="false">IF(B3177&lt;5,Einstellungen!$B$3,Einstellungen!$B$4)</f>
        <v>15.92</v>
      </c>
      <c r="E3177" s="14" t="str">
        <f aca="false">IF(C3177="","",C3177*D3177/100)</f>
        <v/>
      </c>
      <c r="F3177" s="15" t="str">
        <f aca="false">IF(B3177&lt;5,"Go","Standard")</f>
        <v>Go</v>
      </c>
    </row>
    <row r="3178" customFormat="false" ht="15" hidden="false" customHeight="true" outlineLevel="0" collapsed="false">
      <c r="A3178" s="10" t="n">
        <f aca="false">Einstellungen!$B$5+INT((ROW()-9)/24)</f>
        <v>46098</v>
      </c>
      <c r="B3178" s="11" t="n">
        <f aca="false">MOD(ROW()-9,24)</f>
        <v>1</v>
      </c>
      <c r="C3178" s="12"/>
      <c r="D3178" s="13" t="n">
        <f aca="false">IF(B3178&lt;5,Einstellungen!$B$3,Einstellungen!$B$4)</f>
        <v>15.92</v>
      </c>
      <c r="E3178" s="14" t="str">
        <f aca="false">IF(C3178="","",C3178*D3178/100)</f>
        <v/>
      </c>
      <c r="F3178" s="15" t="str">
        <f aca="false">IF(B3178&lt;5,"Go","Standard")</f>
        <v>Go</v>
      </c>
    </row>
    <row r="3179" customFormat="false" ht="15" hidden="false" customHeight="true" outlineLevel="0" collapsed="false">
      <c r="A3179" s="10" t="n">
        <f aca="false">Einstellungen!$B$5+INT((ROW()-9)/24)</f>
        <v>46098</v>
      </c>
      <c r="B3179" s="11" t="n">
        <f aca="false">MOD(ROW()-9,24)</f>
        <v>2</v>
      </c>
      <c r="C3179" s="12"/>
      <c r="D3179" s="13" t="n">
        <f aca="false">IF(B3179&lt;5,Einstellungen!$B$3,Einstellungen!$B$4)</f>
        <v>15.92</v>
      </c>
      <c r="E3179" s="14" t="str">
        <f aca="false">IF(C3179="","",C3179*D3179/100)</f>
        <v/>
      </c>
      <c r="F3179" s="15" t="str">
        <f aca="false">IF(B3179&lt;5,"Go","Standard")</f>
        <v>Go</v>
      </c>
    </row>
    <row r="3180" customFormat="false" ht="15" hidden="false" customHeight="true" outlineLevel="0" collapsed="false">
      <c r="A3180" s="10" t="n">
        <f aca="false">Einstellungen!$B$5+INT((ROW()-9)/24)</f>
        <v>46098</v>
      </c>
      <c r="B3180" s="11" t="n">
        <f aca="false">MOD(ROW()-9,24)</f>
        <v>3</v>
      </c>
      <c r="C3180" s="12"/>
      <c r="D3180" s="13" t="n">
        <f aca="false">IF(B3180&lt;5,Einstellungen!$B$3,Einstellungen!$B$4)</f>
        <v>15.92</v>
      </c>
      <c r="E3180" s="14" t="str">
        <f aca="false">IF(C3180="","",C3180*D3180/100)</f>
        <v/>
      </c>
      <c r="F3180" s="15" t="str">
        <f aca="false">IF(B3180&lt;5,"Go","Standard")</f>
        <v>Go</v>
      </c>
    </row>
    <row r="3181" customFormat="false" ht="15" hidden="false" customHeight="true" outlineLevel="0" collapsed="false">
      <c r="A3181" s="10" t="n">
        <f aca="false">Einstellungen!$B$5+INT((ROW()-9)/24)</f>
        <v>46098</v>
      </c>
      <c r="B3181" s="11" t="n">
        <f aca="false">MOD(ROW()-9,24)</f>
        <v>4</v>
      </c>
      <c r="C3181" s="12"/>
      <c r="D3181" s="13" t="n">
        <f aca="false">IF(B3181&lt;5,Einstellungen!$B$3,Einstellungen!$B$4)</f>
        <v>15.92</v>
      </c>
      <c r="E3181" s="14" t="str">
        <f aca="false">IF(C3181="","",C3181*D3181/100)</f>
        <v/>
      </c>
      <c r="F3181" s="15" t="str">
        <f aca="false">IF(B3181&lt;5,"Go","Standard")</f>
        <v>Go</v>
      </c>
    </row>
    <row r="3182" customFormat="false" ht="15" hidden="false" customHeight="true" outlineLevel="0" collapsed="false">
      <c r="A3182" s="10" t="n">
        <f aca="false">Einstellungen!$B$5+INT((ROW()-9)/24)</f>
        <v>46098</v>
      </c>
      <c r="B3182" s="11" t="n">
        <f aca="false">MOD(ROW()-9,24)</f>
        <v>5</v>
      </c>
      <c r="C3182" s="12"/>
      <c r="D3182" s="13" t="n">
        <f aca="false">IF(B3182&lt;5,Einstellungen!$B$3,Einstellungen!$B$4)</f>
        <v>29.13</v>
      </c>
      <c r="E3182" s="14" t="str">
        <f aca="false">IF(C3182="","",C3182*D3182/100)</f>
        <v/>
      </c>
      <c r="F3182" s="15" t="str">
        <f aca="false">IF(B3182&lt;5,"Go","Standard")</f>
        <v>Standard</v>
      </c>
    </row>
    <row r="3183" customFormat="false" ht="15" hidden="false" customHeight="true" outlineLevel="0" collapsed="false">
      <c r="A3183" s="10" t="n">
        <f aca="false">Einstellungen!$B$5+INT((ROW()-9)/24)</f>
        <v>46098</v>
      </c>
      <c r="B3183" s="11" t="n">
        <f aca="false">MOD(ROW()-9,24)</f>
        <v>6</v>
      </c>
      <c r="C3183" s="12"/>
      <c r="D3183" s="13" t="n">
        <f aca="false">IF(B3183&lt;5,Einstellungen!$B$3,Einstellungen!$B$4)</f>
        <v>29.13</v>
      </c>
      <c r="E3183" s="14" t="str">
        <f aca="false">IF(C3183="","",C3183*D3183/100)</f>
        <v/>
      </c>
      <c r="F3183" s="15" t="str">
        <f aca="false">IF(B3183&lt;5,"Go","Standard")</f>
        <v>Standard</v>
      </c>
    </row>
    <row r="3184" customFormat="false" ht="15" hidden="false" customHeight="true" outlineLevel="0" collapsed="false">
      <c r="A3184" s="10" t="n">
        <f aca="false">Einstellungen!$B$5+INT((ROW()-9)/24)</f>
        <v>46098</v>
      </c>
      <c r="B3184" s="11" t="n">
        <f aca="false">MOD(ROW()-9,24)</f>
        <v>7</v>
      </c>
      <c r="C3184" s="12"/>
      <c r="D3184" s="13" t="n">
        <f aca="false">IF(B3184&lt;5,Einstellungen!$B$3,Einstellungen!$B$4)</f>
        <v>29.13</v>
      </c>
      <c r="E3184" s="14" t="str">
        <f aca="false">IF(C3184="","",C3184*D3184/100)</f>
        <v/>
      </c>
      <c r="F3184" s="15" t="str">
        <f aca="false">IF(B3184&lt;5,"Go","Standard")</f>
        <v>Standard</v>
      </c>
    </row>
    <row r="3185" customFormat="false" ht="15" hidden="false" customHeight="true" outlineLevel="0" collapsed="false">
      <c r="A3185" s="10" t="n">
        <f aca="false">Einstellungen!$B$5+INT((ROW()-9)/24)</f>
        <v>46098</v>
      </c>
      <c r="B3185" s="11" t="n">
        <f aca="false">MOD(ROW()-9,24)</f>
        <v>8</v>
      </c>
      <c r="C3185" s="12"/>
      <c r="D3185" s="13" t="n">
        <f aca="false">IF(B3185&lt;5,Einstellungen!$B$3,Einstellungen!$B$4)</f>
        <v>29.13</v>
      </c>
      <c r="E3185" s="14" t="str">
        <f aca="false">IF(C3185="","",C3185*D3185/100)</f>
        <v/>
      </c>
      <c r="F3185" s="15" t="str">
        <f aca="false">IF(B3185&lt;5,"Go","Standard")</f>
        <v>Standard</v>
      </c>
    </row>
    <row r="3186" customFormat="false" ht="15" hidden="false" customHeight="true" outlineLevel="0" collapsed="false">
      <c r="A3186" s="10" t="n">
        <f aca="false">Einstellungen!$B$5+INT((ROW()-9)/24)</f>
        <v>46098</v>
      </c>
      <c r="B3186" s="11" t="n">
        <f aca="false">MOD(ROW()-9,24)</f>
        <v>9</v>
      </c>
      <c r="C3186" s="12"/>
      <c r="D3186" s="13" t="n">
        <f aca="false">IF(B3186&lt;5,Einstellungen!$B$3,Einstellungen!$B$4)</f>
        <v>29.13</v>
      </c>
      <c r="E3186" s="14" t="str">
        <f aca="false">IF(C3186="","",C3186*D3186/100)</f>
        <v/>
      </c>
      <c r="F3186" s="15" t="str">
        <f aca="false">IF(B3186&lt;5,"Go","Standard")</f>
        <v>Standard</v>
      </c>
    </row>
    <row r="3187" customFormat="false" ht="15" hidden="false" customHeight="true" outlineLevel="0" collapsed="false">
      <c r="A3187" s="10" t="n">
        <f aca="false">Einstellungen!$B$5+INT((ROW()-9)/24)</f>
        <v>46098</v>
      </c>
      <c r="B3187" s="11" t="n">
        <f aca="false">MOD(ROW()-9,24)</f>
        <v>10</v>
      </c>
      <c r="C3187" s="12"/>
      <c r="D3187" s="13" t="n">
        <f aca="false">IF(B3187&lt;5,Einstellungen!$B$3,Einstellungen!$B$4)</f>
        <v>29.13</v>
      </c>
      <c r="E3187" s="14" t="str">
        <f aca="false">IF(C3187="","",C3187*D3187/100)</f>
        <v/>
      </c>
      <c r="F3187" s="15" t="str">
        <f aca="false">IF(B3187&lt;5,"Go","Standard")</f>
        <v>Standard</v>
      </c>
    </row>
    <row r="3188" customFormat="false" ht="15" hidden="false" customHeight="true" outlineLevel="0" collapsed="false">
      <c r="A3188" s="10" t="n">
        <f aca="false">Einstellungen!$B$5+INT((ROW()-9)/24)</f>
        <v>46098</v>
      </c>
      <c r="B3188" s="11" t="n">
        <f aca="false">MOD(ROW()-9,24)</f>
        <v>11</v>
      </c>
      <c r="C3188" s="12"/>
      <c r="D3188" s="13" t="n">
        <f aca="false">IF(B3188&lt;5,Einstellungen!$B$3,Einstellungen!$B$4)</f>
        <v>29.13</v>
      </c>
      <c r="E3188" s="14" t="str">
        <f aca="false">IF(C3188="","",C3188*D3188/100)</f>
        <v/>
      </c>
      <c r="F3188" s="15" t="str">
        <f aca="false">IF(B3188&lt;5,"Go","Standard")</f>
        <v>Standard</v>
      </c>
    </row>
    <row r="3189" customFormat="false" ht="15" hidden="false" customHeight="true" outlineLevel="0" collapsed="false">
      <c r="A3189" s="10" t="n">
        <f aca="false">Einstellungen!$B$5+INT((ROW()-9)/24)</f>
        <v>46098</v>
      </c>
      <c r="B3189" s="11" t="n">
        <f aca="false">MOD(ROW()-9,24)</f>
        <v>12</v>
      </c>
      <c r="C3189" s="12"/>
      <c r="D3189" s="13" t="n">
        <f aca="false">IF(B3189&lt;5,Einstellungen!$B$3,Einstellungen!$B$4)</f>
        <v>29.13</v>
      </c>
      <c r="E3189" s="14" t="str">
        <f aca="false">IF(C3189="","",C3189*D3189/100)</f>
        <v/>
      </c>
      <c r="F3189" s="15" t="str">
        <f aca="false">IF(B3189&lt;5,"Go","Standard")</f>
        <v>Standard</v>
      </c>
    </row>
    <row r="3190" customFormat="false" ht="15" hidden="false" customHeight="true" outlineLevel="0" collapsed="false">
      <c r="A3190" s="10" t="n">
        <f aca="false">Einstellungen!$B$5+INT((ROW()-9)/24)</f>
        <v>46098</v>
      </c>
      <c r="B3190" s="11" t="n">
        <f aca="false">MOD(ROW()-9,24)</f>
        <v>13</v>
      </c>
      <c r="C3190" s="12"/>
      <c r="D3190" s="13" t="n">
        <f aca="false">IF(B3190&lt;5,Einstellungen!$B$3,Einstellungen!$B$4)</f>
        <v>29.13</v>
      </c>
      <c r="E3190" s="14" t="str">
        <f aca="false">IF(C3190="","",C3190*D3190/100)</f>
        <v/>
      </c>
      <c r="F3190" s="15" t="str">
        <f aca="false">IF(B3190&lt;5,"Go","Standard")</f>
        <v>Standard</v>
      </c>
    </row>
    <row r="3191" customFormat="false" ht="15" hidden="false" customHeight="true" outlineLevel="0" collapsed="false">
      <c r="A3191" s="10" t="n">
        <f aca="false">Einstellungen!$B$5+INT((ROW()-9)/24)</f>
        <v>46098</v>
      </c>
      <c r="B3191" s="11" t="n">
        <f aca="false">MOD(ROW()-9,24)</f>
        <v>14</v>
      </c>
      <c r="C3191" s="12"/>
      <c r="D3191" s="13" t="n">
        <f aca="false">IF(B3191&lt;5,Einstellungen!$B$3,Einstellungen!$B$4)</f>
        <v>29.13</v>
      </c>
      <c r="E3191" s="14" t="str">
        <f aca="false">IF(C3191="","",C3191*D3191/100)</f>
        <v/>
      </c>
      <c r="F3191" s="15" t="str">
        <f aca="false">IF(B3191&lt;5,"Go","Standard")</f>
        <v>Standard</v>
      </c>
    </row>
    <row r="3192" customFormat="false" ht="15" hidden="false" customHeight="true" outlineLevel="0" collapsed="false">
      <c r="A3192" s="10" t="n">
        <f aca="false">Einstellungen!$B$5+INT((ROW()-9)/24)</f>
        <v>46098</v>
      </c>
      <c r="B3192" s="11" t="n">
        <f aca="false">MOD(ROW()-9,24)</f>
        <v>15</v>
      </c>
      <c r="C3192" s="12"/>
      <c r="D3192" s="13" t="n">
        <f aca="false">IF(B3192&lt;5,Einstellungen!$B$3,Einstellungen!$B$4)</f>
        <v>29.13</v>
      </c>
      <c r="E3192" s="14" t="str">
        <f aca="false">IF(C3192="","",C3192*D3192/100)</f>
        <v/>
      </c>
      <c r="F3192" s="15" t="str">
        <f aca="false">IF(B3192&lt;5,"Go","Standard")</f>
        <v>Standard</v>
      </c>
    </row>
    <row r="3193" customFormat="false" ht="15" hidden="false" customHeight="true" outlineLevel="0" collapsed="false">
      <c r="A3193" s="10" t="n">
        <f aca="false">Einstellungen!$B$5+INT((ROW()-9)/24)</f>
        <v>46098</v>
      </c>
      <c r="B3193" s="11" t="n">
        <f aca="false">MOD(ROW()-9,24)</f>
        <v>16</v>
      </c>
      <c r="C3193" s="12"/>
      <c r="D3193" s="13" t="n">
        <f aca="false">IF(B3193&lt;5,Einstellungen!$B$3,Einstellungen!$B$4)</f>
        <v>29.13</v>
      </c>
      <c r="E3193" s="14" t="str">
        <f aca="false">IF(C3193="","",C3193*D3193/100)</f>
        <v/>
      </c>
      <c r="F3193" s="15" t="str">
        <f aca="false">IF(B3193&lt;5,"Go","Standard")</f>
        <v>Standard</v>
      </c>
    </row>
    <row r="3194" customFormat="false" ht="15" hidden="false" customHeight="true" outlineLevel="0" collapsed="false">
      <c r="A3194" s="10" t="n">
        <f aca="false">Einstellungen!$B$5+INT((ROW()-9)/24)</f>
        <v>46098</v>
      </c>
      <c r="B3194" s="11" t="n">
        <f aca="false">MOD(ROW()-9,24)</f>
        <v>17</v>
      </c>
      <c r="C3194" s="12"/>
      <c r="D3194" s="13" t="n">
        <f aca="false">IF(B3194&lt;5,Einstellungen!$B$3,Einstellungen!$B$4)</f>
        <v>29.13</v>
      </c>
      <c r="E3194" s="14" t="str">
        <f aca="false">IF(C3194="","",C3194*D3194/100)</f>
        <v/>
      </c>
      <c r="F3194" s="15" t="str">
        <f aca="false">IF(B3194&lt;5,"Go","Standard")</f>
        <v>Standard</v>
      </c>
    </row>
    <row r="3195" customFormat="false" ht="15" hidden="false" customHeight="true" outlineLevel="0" collapsed="false">
      <c r="A3195" s="10" t="n">
        <f aca="false">Einstellungen!$B$5+INT((ROW()-9)/24)</f>
        <v>46098</v>
      </c>
      <c r="B3195" s="11" t="n">
        <f aca="false">MOD(ROW()-9,24)</f>
        <v>18</v>
      </c>
      <c r="C3195" s="12"/>
      <c r="D3195" s="13" t="n">
        <f aca="false">IF(B3195&lt;5,Einstellungen!$B$3,Einstellungen!$B$4)</f>
        <v>29.13</v>
      </c>
      <c r="E3195" s="14" t="str">
        <f aca="false">IF(C3195="","",C3195*D3195/100)</f>
        <v/>
      </c>
      <c r="F3195" s="15" t="str">
        <f aca="false">IF(B3195&lt;5,"Go","Standard")</f>
        <v>Standard</v>
      </c>
    </row>
    <row r="3196" customFormat="false" ht="15" hidden="false" customHeight="true" outlineLevel="0" collapsed="false">
      <c r="A3196" s="10" t="n">
        <f aca="false">Einstellungen!$B$5+INT((ROW()-9)/24)</f>
        <v>46098</v>
      </c>
      <c r="B3196" s="11" t="n">
        <f aca="false">MOD(ROW()-9,24)</f>
        <v>19</v>
      </c>
      <c r="C3196" s="12"/>
      <c r="D3196" s="13" t="n">
        <f aca="false">IF(B3196&lt;5,Einstellungen!$B$3,Einstellungen!$B$4)</f>
        <v>29.13</v>
      </c>
      <c r="E3196" s="14" t="str">
        <f aca="false">IF(C3196="","",C3196*D3196/100)</f>
        <v/>
      </c>
      <c r="F3196" s="15" t="str">
        <f aca="false">IF(B3196&lt;5,"Go","Standard")</f>
        <v>Standard</v>
      </c>
    </row>
    <row r="3197" customFormat="false" ht="15" hidden="false" customHeight="true" outlineLevel="0" collapsed="false">
      <c r="A3197" s="10" t="n">
        <f aca="false">Einstellungen!$B$5+INT((ROW()-9)/24)</f>
        <v>46098</v>
      </c>
      <c r="B3197" s="11" t="n">
        <f aca="false">MOD(ROW()-9,24)</f>
        <v>20</v>
      </c>
      <c r="C3197" s="12"/>
      <c r="D3197" s="13" t="n">
        <f aca="false">IF(B3197&lt;5,Einstellungen!$B$3,Einstellungen!$B$4)</f>
        <v>29.13</v>
      </c>
      <c r="E3197" s="14" t="str">
        <f aca="false">IF(C3197="","",C3197*D3197/100)</f>
        <v/>
      </c>
      <c r="F3197" s="15" t="str">
        <f aca="false">IF(B3197&lt;5,"Go","Standard")</f>
        <v>Standard</v>
      </c>
    </row>
    <row r="3198" customFormat="false" ht="15" hidden="false" customHeight="true" outlineLevel="0" collapsed="false">
      <c r="A3198" s="10" t="n">
        <f aca="false">Einstellungen!$B$5+INT((ROW()-9)/24)</f>
        <v>46098</v>
      </c>
      <c r="B3198" s="11" t="n">
        <f aca="false">MOD(ROW()-9,24)</f>
        <v>21</v>
      </c>
      <c r="C3198" s="12"/>
      <c r="D3198" s="13" t="n">
        <f aca="false">IF(B3198&lt;5,Einstellungen!$B$3,Einstellungen!$B$4)</f>
        <v>29.13</v>
      </c>
      <c r="E3198" s="14" t="str">
        <f aca="false">IF(C3198="","",C3198*D3198/100)</f>
        <v/>
      </c>
      <c r="F3198" s="15" t="str">
        <f aca="false">IF(B3198&lt;5,"Go","Standard")</f>
        <v>Standard</v>
      </c>
    </row>
    <row r="3199" customFormat="false" ht="15" hidden="false" customHeight="true" outlineLevel="0" collapsed="false">
      <c r="A3199" s="10" t="n">
        <f aca="false">Einstellungen!$B$5+INT((ROW()-9)/24)</f>
        <v>46098</v>
      </c>
      <c r="B3199" s="11" t="n">
        <f aca="false">MOD(ROW()-9,24)</f>
        <v>22</v>
      </c>
      <c r="C3199" s="12"/>
      <c r="D3199" s="13" t="n">
        <f aca="false">IF(B3199&lt;5,Einstellungen!$B$3,Einstellungen!$B$4)</f>
        <v>29.13</v>
      </c>
      <c r="E3199" s="14" t="str">
        <f aca="false">IF(C3199="","",C3199*D3199/100)</f>
        <v/>
      </c>
      <c r="F3199" s="15" t="str">
        <f aca="false">IF(B3199&lt;5,"Go","Standard")</f>
        <v>Standard</v>
      </c>
    </row>
    <row r="3200" customFormat="false" ht="15" hidden="false" customHeight="true" outlineLevel="0" collapsed="false">
      <c r="A3200" s="10" t="n">
        <f aca="false">Einstellungen!$B$5+INT((ROW()-9)/24)</f>
        <v>46098</v>
      </c>
      <c r="B3200" s="11" t="n">
        <f aca="false">MOD(ROW()-9,24)</f>
        <v>23</v>
      </c>
      <c r="C3200" s="12"/>
      <c r="D3200" s="13" t="n">
        <f aca="false">IF(B3200&lt;5,Einstellungen!$B$3,Einstellungen!$B$4)</f>
        <v>29.13</v>
      </c>
      <c r="E3200" s="14" t="str">
        <f aca="false">IF(C3200="","",C3200*D3200/100)</f>
        <v/>
      </c>
      <c r="F3200" s="15" t="str">
        <f aca="false">IF(B3200&lt;5,"Go","Standard")</f>
        <v>Standard</v>
      </c>
    </row>
    <row r="3201" customFormat="false" ht="15" hidden="false" customHeight="true" outlineLevel="0" collapsed="false">
      <c r="A3201" s="10" t="n">
        <f aca="false">Einstellungen!$B$5+INT((ROW()-9)/24)</f>
        <v>46099</v>
      </c>
      <c r="B3201" s="11" t="n">
        <f aca="false">MOD(ROW()-9,24)</f>
        <v>0</v>
      </c>
      <c r="C3201" s="12"/>
      <c r="D3201" s="13" t="n">
        <f aca="false">IF(B3201&lt;5,Einstellungen!$B$3,Einstellungen!$B$4)</f>
        <v>15.92</v>
      </c>
      <c r="E3201" s="14" t="str">
        <f aca="false">IF(C3201="","",C3201*D3201/100)</f>
        <v/>
      </c>
      <c r="F3201" s="15" t="str">
        <f aca="false">IF(B3201&lt;5,"Go","Standard")</f>
        <v>Go</v>
      </c>
    </row>
    <row r="3202" customFormat="false" ht="15" hidden="false" customHeight="true" outlineLevel="0" collapsed="false">
      <c r="A3202" s="10" t="n">
        <f aca="false">Einstellungen!$B$5+INT((ROW()-9)/24)</f>
        <v>46099</v>
      </c>
      <c r="B3202" s="11" t="n">
        <f aca="false">MOD(ROW()-9,24)</f>
        <v>1</v>
      </c>
      <c r="C3202" s="12"/>
      <c r="D3202" s="13" t="n">
        <f aca="false">IF(B3202&lt;5,Einstellungen!$B$3,Einstellungen!$B$4)</f>
        <v>15.92</v>
      </c>
      <c r="E3202" s="14" t="str">
        <f aca="false">IF(C3202="","",C3202*D3202/100)</f>
        <v/>
      </c>
      <c r="F3202" s="15" t="str">
        <f aca="false">IF(B3202&lt;5,"Go","Standard")</f>
        <v>Go</v>
      </c>
    </row>
    <row r="3203" customFormat="false" ht="15" hidden="false" customHeight="true" outlineLevel="0" collapsed="false">
      <c r="A3203" s="10" t="n">
        <f aca="false">Einstellungen!$B$5+INT((ROW()-9)/24)</f>
        <v>46099</v>
      </c>
      <c r="B3203" s="11" t="n">
        <f aca="false">MOD(ROW()-9,24)</f>
        <v>2</v>
      </c>
      <c r="C3203" s="12"/>
      <c r="D3203" s="13" t="n">
        <f aca="false">IF(B3203&lt;5,Einstellungen!$B$3,Einstellungen!$B$4)</f>
        <v>15.92</v>
      </c>
      <c r="E3203" s="14" t="str">
        <f aca="false">IF(C3203="","",C3203*D3203/100)</f>
        <v/>
      </c>
      <c r="F3203" s="15" t="str">
        <f aca="false">IF(B3203&lt;5,"Go","Standard")</f>
        <v>Go</v>
      </c>
    </row>
    <row r="3204" customFormat="false" ht="15" hidden="false" customHeight="true" outlineLevel="0" collapsed="false">
      <c r="A3204" s="10" t="n">
        <f aca="false">Einstellungen!$B$5+INT((ROW()-9)/24)</f>
        <v>46099</v>
      </c>
      <c r="B3204" s="11" t="n">
        <f aca="false">MOD(ROW()-9,24)</f>
        <v>3</v>
      </c>
      <c r="C3204" s="12"/>
      <c r="D3204" s="13" t="n">
        <f aca="false">IF(B3204&lt;5,Einstellungen!$B$3,Einstellungen!$B$4)</f>
        <v>15.92</v>
      </c>
      <c r="E3204" s="14" t="str">
        <f aca="false">IF(C3204="","",C3204*D3204/100)</f>
        <v/>
      </c>
      <c r="F3204" s="15" t="str">
        <f aca="false">IF(B3204&lt;5,"Go","Standard")</f>
        <v>Go</v>
      </c>
    </row>
    <row r="3205" customFormat="false" ht="15" hidden="false" customHeight="true" outlineLevel="0" collapsed="false">
      <c r="A3205" s="10" t="n">
        <f aca="false">Einstellungen!$B$5+INT((ROW()-9)/24)</f>
        <v>46099</v>
      </c>
      <c r="B3205" s="11" t="n">
        <f aca="false">MOD(ROW()-9,24)</f>
        <v>4</v>
      </c>
      <c r="C3205" s="12"/>
      <c r="D3205" s="13" t="n">
        <f aca="false">IF(B3205&lt;5,Einstellungen!$B$3,Einstellungen!$B$4)</f>
        <v>15.92</v>
      </c>
      <c r="E3205" s="14" t="str">
        <f aca="false">IF(C3205="","",C3205*D3205/100)</f>
        <v/>
      </c>
      <c r="F3205" s="15" t="str">
        <f aca="false">IF(B3205&lt;5,"Go","Standard")</f>
        <v>Go</v>
      </c>
    </row>
    <row r="3206" customFormat="false" ht="15" hidden="false" customHeight="true" outlineLevel="0" collapsed="false">
      <c r="A3206" s="10" t="n">
        <f aca="false">Einstellungen!$B$5+INT((ROW()-9)/24)</f>
        <v>46099</v>
      </c>
      <c r="B3206" s="11" t="n">
        <f aca="false">MOD(ROW()-9,24)</f>
        <v>5</v>
      </c>
      <c r="C3206" s="12"/>
      <c r="D3206" s="13" t="n">
        <f aca="false">IF(B3206&lt;5,Einstellungen!$B$3,Einstellungen!$B$4)</f>
        <v>29.13</v>
      </c>
      <c r="E3206" s="14" t="str">
        <f aca="false">IF(C3206="","",C3206*D3206/100)</f>
        <v/>
      </c>
      <c r="F3206" s="15" t="str">
        <f aca="false">IF(B3206&lt;5,"Go","Standard")</f>
        <v>Standard</v>
      </c>
    </row>
    <row r="3207" customFormat="false" ht="15" hidden="false" customHeight="true" outlineLevel="0" collapsed="false">
      <c r="A3207" s="10" t="n">
        <f aca="false">Einstellungen!$B$5+INT((ROW()-9)/24)</f>
        <v>46099</v>
      </c>
      <c r="B3207" s="11" t="n">
        <f aca="false">MOD(ROW()-9,24)</f>
        <v>6</v>
      </c>
      <c r="C3207" s="12"/>
      <c r="D3207" s="13" t="n">
        <f aca="false">IF(B3207&lt;5,Einstellungen!$B$3,Einstellungen!$B$4)</f>
        <v>29.13</v>
      </c>
      <c r="E3207" s="14" t="str">
        <f aca="false">IF(C3207="","",C3207*D3207/100)</f>
        <v/>
      </c>
      <c r="F3207" s="15" t="str">
        <f aca="false">IF(B3207&lt;5,"Go","Standard")</f>
        <v>Standard</v>
      </c>
    </row>
    <row r="3208" customFormat="false" ht="15" hidden="false" customHeight="true" outlineLevel="0" collapsed="false">
      <c r="A3208" s="10" t="n">
        <f aca="false">Einstellungen!$B$5+INT((ROW()-9)/24)</f>
        <v>46099</v>
      </c>
      <c r="B3208" s="11" t="n">
        <f aca="false">MOD(ROW()-9,24)</f>
        <v>7</v>
      </c>
      <c r="C3208" s="12"/>
      <c r="D3208" s="13" t="n">
        <f aca="false">IF(B3208&lt;5,Einstellungen!$B$3,Einstellungen!$B$4)</f>
        <v>29.13</v>
      </c>
      <c r="E3208" s="14" t="str">
        <f aca="false">IF(C3208="","",C3208*D3208/100)</f>
        <v/>
      </c>
      <c r="F3208" s="15" t="str">
        <f aca="false">IF(B3208&lt;5,"Go","Standard")</f>
        <v>Standard</v>
      </c>
    </row>
    <row r="3209" customFormat="false" ht="15" hidden="false" customHeight="true" outlineLevel="0" collapsed="false">
      <c r="A3209" s="10" t="n">
        <f aca="false">Einstellungen!$B$5+INT((ROW()-9)/24)</f>
        <v>46099</v>
      </c>
      <c r="B3209" s="11" t="n">
        <f aca="false">MOD(ROW()-9,24)</f>
        <v>8</v>
      </c>
      <c r="C3209" s="12"/>
      <c r="D3209" s="13" t="n">
        <f aca="false">IF(B3209&lt;5,Einstellungen!$B$3,Einstellungen!$B$4)</f>
        <v>29.13</v>
      </c>
      <c r="E3209" s="14" t="str">
        <f aca="false">IF(C3209="","",C3209*D3209/100)</f>
        <v/>
      </c>
      <c r="F3209" s="15" t="str">
        <f aca="false">IF(B3209&lt;5,"Go","Standard")</f>
        <v>Standard</v>
      </c>
    </row>
    <row r="3210" customFormat="false" ht="15" hidden="false" customHeight="true" outlineLevel="0" collapsed="false">
      <c r="A3210" s="10" t="n">
        <f aca="false">Einstellungen!$B$5+INT((ROW()-9)/24)</f>
        <v>46099</v>
      </c>
      <c r="B3210" s="11" t="n">
        <f aca="false">MOD(ROW()-9,24)</f>
        <v>9</v>
      </c>
      <c r="C3210" s="12"/>
      <c r="D3210" s="13" t="n">
        <f aca="false">IF(B3210&lt;5,Einstellungen!$B$3,Einstellungen!$B$4)</f>
        <v>29.13</v>
      </c>
      <c r="E3210" s="14" t="str">
        <f aca="false">IF(C3210="","",C3210*D3210/100)</f>
        <v/>
      </c>
      <c r="F3210" s="15" t="str">
        <f aca="false">IF(B3210&lt;5,"Go","Standard")</f>
        <v>Standard</v>
      </c>
    </row>
    <row r="3211" customFormat="false" ht="15" hidden="false" customHeight="true" outlineLevel="0" collapsed="false">
      <c r="A3211" s="10" t="n">
        <f aca="false">Einstellungen!$B$5+INT((ROW()-9)/24)</f>
        <v>46099</v>
      </c>
      <c r="B3211" s="11" t="n">
        <f aca="false">MOD(ROW()-9,24)</f>
        <v>10</v>
      </c>
      <c r="C3211" s="12"/>
      <c r="D3211" s="13" t="n">
        <f aca="false">IF(B3211&lt;5,Einstellungen!$B$3,Einstellungen!$B$4)</f>
        <v>29.13</v>
      </c>
      <c r="E3211" s="14" t="str">
        <f aca="false">IF(C3211="","",C3211*D3211/100)</f>
        <v/>
      </c>
      <c r="F3211" s="15" t="str">
        <f aca="false">IF(B3211&lt;5,"Go","Standard")</f>
        <v>Standard</v>
      </c>
    </row>
    <row r="3212" customFormat="false" ht="15" hidden="false" customHeight="true" outlineLevel="0" collapsed="false">
      <c r="A3212" s="10" t="n">
        <f aca="false">Einstellungen!$B$5+INT((ROW()-9)/24)</f>
        <v>46099</v>
      </c>
      <c r="B3212" s="11" t="n">
        <f aca="false">MOD(ROW()-9,24)</f>
        <v>11</v>
      </c>
      <c r="C3212" s="12"/>
      <c r="D3212" s="13" t="n">
        <f aca="false">IF(B3212&lt;5,Einstellungen!$B$3,Einstellungen!$B$4)</f>
        <v>29.13</v>
      </c>
      <c r="E3212" s="14" t="str">
        <f aca="false">IF(C3212="","",C3212*D3212/100)</f>
        <v/>
      </c>
      <c r="F3212" s="15" t="str">
        <f aca="false">IF(B3212&lt;5,"Go","Standard")</f>
        <v>Standard</v>
      </c>
    </row>
    <row r="3213" customFormat="false" ht="15" hidden="false" customHeight="true" outlineLevel="0" collapsed="false">
      <c r="A3213" s="10" t="n">
        <f aca="false">Einstellungen!$B$5+INT((ROW()-9)/24)</f>
        <v>46099</v>
      </c>
      <c r="B3213" s="11" t="n">
        <f aca="false">MOD(ROW()-9,24)</f>
        <v>12</v>
      </c>
      <c r="C3213" s="12"/>
      <c r="D3213" s="13" t="n">
        <f aca="false">IF(B3213&lt;5,Einstellungen!$B$3,Einstellungen!$B$4)</f>
        <v>29.13</v>
      </c>
      <c r="E3213" s="14" t="str">
        <f aca="false">IF(C3213="","",C3213*D3213/100)</f>
        <v/>
      </c>
      <c r="F3213" s="15" t="str">
        <f aca="false">IF(B3213&lt;5,"Go","Standard")</f>
        <v>Standard</v>
      </c>
    </row>
    <row r="3214" customFormat="false" ht="15" hidden="false" customHeight="true" outlineLevel="0" collapsed="false">
      <c r="A3214" s="10" t="n">
        <f aca="false">Einstellungen!$B$5+INT((ROW()-9)/24)</f>
        <v>46099</v>
      </c>
      <c r="B3214" s="11" t="n">
        <f aca="false">MOD(ROW()-9,24)</f>
        <v>13</v>
      </c>
      <c r="C3214" s="12"/>
      <c r="D3214" s="13" t="n">
        <f aca="false">IF(B3214&lt;5,Einstellungen!$B$3,Einstellungen!$B$4)</f>
        <v>29.13</v>
      </c>
      <c r="E3214" s="14" t="str">
        <f aca="false">IF(C3214="","",C3214*D3214/100)</f>
        <v/>
      </c>
      <c r="F3214" s="15" t="str">
        <f aca="false">IF(B3214&lt;5,"Go","Standard")</f>
        <v>Standard</v>
      </c>
    </row>
    <row r="3215" customFormat="false" ht="15" hidden="false" customHeight="true" outlineLevel="0" collapsed="false">
      <c r="A3215" s="10" t="n">
        <f aca="false">Einstellungen!$B$5+INT((ROW()-9)/24)</f>
        <v>46099</v>
      </c>
      <c r="B3215" s="11" t="n">
        <f aca="false">MOD(ROW()-9,24)</f>
        <v>14</v>
      </c>
      <c r="C3215" s="12"/>
      <c r="D3215" s="13" t="n">
        <f aca="false">IF(B3215&lt;5,Einstellungen!$B$3,Einstellungen!$B$4)</f>
        <v>29.13</v>
      </c>
      <c r="E3215" s="14" t="str">
        <f aca="false">IF(C3215="","",C3215*D3215/100)</f>
        <v/>
      </c>
      <c r="F3215" s="15" t="str">
        <f aca="false">IF(B3215&lt;5,"Go","Standard")</f>
        <v>Standard</v>
      </c>
    </row>
    <row r="3216" customFormat="false" ht="15" hidden="false" customHeight="true" outlineLevel="0" collapsed="false">
      <c r="A3216" s="10" t="n">
        <f aca="false">Einstellungen!$B$5+INT((ROW()-9)/24)</f>
        <v>46099</v>
      </c>
      <c r="B3216" s="11" t="n">
        <f aca="false">MOD(ROW()-9,24)</f>
        <v>15</v>
      </c>
      <c r="C3216" s="12"/>
      <c r="D3216" s="13" t="n">
        <f aca="false">IF(B3216&lt;5,Einstellungen!$B$3,Einstellungen!$B$4)</f>
        <v>29.13</v>
      </c>
      <c r="E3216" s="14" t="str">
        <f aca="false">IF(C3216="","",C3216*D3216/100)</f>
        <v/>
      </c>
      <c r="F3216" s="15" t="str">
        <f aca="false">IF(B3216&lt;5,"Go","Standard")</f>
        <v>Standard</v>
      </c>
    </row>
    <row r="3217" customFormat="false" ht="15" hidden="false" customHeight="true" outlineLevel="0" collapsed="false">
      <c r="A3217" s="10" t="n">
        <f aca="false">Einstellungen!$B$5+INT((ROW()-9)/24)</f>
        <v>46099</v>
      </c>
      <c r="B3217" s="11" t="n">
        <f aca="false">MOD(ROW()-9,24)</f>
        <v>16</v>
      </c>
      <c r="C3217" s="12"/>
      <c r="D3217" s="13" t="n">
        <f aca="false">IF(B3217&lt;5,Einstellungen!$B$3,Einstellungen!$B$4)</f>
        <v>29.13</v>
      </c>
      <c r="E3217" s="14" t="str">
        <f aca="false">IF(C3217="","",C3217*D3217/100)</f>
        <v/>
      </c>
      <c r="F3217" s="15" t="str">
        <f aca="false">IF(B3217&lt;5,"Go","Standard")</f>
        <v>Standard</v>
      </c>
    </row>
    <row r="3218" customFormat="false" ht="15" hidden="false" customHeight="true" outlineLevel="0" collapsed="false">
      <c r="A3218" s="10" t="n">
        <f aca="false">Einstellungen!$B$5+INT((ROW()-9)/24)</f>
        <v>46099</v>
      </c>
      <c r="B3218" s="11" t="n">
        <f aca="false">MOD(ROW()-9,24)</f>
        <v>17</v>
      </c>
      <c r="C3218" s="12"/>
      <c r="D3218" s="13" t="n">
        <f aca="false">IF(B3218&lt;5,Einstellungen!$B$3,Einstellungen!$B$4)</f>
        <v>29.13</v>
      </c>
      <c r="E3218" s="14" t="str">
        <f aca="false">IF(C3218="","",C3218*D3218/100)</f>
        <v/>
      </c>
      <c r="F3218" s="15" t="str">
        <f aca="false">IF(B3218&lt;5,"Go","Standard")</f>
        <v>Standard</v>
      </c>
    </row>
    <row r="3219" customFormat="false" ht="15" hidden="false" customHeight="true" outlineLevel="0" collapsed="false">
      <c r="A3219" s="10" t="n">
        <f aca="false">Einstellungen!$B$5+INT((ROW()-9)/24)</f>
        <v>46099</v>
      </c>
      <c r="B3219" s="11" t="n">
        <f aca="false">MOD(ROW()-9,24)</f>
        <v>18</v>
      </c>
      <c r="C3219" s="12"/>
      <c r="D3219" s="13" t="n">
        <f aca="false">IF(B3219&lt;5,Einstellungen!$B$3,Einstellungen!$B$4)</f>
        <v>29.13</v>
      </c>
      <c r="E3219" s="14" t="str">
        <f aca="false">IF(C3219="","",C3219*D3219/100)</f>
        <v/>
      </c>
      <c r="F3219" s="15" t="str">
        <f aca="false">IF(B3219&lt;5,"Go","Standard")</f>
        <v>Standard</v>
      </c>
    </row>
    <row r="3220" customFormat="false" ht="15" hidden="false" customHeight="true" outlineLevel="0" collapsed="false">
      <c r="A3220" s="10" t="n">
        <f aca="false">Einstellungen!$B$5+INT((ROW()-9)/24)</f>
        <v>46099</v>
      </c>
      <c r="B3220" s="11" t="n">
        <f aca="false">MOD(ROW()-9,24)</f>
        <v>19</v>
      </c>
      <c r="C3220" s="12"/>
      <c r="D3220" s="13" t="n">
        <f aca="false">IF(B3220&lt;5,Einstellungen!$B$3,Einstellungen!$B$4)</f>
        <v>29.13</v>
      </c>
      <c r="E3220" s="14" t="str">
        <f aca="false">IF(C3220="","",C3220*D3220/100)</f>
        <v/>
      </c>
      <c r="F3220" s="15" t="str">
        <f aca="false">IF(B3220&lt;5,"Go","Standard")</f>
        <v>Standard</v>
      </c>
    </row>
    <row r="3221" customFormat="false" ht="15" hidden="false" customHeight="true" outlineLevel="0" collapsed="false">
      <c r="A3221" s="10" t="n">
        <f aca="false">Einstellungen!$B$5+INT((ROW()-9)/24)</f>
        <v>46099</v>
      </c>
      <c r="B3221" s="11" t="n">
        <f aca="false">MOD(ROW()-9,24)</f>
        <v>20</v>
      </c>
      <c r="C3221" s="12"/>
      <c r="D3221" s="13" t="n">
        <f aca="false">IF(B3221&lt;5,Einstellungen!$B$3,Einstellungen!$B$4)</f>
        <v>29.13</v>
      </c>
      <c r="E3221" s="14" t="str">
        <f aca="false">IF(C3221="","",C3221*D3221/100)</f>
        <v/>
      </c>
      <c r="F3221" s="15" t="str">
        <f aca="false">IF(B3221&lt;5,"Go","Standard")</f>
        <v>Standard</v>
      </c>
    </row>
    <row r="3222" customFormat="false" ht="15" hidden="false" customHeight="true" outlineLevel="0" collapsed="false">
      <c r="A3222" s="10" t="n">
        <f aca="false">Einstellungen!$B$5+INT((ROW()-9)/24)</f>
        <v>46099</v>
      </c>
      <c r="B3222" s="11" t="n">
        <f aca="false">MOD(ROW()-9,24)</f>
        <v>21</v>
      </c>
      <c r="C3222" s="12"/>
      <c r="D3222" s="13" t="n">
        <f aca="false">IF(B3222&lt;5,Einstellungen!$B$3,Einstellungen!$B$4)</f>
        <v>29.13</v>
      </c>
      <c r="E3222" s="14" t="str">
        <f aca="false">IF(C3222="","",C3222*D3222/100)</f>
        <v/>
      </c>
      <c r="F3222" s="15" t="str">
        <f aca="false">IF(B3222&lt;5,"Go","Standard")</f>
        <v>Standard</v>
      </c>
    </row>
    <row r="3223" customFormat="false" ht="15" hidden="false" customHeight="true" outlineLevel="0" collapsed="false">
      <c r="A3223" s="10" t="n">
        <f aca="false">Einstellungen!$B$5+INT((ROW()-9)/24)</f>
        <v>46099</v>
      </c>
      <c r="B3223" s="11" t="n">
        <f aca="false">MOD(ROW()-9,24)</f>
        <v>22</v>
      </c>
      <c r="C3223" s="12"/>
      <c r="D3223" s="13" t="n">
        <f aca="false">IF(B3223&lt;5,Einstellungen!$B$3,Einstellungen!$B$4)</f>
        <v>29.13</v>
      </c>
      <c r="E3223" s="14" t="str">
        <f aca="false">IF(C3223="","",C3223*D3223/100)</f>
        <v/>
      </c>
      <c r="F3223" s="15" t="str">
        <f aca="false">IF(B3223&lt;5,"Go","Standard")</f>
        <v>Standard</v>
      </c>
    </row>
    <row r="3224" customFormat="false" ht="15" hidden="false" customHeight="true" outlineLevel="0" collapsed="false">
      <c r="A3224" s="10" t="n">
        <f aca="false">Einstellungen!$B$5+INT((ROW()-9)/24)</f>
        <v>46099</v>
      </c>
      <c r="B3224" s="11" t="n">
        <f aca="false">MOD(ROW()-9,24)</f>
        <v>23</v>
      </c>
      <c r="C3224" s="12"/>
      <c r="D3224" s="13" t="n">
        <f aca="false">IF(B3224&lt;5,Einstellungen!$B$3,Einstellungen!$B$4)</f>
        <v>29.13</v>
      </c>
      <c r="E3224" s="14" t="str">
        <f aca="false">IF(C3224="","",C3224*D3224/100)</f>
        <v/>
      </c>
      <c r="F3224" s="15" t="str">
        <f aca="false">IF(B3224&lt;5,"Go","Standard")</f>
        <v>Standard</v>
      </c>
    </row>
    <row r="3225" customFormat="false" ht="15" hidden="false" customHeight="true" outlineLevel="0" collapsed="false">
      <c r="A3225" s="10" t="n">
        <f aca="false">Einstellungen!$B$5+INT((ROW()-9)/24)</f>
        <v>46100</v>
      </c>
      <c r="B3225" s="11" t="n">
        <f aca="false">MOD(ROW()-9,24)</f>
        <v>0</v>
      </c>
      <c r="C3225" s="12"/>
      <c r="D3225" s="13" t="n">
        <f aca="false">IF(B3225&lt;5,Einstellungen!$B$3,Einstellungen!$B$4)</f>
        <v>15.92</v>
      </c>
      <c r="E3225" s="14" t="str">
        <f aca="false">IF(C3225="","",C3225*D3225/100)</f>
        <v/>
      </c>
      <c r="F3225" s="15" t="str">
        <f aca="false">IF(B3225&lt;5,"Go","Standard")</f>
        <v>Go</v>
      </c>
    </row>
    <row r="3226" customFormat="false" ht="15" hidden="false" customHeight="true" outlineLevel="0" collapsed="false">
      <c r="A3226" s="10" t="n">
        <f aca="false">Einstellungen!$B$5+INT((ROW()-9)/24)</f>
        <v>46100</v>
      </c>
      <c r="B3226" s="11" t="n">
        <f aca="false">MOD(ROW()-9,24)</f>
        <v>1</v>
      </c>
      <c r="C3226" s="12"/>
      <c r="D3226" s="13" t="n">
        <f aca="false">IF(B3226&lt;5,Einstellungen!$B$3,Einstellungen!$B$4)</f>
        <v>15.92</v>
      </c>
      <c r="E3226" s="14" t="str">
        <f aca="false">IF(C3226="","",C3226*D3226/100)</f>
        <v/>
      </c>
      <c r="F3226" s="15" t="str">
        <f aca="false">IF(B3226&lt;5,"Go","Standard")</f>
        <v>Go</v>
      </c>
    </row>
    <row r="3227" customFormat="false" ht="15" hidden="false" customHeight="true" outlineLevel="0" collapsed="false">
      <c r="A3227" s="10" t="n">
        <f aca="false">Einstellungen!$B$5+INT((ROW()-9)/24)</f>
        <v>46100</v>
      </c>
      <c r="B3227" s="11" t="n">
        <f aca="false">MOD(ROW()-9,24)</f>
        <v>2</v>
      </c>
      <c r="C3227" s="12"/>
      <c r="D3227" s="13" t="n">
        <f aca="false">IF(B3227&lt;5,Einstellungen!$B$3,Einstellungen!$B$4)</f>
        <v>15.92</v>
      </c>
      <c r="E3227" s="14" t="str">
        <f aca="false">IF(C3227="","",C3227*D3227/100)</f>
        <v/>
      </c>
      <c r="F3227" s="15" t="str">
        <f aca="false">IF(B3227&lt;5,"Go","Standard")</f>
        <v>Go</v>
      </c>
    </row>
    <row r="3228" customFormat="false" ht="15" hidden="false" customHeight="true" outlineLevel="0" collapsed="false">
      <c r="A3228" s="10" t="n">
        <f aca="false">Einstellungen!$B$5+INT((ROW()-9)/24)</f>
        <v>46100</v>
      </c>
      <c r="B3228" s="11" t="n">
        <f aca="false">MOD(ROW()-9,24)</f>
        <v>3</v>
      </c>
      <c r="C3228" s="12"/>
      <c r="D3228" s="13" t="n">
        <f aca="false">IF(B3228&lt;5,Einstellungen!$B$3,Einstellungen!$B$4)</f>
        <v>15.92</v>
      </c>
      <c r="E3228" s="14" t="str">
        <f aca="false">IF(C3228="","",C3228*D3228/100)</f>
        <v/>
      </c>
      <c r="F3228" s="15" t="str">
        <f aca="false">IF(B3228&lt;5,"Go","Standard")</f>
        <v>Go</v>
      </c>
    </row>
    <row r="3229" customFormat="false" ht="15" hidden="false" customHeight="true" outlineLevel="0" collapsed="false">
      <c r="A3229" s="10" t="n">
        <f aca="false">Einstellungen!$B$5+INT((ROW()-9)/24)</f>
        <v>46100</v>
      </c>
      <c r="B3229" s="11" t="n">
        <f aca="false">MOD(ROW()-9,24)</f>
        <v>4</v>
      </c>
      <c r="C3229" s="12"/>
      <c r="D3229" s="13" t="n">
        <f aca="false">IF(B3229&lt;5,Einstellungen!$B$3,Einstellungen!$B$4)</f>
        <v>15.92</v>
      </c>
      <c r="E3229" s="14" t="str">
        <f aca="false">IF(C3229="","",C3229*D3229/100)</f>
        <v/>
      </c>
      <c r="F3229" s="15" t="str">
        <f aca="false">IF(B3229&lt;5,"Go","Standard")</f>
        <v>Go</v>
      </c>
    </row>
    <row r="3230" customFormat="false" ht="15" hidden="false" customHeight="true" outlineLevel="0" collapsed="false">
      <c r="A3230" s="10" t="n">
        <f aca="false">Einstellungen!$B$5+INT((ROW()-9)/24)</f>
        <v>46100</v>
      </c>
      <c r="B3230" s="11" t="n">
        <f aca="false">MOD(ROW()-9,24)</f>
        <v>5</v>
      </c>
      <c r="C3230" s="12"/>
      <c r="D3230" s="13" t="n">
        <f aca="false">IF(B3230&lt;5,Einstellungen!$B$3,Einstellungen!$B$4)</f>
        <v>29.13</v>
      </c>
      <c r="E3230" s="14" t="str">
        <f aca="false">IF(C3230="","",C3230*D3230/100)</f>
        <v/>
      </c>
      <c r="F3230" s="15" t="str">
        <f aca="false">IF(B3230&lt;5,"Go","Standard")</f>
        <v>Standard</v>
      </c>
    </row>
    <row r="3231" customFormat="false" ht="15" hidden="false" customHeight="true" outlineLevel="0" collapsed="false">
      <c r="A3231" s="10" t="n">
        <f aca="false">Einstellungen!$B$5+INT((ROW()-9)/24)</f>
        <v>46100</v>
      </c>
      <c r="B3231" s="11" t="n">
        <f aca="false">MOD(ROW()-9,24)</f>
        <v>6</v>
      </c>
      <c r="C3231" s="12"/>
      <c r="D3231" s="13" t="n">
        <f aca="false">IF(B3231&lt;5,Einstellungen!$B$3,Einstellungen!$B$4)</f>
        <v>29.13</v>
      </c>
      <c r="E3231" s="14" t="str">
        <f aca="false">IF(C3231="","",C3231*D3231/100)</f>
        <v/>
      </c>
      <c r="F3231" s="15" t="str">
        <f aca="false">IF(B3231&lt;5,"Go","Standard")</f>
        <v>Standard</v>
      </c>
    </row>
    <row r="3232" customFormat="false" ht="15" hidden="false" customHeight="true" outlineLevel="0" collapsed="false">
      <c r="A3232" s="10" t="n">
        <f aca="false">Einstellungen!$B$5+INT((ROW()-9)/24)</f>
        <v>46100</v>
      </c>
      <c r="B3232" s="11" t="n">
        <f aca="false">MOD(ROW()-9,24)</f>
        <v>7</v>
      </c>
      <c r="C3232" s="12"/>
      <c r="D3232" s="13" t="n">
        <f aca="false">IF(B3232&lt;5,Einstellungen!$B$3,Einstellungen!$B$4)</f>
        <v>29.13</v>
      </c>
      <c r="E3232" s="14" t="str">
        <f aca="false">IF(C3232="","",C3232*D3232/100)</f>
        <v/>
      </c>
      <c r="F3232" s="15" t="str">
        <f aca="false">IF(B3232&lt;5,"Go","Standard")</f>
        <v>Standard</v>
      </c>
    </row>
    <row r="3233" customFormat="false" ht="15" hidden="false" customHeight="true" outlineLevel="0" collapsed="false">
      <c r="A3233" s="10" t="n">
        <f aca="false">Einstellungen!$B$5+INT((ROW()-9)/24)</f>
        <v>46100</v>
      </c>
      <c r="B3233" s="11" t="n">
        <f aca="false">MOD(ROW()-9,24)</f>
        <v>8</v>
      </c>
      <c r="C3233" s="12"/>
      <c r="D3233" s="13" t="n">
        <f aca="false">IF(B3233&lt;5,Einstellungen!$B$3,Einstellungen!$B$4)</f>
        <v>29.13</v>
      </c>
      <c r="E3233" s="14" t="str">
        <f aca="false">IF(C3233="","",C3233*D3233/100)</f>
        <v/>
      </c>
      <c r="F3233" s="15" t="str">
        <f aca="false">IF(B3233&lt;5,"Go","Standard")</f>
        <v>Standard</v>
      </c>
    </row>
    <row r="3234" customFormat="false" ht="15" hidden="false" customHeight="true" outlineLevel="0" collapsed="false">
      <c r="A3234" s="10" t="n">
        <f aca="false">Einstellungen!$B$5+INT((ROW()-9)/24)</f>
        <v>46100</v>
      </c>
      <c r="B3234" s="11" t="n">
        <f aca="false">MOD(ROW()-9,24)</f>
        <v>9</v>
      </c>
      <c r="C3234" s="12"/>
      <c r="D3234" s="13" t="n">
        <f aca="false">IF(B3234&lt;5,Einstellungen!$B$3,Einstellungen!$B$4)</f>
        <v>29.13</v>
      </c>
      <c r="E3234" s="14" t="str">
        <f aca="false">IF(C3234="","",C3234*D3234/100)</f>
        <v/>
      </c>
      <c r="F3234" s="15" t="str">
        <f aca="false">IF(B3234&lt;5,"Go","Standard")</f>
        <v>Standard</v>
      </c>
    </row>
    <row r="3235" customFormat="false" ht="15" hidden="false" customHeight="true" outlineLevel="0" collapsed="false">
      <c r="A3235" s="10" t="n">
        <f aca="false">Einstellungen!$B$5+INT((ROW()-9)/24)</f>
        <v>46100</v>
      </c>
      <c r="B3235" s="11" t="n">
        <f aca="false">MOD(ROW()-9,24)</f>
        <v>10</v>
      </c>
      <c r="C3235" s="12"/>
      <c r="D3235" s="13" t="n">
        <f aca="false">IF(B3235&lt;5,Einstellungen!$B$3,Einstellungen!$B$4)</f>
        <v>29.13</v>
      </c>
      <c r="E3235" s="14" t="str">
        <f aca="false">IF(C3235="","",C3235*D3235/100)</f>
        <v/>
      </c>
      <c r="F3235" s="15" t="str">
        <f aca="false">IF(B3235&lt;5,"Go","Standard")</f>
        <v>Standard</v>
      </c>
    </row>
    <row r="3236" customFormat="false" ht="15" hidden="false" customHeight="true" outlineLevel="0" collapsed="false">
      <c r="A3236" s="10" t="n">
        <f aca="false">Einstellungen!$B$5+INT((ROW()-9)/24)</f>
        <v>46100</v>
      </c>
      <c r="B3236" s="11" t="n">
        <f aca="false">MOD(ROW()-9,24)</f>
        <v>11</v>
      </c>
      <c r="C3236" s="12"/>
      <c r="D3236" s="13" t="n">
        <f aca="false">IF(B3236&lt;5,Einstellungen!$B$3,Einstellungen!$B$4)</f>
        <v>29.13</v>
      </c>
      <c r="E3236" s="14" t="str">
        <f aca="false">IF(C3236="","",C3236*D3236/100)</f>
        <v/>
      </c>
      <c r="F3236" s="15" t="str">
        <f aca="false">IF(B3236&lt;5,"Go","Standard")</f>
        <v>Standard</v>
      </c>
    </row>
    <row r="3237" customFormat="false" ht="15" hidden="false" customHeight="true" outlineLevel="0" collapsed="false">
      <c r="A3237" s="10" t="n">
        <f aca="false">Einstellungen!$B$5+INT((ROW()-9)/24)</f>
        <v>46100</v>
      </c>
      <c r="B3237" s="11" t="n">
        <f aca="false">MOD(ROW()-9,24)</f>
        <v>12</v>
      </c>
      <c r="C3237" s="12"/>
      <c r="D3237" s="13" t="n">
        <f aca="false">IF(B3237&lt;5,Einstellungen!$B$3,Einstellungen!$B$4)</f>
        <v>29.13</v>
      </c>
      <c r="E3237" s="14" t="str">
        <f aca="false">IF(C3237="","",C3237*D3237/100)</f>
        <v/>
      </c>
      <c r="F3237" s="15" t="str">
        <f aca="false">IF(B3237&lt;5,"Go","Standard")</f>
        <v>Standard</v>
      </c>
    </row>
    <row r="3238" customFormat="false" ht="15" hidden="false" customHeight="true" outlineLevel="0" collapsed="false">
      <c r="A3238" s="10" t="n">
        <f aca="false">Einstellungen!$B$5+INT((ROW()-9)/24)</f>
        <v>46100</v>
      </c>
      <c r="B3238" s="11" t="n">
        <f aca="false">MOD(ROW()-9,24)</f>
        <v>13</v>
      </c>
      <c r="C3238" s="12"/>
      <c r="D3238" s="13" t="n">
        <f aca="false">IF(B3238&lt;5,Einstellungen!$B$3,Einstellungen!$B$4)</f>
        <v>29.13</v>
      </c>
      <c r="E3238" s="14" t="str">
        <f aca="false">IF(C3238="","",C3238*D3238/100)</f>
        <v/>
      </c>
      <c r="F3238" s="15" t="str">
        <f aca="false">IF(B3238&lt;5,"Go","Standard")</f>
        <v>Standard</v>
      </c>
    </row>
    <row r="3239" customFormat="false" ht="15" hidden="false" customHeight="true" outlineLevel="0" collapsed="false">
      <c r="A3239" s="10" t="n">
        <f aca="false">Einstellungen!$B$5+INT((ROW()-9)/24)</f>
        <v>46100</v>
      </c>
      <c r="B3239" s="11" t="n">
        <f aca="false">MOD(ROW()-9,24)</f>
        <v>14</v>
      </c>
      <c r="C3239" s="12"/>
      <c r="D3239" s="13" t="n">
        <f aca="false">IF(B3239&lt;5,Einstellungen!$B$3,Einstellungen!$B$4)</f>
        <v>29.13</v>
      </c>
      <c r="E3239" s="14" t="str">
        <f aca="false">IF(C3239="","",C3239*D3239/100)</f>
        <v/>
      </c>
      <c r="F3239" s="15" t="str">
        <f aca="false">IF(B3239&lt;5,"Go","Standard")</f>
        <v>Standard</v>
      </c>
    </row>
    <row r="3240" customFormat="false" ht="15" hidden="false" customHeight="true" outlineLevel="0" collapsed="false">
      <c r="A3240" s="10" t="n">
        <f aca="false">Einstellungen!$B$5+INT((ROW()-9)/24)</f>
        <v>46100</v>
      </c>
      <c r="B3240" s="11" t="n">
        <f aca="false">MOD(ROW()-9,24)</f>
        <v>15</v>
      </c>
      <c r="C3240" s="12"/>
      <c r="D3240" s="13" t="n">
        <f aca="false">IF(B3240&lt;5,Einstellungen!$B$3,Einstellungen!$B$4)</f>
        <v>29.13</v>
      </c>
      <c r="E3240" s="14" t="str">
        <f aca="false">IF(C3240="","",C3240*D3240/100)</f>
        <v/>
      </c>
      <c r="F3240" s="15" t="str">
        <f aca="false">IF(B3240&lt;5,"Go","Standard")</f>
        <v>Standard</v>
      </c>
    </row>
    <row r="3241" customFormat="false" ht="15" hidden="false" customHeight="true" outlineLevel="0" collapsed="false">
      <c r="A3241" s="10" t="n">
        <f aca="false">Einstellungen!$B$5+INT((ROW()-9)/24)</f>
        <v>46100</v>
      </c>
      <c r="B3241" s="11" t="n">
        <f aca="false">MOD(ROW()-9,24)</f>
        <v>16</v>
      </c>
      <c r="C3241" s="12"/>
      <c r="D3241" s="13" t="n">
        <f aca="false">IF(B3241&lt;5,Einstellungen!$B$3,Einstellungen!$B$4)</f>
        <v>29.13</v>
      </c>
      <c r="E3241" s="14" t="str">
        <f aca="false">IF(C3241="","",C3241*D3241/100)</f>
        <v/>
      </c>
      <c r="F3241" s="15" t="str">
        <f aca="false">IF(B3241&lt;5,"Go","Standard")</f>
        <v>Standard</v>
      </c>
    </row>
    <row r="3242" customFormat="false" ht="15" hidden="false" customHeight="true" outlineLevel="0" collapsed="false">
      <c r="A3242" s="10" t="n">
        <f aca="false">Einstellungen!$B$5+INT((ROW()-9)/24)</f>
        <v>46100</v>
      </c>
      <c r="B3242" s="11" t="n">
        <f aca="false">MOD(ROW()-9,24)</f>
        <v>17</v>
      </c>
      <c r="C3242" s="12"/>
      <c r="D3242" s="13" t="n">
        <f aca="false">IF(B3242&lt;5,Einstellungen!$B$3,Einstellungen!$B$4)</f>
        <v>29.13</v>
      </c>
      <c r="E3242" s="14" t="str">
        <f aca="false">IF(C3242="","",C3242*D3242/100)</f>
        <v/>
      </c>
      <c r="F3242" s="15" t="str">
        <f aca="false">IF(B3242&lt;5,"Go","Standard")</f>
        <v>Standard</v>
      </c>
    </row>
    <row r="3243" customFormat="false" ht="15" hidden="false" customHeight="true" outlineLevel="0" collapsed="false">
      <c r="A3243" s="10" t="n">
        <f aca="false">Einstellungen!$B$5+INT((ROW()-9)/24)</f>
        <v>46100</v>
      </c>
      <c r="B3243" s="11" t="n">
        <f aca="false">MOD(ROW()-9,24)</f>
        <v>18</v>
      </c>
      <c r="C3243" s="12"/>
      <c r="D3243" s="13" t="n">
        <f aca="false">IF(B3243&lt;5,Einstellungen!$B$3,Einstellungen!$B$4)</f>
        <v>29.13</v>
      </c>
      <c r="E3243" s="14" t="str">
        <f aca="false">IF(C3243="","",C3243*D3243/100)</f>
        <v/>
      </c>
      <c r="F3243" s="15" t="str">
        <f aca="false">IF(B3243&lt;5,"Go","Standard")</f>
        <v>Standard</v>
      </c>
    </row>
    <row r="3244" customFormat="false" ht="15" hidden="false" customHeight="true" outlineLevel="0" collapsed="false">
      <c r="A3244" s="10" t="n">
        <f aca="false">Einstellungen!$B$5+INT((ROW()-9)/24)</f>
        <v>46100</v>
      </c>
      <c r="B3244" s="11" t="n">
        <f aca="false">MOD(ROW()-9,24)</f>
        <v>19</v>
      </c>
      <c r="C3244" s="12"/>
      <c r="D3244" s="13" t="n">
        <f aca="false">IF(B3244&lt;5,Einstellungen!$B$3,Einstellungen!$B$4)</f>
        <v>29.13</v>
      </c>
      <c r="E3244" s="14" t="str">
        <f aca="false">IF(C3244="","",C3244*D3244/100)</f>
        <v/>
      </c>
      <c r="F3244" s="15" t="str">
        <f aca="false">IF(B3244&lt;5,"Go","Standard")</f>
        <v>Standard</v>
      </c>
    </row>
    <row r="3245" customFormat="false" ht="15" hidden="false" customHeight="true" outlineLevel="0" collapsed="false">
      <c r="A3245" s="10" t="n">
        <f aca="false">Einstellungen!$B$5+INT((ROW()-9)/24)</f>
        <v>46100</v>
      </c>
      <c r="B3245" s="11" t="n">
        <f aca="false">MOD(ROW()-9,24)</f>
        <v>20</v>
      </c>
      <c r="C3245" s="12"/>
      <c r="D3245" s="13" t="n">
        <f aca="false">IF(B3245&lt;5,Einstellungen!$B$3,Einstellungen!$B$4)</f>
        <v>29.13</v>
      </c>
      <c r="E3245" s="14" t="str">
        <f aca="false">IF(C3245="","",C3245*D3245/100)</f>
        <v/>
      </c>
      <c r="F3245" s="15" t="str">
        <f aca="false">IF(B3245&lt;5,"Go","Standard")</f>
        <v>Standard</v>
      </c>
    </row>
    <row r="3246" customFormat="false" ht="15" hidden="false" customHeight="true" outlineLevel="0" collapsed="false">
      <c r="A3246" s="10" t="n">
        <f aca="false">Einstellungen!$B$5+INT((ROW()-9)/24)</f>
        <v>46100</v>
      </c>
      <c r="B3246" s="11" t="n">
        <f aca="false">MOD(ROW()-9,24)</f>
        <v>21</v>
      </c>
      <c r="C3246" s="12"/>
      <c r="D3246" s="13" t="n">
        <f aca="false">IF(B3246&lt;5,Einstellungen!$B$3,Einstellungen!$B$4)</f>
        <v>29.13</v>
      </c>
      <c r="E3246" s="14" t="str">
        <f aca="false">IF(C3246="","",C3246*D3246/100)</f>
        <v/>
      </c>
      <c r="F3246" s="15" t="str">
        <f aca="false">IF(B3246&lt;5,"Go","Standard")</f>
        <v>Standard</v>
      </c>
    </row>
    <row r="3247" customFormat="false" ht="15" hidden="false" customHeight="true" outlineLevel="0" collapsed="false">
      <c r="A3247" s="10" t="n">
        <f aca="false">Einstellungen!$B$5+INT((ROW()-9)/24)</f>
        <v>46100</v>
      </c>
      <c r="B3247" s="11" t="n">
        <f aca="false">MOD(ROW()-9,24)</f>
        <v>22</v>
      </c>
      <c r="C3247" s="12"/>
      <c r="D3247" s="13" t="n">
        <f aca="false">IF(B3247&lt;5,Einstellungen!$B$3,Einstellungen!$B$4)</f>
        <v>29.13</v>
      </c>
      <c r="E3247" s="14" t="str">
        <f aca="false">IF(C3247="","",C3247*D3247/100)</f>
        <v/>
      </c>
      <c r="F3247" s="15" t="str">
        <f aca="false">IF(B3247&lt;5,"Go","Standard")</f>
        <v>Standard</v>
      </c>
    </row>
    <row r="3248" customFormat="false" ht="15" hidden="false" customHeight="true" outlineLevel="0" collapsed="false">
      <c r="A3248" s="10" t="n">
        <f aca="false">Einstellungen!$B$5+INT((ROW()-9)/24)</f>
        <v>46100</v>
      </c>
      <c r="B3248" s="11" t="n">
        <f aca="false">MOD(ROW()-9,24)</f>
        <v>23</v>
      </c>
      <c r="C3248" s="12"/>
      <c r="D3248" s="13" t="n">
        <f aca="false">IF(B3248&lt;5,Einstellungen!$B$3,Einstellungen!$B$4)</f>
        <v>29.13</v>
      </c>
      <c r="E3248" s="14" t="str">
        <f aca="false">IF(C3248="","",C3248*D3248/100)</f>
        <v/>
      </c>
      <c r="F3248" s="15" t="str">
        <f aca="false">IF(B3248&lt;5,"Go","Standard")</f>
        <v>Standard</v>
      </c>
    </row>
    <row r="3249" customFormat="false" ht="15" hidden="false" customHeight="true" outlineLevel="0" collapsed="false">
      <c r="A3249" s="10" t="n">
        <f aca="false">Einstellungen!$B$5+INT((ROW()-9)/24)</f>
        <v>46101</v>
      </c>
      <c r="B3249" s="11" t="n">
        <f aca="false">MOD(ROW()-9,24)</f>
        <v>0</v>
      </c>
      <c r="C3249" s="12"/>
      <c r="D3249" s="13" t="n">
        <f aca="false">IF(B3249&lt;5,Einstellungen!$B$3,Einstellungen!$B$4)</f>
        <v>15.92</v>
      </c>
      <c r="E3249" s="14" t="str">
        <f aca="false">IF(C3249="","",C3249*D3249/100)</f>
        <v/>
      </c>
      <c r="F3249" s="15" t="str">
        <f aca="false">IF(B3249&lt;5,"Go","Standard")</f>
        <v>Go</v>
      </c>
    </row>
    <row r="3250" customFormat="false" ht="15" hidden="false" customHeight="true" outlineLevel="0" collapsed="false">
      <c r="A3250" s="10" t="n">
        <f aca="false">Einstellungen!$B$5+INT((ROW()-9)/24)</f>
        <v>46101</v>
      </c>
      <c r="B3250" s="11" t="n">
        <f aca="false">MOD(ROW()-9,24)</f>
        <v>1</v>
      </c>
      <c r="C3250" s="12"/>
      <c r="D3250" s="13" t="n">
        <f aca="false">IF(B3250&lt;5,Einstellungen!$B$3,Einstellungen!$B$4)</f>
        <v>15.92</v>
      </c>
      <c r="E3250" s="14" t="str">
        <f aca="false">IF(C3250="","",C3250*D3250/100)</f>
        <v/>
      </c>
      <c r="F3250" s="15" t="str">
        <f aca="false">IF(B3250&lt;5,"Go","Standard")</f>
        <v>Go</v>
      </c>
    </row>
    <row r="3251" customFormat="false" ht="15" hidden="false" customHeight="true" outlineLevel="0" collapsed="false">
      <c r="A3251" s="10" t="n">
        <f aca="false">Einstellungen!$B$5+INT((ROW()-9)/24)</f>
        <v>46101</v>
      </c>
      <c r="B3251" s="11" t="n">
        <f aca="false">MOD(ROW()-9,24)</f>
        <v>2</v>
      </c>
      <c r="C3251" s="12"/>
      <c r="D3251" s="13" t="n">
        <f aca="false">IF(B3251&lt;5,Einstellungen!$B$3,Einstellungen!$B$4)</f>
        <v>15.92</v>
      </c>
      <c r="E3251" s="14" t="str">
        <f aca="false">IF(C3251="","",C3251*D3251/100)</f>
        <v/>
      </c>
      <c r="F3251" s="15" t="str">
        <f aca="false">IF(B3251&lt;5,"Go","Standard")</f>
        <v>Go</v>
      </c>
    </row>
    <row r="3252" customFormat="false" ht="15" hidden="false" customHeight="true" outlineLevel="0" collapsed="false">
      <c r="A3252" s="10" t="n">
        <f aca="false">Einstellungen!$B$5+INT((ROW()-9)/24)</f>
        <v>46101</v>
      </c>
      <c r="B3252" s="11" t="n">
        <f aca="false">MOD(ROW()-9,24)</f>
        <v>3</v>
      </c>
      <c r="C3252" s="12"/>
      <c r="D3252" s="13" t="n">
        <f aca="false">IF(B3252&lt;5,Einstellungen!$B$3,Einstellungen!$B$4)</f>
        <v>15.92</v>
      </c>
      <c r="E3252" s="14" t="str">
        <f aca="false">IF(C3252="","",C3252*D3252/100)</f>
        <v/>
      </c>
      <c r="F3252" s="15" t="str">
        <f aca="false">IF(B3252&lt;5,"Go","Standard")</f>
        <v>Go</v>
      </c>
    </row>
    <row r="3253" customFormat="false" ht="15" hidden="false" customHeight="true" outlineLevel="0" collapsed="false">
      <c r="A3253" s="10" t="n">
        <f aca="false">Einstellungen!$B$5+INT((ROW()-9)/24)</f>
        <v>46101</v>
      </c>
      <c r="B3253" s="11" t="n">
        <f aca="false">MOD(ROW()-9,24)</f>
        <v>4</v>
      </c>
      <c r="C3253" s="12"/>
      <c r="D3253" s="13" t="n">
        <f aca="false">IF(B3253&lt;5,Einstellungen!$B$3,Einstellungen!$B$4)</f>
        <v>15.92</v>
      </c>
      <c r="E3253" s="14" t="str">
        <f aca="false">IF(C3253="","",C3253*D3253/100)</f>
        <v/>
      </c>
      <c r="F3253" s="15" t="str">
        <f aca="false">IF(B3253&lt;5,"Go","Standard")</f>
        <v>Go</v>
      </c>
    </row>
    <row r="3254" customFormat="false" ht="15" hidden="false" customHeight="true" outlineLevel="0" collapsed="false">
      <c r="A3254" s="10" t="n">
        <f aca="false">Einstellungen!$B$5+INT((ROW()-9)/24)</f>
        <v>46101</v>
      </c>
      <c r="B3254" s="11" t="n">
        <f aca="false">MOD(ROW()-9,24)</f>
        <v>5</v>
      </c>
      <c r="C3254" s="12"/>
      <c r="D3254" s="13" t="n">
        <f aca="false">IF(B3254&lt;5,Einstellungen!$B$3,Einstellungen!$B$4)</f>
        <v>29.13</v>
      </c>
      <c r="E3254" s="14" t="str">
        <f aca="false">IF(C3254="","",C3254*D3254/100)</f>
        <v/>
      </c>
      <c r="F3254" s="15" t="str">
        <f aca="false">IF(B3254&lt;5,"Go","Standard")</f>
        <v>Standard</v>
      </c>
    </row>
    <row r="3255" customFormat="false" ht="15" hidden="false" customHeight="true" outlineLevel="0" collapsed="false">
      <c r="A3255" s="10" t="n">
        <f aca="false">Einstellungen!$B$5+INT((ROW()-9)/24)</f>
        <v>46101</v>
      </c>
      <c r="B3255" s="11" t="n">
        <f aca="false">MOD(ROW()-9,24)</f>
        <v>6</v>
      </c>
      <c r="C3255" s="12"/>
      <c r="D3255" s="13" t="n">
        <f aca="false">IF(B3255&lt;5,Einstellungen!$B$3,Einstellungen!$B$4)</f>
        <v>29.13</v>
      </c>
      <c r="E3255" s="14" t="str">
        <f aca="false">IF(C3255="","",C3255*D3255/100)</f>
        <v/>
      </c>
      <c r="F3255" s="15" t="str">
        <f aca="false">IF(B3255&lt;5,"Go","Standard")</f>
        <v>Standard</v>
      </c>
    </row>
    <row r="3256" customFormat="false" ht="15" hidden="false" customHeight="true" outlineLevel="0" collapsed="false">
      <c r="A3256" s="10" t="n">
        <f aca="false">Einstellungen!$B$5+INT((ROW()-9)/24)</f>
        <v>46101</v>
      </c>
      <c r="B3256" s="11" t="n">
        <f aca="false">MOD(ROW()-9,24)</f>
        <v>7</v>
      </c>
      <c r="C3256" s="12"/>
      <c r="D3256" s="13" t="n">
        <f aca="false">IF(B3256&lt;5,Einstellungen!$B$3,Einstellungen!$B$4)</f>
        <v>29.13</v>
      </c>
      <c r="E3256" s="14" t="str">
        <f aca="false">IF(C3256="","",C3256*D3256/100)</f>
        <v/>
      </c>
      <c r="F3256" s="15" t="str">
        <f aca="false">IF(B3256&lt;5,"Go","Standard")</f>
        <v>Standard</v>
      </c>
    </row>
    <row r="3257" customFormat="false" ht="15" hidden="false" customHeight="true" outlineLevel="0" collapsed="false">
      <c r="A3257" s="10" t="n">
        <f aca="false">Einstellungen!$B$5+INT((ROW()-9)/24)</f>
        <v>46101</v>
      </c>
      <c r="B3257" s="11" t="n">
        <f aca="false">MOD(ROW()-9,24)</f>
        <v>8</v>
      </c>
      <c r="C3257" s="12"/>
      <c r="D3257" s="13" t="n">
        <f aca="false">IF(B3257&lt;5,Einstellungen!$B$3,Einstellungen!$B$4)</f>
        <v>29.13</v>
      </c>
      <c r="E3257" s="14" t="str">
        <f aca="false">IF(C3257="","",C3257*D3257/100)</f>
        <v/>
      </c>
      <c r="F3257" s="15" t="str">
        <f aca="false">IF(B3257&lt;5,"Go","Standard")</f>
        <v>Standard</v>
      </c>
    </row>
    <row r="3258" customFormat="false" ht="15" hidden="false" customHeight="true" outlineLevel="0" collapsed="false">
      <c r="A3258" s="10" t="n">
        <f aca="false">Einstellungen!$B$5+INT((ROW()-9)/24)</f>
        <v>46101</v>
      </c>
      <c r="B3258" s="11" t="n">
        <f aca="false">MOD(ROW()-9,24)</f>
        <v>9</v>
      </c>
      <c r="C3258" s="12"/>
      <c r="D3258" s="13" t="n">
        <f aca="false">IF(B3258&lt;5,Einstellungen!$B$3,Einstellungen!$B$4)</f>
        <v>29.13</v>
      </c>
      <c r="E3258" s="14" t="str">
        <f aca="false">IF(C3258="","",C3258*D3258/100)</f>
        <v/>
      </c>
      <c r="F3258" s="15" t="str">
        <f aca="false">IF(B3258&lt;5,"Go","Standard")</f>
        <v>Standard</v>
      </c>
    </row>
    <row r="3259" customFormat="false" ht="15" hidden="false" customHeight="true" outlineLevel="0" collapsed="false">
      <c r="A3259" s="10" t="n">
        <f aca="false">Einstellungen!$B$5+INT((ROW()-9)/24)</f>
        <v>46101</v>
      </c>
      <c r="B3259" s="11" t="n">
        <f aca="false">MOD(ROW()-9,24)</f>
        <v>10</v>
      </c>
      <c r="C3259" s="12"/>
      <c r="D3259" s="13" t="n">
        <f aca="false">IF(B3259&lt;5,Einstellungen!$B$3,Einstellungen!$B$4)</f>
        <v>29.13</v>
      </c>
      <c r="E3259" s="14" t="str">
        <f aca="false">IF(C3259="","",C3259*D3259/100)</f>
        <v/>
      </c>
      <c r="F3259" s="15" t="str">
        <f aca="false">IF(B3259&lt;5,"Go","Standard")</f>
        <v>Standard</v>
      </c>
    </row>
    <row r="3260" customFormat="false" ht="15" hidden="false" customHeight="true" outlineLevel="0" collapsed="false">
      <c r="A3260" s="10" t="n">
        <f aca="false">Einstellungen!$B$5+INT((ROW()-9)/24)</f>
        <v>46101</v>
      </c>
      <c r="B3260" s="11" t="n">
        <f aca="false">MOD(ROW()-9,24)</f>
        <v>11</v>
      </c>
      <c r="C3260" s="12"/>
      <c r="D3260" s="13" t="n">
        <f aca="false">IF(B3260&lt;5,Einstellungen!$B$3,Einstellungen!$B$4)</f>
        <v>29.13</v>
      </c>
      <c r="E3260" s="14" t="str">
        <f aca="false">IF(C3260="","",C3260*D3260/100)</f>
        <v/>
      </c>
      <c r="F3260" s="15" t="str">
        <f aca="false">IF(B3260&lt;5,"Go","Standard")</f>
        <v>Standard</v>
      </c>
    </row>
    <row r="3261" customFormat="false" ht="15" hidden="false" customHeight="true" outlineLevel="0" collapsed="false">
      <c r="A3261" s="10" t="n">
        <f aca="false">Einstellungen!$B$5+INT((ROW()-9)/24)</f>
        <v>46101</v>
      </c>
      <c r="B3261" s="11" t="n">
        <f aca="false">MOD(ROW()-9,24)</f>
        <v>12</v>
      </c>
      <c r="C3261" s="12"/>
      <c r="D3261" s="13" t="n">
        <f aca="false">IF(B3261&lt;5,Einstellungen!$B$3,Einstellungen!$B$4)</f>
        <v>29.13</v>
      </c>
      <c r="E3261" s="14" t="str">
        <f aca="false">IF(C3261="","",C3261*D3261/100)</f>
        <v/>
      </c>
      <c r="F3261" s="15" t="str">
        <f aca="false">IF(B3261&lt;5,"Go","Standard")</f>
        <v>Standard</v>
      </c>
    </row>
    <row r="3262" customFormat="false" ht="15" hidden="false" customHeight="true" outlineLevel="0" collapsed="false">
      <c r="A3262" s="10" t="n">
        <f aca="false">Einstellungen!$B$5+INT((ROW()-9)/24)</f>
        <v>46101</v>
      </c>
      <c r="B3262" s="11" t="n">
        <f aca="false">MOD(ROW()-9,24)</f>
        <v>13</v>
      </c>
      <c r="C3262" s="12"/>
      <c r="D3262" s="13" t="n">
        <f aca="false">IF(B3262&lt;5,Einstellungen!$B$3,Einstellungen!$B$4)</f>
        <v>29.13</v>
      </c>
      <c r="E3262" s="14" t="str">
        <f aca="false">IF(C3262="","",C3262*D3262/100)</f>
        <v/>
      </c>
      <c r="F3262" s="15" t="str">
        <f aca="false">IF(B3262&lt;5,"Go","Standard")</f>
        <v>Standard</v>
      </c>
    </row>
    <row r="3263" customFormat="false" ht="15" hidden="false" customHeight="true" outlineLevel="0" collapsed="false">
      <c r="A3263" s="10" t="n">
        <f aca="false">Einstellungen!$B$5+INT((ROW()-9)/24)</f>
        <v>46101</v>
      </c>
      <c r="B3263" s="11" t="n">
        <f aca="false">MOD(ROW()-9,24)</f>
        <v>14</v>
      </c>
      <c r="C3263" s="12"/>
      <c r="D3263" s="13" t="n">
        <f aca="false">IF(B3263&lt;5,Einstellungen!$B$3,Einstellungen!$B$4)</f>
        <v>29.13</v>
      </c>
      <c r="E3263" s="14" t="str">
        <f aca="false">IF(C3263="","",C3263*D3263/100)</f>
        <v/>
      </c>
      <c r="F3263" s="15" t="str">
        <f aca="false">IF(B3263&lt;5,"Go","Standard")</f>
        <v>Standard</v>
      </c>
    </row>
    <row r="3264" customFormat="false" ht="15" hidden="false" customHeight="true" outlineLevel="0" collapsed="false">
      <c r="A3264" s="10" t="n">
        <f aca="false">Einstellungen!$B$5+INT((ROW()-9)/24)</f>
        <v>46101</v>
      </c>
      <c r="B3264" s="11" t="n">
        <f aca="false">MOD(ROW()-9,24)</f>
        <v>15</v>
      </c>
      <c r="C3264" s="12"/>
      <c r="D3264" s="13" t="n">
        <f aca="false">IF(B3264&lt;5,Einstellungen!$B$3,Einstellungen!$B$4)</f>
        <v>29.13</v>
      </c>
      <c r="E3264" s="14" t="str">
        <f aca="false">IF(C3264="","",C3264*D3264/100)</f>
        <v/>
      </c>
      <c r="F3264" s="15" t="str">
        <f aca="false">IF(B3264&lt;5,"Go","Standard")</f>
        <v>Standard</v>
      </c>
    </row>
    <row r="3265" customFormat="false" ht="15" hidden="false" customHeight="true" outlineLevel="0" collapsed="false">
      <c r="A3265" s="10" t="n">
        <f aca="false">Einstellungen!$B$5+INT((ROW()-9)/24)</f>
        <v>46101</v>
      </c>
      <c r="B3265" s="11" t="n">
        <f aca="false">MOD(ROW()-9,24)</f>
        <v>16</v>
      </c>
      <c r="C3265" s="12"/>
      <c r="D3265" s="13" t="n">
        <f aca="false">IF(B3265&lt;5,Einstellungen!$B$3,Einstellungen!$B$4)</f>
        <v>29.13</v>
      </c>
      <c r="E3265" s="14" t="str">
        <f aca="false">IF(C3265="","",C3265*D3265/100)</f>
        <v/>
      </c>
      <c r="F3265" s="15" t="str">
        <f aca="false">IF(B3265&lt;5,"Go","Standard")</f>
        <v>Standard</v>
      </c>
    </row>
    <row r="3266" customFormat="false" ht="15" hidden="false" customHeight="true" outlineLevel="0" collapsed="false">
      <c r="A3266" s="10" t="n">
        <f aca="false">Einstellungen!$B$5+INT((ROW()-9)/24)</f>
        <v>46101</v>
      </c>
      <c r="B3266" s="11" t="n">
        <f aca="false">MOD(ROW()-9,24)</f>
        <v>17</v>
      </c>
      <c r="C3266" s="12"/>
      <c r="D3266" s="13" t="n">
        <f aca="false">IF(B3266&lt;5,Einstellungen!$B$3,Einstellungen!$B$4)</f>
        <v>29.13</v>
      </c>
      <c r="E3266" s="14" t="str">
        <f aca="false">IF(C3266="","",C3266*D3266/100)</f>
        <v/>
      </c>
      <c r="F3266" s="15" t="str">
        <f aca="false">IF(B3266&lt;5,"Go","Standard")</f>
        <v>Standard</v>
      </c>
    </row>
    <row r="3267" customFormat="false" ht="15" hidden="false" customHeight="true" outlineLevel="0" collapsed="false">
      <c r="A3267" s="10" t="n">
        <f aca="false">Einstellungen!$B$5+INT((ROW()-9)/24)</f>
        <v>46101</v>
      </c>
      <c r="B3267" s="11" t="n">
        <f aca="false">MOD(ROW()-9,24)</f>
        <v>18</v>
      </c>
      <c r="C3267" s="12"/>
      <c r="D3267" s="13" t="n">
        <f aca="false">IF(B3267&lt;5,Einstellungen!$B$3,Einstellungen!$B$4)</f>
        <v>29.13</v>
      </c>
      <c r="E3267" s="14" t="str">
        <f aca="false">IF(C3267="","",C3267*D3267/100)</f>
        <v/>
      </c>
      <c r="F3267" s="15" t="str">
        <f aca="false">IF(B3267&lt;5,"Go","Standard")</f>
        <v>Standard</v>
      </c>
    </row>
    <row r="3268" customFormat="false" ht="15" hidden="false" customHeight="true" outlineLevel="0" collapsed="false">
      <c r="A3268" s="10" t="n">
        <f aca="false">Einstellungen!$B$5+INT((ROW()-9)/24)</f>
        <v>46101</v>
      </c>
      <c r="B3268" s="11" t="n">
        <f aca="false">MOD(ROW()-9,24)</f>
        <v>19</v>
      </c>
      <c r="C3268" s="12"/>
      <c r="D3268" s="13" t="n">
        <f aca="false">IF(B3268&lt;5,Einstellungen!$B$3,Einstellungen!$B$4)</f>
        <v>29.13</v>
      </c>
      <c r="E3268" s="14" t="str">
        <f aca="false">IF(C3268="","",C3268*D3268/100)</f>
        <v/>
      </c>
      <c r="F3268" s="15" t="str">
        <f aca="false">IF(B3268&lt;5,"Go","Standard")</f>
        <v>Standard</v>
      </c>
    </row>
    <row r="3269" customFormat="false" ht="15" hidden="false" customHeight="true" outlineLevel="0" collapsed="false">
      <c r="A3269" s="10" t="n">
        <f aca="false">Einstellungen!$B$5+INT((ROW()-9)/24)</f>
        <v>46101</v>
      </c>
      <c r="B3269" s="11" t="n">
        <f aca="false">MOD(ROW()-9,24)</f>
        <v>20</v>
      </c>
      <c r="C3269" s="12"/>
      <c r="D3269" s="13" t="n">
        <f aca="false">IF(B3269&lt;5,Einstellungen!$B$3,Einstellungen!$B$4)</f>
        <v>29.13</v>
      </c>
      <c r="E3269" s="14" t="str">
        <f aca="false">IF(C3269="","",C3269*D3269/100)</f>
        <v/>
      </c>
      <c r="F3269" s="15" t="str">
        <f aca="false">IF(B3269&lt;5,"Go","Standard")</f>
        <v>Standard</v>
      </c>
    </row>
    <row r="3270" customFormat="false" ht="15" hidden="false" customHeight="true" outlineLevel="0" collapsed="false">
      <c r="A3270" s="10" t="n">
        <f aca="false">Einstellungen!$B$5+INT((ROW()-9)/24)</f>
        <v>46101</v>
      </c>
      <c r="B3270" s="11" t="n">
        <f aca="false">MOD(ROW()-9,24)</f>
        <v>21</v>
      </c>
      <c r="C3270" s="12"/>
      <c r="D3270" s="13" t="n">
        <f aca="false">IF(B3270&lt;5,Einstellungen!$B$3,Einstellungen!$B$4)</f>
        <v>29.13</v>
      </c>
      <c r="E3270" s="14" t="str">
        <f aca="false">IF(C3270="","",C3270*D3270/100)</f>
        <v/>
      </c>
      <c r="F3270" s="15" t="str">
        <f aca="false">IF(B3270&lt;5,"Go","Standard")</f>
        <v>Standard</v>
      </c>
    </row>
    <row r="3271" customFormat="false" ht="15" hidden="false" customHeight="true" outlineLevel="0" collapsed="false">
      <c r="A3271" s="10" t="n">
        <f aca="false">Einstellungen!$B$5+INT((ROW()-9)/24)</f>
        <v>46101</v>
      </c>
      <c r="B3271" s="11" t="n">
        <f aca="false">MOD(ROW()-9,24)</f>
        <v>22</v>
      </c>
      <c r="C3271" s="12"/>
      <c r="D3271" s="13" t="n">
        <f aca="false">IF(B3271&lt;5,Einstellungen!$B$3,Einstellungen!$B$4)</f>
        <v>29.13</v>
      </c>
      <c r="E3271" s="14" t="str">
        <f aca="false">IF(C3271="","",C3271*D3271/100)</f>
        <v/>
      </c>
      <c r="F3271" s="15" t="str">
        <f aca="false">IF(B3271&lt;5,"Go","Standard")</f>
        <v>Standard</v>
      </c>
    </row>
    <row r="3272" customFormat="false" ht="15" hidden="false" customHeight="true" outlineLevel="0" collapsed="false">
      <c r="A3272" s="10" t="n">
        <f aca="false">Einstellungen!$B$5+INT((ROW()-9)/24)</f>
        <v>46101</v>
      </c>
      <c r="B3272" s="11" t="n">
        <f aca="false">MOD(ROW()-9,24)</f>
        <v>23</v>
      </c>
      <c r="C3272" s="12"/>
      <c r="D3272" s="13" t="n">
        <f aca="false">IF(B3272&lt;5,Einstellungen!$B$3,Einstellungen!$B$4)</f>
        <v>29.13</v>
      </c>
      <c r="E3272" s="14" t="str">
        <f aca="false">IF(C3272="","",C3272*D3272/100)</f>
        <v/>
      </c>
      <c r="F3272" s="15" t="str">
        <f aca="false">IF(B3272&lt;5,"Go","Standard")</f>
        <v>Standard</v>
      </c>
    </row>
    <row r="3273" customFormat="false" ht="15" hidden="false" customHeight="true" outlineLevel="0" collapsed="false">
      <c r="A3273" s="10" t="n">
        <f aca="false">Einstellungen!$B$5+INT((ROW()-9)/24)</f>
        <v>46102</v>
      </c>
      <c r="B3273" s="11" t="n">
        <f aca="false">MOD(ROW()-9,24)</f>
        <v>0</v>
      </c>
      <c r="C3273" s="12"/>
      <c r="D3273" s="13" t="n">
        <f aca="false">IF(B3273&lt;5,Einstellungen!$B$3,Einstellungen!$B$4)</f>
        <v>15.92</v>
      </c>
      <c r="E3273" s="14" t="str">
        <f aca="false">IF(C3273="","",C3273*D3273/100)</f>
        <v/>
      </c>
      <c r="F3273" s="15" t="str">
        <f aca="false">IF(B3273&lt;5,"Go","Standard")</f>
        <v>Go</v>
      </c>
    </row>
    <row r="3274" customFormat="false" ht="15" hidden="false" customHeight="true" outlineLevel="0" collapsed="false">
      <c r="A3274" s="10" t="n">
        <f aca="false">Einstellungen!$B$5+INT((ROW()-9)/24)</f>
        <v>46102</v>
      </c>
      <c r="B3274" s="11" t="n">
        <f aca="false">MOD(ROW()-9,24)</f>
        <v>1</v>
      </c>
      <c r="C3274" s="12"/>
      <c r="D3274" s="13" t="n">
        <f aca="false">IF(B3274&lt;5,Einstellungen!$B$3,Einstellungen!$B$4)</f>
        <v>15.92</v>
      </c>
      <c r="E3274" s="14" t="str">
        <f aca="false">IF(C3274="","",C3274*D3274/100)</f>
        <v/>
      </c>
      <c r="F3274" s="15" t="str">
        <f aca="false">IF(B3274&lt;5,"Go","Standard")</f>
        <v>Go</v>
      </c>
    </row>
    <row r="3275" customFormat="false" ht="15" hidden="false" customHeight="true" outlineLevel="0" collapsed="false">
      <c r="A3275" s="10" t="n">
        <f aca="false">Einstellungen!$B$5+INT((ROW()-9)/24)</f>
        <v>46102</v>
      </c>
      <c r="B3275" s="11" t="n">
        <f aca="false">MOD(ROW()-9,24)</f>
        <v>2</v>
      </c>
      <c r="C3275" s="12"/>
      <c r="D3275" s="13" t="n">
        <f aca="false">IF(B3275&lt;5,Einstellungen!$B$3,Einstellungen!$B$4)</f>
        <v>15.92</v>
      </c>
      <c r="E3275" s="14" t="str">
        <f aca="false">IF(C3275="","",C3275*D3275/100)</f>
        <v/>
      </c>
      <c r="F3275" s="15" t="str">
        <f aca="false">IF(B3275&lt;5,"Go","Standard")</f>
        <v>Go</v>
      </c>
    </row>
    <row r="3276" customFormat="false" ht="15" hidden="false" customHeight="true" outlineLevel="0" collapsed="false">
      <c r="A3276" s="10" t="n">
        <f aca="false">Einstellungen!$B$5+INT((ROW()-9)/24)</f>
        <v>46102</v>
      </c>
      <c r="B3276" s="11" t="n">
        <f aca="false">MOD(ROW()-9,24)</f>
        <v>3</v>
      </c>
      <c r="C3276" s="12"/>
      <c r="D3276" s="13" t="n">
        <f aca="false">IF(B3276&lt;5,Einstellungen!$B$3,Einstellungen!$B$4)</f>
        <v>15.92</v>
      </c>
      <c r="E3276" s="14" t="str">
        <f aca="false">IF(C3276="","",C3276*D3276/100)</f>
        <v/>
      </c>
      <c r="F3276" s="15" t="str">
        <f aca="false">IF(B3276&lt;5,"Go","Standard")</f>
        <v>Go</v>
      </c>
    </row>
    <row r="3277" customFormat="false" ht="15" hidden="false" customHeight="true" outlineLevel="0" collapsed="false">
      <c r="A3277" s="10" t="n">
        <f aca="false">Einstellungen!$B$5+INT((ROW()-9)/24)</f>
        <v>46102</v>
      </c>
      <c r="B3277" s="11" t="n">
        <f aca="false">MOD(ROW()-9,24)</f>
        <v>4</v>
      </c>
      <c r="C3277" s="12"/>
      <c r="D3277" s="13" t="n">
        <f aca="false">IF(B3277&lt;5,Einstellungen!$B$3,Einstellungen!$B$4)</f>
        <v>15.92</v>
      </c>
      <c r="E3277" s="14" t="str">
        <f aca="false">IF(C3277="","",C3277*D3277/100)</f>
        <v/>
      </c>
      <c r="F3277" s="15" t="str">
        <f aca="false">IF(B3277&lt;5,"Go","Standard")</f>
        <v>Go</v>
      </c>
    </row>
    <row r="3278" customFormat="false" ht="15" hidden="false" customHeight="true" outlineLevel="0" collapsed="false">
      <c r="A3278" s="10" t="n">
        <f aca="false">Einstellungen!$B$5+INT((ROW()-9)/24)</f>
        <v>46102</v>
      </c>
      <c r="B3278" s="11" t="n">
        <f aca="false">MOD(ROW()-9,24)</f>
        <v>5</v>
      </c>
      <c r="C3278" s="12"/>
      <c r="D3278" s="13" t="n">
        <f aca="false">IF(B3278&lt;5,Einstellungen!$B$3,Einstellungen!$B$4)</f>
        <v>29.13</v>
      </c>
      <c r="E3278" s="14" t="str">
        <f aca="false">IF(C3278="","",C3278*D3278/100)</f>
        <v/>
      </c>
      <c r="F3278" s="15" t="str">
        <f aca="false">IF(B3278&lt;5,"Go","Standard")</f>
        <v>Standard</v>
      </c>
    </row>
    <row r="3279" customFormat="false" ht="15" hidden="false" customHeight="true" outlineLevel="0" collapsed="false">
      <c r="A3279" s="10" t="n">
        <f aca="false">Einstellungen!$B$5+INT((ROW()-9)/24)</f>
        <v>46102</v>
      </c>
      <c r="B3279" s="11" t="n">
        <f aca="false">MOD(ROW()-9,24)</f>
        <v>6</v>
      </c>
      <c r="C3279" s="12"/>
      <c r="D3279" s="13" t="n">
        <f aca="false">IF(B3279&lt;5,Einstellungen!$B$3,Einstellungen!$B$4)</f>
        <v>29.13</v>
      </c>
      <c r="E3279" s="14" t="str">
        <f aca="false">IF(C3279="","",C3279*D3279/100)</f>
        <v/>
      </c>
      <c r="F3279" s="15" t="str">
        <f aca="false">IF(B3279&lt;5,"Go","Standard")</f>
        <v>Standard</v>
      </c>
    </row>
    <row r="3280" customFormat="false" ht="15" hidden="false" customHeight="true" outlineLevel="0" collapsed="false">
      <c r="A3280" s="10" t="n">
        <f aca="false">Einstellungen!$B$5+INT((ROW()-9)/24)</f>
        <v>46102</v>
      </c>
      <c r="B3280" s="11" t="n">
        <f aca="false">MOD(ROW()-9,24)</f>
        <v>7</v>
      </c>
      <c r="C3280" s="12"/>
      <c r="D3280" s="13" t="n">
        <f aca="false">IF(B3280&lt;5,Einstellungen!$B$3,Einstellungen!$B$4)</f>
        <v>29.13</v>
      </c>
      <c r="E3280" s="14" t="str">
        <f aca="false">IF(C3280="","",C3280*D3280/100)</f>
        <v/>
      </c>
      <c r="F3280" s="15" t="str">
        <f aca="false">IF(B3280&lt;5,"Go","Standard")</f>
        <v>Standard</v>
      </c>
    </row>
    <row r="3281" customFormat="false" ht="15" hidden="false" customHeight="true" outlineLevel="0" collapsed="false">
      <c r="A3281" s="10" t="n">
        <f aca="false">Einstellungen!$B$5+INT((ROW()-9)/24)</f>
        <v>46102</v>
      </c>
      <c r="B3281" s="11" t="n">
        <f aca="false">MOD(ROW()-9,24)</f>
        <v>8</v>
      </c>
      <c r="C3281" s="12"/>
      <c r="D3281" s="13" t="n">
        <f aca="false">IF(B3281&lt;5,Einstellungen!$B$3,Einstellungen!$B$4)</f>
        <v>29.13</v>
      </c>
      <c r="E3281" s="14" t="str">
        <f aca="false">IF(C3281="","",C3281*D3281/100)</f>
        <v/>
      </c>
      <c r="F3281" s="15" t="str">
        <f aca="false">IF(B3281&lt;5,"Go","Standard")</f>
        <v>Standard</v>
      </c>
    </row>
    <row r="3282" customFormat="false" ht="15" hidden="false" customHeight="true" outlineLevel="0" collapsed="false">
      <c r="A3282" s="10" t="n">
        <f aca="false">Einstellungen!$B$5+INT((ROW()-9)/24)</f>
        <v>46102</v>
      </c>
      <c r="B3282" s="11" t="n">
        <f aca="false">MOD(ROW()-9,24)</f>
        <v>9</v>
      </c>
      <c r="C3282" s="12"/>
      <c r="D3282" s="13" t="n">
        <f aca="false">IF(B3282&lt;5,Einstellungen!$B$3,Einstellungen!$B$4)</f>
        <v>29.13</v>
      </c>
      <c r="E3282" s="14" t="str">
        <f aca="false">IF(C3282="","",C3282*D3282/100)</f>
        <v/>
      </c>
      <c r="F3282" s="15" t="str">
        <f aca="false">IF(B3282&lt;5,"Go","Standard")</f>
        <v>Standard</v>
      </c>
    </row>
    <row r="3283" customFormat="false" ht="15" hidden="false" customHeight="true" outlineLevel="0" collapsed="false">
      <c r="A3283" s="10" t="n">
        <f aca="false">Einstellungen!$B$5+INT((ROW()-9)/24)</f>
        <v>46102</v>
      </c>
      <c r="B3283" s="11" t="n">
        <f aca="false">MOD(ROW()-9,24)</f>
        <v>10</v>
      </c>
      <c r="C3283" s="12"/>
      <c r="D3283" s="13" t="n">
        <f aca="false">IF(B3283&lt;5,Einstellungen!$B$3,Einstellungen!$B$4)</f>
        <v>29.13</v>
      </c>
      <c r="E3283" s="14" t="str">
        <f aca="false">IF(C3283="","",C3283*D3283/100)</f>
        <v/>
      </c>
      <c r="F3283" s="15" t="str">
        <f aca="false">IF(B3283&lt;5,"Go","Standard")</f>
        <v>Standard</v>
      </c>
    </row>
    <row r="3284" customFormat="false" ht="15" hidden="false" customHeight="true" outlineLevel="0" collapsed="false">
      <c r="A3284" s="10" t="n">
        <f aca="false">Einstellungen!$B$5+INT((ROW()-9)/24)</f>
        <v>46102</v>
      </c>
      <c r="B3284" s="11" t="n">
        <f aca="false">MOD(ROW()-9,24)</f>
        <v>11</v>
      </c>
      <c r="C3284" s="12"/>
      <c r="D3284" s="13" t="n">
        <f aca="false">IF(B3284&lt;5,Einstellungen!$B$3,Einstellungen!$B$4)</f>
        <v>29.13</v>
      </c>
      <c r="E3284" s="14" t="str">
        <f aca="false">IF(C3284="","",C3284*D3284/100)</f>
        <v/>
      </c>
      <c r="F3284" s="15" t="str">
        <f aca="false">IF(B3284&lt;5,"Go","Standard")</f>
        <v>Standard</v>
      </c>
    </row>
    <row r="3285" customFormat="false" ht="15" hidden="false" customHeight="true" outlineLevel="0" collapsed="false">
      <c r="A3285" s="10" t="n">
        <f aca="false">Einstellungen!$B$5+INT((ROW()-9)/24)</f>
        <v>46102</v>
      </c>
      <c r="B3285" s="11" t="n">
        <f aca="false">MOD(ROW()-9,24)</f>
        <v>12</v>
      </c>
      <c r="C3285" s="12"/>
      <c r="D3285" s="13" t="n">
        <f aca="false">IF(B3285&lt;5,Einstellungen!$B$3,Einstellungen!$B$4)</f>
        <v>29.13</v>
      </c>
      <c r="E3285" s="14" t="str">
        <f aca="false">IF(C3285="","",C3285*D3285/100)</f>
        <v/>
      </c>
      <c r="F3285" s="15" t="str">
        <f aca="false">IF(B3285&lt;5,"Go","Standard")</f>
        <v>Standard</v>
      </c>
    </row>
    <row r="3286" customFormat="false" ht="15" hidden="false" customHeight="true" outlineLevel="0" collapsed="false">
      <c r="A3286" s="10" t="n">
        <f aca="false">Einstellungen!$B$5+INT((ROW()-9)/24)</f>
        <v>46102</v>
      </c>
      <c r="B3286" s="11" t="n">
        <f aca="false">MOD(ROW()-9,24)</f>
        <v>13</v>
      </c>
      <c r="C3286" s="12"/>
      <c r="D3286" s="13" t="n">
        <f aca="false">IF(B3286&lt;5,Einstellungen!$B$3,Einstellungen!$B$4)</f>
        <v>29.13</v>
      </c>
      <c r="E3286" s="14" t="str">
        <f aca="false">IF(C3286="","",C3286*D3286/100)</f>
        <v/>
      </c>
      <c r="F3286" s="15" t="str">
        <f aca="false">IF(B3286&lt;5,"Go","Standard")</f>
        <v>Standard</v>
      </c>
    </row>
    <row r="3287" customFormat="false" ht="15" hidden="false" customHeight="true" outlineLevel="0" collapsed="false">
      <c r="A3287" s="10" t="n">
        <f aca="false">Einstellungen!$B$5+INT((ROW()-9)/24)</f>
        <v>46102</v>
      </c>
      <c r="B3287" s="11" t="n">
        <f aca="false">MOD(ROW()-9,24)</f>
        <v>14</v>
      </c>
      <c r="C3287" s="12"/>
      <c r="D3287" s="13" t="n">
        <f aca="false">IF(B3287&lt;5,Einstellungen!$B$3,Einstellungen!$B$4)</f>
        <v>29.13</v>
      </c>
      <c r="E3287" s="14" t="str">
        <f aca="false">IF(C3287="","",C3287*D3287/100)</f>
        <v/>
      </c>
      <c r="F3287" s="15" t="str">
        <f aca="false">IF(B3287&lt;5,"Go","Standard")</f>
        <v>Standard</v>
      </c>
    </row>
    <row r="3288" customFormat="false" ht="15" hidden="false" customHeight="true" outlineLevel="0" collapsed="false">
      <c r="A3288" s="10" t="n">
        <f aca="false">Einstellungen!$B$5+INT((ROW()-9)/24)</f>
        <v>46102</v>
      </c>
      <c r="B3288" s="11" t="n">
        <f aca="false">MOD(ROW()-9,24)</f>
        <v>15</v>
      </c>
      <c r="C3288" s="12"/>
      <c r="D3288" s="13" t="n">
        <f aca="false">IF(B3288&lt;5,Einstellungen!$B$3,Einstellungen!$B$4)</f>
        <v>29.13</v>
      </c>
      <c r="E3288" s="14" t="str">
        <f aca="false">IF(C3288="","",C3288*D3288/100)</f>
        <v/>
      </c>
      <c r="F3288" s="15" t="str">
        <f aca="false">IF(B3288&lt;5,"Go","Standard")</f>
        <v>Standard</v>
      </c>
    </row>
    <row r="3289" customFormat="false" ht="15" hidden="false" customHeight="true" outlineLevel="0" collapsed="false">
      <c r="A3289" s="10" t="n">
        <f aca="false">Einstellungen!$B$5+INT((ROW()-9)/24)</f>
        <v>46102</v>
      </c>
      <c r="B3289" s="11" t="n">
        <f aca="false">MOD(ROW()-9,24)</f>
        <v>16</v>
      </c>
      <c r="C3289" s="12"/>
      <c r="D3289" s="13" t="n">
        <f aca="false">IF(B3289&lt;5,Einstellungen!$B$3,Einstellungen!$B$4)</f>
        <v>29.13</v>
      </c>
      <c r="E3289" s="14" t="str">
        <f aca="false">IF(C3289="","",C3289*D3289/100)</f>
        <v/>
      </c>
      <c r="F3289" s="15" t="str">
        <f aca="false">IF(B3289&lt;5,"Go","Standard")</f>
        <v>Standard</v>
      </c>
    </row>
    <row r="3290" customFormat="false" ht="15" hidden="false" customHeight="true" outlineLevel="0" collapsed="false">
      <c r="A3290" s="10" t="n">
        <f aca="false">Einstellungen!$B$5+INT((ROW()-9)/24)</f>
        <v>46102</v>
      </c>
      <c r="B3290" s="11" t="n">
        <f aca="false">MOD(ROW()-9,24)</f>
        <v>17</v>
      </c>
      <c r="C3290" s="12"/>
      <c r="D3290" s="13" t="n">
        <f aca="false">IF(B3290&lt;5,Einstellungen!$B$3,Einstellungen!$B$4)</f>
        <v>29.13</v>
      </c>
      <c r="E3290" s="14" t="str">
        <f aca="false">IF(C3290="","",C3290*D3290/100)</f>
        <v/>
      </c>
      <c r="F3290" s="15" t="str">
        <f aca="false">IF(B3290&lt;5,"Go","Standard")</f>
        <v>Standard</v>
      </c>
    </row>
    <row r="3291" customFormat="false" ht="15" hidden="false" customHeight="true" outlineLevel="0" collapsed="false">
      <c r="A3291" s="10" t="n">
        <f aca="false">Einstellungen!$B$5+INT((ROW()-9)/24)</f>
        <v>46102</v>
      </c>
      <c r="B3291" s="11" t="n">
        <f aca="false">MOD(ROW()-9,24)</f>
        <v>18</v>
      </c>
      <c r="C3291" s="12"/>
      <c r="D3291" s="13" t="n">
        <f aca="false">IF(B3291&lt;5,Einstellungen!$B$3,Einstellungen!$B$4)</f>
        <v>29.13</v>
      </c>
      <c r="E3291" s="14" t="str">
        <f aca="false">IF(C3291="","",C3291*D3291/100)</f>
        <v/>
      </c>
      <c r="F3291" s="15" t="str">
        <f aca="false">IF(B3291&lt;5,"Go","Standard")</f>
        <v>Standard</v>
      </c>
    </row>
    <row r="3292" customFormat="false" ht="15" hidden="false" customHeight="true" outlineLevel="0" collapsed="false">
      <c r="A3292" s="10" t="n">
        <f aca="false">Einstellungen!$B$5+INT((ROW()-9)/24)</f>
        <v>46102</v>
      </c>
      <c r="B3292" s="11" t="n">
        <f aca="false">MOD(ROW()-9,24)</f>
        <v>19</v>
      </c>
      <c r="C3292" s="12"/>
      <c r="D3292" s="13" t="n">
        <f aca="false">IF(B3292&lt;5,Einstellungen!$B$3,Einstellungen!$B$4)</f>
        <v>29.13</v>
      </c>
      <c r="E3292" s="14" t="str">
        <f aca="false">IF(C3292="","",C3292*D3292/100)</f>
        <v/>
      </c>
      <c r="F3292" s="15" t="str">
        <f aca="false">IF(B3292&lt;5,"Go","Standard")</f>
        <v>Standard</v>
      </c>
    </row>
    <row r="3293" customFormat="false" ht="15" hidden="false" customHeight="true" outlineLevel="0" collapsed="false">
      <c r="A3293" s="10" t="n">
        <f aca="false">Einstellungen!$B$5+INT((ROW()-9)/24)</f>
        <v>46102</v>
      </c>
      <c r="B3293" s="11" t="n">
        <f aca="false">MOD(ROW()-9,24)</f>
        <v>20</v>
      </c>
      <c r="C3293" s="12"/>
      <c r="D3293" s="13" t="n">
        <f aca="false">IF(B3293&lt;5,Einstellungen!$B$3,Einstellungen!$B$4)</f>
        <v>29.13</v>
      </c>
      <c r="E3293" s="14" t="str">
        <f aca="false">IF(C3293="","",C3293*D3293/100)</f>
        <v/>
      </c>
      <c r="F3293" s="15" t="str">
        <f aca="false">IF(B3293&lt;5,"Go","Standard")</f>
        <v>Standard</v>
      </c>
    </row>
    <row r="3294" customFormat="false" ht="15" hidden="false" customHeight="true" outlineLevel="0" collapsed="false">
      <c r="A3294" s="10" t="n">
        <f aca="false">Einstellungen!$B$5+INT((ROW()-9)/24)</f>
        <v>46102</v>
      </c>
      <c r="B3294" s="11" t="n">
        <f aca="false">MOD(ROW()-9,24)</f>
        <v>21</v>
      </c>
      <c r="C3294" s="12"/>
      <c r="D3294" s="13" t="n">
        <f aca="false">IF(B3294&lt;5,Einstellungen!$B$3,Einstellungen!$B$4)</f>
        <v>29.13</v>
      </c>
      <c r="E3294" s="14" t="str">
        <f aca="false">IF(C3294="","",C3294*D3294/100)</f>
        <v/>
      </c>
      <c r="F3294" s="15" t="str">
        <f aca="false">IF(B3294&lt;5,"Go","Standard")</f>
        <v>Standard</v>
      </c>
    </row>
    <row r="3295" customFormat="false" ht="15" hidden="false" customHeight="true" outlineLevel="0" collapsed="false">
      <c r="A3295" s="10" t="n">
        <f aca="false">Einstellungen!$B$5+INT((ROW()-9)/24)</f>
        <v>46102</v>
      </c>
      <c r="B3295" s="11" t="n">
        <f aca="false">MOD(ROW()-9,24)</f>
        <v>22</v>
      </c>
      <c r="C3295" s="12"/>
      <c r="D3295" s="13" t="n">
        <f aca="false">IF(B3295&lt;5,Einstellungen!$B$3,Einstellungen!$B$4)</f>
        <v>29.13</v>
      </c>
      <c r="E3295" s="14" t="str">
        <f aca="false">IF(C3295="","",C3295*D3295/100)</f>
        <v/>
      </c>
      <c r="F3295" s="15" t="str">
        <f aca="false">IF(B3295&lt;5,"Go","Standard")</f>
        <v>Standard</v>
      </c>
    </row>
    <row r="3296" customFormat="false" ht="15" hidden="false" customHeight="true" outlineLevel="0" collapsed="false">
      <c r="A3296" s="10" t="n">
        <f aca="false">Einstellungen!$B$5+INT((ROW()-9)/24)</f>
        <v>46102</v>
      </c>
      <c r="B3296" s="11" t="n">
        <f aca="false">MOD(ROW()-9,24)</f>
        <v>23</v>
      </c>
      <c r="C3296" s="12"/>
      <c r="D3296" s="13" t="n">
        <f aca="false">IF(B3296&lt;5,Einstellungen!$B$3,Einstellungen!$B$4)</f>
        <v>29.13</v>
      </c>
      <c r="E3296" s="14" t="str">
        <f aca="false">IF(C3296="","",C3296*D3296/100)</f>
        <v/>
      </c>
      <c r="F3296" s="15" t="str">
        <f aca="false">IF(B3296&lt;5,"Go","Standard")</f>
        <v>Standard</v>
      </c>
    </row>
    <row r="3297" customFormat="false" ht="15" hidden="false" customHeight="true" outlineLevel="0" collapsed="false">
      <c r="A3297" s="10" t="n">
        <f aca="false">Einstellungen!$B$5+INT((ROW()-9)/24)</f>
        <v>46103</v>
      </c>
      <c r="B3297" s="11" t="n">
        <f aca="false">MOD(ROW()-9,24)</f>
        <v>0</v>
      </c>
      <c r="C3297" s="12"/>
      <c r="D3297" s="13" t="n">
        <f aca="false">IF(B3297&lt;5,Einstellungen!$B$3,Einstellungen!$B$4)</f>
        <v>15.92</v>
      </c>
      <c r="E3297" s="14" t="str">
        <f aca="false">IF(C3297="","",C3297*D3297/100)</f>
        <v/>
      </c>
      <c r="F3297" s="15" t="str">
        <f aca="false">IF(B3297&lt;5,"Go","Standard")</f>
        <v>Go</v>
      </c>
    </row>
    <row r="3298" customFormat="false" ht="15" hidden="false" customHeight="true" outlineLevel="0" collapsed="false">
      <c r="A3298" s="10" t="n">
        <f aca="false">Einstellungen!$B$5+INT((ROW()-9)/24)</f>
        <v>46103</v>
      </c>
      <c r="B3298" s="11" t="n">
        <f aca="false">MOD(ROW()-9,24)</f>
        <v>1</v>
      </c>
      <c r="C3298" s="12"/>
      <c r="D3298" s="13" t="n">
        <f aca="false">IF(B3298&lt;5,Einstellungen!$B$3,Einstellungen!$B$4)</f>
        <v>15.92</v>
      </c>
      <c r="E3298" s="14" t="str">
        <f aca="false">IF(C3298="","",C3298*D3298/100)</f>
        <v/>
      </c>
      <c r="F3298" s="15" t="str">
        <f aca="false">IF(B3298&lt;5,"Go","Standard")</f>
        <v>Go</v>
      </c>
    </row>
    <row r="3299" customFormat="false" ht="15" hidden="false" customHeight="true" outlineLevel="0" collapsed="false">
      <c r="A3299" s="10" t="n">
        <f aca="false">Einstellungen!$B$5+INT((ROW()-9)/24)</f>
        <v>46103</v>
      </c>
      <c r="B3299" s="11" t="n">
        <f aca="false">MOD(ROW()-9,24)</f>
        <v>2</v>
      </c>
      <c r="C3299" s="12"/>
      <c r="D3299" s="13" t="n">
        <f aca="false">IF(B3299&lt;5,Einstellungen!$B$3,Einstellungen!$B$4)</f>
        <v>15.92</v>
      </c>
      <c r="E3299" s="14" t="str">
        <f aca="false">IF(C3299="","",C3299*D3299/100)</f>
        <v/>
      </c>
      <c r="F3299" s="15" t="str">
        <f aca="false">IF(B3299&lt;5,"Go","Standard")</f>
        <v>Go</v>
      </c>
    </row>
    <row r="3300" customFormat="false" ht="15" hidden="false" customHeight="true" outlineLevel="0" collapsed="false">
      <c r="A3300" s="10" t="n">
        <f aca="false">Einstellungen!$B$5+INT((ROW()-9)/24)</f>
        <v>46103</v>
      </c>
      <c r="B3300" s="11" t="n">
        <f aca="false">MOD(ROW()-9,24)</f>
        <v>3</v>
      </c>
      <c r="C3300" s="12"/>
      <c r="D3300" s="13" t="n">
        <f aca="false">IF(B3300&lt;5,Einstellungen!$B$3,Einstellungen!$B$4)</f>
        <v>15.92</v>
      </c>
      <c r="E3300" s="14" t="str">
        <f aca="false">IF(C3300="","",C3300*D3300/100)</f>
        <v/>
      </c>
      <c r="F3300" s="15" t="str">
        <f aca="false">IF(B3300&lt;5,"Go","Standard")</f>
        <v>Go</v>
      </c>
    </row>
    <row r="3301" customFormat="false" ht="15" hidden="false" customHeight="true" outlineLevel="0" collapsed="false">
      <c r="A3301" s="10" t="n">
        <f aca="false">Einstellungen!$B$5+INT((ROW()-9)/24)</f>
        <v>46103</v>
      </c>
      <c r="B3301" s="11" t="n">
        <f aca="false">MOD(ROW()-9,24)</f>
        <v>4</v>
      </c>
      <c r="C3301" s="12"/>
      <c r="D3301" s="13" t="n">
        <f aca="false">IF(B3301&lt;5,Einstellungen!$B$3,Einstellungen!$B$4)</f>
        <v>15.92</v>
      </c>
      <c r="E3301" s="14" t="str">
        <f aca="false">IF(C3301="","",C3301*D3301/100)</f>
        <v/>
      </c>
      <c r="F3301" s="15" t="str">
        <f aca="false">IF(B3301&lt;5,"Go","Standard")</f>
        <v>Go</v>
      </c>
    </row>
    <row r="3302" customFormat="false" ht="15" hidden="false" customHeight="true" outlineLevel="0" collapsed="false">
      <c r="A3302" s="10" t="n">
        <f aca="false">Einstellungen!$B$5+INT((ROW()-9)/24)</f>
        <v>46103</v>
      </c>
      <c r="B3302" s="11" t="n">
        <f aca="false">MOD(ROW()-9,24)</f>
        <v>5</v>
      </c>
      <c r="C3302" s="12"/>
      <c r="D3302" s="13" t="n">
        <f aca="false">IF(B3302&lt;5,Einstellungen!$B$3,Einstellungen!$B$4)</f>
        <v>29.13</v>
      </c>
      <c r="E3302" s="14" t="str">
        <f aca="false">IF(C3302="","",C3302*D3302/100)</f>
        <v/>
      </c>
      <c r="F3302" s="15" t="str">
        <f aca="false">IF(B3302&lt;5,"Go","Standard")</f>
        <v>Standard</v>
      </c>
    </row>
    <row r="3303" customFormat="false" ht="15" hidden="false" customHeight="true" outlineLevel="0" collapsed="false">
      <c r="A3303" s="10" t="n">
        <f aca="false">Einstellungen!$B$5+INT((ROW()-9)/24)</f>
        <v>46103</v>
      </c>
      <c r="B3303" s="11" t="n">
        <f aca="false">MOD(ROW()-9,24)</f>
        <v>6</v>
      </c>
      <c r="C3303" s="12"/>
      <c r="D3303" s="13" t="n">
        <f aca="false">IF(B3303&lt;5,Einstellungen!$B$3,Einstellungen!$B$4)</f>
        <v>29.13</v>
      </c>
      <c r="E3303" s="14" t="str">
        <f aca="false">IF(C3303="","",C3303*D3303/100)</f>
        <v/>
      </c>
      <c r="F3303" s="15" t="str">
        <f aca="false">IF(B3303&lt;5,"Go","Standard")</f>
        <v>Standard</v>
      </c>
    </row>
    <row r="3304" customFormat="false" ht="15" hidden="false" customHeight="true" outlineLevel="0" collapsed="false">
      <c r="A3304" s="10" t="n">
        <f aca="false">Einstellungen!$B$5+INT((ROW()-9)/24)</f>
        <v>46103</v>
      </c>
      <c r="B3304" s="11" t="n">
        <f aca="false">MOD(ROW()-9,24)</f>
        <v>7</v>
      </c>
      <c r="C3304" s="12"/>
      <c r="D3304" s="13" t="n">
        <f aca="false">IF(B3304&lt;5,Einstellungen!$B$3,Einstellungen!$B$4)</f>
        <v>29.13</v>
      </c>
      <c r="E3304" s="14" t="str">
        <f aca="false">IF(C3304="","",C3304*D3304/100)</f>
        <v/>
      </c>
      <c r="F3304" s="15" t="str">
        <f aca="false">IF(B3304&lt;5,"Go","Standard")</f>
        <v>Standard</v>
      </c>
    </row>
    <row r="3305" customFormat="false" ht="15" hidden="false" customHeight="true" outlineLevel="0" collapsed="false">
      <c r="A3305" s="10" t="n">
        <f aca="false">Einstellungen!$B$5+INT((ROW()-9)/24)</f>
        <v>46103</v>
      </c>
      <c r="B3305" s="11" t="n">
        <f aca="false">MOD(ROW()-9,24)</f>
        <v>8</v>
      </c>
      <c r="C3305" s="12"/>
      <c r="D3305" s="13" t="n">
        <f aca="false">IF(B3305&lt;5,Einstellungen!$B$3,Einstellungen!$B$4)</f>
        <v>29.13</v>
      </c>
      <c r="E3305" s="14" t="str">
        <f aca="false">IF(C3305="","",C3305*D3305/100)</f>
        <v/>
      </c>
      <c r="F3305" s="15" t="str">
        <f aca="false">IF(B3305&lt;5,"Go","Standard")</f>
        <v>Standard</v>
      </c>
    </row>
    <row r="3306" customFormat="false" ht="15" hidden="false" customHeight="true" outlineLevel="0" collapsed="false">
      <c r="A3306" s="10" t="n">
        <f aca="false">Einstellungen!$B$5+INT((ROW()-9)/24)</f>
        <v>46103</v>
      </c>
      <c r="B3306" s="11" t="n">
        <f aca="false">MOD(ROW()-9,24)</f>
        <v>9</v>
      </c>
      <c r="C3306" s="12"/>
      <c r="D3306" s="13" t="n">
        <f aca="false">IF(B3306&lt;5,Einstellungen!$B$3,Einstellungen!$B$4)</f>
        <v>29.13</v>
      </c>
      <c r="E3306" s="14" t="str">
        <f aca="false">IF(C3306="","",C3306*D3306/100)</f>
        <v/>
      </c>
      <c r="F3306" s="15" t="str">
        <f aca="false">IF(B3306&lt;5,"Go","Standard")</f>
        <v>Standard</v>
      </c>
    </row>
    <row r="3307" customFormat="false" ht="15" hidden="false" customHeight="true" outlineLevel="0" collapsed="false">
      <c r="A3307" s="10" t="n">
        <f aca="false">Einstellungen!$B$5+INT((ROW()-9)/24)</f>
        <v>46103</v>
      </c>
      <c r="B3307" s="11" t="n">
        <f aca="false">MOD(ROW()-9,24)</f>
        <v>10</v>
      </c>
      <c r="C3307" s="12"/>
      <c r="D3307" s="13" t="n">
        <f aca="false">IF(B3307&lt;5,Einstellungen!$B$3,Einstellungen!$B$4)</f>
        <v>29.13</v>
      </c>
      <c r="E3307" s="14" t="str">
        <f aca="false">IF(C3307="","",C3307*D3307/100)</f>
        <v/>
      </c>
      <c r="F3307" s="15" t="str">
        <f aca="false">IF(B3307&lt;5,"Go","Standard")</f>
        <v>Standard</v>
      </c>
    </row>
    <row r="3308" customFormat="false" ht="15" hidden="false" customHeight="true" outlineLevel="0" collapsed="false">
      <c r="A3308" s="10" t="n">
        <f aca="false">Einstellungen!$B$5+INT((ROW()-9)/24)</f>
        <v>46103</v>
      </c>
      <c r="B3308" s="11" t="n">
        <f aca="false">MOD(ROW()-9,24)</f>
        <v>11</v>
      </c>
      <c r="C3308" s="12"/>
      <c r="D3308" s="13" t="n">
        <f aca="false">IF(B3308&lt;5,Einstellungen!$B$3,Einstellungen!$B$4)</f>
        <v>29.13</v>
      </c>
      <c r="E3308" s="14" t="str">
        <f aca="false">IF(C3308="","",C3308*D3308/100)</f>
        <v/>
      </c>
      <c r="F3308" s="15" t="str">
        <f aca="false">IF(B3308&lt;5,"Go","Standard")</f>
        <v>Standard</v>
      </c>
    </row>
    <row r="3309" customFormat="false" ht="15" hidden="false" customHeight="true" outlineLevel="0" collapsed="false">
      <c r="A3309" s="10" t="n">
        <f aca="false">Einstellungen!$B$5+INT((ROW()-9)/24)</f>
        <v>46103</v>
      </c>
      <c r="B3309" s="11" t="n">
        <f aca="false">MOD(ROW()-9,24)</f>
        <v>12</v>
      </c>
      <c r="C3309" s="12"/>
      <c r="D3309" s="13" t="n">
        <f aca="false">IF(B3309&lt;5,Einstellungen!$B$3,Einstellungen!$B$4)</f>
        <v>29.13</v>
      </c>
      <c r="E3309" s="14" t="str">
        <f aca="false">IF(C3309="","",C3309*D3309/100)</f>
        <v/>
      </c>
      <c r="F3309" s="15" t="str">
        <f aca="false">IF(B3309&lt;5,"Go","Standard")</f>
        <v>Standard</v>
      </c>
    </row>
    <row r="3310" customFormat="false" ht="15" hidden="false" customHeight="true" outlineLevel="0" collapsed="false">
      <c r="A3310" s="10" t="n">
        <f aca="false">Einstellungen!$B$5+INT((ROW()-9)/24)</f>
        <v>46103</v>
      </c>
      <c r="B3310" s="11" t="n">
        <f aca="false">MOD(ROW()-9,24)</f>
        <v>13</v>
      </c>
      <c r="C3310" s="12"/>
      <c r="D3310" s="13" t="n">
        <f aca="false">IF(B3310&lt;5,Einstellungen!$B$3,Einstellungen!$B$4)</f>
        <v>29.13</v>
      </c>
      <c r="E3310" s="14" t="str">
        <f aca="false">IF(C3310="","",C3310*D3310/100)</f>
        <v/>
      </c>
      <c r="F3310" s="15" t="str">
        <f aca="false">IF(B3310&lt;5,"Go","Standard")</f>
        <v>Standard</v>
      </c>
    </row>
    <row r="3311" customFormat="false" ht="15" hidden="false" customHeight="true" outlineLevel="0" collapsed="false">
      <c r="A3311" s="10" t="n">
        <f aca="false">Einstellungen!$B$5+INT((ROW()-9)/24)</f>
        <v>46103</v>
      </c>
      <c r="B3311" s="11" t="n">
        <f aca="false">MOD(ROW()-9,24)</f>
        <v>14</v>
      </c>
      <c r="C3311" s="12"/>
      <c r="D3311" s="13" t="n">
        <f aca="false">IF(B3311&lt;5,Einstellungen!$B$3,Einstellungen!$B$4)</f>
        <v>29.13</v>
      </c>
      <c r="E3311" s="14" t="str">
        <f aca="false">IF(C3311="","",C3311*D3311/100)</f>
        <v/>
      </c>
      <c r="F3311" s="15" t="str">
        <f aca="false">IF(B3311&lt;5,"Go","Standard")</f>
        <v>Standard</v>
      </c>
    </row>
    <row r="3312" customFormat="false" ht="15" hidden="false" customHeight="true" outlineLevel="0" collapsed="false">
      <c r="A3312" s="10" t="n">
        <f aca="false">Einstellungen!$B$5+INT((ROW()-9)/24)</f>
        <v>46103</v>
      </c>
      <c r="B3312" s="11" t="n">
        <f aca="false">MOD(ROW()-9,24)</f>
        <v>15</v>
      </c>
      <c r="C3312" s="12"/>
      <c r="D3312" s="13" t="n">
        <f aca="false">IF(B3312&lt;5,Einstellungen!$B$3,Einstellungen!$B$4)</f>
        <v>29.13</v>
      </c>
      <c r="E3312" s="14" t="str">
        <f aca="false">IF(C3312="","",C3312*D3312/100)</f>
        <v/>
      </c>
      <c r="F3312" s="15" t="str">
        <f aca="false">IF(B3312&lt;5,"Go","Standard")</f>
        <v>Standard</v>
      </c>
    </row>
    <row r="3313" customFormat="false" ht="15" hidden="false" customHeight="true" outlineLevel="0" collapsed="false">
      <c r="A3313" s="10" t="n">
        <f aca="false">Einstellungen!$B$5+INT((ROW()-9)/24)</f>
        <v>46103</v>
      </c>
      <c r="B3313" s="11" t="n">
        <f aca="false">MOD(ROW()-9,24)</f>
        <v>16</v>
      </c>
      <c r="C3313" s="12"/>
      <c r="D3313" s="13" t="n">
        <f aca="false">IF(B3313&lt;5,Einstellungen!$B$3,Einstellungen!$B$4)</f>
        <v>29.13</v>
      </c>
      <c r="E3313" s="14" t="str">
        <f aca="false">IF(C3313="","",C3313*D3313/100)</f>
        <v/>
      </c>
      <c r="F3313" s="15" t="str">
        <f aca="false">IF(B3313&lt;5,"Go","Standard")</f>
        <v>Standard</v>
      </c>
    </row>
    <row r="3314" customFormat="false" ht="15" hidden="false" customHeight="true" outlineLevel="0" collapsed="false">
      <c r="A3314" s="10" t="n">
        <f aca="false">Einstellungen!$B$5+INT((ROW()-9)/24)</f>
        <v>46103</v>
      </c>
      <c r="B3314" s="11" t="n">
        <f aca="false">MOD(ROW()-9,24)</f>
        <v>17</v>
      </c>
      <c r="C3314" s="12"/>
      <c r="D3314" s="13" t="n">
        <f aca="false">IF(B3314&lt;5,Einstellungen!$B$3,Einstellungen!$B$4)</f>
        <v>29.13</v>
      </c>
      <c r="E3314" s="14" t="str">
        <f aca="false">IF(C3314="","",C3314*D3314/100)</f>
        <v/>
      </c>
      <c r="F3314" s="15" t="str">
        <f aca="false">IF(B3314&lt;5,"Go","Standard")</f>
        <v>Standard</v>
      </c>
    </row>
    <row r="3315" customFormat="false" ht="15" hidden="false" customHeight="true" outlineLevel="0" collapsed="false">
      <c r="A3315" s="10" t="n">
        <f aca="false">Einstellungen!$B$5+INT((ROW()-9)/24)</f>
        <v>46103</v>
      </c>
      <c r="B3315" s="11" t="n">
        <f aca="false">MOD(ROW()-9,24)</f>
        <v>18</v>
      </c>
      <c r="C3315" s="12"/>
      <c r="D3315" s="13" t="n">
        <f aca="false">IF(B3315&lt;5,Einstellungen!$B$3,Einstellungen!$B$4)</f>
        <v>29.13</v>
      </c>
      <c r="E3315" s="14" t="str">
        <f aca="false">IF(C3315="","",C3315*D3315/100)</f>
        <v/>
      </c>
      <c r="F3315" s="15" t="str">
        <f aca="false">IF(B3315&lt;5,"Go","Standard")</f>
        <v>Standard</v>
      </c>
    </row>
    <row r="3316" customFormat="false" ht="15" hidden="false" customHeight="true" outlineLevel="0" collapsed="false">
      <c r="A3316" s="10" t="n">
        <f aca="false">Einstellungen!$B$5+INT((ROW()-9)/24)</f>
        <v>46103</v>
      </c>
      <c r="B3316" s="11" t="n">
        <f aca="false">MOD(ROW()-9,24)</f>
        <v>19</v>
      </c>
      <c r="C3316" s="12"/>
      <c r="D3316" s="13" t="n">
        <f aca="false">IF(B3316&lt;5,Einstellungen!$B$3,Einstellungen!$B$4)</f>
        <v>29.13</v>
      </c>
      <c r="E3316" s="14" t="str">
        <f aca="false">IF(C3316="","",C3316*D3316/100)</f>
        <v/>
      </c>
      <c r="F3316" s="15" t="str">
        <f aca="false">IF(B3316&lt;5,"Go","Standard")</f>
        <v>Standard</v>
      </c>
    </row>
    <row r="3317" customFormat="false" ht="15" hidden="false" customHeight="true" outlineLevel="0" collapsed="false">
      <c r="A3317" s="10" t="n">
        <f aca="false">Einstellungen!$B$5+INT((ROW()-9)/24)</f>
        <v>46103</v>
      </c>
      <c r="B3317" s="11" t="n">
        <f aca="false">MOD(ROW()-9,24)</f>
        <v>20</v>
      </c>
      <c r="C3317" s="12"/>
      <c r="D3317" s="13" t="n">
        <f aca="false">IF(B3317&lt;5,Einstellungen!$B$3,Einstellungen!$B$4)</f>
        <v>29.13</v>
      </c>
      <c r="E3317" s="14" t="str">
        <f aca="false">IF(C3317="","",C3317*D3317/100)</f>
        <v/>
      </c>
      <c r="F3317" s="15" t="str">
        <f aca="false">IF(B3317&lt;5,"Go","Standard")</f>
        <v>Standard</v>
      </c>
    </row>
    <row r="3318" customFormat="false" ht="15" hidden="false" customHeight="true" outlineLevel="0" collapsed="false">
      <c r="A3318" s="10" t="n">
        <f aca="false">Einstellungen!$B$5+INT((ROW()-9)/24)</f>
        <v>46103</v>
      </c>
      <c r="B3318" s="11" t="n">
        <f aca="false">MOD(ROW()-9,24)</f>
        <v>21</v>
      </c>
      <c r="C3318" s="12"/>
      <c r="D3318" s="13" t="n">
        <f aca="false">IF(B3318&lt;5,Einstellungen!$B$3,Einstellungen!$B$4)</f>
        <v>29.13</v>
      </c>
      <c r="E3318" s="14" t="str">
        <f aca="false">IF(C3318="","",C3318*D3318/100)</f>
        <v/>
      </c>
      <c r="F3318" s="15" t="str">
        <f aca="false">IF(B3318&lt;5,"Go","Standard")</f>
        <v>Standard</v>
      </c>
    </row>
    <row r="3319" customFormat="false" ht="15" hidden="false" customHeight="true" outlineLevel="0" collapsed="false">
      <c r="A3319" s="10" t="n">
        <f aca="false">Einstellungen!$B$5+INT((ROW()-9)/24)</f>
        <v>46103</v>
      </c>
      <c r="B3319" s="11" t="n">
        <f aca="false">MOD(ROW()-9,24)</f>
        <v>22</v>
      </c>
      <c r="C3319" s="12"/>
      <c r="D3319" s="13" t="n">
        <f aca="false">IF(B3319&lt;5,Einstellungen!$B$3,Einstellungen!$B$4)</f>
        <v>29.13</v>
      </c>
      <c r="E3319" s="14" t="str">
        <f aca="false">IF(C3319="","",C3319*D3319/100)</f>
        <v/>
      </c>
      <c r="F3319" s="15" t="str">
        <f aca="false">IF(B3319&lt;5,"Go","Standard")</f>
        <v>Standard</v>
      </c>
    </row>
    <row r="3320" customFormat="false" ht="15" hidden="false" customHeight="true" outlineLevel="0" collapsed="false">
      <c r="A3320" s="10" t="n">
        <f aca="false">Einstellungen!$B$5+INT((ROW()-9)/24)</f>
        <v>46103</v>
      </c>
      <c r="B3320" s="11" t="n">
        <f aca="false">MOD(ROW()-9,24)</f>
        <v>23</v>
      </c>
      <c r="C3320" s="12"/>
      <c r="D3320" s="13" t="n">
        <f aca="false">IF(B3320&lt;5,Einstellungen!$B$3,Einstellungen!$B$4)</f>
        <v>29.13</v>
      </c>
      <c r="E3320" s="14" t="str">
        <f aca="false">IF(C3320="","",C3320*D3320/100)</f>
        <v/>
      </c>
      <c r="F3320" s="15" t="str">
        <f aca="false">IF(B3320&lt;5,"Go","Standard")</f>
        <v>Standard</v>
      </c>
    </row>
    <row r="3321" customFormat="false" ht="15" hidden="false" customHeight="true" outlineLevel="0" collapsed="false">
      <c r="A3321" s="10" t="n">
        <f aca="false">Einstellungen!$B$5+INT((ROW()-9)/24)</f>
        <v>46104</v>
      </c>
      <c r="B3321" s="11" t="n">
        <f aca="false">MOD(ROW()-9,24)</f>
        <v>0</v>
      </c>
      <c r="C3321" s="12"/>
      <c r="D3321" s="13" t="n">
        <f aca="false">IF(B3321&lt;5,Einstellungen!$B$3,Einstellungen!$B$4)</f>
        <v>15.92</v>
      </c>
      <c r="E3321" s="14" t="str">
        <f aca="false">IF(C3321="","",C3321*D3321/100)</f>
        <v/>
      </c>
      <c r="F3321" s="15" t="str">
        <f aca="false">IF(B3321&lt;5,"Go","Standard")</f>
        <v>Go</v>
      </c>
    </row>
    <row r="3322" customFormat="false" ht="15" hidden="false" customHeight="true" outlineLevel="0" collapsed="false">
      <c r="A3322" s="10" t="n">
        <f aca="false">Einstellungen!$B$5+INT((ROW()-9)/24)</f>
        <v>46104</v>
      </c>
      <c r="B3322" s="11" t="n">
        <f aca="false">MOD(ROW()-9,24)</f>
        <v>1</v>
      </c>
      <c r="C3322" s="12"/>
      <c r="D3322" s="13" t="n">
        <f aca="false">IF(B3322&lt;5,Einstellungen!$B$3,Einstellungen!$B$4)</f>
        <v>15.92</v>
      </c>
      <c r="E3322" s="14" t="str">
        <f aca="false">IF(C3322="","",C3322*D3322/100)</f>
        <v/>
      </c>
      <c r="F3322" s="15" t="str">
        <f aca="false">IF(B3322&lt;5,"Go","Standard")</f>
        <v>Go</v>
      </c>
    </row>
    <row r="3323" customFormat="false" ht="15" hidden="false" customHeight="true" outlineLevel="0" collapsed="false">
      <c r="A3323" s="10" t="n">
        <f aca="false">Einstellungen!$B$5+INT((ROW()-9)/24)</f>
        <v>46104</v>
      </c>
      <c r="B3323" s="11" t="n">
        <f aca="false">MOD(ROW()-9,24)</f>
        <v>2</v>
      </c>
      <c r="C3323" s="12"/>
      <c r="D3323" s="13" t="n">
        <f aca="false">IF(B3323&lt;5,Einstellungen!$B$3,Einstellungen!$B$4)</f>
        <v>15.92</v>
      </c>
      <c r="E3323" s="14" t="str">
        <f aca="false">IF(C3323="","",C3323*D3323/100)</f>
        <v/>
      </c>
      <c r="F3323" s="15" t="str">
        <f aca="false">IF(B3323&lt;5,"Go","Standard")</f>
        <v>Go</v>
      </c>
    </row>
    <row r="3324" customFormat="false" ht="15" hidden="false" customHeight="true" outlineLevel="0" collapsed="false">
      <c r="A3324" s="10" t="n">
        <f aca="false">Einstellungen!$B$5+INT((ROW()-9)/24)</f>
        <v>46104</v>
      </c>
      <c r="B3324" s="11" t="n">
        <f aca="false">MOD(ROW()-9,24)</f>
        <v>3</v>
      </c>
      <c r="C3324" s="12"/>
      <c r="D3324" s="13" t="n">
        <f aca="false">IF(B3324&lt;5,Einstellungen!$B$3,Einstellungen!$B$4)</f>
        <v>15.92</v>
      </c>
      <c r="E3324" s="14" t="str">
        <f aca="false">IF(C3324="","",C3324*D3324/100)</f>
        <v/>
      </c>
      <c r="F3324" s="15" t="str">
        <f aca="false">IF(B3324&lt;5,"Go","Standard")</f>
        <v>Go</v>
      </c>
    </row>
    <row r="3325" customFormat="false" ht="15" hidden="false" customHeight="true" outlineLevel="0" collapsed="false">
      <c r="A3325" s="10" t="n">
        <f aca="false">Einstellungen!$B$5+INT((ROW()-9)/24)</f>
        <v>46104</v>
      </c>
      <c r="B3325" s="11" t="n">
        <f aca="false">MOD(ROW()-9,24)</f>
        <v>4</v>
      </c>
      <c r="C3325" s="12"/>
      <c r="D3325" s="13" t="n">
        <f aca="false">IF(B3325&lt;5,Einstellungen!$B$3,Einstellungen!$B$4)</f>
        <v>15.92</v>
      </c>
      <c r="E3325" s="14" t="str">
        <f aca="false">IF(C3325="","",C3325*D3325/100)</f>
        <v/>
      </c>
      <c r="F3325" s="15" t="str">
        <f aca="false">IF(B3325&lt;5,"Go","Standard")</f>
        <v>Go</v>
      </c>
    </row>
    <row r="3326" customFormat="false" ht="15" hidden="false" customHeight="true" outlineLevel="0" collapsed="false">
      <c r="A3326" s="10" t="n">
        <f aca="false">Einstellungen!$B$5+INT((ROW()-9)/24)</f>
        <v>46104</v>
      </c>
      <c r="B3326" s="11" t="n">
        <f aca="false">MOD(ROW()-9,24)</f>
        <v>5</v>
      </c>
      <c r="C3326" s="12"/>
      <c r="D3326" s="13" t="n">
        <f aca="false">IF(B3326&lt;5,Einstellungen!$B$3,Einstellungen!$B$4)</f>
        <v>29.13</v>
      </c>
      <c r="E3326" s="14" t="str">
        <f aca="false">IF(C3326="","",C3326*D3326/100)</f>
        <v/>
      </c>
      <c r="F3326" s="15" t="str">
        <f aca="false">IF(B3326&lt;5,"Go","Standard")</f>
        <v>Standard</v>
      </c>
    </row>
    <row r="3327" customFormat="false" ht="15" hidden="false" customHeight="true" outlineLevel="0" collapsed="false">
      <c r="A3327" s="10" t="n">
        <f aca="false">Einstellungen!$B$5+INT((ROW()-9)/24)</f>
        <v>46104</v>
      </c>
      <c r="B3327" s="11" t="n">
        <f aca="false">MOD(ROW()-9,24)</f>
        <v>6</v>
      </c>
      <c r="C3327" s="12"/>
      <c r="D3327" s="13" t="n">
        <f aca="false">IF(B3327&lt;5,Einstellungen!$B$3,Einstellungen!$B$4)</f>
        <v>29.13</v>
      </c>
      <c r="E3327" s="14" t="str">
        <f aca="false">IF(C3327="","",C3327*D3327/100)</f>
        <v/>
      </c>
      <c r="F3327" s="15" t="str">
        <f aca="false">IF(B3327&lt;5,"Go","Standard")</f>
        <v>Standard</v>
      </c>
    </row>
    <row r="3328" customFormat="false" ht="15" hidden="false" customHeight="true" outlineLevel="0" collapsed="false">
      <c r="A3328" s="10" t="n">
        <f aca="false">Einstellungen!$B$5+INT((ROW()-9)/24)</f>
        <v>46104</v>
      </c>
      <c r="B3328" s="11" t="n">
        <f aca="false">MOD(ROW()-9,24)</f>
        <v>7</v>
      </c>
      <c r="C3328" s="12"/>
      <c r="D3328" s="13" t="n">
        <f aca="false">IF(B3328&lt;5,Einstellungen!$B$3,Einstellungen!$B$4)</f>
        <v>29.13</v>
      </c>
      <c r="E3328" s="14" t="str">
        <f aca="false">IF(C3328="","",C3328*D3328/100)</f>
        <v/>
      </c>
      <c r="F3328" s="15" t="str">
        <f aca="false">IF(B3328&lt;5,"Go","Standard")</f>
        <v>Standard</v>
      </c>
    </row>
    <row r="3329" customFormat="false" ht="15" hidden="false" customHeight="true" outlineLevel="0" collapsed="false">
      <c r="A3329" s="10" t="n">
        <f aca="false">Einstellungen!$B$5+INT((ROW()-9)/24)</f>
        <v>46104</v>
      </c>
      <c r="B3329" s="11" t="n">
        <f aca="false">MOD(ROW()-9,24)</f>
        <v>8</v>
      </c>
      <c r="C3329" s="12"/>
      <c r="D3329" s="13" t="n">
        <f aca="false">IF(B3329&lt;5,Einstellungen!$B$3,Einstellungen!$B$4)</f>
        <v>29.13</v>
      </c>
      <c r="E3329" s="14" t="str">
        <f aca="false">IF(C3329="","",C3329*D3329/100)</f>
        <v/>
      </c>
      <c r="F3329" s="15" t="str">
        <f aca="false">IF(B3329&lt;5,"Go","Standard")</f>
        <v>Standard</v>
      </c>
    </row>
    <row r="3330" customFormat="false" ht="15" hidden="false" customHeight="true" outlineLevel="0" collapsed="false">
      <c r="A3330" s="10" t="n">
        <f aca="false">Einstellungen!$B$5+INT((ROW()-9)/24)</f>
        <v>46104</v>
      </c>
      <c r="B3330" s="11" t="n">
        <f aca="false">MOD(ROW()-9,24)</f>
        <v>9</v>
      </c>
      <c r="C3330" s="12"/>
      <c r="D3330" s="13" t="n">
        <f aca="false">IF(B3330&lt;5,Einstellungen!$B$3,Einstellungen!$B$4)</f>
        <v>29.13</v>
      </c>
      <c r="E3330" s="14" t="str">
        <f aca="false">IF(C3330="","",C3330*D3330/100)</f>
        <v/>
      </c>
      <c r="F3330" s="15" t="str">
        <f aca="false">IF(B3330&lt;5,"Go","Standard")</f>
        <v>Standard</v>
      </c>
    </row>
    <row r="3331" customFormat="false" ht="15" hidden="false" customHeight="true" outlineLevel="0" collapsed="false">
      <c r="A3331" s="10" t="n">
        <f aca="false">Einstellungen!$B$5+INT((ROW()-9)/24)</f>
        <v>46104</v>
      </c>
      <c r="B3331" s="11" t="n">
        <f aca="false">MOD(ROW()-9,24)</f>
        <v>10</v>
      </c>
      <c r="C3331" s="12"/>
      <c r="D3331" s="13" t="n">
        <f aca="false">IF(B3331&lt;5,Einstellungen!$B$3,Einstellungen!$B$4)</f>
        <v>29.13</v>
      </c>
      <c r="E3331" s="14" t="str">
        <f aca="false">IF(C3331="","",C3331*D3331/100)</f>
        <v/>
      </c>
      <c r="F3331" s="15" t="str">
        <f aca="false">IF(B3331&lt;5,"Go","Standard")</f>
        <v>Standard</v>
      </c>
    </row>
    <row r="3332" customFormat="false" ht="15" hidden="false" customHeight="true" outlineLevel="0" collapsed="false">
      <c r="A3332" s="10" t="n">
        <f aca="false">Einstellungen!$B$5+INT((ROW()-9)/24)</f>
        <v>46104</v>
      </c>
      <c r="B3332" s="11" t="n">
        <f aca="false">MOD(ROW()-9,24)</f>
        <v>11</v>
      </c>
      <c r="C3332" s="12"/>
      <c r="D3332" s="13" t="n">
        <f aca="false">IF(B3332&lt;5,Einstellungen!$B$3,Einstellungen!$B$4)</f>
        <v>29.13</v>
      </c>
      <c r="E3332" s="14" t="str">
        <f aca="false">IF(C3332="","",C3332*D3332/100)</f>
        <v/>
      </c>
      <c r="F3332" s="15" t="str">
        <f aca="false">IF(B3332&lt;5,"Go","Standard")</f>
        <v>Standard</v>
      </c>
    </row>
    <row r="3333" customFormat="false" ht="15" hidden="false" customHeight="true" outlineLevel="0" collapsed="false">
      <c r="A3333" s="10" t="n">
        <f aca="false">Einstellungen!$B$5+INT((ROW()-9)/24)</f>
        <v>46104</v>
      </c>
      <c r="B3333" s="11" t="n">
        <f aca="false">MOD(ROW()-9,24)</f>
        <v>12</v>
      </c>
      <c r="C3333" s="12"/>
      <c r="D3333" s="13" t="n">
        <f aca="false">IF(B3333&lt;5,Einstellungen!$B$3,Einstellungen!$B$4)</f>
        <v>29.13</v>
      </c>
      <c r="E3333" s="14" t="str">
        <f aca="false">IF(C3333="","",C3333*D3333/100)</f>
        <v/>
      </c>
      <c r="F3333" s="15" t="str">
        <f aca="false">IF(B3333&lt;5,"Go","Standard")</f>
        <v>Standard</v>
      </c>
    </row>
    <row r="3334" customFormat="false" ht="15" hidden="false" customHeight="true" outlineLevel="0" collapsed="false">
      <c r="A3334" s="10" t="n">
        <f aca="false">Einstellungen!$B$5+INT((ROW()-9)/24)</f>
        <v>46104</v>
      </c>
      <c r="B3334" s="11" t="n">
        <f aca="false">MOD(ROW()-9,24)</f>
        <v>13</v>
      </c>
      <c r="C3334" s="12"/>
      <c r="D3334" s="13" t="n">
        <f aca="false">IF(B3334&lt;5,Einstellungen!$B$3,Einstellungen!$B$4)</f>
        <v>29.13</v>
      </c>
      <c r="E3334" s="14" t="str">
        <f aca="false">IF(C3334="","",C3334*D3334/100)</f>
        <v/>
      </c>
      <c r="F3334" s="15" t="str">
        <f aca="false">IF(B3334&lt;5,"Go","Standard")</f>
        <v>Standard</v>
      </c>
    </row>
    <row r="3335" customFormat="false" ht="15" hidden="false" customHeight="true" outlineLevel="0" collapsed="false">
      <c r="A3335" s="10" t="n">
        <f aca="false">Einstellungen!$B$5+INT((ROW()-9)/24)</f>
        <v>46104</v>
      </c>
      <c r="B3335" s="11" t="n">
        <f aca="false">MOD(ROW()-9,24)</f>
        <v>14</v>
      </c>
      <c r="C3335" s="12"/>
      <c r="D3335" s="13" t="n">
        <f aca="false">IF(B3335&lt;5,Einstellungen!$B$3,Einstellungen!$B$4)</f>
        <v>29.13</v>
      </c>
      <c r="E3335" s="14" t="str">
        <f aca="false">IF(C3335="","",C3335*D3335/100)</f>
        <v/>
      </c>
      <c r="F3335" s="15" t="str">
        <f aca="false">IF(B3335&lt;5,"Go","Standard")</f>
        <v>Standard</v>
      </c>
    </row>
    <row r="3336" customFormat="false" ht="15" hidden="false" customHeight="true" outlineLevel="0" collapsed="false">
      <c r="A3336" s="10" t="n">
        <f aca="false">Einstellungen!$B$5+INT((ROW()-9)/24)</f>
        <v>46104</v>
      </c>
      <c r="B3336" s="11" t="n">
        <f aca="false">MOD(ROW()-9,24)</f>
        <v>15</v>
      </c>
      <c r="C3336" s="12"/>
      <c r="D3336" s="13" t="n">
        <f aca="false">IF(B3336&lt;5,Einstellungen!$B$3,Einstellungen!$B$4)</f>
        <v>29.13</v>
      </c>
      <c r="E3336" s="14" t="str">
        <f aca="false">IF(C3336="","",C3336*D3336/100)</f>
        <v/>
      </c>
      <c r="F3336" s="15" t="str">
        <f aca="false">IF(B3336&lt;5,"Go","Standard")</f>
        <v>Standard</v>
      </c>
    </row>
    <row r="3337" customFormat="false" ht="15" hidden="false" customHeight="true" outlineLevel="0" collapsed="false">
      <c r="A3337" s="10" t="n">
        <f aca="false">Einstellungen!$B$5+INT((ROW()-9)/24)</f>
        <v>46104</v>
      </c>
      <c r="B3337" s="11" t="n">
        <f aca="false">MOD(ROW()-9,24)</f>
        <v>16</v>
      </c>
      <c r="C3337" s="12"/>
      <c r="D3337" s="13" t="n">
        <f aca="false">IF(B3337&lt;5,Einstellungen!$B$3,Einstellungen!$B$4)</f>
        <v>29.13</v>
      </c>
      <c r="E3337" s="14" t="str">
        <f aca="false">IF(C3337="","",C3337*D3337/100)</f>
        <v/>
      </c>
      <c r="F3337" s="15" t="str">
        <f aca="false">IF(B3337&lt;5,"Go","Standard")</f>
        <v>Standard</v>
      </c>
    </row>
    <row r="3338" customFormat="false" ht="15" hidden="false" customHeight="true" outlineLevel="0" collapsed="false">
      <c r="A3338" s="10" t="n">
        <f aca="false">Einstellungen!$B$5+INT((ROW()-9)/24)</f>
        <v>46104</v>
      </c>
      <c r="B3338" s="11" t="n">
        <f aca="false">MOD(ROW()-9,24)</f>
        <v>17</v>
      </c>
      <c r="C3338" s="12"/>
      <c r="D3338" s="13" t="n">
        <f aca="false">IF(B3338&lt;5,Einstellungen!$B$3,Einstellungen!$B$4)</f>
        <v>29.13</v>
      </c>
      <c r="E3338" s="14" t="str">
        <f aca="false">IF(C3338="","",C3338*D3338/100)</f>
        <v/>
      </c>
      <c r="F3338" s="15" t="str">
        <f aca="false">IF(B3338&lt;5,"Go","Standard")</f>
        <v>Standard</v>
      </c>
    </row>
    <row r="3339" customFormat="false" ht="15" hidden="false" customHeight="true" outlineLevel="0" collapsed="false">
      <c r="A3339" s="10" t="n">
        <f aca="false">Einstellungen!$B$5+INT((ROW()-9)/24)</f>
        <v>46104</v>
      </c>
      <c r="B3339" s="11" t="n">
        <f aca="false">MOD(ROW()-9,24)</f>
        <v>18</v>
      </c>
      <c r="C3339" s="12"/>
      <c r="D3339" s="13" t="n">
        <f aca="false">IF(B3339&lt;5,Einstellungen!$B$3,Einstellungen!$B$4)</f>
        <v>29.13</v>
      </c>
      <c r="E3339" s="14" t="str">
        <f aca="false">IF(C3339="","",C3339*D3339/100)</f>
        <v/>
      </c>
      <c r="F3339" s="15" t="str">
        <f aca="false">IF(B3339&lt;5,"Go","Standard")</f>
        <v>Standard</v>
      </c>
    </row>
    <row r="3340" customFormat="false" ht="15" hidden="false" customHeight="true" outlineLevel="0" collapsed="false">
      <c r="A3340" s="10" t="n">
        <f aca="false">Einstellungen!$B$5+INT((ROW()-9)/24)</f>
        <v>46104</v>
      </c>
      <c r="B3340" s="11" t="n">
        <f aca="false">MOD(ROW()-9,24)</f>
        <v>19</v>
      </c>
      <c r="C3340" s="12"/>
      <c r="D3340" s="13" t="n">
        <f aca="false">IF(B3340&lt;5,Einstellungen!$B$3,Einstellungen!$B$4)</f>
        <v>29.13</v>
      </c>
      <c r="E3340" s="14" t="str">
        <f aca="false">IF(C3340="","",C3340*D3340/100)</f>
        <v/>
      </c>
      <c r="F3340" s="15" t="str">
        <f aca="false">IF(B3340&lt;5,"Go","Standard")</f>
        <v>Standard</v>
      </c>
    </row>
    <row r="3341" customFormat="false" ht="15" hidden="false" customHeight="true" outlineLevel="0" collapsed="false">
      <c r="A3341" s="10" t="n">
        <f aca="false">Einstellungen!$B$5+INT((ROW()-9)/24)</f>
        <v>46104</v>
      </c>
      <c r="B3341" s="11" t="n">
        <f aca="false">MOD(ROW()-9,24)</f>
        <v>20</v>
      </c>
      <c r="C3341" s="12"/>
      <c r="D3341" s="13" t="n">
        <f aca="false">IF(B3341&lt;5,Einstellungen!$B$3,Einstellungen!$B$4)</f>
        <v>29.13</v>
      </c>
      <c r="E3341" s="14" t="str">
        <f aca="false">IF(C3341="","",C3341*D3341/100)</f>
        <v/>
      </c>
      <c r="F3341" s="15" t="str">
        <f aca="false">IF(B3341&lt;5,"Go","Standard")</f>
        <v>Standard</v>
      </c>
    </row>
    <row r="3342" customFormat="false" ht="15" hidden="false" customHeight="true" outlineLevel="0" collapsed="false">
      <c r="A3342" s="10" t="n">
        <f aca="false">Einstellungen!$B$5+INT((ROW()-9)/24)</f>
        <v>46104</v>
      </c>
      <c r="B3342" s="11" t="n">
        <f aca="false">MOD(ROW()-9,24)</f>
        <v>21</v>
      </c>
      <c r="C3342" s="12"/>
      <c r="D3342" s="13" t="n">
        <f aca="false">IF(B3342&lt;5,Einstellungen!$B$3,Einstellungen!$B$4)</f>
        <v>29.13</v>
      </c>
      <c r="E3342" s="14" t="str">
        <f aca="false">IF(C3342="","",C3342*D3342/100)</f>
        <v/>
      </c>
      <c r="F3342" s="15" t="str">
        <f aca="false">IF(B3342&lt;5,"Go","Standard")</f>
        <v>Standard</v>
      </c>
    </row>
    <row r="3343" customFormat="false" ht="15" hidden="false" customHeight="true" outlineLevel="0" collapsed="false">
      <c r="A3343" s="10" t="n">
        <f aca="false">Einstellungen!$B$5+INT((ROW()-9)/24)</f>
        <v>46104</v>
      </c>
      <c r="B3343" s="11" t="n">
        <f aca="false">MOD(ROW()-9,24)</f>
        <v>22</v>
      </c>
      <c r="C3343" s="12"/>
      <c r="D3343" s="13" t="n">
        <f aca="false">IF(B3343&lt;5,Einstellungen!$B$3,Einstellungen!$B$4)</f>
        <v>29.13</v>
      </c>
      <c r="E3343" s="14" t="str">
        <f aca="false">IF(C3343="","",C3343*D3343/100)</f>
        <v/>
      </c>
      <c r="F3343" s="15" t="str">
        <f aca="false">IF(B3343&lt;5,"Go","Standard")</f>
        <v>Standard</v>
      </c>
    </row>
    <row r="3344" customFormat="false" ht="15" hidden="false" customHeight="true" outlineLevel="0" collapsed="false">
      <c r="A3344" s="10" t="n">
        <f aca="false">Einstellungen!$B$5+INT((ROW()-9)/24)</f>
        <v>46104</v>
      </c>
      <c r="B3344" s="11" t="n">
        <f aca="false">MOD(ROW()-9,24)</f>
        <v>23</v>
      </c>
      <c r="C3344" s="12"/>
      <c r="D3344" s="13" t="n">
        <f aca="false">IF(B3344&lt;5,Einstellungen!$B$3,Einstellungen!$B$4)</f>
        <v>29.13</v>
      </c>
      <c r="E3344" s="14" t="str">
        <f aca="false">IF(C3344="","",C3344*D3344/100)</f>
        <v/>
      </c>
      <c r="F3344" s="15" t="str">
        <f aca="false">IF(B3344&lt;5,"Go","Standard")</f>
        <v>Standard</v>
      </c>
    </row>
    <row r="3345" customFormat="false" ht="15" hidden="false" customHeight="true" outlineLevel="0" collapsed="false">
      <c r="A3345" s="10" t="n">
        <f aca="false">Einstellungen!$B$5+INT((ROW()-9)/24)</f>
        <v>46105</v>
      </c>
      <c r="B3345" s="11" t="n">
        <f aca="false">MOD(ROW()-9,24)</f>
        <v>0</v>
      </c>
      <c r="C3345" s="12"/>
      <c r="D3345" s="13" t="n">
        <f aca="false">IF(B3345&lt;5,Einstellungen!$B$3,Einstellungen!$B$4)</f>
        <v>15.92</v>
      </c>
      <c r="E3345" s="14" t="str">
        <f aca="false">IF(C3345="","",C3345*D3345/100)</f>
        <v/>
      </c>
      <c r="F3345" s="15" t="str">
        <f aca="false">IF(B3345&lt;5,"Go","Standard")</f>
        <v>Go</v>
      </c>
    </row>
    <row r="3346" customFormat="false" ht="15" hidden="false" customHeight="true" outlineLevel="0" collapsed="false">
      <c r="A3346" s="10" t="n">
        <f aca="false">Einstellungen!$B$5+INT((ROW()-9)/24)</f>
        <v>46105</v>
      </c>
      <c r="B3346" s="11" t="n">
        <f aca="false">MOD(ROW()-9,24)</f>
        <v>1</v>
      </c>
      <c r="C3346" s="12"/>
      <c r="D3346" s="13" t="n">
        <f aca="false">IF(B3346&lt;5,Einstellungen!$B$3,Einstellungen!$B$4)</f>
        <v>15.92</v>
      </c>
      <c r="E3346" s="14" t="str">
        <f aca="false">IF(C3346="","",C3346*D3346/100)</f>
        <v/>
      </c>
      <c r="F3346" s="15" t="str">
        <f aca="false">IF(B3346&lt;5,"Go","Standard")</f>
        <v>Go</v>
      </c>
    </row>
    <row r="3347" customFormat="false" ht="15" hidden="false" customHeight="true" outlineLevel="0" collapsed="false">
      <c r="A3347" s="10" t="n">
        <f aca="false">Einstellungen!$B$5+INT((ROW()-9)/24)</f>
        <v>46105</v>
      </c>
      <c r="B3347" s="11" t="n">
        <f aca="false">MOD(ROW()-9,24)</f>
        <v>2</v>
      </c>
      <c r="C3347" s="12"/>
      <c r="D3347" s="13" t="n">
        <f aca="false">IF(B3347&lt;5,Einstellungen!$B$3,Einstellungen!$B$4)</f>
        <v>15.92</v>
      </c>
      <c r="E3347" s="14" t="str">
        <f aca="false">IF(C3347="","",C3347*D3347/100)</f>
        <v/>
      </c>
      <c r="F3347" s="15" t="str">
        <f aca="false">IF(B3347&lt;5,"Go","Standard")</f>
        <v>Go</v>
      </c>
    </row>
    <row r="3348" customFormat="false" ht="15" hidden="false" customHeight="true" outlineLevel="0" collapsed="false">
      <c r="A3348" s="10" t="n">
        <f aca="false">Einstellungen!$B$5+INT((ROW()-9)/24)</f>
        <v>46105</v>
      </c>
      <c r="B3348" s="11" t="n">
        <f aca="false">MOD(ROW()-9,24)</f>
        <v>3</v>
      </c>
      <c r="C3348" s="12"/>
      <c r="D3348" s="13" t="n">
        <f aca="false">IF(B3348&lt;5,Einstellungen!$B$3,Einstellungen!$B$4)</f>
        <v>15.92</v>
      </c>
      <c r="E3348" s="14" t="str">
        <f aca="false">IF(C3348="","",C3348*D3348/100)</f>
        <v/>
      </c>
      <c r="F3348" s="15" t="str">
        <f aca="false">IF(B3348&lt;5,"Go","Standard")</f>
        <v>Go</v>
      </c>
    </row>
    <row r="3349" customFormat="false" ht="15" hidden="false" customHeight="true" outlineLevel="0" collapsed="false">
      <c r="A3349" s="10" t="n">
        <f aca="false">Einstellungen!$B$5+INT((ROW()-9)/24)</f>
        <v>46105</v>
      </c>
      <c r="B3349" s="11" t="n">
        <f aca="false">MOD(ROW()-9,24)</f>
        <v>4</v>
      </c>
      <c r="C3349" s="12"/>
      <c r="D3349" s="13" t="n">
        <f aca="false">IF(B3349&lt;5,Einstellungen!$B$3,Einstellungen!$B$4)</f>
        <v>15.92</v>
      </c>
      <c r="E3349" s="14" t="str">
        <f aca="false">IF(C3349="","",C3349*D3349/100)</f>
        <v/>
      </c>
      <c r="F3349" s="15" t="str">
        <f aca="false">IF(B3349&lt;5,"Go","Standard")</f>
        <v>Go</v>
      </c>
    </row>
    <row r="3350" customFormat="false" ht="15" hidden="false" customHeight="true" outlineLevel="0" collapsed="false">
      <c r="A3350" s="10" t="n">
        <f aca="false">Einstellungen!$B$5+INT((ROW()-9)/24)</f>
        <v>46105</v>
      </c>
      <c r="B3350" s="11" t="n">
        <f aca="false">MOD(ROW()-9,24)</f>
        <v>5</v>
      </c>
      <c r="C3350" s="12"/>
      <c r="D3350" s="13" t="n">
        <f aca="false">IF(B3350&lt;5,Einstellungen!$B$3,Einstellungen!$B$4)</f>
        <v>29.13</v>
      </c>
      <c r="E3350" s="14" t="str">
        <f aca="false">IF(C3350="","",C3350*D3350/100)</f>
        <v/>
      </c>
      <c r="F3350" s="15" t="str">
        <f aca="false">IF(B3350&lt;5,"Go","Standard")</f>
        <v>Standard</v>
      </c>
    </row>
    <row r="3351" customFormat="false" ht="15" hidden="false" customHeight="true" outlineLevel="0" collapsed="false">
      <c r="A3351" s="10" t="n">
        <f aca="false">Einstellungen!$B$5+INT((ROW()-9)/24)</f>
        <v>46105</v>
      </c>
      <c r="B3351" s="11" t="n">
        <f aca="false">MOD(ROW()-9,24)</f>
        <v>6</v>
      </c>
      <c r="C3351" s="12"/>
      <c r="D3351" s="13" t="n">
        <f aca="false">IF(B3351&lt;5,Einstellungen!$B$3,Einstellungen!$B$4)</f>
        <v>29.13</v>
      </c>
      <c r="E3351" s="14" t="str">
        <f aca="false">IF(C3351="","",C3351*D3351/100)</f>
        <v/>
      </c>
      <c r="F3351" s="15" t="str">
        <f aca="false">IF(B3351&lt;5,"Go","Standard")</f>
        <v>Standard</v>
      </c>
    </row>
    <row r="3352" customFormat="false" ht="15" hidden="false" customHeight="true" outlineLevel="0" collapsed="false">
      <c r="A3352" s="10" t="n">
        <f aca="false">Einstellungen!$B$5+INT((ROW()-9)/24)</f>
        <v>46105</v>
      </c>
      <c r="B3352" s="11" t="n">
        <f aca="false">MOD(ROW()-9,24)</f>
        <v>7</v>
      </c>
      <c r="C3352" s="12"/>
      <c r="D3352" s="13" t="n">
        <f aca="false">IF(B3352&lt;5,Einstellungen!$B$3,Einstellungen!$B$4)</f>
        <v>29.13</v>
      </c>
      <c r="E3352" s="14" t="str">
        <f aca="false">IF(C3352="","",C3352*D3352/100)</f>
        <v/>
      </c>
      <c r="F3352" s="15" t="str">
        <f aca="false">IF(B3352&lt;5,"Go","Standard")</f>
        <v>Standard</v>
      </c>
    </row>
    <row r="3353" customFormat="false" ht="15" hidden="false" customHeight="true" outlineLevel="0" collapsed="false">
      <c r="A3353" s="10" t="n">
        <f aca="false">Einstellungen!$B$5+INT((ROW()-9)/24)</f>
        <v>46105</v>
      </c>
      <c r="B3353" s="11" t="n">
        <f aca="false">MOD(ROW()-9,24)</f>
        <v>8</v>
      </c>
      <c r="C3353" s="12"/>
      <c r="D3353" s="13" t="n">
        <f aca="false">IF(B3353&lt;5,Einstellungen!$B$3,Einstellungen!$B$4)</f>
        <v>29.13</v>
      </c>
      <c r="E3353" s="14" t="str">
        <f aca="false">IF(C3353="","",C3353*D3353/100)</f>
        <v/>
      </c>
      <c r="F3353" s="15" t="str">
        <f aca="false">IF(B3353&lt;5,"Go","Standard")</f>
        <v>Standard</v>
      </c>
    </row>
    <row r="3354" customFormat="false" ht="15" hidden="false" customHeight="true" outlineLevel="0" collapsed="false">
      <c r="A3354" s="10" t="n">
        <f aca="false">Einstellungen!$B$5+INT((ROW()-9)/24)</f>
        <v>46105</v>
      </c>
      <c r="B3354" s="11" t="n">
        <f aca="false">MOD(ROW()-9,24)</f>
        <v>9</v>
      </c>
      <c r="C3354" s="12"/>
      <c r="D3354" s="13" t="n">
        <f aca="false">IF(B3354&lt;5,Einstellungen!$B$3,Einstellungen!$B$4)</f>
        <v>29.13</v>
      </c>
      <c r="E3354" s="14" t="str">
        <f aca="false">IF(C3354="","",C3354*D3354/100)</f>
        <v/>
      </c>
      <c r="F3354" s="15" t="str">
        <f aca="false">IF(B3354&lt;5,"Go","Standard")</f>
        <v>Standard</v>
      </c>
    </row>
    <row r="3355" customFormat="false" ht="15" hidden="false" customHeight="true" outlineLevel="0" collapsed="false">
      <c r="A3355" s="10" t="n">
        <f aca="false">Einstellungen!$B$5+INT((ROW()-9)/24)</f>
        <v>46105</v>
      </c>
      <c r="B3355" s="11" t="n">
        <f aca="false">MOD(ROW()-9,24)</f>
        <v>10</v>
      </c>
      <c r="C3355" s="12"/>
      <c r="D3355" s="13" t="n">
        <f aca="false">IF(B3355&lt;5,Einstellungen!$B$3,Einstellungen!$B$4)</f>
        <v>29.13</v>
      </c>
      <c r="E3355" s="14" t="str">
        <f aca="false">IF(C3355="","",C3355*D3355/100)</f>
        <v/>
      </c>
      <c r="F3355" s="15" t="str">
        <f aca="false">IF(B3355&lt;5,"Go","Standard")</f>
        <v>Standard</v>
      </c>
    </row>
    <row r="3356" customFormat="false" ht="15" hidden="false" customHeight="true" outlineLevel="0" collapsed="false">
      <c r="A3356" s="10" t="n">
        <f aca="false">Einstellungen!$B$5+INT((ROW()-9)/24)</f>
        <v>46105</v>
      </c>
      <c r="B3356" s="11" t="n">
        <f aca="false">MOD(ROW()-9,24)</f>
        <v>11</v>
      </c>
      <c r="C3356" s="12"/>
      <c r="D3356" s="13" t="n">
        <f aca="false">IF(B3356&lt;5,Einstellungen!$B$3,Einstellungen!$B$4)</f>
        <v>29.13</v>
      </c>
      <c r="E3356" s="14" t="str">
        <f aca="false">IF(C3356="","",C3356*D3356/100)</f>
        <v/>
      </c>
      <c r="F3356" s="15" t="str">
        <f aca="false">IF(B3356&lt;5,"Go","Standard")</f>
        <v>Standard</v>
      </c>
    </row>
    <row r="3357" customFormat="false" ht="15" hidden="false" customHeight="true" outlineLevel="0" collapsed="false">
      <c r="A3357" s="10" t="n">
        <f aca="false">Einstellungen!$B$5+INT((ROW()-9)/24)</f>
        <v>46105</v>
      </c>
      <c r="B3357" s="11" t="n">
        <f aca="false">MOD(ROW()-9,24)</f>
        <v>12</v>
      </c>
      <c r="C3357" s="12"/>
      <c r="D3357" s="13" t="n">
        <f aca="false">IF(B3357&lt;5,Einstellungen!$B$3,Einstellungen!$B$4)</f>
        <v>29.13</v>
      </c>
      <c r="E3357" s="14" t="str">
        <f aca="false">IF(C3357="","",C3357*D3357/100)</f>
        <v/>
      </c>
      <c r="F3357" s="15" t="str">
        <f aca="false">IF(B3357&lt;5,"Go","Standard")</f>
        <v>Standard</v>
      </c>
    </row>
    <row r="3358" customFormat="false" ht="15" hidden="false" customHeight="true" outlineLevel="0" collapsed="false">
      <c r="A3358" s="10" t="n">
        <f aca="false">Einstellungen!$B$5+INT((ROW()-9)/24)</f>
        <v>46105</v>
      </c>
      <c r="B3358" s="11" t="n">
        <f aca="false">MOD(ROW()-9,24)</f>
        <v>13</v>
      </c>
      <c r="C3358" s="12"/>
      <c r="D3358" s="13" t="n">
        <f aca="false">IF(B3358&lt;5,Einstellungen!$B$3,Einstellungen!$B$4)</f>
        <v>29.13</v>
      </c>
      <c r="E3358" s="14" t="str">
        <f aca="false">IF(C3358="","",C3358*D3358/100)</f>
        <v/>
      </c>
      <c r="F3358" s="15" t="str">
        <f aca="false">IF(B3358&lt;5,"Go","Standard")</f>
        <v>Standard</v>
      </c>
    </row>
    <row r="3359" customFormat="false" ht="15" hidden="false" customHeight="true" outlineLevel="0" collapsed="false">
      <c r="A3359" s="10" t="n">
        <f aca="false">Einstellungen!$B$5+INT((ROW()-9)/24)</f>
        <v>46105</v>
      </c>
      <c r="B3359" s="11" t="n">
        <f aca="false">MOD(ROW()-9,24)</f>
        <v>14</v>
      </c>
      <c r="C3359" s="12"/>
      <c r="D3359" s="13" t="n">
        <f aca="false">IF(B3359&lt;5,Einstellungen!$B$3,Einstellungen!$B$4)</f>
        <v>29.13</v>
      </c>
      <c r="E3359" s="14" t="str">
        <f aca="false">IF(C3359="","",C3359*D3359/100)</f>
        <v/>
      </c>
      <c r="F3359" s="15" t="str">
        <f aca="false">IF(B3359&lt;5,"Go","Standard")</f>
        <v>Standard</v>
      </c>
    </row>
    <row r="3360" customFormat="false" ht="15" hidden="false" customHeight="true" outlineLevel="0" collapsed="false">
      <c r="A3360" s="10" t="n">
        <f aca="false">Einstellungen!$B$5+INT((ROW()-9)/24)</f>
        <v>46105</v>
      </c>
      <c r="B3360" s="11" t="n">
        <f aca="false">MOD(ROW()-9,24)</f>
        <v>15</v>
      </c>
      <c r="C3360" s="12"/>
      <c r="D3360" s="13" t="n">
        <f aca="false">IF(B3360&lt;5,Einstellungen!$B$3,Einstellungen!$B$4)</f>
        <v>29.13</v>
      </c>
      <c r="E3360" s="14" t="str">
        <f aca="false">IF(C3360="","",C3360*D3360/100)</f>
        <v/>
      </c>
      <c r="F3360" s="15" t="str">
        <f aca="false">IF(B3360&lt;5,"Go","Standard")</f>
        <v>Standard</v>
      </c>
    </row>
    <row r="3361" customFormat="false" ht="15" hidden="false" customHeight="true" outlineLevel="0" collapsed="false">
      <c r="A3361" s="10" t="n">
        <f aca="false">Einstellungen!$B$5+INT((ROW()-9)/24)</f>
        <v>46105</v>
      </c>
      <c r="B3361" s="11" t="n">
        <f aca="false">MOD(ROW()-9,24)</f>
        <v>16</v>
      </c>
      <c r="C3361" s="12"/>
      <c r="D3361" s="13" t="n">
        <f aca="false">IF(B3361&lt;5,Einstellungen!$B$3,Einstellungen!$B$4)</f>
        <v>29.13</v>
      </c>
      <c r="E3361" s="14" t="str">
        <f aca="false">IF(C3361="","",C3361*D3361/100)</f>
        <v/>
      </c>
      <c r="F3361" s="15" t="str">
        <f aca="false">IF(B3361&lt;5,"Go","Standard")</f>
        <v>Standard</v>
      </c>
    </row>
    <row r="3362" customFormat="false" ht="15" hidden="false" customHeight="true" outlineLevel="0" collapsed="false">
      <c r="A3362" s="10" t="n">
        <f aca="false">Einstellungen!$B$5+INT((ROW()-9)/24)</f>
        <v>46105</v>
      </c>
      <c r="B3362" s="11" t="n">
        <f aca="false">MOD(ROW()-9,24)</f>
        <v>17</v>
      </c>
      <c r="C3362" s="12"/>
      <c r="D3362" s="13" t="n">
        <f aca="false">IF(B3362&lt;5,Einstellungen!$B$3,Einstellungen!$B$4)</f>
        <v>29.13</v>
      </c>
      <c r="E3362" s="14" t="str">
        <f aca="false">IF(C3362="","",C3362*D3362/100)</f>
        <v/>
      </c>
      <c r="F3362" s="15" t="str">
        <f aca="false">IF(B3362&lt;5,"Go","Standard")</f>
        <v>Standard</v>
      </c>
    </row>
    <row r="3363" customFormat="false" ht="15" hidden="false" customHeight="true" outlineLevel="0" collapsed="false">
      <c r="A3363" s="10" t="n">
        <f aca="false">Einstellungen!$B$5+INT((ROW()-9)/24)</f>
        <v>46105</v>
      </c>
      <c r="B3363" s="11" t="n">
        <f aca="false">MOD(ROW()-9,24)</f>
        <v>18</v>
      </c>
      <c r="C3363" s="12"/>
      <c r="D3363" s="13" t="n">
        <f aca="false">IF(B3363&lt;5,Einstellungen!$B$3,Einstellungen!$B$4)</f>
        <v>29.13</v>
      </c>
      <c r="E3363" s="14" t="str">
        <f aca="false">IF(C3363="","",C3363*D3363/100)</f>
        <v/>
      </c>
      <c r="F3363" s="15" t="str">
        <f aca="false">IF(B3363&lt;5,"Go","Standard")</f>
        <v>Standard</v>
      </c>
    </row>
    <row r="3364" customFormat="false" ht="15" hidden="false" customHeight="true" outlineLevel="0" collapsed="false">
      <c r="A3364" s="10" t="n">
        <f aca="false">Einstellungen!$B$5+INT((ROW()-9)/24)</f>
        <v>46105</v>
      </c>
      <c r="B3364" s="11" t="n">
        <f aca="false">MOD(ROW()-9,24)</f>
        <v>19</v>
      </c>
      <c r="C3364" s="12"/>
      <c r="D3364" s="13" t="n">
        <f aca="false">IF(B3364&lt;5,Einstellungen!$B$3,Einstellungen!$B$4)</f>
        <v>29.13</v>
      </c>
      <c r="E3364" s="14" t="str">
        <f aca="false">IF(C3364="","",C3364*D3364/100)</f>
        <v/>
      </c>
      <c r="F3364" s="15" t="str">
        <f aca="false">IF(B3364&lt;5,"Go","Standard")</f>
        <v>Standard</v>
      </c>
    </row>
    <row r="3365" customFormat="false" ht="15" hidden="false" customHeight="true" outlineLevel="0" collapsed="false">
      <c r="A3365" s="10" t="n">
        <f aca="false">Einstellungen!$B$5+INT((ROW()-9)/24)</f>
        <v>46105</v>
      </c>
      <c r="B3365" s="11" t="n">
        <f aca="false">MOD(ROW()-9,24)</f>
        <v>20</v>
      </c>
      <c r="C3365" s="12"/>
      <c r="D3365" s="13" t="n">
        <f aca="false">IF(B3365&lt;5,Einstellungen!$B$3,Einstellungen!$B$4)</f>
        <v>29.13</v>
      </c>
      <c r="E3365" s="14" t="str">
        <f aca="false">IF(C3365="","",C3365*D3365/100)</f>
        <v/>
      </c>
      <c r="F3365" s="15" t="str">
        <f aca="false">IF(B3365&lt;5,"Go","Standard")</f>
        <v>Standard</v>
      </c>
    </row>
    <row r="3366" customFormat="false" ht="15" hidden="false" customHeight="true" outlineLevel="0" collapsed="false">
      <c r="A3366" s="10" t="n">
        <f aca="false">Einstellungen!$B$5+INT((ROW()-9)/24)</f>
        <v>46105</v>
      </c>
      <c r="B3366" s="11" t="n">
        <f aca="false">MOD(ROW()-9,24)</f>
        <v>21</v>
      </c>
      <c r="C3366" s="12"/>
      <c r="D3366" s="13" t="n">
        <f aca="false">IF(B3366&lt;5,Einstellungen!$B$3,Einstellungen!$B$4)</f>
        <v>29.13</v>
      </c>
      <c r="E3366" s="14" t="str">
        <f aca="false">IF(C3366="","",C3366*D3366/100)</f>
        <v/>
      </c>
      <c r="F3366" s="15" t="str">
        <f aca="false">IF(B3366&lt;5,"Go","Standard")</f>
        <v>Standard</v>
      </c>
    </row>
    <row r="3367" customFormat="false" ht="15" hidden="false" customHeight="true" outlineLevel="0" collapsed="false">
      <c r="A3367" s="10" t="n">
        <f aca="false">Einstellungen!$B$5+INT((ROW()-9)/24)</f>
        <v>46105</v>
      </c>
      <c r="B3367" s="11" t="n">
        <f aca="false">MOD(ROW()-9,24)</f>
        <v>22</v>
      </c>
      <c r="C3367" s="12"/>
      <c r="D3367" s="13" t="n">
        <f aca="false">IF(B3367&lt;5,Einstellungen!$B$3,Einstellungen!$B$4)</f>
        <v>29.13</v>
      </c>
      <c r="E3367" s="14" t="str">
        <f aca="false">IF(C3367="","",C3367*D3367/100)</f>
        <v/>
      </c>
      <c r="F3367" s="15" t="str">
        <f aca="false">IF(B3367&lt;5,"Go","Standard")</f>
        <v>Standard</v>
      </c>
    </row>
    <row r="3368" customFormat="false" ht="15" hidden="false" customHeight="true" outlineLevel="0" collapsed="false">
      <c r="A3368" s="10" t="n">
        <f aca="false">Einstellungen!$B$5+INT((ROW()-9)/24)</f>
        <v>46105</v>
      </c>
      <c r="B3368" s="11" t="n">
        <f aca="false">MOD(ROW()-9,24)</f>
        <v>23</v>
      </c>
      <c r="C3368" s="12"/>
      <c r="D3368" s="13" t="n">
        <f aca="false">IF(B3368&lt;5,Einstellungen!$B$3,Einstellungen!$B$4)</f>
        <v>29.13</v>
      </c>
      <c r="E3368" s="14" t="str">
        <f aca="false">IF(C3368="","",C3368*D3368/100)</f>
        <v/>
      </c>
      <c r="F3368" s="15" t="str">
        <f aca="false">IF(B3368&lt;5,"Go","Standard")</f>
        <v>Standard</v>
      </c>
    </row>
    <row r="3369" customFormat="false" ht="15" hidden="false" customHeight="true" outlineLevel="0" collapsed="false">
      <c r="A3369" s="10" t="n">
        <f aca="false">Einstellungen!$B$5+INT((ROW()-9)/24)</f>
        <v>46106</v>
      </c>
      <c r="B3369" s="11" t="n">
        <f aca="false">MOD(ROW()-9,24)</f>
        <v>0</v>
      </c>
      <c r="C3369" s="12"/>
      <c r="D3369" s="13" t="n">
        <f aca="false">IF(B3369&lt;5,Einstellungen!$B$3,Einstellungen!$B$4)</f>
        <v>15.92</v>
      </c>
      <c r="E3369" s="14" t="str">
        <f aca="false">IF(C3369="","",C3369*D3369/100)</f>
        <v/>
      </c>
      <c r="F3369" s="15" t="str">
        <f aca="false">IF(B3369&lt;5,"Go","Standard")</f>
        <v>Go</v>
      </c>
    </row>
    <row r="3370" customFormat="false" ht="15" hidden="false" customHeight="true" outlineLevel="0" collapsed="false">
      <c r="A3370" s="10" t="n">
        <f aca="false">Einstellungen!$B$5+INT((ROW()-9)/24)</f>
        <v>46106</v>
      </c>
      <c r="B3370" s="11" t="n">
        <f aca="false">MOD(ROW()-9,24)</f>
        <v>1</v>
      </c>
      <c r="C3370" s="12"/>
      <c r="D3370" s="13" t="n">
        <f aca="false">IF(B3370&lt;5,Einstellungen!$B$3,Einstellungen!$B$4)</f>
        <v>15.92</v>
      </c>
      <c r="E3370" s="14" t="str">
        <f aca="false">IF(C3370="","",C3370*D3370/100)</f>
        <v/>
      </c>
      <c r="F3370" s="15" t="str">
        <f aca="false">IF(B3370&lt;5,"Go","Standard")</f>
        <v>Go</v>
      </c>
    </row>
    <row r="3371" customFormat="false" ht="15" hidden="false" customHeight="true" outlineLevel="0" collapsed="false">
      <c r="A3371" s="10" t="n">
        <f aca="false">Einstellungen!$B$5+INT((ROW()-9)/24)</f>
        <v>46106</v>
      </c>
      <c r="B3371" s="11" t="n">
        <f aca="false">MOD(ROW()-9,24)</f>
        <v>2</v>
      </c>
      <c r="C3371" s="12"/>
      <c r="D3371" s="13" t="n">
        <f aca="false">IF(B3371&lt;5,Einstellungen!$B$3,Einstellungen!$B$4)</f>
        <v>15.92</v>
      </c>
      <c r="E3371" s="14" t="str">
        <f aca="false">IF(C3371="","",C3371*D3371/100)</f>
        <v/>
      </c>
      <c r="F3371" s="15" t="str">
        <f aca="false">IF(B3371&lt;5,"Go","Standard")</f>
        <v>Go</v>
      </c>
    </row>
    <row r="3372" customFormat="false" ht="15" hidden="false" customHeight="true" outlineLevel="0" collapsed="false">
      <c r="A3372" s="10" t="n">
        <f aca="false">Einstellungen!$B$5+INT((ROW()-9)/24)</f>
        <v>46106</v>
      </c>
      <c r="B3372" s="11" t="n">
        <f aca="false">MOD(ROW()-9,24)</f>
        <v>3</v>
      </c>
      <c r="C3372" s="12"/>
      <c r="D3372" s="13" t="n">
        <f aca="false">IF(B3372&lt;5,Einstellungen!$B$3,Einstellungen!$B$4)</f>
        <v>15.92</v>
      </c>
      <c r="E3372" s="14" t="str">
        <f aca="false">IF(C3372="","",C3372*D3372/100)</f>
        <v/>
      </c>
      <c r="F3372" s="15" t="str">
        <f aca="false">IF(B3372&lt;5,"Go","Standard")</f>
        <v>Go</v>
      </c>
    </row>
    <row r="3373" customFormat="false" ht="15" hidden="false" customHeight="true" outlineLevel="0" collapsed="false">
      <c r="A3373" s="10" t="n">
        <f aca="false">Einstellungen!$B$5+INT((ROW()-9)/24)</f>
        <v>46106</v>
      </c>
      <c r="B3373" s="11" t="n">
        <f aca="false">MOD(ROW()-9,24)</f>
        <v>4</v>
      </c>
      <c r="C3373" s="12"/>
      <c r="D3373" s="13" t="n">
        <f aca="false">IF(B3373&lt;5,Einstellungen!$B$3,Einstellungen!$B$4)</f>
        <v>15.92</v>
      </c>
      <c r="E3373" s="14" t="str">
        <f aca="false">IF(C3373="","",C3373*D3373/100)</f>
        <v/>
      </c>
      <c r="F3373" s="15" t="str">
        <f aca="false">IF(B3373&lt;5,"Go","Standard")</f>
        <v>Go</v>
      </c>
    </row>
    <row r="3374" customFormat="false" ht="15" hidden="false" customHeight="true" outlineLevel="0" collapsed="false">
      <c r="A3374" s="10" t="n">
        <f aca="false">Einstellungen!$B$5+INT((ROW()-9)/24)</f>
        <v>46106</v>
      </c>
      <c r="B3374" s="11" t="n">
        <f aca="false">MOD(ROW()-9,24)</f>
        <v>5</v>
      </c>
      <c r="C3374" s="12"/>
      <c r="D3374" s="13" t="n">
        <f aca="false">IF(B3374&lt;5,Einstellungen!$B$3,Einstellungen!$B$4)</f>
        <v>29.13</v>
      </c>
      <c r="E3374" s="14" t="str">
        <f aca="false">IF(C3374="","",C3374*D3374/100)</f>
        <v/>
      </c>
      <c r="F3374" s="15" t="str">
        <f aca="false">IF(B3374&lt;5,"Go","Standard")</f>
        <v>Standard</v>
      </c>
    </row>
    <row r="3375" customFormat="false" ht="15" hidden="false" customHeight="true" outlineLevel="0" collapsed="false">
      <c r="A3375" s="10" t="n">
        <f aca="false">Einstellungen!$B$5+INT((ROW()-9)/24)</f>
        <v>46106</v>
      </c>
      <c r="B3375" s="11" t="n">
        <f aca="false">MOD(ROW()-9,24)</f>
        <v>6</v>
      </c>
      <c r="C3375" s="12"/>
      <c r="D3375" s="13" t="n">
        <f aca="false">IF(B3375&lt;5,Einstellungen!$B$3,Einstellungen!$B$4)</f>
        <v>29.13</v>
      </c>
      <c r="E3375" s="14" t="str">
        <f aca="false">IF(C3375="","",C3375*D3375/100)</f>
        <v/>
      </c>
      <c r="F3375" s="15" t="str">
        <f aca="false">IF(B3375&lt;5,"Go","Standard")</f>
        <v>Standard</v>
      </c>
    </row>
    <row r="3376" customFormat="false" ht="15" hidden="false" customHeight="true" outlineLevel="0" collapsed="false">
      <c r="A3376" s="10" t="n">
        <f aca="false">Einstellungen!$B$5+INT((ROW()-9)/24)</f>
        <v>46106</v>
      </c>
      <c r="B3376" s="11" t="n">
        <f aca="false">MOD(ROW()-9,24)</f>
        <v>7</v>
      </c>
      <c r="C3376" s="12"/>
      <c r="D3376" s="13" t="n">
        <f aca="false">IF(B3376&lt;5,Einstellungen!$B$3,Einstellungen!$B$4)</f>
        <v>29.13</v>
      </c>
      <c r="E3376" s="14" t="str">
        <f aca="false">IF(C3376="","",C3376*D3376/100)</f>
        <v/>
      </c>
      <c r="F3376" s="15" t="str">
        <f aca="false">IF(B3376&lt;5,"Go","Standard")</f>
        <v>Standard</v>
      </c>
    </row>
    <row r="3377" customFormat="false" ht="15" hidden="false" customHeight="true" outlineLevel="0" collapsed="false">
      <c r="A3377" s="10" t="n">
        <f aca="false">Einstellungen!$B$5+INT((ROW()-9)/24)</f>
        <v>46106</v>
      </c>
      <c r="B3377" s="11" t="n">
        <f aca="false">MOD(ROW()-9,24)</f>
        <v>8</v>
      </c>
      <c r="C3377" s="12"/>
      <c r="D3377" s="13" t="n">
        <f aca="false">IF(B3377&lt;5,Einstellungen!$B$3,Einstellungen!$B$4)</f>
        <v>29.13</v>
      </c>
      <c r="E3377" s="14" t="str">
        <f aca="false">IF(C3377="","",C3377*D3377/100)</f>
        <v/>
      </c>
      <c r="F3377" s="15" t="str">
        <f aca="false">IF(B3377&lt;5,"Go","Standard")</f>
        <v>Standard</v>
      </c>
    </row>
    <row r="3378" customFormat="false" ht="15" hidden="false" customHeight="true" outlineLevel="0" collapsed="false">
      <c r="A3378" s="10" t="n">
        <f aca="false">Einstellungen!$B$5+INT((ROW()-9)/24)</f>
        <v>46106</v>
      </c>
      <c r="B3378" s="11" t="n">
        <f aca="false">MOD(ROW()-9,24)</f>
        <v>9</v>
      </c>
      <c r="C3378" s="12"/>
      <c r="D3378" s="13" t="n">
        <f aca="false">IF(B3378&lt;5,Einstellungen!$B$3,Einstellungen!$B$4)</f>
        <v>29.13</v>
      </c>
      <c r="E3378" s="14" t="str">
        <f aca="false">IF(C3378="","",C3378*D3378/100)</f>
        <v/>
      </c>
      <c r="F3378" s="15" t="str">
        <f aca="false">IF(B3378&lt;5,"Go","Standard")</f>
        <v>Standard</v>
      </c>
    </row>
    <row r="3379" customFormat="false" ht="15" hidden="false" customHeight="true" outlineLevel="0" collapsed="false">
      <c r="A3379" s="10" t="n">
        <f aca="false">Einstellungen!$B$5+INT((ROW()-9)/24)</f>
        <v>46106</v>
      </c>
      <c r="B3379" s="11" t="n">
        <f aca="false">MOD(ROW()-9,24)</f>
        <v>10</v>
      </c>
      <c r="C3379" s="12"/>
      <c r="D3379" s="13" t="n">
        <f aca="false">IF(B3379&lt;5,Einstellungen!$B$3,Einstellungen!$B$4)</f>
        <v>29.13</v>
      </c>
      <c r="E3379" s="14" t="str">
        <f aca="false">IF(C3379="","",C3379*D3379/100)</f>
        <v/>
      </c>
      <c r="F3379" s="15" t="str">
        <f aca="false">IF(B3379&lt;5,"Go","Standard")</f>
        <v>Standard</v>
      </c>
    </row>
    <row r="3380" customFormat="false" ht="15" hidden="false" customHeight="true" outlineLevel="0" collapsed="false">
      <c r="A3380" s="10" t="n">
        <f aca="false">Einstellungen!$B$5+INT((ROW()-9)/24)</f>
        <v>46106</v>
      </c>
      <c r="B3380" s="11" t="n">
        <f aca="false">MOD(ROW()-9,24)</f>
        <v>11</v>
      </c>
      <c r="C3380" s="12"/>
      <c r="D3380" s="13" t="n">
        <f aca="false">IF(B3380&lt;5,Einstellungen!$B$3,Einstellungen!$B$4)</f>
        <v>29.13</v>
      </c>
      <c r="E3380" s="14" t="str">
        <f aca="false">IF(C3380="","",C3380*D3380/100)</f>
        <v/>
      </c>
      <c r="F3380" s="15" t="str">
        <f aca="false">IF(B3380&lt;5,"Go","Standard")</f>
        <v>Standard</v>
      </c>
    </row>
    <row r="3381" customFormat="false" ht="15" hidden="false" customHeight="true" outlineLevel="0" collapsed="false">
      <c r="A3381" s="10" t="n">
        <f aca="false">Einstellungen!$B$5+INT((ROW()-9)/24)</f>
        <v>46106</v>
      </c>
      <c r="B3381" s="11" t="n">
        <f aca="false">MOD(ROW()-9,24)</f>
        <v>12</v>
      </c>
      <c r="C3381" s="12"/>
      <c r="D3381" s="13" t="n">
        <f aca="false">IF(B3381&lt;5,Einstellungen!$B$3,Einstellungen!$B$4)</f>
        <v>29.13</v>
      </c>
      <c r="E3381" s="14" t="str">
        <f aca="false">IF(C3381="","",C3381*D3381/100)</f>
        <v/>
      </c>
      <c r="F3381" s="15" t="str">
        <f aca="false">IF(B3381&lt;5,"Go","Standard")</f>
        <v>Standard</v>
      </c>
    </row>
    <row r="3382" customFormat="false" ht="15" hidden="false" customHeight="true" outlineLevel="0" collapsed="false">
      <c r="A3382" s="10" t="n">
        <f aca="false">Einstellungen!$B$5+INT((ROW()-9)/24)</f>
        <v>46106</v>
      </c>
      <c r="B3382" s="11" t="n">
        <f aca="false">MOD(ROW()-9,24)</f>
        <v>13</v>
      </c>
      <c r="C3382" s="12"/>
      <c r="D3382" s="13" t="n">
        <f aca="false">IF(B3382&lt;5,Einstellungen!$B$3,Einstellungen!$B$4)</f>
        <v>29.13</v>
      </c>
      <c r="E3382" s="14" t="str">
        <f aca="false">IF(C3382="","",C3382*D3382/100)</f>
        <v/>
      </c>
      <c r="F3382" s="15" t="str">
        <f aca="false">IF(B3382&lt;5,"Go","Standard")</f>
        <v>Standard</v>
      </c>
    </row>
    <row r="3383" customFormat="false" ht="15" hidden="false" customHeight="true" outlineLevel="0" collapsed="false">
      <c r="A3383" s="10" t="n">
        <f aca="false">Einstellungen!$B$5+INT((ROW()-9)/24)</f>
        <v>46106</v>
      </c>
      <c r="B3383" s="11" t="n">
        <f aca="false">MOD(ROW()-9,24)</f>
        <v>14</v>
      </c>
      <c r="C3383" s="12"/>
      <c r="D3383" s="13" t="n">
        <f aca="false">IF(B3383&lt;5,Einstellungen!$B$3,Einstellungen!$B$4)</f>
        <v>29.13</v>
      </c>
      <c r="E3383" s="14" t="str">
        <f aca="false">IF(C3383="","",C3383*D3383/100)</f>
        <v/>
      </c>
      <c r="F3383" s="15" t="str">
        <f aca="false">IF(B3383&lt;5,"Go","Standard")</f>
        <v>Standard</v>
      </c>
    </row>
    <row r="3384" customFormat="false" ht="15" hidden="false" customHeight="true" outlineLevel="0" collapsed="false">
      <c r="A3384" s="10" t="n">
        <f aca="false">Einstellungen!$B$5+INT((ROW()-9)/24)</f>
        <v>46106</v>
      </c>
      <c r="B3384" s="11" t="n">
        <f aca="false">MOD(ROW()-9,24)</f>
        <v>15</v>
      </c>
      <c r="C3384" s="12"/>
      <c r="D3384" s="13" t="n">
        <f aca="false">IF(B3384&lt;5,Einstellungen!$B$3,Einstellungen!$B$4)</f>
        <v>29.13</v>
      </c>
      <c r="E3384" s="14" t="str">
        <f aca="false">IF(C3384="","",C3384*D3384/100)</f>
        <v/>
      </c>
      <c r="F3384" s="15" t="str">
        <f aca="false">IF(B3384&lt;5,"Go","Standard")</f>
        <v>Standard</v>
      </c>
    </row>
    <row r="3385" customFormat="false" ht="15" hidden="false" customHeight="true" outlineLevel="0" collapsed="false">
      <c r="A3385" s="10" t="n">
        <f aca="false">Einstellungen!$B$5+INT((ROW()-9)/24)</f>
        <v>46106</v>
      </c>
      <c r="B3385" s="11" t="n">
        <f aca="false">MOD(ROW()-9,24)</f>
        <v>16</v>
      </c>
      <c r="C3385" s="12"/>
      <c r="D3385" s="13" t="n">
        <f aca="false">IF(B3385&lt;5,Einstellungen!$B$3,Einstellungen!$B$4)</f>
        <v>29.13</v>
      </c>
      <c r="E3385" s="14" t="str">
        <f aca="false">IF(C3385="","",C3385*D3385/100)</f>
        <v/>
      </c>
      <c r="F3385" s="15" t="str">
        <f aca="false">IF(B3385&lt;5,"Go","Standard")</f>
        <v>Standard</v>
      </c>
    </row>
    <row r="3386" customFormat="false" ht="15" hidden="false" customHeight="true" outlineLevel="0" collapsed="false">
      <c r="A3386" s="10" t="n">
        <f aca="false">Einstellungen!$B$5+INT((ROW()-9)/24)</f>
        <v>46106</v>
      </c>
      <c r="B3386" s="11" t="n">
        <f aca="false">MOD(ROW()-9,24)</f>
        <v>17</v>
      </c>
      <c r="C3386" s="12"/>
      <c r="D3386" s="13" t="n">
        <f aca="false">IF(B3386&lt;5,Einstellungen!$B$3,Einstellungen!$B$4)</f>
        <v>29.13</v>
      </c>
      <c r="E3386" s="14" t="str">
        <f aca="false">IF(C3386="","",C3386*D3386/100)</f>
        <v/>
      </c>
      <c r="F3386" s="15" t="str">
        <f aca="false">IF(B3386&lt;5,"Go","Standard")</f>
        <v>Standard</v>
      </c>
    </row>
    <row r="3387" customFormat="false" ht="15" hidden="false" customHeight="true" outlineLevel="0" collapsed="false">
      <c r="A3387" s="10" t="n">
        <f aca="false">Einstellungen!$B$5+INT((ROW()-9)/24)</f>
        <v>46106</v>
      </c>
      <c r="B3387" s="11" t="n">
        <f aca="false">MOD(ROW()-9,24)</f>
        <v>18</v>
      </c>
      <c r="C3387" s="12"/>
      <c r="D3387" s="13" t="n">
        <f aca="false">IF(B3387&lt;5,Einstellungen!$B$3,Einstellungen!$B$4)</f>
        <v>29.13</v>
      </c>
      <c r="E3387" s="14" t="str">
        <f aca="false">IF(C3387="","",C3387*D3387/100)</f>
        <v/>
      </c>
      <c r="F3387" s="15" t="str">
        <f aca="false">IF(B3387&lt;5,"Go","Standard")</f>
        <v>Standard</v>
      </c>
    </row>
    <row r="3388" customFormat="false" ht="15" hidden="false" customHeight="true" outlineLevel="0" collapsed="false">
      <c r="A3388" s="10" t="n">
        <f aca="false">Einstellungen!$B$5+INT((ROW()-9)/24)</f>
        <v>46106</v>
      </c>
      <c r="B3388" s="11" t="n">
        <f aca="false">MOD(ROW()-9,24)</f>
        <v>19</v>
      </c>
      <c r="C3388" s="12"/>
      <c r="D3388" s="13" t="n">
        <f aca="false">IF(B3388&lt;5,Einstellungen!$B$3,Einstellungen!$B$4)</f>
        <v>29.13</v>
      </c>
      <c r="E3388" s="14" t="str">
        <f aca="false">IF(C3388="","",C3388*D3388/100)</f>
        <v/>
      </c>
      <c r="F3388" s="15" t="str">
        <f aca="false">IF(B3388&lt;5,"Go","Standard")</f>
        <v>Standard</v>
      </c>
    </row>
    <row r="3389" customFormat="false" ht="15" hidden="false" customHeight="true" outlineLevel="0" collapsed="false">
      <c r="A3389" s="10" t="n">
        <f aca="false">Einstellungen!$B$5+INT((ROW()-9)/24)</f>
        <v>46106</v>
      </c>
      <c r="B3389" s="11" t="n">
        <f aca="false">MOD(ROW()-9,24)</f>
        <v>20</v>
      </c>
      <c r="C3389" s="12"/>
      <c r="D3389" s="13" t="n">
        <f aca="false">IF(B3389&lt;5,Einstellungen!$B$3,Einstellungen!$B$4)</f>
        <v>29.13</v>
      </c>
      <c r="E3389" s="14" t="str">
        <f aca="false">IF(C3389="","",C3389*D3389/100)</f>
        <v/>
      </c>
      <c r="F3389" s="15" t="str">
        <f aca="false">IF(B3389&lt;5,"Go","Standard")</f>
        <v>Standard</v>
      </c>
    </row>
    <row r="3390" customFormat="false" ht="15" hidden="false" customHeight="true" outlineLevel="0" collapsed="false">
      <c r="A3390" s="10" t="n">
        <f aca="false">Einstellungen!$B$5+INT((ROW()-9)/24)</f>
        <v>46106</v>
      </c>
      <c r="B3390" s="11" t="n">
        <f aca="false">MOD(ROW()-9,24)</f>
        <v>21</v>
      </c>
      <c r="C3390" s="12"/>
      <c r="D3390" s="13" t="n">
        <f aca="false">IF(B3390&lt;5,Einstellungen!$B$3,Einstellungen!$B$4)</f>
        <v>29.13</v>
      </c>
      <c r="E3390" s="14" t="str">
        <f aca="false">IF(C3390="","",C3390*D3390/100)</f>
        <v/>
      </c>
      <c r="F3390" s="15" t="str">
        <f aca="false">IF(B3390&lt;5,"Go","Standard")</f>
        <v>Standard</v>
      </c>
    </row>
    <row r="3391" customFormat="false" ht="15" hidden="false" customHeight="true" outlineLevel="0" collapsed="false">
      <c r="A3391" s="10" t="n">
        <f aca="false">Einstellungen!$B$5+INT((ROW()-9)/24)</f>
        <v>46106</v>
      </c>
      <c r="B3391" s="11" t="n">
        <f aca="false">MOD(ROW()-9,24)</f>
        <v>22</v>
      </c>
      <c r="C3391" s="12"/>
      <c r="D3391" s="13" t="n">
        <f aca="false">IF(B3391&lt;5,Einstellungen!$B$3,Einstellungen!$B$4)</f>
        <v>29.13</v>
      </c>
      <c r="E3391" s="14" t="str">
        <f aca="false">IF(C3391="","",C3391*D3391/100)</f>
        <v/>
      </c>
      <c r="F3391" s="15" t="str">
        <f aca="false">IF(B3391&lt;5,"Go","Standard")</f>
        <v>Standard</v>
      </c>
    </row>
    <row r="3392" customFormat="false" ht="15" hidden="false" customHeight="true" outlineLevel="0" collapsed="false">
      <c r="A3392" s="10" t="n">
        <f aca="false">Einstellungen!$B$5+INT((ROW()-9)/24)</f>
        <v>46106</v>
      </c>
      <c r="B3392" s="11" t="n">
        <f aca="false">MOD(ROW()-9,24)</f>
        <v>23</v>
      </c>
      <c r="C3392" s="12"/>
      <c r="D3392" s="13" t="n">
        <f aca="false">IF(B3392&lt;5,Einstellungen!$B$3,Einstellungen!$B$4)</f>
        <v>29.13</v>
      </c>
      <c r="E3392" s="14" t="str">
        <f aca="false">IF(C3392="","",C3392*D3392/100)</f>
        <v/>
      </c>
      <c r="F3392" s="15" t="str">
        <f aca="false">IF(B3392&lt;5,"Go","Standard")</f>
        <v>Standard</v>
      </c>
    </row>
    <row r="3393" customFormat="false" ht="15" hidden="false" customHeight="true" outlineLevel="0" collapsed="false">
      <c r="A3393" s="10" t="n">
        <f aca="false">Einstellungen!$B$5+INT((ROW()-9)/24)</f>
        <v>46107</v>
      </c>
      <c r="B3393" s="11" t="n">
        <f aca="false">MOD(ROW()-9,24)</f>
        <v>0</v>
      </c>
      <c r="C3393" s="12"/>
      <c r="D3393" s="13" t="n">
        <f aca="false">IF(B3393&lt;5,Einstellungen!$B$3,Einstellungen!$B$4)</f>
        <v>15.92</v>
      </c>
      <c r="E3393" s="14" t="str">
        <f aca="false">IF(C3393="","",C3393*D3393/100)</f>
        <v/>
      </c>
      <c r="F3393" s="15" t="str">
        <f aca="false">IF(B3393&lt;5,"Go","Standard")</f>
        <v>Go</v>
      </c>
    </row>
    <row r="3394" customFormat="false" ht="15" hidden="false" customHeight="true" outlineLevel="0" collapsed="false">
      <c r="A3394" s="10" t="n">
        <f aca="false">Einstellungen!$B$5+INT((ROW()-9)/24)</f>
        <v>46107</v>
      </c>
      <c r="B3394" s="11" t="n">
        <f aca="false">MOD(ROW()-9,24)</f>
        <v>1</v>
      </c>
      <c r="C3394" s="12"/>
      <c r="D3394" s="13" t="n">
        <f aca="false">IF(B3394&lt;5,Einstellungen!$B$3,Einstellungen!$B$4)</f>
        <v>15.92</v>
      </c>
      <c r="E3394" s="14" t="str">
        <f aca="false">IF(C3394="","",C3394*D3394/100)</f>
        <v/>
      </c>
      <c r="F3394" s="15" t="str">
        <f aca="false">IF(B3394&lt;5,"Go","Standard")</f>
        <v>Go</v>
      </c>
    </row>
    <row r="3395" customFormat="false" ht="15" hidden="false" customHeight="true" outlineLevel="0" collapsed="false">
      <c r="A3395" s="10" t="n">
        <f aca="false">Einstellungen!$B$5+INT((ROW()-9)/24)</f>
        <v>46107</v>
      </c>
      <c r="B3395" s="11" t="n">
        <f aca="false">MOD(ROW()-9,24)</f>
        <v>2</v>
      </c>
      <c r="C3395" s="12"/>
      <c r="D3395" s="13" t="n">
        <f aca="false">IF(B3395&lt;5,Einstellungen!$B$3,Einstellungen!$B$4)</f>
        <v>15.92</v>
      </c>
      <c r="E3395" s="14" t="str">
        <f aca="false">IF(C3395="","",C3395*D3395/100)</f>
        <v/>
      </c>
      <c r="F3395" s="15" t="str">
        <f aca="false">IF(B3395&lt;5,"Go","Standard")</f>
        <v>Go</v>
      </c>
    </row>
    <row r="3396" customFormat="false" ht="15" hidden="false" customHeight="true" outlineLevel="0" collapsed="false">
      <c r="A3396" s="10" t="n">
        <f aca="false">Einstellungen!$B$5+INT((ROW()-9)/24)</f>
        <v>46107</v>
      </c>
      <c r="B3396" s="11" t="n">
        <f aca="false">MOD(ROW()-9,24)</f>
        <v>3</v>
      </c>
      <c r="C3396" s="12"/>
      <c r="D3396" s="13" t="n">
        <f aca="false">IF(B3396&lt;5,Einstellungen!$B$3,Einstellungen!$B$4)</f>
        <v>15.92</v>
      </c>
      <c r="E3396" s="14" t="str">
        <f aca="false">IF(C3396="","",C3396*D3396/100)</f>
        <v/>
      </c>
      <c r="F3396" s="15" t="str">
        <f aca="false">IF(B3396&lt;5,"Go","Standard")</f>
        <v>Go</v>
      </c>
    </row>
    <row r="3397" customFormat="false" ht="15" hidden="false" customHeight="true" outlineLevel="0" collapsed="false">
      <c r="A3397" s="10" t="n">
        <f aca="false">Einstellungen!$B$5+INT((ROW()-9)/24)</f>
        <v>46107</v>
      </c>
      <c r="B3397" s="11" t="n">
        <f aca="false">MOD(ROW()-9,24)</f>
        <v>4</v>
      </c>
      <c r="C3397" s="12"/>
      <c r="D3397" s="13" t="n">
        <f aca="false">IF(B3397&lt;5,Einstellungen!$B$3,Einstellungen!$B$4)</f>
        <v>15.92</v>
      </c>
      <c r="E3397" s="14" t="str">
        <f aca="false">IF(C3397="","",C3397*D3397/100)</f>
        <v/>
      </c>
      <c r="F3397" s="15" t="str">
        <f aca="false">IF(B3397&lt;5,"Go","Standard")</f>
        <v>Go</v>
      </c>
    </row>
    <row r="3398" customFormat="false" ht="15" hidden="false" customHeight="true" outlineLevel="0" collapsed="false">
      <c r="A3398" s="10" t="n">
        <f aca="false">Einstellungen!$B$5+INT((ROW()-9)/24)</f>
        <v>46107</v>
      </c>
      <c r="B3398" s="11" t="n">
        <f aca="false">MOD(ROW()-9,24)</f>
        <v>5</v>
      </c>
      <c r="C3398" s="12"/>
      <c r="D3398" s="13" t="n">
        <f aca="false">IF(B3398&lt;5,Einstellungen!$B$3,Einstellungen!$B$4)</f>
        <v>29.13</v>
      </c>
      <c r="E3398" s="14" t="str">
        <f aca="false">IF(C3398="","",C3398*D3398/100)</f>
        <v/>
      </c>
      <c r="F3398" s="15" t="str">
        <f aca="false">IF(B3398&lt;5,"Go","Standard")</f>
        <v>Standard</v>
      </c>
    </row>
    <row r="3399" customFormat="false" ht="15" hidden="false" customHeight="true" outlineLevel="0" collapsed="false">
      <c r="A3399" s="10" t="n">
        <f aca="false">Einstellungen!$B$5+INT((ROW()-9)/24)</f>
        <v>46107</v>
      </c>
      <c r="B3399" s="11" t="n">
        <f aca="false">MOD(ROW()-9,24)</f>
        <v>6</v>
      </c>
      <c r="C3399" s="12"/>
      <c r="D3399" s="13" t="n">
        <f aca="false">IF(B3399&lt;5,Einstellungen!$B$3,Einstellungen!$B$4)</f>
        <v>29.13</v>
      </c>
      <c r="E3399" s="14" t="str">
        <f aca="false">IF(C3399="","",C3399*D3399/100)</f>
        <v/>
      </c>
      <c r="F3399" s="15" t="str">
        <f aca="false">IF(B3399&lt;5,"Go","Standard")</f>
        <v>Standard</v>
      </c>
    </row>
    <row r="3400" customFormat="false" ht="15" hidden="false" customHeight="true" outlineLevel="0" collapsed="false">
      <c r="A3400" s="10" t="n">
        <f aca="false">Einstellungen!$B$5+INT((ROW()-9)/24)</f>
        <v>46107</v>
      </c>
      <c r="B3400" s="11" t="n">
        <f aca="false">MOD(ROW()-9,24)</f>
        <v>7</v>
      </c>
      <c r="C3400" s="12"/>
      <c r="D3400" s="13" t="n">
        <f aca="false">IF(B3400&lt;5,Einstellungen!$B$3,Einstellungen!$B$4)</f>
        <v>29.13</v>
      </c>
      <c r="E3400" s="14" t="str">
        <f aca="false">IF(C3400="","",C3400*D3400/100)</f>
        <v/>
      </c>
      <c r="F3400" s="15" t="str">
        <f aca="false">IF(B3400&lt;5,"Go","Standard")</f>
        <v>Standard</v>
      </c>
    </row>
    <row r="3401" customFormat="false" ht="15" hidden="false" customHeight="true" outlineLevel="0" collapsed="false">
      <c r="A3401" s="10" t="n">
        <f aca="false">Einstellungen!$B$5+INT((ROW()-9)/24)</f>
        <v>46107</v>
      </c>
      <c r="B3401" s="11" t="n">
        <f aca="false">MOD(ROW()-9,24)</f>
        <v>8</v>
      </c>
      <c r="C3401" s="12"/>
      <c r="D3401" s="13" t="n">
        <f aca="false">IF(B3401&lt;5,Einstellungen!$B$3,Einstellungen!$B$4)</f>
        <v>29.13</v>
      </c>
      <c r="E3401" s="14" t="str">
        <f aca="false">IF(C3401="","",C3401*D3401/100)</f>
        <v/>
      </c>
      <c r="F3401" s="15" t="str">
        <f aca="false">IF(B3401&lt;5,"Go","Standard")</f>
        <v>Standard</v>
      </c>
    </row>
    <row r="3402" customFormat="false" ht="15" hidden="false" customHeight="true" outlineLevel="0" collapsed="false">
      <c r="A3402" s="10" t="n">
        <f aca="false">Einstellungen!$B$5+INT((ROW()-9)/24)</f>
        <v>46107</v>
      </c>
      <c r="B3402" s="11" t="n">
        <f aca="false">MOD(ROW()-9,24)</f>
        <v>9</v>
      </c>
      <c r="C3402" s="12"/>
      <c r="D3402" s="13" t="n">
        <f aca="false">IF(B3402&lt;5,Einstellungen!$B$3,Einstellungen!$B$4)</f>
        <v>29.13</v>
      </c>
      <c r="E3402" s="14" t="str">
        <f aca="false">IF(C3402="","",C3402*D3402/100)</f>
        <v/>
      </c>
      <c r="F3402" s="15" t="str">
        <f aca="false">IF(B3402&lt;5,"Go","Standard")</f>
        <v>Standard</v>
      </c>
    </row>
    <row r="3403" customFormat="false" ht="15" hidden="false" customHeight="true" outlineLevel="0" collapsed="false">
      <c r="A3403" s="10" t="n">
        <f aca="false">Einstellungen!$B$5+INT((ROW()-9)/24)</f>
        <v>46107</v>
      </c>
      <c r="B3403" s="11" t="n">
        <f aca="false">MOD(ROW()-9,24)</f>
        <v>10</v>
      </c>
      <c r="C3403" s="12"/>
      <c r="D3403" s="13" t="n">
        <f aca="false">IF(B3403&lt;5,Einstellungen!$B$3,Einstellungen!$B$4)</f>
        <v>29.13</v>
      </c>
      <c r="E3403" s="14" t="str">
        <f aca="false">IF(C3403="","",C3403*D3403/100)</f>
        <v/>
      </c>
      <c r="F3403" s="15" t="str">
        <f aca="false">IF(B3403&lt;5,"Go","Standard")</f>
        <v>Standard</v>
      </c>
    </row>
    <row r="3404" customFormat="false" ht="15" hidden="false" customHeight="true" outlineLevel="0" collapsed="false">
      <c r="A3404" s="10" t="n">
        <f aca="false">Einstellungen!$B$5+INT((ROW()-9)/24)</f>
        <v>46107</v>
      </c>
      <c r="B3404" s="11" t="n">
        <f aca="false">MOD(ROW()-9,24)</f>
        <v>11</v>
      </c>
      <c r="C3404" s="12"/>
      <c r="D3404" s="13" t="n">
        <f aca="false">IF(B3404&lt;5,Einstellungen!$B$3,Einstellungen!$B$4)</f>
        <v>29.13</v>
      </c>
      <c r="E3404" s="14" t="str">
        <f aca="false">IF(C3404="","",C3404*D3404/100)</f>
        <v/>
      </c>
      <c r="F3404" s="15" t="str">
        <f aca="false">IF(B3404&lt;5,"Go","Standard")</f>
        <v>Standard</v>
      </c>
    </row>
    <row r="3405" customFormat="false" ht="15" hidden="false" customHeight="true" outlineLevel="0" collapsed="false">
      <c r="A3405" s="10" t="n">
        <f aca="false">Einstellungen!$B$5+INT((ROW()-9)/24)</f>
        <v>46107</v>
      </c>
      <c r="B3405" s="11" t="n">
        <f aca="false">MOD(ROW()-9,24)</f>
        <v>12</v>
      </c>
      <c r="C3405" s="12"/>
      <c r="D3405" s="13" t="n">
        <f aca="false">IF(B3405&lt;5,Einstellungen!$B$3,Einstellungen!$B$4)</f>
        <v>29.13</v>
      </c>
      <c r="E3405" s="14" t="str">
        <f aca="false">IF(C3405="","",C3405*D3405/100)</f>
        <v/>
      </c>
      <c r="F3405" s="15" t="str">
        <f aca="false">IF(B3405&lt;5,"Go","Standard")</f>
        <v>Standard</v>
      </c>
    </row>
    <row r="3406" customFormat="false" ht="15" hidden="false" customHeight="true" outlineLevel="0" collapsed="false">
      <c r="A3406" s="10" t="n">
        <f aca="false">Einstellungen!$B$5+INT((ROW()-9)/24)</f>
        <v>46107</v>
      </c>
      <c r="B3406" s="11" t="n">
        <f aca="false">MOD(ROW()-9,24)</f>
        <v>13</v>
      </c>
      <c r="C3406" s="12"/>
      <c r="D3406" s="13" t="n">
        <f aca="false">IF(B3406&lt;5,Einstellungen!$B$3,Einstellungen!$B$4)</f>
        <v>29.13</v>
      </c>
      <c r="E3406" s="14" t="str">
        <f aca="false">IF(C3406="","",C3406*D3406/100)</f>
        <v/>
      </c>
      <c r="F3406" s="15" t="str">
        <f aca="false">IF(B3406&lt;5,"Go","Standard")</f>
        <v>Standard</v>
      </c>
    </row>
    <row r="3407" customFormat="false" ht="15" hidden="false" customHeight="true" outlineLevel="0" collapsed="false">
      <c r="A3407" s="10" t="n">
        <f aca="false">Einstellungen!$B$5+INT((ROW()-9)/24)</f>
        <v>46107</v>
      </c>
      <c r="B3407" s="11" t="n">
        <f aca="false">MOD(ROW()-9,24)</f>
        <v>14</v>
      </c>
      <c r="C3407" s="12"/>
      <c r="D3407" s="13" t="n">
        <f aca="false">IF(B3407&lt;5,Einstellungen!$B$3,Einstellungen!$B$4)</f>
        <v>29.13</v>
      </c>
      <c r="E3407" s="14" t="str">
        <f aca="false">IF(C3407="","",C3407*D3407/100)</f>
        <v/>
      </c>
      <c r="F3407" s="15" t="str">
        <f aca="false">IF(B3407&lt;5,"Go","Standard")</f>
        <v>Standard</v>
      </c>
    </row>
    <row r="3408" customFormat="false" ht="15" hidden="false" customHeight="true" outlineLevel="0" collapsed="false">
      <c r="A3408" s="10" t="n">
        <f aca="false">Einstellungen!$B$5+INT((ROW()-9)/24)</f>
        <v>46107</v>
      </c>
      <c r="B3408" s="11" t="n">
        <f aca="false">MOD(ROW()-9,24)</f>
        <v>15</v>
      </c>
      <c r="C3408" s="12"/>
      <c r="D3408" s="13" t="n">
        <f aca="false">IF(B3408&lt;5,Einstellungen!$B$3,Einstellungen!$B$4)</f>
        <v>29.13</v>
      </c>
      <c r="E3408" s="14" t="str">
        <f aca="false">IF(C3408="","",C3408*D3408/100)</f>
        <v/>
      </c>
      <c r="F3408" s="15" t="str">
        <f aca="false">IF(B3408&lt;5,"Go","Standard")</f>
        <v>Standard</v>
      </c>
    </row>
    <row r="3409" customFormat="false" ht="15" hidden="false" customHeight="true" outlineLevel="0" collapsed="false">
      <c r="A3409" s="10" t="n">
        <f aca="false">Einstellungen!$B$5+INT((ROW()-9)/24)</f>
        <v>46107</v>
      </c>
      <c r="B3409" s="11" t="n">
        <f aca="false">MOD(ROW()-9,24)</f>
        <v>16</v>
      </c>
      <c r="C3409" s="12"/>
      <c r="D3409" s="13" t="n">
        <f aca="false">IF(B3409&lt;5,Einstellungen!$B$3,Einstellungen!$B$4)</f>
        <v>29.13</v>
      </c>
      <c r="E3409" s="14" t="str">
        <f aca="false">IF(C3409="","",C3409*D3409/100)</f>
        <v/>
      </c>
      <c r="F3409" s="15" t="str">
        <f aca="false">IF(B3409&lt;5,"Go","Standard")</f>
        <v>Standard</v>
      </c>
    </row>
    <row r="3410" customFormat="false" ht="15" hidden="false" customHeight="true" outlineLevel="0" collapsed="false">
      <c r="A3410" s="10" t="n">
        <f aca="false">Einstellungen!$B$5+INT((ROW()-9)/24)</f>
        <v>46107</v>
      </c>
      <c r="B3410" s="11" t="n">
        <f aca="false">MOD(ROW()-9,24)</f>
        <v>17</v>
      </c>
      <c r="C3410" s="12"/>
      <c r="D3410" s="13" t="n">
        <f aca="false">IF(B3410&lt;5,Einstellungen!$B$3,Einstellungen!$B$4)</f>
        <v>29.13</v>
      </c>
      <c r="E3410" s="14" t="str">
        <f aca="false">IF(C3410="","",C3410*D3410/100)</f>
        <v/>
      </c>
      <c r="F3410" s="15" t="str">
        <f aca="false">IF(B3410&lt;5,"Go","Standard")</f>
        <v>Standard</v>
      </c>
    </row>
    <row r="3411" customFormat="false" ht="15" hidden="false" customHeight="true" outlineLevel="0" collapsed="false">
      <c r="A3411" s="10" t="n">
        <f aca="false">Einstellungen!$B$5+INT((ROW()-9)/24)</f>
        <v>46107</v>
      </c>
      <c r="B3411" s="11" t="n">
        <f aca="false">MOD(ROW()-9,24)</f>
        <v>18</v>
      </c>
      <c r="C3411" s="12"/>
      <c r="D3411" s="13" t="n">
        <f aca="false">IF(B3411&lt;5,Einstellungen!$B$3,Einstellungen!$B$4)</f>
        <v>29.13</v>
      </c>
      <c r="E3411" s="14" t="str">
        <f aca="false">IF(C3411="","",C3411*D3411/100)</f>
        <v/>
      </c>
      <c r="F3411" s="15" t="str">
        <f aca="false">IF(B3411&lt;5,"Go","Standard")</f>
        <v>Standard</v>
      </c>
    </row>
    <row r="3412" customFormat="false" ht="15" hidden="false" customHeight="true" outlineLevel="0" collapsed="false">
      <c r="A3412" s="10" t="n">
        <f aca="false">Einstellungen!$B$5+INT((ROW()-9)/24)</f>
        <v>46107</v>
      </c>
      <c r="B3412" s="11" t="n">
        <f aca="false">MOD(ROW()-9,24)</f>
        <v>19</v>
      </c>
      <c r="C3412" s="12"/>
      <c r="D3412" s="13" t="n">
        <f aca="false">IF(B3412&lt;5,Einstellungen!$B$3,Einstellungen!$B$4)</f>
        <v>29.13</v>
      </c>
      <c r="E3412" s="14" t="str">
        <f aca="false">IF(C3412="","",C3412*D3412/100)</f>
        <v/>
      </c>
      <c r="F3412" s="15" t="str">
        <f aca="false">IF(B3412&lt;5,"Go","Standard")</f>
        <v>Standard</v>
      </c>
    </row>
    <row r="3413" customFormat="false" ht="15" hidden="false" customHeight="true" outlineLevel="0" collapsed="false">
      <c r="A3413" s="10" t="n">
        <f aca="false">Einstellungen!$B$5+INT((ROW()-9)/24)</f>
        <v>46107</v>
      </c>
      <c r="B3413" s="11" t="n">
        <f aca="false">MOD(ROW()-9,24)</f>
        <v>20</v>
      </c>
      <c r="C3413" s="12"/>
      <c r="D3413" s="13" t="n">
        <f aca="false">IF(B3413&lt;5,Einstellungen!$B$3,Einstellungen!$B$4)</f>
        <v>29.13</v>
      </c>
      <c r="E3413" s="14" t="str">
        <f aca="false">IF(C3413="","",C3413*D3413/100)</f>
        <v/>
      </c>
      <c r="F3413" s="15" t="str">
        <f aca="false">IF(B3413&lt;5,"Go","Standard")</f>
        <v>Standard</v>
      </c>
    </row>
    <row r="3414" customFormat="false" ht="15" hidden="false" customHeight="true" outlineLevel="0" collapsed="false">
      <c r="A3414" s="10" t="n">
        <f aca="false">Einstellungen!$B$5+INT((ROW()-9)/24)</f>
        <v>46107</v>
      </c>
      <c r="B3414" s="11" t="n">
        <f aca="false">MOD(ROW()-9,24)</f>
        <v>21</v>
      </c>
      <c r="C3414" s="12"/>
      <c r="D3414" s="13" t="n">
        <f aca="false">IF(B3414&lt;5,Einstellungen!$B$3,Einstellungen!$B$4)</f>
        <v>29.13</v>
      </c>
      <c r="E3414" s="14" t="str">
        <f aca="false">IF(C3414="","",C3414*D3414/100)</f>
        <v/>
      </c>
      <c r="F3414" s="15" t="str">
        <f aca="false">IF(B3414&lt;5,"Go","Standard")</f>
        <v>Standard</v>
      </c>
    </row>
    <row r="3415" customFormat="false" ht="15" hidden="false" customHeight="true" outlineLevel="0" collapsed="false">
      <c r="A3415" s="10" t="n">
        <f aca="false">Einstellungen!$B$5+INT((ROW()-9)/24)</f>
        <v>46107</v>
      </c>
      <c r="B3415" s="11" t="n">
        <f aca="false">MOD(ROW()-9,24)</f>
        <v>22</v>
      </c>
      <c r="C3415" s="12"/>
      <c r="D3415" s="13" t="n">
        <f aca="false">IF(B3415&lt;5,Einstellungen!$B$3,Einstellungen!$B$4)</f>
        <v>29.13</v>
      </c>
      <c r="E3415" s="14" t="str">
        <f aca="false">IF(C3415="","",C3415*D3415/100)</f>
        <v/>
      </c>
      <c r="F3415" s="15" t="str">
        <f aca="false">IF(B3415&lt;5,"Go","Standard")</f>
        <v>Standard</v>
      </c>
    </row>
    <row r="3416" customFormat="false" ht="15" hidden="false" customHeight="true" outlineLevel="0" collapsed="false">
      <c r="A3416" s="10" t="n">
        <f aca="false">Einstellungen!$B$5+INT((ROW()-9)/24)</f>
        <v>46107</v>
      </c>
      <c r="B3416" s="11" t="n">
        <f aca="false">MOD(ROW()-9,24)</f>
        <v>23</v>
      </c>
      <c r="C3416" s="12"/>
      <c r="D3416" s="13" t="n">
        <f aca="false">IF(B3416&lt;5,Einstellungen!$B$3,Einstellungen!$B$4)</f>
        <v>29.13</v>
      </c>
      <c r="E3416" s="14" t="str">
        <f aca="false">IF(C3416="","",C3416*D3416/100)</f>
        <v/>
      </c>
      <c r="F3416" s="15" t="str">
        <f aca="false">IF(B3416&lt;5,"Go","Standard")</f>
        <v>Standard</v>
      </c>
    </row>
    <row r="3417" customFormat="false" ht="15" hidden="false" customHeight="true" outlineLevel="0" collapsed="false">
      <c r="A3417" s="10" t="n">
        <f aca="false">Einstellungen!$B$5+INT((ROW()-9)/24)</f>
        <v>46108</v>
      </c>
      <c r="B3417" s="11" t="n">
        <f aca="false">MOD(ROW()-9,24)</f>
        <v>0</v>
      </c>
      <c r="C3417" s="12"/>
      <c r="D3417" s="13" t="n">
        <f aca="false">IF(B3417&lt;5,Einstellungen!$B$3,Einstellungen!$B$4)</f>
        <v>15.92</v>
      </c>
      <c r="E3417" s="14" t="str">
        <f aca="false">IF(C3417="","",C3417*D3417/100)</f>
        <v/>
      </c>
      <c r="F3417" s="15" t="str">
        <f aca="false">IF(B3417&lt;5,"Go","Standard")</f>
        <v>Go</v>
      </c>
    </row>
    <row r="3418" customFormat="false" ht="15" hidden="false" customHeight="true" outlineLevel="0" collapsed="false">
      <c r="A3418" s="10" t="n">
        <f aca="false">Einstellungen!$B$5+INT((ROW()-9)/24)</f>
        <v>46108</v>
      </c>
      <c r="B3418" s="11" t="n">
        <f aca="false">MOD(ROW()-9,24)</f>
        <v>1</v>
      </c>
      <c r="C3418" s="12"/>
      <c r="D3418" s="13" t="n">
        <f aca="false">IF(B3418&lt;5,Einstellungen!$B$3,Einstellungen!$B$4)</f>
        <v>15.92</v>
      </c>
      <c r="E3418" s="14" t="str">
        <f aca="false">IF(C3418="","",C3418*D3418/100)</f>
        <v/>
      </c>
      <c r="F3418" s="15" t="str">
        <f aca="false">IF(B3418&lt;5,"Go","Standard")</f>
        <v>Go</v>
      </c>
    </row>
    <row r="3419" customFormat="false" ht="15" hidden="false" customHeight="true" outlineLevel="0" collapsed="false">
      <c r="A3419" s="10" t="n">
        <f aca="false">Einstellungen!$B$5+INT((ROW()-9)/24)</f>
        <v>46108</v>
      </c>
      <c r="B3419" s="11" t="n">
        <f aca="false">MOD(ROW()-9,24)</f>
        <v>2</v>
      </c>
      <c r="C3419" s="12"/>
      <c r="D3419" s="13" t="n">
        <f aca="false">IF(B3419&lt;5,Einstellungen!$B$3,Einstellungen!$B$4)</f>
        <v>15.92</v>
      </c>
      <c r="E3419" s="14" t="str">
        <f aca="false">IF(C3419="","",C3419*D3419/100)</f>
        <v/>
      </c>
      <c r="F3419" s="15" t="str">
        <f aca="false">IF(B3419&lt;5,"Go","Standard")</f>
        <v>Go</v>
      </c>
    </row>
    <row r="3420" customFormat="false" ht="15" hidden="false" customHeight="true" outlineLevel="0" collapsed="false">
      <c r="A3420" s="10" t="n">
        <f aca="false">Einstellungen!$B$5+INT((ROW()-9)/24)</f>
        <v>46108</v>
      </c>
      <c r="B3420" s="11" t="n">
        <f aca="false">MOD(ROW()-9,24)</f>
        <v>3</v>
      </c>
      <c r="C3420" s="12"/>
      <c r="D3420" s="13" t="n">
        <f aca="false">IF(B3420&lt;5,Einstellungen!$B$3,Einstellungen!$B$4)</f>
        <v>15.92</v>
      </c>
      <c r="E3420" s="14" t="str">
        <f aca="false">IF(C3420="","",C3420*D3420/100)</f>
        <v/>
      </c>
      <c r="F3420" s="15" t="str">
        <f aca="false">IF(B3420&lt;5,"Go","Standard")</f>
        <v>Go</v>
      </c>
    </row>
    <row r="3421" customFormat="false" ht="15" hidden="false" customHeight="true" outlineLevel="0" collapsed="false">
      <c r="A3421" s="10" t="n">
        <f aca="false">Einstellungen!$B$5+INT((ROW()-9)/24)</f>
        <v>46108</v>
      </c>
      <c r="B3421" s="11" t="n">
        <f aca="false">MOD(ROW()-9,24)</f>
        <v>4</v>
      </c>
      <c r="C3421" s="12"/>
      <c r="D3421" s="13" t="n">
        <f aca="false">IF(B3421&lt;5,Einstellungen!$B$3,Einstellungen!$B$4)</f>
        <v>15.92</v>
      </c>
      <c r="E3421" s="14" t="str">
        <f aca="false">IF(C3421="","",C3421*D3421/100)</f>
        <v/>
      </c>
      <c r="F3421" s="15" t="str">
        <f aca="false">IF(B3421&lt;5,"Go","Standard")</f>
        <v>Go</v>
      </c>
    </row>
    <row r="3422" customFormat="false" ht="15" hidden="false" customHeight="true" outlineLevel="0" collapsed="false">
      <c r="A3422" s="10" t="n">
        <f aca="false">Einstellungen!$B$5+INT((ROW()-9)/24)</f>
        <v>46108</v>
      </c>
      <c r="B3422" s="11" t="n">
        <f aca="false">MOD(ROW()-9,24)</f>
        <v>5</v>
      </c>
      <c r="C3422" s="12"/>
      <c r="D3422" s="13" t="n">
        <f aca="false">IF(B3422&lt;5,Einstellungen!$B$3,Einstellungen!$B$4)</f>
        <v>29.13</v>
      </c>
      <c r="E3422" s="14" t="str">
        <f aca="false">IF(C3422="","",C3422*D3422/100)</f>
        <v/>
      </c>
      <c r="F3422" s="15" t="str">
        <f aca="false">IF(B3422&lt;5,"Go","Standard")</f>
        <v>Standard</v>
      </c>
    </row>
    <row r="3423" customFormat="false" ht="15" hidden="false" customHeight="true" outlineLevel="0" collapsed="false">
      <c r="A3423" s="10" t="n">
        <f aca="false">Einstellungen!$B$5+INT((ROW()-9)/24)</f>
        <v>46108</v>
      </c>
      <c r="B3423" s="11" t="n">
        <f aca="false">MOD(ROW()-9,24)</f>
        <v>6</v>
      </c>
      <c r="C3423" s="12"/>
      <c r="D3423" s="13" t="n">
        <f aca="false">IF(B3423&lt;5,Einstellungen!$B$3,Einstellungen!$B$4)</f>
        <v>29.13</v>
      </c>
      <c r="E3423" s="14" t="str">
        <f aca="false">IF(C3423="","",C3423*D3423/100)</f>
        <v/>
      </c>
      <c r="F3423" s="15" t="str">
        <f aca="false">IF(B3423&lt;5,"Go","Standard")</f>
        <v>Standard</v>
      </c>
    </row>
    <row r="3424" customFormat="false" ht="15" hidden="false" customHeight="true" outlineLevel="0" collapsed="false">
      <c r="A3424" s="10" t="n">
        <f aca="false">Einstellungen!$B$5+INT((ROW()-9)/24)</f>
        <v>46108</v>
      </c>
      <c r="B3424" s="11" t="n">
        <f aca="false">MOD(ROW()-9,24)</f>
        <v>7</v>
      </c>
      <c r="C3424" s="12"/>
      <c r="D3424" s="13" t="n">
        <f aca="false">IF(B3424&lt;5,Einstellungen!$B$3,Einstellungen!$B$4)</f>
        <v>29.13</v>
      </c>
      <c r="E3424" s="14" t="str">
        <f aca="false">IF(C3424="","",C3424*D3424/100)</f>
        <v/>
      </c>
      <c r="F3424" s="15" t="str">
        <f aca="false">IF(B3424&lt;5,"Go","Standard")</f>
        <v>Standard</v>
      </c>
    </row>
    <row r="3425" customFormat="false" ht="15" hidden="false" customHeight="true" outlineLevel="0" collapsed="false">
      <c r="A3425" s="10" t="n">
        <f aca="false">Einstellungen!$B$5+INT((ROW()-9)/24)</f>
        <v>46108</v>
      </c>
      <c r="B3425" s="11" t="n">
        <f aca="false">MOD(ROW()-9,24)</f>
        <v>8</v>
      </c>
      <c r="C3425" s="12"/>
      <c r="D3425" s="13" t="n">
        <f aca="false">IF(B3425&lt;5,Einstellungen!$B$3,Einstellungen!$B$4)</f>
        <v>29.13</v>
      </c>
      <c r="E3425" s="14" t="str">
        <f aca="false">IF(C3425="","",C3425*D3425/100)</f>
        <v/>
      </c>
      <c r="F3425" s="15" t="str">
        <f aca="false">IF(B3425&lt;5,"Go","Standard")</f>
        <v>Standard</v>
      </c>
    </row>
    <row r="3426" customFormat="false" ht="15" hidden="false" customHeight="true" outlineLevel="0" collapsed="false">
      <c r="A3426" s="10" t="n">
        <f aca="false">Einstellungen!$B$5+INT((ROW()-9)/24)</f>
        <v>46108</v>
      </c>
      <c r="B3426" s="11" t="n">
        <f aca="false">MOD(ROW()-9,24)</f>
        <v>9</v>
      </c>
      <c r="C3426" s="12"/>
      <c r="D3426" s="13" t="n">
        <f aca="false">IF(B3426&lt;5,Einstellungen!$B$3,Einstellungen!$B$4)</f>
        <v>29.13</v>
      </c>
      <c r="E3426" s="14" t="str">
        <f aca="false">IF(C3426="","",C3426*D3426/100)</f>
        <v/>
      </c>
      <c r="F3426" s="15" t="str">
        <f aca="false">IF(B3426&lt;5,"Go","Standard")</f>
        <v>Standard</v>
      </c>
    </row>
    <row r="3427" customFormat="false" ht="15" hidden="false" customHeight="true" outlineLevel="0" collapsed="false">
      <c r="A3427" s="10" t="n">
        <f aca="false">Einstellungen!$B$5+INT((ROW()-9)/24)</f>
        <v>46108</v>
      </c>
      <c r="B3427" s="11" t="n">
        <f aca="false">MOD(ROW()-9,24)</f>
        <v>10</v>
      </c>
      <c r="C3427" s="12"/>
      <c r="D3427" s="13" t="n">
        <f aca="false">IF(B3427&lt;5,Einstellungen!$B$3,Einstellungen!$B$4)</f>
        <v>29.13</v>
      </c>
      <c r="E3427" s="14" t="str">
        <f aca="false">IF(C3427="","",C3427*D3427/100)</f>
        <v/>
      </c>
      <c r="F3427" s="15" t="str">
        <f aca="false">IF(B3427&lt;5,"Go","Standard")</f>
        <v>Standard</v>
      </c>
    </row>
    <row r="3428" customFormat="false" ht="15" hidden="false" customHeight="true" outlineLevel="0" collapsed="false">
      <c r="A3428" s="10" t="n">
        <f aca="false">Einstellungen!$B$5+INT((ROW()-9)/24)</f>
        <v>46108</v>
      </c>
      <c r="B3428" s="11" t="n">
        <f aca="false">MOD(ROW()-9,24)</f>
        <v>11</v>
      </c>
      <c r="C3428" s="12"/>
      <c r="D3428" s="13" t="n">
        <f aca="false">IF(B3428&lt;5,Einstellungen!$B$3,Einstellungen!$B$4)</f>
        <v>29.13</v>
      </c>
      <c r="E3428" s="14" t="str">
        <f aca="false">IF(C3428="","",C3428*D3428/100)</f>
        <v/>
      </c>
      <c r="F3428" s="15" t="str">
        <f aca="false">IF(B3428&lt;5,"Go","Standard")</f>
        <v>Standard</v>
      </c>
    </row>
    <row r="3429" customFormat="false" ht="15" hidden="false" customHeight="true" outlineLevel="0" collapsed="false">
      <c r="A3429" s="10" t="n">
        <f aca="false">Einstellungen!$B$5+INT((ROW()-9)/24)</f>
        <v>46108</v>
      </c>
      <c r="B3429" s="11" t="n">
        <f aca="false">MOD(ROW()-9,24)</f>
        <v>12</v>
      </c>
      <c r="C3429" s="12"/>
      <c r="D3429" s="13" t="n">
        <f aca="false">IF(B3429&lt;5,Einstellungen!$B$3,Einstellungen!$B$4)</f>
        <v>29.13</v>
      </c>
      <c r="E3429" s="14" t="str">
        <f aca="false">IF(C3429="","",C3429*D3429/100)</f>
        <v/>
      </c>
      <c r="F3429" s="15" t="str">
        <f aca="false">IF(B3429&lt;5,"Go","Standard")</f>
        <v>Standard</v>
      </c>
    </row>
    <row r="3430" customFormat="false" ht="15" hidden="false" customHeight="true" outlineLevel="0" collapsed="false">
      <c r="A3430" s="10" t="n">
        <f aca="false">Einstellungen!$B$5+INT((ROW()-9)/24)</f>
        <v>46108</v>
      </c>
      <c r="B3430" s="11" t="n">
        <f aca="false">MOD(ROW()-9,24)</f>
        <v>13</v>
      </c>
      <c r="C3430" s="12"/>
      <c r="D3430" s="13" t="n">
        <f aca="false">IF(B3430&lt;5,Einstellungen!$B$3,Einstellungen!$B$4)</f>
        <v>29.13</v>
      </c>
      <c r="E3430" s="14" t="str">
        <f aca="false">IF(C3430="","",C3430*D3430/100)</f>
        <v/>
      </c>
      <c r="F3430" s="15" t="str">
        <f aca="false">IF(B3430&lt;5,"Go","Standard")</f>
        <v>Standard</v>
      </c>
    </row>
    <row r="3431" customFormat="false" ht="15" hidden="false" customHeight="true" outlineLevel="0" collapsed="false">
      <c r="A3431" s="10" t="n">
        <f aca="false">Einstellungen!$B$5+INT((ROW()-9)/24)</f>
        <v>46108</v>
      </c>
      <c r="B3431" s="11" t="n">
        <f aca="false">MOD(ROW()-9,24)</f>
        <v>14</v>
      </c>
      <c r="C3431" s="12"/>
      <c r="D3431" s="13" t="n">
        <f aca="false">IF(B3431&lt;5,Einstellungen!$B$3,Einstellungen!$B$4)</f>
        <v>29.13</v>
      </c>
      <c r="E3431" s="14" t="str">
        <f aca="false">IF(C3431="","",C3431*D3431/100)</f>
        <v/>
      </c>
      <c r="F3431" s="15" t="str">
        <f aca="false">IF(B3431&lt;5,"Go","Standard")</f>
        <v>Standard</v>
      </c>
    </row>
    <row r="3432" customFormat="false" ht="15" hidden="false" customHeight="true" outlineLevel="0" collapsed="false">
      <c r="A3432" s="10" t="n">
        <f aca="false">Einstellungen!$B$5+INT((ROW()-9)/24)</f>
        <v>46108</v>
      </c>
      <c r="B3432" s="11" t="n">
        <f aca="false">MOD(ROW()-9,24)</f>
        <v>15</v>
      </c>
      <c r="C3432" s="12"/>
      <c r="D3432" s="13" t="n">
        <f aca="false">IF(B3432&lt;5,Einstellungen!$B$3,Einstellungen!$B$4)</f>
        <v>29.13</v>
      </c>
      <c r="E3432" s="14" t="str">
        <f aca="false">IF(C3432="","",C3432*D3432/100)</f>
        <v/>
      </c>
      <c r="F3432" s="15" t="str">
        <f aca="false">IF(B3432&lt;5,"Go","Standard")</f>
        <v>Standard</v>
      </c>
    </row>
    <row r="3433" customFormat="false" ht="15" hidden="false" customHeight="true" outlineLevel="0" collapsed="false">
      <c r="A3433" s="10" t="n">
        <f aca="false">Einstellungen!$B$5+INT((ROW()-9)/24)</f>
        <v>46108</v>
      </c>
      <c r="B3433" s="11" t="n">
        <f aca="false">MOD(ROW()-9,24)</f>
        <v>16</v>
      </c>
      <c r="C3433" s="12"/>
      <c r="D3433" s="13" t="n">
        <f aca="false">IF(B3433&lt;5,Einstellungen!$B$3,Einstellungen!$B$4)</f>
        <v>29.13</v>
      </c>
      <c r="E3433" s="14" t="str">
        <f aca="false">IF(C3433="","",C3433*D3433/100)</f>
        <v/>
      </c>
      <c r="F3433" s="15" t="str">
        <f aca="false">IF(B3433&lt;5,"Go","Standard")</f>
        <v>Standard</v>
      </c>
    </row>
    <row r="3434" customFormat="false" ht="15" hidden="false" customHeight="true" outlineLevel="0" collapsed="false">
      <c r="A3434" s="10" t="n">
        <f aca="false">Einstellungen!$B$5+INT((ROW()-9)/24)</f>
        <v>46108</v>
      </c>
      <c r="B3434" s="11" t="n">
        <f aca="false">MOD(ROW()-9,24)</f>
        <v>17</v>
      </c>
      <c r="C3434" s="12"/>
      <c r="D3434" s="13" t="n">
        <f aca="false">IF(B3434&lt;5,Einstellungen!$B$3,Einstellungen!$B$4)</f>
        <v>29.13</v>
      </c>
      <c r="E3434" s="14" t="str">
        <f aca="false">IF(C3434="","",C3434*D3434/100)</f>
        <v/>
      </c>
      <c r="F3434" s="15" t="str">
        <f aca="false">IF(B3434&lt;5,"Go","Standard")</f>
        <v>Standard</v>
      </c>
    </row>
    <row r="3435" customFormat="false" ht="15" hidden="false" customHeight="true" outlineLevel="0" collapsed="false">
      <c r="A3435" s="10" t="n">
        <f aca="false">Einstellungen!$B$5+INT((ROW()-9)/24)</f>
        <v>46108</v>
      </c>
      <c r="B3435" s="11" t="n">
        <f aca="false">MOD(ROW()-9,24)</f>
        <v>18</v>
      </c>
      <c r="C3435" s="12"/>
      <c r="D3435" s="13" t="n">
        <f aca="false">IF(B3435&lt;5,Einstellungen!$B$3,Einstellungen!$B$4)</f>
        <v>29.13</v>
      </c>
      <c r="E3435" s="14" t="str">
        <f aca="false">IF(C3435="","",C3435*D3435/100)</f>
        <v/>
      </c>
      <c r="F3435" s="15" t="str">
        <f aca="false">IF(B3435&lt;5,"Go","Standard")</f>
        <v>Standard</v>
      </c>
    </row>
    <row r="3436" customFormat="false" ht="15" hidden="false" customHeight="true" outlineLevel="0" collapsed="false">
      <c r="A3436" s="10" t="n">
        <f aca="false">Einstellungen!$B$5+INT((ROW()-9)/24)</f>
        <v>46108</v>
      </c>
      <c r="B3436" s="11" t="n">
        <f aca="false">MOD(ROW()-9,24)</f>
        <v>19</v>
      </c>
      <c r="C3436" s="12"/>
      <c r="D3436" s="13" t="n">
        <f aca="false">IF(B3436&lt;5,Einstellungen!$B$3,Einstellungen!$B$4)</f>
        <v>29.13</v>
      </c>
      <c r="E3436" s="14" t="str">
        <f aca="false">IF(C3436="","",C3436*D3436/100)</f>
        <v/>
      </c>
      <c r="F3436" s="15" t="str">
        <f aca="false">IF(B3436&lt;5,"Go","Standard")</f>
        <v>Standard</v>
      </c>
    </row>
    <row r="3437" customFormat="false" ht="15" hidden="false" customHeight="true" outlineLevel="0" collapsed="false">
      <c r="A3437" s="10" t="n">
        <f aca="false">Einstellungen!$B$5+INT((ROW()-9)/24)</f>
        <v>46108</v>
      </c>
      <c r="B3437" s="11" t="n">
        <f aca="false">MOD(ROW()-9,24)</f>
        <v>20</v>
      </c>
      <c r="C3437" s="12"/>
      <c r="D3437" s="13" t="n">
        <f aca="false">IF(B3437&lt;5,Einstellungen!$B$3,Einstellungen!$B$4)</f>
        <v>29.13</v>
      </c>
      <c r="E3437" s="14" t="str">
        <f aca="false">IF(C3437="","",C3437*D3437/100)</f>
        <v/>
      </c>
      <c r="F3437" s="15" t="str">
        <f aca="false">IF(B3437&lt;5,"Go","Standard")</f>
        <v>Standard</v>
      </c>
    </row>
    <row r="3438" customFormat="false" ht="15" hidden="false" customHeight="true" outlineLevel="0" collapsed="false">
      <c r="A3438" s="10" t="n">
        <f aca="false">Einstellungen!$B$5+INT((ROW()-9)/24)</f>
        <v>46108</v>
      </c>
      <c r="B3438" s="11" t="n">
        <f aca="false">MOD(ROW()-9,24)</f>
        <v>21</v>
      </c>
      <c r="C3438" s="12"/>
      <c r="D3438" s="13" t="n">
        <f aca="false">IF(B3438&lt;5,Einstellungen!$B$3,Einstellungen!$B$4)</f>
        <v>29.13</v>
      </c>
      <c r="E3438" s="14" t="str">
        <f aca="false">IF(C3438="","",C3438*D3438/100)</f>
        <v/>
      </c>
      <c r="F3438" s="15" t="str">
        <f aca="false">IF(B3438&lt;5,"Go","Standard")</f>
        <v>Standard</v>
      </c>
    </row>
    <row r="3439" customFormat="false" ht="15" hidden="false" customHeight="true" outlineLevel="0" collapsed="false">
      <c r="A3439" s="10" t="n">
        <f aca="false">Einstellungen!$B$5+INT((ROW()-9)/24)</f>
        <v>46108</v>
      </c>
      <c r="B3439" s="11" t="n">
        <f aca="false">MOD(ROW()-9,24)</f>
        <v>22</v>
      </c>
      <c r="C3439" s="12"/>
      <c r="D3439" s="13" t="n">
        <f aca="false">IF(B3439&lt;5,Einstellungen!$B$3,Einstellungen!$B$4)</f>
        <v>29.13</v>
      </c>
      <c r="E3439" s="14" t="str">
        <f aca="false">IF(C3439="","",C3439*D3439/100)</f>
        <v/>
      </c>
      <c r="F3439" s="15" t="str">
        <f aca="false">IF(B3439&lt;5,"Go","Standard")</f>
        <v>Standard</v>
      </c>
    </row>
    <row r="3440" customFormat="false" ht="15" hidden="false" customHeight="true" outlineLevel="0" collapsed="false">
      <c r="A3440" s="10" t="n">
        <f aca="false">Einstellungen!$B$5+INT((ROW()-9)/24)</f>
        <v>46108</v>
      </c>
      <c r="B3440" s="11" t="n">
        <f aca="false">MOD(ROW()-9,24)</f>
        <v>23</v>
      </c>
      <c r="C3440" s="12"/>
      <c r="D3440" s="13" t="n">
        <f aca="false">IF(B3440&lt;5,Einstellungen!$B$3,Einstellungen!$B$4)</f>
        <v>29.13</v>
      </c>
      <c r="E3440" s="14" t="str">
        <f aca="false">IF(C3440="","",C3440*D3440/100)</f>
        <v/>
      </c>
      <c r="F3440" s="15" t="str">
        <f aca="false">IF(B3440&lt;5,"Go","Standard")</f>
        <v>Standard</v>
      </c>
    </row>
    <row r="3441" customFormat="false" ht="15" hidden="false" customHeight="true" outlineLevel="0" collapsed="false">
      <c r="A3441" s="10" t="n">
        <f aca="false">Einstellungen!$B$5+INT((ROW()-9)/24)</f>
        <v>46109</v>
      </c>
      <c r="B3441" s="11" t="n">
        <f aca="false">MOD(ROW()-9,24)</f>
        <v>0</v>
      </c>
      <c r="C3441" s="12"/>
      <c r="D3441" s="13" t="n">
        <f aca="false">IF(B3441&lt;5,Einstellungen!$B$3,Einstellungen!$B$4)</f>
        <v>15.92</v>
      </c>
      <c r="E3441" s="14" t="str">
        <f aca="false">IF(C3441="","",C3441*D3441/100)</f>
        <v/>
      </c>
      <c r="F3441" s="15" t="str">
        <f aca="false">IF(B3441&lt;5,"Go","Standard")</f>
        <v>Go</v>
      </c>
    </row>
    <row r="3442" customFormat="false" ht="15" hidden="false" customHeight="true" outlineLevel="0" collapsed="false">
      <c r="A3442" s="10" t="n">
        <f aca="false">Einstellungen!$B$5+INT((ROW()-9)/24)</f>
        <v>46109</v>
      </c>
      <c r="B3442" s="11" t="n">
        <f aca="false">MOD(ROW()-9,24)</f>
        <v>1</v>
      </c>
      <c r="C3442" s="12"/>
      <c r="D3442" s="13" t="n">
        <f aca="false">IF(B3442&lt;5,Einstellungen!$B$3,Einstellungen!$B$4)</f>
        <v>15.92</v>
      </c>
      <c r="E3442" s="14" t="str">
        <f aca="false">IF(C3442="","",C3442*D3442/100)</f>
        <v/>
      </c>
      <c r="F3442" s="15" t="str">
        <f aca="false">IF(B3442&lt;5,"Go","Standard")</f>
        <v>Go</v>
      </c>
    </row>
    <row r="3443" customFormat="false" ht="15" hidden="false" customHeight="true" outlineLevel="0" collapsed="false">
      <c r="A3443" s="10" t="n">
        <f aca="false">Einstellungen!$B$5+INT((ROW()-9)/24)</f>
        <v>46109</v>
      </c>
      <c r="B3443" s="11" t="n">
        <f aca="false">MOD(ROW()-9,24)</f>
        <v>2</v>
      </c>
      <c r="C3443" s="12"/>
      <c r="D3443" s="13" t="n">
        <f aca="false">IF(B3443&lt;5,Einstellungen!$B$3,Einstellungen!$B$4)</f>
        <v>15.92</v>
      </c>
      <c r="E3443" s="14" t="str">
        <f aca="false">IF(C3443="","",C3443*D3443/100)</f>
        <v/>
      </c>
      <c r="F3443" s="15" t="str">
        <f aca="false">IF(B3443&lt;5,"Go","Standard")</f>
        <v>Go</v>
      </c>
    </row>
    <row r="3444" customFormat="false" ht="15" hidden="false" customHeight="true" outlineLevel="0" collapsed="false">
      <c r="A3444" s="10" t="n">
        <f aca="false">Einstellungen!$B$5+INT((ROW()-9)/24)</f>
        <v>46109</v>
      </c>
      <c r="B3444" s="11" t="n">
        <f aca="false">MOD(ROW()-9,24)</f>
        <v>3</v>
      </c>
      <c r="C3444" s="12"/>
      <c r="D3444" s="13" t="n">
        <f aca="false">IF(B3444&lt;5,Einstellungen!$B$3,Einstellungen!$B$4)</f>
        <v>15.92</v>
      </c>
      <c r="E3444" s="14" t="str">
        <f aca="false">IF(C3444="","",C3444*D3444/100)</f>
        <v/>
      </c>
      <c r="F3444" s="15" t="str">
        <f aca="false">IF(B3444&lt;5,"Go","Standard")</f>
        <v>Go</v>
      </c>
    </row>
    <row r="3445" customFormat="false" ht="15" hidden="false" customHeight="true" outlineLevel="0" collapsed="false">
      <c r="A3445" s="10" t="n">
        <f aca="false">Einstellungen!$B$5+INT((ROW()-9)/24)</f>
        <v>46109</v>
      </c>
      <c r="B3445" s="11" t="n">
        <f aca="false">MOD(ROW()-9,24)</f>
        <v>4</v>
      </c>
      <c r="C3445" s="12"/>
      <c r="D3445" s="13" t="n">
        <f aca="false">IF(B3445&lt;5,Einstellungen!$B$3,Einstellungen!$B$4)</f>
        <v>15.92</v>
      </c>
      <c r="E3445" s="14" t="str">
        <f aca="false">IF(C3445="","",C3445*D3445/100)</f>
        <v/>
      </c>
      <c r="F3445" s="15" t="str">
        <f aca="false">IF(B3445&lt;5,"Go","Standard")</f>
        <v>Go</v>
      </c>
    </row>
    <row r="3446" customFormat="false" ht="15" hidden="false" customHeight="true" outlineLevel="0" collapsed="false">
      <c r="A3446" s="10" t="n">
        <f aca="false">Einstellungen!$B$5+INT((ROW()-9)/24)</f>
        <v>46109</v>
      </c>
      <c r="B3446" s="11" t="n">
        <f aca="false">MOD(ROW()-9,24)</f>
        <v>5</v>
      </c>
      <c r="C3446" s="12"/>
      <c r="D3446" s="13" t="n">
        <f aca="false">IF(B3446&lt;5,Einstellungen!$B$3,Einstellungen!$B$4)</f>
        <v>29.13</v>
      </c>
      <c r="E3446" s="14" t="str">
        <f aca="false">IF(C3446="","",C3446*D3446/100)</f>
        <v/>
      </c>
      <c r="F3446" s="15" t="str">
        <f aca="false">IF(B3446&lt;5,"Go","Standard")</f>
        <v>Standard</v>
      </c>
    </row>
    <row r="3447" customFormat="false" ht="15" hidden="false" customHeight="true" outlineLevel="0" collapsed="false">
      <c r="A3447" s="10" t="n">
        <f aca="false">Einstellungen!$B$5+INT((ROW()-9)/24)</f>
        <v>46109</v>
      </c>
      <c r="B3447" s="11" t="n">
        <f aca="false">MOD(ROW()-9,24)</f>
        <v>6</v>
      </c>
      <c r="C3447" s="12"/>
      <c r="D3447" s="13" t="n">
        <f aca="false">IF(B3447&lt;5,Einstellungen!$B$3,Einstellungen!$B$4)</f>
        <v>29.13</v>
      </c>
      <c r="E3447" s="14" t="str">
        <f aca="false">IF(C3447="","",C3447*D3447/100)</f>
        <v/>
      </c>
      <c r="F3447" s="15" t="str">
        <f aca="false">IF(B3447&lt;5,"Go","Standard")</f>
        <v>Standard</v>
      </c>
    </row>
    <row r="3448" customFormat="false" ht="15" hidden="false" customHeight="true" outlineLevel="0" collapsed="false">
      <c r="A3448" s="10" t="n">
        <f aca="false">Einstellungen!$B$5+INT((ROW()-9)/24)</f>
        <v>46109</v>
      </c>
      <c r="B3448" s="11" t="n">
        <f aca="false">MOD(ROW()-9,24)</f>
        <v>7</v>
      </c>
      <c r="C3448" s="12"/>
      <c r="D3448" s="13" t="n">
        <f aca="false">IF(B3448&lt;5,Einstellungen!$B$3,Einstellungen!$B$4)</f>
        <v>29.13</v>
      </c>
      <c r="E3448" s="14" t="str">
        <f aca="false">IF(C3448="","",C3448*D3448/100)</f>
        <v/>
      </c>
      <c r="F3448" s="15" t="str">
        <f aca="false">IF(B3448&lt;5,"Go","Standard")</f>
        <v>Standard</v>
      </c>
    </row>
    <row r="3449" customFormat="false" ht="15" hidden="false" customHeight="true" outlineLevel="0" collapsed="false">
      <c r="A3449" s="10" t="n">
        <f aca="false">Einstellungen!$B$5+INT((ROW()-9)/24)</f>
        <v>46109</v>
      </c>
      <c r="B3449" s="11" t="n">
        <f aca="false">MOD(ROW()-9,24)</f>
        <v>8</v>
      </c>
      <c r="C3449" s="12"/>
      <c r="D3449" s="13" t="n">
        <f aca="false">IF(B3449&lt;5,Einstellungen!$B$3,Einstellungen!$B$4)</f>
        <v>29.13</v>
      </c>
      <c r="E3449" s="14" t="str">
        <f aca="false">IF(C3449="","",C3449*D3449/100)</f>
        <v/>
      </c>
      <c r="F3449" s="15" t="str">
        <f aca="false">IF(B3449&lt;5,"Go","Standard")</f>
        <v>Standard</v>
      </c>
    </row>
    <row r="3450" customFormat="false" ht="15" hidden="false" customHeight="true" outlineLevel="0" collapsed="false">
      <c r="A3450" s="10" t="n">
        <f aca="false">Einstellungen!$B$5+INT((ROW()-9)/24)</f>
        <v>46109</v>
      </c>
      <c r="B3450" s="11" t="n">
        <f aca="false">MOD(ROW()-9,24)</f>
        <v>9</v>
      </c>
      <c r="C3450" s="12"/>
      <c r="D3450" s="13" t="n">
        <f aca="false">IF(B3450&lt;5,Einstellungen!$B$3,Einstellungen!$B$4)</f>
        <v>29.13</v>
      </c>
      <c r="E3450" s="14" t="str">
        <f aca="false">IF(C3450="","",C3450*D3450/100)</f>
        <v/>
      </c>
      <c r="F3450" s="15" t="str">
        <f aca="false">IF(B3450&lt;5,"Go","Standard")</f>
        <v>Standard</v>
      </c>
    </row>
    <row r="3451" customFormat="false" ht="15" hidden="false" customHeight="true" outlineLevel="0" collapsed="false">
      <c r="A3451" s="10" t="n">
        <f aca="false">Einstellungen!$B$5+INT((ROW()-9)/24)</f>
        <v>46109</v>
      </c>
      <c r="B3451" s="11" t="n">
        <f aca="false">MOD(ROW()-9,24)</f>
        <v>10</v>
      </c>
      <c r="C3451" s="12"/>
      <c r="D3451" s="13" t="n">
        <f aca="false">IF(B3451&lt;5,Einstellungen!$B$3,Einstellungen!$B$4)</f>
        <v>29.13</v>
      </c>
      <c r="E3451" s="14" t="str">
        <f aca="false">IF(C3451="","",C3451*D3451/100)</f>
        <v/>
      </c>
      <c r="F3451" s="15" t="str">
        <f aca="false">IF(B3451&lt;5,"Go","Standard")</f>
        <v>Standard</v>
      </c>
    </row>
    <row r="3452" customFormat="false" ht="15" hidden="false" customHeight="true" outlineLevel="0" collapsed="false">
      <c r="A3452" s="10" t="n">
        <f aca="false">Einstellungen!$B$5+INT((ROW()-9)/24)</f>
        <v>46109</v>
      </c>
      <c r="B3452" s="11" t="n">
        <f aca="false">MOD(ROW()-9,24)</f>
        <v>11</v>
      </c>
      <c r="C3452" s="12"/>
      <c r="D3452" s="13" t="n">
        <f aca="false">IF(B3452&lt;5,Einstellungen!$B$3,Einstellungen!$B$4)</f>
        <v>29.13</v>
      </c>
      <c r="E3452" s="14" t="str">
        <f aca="false">IF(C3452="","",C3452*D3452/100)</f>
        <v/>
      </c>
      <c r="F3452" s="15" t="str">
        <f aca="false">IF(B3452&lt;5,"Go","Standard")</f>
        <v>Standard</v>
      </c>
    </row>
    <row r="3453" customFormat="false" ht="15" hidden="false" customHeight="true" outlineLevel="0" collapsed="false">
      <c r="A3453" s="10" t="n">
        <f aca="false">Einstellungen!$B$5+INT((ROW()-9)/24)</f>
        <v>46109</v>
      </c>
      <c r="B3453" s="11" t="n">
        <f aca="false">MOD(ROW()-9,24)</f>
        <v>12</v>
      </c>
      <c r="C3453" s="12"/>
      <c r="D3453" s="13" t="n">
        <f aca="false">IF(B3453&lt;5,Einstellungen!$B$3,Einstellungen!$B$4)</f>
        <v>29.13</v>
      </c>
      <c r="E3453" s="14" t="str">
        <f aca="false">IF(C3453="","",C3453*D3453/100)</f>
        <v/>
      </c>
      <c r="F3453" s="15" t="str">
        <f aca="false">IF(B3453&lt;5,"Go","Standard")</f>
        <v>Standard</v>
      </c>
    </row>
    <row r="3454" customFormat="false" ht="15" hidden="false" customHeight="true" outlineLevel="0" collapsed="false">
      <c r="A3454" s="10" t="n">
        <f aca="false">Einstellungen!$B$5+INT((ROW()-9)/24)</f>
        <v>46109</v>
      </c>
      <c r="B3454" s="11" t="n">
        <f aca="false">MOD(ROW()-9,24)</f>
        <v>13</v>
      </c>
      <c r="C3454" s="12"/>
      <c r="D3454" s="13" t="n">
        <f aca="false">IF(B3454&lt;5,Einstellungen!$B$3,Einstellungen!$B$4)</f>
        <v>29.13</v>
      </c>
      <c r="E3454" s="14" t="str">
        <f aca="false">IF(C3454="","",C3454*D3454/100)</f>
        <v/>
      </c>
      <c r="F3454" s="15" t="str">
        <f aca="false">IF(B3454&lt;5,"Go","Standard")</f>
        <v>Standard</v>
      </c>
    </row>
    <row r="3455" customFormat="false" ht="15" hidden="false" customHeight="true" outlineLevel="0" collapsed="false">
      <c r="A3455" s="10" t="n">
        <f aca="false">Einstellungen!$B$5+INT((ROW()-9)/24)</f>
        <v>46109</v>
      </c>
      <c r="B3455" s="11" t="n">
        <f aca="false">MOD(ROW()-9,24)</f>
        <v>14</v>
      </c>
      <c r="C3455" s="12"/>
      <c r="D3455" s="13" t="n">
        <f aca="false">IF(B3455&lt;5,Einstellungen!$B$3,Einstellungen!$B$4)</f>
        <v>29.13</v>
      </c>
      <c r="E3455" s="14" t="str">
        <f aca="false">IF(C3455="","",C3455*D3455/100)</f>
        <v/>
      </c>
      <c r="F3455" s="15" t="str">
        <f aca="false">IF(B3455&lt;5,"Go","Standard")</f>
        <v>Standard</v>
      </c>
    </row>
    <row r="3456" customFormat="false" ht="15" hidden="false" customHeight="true" outlineLevel="0" collapsed="false">
      <c r="A3456" s="10" t="n">
        <f aca="false">Einstellungen!$B$5+INT((ROW()-9)/24)</f>
        <v>46109</v>
      </c>
      <c r="B3456" s="11" t="n">
        <f aca="false">MOD(ROW()-9,24)</f>
        <v>15</v>
      </c>
      <c r="C3456" s="12"/>
      <c r="D3456" s="13" t="n">
        <f aca="false">IF(B3456&lt;5,Einstellungen!$B$3,Einstellungen!$B$4)</f>
        <v>29.13</v>
      </c>
      <c r="E3456" s="14" t="str">
        <f aca="false">IF(C3456="","",C3456*D3456/100)</f>
        <v/>
      </c>
      <c r="F3456" s="15" t="str">
        <f aca="false">IF(B3456&lt;5,"Go","Standard")</f>
        <v>Standard</v>
      </c>
    </row>
    <row r="3457" customFormat="false" ht="15" hidden="false" customHeight="true" outlineLevel="0" collapsed="false">
      <c r="A3457" s="10" t="n">
        <f aca="false">Einstellungen!$B$5+INT((ROW()-9)/24)</f>
        <v>46109</v>
      </c>
      <c r="B3457" s="11" t="n">
        <f aca="false">MOD(ROW()-9,24)</f>
        <v>16</v>
      </c>
      <c r="C3457" s="12"/>
      <c r="D3457" s="13" t="n">
        <f aca="false">IF(B3457&lt;5,Einstellungen!$B$3,Einstellungen!$B$4)</f>
        <v>29.13</v>
      </c>
      <c r="E3457" s="14" t="str">
        <f aca="false">IF(C3457="","",C3457*D3457/100)</f>
        <v/>
      </c>
      <c r="F3457" s="15" t="str">
        <f aca="false">IF(B3457&lt;5,"Go","Standard")</f>
        <v>Standard</v>
      </c>
    </row>
    <row r="3458" customFormat="false" ht="15" hidden="false" customHeight="true" outlineLevel="0" collapsed="false">
      <c r="A3458" s="10" t="n">
        <f aca="false">Einstellungen!$B$5+INT((ROW()-9)/24)</f>
        <v>46109</v>
      </c>
      <c r="B3458" s="11" t="n">
        <f aca="false">MOD(ROW()-9,24)</f>
        <v>17</v>
      </c>
      <c r="C3458" s="12"/>
      <c r="D3458" s="13" t="n">
        <f aca="false">IF(B3458&lt;5,Einstellungen!$B$3,Einstellungen!$B$4)</f>
        <v>29.13</v>
      </c>
      <c r="E3458" s="14" t="str">
        <f aca="false">IF(C3458="","",C3458*D3458/100)</f>
        <v/>
      </c>
      <c r="F3458" s="15" t="str">
        <f aca="false">IF(B3458&lt;5,"Go","Standard")</f>
        <v>Standard</v>
      </c>
    </row>
    <row r="3459" customFormat="false" ht="15" hidden="false" customHeight="true" outlineLevel="0" collapsed="false">
      <c r="A3459" s="10" t="n">
        <f aca="false">Einstellungen!$B$5+INT((ROW()-9)/24)</f>
        <v>46109</v>
      </c>
      <c r="B3459" s="11" t="n">
        <f aca="false">MOD(ROW()-9,24)</f>
        <v>18</v>
      </c>
      <c r="C3459" s="12"/>
      <c r="D3459" s="13" t="n">
        <f aca="false">IF(B3459&lt;5,Einstellungen!$B$3,Einstellungen!$B$4)</f>
        <v>29.13</v>
      </c>
      <c r="E3459" s="14" t="str">
        <f aca="false">IF(C3459="","",C3459*D3459/100)</f>
        <v/>
      </c>
      <c r="F3459" s="15" t="str">
        <f aca="false">IF(B3459&lt;5,"Go","Standard")</f>
        <v>Standard</v>
      </c>
    </row>
    <row r="3460" customFormat="false" ht="15" hidden="false" customHeight="true" outlineLevel="0" collapsed="false">
      <c r="A3460" s="10" t="n">
        <f aca="false">Einstellungen!$B$5+INT((ROW()-9)/24)</f>
        <v>46109</v>
      </c>
      <c r="B3460" s="11" t="n">
        <f aca="false">MOD(ROW()-9,24)</f>
        <v>19</v>
      </c>
      <c r="C3460" s="12"/>
      <c r="D3460" s="13" t="n">
        <f aca="false">IF(B3460&lt;5,Einstellungen!$B$3,Einstellungen!$B$4)</f>
        <v>29.13</v>
      </c>
      <c r="E3460" s="14" t="str">
        <f aca="false">IF(C3460="","",C3460*D3460/100)</f>
        <v/>
      </c>
      <c r="F3460" s="15" t="str">
        <f aca="false">IF(B3460&lt;5,"Go","Standard")</f>
        <v>Standard</v>
      </c>
    </row>
    <row r="3461" customFormat="false" ht="15" hidden="false" customHeight="true" outlineLevel="0" collapsed="false">
      <c r="A3461" s="10" t="n">
        <f aca="false">Einstellungen!$B$5+INT((ROW()-9)/24)</f>
        <v>46109</v>
      </c>
      <c r="B3461" s="11" t="n">
        <f aca="false">MOD(ROW()-9,24)</f>
        <v>20</v>
      </c>
      <c r="C3461" s="12"/>
      <c r="D3461" s="13" t="n">
        <f aca="false">IF(B3461&lt;5,Einstellungen!$B$3,Einstellungen!$B$4)</f>
        <v>29.13</v>
      </c>
      <c r="E3461" s="14" t="str">
        <f aca="false">IF(C3461="","",C3461*D3461/100)</f>
        <v/>
      </c>
      <c r="F3461" s="15" t="str">
        <f aca="false">IF(B3461&lt;5,"Go","Standard")</f>
        <v>Standard</v>
      </c>
    </row>
    <row r="3462" customFormat="false" ht="15" hidden="false" customHeight="true" outlineLevel="0" collapsed="false">
      <c r="A3462" s="10" t="n">
        <f aca="false">Einstellungen!$B$5+INT((ROW()-9)/24)</f>
        <v>46109</v>
      </c>
      <c r="B3462" s="11" t="n">
        <f aca="false">MOD(ROW()-9,24)</f>
        <v>21</v>
      </c>
      <c r="C3462" s="12"/>
      <c r="D3462" s="13" t="n">
        <f aca="false">IF(B3462&lt;5,Einstellungen!$B$3,Einstellungen!$B$4)</f>
        <v>29.13</v>
      </c>
      <c r="E3462" s="14" t="str">
        <f aca="false">IF(C3462="","",C3462*D3462/100)</f>
        <v/>
      </c>
      <c r="F3462" s="15" t="str">
        <f aca="false">IF(B3462&lt;5,"Go","Standard")</f>
        <v>Standard</v>
      </c>
    </row>
    <row r="3463" customFormat="false" ht="15" hidden="false" customHeight="true" outlineLevel="0" collapsed="false">
      <c r="A3463" s="10" t="n">
        <f aca="false">Einstellungen!$B$5+INT((ROW()-9)/24)</f>
        <v>46109</v>
      </c>
      <c r="B3463" s="11" t="n">
        <f aca="false">MOD(ROW()-9,24)</f>
        <v>22</v>
      </c>
      <c r="C3463" s="12"/>
      <c r="D3463" s="13" t="n">
        <f aca="false">IF(B3463&lt;5,Einstellungen!$B$3,Einstellungen!$B$4)</f>
        <v>29.13</v>
      </c>
      <c r="E3463" s="14" t="str">
        <f aca="false">IF(C3463="","",C3463*D3463/100)</f>
        <v/>
      </c>
      <c r="F3463" s="15" t="str">
        <f aca="false">IF(B3463&lt;5,"Go","Standard")</f>
        <v>Standard</v>
      </c>
    </row>
    <row r="3464" customFormat="false" ht="15" hidden="false" customHeight="true" outlineLevel="0" collapsed="false">
      <c r="A3464" s="10" t="n">
        <f aca="false">Einstellungen!$B$5+INT((ROW()-9)/24)</f>
        <v>46109</v>
      </c>
      <c r="B3464" s="11" t="n">
        <f aca="false">MOD(ROW()-9,24)</f>
        <v>23</v>
      </c>
      <c r="C3464" s="12"/>
      <c r="D3464" s="13" t="n">
        <f aca="false">IF(B3464&lt;5,Einstellungen!$B$3,Einstellungen!$B$4)</f>
        <v>29.13</v>
      </c>
      <c r="E3464" s="14" t="str">
        <f aca="false">IF(C3464="","",C3464*D3464/100)</f>
        <v/>
      </c>
      <c r="F3464" s="15" t="str">
        <f aca="false">IF(B3464&lt;5,"Go","Standard")</f>
        <v>Standard</v>
      </c>
    </row>
    <row r="3465" customFormat="false" ht="15" hidden="false" customHeight="true" outlineLevel="0" collapsed="false">
      <c r="A3465" s="10" t="n">
        <f aca="false">Einstellungen!$B$5+INT((ROW()-9)/24)</f>
        <v>46110</v>
      </c>
      <c r="B3465" s="11" t="n">
        <f aca="false">MOD(ROW()-9,24)</f>
        <v>0</v>
      </c>
      <c r="C3465" s="12"/>
      <c r="D3465" s="13" t="n">
        <f aca="false">IF(B3465&lt;5,Einstellungen!$B$3,Einstellungen!$B$4)</f>
        <v>15.92</v>
      </c>
      <c r="E3465" s="14" t="str">
        <f aca="false">IF(C3465="","",C3465*D3465/100)</f>
        <v/>
      </c>
      <c r="F3465" s="15" t="str">
        <f aca="false">IF(B3465&lt;5,"Go","Standard")</f>
        <v>Go</v>
      </c>
    </row>
    <row r="3466" customFormat="false" ht="15" hidden="false" customHeight="true" outlineLevel="0" collapsed="false">
      <c r="A3466" s="10" t="n">
        <f aca="false">Einstellungen!$B$5+INT((ROW()-9)/24)</f>
        <v>46110</v>
      </c>
      <c r="B3466" s="11" t="n">
        <f aca="false">MOD(ROW()-9,24)</f>
        <v>1</v>
      </c>
      <c r="C3466" s="12"/>
      <c r="D3466" s="13" t="n">
        <f aca="false">IF(B3466&lt;5,Einstellungen!$B$3,Einstellungen!$B$4)</f>
        <v>15.92</v>
      </c>
      <c r="E3466" s="14" t="str">
        <f aca="false">IF(C3466="","",C3466*D3466/100)</f>
        <v/>
      </c>
      <c r="F3466" s="15" t="str">
        <f aca="false">IF(B3466&lt;5,"Go","Standard")</f>
        <v>Go</v>
      </c>
    </row>
    <row r="3467" customFormat="false" ht="15" hidden="false" customHeight="true" outlineLevel="0" collapsed="false">
      <c r="A3467" s="10" t="n">
        <f aca="false">Einstellungen!$B$5+INT((ROW()-9)/24)</f>
        <v>46110</v>
      </c>
      <c r="B3467" s="11" t="n">
        <f aca="false">MOD(ROW()-9,24)</f>
        <v>2</v>
      </c>
      <c r="C3467" s="12"/>
      <c r="D3467" s="13" t="n">
        <f aca="false">IF(B3467&lt;5,Einstellungen!$B$3,Einstellungen!$B$4)</f>
        <v>15.92</v>
      </c>
      <c r="E3467" s="14" t="str">
        <f aca="false">IF(C3467="","",C3467*D3467/100)</f>
        <v/>
      </c>
      <c r="F3467" s="15" t="str">
        <f aca="false">IF(B3467&lt;5,"Go","Standard")</f>
        <v>Go</v>
      </c>
    </row>
    <row r="3468" customFormat="false" ht="15" hidden="false" customHeight="true" outlineLevel="0" collapsed="false">
      <c r="A3468" s="10" t="n">
        <f aca="false">Einstellungen!$B$5+INT((ROW()-9)/24)</f>
        <v>46110</v>
      </c>
      <c r="B3468" s="11" t="n">
        <f aca="false">MOD(ROW()-9,24)</f>
        <v>3</v>
      </c>
      <c r="C3468" s="12"/>
      <c r="D3468" s="13" t="n">
        <f aca="false">IF(B3468&lt;5,Einstellungen!$B$3,Einstellungen!$B$4)</f>
        <v>15.92</v>
      </c>
      <c r="E3468" s="14" t="str">
        <f aca="false">IF(C3468="","",C3468*D3468/100)</f>
        <v/>
      </c>
      <c r="F3468" s="15" t="str">
        <f aca="false">IF(B3468&lt;5,"Go","Standard")</f>
        <v>Go</v>
      </c>
    </row>
    <row r="3469" customFormat="false" ht="15" hidden="false" customHeight="true" outlineLevel="0" collapsed="false">
      <c r="A3469" s="10" t="n">
        <f aca="false">Einstellungen!$B$5+INT((ROW()-9)/24)</f>
        <v>46110</v>
      </c>
      <c r="B3469" s="11" t="n">
        <f aca="false">MOD(ROW()-9,24)</f>
        <v>4</v>
      </c>
      <c r="C3469" s="12"/>
      <c r="D3469" s="13" t="n">
        <f aca="false">IF(B3469&lt;5,Einstellungen!$B$3,Einstellungen!$B$4)</f>
        <v>15.92</v>
      </c>
      <c r="E3469" s="14" t="str">
        <f aca="false">IF(C3469="","",C3469*D3469/100)</f>
        <v/>
      </c>
      <c r="F3469" s="15" t="str">
        <f aca="false">IF(B3469&lt;5,"Go","Standard")</f>
        <v>Go</v>
      </c>
    </row>
    <row r="3470" customFormat="false" ht="15" hidden="false" customHeight="true" outlineLevel="0" collapsed="false">
      <c r="A3470" s="10" t="n">
        <f aca="false">Einstellungen!$B$5+INT((ROW()-9)/24)</f>
        <v>46110</v>
      </c>
      <c r="B3470" s="11" t="n">
        <f aca="false">MOD(ROW()-9,24)</f>
        <v>5</v>
      </c>
      <c r="C3470" s="12"/>
      <c r="D3470" s="13" t="n">
        <f aca="false">IF(B3470&lt;5,Einstellungen!$B$3,Einstellungen!$B$4)</f>
        <v>29.13</v>
      </c>
      <c r="E3470" s="14" t="str">
        <f aca="false">IF(C3470="","",C3470*D3470/100)</f>
        <v/>
      </c>
      <c r="F3470" s="15" t="str">
        <f aca="false">IF(B3470&lt;5,"Go","Standard")</f>
        <v>Standard</v>
      </c>
    </row>
    <row r="3471" customFormat="false" ht="15" hidden="false" customHeight="true" outlineLevel="0" collapsed="false">
      <c r="A3471" s="10" t="n">
        <f aca="false">Einstellungen!$B$5+INT((ROW()-9)/24)</f>
        <v>46110</v>
      </c>
      <c r="B3471" s="11" t="n">
        <f aca="false">MOD(ROW()-9,24)</f>
        <v>6</v>
      </c>
      <c r="C3471" s="12"/>
      <c r="D3471" s="13" t="n">
        <f aca="false">IF(B3471&lt;5,Einstellungen!$B$3,Einstellungen!$B$4)</f>
        <v>29.13</v>
      </c>
      <c r="E3471" s="14" t="str">
        <f aca="false">IF(C3471="","",C3471*D3471/100)</f>
        <v/>
      </c>
      <c r="F3471" s="15" t="str">
        <f aca="false">IF(B3471&lt;5,"Go","Standard")</f>
        <v>Standard</v>
      </c>
    </row>
    <row r="3472" customFormat="false" ht="15" hidden="false" customHeight="true" outlineLevel="0" collapsed="false">
      <c r="A3472" s="10" t="n">
        <f aca="false">Einstellungen!$B$5+INT((ROW()-9)/24)</f>
        <v>46110</v>
      </c>
      <c r="B3472" s="11" t="n">
        <f aca="false">MOD(ROW()-9,24)</f>
        <v>7</v>
      </c>
      <c r="C3472" s="12"/>
      <c r="D3472" s="13" t="n">
        <f aca="false">IF(B3472&lt;5,Einstellungen!$B$3,Einstellungen!$B$4)</f>
        <v>29.13</v>
      </c>
      <c r="E3472" s="14" t="str">
        <f aca="false">IF(C3472="","",C3472*D3472/100)</f>
        <v/>
      </c>
      <c r="F3472" s="15" t="str">
        <f aca="false">IF(B3472&lt;5,"Go","Standard")</f>
        <v>Standard</v>
      </c>
    </row>
    <row r="3473" customFormat="false" ht="15" hidden="false" customHeight="true" outlineLevel="0" collapsed="false">
      <c r="A3473" s="10" t="n">
        <f aca="false">Einstellungen!$B$5+INT((ROW()-9)/24)</f>
        <v>46110</v>
      </c>
      <c r="B3473" s="11" t="n">
        <f aca="false">MOD(ROW()-9,24)</f>
        <v>8</v>
      </c>
      <c r="C3473" s="12"/>
      <c r="D3473" s="13" t="n">
        <f aca="false">IF(B3473&lt;5,Einstellungen!$B$3,Einstellungen!$B$4)</f>
        <v>29.13</v>
      </c>
      <c r="E3473" s="14" t="str">
        <f aca="false">IF(C3473="","",C3473*D3473/100)</f>
        <v/>
      </c>
      <c r="F3473" s="15" t="str">
        <f aca="false">IF(B3473&lt;5,"Go","Standard")</f>
        <v>Standard</v>
      </c>
    </row>
    <row r="3474" customFormat="false" ht="15" hidden="false" customHeight="true" outlineLevel="0" collapsed="false">
      <c r="A3474" s="10" t="n">
        <f aca="false">Einstellungen!$B$5+INT((ROW()-9)/24)</f>
        <v>46110</v>
      </c>
      <c r="B3474" s="11" t="n">
        <f aca="false">MOD(ROW()-9,24)</f>
        <v>9</v>
      </c>
      <c r="C3474" s="12"/>
      <c r="D3474" s="13" t="n">
        <f aca="false">IF(B3474&lt;5,Einstellungen!$B$3,Einstellungen!$B$4)</f>
        <v>29.13</v>
      </c>
      <c r="E3474" s="14" t="str">
        <f aca="false">IF(C3474="","",C3474*D3474/100)</f>
        <v/>
      </c>
      <c r="F3474" s="15" t="str">
        <f aca="false">IF(B3474&lt;5,"Go","Standard")</f>
        <v>Standard</v>
      </c>
    </row>
    <row r="3475" customFormat="false" ht="15" hidden="false" customHeight="true" outlineLevel="0" collapsed="false">
      <c r="A3475" s="10" t="n">
        <f aca="false">Einstellungen!$B$5+INT((ROW()-9)/24)</f>
        <v>46110</v>
      </c>
      <c r="B3475" s="11" t="n">
        <f aca="false">MOD(ROW()-9,24)</f>
        <v>10</v>
      </c>
      <c r="C3475" s="12"/>
      <c r="D3475" s="13" t="n">
        <f aca="false">IF(B3475&lt;5,Einstellungen!$B$3,Einstellungen!$B$4)</f>
        <v>29.13</v>
      </c>
      <c r="E3475" s="14" t="str">
        <f aca="false">IF(C3475="","",C3475*D3475/100)</f>
        <v/>
      </c>
      <c r="F3475" s="15" t="str">
        <f aca="false">IF(B3475&lt;5,"Go","Standard")</f>
        <v>Standard</v>
      </c>
    </row>
    <row r="3476" customFormat="false" ht="15" hidden="false" customHeight="true" outlineLevel="0" collapsed="false">
      <c r="A3476" s="10" t="n">
        <f aca="false">Einstellungen!$B$5+INT((ROW()-9)/24)</f>
        <v>46110</v>
      </c>
      <c r="B3476" s="11" t="n">
        <f aca="false">MOD(ROW()-9,24)</f>
        <v>11</v>
      </c>
      <c r="C3476" s="12"/>
      <c r="D3476" s="13" t="n">
        <f aca="false">IF(B3476&lt;5,Einstellungen!$B$3,Einstellungen!$B$4)</f>
        <v>29.13</v>
      </c>
      <c r="E3476" s="14" t="str">
        <f aca="false">IF(C3476="","",C3476*D3476/100)</f>
        <v/>
      </c>
      <c r="F3476" s="15" t="str">
        <f aca="false">IF(B3476&lt;5,"Go","Standard")</f>
        <v>Standard</v>
      </c>
    </row>
    <row r="3477" customFormat="false" ht="15" hidden="false" customHeight="true" outlineLevel="0" collapsed="false">
      <c r="A3477" s="10" t="n">
        <f aca="false">Einstellungen!$B$5+INT((ROW()-9)/24)</f>
        <v>46110</v>
      </c>
      <c r="B3477" s="11" t="n">
        <f aca="false">MOD(ROW()-9,24)</f>
        <v>12</v>
      </c>
      <c r="C3477" s="12"/>
      <c r="D3477" s="13" t="n">
        <f aca="false">IF(B3477&lt;5,Einstellungen!$B$3,Einstellungen!$B$4)</f>
        <v>29.13</v>
      </c>
      <c r="E3477" s="14" t="str">
        <f aca="false">IF(C3477="","",C3477*D3477/100)</f>
        <v/>
      </c>
      <c r="F3477" s="15" t="str">
        <f aca="false">IF(B3477&lt;5,"Go","Standard")</f>
        <v>Standard</v>
      </c>
    </row>
    <row r="3478" customFormat="false" ht="15" hidden="false" customHeight="true" outlineLevel="0" collapsed="false">
      <c r="A3478" s="10" t="n">
        <f aca="false">Einstellungen!$B$5+INT((ROW()-9)/24)</f>
        <v>46110</v>
      </c>
      <c r="B3478" s="11" t="n">
        <f aca="false">MOD(ROW()-9,24)</f>
        <v>13</v>
      </c>
      <c r="C3478" s="12"/>
      <c r="D3478" s="13" t="n">
        <f aca="false">IF(B3478&lt;5,Einstellungen!$B$3,Einstellungen!$B$4)</f>
        <v>29.13</v>
      </c>
      <c r="E3478" s="14" t="str">
        <f aca="false">IF(C3478="","",C3478*D3478/100)</f>
        <v/>
      </c>
      <c r="F3478" s="15" t="str">
        <f aca="false">IF(B3478&lt;5,"Go","Standard")</f>
        <v>Standard</v>
      </c>
    </row>
    <row r="3479" customFormat="false" ht="15" hidden="false" customHeight="true" outlineLevel="0" collapsed="false">
      <c r="A3479" s="10" t="n">
        <f aca="false">Einstellungen!$B$5+INT((ROW()-9)/24)</f>
        <v>46110</v>
      </c>
      <c r="B3479" s="11" t="n">
        <f aca="false">MOD(ROW()-9,24)</f>
        <v>14</v>
      </c>
      <c r="C3479" s="12"/>
      <c r="D3479" s="13" t="n">
        <f aca="false">IF(B3479&lt;5,Einstellungen!$B$3,Einstellungen!$B$4)</f>
        <v>29.13</v>
      </c>
      <c r="E3479" s="14" t="str">
        <f aca="false">IF(C3479="","",C3479*D3479/100)</f>
        <v/>
      </c>
      <c r="F3479" s="15" t="str">
        <f aca="false">IF(B3479&lt;5,"Go","Standard")</f>
        <v>Standard</v>
      </c>
    </row>
    <row r="3480" customFormat="false" ht="15" hidden="false" customHeight="true" outlineLevel="0" collapsed="false">
      <c r="A3480" s="10" t="n">
        <f aca="false">Einstellungen!$B$5+INT((ROW()-9)/24)</f>
        <v>46110</v>
      </c>
      <c r="B3480" s="11" t="n">
        <f aca="false">MOD(ROW()-9,24)</f>
        <v>15</v>
      </c>
      <c r="C3480" s="12"/>
      <c r="D3480" s="13" t="n">
        <f aca="false">IF(B3480&lt;5,Einstellungen!$B$3,Einstellungen!$B$4)</f>
        <v>29.13</v>
      </c>
      <c r="E3480" s="14" t="str">
        <f aca="false">IF(C3480="","",C3480*D3480/100)</f>
        <v/>
      </c>
      <c r="F3480" s="15" t="str">
        <f aca="false">IF(B3480&lt;5,"Go","Standard")</f>
        <v>Standard</v>
      </c>
    </row>
    <row r="3481" customFormat="false" ht="15" hidden="false" customHeight="true" outlineLevel="0" collapsed="false">
      <c r="A3481" s="10" t="n">
        <f aca="false">Einstellungen!$B$5+INT((ROW()-9)/24)</f>
        <v>46110</v>
      </c>
      <c r="B3481" s="11" t="n">
        <f aca="false">MOD(ROW()-9,24)</f>
        <v>16</v>
      </c>
      <c r="C3481" s="12"/>
      <c r="D3481" s="13" t="n">
        <f aca="false">IF(B3481&lt;5,Einstellungen!$B$3,Einstellungen!$B$4)</f>
        <v>29.13</v>
      </c>
      <c r="E3481" s="14" t="str">
        <f aca="false">IF(C3481="","",C3481*D3481/100)</f>
        <v/>
      </c>
      <c r="F3481" s="15" t="str">
        <f aca="false">IF(B3481&lt;5,"Go","Standard")</f>
        <v>Standard</v>
      </c>
    </row>
    <row r="3482" customFormat="false" ht="15" hidden="false" customHeight="true" outlineLevel="0" collapsed="false">
      <c r="A3482" s="10" t="n">
        <f aca="false">Einstellungen!$B$5+INT((ROW()-9)/24)</f>
        <v>46110</v>
      </c>
      <c r="B3482" s="11" t="n">
        <f aca="false">MOD(ROW()-9,24)</f>
        <v>17</v>
      </c>
      <c r="C3482" s="12"/>
      <c r="D3482" s="13" t="n">
        <f aca="false">IF(B3482&lt;5,Einstellungen!$B$3,Einstellungen!$B$4)</f>
        <v>29.13</v>
      </c>
      <c r="E3482" s="14" t="str">
        <f aca="false">IF(C3482="","",C3482*D3482/100)</f>
        <v/>
      </c>
      <c r="F3482" s="15" t="str">
        <f aca="false">IF(B3482&lt;5,"Go","Standard")</f>
        <v>Standard</v>
      </c>
    </row>
    <row r="3483" customFormat="false" ht="15" hidden="false" customHeight="true" outlineLevel="0" collapsed="false">
      <c r="A3483" s="10" t="n">
        <f aca="false">Einstellungen!$B$5+INT((ROW()-9)/24)</f>
        <v>46110</v>
      </c>
      <c r="B3483" s="11" t="n">
        <f aca="false">MOD(ROW()-9,24)</f>
        <v>18</v>
      </c>
      <c r="C3483" s="12"/>
      <c r="D3483" s="13" t="n">
        <f aca="false">IF(B3483&lt;5,Einstellungen!$B$3,Einstellungen!$B$4)</f>
        <v>29.13</v>
      </c>
      <c r="E3483" s="14" t="str">
        <f aca="false">IF(C3483="","",C3483*D3483/100)</f>
        <v/>
      </c>
      <c r="F3483" s="15" t="str">
        <f aca="false">IF(B3483&lt;5,"Go","Standard")</f>
        <v>Standard</v>
      </c>
    </row>
    <row r="3484" customFormat="false" ht="15" hidden="false" customHeight="true" outlineLevel="0" collapsed="false">
      <c r="A3484" s="10" t="n">
        <f aca="false">Einstellungen!$B$5+INT((ROW()-9)/24)</f>
        <v>46110</v>
      </c>
      <c r="B3484" s="11" t="n">
        <f aca="false">MOD(ROW()-9,24)</f>
        <v>19</v>
      </c>
      <c r="C3484" s="12"/>
      <c r="D3484" s="13" t="n">
        <f aca="false">IF(B3484&lt;5,Einstellungen!$B$3,Einstellungen!$B$4)</f>
        <v>29.13</v>
      </c>
      <c r="E3484" s="14" t="str">
        <f aca="false">IF(C3484="","",C3484*D3484/100)</f>
        <v/>
      </c>
      <c r="F3484" s="15" t="str">
        <f aca="false">IF(B3484&lt;5,"Go","Standard")</f>
        <v>Standard</v>
      </c>
    </row>
    <row r="3485" customFormat="false" ht="15" hidden="false" customHeight="true" outlineLevel="0" collapsed="false">
      <c r="A3485" s="10" t="n">
        <f aca="false">Einstellungen!$B$5+INT((ROW()-9)/24)</f>
        <v>46110</v>
      </c>
      <c r="B3485" s="11" t="n">
        <f aca="false">MOD(ROW()-9,24)</f>
        <v>20</v>
      </c>
      <c r="C3485" s="12"/>
      <c r="D3485" s="13" t="n">
        <f aca="false">IF(B3485&lt;5,Einstellungen!$B$3,Einstellungen!$B$4)</f>
        <v>29.13</v>
      </c>
      <c r="E3485" s="14" t="str">
        <f aca="false">IF(C3485="","",C3485*D3485/100)</f>
        <v/>
      </c>
      <c r="F3485" s="15" t="str">
        <f aca="false">IF(B3485&lt;5,"Go","Standard")</f>
        <v>Standard</v>
      </c>
    </row>
    <row r="3486" customFormat="false" ht="15" hidden="false" customHeight="true" outlineLevel="0" collapsed="false">
      <c r="A3486" s="10" t="n">
        <f aca="false">Einstellungen!$B$5+INT((ROW()-9)/24)</f>
        <v>46110</v>
      </c>
      <c r="B3486" s="11" t="n">
        <f aca="false">MOD(ROW()-9,24)</f>
        <v>21</v>
      </c>
      <c r="C3486" s="12"/>
      <c r="D3486" s="13" t="n">
        <f aca="false">IF(B3486&lt;5,Einstellungen!$B$3,Einstellungen!$B$4)</f>
        <v>29.13</v>
      </c>
      <c r="E3486" s="14" t="str">
        <f aca="false">IF(C3486="","",C3486*D3486/100)</f>
        <v/>
      </c>
      <c r="F3486" s="15" t="str">
        <f aca="false">IF(B3486&lt;5,"Go","Standard")</f>
        <v>Standard</v>
      </c>
    </row>
    <row r="3487" customFormat="false" ht="15" hidden="false" customHeight="true" outlineLevel="0" collapsed="false">
      <c r="A3487" s="10" t="n">
        <f aca="false">Einstellungen!$B$5+INT((ROW()-9)/24)</f>
        <v>46110</v>
      </c>
      <c r="B3487" s="11" t="n">
        <f aca="false">MOD(ROW()-9,24)</f>
        <v>22</v>
      </c>
      <c r="C3487" s="12"/>
      <c r="D3487" s="13" t="n">
        <f aca="false">IF(B3487&lt;5,Einstellungen!$B$3,Einstellungen!$B$4)</f>
        <v>29.13</v>
      </c>
      <c r="E3487" s="14" t="str">
        <f aca="false">IF(C3487="","",C3487*D3487/100)</f>
        <v/>
      </c>
      <c r="F3487" s="15" t="str">
        <f aca="false">IF(B3487&lt;5,"Go","Standard")</f>
        <v>Standard</v>
      </c>
    </row>
    <row r="3488" customFormat="false" ht="15" hidden="false" customHeight="true" outlineLevel="0" collapsed="false">
      <c r="A3488" s="10" t="n">
        <f aca="false">Einstellungen!$B$5+INT((ROW()-9)/24)</f>
        <v>46110</v>
      </c>
      <c r="B3488" s="11" t="n">
        <f aca="false">MOD(ROW()-9,24)</f>
        <v>23</v>
      </c>
      <c r="C3488" s="12"/>
      <c r="D3488" s="13" t="n">
        <f aca="false">IF(B3488&lt;5,Einstellungen!$B$3,Einstellungen!$B$4)</f>
        <v>29.13</v>
      </c>
      <c r="E3488" s="14" t="str">
        <f aca="false">IF(C3488="","",C3488*D3488/100)</f>
        <v/>
      </c>
      <c r="F3488" s="15" t="str">
        <f aca="false">IF(B3488&lt;5,"Go","Standard")</f>
        <v>Standard</v>
      </c>
    </row>
    <row r="3489" customFormat="false" ht="15" hidden="false" customHeight="true" outlineLevel="0" collapsed="false">
      <c r="A3489" s="10" t="n">
        <f aca="false">Einstellungen!$B$5+INT((ROW()-9)/24)</f>
        <v>46111</v>
      </c>
      <c r="B3489" s="11" t="n">
        <f aca="false">MOD(ROW()-9,24)</f>
        <v>0</v>
      </c>
      <c r="C3489" s="12"/>
      <c r="D3489" s="13" t="n">
        <f aca="false">IF(B3489&lt;5,Einstellungen!$B$3,Einstellungen!$B$4)</f>
        <v>15.92</v>
      </c>
      <c r="E3489" s="14" t="str">
        <f aca="false">IF(C3489="","",C3489*D3489/100)</f>
        <v/>
      </c>
      <c r="F3489" s="15" t="str">
        <f aca="false">IF(B3489&lt;5,"Go","Standard")</f>
        <v>Go</v>
      </c>
    </row>
    <row r="3490" customFormat="false" ht="15" hidden="false" customHeight="true" outlineLevel="0" collapsed="false">
      <c r="A3490" s="10" t="n">
        <f aca="false">Einstellungen!$B$5+INT((ROW()-9)/24)</f>
        <v>46111</v>
      </c>
      <c r="B3490" s="11" t="n">
        <f aca="false">MOD(ROW()-9,24)</f>
        <v>1</v>
      </c>
      <c r="C3490" s="12"/>
      <c r="D3490" s="13" t="n">
        <f aca="false">IF(B3490&lt;5,Einstellungen!$B$3,Einstellungen!$B$4)</f>
        <v>15.92</v>
      </c>
      <c r="E3490" s="14" t="str">
        <f aca="false">IF(C3490="","",C3490*D3490/100)</f>
        <v/>
      </c>
      <c r="F3490" s="15" t="str">
        <f aca="false">IF(B3490&lt;5,"Go","Standard")</f>
        <v>Go</v>
      </c>
    </row>
    <row r="3491" customFormat="false" ht="15" hidden="false" customHeight="true" outlineLevel="0" collapsed="false">
      <c r="A3491" s="10" t="n">
        <f aca="false">Einstellungen!$B$5+INT((ROW()-9)/24)</f>
        <v>46111</v>
      </c>
      <c r="B3491" s="11" t="n">
        <f aca="false">MOD(ROW()-9,24)</f>
        <v>2</v>
      </c>
      <c r="C3491" s="12"/>
      <c r="D3491" s="13" t="n">
        <f aca="false">IF(B3491&lt;5,Einstellungen!$B$3,Einstellungen!$B$4)</f>
        <v>15.92</v>
      </c>
      <c r="E3491" s="14" t="str">
        <f aca="false">IF(C3491="","",C3491*D3491/100)</f>
        <v/>
      </c>
      <c r="F3491" s="15" t="str">
        <f aca="false">IF(B3491&lt;5,"Go","Standard")</f>
        <v>Go</v>
      </c>
    </row>
    <row r="3492" customFormat="false" ht="15" hidden="false" customHeight="true" outlineLevel="0" collapsed="false">
      <c r="A3492" s="10" t="n">
        <f aca="false">Einstellungen!$B$5+INT((ROW()-9)/24)</f>
        <v>46111</v>
      </c>
      <c r="B3492" s="11" t="n">
        <f aca="false">MOD(ROW()-9,24)</f>
        <v>3</v>
      </c>
      <c r="C3492" s="12"/>
      <c r="D3492" s="13" t="n">
        <f aca="false">IF(B3492&lt;5,Einstellungen!$B$3,Einstellungen!$B$4)</f>
        <v>15.92</v>
      </c>
      <c r="E3492" s="14" t="str">
        <f aca="false">IF(C3492="","",C3492*D3492/100)</f>
        <v/>
      </c>
      <c r="F3492" s="15" t="str">
        <f aca="false">IF(B3492&lt;5,"Go","Standard")</f>
        <v>Go</v>
      </c>
    </row>
    <row r="3493" customFormat="false" ht="15" hidden="false" customHeight="true" outlineLevel="0" collapsed="false">
      <c r="A3493" s="10" t="n">
        <f aca="false">Einstellungen!$B$5+INT((ROW()-9)/24)</f>
        <v>46111</v>
      </c>
      <c r="B3493" s="11" t="n">
        <f aca="false">MOD(ROW()-9,24)</f>
        <v>4</v>
      </c>
      <c r="C3493" s="12"/>
      <c r="D3493" s="13" t="n">
        <f aca="false">IF(B3493&lt;5,Einstellungen!$B$3,Einstellungen!$B$4)</f>
        <v>15.92</v>
      </c>
      <c r="E3493" s="14" t="str">
        <f aca="false">IF(C3493="","",C3493*D3493/100)</f>
        <v/>
      </c>
      <c r="F3493" s="15" t="str">
        <f aca="false">IF(B3493&lt;5,"Go","Standard")</f>
        <v>Go</v>
      </c>
    </row>
    <row r="3494" customFormat="false" ht="15" hidden="false" customHeight="true" outlineLevel="0" collapsed="false">
      <c r="A3494" s="10" t="n">
        <f aca="false">Einstellungen!$B$5+INT((ROW()-9)/24)</f>
        <v>46111</v>
      </c>
      <c r="B3494" s="11" t="n">
        <f aca="false">MOD(ROW()-9,24)</f>
        <v>5</v>
      </c>
      <c r="C3494" s="12"/>
      <c r="D3494" s="13" t="n">
        <f aca="false">IF(B3494&lt;5,Einstellungen!$B$3,Einstellungen!$B$4)</f>
        <v>29.13</v>
      </c>
      <c r="E3494" s="14" t="str">
        <f aca="false">IF(C3494="","",C3494*D3494/100)</f>
        <v/>
      </c>
      <c r="F3494" s="15" t="str">
        <f aca="false">IF(B3494&lt;5,"Go","Standard")</f>
        <v>Standard</v>
      </c>
    </row>
    <row r="3495" customFormat="false" ht="15" hidden="false" customHeight="true" outlineLevel="0" collapsed="false">
      <c r="A3495" s="10" t="n">
        <f aca="false">Einstellungen!$B$5+INT((ROW()-9)/24)</f>
        <v>46111</v>
      </c>
      <c r="B3495" s="11" t="n">
        <f aca="false">MOD(ROW()-9,24)</f>
        <v>6</v>
      </c>
      <c r="C3495" s="12"/>
      <c r="D3495" s="13" t="n">
        <f aca="false">IF(B3495&lt;5,Einstellungen!$B$3,Einstellungen!$B$4)</f>
        <v>29.13</v>
      </c>
      <c r="E3495" s="14" t="str">
        <f aca="false">IF(C3495="","",C3495*D3495/100)</f>
        <v/>
      </c>
      <c r="F3495" s="15" t="str">
        <f aca="false">IF(B3495&lt;5,"Go","Standard")</f>
        <v>Standard</v>
      </c>
    </row>
    <row r="3496" customFormat="false" ht="15" hidden="false" customHeight="true" outlineLevel="0" collapsed="false">
      <c r="A3496" s="10" t="n">
        <f aca="false">Einstellungen!$B$5+INT((ROW()-9)/24)</f>
        <v>46111</v>
      </c>
      <c r="B3496" s="11" t="n">
        <f aca="false">MOD(ROW()-9,24)</f>
        <v>7</v>
      </c>
      <c r="C3496" s="12"/>
      <c r="D3496" s="13" t="n">
        <f aca="false">IF(B3496&lt;5,Einstellungen!$B$3,Einstellungen!$B$4)</f>
        <v>29.13</v>
      </c>
      <c r="E3496" s="14" t="str">
        <f aca="false">IF(C3496="","",C3496*D3496/100)</f>
        <v/>
      </c>
      <c r="F3496" s="15" t="str">
        <f aca="false">IF(B3496&lt;5,"Go","Standard")</f>
        <v>Standard</v>
      </c>
    </row>
    <row r="3497" customFormat="false" ht="15" hidden="false" customHeight="true" outlineLevel="0" collapsed="false">
      <c r="A3497" s="10" t="n">
        <f aca="false">Einstellungen!$B$5+INT((ROW()-9)/24)</f>
        <v>46111</v>
      </c>
      <c r="B3497" s="11" t="n">
        <f aca="false">MOD(ROW()-9,24)</f>
        <v>8</v>
      </c>
      <c r="C3497" s="12"/>
      <c r="D3497" s="13" t="n">
        <f aca="false">IF(B3497&lt;5,Einstellungen!$B$3,Einstellungen!$B$4)</f>
        <v>29.13</v>
      </c>
      <c r="E3497" s="14" t="str">
        <f aca="false">IF(C3497="","",C3497*D3497/100)</f>
        <v/>
      </c>
      <c r="F3497" s="15" t="str">
        <f aca="false">IF(B3497&lt;5,"Go","Standard")</f>
        <v>Standard</v>
      </c>
    </row>
    <row r="3498" customFormat="false" ht="15" hidden="false" customHeight="true" outlineLevel="0" collapsed="false">
      <c r="A3498" s="10" t="n">
        <f aca="false">Einstellungen!$B$5+INT((ROW()-9)/24)</f>
        <v>46111</v>
      </c>
      <c r="B3498" s="11" t="n">
        <f aca="false">MOD(ROW()-9,24)</f>
        <v>9</v>
      </c>
      <c r="C3498" s="12"/>
      <c r="D3498" s="13" t="n">
        <f aca="false">IF(B3498&lt;5,Einstellungen!$B$3,Einstellungen!$B$4)</f>
        <v>29.13</v>
      </c>
      <c r="E3498" s="14" t="str">
        <f aca="false">IF(C3498="","",C3498*D3498/100)</f>
        <v/>
      </c>
      <c r="F3498" s="15" t="str">
        <f aca="false">IF(B3498&lt;5,"Go","Standard")</f>
        <v>Standard</v>
      </c>
    </row>
    <row r="3499" customFormat="false" ht="15" hidden="false" customHeight="true" outlineLevel="0" collapsed="false">
      <c r="A3499" s="10" t="n">
        <f aca="false">Einstellungen!$B$5+INT((ROW()-9)/24)</f>
        <v>46111</v>
      </c>
      <c r="B3499" s="11" t="n">
        <f aca="false">MOD(ROW()-9,24)</f>
        <v>10</v>
      </c>
      <c r="C3499" s="12"/>
      <c r="D3499" s="13" t="n">
        <f aca="false">IF(B3499&lt;5,Einstellungen!$B$3,Einstellungen!$B$4)</f>
        <v>29.13</v>
      </c>
      <c r="E3499" s="14" t="str">
        <f aca="false">IF(C3499="","",C3499*D3499/100)</f>
        <v/>
      </c>
      <c r="F3499" s="15" t="str">
        <f aca="false">IF(B3499&lt;5,"Go","Standard")</f>
        <v>Standard</v>
      </c>
    </row>
    <row r="3500" customFormat="false" ht="15" hidden="false" customHeight="true" outlineLevel="0" collapsed="false">
      <c r="A3500" s="10" t="n">
        <f aca="false">Einstellungen!$B$5+INT((ROW()-9)/24)</f>
        <v>46111</v>
      </c>
      <c r="B3500" s="11" t="n">
        <f aca="false">MOD(ROW()-9,24)</f>
        <v>11</v>
      </c>
      <c r="C3500" s="12"/>
      <c r="D3500" s="13" t="n">
        <f aca="false">IF(B3500&lt;5,Einstellungen!$B$3,Einstellungen!$B$4)</f>
        <v>29.13</v>
      </c>
      <c r="E3500" s="14" t="str">
        <f aca="false">IF(C3500="","",C3500*D3500/100)</f>
        <v/>
      </c>
      <c r="F3500" s="15" t="str">
        <f aca="false">IF(B3500&lt;5,"Go","Standard")</f>
        <v>Standard</v>
      </c>
    </row>
    <row r="3501" customFormat="false" ht="15" hidden="false" customHeight="true" outlineLevel="0" collapsed="false">
      <c r="A3501" s="10" t="n">
        <f aca="false">Einstellungen!$B$5+INT((ROW()-9)/24)</f>
        <v>46111</v>
      </c>
      <c r="B3501" s="11" t="n">
        <f aca="false">MOD(ROW()-9,24)</f>
        <v>12</v>
      </c>
      <c r="C3501" s="12"/>
      <c r="D3501" s="13" t="n">
        <f aca="false">IF(B3501&lt;5,Einstellungen!$B$3,Einstellungen!$B$4)</f>
        <v>29.13</v>
      </c>
      <c r="E3501" s="14" t="str">
        <f aca="false">IF(C3501="","",C3501*D3501/100)</f>
        <v/>
      </c>
      <c r="F3501" s="15" t="str">
        <f aca="false">IF(B3501&lt;5,"Go","Standard")</f>
        <v>Standard</v>
      </c>
    </row>
    <row r="3502" customFormat="false" ht="15" hidden="false" customHeight="true" outlineLevel="0" collapsed="false">
      <c r="A3502" s="10" t="n">
        <f aca="false">Einstellungen!$B$5+INT((ROW()-9)/24)</f>
        <v>46111</v>
      </c>
      <c r="B3502" s="11" t="n">
        <f aca="false">MOD(ROW()-9,24)</f>
        <v>13</v>
      </c>
      <c r="C3502" s="12"/>
      <c r="D3502" s="13" t="n">
        <f aca="false">IF(B3502&lt;5,Einstellungen!$B$3,Einstellungen!$B$4)</f>
        <v>29.13</v>
      </c>
      <c r="E3502" s="14" t="str">
        <f aca="false">IF(C3502="","",C3502*D3502/100)</f>
        <v/>
      </c>
      <c r="F3502" s="15" t="str">
        <f aca="false">IF(B3502&lt;5,"Go","Standard")</f>
        <v>Standard</v>
      </c>
    </row>
    <row r="3503" customFormat="false" ht="15" hidden="false" customHeight="true" outlineLevel="0" collapsed="false">
      <c r="A3503" s="10" t="n">
        <f aca="false">Einstellungen!$B$5+INT((ROW()-9)/24)</f>
        <v>46111</v>
      </c>
      <c r="B3503" s="11" t="n">
        <f aca="false">MOD(ROW()-9,24)</f>
        <v>14</v>
      </c>
      <c r="C3503" s="12"/>
      <c r="D3503" s="13" t="n">
        <f aca="false">IF(B3503&lt;5,Einstellungen!$B$3,Einstellungen!$B$4)</f>
        <v>29.13</v>
      </c>
      <c r="E3503" s="14" t="str">
        <f aca="false">IF(C3503="","",C3503*D3503/100)</f>
        <v/>
      </c>
      <c r="F3503" s="15" t="str">
        <f aca="false">IF(B3503&lt;5,"Go","Standard")</f>
        <v>Standard</v>
      </c>
    </row>
    <row r="3504" customFormat="false" ht="15" hidden="false" customHeight="true" outlineLevel="0" collapsed="false">
      <c r="A3504" s="10" t="n">
        <f aca="false">Einstellungen!$B$5+INT((ROW()-9)/24)</f>
        <v>46111</v>
      </c>
      <c r="B3504" s="11" t="n">
        <f aca="false">MOD(ROW()-9,24)</f>
        <v>15</v>
      </c>
      <c r="C3504" s="12"/>
      <c r="D3504" s="13" t="n">
        <f aca="false">IF(B3504&lt;5,Einstellungen!$B$3,Einstellungen!$B$4)</f>
        <v>29.13</v>
      </c>
      <c r="E3504" s="14" t="str">
        <f aca="false">IF(C3504="","",C3504*D3504/100)</f>
        <v/>
      </c>
      <c r="F3504" s="15" t="str">
        <f aca="false">IF(B3504&lt;5,"Go","Standard")</f>
        <v>Standard</v>
      </c>
    </row>
    <row r="3505" customFormat="false" ht="15" hidden="false" customHeight="true" outlineLevel="0" collapsed="false">
      <c r="A3505" s="10" t="n">
        <f aca="false">Einstellungen!$B$5+INT((ROW()-9)/24)</f>
        <v>46111</v>
      </c>
      <c r="B3505" s="11" t="n">
        <f aca="false">MOD(ROW()-9,24)</f>
        <v>16</v>
      </c>
      <c r="C3505" s="12"/>
      <c r="D3505" s="13" t="n">
        <f aca="false">IF(B3505&lt;5,Einstellungen!$B$3,Einstellungen!$B$4)</f>
        <v>29.13</v>
      </c>
      <c r="E3505" s="14" t="str">
        <f aca="false">IF(C3505="","",C3505*D3505/100)</f>
        <v/>
      </c>
      <c r="F3505" s="15" t="str">
        <f aca="false">IF(B3505&lt;5,"Go","Standard")</f>
        <v>Standard</v>
      </c>
    </row>
    <row r="3506" customFormat="false" ht="15" hidden="false" customHeight="true" outlineLevel="0" collapsed="false">
      <c r="A3506" s="10" t="n">
        <f aca="false">Einstellungen!$B$5+INT((ROW()-9)/24)</f>
        <v>46111</v>
      </c>
      <c r="B3506" s="11" t="n">
        <f aca="false">MOD(ROW()-9,24)</f>
        <v>17</v>
      </c>
      <c r="C3506" s="12"/>
      <c r="D3506" s="13" t="n">
        <f aca="false">IF(B3506&lt;5,Einstellungen!$B$3,Einstellungen!$B$4)</f>
        <v>29.13</v>
      </c>
      <c r="E3506" s="14" t="str">
        <f aca="false">IF(C3506="","",C3506*D3506/100)</f>
        <v/>
      </c>
      <c r="F3506" s="15" t="str">
        <f aca="false">IF(B3506&lt;5,"Go","Standard")</f>
        <v>Standard</v>
      </c>
    </row>
    <row r="3507" customFormat="false" ht="15" hidden="false" customHeight="true" outlineLevel="0" collapsed="false">
      <c r="A3507" s="10" t="n">
        <f aca="false">Einstellungen!$B$5+INT((ROW()-9)/24)</f>
        <v>46111</v>
      </c>
      <c r="B3507" s="11" t="n">
        <f aca="false">MOD(ROW()-9,24)</f>
        <v>18</v>
      </c>
      <c r="C3507" s="12"/>
      <c r="D3507" s="13" t="n">
        <f aca="false">IF(B3507&lt;5,Einstellungen!$B$3,Einstellungen!$B$4)</f>
        <v>29.13</v>
      </c>
      <c r="E3507" s="14" t="str">
        <f aca="false">IF(C3507="","",C3507*D3507/100)</f>
        <v/>
      </c>
      <c r="F3507" s="15" t="str">
        <f aca="false">IF(B3507&lt;5,"Go","Standard")</f>
        <v>Standard</v>
      </c>
    </row>
    <row r="3508" customFormat="false" ht="15" hidden="false" customHeight="true" outlineLevel="0" collapsed="false">
      <c r="A3508" s="10" t="n">
        <f aca="false">Einstellungen!$B$5+INT((ROW()-9)/24)</f>
        <v>46111</v>
      </c>
      <c r="B3508" s="11" t="n">
        <f aca="false">MOD(ROW()-9,24)</f>
        <v>19</v>
      </c>
      <c r="C3508" s="12"/>
      <c r="D3508" s="13" t="n">
        <f aca="false">IF(B3508&lt;5,Einstellungen!$B$3,Einstellungen!$B$4)</f>
        <v>29.13</v>
      </c>
      <c r="E3508" s="14" t="str">
        <f aca="false">IF(C3508="","",C3508*D3508/100)</f>
        <v/>
      </c>
      <c r="F3508" s="15" t="str">
        <f aca="false">IF(B3508&lt;5,"Go","Standard")</f>
        <v>Standard</v>
      </c>
    </row>
    <row r="3509" customFormat="false" ht="15" hidden="false" customHeight="true" outlineLevel="0" collapsed="false">
      <c r="A3509" s="10" t="n">
        <f aca="false">Einstellungen!$B$5+INT((ROW()-9)/24)</f>
        <v>46111</v>
      </c>
      <c r="B3509" s="11" t="n">
        <f aca="false">MOD(ROW()-9,24)</f>
        <v>20</v>
      </c>
      <c r="C3509" s="12"/>
      <c r="D3509" s="13" t="n">
        <f aca="false">IF(B3509&lt;5,Einstellungen!$B$3,Einstellungen!$B$4)</f>
        <v>29.13</v>
      </c>
      <c r="E3509" s="14" t="str">
        <f aca="false">IF(C3509="","",C3509*D3509/100)</f>
        <v/>
      </c>
      <c r="F3509" s="15" t="str">
        <f aca="false">IF(B3509&lt;5,"Go","Standard")</f>
        <v>Standard</v>
      </c>
    </row>
    <row r="3510" customFormat="false" ht="15" hidden="false" customHeight="true" outlineLevel="0" collapsed="false">
      <c r="A3510" s="10" t="n">
        <f aca="false">Einstellungen!$B$5+INT((ROW()-9)/24)</f>
        <v>46111</v>
      </c>
      <c r="B3510" s="11" t="n">
        <f aca="false">MOD(ROW()-9,24)</f>
        <v>21</v>
      </c>
      <c r="C3510" s="12"/>
      <c r="D3510" s="13" t="n">
        <f aca="false">IF(B3510&lt;5,Einstellungen!$B$3,Einstellungen!$B$4)</f>
        <v>29.13</v>
      </c>
      <c r="E3510" s="14" t="str">
        <f aca="false">IF(C3510="","",C3510*D3510/100)</f>
        <v/>
      </c>
      <c r="F3510" s="15" t="str">
        <f aca="false">IF(B3510&lt;5,"Go","Standard")</f>
        <v>Standard</v>
      </c>
    </row>
    <row r="3511" customFormat="false" ht="15" hidden="false" customHeight="true" outlineLevel="0" collapsed="false">
      <c r="A3511" s="10" t="n">
        <f aca="false">Einstellungen!$B$5+INT((ROW()-9)/24)</f>
        <v>46111</v>
      </c>
      <c r="B3511" s="11" t="n">
        <f aca="false">MOD(ROW()-9,24)</f>
        <v>22</v>
      </c>
      <c r="C3511" s="12"/>
      <c r="D3511" s="13" t="n">
        <f aca="false">IF(B3511&lt;5,Einstellungen!$B$3,Einstellungen!$B$4)</f>
        <v>29.13</v>
      </c>
      <c r="E3511" s="14" t="str">
        <f aca="false">IF(C3511="","",C3511*D3511/100)</f>
        <v/>
      </c>
      <c r="F3511" s="15" t="str">
        <f aca="false">IF(B3511&lt;5,"Go","Standard")</f>
        <v>Standard</v>
      </c>
    </row>
    <row r="3512" customFormat="false" ht="15" hidden="false" customHeight="true" outlineLevel="0" collapsed="false">
      <c r="A3512" s="10" t="n">
        <f aca="false">Einstellungen!$B$5+INT((ROW()-9)/24)</f>
        <v>46111</v>
      </c>
      <c r="B3512" s="11" t="n">
        <f aca="false">MOD(ROW()-9,24)</f>
        <v>23</v>
      </c>
      <c r="C3512" s="12"/>
      <c r="D3512" s="13" t="n">
        <f aca="false">IF(B3512&lt;5,Einstellungen!$B$3,Einstellungen!$B$4)</f>
        <v>29.13</v>
      </c>
      <c r="E3512" s="14" t="str">
        <f aca="false">IF(C3512="","",C3512*D3512/100)</f>
        <v/>
      </c>
      <c r="F3512" s="15" t="str">
        <f aca="false">IF(B3512&lt;5,"Go","Standard")</f>
        <v>Standard</v>
      </c>
    </row>
    <row r="3513" customFormat="false" ht="15" hidden="false" customHeight="true" outlineLevel="0" collapsed="false">
      <c r="A3513" s="10" t="n">
        <f aca="false">Einstellungen!$B$5+INT((ROW()-9)/24)</f>
        <v>46112</v>
      </c>
      <c r="B3513" s="11" t="n">
        <f aca="false">MOD(ROW()-9,24)</f>
        <v>0</v>
      </c>
      <c r="C3513" s="12"/>
      <c r="D3513" s="13" t="n">
        <f aca="false">IF(B3513&lt;5,Einstellungen!$B$3,Einstellungen!$B$4)</f>
        <v>15.92</v>
      </c>
      <c r="E3513" s="14" t="str">
        <f aca="false">IF(C3513="","",C3513*D3513/100)</f>
        <v/>
      </c>
      <c r="F3513" s="15" t="str">
        <f aca="false">IF(B3513&lt;5,"Go","Standard")</f>
        <v>Go</v>
      </c>
    </row>
    <row r="3514" customFormat="false" ht="15" hidden="false" customHeight="true" outlineLevel="0" collapsed="false">
      <c r="A3514" s="10" t="n">
        <f aca="false">Einstellungen!$B$5+INT((ROW()-9)/24)</f>
        <v>46112</v>
      </c>
      <c r="B3514" s="11" t="n">
        <f aca="false">MOD(ROW()-9,24)</f>
        <v>1</v>
      </c>
      <c r="C3514" s="12"/>
      <c r="D3514" s="13" t="n">
        <f aca="false">IF(B3514&lt;5,Einstellungen!$B$3,Einstellungen!$B$4)</f>
        <v>15.92</v>
      </c>
      <c r="E3514" s="14" t="str">
        <f aca="false">IF(C3514="","",C3514*D3514/100)</f>
        <v/>
      </c>
      <c r="F3514" s="15" t="str">
        <f aca="false">IF(B3514&lt;5,"Go","Standard")</f>
        <v>Go</v>
      </c>
    </row>
    <row r="3515" customFormat="false" ht="15" hidden="false" customHeight="true" outlineLevel="0" collapsed="false">
      <c r="A3515" s="10" t="n">
        <f aca="false">Einstellungen!$B$5+INT((ROW()-9)/24)</f>
        <v>46112</v>
      </c>
      <c r="B3515" s="11" t="n">
        <f aca="false">MOD(ROW()-9,24)</f>
        <v>2</v>
      </c>
      <c r="C3515" s="12"/>
      <c r="D3515" s="13" t="n">
        <f aca="false">IF(B3515&lt;5,Einstellungen!$B$3,Einstellungen!$B$4)</f>
        <v>15.92</v>
      </c>
      <c r="E3515" s="14" t="str">
        <f aca="false">IF(C3515="","",C3515*D3515/100)</f>
        <v/>
      </c>
      <c r="F3515" s="15" t="str">
        <f aca="false">IF(B3515&lt;5,"Go","Standard")</f>
        <v>Go</v>
      </c>
    </row>
    <row r="3516" customFormat="false" ht="15" hidden="false" customHeight="true" outlineLevel="0" collapsed="false">
      <c r="A3516" s="10" t="n">
        <f aca="false">Einstellungen!$B$5+INT((ROW()-9)/24)</f>
        <v>46112</v>
      </c>
      <c r="B3516" s="11" t="n">
        <f aca="false">MOD(ROW()-9,24)</f>
        <v>3</v>
      </c>
      <c r="C3516" s="12"/>
      <c r="D3516" s="13" t="n">
        <f aca="false">IF(B3516&lt;5,Einstellungen!$B$3,Einstellungen!$B$4)</f>
        <v>15.92</v>
      </c>
      <c r="E3516" s="14" t="str">
        <f aca="false">IF(C3516="","",C3516*D3516/100)</f>
        <v/>
      </c>
      <c r="F3516" s="15" t="str">
        <f aca="false">IF(B3516&lt;5,"Go","Standard")</f>
        <v>Go</v>
      </c>
    </row>
    <row r="3517" customFormat="false" ht="15" hidden="false" customHeight="true" outlineLevel="0" collapsed="false">
      <c r="A3517" s="10" t="n">
        <f aca="false">Einstellungen!$B$5+INT((ROW()-9)/24)</f>
        <v>46112</v>
      </c>
      <c r="B3517" s="11" t="n">
        <f aca="false">MOD(ROW()-9,24)</f>
        <v>4</v>
      </c>
      <c r="C3517" s="12"/>
      <c r="D3517" s="13" t="n">
        <f aca="false">IF(B3517&lt;5,Einstellungen!$B$3,Einstellungen!$B$4)</f>
        <v>15.92</v>
      </c>
      <c r="E3517" s="14" t="str">
        <f aca="false">IF(C3517="","",C3517*D3517/100)</f>
        <v/>
      </c>
      <c r="F3517" s="15" t="str">
        <f aca="false">IF(B3517&lt;5,"Go","Standard")</f>
        <v>Go</v>
      </c>
    </row>
    <row r="3518" customFormat="false" ht="15" hidden="false" customHeight="true" outlineLevel="0" collapsed="false">
      <c r="A3518" s="10" t="n">
        <f aca="false">Einstellungen!$B$5+INT((ROW()-9)/24)</f>
        <v>46112</v>
      </c>
      <c r="B3518" s="11" t="n">
        <f aca="false">MOD(ROW()-9,24)</f>
        <v>5</v>
      </c>
      <c r="C3518" s="12"/>
      <c r="D3518" s="13" t="n">
        <f aca="false">IF(B3518&lt;5,Einstellungen!$B$3,Einstellungen!$B$4)</f>
        <v>29.13</v>
      </c>
      <c r="E3518" s="14" t="str">
        <f aca="false">IF(C3518="","",C3518*D3518/100)</f>
        <v/>
      </c>
      <c r="F3518" s="15" t="str">
        <f aca="false">IF(B3518&lt;5,"Go","Standard")</f>
        <v>Standard</v>
      </c>
    </row>
    <row r="3519" customFormat="false" ht="15" hidden="false" customHeight="true" outlineLevel="0" collapsed="false">
      <c r="A3519" s="10" t="n">
        <f aca="false">Einstellungen!$B$5+INT((ROW()-9)/24)</f>
        <v>46112</v>
      </c>
      <c r="B3519" s="11" t="n">
        <f aca="false">MOD(ROW()-9,24)</f>
        <v>6</v>
      </c>
      <c r="C3519" s="12"/>
      <c r="D3519" s="13" t="n">
        <f aca="false">IF(B3519&lt;5,Einstellungen!$B$3,Einstellungen!$B$4)</f>
        <v>29.13</v>
      </c>
      <c r="E3519" s="14" t="str">
        <f aca="false">IF(C3519="","",C3519*D3519/100)</f>
        <v/>
      </c>
      <c r="F3519" s="15" t="str">
        <f aca="false">IF(B3519&lt;5,"Go","Standard")</f>
        <v>Standard</v>
      </c>
    </row>
    <row r="3520" customFormat="false" ht="15" hidden="false" customHeight="true" outlineLevel="0" collapsed="false">
      <c r="A3520" s="10" t="n">
        <f aca="false">Einstellungen!$B$5+INT((ROW()-9)/24)</f>
        <v>46112</v>
      </c>
      <c r="B3520" s="11" t="n">
        <f aca="false">MOD(ROW()-9,24)</f>
        <v>7</v>
      </c>
      <c r="C3520" s="12"/>
      <c r="D3520" s="13" t="n">
        <f aca="false">IF(B3520&lt;5,Einstellungen!$B$3,Einstellungen!$B$4)</f>
        <v>29.13</v>
      </c>
      <c r="E3520" s="14" t="str">
        <f aca="false">IF(C3520="","",C3520*D3520/100)</f>
        <v/>
      </c>
      <c r="F3520" s="15" t="str">
        <f aca="false">IF(B3520&lt;5,"Go","Standard")</f>
        <v>Standard</v>
      </c>
    </row>
    <row r="3521" customFormat="false" ht="15" hidden="false" customHeight="true" outlineLevel="0" collapsed="false">
      <c r="A3521" s="10" t="n">
        <f aca="false">Einstellungen!$B$5+INT((ROW()-9)/24)</f>
        <v>46112</v>
      </c>
      <c r="B3521" s="11" t="n">
        <f aca="false">MOD(ROW()-9,24)</f>
        <v>8</v>
      </c>
      <c r="C3521" s="12"/>
      <c r="D3521" s="13" t="n">
        <f aca="false">IF(B3521&lt;5,Einstellungen!$B$3,Einstellungen!$B$4)</f>
        <v>29.13</v>
      </c>
      <c r="E3521" s="14" t="str">
        <f aca="false">IF(C3521="","",C3521*D3521/100)</f>
        <v/>
      </c>
      <c r="F3521" s="15" t="str">
        <f aca="false">IF(B3521&lt;5,"Go","Standard")</f>
        <v>Standard</v>
      </c>
    </row>
    <row r="3522" customFormat="false" ht="15" hidden="false" customHeight="true" outlineLevel="0" collapsed="false">
      <c r="A3522" s="10" t="n">
        <f aca="false">Einstellungen!$B$5+INT((ROW()-9)/24)</f>
        <v>46112</v>
      </c>
      <c r="B3522" s="11" t="n">
        <f aca="false">MOD(ROW()-9,24)</f>
        <v>9</v>
      </c>
      <c r="C3522" s="12"/>
      <c r="D3522" s="13" t="n">
        <f aca="false">IF(B3522&lt;5,Einstellungen!$B$3,Einstellungen!$B$4)</f>
        <v>29.13</v>
      </c>
      <c r="E3522" s="14" t="str">
        <f aca="false">IF(C3522="","",C3522*D3522/100)</f>
        <v/>
      </c>
      <c r="F3522" s="15" t="str">
        <f aca="false">IF(B3522&lt;5,"Go","Standard")</f>
        <v>Standard</v>
      </c>
    </row>
    <row r="3523" customFormat="false" ht="15" hidden="false" customHeight="true" outlineLevel="0" collapsed="false">
      <c r="A3523" s="10" t="n">
        <f aca="false">Einstellungen!$B$5+INT((ROW()-9)/24)</f>
        <v>46112</v>
      </c>
      <c r="B3523" s="11" t="n">
        <f aca="false">MOD(ROW()-9,24)</f>
        <v>10</v>
      </c>
      <c r="C3523" s="12"/>
      <c r="D3523" s="13" t="n">
        <f aca="false">IF(B3523&lt;5,Einstellungen!$B$3,Einstellungen!$B$4)</f>
        <v>29.13</v>
      </c>
      <c r="E3523" s="14" t="str">
        <f aca="false">IF(C3523="","",C3523*D3523/100)</f>
        <v/>
      </c>
      <c r="F3523" s="15" t="str">
        <f aca="false">IF(B3523&lt;5,"Go","Standard")</f>
        <v>Standard</v>
      </c>
    </row>
    <row r="3524" customFormat="false" ht="15" hidden="false" customHeight="true" outlineLevel="0" collapsed="false">
      <c r="A3524" s="10" t="n">
        <f aca="false">Einstellungen!$B$5+INT((ROW()-9)/24)</f>
        <v>46112</v>
      </c>
      <c r="B3524" s="11" t="n">
        <f aca="false">MOD(ROW()-9,24)</f>
        <v>11</v>
      </c>
      <c r="C3524" s="12"/>
      <c r="D3524" s="13" t="n">
        <f aca="false">IF(B3524&lt;5,Einstellungen!$B$3,Einstellungen!$B$4)</f>
        <v>29.13</v>
      </c>
      <c r="E3524" s="14" t="str">
        <f aca="false">IF(C3524="","",C3524*D3524/100)</f>
        <v/>
      </c>
      <c r="F3524" s="15" t="str">
        <f aca="false">IF(B3524&lt;5,"Go","Standard")</f>
        <v>Standard</v>
      </c>
    </row>
    <row r="3525" customFormat="false" ht="15" hidden="false" customHeight="true" outlineLevel="0" collapsed="false">
      <c r="A3525" s="10" t="n">
        <f aca="false">Einstellungen!$B$5+INT((ROW()-9)/24)</f>
        <v>46112</v>
      </c>
      <c r="B3525" s="11" t="n">
        <f aca="false">MOD(ROW()-9,24)</f>
        <v>12</v>
      </c>
      <c r="C3525" s="12"/>
      <c r="D3525" s="13" t="n">
        <f aca="false">IF(B3525&lt;5,Einstellungen!$B$3,Einstellungen!$B$4)</f>
        <v>29.13</v>
      </c>
      <c r="E3525" s="14" t="str">
        <f aca="false">IF(C3525="","",C3525*D3525/100)</f>
        <v/>
      </c>
      <c r="F3525" s="15" t="str">
        <f aca="false">IF(B3525&lt;5,"Go","Standard")</f>
        <v>Standard</v>
      </c>
    </row>
    <row r="3526" customFormat="false" ht="15" hidden="false" customHeight="true" outlineLevel="0" collapsed="false">
      <c r="A3526" s="10" t="n">
        <f aca="false">Einstellungen!$B$5+INT((ROW()-9)/24)</f>
        <v>46112</v>
      </c>
      <c r="B3526" s="11" t="n">
        <f aca="false">MOD(ROW()-9,24)</f>
        <v>13</v>
      </c>
      <c r="C3526" s="12"/>
      <c r="D3526" s="13" t="n">
        <f aca="false">IF(B3526&lt;5,Einstellungen!$B$3,Einstellungen!$B$4)</f>
        <v>29.13</v>
      </c>
      <c r="E3526" s="14" t="str">
        <f aca="false">IF(C3526="","",C3526*D3526/100)</f>
        <v/>
      </c>
      <c r="F3526" s="15" t="str">
        <f aca="false">IF(B3526&lt;5,"Go","Standard")</f>
        <v>Standard</v>
      </c>
    </row>
    <row r="3527" customFormat="false" ht="15" hidden="false" customHeight="true" outlineLevel="0" collapsed="false">
      <c r="A3527" s="10" t="n">
        <f aca="false">Einstellungen!$B$5+INT((ROW()-9)/24)</f>
        <v>46112</v>
      </c>
      <c r="B3527" s="11" t="n">
        <f aca="false">MOD(ROW()-9,24)</f>
        <v>14</v>
      </c>
      <c r="C3527" s="12"/>
      <c r="D3527" s="13" t="n">
        <f aca="false">IF(B3527&lt;5,Einstellungen!$B$3,Einstellungen!$B$4)</f>
        <v>29.13</v>
      </c>
      <c r="E3527" s="14" t="str">
        <f aca="false">IF(C3527="","",C3527*D3527/100)</f>
        <v/>
      </c>
      <c r="F3527" s="15" t="str">
        <f aca="false">IF(B3527&lt;5,"Go","Standard")</f>
        <v>Standard</v>
      </c>
    </row>
    <row r="3528" customFormat="false" ht="15" hidden="false" customHeight="true" outlineLevel="0" collapsed="false">
      <c r="A3528" s="10" t="n">
        <f aca="false">Einstellungen!$B$5+INT((ROW()-9)/24)</f>
        <v>46112</v>
      </c>
      <c r="B3528" s="11" t="n">
        <f aca="false">MOD(ROW()-9,24)</f>
        <v>15</v>
      </c>
      <c r="C3528" s="12"/>
      <c r="D3528" s="13" t="n">
        <f aca="false">IF(B3528&lt;5,Einstellungen!$B$3,Einstellungen!$B$4)</f>
        <v>29.13</v>
      </c>
      <c r="E3528" s="14" t="str">
        <f aca="false">IF(C3528="","",C3528*D3528/100)</f>
        <v/>
      </c>
      <c r="F3528" s="15" t="str">
        <f aca="false">IF(B3528&lt;5,"Go","Standard")</f>
        <v>Standard</v>
      </c>
    </row>
    <row r="3529" customFormat="false" ht="15" hidden="false" customHeight="true" outlineLevel="0" collapsed="false">
      <c r="A3529" s="10" t="n">
        <f aca="false">Einstellungen!$B$5+INT((ROW()-9)/24)</f>
        <v>46112</v>
      </c>
      <c r="B3529" s="11" t="n">
        <f aca="false">MOD(ROW()-9,24)</f>
        <v>16</v>
      </c>
      <c r="C3529" s="12"/>
      <c r="D3529" s="13" t="n">
        <f aca="false">IF(B3529&lt;5,Einstellungen!$B$3,Einstellungen!$B$4)</f>
        <v>29.13</v>
      </c>
      <c r="E3529" s="14" t="str">
        <f aca="false">IF(C3529="","",C3529*D3529/100)</f>
        <v/>
      </c>
      <c r="F3529" s="15" t="str">
        <f aca="false">IF(B3529&lt;5,"Go","Standard")</f>
        <v>Standard</v>
      </c>
    </row>
    <row r="3530" customFormat="false" ht="15" hidden="false" customHeight="true" outlineLevel="0" collapsed="false">
      <c r="A3530" s="10" t="n">
        <f aca="false">Einstellungen!$B$5+INT((ROW()-9)/24)</f>
        <v>46112</v>
      </c>
      <c r="B3530" s="11" t="n">
        <f aca="false">MOD(ROW()-9,24)</f>
        <v>17</v>
      </c>
      <c r="C3530" s="12"/>
      <c r="D3530" s="13" t="n">
        <f aca="false">IF(B3530&lt;5,Einstellungen!$B$3,Einstellungen!$B$4)</f>
        <v>29.13</v>
      </c>
      <c r="E3530" s="14" t="str">
        <f aca="false">IF(C3530="","",C3530*D3530/100)</f>
        <v/>
      </c>
      <c r="F3530" s="15" t="str">
        <f aca="false">IF(B3530&lt;5,"Go","Standard")</f>
        <v>Standard</v>
      </c>
    </row>
    <row r="3531" customFormat="false" ht="15" hidden="false" customHeight="true" outlineLevel="0" collapsed="false">
      <c r="A3531" s="10" t="n">
        <f aca="false">Einstellungen!$B$5+INT((ROW()-9)/24)</f>
        <v>46112</v>
      </c>
      <c r="B3531" s="11" t="n">
        <f aca="false">MOD(ROW()-9,24)</f>
        <v>18</v>
      </c>
      <c r="C3531" s="12"/>
      <c r="D3531" s="13" t="n">
        <f aca="false">IF(B3531&lt;5,Einstellungen!$B$3,Einstellungen!$B$4)</f>
        <v>29.13</v>
      </c>
      <c r="E3531" s="14" t="str">
        <f aca="false">IF(C3531="","",C3531*D3531/100)</f>
        <v/>
      </c>
      <c r="F3531" s="15" t="str">
        <f aca="false">IF(B3531&lt;5,"Go","Standard")</f>
        <v>Standard</v>
      </c>
    </row>
    <row r="3532" customFormat="false" ht="15" hidden="false" customHeight="true" outlineLevel="0" collapsed="false">
      <c r="A3532" s="10" t="n">
        <f aca="false">Einstellungen!$B$5+INT((ROW()-9)/24)</f>
        <v>46112</v>
      </c>
      <c r="B3532" s="11" t="n">
        <f aca="false">MOD(ROW()-9,24)</f>
        <v>19</v>
      </c>
      <c r="C3532" s="12"/>
      <c r="D3532" s="13" t="n">
        <f aca="false">IF(B3532&lt;5,Einstellungen!$B$3,Einstellungen!$B$4)</f>
        <v>29.13</v>
      </c>
      <c r="E3532" s="14" t="str">
        <f aca="false">IF(C3532="","",C3532*D3532/100)</f>
        <v/>
      </c>
      <c r="F3532" s="15" t="str">
        <f aca="false">IF(B3532&lt;5,"Go","Standard")</f>
        <v>Standard</v>
      </c>
    </row>
    <row r="3533" customFormat="false" ht="15" hidden="false" customHeight="true" outlineLevel="0" collapsed="false">
      <c r="A3533" s="10" t="n">
        <f aca="false">Einstellungen!$B$5+INT((ROW()-9)/24)</f>
        <v>46112</v>
      </c>
      <c r="B3533" s="11" t="n">
        <f aca="false">MOD(ROW()-9,24)</f>
        <v>20</v>
      </c>
      <c r="C3533" s="12"/>
      <c r="D3533" s="13" t="n">
        <f aca="false">IF(B3533&lt;5,Einstellungen!$B$3,Einstellungen!$B$4)</f>
        <v>29.13</v>
      </c>
      <c r="E3533" s="14" t="str">
        <f aca="false">IF(C3533="","",C3533*D3533/100)</f>
        <v/>
      </c>
      <c r="F3533" s="15" t="str">
        <f aca="false">IF(B3533&lt;5,"Go","Standard")</f>
        <v>Standard</v>
      </c>
    </row>
    <row r="3534" customFormat="false" ht="15" hidden="false" customHeight="true" outlineLevel="0" collapsed="false">
      <c r="A3534" s="10" t="n">
        <f aca="false">Einstellungen!$B$5+INT((ROW()-9)/24)</f>
        <v>46112</v>
      </c>
      <c r="B3534" s="11" t="n">
        <f aca="false">MOD(ROW()-9,24)</f>
        <v>21</v>
      </c>
      <c r="C3534" s="12"/>
      <c r="D3534" s="13" t="n">
        <f aca="false">IF(B3534&lt;5,Einstellungen!$B$3,Einstellungen!$B$4)</f>
        <v>29.13</v>
      </c>
      <c r="E3534" s="14" t="str">
        <f aca="false">IF(C3534="","",C3534*D3534/100)</f>
        <v/>
      </c>
      <c r="F3534" s="15" t="str">
        <f aca="false">IF(B3534&lt;5,"Go","Standard")</f>
        <v>Standard</v>
      </c>
    </row>
    <row r="3535" customFormat="false" ht="15" hidden="false" customHeight="true" outlineLevel="0" collapsed="false">
      <c r="A3535" s="10" t="n">
        <f aca="false">Einstellungen!$B$5+INT((ROW()-9)/24)</f>
        <v>46112</v>
      </c>
      <c r="B3535" s="11" t="n">
        <f aca="false">MOD(ROW()-9,24)</f>
        <v>22</v>
      </c>
      <c r="C3535" s="12"/>
      <c r="D3535" s="13" t="n">
        <f aca="false">IF(B3535&lt;5,Einstellungen!$B$3,Einstellungen!$B$4)</f>
        <v>29.13</v>
      </c>
      <c r="E3535" s="14" t="str">
        <f aca="false">IF(C3535="","",C3535*D3535/100)</f>
        <v/>
      </c>
      <c r="F3535" s="15" t="str">
        <f aca="false">IF(B3535&lt;5,"Go","Standard")</f>
        <v>Standard</v>
      </c>
    </row>
    <row r="3536" customFormat="false" ht="15" hidden="false" customHeight="true" outlineLevel="0" collapsed="false">
      <c r="A3536" s="10" t="n">
        <f aca="false">Einstellungen!$B$5+INT((ROW()-9)/24)</f>
        <v>46112</v>
      </c>
      <c r="B3536" s="11" t="n">
        <f aca="false">MOD(ROW()-9,24)</f>
        <v>23</v>
      </c>
      <c r="C3536" s="12"/>
      <c r="D3536" s="13" t="n">
        <f aca="false">IF(B3536&lt;5,Einstellungen!$B$3,Einstellungen!$B$4)</f>
        <v>29.13</v>
      </c>
      <c r="E3536" s="14" t="str">
        <f aca="false">IF(C3536="","",C3536*D3536/100)</f>
        <v/>
      </c>
      <c r="F3536" s="15" t="str">
        <f aca="false">IF(B3536&lt;5,"Go","Standard")</f>
        <v>Standard</v>
      </c>
    </row>
    <row r="3537" customFormat="false" ht="15" hidden="false" customHeight="true" outlineLevel="0" collapsed="false">
      <c r="A3537" s="10" t="n">
        <f aca="false">Einstellungen!$B$5+INT((ROW()-9)/24)</f>
        <v>46113</v>
      </c>
      <c r="B3537" s="11" t="n">
        <f aca="false">MOD(ROW()-9,24)</f>
        <v>0</v>
      </c>
      <c r="C3537" s="12"/>
      <c r="D3537" s="13" t="n">
        <f aca="false">IF(B3537&lt;5,Einstellungen!$B$3,Einstellungen!$B$4)</f>
        <v>15.92</v>
      </c>
      <c r="E3537" s="14" t="str">
        <f aca="false">IF(C3537="","",C3537*D3537/100)</f>
        <v/>
      </c>
      <c r="F3537" s="15" t="str">
        <f aca="false">IF(B3537&lt;5,"Go","Standard")</f>
        <v>Go</v>
      </c>
    </row>
    <row r="3538" customFormat="false" ht="15" hidden="false" customHeight="true" outlineLevel="0" collapsed="false">
      <c r="A3538" s="10" t="n">
        <f aca="false">Einstellungen!$B$5+INT((ROW()-9)/24)</f>
        <v>46113</v>
      </c>
      <c r="B3538" s="11" t="n">
        <f aca="false">MOD(ROW()-9,24)</f>
        <v>1</v>
      </c>
      <c r="C3538" s="12"/>
      <c r="D3538" s="13" t="n">
        <f aca="false">IF(B3538&lt;5,Einstellungen!$B$3,Einstellungen!$B$4)</f>
        <v>15.92</v>
      </c>
      <c r="E3538" s="14" t="str">
        <f aca="false">IF(C3538="","",C3538*D3538/100)</f>
        <v/>
      </c>
      <c r="F3538" s="15" t="str">
        <f aca="false">IF(B3538&lt;5,"Go","Standard")</f>
        <v>Go</v>
      </c>
    </row>
    <row r="3539" customFormat="false" ht="15" hidden="false" customHeight="true" outlineLevel="0" collapsed="false">
      <c r="A3539" s="10" t="n">
        <f aca="false">Einstellungen!$B$5+INT((ROW()-9)/24)</f>
        <v>46113</v>
      </c>
      <c r="B3539" s="11" t="n">
        <f aca="false">MOD(ROW()-9,24)</f>
        <v>2</v>
      </c>
      <c r="C3539" s="12"/>
      <c r="D3539" s="13" t="n">
        <f aca="false">IF(B3539&lt;5,Einstellungen!$B$3,Einstellungen!$B$4)</f>
        <v>15.92</v>
      </c>
      <c r="E3539" s="14" t="str">
        <f aca="false">IF(C3539="","",C3539*D3539/100)</f>
        <v/>
      </c>
      <c r="F3539" s="15" t="str">
        <f aca="false">IF(B3539&lt;5,"Go","Standard")</f>
        <v>Go</v>
      </c>
    </row>
    <row r="3540" customFormat="false" ht="15" hidden="false" customHeight="true" outlineLevel="0" collapsed="false">
      <c r="A3540" s="10" t="n">
        <f aca="false">Einstellungen!$B$5+INT((ROW()-9)/24)</f>
        <v>46113</v>
      </c>
      <c r="B3540" s="11" t="n">
        <f aca="false">MOD(ROW()-9,24)</f>
        <v>3</v>
      </c>
      <c r="C3540" s="12"/>
      <c r="D3540" s="13" t="n">
        <f aca="false">IF(B3540&lt;5,Einstellungen!$B$3,Einstellungen!$B$4)</f>
        <v>15.92</v>
      </c>
      <c r="E3540" s="14" t="str">
        <f aca="false">IF(C3540="","",C3540*D3540/100)</f>
        <v/>
      </c>
      <c r="F3540" s="15" t="str">
        <f aca="false">IF(B3540&lt;5,"Go","Standard")</f>
        <v>Go</v>
      </c>
    </row>
    <row r="3541" customFormat="false" ht="15" hidden="false" customHeight="true" outlineLevel="0" collapsed="false">
      <c r="A3541" s="10" t="n">
        <f aca="false">Einstellungen!$B$5+INT((ROW()-9)/24)</f>
        <v>46113</v>
      </c>
      <c r="B3541" s="11" t="n">
        <f aca="false">MOD(ROW()-9,24)</f>
        <v>4</v>
      </c>
      <c r="C3541" s="12"/>
      <c r="D3541" s="13" t="n">
        <f aca="false">IF(B3541&lt;5,Einstellungen!$B$3,Einstellungen!$B$4)</f>
        <v>15.92</v>
      </c>
      <c r="E3541" s="14" t="str">
        <f aca="false">IF(C3541="","",C3541*D3541/100)</f>
        <v/>
      </c>
      <c r="F3541" s="15" t="str">
        <f aca="false">IF(B3541&lt;5,"Go","Standard")</f>
        <v>Go</v>
      </c>
    </row>
    <row r="3542" customFormat="false" ht="15" hidden="false" customHeight="true" outlineLevel="0" collapsed="false">
      <c r="A3542" s="10" t="n">
        <f aca="false">Einstellungen!$B$5+INT((ROW()-9)/24)</f>
        <v>46113</v>
      </c>
      <c r="B3542" s="11" t="n">
        <f aca="false">MOD(ROW()-9,24)</f>
        <v>5</v>
      </c>
      <c r="C3542" s="12"/>
      <c r="D3542" s="13" t="n">
        <f aca="false">IF(B3542&lt;5,Einstellungen!$B$3,Einstellungen!$B$4)</f>
        <v>29.13</v>
      </c>
      <c r="E3542" s="14" t="str">
        <f aca="false">IF(C3542="","",C3542*D3542/100)</f>
        <v/>
      </c>
      <c r="F3542" s="15" t="str">
        <f aca="false">IF(B3542&lt;5,"Go","Standard")</f>
        <v>Standard</v>
      </c>
    </row>
    <row r="3543" customFormat="false" ht="15" hidden="false" customHeight="true" outlineLevel="0" collapsed="false">
      <c r="A3543" s="10" t="n">
        <f aca="false">Einstellungen!$B$5+INT((ROW()-9)/24)</f>
        <v>46113</v>
      </c>
      <c r="B3543" s="11" t="n">
        <f aca="false">MOD(ROW()-9,24)</f>
        <v>6</v>
      </c>
      <c r="C3543" s="12"/>
      <c r="D3543" s="13" t="n">
        <f aca="false">IF(B3543&lt;5,Einstellungen!$B$3,Einstellungen!$B$4)</f>
        <v>29.13</v>
      </c>
      <c r="E3543" s="14" t="str">
        <f aca="false">IF(C3543="","",C3543*D3543/100)</f>
        <v/>
      </c>
      <c r="F3543" s="15" t="str">
        <f aca="false">IF(B3543&lt;5,"Go","Standard")</f>
        <v>Standard</v>
      </c>
    </row>
    <row r="3544" customFormat="false" ht="15" hidden="false" customHeight="true" outlineLevel="0" collapsed="false">
      <c r="A3544" s="10" t="n">
        <f aca="false">Einstellungen!$B$5+INT((ROW()-9)/24)</f>
        <v>46113</v>
      </c>
      <c r="B3544" s="11" t="n">
        <f aca="false">MOD(ROW()-9,24)</f>
        <v>7</v>
      </c>
      <c r="C3544" s="12"/>
      <c r="D3544" s="13" t="n">
        <f aca="false">IF(B3544&lt;5,Einstellungen!$B$3,Einstellungen!$B$4)</f>
        <v>29.13</v>
      </c>
      <c r="E3544" s="14" t="str">
        <f aca="false">IF(C3544="","",C3544*D3544/100)</f>
        <v/>
      </c>
      <c r="F3544" s="15" t="str">
        <f aca="false">IF(B3544&lt;5,"Go","Standard")</f>
        <v>Standard</v>
      </c>
    </row>
    <row r="3545" customFormat="false" ht="15" hidden="false" customHeight="true" outlineLevel="0" collapsed="false">
      <c r="A3545" s="10" t="n">
        <f aca="false">Einstellungen!$B$5+INT((ROW()-9)/24)</f>
        <v>46113</v>
      </c>
      <c r="B3545" s="11" t="n">
        <f aca="false">MOD(ROW()-9,24)</f>
        <v>8</v>
      </c>
      <c r="C3545" s="12"/>
      <c r="D3545" s="13" t="n">
        <f aca="false">IF(B3545&lt;5,Einstellungen!$B$3,Einstellungen!$B$4)</f>
        <v>29.13</v>
      </c>
      <c r="E3545" s="14" t="str">
        <f aca="false">IF(C3545="","",C3545*D3545/100)</f>
        <v/>
      </c>
      <c r="F3545" s="15" t="str">
        <f aca="false">IF(B3545&lt;5,"Go","Standard")</f>
        <v>Standard</v>
      </c>
    </row>
    <row r="3546" customFormat="false" ht="15" hidden="false" customHeight="true" outlineLevel="0" collapsed="false">
      <c r="A3546" s="10" t="n">
        <f aca="false">Einstellungen!$B$5+INT((ROW()-9)/24)</f>
        <v>46113</v>
      </c>
      <c r="B3546" s="11" t="n">
        <f aca="false">MOD(ROW()-9,24)</f>
        <v>9</v>
      </c>
      <c r="C3546" s="12"/>
      <c r="D3546" s="13" t="n">
        <f aca="false">IF(B3546&lt;5,Einstellungen!$B$3,Einstellungen!$B$4)</f>
        <v>29.13</v>
      </c>
      <c r="E3546" s="14" t="str">
        <f aca="false">IF(C3546="","",C3546*D3546/100)</f>
        <v/>
      </c>
      <c r="F3546" s="15" t="str">
        <f aca="false">IF(B3546&lt;5,"Go","Standard")</f>
        <v>Standard</v>
      </c>
    </row>
    <row r="3547" customFormat="false" ht="15" hidden="false" customHeight="true" outlineLevel="0" collapsed="false">
      <c r="A3547" s="10" t="n">
        <f aca="false">Einstellungen!$B$5+INT((ROW()-9)/24)</f>
        <v>46113</v>
      </c>
      <c r="B3547" s="11" t="n">
        <f aca="false">MOD(ROW()-9,24)</f>
        <v>10</v>
      </c>
      <c r="C3547" s="12"/>
      <c r="D3547" s="13" t="n">
        <f aca="false">IF(B3547&lt;5,Einstellungen!$B$3,Einstellungen!$B$4)</f>
        <v>29.13</v>
      </c>
      <c r="E3547" s="14" t="str">
        <f aca="false">IF(C3547="","",C3547*D3547/100)</f>
        <v/>
      </c>
      <c r="F3547" s="15" t="str">
        <f aca="false">IF(B3547&lt;5,"Go","Standard")</f>
        <v>Standard</v>
      </c>
    </row>
    <row r="3548" customFormat="false" ht="15" hidden="false" customHeight="true" outlineLevel="0" collapsed="false">
      <c r="A3548" s="10" t="n">
        <f aca="false">Einstellungen!$B$5+INT((ROW()-9)/24)</f>
        <v>46113</v>
      </c>
      <c r="B3548" s="11" t="n">
        <f aca="false">MOD(ROW()-9,24)</f>
        <v>11</v>
      </c>
      <c r="C3548" s="12"/>
      <c r="D3548" s="13" t="n">
        <f aca="false">IF(B3548&lt;5,Einstellungen!$B$3,Einstellungen!$B$4)</f>
        <v>29.13</v>
      </c>
      <c r="E3548" s="14" t="str">
        <f aca="false">IF(C3548="","",C3548*D3548/100)</f>
        <v/>
      </c>
      <c r="F3548" s="15" t="str">
        <f aca="false">IF(B3548&lt;5,"Go","Standard")</f>
        <v>Standard</v>
      </c>
    </row>
    <row r="3549" customFormat="false" ht="15" hidden="false" customHeight="true" outlineLevel="0" collapsed="false">
      <c r="A3549" s="10" t="n">
        <f aca="false">Einstellungen!$B$5+INT((ROW()-9)/24)</f>
        <v>46113</v>
      </c>
      <c r="B3549" s="11" t="n">
        <f aca="false">MOD(ROW()-9,24)</f>
        <v>12</v>
      </c>
      <c r="C3549" s="12"/>
      <c r="D3549" s="13" t="n">
        <f aca="false">IF(B3549&lt;5,Einstellungen!$B$3,Einstellungen!$B$4)</f>
        <v>29.13</v>
      </c>
      <c r="E3549" s="14" t="str">
        <f aca="false">IF(C3549="","",C3549*D3549/100)</f>
        <v/>
      </c>
      <c r="F3549" s="15" t="str">
        <f aca="false">IF(B3549&lt;5,"Go","Standard")</f>
        <v>Standard</v>
      </c>
    </row>
    <row r="3550" customFormat="false" ht="15" hidden="false" customHeight="true" outlineLevel="0" collapsed="false">
      <c r="A3550" s="10" t="n">
        <f aca="false">Einstellungen!$B$5+INT((ROW()-9)/24)</f>
        <v>46113</v>
      </c>
      <c r="B3550" s="11" t="n">
        <f aca="false">MOD(ROW()-9,24)</f>
        <v>13</v>
      </c>
      <c r="C3550" s="12"/>
      <c r="D3550" s="13" t="n">
        <f aca="false">IF(B3550&lt;5,Einstellungen!$B$3,Einstellungen!$B$4)</f>
        <v>29.13</v>
      </c>
      <c r="E3550" s="14" t="str">
        <f aca="false">IF(C3550="","",C3550*D3550/100)</f>
        <v/>
      </c>
      <c r="F3550" s="15" t="str">
        <f aca="false">IF(B3550&lt;5,"Go","Standard")</f>
        <v>Standard</v>
      </c>
    </row>
    <row r="3551" customFormat="false" ht="15" hidden="false" customHeight="true" outlineLevel="0" collapsed="false">
      <c r="A3551" s="10" t="n">
        <f aca="false">Einstellungen!$B$5+INT((ROW()-9)/24)</f>
        <v>46113</v>
      </c>
      <c r="B3551" s="11" t="n">
        <f aca="false">MOD(ROW()-9,24)</f>
        <v>14</v>
      </c>
      <c r="C3551" s="12"/>
      <c r="D3551" s="13" t="n">
        <f aca="false">IF(B3551&lt;5,Einstellungen!$B$3,Einstellungen!$B$4)</f>
        <v>29.13</v>
      </c>
      <c r="E3551" s="14" t="str">
        <f aca="false">IF(C3551="","",C3551*D3551/100)</f>
        <v/>
      </c>
      <c r="F3551" s="15" t="str">
        <f aca="false">IF(B3551&lt;5,"Go","Standard")</f>
        <v>Standard</v>
      </c>
    </row>
    <row r="3552" customFormat="false" ht="15" hidden="false" customHeight="true" outlineLevel="0" collapsed="false">
      <c r="A3552" s="10" t="n">
        <f aca="false">Einstellungen!$B$5+INT((ROW()-9)/24)</f>
        <v>46113</v>
      </c>
      <c r="B3552" s="11" t="n">
        <f aca="false">MOD(ROW()-9,24)</f>
        <v>15</v>
      </c>
      <c r="C3552" s="12"/>
      <c r="D3552" s="13" t="n">
        <f aca="false">IF(B3552&lt;5,Einstellungen!$B$3,Einstellungen!$B$4)</f>
        <v>29.13</v>
      </c>
      <c r="E3552" s="14" t="str">
        <f aca="false">IF(C3552="","",C3552*D3552/100)</f>
        <v/>
      </c>
      <c r="F3552" s="15" t="str">
        <f aca="false">IF(B3552&lt;5,"Go","Standard")</f>
        <v>Standard</v>
      </c>
    </row>
    <row r="3553" customFormat="false" ht="15" hidden="false" customHeight="true" outlineLevel="0" collapsed="false">
      <c r="A3553" s="10" t="n">
        <f aca="false">Einstellungen!$B$5+INT((ROW()-9)/24)</f>
        <v>46113</v>
      </c>
      <c r="B3553" s="11" t="n">
        <f aca="false">MOD(ROW()-9,24)</f>
        <v>16</v>
      </c>
      <c r="C3553" s="12"/>
      <c r="D3553" s="13" t="n">
        <f aca="false">IF(B3553&lt;5,Einstellungen!$B$3,Einstellungen!$B$4)</f>
        <v>29.13</v>
      </c>
      <c r="E3553" s="14" t="str">
        <f aca="false">IF(C3553="","",C3553*D3553/100)</f>
        <v/>
      </c>
      <c r="F3553" s="15" t="str">
        <f aca="false">IF(B3553&lt;5,"Go","Standard")</f>
        <v>Standard</v>
      </c>
    </row>
    <row r="3554" customFormat="false" ht="15" hidden="false" customHeight="true" outlineLevel="0" collapsed="false">
      <c r="A3554" s="10" t="n">
        <f aca="false">Einstellungen!$B$5+INT((ROW()-9)/24)</f>
        <v>46113</v>
      </c>
      <c r="B3554" s="11" t="n">
        <f aca="false">MOD(ROW()-9,24)</f>
        <v>17</v>
      </c>
      <c r="C3554" s="12"/>
      <c r="D3554" s="13" t="n">
        <f aca="false">IF(B3554&lt;5,Einstellungen!$B$3,Einstellungen!$B$4)</f>
        <v>29.13</v>
      </c>
      <c r="E3554" s="14" t="str">
        <f aca="false">IF(C3554="","",C3554*D3554/100)</f>
        <v/>
      </c>
      <c r="F3554" s="15" t="str">
        <f aca="false">IF(B3554&lt;5,"Go","Standard")</f>
        <v>Standard</v>
      </c>
    </row>
    <row r="3555" customFormat="false" ht="15" hidden="false" customHeight="true" outlineLevel="0" collapsed="false">
      <c r="A3555" s="10" t="n">
        <f aca="false">Einstellungen!$B$5+INT((ROW()-9)/24)</f>
        <v>46113</v>
      </c>
      <c r="B3555" s="11" t="n">
        <f aca="false">MOD(ROW()-9,24)</f>
        <v>18</v>
      </c>
      <c r="C3555" s="12"/>
      <c r="D3555" s="13" t="n">
        <f aca="false">IF(B3555&lt;5,Einstellungen!$B$3,Einstellungen!$B$4)</f>
        <v>29.13</v>
      </c>
      <c r="E3555" s="14" t="str">
        <f aca="false">IF(C3555="","",C3555*D3555/100)</f>
        <v/>
      </c>
      <c r="F3555" s="15" t="str">
        <f aca="false">IF(B3555&lt;5,"Go","Standard")</f>
        <v>Standard</v>
      </c>
    </row>
    <row r="3556" customFormat="false" ht="15" hidden="false" customHeight="true" outlineLevel="0" collapsed="false">
      <c r="A3556" s="10" t="n">
        <f aca="false">Einstellungen!$B$5+INT((ROW()-9)/24)</f>
        <v>46113</v>
      </c>
      <c r="B3556" s="11" t="n">
        <f aca="false">MOD(ROW()-9,24)</f>
        <v>19</v>
      </c>
      <c r="C3556" s="12"/>
      <c r="D3556" s="13" t="n">
        <f aca="false">IF(B3556&lt;5,Einstellungen!$B$3,Einstellungen!$B$4)</f>
        <v>29.13</v>
      </c>
      <c r="E3556" s="14" t="str">
        <f aca="false">IF(C3556="","",C3556*D3556/100)</f>
        <v/>
      </c>
      <c r="F3556" s="15" t="str">
        <f aca="false">IF(B3556&lt;5,"Go","Standard")</f>
        <v>Standard</v>
      </c>
    </row>
    <row r="3557" customFormat="false" ht="15" hidden="false" customHeight="true" outlineLevel="0" collapsed="false">
      <c r="A3557" s="10" t="n">
        <f aca="false">Einstellungen!$B$5+INT((ROW()-9)/24)</f>
        <v>46113</v>
      </c>
      <c r="B3557" s="11" t="n">
        <f aca="false">MOD(ROW()-9,24)</f>
        <v>20</v>
      </c>
      <c r="C3557" s="12"/>
      <c r="D3557" s="13" t="n">
        <f aca="false">IF(B3557&lt;5,Einstellungen!$B$3,Einstellungen!$B$4)</f>
        <v>29.13</v>
      </c>
      <c r="E3557" s="14" t="str">
        <f aca="false">IF(C3557="","",C3557*D3557/100)</f>
        <v/>
      </c>
      <c r="F3557" s="15" t="str">
        <f aca="false">IF(B3557&lt;5,"Go","Standard")</f>
        <v>Standard</v>
      </c>
    </row>
    <row r="3558" customFormat="false" ht="15" hidden="false" customHeight="true" outlineLevel="0" collapsed="false">
      <c r="A3558" s="10" t="n">
        <f aca="false">Einstellungen!$B$5+INT((ROW()-9)/24)</f>
        <v>46113</v>
      </c>
      <c r="B3558" s="11" t="n">
        <f aca="false">MOD(ROW()-9,24)</f>
        <v>21</v>
      </c>
      <c r="C3558" s="12"/>
      <c r="D3558" s="13" t="n">
        <f aca="false">IF(B3558&lt;5,Einstellungen!$B$3,Einstellungen!$B$4)</f>
        <v>29.13</v>
      </c>
      <c r="E3558" s="14" t="str">
        <f aca="false">IF(C3558="","",C3558*D3558/100)</f>
        <v/>
      </c>
      <c r="F3558" s="15" t="str">
        <f aca="false">IF(B3558&lt;5,"Go","Standard")</f>
        <v>Standard</v>
      </c>
    </row>
    <row r="3559" customFormat="false" ht="15" hidden="false" customHeight="true" outlineLevel="0" collapsed="false">
      <c r="A3559" s="10" t="n">
        <f aca="false">Einstellungen!$B$5+INT((ROW()-9)/24)</f>
        <v>46113</v>
      </c>
      <c r="B3559" s="11" t="n">
        <f aca="false">MOD(ROW()-9,24)</f>
        <v>22</v>
      </c>
      <c r="C3559" s="12"/>
      <c r="D3559" s="13" t="n">
        <f aca="false">IF(B3559&lt;5,Einstellungen!$B$3,Einstellungen!$B$4)</f>
        <v>29.13</v>
      </c>
      <c r="E3559" s="14" t="str">
        <f aca="false">IF(C3559="","",C3559*D3559/100)</f>
        <v/>
      </c>
      <c r="F3559" s="15" t="str">
        <f aca="false">IF(B3559&lt;5,"Go","Standard")</f>
        <v>Standard</v>
      </c>
    </row>
    <row r="3560" customFormat="false" ht="15" hidden="false" customHeight="true" outlineLevel="0" collapsed="false">
      <c r="A3560" s="10" t="n">
        <f aca="false">Einstellungen!$B$5+INT((ROW()-9)/24)</f>
        <v>46113</v>
      </c>
      <c r="B3560" s="11" t="n">
        <f aca="false">MOD(ROW()-9,24)</f>
        <v>23</v>
      </c>
      <c r="C3560" s="12"/>
      <c r="D3560" s="13" t="n">
        <f aca="false">IF(B3560&lt;5,Einstellungen!$B$3,Einstellungen!$B$4)</f>
        <v>29.13</v>
      </c>
      <c r="E3560" s="14" t="str">
        <f aca="false">IF(C3560="","",C3560*D3560/100)</f>
        <v/>
      </c>
      <c r="F3560" s="15" t="str">
        <f aca="false">IF(B3560&lt;5,"Go","Standard")</f>
        <v>Standard</v>
      </c>
    </row>
    <row r="3561" customFormat="false" ht="15" hidden="false" customHeight="true" outlineLevel="0" collapsed="false">
      <c r="A3561" s="10" t="n">
        <f aca="false">Einstellungen!$B$5+INT((ROW()-9)/24)</f>
        <v>46114</v>
      </c>
      <c r="B3561" s="11" t="n">
        <f aca="false">MOD(ROW()-9,24)</f>
        <v>0</v>
      </c>
      <c r="C3561" s="12"/>
      <c r="D3561" s="13" t="n">
        <f aca="false">IF(B3561&lt;5,Einstellungen!$B$3,Einstellungen!$B$4)</f>
        <v>15.92</v>
      </c>
      <c r="E3561" s="14" t="str">
        <f aca="false">IF(C3561="","",C3561*D3561/100)</f>
        <v/>
      </c>
      <c r="F3561" s="15" t="str">
        <f aca="false">IF(B3561&lt;5,"Go","Standard")</f>
        <v>Go</v>
      </c>
    </row>
    <row r="3562" customFormat="false" ht="15" hidden="false" customHeight="true" outlineLevel="0" collapsed="false">
      <c r="A3562" s="10" t="n">
        <f aca="false">Einstellungen!$B$5+INT((ROW()-9)/24)</f>
        <v>46114</v>
      </c>
      <c r="B3562" s="11" t="n">
        <f aca="false">MOD(ROW()-9,24)</f>
        <v>1</v>
      </c>
      <c r="C3562" s="12"/>
      <c r="D3562" s="13" t="n">
        <f aca="false">IF(B3562&lt;5,Einstellungen!$B$3,Einstellungen!$B$4)</f>
        <v>15.92</v>
      </c>
      <c r="E3562" s="14" t="str">
        <f aca="false">IF(C3562="","",C3562*D3562/100)</f>
        <v/>
      </c>
      <c r="F3562" s="15" t="str">
        <f aca="false">IF(B3562&lt;5,"Go","Standard")</f>
        <v>Go</v>
      </c>
    </row>
    <row r="3563" customFormat="false" ht="15" hidden="false" customHeight="true" outlineLevel="0" collapsed="false">
      <c r="A3563" s="10" t="n">
        <f aca="false">Einstellungen!$B$5+INT((ROW()-9)/24)</f>
        <v>46114</v>
      </c>
      <c r="B3563" s="11" t="n">
        <f aca="false">MOD(ROW()-9,24)</f>
        <v>2</v>
      </c>
      <c r="C3563" s="12"/>
      <c r="D3563" s="13" t="n">
        <f aca="false">IF(B3563&lt;5,Einstellungen!$B$3,Einstellungen!$B$4)</f>
        <v>15.92</v>
      </c>
      <c r="E3563" s="14" t="str">
        <f aca="false">IF(C3563="","",C3563*D3563/100)</f>
        <v/>
      </c>
      <c r="F3563" s="15" t="str">
        <f aca="false">IF(B3563&lt;5,"Go","Standard")</f>
        <v>Go</v>
      </c>
    </row>
    <row r="3564" customFormat="false" ht="15" hidden="false" customHeight="true" outlineLevel="0" collapsed="false">
      <c r="A3564" s="10" t="n">
        <f aca="false">Einstellungen!$B$5+INT((ROW()-9)/24)</f>
        <v>46114</v>
      </c>
      <c r="B3564" s="11" t="n">
        <f aca="false">MOD(ROW()-9,24)</f>
        <v>3</v>
      </c>
      <c r="C3564" s="12"/>
      <c r="D3564" s="13" t="n">
        <f aca="false">IF(B3564&lt;5,Einstellungen!$B$3,Einstellungen!$B$4)</f>
        <v>15.92</v>
      </c>
      <c r="E3564" s="14" t="str">
        <f aca="false">IF(C3564="","",C3564*D3564/100)</f>
        <v/>
      </c>
      <c r="F3564" s="15" t="str">
        <f aca="false">IF(B3564&lt;5,"Go","Standard")</f>
        <v>Go</v>
      </c>
    </row>
    <row r="3565" customFormat="false" ht="15" hidden="false" customHeight="true" outlineLevel="0" collapsed="false">
      <c r="A3565" s="10" t="n">
        <f aca="false">Einstellungen!$B$5+INT((ROW()-9)/24)</f>
        <v>46114</v>
      </c>
      <c r="B3565" s="11" t="n">
        <f aca="false">MOD(ROW()-9,24)</f>
        <v>4</v>
      </c>
      <c r="C3565" s="12"/>
      <c r="D3565" s="13" t="n">
        <f aca="false">IF(B3565&lt;5,Einstellungen!$B$3,Einstellungen!$B$4)</f>
        <v>15.92</v>
      </c>
      <c r="E3565" s="14" t="str">
        <f aca="false">IF(C3565="","",C3565*D3565/100)</f>
        <v/>
      </c>
      <c r="F3565" s="15" t="str">
        <f aca="false">IF(B3565&lt;5,"Go","Standard")</f>
        <v>Go</v>
      </c>
    </row>
    <row r="3566" customFormat="false" ht="15" hidden="false" customHeight="true" outlineLevel="0" collapsed="false">
      <c r="A3566" s="10" t="n">
        <f aca="false">Einstellungen!$B$5+INT((ROW()-9)/24)</f>
        <v>46114</v>
      </c>
      <c r="B3566" s="11" t="n">
        <f aca="false">MOD(ROW()-9,24)</f>
        <v>5</v>
      </c>
      <c r="C3566" s="12"/>
      <c r="D3566" s="13" t="n">
        <f aca="false">IF(B3566&lt;5,Einstellungen!$B$3,Einstellungen!$B$4)</f>
        <v>29.13</v>
      </c>
      <c r="E3566" s="14" t="str">
        <f aca="false">IF(C3566="","",C3566*D3566/100)</f>
        <v/>
      </c>
      <c r="F3566" s="15" t="str">
        <f aca="false">IF(B3566&lt;5,"Go","Standard")</f>
        <v>Standard</v>
      </c>
    </row>
    <row r="3567" customFormat="false" ht="15" hidden="false" customHeight="true" outlineLevel="0" collapsed="false">
      <c r="A3567" s="10" t="n">
        <f aca="false">Einstellungen!$B$5+INT((ROW()-9)/24)</f>
        <v>46114</v>
      </c>
      <c r="B3567" s="11" t="n">
        <f aca="false">MOD(ROW()-9,24)</f>
        <v>6</v>
      </c>
      <c r="C3567" s="12"/>
      <c r="D3567" s="13" t="n">
        <f aca="false">IF(B3567&lt;5,Einstellungen!$B$3,Einstellungen!$B$4)</f>
        <v>29.13</v>
      </c>
      <c r="E3567" s="14" t="str">
        <f aca="false">IF(C3567="","",C3567*D3567/100)</f>
        <v/>
      </c>
      <c r="F3567" s="15" t="str">
        <f aca="false">IF(B3567&lt;5,"Go","Standard")</f>
        <v>Standard</v>
      </c>
    </row>
    <row r="3568" customFormat="false" ht="15" hidden="false" customHeight="true" outlineLevel="0" collapsed="false">
      <c r="A3568" s="10" t="n">
        <f aca="false">Einstellungen!$B$5+INT((ROW()-9)/24)</f>
        <v>46114</v>
      </c>
      <c r="B3568" s="11" t="n">
        <f aca="false">MOD(ROW()-9,24)</f>
        <v>7</v>
      </c>
      <c r="C3568" s="12"/>
      <c r="D3568" s="13" t="n">
        <f aca="false">IF(B3568&lt;5,Einstellungen!$B$3,Einstellungen!$B$4)</f>
        <v>29.13</v>
      </c>
      <c r="E3568" s="14" t="str">
        <f aca="false">IF(C3568="","",C3568*D3568/100)</f>
        <v/>
      </c>
      <c r="F3568" s="15" t="str">
        <f aca="false">IF(B3568&lt;5,"Go","Standard")</f>
        <v>Standard</v>
      </c>
    </row>
    <row r="3569" customFormat="false" ht="15" hidden="false" customHeight="true" outlineLevel="0" collapsed="false">
      <c r="A3569" s="10" t="n">
        <f aca="false">Einstellungen!$B$5+INT((ROW()-9)/24)</f>
        <v>46114</v>
      </c>
      <c r="B3569" s="11" t="n">
        <f aca="false">MOD(ROW()-9,24)</f>
        <v>8</v>
      </c>
      <c r="C3569" s="12"/>
      <c r="D3569" s="13" t="n">
        <f aca="false">IF(B3569&lt;5,Einstellungen!$B$3,Einstellungen!$B$4)</f>
        <v>29.13</v>
      </c>
      <c r="E3569" s="14" t="str">
        <f aca="false">IF(C3569="","",C3569*D3569/100)</f>
        <v/>
      </c>
      <c r="F3569" s="15" t="str">
        <f aca="false">IF(B3569&lt;5,"Go","Standard")</f>
        <v>Standard</v>
      </c>
    </row>
    <row r="3570" customFormat="false" ht="15" hidden="false" customHeight="true" outlineLevel="0" collapsed="false">
      <c r="A3570" s="10" t="n">
        <f aca="false">Einstellungen!$B$5+INT((ROW()-9)/24)</f>
        <v>46114</v>
      </c>
      <c r="B3570" s="11" t="n">
        <f aca="false">MOD(ROW()-9,24)</f>
        <v>9</v>
      </c>
      <c r="C3570" s="12"/>
      <c r="D3570" s="13" t="n">
        <f aca="false">IF(B3570&lt;5,Einstellungen!$B$3,Einstellungen!$B$4)</f>
        <v>29.13</v>
      </c>
      <c r="E3570" s="14" t="str">
        <f aca="false">IF(C3570="","",C3570*D3570/100)</f>
        <v/>
      </c>
      <c r="F3570" s="15" t="str">
        <f aca="false">IF(B3570&lt;5,"Go","Standard")</f>
        <v>Standard</v>
      </c>
    </row>
    <row r="3571" customFormat="false" ht="15" hidden="false" customHeight="true" outlineLevel="0" collapsed="false">
      <c r="A3571" s="10" t="n">
        <f aca="false">Einstellungen!$B$5+INT((ROW()-9)/24)</f>
        <v>46114</v>
      </c>
      <c r="B3571" s="11" t="n">
        <f aca="false">MOD(ROW()-9,24)</f>
        <v>10</v>
      </c>
      <c r="C3571" s="12"/>
      <c r="D3571" s="13" t="n">
        <f aca="false">IF(B3571&lt;5,Einstellungen!$B$3,Einstellungen!$B$4)</f>
        <v>29.13</v>
      </c>
      <c r="E3571" s="14" t="str">
        <f aca="false">IF(C3571="","",C3571*D3571/100)</f>
        <v/>
      </c>
      <c r="F3571" s="15" t="str">
        <f aca="false">IF(B3571&lt;5,"Go","Standard")</f>
        <v>Standard</v>
      </c>
    </row>
    <row r="3572" customFormat="false" ht="15" hidden="false" customHeight="true" outlineLevel="0" collapsed="false">
      <c r="A3572" s="10" t="n">
        <f aca="false">Einstellungen!$B$5+INT((ROW()-9)/24)</f>
        <v>46114</v>
      </c>
      <c r="B3572" s="11" t="n">
        <f aca="false">MOD(ROW()-9,24)</f>
        <v>11</v>
      </c>
      <c r="C3572" s="12"/>
      <c r="D3572" s="13" t="n">
        <f aca="false">IF(B3572&lt;5,Einstellungen!$B$3,Einstellungen!$B$4)</f>
        <v>29.13</v>
      </c>
      <c r="E3572" s="14" t="str">
        <f aca="false">IF(C3572="","",C3572*D3572/100)</f>
        <v/>
      </c>
      <c r="F3572" s="15" t="str">
        <f aca="false">IF(B3572&lt;5,"Go","Standard")</f>
        <v>Standard</v>
      </c>
    </row>
    <row r="3573" customFormat="false" ht="15" hidden="false" customHeight="true" outlineLevel="0" collapsed="false">
      <c r="A3573" s="10" t="n">
        <f aca="false">Einstellungen!$B$5+INT((ROW()-9)/24)</f>
        <v>46114</v>
      </c>
      <c r="B3573" s="11" t="n">
        <f aca="false">MOD(ROW()-9,24)</f>
        <v>12</v>
      </c>
      <c r="C3573" s="12"/>
      <c r="D3573" s="13" t="n">
        <f aca="false">IF(B3573&lt;5,Einstellungen!$B$3,Einstellungen!$B$4)</f>
        <v>29.13</v>
      </c>
      <c r="E3573" s="14" t="str">
        <f aca="false">IF(C3573="","",C3573*D3573/100)</f>
        <v/>
      </c>
      <c r="F3573" s="15" t="str">
        <f aca="false">IF(B3573&lt;5,"Go","Standard")</f>
        <v>Standard</v>
      </c>
    </row>
    <row r="3574" customFormat="false" ht="15" hidden="false" customHeight="true" outlineLevel="0" collapsed="false">
      <c r="A3574" s="10" t="n">
        <f aca="false">Einstellungen!$B$5+INT((ROW()-9)/24)</f>
        <v>46114</v>
      </c>
      <c r="B3574" s="11" t="n">
        <f aca="false">MOD(ROW()-9,24)</f>
        <v>13</v>
      </c>
      <c r="C3574" s="12"/>
      <c r="D3574" s="13" t="n">
        <f aca="false">IF(B3574&lt;5,Einstellungen!$B$3,Einstellungen!$B$4)</f>
        <v>29.13</v>
      </c>
      <c r="E3574" s="14" t="str">
        <f aca="false">IF(C3574="","",C3574*D3574/100)</f>
        <v/>
      </c>
      <c r="F3574" s="15" t="str">
        <f aca="false">IF(B3574&lt;5,"Go","Standard")</f>
        <v>Standard</v>
      </c>
    </row>
    <row r="3575" customFormat="false" ht="15" hidden="false" customHeight="true" outlineLevel="0" collapsed="false">
      <c r="A3575" s="10" t="n">
        <f aca="false">Einstellungen!$B$5+INT((ROW()-9)/24)</f>
        <v>46114</v>
      </c>
      <c r="B3575" s="11" t="n">
        <f aca="false">MOD(ROW()-9,24)</f>
        <v>14</v>
      </c>
      <c r="C3575" s="12"/>
      <c r="D3575" s="13" t="n">
        <f aca="false">IF(B3575&lt;5,Einstellungen!$B$3,Einstellungen!$B$4)</f>
        <v>29.13</v>
      </c>
      <c r="E3575" s="14" t="str">
        <f aca="false">IF(C3575="","",C3575*D3575/100)</f>
        <v/>
      </c>
      <c r="F3575" s="15" t="str">
        <f aca="false">IF(B3575&lt;5,"Go","Standard")</f>
        <v>Standard</v>
      </c>
    </row>
    <row r="3576" customFormat="false" ht="15" hidden="false" customHeight="true" outlineLevel="0" collapsed="false">
      <c r="A3576" s="10" t="n">
        <f aca="false">Einstellungen!$B$5+INT((ROW()-9)/24)</f>
        <v>46114</v>
      </c>
      <c r="B3576" s="11" t="n">
        <f aca="false">MOD(ROW()-9,24)</f>
        <v>15</v>
      </c>
      <c r="C3576" s="12"/>
      <c r="D3576" s="13" t="n">
        <f aca="false">IF(B3576&lt;5,Einstellungen!$B$3,Einstellungen!$B$4)</f>
        <v>29.13</v>
      </c>
      <c r="E3576" s="14" t="str">
        <f aca="false">IF(C3576="","",C3576*D3576/100)</f>
        <v/>
      </c>
      <c r="F3576" s="15" t="str">
        <f aca="false">IF(B3576&lt;5,"Go","Standard")</f>
        <v>Standard</v>
      </c>
    </row>
    <row r="3577" customFormat="false" ht="15" hidden="false" customHeight="true" outlineLevel="0" collapsed="false">
      <c r="A3577" s="10" t="n">
        <f aca="false">Einstellungen!$B$5+INT((ROW()-9)/24)</f>
        <v>46114</v>
      </c>
      <c r="B3577" s="11" t="n">
        <f aca="false">MOD(ROW()-9,24)</f>
        <v>16</v>
      </c>
      <c r="C3577" s="12"/>
      <c r="D3577" s="13" t="n">
        <f aca="false">IF(B3577&lt;5,Einstellungen!$B$3,Einstellungen!$B$4)</f>
        <v>29.13</v>
      </c>
      <c r="E3577" s="14" t="str">
        <f aca="false">IF(C3577="","",C3577*D3577/100)</f>
        <v/>
      </c>
      <c r="F3577" s="15" t="str">
        <f aca="false">IF(B3577&lt;5,"Go","Standard")</f>
        <v>Standard</v>
      </c>
    </row>
    <row r="3578" customFormat="false" ht="15" hidden="false" customHeight="true" outlineLevel="0" collapsed="false">
      <c r="A3578" s="10" t="n">
        <f aca="false">Einstellungen!$B$5+INT((ROW()-9)/24)</f>
        <v>46114</v>
      </c>
      <c r="B3578" s="11" t="n">
        <f aca="false">MOD(ROW()-9,24)</f>
        <v>17</v>
      </c>
      <c r="C3578" s="12"/>
      <c r="D3578" s="13" t="n">
        <f aca="false">IF(B3578&lt;5,Einstellungen!$B$3,Einstellungen!$B$4)</f>
        <v>29.13</v>
      </c>
      <c r="E3578" s="14" t="str">
        <f aca="false">IF(C3578="","",C3578*D3578/100)</f>
        <v/>
      </c>
      <c r="F3578" s="15" t="str">
        <f aca="false">IF(B3578&lt;5,"Go","Standard")</f>
        <v>Standard</v>
      </c>
    </row>
    <row r="3579" customFormat="false" ht="15" hidden="false" customHeight="true" outlineLevel="0" collapsed="false">
      <c r="A3579" s="10" t="n">
        <f aca="false">Einstellungen!$B$5+INT((ROW()-9)/24)</f>
        <v>46114</v>
      </c>
      <c r="B3579" s="11" t="n">
        <f aca="false">MOD(ROW()-9,24)</f>
        <v>18</v>
      </c>
      <c r="C3579" s="12"/>
      <c r="D3579" s="13" t="n">
        <f aca="false">IF(B3579&lt;5,Einstellungen!$B$3,Einstellungen!$B$4)</f>
        <v>29.13</v>
      </c>
      <c r="E3579" s="14" t="str">
        <f aca="false">IF(C3579="","",C3579*D3579/100)</f>
        <v/>
      </c>
      <c r="F3579" s="15" t="str">
        <f aca="false">IF(B3579&lt;5,"Go","Standard")</f>
        <v>Standard</v>
      </c>
    </row>
    <row r="3580" customFormat="false" ht="15" hidden="false" customHeight="true" outlineLevel="0" collapsed="false">
      <c r="A3580" s="10" t="n">
        <f aca="false">Einstellungen!$B$5+INT((ROW()-9)/24)</f>
        <v>46114</v>
      </c>
      <c r="B3580" s="11" t="n">
        <f aca="false">MOD(ROW()-9,24)</f>
        <v>19</v>
      </c>
      <c r="C3580" s="12"/>
      <c r="D3580" s="13" t="n">
        <f aca="false">IF(B3580&lt;5,Einstellungen!$B$3,Einstellungen!$B$4)</f>
        <v>29.13</v>
      </c>
      <c r="E3580" s="14" t="str">
        <f aca="false">IF(C3580="","",C3580*D3580/100)</f>
        <v/>
      </c>
      <c r="F3580" s="15" t="str">
        <f aca="false">IF(B3580&lt;5,"Go","Standard")</f>
        <v>Standard</v>
      </c>
    </row>
    <row r="3581" customFormat="false" ht="15" hidden="false" customHeight="true" outlineLevel="0" collapsed="false">
      <c r="A3581" s="10" t="n">
        <f aca="false">Einstellungen!$B$5+INT((ROW()-9)/24)</f>
        <v>46114</v>
      </c>
      <c r="B3581" s="11" t="n">
        <f aca="false">MOD(ROW()-9,24)</f>
        <v>20</v>
      </c>
      <c r="C3581" s="12"/>
      <c r="D3581" s="13" t="n">
        <f aca="false">IF(B3581&lt;5,Einstellungen!$B$3,Einstellungen!$B$4)</f>
        <v>29.13</v>
      </c>
      <c r="E3581" s="14" t="str">
        <f aca="false">IF(C3581="","",C3581*D3581/100)</f>
        <v/>
      </c>
      <c r="F3581" s="15" t="str">
        <f aca="false">IF(B3581&lt;5,"Go","Standard")</f>
        <v>Standard</v>
      </c>
    </row>
    <row r="3582" customFormat="false" ht="15" hidden="false" customHeight="true" outlineLevel="0" collapsed="false">
      <c r="A3582" s="10" t="n">
        <f aca="false">Einstellungen!$B$5+INT((ROW()-9)/24)</f>
        <v>46114</v>
      </c>
      <c r="B3582" s="11" t="n">
        <f aca="false">MOD(ROW()-9,24)</f>
        <v>21</v>
      </c>
      <c r="C3582" s="12"/>
      <c r="D3582" s="13" t="n">
        <f aca="false">IF(B3582&lt;5,Einstellungen!$B$3,Einstellungen!$B$4)</f>
        <v>29.13</v>
      </c>
      <c r="E3582" s="14" t="str">
        <f aca="false">IF(C3582="","",C3582*D3582/100)</f>
        <v/>
      </c>
      <c r="F3582" s="15" t="str">
        <f aca="false">IF(B3582&lt;5,"Go","Standard")</f>
        <v>Standard</v>
      </c>
    </row>
    <row r="3583" customFormat="false" ht="15" hidden="false" customHeight="true" outlineLevel="0" collapsed="false">
      <c r="A3583" s="10" t="n">
        <f aca="false">Einstellungen!$B$5+INT((ROW()-9)/24)</f>
        <v>46114</v>
      </c>
      <c r="B3583" s="11" t="n">
        <f aca="false">MOD(ROW()-9,24)</f>
        <v>22</v>
      </c>
      <c r="C3583" s="12"/>
      <c r="D3583" s="13" t="n">
        <f aca="false">IF(B3583&lt;5,Einstellungen!$B$3,Einstellungen!$B$4)</f>
        <v>29.13</v>
      </c>
      <c r="E3583" s="14" t="str">
        <f aca="false">IF(C3583="","",C3583*D3583/100)</f>
        <v/>
      </c>
      <c r="F3583" s="15" t="str">
        <f aca="false">IF(B3583&lt;5,"Go","Standard")</f>
        <v>Standard</v>
      </c>
    </row>
    <row r="3584" customFormat="false" ht="15" hidden="false" customHeight="true" outlineLevel="0" collapsed="false">
      <c r="A3584" s="10" t="n">
        <f aca="false">Einstellungen!$B$5+INT((ROW()-9)/24)</f>
        <v>46114</v>
      </c>
      <c r="B3584" s="11" t="n">
        <f aca="false">MOD(ROW()-9,24)</f>
        <v>23</v>
      </c>
      <c r="C3584" s="12"/>
      <c r="D3584" s="13" t="n">
        <f aca="false">IF(B3584&lt;5,Einstellungen!$B$3,Einstellungen!$B$4)</f>
        <v>29.13</v>
      </c>
      <c r="E3584" s="14" t="str">
        <f aca="false">IF(C3584="","",C3584*D3584/100)</f>
        <v/>
      </c>
      <c r="F3584" s="15" t="str">
        <f aca="false">IF(B3584&lt;5,"Go","Standard")</f>
        <v>Standard</v>
      </c>
    </row>
    <row r="3585" customFormat="false" ht="15" hidden="false" customHeight="true" outlineLevel="0" collapsed="false">
      <c r="A3585" s="10" t="n">
        <f aca="false">Einstellungen!$B$5+INT((ROW()-9)/24)</f>
        <v>46115</v>
      </c>
      <c r="B3585" s="11" t="n">
        <f aca="false">MOD(ROW()-9,24)</f>
        <v>0</v>
      </c>
      <c r="C3585" s="12"/>
      <c r="D3585" s="13" t="n">
        <f aca="false">IF(B3585&lt;5,Einstellungen!$B$3,Einstellungen!$B$4)</f>
        <v>15.92</v>
      </c>
      <c r="E3585" s="14" t="str">
        <f aca="false">IF(C3585="","",C3585*D3585/100)</f>
        <v/>
      </c>
      <c r="F3585" s="15" t="str">
        <f aca="false">IF(B3585&lt;5,"Go","Standard")</f>
        <v>Go</v>
      </c>
    </row>
    <row r="3586" customFormat="false" ht="15" hidden="false" customHeight="true" outlineLevel="0" collapsed="false">
      <c r="A3586" s="10" t="n">
        <f aca="false">Einstellungen!$B$5+INT((ROW()-9)/24)</f>
        <v>46115</v>
      </c>
      <c r="B3586" s="11" t="n">
        <f aca="false">MOD(ROW()-9,24)</f>
        <v>1</v>
      </c>
      <c r="C3586" s="12"/>
      <c r="D3586" s="13" t="n">
        <f aca="false">IF(B3586&lt;5,Einstellungen!$B$3,Einstellungen!$B$4)</f>
        <v>15.92</v>
      </c>
      <c r="E3586" s="14" t="str">
        <f aca="false">IF(C3586="","",C3586*D3586/100)</f>
        <v/>
      </c>
      <c r="F3586" s="15" t="str">
        <f aca="false">IF(B3586&lt;5,"Go","Standard")</f>
        <v>Go</v>
      </c>
    </row>
    <row r="3587" customFormat="false" ht="15" hidden="false" customHeight="true" outlineLevel="0" collapsed="false">
      <c r="A3587" s="10" t="n">
        <f aca="false">Einstellungen!$B$5+INT((ROW()-9)/24)</f>
        <v>46115</v>
      </c>
      <c r="B3587" s="11" t="n">
        <f aca="false">MOD(ROW()-9,24)</f>
        <v>2</v>
      </c>
      <c r="C3587" s="12"/>
      <c r="D3587" s="13" t="n">
        <f aca="false">IF(B3587&lt;5,Einstellungen!$B$3,Einstellungen!$B$4)</f>
        <v>15.92</v>
      </c>
      <c r="E3587" s="14" t="str">
        <f aca="false">IF(C3587="","",C3587*D3587/100)</f>
        <v/>
      </c>
      <c r="F3587" s="15" t="str">
        <f aca="false">IF(B3587&lt;5,"Go","Standard")</f>
        <v>Go</v>
      </c>
    </row>
    <row r="3588" customFormat="false" ht="15" hidden="false" customHeight="true" outlineLevel="0" collapsed="false">
      <c r="A3588" s="10" t="n">
        <f aca="false">Einstellungen!$B$5+INT((ROW()-9)/24)</f>
        <v>46115</v>
      </c>
      <c r="B3588" s="11" t="n">
        <f aca="false">MOD(ROW()-9,24)</f>
        <v>3</v>
      </c>
      <c r="C3588" s="12"/>
      <c r="D3588" s="13" t="n">
        <f aca="false">IF(B3588&lt;5,Einstellungen!$B$3,Einstellungen!$B$4)</f>
        <v>15.92</v>
      </c>
      <c r="E3588" s="14" t="str">
        <f aca="false">IF(C3588="","",C3588*D3588/100)</f>
        <v/>
      </c>
      <c r="F3588" s="15" t="str">
        <f aca="false">IF(B3588&lt;5,"Go","Standard")</f>
        <v>Go</v>
      </c>
    </row>
    <row r="3589" customFormat="false" ht="15" hidden="false" customHeight="true" outlineLevel="0" collapsed="false">
      <c r="A3589" s="10" t="n">
        <f aca="false">Einstellungen!$B$5+INT((ROW()-9)/24)</f>
        <v>46115</v>
      </c>
      <c r="B3589" s="11" t="n">
        <f aca="false">MOD(ROW()-9,24)</f>
        <v>4</v>
      </c>
      <c r="C3589" s="12"/>
      <c r="D3589" s="13" t="n">
        <f aca="false">IF(B3589&lt;5,Einstellungen!$B$3,Einstellungen!$B$4)</f>
        <v>15.92</v>
      </c>
      <c r="E3589" s="14" t="str">
        <f aca="false">IF(C3589="","",C3589*D3589/100)</f>
        <v/>
      </c>
      <c r="F3589" s="15" t="str">
        <f aca="false">IF(B3589&lt;5,"Go","Standard")</f>
        <v>Go</v>
      </c>
    </row>
    <row r="3590" customFormat="false" ht="15" hidden="false" customHeight="true" outlineLevel="0" collapsed="false">
      <c r="A3590" s="10" t="n">
        <f aca="false">Einstellungen!$B$5+INT((ROW()-9)/24)</f>
        <v>46115</v>
      </c>
      <c r="B3590" s="11" t="n">
        <f aca="false">MOD(ROW()-9,24)</f>
        <v>5</v>
      </c>
      <c r="C3590" s="12"/>
      <c r="D3590" s="13" t="n">
        <f aca="false">IF(B3590&lt;5,Einstellungen!$B$3,Einstellungen!$B$4)</f>
        <v>29.13</v>
      </c>
      <c r="E3590" s="14" t="str">
        <f aca="false">IF(C3590="","",C3590*D3590/100)</f>
        <v/>
      </c>
      <c r="F3590" s="15" t="str">
        <f aca="false">IF(B3590&lt;5,"Go","Standard")</f>
        <v>Standard</v>
      </c>
    </row>
    <row r="3591" customFormat="false" ht="15" hidden="false" customHeight="true" outlineLevel="0" collapsed="false">
      <c r="A3591" s="10" t="n">
        <f aca="false">Einstellungen!$B$5+INT((ROW()-9)/24)</f>
        <v>46115</v>
      </c>
      <c r="B3591" s="11" t="n">
        <f aca="false">MOD(ROW()-9,24)</f>
        <v>6</v>
      </c>
      <c r="C3591" s="12"/>
      <c r="D3591" s="13" t="n">
        <f aca="false">IF(B3591&lt;5,Einstellungen!$B$3,Einstellungen!$B$4)</f>
        <v>29.13</v>
      </c>
      <c r="E3591" s="14" t="str">
        <f aca="false">IF(C3591="","",C3591*D3591/100)</f>
        <v/>
      </c>
      <c r="F3591" s="15" t="str">
        <f aca="false">IF(B3591&lt;5,"Go","Standard")</f>
        <v>Standard</v>
      </c>
    </row>
    <row r="3592" customFormat="false" ht="15" hidden="false" customHeight="true" outlineLevel="0" collapsed="false">
      <c r="A3592" s="10" t="n">
        <f aca="false">Einstellungen!$B$5+INT((ROW()-9)/24)</f>
        <v>46115</v>
      </c>
      <c r="B3592" s="11" t="n">
        <f aca="false">MOD(ROW()-9,24)</f>
        <v>7</v>
      </c>
      <c r="C3592" s="12"/>
      <c r="D3592" s="13" t="n">
        <f aca="false">IF(B3592&lt;5,Einstellungen!$B$3,Einstellungen!$B$4)</f>
        <v>29.13</v>
      </c>
      <c r="E3592" s="14" t="str">
        <f aca="false">IF(C3592="","",C3592*D3592/100)</f>
        <v/>
      </c>
      <c r="F3592" s="15" t="str">
        <f aca="false">IF(B3592&lt;5,"Go","Standard")</f>
        <v>Standard</v>
      </c>
    </row>
    <row r="3593" customFormat="false" ht="15" hidden="false" customHeight="true" outlineLevel="0" collapsed="false">
      <c r="A3593" s="10" t="n">
        <f aca="false">Einstellungen!$B$5+INT((ROW()-9)/24)</f>
        <v>46115</v>
      </c>
      <c r="B3593" s="11" t="n">
        <f aca="false">MOD(ROW()-9,24)</f>
        <v>8</v>
      </c>
      <c r="C3593" s="12"/>
      <c r="D3593" s="13" t="n">
        <f aca="false">IF(B3593&lt;5,Einstellungen!$B$3,Einstellungen!$B$4)</f>
        <v>29.13</v>
      </c>
      <c r="E3593" s="14" t="str">
        <f aca="false">IF(C3593="","",C3593*D3593/100)</f>
        <v/>
      </c>
      <c r="F3593" s="15" t="str">
        <f aca="false">IF(B3593&lt;5,"Go","Standard")</f>
        <v>Standard</v>
      </c>
    </row>
    <row r="3594" customFormat="false" ht="15" hidden="false" customHeight="true" outlineLevel="0" collapsed="false">
      <c r="A3594" s="10" t="n">
        <f aca="false">Einstellungen!$B$5+INT((ROW()-9)/24)</f>
        <v>46115</v>
      </c>
      <c r="B3594" s="11" t="n">
        <f aca="false">MOD(ROW()-9,24)</f>
        <v>9</v>
      </c>
      <c r="C3594" s="12"/>
      <c r="D3594" s="13" t="n">
        <f aca="false">IF(B3594&lt;5,Einstellungen!$B$3,Einstellungen!$B$4)</f>
        <v>29.13</v>
      </c>
      <c r="E3594" s="14" t="str">
        <f aca="false">IF(C3594="","",C3594*D3594/100)</f>
        <v/>
      </c>
      <c r="F3594" s="15" t="str">
        <f aca="false">IF(B3594&lt;5,"Go","Standard")</f>
        <v>Standard</v>
      </c>
    </row>
    <row r="3595" customFormat="false" ht="15" hidden="false" customHeight="true" outlineLevel="0" collapsed="false">
      <c r="A3595" s="10" t="n">
        <f aca="false">Einstellungen!$B$5+INT((ROW()-9)/24)</f>
        <v>46115</v>
      </c>
      <c r="B3595" s="11" t="n">
        <f aca="false">MOD(ROW()-9,24)</f>
        <v>10</v>
      </c>
      <c r="C3595" s="12"/>
      <c r="D3595" s="13" t="n">
        <f aca="false">IF(B3595&lt;5,Einstellungen!$B$3,Einstellungen!$B$4)</f>
        <v>29.13</v>
      </c>
      <c r="E3595" s="14" t="str">
        <f aca="false">IF(C3595="","",C3595*D3595/100)</f>
        <v/>
      </c>
      <c r="F3595" s="15" t="str">
        <f aca="false">IF(B3595&lt;5,"Go","Standard")</f>
        <v>Standard</v>
      </c>
    </row>
    <row r="3596" customFormat="false" ht="15" hidden="false" customHeight="true" outlineLevel="0" collapsed="false">
      <c r="A3596" s="10" t="n">
        <f aca="false">Einstellungen!$B$5+INT((ROW()-9)/24)</f>
        <v>46115</v>
      </c>
      <c r="B3596" s="11" t="n">
        <f aca="false">MOD(ROW()-9,24)</f>
        <v>11</v>
      </c>
      <c r="C3596" s="12"/>
      <c r="D3596" s="13" t="n">
        <f aca="false">IF(B3596&lt;5,Einstellungen!$B$3,Einstellungen!$B$4)</f>
        <v>29.13</v>
      </c>
      <c r="E3596" s="14" t="str">
        <f aca="false">IF(C3596="","",C3596*D3596/100)</f>
        <v/>
      </c>
      <c r="F3596" s="15" t="str">
        <f aca="false">IF(B3596&lt;5,"Go","Standard")</f>
        <v>Standard</v>
      </c>
    </row>
    <row r="3597" customFormat="false" ht="15" hidden="false" customHeight="true" outlineLevel="0" collapsed="false">
      <c r="A3597" s="10" t="n">
        <f aca="false">Einstellungen!$B$5+INT((ROW()-9)/24)</f>
        <v>46115</v>
      </c>
      <c r="B3597" s="11" t="n">
        <f aca="false">MOD(ROW()-9,24)</f>
        <v>12</v>
      </c>
      <c r="C3597" s="12"/>
      <c r="D3597" s="13" t="n">
        <f aca="false">IF(B3597&lt;5,Einstellungen!$B$3,Einstellungen!$B$4)</f>
        <v>29.13</v>
      </c>
      <c r="E3597" s="14" t="str">
        <f aca="false">IF(C3597="","",C3597*D3597/100)</f>
        <v/>
      </c>
      <c r="F3597" s="15" t="str">
        <f aca="false">IF(B3597&lt;5,"Go","Standard")</f>
        <v>Standard</v>
      </c>
    </row>
    <row r="3598" customFormat="false" ht="15" hidden="false" customHeight="true" outlineLevel="0" collapsed="false">
      <c r="A3598" s="10" t="n">
        <f aca="false">Einstellungen!$B$5+INT((ROW()-9)/24)</f>
        <v>46115</v>
      </c>
      <c r="B3598" s="11" t="n">
        <f aca="false">MOD(ROW()-9,24)</f>
        <v>13</v>
      </c>
      <c r="C3598" s="12"/>
      <c r="D3598" s="13" t="n">
        <f aca="false">IF(B3598&lt;5,Einstellungen!$B$3,Einstellungen!$B$4)</f>
        <v>29.13</v>
      </c>
      <c r="E3598" s="14" t="str">
        <f aca="false">IF(C3598="","",C3598*D3598/100)</f>
        <v/>
      </c>
      <c r="F3598" s="15" t="str">
        <f aca="false">IF(B3598&lt;5,"Go","Standard")</f>
        <v>Standard</v>
      </c>
    </row>
    <row r="3599" customFormat="false" ht="15" hidden="false" customHeight="true" outlineLevel="0" collapsed="false">
      <c r="A3599" s="10" t="n">
        <f aca="false">Einstellungen!$B$5+INT((ROW()-9)/24)</f>
        <v>46115</v>
      </c>
      <c r="B3599" s="11" t="n">
        <f aca="false">MOD(ROW()-9,24)</f>
        <v>14</v>
      </c>
      <c r="C3599" s="12"/>
      <c r="D3599" s="13" t="n">
        <f aca="false">IF(B3599&lt;5,Einstellungen!$B$3,Einstellungen!$B$4)</f>
        <v>29.13</v>
      </c>
      <c r="E3599" s="14" t="str">
        <f aca="false">IF(C3599="","",C3599*D3599/100)</f>
        <v/>
      </c>
      <c r="F3599" s="15" t="str">
        <f aca="false">IF(B3599&lt;5,"Go","Standard")</f>
        <v>Standard</v>
      </c>
    </row>
    <row r="3600" customFormat="false" ht="15" hidden="false" customHeight="true" outlineLevel="0" collapsed="false">
      <c r="A3600" s="10" t="n">
        <f aca="false">Einstellungen!$B$5+INT((ROW()-9)/24)</f>
        <v>46115</v>
      </c>
      <c r="B3600" s="11" t="n">
        <f aca="false">MOD(ROW()-9,24)</f>
        <v>15</v>
      </c>
      <c r="C3600" s="12"/>
      <c r="D3600" s="13" t="n">
        <f aca="false">IF(B3600&lt;5,Einstellungen!$B$3,Einstellungen!$B$4)</f>
        <v>29.13</v>
      </c>
      <c r="E3600" s="14" t="str">
        <f aca="false">IF(C3600="","",C3600*D3600/100)</f>
        <v/>
      </c>
      <c r="F3600" s="15" t="str">
        <f aca="false">IF(B3600&lt;5,"Go","Standard")</f>
        <v>Standard</v>
      </c>
    </row>
    <row r="3601" customFormat="false" ht="15" hidden="false" customHeight="true" outlineLevel="0" collapsed="false">
      <c r="A3601" s="10" t="n">
        <f aca="false">Einstellungen!$B$5+INT((ROW()-9)/24)</f>
        <v>46115</v>
      </c>
      <c r="B3601" s="11" t="n">
        <f aca="false">MOD(ROW()-9,24)</f>
        <v>16</v>
      </c>
      <c r="C3601" s="12"/>
      <c r="D3601" s="13" t="n">
        <f aca="false">IF(B3601&lt;5,Einstellungen!$B$3,Einstellungen!$B$4)</f>
        <v>29.13</v>
      </c>
      <c r="E3601" s="14" t="str">
        <f aca="false">IF(C3601="","",C3601*D3601/100)</f>
        <v/>
      </c>
      <c r="F3601" s="15" t="str">
        <f aca="false">IF(B3601&lt;5,"Go","Standard")</f>
        <v>Standard</v>
      </c>
    </row>
    <row r="3602" customFormat="false" ht="15" hidden="false" customHeight="true" outlineLevel="0" collapsed="false">
      <c r="A3602" s="10" t="n">
        <f aca="false">Einstellungen!$B$5+INT((ROW()-9)/24)</f>
        <v>46115</v>
      </c>
      <c r="B3602" s="11" t="n">
        <f aca="false">MOD(ROW()-9,24)</f>
        <v>17</v>
      </c>
      <c r="C3602" s="12"/>
      <c r="D3602" s="13" t="n">
        <f aca="false">IF(B3602&lt;5,Einstellungen!$B$3,Einstellungen!$B$4)</f>
        <v>29.13</v>
      </c>
      <c r="E3602" s="14" t="str">
        <f aca="false">IF(C3602="","",C3602*D3602/100)</f>
        <v/>
      </c>
      <c r="F3602" s="15" t="str">
        <f aca="false">IF(B3602&lt;5,"Go","Standard")</f>
        <v>Standard</v>
      </c>
    </row>
    <row r="3603" customFormat="false" ht="15" hidden="false" customHeight="true" outlineLevel="0" collapsed="false">
      <c r="A3603" s="10" t="n">
        <f aca="false">Einstellungen!$B$5+INT((ROW()-9)/24)</f>
        <v>46115</v>
      </c>
      <c r="B3603" s="11" t="n">
        <f aca="false">MOD(ROW()-9,24)</f>
        <v>18</v>
      </c>
      <c r="C3603" s="12"/>
      <c r="D3603" s="13" t="n">
        <f aca="false">IF(B3603&lt;5,Einstellungen!$B$3,Einstellungen!$B$4)</f>
        <v>29.13</v>
      </c>
      <c r="E3603" s="14" t="str">
        <f aca="false">IF(C3603="","",C3603*D3603/100)</f>
        <v/>
      </c>
      <c r="F3603" s="15" t="str">
        <f aca="false">IF(B3603&lt;5,"Go","Standard")</f>
        <v>Standard</v>
      </c>
    </row>
    <row r="3604" customFormat="false" ht="15" hidden="false" customHeight="true" outlineLevel="0" collapsed="false">
      <c r="A3604" s="10" t="n">
        <f aca="false">Einstellungen!$B$5+INT((ROW()-9)/24)</f>
        <v>46115</v>
      </c>
      <c r="B3604" s="11" t="n">
        <f aca="false">MOD(ROW()-9,24)</f>
        <v>19</v>
      </c>
      <c r="C3604" s="12"/>
      <c r="D3604" s="13" t="n">
        <f aca="false">IF(B3604&lt;5,Einstellungen!$B$3,Einstellungen!$B$4)</f>
        <v>29.13</v>
      </c>
      <c r="E3604" s="14" t="str">
        <f aca="false">IF(C3604="","",C3604*D3604/100)</f>
        <v/>
      </c>
      <c r="F3604" s="15" t="str">
        <f aca="false">IF(B3604&lt;5,"Go","Standard")</f>
        <v>Standard</v>
      </c>
    </row>
    <row r="3605" customFormat="false" ht="15" hidden="false" customHeight="true" outlineLevel="0" collapsed="false">
      <c r="A3605" s="10" t="n">
        <f aca="false">Einstellungen!$B$5+INT((ROW()-9)/24)</f>
        <v>46115</v>
      </c>
      <c r="B3605" s="11" t="n">
        <f aca="false">MOD(ROW()-9,24)</f>
        <v>20</v>
      </c>
      <c r="C3605" s="12"/>
      <c r="D3605" s="13" t="n">
        <f aca="false">IF(B3605&lt;5,Einstellungen!$B$3,Einstellungen!$B$4)</f>
        <v>29.13</v>
      </c>
      <c r="E3605" s="14" t="str">
        <f aca="false">IF(C3605="","",C3605*D3605/100)</f>
        <v/>
      </c>
      <c r="F3605" s="15" t="str">
        <f aca="false">IF(B3605&lt;5,"Go","Standard")</f>
        <v>Standard</v>
      </c>
    </row>
    <row r="3606" customFormat="false" ht="15" hidden="false" customHeight="true" outlineLevel="0" collapsed="false">
      <c r="A3606" s="10" t="n">
        <f aca="false">Einstellungen!$B$5+INT((ROW()-9)/24)</f>
        <v>46115</v>
      </c>
      <c r="B3606" s="11" t="n">
        <f aca="false">MOD(ROW()-9,24)</f>
        <v>21</v>
      </c>
      <c r="C3606" s="12"/>
      <c r="D3606" s="13" t="n">
        <f aca="false">IF(B3606&lt;5,Einstellungen!$B$3,Einstellungen!$B$4)</f>
        <v>29.13</v>
      </c>
      <c r="E3606" s="14" t="str">
        <f aca="false">IF(C3606="","",C3606*D3606/100)</f>
        <v/>
      </c>
      <c r="F3606" s="15" t="str">
        <f aca="false">IF(B3606&lt;5,"Go","Standard")</f>
        <v>Standard</v>
      </c>
    </row>
    <row r="3607" customFormat="false" ht="15" hidden="false" customHeight="true" outlineLevel="0" collapsed="false">
      <c r="A3607" s="10" t="n">
        <f aca="false">Einstellungen!$B$5+INT((ROW()-9)/24)</f>
        <v>46115</v>
      </c>
      <c r="B3607" s="11" t="n">
        <f aca="false">MOD(ROW()-9,24)</f>
        <v>22</v>
      </c>
      <c r="C3607" s="12"/>
      <c r="D3607" s="13" t="n">
        <f aca="false">IF(B3607&lt;5,Einstellungen!$B$3,Einstellungen!$B$4)</f>
        <v>29.13</v>
      </c>
      <c r="E3607" s="14" t="str">
        <f aca="false">IF(C3607="","",C3607*D3607/100)</f>
        <v/>
      </c>
      <c r="F3607" s="15" t="str">
        <f aca="false">IF(B3607&lt;5,"Go","Standard")</f>
        <v>Standard</v>
      </c>
    </row>
    <row r="3608" customFormat="false" ht="15" hidden="false" customHeight="true" outlineLevel="0" collapsed="false">
      <c r="A3608" s="10" t="n">
        <f aca="false">Einstellungen!$B$5+INT((ROW()-9)/24)</f>
        <v>46115</v>
      </c>
      <c r="B3608" s="11" t="n">
        <f aca="false">MOD(ROW()-9,24)</f>
        <v>23</v>
      </c>
      <c r="C3608" s="12"/>
      <c r="D3608" s="13" t="n">
        <f aca="false">IF(B3608&lt;5,Einstellungen!$B$3,Einstellungen!$B$4)</f>
        <v>29.13</v>
      </c>
      <c r="E3608" s="14" t="str">
        <f aca="false">IF(C3608="","",C3608*D3608/100)</f>
        <v/>
      </c>
      <c r="F3608" s="15" t="str">
        <f aca="false">IF(B3608&lt;5,"Go","Standard")</f>
        <v>Standard</v>
      </c>
    </row>
    <row r="3609" customFormat="false" ht="15" hidden="false" customHeight="true" outlineLevel="0" collapsed="false">
      <c r="A3609" s="10" t="n">
        <f aca="false">Einstellungen!$B$5+INT((ROW()-9)/24)</f>
        <v>46116</v>
      </c>
      <c r="B3609" s="11" t="n">
        <f aca="false">MOD(ROW()-9,24)</f>
        <v>0</v>
      </c>
      <c r="C3609" s="12"/>
      <c r="D3609" s="13" t="n">
        <f aca="false">IF(B3609&lt;5,Einstellungen!$B$3,Einstellungen!$B$4)</f>
        <v>15.92</v>
      </c>
      <c r="E3609" s="14" t="str">
        <f aca="false">IF(C3609="","",C3609*D3609/100)</f>
        <v/>
      </c>
      <c r="F3609" s="15" t="str">
        <f aca="false">IF(B3609&lt;5,"Go","Standard")</f>
        <v>Go</v>
      </c>
    </row>
    <row r="3610" customFormat="false" ht="15" hidden="false" customHeight="true" outlineLevel="0" collapsed="false">
      <c r="A3610" s="10" t="n">
        <f aca="false">Einstellungen!$B$5+INT((ROW()-9)/24)</f>
        <v>46116</v>
      </c>
      <c r="B3610" s="11" t="n">
        <f aca="false">MOD(ROW()-9,24)</f>
        <v>1</v>
      </c>
      <c r="C3610" s="12"/>
      <c r="D3610" s="13" t="n">
        <f aca="false">IF(B3610&lt;5,Einstellungen!$B$3,Einstellungen!$B$4)</f>
        <v>15.92</v>
      </c>
      <c r="E3610" s="14" t="str">
        <f aca="false">IF(C3610="","",C3610*D3610/100)</f>
        <v/>
      </c>
      <c r="F3610" s="15" t="str">
        <f aca="false">IF(B3610&lt;5,"Go","Standard")</f>
        <v>Go</v>
      </c>
    </row>
    <row r="3611" customFormat="false" ht="15" hidden="false" customHeight="true" outlineLevel="0" collapsed="false">
      <c r="A3611" s="10" t="n">
        <f aca="false">Einstellungen!$B$5+INT((ROW()-9)/24)</f>
        <v>46116</v>
      </c>
      <c r="B3611" s="11" t="n">
        <f aca="false">MOD(ROW()-9,24)</f>
        <v>2</v>
      </c>
      <c r="C3611" s="12"/>
      <c r="D3611" s="13" t="n">
        <f aca="false">IF(B3611&lt;5,Einstellungen!$B$3,Einstellungen!$B$4)</f>
        <v>15.92</v>
      </c>
      <c r="E3611" s="14" t="str">
        <f aca="false">IF(C3611="","",C3611*D3611/100)</f>
        <v/>
      </c>
      <c r="F3611" s="15" t="str">
        <f aca="false">IF(B3611&lt;5,"Go","Standard")</f>
        <v>Go</v>
      </c>
    </row>
    <row r="3612" customFormat="false" ht="15" hidden="false" customHeight="true" outlineLevel="0" collapsed="false">
      <c r="A3612" s="10" t="n">
        <f aca="false">Einstellungen!$B$5+INT((ROW()-9)/24)</f>
        <v>46116</v>
      </c>
      <c r="B3612" s="11" t="n">
        <f aca="false">MOD(ROW()-9,24)</f>
        <v>3</v>
      </c>
      <c r="C3612" s="12"/>
      <c r="D3612" s="13" t="n">
        <f aca="false">IF(B3612&lt;5,Einstellungen!$B$3,Einstellungen!$B$4)</f>
        <v>15.92</v>
      </c>
      <c r="E3612" s="14" t="str">
        <f aca="false">IF(C3612="","",C3612*D3612/100)</f>
        <v/>
      </c>
      <c r="F3612" s="15" t="str">
        <f aca="false">IF(B3612&lt;5,"Go","Standard")</f>
        <v>Go</v>
      </c>
    </row>
    <row r="3613" customFormat="false" ht="15" hidden="false" customHeight="true" outlineLevel="0" collapsed="false">
      <c r="A3613" s="10" t="n">
        <f aca="false">Einstellungen!$B$5+INT((ROW()-9)/24)</f>
        <v>46116</v>
      </c>
      <c r="B3613" s="11" t="n">
        <f aca="false">MOD(ROW()-9,24)</f>
        <v>4</v>
      </c>
      <c r="C3613" s="12"/>
      <c r="D3613" s="13" t="n">
        <f aca="false">IF(B3613&lt;5,Einstellungen!$B$3,Einstellungen!$B$4)</f>
        <v>15.92</v>
      </c>
      <c r="E3613" s="14" t="str">
        <f aca="false">IF(C3613="","",C3613*D3613/100)</f>
        <v/>
      </c>
      <c r="F3613" s="15" t="str">
        <f aca="false">IF(B3613&lt;5,"Go","Standard")</f>
        <v>Go</v>
      </c>
    </row>
    <row r="3614" customFormat="false" ht="15" hidden="false" customHeight="true" outlineLevel="0" collapsed="false">
      <c r="A3614" s="10" t="n">
        <f aca="false">Einstellungen!$B$5+INT((ROW()-9)/24)</f>
        <v>46116</v>
      </c>
      <c r="B3614" s="11" t="n">
        <f aca="false">MOD(ROW()-9,24)</f>
        <v>5</v>
      </c>
      <c r="C3614" s="12"/>
      <c r="D3614" s="13" t="n">
        <f aca="false">IF(B3614&lt;5,Einstellungen!$B$3,Einstellungen!$B$4)</f>
        <v>29.13</v>
      </c>
      <c r="E3614" s="14" t="str">
        <f aca="false">IF(C3614="","",C3614*D3614/100)</f>
        <v/>
      </c>
      <c r="F3614" s="15" t="str">
        <f aca="false">IF(B3614&lt;5,"Go","Standard")</f>
        <v>Standard</v>
      </c>
    </row>
    <row r="3615" customFormat="false" ht="15" hidden="false" customHeight="true" outlineLevel="0" collapsed="false">
      <c r="A3615" s="10" t="n">
        <f aca="false">Einstellungen!$B$5+INT((ROW()-9)/24)</f>
        <v>46116</v>
      </c>
      <c r="B3615" s="11" t="n">
        <f aca="false">MOD(ROW()-9,24)</f>
        <v>6</v>
      </c>
      <c r="C3615" s="12"/>
      <c r="D3615" s="13" t="n">
        <f aca="false">IF(B3615&lt;5,Einstellungen!$B$3,Einstellungen!$B$4)</f>
        <v>29.13</v>
      </c>
      <c r="E3615" s="14" t="str">
        <f aca="false">IF(C3615="","",C3615*D3615/100)</f>
        <v/>
      </c>
      <c r="F3615" s="15" t="str">
        <f aca="false">IF(B3615&lt;5,"Go","Standard")</f>
        <v>Standard</v>
      </c>
    </row>
    <row r="3616" customFormat="false" ht="15" hidden="false" customHeight="true" outlineLevel="0" collapsed="false">
      <c r="A3616" s="10" t="n">
        <f aca="false">Einstellungen!$B$5+INT((ROW()-9)/24)</f>
        <v>46116</v>
      </c>
      <c r="B3616" s="11" t="n">
        <f aca="false">MOD(ROW()-9,24)</f>
        <v>7</v>
      </c>
      <c r="C3616" s="12"/>
      <c r="D3616" s="13" t="n">
        <f aca="false">IF(B3616&lt;5,Einstellungen!$B$3,Einstellungen!$B$4)</f>
        <v>29.13</v>
      </c>
      <c r="E3616" s="14" t="str">
        <f aca="false">IF(C3616="","",C3616*D3616/100)</f>
        <v/>
      </c>
      <c r="F3616" s="15" t="str">
        <f aca="false">IF(B3616&lt;5,"Go","Standard")</f>
        <v>Standard</v>
      </c>
    </row>
    <row r="3617" customFormat="false" ht="15" hidden="false" customHeight="true" outlineLevel="0" collapsed="false">
      <c r="A3617" s="10" t="n">
        <f aca="false">Einstellungen!$B$5+INT((ROW()-9)/24)</f>
        <v>46116</v>
      </c>
      <c r="B3617" s="11" t="n">
        <f aca="false">MOD(ROW()-9,24)</f>
        <v>8</v>
      </c>
      <c r="C3617" s="12"/>
      <c r="D3617" s="13" t="n">
        <f aca="false">IF(B3617&lt;5,Einstellungen!$B$3,Einstellungen!$B$4)</f>
        <v>29.13</v>
      </c>
      <c r="E3617" s="14" t="str">
        <f aca="false">IF(C3617="","",C3617*D3617/100)</f>
        <v/>
      </c>
      <c r="F3617" s="15" t="str">
        <f aca="false">IF(B3617&lt;5,"Go","Standard")</f>
        <v>Standard</v>
      </c>
    </row>
    <row r="3618" customFormat="false" ht="15" hidden="false" customHeight="true" outlineLevel="0" collapsed="false">
      <c r="A3618" s="10" t="n">
        <f aca="false">Einstellungen!$B$5+INT((ROW()-9)/24)</f>
        <v>46116</v>
      </c>
      <c r="B3618" s="11" t="n">
        <f aca="false">MOD(ROW()-9,24)</f>
        <v>9</v>
      </c>
      <c r="C3618" s="12"/>
      <c r="D3618" s="13" t="n">
        <f aca="false">IF(B3618&lt;5,Einstellungen!$B$3,Einstellungen!$B$4)</f>
        <v>29.13</v>
      </c>
      <c r="E3618" s="14" t="str">
        <f aca="false">IF(C3618="","",C3618*D3618/100)</f>
        <v/>
      </c>
      <c r="F3618" s="15" t="str">
        <f aca="false">IF(B3618&lt;5,"Go","Standard")</f>
        <v>Standard</v>
      </c>
    </row>
    <row r="3619" customFormat="false" ht="15" hidden="false" customHeight="true" outlineLevel="0" collapsed="false">
      <c r="A3619" s="10" t="n">
        <f aca="false">Einstellungen!$B$5+INT((ROW()-9)/24)</f>
        <v>46116</v>
      </c>
      <c r="B3619" s="11" t="n">
        <f aca="false">MOD(ROW()-9,24)</f>
        <v>10</v>
      </c>
      <c r="C3619" s="12"/>
      <c r="D3619" s="13" t="n">
        <f aca="false">IF(B3619&lt;5,Einstellungen!$B$3,Einstellungen!$B$4)</f>
        <v>29.13</v>
      </c>
      <c r="E3619" s="14" t="str">
        <f aca="false">IF(C3619="","",C3619*D3619/100)</f>
        <v/>
      </c>
      <c r="F3619" s="15" t="str">
        <f aca="false">IF(B3619&lt;5,"Go","Standard")</f>
        <v>Standard</v>
      </c>
    </row>
    <row r="3620" customFormat="false" ht="15" hidden="false" customHeight="true" outlineLevel="0" collapsed="false">
      <c r="A3620" s="10" t="n">
        <f aca="false">Einstellungen!$B$5+INT((ROW()-9)/24)</f>
        <v>46116</v>
      </c>
      <c r="B3620" s="11" t="n">
        <f aca="false">MOD(ROW()-9,24)</f>
        <v>11</v>
      </c>
      <c r="C3620" s="12"/>
      <c r="D3620" s="13" t="n">
        <f aca="false">IF(B3620&lt;5,Einstellungen!$B$3,Einstellungen!$B$4)</f>
        <v>29.13</v>
      </c>
      <c r="E3620" s="14" t="str">
        <f aca="false">IF(C3620="","",C3620*D3620/100)</f>
        <v/>
      </c>
      <c r="F3620" s="15" t="str">
        <f aca="false">IF(B3620&lt;5,"Go","Standard")</f>
        <v>Standard</v>
      </c>
    </row>
    <row r="3621" customFormat="false" ht="15" hidden="false" customHeight="true" outlineLevel="0" collapsed="false">
      <c r="A3621" s="10" t="n">
        <f aca="false">Einstellungen!$B$5+INT((ROW()-9)/24)</f>
        <v>46116</v>
      </c>
      <c r="B3621" s="11" t="n">
        <f aca="false">MOD(ROW()-9,24)</f>
        <v>12</v>
      </c>
      <c r="C3621" s="12"/>
      <c r="D3621" s="13" t="n">
        <f aca="false">IF(B3621&lt;5,Einstellungen!$B$3,Einstellungen!$B$4)</f>
        <v>29.13</v>
      </c>
      <c r="E3621" s="14" t="str">
        <f aca="false">IF(C3621="","",C3621*D3621/100)</f>
        <v/>
      </c>
      <c r="F3621" s="15" t="str">
        <f aca="false">IF(B3621&lt;5,"Go","Standard")</f>
        <v>Standard</v>
      </c>
    </row>
    <row r="3622" customFormat="false" ht="15" hidden="false" customHeight="true" outlineLevel="0" collapsed="false">
      <c r="A3622" s="10" t="n">
        <f aca="false">Einstellungen!$B$5+INT((ROW()-9)/24)</f>
        <v>46116</v>
      </c>
      <c r="B3622" s="11" t="n">
        <f aca="false">MOD(ROW()-9,24)</f>
        <v>13</v>
      </c>
      <c r="C3622" s="12"/>
      <c r="D3622" s="13" t="n">
        <f aca="false">IF(B3622&lt;5,Einstellungen!$B$3,Einstellungen!$B$4)</f>
        <v>29.13</v>
      </c>
      <c r="E3622" s="14" t="str">
        <f aca="false">IF(C3622="","",C3622*D3622/100)</f>
        <v/>
      </c>
      <c r="F3622" s="15" t="str">
        <f aca="false">IF(B3622&lt;5,"Go","Standard")</f>
        <v>Standard</v>
      </c>
    </row>
    <row r="3623" customFormat="false" ht="15" hidden="false" customHeight="true" outlineLevel="0" collapsed="false">
      <c r="A3623" s="10" t="n">
        <f aca="false">Einstellungen!$B$5+INT((ROW()-9)/24)</f>
        <v>46116</v>
      </c>
      <c r="B3623" s="11" t="n">
        <f aca="false">MOD(ROW()-9,24)</f>
        <v>14</v>
      </c>
      <c r="C3623" s="12"/>
      <c r="D3623" s="13" t="n">
        <f aca="false">IF(B3623&lt;5,Einstellungen!$B$3,Einstellungen!$B$4)</f>
        <v>29.13</v>
      </c>
      <c r="E3623" s="14" t="str">
        <f aca="false">IF(C3623="","",C3623*D3623/100)</f>
        <v/>
      </c>
      <c r="F3623" s="15" t="str">
        <f aca="false">IF(B3623&lt;5,"Go","Standard")</f>
        <v>Standard</v>
      </c>
    </row>
    <row r="3624" customFormat="false" ht="15" hidden="false" customHeight="true" outlineLevel="0" collapsed="false">
      <c r="A3624" s="10" t="n">
        <f aca="false">Einstellungen!$B$5+INT((ROW()-9)/24)</f>
        <v>46116</v>
      </c>
      <c r="B3624" s="11" t="n">
        <f aca="false">MOD(ROW()-9,24)</f>
        <v>15</v>
      </c>
      <c r="C3624" s="12"/>
      <c r="D3624" s="13" t="n">
        <f aca="false">IF(B3624&lt;5,Einstellungen!$B$3,Einstellungen!$B$4)</f>
        <v>29.13</v>
      </c>
      <c r="E3624" s="14" t="str">
        <f aca="false">IF(C3624="","",C3624*D3624/100)</f>
        <v/>
      </c>
      <c r="F3624" s="15" t="str">
        <f aca="false">IF(B3624&lt;5,"Go","Standard")</f>
        <v>Standard</v>
      </c>
    </row>
    <row r="3625" customFormat="false" ht="15" hidden="false" customHeight="true" outlineLevel="0" collapsed="false">
      <c r="A3625" s="10" t="n">
        <f aca="false">Einstellungen!$B$5+INT((ROW()-9)/24)</f>
        <v>46116</v>
      </c>
      <c r="B3625" s="11" t="n">
        <f aca="false">MOD(ROW()-9,24)</f>
        <v>16</v>
      </c>
      <c r="C3625" s="12"/>
      <c r="D3625" s="13" t="n">
        <f aca="false">IF(B3625&lt;5,Einstellungen!$B$3,Einstellungen!$B$4)</f>
        <v>29.13</v>
      </c>
      <c r="E3625" s="14" t="str">
        <f aca="false">IF(C3625="","",C3625*D3625/100)</f>
        <v/>
      </c>
      <c r="F3625" s="15" t="str">
        <f aca="false">IF(B3625&lt;5,"Go","Standard")</f>
        <v>Standard</v>
      </c>
    </row>
    <row r="3626" customFormat="false" ht="15" hidden="false" customHeight="true" outlineLevel="0" collapsed="false">
      <c r="A3626" s="10" t="n">
        <f aca="false">Einstellungen!$B$5+INT((ROW()-9)/24)</f>
        <v>46116</v>
      </c>
      <c r="B3626" s="11" t="n">
        <f aca="false">MOD(ROW()-9,24)</f>
        <v>17</v>
      </c>
      <c r="C3626" s="12"/>
      <c r="D3626" s="13" t="n">
        <f aca="false">IF(B3626&lt;5,Einstellungen!$B$3,Einstellungen!$B$4)</f>
        <v>29.13</v>
      </c>
      <c r="E3626" s="14" t="str">
        <f aca="false">IF(C3626="","",C3626*D3626/100)</f>
        <v/>
      </c>
      <c r="F3626" s="15" t="str">
        <f aca="false">IF(B3626&lt;5,"Go","Standard")</f>
        <v>Standard</v>
      </c>
    </row>
    <row r="3627" customFormat="false" ht="15" hidden="false" customHeight="true" outlineLevel="0" collapsed="false">
      <c r="A3627" s="10" t="n">
        <f aca="false">Einstellungen!$B$5+INT((ROW()-9)/24)</f>
        <v>46116</v>
      </c>
      <c r="B3627" s="11" t="n">
        <f aca="false">MOD(ROW()-9,24)</f>
        <v>18</v>
      </c>
      <c r="C3627" s="12"/>
      <c r="D3627" s="13" t="n">
        <f aca="false">IF(B3627&lt;5,Einstellungen!$B$3,Einstellungen!$B$4)</f>
        <v>29.13</v>
      </c>
      <c r="E3627" s="14" t="str">
        <f aca="false">IF(C3627="","",C3627*D3627/100)</f>
        <v/>
      </c>
      <c r="F3627" s="15" t="str">
        <f aca="false">IF(B3627&lt;5,"Go","Standard")</f>
        <v>Standard</v>
      </c>
    </row>
    <row r="3628" customFormat="false" ht="15" hidden="false" customHeight="true" outlineLevel="0" collapsed="false">
      <c r="A3628" s="10" t="n">
        <f aca="false">Einstellungen!$B$5+INT((ROW()-9)/24)</f>
        <v>46116</v>
      </c>
      <c r="B3628" s="11" t="n">
        <f aca="false">MOD(ROW()-9,24)</f>
        <v>19</v>
      </c>
      <c r="C3628" s="12"/>
      <c r="D3628" s="13" t="n">
        <f aca="false">IF(B3628&lt;5,Einstellungen!$B$3,Einstellungen!$B$4)</f>
        <v>29.13</v>
      </c>
      <c r="E3628" s="14" t="str">
        <f aca="false">IF(C3628="","",C3628*D3628/100)</f>
        <v/>
      </c>
      <c r="F3628" s="15" t="str">
        <f aca="false">IF(B3628&lt;5,"Go","Standard")</f>
        <v>Standard</v>
      </c>
    </row>
    <row r="3629" customFormat="false" ht="15" hidden="false" customHeight="true" outlineLevel="0" collapsed="false">
      <c r="A3629" s="10" t="n">
        <f aca="false">Einstellungen!$B$5+INT((ROW()-9)/24)</f>
        <v>46116</v>
      </c>
      <c r="B3629" s="11" t="n">
        <f aca="false">MOD(ROW()-9,24)</f>
        <v>20</v>
      </c>
      <c r="C3629" s="12"/>
      <c r="D3629" s="13" t="n">
        <f aca="false">IF(B3629&lt;5,Einstellungen!$B$3,Einstellungen!$B$4)</f>
        <v>29.13</v>
      </c>
      <c r="E3629" s="14" t="str">
        <f aca="false">IF(C3629="","",C3629*D3629/100)</f>
        <v/>
      </c>
      <c r="F3629" s="15" t="str">
        <f aca="false">IF(B3629&lt;5,"Go","Standard")</f>
        <v>Standard</v>
      </c>
    </row>
    <row r="3630" customFormat="false" ht="15" hidden="false" customHeight="true" outlineLevel="0" collapsed="false">
      <c r="A3630" s="10" t="n">
        <f aca="false">Einstellungen!$B$5+INT((ROW()-9)/24)</f>
        <v>46116</v>
      </c>
      <c r="B3630" s="11" t="n">
        <f aca="false">MOD(ROW()-9,24)</f>
        <v>21</v>
      </c>
      <c r="C3630" s="12"/>
      <c r="D3630" s="13" t="n">
        <f aca="false">IF(B3630&lt;5,Einstellungen!$B$3,Einstellungen!$B$4)</f>
        <v>29.13</v>
      </c>
      <c r="E3630" s="14" t="str">
        <f aca="false">IF(C3630="","",C3630*D3630/100)</f>
        <v/>
      </c>
      <c r="F3630" s="15" t="str">
        <f aca="false">IF(B3630&lt;5,"Go","Standard")</f>
        <v>Standard</v>
      </c>
    </row>
    <row r="3631" customFormat="false" ht="15" hidden="false" customHeight="true" outlineLevel="0" collapsed="false">
      <c r="A3631" s="10" t="n">
        <f aca="false">Einstellungen!$B$5+INT((ROW()-9)/24)</f>
        <v>46116</v>
      </c>
      <c r="B3631" s="11" t="n">
        <f aca="false">MOD(ROW()-9,24)</f>
        <v>22</v>
      </c>
      <c r="C3631" s="12"/>
      <c r="D3631" s="13" t="n">
        <f aca="false">IF(B3631&lt;5,Einstellungen!$B$3,Einstellungen!$B$4)</f>
        <v>29.13</v>
      </c>
      <c r="E3631" s="14" t="str">
        <f aca="false">IF(C3631="","",C3631*D3631/100)</f>
        <v/>
      </c>
      <c r="F3631" s="15" t="str">
        <f aca="false">IF(B3631&lt;5,"Go","Standard")</f>
        <v>Standard</v>
      </c>
    </row>
    <row r="3632" customFormat="false" ht="15" hidden="false" customHeight="true" outlineLevel="0" collapsed="false">
      <c r="A3632" s="10" t="n">
        <f aca="false">Einstellungen!$B$5+INT((ROW()-9)/24)</f>
        <v>46116</v>
      </c>
      <c r="B3632" s="11" t="n">
        <f aca="false">MOD(ROW()-9,24)</f>
        <v>23</v>
      </c>
      <c r="C3632" s="12"/>
      <c r="D3632" s="13" t="n">
        <f aca="false">IF(B3632&lt;5,Einstellungen!$B$3,Einstellungen!$B$4)</f>
        <v>29.13</v>
      </c>
      <c r="E3632" s="14" t="str">
        <f aca="false">IF(C3632="","",C3632*D3632/100)</f>
        <v/>
      </c>
      <c r="F3632" s="15" t="str">
        <f aca="false">IF(B3632&lt;5,"Go","Standard")</f>
        <v>Standard</v>
      </c>
    </row>
    <row r="3633" customFormat="false" ht="15" hidden="false" customHeight="true" outlineLevel="0" collapsed="false">
      <c r="A3633" s="10" t="n">
        <f aca="false">Einstellungen!$B$5+INT((ROW()-9)/24)</f>
        <v>46117</v>
      </c>
      <c r="B3633" s="11" t="n">
        <f aca="false">MOD(ROW()-9,24)</f>
        <v>0</v>
      </c>
      <c r="C3633" s="12"/>
      <c r="D3633" s="13" t="n">
        <f aca="false">IF(B3633&lt;5,Einstellungen!$B$3,Einstellungen!$B$4)</f>
        <v>15.92</v>
      </c>
      <c r="E3633" s="14" t="str">
        <f aca="false">IF(C3633="","",C3633*D3633/100)</f>
        <v/>
      </c>
      <c r="F3633" s="15" t="str">
        <f aca="false">IF(B3633&lt;5,"Go","Standard")</f>
        <v>Go</v>
      </c>
    </row>
    <row r="3634" customFormat="false" ht="15" hidden="false" customHeight="true" outlineLevel="0" collapsed="false">
      <c r="A3634" s="10" t="n">
        <f aca="false">Einstellungen!$B$5+INT((ROW()-9)/24)</f>
        <v>46117</v>
      </c>
      <c r="B3634" s="11" t="n">
        <f aca="false">MOD(ROW()-9,24)</f>
        <v>1</v>
      </c>
      <c r="C3634" s="12"/>
      <c r="D3634" s="13" t="n">
        <f aca="false">IF(B3634&lt;5,Einstellungen!$B$3,Einstellungen!$B$4)</f>
        <v>15.92</v>
      </c>
      <c r="E3634" s="14" t="str">
        <f aca="false">IF(C3634="","",C3634*D3634/100)</f>
        <v/>
      </c>
      <c r="F3634" s="15" t="str">
        <f aca="false">IF(B3634&lt;5,"Go","Standard")</f>
        <v>Go</v>
      </c>
    </row>
    <row r="3635" customFormat="false" ht="15" hidden="false" customHeight="true" outlineLevel="0" collapsed="false">
      <c r="A3635" s="10" t="n">
        <f aca="false">Einstellungen!$B$5+INT((ROW()-9)/24)</f>
        <v>46117</v>
      </c>
      <c r="B3635" s="11" t="n">
        <f aca="false">MOD(ROW()-9,24)</f>
        <v>2</v>
      </c>
      <c r="C3635" s="12"/>
      <c r="D3635" s="13" t="n">
        <f aca="false">IF(B3635&lt;5,Einstellungen!$B$3,Einstellungen!$B$4)</f>
        <v>15.92</v>
      </c>
      <c r="E3635" s="14" t="str">
        <f aca="false">IF(C3635="","",C3635*D3635/100)</f>
        <v/>
      </c>
      <c r="F3635" s="15" t="str">
        <f aca="false">IF(B3635&lt;5,"Go","Standard")</f>
        <v>Go</v>
      </c>
    </row>
    <row r="3636" customFormat="false" ht="15" hidden="false" customHeight="true" outlineLevel="0" collapsed="false">
      <c r="A3636" s="10" t="n">
        <f aca="false">Einstellungen!$B$5+INT((ROW()-9)/24)</f>
        <v>46117</v>
      </c>
      <c r="B3636" s="11" t="n">
        <f aca="false">MOD(ROW()-9,24)</f>
        <v>3</v>
      </c>
      <c r="C3636" s="12"/>
      <c r="D3636" s="13" t="n">
        <f aca="false">IF(B3636&lt;5,Einstellungen!$B$3,Einstellungen!$B$4)</f>
        <v>15.92</v>
      </c>
      <c r="E3636" s="14" t="str">
        <f aca="false">IF(C3636="","",C3636*D3636/100)</f>
        <v/>
      </c>
      <c r="F3636" s="15" t="str">
        <f aca="false">IF(B3636&lt;5,"Go","Standard")</f>
        <v>Go</v>
      </c>
    </row>
    <row r="3637" customFormat="false" ht="15" hidden="false" customHeight="true" outlineLevel="0" collapsed="false">
      <c r="A3637" s="10" t="n">
        <f aca="false">Einstellungen!$B$5+INT((ROW()-9)/24)</f>
        <v>46117</v>
      </c>
      <c r="B3637" s="11" t="n">
        <f aca="false">MOD(ROW()-9,24)</f>
        <v>4</v>
      </c>
      <c r="C3637" s="12"/>
      <c r="D3637" s="13" t="n">
        <f aca="false">IF(B3637&lt;5,Einstellungen!$B$3,Einstellungen!$B$4)</f>
        <v>15.92</v>
      </c>
      <c r="E3637" s="14" t="str">
        <f aca="false">IF(C3637="","",C3637*D3637/100)</f>
        <v/>
      </c>
      <c r="F3637" s="15" t="str">
        <f aca="false">IF(B3637&lt;5,"Go","Standard")</f>
        <v>Go</v>
      </c>
    </row>
    <row r="3638" customFormat="false" ht="15" hidden="false" customHeight="true" outlineLevel="0" collapsed="false">
      <c r="A3638" s="10" t="n">
        <f aca="false">Einstellungen!$B$5+INT((ROW()-9)/24)</f>
        <v>46117</v>
      </c>
      <c r="B3638" s="11" t="n">
        <f aca="false">MOD(ROW()-9,24)</f>
        <v>5</v>
      </c>
      <c r="C3638" s="12"/>
      <c r="D3638" s="13" t="n">
        <f aca="false">IF(B3638&lt;5,Einstellungen!$B$3,Einstellungen!$B$4)</f>
        <v>29.13</v>
      </c>
      <c r="E3638" s="14" t="str">
        <f aca="false">IF(C3638="","",C3638*D3638/100)</f>
        <v/>
      </c>
      <c r="F3638" s="15" t="str">
        <f aca="false">IF(B3638&lt;5,"Go","Standard")</f>
        <v>Standard</v>
      </c>
    </row>
    <row r="3639" customFormat="false" ht="15" hidden="false" customHeight="true" outlineLevel="0" collapsed="false">
      <c r="A3639" s="10" t="n">
        <f aca="false">Einstellungen!$B$5+INT((ROW()-9)/24)</f>
        <v>46117</v>
      </c>
      <c r="B3639" s="11" t="n">
        <f aca="false">MOD(ROW()-9,24)</f>
        <v>6</v>
      </c>
      <c r="C3639" s="12"/>
      <c r="D3639" s="13" t="n">
        <f aca="false">IF(B3639&lt;5,Einstellungen!$B$3,Einstellungen!$B$4)</f>
        <v>29.13</v>
      </c>
      <c r="E3639" s="14" t="str">
        <f aca="false">IF(C3639="","",C3639*D3639/100)</f>
        <v/>
      </c>
      <c r="F3639" s="15" t="str">
        <f aca="false">IF(B3639&lt;5,"Go","Standard")</f>
        <v>Standard</v>
      </c>
    </row>
    <row r="3640" customFormat="false" ht="15" hidden="false" customHeight="true" outlineLevel="0" collapsed="false">
      <c r="A3640" s="10" t="n">
        <f aca="false">Einstellungen!$B$5+INT((ROW()-9)/24)</f>
        <v>46117</v>
      </c>
      <c r="B3640" s="11" t="n">
        <f aca="false">MOD(ROW()-9,24)</f>
        <v>7</v>
      </c>
      <c r="C3640" s="12"/>
      <c r="D3640" s="13" t="n">
        <f aca="false">IF(B3640&lt;5,Einstellungen!$B$3,Einstellungen!$B$4)</f>
        <v>29.13</v>
      </c>
      <c r="E3640" s="14" t="str">
        <f aca="false">IF(C3640="","",C3640*D3640/100)</f>
        <v/>
      </c>
      <c r="F3640" s="15" t="str">
        <f aca="false">IF(B3640&lt;5,"Go","Standard")</f>
        <v>Standard</v>
      </c>
    </row>
    <row r="3641" customFormat="false" ht="15" hidden="false" customHeight="true" outlineLevel="0" collapsed="false">
      <c r="A3641" s="10" t="n">
        <f aca="false">Einstellungen!$B$5+INT((ROW()-9)/24)</f>
        <v>46117</v>
      </c>
      <c r="B3641" s="11" t="n">
        <f aca="false">MOD(ROW()-9,24)</f>
        <v>8</v>
      </c>
      <c r="C3641" s="12"/>
      <c r="D3641" s="13" t="n">
        <f aca="false">IF(B3641&lt;5,Einstellungen!$B$3,Einstellungen!$B$4)</f>
        <v>29.13</v>
      </c>
      <c r="E3641" s="14" t="str">
        <f aca="false">IF(C3641="","",C3641*D3641/100)</f>
        <v/>
      </c>
      <c r="F3641" s="15" t="str">
        <f aca="false">IF(B3641&lt;5,"Go","Standard")</f>
        <v>Standard</v>
      </c>
    </row>
    <row r="3642" customFormat="false" ht="15" hidden="false" customHeight="true" outlineLevel="0" collapsed="false">
      <c r="A3642" s="10" t="n">
        <f aca="false">Einstellungen!$B$5+INT((ROW()-9)/24)</f>
        <v>46117</v>
      </c>
      <c r="B3642" s="11" t="n">
        <f aca="false">MOD(ROW()-9,24)</f>
        <v>9</v>
      </c>
      <c r="C3642" s="12"/>
      <c r="D3642" s="13" t="n">
        <f aca="false">IF(B3642&lt;5,Einstellungen!$B$3,Einstellungen!$B$4)</f>
        <v>29.13</v>
      </c>
      <c r="E3642" s="14" t="str">
        <f aca="false">IF(C3642="","",C3642*D3642/100)</f>
        <v/>
      </c>
      <c r="F3642" s="15" t="str">
        <f aca="false">IF(B3642&lt;5,"Go","Standard")</f>
        <v>Standard</v>
      </c>
    </row>
    <row r="3643" customFormat="false" ht="15" hidden="false" customHeight="true" outlineLevel="0" collapsed="false">
      <c r="A3643" s="10" t="n">
        <f aca="false">Einstellungen!$B$5+INT((ROW()-9)/24)</f>
        <v>46117</v>
      </c>
      <c r="B3643" s="11" t="n">
        <f aca="false">MOD(ROW()-9,24)</f>
        <v>10</v>
      </c>
      <c r="C3643" s="12"/>
      <c r="D3643" s="13" t="n">
        <f aca="false">IF(B3643&lt;5,Einstellungen!$B$3,Einstellungen!$B$4)</f>
        <v>29.13</v>
      </c>
      <c r="E3643" s="14" t="str">
        <f aca="false">IF(C3643="","",C3643*D3643/100)</f>
        <v/>
      </c>
      <c r="F3643" s="15" t="str">
        <f aca="false">IF(B3643&lt;5,"Go","Standard")</f>
        <v>Standard</v>
      </c>
    </row>
    <row r="3644" customFormat="false" ht="15" hidden="false" customHeight="true" outlineLevel="0" collapsed="false">
      <c r="A3644" s="10" t="n">
        <f aca="false">Einstellungen!$B$5+INT((ROW()-9)/24)</f>
        <v>46117</v>
      </c>
      <c r="B3644" s="11" t="n">
        <f aca="false">MOD(ROW()-9,24)</f>
        <v>11</v>
      </c>
      <c r="C3644" s="12"/>
      <c r="D3644" s="13" t="n">
        <f aca="false">IF(B3644&lt;5,Einstellungen!$B$3,Einstellungen!$B$4)</f>
        <v>29.13</v>
      </c>
      <c r="E3644" s="14" t="str">
        <f aca="false">IF(C3644="","",C3644*D3644/100)</f>
        <v/>
      </c>
      <c r="F3644" s="15" t="str">
        <f aca="false">IF(B3644&lt;5,"Go","Standard")</f>
        <v>Standard</v>
      </c>
    </row>
    <row r="3645" customFormat="false" ht="15" hidden="false" customHeight="true" outlineLevel="0" collapsed="false">
      <c r="A3645" s="10" t="n">
        <f aca="false">Einstellungen!$B$5+INT((ROW()-9)/24)</f>
        <v>46117</v>
      </c>
      <c r="B3645" s="11" t="n">
        <f aca="false">MOD(ROW()-9,24)</f>
        <v>12</v>
      </c>
      <c r="C3645" s="12"/>
      <c r="D3645" s="13" t="n">
        <f aca="false">IF(B3645&lt;5,Einstellungen!$B$3,Einstellungen!$B$4)</f>
        <v>29.13</v>
      </c>
      <c r="E3645" s="14" t="str">
        <f aca="false">IF(C3645="","",C3645*D3645/100)</f>
        <v/>
      </c>
      <c r="F3645" s="15" t="str">
        <f aca="false">IF(B3645&lt;5,"Go","Standard")</f>
        <v>Standard</v>
      </c>
    </row>
    <row r="3646" customFormat="false" ht="15" hidden="false" customHeight="true" outlineLevel="0" collapsed="false">
      <c r="A3646" s="10" t="n">
        <f aca="false">Einstellungen!$B$5+INT((ROW()-9)/24)</f>
        <v>46117</v>
      </c>
      <c r="B3646" s="11" t="n">
        <f aca="false">MOD(ROW()-9,24)</f>
        <v>13</v>
      </c>
      <c r="C3646" s="12"/>
      <c r="D3646" s="13" t="n">
        <f aca="false">IF(B3646&lt;5,Einstellungen!$B$3,Einstellungen!$B$4)</f>
        <v>29.13</v>
      </c>
      <c r="E3646" s="14" t="str">
        <f aca="false">IF(C3646="","",C3646*D3646/100)</f>
        <v/>
      </c>
      <c r="F3646" s="15" t="str">
        <f aca="false">IF(B3646&lt;5,"Go","Standard")</f>
        <v>Standard</v>
      </c>
    </row>
    <row r="3647" customFormat="false" ht="15" hidden="false" customHeight="true" outlineLevel="0" collapsed="false">
      <c r="A3647" s="10" t="n">
        <f aca="false">Einstellungen!$B$5+INT((ROW()-9)/24)</f>
        <v>46117</v>
      </c>
      <c r="B3647" s="11" t="n">
        <f aca="false">MOD(ROW()-9,24)</f>
        <v>14</v>
      </c>
      <c r="C3647" s="12"/>
      <c r="D3647" s="13" t="n">
        <f aca="false">IF(B3647&lt;5,Einstellungen!$B$3,Einstellungen!$B$4)</f>
        <v>29.13</v>
      </c>
      <c r="E3647" s="14" t="str">
        <f aca="false">IF(C3647="","",C3647*D3647/100)</f>
        <v/>
      </c>
      <c r="F3647" s="15" t="str">
        <f aca="false">IF(B3647&lt;5,"Go","Standard")</f>
        <v>Standard</v>
      </c>
    </row>
    <row r="3648" customFormat="false" ht="15" hidden="false" customHeight="true" outlineLevel="0" collapsed="false">
      <c r="A3648" s="10" t="n">
        <f aca="false">Einstellungen!$B$5+INT((ROW()-9)/24)</f>
        <v>46117</v>
      </c>
      <c r="B3648" s="11" t="n">
        <f aca="false">MOD(ROW()-9,24)</f>
        <v>15</v>
      </c>
      <c r="C3648" s="12"/>
      <c r="D3648" s="13" t="n">
        <f aca="false">IF(B3648&lt;5,Einstellungen!$B$3,Einstellungen!$B$4)</f>
        <v>29.13</v>
      </c>
      <c r="E3648" s="14" t="str">
        <f aca="false">IF(C3648="","",C3648*D3648/100)</f>
        <v/>
      </c>
      <c r="F3648" s="15" t="str">
        <f aca="false">IF(B3648&lt;5,"Go","Standard")</f>
        <v>Standard</v>
      </c>
    </row>
    <row r="3649" customFormat="false" ht="15" hidden="false" customHeight="true" outlineLevel="0" collapsed="false">
      <c r="A3649" s="10" t="n">
        <f aca="false">Einstellungen!$B$5+INT((ROW()-9)/24)</f>
        <v>46117</v>
      </c>
      <c r="B3649" s="11" t="n">
        <f aca="false">MOD(ROW()-9,24)</f>
        <v>16</v>
      </c>
      <c r="C3649" s="12"/>
      <c r="D3649" s="13" t="n">
        <f aca="false">IF(B3649&lt;5,Einstellungen!$B$3,Einstellungen!$B$4)</f>
        <v>29.13</v>
      </c>
      <c r="E3649" s="14" t="str">
        <f aca="false">IF(C3649="","",C3649*D3649/100)</f>
        <v/>
      </c>
      <c r="F3649" s="15" t="str">
        <f aca="false">IF(B3649&lt;5,"Go","Standard")</f>
        <v>Standard</v>
      </c>
    </row>
    <row r="3650" customFormat="false" ht="15" hidden="false" customHeight="true" outlineLevel="0" collapsed="false">
      <c r="A3650" s="10" t="n">
        <f aca="false">Einstellungen!$B$5+INT((ROW()-9)/24)</f>
        <v>46117</v>
      </c>
      <c r="B3650" s="11" t="n">
        <f aca="false">MOD(ROW()-9,24)</f>
        <v>17</v>
      </c>
      <c r="C3650" s="12"/>
      <c r="D3650" s="13" t="n">
        <f aca="false">IF(B3650&lt;5,Einstellungen!$B$3,Einstellungen!$B$4)</f>
        <v>29.13</v>
      </c>
      <c r="E3650" s="14" t="str">
        <f aca="false">IF(C3650="","",C3650*D3650/100)</f>
        <v/>
      </c>
      <c r="F3650" s="15" t="str">
        <f aca="false">IF(B3650&lt;5,"Go","Standard")</f>
        <v>Standard</v>
      </c>
    </row>
    <row r="3651" customFormat="false" ht="15" hidden="false" customHeight="true" outlineLevel="0" collapsed="false">
      <c r="A3651" s="10" t="n">
        <f aca="false">Einstellungen!$B$5+INT((ROW()-9)/24)</f>
        <v>46117</v>
      </c>
      <c r="B3651" s="11" t="n">
        <f aca="false">MOD(ROW()-9,24)</f>
        <v>18</v>
      </c>
      <c r="C3651" s="12"/>
      <c r="D3651" s="13" t="n">
        <f aca="false">IF(B3651&lt;5,Einstellungen!$B$3,Einstellungen!$B$4)</f>
        <v>29.13</v>
      </c>
      <c r="E3651" s="14" t="str">
        <f aca="false">IF(C3651="","",C3651*D3651/100)</f>
        <v/>
      </c>
      <c r="F3651" s="15" t="str">
        <f aca="false">IF(B3651&lt;5,"Go","Standard")</f>
        <v>Standard</v>
      </c>
    </row>
    <row r="3652" customFormat="false" ht="15" hidden="false" customHeight="true" outlineLevel="0" collapsed="false">
      <c r="A3652" s="10" t="n">
        <f aca="false">Einstellungen!$B$5+INT((ROW()-9)/24)</f>
        <v>46117</v>
      </c>
      <c r="B3652" s="11" t="n">
        <f aca="false">MOD(ROW()-9,24)</f>
        <v>19</v>
      </c>
      <c r="C3652" s="12"/>
      <c r="D3652" s="13" t="n">
        <f aca="false">IF(B3652&lt;5,Einstellungen!$B$3,Einstellungen!$B$4)</f>
        <v>29.13</v>
      </c>
      <c r="E3652" s="14" t="str">
        <f aca="false">IF(C3652="","",C3652*D3652/100)</f>
        <v/>
      </c>
      <c r="F3652" s="15" t="str">
        <f aca="false">IF(B3652&lt;5,"Go","Standard")</f>
        <v>Standard</v>
      </c>
    </row>
    <row r="3653" customFormat="false" ht="15" hidden="false" customHeight="true" outlineLevel="0" collapsed="false">
      <c r="A3653" s="10" t="n">
        <f aca="false">Einstellungen!$B$5+INT((ROW()-9)/24)</f>
        <v>46117</v>
      </c>
      <c r="B3653" s="11" t="n">
        <f aca="false">MOD(ROW()-9,24)</f>
        <v>20</v>
      </c>
      <c r="C3653" s="12"/>
      <c r="D3653" s="13" t="n">
        <f aca="false">IF(B3653&lt;5,Einstellungen!$B$3,Einstellungen!$B$4)</f>
        <v>29.13</v>
      </c>
      <c r="E3653" s="14" t="str">
        <f aca="false">IF(C3653="","",C3653*D3653/100)</f>
        <v/>
      </c>
      <c r="F3653" s="15" t="str">
        <f aca="false">IF(B3653&lt;5,"Go","Standard")</f>
        <v>Standard</v>
      </c>
    </row>
    <row r="3654" customFormat="false" ht="15" hidden="false" customHeight="true" outlineLevel="0" collapsed="false">
      <c r="A3654" s="10" t="n">
        <f aca="false">Einstellungen!$B$5+INT((ROW()-9)/24)</f>
        <v>46117</v>
      </c>
      <c r="B3654" s="11" t="n">
        <f aca="false">MOD(ROW()-9,24)</f>
        <v>21</v>
      </c>
      <c r="C3654" s="12"/>
      <c r="D3654" s="13" t="n">
        <f aca="false">IF(B3654&lt;5,Einstellungen!$B$3,Einstellungen!$B$4)</f>
        <v>29.13</v>
      </c>
      <c r="E3654" s="14" t="str">
        <f aca="false">IF(C3654="","",C3654*D3654/100)</f>
        <v/>
      </c>
      <c r="F3654" s="15" t="str">
        <f aca="false">IF(B3654&lt;5,"Go","Standard")</f>
        <v>Standard</v>
      </c>
    </row>
    <row r="3655" customFormat="false" ht="15" hidden="false" customHeight="true" outlineLevel="0" collapsed="false">
      <c r="A3655" s="10" t="n">
        <f aca="false">Einstellungen!$B$5+INT((ROW()-9)/24)</f>
        <v>46117</v>
      </c>
      <c r="B3655" s="11" t="n">
        <f aca="false">MOD(ROW()-9,24)</f>
        <v>22</v>
      </c>
      <c r="C3655" s="12"/>
      <c r="D3655" s="13" t="n">
        <f aca="false">IF(B3655&lt;5,Einstellungen!$B$3,Einstellungen!$B$4)</f>
        <v>29.13</v>
      </c>
      <c r="E3655" s="14" t="str">
        <f aca="false">IF(C3655="","",C3655*D3655/100)</f>
        <v/>
      </c>
      <c r="F3655" s="15" t="str">
        <f aca="false">IF(B3655&lt;5,"Go","Standard")</f>
        <v>Standard</v>
      </c>
    </row>
    <row r="3656" customFormat="false" ht="15" hidden="false" customHeight="true" outlineLevel="0" collapsed="false">
      <c r="A3656" s="10" t="n">
        <f aca="false">Einstellungen!$B$5+INT((ROW()-9)/24)</f>
        <v>46117</v>
      </c>
      <c r="B3656" s="11" t="n">
        <f aca="false">MOD(ROW()-9,24)</f>
        <v>23</v>
      </c>
      <c r="C3656" s="12"/>
      <c r="D3656" s="13" t="n">
        <f aca="false">IF(B3656&lt;5,Einstellungen!$B$3,Einstellungen!$B$4)</f>
        <v>29.13</v>
      </c>
      <c r="E3656" s="14" t="str">
        <f aca="false">IF(C3656="","",C3656*D3656/100)</f>
        <v/>
      </c>
      <c r="F3656" s="15" t="str">
        <f aca="false">IF(B3656&lt;5,"Go","Standard")</f>
        <v>Standard</v>
      </c>
    </row>
    <row r="3657" customFormat="false" ht="15" hidden="false" customHeight="true" outlineLevel="0" collapsed="false">
      <c r="A3657" s="10" t="n">
        <f aca="false">Einstellungen!$B$5+INT((ROW()-9)/24)</f>
        <v>46118</v>
      </c>
      <c r="B3657" s="11" t="n">
        <f aca="false">MOD(ROW()-9,24)</f>
        <v>0</v>
      </c>
      <c r="C3657" s="12"/>
      <c r="D3657" s="13" t="n">
        <f aca="false">IF(B3657&lt;5,Einstellungen!$B$3,Einstellungen!$B$4)</f>
        <v>15.92</v>
      </c>
      <c r="E3657" s="14" t="str">
        <f aca="false">IF(C3657="","",C3657*D3657/100)</f>
        <v/>
      </c>
      <c r="F3657" s="15" t="str">
        <f aca="false">IF(B3657&lt;5,"Go","Standard")</f>
        <v>Go</v>
      </c>
    </row>
    <row r="3658" customFormat="false" ht="15" hidden="false" customHeight="true" outlineLevel="0" collapsed="false">
      <c r="A3658" s="10" t="n">
        <f aca="false">Einstellungen!$B$5+INT((ROW()-9)/24)</f>
        <v>46118</v>
      </c>
      <c r="B3658" s="11" t="n">
        <f aca="false">MOD(ROW()-9,24)</f>
        <v>1</v>
      </c>
      <c r="C3658" s="12"/>
      <c r="D3658" s="13" t="n">
        <f aca="false">IF(B3658&lt;5,Einstellungen!$B$3,Einstellungen!$B$4)</f>
        <v>15.92</v>
      </c>
      <c r="E3658" s="14" t="str">
        <f aca="false">IF(C3658="","",C3658*D3658/100)</f>
        <v/>
      </c>
      <c r="F3658" s="15" t="str">
        <f aca="false">IF(B3658&lt;5,"Go","Standard")</f>
        <v>Go</v>
      </c>
    </row>
    <row r="3659" customFormat="false" ht="15" hidden="false" customHeight="true" outlineLevel="0" collapsed="false">
      <c r="A3659" s="10" t="n">
        <f aca="false">Einstellungen!$B$5+INT((ROW()-9)/24)</f>
        <v>46118</v>
      </c>
      <c r="B3659" s="11" t="n">
        <f aca="false">MOD(ROW()-9,24)</f>
        <v>2</v>
      </c>
      <c r="C3659" s="12"/>
      <c r="D3659" s="13" t="n">
        <f aca="false">IF(B3659&lt;5,Einstellungen!$B$3,Einstellungen!$B$4)</f>
        <v>15.92</v>
      </c>
      <c r="E3659" s="14" t="str">
        <f aca="false">IF(C3659="","",C3659*D3659/100)</f>
        <v/>
      </c>
      <c r="F3659" s="15" t="str">
        <f aca="false">IF(B3659&lt;5,"Go","Standard")</f>
        <v>Go</v>
      </c>
    </row>
    <row r="3660" customFormat="false" ht="15" hidden="false" customHeight="true" outlineLevel="0" collapsed="false">
      <c r="A3660" s="10" t="n">
        <f aca="false">Einstellungen!$B$5+INT((ROW()-9)/24)</f>
        <v>46118</v>
      </c>
      <c r="B3660" s="11" t="n">
        <f aca="false">MOD(ROW()-9,24)</f>
        <v>3</v>
      </c>
      <c r="C3660" s="12"/>
      <c r="D3660" s="13" t="n">
        <f aca="false">IF(B3660&lt;5,Einstellungen!$B$3,Einstellungen!$B$4)</f>
        <v>15.92</v>
      </c>
      <c r="E3660" s="14" t="str">
        <f aca="false">IF(C3660="","",C3660*D3660/100)</f>
        <v/>
      </c>
      <c r="F3660" s="15" t="str">
        <f aca="false">IF(B3660&lt;5,"Go","Standard")</f>
        <v>Go</v>
      </c>
    </row>
    <row r="3661" customFormat="false" ht="15" hidden="false" customHeight="true" outlineLevel="0" collapsed="false">
      <c r="A3661" s="10" t="n">
        <f aca="false">Einstellungen!$B$5+INT((ROW()-9)/24)</f>
        <v>46118</v>
      </c>
      <c r="B3661" s="11" t="n">
        <f aca="false">MOD(ROW()-9,24)</f>
        <v>4</v>
      </c>
      <c r="C3661" s="12"/>
      <c r="D3661" s="13" t="n">
        <f aca="false">IF(B3661&lt;5,Einstellungen!$B$3,Einstellungen!$B$4)</f>
        <v>15.92</v>
      </c>
      <c r="E3661" s="14" t="str">
        <f aca="false">IF(C3661="","",C3661*D3661/100)</f>
        <v/>
      </c>
      <c r="F3661" s="15" t="str">
        <f aca="false">IF(B3661&lt;5,"Go","Standard")</f>
        <v>Go</v>
      </c>
    </row>
    <row r="3662" customFormat="false" ht="15" hidden="false" customHeight="true" outlineLevel="0" collapsed="false">
      <c r="A3662" s="10" t="n">
        <f aca="false">Einstellungen!$B$5+INT((ROW()-9)/24)</f>
        <v>46118</v>
      </c>
      <c r="B3662" s="11" t="n">
        <f aca="false">MOD(ROW()-9,24)</f>
        <v>5</v>
      </c>
      <c r="C3662" s="12"/>
      <c r="D3662" s="13" t="n">
        <f aca="false">IF(B3662&lt;5,Einstellungen!$B$3,Einstellungen!$B$4)</f>
        <v>29.13</v>
      </c>
      <c r="E3662" s="14" t="str">
        <f aca="false">IF(C3662="","",C3662*D3662/100)</f>
        <v/>
      </c>
      <c r="F3662" s="15" t="str">
        <f aca="false">IF(B3662&lt;5,"Go","Standard")</f>
        <v>Standard</v>
      </c>
    </row>
    <row r="3663" customFormat="false" ht="15" hidden="false" customHeight="true" outlineLevel="0" collapsed="false">
      <c r="A3663" s="10" t="n">
        <f aca="false">Einstellungen!$B$5+INT((ROW()-9)/24)</f>
        <v>46118</v>
      </c>
      <c r="B3663" s="11" t="n">
        <f aca="false">MOD(ROW()-9,24)</f>
        <v>6</v>
      </c>
      <c r="C3663" s="12"/>
      <c r="D3663" s="13" t="n">
        <f aca="false">IF(B3663&lt;5,Einstellungen!$B$3,Einstellungen!$B$4)</f>
        <v>29.13</v>
      </c>
      <c r="E3663" s="14" t="str">
        <f aca="false">IF(C3663="","",C3663*D3663/100)</f>
        <v/>
      </c>
      <c r="F3663" s="15" t="str">
        <f aca="false">IF(B3663&lt;5,"Go","Standard")</f>
        <v>Standard</v>
      </c>
    </row>
    <row r="3664" customFormat="false" ht="15" hidden="false" customHeight="true" outlineLevel="0" collapsed="false">
      <c r="A3664" s="10" t="n">
        <f aca="false">Einstellungen!$B$5+INT((ROW()-9)/24)</f>
        <v>46118</v>
      </c>
      <c r="B3664" s="11" t="n">
        <f aca="false">MOD(ROW()-9,24)</f>
        <v>7</v>
      </c>
      <c r="C3664" s="12"/>
      <c r="D3664" s="13" t="n">
        <f aca="false">IF(B3664&lt;5,Einstellungen!$B$3,Einstellungen!$B$4)</f>
        <v>29.13</v>
      </c>
      <c r="E3664" s="14" t="str">
        <f aca="false">IF(C3664="","",C3664*D3664/100)</f>
        <v/>
      </c>
      <c r="F3664" s="15" t="str">
        <f aca="false">IF(B3664&lt;5,"Go","Standard")</f>
        <v>Standard</v>
      </c>
    </row>
    <row r="3665" customFormat="false" ht="15" hidden="false" customHeight="true" outlineLevel="0" collapsed="false">
      <c r="A3665" s="10" t="n">
        <f aca="false">Einstellungen!$B$5+INT((ROW()-9)/24)</f>
        <v>46118</v>
      </c>
      <c r="B3665" s="11" t="n">
        <f aca="false">MOD(ROW()-9,24)</f>
        <v>8</v>
      </c>
      <c r="C3665" s="12"/>
      <c r="D3665" s="13" t="n">
        <f aca="false">IF(B3665&lt;5,Einstellungen!$B$3,Einstellungen!$B$4)</f>
        <v>29.13</v>
      </c>
      <c r="E3665" s="14" t="str">
        <f aca="false">IF(C3665="","",C3665*D3665/100)</f>
        <v/>
      </c>
      <c r="F3665" s="15" t="str">
        <f aca="false">IF(B3665&lt;5,"Go","Standard")</f>
        <v>Standard</v>
      </c>
    </row>
    <row r="3666" customFormat="false" ht="15" hidden="false" customHeight="true" outlineLevel="0" collapsed="false">
      <c r="A3666" s="10" t="n">
        <f aca="false">Einstellungen!$B$5+INT((ROW()-9)/24)</f>
        <v>46118</v>
      </c>
      <c r="B3666" s="11" t="n">
        <f aca="false">MOD(ROW()-9,24)</f>
        <v>9</v>
      </c>
      <c r="C3666" s="12"/>
      <c r="D3666" s="13" t="n">
        <f aca="false">IF(B3666&lt;5,Einstellungen!$B$3,Einstellungen!$B$4)</f>
        <v>29.13</v>
      </c>
      <c r="E3666" s="14" t="str">
        <f aca="false">IF(C3666="","",C3666*D3666/100)</f>
        <v/>
      </c>
      <c r="F3666" s="15" t="str">
        <f aca="false">IF(B3666&lt;5,"Go","Standard")</f>
        <v>Standard</v>
      </c>
    </row>
    <row r="3667" customFormat="false" ht="15" hidden="false" customHeight="true" outlineLevel="0" collapsed="false">
      <c r="A3667" s="10" t="n">
        <f aca="false">Einstellungen!$B$5+INT((ROW()-9)/24)</f>
        <v>46118</v>
      </c>
      <c r="B3667" s="11" t="n">
        <f aca="false">MOD(ROW()-9,24)</f>
        <v>10</v>
      </c>
      <c r="C3667" s="12"/>
      <c r="D3667" s="13" t="n">
        <f aca="false">IF(B3667&lt;5,Einstellungen!$B$3,Einstellungen!$B$4)</f>
        <v>29.13</v>
      </c>
      <c r="E3667" s="14" t="str">
        <f aca="false">IF(C3667="","",C3667*D3667/100)</f>
        <v/>
      </c>
      <c r="F3667" s="15" t="str">
        <f aca="false">IF(B3667&lt;5,"Go","Standard")</f>
        <v>Standard</v>
      </c>
    </row>
    <row r="3668" customFormat="false" ht="15" hidden="false" customHeight="true" outlineLevel="0" collapsed="false">
      <c r="A3668" s="10" t="n">
        <f aca="false">Einstellungen!$B$5+INT((ROW()-9)/24)</f>
        <v>46118</v>
      </c>
      <c r="B3668" s="11" t="n">
        <f aca="false">MOD(ROW()-9,24)</f>
        <v>11</v>
      </c>
      <c r="C3668" s="12"/>
      <c r="D3668" s="13" t="n">
        <f aca="false">IF(B3668&lt;5,Einstellungen!$B$3,Einstellungen!$B$4)</f>
        <v>29.13</v>
      </c>
      <c r="E3668" s="14" t="str">
        <f aca="false">IF(C3668="","",C3668*D3668/100)</f>
        <v/>
      </c>
      <c r="F3668" s="15" t="str">
        <f aca="false">IF(B3668&lt;5,"Go","Standard")</f>
        <v>Standard</v>
      </c>
    </row>
    <row r="3669" customFormat="false" ht="15" hidden="false" customHeight="true" outlineLevel="0" collapsed="false">
      <c r="A3669" s="10" t="n">
        <f aca="false">Einstellungen!$B$5+INT((ROW()-9)/24)</f>
        <v>46118</v>
      </c>
      <c r="B3669" s="11" t="n">
        <f aca="false">MOD(ROW()-9,24)</f>
        <v>12</v>
      </c>
      <c r="C3669" s="12"/>
      <c r="D3669" s="13" t="n">
        <f aca="false">IF(B3669&lt;5,Einstellungen!$B$3,Einstellungen!$B$4)</f>
        <v>29.13</v>
      </c>
      <c r="E3669" s="14" t="str">
        <f aca="false">IF(C3669="","",C3669*D3669/100)</f>
        <v/>
      </c>
      <c r="F3669" s="15" t="str">
        <f aca="false">IF(B3669&lt;5,"Go","Standard")</f>
        <v>Standard</v>
      </c>
    </row>
    <row r="3670" customFormat="false" ht="15" hidden="false" customHeight="true" outlineLevel="0" collapsed="false">
      <c r="A3670" s="10" t="n">
        <f aca="false">Einstellungen!$B$5+INT((ROW()-9)/24)</f>
        <v>46118</v>
      </c>
      <c r="B3670" s="11" t="n">
        <f aca="false">MOD(ROW()-9,24)</f>
        <v>13</v>
      </c>
      <c r="C3670" s="12"/>
      <c r="D3670" s="13" t="n">
        <f aca="false">IF(B3670&lt;5,Einstellungen!$B$3,Einstellungen!$B$4)</f>
        <v>29.13</v>
      </c>
      <c r="E3670" s="14" t="str">
        <f aca="false">IF(C3670="","",C3670*D3670/100)</f>
        <v/>
      </c>
      <c r="F3670" s="15" t="str">
        <f aca="false">IF(B3670&lt;5,"Go","Standard")</f>
        <v>Standard</v>
      </c>
    </row>
    <row r="3671" customFormat="false" ht="15" hidden="false" customHeight="true" outlineLevel="0" collapsed="false">
      <c r="A3671" s="10" t="n">
        <f aca="false">Einstellungen!$B$5+INT((ROW()-9)/24)</f>
        <v>46118</v>
      </c>
      <c r="B3671" s="11" t="n">
        <f aca="false">MOD(ROW()-9,24)</f>
        <v>14</v>
      </c>
      <c r="C3671" s="12"/>
      <c r="D3671" s="13" t="n">
        <f aca="false">IF(B3671&lt;5,Einstellungen!$B$3,Einstellungen!$B$4)</f>
        <v>29.13</v>
      </c>
      <c r="E3671" s="14" t="str">
        <f aca="false">IF(C3671="","",C3671*D3671/100)</f>
        <v/>
      </c>
      <c r="F3671" s="15" t="str">
        <f aca="false">IF(B3671&lt;5,"Go","Standard")</f>
        <v>Standard</v>
      </c>
    </row>
    <row r="3672" customFormat="false" ht="15" hidden="false" customHeight="true" outlineLevel="0" collapsed="false">
      <c r="A3672" s="10" t="n">
        <f aca="false">Einstellungen!$B$5+INT((ROW()-9)/24)</f>
        <v>46118</v>
      </c>
      <c r="B3672" s="11" t="n">
        <f aca="false">MOD(ROW()-9,24)</f>
        <v>15</v>
      </c>
      <c r="C3672" s="12"/>
      <c r="D3672" s="13" t="n">
        <f aca="false">IF(B3672&lt;5,Einstellungen!$B$3,Einstellungen!$B$4)</f>
        <v>29.13</v>
      </c>
      <c r="E3672" s="14" t="str">
        <f aca="false">IF(C3672="","",C3672*D3672/100)</f>
        <v/>
      </c>
      <c r="F3672" s="15" t="str">
        <f aca="false">IF(B3672&lt;5,"Go","Standard")</f>
        <v>Standard</v>
      </c>
    </row>
    <row r="3673" customFormat="false" ht="15" hidden="false" customHeight="true" outlineLevel="0" collapsed="false">
      <c r="A3673" s="10" t="n">
        <f aca="false">Einstellungen!$B$5+INT((ROW()-9)/24)</f>
        <v>46118</v>
      </c>
      <c r="B3673" s="11" t="n">
        <f aca="false">MOD(ROW()-9,24)</f>
        <v>16</v>
      </c>
      <c r="C3673" s="12"/>
      <c r="D3673" s="13" t="n">
        <f aca="false">IF(B3673&lt;5,Einstellungen!$B$3,Einstellungen!$B$4)</f>
        <v>29.13</v>
      </c>
      <c r="E3673" s="14" t="str">
        <f aca="false">IF(C3673="","",C3673*D3673/100)</f>
        <v/>
      </c>
      <c r="F3673" s="15" t="str">
        <f aca="false">IF(B3673&lt;5,"Go","Standard")</f>
        <v>Standard</v>
      </c>
    </row>
    <row r="3674" customFormat="false" ht="15" hidden="false" customHeight="true" outlineLevel="0" collapsed="false">
      <c r="A3674" s="10" t="n">
        <f aca="false">Einstellungen!$B$5+INT((ROW()-9)/24)</f>
        <v>46118</v>
      </c>
      <c r="B3674" s="11" t="n">
        <f aca="false">MOD(ROW()-9,24)</f>
        <v>17</v>
      </c>
      <c r="C3674" s="12"/>
      <c r="D3674" s="13" t="n">
        <f aca="false">IF(B3674&lt;5,Einstellungen!$B$3,Einstellungen!$B$4)</f>
        <v>29.13</v>
      </c>
      <c r="E3674" s="14" t="str">
        <f aca="false">IF(C3674="","",C3674*D3674/100)</f>
        <v/>
      </c>
      <c r="F3674" s="15" t="str">
        <f aca="false">IF(B3674&lt;5,"Go","Standard")</f>
        <v>Standard</v>
      </c>
    </row>
    <row r="3675" customFormat="false" ht="15" hidden="false" customHeight="true" outlineLevel="0" collapsed="false">
      <c r="A3675" s="10" t="n">
        <f aca="false">Einstellungen!$B$5+INT((ROW()-9)/24)</f>
        <v>46118</v>
      </c>
      <c r="B3675" s="11" t="n">
        <f aca="false">MOD(ROW()-9,24)</f>
        <v>18</v>
      </c>
      <c r="C3675" s="12"/>
      <c r="D3675" s="13" t="n">
        <f aca="false">IF(B3675&lt;5,Einstellungen!$B$3,Einstellungen!$B$4)</f>
        <v>29.13</v>
      </c>
      <c r="E3675" s="14" t="str">
        <f aca="false">IF(C3675="","",C3675*D3675/100)</f>
        <v/>
      </c>
      <c r="F3675" s="15" t="str">
        <f aca="false">IF(B3675&lt;5,"Go","Standard")</f>
        <v>Standard</v>
      </c>
    </row>
    <row r="3676" customFormat="false" ht="15" hidden="false" customHeight="true" outlineLevel="0" collapsed="false">
      <c r="A3676" s="10" t="n">
        <f aca="false">Einstellungen!$B$5+INT((ROW()-9)/24)</f>
        <v>46118</v>
      </c>
      <c r="B3676" s="11" t="n">
        <f aca="false">MOD(ROW()-9,24)</f>
        <v>19</v>
      </c>
      <c r="C3676" s="12"/>
      <c r="D3676" s="13" t="n">
        <f aca="false">IF(B3676&lt;5,Einstellungen!$B$3,Einstellungen!$B$4)</f>
        <v>29.13</v>
      </c>
      <c r="E3676" s="14" t="str">
        <f aca="false">IF(C3676="","",C3676*D3676/100)</f>
        <v/>
      </c>
      <c r="F3676" s="15" t="str">
        <f aca="false">IF(B3676&lt;5,"Go","Standard")</f>
        <v>Standard</v>
      </c>
    </row>
    <row r="3677" customFormat="false" ht="15" hidden="false" customHeight="true" outlineLevel="0" collapsed="false">
      <c r="A3677" s="10" t="n">
        <f aca="false">Einstellungen!$B$5+INT((ROW()-9)/24)</f>
        <v>46118</v>
      </c>
      <c r="B3677" s="11" t="n">
        <f aca="false">MOD(ROW()-9,24)</f>
        <v>20</v>
      </c>
      <c r="C3677" s="12"/>
      <c r="D3677" s="13" t="n">
        <f aca="false">IF(B3677&lt;5,Einstellungen!$B$3,Einstellungen!$B$4)</f>
        <v>29.13</v>
      </c>
      <c r="E3677" s="14" t="str">
        <f aca="false">IF(C3677="","",C3677*D3677/100)</f>
        <v/>
      </c>
      <c r="F3677" s="15" t="str">
        <f aca="false">IF(B3677&lt;5,"Go","Standard")</f>
        <v>Standard</v>
      </c>
    </row>
    <row r="3678" customFormat="false" ht="15" hidden="false" customHeight="true" outlineLevel="0" collapsed="false">
      <c r="A3678" s="10" t="n">
        <f aca="false">Einstellungen!$B$5+INT((ROW()-9)/24)</f>
        <v>46118</v>
      </c>
      <c r="B3678" s="11" t="n">
        <f aca="false">MOD(ROW()-9,24)</f>
        <v>21</v>
      </c>
      <c r="C3678" s="12"/>
      <c r="D3678" s="13" t="n">
        <f aca="false">IF(B3678&lt;5,Einstellungen!$B$3,Einstellungen!$B$4)</f>
        <v>29.13</v>
      </c>
      <c r="E3678" s="14" t="str">
        <f aca="false">IF(C3678="","",C3678*D3678/100)</f>
        <v/>
      </c>
      <c r="F3678" s="15" t="str">
        <f aca="false">IF(B3678&lt;5,"Go","Standard")</f>
        <v>Standard</v>
      </c>
    </row>
    <row r="3679" customFormat="false" ht="15" hidden="false" customHeight="true" outlineLevel="0" collapsed="false">
      <c r="A3679" s="10" t="n">
        <f aca="false">Einstellungen!$B$5+INT((ROW()-9)/24)</f>
        <v>46118</v>
      </c>
      <c r="B3679" s="11" t="n">
        <f aca="false">MOD(ROW()-9,24)</f>
        <v>22</v>
      </c>
      <c r="C3679" s="12"/>
      <c r="D3679" s="13" t="n">
        <f aca="false">IF(B3679&lt;5,Einstellungen!$B$3,Einstellungen!$B$4)</f>
        <v>29.13</v>
      </c>
      <c r="E3679" s="14" t="str">
        <f aca="false">IF(C3679="","",C3679*D3679/100)</f>
        <v/>
      </c>
      <c r="F3679" s="15" t="str">
        <f aca="false">IF(B3679&lt;5,"Go","Standard")</f>
        <v>Standard</v>
      </c>
    </row>
    <row r="3680" customFormat="false" ht="15" hidden="false" customHeight="true" outlineLevel="0" collapsed="false">
      <c r="A3680" s="10" t="n">
        <f aca="false">Einstellungen!$B$5+INT((ROW()-9)/24)</f>
        <v>46118</v>
      </c>
      <c r="B3680" s="11" t="n">
        <f aca="false">MOD(ROW()-9,24)</f>
        <v>23</v>
      </c>
      <c r="C3680" s="12"/>
      <c r="D3680" s="13" t="n">
        <f aca="false">IF(B3680&lt;5,Einstellungen!$B$3,Einstellungen!$B$4)</f>
        <v>29.13</v>
      </c>
      <c r="E3680" s="14" t="str">
        <f aca="false">IF(C3680="","",C3680*D3680/100)</f>
        <v/>
      </c>
      <c r="F3680" s="15" t="str">
        <f aca="false">IF(B3680&lt;5,"Go","Standard")</f>
        <v>Standard</v>
      </c>
    </row>
    <row r="3681" customFormat="false" ht="15" hidden="false" customHeight="true" outlineLevel="0" collapsed="false">
      <c r="A3681" s="10" t="n">
        <f aca="false">Einstellungen!$B$5+INT((ROW()-9)/24)</f>
        <v>46119</v>
      </c>
      <c r="B3681" s="11" t="n">
        <f aca="false">MOD(ROW()-9,24)</f>
        <v>0</v>
      </c>
      <c r="C3681" s="12"/>
      <c r="D3681" s="13" t="n">
        <f aca="false">IF(B3681&lt;5,Einstellungen!$B$3,Einstellungen!$B$4)</f>
        <v>15.92</v>
      </c>
      <c r="E3681" s="14" t="str">
        <f aca="false">IF(C3681="","",C3681*D3681/100)</f>
        <v/>
      </c>
      <c r="F3681" s="15" t="str">
        <f aca="false">IF(B3681&lt;5,"Go","Standard")</f>
        <v>Go</v>
      </c>
    </row>
    <row r="3682" customFormat="false" ht="15" hidden="false" customHeight="true" outlineLevel="0" collapsed="false">
      <c r="A3682" s="10" t="n">
        <f aca="false">Einstellungen!$B$5+INT((ROW()-9)/24)</f>
        <v>46119</v>
      </c>
      <c r="B3682" s="11" t="n">
        <f aca="false">MOD(ROW()-9,24)</f>
        <v>1</v>
      </c>
      <c r="C3682" s="12"/>
      <c r="D3682" s="13" t="n">
        <f aca="false">IF(B3682&lt;5,Einstellungen!$B$3,Einstellungen!$B$4)</f>
        <v>15.92</v>
      </c>
      <c r="E3682" s="14" t="str">
        <f aca="false">IF(C3682="","",C3682*D3682/100)</f>
        <v/>
      </c>
      <c r="F3682" s="15" t="str">
        <f aca="false">IF(B3682&lt;5,"Go","Standard")</f>
        <v>Go</v>
      </c>
    </row>
    <row r="3683" customFormat="false" ht="15" hidden="false" customHeight="true" outlineLevel="0" collapsed="false">
      <c r="A3683" s="10" t="n">
        <f aca="false">Einstellungen!$B$5+INT((ROW()-9)/24)</f>
        <v>46119</v>
      </c>
      <c r="B3683" s="11" t="n">
        <f aca="false">MOD(ROW()-9,24)</f>
        <v>2</v>
      </c>
      <c r="C3683" s="12"/>
      <c r="D3683" s="13" t="n">
        <f aca="false">IF(B3683&lt;5,Einstellungen!$B$3,Einstellungen!$B$4)</f>
        <v>15.92</v>
      </c>
      <c r="E3683" s="14" t="str">
        <f aca="false">IF(C3683="","",C3683*D3683/100)</f>
        <v/>
      </c>
      <c r="F3683" s="15" t="str">
        <f aca="false">IF(B3683&lt;5,"Go","Standard")</f>
        <v>Go</v>
      </c>
    </row>
    <row r="3684" customFormat="false" ht="15" hidden="false" customHeight="true" outlineLevel="0" collapsed="false">
      <c r="A3684" s="10" t="n">
        <f aca="false">Einstellungen!$B$5+INT((ROW()-9)/24)</f>
        <v>46119</v>
      </c>
      <c r="B3684" s="11" t="n">
        <f aca="false">MOD(ROW()-9,24)</f>
        <v>3</v>
      </c>
      <c r="C3684" s="12"/>
      <c r="D3684" s="13" t="n">
        <f aca="false">IF(B3684&lt;5,Einstellungen!$B$3,Einstellungen!$B$4)</f>
        <v>15.92</v>
      </c>
      <c r="E3684" s="14" t="str">
        <f aca="false">IF(C3684="","",C3684*D3684/100)</f>
        <v/>
      </c>
      <c r="F3684" s="15" t="str">
        <f aca="false">IF(B3684&lt;5,"Go","Standard")</f>
        <v>Go</v>
      </c>
    </row>
    <row r="3685" customFormat="false" ht="15" hidden="false" customHeight="true" outlineLevel="0" collapsed="false">
      <c r="A3685" s="10" t="n">
        <f aca="false">Einstellungen!$B$5+INT((ROW()-9)/24)</f>
        <v>46119</v>
      </c>
      <c r="B3685" s="11" t="n">
        <f aca="false">MOD(ROW()-9,24)</f>
        <v>4</v>
      </c>
      <c r="C3685" s="12"/>
      <c r="D3685" s="13" t="n">
        <f aca="false">IF(B3685&lt;5,Einstellungen!$B$3,Einstellungen!$B$4)</f>
        <v>15.92</v>
      </c>
      <c r="E3685" s="14" t="str">
        <f aca="false">IF(C3685="","",C3685*D3685/100)</f>
        <v/>
      </c>
      <c r="F3685" s="15" t="str">
        <f aca="false">IF(B3685&lt;5,"Go","Standard")</f>
        <v>Go</v>
      </c>
    </row>
    <row r="3686" customFormat="false" ht="15" hidden="false" customHeight="true" outlineLevel="0" collapsed="false">
      <c r="A3686" s="10" t="n">
        <f aca="false">Einstellungen!$B$5+INT((ROW()-9)/24)</f>
        <v>46119</v>
      </c>
      <c r="B3686" s="11" t="n">
        <f aca="false">MOD(ROW()-9,24)</f>
        <v>5</v>
      </c>
      <c r="C3686" s="12"/>
      <c r="D3686" s="13" t="n">
        <f aca="false">IF(B3686&lt;5,Einstellungen!$B$3,Einstellungen!$B$4)</f>
        <v>29.13</v>
      </c>
      <c r="E3686" s="14" t="str">
        <f aca="false">IF(C3686="","",C3686*D3686/100)</f>
        <v/>
      </c>
      <c r="F3686" s="15" t="str">
        <f aca="false">IF(B3686&lt;5,"Go","Standard")</f>
        <v>Standard</v>
      </c>
    </row>
    <row r="3687" customFormat="false" ht="15" hidden="false" customHeight="true" outlineLevel="0" collapsed="false">
      <c r="A3687" s="10" t="n">
        <f aca="false">Einstellungen!$B$5+INT((ROW()-9)/24)</f>
        <v>46119</v>
      </c>
      <c r="B3687" s="11" t="n">
        <f aca="false">MOD(ROW()-9,24)</f>
        <v>6</v>
      </c>
      <c r="C3687" s="12"/>
      <c r="D3687" s="13" t="n">
        <f aca="false">IF(B3687&lt;5,Einstellungen!$B$3,Einstellungen!$B$4)</f>
        <v>29.13</v>
      </c>
      <c r="E3687" s="14" t="str">
        <f aca="false">IF(C3687="","",C3687*D3687/100)</f>
        <v/>
      </c>
      <c r="F3687" s="15" t="str">
        <f aca="false">IF(B3687&lt;5,"Go","Standard")</f>
        <v>Standard</v>
      </c>
    </row>
    <row r="3688" customFormat="false" ht="15" hidden="false" customHeight="true" outlineLevel="0" collapsed="false">
      <c r="A3688" s="10" t="n">
        <f aca="false">Einstellungen!$B$5+INT((ROW()-9)/24)</f>
        <v>46119</v>
      </c>
      <c r="B3688" s="11" t="n">
        <f aca="false">MOD(ROW()-9,24)</f>
        <v>7</v>
      </c>
      <c r="C3688" s="12"/>
      <c r="D3688" s="13" t="n">
        <f aca="false">IF(B3688&lt;5,Einstellungen!$B$3,Einstellungen!$B$4)</f>
        <v>29.13</v>
      </c>
      <c r="E3688" s="14" t="str">
        <f aca="false">IF(C3688="","",C3688*D3688/100)</f>
        <v/>
      </c>
      <c r="F3688" s="15" t="str">
        <f aca="false">IF(B3688&lt;5,"Go","Standard")</f>
        <v>Standard</v>
      </c>
    </row>
    <row r="3689" customFormat="false" ht="15" hidden="false" customHeight="true" outlineLevel="0" collapsed="false">
      <c r="A3689" s="10" t="n">
        <f aca="false">Einstellungen!$B$5+INT((ROW()-9)/24)</f>
        <v>46119</v>
      </c>
      <c r="B3689" s="11" t="n">
        <f aca="false">MOD(ROW()-9,24)</f>
        <v>8</v>
      </c>
      <c r="C3689" s="12"/>
      <c r="D3689" s="13" t="n">
        <f aca="false">IF(B3689&lt;5,Einstellungen!$B$3,Einstellungen!$B$4)</f>
        <v>29.13</v>
      </c>
      <c r="E3689" s="14" t="str">
        <f aca="false">IF(C3689="","",C3689*D3689/100)</f>
        <v/>
      </c>
      <c r="F3689" s="15" t="str">
        <f aca="false">IF(B3689&lt;5,"Go","Standard")</f>
        <v>Standard</v>
      </c>
    </row>
    <row r="3690" customFormat="false" ht="15" hidden="false" customHeight="true" outlineLevel="0" collapsed="false">
      <c r="A3690" s="10" t="n">
        <f aca="false">Einstellungen!$B$5+INT((ROW()-9)/24)</f>
        <v>46119</v>
      </c>
      <c r="B3690" s="11" t="n">
        <f aca="false">MOD(ROW()-9,24)</f>
        <v>9</v>
      </c>
      <c r="C3690" s="12"/>
      <c r="D3690" s="13" t="n">
        <f aca="false">IF(B3690&lt;5,Einstellungen!$B$3,Einstellungen!$B$4)</f>
        <v>29.13</v>
      </c>
      <c r="E3690" s="14" t="str">
        <f aca="false">IF(C3690="","",C3690*D3690/100)</f>
        <v/>
      </c>
      <c r="F3690" s="15" t="str">
        <f aca="false">IF(B3690&lt;5,"Go","Standard")</f>
        <v>Standard</v>
      </c>
    </row>
    <row r="3691" customFormat="false" ht="15" hidden="false" customHeight="true" outlineLevel="0" collapsed="false">
      <c r="A3691" s="10" t="n">
        <f aca="false">Einstellungen!$B$5+INT((ROW()-9)/24)</f>
        <v>46119</v>
      </c>
      <c r="B3691" s="11" t="n">
        <f aca="false">MOD(ROW()-9,24)</f>
        <v>10</v>
      </c>
      <c r="C3691" s="12"/>
      <c r="D3691" s="13" t="n">
        <f aca="false">IF(B3691&lt;5,Einstellungen!$B$3,Einstellungen!$B$4)</f>
        <v>29.13</v>
      </c>
      <c r="E3691" s="14" t="str">
        <f aca="false">IF(C3691="","",C3691*D3691/100)</f>
        <v/>
      </c>
      <c r="F3691" s="15" t="str">
        <f aca="false">IF(B3691&lt;5,"Go","Standard")</f>
        <v>Standard</v>
      </c>
    </row>
    <row r="3692" customFormat="false" ht="15" hidden="false" customHeight="true" outlineLevel="0" collapsed="false">
      <c r="A3692" s="10" t="n">
        <f aca="false">Einstellungen!$B$5+INT((ROW()-9)/24)</f>
        <v>46119</v>
      </c>
      <c r="B3692" s="11" t="n">
        <f aca="false">MOD(ROW()-9,24)</f>
        <v>11</v>
      </c>
      <c r="C3692" s="12"/>
      <c r="D3692" s="13" t="n">
        <f aca="false">IF(B3692&lt;5,Einstellungen!$B$3,Einstellungen!$B$4)</f>
        <v>29.13</v>
      </c>
      <c r="E3692" s="14" t="str">
        <f aca="false">IF(C3692="","",C3692*D3692/100)</f>
        <v/>
      </c>
      <c r="F3692" s="15" t="str">
        <f aca="false">IF(B3692&lt;5,"Go","Standard")</f>
        <v>Standard</v>
      </c>
    </row>
    <row r="3693" customFormat="false" ht="15" hidden="false" customHeight="true" outlineLevel="0" collapsed="false">
      <c r="A3693" s="10" t="n">
        <f aca="false">Einstellungen!$B$5+INT((ROW()-9)/24)</f>
        <v>46119</v>
      </c>
      <c r="B3693" s="11" t="n">
        <f aca="false">MOD(ROW()-9,24)</f>
        <v>12</v>
      </c>
      <c r="C3693" s="12"/>
      <c r="D3693" s="13" t="n">
        <f aca="false">IF(B3693&lt;5,Einstellungen!$B$3,Einstellungen!$B$4)</f>
        <v>29.13</v>
      </c>
      <c r="E3693" s="14" t="str">
        <f aca="false">IF(C3693="","",C3693*D3693/100)</f>
        <v/>
      </c>
      <c r="F3693" s="15" t="str">
        <f aca="false">IF(B3693&lt;5,"Go","Standard")</f>
        <v>Standard</v>
      </c>
    </row>
    <row r="3694" customFormat="false" ht="15" hidden="false" customHeight="true" outlineLevel="0" collapsed="false">
      <c r="A3694" s="10" t="n">
        <f aca="false">Einstellungen!$B$5+INT((ROW()-9)/24)</f>
        <v>46119</v>
      </c>
      <c r="B3694" s="11" t="n">
        <f aca="false">MOD(ROW()-9,24)</f>
        <v>13</v>
      </c>
      <c r="C3694" s="12"/>
      <c r="D3694" s="13" t="n">
        <f aca="false">IF(B3694&lt;5,Einstellungen!$B$3,Einstellungen!$B$4)</f>
        <v>29.13</v>
      </c>
      <c r="E3694" s="14" t="str">
        <f aca="false">IF(C3694="","",C3694*D3694/100)</f>
        <v/>
      </c>
      <c r="F3694" s="15" t="str">
        <f aca="false">IF(B3694&lt;5,"Go","Standard")</f>
        <v>Standard</v>
      </c>
    </row>
    <row r="3695" customFormat="false" ht="15" hidden="false" customHeight="true" outlineLevel="0" collapsed="false">
      <c r="A3695" s="10" t="n">
        <f aca="false">Einstellungen!$B$5+INT((ROW()-9)/24)</f>
        <v>46119</v>
      </c>
      <c r="B3695" s="11" t="n">
        <f aca="false">MOD(ROW()-9,24)</f>
        <v>14</v>
      </c>
      <c r="C3695" s="12"/>
      <c r="D3695" s="13" t="n">
        <f aca="false">IF(B3695&lt;5,Einstellungen!$B$3,Einstellungen!$B$4)</f>
        <v>29.13</v>
      </c>
      <c r="E3695" s="14" t="str">
        <f aca="false">IF(C3695="","",C3695*D3695/100)</f>
        <v/>
      </c>
      <c r="F3695" s="15" t="str">
        <f aca="false">IF(B3695&lt;5,"Go","Standard")</f>
        <v>Standard</v>
      </c>
    </row>
    <row r="3696" customFormat="false" ht="15" hidden="false" customHeight="true" outlineLevel="0" collapsed="false">
      <c r="A3696" s="10" t="n">
        <f aca="false">Einstellungen!$B$5+INT((ROW()-9)/24)</f>
        <v>46119</v>
      </c>
      <c r="B3696" s="11" t="n">
        <f aca="false">MOD(ROW()-9,24)</f>
        <v>15</v>
      </c>
      <c r="C3696" s="12"/>
      <c r="D3696" s="13" t="n">
        <f aca="false">IF(B3696&lt;5,Einstellungen!$B$3,Einstellungen!$B$4)</f>
        <v>29.13</v>
      </c>
      <c r="E3696" s="14" t="str">
        <f aca="false">IF(C3696="","",C3696*D3696/100)</f>
        <v/>
      </c>
      <c r="F3696" s="15" t="str">
        <f aca="false">IF(B3696&lt;5,"Go","Standard")</f>
        <v>Standard</v>
      </c>
    </row>
    <row r="3697" customFormat="false" ht="15" hidden="false" customHeight="true" outlineLevel="0" collapsed="false">
      <c r="A3697" s="10" t="n">
        <f aca="false">Einstellungen!$B$5+INT((ROW()-9)/24)</f>
        <v>46119</v>
      </c>
      <c r="B3697" s="11" t="n">
        <f aca="false">MOD(ROW()-9,24)</f>
        <v>16</v>
      </c>
      <c r="C3697" s="12"/>
      <c r="D3697" s="13" t="n">
        <f aca="false">IF(B3697&lt;5,Einstellungen!$B$3,Einstellungen!$B$4)</f>
        <v>29.13</v>
      </c>
      <c r="E3697" s="14" t="str">
        <f aca="false">IF(C3697="","",C3697*D3697/100)</f>
        <v/>
      </c>
      <c r="F3697" s="15" t="str">
        <f aca="false">IF(B3697&lt;5,"Go","Standard")</f>
        <v>Standard</v>
      </c>
    </row>
    <row r="3698" customFormat="false" ht="15" hidden="false" customHeight="true" outlineLevel="0" collapsed="false">
      <c r="A3698" s="10" t="n">
        <f aca="false">Einstellungen!$B$5+INT((ROW()-9)/24)</f>
        <v>46119</v>
      </c>
      <c r="B3698" s="11" t="n">
        <f aca="false">MOD(ROW()-9,24)</f>
        <v>17</v>
      </c>
      <c r="C3698" s="12"/>
      <c r="D3698" s="13" t="n">
        <f aca="false">IF(B3698&lt;5,Einstellungen!$B$3,Einstellungen!$B$4)</f>
        <v>29.13</v>
      </c>
      <c r="E3698" s="14" t="str">
        <f aca="false">IF(C3698="","",C3698*D3698/100)</f>
        <v/>
      </c>
      <c r="F3698" s="15" t="str">
        <f aca="false">IF(B3698&lt;5,"Go","Standard")</f>
        <v>Standard</v>
      </c>
    </row>
    <row r="3699" customFormat="false" ht="15" hidden="false" customHeight="true" outlineLevel="0" collapsed="false">
      <c r="A3699" s="10" t="n">
        <f aca="false">Einstellungen!$B$5+INT((ROW()-9)/24)</f>
        <v>46119</v>
      </c>
      <c r="B3699" s="11" t="n">
        <f aca="false">MOD(ROW()-9,24)</f>
        <v>18</v>
      </c>
      <c r="C3699" s="12"/>
      <c r="D3699" s="13" t="n">
        <f aca="false">IF(B3699&lt;5,Einstellungen!$B$3,Einstellungen!$B$4)</f>
        <v>29.13</v>
      </c>
      <c r="E3699" s="14" t="str">
        <f aca="false">IF(C3699="","",C3699*D3699/100)</f>
        <v/>
      </c>
      <c r="F3699" s="15" t="str">
        <f aca="false">IF(B3699&lt;5,"Go","Standard")</f>
        <v>Standard</v>
      </c>
    </row>
    <row r="3700" customFormat="false" ht="15" hidden="false" customHeight="true" outlineLevel="0" collapsed="false">
      <c r="A3700" s="10" t="n">
        <f aca="false">Einstellungen!$B$5+INT((ROW()-9)/24)</f>
        <v>46119</v>
      </c>
      <c r="B3700" s="11" t="n">
        <f aca="false">MOD(ROW()-9,24)</f>
        <v>19</v>
      </c>
      <c r="C3700" s="12"/>
      <c r="D3700" s="13" t="n">
        <f aca="false">IF(B3700&lt;5,Einstellungen!$B$3,Einstellungen!$B$4)</f>
        <v>29.13</v>
      </c>
      <c r="E3700" s="14" t="str">
        <f aca="false">IF(C3700="","",C3700*D3700/100)</f>
        <v/>
      </c>
      <c r="F3700" s="15" t="str">
        <f aca="false">IF(B3700&lt;5,"Go","Standard")</f>
        <v>Standard</v>
      </c>
    </row>
    <row r="3701" customFormat="false" ht="15" hidden="false" customHeight="true" outlineLevel="0" collapsed="false">
      <c r="A3701" s="10" t="n">
        <f aca="false">Einstellungen!$B$5+INT((ROW()-9)/24)</f>
        <v>46119</v>
      </c>
      <c r="B3701" s="11" t="n">
        <f aca="false">MOD(ROW()-9,24)</f>
        <v>20</v>
      </c>
      <c r="C3701" s="12"/>
      <c r="D3701" s="13" t="n">
        <f aca="false">IF(B3701&lt;5,Einstellungen!$B$3,Einstellungen!$B$4)</f>
        <v>29.13</v>
      </c>
      <c r="E3701" s="14" t="str">
        <f aca="false">IF(C3701="","",C3701*D3701/100)</f>
        <v/>
      </c>
      <c r="F3701" s="15" t="str">
        <f aca="false">IF(B3701&lt;5,"Go","Standard")</f>
        <v>Standard</v>
      </c>
    </row>
    <row r="3702" customFormat="false" ht="15" hidden="false" customHeight="true" outlineLevel="0" collapsed="false">
      <c r="A3702" s="10" t="n">
        <f aca="false">Einstellungen!$B$5+INT((ROW()-9)/24)</f>
        <v>46119</v>
      </c>
      <c r="B3702" s="11" t="n">
        <f aca="false">MOD(ROW()-9,24)</f>
        <v>21</v>
      </c>
      <c r="C3702" s="12"/>
      <c r="D3702" s="13" t="n">
        <f aca="false">IF(B3702&lt;5,Einstellungen!$B$3,Einstellungen!$B$4)</f>
        <v>29.13</v>
      </c>
      <c r="E3702" s="14" t="str">
        <f aca="false">IF(C3702="","",C3702*D3702/100)</f>
        <v/>
      </c>
      <c r="F3702" s="15" t="str">
        <f aca="false">IF(B3702&lt;5,"Go","Standard")</f>
        <v>Standard</v>
      </c>
    </row>
    <row r="3703" customFormat="false" ht="15" hidden="false" customHeight="true" outlineLevel="0" collapsed="false">
      <c r="A3703" s="10" t="n">
        <f aca="false">Einstellungen!$B$5+INT((ROW()-9)/24)</f>
        <v>46119</v>
      </c>
      <c r="B3703" s="11" t="n">
        <f aca="false">MOD(ROW()-9,24)</f>
        <v>22</v>
      </c>
      <c r="C3703" s="12"/>
      <c r="D3703" s="13" t="n">
        <f aca="false">IF(B3703&lt;5,Einstellungen!$B$3,Einstellungen!$B$4)</f>
        <v>29.13</v>
      </c>
      <c r="E3703" s="14" t="str">
        <f aca="false">IF(C3703="","",C3703*D3703/100)</f>
        <v/>
      </c>
      <c r="F3703" s="15" t="str">
        <f aca="false">IF(B3703&lt;5,"Go","Standard")</f>
        <v>Standard</v>
      </c>
    </row>
    <row r="3704" customFormat="false" ht="15" hidden="false" customHeight="true" outlineLevel="0" collapsed="false">
      <c r="A3704" s="10" t="n">
        <f aca="false">Einstellungen!$B$5+INT((ROW()-9)/24)</f>
        <v>46119</v>
      </c>
      <c r="B3704" s="11" t="n">
        <f aca="false">MOD(ROW()-9,24)</f>
        <v>23</v>
      </c>
      <c r="C3704" s="12"/>
      <c r="D3704" s="13" t="n">
        <f aca="false">IF(B3704&lt;5,Einstellungen!$B$3,Einstellungen!$B$4)</f>
        <v>29.13</v>
      </c>
      <c r="E3704" s="14" t="str">
        <f aca="false">IF(C3704="","",C3704*D3704/100)</f>
        <v/>
      </c>
      <c r="F3704" s="15" t="str">
        <f aca="false">IF(B3704&lt;5,"Go","Standard")</f>
        <v>Standard</v>
      </c>
    </row>
    <row r="3705" customFormat="false" ht="15" hidden="false" customHeight="true" outlineLevel="0" collapsed="false">
      <c r="A3705" s="10" t="n">
        <f aca="false">Einstellungen!$B$5+INT((ROW()-9)/24)</f>
        <v>46120</v>
      </c>
      <c r="B3705" s="11" t="n">
        <f aca="false">MOD(ROW()-9,24)</f>
        <v>0</v>
      </c>
      <c r="C3705" s="12"/>
      <c r="D3705" s="13" t="n">
        <f aca="false">IF(B3705&lt;5,Einstellungen!$B$3,Einstellungen!$B$4)</f>
        <v>15.92</v>
      </c>
      <c r="E3705" s="14" t="str">
        <f aca="false">IF(C3705="","",C3705*D3705/100)</f>
        <v/>
      </c>
      <c r="F3705" s="15" t="str">
        <f aca="false">IF(B3705&lt;5,"Go","Standard")</f>
        <v>Go</v>
      </c>
    </row>
    <row r="3706" customFormat="false" ht="15" hidden="false" customHeight="true" outlineLevel="0" collapsed="false">
      <c r="A3706" s="10" t="n">
        <f aca="false">Einstellungen!$B$5+INT((ROW()-9)/24)</f>
        <v>46120</v>
      </c>
      <c r="B3706" s="11" t="n">
        <f aca="false">MOD(ROW()-9,24)</f>
        <v>1</v>
      </c>
      <c r="C3706" s="12"/>
      <c r="D3706" s="13" t="n">
        <f aca="false">IF(B3706&lt;5,Einstellungen!$B$3,Einstellungen!$B$4)</f>
        <v>15.92</v>
      </c>
      <c r="E3706" s="14" t="str">
        <f aca="false">IF(C3706="","",C3706*D3706/100)</f>
        <v/>
      </c>
      <c r="F3706" s="15" t="str">
        <f aca="false">IF(B3706&lt;5,"Go","Standard")</f>
        <v>Go</v>
      </c>
    </row>
    <row r="3707" customFormat="false" ht="15" hidden="false" customHeight="true" outlineLevel="0" collapsed="false">
      <c r="A3707" s="10" t="n">
        <f aca="false">Einstellungen!$B$5+INT((ROW()-9)/24)</f>
        <v>46120</v>
      </c>
      <c r="B3707" s="11" t="n">
        <f aca="false">MOD(ROW()-9,24)</f>
        <v>2</v>
      </c>
      <c r="C3707" s="12"/>
      <c r="D3707" s="13" t="n">
        <f aca="false">IF(B3707&lt;5,Einstellungen!$B$3,Einstellungen!$B$4)</f>
        <v>15.92</v>
      </c>
      <c r="E3707" s="14" t="str">
        <f aca="false">IF(C3707="","",C3707*D3707/100)</f>
        <v/>
      </c>
      <c r="F3707" s="15" t="str">
        <f aca="false">IF(B3707&lt;5,"Go","Standard")</f>
        <v>Go</v>
      </c>
    </row>
    <row r="3708" customFormat="false" ht="15" hidden="false" customHeight="true" outlineLevel="0" collapsed="false">
      <c r="A3708" s="10" t="n">
        <f aca="false">Einstellungen!$B$5+INT((ROW()-9)/24)</f>
        <v>46120</v>
      </c>
      <c r="B3708" s="11" t="n">
        <f aca="false">MOD(ROW()-9,24)</f>
        <v>3</v>
      </c>
      <c r="C3708" s="12"/>
      <c r="D3708" s="13" t="n">
        <f aca="false">IF(B3708&lt;5,Einstellungen!$B$3,Einstellungen!$B$4)</f>
        <v>15.92</v>
      </c>
      <c r="E3708" s="14" t="str">
        <f aca="false">IF(C3708="","",C3708*D3708/100)</f>
        <v/>
      </c>
      <c r="F3708" s="15" t="str">
        <f aca="false">IF(B3708&lt;5,"Go","Standard")</f>
        <v>Go</v>
      </c>
    </row>
    <row r="3709" customFormat="false" ht="15" hidden="false" customHeight="true" outlineLevel="0" collapsed="false">
      <c r="A3709" s="10" t="n">
        <f aca="false">Einstellungen!$B$5+INT((ROW()-9)/24)</f>
        <v>46120</v>
      </c>
      <c r="B3709" s="11" t="n">
        <f aca="false">MOD(ROW()-9,24)</f>
        <v>4</v>
      </c>
      <c r="C3709" s="12"/>
      <c r="D3709" s="13" t="n">
        <f aca="false">IF(B3709&lt;5,Einstellungen!$B$3,Einstellungen!$B$4)</f>
        <v>15.92</v>
      </c>
      <c r="E3709" s="14" t="str">
        <f aca="false">IF(C3709="","",C3709*D3709/100)</f>
        <v/>
      </c>
      <c r="F3709" s="15" t="str">
        <f aca="false">IF(B3709&lt;5,"Go","Standard")</f>
        <v>Go</v>
      </c>
    </row>
    <row r="3710" customFormat="false" ht="15" hidden="false" customHeight="true" outlineLevel="0" collapsed="false">
      <c r="A3710" s="10" t="n">
        <f aca="false">Einstellungen!$B$5+INT((ROW()-9)/24)</f>
        <v>46120</v>
      </c>
      <c r="B3710" s="11" t="n">
        <f aca="false">MOD(ROW()-9,24)</f>
        <v>5</v>
      </c>
      <c r="C3710" s="12"/>
      <c r="D3710" s="13" t="n">
        <f aca="false">IF(B3710&lt;5,Einstellungen!$B$3,Einstellungen!$B$4)</f>
        <v>29.13</v>
      </c>
      <c r="E3710" s="14" t="str">
        <f aca="false">IF(C3710="","",C3710*D3710/100)</f>
        <v/>
      </c>
      <c r="F3710" s="15" t="str">
        <f aca="false">IF(B3710&lt;5,"Go","Standard")</f>
        <v>Standard</v>
      </c>
    </row>
    <row r="3711" customFormat="false" ht="15" hidden="false" customHeight="true" outlineLevel="0" collapsed="false">
      <c r="A3711" s="10" t="n">
        <f aca="false">Einstellungen!$B$5+INT((ROW()-9)/24)</f>
        <v>46120</v>
      </c>
      <c r="B3711" s="11" t="n">
        <f aca="false">MOD(ROW()-9,24)</f>
        <v>6</v>
      </c>
      <c r="C3711" s="12"/>
      <c r="D3711" s="13" t="n">
        <f aca="false">IF(B3711&lt;5,Einstellungen!$B$3,Einstellungen!$B$4)</f>
        <v>29.13</v>
      </c>
      <c r="E3711" s="14" t="str">
        <f aca="false">IF(C3711="","",C3711*D3711/100)</f>
        <v/>
      </c>
      <c r="F3711" s="15" t="str">
        <f aca="false">IF(B3711&lt;5,"Go","Standard")</f>
        <v>Standard</v>
      </c>
    </row>
    <row r="3712" customFormat="false" ht="15" hidden="false" customHeight="true" outlineLevel="0" collapsed="false">
      <c r="A3712" s="10" t="n">
        <f aca="false">Einstellungen!$B$5+INT((ROW()-9)/24)</f>
        <v>46120</v>
      </c>
      <c r="B3712" s="11" t="n">
        <f aca="false">MOD(ROW()-9,24)</f>
        <v>7</v>
      </c>
      <c r="C3712" s="12"/>
      <c r="D3712" s="13" t="n">
        <f aca="false">IF(B3712&lt;5,Einstellungen!$B$3,Einstellungen!$B$4)</f>
        <v>29.13</v>
      </c>
      <c r="E3712" s="14" t="str">
        <f aca="false">IF(C3712="","",C3712*D3712/100)</f>
        <v/>
      </c>
      <c r="F3712" s="15" t="str">
        <f aca="false">IF(B3712&lt;5,"Go","Standard")</f>
        <v>Standard</v>
      </c>
    </row>
    <row r="3713" customFormat="false" ht="15" hidden="false" customHeight="true" outlineLevel="0" collapsed="false">
      <c r="A3713" s="10" t="n">
        <f aca="false">Einstellungen!$B$5+INT((ROW()-9)/24)</f>
        <v>46120</v>
      </c>
      <c r="B3713" s="11" t="n">
        <f aca="false">MOD(ROW()-9,24)</f>
        <v>8</v>
      </c>
      <c r="C3713" s="12"/>
      <c r="D3713" s="13" t="n">
        <f aca="false">IF(B3713&lt;5,Einstellungen!$B$3,Einstellungen!$B$4)</f>
        <v>29.13</v>
      </c>
      <c r="E3713" s="14" t="str">
        <f aca="false">IF(C3713="","",C3713*D3713/100)</f>
        <v/>
      </c>
      <c r="F3713" s="15" t="str">
        <f aca="false">IF(B3713&lt;5,"Go","Standard")</f>
        <v>Standard</v>
      </c>
    </row>
    <row r="3714" customFormat="false" ht="15" hidden="false" customHeight="true" outlineLevel="0" collapsed="false">
      <c r="A3714" s="10" t="n">
        <f aca="false">Einstellungen!$B$5+INT((ROW()-9)/24)</f>
        <v>46120</v>
      </c>
      <c r="B3714" s="11" t="n">
        <f aca="false">MOD(ROW()-9,24)</f>
        <v>9</v>
      </c>
      <c r="C3714" s="12"/>
      <c r="D3714" s="13" t="n">
        <f aca="false">IF(B3714&lt;5,Einstellungen!$B$3,Einstellungen!$B$4)</f>
        <v>29.13</v>
      </c>
      <c r="E3714" s="14" t="str">
        <f aca="false">IF(C3714="","",C3714*D3714/100)</f>
        <v/>
      </c>
      <c r="F3714" s="15" t="str">
        <f aca="false">IF(B3714&lt;5,"Go","Standard")</f>
        <v>Standard</v>
      </c>
    </row>
    <row r="3715" customFormat="false" ht="15" hidden="false" customHeight="true" outlineLevel="0" collapsed="false">
      <c r="A3715" s="10" t="n">
        <f aca="false">Einstellungen!$B$5+INT((ROW()-9)/24)</f>
        <v>46120</v>
      </c>
      <c r="B3715" s="11" t="n">
        <f aca="false">MOD(ROW()-9,24)</f>
        <v>10</v>
      </c>
      <c r="C3715" s="12"/>
      <c r="D3715" s="13" t="n">
        <f aca="false">IF(B3715&lt;5,Einstellungen!$B$3,Einstellungen!$B$4)</f>
        <v>29.13</v>
      </c>
      <c r="E3715" s="14" t="str">
        <f aca="false">IF(C3715="","",C3715*D3715/100)</f>
        <v/>
      </c>
      <c r="F3715" s="15" t="str">
        <f aca="false">IF(B3715&lt;5,"Go","Standard")</f>
        <v>Standard</v>
      </c>
    </row>
    <row r="3716" customFormat="false" ht="15" hidden="false" customHeight="true" outlineLevel="0" collapsed="false">
      <c r="A3716" s="10" t="n">
        <f aca="false">Einstellungen!$B$5+INT((ROW()-9)/24)</f>
        <v>46120</v>
      </c>
      <c r="B3716" s="11" t="n">
        <f aca="false">MOD(ROW()-9,24)</f>
        <v>11</v>
      </c>
      <c r="C3716" s="12"/>
      <c r="D3716" s="13" t="n">
        <f aca="false">IF(B3716&lt;5,Einstellungen!$B$3,Einstellungen!$B$4)</f>
        <v>29.13</v>
      </c>
      <c r="E3716" s="14" t="str">
        <f aca="false">IF(C3716="","",C3716*D3716/100)</f>
        <v/>
      </c>
      <c r="F3716" s="15" t="str">
        <f aca="false">IF(B3716&lt;5,"Go","Standard")</f>
        <v>Standard</v>
      </c>
    </row>
    <row r="3717" customFormat="false" ht="15" hidden="false" customHeight="true" outlineLevel="0" collapsed="false">
      <c r="A3717" s="10" t="n">
        <f aca="false">Einstellungen!$B$5+INT((ROW()-9)/24)</f>
        <v>46120</v>
      </c>
      <c r="B3717" s="11" t="n">
        <f aca="false">MOD(ROW()-9,24)</f>
        <v>12</v>
      </c>
      <c r="C3717" s="12"/>
      <c r="D3717" s="13" t="n">
        <f aca="false">IF(B3717&lt;5,Einstellungen!$B$3,Einstellungen!$B$4)</f>
        <v>29.13</v>
      </c>
      <c r="E3717" s="14" t="str">
        <f aca="false">IF(C3717="","",C3717*D3717/100)</f>
        <v/>
      </c>
      <c r="F3717" s="15" t="str">
        <f aca="false">IF(B3717&lt;5,"Go","Standard")</f>
        <v>Standard</v>
      </c>
    </row>
    <row r="3718" customFormat="false" ht="15" hidden="false" customHeight="true" outlineLevel="0" collapsed="false">
      <c r="A3718" s="10" t="n">
        <f aca="false">Einstellungen!$B$5+INT((ROW()-9)/24)</f>
        <v>46120</v>
      </c>
      <c r="B3718" s="11" t="n">
        <f aca="false">MOD(ROW()-9,24)</f>
        <v>13</v>
      </c>
      <c r="C3718" s="12"/>
      <c r="D3718" s="13" t="n">
        <f aca="false">IF(B3718&lt;5,Einstellungen!$B$3,Einstellungen!$B$4)</f>
        <v>29.13</v>
      </c>
      <c r="E3718" s="14" t="str">
        <f aca="false">IF(C3718="","",C3718*D3718/100)</f>
        <v/>
      </c>
      <c r="F3718" s="15" t="str">
        <f aca="false">IF(B3718&lt;5,"Go","Standard")</f>
        <v>Standard</v>
      </c>
    </row>
    <row r="3719" customFormat="false" ht="15" hidden="false" customHeight="true" outlineLevel="0" collapsed="false">
      <c r="A3719" s="10" t="n">
        <f aca="false">Einstellungen!$B$5+INT((ROW()-9)/24)</f>
        <v>46120</v>
      </c>
      <c r="B3719" s="11" t="n">
        <f aca="false">MOD(ROW()-9,24)</f>
        <v>14</v>
      </c>
      <c r="C3719" s="12"/>
      <c r="D3719" s="13" t="n">
        <f aca="false">IF(B3719&lt;5,Einstellungen!$B$3,Einstellungen!$B$4)</f>
        <v>29.13</v>
      </c>
      <c r="E3719" s="14" t="str">
        <f aca="false">IF(C3719="","",C3719*D3719/100)</f>
        <v/>
      </c>
      <c r="F3719" s="15" t="str">
        <f aca="false">IF(B3719&lt;5,"Go","Standard")</f>
        <v>Standard</v>
      </c>
    </row>
    <row r="3720" customFormat="false" ht="15" hidden="false" customHeight="true" outlineLevel="0" collapsed="false">
      <c r="A3720" s="10" t="n">
        <f aca="false">Einstellungen!$B$5+INT((ROW()-9)/24)</f>
        <v>46120</v>
      </c>
      <c r="B3720" s="11" t="n">
        <f aca="false">MOD(ROW()-9,24)</f>
        <v>15</v>
      </c>
      <c r="C3720" s="12"/>
      <c r="D3720" s="13" t="n">
        <f aca="false">IF(B3720&lt;5,Einstellungen!$B$3,Einstellungen!$B$4)</f>
        <v>29.13</v>
      </c>
      <c r="E3720" s="14" t="str">
        <f aca="false">IF(C3720="","",C3720*D3720/100)</f>
        <v/>
      </c>
      <c r="F3720" s="15" t="str">
        <f aca="false">IF(B3720&lt;5,"Go","Standard")</f>
        <v>Standard</v>
      </c>
    </row>
    <row r="3721" customFormat="false" ht="15" hidden="false" customHeight="true" outlineLevel="0" collapsed="false">
      <c r="A3721" s="10" t="n">
        <f aca="false">Einstellungen!$B$5+INT((ROW()-9)/24)</f>
        <v>46120</v>
      </c>
      <c r="B3721" s="11" t="n">
        <f aca="false">MOD(ROW()-9,24)</f>
        <v>16</v>
      </c>
      <c r="C3721" s="12"/>
      <c r="D3721" s="13" t="n">
        <f aca="false">IF(B3721&lt;5,Einstellungen!$B$3,Einstellungen!$B$4)</f>
        <v>29.13</v>
      </c>
      <c r="E3721" s="14" t="str">
        <f aca="false">IF(C3721="","",C3721*D3721/100)</f>
        <v/>
      </c>
      <c r="F3721" s="15" t="str">
        <f aca="false">IF(B3721&lt;5,"Go","Standard")</f>
        <v>Standard</v>
      </c>
    </row>
    <row r="3722" customFormat="false" ht="15" hidden="false" customHeight="true" outlineLevel="0" collapsed="false">
      <c r="A3722" s="10" t="n">
        <f aca="false">Einstellungen!$B$5+INT((ROW()-9)/24)</f>
        <v>46120</v>
      </c>
      <c r="B3722" s="11" t="n">
        <f aca="false">MOD(ROW()-9,24)</f>
        <v>17</v>
      </c>
      <c r="C3722" s="12"/>
      <c r="D3722" s="13" t="n">
        <f aca="false">IF(B3722&lt;5,Einstellungen!$B$3,Einstellungen!$B$4)</f>
        <v>29.13</v>
      </c>
      <c r="E3722" s="14" t="str">
        <f aca="false">IF(C3722="","",C3722*D3722/100)</f>
        <v/>
      </c>
      <c r="F3722" s="15" t="str">
        <f aca="false">IF(B3722&lt;5,"Go","Standard")</f>
        <v>Standard</v>
      </c>
    </row>
    <row r="3723" customFormat="false" ht="15" hidden="false" customHeight="true" outlineLevel="0" collapsed="false">
      <c r="A3723" s="10" t="n">
        <f aca="false">Einstellungen!$B$5+INT((ROW()-9)/24)</f>
        <v>46120</v>
      </c>
      <c r="B3723" s="11" t="n">
        <f aca="false">MOD(ROW()-9,24)</f>
        <v>18</v>
      </c>
      <c r="C3723" s="12"/>
      <c r="D3723" s="13" t="n">
        <f aca="false">IF(B3723&lt;5,Einstellungen!$B$3,Einstellungen!$B$4)</f>
        <v>29.13</v>
      </c>
      <c r="E3723" s="14" t="str">
        <f aca="false">IF(C3723="","",C3723*D3723/100)</f>
        <v/>
      </c>
      <c r="F3723" s="15" t="str">
        <f aca="false">IF(B3723&lt;5,"Go","Standard")</f>
        <v>Standard</v>
      </c>
    </row>
    <row r="3724" customFormat="false" ht="15" hidden="false" customHeight="true" outlineLevel="0" collapsed="false">
      <c r="A3724" s="10" t="n">
        <f aca="false">Einstellungen!$B$5+INT((ROW()-9)/24)</f>
        <v>46120</v>
      </c>
      <c r="B3724" s="11" t="n">
        <f aca="false">MOD(ROW()-9,24)</f>
        <v>19</v>
      </c>
      <c r="C3724" s="12"/>
      <c r="D3724" s="13" t="n">
        <f aca="false">IF(B3724&lt;5,Einstellungen!$B$3,Einstellungen!$B$4)</f>
        <v>29.13</v>
      </c>
      <c r="E3724" s="14" t="str">
        <f aca="false">IF(C3724="","",C3724*D3724/100)</f>
        <v/>
      </c>
      <c r="F3724" s="15" t="str">
        <f aca="false">IF(B3724&lt;5,"Go","Standard")</f>
        <v>Standard</v>
      </c>
    </row>
    <row r="3725" customFormat="false" ht="15" hidden="false" customHeight="true" outlineLevel="0" collapsed="false">
      <c r="A3725" s="10" t="n">
        <f aca="false">Einstellungen!$B$5+INT((ROW()-9)/24)</f>
        <v>46120</v>
      </c>
      <c r="B3725" s="11" t="n">
        <f aca="false">MOD(ROW()-9,24)</f>
        <v>20</v>
      </c>
      <c r="C3725" s="12"/>
      <c r="D3725" s="13" t="n">
        <f aca="false">IF(B3725&lt;5,Einstellungen!$B$3,Einstellungen!$B$4)</f>
        <v>29.13</v>
      </c>
      <c r="E3725" s="14" t="str">
        <f aca="false">IF(C3725="","",C3725*D3725/100)</f>
        <v/>
      </c>
      <c r="F3725" s="15" t="str">
        <f aca="false">IF(B3725&lt;5,"Go","Standard")</f>
        <v>Standard</v>
      </c>
    </row>
    <row r="3726" customFormat="false" ht="15" hidden="false" customHeight="true" outlineLevel="0" collapsed="false">
      <c r="A3726" s="10" t="n">
        <f aca="false">Einstellungen!$B$5+INT((ROW()-9)/24)</f>
        <v>46120</v>
      </c>
      <c r="B3726" s="11" t="n">
        <f aca="false">MOD(ROW()-9,24)</f>
        <v>21</v>
      </c>
      <c r="C3726" s="12"/>
      <c r="D3726" s="13" t="n">
        <f aca="false">IF(B3726&lt;5,Einstellungen!$B$3,Einstellungen!$B$4)</f>
        <v>29.13</v>
      </c>
      <c r="E3726" s="14" t="str">
        <f aca="false">IF(C3726="","",C3726*D3726/100)</f>
        <v/>
      </c>
      <c r="F3726" s="15" t="str">
        <f aca="false">IF(B3726&lt;5,"Go","Standard")</f>
        <v>Standard</v>
      </c>
    </row>
    <row r="3727" customFormat="false" ht="15" hidden="false" customHeight="true" outlineLevel="0" collapsed="false">
      <c r="A3727" s="10" t="n">
        <f aca="false">Einstellungen!$B$5+INT((ROW()-9)/24)</f>
        <v>46120</v>
      </c>
      <c r="B3727" s="11" t="n">
        <f aca="false">MOD(ROW()-9,24)</f>
        <v>22</v>
      </c>
      <c r="C3727" s="12"/>
      <c r="D3727" s="13" t="n">
        <f aca="false">IF(B3727&lt;5,Einstellungen!$B$3,Einstellungen!$B$4)</f>
        <v>29.13</v>
      </c>
      <c r="E3727" s="14" t="str">
        <f aca="false">IF(C3727="","",C3727*D3727/100)</f>
        <v/>
      </c>
      <c r="F3727" s="15" t="str">
        <f aca="false">IF(B3727&lt;5,"Go","Standard")</f>
        <v>Standard</v>
      </c>
    </row>
    <row r="3728" customFormat="false" ht="15" hidden="false" customHeight="true" outlineLevel="0" collapsed="false">
      <c r="A3728" s="10" t="n">
        <f aca="false">Einstellungen!$B$5+INT((ROW()-9)/24)</f>
        <v>46120</v>
      </c>
      <c r="B3728" s="11" t="n">
        <f aca="false">MOD(ROW()-9,24)</f>
        <v>23</v>
      </c>
      <c r="C3728" s="12"/>
      <c r="D3728" s="13" t="n">
        <f aca="false">IF(B3728&lt;5,Einstellungen!$B$3,Einstellungen!$B$4)</f>
        <v>29.13</v>
      </c>
      <c r="E3728" s="14" t="str">
        <f aca="false">IF(C3728="","",C3728*D3728/100)</f>
        <v/>
      </c>
      <c r="F3728" s="15" t="str">
        <f aca="false">IF(B3728&lt;5,"Go","Standard")</f>
        <v>Standard</v>
      </c>
    </row>
    <row r="3729" customFormat="false" ht="15" hidden="false" customHeight="true" outlineLevel="0" collapsed="false">
      <c r="A3729" s="10" t="n">
        <f aca="false">Einstellungen!$B$5+INT((ROW()-9)/24)</f>
        <v>46121</v>
      </c>
      <c r="B3729" s="11" t="n">
        <f aca="false">MOD(ROW()-9,24)</f>
        <v>0</v>
      </c>
      <c r="C3729" s="12"/>
      <c r="D3729" s="13" t="n">
        <f aca="false">IF(B3729&lt;5,Einstellungen!$B$3,Einstellungen!$B$4)</f>
        <v>15.92</v>
      </c>
      <c r="E3729" s="14" t="str">
        <f aca="false">IF(C3729="","",C3729*D3729/100)</f>
        <v/>
      </c>
      <c r="F3729" s="15" t="str">
        <f aca="false">IF(B3729&lt;5,"Go","Standard")</f>
        <v>Go</v>
      </c>
    </row>
    <row r="3730" customFormat="false" ht="15" hidden="false" customHeight="true" outlineLevel="0" collapsed="false">
      <c r="A3730" s="10" t="n">
        <f aca="false">Einstellungen!$B$5+INT((ROW()-9)/24)</f>
        <v>46121</v>
      </c>
      <c r="B3730" s="11" t="n">
        <f aca="false">MOD(ROW()-9,24)</f>
        <v>1</v>
      </c>
      <c r="C3730" s="12"/>
      <c r="D3730" s="13" t="n">
        <f aca="false">IF(B3730&lt;5,Einstellungen!$B$3,Einstellungen!$B$4)</f>
        <v>15.92</v>
      </c>
      <c r="E3730" s="14" t="str">
        <f aca="false">IF(C3730="","",C3730*D3730/100)</f>
        <v/>
      </c>
      <c r="F3730" s="15" t="str">
        <f aca="false">IF(B3730&lt;5,"Go","Standard")</f>
        <v>Go</v>
      </c>
    </row>
    <row r="3731" customFormat="false" ht="15" hidden="false" customHeight="true" outlineLevel="0" collapsed="false">
      <c r="A3731" s="10" t="n">
        <f aca="false">Einstellungen!$B$5+INT((ROW()-9)/24)</f>
        <v>46121</v>
      </c>
      <c r="B3731" s="11" t="n">
        <f aca="false">MOD(ROW()-9,24)</f>
        <v>2</v>
      </c>
      <c r="C3731" s="12"/>
      <c r="D3731" s="13" t="n">
        <f aca="false">IF(B3731&lt;5,Einstellungen!$B$3,Einstellungen!$B$4)</f>
        <v>15.92</v>
      </c>
      <c r="E3731" s="14" t="str">
        <f aca="false">IF(C3731="","",C3731*D3731/100)</f>
        <v/>
      </c>
      <c r="F3731" s="15" t="str">
        <f aca="false">IF(B3731&lt;5,"Go","Standard")</f>
        <v>Go</v>
      </c>
    </row>
    <row r="3732" customFormat="false" ht="15" hidden="false" customHeight="true" outlineLevel="0" collapsed="false">
      <c r="A3732" s="10" t="n">
        <f aca="false">Einstellungen!$B$5+INT((ROW()-9)/24)</f>
        <v>46121</v>
      </c>
      <c r="B3732" s="11" t="n">
        <f aca="false">MOD(ROW()-9,24)</f>
        <v>3</v>
      </c>
      <c r="C3732" s="12"/>
      <c r="D3732" s="13" t="n">
        <f aca="false">IF(B3732&lt;5,Einstellungen!$B$3,Einstellungen!$B$4)</f>
        <v>15.92</v>
      </c>
      <c r="E3732" s="14" t="str">
        <f aca="false">IF(C3732="","",C3732*D3732/100)</f>
        <v/>
      </c>
      <c r="F3732" s="15" t="str">
        <f aca="false">IF(B3732&lt;5,"Go","Standard")</f>
        <v>Go</v>
      </c>
    </row>
    <row r="3733" customFormat="false" ht="15" hidden="false" customHeight="true" outlineLevel="0" collapsed="false">
      <c r="A3733" s="10" t="n">
        <f aca="false">Einstellungen!$B$5+INT((ROW()-9)/24)</f>
        <v>46121</v>
      </c>
      <c r="B3733" s="11" t="n">
        <f aca="false">MOD(ROW()-9,24)</f>
        <v>4</v>
      </c>
      <c r="C3733" s="12"/>
      <c r="D3733" s="13" t="n">
        <f aca="false">IF(B3733&lt;5,Einstellungen!$B$3,Einstellungen!$B$4)</f>
        <v>15.92</v>
      </c>
      <c r="E3733" s="14" t="str">
        <f aca="false">IF(C3733="","",C3733*D3733/100)</f>
        <v/>
      </c>
      <c r="F3733" s="15" t="str">
        <f aca="false">IF(B3733&lt;5,"Go","Standard")</f>
        <v>Go</v>
      </c>
    </row>
    <row r="3734" customFormat="false" ht="15" hidden="false" customHeight="true" outlineLevel="0" collapsed="false">
      <c r="A3734" s="10" t="n">
        <f aca="false">Einstellungen!$B$5+INT((ROW()-9)/24)</f>
        <v>46121</v>
      </c>
      <c r="B3734" s="11" t="n">
        <f aca="false">MOD(ROW()-9,24)</f>
        <v>5</v>
      </c>
      <c r="C3734" s="12"/>
      <c r="D3734" s="13" t="n">
        <f aca="false">IF(B3734&lt;5,Einstellungen!$B$3,Einstellungen!$B$4)</f>
        <v>29.13</v>
      </c>
      <c r="E3734" s="14" t="str">
        <f aca="false">IF(C3734="","",C3734*D3734/100)</f>
        <v/>
      </c>
      <c r="F3734" s="15" t="str">
        <f aca="false">IF(B3734&lt;5,"Go","Standard")</f>
        <v>Standard</v>
      </c>
    </row>
    <row r="3735" customFormat="false" ht="15" hidden="false" customHeight="true" outlineLevel="0" collapsed="false">
      <c r="A3735" s="10" t="n">
        <f aca="false">Einstellungen!$B$5+INT((ROW()-9)/24)</f>
        <v>46121</v>
      </c>
      <c r="B3735" s="11" t="n">
        <f aca="false">MOD(ROW()-9,24)</f>
        <v>6</v>
      </c>
      <c r="C3735" s="12"/>
      <c r="D3735" s="13" t="n">
        <f aca="false">IF(B3735&lt;5,Einstellungen!$B$3,Einstellungen!$B$4)</f>
        <v>29.13</v>
      </c>
      <c r="E3735" s="14" t="str">
        <f aca="false">IF(C3735="","",C3735*D3735/100)</f>
        <v/>
      </c>
      <c r="F3735" s="15" t="str">
        <f aca="false">IF(B3735&lt;5,"Go","Standard")</f>
        <v>Standard</v>
      </c>
    </row>
    <row r="3736" customFormat="false" ht="15" hidden="false" customHeight="true" outlineLevel="0" collapsed="false">
      <c r="A3736" s="10" t="n">
        <f aca="false">Einstellungen!$B$5+INT((ROW()-9)/24)</f>
        <v>46121</v>
      </c>
      <c r="B3736" s="11" t="n">
        <f aca="false">MOD(ROW()-9,24)</f>
        <v>7</v>
      </c>
      <c r="C3736" s="12"/>
      <c r="D3736" s="13" t="n">
        <f aca="false">IF(B3736&lt;5,Einstellungen!$B$3,Einstellungen!$B$4)</f>
        <v>29.13</v>
      </c>
      <c r="E3736" s="14" t="str">
        <f aca="false">IF(C3736="","",C3736*D3736/100)</f>
        <v/>
      </c>
      <c r="F3736" s="15" t="str">
        <f aca="false">IF(B3736&lt;5,"Go","Standard")</f>
        <v>Standard</v>
      </c>
    </row>
    <row r="3737" customFormat="false" ht="15" hidden="false" customHeight="true" outlineLevel="0" collapsed="false">
      <c r="A3737" s="10" t="n">
        <f aca="false">Einstellungen!$B$5+INT((ROW()-9)/24)</f>
        <v>46121</v>
      </c>
      <c r="B3737" s="11" t="n">
        <f aca="false">MOD(ROW()-9,24)</f>
        <v>8</v>
      </c>
      <c r="C3737" s="12"/>
      <c r="D3737" s="13" t="n">
        <f aca="false">IF(B3737&lt;5,Einstellungen!$B$3,Einstellungen!$B$4)</f>
        <v>29.13</v>
      </c>
      <c r="E3737" s="14" t="str">
        <f aca="false">IF(C3737="","",C3737*D3737/100)</f>
        <v/>
      </c>
      <c r="F3737" s="15" t="str">
        <f aca="false">IF(B3737&lt;5,"Go","Standard")</f>
        <v>Standard</v>
      </c>
    </row>
    <row r="3738" customFormat="false" ht="15" hidden="false" customHeight="true" outlineLevel="0" collapsed="false">
      <c r="A3738" s="10" t="n">
        <f aca="false">Einstellungen!$B$5+INT((ROW()-9)/24)</f>
        <v>46121</v>
      </c>
      <c r="B3738" s="11" t="n">
        <f aca="false">MOD(ROW()-9,24)</f>
        <v>9</v>
      </c>
      <c r="C3738" s="12"/>
      <c r="D3738" s="13" t="n">
        <f aca="false">IF(B3738&lt;5,Einstellungen!$B$3,Einstellungen!$B$4)</f>
        <v>29.13</v>
      </c>
      <c r="E3738" s="14" t="str">
        <f aca="false">IF(C3738="","",C3738*D3738/100)</f>
        <v/>
      </c>
      <c r="F3738" s="15" t="str">
        <f aca="false">IF(B3738&lt;5,"Go","Standard")</f>
        <v>Standard</v>
      </c>
    </row>
    <row r="3739" customFormat="false" ht="15" hidden="false" customHeight="true" outlineLevel="0" collapsed="false">
      <c r="A3739" s="10" t="n">
        <f aca="false">Einstellungen!$B$5+INT((ROW()-9)/24)</f>
        <v>46121</v>
      </c>
      <c r="B3739" s="11" t="n">
        <f aca="false">MOD(ROW()-9,24)</f>
        <v>10</v>
      </c>
      <c r="C3739" s="12"/>
      <c r="D3739" s="13" t="n">
        <f aca="false">IF(B3739&lt;5,Einstellungen!$B$3,Einstellungen!$B$4)</f>
        <v>29.13</v>
      </c>
      <c r="E3739" s="14" t="str">
        <f aca="false">IF(C3739="","",C3739*D3739/100)</f>
        <v/>
      </c>
      <c r="F3739" s="15" t="str">
        <f aca="false">IF(B3739&lt;5,"Go","Standard")</f>
        <v>Standard</v>
      </c>
    </row>
    <row r="3740" customFormat="false" ht="15" hidden="false" customHeight="true" outlineLevel="0" collapsed="false">
      <c r="A3740" s="10" t="n">
        <f aca="false">Einstellungen!$B$5+INT((ROW()-9)/24)</f>
        <v>46121</v>
      </c>
      <c r="B3740" s="11" t="n">
        <f aca="false">MOD(ROW()-9,24)</f>
        <v>11</v>
      </c>
      <c r="C3740" s="12"/>
      <c r="D3740" s="13" t="n">
        <f aca="false">IF(B3740&lt;5,Einstellungen!$B$3,Einstellungen!$B$4)</f>
        <v>29.13</v>
      </c>
      <c r="E3740" s="14" t="str">
        <f aca="false">IF(C3740="","",C3740*D3740/100)</f>
        <v/>
      </c>
      <c r="F3740" s="15" t="str">
        <f aca="false">IF(B3740&lt;5,"Go","Standard")</f>
        <v>Standard</v>
      </c>
    </row>
    <row r="3741" customFormat="false" ht="15" hidden="false" customHeight="true" outlineLevel="0" collapsed="false">
      <c r="A3741" s="10" t="n">
        <f aca="false">Einstellungen!$B$5+INT((ROW()-9)/24)</f>
        <v>46121</v>
      </c>
      <c r="B3741" s="11" t="n">
        <f aca="false">MOD(ROW()-9,24)</f>
        <v>12</v>
      </c>
      <c r="C3741" s="12"/>
      <c r="D3741" s="13" t="n">
        <f aca="false">IF(B3741&lt;5,Einstellungen!$B$3,Einstellungen!$B$4)</f>
        <v>29.13</v>
      </c>
      <c r="E3741" s="14" t="str">
        <f aca="false">IF(C3741="","",C3741*D3741/100)</f>
        <v/>
      </c>
      <c r="F3741" s="15" t="str">
        <f aca="false">IF(B3741&lt;5,"Go","Standard")</f>
        <v>Standard</v>
      </c>
    </row>
    <row r="3742" customFormat="false" ht="15" hidden="false" customHeight="true" outlineLevel="0" collapsed="false">
      <c r="A3742" s="10" t="n">
        <f aca="false">Einstellungen!$B$5+INT((ROW()-9)/24)</f>
        <v>46121</v>
      </c>
      <c r="B3742" s="11" t="n">
        <f aca="false">MOD(ROW()-9,24)</f>
        <v>13</v>
      </c>
      <c r="C3742" s="12"/>
      <c r="D3742" s="13" t="n">
        <f aca="false">IF(B3742&lt;5,Einstellungen!$B$3,Einstellungen!$B$4)</f>
        <v>29.13</v>
      </c>
      <c r="E3742" s="14" t="str">
        <f aca="false">IF(C3742="","",C3742*D3742/100)</f>
        <v/>
      </c>
      <c r="F3742" s="15" t="str">
        <f aca="false">IF(B3742&lt;5,"Go","Standard")</f>
        <v>Standard</v>
      </c>
    </row>
    <row r="3743" customFormat="false" ht="15" hidden="false" customHeight="true" outlineLevel="0" collapsed="false">
      <c r="A3743" s="10" t="n">
        <f aca="false">Einstellungen!$B$5+INT((ROW()-9)/24)</f>
        <v>46121</v>
      </c>
      <c r="B3743" s="11" t="n">
        <f aca="false">MOD(ROW()-9,24)</f>
        <v>14</v>
      </c>
      <c r="C3743" s="12"/>
      <c r="D3743" s="13" t="n">
        <f aca="false">IF(B3743&lt;5,Einstellungen!$B$3,Einstellungen!$B$4)</f>
        <v>29.13</v>
      </c>
      <c r="E3743" s="14" t="str">
        <f aca="false">IF(C3743="","",C3743*D3743/100)</f>
        <v/>
      </c>
      <c r="F3743" s="15" t="str">
        <f aca="false">IF(B3743&lt;5,"Go","Standard")</f>
        <v>Standard</v>
      </c>
    </row>
    <row r="3744" customFormat="false" ht="15" hidden="false" customHeight="true" outlineLevel="0" collapsed="false">
      <c r="A3744" s="10" t="n">
        <f aca="false">Einstellungen!$B$5+INT((ROW()-9)/24)</f>
        <v>46121</v>
      </c>
      <c r="B3744" s="11" t="n">
        <f aca="false">MOD(ROW()-9,24)</f>
        <v>15</v>
      </c>
      <c r="C3744" s="12"/>
      <c r="D3744" s="13" t="n">
        <f aca="false">IF(B3744&lt;5,Einstellungen!$B$3,Einstellungen!$B$4)</f>
        <v>29.13</v>
      </c>
      <c r="E3744" s="14" t="str">
        <f aca="false">IF(C3744="","",C3744*D3744/100)</f>
        <v/>
      </c>
      <c r="F3744" s="15" t="str">
        <f aca="false">IF(B3744&lt;5,"Go","Standard")</f>
        <v>Standard</v>
      </c>
    </row>
    <row r="3745" customFormat="false" ht="15" hidden="false" customHeight="true" outlineLevel="0" collapsed="false">
      <c r="A3745" s="10" t="n">
        <f aca="false">Einstellungen!$B$5+INT((ROW()-9)/24)</f>
        <v>46121</v>
      </c>
      <c r="B3745" s="11" t="n">
        <f aca="false">MOD(ROW()-9,24)</f>
        <v>16</v>
      </c>
      <c r="C3745" s="12"/>
      <c r="D3745" s="13" t="n">
        <f aca="false">IF(B3745&lt;5,Einstellungen!$B$3,Einstellungen!$B$4)</f>
        <v>29.13</v>
      </c>
      <c r="E3745" s="14" t="str">
        <f aca="false">IF(C3745="","",C3745*D3745/100)</f>
        <v/>
      </c>
      <c r="F3745" s="15" t="str">
        <f aca="false">IF(B3745&lt;5,"Go","Standard")</f>
        <v>Standard</v>
      </c>
    </row>
    <row r="3746" customFormat="false" ht="15" hidden="false" customHeight="true" outlineLevel="0" collapsed="false">
      <c r="A3746" s="10" t="n">
        <f aca="false">Einstellungen!$B$5+INT((ROW()-9)/24)</f>
        <v>46121</v>
      </c>
      <c r="B3746" s="11" t="n">
        <f aca="false">MOD(ROW()-9,24)</f>
        <v>17</v>
      </c>
      <c r="C3746" s="12"/>
      <c r="D3746" s="13" t="n">
        <f aca="false">IF(B3746&lt;5,Einstellungen!$B$3,Einstellungen!$B$4)</f>
        <v>29.13</v>
      </c>
      <c r="E3746" s="14" t="str">
        <f aca="false">IF(C3746="","",C3746*D3746/100)</f>
        <v/>
      </c>
      <c r="F3746" s="15" t="str">
        <f aca="false">IF(B3746&lt;5,"Go","Standard")</f>
        <v>Standard</v>
      </c>
    </row>
    <row r="3747" customFormat="false" ht="15" hidden="false" customHeight="true" outlineLevel="0" collapsed="false">
      <c r="A3747" s="10" t="n">
        <f aca="false">Einstellungen!$B$5+INT((ROW()-9)/24)</f>
        <v>46121</v>
      </c>
      <c r="B3747" s="11" t="n">
        <f aca="false">MOD(ROW()-9,24)</f>
        <v>18</v>
      </c>
      <c r="C3747" s="12"/>
      <c r="D3747" s="13" t="n">
        <f aca="false">IF(B3747&lt;5,Einstellungen!$B$3,Einstellungen!$B$4)</f>
        <v>29.13</v>
      </c>
      <c r="E3747" s="14" t="str">
        <f aca="false">IF(C3747="","",C3747*D3747/100)</f>
        <v/>
      </c>
      <c r="F3747" s="15" t="str">
        <f aca="false">IF(B3747&lt;5,"Go","Standard")</f>
        <v>Standard</v>
      </c>
    </row>
    <row r="3748" customFormat="false" ht="15" hidden="false" customHeight="true" outlineLevel="0" collapsed="false">
      <c r="A3748" s="10" t="n">
        <f aca="false">Einstellungen!$B$5+INT((ROW()-9)/24)</f>
        <v>46121</v>
      </c>
      <c r="B3748" s="11" t="n">
        <f aca="false">MOD(ROW()-9,24)</f>
        <v>19</v>
      </c>
      <c r="C3748" s="12"/>
      <c r="D3748" s="13" t="n">
        <f aca="false">IF(B3748&lt;5,Einstellungen!$B$3,Einstellungen!$B$4)</f>
        <v>29.13</v>
      </c>
      <c r="E3748" s="14" t="str">
        <f aca="false">IF(C3748="","",C3748*D3748/100)</f>
        <v/>
      </c>
      <c r="F3748" s="15" t="str">
        <f aca="false">IF(B3748&lt;5,"Go","Standard")</f>
        <v>Standard</v>
      </c>
    </row>
    <row r="3749" customFormat="false" ht="15" hidden="false" customHeight="true" outlineLevel="0" collapsed="false">
      <c r="A3749" s="10" t="n">
        <f aca="false">Einstellungen!$B$5+INT((ROW()-9)/24)</f>
        <v>46121</v>
      </c>
      <c r="B3749" s="11" t="n">
        <f aca="false">MOD(ROW()-9,24)</f>
        <v>20</v>
      </c>
      <c r="C3749" s="12"/>
      <c r="D3749" s="13" t="n">
        <f aca="false">IF(B3749&lt;5,Einstellungen!$B$3,Einstellungen!$B$4)</f>
        <v>29.13</v>
      </c>
      <c r="E3749" s="14" t="str">
        <f aca="false">IF(C3749="","",C3749*D3749/100)</f>
        <v/>
      </c>
      <c r="F3749" s="15" t="str">
        <f aca="false">IF(B3749&lt;5,"Go","Standard")</f>
        <v>Standard</v>
      </c>
    </row>
    <row r="3750" customFormat="false" ht="15" hidden="false" customHeight="true" outlineLevel="0" collapsed="false">
      <c r="A3750" s="10" t="n">
        <f aca="false">Einstellungen!$B$5+INT((ROW()-9)/24)</f>
        <v>46121</v>
      </c>
      <c r="B3750" s="11" t="n">
        <f aca="false">MOD(ROW()-9,24)</f>
        <v>21</v>
      </c>
      <c r="C3750" s="12"/>
      <c r="D3750" s="13" t="n">
        <f aca="false">IF(B3750&lt;5,Einstellungen!$B$3,Einstellungen!$B$4)</f>
        <v>29.13</v>
      </c>
      <c r="E3750" s="14" t="str">
        <f aca="false">IF(C3750="","",C3750*D3750/100)</f>
        <v/>
      </c>
      <c r="F3750" s="15" t="str">
        <f aca="false">IF(B3750&lt;5,"Go","Standard")</f>
        <v>Standard</v>
      </c>
    </row>
    <row r="3751" customFormat="false" ht="15" hidden="false" customHeight="true" outlineLevel="0" collapsed="false">
      <c r="A3751" s="10" t="n">
        <f aca="false">Einstellungen!$B$5+INT((ROW()-9)/24)</f>
        <v>46121</v>
      </c>
      <c r="B3751" s="11" t="n">
        <f aca="false">MOD(ROW()-9,24)</f>
        <v>22</v>
      </c>
      <c r="C3751" s="12"/>
      <c r="D3751" s="13" t="n">
        <f aca="false">IF(B3751&lt;5,Einstellungen!$B$3,Einstellungen!$B$4)</f>
        <v>29.13</v>
      </c>
      <c r="E3751" s="14" t="str">
        <f aca="false">IF(C3751="","",C3751*D3751/100)</f>
        <v/>
      </c>
      <c r="F3751" s="15" t="str">
        <f aca="false">IF(B3751&lt;5,"Go","Standard")</f>
        <v>Standard</v>
      </c>
    </row>
    <row r="3752" customFormat="false" ht="15" hidden="false" customHeight="true" outlineLevel="0" collapsed="false">
      <c r="A3752" s="10" t="n">
        <f aca="false">Einstellungen!$B$5+INT((ROW()-9)/24)</f>
        <v>46121</v>
      </c>
      <c r="B3752" s="11" t="n">
        <f aca="false">MOD(ROW()-9,24)</f>
        <v>23</v>
      </c>
      <c r="C3752" s="12"/>
      <c r="D3752" s="13" t="n">
        <f aca="false">IF(B3752&lt;5,Einstellungen!$B$3,Einstellungen!$B$4)</f>
        <v>29.13</v>
      </c>
      <c r="E3752" s="14" t="str">
        <f aca="false">IF(C3752="","",C3752*D3752/100)</f>
        <v/>
      </c>
      <c r="F3752" s="15" t="str">
        <f aca="false">IF(B3752&lt;5,"Go","Standard")</f>
        <v>Standard</v>
      </c>
    </row>
    <row r="3753" customFormat="false" ht="15" hidden="false" customHeight="true" outlineLevel="0" collapsed="false">
      <c r="A3753" s="10" t="n">
        <f aca="false">Einstellungen!$B$5+INT((ROW()-9)/24)</f>
        <v>46122</v>
      </c>
      <c r="B3753" s="11" t="n">
        <f aca="false">MOD(ROW()-9,24)</f>
        <v>0</v>
      </c>
      <c r="C3753" s="12"/>
      <c r="D3753" s="13" t="n">
        <f aca="false">IF(B3753&lt;5,Einstellungen!$B$3,Einstellungen!$B$4)</f>
        <v>15.92</v>
      </c>
      <c r="E3753" s="14" t="str">
        <f aca="false">IF(C3753="","",C3753*D3753/100)</f>
        <v/>
      </c>
      <c r="F3753" s="15" t="str">
        <f aca="false">IF(B3753&lt;5,"Go","Standard")</f>
        <v>Go</v>
      </c>
    </row>
    <row r="3754" customFormat="false" ht="15" hidden="false" customHeight="true" outlineLevel="0" collapsed="false">
      <c r="A3754" s="10" t="n">
        <f aca="false">Einstellungen!$B$5+INT((ROW()-9)/24)</f>
        <v>46122</v>
      </c>
      <c r="B3754" s="11" t="n">
        <f aca="false">MOD(ROW()-9,24)</f>
        <v>1</v>
      </c>
      <c r="C3754" s="12"/>
      <c r="D3754" s="13" t="n">
        <f aca="false">IF(B3754&lt;5,Einstellungen!$B$3,Einstellungen!$B$4)</f>
        <v>15.92</v>
      </c>
      <c r="E3754" s="14" t="str">
        <f aca="false">IF(C3754="","",C3754*D3754/100)</f>
        <v/>
      </c>
      <c r="F3754" s="15" t="str">
        <f aca="false">IF(B3754&lt;5,"Go","Standard")</f>
        <v>Go</v>
      </c>
    </row>
    <row r="3755" customFormat="false" ht="15" hidden="false" customHeight="true" outlineLevel="0" collapsed="false">
      <c r="A3755" s="10" t="n">
        <f aca="false">Einstellungen!$B$5+INT((ROW()-9)/24)</f>
        <v>46122</v>
      </c>
      <c r="B3755" s="11" t="n">
        <f aca="false">MOD(ROW()-9,24)</f>
        <v>2</v>
      </c>
      <c r="C3755" s="12"/>
      <c r="D3755" s="13" t="n">
        <f aca="false">IF(B3755&lt;5,Einstellungen!$B$3,Einstellungen!$B$4)</f>
        <v>15.92</v>
      </c>
      <c r="E3755" s="14" t="str">
        <f aca="false">IF(C3755="","",C3755*D3755/100)</f>
        <v/>
      </c>
      <c r="F3755" s="15" t="str">
        <f aca="false">IF(B3755&lt;5,"Go","Standard")</f>
        <v>Go</v>
      </c>
    </row>
    <row r="3756" customFormat="false" ht="15" hidden="false" customHeight="true" outlineLevel="0" collapsed="false">
      <c r="A3756" s="10" t="n">
        <f aca="false">Einstellungen!$B$5+INT((ROW()-9)/24)</f>
        <v>46122</v>
      </c>
      <c r="B3756" s="11" t="n">
        <f aca="false">MOD(ROW()-9,24)</f>
        <v>3</v>
      </c>
      <c r="C3756" s="12"/>
      <c r="D3756" s="13" t="n">
        <f aca="false">IF(B3756&lt;5,Einstellungen!$B$3,Einstellungen!$B$4)</f>
        <v>15.92</v>
      </c>
      <c r="E3756" s="14" t="str">
        <f aca="false">IF(C3756="","",C3756*D3756/100)</f>
        <v/>
      </c>
      <c r="F3756" s="15" t="str">
        <f aca="false">IF(B3756&lt;5,"Go","Standard")</f>
        <v>Go</v>
      </c>
    </row>
    <row r="3757" customFormat="false" ht="15" hidden="false" customHeight="true" outlineLevel="0" collapsed="false">
      <c r="A3757" s="10" t="n">
        <f aca="false">Einstellungen!$B$5+INT((ROW()-9)/24)</f>
        <v>46122</v>
      </c>
      <c r="B3757" s="11" t="n">
        <f aca="false">MOD(ROW()-9,24)</f>
        <v>4</v>
      </c>
      <c r="C3757" s="12"/>
      <c r="D3757" s="13" t="n">
        <f aca="false">IF(B3757&lt;5,Einstellungen!$B$3,Einstellungen!$B$4)</f>
        <v>15.92</v>
      </c>
      <c r="E3757" s="14" t="str">
        <f aca="false">IF(C3757="","",C3757*D3757/100)</f>
        <v/>
      </c>
      <c r="F3757" s="15" t="str">
        <f aca="false">IF(B3757&lt;5,"Go","Standard")</f>
        <v>Go</v>
      </c>
    </row>
    <row r="3758" customFormat="false" ht="15" hidden="false" customHeight="true" outlineLevel="0" collapsed="false">
      <c r="A3758" s="10" t="n">
        <f aca="false">Einstellungen!$B$5+INT((ROW()-9)/24)</f>
        <v>46122</v>
      </c>
      <c r="B3758" s="11" t="n">
        <f aca="false">MOD(ROW()-9,24)</f>
        <v>5</v>
      </c>
      <c r="C3758" s="12"/>
      <c r="D3758" s="13" t="n">
        <f aca="false">IF(B3758&lt;5,Einstellungen!$B$3,Einstellungen!$B$4)</f>
        <v>29.13</v>
      </c>
      <c r="E3758" s="14" t="str">
        <f aca="false">IF(C3758="","",C3758*D3758/100)</f>
        <v/>
      </c>
      <c r="F3758" s="15" t="str">
        <f aca="false">IF(B3758&lt;5,"Go","Standard")</f>
        <v>Standard</v>
      </c>
    </row>
    <row r="3759" customFormat="false" ht="15" hidden="false" customHeight="true" outlineLevel="0" collapsed="false">
      <c r="A3759" s="10" t="n">
        <f aca="false">Einstellungen!$B$5+INT((ROW()-9)/24)</f>
        <v>46122</v>
      </c>
      <c r="B3759" s="11" t="n">
        <f aca="false">MOD(ROW()-9,24)</f>
        <v>6</v>
      </c>
      <c r="C3759" s="12"/>
      <c r="D3759" s="13" t="n">
        <f aca="false">IF(B3759&lt;5,Einstellungen!$B$3,Einstellungen!$B$4)</f>
        <v>29.13</v>
      </c>
      <c r="E3759" s="14" t="str">
        <f aca="false">IF(C3759="","",C3759*D3759/100)</f>
        <v/>
      </c>
      <c r="F3759" s="15" t="str">
        <f aca="false">IF(B3759&lt;5,"Go","Standard")</f>
        <v>Standard</v>
      </c>
    </row>
    <row r="3760" customFormat="false" ht="15" hidden="false" customHeight="true" outlineLevel="0" collapsed="false">
      <c r="A3760" s="10" t="n">
        <f aca="false">Einstellungen!$B$5+INT((ROW()-9)/24)</f>
        <v>46122</v>
      </c>
      <c r="B3760" s="11" t="n">
        <f aca="false">MOD(ROW()-9,24)</f>
        <v>7</v>
      </c>
      <c r="C3760" s="12"/>
      <c r="D3760" s="13" t="n">
        <f aca="false">IF(B3760&lt;5,Einstellungen!$B$3,Einstellungen!$B$4)</f>
        <v>29.13</v>
      </c>
      <c r="E3760" s="14" t="str">
        <f aca="false">IF(C3760="","",C3760*D3760/100)</f>
        <v/>
      </c>
      <c r="F3760" s="15" t="str">
        <f aca="false">IF(B3760&lt;5,"Go","Standard")</f>
        <v>Standard</v>
      </c>
    </row>
    <row r="3761" customFormat="false" ht="15" hidden="false" customHeight="true" outlineLevel="0" collapsed="false">
      <c r="A3761" s="10" t="n">
        <f aca="false">Einstellungen!$B$5+INT((ROW()-9)/24)</f>
        <v>46122</v>
      </c>
      <c r="B3761" s="11" t="n">
        <f aca="false">MOD(ROW()-9,24)</f>
        <v>8</v>
      </c>
      <c r="C3761" s="12"/>
      <c r="D3761" s="13" t="n">
        <f aca="false">IF(B3761&lt;5,Einstellungen!$B$3,Einstellungen!$B$4)</f>
        <v>29.13</v>
      </c>
      <c r="E3761" s="14" t="str">
        <f aca="false">IF(C3761="","",C3761*D3761/100)</f>
        <v/>
      </c>
      <c r="F3761" s="15" t="str">
        <f aca="false">IF(B3761&lt;5,"Go","Standard")</f>
        <v>Standard</v>
      </c>
    </row>
    <row r="3762" customFormat="false" ht="15" hidden="false" customHeight="true" outlineLevel="0" collapsed="false">
      <c r="A3762" s="10" t="n">
        <f aca="false">Einstellungen!$B$5+INT((ROW()-9)/24)</f>
        <v>46122</v>
      </c>
      <c r="B3762" s="11" t="n">
        <f aca="false">MOD(ROW()-9,24)</f>
        <v>9</v>
      </c>
      <c r="C3762" s="12"/>
      <c r="D3762" s="13" t="n">
        <f aca="false">IF(B3762&lt;5,Einstellungen!$B$3,Einstellungen!$B$4)</f>
        <v>29.13</v>
      </c>
      <c r="E3762" s="14" t="str">
        <f aca="false">IF(C3762="","",C3762*D3762/100)</f>
        <v/>
      </c>
      <c r="F3762" s="15" t="str">
        <f aca="false">IF(B3762&lt;5,"Go","Standard")</f>
        <v>Standard</v>
      </c>
    </row>
    <row r="3763" customFormat="false" ht="15" hidden="false" customHeight="true" outlineLevel="0" collapsed="false">
      <c r="A3763" s="10" t="n">
        <f aca="false">Einstellungen!$B$5+INT((ROW()-9)/24)</f>
        <v>46122</v>
      </c>
      <c r="B3763" s="11" t="n">
        <f aca="false">MOD(ROW()-9,24)</f>
        <v>10</v>
      </c>
      <c r="C3763" s="12"/>
      <c r="D3763" s="13" t="n">
        <f aca="false">IF(B3763&lt;5,Einstellungen!$B$3,Einstellungen!$B$4)</f>
        <v>29.13</v>
      </c>
      <c r="E3763" s="14" t="str">
        <f aca="false">IF(C3763="","",C3763*D3763/100)</f>
        <v/>
      </c>
      <c r="F3763" s="15" t="str">
        <f aca="false">IF(B3763&lt;5,"Go","Standard")</f>
        <v>Standard</v>
      </c>
    </row>
    <row r="3764" customFormat="false" ht="15" hidden="false" customHeight="true" outlineLevel="0" collapsed="false">
      <c r="A3764" s="10" t="n">
        <f aca="false">Einstellungen!$B$5+INT((ROW()-9)/24)</f>
        <v>46122</v>
      </c>
      <c r="B3764" s="11" t="n">
        <f aca="false">MOD(ROW()-9,24)</f>
        <v>11</v>
      </c>
      <c r="C3764" s="12"/>
      <c r="D3764" s="13" t="n">
        <f aca="false">IF(B3764&lt;5,Einstellungen!$B$3,Einstellungen!$B$4)</f>
        <v>29.13</v>
      </c>
      <c r="E3764" s="14" t="str">
        <f aca="false">IF(C3764="","",C3764*D3764/100)</f>
        <v/>
      </c>
      <c r="F3764" s="15" t="str">
        <f aca="false">IF(B3764&lt;5,"Go","Standard")</f>
        <v>Standard</v>
      </c>
    </row>
    <row r="3765" customFormat="false" ht="15" hidden="false" customHeight="true" outlineLevel="0" collapsed="false">
      <c r="A3765" s="10" t="n">
        <f aca="false">Einstellungen!$B$5+INT((ROW()-9)/24)</f>
        <v>46122</v>
      </c>
      <c r="B3765" s="11" t="n">
        <f aca="false">MOD(ROW()-9,24)</f>
        <v>12</v>
      </c>
      <c r="C3765" s="12"/>
      <c r="D3765" s="13" t="n">
        <f aca="false">IF(B3765&lt;5,Einstellungen!$B$3,Einstellungen!$B$4)</f>
        <v>29.13</v>
      </c>
      <c r="E3765" s="14" t="str">
        <f aca="false">IF(C3765="","",C3765*D3765/100)</f>
        <v/>
      </c>
      <c r="F3765" s="15" t="str">
        <f aca="false">IF(B3765&lt;5,"Go","Standard")</f>
        <v>Standard</v>
      </c>
    </row>
    <row r="3766" customFormat="false" ht="15" hidden="false" customHeight="true" outlineLevel="0" collapsed="false">
      <c r="A3766" s="10" t="n">
        <f aca="false">Einstellungen!$B$5+INT((ROW()-9)/24)</f>
        <v>46122</v>
      </c>
      <c r="B3766" s="11" t="n">
        <f aca="false">MOD(ROW()-9,24)</f>
        <v>13</v>
      </c>
      <c r="C3766" s="12"/>
      <c r="D3766" s="13" t="n">
        <f aca="false">IF(B3766&lt;5,Einstellungen!$B$3,Einstellungen!$B$4)</f>
        <v>29.13</v>
      </c>
      <c r="E3766" s="14" t="str">
        <f aca="false">IF(C3766="","",C3766*D3766/100)</f>
        <v/>
      </c>
      <c r="F3766" s="15" t="str">
        <f aca="false">IF(B3766&lt;5,"Go","Standard")</f>
        <v>Standard</v>
      </c>
    </row>
    <row r="3767" customFormat="false" ht="15" hidden="false" customHeight="true" outlineLevel="0" collapsed="false">
      <c r="A3767" s="10" t="n">
        <f aca="false">Einstellungen!$B$5+INT((ROW()-9)/24)</f>
        <v>46122</v>
      </c>
      <c r="B3767" s="11" t="n">
        <f aca="false">MOD(ROW()-9,24)</f>
        <v>14</v>
      </c>
      <c r="C3767" s="12"/>
      <c r="D3767" s="13" t="n">
        <f aca="false">IF(B3767&lt;5,Einstellungen!$B$3,Einstellungen!$B$4)</f>
        <v>29.13</v>
      </c>
      <c r="E3767" s="14" t="str">
        <f aca="false">IF(C3767="","",C3767*D3767/100)</f>
        <v/>
      </c>
      <c r="F3767" s="15" t="str">
        <f aca="false">IF(B3767&lt;5,"Go","Standard")</f>
        <v>Standard</v>
      </c>
    </row>
    <row r="3768" customFormat="false" ht="15" hidden="false" customHeight="true" outlineLevel="0" collapsed="false">
      <c r="A3768" s="10" t="n">
        <f aca="false">Einstellungen!$B$5+INT((ROW()-9)/24)</f>
        <v>46122</v>
      </c>
      <c r="B3768" s="11" t="n">
        <f aca="false">MOD(ROW()-9,24)</f>
        <v>15</v>
      </c>
      <c r="C3768" s="12"/>
      <c r="D3768" s="13" t="n">
        <f aca="false">IF(B3768&lt;5,Einstellungen!$B$3,Einstellungen!$B$4)</f>
        <v>29.13</v>
      </c>
      <c r="E3768" s="14" t="str">
        <f aca="false">IF(C3768="","",C3768*D3768/100)</f>
        <v/>
      </c>
      <c r="F3768" s="15" t="str">
        <f aca="false">IF(B3768&lt;5,"Go","Standard")</f>
        <v>Standard</v>
      </c>
    </row>
    <row r="3769" customFormat="false" ht="15" hidden="false" customHeight="true" outlineLevel="0" collapsed="false">
      <c r="A3769" s="10" t="n">
        <f aca="false">Einstellungen!$B$5+INT((ROW()-9)/24)</f>
        <v>46122</v>
      </c>
      <c r="B3769" s="11" t="n">
        <f aca="false">MOD(ROW()-9,24)</f>
        <v>16</v>
      </c>
      <c r="C3769" s="12"/>
      <c r="D3769" s="13" t="n">
        <f aca="false">IF(B3769&lt;5,Einstellungen!$B$3,Einstellungen!$B$4)</f>
        <v>29.13</v>
      </c>
      <c r="E3769" s="14" t="str">
        <f aca="false">IF(C3769="","",C3769*D3769/100)</f>
        <v/>
      </c>
      <c r="F3769" s="15" t="str">
        <f aca="false">IF(B3769&lt;5,"Go","Standard")</f>
        <v>Standard</v>
      </c>
    </row>
    <row r="3770" customFormat="false" ht="15" hidden="false" customHeight="true" outlineLevel="0" collapsed="false">
      <c r="A3770" s="10" t="n">
        <f aca="false">Einstellungen!$B$5+INT((ROW()-9)/24)</f>
        <v>46122</v>
      </c>
      <c r="B3770" s="11" t="n">
        <f aca="false">MOD(ROW()-9,24)</f>
        <v>17</v>
      </c>
      <c r="C3770" s="12"/>
      <c r="D3770" s="13" t="n">
        <f aca="false">IF(B3770&lt;5,Einstellungen!$B$3,Einstellungen!$B$4)</f>
        <v>29.13</v>
      </c>
      <c r="E3770" s="14" t="str">
        <f aca="false">IF(C3770="","",C3770*D3770/100)</f>
        <v/>
      </c>
      <c r="F3770" s="15" t="str">
        <f aca="false">IF(B3770&lt;5,"Go","Standard")</f>
        <v>Standard</v>
      </c>
    </row>
    <row r="3771" customFormat="false" ht="15" hidden="false" customHeight="true" outlineLevel="0" collapsed="false">
      <c r="A3771" s="10" t="n">
        <f aca="false">Einstellungen!$B$5+INT((ROW()-9)/24)</f>
        <v>46122</v>
      </c>
      <c r="B3771" s="11" t="n">
        <f aca="false">MOD(ROW()-9,24)</f>
        <v>18</v>
      </c>
      <c r="C3771" s="12"/>
      <c r="D3771" s="13" t="n">
        <f aca="false">IF(B3771&lt;5,Einstellungen!$B$3,Einstellungen!$B$4)</f>
        <v>29.13</v>
      </c>
      <c r="E3771" s="14" t="str">
        <f aca="false">IF(C3771="","",C3771*D3771/100)</f>
        <v/>
      </c>
      <c r="F3771" s="15" t="str">
        <f aca="false">IF(B3771&lt;5,"Go","Standard")</f>
        <v>Standard</v>
      </c>
    </row>
    <row r="3772" customFormat="false" ht="15" hidden="false" customHeight="true" outlineLevel="0" collapsed="false">
      <c r="A3772" s="10" t="n">
        <f aca="false">Einstellungen!$B$5+INT((ROW()-9)/24)</f>
        <v>46122</v>
      </c>
      <c r="B3772" s="11" t="n">
        <f aca="false">MOD(ROW()-9,24)</f>
        <v>19</v>
      </c>
      <c r="C3772" s="12"/>
      <c r="D3772" s="13" t="n">
        <f aca="false">IF(B3772&lt;5,Einstellungen!$B$3,Einstellungen!$B$4)</f>
        <v>29.13</v>
      </c>
      <c r="E3772" s="14" t="str">
        <f aca="false">IF(C3772="","",C3772*D3772/100)</f>
        <v/>
      </c>
      <c r="F3772" s="15" t="str">
        <f aca="false">IF(B3772&lt;5,"Go","Standard")</f>
        <v>Standard</v>
      </c>
    </row>
    <row r="3773" customFormat="false" ht="15" hidden="false" customHeight="true" outlineLevel="0" collapsed="false">
      <c r="A3773" s="10" t="n">
        <f aca="false">Einstellungen!$B$5+INT((ROW()-9)/24)</f>
        <v>46122</v>
      </c>
      <c r="B3773" s="11" t="n">
        <f aca="false">MOD(ROW()-9,24)</f>
        <v>20</v>
      </c>
      <c r="C3773" s="12"/>
      <c r="D3773" s="13" t="n">
        <f aca="false">IF(B3773&lt;5,Einstellungen!$B$3,Einstellungen!$B$4)</f>
        <v>29.13</v>
      </c>
      <c r="E3773" s="14" t="str">
        <f aca="false">IF(C3773="","",C3773*D3773/100)</f>
        <v/>
      </c>
      <c r="F3773" s="15" t="str">
        <f aca="false">IF(B3773&lt;5,"Go","Standard")</f>
        <v>Standard</v>
      </c>
    </row>
    <row r="3774" customFormat="false" ht="15" hidden="false" customHeight="true" outlineLevel="0" collapsed="false">
      <c r="A3774" s="10" t="n">
        <f aca="false">Einstellungen!$B$5+INT((ROW()-9)/24)</f>
        <v>46122</v>
      </c>
      <c r="B3774" s="11" t="n">
        <f aca="false">MOD(ROW()-9,24)</f>
        <v>21</v>
      </c>
      <c r="C3774" s="12"/>
      <c r="D3774" s="13" t="n">
        <f aca="false">IF(B3774&lt;5,Einstellungen!$B$3,Einstellungen!$B$4)</f>
        <v>29.13</v>
      </c>
      <c r="E3774" s="14" t="str">
        <f aca="false">IF(C3774="","",C3774*D3774/100)</f>
        <v/>
      </c>
      <c r="F3774" s="15" t="str">
        <f aca="false">IF(B3774&lt;5,"Go","Standard")</f>
        <v>Standard</v>
      </c>
    </row>
    <row r="3775" customFormat="false" ht="15" hidden="false" customHeight="true" outlineLevel="0" collapsed="false">
      <c r="A3775" s="10" t="n">
        <f aca="false">Einstellungen!$B$5+INT((ROW()-9)/24)</f>
        <v>46122</v>
      </c>
      <c r="B3775" s="11" t="n">
        <f aca="false">MOD(ROW()-9,24)</f>
        <v>22</v>
      </c>
      <c r="C3775" s="12"/>
      <c r="D3775" s="13" t="n">
        <f aca="false">IF(B3775&lt;5,Einstellungen!$B$3,Einstellungen!$B$4)</f>
        <v>29.13</v>
      </c>
      <c r="E3775" s="14" t="str">
        <f aca="false">IF(C3775="","",C3775*D3775/100)</f>
        <v/>
      </c>
      <c r="F3775" s="15" t="str">
        <f aca="false">IF(B3775&lt;5,"Go","Standard")</f>
        <v>Standard</v>
      </c>
    </row>
    <row r="3776" customFormat="false" ht="15" hidden="false" customHeight="true" outlineLevel="0" collapsed="false">
      <c r="A3776" s="10" t="n">
        <f aca="false">Einstellungen!$B$5+INT((ROW()-9)/24)</f>
        <v>46122</v>
      </c>
      <c r="B3776" s="11" t="n">
        <f aca="false">MOD(ROW()-9,24)</f>
        <v>23</v>
      </c>
      <c r="C3776" s="12"/>
      <c r="D3776" s="13" t="n">
        <f aca="false">IF(B3776&lt;5,Einstellungen!$B$3,Einstellungen!$B$4)</f>
        <v>29.13</v>
      </c>
      <c r="E3776" s="14" t="str">
        <f aca="false">IF(C3776="","",C3776*D3776/100)</f>
        <v/>
      </c>
      <c r="F3776" s="15" t="str">
        <f aca="false">IF(B3776&lt;5,"Go","Standard")</f>
        <v>Standard</v>
      </c>
    </row>
    <row r="3777" customFormat="false" ht="15" hidden="false" customHeight="true" outlineLevel="0" collapsed="false">
      <c r="A3777" s="10" t="n">
        <f aca="false">Einstellungen!$B$5+INT((ROW()-9)/24)</f>
        <v>46123</v>
      </c>
      <c r="B3777" s="11" t="n">
        <f aca="false">MOD(ROW()-9,24)</f>
        <v>0</v>
      </c>
      <c r="C3777" s="12"/>
      <c r="D3777" s="13" t="n">
        <f aca="false">IF(B3777&lt;5,Einstellungen!$B$3,Einstellungen!$B$4)</f>
        <v>15.92</v>
      </c>
      <c r="E3777" s="14" t="str">
        <f aca="false">IF(C3777="","",C3777*D3777/100)</f>
        <v/>
      </c>
      <c r="F3777" s="15" t="str">
        <f aca="false">IF(B3777&lt;5,"Go","Standard")</f>
        <v>Go</v>
      </c>
    </row>
    <row r="3778" customFormat="false" ht="15" hidden="false" customHeight="true" outlineLevel="0" collapsed="false">
      <c r="A3778" s="10" t="n">
        <f aca="false">Einstellungen!$B$5+INT((ROW()-9)/24)</f>
        <v>46123</v>
      </c>
      <c r="B3778" s="11" t="n">
        <f aca="false">MOD(ROW()-9,24)</f>
        <v>1</v>
      </c>
      <c r="C3778" s="12"/>
      <c r="D3778" s="13" t="n">
        <f aca="false">IF(B3778&lt;5,Einstellungen!$B$3,Einstellungen!$B$4)</f>
        <v>15.92</v>
      </c>
      <c r="E3778" s="14" t="str">
        <f aca="false">IF(C3778="","",C3778*D3778/100)</f>
        <v/>
      </c>
      <c r="F3778" s="15" t="str">
        <f aca="false">IF(B3778&lt;5,"Go","Standard")</f>
        <v>Go</v>
      </c>
    </row>
    <row r="3779" customFormat="false" ht="15" hidden="false" customHeight="true" outlineLevel="0" collapsed="false">
      <c r="A3779" s="10" t="n">
        <f aca="false">Einstellungen!$B$5+INT((ROW()-9)/24)</f>
        <v>46123</v>
      </c>
      <c r="B3779" s="11" t="n">
        <f aca="false">MOD(ROW()-9,24)</f>
        <v>2</v>
      </c>
      <c r="C3779" s="12"/>
      <c r="D3779" s="13" t="n">
        <f aca="false">IF(B3779&lt;5,Einstellungen!$B$3,Einstellungen!$B$4)</f>
        <v>15.92</v>
      </c>
      <c r="E3779" s="14" t="str">
        <f aca="false">IF(C3779="","",C3779*D3779/100)</f>
        <v/>
      </c>
      <c r="F3779" s="15" t="str">
        <f aca="false">IF(B3779&lt;5,"Go","Standard")</f>
        <v>Go</v>
      </c>
    </row>
    <row r="3780" customFormat="false" ht="15" hidden="false" customHeight="true" outlineLevel="0" collapsed="false">
      <c r="A3780" s="10" t="n">
        <f aca="false">Einstellungen!$B$5+INT((ROW()-9)/24)</f>
        <v>46123</v>
      </c>
      <c r="B3780" s="11" t="n">
        <f aca="false">MOD(ROW()-9,24)</f>
        <v>3</v>
      </c>
      <c r="C3780" s="12"/>
      <c r="D3780" s="13" t="n">
        <f aca="false">IF(B3780&lt;5,Einstellungen!$B$3,Einstellungen!$B$4)</f>
        <v>15.92</v>
      </c>
      <c r="E3780" s="14" t="str">
        <f aca="false">IF(C3780="","",C3780*D3780/100)</f>
        <v/>
      </c>
      <c r="F3780" s="15" t="str">
        <f aca="false">IF(B3780&lt;5,"Go","Standard")</f>
        <v>Go</v>
      </c>
    </row>
    <row r="3781" customFormat="false" ht="15" hidden="false" customHeight="true" outlineLevel="0" collapsed="false">
      <c r="A3781" s="10" t="n">
        <f aca="false">Einstellungen!$B$5+INT((ROW()-9)/24)</f>
        <v>46123</v>
      </c>
      <c r="B3781" s="11" t="n">
        <f aca="false">MOD(ROW()-9,24)</f>
        <v>4</v>
      </c>
      <c r="C3781" s="12"/>
      <c r="D3781" s="13" t="n">
        <f aca="false">IF(B3781&lt;5,Einstellungen!$B$3,Einstellungen!$B$4)</f>
        <v>15.92</v>
      </c>
      <c r="E3781" s="14" t="str">
        <f aca="false">IF(C3781="","",C3781*D3781/100)</f>
        <v/>
      </c>
      <c r="F3781" s="15" t="str">
        <f aca="false">IF(B3781&lt;5,"Go","Standard")</f>
        <v>Go</v>
      </c>
    </row>
    <row r="3782" customFormat="false" ht="15" hidden="false" customHeight="true" outlineLevel="0" collapsed="false">
      <c r="A3782" s="10" t="n">
        <f aca="false">Einstellungen!$B$5+INT((ROW()-9)/24)</f>
        <v>46123</v>
      </c>
      <c r="B3782" s="11" t="n">
        <f aca="false">MOD(ROW()-9,24)</f>
        <v>5</v>
      </c>
      <c r="C3782" s="12"/>
      <c r="D3782" s="13" t="n">
        <f aca="false">IF(B3782&lt;5,Einstellungen!$B$3,Einstellungen!$B$4)</f>
        <v>29.13</v>
      </c>
      <c r="E3782" s="14" t="str">
        <f aca="false">IF(C3782="","",C3782*D3782/100)</f>
        <v/>
      </c>
      <c r="F3782" s="15" t="str">
        <f aca="false">IF(B3782&lt;5,"Go","Standard")</f>
        <v>Standard</v>
      </c>
    </row>
    <row r="3783" customFormat="false" ht="15" hidden="false" customHeight="true" outlineLevel="0" collapsed="false">
      <c r="A3783" s="10" t="n">
        <f aca="false">Einstellungen!$B$5+INT((ROW()-9)/24)</f>
        <v>46123</v>
      </c>
      <c r="B3783" s="11" t="n">
        <f aca="false">MOD(ROW()-9,24)</f>
        <v>6</v>
      </c>
      <c r="C3783" s="12"/>
      <c r="D3783" s="13" t="n">
        <f aca="false">IF(B3783&lt;5,Einstellungen!$B$3,Einstellungen!$B$4)</f>
        <v>29.13</v>
      </c>
      <c r="E3783" s="14" t="str">
        <f aca="false">IF(C3783="","",C3783*D3783/100)</f>
        <v/>
      </c>
      <c r="F3783" s="15" t="str">
        <f aca="false">IF(B3783&lt;5,"Go","Standard")</f>
        <v>Standard</v>
      </c>
    </row>
    <row r="3784" customFormat="false" ht="15" hidden="false" customHeight="true" outlineLevel="0" collapsed="false">
      <c r="A3784" s="10" t="n">
        <f aca="false">Einstellungen!$B$5+INT((ROW()-9)/24)</f>
        <v>46123</v>
      </c>
      <c r="B3784" s="11" t="n">
        <f aca="false">MOD(ROW()-9,24)</f>
        <v>7</v>
      </c>
      <c r="C3784" s="12"/>
      <c r="D3784" s="13" t="n">
        <f aca="false">IF(B3784&lt;5,Einstellungen!$B$3,Einstellungen!$B$4)</f>
        <v>29.13</v>
      </c>
      <c r="E3784" s="14" t="str">
        <f aca="false">IF(C3784="","",C3784*D3784/100)</f>
        <v/>
      </c>
      <c r="F3784" s="15" t="str">
        <f aca="false">IF(B3784&lt;5,"Go","Standard")</f>
        <v>Standard</v>
      </c>
    </row>
    <row r="3785" customFormat="false" ht="15" hidden="false" customHeight="true" outlineLevel="0" collapsed="false">
      <c r="A3785" s="10" t="n">
        <f aca="false">Einstellungen!$B$5+INT((ROW()-9)/24)</f>
        <v>46123</v>
      </c>
      <c r="B3785" s="11" t="n">
        <f aca="false">MOD(ROW()-9,24)</f>
        <v>8</v>
      </c>
      <c r="C3785" s="12"/>
      <c r="D3785" s="13" t="n">
        <f aca="false">IF(B3785&lt;5,Einstellungen!$B$3,Einstellungen!$B$4)</f>
        <v>29.13</v>
      </c>
      <c r="E3785" s="14" t="str">
        <f aca="false">IF(C3785="","",C3785*D3785/100)</f>
        <v/>
      </c>
      <c r="F3785" s="15" t="str">
        <f aca="false">IF(B3785&lt;5,"Go","Standard")</f>
        <v>Standard</v>
      </c>
    </row>
    <row r="3786" customFormat="false" ht="15" hidden="false" customHeight="true" outlineLevel="0" collapsed="false">
      <c r="A3786" s="10" t="n">
        <f aca="false">Einstellungen!$B$5+INT((ROW()-9)/24)</f>
        <v>46123</v>
      </c>
      <c r="B3786" s="11" t="n">
        <f aca="false">MOD(ROW()-9,24)</f>
        <v>9</v>
      </c>
      <c r="C3786" s="12"/>
      <c r="D3786" s="13" t="n">
        <f aca="false">IF(B3786&lt;5,Einstellungen!$B$3,Einstellungen!$B$4)</f>
        <v>29.13</v>
      </c>
      <c r="E3786" s="14" t="str">
        <f aca="false">IF(C3786="","",C3786*D3786/100)</f>
        <v/>
      </c>
      <c r="F3786" s="15" t="str">
        <f aca="false">IF(B3786&lt;5,"Go","Standard")</f>
        <v>Standard</v>
      </c>
    </row>
    <row r="3787" customFormat="false" ht="15" hidden="false" customHeight="true" outlineLevel="0" collapsed="false">
      <c r="A3787" s="10" t="n">
        <f aca="false">Einstellungen!$B$5+INT((ROW()-9)/24)</f>
        <v>46123</v>
      </c>
      <c r="B3787" s="11" t="n">
        <f aca="false">MOD(ROW()-9,24)</f>
        <v>10</v>
      </c>
      <c r="C3787" s="12"/>
      <c r="D3787" s="13" t="n">
        <f aca="false">IF(B3787&lt;5,Einstellungen!$B$3,Einstellungen!$B$4)</f>
        <v>29.13</v>
      </c>
      <c r="E3787" s="14" t="str">
        <f aca="false">IF(C3787="","",C3787*D3787/100)</f>
        <v/>
      </c>
      <c r="F3787" s="15" t="str">
        <f aca="false">IF(B3787&lt;5,"Go","Standard")</f>
        <v>Standard</v>
      </c>
    </row>
    <row r="3788" customFormat="false" ht="15" hidden="false" customHeight="true" outlineLevel="0" collapsed="false">
      <c r="A3788" s="10" t="n">
        <f aca="false">Einstellungen!$B$5+INT((ROW()-9)/24)</f>
        <v>46123</v>
      </c>
      <c r="B3788" s="11" t="n">
        <f aca="false">MOD(ROW()-9,24)</f>
        <v>11</v>
      </c>
      <c r="C3788" s="12"/>
      <c r="D3788" s="13" t="n">
        <f aca="false">IF(B3788&lt;5,Einstellungen!$B$3,Einstellungen!$B$4)</f>
        <v>29.13</v>
      </c>
      <c r="E3788" s="14" t="str">
        <f aca="false">IF(C3788="","",C3788*D3788/100)</f>
        <v/>
      </c>
      <c r="F3788" s="15" t="str">
        <f aca="false">IF(B3788&lt;5,"Go","Standard")</f>
        <v>Standard</v>
      </c>
    </row>
    <row r="3789" customFormat="false" ht="15" hidden="false" customHeight="true" outlineLevel="0" collapsed="false">
      <c r="A3789" s="10" t="n">
        <f aca="false">Einstellungen!$B$5+INT((ROW()-9)/24)</f>
        <v>46123</v>
      </c>
      <c r="B3789" s="11" t="n">
        <f aca="false">MOD(ROW()-9,24)</f>
        <v>12</v>
      </c>
      <c r="C3789" s="12"/>
      <c r="D3789" s="13" t="n">
        <f aca="false">IF(B3789&lt;5,Einstellungen!$B$3,Einstellungen!$B$4)</f>
        <v>29.13</v>
      </c>
      <c r="E3789" s="14" t="str">
        <f aca="false">IF(C3789="","",C3789*D3789/100)</f>
        <v/>
      </c>
      <c r="F3789" s="15" t="str">
        <f aca="false">IF(B3789&lt;5,"Go","Standard")</f>
        <v>Standard</v>
      </c>
    </row>
    <row r="3790" customFormat="false" ht="15" hidden="false" customHeight="true" outlineLevel="0" collapsed="false">
      <c r="A3790" s="10" t="n">
        <f aca="false">Einstellungen!$B$5+INT((ROW()-9)/24)</f>
        <v>46123</v>
      </c>
      <c r="B3790" s="11" t="n">
        <f aca="false">MOD(ROW()-9,24)</f>
        <v>13</v>
      </c>
      <c r="C3790" s="12"/>
      <c r="D3790" s="13" t="n">
        <f aca="false">IF(B3790&lt;5,Einstellungen!$B$3,Einstellungen!$B$4)</f>
        <v>29.13</v>
      </c>
      <c r="E3790" s="14" t="str">
        <f aca="false">IF(C3790="","",C3790*D3790/100)</f>
        <v/>
      </c>
      <c r="F3790" s="15" t="str">
        <f aca="false">IF(B3790&lt;5,"Go","Standard")</f>
        <v>Standard</v>
      </c>
    </row>
    <row r="3791" customFormat="false" ht="15" hidden="false" customHeight="true" outlineLevel="0" collapsed="false">
      <c r="A3791" s="10" t="n">
        <f aca="false">Einstellungen!$B$5+INT((ROW()-9)/24)</f>
        <v>46123</v>
      </c>
      <c r="B3791" s="11" t="n">
        <f aca="false">MOD(ROW()-9,24)</f>
        <v>14</v>
      </c>
      <c r="C3791" s="12"/>
      <c r="D3791" s="13" t="n">
        <f aca="false">IF(B3791&lt;5,Einstellungen!$B$3,Einstellungen!$B$4)</f>
        <v>29.13</v>
      </c>
      <c r="E3791" s="14" t="str">
        <f aca="false">IF(C3791="","",C3791*D3791/100)</f>
        <v/>
      </c>
      <c r="F3791" s="15" t="str">
        <f aca="false">IF(B3791&lt;5,"Go","Standard")</f>
        <v>Standard</v>
      </c>
    </row>
    <row r="3792" customFormat="false" ht="15" hidden="false" customHeight="true" outlineLevel="0" collapsed="false">
      <c r="A3792" s="10" t="n">
        <f aca="false">Einstellungen!$B$5+INT((ROW()-9)/24)</f>
        <v>46123</v>
      </c>
      <c r="B3792" s="11" t="n">
        <f aca="false">MOD(ROW()-9,24)</f>
        <v>15</v>
      </c>
      <c r="C3792" s="12"/>
      <c r="D3792" s="13" t="n">
        <f aca="false">IF(B3792&lt;5,Einstellungen!$B$3,Einstellungen!$B$4)</f>
        <v>29.13</v>
      </c>
      <c r="E3792" s="14" t="str">
        <f aca="false">IF(C3792="","",C3792*D3792/100)</f>
        <v/>
      </c>
      <c r="F3792" s="15" t="str">
        <f aca="false">IF(B3792&lt;5,"Go","Standard")</f>
        <v>Standard</v>
      </c>
    </row>
    <row r="3793" customFormat="false" ht="15" hidden="false" customHeight="true" outlineLevel="0" collapsed="false">
      <c r="A3793" s="10" t="n">
        <f aca="false">Einstellungen!$B$5+INT((ROW()-9)/24)</f>
        <v>46123</v>
      </c>
      <c r="B3793" s="11" t="n">
        <f aca="false">MOD(ROW()-9,24)</f>
        <v>16</v>
      </c>
      <c r="C3793" s="12"/>
      <c r="D3793" s="13" t="n">
        <f aca="false">IF(B3793&lt;5,Einstellungen!$B$3,Einstellungen!$B$4)</f>
        <v>29.13</v>
      </c>
      <c r="E3793" s="14" t="str">
        <f aca="false">IF(C3793="","",C3793*D3793/100)</f>
        <v/>
      </c>
      <c r="F3793" s="15" t="str">
        <f aca="false">IF(B3793&lt;5,"Go","Standard")</f>
        <v>Standard</v>
      </c>
    </row>
    <row r="3794" customFormat="false" ht="15" hidden="false" customHeight="true" outlineLevel="0" collapsed="false">
      <c r="A3794" s="10" t="n">
        <f aca="false">Einstellungen!$B$5+INT((ROW()-9)/24)</f>
        <v>46123</v>
      </c>
      <c r="B3794" s="11" t="n">
        <f aca="false">MOD(ROW()-9,24)</f>
        <v>17</v>
      </c>
      <c r="C3794" s="12"/>
      <c r="D3794" s="13" t="n">
        <f aca="false">IF(B3794&lt;5,Einstellungen!$B$3,Einstellungen!$B$4)</f>
        <v>29.13</v>
      </c>
      <c r="E3794" s="14" t="str">
        <f aca="false">IF(C3794="","",C3794*D3794/100)</f>
        <v/>
      </c>
      <c r="F3794" s="15" t="str">
        <f aca="false">IF(B3794&lt;5,"Go","Standard")</f>
        <v>Standard</v>
      </c>
    </row>
    <row r="3795" customFormat="false" ht="15" hidden="false" customHeight="true" outlineLevel="0" collapsed="false">
      <c r="A3795" s="10" t="n">
        <f aca="false">Einstellungen!$B$5+INT((ROW()-9)/24)</f>
        <v>46123</v>
      </c>
      <c r="B3795" s="11" t="n">
        <f aca="false">MOD(ROW()-9,24)</f>
        <v>18</v>
      </c>
      <c r="C3795" s="12"/>
      <c r="D3795" s="13" t="n">
        <f aca="false">IF(B3795&lt;5,Einstellungen!$B$3,Einstellungen!$B$4)</f>
        <v>29.13</v>
      </c>
      <c r="E3795" s="14" t="str">
        <f aca="false">IF(C3795="","",C3795*D3795/100)</f>
        <v/>
      </c>
      <c r="F3795" s="15" t="str">
        <f aca="false">IF(B3795&lt;5,"Go","Standard")</f>
        <v>Standard</v>
      </c>
    </row>
    <row r="3796" customFormat="false" ht="15" hidden="false" customHeight="true" outlineLevel="0" collapsed="false">
      <c r="A3796" s="10" t="n">
        <f aca="false">Einstellungen!$B$5+INT((ROW()-9)/24)</f>
        <v>46123</v>
      </c>
      <c r="B3796" s="11" t="n">
        <f aca="false">MOD(ROW()-9,24)</f>
        <v>19</v>
      </c>
      <c r="C3796" s="12"/>
      <c r="D3796" s="13" t="n">
        <f aca="false">IF(B3796&lt;5,Einstellungen!$B$3,Einstellungen!$B$4)</f>
        <v>29.13</v>
      </c>
      <c r="E3796" s="14" t="str">
        <f aca="false">IF(C3796="","",C3796*D3796/100)</f>
        <v/>
      </c>
      <c r="F3796" s="15" t="str">
        <f aca="false">IF(B3796&lt;5,"Go","Standard")</f>
        <v>Standard</v>
      </c>
    </row>
    <row r="3797" customFormat="false" ht="15" hidden="false" customHeight="true" outlineLevel="0" collapsed="false">
      <c r="A3797" s="10" t="n">
        <f aca="false">Einstellungen!$B$5+INT((ROW()-9)/24)</f>
        <v>46123</v>
      </c>
      <c r="B3797" s="11" t="n">
        <f aca="false">MOD(ROW()-9,24)</f>
        <v>20</v>
      </c>
      <c r="C3797" s="12"/>
      <c r="D3797" s="13" t="n">
        <f aca="false">IF(B3797&lt;5,Einstellungen!$B$3,Einstellungen!$B$4)</f>
        <v>29.13</v>
      </c>
      <c r="E3797" s="14" t="str">
        <f aca="false">IF(C3797="","",C3797*D3797/100)</f>
        <v/>
      </c>
      <c r="F3797" s="15" t="str">
        <f aca="false">IF(B3797&lt;5,"Go","Standard")</f>
        <v>Standard</v>
      </c>
    </row>
    <row r="3798" customFormat="false" ht="15" hidden="false" customHeight="true" outlineLevel="0" collapsed="false">
      <c r="A3798" s="10" t="n">
        <f aca="false">Einstellungen!$B$5+INT((ROW()-9)/24)</f>
        <v>46123</v>
      </c>
      <c r="B3798" s="11" t="n">
        <f aca="false">MOD(ROW()-9,24)</f>
        <v>21</v>
      </c>
      <c r="C3798" s="12"/>
      <c r="D3798" s="13" t="n">
        <f aca="false">IF(B3798&lt;5,Einstellungen!$B$3,Einstellungen!$B$4)</f>
        <v>29.13</v>
      </c>
      <c r="E3798" s="14" t="str">
        <f aca="false">IF(C3798="","",C3798*D3798/100)</f>
        <v/>
      </c>
      <c r="F3798" s="15" t="str">
        <f aca="false">IF(B3798&lt;5,"Go","Standard")</f>
        <v>Standard</v>
      </c>
    </row>
    <row r="3799" customFormat="false" ht="15" hidden="false" customHeight="true" outlineLevel="0" collapsed="false">
      <c r="A3799" s="10" t="n">
        <f aca="false">Einstellungen!$B$5+INT((ROW()-9)/24)</f>
        <v>46123</v>
      </c>
      <c r="B3799" s="11" t="n">
        <f aca="false">MOD(ROW()-9,24)</f>
        <v>22</v>
      </c>
      <c r="C3799" s="12"/>
      <c r="D3799" s="13" t="n">
        <f aca="false">IF(B3799&lt;5,Einstellungen!$B$3,Einstellungen!$B$4)</f>
        <v>29.13</v>
      </c>
      <c r="E3799" s="14" t="str">
        <f aca="false">IF(C3799="","",C3799*D3799/100)</f>
        <v/>
      </c>
      <c r="F3799" s="15" t="str">
        <f aca="false">IF(B3799&lt;5,"Go","Standard")</f>
        <v>Standard</v>
      </c>
    </row>
    <row r="3800" customFormat="false" ht="15" hidden="false" customHeight="true" outlineLevel="0" collapsed="false">
      <c r="A3800" s="10" t="n">
        <f aca="false">Einstellungen!$B$5+INT((ROW()-9)/24)</f>
        <v>46123</v>
      </c>
      <c r="B3800" s="11" t="n">
        <f aca="false">MOD(ROW()-9,24)</f>
        <v>23</v>
      </c>
      <c r="C3800" s="12"/>
      <c r="D3800" s="13" t="n">
        <f aca="false">IF(B3800&lt;5,Einstellungen!$B$3,Einstellungen!$B$4)</f>
        <v>29.13</v>
      </c>
      <c r="E3800" s="14" t="str">
        <f aca="false">IF(C3800="","",C3800*D3800/100)</f>
        <v/>
      </c>
      <c r="F3800" s="15" t="str">
        <f aca="false">IF(B3800&lt;5,"Go","Standard")</f>
        <v>Standard</v>
      </c>
    </row>
    <row r="3801" customFormat="false" ht="15" hidden="false" customHeight="true" outlineLevel="0" collapsed="false">
      <c r="A3801" s="10" t="n">
        <f aca="false">Einstellungen!$B$5+INT((ROW()-9)/24)</f>
        <v>46124</v>
      </c>
      <c r="B3801" s="11" t="n">
        <f aca="false">MOD(ROW()-9,24)</f>
        <v>0</v>
      </c>
      <c r="C3801" s="12"/>
      <c r="D3801" s="13" t="n">
        <f aca="false">IF(B3801&lt;5,Einstellungen!$B$3,Einstellungen!$B$4)</f>
        <v>15.92</v>
      </c>
      <c r="E3801" s="14" t="str">
        <f aca="false">IF(C3801="","",C3801*D3801/100)</f>
        <v/>
      </c>
      <c r="F3801" s="15" t="str">
        <f aca="false">IF(B3801&lt;5,"Go","Standard")</f>
        <v>Go</v>
      </c>
    </row>
    <row r="3802" customFormat="false" ht="15" hidden="false" customHeight="true" outlineLevel="0" collapsed="false">
      <c r="A3802" s="10" t="n">
        <f aca="false">Einstellungen!$B$5+INT((ROW()-9)/24)</f>
        <v>46124</v>
      </c>
      <c r="B3802" s="11" t="n">
        <f aca="false">MOD(ROW()-9,24)</f>
        <v>1</v>
      </c>
      <c r="C3802" s="12"/>
      <c r="D3802" s="13" t="n">
        <f aca="false">IF(B3802&lt;5,Einstellungen!$B$3,Einstellungen!$B$4)</f>
        <v>15.92</v>
      </c>
      <c r="E3802" s="14" t="str">
        <f aca="false">IF(C3802="","",C3802*D3802/100)</f>
        <v/>
      </c>
      <c r="F3802" s="15" t="str">
        <f aca="false">IF(B3802&lt;5,"Go","Standard")</f>
        <v>Go</v>
      </c>
    </row>
    <row r="3803" customFormat="false" ht="15" hidden="false" customHeight="true" outlineLevel="0" collapsed="false">
      <c r="A3803" s="10" t="n">
        <f aca="false">Einstellungen!$B$5+INT((ROW()-9)/24)</f>
        <v>46124</v>
      </c>
      <c r="B3803" s="11" t="n">
        <f aca="false">MOD(ROW()-9,24)</f>
        <v>2</v>
      </c>
      <c r="C3803" s="12"/>
      <c r="D3803" s="13" t="n">
        <f aca="false">IF(B3803&lt;5,Einstellungen!$B$3,Einstellungen!$B$4)</f>
        <v>15.92</v>
      </c>
      <c r="E3803" s="14" t="str">
        <f aca="false">IF(C3803="","",C3803*D3803/100)</f>
        <v/>
      </c>
      <c r="F3803" s="15" t="str">
        <f aca="false">IF(B3803&lt;5,"Go","Standard")</f>
        <v>Go</v>
      </c>
    </row>
    <row r="3804" customFormat="false" ht="15" hidden="false" customHeight="true" outlineLevel="0" collapsed="false">
      <c r="A3804" s="10" t="n">
        <f aca="false">Einstellungen!$B$5+INT((ROW()-9)/24)</f>
        <v>46124</v>
      </c>
      <c r="B3804" s="11" t="n">
        <f aca="false">MOD(ROW()-9,24)</f>
        <v>3</v>
      </c>
      <c r="C3804" s="12"/>
      <c r="D3804" s="13" t="n">
        <f aca="false">IF(B3804&lt;5,Einstellungen!$B$3,Einstellungen!$B$4)</f>
        <v>15.92</v>
      </c>
      <c r="E3804" s="14" t="str">
        <f aca="false">IF(C3804="","",C3804*D3804/100)</f>
        <v/>
      </c>
      <c r="F3804" s="15" t="str">
        <f aca="false">IF(B3804&lt;5,"Go","Standard")</f>
        <v>Go</v>
      </c>
    </row>
    <row r="3805" customFormat="false" ht="15" hidden="false" customHeight="true" outlineLevel="0" collapsed="false">
      <c r="A3805" s="10" t="n">
        <f aca="false">Einstellungen!$B$5+INT((ROW()-9)/24)</f>
        <v>46124</v>
      </c>
      <c r="B3805" s="11" t="n">
        <f aca="false">MOD(ROW()-9,24)</f>
        <v>4</v>
      </c>
      <c r="C3805" s="12"/>
      <c r="D3805" s="13" t="n">
        <f aca="false">IF(B3805&lt;5,Einstellungen!$B$3,Einstellungen!$B$4)</f>
        <v>15.92</v>
      </c>
      <c r="E3805" s="14" t="str">
        <f aca="false">IF(C3805="","",C3805*D3805/100)</f>
        <v/>
      </c>
      <c r="F3805" s="15" t="str">
        <f aca="false">IF(B3805&lt;5,"Go","Standard")</f>
        <v>Go</v>
      </c>
    </row>
    <row r="3806" customFormat="false" ht="15" hidden="false" customHeight="true" outlineLevel="0" collapsed="false">
      <c r="A3806" s="10" t="n">
        <f aca="false">Einstellungen!$B$5+INT((ROW()-9)/24)</f>
        <v>46124</v>
      </c>
      <c r="B3806" s="11" t="n">
        <f aca="false">MOD(ROW()-9,24)</f>
        <v>5</v>
      </c>
      <c r="C3806" s="12"/>
      <c r="D3806" s="13" t="n">
        <f aca="false">IF(B3806&lt;5,Einstellungen!$B$3,Einstellungen!$B$4)</f>
        <v>29.13</v>
      </c>
      <c r="E3806" s="14" t="str">
        <f aca="false">IF(C3806="","",C3806*D3806/100)</f>
        <v/>
      </c>
      <c r="F3806" s="15" t="str">
        <f aca="false">IF(B3806&lt;5,"Go","Standard")</f>
        <v>Standard</v>
      </c>
    </row>
    <row r="3807" customFormat="false" ht="15" hidden="false" customHeight="true" outlineLevel="0" collapsed="false">
      <c r="A3807" s="10" t="n">
        <f aca="false">Einstellungen!$B$5+INT((ROW()-9)/24)</f>
        <v>46124</v>
      </c>
      <c r="B3807" s="11" t="n">
        <f aca="false">MOD(ROW()-9,24)</f>
        <v>6</v>
      </c>
      <c r="C3807" s="12"/>
      <c r="D3807" s="13" t="n">
        <f aca="false">IF(B3807&lt;5,Einstellungen!$B$3,Einstellungen!$B$4)</f>
        <v>29.13</v>
      </c>
      <c r="E3807" s="14" t="str">
        <f aca="false">IF(C3807="","",C3807*D3807/100)</f>
        <v/>
      </c>
      <c r="F3807" s="15" t="str">
        <f aca="false">IF(B3807&lt;5,"Go","Standard")</f>
        <v>Standard</v>
      </c>
    </row>
    <row r="3808" customFormat="false" ht="15" hidden="false" customHeight="true" outlineLevel="0" collapsed="false">
      <c r="A3808" s="10" t="n">
        <f aca="false">Einstellungen!$B$5+INT((ROW()-9)/24)</f>
        <v>46124</v>
      </c>
      <c r="B3808" s="11" t="n">
        <f aca="false">MOD(ROW()-9,24)</f>
        <v>7</v>
      </c>
      <c r="C3808" s="12"/>
      <c r="D3808" s="13" t="n">
        <f aca="false">IF(B3808&lt;5,Einstellungen!$B$3,Einstellungen!$B$4)</f>
        <v>29.13</v>
      </c>
      <c r="E3808" s="14" t="str">
        <f aca="false">IF(C3808="","",C3808*D3808/100)</f>
        <v/>
      </c>
      <c r="F3808" s="15" t="str">
        <f aca="false">IF(B3808&lt;5,"Go","Standard")</f>
        <v>Standard</v>
      </c>
    </row>
    <row r="3809" customFormat="false" ht="15" hidden="false" customHeight="true" outlineLevel="0" collapsed="false">
      <c r="A3809" s="10" t="n">
        <f aca="false">Einstellungen!$B$5+INT((ROW()-9)/24)</f>
        <v>46124</v>
      </c>
      <c r="B3809" s="11" t="n">
        <f aca="false">MOD(ROW()-9,24)</f>
        <v>8</v>
      </c>
      <c r="C3809" s="12"/>
      <c r="D3809" s="13" t="n">
        <f aca="false">IF(B3809&lt;5,Einstellungen!$B$3,Einstellungen!$B$4)</f>
        <v>29.13</v>
      </c>
      <c r="E3809" s="14" t="str">
        <f aca="false">IF(C3809="","",C3809*D3809/100)</f>
        <v/>
      </c>
      <c r="F3809" s="15" t="str">
        <f aca="false">IF(B3809&lt;5,"Go","Standard")</f>
        <v>Standard</v>
      </c>
    </row>
    <row r="3810" customFormat="false" ht="15" hidden="false" customHeight="true" outlineLevel="0" collapsed="false">
      <c r="A3810" s="10" t="n">
        <f aca="false">Einstellungen!$B$5+INT((ROW()-9)/24)</f>
        <v>46124</v>
      </c>
      <c r="B3810" s="11" t="n">
        <f aca="false">MOD(ROW()-9,24)</f>
        <v>9</v>
      </c>
      <c r="C3810" s="12"/>
      <c r="D3810" s="13" t="n">
        <f aca="false">IF(B3810&lt;5,Einstellungen!$B$3,Einstellungen!$B$4)</f>
        <v>29.13</v>
      </c>
      <c r="E3810" s="14" t="str">
        <f aca="false">IF(C3810="","",C3810*D3810/100)</f>
        <v/>
      </c>
      <c r="F3810" s="15" t="str">
        <f aca="false">IF(B3810&lt;5,"Go","Standard")</f>
        <v>Standard</v>
      </c>
    </row>
    <row r="3811" customFormat="false" ht="15" hidden="false" customHeight="true" outlineLevel="0" collapsed="false">
      <c r="A3811" s="10" t="n">
        <f aca="false">Einstellungen!$B$5+INT((ROW()-9)/24)</f>
        <v>46124</v>
      </c>
      <c r="B3811" s="11" t="n">
        <f aca="false">MOD(ROW()-9,24)</f>
        <v>10</v>
      </c>
      <c r="C3811" s="12"/>
      <c r="D3811" s="13" t="n">
        <f aca="false">IF(B3811&lt;5,Einstellungen!$B$3,Einstellungen!$B$4)</f>
        <v>29.13</v>
      </c>
      <c r="E3811" s="14" t="str">
        <f aca="false">IF(C3811="","",C3811*D3811/100)</f>
        <v/>
      </c>
      <c r="F3811" s="15" t="str">
        <f aca="false">IF(B3811&lt;5,"Go","Standard")</f>
        <v>Standard</v>
      </c>
    </row>
    <row r="3812" customFormat="false" ht="15" hidden="false" customHeight="true" outlineLevel="0" collapsed="false">
      <c r="A3812" s="10" t="n">
        <f aca="false">Einstellungen!$B$5+INT((ROW()-9)/24)</f>
        <v>46124</v>
      </c>
      <c r="B3812" s="11" t="n">
        <f aca="false">MOD(ROW()-9,24)</f>
        <v>11</v>
      </c>
      <c r="C3812" s="12"/>
      <c r="D3812" s="13" t="n">
        <f aca="false">IF(B3812&lt;5,Einstellungen!$B$3,Einstellungen!$B$4)</f>
        <v>29.13</v>
      </c>
      <c r="E3812" s="14" t="str">
        <f aca="false">IF(C3812="","",C3812*D3812/100)</f>
        <v/>
      </c>
      <c r="F3812" s="15" t="str">
        <f aca="false">IF(B3812&lt;5,"Go","Standard")</f>
        <v>Standard</v>
      </c>
    </row>
    <row r="3813" customFormat="false" ht="15" hidden="false" customHeight="true" outlineLevel="0" collapsed="false">
      <c r="A3813" s="10" t="n">
        <f aca="false">Einstellungen!$B$5+INT((ROW()-9)/24)</f>
        <v>46124</v>
      </c>
      <c r="B3813" s="11" t="n">
        <f aca="false">MOD(ROW()-9,24)</f>
        <v>12</v>
      </c>
      <c r="C3813" s="12"/>
      <c r="D3813" s="13" t="n">
        <f aca="false">IF(B3813&lt;5,Einstellungen!$B$3,Einstellungen!$B$4)</f>
        <v>29.13</v>
      </c>
      <c r="E3813" s="14" t="str">
        <f aca="false">IF(C3813="","",C3813*D3813/100)</f>
        <v/>
      </c>
      <c r="F3813" s="15" t="str">
        <f aca="false">IF(B3813&lt;5,"Go","Standard")</f>
        <v>Standard</v>
      </c>
    </row>
    <row r="3814" customFormat="false" ht="15" hidden="false" customHeight="true" outlineLevel="0" collapsed="false">
      <c r="A3814" s="10" t="n">
        <f aca="false">Einstellungen!$B$5+INT((ROW()-9)/24)</f>
        <v>46124</v>
      </c>
      <c r="B3814" s="11" t="n">
        <f aca="false">MOD(ROW()-9,24)</f>
        <v>13</v>
      </c>
      <c r="C3814" s="12"/>
      <c r="D3814" s="13" t="n">
        <f aca="false">IF(B3814&lt;5,Einstellungen!$B$3,Einstellungen!$B$4)</f>
        <v>29.13</v>
      </c>
      <c r="E3814" s="14" t="str">
        <f aca="false">IF(C3814="","",C3814*D3814/100)</f>
        <v/>
      </c>
      <c r="F3814" s="15" t="str">
        <f aca="false">IF(B3814&lt;5,"Go","Standard")</f>
        <v>Standard</v>
      </c>
    </row>
    <row r="3815" customFormat="false" ht="15" hidden="false" customHeight="true" outlineLevel="0" collapsed="false">
      <c r="A3815" s="10" t="n">
        <f aca="false">Einstellungen!$B$5+INT((ROW()-9)/24)</f>
        <v>46124</v>
      </c>
      <c r="B3815" s="11" t="n">
        <f aca="false">MOD(ROW()-9,24)</f>
        <v>14</v>
      </c>
      <c r="C3815" s="12"/>
      <c r="D3815" s="13" t="n">
        <f aca="false">IF(B3815&lt;5,Einstellungen!$B$3,Einstellungen!$B$4)</f>
        <v>29.13</v>
      </c>
      <c r="E3815" s="14" t="str">
        <f aca="false">IF(C3815="","",C3815*D3815/100)</f>
        <v/>
      </c>
      <c r="F3815" s="15" t="str">
        <f aca="false">IF(B3815&lt;5,"Go","Standard")</f>
        <v>Standard</v>
      </c>
    </row>
    <row r="3816" customFormat="false" ht="15" hidden="false" customHeight="true" outlineLevel="0" collapsed="false">
      <c r="A3816" s="10" t="n">
        <f aca="false">Einstellungen!$B$5+INT((ROW()-9)/24)</f>
        <v>46124</v>
      </c>
      <c r="B3816" s="11" t="n">
        <f aca="false">MOD(ROW()-9,24)</f>
        <v>15</v>
      </c>
      <c r="C3816" s="12"/>
      <c r="D3816" s="13" t="n">
        <f aca="false">IF(B3816&lt;5,Einstellungen!$B$3,Einstellungen!$B$4)</f>
        <v>29.13</v>
      </c>
      <c r="E3816" s="14" t="str">
        <f aca="false">IF(C3816="","",C3816*D3816/100)</f>
        <v/>
      </c>
      <c r="F3816" s="15" t="str">
        <f aca="false">IF(B3816&lt;5,"Go","Standard")</f>
        <v>Standard</v>
      </c>
    </row>
    <row r="3817" customFormat="false" ht="15" hidden="false" customHeight="true" outlineLevel="0" collapsed="false">
      <c r="A3817" s="10" t="n">
        <f aca="false">Einstellungen!$B$5+INT((ROW()-9)/24)</f>
        <v>46124</v>
      </c>
      <c r="B3817" s="11" t="n">
        <f aca="false">MOD(ROW()-9,24)</f>
        <v>16</v>
      </c>
      <c r="C3817" s="12"/>
      <c r="D3817" s="13" t="n">
        <f aca="false">IF(B3817&lt;5,Einstellungen!$B$3,Einstellungen!$B$4)</f>
        <v>29.13</v>
      </c>
      <c r="E3817" s="14" t="str">
        <f aca="false">IF(C3817="","",C3817*D3817/100)</f>
        <v/>
      </c>
      <c r="F3817" s="15" t="str">
        <f aca="false">IF(B3817&lt;5,"Go","Standard")</f>
        <v>Standard</v>
      </c>
    </row>
    <row r="3818" customFormat="false" ht="15" hidden="false" customHeight="true" outlineLevel="0" collapsed="false">
      <c r="A3818" s="10" t="n">
        <f aca="false">Einstellungen!$B$5+INT((ROW()-9)/24)</f>
        <v>46124</v>
      </c>
      <c r="B3818" s="11" t="n">
        <f aca="false">MOD(ROW()-9,24)</f>
        <v>17</v>
      </c>
      <c r="C3818" s="12"/>
      <c r="D3818" s="13" t="n">
        <f aca="false">IF(B3818&lt;5,Einstellungen!$B$3,Einstellungen!$B$4)</f>
        <v>29.13</v>
      </c>
      <c r="E3818" s="14" t="str">
        <f aca="false">IF(C3818="","",C3818*D3818/100)</f>
        <v/>
      </c>
      <c r="F3818" s="15" t="str">
        <f aca="false">IF(B3818&lt;5,"Go","Standard")</f>
        <v>Standard</v>
      </c>
    </row>
    <row r="3819" customFormat="false" ht="15" hidden="false" customHeight="true" outlineLevel="0" collapsed="false">
      <c r="A3819" s="10" t="n">
        <f aca="false">Einstellungen!$B$5+INT((ROW()-9)/24)</f>
        <v>46124</v>
      </c>
      <c r="B3819" s="11" t="n">
        <f aca="false">MOD(ROW()-9,24)</f>
        <v>18</v>
      </c>
      <c r="C3819" s="12"/>
      <c r="D3819" s="13" t="n">
        <f aca="false">IF(B3819&lt;5,Einstellungen!$B$3,Einstellungen!$B$4)</f>
        <v>29.13</v>
      </c>
      <c r="E3819" s="14" t="str">
        <f aca="false">IF(C3819="","",C3819*D3819/100)</f>
        <v/>
      </c>
      <c r="F3819" s="15" t="str">
        <f aca="false">IF(B3819&lt;5,"Go","Standard")</f>
        <v>Standard</v>
      </c>
    </row>
    <row r="3820" customFormat="false" ht="15" hidden="false" customHeight="true" outlineLevel="0" collapsed="false">
      <c r="A3820" s="10" t="n">
        <f aca="false">Einstellungen!$B$5+INT((ROW()-9)/24)</f>
        <v>46124</v>
      </c>
      <c r="B3820" s="11" t="n">
        <f aca="false">MOD(ROW()-9,24)</f>
        <v>19</v>
      </c>
      <c r="C3820" s="12"/>
      <c r="D3820" s="13" t="n">
        <f aca="false">IF(B3820&lt;5,Einstellungen!$B$3,Einstellungen!$B$4)</f>
        <v>29.13</v>
      </c>
      <c r="E3820" s="14" t="str">
        <f aca="false">IF(C3820="","",C3820*D3820/100)</f>
        <v/>
      </c>
      <c r="F3820" s="15" t="str">
        <f aca="false">IF(B3820&lt;5,"Go","Standard")</f>
        <v>Standard</v>
      </c>
    </row>
    <row r="3821" customFormat="false" ht="15" hidden="false" customHeight="true" outlineLevel="0" collapsed="false">
      <c r="A3821" s="10" t="n">
        <f aca="false">Einstellungen!$B$5+INT((ROW()-9)/24)</f>
        <v>46124</v>
      </c>
      <c r="B3821" s="11" t="n">
        <f aca="false">MOD(ROW()-9,24)</f>
        <v>20</v>
      </c>
      <c r="C3821" s="12"/>
      <c r="D3821" s="13" t="n">
        <f aca="false">IF(B3821&lt;5,Einstellungen!$B$3,Einstellungen!$B$4)</f>
        <v>29.13</v>
      </c>
      <c r="E3821" s="14" t="str">
        <f aca="false">IF(C3821="","",C3821*D3821/100)</f>
        <v/>
      </c>
      <c r="F3821" s="15" t="str">
        <f aca="false">IF(B3821&lt;5,"Go","Standard")</f>
        <v>Standard</v>
      </c>
    </row>
    <row r="3822" customFormat="false" ht="15" hidden="false" customHeight="true" outlineLevel="0" collapsed="false">
      <c r="A3822" s="10" t="n">
        <f aca="false">Einstellungen!$B$5+INT((ROW()-9)/24)</f>
        <v>46124</v>
      </c>
      <c r="B3822" s="11" t="n">
        <f aca="false">MOD(ROW()-9,24)</f>
        <v>21</v>
      </c>
      <c r="C3822" s="12"/>
      <c r="D3822" s="13" t="n">
        <f aca="false">IF(B3822&lt;5,Einstellungen!$B$3,Einstellungen!$B$4)</f>
        <v>29.13</v>
      </c>
      <c r="E3822" s="14" t="str">
        <f aca="false">IF(C3822="","",C3822*D3822/100)</f>
        <v/>
      </c>
      <c r="F3822" s="15" t="str">
        <f aca="false">IF(B3822&lt;5,"Go","Standard")</f>
        <v>Standard</v>
      </c>
    </row>
    <row r="3823" customFormat="false" ht="15" hidden="false" customHeight="true" outlineLevel="0" collapsed="false">
      <c r="A3823" s="10" t="n">
        <f aca="false">Einstellungen!$B$5+INT((ROW()-9)/24)</f>
        <v>46124</v>
      </c>
      <c r="B3823" s="11" t="n">
        <f aca="false">MOD(ROW()-9,24)</f>
        <v>22</v>
      </c>
      <c r="C3823" s="12"/>
      <c r="D3823" s="13" t="n">
        <f aca="false">IF(B3823&lt;5,Einstellungen!$B$3,Einstellungen!$B$4)</f>
        <v>29.13</v>
      </c>
      <c r="E3823" s="14" t="str">
        <f aca="false">IF(C3823="","",C3823*D3823/100)</f>
        <v/>
      </c>
      <c r="F3823" s="15" t="str">
        <f aca="false">IF(B3823&lt;5,"Go","Standard")</f>
        <v>Standard</v>
      </c>
    </row>
    <row r="3824" customFormat="false" ht="15" hidden="false" customHeight="true" outlineLevel="0" collapsed="false">
      <c r="A3824" s="10" t="n">
        <f aca="false">Einstellungen!$B$5+INT((ROW()-9)/24)</f>
        <v>46124</v>
      </c>
      <c r="B3824" s="11" t="n">
        <f aca="false">MOD(ROW()-9,24)</f>
        <v>23</v>
      </c>
      <c r="C3824" s="12"/>
      <c r="D3824" s="13" t="n">
        <f aca="false">IF(B3824&lt;5,Einstellungen!$B$3,Einstellungen!$B$4)</f>
        <v>29.13</v>
      </c>
      <c r="E3824" s="14" t="str">
        <f aca="false">IF(C3824="","",C3824*D3824/100)</f>
        <v/>
      </c>
      <c r="F3824" s="15" t="str">
        <f aca="false">IF(B3824&lt;5,"Go","Standard")</f>
        <v>Standard</v>
      </c>
    </row>
    <row r="3825" customFormat="false" ht="15" hidden="false" customHeight="true" outlineLevel="0" collapsed="false">
      <c r="A3825" s="10" t="n">
        <f aca="false">Einstellungen!$B$5+INT((ROW()-9)/24)</f>
        <v>46125</v>
      </c>
      <c r="B3825" s="11" t="n">
        <f aca="false">MOD(ROW()-9,24)</f>
        <v>0</v>
      </c>
      <c r="C3825" s="12"/>
      <c r="D3825" s="13" t="n">
        <f aca="false">IF(B3825&lt;5,Einstellungen!$B$3,Einstellungen!$B$4)</f>
        <v>15.92</v>
      </c>
      <c r="E3825" s="14" t="str">
        <f aca="false">IF(C3825="","",C3825*D3825/100)</f>
        <v/>
      </c>
      <c r="F3825" s="15" t="str">
        <f aca="false">IF(B3825&lt;5,"Go","Standard")</f>
        <v>Go</v>
      </c>
    </row>
    <row r="3826" customFormat="false" ht="15" hidden="false" customHeight="true" outlineLevel="0" collapsed="false">
      <c r="A3826" s="10" t="n">
        <f aca="false">Einstellungen!$B$5+INT((ROW()-9)/24)</f>
        <v>46125</v>
      </c>
      <c r="B3826" s="11" t="n">
        <f aca="false">MOD(ROW()-9,24)</f>
        <v>1</v>
      </c>
      <c r="C3826" s="12"/>
      <c r="D3826" s="13" t="n">
        <f aca="false">IF(B3826&lt;5,Einstellungen!$B$3,Einstellungen!$B$4)</f>
        <v>15.92</v>
      </c>
      <c r="E3826" s="14" t="str">
        <f aca="false">IF(C3826="","",C3826*D3826/100)</f>
        <v/>
      </c>
      <c r="F3826" s="15" t="str">
        <f aca="false">IF(B3826&lt;5,"Go","Standard")</f>
        <v>Go</v>
      </c>
    </row>
    <row r="3827" customFormat="false" ht="15" hidden="false" customHeight="true" outlineLevel="0" collapsed="false">
      <c r="A3827" s="10" t="n">
        <f aca="false">Einstellungen!$B$5+INT((ROW()-9)/24)</f>
        <v>46125</v>
      </c>
      <c r="B3827" s="11" t="n">
        <f aca="false">MOD(ROW()-9,24)</f>
        <v>2</v>
      </c>
      <c r="C3827" s="12"/>
      <c r="D3827" s="13" t="n">
        <f aca="false">IF(B3827&lt;5,Einstellungen!$B$3,Einstellungen!$B$4)</f>
        <v>15.92</v>
      </c>
      <c r="E3827" s="14" t="str">
        <f aca="false">IF(C3827="","",C3827*D3827/100)</f>
        <v/>
      </c>
      <c r="F3827" s="15" t="str">
        <f aca="false">IF(B3827&lt;5,"Go","Standard")</f>
        <v>Go</v>
      </c>
    </row>
    <row r="3828" customFormat="false" ht="15" hidden="false" customHeight="true" outlineLevel="0" collapsed="false">
      <c r="A3828" s="10" t="n">
        <f aca="false">Einstellungen!$B$5+INT((ROW()-9)/24)</f>
        <v>46125</v>
      </c>
      <c r="B3828" s="11" t="n">
        <f aca="false">MOD(ROW()-9,24)</f>
        <v>3</v>
      </c>
      <c r="C3828" s="12"/>
      <c r="D3828" s="13" t="n">
        <f aca="false">IF(B3828&lt;5,Einstellungen!$B$3,Einstellungen!$B$4)</f>
        <v>15.92</v>
      </c>
      <c r="E3828" s="14" t="str">
        <f aca="false">IF(C3828="","",C3828*D3828/100)</f>
        <v/>
      </c>
      <c r="F3828" s="15" t="str">
        <f aca="false">IF(B3828&lt;5,"Go","Standard")</f>
        <v>Go</v>
      </c>
    </row>
    <row r="3829" customFormat="false" ht="15" hidden="false" customHeight="true" outlineLevel="0" collapsed="false">
      <c r="A3829" s="10" t="n">
        <f aca="false">Einstellungen!$B$5+INT((ROW()-9)/24)</f>
        <v>46125</v>
      </c>
      <c r="B3829" s="11" t="n">
        <f aca="false">MOD(ROW()-9,24)</f>
        <v>4</v>
      </c>
      <c r="C3829" s="12"/>
      <c r="D3829" s="13" t="n">
        <f aca="false">IF(B3829&lt;5,Einstellungen!$B$3,Einstellungen!$B$4)</f>
        <v>15.92</v>
      </c>
      <c r="E3829" s="14" t="str">
        <f aca="false">IF(C3829="","",C3829*D3829/100)</f>
        <v/>
      </c>
      <c r="F3829" s="15" t="str">
        <f aca="false">IF(B3829&lt;5,"Go","Standard")</f>
        <v>Go</v>
      </c>
    </row>
    <row r="3830" customFormat="false" ht="15" hidden="false" customHeight="true" outlineLevel="0" collapsed="false">
      <c r="A3830" s="10" t="n">
        <f aca="false">Einstellungen!$B$5+INT((ROW()-9)/24)</f>
        <v>46125</v>
      </c>
      <c r="B3830" s="11" t="n">
        <f aca="false">MOD(ROW()-9,24)</f>
        <v>5</v>
      </c>
      <c r="C3830" s="12"/>
      <c r="D3830" s="13" t="n">
        <f aca="false">IF(B3830&lt;5,Einstellungen!$B$3,Einstellungen!$B$4)</f>
        <v>29.13</v>
      </c>
      <c r="E3830" s="14" t="str">
        <f aca="false">IF(C3830="","",C3830*D3830/100)</f>
        <v/>
      </c>
      <c r="F3830" s="15" t="str">
        <f aca="false">IF(B3830&lt;5,"Go","Standard")</f>
        <v>Standard</v>
      </c>
    </row>
    <row r="3831" customFormat="false" ht="15" hidden="false" customHeight="true" outlineLevel="0" collapsed="false">
      <c r="A3831" s="10" t="n">
        <f aca="false">Einstellungen!$B$5+INT((ROW()-9)/24)</f>
        <v>46125</v>
      </c>
      <c r="B3831" s="11" t="n">
        <f aca="false">MOD(ROW()-9,24)</f>
        <v>6</v>
      </c>
      <c r="C3831" s="12"/>
      <c r="D3831" s="13" t="n">
        <f aca="false">IF(B3831&lt;5,Einstellungen!$B$3,Einstellungen!$B$4)</f>
        <v>29.13</v>
      </c>
      <c r="E3831" s="14" t="str">
        <f aca="false">IF(C3831="","",C3831*D3831/100)</f>
        <v/>
      </c>
      <c r="F3831" s="15" t="str">
        <f aca="false">IF(B3831&lt;5,"Go","Standard")</f>
        <v>Standard</v>
      </c>
    </row>
    <row r="3832" customFormat="false" ht="15" hidden="false" customHeight="true" outlineLevel="0" collapsed="false">
      <c r="A3832" s="10" t="n">
        <f aca="false">Einstellungen!$B$5+INT((ROW()-9)/24)</f>
        <v>46125</v>
      </c>
      <c r="B3832" s="11" t="n">
        <f aca="false">MOD(ROW()-9,24)</f>
        <v>7</v>
      </c>
      <c r="C3832" s="12"/>
      <c r="D3832" s="13" t="n">
        <f aca="false">IF(B3832&lt;5,Einstellungen!$B$3,Einstellungen!$B$4)</f>
        <v>29.13</v>
      </c>
      <c r="E3832" s="14" t="str">
        <f aca="false">IF(C3832="","",C3832*D3832/100)</f>
        <v/>
      </c>
      <c r="F3832" s="15" t="str">
        <f aca="false">IF(B3832&lt;5,"Go","Standard")</f>
        <v>Standard</v>
      </c>
    </row>
    <row r="3833" customFormat="false" ht="15" hidden="false" customHeight="true" outlineLevel="0" collapsed="false">
      <c r="A3833" s="10" t="n">
        <f aca="false">Einstellungen!$B$5+INT((ROW()-9)/24)</f>
        <v>46125</v>
      </c>
      <c r="B3833" s="11" t="n">
        <f aca="false">MOD(ROW()-9,24)</f>
        <v>8</v>
      </c>
      <c r="C3833" s="12"/>
      <c r="D3833" s="13" t="n">
        <f aca="false">IF(B3833&lt;5,Einstellungen!$B$3,Einstellungen!$B$4)</f>
        <v>29.13</v>
      </c>
      <c r="E3833" s="14" t="str">
        <f aca="false">IF(C3833="","",C3833*D3833/100)</f>
        <v/>
      </c>
      <c r="F3833" s="15" t="str">
        <f aca="false">IF(B3833&lt;5,"Go","Standard")</f>
        <v>Standard</v>
      </c>
    </row>
    <row r="3834" customFormat="false" ht="15" hidden="false" customHeight="true" outlineLevel="0" collapsed="false">
      <c r="A3834" s="10" t="n">
        <f aca="false">Einstellungen!$B$5+INT((ROW()-9)/24)</f>
        <v>46125</v>
      </c>
      <c r="B3834" s="11" t="n">
        <f aca="false">MOD(ROW()-9,24)</f>
        <v>9</v>
      </c>
      <c r="C3834" s="12"/>
      <c r="D3834" s="13" t="n">
        <f aca="false">IF(B3834&lt;5,Einstellungen!$B$3,Einstellungen!$B$4)</f>
        <v>29.13</v>
      </c>
      <c r="E3834" s="14" t="str">
        <f aca="false">IF(C3834="","",C3834*D3834/100)</f>
        <v/>
      </c>
      <c r="F3834" s="15" t="str">
        <f aca="false">IF(B3834&lt;5,"Go","Standard")</f>
        <v>Standard</v>
      </c>
    </row>
    <row r="3835" customFormat="false" ht="15" hidden="false" customHeight="true" outlineLevel="0" collapsed="false">
      <c r="A3835" s="10" t="n">
        <f aca="false">Einstellungen!$B$5+INT((ROW()-9)/24)</f>
        <v>46125</v>
      </c>
      <c r="B3835" s="11" t="n">
        <f aca="false">MOD(ROW()-9,24)</f>
        <v>10</v>
      </c>
      <c r="C3835" s="12"/>
      <c r="D3835" s="13" t="n">
        <f aca="false">IF(B3835&lt;5,Einstellungen!$B$3,Einstellungen!$B$4)</f>
        <v>29.13</v>
      </c>
      <c r="E3835" s="14" t="str">
        <f aca="false">IF(C3835="","",C3835*D3835/100)</f>
        <v/>
      </c>
      <c r="F3835" s="15" t="str">
        <f aca="false">IF(B3835&lt;5,"Go","Standard")</f>
        <v>Standard</v>
      </c>
    </row>
    <row r="3836" customFormat="false" ht="15" hidden="false" customHeight="true" outlineLevel="0" collapsed="false">
      <c r="A3836" s="10" t="n">
        <f aca="false">Einstellungen!$B$5+INT((ROW()-9)/24)</f>
        <v>46125</v>
      </c>
      <c r="B3836" s="11" t="n">
        <f aca="false">MOD(ROW()-9,24)</f>
        <v>11</v>
      </c>
      <c r="C3836" s="12"/>
      <c r="D3836" s="13" t="n">
        <f aca="false">IF(B3836&lt;5,Einstellungen!$B$3,Einstellungen!$B$4)</f>
        <v>29.13</v>
      </c>
      <c r="E3836" s="14" t="str">
        <f aca="false">IF(C3836="","",C3836*D3836/100)</f>
        <v/>
      </c>
      <c r="F3836" s="15" t="str">
        <f aca="false">IF(B3836&lt;5,"Go","Standard")</f>
        <v>Standard</v>
      </c>
    </row>
    <row r="3837" customFormat="false" ht="15" hidden="false" customHeight="true" outlineLevel="0" collapsed="false">
      <c r="A3837" s="10" t="n">
        <f aca="false">Einstellungen!$B$5+INT((ROW()-9)/24)</f>
        <v>46125</v>
      </c>
      <c r="B3837" s="11" t="n">
        <f aca="false">MOD(ROW()-9,24)</f>
        <v>12</v>
      </c>
      <c r="C3837" s="12"/>
      <c r="D3837" s="13" t="n">
        <f aca="false">IF(B3837&lt;5,Einstellungen!$B$3,Einstellungen!$B$4)</f>
        <v>29.13</v>
      </c>
      <c r="E3837" s="14" t="str">
        <f aca="false">IF(C3837="","",C3837*D3837/100)</f>
        <v/>
      </c>
      <c r="F3837" s="15" t="str">
        <f aca="false">IF(B3837&lt;5,"Go","Standard")</f>
        <v>Standard</v>
      </c>
    </row>
    <row r="3838" customFormat="false" ht="15" hidden="false" customHeight="true" outlineLevel="0" collapsed="false">
      <c r="A3838" s="10" t="n">
        <f aca="false">Einstellungen!$B$5+INT((ROW()-9)/24)</f>
        <v>46125</v>
      </c>
      <c r="B3838" s="11" t="n">
        <f aca="false">MOD(ROW()-9,24)</f>
        <v>13</v>
      </c>
      <c r="C3838" s="12"/>
      <c r="D3838" s="13" t="n">
        <f aca="false">IF(B3838&lt;5,Einstellungen!$B$3,Einstellungen!$B$4)</f>
        <v>29.13</v>
      </c>
      <c r="E3838" s="14" t="str">
        <f aca="false">IF(C3838="","",C3838*D3838/100)</f>
        <v/>
      </c>
      <c r="F3838" s="15" t="str">
        <f aca="false">IF(B3838&lt;5,"Go","Standard")</f>
        <v>Standard</v>
      </c>
    </row>
    <row r="3839" customFormat="false" ht="15" hidden="false" customHeight="true" outlineLevel="0" collapsed="false">
      <c r="A3839" s="10" t="n">
        <f aca="false">Einstellungen!$B$5+INT((ROW()-9)/24)</f>
        <v>46125</v>
      </c>
      <c r="B3839" s="11" t="n">
        <f aca="false">MOD(ROW()-9,24)</f>
        <v>14</v>
      </c>
      <c r="C3839" s="12"/>
      <c r="D3839" s="13" t="n">
        <f aca="false">IF(B3839&lt;5,Einstellungen!$B$3,Einstellungen!$B$4)</f>
        <v>29.13</v>
      </c>
      <c r="E3839" s="14" t="str">
        <f aca="false">IF(C3839="","",C3839*D3839/100)</f>
        <v/>
      </c>
      <c r="F3839" s="15" t="str">
        <f aca="false">IF(B3839&lt;5,"Go","Standard")</f>
        <v>Standard</v>
      </c>
    </row>
    <row r="3840" customFormat="false" ht="15" hidden="false" customHeight="true" outlineLevel="0" collapsed="false">
      <c r="A3840" s="10" t="n">
        <f aca="false">Einstellungen!$B$5+INT((ROW()-9)/24)</f>
        <v>46125</v>
      </c>
      <c r="B3840" s="11" t="n">
        <f aca="false">MOD(ROW()-9,24)</f>
        <v>15</v>
      </c>
      <c r="C3840" s="12"/>
      <c r="D3840" s="13" t="n">
        <f aca="false">IF(B3840&lt;5,Einstellungen!$B$3,Einstellungen!$B$4)</f>
        <v>29.13</v>
      </c>
      <c r="E3840" s="14" t="str">
        <f aca="false">IF(C3840="","",C3840*D3840/100)</f>
        <v/>
      </c>
      <c r="F3840" s="15" t="str">
        <f aca="false">IF(B3840&lt;5,"Go","Standard")</f>
        <v>Standard</v>
      </c>
    </row>
    <row r="3841" customFormat="false" ht="15" hidden="false" customHeight="true" outlineLevel="0" collapsed="false">
      <c r="A3841" s="10" t="n">
        <f aca="false">Einstellungen!$B$5+INT((ROW()-9)/24)</f>
        <v>46125</v>
      </c>
      <c r="B3841" s="11" t="n">
        <f aca="false">MOD(ROW()-9,24)</f>
        <v>16</v>
      </c>
      <c r="C3841" s="12"/>
      <c r="D3841" s="13" t="n">
        <f aca="false">IF(B3841&lt;5,Einstellungen!$B$3,Einstellungen!$B$4)</f>
        <v>29.13</v>
      </c>
      <c r="E3841" s="14" t="str">
        <f aca="false">IF(C3841="","",C3841*D3841/100)</f>
        <v/>
      </c>
      <c r="F3841" s="15" t="str">
        <f aca="false">IF(B3841&lt;5,"Go","Standard")</f>
        <v>Standard</v>
      </c>
    </row>
    <row r="3842" customFormat="false" ht="15" hidden="false" customHeight="true" outlineLevel="0" collapsed="false">
      <c r="A3842" s="10" t="n">
        <f aca="false">Einstellungen!$B$5+INT((ROW()-9)/24)</f>
        <v>46125</v>
      </c>
      <c r="B3842" s="11" t="n">
        <f aca="false">MOD(ROW()-9,24)</f>
        <v>17</v>
      </c>
      <c r="C3842" s="12"/>
      <c r="D3842" s="13" t="n">
        <f aca="false">IF(B3842&lt;5,Einstellungen!$B$3,Einstellungen!$B$4)</f>
        <v>29.13</v>
      </c>
      <c r="E3842" s="14" t="str">
        <f aca="false">IF(C3842="","",C3842*D3842/100)</f>
        <v/>
      </c>
      <c r="F3842" s="15" t="str">
        <f aca="false">IF(B3842&lt;5,"Go","Standard")</f>
        <v>Standard</v>
      </c>
    </row>
    <row r="3843" customFormat="false" ht="15" hidden="false" customHeight="true" outlineLevel="0" collapsed="false">
      <c r="A3843" s="10" t="n">
        <f aca="false">Einstellungen!$B$5+INT((ROW()-9)/24)</f>
        <v>46125</v>
      </c>
      <c r="B3843" s="11" t="n">
        <f aca="false">MOD(ROW()-9,24)</f>
        <v>18</v>
      </c>
      <c r="C3843" s="12"/>
      <c r="D3843" s="13" t="n">
        <f aca="false">IF(B3843&lt;5,Einstellungen!$B$3,Einstellungen!$B$4)</f>
        <v>29.13</v>
      </c>
      <c r="E3843" s="14" t="str">
        <f aca="false">IF(C3843="","",C3843*D3843/100)</f>
        <v/>
      </c>
      <c r="F3843" s="15" t="str">
        <f aca="false">IF(B3843&lt;5,"Go","Standard")</f>
        <v>Standard</v>
      </c>
    </row>
    <row r="3844" customFormat="false" ht="15" hidden="false" customHeight="true" outlineLevel="0" collapsed="false">
      <c r="A3844" s="10" t="n">
        <f aca="false">Einstellungen!$B$5+INT((ROW()-9)/24)</f>
        <v>46125</v>
      </c>
      <c r="B3844" s="11" t="n">
        <f aca="false">MOD(ROW()-9,24)</f>
        <v>19</v>
      </c>
      <c r="C3844" s="12"/>
      <c r="D3844" s="13" t="n">
        <f aca="false">IF(B3844&lt;5,Einstellungen!$B$3,Einstellungen!$B$4)</f>
        <v>29.13</v>
      </c>
      <c r="E3844" s="14" t="str">
        <f aca="false">IF(C3844="","",C3844*D3844/100)</f>
        <v/>
      </c>
      <c r="F3844" s="15" t="str">
        <f aca="false">IF(B3844&lt;5,"Go","Standard")</f>
        <v>Standard</v>
      </c>
    </row>
    <row r="3845" customFormat="false" ht="15" hidden="false" customHeight="true" outlineLevel="0" collapsed="false">
      <c r="A3845" s="10" t="n">
        <f aca="false">Einstellungen!$B$5+INT((ROW()-9)/24)</f>
        <v>46125</v>
      </c>
      <c r="B3845" s="11" t="n">
        <f aca="false">MOD(ROW()-9,24)</f>
        <v>20</v>
      </c>
      <c r="C3845" s="12"/>
      <c r="D3845" s="13" t="n">
        <f aca="false">IF(B3845&lt;5,Einstellungen!$B$3,Einstellungen!$B$4)</f>
        <v>29.13</v>
      </c>
      <c r="E3845" s="14" t="str">
        <f aca="false">IF(C3845="","",C3845*D3845/100)</f>
        <v/>
      </c>
      <c r="F3845" s="15" t="str">
        <f aca="false">IF(B3845&lt;5,"Go","Standard")</f>
        <v>Standard</v>
      </c>
    </row>
    <row r="3846" customFormat="false" ht="15" hidden="false" customHeight="true" outlineLevel="0" collapsed="false">
      <c r="A3846" s="10" t="n">
        <f aca="false">Einstellungen!$B$5+INT((ROW()-9)/24)</f>
        <v>46125</v>
      </c>
      <c r="B3846" s="11" t="n">
        <f aca="false">MOD(ROW()-9,24)</f>
        <v>21</v>
      </c>
      <c r="C3846" s="12"/>
      <c r="D3846" s="13" t="n">
        <f aca="false">IF(B3846&lt;5,Einstellungen!$B$3,Einstellungen!$B$4)</f>
        <v>29.13</v>
      </c>
      <c r="E3846" s="14" t="str">
        <f aca="false">IF(C3846="","",C3846*D3846/100)</f>
        <v/>
      </c>
      <c r="F3846" s="15" t="str">
        <f aca="false">IF(B3846&lt;5,"Go","Standard")</f>
        <v>Standard</v>
      </c>
    </row>
    <row r="3847" customFormat="false" ht="15" hidden="false" customHeight="true" outlineLevel="0" collapsed="false">
      <c r="A3847" s="10" t="n">
        <f aca="false">Einstellungen!$B$5+INT((ROW()-9)/24)</f>
        <v>46125</v>
      </c>
      <c r="B3847" s="11" t="n">
        <f aca="false">MOD(ROW()-9,24)</f>
        <v>22</v>
      </c>
      <c r="C3847" s="12"/>
      <c r="D3847" s="13" t="n">
        <f aca="false">IF(B3847&lt;5,Einstellungen!$B$3,Einstellungen!$B$4)</f>
        <v>29.13</v>
      </c>
      <c r="E3847" s="14" t="str">
        <f aca="false">IF(C3847="","",C3847*D3847/100)</f>
        <v/>
      </c>
      <c r="F3847" s="15" t="str">
        <f aca="false">IF(B3847&lt;5,"Go","Standard")</f>
        <v>Standard</v>
      </c>
    </row>
    <row r="3848" customFormat="false" ht="15" hidden="false" customHeight="true" outlineLevel="0" collapsed="false">
      <c r="A3848" s="10" t="n">
        <f aca="false">Einstellungen!$B$5+INT((ROW()-9)/24)</f>
        <v>46125</v>
      </c>
      <c r="B3848" s="11" t="n">
        <f aca="false">MOD(ROW()-9,24)</f>
        <v>23</v>
      </c>
      <c r="C3848" s="12"/>
      <c r="D3848" s="13" t="n">
        <f aca="false">IF(B3848&lt;5,Einstellungen!$B$3,Einstellungen!$B$4)</f>
        <v>29.13</v>
      </c>
      <c r="E3848" s="14" t="str">
        <f aca="false">IF(C3848="","",C3848*D3848/100)</f>
        <v/>
      </c>
      <c r="F3848" s="15" t="str">
        <f aca="false">IF(B3848&lt;5,"Go","Standard")</f>
        <v>Standard</v>
      </c>
    </row>
    <row r="3849" customFormat="false" ht="15" hidden="false" customHeight="true" outlineLevel="0" collapsed="false">
      <c r="A3849" s="10" t="n">
        <f aca="false">Einstellungen!$B$5+INT((ROW()-9)/24)</f>
        <v>46126</v>
      </c>
      <c r="B3849" s="11" t="n">
        <f aca="false">MOD(ROW()-9,24)</f>
        <v>0</v>
      </c>
      <c r="C3849" s="12"/>
      <c r="D3849" s="13" t="n">
        <f aca="false">IF(B3849&lt;5,Einstellungen!$B$3,Einstellungen!$B$4)</f>
        <v>15.92</v>
      </c>
      <c r="E3849" s="14" t="str">
        <f aca="false">IF(C3849="","",C3849*D3849/100)</f>
        <v/>
      </c>
      <c r="F3849" s="15" t="str">
        <f aca="false">IF(B3849&lt;5,"Go","Standard")</f>
        <v>Go</v>
      </c>
    </row>
    <row r="3850" customFormat="false" ht="15" hidden="false" customHeight="true" outlineLevel="0" collapsed="false">
      <c r="A3850" s="10" t="n">
        <f aca="false">Einstellungen!$B$5+INT((ROW()-9)/24)</f>
        <v>46126</v>
      </c>
      <c r="B3850" s="11" t="n">
        <f aca="false">MOD(ROW()-9,24)</f>
        <v>1</v>
      </c>
      <c r="C3850" s="12"/>
      <c r="D3850" s="13" t="n">
        <f aca="false">IF(B3850&lt;5,Einstellungen!$B$3,Einstellungen!$B$4)</f>
        <v>15.92</v>
      </c>
      <c r="E3850" s="14" t="str">
        <f aca="false">IF(C3850="","",C3850*D3850/100)</f>
        <v/>
      </c>
      <c r="F3850" s="15" t="str">
        <f aca="false">IF(B3850&lt;5,"Go","Standard")</f>
        <v>Go</v>
      </c>
    </row>
    <row r="3851" customFormat="false" ht="15" hidden="false" customHeight="true" outlineLevel="0" collapsed="false">
      <c r="A3851" s="10" t="n">
        <f aca="false">Einstellungen!$B$5+INT((ROW()-9)/24)</f>
        <v>46126</v>
      </c>
      <c r="B3851" s="11" t="n">
        <f aca="false">MOD(ROW()-9,24)</f>
        <v>2</v>
      </c>
      <c r="C3851" s="12"/>
      <c r="D3851" s="13" t="n">
        <f aca="false">IF(B3851&lt;5,Einstellungen!$B$3,Einstellungen!$B$4)</f>
        <v>15.92</v>
      </c>
      <c r="E3851" s="14" t="str">
        <f aca="false">IF(C3851="","",C3851*D3851/100)</f>
        <v/>
      </c>
      <c r="F3851" s="15" t="str">
        <f aca="false">IF(B3851&lt;5,"Go","Standard")</f>
        <v>Go</v>
      </c>
    </row>
    <row r="3852" customFormat="false" ht="15" hidden="false" customHeight="true" outlineLevel="0" collapsed="false">
      <c r="A3852" s="10" t="n">
        <f aca="false">Einstellungen!$B$5+INT((ROW()-9)/24)</f>
        <v>46126</v>
      </c>
      <c r="B3852" s="11" t="n">
        <f aca="false">MOD(ROW()-9,24)</f>
        <v>3</v>
      </c>
      <c r="C3852" s="12"/>
      <c r="D3852" s="13" t="n">
        <f aca="false">IF(B3852&lt;5,Einstellungen!$B$3,Einstellungen!$B$4)</f>
        <v>15.92</v>
      </c>
      <c r="E3852" s="14" t="str">
        <f aca="false">IF(C3852="","",C3852*D3852/100)</f>
        <v/>
      </c>
      <c r="F3852" s="15" t="str">
        <f aca="false">IF(B3852&lt;5,"Go","Standard")</f>
        <v>Go</v>
      </c>
    </row>
    <row r="3853" customFormat="false" ht="15" hidden="false" customHeight="true" outlineLevel="0" collapsed="false">
      <c r="A3853" s="10" t="n">
        <f aca="false">Einstellungen!$B$5+INT((ROW()-9)/24)</f>
        <v>46126</v>
      </c>
      <c r="B3853" s="11" t="n">
        <f aca="false">MOD(ROW()-9,24)</f>
        <v>4</v>
      </c>
      <c r="C3853" s="12"/>
      <c r="D3853" s="13" t="n">
        <f aca="false">IF(B3853&lt;5,Einstellungen!$B$3,Einstellungen!$B$4)</f>
        <v>15.92</v>
      </c>
      <c r="E3853" s="14" t="str">
        <f aca="false">IF(C3853="","",C3853*D3853/100)</f>
        <v/>
      </c>
      <c r="F3853" s="15" t="str">
        <f aca="false">IF(B3853&lt;5,"Go","Standard")</f>
        <v>Go</v>
      </c>
    </row>
    <row r="3854" customFormat="false" ht="15" hidden="false" customHeight="true" outlineLevel="0" collapsed="false">
      <c r="A3854" s="10" t="n">
        <f aca="false">Einstellungen!$B$5+INT((ROW()-9)/24)</f>
        <v>46126</v>
      </c>
      <c r="B3854" s="11" t="n">
        <f aca="false">MOD(ROW()-9,24)</f>
        <v>5</v>
      </c>
      <c r="C3854" s="12"/>
      <c r="D3854" s="13" t="n">
        <f aca="false">IF(B3854&lt;5,Einstellungen!$B$3,Einstellungen!$B$4)</f>
        <v>29.13</v>
      </c>
      <c r="E3854" s="14" t="str">
        <f aca="false">IF(C3854="","",C3854*D3854/100)</f>
        <v/>
      </c>
      <c r="F3854" s="15" t="str">
        <f aca="false">IF(B3854&lt;5,"Go","Standard")</f>
        <v>Standard</v>
      </c>
    </row>
    <row r="3855" customFormat="false" ht="15" hidden="false" customHeight="true" outlineLevel="0" collapsed="false">
      <c r="A3855" s="10" t="n">
        <f aca="false">Einstellungen!$B$5+INT((ROW()-9)/24)</f>
        <v>46126</v>
      </c>
      <c r="B3855" s="11" t="n">
        <f aca="false">MOD(ROW()-9,24)</f>
        <v>6</v>
      </c>
      <c r="C3855" s="12"/>
      <c r="D3855" s="13" t="n">
        <f aca="false">IF(B3855&lt;5,Einstellungen!$B$3,Einstellungen!$B$4)</f>
        <v>29.13</v>
      </c>
      <c r="E3855" s="14" t="str">
        <f aca="false">IF(C3855="","",C3855*D3855/100)</f>
        <v/>
      </c>
      <c r="F3855" s="15" t="str">
        <f aca="false">IF(B3855&lt;5,"Go","Standard")</f>
        <v>Standard</v>
      </c>
    </row>
    <row r="3856" customFormat="false" ht="15" hidden="false" customHeight="true" outlineLevel="0" collapsed="false">
      <c r="A3856" s="10" t="n">
        <f aca="false">Einstellungen!$B$5+INT((ROW()-9)/24)</f>
        <v>46126</v>
      </c>
      <c r="B3856" s="11" t="n">
        <f aca="false">MOD(ROW()-9,24)</f>
        <v>7</v>
      </c>
      <c r="C3856" s="12"/>
      <c r="D3856" s="13" t="n">
        <f aca="false">IF(B3856&lt;5,Einstellungen!$B$3,Einstellungen!$B$4)</f>
        <v>29.13</v>
      </c>
      <c r="E3856" s="14" t="str">
        <f aca="false">IF(C3856="","",C3856*D3856/100)</f>
        <v/>
      </c>
      <c r="F3856" s="15" t="str">
        <f aca="false">IF(B3856&lt;5,"Go","Standard")</f>
        <v>Standard</v>
      </c>
    </row>
    <row r="3857" customFormat="false" ht="15" hidden="false" customHeight="true" outlineLevel="0" collapsed="false">
      <c r="A3857" s="10" t="n">
        <f aca="false">Einstellungen!$B$5+INT((ROW()-9)/24)</f>
        <v>46126</v>
      </c>
      <c r="B3857" s="11" t="n">
        <f aca="false">MOD(ROW()-9,24)</f>
        <v>8</v>
      </c>
      <c r="C3857" s="12"/>
      <c r="D3857" s="13" t="n">
        <f aca="false">IF(B3857&lt;5,Einstellungen!$B$3,Einstellungen!$B$4)</f>
        <v>29.13</v>
      </c>
      <c r="E3857" s="14" t="str">
        <f aca="false">IF(C3857="","",C3857*D3857/100)</f>
        <v/>
      </c>
      <c r="F3857" s="15" t="str">
        <f aca="false">IF(B3857&lt;5,"Go","Standard")</f>
        <v>Standard</v>
      </c>
    </row>
    <row r="3858" customFormat="false" ht="15" hidden="false" customHeight="true" outlineLevel="0" collapsed="false">
      <c r="A3858" s="10" t="n">
        <f aca="false">Einstellungen!$B$5+INT((ROW()-9)/24)</f>
        <v>46126</v>
      </c>
      <c r="B3858" s="11" t="n">
        <f aca="false">MOD(ROW()-9,24)</f>
        <v>9</v>
      </c>
      <c r="C3858" s="12"/>
      <c r="D3858" s="13" t="n">
        <f aca="false">IF(B3858&lt;5,Einstellungen!$B$3,Einstellungen!$B$4)</f>
        <v>29.13</v>
      </c>
      <c r="E3858" s="14" t="str">
        <f aca="false">IF(C3858="","",C3858*D3858/100)</f>
        <v/>
      </c>
      <c r="F3858" s="15" t="str">
        <f aca="false">IF(B3858&lt;5,"Go","Standard")</f>
        <v>Standard</v>
      </c>
    </row>
    <row r="3859" customFormat="false" ht="15" hidden="false" customHeight="true" outlineLevel="0" collapsed="false">
      <c r="A3859" s="10" t="n">
        <f aca="false">Einstellungen!$B$5+INT((ROW()-9)/24)</f>
        <v>46126</v>
      </c>
      <c r="B3859" s="11" t="n">
        <f aca="false">MOD(ROW()-9,24)</f>
        <v>10</v>
      </c>
      <c r="C3859" s="12"/>
      <c r="D3859" s="13" t="n">
        <f aca="false">IF(B3859&lt;5,Einstellungen!$B$3,Einstellungen!$B$4)</f>
        <v>29.13</v>
      </c>
      <c r="E3859" s="14" t="str">
        <f aca="false">IF(C3859="","",C3859*D3859/100)</f>
        <v/>
      </c>
      <c r="F3859" s="15" t="str">
        <f aca="false">IF(B3859&lt;5,"Go","Standard")</f>
        <v>Standard</v>
      </c>
    </row>
    <row r="3860" customFormat="false" ht="15" hidden="false" customHeight="true" outlineLevel="0" collapsed="false">
      <c r="A3860" s="10" t="n">
        <f aca="false">Einstellungen!$B$5+INT((ROW()-9)/24)</f>
        <v>46126</v>
      </c>
      <c r="B3860" s="11" t="n">
        <f aca="false">MOD(ROW()-9,24)</f>
        <v>11</v>
      </c>
      <c r="C3860" s="12"/>
      <c r="D3860" s="13" t="n">
        <f aca="false">IF(B3860&lt;5,Einstellungen!$B$3,Einstellungen!$B$4)</f>
        <v>29.13</v>
      </c>
      <c r="E3860" s="14" t="str">
        <f aca="false">IF(C3860="","",C3860*D3860/100)</f>
        <v/>
      </c>
      <c r="F3860" s="15" t="str">
        <f aca="false">IF(B3860&lt;5,"Go","Standard")</f>
        <v>Standard</v>
      </c>
    </row>
    <row r="3861" customFormat="false" ht="15" hidden="false" customHeight="true" outlineLevel="0" collapsed="false">
      <c r="A3861" s="10" t="n">
        <f aca="false">Einstellungen!$B$5+INT((ROW()-9)/24)</f>
        <v>46126</v>
      </c>
      <c r="B3861" s="11" t="n">
        <f aca="false">MOD(ROW()-9,24)</f>
        <v>12</v>
      </c>
      <c r="C3861" s="12"/>
      <c r="D3861" s="13" t="n">
        <f aca="false">IF(B3861&lt;5,Einstellungen!$B$3,Einstellungen!$B$4)</f>
        <v>29.13</v>
      </c>
      <c r="E3861" s="14" t="str">
        <f aca="false">IF(C3861="","",C3861*D3861/100)</f>
        <v/>
      </c>
      <c r="F3861" s="15" t="str">
        <f aca="false">IF(B3861&lt;5,"Go","Standard")</f>
        <v>Standard</v>
      </c>
    </row>
    <row r="3862" customFormat="false" ht="15" hidden="false" customHeight="true" outlineLevel="0" collapsed="false">
      <c r="A3862" s="10" t="n">
        <f aca="false">Einstellungen!$B$5+INT((ROW()-9)/24)</f>
        <v>46126</v>
      </c>
      <c r="B3862" s="11" t="n">
        <f aca="false">MOD(ROW()-9,24)</f>
        <v>13</v>
      </c>
      <c r="C3862" s="12"/>
      <c r="D3862" s="13" t="n">
        <f aca="false">IF(B3862&lt;5,Einstellungen!$B$3,Einstellungen!$B$4)</f>
        <v>29.13</v>
      </c>
      <c r="E3862" s="14" t="str">
        <f aca="false">IF(C3862="","",C3862*D3862/100)</f>
        <v/>
      </c>
      <c r="F3862" s="15" t="str">
        <f aca="false">IF(B3862&lt;5,"Go","Standard")</f>
        <v>Standard</v>
      </c>
    </row>
    <row r="3863" customFormat="false" ht="15" hidden="false" customHeight="true" outlineLevel="0" collapsed="false">
      <c r="A3863" s="10" t="n">
        <f aca="false">Einstellungen!$B$5+INT((ROW()-9)/24)</f>
        <v>46126</v>
      </c>
      <c r="B3863" s="11" t="n">
        <f aca="false">MOD(ROW()-9,24)</f>
        <v>14</v>
      </c>
      <c r="C3863" s="12"/>
      <c r="D3863" s="13" t="n">
        <f aca="false">IF(B3863&lt;5,Einstellungen!$B$3,Einstellungen!$B$4)</f>
        <v>29.13</v>
      </c>
      <c r="E3863" s="14" t="str">
        <f aca="false">IF(C3863="","",C3863*D3863/100)</f>
        <v/>
      </c>
      <c r="F3863" s="15" t="str">
        <f aca="false">IF(B3863&lt;5,"Go","Standard")</f>
        <v>Standard</v>
      </c>
    </row>
    <row r="3864" customFormat="false" ht="15" hidden="false" customHeight="true" outlineLevel="0" collapsed="false">
      <c r="A3864" s="10" t="n">
        <f aca="false">Einstellungen!$B$5+INT((ROW()-9)/24)</f>
        <v>46126</v>
      </c>
      <c r="B3864" s="11" t="n">
        <f aca="false">MOD(ROW()-9,24)</f>
        <v>15</v>
      </c>
      <c r="C3864" s="12"/>
      <c r="D3864" s="13" t="n">
        <f aca="false">IF(B3864&lt;5,Einstellungen!$B$3,Einstellungen!$B$4)</f>
        <v>29.13</v>
      </c>
      <c r="E3864" s="14" t="str">
        <f aca="false">IF(C3864="","",C3864*D3864/100)</f>
        <v/>
      </c>
      <c r="F3864" s="15" t="str">
        <f aca="false">IF(B3864&lt;5,"Go","Standard")</f>
        <v>Standard</v>
      </c>
    </row>
    <row r="3865" customFormat="false" ht="15" hidden="false" customHeight="true" outlineLevel="0" collapsed="false">
      <c r="A3865" s="10" t="n">
        <f aca="false">Einstellungen!$B$5+INT((ROW()-9)/24)</f>
        <v>46126</v>
      </c>
      <c r="B3865" s="11" t="n">
        <f aca="false">MOD(ROW()-9,24)</f>
        <v>16</v>
      </c>
      <c r="C3865" s="12"/>
      <c r="D3865" s="13" t="n">
        <f aca="false">IF(B3865&lt;5,Einstellungen!$B$3,Einstellungen!$B$4)</f>
        <v>29.13</v>
      </c>
      <c r="E3865" s="14" t="str">
        <f aca="false">IF(C3865="","",C3865*D3865/100)</f>
        <v/>
      </c>
      <c r="F3865" s="15" t="str">
        <f aca="false">IF(B3865&lt;5,"Go","Standard")</f>
        <v>Standard</v>
      </c>
    </row>
    <row r="3866" customFormat="false" ht="15" hidden="false" customHeight="true" outlineLevel="0" collapsed="false">
      <c r="A3866" s="10" t="n">
        <f aca="false">Einstellungen!$B$5+INT((ROW()-9)/24)</f>
        <v>46126</v>
      </c>
      <c r="B3866" s="11" t="n">
        <f aca="false">MOD(ROW()-9,24)</f>
        <v>17</v>
      </c>
      <c r="C3866" s="12"/>
      <c r="D3866" s="13" t="n">
        <f aca="false">IF(B3866&lt;5,Einstellungen!$B$3,Einstellungen!$B$4)</f>
        <v>29.13</v>
      </c>
      <c r="E3866" s="14" t="str">
        <f aca="false">IF(C3866="","",C3866*D3866/100)</f>
        <v/>
      </c>
      <c r="F3866" s="15" t="str">
        <f aca="false">IF(B3866&lt;5,"Go","Standard")</f>
        <v>Standard</v>
      </c>
    </row>
    <row r="3867" customFormat="false" ht="15" hidden="false" customHeight="true" outlineLevel="0" collapsed="false">
      <c r="A3867" s="10" t="n">
        <f aca="false">Einstellungen!$B$5+INT((ROW()-9)/24)</f>
        <v>46126</v>
      </c>
      <c r="B3867" s="11" t="n">
        <f aca="false">MOD(ROW()-9,24)</f>
        <v>18</v>
      </c>
      <c r="C3867" s="12"/>
      <c r="D3867" s="13" t="n">
        <f aca="false">IF(B3867&lt;5,Einstellungen!$B$3,Einstellungen!$B$4)</f>
        <v>29.13</v>
      </c>
      <c r="E3867" s="14" t="str">
        <f aca="false">IF(C3867="","",C3867*D3867/100)</f>
        <v/>
      </c>
      <c r="F3867" s="15" t="str">
        <f aca="false">IF(B3867&lt;5,"Go","Standard")</f>
        <v>Standard</v>
      </c>
    </row>
    <row r="3868" customFormat="false" ht="15" hidden="false" customHeight="true" outlineLevel="0" collapsed="false">
      <c r="A3868" s="10" t="n">
        <f aca="false">Einstellungen!$B$5+INT((ROW()-9)/24)</f>
        <v>46126</v>
      </c>
      <c r="B3868" s="11" t="n">
        <f aca="false">MOD(ROW()-9,24)</f>
        <v>19</v>
      </c>
      <c r="C3868" s="12"/>
      <c r="D3868" s="13" t="n">
        <f aca="false">IF(B3868&lt;5,Einstellungen!$B$3,Einstellungen!$B$4)</f>
        <v>29.13</v>
      </c>
      <c r="E3868" s="14" t="str">
        <f aca="false">IF(C3868="","",C3868*D3868/100)</f>
        <v/>
      </c>
      <c r="F3868" s="15" t="str">
        <f aca="false">IF(B3868&lt;5,"Go","Standard")</f>
        <v>Standard</v>
      </c>
    </row>
    <row r="3869" customFormat="false" ht="15" hidden="false" customHeight="true" outlineLevel="0" collapsed="false">
      <c r="A3869" s="10" t="n">
        <f aca="false">Einstellungen!$B$5+INT((ROW()-9)/24)</f>
        <v>46126</v>
      </c>
      <c r="B3869" s="11" t="n">
        <f aca="false">MOD(ROW()-9,24)</f>
        <v>20</v>
      </c>
      <c r="C3869" s="12"/>
      <c r="D3869" s="13" t="n">
        <f aca="false">IF(B3869&lt;5,Einstellungen!$B$3,Einstellungen!$B$4)</f>
        <v>29.13</v>
      </c>
      <c r="E3869" s="14" t="str">
        <f aca="false">IF(C3869="","",C3869*D3869/100)</f>
        <v/>
      </c>
      <c r="F3869" s="15" t="str">
        <f aca="false">IF(B3869&lt;5,"Go","Standard")</f>
        <v>Standard</v>
      </c>
    </row>
    <row r="3870" customFormat="false" ht="15" hidden="false" customHeight="true" outlineLevel="0" collapsed="false">
      <c r="A3870" s="10" t="n">
        <f aca="false">Einstellungen!$B$5+INT((ROW()-9)/24)</f>
        <v>46126</v>
      </c>
      <c r="B3870" s="11" t="n">
        <f aca="false">MOD(ROW()-9,24)</f>
        <v>21</v>
      </c>
      <c r="C3870" s="12"/>
      <c r="D3870" s="13" t="n">
        <f aca="false">IF(B3870&lt;5,Einstellungen!$B$3,Einstellungen!$B$4)</f>
        <v>29.13</v>
      </c>
      <c r="E3870" s="14" t="str">
        <f aca="false">IF(C3870="","",C3870*D3870/100)</f>
        <v/>
      </c>
      <c r="F3870" s="15" t="str">
        <f aca="false">IF(B3870&lt;5,"Go","Standard")</f>
        <v>Standard</v>
      </c>
    </row>
    <row r="3871" customFormat="false" ht="15" hidden="false" customHeight="true" outlineLevel="0" collapsed="false">
      <c r="A3871" s="10" t="n">
        <f aca="false">Einstellungen!$B$5+INT((ROW()-9)/24)</f>
        <v>46126</v>
      </c>
      <c r="B3871" s="11" t="n">
        <f aca="false">MOD(ROW()-9,24)</f>
        <v>22</v>
      </c>
      <c r="C3871" s="12"/>
      <c r="D3871" s="13" t="n">
        <f aca="false">IF(B3871&lt;5,Einstellungen!$B$3,Einstellungen!$B$4)</f>
        <v>29.13</v>
      </c>
      <c r="E3871" s="14" t="str">
        <f aca="false">IF(C3871="","",C3871*D3871/100)</f>
        <v/>
      </c>
      <c r="F3871" s="15" t="str">
        <f aca="false">IF(B3871&lt;5,"Go","Standard")</f>
        <v>Standard</v>
      </c>
    </row>
    <row r="3872" customFormat="false" ht="15" hidden="false" customHeight="true" outlineLevel="0" collapsed="false">
      <c r="A3872" s="10" t="n">
        <f aca="false">Einstellungen!$B$5+INT((ROW()-9)/24)</f>
        <v>46126</v>
      </c>
      <c r="B3872" s="11" t="n">
        <f aca="false">MOD(ROW()-9,24)</f>
        <v>23</v>
      </c>
      <c r="C3872" s="12"/>
      <c r="D3872" s="13" t="n">
        <f aca="false">IF(B3872&lt;5,Einstellungen!$B$3,Einstellungen!$B$4)</f>
        <v>29.13</v>
      </c>
      <c r="E3872" s="14" t="str">
        <f aca="false">IF(C3872="","",C3872*D3872/100)</f>
        <v/>
      </c>
      <c r="F3872" s="15" t="str">
        <f aca="false">IF(B3872&lt;5,"Go","Standard")</f>
        <v>Standard</v>
      </c>
    </row>
    <row r="3873" customFormat="false" ht="15" hidden="false" customHeight="true" outlineLevel="0" collapsed="false">
      <c r="A3873" s="10" t="n">
        <f aca="false">Einstellungen!$B$5+INT((ROW()-9)/24)</f>
        <v>46127</v>
      </c>
      <c r="B3873" s="11" t="n">
        <f aca="false">MOD(ROW()-9,24)</f>
        <v>0</v>
      </c>
      <c r="C3873" s="12"/>
      <c r="D3873" s="13" t="n">
        <f aca="false">IF(B3873&lt;5,Einstellungen!$B$3,Einstellungen!$B$4)</f>
        <v>15.92</v>
      </c>
      <c r="E3873" s="14" t="str">
        <f aca="false">IF(C3873="","",C3873*D3873/100)</f>
        <v/>
      </c>
      <c r="F3873" s="15" t="str">
        <f aca="false">IF(B3873&lt;5,"Go","Standard")</f>
        <v>Go</v>
      </c>
    </row>
    <row r="3874" customFormat="false" ht="15" hidden="false" customHeight="true" outlineLevel="0" collapsed="false">
      <c r="A3874" s="10" t="n">
        <f aca="false">Einstellungen!$B$5+INT((ROW()-9)/24)</f>
        <v>46127</v>
      </c>
      <c r="B3874" s="11" t="n">
        <f aca="false">MOD(ROW()-9,24)</f>
        <v>1</v>
      </c>
      <c r="C3874" s="12"/>
      <c r="D3874" s="13" t="n">
        <f aca="false">IF(B3874&lt;5,Einstellungen!$B$3,Einstellungen!$B$4)</f>
        <v>15.92</v>
      </c>
      <c r="E3874" s="14" t="str">
        <f aca="false">IF(C3874="","",C3874*D3874/100)</f>
        <v/>
      </c>
      <c r="F3874" s="15" t="str">
        <f aca="false">IF(B3874&lt;5,"Go","Standard")</f>
        <v>Go</v>
      </c>
    </row>
    <row r="3875" customFormat="false" ht="15" hidden="false" customHeight="true" outlineLevel="0" collapsed="false">
      <c r="A3875" s="10" t="n">
        <f aca="false">Einstellungen!$B$5+INT((ROW()-9)/24)</f>
        <v>46127</v>
      </c>
      <c r="B3875" s="11" t="n">
        <f aca="false">MOD(ROW()-9,24)</f>
        <v>2</v>
      </c>
      <c r="C3875" s="12"/>
      <c r="D3875" s="13" t="n">
        <f aca="false">IF(B3875&lt;5,Einstellungen!$B$3,Einstellungen!$B$4)</f>
        <v>15.92</v>
      </c>
      <c r="E3875" s="14" t="str">
        <f aca="false">IF(C3875="","",C3875*D3875/100)</f>
        <v/>
      </c>
      <c r="F3875" s="15" t="str">
        <f aca="false">IF(B3875&lt;5,"Go","Standard")</f>
        <v>Go</v>
      </c>
    </row>
    <row r="3876" customFormat="false" ht="15" hidden="false" customHeight="true" outlineLevel="0" collapsed="false">
      <c r="A3876" s="10" t="n">
        <f aca="false">Einstellungen!$B$5+INT((ROW()-9)/24)</f>
        <v>46127</v>
      </c>
      <c r="B3876" s="11" t="n">
        <f aca="false">MOD(ROW()-9,24)</f>
        <v>3</v>
      </c>
      <c r="C3876" s="12"/>
      <c r="D3876" s="13" t="n">
        <f aca="false">IF(B3876&lt;5,Einstellungen!$B$3,Einstellungen!$B$4)</f>
        <v>15.92</v>
      </c>
      <c r="E3876" s="14" t="str">
        <f aca="false">IF(C3876="","",C3876*D3876/100)</f>
        <v/>
      </c>
      <c r="F3876" s="15" t="str">
        <f aca="false">IF(B3876&lt;5,"Go","Standard")</f>
        <v>Go</v>
      </c>
    </row>
    <row r="3877" customFormat="false" ht="15" hidden="false" customHeight="true" outlineLevel="0" collapsed="false">
      <c r="A3877" s="10" t="n">
        <f aca="false">Einstellungen!$B$5+INT((ROW()-9)/24)</f>
        <v>46127</v>
      </c>
      <c r="B3877" s="11" t="n">
        <f aca="false">MOD(ROW()-9,24)</f>
        <v>4</v>
      </c>
      <c r="C3877" s="12"/>
      <c r="D3877" s="13" t="n">
        <f aca="false">IF(B3877&lt;5,Einstellungen!$B$3,Einstellungen!$B$4)</f>
        <v>15.92</v>
      </c>
      <c r="E3877" s="14" t="str">
        <f aca="false">IF(C3877="","",C3877*D3877/100)</f>
        <v/>
      </c>
      <c r="F3877" s="15" t="str">
        <f aca="false">IF(B3877&lt;5,"Go","Standard")</f>
        <v>Go</v>
      </c>
    </row>
    <row r="3878" customFormat="false" ht="15" hidden="false" customHeight="true" outlineLevel="0" collapsed="false">
      <c r="A3878" s="10" t="n">
        <f aca="false">Einstellungen!$B$5+INT((ROW()-9)/24)</f>
        <v>46127</v>
      </c>
      <c r="B3878" s="11" t="n">
        <f aca="false">MOD(ROW()-9,24)</f>
        <v>5</v>
      </c>
      <c r="C3878" s="12"/>
      <c r="D3878" s="13" t="n">
        <f aca="false">IF(B3878&lt;5,Einstellungen!$B$3,Einstellungen!$B$4)</f>
        <v>29.13</v>
      </c>
      <c r="E3878" s="14" t="str">
        <f aca="false">IF(C3878="","",C3878*D3878/100)</f>
        <v/>
      </c>
      <c r="F3878" s="15" t="str">
        <f aca="false">IF(B3878&lt;5,"Go","Standard")</f>
        <v>Standard</v>
      </c>
    </row>
    <row r="3879" customFormat="false" ht="15" hidden="false" customHeight="true" outlineLevel="0" collapsed="false">
      <c r="A3879" s="10" t="n">
        <f aca="false">Einstellungen!$B$5+INT((ROW()-9)/24)</f>
        <v>46127</v>
      </c>
      <c r="B3879" s="11" t="n">
        <f aca="false">MOD(ROW()-9,24)</f>
        <v>6</v>
      </c>
      <c r="C3879" s="12"/>
      <c r="D3879" s="13" t="n">
        <f aca="false">IF(B3879&lt;5,Einstellungen!$B$3,Einstellungen!$B$4)</f>
        <v>29.13</v>
      </c>
      <c r="E3879" s="14" t="str">
        <f aca="false">IF(C3879="","",C3879*D3879/100)</f>
        <v/>
      </c>
      <c r="F3879" s="15" t="str">
        <f aca="false">IF(B3879&lt;5,"Go","Standard")</f>
        <v>Standard</v>
      </c>
    </row>
    <row r="3880" customFormat="false" ht="15" hidden="false" customHeight="true" outlineLevel="0" collapsed="false">
      <c r="A3880" s="10" t="n">
        <f aca="false">Einstellungen!$B$5+INT((ROW()-9)/24)</f>
        <v>46127</v>
      </c>
      <c r="B3880" s="11" t="n">
        <f aca="false">MOD(ROW()-9,24)</f>
        <v>7</v>
      </c>
      <c r="C3880" s="12"/>
      <c r="D3880" s="13" t="n">
        <f aca="false">IF(B3880&lt;5,Einstellungen!$B$3,Einstellungen!$B$4)</f>
        <v>29.13</v>
      </c>
      <c r="E3880" s="14" t="str">
        <f aca="false">IF(C3880="","",C3880*D3880/100)</f>
        <v/>
      </c>
      <c r="F3880" s="15" t="str">
        <f aca="false">IF(B3880&lt;5,"Go","Standard")</f>
        <v>Standard</v>
      </c>
    </row>
    <row r="3881" customFormat="false" ht="15" hidden="false" customHeight="true" outlineLevel="0" collapsed="false">
      <c r="A3881" s="10" t="n">
        <f aca="false">Einstellungen!$B$5+INT((ROW()-9)/24)</f>
        <v>46127</v>
      </c>
      <c r="B3881" s="11" t="n">
        <f aca="false">MOD(ROW()-9,24)</f>
        <v>8</v>
      </c>
      <c r="C3881" s="12"/>
      <c r="D3881" s="13" t="n">
        <f aca="false">IF(B3881&lt;5,Einstellungen!$B$3,Einstellungen!$B$4)</f>
        <v>29.13</v>
      </c>
      <c r="E3881" s="14" t="str">
        <f aca="false">IF(C3881="","",C3881*D3881/100)</f>
        <v/>
      </c>
      <c r="F3881" s="15" t="str">
        <f aca="false">IF(B3881&lt;5,"Go","Standard")</f>
        <v>Standard</v>
      </c>
    </row>
    <row r="3882" customFormat="false" ht="15" hidden="false" customHeight="true" outlineLevel="0" collapsed="false">
      <c r="A3882" s="10" t="n">
        <f aca="false">Einstellungen!$B$5+INT((ROW()-9)/24)</f>
        <v>46127</v>
      </c>
      <c r="B3882" s="11" t="n">
        <f aca="false">MOD(ROW()-9,24)</f>
        <v>9</v>
      </c>
      <c r="C3882" s="12"/>
      <c r="D3882" s="13" t="n">
        <f aca="false">IF(B3882&lt;5,Einstellungen!$B$3,Einstellungen!$B$4)</f>
        <v>29.13</v>
      </c>
      <c r="E3882" s="14" t="str">
        <f aca="false">IF(C3882="","",C3882*D3882/100)</f>
        <v/>
      </c>
      <c r="F3882" s="15" t="str">
        <f aca="false">IF(B3882&lt;5,"Go","Standard")</f>
        <v>Standard</v>
      </c>
    </row>
    <row r="3883" customFormat="false" ht="15" hidden="false" customHeight="true" outlineLevel="0" collapsed="false">
      <c r="A3883" s="10" t="n">
        <f aca="false">Einstellungen!$B$5+INT((ROW()-9)/24)</f>
        <v>46127</v>
      </c>
      <c r="B3883" s="11" t="n">
        <f aca="false">MOD(ROW()-9,24)</f>
        <v>10</v>
      </c>
      <c r="C3883" s="12"/>
      <c r="D3883" s="13" t="n">
        <f aca="false">IF(B3883&lt;5,Einstellungen!$B$3,Einstellungen!$B$4)</f>
        <v>29.13</v>
      </c>
      <c r="E3883" s="14" t="str">
        <f aca="false">IF(C3883="","",C3883*D3883/100)</f>
        <v/>
      </c>
      <c r="F3883" s="15" t="str">
        <f aca="false">IF(B3883&lt;5,"Go","Standard")</f>
        <v>Standard</v>
      </c>
    </row>
    <row r="3884" customFormat="false" ht="15" hidden="false" customHeight="true" outlineLevel="0" collapsed="false">
      <c r="A3884" s="10" t="n">
        <f aca="false">Einstellungen!$B$5+INT((ROW()-9)/24)</f>
        <v>46127</v>
      </c>
      <c r="B3884" s="11" t="n">
        <f aca="false">MOD(ROW()-9,24)</f>
        <v>11</v>
      </c>
      <c r="C3884" s="12"/>
      <c r="D3884" s="13" t="n">
        <f aca="false">IF(B3884&lt;5,Einstellungen!$B$3,Einstellungen!$B$4)</f>
        <v>29.13</v>
      </c>
      <c r="E3884" s="14" t="str">
        <f aca="false">IF(C3884="","",C3884*D3884/100)</f>
        <v/>
      </c>
      <c r="F3884" s="15" t="str">
        <f aca="false">IF(B3884&lt;5,"Go","Standard")</f>
        <v>Standard</v>
      </c>
    </row>
    <row r="3885" customFormat="false" ht="15" hidden="false" customHeight="true" outlineLevel="0" collapsed="false">
      <c r="A3885" s="10" t="n">
        <f aca="false">Einstellungen!$B$5+INT((ROW()-9)/24)</f>
        <v>46127</v>
      </c>
      <c r="B3885" s="11" t="n">
        <f aca="false">MOD(ROW()-9,24)</f>
        <v>12</v>
      </c>
      <c r="C3885" s="12"/>
      <c r="D3885" s="13" t="n">
        <f aca="false">IF(B3885&lt;5,Einstellungen!$B$3,Einstellungen!$B$4)</f>
        <v>29.13</v>
      </c>
      <c r="E3885" s="14" t="str">
        <f aca="false">IF(C3885="","",C3885*D3885/100)</f>
        <v/>
      </c>
      <c r="F3885" s="15" t="str">
        <f aca="false">IF(B3885&lt;5,"Go","Standard")</f>
        <v>Standard</v>
      </c>
    </row>
    <row r="3886" customFormat="false" ht="15" hidden="false" customHeight="true" outlineLevel="0" collapsed="false">
      <c r="A3886" s="10" t="n">
        <f aca="false">Einstellungen!$B$5+INT((ROW()-9)/24)</f>
        <v>46127</v>
      </c>
      <c r="B3886" s="11" t="n">
        <f aca="false">MOD(ROW()-9,24)</f>
        <v>13</v>
      </c>
      <c r="C3886" s="12"/>
      <c r="D3886" s="13" t="n">
        <f aca="false">IF(B3886&lt;5,Einstellungen!$B$3,Einstellungen!$B$4)</f>
        <v>29.13</v>
      </c>
      <c r="E3886" s="14" t="str">
        <f aca="false">IF(C3886="","",C3886*D3886/100)</f>
        <v/>
      </c>
      <c r="F3886" s="15" t="str">
        <f aca="false">IF(B3886&lt;5,"Go","Standard")</f>
        <v>Standard</v>
      </c>
    </row>
    <row r="3887" customFormat="false" ht="15" hidden="false" customHeight="true" outlineLevel="0" collapsed="false">
      <c r="A3887" s="10" t="n">
        <f aca="false">Einstellungen!$B$5+INT((ROW()-9)/24)</f>
        <v>46127</v>
      </c>
      <c r="B3887" s="11" t="n">
        <f aca="false">MOD(ROW()-9,24)</f>
        <v>14</v>
      </c>
      <c r="C3887" s="12"/>
      <c r="D3887" s="13" t="n">
        <f aca="false">IF(B3887&lt;5,Einstellungen!$B$3,Einstellungen!$B$4)</f>
        <v>29.13</v>
      </c>
      <c r="E3887" s="14" t="str">
        <f aca="false">IF(C3887="","",C3887*D3887/100)</f>
        <v/>
      </c>
      <c r="F3887" s="15" t="str">
        <f aca="false">IF(B3887&lt;5,"Go","Standard")</f>
        <v>Standard</v>
      </c>
    </row>
    <row r="3888" customFormat="false" ht="15" hidden="false" customHeight="true" outlineLevel="0" collapsed="false">
      <c r="A3888" s="10" t="n">
        <f aca="false">Einstellungen!$B$5+INT((ROW()-9)/24)</f>
        <v>46127</v>
      </c>
      <c r="B3888" s="11" t="n">
        <f aca="false">MOD(ROW()-9,24)</f>
        <v>15</v>
      </c>
      <c r="C3888" s="12"/>
      <c r="D3888" s="13" t="n">
        <f aca="false">IF(B3888&lt;5,Einstellungen!$B$3,Einstellungen!$B$4)</f>
        <v>29.13</v>
      </c>
      <c r="E3888" s="14" t="str">
        <f aca="false">IF(C3888="","",C3888*D3888/100)</f>
        <v/>
      </c>
      <c r="F3888" s="15" t="str">
        <f aca="false">IF(B3888&lt;5,"Go","Standard")</f>
        <v>Standard</v>
      </c>
    </row>
    <row r="3889" customFormat="false" ht="15" hidden="false" customHeight="true" outlineLevel="0" collapsed="false">
      <c r="A3889" s="10" t="n">
        <f aca="false">Einstellungen!$B$5+INT((ROW()-9)/24)</f>
        <v>46127</v>
      </c>
      <c r="B3889" s="11" t="n">
        <f aca="false">MOD(ROW()-9,24)</f>
        <v>16</v>
      </c>
      <c r="C3889" s="12"/>
      <c r="D3889" s="13" t="n">
        <f aca="false">IF(B3889&lt;5,Einstellungen!$B$3,Einstellungen!$B$4)</f>
        <v>29.13</v>
      </c>
      <c r="E3889" s="14" t="str">
        <f aca="false">IF(C3889="","",C3889*D3889/100)</f>
        <v/>
      </c>
      <c r="F3889" s="15" t="str">
        <f aca="false">IF(B3889&lt;5,"Go","Standard")</f>
        <v>Standard</v>
      </c>
    </row>
    <row r="3890" customFormat="false" ht="15" hidden="false" customHeight="true" outlineLevel="0" collapsed="false">
      <c r="A3890" s="10" t="n">
        <f aca="false">Einstellungen!$B$5+INT((ROW()-9)/24)</f>
        <v>46127</v>
      </c>
      <c r="B3890" s="11" t="n">
        <f aca="false">MOD(ROW()-9,24)</f>
        <v>17</v>
      </c>
      <c r="C3890" s="12"/>
      <c r="D3890" s="13" t="n">
        <f aca="false">IF(B3890&lt;5,Einstellungen!$B$3,Einstellungen!$B$4)</f>
        <v>29.13</v>
      </c>
      <c r="E3890" s="14" t="str">
        <f aca="false">IF(C3890="","",C3890*D3890/100)</f>
        <v/>
      </c>
      <c r="F3890" s="15" t="str">
        <f aca="false">IF(B3890&lt;5,"Go","Standard")</f>
        <v>Standard</v>
      </c>
    </row>
    <row r="3891" customFormat="false" ht="15" hidden="false" customHeight="true" outlineLevel="0" collapsed="false">
      <c r="A3891" s="10" t="n">
        <f aca="false">Einstellungen!$B$5+INT((ROW()-9)/24)</f>
        <v>46127</v>
      </c>
      <c r="B3891" s="11" t="n">
        <f aca="false">MOD(ROW()-9,24)</f>
        <v>18</v>
      </c>
      <c r="C3891" s="12"/>
      <c r="D3891" s="13" t="n">
        <f aca="false">IF(B3891&lt;5,Einstellungen!$B$3,Einstellungen!$B$4)</f>
        <v>29.13</v>
      </c>
      <c r="E3891" s="14" t="str">
        <f aca="false">IF(C3891="","",C3891*D3891/100)</f>
        <v/>
      </c>
      <c r="F3891" s="15" t="str">
        <f aca="false">IF(B3891&lt;5,"Go","Standard")</f>
        <v>Standard</v>
      </c>
    </row>
    <row r="3892" customFormat="false" ht="15" hidden="false" customHeight="true" outlineLevel="0" collapsed="false">
      <c r="A3892" s="10" t="n">
        <f aca="false">Einstellungen!$B$5+INT((ROW()-9)/24)</f>
        <v>46127</v>
      </c>
      <c r="B3892" s="11" t="n">
        <f aca="false">MOD(ROW()-9,24)</f>
        <v>19</v>
      </c>
      <c r="C3892" s="12"/>
      <c r="D3892" s="13" t="n">
        <f aca="false">IF(B3892&lt;5,Einstellungen!$B$3,Einstellungen!$B$4)</f>
        <v>29.13</v>
      </c>
      <c r="E3892" s="14" t="str">
        <f aca="false">IF(C3892="","",C3892*D3892/100)</f>
        <v/>
      </c>
      <c r="F3892" s="15" t="str">
        <f aca="false">IF(B3892&lt;5,"Go","Standard")</f>
        <v>Standard</v>
      </c>
    </row>
    <row r="3893" customFormat="false" ht="15" hidden="false" customHeight="true" outlineLevel="0" collapsed="false">
      <c r="A3893" s="10" t="n">
        <f aca="false">Einstellungen!$B$5+INT((ROW()-9)/24)</f>
        <v>46127</v>
      </c>
      <c r="B3893" s="11" t="n">
        <f aca="false">MOD(ROW()-9,24)</f>
        <v>20</v>
      </c>
      <c r="C3893" s="12"/>
      <c r="D3893" s="13" t="n">
        <f aca="false">IF(B3893&lt;5,Einstellungen!$B$3,Einstellungen!$B$4)</f>
        <v>29.13</v>
      </c>
      <c r="E3893" s="14" t="str">
        <f aca="false">IF(C3893="","",C3893*D3893/100)</f>
        <v/>
      </c>
      <c r="F3893" s="15" t="str">
        <f aca="false">IF(B3893&lt;5,"Go","Standard")</f>
        <v>Standard</v>
      </c>
    </row>
    <row r="3894" customFormat="false" ht="15" hidden="false" customHeight="true" outlineLevel="0" collapsed="false">
      <c r="A3894" s="10" t="n">
        <f aca="false">Einstellungen!$B$5+INT((ROW()-9)/24)</f>
        <v>46127</v>
      </c>
      <c r="B3894" s="11" t="n">
        <f aca="false">MOD(ROW()-9,24)</f>
        <v>21</v>
      </c>
      <c r="C3894" s="12"/>
      <c r="D3894" s="13" t="n">
        <f aca="false">IF(B3894&lt;5,Einstellungen!$B$3,Einstellungen!$B$4)</f>
        <v>29.13</v>
      </c>
      <c r="E3894" s="14" t="str">
        <f aca="false">IF(C3894="","",C3894*D3894/100)</f>
        <v/>
      </c>
      <c r="F3894" s="15" t="str">
        <f aca="false">IF(B3894&lt;5,"Go","Standard")</f>
        <v>Standard</v>
      </c>
    </row>
    <row r="3895" customFormat="false" ht="15" hidden="false" customHeight="true" outlineLevel="0" collapsed="false">
      <c r="A3895" s="10" t="n">
        <f aca="false">Einstellungen!$B$5+INT((ROW()-9)/24)</f>
        <v>46127</v>
      </c>
      <c r="B3895" s="11" t="n">
        <f aca="false">MOD(ROW()-9,24)</f>
        <v>22</v>
      </c>
      <c r="C3895" s="12"/>
      <c r="D3895" s="13" t="n">
        <f aca="false">IF(B3895&lt;5,Einstellungen!$B$3,Einstellungen!$B$4)</f>
        <v>29.13</v>
      </c>
      <c r="E3895" s="14" t="str">
        <f aca="false">IF(C3895="","",C3895*D3895/100)</f>
        <v/>
      </c>
      <c r="F3895" s="15" t="str">
        <f aca="false">IF(B3895&lt;5,"Go","Standard")</f>
        <v>Standard</v>
      </c>
    </row>
    <row r="3896" customFormat="false" ht="15" hidden="false" customHeight="true" outlineLevel="0" collapsed="false">
      <c r="A3896" s="10" t="n">
        <f aca="false">Einstellungen!$B$5+INT((ROW()-9)/24)</f>
        <v>46127</v>
      </c>
      <c r="B3896" s="11" t="n">
        <f aca="false">MOD(ROW()-9,24)</f>
        <v>23</v>
      </c>
      <c r="C3896" s="12"/>
      <c r="D3896" s="13" t="n">
        <f aca="false">IF(B3896&lt;5,Einstellungen!$B$3,Einstellungen!$B$4)</f>
        <v>29.13</v>
      </c>
      <c r="E3896" s="14" t="str">
        <f aca="false">IF(C3896="","",C3896*D3896/100)</f>
        <v/>
      </c>
      <c r="F3896" s="15" t="str">
        <f aca="false">IF(B3896&lt;5,"Go","Standard")</f>
        <v>Standard</v>
      </c>
    </row>
    <row r="3897" customFormat="false" ht="15" hidden="false" customHeight="true" outlineLevel="0" collapsed="false">
      <c r="A3897" s="10" t="n">
        <f aca="false">Einstellungen!$B$5+INT((ROW()-9)/24)</f>
        <v>46128</v>
      </c>
      <c r="B3897" s="11" t="n">
        <f aca="false">MOD(ROW()-9,24)</f>
        <v>0</v>
      </c>
      <c r="C3897" s="12"/>
      <c r="D3897" s="13" t="n">
        <f aca="false">IF(B3897&lt;5,Einstellungen!$B$3,Einstellungen!$B$4)</f>
        <v>15.92</v>
      </c>
      <c r="E3897" s="14" t="str">
        <f aca="false">IF(C3897="","",C3897*D3897/100)</f>
        <v/>
      </c>
      <c r="F3897" s="15" t="str">
        <f aca="false">IF(B3897&lt;5,"Go","Standard")</f>
        <v>Go</v>
      </c>
    </row>
    <row r="3898" customFormat="false" ht="15" hidden="false" customHeight="true" outlineLevel="0" collapsed="false">
      <c r="A3898" s="10" t="n">
        <f aca="false">Einstellungen!$B$5+INT((ROW()-9)/24)</f>
        <v>46128</v>
      </c>
      <c r="B3898" s="11" t="n">
        <f aca="false">MOD(ROW()-9,24)</f>
        <v>1</v>
      </c>
      <c r="C3898" s="12"/>
      <c r="D3898" s="13" t="n">
        <f aca="false">IF(B3898&lt;5,Einstellungen!$B$3,Einstellungen!$B$4)</f>
        <v>15.92</v>
      </c>
      <c r="E3898" s="14" t="str">
        <f aca="false">IF(C3898="","",C3898*D3898/100)</f>
        <v/>
      </c>
      <c r="F3898" s="15" t="str">
        <f aca="false">IF(B3898&lt;5,"Go","Standard")</f>
        <v>Go</v>
      </c>
    </row>
    <row r="3899" customFormat="false" ht="15" hidden="false" customHeight="true" outlineLevel="0" collapsed="false">
      <c r="A3899" s="10" t="n">
        <f aca="false">Einstellungen!$B$5+INT((ROW()-9)/24)</f>
        <v>46128</v>
      </c>
      <c r="B3899" s="11" t="n">
        <f aca="false">MOD(ROW()-9,24)</f>
        <v>2</v>
      </c>
      <c r="C3899" s="12"/>
      <c r="D3899" s="13" t="n">
        <f aca="false">IF(B3899&lt;5,Einstellungen!$B$3,Einstellungen!$B$4)</f>
        <v>15.92</v>
      </c>
      <c r="E3899" s="14" t="str">
        <f aca="false">IF(C3899="","",C3899*D3899/100)</f>
        <v/>
      </c>
      <c r="F3899" s="15" t="str">
        <f aca="false">IF(B3899&lt;5,"Go","Standard")</f>
        <v>Go</v>
      </c>
    </row>
    <row r="3900" customFormat="false" ht="15" hidden="false" customHeight="true" outlineLevel="0" collapsed="false">
      <c r="A3900" s="10" t="n">
        <f aca="false">Einstellungen!$B$5+INT((ROW()-9)/24)</f>
        <v>46128</v>
      </c>
      <c r="B3900" s="11" t="n">
        <f aca="false">MOD(ROW()-9,24)</f>
        <v>3</v>
      </c>
      <c r="C3900" s="12"/>
      <c r="D3900" s="13" t="n">
        <f aca="false">IF(B3900&lt;5,Einstellungen!$B$3,Einstellungen!$B$4)</f>
        <v>15.92</v>
      </c>
      <c r="E3900" s="14" t="str">
        <f aca="false">IF(C3900="","",C3900*D3900/100)</f>
        <v/>
      </c>
      <c r="F3900" s="15" t="str">
        <f aca="false">IF(B3900&lt;5,"Go","Standard")</f>
        <v>Go</v>
      </c>
    </row>
    <row r="3901" customFormat="false" ht="15" hidden="false" customHeight="true" outlineLevel="0" collapsed="false">
      <c r="A3901" s="10" t="n">
        <f aca="false">Einstellungen!$B$5+INT((ROW()-9)/24)</f>
        <v>46128</v>
      </c>
      <c r="B3901" s="11" t="n">
        <f aca="false">MOD(ROW()-9,24)</f>
        <v>4</v>
      </c>
      <c r="C3901" s="12"/>
      <c r="D3901" s="13" t="n">
        <f aca="false">IF(B3901&lt;5,Einstellungen!$B$3,Einstellungen!$B$4)</f>
        <v>15.92</v>
      </c>
      <c r="E3901" s="14" t="str">
        <f aca="false">IF(C3901="","",C3901*D3901/100)</f>
        <v/>
      </c>
      <c r="F3901" s="15" t="str">
        <f aca="false">IF(B3901&lt;5,"Go","Standard")</f>
        <v>Go</v>
      </c>
    </row>
    <row r="3902" customFormat="false" ht="15" hidden="false" customHeight="true" outlineLevel="0" collapsed="false">
      <c r="A3902" s="10" t="n">
        <f aca="false">Einstellungen!$B$5+INT((ROW()-9)/24)</f>
        <v>46128</v>
      </c>
      <c r="B3902" s="11" t="n">
        <f aca="false">MOD(ROW()-9,24)</f>
        <v>5</v>
      </c>
      <c r="C3902" s="12"/>
      <c r="D3902" s="13" t="n">
        <f aca="false">IF(B3902&lt;5,Einstellungen!$B$3,Einstellungen!$B$4)</f>
        <v>29.13</v>
      </c>
      <c r="E3902" s="14" t="str">
        <f aca="false">IF(C3902="","",C3902*D3902/100)</f>
        <v/>
      </c>
      <c r="F3902" s="15" t="str">
        <f aca="false">IF(B3902&lt;5,"Go","Standard")</f>
        <v>Standard</v>
      </c>
    </row>
    <row r="3903" customFormat="false" ht="15" hidden="false" customHeight="true" outlineLevel="0" collapsed="false">
      <c r="A3903" s="10" t="n">
        <f aca="false">Einstellungen!$B$5+INT((ROW()-9)/24)</f>
        <v>46128</v>
      </c>
      <c r="B3903" s="11" t="n">
        <f aca="false">MOD(ROW()-9,24)</f>
        <v>6</v>
      </c>
      <c r="C3903" s="12"/>
      <c r="D3903" s="13" t="n">
        <f aca="false">IF(B3903&lt;5,Einstellungen!$B$3,Einstellungen!$B$4)</f>
        <v>29.13</v>
      </c>
      <c r="E3903" s="14" t="str">
        <f aca="false">IF(C3903="","",C3903*D3903/100)</f>
        <v/>
      </c>
      <c r="F3903" s="15" t="str">
        <f aca="false">IF(B3903&lt;5,"Go","Standard")</f>
        <v>Standard</v>
      </c>
    </row>
    <row r="3904" customFormat="false" ht="15" hidden="false" customHeight="true" outlineLevel="0" collapsed="false">
      <c r="A3904" s="10" t="n">
        <f aca="false">Einstellungen!$B$5+INT((ROW()-9)/24)</f>
        <v>46128</v>
      </c>
      <c r="B3904" s="11" t="n">
        <f aca="false">MOD(ROW()-9,24)</f>
        <v>7</v>
      </c>
      <c r="C3904" s="12"/>
      <c r="D3904" s="13" t="n">
        <f aca="false">IF(B3904&lt;5,Einstellungen!$B$3,Einstellungen!$B$4)</f>
        <v>29.13</v>
      </c>
      <c r="E3904" s="14" t="str">
        <f aca="false">IF(C3904="","",C3904*D3904/100)</f>
        <v/>
      </c>
      <c r="F3904" s="15" t="str">
        <f aca="false">IF(B3904&lt;5,"Go","Standard")</f>
        <v>Standard</v>
      </c>
    </row>
    <row r="3905" customFormat="false" ht="15" hidden="false" customHeight="true" outlineLevel="0" collapsed="false">
      <c r="A3905" s="10" t="n">
        <f aca="false">Einstellungen!$B$5+INT((ROW()-9)/24)</f>
        <v>46128</v>
      </c>
      <c r="B3905" s="11" t="n">
        <f aca="false">MOD(ROW()-9,24)</f>
        <v>8</v>
      </c>
      <c r="C3905" s="12"/>
      <c r="D3905" s="13" t="n">
        <f aca="false">IF(B3905&lt;5,Einstellungen!$B$3,Einstellungen!$B$4)</f>
        <v>29.13</v>
      </c>
      <c r="E3905" s="14" t="str">
        <f aca="false">IF(C3905="","",C3905*D3905/100)</f>
        <v/>
      </c>
      <c r="F3905" s="15" t="str">
        <f aca="false">IF(B3905&lt;5,"Go","Standard")</f>
        <v>Standard</v>
      </c>
    </row>
    <row r="3906" customFormat="false" ht="15" hidden="false" customHeight="true" outlineLevel="0" collapsed="false">
      <c r="A3906" s="10" t="n">
        <f aca="false">Einstellungen!$B$5+INT((ROW()-9)/24)</f>
        <v>46128</v>
      </c>
      <c r="B3906" s="11" t="n">
        <f aca="false">MOD(ROW()-9,24)</f>
        <v>9</v>
      </c>
      <c r="C3906" s="12"/>
      <c r="D3906" s="13" t="n">
        <f aca="false">IF(B3906&lt;5,Einstellungen!$B$3,Einstellungen!$B$4)</f>
        <v>29.13</v>
      </c>
      <c r="E3906" s="14" t="str">
        <f aca="false">IF(C3906="","",C3906*D3906/100)</f>
        <v/>
      </c>
      <c r="F3906" s="15" t="str">
        <f aca="false">IF(B3906&lt;5,"Go","Standard")</f>
        <v>Standard</v>
      </c>
    </row>
    <row r="3907" customFormat="false" ht="15" hidden="false" customHeight="true" outlineLevel="0" collapsed="false">
      <c r="A3907" s="10" t="n">
        <f aca="false">Einstellungen!$B$5+INT((ROW()-9)/24)</f>
        <v>46128</v>
      </c>
      <c r="B3907" s="11" t="n">
        <f aca="false">MOD(ROW()-9,24)</f>
        <v>10</v>
      </c>
      <c r="C3907" s="12"/>
      <c r="D3907" s="13" t="n">
        <f aca="false">IF(B3907&lt;5,Einstellungen!$B$3,Einstellungen!$B$4)</f>
        <v>29.13</v>
      </c>
      <c r="E3907" s="14" t="str">
        <f aca="false">IF(C3907="","",C3907*D3907/100)</f>
        <v/>
      </c>
      <c r="F3907" s="15" t="str">
        <f aca="false">IF(B3907&lt;5,"Go","Standard")</f>
        <v>Standard</v>
      </c>
    </row>
    <row r="3908" customFormat="false" ht="15" hidden="false" customHeight="true" outlineLevel="0" collapsed="false">
      <c r="A3908" s="10" t="n">
        <f aca="false">Einstellungen!$B$5+INT((ROW()-9)/24)</f>
        <v>46128</v>
      </c>
      <c r="B3908" s="11" t="n">
        <f aca="false">MOD(ROW()-9,24)</f>
        <v>11</v>
      </c>
      <c r="C3908" s="12"/>
      <c r="D3908" s="13" t="n">
        <f aca="false">IF(B3908&lt;5,Einstellungen!$B$3,Einstellungen!$B$4)</f>
        <v>29.13</v>
      </c>
      <c r="E3908" s="14" t="str">
        <f aca="false">IF(C3908="","",C3908*D3908/100)</f>
        <v/>
      </c>
      <c r="F3908" s="15" t="str">
        <f aca="false">IF(B3908&lt;5,"Go","Standard")</f>
        <v>Standard</v>
      </c>
    </row>
    <row r="3909" customFormat="false" ht="15" hidden="false" customHeight="true" outlineLevel="0" collapsed="false">
      <c r="A3909" s="10" t="n">
        <f aca="false">Einstellungen!$B$5+INT((ROW()-9)/24)</f>
        <v>46128</v>
      </c>
      <c r="B3909" s="11" t="n">
        <f aca="false">MOD(ROW()-9,24)</f>
        <v>12</v>
      </c>
      <c r="C3909" s="12"/>
      <c r="D3909" s="13" t="n">
        <f aca="false">IF(B3909&lt;5,Einstellungen!$B$3,Einstellungen!$B$4)</f>
        <v>29.13</v>
      </c>
      <c r="E3909" s="14" t="str">
        <f aca="false">IF(C3909="","",C3909*D3909/100)</f>
        <v/>
      </c>
      <c r="F3909" s="15" t="str">
        <f aca="false">IF(B3909&lt;5,"Go","Standard")</f>
        <v>Standard</v>
      </c>
    </row>
    <row r="3910" customFormat="false" ht="15" hidden="false" customHeight="true" outlineLevel="0" collapsed="false">
      <c r="A3910" s="10" t="n">
        <f aca="false">Einstellungen!$B$5+INT((ROW()-9)/24)</f>
        <v>46128</v>
      </c>
      <c r="B3910" s="11" t="n">
        <f aca="false">MOD(ROW()-9,24)</f>
        <v>13</v>
      </c>
      <c r="C3910" s="12"/>
      <c r="D3910" s="13" t="n">
        <f aca="false">IF(B3910&lt;5,Einstellungen!$B$3,Einstellungen!$B$4)</f>
        <v>29.13</v>
      </c>
      <c r="E3910" s="14" t="str">
        <f aca="false">IF(C3910="","",C3910*D3910/100)</f>
        <v/>
      </c>
      <c r="F3910" s="15" t="str">
        <f aca="false">IF(B3910&lt;5,"Go","Standard")</f>
        <v>Standard</v>
      </c>
    </row>
    <row r="3911" customFormat="false" ht="15" hidden="false" customHeight="true" outlineLevel="0" collapsed="false">
      <c r="A3911" s="10" t="n">
        <f aca="false">Einstellungen!$B$5+INT((ROW()-9)/24)</f>
        <v>46128</v>
      </c>
      <c r="B3911" s="11" t="n">
        <f aca="false">MOD(ROW()-9,24)</f>
        <v>14</v>
      </c>
      <c r="C3911" s="12"/>
      <c r="D3911" s="13" t="n">
        <f aca="false">IF(B3911&lt;5,Einstellungen!$B$3,Einstellungen!$B$4)</f>
        <v>29.13</v>
      </c>
      <c r="E3911" s="14" t="str">
        <f aca="false">IF(C3911="","",C3911*D3911/100)</f>
        <v/>
      </c>
      <c r="F3911" s="15" t="str">
        <f aca="false">IF(B3911&lt;5,"Go","Standard")</f>
        <v>Standard</v>
      </c>
    </row>
    <row r="3912" customFormat="false" ht="15" hidden="false" customHeight="true" outlineLevel="0" collapsed="false">
      <c r="A3912" s="10" t="n">
        <f aca="false">Einstellungen!$B$5+INT((ROW()-9)/24)</f>
        <v>46128</v>
      </c>
      <c r="B3912" s="11" t="n">
        <f aca="false">MOD(ROW()-9,24)</f>
        <v>15</v>
      </c>
      <c r="C3912" s="12"/>
      <c r="D3912" s="13" t="n">
        <f aca="false">IF(B3912&lt;5,Einstellungen!$B$3,Einstellungen!$B$4)</f>
        <v>29.13</v>
      </c>
      <c r="E3912" s="14" t="str">
        <f aca="false">IF(C3912="","",C3912*D3912/100)</f>
        <v/>
      </c>
      <c r="F3912" s="15" t="str">
        <f aca="false">IF(B3912&lt;5,"Go","Standard")</f>
        <v>Standard</v>
      </c>
    </row>
    <row r="3913" customFormat="false" ht="15" hidden="false" customHeight="true" outlineLevel="0" collapsed="false">
      <c r="A3913" s="10" t="n">
        <f aca="false">Einstellungen!$B$5+INT((ROW()-9)/24)</f>
        <v>46128</v>
      </c>
      <c r="B3913" s="11" t="n">
        <f aca="false">MOD(ROW()-9,24)</f>
        <v>16</v>
      </c>
      <c r="C3913" s="12"/>
      <c r="D3913" s="13" t="n">
        <f aca="false">IF(B3913&lt;5,Einstellungen!$B$3,Einstellungen!$B$4)</f>
        <v>29.13</v>
      </c>
      <c r="E3913" s="14" t="str">
        <f aca="false">IF(C3913="","",C3913*D3913/100)</f>
        <v/>
      </c>
      <c r="F3913" s="15" t="str">
        <f aca="false">IF(B3913&lt;5,"Go","Standard")</f>
        <v>Standard</v>
      </c>
    </row>
    <row r="3914" customFormat="false" ht="15" hidden="false" customHeight="true" outlineLevel="0" collapsed="false">
      <c r="A3914" s="10" t="n">
        <f aca="false">Einstellungen!$B$5+INT((ROW()-9)/24)</f>
        <v>46128</v>
      </c>
      <c r="B3914" s="11" t="n">
        <f aca="false">MOD(ROW()-9,24)</f>
        <v>17</v>
      </c>
      <c r="C3914" s="12"/>
      <c r="D3914" s="13" t="n">
        <f aca="false">IF(B3914&lt;5,Einstellungen!$B$3,Einstellungen!$B$4)</f>
        <v>29.13</v>
      </c>
      <c r="E3914" s="14" t="str">
        <f aca="false">IF(C3914="","",C3914*D3914/100)</f>
        <v/>
      </c>
      <c r="F3914" s="15" t="str">
        <f aca="false">IF(B3914&lt;5,"Go","Standard")</f>
        <v>Standard</v>
      </c>
    </row>
    <row r="3915" customFormat="false" ht="15" hidden="false" customHeight="true" outlineLevel="0" collapsed="false">
      <c r="A3915" s="10" t="n">
        <f aca="false">Einstellungen!$B$5+INT((ROW()-9)/24)</f>
        <v>46128</v>
      </c>
      <c r="B3915" s="11" t="n">
        <f aca="false">MOD(ROW()-9,24)</f>
        <v>18</v>
      </c>
      <c r="C3915" s="12"/>
      <c r="D3915" s="13" t="n">
        <f aca="false">IF(B3915&lt;5,Einstellungen!$B$3,Einstellungen!$B$4)</f>
        <v>29.13</v>
      </c>
      <c r="E3915" s="14" t="str">
        <f aca="false">IF(C3915="","",C3915*D3915/100)</f>
        <v/>
      </c>
      <c r="F3915" s="15" t="str">
        <f aca="false">IF(B3915&lt;5,"Go","Standard")</f>
        <v>Standard</v>
      </c>
    </row>
    <row r="3916" customFormat="false" ht="15" hidden="false" customHeight="true" outlineLevel="0" collapsed="false">
      <c r="A3916" s="10" t="n">
        <f aca="false">Einstellungen!$B$5+INT((ROW()-9)/24)</f>
        <v>46128</v>
      </c>
      <c r="B3916" s="11" t="n">
        <f aca="false">MOD(ROW()-9,24)</f>
        <v>19</v>
      </c>
      <c r="C3916" s="12"/>
      <c r="D3916" s="13" t="n">
        <f aca="false">IF(B3916&lt;5,Einstellungen!$B$3,Einstellungen!$B$4)</f>
        <v>29.13</v>
      </c>
      <c r="E3916" s="14" t="str">
        <f aca="false">IF(C3916="","",C3916*D3916/100)</f>
        <v/>
      </c>
      <c r="F3916" s="15" t="str">
        <f aca="false">IF(B3916&lt;5,"Go","Standard")</f>
        <v>Standard</v>
      </c>
    </row>
    <row r="3917" customFormat="false" ht="15" hidden="false" customHeight="true" outlineLevel="0" collapsed="false">
      <c r="A3917" s="10" t="n">
        <f aca="false">Einstellungen!$B$5+INT((ROW()-9)/24)</f>
        <v>46128</v>
      </c>
      <c r="B3917" s="11" t="n">
        <f aca="false">MOD(ROW()-9,24)</f>
        <v>20</v>
      </c>
      <c r="C3917" s="12"/>
      <c r="D3917" s="13" t="n">
        <f aca="false">IF(B3917&lt;5,Einstellungen!$B$3,Einstellungen!$B$4)</f>
        <v>29.13</v>
      </c>
      <c r="E3917" s="14" t="str">
        <f aca="false">IF(C3917="","",C3917*D3917/100)</f>
        <v/>
      </c>
      <c r="F3917" s="15" t="str">
        <f aca="false">IF(B3917&lt;5,"Go","Standard")</f>
        <v>Standard</v>
      </c>
    </row>
    <row r="3918" customFormat="false" ht="15" hidden="false" customHeight="true" outlineLevel="0" collapsed="false">
      <c r="A3918" s="10" t="n">
        <f aca="false">Einstellungen!$B$5+INT((ROW()-9)/24)</f>
        <v>46128</v>
      </c>
      <c r="B3918" s="11" t="n">
        <f aca="false">MOD(ROW()-9,24)</f>
        <v>21</v>
      </c>
      <c r="C3918" s="12"/>
      <c r="D3918" s="13" t="n">
        <f aca="false">IF(B3918&lt;5,Einstellungen!$B$3,Einstellungen!$B$4)</f>
        <v>29.13</v>
      </c>
      <c r="E3918" s="14" t="str">
        <f aca="false">IF(C3918="","",C3918*D3918/100)</f>
        <v/>
      </c>
      <c r="F3918" s="15" t="str">
        <f aca="false">IF(B3918&lt;5,"Go","Standard")</f>
        <v>Standard</v>
      </c>
    </row>
    <row r="3919" customFormat="false" ht="15" hidden="false" customHeight="true" outlineLevel="0" collapsed="false">
      <c r="A3919" s="10" t="n">
        <f aca="false">Einstellungen!$B$5+INT((ROW()-9)/24)</f>
        <v>46128</v>
      </c>
      <c r="B3919" s="11" t="n">
        <f aca="false">MOD(ROW()-9,24)</f>
        <v>22</v>
      </c>
      <c r="C3919" s="12"/>
      <c r="D3919" s="13" t="n">
        <f aca="false">IF(B3919&lt;5,Einstellungen!$B$3,Einstellungen!$B$4)</f>
        <v>29.13</v>
      </c>
      <c r="E3919" s="14" t="str">
        <f aca="false">IF(C3919="","",C3919*D3919/100)</f>
        <v/>
      </c>
      <c r="F3919" s="15" t="str">
        <f aca="false">IF(B3919&lt;5,"Go","Standard")</f>
        <v>Standard</v>
      </c>
    </row>
    <row r="3920" customFormat="false" ht="15" hidden="false" customHeight="true" outlineLevel="0" collapsed="false">
      <c r="A3920" s="10" t="n">
        <f aca="false">Einstellungen!$B$5+INT((ROW()-9)/24)</f>
        <v>46128</v>
      </c>
      <c r="B3920" s="11" t="n">
        <f aca="false">MOD(ROW()-9,24)</f>
        <v>23</v>
      </c>
      <c r="C3920" s="12"/>
      <c r="D3920" s="13" t="n">
        <f aca="false">IF(B3920&lt;5,Einstellungen!$B$3,Einstellungen!$B$4)</f>
        <v>29.13</v>
      </c>
      <c r="E3920" s="14" t="str">
        <f aca="false">IF(C3920="","",C3920*D3920/100)</f>
        <v/>
      </c>
      <c r="F3920" s="15" t="str">
        <f aca="false">IF(B3920&lt;5,"Go","Standard")</f>
        <v>Standard</v>
      </c>
    </row>
    <row r="3921" customFormat="false" ht="15" hidden="false" customHeight="true" outlineLevel="0" collapsed="false">
      <c r="A3921" s="10" t="n">
        <f aca="false">Einstellungen!$B$5+INT((ROW()-9)/24)</f>
        <v>46129</v>
      </c>
      <c r="B3921" s="11" t="n">
        <f aca="false">MOD(ROW()-9,24)</f>
        <v>0</v>
      </c>
      <c r="C3921" s="12"/>
      <c r="D3921" s="13" t="n">
        <f aca="false">IF(B3921&lt;5,Einstellungen!$B$3,Einstellungen!$B$4)</f>
        <v>15.92</v>
      </c>
      <c r="E3921" s="14" t="str">
        <f aca="false">IF(C3921="","",C3921*D3921/100)</f>
        <v/>
      </c>
      <c r="F3921" s="15" t="str">
        <f aca="false">IF(B3921&lt;5,"Go","Standard")</f>
        <v>Go</v>
      </c>
    </row>
    <row r="3922" customFormat="false" ht="15" hidden="false" customHeight="true" outlineLevel="0" collapsed="false">
      <c r="A3922" s="10" t="n">
        <f aca="false">Einstellungen!$B$5+INT((ROW()-9)/24)</f>
        <v>46129</v>
      </c>
      <c r="B3922" s="11" t="n">
        <f aca="false">MOD(ROW()-9,24)</f>
        <v>1</v>
      </c>
      <c r="C3922" s="12"/>
      <c r="D3922" s="13" t="n">
        <f aca="false">IF(B3922&lt;5,Einstellungen!$B$3,Einstellungen!$B$4)</f>
        <v>15.92</v>
      </c>
      <c r="E3922" s="14" t="str">
        <f aca="false">IF(C3922="","",C3922*D3922/100)</f>
        <v/>
      </c>
      <c r="F3922" s="15" t="str">
        <f aca="false">IF(B3922&lt;5,"Go","Standard")</f>
        <v>Go</v>
      </c>
    </row>
    <row r="3923" customFormat="false" ht="15" hidden="false" customHeight="true" outlineLevel="0" collapsed="false">
      <c r="A3923" s="10" t="n">
        <f aca="false">Einstellungen!$B$5+INT((ROW()-9)/24)</f>
        <v>46129</v>
      </c>
      <c r="B3923" s="11" t="n">
        <f aca="false">MOD(ROW()-9,24)</f>
        <v>2</v>
      </c>
      <c r="C3923" s="12"/>
      <c r="D3923" s="13" t="n">
        <f aca="false">IF(B3923&lt;5,Einstellungen!$B$3,Einstellungen!$B$4)</f>
        <v>15.92</v>
      </c>
      <c r="E3923" s="14" t="str">
        <f aca="false">IF(C3923="","",C3923*D3923/100)</f>
        <v/>
      </c>
      <c r="F3923" s="15" t="str">
        <f aca="false">IF(B3923&lt;5,"Go","Standard")</f>
        <v>Go</v>
      </c>
    </row>
    <row r="3924" customFormat="false" ht="15" hidden="false" customHeight="true" outlineLevel="0" collapsed="false">
      <c r="A3924" s="10" t="n">
        <f aca="false">Einstellungen!$B$5+INT((ROW()-9)/24)</f>
        <v>46129</v>
      </c>
      <c r="B3924" s="11" t="n">
        <f aca="false">MOD(ROW()-9,24)</f>
        <v>3</v>
      </c>
      <c r="C3924" s="12"/>
      <c r="D3924" s="13" t="n">
        <f aca="false">IF(B3924&lt;5,Einstellungen!$B$3,Einstellungen!$B$4)</f>
        <v>15.92</v>
      </c>
      <c r="E3924" s="14" t="str">
        <f aca="false">IF(C3924="","",C3924*D3924/100)</f>
        <v/>
      </c>
      <c r="F3924" s="15" t="str">
        <f aca="false">IF(B3924&lt;5,"Go","Standard")</f>
        <v>Go</v>
      </c>
    </row>
    <row r="3925" customFormat="false" ht="15" hidden="false" customHeight="true" outlineLevel="0" collapsed="false">
      <c r="A3925" s="10" t="n">
        <f aca="false">Einstellungen!$B$5+INT((ROW()-9)/24)</f>
        <v>46129</v>
      </c>
      <c r="B3925" s="11" t="n">
        <f aca="false">MOD(ROW()-9,24)</f>
        <v>4</v>
      </c>
      <c r="C3925" s="12"/>
      <c r="D3925" s="13" t="n">
        <f aca="false">IF(B3925&lt;5,Einstellungen!$B$3,Einstellungen!$B$4)</f>
        <v>15.92</v>
      </c>
      <c r="E3925" s="14" t="str">
        <f aca="false">IF(C3925="","",C3925*D3925/100)</f>
        <v/>
      </c>
      <c r="F3925" s="15" t="str">
        <f aca="false">IF(B3925&lt;5,"Go","Standard")</f>
        <v>Go</v>
      </c>
    </row>
    <row r="3926" customFormat="false" ht="15" hidden="false" customHeight="true" outlineLevel="0" collapsed="false">
      <c r="A3926" s="10" t="n">
        <f aca="false">Einstellungen!$B$5+INT((ROW()-9)/24)</f>
        <v>46129</v>
      </c>
      <c r="B3926" s="11" t="n">
        <f aca="false">MOD(ROW()-9,24)</f>
        <v>5</v>
      </c>
      <c r="C3926" s="12"/>
      <c r="D3926" s="13" t="n">
        <f aca="false">IF(B3926&lt;5,Einstellungen!$B$3,Einstellungen!$B$4)</f>
        <v>29.13</v>
      </c>
      <c r="E3926" s="14" t="str">
        <f aca="false">IF(C3926="","",C3926*D3926/100)</f>
        <v/>
      </c>
      <c r="F3926" s="15" t="str">
        <f aca="false">IF(B3926&lt;5,"Go","Standard")</f>
        <v>Standard</v>
      </c>
    </row>
    <row r="3927" customFormat="false" ht="15" hidden="false" customHeight="true" outlineLevel="0" collapsed="false">
      <c r="A3927" s="10" t="n">
        <f aca="false">Einstellungen!$B$5+INT((ROW()-9)/24)</f>
        <v>46129</v>
      </c>
      <c r="B3927" s="11" t="n">
        <f aca="false">MOD(ROW()-9,24)</f>
        <v>6</v>
      </c>
      <c r="C3927" s="12"/>
      <c r="D3927" s="13" t="n">
        <f aca="false">IF(B3927&lt;5,Einstellungen!$B$3,Einstellungen!$B$4)</f>
        <v>29.13</v>
      </c>
      <c r="E3927" s="14" t="str">
        <f aca="false">IF(C3927="","",C3927*D3927/100)</f>
        <v/>
      </c>
      <c r="F3927" s="15" t="str">
        <f aca="false">IF(B3927&lt;5,"Go","Standard")</f>
        <v>Standard</v>
      </c>
    </row>
    <row r="3928" customFormat="false" ht="15" hidden="false" customHeight="true" outlineLevel="0" collapsed="false">
      <c r="A3928" s="10" t="n">
        <f aca="false">Einstellungen!$B$5+INT((ROW()-9)/24)</f>
        <v>46129</v>
      </c>
      <c r="B3928" s="11" t="n">
        <f aca="false">MOD(ROW()-9,24)</f>
        <v>7</v>
      </c>
      <c r="C3928" s="12"/>
      <c r="D3928" s="13" t="n">
        <f aca="false">IF(B3928&lt;5,Einstellungen!$B$3,Einstellungen!$B$4)</f>
        <v>29.13</v>
      </c>
      <c r="E3928" s="14" t="str">
        <f aca="false">IF(C3928="","",C3928*D3928/100)</f>
        <v/>
      </c>
      <c r="F3928" s="15" t="str">
        <f aca="false">IF(B3928&lt;5,"Go","Standard")</f>
        <v>Standard</v>
      </c>
    </row>
    <row r="3929" customFormat="false" ht="15" hidden="false" customHeight="true" outlineLevel="0" collapsed="false">
      <c r="A3929" s="10" t="n">
        <f aca="false">Einstellungen!$B$5+INT((ROW()-9)/24)</f>
        <v>46129</v>
      </c>
      <c r="B3929" s="11" t="n">
        <f aca="false">MOD(ROW()-9,24)</f>
        <v>8</v>
      </c>
      <c r="C3929" s="12"/>
      <c r="D3929" s="13" t="n">
        <f aca="false">IF(B3929&lt;5,Einstellungen!$B$3,Einstellungen!$B$4)</f>
        <v>29.13</v>
      </c>
      <c r="E3929" s="14" t="str">
        <f aca="false">IF(C3929="","",C3929*D3929/100)</f>
        <v/>
      </c>
      <c r="F3929" s="15" t="str">
        <f aca="false">IF(B3929&lt;5,"Go","Standard")</f>
        <v>Standard</v>
      </c>
    </row>
    <row r="3930" customFormat="false" ht="15" hidden="false" customHeight="true" outlineLevel="0" collapsed="false">
      <c r="A3930" s="10" t="n">
        <f aca="false">Einstellungen!$B$5+INT((ROW()-9)/24)</f>
        <v>46129</v>
      </c>
      <c r="B3930" s="11" t="n">
        <f aca="false">MOD(ROW()-9,24)</f>
        <v>9</v>
      </c>
      <c r="C3930" s="12"/>
      <c r="D3930" s="13" t="n">
        <f aca="false">IF(B3930&lt;5,Einstellungen!$B$3,Einstellungen!$B$4)</f>
        <v>29.13</v>
      </c>
      <c r="E3930" s="14" t="str">
        <f aca="false">IF(C3930="","",C3930*D3930/100)</f>
        <v/>
      </c>
      <c r="F3930" s="15" t="str">
        <f aca="false">IF(B3930&lt;5,"Go","Standard")</f>
        <v>Standard</v>
      </c>
    </row>
    <row r="3931" customFormat="false" ht="15" hidden="false" customHeight="true" outlineLevel="0" collapsed="false">
      <c r="A3931" s="10" t="n">
        <f aca="false">Einstellungen!$B$5+INT((ROW()-9)/24)</f>
        <v>46129</v>
      </c>
      <c r="B3931" s="11" t="n">
        <f aca="false">MOD(ROW()-9,24)</f>
        <v>10</v>
      </c>
      <c r="C3931" s="12"/>
      <c r="D3931" s="13" t="n">
        <f aca="false">IF(B3931&lt;5,Einstellungen!$B$3,Einstellungen!$B$4)</f>
        <v>29.13</v>
      </c>
      <c r="E3931" s="14" t="str">
        <f aca="false">IF(C3931="","",C3931*D3931/100)</f>
        <v/>
      </c>
      <c r="F3931" s="15" t="str">
        <f aca="false">IF(B3931&lt;5,"Go","Standard")</f>
        <v>Standard</v>
      </c>
    </row>
    <row r="3932" customFormat="false" ht="15" hidden="false" customHeight="true" outlineLevel="0" collapsed="false">
      <c r="A3932" s="10" t="n">
        <f aca="false">Einstellungen!$B$5+INT((ROW()-9)/24)</f>
        <v>46129</v>
      </c>
      <c r="B3932" s="11" t="n">
        <f aca="false">MOD(ROW()-9,24)</f>
        <v>11</v>
      </c>
      <c r="C3932" s="12"/>
      <c r="D3932" s="13" t="n">
        <f aca="false">IF(B3932&lt;5,Einstellungen!$B$3,Einstellungen!$B$4)</f>
        <v>29.13</v>
      </c>
      <c r="E3932" s="14" t="str">
        <f aca="false">IF(C3932="","",C3932*D3932/100)</f>
        <v/>
      </c>
      <c r="F3932" s="15" t="str">
        <f aca="false">IF(B3932&lt;5,"Go","Standard")</f>
        <v>Standard</v>
      </c>
    </row>
    <row r="3933" customFormat="false" ht="15" hidden="false" customHeight="true" outlineLevel="0" collapsed="false">
      <c r="A3933" s="10" t="n">
        <f aca="false">Einstellungen!$B$5+INT((ROW()-9)/24)</f>
        <v>46129</v>
      </c>
      <c r="B3933" s="11" t="n">
        <f aca="false">MOD(ROW()-9,24)</f>
        <v>12</v>
      </c>
      <c r="C3933" s="12"/>
      <c r="D3933" s="13" t="n">
        <f aca="false">IF(B3933&lt;5,Einstellungen!$B$3,Einstellungen!$B$4)</f>
        <v>29.13</v>
      </c>
      <c r="E3933" s="14" t="str">
        <f aca="false">IF(C3933="","",C3933*D3933/100)</f>
        <v/>
      </c>
      <c r="F3933" s="15" t="str">
        <f aca="false">IF(B3933&lt;5,"Go","Standard")</f>
        <v>Standard</v>
      </c>
    </row>
    <row r="3934" customFormat="false" ht="15" hidden="false" customHeight="true" outlineLevel="0" collapsed="false">
      <c r="A3934" s="10" t="n">
        <f aca="false">Einstellungen!$B$5+INT((ROW()-9)/24)</f>
        <v>46129</v>
      </c>
      <c r="B3934" s="11" t="n">
        <f aca="false">MOD(ROW()-9,24)</f>
        <v>13</v>
      </c>
      <c r="C3934" s="12"/>
      <c r="D3934" s="13" t="n">
        <f aca="false">IF(B3934&lt;5,Einstellungen!$B$3,Einstellungen!$B$4)</f>
        <v>29.13</v>
      </c>
      <c r="E3934" s="14" t="str">
        <f aca="false">IF(C3934="","",C3934*D3934/100)</f>
        <v/>
      </c>
      <c r="F3934" s="15" t="str">
        <f aca="false">IF(B3934&lt;5,"Go","Standard")</f>
        <v>Standard</v>
      </c>
    </row>
    <row r="3935" customFormat="false" ht="15" hidden="false" customHeight="true" outlineLevel="0" collapsed="false">
      <c r="A3935" s="10" t="n">
        <f aca="false">Einstellungen!$B$5+INT((ROW()-9)/24)</f>
        <v>46129</v>
      </c>
      <c r="B3935" s="11" t="n">
        <f aca="false">MOD(ROW()-9,24)</f>
        <v>14</v>
      </c>
      <c r="C3935" s="12"/>
      <c r="D3935" s="13" t="n">
        <f aca="false">IF(B3935&lt;5,Einstellungen!$B$3,Einstellungen!$B$4)</f>
        <v>29.13</v>
      </c>
      <c r="E3935" s="14" t="str">
        <f aca="false">IF(C3935="","",C3935*D3935/100)</f>
        <v/>
      </c>
      <c r="F3935" s="15" t="str">
        <f aca="false">IF(B3935&lt;5,"Go","Standard")</f>
        <v>Standard</v>
      </c>
    </row>
    <row r="3936" customFormat="false" ht="15" hidden="false" customHeight="true" outlineLevel="0" collapsed="false">
      <c r="A3936" s="10" t="n">
        <f aca="false">Einstellungen!$B$5+INT((ROW()-9)/24)</f>
        <v>46129</v>
      </c>
      <c r="B3936" s="11" t="n">
        <f aca="false">MOD(ROW()-9,24)</f>
        <v>15</v>
      </c>
      <c r="C3936" s="12"/>
      <c r="D3936" s="13" t="n">
        <f aca="false">IF(B3936&lt;5,Einstellungen!$B$3,Einstellungen!$B$4)</f>
        <v>29.13</v>
      </c>
      <c r="E3936" s="14" t="str">
        <f aca="false">IF(C3936="","",C3936*D3936/100)</f>
        <v/>
      </c>
      <c r="F3936" s="15" t="str">
        <f aca="false">IF(B3936&lt;5,"Go","Standard")</f>
        <v>Standard</v>
      </c>
    </row>
    <row r="3937" customFormat="false" ht="15" hidden="false" customHeight="true" outlineLevel="0" collapsed="false">
      <c r="A3937" s="10" t="n">
        <f aca="false">Einstellungen!$B$5+INT((ROW()-9)/24)</f>
        <v>46129</v>
      </c>
      <c r="B3937" s="11" t="n">
        <f aca="false">MOD(ROW()-9,24)</f>
        <v>16</v>
      </c>
      <c r="C3937" s="12"/>
      <c r="D3937" s="13" t="n">
        <f aca="false">IF(B3937&lt;5,Einstellungen!$B$3,Einstellungen!$B$4)</f>
        <v>29.13</v>
      </c>
      <c r="E3937" s="14" t="str">
        <f aca="false">IF(C3937="","",C3937*D3937/100)</f>
        <v/>
      </c>
      <c r="F3937" s="15" t="str">
        <f aca="false">IF(B3937&lt;5,"Go","Standard")</f>
        <v>Standard</v>
      </c>
    </row>
    <row r="3938" customFormat="false" ht="15" hidden="false" customHeight="true" outlineLevel="0" collapsed="false">
      <c r="A3938" s="10" t="n">
        <f aca="false">Einstellungen!$B$5+INT((ROW()-9)/24)</f>
        <v>46129</v>
      </c>
      <c r="B3938" s="11" t="n">
        <f aca="false">MOD(ROW()-9,24)</f>
        <v>17</v>
      </c>
      <c r="C3938" s="12"/>
      <c r="D3938" s="13" t="n">
        <f aca="false">IF(B3938&lt;5,Einstellungen!$B$3,Einstellungen!$B$4)</f>
        <v>29.13</v>
      </c>
      <c r="E3938" s="14" t="str">
        <f aca="false">IF(C3938="","",C3938*D3938/100)</f>
        <v/>
      </c>
      <c r="F3938" s="15" t="str">
        <f aca="false">IF(B3938&lt;5,"Go","Standard")</f>
        <v>Standard</v>
      </c>
    </row>
    <row r="3939" customFormat="false" ht="15" hidden="false" customHeight="true" outlineLevel="0" collapsed="false">
      <c r="A3939" s="10" t="n">
        <f aca="false">Einstellungen!$B$5+INT((ROW()-9)/24)</f>
        <v>46129</v>
      </c>
      <c r="B3939" s="11" t="n">
        <f aca="false">MOD(ROW()-9,24)</f>
        <v>18</v>
      </c>
      <c r="C3939" s="12"/>
      <c r="D3939" s="13" t="n">
        <f aca="false">IF(B3939&lt;5,Einstellungen!$B$3,Einstellungen!$B$4)</f>
        <v>29.13</v>
      </c>
      <c r="E3939" s="14" t="str">
        <f aca="false">IF(C3939="","",C3939*D3939/100)</f>
        <v/>
      </c>
      <c r="F3939" s="15" t="str">
        <f aca="false">IF(B3939&lt;5,"Go","Standard")</f>
        <v>Standard</v>
      </c>
    </row>
    <row r="3940" customFormat="false" ht="15" hidden="false" customHeight="true" outlineLevel="0" collapsed="false">
      <c r="A3940" s="10" t="n">
        <f aca="false">Einstellungen!$B$5+INT((ROW()-9)/24)</f>
        <v>46129</v>
      </c>
      <c r="B3940" s="11" t="n">
        <f aca="false">MOD(ROW()-9,24)</f>
        <v>19</v>
      </c>
      <c r="C3940" s="12"/>
      <c r="D3940" s="13" t="n">
        <f aca="false">IF(B3940&lt;5,Einstellungen!$B$3,Einstellungen!$B$4)</f>
        <v>29.13</v>
      </c>
      <c r="E3940" s="14" t="str">
        <f aca="false">IF(C3940="","",C3940*D3940/100)</f>
        <v/>
      </c>
      <c r="F3940" s="15" t="str">
        <f aca="false">IF(B3940&lt;5,"Go","Standard")</f>
        <v>Standard</v>
      </c>
    </row>
    <row r="3941" customFormat="false" ht="15" hidden="false" customHeight="true" outlineLevel="0" collapsed="false">
      <c r="A3941" s="10" t="n">
        <f aca="false">Einstellungen!$B$5+INT((ROW()-9)/24)</f>
        <v>46129</v>
      </c>
      <c r="B3941" s="11" t="n">
        <f aca="false">MOD(ROW()-9,24)</f>
        <v>20</v>
      </c>
      <c r="C3941" s="12"/>
      <c r="D3941" s="13" t="n">
        <f aca="false">IF(B3941&lt;5,Einstellungen!$B$3,Einstellungen!$B$4)</f>
        <v>29.13</v>
      </c>
      <c r="E3941" s="14" t="str">
        <f aca="false">IF(C3941="","",C3941*D3941/100)</f>
        <v/>
      </c>
      <c r="F3941" s="15" t="str">
        <f aca="false">IF(B3941&lt;5,"Go","Standard")</f>
        <v>Standard</v>
      </c>
    </row>
    <row r="3942" customFormat="false" ht="15" hidden="false" customHeight="true" outlineLevel="0" collapsed="false">
      <c r="A3942" s="10" t="n">
        <f aca="false">Einstellungen!$B$5+INT((ROW()-9)/24)</f>
        <v>46129</v>
      </c>
      <c r="B3942" s="11" t="n">
        <f aca="false">MOD(ROW()-9,24)</f>
        <v>21</v>
      </c>
      <c r="C3942" s="12"/>
      <c r="D3942" s="13" t="n">
        <f aca="false">IF(B3942&lt;5,Einstellungen!$B$3,Einstellungen!$B$4)</f>
        <v>29.13</v>
      </c>
      <c r="E3942" s="14" t="str">
        <f aca="false">IF(C3942="","",C3942*D3942/100)</f>
        <v/>
      </c>
      <c r="F3942" s="15" t="str">
        <f aca="false">IF(B3942&lt;5,"Go","Standard")</f>
        <v>Standard</v>
      </c>
    </row>
    <row r="3943" customFormat="false" ht="15" hidden="false" customHeight="true" outlineLevel="0" collapsed="false">
      <c r="A3943" s="10" t="n">
        <f aca="false">Einstellungen!$B$5+INT((ROW()-9)/24)</f>
        <v>46129</v>
      </c>
      <c r="B3943" s="11" t="n">
        <f aca="false">MOD(ROW()-9,24)</f>
        <v>22</v>
      </c>
      <c r="C3943" s="12"/>
      <c r="D3943" s="13" t="n">
        <f aca="false">IF(B3943&lt;5,Einstellungen!$B$3,Einstellungen!$B$4)</f>
        <v>29.13</v>
      </c>
      <c r="E3943" s="14" t="str">
        <f aca="false">IF(C3943="","",C3943*D3943/100)</f>
        <v/>
      </c>
      <c r="F3943" s="15" t="str">
        <f aca="false">IF(B3943&lt;5,"Go","Standard")</f>
        <v>Standard</v>
      </c>
    </row>
    <row r="3944" customFormat="false" ht="15" hidden="false" customHeight="true" outlineLevel="0" collapsed="false">
      <c r="A3944" s="10" t="n">
        <f aca="false">Einstellungen!$B$5+INT((ROW()-9)/24)</f>
        <v>46129</v>
      </c>
      <c r="B3944" s="11" t="n">
        <f aca="false">MOD(ROW()-9,24)</f>
        <v>23</v>
      </c>
      <c r="C3944" s="12"/>
      <c r="D3944" s="13" t="n">
        <f aca="false">IF(B3944&lt;5,Einstellungen!$B$3,Einstellungen!$B$4)</f>
        <v>29.13</v>
      </c>
      <c r="E3944" s="14" t="str">
        <f aca="false">IF(C3944="","",C3944*D3944/100)</f>
        <v/>
      </c>
      <c r="F3944" s="15" t="str">
        <f aca="false">IF(B3944&lt;5,"Go","Standard")</f>
        <v>Standard</v>
      </c>
    </row>
    <row r="3945" customFormat="false" ht="15" hidden="false" customHeight="true" outlineLevel="0" collapsed="false">
      <c r="A3945" s="10" t="n">
        <f aca="false">Einstellungen!$B$5+INT((ROW()-9)/24)</f>
        <v>46130</v>
      </c>
      <c r="B3945" s="11" t="n">
        <f aca="false">MOD(ROW()-9,24)</f>
        <v>0</v>
      </c>
      <c r="C3945" s="12"/>
      <c r="D3945" s="13" t="n">
        <f aca="false">IF(B3945&lt;5,Einstellungen!$B$3,Einstellungen!$B$4)</f>
        <v>15.92</v>
      </c>
      <c r="E3945" s="14" t="str">
        <f aca="false">IF(C3945="","",C3945*D3945/100)</f>
        <v/>
      </c>
      <c r="F3945" s="15" t="str">
        <f aca="false">IF(B3945&lt;5,"Go","Standard")</f>
        <v>Go</v>
      </c>
    </row>
    <row r="3946" customFormat="false" ht="15" hidden="false" customHeight="true" outlineLevel="0" collapsed="false">
      <c r="A3946" s="10" t="n">
        <f aca="false">Einstellungen!$B$5+INT((ROW()-9)/24)</f>
        <v>46130</v>
      </c>
      <c r="B3946" s="11" t="n">
        <f aca="false">MOD(ROW()-9,24)</f>
        <v>1</v>
      </c>
      <c r="C3946" s="12"/>
      <c r="D3946" s="13" t="n">
        <f aca="false">IF(B3946&lt;5,Einstellungen!$B$3,Einstellungen!$B$4)</f>
        <v>15.92</v>
      </c>
      <c r="E3946" s="14" t="str">
        <f aca="false">IF(C3946="","",C3946*D3946/100)</f>
        <v/>
      </c>
      <c r="F3946" s="15" t="str">
        <f aca="false">IF(B3946&lt;5,"Go","Standard")</f>
        <v>Go</v>
      </c>
    </row>
    <row r="3947" customFormat="false" ht="15" hidden="false" customHeight="true" outlineLevel="0" collapsed="false">
      <c r="A3947" s="10" t="n">
        <f aca="false">Einstellungen!$B$5+INT((ROW()-9)/24)</f>
        <v>46130</v>
      </c>
      <c r="B3947" s="11" t="n">
        <f aca="false">MOD(ROW()-9,24)</f>
        <v>2</v>
      </c>
      <c r="C3947" s="12"/>
      <c r="D3947" s="13" t="n">
        <f aca="false">IF(B3947&lt;5,Einstellungen!$B$3,Einstellungen!$B$4)</f>
        <v>15.92</v>
      </c>
      <c r="E3947" s="14" t="str">
        <f aca="false">IF(C3947="","",C3947*D3947/100)</f>
        <v/>
      </c>
      <c r="F3947" s="15" t="str">
        <f aca="false">IF(B3947&lt;5,"Go","Standard")</f>
        <v>Go</v>
      </c>
    </row>
    <row r="3948" customFormat="false" ht="15" hidden="false" customHeight="true" outlineLevel="0" collapsed="false">
      <c r="A3948" s="10" t="n">
        <f aca="false">Einstellungen!$B$5+INT((ROW()-9)/24)</f>
        <v>46130</v>
      </c>
      <c r="B3948" s="11" t="n">
        <f aca="false">MOD(ROW()-9,24)</f>
        <v>3</v>
      </c>
      <c r="C3948" s="12"/>
      <c r="D3948" s="13" t="n">
        <f aca="false">IF(B3948&lt;5,Einstellungen!$B$3,Einstellungen!$B$4)</f>
        <v>15.92</v>
      </c>
      <c r="E3948" s="14" t="str">
        <f aca="false">IF(C3948="","",C3948*D3948/100)</f>
        <v/>
      </c>
      <c r="F3948" s="15" t="str">
        <f aca="false">IF(B3948&lt;5,"Go","Standard")</f>
        <v>Go</v>
      </c>
    </row>
    <row r="3949" customFormat="false" ht="15" hidden="false" customHeight="true" outlineLevel="0" collapsed="false">
      <c r="A3949" s="10" t="n">
        <f aca="false">Einstellungen!$B$5+INT((ROW()-9)/24)</f>
        <v>46130</v>
      </c>
      <c r="B3949" s="11" t="n">
        <f aca="false">MOD(ROW()-9,24)</f>
        <v>4</v>
      </c>
      <c r="C3949" s="12"/>
      <c r="D3949" s="13" t="n">
        <f aca="false">IF(B3949&lt;5,Einstellungen!$B$3,Einstellungen!$B$4)</f>
        <v>15.92</v>
      </c>
      <c r="E3949" s="14" t="str">
        <f aca="false">IF(C3949="","",C3949*D3949/100)</f>
        <v/>
      </c>
      <c r="F3949" s="15" t="str">
        <f aca="false">IF(B3949&lt;5,"Go","Standard")</f>
        <v>Go</v>
      </c>
    </row>
    <row r="3950" customFormat="false" ht="15" hidden="false" customHeight="true" outlineLevel="0" collapsed="false">
      <c r="A3950" s="10" t="n">
        <f aca="false">Einstellungen!$B$5+INT((ROW()-9)/24)</f>
        <v>46130</v>
      </c>
      <c r="B3950" s="11" t="n">
        <f aca="false">MOD(ROW()-9,24)</f>
        <v>5</v>
      </c>
      <c r="C3950" s="12"/>
      <c r="D3950" s="13" t="n">
        <f aca="false">IF(B3950&lt;5,Einstellungen!$B$3,Einstellungen!$B$4)</f>
        <v>29.13</v>
      </c>
      <c r="E3950" s="14" t="str">
        <f aca="false">IF(C3950="","",C3950*D3950/100)</f>
        <v/>
      </c>
      <c r="F3950" s="15" t="str">
        <f aca="false">IF(B3950&lt;5,"Go","Standard")</f>
        <v>Standard</v>
      </c>
    </row>
    <row r="3951" customFormat="false" ht="15" hidden="false" customHeight="true" outlineLevel="0" collapsed="false">
      <c r="A3951" s="10" t="n">
        <f aca="false">Einstellungen!$B$5+INT((ROW()-9)/24)</f>
        <v>46130</v>
      </c>
      <c r="B3951" s="11" t="n">
        <f aca="false">MOD(ROW()-9,24)</f>
        <v>6</v>
      </c>
      <c r="C3951" s="12"/>
      <c r="D3951" s="13" t="n">
        <f aca="false">IF(B3951&lt;5,Einstellungen!$B$3,Einstellungen!$B$4)</f>
        <v>29.13</v>
      </c>
      <c r="E3951" s="14" t="str">
        <f aca="false">IF(C3951="","",C3951*D3951/100)</f>
        <v/>
      </c>
      <c r="F3951" s="15" t="str">
        <f aca="false">IF(B3951&lt;5,"Go","Standard")</f>
        <v>Standard</v>
      </c>
    </row>
    <row r="3952" customFormat="false" ht="15" hidden="false" customHeight="true" outlineLevel="0" collapsed="false">
      <c r="A3952" s="10" t="n">
        <f aca="false">Einstellungen!$B$5+INT((ROW()-9)/24)</f>
        <v>46130</v>
      </c>
      <c r="B3952" s="11" t="n">
        <f aca="false">MOD(ROW()-9,24)</f>
        <v>7</v>
      </c>
      <c r="C3952" s="12"/>
      <c r="D3952" s="13" t="n">
        <f aca="false">IF(B3952&lt;5,Einstellungen!$B$3,Einstellungen!$B$4)</f>
        <v>29.13</v>
      </c>
      <c r="E3952" s="14" t="str">
        <f aca="false">IF(C3952="","",C3952*D3952/100)</f>
        <v/>
      </c>
      <c r="F3952" s="15" t="str">
        <f aca="false">IF(B3952&lt;5,"Go","Standard")</f>
        <v>Standard</v>
      </c>
    </row>
    <row r="3953" customFormat="false" ht="15" hidden="false" customHeight="true" outlineLevel="0" collapsed="false">
      <c r="A3953" s="10" t="n">
        <f aca="false">Einstellungen!$B$5+INT((ROW()-9)/24)</f>
        <v>46130</v>
      </c>
      <c r="B3953" s="11" t="n">
        <f aca="false">MOD(ROW()-9,24)</f>
        <v>8</v>
      </c>
      <c r="C3953" s="12"/>
      <c r="D3953" s="13" t="n">
        <f aca="false">IF(B3953&lt;5,Einstellungen!$B$3,Einstellungen!$B$4)</f>
        <v>29.13</v>
      </c>
      <c r="E3953" s="14" t="str">
        <f aca="false">IF(C3953="","",C3953*D3953/100)</f>
        <v/>
      </c>
      <c r="F3953" s="15" t="str">
        <f aca="false">IF(B3953&lt;5,"Go","Standard")</f>
        <v>Standard</v>
      </c>
    </row>
    <row r="3954" customFormat="false" ht="15" hidden="false" customHeight="true" outlineLevel="0" collapsed="false">
      <c r="A3954" s="10" t="n">
        <f aca="false">Einstellungen!$B$5+INT((ROW()-9)/24)</f>
        <v>46130</v>
      </c>
      <c r="B3954" s="11" t="n">
        <f aca="false">MOD(ROW()-9,24)</f>
        <v>9</v>
      </c>
      <c r="C3954" s="12"/>
      <c r="D3954" s="13" t="n">
        <f aca="false">IF(B3954&lt;5,Einstellungen!$B$3,Einstellungen!$B$4)</f>
        <v>29.13</v>
      </c>
      <c r="E3954" s="14" t="str">
        <f aca="false">IF(C3954="","",C3954*D3954/100)</f>
        <v/>
      </c>
      <c r="F3954" s="15" t="str">
        <f aca="false">IF(B3954&lt;5,"Go","Standard")</f>
        <v>Standard</v>
      </c>
    </row>
    <row r="3955" customFormat="false" ht="15" hidden="false" customHeight="true" outlineLevel="0" collapsed="false">
      <c r="A3955" s="10" t="n">
        <f aca="false">Einstellungen!$B$5+INT((ROW()-9)/24)</f>
        <v>46130</v>
      </c>
      <c r="B3955" s="11" t="n">
        <f aca="false">MOD(ROW()-9,24)</f>
        <v>10</v>
      </c>
      <c r="C3955" s="12"/>
      <c r="D3955" s="13" t="n">
        <f aca="false">IF(B3955&lt;5,Einstellungen!$B$3,Einstellungen!$B$4)</f>
        <v>29.13</v>
      </c>
      <c r="E3955" s="14" t="str">
        <f aca="false">IF(C3955="","",C3955*D3955/100)</f>
        <v/>
      </c>
      <c r="F3955" s="15" t="str">
        <f aca="false">IF(B3955&lt;5,"Go","Standard")</f>
        <v>Standard</v>
      </c>
    </row>
    <row r="3956" customFormat="false" ht="15" hidden="false" customHeight="true" outlineLevel="0" collapsed="false">
      <c r="A3956" s="10" t="n">
        <f aca="false">Einstellungen!$B$5+INT((ROW()-9)/24)</f>
        <v>46130</v>
      </c>
      <c r="B3956" s="11" t="n">
        <f aca="false">MOD(ROW()-9,24)</f>
        <v>11</v>
      </c>
      <c r="C3956" s="12"/>
      <c r="D3956" s="13" t="n">
        <f aca="false">IF(B3956&lt;5,Einstellungen!$B$3,Einstellungen!$B$4)</f>
        <v>29.13</v>
      </c>
      <c r="E3956" s="14" t="str">
        <f aca="false">IF(C3956="","",C3956*D3956/100)</f>
        <v/>
      </c>
      <c r="F3956" s="15" t="str">
        <f aca="false">IF(B3956&lt;5,"Go","Standard")</f>
        <v>Standard</v>
      </c>
    </row>
    <row r="3957" customFormat="false" ht="15" hidden="false" customHeight="true" outlineLevel="0" collapsed="false">
      <c r="A3957" s="10" t="n">
        <f aca="false">Einstellungen!$B$5+INT((ROW()-9)/24)</f>
        <v>46130</v>
      </c>
      <c r="B3957" s="11" t="n">
        <f aca="false">MOD(ROW()-9,24)</f>
        <v>12</v>
      </c>
      <c r="C3957" s="12"/>
      <c r="D3957" s="13" t="n">
        <f aca="false">IF(B3957&lt;5,Einstellungen!$B$3,Einstellungen!$B$4)</f>
        <v>29.13</v>
      </c>
      <c r="E3957" s="14" t="str">
        <f aca="false">IF(C3957="","",C3957*D3957/100)</f>
        <v/>
      </c>
      <c r="F3957" s="15" t="str">
        <f aca="false">IF(B3957&lt;5,"Go","Standard")</f>
        <v>Standard</v>
      </c>
    </row>
    <row r="3958" customFormat="false" ht="15" hidden="false" customHeight="true" outlineLevel="0" collapsed="false">
      <c r="A3958" s="10" t="n">
        <f aca="false">Einstellungen!$B$5+INT((ROW()-9)/24)</f>
        <v>46130</v>
      </c>
      <c r="B3958" s="11" t="n">
        <f aca="false">MOD(ROW()-9,24)</f>
        <v>13</v>
      </c>
      <c r="C3958" s="12"/>
      <c r="D3958" s="13" t="n">
        <f aca="false">IF(B3958&lt;5,Einstellungen!$B$3,Einstellungen!$B$4)</f>
        <v>29.13</v>
      </c>
      <c r="E3958" s="14" t="str">
        <f aca="false">IF(C3958="","",C3958*D3958/100)</f>
        <v/>
      </c>
      <c r="F3958" s="15" t="str">
        <f aca="false">IF(B3958&lt;5,"Go","Standard")</f>
        <v>Standard</v>
      </c>
    </row>
    <row r="3959" customFormat="false" ht="15" hidden="false" customHeight="true" outlineLevel="0" collapsed="false">
      <c r="A3959" s="10" t="n">
        <f aca="false">Einstellungen!$B$5+INT((ROW()-9)/24)</f>
        <v>46130</v>
      </c>
      <c r="B3959" s="11" t="n">
        <f aca="false">MOD(ROW()-9,24)</f>
        <v>14</v>
      </c>
      <c r="C3959" s="12"/>
      <c r="D3959" s="13" t="n">
        <f aca="false">IF(B3959&lt;5,Einstellungen!$B$3,Einstellungen!$B$4)</f>
        <v>29.13</v>
      </c>
      <c r="E3959" s="14" t="str">
        <f aca="false">IF(C3959="","",C3959*D3959/100)</f>
        <v/>
      </c>
      <c r="F3959" s="15" t="str">
        <f aca="false">IF(B3959&lt;5,"Go","Standard")</f>
        <v>Standard</v>
      </c>
    </row>
    <row r="3960" customFormat="false" ht="15" hidden="false" customHeight="true" outlineLevel="0" collapsed="false">
      <c r="A3960" s="10" t="n">
        <f aca="false">Einstellungen!$B$5+INT((ROW()-9)/24)</f>
        <v>46130</v>
      </c>
      <c r="B3960" s="11" t="n">
        <f aca="false">MOD(ROW()-9,24)</f>
        <v>15</v>
      </c>
      <c r="C3960" s="12"/>
      <c r="D3960" s="13" t="n">
        <f aca="false">IF(B3960&lt;5,Einstellungen!$B$3,Einstellungen!$B$4)</f>
        <v>29.13</v>
      </c>
      <c r="E3960" s="14" t="str">
        <f aca="false">IF(C3960="","",C3960*D3960/100)</f>
        <v/>
      </c>
      <c r="F3960" s="15" t="str">
        <f aca="false">IF(B3960&lt;5,"Go","Standard")</f>
        <v>Standard</v>
      </c>
    </row>
    <row r="3961" customFormat="false" ht="15" hidden="false" customHeight="true" outlineLevel="0" collapsed="false">
      <c r="A3961" s="10" t="n">
        <f aca="false">Einstellungen!$B$5+INT((ROW()-9)/24)</f>
        <v>46130</v>
      </c>
      <c r="B3961" s="11" t="n">
        <f aca="false">MOD(ROW()-9,24)</f>
        <v>16</v>
      </c>
      <c r="C3961" s="12"/>
      <c r="D3961" s="13" t="n">
        <f aca="false">IF(B3961&lt;5,Einstellungen!$B$3,Einstellungen!$B$4)</f>
        <v>29.13</v>
      </c>
      <c r="E3961" s="14" t="str">
        <f aca="false">IF(C3961="","",C3961*D3961/100)</f>
        <v/>
      </c>
      <c r="F3961" s="15" t="str">
        <f aca="false">IF(B3961&lt;5,"Go","Standard")</f>
        <v>Standard</v>
      </c>
    </row>
    <row r="3962" customFormat="false" ht="15" hidden="false" customHeight="true" outlineLevel="0" collapsed="false">
      <c r="A3962" s="10" t="n">
        <f aca="false">Einstellungen!$B$5+INT((ROW()-9)/24)</f>
        <v>46130</v>
      </c>
      <c r="B3962" s="11" t="n">
        <f aca="false">MOD(ROW()-9,24)</f>
        <v>17</v>
      </c>
      <c r="C3962" s="12"/>
      <c r="D3962" s="13" t="n">
        <f aca="false">IF(B3962&lt;5,Einstellungen!$B$3,Einstellungen!$B$4)</f>
        <v>29.13</v>
      </c>
      <c r="E3962" s="14" t="str">
        <f aca="false">IF(C3962="","",C3962*D3962/100)</f>
        <v/>
      </c>
      <c r="F3962" s="15" t="str">
        <f aca="false">IF(B3962&lt;5,"Go","Standard")</f>
        <v>Standard</v>
      </c>
    </row>
    <row r="3963" customFormat="false" ht="15" hidden="false" customHeight="true" outlineLevel="0" collapsed="false">
      <c r="A3963" s="10" t="n">
        <f aca="false">Einstellungen!$B$5+INT((ROW()-9)/24)</f>
        <v>46130</v>
      </c>
      <c r="B3963" s="11" t="n">
        <f aca="false">MOD(ROW()-9,24)</f>
        <v>18</v>
      </c>
      <c r="C3963" s="12"/>
      <c r="D3963" s="13" t="n">
        <f aca="false">IF(B3963&lt;5,Einstellungen!$B$3,Einstellungen!$B$4)</f>
        <v>29.13</v>
      </c>
      <c r="E3963" s="14" t="str">
        <f aca="false">IF(C3963="","",C3963*D3963/100)</f>
        <v/>
      </c>
      <c r="F3963" s="15" t="str">
        <f aca="false">IF(B3963&lt;5,"Go","Standard")</f>
        <v>Standard</v>
      </c>
    </row>
    <row r="3964" customFormat="false" ht="15" hidden="false" customHeight="true" outlineLevel="0" collapsed="false">
      <c r="A3964" s="10" t="n">
        <f aca="false">Einstellungen!$B$5+INT((ROW()-9)/24)</f>
        <v>46130</v>
      </c>
      <c r="B3964" s="11" t="n">
        <f aca="false">MOD(ROW()-9,24)</f>
        <v>19</v>
      </c>
      <c r="C3964" s="12"/>
      <c r="D3964" s="13" t="n">
        <f aca="false">IF(B3964&lt;5,Einstellungen!$B$3,Einstellungen!$B$4)</f>
        <v>29.13</v>
      </c>
      <c r="E3964" s="14" t="str">
        <f aca="false">IF(C3964="","",C3964*D3964/100)</f>
        <v/>
      </c>
      <c r="F3964" s="15" t="str">
        <f aca="false">IF(B3964&lt;5,"Go","Standard")</f>
        <v>Standard</v>
      </c>
    </row>
    <row r="3965" customFormat="false" ht="15" hidden="false" customHeight="true" outlineLevel="0" collapsed="false">
      <c r="A3965" s="10" t="n">
        <f aca="false">Einstellungen!$B$5+INT((ROW()-9)/24)</f>
        <v>46130</v>
      </c>
      <c r="B3965" s="11" t="n">
        <f aca="false">MOD(ROW()-9,24)</f>
        <v>20</v>
      </c>
      <c r="C3965" s="12"/>
      <c r="D3965" s="13" t="n">
        <f aca="false">IF(B3965&lt;5,Einstellungen!$B$3,Einstellungen!$B$4)</f>
        <v>29.13</v>
      </c>
      <c r="E3965" s="14" t="str">
        <f aca="false">IF(C3965="","",C3965*D3965/100)</f>
        <v/>
      </c>
      <c r="F3965" s="15" t="str">
        <f aca="false">IF(B3965&lt;5,"Go","Standard")</f>
        <v>Standard</v>
      </c>
    </row>
    <row r="3966" customFormat="false" ht="15" hidden="false" customHeight="true" outlineLevel="0" collapsed="false">
      <c r="A3966" s="10" t="n">
        <f aca="false">Einstellungen!$B$5+INT((ROW()-9)/24)</f>
        <v>46130</v>
      </c>
      <c r="B3966" s="11" t="n">
        <f aca="false">MOD(ROW()-9,24)</f>
        <v>21</v>
      </c>
      <c r="C3966" s="12"/>
      <c r="D3966" s="13" t="n">
        <f aca="false">IF(B3966&lt;5,Einstellungen!$B$3,Einstellungen!$B$4)</f>
        <v>29.13</v>
      </c>
      <c r="E3966" s="14" t="str">
        <f aca="false">IF(C3966="","",C3966*D3966/100)</f>
        <v/>
      </c>
      <c r="F3966" s="15" t="str">
        <f aca="false">IF(B3966&lt;5,"Go","Standard")</f>
        <v>Standard</v>
      </c>
    </row>
    <row r="3967" customFormat="false" ht="15" hidden="false" customHeight="true" outlineLevel="0" collapsed="false">
      <c r="A3967" s="10" t="n">
        <f aca="false">Einstellungen!$B$5+INT((ROW()-9)/24)</f>
        <v>46130</v>
      </c>
      <c r="B3967" s="11" t="n">
        <f aca="false">MOD(ROW()-9,24)</f>
        <v>22</v>
      </c>
      <c r="C3967" s="12"/>
      <c r="D3967" s="13" t="n">
        <f aca="false">IF(B3967&lt;5,Einstellungen!$B$3,Einstellungen!$B$4)</f>
        <v>29.13</v>
      </c>
      <c r="E3967" s="14" t="str">
        <f aca="false">IF(C3967="","",C3967*D3967/100)</f>
        <v/>
      </c>
      <c r="F3967" s="15" t="str">
        <f aca="false">IF(B3967&lt;5,"Go","Standard")</f>
        <v>Standard</v>
      </c>
    </row>
    <row r="3968" customFormat="false" ht="15" hidden="false" customHeight="true" outlineLevel="0" collapsed="false">
      <c r="A3968" s="10" t="n">
        <f aca="false">Einstellungen!$B$5+INT((ROW()-9)/24)</f>
        <v>46130</v>
      </c>
      <c r="B3968" s="11" t="n">
        <f aca="false">MOD(ROW()-9,24)</f>
        <v>23</v>
      </c>
      <c r="C3968" s="12"/>
      <c r="D3968" s="13" t="n">
        <f aca="false">IF(B3968&lt;5,Einstellungen!$B$3,Einstellungen!$B$4)</f>
        <v>29.13</v>
      </c>
      <c r="E3968" s="14" t="str">
        <f aca="false">IF(C3968="","",C3968*D3968/100)</f>
        <v/>
      </c>
      <c r="F3968" s="15" t="str">
        <f aca="false">IF(B3968&lt;5,"Go","Standard")</f>
        <v>Standard</v>
      </c>
    </row>
    <row r="3969" customFormat="false" ht="15" hidden="false" customHeight="true" outlineLevel="0" collapsed="false">
      <c r="A3969" s="10" t="n">
        <f aca="false">Einstellungen!$B$5+INT((ROW()-9)/24)</f>
        <v>46131</v>
      </c>
      <c r="B3969" s="11" t="n">
        <f aca="false">MOD(ROW()-9,24)</f>
        <v>0</v>
      </c>
      <c r="C3969" s="12"/>
      <c r="D3969" s="13" t="n">
        <f aca="false">IF(B3969&lt;5,Einstellungen!$B$3,Einstellungen!$B$4)</f>
        <v>15.92</v>
      </c>
      <c r="E3969" s="14" t="str">
        <f aca="false">IF(C3969="","",C3969*D3969/100)</f>
        <v/>
      </c>
      <c r="F3969" s="15" t="str">
        <f aca="false">IF(B3969&lt;5,"Go","Standard")</f>
        <v>Go</v>
      </c>
    </row>
    <row r="3970" customFormat="false" ht="15" hidden="false" customHeight="true" outlineLevel="0" collapsed="false">
      <c r="A3970" s="10" t="n">
        <f aca="false">Einstellungen!$B$5+INT((ROW()-9)/24)</f>
        <v>46131</v>
      </c>
      <c r="B3970" s="11" t="n">
        <f aca="false">MOD(ROW()-9,24)</f>
        <v>1</v>
      </c>
      <c r="C3970" s="12"/>
      <c r="D3970" s="13" t="n">
        <f aca="false">IF(B3970&lt;5,Einstellungen!$B$3,Einstellungen!$B$4)</f>
        <v>15.92</v>
      </c>
      <c r="E3970" s="14" t="str">
        <f aca="false">IF(C3970="","",C3970*D3970/100)</f>
        <v/>
      </c>
      <c r="F3970" s="15" t="str">
        <f aca="false">IF(B3970&lt;5,"Go","Standard")</f>
        <v>Go</v>
      </c>
    </row>
    <row r="3971" customFormat="false" ht="15" hidden="false" customHeight="true" outlineLevel="0" collapsed="false">
      <c r="A3971" s="10" t="n">
        <f aca="false">Einstellungen!$B$5+INT((ROW()-9)/24)</f>
        <v>46131</v>
      </c>
      <c r="B3971" s="11" t="n">
        <f aca="false">MOD(ROW()-9,24)</f>
        <v>2</v>
      </c>
      <c r="C3971" s="12"/>
      <c r="D3971" s="13" t="n">
        <f aca="false">IF(B3971&lt;5,Einstellungen!$B$3,Einstellungen!$B$4)</f>
        <v>15.92</v>
      </c>
      <c r="E3971" s="14" t="str">
        <f aca="false">IF(C3971="","",C3971*D3971/100)</f>
        <v/>
      </c>
      <c r="F3971" s="15" t="str">
        <f aca="false">IF(B3971&lt;5,"Go","Standard")</f>
        <v>Go</v>
      </c>
    </row>
    <row r="3972" customFormat="false" ht="15" hidden="false" customHeight="true" outlineLevel="0" collapsed="false">
      <c r="A3972" s="10" t="n">
        <f aca="false">Einstellungen!$B$5+INT((ROW()-9)/24)</f>
        <v>46131</v>
      </c>
      <c r="B3972" s="11" t="n">
        <f aca="false">MOD(ROW()-9,24)</f>
        <v>3</v>
      </c>
      <c r="C3972" s="12"/>
      <c r="D3972" s="13" t="n">
        <f aca="false">IF(B3972&lt;5,Einstellungen!$B$3,Einstellungen!$B$4)</f>
        <v>15.92</v>
      </c>
      <c r="E3972" s="14" t="str">
        <f aca="false">IF(C3972="","",C3972*D3972/100)</f>
        <v/>
      </c>
      <c r="F3972" s="15" t="str">
        <f aca="false">IF(B3972&lt;5,"Go","Standard")</f>
        <v>Go</v>
      </c>
    </row>
    <row r="3973" customFormat="false" ht="15" hidden="false" customHeight="true" outlineLevel="0" collapsed="false">
      <c r="A3973" s="10" t="n">
        <f aca="false">Einstellungen!$B$5+INT((ROW()-9)/24)</f>
        <v>46131</v>
      </c>
      <c r="B3973" s="11" t="n">
        <f aca="false">MOD(ROW()-9,24)</f>
        <v>4</v>
      </c>
      <c r="C3973" s="12"/>
      <c r="D3973" s="13" t="n">
        <f aca="false">IF(B3973&lt;5,Einstellungen!$B$3,Einstellungen!$B$4)</f>
        <v>15.92</v>
      </c>
      <c r="E3973" s="14" t="str">
        <f aca="false">IF(C3973="","",C3973*D3973/100)</f>
        <v/>
      </c>
      <c r="F3973" s="15" t="str">
        <f aca="false">IF(B3973&lt;5,"Go","Standard")</f>
        <v>Go</v>
      </c>
    </row>
    <row r="3974" customFormat="false" ht="15" hidden="false" customHeight="true" outlineLevel="0" collapsed="false">
      <c r="A3974" s="10" t="n">
        <f aca="false">Einstellungen!$B$5+INT((ROW()-9)/24)</f>
        <v>46131</v>
      </c>
      <c r="B3974" s="11" t="n">
        <f aca="false">MOD(ROW()-9,24)</f>
        <v>5</v>
      </c>
      <c r="C3974" s="12"/>
      <c r="D3974" s="13" t="n">
        <f aca="false">IF(B3974&lt;5,Einstellungen!$B$3,Einstellungen!$B$4)</f>
        <v>29.13</v>
      </c>
      <c r="E3974" s="14" t="str">
        <f aca="false">IF(C3974="","",C3974*D3974/100)</f>
        <v/>
      </c>
      <c r="F3974" s="15" t="str">
        <f aca="false">IF(B3974&lt;5,"Go","Standard")</f>
        <v>Standard</v>
      </c>
    </row>
    <row r="3975" customFormat="false" ht="15" hidden="false" customHeight="true" outlineLevel="0" collapsed="false">
      <c r="A3975" s="10" t="n">
        <f aca="false">Einstellungen!$B$5+INT((ROW()-9)/24)</f>
        <v>46131</v>
      </c>
      <c r="B3975" s="11" t="n">
        <f aca="false">MOD(ROW()-9,24)</f>
        <v>6</v>
      </c>
      <c r="C3975" s="12"/>
      <c r="D3975" s="13" t="n">
        <f aca="false">IF(B3975&lt;5,Einstellungen!$B$3,Einstellungen!$B$4)</f>
        <v>29.13</v>
      </c>
      <c r="E3975" s="14" t="str">
        <f aca="false">IF(C3975="","",C3975*D3975/100)</f>
        <v/>
      </c>
      <c r="F3975" s="15" t="str">
        <f aca="false">IF(B3975&lt;5,"Go","Standard")</f>
        <v>Standard</v>
      </c>
    </row>
    <row r="3976" customFormat="false" ht="15" hidden="false" customHeight="true" outlineLevel="0" collapsed="false">
      <c r="A3976" s="10" t="n">
        <f aca="false">Einstellungen!$B$5+INT((ROW()-9)/24)</f>
        <v>46131</v>
      </c>
      <c r="B3976" s="11" t="n">
        <f aca="false">MOD(ROW()-9,24)</f>
        <v>7</v>
      </c>
      <c r="C3976" s="12"/>
      <c r="D3976" s="13" t="n">
        <f aca="false">IF(B3976&lt;5,Einstellungen!$B$3,Einstellungen!$B$4)</f>
        <v>29.13</v>
      </c>
      <c r="E3976" s="14" t="str">
        <f aca="false">IF(C3976="","",C3976*D3976/100)</f>
        <v/>
      </c>
      <c r="F3976" s="15" t="str">
        <f aca="false">IF(B3976&lt;5,"Go","Standard")</f>
        <v>Standard</v>
      </c>
    </row>
    <row r="3977" customFormat="false" ht="15" hidden="false" customHeight="true" outlineLevel="0" collapsed="false">
      <c r="A3977" s="10" t="n">
        <f aca="false">Einstellungen!$B$5+INT((ROW()-9)/24)</f>
        <v>46131</v>
      </c>
      <c r="B3977" s="11" t="n">
        <f aca="false">MOD(ROW()-9,24)</f>
        <v>8</v>
      </c>
      <c r="C3977" s="12"/>
      <c r="D3977" s="13" t="n">
        <f aca="false">IF(B3977&lt;5,Einstellungen!$B$3,Einstellungen!$B$4)</f>
        <v>29.13</v>
      </c>
      <c r="E3977" s="14" t="str">
        <f aca="false">IF(C3977="","",C3977*D3977/100)</f>
        <v/>
      </c>
      <c r="F3977" s="15" t="str">
        <f aca="false">IF(B3977&lt;5,"Go","Standard")</f>
        <v>Standard</v>
      </c>
    </row>
    <row r="3978" customFormat="false" ht="15" hidden="false" customHeight="true" outlineLevel="0" collapsed="false">
      <c r="A3978" s="10" t="n">
        <f aca="false">Einstellungen!$B$5+INT((ROW()-9)/24)</f>
        <v>46131</v>
      </c>
      <c r="B3978" s="11" t="n">
        <f aca="false">MOD(ROW()-9,24)</f>
        <v>9</v>
      </c>
      <c r="C3978" s="12"/>
      <c r="D3978" s="13" t="n">
        <f aca="false">IF(B3978&lt;5,Einstellungen!$B$3,Einstellungen!$B$4)</f>
        <v>29.13</v>
      </c>
      <c r="E3978" s="14" t="str">
        <f aca="false">IF(C3978="","",C3978*D3978/100)</f>
        <v/>
      </c>
      <c r="F3978" s="15" t="str">
        <f aca="false">IF(B3978&lt;5,"Go","Standard")</f>
        <v>Standard</v>
      </c>
    </row>
    <row r="3979" customFormat="false" ht="15" hidden="false" customHeight="true" outlineLevel="0" collapsed="false">
      <c r="A3979" s="10" t="n">
        <f aca="false">Einstellungen!$B$5+INT((ROW()-9)/24)</f>
        <v>46131</v>
      </c>
      <c r="B3979" s="11" t="n">
        <f aca="false">MOD(ROW()-9,24)</f>
        <v>10</v>
      </c>
      <c r="C3979" s="12"/>
      <c r="D3979" s="13" t="n">
        <f aca="false">IF(B3979&lt;5,Einstellungen!$B$3,Einstellungen!$B$4)</f>
        <v>29.13</v>
      </c>
      <c r="E3979" s="14" t="str">
        <f aca="false">IF(C3979="","",C3979*D3979/100)</f>
        <v/>
      </c>
      <c r="F3979" s="15" t="str">
        <f aca="false">IF(B3979&lt;5,"Go","Standard")</f>
        <v>Standard</v>
      </c>
    </row>
    <row r="3980" customFormat="false" ht="15" hidden="false" customHeight="true" outlineLevel="0" collapsed="false">
      <c r="A3980" s="10" t="n">
        <f aca="false">Einstellungen!$B$5+INT((ROW()-9)/24)</f>
        <v>46131</v>
      </c>
      <c r="B3980" s="11" t="n">
        <f aca="false">MOD(ROW()-9,24)</f>
        <v>11</v>
      </c>
      <c r="C3980" s="12"/>
      <c r="D3980" s="13" t="n">
        <f aca="false">IF(B3980&lt;5,Einstellungen!$B$3,Einstellungen!$B$4)</f>
        <v>29.13</v>
      </c>
      <c r="E3980" s="14" t="str">
        <f aca="false">IF(C3980="","",C3980*D3980/100)</f>
        <v/>
      </c>
      <c r="F3980" s="15" t="str">
        <f aca="false">IF(B3980&lt;5,"Go","Standard")</f>
        <v>Standard</v>
      </c>
    </row>
    <row r="3981" customFormat="false" ht="15" hidden="false" customHeight="true" outlineLevel="0" collapsed="false">
      <c r="A3981" s="10" t="n">
        <f aca="false">Einstellungen!$B$5+INT((ROW()-9)/24)</f>
        <v>46131</v>
      </c>
      <c r="B3981" s="11" t="n">
        <f aca="false">MOD(ROW()-9,24)</f>
        <v>12</v>
      </c>
      <c r="C3981" s="12"/>
      <c r="D3981" s="13" t="n">
        <f aca="false">IF(B3981&lt;5,Einstellungen!$B$3,Einstellungen!$B$4)</f>
        <v>29.13</v>
      </c>
      <c r="E3981" s="14" t="str">
        <f aca="false">IF(C3981="","",C3981*D3981/100)</f>
        <v/>
      </c>
      <c r="F3981" s="15" t="str">
        <f aca="false">IF(B3981&lt;5,"Go","Standard")</f>
        <v>Standard</v>
      </c>
    </row>
    <row r="3982" customFormat="false" ht="15" hidden="false" customHeight="true" outlineLevel="0" collapsed="false">
      <c r="A3982" s="10" t="n">
        <f aca="false">Einstellungen!$B$5+INT((ROW()-9)/24)</f>
        <v>46131</v>
      </c>
      <c r="B3982" s="11" t="n">
        <f aca="false">MOD(ROW()-9,24)</f>
        <v>13</v>
      </c>
      <c r="C3982" s="12"/>
      <c r="D3982" s="13" t="n">
        <f aca="false">IF(B3982&lt;5,Einstellungen!$B$3,Einstellungen!$B$4)</f>
        <v>29.13</v>
      </c>
      <c r="E3982" s="14" t="str">
        <f aca="false">IF(C3982="","",C3982*D3982/100)</f>
        <v/>
      </c>
      <c r="F3982" s="15" t="str">
        <f aca="false">IF(B3982&lt;5,"Go","Standard")</f>
        <v>Standard</v>
      </c>
    </row>
    <row r="3983" customFormat="false" ht="15" hidden="false" customHeight="true" outlineLevel="0" collapsed="false">
      <c r="A3983" s="10" t="n">
        <f aca="false">Einstellungen!$B$5+INT((ROW()-9)/24)</f>
        <v>46131</v>
      </c>
      <c r="B3983" s="11" t="n">
        <f aca="false">MOD(ROW()-9,24)</f>
        <v>14</v>
      </c>
      <c r="C3983" s="12"/>
      <c r="D3983" s="13" t="n">
        <f aca="false">IF(B3983&lt;5,Einstellungen!$B$3,Einstellungen!$B$4)</f>
        <v>29.13</v>
      </c>
      <c r="E3983" s="14" t="str">
        <f aca="false">IF(C3983="","",C3983*D3983/100)</f>
        <v/>
      </c>
      <c r="F3983" s="15" t="str">
        <f aca="false">IF(B3983&lt;5,"Go","Standard")</f>
        <v>Standard</v>
      </c>
    </row>
    <row r="3984" customFormat="false" ht="15" hidden="false" customHeight="true" outlineLevel="0" collapsed="false">
      <c r="A3984" s="10" t="n">
        <f aca="false">Einstellungen!$B$5+INT((ROW()-9)/24)</f>
        <v>46131</v>
      </c>
      <c r="B3984" s="11" t="n">
        <f aca="false">MOD(ROW()-9,24)</f>
        <v>15</v>
      </c>
      <c r="C3984" s="12"/>
      <c r="D3984" s="13" t="n">
        <f aca="false">IF(B3984&lt;5,Einstellungen!$B$3,Einstellungen!$B$4)</f>
        <v>29.13</v>
      </c>
      <c r="E3984" s="14" t="str">
        <f aca="false">IF(C3984="","",C3984*D3984/100)</f>
        <v/>
      </c>
      <c r="F3984" s="15" t="str">
        <f aca="false">IF(B3984&lt;5,"Go","Standard")</f>
        <v>Standard</v>
      </c>
    </row>
    <row r="3985" customFormat="false" ht="15" hidden="false" customHeight="true" outlineLevel="0" collapsed="false">
      <c r="A3985" s="10" t="n">
        <f aca="false">Einstellungen!$B$5+INT((ROW()-9)/24)</f>
        <v>46131</v>
      </c>
      <c r="B3985" s="11" t="n">
        <f aca="false">MOD(ROW()-9,24)</f>
        <v>16</v>
      </c>
      <c r="C3985" s="12"/>
      <c r="D3985" s="13" t="n">
        <f aca="false">IF(B3985&lt;5,Einstellungen!$B$3,Einstellungen!$B$4)</f>
        <v>29.13</v>
      </c>
      <c r="E3985" s="14" t="str">
        <f aca="false">IF(C3985="","",C3985*D3985/100)</f>
        <v/>
      </c>
      <c r="F3985" s="15" t="str">
        <f aca="false">IF(B3985&lt;5,"Go","Standard")</f>
        <v>Standard</v>
      </c>
    </row>
    <row r="3986" customFormat="false" ht="15" hidden="false" customHeight="true" outlineLevel="0" collapsed="false">
      <c r="A3986" s="10" t="n">
        <f aca="false">Einstellungen!$B$5+INT((ROW()-9)/24)</f>
        <v>46131</v>
      </c>
      <c r="B3986" s="11" t="n">
        <f aca="false">MOD(ROW()-9,24)</f>
        <v>17</v>
      </c>
      <c r="C3986" s="12"/>
      <c r="D3986" s="13" t="n">
        <f aca="false">IF(B3986&lt;5,Einstellungen!$B$3,Einstellungen!$B$4)</f>
        <v>29.13</v>
      </c>
      <c r="E3986" s="14" t="str">
        <f aca="false">IF(C3986="","",C3986*D3986/100)</f>
        <v/>
      </c>
      <c r="F3986" s="15" t="str">
        <f aca="false">IF(B3986&lt;5,"Go","Standard")</f>
        <v>Standard</v>
      </c>
    </row>
    <row r="3987" customFormat="false" ht="15" hidden="false" customHeight="true" outlineLevel="0" collapsed="false">
      <c r="A3987" s="10" t="n">
        <f aca="false">Einstellungen!$B$5+INT((ROW()-9)/24)</f>
        <v>46131</v>
      </c>
      <c r="B3987" s="11" t="n">
        <f aca="false">MOD(ROW()-9,24)</f>
        <v>18</v>
      </c>
      <c r="C3987" s="12"/>
      <c r="D3987" s="13" t="n">
        <f aca="false">IF(B3987&lt;5,Einstellungen!$B$3,Einstellungen!$B$4)</f>
        <v>29.13</v>
      </c>
      <c r="E3987" s="14" t="str">
        <f aca="false">IF(C3987="","",C3987*D3987/100)</f>
        <v/>
      </c>
      <c r="F3987" s="15" t="str">
        <f aca="false">IF(B3987&lt;5,"Go","Standard")</f>
        <v>Standard</v>
      </c>
    </row>
    <row r="3988" customFormat="false" ht="15" hidden="false" customHeight="true" outlineLevel="0" collapsed="false">
      <c r="A3988" s="10" t="n">
        <f aca="false">Einstellungen!$B$5+INT((ROW()-9)/24)</f>
        <v>46131</v>
      </c>
      <c r="B3988" s="11" t="n">
        <f aca="false">MOD(ROW()-9,24)</f>
        <v>19</v>
      </c>
      <c r="C3988" s="12"/>
      <c r="D3988" s="13" t="n">
        <f aca="false">IF(B3988&lt;5,Einstellungen!$B$3,Einstellungen!$B$4)</f>
        <v>29.13</v>
      </c>
      <c r="E3988" s="14" t="str">
        <f aca="false">IF(C3988="","",C3988*D3988/100)</f>
        <v/>
      </c>
      <c r="F3988" s="15" t="str">
        <f aca="false">IF(B3988&lt;5,"Go","Standard")</f>
        <v>Standard</v>
      </c>
    </row>
    <row r="3989" customFormat="false" ht="15" hidden="false" customHeight="true" outlineLevel="0" collapsed="false">
      <c r="A3989" s="10" t="n">
        <f aca="false">Einstellungen!$B$5+INT((ROW()-9)/24)</f>
        <v>46131</v>
      </c>
      <c r="B3989" s="11" t="n">
        <f aca="false">MOD(ROW()-9,24)</f>
        <v>20</v>
      </c>
      <c r="C3989" s="12"/>
      <c r="D3989" s="13" t="n">
        <f aca="false">IF(B3989&lt;5,Einstellungen!$B$3,Einstellungen!$B$4)</f>
        <v>29.13</v>
      </c>
      <c r="E3989" s="14" t="str">
        <f aca="false">IF(C3989="","",C3989*D3989/100)</f>
        <v/>
      </c>
      <c r="F3989" s="15" t="str">
        <f aca="false">IF(B3989&lt;5,"Go","Standard")</f>
        <v>Standard</v>
      </c>
    </row>
    <row r="3990" customFormat="false" ht="15" hidden="false" customHeight="true" outlineLevel="0" collapsed="false">
      <c r="A3990" s="10" t="n">
        <f aca="false">Einstellungen!$B$5+INT((ROW()-9)/24)</f>
        <v>46131</v>
      </c>
      <c r="B3990" s="11" t="n">
        <f aca="false">MOD(ROW()-9,24)</f>
        <v>21</v>
      </c>
      <c r="C3990" s="12"/>
      <c r="D3990" s="13" t="n">
        <f aca="false">IF(B3990&lt;5,Einstellungen!$B$3,Einstellungen!$B$4)</f>
        <v>29.13</v>
      </c>
      <c r="E3990" s="14" t="str">
        <f aca="false">IF(C3990="","",C3990*D3990/100)</f>
        <v/>
      </c>
      <c r="F3990" s="15" t="str">
        <f aca="false">IF(B3990&lt;5,"Go","Standard")</f>
        <v>Standard</v>
      </c>
    </row>
    <row r="3991" customFormat="false" ht="15" hidden="false" customHeight="true" outlineLevel="0" collapsed="false">
      <c r="A3991" s="10" t="n">
        <f aca="false">Einstellungen!$B$5+INT((ROW()-9)/24)</f>
        <v>46131</v>
      </c>
      <c r="B3991" s="11" t="n">
        <f aca="false">MOD(ROW()-9,24)</f>
        <v>22</v>
      </c>
      <c r="C3991" s="12"/>
      <c r="D3991" s="13" t="n">
        <f aca="false">IF(B3991&lt;5,Einstellungen!$B$3,Einstellungen!$B$4)</f>
        <v>29.13</v>
      </c>
      <c r="E3991" s="14" t="str">
        <f aca="false">IF(C3991="","",C3991*D3991/100)</f>
        <v/>
      </c>
      <c r="F3991" s="15" t="str">
        <f aca="false">IF(B3991&lt;5,"Go","Standard")</f>
        <v>Standard</v>
      </c>
    </row>
    <row r="3992" customFormat="false" ht="15" hidden="false" customHeight="true" outlineLevel="0" collapsed="false">
      <c r="A3992" s="10" t="n">
        <f aca="false">Einstellungen!$B$5+INT((ROW()-9)/24)</f>
        <v>46131</v>
      </c>
      <c r="B3992" s="11" t="n">
        <f aca="false">MOD(ROW()-9,24)</f>
        <v>23</v>
      </c>
      <c r="C3992" s="12"/>
      <c r="D3992" s="13" t="n">
        <f aca="false">IF(B3992&lt;5,Einstellungen!$B$3,Einstellungen!$B$4)</f>
        <v>29.13</v>
      </c>
      <c r="E3992" s="14" t="str">
        <f aca="false">IF(C3992="","",C3992*D3992/100)</f>
        <v/>
      </c>
      <c r="F3992" s="15" t="str">
        <f aca="false">IF(B3992&lt;5,"Go","Standard")</f>
        <v>Standard</v>
      </c>
    </row>
    <row r="3993" customFormat="false" ht="15" hidden="false" customHeight="true" outlineLevel="0" collapsed="false">
      <c r="A3993" s="10" t="n">
        <f aca="false">Einstellungen!$B$5+INT((ROW()-9)/24)</f>
        <v>46132</v>
      </c>
      <c r="B3993" s="11" t="n">
        <f aca="false">MOD(ROW()-9,24)</f>
        <v>0</v>
      </c>
      <c r="C3993" s="12"/>
      <c r="D3993" s="13" t="n">
        <f aca="false">IF(B3993&lt;5,Einstellungen!$B$3,Einstellungen!$B$4)</f>
        <v>15.92</v>
      </c>
      <c r="E3993" s="14" t="str">
        <f aca="false">IF(C3993="","",C3993*D3993/100)</f>
        <v/>
      </c>
      <c r="F3993" s="15" t="str">
        <f aca="false">IF(B3993&lt;5,"Go","Standard")</f>
        <v>Go</v>
      </c>
    </row>
    <row r="3994" customFormat="false" ht="15" hidden="false" customHeight="true" outlineLevel="0" collapsed="false">
      <c r="A3994" s="10" t="n">
        <f aca="false">Einstellungen!$B$5+INT((ROW()-9)/24)</f>
        <v>46132</v>
      </c>
      <c r="B3994" s="11" t="n">
        <f aca="false">MOD(ROW()-9,24)</f>
        <v>1</v>
      </c>
      <c r="C3994" s="12"/>
      <c r="D3994" s="13" t="n">
        <f aca="false">IF(B3994&lt;5,Einstellungen!$B$3,Einstellungen!$B$4)</f>
        <v>15.92</v>
      </c>
      <c r="E3994" s="14" t="str">
        <f aca="false">IF(C3994="","",C3994*D3994/100)</f>
        <v/>
      </c>
      <c r="F3994" s="15" t="str">
        <f aca="false">IF(B3994&lt;5,"Go","Standard")</f>
        <v>Go</v>
      </c>
    </row>
    <row r="3995" customFormat="false" ht="15" hidden="false" customHeight="true" outlineLevel="0" collapsed="false">
      <c r="A3995" s="10" t="n">
        <f aca="false">Einstellungen!$B$5+INT((ROW()-9)/24)</f>
        <v>46132</v>
      </c>
      <c r="B3995" s="11" t="n">
        <f aca="false">MOD(ROW()-9,24)</f>
        <v>2</v>
      </c>
      <c r="C3995" s="12"/>
      <c r="D3995" s="13" t="n">
        <f aca="false">IF(B3995&lt;5,Einstellungen!$B$3,Einstellungen!$B$4)</f>
        <v>15.92</v>
      </c>
      <c r="E3995" s="14" t="str">
        <f aca="false">IF(C3995="","",C3995*D3995/100)</f>
        <v/>
      </c>
      <c r="F3995" s="15" t="str">
        <f aca="false">IF(B3995&lt;5,"Go","Standard")</f>
        <v>Go</v>
      </c>
    </row>
    <row r="3996" customFormat="false" ht="15" hidden="false" customHeight="true" outlineLevel="0" collapsed="false">
      <c r="A3996" s="10" t="n">
        <f aca="false">Einstellungen!$B$5+INT((ROW()-9)/24)</f>
        <v>46132</v>
      </c>
      <c r="B3996" s="11" t="n">
        <f aca="false">MOD(ROW()-9,24)</f>
        <v>3</v>
      </c>
      <c r="C3996" s="12"/>
      <c r="D3996" s="13" t="n">
        <f aca="false">IF(B3996&lt;5,Einstellungen!$B$3,Einstellungen!$B$4)</f>
        <v>15.92</v>
      </c>
      <c r="E3996" s="14" t="str">
        <f aca="false">IF(C3996="","",C3996*D3996/100)</f>
        <v/>
      </c>
      <c r="F3996" s="15" t="str">
        <f aca="false">IF(B3996&lt;5,"Go","Standard")</f>
        <v>Go</v>
      </c>
    </row>
    <row r="3997" customFormat="false" ht="15" hidden="false" customHeight="true" outlineLevel="0" collapsed="false">
      <c r="A3997" s="10" t="n">
        <f aca="false">Einstellungen!$B$5+INT((ROW()-9)/24)</f>
        <v>46132</v>
      </c>
      <c r="B3997" s="11" t="n">
        <f aca="false">MOD(ROW()-9,24)</f>
        <v>4</v>
      </c>
      <c r="C3997" s="12"/>
      <c r="D3997" s="13" t="n">
        <f aca="false">IF(B3997&lt;5,Einstellungen!$B$3,Einstellungen!$B$4)</f>
        <v>15.92</v>
      </c>
      <c r="E3997" s="14" t="str">
        <f aca="false">IF(C3997="","",C3997*D3997/100)</f>
        <v/>
      </c>
      <c r="F3997" s="15" t="str">
        <f aca="false">IF(B3997&lt;5,"Go","Standard")</f>
        <v>Go</v>
      </c>
    </row>
    <row r="3998" customFormat="false" ht="15" hidden="false" customHeight="true" outlineLevel="0" collapsed="false">
      <c r="A3998" s="10" t="n">
        <f aca="false">Einstellungen!$B$5+INT((ROW()-9)/24)</f>
        <v>46132</v>
      </c>
      <c r="B3998" s="11" t="n">
        <f aca="false">MOD(ROW()-9,24)</f>
        <v>5</v>
      </c>
      <c r="C3998" s="12"/>
      <c r="D3998" s="13" t="n">
        <f aca="false">IF(B3998&lt;5,Einstellungen!$B$3,Einstellungen!$B$4)</f>
        <v>29.13</v>
      </c>
      <c r="E3998" s="14" t="str">
        <f aca="false">IF(C3998="","",C3998*D3998/100)</f>
        <v/>
      </c>
      <c r="F3998" s="15" t="str">
        <f aca="false">IF(B3998&lt;5,"Go","Standard")</f>
        <v>Standard</v>
      </c>
    </row>
    <row r="3999" customFormat="false" ht="15" hidden="false" customHeight="true" outlineLevel="0" collapsed="false">
      <c r="A3999" s="10" t="n">
        <f aca="false">Einstellungen!$B$5+INT((ROW()-9)/24)</f>
        <v>46132</v>
      </c>
      <c r="B3999" s="11" t="n">
        <f aca="false">MOD(ROW()-9,24)</f>
        <v>6</v>
      </c>
      <c r="C3999" s="12"/>
      <c r="D3999" s="13" t="n">
        <f aca="false">IF(B3999&lt;5,Einstellungen!$B$3,Einstellungen!$B$4)</f>
        <v>29.13</v>
      </c>
      <c r="E3999" s="14" t="str">
        <f aca="false">IF(C3999="","",C3999*D3999/100)</f>
        <v/>
      </c>
      <c r="F3999" s="15" t="str">
        <f aca="false">IF(B3999&lt;5,"Go","Standard")</f>
        <v>Standard</v>
      </c>
    </row>
    <row r="4000" customFormat="false" ht="15" hidden="false" customHeight="true" outlineLevel="0" collapsed="false">
      <c r="A4000" s="10" t="n">
        <f aca="false">Einstellungen!$B$5+INT((ROW()-9)/24)</f>
        <v>46132</v>
      </c>
      <c r="B4000" s="11" t="n">
        <f aca="false">MOD(ROW()-9,24)</f>
        <v>7</v>
      </c>
      <c r="C4000" s="12"/>
      <c r="D4000" s="13" t="n">
        <f aca="false">IF(B4000&lt;5,Einstellungen!$B$3,Einstellungen!$B$4)</f>
        <v>29.13</v>
      </c>
      <c r="E4000" s="14" t="str">
        <f aca="false">IF(C4000="","",C4000*D4000/100)</f>
        <v/>
      </c>
      <c r="F4000" s="15" t="str">
        <f aca="false">IF(B4000&lt;5,"Go","Standard")</f>
        <v>Standard</v>
      </c>
    </row>
    <row r="4001" customFormat="false" ht="15" hidden="false" customHeight="true" outlineLevel="0" collapsed="false">
      <c r="A4001" s="10" t="n">
        <f aca="false">Einstellungen!$B$5+INT((ROW()-9)/24)</f>
        <v>46132</v>
      </c>
      <c r="B4001" s="11" t="n">
        <f aca="false">MOD(ROW()-9,24)</f>
        <v>8</v>
      </c>
      <c r="C4001" s="12"/>
      <c r="D4001" s="13" t="n">
        <f aca="false">IF(B4001&lt;5,Einstellungen!$B$3,Einstellungen!$B$4)</f>
        <v>29.13</v>
      </c>
      <c r="E4001" s="14" t="str">
        <f aca="false">IF(C4001="","",C4001*D4001/100)</f>
        <v/>
      </c>
      <c r="F4001" s="15" t="str">
        <f aca="false">IF(B4001&lt;5,"Go","Standard")</f>
        <v>Standard</v>
      </c>
    </row>
    <row r="4002" customFormat="false" ht="15" hidden="false" customHeight="true" outlineLevel="0" collapsed="false">
      <c r="A4002" s="10" t="n">
        <f aca="false">Einstellungen!$B$5+INT((ROW()-9)/24)</f>
        <v>46132</v>
      </c>
      <c r="B4002" s="11" t="n">
        <f aca="false">MOD(ROW()-9,24)</f>
        <v>9</v>
      </c>
      <c r="C4002" s="12"/>
      <c r="D4002" s="13" t="n">
        <f aca="false">IF(B4002&lt;5,Einstellungen!$B$3,Einstellungen!$B$4)</f>
        <v>29.13</v>
      </c>
      <c r="E4002" s="14" t="str">
        <f aca="false">IF(C4002="","",C4002*D4002/100)</f>
        <v/>
      </c>
      <c r="F4002" s="15" t="str">
        <f aca="false">IF(B4002&lt;5,"Go","Standard")</f>
        <v>Standard</v>
      </c>
    </row>
    <row r="4003" customFormat="false" ht="15" hidden="false" customHeight="true" outlineLevel="0" collapsed="false">
      <c r="A4003" s="10" t="n">
        <f aca="false">Einstellungen!$B$5+INT((ROW()-9)/24)</f>
        <v>46132</v>
      </c>
      <c r="B4003" s="11" t="n">
        <f aca="false">MOD(ROW()-9,24)</f>
        <v>10</v>
      </c>
      <c r="C4003" s="12"/>
      <c r="D4003" s="13" t="n">
        <f aca="false">IF(B4003&lt;5,Einstellungen!$B$3,Einstellungen!$B$4)</f>
        <v>29.13</v>
      </c>
      <c r="E4003" s="14" t="str">
        <f aca="false">IF(C4003="","",C4003*D4003/100)</f>
        <v/>
      </c>
      <c r="F4003" s="15" t="str">
        <f aca="false">IF(B4003&lt;5,"Go","Standard")</f>
        <v>Standard</v>
      </c>
    </row>
    <row r="4004" customFormat="false" ht="15" hidden="false" customHeight="true" outlineLevel="0" collapsed="false">
      <c r="A4004" s="10" t="n">
        <f aca="false">Einstellungen!$B$5+INT((ROW()-9)/24)</f>
        <v>46132</v>
      </c>
      <c r="B4004" s="11" t="n">
        <f aca="false">MOD(ROW()-9,24)</f>
        <v>11</v>
      </c>
      <c r="C4004" s="12"/>
      <c r="D4004" s="13" t="n">
        <f aca="false">IF(B4004&lt;5,Einstellungen!$B$3,Einstellungen!$B$4)</f>
        <v>29.13</v>
      </c>
      <c r="E4004" s="14" t="str">
        <f aca="false">IF(C4004="","",C4004*D4004/100)</f>
        <v/>
      </c>
      <c r="F4004" s="15" t="str">
        <f aca="false">IF(B4004&lt;5,"Go","Standard")</f>
        <v>Standard</v>
      </c>
    </row>
    <row r="4005" customFormat="false" ht="15" hidden="false" customHeight="true" outlineLevel="0" collapsed="false">
      <c r="A4005" s="10" t="n">
        <f aca="false">Einstellungen!$B$5+INT((ROW()-9)/24)</f>
        <v>46132</v>
      </c>
      <c r="B4005" s="11" t="n">
        <f aca="false">MOD(ROW()-9,24)</f>
        <v>12</v>
      </c>
      <c r="C4005" s="12"/>
      <c r="D4005" s="13" t="n">
        <f aca="false">IF(B4005&lt;5,Einstellungen!$B$3,Einstellungen!$B$4)</f>
        <v>29.13</v>
      </c>
      <c r="E4005" s="14" t="str">
        <f aca="false">IF(C4005="","",C4005*D4005/100)</f>
        <v/>
      </c>
      <c r="F4005" s="15" t="str">
        <f aca="false">IF(B4005&lt;5,"Go","Standard")</f>
        <v>Standard</v>
      </c>
    </row>
    <row r="4006" customFormat="false" ht="15" hidden="false" customHeight="true" outlineLevel="0" collapsed="false">
      <c r="A4006" s="10" t="n">
        <f aca="false">Einstellungen!$B$5+INT((ROW()-9)/24)</f>
        <v>46132</v>
      </c>
      <c r="B4006" s="11" t="n">
        <f aca="false">MOD(ROW()-9,24)</f>
        <v>13</v>
      </c>
      <c r="C4006" s="12"/>
      <c r="D4006" s="13" t="n">
        <f aca="false">IF(B4006&lt;5,Einstellungen!$B$3,Einstellungen!$B$4)</f>
        <v>29.13</v>
      </c>
      <c r="E4006" s="14" t="str">
        <f aca="false">IF(C4006="","",C4006*D4006/100)</f>
        <v/>
      </c>
      <c r="F4006" s="15" t="str">
        <f aca="false">IF(B4006&lt;5,"Go","Standard")</f>
        <v>Standard</v>
      </c>
    </row>
    <row r="4007" customFormat="false" ht="15" hidden="false" customHeight="true" outlineLevel="0" collapsed="false">
      <c r="A4007" s="10" t="n">
        <f aca="false">Einstellungen!$B$5+INT((ROW()-9)/24)</f>
        <v>46132</v>
      </c>
      <c r="B4007" s="11" t="n">
        <f aca="false">MOD(ROW()-9,24)</f>
        <v>14</v>
      </c>
      <c r="C4007" s="12"/>
      <c r="D4007" s="13" t="n">
        <f aca="false">IF(B4007&lt;5,Einstellungen!$B$3,Einstellungen!$B$4)</f>
        <v>29.13</v>
      </c>
      <c r="E4007" s="14" t="str">
        <f aca="false">IF(C4007="","",C4007*D4007/100)</f>
        <v/>
      </c>
      <c r="F4007" s="15" t="str">
        <f aca="false">IF(B4007&lt;5,"Go","Standard")</f>
        <v>Standard</v>
      </c>
    </row>
    <row r="4008" customFormat="false" ht="15" hidden="false" customHeight="true" outlineLevel="0" collapsed="false">
      <c r="A4008" s="10" t="n">
        <f aca="false">Einstellungen!$B$5+INT((ROW()-9)/24)</f>
        <v>46132</v>
      </c>
      <c r="B4008" s="11" t="n">
        <f aca="false">MOD(ROW()-9,24)</f>
        <v>15</v>
      </c>
      <c r="C4008" s="12"/>
      <c r="D4008" s="13" t="n">
        <f aca="false">IF(B4008&lt;5,Einstellungen!$B$3,Einstellungen!$B$4)</f>
        <v>29.13</v>
      </c>
      <c r="E4008" s="14" t="str">
        <f aca="false">IF(C4008="","",C4008*D4008/100)</f>
        <v/>
      </c>
      <c r="F4008" s="15" t="str">
        <f aca="false">IF(B4008&lt;5,"Go","Standard")</f>
        <v>Standard</v>
      </c>
    </row>
    <row r="4009" customFormat="false" ht="15" hidden="false" customHeight="true" outlineLevel="0" collapsed="false">
      <c r="A4009" s="10" t="n">
        <f aca="false">Einstellungen!$B$5+INT((ROW()-9)/24)</f>
        <v>46132</v>
      </c>
      <c r="B4009" s="11" t="n">
        <f aca="false">MOD(ROW()-9,24)</f>
        <v>16</v>
      </c>
      <c r="C4009" s="12"/>
      <c r="D4009" s="13" t="n">
        <f aca="false">IF(B4009&lt;5,Einstellungen!$B$3,Einstellungen!$B$4)</f>
        <v>29.13</v>
      </c>
      <c r="E4009" s="14" t="str">
        <f aca="false">IF(C4009="","",C4009*D4009/100)</f>
        <v/>
      </c>
      <c r="F4009" s="15" t="str">
        <f aca="false">IF(B4009&lt;5,"Go","Standard")</f>
        <v>Standard</v>
      </c>
    </row>
    <row r="4010" customFormat="false" ht="15" hidden="false" customHeight="true" outlineLevel="0" collapsed="false">
      <c r="A4010" s="10" t="n">
        <f aca="false">Einstellungen!$B$5+INT((ROW()-9)/24)</f>
        <v>46132</v>
      </c>
      <c r="B4010" s="11" t="n">
        <f aca="false">MOD(ROW()-9,24)</f>
        <v>17</v>
      </c>
      <c r="C4010" s="12"/>
      <c r="D4010" s="13" t="n">
        <f aca="false">IF(B4010&lt;5,Einstellungen!$B$3,Einstellungen!$B$4)</f>
        <v>29.13</v>
      </c>
      <c r="E4010" s="14" t="str">
        <f aca="false">IF(C4010="","",C4010*D4010/100)</f>
        <v/>
      </c>
      <c r="F4010" s="15" t="str">
        <f aca="false">IF(B4010&lt;5,"Go","Standard")</f>
        <v>Standard</v>
      </c>
    </row>
    <row r="4011" customFormat="false" ht="15" hidden="false" customHeight="true" outlineLevel="0" collapsed="false">
      <c r="A4011" s="10" t="n">
        <f aca="false">Einstellungen!$B$5+INT((ROW()-9)/24)</f>
        <v>46132</v>
      </c>
      <c r="B4011" s="11" t="n">
        <f aca="false">MOD(ROW()-9,24)</f>
        <v>18</v>
      </c>
      <c r="C4011" s="12"/>
      <c r="D4011" s="13" t="n">
        <f aca="false">IF(B4011&lt;5,Einstellungen!$B$3,Einstellungen!$B$4)</f>
        <v>29.13</v>
      </c>
      <c r="E4011" s="14" t="str">
        <f aca="false">IF(C4011="","",C4011*D4011/100)</f>
        <v/>
      </c>
      <c r="F4011" s="15" t="str">
        <f aca="false">IF(B4011&lt;5,"Go","Standard")</f>
        <v>Standard</v>
      </c>
    </row>
    <row r="4012" customFormat="false" ht="15" hidden="false" customHeight="true" outlineLevel="0" collapsed="false">
      <c r="A4012" s="10" t="n">
        <f aca="false">Einstellungen!$B$5+INT((ROW()-9)/24)</f>
        <v>46132</v>
      </c>
      <c r="B4012" s="11" t="n">
        <f aca="false">MOD(ROW()-9,24)</f>
        <v>19</v>
      </c>
      <c r="C4012" s="12"/>
      <c r="D4012" s="13" t="n">
        <f aca="false">IF(B4012&lt;5,Einstellungen!$B$3,Einstellungen!$B$4)</f>
        <v>29.13</v>
      </c>
      <c r="E4012" s="14" t="str">
        <f aca="false">IF(C4012="","",C4012*D4012/100)</f>
        <v/>
      </c>
      <c r="F4012" s="15" t="str">
        <f aca="false">IF(B4012&lt;5,"Go","Standard")</f>
        <v>Standard</v>
      </c>
    </row>
    <row r="4013" customFormat="false" ht="15" hidden="false" customHeight="true" outlineLevel="0" collapsed="false">
      <c r="A4013" s="10" t="n">
        <f aca="false">Einstellungen!$B$5+INT((ROW()-9)/24)</f>
        <v>46132</v>
      </c>
      <c r="B4013" s="11" t="n">
        <f aca="false">MOD(ROW()-9,24)</f>
        <v>20</v>
      </c>
      <c r="C4013" s="12"/>
      <c r="D4013" s="13" t="n">
        <f aca="false">IF(B4013&lt;5,Einstellungen!$B$3,Einstellungen!$B$4)</f>
        <v>29.13</v>
      </c>
      <c r="E4013" s="14" t="str">
        <f aca="false">IF(C4013="","",C4013*D4013/100)</f>
        <v/>
      </c>
      <c r="F4013" s="15" t="str">
        <f aca="false">IF(B4013&lt;5,"Go","Standard")</f>
        <v>Standard</v>
      </c>
    </row>
    <row r="4014" customFormat="false" ht="15" hidden="false" customHeight="true" outlineLevel="0" collapsed="false">
      <c r="A4014" s="10" t="n">
        <f aca="false">Einstellungen!$B$5+INT((ROW()-9)/24)</f>
        <v>46132</v>
      </c>
      <c r="B4014" s="11" t="n">
        <f aca="false">MOD(ROW()-9,24)</f>
        <v>21</v>
      </c>
      <c r="C4014" s="12"/>
      <c r="D4014" s="13" t="n">
        <f aca="false">IF(B4014&lt;5,Einstellungen!$B$3,Einstellungen!$B$4)</f>
        <v>29.13</v>
      </c>
      <c r="E4014" s="14" t="str">
        <f aca="false">IF(C4014="","",C4014*D4014/100)</f>
        <v/>
      </c>
      <c r="F4014" s="15" t="str">
        <f aca="false">IF(B4014&lt;5,"Go","Standard")</f>
        <v>Standard</v>
      </c>
    </row>
    <row r="4015" customFormat="false" ht="15" hidden="false" customHeight="true" outlineLevel="0" collapsed="false">
      <c r="A4015" s="10" t="n">
        <f aca="false">Einstellungen!$B$5+INT((ROW()-9)/24)</f>
        <v>46132</v>
      </c>
      <c r="B4015" s="11" t="n">
        <f aca="false">MOD(ROW()-9,24)</f>
        <v>22</v>
      </c>
      <c r="C4015" s="12"/>
      <c r="D4015" s="13" t="n">
        <f aca="false">IF(B4015&lt;5,Einstellungen!$B$3,Einstellungen!$B$4)</f>
        <v>29.13</v>
      </c>
      <c r="E4015" s="14" t="str">
        <f aca="false">IF(C4015="","",C4015*D4015/100)</f>
        <v/>
      </c>
      <c r="F4015" s="15" t="str">
        <f aca="false">IF(B4015&lt;5,"Go","Standard")</f>
        <v>Standard</v>
      </c>
    </row>
    <row r="4016" customFormat="false" ht="15" hidden="false" customHeight="true" outlineLevel="0" collapsed="false">
      <c r="A4016" s="10" t="n">
        <f aca="false">Einstellungen!$B$5+INT((ROW()-9)/24)</f>
        <v>46132</v>
      </c>
      <c r="B4016" s="11" t="n">
        <f aca="false">MOD(ROW()-9,24)</f>
        <v>23</v>
      </c>
      <c r="C4016" s="12"/>
      <c r="D4016" s="13" t="n">
        <f aca="false">IF(B4016&lt;5,Einstellungen!$B$3,Einstellungen!$B$4)</f>
        <v>29.13</v>
      </c>
      <c r="E4016" s="14" t="str">
        <f aca="false">IF(C4016="","",C4016*D4016/100)</f>
        <v/>
      </c>
      <c r="F4016" s="15" t="str">
        <f aca="false">IF(B4016&lt;5,"Go","Standard")</f>
        <v>Standard</v>
      </c>
    </row>
    <row r="4017" customFormat="false" ht="15" hidden="false" customHeight="true" outlineLevel="0" collapsed="false">
      <c r="A4017" s="10" t="n">
        <f aca="false">Einstellungen!$B$5+INT((ROW()-9)/24)</f>
        <v>46133</v>
      </c>
      <c r="B4017" s="11" t="n">
        <f aca="false">MOD(ROW()-9,24)</f>
        <v>0</v>
      </c>
      <c r="C4017" s="12"/>
      <c r="D4017" s="13" t="n">
        <f aca="false">IF(B4017&lt;5,Einstellungen!$B$3,Einstellungen!$B$4)</f>
        <v>15.92</v>
      </c>
      <c r="E4017" s="14" t="str">
        <f aca="false">IF(C4017="","",C4017*D4017/100)</f>
        <v/>
      </c>
      <c r="F4017" s="15" t="str">
        <f aca="false">IF(B4017&lt;5,"Go","Standard")</f>
        <v>Go</v>
      </c>
    </row>
    <row r="4018" customFormat="false" ht="15" hidden="false" customHeight="true" outlineLevel="0" collapsed="false">
      <c r="A4018" s="10" t="n">
        <f aca="false">Einstellungen!$B$5+INT((ROW()-9)/24)</f>
        <v>46133</v>
      </c>
      <c r="B4018" s="11" t="n">
        <f aca="false">MOD(ROW()-9,24)</f>
        <v>1</v>
      </c>
      <c r="C4018" s="12"/>
      <c r="D4018" s="13" t="n">
        <f aca="false">IF(B4018&lt;5,Einstellungen!$B$3,Einstellungen!$B$4)</f>
        <v>15.92</v>
      </c>
      <c r="E4018" s="14" t="str">
        <f aca="false">IF(C4018="","",C4018*D4018/100)</f>
        <v/>
      </c>
      <c r="F4018" s="15" t="str">
        <f aca="false">IF(B4018&lt;5,"Go","Standard")</f>
        <v>Go</v>
      </c>
    </row>
    <row r="4019" customFormat="false" ht="15" hidden="false" customHeight="true" outlineLevel="0" collapsed="false">
      <c r="A4019" s="10" t="n">
        <f aca="false">Einstellungen!$B$5+INT((ROW()-9)/24)</f>
        <v>46133</v>
      </c>
      <c r="B4019" s="11" t="n">
        <f aca="false">MOD(ROW()-9,24)</f>
        <v>2</v>
      </c>
      <c r="C4019" s="12"/>
      <c r="D4019" s="13" t="n">
        <f aca="false">IF(B4019&lt;5,Einstellungen!$B$3,Einstellungen!$B$4)</f>
        <v>15.92</v>
      </c>
      <c r="E4019" s="14" t="str">
        <f aca="false">IF(C4019="","",C4019*D4019/100)</f>
        <v/>
      </c>
      <c r="F4019" s="15" t="str">
        <f aca="false">IF(B4019&lt;5,"Go","Standard")</f>
        <v>Go</v>
      </c>
    </row>
    <row r="4020" customFormat="false" ht="15" hidden="false" customHeight="true" outlineLevel="0" collapsed="false">
      <c r="A4020" s="10" t="n">
        <f aca="false">Einstellungen!$B$5+INT((ROW()-9)/24)</f>
        <v>46133</v>
      </c>
      <c r="B4020" s="11" t="n">
        <f aca="false">MOD(ROW()-9,24)</f>
        <v>3</v>
      </c>
      <c r="C4020" s="12"/>
      <c r="D4020" s="13" t="n">
        <f aca="false">IF(B4020&lt;5,Einstellungen!$B$3,Einstellungen!$B$4)</f>
        <v>15.92</v>
      </c>
      <c r="E4020" s="14" t="str">
        <f aca="false">IF(C4020="","",C4020*D4020/100)</f>
        <v/>
      </c>
      <c r="F4020" s="15" t="str">
        <f aca="false">IF(B4020&lt;5,"Go","Standard")</f>
        <v>Go</v>
      </c>
    </row>
    <row r="4021" customFormat="false" ht="15" hidden="false" customHeight="true" outlineLevel="0" collapsed="false">
      <c r="A4021" s="10" t="n">
        <f aca="false">Einstellungen!$B$5+INT((ROW()-9)/24)</f>
        <v>46133</v>
      </c>
      <c r="B4021" s="11" t="n">
        <f aca="false">MOD(ROW()-9,24)</f>
        <v>4</v>
      </c>
      <c r="C4021" s="12"/>
      <c r="D4021" s="13" t="n">
        <f aca="false">IF(B4021&lt;5,Einstellungen!$B$3,Einstellungen!$B$4)</f>
        <v>15.92</v>
      </c>
      <c r="E4021" s="14" t="str">
        <f aca="false">IF(C4021="","",C4021*D4021/100)</f>
        <v/>
      </c>
      <c r="F4021" s="15" t="str">
        <f aca="false">IF(B4021&lt;5,"Go","Standard")</f>
        <v>Go</v>
      </c>
    </row>
    <row r="4022" customFormat="false" ht="15" hidden="false" customHeight="true" outlineLevel="0" collapsed="false">
      <c r="A4022" s="10" t="n">
        <f aca="false">Einstellungen!$B$5+INT((ROW()-9)/24)</f>
        <v>46133</v>
      </c>
      <c r="B4022" s="11" t="n">
        <f aca="false">MOD(ROW()-9,24)</f>
        <v>5</v>
      </c>
      <c r="C4022" s="12"/>
      <c r="D4022" s="13" t="n">
        <f aca="false">IF(B4022&lt;5,Einstellungen!$B$3,Einstellungen!$B$4)</f>
        <v>29.13</v>
      </c>
      <c r="E4022" s="14" t="str">
        <f aca="false">IF(C4022="","",C4022*D4022/100)</f>
        <v/>
      </c>
      <c r="F4022" s="15" t="str">
        <f aca="false">IF(B4022&lt;5,"Go","Standard")</f>
        <v>Standard</v>
      </c>
    </row>
    <row r="4023" customFormat="false" ht="15" hidden="false" customHeight="true" outlineLevel="0" collapsed="false">
      <c r="A4023" s="10" t="n">
        <f aca="false">Einstellungen!$B$5+INT((ROW()-9)/24)</f>
        <v>46133</v>
      </c>
      <c r="B4023" s="11" t="n">
        <f aca="false">MOD(ROW()-9,24)</f>
        <v>6</v>
      </c>
      <c r="C4023" s="12"/>
      <c r="D4023" s="13" t="n">
        <f aca="false">IF(B4023&lt;5,Einstellungen!$B$3,Einstellungen!$B$4)</f>
        <v>29.13</v>
      </c>
      <c r="E4023" s="14" t="str">
        <f aca="false">IF(C4023="","",C4023*D4023/100)</f>
        <v/>
      </c>
      <c r="F4023" s="15" t="str">
        <f aca="false">IF(B4023&lt;5,"Go","Standard")</f>
        <v>Standard</v>
      </c>
    </row>
    <row r="4024" customFormat="false" ht="15" hidden="false" customHeight="true" outlineLevel="0" collapsed="false">
      <c r="A4024" s="10" t="n">
        <f aca="false">Einstellungen!$B$5+INT((ROW()-9)/24)</f>
        <v>46133</v>
      </c>
      <c r="B4024" s="11" t="n">
        <f aca="false">MOD(ROW()-9,24)</f>
        <v>7</v>
      </c>
      <c r="C4024" s="12"/>
      <c r="D4024" s="13" t="n">
        <f aca="false">IF(B4024&lt;5,Einstellungen!$B$3,Einstellungen!$B$4)</f>
        <v>29.13</v>
      </c>
      <c r="E4024" s="14" t="str">
        <f aca="false">IF(C4024="","",C4024*D4024/100)</f>
        <v/>
      </c>
      <c r="F4024" s="15" t="str">
        <f aca="false">IF(B4024&lt;5,"Go","Standard")</f>
        <v>Standard</v>
      </c>
    </row>
    <row r="4025" customFormat="false" ht="15" hidden="false" customHeight="true" outlineLevel="0" collapsed="false">
      <c r="A4025" s="10" t="n">
        <f aca="false">Einstellungen!$B$5+INT((ROW()-9)/24)</f>
        <v>46133</v>
      </c>
      <c r="B4025" s="11" t="n">
        <f aca="false">MOD(ROW()-9,24)</f>
        <v>8</v>
      </c>
      <c r="C4025" s="12"/>
      <c r="D4025" s="13" t="n">
        <f aca="false">IF(B4025&lt;5,Einstellungen!$B$3,Einstellungen!$B$4)</f>
        <v>29.13</v>
      </c>
      <c r="E4025" s="14" t="str">
        <f aca="false">IF(C4025="","",C4025*D4025/100)</f>
        <v/>
      </c>
      <c r="F4025" s="15" t="str">
        <f aca="false">IF(B4025&lt;5,"Go","Standard")</f>
        <v>Standard</v>
      </c>
    </row>
    <row r="4026" customFormat="false" ht="15" hidden="false" customHeight="true" outlineLevel="0" collapsed="false">
      <c r="A4026" s="10" t="n">
        <f aca="false">Einstellungen!$B$5+INT((ROW()-9)/24)</f>
        <v>46133</v>
      </c>
      <c r="B4026" s="11" t="n">
        <f aca="false">MOD(ROW()-9,24)</f>
        <v>9</v>
      </c>
      <c r="C4026" s="12"/>
      <c r="D4026" s="13" t="n">
        <f aca="false">IF(B4026&lt;5,Einstellungen!$B$3,Einstellungen!$B$4)</f>
        <v>29.13</v>
      </c>
      <c r="E4026" s="14" t="str">
        <f aca="false">IF(C4026="","",C4026*D4026/100)</f>
        <v/>
      </c>
      <c r="F4026" s="15" t="str">
        <f aca="false">IF(B4026&lt;5,"Go","Standard")</f>
        <v>Standard</v>
      </c>
    </row>
    <row r="4027" customFormat="false" ht="15" hidden="false" customHeight="true" outlineLevel="0" collapsed="false">
      <c r="A4027" s="10" t="n">
        <f aca="false">Einstellungen!$B$5+INT((ROW()-9)/24)</f>
        <v>46133</v>
      </c>
      <c r="B4027" s="11" t="n">
        <f aca="false">MOD(ROW()-9,24)</f>
        <v>10</v>
      </c>
      <c r="C4027" s="12"/>
      <c r="D4027" s="13" t="n">
        <f aca="false">IF(B4027&lt;5,Einstellungen!$B$3,Einstellungen!$B$4)</f>
        <v>29.13</v>
      </c>
      <c r="E4027" s="14" t="str">
        <f aca="false">IF(C4027="","",C4027*D4027/100)</f>
        <v/>
      </c>
      <c r="F4027" s="15" t="str">
        <f aca="false">IF(B4027&lt;5,"Go","Standard")</f>
        <v>Standard</v>
      </c>
    </row>
    <row r="4028" customFormat="false" ht="15" hidden="false" customHeight="true" outlineLevel="0" collapsed="false">
      <c r="A4028" s="10" t="n">
        <f aca="false">Einstellungen!$B$5+INT((ROW()-9)/24)</f>
        <v>46133</v>
      </c>
      <c r="B4028" s="11" t="n">
        <f aca="false">MOD(ROW()-9,24)</f>
        <v>11</v>
      </c>
      <c r="C4028" s="12"/>
      <c r="D4028" s="13" t="n">
        <f aca="false">IF(B4028&lt;5,Einstellungen!$B$3,Einstellungen!$B$4)</f>
        <v>29.13</v>
      </c>
      <c r="E4028" s="14" t="str">
        <f aca="false">IF(C4028="","",C4028*D4028/100)</f>
        <v/>
      </c>
      <c r="F4028" s="15" t="str">
        <f aca="false">IF(B4028&lt;5,"Go","Standard")</f>
        <v>Standard</v>
      </c>
    </row>
    <row r="4029" customFormat="false" ht="15" hidden="false" customHeight="true" outlineLevel="0" collapsed="false">
      <c r="A4029" s="10" t="n">
        <f aca="false">Einstellungen!$B$5+INT((ROW()-9)/24)</f>
        <v>46133</v>
      </c>
      <c r="B4029" s="11" t="n">
        <f aca="false">MOD(ROW()-9,24)</f>
        <v>12</v>
      </c>
      <c r="C4029" s="12"/>
      <c r="D4029" s="13" t="n">
        <f aca="false">IF(B4029&lt;5,Einstellungen!$B$3,Einstellungen!$B$4)</f>
        <v>29.13</v>
      </c>
      <c r="E4029" s="14" t="str">
        <f aca="false">IF(C4029="","",C4029*D4029/100)</f>
        <v/>
      </c>
      <c r="F4029" s="15" t="str">
        <f aca="false">IF(B4029&lt;5,"Go","Standard")</f>
        <v>Standard</v>
      </c>
    </row>
    <row r="4030" customFormat="false" ht="15" hidden="false" customHeight="true" outlineLevel="0" collapsed="false">
      <c r="A4030" s="10" t="n">
        <f aca="false">Einstellungen!$B$5+INT((ROW()-9)/24)</f>
        <v>46133</v>
      </c>
      <c r="B4030" s="11" t="n">
        <f aca="false">MOD(ROW()-9,24)</f>
        <v>13</v>
      </c>
      <c r="C4030" s="12"/>
      <c r="D4030" s="13" t="n">
        <f aca="false">IF(B4030&lt;5,Einstellungen!$B$3,Einstellungen!$B$4)</f>
        <v>29.13</v>
      </c>
      <c r="E4030" s="14" t="str">
        <f aca="false">IF(C4030="","",C4030*D4030/100)</f>
        <v/>
      </c>
      <c r="F4030" s="15" t="str">
        <f aca="false">IF(B4030&lt;5,"Go","Standard")</f>
        <v>Standard</v>
      </c>
    </row>
    <row r="4031" customFormat="false" ht="15" hidden="false" customHeight="true" outlineLevel="0" collapsed="false">
      <c r="A4031" s="10" t="n">
        <f aca="false">Einstellungen!$B$5+INT((ROW()-9)/24)</f>
        <v>46133</v>
      </c>
      <c r="B4031" s="11" t="n">
        <f aca="false">MOD(ROW()-9,24)</f>
        <v>14</v>
      </c>
      <c r="C4031" s="12"/>
      <c r="D4031" s="13" t="n">
        <f aca="false">IF(B4031&lt;5,Einstellungen!$B$3,Einstellungen!$B$4)</f>
        <v>29.13</v>
      </c>
      <c r="E4031" s="14" t="str">
        <f aca="false">IF(C4031="","",C4031*D4031/100)</f>
        <v/>
      </c>
      <c r="F4031" s="15" t="str">
        <f aca="false">IF(B4031&lt;5,"Go","Standard")</f>
        <v>Standard</v>
      </c>
    </row>
    <row r="4032" customFormat="false" ht="15" hidden="false" customHeight="true" outlineLevel="0" collapsed="false">
      <c r="A4032" s="10" t="n">
        <f aca="false">Einstellungen!$B$5+INT((ROW()-9)/24)</f>
        <v>46133</v>
      </c>
      <c r="B4032" s="11" t="n">
        <f aca="false">MOD(ROW()-9,24)</f>
        <v>15</v>
      </c>
      <c r="C4032" s="12"/>
      <c r="D4032" s="13" t="n">
        <f aca="false">IF(B4032&lt;5,Einstellungen!$B$3,Einstellungen!$B$4)</f>
        <v>29.13</v>
      </c>
      <c r="E4032" s="14" t="str">
        <f aca="false">IF(C4032="","",C4032*D4032/100)</f>
        <v/>
      </c>
      <c r="F4032" s="15" t="str">
        <f aca="false">IF(B4032&lt;5,"Go","Standard")</f>
        <v>Standard</v>
      </c>
    </row>
    <row r="4033" customFormat="false" ht="15" hidden="false" customHeight="true" outlineLevel="0" collapsed="false">
      <c r="A4033" s="10" t="n">
        <f aca="false">Einstellungen!$B$5+INT((ROW()-9)/24)</f>
        <v>46133</v>
      </c>
      <c r="B4033" s="11" t="n">
        <f aca="false">MOD(ROW()-9,24)</f>
        <v>16</v>
      </c>
      <c r="C4033" s="12"/>
      <c r="D4033" s="13" t="n">
        <f aca="false">IF(B4033&lt;5,Einstellungen!$B$3,Einstellungen!$B$4)</f>
        <v>29.13</v>
      </c>
      <c r="E4033" s="14" t="str">
        <f aca="false">IF(C4033="","",C4033*D4033/100)</f>
        <v/>
      </c>
      <c r="F4033" s="15" t="str">
        <f aca="false">IF(B4033&lt;5,"Go","Standard")</f>
        <v>Standard</v>
      </c>
    </row>
    <row r="4034" customFormat="false" ht="15" hidden="false" customHeight="true" outlineLevel="0" collapsed="false">
      <c r="A4034" s="10" t="n">
        <f aca="false">Einstellungen!$B$5+INT((ROW()-9)/24)</f>
        <v>46133</v>
      </c>
      <c r="B4034" s="11" t="n">
        <f aca="false">MOD(ROW()-9,24)</f>
        <v>17</v>
      </c>
      <c r="C4034" s="12"/>
      <c r="D4034" s="13" t="n">
        <f aca="false">IF(B4034&lt;5,Einstellungen!$B$3,Einstellungen!$B$4)</f>
        <v>29.13</v>
      </c>
      <c r="E4034" s="14" t="str">
        <f aca="false">IF(C4034="","",C4034*D4034/100)</f>
        <v/>
      </c>
      <c r="F4034" s="15" t="str">
        <f aca="false">IF(B4034&lt;5,"Go","Standard")</f>
        <v>Standard</v>
      </c>
    </row>
    <row r="4035" customFormat="false" ht="15" hidden="false" customHeight="true" outlineLevel="0" collapsed="false">
      <c r="A4035" s="10" t="n">
        <f aca="false">Einstellungen!$B$5+INT((ROW()-9)/24)</f>
        <v>46133</v>
      </c>
      <c r="B4035" s="11" t="n">
        <f aca="false">MOD(ROW()-9,24)</f>
        <v>18</v>
      </c>
      <c r="C4035" s="12"/>
      <c r="D4035" s="13" t="n">
        <f aca="false">IF(B4035&lt;5,Einstellungen!$B$3,Einstellungen!$B$4)</f>
        <v>29.13</v>
      </c>
      <c r="E4035" s="14" t="str">
        <f aca="false">IF(C4035="","",C4035*D4035/100)</f>
        <v/>
      </c>
      <c r="F4035" s="15" t="str">
        <f aca="false">IF(B4035&lt;5,"Go","Standard")</f>
        <v>Standard</v>
      </c>
    </row>
    <row r="4036" customFormat="false" ht="15" hidden="false" customHeight="true" outlineLevel="0" collapsed="false">
      <c r="A4036" s="10" t="n">
        <f aca="false">Einstellungen!$B$5+INT((ROW()-9)/24)</f>
        <v>46133</v>
      </c>
      <c r="B4036" s="11" t="n">
        <f aca="false">MOD(ROW()-9,24)</f>
        <v>19</v>
      </c>
      <c r="C4036" s="12"/>
      <c r="D4036" s="13" t="n">
        <f aca="false">IF(B4036&lt;5,Einstellungen!$B$3,Einstellungen!$B$4)</f>
        <v>29.13</v>
      </c>
      <c r="E4036" s="14" t="str">
        <f aca="false">IF(C4036="","",C4036*D4036/100)</f>
        <v/>
      </c>
      <c r="F4036" s="15" t="str">
        <f aca="false">IF(B4036&lt;5,"Go","Standard")</f>
        <v>Standard</v>
      </c>
    </row>
    <row r="4037" customFormat="false" ht="15" hidden="false" customHeight="true" outlineLevel="0" collapsed="false">
      <c r="A4037" s="10" t="n">
        <f aca="false">Einstellungen!$B$5+INT((ROW()-9)/24)</f>
        <v>46133</v>
      </c>
      <c r="B4037" s="11" t="n">
        <f aca="false">MOD(ROW()-9,24)</f>
        <v>20</v>
      </c>
      <c r="C4037" s="12"/>
      <c r="D4037" s="13" t="n">
        <f aca="false">IF(B4037&lt;5,Einstellungen!$B$3,Einstellungen!$B$4)</f>
        <v>29.13</v>
      </c>
      <c r="E4037" s="14" t="str">
        <f aca="false">IF(C4037="","",C4037*D4037/100)</f>
        <v/>
      </c>
      <c r="F4037" s="15" t="str">
        <f aca="false">IF(B4037&lt;5,"Go","Standard")</f>
        <v>Standard</v>
      </c>
    </row>
    <row r="4038" customFormat="false" ht="15" hidden="false" customHeight="true" outlineLevel="0" collapsed="false">
      <c r="A4038" s="10" t="n">
        <f aca="false">Einstellungen!$B$5+INT((ROW()-9)/24)</f>
        <v>46133</v>
      </c>
      <c r="B4038" s="11" t="n">
        <f aca="false">MOD(ROW()-9,24)</f>
        <v>21</v>
      </c>
      <c r="C4038" s="12"/>
      <c r="D4038" s="13" t="n">
        <f aca="false">IF(B4038&lt;5,Einstellungen!$B$3,Einstellungen!$B$4)</f>
        <v>29.13</v>
      </c>
      <c r="E4038" s="14" t="str">
        <f aca="false">IF(C4038="","",C4038*D4038/100)</f>
        <v/>
      </c>
      <c r="F4038" s="15" t="str">
        <f aca="false">IF(B4038&lt;5,"Go","Standard")</f>
        <v>Standard</v>
      </c>
    </row>
    <row r="4039" customFormat="false" ht="15" hidden="false" customHeight="true" outlineLevel="0" collapsed="false">
      <c r="A4039" s="10" t="n">
        <f aca="false">Einstellungen!$B$5+INT((ROW()-9)/24)</f>
        <v>46133</v>
      </c>
      <c r="B4039" s="11" t="n">
        <f aca="false">MOD(ROW()-9,24)</f>
        <v>22</v>
      </c>
      <c r="C4039" s="12"/>
      <c r="D4039" s="13" t="n">
        <f aca="false">IF(B4039&lt;5,Einstellungen!$B$3,Einstellungen!$B$4)</f>
        <v>29.13</v>
      </c>
      <c r="E4039" s="14" t="str">
        <f aca="false">IF(C4039="","",C4039*D4039/100)</f>
        <v/>
      </c>
      <c r="F4039" s="15" t="str">
        <f aca="false">IF(B4039&lt;5,"Go","Standard")</f>
        <v>Standard</v>
      </c>
    </row>
    <row r="4040" customFormat="false" ht="15" hidden="false" customHeight="true" outlineLevel="0" collapsed="false">
      <c r="A4040" s="10" t="n">
        <f aca="false">Einstellungen!$B$5+INT((ROW()-9)/24)</f>
        <v>46133</v>
      </c>
      <c r="B4040" s="11" t="n">
        <f aca="false">MOD(ROW()-9,24)</f>
        <v>23</v>
      </c>
      <c r="C4040" s="12"/>
      <c r="D4040" s="13" t="n">
        <f aca="false">IF(B4040&lt;5,Einstellungen!$B$3,Einstellungen!$B$4)</f>
        <v>29.13</v>
      </c>
      <c r="E4040" s="14" t="str">
        <f aca="false">IF(C4040="","",C4040*D4040/100)</f>
        <v/>
      </c>
      <c r="F4040" s="15" t="str">
        <f aca="false">IF(B4040&lt;5,"Go","Standard")</f>
        <v>Standard</v>
      </c>
    </row>
    <row r="4041" customFormat="false" ht="15" hidden="false" customHeight="true" outlineLevel="0" collapsed="false">
      <c r="A4041" s="10" t="n">
        <f aca="false">Einstellungen!$B$5+INT((ROW()-9)/24)</f>
        <v>46134</v>
      </c>
      <c r="B4041" s="11" t="n">
        <f aca="false">MOD(ROW()-9,24)</f>
        <v>0</v>
      </c>
      <c r="C4041" s="12"/>
      <c r="D4041" s="13" t="n">
        <f aca="false">IF(B4041&lt;5,Einstellungen!$B$3,Einstellungen!$B$4)</f>
        <v>15.92</v>
      </c>
      <c r="E4041" s="14" t="str">
        <f aca="false">IF(C4041="","",C4041*D4041/100)</f>
        <v/>
      </c>
      <c r="F4041" s="15" t="str">
        <f aca="false">IF(B4041&lt;5,"Go","Standard")</f>
        <v>Go</v>
      </c>
    </row>
    <row r="4042" customFormat="false" ht="15" hidden="false" customHeight="true" outlineLevel="0" collapsed="false">
      <c r="A4042" s="10" t="n">
        <f aca="false">Einstellungen!$B$5+INT((ROW()-9)/24)</f>
        <v>46134</v>
      </c>
      <c r="B4042" s="11" t="n">
        <f aca="false">MOD(ROW()-9,24)</f>
        <v>1</v>
      </c>
      <c r="C4042" s="12"/>
      <c r="D4042" s="13" t="n">
        <f aca="false">IF(B4042&lt;5,Einstellungen!$B$3,Einstellungen!$B$4)</f>
        <v>15.92</v>
      </c>
      <c r="E4042" s="14" t="str">
        <f aca="false">IF(C4042="","",C4042*D4042/100)</f>
        <v/>
      </c>
      <c r="F4042" s="15" t="str">
        <f aca="false">IF(B4042&lt;5,"Go","Standard")</f>
        <v>Go</v>
      </c>
    </row>
    <row r="4043" customFormat="false" ht="15" hidden="false" customHeight="true" outlineLevel="0" collapsed="false">
      <c r="A4043" s="10" t="n">
        <f aca="false">Einstellungen!$B$5+INT((ROW()-9)/24)</f>
        <v>46134</v>
      </c>
      <c r="B4043" s="11" t="n">
        <f aca="false">MOD(ROW()-9,24)</f>
        <v>2</v>
      </c>
      <c r="C4043" s="12"/>
      <c r="D4043" s="13" t="n">
        <f aca="false">IF(B4043&lt;5,Einstellungen!$B$3,Einstellungen!$B$4)</f>
        <v>15.92</v>
      </c>
      <c r="E4043" s="14" t="str">
        <f aca="false">IF(C4043="","",C4043*D4043/100)</f>
        <v/>
      </c>
      <c r="F4043" s="15" t="str">
        <f aca="false">IF(B4043&lt;5,"Go","Standard")</f>
        <v>Go</v>
      </c>
    </row>
    <row r="4044" customFormat="false" ht="15" hidden="false" customHeight="true" outlineLevel="0" collapsed="false">
      <c r="A4044" s="10" t="n">
        <f aca="false">Einstellungen!$B$5+INT((ROW()-9)/24)</f>
        <v>46134</v>
      </c>
      <c r="B4044" s="11" t="n">
        <f aca="false">MOD(ROW()-9,24)</f>
        <v>3</v>
      </c>
      <c r="C4044" s="12"/>
      <c r="D4044" s="13" t="n">
        <f aca="false">IF(B4044&lt;5,Einstellungen!$B$3,Einstellungen!$B$4)</f>
        <v>15.92</v>
      </c>
      <c r="E4044" s="14" t="str">
        <f aca="false">IF(C4044="","",C4044*D4044/100)</f>
        <v/>
      </c>
      <c r="F4044" s="15" t="str">
        <f aca="false">IF(B4044&lt;5,"Go","Standard")</f>
        <v>Go</v>
      </c>
    </row>
    <row r="4045" customFormat="false" ht="15" hidden="false" customHeight="true" outlineLevel="0" collapsed="false">
      <c r="A4045" s="10" t="n">
        <f aca="false">Einstellungen!$B$5+INT((ROW()-9)/24)</f>
        <v>46134</v>
      </c>
      <c r="B4045" s="11" t="n">
        <f aca="false">MOD(ROW()-9,24)</f>
        <v>4</v>
      </c>
      <c r="C4045" s="12"/>
      <c r="D4045" s="13" t="n">
        <f aca="false">IF(B4045&lt;5,Einstellungen!$B$3,Einstellungen!$B$4)</f>
        <v>15.92</v>
      </c>
      <c r="E4045" s="14" t="str">
        <f aca="false">IF(C4045="","",C4045*D4045/100)</f>
        <v/>
      </c>
      <c r="F4045" s="15" t="str">
        <f aca="false">IF(B4045&lt;5,"Go","Standard")</f>
        <v>Go</v>
      </c>
    </row>
    <row r="4046" customFormat="false" ht="15" hidden="false" customHeight="true" outlineLevel="0" collapsed="false">
      <c r="A4046" s="10" t="n">
        <f aca="false">Einstellungen!$B$5+INT((ROW()-9)/24)</f>
        <v>46134</v>
      </c>
      <c r="B4046" s="11" t="n">
        <f aca="false">MOD(ROW()-9,24)</f>
        <v>5</v>
      </c>
      <c r="C4046" s="12"/>
      <c r="D4046" s="13" t="n">
        <f aca="false">IF(B4046&lt;5,Einstellungen!$B$3,Einstellungen!$B$4)</f>
        <v>29.13</v>
      </c>
      <c r="E4046" s="14" t="str">
        <f aca="false">IF(C4046="","",C4046*D4046/100)</f>
        <v/>
      </c>
      <c r="F4046" s="15" t="str">
        <f aca="false">IF(B4046&lt;5,"Go","Standard")</f>
        <v>Standard</v>
      </c>
    </row>
    <row r="4047" customFormat="false" ht="15" hidden="false" customHeight="true" outlineLevel="0" collapsed="false">
      <c r="A4047" s="10" t="n">
        <f aca="false">Einstellungen!$B$5+INT((ROW()-9)/24)</f>
        <v>46134</v>
      </c>
      <c r="B4047" s="11" t="n">
        <f aca="false">MOD(ROW()-9,24)</f>
        <v>6</v>
      </c>
      <c r="C4047" s="12"/>
      <c r="D4047" s="13" t="n">
        <f aca="false">IF(B4047&lt;5,Einstellungen!$B$3,Einstellungen!$B$4)</f>
        <v>29.13</v>
      </c>
      <c r="E4047" s="14" t="str">
        <f aca="false">IF(C4047="","",C4047*D4047/100)</f>
        <v/>
      </c>
      <c r="F4047" s="15" t="str">
        <f aca="false">IF(B4047&lt;5,"Go","Standard")</f>
        <v>Standard</v>
      </c>
    </row>
    <row r="4048" customFormat="false" ht="15" hidden="false" customHeight="true" outlineLevel="0" collapsed="false">
      <c r="A4048" s="10" t="n">
        <f aca="false">Einstellungen!$B$5+INT((ROW()-9)/24)</f>
        <v>46134</v>
      </c>
      <c r="B4048" s="11" t="n">
        <f aca="false">MOD(ROW()-9,24)</f>
        <v>7</v>
      </c>
      <c r="C4048" s="12"/>
      <c r="D4048" s="13" t="n">
        <f aca="false">IF(B4048&lt;5,Einstellungen!$B$3,Einstellungen!$B$4)</f>
        <v>29.13</v>
      </c>
      <c r="E4048" s="14" t="str">
        <f aca="false">IF(C4048="","",C4048*D4048/100)</f>
        <v/>
      </c>
      <c r="F4048" s="15" t="str">
        <f aca="false">IF(B4048&lt;5,"Go","Standard")</f>
        <v>Standard</v>
      </c>
    </row>
    <row r="4049" customFormat="false" ht="15" hidden="false" customHeight="true" outlineLevel="0" collapsed="false">
      <c r="A4049" s="10" t="n">
        <f aca="false">Einstellungen!$B$5+INT((ROW()-9)/24)</f>
        <v>46134</v>
      </c>
      <c r="B4049" s="11" t="n">
        <f aca="false">MOD(ROW()-9,24)</f>
        <v>8</v>
      </c>
      <c r="C4049" s="12"/>
      <c r="D4049" s="13" t="n">
        <f aca="false">IF(B4049&lt;5,Einstellungen!$B$3,Einstellungen!$B$4)</f>
        <v>29.13</v>
      </c>
      <c r="E4049" s="14" t="str">
        <f aca="false">IF(C4049="","",C4049*D4049/100)</f>
        <v/>
      </c>
      <c r="F4049" s="15" t="str">
        <f aca="false">IF(B4049&lt;5,"Go","Standard")</f>
        <v>Standard</v>
      </c>
    </row>
    <row r="4050" customFormat="false" ht="15" hidden="false" customHeight="true" outlineLevel="0" collapsed="false">
      <c r="A4050" s="10" t="n">
        <f aca="false">Einstellungen!$B$5+INT((ROW()-9)/24)</f>
        <v>46134</v>
      </c>
      <c r="B4050" s="11" t="n">
        <f aca="false">MOD(ROW()-9,24)</f>
        <v>9</v>
      </c>
      <c r="C4050" s="12"/>
      <c r="D4050" s="13" t="n">
        <f aca="false">IF(B4050&lt;5,Einstellungen!$B$3,Einstellungen!$B$4)</f>
        <v>29.13</v>
      </c>
      <c r="E4050" s="14" t="str">
        <f aca="false">IF(C4050="","",C4050*D4050/100)</f>
        <v/>
      </c>
      <c r="F4050" s="15" t="str">
        <f aca="false">IF(B4050&lt;5,"Go","Standard")</f>
        <v>Standard</v>
      </c>
    </row>
    <row r="4051" customFormat="false" ht="15" hidden="false" customHeight="true" outlineLevel="0" collapsed="false">
      <c r="A4051" s="10" t="n">
        <f aca="false">Einstellungen!$B$5+INT((ROW()-9)/24)</f>
        <v>46134</v>
      </c>
      <c r="B4051" s="11" t="n">
        <f aca="false">MOD(ROW()-9,24)</f>
        <v>10</v>
      </c>
      <c r="C4051" s="12"/>
      <c r="D4051" s="13" t="n">
        <f aca="false">IF(B4051&lt;5,Einstellungen!$B$3,Einstellungen!$B$4)</f>
        <v>29.13</v>
      </c>
      <c r="E4051" s="14" t="str">
        <f aca="false">IF(C4051="","",C4051*D4051/100)</f>
        <v/>
      </c>
      <c r="F4051" s="15" t="str">
        <f aca="false">IF(B4051&lt;5,"Go","Standard")</f>
        <v>Standard</v>
      </c>
    </row>
    <row r="4052" customFormat="false" ht="15" hidden="false" customHeight="true" outlineLevel="0" collapsed="false">
      <c r="A4052" s="10" t="n">
        <f aca="false">Einstellungen!$B$5+INT((ROW()-9)/24)</f>
        <v>46134</v>
      </c>
      <c r="B4052" s="11" t="n">
        <f aca="false">MOD(ROW()-9,24)</f>
        <v>11</v>
      </c>
      <c r="C4052" s="12"/>
      <c r="D4052" s="13" t="n">
        <f aca="false">IF(B4052&lt;5,Einstellungen!$B$3,Einstellungen!$B$4)</f>
        <v>29.13</v>
      </c>
      <c r="E4052" s="14" t="str">
        <f aca="false">IF(C4052="","",C4052*D4052/100)</f>
        <v/>
      </c>
      <c r="F4052" s="15" t="str">
        <f aca="false">IF(B4052&lt;5,"Go","Standard")</f>
        <v>Standard</v>
      </c>
    </row>
    <row r="4053" customFormat="false" ht="15" hidden="false" customHeight="true" outlineLevel="0" collapsed="false">
      <c r="A4053" s="10" t="n">
        <f aca="false">Einstellungen!$B$5+INT((ROW()-9)/24)</f>
        <v>46134</v>
      </c>
      <c r="B4053" s="11" t="n">
        <f aca="false">MOD(ROW()-9,24)</f>
        <v>12</v>
      </c>
      <c r="C4053" s="12"/>
      <c r="D4053" s="13" t="n">
        <f aca="false">IF(B4053&lt;5,Einstellungen!$B$3,Einstellungen!$B$4)</f>
        <v>29.13</v>
      </c>
      <c r="E4053" s="14" t="str">
        <f aca="false">IF(C4053="","",C4053*D4053/100)</f>
        <v/>
      </c>
      <c r="F4053" s="15" t="str">
        <f aca="false">IF(B4053&lt;5,"Go","Standard")</f>
        <v>Standard</v>
      </c>
    </row>
    <row r="4054" customFormat="false" ht="15" hidden="false" customHeight="true" outlineLevel="0" collapsed="false">
      <c r="A4054" s="10" t="n">
        <f aca="false">Einstellungen!$B$5+INT((ROW()-9)/24)</f>
        <v>46134</v>
      </c>
      <c r="B4054" s="11" t="n">
        <f aca="false">MOD(ROW()-9,24)</f>
        <v>13</v>
      </c>
      <c r="C4054" s="12"/>
      <c r="D4054" s="13" t="n">
        <f aca="false">IF(B4054&lt;5,Einstellungen!$B$3,Einstellungen!$B$4)</f>
        <v>29.13</v>
      </c>
      <c r="E4054" s="14" t="str">
        <f aca="false">IF(C4054="","",C4054*D4054/100)</f>
        <v/>
      </c>
      <c r="F4054" s="15" t="str">
        <f aca="false">IF(B4054&lt;5,"Go","Standard")</f>
        <v>Standard</v>
      </c>
    </row>
    <row r="4055" customFormat="false" ht="15" hidden="false" customHeight="true" outlineLevel="0" collapsed="false">
      <c r="A4055" s="10" t="n">
        <f aca="false">Einstellungen!$B$5+INT((ROW()-9)/24)</f>
        <v>46134</v>
      </c>
      <c r="B4055" s="11" t="n">
        <f aca="false">MOD(ROW()-9,24)</f>
        <v>14</v>
      </c>
      <c r="C4055" s="12"/>
      <c r="D4055" s="13" t="n">
        <f aca="false">IF(B4055&lt;5,Einstellungen!$B$3,Einstellungen!$B$4)</f>
        <v>29.13</v>
      </c>
      <c r="E4055" s="14" t="str">
        <f aca="false">IF(C4055="","",C4055*D4055/100)</f>
        <v/>
      </c>
      <c r="F4055" s="15" t="str">
        <f aca="false">IF(B4055&lt;5,"Go","Standard")</f>
        <v>Standard</v>
      </c>
    </row>
    <row r="4056" customFormat="false" ht="15" hidden="false" customHeight="true" outlineLevel="0" collapsed="false">
      <c r="A4056" s="10" t="n">
        <f aca="false">Einstellungen!$B$5+INT((ROW()-9)/24)</f>
        <v>46134</v>
      </c>
      <c r="B4056" s="11" t="n">
        <f aca="false">MOD(ROW()-9,24)</f>
        <v>15</v>
      </c>
      <c r="C4056" s="12"/>
      <c r="D4056" s="13" t="n">
        <f aca="false">IF(B4056&lt;5,Einstellungen!$B$3,Einstellungen!$B$4)</f>
        <v>29.13</v>
      </c>
      <c r="E4056" s="14" t="str">
        <f aca="false">IF(C4056="","",C4056*D4056/100)</f>
        <v/>
      </c>
      <c r="F4056" s="15" t="str">
        <f aca="false">IF(B4056&lt;5,"Go","Standard")</f>
        <v>Standard</v>
      </c>
    </row>
    <row r="4057" customFormat="false" ht="15" hidden="false" customHeight="true" outlineLevel="0" collapsed="false">
      <c r="A4057" s="10" t="n">
        <f aca="false">Einstellungen!$B$5+INT((ROW()-9)/24)</f>
        <v>46134</v>
      </c>
      <c r="B4057" s="11" t="n">
        <f aca="false">MOD(ROW()-9,24)</f>
        <v>16</v>
      </c>
      <c r="C4057" s="12"/>
      <c r="D4057" s="13" t="n">
        <f aca="false">IF(B4057&lt;5,Einstellungen!$B$3,Einstellungen!$B$4)</f>
        <v>29.13</v>
      </c>
      <c r="E4057" s="14" t="str">
        <f aca="false">IF(C4057="","",C4057*D4057/100)</f>
        <v/>
      </c>
      <c r="F4057" s="15" t="str">
        <f aca="false">IF(B4057&lt;5,"Go","Standard")</f>
        <v>Standard</v>
      </c>
    </row>
    <row r="4058" customFormat="false" ht="15" hidden="false" customHeight="true" outlineLevel="0" collapsed="false">
      <c r="A4058" s="10" t="n">
        <f aca="false">Einstellungen!$B$5+INT((ROW()-9)/24)</f>
        <v>46134</v>
      </c>
      <c r="B4058" s="11" t="n">
        <f aca="false">MOD(ROW()-9,24)</f>
        <v>17</v>
      </c>
      <c r="C4058" s="12"/>
      <c r="D4058" s="13" t="n">
        <f aca="false">IF(B4058&lt;5,Einstellungen!$B$3,Einstellungen!$B$4)</f>
        <v>29.13</v>
      </c>
      <c r="E4058" s="14" t="str">
        <f aca="false">IF(C4058="","",C4058*D4058/100)</f>
        <v/>
      </c>
      <c r="F4058" s="15" t="str">
        <f aca="false">IF(B4058&lt;5,"Go","Standard")</f>
        <v>Standard</v>
      </c>
    </row>
    <row r="4059" customFormat="false" ht="15" hidden="false" customHeight="true" outlineLevel="0" collapsed="false">
      <c r="A4059" s="10" t="n">
        <f aca="false">Einstellungen!$B$5+INT((ROW()-9)/24)</f>
        <v>46134</v>
      </c>
      <c r="B4059" s="11" t="n">
        <f aca="false">MOD(ROW()-9,24)</f>
        <v>18</v>
      </c>
      <c r="C4059" s="12"/>
      <c r="D4059" s="13" t="n">
        <f aca="false">IF(B4059&lt;5,Einstellungen!$B$3,Einstellungen!$B$4)</f>
        <v>29.13</v>
      </c>
      <c r="E4059" s="14" t="str">
        <f aca="false">IF(C4059="","",C4059*D4059/100)</f>
        <v/>
      </c>
      <c r="F4059" s="15" t="str">
        <f aca="false">IF(B4059&lt;5,"Go","Standard")</f>
        <v>Standard</v>
      </c>
    </row>
    <row r="4060" customFormat="false" ht="15" hidden="false" customHeight="true" outlineLevel="0" collapsed="false">
      <c r="A4060" s="10" t="n">
        <f aca="false">Einstellungen!$B$5+INT((ROW()-9)/24)</f>
        <v>46134</v>
      </c>
      <c r="B4060" s="11" t="n">
        <f aca="false">MOD(ROW()-9,24)</f>
        <v>19</v>
      </c>
      <c r="C4060" s="12"/>
      <c r="D4060" s="13" t="n">
        <f aca="false">IF(B4060&lt;5,Einstellungen!$B$3,Einstellungen!$B$4)</f>
        <v>29.13</v>
      </c>
      <c r="E4060" s="14" t="str">
        <f aca="false">IF(C4060="","",C4060*D4060/100)</f>
        <v/>
      </c>
      <c r="F4060" s="15" t="str">
        <f aca="false">IF(B4060&lt;5,"Go","Standard")</f>
        <v>Standard</v>
      </c>
    </row>
    <row r="4061" customFormat="false" ht="15" hidden="false" customHeight="true" outlineLevel="0" collapsed="false">
      <c r="A4061" s="10" t="n">
        <f aca="false">Einstellungen!$B$5+INT((ROW()-9)/24)</f>
        <v>46134</v>
      </c>
      <c r="B4061" s="11" t="n">
        <f aca="false">MOD(ROW()-9,24)</f>
        <v>20</v>
      </c>
      <c r="C4061" s="12"/>
      <c r="D4061" s="13" t="n">
        <f aca="false">IF(B4061&lt;5,Einstellungen!$B$3,Einstellungen!$B$4)</f>
        <v>29.13</v>
      </c>
      <c r="E4061" s="14" t="str">
        <f aca="false">IF(C4061="","",C4061*D4061/100)</f>
        <v/>
      </c>
      <c r="F4061" s="15" t="str">
        <f aca="false">IF(B4061&lt;5,"Go","Standard")</f>
        <v>Standard</v>
      </c>
    </row>
    <row r="4062" customFormat="false" ht="15" hidden="false" customHeight="true" outlineLevel="0" collapsed="false">
      <c r="A4062" s="10" t="n">
        <f aca="false">Einstellungen!$B$5+INT((ROW()-9)/24)</f>
        <v>46134</v>
      </c>
      <c r="B4062" s="11" t="n">
        <f aca="false">MOD(ROW()-9,24)</f>
        <v>21</v>
      </c>
      <c r="C4062" s="12"/>
      <c r="D4062" s="13" t="n">
        <f aca="false">IF(B4062&lt;5,Einstellungen!$B$3,Einstellungen!$B$4)</f>
        <v>29.13</v>
      </c>
      <c r="E4062" s="14" t="str">
        <f aca="false">IF(C4062="","",C4062*D4062/100)</f>
        <v/>
      </c>
      <c r="F4062" s="15" t="str">
        <f aca="false">IF(B4062&lt;5,"Go","Standard")</f>
        <v>Standard</v>
      </c>
    </row>
    <row r="4063" customFormat="false" ht="15" hidden="false" customHeight="true" outlineLevel="0" collapsed="false">
      <c r="A4063" s="10" t="n">
        <f aca="false">Einstellungen!$B$5+INT((ROW()-9)/24)</f>
        <v>46134</v>
      </c>
      <c r="B4063" s="11" t="n">
        <f aca="false">MOD(ROW()-9,24)</f>
        <v>22</v>
      </c>
      <c r="C4063" s="12"/>
      <c r="D4063" s="13" t="n">
        <f aca="false">IF(B4063&lt;5,Einstellungen!$B$3,Einstellungen!$B$4)</f>
        <v>29.13</v>
      </c>
      <c r="E4063" s="14" t="str">
        <f aca="false">IF(C4063="","",C4063*D4063/100)</f>
        <v/>
      </c>
      <c r="F4063" s="15" t="str">
        <f aca="false">IF(B4063&lt;5,"Go","Standard")</f>
        <v>Standard</v>
      </c>
    </row>
    <row r="4064" customFormat="false" ht="15" hidden="false" customHeight="true" outlineLevel="0" collapsed="false">
      <c r="A4064" s="10" t="n">
        <f aca="false">Einstellungen!$B$5+INT((ROW()-9)/24)</f>
        <v>46134</v>
      </c>
      <c r="B4064" s="11" t="n">
        <f aca="false">MOD(ROW()-9,24)</f>
        <v>23</v>
      </c>
      <c r="C4064" s="12"/>
      <c r="D4064" s="13" t="n">
        <f aca="false">IF(B4064&lt;5,Einstellungen!$B$3,Einstellungen!$B$4)</f>
        <v>29.13</v>
      </c>
      <c r="E4064" s="14" t="str">
        <f aca="false">IF(C4064="","",C4064*D4064/100)</f>
        <v/>
      </c>
      <c r="F4064" s="15" t="str">
        <f aca="false">IF(B4064&lt;5,"Go","Standard")</f>
        <v>Standard</v>
      </c>
    </row>
    <row r="4065" customFormat="false" ht="15" hidden="false" customHeight="true" outlineLevel="0" collapsed="false">
      <c r="A4065" s="10" t="n">
        <f aca="false">Einstellungen!$B$5+INT((ROW()-9)/24)</f>
        <v>46135</v>
      </c>
      <c r="B4065" s="11" t="n">
        <f aca="false">MOD(ROW()-9,24)</f>
        <v>0</v>
      </c>
      <c r="C4065" s="12"/>
      <c r="D4065" s="13" t="n">
        <f aca="false">IF(B4065&lt;5,Einstellungen!$B$3,Einstellungen!$B$4)</f>
        <v>15.92</v>
      </c>
      <c r="E4065" s="14" t="str">
        <f aca="false">IF(C4065="","",C4065*D4065/100)</f>
        <v/>
      </c>
      <c r="F4065" s="15" t="str">
        <f aca="false">IF(B4065&lt;5,"Go","Standard")</f>
        <v>Go</v>
      </c>
    </row>
    <row r="4066" customFormat="false" ht="15" hidden="false" customHeight="true" outlineLevel="0" collapsed="false">
      <c r="A4066" s="10" t="n">
        <f aca="false">Einstellungen!$B$5+INT((ROW()-9)/24)</f>
        <v>46135</v>
      </c>
      <c r="B4066" s="11" t="n">
        <f aca="false">MOD(ROW()-9,24)</f>
        <v>1</v>
      </c>
      <c r="C4066" s="12"/>
      <c r="D4066" s="13" t="n">
        <f aca="false">IF(B4066&lt;5,Einstellungen!$B$3,Einstellungen!$B$4)</f>
        <v>15.92</v>
      </c>
      <c r="E4066" s="14" t="str">
        <f aca="false">IF(C4066="","",C4066*D4066/100)</f>
        <v/>
      </c>
      <c r="F4066" s="15" t="str">
        <f aca="false">IF(B4066&lt;5,"Go","Standard")</f>
        <v>Go</v>
      </c>
    </row>
    <row r="4067" customFormat="false" ht="15" hidden="false" customHeight="true" outlineLevel="0" collapsed="false">
      <c r="A4067" s="10" t="n">
        <f aca="false">Einstellungen!$B$5+INT((ROW()-9)/24)</f>
        <v>46135</v>
      </c>
      <c r="B4067" s="11" t="n">
        <f aca="false">MOD(ROW()-9,24)</f>
        <v>2</v>
      </c>
      <c r="C4067" s="12"/>
      <c r="D4067" s="13" t="n">
        <f aca="false">IF(B4067&lt;5,Einstellungen!$B$3,Einstellungen!$B$4)</f>
        <v>15.92</v>
      </c>
      <c r="E4067" s="14" t="str">
        <f aca="false">IF(C4067="","",C4067*D4067/100)</f>
        <v/>
      </c>
      <c r="F4067" s="15" t="str">
        <f aca="false">IF(B4067&lt;5,"Go","Standard")</f>
        <v>Go</v>
      </c>
    </row>
    <row r="4068" customFormat="false" ht="15" hidden="false" customHeight="true" outlineLevel="0" collapsed="false">
      <c r="A4068" s="10" t="n">
        <f aca="false">Einstellungen!$B$5+INT((ROW()-9)/24)</f>
        <v>46135</v>
      </c>
      <c r="B4068" s="11" t="n">
        <f aca="false">MOD(ROW()-9,24)</f>
        <v>3</v>
      </c>
      <c r="C4068" s="12"/>
      <c r="D4068" s="13" t="n">
        <f aca="false">IF(B4068&lt;5,Einstellungen!$B$3,Einstellungen!$B$4)</f>
        <v>15.92</v>
      </c>
      <c r="E4068" s="14" t="str">
        <f aca="false">IF(C4068="","",C4068*D4068/100)</f>
        <v/>
      </c>
      <c r="F4068" s="15" t="str">
        <f aca="false">IF(B4068&lt;5,"Go","Standard")</f>
        <v>Go</v>
      </c>
    </row>
    <row r="4069" customFormat="false" ht="15" hidden="false" customHeight="true" outlineLevel="0" collapsed="false">
      <c r="A4069" s="10" t="n">
        <f aca="false">Einstellungen!$B$5+INT((ROW()-9)/24)</f>
        <v>46135</v>
      </c>
      <c r="B4069" s="11" t="n">
        <f aca="false">MOD(ROW()-9,24)</f>
        <v>4</v>
      </c>
      <c r="C4069" s="12"/>
      <c r="D4069" s="13" t="n">
        <f aca="false">IF(B4069&lt;5,Einstellungen!$B$3,Einstellungen!$B$4)</f>
        <v>15.92</v>
      </c>
      <c r="E4069" s="14" t="str">
        <f aca="false">IF(C4069="","",C4069*D4069/100)</f>
        <v/>
      </c>
      <c r="F4069" s="15" t="str">
        <f aca="false">IF(B4069&lt;5,"Go","Standard")</f>
        <v>Go</v>
      </c>
    </row>
    <row r="4070" customFormat="false" ht="15" hidden="false" customHeight="true" outlineLevel="0" collapsed="false">
      <c r="A4070" s="10" t="n">
        <f aca="false">Einstellungen!$B$5+INT((ROW()-9)/24)</f>
        <v>46135</v>
      </c>
      <c r="B4070" s="11" t="n">
        <f aca="false">MOD(ROW()-9,24)</f>
        <v>5</v>
      </c>
      <c r="C4070" s="12"/>
      <c r="D4070" s="13" t="n">
        <f aca="false">IF(B4070&lt;5,Einstellungen!$B$3,Einstellungen!$B$4)</f>
        <v>29.13</v>
      </c>
      <c r="E4070" s="14" t="str">
        <f aca="false">IF(C4070="","",C4070*D4070/100)</f>
        <v/>
      </c>
      <c r="F4070" s="15" t="str">
        <f aca="false">IF(B4070&lt;5,"Go","Standard")</f>
        <v>Standard</v>
      </c>
    </row>
    <row r="4071" customFormat="false" ht="15" hidden="false" customHeight="true" outlineLevel="0" collapsed="false">
      <c r="A4071" s="10" t="n">
        <f aca="false">Einstellungen!$B$5+INT((ROW()-9)/24)</f>
        <v>46135</v>
      </c>
      <c r="B4071" s="11" t="n">
        <f aca="false">MOD(ROW()-9,24)</f>
        <v>6</v>
      </c>
      <c r="C4071" s="12"/>
      <c r="D4071" s="13" t="n">
        <f aca="false">IF(B4071&lt;5,Einstellungen!$B$3,Einstellungen!$B$4)</f>
        <v>29.13</v>
      </c>
      <c r="E4071" s="14" t="str">
        <f aca="false">IF(C4071="","",C4071*D4071/100)</f>
        <v/>
      </c>
      <c r="F4071" s="15" t="str">
        <f aca="false">IF(B4071&lt;5,"Go","Standard")</f>
        <v>Standard</v>
      </c>
    </row>
    <row r="4072" customFormat="false" ht="15" hidden="false" customHeight="true" outlineLevel="0" collapsed="false">
      <c r="A4072" s="10" t="n">
        <f aca="false">Einstellungen!$B$5+INT((ROW()-9)/24)</f>
        <v>46135</v>
      </c>
      <c r="B4072" s="11" t="n">
        <f aca="false">MOD(ROW()-9,24)</f>
        <v>7</v>
      </c>
      <c r="C4072" s="12"/>
      <c r="D4072" s="13" t="n">
        <f aca="false">IF(B4072&lt;5,Einstellungen!$B$3,Einstellungen!$B$4)</f>
        <v>29.13</v>
      </c>
      <c r="E4072" s="14" t="str">
        <f aca="false">IF(C4072="","",C4072*D4072/100)</f>
        <v/>
      </c>
      <c r="F4072" s="15" t="str">
        <f aca="false">IF(B4072&lt;5,"Go","Standard")</f>
        <v>Standard</v>
      </c>
    </row>
    <row r="4073" customFormat="false" ht="15" hidden="false" customHeight="true" outlineLevel="0" collapsed="false">
      <c r="A4073" s="10" t="n">
        <f aca="false">Einstellungen!$B$5+INT((ROW()-9)/24)</f>
        <v>46135</v>
      </c>
      <c r="B4073" s="11" t="n">
        <f aca="false">MOD(ROW()-9,24)</f>
        <v>8</v>
      </c>
      <c r="C4073" s="12"/>
      <c r="D4073" s="13" t="n">
        <f aca="false">IF(B4073&lt;5,Einstellungen!$B$3,Einstellungen!$B$4)</f>
        <v>29.13</v>
      </c>
      <c r="E4073" s="14" t="str">
        <f aca="false">IF(C4073="","",C4073*D4073/100)</f>
        <v/>
      </c>
      <c r="F4073" s="15" t="str">
        <f aca="false">IF(B4073&lt;5,"Go","Standard")</f>
        <v>Standard</v>
      </c>
    </row>
    <row r="4074" customFormat="false" ht="15" hidden="false" customHeight="true" outlineLevel="0" collapsed="false">
      <c r="A4074" s="10" t="n">
        <f aca="false">Einstellungen!$B$5+INT((ROW()-9)/24)</f>
        <v>46135</v>
      </c>
      <c r="B4074" s="11" t="n">
        <f aca="false">MOD(ROW()-9,24)</f>
        <v>9</v>
      </c>
      <c r="C4074" s="12"/>
      <c r="D4074" s="13" t="n">
        <f aca="false">IF(B4074&lt;5,Einstellungen!$B$3,Einstellungen!$B$4)</f>
        <v>29.13</v>
      </c>
      <c r="E4074" s="14" t="str">
        <f aca="false">IF(C4074="","",C4074*D4074/100)</f>
        <v/>
      </c>
      <c r="F4074" s="15" t="str">
        <f aca="false">IF(B4074&lt;5,"Go","Standard")</f>
        <v>Standard</v>
      </c>
    </row>
    <row r="4075" customFormat="false" ht="15" hidden="false" customHeight="true" outlineLevel="0" collapsed="false">
      <c r="A4075" s="10" t="n">
        <f aca="false">Einstellungen!$B$5+INT((ROW()-9)/24)</f>
        <v>46135</v>
      </c>
      <c r="B4075" s="11" t="n">
        <f aca="false">MOD(ROW()-9,24)</f>
        <v>10</v>
      </c>
      <c r="C4075" s="12"/>
      <c r="D4075" s="13" t="n">
        <f aca="false">IF(B4075&lt;5,Einstellungen!$B$3,Einstellungen!$B$4)</f>
        <v>29.13</v>
      </c>
      <c r="E4075" s="14" t="str">
        <f aca="false">IF(C4075="","",C4075*D4075/100)</f>
        <v/>
      </c>
      <c r="F4075" s="15" t="str">
        <f aca="false">IF(B4075&lt;5,"Go","Standard")</f>
        <v>Standard</v>
      </c>
    </row>
    <row r="4076" customFormat="false" ht="15" hidden="false" customHeight="true" outlineLevel="0" collapsed="false">
      <c r="A4076" s="10" t="n">
        <f aca="false">Einstellungen!$B$5+INT((ROW()-9)/24)</f>
        <v>46135</v>
      </c>
      <c r="B4076" s="11" t="n">
        <f aca="false">MOD(ROW()-9,24)</f>
        <v>11</v>
      </c>
      <c r="C4076" s="12"/>
      <c r="D4076" s="13" t="n">
        <f aca="false">IF(B4076&lt;5,Einstellungen!$B$3,Einstellungen!$B$4)</f>
        <v>29.13</v>
      </c>
      <c r="E4076" s="14" t="str">
        <f aca="false">IF(C4076="","",C4076*D4076/100)</f>
        <v/>
      </c>
      <c r="F4076" s="15" t="str">
        <f aca="false">IF(B4076&lt;5,"Go","Standard")</f>
        <v>Standard</v>
      </c>
    </row>
    <row r="4077" customFormat="false" ht="15" hidden="false" customHeight="true" outlineLevel="0" collapsed="false">
      <c r="A4077" s="10" t="n">
        <f aca="false">Einstellungen!$B$5+INT((ROW()-9)/24)</f>
        <v>46135</v>
      </c>
      <c r="B4077" s="11" t="n">
        <f aca="false">MOD(ROW()-9,24)</f>
        <v>12</v>
      </c>
      <c r="C4077" s="12"/>
      <c r="D4077" s="13" t="n">
        <f aca="false">IF(B4077&lt;5,Einstellungen!$B$3,Einstellungen!$B$4)</f>
        <v>29.13</v>
      </c>
      <c r="E4077" s="14" t="str">
        <f aca="false">IF(C4077="","",C4077*D4077/100)</f>
        <v/>
      </c>
      <c r="F4077" s="15" t="str">
        <f aca="false">IF(B4077&lt;5,"Go","Standard")</f>
        <v>Standard</v>
      </c>
    </row>
    <row r="4078" customFormat="false" ht="15" hidden="false" customHeight="true" outlineLevel="0" collapsed="false">
      <c r="A4078" s="10" t="n">
        <f aca="false">Einstellungen!$B$5+INT((ROW()-9)/24)</f>
        <v>46135</v>
      </c>
      <c r="B4078" s="11" t="n">
        <f aca="false">MOD(ROW()-9,24)</f>
        <v>13</v>
      </c>
      <c r="C4078" s="12"/>
      <c r="D4078" s="13" t="n">
        <f aca="false">IF(B4078&lt;5,Einstellungen!$B$3,Einstellungen!$B$4)</f>
        <v>29.13</v>
      </c>
      <c r="E4078" s="14" t="str">
        <f aca="false">IF(C4078="","",C4078*D4078/100)</f>
        <v/>
      </c>
      <c r="F4078" s="15" t="str">
        <f aca="false">IF(B4078&lt;5,"Go","Standard")</f>
        <v>Standard</v>
      </c>
    </row>
    <row r="4079" customFormat="false" ht="15" hidden="false" customHeight="true" outlineLevel="0" collapsed="false">
      <c r="A4079" s="10" t="n">
        <f aca="false">Einstellungen!$B$5+INT((ROW()-9)/24)</f>
        <v>46135</v>
      </c>
      <c r="B4079" s="11" t="n">
        <f aca="false">MOD(ROW()-9,24)</f>
        <v>14</v>
      </c>
      <c r="C4079" s="12"/>
      <c r="D4079" s="13" t="n">
        <f aca="false">IF(B4079&lt;5,Einstellungen!$B$3,Einstellungen!$B$4)</f>
        <v>29.13</v>
      </c>
      <c r="E4079" s="14" t="str">
        <f aca="false">IF(C4079="","",C4079*D4079/100)</f>
        <v/>
      </c>
      <c r="F4079" s="15" t="str">
        <f aca="false">IF(B4079&lt;5,"Go","Standard")</f>
        <v>Standard</v>
      </c>
    </row>
    <row r="4080" customFormat="false" ht="15" hidden="false" customHeight="true" outlineLevel="0" collapsed="false">
      <c r="A4080" s="10" t="n">
        <f aca="false">Einstellungen!$B$5+INT((ROW()-9)/24)</f>
        <v>46135</v>
      </c>
      <c r="B4080" s="11" t="n">
        <f aca="false">MOD(ROW()-9,24)</f>
        <v>15</v>
      </c>
      <c r="C4080" s="12"/>
      <c r="D4080" s="13" t="n">
        <f aca="false">IF(B4080&lt;5,Einstellungen!$B$3,Einstellungen!$B$4)</f>
        <v>29.13</v>
      </c>
      <c r="E4080" s="14" t="str">
        <f aca="false">IF(C4080="","",C4080*D4080/100)</f>
        <v/>
      </c>
      <c r="F4080" s="15" t="str">
        <f aca="false">IF(B4080&lt;5,"Go","Standard")</f>
        <v>Standard</v>
      </c>
    </row>
    <row r="4081" customFormat="false" ht="15" hidden="false" customHeight="true" outlineLevel="0" collapsed="false">
      <c r="A4081" s="10" t="n">
        <f aca="false">Einstellungen!$B$5+INT((ROW()-9)/24)</f>
        <v>46135</v>
      </c>
      <c r="B4081" s="11" t="n">
        <f aca="false">MOD(ROW()-9,24)</f>
        <v>16</v>
      </c>
      <c r="C4081" s="12"/>
      <c r="D4081" s="13" t="n">
        <f aca="false">IF(B4081&lt;5,Einstellungen!$B$3,Einstellungen!$B$4)</f>
        <v>29.13</v>
      </c>
      <c r="E4081" s="14" t="str">
        <f aca="false">IF(C4081="","",C4081*D4081/100)</f>
        <v/>
      </c>
      <c r="F4081" s="15" t="str">
        <f aca="false">IF(B4081&lt;5,"Go","Standard")</f>
        <v>Standard</v>
      </c>
    </row>
    <row r="4082" customFormat="false" ht="15" hidden="false" customHeight="true" outlineLevel="0" collapsed="false">
      <c r="A4082" s="10" t="n">
        <f aca="false">Einstellungen!$B$5+INT((ROW()-9)/24)</f>
        <v>46135</v>
      </c>
      <c r="B4082" s="11" t="n">
        <f aca="false">MOD(ROW()-9,24)</f>
        <v>17</v>
      </c>
      <c r="C4082" s="12"/>
      <c r="D4082" s="13" t="n">
        <f aca="false">IF(B4082&lt;5,Einstellungen!$B$3,Einstellungen!$B$4)</f>
        <v>29.13</v>
      </c>
      <c r="E4082" s="14" t="str">
        <f aca="false">IF(C4082="","",C4082*D4082/100)</f>
        <v/>
      </c>
      <c r="F4082" s="15" t="str">
        <f aca="false">IF(B4082&lt;5,"Go","Standard")</f>
        <v>Standard</v>
      </c>
    </row>
    <row r="4083" customFormat="false" ht="15" hidden="false" customHeight="true" outlineLevel="0" collapsed="false">
      <c r="A4083" s="10" t="n">
        <f aca="false">Einstellungen!$B$5+INT((ROW()-9)/24)</f>
        <v>46135</v>
      </c>
      <c r="B4083" s="11" t="n">
        <f aca="false">MOD(ROW()-9,24)</f>
        <v>18</v>
      </c>
      <c r="C4083" s="12"/>
      <c r="D4083" s="13" t="n">
        <f aca="false">IF(B4083&lt;5,Einstellungen!$B$3,Einstellungen!$B$4)</f>
        <v>29.13</v>
      </c>
      <c r="E4083" s="14" t="str">
        <f aca="false">IF(C4083="","",C4083*D4083/100)</f>
        <v/>
      </c>
      <c r="F4083" s="15" t="str">
        <f aca="false">IF(B4083&lt;5,"Go","Standard")</f>
        <v>Standard</v>
      </c>
    </row>
    <row r="4084" customFormat="false" ht="15" hidden="false" customHeight="true" outlineLevel="0" collapsed="false">
      <c r="A4084" s="10" t="n">
        <f aca="false">Einstellungen!$B$5+INT((ROW()-9)/24)</f>
        <v>46135</v>
      </c>
      <c r="B4084" s="11" t="n">
        <f aca="false">MOD(ROW()-9,24)</f>
        <v>19</v>
      </c>
      <c r="C4084" s="12"/>
      <c r="D4084" s="13" t="n">
        <f aca="false">IF(B4084&lt;5,Einstellungen!$B$3,Einstellungen!$B$4)</f>
        <v>29.13</v>
      </c>
      <c r="E4084" s="14" t="str">
        <f aca="false">IF(C4084="","",C4084*D4084/100)</f>
        <v/>
      </c>
      <c r="F4084" s="15" t="str">
        <f aca="false">IF(B4084&lt;5,"Go","Standard")</f>
        <v>Standard</v>
      </c>
    </row>
    <row r="4085" customFormat="false" ht="15" hidden="false" customHeight="true" outlineLevel="0" collapsed="false">
      <c r="A4085" s="10" t="n">
        <f aca="false">Einstellungen!$B$5+INT((ROW()-9)/24)</f>
        <v>46135</v>
      </c>
      <c r="B4085" s="11" t="n">
        <f aca="false">MOD(ROW()-9,24)</f>
        <v>20</v>
      </c>
      <c r="C4085" s="12"/>
      <c r="D4085" s="13" t="n">
        <f aca="false">IF(B4085&lt;5,Einstellungen!$B$3,Einstellungen!$B$4)</f>
        <v>29.13</v>
      </c>
      <c r="E4085" s="14" t="str">
        <f aca="false">IF(C4085="","",C4085*D4085/100)</f>
        <v/>
      </c>
      <c r="F4085" s="15" t="str">
        <f aca="false">IF(B4085&lt;5,"Go","Standard")</f>
        <v>Standard</v>
      </c>
    </row>
    <row r="4086" customFormat="false" ht="15" hidden="false" customHeight="true" outlineLevel="0" collapsed="false">
      <c r="A4086" s="10" t="n">
        <f aca="false">Einstellungen!$B$5+INT((ROW()-9)/24)</f>
        <v>46135</v>
      </c>
      <c r="B4086" s="11" t="n">
        <f aca="false">MOD(ROW()-9,24)</f>
        <v>21</v>
      </c>
      <c r="C4086" s="12"/>
      <c r="D4086" s="13" t="n">
        <f aca="false">IF(B4086&lt;5,Einstellungen!$B$3,Einstellungen!$B$4)</f>
        <v>29.13</v>
      </c>
      <c r="E4086" s="14" t="str">
        <f aca="false">IF(C4086="","",C4086*D4086/100)</f>
        <v/>
      </c>
      <c r="F4086" s="15" t="str">
        <f aca="false">IF(B4086&lt;5,"Go","Standard")</f>
        <v>Standard</v>
      </c>
    </row>
    <row r="4087" customFormat="false" ht="15" hidden="false" customHeight="true" outlineLevel="0" collapsed="false">
      <c r="A4087" s="10" t="n">
        <f aca="false">Einstellungen!$B$5+INT((ROW()-9)/24)</f>
        <v>46135</v>
      </c>
      <c r="B4087" s="11" t="n">
        <f aca="false">MOD(ROW()-9,24)</f>
        <v>22</v>
      </c>
      <c r="C4087" s="12"/>
      <c r="D4087" s="13" t="n">
        <f aca="false">IF(B4087&lt;5,Einstellungen!$B$3,Einstellungen!$B$4)</f>
        <v>29.13</v>
      </c>
      <c r="E4087" s="14" t="str">
        <f aca="false">IF(C4087="","",C4087*D4087/100)</f>
        <v/>
      </c>
      <c r="F4087" s="15" t="str">
        <f aca="false">IF(B4087&lt;5,"Go","Standard")</f>
        <v>Standard</v>
      </c>
    </row>
    <row r="4088" customFormat="false" ht="15" hidden="false" customHeight="true" outlineLevel="0" collapsed="false">
      <c r="A4088" s="10" t="n">
        <f aca="false">Einstellungen!$B$5+INT((ROW()-9)/24)</f>
        <v>46135</v>
      </c>
      <c r="B4088" s="11" t="n">
        <f aca="false">MOD(ROW()-9,24)</f>
        <v>23</v>
      </c>
      <c r="C4088" s="12"/>
      <c r="D4088" s="13" t="n">
        <f aca="false">IF(B4088&lt;5,Einstellungen!$B$3,Einstellungen!$B$4)</f>
        <v>29.13</v>
      </c>
      <c r="E4088" s="14" t="str">
        <f aca="false">IF(C4088="","",C4088*D4088/100)</f>
        <v/>
      </c>
      <c r="F4088" s="15" t="str">
        <f aca="false">IF(B4088&lt;5,"Go","Standard")</f>
        <v>Standard</v>
      </c>
    </row>
    <row r="4089" customFormat="false" ht="15" hidden="false" customHeight="true" outlineLevel="0" collapsed="false">
      <c r="A4089" s="10" t="n">
        <f aca="false">Einstellungen!$B$5+INT((ROW()-9)/24)</f>
        <v>46136</v>
      </c>
      <c r="B4089" s="11" t="n">
        <f aca="false">MOD(ROW()-9,24)</f>
        <v>0</v>
      </c>
      <c r="C4089" s="12"/>
      <c r="D4089" s="13" t="n">
        <f aca="false">IF(B4089&lt;5,Einstellungen!$B$3,Einstellungen!$B$4)</f>
        <v>15.92</v>
      </c>
      <c r="E4089" s="14" t="str">
        <f aca="false">IF(C4089="","",C4089*D4089/100)</f>
        <v/>
      </c>
      <c r="F4089" s="15" t="str">
        <f aca="false">IF(B4089&lt;5,"Go","Standard")</f>
        <v>Go</v>
      </c>
    </row>
    <row r="4090" customFormat="false" ht="15" hidden="false" customHeight="true" outlineLevel="0" collapsed="false">
      <c r="A4090" s="10" t="n">
        <f aca="false">Einstellungen!$B$5+INT((ROW()-9)/24)</f>
        <v>46136</v>
      </c>
      <c r="B4090" s="11" t="n">
        <f aca="false">MOD(ROW()-9,24)</f>
        <v>1</v>
      </c>
      <c r="C4090" s="12"/>
      <c r="D4090" s="13" t="n">
        <f aca="false">IF(B4090&lt;5,Einstellungen!$B$3,Einstellungen!$B$4)</f>
        <v>15.92</v>
      </c>
      <c r="E4090" s="14" t="str">
        <f aca="false">IF(C4090="","",C4090*D4090/100)</f>
        <v/>
      </c>
      <c r="F4090" s="15" t="str">
        <f aca="false">IF(B4090&lt;5,"Go","Standard")</f>
        <v>Go</v>
      </c>
    </row>
    <row r="4091" customFormat="false" ht="15" hidden="false" customHeight="true" outlineLevel="0" collapsed="false">
      <c r="A4091" s="10" t="n">
        <f aca="false">Einstellungen!$B$5+INT((ROW()-9)/24)</f>
        <v>46136</v>
      </c>
      <c r="B4091" s="11" t="n">
        <f aca="false">MOD(ROW()-9,24)</f>
        <v>2</v>
      </c>
      <c r="C4091" s="12"/>
      <c r="D4091" s="13" t="n">
        <f aca="false">IF(B4091&lt;5,Einstellungen!$B$3,Einstellungen!$B$4)</f>
        <v>15.92</v>
      </c>
      <c r="E4091" s="14" t="str">
        <f aca="false">IF(C4091="","",C4091*D4091/100)</f>
        <v/>
      </c>
      <c r="F4091" s="15" t="str">
        <f aca="false">IF(B4091&lt;5,"Go","Standard")</f>
        <v>Go</v>
      </c>
    </row>
    <row r="4092" customFormat="false" ht="15" hidden="false" customHeight="true" outlineLevel="0" collapsed="false">
      <c r="A4092" s="10" t="n">
        <f aca="false">Einstellungen!$B$5+INT((ROW()-9)/24)</f>
        <v>46136</v>
      </c>
      <c r="B4092" s="11" t="n">
        <f aca="false">MOD(ROW()-9,24)</f>
        <v>3</v>
      </c>
      <c r="C4092" s="12"/>
      <c r="D4092" s="13" t="n">
        <f aca="false">IF(B4092&lt;5,Einstellungen!$B$3,Einstellungen!$B$4)</f>
        <v>15.92</v>
      </c>
      <c r="E4092" s="14" t="str">
        <f aca="false">IF(C4092="","",C4092*D4092/100)</f>
        <v/>
      </c>
      <c r="F4092" s="15" t="str">
        <f aca="false">IF(B4092&lt;5,"Go","Standard")</f>
        <v>Go</v>
      </c>
    </row>
    <row r="4093" customFormat="false" ht="15" hidden="false" customHeight="true" outlineLevel="0" collapsed="false">
      <c r="A4093" s="10" t="n">
        <f aca="false">Einstellungen!$B$5+INT((ROW()-9)/24)</f>
        <v>46136</v>
      </c>
      <c r="B4093" s="11" t="n">
        <f aca="false">MOD(ROW()-9,24)</f>
        <v>4</v>
      </c>
      <c r="C4093" s="12"/>
      <c r="D4093" s="13" t="n">
        <f aca="false">IF(B4093&lt;5,Einstellungen!$B$3,Einstellungen!$B$4)</f>
        <v>15.92</v>
      </c>
      <c r="E4093" s="14" t="str">
        <f aca="false">IF(C4093="","",C4093*D4093/100)</f>
        <v/>
      </c>
      <c r="F4093" s="15" t="str">
        <f aca="false">IF(B4093&lt;5,"Go","Standard")</f>
        <v>Go</v>
      </c>
    </row>
    <row r="4094" customFormat="false" ht="15" hidden="false" customHeight="true" outlineLevel="0" collapsed="false">
      <c r="A4094" s="10" t="n">
        <f aca="false">Einstellungen!$B$5+INT((ROW()-9)/24)</f>
        <v>46136</v>
      </c>
      <c r="B4094" s="11" t="n">
        <f aca="false">MOD(ROW()-9,24)</f>
        <v>5</v>
      </c>
      <c r="C4094" s="12"/>
      <c r="D4094" s="13" t="n">
        <f aca="false">IF(B4094&lt;5,Einstellungen!$B$3,Einstellungen!$B$4)</f>
        <v>29.13</v>
      </c>
      <c r="E4094" s="14" t="str">
        <f aca="false">IF(C4094="","",C4094*D4094/100)</f>
        <v/>
      </c>
      <c r="F4094" s="15" t="str">
        <f aca="false">IF(B4094&lt;5,"Go","Standard")</f>
        <v>Standard</v>
      </c>
    </row>
    <row r="4095" customFormat="false" ht="15" hidden="false" customHeight="true" outlineLevel="0" collapsed="false">
      <c r="A4095" s="10" t="n">
        <f aca="false">Einstellungen!$B$5+INT((ROW()-9)/24)</f>
        <v>46136</v>
      </c>
      <c r="B4095" s="11" t="n">
        <f aca="false">MOD(ROW()-9,24)</f>
        <v>6</v>
      </c>
      <c r="C4095" s="12"/>
      <c r="D4095" s="13" t="n">
        <f aca="false">IF(B4095&lt;5,Einstellungen!$B$3,Einstellungen!$B$4)</f>
        <v>29.13</v>
      </c>
      <c r="E4095" s="14" t="str">
        <f aca="false">IF(C4095="","",C4095*D4095/100)</f>
        <v/>
      </c>
      <c r="F4095" s="15" t="str">
        <f aca="false">IF(B4095&lt;5,"Go","Standard")</f>
        <v>Standard</v>
      </c>
    </row>
    <row r="4096" customFormat="false" ht="15" hidden="false" customHeight="true" outlineLevel="0" collapsed="false">
      <c r="A4096" s="10" t="n">
        <f aca="false">Einstellungen!$B$5+INT((ROW()-9)/24)</f>
        <v>46136</v>
      </c>
      <c r="B4096" s="11" t="n">
        <f aca="false">MOD(ROW()-9,24)</f>
        <v>7</v>
      </c>
      <c r="C4096" s="12"/>
      <c r="D4096" s="13" t="n">
        <f aca="false">IF(B4096&lt;5,Einstellungen!$B$3,Einstellungen!$B$4)</f>
        <v>29.13</v>
      </c>
      <c r="E4096" s="14" t="str">
        <f aca="false">IF(C4096="","",C4096*D4096/100)</f>
        <v/>
      </c>
      <c r="F4096" s="15" t="str">
        <f aca="false">IF(B4096&lt;5,"Go","Standard")</f>
        <v>Standard</v>
      </c>
    </row>
    <row r="4097" customFormat="false" ht="15" hidden="false" customHeight="true" outlineLevel="0" collapsed="false">
      <c r="A4097" s="10" t="n">
        <f aca="false">Einstellungen!$B$5+INT((ROW()-9)/24)</f>
        <v>46136</v>
      </c>
      <c r="B4097" s="11" t="n">
        <f aca="false">MOD(ROW()-9,24)</f>
        <v>8</v>
      </c>
      <c r="C4097" s="12"/>
      <c r="D4097" s="13" t="n">
        <f aca="false">IF(B4097&lt;5,Einstellungen!$B$3,Einstellungen!$B$4)</f>
        <v>29.13</v>
      </c>
      <c r="E4097" s="14" t="str">
        <f aca="false">IF(C4097="","",C4097*D4097/100)</f>
        <v/>
      </c>
      <c r="F4097" s="15" t="str">
        <f aca="false">IF(B4097&lt;5,"Go","Standard")</f>
        <v>Standard</v>
      </c>
    </row>
    <row r="4098" customFormat="false" ht="15" hidden="false" customHeight="true" outlineLevel="0" collapsed="false">
      <c r="A4098" s="10" t="n">
        <f aca="false">Einstellungen!$B$5+INT((ROW()-9)/24)</f>
        <v>46136</v>
      </c>
      <c r="B4098" s="11" t="n">
        <f aca="false">MOD(ROW()-9,24)</f>
        <v>9</v>
      </c>
      <c r="C4098" s="12"/>
      <c r="D4098" s="13" t="n">
        <f aca="false">IF(B4098&lt;5,Einstellungen!$B$3,Einstellungen!$B$4)</f>
        <v>29.13</v>
      </c>
      <c r="E4098" s="14" t="str">
        <f aca="false">IF(C4098="","",C4098*D4098/100)</f>
        <v/>
      </c>
      <c r="F4098" s="15" t="str">
        <f aca="false">IF(B4098&lt;5,"Go","Standard")</f>
        <v>Standard</v>
      </c>
    </row>
    <row r="4099" customFormat="false" ht="15" hidden="false" customHeight="true" outlineLevel="0" collapsed="false">
      <c r="A4099" s="10" t="n">
        <f aca="false">Einstellungen!$B$5+INT((ROW()-9)/24)</f>
        <v>46136</v>
      </c>
      <c r="B4099" s="11" t="n">
        <f aca="false">MOD(ROW()-9,24)</f>
        <v>10</v>
      </c>
      <c r="C4099" s="12"/>
      <c r="D4099" s="13" t="n">
        <f aca="false">IF(B4099&lt;5,Einstellungen!$B$3,Einstellungen!$B$4)</f>
        <v>29.13</v>
      </c>
      <c r="E4099" s="14" t="str">
        <f aca="false">IF(C4099="","",C4099*D4099/100)</f>
        <v/>
      </c>
      <c r="F4099" s="15" t="str">
        <f aca="false">IF(B4099&lt;5,"Go","Standard")</f>
        <v>Standard</v>
      </c>
    </row>
    <row r="4100" customFormat="false" ht="15" hidden="false" customHeight="true" outlineLevel="0" collapsed="false">
      <c r="A4100" s="10" t="n">
        <f aca="false">Einstellungen!$B$5+INT((ROW()-9)/24)</f>
        <v>46136</v>
      </c>
      <c r="B4100" s="11" t="n">
        <f aca="false">MOD(ROW()-9,24)</f>
        <v>11</v>
      </c>
      <c r="C4100" s="12"/>
      <c r="D4100" s="13" t="n">
        <f aca="false">IF(B4100&lt;5,Einstellungen!$B$3,Einstellungen!$B$4)</f>
        <v>29.13</v>
      </c>
      <c r="E4100" s="14" t="str">
        <f aca="false">IF(C4100="","",C4100*D4100/100)</f>
        <v/>
      </c>
      <c r="F4100" s="15" t="str">
        <f aca="false">IF(B4100&lt;5,"Go","Standard")</f>
        <v>Standard</v>
      </c>
    </row>
    <row r="4101" customFormat="false" ht="15" hidden="false" customHeight="true" outlineLevel="0" collapsed="false">
      <c r="A4101" s="10" t="n">
        <f aca="false">Einstellungen!$B$5+INT((ROW()-9)/24)</f>
        <v>46136</v>
      </c>
      <c r="B4101" s="11" t="n">
        <f aca="false">MOD(ROW()-9,24)</f>
        <v>12</v>
      </c>
      <c r="C4101" s="12"/>
      <c r="D4101" s="13" t="n">
        <f aca="false">IF(B4101&lt;5,Einstellungen!$B$3,Einstellungen!$B$4)</f>
        <v>29.13</v>
      </c>
      <c r="E4101" s="14" t="str">
        <f aca="false">IF(C4101="","",C4101*D4101/100)</f>
        <v/>
      </c>
      <c r="F4101" s="15" t="str">
        <f aca="false">IF(B4101&lt;5,"Go","Standard")</f>
        <v>Standard</v>
      </c>
    </row>
    <row r="4102" customFormat="false" ht="15" hidden="false" customHeight="true" outlineLevel="0" collapsed="false">
      <c r="A4102" s="10" t="n">
        <f aca="false">Einstellungen!$B$5+INT((ROW()-9)/24)</f>
        <v>46136</v>
      </c>
      <c r="B4102" s="11" t="n">
        <f aca="false">MOD(ROW()-9,24)</f>
        <v>13</v>
      </c>
      <c r="C4102" s="12"/>
      <c r="D4102" s="13" t="n">
        <f aca="false">IF(B4102&lt;5,Einstellungen!$B$3,Einstellungen!$B$4)</f>
        <v>29.13</v>
      </c>
      <c r="E4102" s="14" t="str">
        <f aca="false">IF(C4102="","",C4102*D4102/100)</f>
        <v/>
      </c>
      <c r="F4102" s="15" t="str">
        <f aca="false">IF(B4102&lt;5,"Go","Standard")</f>
        <v>Standard</v>
      </c>
    </row>
    <row r="4103" customFormat="false" ht="15" hidden="false" customHeight="true" outlineLevel="0" collapsed="false">
      <c r="A4103" s="10" t="n">
        <f aca="false">Einstellungen!$B$5+INT((ROW()-9)/24)</f>
        <v>46136</v>
      </c>
      <c r="B4103" s="11" t="n">
        <f aca="false">MOD(ROW()-9,24)</f>
        <v>14</v>
      </c>
      <c r="C4103" s="12"/>
      <c r="D4103" s="13" t="n">
        <f aca="false">IF(B4103&lt;5,Einstellungen!$B$3,Einstellungen!$B$4)</f>
        <v>29.13</v>
      </c>
      <c r="E4103" s="14" t="str">
        <f aca="false">IF(C4103="","",C4103*D4103/100)</f>
        <v/>
      </c>
      <c r="F4103" s="15" t="str">
        <f aca="false">IF(B4103&lt;5,"Go","Standard")</f>
        <v>Standard</v>
      </c>
    </row>
    <row r="4104" customFormat="false" ht="15" hidden="false" customHeight="true" outlineLevel="0" collapsed="false">
      <c r="A4104" s="10" t="n">
        <f aca="false">Einstellungen!$B$5+INT((ROW()-9)/24)</f>
        <v>46136</v>
      </c>
      <c r="B4104" s="11" t="n">
        <f aca="false">MOD(ROW()-9,24)</f>
        <v>15</v>
      </c>
      <c r="C4104" s="12"/>
      <c r="D4104" s="13" t="n">
        <f aca="false">IF(B4104&lt;5,Einstellungen!$B$3,Einstellungen!$B$4)</f>
        <v>29.13</v>
      </c>
      <c r="E4104" s="14" t="str">
        <f aca="false">IF(C4104="","",C4104*D4104/100)</f>
        <v/>
      </c>
      <c r="F4104" s="15" t="str">
        <f aca="false">IF(B4104&lt;5,"Go","Standard")</f>
        <v>Standard</v>
      </c>
    </row>
    <row r="4105" customFormat="false" ht="15" hidden="false" customHeight="true" outlineLevel="0" collapsed="false">
      <c r="A4105" s="10" t="n">
        <f aca="false">Einstellungen!$B$5+INT((ROW()-9)/24)</f>
        <v>46136</v>
      </c>
      <c r="B4105" s="11" t="n">
        <f aca="false">MOD(ROW()-9,24)</f>
        <v>16</v>
      </c>
      <c r="C4105" s="12"/>
      <c r="D4105" s="13" t="n">
        <f aca="false">IF(B4105&lt;5,Einstellungen!$B$3,Einstellungen!$B$4)</f>
        <v>29.13</v>
      </c>
      <c r="E4105" s="14" t="str">
        <f aca="false">IF(C4105="","",C4105*D4105/100)</f>
        <v/>
      </c>
      <c r="F4105" s="15" t="str">
        <f aca="false">IF(B4105&lt;5,"Go","Standard")</f>
        <v>Standard</v>
      </c>
    </row>
    <row r="4106" customFormat="false" ht="15" hidden="false" customHeight="true" outlineLevel="0" collapsed="false">
      <c r="A4106" s="10" t="n">
        <f aca="false">Einstellungen!$B$5+INT((ROW()-9)/24)</f>
        <v>46136</v>
      </c>
      <c r="B4106" s="11" t="n">
        <f aca="false">MOD(ROW()-9,24)</f>
        <v>17</v>
      </c>
      <c r="C4106" s="12"/>
      <c r="D4106" s="13" t="n">
        <f aca="false">IF(B4106&lt;5,Einstellungen!$B$3,Einstellungen!$B$4)</f>
        <v>29.13</v>
      </c>
      <c r="E4106" s="14" t="str">
        <f aca="false">IF(C4106="","",C4106*D4106/100)</f>
        <v/>
      </c>
      <c r="F4106" s="15" t="str">
        <f aca="false">IF(B4106&lt;5,"Go","Standard")</f>
        <v>Standard</v>
      </c>
    </row>
    <row r="4107" customFormat="false" ht="15" hidden="false" customHeight="true" outlineLevel="0" collapsed="false">
      <c r="A4107" s="10" t="n">
        <f aca="false">Einstellungen!$B$5+INT((ROW()-9)/24)</f>
        <v>46136</v>
      </c>
      <c r="B4107" s="11" t="n">
        <f aca="false">MOD(ROW()-9,24)</f>
        <v>18</v>
      </c>
      <c r="C4107" s="12"/>
      <c r="D4107" s="13" t="n">
        <f aca="false">IF(B4107&lt;5,Einstellungen!$B$3,Einstellungen!$B$4)</f>
        <v>29.13</v>
      </c>
      <c r="E4107" s="14" t="str">
        <f aca="false">IF(C4107="","",C4107*D4107/100)</f>
        <v/>
      </c>
      <c r="F4107" s="15" t="str">
        <f aca="false">IF(B4107&lt;5,"Go","Standard")</f>
        <v>Standard</v>
      </c>
    </row>
    <row r="4108" customFormat="false" ht="15" hidden="false" customHeight="true" outlineLevel="0" collapsed="false">
      <c r="A4108" s="10" t="n">
        <f aca="false">Einstellungen!$B$5+INT((ROW()-9)/24)</f>
        <v>46136</v>
      </c>
      <c r="B4108" s="11" t="n">
        <f aca="false">MOD(ROW()-9,24)</f>
        <v>19</v>
      </c>
      <c r="C4108" s="12"/>
      <c r="D4108" s="13" t="n">
        <f aca="false">IF(B4108&lt;5,Einstellungen!$B$3,Einstellungen!$B$4)</f>
        <v>29.13</v>
      </c>
      <c r="E4108" s="14" t="str">
        <f aca="false">IF(C4108="","",C4108*D4108/100)</f>
        <v/>
      </c>
      <c r="F4108" s="15" t="str">
        <f aca="false">IF(B4108&lt;5,"Go","Standard")</f>
        <v>Standard</v>
      </c>
    </row>
    <row r="4109" customFormat="false" ht="15" hidden="false" customHeight="true" outlineLevel="0" collapsed="false">
      <c r="A4109" s="10" t="n">
        <f aca="false">Einstellungen!$B$5+INT((ROW()-9)/24)</f>
        <v>46136</v>
      </c>
      <c r="B4109" s="11" t="n">
        <f aca="false">MOD(ROW()-9,24)</f>
        <v>20</v>
      </c>
      <c r="C4109" s="12"/>
      <c r="D4109" s="13" t="n">
        <f aca="false">IF(B4109&lt;5,Einstellungen!$B$3,Einstellungen!$B$4)</f>
        <v>29.13</v>
      </c>
      <c r="E4109" s="14" t="str">
        <f aca="false">IF(C4109="","",C4109*D4109/100)</f>
        <v/>
      </c>
      <c r="F4109" s="15" t="str">
        <f aca="false">IF(B4109&lt;5,"Go","Standard")</f>
        <v>Standard</v>
      </c>
    </row>
    <row r="4110" customFormat="false" ht="15" hidden="false" customHeight="true" outlineLevel="0" collapsed="false">
      <c r="A4110" s="10" t="n">
        <f aca="false">Einstellungen!$B$5+INT((ROW()-9)/24)</f>
        <v>46136</v>
      </c>
      <c r="B4110" s="11" t="n">
        <f aca="false">MOD(ROW()-9,24)</f>
        <v>21</v>
      </c>
      <c r="C4110" s="12"/>
      <c r="D4110" s="13" t="n">
        <f aca="false">IF(B4110&lt;5,Einstellungen!$B$3,Einstellungen!$B$4)</f>
        <v>29.13</v>
      </c>
      <c r="E4110" s="14" t="str">
        <f aca="false">IF(C4110="","",C4110*D4110/100)</f>
        <v/>
      </c>
      <c r="F4110" s="15" t="str">
        <f aca="false">IF(B4110&lt;5,"Go","Standard")</f>
        <v>Standard</v>
      </c>
    </row>
    <row r="4111" customFormat="false" ht="15" hidden="false" customHeight="true" outlineLevel="0" collapsed="false">
      <c r="A4111" s="10" t="n">
        <f aca="false">Einstellungen!$B$5+INT((ROW()-9)/24)</f>
        <v>46136</v>
      </c>
      <c r="B4111" s="11" t="n">
        <f aca="false">MOD(ROW()-9,24)</f>
        <v>22</v>
      </c>
      <c r="C4111" s="12"/>
      <c r="D4111" s="13" t="n">
        <f aca="false">IF(B4111&lt;5,Einstellungen!$B$3,Einstellungen!$B$4)</f>
        <v>29.13</v>
      </c>
      <c r="E4111" s="14" t="str">
        <f aca="false">IF(C4111="","",C4111*D4111/100)</f>
        <v/>
      </c>
      <c r="F4111" s="15" t="str">
        <f aca="false">IF(B4111&lt;5,"Go","Standard")</f>
        <v>Standard</v>
      </c>
    </row>
    <row r="4112" customFormat="false" ht="15" hidden="false" customHeight="true" outlineLevel="0" collapsed="false">
      <c r="A4112" s="10" t="n">
        <f aca="false">Einstellungen!$B$5+INT((ROW()-9)/24)</f>
        <v>46136</v>
      </c>
      <c r="B4112" s="11" t="n">
        <f aca="false">MOD(ROW()-9,24)</f>
        <v>23</v>
      </c>
      <c r="C4112" s="12"/>
      <c r="D4112" s="13" t="n">
        <f aca="false">IF(B4112&lt;5,Einstellungen!$B$3,Einstellungen!$B$4)</f>
        <v>29.13</v>
      </c>
      <c r="E4112" s="14" t="str">
        <f aca="false">IF(C4112="","",C4112*D4112/100)</f>
        <v/>
      </c>
      <c r="F4112" s="15" t="str">
        <f aca="false">IF(B4112&lt;5,"Go","Standard")</f>
        <v>Standard</v>
      </c>
    </row>
    <row r="4113" customFormat="false" ht="15" hidden="false" customHeight="true" outlineLevel="0" collapsed="false">
      <c r="A4113" s="10" t="n">
        <f aca="false">Einstellungen!$B$5+INT((ROW()-9)/24)</f>
        <v>46137</v>
      </c>
      <c r="B4113" s="11" t="n">
        <f aca="false">MOD(ROW()-9,24)</f>
        <v>0</v>
      </c>
      <c r="C4113" s="12"/>
      <c r="D4113" s="13" t="n">
        <f aca="false">IF(B4113&lt;5,Einstellungen!$B$3,Einstellungen!$B$4)</f>
        <v>15.92</v>
      </c>
      <c r="E4113" s="14" t="str">
        <f aca="false">IF(C4113="","",C4113*D4113/100)</f>
        <v/>
      </c>
      <c r="F4113" s="15" t="str">
        <f aca="false">IF(B4113&lt;5,"Go","Standard")</f>
        <v>Go</v>
      </c>
    </row>
    <row r="4114" customFormat="false" ht="15" hidden="false" customHeight="true" outlineLevel="0" collapsed="false">
      <c r="A4114" s="10" t="n">
        <f aca="false">Einstellungen!$B$5+INT((ROW()-9)/24)</f>
        <v>46137</v>
      </c>
      <c r="B4114" s="11" t="n">
        <f aca="false">MOD(ROW()-9,24)</f>
        <v>1</v>
      </c>
      <c r="C4114" s="12"/>
      <c r="D4114" s="13" t="n">
        <f aca="false">IF(B4114&lt;5,Einstellungen!$B$3,Einstellungen!$B$4)</f>
        <v>15.92</v>
      </c>
      <c r="E4114" s="14" t="str">
        <f aca="false">IF(C4114="","",C4114*D4114/100)</f>
        <v/>
      </c>
      <c r="F4114" s="15" t="str">
        <f aca="false">IF(B4114&lt;5,"Go","Standard")</f>
        <v>Go</v>
      </c>
    </row>
    <row r="4115" customFormat="false" ht="15" hidden="false" customHeight="true" outlineLevel="0" collapsed="false">
      <c r="A4115" s="10" t="n">
        <f aca="false">Einstellungen!$B$5+INT((ROW()-9)/24)</f>
        <v>46137</v>
      </c>
      <c r="B4115" s="11" t="n">
        <f aca="false">MOD(ROW()-9,24)</f>
        <v>2</v>
      </c>
      <c r="C4115" s="12"/>
      <c r="D4115" s="13" t="n">
        <f aca="false">IF(B4115&lt;5,Einstellungen!$B$3,Einstellungen!$B$4)</f>
        <v>15.92</v>
      </c>
      <c r="E4115" s="14" t="str">
        <f aca="false">IF(C4115="","",C4115*D4115/100)</f>
        <v/>
      </c>
      <c r="F4115" s="15" t="str">
        <f aca="false">IF(B4115&lt;5,"Go","Standard")</f>
        <v>Go</v>
      </c>
    </row>
    <row r="4116" customFormat="false" ht="15" hidden="false" customHeight="true" outlineLevel="0" collapsed="false">
      <c r="A4116" s="10" t="n">
        <f aca="false">Einstellungen!$B$5+INT((ROW()-9)/24)</f>
        <v>46137</v>
      </c>
      <c r="B4116" s="11" t="n">
        <f aca="false">MOD(ROW()-9,24)</f>
        <v>3</v>
      </c>
      <c r="C4116" s="12"/>
      <c r="D4116" s="13" t="n">
        <f aca="false">IF(B4116&lt;5,Einstellungen!$B$3,Einstellungen!$B$4)</f>
        <v>15.92</v>
      </c>
      <c r="E4116" s="14" t="str">
        <f aca="false">IF(C4116="","",C4116*D4116/100)</f>
        <v/>
      </c>
      <c r="F4116" s="15" t="str">
        <f aca="false">IF(B4116&lt;5,"Go","Standard")</f>
        <v>Go</v>
      </c>
    </row>
    <row r="4117" customFormat="false" ht="15" hidden="false" customHeight="true" outlineLevel="0" collapsed="false">
      <c r="A4117" s="10" t="n">
        <f aca="false">Einstellungen!$B$5+INT((ROW()-9)/24)</f>
        <v>46137</v>
      </c>
      <c r="B4117" s="11" t="n">
        <f aca="false">MOD(ROW()-9,24)</f>
        <v>4</v>
      </c>
      <c r="C4117" s="12"/>
      <c r="D4117" s="13" t="n">
        <f aca="false">IF(B4117&lt;5,Einstellungen!$B$3,Einstellungen!$B$4)</f>
        <v>15.92</v>
      </c>
      <c r="E4117" s="14" t="str">
        <f aca="false">IF(C4117="","",C4117*D4117/100)</f>
        <v/>
      </c>
      <c r="F4117" s="15" t="str">
        <f aca="false">IF(B4117&lt;5,"Go","Standard")</f>
        <v>Go</v>
      </c>
    </row>
    <row r="4118" customFormat="false" ht="15" hidden="false" customHeight="true" outlineLevel="0" collapsed="false">
      <c r="A4118" s="10" t="n">
        <f aca="false">Einstellungen!$B$5+INT((ROW()-9)/24)</f>
        <v>46137</v>
      </c>
      <c r="B4118" s="11" t="n">
        <f aca="false">MOD(ROW()-9,24)</f>
        <v>5</v>
      </c>
      <c r="C4118" s="12"/>
      <c r="D4118" s="13" t="n">
        <f aca="false">IF(B4118&lt;5,Einstellungen!$B$3,Einstellungen!$B$4)</f>
        <v>29.13</v>
      </c>
      <c r="E4118" s="14" t="str">
        <f aca="false">IF(C4118="","",C4118*D4118/100)</f>
        <v/>
      </c>
      <c r="F4118" s="15" t="str">
        <f aca="false">IF(B4118&lt;5,"Go","Standard")</f>
        <v>Standard</v>
      </c>
    </row>
    <row r="4119" customFormat="false" ht="15" hidden="false" customHeight="true" outlineLevel="0" collapsed="false">
      <c r="A4119" s="10" t="n">
        <f aca="false">Einstellungen!$B$5+INT((ROW()-9)/24)</f>
        <v>46137</v>
      </c>
      <c r="B4119" s="11" t="n">
        <f aca="false">MOD(ROW()-9,24)</f>
        <v>6</v>
      </c>
      <c r="C4119" s="12"/>
      <c r="D4119" s="13" t="n">
        <f aca="false">IF(B4119&lt;5,Einstellungen!$B$3,Einstellungen!$B$4)</f>
        <v>29.13</v>
      </c>
      <c r="E4119" s="14" t="str">
        <f aca="false">IF(C4119="","",C4119*D4119/100)</f>
        <v/>
      </c>
      <c r="F4119" s="15" t="str">
        <f aca="false">IF(B4119&lt;5,"Go","Standard")</f>
        <v>Standard</v>
      </c>
    </row>
    <row r="4120" customFormat="false" ht="15" hidden="false" customHeight="true" outlineLevel="0" collapsed="false">
      <c r="A4120" s="10" t="n">
        <f aca="false">Einstellungen!$B$5+INT((ROW()-9)/24)</f>
        <v>46137</v>
      </c>
      <c r="B4120" s="11" t="n">
        <f aca="false">MOD(ROW()-9,24)</f>
        <v>7</v>
      </c>
      <c r="C4120" s="12"/>
      <c r="D4120" s="13" t="n">
        <f aca="false">IF(B4120&lt;5,Einstellungen!$B$3,Einstellungen!$B$4)</f>
        <v>29.13</v>
      </c>
      <c r="E4120" s="14" t="str">
        <f aca="false">IF(C4120="","",C4120*D4120/100)</f>
        <v/>
      </c>
      <c r="F4120" s="15" t="str">
        <f aca="false">IF(B4120&lt;5,"Go","Standard")</f>
        <v>Standard</v>
      </c>
    </row>
    <row r="4121" customFormat="false" ht="15" hidden="false" customHeight="true" outlineLevel="0" collapsed="false">
      <c r="A4121" s="10" t="n">
        <f aca="false">Einstellungen!$B$5+INT((ROW()-9)/24)</f>
        <v>46137</v>
      </c>
      <c r="B4121" s="11" t="n">
        <f aca="false">MOD(ROW()-9,24)</f>
        <v>8</v>
      </c>
      <c r="C4121" s="12"/>
      <c r="D4121" s="13" t="n">
        <f aca="false">IF(B4121&lt;5,Einstellungen!$B$3,Einstellungen!$B$4)</f>
        <v>29.13</v>
      </c>
      <c r="E4121" s="14" t="str">
        <f aca="false">IF(C4121="","",C4121*D4121/100)</f>
        <v/>
      </c>
      <c r="F4121" s="15" t="str">
        <f aca="false">IF(B4121&lt;5,"Go","Standard")</f>
        <v>Standard</v>
      </c>
    </row>
    <row r="4122" customFormat="false" ht="15" hidden="false" customHeight="true" outlineLevel="0" collapsed="false">
      <c r="A4122" s="10" t="n">
        <f aca="false">Einstellungen!$B$5+INT((ROW()-9)/24)</f>
        <v>46137</v>
      </c>
      <c r="B4122" s="11" t="n">
        <f aca="false">MOD(ROW()-9,24)</f>
        <v>9</v>
      </c>
      <c r="C4122" s="12"/>
      <c r="D4122" s="13" t="n">
        <f aca="false">IF(B4122&lt;5,Einstellungen!$B$3,Einstellungen!$B$4)</f>
        <v>29.13</v>
      </c>
      <c r="E4122" s="14" t="str">
        <f aca="false">IF(C4122="","",C4122*D4122/100)</f>
        <v/>
      </c>
      <c r="F4122" s="15" t="str">
        <f aca="false">IF(B4122&lt;5,"Go","Standard")</f>
        <v>Standard</v>
      </c>
    </row>
    <row r="4123" customFormat="false" ht="15" hidden="false" customHeight="true" outlineLevel="0" collapsed="false">
      <c r="A4123" s="10" t="n">
        <f aca="false">Einstellungen!$B$5+INT((ROW()-9)/24)</f>
        <v>46137</v>
      </c>
      <c r="B4123" s="11" t="n">
        <f aca="false">MOD(ROW()-9,24)</f>
        <v>10</v>
      </c>
      <c r="C4123" s="12"/>
      <c r="D4123" s="13" t="n">
        <f aca="false">IF(B4123&lt;5,Einstellungen!$B$3,Einstellungen!$B$4)</f>
        <v>29.13</v>
      </c>
      <c r="E4123" s="14" t="str">
        <f aca="false">IF(C4123="","",C4123*D4123/100)</f>
        <v/>
      </c>
      <c r="F4123" s="15" t="str">
        <f aca="false">IF(B4123&lt;5,"Go","Standard")</f>
        <v>Standard</v>
      </c>
    </row>
    <row r="4124" customFormat="false" ht="15" hidden="false" customHeight="true" outlineLevel="0" collapsed="false">
      <c r="A4124" s="10" t="n">
        <f aca="false">Einstellungen!$B$5+INT((ROW()-9)/24)</f>
        <v>46137</v>
      </c>
      <c r="B4124" s="11" t="n">
        <f aca="false">MOD(ROW()-9,24)</f>
        <v>11</v>
      </c>
      <c r="C4124" s="12"/>
      <c r="D4124" s="13" t="n">
        <f aca="false">IF(B4124&lt;5,Einstellungen!$B$3,Einstellungen!$B$4)</f>
        <v>29.13</v>
      </c>
      <c r="E4124" s="14" t="str">
        <f aca="false">IF(C4124="","",C4124*D4124/100)</f>
        <v/>
      </c>
      <c r="F4124" s="15" t="str">
        <f aca="false">IF(B4124&lt;5,"Go","Standard")</f>
        <v>Standard</v>
      </c>
    </row>
    <row r="4125" customFormat="false" ht="15" hidden="false" customHeight="true" outlineLevel="0" collapsed="false">
      <c r="A4125" s="10" t="n">
        <f aca="false">Einstellungen!$B$5+INT((ROW()-9)/24)</f>
        <v>46137</v>
      </c>
      <c r="B4125" s="11" t="n">
        <f aca="false">MOD(ROW()-9,24)</f>
        <v>12</v>
      </c>
      <c r="C4125" s="12"/>
      <c r="D4125" s="13" t="n">
        <f aca="false">IF(B4125&lt;5,Einstellungen!$B$3,Einstellungen!$B$4)</f>
        <v>29.13</v>
      </c>
      <c r="E4125" s="14" t="str">
        <f aca="false">IF(C4125="","",C4125*D4125/100)</f>
        <v/>
      </c>
      <c r="F4125" s="15" t="str">
        <f aca="false">IF(B4125&lt;5,"Go","Standard")</f>
        <v>Standard</v>
      </c>
    </row>
    <row r="4126" customFormat="false" ht="15" hidden="false" customHeight="true" outlineLevel="0" collapsed="false">
      <c r="A4126" s="10" t="n">
        <f aca="false">Einstellungen!$B$5+INT((ROW()-9)/24)</f>
        <v>46137</v>
      </c>
      <c r="B4126" s="11" t="n">
        <f aca="false">MOD(ROW()-9,24)</f>
        <v>13</v>
      </c>
      <c r="C4126" s="12"/>
      <c r="D4126" s="13" t="n">
        <f aca="false">IF(B4126&lt;5,Einstellungen!$B$3,Einstellungen!$B$4)</f>
        <v>29.13</v>
      </c>
      <c r="E4126" s="14" t="str">
        <f aca="false">IF(C4126="","",C4126*D4126/100)</f>
        <v/>
      </c>
      <c r="F4126" s="15" t="str">
        <f aca="false">IF(B4126&lt;5,"Go","Standard")</f>
        <v>Standard</v>
      </c>
    </row>
    <row r="4127" customFormat="false" ht="15" hidden="false" customHeight="true" outlineLevel="0" collapsed="false">
      <c r="A4127" s="10" t="n">
        <f aca="false">Einstellungen!$B$5+INT((ROW()-9)/24)</f>
        <v>46137</v>
      </c>
      <c r="B4127" s="11" t="n">
        <f aca="false">MOD(ROW()-9,24)</f>
        <v>14</v>
      </c>
      <c r="C4127" s="12"/>
      <c r="D4127" s="13" t="n">
        <f aca="false">IF(B4127&lt;5,Einstellungen!$B$3,Einstellungen!$B$4)</f>
        <v>29.13</v>
      </c>
      <c r="E4127" s="14" t="str">
        <f aca="false">IF(C4127="","",C4127*D4127/100)</f>
        <v/>
      </c>
      <c r="F4127" s="15" t="str">
        <f aca="false">IF(B4127&lt;5,"Go","Standard")</f>
        <v>Standard</v>
      </c>
    </row>
    <row r="4128" customFormat="false" ht="15" hidden="false" customHeight="true" outlineLevel="0" collapsed="false">
      <c r="A4128" s="10" t="n">
        <f aca="false">Einstellungen!$B$5+INT((ROW()-9)/24)</f>
        <v>46137</v>
      </c>
      <c r="B4128" s="11" t="n">
        <f aca="false">MOD(ROW()-9,24)</f>
        <v>15</v>
      </c>
      <c r="C4128" s="12"/>
      <c r="D4128" s="13" t="n">
        <f aca="false">IF(B4128&lt;5,Einstellungen!$B$3,Einstellungen!$B$4)</f>
        <v>29.13</v>
      </c>
      <c r="E4128" s="14" t="str">
        <f aca="false">IF(C4128="","",C4128*D4128/100)</f>
        <v/>
      </c>
      <c r="F4128" s="15" t="str">
        <f aca="false">IF(B4128&lt;5,"Go","Standard")</f>
        <v>Standard</v>
      </c>
    </row>
    <row r="4129" customFormat="false" ht="15" hidden="false" customHeight="true" outlineLevel="0" collapsed="false">
      <c r="A4129" s="10" t="n">
        <f aca="false">Einstellungen!$B$5+INT((ROW()-9)/24)</f>
        <v>46137</v>
      </c>
      <c r="B4129" s="11" t="n">
        <f aca="false">MOD(ROW()-9,24)</f>
        <v>16</v>
      </c>
      <c r="C4129" s="12"/>
      <c r="D4129" s="13" t="n">
        <f aca="false">IF(B4129&lt;5,Einstellungen!$B$3,Einstellungen!$B$4)</f>
        <v>29.13</v>
      </c>
      <c r="E4129" s="14" t="str">
        <f aca="false">IF(C4129="","",C4129*D4129/100)</f>
        <v/>
      </c>
      <c r="F4129" s="15" t="str">
        <f aca="false">IF(B4129&lt;5,"Go","Standard")</f>
        <v>Standard</v>
      </c>
    </row>
    <row r="4130" customFormat="false" ht="15" hidden="false" customHeight="true" outlineLevel="0" collapsed="false">
      <c r="A4130" s="10" t="n">
        <f aca="false">Einstellungen!$B$5+INT((ROW()-9)/24)</f>
        <v>46137</v>
      </c>
      <c r="B4130" s="11" t="n">
        <f aca="false">MOD(ROW()-9,24)</f>
        <v>17</v>
      </c>
      <c r="C4130" s="12"/>
      <c r="D4130" s="13" t="n">
        <f aca="false">IF(B4130&lt;5,Einstellungen!$B$3,Einstellungen!$B$4)</f>
        <v>29.13</v>
      </c>
      <c r="E4130" s="14" t="str">
        <f aca="false">IF(C4130="","",C4130*D4130/100)</f>
        <v/>
      </c>
      <c r="F4130" s="15" t="str">
        <f aca="false">IF(B4130&lt;5,"Go","Standard")</f>
        <v>Standard</v>
      </c>
    </row>
    <row r="4131" customFormat="false" ht="15" hidden="false" customHeight="true" outlineLevel="0" collapsed="false">
      <c r="A4131" s="10" t="n">
        <f aca="false">Einstellungen!$B$5+INT((ROW()-9)/24)</f>
        <v>46137</v>
      </c>
      <c r="B4131" s="11" t="n">
        <f aca="false">MOD(ROW()-9,24)</f>
        <v>18</v>
      </c>
      <c r="C4131" s="12"/>
      <c r="D4131" s="13" t="n">
        <f aca="false">IF(B4131&lt;5,Einstellungen!$B$3,Einstellungen!$B$4)</f>
        <v>29.13</v>
      </c>
      <c r="E4131" s="14" t="str">
        <f aca="false">IF(C4131="","",C4131*D4131/100)</f>
        <v/>
      </c>
      <c r="F4131" s="15" t="str">
        <f aca="false">IF(B4131&lt;5,"Go","Standard")</f>
        <v>Standard</v>
      </c>
    </row>
    <row r="4132" customFormat="false" ht="15" hidden="false" customHeight="true" outlineLevel="0" collapsed="false">
      <c r="A4132" s="10" t="n">
        <f aca="false">Einstellungen!$B$5+INT((ROW()-9)/24)</f>
        <v>46137</v>
      </c>
      <c r="B4132" s="11" t="n">
        <f aca="false">MOD(ROW()-9,24)</f>
        <v>19</v>
      </c>
      <c r="C4132" s="12"/>
      <c r="D4132" s="13" t="n">
        <f aca="false">IF(B4132&lt;5,Einstellungen!$B$3,Einstellungen!$B$4)</f>
        <v>29.13</v>
      </c>
      <c r="E4132" s="14" t="str">
        <f aca="false">IF(C4132="","",C4132*D4132/100)</f>
        <v/>
      </c>
      <c r="F4132" s="15" t="str">
        <f aca="false">IF(B4132&lt;5,"Go","Standard")</f>
        <v>Standard</v>
      </c>
    </row>
    <row r="4133" customFormat="false" ht="15" hidden="false" customHeight="true" outlineLevel="0" collapsed="false">
      <c r="A4133" s="10" t="n">
        <f aca="false">Einstellungen!$B$5+INT((ROW()-9)/24)</f>
        <v>46137</v>
      </c>
      <c r="B4133" s="11" t="n">
        <f aca="false">MOD(ROW()-9,24)</f>
        <v>20</v>
      </c>
      <c r="C4133" s="12"/>
      <c r="D4133" s="13" t="n">
        <f aca="false">IF(B4133&lt;5,Einstellungen!$B$3,Einstellungen!$B$4)</f>
        <v>29.13</v>
      </c>
      <c r="E4133" s="14" t="str">
        <f aca="false">IF(C4133="","",C4133*D4133/100)</f>
        <v/>
      </c>
      <c r="F4133" s="15" t="str">
        <f aca="false">IF(B4133&lt;5,"Go","Standard")</f>
        <v>Standard</v>
      </c>
    </row>
    <row r="4134" customFormat="false" ht="15" hidden="false" customHeight="true" outlineLevel="0" collapsed="false">
      <c r="A4134" s="10" t="n">
        <f aca="false">Einstellungen!$B$5+INT((ROW()-9)/24)</f>
        <v>46137</v>
      </c>
      <c r="B4134" s="11" t="n">
        <f aca="false">MOD(ROW()-9,24)</f>
        <v>21</v>
      </c>
      <c r="C4134" s="12"/>
      <c r="D4134" s="13" t="n">
        <f aca="false">IF(B4134&lt;5,Einstellungen!$B$3,Einstellungen!$B$4)</f>
        <v>29.13</v>
      </c>
      <c r="E4134" s="14" t="str">
        <f aca="false">IF(C4134="","",C4134*D4134/100)</f>
        <v/>
      </c>
      <c r="F4134" s="15" t="str">
        <f aca="false">IF(B4134&lt;5,"Go","Standard")</f>
        <v>Standard</v>
      </c>
    </row>
    <row r="4135" customFormat="false" ht="15" hidden="false" customHeight="true" outlineLevel="0" collapsed="false">
      <c r="A4135" s="10" t="n">
        <f aca="false">Einstellungen!$B$5+INT((ROW()-9)/24)</f>
        <v>46137</v>
      </c>
      <c r="B4135" s="11" t="n">
        <f aca="false">MOD(ROW()-9,24)</f>
        <v>22</v>
      </c>
      <c r="C4135" s="12"/>
      <c r="D4135" s="13" t="n">
        <f aca="false">IF(B4135&lt;5,Einstellungen!$B$3,Einstellungen!$B$4)</f>
        <v>29.13</v>
      </c>
      <c r="E4135" s="14" t="str">
        <f aca="false">IF(C4135="","",C4135*D4135/100)</f>
        <v/>
      </c>
      <c r="F4135" s="15" t="str">
        <f aca="false">IF(B4135&lt;5,"Go","Standard")</f>
        <v>Standard</v>
      </c>
    </row>
    <row r="4136" customFormat="false" ht="15" hidden="false" customHeight="true" outlineLevel="0" collapsed="false">
      <c r="A4136" s="10" t="n">
        <f aca="false">Einstellungen!$B$5+INT((ROW()-9)/24)</f>
        <v>46137</v>
      </c>
      <c r="B4136" s="11" t="n">
        <f aca="false">MOD(ROW()-9,24)</f>
        <v>23</v>
      </c>
      <c r="C4136" s="12"/>
      <c r="D4136" s="13" t="n">
        <f aca="false">IF(B4136&lt;5,Einstellungen!$B$3,Einstellungen!$B$4)</f>
        <v>29.13</v>
      </c>
      <c r="E4136" s="14" t="str">
        <f aca="false">IF(C4136="","",C4136*D4136/100)</f>
        <v/>
      </c>
      <c r="F4136" s="15" t="str">
        <f aca="false">IF(B4136&lt;5,"Go","Standard")</f>
        <v>Standard</v>
      </c>
    </row>
    <row r="4137" customFormat="false" ht="15" hidden="false" customHeight="true" outlineLevel="0" collapsed="false">
      <c r="A4137" s="10" t="n">
        <f aca="false">Einstellungen!$B$5+INT((ROW()-9)/24)</f>
        <v>46138</v>
      </c>
      <c r="B4137" s="11" t="n">
        <f aca="false">MOD(ROW()-9,24)</f>
        <v>0</v>
      </c>
      <c r="C4137" s="12"/>
      <c r="D4137" s="13" t="n">
        <f aca="false">IF(B4137&lt;5,Einstellungen!$B$3,Einstellungen!$B$4)</f>
        <v>15.92</v>
      </c>
      <c r="E4137" s="14" t="str">
        <f aca="false">IF(C4137="","",C4137*D4137/100)</f>
        <v/>
      </c>
      <c r="F4137" s="15" t="str">
        <f aca="false">IF(B4137&lt;5,"Go","Standard")</f>
        <v>Go</v>
      </c>
    </row>
    <row r="4138" customFormat="false" ht="15" hidden="false" customHeight="true" outlineLevel="0" collapsed="false">
      <c r="A4138" s="10" t="n">
        <f aca="false">Einstellungen!$B$5+INT((ROW()-9)/24)</f>
        <v>46138</v>
      </c>
      <c r="B4138" s="11" t="n">
        <f aca="false">MOD(ROW()-9,24)</f>
        <v>1</v>
      </c>
      <c r="C4138" s="12"/>
      <c r="D4138" s="13" t="n">
        <f aca="false">IF(B4138&lt;5,Einstellungen!$B$3,Einstellungen!$B$4)</f>
        <v>15.92</v>
      </c>
      <c r="E4138" s="14" t="str">
        <f aca="false">IF(C4138="","",C4138*D4138/100)</f>
        <v/>
      </c>
      <c r="F4138" s="15" t="str">
        <f aca="false">IF(B4138&lt;5,"Go","Standard")</f>
        <v>Go</v>
      </c>
    </row>
    <row r="4139" customFormat="false" ht="15" hidden="false" customHeight="true" outlineLevel="0" collapsed="false">
      <c r="A4139" s="10" t="n">
        <f aca="false">Einstellungen!$B$5+INT((ROW()-9)/24)</f>
        <v>46138</v>
      </c>
      <c r="B4139" s="11" t="n">
        <f aca="false">MOD(ROW()-9,24)</f>
        <v>2</v>
      </c>
      <c r="C4139" s="12"/>
      <c r="D4139" s="13" t="n">
        <f aca="false">IF(B4139&lt;5,Einstellungen!$B$3,Einstellungen!$B$4)</f>
        <v>15.92</v>
      </c>
      <c r="E4139" s="14" t="str">
        <f aca="false">IF(C4139="","",C4139*D4139/100)</f>
        <v/>
      </c>
      <c r="F4139" s="15" t="str">
        <f aca="false">IF(B4139&lt;5,"Go","Standard")</f>
        <v>Go</v>
      </c>
    </row>
    <row r="4140" customFormat="false" ht="15" hidden="false" customHeight="true" outlineLevel="0" collapsed="false">
      <c r="A4140" s="10" t="n">
        <f aca="false">Einstellungen!$B$5+INT((ROW()-9)/24)</f>
        <v>46138</v>
      </c>
      <c r="B4140" s="11" t="n">
        <f aca="false">MOD(ROW()-9,24)</f>
        <v>3</v>
      </c>
      <c r="C4140" s="12"/>
      <c r="D4140" s="13" t="n">
        <f aca="false">IF(B4140&lt;5,Einstellungen!$B$3,Einstellungen!$B$4)</f>
        <v>15.92</v>
      </c>
      <c r="E4140" s="14" t="str">
        <f aca="false">IF(C4140="","",C4140*D4140/100)</f>
        <v/>
      </c>
      <c r="F4140" s="15" t="str">
        <f aca="false">IF(B4140&lt;5,"Go","Standard")</f>
        <v>Go</v>
      </c>
    </row>
    <row r="4141" customFormat="false" ht="15" hidden="false" customHeight="true" outlineLevel="0" collapsed="false">
      <c r="A4141" s="10" t="n">
        <f aca="false">Einstellungen!$B$5+INT((ROW()-9)/24)</f>
        <v>46138</v>
      </c>
      <c r="B4141" s="11" t="n">
        <f aca="false">MOD(ROW()-9,24)</f>
        <v>4</v>
      </c>
      <c r="C4141" s="12"/>
      <c r="D4141" s="13" t="n">
        <f aca="false">IF(B4141&lt;5,Einstellungen!$B$3,Einstellungen!$B$4)</f>
        <v>15.92</v>
      </c>
      <c r="E4141" s="14" t="str">
        <f aca="false">IF(C4141="","",C4141*D4141/100)</f>
        <v/>
      </c>
      <c r="F4141" s="15" t="str">
        <f aca="false">IF(B4141&lt;5,"Go","Standard")</f>
        <v>Go</v>
      </c>
    </row>
    <row r="4142" customFormat="false" ht="15" hidden="false" customHeight="true" outlineLevel="0" collapsed="false">
      <c r="A4142" s="10" t="n">
        <f aca="false">Einstellungen!$B$5+INT((ROW()-9)/24)</f>
        <v>46138</v>
      </c>
      <c r="B4142" s="11" t="n">
        <f aca="false">MOD(ROW()-9,24)</f>
        <v>5</v>
      </c>
      <c r="C4142" s="12"/>
      <c r="D4142" s="13" t="n">
        <f aca="false">IF(B4142&lt;5,Einstellungen!$B$3,Einstellungen!$B$4)</f>
        <v>29.13</v>
      </c>
      <c r="E4142" s="14" t="str">
        <f aca="false">IF(C4142="","",C4142*D4142/100)</f>
        <v/>
      </c>
      <c r="F4142" s="15" t="str">
        <f aca="false">IF(B4142&lt;5,"Go","Standard")</f>
        <v>Standard</v>
      </c>
    </row>
    <row r="4143" customFormat="false" ht="15" hidden="false" customHeight="true" outlineLevel="0" collapsed="false">
      <c r="A4143" s="10" t="n">
        <f aca="false">Einstellungen!$B$5+INT((ROW()-9)/24)</f>
        <v>46138</v>
      </c>
      <c r="B4143" s="11" t="n">
        <f aca="false">MOD(ROW()-9,24)</f>
        <v>6</v>
      </c>
      <c r="C4143" s="12"/>
      <c r="D4143" s="13" t="n">
        <f aca="false">IF(B4143&lt;5,Einstellungen!$B$3,Einstellungen!$B$4)</f>
        <v>29.13</v>
      </c>
      <c r="E4143" s="14" t="str">
        <f aca="false">IF(C4143="","",C4143*D4143/100)</f>
        <v/>
      </c>
      <c r="F4143" s="15" t="str">
        <f aca="false">IF(B4143&lt;5,"Go","Standard")</f>
        <v>Standard</v>
      </c>
    </row>
    <row r="4144" customFormat="false" ht="15" hidden="false" customHeight="true" outlineLevel="0" collapsed="false">
      <c r="A4144" s="10" t="n">
        <f aca="false">Einstellungen!$B$5+INT((ROW()-9)/24)</f>
        <v>46138</v>
      </c>
      <c r="B4144" s="11" t="n">
        <f aca="false">MOD(ROW()-9,24)</f>
        <v>7</v>
      </c>
      <c r="C4144" s="12"/>
      <c r="D4144" s="13" t="n">
        <f aca="false">IF(B4144&lt;5,Einstellungen!$B$3,Einstellungen!$B$4)</f>
        <v>29.13</v>
      </c>
      <c r="E4144" s="14" t="str">
        <f aca="false">IF(C4144="","",C4144*D4144/100)</f>
        <v/>
      </c>
      <c r="F4144" s="15" t="str">
        <f aca="false">IF(B4144&lt;5,"Go","Standard")</f>
        <v>Standard</v>
      </c>
    </row>
    <row r="4145" customFormat="false" ht="15" hidden="false" customHeight="true" outlineLevel="0" collapsed="false">
      <c r="A4145" s="10" t="n">
        <f aca="false">Einstellungen!$B$5+INT((ROW()-9)/24)</f>
        <v>46138</v>
      </c>
      <c r="B4145" s="11" t="n">
        <f aca="false">MOD(ROW()-9,24)</f>
        <v>8</v>
      </c>
      <c r="C4145" s="12"/>
      <c r="D4145" s="13" t="n">
        <f aca="false">IF(B4145&lt;5,Einstellungen!$B$3,Einstellungen!$B$4)</f>
        <v>29.13</v>
      </c>
      <c r="E4145" s="14" t="str">
        <f aca="false">IF(C4145="","",C4145*D4145/100)</f>
        <v/>
      </c>
      <c r="F4145" s="15" t="str">
        <f aca="false">IF(B4145&lt;5,"Go","Standard")</f>
        <v>Standard</v>
      </c>
    </row>
    <row r="4146" customFormat="false" ht="15" hidden="false" customHeight="true" outlineLevel="0" collapsed="false">
      <c r="A4146" s="10" t="n">
        <f aca="false">Einstellungen!$B$5+INT((ROW()-9)/24)</f>
        <v>46138</v>
      </c>
      <c r="B4146" s="11" t="n">
        <f aca="false">MOD(ROW()-9,24)</f>
        <v>9</v>
      </c>
      <c r="C4146" s="12"/>
      <c r="D4146" s="13" t="n">
        <f aca="false">IF(B4146&lt;5,Einstellungen!$B$3,Einstellungen!$B$4)</f>
        <v>29.13</v>
      </c>
      <c r="E4146" s="14" t="str">
        <f aca="false">IF(C4146="","",C4146*D4146/100)</f>
        <v/>
      </c>
      <c r="F4146" s="15" t="str">
        <f aca="false">IF(B4146&lt;5,"Go","Standard")</f>
        <v>Standard</v>
      </c>
    </row>
    <row r="4147" customFormat="false" ht="15" hidden="false" customHeight="true" outlineLevel="0" collapsed="false">
      <c r="A4147" s="10" t="n">
        <f aca="false">Einstellungen!$B$5+INT((ROW()-9)/24)</f>
        <v>46138</v>
      </c>
      <c r="B4147" s="11" t="n">
        <f aca="false">MOD(ROW()-9,24)</f>
        <v>10</v>
      </c>
      <c r="C4147" s="12"/>
      <c r="D4147" s="13" t="n">
        <f aca="false">IF(B4147&lt;5,Einstellungen!$B$3,Einstellungen!$B$4)</f>
        <v>29.13</v>
      </c>
      <c r="E4147" s="14" t="str">
        <f aca="false">IF(C4147="","",C4147*D4147/100)</f>
        <v/>
      </c>
      <c r="F4147" s="15" t="str">
        <f aca="false">IF(B4147&lt;5,"Go","Standard")</f>
        <v>Standard</v>
      </c>
    </row>
    <row r="4148" customFormat="false" ht="15" hidden="false" customHeight="true" outlineLevel="0" collapsed="false">
      <c r="A4148" s="10" t="n">
        <f aca="false">Einstellungen!$B$5+INT((ROW()-9)/24)</f>
        <v>46138</v>
      </c>
      <c r="B4148" s="11" t="n">
        <f aca="false">MOD(ROW()-9,24)</f>
        <v>11</v>
      </c>
      <c r="C4148" s="12"/>
      <c r="D4148" s="13" t="n">
        <f aca="false">IF(B4148&lt;5,Einstellungen!$B$3,Einstellungen!$B$4)</f>
        <v>29.13</v>
      </c>
      <c r="E4148" s="14" t="str">
        <f aca="false">IF(C4148="","",C4148*D4148/100)</f>
        <v/>
      </c>
      <c r="F4148" s="15" t="str">
        <f aca="false">IF(B4148&lt;5,"Go","Standard")</f>
        <v>Standard</v>
      </c>
    </row>
    <row r="4149" customFormat="false" ht="15" hidden="false" customHeight="true" outlineLevel="0" collapsed="false">
      <c r="A4149" s="10" t="n">
        <f aca="false">Einstellungen!$B$5+INT((ROW()-9)/24)</f>
        <v>46138</v>
      </c>
      <c r="B4149" s="11" t="n">
        <f aca="false">MOD(ROW()-9,24)</f>
        <v>12</v>
      </c>
      <c r="C4149" s="12"/>
      <c r="D4149" s="13" t="n">
        <f aca="false">IF(B4149&lt;5,Einstellungen!$B$3,Einstellungen!$B$4)</f>
        <v>29.13</v>
      </c>
      <c r="E4149" s="14" t="str">
        <f aca="false">IF(C4149="","",C4149*D4149/100)</f>
        <v/>
      </c>
      <c r="F4149" s="15" t="str">
        <f aca="false">IF(B4149&lt;5,"Go","Standard")</f>
        <v>Standard</v>
      </c>
    </row>
    <row r="4150" customFormat="false" ht="15" hidden="false" customHeight="true" outlineLevel="0" collapsed="false">
      <c r="A4150" s="10" t="n">
        <f aca="false">Einstellungen!$B$5+INT((ROW()-9)/24)</f>
        <v>46138</v>
      </c>
      <c r="B4150" s="11" t="n">
        <f aca="false">MOD(ROW()-9,24)</f>
        <v>13</v>
      </c>
      <c r="C4150" s="12"/>
      <c r="D4150" s="13" t="n">
        <f aca="false">IF(B4150&lt;5,Einstellungen!$B$3,Einstellungen!$B$4)</f>
        <v>29.13</v>
      </c>
      <c r="E4150" s="14" t="str">
        <f aca="false">IF(C4150="","",C4150*D4150/100)</f>
        <v/>
      </c>
      <c r="F4150" s="15" t="str">
        <f aca="false">IF(B4150&lt;5,"Go","Standard")</f>
        <v>Standard</v>
      </c>
    </row>
    <row r="4151" customFormat="false" ht="15" hidden="false" customHeight="true" outlineLevel="0" collapsed="false">
      <c r="A4151" s="10" t="n">
        <f aca="false">Einstellungen!$B$5+INT((ROW()-9)/24)</f>
        <v>46138</v>
      </c>
      <c r="B4151" s="11" t="n">
        <f aca="false">MOD(ROW()-9,24)</f>
        <v>14</v>
      </c>
      <c r="C4151" s="12"/>
      <c r="D4151" s="13" t="n">
        <f aca="false">IF(B4151&lt;5,Einstellungen!$B$3,Einstellungen!$B$4)</f>
        <v>29.13</v>
      </c>
      <c r="E4151" s="14" t="str">
        <f aca="false">IF(C4151="","",C4151*D4151/100)</f>
        <v/>
      </c>
      <c r="F4151" s="15" t="str">
        <f aca="false">IF(B4151&lt;5,"Go","Standard")</f>
        <v>Standard</v>
      </c>
    </row>
    <row r="4152" customFormat="false" ht="15" hidden="false" customHeight="true" outlineLevel="0" collapsed="false">
      <c r="A4152" s="10" t="n">
        <f aca="false">Einstellungen!$B$5+INT((ROW()-9)/24)</f>
        <v>46138</v>
      </c>
      <c r="B4152" s="11" t="n">
        <f aca="false">MOD(ROW()-9,24)</f>
        <v>15</v>
      </c>
      <c r="C4152" s="12"/>
      <c r="D4152" s="13" t="n">
        <f aca="false">IF(B4152&lt;5,Einstellungen!$B$3,Einstellungen!$B$4)</f>
        <v>29.13</v>
      </c>
      <c r="E4152" s="14" t="str">
        <f aca="false">IF(C4152="","",C4152*D4152/100)</f>
        <v/>
      </c>
      <c r="F4152" s="15" t="str">
        <f aca="false">IF(B4152&lt;5,"Go","Standard")</f>
        <v>Standard</v>
      </c>
    </row>
    <row r="4153" customFormat="false" ht="15" hidden="false" customHeight="true" outlineLevel="0" collapsed="false">
      <c r="A4153" s="10" t="n">
        <f aca="false">Einstellungen!$B$5+INT((ROW()-9)/24)</f>
        <v>46138</v>
      </c>
      <c r="B4153" s="11" t="n">
        <f aca="false">MOD(ROW()-9,24)</f>
        <v>16</v>
      </c>
      <c r="C4153" s="12"/>
      <c r="D4153" s="13" t="n">
        <f aca="false">IF(B4153&lt;5,Einstellungen!$B$3,Einstellungen!$B$4)</f>
        <v>29.13</v>
      </c>
      <c r="E4153" s="14" t="str">
        <f aca="false">IF(C4153="","",C4153*D4153/100)</f>
        <v/>
      </c>
      <c r="F4153" s="15" t="str">
        <f aca="false">IF(B4153&lt;5,"Go","Standard")</f>
        <v>Standard</v>
      </c>
    </row>
    <row r="4154" customFormat="false" ht="15" hidden="false" customHeight="true" outlineLevel="0" collapsed="false">
      <c r="A4154" s="10" t="n">
        <f aca="false">Einstellungen!$B$5+INT((ROW()-9)/24)</f>
        <v>46138</v>
      </c>
      <c r="B4154" s="11" t="n">
        <f aca="false">MOD(ROW()-9,24)</f>
        <v>17</v>
      </c>
      <c r="C4154" s="12"/>
      <c r="D4154" s="13" t="n">
        <f aca="false">IF(B4154&lt;5,Einstellungen!$B$3,Einstellungen!$B$4)</f>
        <v>29.13</v>
      </c>
      <c r="E4154" s="14" t="str">
        <f aca="false">IF(C4154="","",C4154*D4154/100)</f>
        <v/>
      </c>
      <c r="F4154" s="15" t="str">
        <f aca="false">IF(B4154&lt;5,"Go","Standard")</f>
        <v>Standard</v>
      </c>
    </row>
    <row r="4155" customFormat="false" ht="15" hidden="false" customHeight="true" outlineLevel="0" collapsed="false">
      <c r="A4155" s="10" t="n">
        <f aca="false">Einstellungen!$B$5+INT((ROW()-9)/24)</f>
        <v>46138</v>
      </c>
      <c r="B4155" s="11" t="n">
        <f aca="false">MOD(ROW()-9,24)</f>
        <v>18</v>
      </c>
      <c r="C4155" s="12"/>
      <c r="D4155" s="13" t="n">
        <f aca="false">IF(B4155&lt;5,Einstellungen!$B$3,Einstellungen!$B$4)</f>
        <v>29.13</v>
      </c>
      <c r="E4155" s="14" t="str">
        <f aca="false">IF(C4155="","",C4155*D4155/100)</f>
        <v/>
      </c>
      <c r="F4155" s="15" t="str">
        <f aca="false">IF(B4155&lt;5,"Go","Standard")</f>
        <v>Standard</v>
      </c>
    </row>
    <row r="4156" customFormat="false" ht="15" hidden="false" customHeight="true" outlineLevel="0" collapsed="false">
      <c r="A4156" s="10" t="n">
        <f aca="false">Einstellungen!$B$5+INT((ROW()-9)/24)</f>
        <v>46138</v>
      </c>
      <c r="B4156" s="11" t="n">
        <f aca="false">MOD(ROW()-9,24)</f>
        <v>19</v>
      </c>
      <c r="C4156" s="12"/>
      <c r="D4156" s="13" t="n">
        <f aca="false">IF(B4156&lt;5,Einstellungen!$B$3,Einstellungen!$B$4)</f>
        <v>29.13</v>
      </c>
      <c r="E4156" s="14" t="str">
        <f aca="false">IF(C4156="","",C4156*D4156/100)</f>
        <v/>
      </c>
      <c r="F4156" s="15" t="str">
        <f aca="false">IF(B4156&lt;5,"Go","Standard")</f>
        <v>Standard</v>
      </c>
    </row>
    <row r="4157" customFormat="false" ht="15" hidden="false" customHeight="true" outlineLevel="0" collapsed="false">
      <c r="A4157" s="10" t="n">
        <f aca="false">Einstellungen!$B$5+INT((ROW()-9)/24)</f>
        <v>46138</v>
      </c>
      <c r="B4157" s="11" t="n">
        <f aca="false">MOD(ROW()-9,24)</f>
        <v>20</v>
      </c>
      <c r="C4157" s="12"/>
      <c r="D4157" s="13" t="n">
        <f aca="false">IF(B4157&lt;5,Einstellungen!$B$3,Einstellungen!$B$4)</f>
        <v>29.13</v>
      </c>
      <c r="E4157" s="14" t="str">
        <f aca="false">IF(C4157="","",C4157*D4157/100)</f>
        <v/>
      </c>
      <c r="F4157" s="15" t="str">
        <f aca="false">IF(B4157&lt;5,"Go","Standard")</f>
        <v>Standard</v>
      </c>
    </row>
    <row r="4158" customFormat="false" ht="15" hidden="false" customHeight="true" outlineLevel="0" collapsed="false">
      <c r="A4158" s="10" t="n">
        <f aca="false">Einstellungen!$B$5+INT((ROW()-9)/24)</f>
        <v>46138</v>
      </c>
      <c r="B4158" s="11" t="n">
        <f aca="false">MOD(ROW()-9,24)</f>
        <v>21</v>
      </c>
      <c r="C4158" s="12"/>
      <c r="D4158" s="13" t="n">
        <f aca="false">IF(B4158&lt;5,Einstellungen!$B$3,Einstellungen!$B$4)</f>
        <v>29.13</v>
      </c>
      <c r="E4158" s="14" t="str">
        <f aca="false">IF(C4158="","",C4158*D4158/100)</f>
        <v/>
      </c>
      <c r="F4158" s="15" t="str">
        <f aca="false">IF(B4158&lt;5,"Go","Standard")</f>
        <v>Standard</v>
      </c>
    </row>
    <row r="4159" customFormat="false" ht="15" hidden="false" customHeight="true" outlineLevel="0" collapsed="false">
      <c r="A4159" s="10" t="n">
        <f aca="false">Einstellungen!$B$5+INT((ROW()-9)/24)</f>
        <v>46138</v>
      </c>
      <c r="B4159" s="11" t="n">
        <f aca="false">MOD(ROW()-9,24)</f>
        <v>22</v>
      </c>
      <c r="C4159" s="12"/>
      <c r="D4159" s="13" t="n">
        <f aca="false">IF(B4159&lt;5,Einstellungen!$B$3,Einstellungen!$B$4)</f>
        <v>29.13</v>
      </c>
      <c r="E4159" s="14" t="str">
        <f aca="false">IF(C4159="","",C4159*D4159/100)</f>
        <v/>
      </c>
      <c r="F4159" s="15" t="str">
        <f aca="false">IF(B4159&lt;5,"Go","Standard")</f>
        <v>Standard</v>
      </c>
    </row>
    <row r="4160" customFormat="false" ht="15" hidden="false" customHeight="true" outlineLevel="0" collapsed="false">
      <c r="A4160" s="10" t="n">
        <f aca="false">Einstellungen!$B$5+INT((ROW()-9)/24)</f>
        <v>46138</v>
      </c>
      <c r="B4160" s="11" t="n">
        <f aca="false">MOD(ROW()-9,24)</f>
        <v>23</v>
      </c>
      <c r="C4160" s="12"/>
      <c r="D4160" s="13" t="n">
        <f aca="false">IF(B4160&lt;5,Einstellungen!$B$3,Einstellungen!$B$4)</f>
        <v>29.13</v>
      </c>
      <c r="E4160" s="14" t="str">
        <f aca="false">IF(C4160="","",C4160*D4160/100)</f>
        <v/>
      </c>
      <c r="F4160" s="15" t="str">
        <f aca="false">IF(B4160&lt;5,"Go","Standard")</f>
        <v>Standard</v>
      </c>
    </row>
    <row r="4161" customFormat="false" ht="15" hidden="false" customHeight="true" outlineLevel="0" collapsed="false">
      <c r="A4161" s="10" t="n">
        <f aca="false">Einstellungen!$B$5+INT((ROW()-9)/24)</f>
        <v>46139</v>
      </c>
      <c r="B4161" s="11" t="n">
        <f aca="false">MOD(ROW()-9,24)</f>
        <v>0</v>
      </c>
      <c r="C4161" s="12"/>
      <c r="D4161" s="13" t="n">
        <f aca="false">IF(B4161&lt;5,Einstellungen!$B$3,Einstellungen!$B$4)</f>
        <v>15.92</v>
      </c>
      <c r="E4161" s="14" t="str">
        <f aca="false">IF(C4161="","",C4161*D4161/100)</f>
        <v/>
      </c>
      <c r="F4161" s="15" t="str">
        <f aca="false">IF(B4161&lt;5,"Go","Standard")</f>
        <v>Go</v>
      </c>
    </row>
    <row r="4162" customFormat="false" ht="15" hidden="false" customHeight="true" outlineLevel="0" collapsed="false">
      <c r="A4162" s="10" t="n">
        <f aca="false">Einstellungen!$B$5+INT((ROW()-9)/24)</f>
        <v>46139</v>
      </c>
      <c r="B4162" s="11" t="n">
        <f aca="false">MOD(ROW()-9,24)</f>
        <v>1</v>
      </c>
      <c r="C4162" s="12"/>
      <c r="D4162" s="13" t="n">
        <f aca="false">IF(B4162&lt;5,Einstellungen!$B$3,Einstellungen!$B$4)</f>
        <v>15.92</v>
      </c>
      <c r="E4162" s="14" t="str">
        <f aca="false">IF(C4162="","",C4162*D4162/100)</f>
        <v/>
      </c>
      <c r="F4162" s="15" t="str">
        <f aca="false">IF(B4162&lt;5,"Go","Standard")</f>
        <v>Go</v>
      </c>
    </row>
    <row r="4163" customFormat="false" ht="15" hidden="false" customHeight="true" outlineLevel="0" collapsed="false">
      <c r="A4163" s="10" t="n">
        <f aca="false">Einstellungen!$B$5+INT((ROW()-9)/24)</f>
        <v>46139</v>
      </c>
      <c r="B4163" s="11" t="n">
        <f aca="false">MOD(ROW()-9,24)</f>
        <v>2</v>
      </c>
      <c r="C4163" s="12"/>
      <c r="D4163" s="13" t="n">
        <f aca="false">IF(B4163&lt;5,Einstellungen!$B$3,Einstellungen!$B$4)</f>
        <v>15.92</v>
      </c>
      <c r="E4163" s="14" t="str">
        <f aca="false">IF(C4163="","",C4163*D4163/100)</f>
        <v/>
      </c>
      <c r="F4163" s="15" t="str">
        <f aca="false">IF(B4163&lt;5,"Go","Standard")</f>
        <v>Go</v>
      </c>
    </row>
    <row r="4164" customFormat="false" ht="15" hidden="false" customHeight="true" outlineLevel="0" collapsed="false">
      <c r="A4164" s="10" t="n">
        <f aca="false">Einstellungen!$B$5+INT((ROW()-9)/24)</f>
        <v>46139</v>
      </c>
      <c r="B4164" s="11" t="n">
        <f aca="false">MOD(ROW()-9,24)</f>
        <v>3</v>
      </c>
      <c r="C4164" s="12"/>
      <c r="D4164" s="13" t="n">
        <f aca="false">IF(B4164&lt;5,Einstellungen!$B$3,Einstellungen!$B$4)</f>
        <v>15.92</v>
      </c>
      <c r="E4164" s="14" t="str">
        <f aca="false">IF(C4164="","",C4164*D4164/100)</f>
        <v/>
      </c>
      <c r="F4164" s="15" t="str">
        <f aca="false">IF(B4164&lt;5,"Go","Standard")</f>
        <v>Go</v>
      </c>
    </row>
    <row r="4165" customFormat="false" ht="15" hidden="false" customHeight="true" outlineLevel="0" collapsed="false">
      <c r="A4165" s="10" t="n">
        <f aca="false">Einstellungen!$B$5+INT((ROW()-9)/24)</f>
        <v>46139</v>
      </c>
      <c r="B4165" s="11" t="n">
        <f aca="false">MOD(ROW()-9,24)</f>
        <v>4</v>
      </c>
      <c r="C4165" s="12"/>
      <c r="D4165" s="13" t="n">
        <f aca="false">IF(B4165&lt;5,Einstellungen!$B$3,Einstellungen!$B$4)</f>
        <v>15.92</v>
      </c>
      <c r="E4165" s="14" t="str">
        <f aca="false">IF(C4165="","",C4165*D4165/100)</f>
        <v/>
      </c>
      <c r="F4165" s="15" t="str">
        <f aca="false">IF(B4165&lt;5,"Go","Standard")</f>
        <v>Go</v>
      </c>
    </row>
    <row r="4166" customFormat="false" ht="15" hidden="false" customHeight="true" outlineLevel="0" collapsed="false">
      <c r="A4166" s="10" t="n">
        <f aca="false">Einstellungen!$B$5+INT((ROW()-9)/24)</f>
        <v>46139</v>
      </c>
      <c r="B4166" s="11" t="n">
        <f aca="false">MOD(ROW()-9,24)</f>
        <v>5</v>
      </c>
      <c r="C4166" s="12"/>
      <c r="D4166" s="13" t="n">
        <f aca="false">IF(B4166&lt;5,Einstellungen!$B$3,Einstellungen!$B$4)</f>
        <v>29.13</v>
      </c>
      <c r="E4166" s="14" t="str">
        <f aca="false">IF(C4166="","",C4166*D4166/100)</f>
        <v/>
      </c>
      <c r="F4166" s="15" t="str">
        <f aca="false">IF(B4166&lt;5,"Go","Standard")</f>
        <v>Standard</v>
      </c>
    </row>
    <row r="4167" customFormat="false" ht="15" hidden="false" customHeight="true" outlineLevel="0" collapsed="false">
      <c r="A4167" s="10" t="n">
        <f aca="false">Einstellungen!$B$5+INT((ROW()-9)/24)</f>
        <v>46139</v>
      </c>
      <c r="B4167" s="11" t="n">
        <f aca="false">MOD(ROW()-9,24)</f>
        <v>6</v>
      </c>
      <c r="C4167" s="12"/>
      <c r="D4167" s="13" t="n">
        <f aca="false">IF(B4167&lt;5,Einstellungen!$B$3,Einstellungen!$B$4)</f>
        <v>29.13</v>
      </c>
      <c r="E4167" s="14" t="str">
        <f aca="false">IF(C4167="","",C4167*D4167/100)</f>
        <v/>
      </c>
      <c r="F4167" s="15" t="str">
        <f aca="false">IF(B4167&lt;5,"Go","Standard")</f>
        <v>Standard</v>
      </c>
    </row>
    <row r="4168" customFormat="false" ht="15" hidden="false" customHeight="true" outlineLevel="0" collapsed="false">
      <c r="A4168" s="10" t="n">
        <f aca="false">Einstellungen!$B$5+INT((ROW()-9)/24)</f>
        <v>46139</v>
      </c>
      <c r="B4168" s="11" t="n">
        <f aca="false">MOD(ROW()-9,24)</f>
        <v>7</v>
      </c>
      <c r="C4168" s="12"/>
      <c r="D4168" s="13" t="n">
        <f aca="false">IF(B4168&lt;5,Einstellungen!$B$3,Einstellungen!$B$4)</f>
        <v>29.13</v>
      </c>
      <c r="E4168" s="14" t="str">
        <f aca="false">IF(C4168="","",C4168*D4168/100)</f>
        <v/>
      </c>
      <c r="F4168" s="15" t="str">
        <f aca="false">IF(B4168&lt;5,"Go","Standard")</f>
        <v>Standard</v>
      </c>
    </row>
    <row r="4169" customFormat="false" ht="15" hidden="false" customHeight="true" outlineLevel="0" collapsed="false">
      <c r="A4169" s="10" t="n">
        <f aca="false">Einstellungen!$B$5+INT((ROW()-9)/24)</f>
        <v>46139</v>
      </c>
      <c r="B4169" s="11" t="n">
        <f aca="false">MOD(ROW()-9,24)</f>
        <v>8</v>
      </c>
      <c r="C4169" s="12"/>
      <c r="D4169" s="13" t="n">
        <f aca="false">IF(B4169&lt;5,Einstellungen!$B$3,Einstellungen!$B$4)</f>
        <v>29.13</v>
      </c>
      <c r="E4169" s="14" t="str">
        <f aca="false">IF(C4169="","",C4169*D4169/100)</f>
        <v/>
      </c>
      <c r="F4169" s="15" t="str">
        <f aca="false">IF(B4169&lt;5,"Go","Standard")</f>
        <v>Standard</v>
      </c>
    </row>
    <row r="4170" customFormat="false" ht="15" hidden="false" customHeight="true" outlineLevel="0" collapsed="false">
      <c r="A4170" s="10" t="n">
        <f aca="false">Einstellungen!$B$5+INT((ROW()-9)/24)</f>
        <v>46139</v>
      </c>
      <c r="B4170" s="11" t="n">
        <f aca="false">MOD(ROW()-9,24)</f>
        <v>9</v>
      </c>
      <c r="C4170" s="12"/>
      <c r="D4170" s="13" t="n">
        <f aca="false">IF(B4170&lt;5,Einstellungen!$B$3,Einstellungen!$B$4)</f>
        <v>29.13</v>
      </c>
      <c r="E4170" s="14" t="str">
        <f aca="false">IF(C4170="","",C4170*D4170/100)</f>
        <v/>
      </c>
      <c r="F4170" s="15" t="str">
        <f aca="false">IF(B4170&lt;5,"Go","Standard")</f>
        <v>Standard</v>
      </c>
    </row>
    <row r="4171" customFormat="false" ht="15" hidden="false" customHeight="true" outlineLevel="0" collapsed="false">
      <c r="A4171" s="10" t="n">
        <f aca="false">Einstellungen!$B$5+INT((ROW()-9)/24)</f>
        <v>46139</v>
      </c>
      <c r="B4171" s="11" t="n">
        <f aca="false">MOD(ROW()-9,24)</f>
        <v>10</v>
      </c>
      <c r="C4171" s="12"/>
      <c r="D4171" s="13" t="n">
        <f aca="false">IF(B4171&lt;5,Einstellungen!$B$3,Einstellungen!$B$4)</f>
        <v>29.13</v>
      </c>
      <c r="E4171" s="14" t="str">
        <f aca="false">IF(C4171="","",C4171*D4171/100)</f>
        <v/>
      </c>
      <c r="F4171" s="15" t="str">
        <f aca="false">IF(B4171&lt;5,"Go","Standard")</f>
        <v>Standard</v>
      </c>
    </row>
    <row r="4172" customFormat="false" ht="15" hidden="false" customHeight="true" outlineLevel="0" collapsed="false">
      <c r="A4172" s="10" t="n">
        <f aca="false">Einstellungen!$B$5+INT((ROW()-9)/24)</f>
        <v>46139</v>
      </c>
      <c r="B4172" s="11" t="n">
        <f aca="false">MOD(ROW()-9,24)</f>
        <v>11</v>
      </c>
      <c r="C4172" s="12"/>
      <c r="D4172" s="13" t="n">
        <f aca="false">IF(B4172&lt;5,Einstellungen!$B$3,Einstellungen!$B$4)</f>
        <v>29.13</v>
      </c>
      <c r="E4172" s="14" t="str">
        <f aca="false">IF(C4172="","",C4172*D4172/100)</f>
        <v/>
      </c>
      <c r="F4172" s="15" t="str">
        <f aca="false">IF(B4172&lt;5,"Go","Standard")</f>
        <v>Standard</v>
      </c>
    </row>
    <row r="4173" customFormat="false" ht="15" hidden="false" customHeight="true" outlineLevel="0" collapsed="false">
      <c r="A4173" s="10" t="n">
        <f aca="false">Einstellungen!$B$5+INT((ROW()-9)/24)</f>
        <v>46139</v>
      </c>
      <c r="B4173" s="11" t="n">
        <f aca="false">MOD(ROW()-9,24)</f>
        <v>12</v>
      </c>
      <c r="C4173" s="12"/>
      <c r="D4173" s="13" t="n">
        <f aca="false">IF(B4173&lt;5,Einstellungen!$B$3,Einstellungen!$B$4)</f>
        <v>29.13</v>
      </c>
      <c r="E4173" s="14" t="str">
        <f aca="false">IF(C4173="","",C4173*D4173/100)</f>
        <v/>
      </c>
      <c r="F4173" s="15" t="str">
        <f aca="false">IF(B4173&lt;5,"Go","Standard")</f>
        <v>Standard</v>
      </c>
    </row>
    <row r="4174" customFormat="false" ht="15" hidden="false" customHeight="true" outlineLevel="0" collapsed="false">
      <c r="A4174" s="10" t="n">
        <f aca="false">Einstellungen!$B$5+INT((ROW()-9)/24)</f>
        <v>46139</v>
      </c>
      <c r="B4174" s="11" t="n">
        <f aca="false">MOD(ROW()-9,24)</f>
        <v>13</v>
      </c>
      <c r="C4174" s="12"/>
      <c r="D4174" s="13" t="n">
        <f aca="false">IF(B4174&lt;5,Einstellungen!$B$3,Einstellungen!$B$4)</f>
        <v>29.13</v>
      </c>
      <c r="E4174" s="14" t="str">
        <f aca="false">IF(C4174="","",C4174*D4174/100)</f>
        <v/>
      </c>
      <c r="F4174" s="15" t="str">
        <f aca="false">IF(B4174&lt;5,"Go","Standard")</f>
        <v>Standard</v>
      </c>
    </row>
    <row r="4175" customFormat="false" ht="15" hidden="false" customHeight="true" outlineLevel="0" collapsed="false">
      <c r="A4175" s="10" t="n">
        <f aca="false">Einstellungen!$B$5+INT((ROW()-9)/24)</f>
        <v>46139</v>
      </c>
      <c r="B4175" s="11" t="n">
        <f aca="false">MOD(ROW()-9,24)</f>
        <v>14</v>
      </c>
      <c r="C4175" s="12"/>
      <c r="D4175" s="13" t="n">
        <f aca="false">IF(B4175&lt;5,Einstellungen!$B$3,Einstellungen!$B$4)</f>
        <v>29.13</v>
      </c>
      <c r="E4175" s="14" t="str">
        <f aca="false">IF(C4175="","",C4175*D4175/100)</f>
        <v/>
      </c>
      <c r="F4175" s="15" t="str">
        <f aca="false">IF(B4175&lt;5,"Go","Standard")</f>
        <v>Standard</v>
      </c>
    </row>
    <row r="4176" customFormat="false" ht="15" hidden="false" customHeight="true" outlineLevel="0" collapsed="false">
      <c r="A4176" s="10" t="n">
        <f aca="false">Einstellungen!$B$5+INT((ROW()-9)/24)</f>
        <v>46139</v>
      </c>
      <c r="B4176" s="11" t="n">
        <f aca="false">MOD(ROW()-9,24)</f>
        <v>15</v>
      </c>
      <c r="C4176" s="12"/>
      <c r="D4176" s="13" t="n">
        <f aca="false">IF(B4176&lt;5,Einstellungen!$B$3,Einstellungen!$B$4)</f>
        <v>29.13</v>
      </c>
      <c r="E4176" s="14" t="str">
        <f aca="false">IF(C4176="","",C4176*D4176/100)</f>
        <v/>
      </c>
      <c r="F4176" s="15" t="str">
        <f aca="false">IF(B4176&lt;5,"Go","Standard")</f>
        <v>Standard</v>
      </c>
    </row>
    <row r="4177" customFormat="false" ht="15" hidden="false" customHeight="true" outlineLevel="0" collapsed="false">
      <c r="A4177" s="10" t="n">
        <f aca="false">Einstellungen!$B$5+INT((ROW()-9)/24)</f>
        <v>46139</v>
      </c>
      <c r="B4177" s="11" t="n">
        <f aca="false">MOD(ROW()-9,24)</f>
        <v>16</v>
      </c>
      <c r="C4177" s="12"/>
      <c r="D4177" s="13" t="n">
        <f aca="false">IF(B4177&lt;5,Einstellungen!$B$3,Einstellungen!$B$4)</f>
        <v>29.13</v>
      </c>
      <c r="E4177" s="14" t="str">
        <f aca="false">IF(C4177="","",C4177*D4177/100)</f>
        <v/>
      </c>
      <c r="F4177" s="15" t="str">
        <f aca="false">IF(B4177&lt;5,"Go","Standard")</f>
        <v>Standard</v>
      </c>
    </row>
    <row r="4178" customFormat="false" ht="15" hidden="false" customHeight="true" outlineLevel="0" collapsed="false">
      <c r="A4178" s="10" t="n">
        <f aca="false">Einstellungen!$B$5+INT((ROW()-9)/24)</f>
        <v>46139</v>
      </c>
      <c r="B4178" s="11" t="n">
        <f aca="false">MOD(ROW()-9,24)</f>
        <v>17</v>
      </c>
      <c r="C4178" s="12"/>
      <c r="D4178" s="13" t="n">
        <f aca="false">IF(B4178&lt;5,Einstellungen!$B$3,Einstellungen!$B$4)</f>
        <v>29.13</v>
      </c>
      <c r="E4178" s="14" t="str">
        <f aca="false">IF(C4178="","",C4178*D4178/100)</f>
        <v/>
      </c>
      <c r="F4178" s="15" t="str">
        <f aca="false">IF(B4178&lt;5,"Go","Standard")</f>
        <v>Standard</v>
      </c>
    </row>
    <row r="4179" customFormat="false" ht="15" hidden="false" customHeight="true" outlineLevel="0" collapsed="false">
      <c r="A4179" s="10" t="n">
        <f aca="false">Einstellungen!$B$5+INT((ROW()-9)/24)</f>
        <v>46139</v>
      </c>
      <c r="B4179" s="11" t="n">
        <f aca="false">MOD(ROW()-9,24)</f>
        <v>18</v>
      </c>
      <c r="C4179" s="12"/>
      <c r="D4179" s="13" t="n">
        <f aca="false">IF(B4179&lt;5,Einstellungen!$B$3,Einstellungen!$B$4)</f>
        <v>29.13</v>
      </c>
      <c r="E4179" s="14" t="str">
        <f aca="false">IF(C4179="","",C4179*D4179/100)</f>
        <v/>
      </c>
      <c r="F4179" s="15" t="str">
        <f aca="false">IF(B4179&lt;5,"Go","Standard")</f>
        <v>Standard</v>
      </c>
    </row>
    <row r="4180" customFormat="false" ht="15" hidden="false" customHeight="true" outlineLevel="0" collapsed="false">
      <c r="A4180" s="10" t="n">
        <f aca="false">Einstellungen!$B$5+INT((ROW()-9)/24)</f>
        <v>46139</v>
      </c>
      <c r="B4180" s="11" t="n">
        <f aca="false">MOD(ROW()-9,24)</f>
        <v>19</v>
      </c>
      <c r="C4180" s="12"/>
      <c r="D4180" s="13" t="n">
        <f aca="false">IF(B4180&lt;5,Einstellungen!$B$3,Einstellungen!$B$4)</f>
        <v>29.13</v>
      </c>
      <c r="E4180" s="14" t="str">
        <f aca="false">IF(C4180="","",C4180*D4180/100)</f>
        <v/>
      </c>
      <c r="F4180" s="15" t="str">
        <f aca="false">IF(B4180&lt;5,"Go","Standard")</f>
        <v>Standard</v>
      </c>
    </row>
    <row r="4181" customFormat="false" ht="15" hidden="false" customHeight="true" outlineLevel="0" collapsed="false">
      <c r="A4181" s="10" t="n">
        <f aca="false">Einstellungen!$B$5+INT((ROW()-9)/24)</f>
        <v>46139</v>
      </c>
      <c r="B4181" s="11" t="n">
        <f aca="false">MOD(ROW()-9,24)</f>
        <v>20</v>
      </c>
      <c r="C4181" s="12"/>
      <c r="D4181" s="13" t="n">
        <f aca="false">IF(B4181&lt;5,Einstellungen!$B$3,Einstellungen!$B$4)</f>
        <v>29.13</v>
      </c>
      <c r="E4181" s="14" t="str">
        <f aca="false">IF(C4181="","",C4181*D4181/100)</f>
        <v/>
      </c>
      <c r="F4181" s="15" t="str">
        <f aca="false">IF(B4181&lt;5,"Go","Standard")</f>
        <v>Standard</v>
      </c>
    </row>
    <row r="4182" customFormat="false" ht="15" hidden="false" customHeight="true" outlineLevel="0" collapsed="false">
      <c r="A4182" s="10" t="n">
        <f aca="false">Einstellungen!$B$5+INT((ROW()-9)/24)</f>
        <v>46139</v>
      </c>
      <c r="B4182" s="11" t="n">
        <f aca="false">MOD(ROW()-9,24)</f>
        <v>21</v>
      </c>
      <c r="C4182" s="12"/>
      <c r="D4182" s="13" t="n">
        <f aca="false">IF(B4182&lt;5,Einstellungen!$B$3,Einstellungen!$B$4)</f>
        <v>29.13</v>
      </c>
      <c r="E4182" s="14" t="str">
        <f aca="false">IF(C4182="","",C4182*D4182/100)</f>
        <v/>
      </c>
      <c r="F4182" s="15" t="str">
        <f aca="false">IF(B4182&lt;5,"Go","Standard")</f>
        <v>Standard</v>
      </c>
    </row>
    <row r="4183" customFormat="false" ht="15" hidden="false" customHeight="true" outlineLevel="0" collapsed="false">
      <c r="A4183" s="10" t="n">
        <f aca="false">Einstellungen!$B$5+INT((ROW()-9)/24)</f>
        <v>46139</v>
      </c>
      <c r="B4183" s="11" t="n">
        <f aca="false">MOD(ROW()-9,24)</f>
        <v>22</v>
      </c>
      <c r="C4183" s="12"/>
      <c r="D4183" s="13" t="n">
        <f aca="false">IF(B4183&lt;5,Einstellungen!$B$3,Einstellungen!$B$4)</f>
        <v>29.13</v>
      </c>
      <c r="E4183" s="14" t="str">
        <f aca="false">IF(C4183="","",C4183*D4183/100)</f>
        <v/>
      </c>
      <c r="F4183" s="15" t="str">
        <f aca="false">IF(B4183&lt;5,"Go","Standard")</f>
        <v>Standard</v>
      </c>
    </row>
    <row r="4184" customFormat="false" ht="15" hidden="false" customHeight="true" outlineLevel="0" collapsed="false">
      <c r="A4184" s="10" t="n">
        <f aca="false">Einstellungen!$B$5+INT((ROW()-9)/24)</f>
        <v>46139</v>
      </c>
      <c r="B4184" s="11" t="n">
        <f aca="false">MOD(ROW()-9,24)</f>
        <v>23</v>
      </c>
      <c r="C4184" s="12"/>
      <c r="D4184" s="13" t="n">
        <f aca="false">IF(B4184&lt;5,Einstellungen!$B$3,Einstellungen!$B$4)</f>
        <v>29.13</v>
      </c>
      <c r="E4184" s="14" t="str">
        <f aca="false">IF(C4184="","",C4184*D4184/100)</f>
        <v/>
      </c>
      <c r="F4184" s="15" t="str">
        <f aca="false">IF(B4184&lt;5,"Go","Standard")</f>
        <v>Standard</v>
      </c>
    </row>
    <row r="4185" customFormat="false" ht="15" hidden="false" customHeight="true" outlineLevel="0" collapsed="false">
      <c r="A4185" s="10" t="n">
        <f aca="false">Einstellungen!$B$5+INT((ROW()-9)/24)</f>
        <v>46140</v>
      </c>
      <c r="B4185" s="11" t="n">
        <f aca="false">MOD(ROW()-9,24)</f>
        <v>0</v>
      </c>
      <c r="C4185" s="12"/>
      <c r="D4185" s="13" t="n">
        <f aca="false">IF(B4185&lt;5,Einstellungen!$B$3,Einstellungen!$B$4)</f>
        <v>15.92</v>
      </c>
      <c r="E4185" s="14" t="str">
        <f aca="false">IF(C4185="","",C4185*D4185/100)</f>
        <v/>
      </c>
      <c r="F4185" s="15" t="str">
        <f aca="false">IF(B4185&lt;5,"Go","Standard")</f>
        <v>Go</v>
      </c>
    </row>
    <row r="4186" customFormat="false" ht="15" hidden="false" customHeight="true" outlineLevel="0" collapsed="false">
      <c r="A4186" s="10" t="n">
        <f aca="false">Einstellungen!$B$5+INT((ROW()-9)/24)</f>
        <v>46140</v>
      </c>
      <c r="B4186" s="11" t="n">
        <f aca="false">MOD(ROW()-9,24)</f>
        <v>1</v>
      </c>
      <c r="C4186" s="12"/>
      <c r="D4186" s="13" t="n">
        <f aca="false">IF(B4186&lt;5,Einstellungen!$B$3,Einstellungen!$B$4)</f>
        <v>15.92</v>
      </c>
      <c r="E4186" s="14" t="str">
        <f aca="false">IF(C4186="","",C4186*D4186/100)</f>
        <v/>
      </c>
      <c r="F4186" s="15" t="str">
        <f aca="false">IF(B4186&lt;5,"Go","Standard")</f>
        <v>Go</v>
      </c>
    </row>
    <row r="4187" customFormat="false" ht="15" hidden="false" customHeight="true" outlineLevel="0" collapsed="false">
      <c r="A4187" s="10" t="n">
        <f aca="false">Einstellungen!$B$5+INT((ROW()-9)/24)</f>
        <v>46140</v>
      </c>
      <c r="B4187" s="11" t="n">
        <f aca="false">MOD(ROW()-9,24)</f>
        <v>2</v>
      </c>
      <c r="C4187" s="12"/>
      <c r="D4187" s="13" t="n">
        <f aca="false">IF(B4187&lt;5,Einstellungen!$B$3,Einstellungen!$B$4)</f>
        <v>15.92</v>
      </c>
      <c r="E4187" s="14" t="str">
        <f aca="false">IF(C4187="","",C4187*D4187/100)</f>
        <v/>
      </c>
      <c r="F4187" s="15" t="str">
        <f aca="false">IF(B4187&lt;5,"Go","Standard")</f>
        <v>Go</v>
      </c>
    </row>
    <row r="4188" customFormat="false" ht="15" hidden="false" customHeight="true" outlineLevel="0" collapsed="false">
      <c r="A4188" s="10" t="n">
        <f aca="false">Einstellungen!$B$5+INT((ROW()-9)/24)</f>
        <v>46140</v>
      </c>
      <c r="B4188" s="11" t="n">
        <f aca="false">MOD(ROW()-9,24)</f>
        <v>3</v>
      </c>
      <c r="C4188" s="12"/>
      <c r="D4188" s="13" t="n">
        <f aca="false">IF(B4188&lt;5,Einstellungen!$B$3,Einstellungen!$B$4)</f>
        <v>15.92</v>
      </c>
      <c r="E4188" s="14" t="str">
        <f aca="false">IF(C4188="","",C4188*D4188/100)</f>
        <v/>
      </c>
      <c r="F4188" s="15" t="str">
        <f aca="false">IF(B4188&lt;5,"Go","Standard")</f>
        <v>Go</v>
      </c>
    </row>
    <row r="4189" customFormat="false" ht="15" hidden="false" customHeight="true" outlineLevel="0" collapsed="false">
      <c r="A4189" s="10" t="n">
        <f aca="false">Einstellungen!$B$5+INT((ROW()-9)/24)</f>
        <v>46140</v>
      </c>
      <c r="B4189" s="11" t="n">
        <f aca="false">MOD(ROW()-9,24)</f>
        <v>4</v>
      </c>
      <c r="C4189" s="12"/>
      <c r="D4189" s="13" t="n">
        <f aca="false">IF(B4189&lt;5,Einstellungen!$B$3,Einstellungen!$B$4)</f>
        <v>15.92</v>
      </c>
      <c r="E4189" s="14" t="str">
        <f aca="false">IF(C4189="","",C4189*D4189/100)</f>
        <v/>
      </c>
      <c r="F4189" s="15" t="str">
        <f aca="false">IF(B4189&lt;5,"Go","Standard")</f>
        <v>Go</v>
      </c>
    </row>
    <row r="4190" customFormat="false" ht="15" hidden="false" customHeight="true" outlineLevel="0" collapsed="false">
      <c r="A4190" s="10" t="n">
        <f aca="false">Einstellungen!$B$5+INT((ROW()-9)/24)</f>
        <v>46140</v>
      </c>
      <c r="B4190" s="11" t="n">
        <f aca="false">MOD(ROW()-9,24)</f>
        <v>5</v>
      </c>
      <c r="C4190" s="12"/>
      <c r="D4190" s="13" t="n">
        <f aca="false">IF(B4190&lt;5,Einstellungen!$B$3,Einstellungen!$B$4)</f>
        <v>29.13</v>
      </c>
      <c r="E4190" s="14" t="str">
        <f aca="false">IF(C4190="","",C4190*D4190/100)</f>
        <v/>
      </c>
      <c r="F4190" s="15" t="str">
        <f aca="false">IF(B4190&lt;5,"Go","Standard")</f>
        <v>Standard</v>
      </c>
    </row>
    <row r="4191" customFormat="false" ht="15" hidden="false" customHeight="true" outlineLevel="0" collapsed="false">
      <c r="A4191" s="10" t="n">
        <f aca="false">Einstellungen!$B$5+INT((ROW()-9)/24)</f>
        <v>46140</v>
      </c>
      <c r="B4191" s="11" t="n">
        <f aca="false">MOD(ROW()-9,24)</f>
        <v>6</v>
      </c>
      <c r="C4191" s="12"/>
      <c r="D4191" s="13" t="n">
        <f aca="false">IF(B4191&lt;5,Einstellungen!$B$3,Einstellungen!$B$4)</f>
        <v>29.13</v>
      </c>
      <c r="E4191" s="14" t="str">
        <f aca="false">IF(C4191="","",C4191*D4191/100)</f>
        <v/>
      </c>
      <c r="F4191" s="15" t="str">
        <f aca="false">IF(B4191&lt;5,"Go","Standard")</f>
        <v>Standard</v>
      </c>
    </row>
    <row r="4192" customFormat="false" ht="15" hidden="false" customHeight="true" outlineLevel="0" collapsed="false">
      <c r="A4192" s="10" t="n">
        <f aca="false">Einstellungen!$B$5+INT((ROW()-9)/24)</f>
        <v>46140</v>
      </c>
      <c r="B4192" s="11" t="n">
        <f aca="false">MOD(ROW()-9,24)</f>
        <v>7</v>
      </c>
      <c r="C4192" s="12"/>
      <c r="D4192" s="13" t="n">
        <f aca="false">IF(B4192&lt;5,Einstellungen!$B$3,Einstellungen!$B$4)</f>
        <v>29.13</v>
      </c>
      <c r="E4192" s="14" t="str">
        <f aca="false">IF(C4192="","",C4192*D4192/100)</f>
        <v/>
      </c>
      <c r="F4192" s="15" t="str">
        <f aca="false">IF(B4192&lt;5,"Go","Standard")</f>
        <v>Standard</v>
      </c>
    </row>
    <row r="4193" customFormat="false" ht="15" hidden="false" customHeight="true" outlineLevel="0" collapsed="false">
      <c r="A4193" s="10" t="n">
        <f aca="false">Einstellungen!$B$5+INT((ROW()-9)/24)</f>
        <v>46140</v>
      </c>
      <c r="B4193" s="11" t="n">
        <f aca="false">MOD(ROW()-9,24)</f>
        <v>8</v>
      </c>
      <c r="C4193" s="12"/>
      <c r="D4193" s="13" t="n">
        <f aca="false">IF(B4193&lt;5,Einstellungen!$B$3,Einstellungen!$B$4)</f>
        <v>29.13</v>
      </c>
      <c r="E4193" s="14" t="str">
        <f aca="false">IF(C4193="","",C4193*D4193/100)</f>
        <v/>
      </c>
      <c r="F4193" s="15" t="str">
        <f aca="false">IF(B4193&lt;5,"Go","Standard")</f>
        <v>Standard</v>
      </c>
    </row>
    <row r="4194" customFormat="false" ht="15" hidden="false" customHeight="true" outlineLevel="0" collapsed="false">
      <c r="A4194" s="10" t="n">
        <f aca="false">Einstellungen!$B$5+INT((ROW()-9)/24)</f>
        <v>46140</v>
      </c>
      <c r="B4194" s="11" t="n">
        <f aca="false">MOD(ROW()-9,24)</f>
        <v>9</v>
      </c>
      <c r="C4194" s="12"/>
      <c r="D4194" s="13" t="n">
        <f aca="false">IF(B4194&lt;5,Einstellungen!$B$3,Einstellungen!$B$4)</f>
        <v>29.13</v>
      </c>
      <c r="E4194" s="14" t="str">
        <f aca="false">IF(C4194="","",C4194*D4194/100)</f>
        <v/>
      </c>
      <c r="F4194" s="15" t="str">
        <f aca="false">IF(B4194&lt;5,"Go","Standard")</f>
        <v>Standard</v>
      </c>
    </row>
    <row r="4195" customFormat="false" ht="15" hidden="false" customHeight="true" outlineLevel="0" collapsed="false">
      <c r="A4195" s="10" t="n">
        <f aca="false">Einstellungen!$B$5+INT((ROW()-9)/24)</f>
        <v>46140</v>
      </c>
      <c r="B4195" s="11" t="n">
        <f aca="false">MOD(ROW()-9,24)</f>
        <v>10</v>
      </c>
      <c r="C4195" s="12"/>
      <c r="D4195" s="13" t="n">
        <f aca="false">IF(B4195&lt;5,Einstellungen!$B$3,Einstellungen!$B$4)</f>
        <v>29.13</v>
      </c>
      <c r="E4195" s="14" t="str">
        <f aca="false">IF(C4195="","",C4195*D4195/100)</f>
        <v/>
      </c>
      <c r="F4195" s="15" t="str">
        <f aca="false">IF(B4195&lt;5,"Go","Standard")</f>
        <v>Standard</v>
      </c>
    </row>
    <row r="4196" customFormat="false" ht="15" hidden="false" customHeight="true" outlineLevel="0" collapsed="false">
      <c r="A4196" s="10" t="n">
        <f aca="false">Einstellungen!$B$5+INT((ROW()-9)/24)</f>
        <v>46140</v>
      </c>
      <c r="B4196" s="11" t="n">
        <f aca="false">MOD(ROW()-9,24)</f>
        <v>11</v>
      </c>
      <c r="C4196" s="12"/>
      <c r="D4196" s="13" t="n">
        <f aca="false">IF(B4196&lt;5,Einstellungen!$B$3,Einstellungen!$B$4)</f>
        <v>29.13</v>
      </c>
      <c r="E4196" s="14" t="str">
        <f aca="false">IF(C4196="","",C4196*D4196/100)</f>
        <v/>
      </c>
      <c r="F4196" s="15" t="str">
        <f aca="false">IF(B4196&lt;5,"Go","Standard")</f>
        <v>Standard</v>
      </c>
    </row>
    <row r="4197" customFormat="false" ht="15" hidden="false" customHeight="true" outlineLevel="0" collapsed="false">
      <c r="A4197" s="10" t="n">
        <f aca="false">Einstellungen!$B$5+INT((ROW()-9)/24)</f>
        <v>46140</v>
      </c>
      <c r="B4197" s="11" t="n">
        <f aca="false">MOD(ROW()-9,24)</f>
        <v>12</v>
      </c>
      <c r="C4197" s="12"/>
      <c r="D4197" s="13" t="n">
        <f aca="false">IF(B4197&lt;5,Einstellungen!$B$3,Einstellungen!$B$4)</f>
        <v>29.13</v>
      </c>
      <c r="E4197" s="14" t="str">
        <f aca="false">IF(C4197="","",C4197*D4197/100)</f>
        <v/>
      </c>
      <c r="F4197" s="15" t="str">
        <f aca="false">IF(B4197&lt;5,"Go","Standard")</f>
        <v>Standard</v>
      </c>
    </row>
    <row r="4198" customFormat="false" ht="15" hidden="false" customHeight="true" outlineLevel="0" collapsed="false">
      <c r="A4198" s="10" t="n">
        <f aca="false">Einstellungen!$B$5+INT((ROW()-9)/24)</f>
        <v>46140</v>
      </c>
      <c r="B4198" s="11" t="n">
        <f aca="false">MOD(ROW()-9,24)</f>
        <v>13</v>
      </c>
      <c r="C4198" s="12"/>
      <c r="D4198" s="13" t="n">
        <f aca="false">IF(B4198&lt;5,Einstellungen!$B$3,Einstellungen!$B$4)</f>
        <v>29.13</v>
      </c>
      <c r="E4198" s="14" t="str">
        <f aca="false">IF(C4198="","",C4198*D4198/100)</f>
        <v/>
      </c>
      <c r="F4198" s="15" t="str">
        <f aca="false">IF(B4198&lt;5,"Go","Standard")</f>
        <v>Standard</v>
      </c>
    </row>
    <row r="4199" customFormat="false" ht="15" hidden="false" customHeight="true" outlineLevel="0" collapsed="false">
      <c r="A4199" s="10" t="n">
        <f aca="false">Einstellungen!$B$5+INT((ROW()-9)/24)</f>
        <v>46140</v>
      </c>
      <c r="B4199" s="11" t="n">
        <f aca="false">MOD(ROW()-9,24)</f>
        <v>14</v>
      </c>
      <c r="C4199" s="12"/>
      <c r="D4199" s="13" t="n">
        <f aca="false">IF(B4199&lt;5,Einstellungen!$B$3,Einstellungen!$B$4)</f>
        <v>29.13</v>
      </c>
      <c r="E4199" s="14" t="str">
        <f aca="false">IF(C4199="","",C4199*D4199/100)</f>
        <v/>
      </c>
      <c r="F4199" s="15" t="str">
        <f aca="false">IF(B4199&lt;5,"Go","Standard")</f>
        <v>Standard</v>
      </c>
    </row>
    <row r="4200" customFormat="false" ht="15" hidden="false" customHeight="true" outlineLevel="0" collapsed="false">
      <c r="A4200" s="10" t="n">
        <f aca="false">Einstellungen!$B$5+INT((ROW()-9)/24)</f>
        <v>46140</v>
      </c>
      <c r="B4200" s="11" t="n">
        <f aca="false">MOD(ROW()-9,24)</f>
        <v>15</v>
      </c>
      <c r="C4200" s="12"/>
      <c r="D4200" s="13" t="n">
        <f aca="false">IF(B4200&lt;5,Einstellungen!$B$3,Einstellungen!$B$4)</f>
        <v>29.13</v>
      </c>
      <c r="E4200" s="14" t="str">
        <f aca="false">IF(C4200="","",C4200*D4200/100)</f>
        <v/>
      </c>
      <c r="F4200" s="15" t="str">
        <f aca="false">IF(B4200&lt;5,"Go","Standard")</f>
        <v>Standard</v>
      </c>
    </row>
    <row r="4201" customFormat="false" ht="15" hidden="false" customHeight="true" outlineLevel="0" collapsed="false">
      <c r="A4201" s="10" t="n">
        <f aca="false">Einstellungen!$B$5+INT((ROW()-9)/24)</f>
        <v>46140</v>
      </c>
      <c r="B4201" s="11" t="n">
        <f aca="false">MOD(ROW()-9,24)</f>
        <v>16</v>
      </c>
      <c r="C4201" s="12"/>
      <c r="D4201" s="13" t="n">
        <f aca="false">IF(B4201&lt;5,Einstellungen!$B$3,Einstellungen!$B$4)</f>
        <v>29.13</v>
      </c>
      <c r="E4201" s="14" t="str">
        <f aca="false">IF(C4201="","",C4201*D4201/100)</f>
        <v/>
      </c>
      <c r="F4201" s="15" t="str">
        <f aca="false">IF(B4201&lt;5,"Go","Standard")</f>
        <v>Standard</v>
      </c>
    </row>
    <row r="4202" customFormat="false" ht="15" hidden="false" customHeight="true" outlineLevel="0" collapsed="false">
      <c r="A4202" s="10" t="n">
        <f aca="false">Einstellungen!$B$5+INT((ROW()-9)/24)</f>
        <v>46140</v>
      </c>
      <c r="B4202" s="11" t="n">
        <f aca="false">MOD(ROW()-9,24)</f>
        <v>17</v>
      </c>
      <c r="C4202" s="12"/>
      <c r="D4202" s="13" t="n">
        <f aca="false">IF(B4202&lt;5,Einstellungen!$B$3,Einstellungen!$B$4)</f>
        <v>29.13</v>
      </c>
      <c r="E4202" s="14" t="str">
        <f aca="false">IF(C4202="","",C4202*D4202/100)</f>
        <v/>
      </c>
      <c r="F4202" s="15" t="str">
        <f aca="false">IF(B4202&lt;5,"Go","Standard")</f>
        <v>Standard</v>
      </c>
    </row>
    <row r="4203" customFormat="false" ht="15" hidden="false" customHeight="true" outlineLevel="0" collapsed="false">
      <c r="A4203" s="10" t="n">
        <f aca="false">Einstellungen!$B$5+INT((ROW()-9)/24)</f>
        <v>46140</v>
      </c>
      <c r="B4203" s="11" t="n">
        <f aca="false">MOD(ROW()-9,24)</f>
        <v>18</v>
      </c>
      <c r="C4203" s="12"/>
      <c r="D4203" s="13" t="n">
        <f aca="false">IF(B4203&lt;5,Einstellungen!$B$3,Einstellungen!$B$4)</f>
        <v>29.13</v>
      </c>
      <c r="E4203" s="14" t="str">
        <f aca="false">IF(C4203="","",C4203*D4203/100)</f>
        <v/>
      </c>
      <c r="F4203" s="15" t="str">
        <f aca="false">IF(B4203&lt;5,"Go","Standard")</f>
        <v>Standard</v>
      </c>
    </row>
    <row r="4204" customFormat="false" ht="15" hidden="false" customHeight="true" outlineLevel="0" collapsed="false">
      <c r="A4204" s="10" t="n">
        <f aca="false">Einstellungen!$B$5+INT((ROW()-9)/24)</f>
        <v>46140</v>
      </c>
      <c r="B4204" s="11" t="n">
        <f aca="false">MOD(ROW()-9,24)</f>
        <v>19</v>
      </c>
      <c r="C4204" s="12"/>
      <c r="D4204" s="13" t="n">
        <f aca="false">IF(B4204&lt;5,Einstellungen!$B$3,Einstellungen!$B$4)</f>
        <v>29.13</v>
      </c>
      <c r="E4204" s="14" t="str">
        <f aca="false">IF(C4204="","",C4204*D4204/100)</f>
        <v/>
      </c>
      <c r="F4204" s="15" t="str">
        <f aca="false">IF(B4204&lt;5,"Go","Standard")</f>
        <v>Standard</v>
      </c>
    </row>
    <row r="4205" customFormat="false" ht="15" hidden="false" customHeight="true" outlineLevel="0" collapsed="false">
      <c r="A4205" s="10" t="n">
        <f aca="false">Einstellungen!$B$5+INT((ROW()-9)/24)</f>
        <v>46140</v>
      </c>
      <c r="B4205" s="11" t="n">
        <f aca="false">MOD(ROW()-9,24)</f>
        <v>20</v>
      </c>
      <c r="C4205" s="12"/>
      <c r="D4205" s="13" t="n">
        <f aca="false">IF(B4205&lt;5,Einstellungen!$B$3,Einstellungen!$B$4)</f>
        <v>29.13</v>
      </c>
      <c r="E4205" s="14" t="str">
        <f aca="false">IF(C4205="","",C4205*D4205/100)</f>
        <v/>
      </c>
      <c r="F4205" s="15" t="str">
        <f aca="false">IF(B4205&lt;5,"Go","Standard")</f>
        <v>Standard</v>
      </c>
    </row>
    <row r="4206" customFormat="false" ht="15" hidden="false" customHeight="true" outlineLevel="0" collapsed="false">
      <c r="A4206" s="10" t="n">
        <f aca="false">Einstellungen!$B$5+INT((ROW()-9)/24)</f>
        <v>46140</v>
      </c>
      <c r="B4206" s="11" t="n">
        <f aca="false">MOD(ROW()-9,24)</f>
        <v>21</v>
      </c>
      <c r="C4206" s="12"/>
      <c r="D4206" s="13" t="n">
        <f aca="false">IF(B4206&lt;5,Einstellungen!$B$3,Einstellungen!$B$4)</f>
        <v>29.13</v>
      </c>
      <c r="E4206" s="14" t="str">
        <f aca="false">IF(C4206="","",C4206*D4206/100)</f>
        <v/>
      </c>
      <c r="F4206" s="15" t="str">
        <f aca="false">IF(B4206&lt;5,"Go","Standard")</f>
        <v>Standard</v>
      </c>
    </row>
    <row r="4207" customFormat="false" ht="15" hidden="false" customHeight="true" outlineLevel="0" collapsed="false">
      <c r="A4207" s="10" t="n">
        <f aca="false">Einstellungen!$B$5+INT((ROW()-9)/24)</f>
        <v>46140</v>
      </c>
      <c r="B4207" s="11" t="n">
        <f aca="false">MOD(ROW()-9,24)</f>
        <v>22</v>
      </c>
      <c r="C4207" s="12"/>
      <c r="D4207" s="13" t="n">
        <f aca="false">IF(B4207&lt;5,Einstellungen!$B$3,Einstellungen!$B$4)</f>
        <v>29.13</v>
      </c>
      <c r="E4207" s="14" t="str">
        <f aca="false">IF(C4207="","",C4207*D4207/100)</f>
        <v/>
      </c>
      <c r="F4207" s="15" t="str">
        <f aca="false">IF(B4207&lt;5,"Go","Standard")</f>
        <v>Standard</v>
      </c>
    </row>
    <row r="4208" customFormat="false" ht="15" hidden="false" customHeight="true" outlineLevel="0" collapsed="false">
      <c r="A4208" s="10" t="n">
        <f aca="false">Einstellungen!$B$5+INT((ROW()-9)/24)</f>
        <v>46140</v>
      </c>
      <c r="B4208" s="11" t="n">
        <f aca="false">MOD(ROW()-9,24)</f>
        <v>23</v>
      </c>
      <c r="C4208" s="12"/>
      <c r="D4208" s="13" t="n">
        <f aca="false">IF(B4208&lt;5,Einstellungen!$B$3,Einstellungen!$B$4)</f>
        <v>29.13</v>
      </c>
      <c r="E4208" s="14" t="str">
        <f aca="false">IF(C4208="","",C4208*D4208/100)</f>
        <v/>
      </c>
      <c r="F4208" s="15" t="str">
        <f aca="false">IF(B4208&lt;5,"Go","Standard")</f>
        <v>Standard</v>
      </c>
    </row>
    <row r="4209" customFormat="false" ht="15" hidden="false" customHeight="true" outlineLevel="0" collapsed="false">
      <c r="A4209" s="10" t="n">
        <f aca="false">Einstellungen!$B$5+INT((ROW()-9)/24)</f>
        <v>46141</v>
      </c>
      <c r="B4209" s="11" t="n">
        <f aca="false">MOD(ROW()-9,24)</f>
        <v>0</v>
      </c>
      <c r="C4209" s="12"/>
      <c r="D4209" s="13" t="n">
        <f aca="false">IF(B4209&lt;5,Einstellungen!$B$3,Einstellungen!$B$4)</f>
        <v>15.92</v>
      </c>
      <c r="E4209" s="14" t="str">
        <f aca="false">IF(C4209="","",C4209*D4209/100)</f>
        <v/>
      </c>
      <c r="F4209" s="15" t="str">
        <f aca="false">IF(B4209&lt;5,"Go","Standard")</f>
        <v>Go</v>
      </c>
    </row>
    <row r="4210" customFormat="false" ht="15" hidden="false" customHeight="true" outlineLevel="0" collapsed="false">
      <c r="A4210" s="10" t="n">
        <f aca="false">Einstellungen!$B$5+INT((ROW()-9)/24)</f>
        <v>46141</v>
      </c>
      <c r="B4210" s="11" t="n">
        <f aca="false">MOD(ROW()-9,24)</f>
        <v>1</v>
      </c>
      <c r="C4210" s="12"/>
      <c r="D4210" s="13" t="n">
        <f aca="false">IF(B4210&lt;5,Einstellungen!$B$3,Einstellungen!$B$4)</f>
        <v>15.92</v>
      </c>
      <c r="E4210" s="14" t="str">
        <f aca="false">IF(C4210="","",C4210*D4210/100)</f>
        <v/>
      </c>
      <c r="F4210" s="15" t="str">
        <f aca="false">IF(B4210&lt;5,"Go","Standard")</f>
        <v>Go</v>
      </c>
    </row>
    <row r="4211" customFormat="false" ht="15" hidden="false" customHeight="true" outlineLevel="0" collapsed="false">
      <c r="A4211" s="10" t="n">
        <f aca="false">Einstellungen!$B$5+INT((ROW()-9)/24)</f>
        <v>46141</v>
      </c>
      <c r="B4211" s="11" t="n">
        <f aca="false">MOD(ROW()-9,24)</f>
        <v>2</v>
      </c>
      <c r="C4211" s="12"/>
      <c r="D4211" s="13" t="n">
        <f aca="false">IF(B4211&lt;5,Einstellungen!$B$3,Einstellungen!$B$4)</f>
        <v>15.92</v>
      </c>
      <c r="E4211" s="14" t="str">
        <f aca="false">IF(C4211="","",C4211*D4211/100)</f>
        <v/>
      </c>
      <c r="F4211" s="15" t="str">
        <f aca="false">IF(B4211&lt;5,"Go","Standard")</f>
        <v>Go</v>
      </c>
    </row>
    <row r="4212" customFormat="false" ht="15" hidden="false" customHeight="true" outlineLevel="0" collapsed="false">
      <c r="A4212" s="10" t="n">
        <f aca="false">Einstellungen!$B$5+INT((ROW()-9)/24)</f>
        <v>46141</v>
      </c>
      <c r="B4212" s="11" t="n">
        <f aca="false">MOD(ROW()-9,24)</f>
        <v>3</v>
      </c>
      <c r="C4212" s="12"/>
      <c r="D4212" s="13" t="n">
        <f aca="false">IF(B4212&lt;5,Einstellungen!$B$3,Einstellungen!$B$4)</f>
        <v>15.92</v>
      </c>
      <c r="E4212" s="14" t="str">
        <f aca="false">IF(C4212="","",C4212*D4212/100)</f>
        <v/>
      </c>
      <c r="F4212" s="15" t="str">
        <f aca="false">IF(B4212&lt;5,"Go","Standard")</f>
        <v>Go</v>
      </c>
    </row>
    <row r="4213" customFormat="false" ht="15" hidden="false" customHeight="true" outlineLevel="0" collapsed="false">
      <c r="A4213" s="10" t="n">
        <f aca="false">Einstellungen!$B$5+INT((ROW()-9)/24)</f>
        <v>46141</v>
      </c>
      <c r="B4213" s="11" t="n">
        <f aca="false">MOD(ROW()-9,24)</f>
        <v>4</v>
      </c>
      <c r="C4213" s="12"/>
      <c r="D4213" s="13" t="n">
        <f aca="false">IF(B4213&lt;5,Einstellungen!$B$3,Einstellungen!$B$4)</f>
        <v>15.92</v>
      </c>
      <c r="E4213" s="14" t="str">
        <f aca="false">IF(C4213="","",C4213*D4213/100)</f>
        <v/>
      </c>
      <c r="F4213" s="15" t="str">
        <f aca="false">IF(B4213&lt;5,"Go","Standard")</f>
        <v>Go</v>
      </c>
    </row>
    <row r="4214" customFormat="false" ht="15" hidden="false" customHeight="true" outlineLevel="0" collapsed="false">
      <c r="A4214" s="10" t="n">
        <f aca="false">Einstellungen!$B$5+INT((ROW()-9)/24)</f>
        <v>46141</v>
      </c>
      <c r="B4214" s="11" t="n">
        <f aca="false">MOD(ROW()-9,24)</f>
        <v>5</v>
      </c>
      <c r="C4214" s="12"/>
      <c r="D4214" s="13" t="n">
        <f aca="false">IF(B4214&lt;5,Einstellungen!$B$3,Einstellungen!$B$4)</f>
        <v>29.13</v>
      </c>
      <c r="E4214" s="14" t="str">
        <f aca="false">IF(C4214="","",C4214*D4214/100)</f>
        <v/>
      </c>
      <c r="F4214" s="15" t="str">
        <f aca="false">IF(B4214&lt;5,"Go","Standard")</f>
        <v>Standard</v>
      </c>
    </row>
    <row r="4215" customFormat="false" ht="15" hidden="false" customHeight="true" outlineLevel="0" collapsed="false">
      <c r="A4215" s="10" t="n">
        <f aca="false">Einstellungen!$B$5+INT((ROW()-9)/24)</f>
        <v>46141</v>
      </c>
      <c r="B4215" s="11" t="n">
        <f aca="false">MOD(ROW()-9,24)</f>
        <v>6</v>
      </c>
      <c r="C4215" s="12"/>
      <c r="D4215" s="13" t="n">
        <f aca="false">IF(B4215&lt;5,Einstellungen!$B$3,Einstellungen!$B$4)</f>
        <v>29.13</v>
      </c>
      <c r="E4215" s="14" t="str">
        <f aca="false">IF(C4215="","",C4215*D4215/100)</f>
        <v/>
      </c>
      <c r="F4215" s="15" t="str">
        <f aca="false">IF(B4215&lt;5,"Go","Standard")</f>
        <v>Standard</v>
      </c>
    </row>
    <row r="4216" customFormat="false" ht="15" hidden="false" customHeight="true" outlineLevel="0" collapsed="false">
      <c r="A4216" s="10" t="n">
        <f aca="false">Einstellungen!$B$5+INT((ROW()-9)/24)</f>
        <v>46141</v>
      </c>
      <c r="B4216" s="11" t="n">
        <f aca="false">MOD(ROW()-9,24)</f>
        <v>7</v>
      </c>
      <c r="C4216" s="12"/>
      <c r="D4216" s="13" t="n">
        <f aca="false">IF(B4216&lt;5,Einstellungen!$B$3,Einstellungen!$B$4)</f>
        <v>29.13</v>
      </c>
      <c r="E4216" s="14" t="str">
        <f aca="false">IF(C4216="","",C4216*D4216/100)</f>
        <v/>
      </c>
      <c r="F4216" s="15" t="str">
        <f aca="false">IF(B4216&lt;5,"Go","Standard")</f>
        <v>Standard</v>
      </c>
    </row>
    <row r="4217" customFormat="false" ht="15" hidden="false" customHeight="true" outlineLevel="0" collapsed="false">
      <c r="A4217" s="10" t="n">
        <f aca="false">Einstellungen!$B$5+INT((ROW()-9)/24)</f>
        <v>46141</v>
      </c>
      <c r="B4217" s="11" t="n">
        <f aca="false">MOD(ROW()-9,24)</f>
        <v>8</v>
      </c>
      <c r="C4217" s="12"/>
      <c r="D4217" s="13" t="n">
        <f aca="false">IF(B4217&lt;5,Einstellungen!$B$3,Einstellungen!$B$4)</f>
        <v>29.13</v>
      </c>
      <c r="E4217" s="14" t="str">
        <f aca="false">IF(C4217="","",C4217*D4217/100)</f>
        <v/>
      </c>
      <c r="F4217" s="15" t="str">
        <f aca="false">IF(B4217&lt;5,"Go","Standard")</f>
        <v>Standard</v>
      </c>
    </row>
    <row r="4218" customFormat="false" ht="15" hidden="false" customHeight="true" outlineLevel="0" collapsed="false">
      <c r="A4218" s="10" t="n">
        <f aca="false">Einstellungen!$B$5+INT((ROW()-9)/24)</f>
        <v>46141</v>
      </c>
      <c r="B4218" s="11" t="n">
        <f aca="false">MOD(ROW()-9,24)</f>
        <v>9</v>
      </c>
      <c r="C4218" s="12"/>
      <c r="D4218" s="13" t="n">
        <f aca="false">IF(B4218&lt;5,Einstellungen!$B$3,Einstellungen!$B$4)</f>
        <v>29.13</v>
      </c>
      <c r="E4218" s="14" t="str">
        <f aca="false">IF(C4218="","",C4218*D4218/100)</f>
        <v/>
      </c>
      <c r="F4218" s="15" t="str">
        <f aca="false">IF(B4218&lt;5,"Go","Standard")</f>
        <v>Standard</v>
      </c>
    </row>
    <row r="4219" customFormat="false" ht="15" hidden="false" customHeight="true" outlineLevel="0" collapsed="false">
      <c r="A4219" s="10" t="n">
        <f aca="false">Einstellungen!$B$5+INT((ROW()-9)/24)</f>
        <v>46141</v>
      </c>
      <c r="B4219" s="11" t="n">
        <f aca="false">MOD(ROW()-9,24)</f>
        <v>10</v>
      </c>
      <c r="C4219" s="12"/>
      <c r="D4219" s="13" t="n">
        <f aca="false">IF(B4219&lt;5,Einstellungen!$B$3,Einstellungen!$B$4)</f>
        <v>29.13</v>
      </c>
      <c r="E4219" s="14" t="str">
        <f aca="false">IF(C4219="","",C4219*D4219/100)</f>
        <v/>
      </c>
      <c r="F4219" s="15" t="str">
        <f aca="false">IF(B4219&lt;5,"Go","Standard")</f>
        <v>Standard</v>
      </c>
    </row>
    <row r="4220" customFormat="false" ht="15" hidden="false" customHeight="true" outlineLevel="0" collapsed="false">
      <c r="A4220" s="10" t="n">
        <f aca="false">Einstellungen!$B$5+INT((ROW()-9)/24)</f>
        <v>46141</v>
      </c>
      <c r="B4220" s="11" t="n">
        <f aca="false">MOD(ROW()-9,24)</f>
        <v>11</v>
      </c>
      <c r="C4220" s="12"/>
      <c r="D4220" s="13" t="n">
        <f aca="false">IF(B4220&lt;5,Einstellungen!$B$3,Einstellungen!$B$4)</f>
        <v>29.13</v>
      </c>
      <c r="E4220" s="14" t="str">
        <f aca="false">IF(C4220="","",C4220*D4220/100)</f>
        <v/>
      </c>
      <c r="F4220" s="15" t="str">
        <f aca="false">IF(B4220&lt;5,"Go","Standard")</f>
        <v>Standard</v>
      </c>
    </row>
    <row r="4221" customFormat="false" ht="15" hidden="false" customHeight="true" outlineLevel="0" collapsed="false">
      <c r="A4221" s="10" t="n">
        <f aca="false">Einstellungen!$B$5+INT((ROW()-9)/24)</f>
        <v>46141</v>
      </c>
      <c r="B4221" s="11" t="n">
        <f aca="false">MOD(ROW()-9,24)</f>
        <v>12</v>
      </c>
      <c r="C4221" s="12"/>
      <c r="D4221" s="13" t="n">
        <f aca="false">IF(B4221&lt;5,Einstellungen!$B$3,Einstellungen!$B$4)</f>
        <v>29.13</v>
      </c>
      <c r="E4221" s="14" t="str">
        <f aca="false">IF(C4221="","",C4221*D4221/100)</f>
        <v/>
      </c>
      <c r="F4221" s="15" t="str">
        <f aca="false">IF(B4221&lt;5,"Go","Standard")</f>
        <v>Standard</v>
      </c>
    </row>
    <row r="4222" customFormat="false" ht="15" hidden="false" customHeight="true" outlineLevel="0" collapsed="false">
      <c r="A4222" s="10" t="n">
        <f aca="false">Einstellungen!$B$5+INT((ROW()-9)/24)</f>
        <v>46141</v>
      </c>
      <c r="B4222" s="11" t="n">
        <f aca="false">MOD(ROW()-9,24)</f>
        <v>13</v>
      </c>
      <c r="C4222" s="12"/>
      <c r="D4222" s="13" t="n">
        <f aca="false">IF(B4222&lt;5,Einstellungen!$B$3,Einstellungen!$B$4)</f>
        <v>29.13</v>
      </c>
      <c r="E4222" s="14" t="str">
        <f aca="false">IF(C4222="","",C4222*D4222/100)</f>
        <v/>
      </c>
      <c r="F4222" s="15" t="str">
        <f aca="false">IF(B4222&lt;5,"Go","Standard")</f>
        <v>Standard</v>
      </c>
    </row>
    <row r="4223" customFormat="false" ht="15" hidden="false" customHeight="true" outlineLevel="0" collapsed="false">
      <c r="A4223" s="10" t="n">
        <f aca="false">Einstellungen!$B$5+INT((ROW()-9)/24)</f>
        <v>46141</v>
      </c>
      <c r="B4223" s="11" t="n">
        <f aca="false">MOD(ROW()-9,24)</f>
        <v>14</v>
      </c>
      <c r="C4223" s="12"/>
      <c r="D4223" s="13" t="n">
        <f aca="false">IF(B4223&lt;5,Einstellungen!$B$3,Einstellungen!$B$4)</f>
        <v>29.13</v>
      </c>
      <c r="E4223" s="14" t="str">
        <f aca="false">IF(C4223="","",C4223*D4223/100)</f>
        <v/>
      </c>
      <c r="F4223" s="15" t="str">
        <f aca="false">IF(B4223&lt;5,"Go","Standard")</f>
        <v>Standard</v>
      </c>
    </row>
    <row r="4224" customFormat="false" ht="15" hidden="false" customHeight="true" outlineLevel="0" collapsed="false">
      <c r="A4224" s="10" t="n">
        <f aca="false">Einstellungen!$B$5+INT((ROW()-9)/24)</f>
        <v>46141</v>
      </c>
      <c r="B4224" s="11" t="n">
        <f aca="false">MOD(ROW()-9,24)</f>
        <v>15</v>
      </c>
      <c r="C4224" s="12"/>
      <c r="D4224" s="13" t="n">
        <f aca="false">IF(B4224&lt;5,Einstellungen!$B$3,Einstellungen!$B$4)</f>
        <v>29.13</v>
      </c>
      <c r="E4224" s="14" t="str">
        <f aca="false">IF(C4224="","",C4224*D4224/100)</f>
        <v/>
      </c>
      <c r="F4224" s="15" t="str">
        <f aca="false">IF(B4224&lt;5,"Go","Standard")</f>
        <v>Standard</v>
      </c>
    </row>
    <row r="4225" customFormat="false" ht="15" hidden="false" customHeight="true" outlineLevel="0" collapsed="false">
      <c r="A4225" s="10" t="n">
        <f aca="false">Einstellungen!$B$5+INT((ROW()-9)/24)</f>
        <v>46141</v>
      </c>
      <c r="B4225" s="11" t="n">
        <f aca="false">MOD(ROW()-9,24)</f>
        <v>16</v>
      </c>
      <c r="C4225" s="12"/>
      <c r="D4225" s="13" t="n">
        <f aca="false">IF(B4225&lt;5,Einstellungen!$B$3,Einstellungen!$B$4)</f>
        <v>29.13</v>
      </c>
      <c r="E4225" s="14" t="str">
        <f aca="false">IF(C4225="","",C4225*D4225/100)</f>
        <v/>
      </c>
      <c r="F4225" s="15" t="str">
        <f aca="false">IF(B4225&lt;5,"Go","Standard")</f>
        <v>Standard</v>
      </c>
    </row>
    <row r="4226" customFormat="false" ht="15" hidden="false" customHeight="true" outlineLevel="0" collapsed="false">
      <c r="A4226" s="10" t="n">
        <f aca="false">Einstellungen!$B$5+INT((ROW()-9)/24)</f>
        <v>46141</v>
      </c>
      <c r="B4226" s="11" t="n">
        <f aca="false">MOD(ROW()-9,24)</f>
        <v>17</v>
      </c>
      <c r="C4226" s="12"/>
      <c r="D4226" s="13" t="n">
        <f aca="false">IF(B4226&lt;5,Einstellungen!$B$3,Einstellungen!$B$4)</f>
        <v>29.13</v>
      </c>
      <c r="E4226" s="14" t="str">
        <f aca="false">IF(C4226="","",C4226*D4226/100)</f>
        <v/>
      </c>
      <c r="F4226" s="15" t="str">
        <f aca="false">IF(B4226&lt;5,"Go","Standard")</f>
        <v>Standard</v>
      </c>
    </row>
    <row r="4227" customFormat="false" ht="15" hidden="false" customHeight="true" outlineLevel="0" collapsed="false">
      <c r="A4227" s="10" t="n">
        <f aca="false">Einstellungen!$B$5+INT((ROW()-9)/24)</f>
        <v>46141</v>
      </c>
      <c r="B4227" s="11" t="n">
        <f aca="false">MOD(ROW()-9,24)</f>
        <v>18</v>
      </c>
      <c r="C4227" s="12"/>
      <c r="D4227" s="13" t="n">
        <f aca="false">IF(B4227&lt;5,Einstellungen!$B$3,Einstellungen!$B$4)</f>
        <v>29.13</v>
      </c>
      <c r="E4227" s="14" t="str">
        <f aca="false">IF(C4227="","",C4227*D4227/100)</f>
        <v/>
      </c>
      <c r="F4227" s="15" t="str">
        <f aca="false">IF(B4227&lt;5,"Go","Standard")</f>
        <v>Standard</v>
      </c>
    </row>
    <row r="4228" customFormat="false" ht="15" hidden="false" customHeight="true" outlineLevel="0" collapsed="false">
      <c r="A4228" s="10" t="n">
        <f aca="false">Einstellungen!$B$5+INT((ROW()-9)/24)</f>
        <v>46141</v>
      </c>
      <c r="B4228" s="11" t="n">
        <f aca="false">MOD(ROW()-9,24)</f>
        <v>19</v>
      </c>
      <c r="C4228" s="12"/>
      <c r="D4228" s="13" t="n">
        <f aca="false">IF(B4228&lt;5,Einstellungen!$B$3,Einstellungen!$B$4)</f>
        <v>29.13</v>
      </c>
      <c r="E4228" s="14" t="str">
        <f aca="false">IF(C4228="","",C4228*D4228/100)</f>
        <v/>
      </c>
      <c r="F4228" s="15" t="str">
        <f aca="false">IF(B4228&lt;5,"Go","Standard")</f>
        <v>Standard</v>
      </c>
    </row>
    <row r="4229" customFormat="false" ht="15" hidden="false" customHeight="true" outlineLevel="0" collapsed="false">
      <c r="A4229" s="10" t="n">
        <f aca="false">Einstellungen!$B$5+INT((ROW()-9)/24)</f>
        <v>46141</v>
      </c>
      <c r="B4229" s="11" t="n">
        <f aca="false">MOD(ROW()-9,24)</f>
        <v>20</v>
      </c>
      <c r="C4229" s="12"/>
      <c r="D4229" s="13" t="n">
        <f aca="false">IF(B4229&lt;5,Einstellungen!$B$3,Einstellungen!$B$4)</f>
        <v>29.13</v>
      </c>
      <c r="E4229" s="14" t="str">
        <f aca="false">IF(C4229="","",C4229*D4229/100)</f>
        <v/>
      </c>
      <c r="F4229" s="15" t="str">
        <f aca="false">IF(B4229&lt;5,"Go","Standard")</f>
        <v>Standard</v>
      </c>
    </row>
    <row r="4230" customFormat="false" ht="15" hidden="false" customHeight="true" outlineLevel="0" collapsed="false">
      <c r="A4230" s="10" t="n">
        <f aca="false">Einstellungen!$B$5+INT((ROW()-9)/24)</f>
        <v>46141</v>
      </c>
      <c r="B4230" s="11" t="n">
        <f aca="false">MOD(ROW()-9,24)</f>
        <v>21</v>
      </c>
      <c r="C4230" s="12"/>
      <c r="D4230" s="13" t="n">
        <f aca="false">IF(B4230&lt;5,Einstellungen!$B$3,Einstellungen!$B$4)</f>
        <v>29.13</v>
      </c>
      <c r="E4230" s="14" t="str">
        <f aca="false">IF(C4230="","",C4230*D4230/100)</f>
        <v/>
      </c>
      <c r="F4230" s="15" t="str">
        <f aca="false">IF(B4230&lt;5,"Go","Standard")</f>
        <v>Standard</v>
      </c>
    </row>
    <row r="4231" customFormat="false" ht="15" hidden="false" customHeight="true" outlineLevel="0" collapsed="false">
      <c r="A4231" s="10" t="n">
        <f aca="false">Einstellungen!$B$5+INT((ROW()-9)/24)</f>
        <v>46141</v>
      </c>
      <c r="B4231" s="11" t="n">
        <f aca="false">MOD(ROW()-9,24)</f>
        <v>22</v>
      </c>
      <c r="C4231" s="12"/>
      <c r="D4231" s="13" t="n">
        <f aca="false">IF(B4231&lt;5,Einstellungen!$B$3,Einstellungen!$B$4)</f>
        <v>29.13</v>
      </c>
      <c r="E4231" s="14" t="str">
        <f aca="false">IF(C4231="","",C4231*D4231/100)</f>
        <v/>
      </c>
      <c r="F4231" s="15" t="str">
        <f aca="false">IF(B4231&lt;5,"Go","Standard")</f>
        <v>Standard</v>
      </c>
    </row>
    <row r="4232" customFormat="false" ht="15" hidden="false" customHeight="true" outlineLevel="0" collapsed="false">
      <c r="A4232" s="10" t="n">
        <f aca="false">Einstellungen!$B$5+INT((ROW()-9)/24)</f>
        <v>46141</v>
      </c>
      <c r="B4232" s="11" t="n">
        <f aca="false">MOD(ROW()-9,24)</f>
        <v>23</v>
      </c>
      <c r="C4232" s="12"/>
      <c r="D4232" s="13" t="n">
        <f aca="false">IF(B4232&lt;5,Einstellungen!$B$3,Einstellungen!$B$4)</f>
        <v>29.13</v>
      </c>
      <c r="E4232" s="14" t="str">
        <f aca="false">IF(C4232="","",C4232*D4232/100)</f>
        <v/>
      </c>
      <c r="F4232" s="15" t="str">
        <f aca="false">IF(B4232&lt;5,"Go","Standard")</f>
        <v>Standard</v>
      </c>
    </row>
    <row r="4233" customFormat="false" ht="15" hidden="false" customHeight="true" outlineLevel="0" collapsed="false">
      <c r="A4233" s="10" t="n">
        <f aca="false">Einstellungen!$B$5+INT((ROW()-9)/24)</f>
        <v>46142</v>
      </c>
      <c r="B4233" s="11" t="n">
        <f aca="false">MOD(ROW()-9,24)</f>
        <v>0</v>
      </c>
      <c r="C4233" s="12"/>
      <c r="D4233" s="13" t="n">
        <f aca="false">IF(B4233&lt;5,Einstellungen!$B$3,Einstellungen!$B$4)</f>
        <v>15.92</v>
      </c>
      <c r="E4233" s="14" t="str">
        <f aca="false">IF(C4233="","",C4233*D4233/100)</f>
        <v/>
      </c>
      <c r="F4233" s="15" t="str">
        <f aca="false">IF(B4233&lt;5,"Go","Standard")</f>
        <v>Go</v>
      </c>
    </row>
    <row r="4234" customFormat="false" ht="15" hidden="false" customHeight="true" outlineLevel="0" collapsed="false">
      <c r="A4234" s="10" t="n">
        <f aca="false">Einstellungen!$B$5+INT((ROW()-9)/24)</f>
        <v>46142</v>
      </c>
      <c r="B4234" s="11" t="n">
        <f aca="false">MOD(ROW()-9,24)</f>
        <v>1</v>
      </c>
      <c r="C4234" s="12"/>
      <c r="D4234" s="13" t="n">
        <f aca="false">IF(B4234&lt;5,Einstellungen!$B$3,Einstellungen!$B$4)</f>
        <v>15.92</v>
      </c>
      <c r="E4234" s="14" t="str">
        <f aca="false">IF(C4234="","",C4234*D4234/100)</f>
        <v/>
      </c>
      <c r="F4234" s="15" t="str">
        <f aca="false">IF(B4234&lt;5,"Go","Standard")</f>
        <v>Go</v>
      </c>
    </row>
    <row r="4235" customFormat="false" ht="15" hidden="false" customHeight="true" outlineLevel="0" collapsed="false">
      <c r="A4235" s="10" t="n">
        <f aca="false">Einstellungen!$B$5+INT((ROW()-9)/24)</f>
        <v>46142</v>
      </c>
      <c r="B4235" s="11" t="n">
        <f aca="false">MOD(ROW()-9,24)</f>
        <v>2</v>
      </c>
      <c r="C4235" s="12"/>
      <c r="D4235" s="13" t="n">
        <f aca="false">IF(B4235&lt;5,Einstellungen!$B$3,Einstellungen!$B$4)</f>
        <v>15.92</v>
      </c>
      <c r="E4235" s="14" t="str">
        <f aca="false">IF(C4235="","",C4235*D4235/100)</f>
        <v/>
      </c>
      <c r="F4235" s="15" t="str">
        <f aca="false">IF(B4235&lt;5,"Go","Standard")</f>
        <v>Go</v>
      </c>
    </row>
    <row r="4236" customFormat="false" ht="15" hidden="false" customHeight="true" outlineLevel="0" collapsed="false">
      <c r="A4236" s="10" t="n">
        <f aca="false">Einstellungen!$B$5+INT((ROW()-9)/24)</f>
        <v>46142</v>
      </c>
      <c r="B4236" s="11" t="n">
        <f aca="false">MOD(ROW()-9,24)</f>
        <v>3</v>
      </c>
      <c r="C4236" s="12"/>
      <c r="D4236" s="13" t="n">
        <f aca="false">IF(B4236&lt;5,Einstellungen!$B$3,Einstellungen!$B$4)</f>
        <v>15.92</v>
      </c>
      <c r="E4236" s="14" t="str">
        <f aca="false">IF(C4236="","",C4236*D4236/100)</f>
        <v/>
      </c>
      <c r="F4236" s="15" t="str">
        <f aca="false">IF(B4236&lt;5,"Go","Standard")</f>
        <v>Go</v>
      </c>
    </row>
    <row r="4237" customFormat="false" ht="15" hidden="false" customHeight="true" outlineLevel="0" collapsed="false">
      <c r="A4237" s="10" t="n">
        <f aca="false">Einstellungen!$B$5+INT((ROW()-9)/24)</f>
        <v>46142</v>
      </c>
      <c r="B4237" s="11" t="n">
        <f aca="false">MOD(ROW()-9,24)</f>
        <v>4</v>
      </c>
      <c r="C4237" s="12"/>
      <c r="D4237" s="13" t="n">
        <f aca="false">IF(B4237&lt;5,Einstellungen!$B$3,Einstellungen!$B$4)</f>
        <v>15.92</v>
      </c>
      <c r="E4237" s="14" t="str">
        <f aca="false">IF(C4237="","",C4237*D4237/100)</f>
        <v/>
      </c>
      <c r="F4237" s="15" t="str">
        <f aca="false">IF(B4237&lt;5,"Go","Standard")</f>
        <v>Go</v>
      </c>
    </row>
    <row r="4238" customFormat="false" ht="15" hidden="false" customHeight="true" outlineLevel="0" collapsed="false">
      <c r="A4238" s="10" t="n">
        <f aca="false">Einstellungen!$B$5+INT((ROW()-9)/24)</f>
        <v>46142</v>
      </c>
      <c r="B4238" s="11" t="n">
        <f aca="false">MOD(ROW()-9,24)</f>
        <v>5</v>
      </c>
      <c r="C4238" s="12"/>
      <c r="D4238" s="13" t="n">
        <f aca="false">IF(B4238&lt;5,Einstellungen!$B$3,Einstellungen!$B$4)</f>
        <v>29.13</v>
      </c>
      <c r="E4238" s="14" t="str">
        <f aca="false">IF(C4238="","",C4238*D4238/100)</f>
        <v/>
      </c>
      <c r="F4238" s="15" t="str">
        <f aca="false">IF(B4238&lt;5,"Go","Standard")</f>
        <v>Standard</v>
      </c>
    </row>
    <row r="4239" customFormat="false" ht="15" hidden="false" customHeight="true" outlineLevel="0" collapsed="false">
      <c r="A4239" s="10" t="n">
        <f aca="false">Einstellungen!$B$5+INT((ROW()-9)/24)</f>
        <v>46142</v>
      </c>
      <c r="B4239" s="11" t="n">
        <f aca="false">MOD(ROW()-9,24)</f>
        <v>6</v>
      </c>
      <c r="C4239" s="12"/>
      <c r="D4239" s="13" t="n">
        <f aca="false">IF(B4239&lt;5,Einstellungen!$B$3,Einstellungen!$B$4)</f>
        <v>29.13</v>
      </c>
      <c r="E4239" s="14" t="str">
        <f aca="false">IF(C4239="","",C4239*D4239/100)</f>
        <v/>
      </c>
      <c r="F4239" s="15" t="str">
        <f aca="false">IF(B4239&lt;5,"Go","Standard")</f>
        <v>Standard</v>
      </c>
    </row>
    <row r="4240" customFormat="false" ht="15" hidden="false" customHeight="true" outlineLevel="0" collapsed="false">
      <c r="A4240" s="10" t="n">
        <f aca="false">Einstellungen!$B$5+INT((ROW()-9)/24)</f>
        <v>46142</v>
      </c>
      <c r="B4240" s="11" t="n">
        <f aca="false">MOD(ROW()-9,24)</f>
        <v>7</v>
      </c>
      <c r="C4240" s="12"/>
      <c r="D4240" s="13" t="n">
        <f aca="false">IF(B4240&lt;5,Einstellungen!$B$3,Einstellungen!$B$4)</f>
        <v>29.13</v>
      </c>
      <c r="E4240" s="14" t="str">
        <f aca="false">IF(C4240="","",C4240*D4240/100)</f>
        <v/>
      </c>
      <c r="F4240" s="15" t="str">
        <f aca="false">IF(B4240&lt;5,"Go","Standard")</f>
        <v>Standard</v>
      </c>
    </row>
    <row r="4241" customFormat="false" ht="15" hidden="false" customHeight="true" outlineLevel="0" collapsed="false">
      <c r="A4241" s="10" t="n">
        <f aca="false">Einstellungen!$B$5+INT((ROW()-9)/24)</f>
        <v>46142</v>
      </c>
      <c r="B4241" s="11" t="n">
        <f aca="false">MOD(ROW()-9,24)</f>
        <v>8</v>
      </c>
      <c r="C4241" s="12"/>
      <c r="D4241" s="13" t="n">
        <f aca="false">IF(B4241&lt;5,Einstellungen!$B$3,Einstellungen!$B$4)</f>
        <v>29.13</v>
      </c>
      <c r="E4241" s="14" t="str">
        <f aca="false">IF(C4241="","",C4241*D4241/100)</f>
        <v/>
      </c>
      <c r="F4241" s="15" t="str">
        <f aca="false">IF(B4241&lt;5,"Go","Standard")</f>
        <v>Standard</v>
      </c>
    </row>
    <row r="4242" customFormat="false" ht="15" hidden="false" customHeight="true" outlineLevel="0" collapsed="false">
      <c r="A4242" s="10" t="n">
        <f aca="false">Einstellungen!$B$5+INT((ROW()-9)/24)</f>
        <v>46142</v>
      </c>
      <c r="B4242" s="11" t="n">
        <f aca="false">MOD(ROW()-9,24)</f>
        <v>9</v>
      </c>
      <c r="C4242" s="12"/>
      <c r="D4242" s="13" t="n">
        <f aca="false">IF(B4242&lt;5,Einstellungen!$B$3,Einstellungen!$B$4)</f>
        <v>29.13</v>
      </c>
      <c r="E4242" s="14" t="str">
        <f aca="false">IF(C4242="","",C4242*D4242/100)</f>
        <v/>
      </c>
      <c r="F4242" s="15" t="str">
        <f aca="false">IF(B4242&lt;5,"Go","Standard")</f>
        <v>Standard</v>
      </c>
    </row>
    <row r="4243" customFormat="false" ht="15" hidden="false" customHeight="true" outlineLevel="0" collapsed="false">
      <c r="A4243" s="10" t="n">
        <f aca="false">Einstellungen!$B$5+INT((ROW()-9)/24)</f>
        <v>46142</v>
      </c>
      <c r="B4243" s="11" t="n">
        <f aca="false">MOD(ROW()-9,24)</f>
        <v>10</v>
      </c>
      <c r="C4243" s="12"/>
      <c r="D4243" s="13" t="n">
        <f aca="false">IF(B4243&lt;5,Einstellungen!$B$3,Einstellungen!$B$4)</f>
        <v>29.13</v>
      </c>
      <c r="E4243" s="14" t="str">
        <f aca="false">IF(C4243="","",C4243*D4243/100)</f>
        <v/>
      </c>
      <c r="F4243" s="15" t="str">
        <f aca="false">IF(B4243&lt;5,"Go","Standard")</f>
        <v>Standard</v>
      </c>
    </row>
    <row r="4244" customFormat="false" ht="15" hidden="false" customHeight="true" outlineLevel="0" collapsed="false">
      <c r="A4244" s="10" t="n">
        <f aca="false">Einstellungen!$B$5+INT((ROW()-9)/24)</f>
        <v>46142</v>
      </c>
      <c r="B4244" s="11" t="n">
        <f aca="false">MOD(ROW()-9,24)</f>
        <v>11</v>
      </c>
      <c r="C4244" s="12"/>
      <c r="D4244" s="13" t="n">
        <f aca="false">IF(B4244&lt;5,Einstellungen!$B$3,Einstellungen!$B$4)</f>
        <v>29.13</v>
      </c>
      <c r="E4244" s="14" t="str">
        <f aca="false">IF(C4244="","",C4244*D4244/100)</f>
        <v/>
      </c>
      <c r="F4244" s="15" t="str">
        <f aca="false">IF(B4244&lt;5,"Go","Standard")</f>
        <v>Standard</v>
      </c>
    </row>
    <row r="4245" customFormat="false" ht="15" hidden="false" customHeight="true" outlineLevel="0" collapsed="false">
      <c r="A4245" s="10" t="n">
        <f aca="false">Einstellungen!$B$5+INT((ROW()-9)/24)</f>
        <v>46142</v>
      </c>
      <c r="B4245" s="11" t="n">
        <f aca="false">MOD(ROW()-9,24)</f>
        <v>12</v>
      </c>
      <c r="C4245" s="12"/>
      <c r="D4245" s="13" t="n">
        <f aca="false">IF(B4245&lt;5,Einstellungen!$B$3,Einstellungen!$B$4)</f>
        <v>29.13</v>
      </c>
      <c r="E4245" s="14" t="str">
        <f aca="false">IF(C4245="","",C4245*D4245/100)</f>
        <v/>
      </c>
      <c r="F4245" s="15" t="str">
        <f aca="false">IF(B4245&lt;5,"Go","Standard")</f>
        <v>Standard</v>
      </c>
    </row>
    <row r="4246" customFormat="false" ht="15" hidden="false" customHeight="true" outlineLevel="0" collapsed="false">
      <c r="A4246" s="10" t="n">
        <f aca="false">Einstellungen!$B$5+INT((ROW()-9)/24)</f>
        <v>46142</v>
      </c>
      <c r="B4246" s="11" t="n">
        <f aca="false">MOD(ROW()-9,24)</f>
        <v>13</v>
      </c>
      <c r="C4246" s="12"/>
      <c r="D4246" s="13" t="n">
        <f aca="false">IF(B4246&lt;5,Einstellungen!$B$3,Einstellungen!$B$4)</f>
        <v>29.13</v>
      </c>
      <c r="E4246" s="14" t="str">
        <f aca="false">IF(C4246="","",C4246*D4246/100)</f>
        <v/>
      </c>
      <c r="F4246" s="15" t="str">
        <f aca="false">IF(B4246&lt;5,"Go","Standard")</f>
        <v>Standard</v>
      </c>
    </row>
    <row r="4247" customFormat="false" ht="15" hidden="false" customHeight="true" outlineLevel="0" collapsed="false">
      <c r="A4247" s="10" t="n">
        <f aca="false">Einstellungen!$B$5+INT((ROW()-9)/24)</f>
        <v>46142</v>
      </c>
      <c r="B4247" s="11" t="n">
        <f aca="false">MOD(ROW()-9,24)</f>
        <v>14</v>
      </c>
      <c r="C4247" s="12"/>
      <c r="D4247" s="13" t="n">
        <f aca="false">IF(B4247&lt;5,Einstellungen!$B$3,Einstellungen!$B$4)</f>
        <v>29.13</v>
      </c>
      <c r="E4247" s="14" t="str">
        <f aca="false">IF(C4247="","",C4247*D4247/100)</f>
        <v/>
      </c>
      <c r="F4247" s="15" t="str">
        <f aca="false">IF(B4247&lt;5,"Go","Standard")</f>
        <v>Standard</v>
      </c>
    </row>
    <row r="4248" customFormat="false" ht="15" hidden="false" customHeight="true" outlineLevel="0" collapsed="false">
      <c r="A4248" s="10" t="n">
        <f aca="false">Einstellungen!$B$5+INT((ROW()-9)/24)</f>
        <v>46142</v>
      </c>
      <c r="B4248" s="11" t="n">
        <f aca="false">MOD(ROW()-9,24)</f>
        <v>15</v>
      </c>
      <c r="C4248" s="12"/>
      <c r="D4248" s="13" t="n">
        <f aca="false">IF(B4248&lt;5,Einstellungen!$B$3,Einstellungen!$B$4)</f>
        <v>29.13</v>
      </c>
      <c r="E4248" s="14" t="str">
        <f aca="false">IF(C4248="","",C4248*D4248/100)</f>
        <v/>
      </c>
      <c r="F4248" s="15" t="str">
        <f aca="false">IF(B4248&lt;5,"Go","Standard")</f>
        <v>Standard</v>
      </c>
    </row>
    <row r="4249" customFormat="false" ht="15" hidden="false" customHeight="true" outlineLevel="0" collapsed="false">
      <c r="A4249" s="10" t="n">
        <f aca="false">Einstellungen!$B$5+INT((ROW()-9)/24)</f>
        <v>46142</v>
      </c>
      <c r="B4249" s="11" t="n">
        <f aca="false">MOD(ROW()-9,24)</f>
        <v>16</v>
      </c>
      <c r="C4249" s="12"/>
      <c r="D4249" s="13" t="n">
        <f aca="false">IF(B4249&lt;5,Einstellungen!$B$3,Einstellungen!$B$4)</f>
        <v>29.13</v>
      </c>
      <c r="E4249" s="14" t="str">
        <f aca="false">IF(C4249="","",C4249*D4249/100)</f>
        <v/>
      </c>
      <c r="F4249" s="15" t="str">
        <f aca="false">IF(B4249&lt;5,"Go","Standard")</f>
        <v>Standard</v>
      </c>
    </row>
    <row r="4250" customFormat="false" ht="15" hidden="false" customHeight="true" outlineLevel="0" collapsed="false">
      <c r="A4250" s="10" t="n">
        <f aca="false">Einstellungen!$B$5+INT((ROW()-9)/24)</f>
        <v>46142</v>
      </c>
      <c r="B4250" s="11" t="n">
        <f aca="false">MOD(ROW()-9,24)</f>
        <v>17</v>
      </c>
      <c r="C4250" s="12"/>
      <c r="D4250" s="13" t="n">
        <f aca="false">IF(B4250&lt;5,Einstellungen!$B$3,Einstellungen!$B$4)</f>
        <v>29.13</v>
      </c>
      <c r="E4250" s="14" t="str">
        <f aca="false">IF(C4250="","",C4250*D4250/100)</f>
        <v/>
      </c>
      <c r="F4250" s="15" t="str">
        <f aca="false">IF(B4250&lt;5,"Go","Standard")</f>
        <v>Standard</v>
      </c>
    </row>
    <row r="4251" customFormat="false" ht="15" hidden="false" customHeight="true" outlineLevel="0" collapsed="false">
      <c r="A4251" s="10" t="n">
        <f aca="false">Einstellungen!$B$5+INT((ROW()-9)/24)</f>
        <v>46142</v>
      </c>
      <c r="B4251" s="11" t="n">
        <f aca="false">MOD(ROW()-9,24)</f>
        <v>18</v>
      </c>
      <c r="C4251" s="12"/>
      <c r="D4251" s="13" t="n">
        <f aca="false">IF(B4251&lt;5,Einstellungen!$B$3,Einstellungen!$B$4)</f>
        <v>29.13</v>
      </c>
      <c r="E4251" s="14" t="str">
        <f aca="false">IF(C4251="","",C4251*D4251/100)</f>
        <v/>
      </c>
      <c r="F4251" s="15" t="str">
        <f aca="false">IF(B4251&lt;5,"Go","Standard")</f>
        <v>Standard</v>
      </c>
    </row>
    <row r="4252" customFormat="false" ht="15" hidden="false" customHeight="true" outlineLevel="0" collapsed="false">
      <c r="A4252" s="10" t="n">
        <f aca="false">Einstellungen!$B$5+INT((ROW()-9)/24)</f>
        <v>46142</v>
      </c>
      <c r="B4252" s="11" t="n">
        <f aca="false">MOD(ROW()-9,24)</f>
        <v>19</v>
      </c>
      <c r="C4252" s="12"/>
      <c r="D4252" s="13" t="n">
        <f aca="false">IF(B4252&lt;5,Einstellungen!$B$3,Einstellungen!$B$4)</f>
        <v>29.13</v>
      </c>
      <c r="E4252" s="14" t="str">
        <f aca="false">IF(C4252="","",C4252*D4252/100)</f>
        <v/>
      </c>
      <c r="F4252" s="15" t="str">
        <f aca="false">IF(B4252&lt;5,"Go","Standard")</f>
        <v>Standard</v>
      </c>
    </row>
    <row r="4253" customFormat="false" ht="15" hidden="false" customHeight="true" outlineLevel="0" collapsed="false">
      <c r="A4253" s="10" t="n">
        <f aca="false">Einstellungen!$B$5+INT((ROW()-9)/24)</f>
        <v>46142</v>
      </c>
      <c r="B4253" s="11" t="n">
        <f aca="false">MOD(ROW()-9,24)</f>
        <v>20</v>
      </c>
      <c r="C4253" s="12"/>
      <c r="D4253" s="13" t="n">
        <f aca="false">IF(B4253&lt;5,Einstellungen!$B$3,Einstellungen!$B$4)</f>
        <v>29.13</v>
      </c>
      <c r="E4253" s="14" t="str">
        <f aca="false">IF(C4253="","",C4253*D4253/100)</f>
        <v/>
      </c>
      <c r="F4253" s="15" t="str">
        <f aca="false">IF(B4253&lt;5,"Go","Standard")</f>
        <v>Standard</v>
      </c>
    </row>
    <row r="4254" customFormat="false" ht="15" hidden="false" customHeight="true" outlineLevel="0" collapsed="false">
      <c r="A4254" s="10" t="n">
        <f aca="false">Einstellungen!$B$5+INT((ROW()-9)/24)</f>
        <v>46142</v>
      </c>
      <c r="B4254" s="11" t="n">
        <f aca="false">MOD(ROW()-9,24)</f>
        <v>21</v>
      </c>
      <c r="C4254" s="12"/>
      <c r="D4254" s="13" t="n">
        <f aca="false">IF(B4254&lt;5,Einstellungen!$B$3,Einstellungen!$B$4)</f>
        <v>29.13</v>
      </c>
      <c r="E4254" s="14" t="str">
        <f aca="false">IF(C4254="","",C4254*D4254/100)</f>
        <v/>
      </c>
      <c r="F4254" s="15" t="str">
        <f aca="false">IF(B4254&lt;5,"Go","Standard")</f>
        <v>Standard</v>
      </c>
    </row>
    <row r="4255" customFormat="false" ht="15" hidden="false" customHeight="true" outlineLevel="0" collapsed="false">
      <c r="A4255" s="10" t="n">
        <f aca="false">Einstellungen!$B$5+INT((ROW()-9)/24)</f>
        <v>46142</v>
      </c>
      <c r="B4255" s="11" t="n">
        <f aca="false">MOD(ROW()-9,24)</f>
        <v>22</v>
      </c>
      <c r="C4255" s="12"/>
      <c r="D4255" s="13" t="n">
        <f aca="false">IF(B4255&lt;5,Einstellungen!$B$3,Einstellungen!$B$4)</f>
        <v>29.13</v>
      </c>
      <c r="E4255" s="14" t="str">
        <f aca="false">IF(C4255="","",C4255*D4255/100)</f>
        <v/>
      </c>
      <c r="F4255" s="15" t="str">
        <f aca="false">IF(B4255&lt;5,"Go","Standard")</f>
        <v>Standard</v>
      </c>
    </row>
    <row r="4256" customFormat="false" ht="15" hidden="false" customHeight="true" outlineLevel="0" collapsed="false">
      <c r="A4256" s="10" t="n">
        <f aca="false">Einstellungen!$B$5+INT((ROW()-9)/24)</f>
        <v>46142</v>
      </c>
      <c r="B4256" s="11" t="n">
        <f aca="false">MOD(ROW()-9,24)</f>
        <v>23</v>
      </c>
      <c r="C4256" s="12"/>
      <c r="D4256" s="13" t="n">
        <f aca="false">IF(B4256&lt;5,Einstellungen!$B$3,Einstellungen!$B$4)</f>
        <v>29.13</v>
      </c>
      <c r="E4256" s="14" t="str">
        <f aca="false">IF(C4256="","",C4256*D4256/100)</f>
        <v/>
      </c>
      <c r="F4256" s="15" t="str">
        <f aca="false">IF(B4256&lt;5,"Go","Standard")</f>
        <v>Standard</v>
      </c>
    </row>
    <row r="4257" customFormat="false" ht="15" hidden="false" customHeight="true" outlineLevel="0" collapsed="false">
      <c r="A4257" s="10" t="n">
        <f aca="false">Einstellungen!$B$5+INT((ROW()-9)/24)</f>
        <v>46143</v>
      </c>
      <c r="B4257" s="11" t="n">
        <f aca="false">MOD(ROW()-9,24)</f>
        <v>0</v>
      </c>
      <c r="C4257" s="12"/>
      <c r="D4257" s="13" t="n">
        <f aca="false">IF(B4257&lt;5,Einstellungen!$B$3,Einstellungen!$B$4)</f>
        <v>15.92</v>
      </c>
      <c r="E4257" s="14" t="str">
        <f aca="false">IF(C4257="","",C4257*D4257/100)</f>
        <v/>
      </c>
      <c r="F4257" s="15" t="str">
        <f aca="false">IF(B4257&lt;5,"Go","Standard")</f>
        <v>Go</v>
      </c>
    </row>
    <row r="4258" customFormat="false" ht="15" hidden="false" customHeight="true" outlineLevel="0" collapsed="false">
      <c r="A4258" s="10" t="n">
        <f aca="false">Einstellungen!$B$5+INT((ROW()-9)/24)</f>
        <v>46143</v>
      </c>
      <c r="B4258" s="11" t="n">
        <f aca="false">MOD(ROW()-9,24)</f>
        <v>1</v>
      </c>
      <c r="C4258" s="12"/>
      <c r="D4258" s="13" t="n">
        <f aca="false">IF(B4258&lt;5,Einstellungen!$B$3,Einstellungen!$B$4)</f>
        <v>15.92</v>
      </c>
      <c r="E4258" s="14" t="str">
        <f aca="false">IF(C4258="","",C4258*D4258/100)</f>
        <v/>
      </c>
      <c r="F4258" s="15" t="str">
        <f aca="false">IF(B4258&lt;5,"Go","Standard")</f>
        <v>Go</v>
      </c>
    </row>
    <row r="4259" customFormat="false" ht="15" hidden="false" customHeight="true" outlineLevel="0" collapsed="false">
      <c r="A4259" s="10" t="n">
        <f aca="false">Einstellungen!$B$5+INT((ROW()-9)/24)</f>
        <v>46143</v>
      </c>
      <c r="B4259" s="11" t="n">
        <f aca="false">MOD(ROW()-9,24)</f>
        <v>2</v>
      </c>
      <c r="C4259" s="12"/>
      <c r="D4259" s="13" t="n">
        <f aca="false">IF(B4259&lt;5,Einstellungen!$B$3,Einstellungen!$B$4)</f>
        <v>15.92</v>
      </c>
      <c r="E4259" s="14" t="str">
        <f aca="false">IF(C4259="","",C4259*D4259/100)</f>
        <v/>
      </c>
      <c r="F4259" s="15" t="str">
        <f aca="false">IF(B4259&lt;5,"Go","Standard")</f>
        <v>Go</v>
      </c>
    </row>
    <row r="4260" customFormat="false" ht="15" hidden="false" customHeight="true" outlineLevel="0" collapsed="false">
      <c r="A4260" s="10" t="n">
        <f aca="false">Einstellungen!$B$5+INT((ROW()-9)/24)</f>
        <v>46143</v>
      </c>
      <c r="B4260" s="11" t="n">
        <f aca="false">MOD(ROW()-9,24)</f>
        <v>3</v>
      </c>
      <c r="C4260" s="12"/>
      <c r="D4260" s="13" t="n">
        <f aca="false">IF(B4260&lt;5,Einstellungen!$B$3,Einstellungen!$B$4)</f>
        <v>15.92</v>
      </c>
      <c r="E4260" s="14" t="str">
        <f aca="false">IF(C4260="","",C4260*D4260/100)</f>
        <v/>
      </c>
      <c r="F4260" s="15" t="str">
        <f aca="false">IF(B4260&lt;5,"Go","Standard")</f>
        <v>Go</v>
      </c>
    </row>
    <row r="4261" customFormat="false" ht="15" hidden="false" customHeight="true" outlineLevel="0" collapsed="false">
      <c r="A4261" s="10" t="n">
        <f aca="false">Einstellungen!$B$5+INT((ROW()-9)/24)</f>
        <v>46143</v>
      </c>
      <c r="B4261" s="11" t="n">
        <f aca="false">MOD(ROW()-9,24)</f>
        <v>4</v>
      </c>
      <c r="C4261" s="12"/>
      <c r="D4261" s="13" t="n">
        <f aca="false">IF(B4261&lt;5,Einstellungen!$B$3,Einstellungen!$B$4)</f>
        <v>15.92</v>
      </c>
      <c r="E4261" s="14" t="str">
        <f aca="false">IF(C4261="","",C4261*D4261/100)</f>
        <v/>
      </c>
      <c r="F4261" s="15" t="str">
        <f aca="false">IF(B4261&lt;5,"Go","Standard")</f>
        <v>Go</v>
      </c>
    </row>
    <row r="4262" customFormat="false" ht="15" hidden="false" customHeight="true" outlineLevel="0" collapsed="false">
      <c r="A4262" s="10" t="n">
        <f aca="false">Einstellungen!$B$5+INT((ROW()-9)/24)</f>
        <v>46143</v>
      </c>
      <c r="B4262" s="11" t="n">
        <f aca="false">MOD(ROW()-9,24)</f>
        <v>5</v>
      </c>
      <c r="C4262" s="12"/>
      <c r="D4262" s="13" t="n">
        <f aca="false">IF(B4262&lt;5,Einstellungen!$B$3,Einstellungen!$B$4)</f>
        <v>29.13</v>
      </c>
      <c r="E4262" s="14" t="str">
        <f aca="false">IF(C4262="","",C4262*D4262/100)</f>
        <v/>
      </c>
      <c r="F4262" s="15" t="str">
        <f aca="false">IF(B4262&lt;5,"Go","Standard")</f>
        <v>Standard</v>
      </c>
    </row>
    <row r="4263" customFormat="false" ht="15" hidden="false" customHeight="true" outlineLevel="0" collapsed="false">
      <c r="A4263" s="10" t="n">
        <f aca="false">Einstellungen!$B$5+INT((ROW()-9)/24)</f>
        <v>46143</v>
      </c>
      <c r="B4263" s="11" t="n">
        <f aca="false">MOD(ROW()-9,24)</f>
        <v>6</v>
      </c>
      <c r="C4263" s="12"/>
      <c r="D4263" s="13" t="n">
        <f aca="false">IF(B4263&lt;5,Einstellungen!$B$3,Einstellungen!$B$4)</f>
        <v>29.13</v>
      </c>
      <c r="E4263" s="14" t="str">
        <f aca="false">IF(C4263="","",C4263*D4263/100)</f>
        <v/>
      </c>
      <c r="F4263" s="15" t="str">
        <f aca="false">IF(B4263&lt;5,"Go","Standard")</f>
        <v>Standard</v>
      </c>
    </row>
    <row r="4264" customFormat="false" ht="15" hidden="false" customHeight="true" outlineLevel="0" collapsed="false">
      <c r="A4264" s="10" t="n">
        <f aca="false">Einstellungen!$B$5+INT((ROW()-9)/24)</f>
        <v>46143</v>
      </c>
      <c r="B4264" s="11" t="n">
        <f aca="false">MOD(ROW()-9,24)</f>
        <v>7</v>
      </c>
      <c r="C4264" s="12"/>
      <c r="D4264" s="13" t="n">
        <f aca="false">IF(B4264&lt;5,Einstellungen!$B$3,Einstellungen!$B$4)</f>
        <v>29.13</v>
      </c>
      <c r="E4264" s="14" t="str">
        <f aca="false">IF(C4264="","",C4264*D4264/100)</f>
        <v/>
      </c>
      <c r="F4264" s="15" t="str">
        <f aca="false">IF(B4264&lt;5,"Go","Standard")</f>
        <v>Standard</v>
      </c>
    </row>
    <row r="4265" customFormat="false" ht="15" hidden="false" customHeight="true" outlineLevel="0" collapsed="false">
      <c r="A4265" s="10" t="n">
        <f aca="false">Einstellungen!$B$5+INT((ROW()-9)/24)</f>
        <v>46143</v>
      </c>
      <c r="B4265" s="11" t="n">
        <f aca="false">MOD(ROW()-9,24)</f>
        <v>8</v>
      </c>
      <c r="C4265" s="12"/>
      <c r="D4265" s="13" t="n">
        <f aca="false">IF(B4265&lt;5,Einstellungen!$B$3,Einstellungen!$B$4)</f>
        <v>29.13</v>
      </c>
      <c r="E4265" s="14" t="str">
        <f aca="false">IF(C4265="","",C4265*D4265/100)</f>
        <v/>
      </c>
      <c r="F4265" s="15" t="str">
        <f aca="false">IF(B4265&lt;5,"Go","Standard")</f>
        <v>Standard</v>
      </c>
    </row>
    <row r="4266" customFormat="false" ht="15" hidden="false" customHeight="true" outlineLevel="0" collapsed="false">
      <c r="A4266" s="10" t="n">
        <f aca="false">Einstellungen!$B$5+INT((ROW()-9)/24)</f>
        <v>46143</v>
      </c>
      <c r="B4266" s="11" t="n">
        <f aca="false">MOD(ROW()-9,24)</f>
        <v>9</v>
      </c>
      <c r="C4266" s="12"/>
      <c r="D4266" s="13" t="n">
        <f aca="false">IF(B4266&lt;5,Einstellungen!$B$3,Einstellungen!$B$4)</f>
        <v>29.13</v>
      </c>
      <c r="E4266" s="14" t="str">
        <f aca="false">IF(C4266="","",C4266*D4266/100)</f>
        <v/>
      </c>
      <c r="F4266" s="15" t="str">
        <f aca="false">IF(B4266&lt;5,"Go","Standard")</f>
        <v>Standard</v>
      </c>
    </row>
    <row r="4267" customFormat="false" ht="15" hidden="false" customHeight="true" outlineLevel="0" collapsed="false">
      <c r="A4267" s="10" t="n">
        <f aca="false">Einstellungen!$B$5+INT((ROW()-9)/24)</f>
        <v>46143</v>
      </c>
      <c r="B4267" s="11" t="n">
        <f aca="false">MOD(ROW()-9,24)</f>
        <v>10</v>
      </c>
      <c r="C4267" s="12"/>
      <c r="D4267" s="13" t="n">
        <f aca="false">IF(B4267&lt;5,Einstellungen!$B$3,Einstellungen!$B$4)</f>
        <v>29.13</v>
      </c>
      <c r="E4267" s="14" t="str">
        <f aca="false">IF(C4267="","",C4267*D4267/100)</f>
        <v/>
      </c>
      <c r="F4267" s="15" t="str">
        <f aca="false">IF(B4267&lt;5,"Go","Standard")</f>
        <v>Standard</v>
      </c>
    </row>
    <row r="4268" customFormat="false" ht="15" hidden="false" customHeight="true" outlineLevel="0" collapsed="false">
      <c r="A4268" s="10" t="n">
        <f aca="false">Einstellungen!$B$5+INT((ROW()-9)/24)</f>
        <v>46143</v>
      </c>
      <c r="B4268" s="11" t="n">
        <f aca="false">MOD(ROW()-9,24)</f>
        <v>11</v>
      </c>
      <c r="C4268" s="12"/>
      <c r="D4268" s="13" t="n">
        <f aca="false">IF(B4268&lt;5,Einstellungen!$B$3,Einstellungen!$B$4)</f>
        <v>29.13</v>
      </c>
      <c r="E4268" s="14" t="str">
        <f aca="false">IF(C4268="","",C4268*D4268/100)</f>
        <v/>
      </c>
      <c r="F4268" s="15" t="str">
        <f aca="false">IF(B4268&lt;5,"Go","Standard")</f>
        <v>Standard</v>
      </c>
    </row>
    <row r="4269" customFormat="false" ht="15" hidden="false" customHeight="true" outlineLevel="0" collapsed="false">
      <c r="A4269" s="10" t="n">
        <f aca="false">Einstellungen!$B$5+INT((ROW()-9)/24)</f>
        <v>46143</v>
      </c>
      <c r="B4269" s="11" t="n">
        <f aca="false">MOD(ROW()-9,24)</f>
        <v>12</v>
      </c>
      <c r="C4269" s="12"/>
      <c r="D4269" s="13" t="n">
        <f aca="false">IF(B4269&lt;5,Einstellungen!$B$3,Einstellungen!$B$4)</f>
        <v>29.13</v>
      </c>
      <c r="E4269" s="14" t="str">
        <f aca="false">IF(C4269="","",C4269*D4269/100)</f>
        <v/>
      </c>
      <c r="F4269" s="15" t="str">
        <f aca="false">IF(B4269&lt;5,"Go","Standard")</f>
        <v>Standard</v>
      </c>
    </row>
    <row r="4270" customFormat="false" ht="15" hidden="false" customHeight="true" outlineLevel="0" collapsed="false">
      <c r="A4270" s="10" t="n">
        <f aca="false">Einstellungen!$B$5+INT((ROW()-9)/24)</f>
        <v>46143</v>
      </c>
      <c r="B4270" s="11" t="n">
        <f aca="false">MOD(ROW()-9,24)</f>
        <v>13</v>
      </c>
      <c r="C4270" s="12"/>
      <c r="D4270" s="13" t="n">
        <f aca="false">IF(B4270&lt;5,Einstellungen!$B$3,Einstellungen!$B$4)</f>
        <v>29.13</v>
      </c>
      <c r="E4270" s="14" t="str">
        <f aca="false">IF(C4270="","",C4270*D4270/100)</f>
        <v/>
      </c>
      <c r="F4270" s="15" t="str">
        <f aca="false">IF(B4270&lt;5,"Go","Standard")</f>
        <v>Standard</v>
      </c>
    </row>
    <row r="4271" customFormat="false" ht="15" hidden="false" customHeight="true" outlineLevel="0" collapsed="false">
      <c r="A4271" s="10" t="n">
        <f aca="false">Einstellungen!$B$5+INT((ROW()-9)/24)</f>
        <v>46143</v>
      </c>
      <c r="B4271" s="11" t="n">
        <f aca="false">MOD(ROW()-9,24)</f>
        <v>14</v>
      </c>
      <c r="C4271" s="12"/>
      <c r="D4271" s="13" t="n">
        <f aca="false">IF(B4271&lt;5,Einstellungen!$B$3,Einstellungen!$B$4)</f>
        <v>29.13</v>
      </c>
      <c r="E4271" s="14" t="str">
        <f aca="false">IF(C4271="","",C4271*D4271/100)</f>
        <v/>
      </c>
      <c r="F4271" s="15" t="str">
        <f aca="false">IF(B4271&lt;5,"Go","Standard")</f>
        <v>Standard</v>
      </c>
    </row>
    <row r="4272" customFormat="false" ht="15" hidden="false" customHeight="true" outlineLevel="0" collapsed="false">
      <c r="A4272" s="10" t="n">
        <f aca="false">Einstellungen!$B$5+INT((ROW()-9)/24)</f>
        <v>46143</v>
      </c>
      <c r="B4272" s="11" t="n">
        <f aca="false">MOD(ROW()-9,24)</f>
        <v>15</v>
      </c>
      <c r="C4272" s="12"/>
      <c r="D4272" s="13" t="n">
        <f aca="false">IF(B4272&lt;5,Einstellungen!$B$3,Einstellungen!$B$4)</f>
        <v>29.13</v>
      </c>
      <c r="E4272" s="14" t="str">
        <f aca="false">IF(C4272="","",C4272*D4272/100)</f>
        <v/>
      </c>
      <c r="F4272" s="15" t="str">
        <f aca="false">IF(B4272&lt;5,"Go","Standard")</f>
        <v>Standard</v>
      </c>
    </row>
    <row r="4273" customFormat="false" ht="15" hidden="false" customHeight="true" outlineLevel="0" collapsed="false">
      <c r="A4273" s="10" t="n">
        <f aca="false">Einstellungen!$B$5+INT((ROW()-9)/24)</f>
        <v>46143</v>
      </c>
      <c r="B4273" s="11" t="n">
        <f aca="false">MOD(ROW()-9,24)</f>
        <v>16</v>
      </c>
      <c r="C4273" s="12"/>
      <c r="D4273" s="13" t="n">
        <f aca="false">IF(B4273&lt;5,Einstellungen!$B$3,Einstellungen!$B$4)</f>
        <v>29.13</v>
      </c>
      <c r="E4273" s="14" t="str">
        <f aca="false">IF(C4273="","",C4273*D4273/100)</f>
        <v/>
      </c>
      <c r="F4273" s="15" t="str">
        <f aca="false">IF(B4273&lt;5,"Go","Standard")</f>
        <v>Standard</v>
      </c>
    </row>
    <row r="4274" customFormat="false" ht="15" hidden="false" customHeight="true" outlineLevel="0" collapsed="false">
      <c r="A4274" s="10" t="n">
        <f aca="false">Einstellungen!$B$5+INT((ROW()-9)/24)</f>
        <v>46143</v>
      </c>
      <c r="B4274" s="11" t="n">
        <f aca="false">MOD(ROW()-9,24)</f>
        <v>17</v>
      </c>
      <c r="C4274" s="12"/>
      <c r="D4274" s="13" t="n">
        <f aca="false">IF(B4274&lt;5,Einstellungen!$B$3,Einstellungen!$B$4)</f>
        <v>29.13</v>
      </c>
      <c r="E4274" s="14" t="str">
        <f aca="false">IF(C4274="","",C4274*D4274/100)</f>
        <v/>
      </c>
      <c r="F4274" s="15" t="str">
        <f aca="false">IF(B4274&lt;5,"Go","Standard")</f>
        <v>Standard</v>
      </c>
    </row>
    <row r="4275" customFormat="false" ht="15" hidden="false" customHeight="true" outlineLevel="0" collapsed="false">
      <c r="A4275" s="10" t="n">
        <f aca="false">Einstellungen!$B$5+INT((ROW()-9)/24)</f>
        <v>46143</v>
      </c>
      <c r="B4275" s="11" t="n">
        <f aca="false">MOD(ROW()-9,24)</f>
        <v>18</v>
      </c>
      <c r="C4275" s="12"/>
      <c r="D4275" s="13" t="n">
        <f aca="false">IF(B4275&lt;5,Einstellungen!$B$3,Einstellungen!$B$4)</f>
        <v>29.13</v>
      </c>
      <c r="E4275" s="14" t="str">
        <f aca="false">IF(C4275="","",C4275*D4275/100)</f>
        <v/>
      </c>
      <c r="F4275" s="15" t="str">
        <f aca="false">IF(B4275&lt;5,"Go","Standard")</f>
        <v>Standard</v>
      </c>
    </row>
    <row r="4276" customFormat="false" ht="15" hidden="false" customHeight="true" outlineLevel="0" collapsed="false">
      <c r="A4276" s="10" t="n">
        <f aca="false">Einstellungen!$B$5+INT((ROW()-9)/24)</f>
        <v>46143</v>
      </c>
      <c r="B4276" s="11" t="n">
        <f aca="false">MOD(ROW()-9,24)</f>
        <v>19</v>
      </c>
      <c r="C4276" s="12"/>
      <c r="D4276" s="13" t="n">
        <f aca="false">IF(B4276&lt;5,Einstellungen!$B$3,Einstellungen!$B$4)</f>
        <v>29.13</v>
      </c>
      <c r="E4276" s="14" t="str">
        <f aca="false">IF(C4276="","",C4276*D4276/100)</f>
        <v/>
      </c>
      <c r="F4276" s="15" t="str">
        <f aca="false">IF(B4276&lt;5,"Go","Standard")</f>
        <v>Standard</v>
      </c>
    </row>
    <row r="4277" customFormat="false" ht="15" hidden="false" customHeight="true" outlineLevel="0" collapsed="false">
      <c r="A4277" s="10" t="n">
        <f aca="false">Einstellungen!$B$5+INT((ROW()-9)/24)</f>
        <v>46143</v>
      </c>
      <c r="B4277" s="11" t="n">
        <f aca="false">MOD(ROW()-9,24)</f>
        <v>20</v>
      </c>
      <c r="C4277" s="12"/>
      <c r="D4277" s="13" t="n">
        <f aca="false">IF(B4277&lt;5,Einstellungen!$B$3,Einstellungen!$B$4)</f>
        <v>29.13</v>
      </c>
      <c r="E4277" s="14" t="str">
        <f aca="false">IF(C4277="","",C4277*D4277/100)</f>
        <v/>
      </c>
      <c r="F4277" s="15" t="str">
        <f aca="false">IF(B4277&lt;5,"Go","Standard")</f>
        <v>Standard</v>
      </c>
    </row>
    <row r="4278" customFormat="false" ht="15" hidden="false" customHeight="true" outlineLevel="0" collapsed="false">
      <c r="A4278" s="10" t="n">
        <f aca="false">Einstellungen!$B$5+INT((ROW()-9)/24)</f>
        <v>46143</v>
      </c>
      <c r="B4278" s="11" t="n">
        <f aca="false">MOD(ROW()-9,24)</f>
        <v>21</v>
      </c>
      <c r="C4278" s="12"/>
      <c r="D4278" s="13" t="n">
        <f aca="false">IF(B4278&lt;5,Einstellungen!$B$3,Einstellungen!$B$4)</f>
        <v>29.13</v>
      </c>
      <c r="E4278" s="14" t="str">
        <f aca="false">IF(C4278="","",C4278*D4278/100)</f>
        <v/>
      </c>
      <c r="F4278" s="15" t="str">
        <f aca="false">IF(B4278&lt;5,"Go","Standard")</f>
        <v>Standard</v>
      </c>
    </row>
    <row r="4279" customFormat="false" ht="15" hidden="false" customHeight="true" outlineLevel="0" collapsed="false">
      <c r="A4279" s="10" t="n">
        <f aca="false">Einstellungen!$B$5+INT((ROW()-9)/24)</f>
        <v>46143</v>
      </c>
      <c r="B4279" s="11" t="n">
        <f aca="false">MOD(ROW()-9,24)</f>
        <v>22</v>
      </c>
      <c r="C4279" s="12"/>
      <c r="D4279" s="13" t="n">
        <f aca="false">IF(B4279&lt;5,Einstellungen!$B$3,Einstellungen!$B$4)</f>
        <v>29.13</v>
      </c>
      <c r="E4279" s="14" t="str">
        <f aca="false">IF(C4279="","",C4279*D4279/100)</f>
        <v/>
      </c>
      <c r="F4279" s="15" t="str">
        <f aca="false">IF(B4279&lt;5,"Go","Standard")</f>
        <v>Standard</v>
      </c>
    </row>
    <row r="4280" customFormat="false" ht="15" hidden="false" customHeight="true" outlineLevel="0" collapsed="false">
      <c r="A4280" s="10" t="n">
        <f aca="false">Einstellungen!$B$5+INT((ROW()-9)/24)</f>
        <v>46143</v>
      </c>
      <c r="B4280" s="11" t="n">
        <f aca="false">MOD(ROW()-9,24)</f>
        <v>23</v>
      </c>
      <c r="C4280" s="12"/>
      <c r="D4280" s="13" t="n">
        <f aca="false">IF(B4280&lt;5,Einstellungen!$B$3,Einstellungen!$B$4)</f>
        <v>29.13</v>
      </c>
      <c r="E4280" s="14" t="str">
        <f aca="false">IF(C4280="","",C4280*D4280/100)</f>
        <v/>
      </c>
      <c r="F4280" s="15" t="str">
        <f aca="false">IF(B4280&lt;5,"Go","Standard")</f>
        <v>Standard</v>
      </c>
    </row>
    <row r="4281" customFormat="false" ht="15" hidden="false" customHeight="true" outlineLevel="0" collapsed="false">
      <c r="A4281" s="10" t="n">
        <f aca="false">Einstellungen!$B$5+INT((ROW()-9)/24)</f>
        <v>46144</v>
      </c>
      <c r="B4281" s="11" t="n">
        <f aca="false">MOD(ROW()-9,24)</f>
        <v>0</v>
      </c>
      <c r="C4281" s="12"/>
      <c r="D4281" s="13" t="n">
        <f aca="false">IF(B4281&lt;5,Einstellungen!$B$3,Einstellungen!$B$4)</f>
        <v>15.92</v>
      </c>
      <c r="E4281" s="14" t="str">
        <f aca="false">IF(C4281="","",C4281*D4281/100)</f>
        <v/>
      </c>
      <c r="F4281" s="15" t="str">
        <f aca="false">IF(B4281&lt;5,"Go","Standard")</f>
        <v>Go</v>
      </c>
    </row>
    <row r="4282" customFormat="false" ht="15" hidden="false" customHeight="true" outlineLevel="0" collapsed="false">
      <c r="A4282" s="10" t="n">
        <f aca="false">Einstellungen!$B$5+INT((ROW()-9)/24)</f>
        <v>46144</v>
      </c>
      <c r="B4282" s="11" t="n">
        <f aca="false">MOD(ROW()-9,24)</f>
        <v>1</v>
      </c>
      <c r="C4282" s="12"/>
      <c r="D4282" s="13" t="n">
        <f aca="false">IF(B4282&lt;5,Einstellungen!$B$3,Einstellungen!$B$4)</f>
        <v>15.92</v>
      </c>
      <c r="E4282" s="14" t="str">
        <f aca="false">IF(C4282="","",C4282*D4282/100)</f>
        <v/>
      </c>
      <c r="F4282" s="15" t="str">
        <f aca="false">IF(B4282&lt;5,"Go","Standard")</f>
        <v>Go</v>
      </c>
    </row>
    <row r="4283" customFormat="false" ht="15" hidden="false" customHeight="true" outlineLevel="0" collapsed="false">
      <c r="A4283" s="10" t="n">
        <f aca="false">Einstellungen!$B$5+INT((ROW()-9)/24)</f>
        <v>46144</v>
      </c>
      <c r="B4283" s="11" t="n">
        <f aca="false">MOD(ROW()-9,24)</f>
        <v>2</v>
      </c>
      <c r="C4283" s="12"/>
      <c r="D4283" s="13" t="n">
        <f aca="false">IF(B4283&lt;5,Einstellungen!$B$3,Einstellungen!$B$4)</f>
        <v>15.92</v>
      </c>
      <c r="E4283" s="14" t="str">
        <f aca="false">IF(C4283="","",C4283*D4283/100)</f>
        <v/>
      </c>
      <c r="F4283" s="15" t="str">
        <f aca="false">IF(B4283&lt;5,"Go","Standard")</f>
        <v>Go</v>
      </c>
    </row>
    <row r="4284" customFormat="false" ht="15" hidden="false" customHeight="true" outlineLevel="0" collapsed="false">
      <c r="A4284" s="10" t="n">
        <f aca="false">Einstellungen!$B$5+INT((ROW()-9)/24)</f>
        <v>46144</v>
      </c>
      <c r="B4284" s="11" t="n">
        <f aca="false">MOD(ROW()-9,24)</f>
        <v>3</v>
      </c>
      <c r="C4284" s="12"/>
      <c r="D4284" s="13" t="n">
        <f aca="false">IF(B4284&lt;5,Einstellungen!$B$3,Einstellungen!$B$4)</f>
        <v>15.92</v>
      </c>
      <c r="E4284" s="14" t="str">
        <f aca="false">IF(C4284="","",C4284*D4284/100)</f>
        <v/>
      </c>
      <c r="F4284" s="15" t="str">
        <f aca="false">IF(B4284&lt;5,"Go","Standard")</f>
        <v>Go</v>
      </c>
    </row>
    <row r="4285" customFormat="false" ht="15" hidden="false" customHeight="true" outlineLevel="0" collapsed="false">
      <c r="A4285" s="10" t="n">
        <f aca="false">Einstellungen!$B$5+INT((ROW()-9)/24)</f>
        <v>46144</v>
      </c>
      <c r="B4285" s="11" t="n">
        <f aca="false">MOD(ROW()-9,24)</f>
        <v>4</v>
      </c>
      <c r="C4285" s="12"/>
      <c r="D4285" s="13" t="n">
        <f aca="false">IF(B4285&lt;5,Einstellungen!$B$3,Einstellungen!$B$4)</f>
        <v>15.92</v>
      </c>
      <c r="E4285" s="14" t="str">
        <f aca="false">IF(C4285="","",C4285*D4285/100)</f>
        <v/>
      </c>
      <c r="F4285" s="15" t="str">
        <f aca="false">IF(B4285&lt;5,"Go","Standard")</f>
        <v>Go</v>
      </c>
    </row>
    <row r="4286" customFormat="false" ht="15" hidden="false" customHeight="true" outlineLevel="0" collapsed="false">
      <c r="A4286" s="10" t="n">
        <f aca="false">Einstellungen!$B$5+INT((ROW()-9)/24)</f>
        <v>46144</v>
      </c>
      <c r="B4286" s="11" t="n">
        <f aca="false">MOD(ROW()-9,24)</f>
        <v>5</v>
      </c>
      <c r="C4286" s="12"/>
      <c r="D4286" s="13" t="n">
        <f aca="false">IF(B4286&lt;5,Einstellungen!$B$3,Einstellungen!$B$4)</f>
        <v>29.13</v>
      </c>
      <c r="E4286" s="14" t="str">
        <f aca="false">IF(C4286="","",C4286*D4286/100)</f>
        <v/>
      </c>
      <c r="F4286" s="15" t="str">
        <f aca="false">IF(B4286&lt;5,"Go","Standard")</f>
        <v>Standard</v>
      </c>
    </row>
    <row r="4287" customFormat="false" ht="15" hidden="false" customHeight="true" outlineLevel="0" collapsed="false">
      <c r="A4287" s="10" t="n">
        <f aca="false">Einstellungen!$B$5+INT((ROW()-9)/24)</f>
        <v>46144</v>
      </c>
      <c r="B4287" s="11" t="n">
        <f aca="false">MOD(ROW()-9,24)</f>
        <v>6</v>
      </c>
      <c r="C4287" s="12"/>
      <c r="D4287" s="13" t="n">
        <f aca="false">IF(B4287&lt;5,Einstellungen!$B$3,Einstellungen!$B$4)</f>
        <v>29.13</v>
      </c>
      <c r="E4287" s="14" t="str">
        <f aca="false">IF(C4287="","",C4287*D4287/100)</f>
        <v/>
      </c>
      <c r="F4287" s="15" t="str">
        <f aca="false">IF(B4287&lt;5,"Go","Standard")</f>
        <v>Standard</v>
      </c>
    </row>
    <row r="4288" customFormat="false" ht="15" hidden="false" customHeight="true" outlineLevel="0" collapsed="false">
      <c r="A4288" s="10" t="n">
        <f aca="false">Einstellungen!$B$5+INT((ROW()-9)/24)</f>
        <v>46144</v>
      </c>
      <c r="B4288" s="11" t="n">
        <f aca="false">MOD(ROW()-9,24)</f>
        <v>7</v>
      </c>
      <c r="C4288" s="12"/>
      <c r="D4288" s="13" t="n">
        <f aca="false">IF(B4288&lt;5,Einstellungen!$B$3,Einstellungen!$B$4)</f>
        <v>29.13</v>
      </c>
      <c r="E4288" s="14" t="str">
        <f aca="false">IF(C4288="","",C4288*D4288/100)</f>
        <v/>
      </c>
      <c r="F4288" s="15" t="str">
        <f aca="false">IF(B4288&lt;5,"Go","Standard")</f>
        <v>Standard</v>
      </c>
    </row>
    <row r="4289" customFormat="false" ht="15" hidden="false" customHeight="true" outlineLevel="0" collapsed="false">
      <c r="A4289" s="10" t="n">
        <f aca="false">Einstellungen!$B$5+INT((ROW()-9)/24)</f>
        <v>46144</v>
      </c>
      <c r="B4289" s="11" t="n">
        <f aca="false">MOD(ROW()-9,24)</f>
        <v>8</v>
      </c>
      <c r="C4289" s="12"/>
      <c r="D4289" s="13" t="n">
        <f aca="false">IF(B4289&lt;5,Einstellungen!$B$3,Einstellungen!$B$4)</f>
        <v>29.13</v>
      </c>
      <c r="E4289" s="14" t="str">
        <f aca="false">IF(C4289="","",C4289*D4289/100)</f>
        <v/>
      </c>
      <c r="F4289" s="15" t="str">
        <f aca="false">IF(B4289&lt;5,"Go","Standard")</f>
        <v>Standard</v>
      </c>
    </row>
    <row r="4290" customFormat="false" ht="15" hidden="false" customHeight="true" outlineLevel="0" collapsed="false">
      <c r="A4290" s="10" t="n">
        <f aca="false">Einstellungen!$B$5+INT((ROW()-9)/24)</f>
        <v>46144</v>
      </c>
      <c r="B4290" s="11" t="n">
        <f aca="false">MOD(ROW()-9,24)</f>
        <v>9</v>
      </c>
      <c r="C4290" s="12"/>
      <c r="D4290" s="13" t="n">
        <f aca="false">IF(B4290&lt;5,Einstellungen!$B$3,Einstellungen!$B$4)</f>
        <v>29.13</v>
      </c>
      <c r="E4290" s="14" t="str">
        <f aca="false">IF(C4290="","",C4290*D4290/100)</f>
        <v/>
      </c>
      <c r="F4290" s="15" t="str">
        <f aca="false">IF(B4290&lt;5,"Go","Standard")</f>
        <v>Standard</v>
      </c>
    </row>
    <row r="4291" customFormat="false" ht="15" hidden="false" customHeight="true" outlineLevel="0" collapsed="false">
      <c r="A4291" s="10" t="n">
        <f aca="false">Einstellungen!$B$5+INT((ROW()-9)/24)</f>
        <v>46144</v>
      </c>
      <c r="B4291" s="11" t="n">
        <f aca="false">MOD(ROW()-9,24)</f>
        <v>10</v>
      </c>
      <c r="C4291" s="12"/>
      <c r="D4291" s="13" t="n">
        <f aca="false">IF(B4291&lt;5,Einstellungen!$B$3,Einstellungen!$B$4)</f>
        <v>29.13</v>
      </c>
      <c r="E4291" s="14" t="str">
        <f aca="false">IF(C4291="","",C4291*D4291/100)</f>
        <v/>
      </c>
      <c r="F4291" s="15" t="str">
        <f aca="false">IF(B4291&lt;5,"Go","Standard")</f>
        <v>Standard</v>
      </c>
    </row>
    <row r="4292" customFormat="false" ht="15" hidden="false" customHeight="true" outlineLevel="0" collapsed="false">
      <c r="A4292" s="10" t="n">
        <f aca="false">Einstellungen!$B$5+INT((ROW()-9)/24)</f>
        <v>46144</v>
      </c>
      <c r="B4292" s="11" t="n">
        <f aca="false">MOD(ROW()-9,24)</f>
        <v>11</v>
      </c>
      <c r="C4292" s="12"/>
      <c r="D4292" s="13" t="n">
        <f aca="false">IF(B4292&lt;5,Einstellungen!$B$3,Einstellungen!$B$4)</f>
        <v>29.13</v>
      </c>
      <c r="E4292" s="14" t="str">
        <f aca="false">IF(C4292="","",C4292*D4292/100)</f>
        <v/>
      </c>
      <c r="F4292" s="15" t="str">
        <f aca="false">IF(B4292&lt;5,"Go","Standard")</f>
        <v>Standard</v>
      </c>
    </row>
    <row r="4293" customFormat="false" ht="15" hidden="false" customHeight="true" outlineLevel="0" collapsed="false">
      <c r="A4293" s="10" t="n">
        <f aca="false">Einstellungen!$B$5+INT((ROW()-9)/24)</f>
        <v>46144</v>
      </c>
      <c r="B4293" s="11" t="n">
        <f aca="false">MOD(ROW()-9,24)</f>
        <v>12</v>
      </c>
      <c r="C4293" s="12"/>
      <c r="D4293" s="13" t="n">
        <f aca="false">IF(B4293&lt;5,Einstellungen!$B$3,Einstellungen!$B$4)</f>
        <v>29.13</v>
      </c>
      <c r="E4293" s="14" t="str">
        <f aca="false">IF(C4293="","",C4293*D4293/100)</f>
        <v/>
      </c>
      <c r="F4293" s="15" t="str">
        <f aca="false">IF(B4293&lt;5,"Go","Standard")</f>
        <v>Standard</v>
      </c>
    </row>
    <row r="4294" customFormat="false" ht="15" hidden="false" customHeight="true" outlineLevel="0" collapsed="false">
      <c r="A4294" s="10" t="n">
        <f aca="false">Einstellungen!$B$5+INT((ROW()-9)/24)</f>
        <v>46144</v>
      </c>
      <c r="B4294" s="11" t="n">
        <f aca="false">MOD(ROW()-9,24)</f>
        <v>13</v>
      </c>
      <c r="C4294" s="12"/>
      <c r="D4294" s="13" t="n">
        <f aca="false">IF(B4294&lt;5,Einstellungen!$B$3,Einstellungen!$B$4)</f>
        <v>29.13</v>
      </c>
      <c r="E4294" s="14" t="str">
        <f aca="false">IF(C4294="","",C4294*D4294/100)</f>
        <v/>
      </c>
      <c r="F4294" s="15" t="str">
        <f aca="false">IF(B4294&lt;5,"Go","Standard")</f>
        <v>Standard</v>
      </c>
    </row>
    <row r="4295" customFormat="false" ht="15" hidden="false" customHeight="true" outlineLevel="0" collapsed="false">
      <c r="A4295" s="10" t="n">
        <f aca="false">Einstellungen!$B$5+INT((ROW()-9)/24)</f>
        <v>46144</v>
      </c>
      <c r="B4295" s="11" t="n">
        <f aca="false">MOD(ROW()-9,24)</f>
        <v>14</v>
      </c>
      <c r="C4295" s="12"/>
      <c r="D4295" s="13" t="n">
        <f aca="false">IF(B4295&lt;5,Einstellungen!$B$3,Einstellungen!$B$4)</f>
        <v>29.13</v>
      </c>
      <c r="E4295" s="14" t="str">
        <f aca="false">IF(C4295="","",C4295*D4295/100)</f>
        <v/>
      </c>
      <c r="F4295" s="15" t="str">
        <f aca="false">IF(B4295&lt;5,"Go","Standard")</f>
        <v>Standard</v>
      </c>
    </row>
    <row r="4296" customFormat="false" ht="15" hidden="false" customHeight="true" outlineLevel="0" collapsed="false">
      <c r="A4296" s="10" t="n">
        <f aca="false">Einstellungen!$B$5+INT((ROW()-9)/24)</f>
        <v>46144</v>
      </c>
      <c r="B4296" s="11" t="n">
        <f aca="false">MOD(ROW()-9,24)</f>
        <v>15</v>
      </c>
      <c r="C4296" s="12"/>
      <c r="D4296" s="13" t="n">
        <f aca="false">IF(B4296&lt;5,Einstellungen!$B$3,Einstellungen!$B$4)</f>
        <v>29.13</v>
      </c>
      <c r="E4296" s="14" t="str">
        <f aca="false">IF(C4296="","",C4296*D4296/100)</f>
        <v/>
      </c>
      <c r="F4296" s="15" t="str">
        <f aca="false">IF(B4296&lt;5,"Go","Standard")</f>
        <v>Standard</v>
      </c>
    </row>
    <row r="4297" customFormat="false" ht="15" hidden="false" customHeight="true" outlineLevel="0" collapsed="false">
      <c r="A4297" s="10" t="n">
        <f aca="false">Einstellungen!$B$5+INT((ROW()-9)/24)</f>
        <v>46144</v>
      </c>
      <c r="B4297" s="11" t="n">
        <f aca="false">MOD(ROW()-9,24)</f>
        <v>16</v>
      </c>
      <c r="C4297" s="12"/>
      <c r="D4297" s="13" t="n">
        <f aca="false">IF(B4297&lt;5,Einstellungen!$B$3,Einstellungen!$B$4)</f>
        <v>29.13</v>
      </c>
      <c r="E4297" s="14" t="str">
        <f aca="false">IF(C4297="","",C4297*D4297/100)</f>
        <v/>
      </c>
      <c r="F4297" s="15" t="str">
        <f aca="false">IF(B4297&lt;5,"Go","Standard")</f>
        <v>Standard</v>
      </c>
    </row>
    <row r="4298" customFormat="false" ht="15" hidden="false" customHeight="true" outlineLevel="0" collapsed="false">
      <c r="A4298" s="10" t="n">
        <f aca="false">Einstellungen!$B$5+INT((ROW()-9)/24)</f>
        <v>46144</v>
      </c>
      <c r="B4298" s="11" t="n">
        <f aca="false">MOD(ROW()-9,24)</f>
        <v>17</v>
      </c>
      <c r="C4298" s="12"/>
      <c r="D4298" s="13" t="n">
        <f aca="false">IF(B4298&lt;5,Einstellungen!$B$3,Einstellungen!$B$4)</f>
        <v>29.13</v>
      </c>
      <c r="E4298" s="14" t="str">
        <f aca="false">IF(C4298="","",C4298*D4298/100)</f>
        <v/>
      </c>
      <c r="F4298" s="15" t="str">
        <f aca="false">IF(B4298&lt;5,"Go","Standard")</f>
        <v>Standard</v>
      </c>
    </row>
    <row r="4299" customFormat="false" ht="15" hidden="false" customHeight="true" outlineLevel="0" collapsed="false">
      <c r="A4299" s="10" t="n">
        <f aca="false">Einstellungen!$B$5+INT((ROW()-9)/24)</f>
        <v>46144</v>
      </c>
      <c r="B4299" s="11" t="n">
        <f aca="false">MOD(ROW()-9,24)</f>
        <v>18</v>
      </c>
      <c r="C4299" s="12"/>
      <c r="D4299" s="13" t="n">
        <f aca="false">IF(B4299&lt;5,Einstellungen!$B$3,Einstellungen!$B$4)</f>
        <v>29.13</v>
      </c>
      <c r="E4299" s="14" t="str">
        <f aca="false">IF(C4299="","",C4299*D4299/100)</f>
        <v/>
      </c>
      <c r="F4299" s="15" t="str">
        <f aca="false">IF(B4299&lt;5,"Go","Standard")</f>
        <v>Standard</v>
      </c>
    </row>
    <row r="4300" customFormat="false" ht="15" hidden="false" customHeight="true" outlineLevel="0" collapsed="false">
      <c r="A4300" s="10" t="n">
        <f aca="false">Einstellungen!$B$5+INT((ROW()-9)/24)</f>
        <v>46144</v>
      </c>
      <c r="B4300" s="11" t="n">
        <f aca="false">MOD(ROW()-9,24)</f>
        <v>19</v>
      </c>
      <c r="C4300" s="12"/>
      <c r="D4300" s="13" t="n">
        <f aca="false">IF(B4300&lt;5,Einstellungen!$B$3,Einstellungen!$B$4)</f>
        <v>29.13</v>
      </c>
      <c r="E4300" s="14" t="str">
        <f aca="false">IF(C4300="","",C4300*D4300/100)</f>
        <v/>
      </c>
      <c r="F4300" s="15" t="str">
        <f aca="false">IF(B4300&lt;5,"Go","Standard")</f>
        <v>Standard</v>
      </c>
    </row>
    <row r="4301" customFormat="false" ht="15" hidden="false" customHeight="true" outlineLevel="0" collapsed="false">
      <c r="A4301" s="10" t="n">
        <f aca="false">Einstellungen!$B$5+INT((ROW()-9)/24)</f>
        <v>46144</v>
      </c>
      <c r="B4301" s="11" t="n">
        <f aca="false">MOD(ROW()-9,24)</f>
        <v>20</v>
      </c>
      <c r="C4301" s="12"/>
      <c r="D4301" s="13" t="n">
        <f aca="false">IF(B4301&lt;5,Einstellungen!$B$3,Einstellungen!$B$4)</f>
        <v>29.13</v>
      </c>
      <c r="E4301" s="14" t="str">
        <f aca="false">IF(C4301="","",C4301*D4301/100)</f>
        <v/>
      </c>
      <c r="F4301" s="15" t="str">
        <f aca="false">IF(B4301&lt;5,"Go","Standard")</f>
        <v>Standard</v>
      </c>
    </row>
    <row r="4302" customFormat="false" ht="15" hidden="false" customHeight="true" outlineLevel="0" collapsed="false">
      <c r="A4302" s="10" t="n">
        <f aca="false">Einstellungen!$B$5+INT((ROW()-9)/24)</f>
        <v>46144</v>
      </c>
      <c r="B4302" s="11" t="n">
        <f aca="false">MOD(ROW()-9,24)</f>
        <v>21</v>
      </c>
      <c r="C4302" s="12"/>
      <c r="D4302" s="13" t="n">
        <f aca="false">IF(B4302&lt;5,Einstellungen!$B$3,Einstellungen!$B$4)</f>
        <v>29.13</v>
      </c>
      <c r="E4302" s="14" t="str">
        <f aca="false">IF(C4302="","",C4302*D4302/100)</f>
        <v/>
      </c>
      <c r="F4302" s="15" t="str">
        <f aca="false">IF(B4302&lt;5,"Go","Standard")</f>
        <v>Standard</v>
      </c>
    </row>
    <row r="4303" customFormat="false" ht="15" hidden="false" customHeight="true" outlineLevel="0" collapsed="false">
      <c r="A4303" s="10" t="n">
        <f aca="false">Einstellungen!$B$5+INT((ROW()-9)/24)</f>
        <v>46144</v>
      </c>
      <c r="B4303" s="11" t="n">
        <f aca="false">MOD(ROW()-9,24)</f>
        <v>22</v>
      </c>
      <c r="C4303" s="12"/>
      <c r="D4303" s="13" t="n">
        <f aca="false">IF(B4303&lt;5,Einstellungen!$B$3,Einstellungen!$B$4)</f>
        <v>29.13</v>
      </c>
      <c r="E4303" s="14" t="str">
        <f aca="false">IF(C4303="","",C4303*D4303/100)</f>
        <v/>
      </c>
      <c r="F4303" s="15" t="str">
        <f aca="false">IF(B4303&lt;5,"Go","Standard")</f>
        <v>Standard</v>
      </c>
    </row>
    <row r="4304" customFormat="false" ht="15" hidden="false" customHeight="true" outlineLevel="0" collapsed="false">
      <c r="A4304" s="10" t="n">
        <f aca="false">Einstellungen!$B$5+INT((ROW()-9)/24)</f>
        <v>46144</v>
      </c>
      <c r="B4304" s="11" t="n">
        <f aca="false">MOD(ROW()-9,24)</f>
        <v>23</v>
      </c>
      <c r="C4304" s="12"/>
      <c r="D4304" s="13" t="n">
        <f aca="false">IF(B4304&lt;5,Einstellungen!$B$3,Einstellungen!$B$4)</f>
        <v>29.13</v>
      </c>
      <c r="E4304" s="14" t="str">
        <f aca="false">IF(C4304="","",C4304*D4304/100)</f>
        <v/>
      </c>
      <c r="F4304" s="15" t="str">
        <f aca="false">IF(B4304&lt;5,"Go","Standard")</f>
        <v>Standard</v>
      </c>
    </row>
    <row r="4305" customFormat="false" ht="15" hidden="false" customHeight="true" outlineLevel="0" collapsed="false">
      <c r="A4305" s="10" t="n">
        <f aca="false">Einstellungen!$B$5+INT((ROW()-9)/24)</f>
        <v>46145</v>
      </c>
      <c r="B4305" s="11" t="n">
        <f aca="false">MOD(ROW()-9,24)</f>
        <v>0</v>
      </c>
      <c r="C4305" s="12"/>
      <c r="D4305" s="13" t="n">
        <f aca="false">IF(B4305&lt;5,Einstellungen!$B$3,Einstellungen!$B$4)</f>
        <v>15.92</v>
      </c>
      <c r="E4305" s="14" t="str">
        <f aca="false">IF(C4305="","",C4305*D4305/100)</f>
        <v/>
      </c>
      <c r="F4305" s="15" t="str">
        <f aca="false">IF(B4305&lt;5,"Go","Standard")</f>
        <v>Go</v>
      </c>
    </row>
    <row r="4306" customFormat="false" ht="15" hidden="false" customHeight="true" outlineLevel="0" collapsed="false">
      <c r="A4306" s="10" t="n">
        <f aca="false">Einstellungen!$B$5+INT((ROW()-9)/24)</f>
        <v>46145</v>
      </c>
      <c r="B4306" s="11" t="n">
        <f aca="false">MOD(ROW()-9,24)</f>
        <v>1</v>
      </c>
      <c r="C4306" s="12"/>
      <c r="D4306" s="13" t="n">
        <f aca="false">IF(B4306&lt;5,Einstellungen!$B$3,Einstellungen!$B$4)</f>
        <v>15.92</v>
      </c>
      <c r="E4306" s="14" t="str">
        <f aca="false">IF(C4306="","",C4306*D4306/100)</f>
        <v/>
      </c>
      <c r="F4306" s="15" t="str">
        <f aca="false">IF(B4306&lt;5,"Go","Standard")</f>
        <v>Go</v>
      </c>
    </row>
    <row r="4307" customFormat="false" ht="15" hidden="false" customHeight="true" outlineLevel="0" collapsed="false">
      <c r="A4307" s="10" t="n">
        <f aca="false">Einstellungen!$B$5+INT((ROW()-9)/24)</f>
        <v>46145</v>
      </c>
      <c r="B4307" s="11" t="n">
        <f aca="false">MOD(ROW()-9,24)</f>
        <v>2</v>
      </c>
      <c r="C4307" s="12"/>
      <c r="D4307" s="13" t="n">
        <f aca="false">IF(B4307&lt;5,Einstellungen!$B$3,Einstellungen!$B$4)</f>
        <v>15.92</v>
      </c>
      <c r="E4307" s="14" t="str">
        <f aca="false">IF(C4307="","",C4307*D4307/100)</f>
        <v/>
      </c>
      <c r="F4307" s="15" t="str">
        <f aca="false">IF(B4307&lt;5,"Go","Standard")</f>
        <v>Go</v>
      </c>
    </row>
    <row r="4308" customFormat="false" ht="15" hidden="false" customHeight="true" outlineLevel="0" collapsed="false">
      <c r="A4308" s="10" t="n">
        <f aca="false">Einstellungen!$B$5+INT((ROW()-9)/24)</f>
        <v>46145</v>
      </c>
      <c r="B4308" s="11" t="n">
        <f aca="false">MOD(ROW()-9,24)</f>
        <v>3</v>
      </c>
      <c r="C4308" s="12"/>
      <c r="D4308" s="13" t="n">
        <f aca="false">IF(B4308&lt;5,Einstellungen!$B$3,Einstellungen!$B$4)</f>
        <v>15.92</v>
      </c>
      <c r="E4308" s="14" t="str">
        <f aca="false">IF(C4308="","",C4308*D4308/100)</f>
        <v/>
      </c>
      <c r="F4308" s="15" t="str">
        <f aca="false">IF(B4308&lt;5,"Go","Standard")</f>
        <v>Go</v>
      </c>
    </row>
    <row r="4309" customFormat="false" ht="15" hidden="false" customHeight="true" outlineLevel="0" collapsed="false">
      <c r="A4309" s="10" t="n">
        <f aca="false">Einstellungen!$B$5+INT((ROW()-9)/24)</f>
        <v>46145</v>
      </c>
      <c r="B4309" s="11" t="n">
        <f aca="false">MOD(ROW()-9,24)</f>
        <v>4</v>
      </c>
      <c r="C4309" s="12"/>
      <c r="D4309" s="13" t="n">
        <f aca="false">IF(B4309&lt;5,Einstellungen!$B$3,Einstellungen!$B$4)</f>
        <v>15.92</v>
      </c>
      <c r="E4309" s="14" t="str">
        <f aca="false">IF(C4309="","",C4309*D4309/100)</f>
        <v/>
      </c>
      <c r="F4309" s="15" t="str">
        <f aca="false">IF(B4309&lt;5,"Go","Standard")</f>
        <v>Go</v>
      </c>
    </row>
    <row r="4310" customFormat="false" ht="15" hidden="false" customHeight="true" outlineLevel="0" collapsed="false">
      <c r="A4310" s="10" t="n">
        <f aca="false">Einstellungen!$B$5+INT((ROW()-9)/24)</f>
        <v>46145</v>
      </c>
      <c r="B4310" s="11" t="n">
        <f aca="false">MOD(ROW()-9,24)</f>
        <v>5</v>
      </c>
      <c r="C4310" s="12"/>
      <c r="D4310" s="13" t="n">
        <f aca="false">IF(B4310&lt;5,Einstellungen!$B$3,Einstellungen!$B$4)</f>
        <v>29.13</v>
      </c>
      <c r="E4310" s="14" t="str">
        <f aca="false">IF(C4310="","",C4310*D4310/100)</f>
        <v/>
      </c>
      <c r="F4310" s="15" t="str">
        <f aca="false">IF(B4310&lt;5,"Go","Standard")</f>
        <v>Standard</v>
      </c>
    </row>
    <row r="4311" customFormat="false" ht="15" hidden="false" customHeight="true" outlineLevel="0" collapsed="false">
      <c r="A4311" s="10" t="n">
        <f aca="false">Einstellungen!$B$5+INT((ROW()-9)/24)</f>
        <v>46145</v>
      </c>
      <c r="B4311" s="11" t="n">
        <f aca="false">MOD(ROW()-9,24)</f>
        <v>6</v>
      </c>
      <c r="C4311" s="12"/>
      <c r="D4311" s="13" t="n">
        <f aca="false">IF(B4311&lt;5,Einstellungen!$B$3,Einstellungen!$B$4)</f>
        <v>29.13</v>
      </c>
      <c r="E4311" s="14" t="str">
        <f aca="false">IF(C4311="","",C4311*D4311/100)</f>
        <v/>
      </c>
      <c r="F4311" s="15" t="str">
        <f aca="false">IF(B4311&lt;5,"Go","Standard")</f>
        <v>Standard</v>
      </c>
    </row>
    <row r="4312" customFormat="false" ht="15" hidden="false" customHeight="true" outlineLevel="0" collapsed="false">
      <c r="A4312" s="10" t="n">
        <f aca="false">Einstellungen!$B$5+INT((ROW()-9)/24)</f>
        <v>46145</v>
      </c>
      <c r="B4312" s="11" t="n">
        <f aca="false">MOD(ROW()-9,24)</f>
        <v>7</v>
      </c>
      <c r="C4312" s="12"/>
      <c r="D4312" s="13" t="n">
        <f aca="false">IF(B4312&lt;5,Einstellungen!$B$3,Einstellungen!$B$4)</f>
        <v>29.13</v>
      </c>
      <c r="E4312" s="14" t="str">
        <f aca="false">IF(C4312="","",C4312*D4312/100)</f>
        <v/>
      </c>
      <c r="F4312" s="15" t="str">
        <f aca="false">IF(B4312&lt;5,"Go","Standard")</f>
        <v>Standard</v>
      </c>
    </row>
    <row r="4313" customFormat="false" ht="15" hidden="false" customHeight="true" outlineLevel="0" collapsed="false">
      <c r="A4313" s="10" t="n">
        <f aca="false">Einstellungen!$B$5+INT((ROW()-9)/24)</f>
        <v>46145</v>
      </c>
      <c r="B4313" s="11" t="n">
        <f aca="false">MOD(ROW()-9,24)</f>
        <v>8</v>
      </c>
      <c r="C4313" s="12"/>
      <c r="D4313" s="13" t="n">
        <f aca="false">IF(B4313&lt;5,Einstellungen!$B$3,Einstellungen!$B$4)</f>
        <v>29.13</v>
      </c>
      <c r="E4313" s="14" t="str">
        <f aca="false">IF(C4313="","",C4313*D4313/100)</f>
        <v/>
      </c>
      <c r="F4313" s="15" t="str">
        <f aca="false">IF(B4313&lt;5,"Go","Standard")</f>
        <v>Standard</v>
      </c>
    </row>
    <row r="4314" customFormat="false" ht="15" hidden="false" customHeight="true" outlineLevel="0" collapsed="false">
      <c r="A4314" s="10" t="n">
        <f aca="false">Einstellungen!$B$5+INT((ROW()-9)/24)</f>
        <v>46145</v>
      </c>
      <c r="B4314" s="11" t="n">
        <f aca="false">MOD(ROW()-9,24)</f>
        <v>9</v>
      </c>
      <c r="C4314" s="12"/>
      <c r="D4314" s="13" t="n">
        <f aca="false">IF(B4314&lt;5,Einstellungen!$B$3,Einstellungen!$B$4)</f>
        <v>29.13</v>
      </c>
      <c r="E4314" s="14" t="str">
        <f aca="false">IF(C4314="","",C4314*D4314/100)</f>
        <v/>
      </c>
      <c r="F4314" s="15" t="str">
        <f aca="false">IF(B4314&lt;5,"Go","Standard")</f>
        <v>Standard</v>
      </c>
    </row>
    <row r="4315" customFormat="false" ht="15" hidden="false" customHeight="true" outlineLevel="0" collapsed="false">
      <c r="A4315" s="10" t="n">
        <f aca="false">Einstellungen!$B$5+INT((ROW()-9)/24)</f>
        <v>46145</v>
      </c>
      <c r="B4315" s="11" t="n">
        <f aca="false">MOD(ROW()-9,24)</f>
        <v>10</v>
      </c>
      <c r="C4315" s="12"/>
      <c r="D4315" s="13" t="n">
        <f aca="false">IF(B4315&lt;5,Einstellungen!$B$3,Einstellungen!$B$4)</f>
        <v>29.13</v>
      </c>
      <c r="E4315" s="14" t="str">
        <f aca="false">IF(C4315="","",C4315*D4315/100)</f>
        <v/>
      </c>
      <c r="F4315" s="15" t="str">
        <f aca="false">IF(B4315&lt;5,"Go","Standard")</f>
        <v>Standard</v>
      </c>
    </row>
    <row r="4316" customFormat="false" ht="15" hidden="false" customHeight="true" outlineLevel="0" collapsed="false">
      <c r="A4316" s="10" t="n">
        <f aca="false">Einstellungen!$B$5+INT((ROW()-9)/24)</f>
        <v>46145</v>
      </c>
      <c r="B4316" s="11" t="n">
        <f aca="false">MOD(ROW()-9,24)</f>
        <v>11</v>
      </c>
      <c r="C4316" s="12"/>
      <c r="D4316" s="13" t="n">
        <f aca="false">IF(B4316&lt;5,Einstellungen!$B$3,Einstellungen!$B$4)</f>
        <v>29.13</v>
      </c>
      <c r="E4316" s="14" t="str">
        <f aca="false">IF(C4316="","",C4316*D4316/100)</f>
        <v/>
      </c>
      <c r="F4316" s="15" t="str">
        <f aca="false">IF(B4316&lt;5,"Go","Standard")</f>
        <v>Standard</v>
      </c>
    </row>
    <row r="4317" customFormat="false" ht="15" hidden="false" customHeight="true" outlineLevel="0" collapsed="false">
      <c r="A4317" s="10" t="n">
        <f aca="false">Einstellungen!$B$5+INT((ROW()-9)/24)</f>
        <v>46145</v>
      </c>
      <c r="B4317" s="11" t="n">
        <f aca="false">MOD(ROW()-9,24)</f>
        <v>12</v>
      </c>
      <c r="C4317" s="12"/>
      <c r="D4317" s="13" t="n">
        <f aca="false">IF(B4317&lt;5,Einstellungen!$B$3,Einstellungen!$B$4)</f>
        <v>29.13</v>
      </c>
      <c r="E4317" s="14" t="str">
        <f aca="false">IF(C4317="","",C4317*D4317/100)</f>
        <v/>
      </c>
      <c r="F4317" s="15" t="str">
        <f aca="false">IF(B4317&lt;5,"Go","Standard")</f>
        <v>Standard</v>
      </c>
    </row>
    <row r="4318" customFormat="false" ht="15" hidden="false" customHeight="true" outlineLevel="0" collapsed="false">
      <c r="A4318" s="10" t="n">
        <f aca="false">Einstellungen!$B$5+INT((ROW()-9)/24)</f>
        <v>46145</v>
      </c>
      <c r="B4318" s="11" t="n">
        <f aca="false">MOD(ROW()-9,24)</f>
        <v>13</v>
      </c>
      <c r="C4318" s="12"/>
      <c r="D4318" s="13" t="n">
        <f aca="false">IF(B4318&lt;5,Einstellungen!$B$3,Einstellungen!$B$4)</f>
        <v>29.13</v>
      </c>
      <c r="E4318" s="14" t="str">
        <f aca="false">IF(C4318="","",C4318*D4318/100)</f>
        <v/>
      </c>
      <c r="F4318" s="15" t="str">
        <f aca="false">IF(B4318&lt;5,"Go","Standard")</f>
        <v>Standard</v>
      </c>
    </row>
    <row r="4319" customFormat="false" ht="15" hidden="false" customHeight="true" outlineLevel="0" collapsed="false">
      <c r="A4319" s="10" t="n">
        <f aca="false">Einstellungen!$B$5+INT((ROW()-9)/24)</f>
        <v>46145</v>
      </c>
      <c r="B4319" s="11" t="n">
        <f aca="false">MOD(ROW()-9,24)</f>
        <v>14</v>
      </c>
      <c r="C4319" s="12"/>
      <c r="D4319" s="13" t="n">
        <f aca="false">IF(B4319&lt;5,Einstellungen!$B$3,Einstellungen!$B$4)</f>
        <v>29.13</v>
      </c>
      <c r="E4319" s="14" t="str">
        <f aca="false">IF(C4319="","",C4319*D4319/100)</f>
        <v/>
      </c>
      <c r="F4319" s="15" t="str">
        <f aca="false">IF(B4319&lt;5,"Go","Standard")</f>
        <v>Standard</v>
      </c>
    </row>
    <row r="4320" customFormat="false" ht="15" hidden="false" customHeight="true" outlineLevel="0" collapsed="false">
      <c r="A4320" s="10" t="n">
        <f aca="false">Einstellungen!$B$5+INT((ROW()-9)/24)</f>
        <v>46145</v>
      </c>
      <c r="B4320" s="11" t="n">
        <f aca="false">MOD(ROW()-9,24)</f>
        <v>15</v>
      </c>
      <c r="C4320" s="12"/>
      <c r="D4320" s="13" t="n">
        <f aca="false">IF(B4320&lt;5,Einstellungen!$B$3,Einstellungen!$B$4)</f>
        <v>29.13</v>
      </c>
      <c r="E4320" s="14" t="str">
        <f aca="false">IF(C4320="","",C4320*D4320/100)</f>
        <v/>
      </c>
      <c r="F4320" s="15" t="str">
        <f aca="false">IF(B4320&lt;5,"Go","Standard")</f>
        <v>Standard</v>
      </c>
    </row>
    <row r="4321" customFormat="false" ht="15" hidden="false" customHeight="true" outlineLevel="0" collapsed="false">
      <c r="A4321" s="10" t="n">
        <f aca="false">Einstellungen!$B$5+INT((ROW()-9)/24)</f>
        <v>46145</v>
      </c>
      <c r="B4321" s="11" t="n">
        <f aca="false">MOD(ROW()-9,24)</f>
        <v>16</v>
      </c>
      <c r="C4321" s="12"/>
      <c r="D4321" s="13" t="n">
        <f aca="false">IF(B4321&lt;5,Einstellungen!$B$3,Einstellungen!$B$4)</f>
        <v>29.13</v>
      </c>
      <c r="E4321" s="14" t="str">
        <f aca="false">IF(C4321="","",C4321*D4321/100)</f>
        <v/>
      </c>
      <c r="F4321" s="15" t="str">
        <f aca="false">IF(B4321&lt;5,"Go","Standard")</f>
        <v>Standard</v>
      </c>
    </row>
    <row r="4322" customFormat="false" ht="15" hidden="false" customHeight="true" outlineLevel="0" collapsed="false">
      <c r="A4322" s="10" t="n">
        <f aca="false">Einstellungen!$B$5+INT((ROW()-9)/24)</f>
        <v>46145</v>
      </c>
      <c r="B4322" s="11" t="n">
        <f aca="false">MOD(ROW()-9,24)</f>
        <v>17</v>
      </c>
      <c r="C4322" s="12"/>
      <c r="D4322" s="13" t="n">
        <f aca="false">IF(B4322&lt;5,Einstellungen!$B$3,Einstellungen!$B$4)</f>
        <v>29.13</v>
      </c>
      <c r="E4322" s="14" t="str">
        <f aca="false">IF(C4322="","",C4322*D4322/100)</f>
        <v/>
      </c>
      <c r="F4322" s="15" t="str">
        <f aca="false">IF(B4322&lt;5,"Go","Standard")</f>
        <v>Standard</v>
      </c>
    </row>
    <row r="4323" customFormat="false" ht="15" hidden="false" customHeight="true" outlineLevel="0" collapsed="false">
      <c r="A4323" s="10" t="n">
        <f aca="false">Einstellungen!$B$5+INT((ROW()-9)/24)</f>
        <v>46145</v>
      </c>
      <c r="B4323" s="11" t="n">
        <f aca="false">MOD(ROW()-9,24)</f>
        <v>18</v>
      </c>
      <c r="C4323" s="12"/>
      <c r="D4323" s="13" t="n">
        <f aca="false">IF(B4323&lt;5,Einstellungen!$B$3,Einstellungen!$B$4)</f>
        <v>29.13</v>
      </c>
      <c r="E4323" s="14" t="str">
        <f aca="false">IF(C4323="","",C4323*D4323/100)</f>
        <v/>
      </c>
      <c r="F4323" s="15" t="str">
        <f aca="false">IF(B4323&lt;5,"Go","Standard")</f>
        <v>Standard</v>
      </c>
    </row>
    <row r="4324" customFormat="false" ht="15" hidden="false" customHeight="true" outlineLevel="0" collapsed="false">
      <c r="A4324" s="10" t="n">
        <f aca="false">Einstellungen!$B$5+INT((ROW()-9)/24)</f>
        <v>46145</v>
      </c>
      <c r="B4324" s="11" t="n">
        <f aca="false">MOD(ROW()-9,24)</f>
        <v>19</v>
      </c>
      <c r="C4324" s="12"/>
      <c r="D4324" s="13" t="n">
        <f aca="false">IF(B4324&lt;5,Einstellungen!$B$3,Einstellungen!$B$4)</f>
        <v>29.13</v>
      </c>
      <c r="E4324" s="14" t="str">
        <f aca="false">IF(C4324="","",C4324*D4324/100)</f>
        <v/>
      </c>
      <c r="F4324" s="15" t="str">
        <f aca="false">IF(B4324&lt;5,"Go","Standard")</f>
        <v>Standard</v>
      </c>
    </row>
    <row r="4325" customFormat="false" ht="15" hidden="false" customHeight="true" outlineLevel="0" collapsed="false">
      <c r="A4325" s="10" t="n">
        <f aca="false">Einstellungen!$B$5+INT((ROW()-9)/24)</f>
        <v>46145</v>
      </c>
      <c r="B4325" s="11" t="n">
        <f aca="false">MOD(ROW()-9,24)</f>
        <v>20</v>
      </c>
      <c r="C4325" s="12"/>
      <c r="D4325" s="13" t="n">
        <f aca="false">IF(B4325&lt;5,Einstellungen!$B$3,Einstellungen!$B$4)</f>
        <v>29.13</v>
      </c>
      <c r="E4325" s="14" t="str">
        <f aca="false">IF(C4325="","",C4325*D4325/100)</f>
        <v/>
      </c>
      <c r="F4325" s="15" t="str">
        <f aca="false">IF(B4325&lt;5,"Go","Standard")</f>
        <v>Standard</v>
      </c>
    </row>
    <row r="4326" customFormat="false" ht="15" hidden="false" customHeight="true" outlineLevel="0" collapsed="false">
      <c r="A4326" s="10" t="n">
        <f aca="false">Einstellungen!$B$5+INT((ROW()-9)/24)</f>
        <v>46145</v>
      </c>
      <c r="B4326" s="11" t="n">
        <f aca="false">MOD(ROW()-9,24)</f>
        <v>21</v>
      </c>
      <c r="C4326" s="12"/>
      <c r="D4326" s="13" t="n">
        <f aca="false">IF(B4326&lt;5,Einstellungen!$B$3,Einstellungen!$B$4)</f>
        <v>29.13</v>
      </c>
      <c r="E4326" s="14" t="str">
        <f aca="false">IF(C4326="","",C4326*D4326/100)</f>
        <v/>
      </c>
      <c r="F4326" s="15" t="str">
        <f aca="false">IF(B4326&lt;5,"Go","Standard")</f>
        <v>Standard</v>
      </c>
    </row>
    <row r="4327" customFormat="false" ht="15" hidden="false" customHeight="true" outlineLevel="0" collapsed="false">
      <c r="A4327" s="10" t="n">
        <f aca="false">Einstellungen!$B$5+INT((ROW()-9)/24)</f>
        <v>46145</v>
      </c>
      <c r="B4327" s="11" t="n">
        <f aca="false">MOD(ROW()-9,24)</f>
        <v>22</v>
      </c>
      <c r="C4327" s="12"/>
      <c r="D4327" s="13" t="n">
        <f aca="false">IF(B4327&lt;5,Einstellungen!$B$3,Einstellungen!$B$4)</f>
        <v>29.13</v>
      </c>
      <c r="E4327" s="14" t="str">
        <f aca="false">IF(C4327="","",C4327*D4327/100)</f>
        <v/>
      </c>
      <c r="F4327" s="15" t="str">
        <f aca="false">IF(B4327&lt;5,"Go","Standard")</f>
        <v>Standard</v>
      </c>
    </row>
    <row r="4328" customFormat="false" ht="15" hidden="false" customHeight="true" outlineLevel="0" collapsed="false">
      <c r="A4328" s="10" t="n">
        <f aca="false">Einstellungen!$B$5+INT((ROW()-9)/24)</f>
        <v>46145</v>
      </c>
      <c r="B4328" s="11" t="n">
        <f aca="false">MOD(ROW()-9,24)</f>
        <v>23</v>
      </c>
      <c r="C4328" s="12"/>
      <c r="D4328" s="13" t="n">
        <f aca="false">IF(B4328&lt;5,Einstellungen!$B$3,Einstellungen!$B$4)</f>
        <v>29.13</v>
      </c>
      <c r="E4328" s="14" t="str">
        <f aca="false">IF(C4328="","",C4328*D4328/100)</f>
        <v/>
      </c>
      <c r="F4328" s="15" t="str">
        <f aca="false">IF(B4328&lt;5,"Go","Standard")</f>
        <v>Standard</v>
      </c>
    </row>
    <row r="4329" customFormat="false" ht="15" hidden="false" customHeight="true" outlineLevel="0" collapsed="false">
      <c r="A4329" s="10" t="n">
        <f aca="false">Einstellungen!$B$5+INT((ROW()-9)/24)</f>
        <v>46146</v>
      </c>
      <c r="B4329" s="11" t="n">
        <f aca="false">MOD(ROW()-9,24)</f>
        <v>0</v>
      </c>
      <c r="C4329" s="12"/>
      <c r="D4329" s="13" t="n">
        <f aca="false">IF(B4329&lt;5,Einstellungen!$B$3,Einstellungen!$B$4)</f>
        <v>15.92</v>
      </c>
      <c r="E4329" s="14" t="str">
        <f aca="false">IF(C4329="","",C4329*D4329/100)</f>
        <v/>
      </c>
      <c r="F4329" s="15" t="str">
        <f aca="false">IF(B4329&lt;5,"Go","Standard")</f>
        <v>Go</v>
      </c>
    </row>
    <row r="4330" customFormat="false" ht="15" hidden="false" customHeight="true" outlineLevel="0" collapsed="false">
      <c r="A4330" s="10" t="n">
        <f aca="false">Einstellungen!$B$5+INT((ROW()-9)/24)</f>
        <v>46146</v>
      </c>
      <c r="B4330" s="11" t="n">
        <f aca="false">MOD(ROW()-9,24)</f>
        <v>1</v>
      </c>
      <c r="C4330" s="12"/>
      <c r="D4330" s="13" t="n">
        <f aca="false">IF(B4330&lt;5,Einstellungen!$B$3,Einstellungen!$B$4)</f>
        <v>15.92</v>
      </c>
      <c r="E4330" s="14" t="str">
        <f aca="false">IF(C4330="","",C4330*D4330/100)</f>
        <v/>
      </c>
      <c r="F4330" s="15" t="str">
        <f aca="false">IF(B4330&lt;5,"Go","Standard")</f>
        <v>Go</v>
      </c>
    </row>
    <row r="4331" customFormat="false" ht="15" hidden="false" customHeight="true" outlineLevel="0" collapsed="false">
      <c r="A4331" s="10" t="n">
        <f aca="false">Einstellungen!$B$5+INT((ROW()-9)/24)</f>
        <v>46146</v>
      </c>
      <c r="B4331" s="11" t="n">
        <f aca="false">MOD(ROW()-9,24)</f>
        <v>2</v>
      </c>
      <c r="C4331" s="12"/>
      <c r="D4331" s="13" t="n">
        <f aca="false">IF(B4331&lt;5,Einstellungen!$B$3,Einstellungen!$B$4)</f>
        <v>15.92</v>
      </c>
      <c r="E4331" s="14" t="str">
        <f aca="false">IF(C4331="","",C4331*D4331/100)</f>
        <v/>
      </c>
      <c r="F4331" s="15" t="str">
        <f aca="false">IF(B4331&lt;5,"Go","Standard")</f>
        <v>Go</v>
      </c>
    </row>
    <row r="4332" customFormat="false" ht="15" hidden="false" customHeight="true" outlineLevel="0" collapsed="false">
      <c r="A4332" s="10" t="n">
        <f aca="false">Einstellungen!$B$5+INT((ROW()-9)/24)</f>
        <v>46146</v>
      </c>
      <c r="B4332" s="11" t="n">
        <f aca="false">MOD(ROW()-9,24)</f>
        <v>3</v>
      </c>
      <c r="C4332" s="12"/>
      <c r="D4332" s="13" t="n">
        <f aca="false">IF(B4332&lt;5,Einstellungen!$B$3,Einstellungen!$B$4)</f>
        <v>15.92</v>
      </c>
      <c r="E4332" s="14" t="str">
        <f aca="false">IF(C4332="","",C4332*D4332/100)</f>
        <v/>
      </c>
      <c r="F4332" s="15" t="str">
        <f aca="false">IF(B4332&lt;5,"Go","Standard")</f>
        <v>Go</v>
      </c>
    </row>
    <row r="4333" customFormat="false" ht="15" hidden="false" customHeight="true" outlineLevel="0" collapsed="false">
      <c r="A4333" s="10" t="n">
        <f aca="false">Einstellungen!$B$5+INT((ROW()-9)/24)</f>
        <v>46146</v>
      </c>
      <c r="B4333" s="11" t="n">
        <f aca="false">MOD(ROW()-9,24)</f>
        <v>4</v>
      </c>
      <c r="C4333" s="12"/>
      <c r="D4333" s="13" t="n">
        <f aca="false">IF(B4333&lt;5,Einstellungen!$B$3,Einstellungen!$B$4)</f>
        <v>15.92</v>
      </c>
      <c r="E4333" s="14" t="str">
        <f aca="false">IF(C4333="","",C4333*D4333/100)</f>
        <v/>
      </c>
      <c r="F4333" s="15" t="str">
        <f aca="false">IF(B4333&lt;5,"Go","Standard")</f>
        <v>Go</v>
      </c>
    </row>
    <row r="4334" customFormat="false" ht="15" hidden="false" customHeight="true" outlineLevel="0" collapsed="false">
      <c r="A4334" s="10" t="n">
        <f aca="false">Einstellungen!$B$5+INT((ROW()-9)/24)</f>
        <v>46146</v>
      </c>
      <c r="B4334" s="11" t="n">
        <f aca="false">MOD(ROW()-9,24)</f>
        <v>5</v>
      </c>
      <c r="C4334" s="12"/>
      <c r="D4334" s="13" t="n">
        <f aca="false">IF(B4334&lt;5,Einstellungen!$B$3,Einstellungen!$B$4)</f>
        <v>29.13</v>
      </c>
      <c r="E4334" s="14" t="str">
        <f aca="false">IF(C4334="","",C4334*D4334/100)</f>
        <v/>
      </c>
      <c r="F4334" s="15" t="str">
        <f aca="false">IF(B4334&lt;5,"Go","Standard")</f>
        <v>Standard</v>
      </c>
    </row>
    <row r="4335" customFormat="false" ht="15" hidden="false" customHeight="true" outlineLevel="0" collapsed="false">
      <c r="A4335" s="10" t="n">
        <f aca="false">Einstellungen!$B$5+INT((ROW()-9)/24)</f>
        <v>46146</v>
      </c>
      <c r="B4335" s="11" t="n">
        <f aca="false">MOD(ROW()-9,24)</f>
        <v>6</v>
      </c>
      <c r="C4335" s="12"/>
      <c r="D4335" s="13" t="n">
        <f aca="false">IF(B4335&lt;5,Einstellungen!$B$3,Einstellungen!$B$4)</f>
        <v>29.13</v>
      </c>
      <c r="E4335" s="14" t="str">
        <f aca="false">IF(C4335="","",C4335*D4335/100)</f>
        <v/>
      </c>
      <c r="F4335" s="15" t="str">
        <f aca="false">IF(B4335&lt;5,"Go","Standard")</f>
        <v>Standard</v>
      </c>
    </row>
    <row r="4336" customFormat="false" ht="15" hidden="false" customHeight="true" outlineLevel="0" collapsed="false">
      <c r="A4336" s="10" t="n">
        <f aca="false">Einstellungen!$B$5+INT((ROW()-9)/24)</f>
        <v>46146</v>
      </c>
      <c r="B4336" s="11" t="n">
        <f aca="false">MOD(ROW()-9,24)</f>
        <v>7</v>
      </c>
      <c r="C4336" s="12"/>
      <c r="D4336" s="13" t="n">
        <f aca="false">IF(B4336&lt;5,Einstellungen!$B$3,Einstellungen!$B$4)</f>
        <v>29.13</v>
      </c>
      <c r="E4336" s="14" t="str">
        <f aca="false">IF(C4336="","",C4336*D4336/100)</f>
        <v/>
      </c>
      <c r="F4336" s="15" t="str">
        <f aca="false">IF(B4336&lt;5,"Go","Standard")</f>
        <v>Standard</v>
      </c>
    </row>
    <row r="4337" customFormat="false" ht="15" hidden="false" customHeight="true" outlineLevel="0" collapsed="false">
      <c r="A4337" s="10" t="n">
        <f aca="false">Einstellungen!$B$5+INT((ROW()-9)/24)</f>
        <v>46146</v>
      </c>
      <c r="B4337" s="11" t="n">
        <f aca="false">MOD(ROW()-9,24)</f>
        <v>8</v>
      </c>
      <c r="C4337" s="12"/>
      <c r="D4337" s="13" t="n">
        <f aca="false">IF(B4337&lt;5,Einstellungen!$B$3,Einstellungen!$B$4)</f>
        <v>29.13</v>
      </c>
      <c r="E4337" s="14" t="str">
        <f aca="false">IF(C4337="","",C4337*D4337/100)</f>
        <v/>
      </c>
      <c r="F4337" s="15" t="str">
        <f aca="false">IF(B4337&lt;5,"Go","Standard")</f>
        <v>Standard</v>
      </c>
    </row>
    <row r="4338" customFormat="false" ht="15" hidden="false" customHeight="true" outlineLevel="0" collapsed="false">
      <c r="A4338" s="10" t="n">
        <f aca="false">Einstellungen!$B$5+INT((ROW()-9)/24)</f>
        <v>46146</v>
      </c>
      <c r="B4338" s="11" t="n">
        <f aca="false">MOD(ROW()-9,24)</f>
        <v>9</v>
      </c>
      <c r="C4338" s="12"/>
      <c r="D4338" s="13" t="n">
        <f aca="false">IF(B4338&lt;5,Einstellungen!$B$3,Einstellungen!$B$4)</f>
        <v>29.13</v>
      </c>
      <c r="E4338" s="14" t="str">
        <f aca="false">IF(C4338="","",C4338*D4338/100)</f>
        <v/>
      </c>
      <c r="F4338" s="15" t="str">
        <f aca="false">IF(B4338&lt;5,"Go","Standard")</f>
        <v>Standard</v>
      </c>
    </row>
    <row r="4339" customFormat="false" ht="15" hidden="false" customHeight="true" outlineLevel="0" collapsed="false">
      <c r="A4339" s="10" t="n">
        <f aca="false">Einstellungen!$B$5+INT((ROW()-9)/24)</f>
        <v>46146</v>
      </c>
      <c r="B4339" s="11" t="n">
        <f aca="false">MOD(ROW()-9,24)</f>
        <v>10</v>
      </c>
      <c r="C4339" s="12"/>
      <c r="D4339" s="13" t="n">
        <f aca="false">IF(B4339&lt;5,Einstellungen!$B$3,Einstellungen!$B$4)</f>
        <v>29.13</v>
      </c>
      <c r="E4339" s="14" t="str">
        <f aca="false">IF(C4339="","",C4339*D4339/100)</f>
        <v/>
      </c>
      <c r="F4339" s="15" t="str">
        <f aca="false">IF(B4339&lt;5,"Go","Standard")</f>
        <v>Standard</v>
      </c>
    </row>
    <row r="4340" customFormat="false" ht="15" hidden="false" customHeight="true" outlineLevel="0" collapsed="false">
      <c r="A4340" s="10" t="n">
        <f aca="false">Einstellungen!$B$5+INT((ROW()-9)/24)</f>
        <v>46146</v>
      </c>
      <c r="B4340" s="11" t="n">
        <f aca="false">MOD(ROW()-9,24)</f>
        <v>11</v>
      </c>
      <c r="C4340" s="12"/>
      <c r="D4340" s="13" t="n">
        <f aca="false">IF(B4340&lt;5,Einstellungen!$B$3,Einstellungen!$B$4)</f>
        <v>29.13</v>
      </c>
      <c r="E4340" s="14" t="str">
        <f aca="false">IF(C4340="","",C4340*D4340/100)</f>
        <v/>
      </c>
      <c r="F4340" s="15" t="str">
        <f aca="false">IF(B4340&lt;5,"Go","Standard")</f>
        <v>Standard</v>
      </c>
    </row>
    <row r="4341" customFormat="false" ht="15" hidden="false" customHeight="true" outlineLevel="0" collapsed="false">
      <c r="A4341" s="10" t="n">
        <f aca="false">Einstellungen!$B$5+INT((ROW()-9)/24)</f>
        <v>46146</v>
      </c>
      <c r="B4341" s="11" t="n">
        <f aca="false">MOD(ROW()-9,24)</f>
        <v>12</v>
      </c>
      <c r="C4341" s="12"/>
      <c r="D4341" s="13" t="n">
        <f aca="false">IF(B4341&lt;5,Einstellungen!$B$3,Einstellungen!$B$4)</f>
        <v>29.13</v>
      </c>
      <c r="E4341" s="14" t="str">
        <f aca="false">IF(C4341="","",C4341*D4341/100)</f>
        <v/>
      </c>
      <c r="F4341" s="15" t="str">
        <f aca="false">IF(B4341&lt;5,"Go","Standard")</f>
        <v>Standard</v>
      </c>
    </row>
    <row r="4342" customFormat="false" ht="15" hidden="false" customHeight="true" outlineLevel="0" collapsed="false">
      <c r="A4342" s="10" t="n">
        <f aca="false">Einstellungen!$B$5+INT((ROW()-9)/24)</f>
        <v>46146</v>
      </c>
      <c r="B4342" s="11" t="n">
        <f aca="false">MOD(ROW()-9,24)</f>
        <v>13</v>
      </c>
      <c r="C4342" s="12"/>
      <c r="D4342" s="13" t="n">
        <f aca="false">IF(B4342&lt;5,Einstellungen!$B$3,Einstellungen!$B$4)</f>
        <v>29.13</v>
      </c>
      <c r="E4342" s="14" t="str">
        <f aca="false">IF(C4342="","",C4342*D4342/100)</f>
        <v/>
      </c>
      <c r="F4342" s="15" t="str">
        <f aca="false">IF(B4342&lt;5,"Go","Standard")</f>
        <v>Standard</v>
      </c>
    </row>
    <row r="4343" customFormat="false" ht="15" hidden="false" customHeight="true" outlineLevel="0" collapsed="false">
      <c r="A4343" s="10" t="n">
        <f aca="false">Einstellungen!$B$5+INT((ROW()-9)/24)</f>
        <v>46146</v>
      </c>
      <c r="B4343" s="11" t="n">
        <f aca="false">MOD(ROW()-9,24)</f>
        <v>14</v>
      </c>
      <c r="C4343" s="12"/>
      <c r="D4343" s="13" t="n">
        <f aca="false">IF(B4343&lt;5,Einstellungen!$B$3,Einstellungen!$B$4)</f>
        <v>29.13</v>
      </c>
      <c r="E4343" s="14" t="str">
        <f aca="false">IF(C4343="","",C4343*D4343/100)</f>
        <v/>
      </c>
      <c r="F4343" s="15" t="str">
        <f aca="false">IF(B4343&lt;5,"Go","Standard")</f>
        <v>Standard</v>
      </c>
    </row>
    <row r="4344" customFormat="false" ht="15" hidden="false" customHeight="true" outlineLevel="0" collapsed="false">
      <c r="A4344" s="10" t="n">
        <f aca="false">Einstellungen!$B$5+INT((ROW()-9)/24)</f>
        <v>46146</v>
      </c>
      <c r="B4344" s="11" t="n">
        <f aca="false">MOD(ROW()-9,24)</f>
        <v>15</v>
      </c>
      <c r="C4344" s="12"/>
      <c r="D4344" s="13" t="n">
        <f aca="false">IF(B4344&lt;5,Einstellungen!$B$3,Einstellungen!$B$4)</f>
        <v>29.13</v>
      </c>
      <c r="E4344" s="14" t="str">
        <f aca="false">IF(C4344="","",C4344*D4344/100)</f>
        <v/>
      </c>
      <c r="F4344" s="15" t="str">
        <f aca="false">IF(B4344&lt;5,"Go","Standard")</f>
        <v>Standard</v>
      </c>
    </row>
    <row r="4345" customFormat="false" ht="15" hidden="false" customHeight="true" outlineLevel="0" collapsed="false">
      <c r="A4345" s="10" t="n">
        <f aca="false">Einstellungen!$B$5+INT((ROW()-9)/24)</f>
        <v>46146</v>
      </c>
      <c r="B4345" s="11" t="n">
        <f aca="false">MOD(ROW()-9,24)</f>
        <v>16</v>
      </c>
      <c r="C4345" s="12"/>
      <c r="D4345" s="13" t="n">
        <f aca="false">IF(B4345&lt;5,Einstellungen!$B$3,Einstellungen!$B$4)</f>
        <v>29.13</v>
      </c>
      <c r="E4345" s="14" t="str">
        <f aca="false">IF(C4345="","",C4345*D4345/100)</f>
        <v/>
      </c>
      <c r="F4345" s="15" t="str">
        <f aca="false">IF(B4345&lt;5,"Go","Standard")</f>
        <v>Standard</v>
      </c>
    </row>
    <row r="4346" customFormat="false" ht="15" hidden="false" customHeight="true" outlineLevel="0" collapsed="false">
      <c r="A4346" s="10" t="n">
        <f aca="false">Einstellungen!$B$5+INT((ROW()-9)/24)</f>
        <v>46146</v>
      </c>
      <c r="B4346" s="11" t="n">
        <f aca="false">MOD(ROW()-9,24)</f>
        <v>17</v>
      </c>
      <c r="C4346" s="12"/>
      <c r="D4346" s="13" t="n">
        <f aca="false">IF(B4346&lt;5,Einstellungen!$B$3,Einstellungen!$B$4)</f>
        <v>29.13</v>
      </c>
      <c r="E4346" s="14" t="str">
        <f aca="false">IF(C4346="","",C4346*D4346/100)</f>
        <v/>
      </c>
      <c r="F4346" s="15" t="str">
        <f aca="false">IF(B4346&lt;5,"Go","Standard")</f>
        <v>Standard</v>
      </c>
    </row>
    <row r="4347" customFormat="false" ht="15" hidden="false" customHeight="true" outlineLevel="0" collapsed="false">
      <c r="A4347" s="10" t="n">
        <f aca="false">Einstellungen!$B$5+INT((ROW()-9)/24)</f>
        <v>46146</v>
      </c>
      <c r="B4347" s="11" t="n">
        <f aca="false">MOD(ROW()-9,24)</f>
        <v>18</v>
      </c>
      <c r="C4347" s="12"/>
      <c r="D4347" s="13" t="n">
        <f aca="false">IF(B4347&lt;5,Einstellungen!$B$3,Einstellungen!$B$4)</f>
        <v>29.13</v>
      </c>
      <c r="E4347" s="14" t="str">
        <f aca="false">IF(C4347="","",C4347*D4347/100)</f>
        <v/>
      </c>
      <c r="F4347" s="15" t="str">
        <f aca="false">IF(B4347&lt;5,"Go","Standard")</f>
        <v>Standard</v>
      </c>
    </row>
    <row r="4348" customFormat="false" ht="15" hidden="false" customHeight="true" outlineLevel="0" collapsed="false">
      <c r="A4348" s="10" t="n">
        <f aca="false">Einstellungen!$B$5+INT((ROW()-9)/24)</f>
        <v>46146</v>
      </c>
      <c r="B4348" s="11" t="n">
        <f aca="false">MOD(ROW()-9,24)</f>
        <v>19</v>
      </c>
      <c r="C4348" s="12"/>
      <c r="D4348" s="13" t="n">
        <f aca="false">IF(B4348&lt;5,Einstellungen!$B$3,Einstellungen!$B$4)</f>
        <v>29.13</v>
      </c>
      <c r="E4348" s="14" t="str">
        <f aca="false">IF(C4348="","",C4348*D4348/100)</f>
        <v/>
      </c>
      <c r="F4348" s="15" t="str">
        <f aca="false">IF(B4348&lt;5,"Go","Standard")</f>
        <v>Standard</v>
      </c>
    </row>
    <row r="4349" customFormat="false" ht="15" hidden="false" customHeight="true" outlineLevel="0" collapsed="false">
      <c r="A4349" s="10" t="n">
        <f aca="false">Einstellungen!$B$5+INT((ROW()-9)/24)</f>
        <v>46146</v>
      </c>
      <c r="B4349" s="11" t="n">
        <f aca="false">MOD(ROW()-9,24)</f>
        <v>20</v>
      </c>
      <c r="C4349" s="12"/>
      <c r="D4349" s="13" t="n">
        <f aca="false">IF(B4349&lt;5,Einstellungen!$B$3,Einstellungen!$B$4)</f>
        <v>29.13</v>
      </c>
      <c r="E4349" s="14" t="str">
        <f aca="false">IF(C4349="","",C4349*D4349/100)</f>
        <v/>
      </c>
      <c r="F4349" s="15" t="str">
        <f aca="false">IF(B4349&lt;5,"Go","Standard")</f>
        <v>Standard</v>
      </c>
    </row>
    <row r="4350" customFormat="false" ht="15" hidden="false" customHeight="true" outlineLevel="0" collapsed="false">
      <c r="A4350" s="10" t="n">
        <f aca="false">Einstellungen!$B$5+INT((ROW()-9)/24)</f>
        <v>46146</v>
      </c>
      <c r="B4350" s="11" t="n">
        <f aca="false">MOD(ROW()-9,24)</f>
        <v>21</v>
      </c>
      <c r="C4350" s="12"/>
      <c r="D4350" s="13" t="n">
        <f aca="false">IF(B4350&lt;5,Einstellungen!$B$3,Einstellungen!$B$4)</f>
        <v>29.13</v>
      </c>
      <c r="E4350" s="14" t="str">
        <f aca="false">IF(C4350="","",C4350*D4350/100)</f>
        <v/>
      </c>
      <c r="F4350" s="15" t="str">
        <f aca="false">IF(B4350&lt;5,"Go","Standard")</f>
        <v>Standard</v>
      </c>
    </row>
    <row r="4351" customFormat="false" ht="15" hidden="false" customHeight="true" outlineLevel="0" collapsed="false">
      <c r="A4351" s="10" t="n">
        <f aca="false">Einstellungen!$B$5+INT((ROW()-9)/24)</f>
        <v>46146</v>
      </c>
      <c r="B4351" s="11" t="n">
        <f aca="false">MOD(ROW()-9,24)</f>
        <v>22</v>
      </c>
      <c r="C4351" s="12"/>
      <c r="D4351" s="13" t="n">
        <f aca="false">IF(B4351&lt;5,Einstellungen!$B$3,Einstellungen!$B$4)</f>
        <v>29.13</v>
      </c>
      <c r="E4351" s="14" t="str">
        <f aca="false">IF(C4351="","",C4351*D4351/100)</f>
        <v/>
      </c>
      <c r="F4351" s="15" t="str">
        <f aca="false">IF(B4351&lt;5,"Go","Standard")</f>
        <v>Standard</v>
      </c>
    </row>
    <row r="4352" customFormat="false" ht="15" hidden="false" customHeight="true" outlineLevel="0" collapsed="false">
      <c r="A4352" s="10" t="n">
        <f aca="false">Einstellungen!$B$5+INT((ROW()-9)/24)</f>
        <v>46146</v>
      </c>
      <c r="B4352" s="11" t="n">
        <f aca="false">MOD(ROW()-9,24)</f>
        <v>23</v>
      </c>
      <c r="C4352" s="12"/>
      <c r="D4352" s="13" t="n">
        <f aca="false">IF(B4352&lt;5,Einstellungen!$B$3,Einstellungen!$B$4)</f>
        <v>29.13</v>
      </c>
      <c r="E4352" s="14" t="str">
        <f aca="false">IF(C4352="","",C4352*D4352/100)</f>
        <v/>
      </c>
      <c r="F4352" s="15" t="str">
        <f aca="false">IF(B4352&lt;5,"Go","Standard")</f>
        <v>Standard</v>
      </c>
    </row>
    <row r="4353" customFormat="false" ht="15" hidden="false" customHeight="true" outlineLevel="0" collapsed="false">
      <c r="A4353" s="10" t="n">
        <f aca="false">Einstellungen!$B$5+INT((ROW()-9)/24)</f>
        <v>46147</v>
      </c>
      <c r="B4353" s="11" t="n">
        <f aca="false">MOD(ROW()-9,24)</f>
        <v>0</v>
      </c>
      <c r="C4353" s="12"/>
      <c r="D4353" s="13" t="n">
        <f aca="false">IF(B4353&lt;5,Einstellungen!$B$3,Einstellungen!$B$4)</f>
        <v>15.92</v>
      </c>
      <c r="E4353" s="14" t="str">
        <f aca="false">IF(C4353="","",C4353*D4353/100)</f>
        <v/>
      </c>
      <c r="F4353" s="15" t="str">
        <f aca="false">IF(B4353&lt;5,"Go","Standard")</f>
        <v>Go</v>
      </c>
    </row>
    <row r="4354" customFormat="false" ht="15" hidden="false" customHeight="true" outlineLevel="0" collapsed="false">
      <c r="A4354" s="10" t="n">
        <f aca="false">Einstellungen!$B$5+INT((ROW()-9)/24)</f>
        <v>46147</v>
      </c>
      <c r="B4354" s="11" t="n">
        <f aca="false">MOD(ROW()-9,24)</f>
        <v>1</v>
      </c>
      <c r="C4354" s="12"/>
      <c r="D4354" s="13" t="n">
        <f aca="false">IF(B4354&lt;5,Einstellungen!$B$3,Einstellungen!$B$4)</f>
        <v>15.92</v>
      </c>
      <c r="E4354" s="14" t="str">
        <f aca="false">IF(C4354="","",C4354*D4354/100)</f>
        <v/>
      </c>
      <c r="F4354" s="15" t="str">
        <f aca="false">IF(B4354&lt;5,"Go","Standard")</f>
        <v>Go</v>
      </c>
    </row>
    <row r="4355" customFormat="false" ht="15" hidden="false" customHeight="true" outlineLevel="0" collapsed="false">
      <c r="A4355" s="10" t="n">
        <f aca="false">Einstellungen!$B$5+INT((ROW()-9)/24)</f>
        <v>46147</v>
      </c>
      <c r="B4355" s="11" t="n">
        <f aca="false">MOD(ROW()-9,24)</f>
        <v>2</v>
      </c>
      <c r="C4355" s="12"/>
      <c r="D4355" s="13" t="n">
        <f aca="false">IF(B4355&lt;5,Einstellungen!$B$3,Einstellungen!$B$4)</f>
        <v>15.92</v>
      </c>
      <c r="E4355" s="14" t="str">
        <f aca="false">IF(C4355="","",C4355*D4355/100)</f>
        <v/>
      </c>
      <c r="F4355" s="15" t="str">
        <f aca="false">IF(B4355&lt;5,"Go","Standard")</f>
        <v>Go</v>
      </c>
    </row>
    <row r="4356" customFormat="false" ht="15" hidden="false" customHeight="true" outlineLevel="0" collapsed="false">
      <c r="A4356" s="10" t="n">
        <f aca="false">Einstellungen!$B$5+INT((ROW()-9)/24)</f>
        <v>46147</v>
      </c>
      <c r="B4356" s="11" t="n">
        <f aca="false">MOD(ROW()-9,24)</f>
        <v>3</v>
      </c>
      <c r="C4356" s="12"/>
      <c r="D4356" s="13" t="n">
        <f aca="false">IF(B4356&lt;5,Einstellungen!$B$3,Einstellungen!$B$4)</f>
        <v>15.92</v>
      </c>
      <c r="E4356" s="14" t="str">
        <f aca="false">IF(C4356="","",C4356*D4356/100)</f>
        <v/>
      </c>
      <c r="F4356" s="15" t="str">
        <f aca="false">IF(B4356&lt;5,"Go","Standard")</f>
        <v>Go</v>
      </c>
    </row>
    <row r="4357" customFormat="false" ht="15" hidden="false" customHeight="true" outlineLevel="0" collapsed="false">
      <c r="A4357" s="10" t="n">
        <f aca="false">Einstellungen!$B$5+INT((ROW()-9)/24)</f>
        <v>46147</v>
      </c>
      <c r="B4357" s="11" t="n">
        <f aca="false">MOD(ROW()-9,24)</f>
        <v>4</v>
      </c>
      <c r="C4357" s="12"/>
      <c r="D4357" s="13" t="n">
        <f aca="false">IF(B4357&lt;5,Einstellungen!$B$3,Einstellungen!$B$4)</f>
        <v>15.92</v>
      </c>
      <c r="E4357" s="14" t="str">
        <f aca="false">IF(C4357="","",C4357*D4357/100)</f>
        <v/>
      </c>
      <c r="F4357" s="15" t="str">
        <f aca="false">IF(B4357&lt;5,"Go","Standard")</f>
        <v>Go</v>
      </c>
    </row>
    <row r="4358" customFormat="false" ht="15" hidden="false" customHeight="true" outlineLevel="0" collapsed="false">
      <c r="A4358" s="10" t="n">
        <f aca="false">Einstellungen!$B$5+INT((ROW()-9)/24)</f>
        <v>46147</v>
      </c>
      <c r="B4358" s="11" t="n">
        <f aca="false">MOD(ROW()-9,24)</f>
        <v>5</v>
      </c>
      <c r="C4358" s="12"/>
      <c r="D4358" s="13" t="n">
        <f aca="false">IF(B4358&lt;5,Einstellungen!$B$3,Einstellungen!$B$4)</f>
        <v>29.13</v>
      </c>
      <c r="E4358" s="14" t="str">
        <f aca="false">IF(C4358="","",C4358*D4358/100)</f>
        <v/>
      </c>
      <c r="F4358" s="15" t="str">
        <f aca="false">IF(B4358&lt;5,"Go","Standard")</f>
        <v>Standard</v>
      </c>
    </row>
    <row r="4359" customFormat="false" ht="15" hidden="false" customHeight="true" outlineLevel="0" collapsed="false">
      <c r="A4359" s="10" t="n">
        <f aca="false">Einstellungen!$B$5+INT((ROW()-9)/24)</f>
        <v>46147</v>
      </c>
      <c r="B4359" s="11" t="n">
        <f aca="false">MOD(ROW()-9,24)</f>
        <v>6</v>
      </c>
      <c r="C4359" s="12"/>
      <c r="D4359" s="13" t="n">
        <f aca="false">IF(B4359&lt;5,Einstellungen!$B$3,Einstellungen!$B$4)</f>
        <v>29.13</v>
      </c>
      <c r="E4359" s="14" t="str">
        <f aca="false">IF(C4359="","",C4359*D4359/100)</f>
        <v/>
      </c>
      <c r="F4359" s="15" t="str">
        <f aca="false">IF(B4359&lt;5,"Go","Standard")</f>
        <v>Standard</v>
      </c>
    </row>
    <row r="4360" customFormat="false" ht="15" hidden="false" customHeight="true" outlineLevel="0" collapsed="false">
      <c r="A4360" s="10" t="n">
        <f aca="false">Einstellungen!$B$5+INT((ROW()-9)/24)</f>
        <v>46147</v>
      </c>
      <c r="B4360" s="11" t="n">
        <f aca="false">MOD(ROW()-9,24)</f>
        <v>7</v>
      </c>
      <c r="C4360" s="12"/>
      <c r="D4360" s="13" t="n">
        <f aca="false">IF(B4360&lt;5,Einstellungen!$B$3,Einstellungen!$B$4)</f>
        <v>29.13</v>
      </c>
      <c r="E4360" s="14" t="str">
        <f aca="false">IF(C4360="","",C4360*D4360/100)</f>
        <v/>
      </c>
      <c r="F4360" s="15" t="str">
        <f aca="false">IF(B4360&lt;5,"Go","Standard")</f>
        <v>Standard</v>
      </c>
    </row>
    <row r="4361" customFormat="false" ht="15" hidden="false" customHeight="true" outlineLevel="0" collapsed="false">
      <c r="A4361" s="10" t="n">
        <f aca="false">Einstellungen!$B$5+INT((ROW()-9)/24)</f>
        <v>46147</v>
      </c>
      <c r="B4361" s="11" t="n">
        <f aca="false">MOD(ROW()-9,24)</f>
        <v>8</v>
      </c>
      <c r="C4361" s="12"/>
      <c r="D4361" s="13" t="n">
        <f aca="false">IF(B4361&lt;5,Einstellungen!$B$3,Einstellungen!$B$4)</f>
        <v>29.13</v>
      </c>
      <c r="E4361" s="14" t="str">
        <f aca="false">IF(C4361="","",C4361*D4361/100)</f>
        <v/>
      </c>
      <c r="F4361" s="15" t="str">
        <f aca="false">IF(B4361&lt;5,"Go","Standard")</f>
        <v>Standard</v>
      </c>
    </row>
    <row r="4362" customFormat="false" ht="15" hidden="false" customHeight="true" outlineLevel="0" collapsed="false">
      <c r="A4362" s="10" t="n">
        <f aca="false">Einstellungen!$B$5+INT((ROW()-9)/24)</f>
        <v>46147</v>
      </c>
      <c r="B4362" s="11" t="n">
        <f aca="false">MOD(ROW()-9,24)</f>
        <v>9</v>
      </c>
      <c r="C4362" s="12"/>
      <c r="D4362" s="13" t="n">
        <f aca="false">IF(B4362&lt;5,Einstellungen!$B$3,Einstellungen!$B$4)</f>
        <v>29.13</v>
      </c>
      <c r="E4362" s="14" t="str">
        <f aca="false">IF(C4362="","",C4362*D4362/100)</f>
        <v/>
      </c>
      <c r="F4362" s="15" t="str">
        <f aca="false">IF(B4362&lt;5,"Go","Standard")</f>
        <v>Standard</v>
      </c>
    </row>
    <row r="4363" customFormat="false" ht="15" hidden="false" customHeight="true" outlineLevel="0" collapsed="false">
      <c r="A4363" s="10" t="n">
        <f aca="false">Einstellungen!$B$5+INT((ROW()-9)/24)</f>
        <v>46147</v>
      </c>
      <c r="B4363" s="11" t="n">
        <f aca="false">MOD(ROW()-9,24)</f>
        <v>10</v>
      </c>
      <c r="C4363" s="12"/>
      <c r="D4363" s="13" t="n">
        <f aca="false">IF(B4363&lt;5,Einstellungen!$B$3,Einstellungen!$B$4)</f>
        <v>29.13</v>
      </c>
      <c r="E4363" s="14" t="str">
        <f aca="false">IF(C4363="","",C4363*D4363/100)</f>
        <v/>
      </c>
      <c r="F4363" s="15" t="str">
        <f aca="false">IF(B4363&lt;5,"Go","Standard")</f>
        <v>Standard</v>
      </c>
    </row>
    <row r="4364" customFormat="false" ht="15" hidden="false" customHeight="true" outlineLevel="0" collapsed="false">
      <c r="A4364" s="10" t="n">
        <f aca="false">Einstellungen!$B$5+INT((ROW()-9)/24)</f>
        <v>46147</v>
      </c>
      <c r="B4364" s="11" t="n">
        <f aca="false">MOD(ROW()-9,24)</f>
        <v>11</v>
      </c>
      <c r="C4364" s="12"/>
      <c r="D4364" s="13" t="n">
        <f aca="false">IF(B4364&lt;5,Einstellungen!$B$3,Einstellungen!$B$4)</f>
        <v>29.13</v>
      </c>
      <c r="E4364" s="14" t="str">
        <f aca="false">IF(C4364="","",C4364*D4364/100)</f>
        <v/>
      </c>
      <c r="F4364" s="15" t="str">
        <f aca="false">IF(B4364&lt;5,"Go","Standard")</f>
        <v>Standard</v>
      </c>
    </row>
    <row r="4365" customFormat="false" ht="15" hidden="false" customHeight="true" outlineLevel="0" collapsed="false">
      <c r="A4365" s="10" t="n">
        <f aca="false">Einstellungen!$B$5+INT((ROW()-9)/24)</f>
        <v>46147</v>
      </c>
      <c r="B4365" s="11" t="n">
        <f aca="false">MOD(ROW()-9,24)</f>
        <v>12</v>
      </c>
      <c r="C4365" s="12"/>
      <c r="D4365" s="13" t="n">
        <f aca="false">IF(B4365&lt;5,Einstellungen!$B$3,Einstellungen!$B$4)</f>
        <v>29.13</v>
      </c>
      <c r="E4365" s="14" t="str">
        <f aca="false">IF(C4365="","",C4365*D4365/100)</f>
        <v/>
      </c>
      <c r="F4365" s="15" t="str">
        <f aca="false">IF(B4365&lt;5,"Go","Standard")</f>
        <v>Standard</v>
      </c>
    </row>
    <row r="4366" customFormat="false" ht="15" hidden="false" customHeight="true" outlineLevel="0" collapsed="false">
      <c r="A4366" s="10" t="n">
        <f aca="false">Einstellungen!$B$5+INT((ROW()-9)/24)</f>
        <v>46147</v>
      </c>
      <c r="B4366" s="11" t="n">
        <f aca="false">MOD(ROW()-9,24)</f>
        <v>13</v>
      </c>
      <c r="C4366" s="12"/>
      <c r="D4366" s="13" t="n">
        <f aca="false">IF(B4366&lt;5,Einstellungen!$B$3,Einstellungen!$B$4)</f>
        <v>29.13</v>
      </c>
      <c r="E4366" s="14" t="str">
        <f aca="false">IF(C4366="","",C4366*D4366/100)</f>
        <v/>
      </c>
      <c r="F4366" s="15" t="str">
        <f aca="false">IF(B4366&lt;5,"Go","Standard")</f>
        <v>Standard</v>
      </c>
    </row>
    <row r="4367" customFormat="false" ht="15" hidden="false" customHeight="true" outlineLevel="0" collapsed="false">
      <c r="A4367" s="10" t="n">
        <f aca="false">Einstellungen!$B$5+INT((ROW()-9)/24)</f>
        <v>46147</v>
      </c>
      <c r="B4367" s="11" t="n">
        <f aca="false">MOD(ROW()-9,24)</f>
        <v>14</v>
      </c>
      <c r="C4367" s="12"/>
      <c r="D4367" s="13" t="n">
        <f aca="false">IF(B4367&lt;5,Einstellungen!$B$3,Einstellungen!$B$4)</f>
        <v>29.13</v>
      </c>
      <c r="E4367" s="14" t="str">
        <f aca="false">IF(C4367="","",C4367*D4367/100)</f>
        <v/>
      </c>
      <c r="F4367" s="15" t="str">
        <f aca="false">IF(B4367&lt;5,"Go","Standard")</f>
        <v>Standard</v>
      </c>
    </row>
    <row r="4368" customFormat="false" ht="15" hidden="false" customHeight="true" outlineLevel="0" collapsed="false">
      <c r="A4368" s="10" t="n">
        <f aca="false">Einstellungen!$B$5+INT((ROW()-9)/24)</f>
        <v>46147</v>
      </c>
      <c r="B4368" s="11" t="n">
        <f aca="false">MOD(ROW()-9,24)</f>
        <v>15</v>
      </c>
      <c r="C4368" s="12"/>
      <c r="D4368" s="13" t="n">
        <f aca="false">IF(B4368&lt;5,Einstellungen!$B$3,Einstellungen!$B$4)</f>
        <v>29.13</v>
      </c>
      <c r="E4368" s="14" t="str">
        <f aca="false">IF(C4368="","",C4368*D4368/100)</f>
        <v/>
      </c>
      <c r="F4368" s="15" t="str">
        <f aca="false">IF(B4368&lt;5,"Go","Standard")</f>
        <v>Standard</v>
      </c>
    </row>
    <row r="4369" customFormat="false" ht="15" hidden="false" customHeight="true" outlineLevel="0" collapsed="false">
      <c r="A4369" s="10" t="n">
        <f aca="false">Einstellungen!$B$5+INT((ROW()-9)/24)</f>
        <v>46147</v>
      </c>
      <c r="B4369" s="11" t="n">
        <f aca="false">MOD(ROW()-9,24)</f>
        <v>16</v>
      </c>
      <c r="C4369" s="12"/>
      <c r="D4369" s="13" t="n">
        <f aca="false">IF(B4369&lt;5,Einstellungen!$B$3,Einstellungen!$B$4)</f>
        <v>29.13</v>
      </c>
      <c r="E4369" s="14" t="str">
        <f aca="false">IF(C4369="","",C4369*D4369/100)</f>
        <v/>
      </c>
      <c r="F4369" s="15" t="str">
        <f aca="false">IF(B4369&lt;5,"Go","Standard")</f>
        <v>Standard</v>
      </c>
    </row>
    <row r="4370" customFormat="false" ht="15" hidden="false" customHeight="true" outlineLevel="0" collapsed="false">
      <c r="A4370" s="10" t="n">
        <f aca="false">Einstellungen!$B$5+INT((ROW()-9)/24)</f>
        <v>46147</v>
      </c>
      <c r="B4370" s="11" t="n">
        <f aca="false">MOD(ROW()-9,24)</f>
        <v>17</v>
      </c>
      <c r="C4370" s="12"/>
      <c r="D4370" s="13" t="n">
        <f aca="false">IF(B4370&lt;5,Einstellungen!$B$3,Einstellungen!$B$4)</f>
        <v>29.13</v>
      </c>
      <c r="E4370" s="14" t="str">
        <f aca="false">IF(C4370="","",C4370*D4370/100)</f>
        <v/>
      </c>
      <c r="F4370" s="15" t="str">
        <f aca="false">IF(B4370&lt;5,"Go","Standard")</f>
        <v>Standard</v>
      </c>
    </row>
    <row r="4371" customFormat="false" ht="15" hidden="false" customHeight="true" outlineLevel="0" collapsed="false">
      <c r="A4371" s="10" t="n">
        <f aca="false">Einstellungen!$B$5+INT((ROW()-9)/24)</f>
        <v>46147</v>
      </c>
      <c r="B4371" s="11" t="n">
        <f aca="false">MOD(ROW()-9,24)</f>
        <v>18</v>
      </c>
      <c r="C4371" s="12"/>
      <c r="D4371" s="13" t="n">
        <f aca="false">IF(B4371&lt;5,Einstellungen!$B$3,Einstellungen!$B$4)</f>
        <v>29.13</v>
      </c>
      <c r="E4371" s="14" t="str">
        <f aca="false">IF(C4371="","",C4371*D4371/100)</f>
        <v/>
      </c>
      <c r="F4371" s="15" t="str">
        <f aca="false">IF(B4371&lt;5,"Go","Standard")</f>
        <v>Standard</v>
      </c>
    </row>
    <row r="4372" customFormat="false" ht="15" hidden="false" customHeight="true" outlineLevel="0" collapsed="false">
      <c r="A4372" s="10" t="n">
        <f aca="false">Einstellungen!$B$5+INT((ROW()-9)/24)</f>
        <v>46147</v>
      </c>
      <c r="B4372" s="11" t="n">
        <f aca="false">MOD(ROW()-9,24)</f>
        <v>19</v>
      </c>
      <c r="C4372" s="12"/>
      <c r="D4372" s="13" t="n">
        <f aca="false">IF(B4372&lt;5,Einstellungen!$B$3,Einstellungen!$B$4)</f>
        <v>29.13</v>
      </c>
      <c r="E4372" s="14" t="str">
        <f aca="false">IF(C4372="","",C4372*D4372/100)</f>
        <v/>
      </c>
      <c r="F4372" s="15" t="str">
        <f aca="false">IF(B4372&lt;5,"Go","Standard")</f>
        <v>Standard</v>
      </c>
    </row>
    <row r="4373" customFormat="false" ht="15" hidden="false" customHeight="true" outlineLevel="0" collapsed="false">
      <c r="A4373" s="10" t="n">
        <f aca="false">Einstellungen!$B$5+INT((ROW()-9)/24)</f>
        <v>46147</v>
      </c>
      <c r="B4373" s="11" t="n">
        <f aca="false">MOD(ROW()-9,24)</f>
        <v>20</v>
      </c>
      <c r="C4373" s="12"/>
      <c r="D4373" s="13" t="n">
        <f aca="false">IF(B4373&lt;5,Einstellungen!$B$3,Einstellungen!$B$4)</f>
        <v>29.13</v>
      </c>
      <c r="E4373" s="14" t="str">
        <f aca="false">IF(C4373="","",C4373*D4373/100)</f>
        <v/>
      </c>
      <c r="F4373" s="15" t="str">
        <f aca="false">IF(B4373&lt;5,"Go","Standard")</f>
        <v>Standard</v>
      </c>
    </row>
    <row r="4374" customFormat="false" ht="15" hidden="false" customHeight="true" outlineLevel="0" collapsed="false">
      <c r="A4374" s="10" t="n">
        <f aca="false">Einstellungen!$B$5+INT((ROW()-9)/24)</f>
        <v>46147</v>
      </c>
      <c r="B4374" s="11" t="n">
        <f aca="false">MOD(ROW()-9,24)</f>
        <v>21</v>
      </c>
      <c r="C4374" s="12"/>
      <c r="D4374" s="13" t="n">
        <f aca="false">IF(B4374&lt;5,Einstellungen!$B$3,Einstellungen!$B$4)</f>
        <v>29.13</v>
      </c>
      <c r="E4374" s="14" t="str">
        <f aca="false">IF(C4374="","",C4374*D4374/100)</f>
        <v/>
      </c>
      <c r="F4374" s="15" t="str">
        <f aca="false">IF(B4374&lt;5,"Go","Standard")</f>
        <v>Standard</v>
      </c>
    </row>
    <row r="4375" customFormat="false" ht="15" hidden="false" customHeight="true" outlineLevel="0" collapsed="false">
      <c r="A4375" s="10" t="n">
        <f aca="false">Einstellungen!$B$5+INT((ROW()-9)/24)</f>
        <v>46147</v>
      </c>
      <c r="B4375" s="11" t="n">
        <f aca="false">MOD(ROW()-9,24)</f>
        <v>22</v>
      </c>
      <c r="C4375" s="12"/>
      <c r="D4375" s="13" t="n">
        <f aca="false">IF(B4375&lt;5,Einstellungen!$B$3,Einstellungen!$B$4)</f>
        <v>29.13</v>
      </c>
      <c r="E4375" s="14" t="str">
        <f aca="false">IF(C4375="","",C4375*D4375/100)</f>
        <v/>
      </c>
      <c r="F4375" s="15" t="str">
        <f aca="false">IF(B4375&lt;5,"Go","Standard")</f>
        <v>Standard</v>
      </c>
    </row>
    <row r="4376" customFormat="false" ht="15" hidden="false" customHeight="true" outlineLevel="0" collapsed="false">
      <c r="A4376" s="10" t="n">
        <f aca="false">Einstellungen!$B$5+INT((ROW()-9)/24)</f>
        <v>46147</v>
      </c>
      <c r="B4376" s="11" t="n">
        <f aca="false">MOD(ROW()-9,24)</f>
        <v>23</v>
      </c>
      <c r="C4376" s="12"/>
      <c r="D4376" s="13" t="n">
        <f aca="false">IF(B4376&lt;5,Einstellungen!$B$3,Einstellungen!$B$4)</f>
        <v>29.13</v>
      </c>
      <c r="E4376" s="14" t="str">
        <f aca="false">IF(C4376="","",C4376*D4376/100)</f>
        <v/>
      </c>
      <c r="F4376" s="15" t="str">
        <f aca="false">IF(B4376&lt;5,"Go","Standard")</f>
        <v>Standard</v>
      </c>
    </row>
    <row r="4377" customFormat="false" ht="15" hidden="false" customHeight="true" outlineLevel="0" collapsed="false">
      <c r="A4377" s="10" t="n">
        <f aca="false">Einstellungen!$B$5+INT((ROW()-9)/24)</f>
        <v>46148</v>
      </c>
      <c r="B4377" s="11" t="n">
        <f aca="false">MOD(ROW()-9,24)</f>
        <v>0</v>
      </c>
      <c r="C4377" s="12"/>
      <c r="D4377" s="13" t="n">
        <f aca="false">IF(B4377&lt;5,Einstellungen!$B$3,Einstellungen!$B$4)</f>
        <v>15.92</v>
      </c>
      <c r="E4377" s="14" t="str">
        <f aca="false">IF(C4377="","",C4377*D4377/100)</f>
        <v/>
      </c>
      <c r="F4377" s="15" t="str">
        <f aca="false">IF(B4377&lt;5,"Go","Standard")</f>
        <v>Go</v>
      </c>
    </row>
    <row r="4378" customFormat="false" ht="15" hidden="false" customHeight="true" outlineLevel="0" collapsed="false">
      <c r="A4378" s="10" t="n">
        <f aca="false">Einstellungen!$B$5+INT((ROW()-9)/24)</f>
        <v>46148</v>
      </c>
      <c r="B4378" s="11" t="n">
        <f aca="false">MOD(ROW()-9,24)</f>
        <v>1</v>
      </c>
      <c r="C4378" s="12"/>
      <c r="D4378" s="13" t="n">
        <f aca="false">IF(B4378&lt;5,Einstellungen!$B$3,Einstellungen!$B$4)</f>
        <v>15.92</v>
      </c>
      <c r="E4378" s="14" t="str">
        <f aca="false">IF(C4378="","",C4378*D4378/100)</f>
        <v/>
      </c>
      <c r="F4378" s="15" t="str">
        <f aca="false">IF(B4378&lt;5,"Go","Standard")</f>
        <v>Go</v>
      </c>
    </row>
    <row r="4379" customFormat="false" ht="15" hidden="false" customHeight="true" outlineLevel="0" collapsed="false">
      <c r="A4379" s="10" t="n">
        <f aca="false">Einstellungen!$B$5+INT((ROW()-9)/24)</f>
        <v>46148</v>
      </c>
      <c r="B4379" s="11" t="n">
        <f aca="false">MOD(ROW()-9,24)</f>
        <v>2</v>
      </c>
      <c r="C4379" s="12"/>
      <c r="D4379" s="13" t="n">
        <f aca="false">IF(B4379&lt;5,Einstellungen!$B$3,Einstellungen!$B$4)</f>
        <v>15.92</v>
      </c>
      <c r="E4379" s="14" t="str">
        <f aca="false">IF(C4379="","",C4379*D4379/100)</f>
        <v/>
      </c>
      <c r="F4379" s="15" t="str">
        <f aca="false">IF(B4379&lt;5,"Go","Standard")</f>
        <v>Go</v>
      </c>
    </row>
    <row r="4380" customFormat="false" ht="15" hidden="false" customHeight="true" outlineLevel="0" collapsed="false">
      <c r="A4380" s="10" t="n">
        <f aca="false">Einstellungen!$B$5+INT((ROW()-9)/24)</f>
        <v>46148</v>
      </c>
      <c r="B4380" s="11" t="n">
        <f aca="false">MOD(ROW()-9,24)</f>
        <v>3</v>
      </c>
      <c r="C4380" s="12"/>
      <c r="D4380" s="13" t="n">
        <f aca="false">IF(B4380&lt;5,Einstellungen!$B$3,Einstellungen!$B$4)</f>
        <v>15.92</v>
      </c>
      <c r="E4380" s="14" t="str">
        <f aca="false">IF(C4380="","",C4380*D4380/100)</f>
        <v/>
      </c>
      <c r="F4380" s="15" t="str">
        <f aca="false">IF(B4380&lt;5,"Go","Standard")</f>
        <v>Go</v>
      </c>
    </row>
    <row r="4381" customFormat="false" ht="15" hidden="false" customHeight="true" outlineLevel="0" collapsed="false">
      <c r="A4381" s="10" t="n">
        <f aca="false">Einstellungen!$B$5+INT((ROW()-9)/24)</f>
        <v>46148</v>
      </c>
      <c r="B4381" s="11" t="n">
        <f aca="false">MOD(ROW()-9,24)</f>
        <v>4</v>
      </c>
      <c r="C4381" s="12"/>
      <c r="D4381" s="13" t="n">
        <f aca="false">IF(B4381&lt;5,Einstellungen!$B$3,Einstellungen!$B$4)</f>
        <v>15.92</v>
      </c>
      <c r="E4381" s="14" t="str">
        <f aca="false">IF(C4381="","",C4381*D4381/100)</f>
        <v/>
      </c>
      <c r="F4381" s="15" t="str">
        <f aca="false">IF(B4381&lt;5,"Go","Standard")</f>
        <v>Go</v>
      </c>
    </row>
    <row r="4382" customFormat="false" ht="15" hidden="false" customHeight="true" outlineLevel="0" collapsed="false">
      <c r="A4382" s="10" t="n">
        <f aca="false">Einstellungen!$B$5+INT((ROW()-9)/24)</f>
        <v>46148</v>
      </c>
      <c r="B4382" s="11" t="n">
        <f aca="false">MOD(ROW()-9,24)</f>
        <v>5</v>
      </c>
      <c r="C4382" s="12"/>
      <c r="D4382" s="13" t="n">
        <f aca="false">IF(B4382&lt;5,Einstellungen!$B$3,Einstellungen!$B$4)</f>
        <v>29.13</v>
      </c>
      <c r="E4382" s="14" t="str">
        <f aca="false">IF(C4382="","",C4382*D4382/100)</f>
        <v/>
      </c>
      <c r="F4382" s="15" t="str">
        <f aca="false">IF(B4382&lt;5,"Go","Standard")</f>
        <v>Standard</v>
      </c>
    </row>
    <row r="4383" customFormat="false" ht="15" hidden="false" customHeight="true" outlineLevel="0" collapsed="false">
      <c r="A4383" s="10" t="n">
        <f aca="false">Einstellungen!$B$5+INT((ROW()-9)/24)</f>
        <v>46148</v>
      </c>
      <c r="B4383" s="11" t="n">
        <f aca="false">MOD(ROW()-9,24)</f>
        <v>6</v>
      </c>
      <c r="C4383" s="12"/>
      <c r="D4383" s="13" t="n">
        <f aca="false">IF(B4383&lt;5,Einstellungen!$B$3,Einstellungen!$B$4)</f>
        <v>29.13</v>
      </c>
      <c r="E4383" s="14" t="str">
        <f aca="false">IF(C4383="","",C4383*D4383/100)</f>
        <v/>
      </c>
      <c r="F4383" s="15" t="str">
        <f aca="false">IF(B4383&lt;5,"Go","Standard")</f>
        <v>Standard</v>
      </c>
    </row>
    <row r="4384" customFormat="false" ht="15" hidden="false" customHeight="true" outlineLevel="0" collapsed="false">
      <c r="A4384" s="10" t="n">
        <f aca="false">Einstellungen!$B$5+INT((ROW()-9)/24)</f>
        <v>46148</v>
      </c>
      <c r="B4384" s="11" t="n">
        <f aca="false">MOD(ROW()-9,24)</f>
        <v>7</v>
      </c>
      <c r="C4384" s="12"/>
      <c r="D4384" s="13" t="n">
        <f aca="false">IF(B4384&lt;5,Einstellungen!$B$3,Einstellungen!$B$4)</f>
        <v>29.13</v>
      </c>
      <c r="E4384" s="14" t="str">
        <f aca="false">IF(C4384="","",C4384*D4384/100)</f>
        <v/>
      </c>
      <c r="F4384" s="15" t="str">
        <f aca="false">IF(B4384&lt;5,"Go","Standard")</f>
        <v>Standard</v>
      </c>
    </row>
    <row r="4385" customFormat="false" ht="15" hidden="false" customHeight="true" outlineLevel="0" collapsed="false">
      <c r="A4385" s="10" t="n">
        <f aca="false">Einstellungen!$B$5+INT((ROW()-9)/24)</f>
        <v>46148</v>
      </c>
      <c r="B4385" s="11" t="n">
        <f aca="false">MOD(ROW()-9,24)</f>
        <v>8</v>
      </c>
      <c r="C4385" s="12"/>
      <c r="D4385" s="13" t="n">
        <f aca="false">IF(B4385&lt;5,Einstellungen!$B$3,Einstellungen!$B$4)</f>
        <v>29.13</v>
      </c>
      <c r="E4385" s="14" t="str">
        <f aca="false">IF(C4385="","",C4385*D4385/100)</f>
        <v/>
      </c>
      <c r="F4385" s="15" t="str">
        <f aca="false">IF(B4385&lt;5,"Go","Standard")</f>
        <v>Standard</v>
      </c>
    </row>
    <row r="4386" customFormat="false" ht="15" hidden="false" customHeight="true" outlineLevel="0" collapsed="false">
      <c r="A4386" s="10" t="n">
        <f aca="false">Einstellungen!$B$5+INT((ROW()-9)/24)</f>
        <v>46148</v>
      </c>
      <c r="B4386" s="11" t="n">
        <f aca="false">MOD(ROW()-9,24)</f>
        <v>9</v>
      </c>
      <c r="C4386" s="12"/>
      <c r="D4386" s="13" t="n">
        <f aca="false">IF(B4386&lt;5,Einstellungen!$B$3,Einstellungen!$B$4)</f>
        <v>29.13</v>
      </c>
      <c r="E4386" s="14" t="str">
        <f aca="false">IF(C4386="","",C4386*D4386/100)</f>
        <v/>
      </c>
      <c r="F4386" s="15" t="str">
        <f aca="false">IF(B4386&lt;5,"Go","Standard")</f>
        <v>Standard</v>
      </c>
    </row>
    <row r="4387" customFormat="false" ht="15" hidden="false" customHeight="true" outlineLevel="0" collapsed="false">
      <c r="A4387" s="10" t="n">
        <f aca="false">Einstellungen!$B$5+INT((ROW()-9)/24)</f>
        <v>46148</v>
      </c>
      <c r="B4387" s="11" t="n">
        <f aca="false">MOD(ROW()-9,24)</f>
        <v>10</v>
      </c>
      <c r="C4387" s="12"/>
      <c r="D4387" s="13" t="n">
        <f aca="false">IF(B4387&lt;5,Einstellungen!$B$3,Einstellungen!$B$4)</f>
        <v>29.13</v>
      </c>
      <c r="E4387" s="14" t="str">
        <f aca="false">IF(C4387="","",C4387*D4387/100)</f>
        <v/>
      </c>
      <c r="F4387" s="15" t="str">
        <f aca="false">IF(B4387&lt;5,"Go","Standard")</f>
        <v>Standard</v>
      </c>
    </row>
    <row r="4388" customFormat="false" ht="15" hidden="false" customHeight="true" outlineLevel="0" collapsed="false">
      <c r="A4388" s="10" t="n">
        <f aca="false">Einstellungen!$B$5+INT((ROW()-9)/24)</f>
        <v>46148</v>
      </c>
      <c r="B4388" s="11" t="n">
        <f aca="false">MOD(ROW()-9,24)</f>
        <v>11</v>
      </c>
      <c r="C4388" s="12"/>
      <c r="D4388" s="13" t="n">
        <f aca="false">IF(B4388&lt;5,Einstellungen!$B$3,Einstellungen!$B$4)</f>
        <v>29.13</v>
      </c>
      <c r="E4388" s="14" t="str">
        <f aca="false">IF(C4388="","",C4388*D4388/100)</f>
        <v/>
      </c>
      <c r="F4388" s="15" t="str">
        <f aca="false">IF(B4388&lt;5,"Go","Standard")</f>
        <v>Standard</v>
      </c>
    </row>
    <row r="4389" customFormat="false" ht="15" hidden="false" customHeight="true" outlineLevel="0" collapsed="false">
      <c r="A4389" s="10" t="n">
        <f aca="false">Einstellungen!$B$5+INT((ROW()-9)/24)</f>
        <v>46148</v>
      </c>
      <c r="B4389" s="11" t="n">
        <f aca="false">MOD(ROW()-9,24)</f>
        <v>12</v>
      </c>
      <c r="C4389" s="12"/>
      <c r="D4389" s="13" t="n">
        <f aca="false">IF(B4389&lt;5,Einstellungen!$B$3,Einstellungen!$B$4)</f>
        <v>29.13</v>
      </c>
      <c r="E4389" s="14" t="str">
        <f aca="false">IF(C4389="","",C4389*D4389/100)</f>
        <v/>
      </c>
      <c r="F4389" s="15" t="str">
        <f aca="false">IF(B4389&lt;5,"Go","Standard")</f>
        <v>Standard</v>
      </c>
    </row>
    <row r="4390" customFormat="false" ht="15" hidden="false" customHeight="true" outlineLevel="0" collapsed="false">
      <c r="A4390" s="10" t="n">
        <f aca="false">Einstellungen!$B$5+INT((ROW()-9)/24)</f>
        <v>46148</v>
      </c>
      <c r="B4390" s="11" t="n">
        <f aca="false">MOD(ROW()-9,24)</f>
        <v>13</v>
      </c>
      <c r="C4390" s="12"/>
      <c r="D4390" s="13" t="n">
        <f aca="false">IF(B4390&lt;5,Einstellungen!$B$3,Einstellungen!$B$4)</f>
        <v>29.13</v>
      </c>
      <c r="E4390" s="14" t="str">
        <f aca="false">IF(C4390="","",C4390*D4390/100)</f>
        <v/>
      </c>
      <c r="F4390" s="15" t="str">
        <f aca="false">IF(B4390&lt;5,"Go","Standard")</f>
        <v>Standard</v>
      </c>
    </row>
    <row r="4391" customFormat="false" ht="15" hidden="false" customHeight="true" outlineLevel="0" collapsed="false">
      <c r="A4391" s="10" t="n">
        <f aca="false">Einstellungen!$B$5+INT((ROW()-9)/24)</f>
        <v>46148</v>
      </c>
      <c r="B4391" s="11" t="n">
        <f aca="false">MOD(ROW()-9,24)</f>
        <v>14</v>
      </c>
      <c r="C4391" s="12"/>
      <c r="D4391" s="13" t="n">
        <f aca="false">IF(B4391&lt;5,Einstellungen!$B$3,Einstellungen!$B$4)</f>
        <v>29.13</v>
      </c>
      <c r="E4391" s="14" t="str">
        <f aca="false">IF(C4391="","",C4391*D4391/100)</f>
        <v/>
      </c>
      <c r="F4391" s="15" t="str">
        <f aca="false">IF(B4391&lt;5,"Go","Standard")</f>
        <v>Standard</v>
      </c>
    </row>
    <row r="4392" customFormat="false" ht="15" hidden="false" customHeight="true" outlineLevel="0" collapsed="false">
      <c r="A4392" s="10" t="n">
        <f aca="false">Einstellungen!$B$5+INT((ROW()-9)/24)</f>
        <v>46148</v>
      </c>
      <c r="B4392" s="11" t="n">
        <f aca="false">MOD(ROW()-9,24)</f>
        <v>15</v>
      </c>
      <c r="C4392" s="12"/>
      <c r="D4392" s="13" t="n">
        <f aca="false">IF(B4392&lt;5,Einstellungen!$B$3,Einstellungen!$B$4)</f>
        <v>29.13</v>
      </c>
      <c r="E4392" s="14" t="str">
        <f aca="false">IF(C4392="","",C4392*D4392/100)</f>
        <v/>
      </c>
      <c r="F4392" s="15" t="str">
        <f aca="false">IF(B4392&lt;5,"Go","Standard")</f>
        <v>Standard</v>
      </c>
    </row>
    <row r="4393" customFormat="false" ht="15" hidden="false" customHeight="true" outlineLevel="0" collapsed="false">
      <c r="A4393" s="10" t="n">
        <f aca="false">Einstellungen!$B$5+INT((ROW()-9)/24)</f>
        <v>46148</v>
      </c>
      <c r="B4393" s="11" t="n">
        <f aca="false">MOD(ROW()-9,24)</f>
        <v>16</v>
      </c>
      <c r="C4393" s="12"/>
      <c r="D4393" s="13" t="n">
        <f aca="false">IF(B4393&lt;5,Einstellungen!$B$3,Einstellungen!$B$4)</f>
        <v>29.13</v>
      </c>
      <c r="E4393" s="14" t="str">
        <f aca="false">IF(C4393="","",C4393*D4393/100)</f>
        <v/>
      </c>
      <c r="F4393" s="15" t="str">
        <f aca="false">IF(B4393&lt;5,"Go","Standard")</f>
        <v>Standard</v>
      </c>
    </row>
    <row r="4394" customFormat="false" ht="15" hidden="false" customHeight="true" outlineLevel="0" collapsed="false">
      <c r="A4394" s="10" t="n">
        <f aca="false">Einstellungen!$B$5+INT((ROW()-9)/24)</f>
        <v>46148</v>
      </c>
      <c r="B4394" s="11" t="n">
        <f aca="false">MOD(ROW()-9,24)</f>
        <v>17</v>
      </c>
      <c r="C4394" s="12"/>
      <c r="D4394" s="13" t="n">
        <f aca="false">IF(B4394&lt;5,Einstellungen!$B$3,Einstellungen!$B$4)</f>
        <v>29.13</v>
      </c>
      <c r="E4394" s="14" t="str">
        <f aca="false">IF(C4394="","",C4394*D4394/100)</f>
        <v/>
      </c>
      <c r="F4394" s="15" t="str">
        <f aca="false">IF(B4394&lt;5,"Go","Standard")</f>
        <v>Standard</v>
      </c>
    </row>
    <row r="4395" customFormat="false" ht="15" hidden="false" customHeight="true" outlineLevel="0" collapsed="false">
      <c r="A4395" s="10" t="n">
        <f aca="false">Einstellungen!$B$5+INT((ROW()-9)/24)</f>
        <v>46148</v>
      </c>
      <c r="B4395" s="11" t="n">
        <f aca="false">MOD(ROW()-9,24)</f>
        <v>18</v>
      </c>
      <c r="C4395" s="12"/>
      <c r="D4395" s="13" t="n">
        <f aca="false">IF(B4395&lt;5,Einstellungen!$B$3,Einstellungen!$B$4)</f>
        <v>29.13</v>
      </c>
      <c r="E4395" s="14" t="str">
        <f aca="false">IF(C4395="","",C4395*D4395/100)</f>
        <v/>
      </c>
      <c r="F4395" s="15" t="str">
        <f aca="false">IF(B4395&lt;5,"Go","Standard")</f>
        <v>Standard</v>
      </c>
    </row>
    <row r="4396" customFormat="false" ht="15" hidden="false" customHeight="true" outlineLevel="0" collapsed="false">
      <c r="A4396" s="10" t="n">
        <f aca="false">Einstellungen!$B$5+INT((ROW()-9)/24)</f>
        <v>46148</v>
      </c>
      <c r="B4396" s="11" t="n">
        <f aca="false">MOD(ROW()-9,24)</f>
        <v>19</v>
      </c>
      <c r="C4396" s="12"/>
      <c r="D4396" s="13" t="n">
        <f aca="false">IF(B4396&lt;5,Einstellungen!$B$3,Einstellungen!$B$4)</f>
        <v>29.13</v>
      </c>
      <c r="E4396" s="14" t="str">
        <f aca="false">IF(C4396="","",C4396*D4396/100)</f>
        <v/>
      </c>
      <c r="F4396" s="15" t="str">
        <f aca="false">IF(B4396&lt;5,"Go","Standard")</f>
        <v>Standard</v>
      </c>
    </row>
    <row r="4397" customFormat="false" ht="15" hidden="false" customHeight="true" outlineLevel="0" collapsed="false">
      <c r="A4397" s="10" t="n">
        <f aca="false">Einstellungen!$B$5+INT((ROW()-9)/24)</f>
        <v>46148</v>
      </c>
      <c r="B4397" s="11" t="n">
        <f aca="false">MOD(ROW()-9,24)</f>
        <v>20</v>
      </c>
      <c r="C4397" s="12"/>
      <c r="D4397" s="13" t="n">
        <f aca="false">IF(B4397&lt;5,Einstellungen!$B$3,Einstellungen!$B$4)</f>
        <v>29.13</v>
      </c>
      <c r="E4397" s="14" t="str">
        <f aca="false">IF(C4397="","",C4397*D4397/100)</f>
        <v/>
      </c>
      <c r="F4397" s="15" t="str">
        <f aca="false">IF(B4397&lt;5,"Go","Standard")</f>
        <v>Standard</v>
      </c>
    </row>
    <row r="4398" customFormat="false" ht="15" hidden="false" customHeight="true" outlineLevel="0" collapsed="false">
      <c r="A4398" s="10" t="n">
        <f aca="false">Einstellungen!$B$5+INT((ROW()-9)/24)</f>
        <v>46148</v>
      </c>
      <c r="B4398" s="11" t="n">
        <f aca="false">MOD(ROW()-9,24)</f>
        <v>21</v>
      </c>
      <c r="C4398" s="12"/>
      <c r="D4398" s="13" t="n">
        <f aca="false">IF(B4398&lt;5,Einstellungen!$B$3,Einstellungen!$B$4)</f>
        <v>29.13</v>
      </c>
      <c r="E4398" s="14" t="str">
        <f aca="false">IF(C4398="","",C4398*D4398/100)</f>
        <v/>
      </c>
      <c r="F4398" s="15" t="str">
        <f aca="false">IF(B4398&lt;5,"Go","Standard")</f>
        <v>Standard</v>
      </c>
    </row>
    <row r="4399" customFormat="false" ht="15" hidden="false" customHeight="true" outlineLevel="0" collapsed="false">
      <c r="A4399" s="10" t="n">
        <f aca="false">Einstellungen!$B$5+INT((ROW()-9)/24)</f>
        <v>46148</v>
      </c>
      <c r="B4399" s="11" t="n">
        <f aca="false">MOD(ROW()-9,24)</f>
        <v>22</v>
      </c>
      <c r="C4399" s="12"/>
      <c r="D4399" s="13" t="n">
        <f aca="false">IF(B4399&lt;5,Einstellungen!$B$3,Einstellungen!$B$4)</f>
        <v>29.13</v>
      </c>
      <c r="E4399" s="14" t="str">
        <f aca="false">IF(C4399="","",C4399*D4399/100)</f>
        <v/>
      </c>
      <c r="F4399" s="15" t="str">
        <f aca="false">IF(B4399&lt;5,"Go","Standard")</f>
        <v>Standard</v>
      </c>
    </row>
    <row r="4400" customFormat="false" ht="15" hidden="false" customHeight="true" outlineLevel="0" collapsed="false">
      <c r="A4400" s="10" t="n">
        <f aca="false">Einstellungen!$B$5+INT((ROW()-9)/24)</f>
        <v>46148</v>
      </c>
      <c r="B4400" s="11" t="n">
        <f aca="false">MOD(ROW()-9,24)</f>
        <v>23</v>
      </c>
      <c r="C4400" s="12"/>
      <c r="D4400" s="13" t="n">
        <f aca="false">IF(B4400&lt;5,Einstellungen!$B$3,Einstellungen!$B$4)</f>
        <v>29.13</v>
      </c>
      <c r="E4400" s="14" t="str">
        <f aca="false">IF(C4400="","",C4400*D4400/100)</f>
        <v/>
      </c>
      <c r="F4400" s="15" t="str">
        <f aca="false">IF(B4400&lt;5,"Go","Standard")</f>
        <v>Standard</v>
      </c>
    </row>
    <row r="4401" customFormat="false" ht="15" hidden="false" customHeight="true" outlineLevel="0" collapsed="false">
      <c r="A4401" s="10" t="n">
        <f aca="false">Einstellungen!$B$5+INT((ROW()-9)/24)</f>
        <v>46149</v>
      </c>
      <c r="B4401" s="11" t="n">
        <f aca="false">MOD(ROW()-9,24)</f>
        <v>0</v>
      </c>
      <c r="C4401" s="12"/>
      <c r="D4401" s="13" t="n">
        <f aca="false">IF(B4401&lt;5,Einstellungen!$B$3,Einstellungen!$B$4)</f>
        <v>15.92</v>
      </c>
      <c r="E4401" s="14" t="str">
        <f aca="false">IF(C4401="","",C4401*D4401/100)</f>
        <v/>
      </c>
      <c r="F4401" s="15" t="str">
        <f aca="false">IF(B4401&lt;5,"Go","Standard")</f>
        <v>Go</v>
      </c>
    </row>
    <row r="4402" customFormat="false" ht="15" hidden="false" customHeight="true" outlineLevel="0" collapsed="false">
      <c r="A4402" s="10" t="n">
        <f aca="false">Einstellungen!$B$5+INT((ROW()-9)/24)</f>
        <v>46149</v>
      </c>
      <c r="B4402" s="11" t="n">
        <f aca="false">MOD(ROW()-9,24)</f>
        <v>1</v>
      </c>
      <c r="C4402" s="12"/>
      <c r="D4402" s="13" t="n">
        <f aca="false">IF(B4402&lt;5,Einstellungen!$B$3,Einstellungen!$B$4)</f>
        <v>15.92</v>
      </c>
      <c r="E4402" s="14" t="str">
        <f aca="false">IF(C4402="","",C4402*D4402/100)</f>
        <v/>
      </c>
      <c r="F4402" s="15" t="str">
        <f aca="false">IF(B4402&lt;5,"Go","Standard")</f>
        <v>Go</v>
      </c>
    </row>
    <row r="4403" customFormat="false" ht="15" hidden="false" customHeight="true" outlineLevel="0" collapsed="false">
      <c r="A4403" s="10" t="n">
        <f aca="false">Einstellungen!$B$5+INT((ROW()-9)/24)</f>
        <v>46149</v>
      </c>
      <c r="B4403" s="11" t="n">
        <f aca="false">MOD(ROW()-9,24)</f>
        <v>2</v>
      </c>
      <c r="C4403" s="12"/>
      <c r="D4403" s="13" t="n">
        <f aca="false">IF(B4403&lt;5,Einstellungen!$B$3,Einstellungen!$B$4)</f>
        <v>15.92</v>
      </c>
      <c r="E4403" s="14" t="str">
        <f aca="false">IF(C4403="","",C4403*D4403/100)</f>
        <v/>
      </c>
      <c r="F4403" s="15" t="str">
        <f aca="false">IF(B4403&lt;5,"Go","Standard")</f>
        <v>Go</v>
      </c>
    </row>
    <row r="4404" customFormat="false" ht="15" hidden="false" customHeight="true" outlineLevel="0" collapsed="false">
      <c r="A4404" s="10" t="n">
        <f aca="false">Einstellungen!$B$5+INT((ROW()-9)/24)</f>
        <v>46149</v>
      </c>
      <c r="B4404" s="11" t="n">
        <f aca="false">MOD(ROW()-9,24)</f>
        <v>3</v>
      </c>
      <c r="C4404" s="12"/>
      <c r="D4404" s="13" t="n">
        <f aca="false">IF(B4404&lt;5,Einstellungen!$B$3,Einstellungen!$B$4)</f>
        <v>15.92</v>
      </c>
      <c r="E4404" s="14" t="str">
        <f aca="false">IF(C4404="","",C4404*D4404/100)</f>
        <v/>
      </c>
      <c r="F4404" s="15" t="str">
        <f aca="false">IF(B4404&lt;5,"Go","Standard")</f>
        <v>Go</v>
      </c>
    </row>
    <row r="4405" customFormat="false" ht="15" hidden="false" customHeight="true" outlineLevel="0" collapsed="false">
      <c r="A4405" s="10" t="n">
        <f aca="false">Einstellungen!$B$5+INT((ROW()-9)/24)</f>
        <v>46149</v>
      </c>
      <c r="B4405" s="11" t="n">
        <f aca="false">MOD(ROW()-9,24)</f>
        <v>4</v>
      </c>
      <c r="C4405" s="12"/>
      <c r="D4405" s="13" t="n">
        <f aca="false">IF(B4405&lt;5,Einstellungen!$B$3,Einstellungen!$B$4)</f>
        <v>15.92</v>
      </c>
      <c r="E4405" s="14" t="str">
        <f aca="false">IF(C4405="","",C4405*D4405/100)</f>
        <v/>
      </c>
      <c r="F4405" s="15" t="str">
        <f aca="false">IF(B4405&lt;5,"Go","Standard")</f>
        <v>Go</v>
      </c>
    </row>
    <row r="4406" customFormat="false" ht="15" hidden="false" customHeight="true" outlineLevel="0" collapsed="false">
      <c r="A4406" s="10" t="n">
        <f aca="false">Einstellungen!$B$5+INT((ROW()-9)/24)</f>
        <v>46149</v>
      </c>
      <c r="B4406" s="11" t="n">
        <f aca="false">MOD(ROW()-9,24)</f>
        <v>5</v>
      </c>
      <c r="C4406" s="12"/>
      <c r="D4406" s="13" t="n">
        <f aca="false">IF(B4406&lt;5,Einstellungen!$B$3,Einstellungen!$B$4)</f>
        <v>29.13</v>
      </c>
      <c r="E4406" s="14" t="str">
        <f aca="false">IF(C4406="","",C4406*D4406/100)</f>
        <v/>
      </c>
      <c r="F4406" s="15" t="str">
        <f aca="false">IF(B4406&lt;5,"Go","Standard")</f>
        <v>Standard</v>
      </c>
    </row>
    <row r="4407" customFormat="false" ht="15" hidden="false" customHeight="true" outlineLevel="0" collapsed="false">
      <c r="A4407" s="10" t="n">
        <f aca="false">Einstellungen!$B$5+INT((ROW()-9)/24)</f>
        <v>46149</v>
      </c>
      <c r="B4407" s="11" t="n">
        <f aca="false">MOD(ROW()-9,24)</f>
        <v>6</v>
      </c>
      <c r="C4407" s="12"/>
      <c r="D4407" s="13" t="n">
        <f aca="false">IF(B4407&lt;5,Einstellungen!$B$3,Einstellungen!$B$4)</f>
        <v>29.13</v>
      </c>
      <c r="E4407" s="14" t="str">
        <f aca="false">IF(C4407="","",C4407*D4407/100)</f>
        <v/>
      </c>
      <c r="F4407" s="15" t="str">
        <f aca="false">IF(B4407&lt;5,"Go","Standard")</f>
        <v>Standard</v>
      </c>
    </row>
    <row r="4408" customFormat="false" ht="15" hidden="false" customHeight="true" outlineLevel="0" collapsed="false">
      <c r="A4408" s="10" t="n">
        <f aca="false">Einstellungen!$B$5+INT((ROW()-9)/24)</f>
        <v>46149</v>
      </c>
      <c r="B4408" s="11" t="n">
        <f aca="false">MOD(ROW()-9,24)</f>
        <v>7</v>
      </c>
      <c r="C4408" s="12"/>
      <c r="D4408" s="13" t="n">
        <f aca="false">IF(B4408&lt;5,Einstellungen!$B$3,Einstellungen!$B$4)</f>
        <v>29.13</v>
      </c>
      <c r="E4408" s="14" t="str">
        <f aca="false">IF(C4408="","",C4408*D4408/100)</f>
        <v/>
      </c>
      <c r="F4408" s="15" t="str">
        <f aca="false">IF(B4408&lt;5,"Go","Standard")</f>
        <v>Standard</v>
      </c>
    </row>
    <row r="4409" customFormat="false" ht="15" hidden="false" customHeight="true" outlineLevel="0" collapsed="false">
      <c r="A4409" s="10" t="n">
        <f aca="false">Einstellungen!$B$5+INT((ROW()-9)/24)</f>
        <v>46149</v>
      </c>
      <c r="B4409" s="11" t="n">
        <f aca="false">MOD(ROW()-9,24)</f>
        <v>8</v>
      </c>
      <c r="C4409" s="12"/>
      <c r="D4409" s="13" t="n">
        <f aca="false">IF(B4409&lt;5,Einstellungen!$B$3,Einstellungen!$B$4)</f>
        <v>29.13</v>
      </c>
      <c r="E4409" s="14" t="str">
        <f aca="false">IF(C4409="","",C4409*D4409/100)</f>
        <v/>
      </c>
      <c r="F4409" s="15" t="str">
        <f aca="false">IF(B4409&lt;5,"Go","Standard")</f>
        <v>Standard</v>
      </c>
    </row>
    <row r="4410" customFormat="false" ht="15" hidden="false" customHeight="true" outlineLevel="0" collapsed="false">
      <c r="A4410" s="10" t="n">
        <f aca="false">Einstellungen!$B$5+INT((ROW()-9)/24)</f>
        <v>46149</v>
      </c>
      <c r="B4410" s="11" t="n">
        <f aca="false">MOD(ROW()-9,24)</f>
        <v>9</v>
      </c>
      <c r="C4410" s="12"/>
      <c r="D4410" s="13" t="n">
        <f aca="false">IF(B4410&lt;5,Einstellungen!$B$3,Einstellungen!$B$4)</f>
        <v>29.13</v>
      </c>
      <c r="E4410" s="14" t="str">
        <f aca="false">IF(C4410="","",C4410*D4410/100)</f>
        <v/>
      </c>
      <c r="F4410" s="15" t="str">
        <f aca="false">IF(B4410&lt;5,"Go","Standard")</f>
        <v>Standard</v>
      </c>
    </row>
    <row r="4411" customFormat="false" ht="15" hidden="false" customHeight="true" outlineLevel="0" collapsed="false">
      <c r="A4411" s="10" t="n">
        <f aca="false">Einstellungen!$B$5+INT((ROW()-9)/24)</f>
        <v>46149</v>
      </c>
      <c r="B4411" s="11" t="n">
        <f aca="false">MOD(ROW()-9,24)</f>
        <v>10</v>
      </c>
      <c r="C4411" s="12"/>
      <c r="D4411" s="13" t="n">
        <f aca="false">IF(B4411&lt;5,Einstellungen!$B$3,Einstellungen!$B$4)</f>
        <v>29.13</v>
      </c>
      <c r="E4411" s="14" t="str">
        <f aca="false">IF(C4411="","",C4411*D4411/100)</f>
        <v/>
      </c>
      <c r="F4411" s="15" t="str">
        <f aca="false">IF(B4411&lt;5,"Go","Standard")</f>
        <v>Standard</v>
      </c>
    </row>
    <row r="4412" customFormat="false" ht="15" hidden="false" customHeight="true" outlineLevel="0" collapsed="false">
      <c r="A4412" s="10" t="n">
        <f aca="false">Einstellungen!$B$5+INT((ROW()-9)/24)</f>
        <v>46149</v>
      </c>
      <c r="B4412" s="11" t="n">
        <f aca="false">MOD(ROW()-9,24)</f>
        <v>11</v>
      </c>
      <c r="C4412" s="12"/>
      <c r="D4412" s="13" t="n">
        <f aca="false">IF(B4412&lt;5,Einstellungen!$B$3,Einstellungen!$B$4)</f>
        <v>29.13</v>
      </c>
      <c r="E4412" s="14" t="str">
        <f aca="false">IF(C4412="","",C4412*D4412/100)</f>
        <v/>
      </c>
      <c r="F4412" s="15" t="str">
        <f aca="false">IF(B4412&lt;5,"Go","Standard")</f>
        <v>Standard</v>
      </c>
    </row>
    <row r="4413" customFormat="false" ht="15" hidden="false" customHeight="true" outlineLevel="0" collapsed="false">
      <c r="A4413" s="10" t="n">
        <f aca="false">Einstellungen!$B$5+INT((ROW()-9)/24)</f>
        <v>46149</v>
      </c>
      <c r="B4413" s="11" t="n">
        <f aca="false">MOD(ROW()-9,24)</f>
        <v>12</v>
      </c>
      <c r="C4413" s="12"/>
      <c r="D4413" s="13" t="n">
        <f aca="false">IF(B4413&lt;5,Einstellungen!$B$3,Einstellungen!$B$4)</f>
        <v>29.13</v>
      </c>
      <c r="E4413" s="14" t="str">
        <f aca="false">IF(C4413="","",C4413*D4413/100)</f>
        <v/>
      </c>
      <c r="F4413" s="15" t="str">
        <f aca="false">IF(B4413&lt;5,"Go","Standard")</f>
        <v>Standard</v>
      </c>
    </row>
    <row r="4414" customFormat="false" ht="15" hidden="false" customHeight="true" outlineLevel="0" collapsed="false">
      <c r="A4414" s="10" t="n">
        <f aca="false">Einstellungen!$B$5+INT((ROW()-9)/24)</f>
        <v>46149</v>
      </c>
      <c r="B4414" s="11" t="n">
        <f aca="false">MOD(ROW()-9,24)</f>
        <v>13</v>
      </c>
      <c r="C4414" s="12"/>
      <c r="D4414" s="13" t="n">
        <f aca="false">IF(B4414&lt;5,Einstellungen!$B$3,Einstellungen!$B$4)</f>
        <v>29.13</v>
      </c>
      <c r="E4414" s="14" t="str">
        <f aca="false">IF(C4414="","",C4414*D4414/100)</f>
        <v/>
      </c>
      <c r="F4414" s="15" t="str">
        <f aca="false">IF(B4414&lt;5,"Go","Standard")</f>
        <v>Standard</v>
      </c>
    </row>
    <row r="4415" customFormat="false" ht="15" hidden="false" customHeight="true" outlineLevel="0" collapsed="false">
      <c r="A4415" s="10" t="n">
        <f aca="false">Einstellungen!$B$5+INT((ROW()-9)/24)</f>
        <v>46149</v>
      </c>
      <c r="B4415" s="11" t="n">
        <f aca="false">MOD(ROW()-9,24)</f>
        <v>14</v>
      </c>
      <c r="C4415" s="12"/>
      <c r="D4415" s="13" t="n">
        <f aca="false">IF(B4415&lt;5,Einstellungen!$B$3,Einstellungen!$B$4)</f>
        <v>29.13</v>
      </c>
      <c r="E4415" s="14" t="str">
        <f aca="false">IF(C4415="","",C4415*D4415/100)</f>
        <v/>
      </c>
      <c r="F4415" s="15" t="str">
        <f aca="false">IF(B4415&lt;5,"Go","Standard")</f>
        <v>Standard</v>
      </c>
    </row>
    <row r="4416" customFormat="false" ht="15" hidden="false" customHeight="true" outlineLevel="0" collapsed="false">
      <c r="A4416" s="10" t="n">
        <f aca="false">Einstellungen!$B$5+INT((ROW()-9)/24)</f>
        <v>46149</v>
      </c>
      <c r="B4416" s="11" t="n">
        <f aca="false">MOD(ROW()-9,24)</f>
        <v>15</v>
      </c>
      <c r="C4416" s="12"/>
      <c r="D4416" s="13" t="n">
        <f aca="false">IF(B4416&lt;5,Einstellungen!$B$3,Einstellungen!$B$4)</f>
        <v>29.13</v>
      </c>
      <c r="E4416" s="14" t="str">
        <f aca="false">IF(C4416="","",C4416*D4416/100)</f>
        <v/>
      </c>
      <c r="F4416" s="15" t="str">
        <f aca="false">IF(B4416&lt;5,"Go","Standard")</f>
        <v>Standard</v>
      </c>
    </row>
    <row r="4417" customFormat="false" ht="15" hidden="false" customHeight="true" outlineLevel="0" collapsed="false">
      <c r="A4417" s="10" t="n">
        <f aca="false">Einstellungen!$B$5+INT((ROW()-9)/24)</f>
        <v>46149</v>
      </c>
      <c r="B4417" s="11" t="n">
        <f aca="false">MOD(ROW()-9,24)</f>
        <v>16</v>
      </c>
      <c r="C4417" s="12"/>
      <c r="D4417" s="13" t="n">
        <f aca="false">IF(B4417&lt;5,Einstellungen!$B$3,Einstellungen!$B$4)</f>
        <v>29.13</v>
      </c>
      <c r="E4417" s="14" t="str">
        <f aca="false">IF(C4417="","",C4417*D4417/100)</f>
        <v/>
      </c>
      <c r="F4417" s="15" t="str">
        <f aca="false">IF(B4417&lt;5,"Go","Standard")</f>
        <v>Standard</v>
      </c>
    </row>
    <row r="4418" customFormat="false" ht="15" hidden="false" customHeight="true" outlineLevel="0" collapsed="false">
      <c r="A4418" s="10" t="n">
        <f aca="false">Einstellungen!$B$5+INT((ROW()-9)/24)</f>
        <v>46149</v>
      </c>
      <c r="B4418" s="11" t="n">
        <f aca="false">MOD(ROW()-9,24)</f>
        <v>17</v>
      </c>
      <c r="C4418" s="12"/>
      <c r="D4418" s="13" t="n">
        <f aca="false">IF(B4418&lt;5,Einstellungen!$B$3,Einstellungen!$B$4)</f>
        <v>29.13</v>
      </c>
      <c r="E4418" s="14" t="str">
        <f aca="false">IF(C4418="","",C4418*D4418/100)</f>
        <v/>
      </c>
      <c r="F4418" s="15" t="str">
        <f aca="false">IF(B4418&lt;5,"Go","Standard")</f>
        <v>Standard</v>
      </c>
    </row>
    <row r="4419" customFormat="false" ht="15" hidden="false" customHeight="true" outlineLevel="0" collapsed="false">
      <c r="A4419" s="10" t="n">
        <f aca="false">Einstellungen!$B$5+INT((ROW()-9)/24)</f>
        <v>46149</v>
      </c>
      <c r="B4419" s="11" t="n">
        <f aca="false">MOD(ROW()-9,24)</f>
        <v>18</v>
      </c>
      <c r="C4419" s="12"/>
      <c r="D4419" s="13" t="n">
        <f aca="false">IF(B4419&lt;5,Einstellungen!$B$3,Einstellungen!$B$4)</f>
        <v>29.13</v>
      </c>
      <c r="E4419" s="14" t="str">
        <f aca="false">IF(C4419="","",C4419*D4419/100)</f>
        <v/>
      </c>
      <c r="F4419" s="15" t="str">
        <f aca="false">IF(B4419&lt;5,"Go","Standard")</f>
        <v>Standard</v>
      </c>
    </row>
    <row r="4420" customFormat="false" ht="15" hidden="false" customHeight="true" outlineLevel="0" collapsed="false">
      <c r="A4420" s="10" t="n">
        <f aca="false">Einstellungen!$B$5+INT((ROW()-9)/24)</f>
        <v>46149</v>
      </c>
      <c r="B4420" s="11" t="n">
        <f aca="false">MOD(ROW()-9,24)</f>
        <v>19</v>
      </c>
      <c r="C4420" s="12"/>
      <c r="D4420" s="13" t="n">
        <f aca="false">IF(B4420&lt;5,Einstellungen!$B$3,Einstellungen!$B$4)</f>
        <v>29.13</v>
      </c>
      <c r="E4420" s="14" t="str">
        <f aca="false">IF(C4420="","",C4420*D4420/100)</f>
        <v/>
      </c>
      <c r="F4420" s="15" t="str">
        <f aca="false">IF(B4420&lt;5,"Go","Standard")</f>
        <v>Standard</v>
      </c>
    </row>
    <row r="4421" customFormat="false" ht="15" hidden="false" customHeight="true" outlineLevel="0" collapsed="false">
      <c r="A4421" s="10" t="n">
        <f aca="false">Einstellungen!$B$5+INT((ROW()-9)/24)</f>
        <v>46149</v>
      </c>
      <c r="B4421" s="11" t="n">
        <f aca="false">MOD(ROW()-9,24)</f>
        <v>20</v>
      </c>
      <c r="C4421" s="12"/>
      <c r="D4421" s="13" t="n">
        <f aca="false">IF(B4421&lt;5,Einstellungen!$B$3,Einstellungen!$B$4)</f>
        <v>29.13</v>
      </c>
      <c r="E4421" s="14" t="str">
        <f aca="false">IF(C4421="","",C4421*D4421/100)</f>
        <v/>
      </c>
      <c r="F4421" s="15" t="str">
        <f aca="false">IF(B4421&lt;5,"Go","Standard")</f>
        <v>Standard</v>
      </c>
    </row>
    <row r="4422" customFormat="false" ht="15" hidden="false" customHeight="true" outlineLevel="0" collapsed="false">
      <c r="A4422" s="10" t="n">
        <f aca="false">Einstellungen!$B$5+INT((ROW()-9)/24)</f>
        <v>46149</v>
      </c>
      <c r="B4422" s="11" t="n">
        <f aca="false">MOD(ROW()-9,24)</f>
        <v>21</v>
      </c>
      <c r="C4422" s="12"/>
      <c r="D4422" s="13" t="n">
        <f aca="false">IF(B4422&lt;5,Einstellungen!$B$3,Einstellungen!$B$4)</f>
        <v>29.13</v>
      </c>
      <c r="E4422" s="14" t="str">
        <f aca="false">IF(C4422="","",C4422*D4422/100)</f>
        <v/>
      </c>
      <c r="F4422" s="15" t="str">
        <f aca="false">IF(B4422&lt;5,"Go","Standard")</f>
        <v>Standard</v>
      </c>
    </row>
    <row r="4423" customFormat="false" ht="15" hidden="false" customHeight="true" outlineLevel="0" collapsed="false">
      <c r="A4423" s="10" t="n">
        <f aca="false">Einstellungen!$B$5+INT((ROW()-9)/24)</f>
        <v>46149</v>
      </c>
      <c r="B4423" s="11" t="n">
        <f aca="false">MOD(ROW()-9,24)</f>
        <v>22</v>
      </c>
      <c r="C4423" s="12"/>
      <c r="D4423" s="13" t="n">
        <f aca="false">IF(B4423&lt;5,Einstellungen!$B$3,Einstellungen!$B$4)</f>
        <v>29.13</v>
      </c>
      <c r="E4423" s="14" t="str">
        <f aca="false">IF(C4423="","",C4423*D4423/100)</f>
        <v/>
      </c>
      <c r="F4423" s="15" t="str">
        <f aca="false">IF(B4423&lt;5,"Go","Standard")</f>
        <v>Standard</v>
      </c>
    </row>
    <row r="4424" customFormat="false" ht="15" hidden="false" customHeight="true" outlineLevel="0" collapsed="false">
      <c r="A4424" s="10" t="n">
        <f aca="false">Einstellungen!$B$5+INT((ROW()-9)/24)</f>
        <v>46149</v>
      </c>
      <c r="B4424" s="11" t="n">
        <f aca="false">MOD(ROW()-9,24)</f>
        <v>23</v>
      </c>
      <c r="C4424" s="12"/>
      <c r="D4424" s="13" t="n">
        <f aca="false">IF(B4424&lt;5,Einstellungen!$B$3,Einstellungen!$B$4)</f>
        <v>29.13</v>
      </c>
      <c r="E4424" s="14" t="str">
        <f aca="false">IF(C4424="","",C4424*D4424/100)</f>
        <v/>
      </c>
      <c r="F4424" s="15" t="str">
        <f aca="false">IF(B4424&lt;5,"Go","Standard")</f>
        <v>Standard</v>
      </c>
    </row>
    <row r="4425" customFormat="false" ht="15" hidden="false" customHeight="true" outlineLevel="0" collapsed="false">
      <c r="A4425" s="10" t="n">
        <f aca="false">Einstellungen!$B$5+INT((ROW()-9)/24)</f>
        <v>46150</v>
      </c>
      <c r="B4425" s="11" t="n">
        <f aca="false">MOD(ROW()-9,24)</f>
        <v>0</v>
      </c>
      <c r="C4425" s="12"/>
      <c r="D4425" s="13" t="n">
        <f aca="false">IF(B4425&lt;5,Einstellungen!$B$3,Einstellungen!$B$4)</f>
        <v>15.92</v>
      </c>
      <c r="E4425" s="14" t="str">
        <f aca="false">IF(C4425="","",C4425*D4425/100)</f>
        <v/>
      </c>
      <c r="F4425" s="15" t="str">
        <f aca="false">IF(B4425&lt;5,"Go","Standard")</f>
        <v>Go</v>
      </c>
    </row>
    <row r="4426" customFormat="false" ht="15" hidden="false" customHeight="true" outlineLevel="0" collapsed="false">
      <c r="A4426" s="10" t="n">
        <f aca="false">Einstellungen!$B$5+INT((ROW()-9)/24)</f>
        <v>46150</v>
      </c>
      <c r="B4426" s="11" t="n">
        <f aca="false">MOD(ROW()-9,24)</f>
        <v>1</v>
      </c>
      <c r="C4426" s="12"/>
      <c r="D4426" s="13" t="n">
        <f aca="false">IF(B4426&lt;5,Einstellungen!$B$3,Einstellungen!$B$4)</f>
        <v>15.92</v>
      </c>
      <c r="E4426" s="14" t="str">
        <f aca="false">IF(C4426="","",C4426*D4426/100)</f>
        <v/>
      </c>
      <c r="F4426" s="15" t="str">
        <f aca="false">IF(B4426&lt;5,"Go","Standard")</f>
        <v>Go</v>
      </c>
    </row>
    <row r="4427" customFormat="false" ht="15" hidden="false" customHeight="true" outlineLevel="0" collapsed="false">
      <c r="A4427" s="10" t="n">
        <f aca="false">Einstellungen!$B$5+INT((ROW()-9)/24)</f>
        <v>46150</v>
      </c>
      <c r="B4427" s="11" t="n">
        <f aca="false">MOD(ROW()-9,24)</f>
        <v>2</v>
      </c>
      <c r="C4427" s="12"/>
      <c r="D4427" s="13" t="n">
        <f aca="false">IF(B4427&lt;5,Einstellungen!$B$3,Einstellungen!$B$4)</f>
        <v>15.92</v>
      </c>
      <c r="E4427" s="14" t="str">
        <f aca="false">IF(C4427="","",C4427*D4427/100)</f>
        <v/>
      </c>
      <c r="F4427" s="15" t="str">
        <f aca="false">IF(B4427&lt;5,"Go","Standard")</f>
        <v>Go</v>
      </c>
    </row>
    <row r="4428" customFormat="false" ht="15" hidden="false" customHeight="true" outlineLevel="0" collapsed="false">
      <c r="A4428" s="10" t="n">
        <f aca="false">Einstellungen!$B$5+INT((ROW()-9)/24)</f>
        <v>46150</v>
      </c>
      <c r="B4428" s="11" t="n">
        <f aca="false">MOD(ROW()-9,24)</f>
        <v>3</v>
      </c>
      <c r="C4428" s="12"/>
      <c r="D4428" s="13" t="n">
        <f aca="false">IF(B4428&lt;5,Einstellungen!$B$3,Einstellungen!$B$4)</f>
        <v>15.92</v>
      </c>
      <c r="E4428" s="14" t="str">
        <f aca="false">IF(C4428="","",C4428*D4428/100)</f>
        <v/>
      </c>
      <c r="F4428" s="15" t="str">
        <f aca="false">IF(B4428&lt;5,"Go","Standard")</f>
        <v>Go</v>
      </c>
    </row>
    <row r="4429" customFormat="false" ht="15" hidden="false" customHeight="true" outlineLevel="0" collapsed="false">
      <c r="A4429" s="10" t="n">
        <f aca="false">Einstellungen!$B$5+INT((ROW()-9)/24)</f>
        <v>46150</v>
      </c>
      <c r="B4429" s="11" t="n">
        <f aca="false">MOD(ROW()-9,24)</f>
        <v>4</v>
      </c>
      <c r="C4429" s="12"/>
      <c r="D4429" s="13" t="n">
        <f aca="false">IF(B4429&lt;5,Einstellungen!$B$3,Einstellungen!$B$4)</f>
        <v>15.92</v>
      </c>
      <c r="E4429" s="14" t="str">
        <f aca="false">IF(C4429="","",C4429*D4429/100)</f>
        <v/>
      </c>
      <c r="F4429" s="15" t="str">
        <f aca="false">IF(B4429&lt;5,"Go","Standard")</f>
        <v>Go</v>
      </c>
    </row>
    <row r="4430" customFormat="false" ht="15" hidden="false" customHeight="true" outlineLevel="0" collapsed="false">
      <c r="A4430" s="10" t="n">
        <f aca="false">Einstellungen!$B$5+INT((ROW()-9)/24)</f>
        <v>46150</v>
      </c>
      <c r="B4430" s="11" t="n">
        <f aca="false">MOD(ROW()-9,24)</f>
        <v>5</v>
      </c>
      <c r="C4430" s="12"/>
      <c r="D4430" s="13" t="n">
        <f aca="false">IF(B4430&lt;5,Einstellungen!$B$3,Einstellungen!$B$4)</f>
        <v>29.13</v>
      </c>
      <c r="E4430" s="14" t="str">
        <f aca="false">IF(C4430="","",C4430*D4430/100)</f>
        <v/>
      </c>
      <c r="F4430" s="15" t="str">
        <f aca="false">IF(B4430&lt;5,"Go","Standard")</f>
        <v>Standard</v>
      </c>
    </row>
    <row r="4431" customFormat="false" ht="15" hidden="false" customHeight="true" outlineLevel="0" collapsed="false">
      <c r="A4431" s="10" t="n">
        <f aca="false">Einstellungen!$B$5+INT((ROW()-9)/24)</f>
        <v>46150</v>
      </c>
      <c r="B4431" s="11" t="n">
        <f aca="false">MOD(ROW()-9,24)</f>
        <v>6</v>
      </c>
      <c r="C4431" s="12"/>
      <c r="D4431" s="13" t="n">
        <f aca="false">IF(B4431&lt;5,Einstellungen!$B$3,Einstellungen!$B$4)</f>
        <v>29.13</v>
      </c>
      <c r="E4431" s="14" t="str">
        <f aca="false">IF(C4431="","",C4431*D4431/100)</f>
        <v/>
      </c>
      <c r="F4431" s="15" t="str">
        <f aca="false">IF(B4431&lt;5,"Go","Standard")</f>
        <v>Standard</v>
      </c>
    </row>
    <row r="4432" customFormat="false" ht="15" hidden="false" customHeight="true" outlineLevel="0" collapsed="false">
      <c r="A4432" s="10" t="n">
        <f aca="false">Einstellungen!$B$5+INT((ROW()-9)/24)</f>
        <v>46150</v>
      </c>
      <c r="B4432" s="11" t="n">
        <f aca="false">MOD(ROW()-9,24)</f>
        <v>7</v>
      </c>
      <c r="C4432" s="12"/>
      <c r="D4432" s="13" t="n">
        <f aca="false">IF(B4432&lt;5,Einstellungen!$B$3,Einstellungen!$B$4)</f>
        <v>29.13</v>
      </c>
      <c r="E4432" s="14" t="str">
        <f aca="false">IF(C4432="","",C4432*D4432/100)</f>
        <v/>
      </c>
      <c r="F4432" s="15" t="str">
        <f aca="false">IF(B4432&lt;5,"Go","Standard")</f>
        <v>Standard</v>
      </c>
    </row>
    <row r="4433" customFormat="false" ht="15" hidden="false" customHeight="true" outlineLevel="0" collapsed="false">
      <c r="A4433" s="10" t="n">
        <f aca="false">Einstellungen!$B$5+INT((ROW()-9)/24)</f>
        <v>46150</v>
      </c>
      <c r="B4433" s="11" t="n">
        <f aca="false">MOD(ROW()-9,24)</f>
        <v>8</v>
      </c>
      <c r="C4433" s="12"/>
      <c r="D4433" s="13" t="n">
        <f aca="false">IF(B4433&lt;5,Einstellungen!$B$3,Einstellungen!$B$4)</f>
        <v>29.13</v>
      </c>
      <c r="E4433" s="14" t="str">
        <f aca="false">IF(C4433="","",C4433*D4433/100)</f>
        <v/>
      </c>
      <c r="F4433" s="15" t="str">
        <f aca="false">IF(B4433&lt;5,"Go","Standard")</f>
        <v>Standard</v>
      </c>
    </row>
    <row r="4434" customFormat="false" ht="15" hidden="false" customHeight="true" outlineLevel="0" collapsed="false">
      <c r="A4434" s="10" t="n">
        <f aca="false">Einstellungen!$B$5+INT((ROW()-9)/24)</f>
        <v>46150</v>
      </c>
      <c r="B4434" s="11" t="n">
        <f aca="false">MOD(ROW()-9,24)</f>
        <v>9</v>
      </c>
      <c r="C4434" s="12"/>
      <c r="D4434" s="13" t="n">
        <f aca="false">IF(B4434&lt;5,Einstellungen!$B$3,Einstellungen!$B$4)</f>
        <v>29.13</v>
      </c>
      <c r="E4434" s="14" t="str">
        <f aca="false">IF(C4434="","",C4434*D4434/100)</f>
        <v/>
      </c>
      <c r="F4434" s="15" t="str">
        <f aca="false">IF(B4434&lt;5,"Go","Standard")</f>
        <v>Standard</v>
      </c>
    </row>
    <row r="4435" customFormat="false" ht="15" hidden="false" customHeight="true" outlineLevel="0" collapsed="false">
      <c r="A4435" s="10" t="n">
        <f aca="false">Einstellungen!$B$5+INT((ROW()-9)/24)</f>
        <v>46150</v>
      </c>
      <c r="B4435" s="11" t="n">
        <f aca="false">MOD(ROW()-9,24)</f>
        <v>10</v>
      </c>
      <c r="C4435" s="12"/>
      <c r="D4435" s="13" t="n">
        <f aca="false">IF(B4435&lt;5,Einstellungen!$B$3,Einstellungen!$B$4)</f>
        <v>29.13</v>
      </c>
      <c r="E4435" s="14" t="str">
        <f aca="false">IF(C4435="","",C4435*D4435/100)</f>
        <v/>
      </c>
      <c r="F4435" s="15" t="str">
        <f aca="false">IF(B4435&lt;5,"Go","Standard")</f>
        <v>Standard</v>
      </c>
    </row>
    <row r="4436" customFormat="false" ht="15" hidden="false" customHeight="true" outlineLevel="0" collapsed="false">
      <c r="A4436" s="10" t="n">
        <f aca="false">Einstellungen!$B$5+INT((ROW()-9)/24)</f>
        <v>46150</v>
      </c>
      <c r="B4436" s="11" t="n">
        <f aca="false">MOD(ROW()-9,24)</f>
        <v>11</v>
      </c>
      <c r="C4436" s="12"/>
      <c r="D4436" s="13" t="n">
        <f aca="false">IF(B4436&lt;5,Einstellungen!$B$3,Einstellungen!$B$4)</f>
        <v>29.13</v>
      </c>
      <c r="E4436" s="14" t="str">
        <f aca="false">IF(C4436="","",C4436*D4436/100)</f>
        <v/>
      </c>
      <c r="F4436" s="15" t="str">
        <f aca="false">IF(B4436&lt;5,"Go","Standard")</f>
        <v>Standard</v>
      </c>
    </row>
    <row r="4437" customFormat="false" ht="15" hidden="false" customHeight="true" outlineLevel="0" collapsed="false">
      <c r="A4437" s="10" t="n">
        <f aca="false">Einstellungen!$B$5+INT((ROW()-9)/24)</f>
        <v>46150</v>
      </c>
      <c r="B4437" s="11" t="n">
        <f aca="false">MOD(ROW()-9,24)</f>
        <v>12</v>
      </c>
      <c r="C4437" s="12"/>
      <c r="D4437" s="13" t="n">
        <f aca="false">IF(B4437&lt;5,Einstellungen!$B$3,Einstellungen!$B$4)</f>
        <v>29.13</v>
      </c>
      <c r="E4437" s="14" t="str">
        <f aca="false">IF(C4437="","",C4437*D4437/100)</f>
        <v/>
      </c>
      <c r="F4437" s="15" t="str">
        <f aca="false">IF(B4437&lt;5,"Go","Standard")</f>
        <v>Standard</v>
      </c>
    </row>
    <row r="4438" customFormat="false" ht="15" hidden="false" customHeight="true" outlineLevel="0" collapsed="false">
      <c r="A4438" s="10" t="n">
        <f aca="false">Einstellungen!$B$5+INT((ROW()-9)/24)</f>
        <v>46150</v>
      </c>
      <c r="B4438" s="11" t="n">
        <f aca="false">MOD(ROW()-9,24)</f>
        <v>13</v>
      </c>
      <c r="C4438" s="12"/>
      <c r="D4438" s="13" t="n">
        <f aca="false">IF(B4438&lt;5,Einstellungen!$B$3,Einstellungen!$B$4)</f>
        <v>29.13</v>
      </c>
      <c r="E4438" s="14" t="str">
        <f aca="false">IF(C4438="","",C4438*D4438/100)</f>
        <v/>
      </c>
      <c r="F4438" s="15" t="str">
        <f aca="false">IF(B4438&lt;5,"Go","Standard")</f>
        <v>Standard</v>
      </c>
    </row>
    <row r="4439" customFormat="false" ht="15" hidden="false" customHeight="true" outlineLevel="0" collapsed="false">
      <c r="A4439" s="10" t="n">
        <f aca="false">Einstellungen!$B$5+INT((ROW()-9)/24)</f>
        <v>46150</v>
      </c>
      <c r="B4439" s="11" t="n">
        <f aca="false">MOD(ROW()-9,24)</f>
        <v>14</v>
      </c>
      <c r="C4439" s="12"/>
      <c r="D4439" s="13" t="n">
        <f aca="false">IF(B4439&lt;5,Einstellungen!$B$3,Einstellungen!$B$4)</f>
        <v>29.13</v>
      </c>
      <c r="E4439" s="14" t="str">
        <f aca="false">IF(C4439="","",C4439*D4439/100)</f>
        <v/>
      </c>
      <c r="F4439" s="15" t="str">
        <f aca="false">IF(B4439&lt;5,"Go","Standard")</f>
        <v>Standard</v>
      </c>
    </row>
    <row r="4440" customFormat="false" ht="15" hidden="false" customHeight="true" outlineLevel="0" collapsed="false">
      <c r="A4440" s="10" t="n">
        <f aca="false">Einstellungen!$B$5+INT((ROW()-9)/24)</f>
        <v>46150</v>
      </c>
      <c r="B4440" s="11" t="n">
        <f aca="false">MOD(ROW()-9,24)</f>
        <v>15</v>
      </c>
      <c r="C4440" s="12"/>
      <c r="D4440" s="13" t="n">
        <f aca="false">IF(B4440&lt;5,Einstellungen!$B$3,Einstellungen!$B$4)</f>
        <v>29.13</v>
      </c>
      <c r="E4440" s="14" t="str">
        <f aca="false">IF(C4440="","",C4440*D4440/100)</f>
        <v/>
      </c>
      <c r="F4440" s="15" t="str">
        <f aca="false">IF(B4440&lt;5,"Go","Standard")</f>
        <v>Standard</v>
      </c>
    </row>
    <row r="4441" customFormat="false" ht="15" hidden="false" customHeight="true" outlineLevel="0" collapsed="false">
      <c r="A4441" s="10" t="n">
        <f aca="false">Einstellungen!$B$5+INT((ROW()-9)/24)</f>
        <v>46150</v>
      </c>
      <c r="B4441" s="11" t="n">
        <f aca="false">MOD(ROW()-9,24)</f>
        <v>16</v>
      </c>
      <c r="C4441" s="12"/>
      <c r="D4441" s="13" t="n">
        <f aca="false">IF(B4441&lt;5,Einstellungen!$B$3,Einstellungen!$B$4)</f>
        <v>29.13</v>
      </c>
      <c r="E4441" s="14" t="str">
        <f aca="false">IF(C4441="","",C4441*D4441/100)</f>
        <v/>
      </c>
      <c r="F4441" s="15" t="str">
        <f aca="false">IF(B4441&lt;5,"Go","Standard")</f>
        <v>Standard</v>
      </c>
    </row>
    <row r="4442" customFormat="false" ht="15" hidden="false" customHeight="true" outlineLevel="0" collapsed="false">
      <c r="A4442" s="10" t="n">
        <f aca="false">Einstellungen!$B$5+INT((ROW()-9)/24)</f>
        <v>46150</v>
      </c>
      <c r="B4442" s="11" t="n">
        <f aca="false">MOD(ROW()-9,24)</f>
        <v>17</v>
      </c>
      <c r="C4442" s="12"/>
      <c r="D4442" s="13" t="n">
        <f aca="false">IF(B4442&lt;5,Einstellungen!$B$3,Einstellungen!$B$4)</f>
        <v>29.13</v>
      </c>
      <c r="E4442" s="14" t="str">
        <f aca="false">IF(C4442="","",C4442*D4442/100)</f>
        <v/>
      </c>
      <c r="F4442" s="15" t="str">
        <f aca="false">IF(B4442&lt;5,"Go","Standard")</f>
        <v>Standard</v>
      </c>
    </row>
    <row r="4443" customFormat="false" ht="15" hidden="false" customHeight="true" outlineLevel="0" collapsed="false">
      <c r="A4443" s="10" t="n">
        <f aca="false">Einstellungen!$B$5+INT((ROW()-9)/24)</f>
        <v>46150</v>
      </c>
      <c r="B4443" s="11" t="n">
        <f aca="false">MOD(ROW()-9,24)</f>
        <v>18</v>
      </c>
      <c r="C4443" s="12"/>
      <c r="D4443" s="13" t="n">
        <f aca="false">IF(B4443&lt;5,Einstellungen!$B$3,Einstellungen!$B$4)</f>
        <v>29.13</v>
      </c>
      <c r="E4443" s="14" t="str">
        <f aca="false">IF(C4443="","",C4443*D4443/100)</f>
        <v/>
      </c>
      <c r="F4443" s="15" t="str">
        <f aca="false">IF(B4443&lt;5,"Go","Standard")</f>
        <v>Standard</v>
      </c>
    </row>
    <row r="4444" customFormat="false" ht="15" hidden="false" customHeight="true" outlineLevel="0" collapsed="false">
      <c r="A4444" s="10" t="n">
        <f aca="false">Einstellungen!$B$5+INT((ROW()-9)/24)</f>
        <v>46150</v>
      </c>
      <c r="B4444" s="11" t="n">
        <f aca="false">MOD(ROW()-9,24)</f>
        <v>19</v>
      </c>
      <c r="C4444" s="12"/>
      <c r="D4444" s="13" t="n">
        <f aca="false">IF(B4444&lt;5,Einstellungen!$B$3,Einstellungen!$B$4)</f>
        <v>29.13</v>
      </c>
      <c r="E4444" s="14" t="str">
        <f aca="false">IF(C4444="","",C4444*D4444/100)</f>
        <v/>
      </c>
      <c r="F4444" s="15" t="str">
        <f aca="false">IF(B4444&lt;5,"Go","Standard")</f>
        <v>Standard</v>
      </c>
    </row>
    <row r="4445" customFormat="false" ht="15" hidden="false" customHeight="true" outlineLevel="0" collapsed="false">
      <c r="A4445" s="10" t="n">
        <f aca="false">Einstellungen!$B$5+INT((ROW()-9)/24)</f>
        <v>46150</v>
      </c>
      <c r="B4445" s="11" t="n">
        <f aca="false">MOD(ROW()-9,24)</f>
        <v>20</v>
      </c>
      <c r="C4445" s="12"/>
      <c r="D4445" s="13" t="n">
        <f aca="false">IF(B4445&lt;5,Einstellungen!$B$3,Einstellungen!$B$4)</f>
        <v>29.13</v>
      </c>
      <c r="E4445" s="14" t="str">
        <f aca="false">IF(C4445="","",C4445*D4445/100)</f>
        <v/>
      </c>
      <c r="F4445" s="15" t="str">
        <f aca="false">IF(B4445&lt;5,"Go","Standard")</f>
        <v>Standard</v>
      </c>
    </row>
    <row r="4446" customFormat="false" ht="15" hidden="false" customHeight="true" outlineLevel="0" collapsed="false">
      <c r="A4446" s="10" t="n">
        <f aca="false">Einstellungen!$B$5+INT((ROW()-9)/24)</f>
        <v>46150</v>
      </c>
      <c r="B4446" s="11" t="n">
        <f aca="false">MOD(ROW()-9,24)</f>
        <v>21</v>
      </c>
      <c r="C4446" s="12"/>
      <c r="D4446" s="13" t="n">
        <f aca="false">IF(B4446&lt;5,Einstellungen!$B$3,Einstellungen!$B$4)</f>
        <v>29.13</v>
      </c>
      <c r="E4446" s="14" t="str">
        <f aca="false">IF(C4446="","",C4446*D4446/100)</f>
        <v/>
      </c>
      <c r="F4446" s="15" t="str">
        <f aca="false">IF(B4446&lt;5,"Go","Standard")</f>
        <v>Standard</v>
      </c>
    </row>
    <row r="4447" customFormat="false" ht="15" hidden="false" customHeight="true" outlineLevel="0" collapsed="false">
      <c r="A4447" s="10" t="n">
        <f aca="false">Einstellungen!$B$5+INT((ROW()-9)/24)</f>
        <v>46150</v>
      </c>
      <c r="B4447" s="11" t="n">
        <f aca="false">MOD(ROW()-9,24)</f>
        <v>22</v>
      </c>
      <c r="C4447" s="12"/>
      <c r="D4447" s="13" t="n">
        <f aca="false">IF(B4447&lt;5,Einstellungen!$B$3,Einstellungen!$B$4)</f>
        <v>29.13</v>
      </c>
      <c r="E4447" s="14" t="str">
        <f aca="false">IF(C4447="","",C4447*D4447/100)</f>
        <v/>
      </c>
      <c r="F4447" s="15" t="str">
        <f aca="false">IF(B4447&lt;5,"Go","Standard")</f>
        <v>Standard</v>
      </c>
    </row>
    <row r="4448" customFormat="false" ht="15" hidden="false" customHeight="true" outlineLevel="0" collapsed="false">
      <c r="A4448" s="10" t="n">
        <f aca="false">Einstellungen!$B$5+INT((ROW()-9)/24)</f>
        <v>46150</v>
      </c>
      <c r="B4448" s="11" t="n">
        <f aca="false">MOD(ROW()-9,24)</f>
        <v>23</v>
      </c>
      <c r="C4448" s="12"/>
      <c r="D4448" s="13" t="n">
        <f aca="false">IF(B4448&lt;5,Einstellungen!$B$3,Einstellungen!$B$4)</f>
        <v>29.13</v>
      </c>
      <c r="E4448" s="14" t="str">
        <f aca="false">IF(C4448="","",C4448*D4448/100)</f>
        <v/>
      </c>
      <c r="F4448" s="15" t="str">
        <f aca="false">IF(B4448&lt;5,"Go","Standard")</f>
        <v>Standard</v>
      </c>
    </row>
    <row r="4449" customFormat="false" ht="15" hidden="false" customHeight="true" outlineLevel="0" collapsed="false">
      <c r="A4449" s="10" t="n">
        <f aca="false">Einstellungen!$B$5+INT((ROW()-9)/24)</f>
        <v>46151</v>
      </c>
      <c r="B4449" s="11" t="n">
        <f aca="false">MOD(ROW()-9,24)</f>
        <v>0</v>
      </c>
      <c r="C4449" s="12"/>
      <c r="D4449" s="13" t="n">
        <f aca="false">IF(B4449&lt;5,Einstellungen!$B$3,Einstellungen!$B$4)</f>
        <v>15.92</v>
      </c>
      <c r="E4449" s="14" t="str">
        <f aca="false">IF(C4449="","",C4449*D4449/100)</f>
        <v/>
      </c>
      <c r="F4449" s="15" t="str">
        <f aca="false">IF(B4449&lt;5,"Go","Standard")</f>
        <v>Go</v>
      </c>
    </row>
    <row r="4450" customFormat="false" ht="15" hidden="false" customHeight="true" outlineLevel="0" collapsed="false">
      <c r="A4450" s="10" t="n">
        <f aca="false">Einstellungen!$B$5+INT((ROW()-9)/24)</f>
        <v>46151</v>
      </c>
      <c r="B4450" s="11" t="n">
        <f aca="false">MOD(ROW()-9,24)</f>
        <v>1</v>
      </c>
      <c r="C4450" s="12"/>
      <c r="D4450" s="13" t="n">
        <f aca="false">IF(B4450&lt;5,Einstellungen!$B$3,Einstellungen!$B$4)</f>
        <v>15.92</v>
      </c>
      <c r="E4450" s="14" t="str">
        <f aca="false">IF(C4450="","",C4450*D4450/100)</f>
        <v/>
      </c>
      <c r="F4450" s="15" t="str">
        <f aca="false">IF(B4450&lt;5,"Go","Standard")</f>
        <v>Go</v>
      </c>
    </row>
    <row r="4451" customFormat="false" ht="15" hidden="false" customHeight="true" outlineLevel="0" collapsed="false">
      <c r="A4451" s="10" t="n">
        <f aca="false">Einstellungen!$B$5+INT((ROW()-9)/24)</f>
        <v>46151</v>
      </c>
      <c r="B4451" s="11" t="n">
        <f aca="false">MOD(ROW()-9,24)</f>
        <v>2</v>
      </c>
      <c r="C4451" s="12"/>
      <c r="D4451" s="13" t="n">
        <f aca="false">IF(B4451&lt;5,Einstellungen!$B$3,Einstellungen!$B$4)</f>
        <v>15.92</v>
      </c>
      <c r="E4451" s="14" t="str">
        <f aca="false">IF(C4451="","",C4451*D4451/100)</f>
        <v/>
      </c>
      <c r="F4451" s="15" t="str">
        <f aca="false">IF(B4451&lt;5,"Go","Standard")</f>
        <v>Go</v>
      </c>
    </row>
    <row r="4452" customFormat="false" ht="15" hidden="false" customHeight="true" outlineLevel="0" collapsed="false">
      <c r="A4452" s="10" t="n">
        <f aca="false">Einstellungen!$B$5+INT((ROW()-9)/24)</f>
        <v>46151</v>
      </c>
      <c r="B4452" s="11" t="n">
        <f aca="false">MOD(ROW()-9,24)</f>
        <v>3</v>
      </c>
      <c r="C4452" s="12"/>
      <c r="D4452" s="13" t="n">
        <f aca="false">IF(B4452&lt;5,Einstellungen!$B$3,Einstellungen!$B$4)</f>
        <v>15.92</v>
      </c>
      <c r="E4452" s="14" t="str">
        <f aca="false">IF(C4452="","",C4452*D4452/100)</f>
        <v/>
      </c>
      <c r="F4452" s="15" t="str">
        <f aca="false">IF(B4452&lt;5,"Go","Standard")</f>
        <v>Go</v>
      </c>
    </row>
    <row r="4453" customFormat="false" ht="15" hidden="false" customHeight="true" outlineLevel="0" collapsed="false">
      <c r="A4453" s="10" t="n">
        <f aca="false">Einstellungen!$B$5+INT((ROW()-9)/24)</f>
        <v>46151</v>
      </c>
      <c r="B4453" s="11" t="n">
        <f aca="false">MOD(ROW()-9,24)</f>
        <v>4</v>
      </c>
      <c r="C4453" s="12"/>
      <c r="D4453" s="13" t="n">
        <f aca="false">IF(B4453&lt;5,Einstellungen!$B$3,Einstellungen!$B$4)</f>
        <v>15.92</v>
      </c>
      <c r="E4453" s="14" t="str">
        <f aca="false">IF(C4453="","",C4453*D4453/100)</f>
        <v/>
      </c>
      <c r="F4453" s="15" t="str">
        <f aca="false">IF(B4453&lt;5,"Go","Standard")</f>
        <v>Go</v>
      </c>
    </row>
    <row r="4454" customFormat="false" ht="15" hidden="false" customHeight="true" outlineLevel="0" collapsed="false">
      <c r="A4454" s="10" t="n">
        <f aca="false">Einstellungen!$B$5+INT((ROW()-9)/24)</f>
        <v>46151</v>
      </c>
      <c r="B4454" s="11" t="n">
        <f aca="false">MOD(ROW()-9,24)</f>
        <v>5</v>
      </c>
      <c r="C4454" s="12"/>
      <c r="D4454" s="13" t="n">
        <f aca="false">IF(B4454&lt;5,Einstellungen!$B$3,Einstellungen!$B$4)</f>
        <v>29.13</v>
      </c>
      <c r="E4454" s="14" t="str">
        <f aca="false">IF(C4454="","",C4454*D4454/100)</f>
        <v/>
      </c>
      <c r="F4454" s="15" t="str">
        <f aca="false">IF(B4454&lt;5,"Go","Standard")</f>
        <v>Standard</v>
      </c>
    </row>
    <row r="4455" customFormat="false" ht="15" hidden="false" customHeight="true" outlineLevel="0" collapsed="false">
      <c r="A4455" s="10" t="n">
        <f aca="false">Einstellungen!$B$5+INT((ROW()-9)/24)</f>
        <v>46151</v>
      </c>
      <c r="B4455" s="11" t="n">
        <f aca="false">MOD(ROW()-9,24)</f>
        <v>6</v>
      </c>
      <c r="C4455" s="12"/>
      <c r="D4455" s="13" t="n">
        <f aca="false">IF(B4455&lt;5,Einstellungen!$B$3,Einstellungen!$B$4)</f>
        <v>29.13</v>
      </c>
      <c r="E4455" s="14" t="str">
        <f aca="false">IF(C4455="","",C4455*D4455/100)</f>
        <v/>
      </c>
      <c r="F4455" s="15" t="str">
        <f aca="false">IF(B4455&lt;5,"Go","Standard")</f>
        <v>Standard</v>
      </c>
    </row>
    <row r="4456" customFormat="false" ht="15" hidden="false" customHeight="true" outlineLevel="0" collapsed="false">
      <c r="A4456" s="10" t="n">
        <f aca="false">Einstellungen!$B$5+INT((ROW()-9)/24)</f>
        <v>46151</v>
      </c>
      <c r="B4456" s="11" t="n">
        <f aca="false">MOD(ROW()-9,24)</f>
        <v>7</v>
      </c>
      <c r="C4456" s="12"/>
      <c r="D4456" s="13" t="n">
        <f aca="false">IF(B4456&lt;5,Einstellungen!$B$3,Einstellungen!$B$4)</f>
        <v>29.13</v>
      </c>
      <c r="E4456" s="14" t="str">
        <f aca="false">IF(C4456="","",C4456*D4456/100)</f>
        <v/>
      </c>
      <c r="F4456" s="15" t="str">
        <f aca="false">IF(B4456&lt;5,"Go","Standard")</f>
        <v>Standard</v>
      </c>
    </row>
    <row r="4457" customFormat="false" ht="15" hidden="false" customHeight="true" outlineLevel="0" collapsed="false">
      <c r="A4457" s="10" t="n">
        <f aca="false">Einstellungen!$B$5+INT((ROW()-9)/24)</f>
        <v>46151</v>
      </c>
      <c r="B4457" s="11" t="n">
        <f aca="false">MOD(ROW()-9,24)</f>
        <v>8</v>
      </c>
      <c r="C4457" s="12"/>
      <c r="D4457" s="13" t="n">
        <f aca="false">IF(B4457&lt;5,Einstellungen!$B$3,Einstellungen!$B$4)</f>
        <v>29.13</v>
      </c>
      <c r="E4457" s="14" t="str">
        <f aca="false">IF(C4457="","",C4457*D4457/100)</f>
        <v/>
      </c>
      <c r="F4457" s="15" t="str">
        <f aca="false">IF(B4457&lt;5,"Go","Standard")</f>
        <v>Standard</v>
      </c>
    </row>
    <row r="4458" customFormat="false" ht="15" hidden="false" customHeight="true" outlineLevel="0" collapsed="false">
      <c r="A4458" s="10" t="n">
        <f aca="false">Einstellungen!$B$5+INT((ROW()-9)/24)</f>
        <v>46151</v>
      </c>
      <c r="B4458" s="11" t="n">
        <f aca="false">MOD(ROW()-9,24)</f>
        <v>9</v>
      </c>
      <c r="C4458" s="12"/>
      <c r="D4458" s="13" t="n">
        <f aca="false">IF(B4458&lt;5,Einstellungen!$B$3,Einstellungen!$B$4)</f>
        <v>29.13</v>
      </c>
      <c r="E4458" s="14" t="str">
        <f aca="false">IF(C4458="","",C4458*D4458/100)</f>
        <v/>
      </c>
      <c r="F4458" s="15" t="str">
        <f aca="false">IF(B4458&lt;5,"Go","Standard")</f>
        <v>Standard</v>
      </c>
    </row>
    <row r="4459" customFormat="false" ht="15" hidden="false" customHeight="true" outlineLevel="0" collapsed="false">
      <c r="A4459" s="10" t="n">
        <f aca="false">Einstellungen!$B$5+INT((ROW()-9)/24)</f>
        <v>46151</v>
      </c>
      <c r="B4459" s="11" t="n">
        <f aca="false">MOD(ROW()-9,24)</f>
        <v>10</v>
      </c>
      <c r="C4459" s="12"/>
      <c r="D4459" s="13" t="n">
        <f aca="false">IF(B4459&lt;5,Einstellungen!$B$3,Einstellungen!$B$4)</f>
        <v>29.13</v>
      </c>
      <c r="E4459" s="14" t="str">
        <f aca="false">IF(C4459="","",C4459*D4459/100)</f>
        <v/>
      </c>
      <c r="F4459" s="15" t="str">
        <f aca="false">IF(B4459&lt;5,"Go","Standard")</f>
        <v>Standard</v>
      </c>
    </row>
    <row r="4460" customFormat="false" ht="15" hidden="false" customHeight="true" outlineLevel="0" collapsed="false">
      <c r="A4460" s="10" t="n">
        <f aca="false">Einstellungen!$B$5+INT((ROW()-9)/24)</f>
        <v>46151</v>
      </c>
      <c r="B4460" s="11" t="n">
        <f aca="false">MOD(ROW()-9,24)</f>
        <v>11</v>
      </c>
      <c r="C4460" s="12"/>
      <c r="D4460" s="13" t="n">
        <f aca="false">IF(B4460&lt;5,Einstellungen!$B$3,Einstellungen!$B$4)</f>
        <v>29.13</v>
      </c>
      <c r="E4460" s="14" t="str">
        <f aca="false">IF(C4460="","",C4460*D4460/100)</f>
        <v/>
      </c>
      <c r="F4460" s="15" t="str">
        <f aca="false">IF(B4460&lt;5,"Go","Standard")</f>
        <v>Standard</v>
      </c>
    </row>
    <row r="4461" customFormat="false" ht="15" hidden="false" customHeight="true" outlineLevel="0" collapsed="false">
      <c r="A4461" s="10" t="n">
        <f aca="false">Einstellungen!$B$5+INT((ROW()-9)/24)</f>
        <v>46151</v>
      </c>
      <c r="B4461" s="11" t="n">
        <f aca="false">MOD(ROW()-9,24)</f>
        <v>12</v>
      </c>
      <c r="C4461" s="12"/>
      <c r="D4461" s="13" t="n">
        <f aca="false">IF(B4461&lt;5,Einstellungen!$B$3,Einstellungen!$B$4)</f>
        <v>29.13</v>
      </c>
      <c r="E4461" s="14" t="str">
        <f aca="false">IF(C4461="","",C4461*D4461/100)</f>
        <v/>
      </c>
      <c r="F4461" s="15" t="str">
        <f aca="false">IF(B4461&lt;5,"Go","Standard")</f>
        <v>Standard</v>
      </c>
    </row>
    <row r="4462" customFormat="false" ht="15" hidden="false" customHeight="true" outlineLevel="0" collapsed="false">
      <c r="A4462" s="10" t="n">
        <f aca="false">Einstellungen!$B$5+INT((ROW()-9)/24)</f>
        <v>46151</v>
      </c>
      <c r="B4462" s="11" t="n">
        <f aca="false">MOD(ROW()-9,24)</f>
        <v>13</v>
      </c>
      <c r="C4462" s="12"/>
      <c r="D4462" s="13" t="n">
        <f aca="false">IF(B4462&lt;5,Einstellungen!$B$3,Einstellungen!$B$4)</f>
        <v>29.13</v>
      </c>
      <c r="E4462" s="14" t="str">
        <f aca="false">IF(C4462="","",C4462*D4462/100)</f>
        <v/>
      </c>
      <c r="F4462" s="15" t="str">
        <f aca="false">IF(B4462&lt;5,"Go","Standard")</f>
        <v>Standard</v>
      </c>
    </row>
    <row r="4463" customFormat="false" ht="15" hidden="false" customHeight="true" outlineLevel="0" collapsed="false">
      <c r="A4463" s="10" t="n">
        <f aca="false">Einstellungen!$B$5+INT((ROW()-9)/24)</f>
        <v>46151</v>
      </c>
      <c r="B4463" s="11" t="n">
        <f aca="false">MOD(ROW()-9,24)</f>
        <v>14</v>
      </c>
      <c r="C4463" s="12"/>
      <c r="D4463" s="13" t="n">
        <f aca="false">IF(B4463&lt;5,Einstellungen!$B$3,Einstellungen!$B$4)</f>
        <v>29.13</v>
      </c>
      <c r="E4463" s="14" t="str">
        <f aca="false">IF(C4463="","",C4463*D4463/100)</f>
        <v/>
      </c>
      <c r="F4463" s="15" t="str">
        <f aca="false">IF(B4463&lt;5,"Go","Standard")</f>
        <v>Standard</v>
      </c>
    </row>
    <row r="4464" customFormat="false" ht="15" hidden="false" customHeight="true" outlineLevel="0" collapsed="false">
      <c r="A4464" s="10" t="n">
        <f aca="false">Einstellungen!$B$5+INT((ROW()-9)/24)</f>
        <v>46151</v>
      </c>
      <c r="B4464" s="11" t="n">
        <f aca="false">MOD(ROW()-9,24)</f>
        <v>15</v>
      </c>
      <c r="C4464" s="12"/>
      <c r="D4464" s="13" t="n">
        <f aca="false">IF(B4464&lt;5,Einstellungen!$B$3,Einstellungen!$B$4)</f>
        <v>29.13</v>
      </c>
      <c r="E4464" s="14" t="str">
        <f aca="false">IF(C4464="","",C4464*D4464/100)</f>
        <v/>
      </c>
      <c r="F4464" s="15" t="str">
        <f aca="false">IF(B4464&lt;5,"Go","Standard")</f>
        <v>Standard</v>
      </c>
    </row>
    <row r="4465" customFormat="false" ht="15" hidden="false" customHeight="true" outlineLevel="0" collapsed="false">
      <c r="A4465" s="10" t="n">
        <f aca="false">Einstellungen!$B$5+INT((ROW()-9)/24)</f>
        <v>46151</v>
      </c>
      <c r="B4465" s="11" t="n">
        <f aca="false">MOD(ROW()-9,24)</f>
        <v>16</v>
      </c>
      <c r="C4465" s="12"/>
      <c r="D4465" s="13" t="n">
        <f aca="false">IF(B4465&lt;5,Einstellungen!$B$3,Einstellungen!$B$4)</f>
        <v>29.13</v>
      </c>
      <c r="E4465" s="14" t="str">
        <f aca="false">IF(C4465="","",C4465*D4465/100)</f>
        <v/>
      </c>
      <c r="F4465" s="15" t="str">
        <f aca="false">IF(B4465&lt;5,"Go","Standard")</f>
        <v>Standard</v>
      </c>
    </row>
    <row r="4466" customFormat="false" ht="15" hidden="false" customHeight="true" outlineLevel="0" collapsed="false">
      <c r="A4466" s="10" t="n">
        <f aca="false">Einstellungen!$B$5+INT((ROW()-9)/24)</f>
        <v>46151</v>
      </c>
      <c r="B4466" s="11" t="n">
        <f aca="false">MOD(ROW()-9,24)</f>
        <v>17</v>
      </c>
      <c r="C4466" s="12"/>
      <c r="D4466" s="13" t="n">
        <f aca="false">IF(B4466&lt;5,Einstellungen!$B$3,Einstellungen!$B$4)</f>
        <v>29.13</v>
      </c>
      <c r="E4466" s="14" t="str">
        <f aca="false">IF(C4466="","",C4466*D4466/100)</f>
        <v/>
      </c>
      <c r="F4466" s="15" t="str">
        <f aca="false">IF(B4466&lt;5,"Go","Standard")</f>
        <v>Standard</v>
      </c>
    </row>
    <row r="4467" customFormat="false" ht="15" hidden="false" customHeight="true" outlineLevel="0" collapsed="false">
      <c r="A4467" s="10" t="n">
        <f aca="false">Einstellungen!$B$5+INT((ROW()-9)/24)</f>
        <v>46151</v>
      </c>
      <c r="B4467" s="11" t="n">
        <f aca="false">MOD(ROW()-9,24)</f>
        <v>18</v>
      </c>
      <c r="C4467" s="12"/>
      <c r="D4467" s="13" t="n">
        <f aca="false">IF(B4467&lt;5,Einstellungen!$B$3,Einstellungen!$B$4)</f>
        <v>29.13</v>
      </c>
      <c r="E4467" s="14" t="str">
        <f aca="false">IF(C4467="","",C4467*D4467/100)</f>
        <v/>
      </c>
      <c r="F4467" s="15" t="str">
        <f aca="false">IF(B4467&lt;5,"Go","Standard")</f>
        <v>Standard</v>
      </c>
    </row>
    <row r="4468" customFormat="false" ht="15" hidden="false" customHeight="true" outlineLevel="0" collapsed="false">
      <c r="A4468" s="10" t="n">
        <f aca="false">Einstellungen!$B$5+INT((ROW()-9)/24)</f>
        <v>46151</v>
      </c>
      <c r="B4468" s="11" t="n">
        <f aca="false">MOD(ROW()-9,24)</f>
        <v>19</v>
      </c>
      <c r="C4468" s="12"/>
      <c r="D4468" s="13" t="n">
        <f aca="false">IF(B4468&lt;5,Einstellungen!$B$3,Einstellungen!$B$4)</f>
        <v>29.13</v>
      </c>
      <c r="E4468" s="14" t="str">
        <f aca="false">IF(C4468="","",C4468*D4468/100)</f>
        <v/>
      </c>
      <c r="F4468" s="15" t="str">
        <f aca="false">IF(B4468&lt;5,"Go","Standard")</f>
        <v>Standard</v>
      </c>
    </row>
    <row r="4469" customFormat="false" ht="15" hidden="false" customHeight="true" outlineLevel="0" collapsed="false">
      <c r="A4469" s="10" t="n">
        <f aca="false">Einstellungen!$B$5+INT((ROW()-9)/24)</f>
        <v>46151</v>
      </c>
      <c r="B4469" s="11" t="n">
        <f aca="false">MOD(ROW()-9,24)</f>
        <v>20</v>
      </c>
      <c r="C4469" s="12"/>
      <c r="D4469" s="13" t="n">
        <f aca="false">IF(B4469&lt;5,Einstellungen!$B$3,Einstellungen!$B$4)</f>
        <v>29.13</v>
      </c>
      <c r="E4469" s="14" t="str">
        <f aca="false">IF(C4469="","",C4469*D4469/100)</f>
        <v/>
      </c>
      <c r="F4469" s="15" t="str">
        <f aca="false">IF(B4469&lt;5,"Go","Standard")</f>
        <v>Standard</v>
      </c>
    </row>
    <row r="4470" customFormat="false" ht="15" hidden="false" customHeight="true" outlineLevel="0" collapsed="false">
      <c r="A4470" s="10" t="n">
        <f aca="false">Einstellungen!$B$5+INT((ROW()-9)/24)</f>
        <v>46151</v>
      </c>
      <c r="B4470" s="11" t="n">
        <f aca="false">MOD(ROW()-9,24)</f>
        <v>21</v>
      </c>
      <c r="C4470" s="12"/>
      <c r="D4470" s="13" t="n">
        <f aca="false">IF(B4470&lt;5,Einstellungen!$B$3,Einstellungen!$B$4)</f>
        <v>29.13</v>
      </c>
      <c r="E4470" s="14" t="str">
        <f aca="false">IF(C4470="","",C4470*D4470/100)</f>
        <v/>
      </c>
      <c r="F4470" s="15" t="str">
        <f aca="false">IF(B4470&lt;5,"Go","Standard")</f>
        <v>Standard</v>
      </c>
    </row>
    <row r="4471" customFormat="false" ht="15" hidden="false" customHeight="true" outlineLevel="0" collapsed="false">
      <c r="A4471" s="10" t="n">
        <f aca="false">Einstellungen!$B$5+INT((ROW()-9)/24)</f>
        <v>46151</v>
      </c>
      <c r="B4471" s="11" t="n">
        <f aca="false">MOD(ROW()-9,24)</f>
        <v>22</v>
      </c>
      <c r="C4471" s="12"/>
      <c r="D4471" s="13" t="n">
        <f aca="false">IF(B4471&lt;5,Einstellungen!$B$3,Einstellungen!$B$4)</f>
        <v>29.13</v>
      </c>
      <c r="E4471" s="14" t="str">
        <f aca="false">IF(C4471="","",C4471*D4471/100)</f>
        <v/>
      </c>
      <c r="F4471" s="15" t="str">
        <f aca="false">IF(B4471&lt;5,"Go","Standard")</f>
        <v>Standard</v>
      </c>
    </row>
    <row r="4472" customFormat="false" ht="15" hidden="false" customHeight="true" outlineLevel="0" collapsed="false">
      <c r="A4472" s="10" t="n">
        <f aca="false">Einstellungen!$B$5+INT((ROW()-9)/24)</f>
        <v>46151</v>
      </c>
      <c r="B4472" s="11" t="n">
        <f aca="false">MOD(ROW()-9,24)</f>
        <v>23</v>
      </c>
      <c r="C4472" s="12"/>
      <c r="D4472" s="13" t="n">
        <f aca="false">IF(B4472&lt;5,Einstellungen!$B$3,Einstellungen!$B$4)</f>
        <v>29.13</v>
      </c>
      <c r="E4472" s="14" t="str">
        <f aca="false">IF(C4472="","",C4472*D4472/100)</f>
        <v/>
      </c>
      <c r="F4472" s="15" t="str">
        <f aca="false">IF(B4472&lt;5,"Go","Standard")</f>
        <v>Standard</v>
      </c>
    </row>
    <row r="4473" customFormat="false" ht="15" hidden="false" customHeight="true" outlineLevel="0" collapsed="false">
      <c r="A4473" s="10" t="n">
        <f aca="false">Einstellungen!$B$5+INT((ROW()-9)/24)</f>
        <v>46152</v>
      </c>
      <c r="B4473" s="11" t="n">
        <f aca="false">MOD(ROW()-9,24)</f>
        <v>0</v>
      </c>
      <c r="C4473" s="12"/>
      <c r="D4473" s="13" t="n">
        <f aca="false">IF(B4473&lt;5,Einstellungen!$B$3,Einstellungen!$B$4)</f>
        <v>15.92</v>
      </c>
      <c r="E4473" s="14" t="str">
        <f aca="false">IF(C4473="","",C4473*D4473/100)</f>
        <v/>
      </c>
      <c r="F4473" s="15" t="str">
        <f aca="false">IF(B4473&lt;5,"Go","Standard")</f>
        <v>Go</v>
      </c>
    </row>
    <row r="4474" customFormat="false" ht="15" hidden="false" customHeight="true" outlineLevel="0" collapsed="false">
      <c r="A4474" s="10" t="n">
        <f aca="false">Einstellungen!$B$5+INT((ROW()-9)/24)</f>
        <v>46152</v>
      </c>
      <c r="B4474" s="11" t="n">
        <f aca="false">MOD(ROW()-9,24)</f>
        <v>1</v>
      </c>
      <c r="C4474" s="12"/>
      <c r="D4474" s="13" t="n">
        <f aca="false">IF(B4474&lt;5,Einstellungen!$B$3,Einstellungen!$B$4)</f>
        <v>15.92</v>
      </c>
      <c r="E4474" s="14" t="str">
        <f aca="false">IF(C4474="","",C4474*D4474/100)</f>
        <v/>
      </c>
      <c r="F4474" s="15" t="str">
        <f aca="false">IF(B4474&lt;5,"Go","Standard")</f>
        <v>Go</v>
      </c>
    </row>
    <row r="4475" customFormat="false" ht="15" hidden="false" customHeight="true" outlineLevel="0" collapsed="false">
      <c r="A4475" s="10" t="n">
        <f aca="false">Einstellungen!$B$5+INT((ROW()-9)/24)</f>
        <v>46152</v>
      </c>
      <c r="B4475" s="11" t="n">
        <f aca="false">MOD(ROW()-9,24)</f>
        <v>2</v>
      </c>
      <c r="C4475" s="12"/>
      <c r="D4475" s="13" t="n">
        <f aca="false">IF(B4475&lt;5,Einstellungen!$B$3,Einstellungen!$B$4)</f>
        <v>15.92</v>
      </c>
      <c r="E4475" s="14" t="str">
        <f aca="false">IF(C4475="","",C4475*D4475/100)</f>
        <v/>
      </c>
      <c r="F4475" s="15" t="str">
        <f aca="false">IF(B4475&lt;5,"Go","Standard")</f>
        <v>Go</v>
      </c>
    </row>
    <row r="4476" customFormat="false" ht="15" hidden="false" customHeight="true" outlineLevel="0" collapsed="false">
      <c r="A4476" s="10" t="n">
        <f aca="false">Einstellungen!$B$5+INT((ROW()-9)/24)</f>
        <v>46152</v>
      </c>
      <c r="B4476" s="11" t="n">
        <f aca="false">MOD(ROW()-9,24)</f>
        <v>3</v>
      </c>
      <c r="C4476" s="12"/>
      <c r="D4476" s="13" t="n">
        <f aca="false">IF(B4476&lt;5,Einstellungen!$B$3,Einstellungen!$B$4)</f>
        <v>15.92</v>
      </c>
      <c r="E4476" s="14" t="str">
        <f aca="false">IF(C4476="","",C4476*D4476/100)</f>
        <v/>
      </c>
      <c r="F4476" s="15" t="str">
        <f aca="false">IF(B4476&lt;5,"Go","Standard")</f>
        <v>Go</v>
      </c>
    </row>
    <row r="4477" customFormat="false" ht="15" hidden="false" customHeight="true" outlineLevel="0" collapsed="false">
      <c r="A4477" s="10" t="n">
        <f aca="false">Einstellungen!$B$5+INT((ROW()-9)/24)</f>
        <v>46152</v>
      </c>
      <c r="B4477" s="11" t="n">
        <f aca="false">MOD(ROW()-9,24)</f>
        <v>4</v>
      </c>
      <c r="C4477" s="12"/>
      <c r="D4477" s="13" t="n">
        <f aca="false">IF(B4477&lt;5,Einstellungen!$B$3,Einstellungen!$B$4)</f>
        <v>15.92</v>
      </c>
      <c r="E4477" s="14" t="str">
        <f aca="false">IF(C4477="","",C4477*D4477/100)</f>
        <v/>
      </c>
      <c r="F4477" s="15" t="str">
        <f aca="false">IF(B4477&lt;5,"Go","Standard")</f>
        <v>Go</v>
      </c>
    </row>
    <row r="4478" customFormat="false" ht="15" hidden="false" customHeight="true" outlineLevel="0" collapsed="false">
      <c r="A4478" s="10" t="n">
        <f aca="false">Einstellungen!$B$5+INT((ROW()-9)/24)</f>
        <v>46152</v>
      </c>
      <c r="B4478" s="11" t="n">
        <f aca="false">MOD(ROW()-9,24)</f>
        <v>5</v>
      </c>
      <c r="C4478" s="12"/>
      <c r="D4478" s="13" t="n">
        <f aca="false">IF(B4478&lt;5,Einstellungen!$B$3,Einstellungen!$B$4)</f>
        <v>29.13</v>
      </c>
      <c r="E4478" s="14" t="str">
        <f aca="false">IF(C4478="","",C4478*D4478/100)</f>
        <v/>
      </c>
      <c r="F4478" s="15" t="str">
        <f aca="false">IF(B4478&lt;5,"Go","Standard")</f>
        <v>Standard</v>
      </c>
    </row>
    <row r="4479" customFormat="false" ht="15" hidden="false" customHeight="true" outlineLevel="0" collapsed="false">
      <c r="A4479" s="10" t="n">
        <f aca="false">Einstellungen!$B$5+INT((ROW()-9)/24)</f>
        <v>46152</v>
      </c>
      <c r="B4479" s="11" t="n">
        <f aca="false">MOD(ROW()-9,24)</f>
        <v>6</v>
      </c>
      <c r="C4479" s="12"/>
      <c r="D4479" s="13" t="n">
        <f aca="false">IF(B4479&lt;5,Einstellungen!$B$3,Einstellungen!$B$4)</f>
        <v>29.13</v>
      </c>
      <c r="E4479" s="14" t="str">
        <f aca="false">IF(C4479="","",C4479*D4479/100)</f>
        <v/>
      </c>
      <c r="F4479" s="15" t="str">
        <f aca="false">IF(B4479&lt;5,"Go","Standard")</f>
        <v>Standard</v>
      </c>
    </row>
    <row r="4480" customFormat="false" ht="15" hidden="false" customHeight="true" outlineLevel="0" collapsed="false">
      <c r="A4480" s="10" t="n">
        <f aca="false">Einstellungen!$B$5+INT((ROW()-9)/24)</f>
        <v>46152</v>
      </c>
      <c r="B4480" s="11" t="n">
        <f aca="false">MOD(ROW()-9,24)</f>
        <v>7</v>
      </c>
      <c r="C4480" s="12"/>
      <c r="D4480" s="13" t="n">
        <f aca="false">IF(B4480&lt;5,Einstellungen!$B$3,Einstellungen!$B$4)</f>
        <v>29.13</v>
      </c>
      <c r="E4480" s="14" t="str">
        <f aca="false">IF(C4480="","",C4480*D4480/100)</f>
        <v/>
      </c>
      <c r="F4480" s="15" t="str">
        <f aca="false">IF(B4480&lt;5,"Go","Standard")</f>
        <v>Standard</v>
      </c>
    </row>
    <row r="4481" customFormat="false" ht="15" hidden="false" customHeight="true" outlineLevel="0" collapsed="false">
      <c r="A4481" s="10" t="n">
        <f aca="false">Einstellungen!$B$5+INT((ROW()-9)/24)</f>
        <v>46152</v>
      </c>
      <c r="B4481" s="11" t="n">
        <f aca="false">MOD(ROW()-9,24)</f>
        <v>8</v>
      </c>
      <c r="C4481" s="12"/>
      <c r="D4481" s="13" t="n">
        <f aca="false">IF(B4481&lt;5,Einstellungen!$B$3,Einstellungen!$B$4)</f>
        <v>29.13</v>
      </c>
      <c r="E4481" s="14" t="str">
        <f aca="false">IF(C4481="","",C4481*D4481/100)</f>
        <v/>
      </c>
      <c r="F4481" s="15" t="str">
        <f aca="false">IF(B4481&lt;5,"Go","Standard")</f>
        <v>Standard</v>
      </c>
    </row>
    <row r="4482" customFormat="false" ht="15" hidden="false" customHeight="true" outlineLevel="0" collapsed="false">
      <c r="A4482" s="10" t="n">
        <f aca="false">Einstellungen!$B$5+INT((ROW()-9)/24)</f>
        <v>46152</v>
      </c>
      <c r="B4482" s="11" t="n">
        <f aca="false">MOD(ROW()-9,24)</f>
        <v>9</v>
      </c>
      <c r="C4482" s="12"/>
      <c r="D4482" s="13" t="n">
        <f aca="false">IF(B4482&lt;5,Einstellungen!$B$3,Einstellungen!$B$4)</f>
        <v>29.13</v>
      </c>
      <c r="E4482" s="14" t="str">
        <f aca="false">IF(C4482="","",C4482*D4482/100)</f>
        <v/>
      </c>
      <c r="F4482" s="15" t="str">
        <f aca="false">IF(B4482&lt;5,"Go","Standard")</f>
        <v>Standard</v>
      </c>
    </row>
    <row r="4483" customFormat="false" ht="15" hidden="false" customHeight="true" outlineLevel="0" collapsed="false">
      <c r="A4483" s="10" t="n">
        <f aca="false">Einstellungen!$B$5+INT((ROW()-9)/24)</f>
        <v>46152</v>
      </c>
      <c r="B4483" s="11" t="n">
        <f aca="false">MOD(ROW()-9,24)</f>
        <v>10</v>
      </c>
      <c r="C4483" s="12"/>
      <c r="D4483" s="13" t="n">
        <f aca="false">IF(B4483&lt;5,Einstellungen!$B$3,Einstellungen!$B$4)</f>
        <v>29.13</v>
      </c>
      <c r="E4483" s="14" t="str">
        <f aca="false">IF(C4483="","",C4483*D4483/100)</f>
        <v/>
      </c>
      <c r="F4483" s="15" t="str">
        <f aca="false">IF(B4483&lt;5,"Go","Standard")</f>
        <v>Standard</v>
      </c>
    </row>
    <row r="4484" customFormat="false" ht="15" hidden="false" customHeight="true" outlineLevel="0" collapsed="false">
      <c r="A4484" s="10" t="n">
        <f aca="false">Einstellungen!$B$5+INT((ROW()-9)/24)</f>
        <v>46152</v>
      </c>
      <c r="B4484" s="11" t="n">
        <f aca="false">MOD(ROW()-9,24)</f>
        <v>11</v>
      </c>
      <c r="C4484" s="12"/>
      <c r="D4484" s="13" t="n">
        <f aca="false">IF(B4484&lt;5,Einstellungen!$B$3,Einstellungen!$B$4)</f>
        <v>29.13</v>
      </c>
      <c r="E4484" s="14" t="str">
        <f aca="false">IF(C4484="","",C4484*D4484/100)</f>
        <v/>
      </c>
      <c r="F4484" s="15" t="str">
        <f aca="false">IF(B4484&lt;5,"Go","Standard")</f>
        <v>Standard</v>
      </c>
    </row>
    <row r="4485" customFormat="false" ht="15" hidden="false" customHeight="true" outlineLevel="0" collapsed="false">
      <c r="A4485" s="10" t="n">
        <f aca="false">Einstellungen!$B$5+INT((ROW()-9)/24)</f>
        <v>46152</v>
      </c>
      <c r="B4485" s="11" t="n">
        <f aca="false">MOD(ROW()-9,24)</f>
        <v>12</v>
      </c>
      <c r="C4485" s="12"/>
      <c r="D4485" s="13" t="n">
        <f aca="false">IF(B4485&lt;5,Einstellungen!$B$3,Einstellungen!$B$4)</f>
        <v>29.13</v>
      </c>
      <c r="E4485" s="14" t="str">
        <f aca="false">IF(C4485="","",C4485*D4485/100)</f>
        <v/>
      </c>
      <c r="F4485" s="15" t="str">
        <f aca="false">IF(B4485&lt;5,"Go","Standard")</f>
        <v>Standard</v>
      </c>
    </row>
    <row r="4486" customFormat="false" ht="15" hidden="false" customHeight="true" outlineLevel="0" collapsed="false">
      <c r="A4486" s="10" t="n">
        <f aca="false">Einstellungen!$B$5+INT((ROW()-9)/24)</f>
        <v>46152</v>
      </c>
      <c r="B4486" s="11" t="n">
        <f aca="false">MOD(ROW()-9,24)</f>
        <v>13</v>
      </c>
      <c r="C4486" s="12"/>
      <c r="D4486" s="13" t="n">
        <f aca="false">IF(B4486&lt;5,Einstellungen!$B$3,Einstellungen!$B$4)</f>
        <v>29.13</v>
      </c>
      <c r="E4486" s="14" t="str">
        <f aca="false">IF(C4486="","",C4486*D4486/100)</f>
        <v/>
      </c>
      <c r="F4486" s="15" t="str">
        <f aca="false">IF(B4486&lt;5,"Go","Standard")</f>
        <v>Standard</v>
      </c>
    </row>
    <row r="4487" customFormat="false" ht="15" hidden="false" customHeight="true" outlineLevel="0" collapsed="false">
      <c r="A4487" s="10" t="n">
        <f aca="false">Einstellungen!$B$5+INT((ROW()-9)/24)</f>
        <v>46152</v>
      </c>
      <c r="B4487" s="11" t="n">
        <f aca="false">MOD(ROW()-9,24)</f>
        <v>14</v>
      </c>
      <c r="C4487" s="12"/>
      <c r="D4487" s="13" t="n">
        <f aca="false">IF(B4487&lt;5,Einstellungen!$B$3,Einstellungen!$B$4)</f>
        <v>29.13</v>
      </c>
      <c r="E4487" s="14" t="str">
        <f aca="false">IF(C4487="","",C4487*D4487/100)</f>
        <v/>
      </c>
      <c r="F4487" s="15" t="str">
        <f aca="false">IF(B4487&lt;5,"Go","Standard")</f>
        <v>Standard</v>
      </c>
    </row>
    <row r="4488" customFormat="false" ht="15" hidden="false" customHeight="true" outlineLevel="0" collapsed="false">
      <c r="A4488" s="10" t="n">
        <f aca="false">Einstellungen!$B$5+INT((ROW()-9)/24)</f>
        <v>46152</v>
      </c>
      <c r="B4488" s="11" t="n">
        <f aca="false">MOD(ROW()-9,24)</f>
        <v>15</v>
      </c>
      <c r="C4488" s="12"/>
      <c r="D4488" s="13" t="n">
        <f aca="false">IF(B4488&lt;5,Einstellungen!$B$3,Einstellungen!$B$4)</f>
        <v>29.13</v>
      </c>
      <c r="E4488" s="14" t="str">
        <f aca="false">IF(C4488="","",C4488*D4488/100)</f>
        <v/>
      </c>
      <c r="F4488" s="15" t="str">
        <f aca="false">IF(B4488&lt;5,"Go","Standard")</f>
        <v>Standard</v>
      </c>
    </row>
    <row r="4489" customFormat="false" ht="15" hidden="false" customHeight="true" outlineLevel="0" collapsed="false">
      <c r="A4489" s="10" t="n">
        <f aca="false">Einstellungen!$B$5+INT((ROW()-9)/24)</f>
        <v>46152</v>
      </c>
      <c r="B4489" s="11" t="n">
        <f aca="false">MOD(ROW()-9,24)</f>
        <v>16</v>
      </c>
      <c r="C4489" s="12"/>
      <c r="D4489" s="13" t="n">
        <f aca="false">IF(B4489&lt;5,Einstellungen!$B$3,Einstellungen!$B$4)</f>
        <v>29.13</v>
      </c>
      <c r="E4489" s="14" t="str">
        <f aca="false">IF(C4489="","",C4489*D4489/100)</f>
        <v/>
      </c>
      <c r="F4489" s="15" t="str">
        <f aca="false">IF(B4489&lt;5,"Go","Standard")</f>
        <v>Standard</v>
      </c>
    </row>
    <row r="4490" customFormat="false" ht="15" hidden="false" customHeight="true" outlineLevel="0" collapsed="false">
      <c r="A4490" s="10" t="n">
        <f aca="false">Einstellungen!$B$5+INT((ROW()-9)/24)</f>
        <v>46152</v>
      </c>
      <c r="B4490" s="11" t="n">
        <f aca="false">MOD(ROW()-9,24)</f>
        <v>17</v>
      </c>
      <c r="C4490" s="12"/>
      <c r="D4490" s="13" t="n">
        <f aca="false">IF(B4490&lt;5,Einstellungen!$B$3,Einstellungen!$B$4)</f>
        <v>29.13</v>
      </c>
      <c r="E4490" s="14" t="str">
        <f aca="false">IF(C4490="","",C4490*D4490/100)</f>
        <v/>
      </c>
      <c r="F4490" s="15" t="str">
        <f aca="false">IF(B4490&lt;5,"Go","Standard")</f>
        <v>Standard</v>
      </c>
    </row>
    <row r="4491" customFormat="false" ht="15" hidden="false" customHeight="true" outlineLevel="0" collapsed="false">
      <c r="A4491" s="10" t="n">
        <f aca="false">Einstellungen!$B$5+INT((ROW()-9)/24)</f>
        <v>46152</v>
      </c>
      <c r="B4491" s="11" t="n">
        <f aca="false">MOD(ROW()-9,24)</f>
        <v>18</v>
      </c>
      <c r="C4491" s="12"/>
      <c r="D4491" s="13" t="n">
        <f aca="false">IF(B4491&lt;5,Einstellungen!$B$3,Einstellungen!$B$4)</f>
        <v>29.13</v>
      </c>
      <c r="E4491" s="14" t="str">
        <f aca="false">IF(C4491="","",C4491*D4491/100)</f>
        <v/>
      </c>
      <c r="F4491" s="15" t="str">
        <f aca="false">IF(B4491&lt;5,"Go","Standard")</f>
        <v>Standard</v>
      </c>
    </row>
    <row r="4492" customFormat="false" ht="15" hidden="false" customHeight="true" outlineLevel="0" collapsed="false">
      <c r="A4492" s="10" t="n">
        <f aca="false">Einstellungen!$B$5+INT((ROW()-9)/24)</f>
        <v>46152</v>
      </c>
      <c r="B4492" s="11" t="n">
        <f aca="false">MOD(ROW()-9,24)</f>
        <v>19</v>
      </c>
      <c r="C4492" s="12"/>
      <c r="D4492" s="13" t="n">
        <f aca="false">IF(B4492&lt;5,Einstellungen!$B$3,Einstellungen!$B$4)</f>
        <v>29.13</v>
      </c>
      <c r="E4492" s="14" t="str">
        <f aca="false">IF(C4492="","",C4492*D4492/100)</f>
        <v/>
      </c>
      <c r="F4492" s="15" t="str">
        <f aca="false">IF(B4492&lt;5,"Go","Standard")</f>
        <v>Standard</v>
      </c>
    </row>
    <row r="4493" customFormat="false" ht="15" hidden="false" customHeight="true" outlineLevel="0" collapsed="false">
      <c r="A4493" s="10" t="n">
        <f aca="false">Einstellungen!$B$5+INT((ROW()-9)/24)</f>
        <v>46152</v>
      </c>
      <c r="B4493" s="11" t="n">
        <f aca="false">MOD(ROW()-9,24)</f>
        <v>20</v>
      </c>
      <c r="C4493" s="12"/>
      <c r="D4493" s="13" t="n">
        <f aca="false">IF(B4493&lt;5,Einstellungen!$B$3,Einstellungen!$B$4)</f>
        <v>29.13</v>
      </c>
      <c r="E4493" s="14" t="str">
        <f aca="false">IF(C4493="","",C4493*D4493/100)</f>
        <v/>
      </c>
      <c r="F4493" s="15" t="str">
        <f aca="false">IF(B4493&lt;5,"Go","Standard")</f>
        <v>Standard</v>
      </c>
    </row>
    <row r="4494" customFormat="false" ht="15" hidden="false" customHeight="true" outlineLevel="0" collapsed="false">
      <c r="A4494" s="10" t="n">
        <f aca="false">Einstellungen!$B$5+INT((ROW()-9)/24)</f>
        <v>46152</v>
      </c>
      <c r="B4494" s="11" t="n">
        <f aca="false">MOD(ROW()-9,24)</f>
        <v>21</v>
      </c>
      <c r="C4494" s="12"/>
      <c r="D4494" s="13" t="n">
        <f aca="false">IF(B4494&lt;5,Einstellungen!$B$3,Einstellungen!$B$4)</f>
        <v>29.13</v>
      </c>
      <c r="E4494" s="14" t="str">
        <f aca="false">IF(C4494="","",C4494*D4494/100)</f>
        <v/>
      </c>
      <c r="F4494" s="15" t="str">
        <f aca="false">IF(B4494&lt;5,"Go","Standard")</f>
        <v>Standard</v>
      </c>
    </row>
    <row r="4495" customFormat="false" ht="15" hidden="false" customHeight="true" outlineLevel="0" collapsed="false">
      <c r="A4495" s="10" t="n">
        <f aca="false">Einstellungen!$B$5+INT((ROW()-9)/24)</f>
        <v>46152</v>
      </c>
      <c r="B4495" s="11" t="n">
        <f aca="false">MOD(ROW()-9,24)</f>
        <v>22</v>
      </c>
      <c r="C4495" s="12"/>
      <c r="D4495" s="13" t="n">
        <f aca="false">IF(B4495&lt;5,Einstellungen!$B$3,Einstellungen!$B$4)</f>
        <v>29.13</v>
      </c>
      <c r="E4495" s="14" t="str">
        <f aca="false">IF(C4495="","",C4495*D4495/100)</f>
        <v/>
      </c>
      <c r="F4495" s="15" t="str">
        <f aca="false">IF(B4495&lt;5,"Go","Standard")</f>
        <v>Standard</v>
      </c>
    </row>
    <row r="4496" customFormat="false" ht="15" hidden="false" customHeight="true" outlineLevel="0" collapsed="false">
      <c r="A4496" s="10" t="n">
        <f aca="false">Einstellungen!$B$5+INT((ROW()-9)/24)</f>
        <v>46152</v>
      </c>
      <c r="B4496" s="11" t="n">
        <f aca="false">MOD(ROW()-9,24)</f>
        <v>23</v>
      </c>
      <c r="C4496" s="12"/>
      <c r="D4496" s="13" t="n">
        <f aca="false">IF(B4496&lt;5,Einstellungen!$B$3,Einstellungen!$B$4)</f>
        <v>29.13</v>
      </c>
      <c r="E4496" s="14" t="str">
        <f aca="false">IF(C4496="","",C4496*D4496/100)</f>
        <v/>
      </c>
      <c r="F4496" s="15" t="str">
        <f aca="false">IF(B4496&lt;5,"Go","Standard")</f>
        <v>Standard</v>
      </c>
    </row>
    <row r="4497" customFormat="false" ht="15" hidden="false" customHeight="true" outlineLevel="0" collapsed="false">
      <c r="A4497" s="10" t="n">
        <f aca="false">Einstellungen!$B$5+INT((ROW()-9)/24)</f>
        <v>46153</v>
      </c>
      <c r="B4497" s="11" t="n">
        <f aca="false">MOD(ROW()-9,24)</f>
        <v>0</v>
      </c>
      <c r="C4497" s="12"/>
      <c r="D4497" s="13" t="n">
        <f aca="false">IF(B4497&lt;5,Einstellungen!$B$3,Einstellungen!$B$4)</f>
        <v>15.92</v>
      </c>
      <c r="E4497" s="14" t="str">
        <f aca="false">IF(C4497="","",C4497*D4497/100)</f>
        <v/>
      </c>
      <c r="F4497" s="15" t="str">
        <f aca="false">IF(B4497&lt;5,"Go","Standard")</f>
        <v>Go</v>
      </c>
    </row>
    <row r="4498" customFormat="false" ht="15" hidden="false" customHeight="true" outlineLevel="0" collapsed="false">
      <c r="A4498" s="10" t="n">
        <f aca="false">Einstellungen!$B$5+INT((ROW()-9)/24)</f>
        <v>46153</v>
      </c>
      <c r="B4498" s="11" t="n">
        <f aca="false">MOD(ROW()-9,24)</f>
        <v>1</v>
      </c>
      <c r="C4498" s="12"/>
      <c r="D4498" s="13" t="n">
        <f aca="false">IF(B4498&lt;5,Einstellungen!$B$3,Einstellungen!$B$4)</f>
        <v>15.92</v>
      </c>
      <c r="E4498" s="14" t="str">
        <f aca="false">IF(C4498="","",C4498*D4498/100)</f>
        <v/>
      </c>
      <c r="F4498" s="15" t="str">
        <f aca="false">IF(B4498&lt;5,"Go","Standard")</f>
        <v>Go</v>
      </c>
    </row>
    <row r="4499" customFormat="false" ht="15" hidden="false" customHeight="true" outlineLevel="0" collapsed="false">
      <c r="A4499" s="10" t="n">
        <f aca="false">Einstellungen!$B$5+INT((ROW()-9)/24)</f>
        <v>46153</v>
      </c>
      <c r="B4499" s="11" t="n">
        <f aca="false">MOD(ROW()-9,24)</f>
        <v>2</v>
      </c>
      <c r="C4499" s="12"/>
      <c r="D4499" s="13" t="n">
        <f aca="false">IF(B4499&lt;5,Einstellungen!$B$3,Einstellungen!$B$4)</f>
        <v>15.92</v>
      </c>
      <c r="E4499" s="14" t="str">
        <f aca="false">IF(C4499="","",C4499*D4499/100)</f>
        <v/>
      </c>
      <c r="F4499" s="15" t="str">
        <f aca="false">IF(B4499&lt;5,"Go","Standard")</f>
        <v>Go</v>
      </c>
    </row>
    <row r="4500" customFormat="false" ht="15" hidden="false" customHeight="true" outlineLevel="0" collapsed="false">
      <c r="A4500" s="10" t="n">
        <f aca="false">Einstellungen!$B$5+INT((ROW()-9)/24)</f>
        <v>46153</v>
      </c>
      <c r="B4500" s="11" t="n">
        <f aca="false">MOD(ROW()-9,24)</f>
        <v>3</v>
      </c>
      <c r="C4500" s="12"/>
      <c r="D4500" s="13" t="n">
        <f aca="false">IF(B4500&lt;5,Einstellungen!$B$3,Einstellungen!$B$4)</f>
        <v>15.92</v>
      </c>
      <c r="E4500" s="14" t="str">
        <f aca="false">IF(C4500="","",C4500*D4500/100)</f>
        <v/>
      </c>
      <c r="F4500" s="15" t="str">
        <f aca="false">IF(B4500&lt;5,"Go","Standard")</f>
        <v>Go</v>
      </c>
    </row>
    <row r="4501" customFormat="false" ht="15" hidden="false" customHeight="true" outlineLevel="0" collapsed="false">
      <c r="A4501" s="10" t="n">
        <f aca="false">Einstellungen!$B$5+INT((ROW()-9)/24)</f>
        <v>46153</v>
      </c>
      <c r="B4501" s="11" t="n">
        <f aca="false">MOD(ROW()-9,24)</f>
        <v>4</v>
      </c>
      <c r="C4501" s="12"/>
      <c r="D4501" s="13" t="n">
        <f aca="false">IF(B4501&lt;5,Einstellungen!$B$3,Einstellungen!$B$4)</f>
        <v>15.92</v>
      </c>
      <c r="E4501" s="14" t="str">
        <f aca="false">IF(C4501="","",C4501*D4501/100)</f>
        <v/>
      </c>
      <c r="F4501" s="15" t="str">
        <f aca="false">IF(B4501&lt;5,"Go","Standard")</f>
        <v>Go</v>
      </c>
    </row>
    <row r="4502" customFormat="false" ht="15" hidden="false" customHeight="true" outlineLevel="0" collapsed="false">
      <c r="A4502" s="10" t="n">
        <f aca="false">Einstellungen!$B$5+INT((ROW()-9)/24)</f>
        <v>46153</v>
      </c>
      <c r="B4502" s="11" t="n">
        <f aca="false">MOD(ROW()-9,24)</f>
        <v>5</v>
      </c>
      <c r="C4502" s="12"/>
      <c r="D4502" s="13" t="n">
        <f aca="false">IF(B4502&lt;5,Einstellungen!$B$3,Einstellungen!$B$4)</f>
        <v>29.13</v>
      </c>
      <c r="E4502" s="14" t="str">
        <f aca="false">IF(C4502="","",C4502*D4502/100)</f>
        <v/>
      </c>
      <c r="F4502" s="15" t="str">
        <f aca="false">IF(B4502&lt;5,"Go","Standard")</f>
        <v>Standard</v>
      </c>
    </row>
    <row r="4503" customFormat="false" ht="15" hidden="false" customHeight="true" outlineLevel="0" collapsed="false">
      <c r="A4503" s="10" t="n">
        <f aca="false">Einstellungen!$B$5+INT((ROW()-9)/24)</f>
        <v>46153</v>
      </c>
      <c r="B4503" s="11" t="n">
        <f aca="false">MOD(ROW()-9,24)</f>
        <v>6</v>
      </c>
      <c r="C4503" s="12"/>
      <c r="D4503" s="13" t="n">
        <f aca="false">IF(B4503&lt;5,Einstellungen!$B$3,Einstellungen!$B$4)</f>
        <v>29.13</v>
      </c>
      <c r="E4503" s="14" t="str">
        <f aca="false">IF(C4503="","",C4503*D4503/100)</f>
        <v/>
      </c>
      <c r="F4503" s="15" t="str">
        <f aca="false">IF(B4503&lt;5,"Go","Standard")</f>
        <v>Standard</v>
      </c>
    </row>
    <row r="4504" customFormat="false" ht="15" hidden="false" customHeight="true" outlineLevel="0" collapsed="false">
      <c r="A4504" s="10" t="n">
        <f aca="false">Einstellungen!$B$5+INT((ROW()-9)/24)</f>
        <v>46153</v>
      </c>
      <c r="B4504" s="11" t="n">
        <f aca="false">MOD(ROW()-9,24)</f>
        <v>7</v>
      </c>
      <c r="C4504" s="12"/>
      <c r="D4504" s="13" t="n">
        <f aca="false">IF(B4504&lt;5,Einstellungen!$B$3,Einstellungen!$B$4)</f>
        <v>29.13</v>
      </c>
      <c r="E4504" s="14" t="str">
        <f aca="false">IF(C4504="","",C4504*D4504/100)</f>
        <v/>
      </c>
      <c r="F4504" s="15" t="str">
        <f aca="false">IF(B4504&lt;5,"Go","Standard")</f>
        <v>Standard</v>
      </c>
    </row>
    <row r="4505" customFormat="false" ht="15" hidden="false" customHeight="true" outlineLevel="0" collapsed="false">
      <c r="A4505" s="10" t="n">
        <f aca="false">Einstellungen!$B$5+INT((ROW()-9)/24)</f>
        <v>46153</v>
      </c>
      <c r="B4505" s="11" t="n">
        <f aca="false">MOD(ROW()-9,24)</f>
        <v>8</v>
      </c>
      <c r="C4505" s="12"/>
      <c r="D4505" s="13" t="n">
        <f aca="false">IF(B4505&lt;5,Einstellungen!$B$3,Einstellungen!$B$4)</f>
        <v>29.13</v>
      </c>
      <c r="E4505" s="14" t="str">
        <f aca="false">IF(C4505="","",C4505*D4505/100)</f>
        <v/>
      </c>
      <c r="F4505" s="15" t="str">
        <f aca="false">IF(B4505&lt;5,"Go","Standard")</f>
        <v>Standard</v>
      </c>
    </row>
    <row r="4506" customFormat="false" ht="15" hidden="false" customHeight="true" outlineLevel="0" collapsed="false">
      <c r="A4506" s="10" t="n">
        <f aca="false">Einstellungen!$B$5+INT((ROW()-9)/24)</f>
        <v>46153</v>
      </c>
      <c r="B4506" s="11" t="n">
        <f aca="false">MOD(ROW()-9,24)</f>
        <v>9</v>
      </c>
      <c r="C4506" s="12"/>
      <c r="D4506" s="13" t="n">
        <f aca="false">IF(B4506&lt;5,Einstellungen!$B$3,Einstellungen!$B$4)</f>
        <v>29.13</v>
      </c>
      <c r="E4506" s="14" t="str">
        <f aca="false">IF(C4506="","",C4506*D4506/100)</f>
        <v/>
      </c>
      <c r="F4506" s="15" t="str">
        <f aca="false">IF(B4506&lt;5,"Go","Standard")</f>
        <v>Standard</v>
      </c>
    </row>
    <row r="4507" customFormat="false" ht="15" hidden="false" customHeight="true" outlineLevel="0" collapsed="false">
      <c r="A4507" s="10" t="n">
        <f aca="false">Einstellungen!$B$5+INT((ROW()-9)/24)</f>
        <v>46153</v>
      </c>
      <c r="B4507" s="11" t="n">
        <f aca="false">MOD(ROW()-9,24)</f>
        <v>10</v>
      </c>
      <c r="C4507" s="12"/>
      <c r="D4507" s="13" t="n">
        <f aca="false">IF(B4507&lt;5,Einstellungen!$B$3,Einstellungen!$B$4)</f>
        <v>29.13</v>
      </c>
      <c r="E4507" s="14" t="str">
        <f aca="false">IF(C4507="","",C4507*D4507/100)</f>
        <v/>
      </c>
      <c r="F4507" s="15" t="str">
        <f aca="false">IF(B4507&lt;5,"Go","Standard")</f>
        <v>Standard</v>
      </c>
    </row>
    <row r="4508" customFormat="false" ht="15" hidden="false" customHeight="true" outlineLevel="0" collapsed="false">
      <c r="A4508" s="10" t="n">
        <f aca="false">Einstellungen!$B$5+INT((ROW()-9)/24)</f>
        <v>46153</v>
      </c>
      <c r="B4508" s="11" t="n">
        <f aca="false">MOD(ROW()-9,24)</f>
        <v>11</v>
      </c>
      <c r="C4508" s="12"/>
      <c r="D4508" s="13" t="n">
        <f aca="false">IF(B4508&lt;5,Einstellungen!$B$3,Einstellungen!$B$4)</f>
        <v>29.13</v>
      </c>
      <c r="E4508" s="14" t="str">
        <f aca="false">IF(C4508="","",C4508*D4508/100)</f>
        <v/>
      </c>
      <c r="F4508" s="15" t="str">
        <f aca="false">IF(B4508&lt;5,"Go","Standard")</f>
        <v>Standard</v>
      </c>
    </row>
    <row r="4509" customFormat="false" ht="15" hidden="false" customHeight="true" outlineLevel="0" collapsed="false">
      <c r="A4509" s="10" t="n">
        <f aca="false">Einstellungen!$B$5+INT((ROW()-9)/24)</f>
        <v>46153</v>
      </c>
      <c r="B4509" s="11" t="n">
        <f aca="false">MOD(ROW()-9,24)</f>
        <v>12</v>
      </c>
      <c r="C4509" s="12"/>
      <c r="D4509" s="13" t="n">
        <f aca="false">IF(B4509&lt;5,Einstellungen!$B$3,Einstellungen!$B$4)</f>
        <v>29.13</v>
      </c>
      <c r="E4509" s="14" t="str">
        <f aca="false">IF(C4509="","",C4509*D4509/100)</f>
        <v/>
      </c>
      <c r="F4509" s="15" t="str">
        <f aca="false">IF(B4509&lt;5,"Go","Standard")</f>
        <v>Standard</v>
      </c>
    </row>
    <row r="4510" customFormat="false" ht="15" hidden="false" customHeight="true" outlineLevel="0" collapsed="false">
      <c r="A4510" s="10" t="n">
        <f aca="false">Einstellungen!$B$5+INT((ROW()-9)/24)</f>
        <v>46153</v>
      </c>
      <c r="B4510" s="11" t="n">
        <f aca="false">MOD(ROW()-9,24)</f>
        <v>13</v>
      </c>
      <c r="C4510" s="12"/>
      <c r="D4510" s="13" t="n">
        <f aca="false">IF(B4510&lt;5,Einstellungen!$B$3,Einstellungen!$B$4)</f>
        <v>29.13</v>
      </c>
      <c r="E4510" s="14" t="str">
        <f aca="false">IF(C4510="","",C4510*D4510/100)</f>
        <v/>
      </c>
      <c r="F4510" s="15" t="str">
        <f aca="false">IF(B4510&lt;5,"Go","Standard")</f>
        <v>Standard</v>
      </c>
    </row>
    <row r="4511" customFormat="false" ht="15" hidden="false" customHeight="true" outlineLevel="0" collapsed="false">
      <c r="A4511" s="10" t="n">
        <f aca="false">Einstellungen!$B$5+INT((ROW()-9)/24)</f>
        <v>46153</v>
      </c>
      <c r="B4511" s="11" t="n">
        <f aca="false">MOD(ROW()-9,24)</f>
        <v>14</v>
      </c>
      <c r="C4511" s="12"/>
      <c r="D4511" s="13" t="n">
        <f aca="false">IF(B4511&lt;5,Einstellungen!$B$3,Einstellungen!$B$4)</f>
        <v>29.13</v>
      </c>
      <c r="E4511" s="14" t="str">
        <f aca="false">IF(C4511="","",C4511*D4511/100)</f>
        <v/>
      </c>
      <c r="F4511" s="15" t="str">
        <f aca="false">IF(B4511&lt;5,"Go","Standard")</f>
        <v>Standard</v>
      </c>
    </row>
    <row r="4512" customFormat="false" ht="15" hidden="false" customHeight="true" outlineLevel="0" collapsed="false">
      <c r="A4512" s="10" t="n">
        <f aca="false">Einstellungen!$B$5+INT((ROW()-9)/24)</f>
        <v>46153</v>
      </c>
      <c r="B4512" s="11" t="n">
        <f aca="false">MOD(ROW()-9,24)</f>
        <v>15</v>
      </c>
      <c r="C4512" s="12"/>
      <c r="D4512" s="13" t="n">
        <f aca="false">IF(B4512&lt;5,Einstellungen!$B$3,Einstellungen!$B$4)</f>
        <v>29.13</v>
      </c>
      <c r="E4512" s="14" t="str">
        <f aca="false">IF(C4512="","",C4512*D4512/100)</f>
        <v/>
      </c>
      <c r="F4512" s="15" t="str">
        <f aca="false">IF(B4512&lt;5,"Go","Standard")</f>
        <v>Standard</v>
      </c>
    </row>
    <row r="4513" customFormat="false" ht="15" hidden="false" customHeight="true" outlineLevel="0" collapsed="false">
      <c r="A4513" s="10" t="n">
        <f aca="false">Einstellungen!$B$5+INT((ROW()-9)/24)</f>
        <v>46153</v>
      </c>
      <c r="B4513" s="11" t="n">
        <f aca="false">MOD(ROW()-9,24)</f>
        <v>16</v>
      </c>
      <c r="C4513" s="12"/>
      <c r="D4513" s="13" t="n">
        <f aca="false">IF(B4513&lt;5,Einstellungen!$B$3,Einstellungen!$B$4)</f>
        <v>29.13</v>
      </c>
      <c r="E4513" s="14" t="str">
        <f aca="false">IF(C4513="","",C4513*D4513/100)</f>
        <v/>
      </c>
      <c r="F4513" s="15" t="str">
        <f aca="false">IF(B4513&lt;5,"Go","Standard")</f>
        <v>Standard</v>
      </c>
    </row>
    <row r="4514" customFormat="false" ht="15" hidden="false" customHeight="true" outlineLevel="0" collapsed="false">
      <c r="A4514" s="10" t="n">
        <f aca="false">Einstellungen!$B$5+INT((ROW()-9)/24)</f>
        <v>46153</v>
      </c>
      <c r="B4514" s="11" t="n">
        <f aca="false">MOD(ROW()-9,24)</f>
        <v>17</v>
      </c>
      <c r="C4514" s="12"/>
      <c r="D4514" s="13" t="n">
        <f aca="false">IF(B4514&lt;5,Einstellungen!$B$3,Einstellungen!$B$4)</f>
        <v>29.13</v>
      </c>
      <c r="E4514" s="14" t="str">
        <f aca="false">IF(C4514="","",C4514*D4514/100)</f>
        <v/>
      </c>
      <c r="F4514" s="15" t="str">
        <f aca="false">IF(B4514&lt;5,"Go","Standard")</f>
        <v>Standard</v>
      </c>
    </row>
    <row r="4515" customFormat="false" ht="15" hidden="false" customHeight="true" outlineLevel="0" collapsed="false">
      <c r="A4515" s="10" t="n">
        <f aca="false">Einstellungen!$B$5+INT((ROW()-9)/24)</f>
        <v>46153</v>
      </c>
      <c r="B4515" s="11" t="n">
        <f aca="false">MOD(ROW()-9,24)</f>
        <v>18</v>
      </c>
      <c r="C4515" s="12"/>
      <c r="D4515" s="13" t="n">
        <f aca="false">IF(B4515&lt;5,Einstellungen!$B$3,Einstellungen!$B$4)</f>
        <v>29.13</v>
      </c>
      <c r="E4515" s="14" t="str">
        <f aca="false">IF(C4515="","",C4515*D4515/100)</f>
        <v/>
      </c>
      <c r="F4515" s="15" t="str">
        <f aca="false">IF(B4515&lt;5,"Go","Standard")</f>
        <v>Standard</v>
      </c>
    </row>
    <row r="4516" customFormat="false" ht="15" hidden="false" customHeight="true" outlineLevel="0" collapsed="false">
      <c r="A4516" s="10" t="n">
        <f aca="false">Einstellungen!$B$5+INT((ROW()-9)/24)</f>
        <v>46153</v>
      </c>
      <c r="B4516" s="11" t="n">
        <f aca="false">MOD(ROW()-9,24)</f>
        <v>19</v>
      </c>
      <c r="C4516" s="12"/>
      <c r="D4516" s="13" t="n">
        <f aca="false">IF(B4516&lt;5,Einstellungen!$B$3,Einstellungen!$B$4)</f>
        <v>29.13</v>
      </c>
      <c r="E4516" s="14" t="str">
        <f aca="false">IF(C4516="","",C4516*D4516/100)</f>
        <v/>
      </c>
      <c r="F4516" s="15" t="str">
        <f aca="false">IF(B4516&lt;5,"Go","Standard")</f>
        <v>Standard</v>
      </c>
    </row>
    <row r="4517" customFormat="false" ht="15" hidden="false" customHeight="true" outlineLevel="0" collapsed="false">
      <c r="A4517" s="10" t="n">
        <f aca="false">Einstellungen!$B$5+INT((ROW()-9)/24)</f>
        <v>46153</v>
      </c>
      <c r="B4517" s="11" t="n">
        <f aca="false">MOD(ROW()-9,24)</f>
        <v>20</v>
      </c>
      <c r="C4517" s="12"/>
      <c r="D4517" s="13" t="n">
        <f aca="false">IF(B4517&lt;5,Einstellungen!$B$3,Einstellungen!$B$4)</f>
        <v>29.13</v>
      </c>
      <c r="E4517" s="14" t="str">
        <f aca="false">IF(C4517="","",C4517*D4517/100)</f>
        <v/>
      </c>
      <c r="F4517" s="15" t="str">
        <f aca="false">IF(B4517&lt;5,"Go","Standard")</f>
        <v>Standard</v>
      </c>
    </row>
    <row r="4518" customFormat="false" ht="15" hidden="false" customHeight="true" outlineLevel="0" collapsed="false">
      <c r="A4518" s="10" t="n">
        <f aca="false">Einstellungen!$B$5+INT((ROW()-9)/24)</f>
        <v>46153</v>
      </c>
      <c r="B4518" s="11" t="n">
        <f aca="false">MOD(ROW()-9,24)</f>
        <v>21</v>
      </c>
      <c r="C4518" s="12"/>
      <c r="D4518" s="13" t="n">
        <f aca="false">IF(B4518&lt;5,Einstellungen!$B$3,Einstellungen!$B$4)</f>
        <v>29.13</v>
      </c>
      <c r="E4518" s="14" t="str">
        <f aca="false">IF(C4518="","",C4518*D4518/100)</f>
        <v/>
      </c>
      <c r="F4518" s="15" t="str">
        <f aca="false">IF(B4518&lt;5,"Go","Standard")</f>
        <v>Standard</v>
      </c>
    </row>
    <row r="4519" customFormat="false" ht="15" hidden="false" customHeight="true" outlineLevel="0" collapsed="false">
      <c r="A4519" s="10" t="n">
        <f aca="false">Einstellungen!$B$5+INT((ROW()-9)/24)</f>
        <v>46153</v>
      </c>
      <c r="B4519" s="11" t="n">
        <f aca="false">MOD(ROW()-9,24)</f>
        <v>22</v>
      </c>
      <c r="C4519" s="12"/>
      <c r="D4519" s="13" t="n">
        <f aca="false">IF(B4519&lt;5,Einstellungen!$B$3,Einstellungen!$B$4)</f>
        <v>29.13</v>
      </c>
      <c r="E4519" s="14" t="str">
        <f aca="false">IF(C4519="","",C4519*D4519/100)</f>
        <v/>
      </c>
      <c r="F4519" s="15" t="str">
        <f aca="false">IF(B4519&lt;5,"Go","Standard")</f>
        <v>Standard</v>
      </c>
    </row>
    <row r="4520" customFormat="false" ht="15" hidden="false" customHeight="true" outlineLevel="0" collapsed="false">
      <c r="A4520" s="10" t="n">
        <f aca="false">Einstellungen!$B$5+INT((ROW()-9)/24)</f>
        <v>46153</v>
      </c>
      <c r="B4520" s="11" t="n">
        <f aca="false">MOD(ROW()-9,24)</f>
        <v>23</v>
      </c>
      <c r="C4520" s="12"/>
      <c r="D4520" s="13" t="n">
        <f aca="false">IF(B4520&lt;5,Einstellungen!$B$3,Einstellungen!$B$4)</f>
        <v>29.13</v>
      </c>
      <c r="E4520" s="14" t="str">
        <f aca="false">IF(C4520="","",C4520*D4520/100)</f>
        <v/>
      </c>
      <c r="F4520" s="15" t="str">
        <f aca="false">IF(B4520&lt;5,"Go","Standard")</f>
        <v>Standard</v>
      </c>
    </row>
    <row r="4521" customFormat="false" ht="15" hidden="false" customHeight="true" outlineLevel="0" collapsed="false">
      <c r="A4521" s="10" t="n">
        <f aca="false">Einstellungen!$B$5+INT((ROW()-9)/24)</f>
        <v>46154</v>
      </c>
      <c r="B4521" s="11" t="n">
        <f aca="false">MOD(ROW()-9,24)</f>
        <v>0</v>
      </c>
      <c r="C4521" s="12"/>
      <c r="D4521" s="13" t="n">
        <f aca="false">IF(B4521&lt;5,Einstellungen!$B$3,Einstellungen!$B$4)</f>
        <v>15.92</v>
      </c>
      <c r="E4521" s="14" t="str">
        <f aca="false">IF(C4521="","",C4521*D4521/100)</f>
        <v/>
      </c>
      <c r="F4521" s="15" t="str">
        <f aca="false">IF(B4521&lt;5,"Go","Standard")</f>
        <v>Go</v>
      </c>
    </row>
    <row r="4522" customFormat="false" ht="15" hidden="false" customHeight="true" outlineLevel="0" collapsed="false">
      <c r="A4522" s="10" t="n">
        <f aca="false">Einstellungen!$B$5+INT((ROW()-9)/24)</f>
        <v>46154</v>
      </c>
      <c r="B4522" s="11" t="n">
        <f aca="false">MOD(ROW()-9,24)</f>
        <v>1</v>
      </c>
      <c r="C4522" s="12"/>
      <c r="D4522" s="13" t="n">
        <f aca="false">IF(B4522&lt;5,Einstellungen!$B$3,Einstellungen!$B$4)</f>
        <v>15.92</v>
      </c>
      <c r="E4522" s="14" t="str">
        <f aca="false">IF(C4522="","",C4522*D4522/100)</f>
        <v/>
      </c>
      <c r="F4522" s="15" t="str">
        <f aca="false">IF(B4522&lt;5,"Go","Standard")</f>
        <v>Go</v>
      </c>
    </row>
    <row r="4523" customFormat="false" ht="15" hidden="false" customHeight="true" outlineLevel="0" collapsed="false">
      <c r="A4523" s="10" t="n">
        <f aca="false">Einstellungen!$B$5+INT((ROW()-9)/24)</f>
        <v>46154</v>
      </c>
      <c r="B4523" s="11" t="n">
        <f aca="false">MOD(ROW()-9,24)</f>
        <v>2</v>
      </c>
      <c r="C4523" s="12"/>
      <c r="D4523" s="13" t="n">
        <f aca="false">IF(B4523&lt;5,Einstellungen!$B$3,Einstellungen!$B$4)</f>
        <v>15.92</v>
      </c>
      <c r="E4523" s="14" t="str">
        <f aca="false">IF(C4523="","",C4523*D4523/100)</f>
        <v/>
      </c>
      <c r="F4523" s="15" t="str">
        <f aca="false">IF(B4523&lt;5,"Go","Standard")</f>
        <v>Go</v>
      </c>
    </row>
    <row r="4524" customFormat="false" ht="15" hidden="false" customHeight="true" outlineLevel="0" collapsed="false">
      <c r="A4524" s="10" t="n">
        <f aca="false">Einstellungen!$B$5+INT((ROW()-9)/24)</f>
        <v>46154</v>
      </c>
      <c r="B4524" s="11" t="n">
        <f aca="false">MOD(ROW()-9,24)</f>
        <v>3</v>
      </c>
      <c r="C4524" s="12"/>
      <c r="D4524" s="13" t="n">
        <f aca="false">IF(B4524&lt;5,Einstellungen!$B$3,Einstellungen!$B$4)</f>
        <v>15.92</v>
      </c>
      <c r="E4524" s="14" t="str">
        <f aca="false">IF(C4524="","",C4524*D4524/100)</f>
        <v/>
      </c>
      <c r="F4524" s="15" t="str">
        <f aca="false">IF(B4524&lt;5,"Go","Standard")</f>
        <v>Go</v>
      </c>
    </row>
    <row r="4525" customFormat="false" ht="15" hidden="false" customHeight="true" outlineLevel="0" collapsed="false">
      <c r="A4525" s="10" t="n">
        <f aca="false">Einstellungen!$B$5+INT((ROW()-9)/24)</f>
        <v>46154</v>
      </c>
      <c r="B4525" s="11" t="n">
        <f aca="false">MOD(ROW()-9,24)</f>
        <v>4</v>
      </c>
      <c r="C4525" s="12"/>
      <c r="D4525" s="13" t="n">
        <f aca="false">IF(B4525&lt;5,Einstellungen!$B$3,Einstellungen!$B$4)</f>
        <v>15.92</v>
      </c>
      <c r="E4525" s="14" t="str">
        <f aca="false">IF(C4525="","",C4525*D4525/100)</f>
        <v/>
      </c>
      <c r="F4525" s="15" t="str">
        <f aca="false">IF(B4525&lt;5,"Go","Standard")</f>
        <v>Go</v>
      </c>
    </row>
    <row r="4526" customFormat="false" ht="15" hidden="false" customHeight="true" outlineLevel="0" collapsed="false">
      <c r="A4526" s="10" t="n">
        <f aca="false">Einstellungen!$B$5+INT((ROW()-9)/24)</f>
        <v>46154</v>
      </c>
      <c r="B4526" s="11" t="n">
        <f aca="false">MOD(ROW()-9,24)</f>
        <v>5</v>
      </c>
      <c r="C4526" s="12"/>
      <c r="D4526" s="13" t="n">
        <f aca="false">IF(B4526&lt;5,Einstellungen!$B$3,Einstellungen!$B$4)</f>
        <v>29.13</v>
      </c>
      <c r="E4526" s="14" t="str">
        <f aca="false">IF(C4526="","",C4526*D4526/100)</f>
        <v/>
      </c>
      <c r="F4526" s="15" t="str">
        <f aca="false">IF(B4526&lt;5,"Go","Standard")</f>
        <v>Standard</v>
      </c>
    </row>
    <row r="4527" customFormat="false" ht="15" hidden="false" customHeight="true" outlineLevel="0" collapsed="false">
      <c r="A4527" s="10" t="n">
        <f aca="false">Einstellungen!$B$5+INT((ROW()-9)/24)</f>
        <v>46154</v>
      </c>
      <c r="B4527" s="11" t="n">
        <f aca="false">MOD(ROW()-9,24)</f>
        <v>6</v>
      </c>
      <c r="C4527" s="12"/>
      <c r="D4527" s="13" t="n">
        <f aca="false">IF(B4527&lt;5,Einstellungen!$B$3,Einstellungen!$B$4)</f>
        <v>29.13</v>
      </c>
      <c r="E4527" s="14" t="str">
        <f aca="false">IF(C4527="","",C4527*D4527/100)</f>
        <v/>
      </c>
      <c r="F4527" s="15" t="str">
        <f aca="false">IF(B4527&lt;5,"Go","Standard")</f>
        <v>Standard</v>
      </c>
    </row>
    <row r="4528" customFormat="false" ht="15" hidden="false" customHeight="true" outlineLevel="0" collapsed="false">
      <c r="A4528" s="10" t="n">
        <f aca="false">Einstellungen!$B$5+INT((ROW()-9)/24)</f>
        <v>46154</v>
      </c>
      <c r="B4528" s="11" t="n">
        <f aca="false">MOD(ROW()-9,24)</f>
        <v>7</v>
      </c>
      <c r="C4528" s="12"/>
      <c r="D4528" s="13" t="n">
        <f aca="false">IF(B4528&lt;5,Einstellungen!$B$3,Einstellungen!$B$4)</f>
        <v>29.13</v>
      </c>
      <c r="E4528" s="14" t="str">
        <f aca="false">IF(C4528="","",C4528*D4528/100)</f>
        <v/>
      </c>
      <c r="F4528" s="15" t="str">
        <f aca="false">IF(B4528&lt;5,"Go","Standard")</f>
        <v>Standard</v>
      </c>
    </row>
    <row r="4529" customFormat="false" ht="15" hidden="false" customHeight="true" outlineLevel="0" collapsed="false">
      <c r="A4529" s="10" t="n">
        <f aca="false">Einstellungen!$B$5+INT((ROW()-9)/24)</f>
        <v>46154</v>
      </c>
      <c r="B4529" s="11" t="n">
        <f aca="false">MOD(ROW()-9,24)</f>
        <v>8</v>
      </c>
      <c r="C4529" s="12"/>
      <c r="D4529" s="13" t="n">
        <f aca="false">IF(B4529&lt;5,Einstellungen!$B$3,Einstellungen!$B$4)</f>
        <v>29.13</v>
      </c>
      <c r="E4529" s="14" t="str">
        <f aca="false">IF(C4529="","",C4529*D4529/100)</f>
        <v/>
      </c>
      <c r="F4529" s="15" t="str">
        <f aca="false">IF(B4529&lt;5,"Go","Standard")</f>
        <v>Standard</v>
      </c>
    </row>
    <row r="4530" customFormat="false" ht="15" hidden="false" customHeight="true" outlineLevel="0" collapsed="false">
      <c r="A4530" s="10" t="n">
        <f aca="false">Einstellungen!$B$5+INT((ROW()-9)/24)</f>
        <v>46154</v>
      </c>
      <c r="B4530" s="11" t="n">
        <f aca="false">MOD(ROW()-9,24)</f>
        <v>9</v>
      </c>
      <c r="C4530" s="12"/>
      <c r="D4530" s="13" t="n">
        <f aca="false">IF(B4530&lt;5,Einstellungen!$B$3,Einstellungen!$B$4)</f>
        <v>29.13</v>
      </c>
      <c r="E4530" s="14" t="str">
        <f aca="false">IF(C4530="","",C4530*D4530/100)</f>
        <v/>
      </c>
      <c r="F4530" s="15" t="str">
        <f aca="false">IF(B4530&lt;5,"Go","Standard")</f>
        <v>Standard</v>
      </c>
    </row>
    <row r="4531" customFormat="false" ht="15" hidden="false" customHeight="true" outlineLevel="0" collapsed="false">
      <c r="A4531" s="10" t="n">
        <f aca="false">Einstellungen!$B$5+INT((ROW()-9)/24)</f>
        <v>46154</v>
      </c>
      <c r="B4531" s="11" t="n">
        <f aca="false">MOD(ROW()-9,24)</f>
        <v>10</v>
      </c>
      <c r="C4531" s="12"/>
      <c r="D4531" s="13" t="n">
        <f aca="false">IF(B4531&lt;5,Einstellungen!$B$3,Einstellungen!$B$4)</f>
        <v>29.13</v>
      </c>
      <c r="E4531" s="14" t="str">
        <f aca="false">IF(C4531="","",C4531*D4531/100)</f>
        <v/>
      </c>
      <c r="F4531" s="15" t="str">
        <f aca="false">IF(B4531&lt;5,"Go","Standard")</f>
        <v>Standard</v>
      </c>
    </row>
    <row r="4532" customFormat="false" ht="15" hidden="false" customHeight="true" outlineLevel="0" collapsed="false">
      <c r="A4532" s="10" t="n">
        <f aca="false">Einstellungen!$B$5+INT((ROW()-9)/24)</f>
        <v>46154</v>
      </c>
      <c r="B4532" s="11" t="n">
        <f aca="false">MOD(ROW()-9,24)</f>
        <v>11</v>
      </c>
      <c r="C4532" s="12"/>
      <c r="D4532" s="13" t="n">
        <f aca="false">IF(B4532&lt;5,Einstellungen!$B$3,Einstellungen!$B$4)</f>
        <v>29.13</v>
      </c>
      <c r="E4532" s="14" t="str">
        <f aca="false">IF(C4532="","",C4532*D4532/100)</f>
        <v/>
      </c>
      <c r="F4532" s="15" t="str">
        <f aca="false">IF(B4532&lt;5,"Go","Standard")</f>
        <v>Standard</v>
      </c>
    </row>
    <row r="4533" customFormat="false" ht="15" hidden="false" customHeight="true" outlineLevel="0" collapsed="false">
      <c r="A4533" s="10" t="n">
        <f aca="false">Einstellungen!$B$5+INT((ROW()-9)/24)</f>
        <v>46154</v>
      </c>
      <c r="B4533" s="11" t="n">
        <f aca="false">MOD(ROW()-9,24)</f>
        <v>12</v>
      </c>
      <c r="C4533" s="12"/>
      <c r="D4533" s="13" t="n">
        <f aca="false">IF(B4533&lt;5,Einstellungen!$B$3,Einstellungen!$B$4)</f>
        <v>29.13</v>
      </c>
      <c r="E4533" s="14" t="str">
        <f aca="false">IF(C4533="","",C4533*D4533/100)</f>
        <v/>
      </c>
      <c r="F4533" s="15" t="str">
        <f aca="false">IF(B4533&lt;5,"Go","Standard")</f>
        <v>Standard</v>
      </c>
    </row>
    <row r="4534" customFormat="false" ht="15" hidden="false" customHeight="true" outlineLevel="0" collapsed="false">
      <c r="A4534" s="10" t="n">
        <f aca="false">Einstellungen!$B$5+INT((ROW()-9)/24)</f>
        <v>46154</v>
      </c>
      <c r="B4534" s="11" t="n">
        <f aca="false">MOD(ROW()-9,24)</f>
        <v>13</v>
      </c>
      <c r="C4534" s="12"/>
      <c r="D4534" s="13" t="n">
        <f aca="false">IF(B4534&lt;5,Einstellungen!$B$3,Einstellungen!$B$4)</f>
        <v>29.13</v>
      </c>
      <c r="E4534" s="14" t="str">
        <f aca="false">IF(C4534="","",C4534*D4534/100)</f>
        <v/>
      </c>
      <c r="F4534" s="15" t="str">
        <f aca="false">IF(B4534&lt;5,"Go","Standard")</f>
        <v>Standard</v>
      </c>
    </row>
    <row r="4535" customFormat="false" ht="15" hidden="false" customHeight="true" outlineLevel="0" collapsed="false">
      <c r="A4535" s="10" t="n">
        <f aca="false">Einstellungen!$B$5+INT((ROW()-9)/24)</f>
        <v>46154</v>
      </c>
      <c r="B4535" s="11" t="n">
        <f aca="false">MOD(ROW()-9,24)</f>
        <v>14</v>
      </c>
      <c r="C4535" s="12"/>
      <c r="D4535" s="13" t="n">
        <f aca="false">IF(B4535&lt;5,Einstellungen!$B$3,Einstellungen!$B$4)</f>
        <v>29.13</v>
      </c>
      <c r="E4535" s="14" t="str">
        <f aca="false">IF(C4535="","",C4535*D4535/100)</f>
        <v/>
      </c>
      <c r="F4535" s="15" t="str">
        <f aca="false">IF(B4535&lt;5,"Go","Standard")</f>
        <v>Standard</v>
      </c>
    </row>
    <row r="4536" customFormat="false" ht="15" hidden="false" customHeight="true" outlineLevel="0" collapsed="false">
      <c r="A4536" s="10" t="n">
        <f aca="false">Einstellungen!$B$5+INT((ROW()-9)/24)</f>
        <v>46154</v>
      </c>
      <c r="B4536" s="11" t="n">
        <f aca="false">MOD(ROW()-9,24)</f>
        <v>15</v>
      </c>
      <c r="C4536" s="12"/>
      <c r="D4536" s="13" t="n">
        <f aca="false">IF(B4536&lt;5,Einstellungen!$B$3,Einstellungen!$B$4)</f>
        <v>29.13</v>
      </c>
      <c r="E4536" s="14" t="str">
        <f aca="false">IF(C4536="","",C4536*D4536/100)</f>
        <v/>
      </c>
      <c r="F4536" s="15" t="str">
        <f aca="false">IF(B4536&lt;5,"Go","Standard")</f>
        <v>Standard</v>
      </c>
    </row>
    <row r="4537" customFormat="false" ht="15" hidden="false" customHeight="true" outlineLevel="0" collapsed="false">
      <c r="A4537" s="10" t="n">
        <f aca="false">Einstellungen!$B$5+INT((ROW()-9)/24)</f>
        <v>46154</v>
      </c>
      <c r="B4537" s="11" t="n">
        <f aca="false">MOD(ROW()-9,24)</f>
        <v>16</v>
      </c>
      <c r="C4537" s="12"/>
      <c r="D4537" s="13" t="n">
        <f aca="false">IF(B4537&lt;5,Einstellungen!$B$3,Einstellungen!$B$4)</f>
        <v>29.13</v>
      </c>
      <c r="E4537" s="14" t="str">
        <f aca="false">IF(C4537="","",C4537*D4537/100)</f>
        <v/>
      </c>
      <c r="F4537" s="15" t="str">
        <f aca="false">IF(B4537&lt;5,"Go","Standard")</f>
        <v>Standard</v>
      </c>
    </row>
    <row r="4538" customFormat="false" ht="15" hidden="false" customHeight="true" outlineLevel="0" collapsed="false">
      <c r="A4538" s="10" t="n">
        <f aca="false">Einstellungen!$B$5+INT((ROW()-9)/24)</f>
        <v>46154</v>
      </c>
      <c r="B4538" s="11" t="n">
        <f aca="false">MOD(ROW()-9,24)</f>
        <v>17</v>
      </c>
      <c r="C4538" s="12"/>
      <c r="D4538" s="13" t="n">
        <f aca="false">IF(B4538&lt;5,Einstellungen!$B$3,Einstellungen!$B$4)</f>
        <v>29.13</v>
      </c>
      <c r="E4538" s="14" t="str">
        <f aca="false">IF(C4538="","",C4538*D4538/100)</f>
        <v/>
      </c>
      <c r="F4538" s="15" t="str">
        <f aca="false">IF(B4538&lt;5,"Go","Standard")</f>
        <v>Standard</v>
      </c>
    </row>
    <row r="4539" customFormat="false" ht="15" hidden="false" customHeight="true" outlineLevel="0" collapsed="false">
      <c r="A4539" s="10" t="n">
        <f aca="false">Einstellungen!$B$5+INT((ROW()-9)/24)</f>
        <v>46154</v>
      </c>
      <c r="B4539" s="11" t="n">
        <f aca="false">MOD(ROW()-9,24)</f>
        <v>18</v>
      </c>
      <c r="C4539" s="12"/>
      <c r="D4539" s="13" t="n">
        <f aca="false">IF(B4539&lt;5,Einstellungen!$B$3,Einstellungen!$B$4)</f>
        <v>29.13</v>
      </c>
      <c r="E4539" s="14" t="str">
        <f aca="false">IF(C4539="","",C4539*D4539/100)</f>
        <v/>
      </c>
      <c r="F4539" s="15" t="str">
        <f aca="false">IF(B4539&lt;5,"Go","Standard")</f>
        <v>Standard</v>
      </c>
    </row>
    <row r="4540" customFormat="false" ht="15" hidden="false" customHeight="true" outlineLevel="0" collapsed="false">
      <c r="A4540" s="10" t="n">
        <f aca="false">Einstellungen!$B$5+INT((ROW()-9)/24)</f>
        <v>46154</v>
      </c>
      <c r="B4540" s="11" t="n">
        <f aca="false">MOD(ROW()-9,24)</f>
        <v>19</v>
      </c>
      <c r="C4540" s="12"/>
      <c r="D4540" s="13" t="n">
        <f aca="false">IF(B4540&lt;5,Einstellungen!$B$3,Einstellungen!$B$4)</f>
        <v>29.13</v>
      </c>
      <c r="E4540" s="14" t="str">
        <f aca="false">IF(C4540="","",C4540*D4540/100)</f>
        <v/>
      </c>
      <c r="F4540" s="15" t="str">
        <f aca="false">IF(B4540&lt;5,"Go","Standard")</f>
        <v>Standard</v>
      </c>
    </row>
    <row r="4541" customFormat="false" ht="15" hidden="false" customHeight="true" outlineLevel="0" collapsed="false">
      <c r="A4541" s="10" t="n">
        <f aca="false">Einstellungen!$B$5+INT((ROW()-9)/24)</f>
        <v>46154</v>
      </c>
      <c r="B4541" s="11" t="n">
        <f aca="false">MOD(ROW()-9,24)</f>
        <v>20</v>
      </c>
      <c r="C4541" s="12"/>
      <c r="D4541" s="13" t="n">
        <f aca="false">IF(B4541&lt;5,Einstellungen!$B$3,Einstellungen!$B$4)</f>
        <v>29.13</v>
      </c>
      <c r="E4541" s="14" t="str">
        <f aca="false">IF(C4541="","",C4541*D4541/100)</f>
        <v/>
      </c>
      <c r="F4541" s="15" t="str">
        <f aca="false">IF(B4541&lt;5,"Go","Standard")</f>
        <v>Standard</v>
      </c>
    </row>
    <row r="4542" customFormat="false" ht="15" hidden="false" customHeight="true" outlineLevel="0" collapsed="false">
      <c r="A4542" s="10" t="n">
        <f aca="false">Einstellungen!$B$5+INT((ROW()-9)/24)</f>
        <v>46154</v>
      </c>
      <c r="B4542" s="11" t="n">
        <f aca="false">MOD(ROW()-9,24)</f>
        <v>21</v>
      </c>
      <c r="C4542" s="12"/>
      <c r="D4542" s="13" t="n">
        <f aca="false">IF(B4542&lt;5,Einstellungen!$B$3,Einstellungen!$B$4)</f>
        <v>29.13</v>
      </c>
      <c r="E4542" s="14" t="str">
        <f aca="false">IF(C4542="","",C4542*D4542/100)</f>
        <v/>
      </c>
      <c r="F4542" s="15" t="str">
        <f aca="false">IF(B4542&lt;5,"Go","Standard")</f>
        <v>Standard</v>
      </c>
    </row>
    <row r="4543" customFormat="false" ht="15" hidden="false" customHeight="true" outlineLevel="0" collapsed="false">
      <c r="A4543" s="10" t="n">
        <f aca="false">Einstellungen!$B$5+INT((ROW()-9)/24)</f>
        <v>46154</v>
      </c>
      <c r="B4543" s="11" t="n">
        <f aca="false">MOD(ROW()-9,24)</f>
        <v>22</v>
      </c>
      <c r="C4543" s="12"/>
      <c r="D4543" s="13" t="n">
        <f aca="false">IF(B4543&lt;5,Einstellungen!$B$3,Einstellungen!$B$4)</f>
        <v>29.13</v>
      </c>
      <c r="E4543" s="14" t="str">
        <f aca="false">IF(C4543="","",C4543*D4543/100)</f>
        <v/>
      </c>
      <c r="F4543" s="15" t="str">
        <f aca="false">IF(B4543&lt;5,"Go","Standard")</f>
        <v>Standard</v>
      </c>
    </row>
    <row r="4544" customFormat="false" ht="15" hidden="false" customHeight="true" outlineLevel="0" collapsed="false">
      <c r="A4544" s="10" t="n">
        <f aca="false">Einstellungen!$B$5+INT((ROW()-9)/24)</f>
        <v>46154</v>
      </c>
      <c r="B4544" s="11" t="n">
        <f aca="false">MOD(ROW()-9,24)</f>
        <v>23</v>
      </c>
      <c r="C4544" s="12"/>
      <c r="D4544" s="13" t="n">
        <f aca="false">IF(B4544&lt;5,Einstellungen!$B$3,Einstellungen!$B$4)</f>
        <v>29.13</v>
      </c>
      <c r="E4544" s="14" t="str">
        <f aca="false">IF(C4544="","",C4544*D4544/100)</f>
        <v/>
      </c>
      <c r="F4544" s="15" t="str">
        <f aca="false">IF(B4544&lt;5,"Go","Standard")</f>
        <v>Standard</v>
      </c>
    </row>
    <row r="4545" customFormat="false" ht="15" hidden="false" customHeight="true" outlineLevel="0" collapsed="false">
      <c r="A4545" s="10" t="n">
        <f aca="false">Einstellungen!$B$5+INT((ROW()-9)/24)</f>
        <v>46155</v>
      </c>
      <c r="B4545" s="11" t="n">
        <f aca="false">MOD(ROW()-9,24)</f>
        <v>0</v>
      </c>
      <c r="C4545" s="12"/>
      <c r="D4545" s="13" t="n">
        <f aca="false">IF(B4545&lt;5,Einstellungen!$B$3,Einstellungen!$B$4)</f>
        <v>15.92</v>
      </c>
      <c r="E4545" s="14" t="str">
        <f aca="false">IF(C4545="","",C4545*D4545/100)</f>
        <v/>
      </c>
      <c r="F4545" s="15" t="str">
        <f aca="false">IF(B4545&lt;5,"Go","Standard")</f>
        <v>Go</v>
      </c>
    </row>
    <row r="4546" customFormat="false" ht="15" hidden="false" customHeight="true" outlineLevel="0" collapsed="false">
      <c r="A4546" s="10" t="n">
        <f aca="false">Einstellungen!$B$5+INT((ROW()-9)/24)</f>
        <v>46155</v>
      </c>
      <c r="B4546" s="11" t="n">
        <f aca="false">MOD(ROW()-9,24)</f>
        <v>1</v>
      </c>
      <c r="C4546" s="12"/>
      <c r="D4546" s="13" t="n">
        <f aca="false">IF(B4546&lt;5,Einstellungen!$B$3,Einstellungen!$B$4)</f>
        <v>15.92</v>
      </c>
      <c r="E4546" s="14" t="str">
        <f aca="false">IF(C4546="","",C4546*D4546/100)</f>
        <v/>
      </c>
      <c r="F4546" s="15" t="str">
        <f aca="false">IF(B4546&lt;5,"Go","Standard")</f>
        <v>Go</v>
      </c>
    </row>
    <row r="4547" customFormat="false" ht="15" hidden="false" customHeight="true" outlineLevel="0" collapsed="false">
      <c r="A4547" s="10" t="n">
        <f aca="false">Einstellungen!$B$5+INT((ROW()-9)/24)</f>
        <v>46155</v>
      </c>
      <c r="B4547" s="11" t="n">
        <f aca="false">MOD(ROW()-9,24)</f>
        <v>2</v>
      </c>
      <c r="C4547" s="12"/>
      <c r="D4547" s="13" t="n">
        <f aca="false">IF(B4547&lt;5,Einstellungen!$B$3,Einstellungen!$B$4)</f>
        <v>15.92</v>
      </c>
      <c r="E4547" s="14" t="str">
        <f aca="false">IF(C4547="","",C4547*D4547/100)</f>
        <v/>
      </c>
      <c r="F4547" s="15" t="str">
        <f aca="false">IF(B4547&lt;5,"Go","Standard")</f>
        <v>Go</v>
      </c>
    </row>
    <row r="4548" customFormat="false" ht="15" hidden="false" customHeight="true" outlineLevel="0" collapsed="false">
      <c r="A4548" s="10" t="n">
        <f aca="false">Einstellungen!$B$5+INT((ROW()-9)/24)</f>
        <v>46155</v>
      </c>
      <c r="B4548" s="11" t="n">
        <f aca="false">MOD(ROW()-9,24)</f>
        <v>3</v>
      </c>
      <c r="C4548" s="12"/>
      <c r="D4548" s="13" t="n">
        <f aca="false">IF(B4548&lt;5,Einstellungen!$B$3,Einstellungen!$B$4)</f>
        <v>15.92</v>
      </c>
      <c r="E4548" s="14" t="str">
        <f aca="false">IF(C4548="","",C4548*D4548/100)</f>
        <v/>
      </c>
      <c r="F4548" s="15" t="str">
        <f aca="false">IF(B4548&lt;5,"Go","Standard")</f>
        <v>Go</v>
      </c>
    </row>
    <row r="4549" customFormat="false" ht="15" hidden="false" customHeight="true" outlineLevel="0" collapsed="false">
      <c r="A4549" s="10" t="n">
        <f aca="false">Einstellungen!$B$5+INT((ROW()-9)/24)</f>
        <v>46155</v>
      </c>
      <c r="B4549" s="11" t="n">
        <f aca="false">MOD(ROW()-9,24)</f>
        <v>4</v>
      </c>
      <c r="C4549" s="12"/>
      <c r="D4549" s="13" t="n">
        <f aca="false">IF(B4549&lt;5,Einstellungen!$B$3,Einstellungen!$B$4)</f>
        <v>15.92</v>
      </c>
      <c r="E4549" s="14" t="str">
        <f aca="false">IF(C4549="","",C4549*D4549/100)</f>
        <v/>
      </c>
      <c r="F4549" s="15" t="str">
        <f aca="false">IF(B4549&lt;5,"Go","Standard")</f>
        <v>Go</v>
      </c>
    </row>
    <row r="4550" customFormat="false" ht="15" hidden="false" customHeight="true" outlineLevel="0" collapsed="false">
      <c r="A4550" s="10" t="n">
        <f aca="false">Einstellungen!$B$5+INT((ROW()-9)/24)</f>
        <v>46155</v>
      </c>
      <c r="B4550" s="11" t="n">
        <f aca="false">MOD(ROW()-9,24)</f>
        <v>5</v>
      </c>
      <c r="C4550" s="12"/>
      <c r="D4550" s="13" t="n">
        <f aca="false">IF(B4550&lt;5,Einstellungen!$B$3,Einstellungen!$B$4)</f>
        <v>29.13</v>
      </c>
      <c r="E4550" s="14" t="str">
        <f aca="false">IF(C4550="","",C4550*D4550/100)</f>
        <v/>
      </c>
      <c r="F4550" s="15" t="str">
        <f aca="false">IF(B4550&lt;5,"Go","Standard")</f>
        <v>Standard</v>
      </c>
    </row>
    <row r="4551" customFormat="false" ht="15" hidden="false" customHeight="true" outlineLevel="0" collapsed="false">
      <c r="A4551" s="10" t="n">
        <f aca="false">Einstellungen!$B$5+INT((ROW()-9)/24)</f>
        <v>46155</v>
      </c>
      <c r="B4551" s="11" t="n">
        <f aca="false">MOD(ROW()-9,24)</f>
        <v>6</v>
      </c>
      <c r="C4551" s="12"/>
      <c r="D4551" s="13" t="n">
        <f aca="false">IF(B4551&lt;5,Einstellungen!$B$3,Einstellungen!$B$4)</f>
        <v>29.13</v>
      </c>
      <c r="E4551" s="14" t="str">
        <f aca="false">IF(C4551="","",C4551*D4551/100)</f>
        <v/>
      </c>
      <c r="F4551" s="15" t="str">
        <f aca="false">IF(B4551&lt;5,"Go","Standard")</f>
        <v>Standard</v>
      </c>
    </row>
    <row r="4552" customFormat="false" ht="15" hidden="false" customHeight="true" outlineLevel="0" collapsed="false">
      <c r="A4552" s="10" t="n">
        <f aca="false">Einstellungen!$B$5+INT((ROW()-9)/24)</f>
        <v>46155</v>
      </c>
      <c r="B4552" s="11" t="n">
        <f aca="false">MOD(ROW()-9,24)</f>
        <v>7</v>
      </c>
      <c r="C4552" s="12"/>
      <c r="D4552" s="13" t="n">
        <f aca="false">IF(B4552&lt;5,Einstellungen!$B$3,Einstellungen!$B$4)</f>
        <v>29.13</v>
      </c>
      <c r="E4552" s="14" t="str">
        <f aca="false">IF(C4552="","",C4552*D4552/100)</f>
        <v/>
      </c>
      <c r="F4552" s="15" t="str">
        <f aca="false">IF(B4552&lt;5,"Go","Standard")</f>
        <v>Standard</v>
      </c>
    </row>
    <row r="4553" customFormat="false" ht="15" hidden="false" customHeight="true" outlineLevel="0" collapsed="false">
      <c r="A4553" s="10" t="n">
        <f aca="false">Einstellungen!$B$5+INT((ROW()-9)/24)</f>
        <v>46155</v>
      </c>
      <c r="B4553" s="11" t="n">
        <f aca="false">MOD(ROW()-9,24)</f>
        <v>8</v>
      </c>
      <c r="C4553" s="12"/>
      <c r="D4553" s="13" t="n">
        <f aca="false">IF(B4553&lt;5,Einstellungen!$B$3,Einstellungen!$B$4)</f>
        <v>29.13</v>
      </c>
      <c r="E4553" s="14" t="str">
        <f aca="false">IF(C4553="","",C4553*D4553/100)</f>
        <v/>
      </c>
      <c r="F4553" s="15" t="str">
        <f aca="false">IF(B4553&lt;5,"Go","Standard")</f>
        <v>Standard</v>
      </c>
    </row>
    <row r="4554" customFormat="false" ht="15" hidden="false" customHeight="true" outlineLevel="0" collapsed="false">
      <c r="A4554" s="10" t="n">
        <f aca="false">Einstellungen!$B$5+INT((ROW()-9)/24)</f>
        <v>46155</v>
      </c>
      <c r="B4554" s="11" t="n">
        <f aca="false">MOD(ROW()-9,24)</f>
        <v>9</v>
      </c>
      <c r="C4554" s="12"/>
      <c r="D4554" s="13" t="n">
        <f aca="false">IF(B4554&lt;5,Einstellungen!$B$3,Einstellungen!$B$4)</f>
        <v>29.13</v>
      </c>
      <c r="E4554" s="14" t="str">
        <f aca="false">IF(C4554="","",C4554*D4554/100)</f>
        <v/>
      </c>
      <c r="F4554" s="15" t="str">
        <f aca="false">IF(B4554&lt;5,"Go","Standard")</f>
        <v>Standard</v>
      </c>
    </row>
    <row r="4555" customFormat="false" ht="15" hidden="false" customHeight="true" outlineLevel="0" collapsed="false">
      <c r="A4555" s="10" t="n">
        <f aca="false">Einstellungen!$B$5+INT((ROW()-9)/24)</f>
        <v>46155</v>
      </c>
      <c r="B4555" s="11" t="n">
        <f aca="false">MOD(ROW()-9,24)</f>
        <v>10</v>
      </c>
      <c r="C4555" s="12"/>
      <c r="D4555" s="13" t="n">
        <f aca="false">IF(B4555&lt;5,Einstellungen!$B$3,Einstellungen!$B$4)</f>
        <v>29.13</v>
      </c>
      <c r="E4555" s="14" t="str">
        <f aca="false">IF(C4555="","",C4555*D4555/100)</f>
        <v/>
      </c>
      <c r="F4555" s="15" t="str">
        <f aca="false">IF(B4555&lt;5,"Go","Standard")</f>
        <v>Standard</v>
      </c>
    </row>
    <row r="4556" customFormat="false" ht="15" hidden="false" customHeight="true" outlineLevel="0" collapsed="false">
      <c r="A4556" s="10" t="n">
        <f aca="false">Einstellungen!$B$5+INT((ROW()-9)/24)</f>
        <v>46155</v>
      </c>
      <c r="B4556" s="11" t="n">
        <f aca="false">MOD(ROW()-9,24)</f>
        <v>11</v>
      </c>
      <c r="C4556" s="12"/>
      <c r="D4556" s="13" t="n">
        <f aca="false">IF(B4556&lt;5,Einstellungen!$B$3,Einstellungen!$B$4)</f>
        <v>29.13</v>
      </c>
      <c r="E4556" s="14" t="str">
        <f aca="false">IF(C4556="","",C4556*D4556/100)</f>
        <v/>
      </c>
      <c r="F4556" s="15" t="str">
        <f aca="false">IF(B4556&lt;5,"Go","Standard")</f>
        <v>Standard</v>
      </c>
    </row>
    <row r="4557" customFormat="false" ht="15" hidden="false" customHeight="true" outlineLevel="0" collapsed="false">
      <c r="A4557" s="10" t="n">
        <f aca="false">Einstellungen!$B$5+INT((ROW()-9)/24)</f>
        <v>46155</v>
      </c>
      <c r="B4557" s="11" t="n">
        <f aca="false">MOD(ROW()-9,24)</f>
        <v>12</v>
      </c>
      <c r="C4557" s="12"/>
      <c r="D4557" s="13" t="n">
        <f aca="false">IF(B4557&lt;5,Einstellungen!$B$3,Einstellungen!$B$4)</f>
        <v>29.13</v>
      </c>
      <c r="E4557" s="14" t="str">
        <f aca="false">IF(C4557="","",C4557*D4557/100)</f>
        <v/>
      </c>
      <c r="F4557" s="15" t="str">
        <f aca="false">IF(B4557&lt;5,"Go","Standard")</f>
        <v>Standard</v>
      </c>
    </row>
    <row r="4558" customFormat="false" ht="15" hidden="false" customHeight="true" outlineLevel="0" collapsed="false">
      <c r="A4558" s="10" t="n">
        <f aca="false">Einstellungen!$B$5+INT((ROW()-9)/24)</f>
        <v>46155</v>
      </c>
      <c r="B4558" s="11" t="n">
        <f aca="false">MOD(ROW()-9,24)</f>
        <v>13</v>
      </c>
      <c r="C4558" s="12"/>
      <c r="D4558" s="13" t="n">
        <f aca="false">IF(B4558&lt;5,Einstellungen!$B$3,Einstellungen!$B$4)</f>
        <v>29.13</v>
      </c>
      <c r="E4558" s="14" t="str">
        <f aca="false">IF(C4558="","",C4558*D4558/100)</f>
        <v/>
      </c>
      <c r="F4558" s="15" t="str">
        <f aca="false">IF(B4558&lt;5,"Go","Standard")</f>
        <v>Standard</v>
      </c>
    </row>
    <row r="4559" customFormat="false" ht="15" hidden="false" customHeight="true" outlineLevel="0" collapsed="false">
      <c r="A4559" s="10" t="n">
        <f aca="false">Einstellungen!$B$5+INT((ROW()-9)/24)</f>
        <v>46155</v>
      </c>
      <c r="B4559" s="11" t="n">
        <f aca="false">MOD(ROW()-9,24)</f>
        <v>14</v>
      </c>
      <c r="C4559" s="12"/>
      <c r="D4559" s="13" t="n">
        <f aca="false">IF(B4559&lt;5,Einstellungen!$B$3,Einstellungen!$B$4)</f>
        <v>29.13</v>
      </c>
      <c r="E4559" s="14" t="str">
        <f aca="false">IF(C4559="","",C4559*D4559/100)</f>
        <v/>
      </c>
      <c r="F4559" s="15" t="str">
        <f aca="false">IF(B4559&lt;5,"Go","Standard")</f>
        <v>Standard</v>
      </c>
    </row>
    <row r="4560" customFormat="false" ht="15" hidden="false" customHeight="true" outlineLevel="0" collapsed="false">
      <c r="A4560" s="10" t="n">
        <f aca="false">Einstellungen!$B$5+INT((ROW()-9)/24)</f>
        <v>46155</v>
      </c>
      <c r="B4560" s="11" t="n">
        <f aca="false">MOD(ROW()-9,24)</f>
        <v>15</v>
      </c>
      <c r="C4560" s="12"/>
      <c r="D4560" s="13" t="n">
        <f aca="false">IF(B4560&lt;5,Einstellungen!$B$3,Einstellungen!$B$4)</f>
        <v>29.13</v>
      </c>
      <c r="E4560" s="14" t="str">
        <f aca="false">IF(C4560="","",C4560*D4560/100)</f>
        <v/>
      </c>
      <c r="F4560" s="15" t="str">
        <f aca="false">IF(B4560&lt;5,"Go","Standard")</f>
        <v>Standard</v>
      </c>
    </row>
    <row r="4561" customFormat="false" ht="15" hidden="false" customHeight="true" outlineLevel="0" collapsed="false">
      <c r="A4561" s="10" t="n">
        <f aca="false">Einstellungen!$B$5+INT((ROW()-9)/24)</f>
        <v>46155</v>
      </c>
      <c r="B4561" s="11" t="n">
        <f aca="false">MOD(ROW()-9,24)</f>
        <v>16</v>
      </c>
      <c r="C4561" s="12"/>
      <c r="D4561" s="13" t="n">
        <f aca="false">IF(B4561&lt;5,Einstellungen!$B$3,Einstellungen!$B$4)</f>
        <v>29.13</v>
      </c>
      <c r="E4561" s="14" t="str">
        <f aca="false">IF(C4561="","",C4561*D4561/100)</f>
        <v/>
      </c>
      <c r="F4561" s="15" t="str">
        <f aca="false">IF(B4561&lt;5,"Go","Standard")</f>
        <v>Standard</v>
      </c>
    </row>
    <row r="4562" customFormat="false" ht="15" hidden="false" customHeight="true" outlineLevel="0" collapsed="false">
      <c r="A4562" s="10" t="n">
        <f aca="false">Einstellungen!$B$5+INT((ROW()-9)/24)</f>
        <v>46155</v>
      </c>
      <c r="B4562" s="11" t="n">
        <f aca="false">MOD(ROW()-9,24)</f>
        <v>17</v>
      </c>
      <c r="C4562" s="12"/>
      <c r="D4562" s="13" t="n">
        <f aca="false">IF(B4562&lt;5,Einstellungen!$B$3,Einstellungen!$B$4)</f>
        <v>29.13</v>
      </c>
      <c r="E4562" s="14" t="str">
        <f aca="false">IF(C4562="","",C4562*D4562/100)</f>
        <v/>
      </c>
      <c r="F4562" s="15" t="str">
        <f aca="false">IF(B4562&lt;5,"Go","Standard")</f>
        <v>Standard</v>
      </c>
    </row>
    <row r="4563" customFormat="false" ht="15" hidden="false" customHeight="true" outlineLevel="0" collapsed="false">
      <c r="A4563" s="10" t="n">
        <f aca="false">Einstellungen!$B$5+INT((ROW()-9)/24)</f>
        <v>46155</v>
      </c>
      <c r="B4563" s="11" t="n">
        <f aca="false">MOD(ROW()-9,24)</f>
        <v>18</v>
      </c>
      <c r="C4563" s="12"/>
      <c r="D4563" s="13" t="n">
        <f aca="false">IF(B4563&lt;5,Einstellungen!$B$3,Einstellungen!$B$4)</f>
        <v>29.13</v>
      </c>
      <c r="E4563" s="14" t="str">
        <f aca="false">IF(C4563="","",C4563*D4563/100)</f>
        <v/>
      </c>
      <c r="F4563" s="15" t="str">
        <f aca="false">IF(B4563&lt;5,"Go","Standard")</f>
        <v>Standard</v>
      </c>
    </row>
    <row r="4564" customFormat="false" ht="15" hidden="false" customHeight="true" outlineLevel="0" collapsed="false">
      <c r="A4564" s="10" t="n">
        <f aca="false">Einstellungen!$B$5+INT((ROW()-9)/24)</f>
        <v>46155</v>
      </c>
      <c r="B4564" s="11" t="n">
        <f aca="false">MOD(ROW()-9,24)</f>
        <v>19</v>
      </c>
      <c r="C4564" s="12"/>
      <c r="D4564" s="13" t="n">
        <f aca="false">IF(B4564&lt;5,Einstellungen!$B$3,Einstellungen!$B$4)</f>
        <v>29.13</v>
      </c>
      <c r="E4564" s="14" t="str">
        <f aca="false">IF(C4564="","",C4564*D4564/100)</f>
        <v/>
      </c>
      <c r="F4564" s="15" t="str">
        <f aca="false">IF(B4564&lt;5,"Go","Standard")</f>
        <v>Standard</v>
      </c>
    </row>
    <row r="4565" customFormat="false" ht="15" hidden="false" customHeight="true" outlineLevel="0" collapsed="false">
      <c r="A4565" s="10" t="n">
        <f aca="false">Einstellungen!$B$5+INT((ROW()-9)/24)</f>
        <v>46155</v>
      </c>
      <c r="B4565" s="11" t="n">
        <f aca="false">MOD(ROW()-9,24)</f>
        <v>20</v>
      </c>
      <c r="C4565" s="12"/>
      <c r="D4565" s="13" t="n">
        <f aca="false">IF(B4565&lt;5,Einstellungen!$B$3,Einstellungen!$B$4)</f>
        <v>29.13</v>
      </c>
      <c r="E4565" s="14" t="str">
        <f aca="false">IF(C4565="","",C4565*D4565/100)</f>
        <v/>
      </c>
      <c r="F4565" s="15" t="str">
        <f aca="false">IF(B4565&lt;5,"Go","Standard")</f>
        <v>Standard</v>
      </c>
    </row>
    <row r="4566" customFormat="false" ht="15" hidden="false" customHeight="true" outlineLevel="0" collapsed="false">
      <c r="A4566" s="10" t="n">
        <f aca="false">Einstellungen!$B$5+INT((ROW()-9)/24)</f>
        <v>46155</v>
      </c>
      <c r="B4566" s="11" t="n">
        <f aca="false">MOD(ROW()-9,24)</f>
        <v>21</v>
      </c>
      <c r="C4566" s="12"/>
      <c r="D4566" s="13" t="n">
        <f aca="false">IF(B4566&lt;5,Einstellungen!$B$3,Einstellungen!$B$4)</f>
        <v>29.13</v>
      </c>
      <c r="E4566" s="14" t="str">
        <f aca="false">IF(C4566="","",C4566*D4566/100)</f>
        <v/>
      </c>
      <c r="F4566" s="15" t="str">
        <f aca="false">IF(B4566&lt;5,"Go","Standard")</f>
        <v>Standard</v>
      </c>
    </row>
    <row r="4567" customFormat="false" ht="15" hidden="false" customHeight="true" outlineLevel="0" collapsed="false">
      <c r="A4567" s="10" t="n">
        <f aca="false">Einstellungen!$B$5+INT((ROW()-9)/24)</f>
        <v>46155</v>
      </c>
      <c r="B4567" s="11" t="n">
        <f aca="false">MOD(ROW()-9,24)</f>
        <v>22</v>
      </c>
      <c r="C4567" s="12"/>
      <c r="D4567" s="13" t="n">
        <f aca="false">IF(B4567&lt;5,Einstellungen!$B$3,Einstellungen!$B$4)</f>
        <v>29.13</v>
      </c>
      <c r="E4567" s="14" t="str">
        <f aca="false">IF(C4567="","",C4567*D4567/100)</f>
        <v/>
      </c>
      <c r="F4567" s="15" t="str">
        <f aca="false">IF(B4567&lt;5,"Go","Standard")</f>
        <v>Standard</v>
      </c>
    </row>
    <row r="4568" customFormat="false" ht="15" hidden="false" customHeight="true" outlineLevel="0" collapsed="false">
      <c r="A4568" s="10" t="n">
        <f aca="false">Einstellungen!$B$5+INT((ROW()-9)/24)</f>
        <v>46155</v>
      </c>
      <c r="B4568" s="11" t="n">
        <f aca="false">MOD(ROW()-9,24)</f>
        <v>23</v>
      </c>
      <c r="C4568" s="12"/>
      <c r="D4568" s="13" t="n">
        <f aca="false">IF(B4568&lt;5,Einstellungen!$B$3,Einstellungen!$B$4)</f>
        <v>29.13</v>
      </c>
      <c r="E4568" s="14" t="str">
        <f aca="false">IF(C4568="","",C4568*D4568/100)</f>
        <v/>
      </c>
      <c r="F4568" s="15" t="str">
        <f aca="false">IF(B4568&lt;5,"Go","Standard")</f>
        <v>Standard</v>
      </c>
    </row>
    <row r="4569" customFormat="false" ht="15" hidden="false" customHeight="true" outlineLevel="0" collapsed="false">
      <c r="A4569" s="10" t="n">
        <f aca="false">Einstellungen!$B$5+INT((ROW()-9)/24)</f>
        <v>46156</v>
      </c>
      <c r="B4569" s="11" t="n">
        <f aca="false">MOD(ROW()-9,24)</f>
        <v>0</v>
      </c>
      <c r="C4569" s="12"/>
      <c r="D4569" s="13" t="n">
        <f aca="false">IF(B4569&lt;5,Einstellungen!$B$3,Einstellungen!$B$4)</f>
        <v>15.92</v>
      </c>
      <c r="E4569" s="14" t="str">
        <f aca="false">IF(C4569="","",C4569*D4569/100)</f>
        <v/>
      </c>
      <c r="F4569" s="15" t="str">
        <f aca="false">IF(B4569&lt;5,"Go","Standard")</f>
        <v>Go</v>
      </c>
    </row>
    <row r="4570" customFormat="false" ht="15" hidden="false" customHeight="true" outlineLevel="0" collapsed="false">
      <c r="A4570" s="10" t="n">
        <f aca="false">Einstellungen!$B$5+INT((ROW()-9)/24)</f>
        <v>46156</v>
      </c>
      <c r="B4570" s="11" t="n">
        <f aca="false">MOD(ROW()-9,24)</f>
        <v>1</v>
      </c>
      <c r="C4570" s="12"/>
      <c r="D4570" s="13" t="n">
        <f aca="false">IF(B4570&lt;5,Einstellungen!$B$3,Einstellungen!$B$4)</f>
        <v>15.92</v>
      </c>
      <c r="E4570" s="14" t="str">
        <f aca="false">IF(C4570="","",C4570*D4570/100)</f>
        <v/>
      </c>
      <c r="F4570" s="15" t="str">
        <f aca="false">IF(B4570&lt;5,"Go","Standard")</f>
        <v>Go</v>
      </c>
    </row>
    <row r="4571" customFormat="false" ht="15" hidden="false" customHeight="true" outlineLevel="0" collapsed="false">
      <c r="A4571" s="10" t="n">
        <f aca="false">Einstellungen!$B$5+INT((ROW()-9)/24)</f>
        <v>46156</v>
      </c>
      <c r="B4571" s="11" t="n">
        <f aca="false">MOD(ROW()-9,24)</f>
        <v>2</v>
      </c>
      <c r="C4571" s="12"/>
      <c r="D4571" s="13" t="n">
        <f aca="false">IF(B4571&lt;5,Einstellungen!$B$3,Einstellungen!$B$4)</f>
        <v>15.92</v>
      </c>
      <c r="E4571" s="14" t="str">
        <f aca="false">IF(C4571="","",C4571*D4571/100)</f>
        <v/>
      </c>
      <c r="F4571" s="15" t="str">
        <f aca="false">IF(B4571&lt;5,"Go","Standard")</f>
        <v>Go</v>
      </c>
    </row>
    <row r="4572" customFormat="false" ht="15" hidden="false" customHeight="true" outlineLevel="0" collapsed="false">
      <c r="A4572" s="10" t="n">
        <f aca="false">Einstellungen!$B$5+INT((ROW()-9)/24)</f>
        <v>46156</v>
      </c>
      <c r="B4572" s="11" t="n">
        <f aca="false">MOD(ROW()-9,24)</f>
        <v>3</v>
      </c>
      <c r="C4572" s="12"/>
      <c r="D4572" s="13" t="n">
        <f aca="false">IF(B4572&lt;5,Einstellungen!$B$3,Einstellungen!$B$4)</f>
        <v>15.92</v>
      </c>
      <c r="E4572" s="14" t="str">
        <f aca="false">IF(C4572="","",C4572*D4572/100)</f>
        <v/>
      </c>
      <c r="F4572" s="15" t="str">
        <f aca="false">IF(B4572&lt;5,"Go","Standard")</f>
        <v>Go</v>
      </c>
    </row>
    <row r="4573" customFormat="false" ht="15" hidden="false" customHeight="true" outlineLevel="0" collapsed="false">
      <c r="A4573" s="10" t="n">
        <f aca="false">Einstellungen!$B$5+INT((ROW()-9)/24)</f>
        <v>46156</v>
      </c>
      <c r="B4573" s="11" t="n">
        <f aca="false">MOD(ROW()-9,24)</f>
        <v>4</v>
      </c>
      <c r="C4573" s="12"/>
      <c r="D4573" s="13" t="n">
        <f aca="false">IF(B4573&lt;5,Einstellungen!$B$3,Einstellungen!$B$4)</f>
        <v>15.92</v>
      </c>
      <c r="E4573" s="14" t="str">
        <f aca="false">IF(C4573="","",C4573*D4573/100)</f>
        <v/>
      </c>
      <c r="F4573" s="15" t="str">
        <f aca="false">IF(B4573&lt;5,"Go","Standard")</f>
        <v>Go</v>
      </c>
    </row>
    <row r="4574" customFormat="false" ht="15" hidden="false" customHeight="true" outlineLevel="0" collapsed="false">
      <c r="A4574" s="10" t="n">
        <f aca="false">Einstellungen!$B$5+INT((ROW()-9)/24)</f>
        <v>46156</v>
      </c>
      <c r="B4574" s="11" t="n">
        <f aca="false">MOD(ROW()-9,24)</f>
        <v>5</v>
      </c>
      <c r="C4574" s="12"/>
      <c r="D4574" s="13" t="n">
        <f aca="false">IF(B4574&lt;5,Einstellungen!$B$3,Einstellungen!$B$4)</f>
        <v>29.13</v>
      </c>
      <c r="E4574" s="14" t="str">
        <f aca="false">IF(C4574="","",C4574*D4574/100)</f>
        <v/>
      </c>
      <c r="F4574" s="15" t="str">
        <f aca="false">IF(B4574&lt;5,"Go","Standard")</f>
        <v>Standard</v>
      </c>
    </row>
    <row r="4575" customFormat="false" ht="15" hidden="false" customHeight="true" outlineLevel="0" collapsed="false">
      <c r="A4575" s="10" t="n">
        <f aca="false">Einstellungen!$B$5+INT((ROW()-9)/24)</f>
        <v>46156</v>
      </c>
      <c r="B4575" s="11" t="n">
        <f aca="false">MOD(ROW()-9,24)</f>
        <v>6</v>
      </c>
      <c r="C4575" s="12"/>
      <c r="D4575" s="13" t="n">
        <f aca="false">IF(B4575&lt;5,Einstellungen!$B$3,Einstellungen!$B$4)</f>
        <v>29.13</v>
      </c>
      <c r="E4575" s="14" t="str">
        <f aca="false">IF(C4575="","",C4575*D4575/100)</f>
        <v/>
      </c>
      <c r="F4575" s="15" t="str">
        <f aca="false">IF(B4575&lt;5,"Go","Standard")</f>
        <v>Standard</v>
      </c>
    </row>
    <row r="4576" customFormat="false" ht="15" hidden="false" customHeight="true" outlineLevel="0" collapsed="false">
      <c r="A4576" s="10" t="n">
        <f aca="false">Einstellungen!$B$5+INT((ROW()-9)/24)</f>
        <v>46156</v>
      </c>
      <c r="B4576" s="11" t="n">
        <f aca="false">MOD(ROW()-9,24)</f>
        <v>7</v>
      </c>
      <c r="C4576" s="12"/>
      <c r="D4576" s="13" t="n">
        <f aca="false">IF(B4576&lt;5,Einstellungen!$B$3,Einstellungen!$B$4)</f>
        <v>29.13</v>
      </c>
      <c r="E4576" s="14" t="str">
        <f aca="false">IF(C4576="","",C4576*D4576/100)</f>
        <v/>
      </c>
      <c r="F4576" s="15" t="str">
        <f aca="false">IF(B4576&lt;5,"Go","Standard")</f>
        <v>Standard</v>
      </c>
    </row>
    <row r="4577" customFormat="false" ht="15" hidden="false" customHeight="true" outlineLevel="0" collapsed="false">
      <c r="A4577" s="10" t="n">
        <f aca="false">Einstellungen!$B$5+INT((ROW()-9)/24)</f>
        <v>46156</v>
      </c>
      <c r="B4577" s="11" t="n">
        <f aca="false">MOD(ROW()-9,24)</f>
        <v>8</v>
      </c>
      <c r="C4577" s="12"/>
      <c r="D4577" s="13" t="n">
        <f aca="false">IF(B4577&lt;5,Einstellungen!$B$3,Einstellungen!$B$4)</f>
        <v>29.13</v>
      </c>
      <c r="E4577" s="14" t="str">
        <f aca="false">IF(C4577="","",C4577*D4577/100)</f>
        <v/>
      </c>
      <c r="F4577" s="15" t="str">
        <f aca="false">IF(B4577&lt;5,"Go","Standard")</f>
        <v>Standard</v>
      </c>
    </row>
    <row r="4578" customFormat="false" ht="15" hidden="false" customHeight="true" outlineLevel="0" collapsed="false">
      <c r="A4578" s="10" t="n">
        <f aca="false">Einstellungen!$B$5+INT((ROW()-9)/24)</f>
        <v>46156</v>
      </c>
      <c r="B4578" s="11" t="n">
        <f aca="false">MOD(ROW()-9,24)</f>
        <v>9</v>
      </c>
      <c r="C4578" s="12"/>
      <c r="D4578" s="13" t="n">
        <f aca="false">IF(B4578&lt;5,Einstellungen!$B$3,Einstellungen!$B$4)</f>
        <v>29.13</v>
      </c>
      <c r="E4578" s="14" t="str">
        <f aca="false">IF(C4578="","",C4578*D4578/100)</f>
        <v/>
      </c>
      <c r="F4578" s="15" t="str">
        <f aca="false">IF(B4578&lt;5,"Go","Standard")</f>
        <v>Standard</v>
      </c>
    </row>
    <row r="4579" customFormat="false" ht="15" hidden="false" customHeight="true" outlineLevel="0" collapsed="false">
      <c r="A4579" s="10" t="n">
        <f aca="false">Einstellungen!$B$5+INT((ROW()-9)/24)</f>
        <v>46156</v>
      </c>
      <c r="B4579" s="11" t="n">
        <f aca="false">MOD(ROW()-9,24)</f>
        <v>10</v>
      </c>
      <c r="C4579" s="12"/>
      <c r="D4579" s="13" t="n">
        <f aca="false">IF(B4579&lt;5,Einstellungen!$B$3,Einstellungen!$B$4)</f>
        <v>29.13</v>
      </c>
      <c r="E4579" s="14" t="str">
        <f aca="false">IF(C4579="","",C4579*D4579/100)</f>
        <v/>
      </c>
      <c r="F4579" s="15" t="str">
        <f aca="false">IF(B4579&lt;5,"Go","Standard")</f>
        <v>Standard</v>
      </c>
    </row>
    <row r="4580" customFormat="false" ht="15" hidden="false" customHeight="true" outlineLevel="0" collapsed="false">
      <c r="A4580" s="10" t="n">
        <f aca="false">Einstellungen!$B$5+INT((ROW()-9)/24)</f>
        <v>46156</v>
      </c>
      <c r="B4580" s="11" t="n">
        <f aca="false">MOD(ROW()-9,24)</f>
        <v>11</v>
      </c>
      <c r="C4580" s="12"/>
      <c r="D4580" s="13" t="n">
        <f aca="false">IF(B4580&lt;5,Einstellungen!$B$3,Einstellungen!$B$4)</f>
        <v>29.13</v>
      </c>
      <c r="E4580" s="14" t="str">
        <f aca="false">IF(C4580="","",C4580*D4580/100)</f>
        <v/>
      </c>
      <c r="F4580" s="15" t="str">
        <f aca="false">IF(B4580&lt;5,"Go","Standard")</f>
        <v>Standard</v>
      </c>
    </row>
    <row r="4581" customFormat="false" ht="15" hidden="false" customHeight="true" outlineLevel="0" collapsed="false">
      <c r="A4581" s="10" t="n">
        <f aca="false">Einstellungen!$B$5+INT((ROW()-9)/24)</f>
        <v>46156</v>
      </c>
      <c r="B4581" s="11" t="n">
        <f aca="false">MOD(ROW()-9,24)</f>
        <v>12</v>
      </c>
      <c r="C4581" s="12"/>
      <c r="D4581" s="13" t="n">
        <f aca="false">IF(B4581&lt;5,Einstellungen!$B$3,Einstellungen!$B$4)</f>
        <v>29.13</v>
      </c>
      <c r="E4581" s="14" t="str">
        <f aca="false">IF(C4581="","",C4581*D4581/100)</f>
        <v/>
      </c>
      <c r="F4581" s="15" t="str">
        <f aca="false">IF(B4581&lt;5,"Go","Standard")</f>
        <v>Standard</v>
      </c>
    </row>
    <row r="4582" customFormat="false" ht="15" hidden="false" customHeight="true" outlineLevel="0" collapsed="false">
      <c r="A4582" s="10" t="n">
        <f aca="false">Einstellungen!$B$5+INT((ROW()-9)/24)</f>
        <v>46156</v>
      </c>
      <c r="B4582" s="11" t="n">
        <f aca="false">MOD(ROW()-9,24)</f>
        <v>13</v>
      </c>
      <c r="C4582" s="12"/>
      <c r="D4582" s="13" t="n">
        <f aca="false">IF(B4582&lt;5,Einstellungen!$B$3,Einstellungen!$B$4)</f>
        <v>29.13</v>
      </c>
      <c r="E4582" s="14" t="str">
        <f aca="false">IF(C4582="","",C4582*D4582/100)</f>
        <v/>
      </c>
      <c r="F4582" s="15" t="str">
        <f aca="false">IF(B4582&lt;5,"Go","Standard")</f>
        <v>Standard</v>
      </c>
    </row>
    <row r="4583" customFormat="false" ht="15" hidden="false" customHeight="true" outlineLevel="0" collapsed="false">
      <c r="A4583" s="10" t="n">
        <f aca="false">Einstellungen!$B$5+INT((ROW()-9)/24)</f>
        <v>46156</v>
      </c>
      <c r="B4583" s="11" t="n">
        <f aca="false">MOD(ROW()-9,24)</f>
        <v>14</v>
      </c>
      <c r="C4583" s="12"/>
      <c r="D4583" s="13" t="n">
        <f aca="false">IF(B4583&lt;5,Einstellungen!$B$3,Einstellungen!$B$4)</f>
        <v>29.13</v>
      </c>
      <c r="E4583" s="14" t="str">
        <f aca="false">IF(C4583="","",C4583*D4583/100)</f>
        <v/>
      </c>
      <c r="F4583" s="15" t="str">
        <f aca="false">IF(B4583&lt;5,"Go","Standard")</f>
        <v>Standard</v>
      </c>
    </row>
    <row r="4584" customFormat="false" ht="15" hidden="false" customHeight="true" outlineLevel="0" collapsed="false">
      <c r="A4584" s="10" t="n">
        <f aca="false">Einstellungen!$B$5+INT((ROW()-9)/24)</f>
        <v>46156</v>
      </c>
      <c r="B4584" s="11" t="n">
        <f aca="false">MOD(ROW()-9,24)</f>
        <v>15</v>
      </c>
      <c r="C4584" s="12"/>
      <c r="D4584" s="13" t="n">
        <f aca="false">IF(B4584&lt;5,Einstellungen!$B$3,Einstellungen!$B$4)</f>
        <v>29.13</v>
      </c>
      <c r="E4584" s="14" t="str">
        <f aca="false">IF(C4584="","",C4584*D4584/100)</f>
        <v/>
      </c>
      <c r="F4584" s="15" t="str">
        <f aca="false">IF(B4584&lt;5,"Go","Standard")</f>
        <v>Standard</v>
      </c>
    </row>
    <row r="4585" customFormat="false" ht="15" hidden="false" customHeight="true" outlineLevel="0" collapsed="false">
      <c r="A4585" s="10" t="n">
        <f aca="false">Einstellungen!$B$5+INT((ROW()-9)/24)</f>
        <v>46156</v>
      </c>
      <c r="B4585" s="11" t="n">
        <f aca="false">MOD(ROW()-9,24)</f>
        <v>16</v>
      </c>
      <c r="C4585" s="12"/>
      <c r="D4585" s="13" t="n">
        <f aca="false">IF(B4585&lt;5,Einstellungen!$B$3,Einstellungen!$B$4)</f>
        <v>29.13</v>
      </c>
      <c r="E4585" s="14" t="str">
        <f aca="false">IF(C4585="","",C4585*D4585/100)</f>
        <v/>
      </c>
      <c r="F4585" s="15" t="str">
        <f aca="false">IF(B4585&lt;5,"Go","Standard")</f>
        <v>Standard</v>
      </c>
    </row>
    <row r="4586" customFormat="false" ht="15" hidden="false" customHeight="true" outlineLevel="0" collapsed="false">
      <c r="A4586" s="10" t="n">
        <f aca="false">Einstellungen!$B$5+INT((ROW()-9)/24)</f>
        <v>46156</v>
      </c>
      <c r="B4586" s="11" t="n">
        <f aca="false">MOD(ROW()-9,24)</f>
        <v>17</v>
      </c>
      <c r="C4586" s="12"/>
      <c r="D4586" s="13" t="n">
        <f aca="false">IF(B4586&lt;5,Einstellungen!$B$3,Einstellungen!$B$4)</f>
        <v>29.13</v>
      </c>
      <c r="E4586" s="14" t="str">
        <f aca="false">IF(C4586="","",C4586*D4586/100)</f>
        <v/>
      </c>
      <c r="F4586" s="15" t="str">
        <f aca="false">IF(B4586&lt;5,"Go","Standard")</f>
        <v>Standard</v>
      </c>
    </row>
    <row r="4587" customFormat="false" ht="15" hidden="false" customHeight="true" outlineLevel="0" collapsed="false">
      <c r="A4587" s="10" t="n">
        <f aca="false">Einstellungen!$B$5+INT((ROW()-9)/24)</f>
        <v>46156</v>
      </c>
      <c r="B4587" s="11" t="n">
        <f aca="false">MOD(ROW()-9,24)</f>
        <v>18</v>
      </c>
      <c r="C4587" s="12"/>
      <c r="D4587" s="13" t="n">
        <f aca="false">IF(B4587&lt;5,Einstellungen!$B$3,Einstellungen!$B$4)</f>
        <v>29.13</v>
      </c>
      <c r="E4587" s="14" t="str">
        <f aca="false">IF(C4587="","",C4587*D4587/100)</f>
        <v/>
      </c>
      <c r="F4587" s="15" t="str">
        <f aca="false">IF(B4587&lt;5,"Go","Standard")</f>
        <v>Standard</v>
      </c>
    </row>
    <row r="4588" customFormat="false" ht="15" hidden="false" customHeight="true" outlineLevel="0" collapsed="false">
      <c r="A4588" s="10" t="n">
        <f aca="false">Einstellungen!$B$5+INT((ROW()-9)/24)</f>
        <v>46156</v>
      </c>
      <c r="B4588" s="11" t="n">
        <f aca="false">MOD(ROW()-9,24)</f>
        <v>19</v>
      </c>
      <c r="C4588" s="12"/>
      <c r="D4588" s="13" t="n">
        <f aca="false">IF(B4588&lt;5,Einstellungen!$B$3,Einstellungen!$B$4)</f>
        <v>29.13</v>
      </c>
      <c r="E4588" s="14" t="str">
        <f aca="false">IF(C4588="","",C4588*D4588/100)</f>
        <v/>
      </c>
      <c r="F4588" s="15" t="str">
        <f aca="false">IF(B4588&lt;5,"Go","Standard")</f>
        <v>Standard</v>
      </c>
    </row>
    <row r="4589" customFormat="false" ht="15" hidden="false" customHeight="true" outlineLevel="0" collapsed="false">
      <c r="A4589" s="10" t="n">
        <f aca="false">Einstellungen!$B$5+INT((ROW()-9)/24)</f>
        <v>46156</v>
      </c>
      <c r="B4589" s="11" t="n">
        <f aca="false">MOD(ROW()-9,24)</f>
        <v>20</v>
      </c>
      <c r="C4589" s="12"/>
      <c r="D4589" s="13" t="n">
        <f aca="false">IF(B4589&lt;5,Einstellungen!$B$3,Einstellungen!$B$4)</f>
        <v>29.13</v>
      </c>
      <c r="E4589" s="14" t="str">
        <f aca="false">IF(C4589="","",C4589*D4589/100)</f>
        <v/>
      </c>
      <c r="F4589" s="15" t="str">
        <f aca="false">IF(B4589&lt;5,"Go","Standard")</f>
        <v>Standard</v>
      </c>
    </row>
    <row r="4590" customFormat="false" ht="15" hidden="false" customHeight="true" outlineLevel="0" collapsed="false">
      <c r="A4590" s="10" t="n">
        <f aca="false">Einstellungen!$B$5+INT((ROW()-9)/24)</f>
        <v>46156</v>
      </c>
      <c r="B4590" s="11" t="n">
        <f aca="false">MOD(ROW()-9,24)</f>
        <v>21</v>
      </c>
      <c r="C4590" s="12"/>
      <c r="D4590" s="13" t="n">
        <f aca="false">IF(B4590&lt;5,Einstellungen!$B$3,Einstellungen!$B$4)</f>
        <v>29.13</v>
      </c>
      <c r="E4590" s="14" t="str">
        <f aca="false">IF(C4590="","",C4590*D4590/100)</f>
        <v/>
      </c>
      <c r="F4590" s="15" t="str">
        <f aca="false">IF(B4590&lt;5,"Go","Standard")</f>
        <v>Standard</v>
      </c>
    </row>
    <row r="4591" customFormat="false" ht="15" hidden="false" customHeight="true" outlineLevel="0" collapsed="false">
      <c r="A4591" s="10" t="n">
        <f aca="false">Einstellungen!$B$5+INT((ROW()-9)/24)</f>
        <v>46156</v>
      </c>
      <c r="B4591" s="11" t="n">
        <f aca="false">MOD(ROW()-9,24)</f>
        <v>22</v>
      </c>
      <c r="C4591" s="12"/>
      <c r="D4591" s="13" t="n">
        <f aca="false">IF(B4591&lt;5,Einstellungen!$B$3,Einstellungen!$B$4)</f>
        <v>29.13</v>
      </c>
      <c r="E4591" s="14" t="str">
        <f aca="false">IF(C4591="","",C4591*D4591/100)</f>
        <v/>
      </c>
      <c r="F4591" s="15" t="str">
        <f aca="false">IF(B4591&lt;5,"Go","Standard")</f>
        <v>Standard</v>
      </c>
    </row>
    <row r="4592" customFormat="false" ht="15" hidden="false" customHeight="true" outlineLevel="0" collapsed="false">
      <c r="A4592" s="10" t="n">
        <f aca="false">Einstellungen!$B$5+INT((ROW()-9)/24)</f>
        <v>46156</v>
      </c>
      <c r="B4592" s="11" t="n">
        <f aca="false">MOD(ROW()-9,24)</f>
        <v>23</v>
      </c>
      <c r="C4592" s="12"/>
      <c r="D4592" s="13" t="n">
        <f aca="false">IF(B4592&lt;5,Einstellungen!$B$3,Einstellungen!$B$4)</f>
        <v>29.13</v>
      </c>
      <c r="E4592" s="14" t="str">
        <f aca="false">IF(C4592="","",C4592*D4592/100)</f>
        <v/>
      </c>
      <c r="F4592" s="15" t="str">
        <f aca="false">IF(B4592&lt;5,"Go","Standard")</f>
        <v>Standard</v>
      </c>
    </row>
    <row r="4593" customFormat="false" ht="15" hidden="false" customHeight="true" outlineLevel="0" collapsed="false">
      <c r="A4593" s="10" t="n">
        <f aca="false">Einstellungen!$B$5+INT((ROW()-9)/24)</f>
        <v>46157</v>
      </c>
      <c r="B4593" s="11" t="n">
        <f aca="false">MOD(ROW()-9,24)</f>
        <v>0</v>
      </c>
      <c r="C4593" s="12"/>
      <c r="D4593" s="13" t="n">
        <f aca="false">IF(B4593&lt;5,Einstellungen!$B$3,Einstellungen!$B$4)</f>
        <v>15.92</v>
      </c>
      <c r="E4593" s="14" t="str">
        <f aca="false">IF(C4593="","",C4593*D4593/100)</f>
        <v/>
      </c>
      <c r="F4593" s="15" t="str">
        <f aca="false">IF(B4593&lt;5,"Go","Standard")</f>
        <v>Go</v>
      </c>
    </row>
    <row r="4594" customFormat="false" ht="15" hidden="false" customHeight="true" outlineLevel="0" collapsed="false">
      <c r="A4594" s="10" t="n">
        <f aca="false">Einstellungen!$B$5+INT((ROW()-9)/24)</f>
        <v>46157</v>
      </c>
      <c r="B4594" s="11" t="n">
        <f aca="false">MOD(ROW()-9,24)</f>
        <v>1</v>
      </c>
      <c r="C4594" s="12"/>
      <c r="D4594" s="13" t="n">
        <f aca="false">IF(B4594&lt;5,Einstellungen!$B$3,Einstellungen!$B$4)</f>
        <v>15.92</v>
      </c>
      <c r="E4594" s="14" t="str">
        <f aca="false">IF(C4594="","",C4594*D4594/100)</f>
        <v/>
      </c>
      <c r="F4594" s="15" t="str">
        <f aca="false">IF(B4594&lt;5,"Go","Standard")</f>
        <v>Go</v>
      </c>
    </row>
    <row r="4595" customFormat="false" ht="15" hidden="false" customHeight="true" outlineLevel="0" collapsed="false">
      <c r="A4595" s="10" t="n">
        <f aca="false">Einstellungen!$B$5+INT((ROW()-9)/24)</f>
        <v>46157</v>
      </c>
      <c r="B4595" s="11" t="n">
        <f aca="false">MOD(ROW()-9,24)</f>
        <v>2</v>
      </c>
      <c r="C4595" s="12"/>
      <c r="D4595" s="13" t="n">
        <f aca="false">IF(B4595&lt;5,Einstellungen!$B$3,Einstellungen!$B$4)</f>
        <v>15.92</v>
      </c>
      <c r="E4595" s="14" t="str">
        <f aca="false">IF(C4595="","",C4595*D4595/100)</f>
        <v/>
      </c>
      <c r="F4595" s="15" t="str">
        <f aca="false">IF(B4595&lt;5,"Go","Standard")</f>
        <v>Go</v>
      </c>
    </row>
    <row r="4596" customFormat="false" ht="15" hidden="false" customHeight="true" outlineLevel="0" collapsed="false">
      <c r="A4596" s="10" t="n">
        <f aca="false">Einstellungen!$B$5+INT((ROW()-9)/24)</f>
        <v>46157</v>
      </c>
      <c r="B4596" s="11" t="n">
        <f aca="false">MOD(ROW()-9,24)</f>
        <v>3</v>
      </c>
      <c r="C4596" s="12"/>
      <c r="D4596" s="13" t="n">
        <f aca="false">IF(B4596&lt;5,Einstellungen!$B$3,Einstellungen!$B$4)</f>
        <v>15.92</v>
      </c>
      <c r="E4596" s="14" t="str">
        <f aca="false">IF(C4596="","",C4596*D4596/100)</f>
        <v/>
      </c>
      <c r="F4596" s="15" t="str">
        <f aca="false">IF(B4596&lt;5,"Go","Standard")</f>
        <v>Go</v>
      </c>
    </row>
    <row r="4597" customFormat="false" ht="15" hidden="false" customHeight="true" outlineLevel="0" collapsed="false">
      <c r="A4597" s="10" t="n">
        <f aca="false">Einstellungen!$B$5+INT((ROW()-9)/24)</f>
        <v>46157</v>
      </c>
      <c r="B4597" s="11" t="n">
        <f aca="false">MOD(ROW()-9,24)</f>
        <v>4</v>
      </c>
      <c r="C4597" s="12"/>
      <c r="D4597" s="13" t="n">
        <f aca="false">IF(B4597&lt;5,Einstellungen!$B$3,Einstellungen!$B$4)</f>
        <v>15.92</v>
      </c>
      <c r="E4597" s="14" t="str">
        <f aca="false">IF(C4597="","",C4597*D4597/100)</f>
        <v/>
      </c>
      <c r="F4597" s="15" t="str">
        <f aca="false">IF(B4597&lt;5,"Go","Standard")</f>
        <v>Go</v>
      </c>
    </row>
    <row r="4598" customFormat="false" ht="15" hidden="false" customHeight="true" outlineLevel="0" collapsed="false">
      <c r="A4598" s="10" t="n">
        <f aca="false">Einstellungen!$B$5+INT((ROW()-9)/24)</f>
        <v>46157</v>
      </c>
      <c r="B4598" s="11" t="n">
        <f aca="false">MOD(ROW()-9,24)</f>
        <v>5</v>
      </c>
      <c r="C4598" s="12"/>
      <c r="D4598" s="13" t="n">
        <f aca="false">IF(B4598&lt;5,Einstellungen!$B$3,Einstellungen!$B$4)</f>
        <v>29.13</v>
      </c>
      <c r="E4598" s="14" t="str">
        <f aca="false">IF(C4598="","",C4598*D4598/100)</f>
        <v/>
      </c>
      <c r="F4598" s="15" t="str">
        <f aca="false">IF(B4598&lt;5,"Go","Standard")</f>
        <v>Standard</v>
      </c>
    </row>
    <row r="4599" customFormat="false" ht="15" hidden="false" customHeight="true" outlineLevel="0" collapsed="false">
      <c r="A4599" s="10" t="n">
        <f aca="false">Einstellungen!$B$5+INT((ROW()-9)/24)</f>
        <v>46157</v>
      </c>
      <c r="B4599" s="11" t="n">
        <f aca="false">MOD(ROW()-9,24)</f>
        <v>6</v>
      </c>
      <c r="C4599" s="12"/>
      <c r="D4599" s="13" t="n">
        <f aca="false">IF(B4599&lt;5,Einstellungen!$B$3,Einstellungen!$B$4)</f>
        <v>29.13</v>
      </c>
      <c r="E4599" s="14" t="str">
        <f aca="false">IF(C4599="","",C4599*D4599/100)</f>
        <v/>
      </c>
      <c r="F4599" s="15" t="str">
        <f aca="false">IF(B4599&lt;5,"Go","Standard")</f>
        <v>Standard</v>
      </c>
    </row>
    <row r="4600" customFormat="false" ht="15" hidden="false" customHeight="true" outlineLevel="0" collapsed="false">
      <c r="A4600" s="10" t="n">
        <f aca="false">Einstellungen!$B$5+INT((ROW()-9)/24)</f>
        <v>46157</v>
      </c>
      <c r="B4600" s="11" t="n">
        <f aca="false">MOD(ROW()-9,24)</f>
        <v>7</v>
      </c>
      <c r="C4600" s="12"/>
      <c r="D4600" s="13" t="n">
        <f aca="false">IF(B4600&lt;5,Einstellungen!$B$3,Einstellungen!$B$4)</f>
        <v>29.13</v>
      </c>
      <c r="E4600" s="14" t="str">
        <f aca="false">IF(C4600="","",C4600*D4600/100)</f>
        <v/>
      </c>
      <c r="F4600" s="15" t="str">
        <f aca="false">IF(B4600&lt;5,"Go","Standard")</f>
        <v>Standard</v>
      </c>
    </row>
    <row r="4601" customFormat="false" ht="15" hidden="false" customHeight="true" outlineLevel="0" collapsed="false">
      <c r="A4601" s="10" t="n">
        <f aca="false">Einstellungen!$B$5+INT((ROW()-9)/24)</f>
        <v>46157</v>
      </c>
      <c r="B4601" s="11" t="n">
        <f aca="false">MOD(ROW()-9,24)</f>
        <v>8</v>
      </c>
      <c r="C4601" s="12"/>
      <c r="D4601" s="13" t="n">
        <f aca="false">IF(B4601&lt;5,Einstellungen!$B$3,Einstellungen!$B$4)</f>
        <v>29.13</v>
      </c>
      <c r="E4601" s="14" t="str">
        <f aca="false">IF(C4601="","",C4601*D4601/100)</f>
        <v/>
      </c>
      <c r="F4601" s="15" t="str">
        <f aca="false">IF(B4601&lt;5,"Go","Standard")</f>
        <v>Standard</v>
      </c>
    </row>
    <row r="4602" customFormat="false" ht="15" hidden="false" customHeight="true" outlineLevel="0" collapsed="false">
      <c r="A4602" s="10" t="n">
        <f aca="false">Einstellungen!$B$5+INT((ROW()-9)/24)</f>
        <v>46157</v>
      </c>
      <c r="B4602" s="11" t="n">
        <f aca="false">MOD(ROW()-9,24)</f>
        <v>9</v>
      </c>
      <c r="C4602" s="12"/>
      <c r="D4602" s="13" t="n">
        <f aca="false">IF(B4602&lt;5,Einstellungen!$B$3,Einstellungen!$B$4)</f>
        <v>29.13</v>
      </c>
      <c r="E4602" s="14" t="str">
        <f aca="false">IF(C4602="","",C4602*D4602/100)</f>
        <v/>
      </c>
      <c r="F4602" s="15" t="str">
        <f aca="false">IF(B4602&lt;5,"Go","Standard")</f>
        <v>Standard</v>
      </c>
    </row>
    <row r="4603" customFormat="false" ht="15" hidden="false" customHeight="true" outlineLevel="0" collapsed="false">
      <c r="A4603" s="10" t="n">
        <f aca="false">Einstellungen!$B$5+INT((ROW()-9)/24)</f>
        <v>46157</v>
      </c>
      <c r="B4603" s="11" t="n">
        <f aca="false">MOD(ROW()-9,24)</f>
        <v>10</v>
      </c>
      <c r="C4603" s="12"/>
      <c r="D4603" s="13" t="n">
        <f aca="false">IF(B4603&lt;5,Einstellungen!$B$3,Einstellungen!$B$4)</f>
        <v>29.13</v>
      </c>
      <c r="E4603" s="14" t="str">
        <f aca="false">IF(C4603="","",C4603*D4603/100)</f>
        <v/>
      </c>
      <c r="F4603" s="15" t="str">
        <f aca="false">IF(B4603&lt;5,"Go","Standard")</f>
        <v>Standard</v>
      </c>
    </row>
    <row r="4604" customFormat="false" ht="15" hidden="false" customHeight="true" outlineLevel="0" collapsed="false">
      <c r="A4604" s="10" t="n">
        <f aca="false">Einstellungen!$B$5+INT((ROW()-9)/24)</f>
        <v>46157</v>
      </c>
      <c r="B4604" s="11" t="n">
        <f aca="false">MOD(ROW()-9,24)</f>
        <v>11</v>
      </c>
      <c r="C4604" s="12"/>
      <c r="D4604" s="13" t="n">
        <f aca="false">IF(B4604&lt;5,Einstellungen!$B$3,Einstellungen!$B$4)</f>
        <v>29.13</v>
      </c>
      <c r="E4604" s="14" t="str">
        <f aca="false">IF(C4604="","",C4604*D4604/100)</f>
        <v/>
      </c>
      <c r="F4604" s="15" t="str">
        <f aca="false">IF(B4604&lt;5,"Go","Standard")</f>
        <v>Standard</v>
      </c>
    </row>
    <row r="4605" customFormat="false" ht="15" hidden="false" customHeight="true" outlineLevel="0" collapsed="false">
      <c r="A4605" s="10" t="n">
        <f aca="false">Einstellungen!$B$5+INT((ROW()-9)/24)</f>
        <v>46157</v>
      </c>
      <c r="B4605" s="11" t="n">
        <f aca="false">MOD(ROW()-9,24)</f>
        <v>12</v>
      </c>
      <c r="C4605" s="12"/>
      <c r="D4605" s="13" t="n">
        <f aca="false">IF(B4605&lt;5,Einstellungen!$B$3,Einstellungen!$B$4)</f>
        <v>29.13</v>
      </c>
      <c r="E4605" s="14" t="str">
        <f aca="false">IF(C4605="","",C4605*D4605/100)</f>
        <v/>
      </c>
      <c r="F4605" s="15" t="str">
        <f aca="false">IF(B4605&lt;5,"Go","Standard")</f>
        <v>Standard</v>
      </c>
    </row>
    <row r="4606" customFormat="false" ht="15" hidden="false" customHeight="true" outlineLevel="0" collapsed="false">
      <c r="A4606" s="10" t="n">
        <f aca="false">Einstellungen!$B$5+INT((ROW()-9)/24)</f>
        <v>46157</v>
      </c>
      <c r="B4606" s="11" t="n">
        <f aca="false">MOD(ROW()-9,24)</f>
        <v>13</v>
      </c>
      <c r="C4606" s="12"/>
      <c r="D4606" s="13" t="n">
        <f aca="false">IF(B4606&lt;5,Einstellungen!$B$3,Einstellungen!$B$4)</f>
        <v>29.13</v>
      </c>
      <c r="E4606" s="14" t="str">
        <f aca="false">IF(C4606="","",C4606*D4606/100)</f>
        <v/>
      </c>
      <c r="F4606" s="15" t="str">
        <f aca="false">IF(B4606&lt;5,"Go","Standard")</f>
        <v>Standard</v>
      </c>
    </row>
    <row r="4607" customFormat="false" ht="15" hidden="false" customHeight="true" outlineLevel="0" collapsed="false">
      <c r="A4607" s="10" t="n">
        <f aca="false">Einstellungen!$B$5+INT((ROW()-9)/24)</f>
        <v>46157</v>
      </c>
      <c r="B4607" s="11" t="n">
        <f aca="false">MOD(ROW()-9,24)</f>
        <v>14</v>
      </c>
      <c r="C4607" s="12"/>
      <c r="D4607" s="13" t="n">
        <f aca="false">IF(B4607&lt;5,Einstellungen!$B$3,Einstellungen!$B$4)</f>
        <v>29.13</v>
      </c>
      <c r="E4607" s="14" t="str">
        <f aca="false">IF(C4607="","",C4607*D4607/100)</f>
        <v/>
      </c>
      <c r="F4607" s="15" t="str">
        <f aca="false">IF(B4607&lt;5,"Go","Standard")</f>
        <v>Standard</v>
      </c>
    </row>
    <row r="4608" customFormat="false" ht="15" hidden="false" customHeight="true" outlineLevel="0" collapsed="false">
      <c r="A4608" s="10" t="n">
        <f aca="false">Einstellungen!$B$5+INT((ROW()-9)/24)</f>
        <v>46157</v>
      </c>
      <c r="B4608" s="11" t="n">
        <f aca="false">MOD(ROW()-9,24)</f>
        <v>15</v>
      </c>
      <c r="C4608" s="12"/>
      <c r="D4608" s="13" t="n">
        <f aca="false">IF(B4608&lt;5,Einstellungen!$B$3,Einstellungen!$B$4)</f>
        <v>29.13</v>
      </c>
      <c r="E4608" s="14" t="str">
        <f aca="false">IF(C4608="","",C4608*D4608/100)</f>
        <v/>
      </c>
      <c r="F4608" s="15" t="str">
        <f aca="false">IF(B4608&lt;5,"Go","Standard")</f>
        <v>Standard</v>
      </c>
    </row>
    <row r="4609" customFormat="false" ht="15" hidden="false" customHeight="true" outlineLevel="0" collapsed="false">
      <c r="A4609" s="10" t="n">
        <f aca="false">Einstellungen!$B$5+INT((ROW()-9)/24)</f>
        <v>46157</v>
      </c>
      <c r="B4609" s="11" t="n">
        <f aca="false">MOD(ROW()-9,24)</f>
        <v>16</v>
      </c>
      <c r="C4609" s="12"/>
      <c r="D4609" s="13" t="n">
        <f aca="false">IF(B4609&lt;5,Einstellungen!$B$3,Einstellungen!$B$4)</f>
        <v>29.13</v>
      </c>
      <c r="E4609" s="14" t="str">
        <f aca="false">IF(C4609="","",C4609*D4609/100)</f>
        <v/>
      </c>
      <c r="F4609" s="15" t="str">
        <f aca="false">IF(B4609&lt;5,"Go","Standard")</f>
        <v>Standard</v>
      </c>
    </row>
    <row r="4610" customFormat="false" ht="15" hidden="false" customHeight="true" outlineLevel="0" collapsed="false">
      <c r="A4610" s="10" t="n">
        <f aca="false">Einstellungen!$B$5+INT((ROW()-9)/24)</f>
        <v>46157</v>
      </c>
      <c r="B4610" s="11" t="n">
        <f aca="false">MOD(ROW()-9,24)</f>
        <v>17</v>
      </c>
      <c r="C4610" s="12"/>
      <c r="D4610" s="13" t="n">
        <f aca="false">IF(B4610&lt;5,Einstellungen!$B$3,Einstellungen!$B$4)</f>
        <v>29.13</v>
      </c>
      <c r="E4610" s="14" t="str">
        <f aca="false">IF(C4610="","",C4610*D4610/100)</f>
        <v/>
      </c>
      <c r="F4610" s="15" t="str">
        <f aca="false">IF(B4610&lt;5,"Go","Standard")</f>
        <v>Standard</v>
      </c>
    </row>
    <row r="4611" customFormat="false" ht="15" hidden="false" customHeight="true" outlineLevel="0" collapsed="false">
      <c r="A4611" s="10" t="n">
        <f aca="false">Einstellungen!$B$5+INT((ROW()-9)/24)</f>
        <v>46157</v>
      </c>
      <c r="B4611" s="11" t="n">
        <f aca="false">MOD(ROW()-9,24)</f>
        <v>18</v>
      </c>
      <c r="C4611" s="12"/>
      <c r="D4611" s="13" t="n">
        <f aca="false">IF(B4611&lt;5,Einstellungen!$B$3,Einstellungen!$B$4)</f>
        <v>29.13</v>
      </c>
      <c r="E4611" s="14" t="str">
        <f aca="false">IF(C4611="","",C4611*D4611/100)</f>
        <v/>
      </c>
      <c r="F4611" s="15" t="str">
        <f aca="false">IF(B4611&lt;5,"Go","Standard")</f>
        <v>Standard</v>
      </c>
    </row>
    <row r="4612" customFormat="false" ht="15" hidden="false" customHeight="true" outlineLevel="0" collapsed="false">
      <c r="A4612" s="10" t="n">
        <f aca="false">Einstellungen!$B$5+INT((ROW()-9)/24)</f>
        <v>46157</v>
      </c>
      <c r="B4612" s="11" t="n">
        <f aca="false">MOD(ROW()-9,24)</f>
        <v>19</v>
      </c>
      <c r="C4612" s="12"/>
      <c r="D4612" s="13" t="n">
        <f aca="false">IF(B4612&lt;5,Einstellungen!$B$3,Einstellungen!$B$4)</f>
        <v>29.13</v>
      </c>
      <c r="E4612" s="14" t="str">
        <f aca="false">IF(C4612="","",C4612*D4612/100)</f>
        <v/>
      </c>
      <c r="F4612" s="15" t="str">
        <f aca="false">IF(B4612&lt;5,"Go","Standard")</f>
        <v>Standard</v>
      </c>
    </row>
    <row r="4613" customFormat="false" ht="15" hidden="false" customHeight="true" outlineLevel="0" collapsed="false">
      <c r="A4613" s="10" t="n">
        <f aca="false">Einstellungen!$B$5+INT((ROW()-9)/24)</f>
        <v>46157</v>
      </c>
      <c r="B4613" s="11" t="n">
        <f aca="false">MOD(ROW()-9,24)</f>
        <v>20</v>
      </c>
      <c r="C4613" s="12"/>
      <c r="D4613" s="13" t="n">
        <f aca="false">IF(B4613&lt;5,Einstellungen!$B$3,Einstellungen!$B$4)</f>
        <v>29.13</v>
      </c>
      <c r="E4613" s="14" t="str">
        <f aca="false">IF(C4613="","",C4613*D4613/100)</f>
        <v/>
      </c>
      <c r="F4613" s="15" t="str">
        <f aca="false">IF(B4613&lt;5,"Go","Standard")</f>
        <v>Standard</v>
      </c>
    </row>
    <row r="4614" customFormat="false" ht="15" hidden="false" customHeight="true" outlineLevel="0" collapsed="false">
      <c r="A4614" s="10" t="n">
        <f aca="false">Einstellungen!$B$5+INT((ROW()-9)/24)</f>
        <v>46157</v>
      </c>
      <c r="B4614" s="11" t="n">
        <f aca="false">MOD(ROW()-9,24)</f>
        <v>21</v>
      </c>
      <c r="C4614" s="12"/>
      <c r="D4614" s="13" t="n">
        <f aca="false">IF(B4614&lt;5,Einstellungen!$B$3,Einstellungen!$B$4)</f>
        <v>29.13</v>
      </c>
      <c r="E4614" s="14" t="str">
        <f aca="false">IF(C4614="","",C4614*D4614/100)</f>
        <v/>
      </c>
      <c r="F4614" s="15" t="str">
        <f aca="false">IF(B4614&lt;5,"Go","Standard")</f>
        <v>Standard</v>
      </c>
    </row>
    <row r="4615" customFormat="false" ht="15" hidden="false" customHeight="true" outlineLevel="0" collapsed="false">
      <c r="A4615" s="10" t="n">
        <f aca="false">Einstellungen!$B$5+INT((ROW()-9)/24)</f>
        <v>46157</v>
      </c>
      <c r="B4615" s="11" t="n">
        <f aca="false">MOD(ROW()-9,24)</f>
        <v>22</v>
      </c>
      <c r="C4615" s="12"/>
      <c r="D4615" s="13" t="n">
        <f aca="false">IF(B4615&lt;5,Einstellungen!$B$3,Einstellungen!$B$4)</f>
        <v>29.13</v>
      </c>
      <c r="E4615" s="14" t="str">
        <f aca="false">IF(C4615="","",C4615*D4615/100)</f>
        <v/>
      </c>
      <c r="F4615" s="15" t="str">
        <f aca="false">IF(B4615&lt;5,"Go","Standard")</f>
        <v>Standard</v>
      </c>
    </row>
    <row r="4616" customFormat="false" ht="15" hidden="false" customHeight="true" outlineLevel="0" collapsed="false">
      <c r="A4616" s="10" t="n">
        <f aca="false">Einstellungen!$B$5+INT((ROW()-9)/24)</f>
        <v>46157</v>
      </c>
      <c r="B4616" s="11" t="n">
        <f aca="false">MOD(ROW()-9,24)</f>
        <v>23</v>
      </c>
      <c r="C4616" s="12"/>
      <c r="D4616" s="13" t="n">
        <f aca="false">IF(B4616&lt;5,Einstellungen!$B$3,Einstellungen!$B$4)</f>
        <v>29.13</v>
      </c>
      <c r="E4616" s="14" t="str">
        <f aca="false">IF(C4616="","",C4616*D4616/100)</f>
        <v/>
      </c>
      <c r="F4616" s="15" t="str">
        <f aca="false">IF(B4616&lt;5,"Go","Standard")</f>
        <v>Standard</v>
      </c>
    </row>
    <row r="4617" customFormat="false" ht="15" hidden="false" customHeight="true" outlineLevel="0" collapsed="false">
      <c r="A4617" s="10" t="n">
        <f aca="false">Einstellungen!$B$5+INT((ROW()-9)/24)</f>
        <v>46158</v>
      </c>
      <c r="B4617" s="11" t="n">
        <f aca="false">MOD(ROW()-9,24)</f>
        <v>0</v>
      </c>
      <c r="C4617" s="12"/>
      <c r="D4617" s="13" t="n">
        <f aca="false">IF(B4617&lt;5,Einstellungen!$B$3,Einstellungen!$B$4)</f>
        <v>15.92</v>
      </c>
      <c r="E4617" s="14" t="str">
        <f aca="false">IF(C4617="","",C4617*D4617/100)</f>
        <v/>
      </c>
      <c r="F4617" s="15" t="str">
        <f aca="false">IF(B4617&lt;5,"Go","Standard")</f>
        <v>Go</v>
      </c>
    </row>
    <row r="4618" customFormat="false" ht="15" hidden="false" customHeight="true" outlineLevel="0" collapsed="false">
      <c r="A4618" s="10" t="n">
        <f aca="false">Einstellungen!$B$5+INT((ROW()-9)/24)</f>
        <v>46158</v>
      </c>
      <c r="B4618" s="11" t="n">
        <f aca="false">MOD(ROW()-9,24)</f>
        <v>1</v>
      </c>
      <c r="C4618" s="12"/>
      <c r="D4618" s="13" t="n">
        <f aca="false">IF(B4618&lt;5,Einstellungen!$B$3,Einstellungen!$B$4)</f>
        <v>15.92</v>
      </c>
      <c r="E4618" s="14" t="str">
        <f aca="false">IF(C4618="","",C4618*D4618/100)</f>
        <v/>
      </c>
      <c r="F4618" s="15" t="str">
        <f aca="false">IF(B4618&lt;5,"Go","Standard")</f>
        <v>Go</v>
      </c>
    </row>
    <row r="4619" customFormat="false" ht="15" hidden="false" customHeight="true" outlineLevel="0" collapsed="false">
      <c r="A4619" s="10" t="n">
        <f aca="false">Einstellungen!$B$5+INT((ROW()-9)/24)</f>
        <v>46158</v>
      </c>
      <c r="B4619" s="11" t="n">
        <f aca="false">MOD(ROW()-9,24)</f>
        <v>2</v>
      </c>
      <c r="C4619" s="12"/>
      <c r="D4619" s="13" t="n">
        <f aca="false">IF(B4619&lt;5,Einstellungen!$B$3,Einstellungen!$B$4)</f>
        <v>15.92</v>
      </c>
      <c r="E4619" s="14" t="str">
        <f aca="false">IF(C4619="","",C4619*D4619/100)</f>
        <v/>
      </c>
      <c r="F4619" s="15" t="str">
        <f aca="false">IF(B4619&lt;5,"Go","Standard")</f>
        <v>Go</v>
      </c>
    </row>
    <row r="4620" customFormat="false" ht="15" hidden="false" customHeight="true" outlineLevel="0" collapsed="false">
      <c r="A4620" s="10" t="n">
        <f aca="false">Einstellungen!$B$5+INT((ROW()-9)/24)</f>
        <v>46158</v>
      </c>
      <c r="B4620" s="11" t="n">
        <f aca="false">MOD(ROW()-9,24)</f>
        <v>3</v>
      </c>
      <c r="C4620" s="12"/>
      <c r="D4620" s="13" t="n">
        <f aca="false">IF(B4620&lt;5,Einstellungen!$B$3,Einstellungen!$B$4)</f>
        <v>15.92</v>
      </c>
      <c r="E4620" s="14" t="str">
        <f aca="false">IF(C4620="","",C4620*D4620/100)</f>
        <v/>
      </c>
      <c r="F4620" s="15" t="str">
        <f aca="false">IF(B4620&lt;5,"Go","Standard")</f>
        <v>Go</v>
      </c>
    </row>
    <row r="4621" customFormat="false" ht="15" hidden="false" customHeight="true" outlineLevel="0" collapsed="false">
      <c r="A4621" s="10" t="n">
        <f aca="false">Einstellungen!$B$5+INT((ROW()-9)/24)</f>
        <v>46158</v>
      </c>
      <c r="B4621" s="11" t="n">
        <f aca="false">MOD(ROW()-9,24)</f>
        <v>4</v>
      </c>
      <c r="C4621" s="12"/>
      <c r="D4621" s="13" t="n">
        <f aca="false">IF(B4621&lt;5,Einstellungen!$B$3,Einstellungen!$B$4)</f>
        <v>15.92</v>
      </c>
      <c r="E4621" s="14" t="str">
        <f aca="false">IF(C4621="","",C4621*D4621/100)</f>
        <v/>
      </c>
      <c r="F4621" s="15" t="str">
        <f aca="false">IF(B4621&lt;5,"Go","Standard")</f>
        <v>Go</v>
      </c>
    </row>
    <row r="4622" customFormat="false" ht="15" hidden="false" customHeight="true" outlineLevel="0" collapsed="false">
      <c r="A4622" s="10" t="n">
        <f aca="false">Einstellungen!$B$5+INT((ROW()-9)/24)</f>
        <v>46158</v>
      </c>
      <c r="B4622" s="11" t="n">
        <f aca="false">MOD(ROW()-9,24)</f>
        <v>5</v>
      </c>
      <c r="C4622" s="12"/>
      <c r="D4622" s="13" t="n">
        <f aca="false">IF(B4622&lt;5,Einstellungen!$B$3,Einstellungen!$B$4)</f>
        <v>29.13</v>
      </c>
      <c r="E4622" s="14" t="str">
        <f aca="false">IF(C4622="","",C4622*D4622/100)</f>
        <v/>
      </c>
      <c r="F4622" s="15" t="str">
        <f aca="false">IF(B4622&lt;5,"Go","Standard")</f>
        <v>Standard</v>
      </c>
    </row>
    <row r="4623" customFormat="false" ht="15" hidden="false" customHeight="true" outlineLevel="0" collapsed="false">
      <c r="A4623" s="10" t="n">
        <f aca="false">Einstellungen!$B$5+INT((ROW()-9)/24)</f>
        <v>46158</v>
      </c>
      <c r="B4623" s="11" t="n">
        <f aca="false">MOD(ROW()-9,24)</f>
        <v>6</v>
      </c>
      <c r="C4623" s="12"/>
      <c r="D4623" s="13" t="n">
        <f aca="false">IF(B4623&lt;5,Einstellungen!$B$3,Einstellungen!$B$4)</f>
        <v>29.13</v>
      </c>
      <c r="E4623" s="14" t="str">
        <f aca="false">IF(C4623="","",C4623*D4623/100)</f>
        <v/>
      </c>
      <c r="F4623" s="15" t="str">
        <f aca="false">IF(B4623&lt;5,"Go","Standard")</f>
        <v>Standard</v>
      </c>
    </row>
    <row r="4624" customFormat="false" ht="15" hidden="false" customHeight="true" outlineLevel="0" collapsed="false">
      <c r="A4624" s="10" t="n">
        <f aca="false">Einstellungen!$B$5+INT((ROW()-9)/24)</f>
        <v>46158</v>
      </c>
      <c r="B4624" s="11" t="n">
        <f aca="false">MOD(ROW()-9,24)</f>
        <v>7</v>
      </c>
      <c r="C4624" s="12"/>
      <c r="D4624" s="13" t="n">
        <f aca="false">IF(B4624&lt;5,Einstellungen!$B$3,Einstellungen!$B$4)</f>
        <v>29.13</v>
      </c>
      <c r="E4624" s="14" t="str">
        <f aca="false">IF(C4624="","",C4624*D4624/100)</f>
        <v/>
      </c>
      <c r="F4624" s="15" t="str">
        <f aca="false">IF(B4624&lt;5,"Go","Standard")</f>
        <v>Standard</v>
      </c>
    </row>
    <row r="4625" customFormat="false" ht="15" hidden="false" customHeight="true" outlineLevel="0" collapsed="false">
      <c r="A4625" s="10" t="n">
        <f aca="false">Einstellungen!$B$5+INT((ROW()-9)/24)</f>
        <v>46158</v>
      </c>
      <c r="B4625" s="11" t="n">
        <f aca="false">MOD(ROW()-9,24)</f>
        <v>8</v>
      </c>
      <c r="C4625" s="12"/>
      <c r="D4625" s="13" t="n">
        <f aca="false">IF(B4625&lt;5,Einstellungen!$B$3,Einstellungen!$B$4)</f>
        <v>29.13</v>
      </c>
      <c r="E4625" s="14" t="str">
        <f aca="false">IF(C4625="","",C4625*D4625/100)</f>
        <v/>
      </c>
      <c r="F4625" s="15" t="str">
        <f aca="false">IF(B4625&lt;5,"Go","Standard")</f>
        <v>Standard</v>
      </c>
    </row>
    <row r="4626" customFormat="false" ht="15" hidden="false" customHeight="true" outlineLevel="0" collapsed="false">
      <c r="A4626" s="10" t="n">
        <f aca="false">Einstellungen!$B$5+INT((ROW()-9)/24)</f>
        <v>46158</v>
      </c>
      <c r="B4626" s="11" t="n">
        <f aca="false">MOD(ROW()-9,24)</f>
        <v>9</v>
      </c>
      <c r="C4626" s="12"/>
      <c r="D4626" s="13" t="n">
        <f aca="false">IF(B4626&lt;5,Einstellungen!$B$3,Einstellungen!$B$4)</f>
        <v>29.13</v>
      </c>
      <c r="E4626" s="14" t="str">
        <f aca="false">IF(C4626="","",C4626*D4626/100)</f>
        <v/>
      </c>
      <c r="F4626" s="15" t="str">
        <f aca="false">IF(B4626&lt;5,"Go","Standard")</f>
        <v>Standard</v>
      </c>
    </row>
    <row r="4627" customFormat="false" ht="15" hidden="false" customHeight="true" outlineLevel="0" collapsed="false">
      <c r="A4627" s="10" t="n">
        <f aca="false">Einstellungen!$B$5+INT((ROW()-9)/24)</f>
        <v>46158</v>
      </c>
      <c r="B4627" s="11" t="n">
        <f aca="false">MOD(ROW()-9,24)</f>
        <v>10</v>
      </c>
      <c r="C4627" s="12"/>
      <c r="D4627" s="13" t="n">
        <f aca="false">IF(B4627&lt;5,Einstellungen!$B$3,Einstellungen!$B$4)</f>
        <v>29.13</v>
      </c>
      <c r="E4627" s="14" t="str">
        <f aca="false">IF(C4627="","",C4627*D4627/100)</f>
        <v/>
      </c>
      <c r="F4627" s="15" t="str">
        <f aca="false">IF(B4627&lt;5,"Go","Standard")</f>
        <v>Standard</v>
      </c>
    </row>
    <row r="4628" customFormat="false" ht="15" hidden="false" customHeight="true" outlineLevel="0" collapsed="false">
      <c r="A4628" s="10" t="n">
        <f aca="false">Einstellungen!$B$5+INT((ROW()-9)/24)</f>
        <v>46158</v>
      </c>
      <c r="B4628" s="11" t="n">
        <f aca="false">MOD(ROW()-9,24)</f>
        <v>11</v>
      </c>
      <c r="C4628" s="12"/>
      <c r="D4628" s="13" t="n">
        <f aca="false">IF(B4628&lt;5,Einstellungen!$B$3,Einstellungen!$B$4)</f>
        <v>29.13</v>
      </c>
      <c r="E4628" s="14" t="str">
        <f aca="false">IF(C4628="","",C4628*D4628/100)</f>
        <v/>
      </c>
      <c r="F4628" s="15" t="str">
        <f aca="false">IF(B4628&lt;5,"Go","Standard")</f>
        <v>Standard</v>
      </c>
    </row>
    <row r="4629" customFormat="false" ht="15" hidden="false" customHeight="true" outlineLevel="0" collapsed="false">
      <c r="A4629" s="10" t="n">
        <f aca="false">Einstellungen!$B$5+INT((ROW()-9)/24)</f>
        <v>46158</v>
      </c>
      <c r="B4629" s="11" t="n">
        <f aca="false">MOD(ROW()-9,24)</f>
        <v>12</v>
      </c>
      <c r="C4629" s="12"/>
      <c r="D4629" s="13" t="n">
        <f aca="false">IF(B4629&lt;5,Einstellungen!$B$3,Einstellungen!$B$4)</f>
        <v>29.13</v>
      </c>
      <c r="E4629" s="14" t="str">
        <f aca="false">IF(C4629="","",C4629*D4629/100)</f>
        <v/>
      </c>
      <c r="F4629" s="15" t="str">
        <f aca="false">IF(B4629&lt;5,"Go","Standard")</f>
        <v>Standard</v>
      </c>
    </row>
    <row r="4630" customFormat="false" ht="15" hidden="false" customHeight="true" outlineLevel="0" collapsed="false">
      <c r="A4630" s="10" t="n">
        <f aca="false">Einstellungen!$B$5+INT((ROW()-9)/24)</f>
        <v>46158</v>
      </c>
      <c r="B4630" s="11" t="n">
        <f aca="false">MOD(ROW()-9,24)</f>
        <v>13</v>
      </c>
      <c r="C4630" s="12"/>
      <c r="D4630" s="13" t="n">
        <f aca="false">IF(B4630&lt;5,Einstellungen!$B$3,Einstellungen!$B$4)</f>
        <v>29.13</v>
      </c>
      <c r="E4630" s="14" t="str">
        <f aca="false">IF(C4630="","",C4630*D4630/100)</f>
        <v/>
      </c>
      <c r="F4630" s="15" t="str">
        <f aca="false">IF(B4630&lt;5,"Go","Standard")</f>
        <v>Standard</v>
      </c>
    </row>
    <row r="4631" customFormat="false" ht="15" hidden="false" customHeight="true" outlineLevel="0" collapsed="false">
      <c r="A4631" s="10" t="n">
        <f aca="false">Einstellungen!$B$5+INT((ROW()-9)/24)</f>
        <v>46158</v>
      </c>
      <c r="B4631" s="11" t="n">
        <f aca="false">MOD(ROW()-9,24)</f>
        <v>14</v>
      </c>
      <c r="C4631" s="12"/>
      <c r="D4631" s="13" t="n">
        <f aca="false">IF(B4631&lt;5,Einstellungen!$B$3,Einstellungen!$B$4)</f>
        <v>29.13</v>
      </c>
      <c r="E4631" s="14" t="str">
        <f aca="false">IF(C4631="","",C4631*D4631/100)</f>
        <v/>
      </c>
      <c r="F4631" s="15" t="str">
        <f aca="false">IF(B4631&lt;5,"Go","Standard")</f>
        <v>Standard</v>
      </c>
    </row>
    <row r="4632" customFormat="false" ht="15" hidden="false" customHeight="true" outlineLevel="0" collapsed="false">
      <c r="A4632" s="10" t="n">
        <f aca="false">Einstellungen!$B$5+INT((ROW()-9)/24)</f>
        <v>46158</v>
      </c>
      <c r="B4632" s="11" t="n">
        <f aca="false">MOD(ROW()-9,24)</f>
        <v>15</v>
      </c>
      <c r="C4632" s="12"/>
      <c r="D4632" s="13" t="n">
        <f aca="false">IF(B4632&lt;5,Einstellungen!$B$3,Einstellungen!$B$4)</f>
        <v>29.13</v>
      </c>
      <c r="E4632" s="14" t="str">
        <f aca="false">IF(C4632="","",C4632*D4632/100)</f>
        <v/>
      </c>
      <c r="F4632" s="15" t="str">
        <f aca="false">IF(B4632&lt;5,"Go","Standard")</f>
        <v>Standard</v>
      </c>
    </row>
    <row r="4633" customFormat="false" ht="15" hidden="false" customHeight="true" outlineLevel="0" collapsed="false">
      <c r="A4633" s="10" t="n">
        <f aca="false">Einstellungen!$B$5+INT((ROW()-9)/24)</f>
        <v>46158</v>
      </c>
      <c r="B4633" s="11" t="n">
        <f aca="false">MOD(ROW()-9,24)</f>
        <v>16</v>
      </c>
      <c r="C4633" s="12"/>
      <c r="D4633" s="13" t="n">
        <f aca="false">IF(B4633&lt;5,Einstellungen!$B$3,Einstellungen!$B$4)</f>
        <v>29.13</v>
      </c>
      <c r="E4633" s="14" t="str">
        <f aca="false">IF(C4633="","",C4633*D4633/100)</f>
        <v/>
      </c>
      <c r="F4633" s="15" t="str">
        <f aca="false">IF(B4633&lt;5,"Go","Standard")</f>
        <v>Standard</v>
      </c>
    </row>
    <row r="4634" customFormat="false" ht="15" hidden="false" customHeight="true" outlineLevel="0" collapsed="false">
      <c r="A4634" s="10" t="n">
        <f aca="false">Einstellungen!$B$5+INT((ROW()-9)/24)</f>
        <v>46158</v>
      </c>
      <c r="B4634" s="11" t="n">
        <f aca="false">MOD(ROW()-9,24)</f>
        <v>17</v>
      </c>
      <c r="C4634" s="12"/>
      <c r="D4634" s="13" t="n">
        <f aca="false">IF(B4634&lt;5,Einstellungen!$B$3,Einstellungen!$B$4)</f>
        <v>29.13</v>
      </c>
      <c r="E4634" s="14" t="str">
        <f aca="false">IF(C4634="","",C4634*D4634/100)</f>
        <v/>
      </c>
      <c r="F4634" s="15" t="str">
        <f aca="false">IF(B4634&lt;5,"Go","Standard")</f>
        <v>Standard</v>
      </c>
    </row>
    <row r="4635" customFormat="false" ht="15" hidden="false" customHeight="true" outlineLevel="0" collapsed="false">
      <c r="A4635" s="10" t="n">
        <f aca="false">Einstellungen!$B$5+INT((ROW()-9)/24)</f>
        <v>46158</v>
      </c>
      <c r="B4635" s="11" t="n">
        <f aca="false">MOD(ROW()-9,24)</f>
        <v>18</v>
      </c>
      <c r="C4635" s="12"/>
      <c r="D4635" s="13" t="n">
        <f aca="false">IF(B4635&lt;5,Einstellungen!$B$3,Einstellungen!$B$4)</f>
        <v>29.13</v>
      </c>
      <c r="E4635" s="14" t="str">
        <f aca="false">IF(C4635="","",C4635*D4635/100)</f>
        <v/>
      </c>
      <c r="F4635" s="15" t="str">
        <f aca="false">IF(B4635&lt;5,"Go","Standard")</f>
        <v>Standard</v>
      </c>
    </row>
    <row r="4636" customFormat="false" ht="15" hidden="false" customHeight="true" outlineLevel="0" collapsed="false">
      <c r="A4636" s="10" t="n">
        <f aca="false">Einstellungen!$B$5+INT((ROW()-9)/24)</f>
        <v>46158</v>
      </c>
      <c r="B4636" s="11" t="n">
        <f aca="false">MOD(ROW()-9,24)</f>
        <v>19</v>
      </c>
      <c r="C4636" s="12"/>
      <c r="D4636" s="13" t="n">
        <f aca="false">IF(B4636&lt;5,Einstellungen!$B$3,Einstellungen!$B$4)</f>
        <v>29.13</v>
      </c>
      <c r="E4636" s="14" t="str">
        <f aca="false">IF(C4636="","",C4636*D4636/100)</f>
        <v/>
      </c>
      <c r="F4636" s="15" t="str">
        <f aca="false">IF(B4636&lt;5,"Go","Standard")</f>
        <v>Standard</v>
      </c>
    </row>
    <row r="4637" customFormat="false" ht="15" hidden="false" customHeight="true" outlineLevel="0" collapsed="false">
      <c r="A4637" s="10" t="n">
        <f aca="false">Einstellungen!$B$5+INT((ROW()-9)/24)</f>
        <v>46158</v>
      </c>
      <c r="B4637" s="11" t="n">
        <f aca="false">MOD(ROW()-9,24)</f>
        <v>20</v>
      </c>
      <c r="C4637" s="12"/>
      <c r="D4637" s="13" t="n">
        <f aca="false">IF(B4637&lt;5,Einstellungen!$B$3,Einstellungen!$B$4)</f>
        <v>29.13</v>
      </c>
      <c r="E4637" s="14" t="str">
        <f aca="false">IF(C4637="","",C4637*D4637/100)</f>
        <v/>
      </c>
      <c r="F4637" s="15" t="str">
        <f aca="false">IF(B4637&lt;5,"Go","Standard")</f>
        <v>Standard</v>
      </c>
    </row>
    <row r="4638" customFormat="false" ht="15" hidden="false" customHeight="true" outlineLevel="0" collapsed="false">
      <c r="A4638" s="10" t="n">
        <f aca="false">Einstellungen!$B$5+INT((ROW()-9)/24)</f>
        <v>46158</v>
      </c>
      <c r="B4638" s="11" t="n">
        <f aca="false">MOD(ROW()-9,24)</f>
        <v>21</v>
      </c>
      <c r="C4638" s="12"/>
      <c r="D4638" s="13" t="n">
        <f aca="false">IF(B4638&lt;5,Einstellungen!$B$3,Einstellungen!$B$4)</f>
        <v>29.13</v>
      </c>
      <c r="E4638" s="14" t="str">
        <f aca="false">IF(C4638="","",C4638*D4638/100)</f>
        <v/>
      </c>
      <c r="F4638" s="15" t="str">
        <f aca="false">IF(B4638&lt;5,"Go","Standard")</f>
        <v>Standard</v>
      </c>
    </row>
    <row r="4639" customFormat="false" ht="15" hidden="false" customHeight="true" outlineLevel="0" collapsed="false">
      <c r="A4639" s="10" t="n">
        <f aca="false">Einstellungen!$B$5+INT((ROW()-9)/24)</f>
        <v>46158</v>
      </c>
      <c r="B4639" s="11" t="n">
        <f aca="false">MOD(ROW()-9,24)</f>
        <v>22</v>
      </c>
      <c r="C4639" s="12"/>
      <c r="D4639" s="13" t="n">
        <f aca="false">IF(B4639&lt;5,Einstellungen!$B$3,Einstellungen!$B$4)</f>
        <v>29.13</v>
      </c>
      <c r="E4639" s="14" t="str">
        <f aca="false">IF(C4639="","",C4639*D4639/100)</f>
        <v/>
      </c>
      <c r="F4639" s="15" t="str">
        <f aca="false">IF(B4639&lt;5,"Go","Standard")</f>
        <v>Standard</v>
      </c>
    </row>
    <row r="4640" customFormat="false" ht="15" hidden="false" customHeight="true" outlineLevel="0" collapsed="false">
      <c r="A4640" s="10" t="n">
        <f aca="false">Einstellungen!$B$5+INT((ROW()-9)/24)</f>
        <v>46158</v>
      </c>
      <c r="B4640" s="11" t="n">
        <f aca="false">MOD(ROW()-9,24)</f>
        <v>23</v>
      </c>
      <c r="C4640" s="12"/>
      <c r="D4640" s="13" t="n">
        <f aca="false">IF(B4640&lt;5,Einstellungen!$B$3,Einstellungen!$B$4)</f>
        <v>29.13</v>
      </c>
      <c r="E4640" s="14" t="str">
        <f aca="false">IF(C4640="","",C4640*D4640/100)</f>
        <v/>
      </c>
      <c r="F4640" s="15" t="str">
        <f aca="false">IF(B4640&lt;5,"Go","Standard")</f>
        <v>Standard</v>
      </c>
    </row>
    <row r="4641" customFormat="false" ht="15" hidden="false" customHeight="true" outlineLevel="0" collapsed="false">
      <c r="A4641" s="10" t="n">
        <f aca="false">Einstellungen!$B$5+INT((ROW()-9)/24)</f>
        <v>46159</v>
      </c>
      <c r="B4641" s="11" t="n">
        <f aca="false">MOD(ROW()-9,24)</f>
        <v>0</v>
      </c>
      <c r="C4641" s="12"/>
      <c r="D4641" s="13" t="n">
        <f aca="false">IF(B4641&lt;5,Einstellungen!$B$3,Einstellungen!$B$4)</f>
        <v>15.92</v>
      </c>
      <c r="E4641" s="14" t="str">
        <f aca="false">IF(C4641="","",C4641*D4641/100)</f>
        <v/>
      </c>
      <c r="F4641" s="15" t="str">
        <f aca="false">IF(B4641&lt;5,"Go","Standard")</f>
        <v>Go</v>
      </c>
    </row>
    <row r="4642" customFormat="false" ht="15" hidden="false" customHeight="true" outlineLevel="0" collapsed="false">
      <c r="A4642" s="10" t="n">
        <f aca="false">Einstellungen!$B$5+INT((ROW()-9)/24)</f>
        <v>46159</v>
      </c>
      <c r="B4642" s="11" t="n">
        <f aca="false">MOD(ROW()-9,24)</f>
        <v>1</v>
      </c>
      <c r="C4642" s="12"/>
      <c r="D4642" s="13" t="n">
        <f aca="false">IF(B4642&lt;5,Einstellungen!$B$3,Einstellungen!$B$4)</f>
        <v>15.92</v>
      </c>
      <c r="E4642" s="14" t="str">
        <f aca="false">IF(C4642="","",C4642*D4642/100)</f>
        <v/>
      </c>
      <c r="F4642" s="15" t="str">
        <f aca="false">IF(B4642&lt;5,"Go","Standard")</f>
        <v>Go</v>
      </c>
    </row>
    <row r="4643" customFormat="false" ht="15" hidden="false" customHeight="true" outlineLevel="0" collapsed="false">
      <c r="A4643" s="10" t="n">
        <f aca="false">Einstellungen!$B$5+INT((ROW()-9)/24)</f>
        <v>46159</v>
      </c>
      <c r="B4643" s="11" t="n">
        <f aca="false">MOD(ROW()-9,24)</f>
        <v>2</v>
      </c>
      <c r="C4643" s="12"/>
      <c r="D4643" s="13" t="n">
        <f aca="false">IF(B4643&lt;5,Einstellungen!$B$3,Einstellungen!$B$4)</f>
        <v>15.92</v>
      </c>
      <c r="E4643" s="14" t="str">
        <f aca="false">IF(C4643="","",C4643*D4643/100)</f>
        <v/>
      </c>
      <c r="F4643" s="15" t="str">
        <f aca="false">IF(B4643&lt;5,"Go","Standard")</f>
        <v>Go</v>
      </c>
    </row>
    <row r="4644" customFormat="false" ht="15" hidden="false" customHeight="true" outlineLevel="0" collapsed="false">
      <c r="A4644" s="10" t="n">
        <f aca="false">Einstellungen!$B$5+INT((ROW()-9)/24)</f>
        <v>46159</v>
      </c>
      <c r="B4644" s="11" t="n">
        <f aca="false">MOD(ROW()-9,24)</f>
        <v>3</v>
      </c>
      <c r="C4644" s="12"/>
      <c r="D4644" s="13" t="n">
        <f aca="false">IF(B4644&lt;5,Einstellungen!$B$3,Einstellungen!$B$4)</f>
        <v>15.92</v>
      </c>
      <c r="E4644" s="14" t="str">
        <f aca="false">IF(C4644="","",C4644*D4644/100)</f>
        <v/>
      </c>
      <c r="F4644" s="15" t="str">
        <f aca="false">IF(B4644&lt;5,"Go","Standard")</f>
        <v>Go</v>
      </c>
    </row>
    <row r="4645" customFormat="false" ht="15" hidden="false" customHeight="true" outlineLevel="0" collapsed="false">
      <c r="A4645" s="10" t="n">
        <f aca="false">Einstellungen!$B$5+INT((ROW()-9)/24)</f>
        <v>46159</v>
      </c>
      <c r="B4645" s="11" t="n">
        <f aca="false">MOD(ROW()-9,24)</f>
        <v>4</v>
      </c>
      <c r="C4645" s="12"/>
      <c r="D4645" s="13" t="n">
        <f aca="false">IF(B4645&lt;5,Einstellungen!$B$3,Einstellungen!$B$4)</f>
        <v>15.92</v>
      </c>
      <c r="E4645" s="14" t="str">
        <f aca="false">IF(C4645="","",C4645*D4645/100)</f>
        <v/>
      </c>
      <c r="F4645" s="15" t="str">
        <f aca="false">IF(B4645&lt;5,"Go","Standard")</f>
        <v>Go</v>
      </c>
    </row>
    <row r="4646" customFormat="false" ht="15" hidden="false" customHeight="true" outlineLevel="0" collapsed="false">
      <c r="A4646" s="10" t="n">
        <f aca="false">Einstellungen!$B$5+INT((ROW()-9)/24)</f>
        <v>46159</v>
      </c>
      <c r="B4646" s="11" t="n">
        <f aca="false">MOD(ROW()-9,24)</f>
        <v>5</v>
      </c>
      <c r="C4646" s="12"/>
      <c r="D4646" s="13" t="n">
        <f aca="false">IF(B4646&lt;5,Einstellungen!$B$3,Einstellungen!$B$4)</f>
        <v>29.13</v>
      </c>
      <c r="E4646" s="14" t="str">
        <f aca="false">IF(C4646="","",C4646*D4646/100)</f>
        <v/>
      </c>
      <c r="F4646" s="15" t="str">
        <f aca="false">IF(B4646&lt;5,"Go","Standard")</f>
        <v>Standard</v>
      </c>
    </row>
    <row r="4647" customFormat="false" ht="15" hidden="false" customHeight="true" outlineLevel="0" collapsed="false">
      <c r="A4647" s="10" t="n">
        <f aca="false">Einstellungen!$B$5+INT((ROW()-9)/24)</f>
        <v>46159</v>
      </c>
      <c r="B4647" s="11" t="n">
        <f aca="false">MOD(ROW()-9,24)</f>
        <v>6</v>
      </c>
      <c r="C4647" s="12"/>
      <c r="D4647" s="13" t="n">
        <f aca="false">IF(B4647&lt;5,Einstellungen!$B$3,Einstellungen!$B$4)</f>
        <v>29.13</v>
      </c>
      <c r="E4647" s="14" t="str">
        <f aca="false">IF(C4647="","",C4647*D4647/100)</f>
        <v/>
      </c>
      <c r="F4647" s="15" t="str">
        <f aca="false">IF(B4647&lt;5,"Go","Standard")</f>
        <v>Standard</v>
      </c>
    </row>
    <row r="4648" customFormat="false" ht="15" hidden="false" customHeight="true" outlineLevel="0" collapsed="false">
      <c r="A4648" s="10" t="n">
        <f aca="false">Einstellungen!$B$5+INT((ROW()-9)/24)</f>
        <v>46159</v>
      </c>
      <c r="B4648" s="11" t="n">
        <f aca="false">MOD(ROW()-9,24)</f>
        <v>7</v>
      </c>
      <c r="C4648" s="12"/>
      <c r="D4648" s="13" t="n">
        <f aca="false">IF(B4648&lt;5,Einstellungen!$B$3,Einstellungen!$B$4)</f>
        <v>29.13</v>
      </c>
      <c r="E4648" s="14" t="str">
        <f aca="false">IF(C4648="","",C4648*D4648/100)</f>
        <v/>
      </c>
      <c r="F4648" s="15" t="str">
        <f aca="false">IF(B4648&lt;5,"Go","Standard")</f>
        <v>Standard</v>
      </c>
    </row>
    <row r="4649" customFormat="false" ht="15" hidden="false" customHeight="true" outlineLevel="0" collapsed="false">
      <c r="A4649" s="10" t="n">
        <f aca="false">Einstellungen!$B$5+INT((ROW()-9)/24)</f>
        <v>46159</v>
      </c>
      <c r="B4649" s="11" t="n">
        <f aca="false">MOD(ROW()-9,24)</f>
        <v>8</v>
      </c>
      <c r="C4649" s="12"/>
      <c r="D4649" s="13" t="n">
        <f aca="false">IF(B4649&lt;5,Einstellungen!$B$3,Einstellungen!$B$4)</f>
        <v>29.13</v>
      </c>
      <c r="E4649" s="14" t="str">
        <f aca="false">IF(C4649="","",C4649*D4649/100)</f>
        <v/>
      </c>
      <c r="F4649" s="15" t="str">
        <f aca="false">IF(B4649&lt;5,"Go","Standard")</f>
        <v>Standard</v>
      </c>
    </row>
    <row r="4650" customFormat="false" ht="15" hidden="false" customHeight="true" outlineLevel="0" collapsed="false">
      <c r="A4650" s="10" t="n">
        <f aca="false">Einstellungen!$B$5+INT((ROW()-9)/24)</f>
        <v>46159</v>
      </c>
      <c r="B4650" s="11" t="n">
        <f aca="false">MOD(ROW()-9,24)</f>
        <v>9</v>
      </c>
      <c r="C4650" s="12"/>
      <c r="D4650" s="13" t="n">
        <f aca="false">IF(B4650&lt;5,Einstellungen!$B$3,Einstellungen!$B$4)</f>
        <v>29.13</v>
      </c>
      <c r="E4650" s="14" t="str">
        <f aca="false">IF(C4650="","",C4650*D4650/100)</f>
        <v/>
      </c>
      <c r="F4650" s="15" t="str">
        <f aca="false">IF(B4650&lt;5,"Go","Standard")</f>
        <v>Standard</v>
      </c>
    </row>
    <row r="4651" customFormat="false" ht="15" hidden="false" customHeight="true" outlineLevel="0" collapsed="false">
      <c r="A4651" s="10" t="n">
        <f aca="false">Einstellungen!$B$5+INT((ROW()-9)/24)</f>
        <v>46159</v>
      </c>
      <c r="B4651" s="11" t="n">
        <f aca="false">MOD(ROW()-9,24)</f>
        <v>10</v>
      </c>
      <c r="C4651" s="12"/>
      <c r="D4651" s="13" t="n">
        <f aca="false">IF(B4651&lt;5,Einstellungen!$B$3,Einstellungen!$B$4)</f>
        <v>29.13</v>
      </c>
      <c r="E4651" s="14" t="str">
        <f aca="false">IF(C4651="","",C4651*D4651/100)</f>
        <v/>
      </c>
      <c r="F4651" s="15" t="str">
        <f aca="false">IF(B4651&lt;5,"Go","Standard")</f>
        <v>Standard</v>
      </c>
    </row>
    <row r="4652" customFormat="false" ht="15" hidden="false" customHeight="true" outlineLevel="0" collapsed="false">
      <c r="A4652" s="10" t="n">
        <f aca="false">Einstellungen!$B$5+INT((ROW()-9)/24)</f>
        <v>46159</v>
      </c>
      <c r="B4652" s="11" t="n">
        <f aca="false">MOD(ROW()-9,24)</f>
        <v>11</v>
      </c>
      <c r="C4652" s="12"/>
      <c r="D4652" s="13" t="n">
        <f aca="false">IF(B4652&lt;5,Einstellungen!$B$3,Einstellungen!$B$4)</f>
        <v>29.13</v>
      </c>
      <c r="E4652" s="14" t="str">
        <f aca="false">IF(C4652="","",C4652*D4652/100)</f>
        <v/>
      </c>
      <c r="F4652" s="15" t="str">
        <f aca="false">IF(B4652&lt;5,"Go","Standard")</f>
        <v>Standard</v>
      </c>
    </row>
    <row r="4653" customFormat="false" ht="15" hidden="false" customHeight="true" outlineLevel="0" collapsed="false">
      <c r="A4653" s="10" t="n">
        <f aca="false">Einstellungen!$B$5+INT((ROW()-9)/24)</f>
        <v>46159</v>
      </c>
      <c r="B4653" s="11" t="n">
        <f aca="false">MOD(ROW()-9,24)</f>
        <v>12</v>
      </c>
      <c r="C4653" s="12"/>
      <c r="D4653" s="13" t="n">
        <f aca="false">IF(B4653&lt;5,Einstellungen!$B$3,Einstellungen!$B$4)</f>
        <v>29.13</v>
      </c>
      <c r="E4653" s="14" t="str">
        <f aca="false">IF(C4653="","",C4653*D4653/100)</f>
        <v/>
      </c>
      <c r="F4653" s="15" t="str">
        <f aca="false">IF(B4653&lt;5,"Go","Standard")</f>
        <v>Standard</v>
      </c>
    </row>
    <row r="4654" customFormat="false" ht="15" hidden="false" customHeight="true" outlineLevel="0" collapsed="false">
      <c r="A4654" s="10" t="n">
        <f aca="false">Einstellungen!$B$5+INT((ROW()-9)/24)</f>
        <v>46159</v>
      </c>
      <c r="B4654" s="11" t="n">
        <f aca="false">MOD(ROW()-9,24)</f>
        <v>13</v>
      </c>
      <c r="C4654" s="12"/>
      <c r="D4654" s="13" t="n">
        <f aca="false">IF(B4654&lt;5,Einstellungen!$B$3,Einstellungen!$B$4)</f>
        <v>29.13</v>
      </c>
      <c r="E4654" s="14" t="str">
        <f aca="false">IF(C4654="","",C4654*D4654/100)</f>
        <v/>
      </c>
      <c r="F4654" s="15" t="str">
        <f aca="false">IF(B4654&lt;5,"Go","Standard")</f>
        <v>Standard</v>
      </c>
    </row>
    <row r="4655" customFormat="false" ht="15" hidden="false" customHeight="true" outlineLevel="0" collapsed="false">
      <c r="A4655" s="10" t="n">
        <f aca="false">Einstellungen!$B$5+INT((ROW()-9)/24)</f>
        <v>46159</v>
      </c>
      <c r="B4655" s="11" t="n">
        <f aca="false">MOD(ROW()-9,24)</f>
        <v>14</v>
      </c>
      <c r="C4655" s="12"/>
      <c r="D4655" s="13" t="n">
        <f aca="false">IF(B4655&lt;5,Einstellungen!$B$3,Einstellungen!$B$4)</f>
        <v>29.13</v>
      </c>
      <c r="E4655" s="14" t="str">
        <f aca="false">IF(C4655="","",C4655*D4655/100)</f>
        <v/>
      </c>
      <c r="F4655" s="15" t="str">
        <f aca="false">IF(B4655&lt;5,"Go","Standard")</f>
        <v>Standard</v>
      </c>
    </row>
    <row r="4656" customFormat="false" ht="15" hidden="false" customHeight="true" outlineLevel="0" collapsed="false">
      <c r="A4656" s="10" t="n">
        <f aca="false">Einstellungen!$B$5+INT((ROW()-9)/24)</f>
        <v>46159</v>
      </c>
      <c r="B4656" s="11" t="n">
        <f aca="false">MOD(ROW()-9,24)</f>
        <v>15</v>
      </c>
      <c r="C4656" s="12"/>
      <c r="D4656" s="13" t="n">
        <f aca="false">IF(B4656&lt;5,Einstellungen!$B$3,Einstellungen!$B$4)</f>
        <v>29.13</v>
      </c>
      <c r="E4656" s="14" t="str">
        <f aca="false">IF(C4656="","",C4656*D4656/100)</f>
        <v/>
      </c>
      <c r="F4656" s="15" t="str">
        <f aca="false">IF(B4656&lt;5,"Go","Standard")</f>
        <v>Standard</v>
      </c>
    </row>
    <row r="4657" customFormat="false" ht="15" hidden="false" customHeight="true" outlineLevel="0" collapsed="false">
      <c r="A4657" s="10" t="n">
        <f aca="false">Einstellungen!$B$5+INT((ROW()-9)/24)</f>
        <v>46159</v>
      </c>
      <c r="B4657" s="11" t="n">
        <f aca="false">MOD(ROW()-9,24)</f>
        <v>16</v>
      </c>
      <c r="C4657" s="12"/>
      <c r="D4657" s="13" t="n">
        <f aca="false">IF(B4657&lt;5,Einstellungen!$B$3,Einstellungen!$B$4)</f>
        <v>29.13</v>
      </c>
      <c r="E4657" s="14" t="str">
        <f aca="false">IF(C4657="","",C4657*D4657/100)</f>
        <v/>
      </c>
      <c r="F4657" s="15" t="str">
        <f aca="false">IF(B4657&lt;5,"Go","Standard")</f>
        <v>Standard</v>
      </c>
    </row>
    <row r="4658" customFormat="false" ht="15" hidden="false" customHeight="true" outlineLevel="0" collapsed="false">
      <c r="A4658" s="10" t="n">
        <f aca="false">Einstellungen!$B$5+INT((ROW()-9)/24)</f>
        <v>46159</v>
      </c>
      <c r="B4658" s="11" t="n">
        <f aca="false">MOD(ROW()-9,24)</f>
        <v>17</v>
      </c>
      <c r="C4658" s="12"/>
      <c r="D4658" s="13" t="n">
        <f aca="false">IF(B4658&lt;5,Einstellungen!$B$3,Einstellungen!$B$4)</f>
        <v>29.13</v>
      </c>
      <c r="E4658" s="14" t="str">
        <f aca="false">IF(C4658="","",C4658*D4658/100)</f>
        <v/>
      </c>
      <c r="F4658" s="15" t="str">
        <f aca="false">IF(B4658&lt;5,"Go","Standard")</f>
        <v>Standard</v>
      </c>
    </row>
    <row r="4659" customFormat="false" ht="15" hidden="false" customHeight="true" outlineLevel="0" collapsed="false">
      <c r="A4659" s="10" t="n">
        <f aca="false">Einstellungen!$B$5+INT((ROW()-9)/24)</f>
        <v>46159</v>
      </c>
      <c r="B4659" s="11" t="n">
        <f aca="false">MOD(ROW()-9,24)</f>
        <v>18</v>
      </c>
      <c r="C4659" s="12"/>
      <c r="D4659" s="13" t="n">
        <f aca="false">IF(B4659&lt;5,Einstellungen!$B$3,Einstellungen!$B$4)</f>
        <v>29.13</v>
      </c>
      <c r="E4659" s="14" t="str">
        <f aca="false">IF(C4659="","",C4659*D4659/100)</f>
        <v/>
      </c>
      <c r="F4659" s="15" t="str">
        <f aca="false">IF(B4659&lt;5,"Go","Standard")</f>
        <v>Standard</v>
      </c>
    </row>
    <row r="4660" customFormat="false" ht="15" hidden="false" customHeight="true" outlineLevel="0" collapsed="false">
      <c r="A4660" s="10" t="n">
        <f aca="false">Einstellungen!$B$5+INT((ROW()-9)/24)</f>
        <v>46159</v>
      </c>
      <c r="B4660" s="11" t="n">
        <f aca="false">MOD(ROW()-9,24)</f>
        <v>19</v>
      </c>
      <c r="C4660" s="12"/>
      <c r="D4660" s="13" t="n">
        <f aca="false">IF(B4660&lt;5,Einstellungen!$B$3,Einstellungen!$B$4)</f>
        <v>29.13</v>
      </c>
      <c r="E4660" s="14" t="str">
        <f aca="false">IF(C4660="","",C4660*D4660/100)</f>
        <v/>
      </c>
      <c r="F4660" s="15" t="str">
        <f aca="false">IF(B4660&lt;5,"Go","Standard")</f>
        <v>Standard</v>
      </c>
    </row>
    <row r="4661" customFormat="false" ht="15" hidden="false" customHeight="true" outlineLevel="0" collapsed="false">
      <c r="A4661" s="10" t="n">
        <f aca="false">Einstellungen!$B$5+INT((ROW()-9)/24)</f>
        <v>46159</v>
      </c>
      <c r="B4661" s="11" t="n">
        <f aca="false">MOD(ROW()-9,24)</f>
        <v>20</v>
      </c>
      <c r="C4661" s="12"/>
      <c r="D4661" s="13" t="n">
        <f aca="false">IF(B4661&lt;5,Einstellungen!$B$3,Einstellungen!$B$4)</f>
        <v>29.13</v>
      </c>
      <c r="E4661" s="14" t="str">
        <f aca="false">IF(C4661="","",C4661*D4661/100)</f>
        <v/>
      </c>
      <c r="F4661" s="15" t="str">
        <f aca="false">IF(B4661&lt;5,"Go","Standard")</f>
        <v>Standard</v>
      </c>
    </row>
    <row r="4662" customFormat="false" ht="15" hidden="false" customHeight="true" outlineLevel="0" collapsed="false">
      <c r="A4662" s="10" t="n">
        <f aca="false">Einstellungen!$B$5+INT((ROW()-9)/24)</f>
        <v>46159</v>
      </c>
      <c r="B4662" s="11" t="n">
        <f aca="false">MOD(ROW()-9,24)</f>
        <v>21</v>
      </c>
      <c r="C4662" s="12"/>
      <c r="D4662" s="13" t="n">
        <f aca="false">IF(B4662&lt;5,Einstellungen!$B$3,Einstellungen!$B$4)</f>
        <v>29.13</v>
      </c>
      <c r="E4662" s="14" t="str">
        <f aca="false">IF(C4662="","",C4662*D4662/100)</f>
        <v/>
      </c>
      <c r="F4662" s="15" t="str">
        <f aca="false">IF(B4662&lt;5,"Go","Standard")</f>
        <v>Standard</v>
      </c>
    </row>
    <row r="4663" customFormat="false" ht="15" hidden="false" customHeight="true" outlineLevel="0" collapsed="false">
      <c r="A4663" s="10" t="n">
        <f aca="false">Einstellungen!$B$5+INT((ROW()-9)/24)</f>
        <v>46159</v>
      </c>
      <c r="B4663" s="11" t="n">
        <f aca="false">MOD(ROW()-9,24)</f>
        <v>22</v>
      </c>
      <c r="C4663" s="12"/>
      <c r="D4663" s="13" t="n">
        <f aca="false">IF(B4663&lt;5,Einstellungen!$B$3,Einstellungen!$B$4)</f>
        <v>29.13</v>
      </c>
      <c r="E4663" s="14" t="str">
        <f aca="false">IF(C4663="","",C4663*D4663/100)</f>
        <v/>
      </c>
      <c r="F4663" s="15" t="str">
        <f aca="false">IF(B4663&lt;5,"Go","Standard")</f>
        <v>Standard</v>
      </c>
    </row>
    <row r="4664" customFormat="false" ht="15" hidden="false" customHeight="true" outlineLevel="0" collapsed="false">
      <c r="A4664" s="10" t="n">
        <f aca="false">Einstellungen!$B$5+INT((ROW()-9)/24)</f>
        <v>46159</v>
      </c>
      <c r="B4664" s="11" t="n">
        <f aca="false">MOD(ROW()-9,24)</f>
        <v>23</v>
      </c>
      <c r="C4664" s="12"/>
      <c r="D4664" s="13" t="n">
        <f aca="false">IF(B4664&lt;5,Einstellungen!$B$3,Einstellungen!$B$4)</f>
        <v>29.13</v>
      </c>
      <c r="E4664" s="14" t="str">
        <f aca="false">IF(C4664="","",C4664*D4664/100)</f>
        <v/>
      </c>
      <c r="F4664" s="15" t="str">
        <f aca="false">IF(B4664&lt;5,"Go","Standard")</f>
        <v>Standard</v>
      </c>
    </row>
    <row r="4665" customFormat="false" ht="15" hidden="false" customHeight="true" outlineLevel="0" collapsed="false">
      <c r="A4665" s="10" t="n">
        <f aca="false">Einstellungen!$B$5+INT((ROW()-9)/24)</f>
        <v>46160</v>
      </c>
      <c r="B4665" s="11" t="n">
        <f aca="false">MOD(ROW()-9,24)</f>
        <v>0</v>
      </c>
      <c r="C4665" s="12"/>
      <c r="D4665" s="13" t="n">
        <f aca="false">IF(B4665&lt;5,Einstellungen!$B$3,Einstellungen!$B$4)</f>
        <v>15.92</v>
      </c>
      <c r="E4665" s="14" t="str">
        <f aca="false">IF(C4665="","",C4665*D4665/100)</f>
        <v/>
      </c>
      <c r="F4665" s="15" t="str">
        <f aca="false">IF(B4665&lt;5,"Go","Standard")</f>
        <v>Go</v>
      </c>
    </row>
    <row r="4666" customFormat="false" ht="15" hidden="false" customHeight="true" outlineLevel="0" collapsed="false">
      <c r="A4666" s="10" t="n">
        <f aca="false">Einstellungen!$B$5+INT((ROW()-9)/24)</f>
        <v>46160</v>
      </c>
      <c r="B4666" s="11" t="n">
        <f aca="false">MOD(ROW()-9,24)</f>
        <v>1</v>
      </c>
      <c r="C4666" s="12"/>
      <c r="D4666" s="13" t="n">
        <f aca="false">IF(B4666&lt;5,Einstellungen!$B$3,Einstellungen!$B$4)</f>
        <v>15.92</v>
      </c>
      <c r="E4666" s="14" t="str">
        <f aca="false">IF(C4666="","",C4666*D4666/100)</f>
        <v/>
      </c>
      <c r="F4666" s="15" t="str">
        <f aca="false">IF(B4666&lt;5,"Go","Standard")</f>
        <v>Go</v>
      </c>
    </row>
    <row r="4667" customFormat="false" ht="15" hidden="false" customHeight="true" outlineLevel="0" collapsed="false">
      <c r="A4667" s="10" t="n">
        <f aca="false">Einstellungen!$B$5+INT((ROW()-9)/24)</f>
        <v>46160</v>
      </c>
      <c r="B4667" s="11" t="n">
        <f aca="false">MOD(ROW()-9,24)</f>
        <v>2</v>
      </c>
      <c r="C4667" s="12"/>
      <c r="D4667" s="13" t="n">
        <f aca="false">IF(B4667&lt;5,Einstellungen!$B$3,Einstellungen!$B$4)</f>
        <v>15.92</v>
      </c>
      <c r="E4667" s="14" t="str">
        <f aca="false">IF(C4667="","",C4667*D4667/100)</f>
        <v/>
      </c>
      <c r="F4667" s="15" t="str">
        <f aca="false">IF(B4667&lt;5,"Go","Standard")</f>
        <v>Go</v>
      </c>
    </row>
    <row r="4668" customFormat="false" ht="15" hidden="false" customHeight="true" outlineLevel="0" collapsed="false">
      <c r="A4668" s="10" t="n">
        <f aca="false">Einstellungen!$B$5+INT((ROW()-9)/24)</f>
        <v>46160</v>
      </c>
      <c r="B4668" s="11" t="n">
        <f aca="false">MOD(ROW()-9,24)</f>
        <v>3</v>
      </c>
      <c r="C4668" s="12"/>
      <c r="D4668" s="13" t="n">
        <f aca="false">IF(B4668&lt;5,Einstellungen!$B$3,Einstellungen!$B$4)</f>
        <v>15.92</v>
      </c>
      <c r="E4668" s="14" t="str">
        <f aca="false">IF(C4668="","",C4668*D4668/100)</f>
        <v/>
      </c>
      <c r="F4668" s="15" t="str">
        <f aca="false">IF(B4668&lt;5,"Go","Standard")</f>
        <v>Go</v>
      </c>
    </row>
    <row r="4669" customFormat="false" ht="15" hidden="false" customHeight="true" outlineLevel="0" collapsed="false">
      <c r="A4669" s="10" t="n">
        <f aca="false">Einstellungen!$B$5+INT((ROW()-9)/24)</f>
        <v>46160</v>
      </c>
      <c r="B4669" s="11" t="n">
        <f aca="false">MOD(ROW()-9,24)</f>
        <v>4</v>
      </c>
      <c r="C4669" s="12"/>
      <c r="D4669" s="13" t="n">
        <f aca="false">IF(B4669&lt;5,Einstellungen!$B$3,Einstellungen!$B$4)</f>
        <v>15.92</v>
      </c>
      <c r="E4669" s="14" t="str">
        <f aca="false">IF(C4669="","",C4669*D4669/100)</f>
        <v/>
      </c>
      <c r="F4669" s="15" t="str">
        <f aca="false">IF(B4669&lt;5,"Go","Standard")</f>
        <v>Go</v>
      </c>
    </row>
    <row r="4670" customFormat="false" ht="15" hidden="false" customHeight="true" outlineLevel="0" collapsed="false">
      <c r="A4670" s="10" t="n">
        <f aca="false">Einstellungen!$B$5+INT((ROW()-9)/24)</f>
        <v>46160</v>
      </c>
      <c r="B4670" s="11" t="n">
        <f aca="false">MOD(ROW()-9,24)</f>
        <v>5</v>
      </c>
      <c r="C4670" s="12"/>
      <c r="D4670" s="13" t="n">
        <f aca="false">IF(B4670&lt;5,Einstellungen!$B$3,Einstellungen!$B$4)</f>
        <v>29.13</v>
      </c>
      <c r="E4670" s="14" t="str">
        <f aca="false">IF(C4670="","",C4670*D4670/100)</f>
        <v/>
      </c>
      <c r="F4670" s="15" t="str">
        <f aca="false">IF(B4670&lt;5,"Go","Standard")</f>
        <v>Standard</v>
      </c>
    </row>
    <row r="4671" customFormat="false" ht="15" hidden="false" customHeight="true" outlineLevel="0" collapsed="false">
      <c r="A4671" s="10" t="n">
        <f aca="false">Einstellungen!$B$5+INT((ROW()-9)/24)</f>
        <v>46160</v>
      </c>
      <c r="B4671" s="11" t="n">
        <f aca="false">MOD(ROW()-9,24)</f>
        <v>6</v>
      </c>
      <c r="C4671" s="12"/>
      <c r="D4671" s="13" t="n">
        <f aca="false">IF(B4671&lt;5,Einstellungen!$B$3,Einstellungen!$B$4)</f>
        <v>29.13</v>
      </c>
      <c r="E4671" s="14" t="str">
        <f aca="false">IF(C4671="","",C4671*D4671/100)</f>
        <v/>
      </c>
      <c r="F4671" s="15" t="str">
        <f aca="false">IF(B4671&lt;5,"Go","Standard")</f>
        <v>Standard</v>
      </c>
    </row>
    <row r="4672" customFormat="false" ht="15" hidden="false" customHeight="true" outlineLevel="0" collapsed="false">
      <c r="A4672" s="10" t="n">
        <f aca="false">Einstellungen!$B$5+INT((ROW()-9)/24)</f>
        <v>46160</v>
      </c>
      <c r="B4672" s="11" t="n">
        <f aca="false">MOD(ROW()-9,24)</f>
        <v>7</v>
      </c>
      <c r="C4672" s="12"/>
      <c r="D4672" s="13" t="n">
        <f aca="false">IF(B4672&lt;5,Einstellungen!$B$3,Einstellungen!$B$4)</f>
        <v>29.13</v>
      </c>
      <c r="E4672" s="14" t="str">
        <f aca="false">IF(C4672="","",C4672*D4672/100)</f>
        <v/>
      </c>
      <c r="F4672" s="15" t="str">
        <f aca="false">IF(B4672&lt;5,"Go","Standard")</f>
        <v>Standard</v>
      </c>
    </row>
    <row r="4673" customFormat="false" ht="15" hidden="false" customHeight="true" outlineLevel="0" collapsed="false">
      <c r="A4673" s="10" t="n">
        <f aca="false">Einstellungen!$B$5+INT((ROW()-9)/24)</f>
        <v>46160</v>
      </c>
      <c r="B4673" s="11" t="n">
        <f aca="false">MOD(ROW()-9,24)</f>
        <v>8</v>
      </c>
      <c r="C4673" s="12"/>
      <c r="D4673" s="13" t="n">
        <f aca="false">IF(B4673&lt;5,Einstellungen!$B$3,Einstellungen!$B$4)</f>
        <v>29.13</v>
      </c>
      <c r="E4673" s="14" t="str">
        <f aca="false">IF(C4673="","",C4673*D4673/100)</f>
        <v/>
      </c>
      <c r="F4673" s="15" t="str">
        <f aca="false">IF(B4673&lt;5,"Go","Standard")</f>
        <v>Standard</v>
      </c>
    </row>
    <row r="4674" customFormat="false" ht="15" hidden="false" customHeight="true" outlineLevel="0" collapsed="false">
      <c r="A4674" s="10" t="n">
        <f aca="false">Einstellungen!$B$5+INT((ROW()-9)/24)</f>
        <v>46160</v>
      </c>
      <c r="B4674" s="11" t="n">
        <f aca="false">MOD(ROW()-9,24)</f>
        <v>9</v>
      </c>
      <c r="C4674" s="12"/>
      <c r="D4674" s="13" t="n">
        <f aca="false">IF(B4674&lt;5,Einstellungen!$B$3,Einstellungen!$B$4)</f>
        <v>29.13</v>
      </c>
      <c r="E4674" s="14" t="str">
        <f aca="false">IF(C4674="","",C4674*D4674/100)</f>
        <v/>
      </c>
      <c r="F4674" s="15" t="str">
        <f aca="false">IF(B4674&lt;5,"Go","Standard")</f>
        <v>Standard</v>
      </c>
    </row>
    <row r="4675" customFormat="false" ht="15" hidden="false" customHeight="true" outlineLevel="0" collapsed="false">
      <c r="A4675" s="10" t="n">
        <f aca="false">Einstellungen!$B$5+INT((ROW()-9)/24)</f>
        <v>46160</v>
      </c>
      <c r="B4675" s="11" t="n">
        <f aca="false">MOD(ROW()-9,24)</f>
        <v>10</v>
      </c>
      <c r="C4675" s="12"/>
      <c r="D4675" s="13" t="n">
        <f aca="false">IF(B4675&lt;5,Einstellungen!$B$3,Einstellungen!$B$4)</f>
        <v>29.13</v>
      </c>
      <c r="E4675" s="14" t="str">
        <f aca="false">IF(C4675="","",C4675*D4675/100)</f>
        <v/>
      </c>
      <c r="F4675" s="15" t="str">
        <f aca="false">IF(B4675&lt;5,"Go","Standard")</f>
        <v>Standard</v>
      </c>
    </row>
    <row r="4676" customFormat="false" ht="15" hidden="false" customHeight="true" outlineLevel="0" collapsed="false">
      <c r="A4676" s="10" t="n">
        <f aca="false">Einstellungen!$B$5+INT((ROW()-9)/24)</f>
        <v>46160</v>
      </c>
      <c r="B4676" s="11" t="n">
        <f aca="false">MOD(ROW()-9,24)</f>
        <v>11</v>
      </c>
      <c r="C4676" s="12"/>
      <c r="D4676" s="13" t="n">
        <f aca="false">IF(B4676&lt;5,Einstellungen!$B$3,Einstellungen!$B$4)</f>
        <v>29.13</v>
      </c>
      <c r="E4676" s="14" t="str">
        <f aca="false">IF(C4676="","",C4676*D4676/100)</f>
        <v/>
      </c>
      <c r="F4676" s="15" t="str">
        <f aca="false">IF(B4676&lt;5,"Go","Standard")</f>
        <v>Standard</v>
      </c>
    </row>
    <row r="4677" customFormat="false" ht="15" hidden="false" customHeight="true" outlineLevel="0" collapsed="false">
      <c r="A4677" s="10" t="n">
        <f aca="false">Einstellungen!$B$5+INT((ROW()-9)/24)</f>
        <v>46160</v>
      </c>
      <c r="B4677" s="11" t="n">
        <f aca="false">MOD(ROW()-9,24)</f>
        <v>12</v>
      </c>
      <c r="C4677" s="12"/>
      <c r="D4677" s="13" t="n">
        <f aca="false">IF(B4677&lt;5,Einstellungen!$B$3,Einstellungen!$B$4)</f>
        <v>29.13</v>
      </c>
      <c r="E4677" s="14" t="str">
        <f aca="false">IF(C4677="","",C4677*D4677/100)</f>
        <v/>
      </c>
      <c r="F4677" s="15" t="str">
        <f aca="false">IF(B4677&lt;5,"Go","Standard")</f>
        <v>Standard</v>
      </c>
    </row>
    <row r="4678" customFormat="false" ht="15" hidden="false" customHeight="true" outlineLevel="0" collapsed="false">
      <c r="A4678" s="10" t="n">
        <f aca="false">Einstellungen!$B$5+INT((ROW()-9)/24)</f>
        <v>46160</v>
      </c>
      <c r="B4678" s="11" t="n">
        <f aca="false">MOD(ROW()-9,24)</f>
        <v>13</v>
      </c>
      <c r="C4678" s="12"/>
      <c r="D4678" s="13" t="n">
        <f aca="false">IF(B4678&lt;5,Einstellungen!$B$3,Einstellungen!$B$4)</f>
        <v>29.13</v>
      </c>
      <c r="E4678" s="14" t="str">
        <f aca="false">IF(C4678="","",C4678*D4678/100)</f>
        <v/>
      </c>
      <c r="F4678" s="15" t="str">
        <f aca="false">IF(B4678&lt;5,"Go","Standard")</f>
        <v>Standard</v>
      </c>
    </row>
    <row r="4679" customFormat="false" ht="15" hidden="false" customHeight="true" outlineLevel="0" collapsed="false">
      <c r="A4679" s="10" t="n">
        <f aca="false">Einstellungen!$B$5+INT((ROW()-9)/24)</f>
        <v>46160</v>
      </c>
      <c r="B4679" s="11" t="n">
        <f aca="false">MOD(ROW()-9,24)</f>
        <v>14</v>
      </c>
      <c r="C4679" s="12"/>
      <c r="D4679" s="13" t="n">
        <f aca="false">IF(B4679&lt;5,Einstellungen!$B$3,Einstellungen!$B$4)</f>
        <v>29.13</v>
      </c>
      <c r="E4679" s="14" t="str">
        <f aca="false">IF(C4679="","",C4679*D4679/100)</f>
        <v/>
      </c>
      <c r="F4679" s="15" t="str">
        <f aca="false">IF(B4679&lt;5,"Go","Standard")</f>
        <v>Standard</v>
      </c>
    </row>
    <row r="4680" customFormat="false" ht="15" hidden="false" customHeight="true" outlineLevel="0" collapsed="false">
      <c r="A4680" s="10" t="n">
        <f aca="false">Einstellungen!$B$5+INT((ROW()-9)/24)</f>
        <v>46160</v>
      </c>
      <c r="B4680" s="11" t="n">
        <f aca="false">MOD(ROW()-9,24)</f>
        <v>15</v>
      </c>
      <c r="C4680" s="12"/>
      <c r="D4680" s="13" t="n">
        <f aca="false">IF(B4680&lt;5,Einstellungen!$B$3,Einstellungen!$B$4)</f>
        <v>29.13</v>
      </c>
      <c r="E4680" s="14" t="str">
        <f aca="false">IF(C4680="","",C4680*D4680/100)</f>
        <v/>
      </c>
      <c r="F4680" s="15" t="str">
        <f aca="false">IF(B4680&lt;5,"Go","Standard")</f>
        <v>Standard</v>
      </c>
    </row>
    <row r="4681" customFormat="false" ht="15" hidden="false" customHeight="true" outlineLevel="0" collapsed="false">
      <c r="A4681" s="10" t="n">
        <f aca="false">Einstellungen!$B$5+INT((ROW()-9)/24)</f>
        <v>46160</v>
      </c>
      <c r="B4681" s="11" t="n">
        <f aca="false">MOD(ROW()-9,24)</f>
        <v>16</v>
      </c>
      <c r="C4681" s="12"/>
      <c r="D4681" s="13" t="n">
        <f aca="false">IF(B4681&lt;5,Einstellungen!$B$3,Einstellungen!$B$4)</f>
        <v>29.13</v>
      </c>
      <c r="E4681" s="14" t="str">
        <f aca="false">IF(C4681="","",C4681*D4681/100)</f>
        <v/>
      </c>
      <c r="F4681" s="15" t="str">
        <f aca="false">IF(B4681&lt;5,"Go","Standard")</f>
        <v>Standard</v>
      </c>
    </row>
    <row r="4682" customFormat="false" ht="15" hidden="false" customHeight="true" outlineLevel="0" collapsed="false">
      <c r="A4682" s="10" t="n">
        <f aca="false">Einstellungen!$B$5+INT((ROW()-9)/24)</f>
        <v>46160</v>
      </c>
      <c r="B4682" s="11" t="n">
        <f aca="false">MOD(ROW()-9,24)</f>
        <v>17</v>
      </c>
      <c r="C4682" s="12"/>
      <c r="D4682" s="13" t="n">
        <f aca="false">IF(B4682&lt;5,Einstellungen!$B$3,Einstellungen!$B$4)</f>
        <v>29.13</v>
      </c>
      <c r="E4682" s="14" t="str">
        <f aca="false">IF(C4682="","",C4682*D4682/100)</f>
        <v/>
      </c>
      <c r="F4682" s="15" t="str">
        <f aca="false">IF(B4682&lt;5,"Go","Standard")</f>
        <v>Standard</v>
      </c>
    </row>
    <row r="4683" customFormat="false" ht="15" hidden="false" customHeight="true" outlineLevel="0" collapsed="false">
      <c r="A4683" s="10" t="n">
        <f aca="false">Einstellungen!$B$5+INT((ROW()-9)/24)</f>
        <v>46160</v>
      </c>
      <c r="B4683" s="11" t="n">
        <f aca="false">MOD(ROW()-9,24)</f>
        <v>18</v>
      </c>
      <c r="C4683" s="12"/>
      <c r="D4683" s="13" t="n">
        <f aca="false">IF(B4683&lt;5,Einstellungen!$B$3,Einstellungen!$B$4)</f>
        <v>29.13</v>
      </c>
      <c r="E4683" s="14" t="str">
        <f aca="false">IF(C4683="","",C4683*D4683/100)</f>
        <v/>
      </c>
      <c r="F4683" s="15" t="str">
        <f aca="false">IF(B4683&lt;5,"Go","Standard")</f>
        <v>Standard</v>
      </c>
    </row>
    <row r="4684" customFormat="false" ht="15" hidden="false" customHeight="true" outlineLevel="0" collapsed="false">
      <c r="A4684" s="10" t="n">
        <f aca="false">Einstellungen!$B$5+INT((ROW()-9)/24)</f>
        <v>46160</v>
      </c>
      <c r="B4684" s="11" t="n">
        <f aca="false">MOD(ROW()-9,24)</f>
        <v>19</v>
      </c>
      <c r="C4684" s="12"/>
      <c r="D4684" s="13" t="n">
        <f aca="false">IF(B4684&lt;5,Einstellungen!$B$3,Einstellungen!$B$4)</f>
        <v>29.13</v>
      </c>
      <c r="E4684" s="14" t="str">
        <f aca="false">IF(C4684="","",C4684*D4684/100)</f>
        <v/>
      </c>
      <c r="F4684" s="15" t="str">
        <f aca="false">IF(B4684&lt;5,"Go","Standard")</f>
        <v>Standard</v>
      </c>
    </row>
    <row r="4685" customFormat="false" ht="15" hidden="false" customHeight="true" outlineLevel="0" collapsed="false">
      <c r="A4685" s="10" t="n">
        <f aca="false">Einstellungen!$B$5+INT((ROW()-9)/24)</f>
        <v>46160</v>
      </c>
      <c r="B4685" s="11" t="n">
        <f aca="false">MOD(ROW()-9,24)</f>
        <v>20</v>
      </c>
      <c r="C4685" s="12"/>
      <c r="D4685" s="13" t="n">
        <f aca="false">IF(B4685&lt;5,Einstellungen!$B$3,Einstellungen!$B$4)</f>
        <v>29.13</v>
      </c>
      <c r="E4685" s="14" t="str">
        <f aca="false">IF(C4685="","",C4685*D4685/100)</f>
        <v/>
      </c>
      <c r="F4685" s="15" t="str">
        <f aca="false">IF(B4685&lt;5,"Go","Standard")</f>
        <v>Standard</v>
      </c>
    </row>
    <row r="4686" customFormat="false" ht="15" hidden="false" customHeight="true" outlineLevel="0" collapsed="false">
      <c r="A4686" s="10" t="n">
        <f aca="false">Einstellungen!$B$5+INT((ROW()-9)/24)</f>
        <v>46160</v>
      </c>
      <c r="B4686" s="11" t="n">
        <f aca="false">MOD(ROW()-9,24)</f>
        <v>21</v>
      </c>
      <c r="C4686" s="12"/>
      <c r="D4686" s="13" t="n">
        <f aca="false">IF(B4686&lt;5,Einstellungen!$B$3,Einstellungen!$B$4)</f>
        <v>29.13</v>
      </c>
      <c r="E4686" s="14" t="str">
        <f aca="false">IF(C4686="","",C4686*D4686/100)</f>
        <v/>
      </c>
      <c r="F4686" s="15" t="str">
        <f aca="false">IF(B4686&lt;5,"Go","Standard")</f>
        <v>Standard</v>
      </c>
    </row>
    <row r="4687" customFormat="false" ht="15" hidden="false" customHeight="true" outlineLevel="0" collapsed="false">
      <c r="A4687" s="10" t="n">
        <f aca="false">Einstellungen!$B$5+INT((ROW()-9)/24)</f>
        <v>46160</v>
      </c>
      <c r="B4687" s="11" t="n">
        <f aca="false">MOD(ROW()-9,24)</f>
        <v>22</v>
      </c>
      <c r="C4687" s="12"/>
      <c r="D4687" s="13" t="n">
        <f aca="false">IF(B4687&lt;5,Einstellungen!$B$3,Einstellungen!$B$4)</f>
        <v>29.13</v>
      </c>
      <c r="E4687" s="14" t="str">
        <f aca="false">IF(C4687="","",C4687*D4687/100)</f>
        <v/>
      </c>
      <c r="F4687" s="15" t="str">
        <f aca="false">IF(B4687&lt;5,"Go","Standard")</f>
        <v>Standard</v>
      </c>
    </row>
    <row r="4688" customFormat="false" ht="15" hidden="false" customHeight="true" outlineLevel="0" collapsed="false">
      <c r="A4688" s="10" t="n">
        <f aca="false">Einstellungen!$B$5+INT((ROW()-9)/24)</f>
        <v>46160</v>
      </c>
      <c r="B4688" s="11" t="n">
        <f aca="false">MOD(ROW()-9,24)</f>
        <v>23</v>
      </c>
      <c r="C4688" s="12"/>
      <c r="D4688" s="13" t="n">
        <f aca="false">IF(B4688&lt;5,Einstellungen!$B$3,Einstellungen!$B$4)</f>
        <v>29.13</v>
      </c>
      <c r="E4688" s="14" t="str">
        <f aca="false">IF(C4688="","",C4688*D4688/100)</f>
        <v/>
      </c>
      <c r="F4688" s="15" t="str">
        <f aca="false">IF(B4688&lt;5,"Go","Standard")</f>
        <v>Standard</v>
      </c>
    </row>
    <row r="4689" customFormat="false" ht="15" hidden="false" customHeight="true" outlineLevel="0" collapsed="false">
      <c r="A4689" s="10" t="n">
        <f aca="false">Einstellungen!$B$5+INT((ROW()-9)/24)</f>
        <v>46161</v>
      </c>
      <c r="B4689" s="11" t="n">
        <f aca="false">MOD(ROW()-9,24)</f>
        <v>0</v>
      </c>
      <c r="C4689" s="12"/>
      <c r="D4689" s="13" t="n">
        <f aca="false">IF(B4689&lt;5,Einstellungen!$B$3,Einstellungen!$B$4)</f>
        <v>15.92</v>
      </c>
      <c r="E4689" s="14" t="str">
        <f aca="false">IF(C4689="","",C4689*D4689/100)</f>
        <v/>
      </c>
      <c r="F4689" s="15" t="str">
        <f aca="false">IF(B4689&lt;5,"Go","Standard")</f>
        <v>Go</v>
      </c>
    </row>
    <row r="4690" customFormat="false" ht="15" hidden="false" customHeight="true" outlineLevel="0" collapsed="false">
      <c r="A4690" s="10" t="n">
        <f aca="false">Einstellungen!$B$5+INT((ROW()-9)/24)</f>
        <v>46161</v>
      </c>
      <c r="B4690" s="11" t="n">
        <f aca="false">MOD(ROW()-9,24)</f>
        <v>1</v>
      </c>
      <c r="C4690" s="12"/>
      <c r="D4690" s="13" t="n">
        <f aca="false">IF(B4690&lt;5,Einstellungen!$B$3,Einstellungen!$B$4)</f>
        <v>15.92</v>
      </c>
      <c r="E4690" s="14" t="str">
        <f aca="false">IF(C4690="","",C4690*D4690/100)</f>
        <v/>
      </c>
      <c r="F4690" s="15" t="str">
        <f aca="false">IF(B4690&lt;5,"Go","Standard")</f>
        <v>Go</v>
      </c>
    </row>
    <row r="4691" customFormat="false" ht="15" hidden="false" customHeight="true" outlineLevel="0" collapsed="false">
      <c r="A4691" s="10" t="n">
        <f aca="false">Einstellungen!$B$5+INT((ROW()-9)/24)</f>
        <v>46161</v>
      </c>
      <c r="B4691" s="11" t="n">
        <f aca="false">MOD(ROW()-9,24)</f>
        <v>2</v>
      </c>
      <c r="C4691" s="12"/>
      <c r="D4691" s="13" t="n">
        <f aca="false">IF(B4691&lt;5,Einstellungen!$B$3,Einstellungen!$B$4)</f>
        <v>15.92</v>
      </c>
      <c r="E4691" s="14" t="str">
        <f aca="false">IF(C4691="","",C4691*D4691/100)</f>
        <v/>
      </c>
      <c r="F4691" s="15" t="str">
        <f aca="false">IF(B4691&lt;5,"Go","Standard")</f>
        <v>Go</v>
      </c>
    </row>
    <row r="4692" customFormat="false" ht="15" hidden="false" customHeight="true" outlineLevel="0" collapsed="false">
      <c r="A4692" s="10" t="n">
        <f aca="false">Einstellungen!$B$5+INT((ROW()-9)/24)</f>
        <v>46161</v>
      </c>
      <c r="B4692" s="11" t="n">
        <f aca="false">MOD(ROW()-9,24)</f>
        <v>3</v>
      </c>
      <c r="C4692" s="12"/>
      <c r="D4692" s="13" t="n">
        <f aca="false">IF(B4692&lt;5,Einstellungen!$B$3,Einstellungen!$B$4)</f>
        <v>15.92</v>
      </c>
      <c r="E4692" s="14" t="str">
        <f aca="false">IF(C4692="","",C4692*D4692/100)</f>
        <v/>
      </c>
      <c r="F4692" s="15" t="str">
        <f aca="false">IF(B4692&lt;5,"Go","Standard")</f>
        <v>Go</v>
      </c>
    </row>
    <row r="4693" customFormat="false" ht="15" hidden="false" customHeight="true" outlineLevel="0" collapsed="false">
      <c r="A4693" s="10" t="n">
        <f aca="false">Einstellungen!$B$5+INT((ROW()-9)/24)</f>
        <v>46161</v>
      </c>
      <c r="B4693" s="11" t="n">
        <f aca="false">MOD(ROW()-9,24)</f>
        <v>4</v>
      </c>
      <c r="C4693" s="12"/>
      <c r="D4693" s="13" t="n">
        <f aca="false">IF(B4693&lt;5,Einstellungen!$B$3,Einstellungen!$B$4)</f>
        <v>15.92</v>
      </c>
      <c r="E4693" s="14" t="str">
        <f aca="false">IF(C4693="","",C4693*D4693/100)</f>
        <v/>
      </c>
      <c r="F4693" s="15" t="str">
        <f aca="false">IF(B4693&lt;5,"Go","Standard")</f>
        <v>Go</v>
      </c>
    </row>
    <row r="4694" customFormat="false" ht="15" hidden="false" customHeight="true" outlineLevel="0" collapsed="false">
      <c r="A4694" s="10" t="n">
        <f aca="false">Einstellungen!$B$5+INT((ROW()-9)/24)</f>
        <v>46161</v>
      </c>
      <c r="B4694" s="11" t="n">
        <f aca="false">MOD(ROW()-9,24)</f>
        <v>5</v>
      </c>
      <c r="C4694" s="12"/>
      <c r="D4694" s="13" t="n">
        <f aca="false">IF(B4694&lt;5,Einstellungen!$B$3,Einstellungen!$B$4)</f>
        <v>29.13</v>
      </c>
      <c r="E4694" s="14" t="str">
        <f aca="false">IF(C4694="","",C4694*D4694/100)</f>
        <v/>
      </c>
      <c r="F4694" s="15" t="str">
        <f aca="false">IF(B4694&lt;5,"Go","Standard")</f>
        <v>Standard</v>
      </c>
    </row>
    <row r="4695" customFormat="false" ht="15" hidden="false" customHeight="true" outlineLevel="0" collapsed="false">
      <c r="A4695" s="10" t="n">
        <f aca="false">Einstellungen!$B$5+INT((ROW()-9)/24)</f>
        <v>46161</v>
      </c>
      <c r="B4695" s="11" t="n">
        <f aca="false">MOD(ROW()-9,24)</f>
        <v>6</v>
      </c>
      <c r="C4695" s="12"/>
      <c r="D4695" s="13" t="n">
        <f aca="false">IF(B4695&lt;5,Einstellungen!$B$3,Einstellungen!$B$4)</f>
        <v>29.13</v>
      </c>
      <c r="E4695" s="14" t="str">
        <f aca="false">IF(C4695="","",C4695*D4695/100)</f>
        <v/>
      </c>
      <c r="F4695" s="15" t="str">
        <f aca="false">IF(B4695&lt;5,"Go","Standard")</f>
        <v>Standard</v>
      </c>
    </row>
    <row r="4696" customFormat="false" ht="15" hidden="false" customHeight="true" outlineLevel="0" collapsed="false">
      <c r="A4696" s="10" t="n">
        <f aca="false">Einstellungen!$B$5+INT((ROW()-9)/24)</f>
        <v>46161</v>
      </c>
      <c r="B4696" s="11" t="n">
        <f aca="false">MOD(ROW()-9,24)</f>
        <v>7</v>
      </c>
      <c r="C4696" s="12"/>
      <c r="D4696" s="13" t="n">
        <f aca="false">IF(B4696&lt;5,Einstellungen!$B$3,Einstellungen!$B$4)</f>
        <v>29.13</v>
      </c>
      <c r="E4696" s="14" t="str">
        <f aca="false">IF(C4696="","",C4696*D4696/100)</f>
        <v/>
      </c>
      <c r="F4696" s="15" t="str">
        <f aca="false">IF(B4696&lt;5,"Go","Standard")</f>
        <v>Standard</v>
      </c>
    </row>
    <row r="4697" customFormat="false" ht="15" hidden="false" customHeight="true" outlineLevel="0" collapsed="false">
      <c r="A4697" s="10" t="n">
        <f aca="false">Einstellungen!$B$5+INT((ROW()-9)/24)</f>
        <v>46161</v>
      </c>
      <c r="B4697" s="11" t="n">
        <f aca="false">MOD(ROW()-9,24)</f>
        <v>8</v>
      </c>
      <c r="C4697" s="12"/>
      <c r="D4697" s="13" t="n">
        <f aca="false">IF(B4697&lt;5,Einstellungen!$B$3,Einstellungen!$B$4)</f>
        <v>29.13</v>
      </c>
      <c r="E4697" s="14" t="str">
        <f aca="false">IF(C4697="","",C4697*D4697/100)</f>
        <v/>
      </c>
      <c r="F4697" s="15" t="str">
        <f aca="false">IF(B4697&lt;5,"Go","Standard")</f>
        <v>Standard</v>
      </c>
    </row>
    <row r="4698" customFormat="false" ht="15" hidden="false" customHeight="true" outlineLevel="0" collapsed="false">
      <c r="A4698" s="10" t="n">
        <f aca="false">Einstellungen!$B$5+INT((ROW()-9)/24)</f>
        <v>46161</v>
      </c>
      <c r="B4698" s="11" t="n">
        <f aca="false">MOD(ROW()-9,24)</f>
        <v>9</v>
      </c>
      <c r="C4698" s="12"/>
      <c r="D4698" s="13" t="n">
        <f aca="false">IF(B4698&lt;5,Einstellungen!$B$3,Einstellungen!$B$4)</f>
        <v>29.13</v>
      </c>
      <c r="E4698" s="14" t="str">
        <f aca="false">IF(C4698="","",C4698*D4698/100)</f>
        <v/>
      </c>
      <c r="F4698" s="15" t="str">
        <f aca="false">IF(B4698&lt;5,"Go","Standard")</f>
        <v>Standard</v>
      </c>
    </row>
    <row r="4699" customFormat="false" ht="15" hidden="false" customHeight="true" outlineLevel="0" collapsed="false">
      <c r="A4699" s="10" t="n">
        <f aca="false">Einstellungen!$B$5+INT((ROW()-9)/24)</f>
        <v>46161</v>
      </c>
      <c r="B4699" s="11" t="n">
        <f aca="false">MOD(ROW()-9,24)</f>
        <v>10</v>
      </c>
      <c r="C4699" s="12"/>
      <c r="D4699" s="13" t="n">
        <f aca="false">IF(B4699&lt;5,Einstellungen!$B$3,Einstellungen!$B$4)</f>
        <v>29.13</v>
      </c>
      <c r="E4699" s="14" t="str">
        <f aca="false">IF(C4699="","",C4699*D4699/100)</f>
        <v/>
      </c>
      <c r="F4699" s="15" t="str">
        <f aca="false">IF(B4699&lt;5,"Go","Standard")</f>
        <v>Standard</v>
      </c>
    </row>
    <row r="4700" customFormat="false" ht="15" hidden="false" customHeight="true" outlineLevel="0" collapsed="false">
      <c r="A4700" s="10" t="n">
        <f aca="false">Einstellungen!$B$5+INT((ROW()-9)/24)</f>
        <v>46161</v>
      </c>
      <c r="B4700" s="11" t="n">
        <f aca="false">MOD(ROW()-9,24)</f>
        <v>11</v>
      </c>
      <c r="C4700" s="12"/>
      <c r="D4700" s="13" t="n">
        <f aca="false">IF(B4700&lt;5,Einstellungen!$B$3,Einstellungen!$B$4)</f>
        <v>29.13</v>
      </c>
      <c r="E4700" s="14" t="str">
        <f aca="false">IF(C4700="","",C4700*D4700/100)</f>
        <v/>
      </c>
      <c r="F4700" s="15" t="str">
        <f aca="false">IF(B4700&lt;5,"Go","Standard")</f>
        <v>Standard</v>
      </c>
    </row>
    <row r="4701" customFormat="false" ht="15" hidden="false" customHeight="true" outlineLevel="0" collapsed="false">
      <c r="A4701" s="10" t="n">
        <f aca="false">Einstellungen!$B$5+INT((ROW()-9)/24)</f>
        <v>46161</v>
      </c>
      <c r="B4701" s="11" t="n">
        <f aca="false">MOD(ROW()-9,24)</f>
        <v>12</v>
      </c>
      <c r="C4701" s="12"/>
      <c r="D4701" s="13" t="n">
        <f aca="false">IF(B4701&lt;5,Einstellungen!$B$3,Einstellungen!$B$4)</f>
        <v>29.13</v>
      </c>
      <c r="E4701" s="14" t="str">
        <f aca="false">IF(C4701="","",C4701*D4701/100)</f>
        <v/>
      </c>
      <c r="F4701" s="15" t="str">
        <f aca="false">IF(B4701&lt;5,"Go","Standard")</f>
        <v>Standard</v>
      </c>
    </row>
    <row r="4702" customFormat="false" ht="15" hidden="false" customHeight="true" outlineLevel="0" collapsed="false">
      <c r="A4702" s="10" t="n">
        <f aca="false">Einstellungen!$B$5+INT((ROW()-9)/24)</f>
        <v>46161</v>
      </c>
      <c r="B4702" s="11" t="n">
        <f aca="false">MOD(ROW()-9,24)</f>
        <v>13</v>
      </c>
      <c r="C4702" s="12"/>
      <c r="D4702" s="13" t="n">
        <f aca="false">IF(B4702&lt;5,Einstellungen!$B$3,Einstellungen!$B$4)</f>
        <v>29.13</v>
      </c>
      <c r="E4702" s="14" t="str">
        <f aca="false">IF(C4702="","",C4702*D4702/100)</f>
        <v/>
      </c>
      <c r="F4702" s="15" t="str">
        <f aca="false">IF(B4702&lt;5,"Go","Standard")</f>
        <v>Standard</v>
      </c>
    </row>
    <row r="4703" customFormat="false" ht="15" hidden="false" customHeight="true" outlineLevel="0" collapsed="false">
      <c r="A4703" s="10" t="n">
        <f aca="false">Einstellungen!$B$5+INT((ROW()-9)/24)</f>
        <v>46161</v>
      </c>
      <c r="B4703" s="11" t="n">
        <f aca="false">MOD(ROW()-9,24)</f>
        <v>14</v>
      </c>
      <c r="C4703" s="12"/>
      <c r="D4703" s="13" t="n">
        <f aca="false">IF(B4703&lt;5,Einstellungen!$B$3,Einstellungen!$B$4)</f>
        <v>29.13</v>
      </c>
      <c r="E4703" s="14" t="str">
        <f aca="false">IF(C4703="","",C4703*D4703/100)</f>
        <v/>
      </c>
      <c r="F4703" s="15" t="str">
        <f aca="false">IF(B4703&lt;5,"Go","Standard")</f>
        <v>Standard</v>
      </c>
    </row>
    <row r="4704" customFormat="false" ht="15" hidden="false" customHeight="true" outlineLevel="0" collapsed="false">
      <c r="A4704" s="10" t="n">
        <f aca="false">Einstellungen!$B$5+INT((ROW()-9)/24)</f>
        <v>46161</v>
      </c>
      <c r="B4704" s="11" t="n">
        <f aca="false">MOD(ROW()-9,24)</f>
        <v>15</v>
      </c>
      <c r="C4704" s="12"/>
      <c r="D4704" s="13" t="n">
        <f aca="false">IF(B4704&lt;5,Einstellungen!$B$3,Einstellungen!$B$4)</f>
        <v>29.13</v>
      </c>
      <c r="E4704" s="14" t="str">
        <f aca="false">IF(C4704="","",C4704*D4704/100)</f>
        <v/>
      </c>
      <c r="F4704" s="15" t="str">
        <f aca="false">IF(B4704&lt;5,"Go","Standard")</f>
        <v>Standard</v>
      </c>
    </row>
    <row r="4705" customFormat="false" ht="15" hidden="false" customHeight="true" outlineLevel="0" collapsed="false">
      <c r="A4705" s="10" t="n">
        <f aca="false">Einstellungen!$B$5+INT((ROW()-9)/24)</f>
        <v>46161</v>
      </c>
      <c r="B4705" s="11" t="n">
        <f aca="false">MOD(ROW()-9,24)</f>
        <v>16</v>
      </c>
      <c r="C4705" s="12"/>
      <c r="D4705" s="13" t="n">
        <f aca="false">IF(B4705&lt;5,Einstellungen!$B$3,Einstellungen!$B$4)</f>
        <v>29.13</v>
      </c>
      <c r="E4705" s="14" t="str">
        <f aca="false">IF(C4705="","",C4705*D4705/100)</f>
        <v/>
      </c>
      <c r="F4705" s="15" t="str">
        <f aca="false">IF(B4705&lt;5,"Go","Standard")</f>
        <v>Standard</v>
      </c>
    </row>
    <row r="4706" customFormat="false" ht="15" hidden="false" customHeight="true" outlineLevel="0" collapsed="false">
      <c r="A4706" s="10" t="n">
        <f aca="false">Einstellungen!$B$5+INT((ROW()-9)/24)</f>
        <v>46161</v>
      </c>
      <c r="B4706" s="11" t="n">
        <f aca="false">MOD(ROW()-9,24)</f>
        <v>17</v>
      </c>
      <c r="C4706" s="12"/>
      <c r="D4706" s="13" t="n">
        <f aca="false">IF(B4706&lt;5,Einstellungen!$B$3,Einstellungen!$B$4)</f>
        <v>29.13</v>
      </c>
      <c r="E4706" s="14" t="str">
        <f aca="false">IF(C4706="","",C4706*D4706/100)</f>
        <v/>
      </c>
      <c r="F4706" s="15" t="str">
        <f aca="false">IF(B4706&lt;5,"Go","Standard")</f>
        <v>Standard</v>
      </c>
    </row>
    <row r="4707" customFormat="false" ht="15" hidden="false" customHeight="true" outlineLevel="0" collapsed="false">
      <c r="A4707" s="10" t="n">
        <f aca="false">Einstellungen!$B$5+INT((ROW()-9)/24)</f>
        <v>46161</v>
      </c>
      <c r="B4707" s="11" t="n">
        <f aca="false">MOD(ROW()-9,24)</f>
        <v>18</v>
      </c>
      <c r="C4707" s="12"/>
      <c r="D4707" s="13" t="n">
        <f aca="false">IF(B4707&lt;5,Einstellungen!$B$3,Einstellungen!$B$4)</f>
        <v>29.13</v>
      </c>
      <c r="E4707" s="14" t="str">
        <f aca="false">IF(C4707="","",C4707*D4707/100)</f>
        <v/>
      </c>
      <c r="F4707" s="15" t="str">
        <f aca="false">IF(B4707&lt;5,"Go","Standard")</f>
        <v>Standard</v>
      </c>
    </row>
    <row r="4708" customFormat="false" ht="15" hidden="false" customHeight="true" outlineLevel="0" collapsed="false">
      <c r="A4708" s="10" t="n">
        <f aca="false">Einstellungen!$B$5+INT((ROW()-9)/24)</f>
        <v>46161</v>
      </c>
      <c r="B4708" s="11" t="n">
        <f aca="false">MOD(ROW()-9,24)</f>
        <v>19</v>
      </c>
      <c r="C4708" s="12"/>
      <c r="D4708" s="13" t="n">
        <f aca="false">IF(B4708&lt;5,Einstellungen!$B$3,Einstellungen!$B$4)</f>
        <v>29.13</v>
      </c>
      <c r="E4708" s="14" t="str">
        <f aca="false">IF(C4708="","",C4708*D4708/100)</f>
        <v/>
      </c>
      <c r="F4708" s="15" t="str">
        <f aca="false">IF(B4708&lt;5,"Go","Standard")</f>
        <v>Standard</v>
      </c>
    </row>
    <row r="4709" customFormat="false" ht="15" hidden="false" customHeight="true" outlineLevel="0" collapsed="false">
      <c r="A4709" s="10" t="n">
        <f aca="false">Einstellungen!$B$5+INT((ROW()-9)/24)</f>
        <v>46161</v>
      </c>
      <c r="B4709" s="11" t="n">
        <f aca="false">MOD(ROW()-9,24)</f>
        <v>20</v>
      </c>
      <c r="C4709" s="12"/>
      <c r="D4709" s="13" t="n">
        <f aca="false">IF(B4709&lt;5,Einstellungen!$B$3,Einstellungen!$B$4)</f>
        <v>29.13</v>
      </c>
      <c r="E4709" s="14" t="str">
        <f aca="false">IF(C4709="","",C4709*D4709/100)</f>
        <v/>
      </c>
      <c r="F4709" s="15" t="str">
        <f aca="false">IF(B4709&lt;5,"Go","Standard")</f>
        <v>Standard</v>
      </c>
    </row>
    <row r="4710" customFormat="false" ht="15" hidden="false" customHeight="true" outlineLevel="0" collapsed="false">
      <c r="A4710" s="10" t="n">
        <f aca="false">Einstellungen!$B$5+INT((ROW()-9)/24)</f>
        <v>46161</v>
      </c>
      <c r="B4710" s="11" t="n">
        <f aca="false">MOD(ROW()-9,24)</f>
        <v>21</v>
      </c>
      <c r="C4710" s="12"/>
      <c r="D4710" s="13" t="n">
        <f aca="false">IF(B4710&lt;5,Einstellungen!$B$3,Einstellungen!$B$4)</f>
        <v>29.13</v>
      </c>
      <c r="E4710" s="14" t="str">
        <f aca="false">IF(C4710="","",C4710*D4710/100)</f>
        <v/>
      </c>
      <c r="F4710" s="15" t="str">
        <f aca="false">IF(B4710&lt;5,"Go","Standard")</f>
        <v>Standard</v>
      </c>
    </row>
    <row r="4711" customFormat="false" ht="15" hidden="false" customHeight="true" outlineLevel="0" collapsed="false">
      <c r="A4711" s="10" t="n">
        <f aca="false">Einstellungen!$B$5+INT((ROW()-9)/24)</f>
        <v>46161</v>
      </c>
      <c r="B4711" s="11" t="n">
        <f aca="false">MOD(ROW()-9,24)</f>
        <v>22</v>
      </c>
      <c r="C4711" s="12"/>
      <c r="D4711" s="13" t="n">
        <f aca="false">IF(B4711&lt;5,Einstellungen!$B$3,Einstellungen!$B$4)</f>
        <v>29.13</v>
      </c>
      <c r="E4711" s="14" t="str">
        <f aca="false">IF(C4711="","",C4711*D4711/100)</f>
        <v/>
      </c>
      <c r="F4711" s="15" t="str">
        <f aca="false">IF(B4711&lt;5,"Go","Standard")</f>
        <v>Standard</v>
      </c>
    </row>
    <row r="4712" customFormat="false" ht="15" hidden="false" customHeight="true" outlineLevel="0" collapsed="false">
      <c r="A4712" s="10" t="n">
        <f aca="false">Einstellungen!$B$5+INT((ROW()-9)/24)</f>
        <v>46161</v>
      </c>
      <c r="B4712" s="11" t="n">
        <f aca="false">MOD(ROW()-9,24)</f>
        <v>23</v>
      </c>
      <c r="C4712" s="12"/>
      <c r="D4712" s="13" t="n">
        <f aca="false">IF(B4712&lt;5,Einstellungen!$B$3,Einstellungen!$B$4)</f>
        <v>29.13</v>
      </c>
      <c r="E4712" s="14" t="str">
        <f aca="false">IF(C4712="","",C4712*D4712/100)</f>
        <v/>
      </c>
      <c r="F4712" s="15" t="str">
        <f aca="false">IF(B4712&lt;5,"Go","Standard")</f>
        <v>Standard</v>
      </c>
    </row>
    <row r="4713" customFormat="false" ht="15" hidden="false" customHeight="true" outlineLevel="0" collapsed="false">
      <c r="A4713" s="10" t="n">
        <f aca="false">Einstellungen!$B$5+INT((ROW()-9)/24)</f>
        <v>46162</v>
      </c>
      <c r="B4713" s="11" t="n">
        <f aca="false">MOD(ROW()-9,24)</f>
        <v>0</v>
      </c>
      <c r="C4713" s="12"/>
      <c r="D4713" s="13" t="n">
        <f aca="false">IF(B4713&lt;5,Einstellungen!$B$3,Einstellungen!$B$4)</f>
        <v>15.92</v>
      </c>
      <c r="E4713" s="14" t="str">
        <f aca="false">IF(C4713="","",C4713*D4713/100)</f>
        <v/>
      </c>
      <c r="F4713" s="15" t="str">
        <f aca="false">IF(B4713&lt;5,"Go","Standard")</f>
        <v>Go</v>
      </c>
    </row>
    <row r="4714" customFormat="false" ht="15" hidden="false" customHeight="true" outlineLevel="0" collapsed="false">
      <c r="A4714" s="10" t="n">
        <f aca="false">Einstellungen!$B$5+INT((ROW()-9)/24)</f>
        <v>46162</v>
      </c>
      <c r="B4714" s="11" t="n">
        <f aca="false">MOD(ROW()-9,24)</f>
        <v>1</v>
      </c>
      <c r="C4714" s="12"/>
      <c r="D4714" s="13" t="n">
        <f aca="false">IF(B4714&lt;5,Einstellungen!$B$3,Einstellungen!$B$4)</f>
        <v>15.92</v>
      </c>
      <c r="E4714" s="14" t="str">
        <f aca="false">IF(C4714="","",C4714*D4714/100)</f>
        <v/>
      </c>
      <c r="F4714" s="15" t="str">
        <f aca="false">IF(B4714&lt;5,"Go","Standard")</f>
        <v>Go</v>
      </c>
    </row>
    <row r="4715" customFormat="false" ht="15" hidden="false" customHeight="true" outlineLevel="0" collapsed="false">
      <c r="A4715" s="10" t="n">
        <f aca="false">Einstellungen!$B$5+INT((ROW()-9)/24)</f>
        <v>46162</v>
      </c>
      <c r="B4715" s="11" t="n">
        <f aca="false">MOD(ROW()-9,24)</f>
        <v>2</v>
      </c>
      <c r="C4715" s="12"/>
      <c r="D4715" s="13" t="n">
        <f aca="false">IF(B4715&lt;5,Einstellungen!$B$3,Einstellungen!$B$4)</f>
        <v>15.92</v>
      </c>
      <c r="E4715" s="14" t="str">
        <f aca="false">IF(C4715="","",C4715*D4715/100)</f>
        <v/>
      </c>
      <c r="F4715" s="15" t="str">
        <f aca="false">IF(B4715&lt;5,"Go","Standard")</f>
        <v>Go</v>
      </c>
    </row>
    <row r="4716" customFormat="false" ht="15" hidden="false" customHeight="true" outlineLevel="0" collapsed="false">
      <c r="A4716" s="10" t="n">
        <f aca="false">Einstellungen!$B$5+INT((ROW()-9)/24)</f>
        <v>46162</v>
      </c>
      <c r="B4716" s="11" t="n">
        <f aca="false">MOD(ROW()-9,24)</f>
        <v>3</v>
      </c>
      <c r="C4716" s="12"/>
      <c r="D4716" s="13" t="n">
        <f aca="false">IF(B4716&lt;5,Einstellungen!$B$3,Einstellungen!$B$4)</f>
        <v>15.92</v>
      </c>
      <c r="E4716" s="14" t="str">
        <f aca="false">IF(C4716="","",C4716*D4716/100)</f>
        <v/>
      </c>
      <c r="F4716" s="15" t="str">
        <f aca="false">IF(B4716&lt;5,"Go","Standard")</f>
        <v>Go</v>
      </c>
    </row>
    <row r="4717" customFormat="false" ht="15" hidden="false" customHeight="true" outlineLevel="0" collapsed="false">
      <c r="A4717" s="10" t="n">
        <f aca="false">Einstellungen!$B$5+INT((ROW()-9)/24)</f>
        <v>46162</v>
      </c>
      <c r="B4717" s="11" t="n">
        <f aca="false">MOD(ROW()-9,24)</f>
        <v>4</v>
      </c>
      <c r="C4717" s="12"/>
      <c r="D4717" s="13" t="n">
        <f aca="false">IF(B4717&lt;5,Einstellungen!$B$3,Einstellungen!$B$4)</f>
        <v>15.92</v>
      </c>
      <c r="E4717" s="14" t="str">
        <f aca="false">IF(C4717="","",C4717*D4717/100)</f>
        <v/>
      </c>
      <c r="F4717" s="15" t="str">
        <f aca="false">IF(B4717&lt;5,"Go","Standard")</f>
        <v>Go</v>
      </c>
    </row>
    <row r="4718" customFormat="false" ht="15" hidden="false" customHeight="true" outlineLevel="0" collapsed="false">
      <c r="A4718" s="10" t="n">
        <f aca="false">Einstellungen!$B$5+INT((ROW()-9)/24)</f>
        <v>46162</v>
      </c>
      <c r="B4718" s="11" t="n">
        <f aca="false">MOD(ROW()-9,24)</f>
        <v>5</v>
      </c>
      <c r="C4718" s="12"/>
      <c r="D4718" s="13" t="n">
        <f aca="false">IF(B4718&lt;5,Einstellungen!$B$3,Einstellungen!$B$4)</f>
        <v>29.13</v>
      </c>
      <c r="E4718" s="14" t="str">
        <f aca="false">IF(C4718="","",C4718*D4718/100)</f>
        <v/>
      </c>
      <c r="F4718" s="15" t="str">
        <f aca="false">IF(B4718&lt;5,"Go","Standard")</f>
        <v>Standard</v>
      </c>
    </row>
    <row r="4719" customFormat="false" ht="15" hidden="false" customHeight="true" outlineLevel="0" collapsed="false">
      <c r="A4719" s="10" t="n">
        <f aca="false">Einstellungen!$B$5+INT((ROW()-9)/24)</f>
        <v>46162</v>
      </c>
      <c r="B4719" s="11" t="n">
        <f aca="false">MOD(ROW()-9,24)</f>
        <v>6</v>
      </c>
      <c r="C4719" s="12"/>
      <c r="D4719" s="13" t="n">
        <f aca="false">IF(B4719&lt;5,Einstellungen!$B$3,Einstellungen!$B$4)</f>
        <v>29.13</v>
      </c>
      <c r="E4719" s="14" t="str">
        <f aca="false">IF(C4719="","",C4719*D4719/100)</f>
        <v/>
      </c>
      <c r="F4719" s="15" t="str">
        <f aca="false">IF(B4719&lt;5,"Go","Standard")</f>
        <v>Standard</v>
      </c>
    </row>
    <row r="4720" customFormat="false" ht="15" hidden="false" customHeight="true" outlineLevel="0" collapsed="false">
      <c r="A4720" s="10" t="n">
        <f aca="false">Einstellungen!$B$5+INT((ROW()-9)/24)</f>
        <v>46162</v>
      </c>
      <c r="B4720" s="11" t="n">
        <f aca="false">MOD(ROW()-9,24)</f>
        <v>7</v>
      </c>
      <c r="C4720" s="12"/>
      <c r="D4720" s="13" t="n">
        <f aca="false">IF(B4720&lt;5,Einstellungen!$B$3,Einstellungen!$B$4)</f>
        <v>29.13</v>
      </c>
      <c r="E4720" s="14" t="str">
        <f aca="false">IF(C4720="","",C4720*D4720/100)</f>
        <v/>
      </c>
      <c r="F4720" s="15" t="str">
        <f aca="false">IF(B4720&lt;5,"Go","Standard")</f>
        <v>Standard</v>
      </c>
    </row>
    <row r="4721" customFormat="false" ht="15" hidden="false" customHeight="true" outlineLevel="0" collapsed="false">
      <c r="A4721" s="10" t="n">
        <f aca="false">Einstellungen!$B$5+INT((ROW()-9)/24)</f>
        <v>46162</v>
      </c>
      <c r="B4721" s="11" t="n">
        <f aca="false">MOD(ROW()-9,24)</f>
        <v>8</v>
      </c>
      <c r="C4721" s="12"/>
      <c r="D4721" s="13" t="n">
        <f aca="false">IF(B4721&lt;5,Einstellungen!$B$3,Einstellungen!$B$4)</f>
        <v>29.13</v>
      </c>
      <c r="E4721" s="14" t="str">
        <f aca="false">IF(C4721="","",C4721*D4721/100)</f>
        <v/>
      </c>
      <c r="F4721" s="15" t="str">
        <f aca="false">IF(B4721&lt;5,"Go","Standard")</f>
        <v>Standard</v>
      </c>
    </row>
    <row r="4722" customFormat="false" ht="15" hidden="false" customHeight="true" outlineLevel="0" collapsed="false">
      <c r="A4722" s="10" t="n">
        <f aca="false">Einstellungen!$B$5+INT((ROW()-9)/24)</f>
        <v>46162</v>
      </c>
      <c r="B4722" s="11" t="n">
        <f aca="false">MOD(ROW()-9,24)</f>
        <v>9</v>
      </c>
      <c r="C4722" s="12"/>
      <c r="D4722" s="13" t="n">
        <f aca="false">IF(B4722&lt;5,Einstellungen!$B$3,Einstellungen!$B$4)</f>
        <v>29.13</v>
      </c>
      <c r="E4722" s="14" t="str">
        <f aca="false">IF(C4722="","",C4722*D4722/100)</f>
        <v/>
      </c>
      <c r="F4722" s="15" t="str">
        <f aca="false">IF(B4722&lt;5,"Go","Standard")</f>
        <v>Standard</v>
      </c>
    </row>
    <row r="4723" customFormat="false" ht="15" hidden="false" customHeight="true" outlineLevel="0" collapsed="false">
      <c r="A4723" s="10" t="n">
        <f aca="false">Einstellungen!$B$5+INT((ROW()-9)/24)</f>
        <v>46162</v>
      </c>
      <c r="B4723" s="11" t="n">
        <f aca="false">MOD(ROW()-9,24)</f>
        <v>10</v>
      </c>
      <c r="C4723" s="12"/>
      <c r="D4723" s="13" t="n">
        <f aca="false">IF(B4723&lt;5,Einstellungen!$B$3,Einstellungen!$B$4)</f>
        <v>29.13</v>
      </c>
      <c r="E4723" s="14" t="str">
        <f aca="false">IF(C4723="","",C4723*D4723/100)</f>
        <v/>
      </c>
      <c r="F4723" s="15" t="str">
        <f aca="false">IF(B4723&lt;5,"Go","Standard")</f>
        <v>Standard</v>
      </c>
    </row>
    <row r="4724" customFormat="false" ht="15" hidden="false" customHeight="true" outlineLevel="0" collapsed="false">
      <c r="A4724" s="10" t="n">
        <f aca="false">Einstellungen!$B$5+INT((ROW()-9)/24)</f>
        <v>46162</v>
      </c>
      <c r="B4724" s="11" t="n">
        <f aca="false">MOD(ROW()-9,24)</f>
        <v>11</v>
      </c>
      <c r="C4724" s="12"/>
      <c r="D4724" s="13" t="n">
        <f aca="false">IF(B4724&lt;5,Einstellungen!$B$3,Einstellungen!$B$4)</f>
        <v>29.13</v>
      </c>
      <c r="E4724" s="14" t="str">
        <f aca="false">IF(C4724="","",C4724*D4724/100)</f>
        <v/>
      </c>
      <c r="F4724" s="15" t="str">
        <f aca="false">IF(B4724&lt;5,"Go","Standard")</f>
        <v>Standard</v>
      </c>
    </row>
    <row r="4725" customFormat="false" ht="15" hidden="false" customHeight="true" outlineLevel="0" collapsed="false">
      <c r="A4725" s="10" t="n">
        <f aca="false">Einstellungen!$B$5+INT((ROW()-9)/24)</f>
        <v>46162</v>
      </c>
      <c r="B4725" s="11" t="n">
        <f aca="false">MOD(ROW()-9,24)</f>
        <v>12</v>
      </c>
      <c r="C4725" s="12"/>
      <c r="D4725" s="13" t="n">
        <f aca="false">IF(B4725&lt;5,Einstellungen!$B$3,Einstellungen!$B$4)</f>
        <v>29.13</v>
      </c>
      <c r="E4725" s="14" t="str">
        <f aca="false">IF(C4725="","",C4725*D4725/100)</f>
        <v/>
      </c>
      <c r="F4725" s="15" t="str">
        <f aca="false">IF(B4725&lt;5,"Go","Standard")</f>
        <v>Standard</v>
      </c>
    </row>
    <row r="4726" customFormat="false" ht="15" hidden="false" customHeight="true" outlineLevel="0" collapsed="false">
      <c r="A4726" s="10" t="n">
        <f aca="false">Einstellungen!$B$5+INT((ROW()-9)/24)</f>
        <v>46162</v>
      </c>
      <c r="B4726" s="11" t="n">
        <f aca="false">MOD(ROW()-9,24)</f>
        <v>13</v>
      </c>
      <c r="C4726" s="12"/>
      <c r="D4726" s="13" t="n">
        <f aca="false">IF(B4726&lt;5,Einstellungen!$B$3,Einstellungen!$B$4)</f>
        <v>29.13</v>
      </c>
      <c r="E4726" s="14" t="str">
        <f aca="false">IF(C4726="","",C4726*D4726/100)</f>
        <v/>
      </c>
      <c r="F4726" s="15" t="str">
        <f aca="false">IF(B4726&lt;5,"Go","Standard")</f>
        <v>Standard</v>
      </c>
    </row>
    <row r="4727" customFormat="false" ht="15" hidden="false" customHeight="true" outlineLevel="0" collapsed="false">
      <c r="A4727" s="10" t="n">
        <f aca="false">Einstellungen!$B$5+INT((ROW()-9)/24)</f>
        <v>46162</v>
      </c>
      <c r="B4727" s="11" t="n">
        <f aca="false">MOD(ROW()-9,24)</f>
        <v>14</v>
      </c>
      <c r="C4727" s="12"/>
      <c r="D4727" s="13" t="n">
        <f aca="false">IF(B4727&lt;5,Einstellungen!$B$3,Einstellungen!$B$4)</f>
        <v>29.13</v>
      </c>
      <c r="E4727" s="14" t="str">
        <f aca="false">IF(C4727="","",C4727*D4727/100)</f>
        <v/>
      </c>
      <c r="F4727" s="15" t="str">
        <f aca="false">IF(B4727&lt;5,"Go","Standard")</f>
        <v>Standard</v>
      </c>
    </row>
    <row r="4728" customFormat="false" ht="15" hidden="false" customHeight="true" outlineLevel="0" collapsed="false">
      <c r="A4728" s="10" t="n">
        <f aca="false">Einstellungen!$B$5+INT((ROW()-9)/24)</f>
        <v>46162</v>
      </c>
      <c r="B4728" s="11" t="n">
        <f aca="false">MOD(ROW()-9,24)</f>
        <v>15</v>
      </c>
      <c r="C4728" s="12"/>
      <c r="D4728" s="13" t="n">
        <f aca="false">IF(B4728&lt;5,Einstellungen!$B$3,Einstellungen!$B$4)</f>
        <v>29.13</v>
      </c>
      <c r="E4728" s="14" t="str">
        <f aca="false">IF(C4728="","",C4728*D4728/100)</f>
        <v/>
      </c>
      <c r="F4728" s="15" t="str">
        <f aca="false">IF(B4728&lt;5,"Go","Standard")</f>
        <v>Standard</v>
      </c>
    </row>
    <row r="4729" customFormat="false" ht="15" hidden="false" customHeight="true" outlineLevel="0" collapsed="false">
      <c r="A4729" s="10" t="n">
        <f aca="false">Einstellungen!$B$5+INT((ROW()-9)/24)</f>
        <v>46162</v>
      </c>
      <c r="B4729" s="11" t="n">
        <f aca="false">MOD(ROW()-9,24)</f>
        <v>16</v>
      </c>
      <c r="C4729" s="12"/>
      <c r="D4729" s="13" t="n">
        <f aca="false">IF(B4729&lt;5,Einstellungen!$B$3,Einstellungen!$B$4)</f>
        <v>29.13</v>
      </c>
      <c r="E4729" s="14" t="str">
        <f aca="false">IF(C4729="","",C4729*D4729/100)</f>
        <v/>
      </c>
      <c r="F4729" s="15" t="str">
        <f aca="false">IF(B4729&lt;5,"Go","Standard")</f>
        <v>Standard</v>
      </c>
    </row>
    <row r="4730" customFormat="false" ht="15" hidden="false" customHeight="true" outlineLevel="0" collapsed="false">
      <c r="A4730" s="10" t="n">
        <f aca="false">Einstellungen!$B$5+INT((ROW()-9)/24)</f>
        <v>46162</v>
      </c>
      <c r="B4730" s="11" t="n">
        <f aca="false">MOD(ROW()-9,24)</f>
        <v>17</v>
      </c>
      <c r="C4730" s="12"/>
      <c r="D4730" s="13" t="n">
        <f aca="false">IF(B4730&lt;5,Einstellungen!$B$3,Einstellungen!$B$4)</f>
        <v>29.13</v>
      </c>
      <c r="E4730" s="14" t="str">
        <f aca="false">IF(C4730="","",C4730*D4730/100)</f>
        <v/>
      </c>
      <c r="F4730" s="15" t="str">
        <f aca="false">IF(B4730&lt;5,"Go","Standard")</f>
        <v>Standard</v>
      </c>
    </row>
    <row r="4731" customFormat="false" ht="15" hidden="false" customHeight="true" outlineLevel="0" collapsed="false">
      <c r="A4731" s="10" t="n">
        <f aca="false">Einstellungen!$B$5+INT((ROW()-9)/24)</f>
        <v>46162</v>
      </c>
      <c r="B4731" s="11" t="n">
        <f aca="false">MOD(ROW()-9,24)</f>
        <v>18</v>
      </c>
      <c r="C4731" s="12"/>
      <c r="D4731" s="13" t="n">
        <f aca="false">IF(B4731&lt;5,Einstellungen!$B$3,Einstellungen!$B$4)</f>
        <v>29.13</v>
      </c>
      <c r="E4731" s="14" t="str">
        <f aca="false">IF(C4731="","",C4731*D4731/100)</f>
        <v/>
      </c>
      <c r="F4731" s="15" t="str">
        <f aca="false">IF(B4731&lt;5,"Go","Standard")</f>
        <v>Standard</v>
      </c>
    </row>
    <row r="4732" customFormat="false" ht="15" hidden="false" customHeight="true" outlineLevel="0" collapsed="false">
      <c r="A4732" s="10" t="n">
        <f aca="false">Einstellungen!$B$5+INT((ROW()-9)/24)</f>
        <v>46162</v>
      </c>
      <c r="B4732" s="11" t="n">
        <f aca="false">MOD(ROW()-9,24)</f>
        <v>19</v>
      </c>
      <c r="C4732" s="12"/>
      <c r="D4732" s="13" t="n">
        <f aca="false">IF(B4732&lt;5,Einstellungen!$B$3,Einstellungen!$B$4)</f>
        <v>29.13</v>
      </c>
      <c r="E4732" s="14" t="str">
        <f aca="false">IF(C4732="","",C4732*D4732/100)</f>
        <v/>
      </c>
      <c r="F4732" s="15" t="str">
        <f aca="false">IF(B4732&lt;5,"Go","Standard")</f>
        <v>Standard</v>
      </c>
    </row>
    <row r="4733" customFormat="false" ht="15" hidden="false" customHeight="true" outlineLevel="0" collapsed="false">
      <c r="A4733" s="10" t="n">
        <f aca="false">Einstellungen!$B$5+INT((ROW()-9)/24)</f>
        <v>46162</v>
      </c>
      <c r="B4733" s="11" t="n">
        <f aca="false">MOD(ROW()-9,24)</f>
        <v>20</v>
      </c>
      <c r="C4733" s="12"/>
      <c r="D4733" s="13" t="n">
        <f aca="false">IF(B4733&lt;5,Einstellungen!$B$3,Einstellungen!$B$4)</f>
        <v>29.13</v>
      </c>
      <c r="E4733" s="14" t="str">
        <f aca="false">IF(C4733="","",C4733*D4733/100)</f>
        <v/>
      </c>
      <c r="F4733" s="15" t="str">
        <f aca="false">IF(B4733&lt;5,"Go","Standard")</f>
        <v>Standard</v>
      </c>
    </row>
    <row r="4734" customFormat="false" ht="15" hidden="false" customHeight="true" outlineLevel="0" collapsed="false">
      <c r="A4734" s="10" t="n">
        <f aca="false">Einstellungen!$B$5+INT((ROW()-9)/24)</f>
        <v>46162</v>
      </c>
      <c r="B4734" s="11" t="n">
        <f aca="false">MOD(ROW()-9,24)</f>
        <v>21</v>
      </c>
      <c r="C4734" s="12"/>
      <c r="D4734" s="13" t="n">
        <f aca="false">IF(B4734&lt;5,Einstellungen!$B$3,Einstellungen!$B$4)</f>
        <v>29.13</v>
      </c>
      <c r="E4734" s="14" t="str">
        <f aca="false">IF(C4734="","",C4734*D4734/100)</f>
        <v/>
      </c>
      <c r="F4734" s="15" t="str">
        <f aca="false">IF(B4734&lt;5,"Go","Standard")</f>
        <v>Standard</v>
      </c>
    </row>
    <row r="4735" customFormat="false" ht="15" hidden="false" customHeight="true" outlineLevel="0" collapsed="false">
      <c r="A4735" s="10" t="n">
        <f aca="false">Einstellungen!$B$5+INT((ROW()-9)/24)</f>
        <v>46162</v>
      </c>
      <c r="B4735" s="11" t="n">
        <f aca="false">MOD(ROW()-9,24)</f>
        <v>22</v>
      </c>
      <c r="C4735" s="12"/>
      <c r="D4735" s="13" t="n">
        <f aca="false">IF(B4735&lt;5,Einstellungen!$B$3,Einstellungen!$B$4)</f>
        <v>29.13</v>
      </c>
      <c r="E4735" s="14" t="str">
        <f aca="false">IF(C4735="","",C4735*D4735/100)</f>
        <v/>
      </c>
      <c r="F4735" s="15" t="str">
        <f aca="false">IF(B4735&lt;5,"Go","Standard")</f>
        <v>Standard</v>
      </c>
    </row>
    <row r="4736" customFormat="false" ht="15" hidden="false" customHeight="true" outlineLevel="0" collapsed="false">
      <c r="A4736" s="10" t="n">
        <f aca="false">Einstellungen!$B$5+INT((ROW()-9)/24)</f>
        <v>46162</v>
      </c>
      <c r="B4736" s="11" t="n">
        <f aca="false">MOD(ROW()-9,24)</f>
        <v>23</v>
      </c>
      <c r="C4736" s="12"/>
      <c r="D4736" s="13" t="n">
        <f aca="false">IF(B4736&lt;5,Einstellungen!$B$3,Einstellungen!$B$4)</f>
        <v>29.13</v>
      </c>
      <c r="E4736" s="14" t="str">
        <f aca="false">IF(C4736="","",C4736*D4736/100)</f>
        <v/>
      </c>
      <c r="F4736" s="15" t="str">
        <f aca="false">IF(B4736&lt;5,"Go","Standard")</f>
        <v>Standard</v>
      </c>
    </row>
    <row r="4737" customFormat="false" ht="15" hidden="false" customHeight="true" outlineLevel="0" collapsed="false">
      <c r="A4737" s="10" t="n">
        <f aca="false">Einstellungen!$B$5+INT((ROW()-9)/24)</f>
        <v>46163</v>
      </c>
      <c r="B4737" s="11" t="n">
        <f aca="false">MOD(ROW()-9,24)</f>
        <v>0</v>
      </c>
      <c r="C4737" s="12"/>
      <c r="D4737" s="13" t="n">
        <f aca="false">IF(B4737&lt;5,Einstellungen!$B$3,Einstellungen!$B$4)</f>
        <v>15.92</v>
      </c>
      <c r="E4737" s="14" t="str">
        <f aca="false">IF(C4737="","",C4737*D4737/100)</f>
        <v/>
      </c>
      <c r="F4737" s="15" t="str">
        <f aca="false">IF(B4737&lt;5,"Go","Standard")</f>
        <v>Go</v>
      </c>
    </row>
    <row r="4738" customFormat="false" ht="15" hidden="false" customHeight="true" outlineLevel="0" collapsed="false">
      <c r="A4738" s="10" t="n">
        <f aca="false">Einstellungen!$B$5+INT((ROW()-9)/24)</f>
        <v>46163</v>
      </c>
      <c r="B4738" s="11" t="n">
        <f aca="false">MOD(ROW()-9,24)</f>
        <v>1</v>
      </c>
      <c r="C4738" s="12"/>
      <c r="D4738" s="13" t="n">
        <f aca="false">IF(B4738&lt;5,Einstellungen!$B$3,Einstellungen!$B$4)</f>
        <v>15.92</v>
      </c>
      <c r="E4738" s="14" t="str">
        <f aca="false">IF(C4738="","",C4738*D4738/100)</f>
        <v/>
      </c>
      <c r="F4738" s="15" t="str">
        <f aca="false">IF(B4738&lt;5,"Go","Standard")</f>
        <v>Go</v>
      </c>
    </row>
    <row r="4739" customFormat="false" ht="15" hidden="false" customHeight="true" outlineLevel="0" collapsed="false">
      <c r="A4739" s="10" t="n">
        <f aca="false">Einstellungen!$B$5+INT((ROW()-9)/24)</f>
        <v>46163</v>
      </c>
      <c r="B4739" s="11" t="n">
        <f aca="false">MOD(ROW()-9,24)</f>
        <v>2</v>
      </c>
      <c r="C4739" s="12"/>
      <c r="D4739" s="13" t="n">
        <f aca="false">IF(B4739&lt;5,Einstellungen!$B$3,Einstellungen!$B$4)</f>
        <v>15.92</v>
      </c>
      <c r="E4739" s="14" t="str">
        <f aca="false">IF(C4739="","",C4739*D4739/100)</f>
        <v/>
      </c>
      <c r="F4739" s="15" t="str">
        <f aca="false">IF(B4739&lt;5,"Go","Standard")</f>
        <v>Go</v>
      </c>
    </row>
    <row r="4740" customFormat="false" ht="15" hidden="false" customHeight="true" outlineLevel="0" collapsed="false">
      <c r="A4740" s="10" t="n">
        <f aca="false">Einstellungen!$B$5+INT((ROW()-9)/24)</f>
        <v>46163</v>
      </c>
      <c r="B4740" s="11" t="n">
        <f aca="false">MOD(ROW()-9,24)</f>
        <v>3</v>
      </c>
      <c r="C4740" s="12"/>
      <c r="D4740" s="13" t="n">
        <f aca="false">IF(B4740&lt;5,Einstellungen!$B$3,Einstellungen!$B$4)</f>
        <v>15.92</v>
      </c>
      <c r="E4740" s="14" t="str">
        <f aca="false">IF(C4740="","",C4740*D4740/100)</f>
        <v/>
      </c>
      <c r="F4740" s="15" t="str">
        <f aca="false">IF(B4740&lt;5,"Go","Standard")</f>
        <v>Go</v>
      </c>
    </row>
    <row r="4741" customFormat="false" ht="15" hidden="false" customHeight="true" outlineLevel="0" collapsed="false">
      <c r="A4741" s="10" t="n">
        <f aca="false">Einstellungen!$B$5+INT((ROW()-9)/24)</f>
        <v>46163</v>
      </c>
      <c r="B4741" s="11" t="n">
        <f aca="false">MOD(ROW()-9,24)</f>
        <v>4</v>
      </c>
      <c r="C4741" s="12"/>
      <c r="D4741" s="13" t="n">
        <f aca="false">IF(B4741&lt;5,Einstellungen!$B$3,Einstellungen!$B$4)</f>
        <v>15.92</v>
      </c>
      <c r="E4741" s="14" t="str">
        <f aca="false">IF(C4741="","",C4741*D4741/100)</f>
        <v/>
      </c>
      <c r="F4741" s="15" t="str">
        <f aca="false">IF(B4741&lt;5,"Go","Standard")</f>
        <v>Go</v>
      </c>
    </row>
    <row r="4742" customFormat="false" ht="15" hidden="false" customHeight="true" outlineLevel="0" collapsed="false">
      <c r="A4742" s="10" t="n">
        <f aca="false">Einstellungen!$B$5+INT((ROW()-9)/24)</f>
        <v>46163</v>
      </c>
      <c r="B4742" s="11" t="n">
        <f aca="false">MOD(ROW()-9,24)</f>
        <v>5</v>
      </c>
      <c r="C4742" s="12"/>
      <c r="D4742" s="13" t="n">
        <f aca="false">IF(B4742&lt;5,Einstellungen!$B$3,Einstellungen!$B$4)</f>
        <v>29.13</v>
      </c>
      <c r="E4742" s="14" t="str">
        <f aca="false">IF(C4742="","",C4742*D4742/100)</f>
        <v/>
      </c>
      <c r="F4742" s="15" t="str">
        <f aca="false">IF(B4742&lt;5,"Go","Standard")</f>
        <v>Standard</v>
      </c>
    </row>
    <row r="4743" customFormat="false" ht="15" hidden="false" customHeight="true" outlineLevel="0" collapsed="false">
      <c r="A4743" s="10" t="n">
        <f aca="false">Einstellungen!$B$5+INT((ROW()-9)/24)</f>
        <v>46163</v>
      </c>
      <c r="B4743" s="11" t="n">
        <f aca="false">MOD(ROW()-9,24)</f>
        <v>6</v>
      </c>
      <c r="C4743" s="12"/>
      <c r="D4743" s="13" t="n">
        <f aca="false">IF(B4743&lt;5,Einstellungen!$B$3,Einstellungen!$B$4)</f>
        <v>29.13</v>
      </c>
      <c r="E4743" s="14" t="str">
        <f aca="false">IF(C4743="","",C4743*D4743/100)</f>
        <v/>
      </c>
      <c r="F4743" s="15" t="str">
        <f aca="false">IF(B4743&lt;5,"Go","Standard")</f>
        <v>Standard</v>
      </c>
    </row>
    <row r="4744" customFormat="false" ht="15" hidden="false" customHeight="true" outlineLevel="0" collapsed="false">
      <c r="A4744" s="10" t="n">
        <f aca="false">Einstellungen!$B$5+INT((ROW()-9)/24)</f>
        <v>46163</v>
      </c>
      <c r="B4744" s="11" t="n">
        <f aca="false">MOD(ROW()-9,24)</f>
        <v>7</v>
      </c>
      <c r="C4744" s="12"/>
      <c r="D4744" s="13" t="n">
        <f aca="false">IF(B4744&lt;5,Einstellungen!$B$3,Einstellungen!$B$4)</f>
        <v>29.13</v>
      </c>
      <c r="E4744" s="14" t="str">
        <f aca="false">IF(C4744="","",C4744*D4744/100)</f>
        <v/>
      </c>
      <c r="F4744" s="15" t="str">
        <f aca="false">IF(B4744&lt;5,"Go","Standard")</f>
        <v>Standard</v>
      </c>
    </row>
    <row r="4745" customFormat="false" ht="15" hidden="false" customHeight="true" outlineLevel="0" collapsed="false">
      <c r="A4745" s="10" t="n">
        <f aca="false">Einstellungen!$B$5+INT((ROW()-9)/24)</f>
        <v>46163</v>
      </c>
      <c r="B4745" s="11" t="n">
        <f aca="false">MOD(ROW()-9,24)</f>
        <v>8</v>
      </c>
      <c r="C4745" s="12"/>
      <c r="D4745" s="13" t="n">
        <f aca="false">IF(B4745&lt;5,Einstellungen!$B$3,Einstellungen!$B$4)</f>
        <v>29.13</v>
      </c>
      <c r="E4745" s="14" t="str">
        <f aca="false">IF(C4745="","",C4745*D4745/100)</f>
        <v/>
      </c>
      <c r="F4745" s="15" t="str">
        <f aca="false">IF(B4745&lt;5,"Go","Standard")</f>
        <v>Standard</v>
      </c>
    </row>
    <row r="4746" customFormat="false" ht="15" hidden="false" customHeight="true" outlineLevel="0" collapsed="false">
      <c r="A4746" s="10" t="n">
        <f aca="false">Einstellungen!$B$5+INT((ROW()-9)/24)</f>
        <v>46163</v>
      </c>
      <c r="B4746" s="11" t="n">
        <f aca="false">MOD(ROW()-9,24)</f>
        <v>9</v>
      </c>
      <c r="C4746" s="12"/>
      <c r="D4746" s="13" t="n">
        <f aca="false">IF(B4746&lt;5,Einstellungen!$B$3,Einstellungen!$B$4)</f>
        <v>29.13</v>
      </c>
      <c r="E4746" s="14" t="str">
        <f aca="false">IF(C4746="","",C4746*D4746/100)</f>
        <v/>
      </c>
      <c r="F4746" s="15" t="str">
        <f aca="false">IF(B4746&lt;5,"Go","Standard")</f>
        <v>Standard</v>
      </c>
    </row>
    <row r="4747" customFormat="false" ht="15" hidden="false" customHeight="true" outlineLevel="0" collapsed="false">
      <c r="A4747" s="10" t="n">
        <f aca="false">Einstellungen!$B$5+INT((ROW()-9)/24)</f>
        <v>46163</v>
      </c>
      <c r="B4747" s="11" t="n">
        <f aca="false">MOD(ROW()-9,24)</f>
        <v>10</v>
      </c>
      <c r="C4747" s="12"/>
      <c r="D4747" s="13" t="n">
        <f aca="false">IF(B4747&lt;5,Einstellungen!$B$3,Einstellungen!$B$4)</f>
        <v>29.13</v>
      </c>
      <c r="E4747" s="14" t="str">
        <f aca="false">IF(C4747="","",C4747*D4747/100)</f>
        <v/>
      </c>
      <c r="F4747" s="15" t="str">
        <f aca="false">IF(B4747&lt;5,"Go","Standard")</f>
        <v>Standard</v>
      </c>
    </row>
    <row r="4748" customFormat="false" ht="15" hidden="false" customHeight="true" outlineLevel="0" collapsed="false">
      <c r="A4748" s="10" t="n">
        <f aca="false">Einstellungen!$B$5+INT((ROW()-9)/24)</f>
        <v>46163</v>
      </c>
      <c r="B4748" s="11" t="n">
        <f aca="false">MOD(ROW()-9,24)</f>
        <v>11</v>
      </c>
      <c r="C4748" s="12"/>
      <c r="D4748" s="13" t="n">
        <f aca="false">IF(B4748&lt;5,Einstellungen!$B$3,Einstellungen!$B$4)</f>
        <v>29.13</v>
      </c>
      <c r="E4748" s="14" t="str">
        <f aca="false">IF(C4748="","",C4748*D4748/100)</f>
        <v/>
      </c>
      <c r="F4748" s="15" t="str">
        <f aca="false">IF(B4748&lt;5,"Go","Standard")</f>
        <v>Standard</v>
      </c>
    </row>
    <row r="4749" customFormat="false" ht="15" hidden="false" customHeight="true" outlineLevel="0" collapsed="false">
      <c r="A4749" s="10" t="n">
        <f aca="false">Einstellungen!$B$5+INT((ROW()-9)/24)</f>
        <v>46163</v>
      </c>
      <c r="B4749" s="11" t="n">
        <f aca="false">MOD(ROW()-9,24)</f>
        <v>12</v>
      </c>
      <c r="C4749" s="12"/>
      <c r="D4749" s="13" t="n">
        <f aca="false">IF(B4749&lt;5,Einstellungen!$B$3,Einstellungen!$B$4)</f>
        <v>29.13</v>
      </c>
      <c r="E4749" s="14" t="str">
        <f aca="false">IF(C4749="","",C4749*D4749/100)</f>
        <v/>
      </c>
      <c r="F4749" s="15" t="str">
        <f aca="false">IF(B4749&lt;5,"Go","Standard")</f>
        <v>Standard</v>
      </c>
    </row>
    <row r="4750" customFormat="false" ht="15" hidden="false" customHeight="true" outlineLevel="0" collapsed="false">
      <c r="A4750" s="10" t="n">
        <f aca="false">Einstellungen!$B$5+INT((ROW()-9)/24)</f>
        <v>46163</v>
      </c>
      <c r="B4750" s="11" t="n">
        <f aca="false">MOD(ROW()-9,24)</f>
        <v>13</v>
      </c>
      <c r="C4750" s="12"/>
      <c r="D4750" s="13" t="n">
        <f aca="false">IF(B4750&lt;5,Einstellungen!$B$3,Einstellungen!$B$4)</f>
        <v>29.13</v>
      </c>
      <c r="E4750" s="14" t="str">
        <f aca="false">IF(C4750="","",C4750*D4750/100)</f>
        <v/>
      </c>
      <c r="F4750" s="15" t="str">
        <f aca="false">IF(B4750&lt;5,"Go","Standard")</f>
        <v>Standard</v>
      </c>
    </row>
    <row r="4751" customFormat="false" ht="15" hidden="false" customHeight="true" outlineLevel="0" collapsed="false">
      <c r="A4751" s="10" t="n">
        <f aca="false">Einstellungen!$B$5+INT((ROW()-9)/24)</f>
        <v>46163</v>
      </c>
      <c r="B4751" s="11" t="n">
        <f aca="false">MOD(ROW()-9,24)</f>
        <v>14</v>
      </c>
      <c r="C4751" s="12"/>
      <c r="D4751" s="13" t="n">
        <f aca="false">IF(B4751&lt;5,Einstellungen!$B$3,Einstellungen!$B$4)</f>
        <v>29.13</v>
      </c>
      <c r="E4751" s="14" t="str">
        <f aca="false">IF(C4751="","",C4751*D4751/100)</f>
        <v/>
      </c>
      <c r="F4751" s="15" t="str">
        <f aca="false">IF(B4751&lt;5,"Go","Standard")</f>
        <v>Standard</v>
      </c>
    </row>
    <row r="4752" customFormat="false" ht="15" hidden="false" customHeight="true" outlineLevel="0" collapsed="false">
      <c r="A4752" s="10" t="n">
        <f aca="false">Einstellungen!$B$5+INT((ROW()-9)/24)</f>
        <v>46163</v>
      </c>
      <c r="B4752" s="11" t="n">
        <f aca="false">MOD(ROW()-9,24)</f>
        <v>15</v>
      </c>
      <c r="C4752" s="12"/>
      <c r="D4752" s="13" t="n">
        <f aca="false">IF(B4752&lt;5,Einstellungen!$B$3,Einstellungen!$B$4)</f>
        <v>29.13</v>
      </c>
      <c r="E4752" s="14" t="str">
        <f aca="false">IF(C4752="","",C4752*D4752/100)</f>
        <v/>
      </c>
      <c r="F4752" s="15" t="str">
        <f aca="false">IF(B4752&lt;5,"Go","Standard")</f>
        <v>Standard</v>
      </c>
    </row>
    <row r="4753" customFormat="false" ht="15" hidden="false" customHeight="true" outlineLevel="0" collapsed="false">
      <c r="A4753" s="10" t="n">
        <f aca="false">Einstellungen!$B$5+INT((ROW()-9)/24)</f>
        <v>46163</v>
      </c>
      <c r="B4753" s="11" t="n">
        <f aca="false">MOD(ROW()-9,24)</f>
        <v>16</v>
      </c>
      <c r="C4753" s="12"/>
      <c r="D4753" s="13" t="n">
        <f aca="false">IF(B4753&lt;5,Einstellungen!$B$3,Einstellungen!$B$4)</f>
        <v>29.13</v>
      </c>
      <c r="E4753" s="14" t="str">
        <f aca="false">IF(C4753="","",C4753*D4753/100)</f>
        <v/>
      </c>
      <c r="F4753" s="15" t="str">
        <f aca="false">IF(B4753&lt;5,"Go","Standard")</f>
        <v>Standard</v>
      </c>
    </row>
    <row r="4754" customFormat="false" ht="15" hidden="false" customHeight="true" outlineLevel="0" collapsed="false">
      <c r="A4754" s="10" t="n">
        <f aca="false">Einstellungen!$B$5+INT((ROW()-9)/24)</f>
        <v>46163</v>
      </c>
      <c r="B4754" s="11" t="n">
        <f aca="false">MOD(ROW()-9,24)</f>
        <v>17</v>
      </c>
      <c r="C4754" s="12"/>
      <c r="D4754" s="13" t="n">
        <f aca="false">IF(B4754&lt;5,Einstellungen!$B$3,Einstellungen!$B$4)</f>
        <v>29.13</v>
      </c>
      <c r="E4754" s="14" t="str">
        <f aca="false">IF(C4754="","",C4754*D4754/100)</f>
        <v/>
      </c>
      <c r="F4754" s="15" t="str">
        <f aca="false">IF(B4754&lt;5,"Go","Standard")</f>
        <v>Standard</v>
      </c>
    </row>
    <row r="4755" customFormat="false" ht="15" hidden="false" customHeight="true" outlineLevel="0" collapsed="false">
      <c r="A4755" s="10" t="n">
        <f aca="false">Einstellungen!$B$5+INT((ROW()-9)/24)</f>
        <v>46163</v>
      </c>
      <c r="B4755" s="11" t="n">
        <f aca="false">MOD(ROW()-9,24)</f>
        <v>18</v>
      </c>
      <c r="C4755" s="12"/>
      <c r="D4755" s="13" t="n">
        <f aca="false">IF(B4755&lt;5,Einstellungen!$B$3,Einstellungen!$B$4)</f>
        <v>29.13</v>
      </c>
      <c r="E4755" s="14" t="str">
        <f aca="false">IF(C4755="","",C4755*D4755/100)</f>
        <v/>
      </c>
      <c r="F4755" s="15" t="str">
        <f aca="false">IF(B4755&lt;5,"Go","Standard")</f>
        <v>Standard</v>
      </c>
    </row>
    <row r="4756" customFormat="false" ht="15" hidden="false" customHeight="true" outlineLevel="0" collapsed="false">
      <c r="A4756" s="10" t="n">
        <f aca="false">Einstellungen!$B$5+INT((ROW()-9)/24)</f>
        <v>46163</v>
      </c>
      <c r="B4756" s="11" t="n">
        <f aca="false">MOD(ROW()-9,24)</f>
        <v>19</v>
      </c>
      <c r="C4756" s="12"/>
      <c r="D4756" s="13" t="n">
        <f aca="false">IF(B4756&lt;5,Einstellungen!$B$3,Einstellungen!$B$4)</f>
        <v>29.13</v>
      </c>
      <c r="E4756" s="14" t="str">
        <f aca="false">IF(C4756="","",C4756*D4756/100)</f>
        <v/>
      </c>
      <c r="F4756" s="15" t="str">
        <f aca="false">IF(B4756&lt;5,"Go","Standard")</f>
        <v>Standard</v>
      </c>
    </row>
    <row r="4757" customFormat="false" ht="15" hidden="false" customHeight="true" outlineLevel="0" collapsed="false">
      <c r="A4757" s="10" t="n">
        <f aca="false">Einstellungen!$B$5+INT((ROW()-9)/24)</f>
        <v>46163</v>
      </c>
      <c r="B4757" s="11" t="n">
        <f aca="false">MOD(ROW()-9,24)</f>
        <v>20</v>
      </c>
      <c r="C4757" s="12"/>
      <c r="D4757" s="13" t="n">
        <f aca="false">IF(B4757&lt;5,Einstellungen!$B$3,Einstellungen!$B$4)</f>
        <v>29.13</v>
      </c>
      <c r="E4757" s="14" t="str">
        <f aca="false">IF(C4757="","",C4757*D4757/100)</f>
        <v/>
      </c>
      <c r="F4757" s="15" t="str">
        <f aca="false">IF(B4757&lt;5,"Go","Standard")</f>
        <v>Standard</v>
      </c>
    </row>
    <row r="4758" customFormat="false" ht="15" hidden="false" customHeight="true" outlineLevel="0" collapsed="false">
      <c r="A4758" s="10" t="n">
        <f aca="false">Einstellungen!$B$5+INT((ROW()-9)/24)</f>
        <v>46163</v>
      </c>
      <c r="B4758" s="11" t="n">
        <f aca="false">MOD(ROW()-9,24)</f>
        <v>21</v>
      </c>
      <c r="C4758" s="12"/>
      <c r="D4758" s="13" t="n">
        <f aca="false">IF(B4758&lt;5,Einstellungen!$B$3,Einstellungen!$B$4)</f>
        <v>29.13</v>
      </c>
      <c r="E4758" s="14" t="str">
        <f aca="false">IF(C4758="","",C4758*D4758/100)</f>
        <v/>
      </c>
      <c r="F4758" s="15" t="str">
        <f aca="false">IF(B4758&lt;5,"Go","Standard")</f>
        <v>Standard</v>
      </c>
    </row>
    <row r="4759" customFormat="false" ht="15" hidden="false" customHeight="true" outlineLevel="0" collapsed="false">
      <c r="A4759" s="10" t="n">
        <f aca="false">Einstellungen!$B$5+INT((ROW()-9)/24)</f>
        <v>46163</v>
      </c>
      <c r="B4759" s="11" t="n">
        <f aca="false">MOD(ROW()-9,24)</f>
        <v>22</v>
      </c>
      <c r="C4759" s="12"/>
      <c r="D4759" s="13" t="n">
        <f aca="false">IF(B4759&lt;5,Einstellungen!$B$3,Einstellungen!$B$4)</f>
        <v>29.13</v>
      </c>
      <c r="E4759" s="14" t="str">
        <f aca="false">IF(C4759="","",C4759*D4759/100)</f>
        <v/>
      </c>
      <c r="F4759" s="15" t="str">
        <f aca="false">IF(B4759&lt;5,"Go","Standard")</f>
        <v>Standard</v>
      </c>
    </row>
    <row r="4760" customFormat="false" ht="15" hidden="false" customHeight="true" outlineLevel="0" collapsed="false">
      <c r="A4760" s="10" t="n">
        <f aca="false">Einstellungen!$B$5+INT((ROW()-9)/24)</f>
        <v>46163</v>
      </c>
      <c r="B4760" s="11" t="n">
        <f aca="false">MOD(ROW()-9,24)</f>
        <v>23</v>
      </c>
      <c r="C4760" s="12"/>
      <c r="D4760" s="13" t="n">
        <f aca="false">IF(B4760&lt;5,Einstellungen!$B$3,Einstellungen!$B$4)</f>
        <v>29.13</v>
      </c>
      <c r="E4760" s="14" t="str">
        <f aca="false">IF(C4760="","",C4760*D4760/100)</f>
        <v/>
      </c>
      <c r="F4760" s="15" t="str">
        <f aca="false">IF(B4760&lt;5,"Go","Standard")</f>
        <v>Standard</v>
      </c>
    </row>
    <row r="4761" customFormat="false" ht="15" hidden="false" customHeight="true" outlineLevel="0" collapsed="false">
      <c r="A4761" s="10" t="n">
        <f aca="false">Einstellungen!$B$5+INT((ROW()-9)/24)</f>
        <v>46164</v>
      </c>
      <c r="B4761" s="11" t="n">
        <f aca="false">MOD(ROW()-9,24)</f>
        <v>0</v>
      </c>
      <c r="C4761" s="12"/>
      <c r="D4761" s="13" t="n">
        <f aca="false">IF(B4761&lt;5,Einstellungen!$B$3,Einstellungen!$B$4)</f>
        <v>15.92</v>
      </c>
      <c r="E4761" s="14" t="str">
        <f aca="false">IF(C4761="","",C4761*D4761/100)</f>
        <v/>
      </c>
      <c r="F4761" s="15" t="str">
        <f aca="false">IF(B4761&lt;5,"Go","Standard")</f>
        <v>Go</v>
      </c>
    </row>
    <row r="4762" customFormat="false" ht="15" hidden="false" customHeight="true" outlineLevel="0" collapsed="false">
      <c r="A4762" s="10" t="n">
        <f aca="false">Einstellungen!$B$5+INT((ROW()-9)/24)</f>
        <v>46164</v>
      </c>
      <c r="B4762" s="11" t="n">
        <f aca="false">MOD(ROW()-9,24)</f>
        <v>1</v>
      </c>
      <c r="C4762" s="12"/>
      <c r="D4762" s="13" t="n">
        <f aca="false">IF(B4762&lt;5,Einstellungen!$B$3,Einstellungen!$B$4)</f>
        <v>15.92</v>
      </c>
      <c r="E4762" s="14" t="str">
        <f aca="false">IF(C4762="","",C4762*D4762/100)</f>
        <v/>
      </c>
      <c r="F4762" s="15" t="str">
        <f aca="false">IF(B4762&lt;5,"Go","Standard")</f>
        <v>Go</v>
      </c>
    </row>
    <row r="4763" customFormat="false" ht="15" hidden="false" customHeight="true" outlineLevel="0" collapsed="false">
      <c r="A4763" s="10" t="n">
        <f aca="false">Einstellungen!$B$5+INT((ROW()-9)/24)</f>
        <v>46164</v>
      </c>
      <c r="B4763" s="11" t="n">
        <f aca="false">MOD(ROW()-9,24)</f>
        <v>2</v>
      </c>
      <c r="C4763" s="12"/>
      <c r="D4763" s="13" t="n">
        <f aca="false">IF(B4763&lt;5,Einstellungen!$B$3,Einstellungen!$B$4)</f>
        <v>15.92</v>
      </c>
      <c r="E4763" s="14" t="str">
        <f aca="false">IF(C4763="","",C4763*D4763/100)</f>
        <v/>
      </c>
      <c r="F4763" s="15" t="str">
        <f aca="false">IF(B4763&lt;5,"Go","Standard")</f>
        <v>Go</v>
      </c>
    </row>
    <row r="4764" customFormat="false" ht="15" hidden="false" customHeight="true" outlineLevel="0" collapsed="false">
      <c r="A4764" s="10" t="n">
        <f aca="false">Einstellungen!$B$5+INT((ROW()-9)/24)</f>
        <v>46164</v>
      </c>
      <c r="B4764" s="11" t="n">
        <f aca="false">MOD(ROW()-9,24)</f>
        <v>3</v>
      </c>
      <c r="C4764" s="12"/>
      <c r="D4764" s="13" t="n">
        <f aca="false">IF(B4764&lt;5,Einstellungen!$B$3,Einstellungen!$B$4)</f>
        <v>15.92</v>
      </c>
      <c r="E4764" s="14" t="str">
        <f aca="false">IF(C4764="","",C4764*D4764/100)</f>
        <v/>
      </c>
      <c r="F4764" s="15" t="str">
        <f aca="false">IF(B4764&lt;5,"Go","Standard")</f>
        <v>Go</v>
      </c>
    </row>
    <row r="4765" customFormat="false" ht="15" hidden="false" customHeight="true" outlineLevel="0" collapsed="false">
      <c r="A4765" s="10" t="n">
        <f aca="false">Einstellungen!$B$5+INT((ROW()-9)/24)</f>
        <v>46164</v>
      </c>
      <c r="B4765" s="11" t="n">
        <f aca="false">MOD(ROW()-9,24)</f>
        <v>4</v>
      </c>
      <c r="C4765" s="12"/>
      <c r="D4765" s="13" t="n">
        <f aca="false">IF(B4765&lt;5,Einstellungen!$B$3,Einstellungen!$B$4)</f>
        <v>15.92</v>
      </c>
      <c r="E4765" s="14" t="str">
        <f aca="false">IF(C4765="","",C4765*D4765/100)</f>
        <v/>
      </c>
      <c r="F4765" s="15" t="str">
        <f aca="false">IF(B4765&lt;5,"Go","Standard")</f>
        <v>Go</v>
      </c>
    </row>
    <row r="4766" customFormat="false" ht="15" hidden="false" customHeight="true" outlineLevel="0" collapsed="false">
      <c r="A4766" s="10" t="n">
        <f aca="false">Einstellungen!$B$5+INT((ROW()-9)/24)</f>
        <v>46164</v>
      </c>
      <c r="B4766" s="11" t="n">
        <f aca="false">MOD(ROW()-9,24)</f>
        <v>5</v>
      </c>
      <c r="C4766" s="12"/>
      <c r="D4766" s="13" t="n">
        <f aca="false">IF(B4766&lt;5,Einstellungen!$B$3,Einstellungen!$B$4)</f>
        <v>29.13</v>
      </c>
      <c r="E4766" s="14" t="str">
        <f aca="false">IF(C4766="","",C4766*D4766/100)</f>
        <v/>
      </c>
      <c r="F4766" s="15" t="str">
        <f aca="false">IF(B4766&lt;5,"Go","Standard")</f>
        <v>Standard</v>
      </c>
    </row>
    <row r="4767" customFormat="false" ht="15" hidden="false" customHeight="true" outlineLevel="0" collapsed="false">
      <c r="A4767" s="10" t="n">
        <f aca="false">Einstellungen!$B$5+INT((ROW()-9)/24)</f>
        <v>46164</v>
      </c>
      <c r="B4767" s="11" t="n">
        <f aca="false">MOD(ROW()-9,24)</f>
        <v>6</v>
      </c>
      <c r="C4767" s="12"/>
      <c r="D4767" s="13" t="n">
        <f aca="false">IF(B4767&lt;5,Einstellungen!$B$3,Einstellungen!$B$4)</f>
        <v>29.13</v>
      </c>
      <c r="E4767" s="14" t="str">
        <f aca="false">IF(C4767="","",C4767*D4767/100)</f>
        <v/>
      </c>
      <c r="F4767" s="15" t="str">
        <f aca="false">IF(B4767&lt;5,"Go","Standard")</f>
        <v>Standard</v>
      </c>
    </row>
    <row r="4768" customFormat="false" ht="15" hidden="false" customHeight="true" outlineLevel="0" collapsed="false">
      <c r="A4768" s="10" t="n">
        <f aca="false">Einstellungen!$B$5+INT((ROW()-9)/24)</f>
        <v>46164</v>
      </c>
      <c r="B4768" s="11" t="n">
        <f aca="false">MOD(ROW()-9,24)</f>
        <v>7</v>
      </c>
      <c r="C4768" s="12"/>
      <c r="D4768" s="13" t="n">
        <f aca="false">IF(B4768&lt;5,Einstellungen!$B$3,Einstellungen!$B$4)</f>
        <v>29.13</v>
      </c>
      <c r="E4768" s="14" t="str">
        <f aca="false">IF(C4768="","",C4768*D4768/100)</f>
        <v/>
      </c>
      <c r="F4768" s="15" t="str">
        <f aca="false">IF(B4768&lt;5,"Go","Standard")</f>
        <v>Standard</v>
      </c>
    </row>
    <row r="4769" customFormat="false" ht="15" hidden="false" customHeight="true" outlineLevel="0" collapsed="false">
      <c r="A4769" s="10" t="n">
        <f aca="false">Einstellungen!$B$5+INT((ROW()-9)/24)</f>
        <v>46164</v>
      </c>
      <c r="B4769" s="11" t="n">
        <f aca="false">MOD(ROW()-9,24)</f>
        <v>8</v>
      </c>
      <c r="C4769" s="12"/>
      <c r="D4769" s="13" t="n">
        <f aca="false">IF(B4769&lt;5,Einstellungen!$B$3,Einstellungen!$B$4)</f>
        <v>29.13</v>
      </c>
      <c r="E4769" s="14" t="str">
        <f aca="false">IF(C4769="","",C4769*D4769/100)</f>
        <v/>
      </c>
      <c r="F4769" s="15" t="str">
        <f aca="false">IF(B4769&lt;5,"Go","Standard")</f>
        <v>Standard</v>
      </c>
    </row>
    <row r="4770" customFormat="false" ht="15" hidden="false" customHeight="true" outlineLevel="0" collapsed="false">
      <c r="A4770" s="10" t="n">
        <f aca="false">Einstellungen!$B$5+INT((ROW()-9)/24)</f>
        <v>46164</v>
      </c>
      <c r="B4770" s="11" t="n">
        <f aca="false">MOD(ROW()-9,24)</f>
        <v>9</v>
      </c>
      <c r="C4770" s="12"/>
      <c r="D4770" s="13" t="n">
        <f aca="false">IF(B4770&lt;5,Einstellungen!$B$3,Einstellungen!$B$4)</f>
        <v>29.13</v>
      </c>
      <c r="E4770" s="14" t="str">
        <f aca="false">IF(C4770="","",C4770*D4770/100)</f>
        <v/>
      </c>
      <c r="F4770" s="15" t="str">
        <f aca="false">IF(B4770&lt;5,"Go","Standard")</f>
        <v>Standard</v>
      </c>
    </row>
    <row r="4771" customFormat="false" ht="15" hidden="false" customHeight="true" outlineLevel="0" collapsed="false">
      <c r="A4771" s="10" t="n">
        <f aca="false">Einstellungen!$B$5+INT((ROW()-9)/24)</f>
        <v>46164</v>
      </c>
      <c r="B4771" s="11" t="n">
        <f aca="false">MOD(ROW()-9,24)</f>
        <v>10</v>
      </c>
      <c r="C4771" s="12"/>
      <c r="D4771" s="13" t="n">
        <f aca="false">IF(B4771&lt;5,Einstellungen!$B$3,Einstellungen!$B$4)</f>
        <v>29.13</v>
      </c>
      <c r="E4771" s="14" t="str">
        <f aca="false">IF(C4771="","",C4771*D4771/100)</f>
        <v/>
      </c>
      <c r="F4771" s="15" t="str">
        <f aca="false">IF(B4771&lt;5,"Go","Standard")</f>
        <v>Standard</v>
      </c>
    </row>
    <row r="4772" customFormat="false" ht="15" hidden="false" customHeight="true" outlineLevel="0" collapsed="false">
      <c r="A4772" s="10" t="n">
        <f aca="false">Einstellungen!$B$5+INT((ROW()-9)/24)</f>
        <v>46164</v>
      </c>
      <c r="B4772" s="11" t="n">
        <f aca="false">MOD(ROW()-9,24)</f>
        <v>11</v>
      </c>
      <c r="C4772" s="12"/>
      <c r="D4772" s="13" t="n">
        <f aca="false">IF(B4772&lt;5,Einstellungen!$B$3,Einstellungen!$B$4)</f>
        <v>29.13</v>
      </c>
      <c r="E4772" s="14" t="str">
        <f aca="false">IF(C4772="","",C4772*D4772/100)</f>
        <v/>
      </c>
      <c r="F4772" s="15" t="str">
        <f aca="false">IF(B4772&lt;5,"Go","Standard")</f>
        <v>Standard</v>
      </c>
    </row>
    <row r="4773" customFormat="false" ht="15" hidden="false" customHeight="true" outlineLevel="0" collapsed="false">
      <c r="A4773" s="10" t="n">
        <f aca="false">Einstellungen!$B$5+INT((ROW()-9)/24)</f>
        <v>46164</v>
      </c>
      <c r="B4773" s="11" t="n">
        <f aca="false">MOD(ROW()-9,24)</f>
        <v>12</v>
      </c>
      <c r="C4773" s="12"/>
      <c r="D4773" s="13" t="n">
        <f aca="false">IF(B4773&lt;5,Einstellungen!$B$3,Einstellungen!$B$4)</f>
        <v>29.13</v>
      </c>
      <c r="E4773" s="14" t="str">
        <f aca="false">IF(C4773="","",C4773*D4773/100)</f>
        <v/>
      </c>
      <c r="F4773" s="15" t="str">
        <f aca="false">IF(B4773&lt;5,"Go","Standard")</f>
        <v>Standard</v>
      </c>
    </row>
    <row r="4774" customFormat="false" ht="15" hidden="false" customHeight="true" outlineLevel="0" collapsed="false">
      <c r="A4774" s="10" t="n">
        <f aca="false">Einstellungen!$B$5+INT((ROW()-9)/24)</f>
        <v>46164</v>
      </c>
      <c r="B4774" s="11" t="n">
        <f aca="false">MOD(ROW()-9,24)</f>
        <v>13</v>
      </c>
      <c r="C4774" s="12"/>
      <c r="D4774" s="13" t="n">
        <f aca="false">IF(B4774&lt;5,Einstellungen!$B$3,Einstellungen!$B$4)</f>
        <v>29.13</v>
      </c>
      <c r="E4774" s="14" t="str">
        <f aca="false">IF(C4774="","",C4774*D4774/100)</f>
        <v/>
      </c>
      <c r="F4774" s="15" t="str">
        <f aca="false">IF(B4774&lt;5,"Go","Standard")</f>
        <v>Standard</v>
      </c>
    </row>
    <row r="4775" customFormat="false" ht="15" hidden="false" customHeight="true" outlineLevel="0" collapsed="false">
      <c r="A4775" s="10" t="n">
        <f aca="false">Einstellungen!$B$5+INT((ROW()-9)/24)</f>
        <v>46164</v>
      </c>
      <c r="B4775" s="11" t="n">
        <f aca="false">MOD(ROW()-9,24)</f>
        <v>14</v>
      </c>
      <c r="C4775" s="12"/>
      <c r="D4775" s="13" t="n">
        <f aca="false">IF(B4775&lt;5,Einstellungen!$B$3,Einstellungen!$B$4)</f>
        <v>29.13</v>
      </c>
      <c r="E4775" s="14" t="str">
        <f aca="false">IF(C4775="","",C4775*D4775/100)</f>
        <v/>
      </c>
      <c r="F4775" s="15" t="str">
        <f aca="false">IF(B4775&lt;5,"Go","Standard")</f>
        <v>Standard</v>
      </c>
    </row>
    <row r="4776" customFormat="false" ht="15" hidden="false" customHeight="true" outlineLevel="0" collapsed="false">
      <c r="A4776" s="10" t="n">
        <f aca="false">Einstellungen!$B$5+INT((ROW()-9)/24)</f>
        <v>46164</v>
      </c>
      <c r="B4776" s="11" t="n">
        <f aca="false">MOD(ROW()-9,24)</f>
        <v>15</v>
      </c>
      <c r="C4776" s="12"/>
      <c r="D4776" s="13" t="n">
        <f aca="false">IF(B4776&lt;5,Einstellungen!$B$3,Einstellungen!$B$4)</f>
        <v>29.13</v>
      </c>
      <c r="E4776" s="14" t="str">
        <f aca="false">IF(C4776="","",C4776*D4776/100)</f>
        <v/>
      </c>
      <c r="F4776" s="15" t="str">
        <f aca="false">IF(B4776&lt;5,"Go","Standard")</f>
        <v>Standard</v>
      </c>
    </row>
    <row r="4777" customFormat="false" ht="15" hidden="false" customHeight="true" outlineLevel="0" collapsed="false">
      <c r="A4777" s="10" t="n">
        <f aca="false">Einstellungen!$B$5+INT((ROW()-9)/24)</f>
        <v>46164</v>
      </c>
      <c r="B4777" s="11" t="n">
        <f aca="false">MOD(ROW()-9,24)</f>
        <v>16</v>
      </c>
      <c r="C4777" s="12"/>
      <c r="D4777" s="13" t="n">
        <f aca="false">IF(B4777&lt;5,Einstellungen!$B$3,Einstellungen!$B$4)</f>
        <v>29.13</v>
      </c>
      <c r="E4777" s="14" t="str">
        <f aca="false">IF(C4777="","",C4777*D4777/100)</f>
        <v/>
      </c>
      <c r="F4777" s="15" t="str">
        <f aca="false">IF(B4777&lt;5,"Go","Standard")</f>
        <v>Standard</v>
      </c>
    </row>
    <row r="4778" customFormat="false" ht="15" hidden="false" customHeight="true" outlineLevel="0" collapsed="false">
      <c r="A4778" s="10" t="n">
        <f aca="false">Einstellungen!$B$5+INT((ROW()-9)/24)</f>
        <v>46164</v>
      </c>
      <c r="B4778" s="11" t="n">
        <f aca="false">MOD(ROW()-9,24)</f>
        <v>17</v>
      </c>
      <c r="C4778" s="12"/>
      <c r="D4778" s="13" t="n">
        <f aca="false">IF(B4778&lt;5,Einstellungen!$B$3,Einstellungen!$B$4)</f>
        <v>29.13</v>
      </c>
      <c r="E4778" s="14" t="str">
        <f aca="false">IF(C4778="","",C4778*D4778/100)</f>
        <v/>
      </c>
      <c r="F4778" s="15" t="str">
        <f aca="false">IF(B4778&lt;5,"Go","Standard")</f>
        <v>Standard</v>
      </c>
    </row>
    <row r="4779" customFormat="false" ht="15" hidden="false" customHeight="true" outlineLevel="0" collapsed="false">
      <c r="A4779" s="10" t="n">
        <f aca="false">Einstellungen!$B$5+INT((ROW()-9)/24)</f>
        <v>46164</v>
      </c>
      <c r="B4779" s="11" t="n">
        <f aca="false">MOD(ROW()-9,24)</f>
        <v>18</v>
      </c>
      <c r="C4779" s="12"/>
      <c r="D4779" s="13" t="n">
        <f aca="false">IF(B4779&lt;5,Einstellungen!$B$3,Einstellungen!$B$4)</f>
        <v>29.13</v>
      </c>
      <c r="E4779" s="14" t="str">
        <f aca="false">IF(C4779="","",C4779*D4779/100)</f>
        <v/>
      </c>
      <c r="F4779" s="15" t="str">
        <f aca="false">IF(B4779&lt;5,"Go","Standard")</f>
        <v>Standard</v>
      </c>
    </row>
    <row r="4780" customFormat="false" ht="15" hidden="false" customHeight="true" outlineLevel="0" collapsed="false">
      <c r="A4780" s="10" t="n">
        <f aca="false">Einstellungen!$B$5+INT((ROW()-9)/24)</f>
        <v>46164</v>
      </c>
      <c r="B4780" s="11" t="n">
        <f aca="false">MOD(ROW()-9,24)</f>
        <v>19</v>
      </c>
      <c r="C4780" s="12"/>
      <c r="D4780" s="13" t="n">
        <f aca="false">IF(B4780&lt;5,Einstellungen!$B$3,Einstellungen!$B$4)</f>
        <v>29.13</v>
      </c>
      <c r="E4780" s="14" t="str">
        <f aca="false">IF(C4780="","",C4780*D4780/100)</f>
        <v/>
      </c>
      <c r="F4780" s="15" t="str">
        <f aca="false">IF(B4780&lt;5,"Go","Standard")</f>
        <v>Standard</v>
      </c>
    </row>
    <row r="4781" customFormat="false" ht="15" hidden="false" customHeight="true" outlineLevel="0" collapsed="false">
      <c r="A4781" s="10" t="n">
        <f aca="false">Einstellungen!$B$5+INT((ROW()-9)/24)</f>
        <v>46164</v>
      </c>
      <c r="B4781" s="11" t="n">
        <f aca="false">MOD(ROW()-9,24)</f>
        <v>20</v>
      </c>
      <c r="C4781" s="12"/>
      <c r="D4781" s="13" t="n">
        <f aca="false">IF(B4781&lt;5,Einstellungen!$B$3,Einstellungen!$B$4)</f>
        <v>29.13</v>
      </c>
      <c r="E4781" s="14" t="str">
        <f aca="false">IF(C4781="","",C4781*D4781/100)</f>
        <v/>
      </c>
      <c r="F4781" s="15" t="str">
        <f aca="false">IF(B4781&lt;5,"Go","Standard")</f>
        <v>Standard</v>
      </c>
    </row>
    <row r="4782" customFormat="false" ht="15" hidden="false" customHeight="true" outlineLevel="0" collapsed="false">
      <c r="A4782" s="10" t="n">
        <f aca="false">Einstellungen!$B$5+INT((ROW()-9)/24)</f>
        <v>46164</v>
      </c>
      <c r="B4782" s="11" t="n">
        <f aca="false">MOD(ROW()-9,24)</f>
        <v>21</v>
      </c>
      <c r="C4782" s="12"/>
      <c r="D4782" s="13" t="n">
        <f aca="false">IF(B4782&lt;5,Einstellungen!$B$3,Einstellungen!$B$4)</f>
        <v>29.13</v>
      </c>
      <c r="E4782" s="14" t="str">
        <f aca="false">IF(C4782="","",C4782*D4782/100)</f>
        <v/>
      </c>
      <c r="F4782" s="15" t="str">
        <f aca="false">IF(B4782&lt;5,"Go","Standard")</f>
        <v>Standard</v>
      </c>
    </row>
    <row r="4783" customFormat="false" ht="15" hidden="false" customHeight="true" outlineLevel="0" collapsed="false">
      <c r="A4783" s="10" t="n">
        <f aca="false">Einstellungen!$B$5+INT((ROW()-9)/24)</f>
        <v>46164</v>
      </c>
      <c r="B4783" s="11" t="n">
        <f aca="false">MOD(ROW()-9,24)</f>
        <v>22</v>
      </c>
      <c r="C4783" s="12"/>
      <c r="D4783" s="13" t="n">
        <f aca="false">IF(B4783&lt;5,Einstellungen!$B$3,Einstellungen!$B$4)</f>
        <v>29.13</v>
      </c>
      <c r="E4783" s="14" t="str">
        <f aca="false">IF(C4783="","",C4783*D4783/100)</f>
        <v/>
      </c>
      <c r="F4783" s="15" t="str">
        <f aca="false">IF(B4783&lt;5,"Go","Standard")</f>
        <v>Standard</v>
      </c>
    </row>
    <row r="4784" customFormat="false" ht="15" hidden="false" customHeight="true" outlineLevel="0" collapsed="false">
      <c r="A4784" s="10" t="n">
        <f aca="false">Einstellungen!$B$5+INT((ROW()-9)/24)</f>
        <v>46164</v>
      </c>
      <c r="B4784" s="11" t="n">
        <f aca="false">MOD(ROW()-9,24)</f>
        <v>23</v>
      </c>
      <c r="C4784" s="12"/>
      <c r="D4784" s="13" t="n">
        <f aca="false">IF(B4784&lt;5,Einstellungen!$B$3,Einstellungen!$B$4)</f>
        <v>29.13</v>
      </c>
      <c r="E4784" s="14" t="str">
        <f aca="false">IF(C4784="","",C4784*D4784/100)</f>
        <v/>
      </c>
      <c r="F4784" s="15" t="str">
        <f aca="false">IF(B4784&lt;5,"Go","Standard")</f>
        <v>Standard</v>
      </c>
    </row>
    <row r="4785" customFormat="false" ht="15" hidden="false" customHeight="true" outlineLevel="0" collapsed="false">
      <c r="A4785" s="10" t="n">
        <f aca="false">Einstellungen!$B$5+INT((ROW()-9)/24)</f>
        <v>46165</v>
      </c>
      <c r="B4785" s="11" t="n">
        <f aca="false">MOD(ROW()-9,24)</f>
        <v>0</v>
      </c>
      <c r="C4785" s="12"/>
      <c r="D4785" s="13" t="n">
        <f aca="false">IF(B4785&lt;5,Einstellungen!$B$3,Einstellungen!$B$4)</f>
        <v>15.92</v>
      </c>
      <c r="E4785" s="14" t="str">
        <f aca="false">IF(C4785="","",C4785*D4785/100)</f>
        <v/>
      </c>
      <c r="F4785" s="15" t="str">
        <f aca="false">IF(B4785&lt;5,"Go","Standard")</f>
        <v>Go</v>
      </c>
    </row>
    <row r="4786" customFormat="false" ht="15" hidden="false" customHeight="true" outlineLevel="0" collapsed="false">
      <c r="A4786" s="10" t="n">
        <f aca="false">Einstellungen!$B$5+INT((ROW()-9)/24)</f>
        <v>46165</v>
      </c>
      <c r="B4786" s="11" t="n">
        <f aca="false">MOD(ROW()-9,24)</f>
        <v>1</v>
      </c>
      <c r="C4786" s="12"/>
      <c r="D4786" s="13" t="n">
        <f aca="false">IF(B4786&lt;5,Einstellungen!$B$3,Einstellungen!$B$4)</f>
        <v>15.92</v>
      </c>
      <c r="E4786" s="14" t="str">
        <f aca="false">IF(C4786="","",C4786*D4786/100)</f>
        <v/>
      </c>
      <c r="F4786" s="15" t="str">
        <f aca="false">IF(B4786&lt;5,"Go","Standard")</f>
        <v>Go</v>
      </c>
    </row>
    <row r="4787" customFormat="false" ht="15" hidden="false" customHeight="true" outlineLevel="0" collapsed="false">
      <c r="A4787" s="10" t="n">
        <f aca="false">Einstellungen!$B$5+INT((ROW()-9)/24)</f>
        <v>46165</v>
      </c>
      <c r="B4787" s="11" t="n">
        <f aca="false">MOD(ROW()-9,24)</f>
        <v>2</v>
      </c>
      <c r="C4787" s="12"/>
      <c r="D4787" s="13" t="n">
        <f aca="false">IF(B4787&lt;5,Einstellungen!$B$3,Einstellungen!$B$4)</f>
        <v>15.92</v>
      </c>
      <c r="E4787" s="14" t="str">
        <f aca="false">IF(C4787="","",C4787*D4787/100)</f>
        <v/>
      </c>
      <c r="F4787" s="15" t="str">
        <f aca="false">IF(B4787&lt;5,"Go","Standard")</f>
        <v>Go</v>
      </c>
    </row>
    <row r="4788" customFormat="false" ht="15" hidden="false" customHeight="true" outlineLevel="0" collapsed="false">
      <c r="A4788" s="10" t="n">
        <f aca="false">Einstellungen!$B$5+INT((ROW()-9)/24)</f>
        <v>46165</v>
      </c>
      <c r="B4788" s="11" t="n">
        <f aca="false">MOD(ROW()-9,24)</f>
        <v>3</v>
      </c>
      <c r="C4788" s="12"/>
      <c r="D4788" s="13" t="n">
        <f aca="false">IF(B4788&lt;5,Einstellungen!$B$3,Einstellungen!$B$4)</f>
        <v>15.92</v>
      </c>
      <c r="E4788" s="14" t="str">
        <f aca="false">IF(C4788="","",C4788*D4788/100)</f>
        <v/>
      </c>
      <c r="F4788" s="15" t="str">
        <f aca="false">IF(B4788&lt;5,"Go","Standard")</f>
        <v>Go</v>
      </c>
    </row>
    <row r="4789" customFormat="false" ht="15" hidden="false" customHeight="true" outlineLevel="0" collapsed="false">
      <c r="A4789" s="10" t="n">
        <f aca="false">Einstellungen!$B$5+INT((ROW()-9)/24)</f>
        <v>46165</v>
      </c>
      <c r="B4789" s="11" t="n">
        <f aca="false">MOD(ROW()-9,24)</f>
        <v>4</v>
      </c>
      <c r="C4789" s="12"/>
      <c r="D4789" s="13" t="n">
        <f aca="false">IF(B4789&lt;5,Einstellungen!$B$3,Einstellungen!$B$4)</f>
        <v>15.92</v>
      </c>
      <c r="E4789" s="14" t="str">
        <f aca="false">IF(C4789="","",C4789*D4789/100)</f>
        <v/>
      </c>
      <c r="F4789" s="15" t="str">
        <f aca="false">IF(B4789&lt;5,"Go","Standard")</f>
        <v>Go</v>
      </c>
    </row>
    <row r="4790" customFormat="false" ht="15" hidden="false" customHeight="true" outlineLevel="0" collapsed="false">
      <c r="A4790" s="10" t="n">
        <f aca="false">Einstellungen!$B$5+INT((ROW()-9)/24)</f>
        <v>46165</v>
      </c>
      <c r="B4790" s="11" t="n">
        <f aca="false">MOD(ROW()-9,24)</f>
        <v>5</v>
      </c>
      <c r="C4790" s="12"/>
      <c r="D4790" s="13" t="n">
        <f aca="false">IF(B4790&lt;5,Einstellungen!$B$3,Einstellungen!$B$4)</f>
        <v>29.13</v>
      </c>
      <c r="E4790" s="14" t="str">
        <f aca="false">IF(C4790="","",C4790*D4790/100)</f>
        <v/>
      </c>
      <c r="F4790" s="15" t="str">
        <f aca="false">IF(B4790&lt;5,"Go","Standard")</f>
        <v>Standard</v>
      </c>
    </row>
    <row r="4791" customFormat="false" ht="15" hidden="false" customHeight="true" outlineLevel="0" collapsed="false">
      <c r="A4791" s="10" t="n">
        <f aca="false">Einstellungen!$B$5+INT((ROW()-9)/24)</f>
        <v>46165</v>
      </c>
      <c r="B4791" s="11" t="n">
        <f aca="false">MOD(ROW()-9,24)</f>
        <v>6</v>
      </c>
      <c r="C4791" s="12"/>
      <c r="D4791" s="13" t="n">
        <f aca="false">IF(B4791&lt;5,Einstellungen!$B$3,Einstellungen!$B$4)</f>
        <v>29.13</v>
      </c>
      <c r="E4791" s="14" t="str">
        <f aca="false">IF(C4791="","",C4791*D4791/100)</f>
        <v/>
      </c>
      <c r="F4791" s="15" t="str">
        <f aca="false">IF(B4791&lt;5,"Go","Standard")</f>
        <v>Standard</v>
      </c>
    </row>
    <row r="4792" customFormat="false" ht="15" hidden="false" customHeight="true" outlineLevel="0" collapsed="false">
      <c r="A4792" s="10" t="n">
        <f aca="false">Einstellungen!$B$5+INT((ROW()-9)/24)</f>
        <v>46165</v>
      </c>
      <c r="B4792" s="11" t="n">
        <f aca="false">MOD(ROW()-9,24)</f>
        <v>7</v>
      </c>
      <c r="C4792" s="12"/>
      <c r="D4792" s="13" t="n">
        <f aca="false">IF(B4792&lt;5,Einstellungen!$B$3,Einstellungen!$B$4)</f>
        <v>29.13</v>
      </c>
      <c r="E4792" s="14" t="str">
        <f aca="false">IF(C4792="","",C4792*D4792/100)</f>
        <v/>
      </c>
      <c r="F4792" s="15" t="str">
        <f aca="false">IF(B4792&lt;5,"Go","Standard")</f>
        <v>Standard</v>
      </c>
    </row>
    <row r="4793" customFormat="false" ht="15" hidden="false" customHeight="true" outlineLevel="0" collapsed="false">
      <c r="A4793" s="10" t="n">
        <f aca="false">Einstellungen!$B$5+INT((ROW()-9)/24)</f>
        <v>46165</v>
      </c>
      <c r="B4793" s="11" t="n">
        <f aca="false">MOD(ROW()-9,24)</f>
        <v>8</v>
      </c>
      <c r="C4793" s="12"/>
      <c r="D4793" s="13" t="n">
        <f aca="false">IF(B4793&lt;5,Einstellungen!$B$3,Einstellungen!$B$4)</f>
        <v>29.13</v>
      </c>
      <c r="E4793" s="14" t="str">
        <f aca="false">IF(C4793="","",C4793*D4793/100)</f>
        <v/>
      </c>
      <c r="F4793" s="15" t="str">
        <f aca="false">IF(B4793&lt;5,"Go","Standard")</f>
        <v>Standard</v>
      </c>
    </row>
    <row r="4794" customFormat="false" ht="15" hidden="false" customHeight="true" outlineLevel="0" collapsed="false">
      <c r="A4794" s="10" t="n">
        <f aca="false">Einstellungen!$B$5+INT((ROW()-9)/24)</f>
        <v>46165</v>
      </c>
      <c r="B4794" s="11" t="n">
        <f aca="false">MOD(ROW()-9,24)</f>
        <v>9</v>
      </c>
      <c r="C4794" s="12"/>
      <c r="D4794" s="13" t="n">
        <f aca="false">IF(B4794&lt;5,Einstellungen!$B$3,Einstellungen!$B$4)</f>
        <v>29.13</v>
      </c>
      <c r="E4794" s="14" t="str">
        <f aca="false">IF(C4794="","",C4794*D4794/100)</f>
        <v/>
      </c>
      <c r="F4794" s="15" t="str">
        <f aca="false">IF(B4794&lt;5,"Go","Standard")</f>
        <v>Standard</v>
      </c>
    </row>
    <row r="4795" customFormat="false" ht="15" hidden="false" customHeight="true" outlineLevel="0" collapsed="false">
      <c r="A4795" s="10" t="n">
        <f aca="false">Einstellungen!$B$5+INT((ROW()-9)/24)</f>
        <v>46165</v>
      </c>
      <c r="B4795" s="11" t="n">
        <f aca="false">MOD(ROW()-9,24)</f>
        <v>10</v>
      </c>
      <c r="C4795" s="12"/>
      <c r="D4795" s="13" t="n">
        <f aca="false">IF(B4795&lt;5,Einstellungen!$B$3,Einstellungen!$B$4)</f>
        <v>29.13</v>
      </c>
      <c r="E4795" s="14" t="str">
        <f aca="false">IF(C4795="","",C4795*D4795/100)</f>
        <v/>
      </c>
      <c r="F4795" s="15" t="str">
        <f aca="false">IF(B4795&lt;5,"Go","Standard")</f>
        <v>Standard</v>
      </c>
    </row>
    <row r="4796" customFormat="false" ht="15" hidden="false" customHeight="true" outlineLevel="0" collapsed="false">
      <c r="A4796" s="10" t="n">
        <f aca="false">Einstellungen!$B$5+INT((ROW()-9)/24)</f>
        <v>46165</v>
      </c>
      <c r="B4796" s="11" t="n">
        <f aca="false">MOD(ROW()-9,24)</f>
        <v>11</v>
      </c>
      <c r="C4796" s="12"/>
      <c r="D4796" s="13" t="n">
        <f aca="false">IF(B4796&lt;5,Einstellungen!$B$3,Einstellungen!$B$4)</f>
        <v>29.13</v>
      </c>
      <c r="E4796" s="14" t="str">
        <f aca="false">IF(C4796="","",C4796*D4796/100)</f>
        <v/>
      </c>
      <c r="F4796" s="15" t="str">
        <f aca="false">IF(B4796&lt;5,"Go","Standard")</f>
        <v>Standard</v>
      </c>
    </row>
    <row r="4797" customFormat="false" ht="15" hidden="false" customHeight="true" outlineLevel="0" collapsed="false">
      <c r="A4797" s="10" t="n">
        <f aca="false">Einstellungen!$B$5+INT((ROW()-9)/24)</f>
        <v>46165</v>
      </c>
      <c r="B4797" s="11" t="n">
        <f aca="false">MOD(ROW()-9,24)</f>
        <v>12</v>
      </c>
      <c r="C4797" s="12"/>
      <c r="D4797" s="13" t="n">
        <f aca="false">IF(B4797&lt;5,Einstellungen!$B$3,Einstellungen!$B$4)</f>
        <v>29.13</v>
      </c>
      <c r="E4797" s="14" t="str">
        <f aca="false">IF(C4797="","",C4797*D4797/100)</f>
        <v/>
      </c>
      <c r="F4797" s="15" t="str">
        <f aca="false">IF(B4797&lt;5,"Go","Standard")</f>
        <v>Standard</v>
      </c>
    </row>
    <row r="4798" customFormat="false" ht="15" hidden="false" customHeight="true" outlineLevel="0" collapsed="false">
      <c r="A4798" s="10" t="n">
        <f aca="false">Einstellungen!$B$5+INT((ROW()-9)/24)</f>
        <v>46165</v>
      </c>
      <c r="B4798" s="11" t="n">
        <f aca="false">MOD(ROW()-9,24)</f>
        <v>13</v>
      </c>
      <c r="C4798" s="12"/>
      <c r="D4798" s="13" t="n">
        <f aca="false">IF(B4798&lt;5,Einstellungen!$B$3,Einstellungen!$B$4)</f>
        <v>29.13</v>
      </c>
      <c r="E4798" s="14" t="str">
        <f aca="false">IF(C4798="","",C4798*D4798/100)</f>
        <v/>
      </c>
      <c r="F4798" s="15" t="str">
        <f aca="false">IF(B4798&lt;5,"Go","Standard")</f>
        <v>Standard</v>
      </c>
    </row>
    <row r="4799" customFormat="false" ht="15" hidden="false" customHeight="true" outlineLevel="0" collapsed="false">
      <c r="A4799" s="10" t="n">
        <f aca="false">Einstellungen!$B$5+INT((ROW()-9)/24)</f>
        <v>46165</v>
      </c>
      <c r="B4799" s="11" t="n">
        <f aca="false">MOD(ROW()-9,24)</f>
        <v>14</v>
      </c>
      <c r="C4799" s="12"/>
      <c r="D4799" s="13" t="n">
        <f aca="false">IF(B4799&lt;5,Einstellungen!$B$3,Einstellungen!$B$4)</f>
        <v>29.13</v>
      </c>
      <c r="E4799" s="14" t="str">
        <f aca="false">IF(C4799="","",C4799*D4799/100)</f>
        <v/>
      </c>
      <c r="F4799" s="15" t="str">
        <f aca="false">IF(B4799&lt;5,"Go","Standard")</f>
        <v>Standard</v>
      </c>
    </row>
    <row r="4800" customFormat="false" ht="15" hidden="false" customHeight="true" outlineLevel="0" collapsed="false">
      <c r="A4800" s="10" t="n">
        <f aca="false">Einstellungen!$B$5+INT((ROW()-9)/24)</f>
        <v>46165</v>
      </c>
      <c r="B4800" s="11" t="n">
        <f aca="false">MOD(ROW()-9,24)</f>
        <v>15</v>
      </c>
      <c r="C4800" s="12"/>
      <c r="D4800" s="13" t="n">
        <f aca="false">IF(B4800&lt;5,Einstellungen!$B$3,Einstellungen!$B$4)</f>
        <v>29.13</v>
      </c>
      <c r="E4800" s="14" t="str">
        <f aca="false">IF(C4800="","",C4800*D4800/100)</f>
        <v/>
      </c>
      <c r="F4800" s="15" t="str">
        <f aca="false">IF(B4800&lt;5,"Go","Standard")</f>
        <v>Standard</v>
      </c>
    </row>
    <row r="4801" customFormat="false" ht="15" hidden="false" customHeight="true" outlineLevel="0" collapsed="false">
      <c r="A4801" s="10" t="n">
        <f aca="false">Einstellungen!$B$5+INT((ROW()-9)/24)</f>
        <v>46165</v>
      </c>
      <c r="B4801" s="11" t="n">
        <f aca="false">MOD(ROW()-9,24)</f>
        <v>16</v>
      </c>
      <c r="C4801" s="12"/>
      <c r="D4801" s="13" t="n">
        <f aca="false">IF(B4801&lt;5,Einstellungen!$B$3,Einstellungen!$B$4)</f>
        <v>29.13</v>
      </c>
      <c r="E4801" s="14" t="str">
        <f aca="false">IF(C4801="","",C4801*D4801/100)</f>
        <v/>
      </c>
      <c r="F4801" s="15" t="str">
        <f aca="false">IF(B4801&lt;5,"Go","Standard")</f>
        <v>Standard</v>
      </c>
    </row>
    <row r="4802" customFormat="false" ht="15" hidden="false" customHeight="true" outlineLevel="0" collapsed="false">
      <c r="A4802" s="10" t="n">
        <f aca="false">Einstellungen!$B$5+INT((ROW()-9)/24)</f>
        <v>46165</v>
      </c>
      <c r="B4802" s="11" t="n">
        <f aca="false">MOD(ROW()-9,24)</f>
        <v>17</v>
      </c>
      <c r="C4802" s="12"/>
      <c r="D4802" s="13" t="n">
        <f aca="false">IF(B4802&lt;5,Einstellungen!$B$3,Einstellungen!$B$4)</f>
        <v>29.13</v>
      </c>
      <c r="E4802" s="14" t="str">
        <f aca="false">IF(C4802="","",C4802*D4802/100)</f>
        <v/>
      </c>
      <c r="F4802" s="15" t="str">
        <f aca="false">IF(B4802&lt;5,"Go","Standard")</f>
        <v>Standard</v>
      </c>
    </row>
    <row r="4803" customFormat="false" ht="15" hidden="false" customHeight="true" outlineLevel="0" collapsed="false">
      <c r="A4803" s="10" t="n">
        <f aca="false">Einstellungen!$B$5+INT((ROW()-9)/24)</f>
        <v>46165</v>
      </c>
      <c r="B4803" s="11" t="n">
        <f aca="false">MOD(ROW()-9,24)</f>
        <v>18</v>
      </c>
      <c r="C4803" s="12"/>
      <c r="D4803" s="13" t="n">
        <f aca="false">IF(B4803&lt;5,Einstellungen!$B$3,Einstellungen!$B$4)</f>
        <v>29.13</v>
      </c>
      <c r="E4803" s="14" t="str">
        <f aca="false">IF(C4803="","",C4803*D4803/100)</f>
        <v/>
      </c>
      <c r="F4803" s="15" t="str">
        <f aca="false">IF(B4803&lt;5,"Go","Standard")</f>
        <v>Standard</v>
      </c>
    </row>
    <row r="4804" customFormat="false" ht="15" hidden="false" customHeight="true" outlineLevel="0" collapsed="false">
      <c r="A4804" s="10" t="n">
        <f aca="false">Einstellungen!$B$5+INT((ROW()-9)/24)</f>
        <v>46165</v>
      </c>
      <c r="B4804" s="11" t="n">
        <f aca="false">MOD(ROW()-9,24)</f>
        <v>19</v>
      </c>
      <c r="C4804" s="12"/>
      <c r="D4804" s="13" t="n">
        <f aca="false">IF(B4804&lt;5,Einstellungen!$B$3,Einstellungen!$B$4)</f>
        <v>29.13</v>
      </c>
      <c r="E4804" s="14" t="str">
        <f aca="false">IF(C4804="","",C4804*D4804/100)</f>
        <v/>
      </c>
      <c r="F4804" s="15" t="str">
        <f aca="false">IF(B4804&lt;5,"Go","Standard")</f>
        <v>Standard</v>
      </c>
    </row>
    <row r="4805" customFormat="false" ht="15" hidden="false" customHeight="true" outlineLevel="0" collapsed="false">
      <c r="A4805" s="10" t="n">
        <f aca="false">Einstellungen!$B$5+INT((ROW()-9)/24)</f>
        <v>46165</v>
      </c>
      <c r="B4805" s="11" t="n">
        <f aca="false">MOD(ROW()-9,24)</f>
        <v>20</v>
      </c>
      <c r="C4805" s="12"/>
      <c r="D4805" s="13" t="n">
        <f aca="false">IF(B4805&lt;5,Einstellungen!$B$3,Einstellungen!$B$4)</f>
        <v>29.13</v>
      </c>
      <c r="E4805" s="14" t="str">
        <f aca="false">IF(C4805="","",C4805*D4805/100)</f>
        <v/>
      </c>
      <c r="F4805" s="15" t="str">
        <f aca="false">IF(B4805&lt;5,"Go","Standard")</f>
        <v>Standard</v>
      </c>
    </row>
    <row r="4806" customFormat="false" ht="15" hidden="false" customHeight="true" outlineLevel="0" collapsed="false">
      <c r="A4806" s="10" t="n">
        <f aca="false">Einstellungen!$B$5+INT((ROW()-9)/24)</f>
        <v>46165</v>
      </c>
      <c r="B4806" s="11" t="n">
        <f aca="false">MOD(ROW()-9,24)</f>
        <v>21</v>
      </c>
      <c r="C4806" s="12"/>
      <c r="D4806" s="13" t="n">
        <f aca="false">IF(B4806&lt;5,Einstellungen!$B$3,Einstellungen!$B$4)</f>
        <v>29.13</v>
      </c>
      <c r="E4806" s="14" t="str">
        <f aca="false">IF(C4806="","",C4806*D4806/100)</f>
        <v/>
      </c>
      <c r="F4806" s="15" t="str">
        <f aca="false">IF(B4806&lt;5,"Go","Standard")</f>
        <v>Standard</v>
      </c>
    </row>
    <row r="4807" customFormat="false" ht="15" hidden="false" customHeight="true" outlineLevel="0" collapsed="false">
      <c r="A4807" s="10" t="n">
        <f aca="false">Einstellungen!$B$5+INT((ROW()-9)/24)</f>
        <v>46165</v>
      </c>
      <c r="B4807" s="11" t="n">
        <f aca="false">MOD(ROW()-9,24)</f>
        <v>22</v>
      </c>
      <c r="C4807" s="12"/>
      <c r="D4807" s="13" t="n">
        <f aca="false">IF(B4807&lt;5,Einstellungen!$B$3,Einstellungen!$B$4)</f>
        <v>29.13</v>
      </c>
      <c r="E4807" s="14" t="str">
        <f aca="false">IF(C4807="","",C4807*D4807/100)</f>
        <v/>
      </c>
      <c r="F4807" s="15" t="str">
        <f aca="false">IF(B4807&lt;5,"Go","Standard")</f>
        <v>Standard</v>
      </c>
    </row>
    <row r="4808" customFormat="false" ht="15" hidden="false" customHeight="true" outlineLevel="0" collapsed="false">
      <c r="A4808" s="10" t="n">
        <f aca="false">Einstellungen!$B$5+INT((ROW()-9)/24)</f>
        <v>46165</v>
      </c>
      <c r="B4808" s="11" t="n">
        <f aca="false">MOD(ROW()-9,24)</f>
        <v>23</v>
      </c>
      <c r="C4808" s="12"/>
      <c r="D4808" s="13" t="n">
        <f aca="false">IF(B4808&lt;5,Einstellungen!$B$3,Einstellungen!$B$4)</f>
        <v>29.13</v>
      </c>
      <c r="E4808" s="14" t="str">
        <f aca="false">IF(C4808="","",C4808*D4808/100)</f>
        <v/>
      </c>
      <c r="F4808" s="15" t="str">
        <f aca="false">IF(B4808&lt;5,"Go","Standard")</f>
        <v>Standard</v>
      </c>
    </row>
    <row r="4809" customFormat="false" ht="15" hidden="false" customHeight="true" outlineLevel="0" collapsed="false">
      <c r="A4809" s="10" t="n">
        <f aca="false">Einstellungen!$B$5+INT((ROW()-9)/24)</f>
        <v>46166</v>
      </c>
      <c r="B4809" s="11" t="n">
        <f aca="false">MOD(ROW()-9,24)</f>
        <v>0</v>
      </c>
      <c r="C4809" s="12"/>
      <c r="D4809" s="13" t="n">
        <f aca="false">IF(B4809&lt;5,Einstellungen!$B$3,Einstellungen!$B$4)</f>
        <v>15.92</v>
      </c>
      <c r="E4809" s="14" t="str">
        <f aca="false">IF(C4809="","",C4809*D4809/100)</f>
        <v/>
      </c>
      <c r="F4809" s="15" t="str">
        <f aca="false">IF(B4809&lt;5,"Go","Standard")</f>
        <v>Go</v>
      </c>
    </row>
    <row r="4810" customFormat="false" ht="15" hidden="false" customHeight="true" outlineLevel="0" collapsed="false">
      <c r="A4810" s="10" t="n">
        <f aca="false">Einstellungen!$B$5+INT((ROW()-9)/24)</f>
        <v>46166</v>
      </c>
      <c r="B4810" s="11" t="n">
        <f aca="false">MOD(ROW()-9,24)</f>
        <v>1</v>
      </c>
      <c r="C4810" s="12"/>
      <c r="D4810" s="13" t="n">
        <f aca="false">IF(B4810&lt;5,Einstellungen!$B$3,Einstellungen!$B$4)</f>
        <v>15.92</v>
      </c>
      <c r="E4810" s="14" t="str">
        <f aca="false">IF(C4810="","",C4810*D4810/100)</f>
        <v/>
      </c>
      <c r="F4810" s="15" t="str">
        <f aca="false">IF(B4810&lt;5,"Go","Standard")</f>
        <v>Go</v>
      </c>
    </row>
    <row r="4811" customFormat="false" ht="15" hidden="false" customHeight="true" outlineLevel="0" collapsed="false">
      <c r="A4811" s="10" t="n">
        <f aca="false">Einstellungen!$B$5+INT((ROW()-9)/24)</f>
        <v>46166</v>
      </c>
      <c r="B4811" s="11" t="n">
        <f aca="false">MOD(ROW()-9,24)</f>
        <v>2</v>
      </c>
      <c r="C4811" s="12"/>
      <c r="D4811" s="13" t="n">
        <f aca="false">IF(B4811&lt;5,Einstellungen!$B$3,Einstellungen!$B$4)</f>
        <v>15.92</v>
      </c>
      <c r="E4811" s="14" t="str">
        <f aca="false">IF(C4811="","",C4811*D4811/100)</f>
        <v/>
      </c>
      <c r="F4811" s="15" t="str">
        <f aca="false">IF(B4811&lt;5,"Go","Standard")</f>
        <v>Go</v>
      </c>
    </row>
    <row r="4812" customFormat="false" ht="15" hidden="false" customHeight="true" outlineLevel="0" collapsed="false">
      <c r="A4812" s="10" t="n">
        <f aca="false">Einstellungen!$B$5+INT((ROW()-9)/24)</f>
        <v>46166</v>
      </c>
      <c r="B4812" s="11" t="n">
        <f aca="false">MOD(ROW()-9,24)</f>
        <v>3</v>
      </c>
      <c r="C4812" s="12"/>
      <c r="D4812" s="13" t="n">
        <f aca="false">IF(B4812&lt;5,Einstellungen!$B$3,Einstellungen!$B$4)</f>
        <v>15.92</v>
      </c>
      <c r="E4812" s="14" t="str">
        <f aca="false">IF(C4812="","",C4812*D4812/100)</f>
        <v/>
      </c>
      <c r="F4812" s="15" t="str">
        <f aca="false">IF(B4812&lt;5,"Go","Standard")</f>
        <v>Go</v>
      </c>
    </row>
    <row r="4813" customFormat="false" ht="15" hidden="false" customHeight="true" outlineLevel="0" collapsed="false">
      <c r="A4813" s="10" t="n">
        <f aca="false">Einstellungen!$B$5+INT((ROW()-9)/24)</f>
        <v>46166</v>
      </c>
      <c r="B4813" s="11" t="n">
        <f aca="false">MOD(ROW()-9,24)</f>
        <v>4</v>
      </c>
      <c r="C4813" s="12"/>
      <c r="D4813" s="13" t="n">
        <f aca="false">IF(B4813&lt;5,Einstellungen!$B$3,Einstellungen!$B$4)</f>
        <v>15.92</v>
      </c>
      <c r="E4813" s="14" t="str">
        <f aca="false">IF(C4813="","",C4813*D4813/100)</f>
        <v/>
      </c>
      <c r="F4813" s="15" t="str">
        <f aca="false">IF(B4813&lt;5,"Go","Standard")</f>
        <v>Go</v>
      </c>
    </row>
    <row r="4814" customFormat="false" ht="15" hidden="false" customHeight="true" outlineLevel="0" collapsed="false">
      <c r="A4814" s="10" t="n">
        <f aca="false">Einstellungen!$B$5+INT((ROW()-9)/24)</f>
        <v>46166</v>
      </c>
      <c r="B4814" s="11" t="n">
        <f aca="false">MOD(ROW()-9,24)</f>
        <v>5</v>
      </c>
      <c r="C4814" s="12"/>
      <c r="D4814" s="13" t="n">
        <f aca="false">IF(B4814&lt;5,Einstellungen!$B$3,Einstellungen!$B$4)</f>
        <v>29.13</v>
      </c>
      <c r="E4814" s="14" t="str">
        <f aca="false">IF(C4814="","",C4814*D4814/100)</f>
        <v/>
      </c>
      <c r="F4814" s="15" t="str">
        <f aca="false">IF(B4814&lt;5,"Go","Standard")</f>
        <v>Standard</v>
      </c>
    </row>
    <row r="4815" customFormat="false" ht="15" hidden="false" customHeight="true" outlineLevel="0" collapsed="false">
      <c r="A4815" s="10" t="n">
        <f aca="false">Einstellungen!$B$5+INT((ROW()-9)/24)</f>
        <v>46166</v>
      </c>
      <c r="B4815" s="11" t="n">
        <f aca="false">MOD(ROW()-9,24)</f>
        <v>6</v>
      </c>
      <c r="C4815" s="12"/>
      <c r="D4815" s="13" t="n">
        <f aca="false">IF(B4815&lt;5,Einstellungen!$B$3,Einstellungen!$B$4)</f>
        <v>29.13</v>
      </c>
      <c r="E4815" s="14" t="str">
        <f aca="false">IF(C4815="","",C4815*D4815/100)</f>
        <v/>
      </c>
      <c r="F4815" s="15" t="str">
        <f aca="false">IF(B4815&lt;5,"Go","Standard")</f>
        <v>Standard</v>
      </c>
    </row>
    <row r="4816" customFormat="false" ht="15" hidden="false" customHeight="true" outlineLevel="0" collapsed="false">
      <c r="A4816" s="10" t="n">
        <f aca="false">Einstellungen!$B$5+INT((ROW()-9)/24)</f>
        <v>46166</v>
      </c>
      <c r="B4816" s="11" t="n">
        <f aca="false">MOD(ROW()-9,24)</f>
        <v>7</v>
      </c>
      <c r="C4816" s="12"/>
      <c r="D4816" s="13" t="n">
        <f aca="false">IF(B4816&lt;5,Einstellungen!$B$3,Einstellungen!$B$4)</f>
        <v>29.13</v>
      </c>
      <c r="E4816" s="14" t="str">
        <f aca="false">IF(C4816="","",C4816*D4816/100)</f>
        <v/>
      </c>
      <c r="F4816" s="15" t="str">
        <f aca="false">IF(B4816&lt;5,"Go","Standard")</f>
        <v>Standard</v>
      </c>
    </row>
    <row r="4817" customFormat="false" ht="15" hidden="false" customHeight="true" outlineLevel="0" collapsed="false">
      <c r="A4817" s="10" t="n">
        <f aca="false">Einstellungen!$B$5+INT((ROW()-9)/24)</f>
        <v>46166</v>
      </c>
      <c r="B4817" s="11" t="n">
        <f aca="false">MOD(ROW()-9,24)</f>
        <v>8</v>
      </c>
      <c r="C4817" s="12"/>
      <c r="D4817" s="13" t="n">
        <f aca="false">IF(B4817&lt;5,Einstellungen!$B$3,Einstellungen!$B$4)</f>
        <v>29.13</v>
      </c>
      <c r="E4817" s="14" t="str">
        <f aca="false">IF(C4817="","",C4817*D4817/100)</f>
        <v/>
      </c>
      <c r="F4817" s="15" t="str">
        <f aca="false">IF(B4817&lt;5,"Go","Standard")</f>
        <v>Standard</v>
      </c>
    </row>
    <row r="4818" customFormat="false" ht="15" hidden="false" customHeight="true" outlineLevel="0" collapsed="false">
      <c r="A4818" s="10" t="n">
        <f aca="false">Einstellungen!$B$5+INT((ROW()-9)/24)</f>
        <v>46166</v>
      </c>
      <c r="B4818" s="11" t="n">
        <f aca="false">MOD(ROW()-9,24)</f>
        <v>9</v>
      </c>
      <c r="C4818" s="12"/>
      <c r="D4818" s="13" t="n">
        <f aca="false">IF(B4818&lt;5,Einstellungen!$B$3,Einstellungen!$B$4)</f>
        <v>29.13</v>
      </c>
      <c r="E4818" s="14" t="str">
        <f aca="false">IF(C4818="","",C4818*D4818/100)</f>
        <v/>
      </c>
      <c r="F4818" s="15" t="str">
        <f aca="false">IF(B4818&lt;5,"Go","Standard")</f>
        <v>Standard</v>
      </c>
    </row>
    <row r="4819" customFormat="false" ht="15" hidden="false" customHeight="true" outlineLevel="0" collapsed="false">
      <c r="A4819" s="10" t="n">
        <f aca="false">Einstellungen!$B$5+INT((ROW()-9)/24)</f>
        <v>46166</v>
      </c>
      <c r="B4819" s="11" t="n">
        <f aca="false">MOD(ROW()-9,24)</f>
        <v>10</v>
      </c>
      <c r="C4819" s="12"/>
      <c r="D4819" s="13" t="n">
        <f aca="false">IF(B4819&lt;5,Einstellungen!$B$3,Einstellungen!$B$4)</f>
        <v>29.13</v>
      </c>
      <c r="E4819" s="14" t="str">
        <f aca="false">IF(C4819="","",C4819*D4819/100)</f>
        <v/>
      </c>
      <c r="F4819" s="15" t="str">
        <f aca="false">IF(B4819&lt;5,"Go","Standard")</f>
        <v>Standard</v>
      </c>
    </row>
    <row r="4820" customFormat="false" ht="15" hidden="false" customHeight="true" outlineLevel="0" collapsed="false">
      <c r="A4820" s="10" t="n">
        <f aca="false">Einstellungen!$B$5+INT((ROW()-9)/24)</f>
        <v>46166</v>
      </c>
      <c r="B4820" s="11" t="n">
        <f aca="false">MOD(ROW()-9,24)</f>
        <v>11</v>
      </c>
      <c r="C4820" s="12"/>
      <c r="D4820" s="13" t="n">
        <f aca="false">IF(B4820&lt;5,Einstellungen!$B$3,Einstellungen!$B$4)</f>
        <v>29.13</v>
      </c>
      <c r="E4820" s="14" t="str">
        <f aca="false">IF(C4820="","",C4820*D4820/100)</f>
        <v/>
      </c>
      <c r="F4820" s="15" t="str">
        <f aca="false">IF(B4820&lt;5,"Go","Standard")</f>
        <v>Standard</v>
      </c>
    </row>
    <row r="4821" customFormat="false" ht="15" hidden="false" customHeight="true" outlineLevel="0" collapsed="false">
      <c r="A4821" s="10" t="n">
        <f aca="false">Einstellungen!$B$5+INT((ROW()-9)/24)</f>
        <v>46166</v>
      </c>
      <c r="B4821" s="11" t="n">
        <f aca="false">MOD(ROW()-9,24)</f>
        <v>12</v>
      </c>
      <c r="C4821" s="12"/>
      <c r="D4821" s="13" t="n">
        <f aca="false">IF(B4821&lt;5,Einstellungen!$B$3,Einstellungen!$B$4)</f>
        <v>29.13</v>
      </c>
      <c r="E4821" s="14" t="str">
        <f aca="false">IF(C4821="","",C4821*D4821/100)</f>
        <v/>
      </c>
      <c r="F4821" s="15" t="str">
        <f aca="false">IF(B4821&lt;5,"Go","Standard")</f>
        <v>Standard</v>
      </c>
    </row>
    <row r="4822" customFormat="false" ht="15" hidden="false" customHeight="true" outlineLevel="0" collapsed="false">
      <c r="A4822" s="10" t="n">
        <f aca="false">Einstellungen!$B$5+INT((ROW()-9)/24)</f>
        <v>46166</v>
      </c>
      <c r="B4822" s="11" t="n">
        <f aca="false">MOD(ROW()-9,24)</f>
        <v>13</v>
      </c>
      <c r="C4822" s="12"/>
      <c r="D4822" s="13" t="n">
        <f aca="false">IF(B4822&lt;5,Einstellungen!$B$3,Einstellungen!$B$4)</f>
        <v>29.13</v>
      </c>
      <c r="E4822" s="14" t="str">
        <f aca="false">IF(C4822="","",C4822*D4822/100)</f>
        <v/>
      </c>
      <c r="F4822" s="15" t="str">
        <f aca="false">IF(B4822&lt;5,"Go","Standard")</f>
        <v>Standard</v>
      </c>
    </row>
    <row r="4823" customFormat="false" ht="15" hidden="false" customHeight="true" outlineLevel="0" collapsed="false">
      <c r="A4823" s="10" t="n">
        <f aca="false">Einstellungen!$B$5+INT((ROW()-9)/24)</f>
        <v>46166</v>
      </c>
      <c r="B4823" s="11" t="n">
        <f aca="false">MOD(ROW()-9,24)</f>
        <v>14</v>
      </c>
      <c r="C4823" s="12"/>
      <c r="D4823" s="13" t="n">
        <f aca="false">IF(B4823&lt;5,Einstellungen!$B$3,Einstellungen!$B$4)</f>
        <v>29.13</v>
      </c>
      <c r="E4823" s="14" t="str">
        <f aca="false">IF(C4823="","",C4823*D4823/100)</f>
        <v/>
      </c>
      <c r="F4823" s="15" t="str">
        <f aca="false">IF(B4823&lt;5,"Go","Standard")</f>
        <v>Standard</v>
      </c>
    </row>
    <row r="4824" customFormat="false" ht="15" hidden="false" customHeight="true" outlineLevel="0" collapsed="false">
      <c r="A4824" s="10" t="n">
        <f aca="false">Einstellungen!$B$5+INT((ROW()-9)/24)</f>
        <v>46166</v>
      </c>
      <c r="B4824" s="11" t="n">
        <f aca="false">MOD(ROW()-9,24)</f>
        <v>15</v>
      </c>
      <c r="C4824" s="12"/>
      <c r="D4824" s="13" t="n">
        <f aca="false">IF(B4824&lt;5,Einstellungen!$B$3,Einstellungen!$B$4)</f>
        <v>29.13</v>
      </c>
      <c r="E4824" s="14" t="str">
        <f aca="false">IF(C4824="","",C4824*D4824/100)</f>
        <v/>
      </c>
      <c r="F4824" s="15" t="str">
        <f aca="false">IF(B4824&lt;5,"Go","Standard")</f>
        <v>Standard</v>
      </c>
    </row>
    <row r="4825" customFormat="false" ht="15" hidden="false" customHeight="true" outlineLevel="0" collapsed="false">
      <c r="A4825" s="10" t="n">
        <f aca="false">Einstellungen!$B$5+INT((ROW()-9)/24)</f>
        <v>46166</v>
      </c>
      <c r="B4825" s="11" t="n">
        <f aca="false">MOD(ROW()-9,24)</f>
        <v>16</v>
      </c>
      <c r="C4825" s="12"/>
      <c r="D4825" s="13" t="n">
        <f aca="false">IF(B4825&lt;5,Einstellungen!$B$3,Einstellungen!$B$4)</f>
        <v>29.13</v>
      </c>
      <c r="E4825" s="14" t="str">
        <f aca="false">IF(C4825="","",C4825*D4825/100)</f>
        <v/>
      </c>
      <c r="F4825" s="15" t="str">
        <f aca="false">IF(B4825&lt;5,"Go","Standard")</f>
        <v>Standard</v>
      </c>
    </row>
    <row r="4826" customFormat="false" ht="15" hidden="false" customHeight="true" outlineLevel="0" collapsed="false">
      <c r="A4826" s="10" t="n">
        <f aca="false">Einstellungen!$B$5+INT((ROW()-9)/24)</f>
        <v>46166</v>
      </c>
      <c r="B4826" s="11" t="n">
        <f aca="false">MOD(ROW()-9,24)</f>
        <v>17</v>
      </c>
      <c r="C4826" s="12"/>
      <c r="D4826" s="13" t="n">
        <f aca="false">IF(B4826&lt;5,Einstellungen!$B$3,Einstellungen!$B$4)</f>
        <v>29.13</v>
      </c>
      <c r="E4826" s="14" t="str">
        <f aca="false">IF(C4826="","",C4826*D4826/100)</f>
        <v/>
      </c>
      <c r="F4826" s="15" t="str">
        <f aca="false">IF(B4826&lt;5,"Go","Standard")</f>
        <v>Standard</v>
      </c>
    </row>
    <row r="4827" customFormat="false" ht="15" hidden="false" customHeight="true" outlineLevel="0" collapsed="false">
      <c r="A4827" s="10" t="n">
        <f aca="false">Einstellungen!$B$5+INT((ROW()-9)/24)</f>
        <v>46166</v>
      </c>
      <c r="B4827" s="11" t="n">
        <f aca="false">MOD(ROW()-9,24)</f>
        <v>18</v>
      </c>
      <c r="C4827" s="12"/>
      <c r="D4827" s="13" t="n">
        <f aca="false">IF(B4827&lt;5,Einstellungen!$B$3,Einstellungen!$B$4)</f>
        <v>29.13</v>
      </c>
      <c r="E4827" s="14" t="str">
        <f aca="false">IF(C4827="","",C4827*D4827/100)</f>
        <v/>
      </c>
      <c r="F4827" s="15" t="str">
        <f aca="false">IF(B4827&lt;5,"Go","Standard")</f>
        <v>Standard</v>
      </c>
    </row>
    <row r="4828" customFormat="false" ht="15" hidden="false" customHeight="true" outlineLevel="0" collapsed="false">
      <c r="A4828" s="10" t="n">
        <f aca="false">Einstellungen!$B$5+INT((ROW()-9)/24)</f>
        <v>46166</v>
      </c>
      <c r="B4828" s="11" t="n">
        <f aca="false">MOD(ROW()-9,24)</f>
        <v>19</v>
      </c>
      <c r="C4828" s="12"/>
      <c r="D4828" s="13" t="n">
        <f aca="false">IF(B4828&lt;5,Einstellungen!$B$3,Einstellungen!$B$4)</f>
        <v>29.13</v>
      </c>
      <c r="E4828" s="14" t="str">
        <f aca="false">IF(C4828="","",C4828*D4828/100)</f>
        <v/>
      </c>
      <c r="F4828" s="15" t="str">
        <f aca="false">IF(B4828&lt;5,"Go","Standard")</f>
        <v>Standard</v>
      </c>
    </row>
    <row r="4829" customFormat="false" ht="15" hidden="false" customHeight="true" outlineLevel="0" collapsed="false">
      <c r="A4829" s="10" t="n">
        <f aca="false">Einstellungen!$B$5+INT((ROW()-9)/24)</f>
        <v>46166</v>
      </c>
      <c r="B4829" s="11" t="n">
        <f aca="false">MOD(ROW()-9,24)</f>
        <v>20</v>
      </c>
      <c r="C4829" s="12"/>
      <c r="D4829" s="13" t="n">
        <f aca="false">IF(B4829&lt;5,Einstellungen!$B$3,Einstellungen!$B$4)</f>
        <v>29.13</v>
      </c>
      <c r="E4829" s="14" t="str">
        <f aca="false">IF(C4829="","",C4829*D4829/100)</f>
        <v/>
      </c>
      <c r="F4829" s="15" t="str">
        <f aca="false">IF(B4829&lt;5,"Go","Standard")</f>
        <v>Standard</v>
      </c>
    </row>
    <row r="4830" customFormat="false" ht="15" hidden="false" customHeight="true" outlineLevel="0" collapsed="false">
      <c r="A4830" s="10" t="n">
        <f aca="false">Einstellungen!$B$5+INT((ROW()-9)/24)</f>
        <v>46166</v>
      </c>
      <c r="B4830" s="11" t="n">
        <f aca="false">MOD(ROW()-9,24)</f>
        <v>21</v>
      </c>
      <c r="C4830" s="12"/>
      <c r="D4830" s="13" t="n">
        <f aca="false">IF(B4830&lt;5,Einstellungen!$B$3,Einstellungen!$B$4)</f>
        <v>29.13</v>
      </c>
      <c r="E4830" s="14" t="str">
        <f aca="false">IF(C4830="","",C4830*D4830/100)</f>
        <v/>
      </c>
      <c r="F4830" s="15" t="str">
        <f aca="false">IF(B4830&lt;5,"Go","Standard")</f>
        <v>Standard</v>
      </c>
    </row>
    <row r="4831" customFormat="false" ht="15" hidden="false" customHeight="true" outlineLevel="0" collapsed="false">
      <c r="A4831" s="10" t="n">
        <f aca="false">Einstellungen!$B$5+INT((ROW()-9)/24)</f>
        <v>46166</v>
      </c>
      <c r="B4831" s="11" t="n">
        <f aca="false">MOD(ROW()-9,24)</f>
        <v>22</v>
      </c>
      <c r="C4831" s="12"/>
      <c r="D4831" s="13" t="n">
        <f aca="false">IF(B4831&lt;5,Einstellungen!$B$3,Einstellungen!$B$4)</f>
        <v>29.13</v>
      </c>
      <c r="E4831" s="14" t="str">
        <f aca="false">IF(C4831="","",C4831*D4831/100)</f>
        <v/>
      </c>
      <c r="F4831" s="15" t="str">
        <f aca="false">IF(B4831&lt;5,"Go","Standard")</f>
        <v>Standard</v>
      </c>
    </row>
    <row r="4832" customFormat="false" ht="15" hidden="false" customHeight="true" outlineLevel="0" collapsed="false">
      <c r="A4832" s="10" t="n">
        <f aca="false">Einstellungen!$B$5+INT((ROW()-9)/24)</f>
        <v>46166</v>
      </c>
      <c r="B4832" s="11" t="n">
        <f aca="false">MOD(ROW()-9,24)</f>
        <v>23</v>
      </c>
      <c r="C4832" s="12"/>
      <c r="D4832" s="13" t="n">
        <f aca="false">IF(B4832&lt;5,Einstellungen!$B$3,Einstellungen!$B$4)</f>
        <v>29.13</v>
      </c>
      <c r="E4832" s="14" t="str">
        <f aca="false">IF(C4832="","",C4832*D4832/100)</f>
        <v/>
      </c>
      <c r="F4832" s="15" t="str">
        <f aca="false">IF(B4832&lt;5,"Go","Standard")</f>
        <v>Standard</v>
      </c>
    </row>
    <row r="4833" customFormat="false" ht="15" hidden="false" customHeight="true" outlineLevel="0" collapsed="false">
      <c r="A4833" s="10" t="n">
        <f aca="false">Einstellungen!$B$5+INT((ROW()-9)/24)</f>
        <v>46167</v>
      </c>
      <c r="B4833" s="11" t="n">
        <f aca="false">MOD(ROW()-9,24)</f>
        <v>0</v>
      </c>
      <c r="C4833" s="12"/>
      <c r="D4833" s="13" t="n">
        <f aca="false">IF(B4833&lt;5,Einstellungen!$B$3,Einstellungen!$B$4)</f>
        <v>15.92</v>
      </c>
      <c r="E4833" s="14" t="str">
        <f aca="false">IF(C4833="","",C4833*D4833/100)</f>
        <v/>
      </c>
      <c r="F4833" s="15" t="str">
        <f aca="false">IF(B4833&lt;5,"Go","Standard")</f>
        <v>Go</v>
      </c>
    </row>
    <row r="4834" customFormat="false" ht="15" hidden="false" customHeight="true" outlineLevel="0" collapsed="false">
      <c r="A4834" s="10" t="n">
        <f aca="false">Einstellungen!$B$5+INT((ROW()-9)/24)</f>
        <v>46167</v>
      </c>
      <c r="B4834" s="11" t="n">
        <f aca="false">MOD(ROW()-9,24)</f>
        <v>1</v>
      </c>
      <c r="C4834" s="12"/>
      <c r="D4834" s="13" t="n">
        <f aca="false">IF(B4834&lt;5,Einstellungen!$B$3,Einstellungen!$B$4)</f>
        <v>15.92</v>
      </c>
      <c r="E4834" s="14" t="str">
        <f aca="false">IF(C4834="","",C4834*D4834/100)</f>
        <v/>
      </c>
      <c r="F4834" s="15" t="str">
        <f aca="false">IF(B4834&lt;5,"Go","Standard")</f>
        <v>Go</v>
      </c>
    </row>
    <row r="4835" customFormat="false" ht="15" hidden="false" customHeight="true" outlineLevel="0" collapsed="false">
      <c r="A4835" s="10" t="n">
        <f aca="false">Einstellungen!$B$5+INT((ROW()-9)/24)</f>
        <v>46167</v>
      </c>
      <c r="B4835" s="11" t="n">
        <f aca="false">MOD(ROW()-9,24)</f>
        <v>2</v>
      </c>
      <c r="C4835" s="12"/>
      <c r="D4835" s="13" t="n">
        <f aca="false">IF(B4835&lt;5,Einstellungen!$B$3,Einstellungen!$B$4)</f>
        <v>15.92</v>
      </c>
      <c r="E4835" s="14" t="str">
        <f aca="false">IF(C4835="","",C4835*D4835/100)</f>
        <v/>
      </c>
      <c r="F4835" s="15" t="str">
        <f aca="false">IF(B4835&lt;5,"Go","Standard")</f>
        <v>Go</v>
      </c>
    </row>
    <row r="4836" customFormat="false" ht="15" hidden="false" customHeight="true" outlineLevel="0" collapsed="false">
      <c r="A4836" s="10" t="n">
        <f aca="false">Einstellungen!$B$5+INT((ROW()-9)/24)</f>
        <v>46167</v>
      </c>
      <c r="B4836" s="11" t="n">
        <f aca="false">MOD(ROW()-9,24)</f>
        <v>3</v>
      </c>
      <c r="C4836" s="12"/>
      <c r="D4836" s="13" t="n">
        <f aca="false">IF(B4836&lt;5,Einstellungen!$B$3,Einstellungen!$B$4)</f>
        <v>15.92</v>
      </c>
      <c r="E4836" s="14" t="str">
        <f aca="false">IF(C4836="","",C4836*D4836/100)</f>
        <v/>
      </c>
      <c r="F4836" s="15" t="str">
        <f aca="false">IF(B4836&lt;5,"Go","Standard")</f>
        <v>Go</v>
      </c>
    </row>
    <row r="4837" customFormat="false" ht="15" hidden="false" customHeight="true" outlineLevel="0" collapsed="false">
      <c r="A4837" s="10" t="n">
        <f aca="false">Einstellungen!$B$5+INT((ROW()-9)/24)</f>
        <v>46167</v>
      </c>
      <c r="B4837" s="11" t="n">
        <f aca="false">MOD(ROW()-9,24)</f>
        <v>4</v>
      </c>
      <c r="C4837" s="12"/>
      <c r="D4837" s="13" t="n">
        <f aca="false">IF(B4837&lt;5,Einstellungen!$B$3,Einstellungen!$B$4)</f>
        <v>15.92</v>
      </c>
      <c r="E4837" s="14" t="str">
        <f aca="false">IF(C4837="","",C4837*D4837/100)</f>
        <v/>
      </c>
      <c r="F4837" s="15" t="str">
        <f aca="false">IF(B4837&lt;5,"Go","Standard")</f>
        <v>Go</v>
      </c>
    </row>
    <row r="4838" customFormat="false" ht="15" hidden="false" customHeight="true" outlineLevel="0" collapsed="false">
      <c r="A4838" s="10" t="n">
        <f aca="false">Einstellungen!$B$5+INT((ROW()-9)/24)</f>
        <v>46167</v>
      </c>
      <c r="B4838" s="11" t="n">
        <f aca="false">MOD(ROW()-9,24)</f>
        <v>5</v>
      </c>
      <c r="C4838" s="12"/>
      <c r="D4838" s="13" t="n">
        <f aca="false">IF(B4838&lt;5,Einstellungen!$B$3,Einstellungen!$B$4)</f>
        <v>29.13</v>
      </c>
      <c r="E4838" s="14" t="str">
        <f aca="false">IF(C4838="","",C4838*D4838/100)</f>
        <v/>
      </c>
      <c r="F4838" s="15" t="str">
        <f aca="false">IF(B4838&lt;5,"Go","Standard")</f>
        <v>Standard</v>
      </c>
    </row>
    <row r="4839" customFormat="false" ht="15" hidden="false" customHeight="true" outlineLevel="0" collapsed="false">
      <c r="A4839" s="10" t="n">
        <f aca="false">Einstellungen!$B$5+INT((ROW()-9)/24)</f>
        <v>46167</v>
      </c>
      <c r="B4839" s="11" t="n">
        <f aca="false">MOD(ROW()-9,24)</f>
        <v>6</v>
      </c>
      <c r="C4839" s="12"/>
      <c r="D4839" s="13" t="n">
        <f aca="false">IF(B4839&lt;5,Einstellungen!$B$3,Einstellungen!$B$4)</f>
        <v>29.13</v>
      </c>
      <c r="E4839" s="14" t="str">
        <f aca="false">IF(C4839="","",C4839*D4839/100)</f>
        <v/>
      </c>
      <c r="F4839" s="15" t="str">
        <f aca="false">IF(B4839&lt;5,"Go","Standard")</f>
        <v>Standard</v>
      </c>
    </row>
    <row r="4840" customFormat="false" ht="15" hidden="false" customHeight="true" outlineLevel="0" collapsed="false">
      <c r="A4840" s="10" t="n">
        <f aca="false">Einstellungen!$B$5+INT((ROW()-9)/24)</f>
        <v>46167</v>
      </c>
      <c r="B4840" s="11" t="n">
        <f aca="false">MOD(ROW()-9,24)</f>
        <v>7</v>
      </c>
      <c r="C4840" s="12"/>
      <c r="D4840" s="13" t="n">
        <f aca="false">IF(B4840&lt;5,Einstellungen!$B$3,Einstellungen!$B$4)</f>
        <v>29.13</v>
      </c>
      <c r="E4840" s="14" t="str">
        <f aca="false">IF(C4840="","",C4840*D4840/100)</f>
        <v/>
      </c>
      <c r="F4840" s="15" t="str">
        <f aca="false">IF(B4840&lt;5,"Go","Standard")</f>
        <v>Standard</v>
      </c>
    </row>
    <row r="4841" customFormat="false" ht="15" hidden="false" customHeight="true" outlineLevel="0" collapsed="false">
      <c r="A4841" s="10" t="n">
        <f aca="false">Einstellungen!$B$5+INT((ROW()-9)/24)</f>
        <v>46167</v>
      </c>
      <c r="B4841" s="11" t="n">
        <f aca="false">MOD(ROW()-9,24)</f>
        <v>8</v>
      </c>
      <c r="C4841" s="12"/>
      <c r="D4841" s="13" t="n">
        <f aca="false">IF(B4841&lt;5,Einstellungen!$B$3,Einstellungen!$B$4)</f>
        <v>29.13</v>
      </c>
      <c r="E4841" s="14" t="str">
        <f aca="false">IF(C4841="","",C4841*D4841/100)</f>
        <v/>
      </c>
      <c r="F4841" s="15" t="str">
        <f aca="false">IF(B4841&lt;5,"Go","Standard")</f>
        <v>Standard</v>
      </c>
    </row>
    <row r="4842" customFormat="false" ht="15" hidden="false" customHeight="true" outlineLevel="0" collapsed="false">
      <c r="A4842" s="10" t="n">
        <f aca="false">Einstellungen!$B$5+INT((ROW()-9)/24)</f>
        <v>46167</v>
      </c>
      <c r="B4842" s="11" t="n">
        <f aca="false">MOD(ROW()-9,24)</f>
        <v>9</v>
      </c>
      <c r="C4842" s="12"/>
      <c r="D4842" s="13" t="n">
        <f aca="false">IF(B4842&lt;5,Einstellungen!$B$3,Einstellungen!$B$4)</f>
        <v>29.13</v>
      </c>
      <c r="E4842" s="14" t="str">
        <f aca="false">IF(C4842="","",C4842*D4842/100)</f>
        <v/>
      </c>
      <c r="F4842" s="15" t="str">
        <f aca="false">IF(B4842&lt;5,"Go","Standard")</f>
        <v>Standard</v>
      </c>
    </row>
    <row r="4843" customFormat="false" ht="15" hidden="false" customHeight="true" outlineLevel="0" collapsed="false">
      <c r="A4843" s="10" t="n">
        <f aca="false">Einstellungen!$B$5+INT((ROW()-9)/24)</f>
        <v>46167</v>
      </c>
      <c r="B4843" s="11" t="n">
        <f aca="false">MOD(ROW()-9,24)</f>
        <v>10</v>
      </c>
      <c r="C4843" s="12"/>
      <c r="D4843" s="13" t="n">
        <f aca="false">IF(B4843&lt;5,Einstellungen!$B$3,Einstellungen!$B$4)</f>
        <v>29.13</v>
      </c>
      <c r="E4843" s="14" t="str">
        <f aca="false">IF(C4843="","",C4843*D4843/100)</f>
        <v/>
      </c>
      <c r="F4843" s="15" t="str">
        <f aca="false">IF(B4843&lt;5,"Go","Standard")</f>
        <v>Standard</v>
      </c>
    </row>
    <row r="4844" customFormat="false" ht="15" hidden="false" customHeight="true" outlineLevel="0" collapsed="false">
      <c r="A4844" s="10" t="n">
        <f aca="false">Einstellungen!$B$5+INT((ROW()-9)/24)</f>
        <v>46167</v>
      </c>
      <c r="B4844" s="11" t="n">
        <f aca="false">MOD(ROW()-9,24)</f>
        <v>11</v>
      </c>
      <c r="C4844" s="12"/>
      <c r="D4844" s="13" t="n">
        <f aca="false">IF(B4844&lt;5,Einstellungen!$B$3,Einstellungen!$B$4)</f>
        <v>29.13</v>
      </c>
      <c r="E4844" s="14" t="str">
        <f aca="false">IF(C4844="","",C4844*D4844/100)</f>
        <v/>
      </c>
      <c r="F4844" s="15" t="str">
        <f aca="false">IF(B4844&lt;5,"Go","Standard")</f>
        <v>Standard</v>
      </c>
    </row>
    <row r="4845" customFormat="false" ht="15" hidden="false" customHeight="true" outlineLevel="0" collapsed="false">
      <c r="A4845" s="10" t="n">
        <f aca="false">Einstellungen!$B$5+INT((ROW()-9)/24)</f>
        <v>46167</v>
      </c>
      <c r="B4845" s="11" t="n">
        <f aca="false">MOD(ROW()-9,24)</f>
        <v>12</v>
      </c>
      <c r="C4845" s="12"/>
      <c r="D4845" s="13" t="n">
        <f aca="false">IF(B4845&lt;5,Einstellungen!$B$3,Einstellungen!$B$4)</f>
        <v>29.13</v>
      </c>
      <c r="E4845" s="14" t="str">
        <f aca="false">IF(C4845="","",C4845*D4845/100)</f>
        <v/>
      </c>
      <c r="F4845" s="15" t="str">
        <f aca="false">IF(B4845&lt;5,"Go","Standard")</f>
        <v>Standard</v>
      </c>
    </row>
    <row r="4846" customFormat="false" ht="15" hidden="false" customHeight="true" outlineLevel="0" collapsed="false">
      <c r="A4846" s="10" t="n">
        <f aca="false">Einstellungen!$B$5+INT((ROW()-9)/24)</f>
        <v>46167</v>
      </c>
      <c r="B4846" s="11" t="n">
        <f aca="false">MOD(ROW()-9,24)</f>
        <v>13</v>
      </c>
      <c r="C4846" s="12"/>
      <c r="D4846" s="13" t="n">
        <f aca="false">IF(B4846&lt;5,Einstellungen!$B$3,Einstellungen!$B$4)</f>
        <v>29.13</v>
      </c>
      <c r="E4846" s="14" t="str">
        <f aca="false">IF(C4846="","",C4846*D4846/100)</f>
        <v/>
      </c>
      <c r="F4846" s="15" t="str">
        <f aca="false">IF(B4846&lt;5,"Go","Standard")</f>
        <v>Standard</v>
      </c>
    </row>
    <row r="4847" customFormat="false" ht="15" hidden="false" customHeight="true" outlineLevel="0" collapsed="false">
      <c r="A4847" s="10" t="n">
        <f aca="false">Einstellungen!$B$5+INT((ROW()-9)/24)</f>
        <v>46167</v>
      </c>
      <c r="B4847" s="11" t="n">
        <f aca="false">MOD(ROW()-9,24)</f>
        <v>14</v>
      </c>
      <c r="C4847" s="12"/>
      <c r="D4847" s="13" t="n">
        <f aca="false">IF(B4847&lt;5,Einstellungen!$B$3,Einstellungen!$B$4)</f>
        <v>29.13</v>
      </c>
      <c r="E4847" s="14" t="str">
        <f aca="false">IF(C4847="","",C4847*D4847/100)</f>
        <v/>
      </c>
      <c r="F4847" s="15" t="str">
        <f aca="false">IF(B4847&lt;5,"Go","Standard")</f>
        <v>Standard</v>
      </c>
    </row>
    <row r="4848" customFormat="false" ht="15" hidden="false" customHeight="true" outlineLevel="0" collapsed="false">
      <c r="A4848" s="10" t="n">
        <f aca="false">Einstellungen!$B$5+INT((ROW()-9)/24)</f>
        <v>46167</v>
      </c>
      <c r="B4848" s="11" t="n">
        <f aca="false">MOD(ROW()-9,24)</f>
        <v>15</v>
      </c>
      <c r="C4848" s="12"/>
      <c r="D4848" s="13" t="n">
        <f aca="false">IF(B4848&lt;5,Einstellungen!$B$3,Einstellungen!$B$4)</f>
        <v>29.13</v>
      </c>
      <c r="E4848" s="14" t="str">
        <f aca="false">IF(C4848="","",C4848*D4848/100)</f>
        <v/>
      </c>
      <c r="F4848" s="15" t="str">
        <f aca="false">IF(B4848&lt;5,"Go","Standard")</f>
        <v>Standard</v>
      </c>
    </row>
    <row r="4849" customFormat="false" ht="15" hidden="false" customHeight="true" outlineLevel="0" collapsed="false">
      <c r="A4849" s="10" t="n">
        <f aca="false">Einstellungen!$B$5+INT((ROW()-9)/24)</f>
        <v>46167</v>
      </c>
      <c r="B4849" s="11" t="n">
        <f aca="false">MOD(ROW()-9,24)</f>
        <v>16</v>
      </c>
      <c r="C4849" s="12"/>
      <c r="D4849" s="13" t="n">
        <f aca="false">IF(B4849&lt;5,Einstellungen!$B$3,Einstellungen!$B$4)</f>
        <v>29.13</v>
      </c>
      <c r="E4849" s="14" t="str">
        <f aca="false">IF(C4849="","",C4849*D4849/100)</f>
        <v/>
      </c>
      <c r="F4849" s="15" t="str">
        <f aca="false">IF(B4849&lt;5,"Go","Standard")</f>
        <v>Standard</v>
      </c>
    </row>
    <row r="4850" customFormat="false" ht="15" hidden="false" customHeight="true" outlineLevel="0" collapsed="false">
      <c r="A4850" s="10" t="n">
        <f aca="false">Einstellungen!$B$5+INT((ROW()-9)/24)</f>
        <v>46167</v>
      </c>
      <c r="B4850" s="11" t="n">
        <f aca="false">MOD(ROW()-9,24)</f>
        <v>17</v>
      </c>
      <c r="C4850" s="12"/>
      <c r="D4850" s="13" t="n">
        <f aca="false">IF(B4850&lt;5,Einstellungen!$B$3,Einstellungen!$B$4)</f>
        <v>29.13</v>
      </c>
      <c r="E4850" s="14" t="str">
        <f aca="false">IF(C4850="","",C4850*D4850/100)</f>
        <v/>
      </c>
      <c r="F4850" s="15" t="str">
        <f aca="false">IF(B4850&lt;5,"Go","Standard")</f>
        <v>Standard</v>
      </c>
    </row>
    <row r="4851" customFormat="false" ht="15" hidden="false" customHeight="true" outlineLevel="0" collapsed="false">
      <c r="A4851" s="10" t="n">
        <f aca="false">Einstellungen!$B$5+INT((ROW()-9)/24)</f>
        <v>46167</v>
      </c>
      <c r="B4851" s="11" t="n">
        <f aca="false">MOD(ROW()-9,24)</f>
        <v>18</v>
      </c>
      <c r="C4851" s="12"/>
      <c r="D4851" s="13" t="n">
        <f aca="false">IF(B4851&lt;5,Einstellungen!$B$3,Einstellungen!$B$4)</f>
        <v>29.13</v>
      </c>
      <c r="E4851" s="14" t="str">
        <f aca="false">IF(C4851="","",C4851*D4851/100)</f>
        <v/>
      </c>
      <c r="F4851" s="15" t="str">
        <f aca="false">IF(B4851&lt;5,"Go","Standard")</f>
        <v>Standard</v>
      </c>
    </row>
    <row r="4852" customFormat="false" ht="15" hidden="false" customHeight="true" outlineLevel="0" collapsed="false">
      <c r="A4852" s="10" t="n">
        <f aca="false">Einstellungen!$B$5+INT((ROW()-9)/24)</f>
        <v>46167</v>
      </c>
      <c r="B4852" s="11" t="n">
        <f aca="false">MOD(ROW()-9,24)</f>
        <v>19</v>
      </c>
      <c r="C4852" s="12"/>
      <c r="D4852" s="13" t="n">
        <f aca="false">IF(B4852&lt;5,Einstellungen!$B$3,Einstellungen!$B$4)</f>
        <v>29.13</v>
      </c>
      <c r="E4852" s="14" t="str">
        <f aca="false">IF(C4852="","",C4852*D4852/100)</f>
        <v/>
      </c>
      <c r="F4852" s="15" t="str">
        <f aca="false">IF(B4852&lt;5,"Go","Standard")</f>
        <v>Standard</v>
      </c>
    </row>
    <row r="4853" customFormat="false" ht="15" hidden="false" customHeight="true" outlineLevel="0" collapsed="false">
      <c r="A4853" s="10" t="n">
        <f aca="false">Einstellungen!$B$5+INT((ROW()-9)/24)</f>
        <v>46167</v>
      </c>
      <c r="B4853" s="11" t="n">
        <f aca="false">MOD(ROW()-9,24)</f>
        <v>20</v>
      </c>
      <c r="C4853" s="12"/>
      <c r="D4853" s="13" t="n">
        <f aca="false">IF(B4853&lt;5,Einstellungen!$B$3,Einstellungen!$B$4)</f>
        <v>29.13</v>
      </c>
      <c r="E4853" s="14" t="str">
        <f aca="false">IF(C4853="","",C4853*D4853/100)</f>
        <v/>
      </c>
      <c r="F4853" s="15" t="str">
        <f aca="false">IF(B4853&lt;5,"Go","Standard")</f>
        <v>Standard</v>
      </c>
    </row>
    <row r="4854" customFormat="false" ht="15" hidden="false" customHeight="true" outlineLevel="0" collapsed="false">
      <c r="A4854" s="10" t="n">
        <f aca="false">Einstellungen!$B$5+INT((ROW()-9)/24)</f>
        <v>46167</v>
      </c>
      <c r="B4854" s="11" t="n">
        <f aca="false">MOD(ROW()-9,24)</f>
        <v>21</v>
      </c>
      <c r="C4854" s="12"/>
      <c r="D4854" s="13" t="n">
        <f aca="false">IF(B4854&lt;5,Einstellungen!$B$3,Einstellungen!$B$4)</f>
        <v>29.13</v>
      </c>
      <c r="E4854" s="14" t="str">
        <f aca="false">IF(C4854="","",C4854*D4854/100)</f>
        <v/>
      </c>
      <c r="F4854" s="15" t="str">
        <f aca="false">IF(B4854&lt;5,"Go","Standard")</f>
        <v>Standard</v>
      </c>
    </row>
    <row r="4855" customFormat="false" ht="15" hidden="false" customHeight="true" outlineLevel="0" collapsed="false">
      <c r="A4855" s="10" t="n">
        <f aca="false">Einstellungen!$B$5+INT((ROW()-9)/24)</f>
        <v>46167</v>
      </c>
      <c r="B4855" s="11" t="n">
        <f aca="false">MOD(ROW()-9,24)</f>
        <v>22</v>
      </c>
      <c r="C4855" s="12"/>
      <c r="D4855" s="13" t="n">
        <f aca="false">IF(B4855&lt;5,Einstellungen!$B$3,Einstellungen!$B$4)</f>
        <v>29.13</v>
      </c>
      <c r="E4855" s="14" t="str">
        <f aca="false">IF(C4855="","",C4855*D4855/100)</f>
        <v/>
      </c>
      <c r="F4855" s="15" t="str">
        <f aca="false">IF(B4855&lt;5,"Go","Standard")</f>
        <v>Standard</v>
      </c>
    </row>
    <row r="4856" customFormat="false" ht="15" hidden="false" customHeight="true" outlineLevel="0" collapsed="false">
      <c r="A4856" s="10" t="n">
        <f aca="false">Einstellungen!$B$5+INT((ROW()-9)/24)</f>
        <v>46167</v>
      </c>
      <c r="B4856" s="11" t="n">
        <f aca="false">MOD(ROW()-9,24)</f>
        <v>23</v>
      </c>
      <c r="C4856" s="12"/>
      <c r="D4856" s="13" t="n">
        <f aca="false">IF(B4856&lt;5,Einstellungen!$B$3,Einstellungen!$B$4)</f>
        <v>29.13</v>
      </c>
      <c r="E4856" s="14" t="str">
        <f aca="false">IF(C4856="","",C4856*D4856/100)</f>
        <v/>
      </c>
      <c r="F4856" s="15" t="str">
        <f aca="false">IF(B4856&lt;5,"Go","Standard")</f>
        <v>Standard</v>
      </c>
    </row>
    <row r="4857" customFormat="false" ht="15" hidden="false" customHeight="true" outlineLevel="0" collapsed="false">
      <c r="A4857" s="10" t="n">
        <f aca="false">Einstellungen!$B$5+INT((ROW()-9)/24)</f>
        <v>46168</v>
      </c>
      <c r="B4857" s="11" t="n">
        <f aca="false">MOD(ROW()-9,24)</f>
        <v>0</v>
      </c>
      <c r="C4857" s="12"/>
      <c r="D4857" s="13" t="n">
        <f aca="false">IF(B4857&lt;5,Einstellungen!$B$3,Einstellungen!$B$4)</f>
        <v>15.92</v>
      </c>
      <c r="E4857" s="14" t="str">
        <f aca="false">IF(C4857="","",C4857*D4857/100)</f>
        <v/>
      </c>
      <c r="F4857" s="15" t="str">
        <f aca="false">IF(B4857&lt;5,"Go","Standard")</f>
        <v>Go</v>
      </c>
    </row>
    <row r="4858" customFormat="false" ht="15" hidden="false" customHeight="true" outlineLevel="0" collapsed="false">
      <c r="A4858" s="10" t="n">
        <f aca="false">Einstellungen!$B$5+INT((ROW()-9)/24)</f>
        <v>46168</v>
      </c>
      <c r="B4858" s="11" t="n">
        <f aca="false">MOD(ROW()-9,24)</f>
        <v>1</v>
      </c>
      <c r="C4858" s="12"/>
      <c r="D4858" s="13" t="n">
        <f aca="false">IF(B4858&lt;5,Einstellungen!$B$3,Einstellungen!$B$4)</f>
        <v>15.92</v>
      </c>
      <c r="E4858" s="14" t="str">
        <f aca="false">IF(C4858="","",C4858*D4858/100)</f>
        <v/>
      </c>
      <c r="F4858" s="15" t="str">
        <f aca="false">IF(B4858&lt;5,"Go","Standard")</f>
        <v>Go</v>
      </c>
    </row>
    <row r="4859" customFormat="false" ht="15" hidden="false" customHeight="true" outlineLevel="0" collapsed="false">
      <c r="A4859" s="10" t="n">
        <f aca="false">Einstellungen!$B$5+INT((ROW()-9)/24)</f>
        <v>46168</v>
      </c>
      <c r="B4859" s="11" t="n">
        <f aca="false">MOD(ROW()-9,24)</f>
        <v>2</v>
      </c>
      <c r="C4859" s="12"/>
      <c r="D4859" s="13" t="n">
        <f aca="false">IF(B4859&lt;5,Einstellungen!$B$3,Einstellungen!$B$4)</f>
        <v>15.92</v>
      </c>
      <c r="E4859" s="14" t="str">
        <f aca="false">IF(C4859="","",C4859*D4859/100)</f>
        <v/>
      </c>
      <c r="F4859" s="15" t="str">
        <f aca="false">IF(B4859&lt;5,"Go","Standard")</f>
        <v>Go</v>
      </c>
    </row>
    <row r="4860" customFormat="false" ht="15" hidden="false" customHeight="true" outlineLevel="0" collapsed="false">
      <c r="A4860" s="10" t="n">
        <f aca="false">Einstellungen!$B$5+INT((ROW()-9)/24)</f>
        <v>46168</v>
      </c>
      <c r="B4860" s="11" t="n">
        <f aca="false">MOD(ROW()-9,24)</f>
        <v>3</v>
      </c>
      <c r="C4860" s="12"/>
      <c r="D4860" s="13" t="n">
        <f aca="false">IF(B4860&lt;5,Einstellungen!$B$3,Einstellungen!$B$4)</f>
        <v>15.92</v>
      </c>
      <c r="E4860" s="14" t="str">
        <f aca="false">IF(C4860="","",C4860*D4860/100)</f>
        <v/>
      </c>
      <c r="F4860" s="15" t="str">
        <f aca="false">IF(B4860&lt;5,"Go","Standard")</f>
        <v>Go</v>
      </c>
    </row>
    <row r="4861" customFormat="false" ht="15" hidden="false" customHeight="true" outlineLevel="0" collapsed="false">
      <c r="A4861" s="10" t="n">
        <f aca="false">Einstellungen!$B$5+INT((ROW()-9)/24)</f>
        <v>46168</v>
      </c>
      <c r="B4861" s="11" t="n">
        <f aca="false">MOD(ROW()-9,24)</f>
        <v>4</v>
      </c>
      <c r="C4861" s="12"/>
      <c r="D4861" s="13" t="n">
        <f aca="false">IF(B4861&lt;5,Einstellungen!$B$3,Einstellungen!$B$4)</f>
        <v>15.92</v>
      </c>
      <c r="E4861" s="14" t="str">
        <f aca="false">IF(C4861="","",C4861*D4861/100)</f>
        <v/>
      </c>
      <c r="F4861" s="15" t="str">
        <f aca="false">IF(B4861&lt;5,"Go","Standard")</f>
        <v>Go</v>
      </c>
    </row>
    <row r="4862" customFormat="false" ht="15" hidden="false" customHeight="true" outlineLevel="0" collapsed="false">
      <c r="A4862" s="10" t="n">
        <f aca="false">Einstellungen!$B$5+INT((ROW()-9)/24)</f>
        <v>46168</v>
      </c>
      <c r="B4862" s="11" t="n">
        <f aca="false">MOD(ROW()-9,24)</f>
        <v>5</v>
      </c>
      <c r="C4862" s="12"/>
      <c r="D4862" s="13" t="n">
        <f aca="false">IF(B4862&lt;5,Einstellungen!$B$3,Einstellungen!$B$4)</f>
        <v>29.13</v>
      </c>
      <c r="E4862" s="14" t="str">
        <f aca="false">IF(C4862="","",C4862*D4862/100)</f>
        <v/>
      </c>
      <c r="F4862" s="15" t="str">
        <f aca="false">IF(B4862&lt;5,"Go","Standard")</f>
        <v>Standard</v>
      </c>
    </row>
    <row r="4863" customFormat="false" ht="15" hidden="false" customHeight="true" outlineLevel="0" collapsed="false">
      <c r="A4863" s="10" t="n">
        <f aca="false">Einstellungen!$B$5+INT((ROW()-9)/24)</f>
        <v>46168</v>
      </c>
      <c r="B4863" s="11" t="n">
        <f aca="false">MOD(ROW()-9,24)</f>
        <v>6</v>
      </c>
      <c r="C4863" s="12"/>
      <c r="D4863" s="13" t="n">
        <f aca="false">IF(B4863&lt;5,Einstellungen!$B$3,Einstellungen!$B$4)</f>
        <v>29.13</v>
      </c>
      <c r="E4863" s="14" t="str">
        <f aca="false">IF(C4863="","",C4863*D4863/100)</f>
        <v/>
      </c>
      <c r="F4863" s="15" t="str">
        <f aca="false">IF(B4863&lt;5,"Go","Standard")</f>
        <v>Standard</v>
      </c>
    </row>
    <row r="4864" customFormat="false" ht="15" hidden="false" customHeight="true" outlineLevel="0" collapsed="false">
      <c r="A4864" s="10" t="n">
        <f aca="false">Einstellungen!$B$5+INT((ROW()-9)/24)</f>
        <v>46168</v>
      </c>
      <c r="B4864" s="11" t="n">
        <f aca="false">MOD(ROW()-9,24)</f>
        <v>7</v>
      </c>
      <c r="C4864" s="12"/>
      <c r="D4864" s="13" t="n">
        <f aca="false">IF(B4864&lt;5,Einstellungen!$B$3,Einstellungen!$B$4)</f>
        <v>29.13</v>
      </c>
      <c r="E4864" s="14" t="str">
        <f aca="false">IF(C4864="","",C4864*D4864/100)</f>
        <v/>
      </c>
      <c r="F4864" s="15" t="str">
        <f aca="false">IF(B4864&lt;5,"Go","Standard")</f>
        <v>Standard</v>
      </c>
    </row>
    <row r="4865" customFormat="false" ht="15" hidden="false" customHeight="true" outlineLevel="0" collapsed="false">
      <c r="A4865" s="10" t="n">
        <f aca="false">Einstellungen!$B$5+INT((ROW()-9)/24)</f>
        <v>46168</v>
      </c>
      <c r="B4865" s="11" t="n">
        <f aca="false">MOD(ROW()-9,24)</f>
        <v>8</v>
      </c>
      <c r="C4865" s="12"/>
      <c r="D4865" s="13" t="n">
        <f aca="false">IF(B4865&lt;5,Einstellungen!$B$3,Einstellungen!$B$4)</f>
        <v>29.13</v>
      </c>
      <c r="E4865" s="14" t="str">
        <f aca="false">IF(C4865="","",C4865*D4865/100)</f>
        <v/>
      </c>
      <c r="F4865" s="15" t="str">
        <f aca="false">IF(B4865&lt;5,"Go","Standard")</f>
        <v>Standard</v>
      </c>
    </row>
    <row r="4866" customFormat="false" ht="15" hidden="false" customHeight="true" outlineLevel="0" collapsed="false">
      <c r="A4866" s="10" t="n">
        <f aca="false">Einstellungen!$B$5+INT((ROW()-9)/24)</f>
        <v>46168</v>
      </c>
      <c r="B4866" s="11" t="n">
        <f aca="false">MOD(ROW()-9,24)</f>
        <v>9</v>
      </c>
      <c r="C4866" s="12"/>
      <c r="D4866" s="13" t="n">
        <f aca="false">IF(B4866&lt;5,Einstellungen!$B$3,Einstellungen!$B$4)</f>
        <v>29.13</v>
      </c>
      <c r="E4866" s="14" t="str">
        <f aca="false">IF(C4866="","",C4866*D4866/100)</f>
        <v/>
      </c>
      <c r="F4866" s="15" t="str">
        <f aca="false">IF(B4866&lt;5,"Go","Standard")</f>
        <v>Standard</v>
      </c>
    </row>
    <row r="4867" customFormat="false" ht="15" hidden="false" customHeight="true" outlineLevel="0" collapsed="false">
      <c r="A4867" s="10" t="n">
        <f aca="false">Einstellungen!$B$5+INT((ROW()-9)/24)</f>
        <v>46168</v>
      </c>
      <c r="B4867" s="11" t="n">
        <f aca="false">MOD(ROW()-9,24)</f>
        <v>10</v>
      </c>
      <c r="C4867" s="12"/>
      <c r="D4867" s="13" t="n">
        <f aca="false">IF(B4867&lt;5,Einstellungen!$B$3,Einstellungen!$B$4)</f>
        <v>29.13</v>
      </c>
      <c r="E4867" s="14" t="str">
        <f aca="false">IF(C4867="","",C4867*D4867/100)</f>
        <v/>
      </c>
      <c r="F4867" s="15" t="str">
        <f aca="false">IF(B4867&lt;5,"Go","Standard")</f>
        <v>Standard</v>
      </c>
    </row>
    <row r="4868" customFormat="false" ht="15" hidden="false" customHeight="true" outlineLevel="0" collapsed="false">
      <c r="A4868" s="10" t="n">
        <f aca="false">Einstellungen!$B$5+INT((ROW()-9)/24)</f>
        <v>46168</v>
      </c>
      <c r="B4868" s="11" t="n">
        <f aca="false">MOD(ROW()-9,24)</f>
        <v>11</v>
      </c>
      <c r="C4868" s="12"/>
      <c r="D4868" s="13" t="n">
        <f aca="false">IF(B4868&lt;5,Einstellungen!$B$3,Einstellungen!$B$4)</f>
        <v>29.13</v>
      </c>
      <c r="E4868" s="14" t="str">
        <f aca="false">IF(C4868="","",C4868*D4868/100)</f>
        <v/>
      </c>
      <c r="F4868" s="15" t="str">
        <f aca="false">IF(B4868&lt;5,"Go","Standard")</f>
        <v>Standard</v>
      </c>
    </row>
    <row r="4869" customFormat="false" ht="15" hidden="false" customHeight="true" outlineLevel="0" collapsed="false">
      <c r="A4869" s="10" t="n">
        <f aca="false">Einstellungen!$B$5+INT((ROW()-9)/24)</f>
        <v>46168</v>
      </c>
      <c r="B4869" s="11" t="n">
        <f aca="false">MOD(ROW()-9,24)</f>
        <v>12</v>
      </c>
      <c r="C4869" s="12"/>
      <c r="D4869" s="13" t="n">
        <f aca="false">IF(B4869&lt;5,Einstellungen!$B$3,Einstellungen!$B$4)</f>
        <v>29.13</v>
      </c>
      <c r="E4869" s="14" t="str">
        <f aca="false">IF(C4869="","",C4869*D4869/100)</f>
        <v/>
      </c>
      <c r="F4869" s="15" t="str">
        <f aca="false">IF(B4869&lt;5,"Go","Standard")</f>
        <v>Standard</v>
      </c>
    </row>
    <row r="4870" customFormat="false" ht="15" hidden="false" customHeight="true" outlineLevel="0" collapsed="false">
      <c r="A4870" s="10" t="n">
        <f aca="false">Einstellungen!$B$5+INT((ROW()-9)/24)</f>
        <v>46168</v>
      </c>
      <c r="B4870" s="11" t="n">
        <f aca="false">MOD(ROW()-9,24)</f>
        <v>13</v>
      </c>
      <c r="C4870" s="12"/>
      <c r="D4870" s="13" t="n">
        <f aca="false">IF(B4870&lt;5,Einstellungen!$B$3,Einstellungen!$B$4)</f>
        <v>29.13</v>
      </c>
      <c r="E4870" s="14" t="str">
        <f aca="false">IF(C4870="","",C4870*D4870/100)</f>
        <v/>
      </c>
      <c r="F4870" s="15" t="str">
        <f aca="false">IF(B4870&lt;5,"Go","Standard")</f>
        <v>Standard</v>
      </c>
    </row>
    <row r="4871" customFormat="false" ht="15" hidden="false" customHeight="true" outlineLevel="0" collapsed="false">
      <c r="A4871" s="10" t="n">
        <f aca="false">Einstellungen!$B$5+INT((ROW()-9)/24)</f>
        <v>46168</v>
      </c>
      <c r="B4871" s="11" t="n">
        <f aca="false">MOD(ROW()-9,24)</f>
        <v>14</v>
      </c>
      <c r="C4871" s="12"/>
      <c r="D4871" s="13" t="n">
        <f aca="false">IF(B4871&lt;5,Einstellungen!$B$3,Einstellungen!$B$4)</f>
        <v>29.13</v>
      </c>
      <c r="E4871" s="14" t="str">
        <f aca="false">IF(C4871="","",C4871*D4871/100)</f>
        <v/>
      </c>
      <c r="F4871" s="15" t="str">
        <f aca="false">IF(B4871&lt;5,"Go","Standard")</f>
        <v>Standard</v>
      </c>
    </row>
    <row r="4872" customFormat="false" ht="15" hidden="false" customHeight="true" outlineLevel="0" collapsed="false">
      <c r="A4872" s="10" t="n">
        <f aca="false">Einstellungen!$B$5+INT((ROW()-9)/24)</f>
        <v>46168</v>
      </c>
      <c r="B4872" s="11" t="n">
        <f aca="false">MOD(ROW()-9,24)</f>
        <v>15</v>
      </c>
      <c r="C4872" s="12"/>
      <c r="D4872" s="13" t="n">
        <f aca="false">IF(B4872&lt;5,Einstellungen!$B$3,Einstellungen!$B$4)</f>
        <v>29.13</v>
      </c>
      <c r="E4872" s="14" t="str">
        <f aca="false">IF(C4872="","",C4872*D4872/100)</f>
        <v/>
      </c>
      <c r="F4872" s="15" t="str">
        <f aca="false">IF(B4872&lt;5,"Go","Standard")</f>
        <v>Standard</v>
      </c>
    </row>
    <row r="4873" customFormat="false" ht="15" hidden="false" customHeight="true" outlineLevel="0" collapsed="false">
      <c r="A4873" s="10" t="n">
        <f aca="false">Einstellungen!$B$5+INT((ROW()-9)/24)</f>
        <v>46168</v>
      </c>
      <c r="B4873" s="11" t="n">
        <f aca="false">MOD(ROW()-9,24)</f>
        <v>16</v>
      </c>
      <c r="C4873" s="12"/>
      <c r="D4873" s="13" t="n">
        <f aca="false">IF(B4873&lt;5,Einstellungen!$B$3,Einstellungen!$B$4)</f>
        <v>29.13</v>
      </c>
      <c r="E4873" s="14" t="str">
        <f aca="false">IF(C4873="","",C4873*D4873/100)</f>
        <v/>
      </c>
      <c r="F4873" s="15" t="str">
        <f aca="false">IF(B4873&lt;5,"Go","Standard")</f>
        <v>Standard</v>
      </c>
    </row>
    <row r="4874" customFormat="false" ht="15" hidden="false" customHeight="true" outlineLevel="0" collapsed="false">
      <c r="A4874" s="10" t="n">
        <f aca="false">Einstellungen!$B$5+INT((ROW()-9)/24)</f>
        <v>46168</v>
      </c>
      <c r="B4874" s="11" t="n">
        <f aca="false">MOD(ROW()-9,24)</f>
        <v>17</v>
      </c>
      <c r="C4874" s="12"/>
      <c r="D4874" s="13" t="n">
        <f aca="false">IF(B4874&lt;5,Einstellungen!$B$3,Einstellungen!$B$4)</f>
        <v>29.13</v>
      </c>
      <c r="E4874" s="14" t="str">
        <f aca="false">IF(C4874="","",C4874*D4874/100)</f>
        <v/>
      </c>
      <c r="F4874" s="15" t="str">
        <f aca="false">IF(B4874&lt;5,"Go","Standard")</f>
        <v>Standard</v>
      </c>
    </row>
    <row r="4875" customFormat="false" ht="15" hidden="false" customHeight="true" outlineLevel="0" collapsed="false">
      <c r="A4875" s="10" t="n">
        <f aca="false">Einstellungen!$B$5+INT((ROW()-9)/24)</f>
        <v>46168</v>
      </c>
      <c r="B4875" s="11" t="n">
        <f aca="false">MOD(ROW()-9,24)</f>
        <v>18</v>
      </c>
      <c r="C4875" s="12"/>
      <c r="D4875" s="13" t="n">
        <f aca="false">IF(B4875&lt;5,Einstellungen!$B$3,Einstellungen!$B$4)</f>
        <v>29.13</v>
      </c>
      <c r="E4875" s="14" t="str">
        <f aca="false">IF(C4875="","",C4875*D4875/100)</f>
        <v/>
      </c>
      <c r="F4875" s="15" t="str">
        <f aca="false">IF(B4875&lt;5,"Go","Standard")</f>
        <v>Standard</v>
      </c>
    </row>
    <row r="4876" customFormat="false" ht="15" hidden="false" customHeight="true" outlineLevel="0" collapsed="false">
      <c r="A4876" s="10" t="n">
        <f aca="false">Einstellungen!$B$5+INT((ROW()-9)/24)</f>
        <v>46168</v>
      </c>
      <c r="B4876" s="11" t="n">
        <f aca="false">MOD(ROW()-9,24)</f>
        <v>19</v>
      </c>
      <c r="C4876" s="12"/>
      <c r="D4876" s="13" t="n">
        <f aca="false">IF(B4876&lt;5,Einstellungen!$B$3,Einstellungen!$B$4)</f>
        <v>29.13</v>
      </c>
      <c r="E4876" s="14" t="str">
        <f aca="false">IF(C4876="","",C4876*D4876/100)</f>
        <v/>
      </c>
      <c r="F4876" s="15" t="str">
        <f aca="false">IF(B4876&lt;5,"Go","Standard")</f>
        <v>Standard</v>
      </c>
    </row>
    <row r="4877" customFormat="false" ht="15" hidden="false" customHeight="true" outlineLevel="0" collapsed="false">
      <c r="A4877" s="10" t="n">
        <f aca="false">Einstellungen!$B$5+INT((ROW()-9)/24)</f>
        <v>46168</v>
      </c>
      <c r="B4877" s="11" t="n">
        <f aca="false">MOD(ROW()-9,24)</f>
        <v>20</v>
      </c>
      <c r="C4877" s="12"/>
      <c r="D4877" s="13" t="n">
        <f aca="false">IF(B4877&lt;5,Einstellungen!$B$3,Einstellungen!$B$4)</f>
        <v>29.13</v>
      </c>
      <c r="E4877" s="14" t="str">
        <f aca="false">IF(C4877="","",C4877*D4877/100)</f>
        <v/>
      </c>
      <c r="F4877" s="15" t="str">
        <f aca="false">IF(B4877&lt;5,"Go","Standard")</f>
        <v>Standard</v>
      </c>
    </row>
    <row r="4878" customFormat="false" ht="15" hidden="false" customHeight="true" outlineLevel="0" collapsed="false">
      <c r="A4878" s="10" t="n">
        <f aca="false">Einstellungen!$B$5+INT((ROW()-9)/24)</f>
        <v>46168</v>
      </c>
      <c r="B4878" s="11" t="n">
        <f aca="false">MOD(ROW()-9,24)</f>
        <v>21</v>
      </c>
      <c r="C4878" s="12"/>
      <c r="D4878" s="13" t="n">
        <f aca="false">IF(B4878&lt;5,Einstellungen!$B$3,Einstellungen!$B$4)</f>
        <v>29.13</v>
      </c>
      <c r="E4878" s="14" t="str">
        <f aca="false">IF(C4878="","",C4878*D4878/100)</f>
        <v/>
      </c>
      <c r="F4878" s="15" t="str">
        <f aca="false">IF(B4878&lt;5,"Go","Standard")</f>
        <v>Standard</v>
      </c>
    </row>
    <row r="4879" customFormat="false" ht="15" hidden="false" customHeight="true" outlineLevel="0" collapsed="false">
      <c r="A4879" s="10" t="n">
        <f aca="false">Einstellungen!$B$5+INT((ROW()-9)/24)</f>
        <v>46168</v>
      </c>
      <c r="B4879" s="11" t="n">
        <f aca="false">MOD(ROW()-9,24)</f>
        <v>22</v>
      </c>
      <c r="C4879" s="12"/>
      <c r="D4879" s="13" t="n">
        <f aca="false">IF(B4879&lt;5,Einstellungen!$B$3,Einstellungen!$B$4)</f>
        <v>29.13</v>
      </c>
      <c r="E4879" s="14" t="str">
        <f aca="false">IF(C4879="","",C4879*D4879/100)</f>
        <v/>
      </c>
      <c r="F4879" s="15" t="str">
        <f aca="false">IF(B4879&lt;5,"Go","Standard")</f>
        <v>Standard</v>
      </c>
    </row>
    <row r="4880" customFormat="false" ht="15" hidden="false" customHeight="true" outlineLevel="0" collapsed="false">
      <c r="A4880" s="10" t="n">
        <f aca="false">Einstellungen!$B$5+INT((ROW()-9)/24)</f>
        <v>46168</v>
      </c>
      <c r="B4880" s="11" t="n">
        <f aca="false">MOD(ROW()-9,24)</f>
        <v>23</v>
      </c>
      <c r="C4880" s="12"/>
      <c r="D4880" s="13" t="n">
        <f aca="false">IF(B4880&lt;5,Einstellungen!$B$3,Einstellungen!$B$4)</f>
        <v>29.13</v>
      </c>
      <c r="E4880" s="14" t="str">
        <f aca="false">IF(C4880="","",C4880*D4880/100)</f>
        <v/>
      </c>
      <c r="F4880" s="15" t="str">
        <f aca="false">IF(B4880&lt;5,"Go","Standard")</f>
        <v>Standard</v>
      </c>
    </row>
    <row r="4881" customFormat="false" ht="15" hidden="false" customHeight="true" outlineLevel="0" collapsed="false">
      <c r="A4881" s="10" t="n">
        <f aca="false">Einstellungen!$B$5+INT((ROW()-9)/24)</f>
        <v>46169</v>
      </c>
      <c r="B4881" s="11" t="n">
        <f aca="false">MOD(ROW()-9,24)</f>
        <v>0</v>
      </c>
      <c r="C4881" s="12"/>
      <c r="D4881" s="13" t="n">
        <f aca="false">IF(B4881&lt;5,Einstellungen!$B$3,Einstellungen!$B$4)</f>
        <v>15.92</v>
      </c>
      <c r="E4881" s="14" t="str">
        <f aca="false">IF(C4881="","",C4881*D4881/100)</f>
        <v/>
      </c>
      <c r="F4881" s="15" t="str">
        <f aca="false">IF(B4881&lt;5,"Go","Standard")</f>
        <v>Go</v>
      </c>
    </row>
    <row r="4882" customFormat="false" ht="15" hidden="false" customHeight="true" outlineLevel="0" collapsed="false">
      <c r="A4882" s="10" t="n">
        <f aca="false">Einstellungen!$B$5+INT((ROW()-9)/24)</f>
        <v>46169</v>
      </c>
      <c r="B4882" s="11" t="n">
        <f aca="false">MOD(ROW()-9,24)</f>
        <v>1</v>
      </c>
      <c r="C4882" s="12"/>
      <c r="D4882" s="13" t="n">
        <f aca="false">IF(B4882&lt;5,Einstellungen!$B$3,Einstellungen!$B$4)</f>
        <v>15.92</v>
      </c>
      <c r="E4882" s="14" t="str">
        <f aca="false">IF(C4882="","",C4882*D4882/100)</f>
        <v/>
      </c>
      <c r="F4882" s="15" t="str">
        <f aca="false">IF(B4882&lt;5,"Go","Standard")</f>
        <v>Go</v>
      </c>
    </row>
    <row r="4883" customFormat="false" ht="15" hidden="false" customHeight="true" outlineLevel="0" collapsed="false">
      <c r="A4883" s="10" t="n">
        <f aca="false">Einstellungen!$B$5+INT((ROW()-9)/24)</f>
        <v>46169</v>
      </c>
      <c r="B4883" s="11" t="n">
        <f aca="false">MOD(ROW()-9,24)</f>
        <v>2</v>
      </c>
      <c r="C4883" s="12"/>
      <c r="D4883" s="13" t="n">
        <f aca="false">IF(B4883&lt;5,Einstellungen!$B$3,Einstellungen!$B$4)</f>
        <v>15.92</v>
      </c>
      <c r="E4883" s="14" t="str">
        <f aca="false">IF(C4883="","",C4883*D4883/100)</f>
        <v/>
      </c>
      <c r="F4883" s="15" t="str">
        <f aca="false">IF(B4883&lt;5,"Go","Standard")</f>
        <v>Go</v>
      </c>
    </row>
    <row r="4884" customFormat="false" ht="15" hidden="false" customHeight="true" outlineLevel="0" collapsed="false">
      <c r="A4884" s="10" t="n">
        <f aca="false">Einstellungen!$B$5+INT((ROW()-9)/24)</f>
        <v>46169</v>
      </c>
      <c r="B4884" s="11" t="n">
        <f aca="false">MOD(ROW()-9,24)</f>
        <v>3</v>
      </c>
      <c r="C4884" s="12"/>
      <c r="D4884" s="13" t="n">
        <f aca="false">IF(B4884&lt;5,Einstellungen!$B$3,Einstellungen!$B$4)</f>
        <v>15.92</v>
      </c>
      <c r="E4884" s="14" t="str">
        <f aca="false">IF(C4884="","",C4884*D4884/100)</f>
        <v/>
      </c>
      <c r="F4884" s="15" t="str">
        <f aca="false">IF(B4884&lt;5,"Go","Standard")</f>
        <v>Go</v>
      </c>
    </row>
    <row r="4885" customFormat="false" ht="15" hidden="false" customHeight="true" outlineLevel="0" collapsed="false">
      <c r="A4885" s="10" t="n">
        <f aca="false">Einstellungen!$B$5+INT((ROW()-9)/24)</f>
        <v>46169</v>
      </c>
      <c r="B4885" s="11" t="n">
        <f aca="false">MOD(ROW()-9,24)</f>
        <v>4</v>
      </c>
      <c r="C4885" s="12"/>
      <c r="D4885" s="13" t="n">
        <f aca="false">IF(B4885&lt;5,Einstellungen!$B$3,Einstellungen!$B$4)</f>
        <v>15.92</v>
      </c>
      <c r="E4885" s="14" t="str">
        <f aca="false">IF(C4885="","",C4885*D4885/100)</f>
        <v/>
      </c>
      <c r="F4885" s="15" t="str">
        <f aca="false">IF(B4885&lt;5,"Go","Standard")</f>
        <v>Go</v>
      </c>
    </row>
    <row r="4886" customFormat="false" ht="15" hidden="false" customHeight="true" outlineLevel="0" collapsed="false">
      <c r="A4886" s="10" t="n">
        <f aca="false">Einstellungen!$B$5+INT((ROW()-9)/24)</f>
        <v>46169</v>
      </c>
      <c r="B4886" s="11" t="n">
        <f aca="false">MOD(ROW()-9,24)</f>
        <v>5</v>
      </c>
      <c r="C4886" s="12"/>
      <c r="D4886" s="13" t="n">
        <f aca="false">IF(B4886&lt;5,Einstellungen!$B$3,Einstellungen!$B$4)</f>
        <v>29.13</v>
      </c>
      <c r="E4886" s="14" t="str">
        <f aca="false">IF(C4886="","",C4886*D4886/100)</f>
        <v/>
      </c>
      <c r="F4886" s="15" t="str">
        <f aca="false">IF(B4886&lt;5,"Go","Standard")</f>
        <v>Standard</v>
      </c>
    </row>
    <row r="4887" customFormat="false" ht="15" hidden="false" customHeight="true" outlineLevel="0" collapsed="false">
      <c r="A4887" s="10" t="n">
        <f aca="false">Einstellungen!$B$5+INT((ROW()-9)/24)</f>
        <v>46169</v>
      </c>
      <c r="B4887" s="11" t="n">
        <f aca="false">MOD(ROW()-9,24)</f>
        <v>6</v>
      </c>
      <c r="C4887" s="12"/>
      <c r="D4887" s="13" t="n">
        <f aca="false">IF(B4887&lt;5,Einstellungen!$B$3,Einstellungen!$B$4)</f>
        <v>29.13</v>
      </c>
      <c r="E4887" s="14" t="str">
        <f aca="false">IF(C4887="","",C4887*D4887/100)</f>
        <v/>
      </c>
      <c r="F4887" s="15" t="str">
        <f aca="false">IF(B4887&lt;5,"Go","Standard")</f>
        <v>Standard</v>
      </c>
    </row>
    <row r="4888" customFormat="false" ht="15" hidden="false" customHeight="true" outlineLevel="0" collapsed="false">
      <c r="A4888" s="10" t="n">
        <f aca="false">Einstellungen!$B$5+INT((ROW()-9)/24)</f>
        <v>46169</v>
      </c>
      <c r="B4888" s="11" t="n">
        <f aca="false">MOD(ROW()-9,24)</f>
        <v>7</v>
      </c>
      <c r="C4888" s="12"/>
      <c r="D4888" s="13" t="n">
        <f aca="false">IF(B4888&lt;5,Einstellungen!$B$3,Einstellungen!$B$4)</f>
        <v>29.13</v>
      </c>
      <c r="E4888" s="14" t="str">
        <f aca="false">IF(C4888="","",C4888*D4888/100)</f>
        <v/>
      </c>
      <c r="F4888" s="15" t="str">
        <f aca="false">IF(B4888&lt;5,"Go","Standard")</f>
        <v>Standard</v>
      </c>
    </row>
    <row r="4889" customFormat="false" ht="15" hidden="false" customHeight="true" outlineLevel="0" collapsed="false">
      <c r="A4889" s="10" t="n">
        <f aca="false">Einstellungen!$B$5+INT((ROW()-9)/24)</f>
        <v>46169</v>
      </c>
      <c r="B4889" s="11" t="n">
        <f aca="false">MOD(ROW()-9,24)</f>
        <v>8</v>
      </c>
      <c r="C4889" s="12"/>
      <c r="D4889" s="13" t="n">
        <f aca="false">IF(B4889&lt;5,Einstellungen!$B$3,Einstellungen!$B$4)</f>
        <v>29.13</v>
      </c>
      <c r="E4889" s="14" t="str">
        <f aca="false">IF(C4889="","",C4889*D4889/100)</f>
        <v/>
      </c>
      <c r="F4889" s="15" t="str">
        <f aca="false">IF(B4889&lt;5,"Go","Standard")</f>
        <v>Standard</v>
      </c>
    </row>
    <row r="4890" customFormat="false" ht="15" hidden="false" customHeight="true" outlineLevel="0" collapsed="false">
      <c r="A4890" s="10" t="n">
        <f aca="false">Einstellungen!$B$5+INT((ROW()-9)/24)</f>
        <v>46169</v>
      </c>
      <c r="B4890" s="11" t="n">
        <f aca="false">MOD(ROW()-9,24)</f>
        <v>9</v>
      </c>
      <c r="C4890" s="12"/>
      <c r="D4890" s="13" t="n">
        <f aca="false">IF(B4890&lt;5,Einstellungen!$B$3,Einstellungen!$B$4)</f>
        <v>29.13</v>
      </c>
      <c r="E4890" s="14" t="str">
        <f aca="false">IF(C4890="","",C4890*D4890/100)</f>
        <v/>
      </c>
      <c r="F4890" s="15" t="str">
        <f aca="false">IF(B4890&lt;5,"Go","Standard")</f>
        <v>Standard</v>
      </c>
    </row>
    <row r="4891" customFormat="false" ht="15" hidden="false" customHeight="true" outlineLevel="0" collapsed="false">
      <c r="A4891" s="10" t="n">
        <f aca="false">Einstellungen!$B$5+INT((ROW()-9)/24)</f>
        <v>46169</v>
      </c>
      <c r="B4891" s="11" t="n">
        <f aca="false">MOD(ROW()-9,24)</f>
        <v>10</v>
      </c>
      <c r="C4891" s="12"/>
      <c r="D4891" s="13" t="n">
        <f aca="false">IF(B4891&lt;5,Einstellungen!$B$3,Einstellungen!$B$4)</f>
        <v>29.13</v>
      </c>
      <c r="E4891" s="14" t="str">
        <f aca="false">IF(C4891="","",C4891*D4891/100)</f>
        <v/>
      </c>
      <c r="F4891" s="15" t="str">
        <f aca="false">IF(B4891&lt;5,"Go","Standard")</f>
        <v>Standard</v>
      </c>
    </row>
    <row r="4892" customFormat="false" ht="15" hidden="false" customHeight="true" outlineLevel="0" collapsed="false">
      <c r="A4892" s="10" t="n">
        <f aca="false">Einstellungen!$B$5+INT((ROW()-9)/24)</f>
        <v>46169</v>
      </c>
      <c r="B4892" s="11" t="n">
        <f aca="false">MOD(ROW()-9,24)</f>
        <v>11</v>
      </c>
      <c r="C4892" s="12"/>
      <c r="D4892" s="13" t="n">
        <f aca="false">IF(B4892&lt;5,Einstellungen!$B$3,Einstellungen!$B$4)</f>
        <v>29.13</v>
      </c>
      <c r="E4892" s="14" t="str">
        <f aca="false">IF(C4892="","",C4892*D4892/100)</f>
        <v/>
      </c>
      <c r="F4892" s="15" t="str">
        <f aca="false">IF(B4892&lt;5,"Go","Standard")</f>
        <v>Standard</v>
      </c>
    </row>
    <row r="4893" customFormat="false" ht="15" hidden="false" customHeight="true" outlineLevel="0" collapsed="false">
      <c r="A4893" s="10" t="n">
        <f aca="false">Einstellungen!$B$5+INT((ROW()-9)/24)</f>
        <v>46169</v>
      </c>
      <c r="B4893" s="11" t="n">
        <f aca="false">MOD(ROW()-9,24)</f>
        <v>12</v>
      </c>
      <c r="C4893" s="12"/>
      <c r="D4893" s="13" t="n">
        <f aca="false">IF(B4893&lt;5,Einstellungen!$B$3,Einstellungen!$B$4)</f>
        <v>29.13</v>
      </c>
      <c r="E4893" s="14" t="str">
        <f aca="false">IF(C4893="","",C4893*D4893/100)</f>
        <v/>
      </c>
      <c r="F4893" s="15" t="str">
        <f aca="false">IF(B4893&lt;5,"Go","Standard")</f>
        <v>Standard</v>
      </c>
    </row>
    <row r="4894" customFormat="false" ht="15" hidden="false" customHeight="true" outlineLevel="0" collapsed="false">
      <c r="A4894" s="10" t="n">
        <f aca="false">Einstellungen!$B$5+INT((ROW()-9)/24)</f>
        <v>46169</v>
      </c>
      <c r="B4894" s="11" t="n">
        <f aca="false">MOD(ROW()-9,24)</f>
        <v>13</v>
      </c>
      <c r="C4894" s="12"/>
      <c r="D4894" s="13" t="n">
        <f aca="false">IF(B4894&lt;5,Einstellungen!$B$3,Einstellungen!$B$4)</f>
        <v>29.13</v>
      </c>
      <c r="E4894" s="14" t="str">
        <f aca="false">IF(C4894="","",C4894*D4894/100)</f>
        <v/>
      </c>
      <c r="F4894" s="15" t="str">
        <f aca="false">IF(B4894&lt;5,"Go","Standard")</f>
        <v>Standard</v>
      </c>
    </row>
    <row r="4895" customFormat="false" ht="15" hidden="false" customHeight="true" outlineLevel="0" collapsed="false">
      <c r="A4895" s="10" t="n">
        <f aca="false">Einstellungen!$B$5+INT((ROW()-9)/24)</f>
        <v>46169</v>
      </c>
      <c r="B4895" s="11" t="n">
        <f aca="false">MOD(ROW()-9,24)</f>
        <v>14</v>
      </c>
      <c r="C4895" s="12"/>
      <c r="D4895" s="13" t="n">
        <f aca="false">IF(B4895&lt;5,Einstellungen!$B$3,Einstellungen!$B$4)</f>
        <v>29.13</v>
      </c>
      <c r="E4895" s="14" t="str">
        <f aca="false">IF(C4895="","",C4895*D4895/100)</f>
        <v/>
      </c>
      <c r="F4895" s="15" t="str">
        <f aca="false">IF(B4895&lt;5,"Go","Standard")</f>
        <v>Standard</v>
      </c>
    </row>
    <row r="4896" customFormat="false" ht="15" hidden="false" customHeight="true" outlineLevel="0" collapsed="false">
      <c r="A4896" s="10" t="n">
        <f aca="false">Einstellungen!$B$5+INT((ROW()-9)/24)</f>
        <v>46169</v>
      </c>
      <c r="B4896" s="11" t="n">
        <f aca="false">MOD(ROW()-9,24)</f>
        <v>15</v>
      </c>
      <c r="C4896" s="12"/>
      <c r="D4896" s="13" t="n">
        <f aca="false">IF(B4896&lt;5,Einstellungen!$B$3,Einstellungen!$B$4)</f>
        <v>29.13</v>
      </c>
      <c r="E4896" s="14" t="str">
        <f aca="false">IF(C4896="","",C4896*D4896/100)</f>
        <v/>
      </c>
      <c r="F4896" s="15" t="str">
        <f aca="false">IF(B4896&lt;5,"Go","Standard")</f>
        <v>Standard</v>
      </c>
    </row>
    <row r="4897" customFormat="false" ht="15" hidden="false" customHeight="true" outlineLevel="0" collapsed="false">
      <c r="A4897" s="10" t="n">
        <f aca="false">Einstellungen!$B$5+INT((ROW()-9)/24)</f>
        <v>46169</v>
      </c>
      <c r="B4897" s="11" t="n">
        <f aca="false">MOD(ROW()-9,24)</f>
        <v>16</v>
      </c>
      <c r="C4897" s="12"/>
      <c r="D4897" s="13" t="n">
        <f aca="false">IF(B4897&lt;5,Einstellungen!$B$3,Einstellungen!$B$4)</f>
        <v>29.13</v>
      </c>
      <c r="E4897" s="14" t="str">
        <f aca="false">IF(C4897="","",C4897*D4897/100)</f>
        <v/>
      </c>
      <c r="F4897" s="15" t="str">
        <f aca="false">IF(B4897&lt;5,"Go","Standard")</f>
        <v>Standard</v>
      </c>
    </row>
    <row r="4898" customFormat="false" ht="15" hidden="false" customHeight="true" outlineLevel="0" collapsed="false">
      <c r="A4898" s="10" t="n">
        <f aca="false">Einstellungen!$B$5+INT((ROW()-9)/24)</f>
        <v>46169</v>
      </c>
      <c r="B4898" s="11" t="n">
        <f aca="false">MOD(ROW()-9,24)</f>
        <v>17</v>
      </c>
      <c r="C4898" s="12"/>
      <c r="D4898" s="13" t="n">
        <f aca="false">IF(B4898&lt;5,Einstellungen!$B$3,Einstellungen!$B$4)</f>
        <v>29.13</v>
      </c>
      <c r="E4898" s="14" t="str">
        <f aca="false">IF(C4898="","",C4898*D4898/100)</f>
        <v/>
      </c>
      <c r="F4898" s="15" t="str">
        <f aca="false">IF(B4898&lt;5,"Go","Standard")</f>
        <v>Standard</v>
      </c>
    </row>
    <row r="4899" customFormat="false" ht="15" hidden="false" customHeight="true" outlineLevel="0" collapsed="false">
      <c r="A4899" s="10" t="n">
        <f aca="false">Einstellungen!$B$5+INT((ROW()-9)/24)</f>
        <v>46169</v>
      </c>
      <c r="B4899" s="11" t="n">
        <f aca="false">MOD(ROW()-9,24)</f>
        <v>18</v>
      </c>
      <c r="C4899" s="12"/>
      <c r="D4899" s="13" t="n">
        <f aca="false">IF(B4899&lt;5,Einstellungen!$B$3,Einstellungen!$B$4)</f>
        <v>29.13</v>
      </c>
      <c r="E4899" s="14" t="str">
        <f aca="false">IF(C4899="","",C4899*D4899/100)</f>
        <v/>
      </c>
      <c r="F4899" s="15" t="str">
        <f aca="false">IF(B4899&lt;5,"Go","Standard")</f>
        <v>Standard</v>
      </c>
    </row>
    <row r="4900" customFormat="false" ht="15" hidden="false" customHeight="true" outlineLevel="0" collapsed="false">
      <c r="A4900" s="10" t="n">
        <f aca="false">Einstellungen!$B$5+INT((ROW()-9)/24)</f>
        <v>46169</v>
      </c>
      <c r="B4900" s="11" t="n">
        <f aca="false">MOD(ROW()-9,24)</f>
        <v>19</v>
      </c>
      <c r="C4900" s="12"/>
      <c r="D4900" s="13" t="n">
        <f aca="false">IF(B4900&lt;5,Einstellungen!$B$3,Einstellungen!$B$4)</f>
        <v>29.13</v>
      </c>
      <c r="E4900" s="14" t="str">
        <f aca="false">IF(C4900="","",C4900*D4900/100)</f>
        <v/>
      </c>
      <c r="F4900" s="15" t="str">
        <f aca="false">IF(B4900&lt;5,"Go","Standard")</f>
        <v>Standard</v>
      </c>
    </row>
    <row r="4901" customFormat="false" ht="15" hidden="false" customHeight="true" outlineLevel="0" collapsed="false">
      <c r="A4901" s="10" t="n">
        <f aca="false">Einstellungen!$B$5+INT((ROW()-9)/24)</f>
        <v>46169</v>
      </c>
      <c r="B4901" s="11" t="n">
        <f aca="false">MOD(ROW()-9,24)</f>
        <v>20</v>
      </c>
      <c r="C4901" s="12"/>
      <c r="D4901" s="13" t="n">
        <f aca="false">IF(B4901&lt;5,Einstellungen!$B$3,Einstellungen!$B$4)</f>
        <v>29.13</v>
      </c>
      <c r="E4901" s="14" t="str">
        <f aca="false">IF(C4901="","",C4901*D4901/100)</f>
        <v/>
      </c>
      <c r="F4901" s="15" t="str">
        <f aca="false">IF(B4901&lt;5,"Go","Standard")</f>
        <v>Standard</v>
      </c>
    </row>
    <row r="4902" customFormat="false" ht="15" hidden="false" customHeight="true" outlineLevel="0" collapsed="false">
      <c r="A4902" s="10" t="n">
        <f aca="false">Einstellungen!$B$5+INT((ROW()-9)/24)</f>
        <v>46169</v>
      </c>
      <c r="B4902" s="11" t="n">
        <f aca="false">MOD(ROW()-9,24)</f>
        <v>21</v>
      </c>
      <c r="C4902" s="12"/>
      <c r="D4902" s="13" t="n">
        <f aca="false">IF(B4902&lt;5,Einstellungen!$B$3,Einstellungen!$B$4)</f>
        <v>29.13</v>
      </c>
      <c r="E4902" s="14" t="str">
        <f aca="false">IF(C4902="","",C4902*D4902/100)</f>
        <v/>
      </c>
      <c r="F4902" s="15" t="str">
        <f aca="false">IF(B4902&lt;5,"Go","Standard")</f>
        <v>Standard</v>
      </c>
    </row>
    <row r="4903" customFormat="false" ht="15" hidden="false" customHeight="true" outlineLevel="0" collapsed="false">
      <c r="A4903" s="10" t="n">
        <f aca="false">Einstellungen!$B$5+INT((ROW()-9)/24)</f>
        <v>46169</v>
      </c>
      <c r="B4903" s="11" t="n">
        <f aca="false">MOD(ROW()-9,24)</f>
        <v>22</v>
      </c>
      <c r="C4903" s="12"/>
      <c r="D4903" s="13" t="n">
        <f aca="false">IF(B4903&lt;5,Einstellungen!$B$3,Einstellungen!$B$4)</f>
        <v>29.13</v>
      </c>
      <c r="E4903" s="14" t="str">
        <f aca="false">IF(C4903="","",C4903*D4903/100)</f>
        <v/>
      </c>
      <c r="F4903" s="15" t="str">
        <f aca="false">IF(B4903&lt;5,"Go","Standard")</f>
        <v>Standard</v>
      </c>
    </row>
    <row r="4904" customFormat="false" ht="15" hidden="false" customHeight="true" outlineLevel="0" collapsed="false">
      <c r="A4904" s="10" t="n">
        <f aca="false">Einstellungen!$B$5+INT((ROW()-9)/24)</f>
        <v>46169</v>
      </c>
      <c r="B4904" s="11" t="n">
        <f aca="false">MOD(ROW()-9,24)</f>
        <v>23</v>
      </c>
      <c r="C4904" s="12"/>
      <c r="D4904" s="13" t="n">
        <f aca="false">IF(B4904&lt;5,Einstellungen!$B$3,Einstellungen!$B$4)</f>
        <v>29.13</v>
      </c>
      <c r="E4904" s="14" t="str">
        <f aca="false">IF(C4904="","",C4904*D4904/100)</f>
        <v/>
      </c>
      <c r="F4904" s="15" t="str">
        <f aca="false">IF(B4904&lt;5,"Go","Standard")</f>
        <v>Standard</v>
      </c>
    </row>
    <row r="4905" customFormat="false" ht="15" hidden="false" customHeight="true" outlineLevel="0" collapsed="false">
      <c r="A4905" s="10" t="n">
        <f aca="false">Einstellungen!$B$5+INT((ROW()-9)/24)</f>
        <v>46170</v>
      </c>
      <c r="B4905" s="11" t="n">
        <f aca="false">MOD(ROW()-9,24)</f>
        <v>0</v>
      </c>
      <c r="C4905" s="12"/>
      <c r="D4905" s="13" t="n">
        <f aca="false">IF(B4905&lt;5,Einstellungen!$B$3,Einstellungen!$B$4)</f>
        <v>15.92</v>
      </c>
      <c r="E4905" s="14" t="str">
        <f aca="false">IF(C4905="","",C4905*D4905/100)</f>
        <v/>
      </c>
      <c r="F4905" s="15" t="str">
        <f aca="false">IF(B4905&lt;5,"Go","Standard")</f>
        <v>Go</v>
      </c>
    </row>
    <row r="4906" customFormat="false" ht="15" hidden="false" customHeight="true" outlineLevel="0" collapsed="false">
      <c r="A4906" s="10" t="n">
        <f aca="false">Einstellungen!$B$5+INT((ROW()-9)/24)</f>
        <v>46170</v>
      </c>
      <c r="B4906" s="11" t="n">
        <f aca="false">MOD(ROW()-9,24)</f>
        <v>1</v>
      </c>
      <c r="C4906" s="12"/>
      <c r="D4906" s="13" t="n">
        <f aca="false">IF(B4906&lt;5,Einstellungen!$B$3,Einstellungen!$B$4)</f>
        <v>15.92</v>
      </c>
      <c r="E4906" s="14" t="str">
        <f aca="false">IF(C4906="","",C4906*D4906/100)</f>
        <v/>
      </c>
      <c r="F4906" s="15" t="str">
        <f aca="false">IF(B4906&lt;5,"Go","Standard")</f>
        <v>Go</v>
      </c>
    </row>
    <row r="4907" customFormat="false" ht="15" hidden="false" customHeight="true" outlineLevel="0" collapsed="false">
      <c r="A4907" s="10" t="n">
        <f aca="false">Einstellungen!$B$5+INT((ROW()-9)/24)</f>
        <v>46170</v>
      </c>
      <c r="B4907" s="11" t="n">
        <f aca="false">MOD(ROW()-9,24)</f>
        <v>2</v>
      </c>
      <c r="C4907" s="12"/>
      <c r="D4907" s="13" t="n">
        <f aca="false">IF(B4907&lt;5,Einstellungen!$B$3,Einstellungen!$B$4)</f>
        <v>15.92</v>
      </c>
      <c r="E4907" s="14" t="str">
        <f aca="false">IF(C4907="","",C4907*D4907/100)</f>
        <v/>
      </c>
      <c r="F4907" s="15" t="str">
        <f aca="false">IF(B4907&lt;5,"Go","Standard")</f>
        <v>Go</v>
      </c>
    </row>
    <row r="4908" customFormat="false" ht="15" hidden="false" customHeight="true" outlineLevel="0" collapsed="false">
      <c r="A4908" s="10" t="n">
        <f aca="false">Einstellungen!$B$5+INT((ROW()-9)/24)</f>
        <v>46170</v>
      </c>
      <c r="B4908" s="11" t="n">
        <f aca="false">MOD(ROW()-9,24)</f>
        <v>3</v>
      </c>
      <c r="C4908" s="12"/>
      <c r="D4908" s="13" t="n">
        <f aca="false">IF(B4908&lt;5,Einstellungen!$B$3,Einstellungen!$B$4)</f>
        <v>15.92</v>
      </c>
      <c r="E4908" s="14" t="str">
        <f aca="false">IF(C4908="","",C4908*D4908/100)</f>
        <v/>
      </c>
      <c r="F4908" s="15" t="str">
        <f aca="false">IF(B4908&lt;5,"Go","Standard")</f>
        <v>Go</v>
      </c>
    </row>
    <row r="4909" customFormat="false" ht="15" hidden="false" customHeight="true" outlineLevel="0" collapsed="false">
      <c r="A4909" s="10" t="n">
        <f aca="false">Einstellungen!$B$5+INT((ROW()-9)/24)</f>
        <v>46170</v>
      </c>
      <c r="B4909" s="11" t="n">
        <f aca="false">MOD(ROW()-9,24)</f>
        <v>4</v>
      </c>
      <c r="C4909" s="12"/>
      <c r="D4909" s="13" t="n">
        <f aca="false">IF(B4909&lt;5,Einstellungen!$B$3,Einstellungen!$B$4)</f>
        <v>15.92</v>
      </c>
      <c r="E4909" s="14" t="str">
        <f aca="false">IF(C4909="","",C4909*D4909/100)</f>
        <v/>
      </c>
      <c r="F4909" s="15" t="str">
        <f aca="false">IF(B4909&lt;5,"Go","Standard")</f>
        <v>Go</v>
      </c>
    </row>
    <row r="4910" customFormat="false" ht="15" hidden="false" customHeight="true" outlineLevel="0" collapsed="false">
      <c r="A4910" s="10" t="n">
        <f aca="false">Einstellungen!$B$5+INT((ROW()-9)/24)</f>
        <v>46170</v>
      </c>
      <c r="B4910" s="11" t="n">
        <f aca="false">MOD(ROW()-9,24)</f>
        <v>5</v>
      </c>
      <c r="C4910" s="12"/>
      <c r="D4910" s="13" t="n">
        <f aca="false">IF(B4910&lt;5,Einstellungen!$B$3,Einstellungen!$B$4)</f>
        <v>29.13</v>
      </c>
      <c r="E4910" s="14" t="str">
        <f aca="false">IF(C4910="","",C4910*D4910/100)</f>
        <v/>
      </c>
      <c r="F4910" s="15" t="str">
        <f aca="false">IF(B4910&lt;5,"Go","Standard")</f>
        <v>Standard</v>
      </c>
    </row>
    <row r="4911" customFormat="false" ht="15" hidden="false" customHeight="true" outlineLevel="0" collapsed="false">
      <c r="A4911" s="10" t="n">
        <f aca="false">Einstellungen!$B$5+INT((ROW()-9)/24)</f>
        <v>46170</v>
      </c>
      <c r="B4911" s="11" t="n">
        <f aca="false">MOD(ROW()-9,24)</f>
        <v>6</v>
      </c>
      <c r="C4911" s="12"/>
      <c r="D4911" s="13" t="n">
        <f aca="false">IF(B4911&lt;5,Einstellungen!$B$3,Einstellungen!$B$4)</f>
        <v>29.13</v>
      </c>
      <c r="E4911" s="14" t="str">
        <f aca="false">IF(C4911="","",C4911*D4911/100)</f>
        <v/>
      </c>
      <c r="F4911" s="15" t="str">
        <f aca="false">IF(B4911&lt;5,"Go","Standard")</f>
        <v>Standard</v>
      </c>
    </row>
    <row r="4912" customFormat="false" ht="15" hidden="false" customHeight="true" outlineLevel="0" collapsed="false">
      <c r="A4912" s="10" t="n">
        <f aca="false">Einstellungen!$B$5+INT((ROW()-9)/24)</f>
        <v>46170</v>
      </c>
      <c r="B4912" s="11" t="n">
        <f aca="false">MOD(ROW()-9,24)</f>
        <v>7</v>
      </c>
      <c r="C4912" s="12"/>
      <c r="D4912" s="13" t="n">
        <f aca="false">IF(B4912&lt;5,Einstellungen!$B$3,Einstellungen!$B$4)</f>
        <v>29.13</v>
      </c>
      <c r="E4912" s="14" t="str">
        <f aca="false">IF(C4912="","",C4912*D4912/100)</f>
        <v/>
      </c>
      <c r="F4912" s="15" t="str">
        <f aca="false">IF(B4912&lt;5,"Go","Standard")</f>
        <v>Standard</v>
      </c>
    </row>
    <row r="4913" customFormat="false" ht="15" hidden="false" customHeight="true" outlineLevel="0" collapsed="false">
      <c r="A4913" s="10" t="n">
        <f aca="false">Einstellungen!$B$5+INT((ROW()-9)/24)</f>
        <v>46170</v>
      </c>
      <c r="B4913" s="11" t="n">
        <f aca="false">MOD(ROW()-9,24)</f>
        <v>8</v>
      </c>
      <c r="C4913" s="12"/>
      <c r="D4913" s="13" t="n">
        <f aca="false">IF(B4913&lt;5,Einstellungen!$B$3,Einstellungen!$B$4)</f>
        <v>29.13</v>
      </c>
      <c r="E4913" s="14" t="str">
        <f aca="false">IF(C4913="","",C4913*D4913/100)</f>
        <v/>
      </c>
      <c r="F4913" s="15" t="str">
        <f aca="false">IF(B4913&lt;5,"Go","Standard")</f>
        <v>Standard</v>
      </c>
    </row>
    <row r="4914" customFormat="false" ht="15" hidden="false" customHeight="true" outlineLevel="0" collapsed="false">
      <c r="A4914" s="10" t="n">
        <f aca="false">Einstellungen!$B$5+INT((ROW()-9)/24)</f>
        <v>46170</v>
      </c>
      <c r="B4914" s="11" t="n">
        <f aca="false">MOD(ROW()-9,24)</f>
        <v>9</v>
      </c>
      <c r="C4914" s="12"/>
      <c r="D4914" s="13" t="n">
        <f aca="false">IF(B4914&lt;5,Einstellungen!$B$3,Einstellungen!$B$4)</f>
        <v>29.13</v>
      </c>
      <c r="E4914" s="14" t="str">
        <f aca="false">IF(C4914="","",C4914*D4914/100)</f>
        <v/>
      </c>
      <c r="F4914" s="15" t="str">
        <f aca="false">IF(B4914&lt;5,"Go","Standard")</f>
        <v>Standard</v>
      </c>
    </row>
    <row r="4915" customFormat="false" ht="15" hidden="false" customHeight="true" outlineLevel="0" collapsed="false">
      <c r="A4915" s="10" t="n">
        <f aca="false">Einstellungen!$B$5+INT((ROW()-9)/24)</f>
        <v>46170</v>
      </c>
      <c r="B4915" s="11" t="n">
        <f aca="false">MOD(ROW()-9,24)</f>
        <v>10</v>
      </c>
      <c r="C4915" s="12"/>
      <c r="D4915" s="13" t="n">
        <f aca="false">IF(B4915&lt;5,Einstellungen!$B$3,Einstellungen!$B$4)</f>
        <v>29.13</v>
      </c>
      <c r="E4915" s="14" t="str">
        <f aca="false">IF(C4915="","",C4915*D4915/100)</f>
        <v/>
      </c>
      <c r="F4915" s="15" t="str">
        <f aca="false">IF(B4915&lt;5,"Go","Standard")</f>
        <v>Standard</v>
      </c>
    </row>
    <row r="4916" customFormat="false" ht="15" hidden="false" customHeight="true" outlineLevel="0" collapsed="false">
      <c r="A4916" s="10" t="n">
        <f aca="false">Einstellungen!$B$5+INT((ROW()-9)/24)</f>
        <v>46170</v>
      </c>
      <c r="B4916" s="11" t="n">
        <f aca="false">MOD(ROW()-9,24)</f>
        <v>11</v>
      </c>
      <c r="C4916" s="12"/>
      <c r="D4916" s="13" t="n">
        <f aca="false">IF(B4916&lt;5,Einstellungen!$B$3,Einstellungen!$B$4)</f>
        <v>29.13</v>
      </c>
      <c r="E4916" s="14" t="str">
        <f aca="false">IF(C4916="","",C4916*D4916/100)</f>
        <v/>
      </c>
      <c r="F4916" s="15" t="str">
        <f aca="false">IF(B4916&lt;5,"Go","Standard")</f>
        <v>Standard</v>
      </c>
    </row>
    <row r="4917" customFormat="false" ht="15" hidden="false" customHeight="true" outlineLevel="0" collapsed="false">
      <c r="A4917" s="10" t="n">
        <f aca="false">Einstellungen!$B$5+INT((ROW()-9)/24)</f>
        <v>46170</v>
      </c>
      <c r="B4917" s="11" t="n">
        <f aca="false">MOD(ROW()-9,24)</f>
        <v>12</v>
      </c>
      <c r="C4917" s="12"/>
      <c r="D4917" s="13" t="n">
        <f aca="false">IF(B4917&lt;5,Einstellungen!$B$3,Einstellungen!$B$4)</f>
        <v>29.13</v>
      </c>
      <c r="E4917" s="14" t="str">
        <f aca="false">IF(C4917="","",C4917*D4917/100)</f>
        <v/>
      </c>
      <c r="F4917" s="15" t="str">
        <f aca="false">IF(B4917&lt;5,"Go","Standard")</f>
        <v>Standard</v>
      </c>
    </row>
    <row r="4918" customFormat="false" ht="15" hidden="false" customHeight="true" outlineLevel="0" collapsed="false">
      <c r="A4918" s="10" t="n">
        <f aca="false">Einstellungen!$B$5+INT((ROW()-9)/24)</f>
        <v>46170</v>
      </c>
      <c r="B4918" s="11" t="n">
        <f aca="false">MOD(ROW()-9,24)</f>
        <v>13</v>
      </c>
      <c r="C4918" s="12"/>
      <c r="D4918" s="13" t="n">
        <f aca="false">IF(B4918&lt;5,Einstellungen!$B$3,Einstellungen!$B$4)</f>
        <v>29.13</v>
      </c>
      <c r="E4918" s="14" t="str">
        <f aca="false">IF(C4918="","",C4918*D4918/100)</f>
        <v/>
      </c>
      <c r="F4918" s="15" t="str">
        <f aca="false">IF(B4918&lt;5,"Go","Standard")</f>
        <v>Standard</v>
      </c>
    </row>
    <row r="4919" customFormat="false" ht="15" hidden="false" customHeight="true" outlineLevel="0" collapsed="false">
      <c r="A4919" s="10" t="n">
        <f aca="false">Einstellungen!$B$5+INT((ROW()-9)/24)</f>
        <v>46170</v>
      </c>
      <c r="B4919" s="11" t="n">
        <f aca="false">MOD(ROW()-9,24)</f>
        <v>14</v>
      </c>
      <c r="C4919" s="12"/>
      <c r="D4919" s="13" t="n">
        <f aca="false">IF(B4919&lt;5,Einstellungen!$B$3,Einstellungen!$B$4)</f>
        <v>29.13</v>
      </c>
      <c r="E4919" s="14" t="str">
        <f aca="false">IF(C4919="","",C4919*D4919/100)</f>
        <v/>
      </c>
      <c r="F4919" s="15" t="str">
        <f aca="false">IF(B4919&lt;5,"Go","Standard")</f>
        <v>Standard</v>
      </c>
    </row>
    <row r="4920" customFormat="false" ht="15" hidden="false" customHeight="true" outlineLevel="0" collapsed="false">
      <c r="A4920" s="10" t="n">
        <f aca="false">Einstellungen!$B$5+INT((ROW()-9)/24)</f>
        <v>46170</v>
      </c>
      <c r="B4920" s="11" t="n">
        <f aca="false">MOD(ROW()-9,24)</f>
        <v>15</v>
      </c>
      <c r="C4920" s="12"/>
      <c r="D4920" s="13" t="n">
        <f aca="false">IF(B4920&lt;5,Einstellungen!$B$3,Einstellungen!$B$4)</f>
        <v>29.13</v>
      </c>
      <c r="E4920" s="14" t="str">
        <f aca="false">IF(C4920="","",C4920*D4920/100)</f>
        <v/>
      </c>
      <c r="F4920" s="15" t="str">
        <f aca="false">IF(B4920&lt;5,"Go","Standard")</f>
        <v>Standard</v>
      </c>
    </row>
    <row r="4921" customFormat="false" ht="15" hidden="false" customHeight="true" outlineLevel="0" collapsed="false">
      <c r="A4921" s="10" t="n">
        <f aca="false">Einstellungen!$B$5+INT((ROW()-9)/24)</f>
        <v>46170</v>
      </c>
      <c r="B4921" s="11" t="n">
        <f aca="false">MOD(ROW()-9,24)</f>
        <v>16</v>
      </c>
      <c r="C4921" s="12"/>
      <c r="D4921" s="13" t="n">
        <f aca="false">IF(B4921&lt;5,Einstellungen!$B$3,Einstellungen!$B$4)</f>
        <v>29.13</v>
      </c>
      <c r="E4921" s="14" t="str">
        <f aca="false">IF(C4921="","",C4921*D4921/100)</f>
        <v/>
      </c>
      <c r="F4921" s="15" t="str">
        <f aca="false">IF(B4921&lt;5,"Go","Standard")</f>
        <v>Standard</v>
      </c>
    </row>
    <row r="4922" customFormat="false" ht="15" hidden="false" customHeight="true" outlineLevel="0" collapsed="false">
      <c r="A4922" s="10" t="n">
        <f aca="false">Einstellungen!$B$5+INT((ROW()-9)/24)</f>
        <v>46170</v>
      </c>
      <c r="B4922" s="11" t="n">
        <f aca="false">MOD(ROW()-9,24)</f>
        <v>17</v>
      </c>
      <c r="C4922" s="12"/>
      <c r="D4922" s="13" t="n">
        <f aca="false">IF(B4922&lt;5,Einstellungen!$B$3,Einstellungen!$B$4)</f>
        <v>29.13</v>
      </c>
      <c r="E4922" s="14" t="str">
        <f aca="false">IF(C4922="","",C4922*D4922/100)</f>
        <v/>
      </c>
      <c r="F4922" s="15" t="str">
        <f aca="false">IF(B4922&lt;5,"Go","Standard")</f>
        <v>Standard</v>
      </c>
    </row>
    <row r="4923" customFormat="false" ht="15" hidden="false" customHeight="true" outlineLevel="0" collapsed="false">
      <c r="A4923" s="10" t="n">
        <f aca="false">Einstellungen!$B$5+INT((ROW()-9)/24)</f>
        <v>46170</v>
      </c>
      <c r="B4923" s="11" t="n">
        <f aca="false">MOD(ROW()-9,24)</f>
        <v>18</v>
      </c>
      <c r="C4923" s="12"/>
      <c r="D4923" s="13" t="n">
        <f aca="false">IF(B4923&lt;5,Einstellungen!$B$3,Einstellungen!$B$4)</f>
        <v>29.13</v>
      </c>
      <c r="E4923" s="14" t="str">
        <f aca="false">IF(C4923="","",C4923*D4923/100)</f>
        <v/>
      </c>
      <c r="F4923" s="15" t="str">
        <f aca="false">IF(B4923&lt;5,"Go","Standard")</f>
        <v>Standard</v>
      </c>
    </row>
    <row r="4924" customFormat="false" ht="15" hidden="false" customHeight="true" outlineLevel="0" collapsed="false">
      <c r="A4924" s="10" t="n">
        <f aca="false">Einstellungen!$B$5+INT((ROW()-9)/24)</f>
        <v>46170</v>
      </c>
      <c r="B4924" s="11" t="n">
        <f aca="false">MOD(ROW()-9,24)</f>
        <v>19</v>
      </c>
      <c r="C4924" s="12"/>
      <c r="D4924" s="13" t="n">
        <f aca="false">IF(B4924&lt;5,Einstellungen!$B$3,Einstellungen!$B$4)</f>
        <v>29.13</v>
      </c>
      <c r="E4924" s="14" t="str">
        <f aca="false">IF(C4924="","",C4924*D4924/100)</f>
        <v/>
      </c>
      <c r="F4924" s="15" t="str">
        <f aca="false">IF(B4924&lt;5,"Go","Standard")</f>
        <v>Standard</v>
      </c>
    </row>
    <row r="4925" customFormat="false" ht="15" hidden="false" customHeight="true" outlineLevel="0" collapsed="false">
      <c r="A4925" s="10" t="n">
        <f aca="false">Einstellungen!$B$5+INT((ROW()-9)/24)</f>
        <v>46170</v>
      </c>
      <c r="B4925" s="11" t="n">
        <f aca="false">MOD(ROW()-9,24)</f>
        <v>20</v>
      </c>
      <c r="C4925" s="12"/>
      <c r="D4925" s="13" t="n">
        <f aca="false">IF(B4925&lt;5,Einstellungen!$B$3,Einstellungen!$B$4)</f>
        <v>29.13</v>
      </c>
      <c r="E4925" s="14" t="str">
        <f aca="false">IF(C4925="","",C4925*D4925/100)</f>
        <v/>
      </c>
      <c r="F4925" s="15" t="str">
        <f aca="false">IF(B4925&lt;5,"Go","Standard")</f>
        <v>Standard</v>
      </c>
    </row>
    <row r="4926" customFormat="false" ht="15" hidden="false" customHeight="true" outlineLevel="0" collapsed="false">
      <c r="A4926" s="10" t="n">
        <f aca="false">Einstellungen!$B$5+INT((ROW()-9)/24)</f>
        <v>46170</v>
      </c>
      <c r="B4926" s="11" t="n">
        <f aca="false">MOD(ROW()-9,24)</f>
        <v>21</v>
      </c>
      <c r="C4926" s="12"/>
      <c r="D4926" s="13" t="n">
        <f aca="false">IF(B4926&lt;5,Einstellungen!$B$3,Einstellungen!$B$4)</f>
        <v>29.13</v>
      </c>
      <c r="E4926" s="14" t="str">
        <f aca="false">IF(C4926="","",C4926*D4926/100)</f>
        <v/>
      </c>
      <c r="F4926" s="15" t="str">
        <f aca="false">IF(B4926&lt;5,"Go","Standard")</f>
        <v>Standard</v>
      </c>
    </row>
    <row r="4927" customFormat="false" ht="15" hidden="false" customHeight="true" outlineLevel="0" collapsed="false">
      <c r="A4927" s="10" t="n">
        <f aca="false">Einstellungen!$B$5+INT((ROW()-9)/24)</f>
        <v>46170</v>
      </c>
      <c r="B4927" s="11" t="n">
        <f aca="false">MOD(ROW()-9,24)</f>
        <v>22</v>
      </c>
      <c r="C4927" s="12"/>
      <c r="D4927" s="13" t="n">
        <f aca="false">IF(B4927&lt;5,Einstellungen!$B$3,Einstellungen!$B$4)</f>
        <v>29.13</v>
      </c>
      <c r="E4927" s="14" t="str">
        <f aca="false">IF(C4927="","",C4927*D4927/100)</f>
        <v/>
      </c>
      <c r="F4927" s="15" t="str">
        <f aca="false">IF(B4927&lt;5,"Go","Standard")</f>
        <v>Standard</v>
      </c>
    </row>
    <row r="4928" customFormat="false" ht="15" hidden="false" customHeight="true" outlineLevel="0" collapsed="false">
      <c r="A4928" s="10" t="n">
        <f aca="false">Einstellungen!$B$5+INT((ROW()-9)/24)</f>
        <v>46170</v>
      </c>
      <c r="B4928" s="11" t="n">
        <f aca="false">MOD(ROW()-9,24)</f>
        <v>23</v>
      </c>
      <c r="C4928" s="12"/>
      <c r="D4928" s="13" t="n">
        <f aca="false">IF(B4928&lt;5,Einstellungen!$B$3,Einstellungen!$B$4)</f>
        <v>29.13</v>
      </c>
      <c r="E4928" s="14" t="str">
        <f aca="false">IF(C4928="","",C4928*D4928/100)</f>
        <v/>
      </c>
      <c r="F4928" s="15" t="str">
        <f aca="false">IF(B4928&lt;5,"Go","Standard")</f>
        <v>Standard</v>
      </c>
    </row>
    <row r="4929" customFormat="false" ht="15" hidden="false" customHeight="true" outlineLevel="0" collapsed="false">
      <c r="A4929" s="10" t="n">
        <f aca="false">Einstellungen!$B$5+INT((ROW()-9)/24)</f>
        <v>46171</v>
      </c>
      <c r="B4929" s="11" t="n">
        <f aca="false">MOD(ROW()-9,24)</f>
        <v>0</v>
      </c>
      <c r="C4929" s="12"/>
      <c r="D4929" s="13" t="n">
        <f aca="false">IF(B4929&lt;5,Einstellungen!$B$3,Einstellungen!$B$4)</f>
        <v>15.92</v>
      </c>
      <c r="E4929" s="14" t="str">
        <f aca="false">IF(C4929="","",C4929*D4929/100)</f>
        <v/>
      </c>
      <c r="F4929" s="15" t="str">
        <f aca="false">IF(B4929&lt;5,"Go","Standard")</f>
        <v>Go</v>
      </c>
    </row>
    <row r="4930" customFormat="false" ht="15" hidden="false" customHeight="true" outlineLevel="0" collapsed="false">
      <c r="A4930" s="10" t="n">
        <f aca="false">Einstellungen!$B$5+INT((ROW()-9)/24)</f>
        <v>46171</v>
      </c>
      <c r="B4930" s="11" t="n">
        <f aca="false">MOD(ROW()-9,24)</f>
        <v>1</v>
      </c>
      <c r="C4930" s="12"/>
      <c r="D4930" s="13" t="n">
        <f aca="false">IF(B4930&lt;5,Einstellungen!$B$3,Einstellungen!$B$4)</f>
        <v>15.92</v>
      </c>
      <c r="E4930" s="14" t="str">
        <f aca="false">IF(C4930="","",C4930*D4930/100)</f>
        <v/>
      </c>
      <c r="F4930" s="15" t="str">
        <f aca="false">IF(B4930&lt;5,"Go","Standard")</f>
        <v>Go</v>
      </c>
    </row>
    <row r="4931" customFormat="false" ht="15" hidden="false" customHeight="true" outlineLevel="0" collapsed="false">
      <c r="A4931" s="10" t="n">
        <f aca="false">Einstellungen!$B$5+INT((ROW()-9)/24)</f>
        <v>46171</v>
      </c>
      <c r="B4931" s="11" t="n">
        <f aca="false">MOD(ROW()-9,24)</f>
        <v>2</v>
      </c>
      <c r="C4931" s="12"/>
      <c r="D4931" s="13" t="n">
        <f aca="false">IF(B4931&lt;5,Einstellungen!$B$3,Einstellungen!$B$4)</f>
        <v>15.92</v>
      </c>
      <c r="E4931" s="14" t="str">
        <f aca="false">IF(C4931="","",C4931*D4931/100)</f>
        <v/>
      </c>
      <c r="F4931" s="15" t="str">
        <f aca="false">IF(B4931&lt;5,"Go","Standard")</f>
        <v>Go</v>
      </c>
    </row>
    <row r="4932" customFormat="false" ht="15" hidden="false" customHeight="true" outlineLevel="0" collapsed="false">
      <c r="A4932" s="10" t="n">
        <f aca="false">Einstellungen!$B$5+INT((ROW()-9)/24)</f>
        <v>46171</v>
      </c>
      <c r="B4932" s="11" t="n">
        <f aca="false">MOD(ROW()-9,24)</f>
        <v>3</v>
      </c>
      <c r="C4932" s="12"/>
      <c r="D4932" s="13" t="n">
        <f aca="false">IF(B4932&lt;5,Einstellungen!$B$3,Einstellungen!$B$4)</f>
        <v>15.92</v>
      </c>
      <c r="E4932" s="14" t="str">
        <f aca="false">IF(C4932="","",C4932*D4932/100)</f>
        <v/>
      </c>
      <c r="F4932" s="15" t="str">
        <f aca="false">IF(B4932&lt;5,"Go","Standard")</f>
        <v>Go</v>
      </c>
    </row>
    <row r="4933" customFormat="false" ht="15" hidden="false" customHeight="true" outlineLevel="0" collapsed="false">
      <c r="A4933" s="10" t="n">
        <f aca="false">Einstellungen!$B$5+INT((ROW()-9)/24)</f>
        <v>46171</v>
      </c>
      <c r="B4933" s="11" t="n">
        <f aca="false">MOD(ROW()-9,24)</f>
        <v>4</v>
      </c>
      <c r="C4933" s="12"/>
      <c r="D4933" s="13" t="n">
        <f aca="false">IF(B4933&lt;5,Einstellungen!$B$3,Einstellungen!$B$4)</f>
        <v>15.92</v>
      </c>
      <c r="E4933" s="14" t="str">
        <f aca="false">IF(C4933="","",C4933*D4933/100)</f>
        <v/>
      </c>
      <c r="F4933" s="15" t="str">
        <f aca="false">IF(B4933&lt;5,"Go","Standard")</f>
        <v>Go</v>
      </c>
    </row>
    <row r="4934" customFormat="false" ht="15" hidden="false" customHeight="true" outlineLevel="0" collapsed="false">
      <c r="A4934" s="10" t="n">
        <f aca="false">Einstellungen!$B$5+INT((ROW()-9)/24)</f>
        <v>46171</v>
      </c>
      <c r="B4934" s="11" t="n">
        <f aca="false">MOD(ROW()-9,24)</f>
        <v>5</v>
      </c>
      <c r="C4934" s="12"/>
      <c r="D4934" s="13" t="n">
        <f aca="false">IF(B4934&lt;5,Einstellungen!$B$3,Einstellungen!$B$4)</f>
        <v>29.13</v>
      </c>
      <c r="E4934" s="14" t="str">
        <f aca="false">IF(C4934="","",C4934*D4934/100)</f>
        <v/>
      </c>
      <c r="F4934" s="15" t="str">
        <f aca="false">IF(B4934&lt;5,"Go","Standard")</f>
        <v>Standard</v>
      </c>
    </row>
    <row r="4935" customFormat="false" ht="15" hidden="false" customHeight="true" outlineLevel="0" collapsed="false">
      <c r="A4935" s="10" t="n">
        <f aca="false">Einstellungen!$B$5+INT((ROW()-9)/24)</f>
        <v>46171</v>
      </c>
      <c r="B4935" s="11" t="n">
        <f aca="false">MOD(ROW()-9,24)</f>
        <v>6</v>
      </c>
      <c r="C4935" s="12"/>
      <c r="D4935" s="13" t="n">
        <f aca="false">IF(B4935&lt;5,Einstellungen!$B$3,Einstellungen!$B$4)</f>
        <v>29.13</v>
      </c>
      <c r="E4935" s="14" t="str">
        <f aca="false">IF(C4935="","",C4935*D4935/100)</f>
        <v/>
      </c>
      <c r="F4935" s="15" t="str">
        <f aca="false">IF(B4935&lt;5,"Go","Standard")</f>
        <v>Standard</v>
      </c>
    </row>
    <row r="4936" customFormat="false" ht="15" hidden="false" customHeight="true" outlineLevel="0" collapsed="false">
      <c r="A4936" s="10" t="n">
        <f aca="false">Einstellungen!$B$5+INT((ROW()-9)/24)</f>
        <v>46171</v>
      </c>
      <c r="B4936" s="11" t="n">
        <f aca="false">MOD(ROW()-9,24)</f>
        <v>7</v>
      </c>
      <c r="C4936" s="12"/>
      <c r="D4936" s="13" t="n">
        <f aca="false">IF(B4936&lt;5,Einstellungen!$B$3,Einstellungen!$B$4)</f>
        <v>29.13</v>
      </c>
      <c r="E4936" s="14" t="str">
        <f aca="false">IF(C4936="","",C4936*D4936/100)</f>
        <v/>
      </c>
      <c r="F4936" s="15" t="str">
        <f aca="false">IF(B4936&lt;5,"Go","Standard")</f>
        <v>Standard</v>
      </c>
    </row>
    <row r="4937" customFormat="false" ht="15" hidden="false" customHeight="true" outlineLevel="0" collapsed="false">
      <c r="A4937" s="10" t="n">
        <f aca="false">Einstellungen!$B$5+INT((ROW()-9)/24)</f>
        <v>46171</v>
      </c>
      <c r="B4937" s="11" t="n">
        <f aca="false">MOD(ROW()-9,24)</f>
        <v>8</v>
      </c>
      <c r="C4937" s="12"/>
      <c r="D4937" s="13" t="n">
        <f aca="false">IF(B4937&lt;5,Einstellungen!$B$3,Einstellungen!$B$4)</f>
        <v>29.13</v>
      </c>
      <c r="E4937" s="14" t="str">
        <f aca="false">IF(C4937="","",C4937*D4937/100)</f>
        <v/>
      </c>
      <c r="F4937" s="15" t="str">
        <f aca="false">IF(B4937&lt;5,"Go","Standard")</f>
        <v>Standard</v>
      </c>
    </row>
    <row r="4938" customFormat="false" ht="15" hidden="false" customHeight="true" outlineLevel="0" collapsed="false">
      <c r="A4938" s="10" t="n">
        <f aca="false">Einstellungen!$B$5+INT((ROW()-9)/24)</f>
        <v>46171</v>
      </c>
      <c r="B4938" s="11" t="n">
        <f aca="false">MOD(ROW()-9,24)</f>
        <v>9</v>
      </c>
      <c r="C4938" s="12"/>
      <c r="D4938" s="13" t="n">
        <f aca="false">IF(B4938&lt;5,Einstellungen!$B$3,Einstellungen!$B$4)</f>
        <v>29.13</v>
      </c>
      <c r="E4938" s="14" t="str">
        <f aca="false">IF(C4938="","",C4938*D4938/100)</f>
        <v/>
      </c>
      <c r="F4938" s="15" t="str">
        <f aca="false">IF(B4938&lt;5,"Go","Standard")</f>
        <v>Standard</v>
      </c>
    </row>
    <row r="4939" customFormat="false" ht="15" hidden="false" customHeight="true" outlineLevel="0" collapsed="false">
      <c r="A4939" s="10" t="n">
        <f aca="false">Einstellungen!$B$5+INT((ROW()-9)/24)</f>
        <v>46171</v>
      </c>
      <c r="B4939" s="11" t="n">
        <f aca="false">MOD(ROW()-9,24)</f>
        <v>10</v>
      </c>
      <c r="C4939" s="12"/>
      <c r="D4939" s="13" t="n">
        <f aca="false">IF(B4939&lt;5,Einstellungen!$B$3,Einstellungen!$B$4)</f>
        <v>29.13</v>
      </c>
      <c r="E4939" s="14" t="str">
        <f aca="false">IF(C4939="","",C4939*D4939/100)</f>
        <v/>
      </c>
      <c r="F4939" s="15" t="str">
        <f aca="false">IF(B4939&lt;5,"Go","Standard")</f>
        <v>Standard</v>
      </c>
    </row>
    <row r="4940" customFormat="false" ht="15" hidden="false" customHeight="true" outlineLevel="0" collapsed="false">
      <c r="A4940" s="10" t="n">
        <f aca="false">Einstellungen!$B$5+INT((ROW()-9)/24)</f>
        <v>46171</v>
      </c>
      <c r="B4940" s="11" t="n">
        <f aca="false">MOD(ROW()-9,24)</f>
        <v>11</v>
      </c>
      <c r="C4940" s="12"/>
      <c r="D4940" s="13" t="n">
        <f aca="false">IF(B4940&lt;5,Einstellungen!$B$3,Einstellungen!$B$4)</f>
        <v>29.13</v>
      </c>
      <c r="E4940" s="14" t="str">
        <f aca="false">IF(C4940="","",C4940*D4940/100)</f>
        <v/>
      </c>
      <c r="F4940" s="15" t="str">
        <f aca="false">IF(B4940&lt;5,"Go","Standard")</f>
        <v>Standard</v>
      </c>
    </row>
    <row r="4941" customFormat="false" ht="15" hidden="false" customHeight="true" outlineLevel="0" collapsed="false">
      <c r="A4941" s="10" t="n">
        <f aca="false">Einstellungen!$B$5+INT((ROW()-9)/24)</f>
        <v>46171</v>
      </c>
      <c r="B4941" s="11" t="n">
        <f aca="false">MOD(ROW()-9,24)</f>
        <v>12</v>
      </c>
      <c r="C4941" s="12"/>
      <c r="D4941" s="13" t="n">
        <f aca="false">IF(B4941&lt;5,Einstellungen!$B$3,Einstellungen!$B$4)</f>
        <v>29.13</v>
      </c>
      <c r="E4941" s="14" t="str">
        <f aca="false">IF(C4941="","",C4941*D4941/100)</f>
        <v/>
      </c>
      <c r="F4941" s="15" t="str">
        <f aca="false">IF(B4941&lt;5,"Go","Standard")</f>
        <v>Standard</v>
      </c>
    </row>
    <row r="4942" customFormat="false" ht="15" hidden="false" customHeight="true" outlineLevel="0" collapsed="false">
      <c r="A4942" s="10" t="n">
        <f aca="false">Einstellungen!$B$5+INT((ROW()-9)/24)</f>
        <v>46171</v>
      </c>
      <c r="B4942" s="11" t="n">
        <f aca="false">MOD(ROW()-9,24)</f>
        <v>13</v>
      </c>
      <c r="C4942" s="12"/>
      <c r="D4942" s="13" t="n">
        <f aca="false">IF(B4942&lt;5,Einstellungen!$B$3,Einstellungen!$B$4)</f>
        <v>29.13</v>
      </c>
      <c r="E4942" s="14" t="str">
        <f aca="false">IF(C4942="","",C4942*D4942/100)</f>
        <v/>
      </c>
      <c r="F4942" s="15" t="str">
        <f aca="false">IF(B4942&lt;5,"Go","Standard")</f>
        <v>Standard</v>
      </c>
    </row>
    <row r="4943" customFormat="false" ht="15" hidden="false" customHeight="true" outlineLevel="0" collapsed="false">
      <c r="A4943" s="10" t="n">
        <f aca="false">Einstellungen!$B$5+INT((ROW()-9)/24)</f>
        <v>46171</v>
      </c>
      <c r="B4943" s="11" t="n">
        <f aca="false">MOD(ROW()-9,24)</f>
        <v>14</v>
      </c>
      <c r="C4943" s="12"/>
      <c r="D4943" s="13" t="n">
        <f aca="false">IF(B4943&lt;5,Einstellungen!$B$3,Einstellungen!$B$4)</f>
        <v>29.13</v>
      </c>
      <c r="E4943" s="14" t="str">
        <f aca="false">IF(C4943="","",C4943*D4943/100)</f>
        <v/>
      </c>
      <c r="F4943" s="15" t="str">
        <f aca="false">IF(B4943&lt;5,"Go","Standard")</f>
        <v>Standard</v>
      </c>
    </row>
    <row r="4944" customFormat="false" ht="15" hidden="false" customHeight="true" outlineLevel="0" collapsed="false">
      <c r="A4944" s="10" t="n">
        <f aca="false">Einstellungen!$B$5+INT((ROW()-9)/24)</f>
        <v>46171</v>
      </c>
      <c r="B4944" s="11" t="n">
        <f aca="false">MOD(ROW()-9,24)</f>
        <v>15</v>
      </c>
      <c r="C4944" s="12"/>
      <c r="D4944" s="13" t="n">
        <f aca="false">IF(B4944&lt;5,Einstellungen!$B$3,Einstellungen!$B$4)</f>
        <v>29.13</v>
      </c>
      <c r="E4944" s="14" t="str">
        <f aca="false">IF(C4944="","",C4944*D4944/100)</f>
        <v/>
      </c>
      <c r="F4944" s="15" t="str">
        <f aca="false">IF(B4944&lt;5,"Go","Standard")</f>
        <v>Standard</v>
      </c>
    </row>
    <row r="4945" customFormat="false" ht="15" hidden="false" customHeight="true" outlineLevel="0" collapsed="false">
      <c r="A4945" s="10" t="n">
        <f aca="false">Einstellungen!$B$5+INT((ROW()-9)/24)</f>
        <v>46171</v>
      </c>
      <c r="B4945" s="11" t="n">
        <f aca="false">MOD(ROW()-9,24)</f>
        <v>16</v>
      </c>
      <c r="C4945" s="12"/>
      <c r="D4945" s="13" t="n">
        <f aca="false">IF(B4945&lt;5,Einstellungen!$B$3,Einstellungen!$B$4)</f>
        <v>29.13</v>
      </c>
      <c r="E4945" s="14" t="str">
        <f aca="false">IF(C4945="","",C4945*D4945/100)</f>
        <v/>
      </c>
      <c r="F4945" s="15" t="str">
        <f aca="false">IF(B4945&lt;5,"Go","Standard")</f>
        <v>Standard</v>
      </c>
    </row>
    <row r="4946" customFormat="false" ht="15" hidden="false" customHeight="true" outlineLevel="0" collapsed="false">
      <c r="A4946" s="10" t="n">
        <f aca="false">Einstellungen!$B$5+INT((ROW()-9)/24)</f>
        <v>46171</v>
      </c>
      <c r="B4946" s="11" t="n">
        <f aca="false">MOD(ROW()-9,24)</f>
        <v>17</v>
      </c>
      <c r="C4946" s="12"/>
      <c r="D4946" s="13" t="n">
        <f aca="false">IF(B4946&lt;5,Einstellungen!$B$3,Einstellungen!$B$4)</f>
        <v>29.13</v>
      </c>
      <c r="E4946" s="14" t="str">
        <f aca="false">IF(C4946="","",C4946*D4946/100)</f>
        <v/>
      </c>
      <c r="F4946" s="15" t="str">
        <f aca="false">IF(B4946&lt;5,"Go","Standard")</f>
        <v>Standard</v>
      </c>
    </row>
    <row r="4947" customFormat="false" ht="15" hidden="false" customHeight="true" outlineLevel="0" collapsed="false">
      <c r="A4947" s="10" t="n">
        <f aca="false">Einstellungen!$B$5+INT((ROW()-9)/24)</f>
        <v>46171</v>
      </c>
      <c r="B4947" s="11" t="n">
        <f aca="false">MOD(ROW()-9,24)</f>
        <v>18</v>
      </c>
      <c r="C4947" s="12"/>
      <c r="D4947" s="13" t="n">
        <f aca="false">IF(B4947&lt;5,Einstellungen!$B$3,Einstellungen!$B$4)</f>
        <v>29.13</v>
      </c>
      <c r="E4947" s="14" t="str">
        <f aca="false">IF(C4947="","",C4947*D4947/100)</f>
        <v/>
      </c>
      <c r="F4947" s="15" t="str">
        <f aca="false">IF(B4947&lt;5,"Go","Standard")</f>
        <v>Standard</v>
      </c>
    </row>
    <row r="4948" customFormat="false" ht="15" hidden="false" customHeight="true" outlineLevel="0" collapsed="false">
      <c r="A4948" s="10" t="n">
        <f aca="false">Einstellungen!$B$5+INT((ROW()-9)/24)</f>
        <v>46171</v>
      </c>
      <c r="B4948" s="11" t="n">
        <f aca="false">MOD(ROW()-9,24)</f>
        <v>19</v>
      </c>
      <c r="C4948" s="12"/>
      <c r="D4948" s="13" t="n">
        <f aca="false">IF(B4948&lt;5,Einstellungen!$B$3,Einstellungen!$B$4)</f>
        <v>29.13</v>
      </c>
      <c r="E4948" s="14" t="str">
        <f aca="false">IF(C4948="","",C4948*D4948/100)</f>
        <v/>
      </c>
      <c r="F4948" s="15" t="str">
        <f aca="false">IF(B4948&lt;5,"Go","Standard")</f>
        <v>Standard</v>
      </c>
    </row>
    <row r="4949" customFormat="false" ht="15" hidden="false" customHeight="true" outlineLevel="0" collapsed="false">
      <c r="A4949" s="10" t="n">
        <f aca="false">Einstellungen!$B$5+INT((ROW()-9)/24)</f>
        <v>46171</v>
      </c>
      <c r="B4949" s="11" t="n">
        <f aca="false">MOD(ROW()-9,24)</f>
        <v>20</v>
      </c>
      <c r="C4949" s="12"/>
      <c r="D4949" s="13" t="n">
        <f aca="false">IF(B4949&lt;5,Einstellungen!$B$3,Einstellungen!$B$4)</f>
        <v>29.13</v>
      </c>
      <c r="E4949" s="14" t="str">
        <f aca="false">IF(C4949="","",C4949*D4949/100)</f>
        <v/>
      </c>
      <c r="F4949" s="15" t="str">
        <f aca="false">IF(B4949&lt;5,"Go","Standard")</f>
        <v>Standard</v>
      </c>
    </row>
    <row r="4950" customFormat="false" ht="15" hidden="false" customHeight="true" outlineLevel="0" collapsed="false">
      <c r="A4950" s="10" t="n">
        <f aca="false">Einstellungen!$B$5+INT((ROW()-9)/24)</f>
        <v>46171</v>
      </c>
      <c r="B4950" s="11" t="n">
        <f aca="false">MOD(ROW()-9,24)</f>
        <v>21</v>
      </c>
      <c r="C4950" s="12"/>
      <c r="D4950" s="13" t="n">
        <f aca="false">IF(B4950&lt;5,Einstellungen!$B$3,Einstellungen!$B$4)</f>
        <v>29.13</v>
      </c>
      <c r="E4950" s="14" t="str">
        <f aca="false">IF(C4950="","",C4950*D4950/100)</f>
        <v/>
      </c>
      <c r="F4950" s="15" t="str">
        <f aca="false">IF(B4950&lt;5,"Go","Standard")</f>
        <v>Standard</v>
      </c>
    </row>
    <row r="4951" customFormat="false" ht="15" hidden="false" customHeight="true" outlineLevel="0" collapsed="false">
      <c r="A4951" s="10" t="n">
        <f aca="false">Einstellungen!$B$5+INT((ROW()-9)/24)</f>
        <v>46171</v>
      </c>
      <c r="B4951" s="11" t="n">
        <f aca="false">MOD(ROW()-9,24)</f>
        <v>22</v>
      </c>
      <c r="C4951" s="12"/>
      <c r="D4951" s="13" t="n">
        <f aca="false">IF(B4951&lt;5,Einstellungen!$B$3,Einstellungen!$B$4)</f>
        <v>29.13</v>
      </c>
      <c r="E4951" s="14" t="str">
        <f aca="false">IF(C4951="","",C4951*D4951/100)</f>
        <v/>
      </c>
      <c r="F4951" s="15" t="str">
        <f aca="false">IF(B4951&lt;5,"Go","Standard")</f>
        <v>Standard</v>
      </c>
    </row>
    <row r="4952" customFormat="false" ht="15" hidden="false" customHeight="true" outlineLevel="0" collapsed="false">
      <c r="A4952" s="10" t="n">
        <f aca="false">Einstellungen!$B$5+INT((ROW()-9)/24)</f>
        <v>46171</v>
      </c>
      <c r="B4952" s="11" t="n">
        <f aca="false">MOD(ROW()-9,24)</f>
        <v>23</v>
      </c>
      <c r="C4952" s="12"/>
      <c r="D4952" s="13" t="n">
        <f aca="false">IF(B4952&lt;5,Einstellungen!$B$3,Einstellungen!$B$4)</f>
        <v>29.13</v>
      </c>
      <c r="E4952" s="14" t="str">
        <f aca="false">IF(C4952="","",C4952*D4952/100)</f>
        <v/>
      </c>
      <c r="F4952" s="15" t="str">
        <f aca="false">IF(B4952&lt;5,"Go","Standard")</f>
        <v>Standard</v>
      </c>
    </row>
    <row r="4953" customFormat="false" ht="15" hidden="false" customHeight="true" outlineLevel="0" collapsed="false">
      <c r="A4953" s="10" t="n">
        <f aca="false">Einstellungen!$B$5+INT((ROW()-9)/24)</f>
        <v>46172</v>
      </c>
      <c r="B4953" s="11" t="n">
        <f aca="false">MOD(ROW()-9,24)</f>
        <v>0</v>
      </c>
      <c r="C4953" s="12"/>
      <c r="D4953" s="13" t="n">
        <f aca="false">IF(B4953&lt;5,Einstellungen!$B$3,Einstellungen!$B$4)</f>
        <v>15.92</v>
      </c>
      <c r="E4953" s="14" t="str">
        <f aca="false">IF(C4953="","",C4953*D4953/100)</f>
        <v/>
      </c>
      <c r="F4953" s="15" t="str">
        <f aca="false">IF(B4953&lt;5,"Go","Standard")</f>
        <v>Go</v>
      </c>
    </row>
    <row r="4954" customFormat="false" ht="15" hidden="false" customHeight="true" outlineLevel="0" collapsed="false">
      <c r="A4954" s="10" t="n">
        <f aca="false">Einstellungen!$B$5+INT((ROW()-9)/24)</f>
        <v>46172</v>
      </c>
      <c r="B4954" s="11" t="n">
        <f aca="false">MOD(ROW()-9,24)</f>
        <v>1</v>
      </c>
      <c r="C4954" s="12"/>
      <c r="D4954" s="13" t="n">
        <f aca="false">IF(B4954&lt;5,Einstellungen!$B$3,Einstellungen!$B$4)</f>
        <v>15.92</v>
      </c>
      <c r="E4954" s="14" t="str">
        <f aca="false">IF(C4954="","",C4954*D4954/100)</f>
        <v/>
      </c>
      <c r="F4954" s="15" t="str">
        <f aca="false">IF(B4954&lt;5,"Go","Standard")</f>
        <v>Go</v>
      </c>
    </row>
    <row r="4955" customFormat="false" ht="15" hidden="false" customHeight="true" outlineLevel="0" collapsed="false">
      <c r="A4955" s="10" t="n">
        <f aca="false">Einstellungen!$B$5+INT((ROW()-9)/24)</f>
        <v>46172</v>
      </c>
      <c r="B4955" s="11" t="n">
        <f aca="false">MOD(ROW()-9,24)</f>
        <v>2</v>
      </c>
      <c r="C4955" s="12"/>
      <c r="D4955" s="13" t="n">
        <f aca="false">IF(B4955&lt;5,Einstellungen!$B$3,Einstellungen!$B$4)</f>
        <v>15.92</v>
      </c>
      <c r="E4955" s="14" t="str">
        <f aca="false">IF(C4955="","",C4955*D4955/100)</f>
        <v/>
      </c>
      <c r="F4955" s="15" t="str">
        <f aca="false">IF(B4955&lt;5,"Go","Standard")</f>
        <v>Go</v>
      </c>
    </row>
    <row r="4956" customFormat="false" ht="15" hidden="false" customHeight="true" outlineLevel="0" collapsed="false">
      <c r="A4956" s="10" t="n">
        <f aca="false">Einstellungen!$B$5+INT((ROW()-9)/24)</f>
        <v>46172</v>
      </c>
      <c r="B4956" s="11" t="n">
        <f aca="false">MOD(ROW()-9,24)</f>
        <v>3</v>
      </c>
      <c r="C4956" s="12"/>
      <c r="D4956" s="13" t="n">
        <f aca="false">IF(B4956&lt;5,Einstellungen!$B$3,Einstellungen!$B$4)</f>
        <v>15.92</v>
      </c>
      <c r="E4956" s="14" t="str">
        <f aca="false">IF(C4956="","",C4956*D4956/100)</f>
        <v/>
      </c>
      <c r="F4956" s="15" t="str">
        <f aca="false">IF(B4956&lt;5,"Go","Standard")</f>
        <v>Go</v>
      </c>
    </row>
    <row r="4957" customFormat="false" ht="15" hidden="false" customHeight="true" outlineLevel="0" collapsed="false">
      <c r="A4957" s="10" t="n">
        <f aca="false">Einstellungen!$B$5+INT((ROW()-9)/24)</f>
        <v>46172</v>
      </c>
      <c r="B4957" s="11" t="n">
        <f aca="false">MOD(ROW()-9,24)</f>
        <v>4</v>
      </c>
      <c r="C4957" s="12"/>
      <c r="D4957" s="13" t="n">
        <f aca="false">IF(B4957&lt;5,Einstellungen!$B$3,Einstellungen!$B$4)</f>
        <v>15.92</v>
      </c>
      <c r="E4957" s="14" t="str">
        <f aca="false">IF(C4957="","",C4957*D4957/100)</f>
        <v/>
      </c>
      <c r="F4957" s="15" t="str">
        <f aca="false">IF(B4957&lt;5,"Go","Standard")</f>
        <v>Go</v>
      </c>
    </row>
    <row r="4958" customFormat="false" ht="15" hidden="false" customHeight="true" outlineLevel="0" collapsed="false">
      <c r="A4958" s="10" t="n">
        <f aca="false">Einstellungen!$B$5+INT((ROW()-9)/24)</f>
        <v>46172</v>
      </c>
      <c r="B4958" s="11" t="n">
        <f aca="false">MOD(ROW()-9,24)</f>
        <v>5</v>
      </c>
      <c r="C4958" s="12"/>
      <c r="D4958" s="13" t="n">
        <f aca="false">IF(B4958&lt;5,Einstellungen!$B$3,Einstellungen!$B$4)</f>
        <v>29.13</v>
      </c>
      <c r="E4958" s="14" t="str">
        <f aca="false">IF(C4958="","",C4958*D4958/100)</f>
        <v/>
      </c>
      <c r="F4958" s="15" t="str">
        <f aca="false">IF(B4958&lt;5,"Go","Standard")</f>
        <v>Standard</v>
      </c>
    </row>
    <row r="4959" customFormat="false" ht="15" hidden="false" customHeight="true" outlineLevel="0" collapsed="false">
      <c r="A4959" s="10" t="n">
        <f aca="false">Einstellungen!$B$5+INT((ROW()-9)/24)</f>
        <v>46172</v>
      </c>
      <c r="B4959" s="11" t="n">
        <f aca="false">MOD(ROW()-9,24)</f>
        <v>6</v>
      </c>
      <c r="C4959" s="12"/>
      <c r="D4959" s="13" t="n">
        <f aca="false">IF(B4959&lt;5,Einstellungen!$B$3,Einstellungen!$B$4)</f>
        <v>29.13</v>
      </c>
      <c r="E4959" s="14" t="str">
        <f aca="false">IF(C4959="","",C4959*D4959/100)</f>
        <v/>
      </c>
      <c r="F4959" s="15" t="str">
        <f aca="false">IF(B4959&lt;5,"Go","Standard")</f>
        <v>Standard</v>
      </c>
    </row>
    <row r="4960" customFormat="false" ht="15" hidden="false" customHeight="true" outlineLevel="0" collapsed="false">
      <c r="A4960" s="10" t="n">
        <f aca="false">Einstellungen!$B$5+INT((ROW()-9)/24)</f>
        <v>46172</v>
      </c>
      <c r="B4960" s="11" t="n">
        <f aca="false">MOD(ROW()-9,24)</f>
        <v>7</v>
      </c>
      <c r="C4960" s="12"/>
      <c r="D4960" s="13" t="n">
        <f aca="false">IF(B4960&lt;5,Einstellungen!$B$3,Einstellungen!$B$4)</f>
        <v>29.13</v>
      </c>
      <c r="E4960" s="14" t="str">
        <f aca="false">IF(C4960="","",C4960*D4960/100)</f>
        <v/>
      </c>
      <c r="F4960" s="15" t="str">
        <f aca="false">IF(B4960&lt;5,"Go","Standard")</f>
        <v>Standard</v>
      </c>
    </row>
    <row r="4961" customFormat="false" ht="15" hidden="false" customHeight="true" outlineLevel="0" collapsed="false">
      <c r="A4961" s="10" t="n">
        <f aca="false">Einstellungen!$B$5+INT((ROW()-9)/24)</f>
        <v>46172</v>
      </c>
      <c r="B4961" s="11" t="n">
        <f aca="false">MOD(ROW()-9,24)</f>
        <v>8</v>
      </c>
      <c r="C4961" s="12"/>
      <c r="D4961" s="13" t="n">
        <f aca="false">IF(B4961&lt;5,Einstellungen!$B$3,Einstellungen!$B$4)</f>
        <v>29.13</v>
      </c>
      <c r="E4961" s="14" t="str">
        <f aca="false">IF(C4961="","",C4961*D4961/100)</f>
        <v/>
      </c>
      <c r="F4961" s="15" t="str">
        <f aca="false">IF(B4961&lt;5,"Go","Standard")</f>
        <v>Standard</v>
      </c>
    </row>
    <row r="4962" customFormat="false" ht="15" hidden="false" customHeight="true" outlineLevel="0" collapsed="false">
      <c r="A4962" s="10" t="n">
        <f aca="false">Einstellungen!$B$5+INT((ROW()-9)/24)</f>
        <v>46172</v>
      </c>
      <c r="B4962" s="11" t="n">
        <f aca="false">MOD(ROW()-9,24)</f>
        <v>9</v>
      </c>
      <c r="C4962" s="12"/>
      <c r="D4962" s="13" t="n">
        <f aca="false">IF(B4962&lt;5,Einstellungen!$B$3,Einstellungen!$B$4)</f>
        <v>29.13</v>
      </c>
      <c r="E4962" s="14" t="str">
        <f aca="false">IF(C4962="","",C4962*D4962/100)</f>
        <v/>
      </c>
      <c r="F4962" s="15" t="str">
        <f aca="false">IF(B4962&lt;5,"Go","Standard")</f>
        <v>Standard</v>
      </c>
    </row>
    <row r="4963" customFormat="false" ht="15" hidden="false" customHeight="true" outlineLevel="0" collapsed="false">
      <c r="A4963" s="10" t="n">
        <f aca="false">Einstellungen!$B$5+INT((ROW()-9)/24)</f>
        <v>46172</v>
      </c>
      <c r="B4963" s="11" t="n">
        <f aca="false">MOD(ROW()-9,24)</f>
        <v>10</v>
      </c>
      <c r="C4963" s="12"/>
      <c r="D4963" s="13" t="n">
        <f aca="false">IF(B4963&lt;5,Einstellungen!$B$3,Einstellungen!$B$4)</f>
        <v>29.13</v>
      </c>
      <c r="E4963" s="14" t="str">
        <f aca="false">IF(C4963="","",C4963*D4963/100)</f>
        <v/>
      </c>
      <c r="F4963" s="15" t="str">
        <f aca="false">IF(B4963&lt;5,"Go","Standard")</f>
        <v>Standard</v>
      </c>
    </row>
    <row r="4964" customFormat="false" ht="15" hidden="false" customHeight="true" outlineLevel="0" collapsed="false">
      <c r="A4964" s="10" t="n">
        <f aca="false">Einstellungen!$B$5+INT((ROW()-9)/24)</f>
        <v>46172</v>
      </c>
      <c r="B4964" s="11" t="n">
        <f aca="false">MOD(ROW()-9,24)</f>
        <v>11</v>
      </c>
      <c r="C4964" s="12"/>
      <c r="D4964" s="13" t="n">
        <f aca="false">IF(B4964&lt;5,Einstellungen!$B$3,Einstellungen!$B$4)</f>
        <v>29.13</v>
      </c>
      <c r="E4964" s="14" t="str">
        <f aca="false">IF(C4964="","",C4964*D4964/100)</f>
        <v/>
      </c>
      <c r="F4964" s="15" t="str">
        <f aca="false">IF(B4964&lt;5,"Go","Standard")</f>
        <v>Standard</v>
      </c>
    </row>
    <row r="4965" customFormat="false" ht="15" hidden="false" customHeight="true" outlineLevel="0" collapsed="false">
      <c r="A4965" s="10" t="n">
        <f aca="false">Einstellungen!$B$5+INT((ROW()-9)/24)</f>
        <v>46172</v>
      </c>
      <c r="B4965" s="11" t="n">
        <f aca="false">MOD(ROW()-9,24)</f>
        <v>12</v>
      </c>
      <c r="C4965" s="12"/>
      <c r="D4965" s="13" t="n">
        <f aca="false">IF(B4965&lt;5,Einstellungen!$B$3,Einstellungen!$B$4)</f>
        <v>29.13</v>
      </c>
      <c r="E4965" s="14" t="str">
        <f aca="false">IF(C4965="","",C4965*D4965/100)</f>
        <v/>
      </c>
      <c r="F4965" s="15" t="str">
        <f aca="false">IF(B4965&lt;5,"Go","Standard")</f>
        <v>Standard</v>
      </c>
    </row>
    <row r="4966" customFormat="false" ht="15" hidden="false" customHeight="true" outlineLevel="0" collapsed="false">
      <c r="A4966" s="10" t="n">
        <f aca="false">Einstellungen!$B$5+INT((ROW()-9)/24)</f>
        <v>46172</v>
      </c>
      <c r="B4966" s="11" t="n">
        <f aca="false">MOD(ROW()-9,24)</f>
        <v>13</v>
      </c>
      <c r="C4966" s="12"/>
      <c r="D4966" s="13" t="n">
        <f aca="false">IF(B4966&lt;5,Einstellungen!$B$3,Einstellungen!$B$4)</f>
        <v>29.13</v>
      </c>
      <c r="E4966" s="14" t="str">
        <f aca="false">IF(C4966="","",C4966*D4966/100)</f>
        <v/>
      </c>
      <c r="F4966" s="15" t="str">
        <f aca="false">IF(B4966&lt;5,"Go","Standard")</f>
        <v>Standard</v>
      </c>
    </row>
    <row r="4967" customFormat="false" ht="15" hidden="false" customHeight="true" outlineLevel="0" collapsed="false">
      <c r="A4967" s="10" t="n">
        <f aca="false">Einstellungen!$B$5+INT((ROW()-9)/24)</f>
        <v>46172</v>
      </c>
      <c r="B4967" s="11" t="n">
        <f aca="false">MOD(ROW()-9,24)</f>
        <v>14</v>
      </c>
      <c r="C4967" s="12"/>
      <c r="D4967" s="13" t="n">
        <f aca="false">IF(B4967&lt;5,Einstellungen!$B$3,Einstellungen!$B$4)</f>
        <v>29.13</v>
      </c>
      <c r="E4967" s="14" t="str">
        <f aca="false">IF(C4967="","",C4967*D4967/100)</f>
        <v/>
      </c>
      <c r="F4967" s="15" t="str">
        <f aca="false">IF(B4967&lt;5,"Go","Standard")</f>
        <v>Standard</v>
      </c>
    </row>
    <row r="4968" customFormat="false" ht="15" hidden="false" customHeight="true" outlineLevel="0" collapsed="false">
      <c r="A4968" s="10" t="n">
        <f aca="false">Einstellungen!$B$5+INT((ROW()-9)/24)</f>
        <v>46172</v>
      </c>
      <c r="B4968" s="11" t="n">
        <f aca="false">MOD(ROW()-9,24)</f>
        <v>15</v>
      </c>
      <c r="C4968" s="12"/>
      <c r="D4968" s="13" t="n">
        <f aca="false">IF(B4968&lt;5,Einstellungen!$B$3,Einstellungen!$B$4)</f>
        <v>29.13</v>
      </c>
      <c r="E4968" s="14" t="str">
        <f aca="false">IF(C4968="","",C4968*D4968/100)</f>
        <v/>
      </c>
      <c r="F4968" s="15" t="str">
        <f aca="false">IF(B4968&lt;5,"Go","Standard")</f>
        <v>Standard</v>
      </c>
    </row>
    <row r="4969" customFormat="false" ht="15" hidden="false" customHeight="true" outlineLevel="0" collapsed="false">
      <c r="A4969" s="10" t="n">
        <f aca="false">Einstellungen!$B$5+INT((ROW()-9)/24)</f>
        <v>46172</v>
      </c>
      <c r="B4969" s="11" t="n">
        <f aca="false">MOD(ROW()-9,24)</f>
        <v>16</v>
      </c>
      <c r="C4969" s="12"/>
      <c r="D4969" s="13" t="n">
        <f aca="false">IF(B4969&lt;5,Einstellungen!$B$3,Einstellungen!$B$4)</f>
        <v>29.13</v>
      </c>
      <c r="E4969" s="14" t="str">
        <f aca="false">IF(C4969="","",C4969*D4969/100)</f>
        <v/>
      </c>
      <c r="F4969" s="15" t="str">
        <f aca="false">IF(B4969&lt;5,"Go","Standard")</f>
        <v>Standard</v>
      </c>
    </row>
    <row r="4970" customFormat="false" ht="15" hidden="false" customHeight="true" outlineLevel="0" collapsed="false">
      <c r="A4970" s="10" t="n">
        <f aca="false">Einstellungen!$B$5+INT((ROW()-9)/24)</f>
        <v>46172</v>
      </c>
      <c r="B4970" s="11" t="n">
        <f aca="false">MOD(ROW()-9,24)</f>
        <v>17</v>
      </c>
      <c r="C4970" s="12"/>
      <c r="D4970" s="13" t="n">
        <f aca="false">IF(B4970&lt;5,Einstellungen!$B$3,Einstellungen!$B$4)</f>
        <v>29.13</v>
      </c>
      <c r="E4970" s="14" t="str">
        <f aca="false">IF(C4970="","",C4970*D4970/100)</f>
        <v/>
      </c>
      <c r="F4970" s="15" t="str">
        <f aca="false">IF(B4970&lt;5,"Go","Standard")</f>
        <v>Standard</v>
      </c>
    </row>
    <row r="4971" customFormat="false" ht="15" hidden="false" customHeight="true" outlineLevel="0" collapsed="false">
      <c r="A4971" s="10" t="n">
        <f aca="false">Einstellungen!$B$5+INT((ROW()-9)/24)</f>
        <v>46172</v>
      </c>
      <c r="B4971" s="11" t="n">
        <f aca="false">MOD(ROW()-9,24)</f>
        <v>18</v>
      </c>
      <c r="C4971" s="12"/>
      <c r="D4971" s="13" t="n">
        <f aca="false">IF(B4971&lt;5,Einstellungen!$B$3,Einstellungen!$B$4)</f>
        <v>29.13</v>
      </c>
      <c r="E4971" s="14" t="str">
        <f aca="false">IF(C4971="","",C4971*D4971/100)</f>
        <v/>
      </c>
      <c r="F4971" s="15" t="str">
        <f aca="false">IF(B4971&lt;5,"Go","Standard")</f>
        <v>Standard</v>
      </c>
    </row>
    <row r="4972" customFormat="false" ht="15" hidden="false" customHeight="true" outlineLevel="0" collapsed="false">
      <c r="A4972" s="10" t="n">
        <f aca="false">Einstellungen!$B$5+INT((ROW()-9)/24)</f>
        <v>46172</v>
      </c>
      <c r="B4972" s="11" t="n">
        <f aca="false">MOD(ROW()-9,24)</f>
        <v>19</v>
      </c>
      <c r="C4972" s="12"/>
      <c r="D4972" s="13" t="n">
        <f aca="false">IF(B4972&lt;5,Einstellungen!$B$3,Einstellungen!$B$4)</f>
        <v>29.13</v>
      </c>
      <c r="E4972" s="14" t="str">
        <f aca="false">IF(C4972="","",C4972*D4972/100)</f>
        <v/>
      </c>
      <c r="F4972" s="15" t="str">
        <f aca="false">IF(B4972&lt;5,"Go","Standard")</f>
        <v>Standard</v>
      </c>
    </row>
    <row r="4973" customFormat="false" ht="15" hidden="false" customHeight="true" outlineLevel="0" collapsed="false">
      <c r="A4973" s="10" t="n">
        <f aca="false">Einstellungen!$B$5+INT((ROW()-9)/24)</f>
        <v>46172</v>
      </c>
      <c r="B4973" s="11" t="n">
        <f aca="false">MOD(ROW()-9,24)</f>
        <v>20</v>
      </c>
      <c r="C4973" s="12"/>
      <c r="D4973" s="13" t="n">
        <f aca="false">IF(B4973&lt;5,Einstellungen!$B$3,Einstellungen!$B$4)</f>
        <v>29.13</v>
      </c>
      <c r="E4973" s="14" t="str">
        <f aca="false">IF(C4973="","",C4973*D4973/100)</f>
        <v/>
      </c>
      <c r="F4973" s="15" t="str">
        <f aca="false">IF(B4973&lt;5,"Go","Standard")</f>
        <v>Standard</v>
      </c>
    </row>
    <row r="4974" customFormat="false" ht="15" hidden="false" customHeight="true" outlineLevel="0" collapsed="false">
      <c r="A4974" s="10" t="n">
        <f aca="false">Einstellungen!$B$5+INT((ROW()-9)/24)</f>
        <v>46172</v>
      </c>
      <c r="B4974" s="11" t="n">
        <f aca="false">MOD(ROW()-9,24)</f>
        <v>21</v>
      </c>
      <c r="C4974" s="12"/>
      <c r="D4974" s="13" t="n">
        <f aca="false">IF(B4974&lt;5,Einstellungen!$B$3,Einstellungen!$B$4)</f>
        <v>29.13</v>
      </c>
      <c r="E4974" s="14" t="str">
        <f aca="false">IF(C4974="","",C4974*D4974/100)</f>
        <v/>
      </c>
      <c r="F4974" s="15" t="str">
        <f aca="false">IF(B4974&lt;5,"Go","Standard")</f>
        <v>Standard</v>
      </c>
    </row>
    <row r="4975" customFormat="false" ht="15" hidden="false" customHeight="true" outlineLevel="0" collapsed="false">
      <c r="A4975" s="10" t="n">
        <f aca="false">Einstellungen!$B$5+INT((ROW()-9)/24)</f>
        <v>46172</v>
      </c>
      <c r="B4975" s="11" t="n">
        <f aca="false">MOD(ROW()-9,24)</f>
        <v>22</v>
      </c>
      <c r="C4975" s="12"/>
      <c r="D4975" s="13" t="n">
        <f aca="false">IF(B4975&lt;5,Einstellungen!$B$3,Einstellungen!$B$4)</f>
        <v>29.13</v>
      </c>
      <c r="E4975" s="14" t="str">
        <f aca="false">IF(C4975="","",C4975*D4975/100)</f>
        <v/>
      </c>
      <c r="F4975" s="15" t="str">
        <f aca="false">IF(B4975&lt;5,"Go","Standard")</f>
        <v>Standard</v>
      </c>
    </row>
    <row r="4976" customFormat="false" ht="15" hidden="false" customHeight="true" outlineLevel="0" collapsed="false">
      <c r="A4976" s="10" t="n">
        <f aca="false">Einstellungen!$B$5+INT((ROW()-9)/24)</f>
        <v>46172</v>
      </c>
      <c r="B4976" s="11" t="n">
        <f aca="false">MOD(ROW()-9,24)</f>
        <v>23</v>
      </c>
      <c r="C4976" s="12"/>
      <c r="D4976" s="13" t="n">
        <f aca="false">IF(B4976&lt;5,Einstellungen!$B$3,Einstellungen!$B$4)</f>
        <v>29.13</v>
      </c>
      <c r="E4976" s="14" t="str">
        <f aca="false">IF(C4976="","",C4976*D4976/100)</f>
        <v/>
      </c>
      <c r="F4976" s="15" t="str">
        <f aca="false">IF(B4976&lt;5,"Go","Standard")</f>
        <v>Standard</v>
      </c>
    </row>
    <row r="4977" customFormat="false" ht="15" hidden="false" customHeight="true" outlineLevel="0" collapsed="false">
      <c r="A4977" s="10" t="n">
        <f aca="false">Einstellungen!$B$5+INT((ROW()-9)/24)</f>
        <v>46173</v>
      </c>
      <c r="B4977" s="11" t="n">
        <f aca="false">MOD(ROW()-9,24)</f>
        <v>0</v>
      </c>
      <c r="C4977" s="12"/>
      <c r="D4977" s="13" t="n">
        <f aca="false">IF(B4977&lt;5,Einstellungen!$B$3,Einstellungen!$B$4)</f>
        <v>15.92</v>
      </c>
      <c r="E4977" s="14" t="str">
        <f aca="false">IF(C4977="","",C4977*D4977/100)</f>
        <v/>
      </c>
      <c r="F4977" s="15" t="str">
        <f aca="false">IF(B4977&lt;5,"Go","Standard")</f>
        <v>Go</v>
      </c>
    </row>
    <row r="4978" customFormat="false" ht="15" hidden="false" customHeight="true" outlineLevel="0" collapsed="false">
      <c r="A4978" s="10" t="n">
        <f aca="false">Einstellungen!$B$5+INT((ROW()-9)/24)</f>
        <v>46173</v>
      </c>
      <c r="B4978" s="11" t="n">
        <f aca="false">MOD(ROW()-9,24)</f>
        <v>1</v>
      </c>
      <c r="C4978" s="12"/>
      <c r="D4978" s="13" t="n">
        <f aca="false">IF(B4978&lt;5,Einstellungen!$B$3,Einstellungen!$B$4)</f>
        <v>15.92</v>
      </c>
      <c r="E4978" s="14" t="str">
        <f aca="false">IF(C4978="","",C4978*D4978/100)</f>
        <v/>
      </c>
      <c r="F4978" s="15" t="str">
        <f aca="false">IF(B4978&lt;5,"Go","Standard")</f>
        <v>Go</v>
      </c>
    </row>
    <row r="4979" customFormat="false" ht="15" hidden="false" customHeight="true" outlineLevel="0" collapsed="false">
      <c r="A4979" s="10" t="n">
        <f aca="false">Einstellungen!$B$5+INT((ROW()-9)/24)</f>
        <v>46173</v>
      </c>
      <c r="B4979" s="11" t="n">
        <f aca="false">MOD(ROW()-9,24)</f>
        <v>2</v>
      </c>
      <c r="C4979" s="12"/>
      <c r="D4979" s="13" t="n">
        <f aca="false">IF(B4979&lt;5,Einstellungen!$B$3,Einstellungen!$B$4)</f>
        <v>15.92</v>
      </c>
      <c r="E4979" s="14" t="str">
        <f aca="false">IF(C4979="","",C4979*D4979/100)</f>
        <v/>
      </c>
      <c r="F4979" s="15" t="str">
        <f aca="false">IF(B4979&lt;5,"Go","Standard")</f>
        <v>Go</v>
      </c>
    </row>
    <row r="4980" customFormat="false" ht="15" hidden="false" customHeight="true" outlineLevel="0" collapsed="false">
      <c r="A4980" s="10" t="n">
        <f aca="false">Einstellungen!$B$5+INT((ROW()-9)/24)</f>
        <v>46173</v>
      </c>
      <c r="B4980" s="11" t="n">
        <f aca="false">MOD(ROW()-9,24)</f>
        <v>3</v>
      </c>
      <c r="C4980" s="12"/>
      <c r="D4980" s="13" t="n">
        <f aca="false">IF(B4980&lt;5,Einstellungen!$B$3,Einstellungen!$B$4)</f>
        <v>15.92</v>
      </c>
      <c r="E4980" s="14" t="str">
        <f aca="false">IF(C4980="","",C4980*D4980/100)</f>
        <v/>
      </c>
      <c r="F4980" s="15" t="str">
        <f aca="false">IF(B4980&lt;5,"Go","Standard")</f>
        <v>Go</v>
      </c>
    </row>
    <row r="4981" customFormat="false" ht="15" hidden="false" customHeight="true" outlineLevel="0" collapsed="false">
      <c r="A4981" s="10" t="n">
        <f aca="false">Einstellungen!$B$5+INT((ROW()-9)/24)</f>
        <v>46173</v>
      </c>
      <c r="B4981" s="11" t="n">
        <f aca="false">MOD(ROW()-9,24)</f>
        <v>4</v>
      </c>
      <c r="C4981" s="12"/>
      <c r="D4981" s="13" t="n">
        <f aca="false">IF(B4981&lt;5,Einstellungen!$B$3,Einstellungen!$B$4)</f>
        <v>15.92</v>
      </c>
      <c r="E4981" s="14" t="str">
        <f aca="false">IF(C4981="","",C4981*D4981/100)</f>
        <v/>
      </c>
      <c r="F4981" s="15" t="str">
        <f aca="false">IF(B4981&lt;5,"Go","Standard")</f>
        <v>Go</v>
      </c>
    </row>
    <row r="4982" customFormat="false" ht="15" hidden="false" customHeight="true" outlineLevel="0" collapsed="false">
      <c r="A4982" s="10" t="n">
        <f aca="false">Einstellungen!$B$5+INT((ROW()-9)/24)</f>
        <v>46173</v>
      </c>
      <c r="B4982" s="11" t="n">
        <f aca="false">MOD(ROW()-9,24)</f>
        <v>5</v>
      </c>
      <c r="C4982" s="12"/>
      <c r="D4982" s="13" t="n">
        <f aca="false">IF(B4982&lt;5,Einstellungen!$B$3,Einstellungen!$B$4)</f>
        <v>29.13</v>
      </c>
      <c r="E4982" s="14" t="str">
        <f aca="false">IF(C4982="","",C4982*D4982/100)</f>
        <v/>
      </c>
      <c r="F4982" s="15" t="str">
        <f aca="false">IF(B4982&lt;5,"Go","Standard")</f>
        <v>Standard</v>
      </c>
    </row>
    <row r="4983" customFormat="false" ht="15" hidden="false" customHeight="true" outlineLevel="0" collapsed="false">
      <c r="A4983" s="10" t="n">
        <f aca="false">Einstellungen!$B$5+INT((ROW()-9)/24)</f>
        <v>46173</v>
      </c>
      <c r="B4983" s="11" t="n">
        <f aca="false">MOD(ROW()-9,24)</f>
        <v>6</v>
      </c>
      <c r="C4983" s="12"/>
      <c r="D4983" s="13" t="n">
        <f aca="false">IF(B4983&lt;5,Einstellungen!$B$3,Einstellungen!$B$4)</f>
        <v>29.13</v>
      </c>
      <c r="E4983" s="14" t="str">
        <f aca="false">IF(C4983="","",C4983*D4983/100)</f>
        <v/>
      </c>
      <c r="F4983" s="15" t="str">
        <f aca="false">IF(B4983&lt;5,"Go","Standard")</f>
        <v>Standard</v>
      </c>
    </row>
    <row r="4984" customFormat="false" ht="15" hidden="false" customHeight="true" outlineLevel="0" collapsed="false">
      <c r="A4984" s="10" t="n">
        <f aca="false">Einstellungen!$B$5+INT((ROW()-9)/24)</f>
        <v>46173</v>
      </c>
      <c r="B4984" s="11" t="n">
        <f aca="false">MOD(ROW()-9,24)</f>
        <v>7</v>
      </c>
      <c r="C4984" s="12"/>
      <c r="D4984" s="13" t="n">
        <f aca="false">IF(B4984&lt;5,Einstellungen!$B$3,Einstellungen!$B$4)</f>
        <v>29.13</v>
      </c>
      <c r="E4984" s="14" t="str">
        <f aca="false">IF(C4984="","",C4984*D4984/100)</f>
        <v/>
      </c>
      <c r="F4984" s="15" t="str">
        <f aca="false">IF(B4984&lt;5,"Go","Standard")</f>
        <v>Standard</v>
      </c>
    </row>
    <row r="4985" customFormat="false" ht="15" hidden="false" customHeight="true" outlineLevel="0" collapsed="false">
      <c r="A4985" s="10" t="n">
        <f aca="false">Einstellungen!$B$5+INT((ROW()-9)/24)</f>
        <v>46173</v>
      </c>
      <c r="B4985" s="11" t="n">
        <f aca="false">MOD(ROW()-9,24)</f>
        <v>8</v>
      </c>
      <c r="C4985" s="12"/>
      <c r="D4985" s="13" t="n">
        <f aca="false">IF(B4985&lt;5,Einstellungen!$B$3,Einstellungen!$B$4)</f>
        <v>29.13</v>
      </c>
      <c r="E4985" s="14" t="str">
        <f aca="false">IF(C4985="","",C4985*D4985/100)</f>
        <v/>
      </c>
      <c r="F4985" s="15" t="str">
        <f aca="false">IF(B4985&lt;5,"Go","Standard")</f>
        <v>Standard</v>
      </c>
    </row>
    <row r="4986" customFormat="false" ht="15" hidden="false" customHeight="true" outlineLevel="0" collapsed="false">
      <c r="A4986" s="10" t="n">
        <f aca="false">Einstellungen!$B$5+INT((ROW()-9)/24)</f>
        <v>46173</v>
      </c>
      <c r="B4986" s="11" t="n">
        <f aca="false">MOD(ROW()-9,24)</f>
        <v>9</v>
      </c>
      <c r="C4986" s="12"/>
      <c r="D4986" s="13" t="n">
        <f aca="false">IF(B4986&lt;5,Einstellungen!$B$3,Einstellungen!$B$4)</f>
        <v>29.13</v>
      </c>
      <c r="E4986" s="14" t="str">
        <f aca="false">IF(C4986="","",C4986*D4986/100)</f>
        <v/>
      </c>
      <c r="F4986" s="15" t="str">
        <f aca="false">IF(B4986&lt;5,"Go","Standard")</f>
        <v>Standard</v>
      </c>
    </row>
    <row r="4987" customFormat="false" ht="15" hidden="false" customHeight="true" outlineLevel="0" collapsed="false">
      <c r="A4987" s="10" t="n">
        <f aca="false">Einstellungen!$B$5+INT((ROW()-9)/24)</f>
        <v>46173</v>
      </c>
      <c r="B4987" s="11" t="n">
        <f aca="false">MOD(ROW()-9,24)</f>
        <v>10</v>
      </c>
      <c r="C4987" s="12"/>
      <c r="D4987" s="13" t="n">
        <f aca="false">IF(B4987&lt;5,Einstellungen!$B$3,Einstellungen!$B$4)</f>
        <v>29.13</v>
      </c>
      <c r="E4987" s="14" t="str">
        <f aca="false">IF(C4987="","",C4987*D4987/100)</f>
        <v/>
      </c>
      <c r="F4987" s="15" t="str">
        <f aca="false">IF(B4987&lt;5,"Go","Standard")</f>
        <v>Standard</v>
      </c>
    </row>
    <row r="4988" customFormat="false" ht="15" hidden="false" customHeight="true" outlineLevel="0" collapsed="false">
      <c r="A4988" s="10" t="n">
        <f aca="false">Einstellungen!$B$5+INT((ROW()-9)/24)</f>
        <v>46173</v>
      </c>
      <c r="B4988" s="11" t="n">
        <f aca="false">MOD(ROW()-9,24)</f>
        <v>11</v>
      </c>
      <c r="C4988" s="12"/>
      <c r="D4988" s="13" t="n">
        <f aca="false">IF(B4988&lt;5,Einstellungen!$B$3,Einstellungen!$B$4)</f>
        <v>29.13</v>
      </c>
      <c r="E4988" s="14" t="str">
        <f aca="false">IF(C4988="","",C4988*D4988/100)</f>
        <v/>
      </c>
      <c r="F4988" s="15" t="str">
        <f aca="false">IF(B4988&lt;5,"Go","Standard")</f>
        <v>Standard</v>
      </c>
    </row>
    <row r="4989" customFormat="false" ht="15" hidden="false" customHeight="true" outlineLevel="0" collapsed="false">
      <c r="A4989" s="10" t="n">
        <f aca="false">Einstellungen!$B$5+INT((ROW()-9)/24)</f>
        <v>46173</v>
      </c>
      <c r="B4989" s="11" t="n">
        <f aca="false">MOD(ROW()-9,24)</f>
        <v>12</v>
      </c>
      <c r="C4989" s="12"/>
      <c r="D4989" s="13" t="n">
        <f aca="false">IF(B4989&lt;5,Einstellungen!$B$3,Einstellungen!$B$4)</f>
        <v>29.13</v>
      </c>
      <c r="E4989" s="14" t="str">
        <f aca="false">IF(C4989="","",C4989*D4989/100)</f>
        <v/>
      </c>
      <c r="F4989" s="15" t="str">
        <f aca="false">IF(B4989&lt;5,"Go","Standard")</f>
        <v>Standard</v>
      </c>
    </row>
    <row r="4990" customFormat="false" ht="15" hidden="false" customHeight="true" outlineLevel="0" collapsed="false">
      <c r="A4990" s="10" t="n">
        <f aca="false">Einstellungen!$B$5+INT((ROW()-9)/24)</f>
        <v>46173</v>
      </c>
      <c r="B4990" s="11" t="n">
        <f aca="false">MOD(ROW()-9,24)</f>
        <v>13</v>
      </c>
      <c r="C4990" s="12"/>
      <c r="D4990" s="13" t="n">
        <f aca="false">IF(B4990&lt;5,Einstellungen!$B$3,Einstellungen!$B$4)</f>
        <v>29.13</v>
      </c>
      <c r="E4990" s="14" t="str">
        <f aca="false">IF(C4990="","",C4990*D4990/100)</f>
        <v/>
      </c>
      <c r="F4990" s="15" t="str">
        <f aca="false">IF(B4990&lt;5,"Go","Standard")</f>
        <v>Standard</v>
      </c>
    </row>
    <row r="4991" customFormat="false" ht="15" hidden="false" customHeight="true" outlineLevel="0" collapsed="false">
      <c r="A4991" s="10" t="n">
        <f aca="false">Einstellungen!$B$5+INT((ROW()-9)/24)</f>
        <v>46173</v>
      </c>
      <c r="B4991" s="11" t="n">
        <f aca="false">MOD(ROW()-9,24)</f>
        <v>14</v>
      </c>
      <c r="C4991" s="12"/>
      <c r="D4991" s="13" t="n">
        <f aca="false">IF(B4991&lt;5,Einstellungen!$B$3,Einstellungen!$B$4)</f>
        <v>29.13</v>
      </c>
      <c r="E4991" s="14" t="str">
        <f aca="false">IF(C4991="","",C4991*D4991/100)</f>
        <v/>
      </c>
      <c r="F4991" s="15" t="str">
        <f aca="false">IF(B4991&lt;5,"Go","Standard")</f>
        <v>Standard</v>
      </c>
    </row>
    <row r="4992" customFormat="false" ht="15" hidden="false" customHeight="true" outlineLevel="0" collapsed="false">
      <c r="A4992" s="10" t="n">
        <f aca="false">Einstellungen!$B$5+INT((ROW()-9)/24)</f>
        <v>46173</v>
      </c>
      <c r="B4992" s="11" t="n">
        <f aca="false">MOD(ROW()-9,24)</f>
        <v>15</v>
      </c>
      <c r="C4992" s="12"/>
      <c r="D4992" s="13" t="n">
        <f aca="false">IF(B4992&lt;5,Einstellungen!$B$3,Einstellungen!$B$4)</f>
        <v>29.13</v>
      </c>
      <c r="E4992" s="14" t="str">
        <f aca="false">IF(C4992="","",C4992*D4992/100)</f>
        <v/>
      </c>
      <c r="F4992" s="15" t="str">
        <f aca="false">IF(B4992&lt;5,"Go","Standard")</f>
        <v>Standard</v>
      </c>
    </row>
    <row r="4993" customFormat="false" ht="15" hidden="false" customHeight="true" outlineLevel="0" collapsed="false">
      <c r="A4993" s="10" t="n">
        <f aca="false">Einstellungen!$B$5+INT((ROW()-9)/24)</f>
        <v>46173</v>
      </c>
      <c r="B4993" s="11" t="n">
        <f aca="false">MOD(ROW()-9,24)</f>
        <v>16</v>
      </c>
      <c r="C4993" s="12"/>
      <c r="D4993" s="13" t="n">
        <f aca="false">IF(B4993&lt;5,Einstellungen!$B$3,Einstellungen!$B$4)</f>
        <v>29.13</v>
      </c>
      <c r="E4993" s="14" t="str">
        <f aca="false">IF(C4993="","",C4993*D4993/100)</f>
        <v/>
      </c>
      <c r="F4993" s="15" t="str">
        <f aca="false">IF(B4993&lt;5,"Go","Standard")</f>
        <v>Standard</v>
      </c>
    </row>
    <row r="4994" customFormat="false" ht="15" hidden="false" customHeight="true" outlineLevel="0" collapsed="false">
      <c r="A4994" s="10" t="n">
        <f aca="false">Einstellungen!$B$5+INT((ROW()-9)/24)</f>
        <v>46173</v>
      </c>
      <c r="B4994" s="11" t="n">
        <f aca="false">MOD(ROW()-9,24)</f>
        <v>17</v>
      </c>
      <c r="C4994" s="12"/>
      <c r="D4994" s="13" t="n">
        <f aca="false">IF(B4994&lt;5,Einstellungen!$B$3,Einstellungen!$B$4)</f>
        <v>29.13</v>
      </c>
      <c r="E4994" s="14" t="str">
        <f aca="false">IF(C4994="","",C4994*D4994/100)</f>
        <v/>
      </c>
      <c r="F4994" s="15" t="str">
        <f aca="false">IF(B4994&lt;5,"Go","Standard")</f>
        <v>Standard</v>
      </c>
    </row>
    <row r="4995" customFormat="false" ht="15" hidden="false" customHeight="true" outlineLevel="0" collapsed="false">
      <c r="A4995" s="10" t="n">
        <f aca="false">Einstellungen!$B$5+INT((ROW()-9)/24)</f>
        <v>46173</v>
      </c>
      <c r="B4995" s="11" t="n">
        <f aca="false">MOD(ROW()-9,24)</f>
        <v>18</v>
      </c>
      <c r="C4995" s="12"/>
      <c r="D4995" s="13" t="n">
        <f aca="false">IF(B4995&lt;5,Einstellungen!$B$3,Einstellungen!$B$4)</f>
        <v>29.13</v>
      </c>
      <c r="E4995" s="14" t="str">
        <f aca="false">IF(C4995="","",C4995*D4995/100)</f>
        <v/>
      </c>
      <c r="F4995" s="15" t="str">
        <f aca="false">IF(B4995&lt;5,"Go","Standard")</f>
        <v>Standard</v>
      </c>
    </row>
    <row r="4996" customFormat="false" ht="15" hidden="false" customHeight="true" outlineLevel="0" collapsed="false">
      <c r="A4996" s="10" t="n">
        <f aca="false">Einstellungen!$B$5+INT((ROW()-9)/24)</f>
        <v>46173</v>
      </c>
      <c r="B4996" s="11" t="n">
        <f aca="false">MOD(ROW()-9,24)</f>
        <v>19</v>
      </c>
      <c r="C4996" s="12"/>
      <c r="D4996" s="13" t="n">
        <f aca="false">IF(B4996&lt;5,Einstellungen!$B$3,Einstellungen!$B$4)</f>
        <v>29.13</v>
      </c>
      <c r="E4996" s="14" t="str">
        <f aca="false">IF(C4996="","",C4996*D4996/100)</f>
        <v/>
      </c>
      <c r="F4996" s="15" t="str">
        <f aca="false">IF(B4996&lt;5,"Go","Standard")</f>
        <v>Standard</v>
      </c>
    </row>
    <row r="4997" customFormat="false" ht="15" hidden="false" customHeight="true" outlineLevel="0" collapsed="false">
      <c r="A4997" s="10" t="n">
        <f aca="false">Einstellungen!$B$5+INT((ROW()-9)/24)</f>
        <v>46173</v>
      </c>
      <c r="B4997" s="11" t="n">
        <f aca="false">MOD(ROW()-9,24)</f>
        <v>20</v>
      </c>
      <c r="C4997" s="12"/>
      <c r="D4997" s="13" t="n">
        <f aca="false">IF(B4997&lt;5,Einstellungen!$B$3,Einstellungen!$B$4)</f>
        <v>29.13</v>
      </c>
      <c r="E4997" s="14" t="str">
        <f aca="false">IF(C4997="","",C4997*D4997/100)</f>
        <v/>
      </c>
      <c r="F4997" s="15" t="str">
        <f aca="false">IF(B4997&lt;5,"Go","Standard")</f>
        <v>Standard</v>
      </c>
    </row>
    <row r="4998" customFormat="false" ht="15" hidden="false" customHeight="true" outlineLevel="0" collapsed="false">
      <c r="A4998" s="10" t="n">
        <f aca="false">Einstellungen!$B$5+INT((ROW()-9)/24)</f>
        <v>46173</v>
      </c>
      <c r="B4998" s="11" t="n">
        <f aca="false">MOD(ROW()-9,24)</f>
        <v>21</v>
      </c>
      <c r="C4998" s="12"/>
      <c r="D4998" s="13" t="n">
        <f aca="false">IF(B4998&lt;5,Einstellungen!$B$3,Einstellungen!$B$4)</f>
        <v>29.13</v>
      </c>
      <c r="E4998" s="14" t="str">
        <f aca="false">IF(C4998="","",C4998*D4998/100)</f>
        <v/>
      </c>
      <c r="F4998" s="15" t="str">
        <f aca="false">IF(B4998&lt;5,"Go","Standard")</f>
        <v>Standard</v>
      </c>
    </row>
    <row r="4999" customFormat="false" ht="15" hidden="false" customHeight="true" outlineLevel="0" collapsed="false">
      <c r="A4999" s="10" t="n">
        <f aca="false">Einstellungen!$B$5+INT((ROW()-9)/24)</f>
        <v>46173</v>
      </c>
      <c r="B4999" s="11" t="n">
        <f aca="false">MOD(ROW()-9,24)</f>
        <v>22</v>
      </c>
      <c r="C4999" s="12"/>
      <c r="D4999" s="13" t="n">
        <f aca="false">IF(B4999&lt;5,Einstellungen!$B$3,Einstellungen!$B$4)</f>
        <v>29.13</v>
      </c>
      <c r="E4999" s="14" t="str">
        <f aca="false">IF(C4999="","",C4999*D4999/100)</f>
        <v/>
      </c>
      <c r="F4999" s="15" t="str">
        <f aca="false">IF(B4999&lt;5,"Go","Standard")</f>
        <v>Standard</v>
      </c>
    </row>
    <row r="5000" customFormat="false" ht="15" hidden="false" customHeight="true" outlineLevel="0" collapsed="false">
      <c r="A5000" s="10" t="n">
        <f aca="false">Einstellungen!$B$5+INT((ROW()-9)/24)</f>
        <v>46173</v>
      </c>
      <c r="B5000" s="11" t="n">
        <f aca="false">MOD(ROW()-9,24)</f>
        <v>23</v>
      </c>
      <c r="C5000" s="12"/>
      <c r="D5000" s="13" t="n">
        <f aca="false">IF(B5000&lt;5,Einstellungen!$B$3,Einstellungen!$B$4)</f>
        <v>29.13</v>
      </c>
      <c r="E5000" s="14" t="str">
        <f aca="false">IF(C5000="","",C5000*D5000/100)</f>
        <v/>
      </c>
      <c r="F5000" s="15" t="str">
        <f aca="false">IF(B5000&lt;5,"Go","Standard")</f>
        <v>Standard</v>
      </c>
    </row>
    <row r="5001" customFormat="false" ht="15" hidden="false" customHeight="true" outlineLevel="0" collapsed="false">
      <c r="A5001" s="10" t="n">
        <f aca="false">Einstellungen!$B$5+INT((ROW()-9)/24)</f>
        <v>46174</v>
      </c>
      <c r="B5001" s="11" t="n">
        <f aca="false">MOD(ROW()-9,24)</f>
        <v>0</v>
      </c>
      <c r="C5001" s="12"/>
      <c r="D5001" s="13" t="n">
        <f aca="false">IF(B5001&lt;5,Einstellungen!$B$3,Einstellungen!$B$4)</f>
        <v>15.92</v>
      </c>
      <c r="E5001" s="14" t="str">
        <f aca="false">IF(C5001="","",C5001*D5001/100)</f>
        <v/>
      </c>
      <c r="F5001" s="15" t="str">
        <f aca="false">IF(B5001&lt;5,"Go","Standard")</f>
        <v>Go</v>
      </c>
    </row>
    <row r="5002" customFormat="false" ht="15" hidden="false" customHeight="true" outlineLevel="0" collapsed="false">
      <c r="A5002" s="10" t="n">
        <f aca="false">Einstellungen!$B$5+INT((ROW()-9)/24)</f>
        <v>46174</v>
      </c>
      <c r="B5002" s="11" t="n">
        <f aca="false">MOD(ROW()-9,24)</f>
        <v>1</v>
      </c>
      <c r="C5002" s="12"/>
      <c r="D5002" s="13" t="n">
        <f aca="false">IF(B5002&lt;5,Einstellungen!$B$3,Einstellungen!$B$4)</f>
        <v>15.92</v>
      </c>
      <c r="E5002" s="14" t="str">
        <f aca="false">IF(C5002="","",C5002*D5002/100)</f>
        <v/>
      </c>
      <c r="F5002" s="15" t="str">
        <f aca="false">IF(B5002&lt;5,"Go","Standard")</f>
        <v>Go</v>
      </c>
    </row>
    <row r="5003" customFormat="false" ht="15" hidden="false" customHeight="true" outlineLevel="0" collapsed="false">
      <c r="A5003" s="10" t="n">
        <f aca="false">Einstellungen!$B$5+INT((ROW()-9)/24)</f>
        <v>46174</v>
      </c>
      <c r="B5003" s="11" t="n">
        <f aca="false">MOD(ROW()-9,24)</f>
        <v>2</v>
      </c>
      <c r="C5003" s="12"/>
      <c r="D5003" s="13" t="n">
        <f aca="false">IF(B5003&lt;5,Einstellungen!$B$3,Einstellungen!$B$4)</f>
        <v>15.92</v>
      </c>
      <c r="E5003" s="14" t="str">
        <f aca="false">IF(C5003="","",C5003*D5003/100)</f>
        <v/>
      </c>
      <c r="F5003" s="15" t="str">
        <f aca="false">IF(B5003&lt;5,"Go","Standard")</f>
        <v>Go</v>
      </c>
    </row>
    <row r="5004" customFormat="false" ht="15" hidden="false" customHeight="true" outlineLevel="0" collapsed="false">
      <c r="A5004" s="10" t="n">
        <f aca="false">Einstellungen!$B$5+INT((ROW()-9)/24)</f>
        <v>46174</v>
      </c>
      <c r="B5004" s="11" t="n">
        <f aca="false">MOD(ROW()-9,24)</f>
        <v>3</v>
      </c>
      <c r="C5004" s="12"/>
      <c r="D5004" s="13" t="n">
        <f aca="false">IF(B5004&lt;5,Einstellungen!$B$3,Einstellungen!$B$4)</f>
        <v>15.92</v>
      </c>
      <c r="E5004" s="14" t="str">
        <f aca="false">IF(C5004="","",C5004*D5004/100)</f>
        <v/>
      </c>
      <c r="F5004" s="15" t="str">
        <f aca="false">IF(B5004&lt;5,"Go","Standard")</f>
        <v>Go</v>
      </c>
    </row>
    <row r="5005" customFormat="false" ht="15" hidden="false" customHeight="true" outlineLevel="0" collapsed="false">
      <c r="A5005" s="10" t="n">
        <f aca="false">Einstellungen!$B$5+INT((ROW()-9)/24)</f>
        <v>46174</v>
      </c>
      <c r="B5005" s="11" t="n">
        <f aca="false">MOD(ROW()-9,24)</f>
        <v>4</v>
      </c>
      <c r="C5005" s="12"/>
      <c r="D5005" s="13" t="n">
        <f aca="false">IF(B5005&lt;5,Einstellungen!$B$3,Einstellungen!$B$4)</f>
        <v>15.92</v>
      </c>
      <c r="E5005" s="14" t="str">
        <f aca="false">IF(C5005="","",C5005*D5005/100)</f>
        <v/>
      </c>
      <c r="F5005" s="15" t="str">
        <f aca="false">IF(B5005&lt;5,"Go","Standard")</f>
        <v>Go</v>
      </c>
    </row>
    <row r="5006" customFormat="false" ht="15" hidden="false" customHeight="true" outlineLevel="0" collapsed="false">
      <c r="A5006" s="10" t="n">
        <f aca="false">Einstellungen!$B$5+INT((ROW()-9)/24)</f>
        <v>46174</v>
      </c>
      <c r="B5006" s="11" t="n">
        <f aca="false">MOD(ROW()-9,24)</f>
        <v>5</v>
      </c>
      <c r="C5006" s="12"/>
      <c r="D5006" s="13" t="n">
        <f aca="false">IF(B5006&lt;5,Einstellungen!$B$3,Einstellungen!$B$4)</f>
        <v>29.13</v>
      </c>
      <c r="E5006" s="14" t="str">
        <f aca="false">IF(C5006="","",C5006*D5006/100)</f>
        <v/>
      </c>
      <c r="F5006" s="15" t="str">
        <f aca="false">IF(B5006&lt;5,"Go","Standard")</f>
        <v>Standard</v>
      </c>
    </row>
    <row r="5007" customFormat="false" ht="15" hidden="false" customHeight="true" outlineLevel="0" collapsed="false">
      <c r="A5007" s="10" t="n">
        <f aca="false">Einstellungen!$B$5+INT((ROW()-9)/24)</f>
        <v>46174</v>
      </c>
      <c r="B5007" s="11" t="n">
        <f aca="false">MOD(ROW()-9,24)</f>
        <v>6</v>
      </c>
      <c r="C5007" s="12"/>
      <c r="D5007" s="13" t="n">
        <f aca="false">IF(B5007&lt;5,Einstellungen!$B$3,Einstellungen!$B$4)</f>
        <v>29.13</v>
      </c>
      <c r="E5007" s="14" t="str">
        <f aca="false">IF(C5007="","",C5007*D5007/100)</f>
        <v/>
      </c>
      <c r="F5007" s="15" t="str">
        <f aca="false">IF(B5007&lt;5,"Go","Standard")</f>
        <v>Standard</v>
      </c>
    </row>
    <row r="5008" customFormat="false" ht="15" hidden="false" customHeight="true" outlineLevel="0" collapsed="false">
      <c r="A5008" s="10" t="n">
        <f aca="false">Einstellungen!$B$5+INT((ROW()-9)/24)</f>
        <v>46174</v>
      </c>
      <c r="B5008" s="11" t="n">
        <f aca="false">MOD(ROW()-9,24)</f>
        <v>7</v>
      </c>
      <c r="C5008" s="12"/>
      <c r="D5008" s="13" t="n">
        <f aca="false">IF(B5008&lt;5,Einstellungen!$B$3,Einstellungen!$B$4)</f>
        <v>29.13</v>
      </c>
      <c r="E5008" s="14" t="str">
        <f aca="false">IF(C5008="","",C5008*D5008/100)</f>
        <v/>
      </c>
      <c r="F5008" s="15" t="str">
        <f aca="false">IF(B5008&lt;5,"Go","Standard")</f>
        <v>Standard</v>
      </c>
    </row>
    <row r="5009" customFormat="false" ht="15" hidden="false" customHeight="true" outlineLevel="0" collapsed="false">
      <c r="A5009" s="10" t="n">
        <f aca="false">Einstellungen!$B$5+INT((ROW()-9)/24)</f>
        <v>46174</v>
      </c>
      <c r="B5009" s="11" t="n">
        <f aca="false">MOD(ROW()-9,24)</f>
        <v>8</v>
      </c>
      <c r="C5009" s="12"/>
      <c r="D5009" s="13" t="n">
        <f aca="false">IF(B5009&lt;5,Einstellungen!$B$3,Einstellungen!$B$4)</f>
        <v>29.13</v>
      </c>
      <c r="E5009" s="14" t="str">
        <f aca="false">IF(C5009="","",C5009*D5009/100)</f>
        <v/>
      </c>
      <c r="F5009" s="15" t="str">
        <f aca="false">IF(B5009&lt;5,"Go","Standard")</f>
        <v>Standard</v>
      </c>
    </row>
    <row r="5010" customFormat="false" ht="15" hidden="false" customHeight="true" outlineLevel="0" collapsed="false">
      <c r="A5010" s="10" t="n">
        <f aca="false">Einstellungen!$B$5+INT((ROW()-9)/24)</f>
        <v>46174</v>
      </c>
      <c r="B5010" s="11" t="n">
        <f aca="false">MOD(ROW()-9,24)</f>
        <v>9</v>
      </c>
      <c r="C5010" s="12"/>
      <c r="D5010" s="13" t="n">
        <f aca="false">IF(B5010&lt;5,Einstellungen!$B$3,Einstellungen!$B$4)</f>
        <v>29.13</v>
      </c>
      <c r="E5010" s="14" t="str">
        <f aca="false">IF(C5010="","",C5010*D5010/100)</f>
        <v/>
      </c>
      <c r="F5010" s="15" t="str">
        <f aca="false">IF(B5010&lt;5,"Go","Standard")</f>
        <v>Standard</v>
      </c>
    </row>
    <row r="5011" customFormat="false" ht="15" hidden="false" customHeight="true" outlineLevel="0" collapsed="false">
      <c r="A5011" s="10" t="n">
        <f aca="false">Einstellungen!$B$5+INT((ROW()-9)/24)</f>
        <v>46174</v>
      </c>
      <c r="B5011" s="11" t="n">
        <f aca="false">MOD(ROW()-9,24)</f>
        <v>10</v>
      </c>
      <c r="C5011" s="12"/>
      <c r="D5011" s="13" t="n">
        <f aca="false">IF(B5011&lt;5,Einstellungen!$B$3,Einstellungen!$B$4)</f>
        <v>29.13</v>
      </c>
      <c r="E5011" s="14" t="str">
        <f aca="false">IF(C5011="","",C5011*D5011/100)</f>
        <v/>
      </c>
      <c r="F5011" s="15" t="str">
        <f aca="false">IF(B5011&lt;5,"Go","Standard")</f>
        <v>Standard</v>
      </c>
    </row>
    <row r="5012" customFormat="false" ht="15" hidden="false" customHeight="true" outlineLevel="0" collapsed="false">
      <c r="A5012" s="10" t="n">
        <f aca="false">Einstellungen!$B$5+INT((ROW()-9)/24)</f>
        <v>46174</v>
      </c>
      <c r="B5012" s="11" t="n">
        <f aca="false">MOD(ROW()-9,24)</f>
        <v>11</v>
      </c>
      <c r="C5012" s="12"/>
      <c r="D5012" s="13" t="n">
        <f aca="false">IF(B5012&lt;5,Einstellungen!$B$3,Einstellungen!$B$4)</f>
        <v>29.13</v>
      </c>
      <c r="E5012" s="14" t="str">
        <f aca="false">IF(C5012="","",C5012*D5012/100)</f>
        <v/>
      </c>
      <c r="F5012" s="15" t="str">
        <f aca="false">IF(B5012&lt;5,"Go","Standard")</f>
        <v>Standard</v>
      </c>
    </row>
    <row r="5013" customFormat="false" ht="15" hidden="false" customHeight="true" outlineLevel="0" collapsed="false">
      <c r="A5013" s="10" t="n">
        <f aca="false">Einstellungen!$B$5+INT((ROW()-9)/24)</f>
        <v>46174</v>
      </c>
      <c r="B5013" s="11" t="n">
        <f aca="false">MOD(ROW()-9,24)</f>
        <v>12</v>
      </c>
      <c r="C5013" s="12"/>
      <c r="D5013" s="13" t="n">
        <f aca="false">IF(B5013&lt;5,Einstellungen!$B$3,Einstellungen!$B$4)</f>
        <v>29.13</v>
      </c>
      <c r="E5013" s="14" t="str">
        <f aca="false">IF(C5013="","",C5013*D5013/100)</f>
        <v/>
      </c>
      <c r="F5013" s="15" t="str">
        <f aca="false">IF(B5013&lt;5,"Go","Standard")</f>
        <v>Standard</v>
      </c>
    </row>
    <row r="5014" customFormat="false" ht="15" hidden="false" customHeight="true" outlineLevel="0" collapsed="false">
      <c r="A5014" s="10" t="n">
        <f aca="false">Einstellungen!$B$5+INT((ROW()-9)/24)</f>
        <v>46174</v>
      </c>
      <c r="B5014" s="11" t="n">
        <f aca="false">MOD(ROW()-9,24)</f>
        <v>13</v>
      </c>
      <c r="C5014" s="12"/>
      <c r="D5014" s="13" t="n">
        <f aca="false">IF(B5014&lt;5,Einstellungen!$B$3,Einstellungen!$B$4)</f>
        <v>29.13</v>
      </c>
      <c r="E5014" s="14" t="str">
        <f aca="false">IF(C5014="","",C5014*D5014/100)</f>
        <v/>
      </c>
      <c r="F5014" s="15" t="str">
        <f aca="false">IF(B5014&lt;5,"Go","Standard")</f>
        <v>Standard</v>
      </c>
    </row>
    <row r="5015" customFormat="false" ht="15" hidden="false" customHeight="true" outlineLevel="0" collapsed="false">
      <c r="A5015" s="10" t="n">
        <f aca="false">Einstellungen!$B$5+INT((ROW()-9)/24)</f>
        <v>46174</v>
      </c>
      <c r="B5015" s="11" t="n">
        <f aca="false">MOD(ROW()-9,24)</f>
        <v>14</v>
      </c>
      <c r="C5015" s="12"/>
      <c r="D5015" s="13" t="n">
        <f aca="false">IF(B5015&lt;5,Einstellungen!$B$3,Einstellungen!$B$4)</f>
        <v>29.13</v>
      </c>
      <c r="E5015" s="14" t="str">
        <f aca="false">IF(C5015="","",C5015*D5015/100)</f>
        <v/>
      </c>
      <c r="F5015" s="15" t="str">
        <f aca="false">IF(B5015&lt;5,"Go","Standard")</f>
        <v>Standard</v>
      </c>
    </row>
    <row r="5016" customFormat="false" ht="15" hidden="false" customHeight="true" outlineLevel="0" collapsed="false">
      <c r="A5016" s="10" t="n">
        <f aca="false">Einstellungen!$B$5+INT((ROW()-9)/24)</f>
        <v>46174</v>
      </c>
      <c r="B5016" s="11" t="n">
        <f aca="false">MOD(ROW()-9,24)</f>
        <v>15</v>
      </c>
      <c r="C5016" s="12"/>
      <c r="D5016" s="13" t="n">
        <f aca="false">IF(B5016&lt;5,Einstellungen!$B$3,Einstellungen!$B$4)</f>
        <v>29.13</v>
      </c>
      <c r="E5016" s="14" t="str">
        <f aca="false">IF(C5016="","",C5016*D5016/100)</f>
        <v/>
      </c>
      <c r="F5016" s="15" t="str">
        <f aca="false">IF(B5016&lt;5,"Go","Standard")</f>
        <v>Standard</v>
      </c>
    </row>
    <row r="5017" customFormat="false" ht="15" hidden="false" customHeight="true" outlineLevel="0" collapsed="false">
      <c r="A5017" s="10" t="n">
        <f aca="false">Einstellungen!$B$5+INT((ROW()-9)/24)</f>
        <v>46174</v>
      </c>
      <c r="B5017" s="11" t="n">
        <f aca="false">MOD(ROW()-9,24)</f>
        <v>16</v>
      </c>
      <c r="C5017" s="12"/>
      <c r="D5017" s="13" t="n">
        <f aca="false">IF(B5017&lt;5,Einstellungen!$B$3,Einstellungen!$B$4)</f>
        <v>29.13</v>
      </c>
      <c r="E5017" s="14" t="str">
        <f aca="false">IF(C5017="","",C5017*D5017/100)</f>
        <v/>
      </c>
      <c r="F5017" s="15" t="str">
        <f aca="false">IF(B5017&lt;5,"Go","Standard")</f>
        <v>Standard</v>
      </c>
    </row>
    <row r="5018" customFormat="false" ht="15" hidden="false" customHeight="true" outlineLevel="0" collapsed="false">
      <c r="A5018" s="10" t="n">
        <f aca="false">Einstellungen!$B$5+INT((ROW()-9)/24)</f>
        <v>46174</v>
      </c>
      <c r="B5018" s="11" t="n">
        <f aca="false">MOD(ROW()-9,24)</f>
        <v>17</v>
      </c>
      <c r="C5018" s="12"/>
      <c r="D5018" s="13" t="n">
        <f aca="false">IF(B5018&lt;5,Einstellungen!$B$3,Einstellungen!$B$4)</f>
        <v>29.13</v>
      </c>
      <c r="E5018" s="14" t="str">
        <f aca="false">IF(C5018="","",C5018*D5018/100)</f>
        <v/>
      </c>
      <c r="F5018" s="15" t="str">
        <f aca="false">IF(B5018&lt;5,"Go","Standard")</f>
        <v>Standard</v>
      </c>
    </row>
    <row r="5019" customFormat="false" ht="15" hidden="false" customHeight="true" outlineLevel="0" collapsed="false">
      <c r="A5019" s="10" t="n">
        <f aca="false">Einstellungen!$B$5+INT((ROW()-9)/24)</f>
        <v>46174</v>
      </c>
      <c r="B5019" s="11" t="n">
        <f aca="false">MOD(ROW()-9,24)</f>
        <v>18</v>
      </c>
      <c r="C5019" s="12"/>
      <c r="D5019" s="13" t="n">
        <f aca="false">IF(B5019&lt;5,Einstellungen!$B$3,Einstellungen!$B$4)</f>
        <v>29.13</v>
      </c>
      <c r="E5019" s="14" t="str">
        <f aca="false">IF(C5019="","",C5019*D5019/100)</f>
        <v/>
      </c>
      <c r="F5019" s="15" t="str">
        <f aca="false">IF(B5019&lt;5,"Go","Standard")</f>
        <v>Standard</v>
      </c>
    </row>
    <row r="5020" customFormat="false" ht="15" hidden="false" customHeight="true" outlineLevel="0" collapsed="false">
      <c r="A5020" s="10" t="n">
        <f aca="false">Einstellungen!$B$5+INT((ROW()-9)/24)</f>
        <v>46174</v>
      </c>
      <c r="B5020" s="11" t="n">
        <f aca="false">MOD(ROW()-9,24)</f>
        <v>19</v>
      </c>
      <c r="C5020" s="12"/>
      <c r="D5020" s="13" t="n">
        <f aca="false">IF(B5020&lt;5,Einstellungen!$B$3,Einstellungen!$B$4)</f>
        <v>29.13</v>
      </c>
      <c r="E5020" s="14" t="str">
        <f aca="false">IF(C5020="","",C5020*D5020/100)</f>
        <v/>
      </c>
      <c r="F5020" s="15" t="str">
        <f aca="false">IF(B5020&lt;5,"Go","Standard")</f>
        <v>Standard</v>
      </c>
    </row>
    <row r="5021" customFormat="false" ht="15" hidden="false" customHeight="true" outlineLevel="0" collapsed="false">
      <c r="A5021" s="10" t="n">
        <f aca="false">Einstellungen!$B$5+INT((ROW()-9)/24)</f>
        <v>46174</v>
      </c>
      <c r="B5021" s="11" t="n">
        <f aca="false">MOD(ROW()-9,24)</f>
        <v>20</v>
      </c>
      <c r="C5021" s="12"/>
      <c r="D5021" s="13" t="n">
        <f aca="false">IF(B5021&lt;5,Einstellungen!$B$3,Einstellungen!$B$4)</f>
        <v>29.13</v>
      </c>
      <c r="E5021" s="14" t="str">
        <f aca="false">IF(C5021="","",C5021*D5021/100)</f>
        <v/>
      </c>
      <c r="F5021" s="15" t="str">
        <f aca="false">IF(B5021&lt;5,"Go","Standard")</f>
        <v>Standard</v>
      </c>
    </row>
    <row r="5022" customFormat="false" ht="15" hidden="false" customHeight="true" outlineLevel="0" collapsed="false">
      <c r="A5022" s="10" t="n">
        <f aca="false">Einstellungen!$B$5+INT((ROW()-9)/24)</f>
        <v>46174</v>
      </c>
      <c r="B5022" s="11" t="n">
        <f aca="false">MOD(ROW()-9,24)</f>
        <v>21</v>
      </c>
      <c r="C5022" s="12"/>
      <c r="D5022" s="13" t="n">
        <f aca="false">IF(B5022&lt;5,Einstellungen!$B$3,Einstellungen!$B$4)</f>
        <v>29.13</v>
      </c>
      <c r="E5022" s="14" t="str">
        <f aca="false">IF(C5022="","",C5022*D5022/100)</f>
        <v/>
      </c>
      <c r="F5022" s="15" t="str">
        <f aca="false">IF(B5022&lt;5,"Go","Standard")</f>
        <v>Standard</v>
      </c>
    </row>
    <row r="5023" customFormat="false" ht="15" hidden="false" customHeight="true" outlineLevel="0" collapsed="false">
      <c r="A5023" s="10" t="n">
        <f aca="false">Einstellungen!$B$5+INT((ROW()-9)/24)</f>
        <v>46174</v>
      </c>
      <c r="B5023" s="11" t="n">
        <f aca="false">MOD(ROW()-9,24)</f>
        <v>22</v>
      </c>
      <c r="C5023" s="12"/>
      <c r="D5023" s="13" t="n">
        <f aca="false">IF(B5023&lt;5,Einstellungen!$B$3,Einstellungen!$B$4)</f>
        <v>29.13</v>
      </c>
      <c r="E5023" s="14" t="str">
        <f aca="false">IF(C5023="","",C5023*D5023/100)</f>
        <v/>
      </c>
      <c r="F5023" s="15" t="str">
        <f aca="false">IF(B5023&lt;5,"Go","Standard")</f>
        <v>Standard</v>
      </c>
    </row>
    <row r="5024" customFormat="false" ht="15" hidden="false" customHeight="true" outlineLevel="0" collapsed="false">
      <c r="A5024" s="10" t="n">
        <f aca="false">Einstellungen!$B$5+INT((ROW()-9)/24)</f>
        <v>46174</v>
      </c>
      <c r="B5024" s="11" t="n">
        <f aca="false">MOD(ROW()-9,24)</f>
        <v>23</v>
      </c>
      <c r="C5024" s="12"/>
      <c r="D5024" s="13" t="n">
        <f aca="false">IF(B5024&lt;5,Einstellungen!$B$3,Einstellungen!$B$4)</f>
        <v>29.13</v>
      </c>
      <c r="E5024" s="14" t="str">
        <f aca="false">IF(C5024="","",C5024*D5024/100)</f>
        <v/>
      </c>
      <c r="F5024" s="15" t="str">
        <f aca="false">IF(B5024&lt;5,"Go","Standard")</f>
        <v>Standard</v>
      </c>
    </row>
    <row r="5025" customFormat="false" ht="15" hidden="false" customHeight="true" outlineLevel="0" collapsed="false">
      <c r="A5025" s="10" t="n">
        <f aca="false">Einstellungen!$B$5+INT((ROW()-9)/24)</f>
        <v>46175</v>
      </c>
      <c r="B5025" s="11" t="n">
        <f aca="false">MOD(ROW()-9,24)</f>
        <v>0</v>
      </c>
      <c r="C5025" s="12"/>
      <c r="D5025" s="13" t="n">
        <f aca="false">IF(B5025&lt;5,Einstellungen!$B$3,Einstellungen!$B$4)</f>
        <v>15.92</v>
      </c>
      <c r="E5025" s="14" t="str">
        <f aca="false">IF(C5025="","",C5025*D5025/100)</f>
        <v/>
      </c>
      <c r="F5025" s="15" t="str">
        <f aca="false">IF(B5025&lt;5,"Go","Standard")</f>
        <v>Go</v>
      </c>
    </row>
    <row r="5026" customFormat="false" ht="15" hidden="false" customHeight="true" outlineLevel="0" collapsed="false">
      <c r="A5026" s="10" t="n">
        <f aca="false">Einstellungen!$B$5+INT((ROW()-9)/24)</f>
        <v>46175</v>
      </c>
      <c r="B5026" s="11" t="n">
        <f aca="false">MOD(ROW()-9,24)</f>
        <v>1</v>
      </c>
      <c r="C5026" s="12"/>
      <c r="D5026" s="13" t="n">
        <f aca="false">IF(B5026&lt;5,Einstellungen!$B$3,Einstellungen!$B$4)</f>
        <v>15.92</v>
      </c>
      <c r="E5026" s="14" t="str">
        <f aca="false">IF(C5026="","",C5026*D5026/100)</f>
        <v/>
      </c>
      <c r="F5026" s="15" t="str">
        <f aca="false">IF(B5026&lt;5,"Go","Standard")</f>
        <v>Go</v>
      </c>
    </row>
    <row r="5027" customFormat="false" ht="15" hidden="false" customHeight="true" outlineLevel="0" collapsed="false">
      <c r="A5027" s="10" t="n">
        <f aca="false">Einstellungen!$B$5+INT((ROW()-9)/24)</f>
        <v>46175</v>
      </c>
      <c r="B5027" s="11" t="n">
        <f aca="false">MOD(ROW()-9,24)</f>
        <v>2</v>
      </c>
      <c r="C5027" s="12"/>
      <c r="D5027" s="13" t="n">
        <f aca="false">IF(B5027&lt;5,Einstellungen!$B$3,Einstellungen!$B$4)</f>
        <v>15.92</v>
      </c>
      <c r="E5027" s="14" t="str">
        <f aca="false">IF(C5027="","",C5027*D5027/100)</f>
        <v/>
      </c>
      <c r="F5027" s="15" t="str">
        <f aca="false">IF(B5027&lt;5,"Go","Standard")</f>
        <v>Go</v>
      </c>
    </row>
    <row r="5028" customFormat="false" ht="15" hidden="false" customHeight="true" outlineLevel="0" collapsed="false">
      <c r="A5028" s="10" t="n">
        <f aca="false">Einstellungen!$B$5+INT((ROW()-9)/24)</f>
        <v>46175</v>
      </c>
      <c r="B5028" s="11" t="n">
        <f aca="false">MOD(ROW()-9,24)</f>
        <v>3</v>
      </c>
      <c r="C5028" s="12"/>
      <c r="D5028" s="13" t="n">
        <f aca="false">IF(B5028&lt;5,Einstellungen!$B$3,Einstellungen!$B$4)</f>
        <v>15.92</v>
      </c>
      <c r="E5028" s="14" t="str">
        <f aca="false">IF(C5028="","",C5028*D5028/100)</f>
        <v/>
      </c>
      <c r="F5028" s="15" t="str">
        <f aca="false">IF(B5028&lt;5,"Go","Standard")</f>
        <v>Go</v>
      </c>
    </row>
    <row r="5029" customFormat="false" ht="15" hidden="false" customHeight="true" outlineLevel="0" collapsed="false">
      <c r="A5029" s="10" t="n">
        <f aca="false">Einstellungen!$B$5+INT((ROW()-9)/24)</f>
        <v>46175</v>
      </c>
      <c r="B5029" s="11" t="n">
        <f aca="false">MOD(ROW()-9,24)</f>
        <v>4</v>
      </c>
      <c r="C5029" s="12"/>
      <c r="D5029" s="13" t="n">
        <f aca="false">IF(B5029&lt;5,Einstellungen!$B$3,Einstellungen!$B$4)</f>
        <v>15.92</v>
      </c>
      <c r="E5029" s="14" t="str">
        <f aca="false">IF(C5029="","",C5029*D5029/100)</f>
        <v/>
      </c>
      <c r="F5029" s="15" t="str">
        <f aca="false">IF(B5029&lt;5,"Go","Standard")</f>
        <v>Go</v>
      </c>
    </row>
    <row r="5030" customFormat="false" ht="15" hidden="false" customHeight="true" outlineLevel="0" collapsed="false">
      <c r="A5030" s="10" t="n">
        <f aca="false">Einstellungen!$B$5+INT((ROW()-9)/24)</f>
        <v>46175</v>
      </c>
      <c r="B5030" s="11" t="n">
        <f aca="false">MOD(ROW()-9,24)</f>
        <v>5</v>
      </c>
      <c r="C5030" s="12"/>
      <c r="D5030" s="13" t="n">
        <f aca="false">IF(B5030&lt;5,Einstellungen!$B$3,Einstellungen!$B$4)</f>
        <v>29.13</v>
      </c>
      <c r="E5030" s="14" t="str">
        <f aca="false">IF(C5030="","",C5030*D5030/100)</f>
        <v/>
      </c>
      <c r="F5030" s="15" t="str">
        <f aca="false">IF(B5030&lt;5,"Go","Standard")</f>
        <v>Standard</v>
      </c>
    </row>
    <row r="5031" customFormat="false" ht="15" hidden="false" customHeight="true" outlineLevel="0" collapsed="false">
      <c r="A5031" s="10" t="n">
        <f aca="false">Einstellungen!$B$5+INT((ROW()-9)/24)</f>
        <v>46175</v>
      </c>
      <c r="B5031" s="11" t="n">
        <f aca="false">MOD(ROW()-9,24)</f>
        <v>6</v>
      </c>
      <c r="C5031" s="12"/>
      <c r="D5031" s="13" t="n">
        <f aca="false">IF(B5031&lt;5,Einstellungen!$B$3,Einstellungen!$B$4)</f>
        <v>29.13</v>
      </c>
      <c r="E5031" s="14" t="str">
        <f aca="false">IF(C5031="","",C5031*D5031/100)</f>
        <v/>
      </c>
      <c r="F5031" s="15" t="str">
        <f aca="false">IF(B5031&lt;5,"Go","Standard")</f>
        <v>Standard</v>
      </c>
    </row>
    <row r="5032" customFormat="false" ht="15" hidden="false" customHeight="true" outlineLevel="0" collapsed="false">
      <c r="A5032" s="10" t="n">
        <f aca="false">Einstellungen!$B$5+INT((ROW()-9)/24)</f>
        <v>46175</v>
      </c>
      <c r="B5032" s="11" t="n">
        <f aca="false">MOD(ROW()-9,24)</f>
        <v>7</v>
      </c>
      <c r="C5032" s="12"/>
      <c r="D5032" s="13" t="n">
        <f aca="false">IF(B5032&lt;5,Einstellungen!$B$3,Einstellungen!$B$4)</f>
        <v>29.13</v>
      </c>
      <c r="E5032" s="14" t="str">
        <f aca="false">IF(C5032="","",C5032*D5032/100)</f>
        <v/>
      </c>
      <c r="F5032" s="15" t="str">
        <f aca="false">IF(B5032&lt;5,"Go","Standard")</f>
        <v>Standard</v>
      </c>
    </row>
    <row r="5033" customFormat="false" ht="15" hidden="false" customHeight="true" outlineLevel="0" collapsed="false">
      <c r="A5033" s="10" t="n">
        <f aca="false">Einstellungen!$B$5+INT((ROW()-9)/24)</f>
        <v>46175</v>
      </c>
      <c r="B5033" s="11" t="n">
        <f aca="false">MOD(ROW()-9,24)</f>
        <v>8</v>
      </c>
      <c r="C5033" s="12"/>
      <c r="D5033" s="13" t="n">
        <f aca="false">IF(B5033&lt;5,Einstellungen!$B$3,Einstellungen!$B$4)</f>
        <v>29.13</v>
      </c>
      <c r="E5033" s="14" t="str">
        <f aca="false">IF(C5033="","",C5033*D5033/100)</f>
        <v/>
      </c>
      <c r="F5033" s="15" t="str">
        <f aca="false">IF(B5033&lt;5,"Go","Standard")</f>
        <v>Standard</v>
      </c>
    </row>
    <row r="5034" customFormat="false" ht="15" hidden="false" customHeight="true" outlineLevel="0" collapsed="false">
      <c r="A5034" s="10" t="n">
        <f aca="false">Einstellungen!$B$5+INT((ROW()-9)/24)</f>
        <v>46175</v>
      </c>
      <c r="B5034" s="11" t="n">
        <f aca="false">MOD(ROW()-9,24)</f>
        <v>9</v>
      </c>
      <c r="C5034" s="12"/>
      <c r="D5034" s="13" t="n">
        <f aca="false">IF(B5034&lt;5,Einstellungen!$B$3,Einstellungen!$B$4)</f>
        <v>29.13</v>
      </c>
      <c r="E5034" s="14" t="str">
        <f aca="false">IF(C5034="","",C5034*D5034/100)</f>
        <v/>
      </c>
      <c r="F5034" s="15" t="str">
        <f aca="false">IF(B5034&lt;5,"Go","Standard")</f>
        <v>Standard</v>
      </c>
    </row>
    <row r="5035" customFormat="false" ht="15" hidden="false" customHeight="true" outlineLevel="0" collapsed="false">
      <c r="A5035" s="10" t="n">
        <f aca="false">Einstellungen!$B$5+INT((ROW()-9)/24)</f>
        <v>46175</v>
      </c>
      <c r="B5035" s="11" t="n">
        <f aca="false">MOD(ROW()-9,24)</f>
        <v>10</v>
      </c>
      <c r="C5035" s="12"/>
      <c r="D5035" s="13" t="n">
        <f aca="false">IF(B5035&lt;5,Einstellungen!$B$3,Einstellungen!$B$4)</f>
        <v>29.13</v>
      </c>
      <c r="E5035" s="14" t="str">
        <f aca="false">IF(C5035="","",C5035*D5035/100)</f>
        <v/>
      </c>
      <c r="F5035" s="15" t="str">
        <f aca="false">IF(B5035&lt;5,"Go","Standard")</f>
        <v>Standard</v>
      </c>
    </row>
    <row r="5036" customFormat="false" ht="15" hidden="false" customHeight="true" outlineLevel="0" collapsed="false">
      <c r="A5036" s="10" t="n">
        <f aca="false">Einstellungen!$B$5+INT((ROW()-9)/24)</f>
        <v>46175</v>
      </c>
      <c r="B5036" s="11" t="n">
        <f aca="false">MOD(ROW()-9,24)</f>
        <v>11</v>
      </c>
      <c r="C5036" s="12"/>
      <c r="D5036" s="13" t="n">
        <f aca="false">IF(B5036&lt;5,Einstellungen!$B$3,Einstellungen!$B$4)</f>
        <v>29.13</v>
      </c>
      <c r="E5036" s="14" t="str">
        <f aca="false">IF(C5036="","",C5036*D5036/100)</f>
        <v/>
      </c>
      <c r="F5036" s="15" t="str">
        <f aca="false">IF(B5036&lt;5,"Go","Standard")</f>
        <v>Standard</v>
      </c>
    </row>
    <row r="5037" customFormat="false" ht="15" hidden="false" customHeight="true" outlineLevel="0" collapsed="false">
      <c r="A5037" s="10" t="n">
        <f aca="false">Einstellungen!$B$5+INT((ROW()-9)/24)</f>
        <v>46175</v>
      </c>
      <c r="B5037" s="11" t="n">
        <f aca="false">MOD(ROW()-9,24)</f>
        <v>12</v>
      </c>
      <c r="C5037" s="12"/>
      <c r="D5037" s="13" t="n">
        <f aca="false">IF(B5037&lt;5,Einstellungen!$B$3,Einstellungen!$B$4)</f>
        <v>29.13</v>
      </c>
      <c r="E5037" s="14" t="str">
        <f aca="false">IF(C5037="","",C5037*D5037/100)</f>
        <v/>
      </c>
      <c r="F5037" s="15" t="str">
        <f aca="false">IF(B5037&lt;5,"Go","Standard")</f>
        <v>Standard</v>
      </c>
    </row>
    <row r="5038" customFormat="false" ht="15" hidden="false" customHeight="true" outlineLevel="0" collapsed="false">
      <c r="A5038" s="10" t="n">
        <f aca="false">Einstellungen!$B$5+INT((ROW()-9)/24)</f>
        <v>46175</v>
      </c>
      <c r="B5038" s="11" t="n">
        <f aca="false">MOD(ROW()-9,24)</f>
        <v>13</v>
      </c>
      <c r="C5038" s="12"/>
      <c r="D5038" s="13" t="n">
        <f aca="false">IF(B5038&lt;5,Einstellungen!$B$3,Einstellungen!$B$4)</f>
        <v>29.13</v>
      </c>
      <c r="E5038" s="14" t="str">
        <f aca="false">IF(C5038="","",C5038*D5038/100)</f>
        <v/>
      </c>
      <c r="F5038" s="15" t="str">
        <f aca="false">IF(B5038&lt;5,"Go","Standard")</f>
        <v>Standard</v>
      </c>
    </row>
    <row r="5039" customFormat="false" ht="15" hidden="false" customHeight="true" outlineLevel="0" collapsed="false">
      <c r="A5039" s="10" t="n">
        <f aca="false">Einstellungen!$B$5+INT((ROW()-9)/24)</f>
        <v>46175</v>
      </c>
      <c r="B5039" s="11" t="n">
        <f aca="false">MOD(ROW()-9,24)</f>
        <v>14</v>
      </c>
      <c r="C5039" s="12"/>
      <c r="D5039" s="13" t="n">
        <f aca="false">IF(B5039&lt;5,Einstellungen!$B$3,Einstellungen!$B$4)</f>
        <v>29.13</v>
      </c>
      <c r="E5039" s="14" t="str">
        <f aca="false">IF(C5039="","",C5039*D5039/100)</f>
        <v/>
      </c>
      <c r="F5039" s="15" t="str">
        <f aca="false">IF(B5039&lt;5,"Go","Standard")</f>
        <v>Standard</v>
      </c>
    </row>
    <row r="5040" customFormat="false" ht="15" hidden="false" customHeight="true" outlineLevel="0" collapsed="false">
      <c r="A5040" s="10" t="n">
        <f aca="false">Einstellungen!$B$5+INT((ROW()-9)/24)</f>
        <v>46175</v>
      </c>
      <c r="B5040" s="11" t="n">
        <f aca="false">MOD(ROW()-9,24)</f>
        <v>15</v>
      </c>
      <c r="C5040" s="12"/>
      <c r="D5040" s="13" t="n">
        <f aca="false">IF(B5040&lt;5,Einstellungen!$B$3,Einstellungen!$B$4)</f>
        <v>29.13</v>
      </c>
      <c r="E5040" s="14" t="str">
        <f aca="false">IF(C5040="","",C5040*D5040/100)</f>
        <v/>
      </c>
      <c r="F5040" s="15" t="str">
        <f aca="false">IF(B5040&lt;5,"Go","Standard")</f>
        <v>Standard</v>
      </c>
    </row>
    <row r="5041" customFormat="false" ht="15" hidden="false" customHeight="true" outlineLevel="0" collapsed="false">
      <c r="A5041" s="10" t="n">
        <f aca="false">Einstellungen!$B$5+INT((ROW()-9)/24)</f>
        <v>46175</v>
      </c>
      <c r="B5041" s="11" t="n">
        <f aca="false">MOD(ROW()-9,24)</f>
        <v>16</v>
      </c>
      <c r="C5041" s="12"/>
      <c r="D5041" s="13" t="n">
        <f aca="false">IF(B5041&lt;5,Einstellungen!$B$3,Einstellungen!$B$4)</f>
        <v>29.13</v>
      </c>
      <c r="E5041" s="14" t="str">
        <f aca="false">IF(C5041="","",C5041*D5041/100)</f>
        <v/>
      </c>
      <c r="F5041" s="15" t="str">
        <f aca="false">IF(B5041&lt;5,"Go","Standard")</f>
        <v>Standard</v>
      </c>
    </row>
    <row r="5042" customFormat="false" ht="15" hidden="false" customHeight="true" outlineLevel="0" collapsed="false">
      <c r="A5042" s="10" t="n">
        <f aca="false">Einstellungen!$B$5+INT((ROW()-9)/24)</f>
        <v>46175</v>
      </c>
      <c r="B5042" s="11" t="n">
        <f aca="false">MOD(ROW()-9,24)</f>
        <v>17</v>
      </c>
      <c r="C5042" s="12"/>
      <c r="D5042" s="13" t="n">
        <f aca="false">IF(B5042&lt;5,Einstellungen!$B$3,Einstellungen!$B$4)</f>
        <v>29.13</v>
      </c>
      <c r="E5042" s="14" t="str">
        <f aca="false">IF(C5042="","",C5042*D5042/100)</f>
        <v/>
      </c>
      <c r="F5042" s="15" t="str">
        <f aca="false">IF(B5042&lt;5,"Go","Standard")</f>
        <v>Standard</v>
      </c>
    </row>
    <row r="5043" customFormat="false" ht="15" hidden="false" customHeight="true" outlineLevel="0" collapsed="false">
      <c r="A5043" s="10" t="n">
        <f aca="false">Einstellungen!$B$5+INT((ROW()-9)/24)</f>
        <v>46175</v>
      </c>
      <c r="B5043" s="11" t="n">
        <f aca="false">MOD(ROW()-9,24)</f>
        <v>18</v>
      </c>
      <c r="C5043" s="12"/>
      <c r="D5043" s="13" t="n">
        <f aca="false">IF(B5043&lt;5,Einstellungen!$B$3,Einstellungen!$B$4)</f>
        <v>29.13</v>
      </c>
      <c r="E5043" s="14" t="str">
        <f aca="false">IF(C5043="","",C5043*D5043/100)</f>
        <v/>
      </c>
      <c r="F5043" s="15" t="str">
        <f aca="false">IF(B5043&lt;5,"Go","Standard")</f>
        <v>Standard</v>
      </c>
    </row>
    <row r="5044" customFormat="false" ht="15" hidden="false" customHeight="true" outlineLevel="0" collapsed="false">
      <c r="A5044" s="10" t="n">
        <f aca="false">Einstellungen!$B$5+INT((ROW()-9)/24)</f>
        <v>46175</v>
      </c>
      <c r="B5044" s="11" t="n">
        <f aca="false">MOD(ROW()-9,24)</f>
        <v>19</v>
      </c>
      <c r="C5044" s="12"/>
      <c r="D5044" s="13" t="n">
        <f aca="false">IF(B5044&lt;5,Einstellungen!$B$3,Einstellungen!$B$4)</f>
        <v>29.13</v>
      </c>
      <c r="E5044" s="14" t="str">
        <f aca="false">IF(C5044="","",C5044*D5044/100)</f>
        <v/>
      </c>
      <c r="F5044" s="15" t="str">
        <f aca="false">IF(B5044&lt;5,"Go","Standard")</f>
        <v>Standard</v>
      </c>
    </row>
    <row r="5045" customFormat="false" ht="15" hidden="false" customHeight="true" outlineLevel="0" collapsed="false">
      <c r="A5045" s="10" t="n">
        <f aca="false">Einstellungen!$B$5+INT((ROW()-9)/24)</f>
        <v>46175</v>
      </c>
      <c r="B5045" s="11" t="n">
        <f aca="false">MOD(ROW()-9,24)</f>
        <v>20</v>
      </c>
      <c r="C5045" s="12"/>
      <c r="D5045" s="13" t="n">
        <f aca="false">IF(B5045&lt;5,Einstellungen!$B$3,Einstellungen!$B$4)</f>
        <v>29.13</v>
      </c>
      <c r="E5045" s="14" t="str">
        <f aca="false">IF(C5045="","",C5045*D5045/100)</f>
        <v/>
      </c>
      <c r="F5045" s="15" t="str">
        <f aca="false">IF(B5045&lt;5,"Go","Standard")</f>
        <v>Standard</v>
      </c>
    </row>
    <row r="5046" customFormat="false" ht="15" hidden="false" customHeight="true" outlineLevel="0" collapsed="false">
      <c r="A5046" s="10" t="n">
        <f aca="false">Einstellungen!$B$5+INT((ROW()-9)/24)</f>
        <v>46175</v>
      </c>
      <c r="B5046" s="11" t="n">
        <f aca="false">MOD(ROW()-9,24)</f>
        <v>21</v>
      </c>
      <c r="C5046" s="12"/>
      <c r="D5046" s="13" t="n">
        <f aca="false">IF(B5046&lt;5,Einstellungen!$B$3,Einstellungen!$B$4)</f>
        <v>29.13</v>
      </c>
      <c r="E5046" s="14" t="str">
        <f aca="false">IF(C5046="","",C5046*D5046/100)</f>
        <v/>
      </c>
      <c r="F5046" s="15" t="str">
        <f aca="false">IF(B5046&lt;5,"Go","Standard")</f>
        <v>Standard</v>
      </c>
    </row>
    <row r="5047" customFormat="false" ht="15" hidden="false" customHeight="true" outlineLevel="0" collapsed="false">
      <c r="A5047" s="10" t="n">
        <f aca="false">Einstellungen!$B$5+INT((ROW()-9)/24)</f>
        <v>46175</v>
      </c>
      <c r="B5047" s="11" t="n">
        <f aca="false">MOD(ROW()-9,24)</f>
        <v>22</v>
      </c>
      <c r="C5047" s="12"/>
      <c r="D5047" s="13" t="n">
        <f aca="false">IF(B5047&lt;5,Einstellungen!$B$3,Einstellungen!$B$4)</f>
        <v>29.13</v>
      </c>
      <c r="E5047" s="14" t="str">
        <f aca="false">IF(C5047="","",C5047*D5047/100)</f>
        <v/>
      </c>
      <c r="F5047" s="15" t="str">
        <f aca="false">IF(B5047&lt;5,"Go","Standard")</f>
        <v>Standard</v>
      </c>
    </row>
    <row r="5048" customFormat="false" ht="15" hidden="false" customHeight="true" outlineLevel="0" collapsed="false">
      <c r="A5048" s="10" t="n">
        <f aca="false">Einstellungen!$B$5+INT((ROW()-9)/24)</f>
        <v>46175</v>
      </c>
      <c r="B5048" s="11" t="n">
        <f aca="false">MOD(ROW()-9,24)</f>
        <v>23</v>
      </c>
      <c r="C5048" s="12"/>
      <c r="D5048" s="13" t="n">
        <f aca="false">IF(B5048&lt;5,Einstellungen!$B$3,Einstellungen!$B$4)</f>
        <v>29.13</v>
      </c>
      <c r="E5048" s="14" t="str">
        <f aca="false">IF(C5048="","",C5048*D5048/100)</f>
        <v/>
      </c>
      <c r="F5048" s="15" t="str">
        <f aca="false">IF(B5048&lt;5,"Go","Standard")</f>
        <v>Standard</v>
      </c>
    </row>
    <row r="5049" customFormat="false" ht="15" hidden="false" customHeight="true" outlineLevel="0" collapsed="false">
      <c r="A5049" s="10" t="n">
        <f aca="false">Einstellungen!$B$5+INT((ROW()-9)/24)</f>
        <v>46176</v>
      </c>
      <c r="B5049" s="11" t="n">
        <f aca="false">MOD(ROW()-9,24)</f>
        <v>0</v>
      </c>
      <c r="C5049" s="12"/>
      <c r="D5049" s="13" t="n">
        <f aca="false">IF(B5049&lt;5,Einstellungen!$B$3,Einstellungen!$B$4)</f>
        <v>15.92</v>
      </c>
      <c r="E5049" s="14" t="str">
        <f aca="false">IF(C5049="","",C5049*D5049/100)</f>
        <v/>
      </c>
      <c r="F5049" s="15" t="str">
        <f aca="false">IF(B5049&lt;5,"Go","Standard")</f>
        <v>Go</v>
      </c>
    </row>
    <row r="5050" customFormat="false" ht="15" hidden="false" customHeight="true" outlineLevel="0" collapsed="false">
      <c r="A5050" s="10" t="n">
        <f aca="false">Einstellungen!$B$5+INT((ROW()-9)/24)</f>
        <v>46176</v>
      </c>
      <c r="B5050" s="11" t="n">
        <f aca="false">MOD(ROW()-9,24)</f>
        <v>1</v>
      </c>
      <c r="C5050" s="12"/>
      <c r="D5050" s="13" t="n">
        <f aca="false">IF(B5050&lt;5,Einstellungen!$B$3,Einstellungen!$B$4)</f>
        <v>15.92</v>
      </c>
      <c r="E5050" s="14" t="str">
        <f aca="false">IF(C5050="","",C5050*D5050/100)</f>
        <v/>
      </c>
      <c r="F5050" s="15" t="str">
        <f aca="false">IF(B5050&lt;5,"Go","Standard")</f>
        <v>Go</v>
      </c>
    </row>
    <row r="5051" customFormat="false" ht="15" hidden="false" customHeight="true" outlineLevel="0" collapsed="false">
      <c r="A5051" s="10" t="n">
        <f aca="false">Einstellungen!$B$5+INT((ROW()-9)/24)</f>
        <v>46176</v>
      </c>
      <c r="B5051" s="11" t="n">
        <f aca="false">MOD(ROW()-9,24)</f>
        <v>2</v>
      </c>
      <c r="C5051" s="12"/>
      <c r="D5051" s="13" t="n">
        <f aca="false">IF(B5051&lt;5,Einstellungen!$B$3,Einstellungen!$B$4)</f>
        <v>15.92</v>
      </c>
      <c r="E5051" s="14" t="str">
        <f aca="false">IF(C5051="","",C5051*D5051/100)</f>
        <v/>
      </c>
      <c r="F5051" s="15" t="str">
        <f aca="false">IF(B5051&lt;5,"Go","Standard")</f>
        <v>Go</v>
      </c>
    </row>
    <row r="5052" customFormat="false" ht="15" hidden="false" customHeight="true" outlineLevel="0" collapsed="false">
      <c r="A5052" s="10" t="n">
        <f aca="false">Einstellungen!$B$5+INT((ROW()-9)/24)</f>
        <v>46176</v>
      </c>
      <c r="B5052" s="11" t="n">
        <f aca="false">MOD(ROW()-9,24)</f>
        <v>3</v>
      </c>
      <c r="C5052" s="12"/>
      <c r="D5052" s="13" t="n">
        <f aca="false">IF(B5052&lt;5,Einstellungen!$B$3,Einstellungen!$B$4)</f>
        <v>15.92</v>
      </c>
      <c r="E5052" s="14" t="str">
        <f aca="false">IF(C5052="","",C5052*D5052/100)</f>
        <v/>
      </c>
      <c r="F5052" s="15" t="str">
        <f aca="false">IF(B5052&lt;5,"Go","Standard")</f>
        <v>Go</v>
      </c>
    </row>
    <row r="5053" customFormat="false" ht="15" hidden="false" customHeight="true" outlineLevel="0" collapsed="false">
      <c r="A5053" s="10" t="n">
        <f aca="false">Einstellungen!$B$5+INT((ROW()-9)/24)</f>
        <v>46176</v>
      </c>
      <c r="B5053" s="11" t="n">
        <f aca="false">MOD(ROW()-9,24)</f>
        <v>4</v>
      </c>
      <c r="C5053" s="12"/>
      <c r="D5053" s="13" t="n">
        <f aca="false">IF(B5053&lt;5,Einstellungen!$B$3,Einstellungen!$B$4)</f>
        <v>15.92</v>
      </c>
      <c r="E5053" s="14" t="str">
        <f aca="false">IF(C5053="","",C5053*D5053/100)</f>
        <v/>
      </c>
      <c r="F5053" s="15" t="str">
        <f aca="false">IF(B5053&lt;5,"Go","Standard")</f>
        <v>Go</v>
      </c>
    </row>
    <row r="5054" customFormat="false" ht="15" hidden="false" customHeight="true" outlineLevel="0" collapsed="false">
      <c r="A5054" s="10" t="n">
        <f aca="false">Einstellungen!$B$5+INT((ROW()-9)/24)</f>
        <v>46176</v>
      </c>
      <c r="B5054" s="11" t="n">
        <f aca="false">MOD(ROW()-9,24)</f>
        <v>5</v>
      </c>
      <c r="C5054" s="12"/>
      <c r="D5054" s="13" t="n">
        <f aca="false">IF(B5054&lt;5,Einstellungen!$B$3,Einstellungen!$B$4)</f>
        <v>29.13</v>
      </c>
      <c r="E5054" s="14" t="str">
        <f aca="false">IF(C5054="","",C5054*D5054/100)</f>
        <v/>
      </c>
      <c r="F5054" s="15" t="str">
        <f aca="false">IF(B5054&lt;5,"Go","Standard")</f>
        <v>Standard</v>
      </c>
    </row>
    <row r="5055" customFormat="false" ht="15" hidden="false" customHeight="true" outlineLevel="0" collapsed="false">
      <c r="A5055" s="10" t="n">
        <f aca="false">Einstellungen!$B$5+INT((ROW()-9)/24)</f>
        <v>46176</v>
      </c>
      <c r="B5055" s="11" t="n">
        <f aca="false">MOD(ROW()-9,24)</f>
        <v>6</v>
      </c>
      <c r="C5055" s="12"/>
      <c r="D5055" s="13" t="n">
        <f aca="false">IF(B5055&lt;5,Einstellungen!$B$3,Einstellungen!$B$4)</f>
        <v>29.13</v>
      </c>
      <c r="E5055" s="14" t="str">
        <f aca="false">IF(C5055="","",C5055*D5055/100)</f>
        <v/>
      </c>
      <c r="F5055" s="15" t="str">
        <f aca="false">IF(B5055&lt;5,"Go","Standard")</f>
        <v>Standard</v>
      </c>
    </row>
    <row r="5056" customFormat="false" ht="15" hidden="false" customHeight="true" outlineLevel="0" collapsed="false">
      <c r="A5056" s="10" t="n">
        <f aca="false">Einstellungen!$B$5+INT((ROW()-9)/24)</f>
        <v>46176</v>
      </c>
      <c r="B5056" s="11" t="n">
        <f aca="false">MOD(ROW()-9,24)</f>
        <v>7</v>
      </c>
      <c r="C5056" s="12"/>
      <c r="D5056" s="13" t="n">
        <f aca="false">IF(B5056&lt;5,Einstellungen!$B$3,Einstellungen!$B$4)</f>
        <v>29.13</v>
      </c>
      <c r="E5056" s="14" t="str">
        <f aca="false">IF(C5056="","",C5056*D5056/100)</f>
        <v/>
      </c>
      <c r="F5056" s="15" t="str">
        <f aca="false">IF(B5056&lt;5,"Go","Standard")</f>
        <v>Standard</v>
      </c>
    </row>
    <row r="5057" customFormat="false" ht="15" hidden="false" customHeight="true" outlineLevel="0" collapsed="false">
      <c r="A5057" s="10" t="n">
        <f aca="false">Einstellungen!$B$5+INT((ROW()-9)/24)</f>
        <v>46176</v>
      </c>
      <c r="B5057" s="11" t="n">
        <f aca="false">MOD(ROW()-9,24)</f>
        <v>8</v>
      </c>
      <c r="C5057" s="12"/>
      <c r="D5057" s="13" t="n">
        <f aca="false">IF(B5057&lt;5,Einstellungen!$B$3,Einstellungen!$B$4)</f>
        <v>29.13</v>
      </c>
      <c r="E5057" s="14" t="str">
        <f aca="false">IF(C5057="","",C5057*D5057/100)</f>
        <v/>
      </c>
      <c r="F5057" s="15" t="str">
        <f aca="false">IF(B5057&lt;5,"Go","Standard")</f>
        <v>Standard</v>
      </c>
    </row>
    <row r="5058" customFormat="false" ht="15" hidden="false" customHeight="true" outlineLevel="0" collapsed="false">
      <c r="A5058" s="10" t="n">
        <f aca="false">Einstellungen!$B$5+INT((ROW()-9)/24)</f>
        <v>46176</v>
      </c>
      <c r="B5058" s="11" t="n">
        <f aca="false">MOD(ROW()-9,24)</f>
        <v>9</v>
      </c>
      <c r="C5058" s="12"/>
      <c r="D5058" s="13" t="n">
        <f aca="false">IF(B5058&lt;5,Einstellungen!$B$3,Einstellungen!$B$4)</f>
        <v>29.13</v>
      </c>
      <c r="E5058" s="14" t="str">
        <f aca="false">IF(C5058="","",C5058*D5058/100)</f>
        <v/>
      </c>
      <c r="F5058" s="15" t="str">
        <f aca="false">IF(B5058&lt;5,"Go","Standard")</f>
        <v>Standard</v>
      </c>
    </row>
    <row r="5059" customFormat="false" ht="15" hidden="false" customHeight="true" outlineLevel="0" collapsed="false">
      <c r="A5059" s="10" t="n">
        <f aca="false">Einstellungen!$B$5+INT((ROW()-9)/24)</f>
        <v>46176</v>
      </c>
      <c r="B5059" s="11" t="n">
        <f aca="false">MOD(ROW()-9,24)</f>
        <v>10</v>
      </c>
      <c r="C5059" s="12"/>
      <c r="D5059" s="13" t="n">
        <f aca="false">IF(B5059&lt;5,Einstellungen!$B$3,Einstellungen!$B$4)</f>
        <v>29.13</v>
      </c>
      <c r="E5059" s="14" t="str">
        <f aca="false">IF(C5059="","",C5059*D5059/100)</f>
        <v/>
      </c>
      <c r="F5059" s="15" t="str">
        <f aca="false">IF(B5059&lt;5,"Go","Standard")</f>
        <v>Standard</v>
      </c>
    </row>
    <row r="5060" customFormat="false" ht="15" hidden="false" customHeight="true" outlineLevel="0" collapsed="false">
      <c r="A5060" s="10" t="n">
        <f aca="false">Einstellungen!$B$5+INT((ROW()-9)/24)</f>
        <v>46176</v>
      </c>
      <c r="B5060" s="11" t="n">
        <f aca="false">MOD(ROW()-9,24)</f>
        <v>11</v>
      </c>
      <c r="C5060" s="12"/>
      <c r="D5060" s="13" t="n">
        <f aca="false">IF(B5060&lt;5,Einstellungen!$B$3,Einstellungen!$B$4)</f>
        <v>29.13</v>
      </c>
      <c r="E5060" s="14" t="str">
        <f aca="false">IF(C5060="","",C5060*D5060/100)</f>
        <v/>
      </c>
      <c r="F5060" s="15" t="str">
        <f aca="false">IF(B5060&lt;5,"Go","Standard")</f>
        <v>Standard</v>
      </c>
    </row>
    <row r="5061" customFormat="false" ht="15" hidden="false" customHeight="true" outlineLevel="0" collapsed="false">
      <c r="A5061" s="10" t="n">
        <f aca="false">Einstellungen!$B$5+INT((ROW()-9)/24)</f>
        <v>46176</v>
      </c>
      <c r="B5061" s="11" t="n">
        <f aca="false">MOD(ROW()-9,24)</f>
        <v>12</v>
      </c>
      <c r="C5061" s="12"/>
      <c r="D5061" s="13" t="n">
        <f aca="false">IF(B5061&lt;5,Einstellungen!$B$3,Einstellungen!$B$4)</f>
        <v>29.13</v>
      </c>
      <c r="E5061" s="14" t="str">
        <f aca="false">IF(C5061="","",C5061*D5061/100)</f>
        <v/>
      </c>
      <c r="F5061" s="15" t="str">
        <f aca="false">IF(B5061&lt;5,"Go","Standard")</f>
        <v>Standard</v>
      </c>
    </row>
    <row r="5062" customFormat="false" ht="15" hidden="false" customHeight="true" outlineLevel="0" collapsed="false">
      <c r="A5062" s="10" t="n">
        <f aca="false">Einstellungen!$B$5+INT((ROW()-9)/24)</f>
        <v>46176</v>
      </c>
      <c r="B5062" s="11" t="n">
        <f aca="false">MOD(ROW()-9,24)</f>
        <v>13</v>
      </c>
      <c r="C5062" s="12"/>
      <c r="D5062" s="13" t="n">
        <f aca="false">IF(B5062&lt;5,Einstellungen!$B$3,Einstellungen!$B$4)</f>
        <v>29.13</v>
      </c>
      <c r="E5062" s="14" t="str">
        <f aca="false">IF(C5062="","",C5062*D5062/100)</f>
        <v/>
      </c>
      <c r="F5062" s="15" t="str">
        <f aca="false">IF(B5062&lt;5,"Go","Standard")</f>
        <v>Standard</v>
      </c>
    </row>
    <row r="5063" customFormat="false" ht="15" hidden="false" customHeight="true" outlineLevel="0" collapsed="false">
      <c r="A5063" s="10" t="n">
        <f aca="false">Einstellungen!$B$5+INT((ROW()-9)/24)</f>
        <v>46176</v>
      </c>
      <c r="B5063" s="11" t="n">
        <f aca="false">MOD(ROW()-9,24)</f>
        <v>14</v>
      </c>
      <c r="C5063" s="12"/>
      <c r="D5063" s="13" t="n">
        <f aca="false">IF(B5063&lt;5,Einstellungen!$B$3,Einstellungen!$B$4)</f>
        <v>29.13</v>
      </c>
      <c r="E5063" s="14" t="str">
        <f aca="false">IF(C5063="","",C5063*D5063/100)</f>
        <v/>
      </c>
      <c r="F5063" s="15" t="str">
        <f aca="false">IF(B5063&lt;5,"Go","Standard")</f>
        <v>Standard</v>
      </c>
    </row>
    <row r="5064" customFormat="false" ht="15" hidden="false" customHeight="true" outlineLevel="0" collapsed="false">
      <c r="A5064" s="10" t="n">
        <f aca="false">Einstellungen!$B$5+INT((ROW()-9)/24)</f>
        <v>46176</v>
      </c>
      <c r="B5064" s="11" t="n">
        <f aca="false">MOD(ROW()-9,24)</f>
        <v>15</v>
      </c>
      <c r="C5064" s="12"/>
      <c r="D5064" s="13" t="n">
        <f aca="false">IF(B5064&lt;5,Einstellungen!$B$3,Einstellungen!$B$4)</f>
        <v>29.13</v>
      </c>
      <c r="E5064" s="14" t="str">
        <f aca="false">IF(C5064="","",C5064*D5064/100)</f>
        <v/>
      </c>
      <c r="F5064" s="15" t="str">
        <f aca="false">IF(B5064&lt;5,"Go","Standard")</f>
        <v>Standard</v>
      </c>
    </row>
    <row r="5065" customFormat="false" ht="15" hidden="false" customHeight="true" outlineLevel="0" collapsed="false">
      <c r="A5065" s="10" t="n">
        <f aca="false">Einstellungen!$B$5+INT((ROW()-9)/24)</f>
        <v>46176</v>
      </c>
      <c r="B5065" s="11" t="n">
        <f aca="false">MOD(ROW()-9,24)</f>
        <v>16</v>
      </c>
      <c r="C5065" s="12"/>
      <c r="D5065" s="13" t="n">
        <f aca="false">IF(B5065&lt;5,Einstellungen!$B$3,Einstellungen!$B$4)</f>
        <v>29.13</v>
      </c>
      <c r="E5065" s="14" t="str">
        <f aca="false">IF(C5065="","",C5065*D5065/100)</f>
        <v/>
      </c>
      <c r="F5065" s="15" t="str">
        <f aca="false">IF(B5065&lt;5,"Go","Standard")</f>
        <v>Standard</v>
      </c>
    </row>
    <row r="5066" customFormat="false" ht="15" hidden="false" customHeight="true" outlineLevel="0" collapsed="false">
      <c r="A5066" s="10" t="n">
        <f aca="false">Einstellungen!$B$5+INT((ROW()-9)/24)</f>
        <v>46176</v>
      </c>
      <c r="B5066" s="11" t="n">
        <f aca="false">MOD(ROW()-9,24)</f>
        <v>17</v>
      </c>
      <c r="C5066" s="12"/>
      <c r="D5066" s="13" t="n">
        <f aca="false">IF(B5066&lt;5,Einstellungen!$B$3,Einstellungen!$B$4)</f>
        <v>29.13</v>
      </c>
      <c r="E5066" s="14" t="str">
        <f aca="false">IF(C5066="","",C5066*D5066/100)</f>
        <v/>
      </c>
      <c r="F5066" s="15" t="str">
        <f aca="false">IF(B5066&lt;5,"Go","Standard")</f>
        <v>Standard</v>
      </c>
    </row>
    <row r="5067" customFormat="false" ht="15" hidden="false" customHeight="true" outlineLevel="0" collapsed="false">
      <c r="A5067" s="10" t="n">
        <f aca="false">Einstellungen!$B$5+INT((ROW()-9)/24)</f>
        <v>46176</v>
      </c>
      <c r="B5067" s="11" t="n">
        <f aca="false">MOD(ROW()-9,24)</f>
        <v>18</v>
      </c>
      <c r="C5067" s="12"/>
      <c r="D5067" s="13" t="n">
        <f aca="false">IF(B5067&lt;5,Einstellungen!$B$3,Einstellungen!$B$4)</f>
        <v>29.13</v>
      </c>
      <c r="E5067" s="14" t="str">
        <f aca="false">IF(C5067="","",C5067*D5067/100)</f>
        <v/>
      </c>
      <c r="F5067" s="15" t="str">
        <f aca="false">IF(B5067&lt;5,"Go","Standard")</f>
        <v>Standard</v>
      </c>
    </row>
    <row r="5068" customFormat="false" ht="15" hidden="false" customHeight="true" outlineLevel="0" collapsed="false">
      <c r="A5068" s="10" t="n">
        <f aca="false">Einstellungen!$B$5+INT((ROW()-9)/24)</f>
        <v>46176</v>
      </c>
      <c r="B5068" s="11" t="n">
        <f aca="false">MOD(ROW()-9,24)</f>
        <v>19</v>
      </c>
      <c r="C5068" s="12"/>
      <c r="D5068" s="13" t="n">
        <f aca="false">IF(B5068&lt;5,Einstellungen!$B$3,Einstellungen!$B$4)</f>
        <v>29.13</v>
      </c>
      <c r="E5068" s="14" t="str">
        <f aca="false">IF(C5068="","",C5068*D5068/100)</f>
        <v/>
      </c>
      <c r="F5068" s="15" t="str">
        <f aca="false">IF(B5068&lt;5,"Go","Standard")</f>
        <v>Standard</v>
      </c>
    </row>
    <row r="5069" customFormat="false" ht="15" hidden="false" customHeight="true" outlineLevel="0" collapsed="false">
      <c r="A5069" s="10" t="n">
        <f aca="false">Einstellungen!$B$5+INT((ROW()-9)/24)</f>
        <v>46176</v>
      </c>
      <c r="B5069" s="11" t="n">
        <f aca="false">MOD(ROW()-9,24)</f>
        <v>20</v>
      </c>
      <c r="C5069" s="12"/>
      <c r="D5069" s="13" t="n">
        <f aca="false">IF(B5069&lt;5,Einstellungen!$B$3,Einstellungen!$B$4)</f>
        <v>29.13</v>
      </c>
      <c r="E5069" s="14" t="str">
        <f aca="false">IF(C5069="","",C5069*D5069/100)</f>
        <v/>
      </c>
      <c r="F5069" s="15" t="str">
        <f aca="false">IF(B5069&lt;5,"Go","Standard")</f>
        <v>Standard</v>
      </c>
    </row>
    <row r="5070" customFormat="false" ht="15" hidden="false" customHeight="true" outlineLevel="0" collapsed="false">
      <c r="A5070" s="10" t="n">
        <f aca="false">Einstellungen!$B$5+INT((ROW()-9)/24)</f>
        <v>46176</v>
      </c>
      <c r="B5070" s="11" t="n">
        <f aca="false">MOD(ROW()-9,24)</f>
        <v>21</v>
      </c>
      <c r="C5070" s="12"/>
      <c r="D5070" s="13" t="n">
        <f aca="false">IF(B5070&lt;5,Einstellungen!$B$3,Einstellungen!$B$4)</f>
        <v>29.13</v>
      </c>
      <c r="E5070" s="14" t="str">
        <f aca="false">IF(C5070="","",C5070*D5070/100)</f>
        <v/>
      </c>
      <c r="F5070" s="15" t="str">
        <f aca="false">IF(B5070&lt;5,"Go","Standard")</f>
        <v>Standard</v>
      </c>
    </row>
    <row r="5071" customFormat="false" ht="15" hidden="false" customHeight="true" outlineLevel="0" collapsed="false">
      <c r="A5071" s="10" t="n">
        <f aca="false">Einstellungen!$B$5+INT((ROW()-9)/24)</f>
        <v>46176</v>
      </c>
      <c r="B5071" s="11" t="n">
        <f aca="false">MOD(ROW()-9,24)</f>
        <v>22</v>
      </c>
      <c r="C5071" s="12"/>
      <c r="D5071" s="13" t="n">
        <f aca="false">IF(B5071&lt;5,Einstellungen!$B$3,Einstellungen!$B$4)</f>
        <v>29.13</v>
      </c>
      <c r="E5071" s="14" t="str">
        <f aca="false">IF(C5071="","",C5071*D5071/100)</f>
        <v/>
      </c>
      <c r="F5071" s="15" t="str">
        <f aca="false">IF(B5071&lt;5,"Go","Standard")</f>
        <v>Standard</v>
      </c>
    </row>
    <row r="5072" customFormat="false" ht="15" hidden="false" customHeight="true" outlineLevel="0" collapsed="false">
      <c r="A5072" s="10" t="n">
        <f aca="false">Einstellungen!$B$5+INT((ROW()-9)/24)</f>
        <v>46176</v>
      </c>
      <c r="B5072" s="11" t="n">
        <f aca="false">MOD(ROW()-9,24)</f>
        <v>23</v>
      </c>
      <c r="C5072" s="12"/>
      <c r="D5072" s="13" t="n">
        <f aca="false">IF(B5072&lt;5,Einstellungen!$B$3,Einstellungen!$B$4)</f>
        <v>29.13</v>
      </c>
      <c r="E5072" s="14" t="str">
        <f aca="false">IF(C5072="","",C5072*D5072/100)</f>
        <v/>
      </c>
      <c r="F5072" s="15" t="str">
        <f aca="false">IF(B5072&lt;5,"Go","Standard")</f>
        <v>Standard</v>
      </c>
    </row>
    <row r="5073" customFormat="false" ht="15" hidden="false" customHeight="true" outlineLevel="0" collapsed="false">
      <c r="A5073" s="10" t="n">
        <f aca="false">Einstellungen!$B$5+INT((ROW()-9)/24)</f>
        <v>46177</v>
      </c>
      <c r="B5073" s="11" t="n">
        <f aca="false">MOD(ROW()-9,24)</f>
        <v>0</v>
      </c>
      <c r="C5073" s="12"/>
      <c r="D5073" s="13" t="n">
        <f aca="false">IF(B5073&lt;5,Einstellungen!$B$3,Einstellungen!$B$4)</f>
        <v>15.92</v>
      </c>
      <c r="E5073" s="14" t="str">
        <f aca="false">IF(C5073="","",C5073*D5073/100)</f>
        <v/>
      </c>
      <c r="F5073" s="15" t="str">
        <f aca="false">IF(B5073&lt;5,"Go","Standard")</f>
        <v>Go</v>
      </c>
    </row>
    <row r="5074" customFormat="false" ht="15" hidden="false" customHeight="true" outlineLevel="0" collapsed="false">
      <c r="A5074" s="10" t="n">
        <f aca="false">Einstellungen!$B$5+INT((ROW()-9)/24)</f>
        <v>46177</v>
      </c>
      <c r="B5074" s="11" t="n">
        <f aca="false">MOD(ROW()-9,24)</f>
        <v>1</v>
      </c>
      <c r="C5074" s="12"/>
      <c r="D5074" s="13" t="n">
        <f aca="false">IF(B5074&lt;5,Einstellungen!$B$3,Einstellungen!$B$4)</f>
        <v>15.92</v>
      </c>
      <c r="E5074" s="14" t="str">
        <f aca="false">IF(C5074="","",C5074*D5074/100)</f>
        <v/>
      </c>
      <c r="F5074" s="15" t="str">
        <f aca="false">IF(B5074&lt;5,"Go","Standard")</f>
        <v>Go</v>
      </c>
    </row>
    <row r="5075" customFormat="false" ht="15" hidden="false" customHeight="true" outlineLevel="0" collapsed="false">
      <c r="A5075" s="10" t="n">
        <f aca="false">Einstellungen!$B$5+INT((ROW()-9)/24)</f>
        <v>46177</v>
      </c>
      <c r="B5075" s="11" t="n">
        <f aca="false">MOD(ROW()-9,24)</f>
        <v>2</v>
      </c>
      <c r="C5075" s="12"/>
      <c r="D5075" s="13" t="n">
        <f aca="false">IF(B5075&lt;5,Einstellungen!$B$3,Einstellungen!$B$4)</f>
        <v>15.92</v>
      </c>
      <c r="E5075" s="14" t="str">
        <f aca="false">IF(C5075="","",C5075*D5075/100)</f>
        <v/>
      </c>
      <c r="F5075" s="15" t="str">
        <f aca="false">IF(B5075&lt;5,"Go","Standard")</f>
        <v>Go</v>
      </c>
    </row>
    <row r="5076" customFormat="false" ht="15" hidden="false" customHeight="true" outlineLevel="0" collapsed="false">
      <c r="A5076" s="10" t="n">
        <f aca="false">Einstellungen!$B$5+INT((ROW()-9)/24)</f>
        <v>46177</v>
      </c>
      <c r="B5076" s="11" t="n">
        <f aca="false">MOD(ROW()-9,24)</f>
        <v>3</v>
      </c>
      <c r="C5076" s="12"/>
      <c r="D5076" s="13" t="n">
        <f aca="false">IF(B5076&lt;5,Einstellungen!$B$3,Einstellungen!$B$4)</f>
        <v>15.92</v>
      </c>
      <c r="E5076" s="14" t="str">
        <f aca="false">IF(C5076="","",C5076*D5076/100)</f>
        <v/>
      </c>
      <c r="F5076" s="15" t="str">
        <f aca="false">IF(B5076&lt;5,"Go","Standard")</f>
        <v>Go</v>
      </c>
    </row>
    <row r="5077" customFormat="false" ht="15" hidden="false" customHeight="true" outlineLevel="0" collapsed="false">
      <c r="A5077" s="10" t="n">
        <f aca="false">Einstellungen!$B$5+INT((ROW()-9)/24)</f>
        <v>46177</v>
      </c>
      <c r="B5077" s="11" t="n">
        <f aca="false">MOD(ROW()-9,24)</f>
        <v>4</v>
      </c>
      <c r="C5077" s="12"/>
      <c r="D5077" s="13" t="n">
        <f aca="false">IF(B5077&lt;5,Einstellungen!$B$3,Einstellungen!$B$4)</f>
        <v>15.92</v>
      </c>
      <c r="E5077" s="14" t="str">
        <f aca="false">IF(C5077="","",C5077*D5077/100)</f>
        <v/>
      </c>
      <c r="F5077" s="15" t="str">
        <f aca="false">IF(B5077&lt;5,"Go","Standard")</f>
        <v>Go</v>
      </c>
    </row>
    <row r="5078" customFormat="false" ht="15" hidden="false" customHeight="true" outlineLevel="0" collapsed="false">
      <c r="A5078" s="10" t="n">
        <f aca="false">Einstellungen!$B$5+INT((ROW()-9)/24)</f>
        <v>46177</v>
      </c>
      <c r="B5078" s="11" t="n">
        <f aca="false">MOD(ROW()-9,24)</f>
        <v>5</v>
      </c>
      <c r="C5078" s="12"/>
      <c r="D5078" s="13" t="n">
        <f aca="false">IF(B5078&lt;5,Einstellungen!$B$3,Einstellungen!$B$4)</f>
        <v>29.13</v>
      </c>
      <c r="E5078" s="14" t="str">
        <f aca="false">IF(C5078="","",C5078*D5078/100)</f>
        <v/>
      </c>
      <c r="F5078" s="15" t="str">
        <f aca="false">IF(B5078&lt;5,"Go","Standard")</f>
        <v>Standard</v>
      </c>
    </row>
    <row r="5079" customFormat="false" ht="15" hidden="false" customHeight="true" outlineLevel="0" collapsed="false">
      <c r="A5079" s="10" t="n">
        <f aca="false">Einstellungen!$B$5+INT((ROW()-9)/24)</f>
        <v>46177</v>
      </c>
      <c r="B5079" s="11" t="n">
        <f aca="false">MOD(ROW()-9,24)</f>
        <v>6</v>
      </c>
      <c r="C5079" s="12"/>
      <c r="D5079" s="13" t="n">
        <f aca="false">IF(B5079&lt;5,Einstellungen!$B$3,Einstellungen!$B$4)</f>
        <v>29.13</v>
      </c>
      <c r="E5079" s="14" t="str">
        <f aca="false">IF(C5079="","",C5079*D5079/100)</f>
        <v/>
      </c>
      <c r="F5079" s="15" t="str">
        <f aca="false">IF(B5079&lt;5,"Go","Standard")</f>
        <v>Standard</v>
      </c>
    </row>
    <row r="5080" customFormat="false" ht="15" hidden="false" customHeight="true" outlineLevel="0" collapsed="false">
      <c r="A5080" s="10" t="n">
        <f aca="false">Einstellungen!$B$5+INT((ROW()-9)/24)</f>
        <v>46177</v>
      </c>
      <c r="B5080" s="11" t="n">
        <f aca="false">MOD(ROW()-9,24)</f>
        <v>7</v>
      </c>
      <c r="C5080" s="12"/>
      <c r="D5080" s="13" t="n">
        <f aca="false">IF(B5080&lt;5,Einstellungen!$B$3,Einstellungen!$B$4)</f>
        <v>29.13</v>
      </c>
      <c r="E5080" s="14" t="str">
        <f aca="false">IF(C5080="","",C5080*D5080/100)</f>
        <v/>
      </c>
      <c r="F5080" s="15" t="str">
        <f aca="false">IF(B5080&lt;5,"Go","Standard")</f>
        <v>Standard</v>
      </c>
    </row>
    <row r="5081" customFormat="false" ht="15" hidden="false" customHeight="true" outlineLevel="0" collapsed="false">
      <c r="A5081" s="10" t="n">
        <f aca="false">Einstellungen!$B$5+INT((ROW()-9)/24)</f>
        <v>46177</v>
      </c>
      <c r="B5081" s="11" t="n">
        <f aca="false">MOD(ROW()-9,24)</f>
        <v>8</v>
      </c>
      <c r="C5081" s="12"/>
      <c r="D5081" s="13" t="n">
        <f aca="false">IF(B5081&lt;5,Einstellungen!$B$3,Einstellungen!$B$4)</f>
        <v>29.13</v>
      </c>
      <c r="E5081" s="14" t="str">
        <f aca="false">IF(C5081="","",C5081*D5081/100)</f>
        <v/>
      </c>
      <c r="F5081" s="15" t="str">
        <f aca="false">IF(B5081&lt;5,"Go","Standard")</f>
        <v>Standard</v>
      </c>
    </row>
    <row r="5082" customFormat="false" ht="15" hidden="false" customHeight="true" outlineLevel="0" collapsed="false">
      <c r="A5082" s="10" t="n">
        <f aca="false">Einstellungen!$B$5+INT((ROW()-9)/24)</f>
        <v>46177</v>
      </c>
      <c r="B5082" s="11" t="n">
        <f aca="false">MOD(ROW()-9,24)</f>
        <v>9</v>
      </c>
      <c r="C5082" s="12"/>
      <c r="D5082" s="13" t="n">
        <f aca="false">IF(B5082&lt;5,Einstellungen!$B$3,Einstellungen!$B$4)</f>
        <v>29.13</v>
      </c>
      <c r="E5082" s="14" t="str">
        <f aca="false">IF(C5082="","",C5082*D5082/100)</f>
        <v/>
      </c>
      <c r="F5082" s="15" t="str">
        <f aca="false">IF(B5082&lt;5,"Go","Standard")</f>
        <v>Standard</v>
      </c>
    </row>
    <row r="5083" customFormat="false" ht="15" hidden="false" customHeight="true" outlineLevel="0" collapsed="false">
      <c r="A5083" s="10" t="n">
        <f aca="false">Einstellungen!$B$5+INT((ROW()-9)/24)</f>
        <v>46177</v>
      </c>
      <c r="B5083" s="11" t="n">
        <f aca="false">MOD(ROW()-9,24)</f>
        <v>10</v>
      </c>
      <c r="C5083" s="12"/>
      <c r="D5083" s="13" t="n">
        <f aca="false">IF(B5083&lt;5,Einstellungen!$B$3,Einstellungen!$B$4)</f>
        <v>29.13</v>
      </c>
      <c r="E5083" s="14" t="str">
        <f aca="false">IF(C5083="","",C5083*D5083/100)</f>
        <v/>
      </c>
      <c r="F5083" s="15" t="str">
        <f aca="false">IF(B5083&lt;5,"Go","Standard")</f>
        <v>Standard</v>
      </c>
    </row>
    <row r="5084" customFormat="false" ht="15" hidden="false" customHeight="true" outlineLevel="0" collapsed="false">
      <c r="A5084" s="10" t="n">
        <f aca="false">Einstellungen!$B$5+INT((ROW()-9)/24)</f>
        <v>46177</v>
      </c>
      <c r="B5084" s="11" t="n">
        <f aca="false">MOD(ROW()-9,24)</f>
        <v>11</v>
      </c>
      <c r="C5084" s="12"/>
      <c r="D5084" s="13" t="n">
        <f aca="false">IF(B5084&lt;5,Einstellungen!$B$3,Einstellungen!$B$4)</f>
        <v>29.13</v>
      </c>
      <c r="E5084" s="14" t="str">
        <f aca="false">IF(C5084="","",C5084*D5084/100)</f>
        <v/>
      </c>
      <c r="F5084" s="15" t="str">
        <f aca="false">IF(B5084&lt;5,"Go","Standard")</f>
        <v>Standard</v>
      </c>
    </row>
    <row r="5085" customFormat="false" ht="15" hidden="false" customHeight="true" outlineLevel="0" collapsed="false">
      <c r="A5085" s="10" t="n">
        <f aca="false">Einstellungen!$B$5+INT((ROW()-9)/24)</f>
        <v>46177</v>
      </c>
      <c r="B5085" s="11" t="n">
        <f aca="false">MOD(ROW()-9,24)</f>
        <v>12</v>
      </c>
      <c r="C5085" s="12"/>
      <c r="D5085" s="13" t="n">
        <f aca="false">IF(B5085&lt;5,Einstellungen!$B$3,Einstellungen!$B$4)</f>
        <v>29.13</v>
      </c>
      <c r="E5085" s="14" t="str">
        <f aca="false">IF(C5085="","",C5085*D5085/100)</f>
        <v/>
      </c>
      <c r="F5085" s="15" t="str">
        <f aca="false">IF(B5085&lt;5,"Go","Standard")</f>
        <v>Standard</v>
      </c>
    </row>
    <row r="5086" customFormat="false" ht="15" hidden="false" customHeight="true" outlineLevel="0" collapsed="false">
      <c r="A5086" s="10" t="n">
        <f aca="false">Einstellungen!$B$5+INT((ROW()-9)/24)</f>
        <v>46177</v>
      </c>
      <c r="B5086" s="11" t="n">
        <f aca="false">MOD(ROW()-9,24)</f>
        <v>13</v>
      </c>
      <c r="C5086" s="12"/>
      <c r="D5086" s="13" t="n">
        <f aca="false">IF(B5086&lt;5,Einstellungen!$B$3,Einstellungen!$B$4)</f>
        <v>29.13</v>
      </c>
      <c r="E5086" s="14" t="str">
        <f aca="false">IF(C5086="","",C5086*D5086/100)</f>
        <v/>
      </c>
      <c r="F5086" s="15" t="str">
        <f aca="false">IF(B5086&lt;5,"Go","Standard")</f>
        <v>Standard</v>
      </c>
    </row>
    <row r="5087" customFormat="false" ht="15" hidden="false" customHeight="true" outlineLevel="0" collapsed="false">
      <c r="A5087" s="10" t="n">
        <f aca="false">Einstellungen!$B$5+INT((ROW()-9)/24)</f>
        <v>46177</v>
      </c>
      <c r="B5087" s="11" t="n">
        <f aca="false">MOD(ROW()-9,24)</f>
        <v>14</v>
      </c>
      <c r="C5087" s="12"/>
      <c r="D5087" s="13" t="n">
        <f aca="false">IF(B5087&lt;5,Einstellungen!$B$3,Einstellungen!$B$4)</f>
        <v>29.13</v>
      </c>
      <c r="E5087" s="14" t="str">
        <f aca="false">IF(C5087="","",C5087*D5087/100)</f>
        <v/>
      </c>
      <c r="F5087" s="15" t="str">
        <f aca="false">IF(B5087&lt;5,"Go","Standard")</f>
        <v>Standard</v>
      </c>
    </row>
    <row r="5088" customFormat="false" ht="15" hidden="false" customHeight="true" outlineLevel="0" collapsed="false">
      <c r="A5088" s="10" t="n">
        <f aca="false">Einstellungen!$B$5+INT((ROW()-9)/24)</f>
        <v>46177</v>
      </c>
      <c r="B5088" s="11" t="n">
        <f aca="false">MOD(ROW()-9,24)</f>
        <v>15</v>
      </c>
      <c r="C5088" s="12"/>
      <c r="D5088" s="13" t="n">
        <f aca="false">IF(B5088&lt;5,Einstellungen!$B$3,Einstellungen!$B$4)</f>
        <v>29.13</v>
      </c>
      <c r="E5088" s="14" t="str">
        <f aca="false">IF(C5088="","",C5088*D5088/100)</f>
        <v/>
      </c>
      <c r="F5088" s="15" t="str">
        <f aca="false">IF(B5088&lt;5,"Go","Standard")</f>
        <v>Standard</v>
      </c>
    </row>
    <row r="5089" customFormat="false" ht="15" hidden="false" customHeight="true" outlineLevel="0" collapsed="false">
      <c r="A5089" s="10" t="n">
        <f aca="false">Einstellungen!$B$5+INT((ROW()-9)/24)</f>
        <v>46177</v>
      </c>
      <c r="B5089" s="11" t="n">
        <f aca="false">MOD(ROW()-9,24)</f>
        <v>16</v>
      </c>
      <c r="C5089" s="12"/>
      <c r="D5089" s="13" t="n">
        <f aca="false">IF(B5089&lt;5,Einstellungen!$B$3,Einstellungen!$B$4)</f>
        <v>29.13</v>
      </c>
      <c r="E5089" s="14" t="str">
        <f aca="false">IF(C5089="","",C5089*D5089/100)</f>
        <v/>
      </c>
      <c r="F5089" s="15" t="str">
        <f aca="false">IF(B5089&lt;5,"Go","Standard")</f>
        <v>Standard</v>
      </c>
    </row>
    <row r="5090" customFormat="false" ht="15" hidden="false" customHeight="true" outlineLevel="0" collapsed="false">
      <c r="A5090" s="10" t="n">
        <f aca="false">Einstellungen!$B$5+INT((ROW()-9)/24)</f>
        <v>46177</v>
      </c>
      <c r="B5090" s="11" t="n">
        <f aca="false">MOD(ROW()-9,24)</f>
        <v>17</v>
      </c>
      <c r="C5090" s="12"/>
      <c r="D5090" s="13" t="n">
        <f aca="false">IF(B5090&lt;5,Einstellungen!$B$3,Einstellungen!$B$4)</f>
        <v>29.13</v>
      </c>
      <c r="E5090" s="14" t="str">
        <f aca="false">IF(C5090="","",C5090*D5090/100)</f>
        <v/>
      </c>
      <c r="F5090" s="15" t="str">
        <f aca="false">IF(B5090&lt;5,"Go","Standard")</f>
        <v>Standard</v>
      </c>
    </row>
    <row r="5091" customFormat="false" ht="15" hidden="false" customHeight="true" outlineLevel="0" collapsed="false">
      <c r="A5091" s="10" t="n">
        <f aca="false">Einstellungen!$B$5+INT((ROW()-9)/24)</f>
        <v>46177</v>
      </c>
      <c r="B5091" s="11" t="n">
        <f aca="false">MOD(ROW()-9,24)</f>
        <v>18</v>
      </c>
      <c r="C5091" s="12"/>
      <c r="D5091" s="13" t="n">
        <f aca="false">IF(B5091&lt;5,Einstellungen!$B$3,Einstellungen!$B$4)</f>
        <v>29.13</v>
      </c>
      <c r="E5091" s="14" t="str">
        <f aca="false">IF(C5091="","",C5091*D5091/100)</f>
        <v/>
      </c>
      <c r="F5091" s="15" t="str">
        <f aca="false">IF(B5091&lt;5,"Go","Standard")</f>
        <v>Standard</v>
      </c>
    </row>
    <row r="5092" customFormat="false" ht="15" hidden="false" customHeight="true" outlineLevel="0" collapsed="false">
      <c r="A5092" s="10" t="n">
        <f aca="false">Einstellungen!$B$5+INT((ROW()-9)/24)</f>
        <v>46177</v>
      </c>
      <c r="B5092" s="11" t="n">
        <f aca="false">MOD(ROW()-9,24)</f>
        <v>19</v>
      </c>
      <c r="C5092" s="12"/>
      <c r="D5092" s="13" t="n">
        <f aca="false">IF(B5092&lt;5,Einstellungen!$B$3,Einstellungen!$B$4)</f>
        <v>29.13</v>
      </c>
      <c r="E5092" s="14" t="str">
        <f aca="false">IF(C5092="","",C5092*D5092/100)</f>
        <v/>
      </c>
      <c r="F5092" s="15" t="str">
        <f aca="false">IF(B5092&lt;5,"Go","Standard")</f>
        <v>Standard</v>
      </c>
    </row>
    <row r="5093" customFormat="false" ht="15" hidden="false" customHeight="true" outlineLevel="0" collapsed="false">
      <c r="A5093" s="10" t="n">
        <f aca="false">Einstellungen!$B$5+INT((ROW()-9)/24)</f>
        <v>46177</v>
      </c>
      <c r="B5093" s="11" t="n">
        <f aca="false">MOD(ROW()-9,24)</f>
        <v>20</v>
      </c>
      <c r="C5093" s="12"/>
      <c r="D5093" s="13" t="n">
        <f aca="false">IF(B5093&lt;5,Einstellungen!$B$3,Einstellungen!$B$4)</f>
        <v>29.13</v>
      </c>
      <c r="E5093" s="14" t="str">
        <f aca="false">IF(C5093="","",C5093*D5093/100)</f>
        <v/>
      </c>
      <c r="F5093" s="15" t="str">
        <f aca="false">IF(B5093&lt;5,"Go","Standard")</f>
        <v>Standard</v>
      </c>
    </row>
    <row r="5094" customFormat="false" ht="15" hidden="false" customHeight="true" outlineLevel="0" collapsed="false">
      <c r="A5094" s="10" t="n">
        <f aca="false">Einstellungen!$B$5+INT((ROW()-9)/24)</f>
        <v>46177</v>
      </c>
      <c r="B5094" s="11" t="n">
        <f aca="false">MOD(ROW()-9,24)</f>
        <v>21</v>
      </c>
      <c r="C5094" s="12"/>
      <c r="D5094" s="13" t="n">
        <f aca="false">IF(B5094&lt;5,Einstellungen!$B$3,Einstellungen!$B$4)</f>
        <v>29.13</v>
      </c>
      <c r="E5094" s="14" t="str">
        <f aca="false">IF(C5094="","",C5094*D5094/100)</f>
        <v/>
      </c>
      <c r="F5094" s="15" t="str">
        <f aca="false">IF(B5094&lt;5,"Go","Standard")</f>
        <v>Standard</v>
      </c>
    </row>
    <row r="5095" customFormat="false" ht="15" hidden="false" customHeight="true" outlineLevel="0" collapsed="false">
      <c r="A5095" s="10" t="n">
        <f aca="false">Einstellungen!$B$5+INT((ROW()-9)/24)</f>
        <v>46177</v>
      </c>
      <c r="B5095" s="11" t="n">
        <f aca="false">MOD(ROW()-9,24)</f>
        <v>22</v>
      </c>
      <c r="C5095" s="12"/>
      <c r="D5095" s="13" t="n">
        <f aca="false">IF(B5095&lt;5,Einstellungen!$B$3,Einstellungen!$B$4)</f>
        <v>29.13</v>
      </c>
      <c r="E5095" s="14" t="str">
        <f aca="false">IF(C5095="","",C5095*D5095/100)</f>
        <v/>
      </c>
      <c r="F5095" s="15" t="str">
        <f aca="false">IF(B5095&lt;5,"Go","Standard")</f>
        <v>Standard</v>
      </c>
    </row>
    <row r="5096" customFormat="false" ht="15" hidden="false" customHeight="true" outlineLevel="0" collapsed="false">
      <c r="A5096" s="10" t="n">
        <f aca="false">Einstellungen!$B$5+INT((ROW()-9)/24)</f>
        <v>46177</v>
      </c>
      <c r="B5096" s="11" t="n">
        <f aca="false">MOD(ROW()-9,24)</f>
        <v>23</v>
      </c>
      <c r="C5096" s="12"/>
      <c r="D5096" s="13" t="n">
        <f aca="false">IF(B5096&lt;5,Einstellungen!$B$3,Einstellungen!$B$4)</f>
        <v>29.13</v>
      </c>
      <c r="E5096" s="14" t="str">
        <f aca="false">IF(C5096="","",C5096*D5096/100)</f>
        <v/>
      </c>
      <c r="F5096" s="15" t="str">
        <f aca="false">IF(B5096&lt;5,"Go","Standard")</f>
        <v>Standard</v>
      </c>
    </row>
    <row r="5097" customFormat="false" ht="15" hidden="false" customHeight="true" outlineLevel="0" collapsed="false">
      <c r="A5097" s="10" t="n">
        <f aca="false">Einstellungen!$B$5+INT((ROW()-9)/24)</f>
        <v>46178</v>
      </c>
      <c r="B5097" s="11" t="n">
        <f aca="false">MOD(ROW()-9,24)</f>
        <v>0</v>
      </c>
      <c r="C5097" s="12"/>
      <c r="D5097" s="13" t="n">
        <f aca="false">IF(B5097&lt;5,Einstellungen!$B$3,Einstellungen!$B$4)</f>
        <v>15.92</v>
      </c>
      <c r="E5097" s="14" t="str">
        <f aca="false">IF(C5097="","",C5097*D5097/100)</f>
        <v/>
      </c>
      <c r="F5097" s="15" t="str">
        <f aca="false">IF(B5097&lt;5,"Go","Standard")</f>
        <v>Go</v>
      </c>
    </row>
    <row r="5098" customFormat="false" ht="15" hidden="false" customHeight="true" outlineLevel="0" collapsed="false">
      <c r="A5098" s="10" t="n">
        <f aca="false">Einstellungen!$B$5+INT((ROW()-9)/24)</f>
        <v>46178</v>
      </c>
      <c r="B5098" s="11" t="n">
        <f aca="false">MOD(ROW()-9,24)</f>
        <v>1</v>
      </c>
      <c r="C5098" s="12"/>
      <c r="D5098" s="13" t="n">
        <f aca="false">IF(B5098&lt;5,Einstellungen!$B$3,Einstellungen!$B$4)</f>
        <v>15.92</v>
      </c>
      <c r="E5098" s="14" t="str">
        <f aca="false">IF(C5098="","",C5098*D5098/100)</f>
        <v/>
      </c>
      <c r="F5098" s="15" t="str">
        <f aca="false">IF(B5098&lt;5,"Go","Standard")</f>
        <v>Go</v>
      </c>
    </row>
    <row r="5099" customFormat="false" ht="15" hidden="false" customHeight="true" outlineLevel="0" collapsed="false">
      <c r="A5099" s="10" t="n">
        <f aca="false">Einstellungen!$B$5+INT((ROW()-9)/24)</f>
        <v>46178</v>
      </c>
      <c r="B5099" s="11" t="n">
        <f aca="false">MOD(ROW()-9,24)</f>
        <v>2</v>
      </c>
      <c r="C5099" s="12"/>
      <c r="D5099" s="13" t="n">
        <f aca="false">IF(B5099&lt;5,Einstellungen!$B$3,Einstellungen!$B$4)</f>
        <v>15.92</v>
      </c>
      <c r="E5099" s="14" t="str">
        <f aca="false">IF(C5099="","",C5099*D5099/100)</f>
        <v/>
      </c>
      <c r="F5099" s="15" t="str">
        <f aca="false">IF(B5099&lt;5,"Go","Standard")</f>
        <v>Go</v>
      </c>
    </row>
    <row r="5100" customFormat="false" ht="15" hidden="false" customHeight="true" outlineLevel="0" collapsed="false">
      <c r="A5100" s="10" t="n">
        <f aca="false">Einstellungen!$B$5+INT((ROW()-9)/24)</f>
        <v>46178</v>
      </c>
      <c r="B5100" s="11" t="n">
        <f aca="false">MOD(ROW()-9,24)</f>
        <v>3</v>
      </c>
      <c r="C5100" s="12"/>
      <c r="D5100" s="13" t="n">
        <f aca="false">IF(B5100&lt;5,Einstellungen!$B$3,Einstellungen!$B$4)</f>
        <v>15.92</v>
      </c>
      <c r="E5100" s="14" t="str">
        <f aca="false">IF(C5100="","",C5100*D5100/100)</f>
        <v/>
      </c>
      <c r="F5100" s="15" t="str">
        <f aca="false">IF(B5100&lt;5,"Go","Standard")</f>
        <v>Go</v>
      </c>
    </row>
    <row r="5101" customFormat="false" ht="15" hidden="false" customHeight="true" outlineLevel="0" collapsed="false">
      <c r="A5101" s="10" t="n">
        <f aca="false">Einstellungen!$B$5+INT((ROW()-9)/24)</f>
        <v>46178</v>
      </c>
      <c r="B5101" s="11" t="n">
        <f aca="false">MOD(ROW()-9,24)</f>
        <v>4</v>
      </c>
      <c r="C5101" s="12"/>
      <c r="D5101" s="13" t="n">
        <f aca="false">IF(B5101&lt;5,Einstellungen!$B$3,Einstellungen!$B$4)</f>
        <v>15.92</v>
      </c>
      <c r="E5101" s="14" t="str">
        <f aca="false">IF(C5101="","",C5101*D5101/100)</f>
        <v/>
      </c>
      <c r="F5101" s="15" t="str">
        <f aca="false">IF(B5101&lt;5,"Go","Standard")</f>
        <v>Go</v>
      </c>
    </row>
    <row r="5102" customFormat="false" ht="15" hidden="false" customHeight="true" outlineLevel="0" collapsed="false">
      <c r="A5102" s="10" t="n">
        <f aca="false">Einstellungen!$B$5+INT((ROW()-9)/24)</f>
        <v>46178</v>
      </c>
      <c r="B5102" s="11" t="n">
        <f aca="false">MOD(ROW()-9,24)</f>
        <v>5</v>
      </c>
      <c r="C5102" s="12"/>
      <c r="D5102" s="13" t="n">
        <f aca="false">IF(B5102&lt;5,Einstellungen!$B$3,Einstellungen!$B$4)</f>
        <v>29.13</v>
      </c>
      <c r="E5102" s="14" t="str">
        <f aca="false">IF(C5102="","",C5102*D5102/100)</f>
        <v/>
      </c>
      <c r="F5102" s="15" t="str">
        <f aca="false">IF(B5102&lt;5,"Go","Standard")</f>
        <v>Standard</v>
      </c>
    </row>
    <row r="5103" customFormat="false" ht="15" hidden="false" customHeight="true" outlineLevel="0" collapsed="false">
      <c r="A5103" s="10" t="n">
        <f aca="false">Einstellungen!$B$5+INT((ROW()-9)/24)</f>
        <v>46178</v>
      </c>
      <c r="B5103" s="11" t="n">
        <f aca="false">MOD(ROW()-9,24)</f>
        <v>6</v>
      </c>
      <c r="C5103" s="12"/>
      <c r="D5103" s="13" t="n">
        <f aca="false">IF(B5103&lt;5,Einstellungen!$B$3,Einstellungen!$B$4)</f>
        <v>29.13</v>
      </c>
      <c r="E5103" s="14" t="str">
        <f aca="false">IF(C5103="","",C5103*D5103/100)</f>
        <v/>
      </c>
      <c r="F5103" s="15" t="str">
        <f aca="false">IF(B5103&lt;5,"Go","Standard")</f>
        <v>Standard</v>
      </c>
    </row>
    <row r="5104" customFormat="false" ht="15" hidden="false" customHeight="true" outlineLevel="0" collapsed="false">
      <c r="A5104" s="10" t="n">
        <f aca="false">Einstellungen!$B$5+INT((ROW()-9)/24)</f>
        <v>46178</v>
      </c>
      <c r="B5104" s="11" t="n">
        <f aca="false">MOD(ROW()-9,24)</f>
        <v>7</v>
      </c>
      <c r="C5104" s="12"/>
      <c r="D5104" s="13" t="n">
        <f aca="false">IF(B5104&lt;5,Einstellungen!$B$3,Einstellungen!$B$4)</f>
        <v>29.13</v>
      </c>
      <c r="E5104" s="14" t="str">
        <f aca="false">IF(C5104="","",C5104*D5104/100)</f>
        <v/>
      </c>
      <c r="F5104" s="15" t="str">
        <f aca="false">IF(B5104&lt;5,"Go","Standard")</f>
        <v>Standard</v>
      </c>
    </row>
    <row r="5105" customFormat="false" ht="15" hidden="false" customHeight="true" outlineLevel="0" collapsed="false">
      <c r="A5105" s="10" t="n">
        <f aca="false">Einstellungen!$B$5+INT((ROW()-9)/24)</f>
        <v>46178</v>
      </c>
      <c r="B5105" s="11" t="n">
        <f aca="false">MOD(ROW()-9,24)</f>
        <v>8</v>
      </c>
      <c r="C5105" s="12"/>
      <c r="D5105" s="13" t="n">
        <f aca="false">IF(B5105&lt;5,Einstellungen!$B$3,Einstellungen!$B$4)</f>
        <v>29.13</v>
      </c>
      <c r="E5105" s="14" t="str">
        <f aca="false">IF(C5105="","",C5105*D5105/100)</f>
        <v/>
      </c>
      <c r="F5105" s="15" t="str">
        <f aca="false">IF(B5105&lt;5,"Go","Standard")</f>
        <v>Standard</v>
      </c>
    </row>
    <row r="5106" customFormat="false" ht="15" hidden="false" customHeight="true" outlineLevel="0" collapsed="false">
      <c r="A5106" s="10" t="n">
        <f aca="false">Einstellungen!$B$5+INT((ROW()-9)/24)</f>
        <v>46178</v>
      </c>
      <c r="B5106" s="11" t="n">
        <f aca="false">MOD(ROW()-9,24)</f>
        <v>9</v>
      </c>
      <c r="C5106" s="12"/>
      <c r="D5106" s="13" t="n">
        <f aca="false">IF(B5106&lt;5,Einstellungen!$B$3,Einstellungen!$B$4)</f>
        <v>29.13</v>
      </c>
      <c r="E5106" s="14" t="str">
        <f aca="false">IF(C5106="","",C5106*D5106/100)</f>
        <v/>
      </c>
      <c r="F5106" s="15" t="str">
        <f aca="false">IF(B5106&lt;5,"Go","Standard")</f>
        <v>Standard</v>
      </c>
    </row>
    <row r="5107" customFormat="false" ht="15" hidden="false" customHeight="true" outlineLevel="0" collapsed="false">
      <c r="A5107" s="10" t="n">
        <f aca="false">Einstellungen!$B$5+INT((ROW()-9)/24)</f>
        <v>46178</v>
      </c>
      <c r="B5107" s="11" t="n">
        <f aca="false">MOD(ROW()-9,24)</f>
        <v>10</v>
      </c>
      <c r="C5107" s="12"/>
      <c r="D5107" s="13" t="n">
        <f aca="false">IF(B5107&lt;5,Einstellungen!$B$3,Einstellungen!$B$4)</f>
        <v>29.13</v>
      </c>
      <c r="E5107" s="14" t="str">
        <f aca="false">IF(C5107="","",C5107*D5107/100)</f>
        <v/>
      </c>
      <c r="F5107" s="15" t="str">
        <f aca="false">IF(B5107&lt;5,"Go","Standard")</f>
        <v>Standard</v>
      </c>
    </row>
    <row r="5108" customFormat="false" ht="15" hidden="false" customHeight="true" outlineLevel="0" collapsed="false">
      <c r="A5108" s="10" t="n">
        <f aca="false">Einstellungen!$B$5+INT((ROW()-9)/24)</f>
        <v>46178</v>
      </c>
      <c r="B5108" s="11" t="n">
        <f aca="false">MOD(ROW()-9,24)</f>
        <v>11</v>
      </c>
      <c r="C5108" s="12"/>
      <c r="D5108" s="13" t="n">
        <f aca="false">IF(B5108&lt;5,Einstellungen!$B$3,Einstellungen!$B$4)</f>
        <v>29.13</v>
      </c>
      <c r="E5108" s="14" t="str">
        <f aca="false">IF(C5108="","",C5108*D5108/100)</f>
        <v/>
      </c>
      <c r="F5108" s="15" t="str">
        <f aca="false">IF(B5108&lt;5,"Go","Standard")</f>
        <v>Standard</v>
      </c>
    </row>
    <row r="5109" customFormat="false" ht="15" hidden="false" customHeight="true" outlineLevel="0" collapsed="false">
      <c r="A5109" s="10" t="n">
        <f aca="false">Einstellungen!$B$5+INT((ROW()-9)/24)</f>
        <v>46178</v>
      </c>
      <c r="B5109" s="11" t="n">
        <f aca="false">MOD(ROW()-9,24)</f>
        <v>12</v>
      </c>
      <c r="C5109" s="12"/>
      <c r="D5109" s="13" t="n">
        <f aca="false">IF(B5109&lt;5,Einstellungen!$B$3,Einstellungen!$B$4)</f>
        <v>29.13</v>
      </c>
      <c r="E5109" s="14" t="str">
        <f aca="false">IF(C5109="","",C5109*D5109/100)</f>
        <v/>
      </c>
      <c r="F5109" s="15" t="str">
        <f aca="false">IF(B5109&lt;5,"Go","Standard")</f>
        <v>Standard</v>
      </c>
    </row>
    <row r="5110" customFormat="false" ht="15" hidden="false" customHeight="true" outlineLevel="0" collapsed="false">
      <c r="A5110" s="10" t="n">
        <f aca="false">Einstellungen!$B$5+INT((ROW()-9)/24)</f>
        <v>46178</v>
      </c>
      <c r="B5110" s="11" t="n">
        <f aca="false">MOD(ROW()-9,24)</f>
        <v>13</v>
      </c>
      <c r="C5110" s="12"/>
      <c r="D5110" s="13" t="n">
        <f aca="false">IF(B5110&lt;5,Einstellungen!$B$3,Einstellungen!$B$4)</f>
        <v>29.13</v>
      </c>
      <c r="E5110" s="14" t="str">
        <f aca="false">IF(C5110="","",C5110*D5110/100)</f>
        <v/>
      </c>
      <c r="F5110" s="15" t="str">
        <f aca="false">IF(B5110&lt;5,"Go","Standard")</f>
        <v>Standard</v>
      </c>
    </row>
    <row r="5111" customFormat="false" ht="15" hidden="false" customHeight="true" outlineLevel="0" collapsed="false">
      <c r="A5111" s="10" t="n">
        <f aca="false">Einstellungen!$B$5+INT((ROW()-9)/24)</f>
        <v>46178</v>
      </c>
      <c r="B5111" s="11" t="n">
        <f aca="false">MOD(ROW()-9,24)</f>
        <v>14</v>
      </c>
      <c r="C5111" s="12"/>
      <c r="D5111" s="13" t="n">
        <f aca="false">IF(B5111&lt;5,Einstellungen!$B$3,Einstellungen!$B$4)</f>
        <v>29.13</v>
      </c>
      <c r="E5111" s="14" t="str">
        <f aca="false">IF(C5111="","",C5111*D5111/100)</f>
        <v/>
      </c>
      <c r="F5111" s="15" t="str">
        <f aca="false">IF(B5111&lt;5,"Go","Standard")</f>
        <v>Standard</v>
      </c>
    </row>
    <row r="5112" customFormat="false" ht="15" hidden="false" customHeight="true" outlineLevel="0" collapsed="false">
      <c r="A5112" s="10" t="n">
        <f aca="false">Einstellungen!$B$5+INT((ROW()-9)/24)</f>
        <v>46178</v>
      </c>
      <c r="B5112" s="11" t="n">
        <f aca="false">MOD(ROW()-9,24)</f>
        <v>15</v>
      </c>
      <c r="C5112" s="12"/>
      <c r="D5112" s="13" t="n">
        <f aca="false">IF(B5112&lt;5,Einstellungen!$B$3,Einstellungen!$B$4)</f>
        <v>29.13</v>
      </c>
      <c r="E5112" s="14" t="str">
        <f aca="false">IF(C5112="","",C5112*D5112/100)</f>
        <v/>
      </c>
      <c r="F5112" s="15" t="str">
        <f aca="false">IF(B5112&lt;5,"Go","Standard")</f>
        <v>Standard</v>
      </c>
    </row>
    <row r="5113" customFormat="false" ht="15" hidden="false" customHeight="true" outlineLevel="0" collapsed="false">
      <c r="A5113" s="10" t="n">
        <f aca="false">Einstellungen!$B$5+INT((ROW()-9)/24)</f>
        <v>46178</v>
      </c>
      <c r="B5113" s="11" t="n">
        <f aca="false">MOD(ROW()-9,24)</f>
        <v>16</v>
      </c>
      <c r="C5113" s="12"/>
      <c r="D5113" s="13" t="n">
        <f aca="false">IF(B5113&lt;5,Einstellungen!$B$3,Einstellungen!$B$4)</f>
        <v>29.13</v>
      </c>
      <c r="E5113" s="14" t="str">
        <f aca="false">IF(C5113="","",C5113*D5113/100)</f>
        <v/>
      </c>
      <c r="F5113" s="15" t="str">
        <f aca="false">IF(B5113&lt;5,"Go","Standard")</f>
        <v>Standard</v>
      </c>
    </row>
    <row r="5114" customFormat="false" ht="15" hidden="false" customHeight="true" outlineLevel="0" collapsed="false">
      <c r="A5114" s="10" t="n">
        <f aca="false">Einstellungen!$B$5+INT((ROW()-9)/24)</f>
        <v>46178</v>
      </c>
      <c r="B5114" s="11" t="n">
        <f aca="false">MOD(ROW()-9,24)</f>
        <v>17</v>
      </c>
      <c r="C5114" s="12"/>
      <c r="D5114" s="13" t="n">
        <f aca="false">IF(B5114&lt;5,Einstellungen!$B$3,Einstellungen!$B$4)</f>
        <v>29.13</v>
      </c>
      <c r="E5114" s="14" t="str">
        <f aca="false">IF(C5114="","",C5114*D5114/100)</f>
        <v/>
      </c>
      <c r="F5114" s="15" t="str">
        <f aca="false">IF(B5114&lt;5,"Go","Standard")</f>
        <v>Standard</v>
      </c>
    </row>
    <row r="5115" customFormat="false" ht="15" hidden="false" customHeight="true" outlineLevel="0" collapsed="false">
      <c r="A5115" s="10" t="n">
        <f aca="false">Einstellungen!$B$5+INT((ROW()-9)/24)</f>
        <v>46178</v>
      </c>
      <c r="B5115" s="11" t="n">
        <f aca="false">MOD(ROW()-9,24)</f>
        <v>18</v>
      </c>
      <c r="C5115" s="12"/>
      <c r="D5115" s="13" t="n">
        <f aca="false">IF(B5115&lt;5,Einstellungen!$B$3,Einstellungen!$B$4)</f>
        <v>29.13</v>
      </c>
      <c r="E5115" s="14" t="str">
        <f aca="false">IF(C5115="","",C5115*D5115/100)</f>
        <v/>
      </c>
      <c r="F5115" s="15" t="str">
        <f aca="false">IF(B5115&lt;5,"Go","Standard")</f>
        <v>Standard</v>
      </c>
    </row>
    <row r="5116" customFormat="false" ht="15" hidden="false" customHeight="true" outlineLevel="0" collapsed="false">
      <c r="A5116" s="10" t="n">
        <f aca="false">Einstellungen!$B$5+INT((ROW()-9)/24)</f>
        <v>46178</v>
      </c>
      <c r="B5116" s="11" t="n">
        <f aca="false">MOD(ROW()-9,24)</f>
        <v>19</v>
      </c>
      <c r="C5116" s="12"/>
      <c r="D5116" s="13" t="n">
        <f aca="false">IF(B5116&lt;5,Einstellungen!$B$3,Einstellungen!$B$4)</f>
        <v>29.13</v>
      </c>
      <c r="E5116" s="14" t="str">
        <f aca="false">IF(C5116="","",C5116*D5116/100)</f>
        <v/>
      </c>
      <c r="F5116" s="15" t="str">
        <f aca="false">IF(B5116&lt;5,"Go","Standard")</f>
        <v>Standard</v>
      </c>
    </row>
    <row r="5117" customFormat="false" ht="15" hidden="false" customHeight="true" outlineLevel="0" collapsed="false">
      <c r="A5117" s="10" t="n">
        <f aca="false">Einstellungen!$B$5+INT((ROW()-9)/24)</f>
        <v>46178</v>
      </c>
      <c r="B5117" s="11" t="n">
        <f aca="false">MOD(ROW()-9,24)</f>
        <v>20</v>
      </c>
      <c r="C5117" s="12"/>
      <c r="D5117" s="13" t="n">
        <f aca="false">IF(B5117&lt;5,Einstellungen!$B$3,Einstellungen!$B$4)</f>
        <v>29.13</v>
      </c>
      <c r="E5117" s="14" t="str">
        <f aca="false">IF(C5117="","",C5117*D5117/100)</f>
        <v/>
      </c>
      <c r="F5117" s="15" t="str">
        <f aca="false">IF(B5117&lt;5,"Go","Standard")</f>
        <v>Standard</v>
      </c>
    </row>
    <row r="5118" customFormat="false" ht="15" hidden="false" customHeight="true" outlineLevel="0" collapsed="false">
      <c r="A5118" s="10" t="n">
        <f aca="false">Einstellungen!$B$5+INT((ROW()-9)/24)</f>
        <v>46178</v>
      </c>
      <c r="B5118" s="11" t="n">
        <f aca="false">MOD(ROW()-9,24)</f>
        <v>21</v>
      </c>
      <c r="C5118" s="12"/>
      <c r="D5118" s="13" t="n">
        <f aca="false">IF(B5118&lt;5,Einstellungen!$B$3,Einstellungen!$B$4)</f>
        <v>29.13</v>
      </c>
      <c r="E5118" s="14" t="str">
        <f aca="false">IF(C5118="","",C5118*D5118/100)</f>
        <v/>
      </c>
      <c r="F5118" s="15" t="str">
        <f aca="false">IF(B5118&lt;5,"Go","Standard")</f>
        <v>Standard</v>
      </c>
    </row>
    <row r="5119" customFormat="false" ht="15" hidden="false" customHeight="true" outlineLevel="0" collapsed="false">
      <c r="A5119" s="10" t="n">
        <f aca="false">Einstellungen!$B$5+INT((ROW()-9)/24)</f>
        <v>46178</v>
      </c>
      <c r="B5119" s="11" t="n">
        <f aca="false">MOD(ROW()-9,24)</f>
        <v>22</v>
      </c>
      <c r="C5119" s="12"/>
      <c r="D5119" s="13" t="n">
        <f aca="false">IF(B5119&lt;5,Einstellungen!$B$3,Einstellungen!$B$4)</f>
        <v>29.13</v>
      </c>
      <c r="E5119" s="14" t="str">
        <f aca="false">IF(C5119="","",C5119*D5119/100)</f>
        <v/>
      </c>
      <c r="F5119" s="15" t="str">
        <f aca="false">IF(B5119&lt;5,"Go","Standard")</f>
        <v>Standard</v>
      </c>
    </row>
    <row r="5120" customFormat="false" ht="15" hidden="false" customHeight="true" outlineLevel="0" collapsed="false">
      <c r="A5120" s="10" t="n">
        <f aca="false">Einstellungen!$B$5+INT((ROW()-9)/24)</f>
        <v>46178</v>
      </c>
      <c r="B5120" s="11" t="n">
        <f aca="false">MOD(ROW()-9,24)</f>
        <v>23</v>
      </c>
      <c r="C5120" s="12"/>
      <c r="D5120" s="13" t="n">
        <f aca="false">IF(B5120&lt;5,Einstellungen!$B$3,Einstellungen!$B$4)</f>
        <v>29.13</v>
      </c>
      <c r="E5120" s="14" t="str">
        <f aca="false">IF(C5120="","",C5120*D5120/100)</f>
        <v/>
      </c>
      <c r="F5120" s="15" t="str">
        <f aca="false">IF(B5120&lt;5,"Go","Standard")</f>
        <v>Standard</v>
      </c>
    </row>
    <row r="5121" customFormat="false" ht="15" hidden="false" customHeight="true" outlineLevel="0" collapsed="false">
      <c r="A5121" s="10" t="n">
        <f aca="false">Einstellungen!$B$5+INT((ROW()-9)/24)</f>
        <v>46179</v>
      </c>
      <c r="B5121" s="11" t="n">
        <f aca="false">MOD(ROW()-9,24)</f>
        <v>0</v>
      </c>
      <c r="C5121" s="12"/>
      <c r="D5121" s="13" t="n">
        <f aca="false">IF(B5121&lt;5,Einstellungen!$B$3,Einstellungen!$B$4)</f>
        <v>15.92</v>
      </c>
      <c r="E5121" s="14" t="str">
        <f aca="false">IF(C5121="","",C5121*D5121/100)</f>
        <v/>
      </c>
      <c r="F5121" s="15" t="str">
        <f aca="false">IF(B5121&lt;5,"Go","Standard")</f>
        <v>Go</v>
      </c>
    </row>
    <row r="5122" customFormat="false" ht="15" hidden="false" customHeight="true" outlineLevel="0" collapsed="false">
      <c r="A5122" s="10" t="n">
        <f aca="false">Einstellungen!$B$5+INT((ROW()-9)/24)</f>
        <v>46179</v>
      </c>
      <c r="B5122" s="11" t="n">
        <f aca="false">MOD(ROW()-9,24)</f>
        <v>1</v>
      </c>
      <c r="C5122" s="12"/>
      <c r="D5122" s="13" t="n">
        <f aca="false">IF(B5122&lt;5,Einstellungen!$B$3,Einstellungen!$B$4)</f>
        <v>15.92</v>
      </c>
      <c r="E5122" s="14" t="str">
        <f aca="false">IF(C5122="","",C5122*D5122/100)</f>
        <v/>
      </c>
      <c r="F5122" s="15" t="str">
        <f aca="false">IF(B5122&lt;5,"Go","Standard")</f>
        <v>Go</v>
      </c>
    </row>
    <row r="5123" customFormat="false" ht="15" hidden="false" customHeight="true" outlineLevel="0" collapsed="false">
      <c r="A5123" s="10" t="n">
        <f aca="false">Einstellungen!$B$5+INT((ROW()-9)/24)</f>
        <v>46179</v>
      </c>
      <c r="B5123" s="11" t="n">
        <f aca="false">MOD(ROW()-9,24)</f>
        <v>2</v>
      </c>
      <c r="C5123" s="12"/>
      <c r="D5123" s="13" t="n">
        <f aca="false">IF(B5123&lt;5,Einstellungen!$B$3,Einstellungen!$B$4)</f>
        <v>15.92</v>
      </c>
      <c r="E5123" s="14" t="str">
        <f aca="false">IF(C5123="","",C5123*D5123/100)</f>
        <v/>
      </c>
      <c r="F5123" s="15" t="str">
        <f aca="false">IF(B5123&lt;5,"Go","Standard")</f>
        <v>Go</v>
      </c>
    </row>
    <row r="5124" customFormat="false" ht="15" hidden="false" customHeight="true" outlineLevel="0" collapsed="false">
      <c r="A5124" s="10" t="n">
        <f aca="false">Einstellungen!$B$5+INT((ROW()-9)/24)</f>
        <v>46179</v>
      </c>
      <c r="B5124" s="11" t="n">
        <f aca="false">MOD(ROW()-9,24)</f>
        <v>3</v>
      </c>
      <c r="C5124" s="12"/>
      <c r="D5124" s="13" t="n">
        <f aca="false">IF(B5124&lt;5,Einstellungen!$B$3,Einstellungen!$B$4)</f>
        <v>15.92</v>
      </c>
      <c r="E5124" s="14" t="str">
        <f aca="false">IF(C5124="","",C5124*D5124/100)</f>
        <v/>
      </c>
      <c r="F5124" s="15" t="str">
        <f aca="false">IF(B5124&lt;5,"Go","Standard")</f>
        <v>Go</v>
      </c>
    </row>
    <row r="5125" customFormat="false" ht="15" hidden="false" customHeight="true" outlineLevel="0" collapsed="false">
      <c r="A5125" s="10" t="n">
        <f aca="false">Einstellungen!$B$5+INT((ROW()-9)/24)</f>
        <v>46179</v>
      </c>
      <c r="B5125" s="11" t="n">
        <f aca="false">MOD(ROW()-9,24)</f>
        <v>4</v>
      </c>
      <c r="C5125" s="12"/>
      <c r="D5125" s="13" t="n">
        <f aca="false">IF(B5125&lt;5,Einstellungen!$B$3,Einstellungen!$B$4)</f>
        <v>15.92</v>
      </c>
      <c r="E5125" s="14" t="str">
        <f aca="false">IF(C5125="","",C5125*D5125/100)</f>
        <v/>
      </c>
      <c r="F5125" s="15" t="str">
        <f aca="false">IF(B5125&lt;5,"Go","Standard")</f>
        <v>Go</v>
      </c>
    </row>
    <row r="5126" customFormat="false" ht="15" hidden="false" customHeight="true" outlineLevel="0" collapsed="false">
      <c r="A5126" s="10" t="n">
        <f aca="false">Einstellungen!$B$5+INT((ROW()-9)/24)</f>
        <v>46179</v>
      </c>
      <c r="B5126" s="11" t="n">
        <f aca="false">MOD(ROW()-9,24)</f>
        <v>5</v>
      </c>
      <c r="C5126" s="12"/>
      <c r="D5126" s="13" t="n">
        <f aca="false">IF(B5126&lt;5,Einstellungen!$B$3,Einstellungen!$B$4)</f>
        <v>29.13</v>
      </c>
      <c r="E5126" s="14" t="str">
        <f aca="false">IF(C5126="","",C5126*D5126/100)</f>
        <v/>
      </c>
      <c r="F5126" s="15" t="str">
        <f aca="false">IF(B5126&lt;5,"Go","Standard")</f>
        <v>Standard</v>
      </c>
    </row>
    <row r="5127" customFormat="false" ht="15" hidden="false" customHeight="true" outlineLevel="0" collapsed="false">
      <c r="A5127" s="10" t="n">
        <f aca="false">Einstellungen!$B$5+INT((ROW()-9)/24)</f>
        <v>46179</v>
      </c>
      <c r="B5127" s="11" t="n">
        <f aca="false">MOD(ROW()-9,24)</f>
        <v>6</v>
      </c>
      <c r="C5127" s="12"/>
      <c r="D5127" s="13" t="n">
        <f aca="false">IF(B5127&lt;5,Einstellungen!$B$3,Einstellungen!$B$4)</f>
        <v>29.13</v>
      </c>
      <c r="E5127" s="14" t="str">
        <f aca="false">IF(C5127="","",C5127*D5127/100)</f>
        <v/>
      </c>
      <c r="F5127" s="15" t="str">
        <f aca="false">IF(B5127&lt;5,"Go","Standard")</f>
        <v>Standard</v>
      </c>
    </row>
    <row r="5128" customFormat="false" ht="15" hidden="false" customHeight="true" outlineLevel="0" collapsed="false">
      <c r="A5128" s="10" t="n">
        <f aca="false">Einstellungen!$B$5+INT((ROW()-9)/24)</f>
        <v>46179</v>
      </c>
      <c r="B5128" s="11" t="n">
        <f aca="false">MOD(ROW()-9,24)</f>
        <v>7</v>
      </c>
      <c r="C5128" s="12"/>
      <c r="D5128" s="13" t="n">
        <f aca="false">IF(B5128&lt;5,Einstellungen!$B$3,Einstellungen!$B$4)</f>
        <v>29.13</v>
      </c>
      <c r="E5128" s="14" t="str">
        <f aca="false">IF(C5128="","",C5128*D5128/100)</f>
        <v/>
      </c>
      <c r="F5128" s="15" t="str">
        <f aca="false">IF(B5128&lt;5,"Go","Standard")</f>
        <v>Standard</v>
      </c>
    </row>
    <row r="5129" customFormat="false" ht="15" hidden="false" customHeight="true" outlineLevel="0" collapsed="false">
      <c r="A5129" s="10" t="n">
        <f aca="false">Einstellungen!$B$5+INT((ROW()-9)/24)</f>
        <v>46179</v>
      </c>
      <c r="B5129" s="11" t="n">
        <f aca="false">MOD(ROW()-9,24)</f>
        <v>8</v>
      </c>
      <c r="C5129" s="12"/>
      <c r="D5129" s="13" t="n">
        <f aca="false">IF(B5129&lt;5,Einstellungen!$B$3,Einstellungen!$B$4)</f>
        <v>29.13</v>
      </c>
      <c r="E5129" s="14" t="str">
        <f aca="false">IF(C5129="","",C5129*D5129/100)</f>
        <v/>
      </c>
      <c r="F5129" s="15" t="str">
        <f aca="false">IF(B5129&lt;5,"Go","Standard")</f>
        <v>Standard</v>
      </c>
    </row>
    <row r="5130" customFormat="false" ht="15" hidden="false" customHeight="true" outlineLevel="0" collapsed="false">
      <c r="A5130" s="10" t="n">
        <f aca="false">Einstellungen!$B$5+INT((ROW()-9)/24)</f>
        <v>46179</v>
      </c>
      <c r="B5130" s="11" t="n">
        <f aca="false">MOD(ROW()-9,24)</f>
        <v>9</v>
      </c>
      <c r="C5130" s="12"/>
      <c r="D5130" s="13" t="n">
        <f aca="false">IF(B5130&lt;5,Einstellungen!$B$3,Einstellungen!$B$4)</f>
        <v>29.13</v>
      </c>
      <c r="E5130" s="14" t="str">
        <f aca="false">IF(C5130="","",C5130*D5130/100)</f>
        <v/>
      </c>
      <c r="F5130" s="15" t="str">
        <f aca="false">IF(B5130&lt;5,"Go","Standard")</f>
        <v>Standard</v>
      </c>
    </row>
    <row r="5131" customFormat="false" ht="15" hidden="false" customHeight="true" outlineLevel="0" collapsed="false">
      <c r="A5131" s="10" t="n">
        <f aca="false">Einstellungen!$B$5+INT((ROW()-9)/24)</f>
        <v>46179</v>
      </c>
      <c r="B5131" s="11" t="n">
        <f aca="false">MOD(ROW()-9,24)</f>
        <v>10</v>
      </c>
      <c r="C5131" s="12"/>
      <c r="D5131" s="13" t="n">
        <f aca="false">IF(B5131&lt;5,Einstellungen!$B$3,Einstellungen!$B$4)</f>
        <v>29.13</v>
      </c>
      <c r="E5131" s="14" t="str">
        <f aca="false">IF(C5131="","",C5131*D5131/100)</f>
        <v/>
      </c>
      <c r="F5131" s="15" t="str">
        <f aca="false">IF(B5131&lt;5,"Go","Standard")</f>
        <v>Standard</v>
      </c>
    </row>
    <row r="5132" customFormat="false" ht="15" hidden="false" customHeight="true" outlineLevel="0" collapsed="false">
      <c r="A5132" s="10" t="n">
        <f aca="false">Einstellungen!$B$5+INT((ROW()-9)/24)</f>
        <v>46179</v>
      </c>
      <c r="B5132" s="11" t="n">
        <f aca="false">MOD(ROW()-9,24)</f>
        <v>11</v>
      </c>
      <c r="C5132" s="12"/>
      <c r="D5132" s="13" t="n">
        <f aca="false">IF(B5132&lt;5,Einstellungen!$B$3,Einstellungen!$B$4)</f>
        <v>29.13</v>
      </c>
      <c r="E5132" s="14" t="str">
        <f aca="false">IF(C5132="","",C5132*D5132/100)</f>
        <v/>
      </c>
      <c r="F5132" s="15" t="str">
        <f aca="false">IF(B5132&lt;5,"Go","Standard")</f>
        <v>Standard</v>
      </c>
    </row>
    <row r="5133" customFormat="false" ht="15" hidden="false" customHeight="true" outlineLevel="0" collapsed="false">
      <c r="A5133" s="10" t="n">
        <f aca="false">Einstellungen!$B$5+INT((ROW()-9)/24)</f>
        <v>46179</v>
      </c>
      <c r="B5133" s="11" t="n">
        <f aca="false">MOD(ROW()-9,24)</f>
        <v>12</v>
      </c>
      <c r="C5133" s="12"/>
      <c r="D5133" s="13" t="n">
        <f aca="false">IF(B5133&lt;5,Einstellungen!$B$3,Einstellungen!$B$4)</f>
        <v>29.13</v>
      </c>
      <c r="E5133" s="14" t="str">
        <f aca="false">IF(C5133="","",C5133*D5133/100)</f>
        <v/>
      </c>
      <c r="F5133" s="15" t="str">
        <f aca="false">IF(B5133&lt;5,"Go","Standard")</f>
        <v>Standard</v>
      </c>
    </row>
    <row r="5134" customFormat="false" ht="15" hidden="false" customHeight="true" outlineLevel="0" collapsed="false">
      <c r="A5134" s="10" t="n">
        <f aca="false">Einstellungen!$B$5+INT((ROW()-9)/24)</f>
        <v>46179</v>
      </c>
      <c r="B5134" s="11" t="n">
        <f aca="false">MOD(ROW()-9,24)</f>
        <v>13</v>
      </c>
      <c r="C5134" s="12"/>
      <c r="D5134" s="13" t="n">
        <f aca="false">IF(B5134&lt;5,Einstellungen!$B$3,Einstellungen!$B$4)</f>
        <v>29.13</v>
      </c>
      <c r="E5134" s="14" t="str">
        <f aca="false">IF(C5134="","",C5134*D5134/100)</f>
        <v/>
      </c>
      <c r="F5134" s="15" t="str">
        <f aca="false">IF(B5134&lt;5,"Go","Standard")</f>
        <v>Standard</v>
      </c>
    </row>
    <row r="5135" customFormat="false" ht="15" hidden="false" customHeight="true" outlineLevel="0" collapsed="false">
      <c r="A5135" s="10" t="n">
        <f aca="false">Einstellungen!$B$5+INT((ROW()-9)/24)</f>
        <v>46179</v>
      </c>
      <c r="B5135" s="11" t="n">
        <f aca="false">MOD(ROW()-9,24)</f>
        <v>14</v>
      </c>
      <c r="C5135" s="12"/>
      <c r="D5135" s="13" t="n">
        <f aca="false">IF(B5135&lt;5,Einstellungen!$B$3,Einstellungen!$B$4)</f>
        <v>29.13</v>
      </c>
      <c r="E5135" s="14" t="str">
        <f aca="false">IF(C5135="","",C5135*D5135/100)</f>
        <v/>
      </c>
      <c r="F5135" s="15" t="str">
        <f aca="false">IF(B5135&lt;5,"Go","Standard")</f>
        <v>Standard</v>
      </c>
    </row>
    <row r="5136" customFormat="false" ht="15" hidden="false" customHeight="true" outlineLevel="0" collapsed="false">
      <c r="A5136" s="10" t="n">
        <f aca="false">Einstellungen!$B$5+INT((ROW()-9)/24)</f>
        <v>46179</v>
      </c>
      <c r="B5136" s="11" t="n">
        <f aca="false">MOD(ROW()-9,24)</f>
        <v>15</v>
      </c>
      <c r="C5136" s="12"/>
      <c r="D5136" s="13" t="n">
        <f aca="false">IF(B5136&lt;5,Einstellungen!$B$3,Einstellungen!$B$4)</f>
        <v>29.13</v>
      </c>
      <c r="E5136" s="14" t="str">
        <f aca="false">IF(C5136="","",C5136*D5136/100)</f>
        <v/>
      </c>
      <c r="F5136" s="15" t="str">
        <f aca="false">IF(B5136&lt;5,"Go","Standard")</f>
        <v>Standard</v>
      </c>
    </row>
    <row r="5137" customFormat="false" ht="15" hidden="false" customHeight="true" outlineLevel="0" collapsed="false">
      <c r="A5137" s="10" t="n">
        <f aca="false">Einstellungen!$B$5+INT((ROW()-9)/24)</f>
        <v>46179</v>
      </c>
      <c r="B5137" s="11" t="n">
        <f aca="false">MOD(ROW()-9,24)</f>
        <v>16</v>
      </c>
      <c r="C5137" s="12"/>
      <c r="D5137" s="13" t="n">
        <f aca="false">IF(B5137&lt;5,Einstellungen!$B$3,Einstellungen!$B$4)</f>
        <v>29.13</v>
      </c>
      <c r="E5137" s="14" t="str">
        <f aca="false">IF(C5137="","",C5137*D5137/100)</f>
        <v/>
      </c>
      <c r="F5137" s="15" t="str">
        <f aca="false">IF(B5137&lt;5,"Go","Standard")</f>
        <v>Standard</v>
      </c>
    </row>
    <row r="5138" customFormat="false" ht="15" hidden="false" customHeight="true" outlineLevel="0" collapsed="false">
      <c r="A5138" s="10" t="n">
        <f aca="false">Einstellungen!$B$5+INT((ROW()-9)/24)</f>
        <v>46179</v>
      </c>
      <c r="B5138" s="11" t="n">
        <f aca="false">MOD(ROW()-9,24)</f>
        <v>17</v>
      </c>
      <c r="C5138" s="12"/>
      <c r="D5138" s="13" t="n">
        <f aca="false">IF(B5138&lt;5,Einstellungen!$B$3,Einstellungen!$B$4)</f>
        <v>29.13</v>
      </c>
      <c r="E5138" s="14" t="str">
        <f aca="false">IF(C5138="","",C5138*D5138/100)</f>
        <v/>
      </c>
      <c r="F5138" s="15" t="str">
        <f aca="false">IF(B5138&lt;5,"Go","Standard")</f>
        <v>Standard</v>
      </c>
    </row>
    <row r="5139" customFormat="false" ht="15" hidden="false" customHeight="true" outlineLevel="0" collapsed="false">
      <c r="A5139" s="10" t="n">
        <f aca="false">Einstellungen!$B$5+INT((ROW()-9)/24)</f>
        <v>46179</v>
      </c>
      <c r="B5139" s="11" t="n">
        <f aca="false">MOD(ROW()-9,24)</f>
        <v>18</v>
      </c>
      <c r="C5139" s="12"/>
      <c r="D5139" s="13" t="n">
        <f aca="false">IF(B5139&lt;5,Einstellungen!$B$3,Einstellungen!$B$4)</f>
        <v>29.13</v>
      </c>
      <c r="E5139" s="14" t="str">
        <f aca="false">IF(C5139="","",C5139*D5139/100)</f>
        <v/>
      </c>
      <c r="F5139" s="15" t="str">
        <f aca="false">IF(B5139&lt;5,"Go","Standard")</f>
        <v>Standard</v>
      </c>
    </row>
    <row r="5140" customFormat="false" ht="15" hidden="false" customHeight="true" outlineLevel="0" collapsed="false">
      <c r="A5140" s="10" t="n">
        <f aca="false">Einstellungen!$B$5+INT((ROW()-9)/24)</f>
        <v>46179</v>
      </c>
      <c r="B5140" s="11" t="n">
        <f aca="false">MOD(ROW()-9,24)</f>
        <v>19</v>
      </c>
      <c r="C5140" s="12"/>
      <c r="D5140" s="13" t="n">
        <f aca="false">IF(B5140&lt;5,Einstellungen!$B$3,Einstellungen!$B$4)</f>
        <v>29.13</v>
      </c>
      <c r="E5140" s="14" t="str">
        <f aca="false">IF(C5140="","",C5140*D5140/100)</f>
        <v/>
      </c>
      <c r="F5140" s="15" t="str">
        <f aca="false">IF(B5140&lt;5,"Go","Standard")</f>
        <v>Standard</v>
      </c>
    </row>
    <row r="5141" customFormat="false" ht="15" hidden="false" customHeight="true" outlineLevel="0" collapsed="false">
      <c r="A5141" s="10" t="n">
        <f aca="false">Einstellungen!$B$5+INT((ROW()-9)/24)</f>
        <v>46179</v>
      </c>
      <c r="B5141" s="11" t="n">
        <f aca="false">MOD(ROW()-9,24)</f>
        <v>20</v>
      </c>
      <c r="C5141" s="12"/>
      <c r="D5141" s="13" t="n">
        <f aca="false">IF(B5141&lt;5,Einstellungen!$B$3,Einstellungen!$B$4)</f>
        <v>29.13</v>
      </c>
      <c r="E5141" s="14" t="str">
        <f aca="false">IF(C5141="","",C5141*D5141/100)</f>
        <v/>
      </c>
      <c r="F5141" s="15" t="str">
        <f aca="false">IF(B5141&lt;5,"Go","Standard")</f>
        <v>Standard</v>
      </c>
    </row>
    <row r="5142" customFormat="false" ht="15" hidden="false" customHeight="true" outlineLevel="0" collapsed="false">
      <c r="A5142" s="10" t="n">
        <f aca="false">Einstellungen!$B$5+INT((ROW()-9)/24)</f>
        <v>46179</v>
      </c>
      <c r="B5142" s="11" t="n">
        <f aca="false">MOD(ROW()-9,24)</f>
        <v>21</v>
      </c>
      <c r="C5142" s="12"/>
      <c r="D5142" s="13" t="n">
        <f aca="false">IF(B5142&lt;5,Einstellungen!$B$3,Einstellungen!$B$4)</f>
        <v>29.13</v>
      </c>
      <c r="E5142" s="14" t="str">
        <f aca="false">IF(C5142="","",C5142*D5142/100)</f>
        <v/>
      </c>
      <c r="F5142" s="15" t="str">
        <f aca="false">IF(B5142&lt;5,"Go","Standard")</f>
        <v>Standard</v>
      </c>
    </row>
    <row r="5143" customFormat="false" ht="15" hidden="false" customHeight="true" outlineLevel="0" collapsed="false">
      <c r="A5143" s="10" t="n">
        <f aca="false">Einstellungen!$B$5+INT((ROW()-9)/24)</f>
        <v>46179</v>
      </c>
      <c r="B5143" s="11" t="n">
        <f aca="false">MOD(ROW()-9,24)</f>
        <v>22</v>
      </c>
      <c r="C5143" s="12"/>
      <c r="D5143" s="13" t="n">
        <f aca="false">IF(B5143&lt;5,Einstellungen!$B$3,Einstellungen!$B$4)</f>
        <v>29.13</v>
      </c>
      <c r="E5143" s="14" t="str">
        <f aca="false">IF(C5143="","",C5143*D5143/100)</f>
        <v/>
      </c>
      <c r="F5143" s="15" t="str">
        <f aca="false">IF(B5143&lt;5,"Go","Standard")</f>
        <v>Standard</v>
      </c>
    </row>
    <row r="5144" customFormat="false" ht="15" hidden="false" customHeight="true" outlineLevel="0" collapsed="false">
      <c r="A5144" s="10" t="n">
        <f aca="false">Einstellungen!$B$5+INT((ROW()-9)/24)</f>
        <v>46179</v>
      </c>
      <c r="B5144" s="11" t="n">
        <f aca="false">MOD(ROW()-9,24)</f>
        <v>23</v>
      </c>
      <c r="C5144" s="12"/>
      <c r="D5144" s="13" t="n">
        <f aca="false">IF(B5144&lt;5,Einstellungen!$B$3,Einstellungen!$B$4)</f>
        <v>29.13</v>
      </c>
      <c r="E5144" s="14" t="str">
        <f aca="false">IF(C5144="","",C5144*D5144/100)</f>
        <v/>
      </c>
      <c r="F5144" s="15" t="str">
        <f aca="false">IF(B5144&lt;5,"Go","Standard")</f>
        <v>Standard</v>
      </c>
    </row>
    <row r="5145" customFormat="false" ht="15" hidden="false" customHeight="true" outlineLevel="0" collapsed="false">
      <c r="A5145" s="10" t="n">
        <f aca="false">Einstellungen!$B$5+INT((ROW()-9)/24)</f>
        <v>46180</v>
      </c>
      <c r="B5145" s="11" t="n">
        <f aca="false">MOD(ROW()-9,24)</f>
        <v>0</v>
      </c>
      <c r="C5145" s="12"/>
      <c r="D5145" s="13" t="n">
        <f aca="false">IF(B5145&lt;5,Einstellungen!$B$3,Einstellungen!$B$4)</f>
        <v>15.92</v>
      </c>
      <c r="E5145" s="14" t="str">
        <f aca="false">IF(C5145="","",C5145*D5145/100)</f>
        <v/>
      </c>
      <c r="F5145" s="15" t="str">
        <f aca="false">IF(B5145&lt;5,"Go","Standard")</f>
        <v>Go</v>
      </c>
    </row>
    <row r="5146" customFormat="false" ht="15" hidden="false" customHeight="true" outlineLevel="0" collapsed="false">
      <c r="A5146" s="10" t="n">
        <f aca="false">Einstellungen!$B$5+INT((ROW()-9)/24)</f>
        <v>46180</v>
      </c>
      <c r="B5146" s="11" t="n">
        <f aca="false">MOD(ROW()-9,24)</f>
        <v>1</v>
      </c>
      <c r="C5146" s="12"/>
      <c r="D5146" s="13" t="n">
        <f aca="false">IF(B5146&lt;5,Einstellungen!$B$3,Einstellungen!$B$4)</f>
        <v>15.92</v>
      </c>
      <c r="E5146" s="14" t="str">
        <f aca="false">IF(C5146="","",C5146*D5146/100)</f>
        <v/>
      </c>
      <c r="F5146" s="15" t="str">
        <f aca="false">IF(B5146&lt;5,"Go","Standard")</f>
        <v>Go</v>
      </c>
    </row>
    <row r="5147" customFormat="false" ht="15" hidden="false" customHeight="true" outlineLevel="0" collapsed="false">
      <c r="A5147" s="10" t="n">
        <f aca="false">Einstellungen!$B$5+INT((ROW()-9)/24)</f>
        <v>46180</v>
      </c>
      <c r="B5147" s="11" t="n">
        <f aca="false">MOD(ROW()-9,24)</f>
        <v>2</v>
      </c>
      <c r="C5147" s="12"/>
      <c r="D5147" s="13" t="n">
        <f aca="false">IF(B5147&lt;5,Einstellungen!$B$3,Einstellungen!$B$4)</f>
        <v>15.92</v>
      </c>
      <c r="E5147" s="14" t="str">
        <f aca="false">IF(C5147="","",C5147*D5147/100)</f>
        <v/>
      </c>
      <c r="F5147" s="15" t="str">
        <f aca="false">IF(B5147&lt;5,"Go","Standard")</f>
        <v>Go</v>
      </c>
    </row>
    <row r="5148" customFormat="false" ht="15" hidden="false" customHeight="true" outlineLevel="0" collapsed="false">
      <c r="A5148" s="10" t="n">
        <f aca="false">Einstellungen!$B$5+INT((ROW()-9)/24)</f>
        <v>46180</v>
      </c>
      <c r="B5148" s="11" t="n">
        <f aca="false">MOD(ROW()-9,24)</f>
        <v>3</v>
      </c>
      <c r="C5148" s="12"/>
      <c r="D5148" s="13" t="n">
        <f aca="false">IF(B5148&lt;5,Einstellungen!$B$3,Einstellungen!$B$4)</f>
        <v>15.92</v>
      </c>
      <c r="E5148" s="14" t="str">
        <f aca="false">IF(C5148="","",C5148*D5148/100)</f>
        <v/>
      </c>
      <c r="F5148" s="15" t="str">
        <f aca="false">IF(B5148&lt;5,"Go","Standard")</f>
        <v>Go</v>
      </c>
    </row>
    <row r="5149" customFormat="false" ht="15" hidden="false" customHeight="true" outlineLevel="0" collapsed="false">
      <c r="A5149" s="10" t="n">
        <f aca="false">Einstellungen!$B$5+INT((ROW()-9)/24)</f>
        <v>46180</v>
      </c>
      <c r="B5149" s="11" t="n">
        <f aca="false">MOD(ROW()-9,24)</f>
        <v>4</v>
      </c>
      <c r="C5149" s="12"/>
      <c r="D5149" s="13" t="n">
        <f aca="false">IF(B5149&lt;5,Einstellungen!$B$3,Einstellungen!$B$4)</f>
        <v>15.92</v>
      </c>
      <c r="E5149" s="14" t="str">
        <f aca="false">IF(C5149="","",C5149*D5149/100)</f>
        <v/>
      </c>
      <c r="F5149" s="15" t="str">
        <f aca="false">IF(B5149&lt;5,"Go","Standard")</f>
        <v>Go</v>
      </c>
    </row>
    <row r="5150" customFormat="false" ht="15" hidden="false" customHeight="true" outlineLevel="0" collapsed="false">
      <c r="A5150" s="10" t="n">
        <f aca="false">Einstellungen!$B$5+INT((ROW()-9)/24)</f>
        <v>46180</v>
      </c>
      <c r="B5150" s="11" t="n">
        <f aca="false">MOD(ROW()-9,24)</f>
        <v>5</v>
      </c>
      <c r="C5150" s="12"/>
      <c r="D5150" s="13" t="n">
        <f aca="false">IF(B5150&lt;5,Einstellungen!$B$3,Einstellungen!$B$4)</f>
        <v>29.13</v>
      </c>
      <c r="E5150" s="14" t="str">
        <f aca="false">IF(C5150="","",C5150*D5150/100)</f>
        <v/>
      </c>
      <c r="F5150" s="15" t="str">
        <f aca="false">IF(B5150&lt;5,"Go","Standard")</f>
        <v>Standard</v>
      </c>
    </row>
    <row r="5151" customFormat="false" ht="15" hidden="false" customHeight="true" outlineLevel="0" collapsed="false">
      <c r="A5151" s="10" t="n">
        <f aca="false">Einstellungen!$B$5+INT((ROW()-9)/24)</f>
        <v>46180</v>
      </c>
      <c r="B5151" s="11" t="n">
        <f aca="false">MOD(ROW()-9,24)</f>
        <v>6</v>
      </c>
      <c r="C5151" s="12"/>
      <c r="D5151" s="13" t="n">
        <f aca="false">IF(B5151&lt;5,Einstellungen!$B$3,Einstellungen!$B$4)</f>
        <v>29.13</v>
      </c>
      <c r="E5151" s="14" t="str">
        <f aca="false">IF(C5151="","",C5151*D5151/100)</f>
        <v/>
      </c>
      <c r="F5151" s="15" t="str">
        <f aca="false">IF(B5151&lt;5,"Go","Standard")</f>
        <v>Standard</v>
      </c>
    </row>
    <row r="5152" customFormat="false" ht="15" hidden="false" customHeight="true" outlineLevel="0" collapsed="false">
      <c r="A5152" s="10" t="n">
        <f aca="false">Einstellungen!$B$5+INT((ROW()-9)/24)</f>
        <v>46180</v>
      </c>
      <c r="B5152" s="11" t="n">
        <f aca="false">MOD(ROW()-9,24)</f>
        <v>7</v>
      </c>
      <c r="C5152" s="12"/>
      <c r="D5152" s="13" t="n">
        <f aca="false">IF(B5152&lt;5,Einstellungen!$B$3,Einstellungen!$B$4)</f>
        <v>29.13</v>
      </c>
      <c r="E5152" s="14" t="str">
        <f aca="false">IF(C5152="","",C5152*D5152/100)</f>
        <v/>
      </c>
      <c r="F5152" s="15" t="str">
        <f aca="false">IF(B5152&lt;5,"Go","Standard")</f>
        <v>Standard</v>
      </c>
    </row>
    <row r="5153" customFormat="false" ht="15" hidden="false" customHeight="true" outlineLevel="0" collapsed="false">
      <c r="A5153" s="10" t="n">
        <f aca="false">Einstellungen!$B$5+INT((ROW()-9)/24)</f>
        <v>46180</v>
      </c>
      <c r="B5153" s="11" t="n">
        <f aca="false">MOD(ROW()-9,24)</f>
        <v>8</v>
      </c>
      <c r="C5153" s="12"/>
      <c r="D5153" s="13" t="n">
        <f aca="false">IF(B5153&lt;5,Einstellungen!$B$3,Einstellungen!$B$4)</f>
        <v>29.13</v>
      </c>
      <c r="E5153" s="14" t="str">
        <f aca="false">IF(C5153="","",C5153*D5153/100)</f>
        <v/>
      </c>
      <c r="F5153" s="15" t="str">
        <f aca="false">IF(B5153&lt;5,"Go","Standard")</f>
        <v>Standard</v>
      </c>
    </row>
    <row r="5154" customFormat="false" ht="15" hidden="false" customHeight="true" outlineLevel="0" collapsed="false">
      <c r="A5154" s="10" t="n">
        <f aca="false">Einstellungen!$B$5+INT((ROW()-9)/24)</f>
        <v>46180</v>
      </c>
      <c r="B5154" s="11" t="n">
        <f aca="false">MOD(ROW()-9,24)</f>
        <v>9</v>
      </c>
      <c r="C5154" s="12"/>
      <c r="D5154" s="13" t="n">
        <f aca="false">IF(B5154&lt;5,Einstellungen!$B$3,Einstellungen!$B$4)</f>
        <v>29.13</v>
      </c>
      <c r="E5154" s="14" t="str">
        <f aca="false">IF(C5154="","",C5154*D5154/100)</f>
        <v/>
      </c>
      <c r="F5154" s="15" t="str">
        <f aca="false">IF(B5154&lt;5,"Go","Standard")</f>
        <v>Standard</v>
      </c>
    </row>
    <row r="5155" customFormat="false" ht="15" hidden="false" customHeight="true" outlineLevel="0" collapsed="false">
      <c r="A5155" s="10" t="n">
        <f aca="false">Einstellungen!$B$5+INT((ROW()-9)/24)</f>
        <v>46180</v>
      </c>
      <c r="B5155" s="11" t="n">
        <f aca="false">MOD(ROW()-9,24)</f>
        <v>10</v>
      </c>
      <c r="C5155" s="12"/>
      <c r="D5155" s="13" t="n">
        <f aca="false">IF(B5155&lt;5,Einstellungen!$B$3,Einstellungen!$B$4)</f>
        <v>29.13</v>
      </c>
      <c r="E5155" s="14" t="str">
        <f aca="false">IF(C5155="","",C5155*D5155/100)</f>
        <v/>
      </c>
      <c r="F5155" s="15" t="str">
        <f aca="false">IF(B5155&lt;5,"Go","Standard")</f>
        <v>Standard</v>
      </c>
    </row>
    <row r="5156" customFormat="false" ht="15" hidden="false" customHeight="true" outlineLevel="0" collapsed="false">
      <c r="A5156" s="10" t="n">
        <f aca="false">Einstellungen!$B$5+INT((ROW()-9)/24)</f>
        <v>46180</v>
      </c>
      <c r="B5156" s="11" t="n">
        <f aca="false">MOD(ROW()-9,24)</f>
        <v>11</v>
      </c>
      <c r="C5156" s="12"/>
      <c r="D5156" s="13" t="n">
        <f aca="false">IF(B5156&lt;5,Einstellungen!$B$3,Einstellungen!$B$4)</f>
        <v>29.13</v>
      </c>
      <c r="E5156" s="14" t="str">
        <f aca="false">IF(C5156="","",C5156*D5156/100)</f>
        <v/>
      </c>
      <c r="F5156" s="15" t="str">
        <f aca="false">IF(B5156&lt;5,"Go","Standard")</f>
        <v>Standard</v>
      </c>
    </row>
    <row r="5157" customFormat="false" ht="15" hidden="false" customHeight="true" outlineLevel="0" collapsed="false">
      <c r="A5157" s="10" t="n">
        <f aca="false">Einstellungen!$B$5+INT((ROW()-9)/24)</f>
        <v>46180</v>
      </c>
      <c r="B5157" s="11" t="n">
        <f aca="false">MOD(ROW()-9,24)</f>
        <v>12</v>
      </c>
      <c r="C5157" s="12"/>
      <c r="D5157" s="13" t="n">
        <f aca="false">IF(B5157&lt;5,Einstellungen!$B$3,Einstellungen!$B$4)</f>
        <v>29.13</v>
      </c>
      <c r="E5157" s="14" t="str">
        <f aca="false">IF(C5157="","",C5157*D5157/100)</f>
        <v/>
      </c>
      <c r="F5157" s="15" t="str">
        <f aca="false">IF(B5157&lt;5,"Go","Standard")</f>
        <v>Standard</v>
      </c>
    </row>
    <row r="5158" customFormat="false" ht="15" hidden="false" customHeight="true" outlineLevel="0" collapsed="false">
      <c r="A5158" s="10" t="n">
        <f aca="false">Einstellungen!$B$5+INT((ROW()-9)/24)</f>
        <v>46180</v>
      </c>
      <c r="B5158" s="11" t="n">
        <f aca="false">MOD(ROW()-9,24)</f>
        <v>13</v>
      </c>
      <c r="C5158" s="12"/>
      <c r="D5158" s="13" t="n">
        <f aca="false">IF(B5158&lt;5,Einstellungen!$B$3,Einstellungen!$B$4)</f>
        <v>29.13</v>
      </c>
      <c r="E5158" s="14" t="str">
        <f aca="false">IF(C5158="","",C5158*D5158/100)</f>
        <v/>
      </c>
      <c r="F5158" s="15" t="str">
        <f aca="false">IF(B5158&lt;5,"Go","Standard")</f>
        <v>Standard</v>
      </c>
    </row>
    <row r="5159" customFormat="false" ht="15" hidden="false" customHeight="true" outlineLevel="0" collapsed="false">
      <c r="A5159" s="10" t="n">
        <f aca="false">Einstellungen!$B$5+INT((ROW()-9)/24)</f>
        <v>46180</v>
      </c>
      <c r="B5159" s="11" t="n">
        <f aca="false">MOD(ROW()-9,24)</f>
        <v>14</v>
      </c>
      <c r="C5159" s="12"/>
      <c r="D5159" s="13" t="n">
        <f aca="false">IF(B5159&lt;5,Einstellungen!$B$3,Einstellungen!$B$4)</f>
        <v>29.13</v>
      </c>
      <c r="E5159" s="14" t="str">
        <f aca="false">IF(C5159="","",C5159*D5159/100)</f>
        <v/>
      </c>
      <c r="F5159" s="15" t="str">
        <f aca="false">IF(B5159&lt;5,"Go","Standard")</f>
        <v>Standard</v>
      </c>
    </row>
    <row r="5160" customFormat="false" ht="15" hidden="false" customHeight="true" outlineLevel="0" collapsed="false">
      <c r="A5160" s="10" t="n">
        <f aca="false">Einstellungen!$B$5+INT((ROW()-9)/24)</f>
        <v>46180</v>
      </c>
      <c r="B5160" s="11" t="n">
        <f aca="false">MOD(ROW()-9,24)</f>
        <v>15</v>
      </c>
      <c r="C5160" s="12"/>
      <c r="D5160" s="13" t="n">
        <f aca="false">IF(B5160&lt;5,Einstellungen!$B$3,Einstellungen!$B$4)</f>
        <v>29.13</v>
      </c>
      <c r="E5160" s="14" t="str">
        <f aca="false">IF(C5160="","",C5160*D5160/100)</f>
        <v/>
      </c>
      <c r="F5160" s="15" t="str">
        <f aca="false">IF(B5160&lt;5,"Go","Standard")</f>
        <v>Standard</v>
      </c>
    </row>
    <row r="5161" customFormat="false" ht="15" hidden="false" customHeight="true" outlineLevel="0" collapsed="false">
      <c r="A5161" s="10" t="n">
        <f aca="false">Einstellungen!$B$5+INT((ROW()-9)/24)</f>
        <v>46180</v>
      </c>
      <c r="B5161" s="11" t="n">
        <f aca="false">MOD(ROW()-9,24)</f>
        <v>16</v>
      </c>
      <c r="C5161" s="12"/>
      <c r="D5161" s="13" t="n">
        <f aca="false">IF(B5161&lt;5,Einstellungen!$B$3,Einstellungen!$B$4)</f>
        <v>29.13</v>
      </c>
      <c r="E5161" s="14" t="str">
        <f aca="false">IF(C5161="","",C5161*D5161/100)</f>
        <v/>
      </c>
      <c r="F5161" s="15" t="str">
        <f aca="false">IF(B5161&lt;5,"Go","Standard")</f>
        <v>Standard</v>
      </c>
    </row>
    <row r="5162" customFormat="false" ht="15" hidden="false" customHeight="true" outlineLevel="0" collapsed="false">
      <c r="A5162" s="10" t="n">
        <f aca="false">Einstellungen!$B$5+INT((ROW()-9)/24)</f>
        <v>46180</v>
      </c>
      <c r="B5162" s="11" t="n">
        <f aca="false">MOD(ROW()-9,24)</f>
        <v>17</v>
      </c>
      <c r="C5162" s="12"/>
      <c r="D5162" s="13" t="n">
        <f aca="false">IF(B5162&lt;5,Einstellungen!$B$3,Einstellungen!$B$4)</f>
        <v>29.13</v>
      </c>
      <c r="E5162" s="14" t="str">
        <f aca="false">IF(C5162="","",C5162*D5162/100)</f>
        <v/>
      </c>
      <c r="F5162" s="15" t="str">
        <f aca="false">IF(B5162&lt;5,"Go","Standard")</f>
        <v>Standard</v>
      </c>
    </row>
    <row r="5163" customFormat="false" ht="15" hidden="false" customHeight="true" outlineLevel="0" collapsed="false">
      <c r="A5163" s="10" t="n">
        <f aca="false">Einstellungen!$B$5+INT((ROW()-9)/24)</f>
        <v>46180</v>
      </c>
      <c r="B5163" s="11" t="n">
        <f aca="false">MOD(ROW()-9,24)</f>
        <v>18</v>
      </c>
      <c r="C5163" s="12"/>
      <c r="D5163" s="13" t="n">
        <f aca="false">IF(B5163&lt;5,Einstellungen!$B$3,Einstellungen!$B$4)</f>
        <v>29.13</v>
      </c>
      <c r="E5163" s="14" t="str">
        <f aca="false">IF(C5163="","",C5163*D5163/100)</f>
        <v/>
      </c>
      <c r="F5163" s="15" t="str">
        <f aca="false">IF(B5163&lt;5,"Go","Standard")</f>
        <v>Standard</v>
      </c>
    </row>
    <row r="5164" customFormat="false" ht="15" hidden="false" customHeight="true" outlineLevel="0" collapsed="false">
      <c r="A5164" s="10" t="n">
        <f aca="false">Einstellungen!$B$5+INT((ROW()-9)/24)</f>
        <v>46180</v>
      </c>
      <c r="B5164" s="11" t="n">
        <f aca="false">MOD(ROW()-9,24)</f>
        <v>19</v>
      </c>
      <c r="C5164" s="12"/>
      <c r="D5164" s="13" t="n">
        <f aca="false">IF(B5164&lt;5,Einstellungen!$B$3,Einstellungen!$B$4)</f>
        <v>29.13</v>
      </c>
      <c r="E5164" s="14" t="str">
        <f aca="false">IF(C5164="","",C5164*D5164/100)</f>
        <v/>
      </c>
      <c r="F5164" s="15" t="str">
        <f aca="false">IF(B5164&lt;5,"Go","Standard")</f>
        <v>Standard</v>
      </c>
    </row>
    <row r="5165" customFormat="false" ht="15" hidden="false" customHeight="true" outlineLevel="0" collapsed="false">
      <c r="A5165" s="10" t="n">
        <f aca="false">Einstellungen!$B$5+INT((ROW()-9)/24)</f>
        <v>46180</v>
      </c>
      <c r="B5165" s="11" t="n">
        <f aca="false">MOD(ROW()-9,24)</f>
        <v>20</v>
      </c>
      <c r="C5165" s="12"/>
      <c r="D5165" s="13" t="n">
        <f aca="false">IF(B5165&lt;5,Einstellungen!$B$3,Einstellungen!$B$4)</f>
        <v>29.13</v>
      </c>
      <c r="E5165" s="14" t="str">
        <f aca="false">IF(C5165="","",C5165*D5165/100)</f>
        <v/>
      </c>
      <c r="F5165" s="15" t="str">
        <f aca="false">IF(B5165&lt;5,"Go","Standard")</f>
        <v>Standard</v>
      </c>
    </row>
    <row r="5166" customFormat="false" ht="15" hidden="false" customHeight="true" outlineLevel="0" collapsed="false">
      <c r="A5166" s="10" t="n">
        <f aca="false">Einstellungen!$B$5+INT((ROW()-9)/24)</f>
        <v>46180</v>
      </c>
      <c r="B5166" s="11" t="n">
        <f aca="false">MOD(ROW()-9,24)</f>
        <v>21</v>
      </c>
      <c r="C5166" s="12"/>
      <c r="D5166" s="13" t="n">
        <f aca="false">IF(B5166&lt;5,Einstellungen!$B$3,Einstellungen!$B$4)</f>
        <v>29.13</v>
      </c>
      <c r="E5166" s="14" t="str">
        <f aca="false">IF(C5166="","",C5166*D5166/100)</f>
        <v/>
      </c>
      <c r="F5166" s="15" t="str">
        <f aca="false">IF(B5166&lt;5,"Go","Standard")</f>
        <v>Standard</v>
      </c>
    </row>
    <row r="5167" customFormat="false" ht="15" hidden="false" customHeight="true" outlineLevel="0" collapsed="false">
      <c r="A5167" s="10" t="n">
        <f aca="false">Einstellungen!$B$5+INT((ROW()-9)/24)</f>
        <v>46180</v>
      </c>
      <c r="B5167" s="11" t="n">
        <f aca="false">MOD(ROW()-9,24)</f>
        <v>22</v>
      </c>
      <c r="C5167" s="12"/>
      <c r="D5167" s="13" t="n">
        <f aca="false">IF(B5167&lt;5,Einstellungen!$B$3,Einstellungen!$B$4)</f>
        <v>29.13</v>
      </c>
      <c r="E5167" s="14" t="str">
        <f aca="false">IF(C5167="","",C5167*D5167/100)</f>
        <v/>
      </c>
      <c r="F5167" s="15" t="str">
        <f aca="false">IF(B5167&lt;5,"Go","Standard")</f>
        <v>Standard</v>
      </c>
    </row>
    <row r="5168" customFormat="false" ht="15" hidden="false" customHeight="true" outlineLevel="0" collapsed="false">
      <c r="A5168" s="10" t="n">
        <f aca="false">Einstellungen!$B$5+INT((ROW()-9)/24)</f>
        <v>46180</v>
      </c>
      <c r="B5168" s="11" t="n">
        <f aca="false">MOD(ROW()-9,24)</f>
        <v>23</v>
      </c>
      <c r="C5168" s="12"/>
      <c r="D5168" s="13" t="n">
        <f aca="false">IF(B5168&lt;5,Einstellungen!$B$3,Einstellungen!$B$4)</f>
        <v>29.13</v>
      </c>
      <c r="E5168" s="14" t="str">
        <f aca="false">IF(C5168="","",C5168*D5168/100)</f>
        <v/>
      </c>
      <c r="F5168" s="15" t="str">
        <f aca="false">IF(B5168&lt;5,"Go","Standard")</f>
        <v>Standard</v>
      </c>
    </row>
    <row r="5169" customFormat="false" ht="15" hidden="false" customHeight="true" outlineLevel="0" collapsed="false">
      <c r="A5169" s="10" t="n">
        <f aca="false">Einstellungen!$B$5+INT((ROW()-9)/24)</f>
        <v>46181</v>
      </c>
      <c r="B5169" s="11" t="n">
        <f aca="false">MOD(ROW()-9,24)</f>
        <v>0</v>
      </c>
      <c r="C5169" s="12"/>
      <c r="D5169" s="13" t="n">
        <f aca="false">IF(B5169&lt;5,Einstellungen!$B$3,Einstellungen!$B$4)</f>
        <v>15.92</v>
      </c>
      <c r="E5169" s="14" t="str">
        <f aca="false">IF(C5169="","",C5169*D5169/100)</f>
        <v/>
      </c>
      <c r="F5169" s="15" t="str">
        <f aca="false">IF(B5169&lt;5,"Go","Standard")</f>
        <v>Go</v>
      </c>
    </row>
    <row r="5170" customFormat="false" ht="15" hidden="false" customHeight="true" outlineLevel="0" collapsed="false">
      <c r="A5170" s="10" t="n">
        <f aca="false">Einstellungen!$B$5+INT((ROW()-9)/24)</f>
        <v>46181</v>
      </c>
      <c r="B5170" s="11" t="n">
        <f aca="false">MOD(ROW()-9,24)</f>
        <v>1</v>
      </c>
      <c r="C5170" s="12"/>
      <c r="D5170" s="13" t="n">
        <f aca="false">IF(B5170&lt;5,Einstellungen!$B$3,Einstellungen!$B$4)</f>
        <v>15.92</v>
      </c>
      <c r="E5170" s="14" t="str">
        <f aca="false">IF(C5170="","",C5170*D5170/100)</f>
        <v/>
      </c>
      <c r="F5170" s="15" t="str">
        <f aca="false">IF(B5170&lt;5,"Go","Standard")</f>
        <v>Go</v>
      </c>
    </row>
    <row r="5171" customFormat="false" ht="15" hidden="false" customHeight="true" outlineLevel="0" collapsed="false">
      <c r="A5171" s="10" t="n">
        <f aca="false">Einstellungen!$B$5+INT((ROW()-9)/24)</f>
        <v>46181</v>
      </c>
      <c r="B5171" s="11" t="n">
        <f aca="false">MOD(ROW()-9,24)</f>
        <v>2</v>
      </c>
      <c r="C5171" s="12"/>
      <c r="D5171" s="13" t="n">
        <f aca="false">IF(B5171&lt;5,Einstellungen!$B$3,Einstellungen!$B$4)</f>
        <v>15.92</v>
      </c>
      <c r="E5171" s="14" t="str">
        <f aca="false">IF(C5171="","",C5171*D5171/100)</f>
        <v/>
      </c>
      <c r="F5171" s="15" t="str">
        <f aca="false">IF(B5171&lt;5,"Go","Standard")</f>
        <v>Go</v>
      </c>
    </row>
    <row r="5172" customFormat="false" ht="15" hidden="false" customHeight="true" outlineLevel="0" collapsed="false">
      <c r="A5172" s="10" t="n">
        <f aca="false">Einstellungen!$B$5+INT((ROW()-9)/24)</f>
        <v>46181</v>
      </c>
      <c r="B5172" s="11" t="n">
        <f aca="false">MOD(ROW()-9,24)</f>
        <v>3</v>
      </c>
      <c r="C5172" s="12"/>
      <c r="D5172" s="13" t="n">
        <f aca="false">IF(B5172&lt;5,Einstellungen!$B$3,Einstellungen!$B$4)</f>
        <v>15.92</v>
      </c>
      <c r="E5172" s="14" t="str">
        <f aca="false">IF(C5172="","",C5172*D5172/100)</f>
        <v/>
      </c>
      <c r="F5172" s="15" t="str">
        <f aca="false">IF(B5172&lt;5,"Go","Standard")</f>
        <v>Go</v>
      </c>
    </row>
    <row r="5173" customFormat="false" ht="15" hidden="false" customHeight="true" outlineLevel="0" collapsed="false">
      <c r="A5173" s="10" t="n">
        <f aca="false">Einstellungen!$B$5+INT((ROW()-9)/24)</f>
        <v>46181</v>
      </c>
      <c r="B5173" s="11" t="n">
        <f aca="false">MOD(ROW()-9,24)</f>
        <v>4</v>
      </c>
      <c r="C5173" s="12"/>
      <c r="D5173" s="13" t="n">
        <f aca="false">IF(B5173&lt;5,Einstellungen!$B$3,Einstellungen!$B$4)</f>
        <v>15.92</v>
      </c>
      <c r="E5173" s="14" t="str">
        <f aca="false">IF(C5173="","",C5173*D5173/100)</f>
        <v/>
      </c>
      <c r="F5173" s="15" t="str">
        <f aca="false">IF(B5173&lt;5,"Go","Standard")</f>
        <v>Go</v>
      </c>
    </row>
    <row r="5174" customFormat="false" ht="15" hidden="false" customHeight="true" outlineLevel="0" collapsed="false">
      <c r="A5174" s="10" t="n">
        <f aca="false">Einstellungen!$B$5+INT((ROW()-9)/24)</f>
        <v>46181</v>
      </c>
      <c r="B5174" s="11" t="n">
        <f aca="false">MOD(ROW()-9,24)</f>
        <v>5</v>
      </c>
      <c r="C5174" s="12"/>
      <c r="D5174" s="13" t="n">
        <f aca="false">IF(B5174&lt;5,Einstellungen!$B$3,Einstellungen!$B$4)</f>
        <v>29.13</v>
      </c>
      <c r="E5174" s="14" t="str">
        <f aca="false">IF(C5174="","",C5174*D5174/100)</f>
        <v/>
      </c>
      <c r="F5174" s="15" t="str">
        <f aca="false">IF(B5174&lt;5,"Go","Standard")</f>
        <v>Standard</v>
      </c>
    </row>
    <row r="5175" customFormat="false" ht="15" hidden="false" customHeight="true" outlineLevel="0" collapsed="false">
      <c r="A5175" s="10" t="n">
        <f aca="false">Einstellungen!$B$5+INT((ROW()-9)/24)</f>
        <v>46181</v>
      </c>
      <c r="B5175" s="11" t="n">
        <f aca="false">MOD(ROW()-9,24)</f>
        <v>6</v>
      </c>
      <c r="C5175" s="12"/>
      <c r="D5175" s="13" t="n">
        <f aca="false">IF(B5175&lt;5,Einstellungen!$B$3,Einstellungen!$B$4)</f>
        <v>29.13</v>
      </c>
      <c r="E5175" s="14" t="str">
        <f aca="false">IF(C5175="","",C5175*D5175/100)</f>
        <v/>
      </c>
      <c r="F5175" s="15" t="str">
        <f aca="false">IF(B5175&lt;5,"Go","Standard")</f>
        <v>Standard</v>
      </c>
    </row>
    <row r="5176" customFormat="false" ht="15" hidden="false" customHeight="true" outlineLevel="0" collapsed="false">
      <c r="A5176" s="10" t="n">
        <f aca="false">Einstellungen!$B$5+INT((ROW()-9)/24)</f>
        <v>46181</v>
      </c>
      <c r="B5176" s="11" t="n">
        <f aca="false">MOD(ROW()-9,24)</f>
        <v>7</v>
      </c>
      <c r="C5176" s="12"/>
      <c r="D5176" s="13" t="n">
        <f aca="false">IF(B5176&lt;5,Einstellungen!$B$3,Einstellungen!$B$4)</f>
        <v>29.13</v>
      </c>
      <c r="E5176" s="14" t="str">
        <f aca="false">IF(C5176="","",C5176*D5176/100)</f>
        <v/>
      </c>
      <c r="F5176" s="15" t="str">
        <f aca="false">IF(B5176&lt;5,"Go","Standard")</f>
        <v>Standard</v>
      </c>
    </row>
    <row r="5177" customFormat="false" ht="15" hidden="false" customHeight="true" outlineLevel="0" collapsed="false">
      <c r="A5177" s="10" t="n">
        <f aca="false">Einstellungen!$B$5+INT((ROW()-9)/24)</f>
        <v>46181</v>
      </c>
      <c r="B5177" s="11" t="n">
        <f aca="false">MOD(ROW()-9,24)</f>
        <v>8</v>
      </c>
      <c r="C5177" s="12"/>
      <c r="D5177" s="13" t="n">
        <f aca="false">IF(B5177&lt;5,Einstellungen!$B$3,Einstellungen!$B$4)</f>
        <v>29.13</v>
      </c>
      <c r="E5177" s="14" t="str">
        <f aca="false">IF(C5177="","",C5177*D5177/100)</f>
        <v/>
      </c>
      <c r="F5177" s="15" t="str">
        <f aca="false">IF(B5177&lt;5,"Go","Standard")</f>
        <v>Standard</v>
      </c>
    </row>
    <row r="5178" customFormat="false" ht="15" hidden="false" customHeight="true" outlineLevel="0" collapsed="false">
      <c r="A5178" s="10" t="n">
        <f aca="false">Einstellungen!$B$5+INT((ROW()-9)/24)</f>
        <v>46181</v>
      </c>
      <c r="B5178" s="11" t="n">
        <f aca="false">MOD(ROW()-9,24)</f>
        <v>9</v>
      </c>
      <c r="C5178" s="12"/>
      <c r="D5178" s="13" t="n">
        <f aca="false">IF(B5178&lt;5,Einstellungen!$B$3,Einstellungen!$B$4)</f>
        <v>29.13</v>
      </c>
      <c r="E5178" s="14" t="str">
        <f aca="false">IF(C5178="","",C5178*D5178/100)</f>
        <v/>
      </c>
      <c r="F5178" s="15" t="str">
        <f aca="false">IF(B5178&lt;5,"Go","Standard")</f>
        <v>Standard</v>
      </c>
    </row>
    <row r="5179" customFormat="false" ht="15" hidden="false" customHeight="true" outlineLevel="0" collapsed="false">
      <c r="A5179" s="10" t="n">
        <f aca="false">Einstellungen!$B$5+INT((ROW()-9)/24)</f>
        <v>46181</v>
      </c>
      <c r="B5179" s="11" t="n">
        <f aca="false">MOD(ROW()-9,24)</f>
        <v>10</v>
      </c>
      <c r="C5179" s="12"/>
      <c r="D5179" s="13" t="n">
        <f aca="false">IF(B5179&lt;5,Einstellungen!$B$3,Einstellungen!$B$4)</f>
        <v>29.13</v>
      </c>
      <c r="E5179" s="14" t="str">
        <f aca="false">IF(C5179="","",C5179*D5179/100)</f>
        <v/>
      </c>
      <c r="F5179" s="15" t="str">
        <f aca="false">IF(B5179&lt;5,"Go","Standard")</f>
        <v>Standard</v>
      </c>
    </row>
    <row r="5180" customFormat="false" ht="15" hidden="false" customHeight="true" outlineLevel="0" collapsed="false">
      <c r="A5180" s="10" t="n">
        <f aca="false">Einstellungen!$B$5+INT((ROW()-9)/24)</f>
        <v>46181</v>
      </c>
      <c r="B5180" s="11" t="n">
        <f aca="false">MOD(ROW()-9,24)</f>
        <v>11</v>
      </c>
      <c r="C5180" s="12"/>
      <c r="D5180" s="13" t="n">
        <f aca="false">IF(B5180&lt;5,Einstellungen!$B$3,Einstellungen!$B$4)</f>
        <v>29.13</v>
      </c>
      <c r="E5180" s="14" t="str">
        <f aca="false">IF(C5180="","",C5180*D5180/100)</f>
        <v/>
      </c>
      <c r="F5180" s="15" t="str">
        <f aca="false">IF(B5180&lt;5,"Go","Standard")</f>
        <v>Standard</v>
      </c>
    </row>
    <row r="5181" customFormat="false" ht="15" hidden="false" customHeight="true" outlineLevel="0" collapsed="false">
      <c r="A5181" s="10" t="n">
        <f aca="false">Einstellungen!$B$5+INT((ROW()-9)/24)</f>
        <v>46181</v>
      </c>
      <c r="B5181" s="11" t="n">
        <f aca="false">MOD(ROW()-9,24)</f>
        <v>12</v>
      </c>
      <c r="C5181" s="12"/>
      <c r="D5181" s="13" t="n">
        <f aca="false">IF(B5181&lt;5,Einstellungen!$B$3,Einstellungen!$B$4)</f>
        <v>29.13</v>
      </c>
      <c r="E5181" s="14" t="str">
        <f aca="false">IF(C5181="","",C5181*D5181/100)</f>
        <v/>
      </c>
      <c r="F5181" s="15" t="str">
        <f aca="false">IF(B5181&lt;5,"Go","Standard")</f>
        <v>Standard</v>
      </c>
    </row>
    <row r="5182" customFormat="false" ht="15" hidden="false" customHeight="true" outlineLevel="0" collapsed="false">
      <c r="A5182" s="10" t="n">
        <f aca="false">Einstellungen!$B$5+INT((ROW()-9)/24)</f>
        <v>46181</v>
      </c>
      <c r="B5182" s="11" t="n">
        <f aca="false">MOD(ROW()-9,24)</f>
        <v>13</v>
      </c>
      <c r="C5182" s="12"/>
      <c r="D5182" s="13" t="n">
        <f aca="false">IF(B5182&lt;5,Einstellungen!$B$3,Einstellungen!$B$4)</f>
        <v>29.13</v>
      </c>
      <c r="E5182" s="14" t="str">
        <f aca="false">IF(C5182="","",C5182*D5182/100)</f>
        <v/>
      </c>
      <c r="F5182" s="15" t="str">
        <f aca="false">IF(B5182&lt;5,"Go","Standard")</f>
        <v>Standard</v>
      </c>
    </row>
    <row r="5183" customFormat="false" ht="15" hidden="false" customHeight="true" outlineLevel="0" collapsed="false">
      <c r="A5183" s="10" t="n">
        <f aca="false">Einstellungen!$B$5+INT((ROW()-9)/24)</f>
        <v>46181</v>
      </c>
      <c r="B5183" s="11" t="n">
        <f aca="false">MOD(ROW()-9,24)</f>
        <v>14</v>
      </c>
      <c r="C5183" s="12"/>
      <c r="D5183" s="13" t="n">
        <f aca="false">IF(B5183&lt;5,Einstellungen!$B$3,Einstellungen!$B$4)</f>
        <v>29.13</v>
      </c>
      <c r="E5183" s="14" t="str">
        <f aca="false">IF(C5183="","",C5183*D5183/100)</f>
        <v/>
      </c>
      <c r="F5183" s="15" t="str">
        <f aca="false">IF(B5183&lt;5,"Go","Standard")</f>
        <v>Standard</v>
      </c>
    </row>
    <row r="5184" customFormat="false" ht="15" hidden="false" customHeight="true" outlineLevel="0" collapsed="false">
      <c r="A5184" s="10" t="n">
        <f aca="false">Einstellungen!$B$5+INT((ROW()-9)/24)</f>
        <v>46181</v>
      </c>
      <c r="B5184" s="11" t="n">
        <f aca="false">MOD(ROW()-9,24)</f>
        <v>15</v>
      </c>
      <c r="C5184" s="12"/>
      <c r="D5184" s="13" t="n">
        <f aca="false">IF(B5184&lt;5,Einstellungen!$B$3,Einstellungen!$B$4)</f>
        <v>29.13</v>
      </c>
      <c r="E5184" s="14" t="str">
        <f aca="false">IF(C5184="","",C5184*D5184/100)</f>
        <v/>
      </c>
      <c r="F5184" s="15" t="str">
        <f aca="false">IF(B5184&lt;5,"Go","Standard")</f>
        <v>Standard</v>
      </c>
    </row>
    <row r="5185" customFormat="false" ht="15" hidden="false" customHeight="true" outlineLevel="0" collapsed="false">
      <c r="A5185" s="10" t="n">
        <f aca="false">Einstellungen!$B$5+INT((ROW()-9)/24)</f>
        <v>46181</v>
      </c>
      <c r="B5185" s="11" t="n">
        <f aca="false">MOD(ROW()-9,24)</f>
        <v>16</v>
      </c>
      <c r="C5185" s="12"/>
      <c r="D5185" s="13" t="n">
        <f aca="false">IF(B5185&lt;5,Einstellungen!$B$3,Einstellungen!$B$4)</f>
        <v>29.13</v>
      </c>
      <c r="E5185" s="14" t="str">
        <f aca="false">IF(C5185="","",C5185*D5185/100)</f>
        <v/>
      </c>
      <c r="F5185" s="15" t="str">
        <f aca="false">IF(B5185&lt;5,"Go","Standard")</f>
        <v>Standard</v>
      </c>
    </row>
    <row r="5186" customFormat="false" ht="15" hidden="false" customHeight="true" outlineLevel="0" collapsed="false">
      <c r="A5186" s="10" t="n">
        <f aca="false">Einstellungen!$B$5+INT((ROW()-9)/24)</f>
        <v>46181</v>
      </c>
      <c r="B5186" s="11" t="n">
        <f aca="false">MOD(ROW()-9,24)</f>
        <v>17</v>
      </c>
      <c r="C5186" s="12"/>
      <c r="D5186" s="13" t="n">
        <f aca="false">IF(B5186&lt;5,Einstellungen!$B$3,Einstellungen!$B$4)</f>
        <v>29.13</v>
      </c>
      <c r="E5186" s="14" t="str">
        <f aca="false">IF(C5186="","",C5186*D5186/100)</f>
        <v/>
      </c>
      <c r="F5186" s="15" t="str">
        <f aca="false">IF(B5186&lt;5,"Go","Standard")</f>
        <v>Standard</v>
      </c>
    </row>
    <row r="5187" customFormat="false" ht="15" hidden="false" customHeight="true" outlineLevel="0" collapsed="false">
      <c r="A5187" s="10" t="n">
        <f aca="false">Einstellungen!$B$5+INT((ROW()-9)/24)</f>
        <v>46181</v>
      </c>
      <c r="B5187" s="11" t="n">
        <f aca="false">MOD(ROW()-9,24)</f>
        <v>18</v>
      </c>
      <c r="C5187" s="12"/>
      <c r="D5187" s="13" t="n">
        <f aca="false">IF(B5187&lt;5,Einstellungen!$B$3,Einstellungen!$B$4)</f>
        <v>29.13</v>
      </c>
      <c r="E5187" s="14" t="str">
        <f aca="false">IF(C5187="","",C5187*D5187/100)</f>
        <v/>
      </c>
      <c r="F5187" s="15" t="str">
        <f aca="false">IF(B5187&lt;5,"Go","Standard")</f>
        <v>Standard</v>
      </c>
    </row>
    <row r="5188" customFormat="false" ht="15" hidden="false" customHeight="true" outlineLevel="0" collapsed="false">
      <c r="A5188" s="10" t="n">
        <f aca="false">Einstellungen!$B$5+INT((ROW()-9)/24)</f>
        <v>46181</v>
      </c>
      <c r="B5188" s="11" t="n">
        <f aca="false">MOD(ROW()-9,24)</f>
        <v>19</v>
      </c>
      <c r="C5188" s="12"/>
      <c r="D5188" s="13" t="n">
        <f aca="false">IF(B5188&lt;5,Einstellungen!$B$3,Einstellungen!$B$4)</f>
        <v>29.13</v>
      </c>
      <c r="E5188" s="14" t="str">
        <f aca="false">IF(C5188="","",C5188*D5188/100)</f>
        <v/>
      </c>
      <c r="F5188" s="15" t="str">
        <f aca="false">IF(B5188&lt;5,"Go","Standard")</f>
        <v>Standard</v>
      </c>
    </row>
    <row r="5189" customFormat="false" ht="15" hidden="false" customHeight="true" outlineLevel="0" collapsed="false">
      <c r="A5189" s="10" t="n">
        <f aca="false">Einstellungen!$B$5+INT((ROW()-9)/24)</f>
        <v>46181</v>
      </c>
      <c r="B5189" s="11" t="n">
        <f aca="false">MOD(ROW()-9,24)</f>
        <v>20</v>
      </c>
      <c r="C5189" s="12"/>
      <c r="D5189" s="13" t="n">
        <f aca="false">IF(B5189&lt;5,Einstellungen!$B$3,Einstellungen!$B$4)</f>
        <v>29.13</v>
      </c>
      <c r="E5189" s="14" t="str">
        <f aca="false">IF(C5189="","",C5189*D5189/100)</f>
        <v/>
      </c>
      <c r="F5189" s="15" t="str">
        <f aca="false">IF(B5189&lt;5,"Go","Standard")</f>
        <v>Standard</v>
      </c>
    </row>
    <row r="5190" customFormat="false" ht="15" hidden="false" customHeight="true" outlineLevel="0" collapsed="false">
      <c r="A5190" s="10" t="n">
        <f aca="false">Einstellungen!$B$5+INT((ROW()-9)/24)</f>
        <v>46181</v>
      </c>
      <c r="B5190" s="11" t="n">
        <f aca="false">MOD(ROW()-9,24)</f>
        <v>21</v>
      </c>
      <c r="C5190" s="12"/>
      <c r="D5190" s="13" t="n">
        <f aca="false">IF(B5190&lt;5,Einstellungen!$B$3,Einstellungen!$B$4)</f>
        <v>29.13</v>
      </c>
      <c r="E5190" s="14" t="str">
        <f aca="false">IF(C5190="","",C5190*D5190/100)</f>
        <v/>
      </c>
      <c r="F5190" s="15" t="str">
        <f aca="false">IF(B5190&lt;5,"Go","Standard")</f>
        <v>Standard</v>
      </c>
    </row>
    <row r="5191" customFormat="false" ht="15" hidden="false" customHeight="true" outlineLevel="0" collapsed="false">
      <c r="A5191" s="10" t="n">
        <f aca="false">Einstellungen!$B$5+INT((ROW()-9)/24)</f>
        <v>46181</v>
      </c>
      <c r="B5191" s="11" t="n">
        <f aca="false">MOD(ROW()-9,24)</f>
        <v>22</v>
      </c>
      <c r="C5191" s="12"/>
      <c r="D5191" s="13" t="n">
        <f aca="false">IF(B5191&lt;5,Einstellungen!$B$3,Einstellungen!$B$4)</f>
        <v>29.13</v>
      </c>
      <c r="E5191" s="14" t="str">
        <f aca="false">IF(C5191="","",C5191*D5191/100)</f>
        <v/>
      </c>
      <c r="F5191" s="15" t="str">
        <f aca="false">IF(B5191&lt;5,"Go","Standard")</f>
        <v>Standard</v>
      </c>
    </row>
    <row r="5192" customFormat="false" ht="15" hidden="false" customHeight="true" outlineLevel="0" collapsed="false">
      <c r="A5192" s="10" t="n">
        <f aca="false">Einstellungen!$B$5+INT((ROW()-9)/24)</f>
        <v>46181</v>
      </c>
      <c r="B5192" s="11" t="n">
        <f aca="false">MOD(ROW()-9,24)</f>
        <v>23</v>
      </c>
      <c r="C5192" s="12"/>
      <c r="D5192" s="13" t="n">
        <f aca="false">IF(B5192&lt;5,Einstellungen!$B$3,Einstellungen!$B$4)</f>
        <v>29.13</v>
      </c>
      <c r="E5192" s="14" t="str">
        <f aca="false">IF(C5192="","",C5192*D5192/100)</f>
        <v/>
      </c>
      <c r="F5192" s="15" t="str">
        <f aca="false">IF(B5192&lt;5,"Go","Standard")</f>
        <v>Standard</v>
      </c>
    </row>
    <row r="5193" customFormat="false" ht="15" hidden="false" customHeight="true" outlineLevel="0" collapsed="false">
      <c r="A5193" s="10" t="n">
        <f aca="false">Einstellungen!$B$5+INT((ROW()-9)/24)</f>
        <v>46182</v>
      </c>
      <c r="B5193" s="11" t="n">
        <f aca="false">MOD(ROW()-9,24)</f>
        <v>0</v>
      </c>
      <c r="C5193" s="12"/>
      <c r="D5193" s="13" t="n">
        <f aca="false">IF(B5193&lt;5,Einstellungen!$B$3,Einstellungen!$B$4)</f>
        <v>15.92</v>
      </c>
      <c r="E5193" s="14" t="str">
        <f aca="false">IF(C5193="","",C5193*D5193/100)</f>
        <v/>
      </c>
      <c r="F5193" s="15" t="str">
        <f aca="false">IF(B5193&lt;5,"Go","Standard")</f>
        <v>Go</v>
      </c>
    </row>
    <row r="5194" customFormat="false" ht="15" hidden="false" customHeight="true" outlineLevel="0" collapsed="false">
      <c r="A5194" s="10" t="n">
        <f aca="false">Einstellungen!$B$5+INT((ROW()-9)/24)</f>
        <v>46182</v>
      </c>
      <c r="B5194" s="11" t="n">
        <f aca="false">MOD(ROW()-9,24)</f>
        <v>1</v>
      </c>
      <c r="C5194" s="12"/>
      <c r="D5194" s="13" t="n">
        <f aca="false">IF(B5194&lt;5,Einstellungen!$B$3,Einstellungen!$B$4)</f>
        <v>15.92</v>
      </c>
      <c r="E5194" s="14" t="str">
        <f aca="false">IF(C5194="","",C5194*D5194/100)</f>
        <v/>
      </c>
      <c r="F5194" s="15" t="str">
        <f aca="false">IF(B5194&lt;5,"Go","Standard")</f>
        <v>Go</v>
      </c>
    </row>
    <row r="5195" customFormat="false" ht="15" hidden="false" customHeight="true" outlineLevel="0" collapsed="false">
      <c r="A5195" s="10" t="n">
        <f aca="false">Einstellungen!$B$5+INT((ROW()-9)/24)</f>
        <v>46182</v>
      </c>
      <c r="B5195" s="11" t="n">
        <f aca="false">MOD(ROW()-9,24)</f>
        <v>2</v>
      </c>
      <c r="C5195" s="12"/>
      <c r="D5195" s="13" t="n">
        <f aca="false">IF(B5195&lt;5,Einstellungen!$B$3,Einstellungen!$B$4)</f>
        <v>15.92</v>
      </c>
      <c r="E5195" s="14" t="str">
        <f aca="false">IF(C5195="","",C5195*D5195/100)</f>
        <v/>
      </c>
      <c r="F5195" s="15" t="str">
        <f aca="false">IF(B5195&lt;5,"Go","Standard")</f>
        <v>Go</v>
      </c>
    </row>
    <row r="5196" customFormat="false" ht="15" hidden="false" customHeight="true" outlineLevel="0" collapsed="false">
      <c r="A5196" s="10" t="n">
        <f aca="false">Einstellungen!$B$5+INT((ROW()-9)/24)</f>
        <v>46182</v>
      </c>
      <c r="B5196" s="11" t="n">
        <f aca="false">MOD(ROW()-9,24)</f>
        <v>3</v>
      </c>
      <c r="C5196" s="12"/>
      <c r="D5196" s="13" t="n">
        <f aca="false">IF(B5196&lt;5,Einstellungen!$B$3,Einstellungen!$B$4)</f>
        <v>15.92</v>
      </c>
      <c r="E5196" s="14" t="str">
        <f aca="false">IF(C5196="","",C5196*D5196/100)</f>
        <v/>
      </c>
      <c r="F5196" s="15" t="str">
        <f aca="false">IF(B5196&lt;5,"Go","Standard")</f>
        <v>Go</v>
      </c>
    </row>
    <row r="5197" customFormat="false" ht="15" hidden="false" customHeight="true" outlineLevel="0" collapsed="false">
      <c r="A5197" s="10" t="n">
        <f aca="false">Einstellungen!$B$5+INT((ROW()-9)/24)</f>
        <v>46182</v>
      </c>
      <c r="B5197" s="11" t="n">
        <f aca="false">MOD(ROW()-9,24)</f>
        <v>4</v>
      </c>
      <c r="C5197" s="12"/>
      <c r="D5197" s="13" t="n">
        <f aca="false">IF(B5197&lt;5,Einstellungen!$B$3,Einstellungen!$B$4)</f>
        <v>15.92</v>
      </c>
      <c r="E5197" s="14" t="str">
        <f aca="false">IF(C5197="","",C5197*D5197/100)</f>
        <v/>
      </c>
      <c r="F5197" s="15" t="str">
        <f aca="false">IF(B5197&lt;5,"Go","Standard")</f>
        <v>Go</v>
      </c>
    </row>
    <row r="5198" customFormat="false" ht="15" hidden="false" customHeight="true" outlineLevel="0" collapsed="false">
      <c r="A5198" s="10" t="n">
        <f aca="false">Einstellungen!$B$5+INT((ROW()-9)/24)</f>
        <v>46182</v>
      </c>
      <c r="B5198" s="11" t="n">
        <f aca="false">MOD(ROW()-9,24)</f>
        <v>5</v>
      </c>
      <c r="C5198" s="12"/>
      <c r="D5198" s="13" t="n">
        <f aca="false">IF(B5198&lt;5,Einstellungen!$B$3,Einstellungen!$B$4)</f>
        <v>29.13</v>
      </c>
      <c r="E5198" s="14" t="str">
        <f aca="false">IF(C5198="","",C5198*D5198/100)</f>
        <v/>
      </c>
      <c r="F5198" s="15" t="str">
        <f aca="false">IF(B5198&lt;5,"Go","Standard")</f>
        <v>Standard</v>
      </c>
    </row>
    <row r="5199" customFormat="false" ht="15" hidden="false" customHeight="true" outlineLevel="0" collapsed="false">
      <c r="A5199" s="10" t="n">
        <f aca="false">Einstellungen!$B$5+INT((ROW()-9)/24)</f>
        <v>46182</v>
      </c>
      <c r="B5199" s="11" t="n">
        <f aca="false">MOD(ROW()-9,24)</f>
        <v>6</v>
      </c>
      <c r="C5199" s="12"/>
      <c r="D5199" s="13" t="n">
        <f aca="false">IF(B5199&lt;5,Einstellungen!$B$3,Einstellungen!$B$4)</f>
        <v>29.13</v>
      </c>
      <c r="E5199" s="14" t="str">
        <f aca="false">IF(C5199="","",C5199*D5199/100)</f>
        <v/>
      </c>
      <c r="F5199" s="15" t="str">
        <f aca="false">IF(B5199&lt;5,"Go","Standard")</f>
        <v>Standard</v>
      </c>
    </row>
    <row r="5200" customFormat="false" ht="15" hidden="false" customHeight="true" outlineLevel="0" collapsed="false">
      <c r="A5200" s="10" t="n">
        <f aca="false">Einstellungen!$B$5+INT((ROW()-9)/24)</f>
        <v>46182</v>
      </c>
      <c r="B5200" s="11" t="n">
        <f aca="false">MOD(ROW()-9,24)</f>
        <v>7</v>
      </c>
      <c r="C5200" s="12"/>
      <c r="D5200" s="13" t="n">
        <f aca="false">IF(B5200&lt;5,Einstellungen!$B$3,Einstellungen!$B$4)</f>
        <v>29.13</v>
      </c>
      <c r="E5200" s="14" t="str">
        <f aca="false">IF(C5200="","",C5200*D5200/100)</f>
        <v/>
      </c>
      <c r="F5200" s="15" t="str">
        <f aca="false">IF(B5200&lt;5,"Go","Standard")</f>
        <v>Standard</v>
      </c>
    </row>
    <row r="5201" customFormat="false" ht="15" hidden="false" customHeight="true" outlineLevel="0" collapsed="false">
      <c r="A5201" s="10" t="n">
        <f aca="false">Einstellungen!$B$5+INT((ROW()-9)/24)</f>
        <v>46182</v>
      </c>
      <c r="B5201" s="11" t="n">
        <f aca="false">MOD(ROW()-9,24)</f>
        <v>8</v>
      </c>
      <c r="C5201" s="12"/>
      <c r="D5201" s="13" t="n">
        <f aca="false">IF(B5201&lt;5,Einstellungen!$B$3,Einstellungen!$B$4)</f>
        <v>29.13</v>
      </c>
      <c r="E5201" s="14" t="str">
        <f aca="false">IF(C5201="","",C5201*D5201/100)</f>
        <v/>
      </c>
      <c r="F5201" s="15" t="str">
        <f aca="false">IF(B5201&lt;5,"Go","Standard")</f>
        <v>Standard</v>
      </c>
    </row>
    <row r="5202" customFormat="false" ht="15" hidden="false" customHeight="true" outlineLevel="0" collapsed="false">
      <c r="A5202" s="10" t="n">
        <f aca="false">Einstellungen!$B$5+INT((ROW()-9)/24)</f>
        <v>46182</v>
      </c>
      <c r="B5202" s="11" t="n">
        <f aca="false">MOD(ROW()-9,24)</f>
        <v>9</v>
      </c>
      <c r="C5202" s="12"/>
      <c r="D5202" s="13" t="n">
        <f aca="false">IF(B5202&lt;5,Einstellungen!$B$3,Einstellungen!$B$4)</f>
        <v>29.13</v>
      </c>
      <c r="E5202" s="14" t="str">
        <f aca="false">IF(C5202="","",C5202*D5202/100)</f>
        <v/>
      </c>
      <c r="F5202" s="15" t="str">
        <f aca="false">IF(B5202&lt;5,"Go","Standard")</f>
        <v>Standard</v>
      </c>
    </row>
    <row r="5203" customFormat="false" ht="15" hidden="false" customHeight="true" outlineLevel="0" collapsed="false">
      <c r="A5203" s="10" t="n">
        <f aca="false">Einstellungen!$B$5+INT((ROW()-9)/24)</f>
        <v>46182</v>
      </c>
      <c r="B5203" s="11" t="n">
        <f aca="false">MOD(ROW()-9,24)</f>
        <v>10</v>
      </c>
      <c r="C5203" s="12"/>
      <c r="D5203" s="13" t="n">
        <f aca="false">IF(B5203&lt;5,Einstellungen!$B$3,Einstellungen!$B$4)</f>
        <v>29.13</v>
      </c>
      <c r="E5203" s="14" t="str">
        <f aca="false">IF(C5203="","",C5203*D5203/100)</f>
        <v/>
      </c>
      <c r="F5203" s="15" t="str">
        <f aca="false">IF(B5203&lt;5,"Go","Standard")</f>
        <v>Standard</v>
      </c>
    </row>
    <row r="5204" customFormat="false" ht="15" hidden="false" customHeight="true" outlineLevel="0" collapsed="false">
      <c r="A5204" s="10" t="n">
        <f aca="false">Einstellungen!$B$5+INT((ROW()-9)/24)</f>
        <v>46182</v>
      </c>
      <c r="B5204" s="11" t="n">
        <f aca="false">MOD(ROW()-9,24)</f>
        <v>11</v>
      </c>
      <c r="C5204" s="12"/>
      <c r="D5204" s="13" t="n">
        <f aca="false">IF(B5204&lt;5,Einstellungen!$B$3,Einstellungen!$B$4)</f>
        <v>29.13</v>
      </c>
      <c r="E5204" s="14" t="str">
        <f aca="false">IF(C5204="","",C5204*D5204/100)</f>
        <v/>
      </c>
      <c r="F5204" s="15" t="str">
        <f aca="false">IF(B5204&lt;5,"Go","Standard")</f>
        <v>Standard</v>
      </c>
    </row>
    <row r="5205" customFormat="false" ht="15" hidden="false" customHeight="true" outlineLevel="0" collapsed="false">
      <c r="A5205" s="10" t="n">
        <f aca="false">Einstellungen!$B$5+INT((ROW()-9)/24)</f>
        <v>46182</v>
      </c>
      <c r="B5205" s="11" t="n">
        <f aca="false">MOD(ROW()-9,24)</f>
        <v>12</v>
      </c>
      <c r="C5205" s="12"/>
      <c r="D5205" s="13" t="n">
        <f aca="false">IF(B5205&lt;5,Einstellungen!$B$3,Einstellungen!$B$4)</f>
        <v>29.13</v>
      </c>
      <c r="E5205" s="14" t="str">
        <f aca="false">IF(C5205="","",C5205*D5205/100)</f>
        <v/>
      </c>
      <c r="F5205" s="15" t="str">
        <f aca="false">IF(B5205&lt;5,"Go","Standard")</f>
        <v>Standard</v>
      </c>
    </row>
    <row r="5206" customFormat="false" ht="15" hidden="false" customHeight="true" outlineLevel="0" collapsed="false">
      <c r="A5206" s="10" t="n">
        <f aca="false">Einstellungen!$B$5+INT((ROW()-9)/24)</f>
        <v>46182</v>
      </c>
      <c r="B5206" s="11" t="n">
        <f aca="false">MOD(ROW()-9,24)</f>
        <v>13</v>
      </c>
      <c r="C5206" s="12"/>
      <c r="D5206" s="13" t="n">
        <f aca="false">IF(B5206&lt;5,Einstellungen!$B$3,Einstellungen!$B$4)</f>
        <v>29.13</v>
      </c>
      <c r="E5206" s="14" t="str">
        <f aca="false">IF(C5206="","",C5206*D5206/100)</f>
        <v/>
      </c>
      <c r="F5206" s="15" t="str">
        <f aca="false">IF(B5206&lt;5,"Go","Standard")</f>
        <v>Standard</v>
      </c>
    </row>
    <row r="5207" customFormat="false" ht="15" hidden="false" customHeight="true" outlineLevel="0" collapsed="false">
      <c r="A5207" s="10" t="n">
        <f aca="false">Einstellungen!$B$5+INT((ROW()-9)/24)</f>
        <v>46182</v>
      </c>
      <c r="B5207" s="11" t="n">
        <f aca="false">MOD(ROW()-9,24)</f>
        <v>14</v>
      </c>
      <c r="C5207" s="12"/>
      <c r="D5207" s="13" t="n">
        <f aca="false">IF(B5207&lt;5,Einstellungen!$B$3,Einstellungen!$B$4)</f>
        <v>29.13</v>
      </c>
      <c r="E5207" s="14" t="str">
        <f aca="false">IF(C5207="","",C5207*D5207/100)</f>
        <v/>
      </c>
      <c r="F5207" s="15" t="str">
        <f aca="false">IF(B5207&lt;5,"Go","Standard")</f>
        <v>Standard</v>
      </c>
    </row>
    <row r="5208" customFormat="false" ht="15" hidden="false" customHeight="true" outlineLevel="0" collapsed="false">
      <c r="A5208" s="10" t="n">
        <f aca="false">Einstellungen!$B$5+INT((ROW()-9)/24)</f>
        <v>46182</v>
      </c>
      <c r="B5208" s="11" t="n">
        <f aca="false">MOD(ROW()-9,24)</f>
        <v>15</v>
      </c>
      <c r="C5208" s="12"/>
      <c r="D5208" s="13" t="n">
        <f aca="false">IF(B5208&lt;5,Einstellungen!$B$3,Einstellungen!$B$4)</f>
        <v>29.13</v>
      </c>
      <c r="E5208" s="14" t="str">
        <f aca="false">IF(C5208="","",C5208*D5208/100)</f>
        <v/>
      </c>
      <c r="F5208" s="15" t="str">
        <f aca="false">IF(B5208&lt;5,"Go","Standard")</f>
        <v>Standard</v>
      </c>
    </row>
    <row r="5209" customFormat="false" ht="15" hidden="false" customHeight="true" outlineLevel="0" collapsed="false">
      <c r="A5209" s="10" t="n">
        <f aca="false">Einstellungen!$B$5+INT((ROW()-9)/24)</f>
        <v>46182</v>
      </c>
      <c r="B5209" s="11" t="n">
        <f aca="false">MOD(ROW()-9,24)</f>
        <v>16</v>
      </c>
      <c r="C5209" s="12"/>
      <c r="D5209" s="13" t="n">
        <f aca="false">IF(B5209&lt;5,Einstellungen!$B$3,Einstellungen!$B$4)</f>
        <v>29.13</v>
      </c>
      <c r="E5209" s="14" t="str">
        <f aca="false">IF(C5209="","",C5209*D5209/100)</f>
        <v/>
      </c>
      <c r="F5209" s="15" t="str">
        <f aca="false">IF(B5209&lt;5,"Go","Standard")</f>
        <v>Standard</v>
      </c>
    </row>
    <row r="5210" customFormat="false" ht="15" hidden="false" customHeight="true" outlineLevel="0" collapsed="false">
      <c r="A5210" s="10" t="n">
        <f aca="false">Einstellungen!$B$5+INT((ROW()-9)/24)</f>
        <v>46182</v>
      </c>
      <c r="B5210" s="11" t="n">
        <f aca="false">MOD(ROW()-9,24)</f>
        <v>17</v>
      </c>
      <c r="C5210" s="12"/>
      <c r="D5210" s="13" t="n">
        <f aca="false">IF(B5210&lt;5,Einstellungen!$B$3,Einstellungen!$B$4)</f>
        <v>29.13</v>
      </c>
      <c r="E5210" s="14" t="str">
        <f aca="false">IF(C5210="","",C5210*D5210/100)</f>
        <v/>
      </c>
      <c r="F5210" s="15" t="str">
        <f aca="false">IF(B5210&lt;5,"Go","Standard")</f>
        <v>Standard</v>
      </c>
    </row>
    <row r="5211" customFormat="false" ht="15" hidden="false" customHeight="true" outlineLevel="0" collapsed="false">
      <c r="A5211" s="10" t="n">
        <f aca="false">Einstellungen!$B$5+INT((ROW()-9)/24)</f>
        <v>46182</v>
      </c>
      <c r="B5211" s="11" t="n">
        <f aca="false">MOD(ROW()-9,24)</f>
        <v>18</v>
      </c>
      <c r="C5211" s="12"/>
      <c r="D5211" s="13" t="n">
        <f aca="false">IF(B5211&lt;5,Einstellungen!$B$3,Einstellungen!$B$4)</f>
        <v>29.13</v>
      </c>
      <c r="E5211" s="14" t="str">
        <f aca="false">IF(C5211="","",C5211*D5211/100)</f>
        <v/>
      </c>
      <c r="F5211" s="15" t="str">
        <f aca="false">IF(B5211&lt;5,"Go","Standard")</f>
        <v>Standard</v>
      </c>
    </row>
    <row r="5212" customFormat="false" ht="15" hidden="false" customHeight="true" outlineLevel="0" collapsed="false">
      <c r="A5212" s="10" t="n">
        <f aca="false">Einstellungen!$B$5+INT((ROW()-9)/24)</f>
        <v>46182</v>
      </c>
      <c r="B5212" s="11" t="n">
        <f aca="false">MOD(ROW()-9,24)</f>
        <v>19</v>
      </c>
      <c r="C5212" s="12"/>
      <c r="D5212" s="13" t="n">
        <f aca="false">IF(B5212&lt;5,Einstellungen!$B$3,Einstellungen!$B$4)</f>
        <v>29.13</v>
      </c>
      <c r="E5212" s="14" t="str">
        <f aca="false">IF(C5212="","",C5212*D5212/100)</f>
        <v/>
      </c>
      <c r="F5212" s="15" t="str">
        <f aca="false">IF(B5212&lt;5,"Go","Standard")</f>
        <v>Standard</v>
      </c>
    </row>
    <row r="5213" customFormat="false" ht="15" hidden="false" customHeight="true" outlineLevel="0" collapsed="false">
      <c r="A5213" s="10" t="n">
        <f aca="false">Einstellungen!$B$5+INT((ROW()-9)/24)</f>
        <v>46182</v>
      </c>
      <c r="B5213" s="11" t="n">
        <f aca="false">MOD(ROW()-9,24)</f>
        <v>20</v>
      </c>
      <c r="C5213" s="12"/>
      <c r="D5213" s="13" t="n">
        <f aca="false">IF(B5213&lt;5,Einstellungen!$B$3,Einstellungen!$B$4)</f>
        <v>29.13</v>
      </c>
      <c r="E5213" s="14" t="str">
        <f aca="false">IF(C5213="","",C5213*D5213/100)</f>
        <v/>
      </c>
      <c r="F5213" s="15" t="str">
        <f aca="false">IF(B5213&lt;5,"Go","Standard")</f>
        <v>Standard</v>
      </c>
    </row>
    <row r="5214" customFormat="false" ht="15" hidden="false" customHeight="true" outlineLevel="0" collapsed="false">
      <c r="A5214" s="10" t="n">
        <f aca="false">Einstellungen!$B$5+INT((ROW()-9)/24)</f>
        <v>46182</v>
      </c>
      <c r="B5214" s="11" t="n">
        <f aca="false">MOD(ROW()-9,24)</f>
        <v>21</v>
      </c>
      <c r="C5214" s="12"/>
      <c r="D5214" s="13" t="n">
        <f aca="false">IF(B5214&lt;5,Einstellungen!$B$3,Einstellungen!$B$4)</f>
        <v>29.13</v>
      </c>
      <c r="E5214" s="14" t="str">
        <f aca="false">IF(C5214="","",C5214*D5214/100)</f>
        <v/>
      </c>
      <c r="F5214" s="15" t="str">
        <f aca="false">IF(B5214&lt;5,"Go","Standard")</f>
        <v>Standard</v>
      </c>
    </row>
    <row r="5215" customFormat="false" ht="15" hidden="false" customHeight="true" outlineLevel="0" collapsed="false">
      <c r="A5215" s="10" t="n">
        <f aca="false">Einstellungen!$B$5+INT((ROW()-9)/24)</f>
        <v>46182</v>
      </c>
      <c r="B5215" s="11" t="n">
        <f aca="false">MOD(ROW()-9,24)</f>
        <v>22</v>
      </c>
      <c r="C5215" s="12"/>
      <c r="D5215" s="13" t="n">
        <f aca="false">IF(B5215&lt;5,Einstellungen!$B$3,Einstellungen!$B$4)</f>
        <v>29.13</v>
      </c>
      <c r="E5215" s="14" t="str">
        <f aca="false">IF(C5215="","",C5215*D5215/100)</f>
        <v/>
      </c>
      <c r="F5215" s="15" t="str">
        <f aca="false">IF(B5215&lt;5,"Go","Standard")</f>
        <v>Standard</v>
      </c>
    </row>
    <row r="5216" customFormat="false" ht="15" hidden="false" customHeight="true" outlineLevel="0" collapsed="false">
      <c r="A5216" s="10" t="n">
        <f aca="false">Einstellungen!$B$5+INT((ROW()-9)/24)</f>
        <v>46182</v>
      </c>
      <c r="B5216" s="11" t="n">
        <f aca="false">MOD(ROW()-9,24)</f>
        <v>23</v>
      </c>
      <c r="C5216" s="12"/>
      <c r="D5216" s="13" t="n">
        <f aca="false">IF(B5216&lt;5,Einstellungen!$B$3,Einstellungen!$B$4)</f>
        <v>29.13</v>
      </c>
      <c r="E5216" s="14" t="str">
        <f aca="false">IF(C5216="","",C5216*D5216/100)</f>
        <v/>
      </c>
      <c r="F5216" s="15" t="str">
        <f aca="false">IF(B5216&lt;5,"Go","Standard")</f>
        <v>Standard</v>
      </c>
    </row>
    <row r="5217" customFormat="false" ht="15" hidden="false" customHeight="true" outlineLevel="0" collapsed="false">
      <c r="A5217" s="10" t="n">
        <f aca="false">Einstellungen!$B$5+INT((ROW()-9)/24)</f>
        <v>46183</v>
      </c>
      <c r="B5217" s="11" t="n">
        <f aca="false">MOD(ROW()-9,24)</f>
        <v>0</v>
      </c>
      <c r="C5217" s="12"/>
      <c r="D5217" s="13" t="n">
        <f aca="false">IF(B5217&lt;5,Einstellungen!$B$3,Einstellungen!$B$4)</f>
        <v>15.92</v>
      </c>
      <c r="E5217" s="14" t="str">
        <f aca="false">IF(C5217="","",C5217*D5217/100)</f>
        <v/>
      </c>
      <c r="F5217" s="15" t="str">
        <f aca="false">IF(B5217&lt;5,"Go","Standard")</f>
        <v>Go</v>
      </c>
    </row>
    <row r="5218" customFormat="false" ht="15" hidden="false" customHeight="true" outlineLevel="0" collapsed="false">
      <c r="A5218" s="10" t="n">
        <f aca="false">Einstellungen!$B$5+INT((ROW()-9)/24)</f>
        <v>46183</v>
      </c>
      <c r="B5218" s="11" t="n">
        <f aca="false">MOD(ROW()-9,24)</f>
        <v>1</v>
      </c>
      <c r="C5218" s="12"/>
      <c r="D5218" s="13" t="n">
        <f aca="false">IF(B5218&lt;5,Einstellungen!$B$3,Einstellungen!$B$4)</f>
        <v>15.92</v>
      </c>
      <c r="E5218" s="14" t="str">
        <f aca="false">IF(C5218="","",C5218*D5218/100)</f>
        <v/>
      </c>
      <c r="F5218" s="15" t="str">
        <f aca="false">IF(B5218&lt;5,"Go","Standard")</f>
        <v>Go</v>
      </c>
    </row>
    <row r="5219" customFormat="false" ht="15" hidden="false" customHeight="true" outlineLevel="0" collapsed="false">
      <c r="A5219" s="10" t="n">
        <f aca="false">Einstellungen!$B$5+INT((ROW()-9)/24)</f>
        <v>46183</v>
      </c>
      <c r="B5219" s="11" t="n">
        <f aca="false">MOD(ROW()-9,24)</f>
        <v>2</v>
      </c>
      <c r="C5219" s="12"/>
      <c r="D5219" s="13" t="n">
        <f aca="false">IF(B5219&lt;5,Einstellungen!$B$3,Einstellungen!$B$4)</f>
        <v>15.92</v>
      </c>
      <c r="E5219" s="14" t="str">
        <f aca="false">IF(C5219="","",C5219*D5219/100)</f>
        <v/>
      </c>
      <c r="F5219" s="15" t="str">
        <f aca="false">IF(B5219&lt;5,"Go","Standard")</f>
        <v>Go</v>
      </c>
    </row>
    <row r="5220" customFormat="false" ht="15" hidden="false" customHeight="true" outlineLevel="0" collapsed="false">
      <c r="A5220" s="10" t="n">
        <f aca="false">Einstellungen!$B$5+INT((ROW()-9)/24)</f>
        <v>46183</v>
      </c>
      <c r="B5220" s="11" t="n">
        <f aca="false">MOD(ROW()-9,24)</f>
        <v>3</v>
      </c>
      <c r="C5220" s="12"/>
      <c r="D5220" s="13" t="n">
        <f aca="false">IF(B5220&lt;5,Einstellungen!$B$3,Einstellungen!$B$4)</f>
        <v>15.92</v>
      </c>
      <c r="E5220" s="14" t="str">
        <f aca="false">IF(C5220="","",C5220*D5220/100)</f>
        <v/>
      </c>
      <c r="F5220" s="15" t="str">
        <f aca="false">IF(B5220&lt;5,"Go","Standard")</f>
        <v>Go</v>
      </c>
    </row>
    <row r="5221" customFormat="false" ht="15" hidden="false" customHeight="true" outlineLevel="0" collapsed="false">
      <c r="A5221" s="10" t="n">
        <f aca="false">Einstellungen!$B$5+INT((ROW()-9)/24)</f>
        <v>46183</v>
      </c>
      <c r="B5221" s="11" t="n">
        <f aca="false">MOD(ROW()-9,24)</f>
        <v>4</v>
      </c>
      <c r="C5221" s="12"/>
      <c r="D5221" s="13" t="n">
        <f aca="false">IF(B5221&lt;5,Einstellungen!$B$3,Einstellungen!$B$4)</f>
        <v>15.92</v>
      </c>
      <c r="E5221" s="14" t="str">
        <f aca="false">IF(C5221="","",C5221*D5221/100)</f>
        <v/>
      </c>
      <c r="F5221" s="15" t="str">
        <f aca="false">IF(B5221&lt;5,"Go","Standard")</f>
        <v>Go</v>
      </c>
    </row>
    <row r="5222" customFormat="false" ht="15" hidden="false" customHeight="true" outlineLevel="0" collapsed="false">
      <c r="A5222" s="10" t="n">
        <f aca="false">Einstellungen!$B$5+INT((ROW()-9)/24)</f>
        <v>46183</v>
      </c>
      <c r="B5222" s="11" t="n">
        <f aca="false">MOD(ROW()-9,24)</f>
        <v>5</v>
      </c>
      <c r="C5222" s="12"/>
      <c r="D5222" s="13" t="n">
        <f aca="false">IF(B5222&lt;5,Einstellungen!$B$3,Einstellungen!$B$4)</f>
        <v>29.13</v>
      </c>
      <c r="E5222" s="14" t="str">
        <f aca="false">IF(C5222="","",C5222*D5222/100)</f>
        <v/>
      </c>
      <c r="F5222" s="15" t="str">
        <f aca="false">IF(B5222&lt;5,"Go","Standard")</f>
        <v>Standard</v>
      </c>
    </row>
    <row r="5223" customFormat="false" ht="15" hidden="false" customHeight="true" outlineLevel="0" collapsed="false">
      <c r="A5223" s="10" t="n">
        <f aca="false">Einstellungen!$B$5+INT((ROW()-9)/24)</f>
        <v>46183</v>
      </c>
      <c r="B5223" s="11" t="n">
        <f aca="false">MOD(ROW()-9,24)</f>
        <v>6</v>
      </c>
      <c r="C5223" s="12"/>
      <c r="D5223" s="13" t="n">
        <f aca="false">IF(B5223&lt;5,Einstellungen!$B$3,Einstellungen!$B$4)</f>
        <v>29.13</v>
      </c>
      <c r="E5223" s="14" t="str">
        <f aca="false">IF(C5223="","",C5223*D5223/100)</f>
        <v/>
      </c>
      <c r="F5223" s="15" t="str">
        <f aca="false">IF(B5223&lt;5,"Go","Standard")</f>
        <v>Standard</v>
      </c>
    </row>
    <row r="5224" customFormat="false" ht="15" hidden="false" customHeight="true" outlineLevel="0" collapsed="false">
      <c r="A5224" s="10" t="n">
        <f aca="false">Einstellungen!$B$5+INT((ROW()-9)/24)</f>
        <v>46183</v>
      </c>
      <c r="B5224" s="11" t="n">
        <f aca="false">MOD(ROW()-9,24)</f>
        <v>7</v>
      </c>
      <c r="C5224" s="12"/>
      <c r="D5224" s="13" t="n">
        <f aca="false">IF(B5224&lt;5,Einstellungen!$B$3,Einstellungen!$B$4)</f>
        <v>29.13</v>
      </c>
      <c r="E5224" s="14" t="str">
        <f aca="false">IF(C5224="","",C5224*D5224/100)</f>
        <v/>
      </c>
      <c r="F5224" s="15" t="str">
        <f aca="false">IF(B5224&lt;5,"Go","Standard")</f>
        <v>Standard</v>
      </c>
    </row>
    <row r="5225" customFormat="false" ht="15" hidden="false" customHeight="true" outlineLevel="0" collapsed="false">
      <c r="A5225" s="10" t="n">
        <f aca="false">Einstellungen!$B$5+INT((ROW()-9)/24)</f>
        <v>46183</v>
      </c>
      <c r="B5225" s="11" t="n">
        <f aca="false">MOD(ROW()-9,24)</f>
        <v>8</v>
      </c>
      <c r="C5225" s="12"/>
      <c r="D5225" s="13" t="n">
        <f aca="false">IF(B5225&lt;5,Einstellungen!$B$3,Einstellungen!$B$4)</f>
        <v>29.13</v>
      </c>
      <c r="E5225" s="14" t="str">
        <f aca="false">IF(C5225="","",C5225*D5225/100)</f>
        <v/>
      </c>
      <c r="F5225" s="15" t="str">
        <f aca="false">IF(B5225&lt;5,"Go","Standard")</f>
        <v>Standard</v>
      </c>
    </row>
    <row r="5226" customFormat="false" ht="15" hidden="false" customHeight="true" outlineLevel="0" collapsed="false">
      <c r="A5226" s="10" t="n">
        <f aca="false">Einstellungen!$B$5+INT((ROW()-9)/24)</f>
        <v>46183</v>
      </c>
      <c r="B5226" s="11" t="n">
        <f aca="false">MOD(ROW()-9,24)</f>
        <v>9</v>
      </c>
      <c r="C5226" s="12"/>
      <c r="D5226" s="13" t="n">
        <f aca="false">IF(B5226&lt;5,Einstellungen!$B$3,Einstellungen!$B$4)</f>
        <v>29.13</v>
      </c>
      <c r="E5226" s="14" t="str">
        <f aca="false">IF(C5226="","",C5226*D5226/100)</f>
        <v/>
      </c>
      <c r="F5226" s="15" t="str">
        <f aca="false">IF(B5226&lt;5,"Go","Standard")</f>
        <v>Standard</v>
      </c>
    </row>
    <row r="5227" customFormat="false" ht="15" hidden="false" customHeight="true" outlineLevel="0" collapsed="false">
      <c r="A5227" s="10" t="n">
        <f aca="false">Einstellungen!$B$5+INT((ROW()-9)/24)</f>
        <v>46183</v>
      </c>
      <c r="B5227" s="11" t="n">
        <f aca="false">MOD(ROW()-9,24)</f>
        <v>10</v>
      </c>
      <c r="C5227" s="12"/>
      <c r="D5227" s="13" t="n">
        <f aca="false">IF(B5227&lt;5,Einstellungen!$B$3,Einstellungen!$B$4)</f>
        <v>29.13</v>
      </c>
      <c r="E5227" s="14" t="str">
        <f aca="false">IF(C5227="","",C5227*D5227/100)</f>
        <v/>
      </c>
      <c r="F5227" s="15" t="str">
        <f aca="false">IF(B5227&lt;5,"Go","Standard")</f>
        <v>Standard</v>
      </c>
    </row>
    <row r="5228" customFormat="false" ht="15" hidden="false" customHeight="true" outlineLevel="0" collapsed="false">
      <c r="A5228" s="10" t="n">
        <f aca="false">Einstellungen!$B$5+INT((ROW()-9)/24)</f>
        <v>46183</v>
      </c>
      <c r="B5228" s="11" t="n">
        <f aca="false">MOD(ROW()-9,24)</f>
        <v>11</v>
      </c>
      <c r="C5228" s="12"/>
      <c r="D5228" s="13" t="n">
        <f aca="false">IF(B5228&lt;5,Einstellungen!$B$3,Einstellungen!$B$4)</f>
        <v>29.13</v>
      </c>
      <c r="E5228" s="14" t="str">
        <f aca="false">IF(C5228="","",C5228*D5228/100)</f>
        <v/>
      </c>
      <c r="F5228" s="15" t="str">
        <f aca="false">IF(B5228&lt;5,"Go","Standard")</f>
        <v>Standard</v>
      </c>
    </row>
    <row r="5229" customFormat="false" ht="15" hidden="false" customHeight="true" outlineLevel="0" collapsed="false">
      <c r="A5229" s="10" t="n">
        <f aca="false">Einstellungen!$B$5+INT((ROW()-9)/24)</f>
        <v>46183</v>
      </c>
      <c r="B5229" s="11" t="n">
        <f aca="false">MOD(ROW()-9,24)</f>
        <v>12</v>
      </c>
      <c r="C5229" s="12"/>
      <c r="D5229" s="13" t="n">
        <f aca="false">IF(B5229&lt;5,Einstellungen!$B$3,Einstellungen!$B$4)</f>
        <v>29.13</v>
      </c>
      <c r="E5229" s="14" t="str">
        <f aca="false">IF(C5229="","",C5229*D5229/100)</f>
        <v/>
      </c>
      <c r="F5229" s="15" t="str">
        <f aca="false">IF(B5229&lt;5,"Go","Standard")</f>
        <v>Standard</v>
      </c>
    </row>
    <row r="5230" customFormat="false" ht="15" hidden="false" customHeight="true" outlineLevel="0" collapsed="false">
      <c r="A5230" s="10" t="n">
        <f aca="false">Einstellungen!$B$5+INT((ROW()-9)/24)</f>
        <v>46183</v>
      </c>
      <c r="B5230" s="11" t="n">
        <f aca="false">MOD(ROW()-9,24)</f>
        <v>13</v>
      </c>
      <c r="C5230" s="12"/>
      <c r="D5230" s="13" t="n">
        <f aca="false">IF(B5230&lt;5,Einstellungen!$B$3,Einstellungen!$B$4)</f>
        <v>29.13</v>
      </c>
      <c r="E5230" s="14" t="str">
        <f aca="false">IF(C5230="","",C5230*D5230/100)</f>
        <v/>
      </c>
      <c r="F5230" s="15" t="str">
        <f aca="false">IF(B5230&lt;5,"Go","Standard")</f>
        <v>Standard</v>
      </c>
    </row>
    <row r="5231" customFormat="false" ht="15" hidden="false" customHeight="true" outlineLevel="0" collapsed="false">
      <c r="A5231" s="10" t="n">
        <f aca="false">Einstellungen!$B$5+INT((ROW()-9)/24)</f>
        <v>46183</v>
      </c>
      <c r="B5231" s="11" t="n">
        <f aca="false">MOD(ROW()-9,24)</f>
        <v>14</v>
      </c>
      <c r="C5231" s="12"/>
      <c r="D5231" s="13" t="n">
        <f aca="false">IF(B5231&lt;5,Einstellungen!$B$3,Einstellungen!$B$4)</f>
        <v>29.13</v>
      </c>
      <c r="E5231" s="14" t="str">
        <f aca="false">IF(C5231="","",C5231*D5231/100)</f>
        <v/>
      </c>
      <c r="F5231" s="15" t="str">
        <f aca="false">IF(B5231&lt;5,"Go","Standard")</f>
        <v>Standard</v>
      </c>
    </row>
    <row r="5232" customFormat="false" ht="15" hidden="false" customHeight="true" outlineLevel="0" collapsed="false">
      <c r="A5232" s="10" t="n">
        <f aca="false">Einstellungen!$B$5+INT((ROW()-9)/24)</f>
        <v>46183</v>
      </c>
      <c r="B5232" s="11" t="n">
        <f aca="false">MOD(ROW()-9,24)</f>
        <v>15</v>
      </c>
      <c r="C5232" s="12"/>
      <c r="D5232" s="13" t="n">
        <f aca="false">IF(B5232&lt;5,Einstellungen!$B$3,Einstellungen!$B$4)</f>
        <v>29.13</v>
      </c>
      <c r="E5232" s="14" t="str">
        <f aca="false">IF(C5232="","",C5232*D5232/100)</f>
        <v/>
      </c>
      <c r="F5232" s="15" t="str">
        <f aca="false">IF(B5232&lt;5,"Go","Standard")</f>
        <v>Standard</v>
      </c>
    </row>
    <row r="5233" customFormat="false" ht="15" hidden="false" customHeight="true" outlineLevel="0" collapsed="false">
      <c r="A5233" s="10" t="n">
        <f aca="false">Einstellungen!$B$5+INT((ROW()-9)/24)</f>
        <v>46183</v>
      </c>
      <c r="B5233" s="11" t="n">
        <f aca="false">MOD(ROW()-9,24)</f>
        <v>16</v>
      </c>
      <c r="C5233" s="12"/>
      <c r="D5233" s="13" t="n">
        <f aca="false">IF(B5233&lt;5,Einstellungen!$B$3,Einstellungen!$B$4)</f>
        <v>29.13</v>
      </c>
      <c r="E5233" s="14" t="str">
        <f aca="false">IF(C5233="","",C5233*D5233/100)</f>
        <v/>
      </c>
      <c r="F5233" s="15" t="str">
        <f aca="false">IF(B5233&lt;5,"Go","Standard")</f>
        <v>Standard</v>
      </c>
    </row>
    <row r="5234" customFormat="false" ht="15" hidden="false" customHeight="true" outlineLevel="0" collapsed="false">
      <c r="A5234" s="10" t="n">
        <f aca="false">Einstellungen!$B$5+INT((ROW()-9)/24)</f>
        <v>46183</v>
      </c>
      <c r="B5234" s="11" t="n">
        <f aca="false">MOD(ROW()-9,24)</f>
        <v>17</v>
      </c>
      <c r="C5234" s="12"/>
      <c r="D5234" s="13" t="n">
        <f aca="false">IF(B5234&lt;5,Einstellungen!$B$3,Einstellungen!$B$4)</f>
        <v>29.13</v>
      </c>
      <c r="E5234" s="14" t="str">
        <f aca="false">IF(C5234="","",C5234*D5234/100)</f>
        <v/>
      </c>
      <c r="F5234" s="15" t="str">
        <f aca="false">IF(B5234&lt;5,"Go","Standard")</f>
        <v>Standard</v>
      </c>
    </row>
    <row r="5235" customFormat="false" ht="15" hidden="false" customHeight="true" outlineLevel="0" collapsed="false">
      <c r="A5235" s="10" t="n">
        <f aca="false">Einstellungen!$B$5+INT((ROW()-9)/24)</f>
        <v>46183</v>
      </c>
      <c r="B5235" s="11" t="n">
        <f aca="false">MOD(ROW()-9,24)</f>
        <v>18</v>
      </c>
      <c r="C5235" s="12"/>
      <c r="D5235" s="13" t="n">
        <f aca="false">IF(B5235&lt;5,Einstellungen!$B$3,Einstellungen!$B$4)</f>
        <v>29.13</v>
      </c>
      <c r="E5235" s="14" t="str">
        <f aca="false">IF(C5235="","",C5235*D5235/100)</f>
        <v/>
      </c>
      <c r="F5235" s="15" t="str">
        <f aca="false">IF(B5235&lt;5,"Go","Standard")</f>
        <v>Standard</v>
      </c>
    </row>
    <row r="5236" customFormat="false" ht="15" hidden="false" customHeight="true" outlineLevel="0" collapsed="false">
      <c r="A5236" s="10" t="n">
        <f aca="false">Einstellungen!$B$5+INT((ROW()-9)/24)</f>
        <v>46183</v>
      </c>
      <c r="B5236" s="11" t="n">
        <f aca="false">MOD(ROW()-9,24)</f>
        <v>19</v>
      </c>
      <c r="C5236" s="12"/>
      <c r="D5236" s="13" t="n">
        <f aca="false">IF(B5236&lt;5,Einstellungen!$B$3,Einstellungen!$B$4)</f>
        <v>29.13</v>
      </c>
      <c r="E5236" s="14" t="str">
        <f aca="false">IF(C5236="","",C5236*D5236/100)</f>
        <v/>
      </c>
      <c r="F5236" s="15" t="str">
        <f aca="false">IF(B5236&lt;5,"Go","Standard")</f>
        <v>Standard</v>
      </c>
    </row>
    <row r="5237" customFormat="false" ht="15" hidden="false" customHeight="true" outlineLevel="0" collapsed="false">
      <c r="A5237" s="10" t="n">
        <f aca="false">Einstellungen!$B$5+INT((ROW()-9)/24)</f>
        <v>46183</v>
      </c>
      <c r="B5237" s="11" t="n">
        <f aca="false">MOD(ROW()-9,24)</f>
        <v>20</v>
      </c>
      <c r="C5237" s="12"/>
      <c r="D5237" s="13" t="n">
        <f aca="false">IF(B5237&lt;5,Einstellungen!$B$3,Einstellungen!$B$4)</f>
        <v>29.13</v>
      </c>
      <c r="E5237" s="14" t="str">
        <f aca="false">IF(C5237="","",C5237*D5237/100)</f>
        <v/>
      </c>
      <c r="F5237" s="15" t="str">
        <f aca="false">IF(B5237&lt;5,"Go","Standard")</f>
        <v>Standard</v>
      </c>
    </row>
    <row r="5238" customFormat="false" ht="15" hidden="false" customHeight="true" outlineLevel="0" collapsed="false">
      <c r="A5238" s="10" t="n">
        <f aca="false">Einstellungen!$B$5+INT((ROW()-9)/24)</f>
        <v>46183</v>
      </c>
      <c r="B5238" s="11" t="n">
        <f aca="false">MOD(ROW()-9,24)</f>
        <v>21</v>
      </c>
      <c r="C5238" s="12"/>
      <c r="D5238" s="13" t="n">
        <f aca="false">IF(B5238&lt;5,Einstellungen!$B$3,Einstellungen!$B$4)</f>
        <v>29.13</v>
      </c>
      <c r="E5238" s="14" t="str">
        <f aca="false">IF(C5238="","",C5238*D5238/100)</f>
        <v/>
      </c>
      <c r="F5238" s="15" t="str">
        <f aca="false">IF(B5238&lt;5,"Go","Standard")</f>
        <v>Standard</v>
      </c>
    </row>
    <row r="5239" customFormat="false" ht="15" hidden="false" customHeight="true" outlineLevel="0" collapsed="false">
      <c r="A5239" s="10" t="n">
        <f aca="false">Einstellungen!$B$5+INT((ROW()-9)/24)</f>
        <v>46183</v>
      </c>
      <c r="B5239" s="11" t="n">
        <f aca="false">MOD(ROW()-9,24)</f>
        <v>22</v>
      </c>
      <c r="C5239" s="12"/>
      <c r="D5239" s="13" t="n">
        <f aca="false">IF(B5239&lt;5,Einstellungen!$B$3,Einstellungen!$B$4)</f>
        <v>29.13</v>
      </c>
      <c r="E5239" s="14" t="str">
        <f aca="false">IF(C5239="","",C5239*D5239/100)</f>
        <v/>
      </c>
      <c r="F5239" s="15" t="str">
        <f aca="false">IF(B5239&lt;5,"Go","Standard")</f>
        <v>Standard</v>
      </c>
    </row>
    <row r="5240" customFormat="false" ht="15" hidden="false" customHeight="true" outlineLevel="0" collapsed="false">
      <c r="A5240" s="10" t="n">
        <f aca="false">Einstellungen!$B$5+INT((ROW()-9)/24)</f>
        <v>46183</v>
      </c>
      <c r="B5240" s="11" t="n">
        <f aca="false">MOD(ROW()-9,24)</f>
        <v>23</v>
      </c>
      <c r="C5240" s="12"/>
      <c r="D5240" s="13" t="n">
        <f aca="false">IF(B5240&lt;5,Einstellungen!$B$3,Einstellungen!$B$4)</f>
        <v>29.13</v>
      </c>
      <c r="E5240" s="14" t="str">
        <f aca="false">IF(C5240="","",C5240*D5240/100)</f>
        <v/>
      </c>
      <c r="F5240" s="15" t="str">
        <f aca="false">IF(B5240&lt;5,"Go","Standard")</f>
        <v>Standard</v>
      </c>
    </row>
    <row r="5241" customFormat="false" ht="15" hidden="false" customHeight="true" outlineLevel="0" collapsed="false">
      <c r="A5241" s="10" t="n">
        <f aca="false">Einstellungen!$B$5+INT((ROW()-9)/24)</f>
        <v>46184</v>
      </c>
      <c r="B5241" s="11" t="n">
        <f aca="false">MOD(ROW()-9,24)</f>
        <v>0</v>
      </c>
      <c r="C5241" s="12"/>
      <c r="D5241" s="13" t="n">
        <f aca="false">IF(B5241&lt;5,Einstellungen!$B$3,Einstellungen!$B$4)</f>
        <v>15.92</v>
      </c>
      <c r="E5241" s="14" t="str">
        <f aca="false">IF(C5241="","",C5241*D5241/100)</f>
        <v/>
      </c>
      <c r="F5241" s="15" t="str">
        <f aca="false">IF(B5241&lt;5,"Go","Standard")</f>
        <v>Go</v>
      </c>
    </row>
    <row r="5242" customFormat="false" ht="15" hidden="false" customHeight="true" outlineLevel="0" collapsed="false">
      <c r="A5242" s="10" t="n">
        <f aca="false">Einstellungen!$B$5+INT((ROW()-9)/24)</f>
        <v>46184</v>
      </c>
      <c r="B5242" s="11" t="n">
        <f aca="false">MOD(ROW()-9,24)</f>
        <v>1</v>
      </c>
      <c r="C5242" s="12"/>
      <c r="D5242" s="13" t="n">
        <f aca="false">IF(B5242&lt;5,Einstellungen!$B$3,Einstellungen!$B$4)</f>
        <v>15.92</v>
      </c>
      <c r="E5242" s="14" t="str">
        <f aca="false">IF(C5242="","",C5242*D5242/100)</f>
        <v/>
      </c>
      <c r="F5242" s="15" t="str">
        <f aca="false">IF(B5242&lt;5,"Go","Standard")</f>
        <v>Go</v>
      </c>
    </row>
    <row r="5243" customFormat="false" ht="15" hidden="false" customHeight="true" outlineLevel="0" collapsed="false">
      <c r="A5243" s="10" t="n">
        <f aca="false">Einstellungen!$B$5+INT((ROW()-9)/24)</f>
        <v>46184</v>
      </c>
      <c r="B5243" s="11" t="n">
        <f aca="false">MOD(ROW()-9,24)</f>
        <v>2</v>
      </c>
      <c r="C5243" s="12"/>
      <c r="D5243" s="13" t="n">
        <f aca="false">IF(B5243&lt;5,Einstellungen!$B$3,Einstellungen!$B$4)</f>
        <v>15.92</v>
      </c>
      <c r="E5243" s="14" t="str">
        <f aca="false">IF(C5243="","",C5243*D5243/100)</f>
        <v/>
      </c>
      <c r="F5243" s="15" t="str">
        <f aca="false">IF(B5243&lt;5,"Go","Standard")</f>
        <v>Go</v>
      </c>
    </row>
    <row r="5244" customFormat="false" ht="15" hidden="false" customHeight="true" outlineLevel="0" collapsed="false">
      <c r="A5244" s="10" t="n">
        <f aca="false">Einstellungen!$B$5+INT((ROW()-9)/24)</f>
        <v>46184</v>
      </c>
      <c r="B5244" s="11" t="n">
        <f aca="false">MOD(ROW()-9,24)</f>
        <v>3</v>
      </c>
      <c r="C5244" s="12"/>
      <c r="D5244" s="13" t="n">
        <f aca="false">IF(B5244&lt;5,Einstellungen!$B$3,Einstellungen!$B$4)</f>
        <v>15.92</v>
      </c>
      <c r="E5244" s="14" t="str">
        <f aca="false">IF(C5244="","",C5244*D5244/100)</f>
        <v/>
      </c>
      <c r="F5244" s="15" t="str">
        <f aca="false">IF(B5244&lt;5,"Go","Standard")</f>
        <v>Go</v>
      </c>
    </row>
    <row r="5245" customFormat="false" ht="15" hidden="false" customHeight="true" outlineLevel="0" collapsed="false">
      <c r="A5245" s="10" t="n">
        <f aca="false">Einstellungen!$B$5+INT((ROW()-9)/24)</f>
        <v>46184</v>
      </c>
      <c r="B5245" s="11" t="n">
        <f aca="false">MOD(ROW()-9,24)</f>
        <v>4</v>
      </c>
      <c r="C5245" s="12"/>
      <c r="D5245" s="13" t="n">
        <f aca="false">IF(B5245&lt;5,Einstellungen!$B$3,Einstellungen!$B$4)</f>
        <v>15.92</v>
      </c>
      <c r="E5245" s="14" t="str">
        <f aca="false">IF(C5245="","",C5245*D5245/100)</f>
        <v/>
      </c>
      <c r="F5245" s="15" t="str">
        <f aca="false">IF(B5245&lt;5,"Go","Standard")</f>
        <v>Go</v>
      </c>
    </row>
    <row r="5246" customFormat="false" ht="15" hidden="false" customHeight="true" outlineLevel="0" collapsed="false">
      <c r="A5246" s="10" t="n">
        <f aca="false">Einstellungen!$B$5+INT((ROW()-9)/24)</f>
        <v>46184</v>
      </c>
      <c r="B5246" s="11" t="n">
        <f aca="false">MOD(ROW()-9,24)</f>
        <v>5</v>
      </c>
      <c r="C5246" s="12"/>
      <c r="D5246" s="13" t="n">
        <f aca="false">IF(B5246&lt;5,Einstellungen!$B$3,Einstellungen!$B$4)</f>
        <v>29.13</v>
      </c>
      <c r="E5246" s="14" t="str">
        <f aca="false">IF(C5246="","",C5246*D5246/100)</f>
        <v/>
      </c>
      <c r="F5246" s="15" t="str">
        <f aca="false">IF(B5246&lt;5,"Go","Standard")</f>
        <v>Standard</v>
      </c>
    </row>
    <row r="5247" customFormat="false" ht="15" hidden="false" customHeight="true" outlineLevel="0" collapsed="false">
      <c r="A5247" s="10" t="n">
        <f aca="false">Einstellungen!$B$5+INT((ROW()-9)/24)</f>
        <v>46184</v>
      </c>
      <c r="B5247" s="11" t="n">
        <f aca="false">MOD(ROW()-9,24)</f>
        <v>6</v>
      </c>
      <c r="C5247" s="12"/>
      <c r="D5247" s="13" t="n">
        <f aca="false">IF(B5247&lt;5,Einstellungen!$B$3,Einstellungen!$B$4)</f>
        <v>29.13</v>
      </c>
      <c r="E5247" s="14" t="str">
        <f aca="false">IF(C5247="","",C5247*D5247/100)</f>
        <v/>
      </c>
      <c r="F5247" s="15" t="str">
        <f aca="false">IF(B5247&lt;5,"Go","Standard")</f>
        <v>Standard</v>
      </c>
    </row>
    <row r="5248" customFormat="false" ht="15" hidden="false" customHeight="true" outlineLevel="0" collapsed="false">
      <c r="A5248" s="10" t="n">
        <f aca="false">Einstellungen!$B$5+INT((ROW()-9)/24)</f>
        <v>46184</v>
      </c>
      <c r="B5248" s="11" t="n">
        <f aca="false">MOD(ROW()-9,24)</f>
        <v>7</v>
      </c>
      <c r="C5248" s="12"/>
      <c r="D5248" s="13" t="n">
        <f aca="false">IF(B5248&lt;5,Einstellungen!$B$3,Einstellungen!$B$4)</f>
        <v>29.13</v>
      </c>
      <c r="E5248" s="14" t="str">
        <f aca="false">IF(C5248="","",C5248*D5248/100)</f>
        <v/>
      </c>
      <c r="F5248" s="15" t="str">
        <f aca="false">IF(B5248&lt;5,"Go","Standard")</f>
        <v>Standard</v>
      </c>
    </row>
    <row r="5249" customFormat="false" ht="15" hidden="false" customHeight="true" outlineLevel="0" collapsed="false">
      <c r="A5249" s="10" t="n">
        <f aca="false">Einstellungen!$B$5+INT((ROW()-9)/24)</f>
        <v>46184</v>
      </c>
      <c r="B5249" s="11" t="n">
        <f aca="false">MOD(ROW()-9,24)</f>
        <v>8</v>
      </c>
      <c r="C5249" s="12"/>
      <c r="D5249" s="13" t="n">
        <f aca="false">IF(B5249&lt;5,Einstellungen!$B$3,Einstellungen!$B$4)</f>
        <v>29.13</v>
      </c>
      <c r="E5249" s="14" t="str">
        <f aca="false">IF(C5249="","",C5249*D5249/100)</f>
        <v/>
      </c>
      <c r="F5249" s="15" t="str">
        <f aca="false">IF(B5249&lt;5,"Go","Standard")</f>
        <v>Standard</v>
      </c>
    </row>
    <row r="5250" customFormat="false" ht="15" hidden="false" customHeight="true" outlineLevel="0" collapsed="false">
      <c r="A5250" s="10" t="n">
        <f aca="false">Einstellungen!$B$5+INT((ROW()-9)/24)</f>
        <v>46184</v>
      </c>
      <c r="B5250" s="11" t="n">
        <f aca="false">MOD(ROW()-9,24)</f>
        <v>9</v>
      </c>
      <c r="C5250" s="12"/>
      <c r="D5250" s="13" t="n">
        <f aca="false">IF(B5250&lt;5,Einstellungen!$B$3,Einstellungen!$B$4)</f>
        <v>29.13</v>
      </c>
      <c r="E5250" s="14" t="str">
        <f aca="false">IF(C5250="","",C5250*D5250/100)</f>
        <v/>
      </c>
      <c r="F5250" s="15" t="str">
        <f aca="false">IF(B5250&lt;5,"Go","Standard")</f>
        <v>Standard</v>
      </c>
    </row>
    <row r="5251" customFormat="false" ht="15" hidden="false" customHeight="true" outlineLevel="0" collapsed="false">
      <c r="A5251" s="10" t="n">
        <f aca="false">Einstellungen!$B$5+INT((ROW()-9)/24)</f>
        <v>46184</v>
      </c>
      <c r="B5251" s="11" t="n">
        <f aca="false">MOD(ROW()-9,24)</f>
        <v>10</v>
      </c>
      <c r="C5251" s="12"/>
      <c r="D5251" s="13" t="n">
        <f aca="false">IF(B5251&lt;5,Einstellungen!$B$3,Einstellungen!$B$4)</f>
        <v>29.13</v>
      </c>
      <c r="E5251" s="14" t="str">
        <f aca="false">IF(C5251="","",C5251*D5251/100)</f>
        <v/>
      </c>
      <c r="F5251" s="15" t="str">
        <f aca="false">IF(B5251&lt;5,"Go","Standard")</f>
        <v>Standard</v>
      </c>
    </row>
    <row r="5252" customFormat="false" ht="15" hidden="false" customHeight="true" outlineLevel="0" collapsed="false">
      <c r="A5252" s="10" t="n">
        <f aca="false">Einstellungen!$B$5+INT((ROW()-9)/24)</f>
        <v>46184</v>
      </c>
      <c r="B5252" s="11" t="n">
        <f aca="false">MOD(ROW()-9,24)</f>
        <v>11</v>
      </c>
      <c r="C5252" s="12"/>
      <c r="D5252" s="13" t="n">
        <f aca="false">IF(B5252&lt;5,Einstellungen!$B$3,Einstellungen!$B$4)</f>
        <v>29.13</v>
      </c>
      <c r="E5252" s="14" t="str">
        <f aca="false">IF(C5252="","",C5252*D5252/100)</f>
        <v/>
      </c>
      <c r="F5252" s="15" t="str">
        <f aca="false">IF(B5252&lt;5,"Go","Standard")</f>
        <v>Standard</v>
      </c>
    </row>
    <row r="5253" customFormat="false" ht="15" hidden="false" customHeight="true" outlineLevel="0" collapsed="false">
      <c r="A5253" s="10" t="n">
        <f aca="false">Einstellungen!$B$5+INT((ROW()-9)/24)</f>
        <v>46184</v>
      </c>
      <c r="B5253" s="11" t="n">
        <f aca="false">MOD(ROW()-9,24)</f>
        <v>12</v>
      </c>
      <c r="C5253" s="12"/>
      <c r="D5253" s="13" t="n">
        <f aca="false">IF(B5253&lt;5,Einstellungen!$B$3,Einstellungen!$B$4)</f>
        <v>29.13</v>
      </c>
      <c r="E5253" s="14" t="str">
        <f aca="false">IF(C5253="","",C5253*D5253/100)</f>
        <v/>
      </c>
      <c r="F5253" s="15" t="str">
        <f aca="false">IF(B5253&lt;5,"Go","Standard")</f>
        <v>Standard</v>
      </c>
    </row>
    <row r="5254" customFormat="false" ht="15" hidden="false" customHeight="true" outlineLevel="0" collapsed="false">
      <c r="A5254" s="10" t="n">
        <f aca="false">Einstellungen!$B$5+INT((ROW()-9)/24)</f>
        <v>46184</v>
      </c>
      <c r="B5254" s="11" t="n">
        <f aca="false">MOD(ROW()-9,24)</f>
        <v>13</v>
      </c>
      <c r="C5254" s="12"/>
      <c r="D5254" s="13" t="n">
        <f aca="false">IF(B5254&lt;5,Einstellungen!$B$3,Einstellungen!$B$4)</f>
        <v>29.13</v>
      </c>
      <c r="E5254" s="14" t="str">
        <f aca="false">IF(C5254="","",C5254*D5254/100)</f>
        <v/>
      </c>
      <c r="F5254" s="15" t="str">
        <f aca="false">IF(B5254&lt;5,"Go","Standard")</f>
        <v>Standard</v>
      </c>
    </row>
    <row r="5255" customFormat="false" ht="15" hidden="false" customHeight="true" outlineLevel="0" collapsed="false">
      <c r="A5255" s="10" t="n">
        <f aca="false">Einstellungen!$B$5+INT((ROW()-9)/24)</f>
        <v>46184</v>
      </c>
      <c r="B5255" s="11" t="n">
        <f aca="false">MOD(ROW()-9,24)</f>
        <v>14</v>
      </c>
      <c r="C5255" s="12"/>
      <c r="D5255" s="13" t="n">
        <f aca="false">IF(B5255&lt;5,Einstellungen!$B$3,Einstellungen!$B$4)</f>
        <v>29.13</v>
      </c>
      <c r="E5255" s="14" t="str">
        <f aca="false">IF(C5255="","",C5255*D5255/100)</f>
        <v/>
      </c>
      <c r="F5255" s="15" t="str">
        <f aca="false">IF(B5255&lt;5,"Go","Standard")</f>
        <v>Standard</v>
      </c>
    </row>
    <row r="5256" customFormat="false" ht="15" hidden="false" customHeight="true" outlineLevel="0" collapsed="false">
      <c r="A5256" s="10" t="n">
        <f aca="false">Einstellungen!$B$5+INT((ROW()-9)/24)</f>
        <v>46184</v>
      </c>
      <c r="B5256" s="11" t="n">
        <f aca="false">MOD(ROW()-9,24)</f>
        <v>15</v>
      </c>
      <c r="C5256" s="12"/>
      <c r="D5256" s="13" t="n">
        <f aca="false">IF(B5256&lt;5,Einstellungen!$B$3,Einstellungen!$B$4)</f>
        <v>29.13</v>
      </c>
      <c r="E5256" s="14" t="str">
        <f aca="false">IF(C5256="","",C5256*D5256/100)</f>
        <v/>
      </c>
      <c r="F5256" s="15" t="str">
        <f aca="false">IF(B5256&lt;5,"Go","Standard")</f>
        <v>Standard</v>
      </c>
    </row>
    <row r="5257" customFormat="false" ht="15" hidden="false" customHeight="true" outlineLevel="0" collapsed="false">
      <c r="A5257" s="10" t="n">
        <f aca="false">Einstellungen!$B$5+INT((ROW()-9)/24)</f>
        <v>46184</v>
      </c>
      <c r="B5257" s="11" t="n">
        <f aca="false">MOD(ROW()-9,24)</f>
        <v>16</v>
      </c>
      <c r="C5257" s="12"/>
      <c r="D5257" s="13" t="n">
        <f aca="false">IF(B5257&lt;5,Einstellungen!$B$3,Einstellungen!$B$4)</f>
        <v>29.13</v>
      </c>
      <c r="E5257" s="14" t="str">
        <f aca="false">IF(C5257="","",C5257*D5257/100)</f>
        <v/>
      </c>
      <c r="F5257" s="15" t="str">
        <f aca="false">IF(B5257&lt;5,"Go","Standard")</f>
        <v>Standard</v>
      </c>
    </row>
    <row r="5258" customFormat="false" ht="15" hidden="false" customHeight="true" outlineLevel="0" collapsed="false">
      <c r="A5258" s="10" t="n">
        <f aca="false">Einstellungen!$B$5+INT((ROW()-9)/24)</f>
        <v>46184</v>
      </c>
      <c r="B5258" s="11" t="n">
        <f aca="false">MOD(ROW()-9,24)</f>
        <v>17</v>
      </c>
      <c r="C5258" s="12"/>
      <c r="D5258" s="13" t="n">
        <f aca="false">IF(B5258&lt;5,Einstellungen!$B$3,Einstellungen!$B$4)</f>
        <v>29.13</v>
      </c>
      <c r="E5258" s="14" t="str">
        <f aca="false">IF(C5258="","",C5258*D5258/100)</f>
        <v/>
      </c>
      <c r="F5258" s="15" t="str">
        <f aca="false">IF(B5258&lt;5,"Go","Standard")</f>
        <v>Standard</v>
      </c>
    </row>
    <row r="5259" customFormat="false" ht="15" hidden="false" customHeight="true" outlineLevel="0" collapsed="false">
      <c r="A5259" s="10" t="n">
        <f aca="false">Einstellungen!$B$5+INT((ROW()-9)/24)</f>
        <v>46184</v>
      </c>
      <c r="B5259" s="11" t="n">
        <f aca="false">MOD(ROW()-9,24)</f>
        <v>18</v>
      </c>
      <c r="C5259" s="12"/>
      <c r="D5259" s="13" t="n">
        <f aca="false">IF(B5259&lt;5,Einstellungen!$B$3,Einstellungen!$B$4)</f>
        <v>29.13</v>
      </c>
      <c r="E5259" s="14" t="str">
        <f aca="false">IF(C5259="","",C5259*D5259/100)</f>
        <v/>
      </c>
      <c r="F5259" s="15" t="str">
        <f aca="false">IF(B5259&lt;5,"Go","Standard")</f>
        <v>Standard</v>
      </c>
    </row>
    <row r="5260" customFormat="false" ht="15" hidden="false" customHeight="true" outlineLevel="0" collapsed="false">
      <c r="A5260" s="10" t="n">
        <f aca="false">Einstellungen!$B$5+INT((ROW()-9)/24)</f>
        <v>46184</v>
      </c>
      <c r="B5260" s="11" t="n">
        <f aca="false">MOD(ROW()-9,24)</f>
        <v>19</v>
      </c>
      <c r="C5260" s="12"/>
      <c r="D5260" s="13" t="n">
        <f aca="false">IF(B5260&lt;5,Einstellungen!$B$3,Einstellungen!$B$4)</f>
        <v>29.13</v>
      </c>
      <c r="E5260" s="14" t="str">
        <f aca="false">IF(C5260="","",C5260*D5260/100)</f>
        <v/>
      </c>
      <c r="F5260" s="15" t="str">
        <f aca="false">IF(B5260&lt;5,"Go","Standard")</f>
        <v>Standard</v>
      </c>
    </row>
    <row r="5261" customFormat="false" ht="15" hidden="false" customHeight="true" outlineLevel="0" collapsed="false">
      <c r="A5261" s="10" t="n">
        <f aca="false">Einstellungen!$B$5+INT((ROW()-9)/24)</f>
        <v>46184</v>
      </c>
      <c r="B5261" s="11" t="n">
        <f aca="false">MOD(ROW()-9,24)</f>
        <v>20</v>
      </c>
      <c r="C5261" s="12"/>
      <c r="D5261" s="13" t="n">
        <f aca="false">IF(B5261&lt;5,Einstellungen!$B$3,Einstellungen!$B$4)</f>
        <v>29.13</v>
      </c>
      <c r="E5261" s="14" t="str">
        <f aca="false">IF(C5261="","",C5261*D5261/100)</f>
        <v/>
      </c>
      <c r="F5261" s="15" t="str">
        <f aca="false">IF(B5261&lt;5,"Go","Standard")</f>
        <v>Standard</v>
      </c>
    </row>
    <row r="5262" customFormat="false" ht="15" hidden="false" customHeight="true" outlineLevel="0" collapsed="false">
      <c r="A5262" s="10" t="n">
        <f aca="false">Einstellungen!$B$5+INT((ROW()-9)/24)</f>
        <v>46184</v>
      </c>
      <c r="B5262" s="11" t="n">
        <f aca="false">MOD(ROW()-9,24)</f>
        <v>21</v>
      </c>
      <c r="C5262" s="12"/>
      <c r="D5262" s="13" t="n">
        <f aca="false">IF(B5262&lt;5,Einstellungen!$B$3,Einstellungen!$B$4)</f>
        <v>29.13</v>
      </c>
      <c r="E5262" s="14" t="str">
        <f aca="false">IF(C5262="","",C5262*D5262/100)</f>
        <v/>
      </c>
      <c r="F5262" s="15" t="str">
        <f aca="false">IF(B5262&lt;5,"Go","Standard")</f>
        <v>Standard</v>
      </c>
    </row>
    <row r="5263" customFormat="false" ht="15" hidden="false" customHeight="true" outlineLevel="0" collapsed="false">
      <c r="A5263" s="10" t="n">
        <f aca="false">Einstellungen!$B$5+INT((ROW()-9)/24)</f>
        <v>46184</v>
      </c>
      <c r="B5263" s="11" t="n">
        <f aca="false">MOD(ROW()-9,24)</f>
        <v>22</v>
      </c>
      <c r="C5263" s="12"/>
      <c r="D5263" s="13" t="n">
        <f aca="false">IF(B5263&lt;5,Einstellungen!$B$3,Einstellungen!$B$4)</f>
        <v>29.13</v>
      </c>
      <c r="E5263" s="14" t="str">
        <f aca="false">IF(C5263="","",C5263*D5263/100)</f>
        <v/>
      </c>
      <c r="F5263" s="15" t="str">
        <f aca="false">IF(B5263&lt;5,"Go","Standard")</f>
        <v>Standard</v>
      </c>
    </row>
    <row r="5264" customFormat="false" ht="15" hidden="false" customHeight="true" outlineLevel="0" collapsed="false">
      <c r="A5264" s="10" t="n">
        <f aca="false">Einstellungen!$B$5+INT((ROW()-9)/24)</f>
        <v>46184</v>
      </c>
      <c r="B5264" s="11" t="n">
        <f aca="false">MOD(ROW()-9,24)</f>
        <v>23</v>
      </c>
      <c r="C5264" s="12"/>
      <c r="D5264" s="13" t="n">
        <f aca="false">IF(B5264&lt;5,Einstellungen!$B$3,Einstellungen!$B$4)</f>
        <v>29.13</v>
      </c>
      <c r="E5264" s="14" t="str">
        <f aca="false">IF(C5264="","",C5264*D5264/100)</f>
        <v/>
      </c>
      <c r="F5264" s="15" t="str">
        <f aca="false">IF(B5264&lt;5,"Go","Standard")</f>
        <v>Standard</v>
      </c>
    </row>
    <row r="5265" customFormat="false" ht="15" hidden="false" customHeight="true" outlineLevel="0" collapsed="false">
      <c r="A5265" s="10" t="n">
        <f aca="false">Einstellungen!$B$5+INT((ROW()-9)/24)</f>
        <v>46185</v>
      </c>
      <c r="B5265" s="11" t="n">
        <f aca="false">MOD(ROW()-9,24)</f>
        <v>0</v>
      </c>
      <c r="C5265" s="12"/>
      <c r="D5265" s="13" t="n">
        <f aca="false">IF(B5265&lt;5,Einstellungen!$B$3,Einstellungen!$B$4)</f>
        <v>15.92</v>
      </c>
      <c r="E5265" s="14" t="str">
        <f aca="false">IF(C5265="","",C5265*D5265/100)</f>
        <v/>
      </c>
      <c r="F5265" s="15" t="str">
        <f aca="false">IF(B5265&lt;5,"Go","Standard")</f>
        <v>Go</v>
      </c>
    </row>
    <row r="5266" customFormat="false" ht="15" hidden="false" customHeight="true" outlineLevel="0" collapsed="false">
      <c r="A5266" s="10" t="n">
        <f aca="false">Einstellungen!$B$5+INT((ROW()-9)/24)</f>
        <v>46185</v>
      </c>
      <c r="B5266" s="11" t="n">
        <f aca="false">MOD(ROW()-9,24)</f>
        <v>1</v>
      </c>
      <c r="C5266" s="12"/>
      <c r="D5266" s="13" t="n">
        <f aca="false">IF(B5266&lt;5,Einstellungen!$B$3,Einstellungen!$B$4)</f>
        <v>15.92</v>
      </c>
      <c r="E5266" s="14" t="str">
        <f aca="false">IF(C5266="","",C5266*D5266/100)</f>
        <v/>
      </c>
      <c r="F5266" s="15" t="str">
        <f aca="false">IF(B5266&lt;5,"Go","Standard")</f>
        <v>Go</v>
      </c>
    </row>
    <row r="5267" customFormat="false" ht="15" hidden="false" customHeight="true" outlineLevel="0" collapsed="false">
      <c r="A5267" s="10" t="n">
        <f aca="false">Einstellungen!$B$5+INT((ROW()-9)/24)</f>
        <v>46185</v>
      </c>
      <c r="B5267" s="11" t="n">
        <f aca="false">MOD(ROW()-9,24)</f>
        <v>2</v>
      </c>
      <c r="C5267" s="12"/>
      <c r="D5267" s="13" t="n">
        <f aca="false">IF(B5267&lt;5,Einstellungen!$B$3,Einstellungen!$B$4)</f>
        <v>15.92</v>
      </c>
      <c r="E5267" s="14" t="str">
        <f aca="false">IF(C5267="","",C5267*D5267/100)</f>
        <v/>
      </c>
      <c r="F5267" s="15" t="str">
        <f aca="false">IF(B5267&lt;5,"Go","Standard")</f>
        <v>Go</v>
      </c>
    </row>
    <row r="5268" customFormat="false" ht="15" hidden="false" customHeight="true" outlineLevel="0" collapsed="false">
      <c r="A5268" s="10" t="n">
        <f aca="false">Einstellungen!$B$5+INT((ROW()-9)/24)</f>
        <v>46185</v>
      </c>
      <c r="B5268" s="11" t="n">
        <f aca="false">MOD(ROW()-9,24)</f>
        <v>3</v>
      </c>
      <c r="C5268" s="12"/>
      <c r="D5268" s="13" t="n">
        <f aca="false">IF(B5268&lt;5,Einstellungen!$B$3,Einstellungen!$B$4)</f>
        <v>15.92</v>
      </c>
      <c r="E5268" s="14" t="str">
        <f aca="false">IF(C5268="","",C5268*D5268/100)</f>
        <v/>
      </c>
      <c r="F5268" s="15" t="str">
        <f aca="false">IF(B5268&lt;5,"Go","Standard")</f>
        <v>Go</v>
      </c>
    </row>
    <row r="5269" customFormat="false" ht="15" hidden="false" customHeight="true" outlineLevel="0" collapsed="false">
      <c r="A5269" s="10" t="n">
        <f aca="false">Einstellungen!$B$5+INT((ROW()-9)/24)</f>
        <v>46185</v>
      </c>
      <c r="B5269" s="11" t="n">
        <f aca="false">MOD(ROW()-9,24)</f>
        <v>4</v>
      </c>
      <c r="C5269" s="12"/>
      <c r="D5269" s="13" t="n">
        <f aca="false">IF(B5269&lt;5,Einstellungen!$B$3,Einstellungen!$B$4)</f>
        <v>15.92</v>
      </c>
      <c r="E5269" s="14" t="str">
        <f aca="false">IF(C5269="","",C5269*D5269/100)</f>
        <v/>
      </c>
      <c r="F5269" s="15" t="str">
        <f aca="false">IF(B5269&lt;5,"Go","Standard")</f>
        <v>Go</v>
      </c>
    </row>
    <row r="5270" customFormat="false" ht="15" hidden="false" customHeight="true" outlineLevel="0" collapsed="false">
      <c r="A5270" s="10" t="n">
        <f aca="false">Einstellungen!$B$5+INT((ROW()-9)/24)</f>
        <v>46185</v>
      </c>
      <c r="B5270" s="11" t="n">
        <f aca="false">MOD(ROW()-9,24)</f>
        <v>5</v>
      </c>
      <c r="C5270" s="12"/>
      <c r="D5270" s="13" t="n">
        <f aca="false">IF(B5270&lt;5,Einstellungen!$B$3,Einstellungen!$B$4)</f>
        <v>29.13</v>
      </c>
      <c r="E5270" s="14" t="str">
        <f aca="false">IF(C5270="","",C5270*D5270/100)</f>
        <v/>
      </c>
      <c r="F5270" s="15" t="str">
        <f aca="false">IF(B5270&lt;5,"Go","Standard")</f>
        <v>Standard</v>
      </c>
    </row>
    <row r="5271" customFormat="false" ht="15" hidden="false" customHeight="true" outlineLevel="0" collapsed="false">
      <c r="A5271" s="10" t="n">
        <f aca="false">Einstellungen!$B$5+INT((ROW()-9)/24)</f>
        <v>46185</v>
      </c>
      <c r="B5271" s="11" t="n">
        <f aca="false">MOD(ROW()-9,24)</f>
        <v>6</v>
      </c>
      <c r="C5271" s="12"/>
      <c r="D5271" s="13" t="n">
        <f aca="false">IF(B5271&lt;5,Einstellungen!$B$3,Einstellungen!$B$4)</f>
        <v>29.13</v>
      </c>
      <c r="E5271" s="14" t="str">
        <f aca="false">IF(C5271="","",C5271*D5271/100)</f>
        <v/>
      </c>
      <c r="F5271" s="15" t="str">
        <f aca="false">IF(B5271&lt;5,"Go","Standard")</f>
        <v>Standard</v>
      </c>
    </row>
    <row r="5272" customFormat="false" ht="15" hidden="false" customHeight="true" outlineLevel="0" collapsed="false">
      <c r="A5272" s="10" t="n">
        <f aca="false">Einstellungen!$B$5+INT((ROW()-9)/24)</f>
        <v>46185</v>
      </c>
      <c r="B5272" s="11" t="n">
        <f aca="false">MOD(ROW()-9,24)</f>
        <v>7</v>
      </c>
      <c r="C5272" s="12"/>
      <c r="D5272" s="13" t="n">
        <f aca="false">IF(B5272&lt;5,Einstellungen!$B$3,Einstellungen!$B$4)</f>
        <v>29.13</v>
      </c>
      <c r="E5272" s="14" t="str">
        <f aca="false">IF(C5272="","",C5272*D5272/100)</f>
        <v/>
      </c>
      <c r="F5272" s="15" t="str">
        <f aca="false">IF(B5272&lt;5,"Go","Standard")</f>
        <v>Standard</v>
      </c>
    </row>
    <row r="5273" customFormat="false" ht="15" hidden="false" customHeight="true" outlineLevel="0" collapsed="false">
      <c r="A5273" s="10" t="n">
        <f aca="false">Einstellungen!$B$5+INT((ROW()-9)/24)</f>
        <v>46185</v>
      </c>
      <c r="B5273" s="11" t="n">
        <f aca="false">MOD(ROW()-9,24)</f>
        <v>8</v>
      </c>
      <c r="C5273" s="12"/>
      <c r="D5273" s="13" t="n">
        <f aca="false">IF(B5273&lt;5,Einstellungen!$B$3,Einstellungen!$B$4)</f>
        <v>29.13</v>
      </c>
      <c r="E5273" s="14" t="str">
        <f aca="false">IF(C5273="","",C5273*D5273/100)</f>
        <v/>
      </c>
      <c r="F5273" s="15" t="str">
        <f aca="false">IF(B5273&lt;5,"Go","Standard")</f>
        <v>Standard</v>
      </c>
    </row>
    <row r="5274" customFormat="false" ht="15" hidden="false" customHeight="true" outlineLevel="0" collapsed="false">
      <c r="A5274" s="10" t="n">
        <f aca="false">Einstellungen!$B$5+INT((ROW()-9)/24)</f>
        <v>46185</v>
      </c>
      <c r="B5274" s="11" t="n">
        <f aca="false">MOD(ROW()-9,24)</f>
        <v>9</v>
      </c>
      <c r="C5274" s="12"/>
      <c r="D5274" s="13" t="n">
        <f aca="false">IF(B5274&lt;5,Einstellungen!$B$3,Einstellungen!$B$4)</f>
        <v>29.13</v>
      </c>
      <c r="E5274" s="14" t="str">
        <f aca="false">IF(C5274="","",C5274*D5274/100)</f>
        <v/>
      </c>
      <c r="F5274" s="15" t="str">
        <f aca="false">IF(B5274&lt;5,"Go","Standard")</f>
        <v>Standard</v>
      </c>
    </row>
    <row r="5275" customFormat="false" ht="15" hidden="false" customHeight="true" outlineLevel="0" collapsed="false">
      <c r="A5275" s="10" t="n">
        <f aca="false">Einstellungen!$B$5+INT((ROW()-9)/24)</f>
        <v>46185</v>
      </c>
      <c r="B5275" s="11" t="n">
        <f aca="false">MOD(ROW()-9,24)</f>
        <v>10</v>
      </c>
      <c r="C5275" s="12"/>
      <c r="D5275" s="13" t="n">
        <f aca="false">IF(B5275&lt;5,Einstellungen!$B$3,Einstellungen!$B$4)</f>
        <v>29.13</v>
      </c>
      <c r="E5275" s="14" t="str">
        <f aca="false">IF(C5275="","",C5275*D5275/100)</f>
        <v/>
      </c>
      <c r="F5275" s="15" t="str">
        <f aca="false">IF(B5275&lt;5,"Go","Standard")</f>
        <v>Standard</v>
      </c>
    </row>
    <row r="5276" customFormat="false" ht="15" hidden="false" customHeight="true" outlineLevel="0" collapsed="false">
      <c r="A5276" s="10" t="n">
        <f aca="false">Einstellungen!$B$5+INT((ROW()-9)/24)</f>
        <v>46185</v>
      </c>
      <c r="B5276" s="11" t="n">
        <f aca="false">MOD(ROW()-9,24)</f>
        <v>11</v>
      </c>
      <c r="C5276" s="12"/>
      <c r="D5276" s="13" t="n">
        <f aca="false">IF(B5276&lt;5,Einstellungen!$B$3,Einstellungen!$B$4)</f>
        <v>29.13</v>
      </c>
      <c r="E5276" s="14" t="str">
        <f aca="false">IF(C5276="","",C5276*D5276/100)</f>
        <v/>
      </c>
      <c r="F5276" s="15" t="str">
        <f aca="false">IF(B5276&lt;5,"Go","Standard")</f>
        <v>Standard</v>
      </c>
    </row>
    <row r="5277" customFormat="false" ht="15" hidden="false" customHeight="true" outlineLevel="0" collapsed="false">
      <c r="A5277" s="10" t="n">
        <f aca="false">Einstellungen!$B$5+INT((ROW()-9)/24)</f>
        <v>46185</v>
      </c>
      <c r="B5277" s="11" t="n">
        <f aca="false">MOD(ROW()-9,24)</f>
        <v>12</v>
      </c>
      <c r="C5277" s="12"/>
      <c r="D5277" s="13" t="n">
        <f aca="false">IF(B5277&lt;5,Einstellungen!$B$3,Einstellungen!$B$4)</f>
        <v>29.13</v>
      </c>
      <c r="E5277" s="14" t="str">
        <f aca="false">IF(C5277="","",C5277*D5277/100)</f>
        <v/>
      </c>
      <c r="F5277" s="15" t="str">
        <f aca="false">IF(B5277&lt;5,"Go","Standard")</f>
        <v>Standard</v>
      </c>
    </row>
    <row r="5278" customFormat="false" ht="15" hidden="false" customHeight="true" outlineLevel="0" collapsed="false">
      <c r="A5278" s="10" t="n">
        <f aca="false">Einstellungen!$B$5+INT((ROW()-9)/24)</f>
        <v>46185</v>
      </c>
      <c r="B5278" s="11" t="n">
        <f aca="false">MOD(ROW()-9,24)</f>
        <v>13</v>
      </c>
      <c r="C5278" s="12"/>
      <c r="D5278" s="13" t="n">
        <f aca="false">IF(B5278&lt;5,Einstellungen!$B$3,Einstellungen!$B$4)</f>
        <v>29.13</v>
      </c>
      <c r="E5278" s="14" t="str">
        <f aca="false">IF(C5278="","",C5278*D5278/100)</f>
        <v/>
      </c>
      <c r="F5278" s="15" t="str">
        <f aca="false">IF(B5278&lt;5,"Go","Standard")</f>
        <v>Standard</v>
      </c>
    </row>
    <row r="5279" customFormat="false" ht="15" hidden="false" customHeight="true" outlineLevel="0" collapsed="false">
      <c r="A5279" s="10" t="n">
        <f aca="false">Einstellungen!$B$5+INT((ROW()-9)/24)</f>
        <v>46185</v>
      </c>
      <c r="B5279" s="11" t="n">
        <f aca="false">MOD(ROW()-9,24)</f>
        <v>14</v>
      </c>
      <c r="C5279" s="12"/>
      <c r="D5279" s="13" t="n">
        <f aca="false">IF(B5279&lt;5,Einstellungen!$B$3,Einstellungen!$B$4)</f>
        <v>29.13</v>
      </c>
      <c r="E5279" s="14" t="str">
        <f aca="false">IF(C5279="","",C5279*D5279/100)</f>
        <v/>
      </c>
      <c r="F5279" s="15" t="str">
        <f aca="false">IF(B5279&lt;5,"Go","Standard")</f>
        <v>Standard</v>
      </c>
    </row>
    <row r="5280" customFormat="false" ht="15" hidden="false" customHeight="true" outlineLevel="0" collapsed="false">
      <c r="A5280" s="10" t="n">
        <f aca="false">Einstellungen!$B$5+INT((ROW()-9)/24)</f>
        <v>46185</v>
      </c>
      <c r="B5280" s="11" t="n">
        <f aca="false">MOD(ROW()-9,24)</f>
        <v>15</v>
      </c>
      <c r="C5280" s="12"/>
      <c r="D5280" s="13" t="n">
        <f aca="false">IF(B5280&lt;5,Einstellungen!$B$3,Einstellungen!$B$4)</f>
        <v>29.13</v>
      </c>
      <c r="E5280" s="14" t="str">
        <f aca="false">IF(C5280="","",C5280*D5280/100)</f>
        <v/>
      </c>
      <c r="F5280" s="15" t="str">
        <f aca="false">IF(B5280&lt;5,"Go","Standard")</f>
        <v>Standard</v>
      </c>
    </row>
    <row r="5281" customFormat="false" ht="15" hidden="false" customHeight="true" outlineLevel="0" collapsed="false">
      <c r="A5281" s="10" t="n">
        <f aca="false">Einstellungen!$B$5+INT((ROW()-9)/24)</f>
        <v>46185</v>
      </c>
      <c r="B5281" s="11" t="n">
        <f aca="false">MOD(ROW()-9,24)</f>
        <v>16</v>
      </c>
      <c r="C5281" s="12"/>
      <c r="D5281" s="13" t="n">
        <f aca="false">IF(B5281&lt;5,Einstellungen!$B$3,Einstellungen!$B$4)</f>
        <v>29.13</v>
      </c>
      <c r="E5281" s="14" t="str">
        <f aca="false">IF(C5281="","",C5281*D5281/100)</f>
        <v/>
      </c>
      <c r="F5281" s="15" t="str">
        <f aca="false">IF(B5281&lt;5,"Go","Standard")</f>
        <v>Standard</v>
      </c>
    </row>
    <row r="5282" customFormat="false" ht="15" hidden="false" customHeight="true" outlineLevel="0" collapsed="false">
      <c r="A5282" s="10" t="n">
        <f aca="false">Einstellungen!$B$5+INT((ROW()-9)/24)</f>
        <v>46185</v>
      </c>
      <c r="B5282" s="11" t="n">
        <f aca="false">MOD(ROW()-9,24)</f>
        <v>17</v>
      </c>
      <c r="C5282" s="12"/>
      <c r="D5282" s="13" t="n">
        <f aca="false">IF(B5282&lt;5,Einstellungen!$B$3,Einstellungen!$B$4)</f>
        <v>29.13</v>
      </c>
      <c r="E5282" s="14" t="str">
        <f aca="false">IF(C5282="","",C5282*D5282/100)</f>
        <v/>
      </c>
      <c r="F5282" s="15" t="str">
        <f aca="false">IF(B5282&lt;5,"Go","Standard")</f>
        <v>Standard</v>
      </c>
    </row>
    <row r="5283" customFormat="false" ht="15" hidden="false" customHeight="true" outlineLevel="0" collapsed="false">
      <c r="A5283" s="10" t="n">
        <f aca="false">Einstellungen!$B$5+INT((ROW()-9)/24)</f>
        <v>46185</v>
      </c>
      <c r="B5283" s="11" t="n">
        <f aca="false">MOD(ROW()-9,24)</f>
        <v>18</v>
      </c>
      <c r="C5283" s="12"/>
      <c r="D5283" s="13" t="n">
        <f aca="false">IF(B5283&lt;5,Einstellungen!$B$3,Einstellungen!$B$4)</f>
        <v>29.13</v>
      </c>
      <c r="E5283" s="14" t="str">
        <f aca="false">IF(C5283="","",C5283*D5283/100)</f>
        <v/>
      </c>
      <c r="F5283" s="15" t="str">
        <f aca="false">IF(B5283&lt;5,"Go","Standard")</f>
        <v>Standard</v>
      </c>
    </row>
    <row r="5284" customFormat="false" ht="15" hidden="false" customHeight="true" outlineLevel="0" collapsed="false">
      <c r="A5284" s="10" t="n">
        <f aca="false">Einstellungen!$B$5+INT((ROW()-9)/24)</f>
        <v>46185</v>
      </c>
      <c r="B5284" s="11" t="n">
        <f aca="false">MOD(ROW()-9,24)</f>
        <v>19</v>
      </c>
      <c r="C5284" s="12"/>
      <c r="D5284" s="13" t="n">
        <f aca="false">IF(B5284&lt;5,Einstellungen!$B$3,Einstellungen!$B$4)</f>
        <v>29.13</v>
      </c>
      <c r="E5284" s="14" t="str">
        <f aca="false">IF(C5284="","",C5284*D5284/100)</f>
        <v/>
      </c>
      <c r="F5284" s="15" t="str">
        <f aca="false">IF(B5284&lt;5,"Go","Standard")</f>
        <v>Standard</v>
      </c>
    </row>
    <row r="5285" customFormat="false" ht="15" hidden="false" customHeight="true" outlineLevel="0" collapsed="false">
      <c r="A5285" s="10" t="n">
        <f aca="false">Einstellungen!$B$5+INT((ROW()-9)/24)</f>
        <v>46185</v>
      </c>
      <c r="B5285" s="11" t="n">
        <f aca="false">MOD(ROW()-9,24)</f>
        <v>20</v>
      </c>
      <c r="C5285" s="12"/>
      <c r="D5285" s="13" t="n">
        <f aca="false">IF(B5285&lt;5,Einstellungen!$B$3,Einstellungen!$B$4)</f>
        <v>29.13</v>
      </c>
      <c r="E5285" s="14" t="str">
        <f aca="false">IF(C5285="","",C5285*D5285/100)</f>
        <v/>
      </c>
      <c r="F5285" s="15" t="str">
        <f aca="false">IF(B5285&lt;5,"Go","Standard")</f>
        <v>Standard</v>
      </c>
    </row>
    <row r="5286" customFormat="false" ht="15" hidden="false" customHeight="true" outlineLevel="0" collapsed="false">
      <c r="A5286" s="10" t="n">
        <f aca="false">Einstellungen!$B$5+INT((ROW()-9)/24)</f>
        <v>46185</v>
      </c>
      <c r="B5286" s="11" t="n">
        <f aca="false">MOD(ROW()-9,24)</f>
        <v>21</v>
      </c>
      <c r="C5286" s="12"/>
      <c r="D5286" s="13" t="n">
        <f aca="false">IF(B5286&lt;5,Einstellungen!$B$3,Einstellungen!$B$4)</f>
        <v>29.13</v>
      </c>
      <c r="E5286" s="14" t="str">
        <f aca="false">IF(C5286="","",C5286*D5286/100)</f>
        <v/>
      </c>
      <c r="F5286" s="15" t="str">
        <f aca="false">IF(B5286&lt;5,"Go","Standard")</f>
        <v>Standard</v>
      </c>
    </row>
    <row r="5287" customFormat="false" ht="15" hidden="false" customHeight="true" outlineLevel="0" collapsed="false">
      <c r="A5287" s="10" t="n">
        <f aca="false">Einstellungen!$B$5+INT((ROW()-9)/24)</f>
        <v>46185</v>
      </c>
      <c r="B5287" s="11" t="n">
        <f aca="false">MOD(ROW()-9,24)</f>
        <v>22</v>
      </c>
      <c r="C5287" s="12"/>
      <c r="D5287" s="13" t="n">
        <f aca="false">IF(B5287&lt;5,Einstellungen!$B$3,Einstellungen!$B$4)</f>
        <v>29.13</v>
      </c>
      <c r="E5287" s="14" t="str">
        <f aca="false">IF(C5287="","",C5287*D5287/100)</f>
        <v/>
      </c>
      <c r="F5287" s="15" t="str">
        <f aca="false">IF(B5287&lt;5,"Go","Standard")</f>
        <v>Standard</v>
      </c>
    </row>
    <row r="5288" customFormat="false" ht="15" hidden="false" customHeight="true" outlineLevel="0" collapsed="false">
      <c r="A5288" s="10" t="n">
        <f aca="false">Einstellungen!$B$5+INT((ROW()-9)/24)</f>
        <v>46185</v>
      </c>
      <c r="B5288" s="11" t="n">
        <f aca="false">MOD(ROW()-9,24)</f>
        <v>23</v>
      </c>
      <c r="C5288" s="12"/>
      <c r="D5288" s="13" t="n">
        <f aca="false">IF(B5288&lt;5,Einstellungen!$B$3,Einstellungen!$B$4)</f>
        <v>29.13</v>
      </c>
      <c r="E5288" s="14" t="str">
        <f aca="false">IF(C5288="","",C5288*D5288/100)</f>
        <v/>
      </c>
      <c r="F5288" s="15" t="str">
        <f aca="false">IF(B5288&lt;5,"Go","Standard")</f>
        <v>Standard</v>
      </c>
    </row>
    <row r="5289" customFormat="false" ht="15" hidden="false" customHeight="true" outlineLevel="0" collapsed="false">
      <c r="A5289" s="10" t="n">
        <f aca="false">Einstellungen!$B$5+INT((ROW()-9)/24)</f>
        <v>46186</v>
      </c>
      <c r="B5289" s="11" t="n">
        <f aca="false">MOD(ROW()-9,24)</f>
        <v>0</v>
      </c>
      <c r="C5289" s="12"/>
      <c r="D5289" s="13" t="n">
        <f aca="false">IF(B5289&lt;5,Einstellungen!$B$3,Einstellungen!$B$4)</f>
        <v>15.92</v>
      </c>
      <c r="E5289" s="14" t="str">
        <f aca="false">IF(C5289="","",C5289*D5289/100)</f>
        <v/>
      </c>
      <c r="F5289" s="15" t="str">
        <f aca="false">IF(B5289&lt;5,"Go","Standard")</f>
        <v>Go</v>
      </c>
    </row>
    <row r="5290" customFormat="false" ht="15" hidden="false" customHeight="true" outlineLevel="0" collapsed="false">
      <c r="A5290" s="10" t="n">
        <f aca="false">Einstellungen!$B$5+INT((ROW()-9)/24)</f>
        <v>46186</v>
      </c>
      <c r="B5290" s="11" t="n">
        <f aca="false">MOD(ROW()-9,24)</f>
        <v>1</v>
      </c>
      <c r="C5290" s="12"/>
      <c r="D5290" s="13" t="n">
        <f aca="false">IF(B5290&lt;5,Einstellungen!$B$3,Einstellungen!$B$4)</f>
        <v>15.92</v>
      </c>
      <c r="E5290" s="14" t="str">
        <f aca="false">IF(C5290="","",C5290*D5290/100)</f>
        <v/>
      </c>
      <c r="F5290" s="15" t="str">
        <f aca="false">IF(B5290&lt;5,"Go","Standard")</f>
        <v>Go</v>
      </c>
    </row>
    <row r="5291" customFormat="false" ht="15" hidden="false" customHeight="true" outlineLevel="0" collapsed="false">
      <c r="A5291" s="10" t="n">
        <f aca="false">Einstellungen!$B$5+INT((ROW()-9)/24)</f>
        <v>46186</v>
      </c>
      <c r="B5291" s="11" t="n">
        <f aca="false">MOD(ROW()-9,24)</f>
        <v>2</v>
      </c>
      <c r="C5291" s="12"/>
      <c r="D5291" s="13" t="n">
        <f aca="false">IF(B5291&lt;5,Einstellungen!$B$3,Einstellungen!$B$4)</f>
        <v>15.92</v>
      </c>
      <c r="E5291" s="14" t="str">
        <f aca="false">IF(C5291="","",C5291*D5291/100)</f>
        <v/>
      </c>
      <c r="F5291" s="15" t="str">
        <f aca="false">IF(B5291&lt;5,"Go","Standard")</f>
        <v>Go</v>
      </c>
    </row>
    <row r="5292" customFormat="false" ht="15" hidden="false" customHeight="true" outlineLevel="0" collapsed="false">
      <c r="A5292" s="10" t="n">
        <f aca="false">Einstellungen!$B$5+INT((ROW()-9)/24)</f>
        <v>46186</v>
      </c>
      <c r="B5292" s="11" t="n">
        <f aca="false">MOD(ROW()-9,24)</f>
        <v>3</v>
      </c>
      <c r="C5292" s="12"/>
      <c r="D5292" s="13" t="n">
        <f aca="false">IF(B5292&lt;5,Einstellungen!$B$3,Einstellungen!$B$4)</f>
        <v>15.92</v>
      </c>
      <c r="E5292" s="14" t="str">
        <f aca="false">IF(C5292="","",C5292*D5292/100)</f>
        <v/>
      </c>
      <c r="F5292" s="15" t="str">
        <f aca="false">IF(B5292&lt;5,"Go","Standard")</f>
        <v>Go</v>
      </c>
    </row>
    <row r="5293" customFormat="false" ht="15" hidden="false" customHeight="true" outlineLevel="0" collapsed="false">
      <c r="A5293" s="10" t="n">
        <f aca="false">Einstellungen!$B$5+INT((ROW()-9)/24)</f>
        <v>46186</v>
      </c>
      <c r="B5293" s="11" t="n">
        <f aca="false">MOD(ROW()-9,24)</f>
        <v>4</v>
      </c>
      <c r="C5293" s="12"/>
      <c r="D5293" s="13" t="n">
        <f aca="false">IF(B5293&lt;5,Einstellungen!$B$3,Einstellungen!$B$4)</f>
        <v>15.92</v>
      </c>
      <c r="E5293" s="14" t="str">
        <f aca="false">IF(C5293="","",C5293*D5293/100)</f>
        <v/>
      </c>
      <c r="F5293" s="15" t="str">
        <f aca="false">IF(B5293&lt;5,"Go","Standard")</f>
        <v>Go</v>
      </c>
    </row>
    <row r="5294" customFormat="false" ht="15" hidden="false" customHeight="true" outlineLevel="0" collapsed="false">
      <c r="A5294" s="10" t="n">
        <f aca="false">Einstellungen!$B$5+INT((ROW()-9)/24)</f>
        <v>46186</v>
      </c>
      <c r="B5294" s="11" t="n">
        <f aca="false">MOD(ROW()-9,24)</f>
        <v>5</v>
      </c>
      <c r="C5294" s="12"/>
      <c r="D5294" s="13" t="n">
        <f aca="false">IF(B5294&lt;5,Einstellungen!$B$3,Einstellungen!$B$4)</f>
        <v>29.13</v>
      </c>
      <c r="E5294" s="14" t="str">
        <f aca="false">IF(C5294="","",C5294*D5294/100)</f>
        <v/>
      </c>
      <c r="F5294" s="15" t="str">
        <f aca="false">IF(B5294&lt;5,"Go","Standard")</f>
        <v>Standard</v>
      </c>
    </row>
    <row r="5295" customFormat="false" ht="15" hidden="false" customHeight="true" outlineLevel="0" collapsed="false">
      <c r="A5295" s="10" t="n">
        <f aca="false">Einstellungen!$B$5+INT((ROW()-9)/24)</f>
        <v>46186</v>
      </c>
      <c r="B5295" s="11" t="n">
        <f aca="false">MOD(ROW()-9,24)</f>
        <v>6</v>
      </c>
      <c r="C5295" s="12"/>
      <c r="D5295" s="13" t="n">
        <f aca="false">IF(B5295&lt;5,Einstellungen!$B$3,Einstellungen!$B$4)</f>
        <v>29.13</v>
      </c>
      <c r="E5295" s="14" t="str">
        <f aca="false">IF(C5295="","",C5295*D5295/100)</f>
        <v/>
      </c>
      <c r="F5295" s="15" t="str">
        <f aca="false">IF(B5295&lt;5,"Go","Standard")</f>
        <v>Standard</v>
      </c>
    </row>
    <row r="5296" customFormat="false" ht="15" hidden="false" customHeight="true" outlineLevel="0" collapsed="false">
      <c r="A5296" s="10" t="n">
        <f aca="false">Einstellungen!$B$5+INT((ROW()-9)/24)</f>
        <v>46186</v>
      </c>
      <c r="B5296" s="11" t="n">
        <f aca="false">MOD(ROW()-9,24)</f>
        <v>7</v>
      </c>
      <c r="C5296" s="12"/>
      <c r="D5296" s="13" t="n">
        <f aca="false">IF(B5296&lt;5,Einstellungen!$B$3,Einstellungen!$B$4)</f>
        <v>29.13</v>
      </c>
      <c r="E5296" s="14" t="str">
        <f aca="false">IF(C5296="","",C5296*D5296/100)</f>
        <v/>
      </c>
      <c r="F5296" s="15" t="str">
        <f aca="false">IF(B5296&lt;5,"Go","Standard")</f>
        <v>Standard</v>
      </c>
    </row>
    <row r="5297" customFormat="false" ht="15" hidden="false" customHeight="true" outlineLevel="0" collapsed="false">
      <c r="A5297" s="10" t="n">
        <f aca="false">Einstellungen!$B$5+INT((ROW()-9)/24)</f>
        <v>46186</v>
      </c>
      <c r="B5297" s="11" t="n">
        <f aca="false">MOD(ROW()-9,24)</f>
        <v>8</v>
      </c>
      <c r="C5297" s="12"/>
      <c r="D5297" s="13" t="n">
        <f aca="false">IF(B5297&lt;5,Einstellungen!$B$3,Einstellungen!$B$4)</f>
        <v>29.13</v>
      </c>
      <c r="E5297" s="14" t="str">
        <f aca="false">IF(C5297="","",C5297*D5297/100)</f>
        <v/>
      </c>
      <c r="F5297" s="15" t="str">
        <f aca="false">IF(B5297&lt;5,"Go","Standard")</f>
        <v>Standard</v>
      </c>
    </row>
    <row r="5298" customFormat="false" ht="15" hidden="false" customHeight="true" outlineLevel="0" collapsed="false">
      <c r="A5298" s="10" t="n">
        <f aca="false">Einstellungen!$B$5+INT((ROW()-9)/24)</f>
        <v>46186</v>
      </c>
      <c r="B5298" s="11" t="n">
        <f aca="false">MOD(ROW()-9,24)</f>
        <v>9</v>
      </c>
      <c r="C5298" s="12"/>
      <c r="D5298" s="13" t="n">
        <f aca="false">IF(B5298&lt;5,Einstellungen!$B$3,Einstellungen!$B$4)</f>
        <v>29.13</v>
      </c>
      <c r="E5298" s="14" t="str">
        <f aca="false">IF(C5298="","",C5298*D5298/100)</f>
        <v/>
      </c>
      <c r="F5298" s="15" t="str">
        <f aca="false">IF(B5298&lt;5,"Go","Standard")</f>
        <v>Standard</v>
      </c>
    </row>
    <row r="5299" customFormat="false" ht="15" hidden="false" customHeight="true" outlineLevel="0" collapsed="false">
      <c r="A5299" s="10" t="n">
        <f aca="false">Einstellungen!$B$5+INT((ROW()-9)/24)</f>
        <v>46186</v>
      </c>
      <c r="B5299" s="11" t="n">
        <f aca="false">MOD(ROW()-9,24)</f>
        <v>10</v>
      </c>
      <c r="C5299" s="12"/>
      <c r="D5299" s="13" t="n">
        <f aca="false">IF(B5299&lt;5,Einstellungen!$B$3,Einstellungen!$B$4)</f>
        <v>29.13</v>
      </c>
      <c r="E5299" s="14" t="str">
        <f aca="false">IF(C5299="","",C5299*D5299/100)</f>
        <v/>
      </c>
      <c r="F5299" s="15" t="str">
        <f aca="false">IF(B5299&lt;5,"Go","Standard")</f>
        <v>Standard</v>
      </c>
    </row>
    <row r="5300" customFormat="false" ht="15" hidden="false" customHeight="true" outlineLevel="0" collapsed="false">
      <c r="A5300" s="10" t="n">
        <f aca="false">Einstellungen!$B$5+INT((ROW()-9)/24)</f>
        <v>46186</v>
      </c>
      <c r="B5300" s="11" t="n">
        <f aca="false">MOD(ROW()-9,24)</f>
        <v>11</v>
      </c>
      <c r="C5300" s="12"/>
      <c r="D5300" s="13" t="n">
        <f aca="false">IF(B5300&lt;5,Einstellungen!$B$3,Einstellungen!$B$4)</f>
        <v>29.13</v>
      </c>
      <c r="E5300" s="14" t="str">
        <f aca="false">IF(C5300="","",C5300*D5300/100)</f>
        <v/>
      </c>
      <c r="F5300" s="15" t="str">
        <f aca="false">IF(B5300&lt;5,"Go","Standard")</f>
        <v>Standard</v>
      </c>
    </row>
    <row r="5301" customFormat="false" ht="15" hidden="false" customHeight="true" outlineLevel="0" collapsed="false">
      <c r="A5301" s="10" t="n">
        <f aca="false">Einstellungen!$B$5+INT((ROW()-9)/24)</f>
        <v>46186</v>
      </c>
      <c r="B5301" s="11" t="n">
        <f aca="false">MOD(ROW()-9,24)</f>
        <v>12</v>
      </c>
      <c r="C5301" s="12"/>
      <c r="D5301" s="13" t="n">
        <f aca="false">IF(B5301&lt;5,Einstellungen!$B$3,Einstellungen!$B$4)</f>
        <v>29.13</v>
      </c>
      <c r="E5301" s="14" t="str">
        <f aca="false">IF(C5301="","",C5301*D5301/100)</f>
        <v/>
      </c>
      <c r="F5301" s="15" t="str">
        <f aca="false">IF(B5301&lt;5,"Go","Standard")</f>
        <v>Standard</v>
      </c>
    </row>
    <row r="5302" customFormat="false" ht="15" hidden="false" customHeight="true" outlineLevel="0" collapsed="false">
      <c r="A5302" s="10" t="n">
        <f aca="false">Einstellungen!$B$5+INT((ROW()-9)/24)</f>
        <v>46186</v>
      </c>
      <c r="B5302" s="11" t="n">
        <f aca="false">MOD(ROW()-9,24)</f>
        <v>13</v>
      </c>
      <c r="C5302" s="12"/>
      <c r="D5302" s="13" t="n">
        <f aca="false">IF(B5302&lt;5,Einstellungen!$B$3,Einstellungen!$B$4)</f>
        <v>29.13</v>
      </c>
      <c r="E5302" s="14" t="str">
        <f aca="false">IF(C5302="","",C5302*D5302/100)</f>
        <v/>
      </c>
      <c r="F5302" s="15" t="str">
        <f aca="false">IF(B5302&lt;5,"Go","Standard")</f>
        <v>Standard</v>
      </c>
    </row>
    <row r="5303" customFormat="false" ht="15" hidden="false" customHeight="true" outlineLevel="0" collapsed="false">
      <c r="A5303" s="10" t="n">
        <f aca="false">Einstellungen!$B$5+INT((ROW()-9)/24)</f>
        <v>46186</v>
      </c>
      <c r="B5303" s="11" t="n">
        <f aca="false">MOD(ROW()-9,24)</f>
        <v>14</v>
      </c>
      <c r="C5303" s="12"/>
      <c r="D5303" s="13" t="n">
        <f aca="false">IF(B5303&lt;5,Einstellungen!$B$3,Einstellungen!$B$4)</f>
        <v>29.13</v>
      </c>
      <c r="E5303" s="14" t="str">
        <f aca="false">IF(C5303="","",C5303*D5303/100)</f>
        <v/>
      </c>
      <c r="F5303" s="15" t="str">
        <f aca="false">IF(B5303&lt;5,"Go","Standard")</f>
        <v>Standard</v>
      </c>
    </row>
    <row r="5304" customFormat="false" ht="15" hidden="false" customHeight="true" outlineLevel="0" collapsed="false">
      <c r="A5304" s="10" t="n">
        <f aca="false">Einstellungen!$B$5+INT((ROW()-9)/24)</f>
        <v>46186</v>
      </c>
      <c r="B5304" s="11" t="n">
        <f aca="false">MOD(ROW()-9,24)</f>
        <v>15</v>
      </c>
      <c r="C5304" s="12"/>
      <c r="D5304" s="13" t="n">
        <f aca="false">IF(B5304&lt;5,Einstellungen!$B$3,Einstellungen!$B$4)</f>
        <v>29.13</v>
      </c>
      <c r="E5304" s="14" t="str">
        <f aca="false">IF(C5304="","",C5304*D5304/100)</f>
        <v/>
      </c>
      <c r="F5304" s="15" t="str">
        <f aca="false">IF(B5304&lt;5,"Go","Standard")</f>
        <v>Standard</v>
      </c>
    </row>
    <row r="5305" customFormat="false" ht="15" hidden="false" customHeight="true" outlineLevel="0" collapsed="false">
      <c r="A5305" s="10" t="n">
        <f aca="false">Einstellungen!$B$5+INT((ROW()-9)/24)</f>
        <v>46186</v>
      </c>
      <c r="B5305" s="11" t="n">
        <f aca="false">MOD(ROW()-9,24)</f>
        <v>16</v>
      </c>
      <c r="C5305" s="12"/>
      <c r="D5305" s="13" t="n">
        <f aca="false">IF(B5305&lt;5,Einstellungen!$B$3,Einstellungen!$B$4)</f>
        <v>29.13</v>
      </c>
      <c r="E5305" s="14" t="str">
        <f aca="false">IF(C5305="","",C5305*D5305/100)</f>
        <v/>
      </c>
      <c r="F5305" s="15" t="str">
        <f aca="false">IF(B5305&lt;5,"Go","Standard")</f>
        <v>Standard</v>
      </c>
    </row>
    <row r="5306" customFormat="false" ht="15" hidden="false" customHeight="true" outlineLevel="0" collapsed="false">
      <c r="A5306" s="10" t="n">
        <f aca="false">Einstellungen!$B$5+INT((ROW()-9)/24)</f>
        <v>46186</v>
      </c>
      <c r="B5306" s="11" t="n">
        <f aca="false">MOD(ROW()-9,24)</f>
        <v>17</v>
      </c>
      <c r="C5306" s="12"/>
      <c r="D5306" s="13" t="n">
        <f aca="false">IF(B5306&lt;5,Einstellungen!$B$3,Einstellungen!$B$4)</f>
        <v>29.13</v>
      </c>
      <c r="E5306" s="14" t="str">
        <f aca="false">IF(C5306="","",C5306*D5306/100)</f>
        <v/>
      </c>
      <c r="F5306" s="15" t="str">
        <f aca="false">IF(B5306&lt;5,"Go","Standard")</f>
        <v>Standard</v>
      </c>
    </row>
    <row r="5307" customFormat="false" ht="15" hidden="false" customHeight="true" outlineLevel="0" collapsed="false">
      <c r="A5307" s="10" t="n">
        <f aca="false">Einstellungen!$B$5+INT((ROW()-9)/24)</f>
        <v>46186</v>
      </c>
      <c r="B5307" s="11" t="n">
        <f aca="false">MOD(ROW()-9,24)</f>
        <v>18</v>
      </c>
      <c r="C5307" s="12"/>
      <c r="D5307" s="13" t="n">
        <f aca="false">IF(B5307&lt;5,Einstellungen!$B$3,Einstellungen!$B$4)</f>
        <v>29.13</v>
      </c>
      <c r="E5307" s="14" t="str">
        <f aca="false">IF(C5307="","",C5307*D5307/100)</f>
        <v/>
      </c>
      <c r="F5307" s="15" t="str">
        <f aca="false">IF(B5307&lt;5,"Go","Standard")</f>
        <v>Standard</v>
      </c>
    </row>
    <row r="5308" customFormat="false" ht="15" hidden="false" customHeight="true" outlineLevel="0" collapsed="false">
      <c r="A5308" s="10" t="n">
        <f aca="false">Einstellungen!$B$5+INT((ROW()-9)/24)</f>
        <v>46186</v>
      </c>
      <c r="B5308" s="11" t="n">
        <f aca="false">MOD(ROW()-9,24)</f>
        <v>19</v>
      </c>
      <c r="C5308" s="12"/>
      <c r="D5308" s="13" t="n">
        <f aca="false">IF(B5308&lt;5,Einstellungen!$B$3,Einstellungen!$B$4)</f>
        <v>29.13</v>
      </c>
      <c r="E5308" s="14" t="str">
        <f aca="false">IF(C5308="","",C5308*D5308/100)</f>
        <v/>
      </c>
      <c r="F5308" s="15" t="str">
        <f aca="false">IF(B5308&lt;5,"Go","Standard")</f>
        <v>Standard</v>
      </c>
    </row>
    <row r="5309" customFormat="false" ht="15" hidden="false" customHeight="true" outlineLevel="0" collapsed="false">
      <c r="A5309" s="10" t="n">
        <f aca="false">Einstellungen!$B$5+INT((ROW()-9)/24)</f>
        <v>46186</v>
      </c>
      <c r="B5309" s="11" t="n">
        <f aca="false">MOD(ROW()-9,24)</f>
        <v>20</v>
      </c>
      <c r="C5309" s="12"/>
      <c r="D5309" s="13" t="n">
        <f aca="false">IF(B5309&lt;5,Einstellungen!$B$3,Einstellungen!$B$4)</f>
        <v>29.13</v>
      </c>
      <c r="E5309" s="14" t="str">
        <f aca="false">IF(C5309="","",C5309*D5309/100)</f>
        <v/>
      </c>
      <c r="F5309" s="15" t="str">
        <f aca="false">IF(B5309&lt;5,"Go","Standard")</f>
        <v>Standard</v>
      </c>
    </row>
    <row r="5310" customFormat="false" ht="15" hidden="false" customHeight="true" outlineLevel="0" collapsed="false">
      <c r="A5310" s="10" t="n">
        <f aca="false">Einstellungen!$B$5+INT((ROW()-9)/24)</f>
        <v>46186</v>
      </c>
      <c r="B5310" s="11" t="n">
        <f aca="false">MOD(ROW()-9,24)</f>
        <v>21</v>
      </c>
      <c r="C5310" s="12"/>
      <c r="D5310" s="13" t="n">
        <f aca="false">IF(B5310&lt;5,Einstellungen!$B$3,Einstellungen!$B$4)</f>
        <v>29.13</v>
      </c>
      <c r="E5310" s="14" t="str">
        <f aca="false">IF(C5310="","",C5310*D5310/100)</f>
        <v/>
      </c>
      <c r="F5310" s="15" t="str">
        <f aca="false">IF(B5310&lt;5,"Go","Standard")</f>
        <v>Standard</v>
      </c>
    </row>
    <row r="5311" customFormat="false" ht="15" hidden="false" customHeight="true" outlineLevel="0" collapsed="false">
      <c r="A5311" s="10" t="n">
        <f aca="false">Einstellungen!$B$5+INT((ROW()-9)/24)</f>
        <v>46186</v>
      </c>
      <c r="B5311" s="11" t="n">
        <f aca="false">MOD(ROW()-9,24)</f>
        <v>22</v>
      </c>
      <c r="C5311" s="12"/>
      <c r="D5311" s="13" t="n">
        <f aca="false">IF(B5311&lt;5,Einstellungen!$B$3,Einstellungen!$B$4)</f>
        <v>29.13</v>
      </c>
      <c r="E5311" s="14" t="str">
        <f aca="false">IF(C5311="","",C5311*D5311/100)</f>
        <v/>
      </c>
      <c r="F5311" s="15" t="str">
        <f aca="false">IF(B5311&lt;5,"Go","Standard")</f>
        <v>Standard</v>
      </c>
    </row>
    <row r="5312" customFormat="false" ht="15" hidden="false" customHeight="true" outlineLevel="0" collapsed="false">
      <c r="A5312" s="10" t="n">
        <f aca="false">Einstellungen!$B$5+INT((ROW()-9)/24)</f>
        <v>46186</v>
      </c>
      <c r="B5312" s="11" t="n">
        <f aca="false">MOD(ROW()-9,24)</f>
        <v>23</v>
      </c>
      <c r="C5312" s="12"/>
      <c r="D5312" s="13" t="n">
        <f aca="false">IF(B5312&lt;5,Einstellungen!$B$3,Einstellungen!$B$4)</f>
        <v>29.13</v>
      </c>
      <c r="E5312" s="14" t="str">
        <f aca="false">IF(C5312="","",C5312*D5312/100)</f>
        <v/>
      </c>
      <c r="F5312" s="15" t="str">
        <f aca="false">IF(B5312&lt;5,"Go","Standard")</f>
        <v>Standard</v>
      </c>
    </row>
    <row r="5313" customFormat="false" ht="15" hidden="false" customHeight="true" outlineLevel="0" collapsed="false">
      <c r="A5313" s="10" t="n">
        <f aca="false">Einstellungen!$B$5+INT((ROW()-9)/24)</f>
        <v>46187</v>
      </c>
      <c r="B5313" s="11" t="n">
        <f aca="false">MOD(ROW()-9,24)</f>
        <v>0</v>
      </c>
      <c r="C5313" s="12"/>
      <c r="D5313" s="13" t="n">
        <f aca="false">IF(B5313&lt;5,Einstellungen!$B$3,Einstellungen!$B$4)</f>
        <v>15.92</v>
      </c>
      <c r="E5313" s="14" t="str">
        <f aca="false">IF(C5313="","",C5313*D5313/100)</f>
        <v/>
      </c>
      <c r="F5313" s="15" t="str">
        <f aca="false">IF(B5313&lt;5,"Go","Standard")</f>
        <v>Go</v>
      </c>
    </row>
    <row r="5314" customFormat="false" ht="15" hidden="false" customHeight="true" outlineLevel="0" collapsed="false">
      <c r="A5314" s="10" t="n">
        <f aca="false">Einstellungen!$B$5+INT((ROW()-9)/24)</f>
        <v>46187</v>
      </c>
      <c r="B5314" s="11" t="n">
        <f aca="false">MOD(ROW()-9,24)</f>
        <v>1</v>
      </c>
      <c r="C5314" s="12"/>
      <c r="D5314" s="13" t="n">
        <f aca="false">IF(B5314&lt;5,Einstellungen!$B$3,Einstellungen!$B$4)</f>
        <v>15.92</v>
      </c>
      <c r="E5314" s="14" t="str">
        <f aca="false">IF(C5314="","",C5314*D5314/100)</f>
        <v/>
      </c>
      <c r="F5314" s="15" t="str">
        <f aca="false">IF(B5314&lt;5,"Go","Standard")</f>
        <v>Go</v>
      </c>
    </row>
    <row r="5315" customFormat="false" ht="15" hidden="false" customHeight="true" outlineLevel="0" collapsed="false">
      <c r="A5315" s="10" t="n">
        <f aca="false">Einstellungen!$B$5+INT((ROW()-9)/24)</f>
        <v>46187</v>
      </c>
      <c r="B5315" s="11" t="n">
        <f aca="false">MOD(ROW()-9,24)</f>
        <v>2</v>
      </c>
      <c r="C5315" s="12"/>
      <c r="D5315" s="13" t="n">
        <f aca="false">IF(B5315&lt;5,Einstellungen!$B$3,Einstellungen!$B$4)</f>
        <v>15.92</v>
      </c>
      <c r="E5315" s="14" t="str">
        <f aca="false">IF(C5315="","",C5315*D5315/100)</f>
        <v/>
      </c>
      <c r="F5315" s="15" t="str">
        <f aca="false">IF(B5315&lt;5,"Go","Standard")</f>
        <v>Go</v>
      </c>
    </row>
    <row r="5316" customFormat="false" ht="15" hidden="false" customHeight="true" outlineLevel="0" collapsed="false">
      <c r="A5316" s="10" t="n">
        <f aca="false">Einstellungen!$B$5+INT((ROW()-9)/24)</f>
        <v>46187</v>
      </c>
      <c r="B5316" s="11" t="n">
        <f aca="false">MOD(ROW()-9,24)</f>
        <v>3</v>
      </c>
      <c r="C5316" s="12"/>
      <c r="D5316" s="13" t="n">
        <f aca="false">IF(B5316&lt;5,Einstellungen!$B$3,Einstellungen!$B$4)</f>
        <v>15.92</v>
      </c>
      <c r="E5316" s="14" t="str">
        <f aca="false">IF(C5316="","",C5316*D5316/100)</f>
        <v/>
      </c>
      <c r="F5316" s="15" t="str">
        <f aca="false">IF(B5316&lt;5,"Go","Standard")</f>
        <v>Go</v>
      </c>
    </row>
    <row r="5317" customFormat="false" ht="15" hidden="false" customHeight="true" outlineLevel="0" collapsed="false">
      <c r="A5317" s="10" t="n">
        <f aca="false">Einstellungen!$B$5+INT((ROW()-9)/24)</f>
        <v>46187</v>
      </c>
      <c r="B5317" s="11" t="n">
        <f aca="false">MOD(ROW()-9,24)</f>
        <v>4</v>
      </c>
      <c r="C5317" s="12"/>
      <c r="D5317" s="13" t="n">
        <f aca="false">IF(B5317&lt;5,Einstellungen!$B$3,Einstellungen!$B$4)</f>
        <v>15.92</v>
      </c>
      <c r="E5317" s="14" t="str">
        <f aca="false">IF(C5317="","",C5317*D5317/100)</f>
        <v/>
      </c>
      <c r="F5317" s="15" t="str">
        <f aca="false">IF(B5317&lt;5,"Go","Standard")</f>
        <v>Go</v>
      </c>
    </row>
    <row r="5318" customFormat="false" ht="15" hidden="false" customHeight="true" outlineLevel="0" collapsed="false">
      <c r="A5318" s="10" t="n">
        <f aca="false">Einstellungen!$B$5+INT((ROW()-9)/24)</f>
        <v>46187</v>
      </c>
      <c r="B5318" s="11" t="n">
        <f aca="false">MOD(ROW()-9,24)</f>
        <v>5</v>
      </c>
      <c r="C5318" s="12"/>
      <c r="D5318" s="13" t="n">
        <f aca="false">IF(B5318&lt;5,Einstellungen!$B$3,Einstellungen!$B$4)</f>
        <v>29.13</v>
      </c>
      <c r="E5318" s="14" t="str">
        <f aca="false">IF(C5318="","",C5318*D5318/100)</f>
        <v/>
      </c>
      <c r="F5318" s="15" t="str">
        <f aca="false">IF(B5318&lt;5,"Go","Standard")</f>
        <v>Standard</v>
      </c>
    </row>
    <row r="5319" customFormat="false" ht="15" hidden="false" customHeight="true" outlineLevel="0" collapsed="false">
      <c r="A5319" s="10" t="n">
        <f aca="false">Einstellungen!$B$5+INT((ROW()-9)/24)</f>
        <v>46187</v>
      </c>
      <c r="B5319" s="11" t="n">
        <f aca="false">MOD(ROW()-9,24)</f>
        <v>6</v>
      </c>
      <c r="C5319" s="12"/>
      <c r="D5319" s="13" t="n">
        <f aca="false">IF(B5319&lt;5,Einstellungen!$B$3,Einstellungen!$B$4)</f>
        <v>29.13</v>
      </c>
      <c r="E5319" s="14" t="str">
        <f aca="false">IF(C5319="","",C5319*D5319/100)</f>
        <v/>
      </c>
      <c r="F5319" s="15" t="str">
        <f aca="false">IF(B5319&lt;5,"Go","Standard")</f>
        <v>Standard</v>
      </c>
    </row>
    <row r="5320" customFormat="false" ht="15" hidden="false" customHeight="true" outlineLevel="0" collapsed="false">
      <c r="A5320" s="10" t="n">
        <f aca="false">Einstellungen!$B$5+INT((ROW()-9)/24)</f>
        <v>46187</v>
      </c>
      <c r="B5320" s="11" t="n">
        <f aca="false">MOD(ROW()-9,24)</f>
        <v>7</v>
      </c>
      <c r="C5320" s="12"/>
      <c r="D5320" s="13" t="n">
        <f aca="false">IF(B5320&lt;5,Einstellungen!$B$3,Einstellungen!$B$4)</f>
        <v>29.13</v>
      </c>
      <c r="E5320" s="14" t="str">
        <f aca="false">IF(C5320="","",C5320*D5320/100)</f>
        <v/>
      </c>
      <c r="F5320" s="15" t="str">
        <f aca="false">IF(B5320&lt;5,"Go","Standard")</f>
        <v>Standard</v>
      </c>
    </row>
    <row r="5321" customFormat="false" ht="15" hidden="false" customHeight="true" outlineLevel="0" collapsed="false">
      <c r="A5321" s="10" t="n">
        <f aca="false">Einstellungen!$B$5+INT((ROW()-9)/24)</f>
        <v>46187</v>
      </c>
      <c r="B5321" s="11" t="n">
        <f aca="false">MOD(ROW()-9,24)</f>
        <v>8</v>
      </c>
      <c r="C5321" s="12"/>
      <c r="D5321" s="13" t="n">
        <f aca="false">IF(B5321&lt;5,Einstellungen!$B$3,Einstellungen!$B$4)</f>
        <v>29.13</v>
      </c>
      <c r="E5321" s="14" t="str">
        <f aca="false">IF(C5321="","",C5321*D5321/100)</f>
        <v/>
      </c>
      <c r="F5321" s="15" t="str">
        <f aca="false">IF(B5321&lt;5,"Go","Standard")</f>
        <v>Standard</v>
      </c>
    </row>
    <row r="5322" customFormat="false" ht="15" hidden="false" customHeight="true" outlineLevel="0" collapsed="false">
      <c r="A5322" s="10" t="n">
        <f aca="false">Einstellungen!$B$5+INT((ROW()-9)/24)</f>
        <v>46187</v>
      </c>
      <c r="B5322" s="11" t="n">
        <f aca="false">MOD(ROW()-9,24)</f>
        <v>9</v>
      </c>
      <c r="C5322" s="12"/>
      <c r="D5322" s="13" t="n">
        <f aca="false">IF(B5322&lt;5,Einstellungen!$B$3,Einstellungen!$B$4)</f>
        <v>29.13</v>
      </c>
      <c r="E5322" s="14" t="str">
        <f aca="false">IF(C5322="","",C5322*D5322/100)</f>
        <v/>
      </c>
      <c r="F5322" s="15" t="str">
        <f aca="false">IF(B5322&lt;5,"Go","Standard")</f>
        <v>Standard</v>
      </c>
    </row>
    <row r="5323" customFormat="false" ht="15" hidden="false" customHeight="true" outlineLevel="0" collapsed="false">
      <c r="A5323" s="10" t="n">
        <f aca="false">Einstellungen!$B$5+INT((ROW()-9)/24)</f>
        <v>46187</v>
      </c>
      <c r="B5323" s="11" t="n">
        <f aca="false">MOD(ROW()-9,24)</f>
        <v>10</v>
      </c>
      <c r="C5323" s="12"/>
      <c r="D5323" s="13" t="n">
        <f aca="false">IF(B5323&lt;5,Einstellungen!$B$3,Einstellungen!$B$4)</f>
        <v>29.13</v>
      </c>
      <c r="E5323" s="14" t="str">
        <f aca="false">IF(C5323="","",C5323*D5323/100)</f>
        <v/>
      </c>
      <c r="F5323" s="15" t="str">
        <f aca="false">IF(B5323&lt;5,"Go","Standard")</f>
        <v>Standard</v>
      </c>
    </row>
    <row r="5324" customFormat="false" ht="15" hidden="false" customHeight="true" outlineLevel="0" collapsed="false">
      <c r="A5324" s="10" t="n">
        <f aca="false">Einstellungen!$B$5+INT((ROW()-9)/24)</f>
        <v>46187</v>
      </c>
      <c r="B5324" s="11" t="n">
        <f aca="false">MOD(ROW()-9,24)</f>
        <v>11</v>
      </c>
      <c r="C5324" s="12"/>
      <c r="D5324" s="13" t="n">
        <f aca="false">IF(B5324&lt;5,Einstellungen!$B$3,Einstellungen!$B$4)</f>
        <v>29.13</v>
      </c>
      <c r="E5324" s="14" t="str">
        <f aca="false">IF(C5324="","",C5324*D5324/100)</f>
        <v/>
      </c>
      <c r="F5324" s="15" t="str">
        <f aca="false">IF(B5324&lt;5,"Go","Standard")</f>
        <v>Standard</v>
      </c>
    </row>
    <row r="5325" customFormat="false" ht="15" hidden="false" customHeight="true" outlineLevel="0" collapsed="false">
      <c r="A5325" s="10" t="n">
        <f aca="false">Einstellungen!$B$5+INT((ROW()-9)/24)</f>
        <v>46187</v>
      </c>
      <c r="B5325" s="11" t="n">
        <f aca="false">MOD(ROW()-9,24)</f>
        <v>12</v>
      </c>
      <c r="C5325" s="12"/>
      <c r="D5325" s="13" t="n">
        <f aca="false">IF(B5325&lt;5,Einstellungen!$B$3,Einstellungen!$B$4)</f>
        <v>29.13</v>
      </c>
      <c r="E5325" s="14" t="str">
        <f aca="false">IF(C5325="","",C5325*D5325/100)</f>
        <v/>
      </c>
      <c r="F5325" s="15" t="str">
        <f aca="false">IF(B5325&lt;5,"Go","Standard")</f>
        <v>Standard</v>
      </c>
    </row>
    <row r="5326" customFormat="false" ht="15" hidden="false" customHeight="true" outlineLevel="0" collapsed="false">
      <c r="A5326" s="10" t="n">
        <f aca="false">Einstellungen!$B$5+INT((ROW()-9)/24)</f>
        <v>46187</v>
      </c>
      <c r="B5326" s="11" t="n">
        <f aca="false">MOD(ROW()-9,24)</f>
        <v>13</v>
      </c>
      <c r="C5326" s="12"/>
      <c r="D5326" s="13" t="n">
        <f aca="false">IF(B5326&lt;5,Einstellungen!$B$3,Einstellungen!$B$4)</f>
        <v>29.13</v>
      </c>
      <c r="E5326" s="14" t="str">
        <f aca="false">IF(C5326="","",C5326*D5326/100)</f>
        <v/>
      </c>
      <c r="F5326" s="15" t="str">
        <f aca="false">IF(B5326&lt;5,"Go","Standard")</f>
        <v>Standard</v>
      </c>
    </row>
    <row r="5327" customFormat="false" ht="15" hidden="false" customHeight="true" outlineLevel="0" collapsed="false">
      <c r="A5327" s="10" t="n">
        <f aca="false">Einstellungen!$B$5+INT((ROW()-9)/24)</f>
        <v>46187</v>
      </c>
      <c r="B5327" s="11" t="n">
        <f aca="false">MOD(ROW()-9,24)</f>
        <v>14</v>
      </c>
      <c r="C5327" s="12"/>
      <c r="D5327" s="13" t="n">
        <f aca="false">IF(B5327&lt;5,Einstellungen!$B$3,Einstellungen!$B$4)</f>
        <v>29.13</v>
      </c>
      <c r="E5327" s="14" t="str">
        <f aca="false">IF(C5327="","",C5327*D5327/100)</f>
        <v/>
      </c>
      <c r="F5327" s="15" t="str">
        <f aca="false">IF(B5327&lt;5,"Go","Standard")</f>
        <v>Standard</v>
      </c>
    </row>
    <row r="5328" customFormat="false" ht="15" hidden="false" customHeight="true" outlineLevel="0" collapsed="false">
      <c r="A5328" s="10" t="n">
        <f aca="false">Einstellungen!$B$5+INT((ROW()-9)/24)</f>
        <v>46187</v>
      </c>
      <c r="B5328" s="11" t="n">
        <f aca="false">MOD(ROW()-9,24)</f>
        <v>15</v>
      </c>
      <c r="C5328" s="12"/>
      <c r="D5328" s="13" t="n">
        <f aca="false">IF(B5328&lt;5,Einstellungen!$B$3,Einstellungen!$B$4)</f>
        <v>29.13</v>
      </c>
      <c r="E5328" s="14" t="str">
        <f aca="false">IF(C5328="","",C5328*D5328/100)</f>
        <v/>
      </c>
      <c r="F5328" s="15" t="str">
        <f aca="false">IF(B5328&lt;5,"Go","Standard")</f>
        <v>Standard</v>
      </c>
    </row>
    <row r="5329" customFormat="false" ht="15" hidden="false" customHeight="true" outlineLevel="0" collapsed="false">
      <c r="A5329" s="10" t="n">
        <f aca="false">Einstellungen!$B$5+INT((ROW()-9)/24)</f>
        <v>46187</v>
      </c>
      <c r="B5329" s="11" t="n">
        <f aca="false">MOD(ROW()-9,24)</f>
        <v>16</v>
      </c>
      <c r="C5329" s="12"/>
      <c r="D5329" s="13" t="n">
        <f aca="false">IF(B5329&lt;5,Einstellungen!$B$3,Einstellungen!$B$4)</f>
        <v>29.13</v>
      </c>
      <c r="E5329" s="14" t="str">
        <f aca="false">IF(C5329="","",C5329*D5329/100)</f>
        <v/>
      </c>
      <c r="F5329" s="15" t="str">
        <f aca="false">IF(B5329&lt;5,"Go","Standard")</f>
        <v>Standard</v>
      </c>
    </row>
    <row r="5330" customFormat="false" ht="15" hidden="false" customHeight="true" outlineLevel="0" collapsed="false">
      <c r="A5330" s="10" t="n">
        <f aca="false">Einstellungen!$B$5+INT((ROW()-9)/24)</f>
        <v>46187</v>
      </c>
      <c r="B5330" s="11" t="n">
        <f aca="false">MOD(ROW()-9,24)</f>
        <v>17</v>
      </c>
      <c r="C5330" s="12"/>
      <c r="D5330" s="13" t="n">
        <f aca="false">IF(B5330&lt;5,Einstellungen!$B$3,Einstellungen!$B$4)</f>
        <v>29.13</v>
      </c>
      <c r="E5330" s="14" t="str">
        <f aca="false">IF(C5330="","",C5330*D5330/100)</f>
        <v/>
      </c>
      <c r="F5330" s="15" t="str">
        <f aca="false">IF(B5330&lt;5,"Go","Standard")</f>
        <v>Standard</v>
      </c>
    </row>
    <row r="5331" customFormat="false" ht="15" hidden="false" customHeight="true" outlineLevel="0" collapsed="false">
      <c r="A5331" s="10" t="n">
        <f aca="false">Einstellungen!$B$5+INT((ROW()-9)/24)</f>
        <v>46187</v>
      </c>
      <c r="B5331" s="11" t="n">
        <f aca="false">MOD(ROW()-9,24)</f>
        <v>18</v>
      </c>
      <c r="C5331" s="12"/>
      <c r="D5331" s="13" t="n">
        <f aca="false">IF(B5331&lt;5,Einstellungen!$B$3,Einstellungen!$B$4)</f>
        <v>29.13</v>
      </c>
      <c r="E5331" s="14" t="str">
        <f aca="false">IF(C5331="","",C5331*D5331/100)</f>
        <v/>
      </c>
      <c r="F5331" s="15" t="str">
        <f aca="false">IF(B5331&lt;5,"Go","Standard")</f>
        <v>Standard</v>
      </c>
    </row>
    <row r="5332" customFormat="false" ht="15" hidden="false" customHeight="true" outlineLevel="0" collapsed="false">
      <c r="A5332" s="10" t="n">
        <f aca="false">Einstellungen!$B$5+INT((ROW()-9)/24)</f>
        <v>46187</v>
      </c>
      <c r="B5332" s="11" t="n">
        <f aca="false">MOD(ROW()-9,24)</f>
        <v>19</v>
      </c>
      <c r="C5332" s="12"/>
      <c r="D5332" s="13" t="n">
        <f aca="false">IF(B5332&lt;5,Einstellungen!$B$3,Einstellungen!$B$4)</f>
        <v>29.13</v>
      </c>
      <c r="E5332" s="14" t="str">
        <f aca="false">IF(C5332="","",C5332*D5332/100)</f>
        <v/>
      </c>
      <c r="F5332" s="15" t="str">
        <f aca="false">IF(B5332&lt;5,"Go","Standard")</f>
        <v>Standard</v>
      </c>
    </row>
    <row r="5333" customFormat="false" ht="15" hidden="false" customHeight="true" outlineLevel="0" collapsed="false">
      <c r="A5333" s="10" t="n">
        <f aca="false">Einstellungen!$B$5+INT((ROW()-9)/24)</f>
        <v>46187</v>
      </c>
      <c r="B5333" s="11" t="n">
        <f aca="false">MOD(ROW()-9,24)</f>
        <v>20</v>
      </c>
      <c r="C5333" s="12"/>
      <c r="D5333" s="13" t="n">
        <f aca="false">IF(B5333&lt;5,Einstellungen!$B$3,Einstellungen!$B$4)</f>
        <v>29.13</v>
      </c>
      <c r="E5333" s="14" t="str">
        <f aca="false">IF(C5333="","",C5333*D5333/100)</f>
        <v/>
      </c>
      <c r="F5333" s="15" t="str">
        <f aca="false">IF(B5333&lt;5,"Go","Standard")</f>
        <v>Standard</v>
      </c>
    </row>
    <row r="5334" customFormat="false" ht="15" hidden="false" customHeight="true" outlineLevel="0" collapsed="false">
      <c r="A5334" s="10" t="n">
        <f aca="false">Einstellungen!$B$5+INT((ROW()-9)/24)</f>
        <v>46187</v>
      </c>
      <c r="B5334" s="11" t="n">
        <f aca="false">MOD(ROW()-9,24)</f>
        <v>21</v>
      </c>
      <c r="C5334" s="12"/>
      <c r="D5334" s="13" t="n">
        <f aca="false">IF(B5334&lt;5,Einstellungen!$B$3,Einstellungen!$B$4)</f>
        <v>29.13</v>
      </c>
      <c r="E5334" s="14" t="str">
        <f aca="false">IF(C5334="","",C5334*D5334/100)</f>
        <v/>
      </c>
      <c r="F5334" s="15" t="str">
        <f aca="false">IF(B5334&lt;5,"Go","Standard")</f>
        <v>Standard</v>
      </c>
    </row>
    <row r="5335" customFormat="false" ht="15" hidden="false" customHeight="true" outlineLevel="0" collapsed="false">
      <c r="A5335" s="10" t="n">
        <f aca="false">Einstellungen!$B$5+INT((ROW()-9)/24)</f>
        <v>46187</v>
      </c>
      <c r="B5335" s="11" t="n">
        <f aca="false">MOD(ROW()-9,24)</f>
        <v>22</v>
      </c>
      <c r="C5335" s="12"/>
      <c r="D5335" s="13" t="n">
        <f aca="false">IF(B5335&lt;5,Einstellungen!$B$3,Einstellungen!$B$4)</f>
        <v>29.13</v>
      </c>
      <c r="E5335" s="14" t="str">
        <f aca="false">IF(C5335="","",C5335*D5335/100)</f>
        <v/>
      </c>
      <c r="F5335" s="15" t="str">
        <f aca="false">IF(B5335&lt;5,"Go","Standard")</f>
        <v>Standard</v>
      </c>
    </row>
    <row r="5336" customFormat="false" ht="15" hidden="false" customHeight="true" outlineLevel="0" collapsed="false">
      <c r="A5336" s="10" t="n">
        <f aca="false">Einstellungen!$B$5+INT((ROW()-9)/24)</f>
        <v>46187</v>
      </c>
      <c r="B5336" s="11" t="n">
        <f aca="false">MOD(ROW()-9,24)</f>
        <v>23</v>
      </c>
      <c r="C5336" s="12"/>
      <c r="D5336" s="13" t="n">
        <f aca="false">IF(B5336&lt;5,Einstellungen!$B$3,Einstellungen!$B$4)</f>
        <v>29.13</v>
      </c>
      <c r="E5336" s="14" t="str">
        <f aca="false">IF(C5336="","",C5336*D5336/100)</f>
        <v/>
      </c>
      <c r="F5336" s="15" t="str">
        <f aca="false">IF(B5336&lt;5,"Go","Standard")</f>
        <v>Standard</v>
      </c>
    </row>
    <row r="5337" customFormat="false" ht="15" hidden="false" customHeight="true" outlineLevel="0" collapsed="false">
      <c r="A5337" s="10" t="n">
        <f aca="false">Einstellungen!$B$5+INT((ROW()-9)/24)</f>
        <v>46188</v>
      </c>
      <c r="B5337" s="11" t="n">
        <f aca="false">MOD(ROW()-9,24)</f>
        <v>0</v>
      </c>
      <c r="C5337" s="12"/>
      <c r="D5337" s="13" t="n">
        <f aca="false">IF(B5337&lt;5,Einstellungen!$B$3,Einstellungen!$B$4)</f>
        <v>15.92</v>
      </c>
      <c r="E5337" s="14" t="str">
        <f aca="false">IF(C5337="","",C5337*D5337/100)</f>
        <v/>
      </c>
      <c r="F5337" s="15" t="str">
        <f aca="false">IF(B5337&lt;5,"Go","Standard")</f>
        <v>Go</v>
      </c>
    </row>
    <row r="5338" customFormat="false" ht="15" hidden="false" customHeight="true" outlineLevel="0" collapsed="false">
      <c r="A5338" s="10" t="n">
        <f aca="false">Einstellungen!$B$5+INT((ROW()-9)/24)</f>
        <v>46188</v>
      </c>
      <c r="B5338" s="11" t="n">
        <f aca="false">MOD(ROW()-9,24)</f>
        <v>1</v>
      </c>
      <c r="C5338" s="12"/>
      <c r="D5338" s="13" t="n">
        <f aca="false">IF(B5338&lt;5,Einstellungen!$B$3,Einstellungen!$B$4)</f>
        <v>15.92</v>
      </c>
      <c r="E5338" s="14" t="str">
        <f aca="false">IF(C5338="","",C5338*D5338/100)</f>
        <v/>
      </c>
      <c r="F5338" s="15" t="str">
        <f aca="false">IF(B5338&lt;5,"Go","Standard")</f>
        <v>Go</v>
      </c>
    </row>
    <row r="5339" customFormat="false" ht="15" hidden="false" customHeight="true" outlineLevel="0" collapsed="false">
      <c r="A5339" s="10" t="n">
        <f aca="false">Einstellungen!$B$5+INT((ROW()-9)/24)</f>
        <v>46188</v>
      </c>
      <c r="B5339" s="11" t="n">
        <f aca="false">MOD(ROW()-9,24)</f>
        <v>2</v>
      </c>
      <c r="C5339" s="12"/>
      <c r="D5339" s="13" t="n">
        <f aca="false">IF(B5339&lt;5,Einstellungen!$B$3,Einstellungen!$B$4)</f>
        <v>15.92</v>
      </c>
      <c r="E5339" s="14" t="str">
        <f aca="false">IF(C5339="","",C5339*D5339/100)</f>
        <v/>
      </c>
      <c r="F5339" s="15" t="str">
        <f aca="false">IF(B5339&lt;5,"Go","Standard")</f>
        <v>Go</v>
      </c>
    </row>
    <row r="5340" customFormat="false" ht="15" hidden="false" customHeight="true" outlineLevel="0" collapsed="false">
      <c r="A5340" s="10" t="n">
        <f aca="false">Einstellungen!$B$5+INT((ROW()-9)/24)</f>
        <v>46188</v>
      </c>
      <c r="B5340" s="11" t="n">
        <f aca="false">MOD(ROW()-9,24)</f>
        <v>3</v>
      </c>
      <c r="C5340" s="12"/>
      <c r="D5340" s="13" t="n">
        <f aca="false">IF(B5340&lt;5,Einstellungen!$B$3,Einstellungen!$B$4)</f>
        <v>15.92</v>
      </c>
      <c r="E5340" s="14" t="str">
        <f aca="false">IF(C5340="","",C5340*D5340/100)</f>
        <v/>
      </c>
      <c r="F5340" s="15" t="str">
        <f aca="false">IF(B5340&lt;5,"Go","Standard")</f>
        <v>Go</v>
      </c>
    </row>
    <row r="5341" customFormat="false" ht="15" hidden="false" customHeight="true" outlineLevel="0" collapsed="false">
      <c r="A5341" s="10" t="n">
        <f aca="false">Einstellungen!$B$5+INT((ROW()-9)/24)</f>
        <v>46188</v>
      </c>
      <c r="B5341" s="11" t="n">
        <f aca="false">MOD(ROW()-9,24)</f>
        <v>4</v>
      </c>
      <c r="C5341" s="12"/>
      <c r="D5341" s="13" t="n">
        <f aca="false">IF(B5341&lt;5,Einstellungen!$B$3,Einstellungen!$B$4)</f>
        <v>15.92</v>
      </c>
      <c r="E5341" s="14" t="str">
        <f aca="false">IF(C5341="","",C5341*D5341/100)</f>
        <v/>
      </c>
      <c r="F5341" s="15" t="str">
        <f aca="false">IF(B5341&lt;5,"Go","Standard")</f>
        <v>Go</v>
      </c>
    </row>
    <row r="5342" customFormat="false" ht="15" hidden="false" customHeight="true" outlineLevel="0" collapsed="false">
      <c r="A5342" s="10" t="n">
        <f aca="false">Einstellungen!$B$5+INT((ROW()-9)/24)</f>
        <v>46188</v>
      </c>
      <c r="B5342" s="11" t="n">
        <f aca="false">MOD(ROW()-9,24)</f>
        <v>5</v>
      </c>
      <c r="C5342" s="12"/>
      <c r="D5342" s="13" t="n">
        <f aca="false">IF(B5342&lt;5,Einstellungen!$B$3,Einstellungen!$B$4)</f>
        <v>29.13</v>
      </c>
      <c r="E5342" s="14" t="str">
        <f aca="false">IF(C5342="","",C5342*D5342/100)</f>
        <v/>
      </c>
      <c r="F5342" s="15" t="str">
        <f aca="false">IF(B5342&lt;5,"Go","Standard")</f>
        <v>Standard</v>
      </c>
    </row>
    <row r="5343" customFormat="false" ht="15" hidden="false" customHeight="true" outlineLevel="0" collapsed="false">
      <c r="A5343" s="10" t="n">
        <f aca="false">Einstellungen!$B$5+INT((ROW()-9)/24)</f>
        <v>46188</v>
      </c>
      <c r="B5343" s="11" t="n">
        <f aca="false">MOD(ROW()-9,24)</f>
        <v>6</v>
      </c>
      <c r="C5343" s="12"/>
      <c r="D5343" s="13" t="n">
        <f aca="false">IF(B5343&lt;5,Einstellungen!$B$3,Einstellungen!$B$4)</f>
        <v>29.13</v>
      </c>
      <c r="E5343" s="14" t="str">
        <f aca="false">IF(C5343="","",C5343*D5343/100)</f>
        <v/>
      </c>
      <c r="F5343" s="15" t="str">
        <f aca="false">IF(B5343&lt;5,"Go","Standard")</f>
        <v>Standard</v>
      </c>
    </row>
    <row r="5344" customFormat="false" ht="15" hidden="false" customHeight="true" outlineLevel="0" collapsed="false">
      <c r="A5344" s="10" t="n">
        <f aca="false">Einstellungen!$B$5+INT((ROW()-9)/24)</f>
        <v>46188</v>
      </c>
      <c r="B5344" s="11" t="n">
        <f aca="false">MOD(ROW()-9,24)</f>
        <v>7</v>
      </c>
      <c r="C5344" s="12"/>
      <c r="D5344" s="13" t="n">
        <f aca="false">IF(B5344&lt;5,Einstellungen!$B$3,Einstellungen!$B$4)</f>
        <v>29.13</v>
      </c>
      <c r="E5344" s="14" t="str">
        <f aca="false">IF(C5344="","",C5344*D5344/100)</f>
        <v/>
      </c>
      <c r="F5344" s="15" t="str">
        <f aca="false">IF(B5344&lt;5,"Go","Standard")</f>
        <v>Standard</v>
      </c>
    </row>
    <row r="5345" customFormat="false" ht="15" hidden="false" customHeight="true" outlineLevel="0" collapsed="false">
      <c r="A5345" s="10" t="n">
        <f aca="false">Einstellungen!$B$5+INT((ROW()-9)/24)</f>
        <v>46188</v>
      </c>
      <c r="B5345" s="11" t="n">
        <f aca="false">MOD(ROW()-9,24)</f>
        <v>8</v>
      </c>
      <c r="C5345" s="12"/>
      <c r="D5345" s="13" t="n">
        <f aca="false">IF(B5345&lt;5,Einstellungen!$B$3,Einstellungen!$B$4)</f>
        <v>29.13</v>
      </c>
      <c r="E5345" s="14" t="str">
        <f aca="false">IF(C5345="","",C5345*D5345/100)</f>
        <v/>
      </c>
      <c r="F5345" s="15" t="str">
        <f aca="false">IF(B5345&lt;5,"Go","Standard")</f>
        <v>Standard</v>
      </c>
    </row>
    <row r="5346" customFormat="false" ht="15" hidden="false" customHeight="true" outlineLevel="0" collapsed="false">
      <c r="A5346" s="10" t="n">
        <f aca="false">Einstellungen!$B$5+INT((ROW()-9)/24)</f>
        <v>46188</v>
      </c>
      <c r="B5346" s="11" t="n">
        <f aca="false">MOD(ROW()-9,24)</f>
        <v>9</v>
      </c>
      <c r="C5346" s="12"/>
      <c r="D5346" s="13" t="n">
        <f aca="false">IF(B5346&lt;5,Einstellungen!$B$3,Einstellungen!$B$4)</f>
        <v>29.13</v>
      </c>
      <c r="E5346" s="14" t="str">
        <f aca="false">IF(C5346="","",C5346*D5346/100)</f>
        <v/>
      </c>
      <c r="F5346" s="15" t="str">
        <f aca="false">IF(B5346&lt;5,"Go","Standard")</f>
        <v>Standard</v>
      </c>
    </row>
    <row r="5347" customFormat="false" ht="15" hidden="false" customHeight="true" outlineLevel="0" collapsed="false">
      <c r="A5347" s="10" t="n">
        <f aca="false">Einstellungen!$B$5+INT((ROW()-9)/24)</f>
        <v>46188</v>
      </c>
      <c r="B5347" s="11" t="n">
        <f aca="false">MOD(ROW()-9,24)</f>
        <v>10</v>
      </c>
      <c r="C5347" s="12"/>
      <c r="D5347" s="13" t="n">
        <f aca="false">IF(B5347&lt;5,Einstellungen!$B$3,Einstellungen!$B$4)</f>
        <v>29.13</v>
      </c>
      <c r="E5347" s="14" t="str">
        <f aca="false">IF(C5347="","",C5347*D5347/100)</f>
        <v/>
      </c>
      <c r="F5347" s="15" t="str">
        <f aca="false">IF(B5347&lt;5,"Go","Standard")</f>
        <v>Standard</v>
      </c>
    </row>
    <row r="5348" customFormat="false" ht="15" hidden="false" customHeight="true" outlineLevel="0" collapsed="false">
      <c r="A5348" s="10" t="n">
        <f aca="false">Einstellungen!$B$5+INT((ROW()-9)/24)</f>
        <v>46188</v>
      </c>
      <c r="B5348" s="11" t="n">
        <f aca="false">MOD(ROW()-9,24)</f>
        <v>11</v>
      </c>
      <c r="C5348" s="12"/>
      <c r="D5348" s="13" t="n">
        <f aca="false">IF(B5348&lt;5,Einstellungen!$B$3,Einstellungen!$B$4)</f>
        <v>29.13</v>
      </c>
      <c r="E5348" s="14" t="str">
        <f aca="false">IF(C5348="","",C5348*D5348/100)</f>
        <v/>
      </c>
      <c r="F5348" s="15" t="str">
        <f aca="false">IF(B5348&lt;5,"Go","Standard")</f>
        <v>Standard</v>
      </c>
    </row>
    <row r="5349" customFormat="false" ht="15" hidden="false" customHeight="true" outlineLevel="0" collapsed="false">
      <c r="A5349" s="10" t="n">
        <f aca="false">Einstellungen!$B$5+INT((ROW()-9)/24)</f>
        <v>46188</v>
      </c>
      <c r="B5349" s="11" t="n">
        <f aca="false">MOD(ROW()-9,24)</f>
        <v>12</v>
      </c>
      <c r="C5349" s="12"/>
      <c r="D5349" s="13" t="n">
        <f aca="false">IF(B5349&lt;5,Einstellungen!$B$3,Einstellungen!$B$4)</f>
        <v>29.13</v>
      </c>
      <c r="E5349" s="14" t="str">
        <f aca="false">IF(C5349="","",C5349*D5349/100)</f>
        <v/>
      </c>
      <c r="F5349" s="15" t="str">
        <f aca="false">IF(B5349&lt;5,"Go","Standard")</f>
        <v>Standard</v>
      </c>
    </row>
    <row r="5350" customFormat="false" ht="15" hidden="false" customHeight="true" outlineLevel="0" collapsed="false">
      <c r="A5350" s="10" t="n">
        <f aca="false">Einstellungen!$B$5+INT((ROW()-9)/24)</f>
        <v>46188</v>
      </c>
      <c r="B5350" s="11" t="n">
        <f aca="false">MOD(ROW()-9,24)</f>
        <v>13</v>
      </c>
      <c r="C5350" s="12"/>
      <c r="D5350" s="13" t="n">
        <f aca="false">IF(B5350&lt;5,Einstellungen!$B$3,Einstellungen!$B$4)</f>
        <v>29.13</v>
      </c>
      <c r="E5350" s="14" t="str">
        <f aca="false">IF(C5350="","",C5350*D5350/100)</f>
        <v/>
      </c>
      <c r="F5350" s="15" t="str">
        <f aca="false">IF(B5350&lt;5,"Go","Standard")</f>
        <v>Standard</v>
      </c>
    </row>
    <row r="5351" customFormat="false" ht="15" hidden="false" customHeight="true" outlineLevel="0" collapsed="false">
      <c r="A5351" s="10" t="n">
        <f aca="false">Einstellungen!$B$5+INT((ROW()-9)/24)</f>
        <v>46188</v>
      </c>
      <c r="B5351" s="11" t="n">
        <f aca="false">MOD(ROW()-9,24)</f>
        <v>14</v>
      </c>
      <c r="C5351" s="12"/>
      <c r="D5351" s="13" t="n">
        <f aca="false">IF(B5351&lt;5,Einstellungen!$B$3,Einstellungen!$B$4)</f>
        <v>29.13</v>
      </c>
      <c r="E5351" s="14" t="str">
        <f aca="false">IF(C5351="","",C5351*D5351/100)</f>
        <v/>
      </c>
      <c r="F5351" s="15" t="str">
        <f aca="false">IF(B5351&lt;5,"Go","Standard")</f>
        <v>Standard</v>
      </c>
    </row>
    <row r="5352" customFormat="false" ht="15" hidden="false" customHeight="true" outlineLevel="0" collapsed="false">
      <c r="A5352" s="10" t="n">
        <f aca="false">Einstellungen!$B$5+INT((ROW()-9)/24)</f>
        <v>46188</v>
      </c>
      <c r="B5352" s="11" t="n">
        <f aca="false">MOD(ROW()-9,24)</f>
        <v>15</v>
      </c>
      <c r="C5352" s="12"/>
      <c r="D5352" s="13" t="n">
        <f aca="false">IF(B5352&lt;5,Einstellungen!$B$3,Einstellungen!$B$4)</f>
        <v>29.13</v>
      </c>
      <c r="E5352" s="14" t="str">
        <f aca="false">IF(C5352="","",C5352*D5352/100)</f>
        <v/>
      </c>
      <c r="F5352" s="15" t="str">
        <f aca="false">IF(B5352&lt;5,"Go","Standard")</f>
        <v>Standard</v>
      </c>
    </row>
    <row r="5353" customFormat="false" ht="15" hidden="false" customHeight="true" outlineLevel="0" collapsed="false">
      <c r="A5353" s="10" t="n">
        <f aca="false">Einstellungen!$B$5+INT((ROW()-9)/24)</f>
        <v>46188</v>
      </c>
      <c r="B5353" s="11" t="n">
        <f aca="false">MOD(ROW()-9,24)</f>
        <v>16</v>
      </c>
      <c r="C5353" s="12"/>
      <c r="D5353" s="13" t="n">
        <f aca="false">IF(B5353&lt;5,Einstellungen!$B$3,Einstellungen!$B$4)</f>
        <v>29.13</v>
      </c>
      <c r="E5353" s="14" t="str">
        <f aca="false">IF(C5353="","",C5353*D5353/100)</f>
        <v/>
      </c>
      <c r="F5353" s="15" t="str">
        <f aca="false">IF(B5353&lt;5,"Go","Standard")</f>
        <v>Standard</v>
      </c>
    </row>
    <row r="5354" customFormat="false" ht="15" hidden="false" customHeight="true" outlineLevel="0" collapsed="false">
      <c r="A5354" s="10" t="n">
        <f aca="false">Einstellungen!$B$5+INT((ROW()-9)/24)</f>
        <v>46188</v>
      </c>
      <c r="B5354" s="11" t="n">
        <f aca="false">MOD(ROW()-9,24)</f>
        <v>17</v>
      </c>
      <c r="C5354" s="12"/>
      <c r="D5354" s="13" t="n">
        <f aca="false">IF(B5354&lt;5,Einstellungen!$B$3,Einstellungen!$B$4)</f>
        <v>29.13</v>
      </c>
      <c r="E5354" s="14" t="str">
        <f aca="false">IF(C5354="","",C5354*D5354/100)</f>
        <v/>
      </c>
      <c r="F5354" s="15" t="str">
        <f aca="false">IF(B5354&lt;5,"Go","Standard")</f>
        <v>Standard</v>
      </c>
    </row>
    <row r="5355" customFormat="false" ht="15" hidden="false" customHeight="true" outlineLevel="0" collapsed="false">
      <c r="A5355" s="10" t="n">
        <f aca="false">Einstellungen!$B$5+INT((ROW()-9)/24)</f>
        <v>46188</v>
      </c>
      <c r="B5355" s="11" t="n">
        <f aca="false">MOD(ROW()-9,24)</f>
        <v>18</v>
      </c>
      <c r="C5355" s="12"/>
      <c r="D5355" s="13" t="n">
        <f aca="false">IF(B5355&lt;5,Einstellungen!$B$3,Einstellungen!$B$4)</f>
        <v>29.13</v>
      </c>
      <c r="E5355" s="14" t="str">
        <f aca="false">IF(C5355="","",C5355*D5355/100)</f>
        <v/>
      </c>
      <c r="F5355" s="15" t="str">
        <f aca="false">IF(B5355&lt;5,"Go","Standard")</f>
        <v>Standard</v>
      </c>
    </row>
    <row r="5356" customFormat="false" ht="15" hidden="false" customHeight="true" outlineLevel="0" collapsed="false">
      <c r="A5356" s="10" t="n">
        <f aca="false">Einstellungen!$B$5+INT((ROW()-9)/24)</f>
        <v>46188</v>
      </c>
      <c r="B5356" s="11" t="n">
        <f aca="false">MOD(ROW()-9,24)</f>
        <v>19</v>
      </c>
      <c r="C5356" s="12"/>
      <c r="D5356" s="13" t="n">
        <f aca="false">IF(B5356&lt;5,Einstellungen!$B$3,Einstellungen!$B$4)</f>
        <v>29.13</v>
      </c>
      <c r="E5356" s="14" t="str">
        <f aca="false">IF(C5356="","",C5356*D5356/100)</f>
        <v/>
      </c>
      <c r="F5356" s="15" t="str">
        <f aca="false">IF(B5356&lt;5,"Go","Standard")</f>
        <v>Standard</v>
      </c>
    </row>
    <row r="5357" customFormat="false" ht="15" hidden="false" customHeight="true" outlineLevel="0" collapsed="false">
      <c r="A5357" s="10" t="n">
        <f aca="false">Einstellungen!$B$5+INT((ROW()-9)/24)</f>
        <v>46188</v>
      </c>
      <c r="B5357" s="11" t="n">
        <f aca="false">MOD(ROW()-9,24)</f>
        <v>20</v>
      </c>
      <c r="C5357" s="12"/>
      <c r="D5357" s="13" t="n">
        <f aca="false">IF(B5357&lt;5,Einstellungen!$B$3,Einstellungen!$B$4)</f>
        <v>29.13</v>
      </c>
      <c r="E5357" s="14" t="str">
        <f aca="false">IF(C5357="","",C5357*D5357/100)</f>
        <v/>
      </c>
      <c r="F5357" s="15" t="str">
        <f aca="false">IF(B5357&lt;5,"Go","Standard")</f>
        <v>Standard</v>
      </c>
    </row>
    <row r="5358" customFormat="false" ht="15" hidden="false" customHeight="true" outlineLevel="0" collapsed="false">
      <c r="A5358" s="10" t="n">
        <f aca="false">Einstellungen!$B$5+INT((ROW()-9)/24)</f>
        <v>46188</v>
      </c>
      <c r="B5358" s="11" t="n">
        <f aca="false">MOD(ROW()-9,24)</f>
        <v>21</v>
      </c>
      <c r="C5358" s="12"/>
      <c r="D5358" s="13" t="n">
        <f aca="false">IF(B5358&lt;5,Einstellungen!$B$3,Einstellungen!$B$4)</f>
        <v>29.13</v>
      </c>
      <c r="E5358" s="14" t="str">
        <f aca="false">IF(C5358="","",C5358*D5358/100)</f>
        <v/>
      </c>
      <c r="F5358" s="15" t="str">
        <f aca="false">IF(B5358&lt;5,"Go","Standard")</f>
        <v>Standard</v>
      </c>
    </row>
    <row r="5359" customFormat="false" ht="15" hidden="false" customHeight="true" outlineLevel="0" collapsed="false">
      <c r="A5359" s="10" t="n">
        <f aca="false">Einstellungen!$B$5+INT((ROW()-9)/24)</f>
        <v>46188</v>
      </c>
      <c r="B5359" s="11" t="n">
        <f aca="false">MOD(ROW()-9,24)</f>
        <v>22</v>
      </c>
      <c r="C5359" s="12"/>
      <c r="D5359" s="13" t="n">
        <f aca="false">IF(B5359&lt;5,Einstellungen!$B$3,Einstellungen!$B$4)</f>
        <v>29.13</v>
      </c>
      <c r="E5359" s="14" t="str">
        <f aca="false">IF(C5359="","",C5359*D5359/100)</f>
        <v/>
      </c>
      <c r="F5359" s="15" t="str">
        <f aca="false">IF(B5359&lt;5,"Go","Standard")</f>
        <v>Standard</v>
      </c>
    </row>
    <row r="5360" customFormat="false" ht="15" hidden="false" customHeight="true" outlineLevel="0" collapsed="false">
      <c r="A5360" s="10" t="n">
        <f aca="false">Einstellungen!$B$5+INT((ROW()-9)/24)</f>
        <v>46188</v>
      </c>
      <c r="B5360" s="11" t="n">
        <f aca="false">MOD(ROW()-9,24)</f>
        <v>23</v>
      </c>
      <c r="C5360" s="12"/>
      <c r="D5360" s="13" t="n">
        <f aca="false">IF(B5360&lt;5,Einstellungen!$B$3,Einstellungen!$B$4)</f>
        <v>29.13</v>
      </c>
      <c r="E5360" s="14" t="str">
        <f aca="false">IF(C5360="","",C5360*D5360/100)</f>
        <v/>
      </c>
      <c r="F5360" s="15" t="str">
        <f aca="false">IF(B5360&lt;5,"Go","Standard")</f>
        <v>Standard</v>
      </c>
    </row>
    <row r="5361" customFormat="false" ht="15" hidden="false" customHeight="true" outlineLevel="0" collapsed="false">
      <c r="A5361" s="10" t="n">
        <f aca="false">Einstellungen!$B$5+INT((ROW()-9)/24)</f>
        <v>46189</v>
      </c>
      <c r="B5361" s="11" t="n">
        <f aca="false">MOD(ROW()-9,24)</f>
        <v>0</v>
      </c>
      <c r="C5361" s="12"/>
      <c r="D5361" s="13" t="n">
        <f aca="false">IF(B5361&lt;5,Einstellungen!$B$3,Einstellungen!$B$4)</f>
        <v>15.92</v>
      </c>
      <c r="E5361" s="14" t="str">
        <f aca="false">IF(C5361="","",C5361*D5361/100)</f>
        <v/>
      </c>
      <c r="F5361" s="15" t="str">
        <f aca="false">IF(B5361&lt;5,"Go","Standard")</f>
        <v>Go</v>
      </c>
    </row>
    <row r="5362" customFormat="false" ht="15" hidden="false" customHeight="true" outlineLevel="0" collapsed="false">
      <c r="A5362" s="10" t="n">
        <f aca="false">Einstellungen!$B$5+INT((ROW()-9)/24)</f>
        <v>46189</v>
      </c>
      <c r="B5362" s="11" t="n">
        <f aca="false">MOD(ROW()-9,24)</f>
        <v>1</v>
      </c>
      <c r="C5362" s="12"/>
      <c r="D5362" s="13" t="n">
        <f aca="false">IF(B5362&lt;5,Einstellungen!$B$3,Einstellungen!$B$4)</f>
        <v>15.92</v>
      </c>
      <c r="E5362" s="14" t="str">
        <f aca="false">IF(C5362="","",C5362*D5362/100)</f>
        <v/>
      </c>
      <c r="F5362" s="15" t="str">
        <f aca="false">IF(B5362&lt;5,"Go","Standard")</f>
        <v>Go</v>
      </c>
    </row>
    <row r="5363" customFormat="false" ht="15" hidden="false" customHeight="true" outlineLevel="0" collapsed="false">
      <c r="A5363" s="10" t="n">
        <f aca="false">Einstellungen!$B$5+INT((ROW()-9)/24)</f>
        <v>46189</v>
      </c>
      <c r="B5363" s="11" t="n">
        <f aca="false">MOD(ROW()-9,24)</f>
        <v>2</v>
      </c>
      <c r="C5363" s="12"/>
      <c r="D5363" s="13" t="n">
        <f aca="false">IF(B5363&lt;5,Einstellungen!$B$3,Einstellungen!$B$4)</f>
        <v>15.92</v>
      </c>
      <c r="E5363" s="14" t="str">
        <f aca="false">IF(C5363="","",C5363*D5363/100)</f>
        <v/>
      </c>
      <c r="F5363" s="15" t="str">
        <f aca="false">IF(B5363&lt;5,"Go","Standard")</f>
        <v>Go</v>
      </c>
    </row>
    <row r="5364" customFormat="false" ht="15" hidden="false" customHeight="true" outlineLevel="0" collapsed="false">
      <c r="A5364" s="10" t="n">
        <f aca="false">Einstellungen!$B$5+INT((ROW()-9)/24)</f>
        <v>46189</v>
      </c>
      <c r="B5364" s="11" t="n">
        <f aca="false">MOD(ROW()-9,24)</f>
        <v>3</v>
      </c>
      <c r="C5364" s="12"/>
      <c r="D5364" s="13" t="n">
        <f aca="false">IF(B5364&lt;5,Einstellungen!$B$3,Einstellungen!$B$4)</f>
        <v>15.92</v>
      </c>
      <c r="E5364" s="14" t="str">
        <f aca="false">IF(C5364="","",C5364*D5364/100)</f>
        <v/>
      </c>
      <c r="F5364" s="15" t="str">
        <f aca="false">IF(B5364&lt;5,"Go","Standard")</f>
        <v>Go</v>
      </c>
    </row>
    <row r="5365" customFormat="false" ht="15" hidden="false" customHeight="true" outlineLevel="0" collapsed="false">
      <c r="A5365" s="10" t="n">
        <f aca="false">Einstellungen!$B$5+INT((ROW()-9)/24)</f>
        <v>46189</v>
      </c>
      <c r="B5365" s="11" t="n">
        <f aca="false">MOD(ROW()-9,24)</f>
        <v>4</v>
      </c>
      <c r="C5365" s="12"/>
      <c r="D5365" s="13" t="n">
        <f aca="false">IF(B5365&lt;5,Einstellungen!$B$3,Einstellungen!$B$4)</f>
        <v>15.92</v>
      </c>
      <c r="E5365" s="14" t="str">
        <f aca="false">IF(C5365="","",C5365*D5365/100)</f>
        <v/>
      </c>
      <c r="F5365" s="15" t="str">
        <f aca="false">IF(B5365&lt;5,"Go","Standard")</f>
        <v>Go</v>
      </c>
    </row>
    <row r="5366" customFormat="false" ht="15" hidden="false" customHeight="true" outlineLevel="0" collapsed="false">
      <c r="A5366" s="10" t="n">
        <f aca="false">Einstellungen!$B$5+INT((ROW()-9)/24)</f>
        <v>46189</v>
      </c>
      <c r="B5366" s="11" t="n">
        <f aca="false">MOD(ROW()-9,24)</f>
        <v>5</v>
      </c>
      <c r="C5366" s="12"/>
      <c r="D5366" s="13" t="n">
        <f aca="false">IF(B5366&lt;5,Einstellungen!$B$3,Einstellungen!$B$4)</f>
        <v>29.13</v>
      </c>
      <c r="E5366" s="14" t="str">
        <f aca="false">IF(C5366="","",C5366*D5366/100)</f>
        <v/>
      </c>
      <c r="F5366" s="15" t="str">
        <f aca="false">IF(B5366&lt;5,"Go","Standard")</f>
        <v>Standard</v>
      </c>
    </row>
    <row r="5367" customFormat="false" ht="15" hidden="false" customHeight="true" outlineLevel="0" collapsed="false">
      <c r="A5367" s="10" t="n">
        <f aca="false">Einstellungen!$B$5+INT((ROW()-9)/24)</f>
        <v>46189</v>
      </c>
      <c r="B5367" s="11" t="n">
        <f aca="false">MOD(ROW()-9,24)</f>
        <v>6</v>
      </c>
      <c r="C5367" s="12"/>
      <c r="D5367" s="13" t="n">
        <f aca="false">IF(B5367&lt;5,Einstellungen!$B$3,Einstellungen!$B$4)</f>
        <v>29.13</v>
      </c>
      <c r="E5367" s="14" t="str">
        <f aca="false">IF(C5367="","",C5367*D5367/100)</f>
        <v/>
      </c>
      <c r="F5367" s="15" t="str">
        <f aca="false">IF(B5367&lt;5,"Go","Standard")</f>
        <v>Standard</v>
      </c>
    </row>
    <row r="5368" customFormat="false" ht="15" hidden="false" customHeight="true" outlineLevel="0" collapsed="false">
      <c r="A5368" s="10" t="n">
        <f aca="false">Einstellungen!$B$5+INT((ROW()-9)/24)</f>
        <v>46189</v>
      </c>
      <c r="B5368" s="11" t="n">
        <f aca="false">MOD(ROW()-9,24)</f>
        <v>7</v>
      </c>
      <c r="C5368" s="12"/>
      <c r="D5368" s="13" t="n">
        <f aca="false">IF(B5368&lt;5,Einstellungen!$B$3,Einstellungen!$B$4)</f>
        <v>29.13</v>
      </c>
      <c r="E5368" s="14" t="str">
        <f aca="false">IF(C5368="","",C5368*D5368/100)</f>
        <v/>
      </c>
      <c r="F5368" s="15" t="str">
        <f aca="false">IF(B5368&lt;5,"Go","Standard")</f>
        <v>Standard</v>
      </c>
    </row>
    <row r="5369" customFormat="false" ht="15" hidden="false" customHeight="true" outlineLevel="0" collapsed="false">
      <c r="A5369" s="10" t="n">
        <f aca="false">Einstellungen!$B$5+INT((ROW()-9)/24)</f>
        <v>46189</v>
      </c>
      <c r="B5369" s="11" t="n">
        <f aca="false">MOD(ROW()-9,24)</f>
        <v>8</v>
      </c>
      <c r="C5369" s="12"/>
      <c r="D5369" s="13" t="n">
        <f aca="false">IF(B5369&lt;5,Einstellungen!$B$3,Einstellungen!$B$4)</f>
        <v>29.13</v>
      </c>
      <c r="E5369" s="14" t="str">
        <f aca="false">IF(C5369="","",C5369*D5369/100)</f>
        <v/>
      </c>
      <c r="F5369" s="15" t="str">
        <f aca="false">IF(B5369&lt;5,"Go","Standard")</f>
        <v>Standard</v>
      </c>
    </row>
    <row r="5370" customFormat="false" ht="15" hidden="false" customHeight="true" outlineLevel="0" collapsed="false">
      <c r="A5370" s="10" t="n">
        <f aca="false">Einstellungen!$B$5+INT((ROW()-9)/24)</f>
        <v>46189</v>
      </c>
      <c r="B5370" s="11" t="n">
        <f aca="false">MOD(ROW()-9,24)</f>
        <v>9</v>
      </c>
      <c r="C5370" s="12"/>
      <c r="D5370" s="13" t="n">
        <f aca="false">IF(B5370&lt;5,Einstellungen!$B$3,Einstellungen!$B$4)</f>
        <v>29.13</v>
      </c>
      <c r="E5370" s="14" t="str">
        <f aca="false">IF(C5370="","",C5370*D5370/100)</f>
        <v/>
      </c>
      <c r="F5370" s="15" t="str">
        <f aca="false">IF(B5370&lt;5,"Go","Standard")</f>
        <v>Standard</v>
      </c>
    </row>
    <row r="5371" customFormat="false" ht="15" hidden="false" customHeight="true" outlineLevel="0" collapsed="false">
      <c r="A5371" s="10" t="n">
        <f aca="false">Einstellungen!$B$5+INT((ROW()-9)/24)</f>
        <v>46189</v>
      </c>
      <c r="B5371" s="11" t="n">
        <f aca="false">MOD(ROW()-9,24)</f>
        <v>10</v>
      </c>
      <c r="C5371" s="12"/>
      <c r="D5371" s="13" t="n">
        <f aca="false">IF(B5371&lt;5,Einstellungen!$B$3,Einstellungen!$B$4)</f>
        <v>29.13</v>
      </c>
      <c r="E5371" s="14" t="str">
        <f aca="false">IF(C5371="","",C5371*D5371/100)</f>
        <v/>
      </c>
      <c r="F5371" s="15" t="str">
        <f aca="false">IF(B5371&lt;5,"Go","Standard")</f>
        <v>Standard</v>
      </c>
    </row>
    <row r="5372" customFormat="false" ht="15" hidden="false" customHeight="true" outlineLevel="0" collapsed="false">
      <c r="A5372" s="10" t="n">
        <f aca="false">Einstellungen!$B$5+INT((ROW()-9)/24)</f>
        <v>46189</v>
      </c>
      <c r="B5372" s="11" t="n">
        <f aca="false">MOD(ROW()-9,24)</f>
        <v>11</v>
      </c>
      <c r="C5372" s="12"/>
      <c r="D5372" s="13" t="n">
        <f aca="false">IF(B5372&lt;5,Einstellungen!$B$3,Einstellungen!$B$4)</f>
        <v>29.13</v>
      </c>
      <c r="E5372" s="14" t="str">
        <f aca="false">IF(C5372="","",C5372*D5372/100)</f>
        <v/>
      </c>
      <c r="F5372" s="15" t="str">
        <f aca="false">IF(B5372&lt;5,"Go","Standard")</f>
        <v>Standard</v>
      </c>
    </row>
    <row r="5373" customFormat="false" ht="15" hidden="false" customHeight="true" outlineLevel="0" collapsed="false">
      <c r="A5373" s="10" t="n">
        <f aca="false">Einstellungen!$B$5+INT((ROW()-9)/24)</f>
        <v>46189</v>
      </c>
      <c r="B5373" s="11" t="n">
        <f aca="false">MOD(ROW()-9,24)</f>
        <v>12</v>
      </c>
      <c r="C5373" s="12"/>
      <c r="D5373" s="13" t="n">
        <f aca="false">IF(B5373&lt;5,Einstellungen!$B$3,Einstellungen!$B$4)</f>
        <v>29.13</v>
      </c>
      <c r="E5373" s="14" t="str">
        <f aca="false">IF(C5373="","",C5373*D5373/100)</f>
        <v/>
      </c>
      <c r="F5373" s="15" t="str">
        <f aca="false">IF(B5373&lt;5,"Go","Standard")</f>
        <v>Standard</v>
      </c>
    </row>
    <row r="5374" customFormat="false" ht="15" hidden="false" customHeight="true" outlineLevel="0" collapsed="false">
      <c r="A5374" s="10" t="n">
        <f aca="false">Einstellungen!$B$5+INT((ROW()-9)/24)</f>
        <v>46189</v>
      </c>
      <c r="B5374" s="11" t="n">
        <f aca="false">MOD(ROW()-9,24)</f>
        <v>13</v>
      </c>
      <c r="C5374" s="12"/>
      <c r="D5374" s="13" t="n">
        <f aca="false">IF(B5374&lt;5,Einstellungen!$B$3,Einstellungen!$B$4)</f>
        <v>29.13</v>
      </c>
      <c r="E5374" s="14" t="str">
        <f aca="false">IF(C5374="","",C5374*D5374/100)</f>
        <v/>
      </c>
      <c r="F5374" s="15" t="str">
        <f aca="false">IF(B5374&lt;5,"Go","Standard")</f>
        <v>Standard</v>
      </c>
    </row>
    <row r="5375" customFormat="false" ht="15" hidden="false" customHeight="true" outlineLevel="0" collapsed="false">
      <c r="A5375" s="10" t="n">
        <f aca="false">Einstellungen!$B$5+INT((ROW()-9)/24)</f>
        <v>46189</v>
      </c>
      <c r="B5375" s="11" t="n">
        <f aca="false">MOD(ROW()-9,24)</f>
        <v>14</v>
      </c>
      <c r="C5375" s="12"/>
      <c r="D5375" s="13" t="n">
        <f aca="false">IF(B5375&lt;5,Einstellungen!$B$3,Einstellungen!$B$4)</f>
        <v>29.13</v>
      </c>
      <c r="E5375" s="14" t="str">
        <f aca="false">IF(C5375="","",C5375*D5375/100)</f>
        <v/>
      </c>
      <c r="F5375" s="15" t="str">
        <f aca="false">IF(B5375&lt;5,"Go","Standard")</f>
        <v>Standard</v>
      </c>
    </row>
    <row r="5376" customFormat="false" ht="15" hidden="false" customHeight="true" outlineLevel="0" collapsed="false">
      <c r="A5376" s="10" t="n">
        <f aca="false">Einstellungen!$B$5+INT((ROW()-9)/24)</f>
        <v>46189</v>
      </c>
      <c r="B5376" s="11" t="n">
        <f aca="false">MOD(ROW()-9,24)</f>
        <v>15</v>
      </c>
      <c r="C5376" s="12"/>
      <c r="D5376" s="13" t="n">
        <f aca="false">IF(B5376&lt;5,Einstellungen!$B$3,Einstellungen!$B$4)</f>
        <v>29.13</v>
      </c>
      <c r="E5376" s="14" t="str">
        <f aca="false">IF(C5376="","",C5376*D5376/100)</f>
        <v/>
      </c>
      <c r="F5376" s="15" t="str">
        <f aca="false">IF(B5376&lt;5,"Go","Standard")</f>
        <v>Standard</v>
      </c>
    </row>
    <row r="5377" customFormat="false" ht="15" hidden="false" customHeight="true" outlineLevel="0" collapsed="false">
      <c r="A5377" s="10" t="n">
        <f aca="false">Einstellungen!$B$5+INT((ROW()-9)/24)</f>
        <v>46189</v>
      </c>
      <c r="B5377" s="11" t="n">
        <f aca="false">MOD(ROW()-9,24)</f>
        <v>16</v>
      </c>
      <c r="C5377" s="12"/>
      <c r="D5377" s="13" t="n">
        <f aca="false">IF(B5377&lt;5,Einstellungen!$B$3,Einstellungen!$B$4)</f>
        <v>29.13</v>
      </c>
      <c r="E5377" s="14" t="str">
        <f aca="false">IF(C5377="","",C5377*D5377/100)</f>
        <v/>
      </c>
      <c r="F5377" s="15" t="str">
        <f aca="false">IF(B5377&lt;5,"Go","Standard")</f>
        <v>Standard</v>
      </c>
    </row>
    <row r="5378" customFormat="false" ht="15" hidden="false" customHeight="true" outlineLevel="0" collapsed="false">
      <c r="A5378" s="10" t="n">
        <f aca="false">Einstellungen!$B$5+INT((ROW()-9)/24)</f>
        <v>46189</v>
      </c>
      <c r="B5378" s="11" t="n">
        <f aca="false">MOD(ROW()-9,24)</f>
        <v>17</v>
      </c>
      <c r="C5378" s="12"/>
      <c r="D5378" s="13" t="n">
        <f aca="false">IF(B5378&lt;5,Einstellungen!$B$3,Einstellungen!$B$4)</f>
        <v>29.13</v>
      </c>
      <c r="E5378" s="14" t="str">
        <f aca="false">IF(C5378="","",C5378*D5378/100)</f>
        <v/>
      </c>
      <c r="F5378" s="15" t="str">
        <f aca="false">IF(B5378&lt;5,"Go","Standard")</f>
        <v>Standard</v>
      </c>
    </row>
    <row r="5379" customFormat="false" ht="15" hidden="false" customHeight="true" outlineLevel="0" collapsed="false">
      <c r="A5379" s="10" t="n">
        <f aca="false">Einstellungen!$B$5+INT((ROW()-9)/24)</f>
        <v>46189</v>
      </c>
      <c r="B5379" s="11" t="n">
        <f aca="false">MOD(ROW()-9,24)</f>
        <v>18</v>
      </c>
      <c r="C5379" s="12"/>
      <c r="D5379" s="13" t="n">
        <f aca="false">IF(B5379&lt;5,Einstellungen!$B$3,Einstellungen!$B$4)</f>
        <v>29.13</v>
      </c>
      <c r="E5379" s="14" t="str">
        <f aca="false">IF(C5379="","",C5379*D5379/100)</f>
        <v/>
      </c>
      <c r="F5379" s="15" t="str">
        <f aca="false">IF(B5379&lt;5,"Go","Standard")</f>
        <v>Standard</v>
      </c>
    </row>
    <row r="5380" customFormat="false" ht="15" hidden="false" customHeight="true" outlineLevel="0" collapsed="false">
      <c r="A5380" s="10" t="n">
        <f aca="false">Einstellungen!$B$5+INT((ROW()-9)/24)</f>
        <v>46189</v>
      </c>
      <c r="B5380" s="11" t="n">
        <f aca="false">MOD(ROW()-9,24)</f>
        <v>19</v>
      </c>
      <c r="C5380" s="12"/>
      <c r="D5380" s="13" t="n">
        <f aca="false">IF(B5380&lt;5,Einstellungen!$B$3,Einstellungen!$B$4)</f>
        <v>29.13</v>
      </c>
      <c r="E5380" s="14" t="str">
        <f aca="false">IF(C5380="","",C5380*D5380/100)</f>
        <v/>
      </c>
      <c r="F5380" s="15" t="str">
        <f aca="false">IF(B5380&lt;5,"Go","Standard")</f>
        <v>Standard</v>
      </c>
    </row>
    <row r="5381" customFormat="false" ht="15" hidden="false" customHeight="true" outlineLevel="0" collapsed="false">
      <c r="A5381" s="10" t="n">
        <f aca="false">Einstellungen!$B$5+INT((ROW()-9)/24)</f>
        <v>46189</v>
      </c>
      <c r="B5381" s="11" t="n">
        <f aca="false">MOD(ROW()-9,24)</f>
        <v>20</v>
      </c>
      <c r="C5381" s="12"/>
      <c r="D5381" s="13" t="n">
        <f aca="false">IF(B5381&lt;5,Einstellungen!$B$3,Einstellungen!$B$4)</f>
        <v>29.13</v>
      </c>
      <c r="E5381" s="14" t="str">
        <f aca="false">IF(C5381="","",C5381*D5381/100)</f>
        <v/>
      </c>
      <c r="F5381" s="15" t="str">
        <f aca="false">IF(B5381&lt;5,"Go","Standard")</f>
        <v>Standard</v>
      </c>
    </row>
    <row r="5382" customFormat="false" ht="15" hidden="false" customHeight="true" outlineLevel="0" collapsed="false">
      <c r="A5382" s="10" t="n">
        <f aca="false">Einstellungen!$B$5+INT((ROW()-9)/24)</f>
        <v>46189</v>
      </c>
      <c r="B5382" s="11" t="n">
        <f aca="false">MOD(ROW()-9,24)</f>
        <v>21</v>
      </c>
      <c r="C5382" s="12"/>
      <c r="D5382" s="13" t="n">
        <f aca="false">IF(B5382&lt;5,Einstellungen!$B$3,Einstellungen!$B$4)</f>
        <v>29.13</v>
      </c>
      <c r="E5382" s="14" t="str">
        <f aca="false">IF(C5382="","",C5382*D5382/100)</f>
        <v/>
      </c>
      <c r="F5382" s="15" t="str">
        <f aca="false">IF(B5382&lt;5,"Go","Standard")</f>
        <v>Standard</v>
      </c>
    </row>
    <row r="5383" customFormat="false" ht="15" hidden="false" customHeight="true" outlineLevel="0" collapsed="false">
      <c r="A5383" s="10" t="n">
        <f aca="false">Einstellungen!$B$5+INT((ROW()-9)/24)</f>
        <v>46189</v>
      </c>
      <c r="B5383" s="11" t="n">
        <f aca="false">MOD(ROW()-9,24)</f>
        <v>22</v>
      </c>
      <c r="C5383" s="12"/>
      <c r="D5383" s="13" t="n">
        <f aca="false">IF(B5383&lt;5,Einstellungen!$B$3,Einstellungen!$B$4)</f>
        <v>29.13</v>
      </c>
      <c r="E5383" s="14" t="str">
        <f aca="false">IF(C5383="","",C5383*D5383/100)</f>
        <v/>
      </c>
      <c r="F5383" s="15" t="str">
        <f aca="false">IF(B5383&lt;5,"Go","Standard")</f>
        <v>Standard</v>
      </c>
    </row>
    <row r="5384" customFormat="false" ht="15" hidden="false" customHeight="true" outlineLevel="0" collapsed="false">
      <c r="A5384" s="10" t="n">
        <f aca="false">Einstellungen!$B$5+INT((ROW()-9)/24)</f>
        <v>46189</v>
      </c>
      <c r="B5384" s="11" t="n">
        <f aca="false">MOD(ROW()-9,24)</f>
        <v>23</v>
      </c>
      <c r="C5384" s="12"/>
      <c r="D5384" s="13" t="n">
        <f aca="false">IF(B5384&lt;5,Einstellungen!$B$3,Einstellungen!$B$4)</f>
        <v>29.13</v>
      </c>
      <c r="E5384" s="14" t="str">
        <f aca="false">IF(C5384="","",C5384*D5384/100)</f>
        <v/>
      </c>
      <c r="F5384" s="15" t="str">
        <f aca="false">IF(B5384&lt;5,"Go","Standard")</f>
        <v>Standard</v>
      </c>
    </row>
    <row r="5385" customFormat="false" ht="15" hidden="false" customHeight="true" outlineLevel="0" collapsed="false">
      <c r="A5385" s="10" t="n">
        <f aca="false">Einstellungen!$B$5+INT((ROW()-9)/24)</f>
        <v>46190</v>
      </c>
      <c r="B5385" s="11" t="n">
        <f aca="false">MOD(ROW()-9,24)</f>
        <v>0</v>
      </c>
      <c r="C5385" s="12"/>
      <c r="D5385" s="13" t="n">
        <f aca="false">IF(B5385&lt;5,Einstellungen!$B$3,Einstellungen!$B$4)</f>
        <v>15.92</v>
      </c>
      <c r="E5385" s="14" t="str">
        <f aca="false">IF(C5385="","",C5385*D5385/100)</f>
        <v/>
      </c>
      <c r="F5385" s="15" t="str">
        <f aca="false">IF(B5385&lt;5,"Go","Standard")</f>
        <v>Go</v>
      </c>
    </row>
    <row r="5386" customFormat="false" ht="15" hidden="false" customHeight="true" outlineLevel="0" collapsed="false">
      <c r="A5386" s="10" t="n">
        <f aca="false">Einstellungen!$B$5+INT((ROW()-9)/24)</f>
        <v>46190</v>
      </c>
      <c r="B5386" s="11" t="n">
        <f aca="false">MOD(ROW()-9,24)</f>
        <v>1</v>
      </c>
      <c r="C5386" s="12"/>
      <c r="D5386" s="13" t="n">
        <f aca="false">IF(B5386&lt;5,Einstellungen!$B$3,Einstellungen!$B$4)</f>
        <v>15.92</v>
      </c>
      <c r="E5386" s="14" t="str">
        <f aca="false">IF(C5386="","",C5386*D5386/100)</f>
        <v/>
      </c>
      <c r="F5386" s="15" t="str">
        <f aca="false">IF(B5386&lt;5,"Go","Standard")</f>
        <v>Go</v>
      </c>
    </row>
    <row r="5387" customFormat="false" ht="15" hidden="false" customHeight="true" outlineLevel="0" collapsed="false">
      <c r="A5387" s="10" t="n">
        <f aca="false">Einstellungen!$B$5+INT((ROW()-9)/24)</f>
        <v>46190</v>
      </c>
      <c r="B5387" s="11" t="n">
        <f aca="false">MOD(ROW()-9,24)</f>
        <v>2</v>
      </c>
      <c r="C5387" s="12"/>
      <c r="D5387" s="13" t="n">
        <f aca="false">IF(B5387&lt;5,Einstellungen!$B$3,Einstellungen!$B$4)</f>
        <v>15.92</v>
      </c>
      <c r="E5387" s="14" t="str">
        <f aca="false">IF(C5387="","",C5387*D5387/100)</f>
        <v/>
      </c>
      <c r="F5387" s="15" t="str">
        <f aca="false">IF(B5387&lt;5,"Go","Standard")</f>
        <v>Go</v>
      </c>
    </row>
    <row r="5388" customFormat="false" ht="15" hidden="false" customHeight="true" outlineLevel="0" collapsed="false">
      <c r="A5388" s="10" t="n">
        <f aca="false">Einstellungen!$B$5+INT((ROW()-9)/24)</f>
        <v>46190</v>
      </c>
      <c r="B5388" s="11" t="n">
        <f aca="false">MOD(ROW()-9,24)</f>
        <v>3</v>
      </c>
      <c r="C5388" s="12"/>
      <c r="D5388" s="13" t="n">
        <f aca="false">IF(B5388&lt;5,Einstellungen!$B$3,Einstellungen!$B$4)</f>
        <v>15.92</v>
      </c>
      <c r="E5388" s="14" t="str">
        <f aca="false">IF(C5388="","",C5388*D5388/100)</f>
        <v/>
      </c>
      <c r="F5388" s="15" t="str">
        <f aca="false">IF(B5388&lt;5,"Go","Standard")</f>
        <v>Go</v>
      </c>
    </row>
    <row r="5389" customFormat="false" ht="15" hidden="false" customHeight="true" outlineLevel="0" collapsed="false">
      <c r="A5389" s="10" t="n">
        <f aca="false">Einstellungen!$B$5+INT((ROW()-9)/24)</f>
        <v>46190</v>
      </c>
      <c r="B5389" s="11" t="n">
        <f aca="false">MOD(ROW()-9,24)</f>
        <v>4</v>
      </c>
      <c r="C5389" s="12"/>
      <c r="D5389" s="13" t="n">
        <f aca="false">IF(B5389&lt;5,Einstellungen!$B$3,Einstellungen!$B$4)</f>
        <v>15.92</v>
      </c>
      <c r="E5389" s="14" t="str">
        <f aca="false">IF(C5389="","",C5389*D5389/100)</f>
        <v/>
      </c>
      <c r="F5389" s="15" t="str">
        <f aca="false">IF(B5389&lt;5,"Go","Standard")</f>
        <v>Go</v>
      </c>
    </row>
    <row r="5390" customFormat="false" ht="15" hidden="false" customHeight="true" outlineLevel="0" collapsed="false">
      <c r="A5390" s="10" t="n">
        <f aca="false">Einstellungen!$B$5+INT((ROW()-9)/24)</f>
        <v>46190</v>
      </c>
      <c r="B5390" s="11" t="n">
        <f aca="false">MOD(ROW()-9,24)</f>
        <v>5</v>
      </c>
      <c r="C5390" s="12"/>
      <c r="D5390" s="13" t="n">
        <f aca="false">IF(B5390&lt;5,Einstellungen!$B$3,Einstellungen!$B$4)</f>
        <v>29.13</v>
      </c>
      <c r="E5390" s="14" t="str">
        <f aca="false">IF(C5390="","",C5390*D5390/100)</f>
        <v/>
      </c>
      <c r="F5390" s="15" t="str">
        <f aca="false">IF(B5390&lt;5,"Go","Standard")</f>
        <v>Standard</v>
      </c>
    </row>
    <row r="5391" customFormat="false" ht="15" hidden="false" customHeight="true" outlineLevel="0" collapsed="false">
      <c r="A5391" s="10" t="n">
        <f aca="false">Einstellungen!$B$5+INT((ROW()-9)/24)</f>
        <v>46190</v>
      </c>
      <c r="B5391" s="11" t="n">
        <f aca="false">MOD(ROW()-9,24)</f>
        <v>6</v>
      </c>
      <c r="C5391" s="12"/>
      <c r="D5391" s="13" t="n">
        <f aca="false">IF(B5391&lt;5,Einstellungen!$B$3,Einstellungen!$B$4)</f>
        <v>29.13</v>
      </c>
      <c r="E5391" s="14" t="str">
        <f aca="false">IF(C5391="","",C5391*D5391/100)</f>
        <v/>
      </c>
      <c r="F5391" s="15" t="str">
        <f aca="false">IF(B5391&lt;5,"Go","Standard")</f>
        <v>Standard</v>
      </c>
    </row>
    <row r="5392" customFormat="false" ht="15" hidden="false" customHeight="true" outlineLevel="0" collapsed="false">
      <c r="A5392" s="10" t="n">
        <f aca="false">Einstellungen!$B$5+INT((ROW()-9)/24)</f>
        <v>46190</v>
      </c>
      <c r="B5392" s="11" t="n">
        <f aca="false">MOD(ROW()-9,24)</f>
        <v>7</v>
      </c>
      <c r="C5392" s="12"/>
      <c r="D5392" s="13" t="n">
        <f aca="false">IF(B5392&lt;5,Einstellungen!$B$3,Einstellungen!$B$4)</f>
        <v>29.13</v>
      </c>
      <c r="E5392" s="14" t="str">
        <f aca="false">IF(C5392="","",C5392*D5392/100)</f>
        <v/>
      </c>
      <c r="F5392" s="15" t="str">
        <f aca="false">IF(B5392&lt;5,"Go","Standard")</f>
        <v>Standard</v>
      </c>
    </row>
    <row r="5393" customFormat="false" ht="15" hidden="false" customHeight="true" outlineLevel="0" collapsed="false">
      <c r="A5393" s="10" t="n">
        <f aca="false">Einstellungen!$B$5+INT((ROW()-9)/24)</f>
        <v>46190</v>
      </c>
      <c r="B5393" s="11" t="n">
        <f aca="false">MOD(ROW()-9,24)</f>
        <v>8</v>
      </c>
      <c r="C5393" s="12"/>
      <c r="D5393" s="13" t="n">
        <f aca="false">IF(B5393&lt;5,Einstellungen!$B$3,Einstellungen!$B$4)</f>
        <v>29.13</v>
      </c>
      <c r="E5393" s="14" t="str">
        <f aca="false">IF(C5393="","",C5393*D5393/100)</f>
        <v/>
      </c>
      <c r="F5393" s="15" t="str">
        <f aca="false">IF(B5393&lt;5,"Go","Standard")</f>
        <v>Standard</v>
      </c>
    </row>
    <row r="5394" customFormat="false" ht="15" hidden="false" customHeight="true" outlineLevel="0" collapsed="false">
      <c r="A5394" s="10" t="n">
        <f aca="false">Einstellungen!$B$5+INT((ROW()-9)/24)</f>
        <v>46190</v>
      </c>
      <c r="B5394" s="11" t="n">
        <f aca="false">MOD(ROW()-9,24)</f>
        <v>9</v>
      </c>
      <c r="C5394" s="12"/>
      <c r="D5394" s="13" t="n">
        <f aca="false">IF(B5394&lt;5,Einstellungen!$B$3,Einstellungen!$B$4)</f>
        <v>29.13</v>
      </c>
      <c r="E5394" s="14" t="str">
        <f aca="false">IF(C5394="","",C5394*D5394/100)</f>
        <v/>
      </c>
      <c r="F5394" s="15" t="str">
        <f aca="false">IF(B5394&lt;5,"Go","Standard")</f>
        <v>Standard</v>
      </c>
    </row>
    <row r="5395" customFormat="false" ht="15" hidden="false" customHeight="true" outlineLevel="0" collapsed="false">
      <c r="A5395" s="10" t="n">
        <f aca="false">Einstellungen!$B$5+INT((ROW()-9)/24)</f>
        <v>46190</v>
      </c>
      <c r="B5395" s="11" t="n">
        <f aca="false">MOD(ROW()-9,24)</f>
        <v>10</v>
      </c>
      <c r="C5395" s="12"/>
      <c r="D5395" s="13" t="n">
        <f aca="false">IF(B5395&lt;5,Einstellungen!$B$3,Einstellungen!$B$4)</f>
        <v>29.13</v>
      </c>
      <c r="E5395" s="14" t="str">
        <f aca="false">IF(C5395="","",C5395*D5395/100)</f>
        <v/>
      </c>
      <c r="F5395" s="15" t="str">
        <f aca="false">IF(B5395&lt;5,"Go","Standard")</f>
        <v>Standard</v>
      </c>
    </row>
    <row r="5396" customFormat="false" ht="15" hidden="false" customHeight="true" outlineLevel="0" collapsed="false">
      <c r="A5396" s="10" t="n">
        <f aca="false">Einstellungen!$B$5+INT((ROW()-9)/24)</f>
        <v>46190</v>
      </c>
      <c r="B5396" s="11" t="n">
        <f aca="false">MOD(ROW()-9,24)</f>
        <v>11</v>
      </c>
      <c r="C5396" s="12"/>
      <c r="D5396" s="13" t="n">
        <f aca="false">IF(B5396&lt;5,Einstellungen!$B$3,Einstellungen!$B$4)</f>
        <v>29.13</v>
      </c>
      <c r="E5396" s="14" t="str">
        <f aca="false">IF(C5396="","",C5396*D5396/100)</f>
        <v/>
      </c>
      <c r="F5396" s="15" t="str">
        <f aca="false">IF(B5396&lt;5,"Go","Standard")</f>
        <v>Standard</v>
      </c>
    </row>
    <row r="5397" customFormat="false" ht="15" hidden="false" customHeight="true" outlineLevel="0" collapsed="false">
      <c r="A5397" s="10" t="n">
        <f aca="false">Einstellungen!$B$5+INT((ROW()-9)/24)</f>
        <v>46190</v>
      </c>
      <c r="B5397" s="11" t="n">
        <f aca="false">MOD(ROW()-9,24)</f>
        <v>12</v>
      </c>
      <c r="C5397" s="12"/>
      <c r="D5397" s="13" t="n">
        <f aca="false">IF(B5397&lt;5,Einstellungen!$B$3,Einstellungen!$B$4)</f>
        <v>29.13</v>
      </c>
      <c r="E5397" s="14" t="str">
        <f aca="false">IF(C5397="","",C5397*D5397/100)</f>
        <v/>
      </c>
      <c r="F5397" s="15" t="str">
        <f aca="false">IF(B5397&lt;5,"Go","Standard")</f>
        <v>Standard</v>
      </c>
    </row>
    <row r="5398" customFormat="false" ht="15" hidden="false" customHeight="true" outlineLevel="0" collapsed="false">
      <c r="A5398" s="10" t="n">
        <f aca="false">Einstellungen!$B$5+INT((ROW()-9)/24)</f>
        <v>46190</v>
      </c>
      <c r="B5398" s="11" t="n">
        <f aca="false">MOD(ROW()-9,24)</f>
        <v>13</v>
      </c>
      <c r="C5398" s="12"/>
      <c r="D5398" s="13" t="n">
        <f aca="false">IF(B5398&lt;5,Einstellungen!$B$3,Einstellungen!$B$4)</f>
        <v>29.13</v>
      </c>
      <c r="E5398" s="14" t="str">
        <f aca="false">IF(C5398="","",C5398*D5398/100)</f>
        <v/>
      </c>
      <c r="F5398" s="15" t="str">
        <f aca="false">IF(B5398&lt;5,"Go","Standard")</f>
        <v>Standard</v>
      </c>
    </row>
    <row r="5399" customFormat="false" ht="15" hidden="false" customHeight="true" outlineLevel="0" collapsed="false">
      <c r="A5399" s="10" t="n">
        <f aca="false">Einstellungen!$B$5+INT((ROW()-9)/24)</f>
        <v>46190</v>
      </c>
      <c r="B5399" s="11" t="n">
        <f aca="false">MOD(ROW()-9,24)</f>
        <v>14</v>
      </c>
      <c r="C5399" s="12"/>
      <c r="D5399" s="13" t="n">
        <f aca="false">IF(B5399&lt;5,Einstellungen!$B$3,Einstellungen!$B$4)</f>
        <v>29.13</v>
      </c>
      <c r="E5399" s="14" t="str">
        <f aca="false">IF(C5399="","",C5399*D5399/100)</f>
        <v/>
      </c>
      <c r="F5399" s="15" t="str">
        <f aca="false">IF(B5399&lt;5,"Go","Standard")</f>
        <v>Standard</v>
      </c>
    </row>
    <row r="5400" customFormat="false" ht="15" hidden="false" customHeight="true" outlineLevel="0" collapsed="false">
      <c r="A5400" s="10" t="n">
        <f aca="false">Einstellungen!$B$5+INT((ROW()-9)/24)</f>
        <v>46190</v>
      </c>
      <c r="B5400" s="11" t="n">
        <f aca="false">MOD(ROW()-9,24)</f>
        <v>15</v>
      </c>
      <c r="C5400" s="12"/>
      <c r="D5400" s="13" t="n">
        <f aca="false">IF(B5400&lt;5,Einstellungen!$B$3,Einstellungen!$B$4)</f>
        <v>29.13</v>
      </c>
      <c r="E5400" s="14" t="str">
        <f aca="false">IF(C5400="","",C5400*D5400/100)</f>
        <v/>
      </c>
      <c r="F5400" s="15" t="str">
        <f aca="false">IF(B5400&lt;5,"Go","Standard")</f>
        <v>Standard</v>
      </c>
    </row>
    <row r="5401" customFormat="false" ht="15" hidden="false" customHeight="true" outlineLevel="0" collapsed="false">
      <c r="A5401" s="10" t="n">
        <f aca="false">Einstellungen!$B$5+INT((ROW()-9)/24)</f>
        <v>46190</v>
      </c>
      <c r="B5401" s="11" t="n">
        <f aca="false">MOD(ROW()-9,24)</f>
        <v>16</v>
      </c>
      <c r="C5401" s="12"/>
      <c r="D5401" s="13" t="n">
        <f aca="false">IF(B5401&lt;5,Einstellungen!$B$3,Einstellungen!$B$4)</f>
        <v>29.13</v>
      </c>
      <c r="E5401" s="14" t="str">
        <f aca="false">IF(C5401="","",C5401*D5401/100)</f>
        <v/>
      </c>
      <c r="F5401" s="15" t="str">
        <f aca="false">IF(B5401&lt;5,"Go","Standard")</f>
        <v>Standard</v>
      </c>
    </row>
    <row r="5402" customFormat="false" ht="15" hidden="false" customHeight="true" outlineLevel="0" collapsed="false">
      <c r="A5402" s="10" t="n">
        <f aca="false">Einstellungen!$B$5+INT((ROW()-9)/24)</f>
        <v>46190</v>
      </c>
      <c r="B5402" s="11" t="n">
        <f aca="false">MOD(ROW()-9,24)</f>
        <v>17</v>
      </c>
      <c r="C5402" s="12"/>
      <c r="D5402" s="13" t="n">
        <f aca="false">IF(B5402&lt;5,Einstellungen!$B$3,Einstellungen!$B$4)</f>
        <v>29.13</v>
      </c>
      <c r="E5402" s="14" t="str">
        <f aca="false">IF(C5402="","",C5402*D5402/100)</f>
        <v/>
      </c>
      <c r="F5402" s="15" t="str">
        <f aca="false">IF(B5402&lt;5,"Go","Standard")</f>
        <v>Standard</v>
      </c>
    </row>
    <row r="5403" customFormat="false" ht="15" hidden="false" customHeight="true" outlineLevel="0" collapsed="false">
      <c r="A5403" s="10" t="n">
        <f aca="false">Einstellungen!$B$5+INT((ROW()-9)/24)</f>
        <v>46190</v>
      </c>
      <c r="B5403" s="11" t="n">
        <f aca="false">MOD(ROW()-9,24)</f>
        <v>18</v>
      </c>
      <c r="C5403" s="12"/>
      <c r="D5403" s="13" t="n">
        <f aca="false">IF(B5403&lt;5,Einstellungen!$B$3,Einstellungen!$B$4)</f>
        <v>29.13</v>
      </c>
      <c r="E5403" s="14" t="str">
        <f aca="false">IF(C5403="","",C5403*D5403/100)</f>
        <v/>
      </c>
      <c r="F5403" s="15" t="str">
        <f aca="false">IF(B5403&lt;5,"Go","Standard")</f>
        <v>Standard</v>
      </c>
    </row>
    <row r="5404" customFormat="false" ht="15" hidden="false" customHeight="true" outlineLevel="0" collapsed="false">
      <c r="A5404" s="10" t="n">
        <f aca="false">Einstellungen!$B$5+INT((ROW()-9)/24)</f>
        <v>46190</v>
      </c>
      <c r="B5404" s="11" t="n">
        <f aca="false">MOD(ROW()-9,24)</f>
        <v>19</v>
      </c>
      <c r="C5404" s="12"/>
      <c r="D5404" s="13" t="n">
        <f aca="false">IF(B5404&lt;5,Einstellungen!$B$3,Einstellungen!$B$4)</f>
        <v>29.13</v>
      </c>
      <c r="E5404" s="14" t="str">
        <f aca="false">IF(C5404="","",C5404*D5404/100)</f>
        <v/>
      </c>
      <c r="F5404" s="15" t="str">
        <f aca="false">IF(B5404&lt;5,"Go","Standard")</f>
        <v>Standard</v>
      </c>
    </row>
    <row r="5405" customFormat="false" ht="15" hidden="false" customHeight="true" outlineLevel="0" collapsed="false">
      <c r="A5405" s="10" t="n">
        <f aca="false">Einstellungen!$B$5+INT((ROW()-9)/24)</f>
        <v>46190</v>
      </c>
      <c r="B5405" s="11" t="n">
        <f aca="false">MOD(ROW()-9,24)</f>
        <v>20</v>
      </c>
      <c r="C5405" s="12"/>
      <c r="D5405" s="13" t="n">
        <f aca="false">IF(B5405&lt;5,Einstellungen!$B$3,Einstellungen!$B$4)</f>
        <v>29.13</v>
      </c>
      <c r="E5405" s="14" t="str">
        <f aca="false">IF(C5405="","",C5405*D5405/100)</f>
        <v/>
      </c>
      <c r="F5405" s="15" t="str">
        <f aca="false">IF(B5405&lt;5,"Go","Standard")</f>
        <v>Standard</v>
      </c>
    </row>
    <row r="5406" customFormat="false" ht="15" hidden="false" customHeight="true" outlineLevel="0" collapsed="false">
      <c r="A5406" s="10" t="n">
        <f aca="false">Einstellungen!$B$5+INT((ROW()-9)/24)</f>
        <v>46190</v>
      </c>
      <c r="B5406" s="11" t="n">
        <f aca="false">MOD(ROW()-9,24)</f>
        <v>21</v>
      </c>
      <c r="C5406" s="12"/>
      <c r="D5406" s="13" t="n">
        <f aca="false">IF(B5406&lt;5,Einstellungen!$B$3,Einstellungen!$B$4)</f>
        <v>29.13</v>
      </c>
      <c r="E5406" s="14" t="str">
        <f aca="false">IF(C5406="","",C5406*D5406/100)</f>
        <v/>
      </c>
      <c r="F5406" s="15" t="str">
        <f aca="false">IF(B5406&lt;5,"Go","Standard")</f>
        <v>Standard</v>
      </c>
    </row>
    <row r="5407" customFormat="false" ht="15" hidden="false" customHeight="true" outlineLevel="0" collapsed="false">
      <c r="A5407" s="10" t="n">
        <f aca="false">Einstellungen!$B$5+INT((ROW()-9)/24)</f>
        <v>46190</v>
      </c>
      <c r="B5407" s="11" t="n">
        <f aca="false">MOD(ROW()-9,24)</f>
        <v>22</v>
      </c>
      <c r="C5407" s="12"/>
      <c r="D5407" s="13" t="n">
        <f aca="false">IF(B5407&lt;5,Einstellungen!$B$3,Einstellungen!$B$4)</f>
        <v>29.13</v>
      </c>
      <c r="E5407" s="14" t="str">
        <f aca="false">IF(C5407="","",C5407*D5407/100)</f>
        <v/>
      </c>
      <c r="F5407" s="15" t="str">
        <f aca="false">IF(B5407&lt;5,"Go","Standard")</f>
        <v>Standard</v>
      </c>
    </row>
    <row r="5408" customFormat="false" ht="15" hidden="false" customHeight="true" outlineLevel="0" collapsed="false">
      <c r="A5408" s="10" t="n">
        <f aca="false">Einstellungen!$B$5+INT((ROW()-9)/24)</f>
        <v>46190</v>
      </c>
      <c r="B5408" s="11" t="n">
        <f aca="false">MOD(ROW()-9,24)</f>
        <v>23</v>
      </c>
      <c r="C5408" s="12"/>
      <c r="D5408" s="13" t="n">
        <f aca="false">IF(B5408&lt;5,Einstellungen!$B$3,Einstellungen!$B$4)</f>
        <v>29.13</v>
      </c>
      <c r="E5408" s="14" t="str">
        <f aca="false">IF(C5408="","",C5408*D5408/100)</f>
        <v/>
      </c>
      <c r="F5408" s="15" t="str">
        <f aca="false">IF(B5408&lt;5,"Go","Standard")</f>
        <v>Standard</v>
      </c>
    </row>
    <row r="5409" customFormat="false" ht="15" hidden="false" customHeight="true" outlineLevel="0" collapsed="false">
      <c r="A5409" s="10" t="n">
        <f aca="false">Einstellungen!$B$5+INT((ROW()-9)/24)</f>
        <v>46191</v>
      </c>
      <c r="B5409" s="11" t="n">
        <f aca="false">MOD(ROW()-9,24)</f>
        <v>0</v>
      </c>
      <c r="C5409" s="12"/>
      <c r="D5409" s="13" t="n">
        <f aca="false">IF(B5409&lt;5,Einstellungen!$B$3,Einstellungen!$B$4)</f>
        <v>15.92</v>
      </c>
      <c r="E5409" s="14" t="str">
        <f aca="false">IF(C5409="","",C5409*D5409/100)</f>
        <v/>
      </c>
      <c r="F5409" s="15" t="str">
        <f aca="false">IF(B5409&lt;5,"Go","Standard")</f>
        <v>Go</v>
      </c>
    </row>
    <row r="5410" customFormat="false" ht="15" hidden="false" customHeight="true" outlineLevel="0" collapsed="false">
      <c r="A5410" s="10" t="n">
        <f aca="false">Einstellungen!$B$5+INT((ROW()-9)/24)</f>
        <v>46191</v>
      </c>
      <c r="B5410" s="11" t="n">
        <f aca="false">MOD(ROW()-9,24)</f>
        <v>1</v>
      </c>
      <c r="C5410" s="12"/>
      <c r="D5410" s="13" t="n">
        <f aca="false">IF(B5410&lt;5,Einstellungen!$B$3,Einstellungen!$B$4)</f>
        <v>15.92</v>
      </c>
      <c r="E5410" s="14" t="str">
        <f aca="false">IF(C5410="","",C5410*D5410/100)</f>
        <v/>
      </c>
      <c r="F5410" s="15" t="str">
        <f aca="false">IF(B5410&lt;5,"Go","Standard")</f>
        <v>Go</v>
      </c>
    </row>
    <row r="5411" customFormat="false" ht="15" hidden="false" customHeight="true" outlineLevel="0" collapsed="false">
      <c r="A5411" s="10" t="n">
        <f aca="false">Einstellungen!$B$5+INT((ROW()-9)/24)</f>
        <v>46191</v>
      </c>
      <c r="B5411" s="11" t="n">
        <f aca="false">MOD(ROW()-9,24)</f>
        <v>2</v>
      </c>
      <c r="C5411" s="12"/>
      <c r="D5411" s="13" t="n">
        <f aca="false">IF(B5411&lt;5,Einstellungen!$B$3,Einstellungen!$B$4)</f>
        <v>15.92</v>
      </c>
      <c r="E5411" s="14" t="str">
        <f aca="false">IF(C5411="","",C5411*D5411/100)</f>
        <v/>
      </c>
      <c r="F5411" s="15" t="str">
        <f aca="false">IF(B5411&lt;5,"Go","Standard")</f>
        <v>Go</v>
      </c>
    </row>
    <row r="5412" customFormat="false" ht="15" hidden="false" customHeight="true" outlineLevel="0" collapsed="false">
      <c r="A5412" s="10" t="n">
        <f aca="false">Einstellungen!$B$5+INT((ROW()-9)/24)</f>
        <v>46191</v>
      </c>
      <c r="B5412" s="11" t="n">
        <f aca="false">MOD(ROW()-9,24)</f>
        <v>3</v>
      </c>
      <c r="C5412" s="12"/>
      <c r="D5412" s="13" t="n">
        <f aca="false">IF(B5412&lt;5,Einstellungen!$B$3,Einstellungen!$B$4)</f>
        <v>15.92</v>
      </c>
      <c r="E5412" s="14" t="str">
        <f aca="false">IF(C5412="","",C5412*D5412/100)</f>
        <v/>
      </c>
      <c r="F5412" s="15" t="str">
        <f aca="false">IF(B5412&lt;5,"Go","Standard")</f>
        <v>Go</v>
      </c>
    </row>
    <row r="5413" customFormat="false" ht="15" hidden="false" customHeight="true" outlineLevel="0" collapsed="false">
      <c r="A5413" s="10" t="n">
        <f aca="false">Einstellungen!$B$5+INT((ROW()-9)/24)</f>
        <v>46191</v>
      </c>
      <c r="B5413" s="11" t="n">
        <f aca="false">MOD(ROW()-9,24)</f>
        <v>4</v>
      </c>
      <c r="C5413" s="12"/>
      <c r="D5413" s="13" t="n">
        <f aca="false">IF(B5413&lt;5,Einstellungen!$B$3,Einstellungen!$B$4)</f>
        <v>15.92</v>
      </c>
      <c r="E5413" s="14" t="str">
        <f aca="false">IF(C5413="","",C5413*D5413/100)</f>
        <v/>
      </c>
      <c r="F5413" s="15" t="str">
        <f aca="false">IF(B5413&lt;5,"Go","Standard")</f>
        <v>Go</v>
      </c>
    </row>
    <row r="5414" customFormat="false" ht="15" hidden="false" customHeight="true" outlineLevel="0" collapsed="false">
      <c r="A5414" s="10" t="n">
        <f aca="false">Einstellungen!$B$5+INT((ROW()-9)/24)</f>
        <v>46191</v>
      </c>
      <c r="B5414" s="11" t="n">
        <f aca="false">MOD(ROW()-9,24)</f>
        <v>5</v>
      </c>
      <c r="C5414" s="12"/>
      <c r="D5414" s="13" t="n">
        <f aca="false">IF(B5414&lt;5,Einstellungen!$B$3,Einstellungen!$B$4)</f>
        <v>29.13</v>
      </c>
      <c r="E5414" s="14" t="str">
        <f aca="false">IF(C5414="","",C5414*D5414/100)</f>
        <v/>
      </c>
      <c r="F5414" s="15" t="str">
        <f aca="false">IF(B5414&lt;5,"Go","Standard")</f>
        <v>Standard</v>
      </c>
    </row>
    <row r="5415" customFormat="false" ht="15" hidden="false" customHeight="true" outlineLevel="0" collapsed="false">
      <c r="A5415" s="10" t="n">
        <f aca="false">Einstellungen!$B$5+INT((ROW()-9)/24)</f>
        <v>46191</v>
      </c>
      <c r="B5415" s="11" t="n">
        <f aca="false">MOD(ROW()-9,24)</f>
        <v>6</v>
      </c>
      <c r="C5415" s="12"/>
      <c r="D5415" s="13" t="n">
        <f aca="false">IF(B5415&lt;5,Einstellungen!$B$3,Einstellungen!$B$4)</f>
        <v>29.13</v>
      </c>
      <c r="E5415" s="14" t="str">
        <f aca="false">IF(C5415="","",C5415*D5415/100)</f>
        <v/>
      </c>
      <c r="F5415" s="15" t="str">
        <f aca="false">IF(B5415&lt;5,"Go","Standard")</f>
        <v>Standard</v>
      </c>
    </row>
    <row r="5416" customFormat="false" ht="15" hidden="false" customHeight="true" outlineLevel="0" collapsed="false">
      <c r="A5416" s="10" t="n">
        <f aca="false">Einstellungen!$B$5+INT((ROW()-9)/24)</f>
        <v>46191</v>
      </c>
      <c r="B5416" s="11" t="n">
        <f aca="false">MOD(ROW()-9,24)</f>
        <v>7</v>
      </c>
      <c r="C5416" s="12"/>
      <c r="D5416" s="13" t="n">
        <f aca="false">IF(B5416&lt;5,Einstellungen!$B$3,Einstellungen!$B$4)</f>
        <v>29.13</v>
      </c>
      <c r="E5416" s="14" t="str">
        <f aca="false">IF(C5416="","",C5416*D5416/100)</f>
        <v/>
      </c>
      <c r="F5416" s="15" t="str">
        <f aca="false">IF(B5416&lt;5,"Go","Standard")</f>
        <v>Standard</v>
      </c>
    </row>
    <row r="5417" customFormat="false" ht="15" hidden="false" customHeight="true" outlineLevel="0" collapsed="false">
      <c r="A5417" s="10" t="n">
        <f aca="false">Einstellungen!$B$5+INT((ROW()-9)/24)</f>
        <v>46191</v>
      </c>
      <c r="B5417" s="11" t="n">
        <f aca="false">MOD(ROW()-9,24)</f>
        <v>8</v>
      </c>
      <c r="C5417" s="12"/>
      <c r="D5417" s="13" t="n">
        <f aca="false">IF(B5417&lt;5,Einstellungen!$B$3,Einstellungen!$B$4)</f>
        <v>29.13</v>
      </c>
      <c r="E5417" s="14" t="str">
        <f aca="false">IF(C5417="","",C5417*D5417/100)</f>
        <v/>
      </c>
      <c r="F5417" s="15" t="str">
        <f aca="false">IF(B5417&lt;5,"Go","Standard")</f>
        <v>Standard</v>
      </c>
    </row>
    <row r="5418" customFormat="false" ht="15" hidden="false" customHeight="true" outlineLevel="0" collapsed="false">
      <c r="A5418" s="10" t="n">
        <f aca="false">Einstellungen!$B$5+INT((ROW()-9)/24)</f>
        <v>46191</v>
      </c>
      <c r="B5418" s="11" t="n">
        <f aca="false">MOD(ROW()-9,24)</f>
        <v>9</v>
      </c>
      <c r="C5418" s="12"/>
      <c r="D5418" s="13" t="n">
        <f aca="false">IF(B5418&lt;5,Einstellungen!$B$3,Einstellungen!$B$4)</f>
        <v>29.13</v>
      </c>
      <c r="E5418" s="14" t="str">
        <f aca="false">IF(C5418="","",C5418*D5418/100)</f>
        <v/>
      </c>
      <c r="F5418" s="15" t="str">
        <f aca="false">IF(B5418&lt;5,"Go","Standard")</f>
        <v>Standard</v>
      </c>
    </row>
    <row r="5419" customFormat="false" ht="15" hidden="false" customHeight="true" outlineLevel="0" collapsed="false">
      <c r="A5419" s="10" t="n">
        <f aca="false">Einstellungen!$B$5+INT((ROW()-9)/24)</f>
        <v>46191</v>
      </c>
      <c r="B5419" s="11" t="n">
        <f aca="false">MOD(ROW()-9,24)</f>
        <v>10</v>
      </c>
      <c r="C5419" s="12"/>
      <c r="D5419" s="13" t="n">
        <f aca="false">IF(B5419&lt;5,Einstellungen!$B$3,Einstellungen!$B$4)</f>
        <v>29.13</v>
      </c>
      <c r="E5419" s="14" t="str">
        <f aca="false">IF(C5419="","",C5419*D5419/100)</f>
        <v/>
      </c>
      <c r="F5419" s="15" t="str">
        <f aca="false">IF(B5419&lt;5,"Go","Standard")</f>
        <v>Standard</v>
      </c>
    </row>
    <row r="5420" customFormat="false" ht="15" hidden="false" customHeight="true" outlineLevel="0" collapsed="false">
      <c r="A5420" s="10" t="n">
        <f aca="false">Einstellungen!$B$5+INT((ROW()-9)/24)</f>
        <v>46191</v>
      </c>
      <c r="B5420" s="11" t="n">
        <f aca="false">MOD(ROW()-9,24)</f>
        <v>11</v>
      </c>
      <c r="C5420" s="12"/>
      <c r="D5420" s="13" t="n">
        <f aca="false">IF(B5420&lt;5,Einstellungen!$B$3,Einstellungen!$B$4)</f>
        <v>29.13</v>
      </c>
      <c r="E5420" s="14" t="str">
        <f aca="false">IF(C5420="","",C5420*D5420/100)</f>
        <v/>
      </c>
      <c r="F5420" s="15" t="str">
        <f aca="false">IF(B5420&lt;5,"Go","Standard")</f>
        <v>Standard</v>
      </c>
    </row>
    <row r="5421" customFormat="false" ht="15" hidden="false" customHeight="true" outlineLevel="0" collapsed="false">
      <c r="A5421" s="10" t="n">
        <f aca="false">Einstellungen!$B$5+INT((ROW()-9)/24)</f>
        <v>46191</v>
      </c>
      <c r="B5421" s="11" t="n">
        <f aca="false">MOD(ROW()-9,24)</f>
        <v>12</v>
      </c>
      <c r="C5421" s="12"/>
      <c r="D5421" s="13" t="n">
        <f aca="false">IF(B5421&lt;5,Einstellungen!$B$3,Einstellungen!$B$4)</f>
        <v>29.13</v>
      </c>
      <c r="E5421" s="14" t="str">
        <f aca="false">IF(C5421="","",C5421*D5421/100)</f>
        <v/>
      </c>
      <c r="F5421" s="15" t="str">
        <f aca="false">IF(B5421&lt;5,"Go","Standard")</f>
        <v>Standard</v>
      </c>
    </row>
    <row r="5422" customFormat="false" ht="15" hidden="false" customHeight="true" outlineLevel="0" collapsed="false">
      <c r="A5422" s="10" t="n">
        <f aca="false">Einstellungen!$B$5+INT((ROW()-9)/24)</f>
        <v>46191</v>
      </c>
      <c r="B5422" s="11" t="n">
        <f aca="false">MOD(ROW()-9,24)</f>
        <v>13</v>
      </c>
      <c r="C5422" s="12"/>
      <c r="D5422" s="13" t="n">
        <f aca="false">IF(B5422&lt;5,Einstellungen!$B$3,Einstellungen!$B$4)</f>
        <v>29.13</v>
      </c>
      <c r="E5422" s="14" t="str">
        <f aca="false">IF(C5422="","",C5422*D5422/100)</f>
        <v/>
      </c>
      <c r="F5422" s="15" t="str">
        <f aca="false">IF(B5422&lt;5,"Go","Standard")</f>
        <v>Standard</v>
      </c>
    </row>
    <row r="5423" customFormat="false" ht="15" hidden="false" customHeight="true" outlineLevel="0" collapsed="false">
      <c r="A5423" s="10" t="n">
        <f aca="false">Einstellungen!$B$5+INT((ROW()-9)/24)</f>
        <v>46191</v>
      </c>
      <c r="B5423" s="11" t="n">
        <f aca="false">MOD(ROW()-9,24)</f>
        <v>14</v>
      </c>
      <c r="C5423" s="12"/>
      <c r="D5423" s="13" t="n">
        <f aca="false">IF(B5423&lt;5,Einstellungen!$B$3,Einstellungen!$B$4)</f>
        <v>29.13</v>
      </c>
      <c r="E5423" s="14" t="str">
        <f aca="false">IF(C5423="","",C5423*D5423/100)</f>
        <v/>
      </c>
      <c r="F5423" s="15" t="str">
        <f aca="false">IF(B5423&lt;5,"Go","Standard")</f>
        <v>Standard</v>
      </c>
    </row>
    <row r="5424" customFormat="false" ht="15" hidden="false" customHeight="true" outlineLevel="0" collapsed="false">
      <c r="A5424" s="10" t="n">
        <f aca="false">Einstellungen!$B$5+INT((ROW()-9)/24)</f>
        <v>46191</v>
      </c>
      <c r="B5424" s="11" t="n">
        <f aca="false">MOD(ROW()-9,24)</f>
        <v>15</v>
      </c>
      <c r="C5424" s="12"/>
      <c r="D5424" s="13" t="n">
        <f aca="false">IF(B5424&lt;5,Einstellungen!$B$3,Einstellungen!$B$4)</f>
        <v>29.13</v>
      </c>
      <c r="E5424" s="14" t="str">
        <f aca="false">IF(C5424="","",C5424*D5424/100)</f>
        <v/>
      </c>
      <c r="F5424" s="15" t="str">
        <f aca="false">IF(B5424&lt;5,"Go","Standard")</f>
        <v>Standard</v>
      </c>
    </row>
    <row r="5425" customFormat="false" ht="15" hidden="false" customHeight="true" outlineLevel="0" collapsed="false">
      <c r="A5425" s="10" t="n">
        <f aca="false">Einstellungen!$B$5+INT((ROW()-9)/24)</f>
        <v>46191</v>
      </c>
      <c r="B5425" s="11" t="n">
        <f aca="false">MOD(ROW()-9,24)</f>
        <v>16</v>
      </c>
      <c r="C5425" s="12"/>
      <c r="D5425" s="13" t="n">
        <f aca="false">IF(B5425&lt;5,Einstellungen!$B$3,Einstellungen!$B$4)</f>
        <v>29.13</v>
      </c>
      <c r="E5425" s="14" t="str">
        <f aca="false">IF(C5425="","",C5425*D5425/100)</f>
        <v/>
      </c>
      <c r="F5425" s="15" t="str">
        <f aca="false">IF(B5425&lt;5,"Go","Standard")</f>
        <v>Standard</v>
      </c>
    </row>
    <row r="5426" customFormat="false" ht="15" hidden="false" customHeight="true" outlineLevel="0" collapsed="false">
      <c r="A5426" s="10" t="n">
        <f aca="false">Einstellungen!$B$5+INT((ROW()-9)/24)</f>
        <v>46191</v>
      </c>
      <c r="B5426" s="11" t="n">
        <f aca="false">MOD(ROW()-9,24)</f>
        <v>17</v>
      </c>
      <c r="C5426" s="12"/>
      <c r="D5426" s="13" t="n">
        <f aca="false">IF(B5426&lt;5,Einstellungen!$B$3,Einstellungen!$B$4)</f>
        <v>29.13</v>
      </c>
      <c r="E5426" s="14" t="str">
        <f aca="false">IF(C5426="","",C5426*D5426/100)</f>
        <v/>
      </c>
      <c r="F5426" s="15" t="str">
        <f aca="false">IF(B5426&lt;5,"Go","Standard")</f>
        <v>Standard</v>
      </c>
    </row>
    <row r="5427" customFormat="false" ht="15" hidden="false" customHeight="true" outlineLevel="0" collapsed="false">
      <c r="A5427" s="10" t="n">
        <f aca="false">Einstellungen!$B$5+INT((ROW()-9)/24)</f>
        <v>46191</v>
      </c>
      <c r="B5427" s="11" t="n">
        <f aca="false">MOD(ROW()-9,24)</f>
        <v>18</v>
      </c>
      <c r="C5427" s="12"/>
      <c r="D5427" s="13" t="n">
        <f aca="false">IF(B5427&lt;5,Einstellungen!$B$3,Einstellungen!$B$4)</f>
        <v>29.13</v>
      </c>
      <c r="E5427" s="14" t="str">
        <f aca="false">IF(C5427="","",C5427*D5427/100)</f>
        <v/>
      </c>
      <c r="F5427" s="15" t="str">
        <f aca="false">IF(B5427&lt;5,"Go","Standard")</f>
        <v>Standard</v>
      </c>
    </row>
    <row r="5428" customFormat="false" ht="15" hidden="false" customHeight="true" outlineLevel="0" collapsed="false">
      <c r="A5428" s="10" t="n">
        <f aca="false">Einstellungen!$B$5+INT((ROW()-9)/24)</f>
        <v>46191</v>
      </c>
      <c r="B5428" s="11" t="n">
        <f aca="false">MOD(ROW()-9,24)</f>
        <v>19</v>
      </c>
      <c r="C5428" s="12"/>
      <c r="D5428" s="13" t="n">
        <f aca="false">IF(B5428&lt;5,Einstellungen!$B$3,Einstellungen!$B$4)</f>
        <v>29.13</v>
      </c>
      <c r="E5428" s="14" t="str">
        <f aca="false">IF(C5428="","",C5428*D5428/100)</f>
        <v/>
      </c>
      <c r="F5428" s="15" t="str">
        <f aca="false">IF(B5428&lt;5,"Go","Standard")</f>
        <v>Standard</v>
      </c>
    </row>
    <row r="5429" customFormat="false" ht="15" hidden="false" customHeight="true" outlineLevel="0" collapsed="false">
      <c r="A5429" s="10" t="n">
        <f aca="false">Einstellungen!$B$5+INT((ROW()-9)/24)</f>
        <v>46191</v>
      </c>
      <c r="B5429" s="11" t="n">
        <f aca="false">MOD(ROW()-9,24)</f>
        <v>20</v>
      </c>
      <c r="C5429" s="12"/>
      <c r="D5429" s="13" t="n">
        <f aca="false">IF(B5429&lt;5,Einstellungen!$B$3,Einstellungen!$B$4)</f>
        <v>29.13</v>
      </c>
      <c r="E5429" s="14" t="str">
        <f aca="false">IF(C5429="","",C5429*D5429/100)</f>
        <v/>
      </c>
      <c r="F5429" s="15" t="str">
        <f aca="false">IF(B5429&lt;5,"Go","Standard")</f>
        <v>Standard</v>
      </c>
    </row>
    <row r="5430" customFormat="false" ht="15" hidden="false" customHeight="true" outlineLevel="0" collapsed="false">
      <c r="A5430" s="10" t="n">
        <f aca="false">Einstellungen!$B$5+INT((ROW()-9)/24)</f>
        <v>46191</v>
      </c>
      <c r="B5430" s="11" t="n">
        <f aca="false">MOD(ROW()-9,24)</f>
        <v>21</v>
      </c>
      <c r="C5430" s="12"/>
      <c r="D5430" s="13" t="n">
        <f aca="false">IF(B5430&lt;5,Einstellungen!$B$3,Einstellungen!$B$4)</f>
        <v>29.13</v>
      </c>
      <c r="E5430" s="14" t="str">
        <f aca="false">IF(C5430="","",C5430*D5430/100)</f>
        <v/>
      </c>
      <c r="F5430" s="15" t="str">
        <f aca="false">IF(B5430&lt;5,"Go","Standard")</f>
        <v>Standard</v>
      </c>
    </row>
    <row r="5431" customFormat="false" ht="15" hidden="false" customHeight="true" outlineLevel="0" collapsed="false">
      <c r="A5431" s="10" t="n">
        <f aca="false">Einstellungen!$B$5+INT((ROW()-9)/24)</f>
        <v>46191</v>
      </c>
      <c r="B5431" s="11" t="n">
        <f aca="false">MOD(ROW()-9,24)</f>
        <v>22</v>
      </c>
      <c r="C5431" s="12"/>
      <c r="D5431" s="13" t="n">
        <f aca="false">IF(B5431&lt;5,Einstellungen!$B$3,Einstellungen!$B$4)</f>
        <v>29.13</v>
      </c>
      <c r="E5431" s="14" t="str">
        <f aca="false">IF(C5431="","",C5431*D5431/100)</f>
        <v/>
      </c>
      <c r="F5431" s="15" t="str">
        <f aca="false">IF(B5431&lt;5,"Go","Standard")</f>
        <v>Standard</v>
      </c>
    </row>
    <row r="5432" customFormat="false" ht="15" hidden="false" customHeight="true" outlineLevel="0" collapsed="false">
      <c r="A5432" s="10" t="n">
        <f aca="false">Einstellungen!$B$5+INT((ROW()-9)/24)</f>
        <v>46191</v>
      </c>
      <c r="B5432" s="11" t="n">
        <f aca="false">MOD(ROW()-9,24)</f>
        <v>23</v>
      </c>
      <c r="C5432" s="12"/>
      <c r="D5432" s="13" t="n">
        <f aca="false">IF(B5432&lt;5,Einstellungen!$B$3,Einstellungen!$B$4)</f>
        <v>29.13</v>
      </c>
      <c r="E5432" s="14" t="str">
        <f aca="false">IF(C5432="","",C5432*D5432/100)</f>
        <v/>
      </c>
      <c r="F5432" s="15" t="str">
        <f aca="false">IF(B5432&lt;5,"Go","Standard")</f>
        <v>Standard</v>
      </c>
    </row>
    <row r="5433" customFormat="false" ht="15" hidden="false" customHeight="true" outlineLevel="0" collapsed="false">
      <c r="A5433" s="10" t="n">
        <f aca="false">Einstellungen!$B$5+INT((ROW()-9)/24)</f>
        <v>46192</v>
      </c>
      <c r="B5433" s="11" t="n">
        <f aca="false">MOD(ROW()-9,24)</f>
        <v>0</v>
      </c>
      <c r="C5433" s="12"/>
      <c r="D5433" s="13" t="n">
        <f aca="false">IF(B5433&lt;5,Einstellungen!$B$3,Einstellungen!$B$4)</f>
        <v>15.92</v>
      </c>
      <c r="E5433" s="14" t="str">
        <f aca="false">IF(C5433="","",C5433*D5433/100)</f>
        <v/>
      </c>
      <c r="F5433" s="15" t="str">
        <f aca="false">IF(B5433&lt;5,"Go","Standard")</f>
        <v>Go</v>
      </c>
    </row>
    <row r="5434" customFormat="false" ht="15" hidden="false" customHeight="true" outlineLevel="0" collapsed="false">
      <c r="A5434" s="10" t="n">
        <f aca="false">Einstellungen!$B$5+INT((ROW()-9)/24)</f>
        <v>46192</v>
      </c>
      <c r="B5434" s="11" t="n">
        <f aca="false">MOD(ROW()-9,24)</f>
        <v>1</v>
      </c>
      <c r="C5434" s="12"/>
      <c r="D5434" s="13" t="n">
        <f aca="false">IF(B5434&lt;5,Einstellungen!$B$3,Einstellungen!$B$4)</f>
        <v>15.92</v>
      </c>
      <c r="E5434" s="14" t="str">
        <f aca="false">IF(C5434="","",C5434*D5434/100)</f>
        <v/>
      </c>
      <c r="F5434" s="15" t="str">
        <f aca="false">IF(B5434&lt;5,"Go","Standard")</f>
        <v>Go</v>
      </c>
    </row>
    <row r="5435" customFormat="false" ht="15" hidden="false" customHeight="true" outlineLevel="0" collapsed="false">
      <c r="A5435" s="10" t="n">
        <f aca="false">Einstellungen!$B$5+INT((ROW()-9)/24)</f>
        <v>46192</v>
      </c>
      <c r="B5435" s="11" t="n">
        <f aca="false">MOD(ROW()-9,24)</f>
        <v>2</v>
      </c>
      <c r="C5435" s="12"/>
      <c r="D5435" s="13" t="n">
        <f aca="false">IF(B5435&lt;5,Einstellungen!$B$3,Einstellungen!$B$4)</f>
        <v>15.92</v>
      </c>
      <c r="E5435" s="14" t="str">
        <f aca="false">IF(C5435="","",C5435*D5435/100)</f>
        <v/>
      </c>
      <c r="F5435" s="15" t="str">
        <f aca="false">IF(B5435&lt;5,"Go","Standard")</f>
        <v>Go</v>
      </c>
    </row>
    <row r="5436" customFormat="false" ht="15" hidden="false" customHeight="true" outlineLevel="0" collapsed="false">
      <c r="A5436" s="10" t="n">
        <f aca="false">Einstellungen!$B$5+INT((ROW()-9)/24)</f>
        <v>46192</v>
      </c>
      <c r="B5436" s="11" t="n">
        <f aca="false">MOD(ROW()-9,24)</f>
        <v>3</v>
      </c>
      <c r="C5436" s="12"/>
      <c r="D5436" s="13" t="n">
        <f aca="false">IF(B5436&lt;5,Einstellungen!$B$3,Einstellungen!$B$4)</f>
        <v>15.92</v>
      </c>
      <c r="E5436" s="14" t="str">
        <f aca="false">IF(C5436="","",C5436*D5436/100)</f>
        <v/>
      </c>
      <c r="F5436" s="15" t="str">
        <f aca="false">IF(B5436&lt;5,"Go","Standard")</f>
        <v>Go</v>
      </c>
    </row>
    <row r="5437" customFormat="false" ht="15" hidden="false" customHeight="true" outlineLevel="0" collapsed="false">
      <c r="A5437" s="10" t="n">
        <f aca="false">Einstellungen!$B$5+INT((ROW()-9)/24)</f>
        <v>46192</v>
      </c>
      <c r="B5437" s="11" t="n">
        <f aca="false">MOD(ROW()-9,24)</f>
        <v>4</v>
      </c>
      <c r="C5437" s="12"/>
      <c r="D5437" s="13" t="n">
        <f aca="false">IF(B5437&lt;5,Einstellungen!$B$3,Einstellungen!$B$4)</f>
        <v>15.92</v>
      </c>
      <c r="E5437" s="14" t="str">
        <f aca="false">IF(C5437="","",C5437*D5437/100)</f>
        <v/>
      </c>
      <c r="F5437" s="15" t="str">
        <f aca="false">IF(B5437&lt;5,"Go","Standard")</f>
        <v>Go</v>
      </c>
    </row>
    <row r="5438" customFormat="false" ht="15" hidden="false" customHeight="true" outlineLevel="0" collapsed="false">
      <c r="A5438" s="10" t="n">
        <f aca="false">Einstellungen!$B$5+INT((ROW()-9)/24)</f>
        <v>46192</v>
      </c>
      <c r="B5438" s="11" t="n">
        <f aca="false">MOD(ROW()-9,24)</f>
        <v>5</v>
      </c>
      <c r="C5438" s="12"/>
      <c r="D5438" s="13" t="n">
        <f aca="false">IF(B5438&lt;5,Einstellungen!$B$3,Einstellungen!$B$4)</f>
        <v>29.13</v>
      </c>
      <c r="E5438" s="14" t="str">
        <f aca="false">IF(C5438="","",C5438*D5438/100)</f>
        <v/>
      </c>
      <c r="F5438" s="15" t="str">
        <f aca="false">IF(B5438&lt;5,"Go","Standard")</f>
        <v>Standard</v>
      </c>
    </row>
    <row r="5439" customFormat="false" ht="15" hidden="false" customHeight="true" outlineLevel="0" collapsed="false">
      <c r="A5439" s="10" t="n">
        <f aca="false">Einstellungen!$B$5+INT((ROW()-9)/24)</f>
        <v>46192</v>
      </c>
      <c r="B5439" s="11" t="n">
        <f aca="false">MOD(ROW()-9,24)</f>
        <v>6</v>
      </c>
      <c r="C5439" s="12"/>
      <c r="D5439" s="13" t="n">
        <f aca="false">IF(B5439&lt;5,Einstellungen!$B$3,Einstellungen!$B$4)</f>
        <v>29.13</v>
      </c>
      <c r="E5439" s="14" t="str">
        <f aca="false">IF(C5439="","",C5439*D5439/100)</f>
        <v/>
      </c>
      <c r="F5439" s="15" t="str">
        <f aca="false">IF(B5439&lt;5,"Go","Standard")</f>
        <v>Standard</v>
      </c>
    </row>
    <row r="5440" customFormat="false" ht="15" hidden="false" customHeight="true" outlineLevel="0" collapsed="false">
      <c r="A5440" s="10" t="n">
        <f aca="false">Einstellungen!$B$5+INT((ROW()-9)/24)</f>
        <v>46192</v>
      </c>
      <c r="B5440" s="11" t="n">
        <f aca="false">MOD(ROW()-9,24)</f>
        <v>7</v>
      </c>
      <c r="C5440" s="12"/>
      <c r="D5440" s="13" t="n">
        <f aca="false">IF(B5440&lt;5,Einstellungen!$B$3,Einstellungen!$B$4)</f>
        <v>29.13</v>
      </c>
      <c r="E5440" s="14" t="str">
        <f aca="false">IF(C5440="","",C5440*D5440/100)</f>
        <v/>
      </c>
      <c r="F5440" s="15" t="str">
        <f aca="false">IF(B5440&lt;5,"Go","Standard")</f>
        <v>Standard</v>
      </c>
    </row>
    <row r="5441" customFormat="false" ht="15" hidden="false" customHeight="true" outlineLevel="0" collapsed="false">
      <c r="A5441" s="10" t="n">
        <f aca="false">Einstellungen!$B$5+INT((ROW()-9)/24)</f>
        <v>46192</v>
      </c>
      <c r="B5441" s="11" t="n">
        <f aca="false">MOD(ROW()-9,24)</f>
        <v>8</v>
      </c>
      <c r="C5441" s="12"/>
      <c r="D5441" s="13" t="n">
        <f aca="false">IF(B5441&lt;5,Einstellungen!$B$3,Einstellungen!$B$4)</f>
        <v>29.13</v>
      </c>
      <c r="E5441" s="14" t="str">
        <f aca="false">IF(C5441="","",C5441*D5441/100)</f>
        <v/>
      </c>
      <c r="F5441" s="15" t="str">
        <f aca="false">IF(B5441&lt;5,"Go","Standard")</f>
        <v>Standard</v>
      </c>
    </row>
    <row r="5442" customFormat="false" ht="15" hidden="false" customHeight="true" outlineLevel="0" collapsed="false">
      <c r="A5442" s="10" t="n">
        <f aca="false">Einstellungen!$B$5+INT((ROW()-9)/24)</f>
        <v>46192</v>
      </c>
      <c r="B5442" s="11" t="n">
        <f aca="false">MOD(ROW()-9,24)</f>
        <v>9</v>
      </c>
      <c r="C5442" s="12"/>
      <c r="D5442" s="13" t="n">
        <f aca="false">IF(B5442&lt;5,Einstellungen!$B$3,Einstellungen!$B$4)</f>
        <v>29.13</v>
      </c>
      <c r="E5442" s="14" t="str">
        <f aca="false">IF(C5442="","",C5442*D5442/100)</f>
        <v/>
      </c>
      <c r="F5442" s="15" t="str">
        <f aca="false">IF(B5442&lt;5,"Go","Standard")</f>
        <v>Standard</v>
      </c>
    </row>
    <row r="5443" customFormat="false" ht="15" hidden="false" customHeight="true" outlineLevel="0" collapsed="false">
      <c r="A5443" s="10" t="n">
        <f aca="false">Einstellungen!$B$5+INT((ROW()-9)/24)</f>
        <v>46192</v>
      </c>
      <c r="B5443" s="11" t="n">
        <f aca="false">MOD(ROW()-9,24)</f>
        <v>10</v>
      </c>
      <c r="C5443" s="12"/>
      <c r="D5443" s="13" t="n">
        <f aca="false">IF(B5443&lt;5,Einstellungen!$B$3,Einstellungen!$B$4)</f>
        <v>29.13</v>
      </c>
      <c r="E5443" s="14" t="str">
        <f aca="false">IF(C5443="","",C5443*D5443/100)</f>
        <v/>
      </c>
      <c r="F5443" s="15" t="str">
        <f aca="false">IF(B5443&lt;5,"Go","Standard")</f>
        <v>Standard</v>
      </c>
    </row>
    <row r="5444" customFormat="false" ht="15" hidden="false" customHeight="true" outlineLevel="0" collapsed="false">
      <c r="A5444" s="10" t="n">
        <f aca="false">Einstellungen!$B$5+INT((ROW()-9)/24)</f>
        <v>46192</v>
      </c>
      <c r="B5444" s="11" t="n">
        <f aca="false">MOD(ROW()-9,24)</f>
        <v>11</v>
      </c>
      <c r="C5444" s="12"/>
      <c r="D5444" s="13" t="n">
        <f aca="false">IF(B5444&lt;5,Einstellungen!$B$3,Einstellungen!$B$4)</f>
        <v>29.13</v>
      </c>
      <c r="E5444" s="14" t="str">
        <f aca="false">IF(C5444="","",C5444*D5444/100)</f>
        <v/>
      </c>
      <c r="F5444" s="15" t="str">
        <f aca="false">IF(B5444&lt;5,"Go","Standard")</f>
        <v>Standard</v>
      </c>
    </row>
    <row r="5445" customFormat="false" ht="15" hidden="false" customHeight="true" outlineLevel="0" collapsed="false">
      <c r="A5445" s="10" t="n">
        <f aca="false">Einstellungen!$B$5+INT((ROW()-9)/24)</f>
        <v>46192</v>
      </c>
      <c r="B5445" s="11" t="n">
        <f aca="false">MOD(ROW()-9,24)</f>
        <v>12</v>
      </c>
      <c r="C5445" s="12"/>
      <c r="D5445" s="13" t="n">
        <f aca="false">IF(B5445&lt;5,Einstellungen!$B$3,Einstellungen!$B$4)</f>
        <v>29.13</v>
      </c>
      <c r="E5445" s="14" t="str">
        <f aca="false">IF(C5445="","",C5445*D5445/100)</f>
        <v/>
      </c>
      <c r="F5445" s="15" t="str">
        <f aca="false">IF(B5445&lt;5,"Go","Standard")</f>
        <v>Standard</v>
      </c>
    </row>
    <row r="5446" customFormat="false" ht="15" hidden="false" customHeight="true" outlineLevel="0" collapsed="false">
      <c r="A5446" s="10" t="n">
        <f aca="false">Einstellungen!$B$5+INT((ROW()-9)/24)</f>
        <v>46192</v>
      </c>
      <c r="B5446" s="11" t="n">
        <f aca="false">MOD(ROW()-9,24)</f>
        <v>13</v>
      </c>
      <c r="C5446" s="12"/>
      <c r="D5446" s="13" t="n">
        <f aca="false">IF(B5446&lt;5,Einstellungen!$B$3,Einstellungen!$B$4)</f>
        <v>29.13</v>
      </c>
      <c r="E5446" s="14" t="str">
        <f aca="false">IF(C5446="","",C5446*D5446/100)</f>
        <v/>
      </c>
      <c r="F5446" s="15" t="str">
        <f aca="false">IF(B5446&lt;5,"Go","Standard")</f>
        <v>Standard</v>
      </c>
    </row>
    <row r="5447" customFormat="false" ht="15" hidden="false" customHeight="true" outlineLevel="0" collapsed="false">
      <c r="A5447" s="10" t="n">
        <f aca="false">Einstellungen!$B$5+INT((ROW()-9)/24)</f>
        <v>46192</v>
      </c>
      <c r="B5447" s="11" t="n">
        <f aca="false">MOD(ROW()-9,24)</f>
        <v>14</v>
      </c>
      <c r="C5447" s="12"/>
      <c r="D5447" s="13" t="n">
        <f aca="false">IF(B5447&lt;5,Einstellungen!$B$3,Einstellungen!$B$4)</f>
        <v>29.13</v>
      </c>
      <c r="E5447" s="14" t="str">
        <f aca="false">IF(C5447="","",C5447*D5447/100)</f>
        <v/>
      </c>
      <c r="F5447" s="15" t="str">
        <f aca="false">IF(B5447&lt;5,"Go","Standard")</f>
        <v>Standard</v>
      </c>
    </row>
    <row r="5448" customFormat="false" ht="15" hidden="false" customHeight="true" outlineLevel="0" collapsed="false">
      <c r="A5448" s="10" t="n">
        <f aca="false">Einstellungen!$B$5+INT((ROW()-9)/24)</f>
        <v>46192</v>
      </c>
      <c r="B5448" s="11" t="n">
        <f aca="false">MOD(ROW()-9,24)</f>
        <v>15</v>
      </c>
      <c r="C5448" s="12"/>
      <c r="D5448" s="13" t="n">
        <f aca="false">IF(B5448&lt;5,Einstellungen!$B$3,Einstellungen!$B$4)</f>
        <v>29.13</v>
      </c>
      <c r="E5448" s="14" t="str">
        <f aca="false">IF(C5448="","",C5448*D5448/100)</f>
        <v/>
      </c>
      <c r="F5448" s="15" t="str">
        <f aca="false">IF(B5448&lt;5,"Go","Standard")</f>
        <v>Standard</v>
      </c>
    </row>
    <row r="5449" customFormat="false" ht="15" hidden="false" customHeight="true" outlineLevel="0" collapsed="false">
      <c r="A5449" s="10" t="n">
        <f aca="false">Einstellungen!$B$5+INT((ROW()-9)/24)</f>
        <v>46192</v>
      </c>
      <c r="B5449" s="11" t="n">
        <f aca="false">MOD(ROW()-9,24)</f>
        <v>16</v>
      </c>
      <c r="C5449" s="12"/>
      <c r="D5449" s="13" t="n">
        <f aca="false">IF(B5449&lt;5,Einstellungen!$B$3,Einstellungen!$B$4)</f>
        <v>29.13</v>
      </c>
      <c r="E5449" s="14" t="str">
        <f aca="false">IF(C5449="","",C5449*D5449/100)</f>
        <v/>
      </c>
      <c r="F5449" s="15" t="str">
        <f aca="false">IF(B5449&lt;5,"Go","Standard")</f>
        <v>Standard</v>
      </c>
    </row>
    <row r="5450" customFormat="false" ht="15" hidden="false" customHeight="true" outlineLevel="0" collapsed="false">
      <c r="A5450" s="10" t="n">
        <f aca="false">Einstellungen!$B$5+INT((ROW()-9)/24)</f>
        <v>46192</v>
      </c>
      <c r="B5450" s="11" t="n">
        <f aca="false">MOD(ROW()-9,24)</f>
        <v>17</v>
      </c>
      <c r="C5450" s="12"/>
      <c r="D5450" s="13" t="n">
        <f aca="false">IF(B5450&lt;5,Einstellungen!$B$3,Einstellungen!$B$4)</f>
        <v>29.13</v>
      </c>
      <c r="E5450" s="14" t="str">
        <f aca="false">IF(C5450="","",C5450*D5450/100)</f>
        <v/>
      </c>
      <c r="F5450" s="15" t="str">
        <f aca="false">IF(B5450&lt;5,"Go","Standard")</f>
        <v>Standard</v>
      </c>
    </row>
    <row r="5451" customFormat="false" ht="15" hidden="false" customHeight="true" outlineLevel="0" collapsed="false">
      <c r="A5451" s="10" t="n">
        <f aca="false">Einstellungen!$B$5+INT((ROW()-9)/24)</f>
        <v>46192</v>
      </c>
      <c r="B5451" s="11" t="n">
        <f aca="false">MOD(ROW()-9,24)</f>
        <v>18</v>
      </c>
      <c r="C5451" s="12"/>
      <c r="D5451" s="13" t="n">
        <f aca="false">IF(B5451&lt;5,Einstellungen!$B$3,Einstellungen!$B$4)</f>
        <v>29.13</v>
      </c>
      <c r="E5451" s="14" t="str">
        <f aca="false">IF(C5451="","",C5451*D5451/100)</f>
        <v/>
      </c>
      <c r="F5451" s="15" t="str">
        <f aca="false">IF(B5451&lt;5,"Go","Standard")</f>
        <v>Standard</v>
      </c>
    </row>
    <row r="5452" customFormat="false" ht="15" hidden="false" customHeight="true" outlineLevel="0" collapsed="false">
      <c r="A5452" s="10" t="n">
        <f aca="false">Einstellungen!$B$5+INT((ROW()-9)/24)</f>
        <v>46192</v>
      </c>
      <c r="B5452" s="11" t="n">
        <f aca="false">MOD(ROW()-9,24)</f>
        <v>19</v>
      </c>
      <c r="C5452" s="12"/>
      <c r="D5452" s="13" t="n">
        <f aca="false">IF(B5452&lt;5,Einstellungen!$B$3,Einstellungen!$B$4)</f>
        <v>29.13</v>
      </c>
      <c r="E5452" s="14" t="str">
        <f aca="false">IF(C5452="","",C5452*D5452/100)</f>
        <v/>
      </c>
      <c r="F5452" s="15" t="str">
        <f aca="false">IF(B5452&lt;5,"Go","Standard")</f>
        <v>Standard</v>
      </c>
    </row>
    <row r="5453" customFormat="false" ht="15" hidden="false" customHeight="true" outlineLevel="0" collapsed="false">
      <c r="A5453" s="10" t="n">
        <f aca="false">Einstellungen!$B$5+INT((ROW()-9)/24)</f>
        <v>46192</v>
      </c>
      <c r="B5453" s="11" t="n">
        <f aca="false">MOD(ROW()-9,24)</f>
        <v>20</v>
      </c>
      <c r="C5453" s="12"/>
      <c r="D5453" s="13" t="n">
        <f aca="false">IF(B5453&lt;5,Einstellungen!$B$3,Einstellungen!$B$4)</f>
        <v>29.13</v>
      </c>
      <c r="E5453" s="14" t="str">
        <f aca="false">IF(C5453="","",C5453*D5453/100)</f>
        <v/>
      </c>
      <c r="F5453" s="15" t="str">
        <f aca="false">IF(B5453&lt;5,"Go","Standard")</f>
        <v>Standard</v>
      </c>
    </row>
    <row r="5454" customFormat="false" ht="15" hidden="false" customHeight="true" outlineLevel="0" collapsed="false">
      <c r="A5454" s="10" t="n">
        <f aca="false">Einstellungen!$B$5+INT((ROW()-9)/24)</f>
        <v>46192</v>
      </c>
      <c r="B5454" s="11" t="n">
        <f aca="false">MOD(ROW()-9,24)</f>
        <v>21</v>
      </c>
      <c r="C5454" s="12"/>
      <c r="D5454" s="13" t="n">
        <f aca="false">IF(B5454&lt;5,Einstellungen!$B$3,Einstellungen!$B$4)</f>
        <v>29.13</v>
      </c>
      <c r="E5454" s="14" t="str">
        <f aca="false">IF(C5454="","",C5454*D5454/100)</f>
        <v/>
      </c>
      <c r="F5454" s="15" t="str">
        <f aca="false">IF(B5454&lt;5,"Go","Standard")</f>
        <v>Standard</v>
      </c>
    </row>
    <row r="5455" customFormat="false" ht="15" hidden="false" customHeight="true" outlineLevel="0" collapsed="false">
      <c r="A5455" s="10" t="n">
        <f aca="false">Einstellungen!$B$5+INT((ROW()-9)/24)</f>
        <v>46192</v>
      </c>
      <c r="B5455" s="11" t="n">
        <f aca="false">MOD(ROW()-9,24)</f>
        <v>22</v>
      </c>
      <c r="C5455" s="12"/>
      <c r="D5455" s="13" t="n">
        <f aca="false">IF(B5455&lt;5,Einstellungen!$B$3,Einstellungen!$B$4)</f>
        <v>29.13</v>
      </c>
      <c r="E5455" s="14" t="str">
        <f aca="false">IF(C5455="","",C5455*D5455/100)</f>
        <v/>
      </c>
      <c r="F5455" s="15" t="str">
        <f aca="false">IF(B5455&lt;5,"Go","Standard")</f>
        <v>Standard</v>
      </c>
    </row>
    <row r="5456" customFormat="false" ht="15" hidden="false" customHeight="true" outlineLevel="0" collapsed="false">
      <c r="A5456" s="10" t="n">
        <f aca="false">Einstellungen!$B$5+INT((ROW()-9)/24)</f>
        <v>46192</v>
      </c>
      <c r="B5456" s="11" t="n">
        <f aca="false">MOD(ROW()-9,24)</f>
        <v>23</v>
      </c>
      <c r="C5456" s="12"/>
      <c r="D5456" s="13" t="n">
        <f aca="false">IF(B5456&lt;5,Einstellungen!$B$3,Einstellungen!$B$4)</f>
        <v>29.13</v>
      </c>
      <c r="E5456" s="14" t="str">
        <f aca="false">IF(C5456="","",C5456*D5456/100)</f>
        <v/>
      </c>
      <c r="F5456" s="15" t="str">
        <f aca="false">IF(B5456&lt;5,"Go","Standard")</f>
        <v>Standard</v>
      </c>
    </row>
    <row r="5457" customFormat="false" ht="15" hidden="false" customHeight="true" outlineLevel="0" collapsed="false">
      <c r="A5457" s="10" t="n">
        <f aca="false">Einstellungen!$B$5+INT((ROW()-9)/24)</f>
        <v>46193</v>
      </c>
      <c r="B5457" s="11" t="n">
        <f aca="false">MOD(ROW()-9,24)</f>
        <v>0</v>
      </c>
      <c r="C5457" s="12"/>
      <c r="D5457" s="13" t="n">
        <f aca="false">IF(B5457&lt;5,Einstellungen!$B$3,Einstellungen!$B$4)</f>
        <v>15.92</v>
      </c>
      <c r="E5457" s="14" t="str">
        <f aca="false">IF(C5457="","",C5457*D5457/100)</f>
        <v/>
      </c>
      <c r="F5457" s="15" t="str">
        <f aca="false">IF(B5457&lt;5,"Go","Standard")</f>
        <v>Go</v>
      </c>
    </row>
    <row r="5458" customFormat="false" ht="15" hidden="false" customHeight="true" outlineLevel="0" collapsed="false">
      <c r="A5458" s="10" t="n">
        <f aca="false">Einstellungen!$B$5+INT((ROW()-9)/24)</f>
        <v>46193</v>
      </c>
      <c r="B5458" s="11" t="n">
        <f aca="false">MOD(ROW()-9,24)</f>
        <v>1</v>
      </c>
      <c r="C5458" s="12"/>
      <c r="D5458" s="13" t="n">
        <f aca="false">IF(B5458&lt;5,Einstellungen!$B$3,Einstellungen!$B$4)</f>
        <v>15.92</v>
      </c>
      <c r="E5458" s="14" t="str">
        <f aca="false">IF(C5458="","",C5458*D5458/100)</f>
        <v/>
      </c>
      <c r="F5458" s="15" t="str">
        <f aca="false">IF(B5458&lt;5,"Go","Standard")</f>
        <v>Go</v>
      </c>
    </row>
    <row r="5459" customFormat="false" ht="15" hidden="false" customHeight="true" outlineLevel="0" collapsed="false">
      <c r="A5459" s="10" t="n">
        <f aca="false">Einstellungen!$B$5+INT((ROW()-9)/24)</f>
        <v>46193</v>
      </c>
      <c r="B5459" s="11" t="n">
        <f aca="false">MOD(ROW()-9,24)</f>
        <v>2</v>
      </c>
      <c r="C5459" s="12"/>
      <c r="D5459" s="13" t="n">
        <f aca="false">IF(B5459&lt;5,Einstellungen!$B$3,Einstellungen!$B$4)</f>
        <v>15.92</v>
      </c>
      <c r="E5459" s="14" t="str">
        <f aca="false">IF(C5459="","",C5459*D5459/100)</f>
        <v/>
      </c>
      <c r="F5459" s="15" t="str">
        <f aca="false">IF(B5459&lt;5,"Go","Standard")</f>
        <v>Go</v>
      </c>
    </row>
    <row r="5460" customFormat="false" ht="15" hidden="false" customHeight="true" outlineLevel="0" collapsed="false">
      <c r="A5460" s="10" t="n">
        <f aca="false">Einstellungen!$B$5+INT((ROW()-9)/24)</f>
        <v>46193</v>
      </c>
      <c r="B5460" s="11" t="n">
        <f aca="false">MOD(ROW()-9,24)</f>
        <v>3</v>
      </c>
      <c r="C5460" s="12"/>
      <c r="D5460" s="13" t="n">
        <f aca="false">IF(B5460&lt;5,Einstellungen!$B$3,Einstellungen!$B$4)</f>
        <v>15.92</v>
      </c>
      <c r="E5460" s="14" t="str">
        <f aca="false">IF(C5460="","",C5460*D5460/100)</f>
        <v/>
      </c>
      <c r="F5460" s="15" t="str">
        <f aca="false">IF(B5460&lt;5,"Go","Standard")</f>
        <v>Go</v>
      </c>
    </row>
    <row r="5461" customFormat="false" ht="15" hidden="false" customHeight="true" outlineLevel="0" collapsed="false">
      <c r="A5461" s="10" t="n">
        <f aca="false">Einstellungen!$B$5+INT((ROW()-9)/24)</f>
        <v>46193</v>
      </c>
      <c r="B5461" s="11" t="n">
        <f aca="false">MOD(ROW()-9,24)</f>
        <v>4</v>
      </c>
      <c r="C5461" s="12"/>
      <c r="D5461" s="13" t="n">
        <f aca="false">IF(B5461&lt;5,Einstellungen!$B$3,Einstellungen!$B$4)</f>
        <v>15.92</v>
      </c>
      <c r="E5461" s="14" t="str">
        <f aca="false">IF(C5461="","",C5461*D5461/100)</f>
        <v/>
      </c>
      <c r="F5461" s="15" t="str">
        <f aca="false">IF(B5461&lt;5,"Go","Standard")</f>
        <v>Go</v>
      </c>
    </row>
    <row r="5462" customFormat="false" ht="15" hidden="false" customHeight="true" outlineLevel="0" collapsed="false">
      <c r="A5462" s="10" t="n">
        <f aca="false">Einstellungen!$B$5+INT((ROW()-9)/24)</f>
        <v>46193</v>
      </c>
      <c r="B5462" s="11" t="n">
        <f aca="false">MOD(ROW()-9,24)</f>
        <v>5</v>
      </c>
      <c r="C5462" s="12"/>
      <c r="D5462" s="13" t="n">
        <f aca="false">IF(B5462&lt;5,Einstellungen!$B$3,Einstellungen!$B$4)</f>
        <v>29.13</v>
      </c>
      <c r="E5462" s="14" t="str">
        <f aca="false">IF(C5462="","",C5462*D5462/100)</f>
        <v/>
      </c>
      <c r="F5462" s="15" t="str">
        <f aca="false">IF(B5462&lt;5,"Go","Standard")</f>
        <v>Standard</v>
      </c>
    </row>
    <row r="5463" customFormat="false" ht="15" hidden="false" customHeight="true" outlineLevel="0" collapsed="false">
      <c r="A5463" s="10" t="n">
        <f aca="false">Einstellungen!$B$5+INT((ROW()-9)/24)</f>
        <v>46193</v>
      </c>
      <c r="B5463" s="11" t="n">
        <f aca="false">MOD(ROW()-9,24)</f>
        <v>6</v>
      </c>
      <c r="C5463" s="12"/>
      <c r="D5463" s="13" t="n">
        <f aca="false">IF(B5463&lt;5,Einstellungen!$B$3,Einstellungen!$B$4)</f>
        <v>29.13</v>
      </c>
      <c r="E5463" s="14" t="str">
        <f aca="false">IF(C5463="","",C5463*D5463/100)</f>
        <v/>
      </c>
      <c r="F5463" s="15" t="str">
        <f aca="false">IF(B5463&lt;5,"Go","Standard")</f>
        <v>Standard</v>
      </c>
    </row>
    <row r="5464" customFormat="false" ht="15" hidden="false" customHeight="true" outlineLevel="0" collapsed="false">
      <c r="A5464" s="10" t="n">
        <f aca="false">Einstellungen!$B$5+INT((ROW()-9)/24)</f>
        <v>46193</v>
      </c>
      <c r="B5464" s="11" t="n">
        <f aca="false">MOD(ROW()-9,24)</f>
        <v>7</v>
      </c>
      <c r="C5464" s="12"/>
      <c r="D5464" s="13" t="n">
        <f aca="false">IF(B5464&lt;5,Einstellungen!$B$3,Einstellungen!$B$4)</f>
        <v>29.13</v>
      </c>
      <c r="E5464" s="14" t="str">
        <f aca="false">IF(C5464="","",C5464*D5464/100)</f>
        <v/>
      </c>
      <c r="F5464" s="15" t="str">
        <f aca="false">IF(B5464&lt;5,"Go","Standard")</f>
        <v>Standard</v>
      </c>
    </row>
    <row r="5465" customFormat="false" ht="15" hidden="false" customHeight="true" outlineLevel="0" collapsed="false">
      <c r="A5465" s="10" t="n">
        <f aca="false">Einstellungen!$B$5+INT((ROW()-9)/24)</f>
        <v>46193</v>
      </c>
      <c r="B5465" s="11" t="n">
        <f aca="false">MOD(ROW()-9,24)</f>
        <v>8</v>
      </c>
      <c r="C5465" s="12"/>
      <c r="D5465" s="13" t="n">
        <f aca="false">IF(B5465&lt;5,Einstellungen!$B$3,Einstellungen!$B$4)</f>
        <v>29.13</v>
      </c>
      <c r="E5465" s="14" t="str">
        <f aca="false">IF(C5465="","",C5465*D5465/100)</f>
        <v/>
      </c>
      <c r="F5465" s="15" t="str">
        <f aca="false">IF(B5465&lt;5,"Go","Standard")</f>
        <v>Standard</v>
      </c>
    </row>
    <row r="5466" customFormat="false" ht="15" hidden="false" customHeight="true" outlineLevel="0" collapsed="false">
      <c r="A5466" s="10" t="n">
        <f aca="false">Einstellungen!$B$5+INT((ROW()-9)/24)</f>
        <v>46193</v>
      </c>
      <c r="B5466" s="11" t="n">
        <f aca="false">MOD(ROW()-9,24)</f>
        <v>9</v>
      </c>
      <c r="C5466" s="12"/>
      <c r="D5466" s="13" t="n">
        <f aca="false">IF(B5466&lt;5,Einstellungen!$B$3,Einstellungen!$B$4)</f>
        <v>29.13</v>
      </c>
      <c r="E5466" s="14" t="str">
        <f aca="false">IF(C5466="","",C5466*D5466/100)</f>
        <v/>
      </c>
      <c r="F5466" s="15" t="str">
        <f aca="false">IF(B5466&lt;5,"Go","Standard")</f>
        <v>Standard</v>
      </c>
    </row>
    <row r="5467" customFormat="false" ht="15" hidden="false" customHeight="true" outlineLevel="0" collapsed="false">
      <c r="A5467" s="10" t="n">
        <f aca="false">Einstellungen!$B$5+INT((ROW()-9)/24)</f>
        <v>46193</v>
      </c>
      <c r="B5467" s="11" t="n">
        <f aca="false">MOD(ROW()-9,24)</f>
        <v>10</v>
      </c>
      <c r="C5467" s="12"/>
      <c r="D5467" s="13" t="n">
        <f aca="false">IF(B5467&lt;5,Einstellungen!$B$3,Einstellungen!$B$4)</f>
        <v>29.13</v>
      </c>
      <c r="E5467" s="14" t="str">
        <f aca="false">IF(C5467="","",C5467*D5467/100)</f>
        <v/>
      </c>
      <c r="F5467" s="15" t="str">
        <f aca="false">IF(B5467&lt;5,"Go","Standard")</f>
        <v>Standard</v>
      </c>
    </row>
    <row r="5468" customFormat="false" ht="15" hidden="false" customHeight="true" outlineLevel="0" collapsed="false">
      <c r="A5468" s="10" t="n">
        <f aca="false">Einstellungen!$B$5+INT((ROW()-9)/24)</f>
        <v>46193</v>
      </c>
      <c r="B5468" s="11" t="n">
        <f aca="false">MOD(ROW()-9,24)</f>
        <v>11</v>
      </c>
      <c r="C5468" s="12"/>
      <c r="D5468" s="13" t="n">
        <f aca="false">IF(B5468&lt;5,Einstellungen!$B$3,Einstellungen!$B$4)</f>
        <v>29.13</v>
      </c>
      <c r="E5468" s="14" t="str">
        <f aca="false">IF(C5468="","",C5468*D5468/100)</f>
        <v/>
      </c>
      <c r="F5468" s="15" t="str">
        <f aca="false">IF(B5468&lt;5,"Go","Standard")</f>
        <v>Standard</v>
      </c>
    </row>
    <row r="5469" customFormat="false" ht="15" hidden="false" customHeight="true" outlineLevel="0" collapsed="false">
      <c r="A5469" s="10" t="n">
        <f aca="false">Einstellungen!$B$5+INT((ROW()-9)/24)</f>
        <v>46193</v>
      </c>
      <c r="B5469" s="11" t="n">
        <f aca="false">MOD(ROW()-9,24)</f>
        <v>12</v>
      </c>
      <c r="C5469" s="12"/>
      <c r="D5469" s="13" t="n">
        <f aca="false">IF(B5469&lt;5,Einstellungen!$B$3,Einstellungen!$B$4)</f>
        <v>29.13</v>
      </c>
      <c r="E5469" s="14" t="str">
        <f aca="false">IF(C5469="","",C5469*D5469/100)</f>
        <v/>
      </c>
      <c r="F5469" s="15" t="str">
        <f aca="false">IF(B5469&lt;5,"Go","Standard")</f>
        <v>Standard</v>
      </c>
    </row>
    <row r="5470" customFormat="false" ht="15" hidden="false" customHeight="true" outlineLevel="0" collapsed="false">
      <c r="A5470" s="10" t="n">
        <f aca="false">Einstellungen!$B$5+INT((ROW()-9)/24)</f>
        <v>46193</v>
      </c>
      <c r="B5470" s="11" t="n">
        <f aca="false">MOD(ROW()-9,24)</f>
        <v>13</v>
      </c>
      <c r="C5470" s="12"/>
      <c r="D5470" s="13" t="n">
        <f aca="false">IF(B5470&lt;5,Einstellungen!$B$3,Einstellungen!$B$4)</f>
        <v>29.13</v>
      </c>
      <c r="E5470" s="14" t="str">
        <f aca="false">IF(C5470="","",C5470*D5470/100)</f>
        <v/>
      </c>
      <c r="F5470" s="15" t="str">
        <f aca="false">IF(B5470&lt;5,"Go","Standard")</f>
        <v>Standard</v>
      </c>
    </row>
    <row r="5471" customFormat="false" ht="15" hidden="false" customHeight="true" outlineLevel="0" collapsed="false">
      <c r="A5471" s="10" t="n">
        <f aca="false">Einstellungen!$B$5+INT((ROW()-9)/24)</f>
        <v>46193</v>
      </c>
      <c r="B5471" s="11" t="n">
        <f aca="false">MOD(ROW()-9,24)</f>
        <v>14</v>
      </c>
      <c r="C5471" s="12"/>
      <c r="D5471" s="13" t="n">
        <f aca="false">IF(B5471&lt;5,Einstellungen!$B$3,Einstellungen!$B$4)</f>
        <v>29.13</v>
      </c>
      <c r="E5471" s="14" t="str">
        <f aca="false">IF(C5471="","",C5471*D5471/100)</f>
        <v/>
      </c>
      <c r="F5471" s="15" t="str">
        <f aca="false">IF(B5471&lt;5,"Go","Standard")</f>
        <v>Standard</v>
      </c>
    </row>
    <row r="5472" customFormat="false" ht="15" hidden="false" customHeight="true" outlineLevel="0" collapsed="false">
      <c r="A5472" s="10" t="n">
        <f aca="false">Einstellungen!$B$5+INT((ROW()-9)/24)</f>
        <v>46193</v>
      </c>
      <c r="B5472" s="11" t="n">
        <f aca="false">MOD(ROW()-9,24)</f>
        <v>15</v>
      </c>
      <c r="C5472" s="12"/>
      <c r="D5472" s="13" t="n">
        <f aca="false">IF(B5472&lt;5,Einstellungen!$B$3,Einstellungen!$B$4)</f>
        <v>29.13</v>
      </c>
      <c r="E5472" s="14" t="str">
        <f aca="false">IF(C5472="","",C5472*D5472/100)</f>
        <v/>
      </c>
      <c r="F5472" s="15" t="str">
        <f aca="false">IF(B5472&lt;5,"Go","Standard")</f>
        <v>Standard</v>
      </c>
    </row>
    <row r="5473" customFormat="false" ht="15" hidden="false" customHeight="true" outlineLevel="0" collapsed="false">
      <c r="A5473" s="10" t="n">
        <f aca="false">Einstellungen!$B$5+INT((ROW()-9)/24)</f>
        <v>46193</v>
      </c>
      <c r="B5473" s="11" t="n">
        <f aca="false">MOD(ROW()-9,24)</f>
        <v>16</v>
      </c>
      <c r="C5473" s="12"/>
      <c r="D5473" s="13" t="n">
        <f aca="false">IF(B5473&lt;5,Einstellungen!$B$3,Einstellungen!$B$4)</f>
        <v>29.13</v>
      </c>
      <c r="E5473" s="14" t="str">
        <f aca="false">IF(C5473="","",C5473*D5473/100)</f>
        <v/>
      </c>
      <c r="F5473" s="15" t="str">
        <f aca="false">IF(B5473&lt;5,"Go","Standard")</f>
        <v>Standard</v>
      </c>
    </row>
    <row r="5474" customFormat="false" ht="15" hidden="false" customHeight="true" outlineLevel="0" collapsed="false">
      <c r="A5474" s="10" t="n">
        <f aca="false">Einstellungen!$B$5+INT((ROW()-9)/24)</f>
        <v>46193</v>
      </c>
      <c r="B5474" s="11" t="n">
        <f aca="false">MOD(ROW()-9,24)</f>
        <v>17</v>
      </c>
      <c r="C5474" s="12"/>
      <c r="D5474" s="13" t="n">
        <f aca="false">IF(B5474&lt;5,Einstellungen!$B$3,Einstellungen!$B$4)</f>
        <v>29.13</v>
      </c>
      <c r="E5474" s="14" t="str">
        <f aca="false">IF(C5474="","",C5474*D5474/100)</f>
        <v/>
      </c>
      <c r="F5474" s="15" t="str">
        <f aca="false">IF(B5474&lt;5,"Go","Standard")</f>
        <v>Standard</v>
      </c>
    </row>
    <row r="5475" customFormat="false" ht="15" hidden="false" customHeight="true" outlineLevel="0" collapsed="false">
      <c r="A5475" s="10" t="n">
        <f aca="false">Einstellungen!$B$5+INT((ROW()-9)/24)</f>
        <v>46193</v>
      </c>
      <c r="B5475" s="11" t="n">
        <f aca="false">MOD(ROW()-9,24)</f>
        <v>18</v>
      </c>
      <c r="C5475" s="12"/>
      <c r="D5475" s="13" t="n">
        <f aca="false">IF(B5475&lt;5,Einstellungen!$B$3,Einstellungen!$B$4)</f>
        <v>29.13</v>
      </c>
      <c r="E5475" s="14" t="str">
        <f aca="false">IF(C5475="","",C5475*D5475/100)</f>
        <v/>
      </c>
      <c r="F5475" s="15" t="str">
        <f aca="false">IF(B5475&lt;5,"Go","Standard")</f>
        <v>Standard</v>
      </c>
    </row>
    <row r="5476" customFormat="false" ht="15" hidden="false" customHeight="true" outlineLevel="0" collapsed="false">
      <c r="A5476" s="10" t="n">
        <f aca="false">Einstellungen!$B$5+INT((ROW()-9)/24)</f>
        <v>46193</v>
      </c>
      <c r="B5476" s="11" t="n">
        <f aca="false">MOD(ROW()-9,24)</f>
        <v>19</v>
      </c>
      <c r="C5476" s="12"/>
      <c r="D5476" s="13" t="n">
        <f aca="false">IF(B5476&lt;5,Einstellungen!$B$3,Einstellungen!$B$4)</f>
        <v>29.13</v>
      </c>
      <c r="E5476" s="14" t="str">
        <f aca="false">IF(C5476="","",C5476*D5476/100)</f>
        <v/>
      </c>
      <c r="F5476" s="15" t="str">
        <f aca="false">IF(B5476&lt;5,"Go","Standard")</f>
        <v>Standard</v>
      </c>
    </row>
    <row r="5477" customFormat="false" ht="15" hidden="false" customHeight="true" outlineLevel="0" collapsed="false">
      <c r="A5477" s="10" t="n">
        <f aca="false">Einstellungen!$B$5+INT((ROW()-9)/24)</f>
        <v>46193</v>
      </c>
      <c r="B5477" s="11" t="n">
        <f aca="false">MOD(ROW()-9,24)</f>
        <v>20</v>
      </c>
      <c r="C5477" s="12"/>
      <c r="D5477" s="13" t="n">
        <f aca="false">IF(B5477&lt;5,Einstellungen!$B$3,Einstellungen!$B$4)</f>
        <v>29.13</v>
      </c>
      <c r="E5477" s="14" t="str">
        <f aca="false">IF(C5477="","",C5477*D5477/100)</f>
        <v/>
      </c>
      <c r="F5477" s="15" t="str">
        <f aca="false">IF(B5477&lt;5,"Go","Standard")</f>
        <v>Standard</v>
      </c>
    </row>
    <row r="5478" customFormat="false" ht="15" hidden="false" customHeight="true" outlineLevel="0" collapsed="false">
      <c r="A5478" s="10" t="n">
        <f aca="false">Einstellungen!$B$5+INT((ROW()-9)/24)</f>
        <v>46193</v>
      </c>
      <c r="B5478" s="11" t="n">
        <f aca="false">MOD(ROW()-9,24)</f>
        <v>21</v>
      </c>
      <c r="C5478" s="12"/>
      <c r="D5478" s="13" t="n">
        <f aca="false">IF(B5478&lt;5,Einstellungen!$B$3,Einstellungen!$B$4)</f>
        <v>29.13</v>
      </c>
      <c r="E5478" s="14" t="str">
        <f aca="false">IF(C5478="","",C5478*D5478/100)</f>
        <v/>
      </c>
      <c r="F5478" s="15" t="str">
        <f aca="false">IF(B5478&lt;5,"Go","Standard")</f>
        <v>Standard</v>
      </c>
    </row>
    <row r="5479" customFormat="false" ht="15" hidden="false" customHeight="true" outlineLevel="0" collapsed="false">
      <c r="A5479" s="10" t="n">
        <f aca="false">Einstellungen!$B$5+INT((ROW()-9)/24)</f>
        <v>46193</v>
      </c>
      <c r="B5479" s="11" t="n">
        <f aca="false">MOD(ROW()-9,24)</f>
        <v>22</v>
      </c>
      <c r="C5479" s="12"/>
      <c r="D5479" s="13" t="n">
        <f aca="false">IF(B5479&lt;5,Einstellungen!$B$3,Einstellungen!$B$4)</f>
        <v>29.13</v>
      </c>
      <c r="E5479" s="14" t="str">
        <f aca="false">IF(C5479="","",C5479*D5479/100)</f>
        <v/>
      </c>
      <c r="F5479" s="15" t="str">
        <f aca="false">IF(B5479&lt;5,"Go","Standard")</f>
        <v>Standard</v>
      </c>
    </row>
    <row r="5480" customFormat="false" ht="15" hidden="false" customHeight="true" outlineLevel="0" collapsed="false">
      <c r="A5480" s="10" t="n">
        <f aca="false">Einstellungen!$B$5+INT((ROW()-9)/24)</f>
        <v>46193</v>
      </c>
      <c r="B5480" s="11" t="n">
        <f aca="false">MOD(ROW()-9,24)</f>
        <v>23</v>
      </c>
      <c r="C5480" s="12"/>
      <c r="D5480" s="13" t="n">
        <f aca="false">IF(B5480&lt;5,Einstellungen!$B$3,Einstellungen!$B$4)</f>
        <v>29.13</v>
      </c>
      <c r="E5480" s="14" t="str">
        <f aca="false">IF(C5480="","",C5480*D5480/100)</f>
        <v/>
      </c>
      <c r="F5480" s="15" t="str">
        <f aca="false">IF(B5480&lt;5,"Go","Standard")</f>
        <v>Standard</v>
      </c>
    </row>
    <row r="5481" customFormat="false" ht="15" hidden="false" customHeight="true" outlineLevel="0" collapsed="false">
      <c r="A5481" s="10" t="n">
        <f aca="false">Einstellungen!$B$5+INT((ROW()-9)/24)</f>
        <v>46194</v>
      </c>
      <c r="B5481" s="11" t="n">
        <f aca="false">MOD(ROW()-9,24)</f>
        <v>0</v>
      </c>
      <c r="C5481" s="12"/>
      <c r="D5481" s="13" t="n">
        <f aca="false">IF(B5481&lt;5,Einstellungen!$B$3,Einstellungen!$B$4)</f>
        <v>15.92</v>
      </c>
      <c r="E5481" s="14" t="str">
        <f aca="false">IF(C5481="","",C5481*D5481/100)</f>
        <v/>
      </c>
      <c r="F5481" s="15" t="str">
        <f aca="false">IF(B5481&lt;5,"Go","Standard")</f>
        <v>Go</v>
      </c>
    </row>
    <row r="5482" customFormat="false" ht="15" hidden="false" customHeight="true" outlineLevel="0" collapsed="false">
      <c r="A5482" s="10" t="n">
        <f aca="false">Einstellungen!$B$5+INT((ROW()-9)/24)</f>
        <v>46194</v>
      </c>
      <c r="B5482" s="11" t="n">
        <f aca="false">MOD(ROW()-9,24)</f>
        <v>1</v>
      </c>
      <c r="C5482" s="12"/>
      <c r="D5482" s="13" t="n">
        <f aca="false">IF(B5482&lt;5,Einstellungen!$B$3,Einstellungen!$B$4)</f>
        <v>15.92</v>
      </c>
      <c r="E5482" s="14" t="str">
        <f aca="false">IF(C5482="","",C5482*D5482/100)</f>
        <v/>
      </c>
      <c r="F5482" s="15" t="str">
        <f aca="false">IF(B5482&lt;5,"Go","Standard")</f>
        <v>Go</v>
      </c>
    </row>
    <row r="5483" customFormat="false" ht="15" hidden="false" customHeight="true" outlineLevel="0" collapsed="false">
      <c r="A5483" s="10" t="n">
        <f aca="false">Einstellungen!$B$5+INT((ROW()-9)/24)</f>
        <v>46194</v>
      </c>
      <c r="B5483" s="11" t="n">
        <f aca="false">MOD(ROW()-9,24)</f>
        <v>2</v>
      </c>
      <c r="C5483" s="12"/>
      <c r="D5483" s="13" t="n">
        <f aca="false">IF(B5483&lt;5,Einstellungen!$B$3,Einstellungen!$B$4)</f>
        <v>15.92</v>
      </c>
      <c r="E5483" s="14" t="str">
        <f aca="false">IF(C5483="","",C5483*D5483/100)</f>
        <v/>
      </c>
      <c r="F5483" s="15" t="str">
        <f aca="false">IF(B5483&lt;5,"Go","Standard")</f>
        <v>Go</v>
      </c>
    </row>
    <row r="5484" customFormat="false" ht="15" hidden="false" customHeight="true" outlineLevel="0" collapsed="false">
      <c r="A5484" s="10" t="n">
        <f aca="false">Einstellungen!$B$5+INT((ROW()-9)/24)</f>
        <v>46194</v>
      </c>
      <c r="B5484" s="11" t="n">
        <f aca="false">MOD(ROW()-9,24)</f>
        <v>3</v>
      </c>
      <c r="C5484" s="12"/>
      <c r="D5484" s="13" t="n">
        <f aca="false">IF(B5484&lt;5,Einstellungen!$B$3,Einstellungen!$B$4)</f>
        <v>15.92</v>
      </c>
      <c r="E5484" s="14" t="str">
        <f aca="false">IF(C5484="","",C5484*D5484/100)</f>
        <v/>
      </c>
      <c r="F5484" s="15" t="str">
        <f aca="false">IF(B5484&lt;5,"Go","Standard")</f>
        <v>Go</v>
      </c>
    </row>
    <row r="5485" customFormat="false" ht="15" hidden="false" customHeight="true" outlineLevel="0" collapsed="false">
      <c r="A5485" s="10" t="n">
        <f aca="false">Einstellungen!$B$5+INT((ROW()-9)/24)</f>
        <v>46194</v>
      </c>
      <c r="B5485" s="11" t="n">
        <f aca="false">MOD(ROW()-9,24)</f>
        <v>4</v>
      </c>
      <c r="C5485" s="12"/>
      <c r="D5485" s="13" t="n">
        <f aca="false">IF(B5485&lt;5,Einstellungen!$B$3,Einstellungen!$B$4)</f>
        <v>15.92</v>
      </c>
      <c r="E5485" s="14" t="str">
        <f aca="false">IF(C5485="","",C5485*D5485/100)</f>
        <v/>
      </c>
      <c r="F5485" s="15" t="str">
        <f aca="false">IF(B5485&lt;5,"Go","Standard")</f>
        <v>Go</v>
      </c>
    </row>
    <row r="5486" customFormat="false" ht="15" hidden="false" customHeight="true" outlineLevel="0" collapsed="false">
      <c r="A5486" s="10" t="n">
        <f aca="false">Einstellungen!$B$5+INT((ROW()-9)/24)</f>
        <v>46194</v>
      </c>
      <c r="B5486" s="11" t="n">
        <f aca="false">MOD(ROW()-9,24)</f>
        <v>5</v>
      </c>
      <c r="C5486" s="12"/>
      <c r="D5486" s="13" t="n">
        <f aca="false">IF(B5486&lt;5,Einstellungen!$B$3,Einstellungen!$B$4)</f>
        <v>29.13</v>
      </c>
      <c r="E5486" s="14" t="str">
        <f aca="false">IF(C5486="","",C5486*D5486/100)</f>
        <v/>
      </c>
      <c r="F5486" s="15" t="str">
        <f aca="false">IF(B5486&lt;5,"Go","Standard")</f>
        <v>Standard</v>
      </c>
    </row>
    <row r="5487" customFormat="false" ht="15" hidden="false" customHeight="true" outlineLevel="0" collapsed="false">
      <c r="A5487" s="10" t="n">
        <f aca="false">Einstellungen!$B$5+INT((ROW()-9)/24)</f>
        <v>46194</v>
      </c>
      <c r="B5487" s="11" t="n">
        <f aca="false">MOD(ROW()-9,24)</f>
        <v>6</v>
      </c>
      <c r="C5487" s="12"/>
      <c r="D5487" s="13" t="n">
        <f aca="false">IF(B5487&lt;5,Einstellungen!$B$3,Einstellungen!$B$4)</f>
        <v>29.13</v>
      </c>
      <c r="E5487" s="14" t="str">
        <f aca="false">IF(C5487="","",C5487*D5487/100)</f>
        <v/>
      </c>
      <c r="F5487" s="15" t="str">
        <f aca="false">IF(B5487&lt;5,"Go","Standard")</f>
        <v>Standard</v>
      </c>
    </row>
    <row r="5488" customFormat="false" ht="15" hidden="false" customHeight="true" outlineLevel="0" collapsed="false">
      <c r="A5488" s="10" t="n">
        <f aca="false">Einstellungen!$B$5+INT((ROW()-9)/24)</f>
        <v>46194</v>
      </c>
      <c r="B5488" s="11" t="n">
        <f aca="false">MOD(ROW()-9,24)</f>
        <v>7</v>
      </c>
      <c r="C5488" s="12"/>
      <c r="D5488" s="13" t="n">
        <f aca="false">IF(B5488&lt;5,Einstellungen!$B$3,Einstellungen!$B$4)</f>
        <v>29.13</v>
      </c>
      <c r="E5488" s="14" t="str">
        <f aca="false">IF(C5488="","",C5488*D5488/100)</f>
        <v/>
      </c>
      <c r="F5488" s="15" t="str">
        <f aca="false">IF(B5488&lt;5,"Go","Standard")</f>
        <v>Standard</v>
      </c>
    </row>
    <row r="5489" customFormat="false" ht="15" hidden="false" customHeight="true" outlineLevel="0" collapsed="false">
      <c r="A5489" s="10" t="n">
        <f aca="false">Einstellungen!$B$5+INT((ROW()-9)/24)</f>
        <v>46194</v>
      </c>
      <c r="B5489" s="11" t="n">
        <f aca="false">MOD(ROW()-9,24)</f>
        <v>8</v>
      </c>
      <c r="C5489" s="12"/>
      <c r="D5489" s="13" t="n">
        <f aca="false">IF(B5489&lt;5,Einstellungen!$B$3,Einstellungen!$B$4)</f>
        <v>29.13</v>
      </c>
      <c r="E5489" s="14" t="str">
        <f aca="false">IF(C5489="","",C5489*D5489/100)</f>
        <v/>
      </c>
      <c r="F5489" s="15" t="str">
        <f aca="false">IF(B5489&lt;5,"Go","Standard")</f>
        <v>Standard</v>
      </c>
    </row>
    <row r="5490" customFormat="false" ht="15" hidden="false" customHeight="true" outlineLevel="0" collapsed="false">
      <c r="A5490" s="10" t="n">
        <f aca="false">Einstellungen!$B$5+INT((ROW()-9)/24)</f>
        <v>46194</v>
      </c>
      <c r="B5490" s="11" t="n">
        <f aca="false">MOD(ROW()-9,24)</f>
        <v>9</v>
      </c>
      <c r="C5490" s="12"/>
      <c r="D5490" s="13" t="n">
        <f aca="false">IF(B5490&lt;5,Einstellungen!$B$3,Einstellungen!$B$4)</f>
        <v>29.13</v>
      </c>
      <c r="E5490" s="14" t="str">
        <f aca="false">IF(C5490="","",C5490*D5490/100)</f>
        <v/>
      </c>
      <c r="F5490" s="15" t="str">
        <f aca="false">IF(B5490&lt;5,"Go","Standard")</f>
        <v>Standard</v>
      </c>
    </row>
    <row r="5491" customFormat="false" ht="15" hidden="false" customHeight="true" outlineLevel="0" collapsed="false">
      <c r="A5491" s="10" t="n">
        <f aca="false">Einstellungen!$B$5+INT((ROW()-9)/24)</f>
        <v>46194</v>
      </c>
      <c r="B5491" s="11" t="n">
        <f aca="false">MOD(ROW()-9,24)</f>
        <v>10</v>
      </c>
      <c r="C5491" s="12"/>
      <c r="D5491" s="13" t="n">
        <f aca="false">IF(B5491&lt;5,Einstellungen!$B$3,Einstellungen!$B$4)</f>
        <v>29.13</v>
      </c>
      <c r="E5491" s="14" t="str">
        <f aca="false">IF(C5491="","",C5491*D5491/100)</f>
        <v/>
      </c>
      <c r="F5491" s="15" t="str">
        <f aca="false">IF(B5491&lt;5,"Go","Standard")</f>
        <v>Standard</v>
      </c>
    </row>
    <row r="5492" customFormat="false" ht="15" hidden="false" customHeight="true" outlineLevel="0" collapsed="false">
      <c r="A5492" s="10" t="n">
        <f aca="false">Einstellungen!$B$5+INT((ROW()-9)/24)</f>
        <v>46194</v>
      </c>
      <c r="B5492" s="11" t="n">
        <f aca="false">MOD(ROW()-9,24)</f>
        <v>11</v>
      </c>
      <c r="C5492" s="12"/>
      <c r="D5492" s="13" t="n">
        <f aca="false">IF(B5492&lt;5,Einstellungen!$B$3,Einstellungen!$B$4)</f>
        <v>29.13</v>
      </c>
      <c r="E5492" s="14" t="str">
        <f aca="false">IF(C5492="","",C5492*D5492/100)</f>
        <v/>
      </c>
      <c r="F5492" s="15" t="str">
        <f aca="false">IF(B5492&lt;5,"Go","Standard")</f>
        <v>Standard</v>
      </c>
    </row>
    <row r="5493" customFormat="false" ht="15" hidden="false" customHeight="true" outlineLevel="0" collapsed="false">
      <c r="A5493" s="10" t="n">
        <f aca="false">Einstellungen!$B$5+INT((ROW()-9)/24)</f>
        <v>46194</v>
      </c>
      <c r="B5493" s="11" t="n">
        <f aca="false">MOD(ROW()-9,24)</f>
        <v>12</v>
      </c>
      <c r="C5493" s="12"/>
      <c r="D5493" s="13" t="n">
        <f aca="false">IF(B5493&lt;5,Einstellungen!$B$3,Einstellungen!$B$4)</f>
        <v>29.13</v>
      </c>
      <c r="E5493" s="14" t="str">
        <f aca="false">IF(C5493="","",C5493*D5493/100)</f>
        <v/>
      </c>
      <c r="F5493" s="15" t="str">
        <f aca="false">IF(B5493&lt;5,"Go","Standard")</f>
        <v>Standard</v>
      </c>
    </row>
    <row r="5494" customFormat="false" ht="15" hidden="false" customHeight="true" outlineLevel="0" collapsed="false">
      <c r="A5494" s="10" t="n">
        <f aca="false">Einstellungen!$B$5+INT((ROW()-9)/24)</f>
        <v>46194</v>
      </c>
      <c r="B5494" s="11" t="n">
        <f aca="false">MOD(ROW()-9,24)</f>
        <v>13</v>
      </c>
      <c r="C5494" s="12"/>
      <c r="D5494" s="13" t="n">
        <f aca="false">IF(B5494&lt;5,Einstellungen!$B$3,Einstellungen!$B$4)</f>
        <v>29.13</v>
      </c>
      <c r="E5494" s="14" t="str">
        <f aca="false">IF(C5494="","",C5494*D5494/100)</f>
        <v/>
      </c>
      <c r="F5494" s="15" t="str">
        <f aca="false">IF(B5494&lt;5,"Go","Standard")</f>
        <v>Standard</v>
      </c>
    </row>
    <row r="5495" customFormat="false" ht="15" hidden="false" customHeight="true" outlineLevel="0" collapsed="false">
      <c r="A5495" s="10" t="n">
        <f aca="false">Einstellungen!$B$5+INT((ROW()-9)/24)</f>
        <v>46194</v>
      </c>
      <c r="B5495" s="11" t="n">
        <f aca="false">MOD(ROW()-9,24)</f>
        <v>14</v>
      </c>
      <c r="C5495" s="12"/>
      <c r="D5495" s="13" t="n">
        <f aca="false">IF(B5495&lt;5,Einstellungen!$B$3,Einstellungen!$B$4)</f>
        <v>29.13</v>
      </c>
      <c r="E5495" s="14" t="str">
        <f aca="false">IF(C5495="","",C5495*D5495/100)</f>
        <v/>
      </c>
      <c r="F5495" s="15" t="str">
        <f aca="false">IF(B5495&lt;5,"Go","Standard")</f>
        <v>Standard</v>
      </c>
    </row>
    <row r="5496" customFormat="false" ht="15" hidden="false" customHeight="true" outlineLevel="0" collapsed="false">
      <c r="A5496" s="10" t="n">
        <f aca="false">Einstellungen!$B$5+INT((ROW()-9)/24)</f>
        <v>46194</v>
      </c>
      <c r="B5496" s="11" t="n">
        <f aca="false">MOD(ROW()-9,24)</f>
        <v>15</v>
      </c>
      <c r="C5496" s="12"/>
      <c r="D5496" s="13" t="n">
        <f aca="false">IF(B5496&lt;5,Einstellungen!$B$3,Einstellungen!$B$4)</f>
        <v>29.13</v>
      </c>
      <c r="E5496" s="14" t="str">
        <f aca="false">IF(C5496="","",C5496*D5496/100)</f>
        <v/>
      </c>
      <c r="F5496" s="15" t="str">
        <f aca="false">IF(B5496&lt;5,"Go","Standard")</f>
        <v>Standard</v>
      </c>
    </row>
    <row r="5497" customFormat="false" ht="15" hidden="false" customHeight="true" outlineLevel="0" collapsed="false">
      <c r="A5497" s="10" t="n">
        <f aca="false">Einstellungen!$B$5+INT((ROW()-9)/24)</f>
        <v>46194</v>
      </c>
      <c r="B5497" s="11" t="n">
        <f aca="false">MOD(ROW()-9,24)</f>
        <v>16</v>
      </c>
      <c r="C5497" s="12"/>
      <c r="D5497" s="13" t="n">
        <f aca="false">IF(B5497&lt;5,Einstellungen!$B$3,Einstellungen!$B$4)</f>
        <v>29.13</v>
      </c>
      <c r="E5497" s="14" t="str">
        <f aca="false">IF(C5497="","",C5497*D5497/100)</f>
        <v/>
      </c>
      <c r="F5497" s="15" t="str">
        <f aca="false">IF(B5497&lt;5,"Go","Standard")</f>
        <v>Standard</v>
      </c>
    </row>
    <row r="5498" customFormat="false" ht="15" hidden="false" customHeight="true" outlineLevel="0" collapsed="false">
      <c r="A5498" s="10" t="n">
        <f aca="false">Einstellungen!$B$5+INT((ROW()-9)/24)</f>
        <v>46194</v>
      </c>
      <c r="B5498" s="11" t="n">
        <f aca="false">MOD(ROW()-9,24)</f>
        <v>17</v>
      </c>
      <c r="C5498" s="12"/>
      <c r="D5498" s="13" t="n">
        <f aca="false">IF(B5498&lt;5,Einstellungen!$B$3,Einstellungen!$B$4)</f>
        <v>29.13</v>
      </c>
      <c r="E5498" s="14" t="str">
        <f aca="false">IF(C5498="","",C5498*D5498/100)</f>
        <v/>
      </c>
      <c r="F5498" s="15" t="str">
        <f aca="false">IF(B5498&lt;5,"Go","Standard")</f>
        <v>Standard</v>
      </c>
    </row>
    <row r="5499" customFormat="false" ht="15" hidden="false" customHeight="true" outlineLevel="0" collapsed="false">
      <c r="A5499" s="10" t="n">
        <f aca="false">Einstellungen!$B$5+INT((ROW()-9)/24)</f>
        <v>46194</v>
      </c>
      <c r="B5499" s="11" t="n">
        <f aca="false">MOD(ROW()-9,24)</f>
        <v>18</v>
      </c>
      <c r="C5499" s="12"/>
      <c r="D5499" s="13" t="n">
        <f aca="false">IF(B5499&lt;5,Einstellungen!$B$3,Einstellungen!$B$4)</f>
        <v>29.13</v>
      </c>
      <c r="E5499" s="14" t="str">
        <f aca="false">IF(C5499="","",C5499*D5499/100)</f>
        <v/>
      </c>
      <c r="F5499" s="15" t="str">
        <f aca="false">IF(B5499&lt;5,"Go","Standard")</f>
        <v>Standard</v>
      </c>
    </row>
    <row r="5500" customFormat="false" ht="15" hidden="false" customHeight="true" outlineLevel="0" collapsed="false">
      <c r="A5500" s="10" t="n">
        <f aca="false">Einstellungen!$B$5+INT((ROW()-9)/24)</f>
        <v>46194</v>
      </c>
      <c r="B5500" s="11" t="n">
        <f aca="false">MOD(ROW()-9,24)</f>
        <v>19</v>
      </c>
      <c r="C5500" s="12"/>
      <c r="D5500" s="13" t="n">
        <f aca="false">IF(B5500&lt;5,Einstellungen!$B$3,Einstellungen!$B$4)</f>
        <v>29.13</v>
      </c>
      <c r="E5500" s="14" t="str">
        <f aca="false">IF(C5500="","",C5500*D5500/100)</f>
        <v/>
      </c>
      <c r="F5500" s="15" t="str">
        <f aca="false">IF(B5500&lt;5,"Go","Standard")</f>
        <v>Standard</v>
      </c>
    </row>
    <row r="5501" customFormat="false" ht="15" hidden="false" customHeight="true" outlineLevel="0" collapsed="false">
      <c r="A5501" s="10" t="n">
        <f aca="false">Einstellungen!$B$5+INT((ROW()-9)/24)</f>
        <v>46194</v>
      </c>
      <c r="B5501" s="11" t="n">
        <f aca="false">MOD(ROW()-9,24)</f>
        <v>20</v>
      </c>
      <c r="C5501" s="12"/>
      <c r="D5501" s="13" t="n">
        <f aca="false">IF(B5501&lt;5,Einstellungen!$B$3,Einstellungen!$B$4)</f>
        <v>29.13</v>
      </c>
      <c r="E5501" s="14" t="str">
        <f aca="false">IF(C5501="","",C5501*D5501/100)</f>
        <v/>
      </c>
      <c r="F5501" s="15" t="str">
        <f aca="false">IF(B5501&lt;5,"Go","Standard")</f>
        <v>Standard</v>
      </c>
    </row>
    <row r="5502" customFormat="false" ht="15" hidden="false" customHeight="true" outlineLevel="0" collapsed="false">
      <c r="A5502" s="10" t="n">
        <f aca="false">Einstellungen!$B$5+INT((ROW()-9)/24)</f>
        <v>46194</v>
      </c>
      <c r="B5502" s="11" t="n">
        <f aca="false">MOD(ROW()-9,24)</f>
        <v>21</v>
      </c>
      <c r="C5502" s="12"/>
      <c r="D5502" s="13" t="n">
        <f aca="false">IF(B5502&lt;5,Einstellungen!$B$3,Einstellungen!$B$4)</f>
        <v>29.13</v>
      </c>
      <c r="E5502" s="14" t="str">
        <f aca="false">IF(C5502="","",C5502*D5502/100)</f>
        <v/>
      </c>
      <c r="F5502" s="15" t="str">
        <f aca="false">IF(B5502&lt;5,"Go","Standard")</f>
        <v>Standard</v>
      </c>
    </row>
    <row r="5503" customFormat="false" ht="15" hidden="false" customHeight="true" outlineLevel="0" collapsed="false">
      <c r="A5503" s="10" t="n">
        <f aca="false">Einstellungen!$B$5+INT((ROW()-9)/24)</f>
        <v>46194</v>
      </c>
      <c r="B5503" s="11" t="n">
        <f aca="false">MOD(ROW()-9,24)</f>
        <v>22</v>
      </c>
      <c r="C5503" s="12"/>
      <c r="D5503" s="13" t="n">
        <f aca="false">IF(B5503&lt;5,Einstellungen!$B$3,Einstellungen!$B$4)</f>
        <v>29.13</v>
      </c>
      <c r="E5503" s="14" t="str">
        <f aca="false">IF(C5503="","",C5503*D5503/100)</f>
        <v/>
      </c>
      <c r="F5503" s="15" t="str">
        <f aca="false">IF(B5503&lt;5,"Go","Standard")</f>
        <v>Standard</v>
      </c>
    </row>
    <row r="5504" customFormat="false" ht="15" hidden="false" customHeight="true" outlineLevel="0" collapsed="false">
      <c r="A5504" s="10" t="n">
        <f aca="false">Einstellungen!$B$5+INT((ROW()-9)/24)</f>
        <v>46194</v>
      </c>
      <c r="B5504" s="11" t="n">
        <f aca="false">MOD(ROW()-9,24)</f>
        <v>23</v>
      </c>
      <c r="C5504" s="12"/>
      <c r="D5504" s="13" t="n">
        <f aca="false">IF(B5504&lt;5,Einstellungen!$B$3,Einstellungen!$B$4)</f>
        <v>29.13</v>
      </c>
      <c r="E5504" s="14" t="str">
        <f aca="false">IF(C5504="","",C5504*D5504/100)</f>
        <v/>
      </c>
      <c r="F5504" s="15" t="str">
        <f aca="false">IF(B5504&lt;5,"Go","Standard")</f>
        <v>Standard</v>
      </c>
    </row>
    <row r="5505" customFormat="false" ht="15" hidden="false" customHeight="true" outlineLevel="0" collapsed="false">
      <c r="A5505" s="10" t="n">
        <f aca="false">Einstellungen!$B$5+INT((ROW()-9)/24)</f>
        <v>46195</v>
      </c>
      <c r="B5505" s="11" t="n">
        <f aca="false">MOD(ROW()-9,24)</f>
        <v>0</v>
      </c>
      <c r="C5505" s="12"/>
      <c r="D5505" s="13" t="n">
        <f aca="false">IF(B5505&lt;5,Einstellungen!$B$3,Einstellungen!$B$4)</f>
        <v>15.92</v>
      </c>
      <c r="E5505" s="14" t="str">
        <f aca="false">IF(C5505="","",C5505*D5505/100)</f>
        <v/>
      </c>
      <c r="F5505" s="15" t="str">
        <f aca="false">IF(B5505&lt;5,"Go","Standard")</f>
        <v>Go</v>
      </c>
    </row>
    <row r="5506" customFormat="false" ht="15" hidden="false" customHeight="true" outlineLevel="0" collapsed="false">
      <c r="A5506" s="10" t="n">
        <f aca="false">Einstellungen!$B$5+INT((ROW()-9)/24)</f>
        <v>46195</v>
      </c>
      <c r="B5506" s="11" t="n">
        <f aca="false">MOD(ROW()-9,24)</f>
        <v>1</v>
      </c>
      <c r="C5506" s="12"/>
      <c r="D5506" s="13" t="n">
        <f aca="false">IF(B5506&lt;5,Einstellungen!$B$3,Einstellungen!$B$4)</f>
        <v>15.92</v>
      </c>
      <c r="E5506" s="14" t="str">
        <f aca="false">IF(C5506="","",C5506*D5506/100)</f>
        <v/>
      </c>
      <c r="F5506" s="15" t="str">
        <f aca="false">IF(B5506&lt;5,"Go","Standard")</f>
        <v>Go</v>
      </c>
    </row>
    <row r="5507" customFormat="false" ht="15" hidden="false" customHeight="true" outlineLevel="0" collapsed="false">
      <c r="A5507" s="10" t="n">
        <f aca="false">Einstellungen!$B$5+INT((ROW()-9)/24)</f>
        <v>46195</v>
      </c>
      <c r="B5507" s="11" t="n">
        <f aca="false">MOD(ROW()-9,24)</f>
        <v>2</v>
      </c>
      <c r="C5507" s="12"/>
      <c r="D5507" s="13" t="n">
        <f aca="false">IF(B5507&lt;5,Einstellungen!$B$3,Einstellungen!$B$4)</f>
        <v>15.92</v>
      </c>
      <c r="E5507" s="14" t="str">
        <f aca="false">IF(C5507="","",C5507*D5507/100)</f>
        <v/>
      </c>
      <c r="F5507" s="15" t="str">
        <f aca="false">IF(B5507&lt;5,"Go","Standard")</f>
        <v>Go</v>
      </c>
    </row>
    <row r="5508" customFormat="false" ht="15" hidden="false" customHeight="true" outlineLevel="0" collapsed="false">
      <c r="A5508" s="10" t="n">
        <f aca="false">Einstellungen!$B$5+INT((ROW()-9)/24)</f>
        <v>46195</v>
      </c>
      <c r="B5508" s="11" t="n">
        <f aca="false">MOD(ROW()-9,24)</f>
        <v>3</v>
      </c>
      <c r="C5508" s="12"/>
      <c r="D5508" s="13" t="n">
        <f aca="false">IF(B5508&lt;5,Einstellungen!$B$3,Einstellungen!$B$4)</f>
        <v>15.92</v>
      </c>
      <c r="E5508" s="14" t="str">
        <f aca="false">IF(C5508="","",C5508*D5508/100)</f>
        <v/>
      </c>
      <c r="F5508" s="15" t="str">
        <f aca="false">IF(B5508&lt;5,"Go","Standard")</f>
        <v>Go</v>
      </c>
    </row>
    <row r="5509" customFormat="false" ht="15" hidden="false" customHeight="true" outlineLevel="0" collapsed="false">
      <c r="A5509" s="10" t="n">
        <f aca="false">Einstellungen!$B$5+INT((ROW()-9)/24)</f>
        <v>46195</v>
      </c>
      <c r="B5509" s="11" t="n">
        <f aca="false">MOD(ROW()-9,24)</f>
        <v>4</v>
      </c>
      <c r="C5509" s="12"/>
      <c r="D5509" s="13" t="n">
        <f aca="false">IF(B5509&lt;5,Einstellungen!$B$3,Einstellungen!$B$4)</f>
        <v>15.92</v>
      </c>
      <c r="E5509" s="14" t="str">
        <f aca="false">IF(C5509="","",C5509*D5509/100)</f>
        <v/>
      </c>
      <c r="F5509" s="15" t="str">
        <f aca="false">IF(B5509&lt;5,"Go","Standard")</f>
        <v>Go</v>
      </c>
    </row>
    <row r="5510" customFormat="false" ht="15" hidden="false" customHeight="true" outlineLevel="0" collapsed="false">
      <c r="A5510" s="10" t="n">
        <f aca="false">Einstellungen!$B$5+INT((ROW()-9)/24)</f>
        <v>46195</v>
      </c>
      <c r="B5510" s="11" t="n">
        <f aca="false">MOD(ROW()-9,24)</f>
        <v>5</v>
      </c>
      <c r="C5510" s="12"/>
      <c r="D5510" s="13" t="n">
        <f aca="false">IF(B5510&lt;5,Einstellungen!$B$3,Einstellungen!$B$4)</f>
        <v>29.13</v>
      </c>
      <c r="E5510" s="14" t="str">
        <f aca="false">IF(C5510="","",C5510*D5510/100)</f>
        <v/>
      </c>
      <c r="F5510" s="15" t="str">
        <f aca="false">IF(B5510&lt;5,"Go","Standard")</f>
        <v>Standard</v>
      </c>
    </row>
    <row r="5511" customFormat="false" ht="15" hidden="false" customHeight="true" outlineLevel="0" collapsed="false">
      <c r="A5511" s="10" t="n">
        <f aca="false">Einstellungen!$B$5+INT((ROW()-9)/24)</f>
        <v>46195</v>
      </c>
      <c r="B5511" s="11" t="n">
        <f aca="false">MOD(ROW()-9,24)</f>
        <v>6</v>
      </c>
      <c r="C5511" s="12"/>
      <c r="D5511" s="13" t="n">
        <f aca="false">IF(B5511&lt;5,Einstellungen!$B$3,Einstellungen!$B$4)</f>
        <v>29.13</v>
      </c>
      <c r="E5511" s="14" t="str">
        <f aca="false">IF(C5511="","",C5511*D5511/100)</f>
        <v/>
      </c>
      <c r="F5511" s="15" t="str">
        <f aca="false">IF(B5511&lt;5,"Go","Standard")</f>
        <v>Standard</v>
      </c>
    </row>
    <row r="5512" customFormat="false" ht="15" hidden="false" customHeight="true" outlineLevel="0" collapsed="false">
      <c r="A5512" s="10" t="n">
        <f aca="false">Einstellungen!$B$5+INT((ROW()-9)/24)</f>
        <v>46195</v>
      </c>
      <c r="B5512" s="11" t="n">
        <f aca="false">MOD(ROW()-9,24)</f>
        <v>7</v>
      </c>
      <c r="C5512" s="12"/>
      <c r="D5512" s="13" t="n">
        <f aca="false">IF(B5512&lt;5,Einstellungen!$B$3,Einstellungen!$B$4)</f>
        <v>29.13</v>
      </c>
      <c r="E5512" s="14" t="str">
        <f aca="false">IF(C5512="","",C5512*D5512/100)</f>
        <v/>
      </c>
      <c r="F5512" s="15" t="str">
        <f aca="false">IF(B5512&lt;5,"Go","Standard")</f>
        <v>Standard</v>
      </c>
    </row>
    <row r="5513" customFormat="false" ht="15" hidden="false" customHeight="true" outlineLevel="0" collapsed="false">
      <c r="A5513" s="10" t="n">
        <f aca="false">Einstellungen!$B$5+INT((ROW()-9)/24)</f>
        <v>46195</v>
      </c>
      <c r="B5513" s="11" t="n">
        <f aca="false">MOD(ROW()-9,24)</f>
        <v>8</v>
      </c>
      <c r="C5513" s="12"/>
      <c r="D5513" s="13" t="n">
        <f aca="false">IF(B5513&lt;5,Einstellungen!$B$3,Einstellungen!$B$4)</f>
        <v>29.13</v>
      </c>
      <c r="E5513" s="14" t="str">
        <f aca="false">IF(C5513="","",C5513*D5513/100)</f>
        <v/>
      </c>
      <c r="F5513" s="15" t="str">
        <f aca="false">IF(B5513&lt;5,"Go","Standard")</f>
        <v>Standard</v>
      </c>
    </row>
    <row r="5514" customFormat="false" ht="15" hidden="false" customHeight="true" outlineLevel="0" collapsed="false">
      <c r="A5514" s="10" t="n">
        <f aca="false">Einstellungen!$B$5+INT((ROW()-9)/24)</f>
        <v>46195</v>
      </c>
      <c r="B5514" s="11" t="n">
        <f aca="false">MOD(ROW()-9,24)</f>
        <v>9</v>
      </c>
      <c r="C5514" s="12"/>
      <c r="D5514" s="13" t="n">
        <f aca="false">IF(B5514&lt;5,Einstellungen!$B$3,Einstellungen!$B$4)</f>
        <v>29.13</v>
      </c>
      <c r="E5514" s="14" t="str">
        <f aca="false">IF(C5514="","",C5514*D5514/100)</f>
        <v/>
      </c>
      <c r="F5514" s="15" t="str">
        <f aca="false">IF(B5514&lt;5,"Go","Standard")</f>
        <v>Standard</v>
      </c>
    </row>
    <row r="5515" customFormat="false" ht="15" hidden="false" customHeight="true" outlineLevel="0" collapsed="false">
      <c r="A5515" s="10" t="n">
        <f aca="false">Einstellungen!$B$5+INT((ROW()-9)/24)</f>
        <v>46195</v>
      </c>
      <c r="B5515" s="11" t="n">
        <f aca="false">MOD(ROW()-9,24)</f>
        <v>10</v>
      </c>
      <c r="C5515" s="12"/>
      <c r="D5515" s="13" t="n">
        <f aca="false">IF(B5515&lt;5,Einstellungen!$B$3,Einstellungen!$B$4)</f>
        <v>29.13</v>
      </c>
      <c r="E5515" s="14" t="str">
        <f aca="false">IF(C5515="","",C5515*D5515/100)</f>
        <v/>
      </c>
      <c r="F5515" s="15" t="str">
        <f aca="false">IF(B5515&lt;5,"Go","Standard")</f>
        <v>Standard</v>
      </c>
    </row>
    <row r="5516" customFormat="false" ht="15" hidden="false" customHeight="true" outlineLevel="0" collapsed="false">
      <c r="A5516" s="10" t="n">
        <f aca="false">Einstellungen!$B$5+INT((ROW()-9)/24)</f>
        <v>46195</v>
      </c>
      <c r="B5516" s="11" t="n">
        <f aca="false">MOD(ROW()-9,24)</f>
        <v>11</v>
      </c>
      <c r="C5516" s="12"/>
      <c r="D5516" s="13" t="n">
        <f aca="false">IF(B5516&lt;5,Einstellungen!$B$3,Einstellungen!$B$4)</f>
        <v>29.13</v>
      </c>
      <c r="E5516" s="14" t="str">
        <f aca="false">IF(C5516="","",C5516*D5516/100)</f>
        <v/>
      </c>
      <c r="F5516" s="15" t="str">
        <f aca="false">IF(B5516&lt;5,"Go","Standard")</f>
        <v>Standard</v>
      </c>
    </row>
    <row r="5517" customFormat="false" ht="15" hidden="false" customHeight="true" outlineLevel="0" collapsed="false">
      <c r="A5517" s="10" t="n">
        <f aca="false">Einstellungen!$B$5+INT((ROW()-9)/24)</f>
        <v>46195</v>
      </c>
      <c r="B5517" s="11" t="n">
        <f aca="false">MOD(ROW()-9,24)</f>
        <v>12</v>
      </c>
      <c r="C5517" s="12"/>
      <c r="D5517" s="13" t="n">
        <f aca="false">IF(B5517&lt;5,Einstellungen!$B$3,Einstellungen!$B$4)</f>
        <v>29.13</v>
      </c>
      <c r="E5517" s="14" t="str">
        <f aca="false">IF(C5517="","",C5517*D5517/100)</f>
        <v/>
      </c>
      <c r="F5517" s="15" t="str">
        <f aca="false">IF(B5517&lt;5,"Go","Standard")</f>
        <v>Standard</v>
      </c>
    </row>
    <row r="5518" customFormat="false" ht="15" hidden="false" customHeight="true" outlineLevel="0" collapsed="false">
      <c r="A5518" s="10" t="n">
        <f aca="false">Einstellungen!$B$5+INT((ROW()-9)/24)</f>
        <v>46195</v>
      </c>
      <c r="B5518" s="11" t="n">
        <f aca="false">MOD(ROW()-9,24)</f>
        <v>13</v>
      </c>
      <c r="C5518" s="12"/>
      <c r="D5518" s="13" t="n">
        <f aca="false">IF(B5518&lt;5,Einstellungen!$B$3,Einstellungen!$B$4)</f>
        <v>29.13</v>
      </c>
      <c r="E5518" s="14" t="str">
        <f aca="false">IF(C5518="","",C5518*D5518/100)</f>
        <v/>
      </c>
      <c r="F5518" s="15" t="str">
        <f aca="false">IF(B5518&lt;5,"Go","Standard")</f>
        <v>Standard</v>
      </c>
    </row>
    <row r="5519" customFormat="false" ht="15" hidden="false" customHeight="true" outlineLevel="0" collapsed="false">
      <c r="A5519" s="10" t="n">
        <f aca="false">Einstellungen!$B$5+INT((ROW()-9)/24)</f>
        <v>46195</v>
      </c>
      <c r="B5519" s="11" t="n">
        <f aca="false">MOD(ROW()-9,24)</f>
        <v>14</v>
      </c>
      <c r="C5519" s="12"/>
      <c r="D5519" s="13" t="n">
        <f aca="false">IF(B5519&lt;5,Einstellungen!$B$3,Einstellungen!$B$4)</f>
        <v>29.13</v>
      </c>
      <c r="E5519" s="14" t="str">
        <f aca="false">IF(C5519="","",C5519*D5519/100)</f>
        <v/>
      </c>
      <c r="F5519" s="15" t="str">
        <f aca="false">IF(B5519&lt;5,"Go","Standard")</f>
        <v>Standard</v>
      </c>
    </row>
    <row r="5520" customFormat="false" ht="15" hidden="false" customHeight="true" outlineLevel="0" collapsed="false">
      <c r="A5520" s="10" t="n">
        <f aca="false">Einstellungen!$B$5+INT((ROW()-9)/24)</f>
        <v>46195</v>
      </c>
      <c r="B5520" s="11" t="n">
        <f aca="false">MOD(ROW()-9,24)</f>
        <v>15</v>
      </c>
      <c r="C5520" s="12"/>
      <c r="D5520" s="13" t="n">
        <f aca="false">IF(B5520&lt;5,Einstellungen!$B$3,Einstellungen!$B$4)</f>
        <v>29.13</v>
      </c>
      <c r="E5520" s="14" t="str">
        <f aca="false">IF(C5520="","",C5520*D5520/100)</f>
        <v/>
      </c>
      <c r="F5520" s="15" t="str">
        <f aca="false">IF(B5520&lt;5,"Go","Standard")</f>
        <v>Standard</v>
      </c>
    </row>
    <row r="5521" customFormat="false" ht="15" hidden="false" customHeight="true" outlineLevel="0" collapsed="false">
      <c r="A5521" s="10" t="n">
        <f aca="false">Einstellungen!$B$5+INT((ROW()-9)/24)</f>
        <v>46195</v>
      </c>
      <c r="B5521" s="11" t="n">
        <f aca="false">MOD(ROW()-9,24)</f>
        <v>16</v>
      </c>
      <c r="C5521" s="12"/>
      <c r="D5521" s="13" t="n">
        <f aca="false">IF(B5521&lt;5,Einstellungen!$B$3,Einstellungen!$B$4)</f>
        <v>29.13</v>
      </c>
      <c r="E5521" s="14" t="str">
        <f aca="false">IF(C5521="","",C5521*D5521/100)</f>
        <v/>
      </c>
      <c r="F5521" s="15" t="str">
        <f aca="false">IF(B5521&lt;5,"Go","Standard")</f>
        <v>Standard</v>
      </c>
    </row>
    <row r="5522" customFormat="false" ht="15" hidden="false" customHeight="true" outlineLevel="0" collapsed="false">
      <c r="A5522" s="10" t="n">
        <f aca="false">Einstellungen!$B$5+INT((ROW()-9)/24)</f>
        <v>46195</v>
      </c>
      <c r="B5522" s="11" t="n">
        <f aca="false">MOD(ROW()-9,24)</f>
        <v>17</v>
      </c>
      <c r="C5522" s="12"/>
      <c r="D5522" s="13" t="n">
        <f aca="false">IF(B5522&lt;5,Einstellungen!$B$3,Einstellungen!$B$4)</f>
        <v>29.13</v>
      </c>
      <c r="E5522" s="14" t="str">
        <f aca="false">IF(C5522="","",C5522*D5522/100)</f>
        <v/>
      </c>
      <c r="F5522" s="15" t="str">
        <f aca="false">IF(B5522&lt;5,"Go","Standard")</f>
        <v>Standard</v>
      </c>
    </row>
    <row r="5523" customFormat="false" ht="15" hidden="false" customHeight="true" outlineLevel="0" collapsed="false">
      <c r="A5523" s="10" t="n">
        <f aca="false">Einstellungen!$B$5+INT((ROW()-9)/24)</f>
        <v>46195</v>
      </c>
      <c r="B5523" s="11" t="n">
        <f aca="false">MOD(ROW()-9,24)</f>
        <v>18</v>
      </c>
      <c r="C5523" s="12"/>
      <c r="D5523" s="13" t="n">
        <f aca="false">IF(B5523&lt;5,Einstellungen!$B$3,Einstellungen!$B$4)</f>
        <v>29.13</v>
      </c>
      <c r="E5523" s="14" t="str">
        <f aca="false">IF(C5523="","",C5523*D5523/100)</f>
        <v/>
      </c>
      <c r="F5523" s="15" t="str">
        <f aca="false">IF(B5523&lt;5,"Go","Standard")</f>
        <v>Standard</v>
      </c>
    </row>
    <row r="5524" customFormat="false" ht="15" hidden="false" customHeight="true" outlineLevel="0" collapsed="false">
      <c r="A5524" s="10" t="n">
        <f aca="false">Einstellungen!$B$5+INT((ROW()-9)/24)</f>
        <v>46195</v>
      </c>
      <c r="B5524" s="11" t="n">
        <f aca="false">MOD(ROW()-9,24)</f>
        <v>19</v>
      </c>
      <c r="C5524" s="12"/>
      <c r="D5524" s="13" t="n">
        <f aca="false">IF(B5524&lt;5,Einstellungen!$B$3,Einstellungen!$B$4)</f>
        <v>29.13</v>
      </c>
      <c r="E5524" s="14" t="str">
        <f aca="false">IF(C5524="","",C5524*D5524/100)</f>
        <v/>
      </c>
      <c r="F5524" s="15" t="str">
        <f aca="false">IF(B5524&lt;5,"Go","Standard")</f>
        <v>Standard</v>
      </c>
    </row>
    <row r="5525" customFormat="false" ht="15" hidden="false" customHeight="true" outlineLevel="0" collapsed="false">
      <c r="A5525" s="10" t="n">
        <f aca="false">Einstellungen!$B$5+INT((ROW()-9)/24)</f>
        <v>46195</v>
      </c>
      <c r="B5525" s="11" t="n">
        <f aca="false">MOD(ROW()-9,24)</f>
        <v>20</v>
      </c>
      <c r="C5525" s="12"/>
      <c r="D5525" s="13" t="n">
        <f aca="false">IF(B5525&lt;5,Einstellungen!$B$3,Einstellungen!$B$4)</f>
        <v>29.13</v>
      </c>
      <c r="E5525" s="14" t="str">
        <f aca="false">IF(C5525="","",C5525*D5525/100)</f>
        <v/>
      </c>
      <c r="F5525" s="15" t="str">
        <f aca="false">IF(B5525&lt;5,"Go","Standard")</f>
        <v>Standard</v>
      </c>
    </row>
    <row r="5526" customFormat="false" ht="15" hidden="false" customHeight="true" outlineLevel="0" collapsed="false">
      <c r="A5526" s="10" t="n">
        <f aca="false">Einstellungen!$B$5+INT((ROW()-9)/24)</f>
        <v>46195</v>
      </c>
      <c r="B5526" s="11" t="n">
        <f aca="false">MOD(ROW()-9,24)</f>
        <v>21</v>
      </c>
      <c r="C5526" s="12"/>
      <c r="D5526" s="13" t="n">
        <f aca="false">IF(B5526&lt;5,Einstellungen!$B$3,Einstellungen!$B$4)</f>
        <v>29.13</v>
      </c>
      <c r="E5526" s="14" t="str">
        <f aca="false">IF(C5526="","",C5526*D5526/100)</f>
        <v/>
      </c>
      <c r="F5526" s="15" t="str">
        <f aca="false">IF(B5526&lt;5,"Go","Standard")</f>
        <v>Standard</v>
      </c>
    </row>
    <row r="5527" customFormat="false" ht="15" hidden="false" customHeight="true" outlineLevel="0" collapsed="false">
      <c r="A5527" s="10" t="n">
        <f aca="false">Einstellungen!$B$5+INT((ROW()-9)/24)</f>
        <v>46195</v>
      </c>
      <c r="B5527" s="11" t="n">
        <f aca="false">MOD(ROW()-9,24)</f>
        <v>22</v>
      </c>
      <c r="C5527" s="12"/>
      <c r="D5527" s="13" t="n">
        <f aca="false">IF(B5527&lt;5,Einstellungen!$B$3,Einstellungen!$B$4)</f>
        <v>29.13</v>
      </c>
      <c r="E5527" s="14" t="str">
        <f aca="false">IF(C5527="","",C5527*D5527/100)</f>
        <v/>
      </c>
      <c r="F5527" s="15" t="str">
        <f aca="false">IF(B5527&lt;5,"Go","Standard")</f>
        <v>Standard</v>
      </c>
    </row>
    <row r="5528" customFormat="false" ht="15" hidden="false" customHeight="true" outlineLevel="0" collapsed="false">
      <c r="A5528" s="10" t="n">
        <f aca="false">Einstellungen!$B$5+INT((ROW()-9)/24)</f>
        <v>46195</v>
      </c>
      <c r="B5528" s="11" t="n">
        <f aca="false">MOD(ROW()-9,24)</f>
        <v>23</v>
      </c>
      <c r="C5528" s="12"/>
      <c r="D5528" s="13" t="n">
        <f aca="false">IF(B5528&lt;5,Einstellungen!$B$3,Einstellungen!$B$4)</f>
        <v>29.13</v>
      </c>
      <c r="E5528" s="14" t="str">
        <f aca="false">IF(C5528="","",C5528*D5528/100)</f>
        <v/>
      </c>
      <c r="F5528" s="15" t="str">
        <f aca="false">IF(B5528&lt;5,"Go","Standard")</f>
        <v>Standard</v>
      </c>
    </row>
    <row r="5529" customFormat="false" ht="15" hidden="false" customHeight="true" outlineLevel="0" collapsed="false">
      <c r="A5529" s="10" t="n">
        <f aca="false">Einstellungen!$B$5+INT((ROW()-9)/24)</f>
        <v>46196</v>
      </c>
      <c r="B5529" s="11" t="n">
        <f aca="false">MOD(ROW()-9,24)</f>
        <v>0</v>
      </c>
      <c r="C5529" s="12"/>
      <c r="D5529" s="13" t="n">
        <f aca="false">IF(B5529&lt;5,Einstellungen!$B$3,Einstellungen!$B$4)</f>
        <v>15.92</v>
      </c>
      <c r="E5529" s="14" t="str">
        <f aca="false">IF(C5529="","",C5529*D5529/100)</f>
        <v/>
      </c>
      <c r="F5529" s="15" t="str">
        <f aca="false">IF(B5529&lt;5,"Go","Standard")</f>
        <v>Go</v>
      </c>
    </row>
    <row r="5530" customFormat="false" ht="15" hidden="false" customHeight="true" outlineLevel="0" collapsed="false">
      <c r="A5530" s="10" t="n">
        <f aca="false">Einstellungen!$B$5+INT((ROW()-9)/24)</f>
        <v>46196</v>
      </c>
      <c r="B5530" s="11" t="n">
        <f aca="false">MOD(ROW()-9,24)</f>
        <v>1</v>
      </c>
      <c r="C5530" s="12"/>
      <c r="D5530" s="13" t="n">
        <f aca="false">IF(B5530&lt;5,Einstellungen!$B$3,Einstellungen!$B$4)</f>
        <v>15.92</v>
      </c>
      <c r="E5530" s="14" t="str">
        <f aca="false">IF(C5530="","",C5530*D5530/100)</f>
        <v/>
      </c>
      <c r="F5530" s="15" t="str">
        <f aca="false">IF(B5530&lt;5,"Go","Standard")</f>
        <v>Go</v>
      </c>
    </row>
    <row r="5531" customFormat="false" ht="15" hidden="false" customHeight="true" outlineLevel="0" collapsed="false">
      <c r="A5531" s="10" t="n">
        <f aca="false">Einstellungen!$B$5+INT((ROW()-9)/24)</f>
        <v>46196</v>
      </c>
      <c r="B5531" s="11" t="n">
        <f aca="false">MOD(ROW()-9,24)</f>
        <v>2</v>
      </c>
      <c r="C5531" s="12"/>
      <c r="D5531" s="13" t="n">
        <f aca="false">IF(B5531&lt;5,Einstellungen!$B$3,Einstellungen!$B$4)</f>
        <v>15.92</v>
      </c>
      <c r="E5531" s="14" t="str">
        <f aca="false">IF(C5531="","",C5531*D5531/100)</f>
        <v/>
      </c>
      <c r="F5531" s="15" t="str">
        <f aca="false">IF(B5531&lt;5,"Go","Standard")</f>
        <v>Go</v>
      </c>
    </row>
    <row r="5532" customFormat="false" ht="15" hidden="false" customHeight="true" outlineLevel="0" collapsed="false">
      <c r="A5532" s="10" t="n">
        <f aca="false">Einstellungen!$B$5+INT((ROW()-9)/24)</f>
        <v>46196</v>
      </c>
      <c r="B5532" s="11" t="n">
        <f aca="false">MOD(ROW()-9,24)</f>
        <v>3</v>
      </c>
      <c r="C5532" s="12"/>
      <c r="D5532" s="13" t="n">
        <f aca="false">IF(B5532&lt;5,Einstellungen!$B$3,Einstellungen!$B$4)</f>
        <v>15.92</v>
      </c>
      <c r="E5532" s="14" t="str">
        <f aca="false">IF(C5532="","",C5532*D5532/100)</f>
        <v/>
      </c>
      <c r="F5532" s="15" t="str">
        <f aca="false">IF(B5532&lt;5,"Go","Standard")</f>
        <v>Go</v>
      </c>
    </row>
    <row r="5533" customFormat="false" ht="15" hidden="false" customHeight="true" outlineLevel="0" collapsed="false">
      <c r="A5533" s="10" t="n">
        <f aca="false">Einstellungen!$B$5+INT((ROW()-9)/24)</f>
        <v>46196</v>
      </c>
      <c r="B5533" s="11" t="n">
        <f aca="false">MOD(ROW()-9,24)</f>
        <v>4</v>
      </c>
      <c r="C5533" s="12"/>
      <c r="D5533" s="13" t="n">
        <f aca="false">IF(B5533&lt;5,Einstellungen!$B$3,Einstellungen!$B$4)</f>
        <v>15.92</v>
      </c>
      <c r="E5533" s="14" t="str">
        <f aca="false">IF(C5533="","",C5533*D5533/100)</f>
        <v/>
      </c>
      <c r="F5533" s="15" t="str">
        <f aca="false">IF(B5533&lt;5,"Go","Standard")</f>
        <v>Go</v>
      </c>
    </row>
    <row r="5534" customFormat="false" ht="15" hidden="false" customHeight="true" outlineLevel="0" collapsed="false">
      <c r="A5534" s="10" t="n">
        <f aca="false">Einstellungen!$B$5+INT((ROW()-9)/24)</f>
        <v>46196</v>
      </c>
      <c r="B5534" s="11" t="n">
        <f aca="false">MOD(ROW()-9,24)</f>
        <v>5</v>
      </c>
      <c r="C5534" s="12"/>
      <c r="D5534" s="13" t="n">
        <f aca="false">IF(B5534&lt;5,Einstellungen!$B$3,Einstellungen!$B$4)</f>
        <v>29.13</v>
      </c>
      <c r="E5534" s="14" t="str">
        <f aca="false">IF(C5534="","",C5534*D5534/100)</f>
        <v/>
      </c>
      <c r="F5534" s="15" t="str">
        <f aca="false">IF(B5534&lt;5,"Go","Standard")</f>
        <v>Standard</v>
      </c>
    </row>
    <row r="5535" customFormat="false" ht="15" hidden="false" customHeight="true" outlineLevel="0" collapsed="false">
      <c r="A5535" s="10" t="n">
        <f aca="false">Einstellungen!$B$5+INT((ROW()-9)/24)</f>
        <v>46196</v>
      </c>
      <c r="B5535" s="11" t="n">
        <f aca="false">MOD(ROW()-9,24)</f>
        <v>6</v>
      </c>
      <c r="C5535" s="12"/>
      <c r="D5535" s="13" t="n">
        <f aca="false">IF(B5535&lt;5,Einstellungen!$B$3,Einstellungen!$B$4)</f>
        <v>29.13</v>
      </c>
      <c r="E5535" s="14" t="str">
        <f aca="false">IF(C5535="","",C5535*D5535/100)</f>
        <v/>
      </c>
      <c r="F5535" s="15" t="str">
        <f aca="false">IF(B5535&lt;5,"Go","Standard")</f>
        <v>Standard</v>
      </c>
    </row>
    <row r="5536" customFormat="false" ht="15" hidden="false" customHeight="true" outlineLevel="0" collapsed="false">
      <c r="A5536" s="10" t="n">
        <f aca="false">Einstellungen!$B$5+INT((ROW()-9)/24)</f>
        <v>46196</v>
      </c>
      <c r="B5536" s="11" t="n">
        <f aca="false">MOD(ROW()-9,24)</f>
        <v>7</v>
      </c>
      <c r="C5536" s="12"/>
      <c r="D5536" s="13" t="n">
        <f aca="false">IF(B5536&lt;5,Einstellungen!$B$3,Einstellungen!$B$4)</f>
        <v>29.13</v>
      </c>
      <c r="E5536" s="14" t="str">
        <f aca="false">IF(C5536="","",C5536*D5536/100)</f>
        <v/>
      </c>
      <c r="F5536" s="15" t="str">
        <f aca="false">IF(B5536&lt;5,"Go","Standard")</f>
        <v>Standard</v>
      </c>
    </row>
    <row r="5537" customFormat="false" ht="15" hidden="false" customHeight="true" outlineLevel="0" collapsed="false">
      <c r="A5537" s="10" t="n">
        <f aca="false">Einstellungen!$B$5+INT((ROW()-9)/24)</f>
        <v>46196</v>
      </c>
      <c r="B5537" s="11" t="n">
        <f aca="false">MOD(ROW()-9,24)</f>
        <v>8</v>
      </c>
      <c r="C5537" s="12"/>
      <c r="D5537" s="13" t="n">
        <f aca="false">IF(B5537&lt;5,Einstellungen!$B$3,Einstellungen!$B$4)</f>
        <v>29.13</v>
      </c>
      <c r="E5537" s="14" t="str">
        <f aca="false">IF(C5537="","",C5537*D5537/100)</f>
        <v/>
      </c>
      <c r="F5537" s="15" t="str">
        <f aca="false">IF(B5537&lt;5,"Go","Standard")</f>
        <v>Standard</v>
      </c>
    </row>
    <row r="5538" customFormat="false" ht="15" hidden="false" customHeight="true" outlineLevel="0" collapsed="false">
      <c r="A5538" s="10" t="n">
        <f aca="false">Einstellungen!$B$5+INT((ROW()-9)/24)</f>
        <v>46196</v>
      </c>
      <c r="B5538" s="11" t="n">
        <f aca="false">MOD(ROW()-9,24)</f>
        <v>9</v>
      </c>
      <c r="C5538" s="12"/>
      <c r="D5538" s="13" t="n">
        <f aca="false">IF(B5538&lt;5,Einstellungen!$B$3,Einstellungen!$B$4)</f>
        <v>29.13</v>
      </c>
      <c r="E5538" s="14" t="str">
        <f aca="false">IF(C5538="","",C5538*D5538/100)</f>
        <v/>
      </c>
      <c r="F5538" s="15" t="str">
        <f aca="false">IF(B5538&lt;5,"Go","Standard")</f>
        <v>Standard</v>
      </c>
    </row>
    <row r="5539" customFormat="false" ht="15" hidden="false" customHeight="true" outlineLevel="0" collapsed="false">
      <c r="A5539" s="10" t="n">
        <f aca="false">Einstellungen!$B$5+INT((ROW()-9)/24)</f>
        <v>46196</v>
      </c>
      <c r="B5539" s="11" t="n">
        <f aca="false">MOD(ROW()-9,24)</f>
        <v>10</v>
      </c>
      <c r="C5539" s="12"/>
      <c r="D5539" s="13" t="n">
        <f aca="false">IF(B5539&lt;5,Einstellungen!$B$3,Einstellungen!$B$4)</f>
        <v>29.13</v>
      </c>
      <c r="E5539" s="14" t="str">
        <f aca="false">IF(C5539="","",C5539*D5539/100)</f>
        <v/>
      </c>
      <c r="F5539" s="15" t="str">
        <f aca="false">IF(B5539&lt;5,"Go","Standard")</f>
        <v>Standard</v>
      </c>
    </row>
    <row r="5540" customFormat="false" ht="15" hidden="false" customHeight="true" outlineLevel="0" collapsed="false">
      <c r="A5540" s="10" t="n">
        <f aca="false">Einstellungen!$B$5+INT((ROW()-9)/24)</f>
        <v>46196</v>
      </c>
      <c r="B5540" s="11" t="n">
        <f aca="false">MOD(ROW()-9,24)</f>
        <v>11</v>
      </c>
      <c r="C5540" s="12"/>
      <c r="D5540" s="13" t="n">
        <f aca="false">IF(B5540&lt;5,Einstellungen!$B$3,Einstellungen!$B$4)</f>
        <v>29.13</v>
      </c>
      <c r="E5540" s="14" t="str">
        <f aca="false">IF(C5540="","",C5540*D5540/100)</f>
        <v/>
      </c>
      <c r="F5540" s="15" t="str">
        <f aca="false">IF(B5540&lt;5,"Go","Standard")</f>
        <v>Standard</v>
      </c>
    </row>
    <row r="5541" customFormat="false" ht="15" hidden="false" customHeight="true" outlineLevel="0" collapsed="false">
      <c r="A5541" s="10" t="n">
        <f aca="false">Einstellungen!$B$5+INT((ROW()-9)/24)</f>
        <v>46196</v>
      </c>
      <c r="B5541" s="11" t="n">
        <f aca="false">MOD(ROW()-9,24)</f>
        <v>12</v>
      </c>
      <c r="C5541" s="12"/>
      <c r="D5541" s="13" t="n">
        <f aca="false">IF(B5541&lt;5,Einstellungen!$B$3,Einstellungen!$B$4)</f>
        <v>29.13</v>
      </c>
      <c r="E5541" s="14" t="str">
        <f aca="false">IF(C5541="","",C5541*D5541/100)</f>
        <v/>
      </c>
      <c r="F5541" s="15" t="str">
        <f aca="false">IF(B5541&lt;5,"Go","Standard")</f>
        <v>Standard</v>
      </c>
    </row>
    <row r="5542" customFormat="false" ht="15" hidden="false" customHeight="true" outlineLevel="0" collapsed="false">
      <c r="A5542" s="10" t="n">
        <f aca="false">Einstellungen!$B$5+INT((ROW()-9)/24)</f>
        <v>46196</v>
      </c>
      <c r="B5542" s="11" t="n">
        <f aca="false">MOD(ROW()-9,24)</f>
        <v>13</v>
      </c>
      <c r="C5542" s="12"/>
      <c r="D5542" s="13" t="n">
        <f aca="false">IF(B5542&lt;5,Einstellungen!$B$3,Einstellungen!$B$4)</f>
        <v>29.13</v>
      </c>
      <c r="E5542" s="14" t="str">
        <f aca="false">IF(C5542="","",C5542*D5542/100)</f>
        <v/>
      </c>
      <c r="F5542" s="15" t="str">
        <f aca="false">IF(B5542&lt;5,"Go","Standard")</f>
        <v>Standard</v>
      </c>
    </row>
    <row r="5543" customFormat="false" ht="15" hidden="false" customHeight="true" outlineLevel="0" collapsed="false">
      <c r="A5543" s="10" t="n">
        <f aca="false">Einstellungen!$B$5+INT((ROW()-9)/24)</f>
        <v>46196</v>
      </c>
      <c r="B5543" s="11" t="n">
        <f aca="false">MOD(ROW()-9,24)</f>
        <v>14</v>
      </c>
      <c r="C5543" s="12"/>
      <c r="D5543" s="13" t="n">
        <f aca="false">IF(B5543&lt;5,Einstellungen!$B$3,Einstellungen!$B$4)</f>
        <v>29.13</v>
      </c>
      <c r="E5543" s="14" t="str">
        <f aca="false">IF(C5543="","",C5543*D5543/100)</f>
        <v/>
      </c>
      <c r="F5543" s="15" t="str">
        <f aca="false">IF(B5543&lt;5,"Go","Standard")</f>
        <v>Standard</v>
      </c>
    </row>
    <row r="5544" customFormat="false" ht="15" hidden="false" customHeight="true" outlineLevel="0" collapsed="false">
      <c r="A5544" s="10" t="n">
        <f aca="false">Einstellungen!$B$5+INT((ROW()-9)/24)</f>
        <v>46196</v>
      </c>
      <c r="B5544" s="11" t="n">
        <f aca="false">MOD(ROW()-9,24)</f>
        <v>15</v>
      </c>
      <c r="C5544" s="12"/>
      <c r="D5544" s="13" t="n">
        <f aca="false">IF(B5544&lt;5,Einstellungen!$B$3,Einstellungen!$B$4)</f>
        <v>29.13</v>
      </c>
      <c r="E5544" s="14" t="str">
        <f aca="false">IF(C5544="","",C5544*D5544/100)</f>
        <v/>
      </c>
      <c r="F5544" s="15" t="str">
        <f aca="false">IF(B5544&lt;5,"Go","Standard")</f>
        <v>Standard</v>
      </c>
    </row>
    <row r="5545" customFormat="false" ht="15" hidden="false" customHeight="true" outlineLevel="0" collapsed="false">
      <c r="A5545" s="10" t="n">
        <f aca="false">Einstellungen!$B$5+INT((ROW()-9)/24)</f>
        <v>46196</v>
      </c>
      <c r="B5545" s="11" t="n">
        <f aca="false">MOD(ROW()-9,24)</f>
        <v>16</v>
      </c>
      <c r="C5545" s="12"/>
      <c r="D5545" s="13" t="n">
        <f aca="false">IF(B5545&lt;5,Einstellungen!$B$3,Einstellungen!$B$4)</f>
        <v>29.13</v>
      </c>
      <c r="E5545" s="14" t="str">
        <f aca="false">IF(C5545="","",C5545*D5545/100)</f>
        <v/>
      </c>
      <c r="F5545" s="15" t="str">
        <f aca="false">IF(B5545&lt;5,"Go","Standard")</f>
        <v>Standard</v>
      </c>
    </row>
    <row r="5546" customFormat="false" ht="15" hidden="false" customHeight="true" outlineLevel="0" collapsed="false">
      <c r="A5546" s="10" t="n">
        <f aca="false">Einstellungen!$B$5+INT((ROW()-9)/24)</f>
        <v>46196</v>
      </c>
      <c r="B5546" s="11" t="n">
        <f aca="false">MOD(ROW()-9,24)</f>
        <v>17</v>
      </c>
      <c r="C5546" s="12"/>
      <c r="D5546" s="13" t="n">
        <f aca="false">IF(B5546&lt;5,Einstellungen!$B$3,Einstellungen!$B$4)</f>
        <v>29.13</v>
      </c>
      <c r="E5546" s="14" t="str">
        <f aca="false">IF(C5546="","",C5546*D5546/100)</f>
        <v/>
      </c>
      <c r="F5546" s="15" t="str">
        <f aca="false">IF(B5546&lt;5,"Go","Standard")</f>
        <v>Standard</v>
      </c>
    </row>
    <row r="5547" customFormat="false" ht="15" hidden="false" customHeight="true" outlineLevel="0" collapsed="false">
      <c r="A5547" s="10" t="n">
        <f aca="false">Einstellungen!$B$5+INT((ROW()-9)/24)</f>
        <v>46196</v>
      </c>
      <c r="B5547" s="11" t="n">
        <f aca="false">MOD(ROW()-9,24)</f>
        <v>18</v>
      </c>
      <c r="C5547" s="12"/>
      <c r="D5547" s="13" t="n">
        <f aca="false">IF(B5547&lt;5,Einstellungen!$B$3,Einstellungen!$B$4)</f>
        <v>29.13</v>
      </c>
      <c r="E5547" s="14" t="str">
        <f aca="false">IF(C5547="","",C5547*D5547/100)</f>
        <v/>
      </c>
      <c r="F5547" s="15" t="str">
        <f aca="false">IF(B5547&lt;5,"Go","Standard")</f>
        <v>Standard</v>
      </c>
    </row>
    <row r="5548" customFormat="false" ht="15" hidden="false" customHeight="true" outlineLevel="0" collapsed="false">
      <c r="A5548" s="10" t="n">
        <f aca="false">Einstellungen!$B$5+INT((ROW()-9)/24)</f>
        <v>46196</v>
      </c>
      <c r="B5548" s="11" t="n">
        <f aca="false">MOD(ROW()-9,24)</f>
        <v>19</v>
      </c>
      <c r="C5548" s="12"/>
      <c r="D5548" s="13" t="n">
        <f aca="false">IF(B5548&lt;5,Einstellungen!$B$3,Einstellungen!$B$4)</f>
        <v>29.13</v>
      </c>
      <c r="E5548" s="14" t="str">
        <f aca="false">IF(C5548="","",C5548*D5548/100)</f>
        <v/>
      </c>
      <c r="F5548" s="15" t="str">
        <f aca="false">IF(B5548&lt;5,"Go","Standard")</f>
        <v>Standard</v>
      </c>
    </row>
    <row r="5549" customFormat="false" ht="15" hidden="false" customHeight="true" outlineLevel="0" collapsed="false">
      <c r="A5549" s="10" t="n">
        <f aca="false">Einstellungen!$B$5+INT((ROW()-9)/24)</f>
        <v>46196</v>
      </c>
      <c r="B5549" s="11" t="n">
        <f aca="false">MOD(ROW()-9,24)</f>
        <v>20</v>
      </c>
      <c r="C5549" s="12"/>
      <c r="D5549" s="13" t="n">
        <f aca="false">IF(B5549&lt;5,Einstellungen!$B$3,Einstellungen!$B$4)</f>
        <v>29.13</v>
      </c>
      <c r="E5549" s="14" t="str">
        <f aca="false">IF(C5549="","",C5549*D5549/100)</f>
        <v/>
      </c>
      <c r="F5549" s="15" t="str">
        <f aca="false">IF(B5549&lt;5,"Go","Standard")</f>
        <v>Standard</v>
      </c>
    </row>
    <row r="5550" customFormat="false" ht="15" hidden="false" customHeight="true" outlineLevel="0" collapsed="false">
      <c r="A5550" s="10" t="n">
        <f aca="false">Einstellungen!$B$5+INT((ROW()-9)/24)</f>
        <v>46196</v>
      </c>
      <c r="B5550" s="11" t="n">
        <f aca="false">MOD(ROW()-9,24)</f>
        <v>21</v>
      </c>
      <c r="C5550" s="12"/>
      <c r="D5550" s="13" t="n">
        <f aca="false">IF(B5550&lt;5,Einstellungen!$B$3,Einstellungen!$B$4)</f>
        <v>29.13</v>
      </c>
      <c r="E5550" s="14" t="str">
        <f aca="false">IF(C5550="","",C5550*D5550/100)</f>
        <v/>
      </c>
      <c r="F5550" s="15" t="str">
        <f aca="false">IF(B5550&lt;5,"Go","Standard")</f>
        <v>Standard</v>
      </c>
    </row>
    <row r="5551" customFormat="false" ht="15" hidden="false" customHeight="true" outlineLevel="0" collapsed="false">
      <c r="A5551" s="10" t="n">
        <f aca="false">Einstellungen!$B$5+INT((ROW()-9)/24)</f>
        <v>46196</v>
      </c>
      <c r="B5551" s="11" t="n">
        <f aca="false">MOD(ROW()-9,24)</f>
        <v>22</v>
      </c>
      <c r="C5551" s="12"/>
      <c r="D5551" s="13" t="n">
        <f aca="false">IF(B5551&lt;5,Einstellungen!$B$3,Einstellungen!$B$4)</f>
        <v>29.13</v>
      </c>
      <c r="E5551" s="14" t="str">
        <f aca="false">IF(C5551="","",C5551*D5551/100)</f>
        <v/>
      </c>
      <c r="F5551" s="15" t="str">
        <f aca="false">IF(B5551&lt;5,"Go","Standard")</f>
        <v>Standard</v>
      </c>
    </row>
    <row r="5552" customFormat="false" ht="15" hidden="false" customHeight="true" outlineLevel="0" collapsed="false">
      <c r="A5552" s="10" t="n">
        <f aca="false">Einstellungen!$B$5+INT((ROW()-9)/24)</f>
        <v>46196</v>
      </c>
      <c r="B5552" s="11" t="n">
        <f aca="false">MOD(ROW()-9,24)</f>
        <v>23</v>
      </c>
      <c r="C5552" s="12"/>
      <c r="D5552" s="13" t="n">
        <f aca="false">IF(B5552&lt;5,Einstellungen!$B$3,Einstellungen!$B$4)</f>
        <v>29.13</v>
      </c>
      <c r="E5552" s="14" t="str">
        <f aca="false">IF(C5552="","",C5552*D5552/100)</f>
        <v/>
      </c>
      <c r="F5552" s="15" t="str">
        <f aca="false">IF(B5552&lt;5,"Go","Standard")</f>
        <v>Standard</v>
      </c>
    </row>
    <row r="5553" customFormat="false" ht="15" hidden="false" customHeight="true" outlineLevel="0" collapsed="false">
      <c r="A5553" s="10" t="n">
        <f aca="false">Einstellungen!$B$5+INT((ROW()-9)/24)</f>
        <v>46197</v>
      </c>
      <c r="B5553" s="11" t="n">
        <f aca="false">MOD(ROW()-9,24)</f>
        <v>0</v>
      </c>
      <c r="C5553" s="12"/>
      <c r="D5553" s="13" t="n">
        <f aca="false">IF(B5553&lt;5,Einstellungen!$B$3,Einstellungen!$B$4)</f>
        <v>15.92</v>
      </c>
      <c r="E5553" s="14" t="str">
        <f aca="false">IF(C5553="","",C5553*D5553/100)</f>
        <v/>
      </c>
      <c r="F5553" s="15" t="str">
        <f aca="false">IF(B5553&lt;5,"Go","Standard")</f>
        <v>Go</v>
      </c>
    </row>
    <row r="5554" customFormat="false" ht="15" hidden="false" customHeight="true" outlineLevel="0" collapsed="false">
      <c r="A5554" s="10" t="n">
        <f aca="false">Einstellungen!$B$5+INT((ROW()-9)/24)</f>
        <v>46197</v>
      </c>
      <c r="B5554" s="11" t="n">
        <f aca="false">MOD(ROW()-9,24)</f>
        <v>1</v>
      </c>
      <c r="C5554" s="12"/>
      <c r="D5554" s="13" t="n">
        <f aca="false">IF(B5554&lt;5,Einstellungen!$B$3,Einstellungen!$B$4)</f>
        <v>15.92</v>
      </c>
      <c r="E5554" s="14" t="str">
        <f aca="false">IF(C5554="","",C5554*D5554/100)</f>
        <v/>
      </c>
      <c r="F5554" s="15" t="str">
        <f aca="false">IF(B5554&lt;5,"Go","Standard")</f>
        <v>Go</v>
      </c>
    </row>
    <row r="5555" customFormat="false" ht="15" hidden="false" customHeight="true" outlineLevel="0" collapsed="false">
      <c r="A5555" s="10" t="n">
        <f aca="false">Einstellungen!$B$5+INT((ROW()-9)/24)</f>
        <v>46197</v>
      </c>
      <c r="B5555" s="11" t="n">
        <f aca="false">MOD(ROW()-9,24)</f>
        <v>2</v>
      </c>
      <c r="C5555" s="12"/>
      <c r="D5555" s="13" t="n">
        <f aca="false">IF(B5555&lt;5,Einstellungen!$B$3,Einstellungen!$B$4)</f>
        <v>15.92</v>
      </c>
      <c r="E5555" s="14" t="str">
        <f aca="false">IF(C5555="","",C5555*D5555/100)</f>
        <v/>
      </c>
      <c r="F5555" s="15" t="str">
        <f aca="false">IF(B5555&lt;5,"Go","Standard")</f>
        <v>Go</v>
      </c>
    </row>
    <row r="5556" customFormat="false" ht="15" hidden="false" customHeight="true" outlineLevel="0" collapsed="false">
      <c r="A5556" s="10" t="n">
        <f aca="false">Einstellungen!$B$5+INT((ROW()-9)/24)</f>
        <v>46197</v>
      </c>
      <c r="B5556" s="11" t="n">
        <f aca="false">MOD(ROW()-9,24)</f>
        <v>3</v>
      </c>
      <c r="C5556" s="12"/>
      <c r="D5556" s="13" t="n">
        <f aca="false">IF(B5556&lt;5,Einstellungen!$B$3,Einstellungen!$B$4)</f>
        <v>15.92</v>
      </c>
      <c r="E5556" s="14" t="str">
        <f aca="false">IF(C5556="","",C5556*D5556/100)</f>
        <v/>
      </c>
      <c r="F5556" s="15" t="str">
        <f aca="false">IF(B5556&lt;5,"Go","Standard")</f>
        <v>Go</v>
      </c>
    </row>
    <row r="5557" customFormat="false" ht="15" hidden="false" customHeight="true" outlineLevel="0" collapsed="false">
      <c r="A5557" s="10" t="n">
        <f aca="false">Einstellungen!$B$5+INT((ROW()-9)/24)</f>
        <v>46197</v>
      </c>
      <c r="B5557" s="11" t="n">
        <f aca="false">MOD(ROW()-9,24)</f>
        <v>4</v>
      </c>
      <c r="C5557" s="12"/>
      <c r="D5557" s="13" t="n">
        <f aca="false">IF(B5557&lt;5,Einstellungen!$B$3,Einstellungen!$B$4)</f>
        <v>15.92</v>
      </c>
      <c r="E5557" s="14" t="str">
        <f aca="false">IF(C5557="","",C5557*D5557/100)</f>
        <v/>
      </c>
      <c r="F5557" s="15" t="str">
        <f aca="false">IF(B5557&lt;5,"Go","Standard")</f>
        <v>Go</v>
      </c>
    </row>
    <row r="5558" customFormat="false" ht="15" hidden="false" customHeight="true" outlineLevel="0" collapsed="false">
      <c r="A5558" s="10" t="n">
        <f aca="false">Einstellungen!$B$5+INT((ROW()-9)/24)</f>
        <v>46197</v>
      </c>
      <c r="B5558" s="11" t="n">
        <f aca="false">MOD(ROW()-9,24)</f>
        <v>5</v>
      </c>
      <c r="C5558" s="12"/>
      <c r="D5558" s="13" t="n">
        <f aca="false">IF(B5558&lt;5,Einstellungen!$B$3,Einstellungen!$B$4)</f>
        <v>29.13</v>
      </c>
      <c r="E5558" s="14" t="str">
        <f aca="false">IF(C5558="","",C5558*D5558/100)</f>
        <v/>
      </c>
      <c r="F5558" s="15" t="str">
        <f aca="false">IF(B5558&lt;5,"Go","Standard")</f>
        <v>Standard</v>
      </c>
    </row>
    <row r="5559" customFormat="false" ht="15" hidden="false" customHeight="true" outlineLevel="0" collapsed="false">
      <c r="A5559" s="10" t="n">
        <f aca="false">Einstellungen!$B$5+INT((ROW()-9)/24)</f>
        <v>46197</v>
      </c>
      <c r="B5559" s="11" t="n">
        <f aca="false">MOD(ROW()-9,24)</f>
        <v>6</v>
      </c>
      <c r="C5559" s="12"/>
      <c r="D5559" s="13" t="n">
        <f aca="false">IF(B5559&lt;5,Einstellungen!$B$3,Einstellungen!$B$4)</f>
        <v>29.13</v>
      </c>
      <c r="E5559" s="14" t="str">
        <f aca="false">IF(C5559="","",C5559*D5559/100)</f>
        <v/>
      </c>
      <c r="F5559" s="15" t="str">
        <f aca="false">IF(B5559&lt;5,"Go","Standard")</f>
        <v>Standard</v>
      </c>
    </row>
    <row r="5560" customFormat="false" ht="15" hidden="false" customHeight="true" outlineLevel="0" collapsed="false">
      <c r="A5560" s="10" t="n">
        <f aca="false">Einstellungen!$B$5+INT((ROW()-9)/24)</f>
        <v>46197</v>
      </c>
      <c r="B5560" s="11" t="n">
        <f aca="false">MOD(ROW()-9,24)</f>
        <v>7</v>
      </c>
      <c r="C5560" s="12"/>
      <c r="D5560" s="13" t="n">
        <f aca="false">IF(B5560&lt;5,Einstellungen!$B$3,Einstellungen!$B$4)</f>
        <v>29.13</v>
      </c>
      <c r="E5560" s="14" t="str">
        <f aca="false">IF(C5560="","",C5560*D5560/100)</f>
        <v/>
      </c>
      <c r="F5560" s="15" t="str">
        <f aca="false">IF(B5560&lt;5,"Go","Standard")</f>
        <v>Standard</v>
      </c>
    </row>
    <row r="5561" customFormat="false" ht="15" hidden="false" customHeight="true" outlineLevel="0" collapsed="false">
      <c r="A5561" s="10" t="n">
        <f aca="false">Einstellungen!$B$5+INT((ROW()-9)/24)</f>
        <v>46197</v>
      </c>
      <c r="B5561" s="11" t="n">
        <f aca="false">MOD(ROW()-9,24)</f>
        <v>8</v>
      </c>
      <c r="C5561" s="12"/>
      <c r="D5561" s="13" t="n">
        <f aca="false">IF(B5561&lt;5,Einstellungen!$B$3,Einstellungen!$B$4)</f>
        <v>29.13</v>
      </c>
      <c r="E5561" s="14" t="str">
        <f aca="false">IF(C5561="","",C5561*D5561/100)</f>
        <v/>
      </c>
      <c r="F5561" s="15" t="str">
        <f aca="false">IF(B5561&lt;5,"Go","Standard")</f>
        <v>Standard</v>
      </c>
    </row>
    <row r="5562" customFormat="false" ht="15" hidden="false" customHeight="true" outlineLevel="0" collapsed="false">
      <c r="A5562" s="10" t="n">
        <f aca="false">Einstellungen!$B$5+INT((ROW()-9)/24)</f>
        <v>46197</v>
      </c>
      <c r="B5562" s="11" t="n">
        <f aca="false">MOD(ROW()-9,24)</f>
        <v>9</v>
      </c>
      <c r="C5562" s="12"/>
      <c r="D5562" s="13" t="n">
        <f aca="false">IF(B5562&lt;5,Einstellungen!$B$3,Einstellungen!$B$4)</f>
        <v>29.13</v>
      </c>
      <c r="E5562" s="14" t="str">
        <f aca="false">IF(C5562="","",C5562*D5562/100)</f>
        <v/>
      </c>
      <c r="F5562" s="15" t="str">
        <f aca="false">IF(B5562&lt;5,"Go","Standard")</f>
        <v>Standard</v>
      </c>
    </row>
    <row r="5563" customFormat="false" ht="15" hidden="false" customHeight="true" outlineLevel="0" collapsed="false">
      <c r="A5563" s="10" t="n">
        <f aca="false">Einstellungen!$B$5+INT((ROW()-9)/24)</f>
        <v>46197</v>
      </c>
      <c r="B5563" s="11" t="n">
        <f aca="false">MOD(ROW()-9,24)</f>
        <v>10</v>
      </c>
      <c r="C5563" s="12"/>
      <c r="D5563" s="13" t="n">
        <f aca="false">IF(B5563&lt;5,Einstellungen!$B$3,Einstellungen!$B$4)</f>
        <v>29.13</v>
      </c>
      <c r="E5563" s="14" t="str">
        <f aca="false">IF(C5563="","",C5563*D5563/100)</f>
        <v/>
      </c>
      <c r="F5563" s="15" t="str">
        <f aca="false">IF(B5563&lt;5,"Go","Standard")</f>
        <v>Standard</v>
      </c>
    </row>
    <row r="5564" customFormat="false" ht="15" hidden="false" customHeight="true" outlineLevel="0" collapsed="false">
      <c r="A5564" s="10" t="n">
        <f aca="false">Einstellungen!$B$5+INT((ROW()-9)/24)</f>
        <v>46197</v>
      </c>
      <c r="B5564" s="11" t="n">
        <f aca="false">MOD(ROW()-9,24)</f>
        <v>11</v>
      </c>
      <c r="C5564" s="12"/>
      <c r="D5564" s="13" t="n">
        <f aca="false">IF(B5564&lt;5,Einstellungen!$B$3,Einstellungen!$B$4)</f>
        <v>29.13</v>
      </c>
      <c r="E5564" s="14" t="str">
        <f aca="false">IF(C5564="","",C5564*D5564/100)</f>
        <v/>
      </c>
      <c r="F5564" s="15" t="str">
        <f aca="false">IF(B5564&lt;5,"Go","Standard")</f>
        <v>Standard</v>
      </c>
    </row>
    <row r="5565" customFormat="false" ht="15" hidden="false" customHeight="true" outlineLevel="0" collapsed="false">
      <c r="A5565" s="10" t="n">
        <f aca="false">Einstellungen!$B$5+INT((ROW()-9)/24)</f>
        <v>46197</v>
      </c>
      <c r="B5565" s="11" t="n">
        <f aca="false">MOD(ROW()-9,24)</f>
        <v>12</v>
      </c>
      <c r="C5565" s="12"/>
      <c r="D5565" s="13" t="n">
        <f aca="false">IF(B5565&lt;5,Einstellungen!$B$3,Einstellungen!$B$4)</f>
        <v>29.13</v>
      </c>
      <c r="E5565" s="14" t="str">
        <f aca="false">IF(C5565="","",C5565*D5565/100)</f>
        <v/>
      </c>
      <c r="F5565" s="15" t="str">
        <f aca="false">IF(B5565&lt;5,"Go","Standard")</f>
        <v>Standard</v>
      </c>
    </row>
    <row r="5566" customFormat="false" ht="15" hidden="false" customHeight="true" outlineLevel="0" collapsed="false">
      <c r="A5566" s="10" t="n">
        <f aca="false">Einstellungen!$B$5+INT((ROW()-9)/24)</f>
        <v>46197</v>
      </c>
      <c r="B5566" s="11" t="n">
        <f aca="false">MOD(ROW()-9,24)</f>
        <v>13</v>
      </c>
      <c r="C5566" s="12"/>
      <c r="D5566" s="13" t="n">
        <f aca="false">IF(B5566&lt;5,Einstellungen!$B$3,Einstellungen!$B$4)</f>
        <v>29.13</v>
      </c>
      <c r="E5566" s="14" t="str">
        <f aca="false">IF(C5566="","",C5566*D5566/100)</f>
        <v/>
      </c>
      <c r="F5566" s="15" t="str">
        <f aca="false">IF(B5566&lt;5,"Go","Standard")</f>
        <v>Standard</v>
      </c>
    </row>
    <row r="5567" customFormat="false" ht="15" hidden="false" customHeight="true" outlineLevel="0" collapsed="false">
      <c r="A5567" s="10" t="n">
        <f aca="false">Einstellungen!$B$5+INT((ROW()-9)/24)</f>
        <v>46197</v>
      </c>
      <c r="B5567" s="11" t="n">
        <f aca="false">MOD(ROW()-9,24)</f>
        <v>14</v>
      </c>
      <c r="C5567" s="12"/>
      <c r="D5567" s="13" t="n">
        <f aca="false">IF(B5567&lt;5,Einstellungen!$B$3,Einstellungen!$B$4)</f>
        <v>29.13</v>
      </c>
      <c r="E5567" s="14" t="str">
        <f aca="false">IF(C5567="","",C5567*D5567/100)</f>
        <v/>
      </c>
      <c r="F5567" s="15" t="str">
        <f aca="false">IF(B5567&lt;5,"Go","Standard")</f>
        <v>Standard</v>
      </c>
    </row>
    <row r="5568" customFormat="false" ht="15" hidden="false" customHeight="true" outlineLevel="0" collapsed="false">
      <c r="A5568" s="10" t="n">
        <f aca="false">Einstellungen!$B$5+INT((ROW()-9)/24)</f>
        <v>46197</v>
      </c>
      <c r="B5568" s="11" t="n">
        <f aca="false">MOD(ROW()-9,24)</f>
        <v>15</v>
      </c>
      <c r="C5568" s="12"/>
      <c r="D5568" s="13" t="n">
        <f aca="false">IF(B5568&lt;5,Einstellungen!$B$3,Einstellungen!$B$4)</f>
        <v>29.13</v>
      </c>
      <c r="E5568" s="14" t="str">
        <f aca="false">IF(C5568="","",C5568*D5568/100)</f>
        <v/>
      </c>
      <c r="F5568" s="15" t="str">
        <f aca="false">IF(B5568&lt;5,"Go","Standard")</f>
        <v>Standard</v>
      </c>
    </row>
    <row r="5569" customFormat="false" ht="15" hidden="false" customHeight="true" outlineLevel="0" collapsed="false">
      <c r="A5569" s="10" t="n">
        <f aca="false">Einstellungen!$B$5+INT((ROW()-9)/24)</f>
        <v>46197</v>
      </c>
      <c r="B5569" s="11" t="n">
        <f aca="false">MOD(ROW()-9,24)</f>
        <v>16</v>
      </c>
      <c r="C5569" s="12"/>
      <c r="D5569" s="13" t="n">
        <f aca="false">IF(B5569&lt;5,Einstellungen!$B$3,Einstellungen!$B$4)</f>
        <v>29.13</v>
      </c>
      <c r="E5569" s="14" t="str">
        <f aca="false">IF(C5569="","",C5569*D5569/100)</f>
        <v/>
      </c>
      <c r="F5569" s="15" t="str">
        <f aca="false">IF(B5569&lt;5,"Go","Standard")</f>
        <v>Standard</v>
      </c>
    </row>
    <row r="5570" customFormat="false" ht="15" hidden="false" customHeight="true" outlineLevel="0" collapsed="false">
      <c r="A5570" s="10" t="n">
        <f aca="false">Einstellungen!$B$5+INT((ROW()-9)/24)</f>
        <v>46197</v>
      </c>
      <c r="B5570" s="11" t="n">
        <f aca="false">MOD(ROW()-9,24)</f>
        <v>17</v>
      </c>
      <c r="C5570" s="12"/>
      <c r="D5570" s="13" t="n">
        <f aca="false">IF(B5570&lt;5,Einstellungen!$B$3,Einstellungen!$B$4)</f>
        <v>29.13</v>
      </c>
      <c r="E5570" s="14" t="str">
        <f aca="false">IF(C5570="","",C5570*D5570/100)</f>
        <v/>
      </c>
      <c r="F5570" s="15" t="str">
        <f aca="false">IF(B5570&lt;5,"Go","Standard")</f>
        <v>Standard</v>
      </c>
    </row>
    <row r="5571" customFormat="false" ht="15" hidden="false" customHeight="true" outlineLevel="0" collapsed="false">
      <c r="A5571" s="10" t="n">
        <f aca="false">Einstellungen!$B$5+INT((ROW()-9)/24)</f>
        <v>46197</v>
      </c>
      <c r="B5571" s="11" t="n">
        <f aca="false">MOD(ROW()-9,24)</f>
        <v>18</v>
      </c>
      <c r="C5571" s="12"/>
      <c r="D5571" s="13" t="n">
        <f aca="false">IF(B5571&lt;5,Einstellungen!$B$3,Einstellungen!$B$4)</f>
        <v>29.13</v>
      </c>
      <c r="E5571" s="14" t="str">
        <f aca="false">IF(C5571="","",C5571*D5571/100)</f>
        <v/>
      </c>
      <c r="F5571" s="15" t="str">
        <f aca="false">IF(B5571&lt;5,"Go","Standard")</f>
        <v>Standard</v>
      </c>
    </row>
    <row r="5572" customFormat="false" ht="15" hidden="false" customHeight="true" outlineLevel="0" collapsed="false">
      <c r="A5572" s="10" t="n">
        <f aca="false">Einstellungen!$B$5+INT((ROW()-9)/24)</f>
        <v>46197</v>
      </c>
      <c r="B5572" s="11" t="n">
        <f aca="false">MOD(ROW()-9,24)</f>
        <v>19</v>
      </c>
      <c r="C5572" s="12"/>
      <c r="D5572" s="13" t="n">
        <f aca="false">IF(B5572&lt;5,Einstellungen!$B$3,Einstellungen!$B$4)</f>
        <v>29.13</v>
      </c>
      <c r="E5572" s="14" t="str">
        <f aca="false">IF(C5572="","",C5572*D5572/100)</f>
        <v/>
      </c>
      <c r="F5572" s="15" t="str">
        <f aca="false">IF(B5572&lt;5,"Go","Standard")</f>
        <v>Standard</v>
      </c>
    </row>
    <row r="5573" customFormat="false" ht="15" hidden="false" customHeight="true" outlineLevel="0" collapsed="false">
      <c r="A5573" s="10" t="n">
        <f aca="false">Einstellungen!$B$5+INT((ROW()-9)/24)</f>
        <v>46197</v>
      </c>
      <c r="B5573" s="11" t="n">
        <f aca="false">MOD(ROW()-9,24)</f>
        <v>20</v>
      </c>
      <c r="C5573" s="12"/>
      <c r="D5573" s="13" t="n">
        <f aca="false">IF(B5573&lt;5,Einstellungen!$B$3,Einstellungen!$B$4)</f>
        <v>29.13</v>
      </c>
      <c r="E5573" s="14" t="str">
        <f aca="false">IF(C5573="","",C5573*D5573/100)</f>
        <v/>
      </c>
      <c r="F5573" s="15" t="str">
        <f aca="false">IF(B5573&lt;5,"Go","Standard")</f>
        <v>Standard</v>
      </c>
    </row>
    <row r="5574" customFormat="false" ht="15" hidden="false" customHeight="true" outlineLevel="0" collapsed="false">
      <c r="A5574" s="10" t="n">
        <f aca="false">Einstellungen!$B$5+INT((ROW()-9)/24)</f>
        <v>46197</v>
      </c>
      <c r="B5574" s="11" t="n">
        <f aca="false">MOD(ROW()-9,24)</f>
        <v>21</v>
      </c>
      <c r="C5574" s="12"/>
      <c r="D5574" s="13" t="n">
        <f aca="false">IF(B5574&lt;5,Einstellungen!$B$3,Einstellungen!$B$4)</f>
        <v>29.13</v>
      </c>
      <c r="E5574" s="14" t="str">
        <f aca="false">IF(C5574="","",C5574*D5574/100)</f>
        <v/>
      </c>
      <c r="F5574" s="15" t="str">
        <f aca="false">IF(B5574&lt;5,"Go","Standard")</f>
        <v>Standard</v>
      </c>
    </row>
    <row r="5575" customFormat="false" ht="15" hidden="false" customHeight="true" outlineLevel="0" collapsed="false">
      <c r="A5575" s="10" t="n">
        <f aca="false">Einstellungen!$B$5+INT((ROW()-9)/24)</f>
        <v>46197</v>
      </c>
      <c r="B5575" s="11" t="n">
        <f aca="false">MOD(ROW()-9,24)</f>
        <v>22</v>
      </c>
      <c r="C5575" s="12"/>
      <c r="D5575" s="13" t="n">
        <f aca="false">IF(B5575&lt;5,Einstellungen!$B$3,Einstellungen!$B$4)</f>
        <v>29.13</v>
      </c>
      <c r="E5575" s="14" t="str">
        <f aca="false">IF(C5575="","",C5575*D5575/100)</f>
        <v/>
      </c>
      <c r="F5575" s="15" t="str">
        <f aca="false">IF(B5575&lt;5,"Go","Standard")</f>
        <v>Standard</v>
      </c>
    </row>
    <row r="5576" customFormat="false" ht="15" hidden="false" customHeight="true" outlineLevel="0" collapsed="false">
      <c r="A5576" s="10" t="n">
        <f aca="false">Einstellungen!$B$5+INT((ROW()-9)/24)</f>
        <v>46197</v>
      </c>
      <c r="B5576" s="11" t="n">
        <f aca="false">MOD(ROW()-9,24)</f>
        <v>23</v>
      </c>
      <c r="C5576" s="12"/>
      <c r="D5576" s="13" t="n">
        <f aca="false">IF(B5576&lt;5,Einstellungen!$B$3,Einstellungen!$B$4)</f>
        <v>29.13</v>
      </c>
      <c r="E5576" s="14" t="str">
        <f aca="false">IF(C5576="","",C5576*D5576/100)</f>
        <v/>
      </c>
      <c r="F5576" s="15" t="str">
        <f aca="false">IF(B5576&lt;5,"Go","Standard")</f>
        <v>Standard</v>
      </c>
    </row>
    <row r="5577" customFormat="false" ht="15" hidden="false" customHeight="true" outlineLevel="0" collapsed="false">
      <c r="A5577" s="10" t="n">
        <f aca="false">Einstellungen!$B$5+INT((ROW()-9)/24)</f>
        <v>46198</v>
      </c>
      <c r="B5577" s="11" t="n">
        <f aca="false">MOD(ROW()-9,24)</f>
        <v>0</v>
      </c>
      <c r="C5577" s="12"/>
      <c r="D5577" s="13" t="n">
        <f aca="false">IF(B5577&lt;5,Einstellungen!$B$3,Einstellungen!$B$4)</f>
        <v>15.92</v>
      </c>
      <c r="E5577" s="14" t="str">
        <f aca="false">IF(C5577="","",C5577*D5577/100)</f>
        <v/>
      </c>
      <c r="F5577" s="15" t="str">
        <f aca="false">IF(B5577&lt;5,"Go","Standard")</f>
        <v>Go</v>
      </c>
    </row>
    <row r="5578" customFormat="false" ht="15" hidden="false" customHeight="true" outlineLevel="0" collapsed="false">
      <c r="A5578" s="10" t="n">
        <f aca="false">Einstellungen!$B$5+INT((ROW()-9)/24)</f>
        <v>46198</v>
      </c>
      <c r="B5578" s="11" t="n">
        <f aca="false">MOD(ROW()-9,24)</f>
        <v>1</v>
      </c>
      <c r="C5578" s="12"/>
      <c r="D5578" s="13" t="n">
        <f aca="false">IF(B5578&lt;5,Einstellungen!$B$3,Einstellungen!$B$4)</f>
        <v>15.92</v>
      </c>
      <c r="E5578" s="14" t="str">
        <f aca="false">IF(C5578="","",C5578*D5578/100)</f>
        <v/>
      </c>
      <c r="F5578" s="15" t="str">
        <f aca="false">IF(B5578&lt;5,"Go","Standard")</f>
        <v>Go</v>
      </c>
    </row>
    <row r="5579" customFormat="false" ht="15" hidden="false" customHeight="true" outlineLevel="0" collapsed="false">
      <c r="A5579" s="10" t="n">
        <f aca="false">Einstellungen!$B$5+INT((ROW()-9)/24)</f>
        <v>46198</v>
      </c>
      <c r="B5579" s="11" t="n">
        <f aca="false">MOD(ROW()-9,24)</f>
        <v>2</v>
      </c>
      <c r="C5579" s="12"/>
      <c r="D5579" s="13" t="n">
        <f aca="false">IF(B5579&lt;5,Einstellungen!$B$3,Einstellungen!$B$4)</f>
        <v>15.92</v>
      </c>
      <c r="E5579" s="14" t="str">
        <f aca="false">IF(C5579="","",C5579*D5579/100)</f>
        <v/>
      </c>
      <c r="F5579" s="15" t="str">
        <f aca="false">IF(B5579&lt;5,"Go","Standard")</f>
        <v>Go</v>
      </c>
    </row>
    <row r="5580" customFormat="false" ht="15" hidden="false" customHeight="true" outlineLevel="0" collapsed="false">
      <c r="A5580" s="10" t="n">
        <f aca="false">Einstellungen!$B$5+INT((ROW()-9)/24)</f>
        <v>46198</v>
      </c>
      <c r="B5580" s="11" t="n">
        <f aca="false">MOD(ROW()-9,24)</f>
        <v>3</v>
      </c>
      <c r="C5580" s="12"/>
      <c r="D5580" s="13" t="n">
        <f aca="false">IF(B5580&lt;5,Einstellungen!$B$3,Einstellungen!$B$4)</f>
        <v>15.92</v>
      </c>
      <c r="E5580" s="14" t="str">
        <f aca="false">IF(C5580="","",C5580*D5580/100)</f>
        <v/>
      </c>
      <c r="F5580" s="15" t="str">
        <f aca="false">IF(B5580&lt;5,"Go","Standard")</f>
        <v>Go</v>
      </c>
    </row>
    <row r="5581" customFormat="false" ht="15" hidden="false" customHeight="true" outlineLevel="0" collapsed="false">
      <c r="A5581" s="10" t="n">
        <f aca="false">Einstellungen!$B$5+INT((ROW()-9)/24)</f>
        <v>46198</v>
      </c>
      <c r="B5581" s="11" t="n">
        <f aca="false">MOD(ROW()-9,24)</f>
        <v>4</v>
      </c>
      <c r="C5581" s="12"/>
      <c r="D5581" s="13" t="n">
        <f aca="false">IF(B5581&lt;5,Einstellungen!$B$3,Einstellungen!$B$4)</f>
        <v>15.92</v>
      </c>
      <c r="E5581" s="14" t="str">
        <f aca="false">IF(C5581="","",C5581*D5581/100)</f>
        <v/>
      </c>
      <c r="F5581" s="15" t="str">
        <f aca="false">IF(B5581&lt;5,"Go","Standard")</f>
        <v>Go</v>
      </c>
    </row>
    <row r="5582" customFormat="false" ht="15" hidden="false" customHeight="true" outlineLevel="0" collapsed="false">
      <c r="A5582" s="10" t="n">
        <f aca="false">Einstellungen!$B$5+INT((ROW()-9)/24)</f>
        <v>46198</v>
      </c>
      <c r="B5582" s="11" t="n">
        <f aca="false">MOD(ROW()-9,24)</f>
        <v>5</v>
      </c>
      <c r="C5582" s="12"/>
      <c r="D5582" s="13" t="n">
        <f aca="false">IF(B5582&lt;5,Einstellungen!$B$3,Einstellungen!$B$4)</f>
        <v>29.13</v>
      </c>
      <c r="E5582" s="14" t="str">
        <f aca="false">IF(C5582="","",C5582*D5582/100)</f>
        <v/>
      </c>
      <c r="F5582" s="15" t="str">
        <f aca="false">IF(B5582&lt;5,"Go","Standard")</f>
        <v>Standard</v>
      </c>
    </row>
    <row r="5583" customFormat="false" ht="15" hidden="false" customHeight="true" outlineLevel="0" collapsed="false">
      <c r="A5583" s="10" t="n">
        <f aca="false">Einstellungen!$B$5+INT((ROW()-9)/24)</f>
        <v>46198</v>
      </c>
      <c r="B5583" s="11" t="n">
        <f aca="false">MOD(ROW()-9,24)</f>
        <v>6</v>
      </c>
      <c r="C5583" s="12"/>
      <c r="D5583" s="13" t="n">
        <f aca="false">IF(B5583&lt;5,Einstellungen!$B$3,Einstellungen!$B$4)</f>
        <v>29.13</v>
      </c>
      <c r="E5583" s="14" t="str">
        <f aca="false">IF(C5583="","",C5583*D5583/100)</f>
        <v/>
      </c>
      <c r="F5583" s="15" t="str">
        <f aca="false">IF(B5583&lt;5,"Go","Standard")</f>
        <v>Standard</v>
      </c>
    </row>
    <row r="5584" customFormat="false" ht="15" hidden="false" customHeight="true" outlineLevel="0" collapsed="false">
      <c r="A5584" s="10" t="n">
        <f aca="false">Einstellungen!$B$5+INT((ROW()-9)/24)</f>
        <v>46198</v>
      </c>
      <c r="B5584" s="11" t="n">
        <f aca="false">MOD(ROW()-9,24)</f>
        <v>7</v>
      </c>
      <c r="C5584" s="12"/>
      <c r="D5584" s="13" t="n">
        <f aca="false">IF(B5584&lt;5,Einstellungen!$B$3,Einstellungen!$B$4)</f>
        <v>29.13</v>
      </c>
      <c r="E5584" s="14" t="str">
        <f aca="false">IF(C5584="","",C5584*D5584/100)</f>
        <v/>
      </c>
      <c r="F5584" s="15" t="str">
        <f aca="false">IF(B5584&lt;5,"Go","Standard")</f>
        <v>Standard</v>
      </c>
    </row>
    <row r="5585" customFormat="false" ht="15" hidden="false" customHeight="true" outlineLevel="0" collapsed="false">
      <c r="A5585" s="10" t="n">
        <f aca="false">Einstellungen!$B$5+INT((ROW()-9)/24)</f>
        <v>46198</v>
      </c>
      <c r="B5585" s="11" t="n">
        <f aca="false">MOD(ROW()-9,24)</f>
        <v>8</v>
      </c>
      <c r="C5585" s="12"/>
      <c r="D5585" s="13" t="n">
        <f aca="false">IF(B5585&lt;5,Einstellungen!$B$3,Einstellungen!$B$4)</f>
        <v>29.13</v>
      </c>
      <c r="E5585" s="14" t="str">
        <f aca="false">IF(C5585="","",C5585*D5585/100)</f>
        <v/>
      </c>
      <c r="F5585" s="15" t="str">
        <f aca="false">IF(B5585&lt;5,"Go","Standard")</f>
        <v>Standard</v>
      </c>
    </row>
    <row r="5586" customFormat="false" ht="15" hidden="false" customHeight="true" outlineLevel="0" collapsed="false">
      <c r="A5586" s="10" t="n">
        <f aca="false">Einstellungen!$B$5+INT((ROW()-9)/24)</f>
        <v>46198</v>
      </c>
      <c r="B5586" s="11" t="n">
        <f aca="false">MOD(ROW()-9,24)</f>
        <v>9</v>
      </c>
      <c r="C5586" s="12"/>
      <c r="D5586" s="13" t="n">
        <f aca="false">IF(B5586&lt;5,Einstellungen!$B$3,Einstellungen!$B$4)</f>
        <v>29.13</v>
      </c>
      <c r="E5586" s="14" t="str">
        <f aca="false">IF(C5586="","",C5586*D5586/100)</f>
        <v/>
      </c>
      <c r="F5586" s="15" t="str">
        <f aca="false">IF(B5586&lt;5,"Go","Standard")</f>
        <v>Standard</v>
      </c>
    </row>
    <row r="5587" customFormat="false" ht="15" hidden="false" customHeight="true" outlineLevel="0" collapsed="false">
      <c r="A5587" s="10" t="n">
        <f aca="false">Einstellungen!$B$5+INT((ROW()-9)/24)</f>
        <v>46198</v>
      </c>
      <c r="B5587" s="11" t="n">
        <f aca="false">MOD(ROW()-9,24)</f>
        <v>10</v>
      </c>
      <c r="C5587" s="12"/>
      <c r="D5587" s="13" t="n">
        <f aca="false">IF(B5587&lt;5,Einstellungen!$B$3,Einstellungen!$B$4)</f>
        <v>29.13</v>
      </c>
      <c r="E5587" s="14" t="str">
        <f aca="false">IF(C5587="","",C5587*D5587/100)</f>
        <v/>
      </c>
      <c r="F5587" s="15" t="str">
        <f aca="false">IF(B5587&lt;5,"Go","Standard")</f>
        <v>Standard</v>
      </c>
    </row>
    <row r="5588" customFormat="false" ht="15" hidden="false" customHeight="true" outlineLevel="0" collapsed="false">
      <c r="A5588" s="10" t="n">
        <f aca="false">Einstellungen!$B$5+INT((ROW()-9)/24)</f>
        <v>46198</v>
      </c>
      <c r="B5588" s="11" t="n">
        <f aca="false">MOD(ROW()-9,24)</f>
        <v>11</v>
      </c>
      <c r="C5588" s="12"/>
      <c r="D5588" s="13" t="n">
        <f aca="false">IF(B5588&lt;5,Einstellungen!$B$3,Einstellungen!$B$4)</f>
        <v>29.13</v>
      </c>
      <c r="E5588" s="14" t="str">
        <f aca="false">IF(C5588="","",C5588*D5588/100)</f>
        <v/>
      </c>
      <c r="F5588" s="15" t="str">
        <f aca="false">IF(B5588&lt;5,"Go","Standard")</f>
        <v>Standard</v>
      </c>
    </row>
    <row r="5589" customFormat="false" ht="15" hidden="false" customHeight="true" outlineLevel="0" collapsed="false">
      <c r="A5589" s="10" t="n">
        <f aca="false">Einstellungen!$B$5+INT((ROW()-9)/24)</f>
        <v>46198</v>
      </c>
      <c r="B5589" s="11" t="n">
        <f aca="false">MOD(ROW()-9,24)</f>
        <v>12</v>
      </c>
      <c r="C5589" s="12"/>
      <c r="D5589" s="13" t="n">
        <f aca="false">IF(B5589&lt;5,Einstellungen!$B$3,Einstellungen!$B$4)</f>
        <v>29.13</v>
      </c>
      <c r="E5589" s="14" t="str">
        <f aca="false">IF(C5589="","",C5589*D5589/100)</f>
        <v/>
      </c>
      <c r="F5589" s="15" t="str">
        <f aca="false">IF(B5589&lt;5,"Go","Standard")</f>
        <v>Standard</v>
      </c>
    </row>
    <row r="5590" customFormat="false" ht="15" hidden="false" customHeight="true" outlineLevel="0" collapsed="false">
      <c r="A5590" s="10" t="n">
        <f aca="false">Einstellungen!$B$5+INT((ROW()-9)/24)</f>
        <v>46198</v>
      </c>
      <c r="B5590" s="11" t="n">
        <f aca="false">MOD(ROW()-9,24)</f>
        <v>13</v>
      </c>
      <c r="C5590" s="12"/>
      <c r="D5590" s="13" t="n">
        <f aca="false">IF(B5590&lt;5,Einstellungen!$B$3,Einstellungen!$B$4)</f>
        <v>29.13</v>
      </c>
      <c r="E5590" s="14" t="str">
        <f aca="false">IF(C5590="","",C5590*D5590/100)</f>
        <v/>
      </c>
      <c r="F5590" s="15" t="str">
        <f aca="false">IF(B5590&lt;5,"Go","Standard")</f>
        <v>Standard</v>
      </c>
    </row>
    <row r="5591" customFormat="false" ht="15" hidden="false" customHeight="true" outlineLevel="0" collapsed="false">
      <c r="A5591" s="10" t="n">
        <f aca="false">Einstellungen!$B$5+INT((ROW()-9)/24)</f>
        <v>46198</v>
      </c>
      <c r="B5591" s="11" t="n">
        <f aca="false">MOD(ROW()-9,24)</f>
        <v>14</v>
      </c>
      <c r="C5591" s="12"/>
      <c r="D5591" s="13" t="n">
        <f aca="false">IF(B5591&lt;5,Einstellungen!$B$3,Einstellungen!$B$4)</f>
        <v>29.13</v>
      </c>
      <c r="E5591" s="14" t="str">
        <f aca="false">IF(C5591="","",C5591*D5591/100)</f>
        <v/>
      </c>
      <c r="F5591" s="15" t="str">
        <f aca="false">IF(B5591&lt;5,"Go","Standard")</f>
        <v>Standard</v>
      </c>
    </row>
    <row r="5592" customFormat="false" ht="15" hidden="false" customHeight="true" outlineLevel="0" collapsed="false">
      <c r="A5592" s="10" t="n">
        <f aca="false">Einstellungen!$B$5+INT((ROW()-9)/24)</f>
        <v>46198</v>
      </c>
      <c r="B5592" s="11" t="n">
        <f aca="false">MOD(ROW()-9,24)</f>
        <v>15</v>
      </c>
      <c r="C5592" s="12"/>
      <c r="D5592" s="13" t="n">
        <f aca="false">IF(B5592&lt;5,Einstellungen!$B$3,Einstellungen!$B$4)</f>
        <v>29.13</v>
      </c>
      <c r="E5592" s="14" t="str">
        <f aca="false">IF(C5592="","",C5592*D5592/100)</f>
        <v/>
      </c>
      <c r="F5592" s="15" t="str">
        <f aca="false">IF(B5592&lt;5,"Go","Standard")</f>
        <v>Standard</v>
      </c>
    </row>
    <row r="5593" customFormat="false" ht="15" hidden="false" customHeight="true" outlineLevel="0" collapsed="false">
      <c r="A5593" s="10" t="n">
        <f aca="false">Einstellungen!$B$5+INT((ROW()-9)/24)</f>
        <v>46198</v>
      </c>
      <c r="B5593" s="11" t="n">
        <f aca="false">MOD(ROW()-9,24)</f>
        <v>16</v>
      </c>
      <c r="C5593" s="12"/>
      <c r="D5593" s="13" t="n">
        <f aca="false">IF(B5593&lt;5,Einstellungen!$B$3,Einstellungen!$B$4)</f>
        <v>29.13</v>
      </c>
      <c r="E5593" s="14" t="str">
        <f aca="false">IF(C5593="","",C5593*D5593/100)</f>
        <v/>
      </c>
      <c r="F5593" s="15" t="str">
        <f aca="false">IF(B5593&lt;5,"Go","Standard")</f>
        <v>Standard</v>
      </c>
    </row>
    <row r="5594" customFormat="false" ht="15" hidden="false" customHeight="true" outlineLevel="0" collapsed="false">
      <c r="A5594" s="10" t="n">
        <f aca="false">Einstellungen!$B$5+INT((ROW()-9)/24)</f>
        <v>46198</v>
      </c>
      <c r="B5594" s="11" t="n">
        <f aca="false">MOD(ROW()-9,24)</f>
        <v>17</v>
      </c>
      <c r="C5594" s="12"/>
      <c r="D5594" s="13" t="n">
        <f aca="false">IF(B5594&lt;5,Einstellungen!$B$3,Einstellungen!$B$4)</f>
        <v>29.13</v>
      </c>
      <c r="E5594" s="14" t="str">
        <f aca="false">IF(C5594="","",C5594*D5594/100)</f>
        <v/>
      </c>
      <c r="F5594" s="15" t="str">
        <f aca="false">IF(B5594&lt;5,"Go","Standard")</f>
        <v>Standard</v>
      </c>
    </row>
    <row r="5595" customFormat="false" ht="15" hidden="false" customHeight="true" outlineLevel="0" collapsed="false">
      <c r="A5595" s="10" t="n">
        <f aca="false">Einstellungen!$B$5+INT((ROW()-9)/24)</f>
        <v>46198</v>
      </c>
      <c r="B5595" s="11" t="n">
        <f aca="false">MOD(ROW()-9,24)</f>
        <v>18</v>
      </c>
      <c r="C5595" s="12"/>
      <c r="D5595" s="13" t="n">
        <f aca="false">IF(B5595&lt;5,Einstellungen!$B$3,Einstellungen!$B$4)</f>
        <v>29.13</v>
      </c>
      <c r="E5595" s="14" t="str">
        <f aca="false">IF(C5595="","",C5595*D5595/100)</f>
        <v/>
      </c>
      <c r="F5595" s="15" t="str">
        <f aca="false">IF(B5595&lt;5,"Go","Standard")</f>
        <v>Standard</v>
      </c>
    </row>
    <row r="5596" customFormat="false" ht="15" hidden="false" customHeight="true" outlineLevel="0" collapsed="false">
      <c r="A5596" s="10" t="n">
        <f aca="false">Einstellungen!$B$5+INT((ROW()-9)/24)</f>
        <v>46198</v>
      </c>
      <c r="B5596" s="11" t="n">
        <f aca="false">MOD(ROW()-9,24)</f>
        <v>19</v>
      </c>
      <c r="C5596" s="12"/>
      <c r="D5596" s="13" t="n">
        <f aca="false">IF(B5596&lt;5,Einstellungen!$B$3,Einstellungen!$B$4)</f>
        <v>29.13</v>
      </c>
      <c r="E5596" s="14" t="str">
        <f aca="false">IF(C5596="","",C5596*D5596/100)</f>
        <v/>
      </c>
      <c r="F5596" s="15" t="str">
        <f aca="false">IF(B5596&lt;5,"Go","Standard")</f>
        <v>Standard</v>
      </c>
    </row>
    <row r="5597" customFormat="false" ht="15" hidden="false" customHeight="true" outlineLevel="0" collapsed="false">
      <c r="A5597" s="10" t="n">
        <f aca="false">Einstellungen!$B$5+INT((ROW()-9)/24)</f>
        <v>46198</v>
      </c>
      <c r="B5597" s="11" t="n">
        <f aca="false">MOD(ROW()-9,24)</f>
        <v>20</v>
      </c>
      <c r="C5597" s="12"/>
      <c r="D5597" s="13" t="n">
        <f aca="false">IF(B5597&lt;5,Einstellungen!$B$3,Einstellungen!$B$4)</f>
        <v>29.13</v>
      </c>
      <c r="E5597" s="14" t="str">
        <f aca="false">IF(C5597="","",C5597*D5597/100)</f>
        <v/>
      </c>
      <c r="F5597" s="15" t="str">
        <f aca="false">IF(B5597&lt;5,"Go","Standard")</f>
        <v>Standard</v>
      </c>
    </row>
    <row r="5598" customFormat="false" ht="15" hidden="false" customHeight="true" outlineLevel="0" collapsed="false">
      <c r="A5598" s="10" t="n">
        <f aca="false">Einstellungen!$B$5+INT((ROW()-9)/24)</f>
        <v>46198</v>
      </c>
      <c r="B5598" s="11" t="n">
        <f aca="false">MOD(ROW()-9,24)</f>
        <v>21</v>
      </c>
      <c r="C5598" s="12"/>
      <c r="D5598" s="13" t="n">
        <f aca="false">IF(B5598&lt;5,Einstellungen!$B$3,Einstellungen!$B$4)</f>
        <v>29.13</v>
      </c>
      <c r="E5598" s="14" t="str">
        <f aca="false">IF(C5598="","",C5598*D5598/100)</f>
        <v/>
      </c>
      <c r="F5598" s="15" t="str">
        <f aca="false">IF(B5598&lt;5,"Go","Standard")</f>
        <v>Standard</v>
      </c>
    </row>
    <row r="5599" customFormat="false" ht="15" hidden="false" customHeight="true" outlineLevel="0" collapsed="false">
      <c r="A5599" s="10" t="n">
        <f aca="false">Einstellungen!$B$5+INT((ROW()-9)/24)</f>
        <v>46198</v>
      </c>
      <c r="B5599" s="11" t="n">
        <f aca="false">MOD(ROW()-9,24)</f>
        <v>22</v>
      </c>
      <c r="C5599" s="12"/>
      <c r="D5599" s="13" t="n">
        <f aca="false">IF(B5599&lt;5,Einstellungen!$B$3,Einstellungen!$B$4)</f>
        <v>29.13</v>
      </c>
      <c r="E5599" s="14" t="str">
        <f aca="false">IF(C5599="","",C5599*D5599/100)</f>
        <v/>
      </c>
      <c r="F5599" s="15" t="str">
        <f aca="false">IF(B5599&lt;5,"Go","Standard")</f>
        <v>Standard</v>
      </c>
    </row>
    <row r="5600" customFormat="false" ht="15" hidden="false" customHeight="true" outlineLevel="0" collapsed="false">
      <c r="A5600" s="10" t="n">
        <f aca="false">Einstellungen!$B$5+INT((ROW()-9)/24)</f>
        <v>46198</v>
      </c>
      <c r="B5600" s="11" t="n">
        <f aca="false">MOD(ROW()-9,24)</f>
        <v>23</v>
      </c>
      <c r="C5600" s="12"/>
      <c r="D5600" s="13" t="n">
        <f aca="false">IF(B5600&lt;5,Einstellungen!$B$3,Einstellungen!$B$4)</f>
        <v>29.13</v>
      </c>
      <c r="E5600" s="14" t="str">
        <f aca="false">IF(C5600="","",C5600*D5600/100)</f>
        <v/>
      </c>
      <c r="F5600" s="15" t="str">
        <f aca="false">IF(B5600&lt;5,"Go","Standard")</f>
        <v>Standard</v>
      </c>
    </row>
    <row r="5601" customFormat="false" ht="15" hidden="false" customHeight="true" outlineLevel="0" collapsed="false">
      <c r="A5601" s="10" t="n">
        <f aca="false">Einstellungen!$B$5+INT((ROW()-9)/24)</f>
        <v>46199</v>
      </c>
      <c r="B5601" s="11" t="n">
        <f aca="false">MOD(ROW()-9,24)</f>
        <v>0</v>
      </c>
      <c r="C5601" s="12"/>
      <c r="D5601" s="13" t="n">
        <f aca="false">IF(B5601&lt;5,Einstellungen!$B$3,Einstellungen!$B$4)</f>
        <v>15.92</v>
      </c>
      <c r="E5601" s="14" t="str">
        <f aca="false">IF(C5601="","",C5601*D5601/100)</f>
        <v/>
      </c>
      <c r="F5601" s="15" t="str">
        <f aca="false">IF(B5601&lt;5,"Go","Standard")</f>
        <v>Go</v>
      </c>
    </row>
    <row r="5602" customFormat="false" ht="15" hidden="false" customHeight="true" outlineLevel="0" collapsed="false">
      <c r="A5602" s="10" t="n">
        <f aca="false">Einstellungen!$B$5+INT((ROW()-9)/24)</f>
        <v>46199</v>
      </c>
      <c r="B5602" s="11" t="n">
        <f aca="false">MOD(ROW()-9,24)</f>
        <v>1</v>
      </c>
      <c r="C5602" s="12"/>
      <c r="D5602" s="13" t="n">
        <f aca="false">IF(B5602&lt;5,Einstellungen!$B$3,Einstellungen!$B$4)</f>
        <v>15.92</v>
      </c>
      <c r="E5602" s="14" t="str">
        <f aca="false">IF(C5602="","",C5602*D5602/100)</f>
        <v/>
      </c>
      <c r="F5602" s="15" t="str">
        <f aca="false">IF(B5602&lt;5,"Go","Standard")</f>
        <v>Go</v>
      </c>
    </row>
    <row r="5603" customFormat="false" ht="15" hidden="false" customHeight="true" outlineLevel="0" collapsed="false">
      <c r="A5603" s="10" t="n">
        <f aca="false">Einstellungen!$B$5+INT((ROW()-9)/24)</f>
        <v>46199</v>
      </c>
      <c r="B5603" s="11" t="n">
        <f aca="false">MOD(ROW()-9,24)</f>
        <v>2</v>
      </c>
      <c r="C5603" s="12"/>
      <c r="D5603" s="13" t="n">
        <f aca="false">IF(B5603&lt;5,Einstellungen!$B$3,Einstellungen!$B$4)</f>
        <v>15.92</v>
      </c>
      <c r="E5603" s="14" t="str">
        <f aca="false">IF(C5603="","",C5603*D5603/100)</f>
        <v/>
      </c>
      <c r="F5603" s="15" t="str">
        <f aca="false">IF(B5603&lt;5,"Go","Standard")</f>
        <v>Go</v>
      </c>
    </row>
    <row r="5604" customFormat="false" ht="15" hidden="false" customHeight="true" outlineLevel="0" collapsed="false">
      <c r="A5604" s="10" t="n">
        <f aca="false">Einstellungen!$B$5+INT((ROW()-9)/24)</f>
        <v>46199</v>
      </c>
      <c r="B5604" s="11" t="n">
        <f aca="false">MOD(ROW()-9,24)</f>
        <v>3</v>
      </c>
      <c r="C5604" s="12"/>
      <c r="D5604" s="13" t="n">
        <f aca="false">IF(B5604&lt;5,Einstellungen!$B$3,Einstellungen!$B$4)</f>
        <v>15.92</v>
      </c>
      <c r="E5604" s="14" t="str">
        <f aca="false">IF(C5604="","",C5604*D5604/100)</f>
        <v/>
      </c>
      <c r="F5604" s="15" t="str">
        <f aca="false">IF(B5604&lt;5,"Go","Standard")</f>
        <v>Go</v>
      </c>
    </row>
    <row r="5605" customFormat="false" ht="15" hidden="false" customHeight="true" outlineLevel="0" collapsed="false">
      <c r="A5605" s="10" t="n">
        <f aca="false">Einstellungen!$B$5+INT((ROW()-9)/24)</f>
        <v>46199</v>
      </c>
      <c r="B5605" s="11" t="n">
        <f aca="false">MOD(ROW()-9,24)</f>
        <v>4</v>
      </c>
      <c r="C5605" s="12"/>
      <c r="D5605" s="13" t="n">
        <f aca="false">IF(B5605&lt;5,Einstellungen!$B$3,Einstellungen!$B$4)</f>
        <v>15.92</v>
      </c>
      <c r="E5605" s="14" t="str">
        <f aca="false">IF(C5605="","",C5605*D5605/100)</f>
        <v/>
      </c>
      <c r="F5605" s="15" t="str">
        <f aca="false">IF(B5605&lt;5,"Go","Standard")</f>
        <v>Go</v>
      </c>
    </row>
    <row r="5606" customFormat="false" ht="15" hidden="false" customHeight="true" outlineLevel="0" collapsed="false">
      <c r="A5606" s="10" t="n">
        <f aca="false">Einstellungen!$B$5+INT((ROW()-9)/24)</f>
        <v>46199</v>
      </c>
      <c r="B5606" s="11" t="n">
        <f aca="false">MOD(ROW()-9,24)</f>
        <v>5</v>
      </c>
      <c r="C5606" s="12"/>
      <c r="D5606" s="13" t="n">
        <f aca="false">IF(B5606&lt;5,Einstellungen!$B$3,Einstellungen!$B$4)</f>
        <v>29.13</v>
      </c>
      <c r="E5606" s="14" t="str">
        <f aca="false">IF(C5606="","",C5606*D5606/100)</f>
        <v/>
      </c>
      <c r="F5606" s="15" t="str">
        <f aca="false">IF(B5606&lt;5,"Go","Standard")</f>
        <v>Standard</v>
      </c>
    </row>
    <row r="5607" customFormat="false" ht="15" hidden="false" customHeight="true" outlineLevel="0" collapsed="false">
      <c r="A5607" s="10" t="n">
        <f aca="false">Einstellungen!$B$5+INT((ROW()-9)/24)</f>
        <v>46199</v>
      </c>
      <c r="B5607" s="11" t="n">
        <f aca="false">MOD(ROW()-9,24)</f>
        <v>6</v>
      </c>
      <c r="C5607" s="12"/>
      <c r="D5607" s="13" t="n">
        <f aca="false">IF(B5607&lt;5,Einstellungen!$B$3,Einstellungen!$B$4)</f>
        <v>29.13</v>
      </c>
      <c r="E5607" s="14" t="str">
        <f aca="false">IF(C5607="","",C5607*D5607/100)</f>
        <v/>
      </c>
      <c r="F5607" s="15" t="str">
        <f aca="false">IF(B5607&lt;5,"Go","Standard")</f>
        <v>Standard</v>
      </c>
    </row>
    <row r="5608" customFormat="false" ht="15" hidden="false" customHeight="true" outlineLevel="0" collapsed="false">
      <c r="A5608" s="10" t="n">
        <f aca="false">Einstellungen!$B$5+INT((ROW()-9)/24)</f>
        <v>46199</v>
      </c>
      <c r="B5608" s="11" t="n">
        <f aca="false">MOD(ROW()-9,24)</f>
        <v>7</v>
      </c>
      <c r="C5608" s="12"/>
      <c r="D5608" s="13" t="n">
        <f aca="false">IF(B5608&lt;5,Einstellungen!$B$3,Einstellungen!$B$4)</f>
        <v>29.13</v>
      </c>
      <c r="E5608" s="14" t="str">
        <f aca="false">IF(C5608="","",C5608*D5608/100)</f>
        <v/>
      </c>
      <c r="F5608" s="15" t="str">
        <f aca="false">IF(B5608&lt;5,"Go","Standard")</f>
        <v>Standard</v>
      </c>
    </row>
    <row r="5609" customFormat="false" ht="15" hidden="false" customHeight="true" outlineLevel="0" collapsed="false">
      <c r="A5609" s="10" t="n">
        <f aca="false">Einstellungen!$B$5+INT((ROW()-9)/24)</f>
        <v>46199</v>
      </c>
      <c r="B5609" s="11" t="n">
        <f aca="false">MOD(ROW()-9,24)</f>
        <v>8</v>
      </c>
      <c r="C5609" s="12"/>
      <c r="D5609" s="13" t="n">
        <f aca="false">IF(B5609&lt;5,Einstellungen!$B$3,Einstellungen!$B$4)</f>
        <v>29.13</v>
      </c>
      <c r="E5609" s="14" t="str">
        <f aca="false">IF(C5609="","",C5609*D5609/100)</f>
        <v/>
      </c>
      <c r="F5609" s="15" t="str">
        <f aca="false">IF(B5609&lt;5,"Go","Standard")</f>
        <v>Standard</v>
      </c>
    </row>
    <row r="5610" customFormat="false" ht="15" hidden="false" customHeight="true" outlineLevel="0" collapsed="false">
      <c r="A5610" s="10" t="n">
        <f aca="false">Einstellungen!$B$5+INT((ROW()-9)/24)</f>
        <v>46199</v>
      </c>
      <c r="B5610" s="11" t="n">
        <f aca="false">MOD(ROW()-9,24)</f>
        <v>9</v>
      </c>
      <c r="C5610" s="12"/>
      <c r="D5610" s="13" t="n">
        <f aca="false">IF(B5610&lt;5,Einstellungen!$B$3,Einstellungen!$B$4)</f>
        <v>29.13</v>
      </c>
      <c r="E5610" s="14" t="str">
        <f aca="false">IF(C5610="","",C5610*D5610/100)</f>
        <v/>
      </c>
      <c r="F5610" s="15" t="str">
        <f aca="false">IF(B5610&lt;5,"Go","Standard")</f>
        <v>Standard</v>
      </c>
    </row>
    <row r="5611" customFormat="false" ht="15" hidden="false" customHeight="true" outlineLevel="0" collapsed="false">
      <c r="A5611" s="10" t="n">
        <f aca="false">Einstellungen!$B$5+INT((ROW()-9)/24)</f>
        <v>46199</v>
      </c>
      <c r="B5611" s="11" t="n">
        <f aca="false">MOD(ROW()-9,24)</f>
        <v>10</v>
      </c>
      <c r="C5611" s="12"/>
      <c r="D5611" s="13" t="n">
        <f aca="false">IF(B5611&lt;5,Einstellungen!$B$3,Einstellungen!$B$4)</f>
        <v>29.13</v>
      </c>
      <c r="E5611" s="14" t="str">
        <f aca="false">IF(C5611="","",C5611*D5611/100)</f>
        <v/>
      </c>
      <c r="F5611" s="15" t="str">
        <f aca="false">IF(B5611&lt;5,"Go","Standard")</f>
        <v>Standard</v>
      </c>
    </row>
    <row r="5612" customFormat="false" ht="15" hidden="false" customHeight="true" outlineLevel="0" collapsed="false">
      <c r="A5612" s="10" t="n">
        <f aca="false">Einstellungen!$B$5+INT((ROW()-9)/24)</f>
        <v>46199</v>
      </c>
      <c r="B5612" s="11" t="n">
        <f aca="false">MOD(ROW()-9,24)</f>
        <v>11</v>
      </c>
      <c r="C5612" s="12"/>
      <c r="D5612" s="13" t="n">
        <f aca="false">IF(B5612&lt;5,Einstellungen!$B$3,Einstellungen!$B$4)</f>
        <v>29.13</v>
      </c>
      <c r="E5612" s="14" t="str">
        <f aca="false">IF(C5612="","",C5612*D5612/100)</f>
        <v/>
      </c>
      <c r="F5612" s="15" t="str">
        <f aca="false">IF(B5612&lt;5,"Go","Standard")</f>
        <v>Standard</v>
      </c>
    </row>
    <row r="5613" customFormat="false" ht="15" hidden="false" customHeight="true" outlineLevel="0" collapsed="false">
      <c r="A5613" s="10" t="n">
        <f aca="false">Einstellungen!$B$5+INT((ROW()-9)/24)</f>
        <v>46199</v>
      </c>
      <c r="B5613" s="11" t="n">
        <f aca="false">MOD(ROW()-9,24)</f>
        <v>12</v>
      </c>
      <c r="C5613" s="12"/>
      <c r="D5613" s="13" t="n">
        <f aca="false">IF(B5613&lt;5,Einstellungen!$B$3,Einstellungen!$B$4)</f>
        <v>29.13</v>
      </c>
      <c r="E5613" s="14" t="str">
        <f aca="false">IF(C5613="","",C5613*D5613/100)</f>
        <v/>
      </c>
      <c r="F5613" s="15" t="str">
        <f aca="false">IF(B5613&lt;5,"Go","Standard")</f>
        <v>Standard</v>
      </c>
    </row>
    <row r="5614" customFormat="false" ht="15" hidden="false" customHeight="true" outlineLevel="0" collapsed="false">
      <c r="A5614" s="10" t="n">
        <f aca="false">Einstellungen!$B$5+INT((ROW()-9)/24)</f>
        <v>46199</v>
      </c>
      <c r="B5614" s="11" t="n">
        <f aca="false">MOD(ROW()-9,24)</f>
        <v>13</v>
      </c>
      <c r="C5614" s="12"/>
      <c r="D5614" s="13" t="n">
        <f aca="false">IF(B5614&lt;5,Einstellungen!$B$3,Einstellungen!$B$4)</f>
        <v>29.13</v>
      </c>
      <c r="E5614" s="14" t="str">
        <f aca="false">IF(C5614="","",C5614*D5614/100)</f>
        <v/>
      </c>
      <c r="F5614" s="15" t="str">
        <f aca="false">IF(B5614&lt;5,"Go","Standard")</f>
        <v>Standard</v>
      </c>
    </row>
    <row r="5615" customFormat="false" ht="15" hidden="false" customHeight="true" outlineLevel="0" collapsed="false">
      <c r="A5615" s="10" t="n">
        <f aca="false">Einstellungen!$B$5+INT((ROW()-9)/24)</f>
        <v>46199</v>
      </c>
      <c r="B5615" s="11" t="n">
        <f aca="false">MOD(ROW()-9,24)</f>
        <v>14</v>
      </c>
      <c r="C5615" s="12"/>
      <c r="D5615" s="13" t="n">
        <f aca="false">IF(B5615&lt;5,Einstellungen!$B$3,Einstellungen!$B$4)</f>
        <v>29.13</v>
      </c>
      <c r="E5615" s="14" t="str">
        <f aca="false">IF(C5615="","",C5615*D5615/100)</f>
        <v/>
      </c>
      <c r="F5615" s="15" t="str">
        <f aca="false">IF(B5615&lt;5,"Go","Standard")</f>
        <v>Standard</v>
      </c>
    </row>
    <row r="5616" customFormat="false" ht="15" hidden="false" customHeight="true" outlineLevel="0" collapsed="false">
      <c r="A5616" s="10" t="n">
        <f aca="false">Einstellungen!$B$5+INT((ROW()-9)/24)</f>
        <v>46199</v>
      </c>
      <c r="B5616" s="11" t="n">
        <f aca="false">MOD(ROW()-9,24)</f>
        <v>15</v>
      </c>
      <c r="C5616" s="12"/>
      <c r="D5616" s="13" t="n">
        <f aca="false">IF(B5616&lt;5,Einstellungen!$B$3,Einstellungen!$B$4)</f>
        <v>29.13</v>
      </c>
      <c r="E5616" s="14" t="str">
        <f aca="false">IF(C5616="","",C5616*D5616/100)</f>
        <v/>
      </c>
      <c r="F5616" s="15" t="str">
        <f aca="false">IF(B5616&lt;5,"Go","Standard")</f>
        <v>Standard</v>
      </c>
    </row>
    <row r="5617" customFormat="false" ht="15" hidden="false" customHeight="true" outlineLevel="0" collapsed="false">
      <c r="A5617" s="10" t="n">
        <f aca="false">Einstellungen!$B$5+INT((ROW()-9)/24)</f>
        <v>46199</v>
      </c>
      <c r="B5617" s="11" t="n">
        <f aca="false">MOD(ROW()-9,24)</f>
        <v>16</v>
      </c>
      <c r="C5617" s="12"/>
      <c r="D5617" s="13" t="n">
        <f aca="false">IF(B5617&lt;5,Einstellungen!$B$3,Einstellungen!$B$4)</f>
        <v>29.13</v>
      </c>
      <c r="E5617" s="14" t="str">
        <f aca="false">IF(C5617="","",C5617*D5617/100)</f>
        <v/>
      </c>
      <c r="F5617" s="15" t="str">
        <f aca="false">IF(B5617&lt;5,"Go","Standard")</f>
        <v>Standard</v>
      </c>
    </row>
    <row r="5618" customFormat="false" ht="15" hidden="false" customHeight="true" outlineLevel="0" collapsed="false">
      <c r="A5618" s="10" t="n">
        <f aca="false">Einstellungen!$B$5+INT((ROW()-9)/24)</f>
        <v>46199</v>
      </c>
      <c r="B5618" s="11" t="n">
        <f aca="false">MOD(ROW()-9,24)</f>
        <v>17</v>
      </c>
      <c r="C5618" s="12"/>
      <c r="D5618" s="13" t="n">
        <f aca="false">IF(B5618&lt;5,Einstellungen!$B$3,Einstellungen!$B$4)</f>
        <v>29.13</v>
      </c>
      <c r="E5618" s="14" t="str">
        <f aca="false">IF(C5618="","",C5618*D5618/100)</f>
        <v/>
      </c>
      <c r="F5618" s="15" t="str">
        <f aca="false">IF(B5618&lt;5,"Go","Standard")</f>
        <v>Standard</v>
      </c>
    </row>
    <row r="5619" customFormat="false" ht="15" hidden="false" customHeight="true" outlineLevel="0" collapsed="false">
      <c r="A5619" s="10" t="n">
        <f aca="false">Einstellungen!$B$5+INT((ROW()-9)/24)</f>
        <v>46199</v>
      </c>
      <c r="B5619" s="11" t="n">
        <f aca="false">MOD(ROW()-9,24)</f>
        <v>18</v>
      </c>
      <c r="C5619" s="12"/>
      <c r="D5619" s="13" t="n">
        <f aca="false">IF(B5619&lt;5,Einstellungen!$B$3,Einstellungen!$B$4)</f>
        <v>29.13</v>
      </c>
      <c r="E5619" s="14" t="str">
        <f aca="false">IF(C5619="","",C5619*D5619/100)</f>
        <v/>
      </c>
      <c r="F5619" s="15" t="str">
        <f aca="false">IF(B5619&lt;5,"Go","Standard")</f>
        <v>Standard</v>
      </c>
    </row>
    <row r="5620" customFormat="false" ht="15" hidden="false" customHeight="true" outlineLevel="0" collapsed="false">
      <c r="A5620" s="10" t="n">
        <f aca="false">Einstellungen!$B$5+INT((ROW()-9)/24)</f>
        <v>46199</v>
      </c>
      <c r="B5620" s="11" t="n">
        <f aca="false">MOD(ROW()-9,24)</f>
        <v>19</v>
      </c>
      <c r="C5620" s="12"/>
      <c r="D5620" s="13" t="n">
        <f aca="false">IF(B5620&lt;5,Einstellungen!$B$3,Einstellungen!$B$4)</f>
        <v>29.13</v>
      </c>
      <c r="E5620" s="14" t="str">
        <f aca="false">IF(C5620="","",C5620*D5620/100)</f>
        <v/>
      </c>
      <c r="F5620" s="15" t="str">
        <f aca="false">IF(B5620&lt;5,"Go","Standard")</f>
        <v>Standard</v>
      </c>
    </row>
    <row r="5621" customFormat="false" ht="15" hidden="false" customHeight="true" outlineLevel="0" collapsed="false">
      <c r="A5621" s="10" t="n">
        <f aca="false">Einstellungen!$B$5+INT((ROW()-9)/24)</f>
        <v>46199</v>
      </c>
      <c r="B5621" s="11" t="n">
        <f aca="false">MOD(ROW()-9,24)</f>
        <v>20</v>
      </c>
      <c r="C5621" s="12"/>
      <c r="D5621" s="13" t="n">
        <f aca="false">IF(B5621&lt;5,Einstellungen!$B$3,Einstellungen!$B$4)</f>
        <v>29.13</v>
      </c>
      <c r="E5621" s="14" t="str">
        <f aca="false">IF(C5621="","",C5621*D5621/100)</f>
        <v/>
      </c>
      <c r="F5621" s="15" t="str">
        <f aca="false">IF(B5621&lt;5,"Go","Standard")</f>
        <v>Standard</v>
      </c>
    </row>
    <row r="5622" customFormat="false" ht="15" hidden="false" customHeight="true" outlineLevel="0" collapsed="false">
      <c r="A5622" s="10" t="n">
        <f aca="false">Einstellungen!$B$5+INT((ROW()-9)/24)</f>
        <v>46199</v>
      </c>
      <c r="B5622" s="11" t="n">
        <f aca="false">MOD(ROW()-9,24)</f>
        <v>21</v>
      </c>
      <c r="C5622" s="12"/>
      <c r="D5622" s="13" t="n">
        <f aca="false">IF(B5622&lt;5,Einstellungen!$B$3,Einstellungen!$B$4)</f>
        <v>29.13</v>
      </c>
      <c r="E5622" s="14" t="str">
        <f aca="false">IF(C5622="","",C5622*D5622/100)</f>
        <v/>
      </c>
      <c r="F5622" s="15" t="str">
        <f aca="false">IF(B5622&lt;5,"Go","Standard")</f>
        <v>Standard</v>
      </c>
    </row>
    <row r="5623" customFormat="false" ht="15" hidden="false" customHeight="true" outlineLevel="0" collapsed="false">
      <c r="A5623" s="10" t="n">
        <f aca="false">Einstellungen!$B$5+INT((ROW()-9)/24)</f>
        <v>46199</v>
      </c>
      <c r="B5623" s="11" t="n">
        <f aca="false">MOD(ROW()-9,24)</f>
        <v>22</v>
      </c>
      <c r="C5623" s="12"/>
      <c r="D5623" s="13" t="n">
        <f aca="false">IF(B5623&lt;5,Einstellungen!$B$3,Einstellungen!$B$4)</f>
        <v>29.13</v>
      </c>
      <c r="E5623" s="14" t="str">
        <f aca="false">IF(C5623="","",C5623*D5623/100)</f>
        <v/>
      </c>
      <c r="F5623" s="15" t="str">
        <f aca="false">IF(B5623&lt;5,"Go","Standard")</f>
        <v>Standard</v>
      </c>
    </row>
    <row r="5624" customFormat="false" ht="15" hidden="false" customHeight="true" outlineLevel="0" collapsed="false">
      <c r="A5624" s="10" t="n">
        <f aca="false">Einstellungen!$B$5+INT((ROW()-9)/24)</f>
        <v>46199</v>
      </c>
      <c r="B5624" s="11" t="n">
        <f aca="false">MOD(ROW()-9,24)</f>
        <v>23</v>
      </c>
      <c r="C5624" s="12"/>
      <c r="D5624" s="13" t="n">
        <f aca="false">IF(B5624&lt;5,Einstellungen!$B$3,Einstellungen!$B$4)</f>
        <v>29.13</v>
      </c>
      <c r="E5624" s="14" t="str">
        <f aca="false">IF(C5624="","",C5624*D5624/100)</f>
        <v/>
      </c>
      <c r="F5624" s="15" t="str">
        <f aca="false">IF(B5624&lt;5,"Go","Standard")</f>
        <v>Standard</v>
      </c>
    </row>
    <row r="5625" customFormat="false" ht="15" hidden="false" customHeight="true" outlineLevel="0" collapsed="false">
      <c r="A5625" s="10" t="n">
        <f aca="false">Einstellungen!$B$5+INT((ROW()-9)/24)</f>
        <v>46200</v>
      </c>
      <c r="B5625" s="11" t="n">
        <f aca="false">MOD(ROW()-9,24)</f>
        <v>0</v>
      </c>
      <c r="C5625" s="12"/>
      <c r="D5625" s="13" t="n">
        <f aca="false">IF(B5625&lt;5,Einstellungen!$B$3,Einstellungen!$B$4)</f>
        <v>15.92</v>
      </c>
      <c r="E5625" s="14" t="str">
        <f aca="false">IF(C5625="","",C5625*D5625/100)</f>
        <v/>
      </c>
      <c r="F5625" s="15" t="str">
        <f aca="false">IF(B5625&lt;5,"Go","Standard")</f>
        <v>Go</v>
      </c>
    </row>
    <row r="5626" customFormat="false" ht="15" hidden="false" customHeight="true" outlineLevel="0" collapsed="false">
      <c r="A5626" s="10" t="n">
        <f aca="false">Einstellungen!$B$5+INT((ROW()-9)/24)</f>
        <v>46200</v>
      </c>
      <c r="B5626" s="11" t="n">
        <f aca="false">MOD(ROW()-9,24)</f>
        <v>1</v>
      </c>
      <c r="C5626" s="12"/>
      <c r="D5626" s="13" t="n">
        <f aca="false">IF(B5626&lt;5,Einstellungen!$B$3,Einstellungen!$B$4)</f>
        <v>15.92</v>
      </c>
      <c r="E5626" s="14" t="str">
        <f aca="false">IF(C5626="","",C5626*D5626/100)</f>
        <v/>
      </c>
      <c r="F5626" s="15" t="str">
        <f aca="false">IF(B5626&lt;5,"Go","Standard")</f>
        <v>Go</v>
      </c>
    </row>
    <row r="5627" customFormat="false" ht="15" hidden="false" customHeight="true" outlineLevel="0" collapsed="false">
      <c r="A5627" s="10" t="n">
        <f aca="false">Einstellungen!$B$5+INT((ROW()-9)/24)</f>
        <v>46200</v>
      </c>
      <c r="B5627" s="11" t="n">
        <f aca="false">MOD(ROW()-9,24)</f>
        <v>2</v>
      </c>
      <c r="C5627" s="12"/>
      <c r="D5627" s="13" t="n">
        <f aca="false">IF(B5627&lt;5,Einstellungen!$B$3,Einstellungen!$B$4)</f>
        <v>15.92</v>
      </c>
      <c r="E5627" s="14" t="str">
        <f aca="false">IF(C5627="","",C5627*D5627/100)</f>
        <v/>
      </c>
      <c r="F5627" s="15" t="str">
        <f aca="false">IF(B5627&lt;5,"Go","Standard")</f>
        <v>Go</v>
      </c>
    </row>
    <row r="5628" customFormat="false" ht="15" hidden="false" customHeight="true" outlineLevel="0" collapsed="false">
      <c r="A5628" s="10" t="n">
        <f aca="false">Einstellungen!$B$5+INT((ROW()-9)/24)</f>
        <v>46200</v>
      </c>
      <c r="B5628" s="11" t="n">
        <f aca="false">MOD(ROW()-9,24)</f>
        <v>3</v>
      </c>
      <c r="C5628" s="12"/>
      <c r="D5628" s="13" t="n">
        <f aca="false">IF(B5628&lt;5,Einstellungen!$B$3,Einstellungen!$B$4)</f>
        <v>15.92</v>
      </c>
      <c r="E5628" s="14" t="str">
        <f aca="false">IF(C5628="","",C5628*D5628/100)</f>
        <v/>
      </c>
      <c r="F5628" s="15" t="str">
        <f aca="false">IF(B5628&lt;5,"Go","Standard")</f>
        <v>Go</v>
      </c>
    </row>
    <row r="5629" customFormat="false" ht="15" hidden="false" customHeight="true" outlineLevel="0" collapsed="false">
      <c r="A5629" s="10" t="n">
        <f aca="false">Einstellungen!$B$5+INT((ROW()-9)/24)</f>
        <v>46200</v>
      </c>
      <c r="B5629" s="11" t="n">
        <f aca="false">MOD(ROW()-9,24)</f>
        <v>4</v>
      </c>
      <c r="C5629" s="12"/>
      <c r="D5629" s="13" t="n">
        <f aca="false">IF(B5629&lt;5,Einstellungen!$B$3,Einstellungen!$B$4)</f>
        <v>15.92</v>
      </c>
      <c r="E5629" s="14" t="str">
        <f aca="false">IF(C5629="","",C5629*D5629/100)</f>
        <v/>
      </c>
      <c r="F5629" s="15" t="str">
        <f aca="false">IF(B5629&lt;5,"Go","Standard")</f>
        <v>Go</v>
      </c>
    </row>
    <row r="5630" customFormat="false" ht="15" hidden="false" customHeight="true" outlineLevel="0" collapsed="false">
      <c r="A5630" s="10" t="n">
        <f aca="false">Einstellungen!$B$5+INT((ROW()-9)/24)</f>
        <v>46200</v>
      </c>
      <c r="B5630" s="11" t="n">
        <f aca="false">MOD(ROW()-9,24)</f>
        <v>5</v>
      </c>
      <c r="C5630" s="12"/>
      <c r="D5630" s="13" t="n">
        <f aca="false">IF(B5630&lt;5,Einstellungen!$B$3,Einstellungen!$B$4)</f>
        <v>29.13</v>
      </c>
      <c r="E5630" s="14" t="str">
        <f aca="false">IF(C5630="","",C5630*D5630/100)</f>
        <v/>
      </c>
      <c r="F5630" s="15" t="str">
        <f aca="false">IF(B5630&lt;5,"Go","Standard")</f>
        <v>Standard</v>
      </c>
    </row>
    <row r="5631" customFormat="false" ht="15" hidden="false" customHeight="true" outlineLevel="0" collapsed="false">
      <c r="A5631" s="10" t="n">
        <f aca="false">Einstellungen!$B$5+INT((ROW()-9)/24)</f>
        <v>46200</v>
      </c>
      <c r="B5631" s="11" t="n">
        <f aca="false">MOD(ROW()-9,24)</f>
        <v>6</v>
      </c>
      <c r="C5631" s="12"/>
      <c r="D5631" s="13" t="n">
        <f aca="false">IF(B5631&lt;5,Einstellungen!$B$3,Einstellungen!$B$4)</f>
        <v>29.13</v>
      </c>
      <c r="E5631" s="14" t="str">
        <f aca="false">IF(C5631="","",C5631*D5631/100)</f>
        <v/>
      </c>
      <c r="F5631" s="15" t="str">
        <f aca="false">IF(B5631&lt;5,"Go","Standard")</f>
        <v>Standard</v>
      </c>
    </row>
    <row r="5632" customFormat="false" ht="15" hidden="false" customHeight="true" outlineLevel="0" collapsed="false">
      <c r="A5632" s="10" t="n">
        <f aca="false">Einstellungen!$B$5+INT((ROW()-9)/24)</f>
        <v>46200</v>
      </c>
      <c r="B5632" s="11" t="n">
        <f aca="false">MOD(ROW()-9,24)</f>
        <v>7</v>
      </c>
      <c r="C5632" s="12"/>
      <c r="D5632" s="13" t="n">
        <f aca="false">IF(B5632&lt;5,Einstellungen!$B$3,Einstellungen!$B$4)</f>
        <v>29.13</v>
      </c>
      <c r="E5632" s="14" t="str">
        <f aca="false">IF(C5632="","",C5632*D5632/100)</f>
        <v/>
      </c>
      <c r="F5632" s="15" t="str">
        <f aca="false">IF(B5632&lt;5,"Go","Standard")</f>
        <v>Standard</v>
      </c>
    </row>
    <row r="5633" customFormat="false" ht="15" hidden="false" customHeight="true" outlineLevel="0" collapsed="false">
      <c r="A5633" s="10" t="n">
        <f aca="false">Einstellungen!$B$5+INT((ROW()-9)/24)</f>
        <v>46200</v>
      </c>
      <c r="B5633" s="11" t="n">
        <f aca="false">MOD(ROW()-9,24)</f>
        <v>8</v>
      </c>
      <c r="C5633" s="12"/>
      <c r="D5633" s="13" t="n">
        <f aca="false">IF(B5633&lt;5,Einstellungen!$B$3,Einstellungen!$B$4)</f>
        <v>29.13</v>
      </c>
      <c r="E5633" s="14" t="str">
        <f aca="false">IF(C5633="","",C5633*D5633/100)</f>
        <v/>
      </c>
      <c r="F5633" s="15" t="str">
        <f aca="false">IF(B5633&lt;5,"Go","Standard")</f>
        <v>Standard</v>
      </c>
    </row>
    <row r="5634" customFormat="false" ht="15" hidden="false" customHeight="true" outlineLevel="0" collapsed="false">
      <c r="A5634" s="10" t="n">
        <f aca="false">Einstellungen!$B$5+INT((ROW()-9)/24)</f>
        <v>46200</v>
      </c>
      <c r="B5634" s="11" t="n">
        <f aca="false">MOD(ROW()-9,24)</f>
        <v>9</v>
      </c>
      <c r="C5634" s="12"/>
      <c r="D5634" s="13" t="n">
        <f aca="false">IF(B5634&lt;5,Einstellungen!$B$3,Einstellungen!$B$4)</f>
        <v>29.13</v>
      </c>
      <c r="E5634" s="14" t="str">
        <f aca="false">IF(C5634="","",C5634*D5634/100)</f>
        <v/>
      </c>
      <c r="F5634" s="15" t="str">
        <f aca="false">IF(B5634&lt;5,"Go","Standard")</f>
        <v>Standard</v>
      </c>
    </row>
    <row r="5635" customFormat="false" ht="15" hidden="false" customHeight="true" outlineLevel="0" collapsed="false">
      <c r="A5635" s="10" t="n">
        <f aca="false">Einstellungen!$B$5+INT((ROW()-9)/24)</f>
        <v>46200</v>
      </c>
      <c r="B5635" s="11" t="n">
        <f aca="false">MOD(ROW()-9,24)</f>
        <v>10</v>
      </c>
      <c r="C5635" s="12"/>
      <c r="D5635" s="13" t="n">
        <f aca="false">IF(B5635&lt;5,Einstellungen!$B$3,Einstellungen!$B$4)</f>
        <v>29.13</v>
      </c>
      <c r="E5635" s="14" t="str">
        <f aca="false">IF(C5635="","",C5635*D5635/100)</f>
        <v/>
      </c>
      <c r="F5635" s="15" t="str">
        <f aca="false">IF(B5635&lt;5,"Go","Standard")</f>
        <v>Standard</v>
      </c>
    </row>
    <row r="5636" customFormat="false" ht="15" hidden="false" customHeight="true" outlineLevel="0" collapsed="false">
      <c r="A5636" s="10" t="n">
        <f aca="false">Einstellungen!$B$5+INT((ROW()-9)/24)</f>
        <v>46200</v>
      </c>
      <c r="B5636" s="11" t="n">
        <f aca="false">MOD(ROW()-9,24)</f>
        <v>11</v>
      </c>
      <c r="C5636" s="12"/>
      <c r="D5636" s="13" t="n">
        <f aca="false">IF(B5636&lt;5,Einstellungen!$B$3,Einstellungen!$B$4)</f>
        <v>29.13</v>
      </c>
      <c r="E5636" s="14" t="str">
        <f aca="false">IF(C5636="","",C5636*D5636/100)</f>
        <v/>
      </c>
      <c r="F5636" s="15" t="str">
        <f aca="false">IF(B5636&lt;5,"Go","Standard")</f>
        <v>Standard</v>
      </c>
    </row>
    <row r="5637" customFormat="false" ht="15" hidden="false" customHeight="true" outlineLevel="0" collapsed="false">
      <c r="A5637" s="10" t="n">
        <f aca="false">Einstellungen!$B$5+INT((ROW()-9)/24)</f>
        <v>46200</v>
      </c>
      <c r="B5637" s="11" t="n">
        <f aca="false">MOD(ROW()-9,24)</f>
        <v>12</v>
      </c>
      <c r="C5637" s="12"/>
      <c r="D5637" s="13" t="n">
        <f aca="false">IF(B5637&lt;5,Einstellungen!$B$3,Einstellungen!$B$4)</f>
        <v>29.13</v>
      </c>
      <c r="E5637" s="14" t="str">
        <f aca="false">IF(C5637="","",C5637*D5637/100)</f>
        <v/>
      </c>
      <c r="F5637" s="15" t="str">
        <f aca="false">IF(B5637&lt;5,"Go","Standard")</f>
        <v>Standard</v>
      </c>
    </row>
    <row r="5638" customFormat="false" ht="15" hidden="false" customHeight="true" outlineLevel="0" collapsed="false">
      <c r="A5638" s="10" t="n">
        <f aca="false">Einstellungen!$B$5+INT((ROW()-9)/24)</f>
        <v>46200</v>
      </c>
      <c r="B5638" s="11" t="n">
        <f aca="false">MOD(ROW()-9,24)</f>
        <v>13</v>
      </c>
      <c r="C5638" s="12"/>
      <c r="D5638" s="13" t="n">
        <f aca="false">IF(B5638&lt;5,Einstellungen!$B$3,Einstellungen!$B$4)</f>
        <v>29.13</v>
      </c>
      <c r="E5638" s="14" t="str">
        <f aca="false">IF(C5638="","",C5638*D5638/100)</f>
        <v/>
      </c>
      <c r="F5638" s="15" t="str">
        <f aca="false">IF(B5638&lt;5,"Go","Standard")</f>
        <v>Standard</v>
      </c>
    </row>
    <row r="5639" customFormat="false" ht="15" hidden="false" customHeight="true" outlineLevel="0" collapsed="false">
      <c r="A5639" s="10" t="n">
        <f aca="false">Einstellungen!$B$5+INT((ROW()-9)/24)</f>
        <v>46200</v>
      </c>
      <c r="B5639" s="11" t="n">
        <f aca="false">MOD(ROW()-9,24)</f>
        <v>14</v>
      </c>
      <c r="C5639" s="12"/>
      <c r="D5639" s="13" t="n">
        <f aca="false">IF(B5639&lt;5,Einstellungen!$B$3,Einstellungen!$B$4)</f>
        <v>29.13</v>
      </c>
      <c r="E5639" s="14" t="str">
        <f aca="false">IF(C5639="","",C5639*D5639/100)</f>
        <v/>
      </c>
      <c r="F5639" s="15" t="str">
        <f aca="false">IF(B5639&lt;5,"Go","Standard")</f>
        <v>Standard</v>
      </c>
    </row>
    <row r="5640" customFormat="false" ht="15" hidden="false" customHeight="true" outlineLevel="0" collapsed="false">
      <c r="A5640" s="10" t="n">
        <f aca="false">Einstellungen!$B$5+INT((ROW()-9)/24)</f>
        <v>46200</v>
      </c>
      <c r="B5640" s="11" t="n">
        <f aca="false">MOD(ROW()-9,24)</f>
        <v>15</v>
      </c>
      <c r="C5640" s="12"/>
      <c r="D5640" s="13" t="n">
        <f aca="false">IF(B5640&lt;5,Einstellungen!$B$3,Einstellungen!$B$4)</f>
        <v>29.13</v>
      </c>
      <c r="E5640" s="14" t="str">
        <f aca="false">IF(C5640="","",C5640*D5640/100)</f>
        <v/>
      </c>
      <c r="F5640" s="15" t="str">
        <f aca="false">IF(B5640&lt;5,"Go","Standard")</f>
        <v>Standard</v>
      </c>
    </row>
    <row r="5641" customFormat="false" ht="15" hidden="false" customHeight="true" outlineLevel="0" collapsed="false">
      <c r="A5641" s="10" t="n">
        <f aca="false">Einstellungen!$B$5+INT((ROW()-9)/24)</f>
        <v>46200</v>
      </c>
      <c r="B5641" s="11" t="n">
        <f aca="false">MOD(ROW()-9,24)</f>
        <v>16</v>
      </c>
      <c r="C5641" s="12"/>
      <c r="D5641" s="13" t="n">
        <f aca="false">IF(B5641&lt;5,Einstellungen!$B$3,Einstellungen!$B$4)</f>
        <v>29.13</v>
      </c>
      <c r="E5641" s="14" t="str">
        <f aca="false">IF(C5641="","",C5641*D5641/100)</f>
        <v/>
      </c>
      <c r="F5641" s="15" t="str">
        <f aca="false">IF(B5641&lt;5,"Go","Standard")</f>
        <v>Standard</v>
      </c>
    </row>
    <row r="5642" customFormat="false" ht="15" hidden="false" customHeight="true" outlineLevel="0" collapsed="false">
      <c r="A5642" s="10" t="n">
        <f aca="false">Einstellungen!$B$5+INT((ROW()-9)/24)</f>
        <v>46200</v>
      </c>
      <c r="B5642" s="11" t="n">
        <f aca="false">MOD(ROW()-9,24)</f>
        <v>17</v>
      </c>
      <c r="C5642" s="12"/>
      <c r="D5642" s="13" t="n">
        <f aca="false">IF(B5642&lt;5,Einstellungen!$B$3,Einstellungen!$B$4)</f>
        <v>29.13</v>
      </c>
      <c r="E5642" s="14" t="str">
        <f aca="false">IF(C5642="","",C5642*D5642/100)</f>
        <v/>
      </c>
      <c r="F5642" s="15" t="str">
        <f aca="false">IF(B5642&lt;5,"Go","Standard")</f>
        <v>Standard</v>
      </c>
    </row>
    <row r="5643" customFormat="false" ht="15" hidden="false" customHeight="true" outlineLevel="0" collapsed="false">
      <c r="A5643" s="10" t="n">
        <f aca="false">Einstellungen!$B$5+INT((ROW()-9)/24)</f>
        <v>46200</v>
      </c>
      <c r="B5643" s="11" t="n">
        <f aca="false">MOD(ROW()-9,24)</f>
        <v>18</v>
      </c>
      <c r="C5643" s="12"/>
      <c r="D5643" s="13" t="n">
        <f aca="false">IF(B5643&lt;5,Einstellungen!$B$3,Einstellungen!$B$4)</f>
        <v>29.13</v>
      </c>
      <c r="E5643" s="14" t="str">
        <f aca="false">IF(C5643="","",C5643*D5643/100)</f>
        <v/>
      </c>
      <c r="F5643" s="15" t="str">
        <f aca="false">IF(B5643&lt;5,"Go","Standard")</f>
        <v>Standard</v>
      </c>
    </row>
    <row r="5644" customFormat="false" ht="15" hidden="false" customHeight="true" outlineLevel="0" collapsed="false">
      <c r="A5644" s="10" t="n">
        <f aca="false">Einstellungen!$B$5+INT((ROW()-9)/24)</f>
        <v>46200</v>
      </c>
      <c r="B5644" s="11" t="n">
        <f aca="false">MOD(ROW()-9,24)</f>
        <v>19</v>
      </c>
      <c r="C5644" s="12"/>
      <c r="D5644" s="13" t="n">
        <f aca="false">IF(B5644&lt;5,Einstellungen!$B$3,Einstellungen!$B$4)</f>
        <v>29.13</v>
      </c>
      <c r="E5644" s="14" t="str">
        <f aca="false">IF(C5644="","",C5644*D5644/100)</f>
        <v/>
      </c>
      <c r="F5644" s="15" t="str">
        <f aca="false">IF(B5644&lt;5,"Go","Standard")</f>
        <v>Standard</v>
      </c>
    </row>
    <row r="5645" customFormat="false" ht="15" hidden="false" customHeight="true" outlineLevel="0" collapsed="false">
      <c r="A5645" s="10" t="n">
        <f aca="false">Einstellungen!$B$5+INT((ROW()-9)/24)</f>
        <v>46200</v>
      </c>
      <c r="B5645" s="11" t="n">
        <f aca="false">MOD(ROW()-9,24)</f>
        <v>20</v>
      </c>
      <c r="C5645" s="12"/>
      <c r="D5645" s="13" t="n">
        <f aca="false">IF(B5645&lt;5,Einstellungen!$B$3,Einstellungen!$B$4)</f>
        <v>29.13</v>
      </c>
      <c r="E5645" s="14" t="str">
        <f aca="false">IF(C5645="","",C5645*D5645/100)</f>
        <v/>
      </c>
      <c r="F5645" s="15" t="str">
        <f aca="false">IF(B5645&lt;5,"Go","Standard")</f>
        <v>Standard</v>
      </c>
    </row>
    <row r="5646" customFormat="false" ht="15" hidden="false" customHeight="true" outlineLevel="0" collapsed="false">
      <c r="A5646" s="10" t="n">
        <f aca="false">Einstellungen!$B$5+INT((ROW()-9)/24)</f>
        <v>46200</v>
      </c>
      <c r="B5646" s="11" t="n">
        <f aca="false">MOD(ROW()-9,24)</f>
        <v>21</v>
      </c>
      <c r="C5646" s="12"/>
      <c r="D5646" s="13" t="n">
        <f aca="false">IF(B5646&lt;5,Einstellungen!$B$3,Einstellungen!$B$4)</f>
        <v>29.13</v>
      </c>
      <c r="E5646" s="14" t="str">
        <f aca="false">IF(C5646="","",C5646*D5646/100)</f>
        <v/>
      </c>
      <c r="F5646" s="15" t="str">
        <f aca="false">IF(B5646&lt;5,"Go","Standard")</f>
        <v>Standard</v>
      </c>
    </row>
    <row r="5647" customFormat="false" ht="15" hidden="false" customHeight="true" outlineLevel="0" collapsed="false">
      <c r="A5647" s="10" t="n">
        <f aca="false">Einstellungen!$B$5+INT((ROW()-9)/24)</f>
        <v>46200</v>
      </c>
      <c r="B5647" s="11" t="n">
        <f aca="false">MOD(ROW()-9,24)</f>
        <v>22</v>
      </c>
      <c r="C5647" s="12"/>
      <c r="D5647" s="13" t="n">
        <f aca="false">IF(B5647&lt;5,Einstellungen!$B$3,Einstellungen!$B$4)</f>
        <v>29.13</v>
      </c>
      <c r="E5647" s="14" t="str">
        <f aca="false">IF(C5647="","",C5647*D5647/100)</f>
        <v/>
      </c>
      <c r="F5647" s="15" t="str">
        <f aca="false">IF(B5647&lt;5,"Go","Standard")</f>
        <v>Standard</v>
      </c>
    </row>
    <row r="5648" customFormat="false" ht="15" hidden="false" customHeight="true" outlineLevel="0" collapsed="false">
      <c r="A5648" s="10" t="n">
        <f aca="false">Einstellungen!$B$5+INT((ROW()-9)/24)</f>
        <v>46200</v>
      </c>
      <c r="B5648" s="11" t="n">
        <f aca="false">MOD(ROW()-9,24)</f>
        <v>23</v>
      </c>
      <c r="C5648" s="12"/>
      <c r="D5648" s="13" t="n">
        <f aca="false">IF(B5648&lt;5,Einstellungen!$B$3,Einstellungen!$B$4)</f>
        <v>29.13</v>
      </c>
      <c r="E5648" s="14" t="str">
        <f aca="false">IF(C5648="","",C5648*D5648/100)</f>
        <v/>
      </c>
      <c r="F5648" s="15" t="str">
        <f aca="false">IF(B5648&lt;5,"Go","Standard")</f>
        <v>Standard</v>
      </c>
    </row>
    <row r="5649" customFormat="false" ht="15" hidden="false" customHeight="true" outlineLevel="0" collapsed="false">
      <c r="A5649" s="10" t="n">
        <f aca="false">Einstellungen!$B$5+INT((ROW()-9)/24)</f>
        <v>46201</v>
      </c>
      <c r="B5649" s="11" t="n">
        <f aca="false">MOD(ROW()-9,24)</f>
        <v>0</v>
      </c>
      <c r="C5649" s="12"/>
      <c r="D5649" s="13" t="n">
        <f aca="false">IF(B5649&lt;5,Einstellungen!$B$3,Einstellungen!$B$4)</f>
        <v>15.92</v>
      </c>
      <c r="E5649" s="14" t="str">
        <f aca="false">IF(C5649="","",C5649*D5649/100)</f>
        <v/>
      </c>
      <c r="F5649" s="15" t="str">
        <f aca="false">IF(B5649&lt;5,"Go","Standard")</f>
        <v>Go</v>
      </c>
    </row>
    <row r="5650" customFormat="false" ht="15" hidden="false" customHeight="true" outlineLevel="0" collapsed="false">
      <c r="A5650" s="10" t="n">
        <f aca="false">Einstellungen!$B$5+INT((ROW()-9)/24)</f>
        <v>46201</v>
      </c>
      <c r="B5650" s="11" t="n">
        <f aca="false">MOD(ROW()-9,24)</f>
        <v>1</v>
      </c>
      <c r="C5650" s="12"/>
      <c r="D5650" s="13" t="n">
        <f aca="false">IF(B5650&lt;5,Einstellungen!$B$3,Einstellungen!$B$4)</f>
        <v>15.92</v>
      </c>
      <c r="E5650" s="14" t="str">
        <f aca="false">IF(C5650="","",C5650*D5650/100)</f>
        <v/>
      </c>
      <c r="F5650" s="15" t="str">
        <f aca="false">IF(B5650&lt;5,"Go","Standard")</f>
        <v>Go</v>
      </c>
    </row>
    <row r="5651" customFormat="false" ht="15" hidden="false" customHeight="true" outlineLevel="0" collapsed="false">
      <c r="A5651" s="10" t="n">
        <f aca="false">Einstellungen!$B$5+INT((ROW()-9)/24)</f>
        <v>46201</v>
      </c>
      <c r="B5651" s="11" t="n">
        <f aca="false">MOD(ROW()-9,24)</f>
        <v>2</v>
      </c>
      <c r="C5651" s="12"/>
      <c r="D5651" s="13" t="n">
        <f aca="false">IF(B5651&lt;5,Einstellungen!$B$3,Einstellungen!$B$4)</f>
        <v>15.92</v>
      </c>
      <c r="E5651" s="14" t="str">
        <f aca="false">IF(C5651="","",C5651*D5651/100)</f>
        <v/>
      </c>
      <c r="F5651" s="15" t="str">
        <f aca="false">IF(B5651&lt;5,"Go","Standard")</f>
        <v>Go</v>
      </c>
    </row>
    <row r="5652" customFormat="false" ht="15" hidden="false" customHeight="true" outlineLevel="0" collapsed="false">
      <c r="A5652" s="10" t="n">
        <f aca="false">Einstellungen!$B$5+INT((ROW()-9)/24)</f>
        <v>46201</v>
      </c>
      <c r="B5652" s="11" t="n">
        <f aca="false">MOD(ROW()-9,24)</f>
        <v>3</v>
      </c>
      <c r="C5652" s="12"/>
      <c r="D5652" s="13" t="n">
        <f aca="false">IF(B5652&lt;5,Einstellungen!$B$3,Einstellungen!$B$4)</f>
        <v>15.92</v>
      </c>
      <c r="E5652" s="14" t="str">
        <f aca="false">IF(C5652="","",C5652*D5652/100)</f>
        <v/>
      </c>
      <c r="F5652" s="15" t="str">
        <f aca="false">IF(B5652&lt;5,"Go","Standard")</f>
        <v>Go</v>
      </c>
    </row>
    <row r="5653" customFormat="false" ht="15" hidden="false" customHeight="true" outlineLevel="0" collapsed="false">
      <c r="A5653" s="10" t="n">
        <f aca="false">Einstellungen!$B$5+INT((ROW()-9)/24)</f>
        <v>46201</v>
      </c>
      <c r="B5653" s="11" t="n">
        <f aca="false">MOD(ROW()-9,24)</f>
        <v>4</v>
      </c>
      <c r="C5653" s="12"/>
      <c r="D5653" s="13" t="n">
        <f aca="false">IF(B5653&lt;5,Einstellungen!$B$3,Einstellungen!$B$4)</f>
        <v>15.92</v>
      </c>
      <c r="E5653" s="14" t="str">
        <f aca="false">IF(C5653="","",C5653*D5653/100)</f>
        <v/>
      </c>
      <c r="F5653" s="15" t="str">
        <f aca="false">IF(B5653&lt;5,"Go","Standard")</f>
        <v>Go</v>
      </c>
    </row>
    <row r="5654" customFormat="false" ht="15" hidden="false" customHeight="true" outlineLevel="0" collapsed="false">
      <c r="A5654" s="10" t="n">
        <f aca="false">Einstellungen!$B$5+INT((ROW()-9)/24)</f>
        <v>46201</v>
      </c>
      <c r="B5654" s="11" t="n">
        <f aca="false">MOD(ROW()-9,24)</f>
        <v>5</v>
      </c>
      <c r="C5654" s="12"/>
      <c r="D5654" s="13" t="n">
        <f aca="false">IF(B5654&lt;5,Einstellungen!$B$3,Einstellungen!$B$4)</f>
        <v>29.13</v>
      </c>
      <c r="E5654" s="14" t="str">
        <f aca="false">IF(C5654="","",C5654*D5654/100)</f>
        <v/>
      </c>
      <c r="F5654" s="15" t="str">
        <f aca="false">IF(B5654&lt;5,"Go","Standard")</f>
        <v>Standard</v>
      </c>
    </row>
    <row r="5655" customFormat="false" ht="15" hidden="false" customHeight="true" outlineLevel="0" collapsed="false">
      <c r="A5655" s="10" t="n">
        <f aca="false">Einstellungen!$B$5+INT((ROW()-9)/24)</f>
        <v>46201</v>
      </c>
      <c r="B5655" s="11" t="n">
        <f aca="false">MOD(ROW()-9,24)</f>
        <v>6</v>
      </c>
      <c r="C5655" s="12"/>
      <c r="D5655" s="13" t="n">
        <f aca="false">IF(B5655&lt;5,Einstellungen!$B$3,Einstellungen!$B$4)</f>
        <v>29.13</v>
      </c>
      <c r="E5655" s="14" t="str">
        <f aca="false">IF(C5655="","",C5655*D5655/100)</f>
        <v/>
      </c>
      <c r="F5655" s="15" t="str">
        <f aca="false">IF(B5655&lt;5,"Go","Standard")</f>
        <v>Standard</v>
      </c>
    </row>
    <row r="5656" customFormat="false" ht="15" hidden="false" customHeight="true" outlineLevel="0" collapsed="false">
      <c r="A5656" s="10" t="n">
        <f aca="false">Einstellungen!$B$5+INT((ROW()-9)/24)</f>
        <v>46201</v>
      </c>
      <c r="B5656" s="11" t="n">
        <f aca="false">MOD(ROW()-9,24)</f>
        <v>7</v>
      </c>
      <c r="C5656" s="12"/>
      <c r="D5656" s="13" t="n">
        <f aca="false">IF(B5656&lt;5,Einstellungen!$B$3,Einstellungen!$B$4)</f>
        <v>29.13</v>
      </c>
      <c r="E5656" s="14" t="str">
        <f aca="false">IF(C5656="","",C5656*D5656/100)</f>
        <v/>
      </c>
      <c r="F5656" s="15" t="str">
        <f aca="false">IF(B5656&lt;5,"Go","Standard")</f>
        <v>Standard</v>
      </c>
    </row>
    <row r="5657" customFormat="false" ht="15" hidden="false" customHeight="true" outlineLevel="0" collapsed="false">
      <c r="A5657" s="10" t="n">
        <f aca="false">Einstellungen!$B$5+INT((ROW()-9)/24)</f>
        <v>46201</v>
      </c>
      <c r="B5657" s="11" t="n">
        <f aca="false">MOD(ROW()-9,24)</f>
        <v>8</v>
      </c>
      <c r="C5657" s="12"/>
      <c r="D5657" s="13" t="n">
        <f aca="false">IF(B5657&lt;5,Einstellungen!$B$3,Einstellungen!$B$4)</f>
        <v>29.13</v>
      </c>
      <c r="E5657" s="14" t="str">
        <f aca="false">IF(C5657="","",C5657*D5657/100)</f>
        <v/>
      </c>
      <c r="F5657" s="15" t="str">
        <f aca="false">IF(B5657&lt;5,"Go","Standard")</f>
        <v>Standard</v>
      </c>
    </row>
    <row r="5658" customFormat="false" ht="15" hidden="false" customHeight="true" outlineLevel="0" collapsed="false">
      <c r="A5658" s="10" t="n">
        <f aca="false">Einstellungen!$B$5+INT((ROW()-9)/24)</f>
        <v>46201</v>
      </c>
      <c r="B5658" s="11" t="n">
        <f aca="false">MOD(ROW()-9,24)</f>
        <v>9</v>
      </c>
      <c r="C5658" s="12"/>
      <c r="D5658" s="13" t="n">
        <f aca="false">IF(B5658&lt;5,Einstellungen!$B$3,Einstellungen!$B$4)</f>
        <v>29.13</v>
      </c>
      <c r="E5658" s="14" t="str">
        <f aca="false">IF(C5658="","",C5658*D5658/100)</f>
        <v/>
      </c>
      <c r="F5658" s="15" t="str">
        <f aca="false">IF(B5658&lt;5,"Go","Standard")</f>
        <v>Standard</v>
      </c>
    </row>
    <row r="5659" customFormat="false" ht="15" hidden="false" customHeight="true" outlineLevel="0" collapsed="false">
      <c r="A5659" s="10" t="n">
        <f aca="false">Einstellungen!$B$5+INT((ROW()-9)/24)</f>
        <v>46201</v>
      </c>
      <c r="B5659" s="11" t="n">
        <f aca="false">MOD(ROW()-9,24)</f>
        <v>10</v>
      </c>
      <c r="C5659" s="12"/>
      <c r="D5659" s="13" t="n">
        <f aca="false">IF(B5659&lt;5,Einstellungen!$B$3,Einstellungen!$B$4)</f>
        <v>29.13</v>
      </c>
      <c r="E5659" s="14" t="str">
        <f aca="false">IF(C5659="","",C5659*D5659/100)</f>
        <v/>
      </c>
      <c r="F5659" s="15" t="str">
        <f aca="false">IF(B5659&lt;5,"Go","Standard")</f>
        <v>Standard</v>
      </c>
    </row>
    <row r="5660" customFormat="false" ht="15" hidden="false" customHeight="true" outlineLevel="0" collapsed="false">
      <c r="A5660" s="10" t="n">
        <f aca="false">Einstellungen!$B$5+INT((ROW()-9)/24)</f>
        <v>46201</v>
      </c>
      <c r="B5660" s="11" t="n">
        <f aca="false">MOD(ROW()-9,24)</f>
        <v>11</v>
      </c>
      <c r="C5660" s="12"/>
      <c r="D5660" s="13" t="n">
        <f aca="false">IF(B5660&lt;5,Einstellungen!$B$3,Einstellungen!$B$4)</f>
        <v>29.13</v>
      </c>
      <c r="E5660" s="14" t="str">
        <f aca="false">IF(C5660="","",C5660*D5660/100)</f>
        <v/>
      </c>
      <c r="F5660" s="15" t="str">
        <f aca="false">IF(B5660&lt;5,"Go","Standard")</f>
        <v>Standard</v>
      </c>
    </row>
    <row r="5661" customFormat="false" ht="15" hidden="false" customHeight="true" outlineLevel="0" collapsed="false">
      <c r="A5661" s="10" t="n">
        <f aca="false">Einstellungen!$B$5+INT((ROW()-9)/24)</f>
        <v>46201</v>
      </c>
      <c r="B5661" s="11" t="n">
        <f aca="false">MOD(ROW()-9,24)</f>
        <v>12</v>
      </c>
      <c r="C5661" s="12"/>
      <c r="D5661" s="13" t="n">
        <f aca="false">IF(B5661&lt;5,Einstellungen!$B$3,Einstellungen!$B$4)</f>
        <v>29.13</v>
      </c>
      <c r="E5661" s="14" t="str">
        <f aca="false">IF(C5661="","",C5661*D5661/100)</f>
        <v/>
      </c>
      <c r="F5661" s="15" t="str">
        <f aca="false">IF(B5661&lt;5,"Go","Standard")</f>
        <v>Standard</v>
      </c>
    </row>
    <row r="5662" customFormat="false" ht="15" hidden="false" customHeight="true" outlineLevel="0" collapsed="false">
      <c r="A5662" s="10" t="n">
        <f aca="false">Einstellungen!$B$5+INT((ROW()-9)/24)</f>
        <v>46201</v>
      </c>
      <c r="B5662" s="11" t="n">
        <f aca="false">MOD(ROW()-9,24)</f>
        <v>13</v>
      </c>
      <c r="C5662" s="12"/>
      <c r="D5662" s="13" t="n">
        <f aca="false">IF(B5662&lt;5,Einstellungen!$B$3,Einstellungen!$B$4)</f>
        <v>29.13</v>
      </c>
      <c r="E5662" s="14" t="str">
        <f aca="false">IF(C5662="","",C5662*D5662/100)</f>
        <v/>
      </c>
      <c r="F5662" s="15" t="str">
        <f aca="false">IF(B5662&lt;5,"Go","Standard")</f>
        <v>Standard</v>
      </c>
    </row>
    <row r="5663" customFormat="false" ht="15" hidden="false" customHeight="true" outlineLevel="0" collapsed="false">
      <c r="A5663" s="10" t="n">
        <f aca="false">Einstellungen!$B$5+INT((ROW()-9)/24)</f>
        <v>46201</v>
      </c>
      <c r="B5663" s="11" t="n">
        <f aca="false">MOD(ROW()-9,24)</f>
        <v>14</v>
      </c>
      <c r="C5663" s="12"/>
      <c r="D5663" s="13" t="n">
        <f aca="false">IF(B5663&lt;5,Einstellungen!$B$3,Einstellungen!$B$4)</f>
        <v>29.13</v>
      </c>
      <c r="E5663" s="14" t="str">
        <f aca="false">IF(C5663="","",C5663*D5663/100)</f>
        <v/>
      </c>
      <c r="F5663" s="15" t="str">
        <f aca="false">IF(B5663&lt;5,"Go","Standard")</f>
        <v>Standard</v>
      </c>
    </row>
    <row r="5664" customFormat="false" ht="15" hidden="false" customHeight="true" outlineLevel="0" collapsed="false">
      <c r="A5664" s="10" t="n">
        <f aca="false">Einstellungen!$B$5+INT((ROW()-9)/24)</f>
        <v>46201</v>
      </c>
      <c r="B5664" s="11" t="n">
        <f aca="false">MOD(ROW()-9,24)</f>
        <v>15</v>
      </c>
      <c r="C5664" s="12"/>
      <c r="D5664" s="13" t="n">
        <f aca="false">IF(B5664&lt;5,Einstellungen!$B$3,Einstellungen!$B$4)</f>
        <v>29.13</v>
      </c>
      <c r="E5664" s="14" t="str">
        <f aca="false">IF(C5664="","",C5664*D5664/100)</f>
        <v/>
      </c>
      <c r="F5664" s="15" t="str">
        <f aca="false">IF(B5664&lt;5,"Go","Standard")</f>
        <v>Standard</v>
      </c>
    </row>
    <row r="5665" customFormat="false" ht="15" hidden="false" customHeight="true" outlineLevel="0" collapsed="false">
      <c r="A5665" s="10" t="n">
        <f aca="false">Einstellungen!$B$5+INT((ROW()-9)/24)</f>
        <v>46201</v>
      </c>
      <c r="B5665" s="11" t="n">
        <f aca="false">MOD(ROW()-9,24)</f>
        <v>16</v>
      </c>
      <c r="C5665" s="12"/>
      <c r="D5665" s="13" t="n">
        <f aca="false">IF(B5665&lt;5,Einstellungen!$B$3,Einstellungen!$B$4)</f>
        <v>29.13</v>
      </c>
      <c r="E5665" s="14" t="str">
        <f aca="false">IF(C5665="","",C5665*D5665/100)</f>
        <v/>
      </c>
      <c r="F5665" s="15" t="str">
        <f aca="false">IF(B5665&lt;5,"Go","Standard")</f>
        <v>Standard</v>
      </c>
    </row>
    <row r="5666" customFormat="false" ht="15" hidden="false" customHeight="true" outlineLevel="0" collapsed="false">
      <c r="A5666" s="10" t="n">
        <f aca="false">Einstellungen!$B$5+INT((ROW()-9)/24)</f>
        <v>46201</v>
      </c>
      <c r="B5666" s="11" t="n">
        <f aca="false">MOD(ROW()-9,24)</f>
        <v>17</v>
      </c>
      <c r="C5666" s="12"/>
      <c r="D5666" s="13" t="n">
        <f aca="false">IF(B5666&lt;5,Einstellungen!$B$3,Einstellungen!$B$4)</f>
        <v>29.13</v>
      </c>
      <c r="E5666" s="14" t="str">
        <f aca="false">IF(C5666="","",C5666*D5666/100)</f>
        <v/>
      </c>
      <c r="F5666" s="15" t="str">
        <f aca="false">IF(B5666&lt;5,"Go","Standard")</f>
        <v>Standard</v>
      </c>
    </row>
    <row r="5667" customFormat="false" ht="15" hidden="false" customHeight="true" outlineLevel="0" collapsed="false">
      <c r="A5667" s="10" t="n">
        <f aca="false">Einstellungen!$B$5+INT((ROW()-9)/24)</f>
        <v>46201</v>
      </c>
      <c r="B5667" s="11" t="n">
        <f aca="false">MOD(ROW()-9,24)</f>
        <v>18</v>
      </c>
      <c r="C5667" s="12"/>
      <c r="D5667" s="13" t="n">
        <f aca="false">IF(B5667&lt;5,Einstellungen!$B$3,Einstellungen!$B$4)</f>
        <v>29.13</v>
      </c>
      <c r="E5667" s="14" t="str">
        <f aca="false">IF(C5667="","",C5667*D5667/100)</f>
        <v/>
      </c>
      <c r="F5667" s="15" t="str">
        <f aca="false">IF(B5667&lt;5,"Go","Standard")</f>
        <v>Standard</v>
      </c>
    </row>
    <row r="5668" customFormat="false" ht="15" hidden="false" customHeight="true" outlineLevel="0" collapsed="false">
      <c r="A5668" s="10" t="n">
        <f aca="false">Einstellungen!$B$5+INT((ROW()-9)/24)</f>
        <v>46201</v>
      </c>
      <c r="B5668" s="11" t="n">
        <f aca="false">MOD(ROW()-9,24)</f>
        <v>19</v>
      </c>
      <c r="C5668" s="12"/>
      <c r="D5668" s="13" t="n">
        <f aca="false">IF(B5668&lt;5,Einstellungen!$B$3,Einstellungen!$B$4)</f>
        <v>29.13</v>
      </c>
      <c r="E5668" s="14" t="str">
        <f aca="false">IF(C5668="","",C5668*D5668/100)</f>
        <v/>
      </c>
      <c r="F5668" s="15" t="str">
        <f aca="false">IF(B5668&lt;5,"Go","Standard")</f>
        <v>Standard</v>
      </c>
    </row>
    <row r="5669" customFormat="false" ht="15" hidden="false" customHeight="true" outlineLevel="0" collapsed="false">
      <c r="A5669" s="10" t="n">
        <f aca="false">Einstellungen!$B$5+INT((ROW()-9)/24)</f>
        <v>46201</v>
      </c>
      <c r="B5669" s="11" t="n">
        <f aca="false">MOD(ROW()-9,24)</f>
        <v>20</v>
      </c>
      <c r="C5669" s="12"/>
      <c r="D5669" s="13" t="n">
        <f aca="false">IF(B5669&lt;5,Einstellungen!$B$3,Einstellungen!$B$4)</f>
        <v>29.13</v>
      </c>
      <c r="E5669" s="14" t="str">
        <f aca="false">IF(C5669="","",C5669*D5669/100)</f>
        <v/>
      </c>
      <c r="F5669" s="15" t="str">
        <f aca="false">IF(B5669&lt;5,"Go","Standard")</f>
        <v>Standard</v>
      </c>
    </row>
    <row r="5670" customFormat="false" ht="15" hidden="false" customHeight="true" outlineLevel="0" collapsed="false">
      <c r="A5670" s="10" t="n">
        <f aca="false">Einstellungen!$B$5+INT((ROW()-9)/24)</f>
        <v>46201</v>
      </c>
      <c r="B5670" s="11" t="n">
        <f aca="false">MOD(ROW()-9,24)</f>
        <v>21</v>
      </c>
      <c r="C5670" s="12"/>
      <c r="D5670" s="13" t="n">
        <f aca="false">IF(B5670&lt;5,Einstellungen!$B$3,Einstellungen!$B$4)</f>
        <v>29.13</v>
      </c>
      <c r="E5670" s="14" t="str">
        <f aca="false">IF(C5670="","",C5670*D5670/100)</f>
        <v/>
      </c>
      <c r="F5670" s="15" t="str">
        <f aca="false">IF(B5670&lt;5,"Go","Standard")</f>
        <v>Standard</v>
      </c>
    </row>
    <row r="5671" customFormat="false" ht="15" hidden="false" customHeight="true" outlineLevel="0" collapsed="false">
      <c r="A5671" s="10" t="n">
        <f aca="false">Einstellungen!$B$5+INT((ROW()-9)/24)</f>
        <v>46201</v>
      </c>
      <c r="B5671" s="11" t="n">
        <f aca="false">MOD(ROW()-9,24)</f>
        <v>22</v>
      </c>
      <c r="C5671" s="12"/>
      <c r="D5671" s="13" t="n">
        <f aca="false">IF(B5671&lt;5,Einstellungen!$B$3,Einstellungen!$B$4)</f>
        <v>29.13</v>
      </c>
      <c r="E5671" s="14" t="str">
        <f aca="false">IF(C5671="","",C5671*D5671/100)</f>
        <v/>
      </c>
      <c r="F5671" s="15" t="str">
        <f aca="false">IF(B5671&lt;5,"Go","Standard")</f>
        <v>Standard</v>
      </c>
    </row>
    <row r="5672" customFormat="false" ht="15" hidden="false" customHeight="true" outlineLevel="0" collapsed="false">
      <c r="A5672" s="10" t="n">
        <f aca="false">Einstellungen!$B$5+INT((ROW()-9)/24)</f>
        <v>46201</v>
      </c>
      <c r="B5672" s="11" t="n">
        <f aca="false">MOD(ROW()-9,24)</f>
        <v>23</v>
      </c>
      <c r="C5672" s="12"/>
      <c r="D5672" s="13" t="n">
        <f aca="false">IF(B5672&lt;5,Einstellungen!$B$3,Einstellungen!$B$4)</f>
        <v>29.13</v>
      </c>
      <c r="E5672" s="14" t="str">
        <f aca="false">IF(C5672="","",C5672*D5672/100)</f>
        <v/>
      </c>
      <c r="F5672" s="15" t="str">
        <f aca="false">IF(B5672&lt;5,"Go","Standard")</f>
        <v>Standard</v>
      </c>
    </row>
    <row r="5673" customFormat="false" ht="15" hidden="false" customHeight="true" outlineLevel="0" collapsed="false">
      <c r="A5673" s="10" t="n">
        <f aca="false">Einstellungen!$B$5+INT((ROW()-9)/24)</f>
        <v>46202</v>
      </c>
      <c r="B5673" s="11" t="n">
        <f aca="false">MOD(ROW()-9,24)</f>
        <v>0</v>
      </c>
      <c r="C5673" s="12"/>
      <c r="D5673" s="13" t="n">
        <f aca="false">IF(B5673&lt;5,Einstellungen!$B$3,Einstellungen!$B$4)</f>
        <v>15.92</v>
      </c>
      <c r="E5673" s="14" t="str">
        <f aca="false">IF(C5673="","",C5673*D5673/100)</f>
        <v/>
      </c>
      <c r="F5673" s="15" t="str">
        <f aca="false">IF(B5673&lt;5,"Go","Standard")</f>
        <v>Go</v>
      </c>
    </row>
    <row r="5674" customFormat="false" ht="15" hidden="false" customHeight="true" outlineLevel="0" collapsed="false">
      <c r="A5674" s="10" t="n">
        <f aca="false">Einstellungen!$B$5+INT((ROW()-9)/24)</f>
        <v>46202</v>
      </c>
      <c r="B5674" s="11" t="n">
        <f aca="false">MOD(ROW()-9,24)</f>
        <v>1</v>
      </c>
      <c r="C5674" s="12"/>
      <c r="D5674" s="13" t="n">
        <f aca="false">IF(B5674&lt;5,Einstellungen!$B$3,Einstellungen!$B$4)</f>
        <v>15.92</v>
      </c>
      <c r="E5674" s="14" t="str">
        <f aca="false">IF(C5674="","",C5674*D5674/100)</f>
        <v/>
      </c>
      <c r="F5674" s="15" t="str">
        <f aca="false">IF(B5674&lt;5,"Go","Standard")</f>
        <v>Go</v>
      </c>
    </row>
    <row r="5675" customFormat="false" ht="15" hidden="false" customHeight="true" outlineLevel="0" collapsed="false">
      <c r="A5675" s="10" t="n">
        <f aca="false">Einstellungen!$B$5+INT((ROW()-9)/24)</f>
        <v>46202</v>
      </c>
      <c r="B5675" s="11" t="n">
        <f aca="false">MOD(ROW()-9,24)</f>
        <v>2</v>
      </c>
      <c r="C5675" s="12"/>
      <c r="D5675" s="13" t="n">
        <f aca="false">IF(B5675&lt;5,Einstellungen!$B$3,Einstellungen!$B$4)</f>
        <v>15.92</v>
      </c>
      <c r="E5675" s="14" t="str">
        <f aca="false">IF(C5675="","",C5675*D5675/100)</f>
        <v/>
      </c>
      <c r="F5675" s="15" t="str">
        <f aca="false">IF(B5675&lt;5,"Go","Standard")</f>
        <v>Go</v>
      </c>
    </row>
    <row r="5676" customFormat="false" ht="15" hidden="false" customHeight="true" outlineLevel="0" collapsed="false">
      <c r="A5676" s="10" t="n">
        <f aca="false">Einstellungen!$B$5+INT((ROW()-9)/24)</f>
        <v>46202</v>
      </c>
      <c r="B5676" s="11" t="n">
        <f aca="false">MOD(ROW()-9,24)</f>
        <v>3</v>
      </c>
      <c r="C5676" s="12"/>
      <c r="D5676" s="13" t="n">
        <f aca="false">IF(B5676&lt;5,Einstellungen!$B$3,Einstellungen!$B$4)</f>
        <v>15.92</v>
      </c>
      <c r="E5676" s="14" t="str">
        <f aca="false">IF(C5676="","",C5676*D5676/100)</f>
        <v/>
      </c>
      <c r="F5676" s="15" t="str">
        <f aca="false">IF(B5676&lt;5,"Go","Standard")</f>
        <v>Go</v>
      </c>
    </row>
    <row r="5677" customFormat="false" ht="15" hidden="false" customHeight="true" outlineLevel="0" collapsed="false">
      <c r="A5677" s="10" t="n">
        <f aca="false">Einstellungen!$B$5+INT((ROW()-9)/24)</f>
        <v>46202</v>
      </c>
      <c r="B5677" s="11" t="n">
        <f aca="false">MOD(ROW()-9,24)</f>
        <v>4</v>
      </c>
      <c r="C5677" s="12"/>
      <c r="D5677" s="13" t="n">
        <f aca="false">IF(B5677&lt;5,Einstellungen!$B$3,Einstellungen!$B$4)</f>
        <v>15.92</v>
      </c>
      <c r="E5677" s="14" t="str">
        <f aca="false">IF(C5677="","",C5677*D5677/100)</f>
        <v/>
      </c>
      <c r="F5677" s="15" t="str">
        <f aca="false">IF(B5677&lt;5,"Go","Standard")</f>
        <v>Go</v>
      </c>
    </row>
    <row r="5678" customFormat="false" ht="15" hidden="false" customHeight="true" outlineLevel="0" collapsed="false">
      <c r="A5678" s="10" t="n">
        <f aca="false">Einstellungen!$B$5+INT((ROW()-9)/24)</f>
        <v>46202</v>
      </c>
      <c r="B5678" s="11" t="n">
        <f aca="false">MOD(ROW()-9,24)</f>
        <v>5</v>
      </c>
      <c r="C5678" s="12"/>
      <c r="D5678" s="13" t="n">
        <f aca="false">IF(B5678&lt;5,Einstellungen!$B$3,Einstellungen!$B$4)</f>
        <v>29.13</v>
      </c>
      <c r="E5678" s="14" t="str">
        <f aca="false">IF(C5678="","",C5678*D5678/100)</f>
        <v/>
      </c>
      <c r="F5678" s="15" t="str">
        <f aca="false">IF(B5678&lt;5,"Go","Standard")</f>
        <v>Standard</v>
      </c>
    </row>
    <row r="5679" customFormat="false" ht="15" hidden="false" customHeight="true" outlineLevel="0" collapsed="false">
      <c r="A5679" s="10" t="n">
        <f aca="false">Einstellungen!$B$5+INT((ROW()-9)/24)</f>
        <v>46202</v>
      </c>
      <c r="B5679" s="11" t="n">
        <f aca="false">MOD(ROW()-9,24)</f>
        <v>6</v>
      </c>
      <c r="C5679" s="12"/>
      <c r="D5679" s="13" t="n">
        <f aca="false">IF(B5679&lt;5,Einstellungen!$B$3,Einstellungen!$B$4)</f>
        <v>29.13</v>
      </c>
      <c r="E5679" s="14" t="str">
        <f aca="false">IF(C5679="","",C5679*D5679/100)</f>
        <v/>
      </c>
      <c r="F5679" s="15" t="str">
        <f aca="false">IF(B5679&lt;5,"Go","Standard")</f>
        <v>Standard</v>
      </c>
    </row>
    <row r="5680" customFormat="false" ht="15" hidden="false" customHeight="true" outlineLevel="0" collapsed="false">
      <c r="A5680" s="10" t="n">
        <f aca="false">Einstellungen!$B$5+INT((ROW()-9)/24)</f>
        <v>46202</v>
      </c>
      <c r="B5680" s="11" t="n">
        <f aca="false">MOD(ROW()-9,24)</f>
        <v>7</v>
      </c>
      <c r="C5680" s="12"/>
      <c r="D5680" s="13" t="n">
        <f aca="false">IF(B5680&lt;5,Einstellungen!$B$3,Einstellungen!$B$4)</f>
        <v>29.13</v>
      </c>
      <c r="E5680" s="14" t="str">
        <f aca="false">IF(C5680="","",C5680*D5680/100)</f>
        <v/>
      </c>
      <c r="F5680" s="15" t="str">
        <f aca="false">IF(B5680&lt;5,"Go","Standard")</f>
        <v>Standard</v>
      </c>
    </row>
    <row r="5681" customFormat="false" ht="15" hidden="false" customHeight="true" outlineLevel="0" collapsed="false">
      <c r="A5681" s="10" t="n">
        <f aca="false">Einstellungen!$B$5+INT((ROW()-9)/24)</f>
        <v>46202</v>
      </c>
      <c r="B5681" s="11" t="n">
        <f aca="false">MOD(ROW()-9,24)</f>
        <v>8</v>
      </c>
      <c r="C5681" s="12"/>
      <c r="D5681" s="13" t="n">
        <f aca="false">IF(B5681&lt;5,Einstellungen!$B$3,Einstellungen!$B$4)</f>
        <v>29.13</v>
      </c>
      <c r="E5681" s="14" t="str">
        <f aca="false">IF(C5681="","",C5681*D5681/100)</f>
        <v/>
      </c>
      <c r="F5681" s="15" t="str">
        <f aca="false">IF(B5681&lt;5,"Go","Standard")</f>
        <v>Standard</v>
      </c>
    </row>
    <row r="5682" customFormat="false" ht="15" hidden="false" customHeight="true" outlineLevel="0" collapsed="false">
      <c r="A5682" s="10" t="n">
        <f aca="false">Einstellungen!$B$5+INT((ROW()-9)/24)</f>
        <v>46202</v>
      </c>
      <c r="B5682" s="11" t="n">
        <f aca="false">MOD(ROW()-9,24)</f>
        <v>9</v>
      </c>
      <c r="C5682" s="12"/>
      <c r="D5682" s="13" t="n">
        <f aca="false">IF(B5682&lt;5,Einstellungen!$B$3,Einstellungen!$B$4)</f>
        <v>29.13</v>
      </c>
      <c r="E5682" s="14" t="str">
        <f aca="false">IF(C5682="","",C5682*D5682/100)</f>
        <v/>
      </c>
      <c r="F5682" s="15" t="str">
        <f aca="false">IF(B5682&lt;5,"Go","Standard")</f>
        <v>Standard</v>
      </c>
    </row>
    <row r="5683" customFormat="false" ht="15" hidden="false" customHeight="true" outlineLevel="0" collapsed="false">
      <c r="A5683" s="10" t="n">
        <f aca="false">Einstellungen!$B$5+INT((ROW()-9)/24)</f>
        <v>46202</v>
      </c>
      <c r="B5683" s="11" t="n">
        <f aca="false">MOD(ROW()-9,24)</f>
        <v>10</v>
      </c>
      <c r="C5683" s="12"/>
      <c r="D5683" s="13" t="n">
        <f aca="false">IF(B5683&lt;5,Einstellungen!$B$3,Einstellungen!$B$4)</f>
        <v>29.13</v>
      </c>
      <c r="E5683" s="14" t="str">
        <f aca="false">IF(C5683="","",C5683*D5683/100)</f>
        <v/>
      </c>
      <c r="F5683" s="15" t="str">
        <f aca="false">IF(B5683&lt;5,"Go","Standard")</f>
        <v>Standard</v>
      </c>
    </row>
    <row r="5684" customFormat="false" ht="15" hidden="false" customHeight="true" outlineLevel="0" collapsed="false">
      <c r="A5684" s="10" t="n">
        <f aca="false">Einstellungen!$B$5+INT((ROW()-9)/24)</f>
        <v>46202</v>
      </c>
      <c r="B5684" s="11" t="n">
        <f aca="false">MOD(ROW()-9,24)</f>
        <v>11</v>
      </c>
      <c r="C5684" s="12"/>
      <c r="D5684" s="13" t="n">
        <f aca="false">IF(B5684&lt;5,Einstellungen!$B$3,Einstellungen!$B$4)</f>
        <v>29.13</v>
      </c>
      <c r="E5684" s="14" t="str">
        <f aca="false">IF(C5684="","",C5684*D5684/100)</f>
        <v/>
      </c>
      <c r="F5684" s="15" t="str">
        <f aca="false">IF(B5684&lt;5,"Go","Standard")</f>
        <v>Standard</v>
      </c>
    </row>
    <row r="5685" customFormat="false" ht="15" hidden="false" customHeight="true" outlineLevel="0" collapsed="false">
      <c r="A5685" s="10" t="n">
        <f aca="false">Einstellungen!$B$5+INT((ROW()-9)/24)</f>
        <v>46202</v>
      </c>
      <c r="B5685" s="11" t="n">
        <f aca="false">MOD(ROW()-9,24)</f>
        <v>12</v>
      </c>
      <c r="C5685" s="12"/>
      <c r="D5685" s="13" t="n">
        <f aca="false">IF(B5685&lt;5,Einstellungen!$B$3,Einstellungen!$B$4)</f>
        <v>29.13</v>
      </c>
      <c r="E5685" s="14" t="str">
        <f aca="false">IF(C5685="","",C5685*D5685/100)</f>
        <v/>
      </c>
      <c r="F5685" s="15" t="str">
        <f aca="false">IF(B5685&lt;5,"Go","Standard")</f>
        <v>Standard</v>
      </c>
    </row>
    <row r="5686" customFormat="false" ht="15" hidden="false" customHeight="true" outlineLevel="0" collapsed="false">
      <c r="A5686" s="10" t="n">
        <f aca="false">Einstellungen!$B$5+INT((ROW()-9)/24)</f>
        <v>46202</v>
      </c>
      <c r="B5686" s="11" t="n">
        <f aca="false">MOD(ROW()-9,24)</f>
        <v>13</v>
      </c>
      <c r="C5686" s="12"/>
      <c r="D5686" s="13" t="n">
        <f aca="false">IF(B5686&lt;5,Einstellungen!$B$3,Einstellungen!$B$4)</f>
        <v>29.13</v>
      </c>
      <c r="E5686" s="14" t="str">
        <f aca="false">IF(C5686="","",C5686*D5686/100)</f>
        <v/>
      </c>
      <c r="F5686" s="15" t="str">
        <f aca="false">IF(B5686&lt;5,"Go","Standard")</f>
        <v>Standard</v>
      </c>
    </row>
    <row r="5687" customFormat="false" ht="15" hidden="false" customHeight="true" outlineLevel="0" collapsed="false">
      <c r="A5687" s="10" t="n">
        <f aca="false">Einstellungen!$B$5+INT((ROW()-9)/24)</f>
        <v>46202</v>
      </c>
      <c r="B5687" s="11" t="n">
        <f aca="false">MOD(ROW()-9,24)</f>
        <v>14</v>
      </c>
      <c r="C5687" s="12"/>
      <c r="D5687" s="13" t="n">
        <f aca="false">IF(B5687&lt;5,Einstellungen!$B$3,Einstellungen!$B$4)</f>
        <v>29.13</v>
      </c>
      <c r="E5687" s="14" t="str">
        <f aca="false">IF(C5687="","",C5687*D5687/100)</f>
        <v/>
      </c>
      <c r="F5687" s="15" t="str">
        <f aca="false">IF(B5687&lt;5,"Go","Standard")</f>
        <v>Standard</v>
      </c>
    </row>
    <row r="5688" customFormat="false" ht="15" hidden="false" customHeight="true" outlineLevel="0" collapsed="false">
      <c r="A5688" s="10" t="n">
        <f aca="false">Einstellungen!$B$5+INT((ROW()-9)/24)</f>
        <v>46202</v>
      </c>
      <c r="B5688" s="11" t="n">
        <f aca="false">MOD(ROW()-9,24)</f>
        <v>15</v>
      </c>
      <c r="C5688" s="12"/>
      <c r="D5688" s="13" t="n">
        <f aca="false">IF(B5688&lt;5,Einstellungen!$B$3,Einstellungen!$B$4)</f>
        <v>29.13</v>
      </c>
      <c r="E5688" s="14" t="str">
        <f aca="false">IF(C5688="","",C5688*D5688/100)</f>
        <v/>
      </c>
      <c r="F5688" s="15" t="str">
        <f aca="false">IF(B5688&lt;5,"Go","Standard")</f>
        <v>Standard</v>
      </c>
    </row>
    <row r="5689" customFormat="false" ht="15" hidden="false" customHeight="true" outlineLevel="0" collapsed="false">
      <c r="A5689" s="10" t="n">
        <f aca="false">Einstellungen!$B$5+INT((ROW()-9)/24)</f>
        <v>46202</v>
      </c>
      <c r="B5689" s="11" t="n">
        <f aca="false">MOD(ROW()-9,24)</f>
        <v>16</v>
      </c>
      <c r="C5689" s="12"/>
      <c r="D5689" s="13" t="n">
        <f aca="false">IF(B5689&lt;5,Einstellungen!$B$3,Einstellungen!$B$4)</f>
        <v>29.13</v>
      </c>
      <c r="E5689" s="14" t="str">
        <f aca="false">IF(C5689="","",C5689*D5689/100)</f>
        <v/>
      </c>
      <c r="F5689" s="15" t="str">
        <f aca="false">IF(B5689&lt;5,"Go","Standard")</f>
        <v>Standard</v>
      </c>
    </row>
    <row r="5690" customFormat="false" ht="15" hidden="false" customHeight="true" outlineLevel="0" collapsed="false">
      <c r="A5690" s="10" t="n">
        <f aca="false">Einstellungen!$B$5+INT((ROW()-9)/24)</f>
        <v>46202</v>
      </c>
      <c r="B5690" s="11" t="n">
        <f aca="false">MOD(ROW()-9,24)</f>
        <v>17</v>
      </c>
      <c r="C5690" s="12"/>
      <c r="D5690" s="13" t="n">
        <f aca="false">IF(B5690&lt;5,Einstellungen!$B$3,Einstellungen!$B$4)</f>
        <v>29.13</v>
      </c>
      <c r="E5690" s="14" t="str">
        <f aca="false">IF(C5690="","",C5690*D5690/100)</f>
        <v/>
      </c>
      <c r="F5690" s="15" t="str">
        <f aca="false">IF(B5690&lt;5,"Go","Standard")</f>
        <v>Standard</v>
      </c>
    </row>
    <row r="5691" customFormat="false" ht="15" hidden="false" customHeight="true" outlineLevel="0" collapsed="false">
      <c r="A5691" s="10" t="n">
        <f aca="false">Einstellungen!$B$5+INT((ROW()-9)/24)</f>
        <v>46202</v>
      </c>
      <c r="B5691" s="11" t="n">
        <f aca="false">MOD(ROW()-9,24)</f>
        <v>18</v>
      </c>
      <c r="C5691" s="12"/>
      <c r="D5691" s="13" t="n">
        <f aca="false">IF(B5691&lt;5,Einstellungen!$B$3,Einstellungen!$B$4)</f>
        <v>29.13</v>
      </c>
      <c r="E5691" s="14" t="str">
        <f aca="false">IF(C5691="","",C5691*D5691/100)</f>
        <v/>
      </c>
      <c r="F5691" s="15" t="str">
        <f aca="false">IF(B5691&lt;5,"Go","Standard")</f>
        <v>Standard</v>
      </c>
    </row>
    <row r="5692" customFormat="false" ht="15" hidden="false" customHeight="true" outlineLevel="0" collapsed="false">
      <c r="A5692" s="10" t="n">
        <f aca="false">Einstellungen!$B$5+INT((ROW()-9)/24)</f>
        <v>46202</v>
      </c>
      <c r="B5692" s="11" t="n">
        <f aca="false">MOD(ROW()-9,24)</f>
        <v>19</v>
      </c>
      <c r="C5692" s="12"/>
      <c r="D5692" s="13" t="n">
        <f aca="false">IF(B5692&lt;5,Einstellungen!$B$3,Einstellungen!$B$4)</f>
        <v>29.13</v>
      </c>
      <c r="E5692" s="14" t="str">
        <f aca="false">IF(C5692="","",C5692*D5692/100)</f>
        <v/>
      </c>
      <c r="F5692" s="15" t="str">
        <f aca="false">IF(B5692&lt;5,"Go","Standard")</f>
        <v>Standard</v>
      </c>
    </row>
    <row r="5693" customFormat="false" ht="15" hidden="false" customHeight="true" outlineLevel="0" collapsed="false">
      <c r="A5693" s="10" t="n">
        <f aca="false">Einstellungen!$B$5+INT((ROW()-9)/24)</f>
        <v>46202</v>
      </c>
      <c r="B5693" s="11" t="n">
        <f aca="false">MOD(ROW()-9,24)</f>
        <v>20</v>
      </c>
      <c r="C5693" s="12"/>
      <c r="D5693" s="13" t="n">
        <f aca="false">IF(B5693&lt;5,Einstellungen!$B$3,Einstellungen!$B$4)</f>
        <v>29.13</v>
      </c>
      <c r="E5693" s="14" t="str">
        <f aca="false">IF(C5693="","",C5693*D5693/100)</f>
        <v/>
      </c>
      <c r="F5693" s="15" t="str">
        <f aca="false">IF(B5693&lt;5,"Go","Standard")</f>
        <v>Standard</v>
      </c>
    </row>
    <row r="5694" customFormat="false" ht="15" hidden="false" customHeight="true" outlineLevel="0" collapsed="false">
      <c r="A5694" s="10" t="n">
        <f aca="false">Einstellungen!$B$5+INT((ROW()-9)/24)</f>
        <v>46202</v>
      </c>
      <c r="B5694" s="11" t="n">
        <f aca="false">MOD(ROW()-9,24)</f>
        <v>21</v>
      </c>
      <c r="C5694" s="12"/>
      <c r="D5694" s="13" t="n">
        <f aca="false">IF(B5694&lt;5,Einstellungen!$B$3,Einstellungen!$B$4)</f>
        <v>29.13</v>
      </c>
      <c r="E5694" s="14" t="str">
        <f aca="false">IF(C5694="","",C5694*D5694/100)</f>
        <v/>
      </c>
      <c r="F5694" s="15" t="str">
        <f aca="false">IF(B5694&lt;5,"Go","Standard")</f>
        <v>Standard</v>
      </c>
    </row>
    <row r="5695" customFormat="false" ht="15" hidden="false" customHeight="true" outlineLevel="0" collapsed="false">
      <c r="A5695" s="10" t="n">
        <f aca="false">Einstellungen!$B$5+INT((ROW()-9)/24)</f>
        <v>46202</v>
      </c>
      <c r="B5695" s="11" t="n">
        <f aca="false">MOD(ROW()-9,24)</f>
        <v>22</v>
      </c>
      <c r="C5695" s="12"/>
      <c r="D5695" s="13" t="n">
        <f aca="false">IF(B5695&lt;5,Einstellungen!$B$3,Einstellungen!$B$4)</f>
        <v>29.13</v>
      </c>
      <c r="E5695" s="14" t="str">
        <f aca="false">IF(C5695="","",C5695*D5695/100)</f>
        <v/>
      </c>
      <c r="F5695" s="15" t="str">
        <f aca="false">IF(B5695&lt;5,"Go","Standard")</f>
        <v>Standard</v>
      </c>
    </row>
    <row r="5696" customFormat="false" ht="15" hidden="false" customHeight="true" outlineLevel="0" collapsed="false">
      <c r="A5696" s="10" t="n">
        <f aca="false">Einstellungen!$B$5+INT((ROW()-9)/24)</f>
        <v>46202</v>
      </c>
      <c r="B5696" s="11" t="n">
        <f aca="false">MOD(ROW()-9,24)</f>
        <v>23</v>
      </c>
      <c r="C5696" s="12"/>
      <c r="D5696" s="13" t="n">
        <f aca="false">IF(B5696&lt;5,Einstellungen!$B$3,Einstellungen!$B$4)</f>
        <v>29.13</v>
      </c>
      <c r="E5696" s="14" t="str">
        <f aca="false">IF(C5696="","",C5696*D5696/100)</f>
        <v/>
      </c>
      <c r="F5696" s="15" t="str">
        <f aca="false">IF(B5696&lt;5,"Go","Standard")</f>
        <v>Standard</v>
      </c>
    </row>
    <row r="5697" customFormat="false" ht="15" hidden="false" customHeight="true" outlineLevel="0" collapsed="false">
      <c r="A5697" s="10" t="n">
        <f aca="false">Einstellungen!$B$5+INT((ROW()-9)/24)</f>
        <v>46203</v>
      </c>
      <c r="B5697" s="11" t="n">
        <f aca="false">MOD(ROW()-9,24)</f>
        <v>0</v>
      </c>
      <c r="C5697" s="12"/>
      <c r="D5697" s="13" t="n">
        <f aca="false">IF(B5697&lt;5,Einstellungen!$B$3,Einstellungen!$B$4)</f>
        <v>15.92</v>
      </c>
      <c r="E5697" s="14" t="str">
        <f aca="false">IF(C5697="","",C5697*D5697/100)</f>
        <v/>
      </c>
      <c r="F5697" s="15" t="str">
        <f aca="false">IF(B5697&lt;5,"Go","Standard")</f>
        <v>Go</v>
      </c>
    </row>
    <row r="5698" customFormat="false" ht="15" hidden="false" customHeight="true" outlineLevel="0" collapsed="false">
      <c r="A5698" s="10" t="n">
        <f aca="false">Einstellungen!$B$5+INT((ROW()-9)/24)</f>
        <v>46203</v>
      </c>
      <c r="B5698" s="11" t="n">
        <f aca="false">MOD(ROW()-9,24)</f>
        <v>1</v>
      </c>
      <c r="C5698" s="12"/>
      <c r="D5698" s="13" t="n">
        <f aca="false">IF(B5698&lt;5,Einstellungen!$B$3,Einstellungen!$B$4)</f>
        <v>15.92</v>
      </c>
      <c r="E5698" s="14" t="str">
        <f aca="false">IF(C5698="","",C5698*D5698/100)</f>
        <v/>
      </c>
      <c r="F5698" s="15" t="str">
        <f aca="false">IF(B5698&lt;5,"Go","Standard")</f>
        <v>Go</v>
      </c>
    </row>
    <row r="5699" customFormat="false" ht="15" hidden="false" customHeight="true" outlineLevel="0" collapsed="false">
      <c r="A5699" s="10" t="n">
        <f aca="false">Einstellungen!$B$5+INT((ROW()-9)/24)</f>
        <v>46203</v>
      </c>
      <c r="B5699" s="11" t="n">
        <f aca="false">MOD(ROW()-9,24)</f>
        <v>2</v>
      </c>
      <c r="C5699" s="12"/>
      <c r="D5699" s="13" t="n">
        <f aca="false">IF(B5699&lt;5,Einstellungen!$B$3,Einstellungen!$B$4)</f>
        <v>15.92</v>
      </c>
      <c r="E5699" s="14" t="str">
        <f aca="false">IF(C5699="","",C5699*D5699/100)</f>
        <v/>
      </c>
      <c r="F5699" s="15" t="str">
        <f aca="false">IF(B5699&lt;5,"Go","Standard")</f>
        <v>Go</v>
      </c>
    </row>
    <row r="5700" customFormat="false" ht="15" hidden="false" customHeight="true" outlineLevel="0" collapsed="false">
      <c r="A5700" s="10" t="n">
        <f aca="false">Einstellungen!$B$5+INT((ROW()-9)/24)</f>
        <v>46203</v>
      </c>
      <c r="B5700" s="11" t="n">
        <f aca="false">MOD(ROW()-9,24)</f>
        <v>3</v>
      </c>
      <c r="C5700" s="12"/>
      <c r="D5700" s="13" t="n">
        <f aca="false">IF(B5700&lt;5,Einstellungen!$B$3,Einstellungen!$B$4)</f>
        <v>15.92</v>
      </c>
      <c r="E5700" s="14" t="str">
        <f aca="false">IF(C5700="","",C5700*D5700/100)</f>
        <v/>
      </c>
      <c r="F5700" s="15" t="str">
        <f aca="false">IF(B5700&lt;5,"Go","Standard")</f>
        <v>Go</v>
      </c>
    </row>
    <row r="5701" customFormat="false" ht="15" hidden="false" customHeight="true" outlineLevel="0" collapsed="false">
      <c r="A5701" s="10" t="n">
        <f aca="false">Einstellungen!$B$5+INT((ROW()-9)/24)</f>
        <v>46203</v>
      </c>
      <c r="B5701" s="11" t="n">
        <f aca="false">MOD(ROW()-9,24)</f>
        <v>4</v>
      </c>
      <c r="C5701" s="12"/>
      <c r="D5701" s="13" t="n">
        <f aca="false">IF(B5701&lt;5,Einstellungen!$B$3,Einstellungen!$B$4)</f>
        <v>15.92</v>
      </c>
      <c r="E5701" s="14" t="str">
        <f aca="false">IF(C5701="","",C5701*D5701/100)</f>
        <v/>
      </c>
      <c r="F5701" s="15" t="str">
        <f aca="false">IF(B5701&lt;5,"Go","Standard")</f>
        <v>Go</v>
      </c>
    </row>
    <row r="5702" customFormat="false" ht="15" hidden="false" customHeight="true" outlineLevel="0" collapsed="false">
      <c r="A5702" s="10" t="n">
        <f aca="false">Einstellungen!$B$5+INT((ROW()-9)/24)</f>
        <v>46203</v>
      </c>
      <c r="B5702" s="11" t="n">
        <f aca="false">MOD(ROW()-9,24)</f>
        <v>5</v>
      </c>
      <c r="C5702" s="12"/>
      <c r="D5702" s="13" t="n">
        <f aca="false">IF(B5702&lt;5,Einstellungen!$B$3,Einstellungen!$B$4)</f>
        <v>29.13</v>
      </c>
      <c r="E5702" s="14" t="str">
        <f aca="false">IF(C5702="","",C5702*D5702/100)</f>
        <v/>
      </c>
      <c r="F5702" s="15" t="str">
        <f aca="false">IF(B5702&lt;5,"Go","Standard")</f>
        <v>Standard</v>
      </c>
    </row>
    <row r="5703" customFormat="false" ht="15" hidden="false" customHeight="true" outlineLevel="0" collapsed="false">
      <c r="A5703" s="10" t="n">
        <f aca="false">Einstellungen!$B$5+INT((ROW()-9)/24)</f>
        <v>46203</v>
      </c>
      <c r="B5703" s="11" t="n">
        <f aca="false">MOD(ROW()-9,24)</f>
        <v>6</v>
      </c>
      <c r="C5703" s="12"/>
      <c r="D5703" s="13" t="n">
        <f aca="false">IF(B5703&lt;5,Einstellungen!$B$3,Einstellungen!$B$4)</f>
        <v>29.13</v>
      </c>
      <c r="E5703" s="14" t="str">
        <f aca="false">IF(C5703="","",C5703*D5703/100)</f>
        <v/>
      </c>
      <c r="F5703" s="15" t="str">
        <f aca="false">IF(B5703&lt;5,"Go","Standard")</f>
        <v>Standard</v>
      </c>
    </row>
    <row r="5704" customFormat="false" ht="15" hidden="false" customHeight="true" outlineLevel="0" collapsed="false">
      <c r="A5704" s="10" t="n">
        <f aca="false">Einstellungen!$B$5+INT((ROW()-9)/24)</f>
        <v>46203</v>
      </c>
      <c r="B5704" s="11" t="n">
        <f aca="false">MOD(ROW()-9,24)</f>
        <v>7</v>
      </c>
      <c r="C5704" s="12"/>
      <c r="D5704" s="13" t="n">
        <f aca="false">IF(B5704&lt;5,Einstellungen!$B$3,Einstellungen!$B$4)</f>
        <v>29.13</v>
      </c>
      <c r="E5704" s="14" t="str">
        <f aca="false">IF(C5704="","",C5704*D5704/100)</f>
        <v/>
      </c>
      <c r="F5704" s="15" t="str">
        <f aca="false">IF(B5704&lt;5,"Go","Standard")</f>
        <v>Standard</v>
      </c>
    </row>
    <row r="5705" customFormat="false" ht="15" hidden="false" customHeight="true" outlineLevel="0" collapsed="false">
      <c r="A5705" s="10" t="n">
        <f aca="false">Einstellungen!$B$5+INT((ROW()-9)/24)</f>
        <v>46203</v>
      </c>
      <c r="B5705" s="11" t="n">
        <f aca="false">MOD(ROW()-9,24)</f>
        <v>8</v>
      </c>
      <c r="C5705" s="12"/>
      <c r="D5705" s="13" t="n">
        <f aca="false">IF(B5705&lt;5,Einstellungen!$B$3,Einstellungen!$B$4)</f>
        <v>29.13</v>
      </c>
      <c r="E5705" s="14" t="str">
        <f aca="false">IF(C5705="","",C5705*D5705/100)</f>
        <v/>
      </c>
      <c r="F5705" s="15" t="str">
        <f aca="false">IF(B5705&lt;5,"Go","Standard")</f>
        <v>Standard</v>
      </c>
    </row>
    <row r="5706" customFormat="false" ht="15" hidden="false" customHeight="true" outlineLevel="0" collapsed="false">
      <c r="A5706" s="10" t="n">
        <f aca="false">Einstellungen!$B$5+INT((ROW()-9)/24)</f>
        <v>46203</v>
      </c>
      <c r="B5706" s="11" t="n">
        <f aca="false">MOD(ROW()-9,24)</f>
        <v>9</v>
      </c>
      <c r="C5706" s="12"/>
      <c r="D5706" s="13" t="n">
        <f aca="false">IF(B5706&lt;5,Einstellungen!$B$3,Einstellungen!$B$4)</f>
        <v>29.13</v>
      </c>
      <c r="E5706" s="14" t="str">
        <f aca="false">IF(C5706="","",C5706*D5706/100)</f>
        <v/>
      </c>
      <c r="F5706" s="15" t="str">
        <f aca="false">IF(B5706&lt;5,"Go","Standard")</f>
        <v>Standard</v>
      </c>
    </row>
    <row r="5707" customFormat="false" ht="15" hidden="false" customHeight="true" outlineLevel="0" collapsed="false">
      <c r="A5707" s="10" t="n">
        <f aca="false">Einstellungen!$B$5+INT((ROW()-9)/24)</f>
        <v>46203</v>
      </c>
      <c r="B5707" s="11" t="n">
        <f aca="false">MOD(ROW()-9,24)</f>
        <v>10</v>
      </c>
      <c r="C5707" s="12"/>
      <c r="D5707" s="13" t="n">
        <f aca="false">IF(B5707&lt;5,Einstellungen!$B$3,Einstellungen!$B$4)</f>
        <v>29.13</v>
      </c>
      <c r="E5707" s="14" t="str">
        <f aca="false">IF(C5707="","",C5707*D5707/100)</f>
        <v/>
      </c>
      <c r="F5707" s="15" t="str">
        <f aca="false">IF(B5707&lt;5,"Go","Standard")</f>
        <v>Standard</v>
      </c>
    </row>
    <row r="5708" customFormat="false" ht="15" hidden="false" customHeight="true" outlineLevel="0" collapsed="false">
      <c r="A5708" s="10" t="n">
        <f aca="false">Einstellungen!$B$5+INT((ROW()-9)/24)</f>
        <v>46203</v>
      </c>
      <c r="B5708" s="11" t="n">
        <f aca="false">MOD(ROW()-9,24)</f>
        <v>11</v>
      </c>
      <c r="C5708" s="12"/>
      <c r="D5708" s="13" t="n">
        <f aca="false">IF(B5708&lt;5,Einstellungen!$B$3,Einstellungen!$B$4)</f>
        <v>29.13</v>
      </c>
      <c r="E5708" s="14" t="str">
        <f aca="false">IF(C5708="","",C5708*D5708/100)</f>
        <v/>
      </c>
      <c r="F5708" s="15" t="str">
        <f aca="false">IF(B5708&lt;5,"Go","Standard")</f>
        <v>Standard</v>
      </c>
    </row>
    <row r="5709" customFormat="false" ht="15" hidden="false" customHeight="true" outlineLevel="0" collapsed="false">
      <c r="A5709" s="10" t="n">
        <f aca="false">Einstellungen!$B$5+INT((ROW()-9)/24)</f>
        <v>46203</v>
      </c>
      <c r="B5709" s="11" t="n">
        <f aca="false">MOD(ROW()-9,24)</f>
        <v>12</v>
      </c>
      <c r="C5709" s="12"/>
      <c r="D5709" s="13" t="n">
        <f aca="false">IF(B5709&lt;5,Einstellungen!$B$3,Einstellungen!$B$4)</f>
        <v>29.13</v>
      </c>
      <c r="E5709" s="14" t="str">
        <f aca="false">IF(C5709="","",C5709*D5709/100)</f>
        <v/>
      </c>
      <c r="F5709" s="15" t="str">
        <f aca="false">IF(B5709&lt;5,"Go","Standard")</f>
        <v>Standard</v>
      </c>
    </row>
    <row r="5710" customFormat="false" ht="15" hidden="false" customHeight="true" outlineLevel="0" collapsed="false">
      <c r="A5710" s="10" t="n">
        <f aca="false">Einstellungen!$B$5+INT((ROW()-9)/24)</f>
        <v>46203</v>
      </c>
      <c r="B5710" s="11" t="n">
        <f aca="false">MOD(ROW()-9,24)</f>
        <v>13</v>
      </c>
      <c r="C5710" s="12"/>
      <c r="D5710" s="13" t="n">
        <f aca="false">IF(B5710&lt;5,Einstellungen!$B$3,Einstellungen!$B$4)</f>
        <v>29.13</v>
      </c>
      <c r="E5710" s="14" t="str">
        <f aca="false">IF(C5710="","",C5710*D5710/100)</f>
        <v/>
      </c>
      <c r="F5710" s="15" t="str">
        <f aca="false">IF(B5710&lt;5,"Go","Standard")</f>
        <v>Standard</v>
      </c>
    </row>
    <row r="5711" customFormat="false" ht="15" hidden="false" customHeight="true" outlineLevel="0" collapsed="false">
      <c r="A5711" s="10" t="n">
        <f aca="false">Einstellungen!$B$5+INT((ROW()-9)/24)</f>
        <v>46203</v>
      </c>
      <c r="B5711" s="11" t="n">
        <f aca="false">MOD(ROW()-9,24)</f>
        <v>14</v>
      </c>
      <c r="C5711" s="12"/>
      <c r="D5711" s="13" t="n">
        <f aca="false">IF(B5711&lt;5,Einstellungen!$B$3,Einstellungen!$B$4)</f>
        <v>29.13</v>
      </c>
      <c r="E5711" s="14" t="str">
        <f aca="false">IF(C5711="","",C5711*D5711/100)</f>
        <v/>
      </c>
      <c r="F5711" s="15" t="str">
        <f aca="false">IF(B5711&lt;5,"Go","Standard")</f>
        <v>Standard</v>
      </c>
    </row>
    <row r="5712" customFormat="false" ht="15" hidden="false" customHeight="true" outlineLevel="0" collapsed="false">
      <c r="A5712" s="10" t="n">
        <f aca="false">Einstellungen!$B$5+INT((ROW()-9)/24)</f>
        <v>46203</v>
      </c>
      <c r="B5712" s="11" t="n">
        <f aca="false">MOD(ROW()-9,24)</f>
        <v>15</v>
      </c>
      <c r="C5712" s="12"/>
      <c r="D5712" s="13" t="n">
        <f aca="false">IF(B5712&lt;5,Einstellungen!$B$3,Einstellungen!$B$4)</f>
        <v>29.13</v>
      </c>
      <c r="E5712" s="14" t="str">
        <f aca="false">IF(C5712="","",C5712*D5712/100)</f>
        <v/>
      </c>
      <c r="F5712" s="15" t="str">
        <f aca="false">IF(B5712&lt;5,"Go","Standard")</f>
        <v>Standard</v>
      </c>
    </row>
    <row r="5713" customFormat="false" ht="15" hidden="false" customHeight="true" outlineLevel="0" collapsed="false">
      <c r="A5713" s="10" t="n">
        <f aca="false">Einstellungen!$B$5+INT((ROW()-9)/24)</f>
        <v>46203</v>
      </c>
      <c r="B5713" s="11" t="n">
        <f aca="false">MOD(ROW()-9,24)</f>
        <v>16</v>
      </c>
      <c r="C5713" s="12"/>
      <c r="D5713" s="13" t="n">
        <f aca="false">IF(B5713&lt;5,Einstellungen!$B$3,Einstellungen!$B$4)</f>
        <v>29.13</v>
      </c>
      <c r="E5713" s="14" t="str">
        <f aca="false">IF(C5713="","",C5713*D5713/100)</f>
        <v/>
      </c>
      <c r="F5713" s="15" t="str">
        <f aca="false">IF(B5713&lt;5,"Go","Standard")</f>
        <v>Standard</v>
      </c>
    </row>
    <row r="5714" customFormat="false" ht="15" hidden="false" customHeight="true" outlineLevel="0" collapsed="false">
      <c r="A5714" s="10" t="n">
        <f aca="false">Einstellungen!$B$5+INT((ROW()-9)/24)</f>
        <v>46203</v>
      </c>
      <c r="B5714" s="11" t="n">
        <f aca="false">MOD(ROW()-9,24)</f>
        <v>17</v>
      </c>
      <c r="C5714" s="12"/>
      <c r="D5714" s="13" t="n">
        <f aca="false">IF(B5714&lt;5,Einstellungen!$B$3,Einstellungen!$B$4)</f>
        <v>29.13</v>
      </c>
      <c r="E5714" s="14" t="str">
        <f aca="false">IF(C5714="","",C5714*D5714/100)</f>
        <v/>
      </c>
      <c r="F5714" s="15" t="str">
        <f aca="false">IF(B5714&lt;5,"Go","Standard")</f>
        <v>Standard</v>
      </c>
    </row>
    <row r="5715" customFormat="false" ht="15" hidden="false" customHeight="true" outlineLevel="0" collapsed="false">
      <c r="A5715" s="10" t="n">
        <f aca="false">Einstellungen!$B$5+INT((ROW()-9)/24)</f>
        <v>46203</v>
      </c>
      <c r="B5715" s="11" t="n">
        <f aca="false">MOD(ROW()-9,24)</f>
        <v>18</v>
      </c>
      <c r="C5715" s="12"/>
      <c r="D5715" s="13" t="n">
        <f aca="false">IF(B5715&lt;5,Einstellungen!$B$3,Einstellungen!$B$4)</f>
        <v>29.13</v>
      </c>
      <c r="E5715" s="14" t="str">
        <f aca="false">IF(C5715="","",C5715*D5715/100)</f>
        <v/>
      </c>
      <c r="F5715" s="15" t="str">
        <f aca="false">IF(B5715&lt;5,"Go","Standard")</f>
        <v>Standard</v>
      </c>
    </row>
    <row r="5716" customFormat="false" ht="15" hidden="false" customHeight="true" outlineLevel="0" collapsed="false">
      <c r="A5716" s="10" t="n">
        <f aca="false">Einstellungen!$B$5+INT((ROW()-9)/24)</f>
        <v>46203</v>
      </c>
      <c r="B5716" s="11" t="n">
        <f aca="false">MOD(ROW()-9,24)</f>
        <v>19</v>
      </c>
      <c r="C5716" s="12"/>
      <c r="D5716" s="13" t="n">
        <f aca="false">IF(B5716&lt;5,Einstellungen!$B$3,Einstellungen!$B$4)</f>
        <v>29.13</v>
      </c>
      <c r="E5716" s="14" t="str">
        <f aca="false">IF(C5716="","",C5716*D5716/100)</f>
        <v/>
      </c>
      <c r="F5716" s="15" t="str">
        <f aca="false">IF(B5716&lt;5,"Go","Standard")</f>
        <v>Standard</v>
      </c>
    </row>
    <row r="5717" customFormat="false" ht="15" hidden="false" customHeight="true" outlineLevel="0" collapsed="false">
      <c r="A5717" s="10" t="n">
        <f aca="false">Einstellungen!$B$5+INT((ROW()-9)/24)</f>
        <v>46203</v>
      </c>
      <c r="B5717" s="11" t="n">
        <f aca="false">MOD(ROW()-9,24)</f>
        <v>20</v>
      </c>
      <c r="C5717" s="12"/>
      <c r="D5717" s="13" t="n">
        <f aca="false">IF(B5717&lt;5,Einstellungen!$B$3,Einstellungen!$B$4)</f>
        <v>29.13</v>
      </c>
      <c r="E5717" s="14" t="str">
        <f aca="false">IF(C5717="","",C5717*D5717/100)</f>
        <v/>
      </c>
      <c r="F5717" s="15" t="str">
        <f aca="false">IF(B5717&lt;5,"Go","Standard")</f>
        <v>Standard</v>
      </c>
    </row>
    <row r="5718" customFormat="false" ht="15" hidden="false" customHeight="true" outlineLevel="0" collapsed="false">
      <c r="A5718" s="10" t="n">
        <f aca="false">Einstellungen!$B$5+INT((ROW()-9)/24)</f>
        <v>46203</v>
      </c>
      <c r="B5718" s="11" t="n">
        <f aca="false">MOD(ROW()-9,24)</f>
        <v>21</v>
      </c>
      <c r="C5718" s="12"/>
      <c r="D5718" s="13" t="n">
        <f aca="false">IF(B5718&lt;5,Einstellungen!$B$3,Einstellungen!$B$4)</f>
        <v>29.13</v>
      </c>
      <c r="E5718" s="14" t="str">
        <f aca="false">IF(C5718="","",C5718*D5718/100)</f>
        <v/>
      </c>
      <c r="F5718" s="15" t="str">
        <f aca="false">IF(B5718&lt;5,"Go","Standard")</f>
        <v>Standard</v>
      </c>
    </row>
    <row r="5719" customFormat="false" ht="15" hidden="false" customHeight="true" outlineLevel="0" collapsed="false">
      <c r="A5719" s="10" t="n">
        <f aca="false">Einstellungen!$B$5+INT((ROW()-9)/24)</f>
        <v>46203</v>
      </c>
      <c r="B5719" s="11" t="n">
        <f aca="false">MOD(ROW()-9,24)</f>
        <v>22</v>
      </c>
      <c r="C5719" s="12"/>
      <c r="D5719" s="13" t="n">
        <f aca="false">IF(B5719&lt;5,Einstellungen!$B$3,Einstellungen!$B$4)</f>
        <v>29.13</v>
      </c>
      <c r="E5719" s="14" t="str">
        <f aca="false">IF(C5719="","",C5719*D5719/100)</f>
        <v/>
      </c>
      <c r="F5719" s="15" t="str">
        <f aca="false">IF(B5719&lt;5,"Go","Standard")</f>
        <v>Standard</v>
      </c>
    </row>
    <row r="5720" customFormat="false" ht="15" hidden="false" customHeight="true" outlineLevel="0" collapsed="false">
      <c r="A5720" s="10" t="n">
        <f aca="false">Einstellungen!$B$5+INT((ROW()-9)/24)</f>
        <v>46203</v>
      </c>
      <c r="B5720" s="11" t="n">
        <f aca="false">MOD(ROW()-9,24)</f>
        <v>23</v>
      </c>
      <c r="C5720" s="12"/>
      <c r="D5720" s="13" t="n">
        <f aca="false">IF(B5720&lt;5,Einstellungen!$B$3,Einstellungen!$B$4)</f>
        <v>29.13</v>
      </c>
      <c r="E5720" s="14" t="str">
        <f aca="false">IF(C5720="","",C5720*D5720/100)</f>
        <v/>
      </c>
      <c r="F5720" s="15" t="str">
        <f aca="false">IF(B5720&lt;5,"Go","Standard")</f>
        <v>Standard</v>
      </c>
    </row>
    <row r="5721" customFormat="false" ht="15" hidden="false" customHeight="true" outlineLevel="0" collapsed="false">
      <c r="A5721" s="10" t="n">
        <f aca="false">Einstellungen!$B$5+INT((ROW()-9)/24)</f>
        <v>46204</v>
      </c>
      <c r="B5721" s="11" t="n">
        <f aca="false">MOD(ROW()-9,24)</f>
        <v>0</v>
      </c>
      <c r="C5721" s="12"/>
      <c r="D5721" s="13" t="n">
        <f aca="false">IF(B5721&lt;5,Einstellungen!$B$3,Einstellungen!$B$4)</f>
        <v>15.92</v>
      </c>
      <c r="E5721" s="14" t="str">
        <f aca="false">IF(C5721="","",C5721*D5721/100)</f>
        <v/>
      </c>
      <c r="F5721" s="15" t="str">
        <f aca="false">IF(B5721&lt;5,"Go","Standard")</f>
        <v>Go</v>
      </c>
    </row>
    <row r="5722" customFormat="false" ht="15" hidden="false" customHeight="true" outlineLevel="0" collapsed="false">
      <c r="A5722" s="10" t="n">
        <f aca="false">Einstellungen!$B$5+INT((ROW()-9)/24)</f>
        <v>46204</v>
      </c>
      <c r="B5722" s="11" t="n">
        <f aca="false">MOD(ROW()-9,24)</f>
        <v>1</v>
      </c>
      <c r="C5722" s="12"/>
      <c r="D5722" s="13" t="n">
        <f aca="false">IF(B5722&lt;5,Einstellungen!$B$3,Einstellungen!$B$4)</f>
        <v>15.92</v>
      </c>
      <c r="E5722" s="14" t="str">
        <f aca="false">IF(C5722="","",C5722*D5722/100)</f>
        <v/>
      </c>
      <c r="F5722" s="15" t="str">
        <f aca="false">IF(B5722&lt;5,"Go","Standard")</f>
        <v>Go</v>
      </c>
    </row>
    <row r="5723" customFormat="false" ht="15" hidden="false" customHeight="true" outlineLevel="0" collapsed="false">
      <c r="A5723" s="10" t="n">
        <f aca="false">Einstellungen!$B$5+INT((ROW()-9)/24)</f>
        <v>46204</v>
      </c>
      <c r="B5723" s="11" t="n">
        <f aca="false">MOD(ROW()-9,24)</f>
        <v>2</v>
      </c>
      <c r="C5723" s="12"/>
      <c r="D5723" s="13" t="n">
        <f aca="false">IF(B5723&lt;5,Einstellungen!$B$3,Einstellungen!$B$4)</f>
        <v>15.92</v>
      </c>
      <c r="E5723" s="14" t="str">
        <f aca="false">IF(C5723="","",C5723*D5723/100)</f>
        <v/>
      </c>
      <c r="F5723" s="15" t="str">
        <f aca="false">IF(B5723&lt;5,"Go","Standard")</f>
        <v>Go</v>
      </c>
    </row>
    <row r="5724" customFormat="false" ht="15" hidden="false" customHeight="true" outlineLevel="0" collapsed="false">
      <c r="A5724" s="10" t="n">
        <f aca="false">Einstellungen!$B$5+INT((ROW()-9)/24)</f>
        <v>46204</v>
      </c>
      <c r="B5724" s="11" t="n">
        <f aca="false">MOD(ROW()-9,24)</f>
        <v>3</v>
      </c>
      <c r="C5724" s="12"/>
      <c r="D5724" s="13" t="n">
        <f aca="false">IF(B5724&lt;5,Einstellungen!$B$3,Einstellungen!$B$4)</f>
        <v>15.92</v>
      </c>
      <c r="E5724" s="14" t="str">
        <f aca="false">IF(C5724="","",C5724*D5724/100)</f>
        <v/>
      </c>
      <c r="F5724" s="15" t="str">
        <f aca="false">IF(B5724&lt;5,"Go","Standard")</f>
        <v>Go</v>
      </c>
    </row>
    <row r="5725" customFormat="false" ht="15" hidden="false" customHeight="true" outlineLevel="0" collapsed="false">
      <c r="A5725" s="10" t="n">
        <f aca="false">Einstellungen!$B$5+INT((ROW()-9)/24)</f>
        <v>46204</v>
      </c>
      <c r="B5725" s="11" t="n">
        <f aca="false">MOD(ROW()-9,24)</f>
        <v>4</v>
      </c>
      <c r="C5725" s="12"/>
      <c r="D5725" s="13" t="n">
        <f aca="false">IF(B5725&lt;5,Einstellungen!$B$3,Einstellungen!$B$4)</f>
        <v>15.92</v>
      </c>
      <c r="E5725" s="14" t="str">
        <f aca="false">IF(C5725="","",C5725*D5725/100)</f>
        <v/>
      </c>
      <c r="F5725" s="15" t="str">
        <f aca="false">IF(B5725&lt;5,"Go","Standard")</f>
        <v>Go</v>
      </c>
    </row>
    <row r="5726" customFormat="false" ht="15" hidden="false" customHeight="true" outlineLevel="0" collapsed="false">
      <c r="A5726" s="10" t="n">
        <f aca="false">Einstellungen!$B$5+INT((ROW()-9)/24)</f>
        <v>46204</v>
      </c>
      <c r="B5726" s="11" t="n">
        <f aca="false">MOD(ROW()-9,24)</f>
        <v>5</v>
      </c>
      <c r="C5726" s="12"/>
      <c r="D5726" s="13" t="n">
        <f aca="false">IF(B5726&lt;5,Einstellungen!$B$3,Einstellungen!$B$4)</f>
        <v>29.13</v>
      </c>
      <c r="E5726" s="14" t="str">
        <f aca="false">IF(C5726="","",C5726*D5726/100)</f>
        <v/>
      </c>
      <c r="F5726" s="15" t="str">
        <f aca="false">IF(B5726&lt;5,"Go","Standard")</f>
        <v>Standard</v>
      </c>
    </row>
    <row r="5727" customFormat="false" ht="15" hidden="false" customHeight="true" outlineLevel="0" collapsed="false">
      <c r="A5727" s="10" t="n">
        <f aca="false">Einstellungen!$B$5+INT((ROW()-9)/24)</f>
        <v>46204</v>
      </c>
      <c r="B5727" s="11" t="n">
        <f aca="false">MOD(ROW()-9,24)</f>
        <v>6</v>
      </c>
      <c r="C5727" s="12"/>
      <c r="D5727" s="13" t="n">
        <f aca="false">IF(B5727&lt;5,Einstellungen!$B$3,Einstellungen!$B$4)</f>
        <v>29.13</v>
      </c>
      <c r="E5727" s="14" t="str">
        <f aca="false">IF(C5727="","",C5727*D5727/100)</f>
        <v/>
      </c>
      <c r="F5727" s="15" t="str">
        <f aca="false">IF(B5727&lt;5,"Go","Standard")</f>
        <v>Standard</v>
      </c>
    </row>
    <row r="5728" customFormat="false" ht="15" hidden="false" customHeight="true" outlineLevel="0" collapsed="false">
      <c r="A5728" s="10" t="n">
        <f aca="false">Einstellungen!$B$5+INT((ROW()-9)/24)</f>
        <v>46204</v>
      </c>
      <c r="B5728" s="11" t="n">
        <f aca="false">MOD(ROW()-9,24)</f>
        <v>7</v>
      </c>
      <c r="C5728" s="12"/>
      <c r="D5728" s="13" t="n">
        <f aca="false">IF(B5728&lt;5,Einstellungen!$B$3,Einstellungen!$B$4)</f>
        <v>29.13</v>
      </c>
      <c r="E5728" s="14" t="str">
        <f aca="false">IF(C5728="","",C5728*D5728/100)</f>
        <v/>
      </c>
      <c r="F5728" s="15" t="str">
        <f aca="false">IF(B5728&lt;5,"Go","Standard")</f>
        <v>Standard</v>
      </c>
    </row>
    <row r="5729" customFormat="false" ht="15" hidden="false" customHeight="true" outlineLevel="0" collapsed="false">
      <c r="A5729" s="10" t="n">
        <f aca="false">Einstellungen!$B$5+INT((ROW()-9)/24)</f>
        <v>46204</v>
      </c>
      <c r="B5729" s="11" t="n">
        <f aca="false">MOD(ROW()-9,24)</f>
        <v>8</v>
      </c>
      <c r="C5729" s="12"/>
      <c r="D5729" s="13" t="n">
        <f aca="false">IF(B5729&lt;5,Einstellungen!$B$3,Einstellungen!$B$4)</f>
        <v>29.13</v>
      </c>
      <c r="E5729" s="14" t="str">
        <f aca="false">IF(C5729="","",C5729*D5729/100)</f>
        <v/>
      </c>
      <c r="F5729" s="15" t="str">
        <f aca="false">IF(B5729&lt;5,"Go","Standard")</f>
        <v>Standard</v>
      </c>
    </row>
    <row r="5730" customFormat="false" ht="15" hidden="false" customHeight="true" outlineLevel="0" collapsed="false">
      <c r="A5730" s="10" t="n">
        <f aca="false">Einstellungen!$B$5+INT((ROW()-9)/24)</f>
        <v>46204</v>
      </c>
      <c r="B5730" s="11" t="n">
        <f aca="false">MOD(ROW()-9,24)</f>
        <v>9</v>
      </c>
      <c r="C5730" s="12"/>
      <c r="D5730" s="13" t="n">
        <f aca="false">IF(B5730&lt;5,Einstellungen!$B$3,Einstellungen!$B$4)</f>
        <v>29.13</v>
      </c>
      <c r="E5730" s="14" t="str">
        <f aca="false">IF(C5730="","",C5730*D5730/100)</f>
        <v/>
      </c>
      <c r="F5730" s="15" t="str">
        <f aca="false">IF(B5730&lt;5,"Go","Standard")</f>
        <v>Standard</v>
      </c>
    </row>
    <row r="5731" customFormat="false" ht="15" hidden="false" customHeight="true" outlineLevel="0" collapsed="false">
      <c r="A5731" s="10" t="n">
        <f aca="false">Einstellungen!$B$5+INT((ROW()-9)/24)</f>
        <v>46204</v>
      </c>
      <c r="B5731" s="11" t="n">
        <f aca="false">MOD(ROW()-9,24)</f>
        <v>10</v>
      </c>
      <c r="C5731" s="12"/>
      <c r="D5731" s="13" t="n">
        <f aca="false">IF(B5731&lt;5,Einstellungen!$B$3,Einstellungen!$B$4)</f>
        <v>29.13</v>
      </c>
      <c r="E5731" s="14" t="str">
        <f aca="false">IF(C5731="","",C5731*D5731/100)</f>
        <v/>
      </c>
      <c r="F5731" s="15" t="str">
        <f aca="false">IF(B5731&lt;5,"Go","Standard")</f>
        <v>Standard</v>
      </c>
    </row>
    <row r="5732" customFormat="false" ht="15" hidden="false" customHeight="true" outlineLevel="0" collapsed="false">
      <c r="A5732" s="10" t="n">
        <f aca="false">Einstellungen!$B$5+INT((ROW()-9)/24)</f>
        <v>46204</v>
      </c>
      <c r="B5732" s="11" t="n">
        <f aca="false">MOD(ROW()-9,24)</f>
        <v>11</v>
      </c>
      <c r="C5732" s="12"/>
      <c r="D5732" s="13" t="n">
        <f aca="false">IF(B5732&lt;5,Einstellungen!$B$3,Einstellungen!$B$4)</f>
        <v>29.13</v>
      </c>
      <c r="E5732" s="14" t="str">
        <f aca="false">IF(C5732="","",C5732*D5732/100)</f>
        <v/>
      </c>
      <c r="F5732" s="15" t="str">
        <f aca="false">IF(B5732&lt;5,"Go","Standard")</f>
        <v>Standard</v>
      </c>
    </row>
    <row r="5733" customFormat="false" ht="15" hidden="false" customHeight="true" outlineLevel="0" collapsed="false">
      <c r="A5733" s="10" t="n">
        <f aca="false">Einstellungen!$B$5+INT((ROW()-9)/24)</f>
        <v>46204</v>
      </c>
      <c r="B5733" s="11" t="n">
        <f aca="false">MOD(ROW()-9,24)</f>
        <v>12</v>
      </c>
      <c r="C5733" s="12"/>
      <c r="D5733" s="13" t="n">
        <f aca="false">IF(B5733&lt;5,Einstellungen!$B$3,Einstellungen!$B$4)</f>
        <v>29.13</v>
      </c>
      <c r="E5733" s="14" t="str">
        <f aca="false">IF(C5733="","",C5733*D5733/100)</f>
        <v/>
      </c>
      <c r="F5733" s="15" t="str">
        <f aca="false">IF(B5733&lt;5,"Go","Standard")</f>
        <v>Standard</v>
      </c>
    </row>
    <row r="5734" customFormat="false" ht="15" hidden="false" customHeight="true" outlineLevel="0" collapsed="false">
      <c r="A5734" s="10" t="n">
        <f aca="false">Einstellungen!$B$5+INT((ROW()-9)/24)</f>
        <v>46204</v>
      </c>
      <c r="B5734" s="11" t="n">
        <f aca="false">MOD(ROW()-9,24)</f>
        <v>13</v>
      </c>
      <c r="C5734" s="12"/>
      <c r="D5734" s="13" t="n">
        <f aca="false">IF(B5734&lt;5,Einstellungen!$B$3,Einstellungen!$B$4)</f>
        <v>29.13</v>
      </c>
      <c r="E5734" s="14" t="str">
        <f aca="false">IF(C5734="","",C5734*D5734/100)</f>
        <v/>
      </c>
      <c r="F5734" s="15" t="str">
        <f aca="false">IF(B5734&lt;5,"Go","Standard")</f>
        <v>Standard</v>
      </c>
    </row>
    <row r="5735" customFormat="false" ht="15" hidden="false" customHeight="true" outlineLevel="0" collapsed="false">
      <c r="A5735" s="10" t="n">
        <f aca="false">Einstellungen!$B$5+INT((ROW()-9)/24)</f>
        <v>46204</v>
      </c>
      <c r="B5735" s="11" t="n">
        <f aca="false">MOD(ROW()-9,24)</f>
        <v>14</v>
      </c>
      <c r="C5735" s="12"/>
      <c r="D5735" s="13" t="n">
        <f aca="false">IF(B5735&lt;5,Einstellungen!$B$3,Einstellungen!$B$4)</f>
        <v>29.13</v>
      </c>
      <c r="E5735" s="14" t="str">
        <f aca="false">IF(C5735="","",C5735*D5735/100)</f>
        <v/>
      </c>
      <c r="F5735" s="15" t="str">
        <f aca="false">IF(B5735&lt;5,"Go","Standard")</f>
        <v>Standard</v>
      </c>
    </row>
    <row r="5736" customFormat="false" ht="15" hidden="false" customHeight="true" outlineLevel="0" collapsed="false">
      <c r="A5736" s="10" t="n">
        <f aca="false">Einstellungen!$B$5+INT((ROW()-9)/24)</f>
        <v>46204</v>
      </c>
      <c r="B5736" s="11" t="n">
        <f aca="false">MOD(ROW()-9,24)</f>
        <v>15</v>
      </c>
      <c r="C5736" s="12"/>
      <c r="D5736" s="13" t="n">
        <f aca="false">IF(B5736&lt;5,Einstellungen!$B$3,Einstellungen!$B$4)</f>
        <v>29.13</v>
      </c>
      <c r="E5736" s="14" t="str">
        <f aca="false">IF(C5736="","",C5736*D5736/100)</f>
        <v/>
      </c>
      <c r="F5736" s="15" t="str">
        <f aca="false">IF(B5736&lt;5,"Go","Standard")</f>
        <v>Standard</v>
      </c>
    </row>
    <row r="5737" customFormat="false" ht="15" hidden="false" customHeight="true" outlineLevel="0" collapsed="false">
      <c r="A5737" s="10" t="n">
        <f aca="false">Einstellungen!$B$5+INT((ROW()-9)/24)</f>
        <v>46204</v>
      </c>
      <c r="B5737" s="11" t="n">
        <f aca="false">MOD(ROW()-9,24)</f>
        <v>16</v>
      </c>
      <c r="C5737" s="12"/>
      <c r="D5737" s="13" t="n">
        <f aca="false">IF(B5737&lt;5,Einstellungen!$B$3,Einstellungen!$B$4)</f>
        <v>29.13</v>
      </c>
      <c r="E5737" s="14" t="str">
        <f aca="false">IF(C5737="","",C5737*D5737/100)</f>
        <v/>
      </c>
      <c r="F5737" s="15" t="str">
        <f aca="false">IF(B5737&lt;5,"Go","Standard")</f>
        <v>Standard</v>
      </c>
    </row>
    <row r="5738" customFormat="false" ht="15" hidden="false" customHeight="true" outlineLevel="0" collapsed="false">
      <c r="A5738" s="10" t="n">
        <f aca="false">Einstellungen!$B$5+INT((ROW()-9)/24)</f>
        <v>46204</v>
      </c>
      <c r="B5738" s="11" t="n">
        <f aca="false">MOD(ROW()-9,24)</f>
        <v>17</v>
      </c>
      <c r="C5738" s="12"/>
      <c r="D5738" s="13" t="n">
        <f aca="false">IF(B5738&lt;5,Einstellungen!$B$3,Einstellungen!$B$4)</f>
        <v>29.13</v>
      </c>
      <c r="E5738" s="14" t="str">
        <f aca="false">IF(C5738="","",C5738*D5738/100)</f>
        <v/>
      </c>
      <c r="F5738" s="15" t="str">
        <f aca="false">IF(B5738&lt;5,"Go","Standard")</f>
        <v>Standard</v>
      </c>
    </row>
    <row r="5739" customFormat="false" ht="15" hidden="false" customHeight="true" outlineLevel="0" collapsed="false">
      <c r="A5739" s="10" t="n">
        <f aca="false">Einstellungen!$B$5+INT((ROW()-9)/24)</f>
        <v>46204</v>
      </c>
      <c r="B5739" s="11" t="n">
        <f aca="false">MOD(ROW()-9,24)</f>
        <v>18</v>
      </c>
      <c r="C5739" s="12"/>
      <c r="D5739" s="13" t="n">
        <f aca="false">IF(B5739&lt;5,Einstellungen!$B$3,Einstellungen!$B$4)</f>
        <v>29.13</v>
      </c>
      <c r="E5739" s="14" t="str">
        <f aca="false">IF(C5739="","",C5739*D5739/100)</f>
        <v/>
      </c>
      <c r="F5739" s="15" t="str">
        <f aca="false">IF(B5739&lt;5,"Go","Standard")</f>
        <v>Standard</v>
      </c>
    </row>
    <row r="5740" customFormat="false" ht="15" hidden="false" customHeight="true" outlineLevel="0" collapsed="false">
      <c r="A5740" s="10" t="n">
        <f aca="false">Einstellungen!$B$5+INT((ROW()-9)/24)</f>
        <v>46204</v>
      </c>
      <c r="B5740" s="11" t="n">
        <f aca="false">MOD(ROW()-9,24)</f>
        <v>19</v>
      </c>
      <c r="C5740" s="12"/>
      <c r="D5740" s="13" t="n">
        <f aca="false">IF(B5740&lt;5,Einstellungen!$B$3,Einstellungen!$B$4)</f>
        <v>29.13</v>
      </c>
      <c r="E5740" s="14" t="str">
        <f aca="false">IF(C5740="","",C5740*D5740/100)</f>
        <v/>
      </c>
      <c r="F5740" s="15" t="str">
        <f aca="false">IF(B5740&lt;5,"Go","Standard")</f>
        <v>Standard</v>
      </c>
    </row>
    <row r="5741" customFormat="false" ht="15" hidden="false" customHeight="true" outlineLevel="0" collapsed="false">
      <c r="A5741" s="10" t="n">
        <f aca="false">Einstellungen!$B$5+INT((ROW()-9)/24)</f>
        <v>46204</v>
      </c>
      <c r="B5741" s="11" t="n">
        <f aca="false">MOD(ROW()-9,24)</f>
        <v>20</v>
      </c>
      <c r="C5741" s="12"/>
      <c r="D5741" s="13" t="n">
        <f aca="false">IF(B5741&lt;5,Einstellungen!$B$3,Einstellungen!$B$4)</f>
        <v>29.13</v>
      </c>
      <c r="E5741" s="14" t="str">
        <f aca="false">IF(C5741="","",C5741*D5741/100)</f>
        <v/>
      </c>
      <c r="F5741" s="15" t="str">
        <f aca="false">IF(B5741&lt;5,"Go","Standard")</f>
        <v>Standard</v>
      </c>
    </row>
    <row r="5742" customFormat="false" ht="15" hidden="false" customHeight="true" outlineLevel="0" collapsed="false">
      <c r="A5742" s="10" t="n">
        <f aca="false">Einstellungen!$B$5+INT((ROW()-9)/24)</f>
        <v>46204</v>
      </c>
      <c r="B5742" s="11" t="n">
        <f aca="false">MOD(ROW()-9,24)</f>
        <v>21</v>
      </c>
      <c r="C5742" s="12"/>
      <c r="D5742" s="13" t="n">
        <f aca="false">IF(B5742&lt;5,Einstellungen!$B$3,Einstellungen!$B$4)</f>
        <v>29.13</v>
      </c>
      <c r="E5742" s="14" t="str">
        <f aca="false">IF(C5742="","",C5742*D5742/100)</f>
        <v/>
      </c>
      <c r="F5742" s="15" t="str">
        <f aca="false">IF(B5742&lt;5,"Go","Standard")</f>
        <v>Standard</v>
      </c>
    </row>
    <row r="5743" customFormat="false" ht="15" hidden="false" customHeight="true" outlineLevel="0" collapsed="false">
      <c r="A5743" s="10" t="n">
        <f aca="false">Einstellungen!$B$5+INT((ROW()-9)/24)</f>
        <v>46204</v>
      </c>
      <c r="B5743" s="11" t="n">
        <f aca="false">MOD(ROW()-9,24)</f>
        <v>22</v>
      </c>
      <c r="C5743" s="12"/>
      <c r="D5743" s="13" t="n">
        <f aca="false">IF(B5743&lt;5,Einstellungen!$B$3,Einstellungen!$B$4)</f>
        <v>29.13</v>
      </c>
      <c r="E5743" s="14" t="str">
        <f aca="false">IF(C5743="","",C5743*D5743/100)</f>
        <v/>
      </c>
      <c r="F5743" s="15" t="str">
        <f aca="false">IF(B5743&lt;5,"Go","Standard")</f>
        <v>Standard</v>
      </c>
    </row>
    <row r="5744" customFormat="false" ht="15" hidden="false" customHeight="true" outlineLevel="0" collapsed="false">
      <c r="A5744" s="10" t="n">
        <f aca="false">Einstellungen!$B$5+INT((ROW()-9)/24)</f>
        <v>46204</v>
      </c>
      <c r="B5744" s="11" t="n">
        <f aca="false">MOD(ROW()-9,24)</f>
        <v>23</v>
      </c>
      <c r="C5744" s="12"/>
      <c r="D5744" s="13" t="n">
        <f aca="false">IF(B5744&lt;5,Einstellungen!$B$3,Einstellungen!$B$4)</f>
        <v>29.13</v>
      </c>
      <c r="E5744" s="14" t="str">
        <f aca="false">IF(C5744="","",C5744*D5744/100)</f>
        <v/>
      </c>
      <c r="F5744" s="15" t="str">
        <f aca="false">IF(B5744&lt;5,"Go","Standard")</f>
        <v>Standard</v>
      </c>
    </row>
    <row r="5745" customFormat="false" ht="15" hidden="false" customHeight="true" outlineLevel="0" collapsed="false">
      <c r="A5745" s="10" t="n">
        <f aca="false">Einstellungen!$B$5+INT((ROW()-9)/24)</f>
        <v>46205</v>
      </c>
      <c r="B5745" s="11" t="n">
        <f aca="false">MOD(ROW()-9,24)</f>
        <v>0</v>
      </c>
      <c r="C5745" s="12"/>
      <c r="D5745" s="13" t="n">
        <f aca="false">IF(B5745&lt;5,Einstellungen!$B$3,Einstellungen!$B$4)</f>
        <v>15.92</v>
      </c>
      <c r="E5745" s="14" t="str">
        <f aca="false">IF(C5745="","",C5745*D5745/100)</f>
        <v/>
      </c>
      <c r="F5745" s="15" t="str">
        <f aca="false">IF(B5745&lt;5,"Go","Standard")</f>
        <v>Go</v>
      </c>
    </row>
    <row r="5746" customFormat="false" ht="15" hidden="false" customHeight="true" outlineLevel="0" collapsed="false">
      <c r="A5746" s="10" t="n">
        <f aca="false">Einstellungen!$B$5+INT((ROW()-9)/24)</f>
        <v>46205</v>
      </c>
      <c r="B5746" s="11" t="n">
        <f aca="false">MOD(ROW()-9,24)</f>
        <v>1</v>
      </c>
      <c r="C5746" s="12"/>
      <c r="D5746" s="13" t="n">
        <f aca="false">IF(B5746&lt;5,Einstellungen!$B$3,Einstellungen!$B$4)</f>
        <v>15.92</v>
      </c>
      <c r="E5746" s="14" t="str">
        <f aca="false">IF(C5746="","",C5746*D5746/100)</f>
        <v/>
      </c>
      <c r="F5746" s="15" t="str">
        <f aca="false">IF(B5746&lt;5,"Go","Standard")</f>
        <v>Go</v>
      </c>
    </row>
    <row r="5747" customFormat="false" ht="15" hidden="false" customHeight="true" outlineLevel="0" collapsed="false">
      <c r="A5747" s="10" t="n">
        <f aca="false">Einstellungen!$B$5+INT((ROW()-9)/24)</f>
        <v>46205</v>
      </c>
      <c r="B5747" s="11" t="n">
        <f aca="false">MOD(ROW()-9,24)</f>
        <v>2</v>
      </c>
      <c r="C5747" s="12"/>
      <c r="D5747" s="13" t="n">
        <f aca="false">IF(B5747&lt;5,Einstellungen!$B$3,Einstellungen!$B$4)</f>
        <v>15.92</v>
      </c>
      <c r="E5747" s="14" t="str">
        <f aca="false">IF(C5747="","",C5747*D5747/100)</f>
        <v/>
      </c>
      <c r="F5747" s="15" t="str">
        <f aca="false">IF(B5747&lt;5,"Go","Standard")</f>
        <v>Go</v>
      </c>
    </row>
    <row r="5748" customFormat="false" ht="15" hidden="false" customHeight="true" outlineLevel="0" collapsed="false">
      <c r="A5748" s="10" t="n">
        <f aca="false">Einstellungen!$B$5+INT((ROW()-9)/24)</f>
        <v>46205</v>
      </c>
      <c r="B5748" s="11" t="n">
        <f aca="false">MOD(ROW()-9,24)</f>
        <v>3</v>
      </c>
      <c r="C5748" s="12"/>
      <c r="D5748" s="13" t="n">
        <f aca="false">IF(B5748&lt;5,Einstellungen!$B$3,Einstellungen!$B$4)</f>
        <v>15.92</v>
      </c>
      <c r="E5748" s="14" t="str">
        <f aca="false">IF(C5748="","",C5748*D5748/100)</f>
        <v/>
      </c>
      <c r="F5748" s="15" t="str">
        <f aca="false">IF(B5748&lt;5,"Go","Standard")</f>
        <v>Go</v>
      </c>
    </row>
    <row r="5749" customFormat="false" ht="15" hidden="false" customHeight="true" outlineLevel="0" collapsed="false">
      <c r="A5749" s="10" t="n">
        <f aca="false">Einstellungen!$B$5+INT((ROW()-9)/24)</f>
        <v>46205</v>
      </c>
      <c r="B5749" s="11" t="n">
        <f aca="false">MOD(ROW()-9,24)</f>
        <v>4</v>
      </c>
      <c r="C5749" s="12"/>
      <c r="D5749" s="13" t="n">
        <f aca="false">IF(B5749&lt;5,Einstellungen!$B$3,Einstellungen!$B$4)</f>
        <v>15.92</v>
      </c>
      <c r="E5749" s="14" t="str">
        <f aca="false">IF(C5749="","",C5749*D5749/100)</f>
        <v/>
      </c>
      <c r="F5749" s="15" t="str">
        <f aca="false">IF(B5749&lt;5,"Go","Standard")</f>
        <v>Go</v>
      </c>
    </row>
    <row r="5750" customFormat="false" ht="15" hidden="false" customHeight="true" outlineLevel="0" collapsed="false">
      <c r="A5750" s="10" t="n">
        <f aca="false">Einstellungen!$B$5+INT((ROW()-9)/24)</f>
        <v>46205</v>
      </c>
      <c r="B5750" s="11" t="n">
        <f aca="false">MOD(ROW()-9,24)</f>
        <v>5</v>
      </c>
      <c r="C5750" s="12"/>
      <c r="D5750" s="13" t="n">
        <f aca="false">IF(B5750&lt;5,Einstellungen!$B$3,Einstellungen!$B$4)</f>
        <v>29.13</v>
      </c>
      <c r="E5750" s="14" t="str">
        <f aca="false">IF(C5750="","",C5750*D5750/100)</f>
        <v/>
      </c>
      <c r="F5750" s="15" t="str">
        <f aca="false">IF(B5750&lt;5,"Go","Standard")</f>
        <v>Standard</v>
      </c>
    </row>
    <row r="5751" customFormat="false" ht="15" hidden="false" customHeight="true" outlineLevel="0" collapsed="false">
      <c r="A5751" s="10" t="n">
        <f aca="false">Einstellungen!$B$5+INT((ROW()-9)/24)</f>
        <v>46205</v>
      </c>
      <c r="B5751" s="11" t="n">
        <f aca="false">MOD(ROW()-9,24)</f>
        <v>6</v>
      </c>
      <c r="C5751" s="12"/>
      <c r="D5751" s="13" t="n">
        <f aca="false">IF(B5751&lt;5,Einstellungen!$B$3,Einstellungen!$B$4)</f>
        <v>29.13</v>
      </c>
      <c r="E5751" s="14" t="str">
        <f aca="false">IF(C5751="","",C5751*D5751/100)</f>
        <v/>
      </c>
      <c r="F5751" s="15" t="str">
        <f aca="false">IF(B5751&lt;5,"Go","Standard")</f>
        <v>Standard</v>
      </c>
    </row>
    <row r="5752" customFormat="false" ht="15" hidden="false" customHeight="true" outlineLevel="0" collapsed="false">
      <c r="A5752" s="10" t="n">
        <f aca="false">Einstellungen!$B$5+INT((ROW()-9)/24)</f>
        <v>46205</v>
      </c>
      <c r="B5752" s="11" t="n">
        <f aca="false">MOD(ROW()-9,24)</f>
        <v>7</v>
      </c>
      <c r="C5752" s="12"/>
      <c r="D5752" s="13" t="n">
        <f aca="false">IF(B5752&lt;5,Einstellungen!$B$3,Einstellungen!$B$4)</f>
        <v>29.13</v>
      </c>
      <c r="E5752" s="14" t="str">
        <f aca="false">IF(C5752="","",C5752*D5752/100)</f>
        <v/>
      </c>
      <c r="F5752" s="15" t="str">
        <f aca="false">IF(B5752&lt;5,"Go","Standard")</f>
        <v>Standard</v>
      </c>
    </row>
    <row r="5753" customFormat="false" ht="15" hidden="false" customHeight="true" outlineLevel="0" collapsed="false">
      <c r="A5753" s="10" t="n">
        <f aca="false">Einstellungen!$B$5+INT((ROW()-9)/24)</f>
        <v>46205</v>
      </c>
      <c r="B5753" s="11" t="n">
        <f aca="false">MOD(ROW()-9,24)</f>
        <v>8</v>
      </c>
      <c r="C5753" s="12"/>
      <c r="D5753" s="13" t="n">
        <f aca="false">IF(B5753&lt;5,Einstellungen!$B$3,Einstellungen!$B$4)</f>
        <v>29.13</v>
      </c>
      <c r="E5753" s="14" t="str">
        <f aca="false">IF(C5753="","",C5753*D5753/100)</f>
        <v/>
      </c>
      <c r="F5753" s="15" t="str">
        <f aca="false">IF(B5753&lt;5,"Go","Standard")</f>
        <v>Standard</v>
      </c>
    </row>
    <row r="5754" customFormat="false" ht="15" hidden="false" customHeight="true" outlineLevel="0" collapsed="false">
      <c r="A5754" s="10" t="n">
        <f aca="false">Einstellungen!$B$5+INT((ROW()-9)/24)</f>
        <v>46205</v>
      </c>
      <c r="B5754" s="11" t="n">
        <f aca="false">MOD(ROW()-9,24)</f>
        <v>9</v>
      </c>
      <c r="C5754" s="12"/>
      <c r="D5754" s="13" t="n">
        <f aca="false">IF(B5754&lt;5,Einstellungen!$B$3,Einstellungen!$B$4)</f>
        <v>29.13</v>
      </c>
      <c r="E5754" s="14" t="str">
        <f aca="false">IF(C5754="","",C5754*D5754/100)</f>
        <v/>
      </c>
      <c r="F5754" s="15" t="str">
        <f aca="false">IF(B5754&lt;5,"Go","Standard")</f>
        <v>Standard</v>
      </c>
    </row>
    <row r="5755" customFormat="false" ht="15" hidden="false" customHeight="true" outlineLevel="0" collapsed="false">
      <c r="A5755" s="10" t="n">
        <f aca="false">Einstellungen!$B$5+INT((ROW()-9)/24)</f>
        <v>46205</v>
      </c>
      <c r="B5755" s="11" t="n">
        <f aca="false">MOD(ROW()-9,24)</f>
        <v>10</v>
      </c>
      <c r="C5755" s="12"/>
      <c r="D5755" s="13" t="n">
        <f aca="false">IF(B5755&lt;5,Einstellungen!$B$3,Einstellungen!$B$4)</f>
        <v>29.13</v>
      </c>
      <c r="E5755" s="14" t="str">
        <f aca="false">IF(C5755="","",C5755*D5755/100)</f>
        <v/>
      </c>
      <c r="F5755" s="15" t="str">
        <f aca="false">IF(B5755&lt;5,"Go","Standard")</f>
        <v>Standard</v>
      </c>
    </row>
    <row r="5756" customFormat="false" ht="15" hidden="false" customHeight="true" outlineLevel="0" collapsed="false">
      <c r="A5756" s="10" t="n">
        <f aca="false">Einstellungen!$B$5+INT((ROW()-9)/24)</f>
        <v>46205</v>
      </c>
      <c r="B5756" s="11" t="n">
        <f aca="false">MOD(ROW()-9,24)</f>
        <v>11</v>
      </c>
      <c r="C5756" s="12"/>
      <c r="D5756" s="13" t="n">
        <f aca="false">IF(B5756&lt;5,Einstellungen!$B$3,Einstellungen!$B$4)</f>
        <v>29.13</v>
      </c>
      <c r="E5756" s="14" t="str">
        <f aca="false">IF(C5756="","",C5756*D5756/100)</f>
        <v/>
      </c>
      <c r="F5756" s="15" t="str">
        <f aca="false">IF(B5756&lt;5,"Go","Standard")</f>
        <v>Standard</v>
      </c>
    </row>
    <row r="5757" customFormat="false" ht="15" hidden="false" customHeight="true" outlineLevel="0" collapsed="false">
      <c r="A5757" s="10" t="n">
        <f aca="false">Einstellungen!$B$5+INT((ROW()-9)/24)</f>
        <v>46205</v>
      </c>
      <c r="B5757" s="11" t="n">
        <f aca="false">MOD(ROW()-9,24)</f>
        <v>12</v>
      </c>
      <c r="C5757" s="12"/>
      <c r="D5757" s="13" t="n">
        <f aca="false">IF(B5757&lt;5,Einstellungen!$B$3,Einstellungen!$B$4)</f>
        <v>29.13</v>
      </c>
      <c r="E5757" s="14" t="str">
        <f aca="false">IF(C5757="","",C5757*D5757/100)</f>
        <v/>
      </c>
      <c r="F5757" s="15" t="str">
        <f aca="false">IF(B5757&lt;5,"Go","Standard")</f>
        <v>Standard</v>
      </c>
    </row>
    <row r="5758" customFormat="false" ht="15" hidden="false" customHeight="true" outlineLevel="0" collapsed="false">
      <c r="A5758" s="10" t="n">
        <f aca="false">Einstellungen!$B$5+INT((ROW()-9)/24)</f>
        <v>46205</v>
      </c>
      <c r="B5758" s="11" t="n">
        <f aca="false">MOD(ROW()-9,24)</f>
        <v>13</v>
      </c>
      <c r="C5758" s="12"/>
      <c r="D5758" s="13" t="n">
        <f aca="false">IF(B5758&lt;5,Einstellungen!$B$3,Einstellungen!$B$4)</f>
        <v>29.13</v>
      </c>
      <c r="E5758" s="14" t="str">
        <f aca="false">IF(C5758="","",C5758*D5758/100)</f>
        <v/>
      </c>
      <c r="F5758" s="15" t="str">
        <f aca="false">IF(B5758&lt;5,"Go","Standard")</f>
        <v>Standard</v>
      </c>
    </row>
    <row r="5759" customFormat="false" ht="15" hidden="false" customHeight="true" outlineLevel="0" collapsed="false">
      <c r="A5759" s="10" t="n">
        <f aca="false">Einstellungen!$B$5+INT((ROW()-9)/24)</f>
        <v>46205</v>
      </c>
      <c r="B5759" s="11" t="n">
        <f aca="false">MOD(ROW()-9,24)</f>
        <v>14</v>
      </c>
      <c r="C5759" s="12"/>
      <c r="D5759" s="13" t="n">
        <f aca="false">IF(B5759&lt;5,Einstellungen!$B$3,Einstellungen!$B$4)</f>
        <v>29.13</v>
      </c>
      <c r="E5759" s="14" t="str">
        <f aca="false">IF(C5759="","",C5759*D5759/100)</f>
        <v/>
      </c>
      <c r="F5759" s="15" t="str">
        <f aca="false">IF(B5759&lt;5,"Go","Standard")</f>
        <v>Standard</v>
      </c>
    </row>
    <row r="5760" customFormat="false" ht="15" hidden="false" customHeight="true" outlineLevel="0" collapsed="false">
      <c r="A5760" s="10" t="n">
        <f aca="false">Einstellungen!$B$5+INT((ROW()-9)/24)</f>
        <v>46205</v>
      </c>
      <c r="B5760" s="11" t="n">
        <f aca="false">MOD(ROW()-9,24)</f>
        <v>15</v>
      </c>
      <c r="C5760" s="12"/>
      <c r="D5760" s="13" t="n">
        <f aca="false">IF(B5760&lt;5,Einstellungen!$B$3,Einstellungen!$B$4)</f>
        <v>29.13</v>
      </c>
      <c r="E5760" s="14" t="str">
        <f aca="false">IF(C5760="","",C5760*D5760/100)</f>
        <v/>
      </c>
      <c r="F5760" s="15" t="str">
        <f aca="false">IF(B5760&lt;5,"Go","Standard")</f>
        <v>Standard</v>
      </c>
    </row>
    <row r="5761" customFormat="false" ht="15" hidden="false" customHeight="true" outlineLevel="0" collapsed="false">
      <c r="A5761" s="10" t="n">
        <f aca="false">Einstellungen!$B$5+INT((ROW()-9)/24)</f>
        <v>46205</v>
      </c>
      <c r="B5761" s="11" t="n">
        <f aca="false">MOD(ROW()-9,24)</f>
        <v>16</v>
      </c>
      <c r="C5761" s="12"/>
      <c r="D5761" s="13" t="n">
        <f aca="false">IF(B5761&lt;5,Einstellungen!$B$3,Einstellungen!$B$4)</f>
        <v>29.13</v>
      </c>
      <c r="E5761" s="14" t="str">
        <f aca="false">IF(C5761="","",C5761*D5761/100)</f>
        <v/>
      </c>
      <c r="F5761" s="15" t="str">
        <f aca="false">IF(B5761&lt;5,"Go","Standard")</f>
        <v>Standard</v>
      </c>
    </row>
    <row r="5762" customFormat="false" ht="15" hidden="false" customHeight="true" outlineLevel="0" collapsed="false">
      <c r="A5762" s="10" t="n">
        <f aca="false">Einstellungen!$B$5+INT((ROW()-9)/24)</f>
        <v>46205</v>
      </c>
      <c r="B5762" s="11" t="n">
        <f aca="false">MOD(ROW()-9,24)</f>
        <v>17</v>
      </c>
      <c r="C5762" s="12"/>
      <c r="D5762" s="13" t="n">
        <f aca="false">IF(B5762&lt;5,Einstellungen!$B$3,Einstellungen!$B$4)</f>
        <v>29.13</v>
      </c>
      <c r="E5762" s="14" t="str">
        <f aca="false">IF(C5762="","",C5762*D5762/100)</f>
        <v/>
      </c>
      <c r="F5762" s="15" t="str">
        <f aca="false">IF(B5762&lt;5,"Go","Standard")</f>
        <v>Standard</v>
      </c>
    </row>
    <row r="5763" customFormat="false" ht="15" hidden="false" customHeight="true" outlineLevel="0" collapsed="false">
      <c r="A5763" s="10" t="n">
        <f aca="false">Einstellungen!$B$5+INT((ROW()-9)/24)</f>
        <v>46205</v>
      </c>
      <c r="B5763" s="11" t="n">
        <f aca="false">MOD(ROW()-9,24)</f>
        <v>18</v>
      </c>
      <c r="C5763" s="12"/>
      <c r="D5763" s="13" t="n">
        <f aca="false">IF(B5763&lt;5,Einstellungen!$B$3,Einstellungen!$B$4)</f>
        <v>29.13</v>
      </c>
      <c r="E5763" s="14" t="str">
        <f aca="false">IF(C5763="","",C5763*D5763/100)</f>
        <v/>
      </c>
      <c r="F5763" s="15" t="str">
        <f aca="false">IF(B5763&lt;5,"Go","Standard")</f>
        <v>Standard</v>
      </c>
    </row>
    <row r="5764" customFormat="false" ht="15" hidden="false" customHeight="true" outlineLevel="0" collapsed="false">
      <c r="A5764" s="10" t="n">
        <f aca="false">Einstellungen!$B$5+INT((ROW()-9)/24)</f>
        <v>46205</v>
      </c>
      <c r="B5764" s="11" t="n">
        <f aca="false">MOD(ROW()-9,24)</f>
        <v>19</v>
      </c>
      <c r="C5764" s="12"/>
      <c r="D5764" s="13" t="n">
        <f aca="false">IF(B5764&lt;5,Einstellungen!$B$3,Einstellungen!$B$4)</f>
        <v>29.13</v>
      </c>
      <c r="E5764" s="14" t="str">
        <f aca="false">IF(C5764="","",C5764*D5764/100)</f>
        <v/>
      </c>
      <c r="F5764" s="15" t="str">
        <f aca="false">IF(B5764&lt;5,"Go","Standard")</f>
        <v>Standard</v>
      </c>
    </row>
    <row r="5765" customFormat="false" ht="15" hidden="false" customHeight="true" outlineLevel="0" collapsed="false">
      <c r="A5765" s="10" t="n">
        <f aca="false">Einstellungen!$B$5+INT((ROW()-9)/24)</f>
        <v>46205</v>
      </c>
      <c r="B5765" s="11" t="n">
        <f aca="false">MOD(ROW()-9,24)</f>
        <v>20</v>
      </c>
      <c r="C5765" s="12"/>
      <c r="D5765" s="13" t="n">
        <f aca="false">IF(B5765&lt;5,Einstellungen!$B$3,Einstellungen!$B$4)</f>
        <v>29.13</v>
      </c>
      <c r="E5765" s="14" t="str">
        <f aca="false">IF(C5765="","",C5765*D5765/100)</f>
        <v/>
      </c>
      <c r="F5765" s="15" t="str">
        <f aca="false">IF(B5765&lt;5,"Go","Standard")</f>
        <v>Standard</v>
      </c>
    </row>
    <row r="5766" customFormat="false" ht="15" hidden="false" customHeight="true" outlineLevel="0" collapsed="false">
      <c r="A5766" s="10" t="n">
        <f aca="false">Einstellungen!$B$5+INT((ROW()-9)/24)</f>
        <v>46205</v>
      </c>
      <c r="B5766" s="11" t="n">
        <f aca="false">MOD(ROW()-9,24)</f>
        <v>21</v>
      </c>
      <c r="C5766" s="12"/>
      <c r="D5766" s="13" t="n">
        <f aca="false">IF(B5766&lt;5,Einstellungen!$B$3,Einstellungen!$B$4)</f>
        <v>29.13</v>
      </c>
      <c r="E5766" s="14" t="str">
        <f aca="false">IF(C5766="","",C5766*D5766/100)</f>
        <v/>
      </c>
      <c r="F5766" s="15" t="str">
        <f aca="false">IF(B5766&lt;5,"Go","Standard")</f>
        <v>Standard</v>
      </c>
    </row>
    <row r="5767" customFormat="false" ht="15" hidden="false" customHeight="true" outlineLevel="0" collapsed="false">
      <c r="A5767" s="10" t="n">
        <f aca="false">Einstellungen!$B$5+INT((ROW()-9)/24)</f>
        <v>46205</v>
      </c>
      <c r="B5767" s="11" t="n">
        <f aca="false">MOD(ROW()-9,24)</f>
        <v>22</v>
      </c>
      <c r="C5767" s="12"/>
      <c r="D5767" s="13" t="n">
        <f aca="false">IF(B5767&lt;5,Einstellungen!$B$3,Einstellungen!$B$4)</f>
        <v>29.13</v>
      </c>
      <c r="E5767" s="14" t="str">
        <f aca="false">IF(C5767="","",C5767*D5767/100)</f>
        <v/>
      </c>
      <c r="F5767" s="15" t="str">
        <f aca="false">IF(B5767&lt;5,"Go","Standard")</f>
        <v>Standard</v>
      </c>
    </row>
    <row r="5768" customFormat="false" ht="15" hidden="false" customHeight="true" outlineLevel="0" collapsed="false">
      <c r="A5768" s="10" t="n">
        <f aca="false">Einstellungen!$B$5+INT((ROW()-9)/24)</f>
        <v>46205</v>
      </c>
      <c r="B5768" s="11" t="n">
        <f aca="false">MOD(ROW()-9,24)</f>
        <v>23</v>
      </c>
      <c r="C5768" s="12"/>
      <c r="D5768" s="13" t="n">
        <f aca="false">IF(B5768&lt;5,Einstellungen!$B$3,Einstellungen!$B$4)</f>
        <v>29.13</v>
      </c>
      <c r="E5768" s="14" t="str">
        <f aca="false">IF(C5768="","",C5768*D5768/100)</f>
        <v/>
      </c>
      <c r="F5768" s="15" t="str">
        <f aca="false">IF(B5768&lt;5,"Go","Standard")</f>
        <v>Standard</v>
      </c>
    </row>
    <row r="5769" customFormat="false" ht="15" hidden="false" customHeight="true" outlineLevel="0" collapsed="false">
      <c r="A5769" s="10" t="n">
        <f aca="false">Einstellungen!$B$5+INT((ROW()-9)/24)</f>
        <v>46206</v>
      </c>
      <c r="B5769" s="11" t="n">
        <f aca="false">MOD(ROW()-9,24)</f>
        <v>0</v>
      </c>
      <c r="C5769" s="12"/>
      <c r="D5769" s="13" t="n">
        <f aca="false">IF(B5769&lt;5,Einstellungen!$B$3,Einstellungen!$B$4)</f>
        <v>15.92</v>
      </c>
      <c r="E5769" s="14" t="str">
        <f aca="false">IF(C5769="","",C5769*D5769/100)</f>
        <v/>
      </c>
      <c r="F5769" s="15" t="str">
        <f aca="false">IF(B5769&lt;5,"Go","Standard")</f>
        <v>Go</v>
      </c>
    </row>
    <row r="5770" customFormat="false" ht="15" hidden="false" customHeight="true" outlineLevel="0" collapsed="false">
      <c r="A5770" s="10" t="n">
        <f aca="false">Einstellungen!$B$5+INT((ROW()-9)/24)</f>
        <v>46206</v>
      </c>
      <c r="B5770" s="11" t="n">
        <f aca="false">MOD(ROW()-9,24)</f>
        <v>1</v>
      </c>
      <c r="C5770" s="12"/>
      <c r="D5770" s="13" t="n">
        <f aca="false">IF(B5770&lt;5,Einstellungen!$B$3,Einstellungen!$B$4)</f>
        <v>15.92</v>
      </c>
      <c r="E5770" s="14" t="str">
        <f aca="false">IF(C5770="","",C5770*D5770/100)</f>
        <v/>
      </c>
      <c r="F5770" s="15" t="str">
        <f aca="false">IF(B5770&lt;5,"Go","Standard")</f>
        <v>Go</v>
      </c>
    </row>
    <row r="5771" customFormat="false" ht="15" hidden="false" customHeight="true" outlineLevel="0" collapsed="false">
      <c r="A5771" s="10" t="n">
        <f aca="false">Einstellungen!$B$5+INT((ROW()-9)/24)</f>
        <v>46206</v>
      </c>
      <c r="B5771" s="11" t="n">
        <f aca="false">MOD(ROW()-9,24)</f>
        <v>2</v>
      </c>
      <c r="C5771" s="12"/>
      <c r="D5771" s="13" t="n">
        <f aca="false">IF(B5771&lt;5,Einstellungen!$B$3,Einstellungen!$B$4)</f>
        <v>15.92</v>
      </c>
      <c r="E5771" s="14" t="str">
        <f aca="false">IF(C5771="","",C5771*D5771/100)</f>
        <v/>
      </c>
      <c r="F5771" s="15" t="str">
        <f aca="false">IF(B5771&lt;5,"Go","Standard")</f>
        <v>Go</v>
      </c>
    </row>
    <row r="5772" customFormat="false" ht="15" hidden="false" customHeight="true" outlineLevel="0" collapsed="false">
      <c r="A5772" s="10" t="n">
        <f aca="false">Einstellungen!$B$5+INT((ROW()-9)/24)</f>
        <v>46206</v>
      </c>
      <c r="B5772" s="11" t="n">
        <f aca="false">MOD(ROW()-9,24)</f>
        <v>3</v>
      </c>
      <c r="C5772" s="12"/>
      <c r="D5772" s="13" t="n">
        <f aca="false">IF(B5772&lt;5,Einstellungen!$B$3,Einstellungen!$B$4)</f>
        <v>15.92</v>
      </c>
      <c r="E5772" s="14" t="str">
        <f aca="false">IF(C5772="","",C5772*D5772/100)</f>
        <v/>
      </c>
      <c r="F5772" s="15" t="str">
        <f aca="false">IF(B5772&lt;5,"Go","Standard")</f>
        <v>Go</v>
      </c>
    </row>
    <row r="5773" customFormat="false" ht="15" hidden="false" customHeight="true" outlineLevel="0" collapsed="false">
      <c r="A5773" s="10" t="n">
        <f aca="false">Einstellungen!$B$5+INT((ROW()-9)/24)</f>
        <v>46206</v>
      </c>
      <c r="B5773" s="11" t="n">
        <f aca="false">MOD(ROW()-9,24)</f>
        <v>4</v>
      </c>
      <c r="C5773" s="12"/>
      <c r="D5773" s="13" t="n">
        <f aca="false">IF(B5773&lt;5,Einstellungen!$B$3,Einstellungen!$B$4)</f>
        <v>15.92</v>
      </c>
      <c r="E5773" s="14" t="str">
        <f aca="false">IF(C5773="","",C5773*D5773/100)</f>
        <v/>
      </c>
      <c r="F5773" s="15" t="str">
        <f aca="false">IF(B5773&lt;5,"Go","Standard")</f>
        <v>Go</v>
      </c>
    </row>
    <row r="5774" customFormat="false" ht="15" hidden="false" customHeight="true" outlineLevel="0" collapsed="false">
      <c r="A5774" s="10" t="n">
        <f aca="false">Einstellungen!$B$5+INT((ROW()-9)/24)</f>
        <v>46206</v>
      </c>
      <c r="B5774" s="11" t="n">
        <f aca="false">MOD(ROW()-9,24)</f>
        <v>5</v>
      </c>
      <c r="C5774" s="12"/>
      <c r="D5774" s="13" t="n">
        <f aca="false">IF(B5774&lt;5,Einstellungen!$B$3,Einstellungen!$B$4)</f>
        <v>29.13</v>
      </c>
      <c r="E5774" s="14" t="str">
        <f aca="false">IF(C5774="","",C5774*D5774/100)</f>
        <v/>
      </c>
      <c r="F5774" s="15" t="str">
        <f aca="false">IF(B5774&lt;5,"Go","Standard")</f>
        <v>Standard</v>
      </c>
    </row>
    <row r="5775" customFormat="false" ht="15" hidden="false" customHeight="true" outlineLevel="0" collapsed="false">
      <c r="A5775" s="10" t="n">
        <f aca="false">Einstellungen!$B$5+INT((ROW()-9)/24)</f>
        <v>46206</v>
      </c>
      <c r="B5775" s="11" t="n">
        <f aca="false">MOD(ROW()-9,24)</f>
        <v>6</v>
      </c>
      <c r="C5775" s="12"/>
      <c r="D5775" s="13" t="n">
        <f aca="false">IF(B5775&lt;5,Einstellungen!$B$3,Einstellungen!$B$4)</f>
        <v>29.13</v>
      </c>
      <c r="E5775" s="14" t="str">
        <f aca="false">IF(C5775="","",C5775*D5775/100)</f>
        <v/>
      </c>
      <c r="F5775" s="15" t="str">
        <f aca="false">IF(B5775&lt;5,"Go","Standard")</f>
        <v>Standard</v>
      </c>
    </row>
    <row r="5776" customFormat="false" ht="15" hidden="false" customHeight="true" outlineLevel="0" collapsed="false">
      <c r="A5776" s="10" t="n">
        <f aca="false">Einstellungen!$B$5+INT((ROW()-9)/24)</f>
        <v>46206</v>
      </c>
      <c r="B5776" s="11" t="n">
        <f aca="false">MOD(ROW()-9,24)</f>
        <v>7</v>
      </c>
      <c r="C5776" s="12"/>
      <c r="D5776" s="13" t="n">
        <f aca="false">IF(B5776&lt;5,Einstellungen!$B$3,Einstellungen!$B$4)</f>
        <v>29.13</v>
      </c>
      <c r="E5776" s="14" t="str">
        <f aca="false">IF(C5776="","",C5776*D5776/100)</f>
        <v/>
      </c>
      <c r="F5776" s="15" t="str">
        <f aca="false">IF(B5776&lt;5,"Go","Standard")</f>
        <v>Standard</v>
      </c>
    </row>
    <row r="5777" customFormat="false" ht="15" hidden="false" customHeight="true" outlineLevel="0" collapsed="false">
      <c r="A5777" s="10" t="n">
        <f aca="false">Einstellungen!$B$5+INT((ROW()-9)/24)</f>
        <v>46206</v>
      </c>
      <c r="B5777" s="11" t="n">
        <f aca="false">MOD(ROW()-9,24)</f>
        <v>8</v>
      </c>
      <c r="C5777" s="12"/>
      <c r="D5777" s="13" t="n">
        <f aca="false">IF(B5777&lt;5,Einstellungen!$B$3,Einstellungen!$B$4)</f>
        <v>29.13</v>
      </c>
      <c r="E5777" s="14" t="str">
        <f aca="false">IF(C5777="","",C5777*D5777/100)</f>
        <v/>
      </c>
      <c r="F5777" s="15" t="str">
        <f aca="false">IF(B5777&lt;5,"Go","Standard")</f>
        <v>Standard</v>
      </c>
    </row>
    <row r="5778" customFormat="false" ht="15" hidden="false" customHeight="true" outlineLevel="0" collapsed="false">
      <c r="A5778" s="10" t="n">
        <f aca="false">Einstellungen!$B$5+INT((ROW()-9)/24)</f>
        <v>46206</v>
      </c>
      <c r="B5778" s="11" t="n">
        <f aca="false">MOD(ROW()-9,24)</f>
        <v>9</v>
      </c>
      <c r="C5778" s="12"/>
      <c r="D5778" s="13" t="n">
        <f aca="false">IF(B5778&lt;5,Einstellungen!$B$3,Einstellungen!$B$4)</f>
        <v>29.13</v>
      </c>
      <c r="E5778" s="14" t="str">
        <f aca="false">IF(C5778="","",C5778*D5778/100)</f>
        <v/>
      </c>
      <c r="F5778" s="15" t="str">
        <f aca="false">IF(B5778&lt;5,"Go","Standard")</f>
        <v>Standard</v>
      </c>
    </row>
    <row r="5779" customFormat="false" ht="15" hidden="false" customHeight="true" outlineLevel="0" collapsed="false">
      <c r="A5779" s="10" t="n">
        <f aca="false">Einstellungen!$B$5+INT((ROW()-9)/24)</f>
        <v>46206</v>
      </c>
      <c r="B5779" s="11" t="n">
        <f aca="false">MOD(ROW()-9,24)</f>
        <v>10</v>
      </c>
      <c r="C5779" s="12"/>
      <c r="D5779" s="13" t="n">
        <f aca="false">IF(B5779&lt;5,Einstellungen!$B$3,Einstellungen!$B$4)</f>
        <v>29.13</v>
      </c>
      <c r="E5779" s="14" t="str">
        <f aca="false">IF(C5779="","",C5779*D5779/100)</f>
        <v/>
      </c>
      <c r="F5779" s="15" t="str">
        <f aca="false">IF(B5779&lt;5,"Go","Standard")</f>
        <v>Standard</v>
      </c>
    </row>
    <row r="5780" customFormat="false" ht="15" hidden="false" customHeight="true" outlineLevel="0" collapsed="false">
      <c r="A5780" s="10" t="n">
        <f aca="false">Einstellungen!$B$5+INT((ROW()-9)/24)</f>
        <v>46206</v>
      </c>
      <c r="B5780" s="11" t="n">
        <f aca="false">MOD(ROW()-9,24)</f>
        <v>11</v>
      </c>
      <c r="C5780" s="12"/>
      <c r="D5780" s="13" t="n">
        <f aca="false">IF(B5780&lt;5,Einstellungen!$B$3,Einstellungen!$B$4)</f>
        <v>29.13</v>
      </c>
      <c r="E5780" s="14" t="str">
        <f aca="false">IF(C5780="","",C5780*D5780/100)</f>
        <v/>
      </c>
      <c r="F5780" s="15" t="str">
        <f aca="false">IF(B5780&lt;5,"Go","Standard")</f>
        <v>Standard</v>
      </c>
    </row>
    <row r="5781" customFormat="false" ht="15" hidden="false" customHeight="true" outlineLevel="0" collapsed="false">
      <c r="A5781" s="10" t="n">
        <f aca="false">Einstellungen!$B$5+INT((ROW()-9)/24)</f>
        <v>46206</v>
      </c>
      <c r="B5781" s="11" t="n">
        <f aca="false">MOD(ROW()-9,24)</f>
        <v>12</v>
      </c>
      <c r="C5781" s="12"/>
      <c r="D5781" s="13" t="n">
        <f aca="false">IF(B5781&lt;5,Einstellungen!$B$3,Einstellungen!$B$4)</f>
        <v>29.13</v>
      </c>
      <c r="E5781" s="14" t="str">
        <f aca="false">IF(C5781="","",C5781*D5781/100)</f>
        <v/>
      </c>
      <c r="F5781" s="15" t="str">
        <f aca="false">IF(B5781&lt;5,"Go","Standard")</f>
        <v>Standard</v>
      </c>
    </row>
    <row r="5782" customFormat="false" ht="15" hidden="false" customHeight="true" outlineLevel="0" collapsed="false">
      <c r="A5782" s="10" t="n">
        <f aca="false">Einstellungen!$B$5+INT((ROW()-9)/24)</f>
        <v>46206</v>
      </c>
      <c r="B5782" s="11" t="n">
        <f aca="false">MOD(ROW()-9,24)</f>
        <v>13</v>
      </c>
      <c r="C5782" s="12"/>
      <c r="D5782" s="13" t="n">
        <f aca="false">IF(B5782&lt;5,Einstellungen!$B$3,Einstellungen!$B$4)</f>
        <v>29.13</v>
      </c>
      <c r="E5782" s="14" t="str">
        <f aca="false">IF(C5782="","",C5782*D5782/100)</f>
        <v/>
      </c>
      <c r="F5782" s="15" t="str">
        <f aca="false">IF(B5782&lt;5,"Go","Standard")</f>
        <v>Standard</v>
      </c>
    </row>
    <row r="5783" customFormat="false" ht="15" hidden="false" customHeight="true" outlineLevel="0" collapsed="false">
      <c r="A5783" s="10" t="n">
        <f aca="false">Einstellungen!$B$5+INT((ROW()-9)/24)</f>
        <v>46206</v>
      </c>
      <c r="B5783" s="11" t="n">
        <f aca="false">MOD(ROW()-9,24)</f>
        <v>14</v>
      </c>
      <c r="C5783" s="12"/>
      <c r="D5783" s="13" t="n">
        <f aca="false">IF(B5783&lt;5,Einstellungen!$B$3,Einstellungen!$B$4)</f>
        <v>29.13</v>
      </c>
      <c r="E5783" s="14" t="str">
        <f aca="false">IF(C5783="","",C5783*D5783/100)</f>
        <v/>
      </c>
      <c r="F5783" s="15" t="str">
        <f aca="false">IF(B5783&lt;5,"Go","Standard")</f>
        <v>Standard</v>
      </c>
    </row>
    <row r="5784" customFormat="false" ht="15" hidden="false" customHeight="true" outlineLevel="0" collapsed="false">
      <c r="A5784" s="10" t="n">
        <f aca="false">Einstellungen!$B$5+INT((ROW()-9)/24)</f>
        <v>46206</v>
      </c>
      <c r="B5784" s="11" t="n">
        <f aca="false">MOD(ROW()-9,24)</f>
        <v>15</v>
      </c>
      <c r="C5784" s="12"/>
      <c r="D5784" s="13" t="n">
        <f aca="false">IF(B5784&lt;5,Einstellungen!$B$3,Einstellungen!$B$4)</f>
        <v>29.13</v>
      </c>
      <c r="E5784" s="14" t="str">
        <f aca="false">IF(C5784="","",C5784*D5784/100)</f>
        <v/>
      </c>
      <c r="F5784" s="15" t="str">
        <f aca="false">IF(B5784&lt;5,"Go","Standard")</f>
        <v>Standard</v>
      </c>
    </row>
    <row r="5785" customFormat="false" ht="15" hidden="false" customHeight="true" outlineLevel="0" collapsed="false">
      <c r="A5785" s="10" t="n">
        <f aca="false">Einstellungen!$B$5+INT((ROW()-9)/24)</f>
        <v>46206</v>
      </c>
      <c r="B5785" s="11" t="n">
        <f aca="false">MOD(ROW()-9,24)</f>
        <v>16</v>
      </c>
      <c r="C5785" s="12"/>
      <c r="D5785" s="13" t="n">
        <f aca="false">IF(B5785&lt;5,Einstellungen!$B$3,Einstellungen!$B$4)</f>
        <v>29.13</v>
      </c>
      <c r="E5785" s="14" t="str">
        <f aca="false">IF(C5785="","",C5785*D5785/100)</f>
        <v/>
      </c>
      <c r="F5785" s="15" t="str">
        <f aca="false">IF(B5785&lt;5,"Go","Standard")</f>
        <v>Standard</v>
      </c>
    </row>
    <row r="5786" customFormat="false" ht="15" hidden="false" customHeight="true" outlineLevel="0" collapsed="false">
      <c r="A5786" s="10" t="n">
        <f aca="false">Einstellungen!$B$5+INT((ROW()-9)/24)</f>
        <v>46206</v>
      </c>
      <c r="B5786" s="11" t="n">
        <f aca="false">MOD(ROW()-9,24)</f>
        <v>17</v>
      </c>
      <c r="C5786" s="12"/>
      <c r="D5786" s="13" t="n">
        <f aca="false">IF(B5786&lt;5,Einstellungen!$B$3,Einstellungen!$B$4)</f>
        <v>29.13</v>
      </c>
      <c r="E5786" s="14" t="str">
        <f aca="false">IF(C5786="","",C5786*D5786/100)</f>
        <v/>
      </c>
      <c r="F5786" s="15" t="str">
        <f aca="false">IF(B5786&lt;5,"Go","Standard")</f>
        <v>Standard</v>
      </c>
    </row>
    <row r="5787" customFormat="false" ht="15" hidden="false" customHeight="true" outlineLevel="0" collapsed="false">
      <c r="A5787" s="10" t="n">
        <f aca="false">Einstellungen!$B$5+INT((ROW()-9)/24)</f>
        <v>46206</v>
      </c>
      <c r="B5787" s="11" t="n">
        <f aca="false">MOD(ROW()-9,24)</f>
        <v>18</v>
      </c>
      <c r="C5787" s="12"/>
      <c r="D5787" s="13" t="n">
        <f aca="false">IF(B5787&lt;5,Einstellungen!$B$3,Einstellungen!$B$4)</f>
        <v>29.13</v>
      </c>
      <c r="E5787" s="14" t="str">
        <f aca="false">IF(C5787="","",C5787*D5787/100)</f>
        <v/>
      </c>
      <c r="F5787" s="15" t="str">
        <f aca="false">IF(B5787&lt;5,"Go","Standard")</f>
        <v>Standard</v>
      </c>
    </row>
    <row r="5788" customFormat="false" ht="15" hidden="false" customHeight="true" outlineLevel="0" collapsed="false">
      <c r="A5788" s="10" t="n">
        <f aca="false">Einstellungen!$B$5+INT((ROW()-9)/24)</f>
        <v>46206</v>
      </c>
      <c r="B5788" s="11" t="n">
        <f aca="false">MOD(ROW()-9,24)</f>
        <v>19</v>
      </c>
      <c r="C5788" s="12"/>
      <c r="D5788" s="13" t="n">
        <f aca="false">IF(B5788&lt;5,Einstellungen!$B$3,Einstellungen!$B$4)</f>
        <v>29.13</v>
      </c>
      <c r="E5788" s="14" t="str">
        <f aca="false">IF(C5788="","",C5788*D5788/100)</f>
        <v/>
      </c>
      <c r="F5788" s="15" t="str">
        <f aca="false">IF(B5788&lt;5,"Go","Standard")</f>
        <v>Standard</v>
      </c>
    </row>
    <row r="5789" customFormat="false" ht="15" hidden="false" customHeight="true" outlineLevel="0" collapsed="false">
      <c r="A5789" s="10" t="n">
        <f aca="false">Einstellungen!$B$5+INT((ROW()-9)/24)</f>
        <v>46206</v>
      </c>
      <c r="B5789" s="11" t="n">
        <f aca="false">MOD(ROW()-9,24)</f>
        <v>20</v>
      </c>
      <c r="C5789" s="12"/>
      <c r="D5789" s="13" t="n">
        <f aca="false">IF(B5789&lt;5,Einstellungen!$B$3,Einstellungen!$B$4)</f>
        <v>29.13</v>
      </c>
      <c r="E5789" s="14" t="str">
        <f aca="false">IF(C5789="","",C5789*D5789/100)</f>
        <v/>
      </c>
      <c r="F5789" s="15" t="str">
        <f aca="false">IF(B5789&lt;5,"Go","Standard")</f>
        <v>Standard</v>
      </c>
    </row>
    <row r="5790" customFormat="false" ht="15" hidden="false" customHeight="true" outlineLevel="0" collapsed="false">
      <c r="A5790" s="10" t="n">
        <f aca="false">Einstellungen!$B$5+INT((ROW()-9)/24)</f>
        <v>46206</v>
      </c>
      <c r="B5790" s="11" t="n">
        <f aca="false">MOD(ROW()-9,24)</f>
        <v>21</v>
      </c>
      <c r="C5790" s="12"/>
      <c r="D5790" s="13" t="n">
        <f aca="false">IF(B5790&lt;5,Einstellungen!$B$3,Einstellungen!$B$4)</f>
        <v>29.13</v>
      </c>
      <c r="E5790" s="14" t="str">
        <f aca="false">IF(C5790="","",C5790*D5790/100)</f>
        <v/>
      </c>
      <c r="F5790" s="15" t="str">
        <f aca="false">IF(B5790&lt;5,"Go","Standard")</f>
        <v>Standard</v>
      </c>
    </row>
    <row r="5791" customFormat="false" ht="15" hidden="false" customHeight="true" outlineLevel="0" collapsed="false">
      <c r="A5791" s="10" t="n">
        <f aca="false">Einstellungen!$B$5+INT((ROW()-9)/24)</f>
        <v>46206</v>
      </c>
      <c r="B5791" s="11" t="n">
        <f aca="false">MOD(ROW()-9,24)</f>
        <v>22</v>
      </c>
      <c r="C5791" s="12"/>
      <c r="D5791" s="13" t="n">
        <f aca="false">IF(B5791&lt;5,Einstellungen!$B$3,Einstellungen!$B$4)</f>
        <v>29.13</v>
      </c>
      <c r="E5791" s="14" t="str">
        <f aca="false">IF(C5791="","",C5791*D5791/100)</f>
        <v/>
      </c>
      <c r="F5791" s="15" t="str">
        <f aca="false">IF(B5791&lt;5,"Go","Standard")</f>
        <v>Standard</v>
      </c>
    </row>
    <row r="5792" customFormat="false" ht="15" hidden="false" customHeight="true" outlineLevel="0" collapsed="false">
      <c r="A5792" s="10" t="n">
        <f aca="false">Einstellungen!$B$5+INT((ROW()-9)/24)</f>
        <v>46206</v>
      </c>
      <c r="B5792" s="11" t="n">
        <f aca="false">MOD(ROW()-9,24)</f>
        <v>23</v>
      </c>
      <c r="C5792" s="12"/>
      <c r="D5792" s="13" t="n">
        <f aca="false">IF(B5792&lt;5,Einstellungen!$B$3,Einstellungen!$B$4)</f>
        <v>29.13</v>
      </c>
      <c r="E5792" s="14" t="str">
        <f aca="false">IF(C5792="","",C5792*D5792/100)</f>
        <v/>
      </c>
      <c r="F5792" s="15" t="str">
        <f aca="false">IF(B5792&lt;5,"Go","Standard")</f>
        <v>Standard</v>
      </c>
    </row>
    <row r="5793" customFormat="false" ht="15" hidden="false" customHeight="true" outlineLevel="0" collapsed="false">
      <c r="A5793" s="10" t="n">
        <f aca="false">Einstellungen!$B$5+INT((ROW()-9)/24)</f>
        <v>46207</v>
      </c>
      <c r="B5793" s="11" t="n">
        <f aca="false">MOD(ROW()-9,24)</f>
        <v>0</v>
      </c>
      <c r="C5793" s="12"/>
      <c r="D5793" s="13" t="n">
        <f aca="false">IF(B5793&lt;5,Einstellungen!$B$3,Einstellungen!$B$4)</f>
        <v>15.92</v>
      </c>
      <c r="E5793" s="14" t="str">
        <f aca="false">IF(C5793="","",C5793*D5793/100)</f>
        <v/>
      </c>
      <c r="F5793" s="15" t="str">
        <f aca="false">IF(B5793&lt;5,"Go","Standard")</f>
        <v>Go</v>
      </c>
    </row>
    <row r="5794" customFormat="false" ht="15" hidden="false" customHeight="true" outlineLevel="0" collapsed="false">
      <c r="A5794" s="10" t="n">
        <f aca="false">Einstellungen!$B$5+INT((ROW()-9)/24)</f>
        <v>46207</v>
      </c>
      <c r="B5794" s="11" t="n">
        <f aca="false">MOD(ROW()-9,24)</f>
        <v>1</v>
      </c>
      <c r="C5794" s="12"/>
      <c r="D5794" s="13" t="n">
        <f aca="false">IF(B5794&lt;5,Einstellungen!$B$3,Einstellungen!$B$4)</f>
        <v>15.92</v>
      </c>
      <c r="E5794" s="14" t="str">
        <f aca="false">IF(C5794="","",C5794*D5794/100)</f>
        <v/>
      </c>
      <c r="F5794" s="15" t="str">
        <f aca="false">IF(B5794&lt;5,"Go","Standard")</f>
        <v>Go</v>
      </c>
    </row>
    <row r="5795" customFormat="false" ht="15" hidden="false" customHeight="true" outlineLevel="0" collapsed="false">
      <c r="A5795" s="10" t="n">
        <f aca="false">Einstellungen!$B$5+INT((ROW()-9)/24)</f>
        <v>46207</v>
      </c>
      <c r="B5795" s="11" t="n">
        <f aca="false">MOD(ROW()-9,24)</f>
        <v>2</v>
      </c>
      <c r="C5795" s="12"/>
      <c r="D5795" s="13" t="n">
        <f aca="false">IF(B5795&lt;5,Einstellungen!$B$3,Einstellungen!$B$4)</f>
        <v>15.92</v>
      </c>
      <c r="E5795" s="14" t="str">
        <f aca="false">IF(C5795="","",C5795*D5795/100)</f>
        <v/>
      </c>
      <c r="F5795" s="15" t="str">
        <f aca="false">IF(B5795&lt;5,"Go","Standard")</f>
        <v>Go</v>
      </c>
    </row>
    <row r="5796" customFormat="false" ht="15" hidden="false" customHeight="true" outlineLevel="0" collapsed="false">
      <c r="A5796" s="10" t="n">
        <f aca="false">Einstellungen!$B$5+INT((ROW()-9)/24)</f>
        <v>46207</v>
      </c>
      <c r="B5796" s="11" t="n">
        <f aca="false">MOD(ROW()-9,24)</f>
        <v>3</v>
      </c>
      <c r="C5796" s="12"/>
      <c r="D5796" s="13" t="n">
        <f aca="false">IF(B5796&lt;5,Einstellungen!$B$3,Einstellungen!$B$4)</f>
        <v>15.92</v>
      </c>
      <c r="E5796" s="14" t="str">
        <f aca="false">IF(C5796="","",C5796*D5796/100)</f>
        <v/>
      </c>
      <c r="F5796" s="15" t="str">
        <f aca="false">IF(B5796&lt;5,"Go","Standard")</f>
        <v>Go</v>
      </c>
    </row>
    <row r="5797" customFormat="false" ht="15" hidden="false" customHeight="true" outlineLevel="0" collapsed="false">
      <c r="A5797" s="10" t="n">
        <f aca="false">Einstellungen!$B$5+INT((ROW()-9)/24)</f>
        <v>46207</v>
      </c>
      <c r="B5797" s="11" t="n">
        <f aca="false">MOD(ROW()-9,24)</f>
        <v>4</v>
      </c>
      <c r="C5797" s="12"/>
      <c r="D5797" s="13" t="n">
        <f aca="false">IF(B5797&lt;5,Einstellungen!$B$3,Einstellungen!$B$4)</f>
        <v>15.92</v>
      </c>
      <c r="E5797" s="14" t="str">
        <f aca="false">IF(C5797="","",C5797*D5797/100)</f>
        <v/>
      </c>
      <c r="F5797" s="15" t="str">
        <f aca="false">IF(B5797&lt;5,"Go","Standard")</f>
        <v>Go</v>
      </c>
    </row>
    <row r="5798" customFormat="false" ht="15" hidden="false" customHeight="true" outlineLevel="0" collapsed="false">
      <c r="A5798" s="10" t="n">
        <f aca="false">Einstellungen!$B$5+INT((ROW()-9)/24)</f>
        <v>46207</v>
      </c>
      <c r="B5798" s="11" t="n">
        <f aca="false">MOD(ROW()-9,24)</f>
        <v>5</v>
      </c>
      <c r="C5798" s="12"/>
      <c r="D5798" s="13" t="n">
        <f aca="false">IF(B5798&lt;5,Einstellungen!$B$3,Einstellungen!$B$4)</f>
        <v>29.13</v>
      </c>
      <c r="E5798" s="14" t="str">
        <f aca="false">IF(C5798="","",C5798*D5798/100)</f>
        <v/>
      </c>
      <c r="F5798" s="15" t="str">
        <f aca="false">IF(B5798&lt;5,"Go","Standard")</f>
        <v>Standard</v>
      </c>
    </row>
    <row r="5799" customFormat="false" ht="15" hidden="false" customHeight="true" outlineLevel="0" collapsed="false">
      <c r="A5799" s="10" t="n">
        <f aca="false">Einstellungen!$B$5+INT((ROW()-9)/24)</f>
        <v>46207</v>
      </c>
      <c r="B5799" s="11" t="n">
        <f aca="false">MOD(ROW()-9,24)</f>
        <v>6</v>
      </c>
      <c r="C5799" s="12"/>
      <c r="D5799" s="13" t="n">
        <f aca="false">IF(B5799&lt;5,Einstellungen!$B$3,Einstellungen!$B$4)</f>
        <v>29.13</v>
      </c>
      <c r="E5799" s="14" t="str">
        <f aca="false">IF(C5799="","",C5799*D5799/100)</f>
        <v/>
      </c>
      <c r="F5799" s="15" t="str">
        <f aca="false">IF(B5799&lt;5,"Go","Standard")</f>
        <v>Standard</v>
      </c>
    </row>
    <row r="5800" customFormat="false" ht="15" hidden="false" customHeight="true" outlineLevel="0" collapsed="false">
      <c r="A5800" s="10" t="n">
        <f aca="false">Einstellungen!$B$5+INT((ROW()-9)/24)</f>
        <v>46207</v>
      </c>
      <c r="B5800" s="11" t="n">
        <f aca="false">MOD(ROW()-9,24)</f>
        <v>7</v>
      </c>
      <c r="C5800" s="12"/>
      <c r="D5800" s="13" t="n">
        <f aca="false">IF(B5800&lt;5,Einstellungen!$B$3,Einstellungen!$B$4)</f>
        <v>29.13</v>
      </c>
      <c r="E5800" s="14" t="str">
        <f aca="false">IF(C5800="","",C5800*D5800/100)</f>
        <v/>
      </c>
      <c r="F5800" s="15" t="str">
        <f aca="false">IF(B5800&lt;5,"Go","Standard")</f>
        <v>Standard</v>
      </c>
    </row>
    <row r="5801" customFormat="false" ht="15" hidden="false" customHeight="true" outlineLevel="0" collapsed="false">
      <c r="A5801" s="10" t="n">
        <f aca="false">Einstellungen!$B$5+INT((ROW()-9)/24)</f>
        <v>46207</v>
      </c>
      <c r="B5801" s="11" t="n">
        <f aca="false">MOD(ROW()-9,24)</f>
        <v>8</v>
      </c>
      <c r="C5801" s="12"/>
      <c r="D5801" s="13" t="n">
        <f aca="false">IF(B5801&lt;5,Einstellungen!$B$3,Einstellungen!$B$4)</f>
        <v>29.13</v>
      </c>
      <c r="E5801" s="14" t="str">
        <f aca="false">IF(C5801="","",C5801*D5801/100)</f>
        <v/>
      </c>
      <c r="F5801" s="15" t="str">
        <f aca="false">IF(B5801&lt;5,"Go","Standard")</f>
        <v>Standard</v>
      </c>
    </row>
    <row r="5802" customFormat="false" ht="15" hidden="false" customHeight="true" outlineLevel="0" collapsed="false">
      <c r="A5802" s="10" t="n">
        <f aca="false">Einstellungen!$B$5+INT((ROW()-9)/24)</f>
        <v>46207</v>
      </c>
      <c r="B5802" s="11" t="n">
        <f aca="false">MOD(ROW()-9,24)</f>
        <v>9</v>
      </c>
      <c r="C5802" s="12"/>
      <c r="D5802" s="13" t="n">
        <f aca="false">IF(B5802&lt;5,Einstellungen!$B$3,Einstellungen!$B$4)</f>
        <v>29.13</v>
      </c>
      <c r="E5802" s="14" t="str">
        <f aca="false">IF(C5802="","",C5802*D5802/100)</f>
        <v/>
      </c>
      <c r="F5802" s="15" t="str">
        <f aca="false">IF(B5802&lt;5,"Go","Standard")</f>
        <v>Standard</v>
      </c>
    </row>
    <row r="5803" customFormat="false" ht="15" hidden="false" customHeight="true" outlineLevel="0" collapsed="false">
      <c r="A5803" s="10" t="n">
        <f aca="false">Einstellungen!$B$5+INT((ROW()-9)/24)</f>
        <v>46207</v>
      </c>
      <c r="B5803" s="11" t="n">
        <f aca="false">MOD(ROW()-9,24)</f>
        <v>10</v>
      </c>
      <c r="C5803" s="12"/>
      <c r="D5803" s="13" t="n">
        <f aca="false">IF(B5803&lt;5,Einstellungen!$B$3,Einstellungen!$B$4)</f>
        <v>29.13</v>
      </c>
      <c r="E5803" s="14" t="str">
        <f aca="false">IF(C5803="","",C5803*D5803/100)</f>
        <v/>
      </c>
      <c r="F5803" s="15" t="str">
        <f aca="false">IF(B5803&lt;5,"Go","Standard")</f>
        <v>Standard</v>
      </c>
    </row>
    <row r="5804" customFormat="false" ht="15" hidden="false" customHeight="true" outlineLevel="0" collapsed="false">
      <c r="A5804" s="10" t="n">
        <f aca="false">Einstellungen!$B$5+INT((ROW()-9)/24)</f>
        <v>46207</v>
      </c>
      <c r="B5804" s="11" t="n">
        <f aca="false">MOD(ROW()-9,24)</f>
        <v>11</v>
      </c>
      <c r="C5804" s="12"/>
      <c r="D5804" s="13" t="n">
        <f aca="false">IF(B5804&lt;5,Einstellungen!$B$3,Einstellungen!$B$4)</f>
        <v>29.13</v>
      </c>
      <c r="E5804" s="14" t="str">
        <f aca="false">IF(C5804="","",C5804*D5804/100)</f>
        <v/>
      </c>
      <c r="F5804" s="15" t="str">
        <f aca="false">IF(B5804&lt;5,"Go","Standard")</f>
        <v>Standard</v>
      </c>
    </row>
    <row r="5805" customFormat="false" ht="15" hidden="false" customHeight="true" outlineLevel="0" collapsed="false">
      <c r="A5805" s="10" t="n">
        <f aca="false">Einstellungen!$B$5+INT((ROW()-9)/24)</f>
        <v>46207</v>
      </c>
      <c r="B5805" s="11" t="n">
        <f aca="false">MOD(ROW()-9,24)</f>
        <v>12</v>
      </c>
      <c r="C5805" s="12"/>
      <c r="D5805" s="13" t="n">
        <f aca="false">IF(B5805&lt;5,Einstellungen!$B$3,Einstellungen!$B$4)</f>
        <v>29.13</v>
      </c>
      <c r="E5805" s="14" t="str">
        <f aca="false">IF(C5805="","",C5805*D5805/100)</f>
        <v/>
      </c>
      <c r="F5805" s="15" t="str">
        <f aca="false">IF(B5805&lt;5,"Go","Standard")</f>
        <v>Standard</v>
      </c>
    </row>
    <row r="5806" customFormat="false" ht="15" hidden="false" customHeight="true" outlineLevel="0" collapsed="false">
      <c r="A5806" s="10" t="n">
        <f aca="false">Einstellungen!$B$5+INT((ROW()-9)/24)</f>
        <v>46207</v>
      </c>
      <c r="B5806" s="11" t="n">
        <f aca="false">MOD(ROW()-9,24)</f>
        <v>13</v>
      </c>
      <c r="C5806" s="12"/>
      <c r="D5806" s="13" t="n">
        <f aca="false">IF(B5806&lt;5,Einstellungen!$B$3,Einstellungen!$B$4)</f>
        <v>29.13</v>
      </c>
      <c r="E5806" s="14" t="str">
        <f aca="false">IF(C5806="","",C5806*D5806/100)</f>
        <v/>
      </c>
      <c r="F5806" s="15" t="str">
        <f aca="false">IF(B5806&lt;5,"Go","Standard")</f>
        <v>Standard</v>
      </c>
    </row>
    <row r="5807" customFormat="false" ht="15" hidden="false" customHeight="true" outlineLevel="0" collapsed="false">
      <c r="A5807" s="10" t="n">
        <f aca="false">Einstellungen!$B$5+INT((ROW()-9)/24)</f>
        <v>46207</v>
      </c>
      <c r="B5807" s="11" t="n">
        <f aca="false">MOD(ROW()-9,24)</f>
        <v>14</v>
      </c>
      <c r="C5807" s="12"/>
      <c r="D5807" s="13" t="n">
        <f aca="false">IF(B5807&lt;5,Einstellungen!$B$3,Einstellungen!$B$4)</f>
        <v>29.13</v>
      </c>
      <c r="E5807" s="14" t="str">
        <f aca="false">IF(C5807="","",C5807*D5807/100)</f>
        <v/>
      </c>
      <c r="F5807" s="15" t="str">
        <f aca="false">IF(B5807&lt;5,"Go","Standard")</f>
        <v>Standard</v>
      </c>
    </row>
    <row r="5808" customFormat="false" ht="15" hidden="false" customHeight="true" outlineLevel="0" collapsed="false">
      <c r="A5808" s="10" t="n">
        <f aca="false">Einstellungen!$B$5+INT((ROW()-9)/24)</f>
        <v>46207</v>
      </c>
      <c r="B5808" s="11" t="n">
        <f aca="false">MOD(ROW()-9,24)</f>
        <v>15</v>
      </c>
      <c r="C5808" s="12"/>
      <c r="D5808" s="13" t="n">
        <f aca="false">IF(B5808&lt;5,Einstellungen!$B$3,Einstellungen!$B$4)</f>
        <v>29.13</v>
      </c>
      <c r="E5808" s="14" t="str">
        <f aca="false">IF(C5808="","",C5808*D5808/100)</f>
        <v/>
      </c>
      <c r="F5808" s="15" t="str">
        <f aca="false">IF(B5808&lt;5,"Go","Standard")</f>
        <v>Standard</v>
      </c>
    </row>
    <row r="5809" customFormat="false" ht="15" hidden="false" customHeight="true" outlineLevel="0" collapsed="false">
      <c r="A5809" s="10" t="n">
        <f aca="false">Einstellungen!$B$5+INT((ROW()-9)/24)</f>
        <v>46207</v>
      </c>
      <c r="B5809" s="11" t="n">
        <f aca="false">MOD(ROW()-9,24)</f>
        <v>16</v>
      </c>
      <c r="C5809" s="12"/>
      <c r="D5809" s="13" t="n">
        <f aca="false">IF(B5809&lt;5,Einstellungen!$B$3,Einstellungen!$B$4)</f>
        <v>29.13</v>
      </c>
      <c r="E5809" s="14" t="str">
        <f aca="false">IF(C5809="","",C5809*D5809/100)</f>
        <v/>
      </c>
      <c r="F5809" s="15" t="str">
        <f aca="false">IF(B5809&lt;5,"Go","Standard")</f>
        <v>Standard</v>
      </c>
    </row>
    <row r="5810" customFormat="false" ht="15" hidden="false" customHeight="true" outlineLevel="0" collapsed="false">
      <c r="A5810" s="10" t="n">
        <f aca="false">Einstellungen!$B$5+INT((ROW()-9)/24)</f>
        <v>46207</v>
      </c>
      <c r="B5810" s="11" t="n">
        <f aca="false">MOD(ROW()-9,24)</f>
        <v>17</v>
      </c>
      <c r="C5810" s="12"/>
      <c r="D5810" s="13" t="n">
        <f aca="false">IF(B5810&lt;5,Einstellungen!$B$3,Einstellungen!$B$4)</f>
        <v>29.13</v>
      </c>
      <c r="E5810" s="14" t="str">
        <f aca="false">IF(C5810="","",C5810*D5810/100)</f>
        <v/>
      </c>
      <c r="F5810" s="15" t="str">
        <f aca="false">IF(B5810&lt;5,"Go","Standard")</f>
        <v>Standard</v>
      </c>
    </row>
    <row r="5811" customFormat="false" ht="15" hidden="false" customHeight="true" outlineLevel="0" collapsed="false">
      <c r="A5811" s="10" t="n">
        <f aca="false">Einstellungen!$B$5+INT((ROW()-9)/24)</f>
        <v>46207</v>
      </c>
      <c r="B5811" s="11" t="n">
        <f aca="false">MOD(ROW()-9,24)</f>
        <v>18</v>
      </c>
      <c r="C5811" s="12"/>
      <c r="D5811" s="13" t="n">
        <f aca="false">IF(B5811&lt;5,Einstellungen!$B$3,Einstellungen!$B$4)</f>
        <v>29.13</v>
      </c>
      <c r="E5811" s="14" t="str">
        <f aca="false">IF(C5811="","",C5811*D5811/100)</f>
        <v/>
      </c>
      <c r="F5811" s="15" t="str">
        <f aca="false">IF(B5811&lt;5,"Go","Standard")</f>
        <v>Standard</v>
      </c>
    </row>
    <row r="5812" customFormat="false" ht="15" hidden="false" customHeight="true" outlineLevel="0" collapsed="false">
      <c r="A5812" s="10" t="n">
        <f aca="false">Einstellungen!$B$5+INT((ROW()-9)/24)</f>
        <v>46207</v>
      </c>
      <c r="B5812" s="11" t="n">
        <f aca="false">MOD(ROW()-9,24)</f>
        <v>19</v>
      </c>
      <c r="C5812" s="12"/>
      <c r="D5812" s="13" t="n">
        <f aca="false">IF(B5812&lt;5,Einstellungen!$B$3,Einstellungen!$B$4)</f>
        <v>29.13</v>
      </c>
      <c r="E5812" s="14" t="str">
        <f aca="false">IF(C5812="","",C5812*D5812/100)</f>
        <v/>
      </c>
      <c r="F5812" s="15" t="str">
        <f aca="false">IF(B5812&lt;5,"Go","Standard")</f>
        <v>Standard</v>
      </c>
    </row>
    <row r="5813" customFormat="false" ht="15" hidden="false" customHeight="true" outlineLevel="0" collapsed="false">
      <c r="A5813" s="10" t="n">
        <f aca="false">Einstellungen!$B$5+INT((ROW()-9)/24)</f>
        <v>46207</v>
      </c>
      <c r="B5813" s="11" t="n">
        <f aca="false">MOD(ROW()-9,24)</f>
        <v>20</v>
      </c>
      <c r="C5813" s="12"/>
      <c r="D5813" s="13" t="n">
        <f aca="false">IF(B5813&lt;5,Einstellungen!$B$3,Einstellungen!$B$4)</f>
        <v>29.13</v>
      </c>
      <c r="E5813" s="14" t="str">
        <f aca="false">IF(C5813="","",C5813*D5813/100)</f>
        <v/>
      </c>
      <c r="F5813" s="15" t="str">
        <f aca="false">IF(B5813&lt;5,"Go","Standard")</f>
        <v>Standard</v>
      </c>
    </row>
    <row r="5814" customFormat="false" ht="15" hidden="false" customHeight="true" outlineLevel="0" collapsed="false">
      <c r="A5814" s="10" t="n">
        <f aca="false">Einstellungen!$B$5+INT((ROW()-9)/24)</f>
        <v>46207</v>
      </c>
      <c r="B5814" s="11" t="n">
        <f aca="false">MOD(ROW()-9,24)</f>
        <v>21</v>
      </c>
      <c r="C5814" s="12"/>
      <c r="D5814" s="13" t="n">
        <f aca="false">IF(B5814&lt;5,Einstellungen!$B$3,Einstellungen!$B$4)</f>
        <v>29.13</v>
      </c>
      <c r="E5814" s="14" t="str">
        <f aca="false">IF(C5814="","",C5814*D5814/100)</f>
        <v/>
      </c>
      <c r="F5814" s="15" t="str">
        <f aca="false">IF(B5814&lt;5,"Go","Standard")</f>
        <v>Standard</v>
      </c>
    </row>
    <row r="5815" customFormat="false" ht="15" hidden="false" customHeight="true" outlineLevel="0" collapsed="false">
      <c r="A5815" s="10" t="n">
        <f aca="false">Einstellungen!$B$5+INT((ROW()-9)/24)</f>
        <v>46207</v>
      </c>
      <c r="B5815" s="11" t="n">
        <f aca="false">MOD(ROW()-9,24)</f>
        <v>22</v>
      </c>
      <c r="C5815" s="12"/>
      <c r="D5815" s="13" t="n">
        <f aca="false">IF(B5815&lt;5,Einstellungen!$B$3,Einstellungen!$B$4)</f>
        <v>29.13</v>
      </c>
      <c r="E5815" s="14" t="str">
        <f aca="false">IF(C5815="","",C5815*D5815/100)</f>
        <v/>
      </c>
      <c r="F5815" s="15" t="str">
        <f aca="false">IF(B5815&lt;5,"Go","Standard")</f>
        <v>Standard</v>
      </c>
    </row>
    <row r="5816" customFormat="false" ht="15" hidden="false" customHeight="true" outlineLevel="0" collapsed="false">
      <c r="A5816" s="10" t="n">
        <f aca="false">Einstellungen!$B$5+INT((ROW()-9)/24)</f>
        <v>46207</v>
      </c>
      <c r="B5816" s="11" t="n">
        <f aca="false">MOD(ROW()-9,24)</f>
        <v>23</v>
      </c>
      <c r="C5816" s="12"/>
      <c r="D5816" s="13" t="n">
        <f aca="false">IF(B5816&lt;5,Einstellungen!$B$3,Einstellungen!$B$4)</f>
        <v>29.13</v>
      </c>
      <c r="E5816" s="14" t="str">
        <f aca="false">IF(C5816="","",C5816*D5816/100)</f>
        <v/>
      </c>
      <c r="F5816" s="15" t="str">
        <f aca="false">IF(B5816&lt;5,"Go","Standard")</f>
        <v>Standard</v>
      </c>
    </row>
    <row r="5817" customFormat="false" ht="15" hidden="false" customHeight="true" outlineLevel="0" collapsed="false">
      <c r="A5817" s="10" t="n">
        <f aca="false">Einstellungen!$B$5+INT((ROW()-9)/24)</f>
        <v>46208</v>
      </c>
      <c r="B5817" s="11" t="n">
        <f aca="false">MOD(ROW()-9,24)</f>
        <v>0</v>
      </c>
      <c r="C5817" s="12"/>
      <c r="D5817" s="13" t="n">
        <f aca="false">IF(B5817&lt;5,Einstellungen!$B$3,Einstellungen!$B$4)</f>
        <v>15.92</v>
      </c>
      <c r="E5817" s="14" t="str">
        <f aca="false">IF(C5817="","",C5817*D5817/100)</f>
        <v/>
      </c>
      <c r="F5817" s="15" t="str">
        <f aca="false">IF(B5817&lt;5,"Go","Standard")</f>
        <v>Go</v>
      </c>
    </row>
    <row r="5818" customFormat="false" ht="15" hidden="false" customHeight="true" outlineLevel="0" collapsed="false">
      <c r="A5818" s="10" t="n">
        <f aca="false">Einstellungen!$B$5+INT((ROW()-9)/24)</f>
        <v>46208</v>
      </c>
      <c r="B5818" s="11" t="n">
        <f aca="false">MOD(ROW()-9,24)</f>
        <v>1</v>
      </c>
      <c r="C5818" s="12"/>
      <c r="D5818" s="13" t="n">
        <f aca="false">IF(B5818&lt;5,Einstellungen!$B$3,Einstellungen!$B$4)</f>
        <v>15.92</v>
      </c>
      <c r="E5818" s="14" t="str">
        <f aca="false">IF(C5818="","",C5818*D5818/100)</f>
        <v/>
      </c>
      <c r="F5818" s="15" t="str">
        <f aca="false">IF(B5818&lt;5,"Go","Standard")</f>
        <v>Go</v>
      </c>
    </row>
    <row r="5819" customFormat="false" ht="15" hidden="false" customHeight="true" outlineLevel="0" collapsed="false">
      <c r="A5819" s="10" t="n">
        <f aca="false">Einstellungen!$B$5+INT((ROW()-9)/24)</f>
        <v>46208</v>
      </c>
      <c r="B5819" s="11" t="n">
        <f aca="false">MOD(ROW()-9,24)</f>
        <v>2</v>
      </c>
      <c r="C5819" s="12"/>
      <c r="D5819" s="13" t="n">
        <f aca="false">IF(B5819&lt;5,Einstellungen!$B$3,Einstellungen!$B$4)</f>
        <v>15.92</v>
      </c>
      <c r="E5819" s="14" t="str">
        <f aca="false">IF(C5819="","",C5819*D5819/100)</f>
        <v/>
      </c>
      <c r="F5819" s="15" t="str">
        <f aca="false">IF(B5819&lt;5,"Go","Standard")</f>
        <v>Go</v>
      </c>
    </row>
    <row r="5820" customFormat="false" ht="15" hidden="false" customHeight="true" outlineLevel="0" collapsed="false">
      <c r="A5820" s="10" t="n">
        <f aca="false">Einstellungen!$B$5+INT((ROW()-9)/24)</f>
        <v>46208</v>
      </c>
      <c r="B5820" s="11" t="n">
        <f aca="false">MOD(ROW()-9,24)</f>
        <v>3</v>
      </c>
      <c r="C5820" s="12"/>
      <c r="D5820" s="13" t="n">
        <f aca="false">IF(B5820&lt;5,Einstellungen!$B$3,Einstellungen!$B$4)</f>
        <v>15.92</v>
      </c>
      <c r="E5820" s="14" t="str">
        <f aca="false">IF(C5820="","",C5820*D5820/100)</f>
        <v/>
      </c>
      <c r="F5820" s="15" t="str">
        <f aca="false">IF(B5820&lt;5,"Go","Standard")</f>
        <v>Go</v>
      </c>
    </row>
    <row r="5821" customFormat="false" ht="15" hidden="false" customHeight="true" outlineLevel="0" collapsed="false">
      <c r="A5821" s="10" t="n">
        <f aca="false">Einstellungen!$B$5+INT((ROW()-9)/24)</f>
        <v>46208</v>
      </c>
      <c r="B5821" s="11" t="n">
        <f aca="false">MOD(ROW()-9,24)</f>
        <v>4</v>
      </c>
      <c r="C5821" s="12"/>
      <c r="D5821" s="13" t="n">
        <f aca="false">IF(B5821&lt;5,Einstellungen!$B$3,Einstellungen!$B$4)</f>
        <v>15.92</v>
      </c>
      <c r="E5821" s="14" t="str">
        <f aca="false">IF(C5821="","",C5821*D5821/100)</f>
        <v/>
      </c>
      <c r="F5821" s="15" t="str">
        <f aca="false">IF(B5821&lt;5,"Go","Standard")</f>
        <v>Go</v>
      </c>
    </row>
    <row r="5822" customFormat="false" ht="15" hidden="false" customHeight="true" outlineLevel="0" collapsed="false">
      <c r="A5822" s="10" t="n">
        <f aca="false">Einstellungen!$B$5+INT((ROW()-9)/24)</f>
        <v>46208</v>
      </c>
      <c r="B5822" s="11" t="n">
        <f aca="false">MOD(ROW()-9,24)</f>
        <v>5</v>
      </c>
      <c r="C5822" s="12"/>
      <c r="D5822" s="13" t="n">
        <f aca="false">IF(B5822&lt;5,Einstellungen!$B$3,Einstellungen!$B$4)</f>
        <v>29.13</v>
      </c>
      <c r="E5822" s="14" t="str">
        <f aca="false">IF(C5822="","",C5822*D5822/100)</f>
        <v/>
      </c>
      <c r="F5822" s="15" t="str">
        <f aca="false">IF(B5822&lt;5,"Go","Standard")</f>
        <v>Standard</v>
      </c>
    </row>
    <row r="5823" customFormat="false" ht="15" hidden="false" customHeight="true" outlineLevel="0" collapsed="false">
      <c r="A5823" s="10" t="n">
        <f aca="false">Einstellungen!$B$5+INT((ROW()-9)/24)</f>
        <v>46208</v>
      </c>
      <c r="B5823" s="11" t="n">
        <f aca="false">MOD(ROW()-9,24)</f>
        <v>6</v>
      </c>
      <c r="C5823" s="12"/>
      <c r="D5823" s="13" t="n">
        <f aca="false">IF(B5823&lt;5,Einstellungen!$B$3,Einstellungen!$B$4)</f>
        <v>29.13</v>
      </c>
      <c r="E5823" s="14" t="str">
        <f aca="false">IF(C5823="","",C5823*D5823/100)</f>
        <v/>
      </c>
      <c r="F5823" s="15" t="str">
        <f aca="false">IF(B5823&lt;5,"Go","Standard")</f>
        <v>Standard</v>
      </c>
    </row>
    <row r="5824" customFormat="false" ht="15" hidden="false" customHeight="true" outlineLevel="0" collapsed="false">
      <c r="A5824" s="10" t="n">
        <f aca="false">Einstellungen!$B$5+INT((ROW()-9)/24)</f>
        <v>46208</v>
      </c>
      <c r="B5824" s="11" t="n">
        <f aca="false">MOD(ROW()-9,24)</f>
        <v>7</v>
      </c>
      <c r="C5824" s="12"/>
      <c r="D5824" s="13" t="n">
        <f aca="false">IF(B5824&lt;5,Einstellungen!$B$3,Einstellungen!$B$4)</f>
        <v>29.13</v>
      </c>
      <c r="E5824" s="14" t="str">
        <f aca="false">IF(C5824="","",C5824*D5824/100)</f>
        <v/>
      </c>
      <c r="F5824" s="15" t="str">
        <f aca="false">IF(B5824&lt;5,"Go","Standard")</f>
        <v>Standard</v>
      </c>
    </row>
    <row r="5825" customFormat="false" ht="15" hidden="false" customHeight="true" outlineLevel="0" collapsed="false">
      <c r="A5825" s="10" t="n">
        <f aca="false">Einstellungen!$B$5+INT((ROW()-9)/24)</f>
        <v>46208</v>
      </c>
      <c r="B5825" s="11" t="n">
        <f aca="false">MOD(ROW()-9,24)</f>
        <v>8</v>
      </c>
      <c r="C5825" s="12"/>
      <c r="D5825" s="13" t="n">
        <f aca="false">IF(B5825&lt;5,Einstellungen!$B$3,Einstellungen!$B$4)</f>
        <v>29.13</v>
      </c>
      <c r="E5825" s="14" t="str">
        <f aca="false">IF(C5825="","",C5825*D5825/100)</f>
        <v/>
      </c>
      <c r="F5825" s="15" t="str">
        <f aca="false">IF(B5825&lt;5,"Go","Standard")</f>
        <v>Standard</v>
      </c>
    </row>
    <row r="5826" customFormat="false" ht="15" hidden="false" customHeight="true" outlineLevel="0" collapsed="false">
      <c r="A5826" s="10" t="n">
        <f aca="false">Einstellungen!$B$5+INT((ROW()-9)/24)</f>
        <v>46208</v>
      </c>
      <c r="B5826" s="11" t="n">
        <f aca="false">MOD(ROW()-9,24)</f>
        <v>9</v>
      </c>
      <c r="C5826" s="12"/>
      <c r="D5826" s="13" t="n">
        <f aca="false">IF(B5826&lt;5,Einstellungen!$B$3,Einstellungen!$B$4)</f>
        <v>29.13</v>
      </c>
      <c r="E5826" s="14" t="str">
        <f aca="false">IF(C5826="","",C5826*D5826/100)</f>
        <v/>
      </c>
      <c r="F5826" s="15" t="str">
        <f aca="false">IF(B5826&lt;5,"Go","Standard")</f>
        <v>Standard</v>
      </c>
    </row>
    <row r="5827" customFormat="false" ht="15" hidden="false" customHeight="true" outlineLevel="0" collapsed="false">
      <c r="A5827" s="10" t="n">
        <f aca="false">Einstellungen!$B$5+INT((ROW()-9)/24)</f>
        <v>46208</v>
      </c>
      <c r="B5827" s="11" t="n">
        <f aca="false">MOD(ROW()-9,24)</f>
        <v>10</v>
      </c>
      <c r="C5827" s="12"/>
      <c r="D5827" s="13" t="n">
        <f aca="false">IF(B5827&lt;5,Einstellungen!$B$3,Einstellungen!$B$4)</f>
        <v>29.13</v>
      </c>
      <c r="E5827" s="14" t="str">
        <f aca="false">IF(C5827="","",C5827*D5827/100)</f>
        <v/>
      </c>
      <c r="F5827" s="15" t="str">
        <f aca="false">IF(B5827&lt;5,"Go","Standard")</f>
        <v>Standard</v>
      </c>
    </row>
    <row r="5828" customFormat="false" ht="15" hidden="false" customHeight="true" outlineLevel="0" collapsed="false">
      <c r="A5828" s="10" t="n">
        <f aca="false">Einstellungen!$B$5+INT((ROW()-9)/24)</f>
        <v>46208</v>
      </c>
      <c r="B5828" s="11" t="n">
        <f aca="false">MOD(ROW()-9,24)</f>
        <v>11</v>
      </c>
      <c r="C5828" s="12"/>
      <c r="D5828" s="13" t="n">
        <f aca="false">IF(B5828&lt;5,Einstellungen!$B$3,Einstellungen!$B$4)</f>
        <v>29.13</v>
      </c>
      <c r="E5828" s="14" t="str">
        <f aca="false">IF(C5828="","",C5828*D5828/100)</f>
        <v/>
      </c>
      <c r="F5828" s="15" t="str">
        <f aca="false">IF(B5828&lt;5,"Go","Standard")</f>
        <v>Standard</v>
      </c>
    </row>
    <row r="5829" customFormat="false" ht="15" hidden="false" customHeight="true" outlineLevel="0" collapsed="false">
      <c r="A5829" s="10" t="n">
        <f aca="false">Einstellungen!$B$5+INT((ROW()-9)/24)</f>
        <v>46208</v>
      </c>
      <c r="B5829" s="11" t="n">
        <f aca="false">MOD(ROW()-9,24)</f>
        <v>12</v>
      </c>
      <c r="C5829" s="12"/>
      <c r="D5829" s="13" t="n">
        <f aca="false">IF(B5829&lt;5,Einstellungen!$B$3,Einstellungen!$B$4)</f>
        <v>29.13</v>
      </c>
      <c r="E5829" s="14" t="str">
        <f aca="false">IF(C5829="","",C5829*D5829/100)</f>
        <v/>
      </c>
      <c r="F5829" s="15" t="str">
        <f aca="false">IF(B5829&lt;5,"Go","Standard")</f>
        <v>Standard</v>
      </c>
    </row>
    <row r="5830" customFormat="false" ht="15" hidden="false" customHeight="true" outlineLevel="0" collapsed="false">
      <c r="A5830" s="10" t="n">
        <f aca="false">Einstellungen!$B$5+INT((ROW()-9)/24)</f>
        <v>46208</v>
      </c>
      <c r="B5830" s="11" t="n">
        <f aca="false">MOD(ROW()-9,24)</f>
        <v>13</v>
      </c>
      <c r="C5830" s="12"/>
      <c r="D5830" s="13" t="n">
        <f aca="false">IF(B5830&lt;5,Einstellungen!$B$3,Einstellungen!$B$4)</f>
        <v>29.13</v>
      </c>
      <c r="E5830" s="14" t="str">
        <f aca="false">IF(C5830="","",C5830*D5830/100)</f>
        <v/>
      </c>
      <c r="F5830" s="15" t="str">
        <f aca="false">IF(B5830&lt;5,"Go","Standard")</f>
        <v>Standard</v>
      </c>
    </row>
    <row r="5831" customFormat="false" ht="15" hidden="false" customHeight="true" outlineLevel="0" collapsed="false">
      <c r="A5831" s="10" t="n">
        <f aca="false">Einstellungen!$B$5+INT((ROW()-9)/24)</f>
        <v>46208</v>
      </c>
      <c r="B5831" s="11" t="n">
        <f aca="false">MOD(ROW()-9,24)</f>
        <v>14</v>
      </c>
      <c r="C5831" s="12"/>
      <c r="D5831" s="13" t="n">
        <f aca="false">IF(B5831&lt;5,Einstellungen!$B$3,Einstellungen!$B$4)</f>
        <v>29.13</v>
      </c>
      <c r="E5831" s="14" t="str">
        <f aca="false">IF(C5831="","",C5831*D5831/100)</f>
        <v/>
      </c>
      <c r="F5831" s="15" t="str">
        <f aca="false">IF(B5831&lt;5,"Go","Standard")</f>
        <v>Standard</v>
      </c>
    </row>
    <row r="5832" customFormat="false" ht="15" hidden="false" customHeight="true" outlineLevel="0" collapsed="false">
      <c r="A5832" s="10" t="n">
        <f aca="false">Einstellungen!$B$5+INT((ROW()-9)/24)</f>
        <v>46208</v>
      </c>
      <c r="B5832" s="11" t="n">
        <f aca="false">MOD(ROW()-9,24)</f>
        <v>15</v>
      </c>
      <c r="C5832" s="12"/>
      <c r="D5832" s="13" t="n">
        <f aca="false">IF(B5832&lt;5,Einstellungen!$B$3,Einstellungen!$B$4)</f>
        <v>29.13</v>
      </c>
      <c r="E5832" s="14" t="str">
        <f aca="false">IF(C5832="","",C5832*D5832/100)</f>
        <v/>
      </c>
      <c r="F5832" s="15" t="str">
        <f aca="false">IF(B5832&lt;5,"Go","Standard")</f>
        <v>Standard</v>
      </c>
    </row>
    <row r="5833" customFormat="false" ht="15" hidden="false" customHeight="true" outlineLevel="0" collapsed="false">
      <c r="A5833" s="10" t="n">
        <f aca="false">Einstellungen!$B$5+INT((ROW()-9)/24)</f>
        <v>46208</v>
      </c>
      <c r="B5833" s="11" t="n">
        <f aca="false">MOD(ROW()-9,24)</f>
        <v>16</v>
      </c>
      <c r="C5833" s="12"/>
      <c r="D5833" s="13" t="n">
        <f aca="false">IF(B5833&lt;5,Einstellungen!$B$3,Einstellungen!$B$4)</f>
        <v>29.13</v>
      </c>
      <c r="E5833" s="14" t="str">
        <f aca="false">IF(C5833="","",C5833*D5833/100)</f>
        <v/>
      </c>
      <c r="F5833" s="15" t="str">
        <f aca="false">IF(B5833&lt;5,"Go","Standard")</f>
        <v>Standard</v>
      </c>
    </row>
    <row r="5834" customFormat="false" ht="15" hidden="false" customHeight="true" outlineLevel="0" collapsed="false">
      <c r="A5834" s="10" t="n">
        <f aca="false">Einstellungen!$B$5+INT((ROW()-9)/24)</f>
        <v>46208</v>
      </c>
      <c r="B5834" s="11" t="n">
        <f aca="false">MOD(ROW()-9,24)</f>
        <v>17</v>
      </c>
      <c r="C5834" s="12"/>
      <c r="D5834" s="13" t="n">
        <f aca="false">IF(B5834&lt;5,Einstellungen!$B$3,Einstellungen!$B$4)</f>
        <v>29.13</v>
      </c>
      <c r="E5834" s="14" t="str">
        <f aca="false">IF(C5834="","",C5834*D5834/100)</f>
        <v/>
      </c>
      <c r="F5834" s="15" t="str">
        <f aca="false">IF(B5834&lt;5,"Go","Standard")</f>
        <v>Standard</v>
      </c>
    </row>
    <row r="5835" customFormat="false" ht="15" hidden="false" customHeight="true" outlineLevel="0" collapsed="false">
      <c r="A5835" s="10" t="n">
        <f aca="false">Einstellungen!$B$5+INT((ROW()-9)/24)</f>
        <v>46208</v>
      </c>
      <c r="B5835" s="11" t="n">
        <f aca="false">MOD(ROW()-9,24)</f>
        <v>18</v>
      </c>
      <c r="C5835" s="12"/>
      <c r="D5835" s="13" t="n">
        <f aca="false">IF(B5835&lt;5,Einstellungen!$B$3,Einstellungen!$B$4)</f>
        <v>29.13</v>
      </c>
      <c r="E5835" s="14" t="str">
        <f aca="false">IF(C5835="","",C5835*D5835/100)</f>
        <v/>
      </c>
      <c r="F5835" s="15" t="str">
        <f aca="false">IF(B5835&lt;5,"Go","Standard")</f>
        <v>Standard</v>
      </c>
    </row>
    <row r="5836" customFormat="false" ht="15" hidden="false" customHeight="true" outlineLevel="0" collapsed="false">
      <c r="A5836" s="10" t="n">
        <f aca="false">Einstellungen!$B$5+INT((ROW()-9)/24)</f>
        <v>46208</v>
      </c>
      <c r="B5836" s="11" t="n">
        <f aca="false">MOD(ROW()-9,24)</f>
        <v>19</v>
      </c>
      <c r="C5836" s="12"/>
      <c r="D5836" s="13" t="n">
        <f aca="false">IF(B5836&lt;5,Einstellungen!$B$3,Einstellungen!$B$4)</f>
        <v>29.13</v>
      </c>
      <c r="E5836" s="14" t="str">
        <f aca="false">IF(C5836="","",C5836*D5836/100)</f>
        <v/>
      </c>
      <c r="F5836" s="15" t="str">
        <f aca="false">IF(B5836&lt;5,"Go","Standard")</f>
        <v>Standard</v>
      </c>
    </row>
    <row r="5837" customFormat="false" ht="15" hidden="false" customHeight="true" outlineLevel="0" collapsed="false">
      <c r="A5837" s="10" t="n">
        <f aca="false">Einstellungen!$B$5+INT((ROW()-9)/24)</f>
        <v>46208</v>
      </c>
      <c r="B5837" s="11" t="n">
        <f aca="false">MOD(ROW()-9,24)</f>
        <v>20</v>
      </c>
      <c r="C5837" s="12"/>
      <c r="D5837" s="13" t="n">
        <f aca="false">IF(B5837&lt;5,Einstellungen!$B$3,Einstellungen!$B$4)</f>
        <v>29.13</v>
      </c>
      <c r="E5837" s="14" t="str">
        <f aca="false">IF(C5837="","",C5837*D5837/100)</f>
        <v/>
      </c>
      <c r="F5837" s="15" t="str">
        <f aca="false">IF(B5837&lt;5,"Go","Standard")</f>
        <v>Standard</v>
      </c>
    </row>
    <row r="5838" customFormat="false" ht="15" hidden="false" customHeight="true" outlineLevel="0" collapsed="false">
      <c r="A5838" s="10" t="n">
        <f aca="false">Einstellungen!$B$5+INT((ROW()-9)/24)</f>
        <v>46208</v>
      </c>
      <c r="B5838" s="11" t="n">
        <f aca="false">MOD(ROW()-9,24)</f>
        <v>21</v>
      </c>
      <c r="C5838" s="12"/>
      <c r="D5838" s="13" t="n">
        <f aca="false">IF(B5838&lt;5,Einstellungen!$B$3,Einstellungen!$B$4)</f>
        <v>29.13</v>
      </c>
      <c r="E5838" s="14" t="str">
        <f aca="false">IF(C5838="","",C5838*D5838/100)</f>
        <v/>
      </c>
      <c r="F5838" s="15" t="str">
        <f aca="false">IF(B5838&lt;5,"Go","Standard")</f>
        <v>Standard</v>
      </c>
    </row>
    <row r="5839" customFormat="false" ht="15" hidden="false" customHeight="true" outlineLevel="0" collapsed="false">
      <c r="A5839" s="10" t="n">
        <f aca="false">Einstellungen!$B$5+INT((ROW()-9)/24)</f>
        <v>46208</v>
      </c>
      <c r="B5839" s="11" t="n">
        <f aca="false">MOD(ROW()-9,24)</f>
        <v>22</v>
      </c>
      <c r="C5839" s="12"/>
      <c r="D5839" s="13" t="n">
        <f aca="false">IF(B5839&lt;5,Einstellungen!$B$3,Einstellungen!$B$4)</f>
        <v>29.13</v>
      </c>
      <c r="E5839" s="14" t="str">
        <f aca="false">IF(C5839="","",C5839*D5839/100)</f>
        <v/>
      </c>
      <c r="F5839" s="15" t="str">
        <f aca="false">IF(B5839&lt;5,"Go","Standard")</f>
        <v>Standard</v>
      </c>
    </row>
    <row r="5840" customFormat="false" ht="15" hidden="false" customHeight="true" outlineLevel="0" collapsed="false">
      <c r="A5840" s="10" t="n">
        <f aca="false">Einstellungen!$B$5+INT((ROW()-9)/24)</f>
        <v>46208</v>
      </c>
      <c r="B5840" s="11" t="n">
        <f aca="false">MOD(ROW()-9,24)</f>
        <v>23</v>
      </c>
      <c r="C5840" s="12"/>
      <c r="D5840" s="13" t="n">
        <f aca="false">IF(B5840&lt;5,Einstellungen!$B$3,Einstellungen!$B$4)</f>
        <v>29.13</v>
      </c>
      <c r="E5840" s="14" t="str">
        <f aca="false">IF(C5840="","",C5840*D5840/100)</f>
        <v/>
      </c>
      <c r="F5840" s="15" t="str">
        <f aca="false">IF(B5840&lt;5,"Go","Standard")</f>
        <v>Standard</v>
      </c>
    </row>
    <row r="5841" customFormat="false" ht="15" hidden="false" customHeight="true" outlineLevel="0" collapsed="false">
      <c r="A5841" s="10" t="n">
        <f aca="false">Einstellungen!$B$5+INT((ROW()-9)/24)</f>
        <v>46209</v>
      </c>
      <c r="B5841" s="11" t="n">
        <f aca="false">MOD(ROW()-9,24)</f>
        <v>0</v>
      </c>
      <c r="C5841" s="12"/>
      <c r="D5841" s="13" t="n">
        <f aca="false">IF(B5841&lt;5,Einstellungen!$B$3,Einstellungen!$B$4)</f>
        <v>15.92</v>
      </c>
      <c r="E5841" s="14" t="str">
        <f aca="false">IF(C5841="","",C5841*D5841/100)</f>
        <v/>
      </c>
      <c r="F5841" s="15" t="str">
        <f aca="false">IF(B5841&lt;5,"Go","Standard")</f>
        <v>Go</v>
      </c>
    </row>
    <row r="5842" customFormat="false" ht="15" hidden="false" customHeight="true" outlineLevel="0" collapsed="false">
      <c r="A5842" s="10" t="n">
        <f aca="false">Einstellungen!$B$5+INT((ROW()-9)/24)</f>
        <v>46209</v>
      </c>
      <c r="B5842" s="11" t="n">
        <f aca="false">MOD(ROW()-9,24)</f>
        <v>1</v>
      </c>
      <c r="C5842" s="12"/>
      <c r="D5842" s="13" t="n">
        <f aca="false">IF(B5842&lt;5,Einstellungen!$B$3,Einstellungen!$B$4)</f>
        <v>15.92</v>
      </c>
      <c r="E5842" s="14" t="str">
        <f aca="false">IF(C5842="","",C5842*D5842/100)</f>
        <v/>
      </c>
      <c r="F5842" s="15" t="str">
        <f aca="false">IF(B5842&lt;5,"Go","Standard")</f>
        <v>Go</v>
      </c>
    </row>
    <row r="5843" customFormat="false" ht="15" hidden="false" customHeight="true" outlineLevel="0" collapsed="false">
      <c r="A5843" s="10" t="n">
        <f aca="false">Einstellungen!$B$5+INT((ROW()-9)/24)</f>
        <v>46209</v>
      </c>
      <c r="B5843" s="11" t="n">
        <f aca="false">MOD(ROW()-9,24)</f>
        <v>2</v>
      </c>
      <c r="C5843" s="12"/>
      <c r="D5843" s="13" t="n">
        <f aca="false">IF(B5843&lt;5,Einstellungen!$B$3,Einstellungen!$B$4)</f>
        <v>15.92</v>
      </c>
      <c r="E5843" s="14" t="str">
        <f aca="false">IF(C5843="","",C5843*D5843/100)</f>
        <v/>
      </c>
      <c r="F5843" s="15" t="str">
        <f aca="false">IF(B5843&lt;5,"Go","Standard")</f>
        <v>Go</v>
      </c>
    </row>
    <row r="5844" customFormat="false" ht="15" hidden="false" customHeight="true" outlineLevel="0" collapsed="false">
      <c r="A5844" s="10" t="n">
        <f aca="false">Einstellungen!$B$5+INT((ROW()-9)/24)</f>
        <v>46209</v>
      </c>
      <c r="B5844" s="11" t="n">
        <f aca="false">MOD(ROW()-9,24)</f>
        <v>3</v>
      </c>
      <c r="C5844" s="12"/>
      <c r="D5844" s="13" t="n">
        <f aca="false">IF(B5844&lt;5,Einstellungen!$B$3,Einstellungen!$B$4)</f>
        <v>15.92</v>
      </c>
      <c r="E5844" s="14" t="str">
        <f aca="false">IF(C5844="","",C5844*D5844/100)</f>
        <v/>
      </c>
      <c r="F5844" s="15" t="str">
        <f aca="false">IF(B5844&lt;5,"Go","Standard")</f>
        <v>Go</v>
      </c>
    </row>
    <row r="5845" customFormat="false" ht="15" hidden="false" customHeight="true" outlineLevel="0" collapsed="false">
      <c r="A5845" s="10" t="n">
        <f aca="false">Einstellungen!$B$5+INT((ROW()-9)/24)</f>
        <v>46209</v>
      </c>
      <c r="B5845" s="11" t="n">
        <f aca="false">MOD(ROW()-9,24)</f>
        <v>4</v>
      </c>
      <c r="C5845" s="12"/>
      <c r="D5845" s="13" t="n">
        <f aca="false">IF(B5845&lt;5,Einstellungen!$B$3,Einstellungen!$B$4)</f>
        <v>15.92</v>
      </c>
      <c r="E5845" s="14" t="str">
        <f aca="false">IF(C5845="","",C5845*D5845/100)</f>
        <v/>
      </c>
      <c r="F5845" s="15" t="str">
        <f aca="false">IF(B5845&lt;5,"Go","Standard")</f>
        <v>Go</v>
      </c>
    </row>
    <row r="5846" customFormat="false" ht="15" hidden="false" customHeight="true" outlineLevel="0" collapsed="false">
      <c r="A5846" s="10" t="n">
        <f aca="false">Einstellungen!$B$5+INT((ROW()-9)/24)</f>
        <v>46209</v>
      </c>
      <c r="B5846" s="11" t="n">
        <f aca="false">MOD(ROW()-9,24)</f>
        <v>5</v>
      </c>
      <c r="C5846" s="12"/>
      <c r="D5846" s="13" t="n">
        <f aca="false">IF(B5846&lt;5,Einstellungen!$B$3,Einstellungen!$B$4)</f>
        <v>29.13</v>
      </c>
      <c r="E5846" s="14" t="str">
        <f aca="false">IF(C5846="","",C5846*D5846/100)</f>
        <v/>
      </c>
      <c r="F5846" s="15" t="str">
        <f aca="false">IF(B5846&lt;5,"Go","Standard")</f>
        <v>Standard</v>
      </c>
    </row>
    <row r="5847" customFormat="false" ht="15" hidden="false" customHeight="true" outlineLevel="0" collapsed="false">
      <c r="A5847" s="10" t="n">
        <f aca="false">Einstellungen!$B$5+INT((ROW()-9)/24)</f>
        <v>46209</v>
      </c>
      <c r="B5847" s="11" t="n">
        <f aca="false">MOD(ROW()-9,24)</f>
        <v>6</v>
      </c>
      <c r="C5847" s="12"/>
      <c r="D5847" s="13" t="n">
        <f aca="false">IF(B5847&lt;5,Einstellungen!$B$3,Einstellungen!$B$4)</f>
        <v>29.13</v>
      </c>
      <c r="E5847" s="14" t="str">
        <f aca="false">IF(C5847="","",C5847*D5847/100)</f>
        <v/>
      </c>
      <c r="F5847" s="15" t="str">
        <f aca="false">IF(B5847&lt;5,"Go","Standard")</f>
        <v>Standard</v>
      </c>
    </row>
    <row r="5848" customFormat="false" ht="15" hidden="false" customHeight="true" outlineLevel="0" collapsed="false">
      <c r="A5848" s="10" t="n">
        <f aca="false">Einstellungen!$B$5+INT((ROW()-9)/24)</f>
        <v>46209</v>
      </c>
      <c r="B5848" s="11" t="n">
        <f aca="false">MOD(ROW()-9,24)</f>
        <v>7</v>
      </c>
      <c r="C5848" s="12"/>
      <c r="D5848" s="13" t="n">
        <f aca="false">IF(B5848&lt;5,Einstellungen!$B$3,Einstellungen!$B$4)</f>
        <v>29.13</v>
      </c>
      <c r="E5848" s="14" t="str">
        <f aca="false">IF(C5848="","",C5848*D5848/100)</f>
        <v/>
      </c>
      <c r="F5848" s="15" t="str">
        <f aca="false">IF(B5848&lt;5,"Go","Standard")</f>
        <v>Standard</v>
      </c>
    </row>
    <row r="5849" customFormat="false" ht="15" hidden="false" customHeight="true" outlineLevel="0" collapsed="false">
      <c r="A5849" s="10" t="n">
        <f aca="false">Einstellungen!$B$5+INT((ROW()-9)/24)</f>
        <v>46209</v>
      </c>
      <c r="B5849" s="11" t="n">
        <f aca="false">MOD(ROW()-9,24)</f>
        <v>8</v>
      </c>
      <c r="C5849" s="12"/>
      <c r="D5849" s="13" t="n">
        <f aca="false">IF(B5849&lt;5,Einstellungen!$B$3,Einstellungen!$B$4)</f>
        <v>29.13</v>
      </c>
      <c r="E5849" s="14" t="str">
        <f aca="false">IF(C5849="","",C5849*D5849/100)</f>
        <v/>
      </c>
      <c r="F5849" s="15" t="str">
        <f aca="false">IF(B5849&lt;5,"Go","Standard")</f>
        <v>Standard</v>
      </c>
    </row>
    <row r="5850" customFormat="false" ht="15" hidden="false" customHeight="true" outlineLevel="0" collapsed="false">
      <c r="A5850" s="10" t="n">
        <f aca="false">Einstellungen!$B$5+INT((ROW()-9)/24)</f>
        <v>46209</v>
      </c>
      <c r="B5850" s="11" t="n">
        <f aca="false">MOD(ROW()-9,24)</f>
        <v>9</v>
      </c>
      <c r="C5850" s="12"/>
      <c r="D5850" s="13" t="n">
        <f aca="false">IF(B5850&lt;5,Einstellungen!$B$3,Einstellungen!$B$4)</f>
        <v>29.13</v>
      </c>
      <c r="E5850" s="14" t="str">
        <f aca="false">IF(C5850="","",C5850*D5850/100)</f>
        <v/>
      </c>
      <c r="F5850" s="15" t="str">
        <f aca="false">IF(B5850&lt;5,"Go","Standard")</f>
        <v>Standard</v>
      </c>
    </row>
    <row r="5851" customFormat="false" ht="15" hidden="false" customHeight="true" outlineLevel="0" collapsed="false">
      <c r="A5851" s="10" t="n">
        <f aca="false">Einstellungen!$B$5+INT((ROW()-9)/24)</f>
        <v>46209</v>
      </c>
      <c r="B5851" s="11" t="n">
        <f aca="false">MOD(ROW()-9,24)</f>
        <v>10</v>
      </c>
      <c r="C5851" s="12"/>
      <c r="D5851" s="13" t="n">
        <f aca="false">IF(B5851&lt;5,Einstellungen!$B$3,Einstellungen!$B$4)</f>
        <v>29.13</v>
      </c>
      <c r="E5851" s="14" t="str">
        <f aca="false">IF(C5851="","",C5851*D5851/100)</f>
        <v/>
      </c>
      <c r="F5851" s="15" t="str">
        <f aca="false">IF(B5851&lt;5,"Go","Standard")</f>
        <v>Standard</v>
      </c>
    </row>
    <row r="5852" customFormat="false" ht="15" hidden="false" customHeight="true" outlineLevel="0" collapsed="false">
      <c r="A5852" s="10" t="n">
        <f aca="false">Einstellungen!$B$5+INT((ROW()-9)/24)</f>
        <v>46209</v>
      </c>
      <c r="B5852" s="11" t="n">
        <f aca="false">MOD(ROW()-9,24)</f>
        <v>11</v>
      </c>
      <c r="C5852" s="12"/>
      <c r="D5852" s="13" t="n">
        <f aca="false">IF(B5852&lt;5,Einstellungen!$B$3,Einstellungen!$B$4)</f>
        <v>29.13</v>
      </c>
      <c r="E5852" s="14" t="str">
        <f aca="false">IF(C5852="","",C5852*D5852/100)</f>
        <v/>
      </c>
      <c r="F5852" s="15" t="str">
        <f aca="false">IF(B5852&lt;5,"Go","Standard")</f>
        <v>Standard</v>
      </c>
    </row>
    <row r="5853" customFormat="false" ht="15" hidden="false" customHeight="true" outlineLevel="0" collapsed="false">
      <c r="A5853" s="10" t="n">
        <f aca="false">Einstellungen!$B$5+INT((ROW()-9)/24)</f>
        <v>46209</v>
      </c>
      <c r="B5853" s="11" t="n">
        <f aca="false">MOD(ROW()-9,24)</f>
        <v>12</v>
      </c>
      <c r="C5853" s="12"/>
      <c r="D5853" s="13" t="n">
        <f aca="false">IF(B5853&lt;5,Einstellungen!$B$3,Einstellungen!$B$4)</f>
        <v>29.13</v>
      </c>
      <c r="E5853" s="14" t="str">
        <f aca="false">IF(C5853="","",C5853*D5853/100)</f>
        <v/>
      </c>
      <c r="F5853" s="15" t="str">
        <f aca="false">IF(B5853&lt;5,"Go","Standard")</f>
        <v>Standard</v>
      </c>
    </row>
    <row r="5854" customFormat="false" ht="15" hidden="false" customHeight="true" outlineLevel="0" collapsed="false">
      <c r="A5854" s="10" t="n">
        <f aca="false">Einstellungen!$B$5+INT((ROW()-9)/24)</f>
        <v>46209</v>
      </c>
      <c r="B5854" s="11" t="n">
        <f aca="false">MOD(ROW()-9,24)</f>
        <v>13</v>
      </c>
      <c r="C5854" s="12"/>
      <c r="D5854" s="13" t="n">
        <f aca="false">IF(B5854&lt;5,Einstellungen!$B$3,Einstellungen!$B$4)</f>
        <v>29.13</v>
      </c>
      <c r="E5854" s="14" t="str">
        <f aca="false">IF(C5854="","",C5854*D5854/100)</f>
        <v/>
      </c>
      <c r="F5854" s="15" t="str">
        <f aca="false">IF(B5854&lt;5,"Go","Standard")</f>
        <v>Standard</v>
      </c>
    </row>
    <row r="5855" customFormat="false" ht="15" hidden="false" customHeight="true" outlineLevel="0" collapsed="false">
      <c r="A5855" s="10" t="n">
        <f aca="false">Einstellungen!$B$5+INT((ROW()-9)/24)</f>
        <v>46209</v>
      </c>
      <c r="B5855" s="11" t="n">
        <f aca="false">MOD(ROW()-9,24)</f>
        <v>14</v>
      </c>
      <c r="C5855" s="12"/>
      <c r="D5855" s="13" t="n">
        <f aca="false">IF(B5855&lt;5,Einstellungen!$B$3,Einstellungen!$B$4)</f>
        <v>29.13</v>
      </c>
      <c r="E5855" s="14" t="str">
        <f aca="false">IF(C5855="","",C5855*D5855/100)</f>
        <v/>
      </c>
      <c r="F5855" s="15" t="str">
        <f aca="false">IF(B5855&lt;5,"Go","Standard")</f>
        <v>Standard</v>
      </c>
    </row>
    <row r="5856" customFormat="false" ht="15" hidden="false" customHeight="true" outlineLevel="0" collapsed="false">
      <c r="A5856" s="10" t="n">
        <f aca="false">Einstellungen!$B$5+INT((ROW()-9)/24)</f>
        <v>46209</v>
      </c>
      <c r="B5856" s="11" t="n">
        <f aca="false">MOD(ROW()-9,24)</f>
        <v>15</v>
      </c>
      <c r="C5856" s="12"/>
      <c r="D5856" s="13" t="n">
        <f aca="false">IF(B5856&lt;5,Einstellungen!$B$3,Einstellungen!$B$4)</f>
        <v>29.13</v>
      </c>
      <c r="E5856" s="14" t="str">
        <f aca="false">IF(C5856="","",C5856*D5856/100)</f>
        <v/>
      </c>
      <c r="F5856" s="15" t="str">
        <f aca="false">IF(B5856&lt;5,"Go","Standard")</f>
        <v>Standard</v>
      </c>
    </row>
    <row r="5857" customFormat="false" ht="15" hidden="false" customHeight="true" outlineLevel="0" collapsed="false">
      <c r="A5857" s="10" t="n">
        <f aca="false">Einstellungen!$B$5+INT((ROW()-9)/24)</f>
        <v>46209</v>
      </c>
      <c r="B5857" s="11" t="n">
        <f aca="false">MOD(ROW()-9,24)</f>
        <v>16</v>
      </c>
      <c r="C5857" s="12"/>
      <c r="D5857" s="13" t="n">
        <f aca="false">IF(B5857&lt;5,Einstellungen!$B$3,Einstellungen!$B$4)</f>
        <v>29.13</v>
      </c>
      <c r="E5857" s="14" t="str">
        <f aca="false">IF(C5857="","",C5857*D5857/100)</f>
        <v/>
      </c>
      <c r="F5857" s="15" t="str">
        <f aca="false">IF(B5857&lt;5,"Go","Standard")</f>
        <v>Standard</v>
      </c>
    </row>
    <row r="5858" customFormat="false" ht="15" hidden="false" customHeight="true" outlineLevel="0" collapsed="false">
      <c r="A5858" s="10" t="n">
        <f aca="false">Einstellungen!$B$5+INT((ROW()-9)/24)</f>
        <v>46209</v>
      </c>
      <c r="B5858" s="11" t="n">
        <f aca="false">MOD(ROW()-9,24)</f>
        <v>17</v>
      </c>
      <c r="C5858" s="12"/>
      <c r="D5858" s="13" t="n">
        <f aca="false">IF(B5858&lt;5,Einstellungen!$B$3,Einstellungen!$B$4)</f>
        <v>29.13</v>
      </c>
      <c r="E5858" s="14" t="str">
        <f aca="false">IF(C5858="","",C5858*D5858/100)</f>
        <v/>
      </c>
      <c r="F5858" s="15" t="str">
        <f aca="false">IF(B5858&lt;5,"Go","Standard")</f>
        <v>Standard</v>
      </c>
    </row>
    <row r="5859" customFormat="false" ht="15" hidden="false" customHeight="true" outlineLevel="0" collapsed="false">
      <c r="A5859" s="10" t="n">
        <f aca="false">Einstellungen!$B$5+INT((ROW()-9)/24)</f>
        <v>46209</v>
      </c>
      <c r="B5859" s="11" t="n">
        <f aca="false">MOD(ROW()-9,24)</f>
        <v>18</v>
      </c>
      <c r="C5859" s="12"/>
      <c r="D5859" s="13" t="n">
        <f aca="false">IF(B5859&lt;5,Einstellungen!$B$3,Einstellungen!$B$4)</f>
        <v>29.13</v>
      </c>
      <c r="E5859" s="14" t="str">
        <f aca="false">IF(C5859="","",C5859*D5859/100)</f>
        <v/>
      </c>
      <c r="F5859" s="15" t="str">
        <f aca="false">IF(B5859&lt;5,"Go","Standard")</f>
        <v>Standard</v>
      </c>
    </row>
    <row r="5860" customFormat="false" ht="15" hidden="false" customHeight="true" outlineLevel="0" collapsed="false">
      <c r="A5860" s="10" t="n">
        <f aca="false">Einstellungen!$B$5+INT((ROW()-9)/24)</f>
        <v>46209</v>
      </c>
      <c r="B5860" s="11" t="n">
        <f aca="false">MOD(ROW()-9,24)</f>
        <v>19</v>
      </c>
      <c r="C5860" s="12"/>
      <c r="D5860" s="13" t="n">
        <f aca="false">IF(B5860&lt;5,Einstellungen!$B$3,Einstellungen!$B$4)</f>
        <v>29.13</v>
      </c>
      <c r="E5860" s="14" t="str">
        <f aca="false">IF(C5860="","",C5860*D5860/100)</f>
        <v/>
      </c>
      <c r="F5860" s="15" t="str">
        <f aca="false">IF(B5860&lt;5,"Go","Standard")</f>
        <v>Standard</v>
      </c>
    </row>
    <row r="5861" customFormat="false" ht="15" hidden="false" customHeight="true" outlineLevel="0" collapsed="false">
      <c r="A5861" s="10" t="n">
        <f aca="false">Einstellungen!$B$5+INT((ROW()-9)/24)</f>
        <v>46209</v>
      </c>
      <c r="B5861" s="11" t="n">
        <f aca="false">MOD(ROW()-9,24)</f>
        <v>20</v>
      </c>
      <c r="C5861" s="12"/>
      <c r="D5861" s="13" t="n">
        <f aca="false">IF(B5861&lt;5,Einstellungen!$B$3,Einstellungen!$B$4)</f>
        <v>29.13</v>
      </c>
      <c r="E5861" s="14" t="str">
        <f aca="false">IF(C5861="","",C5861*D5861/100)</f>
        <v/>
      </c>
      <c r="F5861" s="15" t="str">
        <f aca="false">IF(B5861&lt;5,"Go","Standard")</f>
        <v>Standard</v>
      </c>
    </row>
    <row r="5862" customFormat="false" ht="15" hidden="false" customHeight="true" outlineLevel="0" collapsed="false">
      <c r="A5862" s="10" t="n">
        <f aca="false">Einstellungen!$B$5+INT((ROW()-9)/24)</f>
        <v>46209</v>
      </c>
      <c r="B5862" s="11" t="n">
        <f aca="false">MOD(ROW()-9,24)</f>
        <v>21</v>
      </c>
      <c r="C5862" s="12"/>
      <c r="D5862" s="13" t="n">
        <f aca="false">IF(B5862&lt;5,Einstellungen!$B$3,Einstellungen!$B$4)</f>
        <v>29.13</v>
      </c>
      <c r="E5862" s="14" t="str">
        <f aca="false">IF(C5862="","",C5862*D5862/100)</f>
        <v/>
      </c>
      <c r="F5862" s="15" t="str">
        <f aca="false">IF(B5862&lt;5,"Go","Standard")</f>
        <v>Standard</v>
      </c>
    </row>
    <row r="5863" customFormat="false" ht="15" hidden="false" customHeight="true" outlineLevel="0" collapsed="false">
      <c r="A5863" s="10" t="n">
        <f aca="false">Einstellungen!$B$5+INT((ROW()-9)/24)</f>
        <v>46209</v>
      </c>
      <c r="B5863" s="11" t="n">
        <f aca="false">MOD(ROW()-9,24)</f>
        <v>22</v>
      </c>
      <c r="C5863" s="12"/>
      <c r="D5863" s="13" t="n">
        <f aca="false">IF(B5863&lt;5,Einstellungen!$B$3,Einstellungen!$B$4)</f>
        <v>29.13</v>
      </c>
      <c r="E5863" s="14" t="str">
        <f aca="false">IF(C5863="","",C5863*D5863/100)</f>
        <v/>
      </c>
      <c r="F5863" s="15" t="str">
        <f aca="false">IF(B5863&lt;5,"Go","Standard")</f>
        <v>Standard</v>
      </c>
    </row>
    <row r="5864" customFormat="false" ht="15" hidden="false" customHeight="true" outlineLevel="0" collapsed="false">
      <c r="A5864" s="10" t="n">
        <f aca="false">Einstellungen!$B$5+INT((ROW()-9)/24)</f>
        <v>46209</v>
      </c>
      <c r="B5864" s="11" t="n">
        <f aca="false">MOD(ROW()-9,24)</f>
        <v>23</v>
      </c>
      <c r="C5864" s="12"/>
      <c r="D5864" s="13" t="n">
        <f aca="false">IF(B5864&lt;5,Einstellungen!$B$3,Einstellungen!$B$4)</f>
        <v>29.13</v>
      </c>
      <c r="E5864" s="14" t="str">
        <f aca="false">IF(C5864="","",C5864*D5864/100)</f>
        <v/>
      </c>
      <c r="F5864" s="15" t="str">
        <f aca="false">IF(B5864&lt;5,"Go","Standard")</f>
        <v>Standard</v>
      </c>
    </row>
    <row r="5865" customFormat="false" ht="15" hidden="false" customHeight="true" outlineLevel="0" collapsed="false">
      <c r="A5865" s="10" t="n">
        <f aca="false">Einstellungen!$B$5+INT((ROW()-9)/24)</f>
        <v>46210</v>
      </c>
      <c r="B5865" s="11" t="n">
        <f aca="false">MOD(ROW()-9,24)</f>
        <v>0</v>
      </c>
      <c r="C5865" s="12"/>
      <c r="D5865" s="13" t="n">
        <f aca="false">IF(B5865&lt;5,Einstellungen!$B$3,Einstellungen!$B$4)</f>
        <v>15.92</v>
      </c>
      <c r="E5865" s="14" t="str">
        <f aca="false">IF(C5865="","",C5865*D5865/100)</f>
        <v/>
      </c>
      <c r="F5865" s="15" t="str">
        <f aca="false">IF(B5865&lt;5,"Go","Standard")</f>
        <v>Go</v>
      </c>
    </row>
    <row r="5866" customFormat="false" ht="15" hidden="false" customHeight="true" outlineLevel="0" collapsed="false">
      <c r="A5866" s="10" t="n">
        <f aca="false">Einstellungen!$B$5+INT((ROW()-9)/24)</f>
        <v>46210</v>
      </c>
      <c r="B5866" s="11" t="n">
        <f aca="false">MOD(ROW()-9,24)</f>
        <v>1</v>
      </c>
      <c r="C5866" s="12"/>
      <c r="D5866" s="13" t="n">
        <f aca="false">IF(B5866&lt;5,Einstellungen!$B$3,Einstellungen!$B$4)</f>
        <v>15.92</v>
      </c>
      <c r="E5866" s="14" t="str">
        <f aca="false">IF(C5866="","",C5866*D5866/100)</f>
        <v/>
      </c>
      <c r="F5866" s="15" t="str">
        <f aca="false">IF(B5866&lt;5,"Go","Standard")</f>
        <v>Go</v>
      </c>
    </row>
    <row r="5867" customFormat="false" ht="15" hidden="false" customHeight="true" outlineLevel="0" collapsed="false">
      <c r="A5867" s="10" t="n">
        <f aca="false">Einstellungen!$B$5+INT((ROW()-9)/24)</f>
        <v>46210</v>
      </c>
      <c r="B5867" s="11" t="n">
        <f aca="false">MOD(ROW()-9,24)</f>
        <v>2</v>
      </c>
      <c r="C5867" s="12"/>
      <c r="D5867" s="13" t="n">
        <f aca="false">IF(B5867&lt;5,Einstellungen!$B$3,Einstellungen!$B$4)</f>
        <v>15.92</v>
      </c>
      <c r="E5867" s="14" t="str">
        <f aca="false">IF(C5867="","",C5867*D5867/100)</f>
        <v/>
      </c>
      <c r="F5867" s="15" t="str">
        <f aca="false">IF(B5867&lt;5,"Go","Standard")</f>
        <v>Go</v>
      </c>
    </row>
    <row r="5868" customFormat="false" ht="15" hidden="false" customHeight="true" outlineLevel="0" collapsed="false">
      <c r="A5868" s="10" t="n">
        <f aca="false">Einstellungen!$B$5+INT((ROW()-9)/24)</f>
        <v>46210</v>
      </c>
      <c r="B5868" s="11" t="n">
        <f aca="false">MOD(ROW()-9,24)</f>
        <v>3</v>
      </c>
      <c r="C5868" s="12"/>
      <c r="D5868" s="13" t="n">
        <f aca="false">IF(B5868&lt;5,Einstellungen!$B$3,Einstellungen!$B$4)</f>
        <v>15.92</v>
      </c>
      <c r="E5868" s="14" t="str">
        <f aca="false">IF(C5868="","",C5868*D5868/100)</f>
        <v/>
      </c>
      <c r="F5868" s="15" t="str">
        <f aca="false">IF(B5868&lt;5,"Go","Standard")</f>
        <v>Go</v>
      </c>
    </row>
    <row r="5869" customFormat="false" ht="15" hidden="false" customHeight="true" outlineLevel="0" collapsed="false">
      <c r="A5869" s="10" t="n">
        <f aca="false">Einstellungen!$B$5+INT((ROW()-9)/24)</f>
        <v>46210</v>
      </c>
      <c r="B5869" s="11" t="n">
        <f aca="false">MOD(ROW()-9,24)</f>
        <v>4</v>
      </c>
      <c r="C5869" s="12"/>
      <c r="D5869" s="13" t="n">
        <f aca="false">IF(B5869&lt;5,Einstellungen!$B$3,Einstellungen!$B$4)</f>
        <v>15.92</v>
      </c>
      <c r="E5869" s="14" t="str">
        <f aca="false">IF(C5869="","",C5869*D5869/100)</f>
        <v/>
      </c>
      <c r="F5869" s="15" t="str">
        <f aca="false">IF(B5869&lt;5,"Go","Standard")</f>
        <v>Go</v>
      </c>
    </row>
    <row r="5870" customFormat="false" ht="15" hidden="false" customHeight="true" outlineLevel="0" collapsed="false">
      <c r="A5870" s="10" t="n">
        <f aca="false">Einstellungen!$B$5+INT((ROW()-9)/24)</f>
        <v>46210</v>
      </c>
      <c r="B5870" s="11" t="n">
        <f aca="false">MOD(ROW()-9,24)</f>
        <v>5</v>
      </c>
      <c r="C5870" s="12"/>
      <c r="D5870" s="13" t="n">
        <f aca="false">IF(B5870&lt;5,Einstellungen!$B$3,Einstellungen!$B$4)</f>
        <v>29.13</v>
      </c>
      <c r="E5870" s="14" t="str">
        <f aca="false">IF(C5870="","",C5870*D5870/100)</f>
        <v/>
      </c>
      <c r="F5870" s="15" t="str">
        <f aca="false">IF(B5870&lt;5,"Go","Standard")</f>
        <v>Standard</v>
      </c>
    </row>
    <row r="5871" customFormat="false" ht="15" hidden="false" customHeight="true" outlineLevel="0" collapsed="false">
      <c r="A5871" s="10" t="n">
        <f aca="false">Einstellungen!$B$5+INT((ROW()-9)/24)</f>
        <v>46210</v>
      </c>
      <c r="B5871" s="11" t="n">
        <f aca="false">MOD(ROW()-9,24)</f>
        <v>6</v>
      </c>
      <c r="C5871" s="12"/>
      <c r="D5871" s="13" t="n">
        <f aca="false">IF(B5871&lt;5,Einstellungen!$B$3,Einstellungen!$B$4)</f>
        <v>29.13</v>
      </c>
      <c r="E5871" s="14" t="str">
        <f aca="false">IF(C5871="","",C5871*D5871/100)</f>
        <v/>
      </c>
      <c r="F5871" s="15" t="str">
        <f aca="false">IF(B5871&lt;5,"Go","Standard")</f>
        <v>Standard</v>
      </c>
    </row>
    <row r="5872" customFormat="false" ht="15" hidden="false" customHeight="true" outlineLevel="0" collapsed="false">
      <c r="A5872" s="10" t="n">
        <f aca="false">Einstellungen!$B$5+INT((ROW()-9)/24)</f>
        <v>46210</v>
      </c>
      <c r="B5872" s="11" t="n">
        <f aca="false">MOD(ROW()-9,24)</f>
        <v>7</v>
      </c>
      <c r="C5872" s="12"/>
      <c r="D5872" s="13" t="n">
        <f aca="false">IF(B5872&lt;5,Einstellungen!$B$3,Einstellungen!$B$4)</f>
        <v>29.13</v>
      </c>
      <c r="E5872" s="14" t="str">
        <f aca="false">IF(C5872="","",C5872*D5872/100)</f>
        <v/>
      </c>
      <c r="F5872" s="15" t="str">
        <f aca="false">IF(B5872&lt;5,"Go","Standard")</f>
        <v>Standard</v>
      </c>
    </row>
    <row r="5873" customFormat="false" ht="15" hidden="false" customHeight="true" outlineLevel="0" collapsed="false">
      <c r="A5873" s="10" t="n">
        <f aca="false">Einstellungen!$B$5+INT((ROW()-9)/24)</f>
        <v>46210</v>
      </c>
      <c r="B5873" s="11" t="n">
        <f aca="false">MOD(ROW()-9,24)</f>
        <v>8</v>
      </c>
      <c r="C5873" s="12"/>
      <c r="D5873" s="13" t="n">
        <f aca="false">IF(B5873&lt;5,Einstellungen!$B$3,Einstellungen!$B$4)</f>
        <v>29.13</v>
      </c>
      <c r="E5873" s="14" t="str">
        <f aca="false">IF(C5873="","",C5873*D5873/100)</f>
        <v/>
      </c>
      <c r="F5873" s="15" t="str">
        <f aca="false">IF(B5873&lt;5,"Go","Standard")</f>
        <v>Standard</v>
      </c>
    </row>
    <row r="5874" customFormat="false" ht="15" hidden="false" customHeight="true" outlineLevel="0" collapsed="false">
      <c r="A5874" s="10" t="n">
        <f aca="false">Einstellungen!$B$5+INT((ROW()-9)/24)</f>
        <v>46210</v>
      </c>
      <c r="B5874" s="11" t="n">
        <f aca="false">MOD(ROW()-9,24)</f>
        <v>9</v>
      </c>
      <c r="C5874" s="12"/>
      <c r="D5874" s="13" t="n">
        <f aca="false">IF(B5874&lt;5,Einstellungen!$B$3,Einstellungen!$B$4)</f>
        <v>29.13</v>
      </c>
      <c r="E5874" s="14" t="str">
        <f aca="false">IF(C5874="","",C5874*D5874/100)</f>
        <v/>
      </c>
      <c r="F5874" s="15" t="str">
        <f aca="false">IF(B5874&lt;5,"Go","Standard")</f>
        <v>Standard</v>
      </c>
    </row>
    <row r="5875" customFormat="false" ht="15" hidden="false" customHeight="true" outlineLevel="0" collapsed="false">
      <c r="A5875" s="10" t="n">
        <f aca="false">Einstellungen!$B$5+INT((ROW()-9)/24)</f>
        <v>46210</v>
      </c>
      <c r="B5875" s="11" t="n">
        <f aca="false">MOD(ROW()-9,24)</f>
        <v>10</v>
      </c>
      <c r="C5875" s="12"/>
      <c r="D5875" s="13" t="n">
        <f aca="false">IF(B5875&lt;5,Einstellungen!$B$3,Einstellungen!$B$4)</f>
        <v>29.13</v>
      </c>
      <c r="E5875" s="14" t="str">
        <f aca="false">IF(C5875="","",C5875*D5875/100)</f>
        <v/>
      </c>
      <c r="F5875" s="15" t="str">
        <f aca="false">IF(B5875&lt;5,"Go","Standard")</f>
        <v>Standard</v>
      </c>
    </row>
    <row r="5876" customFormat="false" ht="15" hidden="false" customHeight="true" outlineLevel="0" collapsed="false">
      <c r="A5876" s="10" t="n">
        <f aca="false">Einstellungen!$B$5+INT((ROW()-9)/24)</f>
        <v>46210</v>
      </c>
      <c r="B5876" s="11" t="n">
        <f aca="false">MOD(ROW()-9,24)</f>
        <v>11</v>
      </c>
      <c r="C5876" s="12"/>
      <c r="D5876" s="13" t="n">
        <f aca="false">IF(B5876&lt;5,Einstellungen!$B$3,Einstellungen!$B$4)</f>
        <v>29.13</v>
      </c>
      <c r="E5876" s="14" t="str">
        <f aca="false">IF(C5876="","",C5876*D5876/100)</f>
        <v/>
      </c>
      <c r="F5876" s="15" t="str">
        <f aca="false">IF(B5876&lt;5,"Go","Standard")</f>
        <v>Standard</v>
      </c>
    </row>
    <row r="5877" customFormat="false" ht="15" hidden="false" customHeight="true" outlineLevel="0" collapsed="false">
      <c r="A5877" s="10" t="n">
        <f aca="false">Einstellungen!$B$5+INT((ROW()-9)/24)</f>
        <v>46210</v>
      </c>
      <c r="B5877" s="11" t="n">
        <f aca="false">MOD(ROW()-9,24)</f>
        <v>12</v>
      </c>
      <c r="C5877" s="12"/>
      <c r="D5877" s="13" t="n">
        <f aca="false">IF(B5877&lt;5,Einstellungen!$B$3,Einstellungen!$B$4)</f>
        <v>29.13</v>
      </c>
      <c r="E5877" s="14" t="str">
        <f aca="false">IF(C5877="","",C5877*D5877/100)</f>
        <v/>
      </c>
      <c r="F5877" s="15" t="str">
        <f aca="false">IF(B5877&lt;5,"Go","Standard")</f>
        <v>Standard</v>
      </c>
    </row>
    <row r="5878" customFormat="false" ht="15" hidden="false" customHeight="true" outlineLevel="0" collapsed="false">
      <c r="A5878" s="10" t="n">
        <f aca="false">Einstellungen!$B$5+INT((ROW()-9)/24)</f>
        <v>46210</v>
      </c>
      <c r="B5878" s="11" t="n">
        <f aca="false">MOD(ROW()-9,24)</f>
        <v>13</v>
      </c>
      <c r="C5878" s="12"/>
      <c r="D5878" s="13" t="n">
        <f aca="false">IF(B5878&lt;5,Einstellungen!$B$3,Einstellungen!$B$4)</f>
        <v>29.13</v>
      </c>
      <c r="E5878" s="14" t="str">
        <f aca="false">IF(C5878="","",C5878*D5878/100)</f>
        <v/>
      </c>
      <c r="F5878" s="15" t="str">
        <f aca="false">IF(B5878&lt;5,"Go","Standard")</f>
        <v>Standard</v>
      </c>
    </row>
    <row r="5879" customFormat="false" ht="15" hidden="false" customHeight="true" outlineLevel="0" collapsed="false">
      <c r="A5879" s="10" t="n">
        <f aca="false">Einstellungen!$B$5+INT((ROW()-9)/24)</f>
        <v>46210</v>
      </c>
      <c r="B5879" s="11" t="n">
        <f aca="false">MOD(ROW()-9,24)</f>
        <v>14</v>
      </c>
      <c r="C5879" s="12"/>
      <c r="D5879" s="13" t="n">
        <f aca="false">IF(B5879&lt;5,Einstellungen!$B$3,Einstellungen!$B$4)</f>
        <v>29.13</v>
      </c>
      <c r="E5879" s="14" t="str">
        <f aca="false">IF(C5879="","",C5879*D5879/100)</f>
        <v/>
      </c>
      <c r="F5879" s="15" t="str">
        <f aca="false">IF(B5879&lt;5,"Go","Standard")</f>
        <v>Standard</v>
      </c>
    </row>
    <row r="5880" customFormat="false" ht="15" hidden="false" customHeight="true" outlineLevel="0" collapsed="false">
      <c r="A5880" s="10" t="n">
        <f aca="false">Einstellungen!$B$5+INT((ROW()-9)/24)</f>
        <v>46210</v>
      </c>
      <c r="B5880" s="11" t="n">
        <f aca="false">MOD(ROW()-9,24)</f>
        <v>15</v>
      </c>
      <c r="C5880" s="12"/>
      <c r="D5880" s="13" t="n">
        <f aca="false">IF(B5880&lt;5,Einstellungen!$B$3,Einstellungen!$B$4)</f>
        <v>29.13</v>
      </c>
      <c r="E5880" s="14" t="str">
        <f aca="false">IF(C5880="","",C5880*D5880/100)</f>
        <v/>
      </c>
      <c r="F5880" s="15" t="str">
        <f aca="false">IF(B5880&lt;5,"Go","Standard")</f>
        <v>Standard</v>
      </c>
    </row>
    <row r="5881" customFormat="false" ht="15" hidden="false" customHeight="true" outlineLevel="0" collapsed="false">
      <c r="A5881" s="10" t="n">
        <f aca="false">Einstellungen!$B$5+INT((ROW()-9)/24)</f>
        <v>46210</v>
      </c>
      <c r="B5881" s="11" t="n">
        <f aca="false">MOD(ROW()-9,24)</f>
        <v>16</v>
      </c>
      <c r="C5881" s="12"/>
      <c r="D5881" s="13" t="n">
        <f aca="false">IF(B5881&lt;5,Einstellungen!$B$3,Einstellungen!$B$4)</f>
        <v>29.13</v>
      </c>
      <c r="E5881" s="14" t="str">
        <f aca="false">IF(C5881="","",C5881*D5881/100)</f>
        <v/>
      </c>
      <c r="F5881" s="15" t="str">
        <f aca="false">IF(B5881&lt;5,"Go","Standard")</f>
        <v>Standard</v>
      </c>
    </row>
    <row r="5882" customFormat="false" ht="15" hidden="false" customHeight="true" outlineLevel="0" collapsed="false">
      <c r="A5882" s="10" t="n">
        <f aca="false">Einstellungen!$B$5+INT((ROW()-9)/24)</f>
        <v>46210</v>
      </c>
      <c r="B5882" s="11" t="n">
        <f aca="false">MOD(ROW()-9,24)</f>
        <v>17</v>
      </c>
      <c r="C5882" s="12"/>
      <c r="D5882" s="13" t="n">
        <f aca="false">IF(B5882&lt;5,Einstellungen!$B$3,Einstellungen!$B$4)</f>
        <v>29.13</v>
      </c>
      <c r="E5882" s="14" t="str">
        <f aca="false">IF(C5882="","",C5882*D5882/100)</f>
        <v/>
      </c>
      <c r="F5882" s="15" t="str">
        <f aca="false">IF(B5882&lt;5,"Go","Standard")</f>
        <v>Standard</v>
      </c>
    </row>
    <row r="5883" customFormat="false" ht="15" hidden="false" customHeight="true" outlineLevel="0" collapsed="false">
      <c r="A5883" s="10" t="n">
        <f aca="false">Einstellungen!$B$5+INT((ROW()-9)/24)</f>
        <v>46210</v>
      </c>
      <c r="B5883" s="11" t="n">
        <f aca="false">MOD(ROW()-9,24)</f>
        <v>18</v>
      </c>
      <c r="C5883" s="12"/>
      <c r="D5883" s="13" t="n">
        <f aca="false">IF(B5883&lt;5,Einstellungen!$B$3,Einstellungen!$B$4)</f>
        <v>29.13</v>
      </c>
      <c r="E5883" s="14" t="str">
        <f aca="false">IF(C5883="","",C5883*D5883/100)</f>
        <v/>
      </c>
      <c r="F5883" s="15" t="str">
        <f aca="false">IF(B5883&lt;5,"Go","Standard")</f>
        <v>Standard</v>
      </c>
    </row>
    <row r="5884" customFormat="false" ht="15" hidden="false" customHeight="true" outlineLevel="0" collapsed="false">
      <c r="A5884" s="10" t="n">
        <f aca="false">Einstellungen!$B$5+INT((ROW()-9)/24)</f>
        <v>46210</v>
      </c>
      <c r="B5884" s="11" t="n">
        <f aca="false">MOD(ROW()-9,24)</f>
        <v>19</v>
      </c>
      <c r="C5884" s="12"/>
      <c r="D5884" s="13" t="n">
        <f aca="false">IF(B5884&lt;5,Einstellungen!$B$3,Einstellungen!$B$4)</f>
        <v>29.13</v>
      </c>
      <c r="E5884" s="14" t="str">
        <f aca="false">IF(C5884="","",C5884*D5884/100)</f>
        <v/>
      </c>
      <c r="F5884" s="15" t="str">
        <f aca="false">IF(B5884&lt;5,"Go","Standard")</f>
        <v>Standard</v>
      </c>
    </row>
    <row r="5885" customFormat="false" ht="15" hidden="false" customHeight="true" outlineLevel="0" collapsed="false">
      <c r="A5885" s="10" t="n">
        <f aca="false">Einstellungen!$B$5+INT((ROW()-9)/24)</f>
        <v>46210</v>
      </c>
      <c r="B5885" s="11" t="n">
        <f aca="false">MOD(ROW()-9,24)</f>
        <v>20</v>
      </c>
      <c r="C5885" s="12"/>
      <c r="D5885" s="13" t="n">
        <f aca="false">IF(B5885&lt;5,Einstellungen!$B$3,Einstellungen!$B$4)</f>
        <v>29.13</v>
      </c>
      <c r="E5885" s="14" t="str">
        <f aca="false">IF(C5885="","",C5885*D5885/100)</f>
        <v/>
      </c>
      <c r="F5885" s="15" t="str">
        <f aca="false">IF(B5885&lt;5,"Go","Standard")</f>
        <v>Standard</v>
      </c>
    </row>
    <row r="5886" customFormat="false" ht="15" hidden="false" customHeight="true" outlineLevel="0" collapsed="false">
      <c r="A5886" s="10" t="n">
        <f aca="false">Einstellungen!$B$5+INT((ROW()-9)/24)</f>
        <v>46210</v>
      </c>
      <c r="B5886" s="11" t="n">
        <f aca="false">MOD(ROW()-9,24)</f>
        <v>21</v>
      </c>
      <c r="C5886" s="12"/>
      <c r="D5886" s="13" t="n">
        <f aca="false">IF(B5886&lt;5,Einstellungen!$B$3,Einstellungen!$B$4)</f>
        <v>29.13</v>
      </c>
      <c r="E5886" s="14" t="str">
        <f aca="false">IF(C5886="","",C5886*D5886/100)</f>
        <v/>
      </c>
      <c r="F5886" s="15" t="str">
        <f aca="false">IF(B5886&lt;5,"Go","Standard")</f>
        <v>Standard</v>
      </c>
    </row>
    <row r="5887" customFormat="false" ht="15" hidden="false" customHeight="true" outlineLevel="0" collapsed="false">
      <c r="A5887" s="10" t="n">
        <f aca="false">Einstellungen!$B$5+INT((ROW()-9)/24)</f>
        <v>46210</v>
      </c>
      <c r="B5887" s="11" t="n">
        <f aca="false">MOD(ROW()-9,24)</f>
        <v>22</v>
      </c>
      <c r="C5887" s="12"/>
      <c r="D5887" s="13" t="n">
        <f aca="false">IF(B5887&lt;5,Einstellungen!$B$3,Einstellungen!$B$4)</f>
        <v>29.13</v>
      </c>
      <c r="E5887" s="14" t="str">
        <f aca="false">IF(C5887="","",C5887*D5887/100)</f>
        <v/>
      </c>
      <c r="F5887" s="15" t="str">
        <f aca="false">IF(B5887&lt;5,"Go","Standard")</f>
        <v>Standard</v>
      </c>
    </row>
    <row r="5888" customFormat="false" ht="15" hidden="false" customHeight="true" outlineLevel="0" collapsed="false">
      <c r="A5888" s="10" t="n">
        <f aca="false">Einstellungen!$B$5+INT((ROW()-9)/24)</f>
        <v>46210</v>
      </c>
      <c r="B5888" s="11" t="n">
        <f aca="false">MOD(ROW()-9,24)</f>
        <v>23</v>
      </c>
      <c r="C5888" s="12"/>
      <c r="D5888" s="13" t="n">
        <f aca="false">IF(B5888&lt;5,Einstellungen!$B$3,Einstellungen!$B$4)</f>
        <v>29.13</v>
      </c>
      <c r="E5888" s="14" t="str">
        <f aca="false">IF(C5888="","",C5888*D5888/100)</f>
        <v/>
      </c>
      <c r="F5888" s="15" t="str">
        <f aca="false">IF(B5888&lt;5,"Go","Standard")</f>
        <v>Standard</v>
      </c>
    </row>
    <row r="5889" customFormat="false" ht="15" hidden="false" customHeight="true" outlineLevel="0" collapsed="false">
      <c r="A5889" s="10" t="n">
        <f aca="false">Einstellungen!$B$5+INT((ROW()-9)/24)</f>
        <v>46211</v>
      </c>
      <c r="B5889" s="11" t="n">
        <f aca="false">MOD(ROW()-9,24)</f>
        <v>0</v>
      </c>
      <c r="C5889" s="12"/>
      <c r="D5889" s="13" t="n">
        <f aca="false">IF(B5889&lt;5,Einstellungen!$B$3,Einstellungen!$B$4)</f>
        <v>15.92</v>
      </c>
      <c r="E5889" s="14" t="str">
        <f aca="false">IF(C5889="","",C5889*D5889/100)</f>
        <v/>
      </c>
      <c r="F5889" s="15" t="str">
        <f aca="false">IF(B5889&lt;5,"Go","Standard")</f>
        <v>Go</v>
      </c>
    </row>
    <row r="5890" customFormat="false" ht="15" hidden="false" customHeight="true" outlineLevel="0" collapsed="false">
      <c r="A5890" s="10" t="n">
        <f aca="false">Einstellungen!$B$5+INT((ROW()-9)/24)</f>
        <v>46211</v>
      </c>
      <c r="B5890" s="11" t="n">
        <f aca="false">MOD(ROW()-9,24)</f>
        <v>1</v>
      </c>
      <c r="C5890" s="12"/>
      <c r="D5890" s="13" t="n">
        <f aca="false">IF(B5890&lt;5,Einstellungen!$B$3,Einstellungen!$B$4)</f>
        <v>15.92</v>
      </c>
      <c r="E5890" s="14" t="str">
        <f aca="false">IF(C5890="","",C5890*D5890/100)</f>
        <v/>
      </c>
      <c r="F5890" s="15" t="str">
        <f aca="false">IF(B5890&lt;5,"Go","Standard")</f>
        <v>Go</v>
      </c>
    </row>
    <row r="5891" customFormat="false" ht="15" hidden="false" customHeight="true" outlineLevel="0" collapsed="false">
      <c r="A5891" s="10" t="n">
        <f aca="false">Einstellungen!$B$5+INT((ROW()-9)/24)</f>
        <v>46211</v>
      </c>
      <c r="B5891" s="11" t="n">
        <f aca="false">MOD(ROW()-9,24)</f>
        <v>2</v>
      </c>
      <c r="C5891" s="12"/>
      <c r="D5891" s="13" t="n">
        <f aca="false">IF(B5891&lt;5,Einstellungen!$B$3,Einstellungen!$B$4)</f>
        <v>15.92</v>
      </c>
      <c r="E5891" s="14" t="str">
        <f aca="false">IF(C5891="","",C5891*D5891/100)</f>
        <v/>
      </c>
      <c r="F5891" s="15" t="str">
        <f aca="false">IF(B5891&lt;5,"Go","Standard")</f>
        <v>Go</v>
      </c>
    </row>
    <row r="5892" customFormat="false" ht="15" hidden="false" customHeight="true" outlineLevel="0" collapsed="false">
      <c r="A5892" s="10" t="n">
        <f aca="false">Einstellungen!$B$5+INT((ROW()-9)/24)</f>
        <v>46211</v>
      </c>
      <c r="B5892" s="11" t="n">
        <f aca="false">MOD(ROW()-9,24)</f>
        <v>3</v>
      </c>
      <c r="C5892" s="12"/>
      <c r="D5892" s="13" t="n">
        <f aca="false">IF(B5892&lt;5,Einstellungen!$B$3,Einstellungen!$B$4)</f>
        <v>15.92</v>
      </c>
      <c r="E5892" s="14" t="str">
        <f aca="false">IF(C5892="","",C5892*D5892/100)</f>
        <v/>
      </c>
      <c r="F5892" s="15" t="str">
        <f aca="false">IF(B5892&lt;5,"Go","Standard")</f>
        <v>Go</v>
      </c>
    </row>
    <row r="5893" customFormat="false" ht="15" hidden="false" customHeight="true" outlineLevel="0" collapsed="false">
      <c r="A5893" s="10" t="n">
        <f aca="false">Einstellungen!$B$5+INT((ROW()-9)/24)</f>
        <v>46211</v>
      </c>
      <c r="B5893" s="11" t="n">
        <f aca="false">MOD(ROW()-9,24)</f>
        <v>4</v>
      </c>
      <c r="C5893" s="12"/>
      <c r="D5893" s="13" t="n">
        <f aca="false">IF(B5893&lt;5,Einstellungen!$B$3,Einstellungen!$B$4)</f>
        <v>15.92</v>
      </c>
      <c r="E5893" s="14" t="str">
        <f aca="false">IF(C5893="","",C5893*D5893/100)</f>
        <v/>
      </c>
      <c r="F5893" s="15" t="str">
        <f aca="false">IF(B5893&lt;5,"Go","Standard")</f>
        <v>Go</v>
      </c>
    </row>
    <row r="5894" customFormat="false" ht="15" hidden="false" customHeight="true" outlineLevel="0" collapsed="false">
      <c r="A5894" s="10" t="n">
        <f aca="false">Einstellungen!$B$5+INT((ROW()-9)/24)</f>
        <v>46211</v>
      </c>
      <c r="B5894" s="11" t="n">
        <f aca="false">MOD(ROW()-9,24)</f>
        <v>5</v>
      </c>
      <c r="C5894" s="12"/>
      <c r="D5894" s="13" t="n">
        <f aca="false">IF(B5894&lt;5,Einstellungen!$B$3,Einstellungen!$B$4)</f>
        <v>29.13</v>
      </c>
      <c r="E5894" s="14" t="str">
        <f aca="false">IF(C5894="","",C5894*D5894/100)</f>
        <v/>
      </c>
      <c r="F5894" s="15" t="str">
        <f aca="false">IF(B5894&lt;5,"Go","Standard")</f>
        <v>Standard</v>
      </c>
    </row>
    <row r="5895" customFormat="false" ht="15" hidden="false" customHeight="true" outlineLevel="0" collapsed="false">
      <c r="A5895" s="10" t="n">
        <f aca="false">Einstellungen!$B$5+INT((ROW()-9)/24)</f>
        <v>46211</v>
      </c>
      <c r="B5895" s="11" t="n">
        <f aca="false">MOD(ROW()-9,24)</f>
        <v>6</v>
      </c>
      <c r="C5895" s="12"/>
      <c r="D5895" s="13" t="n">
        <f aca="false">IF(B5895&lt;5,Einstellungen!$B$3,Einstellungen!$B$4)</f>
        <v>29.13</v>
      </c>
      <c r="E5895" s="14" t="str">
        <f aca="false">IF(C5895="","",C5895*D5895/100)</f>
        <v/>
      </c>
      <c r="F5895" s="15" t="str">
        <f aca="false">IF(B5895&lt;5,"Go","Standard")</f>
        <v>Standard</v>
      </c>
    </row>
    <row r="5896" customFormat="false" ht="15" hidden="false" customHeight="true" outlineLevel="0" collapsed="false">
      <c r="A5896" s="10" t="n">
        <f aca="false">Einstellungen!$B$5+INT((ROW()-9)/24)</f>
        <v>46211</v>
      </c>
      <c r="B5896" s="11" t="n">
        <f aca="false">MOD(ROW()-9,24)</f>
        <v>7</v>
      </c>
      <c r="C5896" s="12"/>
      <c r="D5896" s="13" t="n">
        <f aca="false">IF(B5896&lt;5,Einstellungen!$B$3,Einstellungen!$B$4)</f>
        <v>29.13</v>
      </c>
      <c r="E5896" s="14" t="str">
        <f aca="false">IF(C5896="","",C5896*D5896/100)</f>
        <v/>
      </c>
      <c r="F5896" s="15" t="str">
        <f aca="false">IF(B5896&lt;5,"Go","Standard")</f>
        <v>Standard</v>
      </c>
    </row>
    <row r="5897" customFormat="false" ht="15" hidden="false" customHeight="true" outlineLevel="0" collapsed="false">
      <c r="A5897" s="10" t="n">
        <f aca="false">Einstellungen!$B$5+INT((ROW()-9)/24)</f>
        <v>46211</v>
      </c>
      <c r="B5897" s="11" t="n">
        <f aca="false">MOD(ROW()-9,24)</f>
        <v>8</v>
      </c>
      <c r="C5897" s="12"/>
      <c r="D5897" s="13" t="n">
        <f aca="false">IF(B5897&lt;5,Einstellungen!$B$3,Einstellungen!$B$4)</f>
        <v>29.13</v>
      </c>
      <c r="E5897" s="14" t="str">
        <f aca="false">IF(C5897="","",C5897*D5897/100)</f>
        <v/>
      </c>
      <c r="F5897" s="15" t="str">
        <f aca="false">IF(B5897&lt;5,"Go","Standard")</f>
        <v>Standard</v>
      </c>
    </row>
    <row r="5898" customFormat="false" ht="15" hidden="false" customHeight="true" outlineLevel="0" collapsed="false">
      <c r="A5898" s="10" t="n">
        <f aca="false">Einstellungen!$B$5+INT((ROW()-9)/24)</f>
        <v>46211</v>
      </c>
      <c r="B5898" s="11" t="n">
        <f aca="false">MOD(ROW()-9,24)</f>
        <v>9</v>
      </c>
      <c r="C5898" s="12"/>
      <c r="D5898" s="13" t="n">
        <f aca="false">IF(B5898&lt;5,Einstellungen!$B$3,Einstellungen!$B$4)</f>
        <v>29.13</v>
      </c>
      <c r="E5898" s="14" t="str">
        <f aca="false">IF(C5898="","",C5898*D5898/100)</f>
        <v/>
      </c>
      <c r="F5898" s="15" t="str">
        <f aca="false">IF(B5898&lt;5,"Go","Standard")</f>
        <v>Standard</v>
      </c>
    </row>
    <row r="5899" customFormat="false" ht="15" hidden="false" customHeight="true" outlineLevel="0" collapsed="false">
      <c r="A5899" s="10" t="n">
        <f aca="false">Einstellungen!$B$5+INT((ROW()-9)/24)</f>
        <v>46211</v>
      </c>
      <c r="B5899" s="11" t="n">
        <f aca="false">MOD(ROW()-9,24)</f>
        <v>10</v>
      </c>
      <c r="C5899" s="12"/>
      <c r="D5899" s="13" t="n">
        <f aca="false">IF(B5899&lt;5,Einstellungen!$B$3,Einstellungen!$B$4)</f>
        <v>29.13</v>
      </c>
      <c r="E5899" s="14" t="str">
        <f aca="false">IF(C5899="","",C5899*D5899/100)</f>
        <v/>
      </c>
      <c r="F5899" s="15" t="str">
        <f aca="false">IF(B5899&lt;5,"Go","Standard")</f>
        <v>Standard</v>
      </c>
    </row>
    <row r="5900" customFormat="false" ht="15" hidden="false" customHeight="true" outlineLevel="0" collapsed="false">
      <c r="A5900" s="10" t="n">
        <f aca="false">Einstellungen!$B$5+INT((ROW()-9)/24)</f>
        <v>46211</v>
      </c>
      <c r="B5900" s="11" t="n">
        <f aca="false">MOD(ROW()-9,24)</f>
        <v>11</v>
      </c>
      <c r="C5900" s="12"/>
      <c r="D5900" s="13" t="n">
        <f aca="false">IF(B5900&lt;5,Einstellungen!$B$3,Einstellungen!$B$4)</f>
        <v>29.13</v>
      </c>
      <c r="E5900" s="14" t="str">
        <f aca="false">IF(C5900="","",C5900*D5900/100)</f>
        <v/>
      </c>
      <c r="F5900" s="15" t="str">
        <f aca="false">IF(B5900&lt;5,"Go","Standard")</f>
        <v>Standard</v>
      </c>
    </row>
    <row r="5901" customFormat="false" ht="15" hidden="false" customHeight="true" outlineLevel="0" collapsed="false">
      <c r="A5901" s="10" t="n">
        <f aca="false">Einstellungen!$B$5+INT((ROW()-9)/24)</f>
        <v>46211</v>
      </c>
      <c r="B5901" s="11" t="n">
        <f aca="false">MOD(ROW()-9,24)</f>
        <v>12</v>
      </c>
      <c r="C5901" s="12"/>
      <c r="D5901" s="13" t="n">
        <f aca="false">IF(B5901&lt;5,Einstellungen!$B$3,Einstellungen!$B$4)</f>
        <v>29.13</v>
      </c>
      <c r="E5901" s="14" t="str">
        <f aca="false">IF(C5901="","",C5901*D5901/100)</f>
        <v/>
      </c>
      <c r="F5901" s="15" t="str">
        <f aca="false">IF(B5901&lt;5,"Go","Standard")</f>
        <v>Standard</v>
      </c>
    </row>
    <row r="5902" customFormat="false" ht="15" hidden="false" customHeight="true" outlineLevel="0" collapsed="false">
      <c r="A5902" s="10" t="n">
        <f aca="false">Einstellungen!$B$5+INT((ROW()-9)/24)</f>
        <v>46211</v>
      </c>
      <c r="B5902" s="11" t="n">
        <f aca="false">MOD(ROW()-9,24)</f>
        <v>13</v>
      </c>
      <c r="C5902" s="12"/>
      <c r="D5902" s="13" t="n">
        <f aca="false">IF(B5902&lt;5,Einstellungen!$B$3,Einstellungen!$B$4)</f>
        <v>29.13</v>
      </c>
      <c r="E5902" s="14" t="str">
        <f aca="false">IF(C5902="","",C5902*D5902/100)</f>
        <v/>
      </c>
      <c r="F5902" s="15" t="str">
        <f aca="false">IF(B5902&lt;5,"Go","Standard")</f>
        <v>Standard</v>
      </c>
    </row>
    <row r="5903" customFormat="false" ht="15" hidden="false" customHeight="true" outlineLevel="0" collapsed="false">
      <c r="A5903" s="10" t="n">
        <f aca="false">Einstellungen!$B$5+INT((ROW()-9)/24)</f>
        <v>46211</v>
      </c>
      <c r="B5903" s="11" t="n">
        <f aca="false">MOD(ROW()-9,24)</f>
        <v>14</v>
      </c>
      <c r="C5903" s="12"/>
      <c r="D5903" s="13" t="n">
        <f aca="false">IF(B5903&lt;5,Einstellungen!$B$3,Einstellungen!$B$4)</f>
        <v>29.13</v>
      </c>
      <c r="E5903" s="14" t="str">
        <f aca="false">IF(C5903="","",C5903*D5903/100)</f>
        <v/>
      </c>
      <c r="F5903" s="15" t="str">
        <f aca="false">IF(B5903&lt;5,"Go","Standard")</f>
        <v>Standard</v>
      </c>
    </row>
    <row r="5904" customFormat="false" ht="15" hidden="false" customHeight="true" outlineLevel="0" collapsed="false">
      <c r="A5904" s="10" t="n">
        <f aca="false">Einstellungen!$B$5+INT((ROW()-9)/24)</f>
        <v>46211</v>
      </c>
      <c r="B5904" s="11" t="n">
        <f aca="false">MOD(ROW()-9,24)</f>
        <v>15</v>
      </c>
      <c r="C5904" s="12"/>
      <c r="D5904" s="13" t="n">
        <f aca="false">IF(B5904&lt;5,Einstellungen!$B$3,Einstellungen!$B$4)</f>
        <v>29.13</v>
      </c>
      <c r="E5904" s="14" t="str">
        <f aca="false">IF(C5904="","",C5904*D5904/100)</f>
        <v/>
      </c>
      <c r="F5904" s="15" t="str">
        <f aca="false">IF(B5904&lt;5,"Go","Standard")</f>
        <v>Standard</v>
      </c>
    </row>
    <row r="5905" customFormat="false" ht="15" hidden="false" customHeight="true" outlineLevel="0" collapsed="false">
      <c r="A5905" s="10" t="n">
        <f aca="false">Einstellungen!$B$5+INT((ROW()-9)/24)</f>
        <v>46211</v>
      </c>
      <c r="B5905" s="11" t="n">
        <f aca="false">MOD(ROW()-9,24)</f>
        <v>16</v>
      </c>
      <c r="C5905" s="12"/>
      <c r="D5905" s="13" t="n">
        <f aca="false">IF(B5905&lt;5,Einstellungen!$B$3,Einstellungen!$B$4)</f>
        <v>29.13</v>
      </c>
      <c r="E5905" s="14" t="str">
        <f aca="false">IF(C5905="","",C5905*D5905/100)</f>
        <v/>
      </c>
      <c r="F5905" s="15" t="str">
        <f aca="false">IF(B5905&lt;5,"Go","Standard")</f>
        <v>Standard</v>
      </c>
    </row>
    <row r="5906" customFormat="false" ht="15" hidden="false" customHeight="true" outlineLevel="0" collapsed="false">
      <c r="A5906" s="10" t="n">
        <f aca="false">Einstellungen!$B$5+INT((ROW()-9)/24)</f>
        <v>46211</v>
      </c>
      <c r="B5906" s="11" t="n">
        <f aca="false">MOD(ROW()-9,24)</f>
        <v>17</v>
      </c>
      <c r="C5906" s="12"/>
      <c r="D5906" s="13" t="n">
        <f aca="false">IF(B5906&lt;5,Einstellungen!$B$3,Einstellungen!$B$4)</f>
        <v>29.13</v>
      </c>
      <c r="E5906" s="14" t="str">
        <f aca="false">IF(C5906="","",C5906*D5906/100)</f>
        <v/>
      </c>
      <c r="F5906" s="15" t="str">
        <f aca="false">IF(B5906&lt;5,"Go","Standard")</f>
        <v>Standard</v>
      </c>
    </row>
    <row r="5907" customFormat="false" ht="15" hidden="false" customHeight="true" outlineLevel="0" collapsed="false">
      <c r="A5907" s="10" t="n">
        <f aca="false">Einstellungen!$B$5+INT((ROW()-9)/24)</f>
        <v>46211</v>
      </c>
      <c r="B5907" s="11" t="n">
        <f aca="false">MOD(ROW()-9,24)</f>
        <v>18</v>
      </c>
      <c r="C5907" s="12"/>
      <c r="D5907" s="13" t="n">
        <f aca="false">IF(B5907&lt;5,Einstellungen!$B$3,Einstellungen!$B$4)</f>
        <v>29.13</v>
      </c>
      <c r="E5907" s="14" t="str">
        <f aca="false">IF(C5907="","",C5907*D5907/100)</f>
        <v/>
      </c>
      <c r="F5907" s="15" t="str">
        <f aca="false">IF(B5907&lt;5,"Go","Standard")</f>
        <v>Standard</v>
      </c>
    </row>
    <row r="5908" customFormat="false" ht="15" hidden="false" customHeight="true" outlineLevel="0" collapsed="false">
      <c r="A5908" s="10" t="n">
        <f aca="false">Einstellungen!$B$5+INT((ROW()-9)/24)</f>
        <v>46211</v>
      </c>
      <c r="B5908" s="11" t="n">
        <f aca="false">MOD(ROW()-9,24)</f>
        <v>19</v>
      </c>
      <c r="C5908" s="12"/>
      <c r="D5908" s="13" t="n">
        <f aca="false">IF(B5908&lt;5,Einstellungen!$B$3,Einstellungen!$B$4)</f>
        <v>29.13</v>
      </c>
      <c r="E5908" s="14" t="str">
        <f aca="false">IF(C5908="","",C5908*D5908/100)</f>
        <v/>
      </c>
      <c r="F5908" s="15" t="str">
        <f aca="false">IF(B5908&lt;5,"Go","Standard")</f>
        <v>Standard</v>
      </c>
    </row>
    <row r="5909" customFormat="false" ht="15" hidden="false" customHeight="true" outlineLevel="0" collapsed="false">
      <c r="A5909" s="10" t="n">
        <f aca="false">Einstellungen!$B$5+INT((ROW()-9)/24)</f>
        <v>46211</v>
      </c>
      <c r="B5909" s="11" t="n">
        <f aca="false">MOD(ROW()-9,24)</f>
        <v>20</v>
      </c>
      <c r="C5909" s="12"/>
      <c r="D5909" s="13" t="n">
        <f aca="false">IF(B5909&lt;5,Einstellungen!$B$3,Einstellungen!$B$4)</f>
        <v>29.13</v>
      </c>
      <c r="E5909" s="14" t="str">
        <f aca="false">IF(C5909="","",C5909*D5909/100)</f>
        <v/>
      </c>
      <c r="F5909" s="15" t="str">
        <f aca="false">IF(B5909&lt;5,"Go","Standard")</f>
        <v>Standard</v>
      </c>
    </row>
    <row r="5910" customFormat="false" ht="15" hidden="false" customHeight="true" outlineLevel="0" collapsed="false">
      <c r="A5910" s="10" t="n">
        <f aca="false">Einstellungen!$B$5+INT((ROW()-9)/24)</f>
        <v>46211</v>
      </c>
      <c r="B5910" s="11" t="n">
        <f aca="false">MOD(ROW()-9,24)</f>
        <v>21</v>
      </c>
      <c r="C5910" s="12"/>
      <c r="D5910" s="13" t="n">
        <f aca="false">IF(B5910&lt;5,Einstellungen!$B$3,Einstellungen!$B$4)</f>
        <v>29.13</v>
      </c>
      <c r="E5910" s="14" t="str">
        <f aca="false">IF(C5910="","",C5910*D5910/100)</f>
        <v/>
      </c>
      <c r="F5910" s="15" t="str">
        <f aca="false">IF(B5910&lt;5,"Go","Standard")</f>
        <v>Standard</v>
      </c>
    </row>
    <row r="5911" customFormat="false" ht="15" hidden="false" customHeight="true" outlineLevel="0" collapsed="false">
      <c r="A5911" s="10" t="n">
        <f aca="false">Einstellungen!$B$5+INT((ROW()-9)/24)</f>
        <v>46211</v>
      </c>
      <c r="B5911" s="11" t="n">
        <f aca="false">MOD(ROW()-9,24)</f>
        <v>22</v>
      </c>
      <c r="C5911" s="12"/>
      <c r="D5911" s="13" t="n">
        <f aca="false">IF(B5911&lt;5,Einstellungen!$B$3,Einstellungen!$B$4)</f>
        <v>29.13</v>
      </c>
      <c r="E5911" s="14" t="str">
        <f aca="false">IF(C5911="","",C5911*D5911/100)</f>
        <v/>
      </c>
      <c r="F5911" s="15" t="str">
        <f aca="false">IF(B5911&lt;5,"Go","Standard")</f>
        <v>Standard</v>
      </c>
    </row>
    <row r="5912" customFormat="false" ht="15" hidden="false" customHeight="true" outlineLevel="0" collapsed="false">
      <c r="A5912" s="10" t="n">
        <f aca="false">Einstellungen!$B$5+INT((ROW()-9)/24)</f>
        <v>46211</v>
      </c>
      <c r="B5912" s="11" t="n">
        <f aca="false">MOD(ROW()-9,24)</f>
        <v>23</v>
      </c>
      <c r="C5912" s="12"/>
      <c r="D5912" s="13" t="n">
        <f aca="false">IF(B5912&lt;5,Einstellungen!$B$3,Einstellungen!$B$4)</f>
        <v>29.13</v>
      </c>
      <c r="E5912" s="14" t="str">
        <f aca="false">IF(C5912="","",C5912*D5912/100)</f>
        <v/>
      </c>
      <c r="F5912" s="15" t="str">
        <f aca="false">IF(B5912&lt;5,"Go","Standard")</f>
        <v>Standard</v>
      </c>
    </row>
    <row r="5913" customFormat="false" ht="15" hidden="false" customHeight="true" outlineLevel="0" collapsed="false">
      <c r="A5913" s="10" t="n">
        <f aca="false">Einstellungen!$B$5+INT((ROW()-9)/24)</f>
        <v>46212</v>
      </c>
      <c r="B5913" s="11" t="n">
        <f aca="false">MOD(ROW()-9,24)</f>
        <v>0</v>
      </c>
      <c r="C5913" s="12"/>
      <c r="D5913" s="13" t="n">
        <f aca="false">IF(B5913&lt;5,Einstellungen!$B$3,Einstellungen!$B$4)</f>
        <v>15.92</v>
      </c>
      <c r="E5913" s="14" t="str">
        <f aca="false">IF(C5913="","",C5913*D5913/100)</f>
        <v/>
      </c>
      <c r="F5913" s="15" t="str">
        <f aca="false">IF(B5913&lt;5,"Go","Standard")</f>
        <v>Go</v>
      </c>
    </row>
    <row r="5914" customFormat="false" ht="15" hidden="false" customHeight="true" outlineLevel="0" collapsed="false">
      <c r="A5914" s="10" t="n">
        <f aca="false">Einstellungen!$B$5+INT((ROW()-9)/24)</f>
        <v>46212</v>
      </c>
      <c r="B5914" s="11" t="n">
        <f aca="false">MOD(ROW()-9,24)</f>
        <v>1</v>
      </c>
      <c r="C5914" s="12"/>
      <c r="D5914" s="13" t="n">
        <f aca="false">IF(B5914&lt;5,Einstellungen!$B$3,Einstellungen!$B$4)</f>
        <v>15.92</v>
      </c>
      <c r="E5914" s="14" t="str">
        <f aca="false">IF(C5914="","",C5914*D5914/100)</f>
        <v/>
      </c>
      <c r="F5914" s="15" t="str">
        <f aca="false">IF(B5914&lt;5,"Go","Standard")</f>
        <v>Go</v>
      </c>
    </row>
    <row r="5915" customFormat="false" ht="15" hidden="false" customHeight="true" outlineLevel="0" collapsed="false">
      <c r="A5915" s="10" t="n">
        <f aca="false">Einstellungen!$B$5+INT((ROW()-9)/24)</f>
        <v>46212</v>
      </c>
      <c r="B5915" s="11" t="n">
        <f aca="false">MOD(ROW()-9,24)</f>
        <v>2</v>
      </c>
      <c r="C5915" s="12"/>
      <c r="D5915" s="13" t="n">
        <f aca="false">IF(B5915&lt;5,Einstellungen!$B$3,Einstellungen!$B$4)</f>
        <v>15.92</v>
      </c>
      <c r="E5915" s="14" t="str">
        <f aca="false">IF(C5915="","",C5915*D5915/100)</f>
        <v/>
      </c>
      <c r="F5915" s="15" t="str">
        <f aca="false">IF(B5915&lt;5,"Go","Standard")</f>
        <v>Go</v>
      </c>
    </row>
    <row r="5916" customFormat="false" ht="15" hidden="false" customHeight="true" outlineLevel="0" collapsed="false">
      <c r="A5916" s="10" t="n">
        <f aca="false">Einstellungen!$B$5+INT((ROW()-9)/24)</f>
        <v>46212</v>
      </c>
      <c r="B5916" s="11" t="n">
        <f aca="false">MOD(ROW()-9,24)</f>
        <v>3</v>
      </c>
      <c r="C5916" s="12"/>
      <c r="D5916" s="13" t="n">
        <f aca="false">IF(B5916&lt;5,Einstellungen!$B$3,Einstellungen!$B$4)</f>
        <v>15.92</v>
      </c>
      <c r="E5916" s="14" t="str">
        <f aca="false">IF(C5916="","",C5916*D5916/100)</f>
        <v/>
      </c>
      <c r="F5916" s="15" t="str">
        <f aca="false">IF(B5916&lt;5,"Go","Standard")</f>
        <v>Go</v>
      </c>
    </row>
    <row r="5917" customFormat="false" ht="15" hidden="false" customHeight="true" outlineLevel="0" collapsed="false">
      <c r="A5917" s="10" t="n">
        <f aca="false">Einstellungen!$B$5+INT((ROW()-9)/24)</f>
        <v>46212</v>
      </c>
      <c r="B5917" s="11" t="n">
        <f aca="false">MOD(ROW()-9,24)</f>
        <v>4</v>
      </c>
      <c r="C5917" s="12"/>
      <c r="D5917" s="13" t="n">
        <f aca="false">IF(B5917&lt;5,Einstellungen!$B$3,Einstellungen!$B$4)</f>
        <v>15.92</v>
      </c>
      <c r="E5917" s="14" t="str">
        <f aca="false">IF(C5917="","",C5917*D5917/100)</f>
        <v/>
      </c>
      <c r="F5917" s="15" t="str">
        <f aca="false">IF(B5917&lt;5,"Go","Standard")</f>
        <v>Go</v>
      </c>
    </row>
    <row r="5918" customFormat="false" ht="15" hidden="false" customHeight="true" outlineLevel="0" collapsed="false">
      <c r="A5918" s="10" t="n">
        <f aca="false">Einstellungen!$B$5+INT((ROW()-9)/24)</f>
        <v>46212</v>
      </c>
      <c r="B5918" s="11" t="n">
        <f aca="false">MOD(ROW()-9,24)</f>
        <v>5</v>
      </c>
      <c r="C5918" s="12"/>
      <c r="D5918" s="13" t="n">
        <f aca="false">IF(B5918&lt;5,Einstellungen!$B$3,Einstellungen!$B$4)</f>
        <v>29.13</v>
      </c>
      <c r="E5918" s="14" t="str">
        <f aca="false">IF(C5918="","",C5918*D5918/100)</f>
        <v/>
      </c>
      <c r="F5918" s="15" t="str">
        <f aca="false">IF(B5918&lt;5,"Go","Standard")</f>
        <v>Standard</v>
      </c>
    </row>
    <row r="5919" customFormat="false" ht="15" hidden="false" customHeight="true" outlineLevel="0" collapsed="false">
      <c r="A5919" s="10" t="n">
        <f aca="false">Einstellungen!$B$5+INT((ROW()-9)/24)</f>
        <v>46212</v>
      </c>
      <c r="B5919" s="11" t="n">
        <f aca="false">MOD(ROW()-9,24)</f>
        <v>6</v>
      </c>
      <c r="C5919" s="12"/>
      <c r="D5919" s="13" t="n">
        <f aca="false">IF(B5919&lt;5,Einstellungen!$B$3,Einstellungen!$B$4)</f>
        <v>29.13</v>
      </c>
      <c r="E5919" s="14" t="str">
        <f aca="false">IF(C5919="","",C5919*D5919/100)</f>
        <v/>
      </c>
      <c r="F5919" s="15" t="str">
        <f aca="false">IF(B5919&lt;5,"Go","Standard")</f>
        <v>Standard</v>
      </c>
    </row>
    <row r="5920" customFormat="false" ht="15" hidden="false" customHeight="true" outlineLevel="0" collapsed="false">
      <c r="A5920" s="10" t="n">
        <f aca="false">Einstellungen!$B$5+INT((ROW()-9)/24)</f>
        <v>46212</v>
      </c>
      <c r="B5920" s="11" t="n">
        <f aca="false">MOD(ROW()-9,24)</f>
        <v>7</v>
      </c>
      <c r="C5920" s="12"/>
      <c r="D5920" s="13" t="n">
        <f aca="false">IF(B5920&lt;5,Einstellungen!$B$3,Einstellungen!$B$4)</f>
        <v>29.13</v>
      </c>
      <c r="E5920" s="14" t="str">
        <f aca="false">IF(C5920="","",C5920*D5920/100)</f>
        <v/>
      </c>
      <c r="F5920" s="15" t="str">
        <f aca="false">IF(B5920&lt;5,"Go","Standard")</f>
        <v>Standard</v>
      </c>
    </row>
    <row r="5921" customFormat="false" ht="15" hidden="false" customHeight="true" outlineLevel="0" collapsed="false">
      <c r="A5921" s="10" t="n">
        <f aca="false">Einstellungen!$B$5+INT((ROW()-9)/24)</f>
        <v>46212</v>
      </c>
      <c r="B5921" s="11" t="n">
        <f aca="false">MOD(ROW()-9,24)</f>
        <v>8</v>
      </c>
      <c r="C5921" s="12"/>
      <c r="D5921" s="13" t="n">
        <f aca="false">IF(B5921&lt;5,Einstellungen!$B$3,Einstellungen!$B$4)</f>
        <v>29.13</v>
      </c>
      <c r="E5921" s="14" t="str">
        <f aca="false">IF(C5921="","",C5921*D5921/100)</f>
        <v/>
      </c>
      <c r="F5921" s="15" t="str">
        <f aca="false">IF(B5921&lt;5,"Go","Standard")</f>
        <v>Standard</v>
      </c>
    </row>
    <row r="5922" customFormat="false" ht="15" hidden="false" customHeight="true" outlineLevel="0" collapsed="false">
      <c r="A5922" s="10" t="n">
        <f aca="false">Einstellungen!$B$5+INT((ROW()-9)/24)</f>
        <v>46212</v>
      </c>
      <c r="B5922" s="11" t="n">
        <f aca="false">MOD(ROW()-9,24)</f>
        <v>9</v>
      </c>
      <c r="C5922" s="12"/>
      <c r="D5922" s="13" t="n">
        <f aca="false">IF(B5922&lt;5,Einstellungen!$B$3,Einstellungen!$B$4)</f>
        <v>29.13</v>
      </c>
      <c r="E5922" s="14" t="str">
        <f aca="false">IF(C5922="","",C5922*D5922/100)</f>
        <v/>
      </c>
      <c r="F5922" s="15" t="str">
        <f aca="false">IF(B5922&lt;5,"Go","Standard")</f>
        <v>Standard</v>
      </c>
    </row>
    <row r="5923" customFormat="false" ht="15" hidden="false" customHeight="true" outlineLevel="0" collapsed="false">
      <c r="A5923" s="10" t="n">
        <f aca="false">Einstellungen!$B$5+INT((ROW()-9)/24)</f>
        <v>46212</v>
      </c>
      <c r="B5923" s="11" t="n">
        <f aca="false">MOD(ROW()-9,24)</f>
        <v>10</v>
      </c>
      <c r="C5923" s="12"/>
      <c r="D5923" s="13" t="n">
        <f aca="false">IF(B5923&lt;5,Einstellungen!$B$3,Einstellungen!$B$4)</f>
        <v>29.13</v>
      </c>
      <c r="E5923" s="14" t="str">
        <f aca="false">IF(C5923="","",C5923*D5923/100)</f>
        <v/>
      </c>
      <c r="F5923" s="15" t="str">
        <f aca="false">IF(B5923&lt;5,"Go","Standard")</f>
        <v>Standard</v>
      </c>
    </row>
    <row r="5924" customFormat="false" ht="15" hidden="false" customHeight="true" outlineLevel="0" collapsed="false">
      <c r="A5924" s="10" t="n">
        <f aca="false">Einstellungen!$B$5+INT((ROW()-9)/24)</f>
        <v>46212</v>
      </c>
      <c r="B5924" s="11" t="n">
        <f aca="false">MOD(ROW()-9,24)</f>
        <v>11</v>
      </c>
      <c r="C5924" s="12"/>
      <c r="D5924" s="13" t="n">
        <f aca="false">IF(B5924&lt;5,Einstellungen!$B$3,Einstellungen!$B$4)</f>
        <v>29.13</v>
      </c>
      <c r="E5924" s="14" t="str">
        <f aca="false">IF(C5924="","",C5924*D5924/100)</f>
        <v/>
      </c>
      <c r="F5924" s="15" t="str">
        <f aca="false">IF(B5924&lt;5,"Go","Standard")</f>
        <v>Standard</v>
      </c>
    </row>
    <row r="5925" customFormat="false" ht="15" hidden="false" customHeight="true" outlineLevel="0" collapsed="false">
      <c r="A5925" s="10" t="n">
        <f aca="false">Einstellungen!$B$5+INT((ROW()-9)/24)</f>
        <v>46212</v>
      </c>
      <c r="B5925" s="11" t="n">
        <f aca="false">MOD(ROW()-9,24)</f>
        <v>12</v>
      </c>
      <c r="C5925" s="12"/>
      <c r="D5925" s="13" t="n">
        <f aca="false">IF(B5925&lt;5,Einstellungen!$B$3,Einstellungen!$B$4)</f>
        <v>29.13</v>
      </c>
      <c r="E5925" s="14" t="str">
        <f aca="false">IF(C5925="","",C5925*D5925/100)</f>
        <v/>
      </c>
      <c r="F5925" s="15" t="str">
        <f aca="false">IF(B5925&lt;5,"Go","Standard")</f>
        <v>Standard</v>
      </c>
    </row>
    <row r="5926" customFormat="false" ht="15" hidden="false" customHeight="true" outlineLevel="0" collapsed="false">
      <c r="A5926" s="10" t="n">
        <f aca="false">Einstellungen!$B$5+INT((ROW()-9)/24)</f>
        <v>46212</v>
      </c>
      <c r="B5926" s="11" t="n">
        <f aca="false">MOD(ROW()-9,24)</f>
        <v>13</v>
      </c>
      <c r="C5926" s="12"/>
      <c r="D5926" s="13" t="n">
        <f aca="false">IF(B5926&lt;5,Einstellungen!$B$3,Einstellungen!$B$4)</f>
        <v>29.13</v>
      </c>
      <c r="E5926" s="14" t="str">
        <f aca="false">IF(C5926="","",C5926*D5926/100)</f>
        <v/>
      </c>
      <c r="F5926" s="15" t="str">
        <f aca="false">IF(B5926&lt;5,"Go","Standard")</f>
        <v>Standard</v>
      </c>
    </row>
    <row r="5927" customFormat="false" ht="15" hidden="false" customHeight="true" outlineLevel="0" collapsed="false">
      <c r="A5927" s="10" t="n">
        <f aca="false">Einstellungen!$B$5+INT((ROW()-9)/24)</f>
        <v>46212</v>
      </c>
      <c r="B5927" s="11" t="n">
        <f aca="false">MOD(ROW()-9,24)</f>
        <v>14</v>
      </c>
      <c r="C5927" s="12"/>
      <c r="D5927" s="13" t="n">
        <f aca="false">IF(B5927&lt;5,Einstellungen!$B$3,Einstellungen!$B$4)</f>
        <v>29.13</v>
      </c>
      <c r="E5927" s="14" t="str">
        <f aca="false">IF(C5927="","",C5927*D5927/100)</f>
        <v/>
      </c>
      <c r="F5927" s="15" t="str">
        <f aca="false">IF(B5927&lt;5,"Go","Standard")</f>
        <v>Standard</v>
      </c>
    </row>
    <row r="5928" customFormat="false" ht="15" hidden="false" customHeight="true" outlineLevel="0" collapsed="false">
      <c r="A5928" s="10" t="n">
        <f aca="false">Einstellungen!$B$5+INT((ROW()-9)/24)</f>
        <v>46212</v>
      </c>
      <c r="B5928" s="11" t="n">
        <f aca="false">MOD(ROW()-9,24)</f>
        <v>15</v>
      </c>
      <c r="C5928" s="12"/>
      <c r="D5928" s="13" t="n">
        <f aca="false">IF(B5928&lt;5,Einstellungen!$B$3,Einstellungen!$B$4)</f>
        <v>29.13</v>
      </c>
      <c r="E5928" s="14" t="str">
        <f aca="false">IF(C5928="","",C5928*D5928/100)</f>
        <v/>
      </c>
      <c r="F5928" s="15" t="str">
        <f aca="false">IF(B5928&lt;5,"Go","Standard")</f>
        <v>Standard</v>
      </c>
    </row>
    <row r="5929" customFormat="false" ht="15" hidden="false" customHeight="true" outlineLevel="0" collapsed="false">
      <c r="A5929" s="10" t="n">
        <f aca="false">Einstellungen!$B$5+INT((ROW()-9)/24)</f>
        <v>46212</v>
      </c>
      <c r="B5929" s="11" t="n">
        <f aca="false">MOD(ROW()-9,24)</f>
        <v>16</v>
      </c>
      <c r="C5929" s="12"/>
      <c r="D5929" s="13" t="n">
        <f aca="false">IF(B5929&lt;5,Einstellungen!$B$3,Einstellungen!$B$4)</f>
        <v>29.13</v>
      </c>
      <c r="E5929" s="14" t="str">
        <f aca="false">IF(C5929="","",C5929*D5929/100)</f>
        <v/>
      </c>
      <c r="F5929" s="15" t="str">
        <f aca="false">IF(B5929&lt;5,"Go","Standard")</f>
        <v>Standard</v>
      </c>
    </row>
    <row r="5930" customFormat="false" ht="15" hidden="false" customHeight="true" outlineLevel="0" collapsed="false">
      <c r="A5930" s="10" t="n">
        <f aca="false">Einstellungen!$B$5+INT((ROW()-9)/24)</f>
        <v>46212</v>
      </c>
      <c r="B5930" s="11" t="n">
        <f aca="false">MOD(ROW()-9,24)</f>
        <v>17</v>
      </c>
      <c r="C5930" s="12"/>
      <c r="D5930" s="13" t="n">
        <f aca="false">IF(B5930&lt;5,Einstellungen!$B$3,Einstellungen!$B$4)</f>
        <v>29.13</v>
      </c>
      <c r="E5930" s="14" t="str">
        <f aca="false">IF(C5930="","",C5930*D5930/100)</f>
        <v/>
      </c>
      <c r="F5930" s="15" t="str">
        <f aca="false">IF(B5930&lt;5,"Go","Standard")</f>
        <v>Standard</v>
      </c>
    </row>
    <row r="5931" customFormat="false" ht="15" hidden="false" customHeight="true" outlineLevel="0" collapsed="false">
      <c r="A5931" s="10" t="n">
        <f aca="false">Einstellungen!$B$5+INT((ROW()-9)/24)</f>
        <v>46212</v>
      </c>
      <c r="B5931" s="11" t="n">
        <f aca="false">MOD(ROW()-9,24)</f>
        <v>18</v>
      </c>
      <c r="C5931" s="12"/>
      <c r="D5931" s="13" t="n">
        <f aca="false">IF(B5931&lt;5,Einstellungen!$B$3,Einstellungen!$B$4)</f>
        <v>29.13</v>
      </c>
      <c r="E5931" s="14" t="str">
        <f aca="false">IF(C5931="","",C5931*D5931/100)</f>
        <v/>
      </c>
      <c r="F5931" s="15" t="str">
        <f aca="false">IF(B5931&lt;5,"Go","Standard")</f>
        <v>Standard</v>
      </c>
    </row>
    <row r="5932" customFormat="false" ht="15" hidden="false" customHeight="true" outlineLevel="0" collapsed="false">
      <c r="A5932" s="10" t="n">
        <f aca="false">Einstellungen!$B$5+INT((ROW()-9)/24)</f>
        <v>46212</v>
      </c>
      <c r="B5932" s="11" t="n">
        <f aca="false">MOD(ROW()-9,24)</f>
        <v>19</v>
      </c>
      <c r="C5932" s="12"/>
      <c r="D5932" s="13" t="n">
        <f aca="false">IF(B5932&lt;5,Einstellungen!$B$3,Einstellungen!$B$4)</f>
        <v>29.13</v>
      </c>
      <c r="E5932" s="14" t="str">
        <f aca="false">IF(C5932="","",C5932*D5932/100)</f>
        <v/>
      </c>
      <c r="F5932" s="15" t="str">
        <f aca="false">IF(B5932&lt;5,"Go","Standard")</f>
        <v>Standard</v>
      </c>
    </row>
    <row r="5933" customFormat="false" ht="15" hidden="false" customHeight="true" outlineLevel="0" collapsed="false">
      <c r="A5933" s="10" t="n">
        <f aca="false">Einstellungen!$B$5+INT((ROW()-9)/24)</f>
        <v>46212</v>
      </c>
      <c r="B5933" s="11" t="n">
        <f aca="false">MOD(ROW()-9,24)</f>
        <v>20</v>
      </c>
      <c r="C5933" s="12"/>
      <c r="D5933" s="13" t="n">
        <f aca="false">IF(B5933&lt;5,Einstellungen!$B$3,Einstellungen!$B$4)</f>
        <v>29.13</v>
      </c>
      <c r="E5933" s="14" t="str">
        <f aca="false">IF(C5933="","",C5933*D5933/100)</f>
        <v/>
      </c>
      <c r="F5933" s="15" t="str">
        <f aca="false">IF(B5933&lt;5,"Go","Standard")</f>
        <v>Standard</v>
      </c>
    </row>
    <row r="5934" customFormat="false" ht="15" hidden="false" customHeight="true" outlineLevel="0" collapsed="false">
      <c r="A5934" s="10" t="n">
        <f aca="false">Einstellungen!$B$5+INT((ROW()-9)/24)</f>
        <v>46212</v>
      </c>
      <c r="B5934" s="11" t="n">
        <f aca="false">MOD(ROW()-9,24)</f>
        <v>21</v>
      </c>
      <c r="C5934" s="12"/>
      <c r="D5934" s="13" t="n">
        <f aca="false">IF(B5934&lt;5,Einstellungen!$B$3,Einstellungen!$B$4)</f>
        <v>29.13</v>
      </c>
      <c r="E5934" s="14" t="str">
        <f aca="false">IF(C5934="","",C5934*D5934/100)</f>
        <v/>
      </c>
      <c r="F5934" s="15" t="str">
        <f aca="false">IF(B5934&lt;5,"Go","Standard")</f>
        <v>Standard</v>
      </c>
    </row>
    <row r="5935" customFormat="false" ht="15" hidden="false" customHeight="true" outlineLevel="0" collapsed="false">
      <c r="A5935" s="10" t="n">
        <f aca="false">Einstellungen!$B$5+INT((ROW()-9)/24)</f>
        <v>46212</v>
      </c>
      <c r="B5935" s="11" t="n">
        <f aca="false">MOD(ROW()-9,24)</f>
        <v>22</v>
      </c>
      <c r="C5935" s="12"/>
      <c r="D5935" s="13" t="n">
        <f aca="false">IF(B5935&lt;5,Einstellungen!$B$3,Einstellungen!$B$4)</f>
        <v>29.13</v>
      </c>
      <c r="E5935" s="14" t="str">
        <f aca="false">IF(C5935="","",C5935*D5935/100)</f>
        <v/>
      </c>
      <c r="F5935" s="15" t="str">
        <f aca="false">IF(B5935&lt;5,"Go","Standard")</f>
        <v>Standard</v>
      </c>
    </row>
    <row r="5936" customFormat="false" ht="15" hidden="false" customHeight="true" outlineLevel="0" collapsed="false">
      <c r="A5936" s="10" t="n">
        <f aca="false">Einstellungen!$B$5+INT((ROW()-9)/24)</f>
        <v>46212</v>
      </c>
      <c r="B5936" s="11" t="n">
        <f aca="false">MOD(ROW()-9,24)</f>
        <v>23</v>
      </c>
      <c r="C5936" s="12"/>
      <c r="D5936" s="13" t="n">
        <f aca="false">IF(B5936&lt;5,Einstellungen!$B$3,Einstellungen!$B$4)</f>
        <v>29.13</v>
      </c>
      <c r="E5936" s="14" t="str">
        <f aca="false">IF(C5936="","",C5936*D5936/100)</f>
        <v/>
      </c>
      <c r="F5936" s="15" t="str">
        <f aca="false">IF(B5936&lt;5,"Go","Standard")</f>
        <v>Standard</v>
      </c>
    </row>
    <row r="5937" customFormat="false" ht="15" hidden="false" customHeight="true" outlineLevel="0" collapsed="false">
      <c r="A5937" s="10" t="n">
        <f aca="false">Einstellungen!$B$5+INT((ROW()-9)/24)</f>
        <v>46213</v>
      </c>
      <c r="B5937" s="11" t="n">
        <f aca="false">MOD(ROW()-9,24)</f>
        <v>0</v>
      </c>
      <c r="C5937" s="12"/>
      <c r="D5937" s="13" t="n">
        <f aca="false">IF(B5937&lt;5,Einstellungen!$B$3,Einstellungen!$B$4)</f>
        <v>15.92</v>
      </c>
      <c r="E5937" s="14" t="str">
        <f aca="false">IF(C5937="","",C5937*D5937/100)</f>
        <v/>
      </c>
      <c r="F5937" s="15" t="str">
        <f aca="false">IF(B5937&lt;5,"Go","Standard")</f>
        <v>Go</v>
      </c>
    </row>
    <row r="5938" customFormat="false" ht="15" hidden="false" customHeight="true" outlineLevel="0" collapsed="false">
      <c r="A5938" s="10" t="n">
        <f aca="false">Einstellungen!$B$5+INT((ROW()-9)/24)</f>
        <v>46213</v>
      </c>
      <c r="B5938" s="11" t="n">
        <f aca="false">MOD(ROW()-9,24)</f>
        <v>1</v>
      </c>
      <c r="C5938" s="12"/>
      <c r="D5938" s="13" t="n">
        <f aca="false">IF(B5938&lt;5,Einstellungen!$B$3,Einstellungen!$B$4)</f>
        <v>15.92</v>
      </c>
      <c r="E5938" s="14" t="str">
        <f aca="false">IF(C5938="","",C5938*D5938/100)</f>
        <v/>
      </c>
      <c r="F5938" s="15" t="str">
        <f aca="false">IF(B5938&lt;5,"Go","Standard")</f>
        <v>Go</v>
      </c>
    </row>
    <row r="5939" customFormat="false" ht="15" hidden="false" customHeight="true" outlineLevel="0" collapsed="false">
      <c r="A5939" s="10" t="n">
        <f aca="false">Einstellungen!$B$5+INT((ROW()-9)/24)</f>
        <v>46213</v>
      </c>
      <c r="B5939" s="11" t="n">
        <f aca="false">MOD(ROW()-9,24)</f>
        <v>2</v>
      </c>
      <c r="C5939" s="12"/>
      <c r="D5939" s="13" t="n">
        <f aca="false">IF(B5939&lt;5,Einstellungen!$B$3,Einstellungen!$B$4)</f>
        <v>15.92</v>
      </c>
      <c r="E5939" s="14" t="str">
        <f aca="false">IF(C5939="","",C5939*D5939/100)</f>
        <v/>
      </c>
      <c r="F5939" s="15" t="str">
        <f aca="false">IF(B5939&lt;5,"Go","Standard")</f>
        <v>Go</v>
      </c>
    </row>
    <row r="5940" customFormat="false" ht="15" hidden="false" customHeight="true" outlineLevel="0" collapsed="false">
      <c r="A5940" s="10" t="n">
        <f aca="false">Einstellungen!$B$5+INT((ROW()-9)/24)</f>
        <v>46213</v>
      </c>
      <c r="B5940" s="11" t="n">
        <f aca="false">MOD(ROW()-9,24)</f>
        <v>3</v>
      </c>
      <c r="C5940" s="12"/>
      <c r="D5940" s="13" t="n">
        <f aca="false">IF(B5940&lt;5,Einstellungen!$B$3,Einstellungen!$B$4)</f>
        <v>15.92</v>
      </c>
      <c r="E5940" s="14" t="str">
        <f aca="false">IF(C5940="","",C5940*D5940/100)</f>
        <v/>
      </c>
      <c r="F5940" s="15" t="str">
        <f aca="false">IF(B5940&lt;5,"Go","Standard")</f>
        <v>Go</v>
      </c>
    </row>
    <row r="5941" customFormat="false" ht="15" hidden="false" customHeight="true" outlineLevel="0" collapsed="false">
      <c r="A5941" s="10" t="n">
        <f aca="false">Einstellungen!$B$5+INT((ROW()-9)/24)</f>
        <v>46213</v>
      </c>
      <c r="B5941" s="11" t="n">
        <f aca="false">MOD(ROW()-9,24)</f>
        <v>4</v>
      </c>
      <c r="C5941" s="12"/>
      <c r="D5941" s="13" t="n">
        <f aca="false">IF(B5941&lt;5,Einstellungen!$B$3,Einstellungen!$B$4)</f>
        <v>15.92</v>
      </c>
      <c r="E5941" s="14" t="str">
        <f aca="false">IF(C5941="","",C5941*D5941/100)</f>
        <v/>
      </c>
      <c r="F5941" s="15" t="str">
        <f aca="false">IF(B5941&lt;5,"Go","Standard")</f>
        <v>Go</v>
      </c>
    </row>
    <row r="5942" customFormat="false" ht="15" hidden="false" customHeight="true" outlineLevel="0" collapsed="false">
      <c r="A5942" s="10" t="n">
        <f aca="false">Einstellungen!$B$5+INT((ROW()-9)/24)</f>
        <v>46213</v>
      </c>
      <c r="B5942" s="11" t="n">
        <f aca="false">MOD(ROW()-9,24)</f>
        <v>5</v>
      </c>
      <c r="C5942" s="12"/>
      <c r="D5942" s="13" t="n">
        <f aca="false">IF(B5942&lt;5,Einstellungen!$B$3,Einstellungen!$B$4)</f>
        <v>29.13</v>
      </c>
      <c r="E5942" s="14" t="str">
        <f aca="false">IF(C5942="","",C5942*D5942/100)</f>
        <v/>
      </c>
      <c r="F5942" s="15" t="str">
        <f aca="false">IF(B5942&lt;5,"Go","Standard")</f>
        <v>Standard</v>
      </c>
    </row>
    <row r="5943" customFormat="false" ht="15" hidden="false" customHeight="true" outlineLevel="0" collapsed="false">
      <c r="A5943" s="10" t="n">
        <f aca="false">Einstellungen!$B$5+INT((ROW()-9)/24)</f>
        <v>46213</v>
      </c>
      <c r="B5943" s="11" t="n">
        <f aca="false">MOD(ROW()-9,24)</f>
        <v>6</v>
      </c>
      <c r="C5943" s="12"/>
      <c r="D5943" s="13" t="n">
        <f aca="false">IF(B5943&lt;5,Einstellungen!$B$3,Einstellungen!$B$4)</f>
        <v>29.13</v>
      </c>
      <c r="E5943" s="14" t="str">
        <f aca="false">IF(C5943="","",C5943*D5943/100)</f>
        <v/>
      </c>
      <c r="F5943" s="15" t="str">
        <f aca="false">IF(B5943&lt;5,"Go","Standard")</f>
        <v>Standard</v>
      </c>
    </row>
    <row r="5944" customFormat="false" ht="15" hidden="false" customHeight="true" outlineLevel="0" collapsed="false">
      <c r="A5944" s="10" t="n">
        <f aca="false">Einstellungen!$B$5+INT((ROW()-9)/24)</f>
        <v>46213</v>
      </c>
      <c r="B5944" s="11" t="n">
        <f aca="false">MOD(ROW()-9,24)</f>
        <v>7</v>
      </c>
      <c r="C5944" s="12"/>
      <c r="D5944" s="13" t="n">
        <f aca="false">IF(B5944&lt;5,Einstellungen!$B$3,Einstellungen!$B$4)</f>
        <v>29.13</v>
      </c>
      <c r="E5944" s="14" t="str">
        <f aca="false">IF(C5944="","",C5944*D5944/100)</f>
        <v/>
      </c>
      <c r="F5944" s="15" t="str">
        <f aca="false">IF(B5944&lt;5,"Go","Standard")</f>
        <v>Standard</v>
      </c>
    </row>
    <row r="5945" customFormat="false" ht="15" hidden="false" customHeight="true" outlineLevel="0" collapsed="false">
      <c r="A5945" s="10" t="n">
        <f aca="false">Einstellungen!$B$5+INT((ROW()-9)/24)</f>
        <v>46213</v>
      </c>
      <c r="B5945" s="11" t="n">
        <f aca="false">MOD(ROW()-9,24)</f>
        <v>8</v>
      </c>
      <c r="C5945" s="12"/>
      <c r="D5945" s="13" t="n">
        <f aca="false">IF(B5945&lt;5,Einstellungen!$B$3,Einstellungen!$B$4)</f>
        <v>29.13</v>
      </c>
      <c r="E5945" s="14" t="str">
        <f aca="false">IF(C5945="","",C5945*D5945/100)</f>
        <v/>
      </c>
      <c r="F5945" s="15" t="str">
        <f aca="false">IF(B5945&lt;5,"Go","Standard")</f>
        <v>Standard</v>
      </c>
    </row>
    <row r="5946" customFormat="false" ht="15" hidden="false" customHeight="true" outlineLevel="0" collapsed="false">
      <c r="A5946" s="10" t="n">
        <f aca="false">Einstellungen!$B$5+INT((ROW()-9)/24)</f>
        <v>46213</v>
      </c>
      <c r="B5946" s="11" t="n">
        <f aca="false">MOD(ROW()-9,24)</f>
        <v>9</v>
      </c>
      <c r="C5946" s="12"/>
      <c r="D5946" s="13" t="n">
        <f aca="false">IF(B5946&lt;5,Einstellungen!$B$3,Einstellungen!$B$4)</f>
        <v>29.13</v>
      </c>
      <c r="E5946" s="14" t="str">
        <f aca="false">IF(C5946="","",C5946*D5946/100)</f>
        <v/>
      </c>
      <c r="F5946" s="15" t="str">
        <f aca="false">IF(B5946&lt;5,"Go","Standard")</f>
        <v>Standard</v>
      </c>
    </row>
    <row r="5947" customFormat="false" ht="15" hidden="false" customHeight="true" outlineLevel="0" collapsed="false">
      <c r="A5947" s="10" t="n">
        <f aca="false">Einstellungen!$B$5+INT((ROW()-9)/24)</f>
        <v>46213</v>
      </c>
      <c r="B5947" s="11" t="n">
        <f aca="false">MOD(ROW()-9,24)</f>
        <v>10</v>
      </c>
      <c r="C5947" s="12"/>
      <c r="D5947" s="13" t="n">
        <f aca="false">IF(B5947&lt;5,Einstellungen!$B$3,Einstellungen!$B$4)</f>
        <v>29.13</v>
      </c>
      <c r="E5947" s="14" t="str">
        <f aca="false">IF(C5947="","",C5947*D5947/100)</f>
        <v/>
      </c>
      <c r="F5947" s="15" t="str">
        <f aca="false">IF(B5947&lt;5,"Go","Standard")</f>
        <v>Standard</v>
      </c>
    </row>
    <row r="5948" customFormat="false" ht="15" hidden="false" customHeight="true" outlineLevel="0" collapsed="false">
      <c r="A5948" s="10" t="n">
        <f aca="false">Einstellungen!$B$5+INT((ROW()-9)/24)</f>
        <v>46213</v>
      </c>
      <c r="B5948" s="11" t="n">
        <f aca="false">MOD(ROW()-9,24)</f>
        <v>11</v>
      </c>
      <c r="C5948" s="12"/>
      <c r="D5948" s="13" t="n">
        <f aca="false">IF(B5948&lt;5,Einstellungen!$B$3,Einstellungen!$B$4)</f>
        <v>29.13</v>
      </c>
      <c r="E5948" s="14" t="str">
        <f aca="false">IF(C5948="","",C5948*D5948/100)</f>
        <v/>
      </c>
      <c r="F5948" s="15" t="str">
        <f aca="false">IF(B5948&lt;5,"Go","Standard")</f>
        <v>Standard</v>
      </c>
    </row>
    <row r="5949" customFormat="false" ht="15" hidden="false" customHeight="true" outlineLevel="0" collapsed="false">
      <c r="A5949" s="10" t="n">
        <f aca="false">Einstellungen!$B$5+INT((ROW()-9)/24)</f>
        <v>46213</v>
      </c>
      <c r="B5949" s="11" t="n">
        <f aca="false">MOD(ROW()-9,24)</f>
        <v>12</v>
      </c>
      <c r="C5949" s="12"/>
      <c r="D5949" s="13" t="n">
        <f aca="false">IF(B5949&lt;5,Einstellungen!$B$3,Einstellungen!$B$4)</f>
        <v>29.13</v>
      </c>
      <c r="E5949" s="14" t="str">
        <f aca="false">IF(C5949="","",C5949*D5949/100)</f>
        <v/>
      </c>
      <c r="F5949" s="15" t="str">
        <f aca="false">IF(B5949&lt;5,"Go","Standard")</f>
        <v>Standard</v>
      </c>
    </row>
    <row r="5950" customFormat="false" ht="15" hidden="false" customHeight="true" outlineLevel="0" collapsed="false">
      <c r="A5950" s="10" t="n">
        <f aca="false">Einstellungen!$B$5+INT((ROW()-9)/24)</f>
        <v>46213</v>
      </c>
      <c r="B5950" s="11" t="n">
        <f aca="false">MOD(ROW()-9,24)</f>
        <v>13</v>
      </c>
      <c r="C5950" s="12"/>
      <c r="D5950" s="13" t="n">
        <f aca="false">IF(B5950&lt;5,Einstellungen!$B$3,Einstellungen!$B$4)</f>
        <v>29.13</v>
      </c>
      <c r="E5950" s="14" t="str">
        <f aca="false">IF(C5950="","",C5950*D5950/100)</f>
        <v/>
      </c>
      <c r="F5950" s="15" t="str">
        <f aca="false">IF(B5950&lt;5,"Go","Standard")</f>
        <v>Standard</v>
      </c>
    </row>
    <row r="5951" customFormat="false" ht="15" hidden="false" customHeight="true" outlineLevel="0" collapsed="false">
      <c r="A5951" s="10" t="n">
        <f aca="false">Einstellungen!$B$5+INT((ROW()-9)/24)</f>
        <v>46213</v>
      </c>
      <c r="B5951" s="11" t="n">
        <f aca="false">MOD(ROW()-9,24)</f>
        <v>14</v>
      </c>
      <c r="C5951" s="12"/>
      <c r="D5951" s="13" t="n">
        <f aca="false">IF(B5951&lt;5,Einstellungen!$B$3,Einstellungen!$B$4)</f>
        <v>29.13</v>
      </c>
      <c r="E5951" s="14" t="str">
        <f aca="false">IF(C5951="","",C5951*D5951/100)</f>
        <v/>
      </c>
      <c r="F5951" s="15" t="str">
        <f aca="false">IF(B5951&lt;5,"Go","Standard")</f>
        <v>Standard</v>
      </c>
    </row>
    <row r="5952" customFormat="false" ht="15" hidden="false" customHeight="true" outlineLevel="0" collapsed="false">
      <c r="A5952" s="10" t="n">
        <f aca="false">Einstellungen!$B$5+INT((ROW()-9)/24)</f>
        <v>46213</v>
      </c>
      <c r="B5952" s="11" t="n">
        <f aca="false">MOD(ROW()-9,24)</f>
        <v>15</v>
      </c>
      <c r="C5952" s="12"/>
      <c r="D5952" s="13" t="n">
        <f aca="false">IF(B5952&lt;5,Einstellungen!$B$3,Einstellungen!$B$4)</f>
        <v>29.13</v>
      </c>
      <c r="E5952" s="14" t="str">
        <f aca="false">IF(C5952="","",C5952*D5952/100)</f>
        <v/>
      </c>
      <c r="F5952" s="15" t="str">
        <f aca="false">IF(B5952&lt;5,"Go","Standard")</f>
        <v>Standard</v>
      </c>
    </row>
    <row r="5953" customFormat="false" ht="15" hidden="false" customHeight="true" outlineLevel="0" collapsed="false">
      <c r="A5953" s="10" t="n">
        <f aca="false">Einstellungen!$B$5+INT((ROW()-9)/24)</f>
        <v>46213</v>
      </c>
      <c r="B5953" s="11" t="n">
        <f aca="false">MOD(ROW()-9,24)</f>
        <v>16</v>
      </c>
      <c r="C5953" s="12"/>
      <c r="D5953" s="13" t="n">
        <f aca="false">IF(B5953&lt;5,Einstellungen!$B$3,Einstellungen!$B$4)</f>
        <v>29.13</v>
      </c>
      <c r="E5953" s="14" t="str">
        <f aca="false">IF(C5953="","",C5953*D5953/100)</f>
        <v/>
      </c>
      <c r="F5953" s="15" t="str">
        <f aca="false">IF(B5953&lt;5,"Go","Standard")</f>
        <v>Standard</v>
      </c>
    </row>
    <row r="5954" customFormat="false" ht="15" hidden="false" customHeight="true" outlineLevel="0" collapsed="false">
      <c r="A5954" s="10" t="n">
        <f aca="false">Einstellungen!$B$5+INT((ROW()-9)/24)</f>
        <v>46213</v>
      </c>
      <c r="B5954" s="11" t="n">
        <f aca="false">MOD(ROW()-9,24)</f>
        <v>17</v>
      </c>
      <c r="C5954" s="12"/>
      <c r="D5954" s="13" t="n">
        <f aca="false">IF(B5954&lt;5,Einstellungen!$B$3,Einstellungen!$B$4)</f>
        <v>29.13</v>
      </c>
      <c r="E5954" s="14" t="str">
        <f aca="false">IF(C5954="","",C5954*D5954/100)</f>
        <v/>
      </c>
      <c r="F5954" s="15" t="str">
        <f aca="false">IF(B5954&lt;5,"Go","Standard")</f>
        <v>Standard</v>
      </c>
    </row>
    <row r="5955" customFormat="false" ht="15" hidden="false" customHeight="true" outlineLevel="0" collapsed="false">
      <c r="A5955" s="10" t="n">
        <f aca="false">Einstellungen!$B$5+INT((ROW()-9)/24)</f>
        <v>46213</v>
      </c>
      <c r="B5955" s="11" t="n">
        <f aca="false">MOD(ROW()-9,24)</f>
        <v>18</v>
      </c>
      <c r="C5955" s="12"/>
      <c r="D5955" s="13" t="n">
        <f aca="false">IF(B5955&lt;5,Einstellungen!$B$3,Einstellungen!$B$4)</f>
        <v>29.13</v>
      </c>
      <c r="E5955" s="14" t="str">
        <f aca="false">IF(C5955="","",C5955*D5955/100)</f>
        <v/>
      </c>
      <c r="F5955" s="15" t="str">
        <f aca="false">IF(B5955&lt;5,"Go","Standard")</f>
        <v>Standard</v>
      </c>
    </row>
    <row r="5956" customFormat="false" ht="15" hidden="false" customHeight="true" outlineLevel="0" collapsed="false">
      <c r="A5956" s="10" t="n">
        <f aca="false">Einstellungen!$B$5+INT((ROW()-9)/24)</f>
        <v>46213</v>
      </c>
      <c r="B5956" s="11" t="n">
        <f aca="false">MOD(ROW()-9,24)</f>
        <v>19</v>
      </c>
      <c r="C5956" s="12"/>
      <c r="D5956" s="13" t="n">
        <f aca="false">IF(B5956&lt;5,Einstellungen!$B$3,Einstellungen!$B$4)</f>
        <v>29.13</v>
      </c>
      <c r="E5956" s="14" t="str">
        <f aca="false">IF(C5956="","",C5956*D5956/100)</f>
        <v/>
      </c>
      <c r="F5956" s="15" t="str">
        <f aca="false">IF(B5956&lt;5,"Go","Standard")</f>
        <v>Standard</v>
      </c>
    </row>
    <row r="5957" customFormat="false" ht="15" hidden="false" customHeight="true" outlineLevel="0" collapsed="false">
      <c r="A5957" s="10" t="n">
        <f aca="false">Einstellungen!$B$5+INT((ROW()-9)/24)</f>
        <v>46213</v>
      </c>
      <c r="B5957" s="11" t="n">
        <f aca="false">MOD(ROW()-9,24)</f>
        <v>20</v>
      </c>
      <c r="C5957" s="12"/>
      <c r="D5957" s="13" t="n">
        <f aca="false">IF(B5957&lt;5,Einstellungen!$B$3,Einstellungen!$B$4)</f>
        <v>29.13</v>
      </c>
      <c r="E5957" s="14" t="str">
        <f aca="false">IF(C5957="","",C5957*D5957/100)</f>
        <v/>
      </c>
      <c r="F5957" s="15" t="str">
        <f aca="false">IF(B5957&lt;5,"Go","Standard")</f>
        <v>Standard</v>
      </c>
    </row>
    <row r="5958" customFormat="false" ht="15" hidden="false" customHeight="true" outlineLevel="0" collapsed="false">
      <c r="A5958" s="10" t="n">
        <f aca="false">Einstellungen!$B$5+INT((ROW()-9)/24)</f>
        <v>46213</v>
      </c>
      <c r="B5958" s="11" t="n">
        <f aca="false">MOD(ROW()-9,24)</f>
        <v>21</v>
      </c>
      <c r="C5958" s="12"/>
      <c r="D5958" s="13" t="n">
        <f aca="false">IF(B5958&lt;5,Einstellungen!$B$3,Einstellungen!$B$4)</f>
        <v>29.13</v>
      </c>
      <c r="E5958" s="14" t="str">
        <f aca="false">IF(C5958="","",C5958*D5958/100)</f>
        <v/>
      </c>
      <c r="F5958" s="15" t="str">
        <f aca="false">IF(B5958&lt;5,"Go","Standard")</f>
        <v>Standard</v>
      </c>
    </row>
    <row r="5959" customFormat="false" ht="15" hidden="false" customHeight="true" outlineLevel="0" collapsed="false">
      <c r="A5959" s="10" t="n">
        <f aca="false">Einstellungen!$B$5+INT((ROW()-9)/24)</f>
        <v>46213</v>
      </c>
      <c r="B5959" s="11" t="n">
        <f aca="false">MOD(ROW()-9,24)</f>
        <v>22</v>
      </c>
      <c r="C5959" s="12"/>
      <c r="D5959" s="13" t="n">
        <f aca="false">IF(B5959&lt;5,Einstellungen!$B$3,Einstellungen!$B$4)</f>
        <v>29.13</v>
      </c>
      <c r="E5959" s="14" t="str">
        <f aca="false">IF(C5959="","",C5959*D5959/100)</f>
        <v/>
      </c>
      <c r="F5959" s="15" t="str">
        <f aca="false">IF(B5959&lt;5,"Go","Standard")</f>
        <v>Standard</v>
      </c>
    </row>
    <row r="5960" customFormat="false" ht="15" hidden="false" customHeight="true" outlineLevel="0" collapsed="false">
      <c r="A5960" s="10" t="n">
        <f aca="false">Einstellungen!$B$5+INT((ROW()-9)/24)</f>
        <v>46213</v>
      </c>
      <c r="B5960" s="11" t="n">
        <f aca="false">MOD(ROW()-9,24)</f>
        <v>23</v>
      </c>
      <c r="C5960" s="12"/>
      <c r="D5960" s="13" t="n">
        <f aca="false">IF(B5960&lt;5,Einstellungen!$B$3,Einstellungen!$B$4)</f>
        <v>29.13</v>
      </c>
      <c r="E5960" s="14" t="str">
        <f aca="false">IF(C5960="","",C5960*D5960/100)</f>
        <v/>
      </c>
      <c r="F5960" s="15" t="str">
        <f aca="false">IF(B5960&lt;5,"Go","Standard")</f>
        <v>Standard</v>
      </c>
    </row>
    <row r="5961" customFormat="false" ht="15" hidden="false" customHeight="true" outlineLevel="0" collapsed="false">
      <c r="A5961" s="10" t="n">
        <f aca="false">Einstellungen!$B$5+INT((ROW()-9)/24)</f>
        <v>46214</v>
      </c>
      <c r="B5961" s="11" t="n">
        <f aca="false">MOD(ROW()-9,24)</f>
        <v>0</v>
      </c>
      <c r="C5961" s="12"/>
      <c r="D5961" s="13" t="n">
        <f aca="false">IF(B5961&lt;5,Einstellungen!$B$3,Einstellungen!$B$4)</f>
        <v>15.92</v>
      </c>
      <c r="E5961" s="14" t="str">
        <f aca="false">IF(C5961="","",C5961*D5961/100)</f>
        <v/>
      </c>
      <c r="F5961" s="15" t="str">
        <f aca="false">IF(B5961&lt;5,"Go","Standard")</f>
        <v>Go</v>
      </c>
    </row>
    <row r="5962" customFormat="false" ht="15" hidden="false" customHeight="true" outlineLevel="0" collapsed="false">
      <c r="A5962" s="10" t="n">
        <f aca="false">Einstellungen!$B$5+INT((ROW()-9)/24)</f>
        <v>46214</v>
      </c>
      <c r="B5962" s="11" t="n">
        <f aca="false">MOD(ROW()-9,24)</f>
        <v>1</v>
      </c>
      <c r="C5962" s="12"/>
      <c r="D5962" s="13" t="n">
        <f aca="false">IF(B5962&lt;5,Einstellungen!$B$3,Einstellungen!$B$4)</f>
        <v>15.92</v>
      </c>
      <c r="E5962" s="14" t="str">
        <f aca="false">IF(C5962="","",C5962*D5962/100)</f>
        <v/>
      </c>
      <c r="F5962" s="15" t="str">
        <f aca="false">IF(B5962&lt;5,"Go","Standard")</f>
        <v>Go</v>
      </c>
    </row>
    <row r="5963" customFormat="false" ht="15" hidden="false" customHeight="true" outlineLevel="0" collapsed="false">
      <c r="A5963" s="10" t="n">
        <f aca="false">Einstellungen!$B$5+INT((ROW()-9)/24)</f>
        <v>46214</v>
      </c>
      <c r="B5963" s="11" t="n">
        <f aca="false">MOD(ROW()-9,24)</f>
        <v>2</v>
      </c>
      <c r="C5963" s="12"/>
      <c r="D5963" s="13" t="n">
        <f aca="false">IF(B5963&lt;5,Einstellungen!$B$3,Einstellungen!$B$4)</f>
        <v>15.92</v>
      </c>
      <c r="E5963" s="14" t="str">
        <f aca="false">IF(C5963="","",C5963*D5963/100)</f>
        <v/>
      </c>
      <c r="F5963" s="15" t="str">
        <f aca="false">IF(B5963&lt;5,"Go","Standard")</f>
        <v>Go</v>
      </c>
    </row>
    <row r="5964" customFormat="false" ht="15" hidden="false" customHeight="true" outlineLevel="0" collapsed="false">
      <c r="A5964" s="10" t="n">
        <f aca="false">Einstellungen!$B$5+INT((ROW()-9)/24)</f>
        <v>46214</v>
      </c>
      <c r="B5964" s="11" t="n">
        <f aca="false">MOD(ROW()-9,24)</f>
        <v>3</v>
      </c>
      <c r="C5964" s="12"/>
      <c r="D5964" s="13" t="n">
        <f aca="false">IF(B5964&lt;5,Einstellungen!$B$3,Einstellungen!$B$4)</f>
        <v>15.92</v>
      </c>
      <c r="E5964" s="14" t="str">
        <f aca="false">IF(C5964="","",C5964*D5964/100)</f>
        <v/>
      </c>
      <c r="F5964" s="15" t="str">
        <f aca="false">IF(B5964&lt;5,"Go","Standard")</f>
        <v>Go</v>
      </c>
    </row>
    <row r="5965" customFormat="false" ht="15" hidden="false" customHeight="true" outlineLevel="0" collapsed="false">
      <c r="A5965" s="10" t="n">
        <f aca="false">Einstellungen!$B$5+INT((ROW()-9)/24)</f>
        <v>46214</v>
      </c>
      <c r="B5965" s="11" t="n">
        <f aca="false">MOD(ROW()-9,24)</f>
        <v>4</v>
      </c>
      <c r="C5965" s="12"/>
      <c r="D5965" s="13" t="n">
        <f aca="false">IF(B5965&lt;5,Einstellungen!$B$3,Einstellungen!$B$4)</f>
        <v>15.92</v>
      </c>
      <c r="E5965" s="14" t="str">
        <f aca="false">IF(C5965="","",C5965*D5965/100)</f>
        <v/>
      </c>
      <c r="F5965" s="15" t="str">
        <f aca="false">IF(B5965&lt;5,"Go","Standard")</f>
        <v>Go</v>
      </c>
    </row>
    <row r="5966" customFormat="false" ht="15" hidden="false" customHeight="true" outlineLevel="0" collapsed="false">
      <c r="A5966" s="10" t="n">
        <f aca="false">Einstellungen!$B$5+INT((ROW()-9)/24)</f>
        <v>46214</v>
      </c>
      <c r="B5966" s="11" t="n">
        <f aca="false">MOD(ROW()-9,24)</f>
        <v>5</v>
      </c>
      <c r="C5966" s="12"/>
      <c r="D5966" s="13" t="n">
        <f aca="false">IF(B5966&lt;5,Einstellungen!$B$3,Einstellungen!$B$4)</f>
        <v>29.13</v>
      </c>
      <c r="E5966" s="14" t="str">
        <f aca="false">IF(C5966="","",C5966*D5966/100)</f>
        <v/>
      </c>
      <c r="F5966" s="15" t="str">
        <f aca="false">IF(B5966&lt;5,"Go","Standard")</f>
        <v>Standard</v>
      </c>
    </row>
    <row r="5967" customFormat="false" ht="15" hidden="false" customHeight="true" outlineLevel="0" collapsed="false">
      <c r="A5967" s="10" t="n">
        <f aca="false">Einstellungen!$B$5+INT((ROW()-9)/24)</f>
        <v>46214</v>
      </c>
      <c r="B5967" s="11" t="n">
        <f aca="false">MOD(ROW()-9,24)</f>
        <v>6</v>
      </c>
      <c r="C5967" s="12"/>
      <c r="D5967" s="13" t="n">
        <f aca="false">IF(B5967&lt;5,Einstellungen!$B$3,Einstellungen!$B$4)</f>
        <v>29.13</v>
      </c>
      <c r="E5967" s="14" t="str">
        <f aca="false">IF(C5967="","",C5967*D5967/100)</f>
        <v/>
      </c>
      <c r="F5967" s="15" t="str">
        <f aca="false">IF(B5967&lt;5,"Go","Standard")</f>
        <v>Standard</v>
      </c>
    </row>
    <row r="5968" customFormat="false" ht="15" hidden="false" customHeight="true" outlineLevel="0" collapsed="false">
      <c r="A5968" s="10" t="n">
        <f aca="false">Einstellungen!$B$5+INT((ROW()-9)/24)</f>
        <v>46214</v>
      </c>
      <c r="B5968" s="11" t="n">
        <f aca="false">MOD(ROW()-9,24)</f>
        <v>7</v>
      </c>
      <c r="C5968" s="12"/>
      <c r="D5968" s="13" t="n">
        <f aca="false">IF(B5968&lt;5,Einstellungen!$B$3,Einstellungen!$B$4)</f>
        <v>29.13</v>
      </c>
      <c r="E5968" s="14" t="str">
        <f aca="false">IF(C5968="","",C5968*D5968/100)</f>
        <v/>
      </c>
      <c r="F5968" s="15" t="str">
        <f aca="false">IF(B5968&lt;5,"Go","Standard")</f>
        <v>Standard</v>
      </c>
    </row>
    <row r="5969" customFormat="false" ht="15" hidden="false" customHeight="true" outlineLevel="0" collapsed="false">
      <c r="A5969" s="10" t="n">
        <f aca="false">Einstellungen!$B$5+INT((ROW()-9)/24)</f>
        <v>46214</v>
      </c>
      <c r="B5969" s="11" t="n">
        <f aca="false">MOD(ROW()-9,24)</f>
        <v>8</v>
      </c>
      <c r="C5969" s="12"/>
      <c r="D5969" s="13" t="n">
        <f aca="false">IF(B5969&lt;5,Einstellungen!$B$3,Einstellungen!$B$4)</f>
        <v>29.13</v>
      </c>
      <c r="E5969" s="14" t="str">
        <f aca="false">IF(C5969="","",C5969*D5969/100)</f>
        <v/>
      </c>
      <c r="F5969" s="15" t="str">
        <f aca="false">IF(B5969&lt;5,"Go","Standard")</f>
        <v>Standard</v>
      </c>
    </row>
    <row r="5970" customFormat="false" ht="15" hidden="false" customHeight="true" outlineLevel="0" collapsed="false">
      <c r="A5970" s="10" t="n">
        <f aca="false">Einstellungen!$B$5+INT((ROW()-9)/24)</f>
        <v>46214</v>
      </c>
      <c r="B5970" s="11" t="n">
        <f aca="false">MOD(ROW()-9,24)</f>
        <v>9</v>
      </c>
      <c r="C5970" s="12"/>
      <c r="D5970" s="13" t="n">
        <f aca="false">IF(B5970&lt;5,Einstellungen!$B$3,Einstellungen!$B$4)</f>
        <v>29.13</v>
      </c>
      <c r="E5970" s="14" t="str">
        <f aca="false">IF(C5970="","",C5970*D5970/100)</f>
        <v/>
      </c>
      <c r="F5970" s="15" t="str">
        <f aca="false">IF(B5970&lt;5,"Go","Standard")</f>
        <v>Standard</v>
      </c>
    </row>
    <row r="5971" customFormat="false" ht="15" hidden="false" customHeight="true" outlineLevel="0" collapsed="false">
      <c r="A5971" s="10" t="n">
        <f aca="false">Einstellungen!$B$5+INT((ROW()-9)/24)</f>
        <v>46214</v>
      </c>
      <c r="B5971" s="11" t="n">
        <f aca="false">MOD(ROW()-9,24)</f>
        <v>10</v>
      </c>
      <c r="C5971" s="12"/>
      <c r="D5971" s="13" t="n">
        <f aca="false">IF(B5971&lt;5,Einstellungen!$B$3,Einstellungen!$B$4)</f>
        <v>29.13</v>
      </c>
      <c r="E5971" s="14" t="str">
        <f aca="false">IF(C5971="","",C5971*D5971/100)</f>
        <v/>
      </c>
      <c r="F5971" s="15" t="str">
        <f aca="false">IF(B5971&lt;5,"Go","Standard")</f>
        <v>Standard</v>
      </c>
    </row>
    <row r="5972" customFormat="false" ht="15" hidden="false" customHeight="true" outlineLevel="0" collapsed="false">
      <c r="A5972" s="10" t="n">
        <f aca="false">Einstellungen!$B$5+INT((ROW()-9)/24)</f>
        <v>46214</v>
      </c>
      <c r="B5972" s="11" t="n">
        <f aca="false">MOD(ROW()-9,24)</f>
        <v>11</v>
      </c>
      <c r="C5972" s="12"/>
      <c r="D5972" s="13" t="n">
        <f aca="false">IF(B5972&lt;5,Einstellungen!$B$3,Einstellungen!$B$4)</f>
        <v>29.13</v>
      </c>
      <c r="E5972" s="14" t="str">
        <f aca="false">IF(C5972="","",C5972*D5972/100)</f>
        <v/>
      </c>
      <c r="F5972" s="15" t="str">
        <f aca="false">IF(B5972&lt;5,"Go","Standard")</f>
        <v>Standard</v>
      </c>
    </row>
    <row r="5973" customFormat="false" ht="15" hidden="false" customHeight="true" outlineLevel="0" collapsed="false">
      <c r="A5973" s="10" t="n">
        <f aca="false">Einstellungen!$B$5+INT((ROW()-9)/24)</f>
        <v>46214</v>
      </c>
      <c r="B5973" s="11" t="n">
        <f aca="false">MOD(ROW()-9,24)</f>
        <v>12</v>
      </c>
      <c r="C5973" s="12"/>
      <c r="D5973" s="13" t="n">
        <f aca="false">IF(B5973&lt;5,Einstellungen!$B$3,Einstellungen!$B$4)</f>
        <v>29.13</v>
      </c>
      <c r="E5973" s="14" t="str">
        <f aca="false">IF(C5973="","",C5973*D5973/100)</f>
        <v/>
      </c>
      <c r="F5973" s="15" t="str">
        <f aca="false">IF(B5973&lt;5,"Go","Standard")</f>
        <v>Standard</v>
      </c>
    </row>
    <row r="5974" customFormat="false" ht="15" hidden="false" customHeight="true" outlineLevel="0" collapsed="false">
      <c r="A5974" s="10" t="n">
        <f aca="false">Einstellungen!$B$5+INT((ROW()-9)/24)</f>
        <v>46214</v>
      </c>
      <c r="B5974" s="11" t="n">
        <f aca="false">MOD(ROW()-9,24)</f>
        <v>13</v>
      </c>
      <c r="C5974" s="12"/>
      <c r="D5974" s="13" t="n">
        <f aca="false">IF(B5974&lt;5,Einstellungen!$B$3,Einstellungen!$B$4)</f>
        <v>29.13</v>
      </c>
      <c r="E5974" s="14" t="str">
        <f aca="false">IF(C5974="","",C5974*D5974/100)</f>
        <v/>
      </c>
      <c r="F5974" s="15" t="str">
        <f aca="false">IF(B5974&lt;5,"Go","Standard")</f>
        <v>Standard</v>
      </c>
    </row>
    <row r="5975" customFormat="false" ht="15" hidden="false" customHeight="true" outlineLevel="0" collapsed="false">
      <c r="A5975" s="10" t="n">
        <f aca="false">Einstellungen!$B$5+INT((ROW()-9)/24)</f>
        <v>46214</v>
      </c>
      <c r="B5975" s="11" t="n">
        <f aca="false">MOD(ROW()-9,24)</f>
        <v>14</v>
      </c>
      <c r="C5975" s="12"/>
      <c r="D5975" s="13" t="n">
        <f aca="false">IF(B5975&lt;5,Einstellungen!$B$3,Einstellungen!$B$4)</f>
        <v>29.13</v>
      </c>
      <c r="E5975" s="14" t="str">
        <f aca="false">IF(C5975="","",C5975*D5975/100)</f>
        <v/>
      </c>
      <c r="F5975" s="15" t="str">
        <f aca="false">IF(B5975&lt;5,"Go","Standard")</f>
        <v>Standard</v>
      </c>
    </row>
    <row r="5976" customFormat="false" ht="15" hidden="false" customHeight="true" outlineLevel="0" collapsed="false">
      <c r="A5976" s="10" t="n">
        <f aca="false">Einstellungen!$B$5+INT((ROW()-9)/24)</f>
        <v>46214</v>
      </c>
      <c r="B5976" s="11" t="n">
        <f aca="false">MOD(ROW()-9,24)</f>
        <v>15</v>
      </c>
      <c r="C5976" s="12"/>
      <c r="D5976" s="13" t="n">
        <f aca="false">IF(B5976&lt;5,Einstellungen!$B$3,Einstellungen!$B$4)</f>
        <v>29.13</v>
      </c>
      <c r="E5976" s="14" t="str">
        <f aca="false">IF(C5976="","",C5976*D5976/100)</f>
        <v/>
      </c>
      <c r="F5976" s="15" t="str">
        <f aca="false">IF(B5976&lt;5,"Go","Standard")</f>
        <v>Standard</v>
      </c>
    </row>
    <row r="5977" customFormat="false" ht="15" hidden="false" customHeight="true" outlineLevel="0" collapsed="false">
      <c r="A5977" s="10" t="n">
        <f aca="false">Einstellungen!$B$5+INT((ROW()-9)/24)</f>
        <v>46214</v>
      </c>
      <c r="B5977" s="11" t="n">
        <f aca="false">MOD(ROW()-9,24)</f>
        <v>16</v>
      </c>
      <c r="C5977" s="12"/>
      <c r="D5977" s="13" t="n">
        <f aca="false">IF(B5977&lt;5,Einstellungen!$B$3,Einstellungen!$B$4)</f>
        <v>29.13</v>
      </c>
      <c r="E5977" s="14" t="str">
        <f aca="false">IF(C5977="","",C5977*D5977/100)</f>
        <v/>
      </c>
      <c r="F5977" s="15" t="str">
        <f aca="false">IF(B5977&lt;5,"Go","Standard")</f>
        <v>Standard</v>
      </c>
    </row>
    <row r="5978" customFormat="false" ht="15" hidden="false" customHeight="true" outlineLevel="0" collapsed="false">
      <c r="A5978" s="10" t="n">
        <f aca="false">Einstellungen!$B$5+INT((ROW()-9)/24)</f>
        <v>46214</v>
      </c>
      <c r="B5978" s="11" t="n">
        <f aca="false">MOD(ROW()-9,24)</f>
        <v>17</v>
      </c>
      <c r="C5978" s="12"/>
      <c r="D5978" s="13" t="n">
        <f aca="false">IF(B5978&lt;5,Einstellungen!$B$3,Einstellungen!$B$4)</f>
        <v>29.13</v>
      </c>
      <c r="E5978" s="14" t="str">
        <f aca="false">IF(C5978="","",C5978*D5978/100)</f>
        <v/>
      </c>
      <c r="F5978" s="15" t="str">
        <f aca="false">IF(B5978&lt;5,"Go","Standard")</f>
        <v>Standard</v>
      </c>
    </row>
    <row r="5979" customFormat="false" ht="15" hidden="false" customHeight="true" outlineLevel="0" collapsed="false">
      <c r="A5979" s="10" t="n">
        <f aca="false">Einstellungen!$B$5+INT((ROW()-9)/24)</f>
        <v>46214</v>
      </c>
      <c r="B5979" s="11" t="n">
        <f aca="false">MOD(ROW()-9,24)</f>
        <v>18</v>
      </c>
      <c r="C5979" s="12"/>
      <c r="D5979" s="13" t="n">
        <f aca="false">IF(B5979&lt;5,Einstellungen!$B$3,Einstellungen!$B$4)</f>
        <v>29.13</v>
      </c>
      <c r="E5979" s="14" t="str">
        <f aca="false">IF(C5979="","",C5979*D5979/100)</f>
        <v/>
      </c>
      <c r="F5979" s="15" t="str">
        <f aca="false">IF(B5979&lt;5,"Go","Standard")</f>
        <v>Standard</v>
      </c>
    </row>
    <row r="5980" customFormat="false" ht="15" hidden="false" customHeight="true" outlineLevel="0" collapsed="false">
      <c r="A5980" s="10" t="n">
        <f aca="false">Einstellungen!$B$5+INT((ROW()-9)/24)</f>
        <v>46214</v>
      </c>
      <c r="B5980" s="11" t="n">
        <f aca="false">MOD(ROW()-9,24)</f>
        <v>19</v>
      </c>
      <c r="C5980" s="12"/>
      <c r="D5980" s="13" t="n">
        <f aca="false">IF(B5980&lt;5,Einstellungen!$B$3,Einstellungen!$B$4)</f>
        <v>29.13</v>
      </c>
      <c r="E5980" s="14" t="str">
        <f aca="false">IF(C5980="","",C5980*D5980/100)</f>
        <v/>
      </c>
      <c r="F5980" s="15" t="str">
        <f aca="false">IF(B5980&lt;5,"Go","Standard")</f>
        <v>Standard</v>
      </c>
    </row>
    <row r="5981" customFormat="false" ht="15" hidden="false" customHeight="true" outlineLevel="0" collapsed="false">
      <c r="A5981" s="10" t="n">
        <f aca="false">Einstellungen!$B$5+INT((ROW()-9)/24)</f>
        <v>46214</v>
      </c>
      <c r="B5981" s="11" t="n">
        <f aca="false">MOD(ROW()-9,24)</f>
        <v>20</v>
      </c>
      <c r="C5981" s="12"/>
      <c r="D5981" s="13" t="n">
        <f aca="false">IF(B5981&lt;5,Einstellungen!$B$3,Einstellungen!$B$4)</f>
        <v>29.13</v>
      </c>
      <c r="E5981" s="14" t="str">
        <f aca="false">IF(C5981="","",C5981*D5981/100)</f>
        <v/>
      </c>
      <c r="F5981" s="15" t="str">
        <f aca="false">IF(B5981&lt;5,"Go","Standard")</f>
        <v>Standard</v>
      </c>
    </row>
    <row r="5982" customFormat="false" ht="15" hidden="false" customHeight="true" outlineLevel="0" collapsed="false">
      <c r="A5982" s="10" t="n">
        <f aca="false">Einstellungen!$B$5+INT((ROW()-9)/24)</f>
        <v>46214</v>
      </c>
      <c r="B5982" s="11" t="n">
        <f aca="false">MOD(ROW()-9,24)</f>
        <v>21</v>
      </c>
      <c r="C5982" s="12"/>
      <c r="D5982" s="13" t="n">
        <f aca="false">IF(B5982&lt;5,Einstellungen!$B$3,Einstellungen!$B$4)</f>
        <v>29.13</v>
      </c>
      <c r="E5982" s="14" t="str">
        <f aca="false">IF(C5982="","",C5982*D5982/100)</f>
        <v/>
      </c>
      <c r="F5982" s="15" t="str">
        <f aca="false">IF(B5982&lt;5,"Go","Standard")</f>
        <v>Standard</v>
      </c>
    </row>
    <row r="5983" customFormat="false" ht="15" hidden="false" customHeight="true" outlineLevel="0" collapsed="false">
      <c r="A5983" s="10" t="n">
        <f aca="false">Einstellungen!$B$5+INT((ROW()-9)/24)</f>
        <v>46214</v>
      </c>
      <c r="B5983" s="11" t="n">
        <f aca="false">MOD(ROW()-9,24)</f>
        <v>22</v>
      </c>
      <c r="C5983" s="12"/>
      <c r="D5983" s="13" t="n">
        <f aca="false">IF(B5983&lt;5,Einstellungen!$B$3,Einstellungen!$B$4)</f>
        <v>29.13</v>
      </c>
      <c r="E5983" s="14" t="str">
        <f aca="false">IF(C5983="","",C5983*D5983/100)</f>
        <v/>
      </c>
      <c r="F5983" s="15" t="str">
        <f aca="false">IF(B5983&lt;5,"Go","Standard")</f>
        <v>Standard</v>
      </c>
    </row>
    <row r="5984" customFormat="false" ht="15" hidden="false" customHeight="true" outlineLevel="0" collapsed="false">
      <c r="A5984" s="10" t="n">
        <f aca="false">Einstellungen!$B$5+INT((ROW()-9)/24)</f>
        <v>46214</v>
      </c>
      <c r="B5984" s="11" t="n">
        <f aca="false">MOD(ROW()-9,24)</f>
        <v>23</v>
      </c>
      <c r="C5984" s="12"/>
      <c r="D5984" s="13" t="n">
        <f aca="false">IF(B5984&lt;5,Einstellungen!$B$3,Einstellungen!$B$4)</f>
        <v>29.13</v>
      </c>
      <c r="E5984" s="14" t="str">
        <f aca="false">IF(C5984="","",C5984*D5984/100)</f>
        <v/>
      </c>
      <c r="F5984" s="15" t="str">
        <f aca="false">IF(B5984&lt;5,"Go","Standard")</f>
        <v>Standard</v>
      </c>
    </row>
    <row r="5985" customFormat="false" ht="15" hidden="false" customHeight="true" outlineLevel="0" collapsed="false">
      <c r="A5985" s="10" t="n">
        <f aca="false">Einstellungen!$B$5+INT((ROW()-9)/24)</f>
        <v>46215</v>
      </c>
      <c r="B5985" s="11" t="n">
        <f aca="false">MOD(ROW()-9,24)</f>
        <v>0</v>
      </c>
      <c r="C5985" s="12"/>
      <c r="D5985" s="13" t="n">
        <f aca="false">IF(B5985&lt;5,Einstellungen!$B$3,Einstellungen!$B$4)</f>
        <v>15.92</v>
      </c>
      <c r="E5985" s="14" t="str">
        <f aca="false">IF(C5985="","",C5985*D5985/100)</f>
        <v/>
      </c>
      <c r="F5985" s="15" t="str">
        <f aca="false">IF(B5985&lt;5,"Go","Standard")</f>
        <v>Go</v>
      </c>
    </row>
    <row r="5986" customFormat="false" ht="15" hidden="false" customHeight="true" outlineLevel="0" collapsed="false">
      <c r="A5986" s="10" t="n">
        <f aca="false">Einstellungen!$B$5+INT((ROW()-9)/24)</f>
        <v>46215</v>
      </c>
      <c r="B5986" s="11" t="n">
        <f aca="false">MOD(ROW()-9,24)</f>
        <v>1</v>
      </c>
      <c r="C5986" s="12"/>
      <c r="D5986" s="13" t="n">
        <f aca="false">IF(B5986&lt;5,Einstellungen!$B$3,Einstellungen!$B$4)</f>
        <v>15.92</v>
      </c>
      <c r="E5986" s="14" t="str">
        <f aca="false">IF(C5986="","",C5986*D5986/100)</f>
        <v/>
      </c>
      <c r="F5986" s="15" t="str">
        <f aca="false">IF(B5986&lt;5,"Go","Standard")</f>
        <v>Go</v>
      </c>
    </row>
    <row r="5987" customFormat="false" ht="15" hidden="false" customHeight="true" outlineLevel="0" collapsed="false">
      <c r="A5987" s="10" t="n">
        <f aca="false">Einstellungen!$B$5+INT((ROW()-9)/24)</f>
        <v>46215</v>
      </c>
      <c r="B5987" s="11" t="n">
        <f aca="false">MOD(ROW()-9,24)</f>
        <v>2</v>
      </c>
      <c r="C5987" s="12"/>
      <c r="D5987" s="13" t="n">
        <f aca="false">IF(B5987&lt;5,Einstellungen!$B$3,Einstellungen!$B$4)</f>
        <v>15.92</v>
      </c>
      <c r="E5987" s="14" t="str">
        <f aca="false">IF(C5987="","",C5987*D5987/100)</f>
        <v/>
      </c>
      <c r="F5987" s="15" t="str">
        <f aca="false">IF(B5987&lt;5,"Go","Standard")</f>
        <v>Go</v>
      </c>
    </row>
    <row r="5988" customFormat="false" ht="15" hidden="false" customHeight="true" outlineLevel="0" collapsed="false">
      <c r="A5988" s="10" t="n">
        <f aca="false">Einstellungen!$B$5+INT((ROW()-9)/24)</f>
        <v>46215</v>
      </c>
      <c r="B5988" s="11" t="n">
        <f aca="false">MOD(ROW()-9,24)</f>
        <v>3</v>
      </c>
      <c r="C5988" s="12"/>
      <c r="D5988" s="13" t="n">
        <f aca="false">IF(B5988&lt;5,Einstellungen!$B$3,Einstellungen!$B$4)</f>
        <v>15.92</v>
      </c>
      <c r="E5988" s="14" t="str">
        <f aca="false">IF(C5988="","",C5988*D5988/100)</f>
        <v/>
      </c>
      <c r="F5988" s="15" t="str">
        <f aca="false">IF(B5988&lt;5,"Go","Standard")</f>
        <v>Go</v>
      </c>
    </row>
    <row r="5989" customFormat="false" ht="15" hidden="false" customHeight="true" outlineLevel="0" collapsed="false">
      <c r="A5989" s="10" t="n">
        <f aca="false">Einstellungen!$B$5+INT((ROW()-9)/24)</f>
        <v>46215</v>
      </c>
      <c r="B5989" s="11" t="n">
        <f aca="false">MOD(ROW()-9,24)</f>
        <v>4</v>
      </c>
      <c r="C5989" s="12"/>
      <c r="D5989" s="13" t="n">
        <f aca="false">IF(B5989&lt;5,Einstellungen!$B$3,Einstellungen!$B$4)</f>
        <v>15.92</v>
      </c>
      <c r="E5989" s="14" t="str">
        <f aca="false">IF(C5989="","",C5989*D5989/100)</f>
        <v/>
      </c>
      <c r="F5989" s="15" t="str">
        <f aca="false">IF(B5989&lt;5,"Go","Standard")</f>
        <v>Go</v>
      </c>
    </row>
    <row r="5990" customFormat="false" ht="15" hidden="false" customHeight="true" outlineLevel="0" collapsed="false">
      <c r="A5990" s="10" t="n">
        <f aca="false">Einstellungen!$B$5+INT((ROW()-9)/24)</f>
        <v>46215</v>
      </c>
      <c r="B5990" s="11" t="n">
        <f aca="false">MOD(ROW()-9,24)</f>
        <v>5</v>
      </c>
      <c r="C5990" s="12"/>
      <c r="D5990" s="13" t="n">
        <f aca="false">IF(B5990&lt;5,Einstellungen!$B$3,Einstellungen!$B$4)</f>
        <v>29.13</v>
      </c>
      <c r="E5990" s="14" t="str">
        <f aca="false">IF(C5990="","",C5990*D5990/100)</f>
        <v/>
      </c>
      <c r="F5990" s="15" t="str">
        <f aca="false">IF(B5990&lt;5,"Go","Standard")</f>
        <v>Standard</v>
      </c>
    </row>
    <row r="5991" customFormat="false" ht="15" hidden="false" customHeight="true" outlineLevel="0" collapsed="false">
      <c r="A5991" s="10" t="n">
        <f aca="false">Einstellungen!$B$5+INT((ROW()-9)/24)</f>
        <v>46215</v>
      </c>
      <c r="B5991" s="11" t="n">
        <f aca="false">MOD(ROW()-9,24)</f>
        <v>6</v>
      </c>
      <c r="C5991" s="12"/>
      <c r="D5991" s="13" t="n">
        <f aca="false">IF(B5991&lt;5,Einstellungen!$B$3,Einstellungen!$B$4)</f>
        <v>29.13</v>
      </c>
      <c r="E5991" s="14" t="str">
        <f aca="false">IF(C5991="","",C5991*D5991/100)</f>
        <v/>
      </c>
      <c r="F5991" s="15" t="str">
        <f aca="false">IF(B5991&lt;5,"Go","Standard")</f>
        <v>Standard</v>
      </c>
    </row>
    <row r="5992" customFormat="false" ht="15" hidden="false" customHeight="true" outlineLevel="0" collapsed="false">
      <c r="A5992" s="10" t="n">
        <f aca="false">Einstellungen!$B$5+INT((ROW()-9)/24)</f>
        <v>46215</v>
      </c>
      <c r="B5992" s="11" t="n">
        <f aca="false">MOD(ROW()-9,24)</f>
        <v>7</v>
      </c>
      <c r="C5992" s="12"/>
      <c r="D5992" s="13" t="n">
        <f aca="false">IF(B5992&lt;5,Einstellungen!$B$3,Einstellungen!$B$4)</f>
        <v>29.13</v>
      </c>
      <c r="E5992" s="14" t="str">
        <f aca="false">IF(C5992="","",C5992*D5992/100)</f>
        <v/>
      </c>
      <c r="F5992" s="15" t="str">
        <f aca="false">IF(B5992&lt;5,"Go","Standard")</f>
        <v>Standard</v>
      </c>
    </row>
    <row r="5993" customFormat="false" ht="15" hidden="false" customHeight="true" outlineLevel="0" collapsed="false">
      <c r="A5993" s="10" t="n">
        <f aca="false">Einstellungen!$B$5+INT((ROW()-9)/24)</f>
        <v>46215</v>
      </c>
      <c r="B5993" s="11" t="n">
        <f aca="false">MOD(ROW()-9,24)</f>
        <v>8</v>
      </c>
      <c r="C5993" s="12"/>
      <c r="D5993" s="13" t="n">
        <f aca="false">IF(B5993&lt;5,Einstellungen!$B$3,Einstellungen!$B$4)</f>
        <v>29.13</v>
      </c>
      <c r="E5993" s="14" t="str">
        <f aca="false">IF(C5993="","",C5993*D5993/100)</f>
        <v/>
      </c>
      <c r="F5993" s="15" t="str">
        <f aca="false">IF(B5993&lt;5,"Go","Standard")</f>
        <v>Standard</v>
      </c>
    </row>
    <row r="5994" customFormat="false" ht="15" hidden="false" customHeight="true" outlineLevel="0" collapsed="false">
      <c r="A5994" s="10" t="n">
        <f aca="false">Einstellungen!$B$5+INT((ROW()-9)/24)</f>
        <v>46215</v>
      </c>
      <c r="B5994" s="11" t="n">
        <f aca="false">MOD(ROW()-9,24)</f>
        <v>9</v>
      </c>
      <c r="C5994" s="12"/>
      <c r="D5994" s="13" t="n">
        <f aca="false">IF(B5994&lt;5,Einstellungen!$B$3,Einstellungen!$B$4)</f>
        <v>29.13</v>
      </c>
      <c r="E5994" s="14" t="str">
        <f aca="false">IF(C5994="","",C5994*D5994/100)</f>
        <v/>
      </c>
      <c r="F5994" s="15" t="str">
        <f aca="false">IF(B5994&lt;5,"Go","Standard")</f>
        <v>Standard</v>
      </c>
    </row>
    <row r="5995" customFormat="false" ht="15" hidden="false" customHeight="true" outlineLevel="0" collapsed="false">
      <c r="A5995" s="10" t="n">
        <f aca="false">Einstellungen!$B$5+INT((ROW()-9)/24)</f>
        <v>46215</v>
      </c>
      <c r="B5995" s="11" t="n">
        <f aca="false">MOD(ROW()-9,24)</f>
        <v>10</v>
      </c>
      <c r="C5995" s="12"/>
      <c r="D5995" s="13" t="n">
        <f aca="false">IF(B5995&lt;5,Einstellungen!$B$3,Einstellungen!$B$4)</f>
        <v>29.13</v>
      </c>
      <c r="E5995" s="14" t="str">
        <f aca="false">IF(C5995="","",C5995*D5995/100)</f>
        <v/>
      </c>
      <c r="F5995" s="15" t="str">
        <f aca="false">IF(B5995&lt;5,"Go","Standard")</f>
        <v>Standard</v>
      </c>
    </row>
    <row r="5996" customFormat="false" ht="15" hidden="false" customHeight="true" outlineLevel="0" collapsed="false">
      <c r="A5996" s="10" t="n">
        <f aca="false">Einstellungen!$B$5+INT((ROW()-9)/24)</f>
        <v>46215</v>
      </c>
      <c r="B5996" s="11" t="n">
        <f aca="false">MOD(ROW()-9,24)</f>
        <v>11</v>
      </c>
      <c r="C5996" s="12"/>
      <c r="D5996" s="13" t="n">
        <f aca="false">IF(B5996&lt;5,Einstellungen!$B$3,Einstellungen!$B$4)</f>
        <v>29.13</v>
      </c>
      <c r="E5996" s="14" t="str">
        <f aca="false">IF(C5996="","",C5996*D5996/100)</f>
        <v/>
      </c>
      <c r="F5996" s="15" t="str">
        <f aca="false">IF(B5996&lt;5,"Go","Standard")</f>
        <v>Standard</v>
      </c>
    </row>
    <row r="5997" customFormat="false" ht="15" hidden="false" customHeight="true" outlineLevel="0" collapsed="false">
      <c r="A5997" s="10" t="n">
        <f aca="false">Einstellungen!$B$5+INT((ROW()-9)/24)</f>
        <v>46215</v>
      </c>
      <c r="B5997" s="11" t="n">
        <f aca="false">MOD(ROW()-9,24)</f>
        <v>12</v>
      </c>
      <c r="C5997" s="12"/>
      <c r="D5997" s="13" t="n">
        <f aca="false">IF(B5997&lt;5,Einstellungen!$B$3,Einstellungen!$B$4)</f>
        <v>29.13</v>
      </c>
      <c r="E5997" s="14" t="str">
        <f aca="false">IF(C5997="","",C5997*D5997/100)</f>
        <v/>
      </c>
      <c r="F5997" s="15" t="str">
        <f aca="false">IF(B5997&lt;5,"Go","Standard")</f>
        <v>Standard</v>
      </c>
    </row>
    <row r="5998" customFormat="false" ht="15" hidden="false" customHeight="true" outlineLevel="0" collapsed="false">
      <c r="A5998" s="10" t="n">
        <f aca="false">Einstellungen!$B$5+INT((ROW()-9)/24)</f>
        <v>46215</v>
      </c>
      <c r="B5998" s="11" t="n">
        <f aca="false">MOD(ROW()-9,24)</f>
        <v>13</v>
      </c>
      <c r="C5998" s="12"/>
      <c r="D5998" s="13" t="n">
        <f aca="false">IF(B5998&lt;5,Einstellungen!$B$3,Einstellungen!$B$4)</f>
        <v>29.13</v>
      </c>
      <c r="E5998" s="14" t="str">
        <f aca="false">IF(C5998="","",C5998*D5998/100)</f>
        <v/>
      </c>
      <c r="F5998" s="15" t="str">
        <f aca="false">IF(B5998&lt;5,"Go","Standard")</f>
        <v>Standard</v>
      </c>
    </row>
    <row r="5999" customFormat="false" ht="15" hidden="false" customHeight="true" outlineLevel="0" collapsed="false">
      <c r="A5999" s="10" t="n">
        <f aca="false">Einstellungen!$B$5+INT((ROW()-9)/24)</f>
        <v>46215</v>
      </c>
      <c r="B5999" s="11" t="n">
        <f aca="false">MOD(ROW()-9,24)</f>
        <v>14</v>
      </c>
      <c r="C5999" s="12"/>
      <c r="D5999" s="13" t="n">
        <f aca="false">IF(B5999&lt;5,Einstellungen!$B$3,Einstellungen!$B$4)</f>
        <v>29.13</v>
      </c>
      <c r="E5999" s="14" t="str">
        <f aca="false">IF(C5999="","",C5999*D5999/100)</f>
        <v/>
      </c>
      <c r="F5999" s="15" t="str">
        <f aca="false">IF(B5999&lt;5,"Go","Standard")</f>
        <v>Standard</v>
      </c>
    </row>
    <row r="6000" customFormat="false" ht="15" hidden="false" customHeight="true" outlineLevel="0" collapsed="false">
      <c r="A6000" s="10" t="n">
        <f aca="false">Einstellungen!$B$5+INT((ROW()-9)/24)</f>
        <v>46215</v>
      </c>
      <c r="B6000" s="11" t="n">
        <f aca="false">MOD(ROW()-9,24)</f>
        <v>15</v>
      </c>
      <c r="C6000" s="12"/>
      <c r="D6000" s="13" t="n">
        <f aca="false">IF(B6000&lt;5,Einstellungen!$B$3,Einstellungen!$B$4)</f>
        <v>29.13</v>
      </c>
      <c r="E6000" s="14" t="str">
        <f aca="false">IF(C6000="","",C6000*D6000/100)</f>
        <v/>
      </c>
      <c r="F6000" s="15" t="str">
        <f aca="false">IF(B6000&lt;5,"Go","Standard")</f>
        <v>Standard</v>
      </c>
    </row>
    <row r="6001" customFormat="false" ht="15" hidden="false" customHeight="true" outlineLevel="0" collapsed="false">
      <c r="A6001" s="10" t="n">
        <f aca="false">Einstellungen!$B$5+INT((ROW()-9)/24)</f>
        <v>46215</v>
      </c>
      <c r="B6001" s="11" t="n">
        <f aca="false">MOD(ROW()-9,24)</f>
        <v>16</v>
      </c>
      <c r="C6001" s="12"/>
      <c r="D6001" s="13" t="n">
        <f aca="false">IF(B6001&lt;5,Einstellungen!$B$3,Einstellungen!$B$4)</f>
        <v>29.13</v>
      </c>
      <c r="E6001" s="14" t="str">
        <f aca="false">IF(C6001="","",C6001*D6001/100)</f>
        <v/>
      </c>
      <c r="F6001" s="15" t="str">
        <f aca="false">IF(B6001&lt;5,"Go","Standard")</f>
        <v>Standard</v>
      </c>
    </row>
    <row r="6002" customFormat="false" ht="15" hidden="false" customHeight="true" outlineLevel="0" collapsed="false">
      <c r="A6002" s="10" t="n">
        <f aca="false">Einstellungen!$B$5+INT((ROW()-9)/24)</f>
        <v>46215</v>
      </c>
      <c r="B6002" s="11" t="n">
        <f aca="false">MOD(ROW()-9,24)</f>
        <v>17</v>
      </c>
      <c r="C6002" s="12"/>
      <c r="D6002" s="13" t="n">
        <f aca="false">IF(B6002&lt;5,Einstellungen!$B$3,Einstellungen!$B$4)</f>
        <v>29.13</v>
      </c>
      <c r="E6002" s="14" t="str">
        <f aca="false">IF(C6002="","",C6002*D6002/100)</f>
        <v/>
      </c>
      <c r="F6002" s="15" t="str">
        <f aca="false">IF(B6002&lt;5,"Go","Standard")</f>
        <v>Standard</v>
      </c>
    </row>
    <row r="6003" customFormat="false" ht="15" hidden="false" customHeight="true" outlineLevel="0" collapsed="false">
      <c r="A6003" s="10" t="n">
        <f aca="false">Einstellungen!$B$5+INT((ROW()-9)/24)</f>
        <v>46215</v>
      </c>
      <c r="B6003" s="11" t="n">
        <f aca="false">MOD(ROW()-9,24)</f>
        <v>18</v>
      </c>
      <c r="C6003" s="12"/>
      <c r="D6003" s="13" t="n">
        <f aca="false">IF(B6003&lt;5,Einstellungen!$B$3,Einstellungen!$B$4)</f>
        <v>29.13</v>
      </c>
      <c r="E6003" s="14" t="str">
        <f aca="false">IF(C6003="","",C6003*D6003/100)</f>
        <v/>
      </c>
      <c r="F6003" s="15" t="str">
        <f aca="false">IF(B6003&lt;5,"Go","Standard")</f>
        <v>Standard</v>
      </c>
    </row>
    <row r="6004" customFormat="false" ht="15" hidden="false" customHeight="true" outlineLevel="0" collapsed="false">
      <c r="A6004" s="10" t="n">
        <f aca="false">Einstellungen!$B$5+INT((ROW()-9)/24)</f>
        <v>46215</v>
      </c>
      <c r="B6004" s="11" t="n">
        <f aca="false">MOD(ROW()-9,24)</f>
        <v>19</v>
      </c>
      <c r="C6004" s="12"/>
      <c r="D6004" s="13" t="n">
        <f aca="false">IF(B6004&lt;5,Einstellungen!$B$3,Einstellungen!$B$4)</f>
        <v>29.13</v>
      </c>
      <c r="E6004" s="14" t="str">
        <f aca="false">IF(C6004="","",C6004*D6004/100)</f>
        <v/>
      </c>
      <c r="F6004" s="15" t="str">
        <f aca="false">IF(B6004&lt;5,"Go","Standard")</f>
        <v>Standard</v>
      </c>
    </row>
    <row r="6005" customFormat="false" ht="15" hidden="false" customHeight="true" outlineLevel="0" collapsed="false">
      <c r="A6005" s="10" t="n">
        <f aca="false">Einstellungen!$B$5+INT((ROW()-9)/24)</f>
        <v>46215</v>
      </c>
      <c r="B6005" s="11" t="n">
        <f aca="false">MOD(ROW()-9,24)</f>
        <v>20</v>
      </c>
      <c r="C6005" s="12"/>
      <c r="D6005" s="13" t="n">
        <f aca="false">IF(B6005&lt;5,Einstellungen!$B$3,Einstellungen!$B$4)</f>
        <v>29.13</v>
      </c>
      <c r="E6005" s="14" t="str">
        <f aca="false">IF(C6005="","",C6005*D6005/100)</f>
        <v/>
      </c>
      <c r="F6005" s="15" t="str">
        <f aca="false">IF(B6005&lt;5,"Go","Standard")</f>
        <v>Standard</v>
      </c>
    </row>
    <row r="6006" customFormat="false" ht="15" hidden="false" customHeight="true" outlineLevel="0" collapsed="false">
      <c r="A6006" s="10" t="n">
        <f aca="false">Einstellungen!$B$5+INT((ROW()-9)/24)</f>
        <v>46215</v>
      </c>
      <c r="B6006" s="11" t="n">
        <f aca="false">MOD(ROW()-9,24)</f>
        <v>21</v>
      </c>
      <c r="C6006" s="12"/>
      <c r="D6006" s="13" t="n">
        <f aca="false">IF(B6006&lt;5,Einstellungen!$B$3,Einstellungen!$B$4)</f>
        <v>29.13</v>
      </c>
      <c r="E6006" s="14" t="str">
        <f aca="false">IF(C6006="","",C6006*D6006/100)</f>
        <v/>
      </c>
      <c r="F6006" s="15" t="str">
        <f aca="false">IF(B6006&lt;5,"Go","Standard")</f>
        <v>Standard</v>
      </c>
    </row>
    <row r="6007" customFormat="false" ht="15" hidden="false" customHeight="true" outlineLevel="0" collapsed="false">
      <c r="A6007" s="10" t="n">
        <f aca="false">Einstellungen!$B$5+INT((ROW()-9)/24)</f>
        <v>46215</v>
      </c>
      <c r="B6007" s="11" t="n">
        <f aca="false">MOD(ROW()-9,24)</f>
        <v>22</v>
      </c>
      <c r="C6007" s="12"/>
      <c r="D6007" s="13" t="n">
        <f aca="false">IF(B6007&lt;5,Einstellungen!$B$3,Einstellungen!$B$4)</f>
        <v>29.13</v>
      </c>
      <c r="E6007" s="14" t="str">
        <f aca="false">IF(C6007="","",C6007*D6007/100)</f>
        <v/>
      </c>
      <c r="F6007" s="15" t="str">
        <f aca="false">IF(B6007&lt;5,"Go","Standard")</f>
        <v>Standard</v>
      </c>
    </row>
    <row r="6008" customFormat="false" ht="15" hidden="false" customHeight="true" outlineLevel="0" collapsed="false">
      <c r="A6008" s="10" t="n">
        <f aca="false">Einstellungen!$B$5+INT((ROW()-9)/24)</f>
        <v>46215</v>
      </c>
      <c r="B6008" s="11" t="n">
        <f aca="false">MOD(ROW()-9,24)</f>
        <v>23</v>
      </c>
      <c r="C6008" s="12"/>
      <c r="D6008" s="13" t="n">
        <f aca="false">IF(B6008&lt;5,Einstellungen!$B$3,Einstellungen!$B$4)</f>
        <v>29.13</v>
      </c>
      <c r="E6008" s="14" t="str">
        <f aca="false">IF(C6008="","",C6008*D6008/100)</f>
        <v/>
      </c>
      <c r="F6008" s="15" t="str">
        <f aca="false">IF(B6008&lt;5,"Go","Standard")</f>
        <v>Standard</v>
      </c>
    </row>
    <row r="6009" customFormat="false" ht="15" hidden="false" customHeight="true" outlineLevel="0" collapsed="false">
      <c r="A6009" s="10" t="n">
        <f aca="false">Einstellungen!$B$5+INT((ROW()-9)/24)</f>
        <v>46216</v>
      </c>
      <c r="B6009" s="11" t="n">
        <f aca="false">MOD(ROW()-9,24)</f>
        <v>0</v>
      </c>
      <c r="C6009" s="12"/>
      <c r="D6009" s="13" t="n">
        <f aca="false">IF(B6009&lt;5,Einstellungen!$B$3,Einstellungen!$B$4)</f>
        <v>15.92</v>
      </c>
      <c r="E6009" s="14" t="str">
        <f aca="false">IF(C6009="","",C6009*D6009/100)</f>
        <v/>
      </c>
      <c r="F6009" s="15" t="str">
        <f aca="false">IF(B6009&lt;5,"Go","Standard")</f>
        <v>Go</v>
      </c>
    </row>
    <row r="6010" customFormat="false" ht="15" hidden="false" customHeight="true" outlineLevel="0" collapsed="false">
      <c r="A6010" s="10" t="n">
        <f aca="false">Einstellungen!$B$5+INT((ROW()-9)/24)</f>
        <v>46216</v>
      </c>
      <c r="B6010" s="11" t="n">
        <f aca="false">MOD(ROW()-9,24)</f>
        <v>1</v>
      </c>
      <c r="C6010" s="12"/>
      <c r="D6010" s="13" t="n">
        <f aca="false">IF(B6010&lt;5,Einstellungen!$B$3,Einstellungen!$B$4)</f>
        <v>15.92</v>
      </c>
      <c r="E6010" s="14" t="str">
        <f aca="false">IF(C6010="","",C6010*D6010/100)</f>
        <v/>
      </c>
      <c r="F6010" s="15" t="str">
        <f aca="false">IF(B6010&lt;5,"Go","Standard")</f>
        <v>Go</v>
      </c>
    </row>
    <row r="6011" customFormat="false" ht="15" hidden="false" customHeight="true" outlineLevel="0" collapsed="false">
      <c r="A6011" s="10" t="n">
        <f aca="false">Einstellungen!$B$5+INT((ROW()-9)/24)</f>
        <v>46216</v>
      </c>
      <c r="B6011" s="11" t="n">
        <f aca="false">MOD(ROW()-9,24)</f>
        <v>2</v>
      </c>
      <c r="C6011" s="12"/>
      <c r="D6011" s="13" t="n">
        <f aca="false">IF(B6011&lt;5,Einstellungen!$B$3,Einstellungen!$B$4)</f>
        <v>15.92</v>
      </c>
      <c r="E6011" s="14" t="str">
        <f aca="false">IF(C6011="","",C6011*D6011/100)</f>
        <v/>
      </c>
      <c r="F6011" s="15" t="str">
        <f aca="false">IF(B6011&lt;5,"Go","Standard")</f>
        <v>Go</v>
      </c>
    </row>
    <row r="6012" customFormat="false" ht="15" hidden="false" customHeight="true" outlineLevel="0" collapsed="false">
      <c r="A6012" s="10" t="n">
        <f aca="false">Einstellungen!$B$5+INT((ROW()-9)/24)</f>
        <v>46216</v>
      </c>
      <c r="B6012" s="11" t="n">
        <f aca="false">MOD(ROW()-9,24)</f>
        <v>3</v>
      </c>
      <c r="C6012" s="12"/>
      <c r="D6012" s="13" t="n">
        <f aca="false">IF(B6012&lt;5,Einstellungen!$B$3,Einstellungen!$B$4)</f>
        <v>15.92</v>
      </c>
      <c r="E6012" s="14" t="str">
        <f aca="false">IF(C6012="","",C6012*D6012/100)</f>
        <v/>
      </c>
      <c r="F6012" s="15" t="str">
        <f aca="false">IF(B6012&lt;5,"Go","Standard")</f>
        <v>Go</v>
      </c>
    </row>
    <row r="6013" customFormat="false" ht="15" hidden="false" customHeight="true" outlineLevel="0" collapsed="false">
      <c r="A6013" s="10" t="n">
        <f aca="false">Einstellungen!$B$5+INT((ROW()-9)/24)</f>
        <v>46216</v>
      </c>
      <c r="B6013" s="11" t="n">
        <f aca="false">MOD(ROW()-9,24)</f>
        <v>4</v>
      </c>
      <c r="C6013" s="12"/>
      <c r="D6013" s="13" t="n">
        <f aca="false">IF(B6013&lt;5,Einstellungen!$B$3,Einstellungen!$B$4)</f>
        <v>15.92</v>
      </c>
      <c r="E6013" s="14" t="str">
        <f aca="false">IF(C6013="","",C6013*D6013/100)</f>
        <v/>
      </c>
      <c r="F6013" s="15" t="str">
        <f aca="false">IF(B6013&lt;5,"Go","Standard")</f>
        <v>Go</v>
      </c>
    </row>
    <row r="6014" customFormat="false" ht="15" hidden="false" customHeight="true" outlineLevel="0" collapsed="false">
      <c r="A6014" s="10" t="n">
        <f aca="false">Einstellungen!$B$5+INT((ROW()-9)/24)</f>
        <v>46216</v>
      </c>
      <c r="B6014" s="11" t="n">
        <f aca="false">MOD(ROW()-9,24)</f>
        <v>5</v>
      </c>
      <c r="C6014" s="12"/>
      <c r="D6014" s="13" t="n">
        <f aca="false">IF(B6014&lt;5,Einstellungen!$B$3,Einstellungen!$B$4)</f>
        <v>29.13</v>
      </c>
      <c r="E6014" s="14" t="str">
        <f aca="false">IF(C6014="","",C6014*D6014/100)</f>
        <v/>
      </c>
      <c r="F6014" s="15" t="str">
        <f aca="false">IF(B6014&lt;5,"Go","Standard")</f>
        <v>Standard</v>
      </c>
    </row>
    <row r="6015" customFormat="false" ht="15" hidden="false" customHeight="true" outlineLevel="0" collapsed="false">
      <c r="A6015" s="10" t="n">
        <f aca="false">Einstellungen!$B$5+INT((ROW()-9)/24)</f>
        <v>46216</v>
      </c>
      <c r="B6015" s="11" t="n">
        <f aca="false">MOD(ROW()-9,24)</f>
        <v>6</v>
      </c>
      <c r="C6015" s="12"/>
      <c r="D6015" s="13" t="n">
        <f aca="false">IF(B6015&lt;5,Einstellungen!$B$3,Einstellungen!$B$4)</f>
        <v>29.13</v>
      </c>
      <c r="E6015" s="14" t="str">
        <f aca="false">IF(C6015="","",C6015*D6015/100)</f>
        <v/>
      </c>
      <c r="F6015" s="15" t="str">
        <f aca="false">IF(B6015&lt;5,"Go","Standard")</f>
        <v>Standard</v>
      </c>
    </row>
    <row r="6016" customFormat="false" ht="15" hidden="false" customHeight="true" outlineLevel="0" collapsed="false">
      <c r="A6016" s="10" t="n">
        <f aca="false">Einstellungen!$B$5+INT((ROW()-9)/24)</f>
        <v>46216</v>
      </c>
      <c r="B6016" s="11" t="n">
        <f aca="false">MOD(ROW()-9,24)</f>
        <v>7</v>
      </c>
      <c r="C6016" s="12"/>
      <c r="D6016" s="13" t="n">
        <f aca="false">IF(B6016&lt;5,Einstellungen!$B$3,Einstellungen!$B$4)</f>
        <v>29.13</v>
      </c>
      <c r="E6016" s="14" t="str">
        <f aca="false">IF(C6016="","",C6016*D6016/100)</f>
        <v/>
      </c>
      <c r="F6016" s="15" t="str">
        <f aca="false">IF(B6016&lt;5,"Go","Standard")</f>
        <v>Standard</v>
      </c>
    </row>
    <row r="6017" customFormat="false" ht="15" hidden="false" customHeight="true" outlineLevel="0" collapsed="false">
      <c r="A6017" s="10" t="n">
        <f aca="false">Einstellungen!$B$5+INT((ROW()-9)/24)</f>
        <v>46216</v>
      </c>
      <c r="B6017" s="11" t="n">
        <f aca="false">MOD(ROW()-9,24)</f>
        <v>8</v>
      </c>
      <c r="C6017" s="12"/>
      <c r="D6017" s="13" t="n">
        <f aca="false">IF(B6017&lt;5,Einstellungen!$B$3,Einstellungen!$B$4)</f>
        <v>29.13</v>
      </c>
      <c r="E6017" s="14" t="str">
        <f aca="false">IF(C6017="","",C6017*D6017/100)</f>
        <v/>
      </c>
      <c r="F6017" s="15" t="str">
        <f aca="false">IF(B6017&lt;5,"Go","Standard")</f>
        <v>Standard</v>
      </c>
    </row>
    <row r="6018" customFormat="false" ht="15" hidden="false" customHeight="true" outlineLevel="0" collapsed="false">
      <c r="A6018" s="10" t="n">
        <f aca="false">Einstellungen!$B$5+INT((ROW()-9)/24)</f>
        <v>46216</v>
      </c>
      <c r="B6018" s="11" t="n">
        <f aca="false">MOD(ROW()-9,24)</f>
        <v>9</v>
      </c>
      <c r="C6018" s="12"/>
      <c r="D6018" s="13" t="n">
        <f aca="false">IF(B6018&lt;5,Einstellungen!$B$3,Einstellungen!$B$4)</f>
        <v>29.13</v>
      </c>
      <c r="E6018" s="14" t="str">
        <f aca="false">IF(C6018="","",C6018*D6018/100)</f>
        <v/>
      </c>
      <c r="F6018" s="15" t="str">
        <f aca="false">IF(B6018&lt;5,"Go","Standard")</f>
        <v>Standard</v>
      </c>
    </row>
    <row r="6019" customFormat="false" ht="15" hidden="false" customHeight="true" outlineLevel="0" collapsed="false">
      <c r="A6019" s="10" t="n">
        <f aca="false">Einstellungen!$B$5+INT((ROW()-9)/24)</f>
        <v>46216</v>
      </c>
      <c r="B6019" s="11" t="n">
        <f aca="false">MOD(ROW()-9,24)</f>
        <v>10</v>
      </c>
      <c r="C6019" s="12"/>
      <c r="D6019" s="13" t="n">
        <f aca="false">IF(B6019&lt;5,Einstellungen!$B$3,Einstellungen!$B$4)</f>
        <v>29.13</v>
      </c>
      <c r="E6019" s="14" t="str">
        <f aca="false">IF(C6019="","",C6019*D6019/100)</f>
        <v/>
      </c>
      <c r="F6019" s="15" t="str">
        <f aca="false">IF(B6019&lt;5,"Go","Standard")</f>
        <v>Standard</v>
      </c>
    </row>
    <row r="6020" customFormat="false" ht="15" hidden="false" customHeight="true" outlineLevel="0" collapsed="false">
      <c r="A6020" s="10" t="n">
        <f aca="false">Einstellungen!$B$5+INT((ROW()-9)/24)</f>
        <v>46216</v>
      </c>
      <c r="B6020" s="11" t="n">
        <f aca="false">MOD(ROW()-9,24)</f>
        <v>11</v>
      </c>
      <c r="C6020" s="12"/>
      <c r="D6020" s="13" t="n">
        <f aca="false">IF(B6020&lt;5,Einstellungen!$B$3,Einstellungen!$B$4)</f>
        <v>29.13</v>
      </c>
      <c r="E6020" s="14" t="str">
        <f aca="false">IF(C6020="","",C6020*D6020/100)</f>
        <v/>
      </c>
      <c r="F6020" s="15" t="str">
        <f aca="false">IF(B6020&lt;5,"Go","Standard")</f>
        <v>Standard</v>
      </c>
    </row>
    <row r="6021" customFormat="false" ht="15" hidden="false" customHeight="true" outlineLevel="0" collapsed="false">
      <c r="A6021" s="10" t="n">
        <f aca="false">Einstellungen!$B$5+INT((ROW()-9)/24)</f>
        <v>46216</v>
      </c>
      <c r="B6021" s="11" t="n">
        <f aca="false">MOD(ROW()-9,24)</f>
        <v>12</v>
      </c>
      <c r="C6021" s="12"/>
      <c r="D6021" s="13" t="n">
        <f aca="false">IF(B6021&lt;5,Einstellungen!$B$3,Einstellungen!$B$4)</f>
        <v>29.13</v>
      </c>
      <c r="E6021" s="14" t="str">
        <f aca="false">IF(C6021="","",C6021*D6021/100)</f>
        <v/>
      </c>
      <c r="F6021" s="15" t="str">
        <f aca="false">IF(B6021&lt;5,"Go","Standard")</f>
        <v>Standard</v>
      </c>
    </row>
    <row r="6022" customFormat="false" ht="15" hidden="false" customHeight="true" outlineLevel="0" collapsed="false">
      <c r="A6022" s="10" t="n">
        <f aca="false">Einstellungen!$B$5+INT((ROW()-9)/24)</f>
        <v>46216</v>
      </c>
      <c r="B6022" s="11" t="n">
        <f aca="false">MOD(ROW()-9,24)</f>
        <v>13</v>
      </c>
      <c r="C6022" s="12"/>
      <c r="D6022" s="13" t="n">
        <f aca="false">IF(B6022&lt;5,Einstellungen!$B$3,Einstellungen!$B$4)</f>
        <v>29.13</v>
      </c>
      <c r="E6022" s="14" t="str">
        <f aca="false">IF(C6022="","",C6022*D6022/100)</f>
        <v/>
      </c>
      <c r="F6022" s="15" t="str">
        <f aca="false">IF(B6022&lt;5,"Go","Standard")</f>
        <v>Standard</v>
      </c>
    </row>
    <row r="6023" customFormat="false" ht="15" hidden="false" customHeight="true" outlineLevel="0" collapsed="false">
      <c r="A6023" s="10" t="n">
        <f aca="false">Einstellungen!$B$5+INT((ROW()-9)/24)</f>
        <v>46216</v>
      </c>
      <c r="B6023" s="11" t="n">
        <f aca="false">MOD(ROW()-9,24)</f>
        <v>14</v>
      </c>
      <c r="C6023" s="12"/>
      <c r="D6023" s="13" t="n">
        <f aca="false">IF(B6023&lt;5,Einstellungen!$B$3,Einstellungen!$B$4)</f>
        <v>29.13</v>
      </c>
      <c r="E6023" s="14" t="str">
        <f aca="false">IF(C6023="","",C6023*D6023/100)</f>
        <v/>
      </c>
      <c r="F6023" s="15" t="str">
        <f aca="false">IF(B6023&lt;5,"Go","Standard")</f>
        <v>Standard</v>
      </c>
    </row>
    <row r="6024" customFormat="false" ht="15" hidden="false" customHeight="true" outlineLevel="0" collapsed="false">
      <c r="A6024" s="10" t="n">
        <f aca="false">Einstellungen!$B$5+INT((ROW()-9)/24)</f>
        <v>46216</v>
      </c>
      <c r="B6024" s="11" t="n">
        <f aca="false">MOD(ROW()-9,24)</f>
        <v>15</v>
      </c>
      <c r="C6024" s="12"/>
      <c r="D6024" s="13" t="n">
        <f aca="false">IF(B6024&lt;5,Einstellungen!$B$3,Einstellungen!$B$4)</f>
        <v>29.13</v>
      </c>
      <c r="E6024" s="14" t="str">
        <f aca="false">IF(C6024="","",C6024*D6024/100)</f>
        <v/>
      </c>
      <c r="F6024" s="15" t="str">
        <f aca="false">IF(B6024&lt;5,"Go","Standard")</f>
        <v>Standard</v>
      </c>
    </row>
    <row r="6025" customFormat="false" ht="15" hidden="false" customHeight="true" outlineLevel="0" collapsed="false">
      <c r="A6025" s="10" t="n">
        <f aca="false">Einstellungen!$B$5+INT((ROW()-9)/24)</f>
        <v>46216</v>
      </c>
      <c r="B6025" s="11" t="n">
        <f aca="false">MOD(ROW()-9,24)</f>
        <v>16</v>
      </c>
      <c r="C6025" s="12"/>
      <c r="D6025" s="13" t="n">
        <f aca="false">IF(B6025&lt;5,Einstellungen!$B$3,Einstellungen!$B$4)</f>
        <v>29.13</v>
      </c>
      <c r="E6025" s="14" t="str">
        <f aca="false">IF(C6025="","",C6025*D6025/100)</f>
        <v/>
      </c>
      <c r="F6025" s="15" t="str">
        <f aca="false">IF(B6025&lt;5,"Go","Standard")</f>
        <v>Standard</v>
      </c>
    </row>
    <row r="6026" customFormat="false" ht="15" hidden="false" customHeight="true" outlineLevel="0" collapsed="false">
      <c r="A6026" s="10" t="n">
        <f aca="false">Einstellungen!$B$5+INT((ROW()-9)/24)</f>
        <v>46216</v>
      </c>
      <c r="B6026" s="11" t="n">
        <f aca="false">MOD(ROW()-9,24)</f>
        <v>17</v>
      </c>
      <c r="C6026" s="12"/>
      <c r="D6026" s="13" t="n">
        <f aca="false">IF(B6026&lt;5,Einstellungen!$B$3,Einstellungen!$B$4)</f>
        <v>29.13</v>
      </c>
      <c r="E6026" s="14" t="str">
        <f aca="false">IF(C6026="","",C6026*D6026/100)</f>
        <v/>
      </c>
      <c r="F6026" s="15" t="str">
        <f aca="false">IF(B6026&lt;5,"Go","Standard")</f>
        <v>Standard</v>
      </c>
    </row>
    <row r="6027" customFormat="false" ht="15" hidden="false" customHeight="true" outlineLevel="0" collapsed="false">
      <c r="A6027" s="10" t="n">
        <f aca="false">Einstellungen!$B$5+INT((ROW()-9)/24)</f>
        <v>46216</v>
      </c>
      <c r="B6027" s="11" t="n">
        <f aca="false">MOD(ROW()-9,24)</f>
        <v>18</v>
      </c>
      <c r="C6027" s="12"/>
      <c r="D6027" s="13" t="n">
        <f aca="false">IF(B6027&lt;5,Einstellungen!$B$3,Einstellungen!$B$4)</f>
        <v>29.13</v>
      </c>
      <c r="E6027" s="14" t="str">
        <f aca="false">IF(C6027="","",C6027*D6027/100)</f>
        <v/>
      </c>
      <c r="F6027" s="15" t="str">
        <f aca="false">IF(B6027&lt;5,"Go","Standard")</f>
        <v>Standard</v>
      </c>
    </row>
    <row r="6028" customFormat="false" ht="15" hidden="false" customHeight="true" outlineLevel="0" collapsed="false">
      <c r="A6028" s="10" t="n">
        <f aca="false">Einstellungen!$B$5+INT((ROW()-9)/24)</f>
        <v>46216</v>
      </c>
      <c r="B6028" s="11" t="n">
        <f aca="false">MOD(ROW()-9,24)</f>
        <v>19</v>
      </c>
      <c r="C6028" s="12"/>
      <c r="D6028" s="13" t="n">
        <f aca="false">IF(B6028&lt;5,Einstellungen!$B$3,Einstellungen!$B$4)</f>
        <v>29.13</v>
      </c>
      <c r="E6028" s="14" t="str">
        <f aca="false">IF(C6028="","",C6028*D6028/100)</f>
        <v/>
      </c>
      <c r="F6028" s="15" t="str">
        <f aca="false">IF(B6028&lt;5,"Go","Standard")</f>
        <v>Standard</v>
      </c>
    </row>
    <row r="6029" customFormat="false" ht="15" hidden="false" customHeight="true" outlineLevel="0" collapsed="false">
      <c r="A6029" s="10" t="n">
        <f aca="false">Einstellungen!$B$5+INT((ROW()-9)/24)</f>
        <v>46216</v>
      </c>
      <c r="B6029" s="11" t="n">
        <f aca="false">MOD(ROW()-9,24)</f>
        <v>20</v>
      </c>
      <c r="C6029" s="12"/>
      <c r="D6029" s="13" t="n">
        <f aca="false">IF(B6029&lt;5,Einstellungen!$B$3,Einstellungen!$B$4)</f>
        <v>29.13</v>
      </c>
      <c r="E6029" s="14" t="str">
        <f aca="false">IF(C6029="","",C6029*D6029/100)</f>
        <v/>
      </c>
      <c r="F6029" s="15" t="str">
        <f aca="false">IF(B6029&lt;5,"Go","Standard")</f>
        <v>Standard</v>
      </c>
    </row>
    <row r="6030" customFormat="false" ht="15" hidden="false" customHeight="true" outlineLevel="0" collapsed="false">
      <c r="A6030" s="10" t="n">
        <f aca="false">Einstellungen!$B$5+INT((ROW()-9)/24)</f>
        <v>46216</v>
      </c>
      <c r="B6030" s="11" t="n">
        <f aca="false">MOD(ROW()-9,24)</f>
        <v>21</v>
      </c>
      <c r="C6030" s="12"/>
      <c r="D6030" s="13" t="n">
        <f aca="false">IF(B6030&lt;5,Einstellungen!$B$3,Einstellungen!$B$4)</f>
        <v>29.13</v>
      </c>
      <c r="E6030" s="14" t="str">
        <f aca="false">IF(C6030="","",C6030*D6030/100)</f>
        <v/>
      </c>
      <c r="F6030" s="15" t="str">
        <f aca="false">IF(B6030&lt;5,"Go","Standard")</f>
        <v>Standard</v>
      </c>
    </row>
    <row r="6031" customFormat="false" ht="15" hidden="false" customHeight="true" outlineLevel="0" collapsed="false">
      <c r="A6031" s="10" t="n">
        <f aca="false">Einstellungen!$B$5+INT((ROW()-9)/24)</f>
        <v>46216</v>
      </c>
      <c r="B6031" s="11" t="n">
        <f aca="false">MOD(ROW()-9,24)</f>
        <v>22</v>
      </c>
      <c r="C6031" s="12"/>
      <c r="D6031" s="13" t="n">
        <f aca="false">IF(B6031&lt;5,Einstellungen!$B$3,Einstellungen!$B$4)</f>
        <v>29.13</v>
      </c>
      <c r="E6031" s="14" t="str">
        <f aca="false">IF(C6031="","",C6031*D6031/100)</f>
        <v/>
      </c>
      <c r="F6031" s="15" t="str">
        <f aca="false">IF(B6031&lt;5,"Go","Standard")</f>
        <v>Standard</v>
      </c>
    </row>
    <row r="6032" customFormat="false" ht="15" hidden="false" customHeight="true" outlineLevel="0" collapsed="false">
      <c r="A6032" s="10" t="n">
        <f aca="false">Einstellungen!$B$5+INT((ROW()-9)/24)</f>
        <v>46216</v>
      </c>
      <c r="B6032" s="11" t="n">
        <f aca="false">MOD(ROW()-9,24)</f>
        <v>23</v>
      </c>
      <c r="C6032" s="12"/>
      <c r="D6032" s="13" t="n">
        <f aca="false">IF(B6032&lt;5,Einstellungen!$B$3,Einstellungen!$B$4)</f>
        <v>29.13</v>
      </c>
      <c r="E6032" s="14" t="str">
        <f aca="false">IF(C6032="","",C6032*D6032/100)</f>
        <v/>
      </c>
      <c r="F6032" s="15" t="str">
        <f aca="false">IF(B6032&lt;5,"Go","Standard")</f>
        <v>Standard</v>
      </c>
    </row>
    <row r="6033" customFormat="false" ht="15" hidden="false" customHeight="true" outlineLevel="0" collapsed="false">
      <c r="A6033" s="10" t="n">
        <f aca="false">Einstellungen!$B$5+INT((ROW()-9)/24)</f>
        <v>46217</v>
      </c>
      <c r="B6033" s="11" t="n">
        <f aca="false">MOD(ROW()-9,24)</f>
        <v>0</v>
      </c>
      <c r="C6033" s="12"/>
      <c r="D6033" s="13" t="n">
        <f aca="false">IF(B6033&lt;5,Einstellungen!$B$3,Einstellungen!$B$4)</f>
        <v>15.92</v>
      </c>
      <c r="E6033" s="14" t="str">
        <f aca="false">IF(C6033="","",C6033*D6033/100)</f>
        <v/>
      </c>
      <c r="F6033" s="15" t="str">
        <f aca="false">IF(B6033&lt;5,"Go","Standard")</f>
        <v>Go</v>
      </c>
    </row>
    <row r="6034" customFormat="false" ht="15" hidden="false" customHeight="true" outlineLevel="0" collapsed="false">
      <c r="A6034" s="10" t="n">
        <f aca="false">Einstellungen!$B$5+INT((ROW()-9)/24)</f>
        <v>46217</v>
      </c>
      <c r="B6034" s="11" t="n">
        <f aca="false">MOD(ROW()-9,24)</f>
        <v>1</v>
      </c>
      <c r="C6034" s="12"/>
      <c r="D6034" s="13" t="n">
        <f aca="false">IF(B6034&lt;5,Einstellungen!$B$3,Einstellungen!$B$4)</f>
        <v>15.92</v>
      </c>
      <c r="E6034" s="14" t="str">
        <f aca="false">IF(C6034="","",C6034*D6034/100)</f>
        <v/>
      </c>
      <c r="F6034" s="15" t="str">
        <f aca="false">IF(B6034&lt;5,"Go","Standard")</f>
        <v>Go</v>
      </c>
    </row>
    <row r="6035" customFormat="false" ht="15" hidden="false" customHeight="true" outlineLevel="0" collapsed="false">
      <c r="A6035" s="10" t="n">
        <f aca="false">Einstellungen!$B$5+INT((ROW()-9)/24)</f>
        <v>46217</v>
      </c>
      <c r="B6035" s="11" t="n">
        <f aca="false">MOD(ROW()-9,24)</f>
        <v>2</v>
      </c>
      <c r="C6035" s="12"/>
      <c r="D6035" s="13" t="n">
        <f aca="false">IF(B6035&lt;5,Einstellungen!$B$3,Einstellungen!$B$4)</f>
        <v>15.92</v>
      </c>
      <c r="E6035" s="14" t="str">
        <f aca="false">IF(C6035="","",C6035*D6035/100)</f>
        <v/>
      </c>
      <c r="F6035" s="15" t="str">
        <f aca="false">IF(B6035&lt;5,"Go","Standard")</f>
        <v>Go</v>
      </c>
    </row>
    <row r="6036" customFormat="false" ht="15" hidden="false" customHeight="true" outlineLevel="0" collapsed="false">
      <c r="A6036" s="10" t="n">
        <f aca="false">Einstellungen!$B$5+INT((ROW()-9)/24)</f>
        <v>46217</v>
      </c>
      <c r="B6036" s="11" t="n">
        <f aca="false">MOD(ROW()-9,24)</f>
        <v>3</v>
      </c>
      <c r="C6036" s="12"/>
      <c r="D6036" s="13" t="n">
        <f aca="false">IF(B6036&lt;5,Einstellungen!$B$3,Einstellungen!$B$4)</f>
        <v>15.92</v>
      </c>
      <c r="E6036" s="14" t="str">
        <f aca="false">IF(C6036="","",C6036*D6036/100)</f>
        <v/>
      </c>
      <c r="F6036" s="15" t="str">
        <f aca="false">IF(B6036&lt;5,"Go","Standard")</f>
        <v>Go</v>
      </c>
    </row>
    <row r="6037" customFormat="false" ht="15" hidden="false" customHeight="true" outlineLevel="0" collapsed="false">
      <c r="A6037" s="10" t="n">
        <f aca="false">Einstellungen!$B$5+INT((ROW()-9)/24)</f>
        <v>46217</v>
      </c>
      <c r="B6037" s="11" t="n">
        <f aca="false">MOD(ROW()-9,24)</f>
        <v>4</v>
      </c>
      <c r="C6037" s="12"/>
      <c r="D6037" s="13" t="n">
        <f aca="false">IF(B6037&lt;5,Einstellungen!$B$3,Einstellungen!$B$4)</f>
        <v>15.92</v>
      </c>
      <c r="E6037" s="14" t="str">
        <f aca="false">IF(C6037="","",C6037*D6037/100)</f>
        <v/>
      </c>
      <c r="F6037" s="15" t="str">
        <f aca="false">IF(B6037&lt;5,"Go","Standard")</f>
        <v>Go</v>
      </c>
    </row>
    <row r="6038" customFormat="false" ht="15" hidden="false" customHeight="true" outlineLevel="0" collapsed="false">
      <c r="A6038" s="10" t="n">
        <f aca="false">Einstellungen!$B$5+INT((ROW()-9)/24)</f>
        <v>46217</v>
      </c>
      <c r="B6038" s="11" t="n">
        <f aca="false">MOD(ROW()-9,24)</f>
        <v>5</v>
      </c>
      <c r="C6038" s="12"/>
      <c r="D6038" s="13" t="n">
        <f aca="false">IF(B6038&lt;5,Einstellungen!$B$3,Einstellungen!$B$4)</f>
        <v>29.13</v>
      </c>
      <c r="E6038" s="14" t="str">
        <f aca="false">IF(C6038="","",C6038*D6038/100)</f>
        <v/>
      </c>
      <c r="F6038" s="15" t="str">
        <f aca="false">IF(B6038&lt;5,"Go","Standard")</f>
        <v>Standard</v>
      </c>
    </row>
    <row r="6039" customFormat="false" ht="15" hidden="false" customHeight="true" outlineLevel="0" collapsed="false">
      <c r="A6039" s="10" t="n">
        <f aca="false">Einstellungen!$B$5+INT((ROW()-9)/24)</f>
        <v>46217</v>
      </c>
      <c r="B6039" s="11" t="n">
        <f aca="false">MOD(ROW()-9,24)</f>
        <v>6</v>
      </c>
      <c r="C6039" s="12"/>
      <c r="D6039" s="13" t="n">
        <f aca="false">IF(B6039&lt;5,Einstellungen!$B$3,Einstellungen!$B$4)</f>
        <v>29.13</v>
      </c>
      <c r="E6039" s="14" t="str">
        <f aca="false">IF(C6039="","",C6039*D6039/100)</f>
        <v/>
      </c>
      <c r="F6039" s="15" t="str">
        <f aca="false">IF(B6039&lt;5,"Go","Standard")</f>
        <v>Standard</v>
      </c>
    </row>
    <row r="6040" customFormat="false" ht="15" hidden="false" customHeight="true" outlineLevel="0" collapsed="false">
      <c r="A6040" s="10" t="n">
        <f aca="false">Einstellungen!$B$5+INT((ROW()-9)/24)</f>
        <v>46217</v>
      </c>
      <c r="B6040" s="11" t="n">
        <f aca="false">MOD(ROW()-9,24)</f>
        <v>7</v>
      </c>
      <c r="C6040" s="12"/>
      <c r="D6040" s="13" t="n">
        <f aca="false">IF(B6040&lt;5,Einstellungen!$B$3,Einstellungen!$B$4)</f>
        <v>29.13</v>
      </c>
      <c r="E6040" s="14" t="str">
        <f aca="false">IF(C6040="","",C6040*D6040/100)</f>
        <v/>
      </c>
      <c r="F6040" s="15" t="str">
        <f aca="false">IF(B6040&lt;5,"Go","Standard")</f>
        <v>Standard</v>
      </c>
    </row>
    <row r="6041" customFormat="false" ht="15" hidden="false" customHeight="true" outlineLevel="0" collapsed="false">
      <c r="A6041" s="10" t="n">
        <f aca="false">Einstellungen!$B$5+INT((ROW()-9)/24)</f>
        <v>46217</v>
      </c>
      <c r="B6041" s="11" t="n">
        <f aca="false">MOD(ROW()-9,24)</f>
        <v>8</v>
      </c>
      <c r="C6041" s="12"/>
      <c r="D6041" s="13" t="n">
        <f aca="false">IF(B6041&lt;5,Einstellungen!$B$3,Einstellungen!$B$4)</f>
        <v>29.13</v>
      </c>
      <c r="E6041" s="14" t="str">
        <f aca="false">IF(C6041="","",C6041*D6041/100)</f>
        <v/>
      </c>
      <c r="F6041" s="15" t="str">
        <f aca="false">IF(B6041&lt;5,"Go","Standard")</f>
        <v>Standard</v>
      </c>
    </row>
    <row r="6042" customFormat="false" ht="15" hidden="false" customHeight="true" outlineLevel="0" collapsed="false">
      <c r="A6042" s="10" t="n">
        <f aca="false">Einstellungen!$B$5+INT((ROW()-9)/24)</f>
        <v>46217</v>
      </c>
      <c r="B6042" s="11" t="n">
        <f aca="false">MOD(ROW()-9,24)</f>
        <v>9</v>
      </c>
      <c r="C6042" s="12"/>
      <c r="D6042" s="13" t="n">
        <f aca="false">IF(B6042&lt;5,Einstellungen!$B$3,Einstellungen!$B$4)</f>
        <v>29.13</v>
      </c>
      <c r="E6042" s="14" t="str">
        <f aca="false">IF(C6042="","",C6042*D6042/100)</f>
        <v/>
      </c>
      <c r="F6042" s="15" t="str">
        <f aca="false">IF(B6042&lt;5,"Go","Standard")</f>
        <v>Standard</v>
      </c>
    </row>
    <row r="6043" customFormat="false" ht="15" hidden="false" customHeight="true" outlineLevel="0" collapsed="false">
      <c r="A6043" s="10" t="n">
        <f aca="false">Einstellungen!$B$5+INT((ROW()-9)/24)</f>
        <v>46217</v>
      </c>
      <c r="B6043" s="11" t="n">
        <f aca="false">MOD(ROW()-9,24)</f>
        <v>10</v>
      </c>
      <c r="C6043" s="12"/>
      <c r="D6043" s="13" t="n">
        <f aca="false">IF(B6043&lt;5,Einstellungen!$B$3,Einstellungen!$B$4)</f>
        <v>29.13</v>
      </c>
      <c r="E6043" s="14" t="str">
        <f aca="false">IF(C6043="","",C6043*D6043/100)</f>
        <v/>
      </c>
      <c r="F6043" s="15" t="str">
        <f aca="false">IF(B6043&lt;5,"Go","Standard")</f>
        <v>Standard</v>
      </c>
    </row>
    <row r="6044" customFormat="false" ht="15" hidden="false" customHeight="true" outlineLevel="0" collapsed="false">
      <c r="A6044" s="10" t="n">
        <f aca="false">Einstellungen!$B$5+INT((ROW()-9)/24)</f>
        <v>46217</v>
      </c>
      <c r="B6044" s="11" t="n">
        <f aca="false">MOD(ROW()-9,24)</f>
        <v>11</v>
      </c>
      <c r="C6044" s="12"/>
      <c r="D6044" s="13" t="n">
        <f aca="false">IF(B6044&lt;5,Einstellungen!$B$3,Einstellungen!$B$4)</f>
        <v>29.13</v>
      </c>
      <c r="E6044" s="14" t="str">
        <f aca="false">IF(C6044="","",C6044*D6044/100)</f>
        <v/>
      </c>
      <c r="F6044" s="15" t="str">
        <f aca="false">IF(B6044&lt;5,"Go","Standard")</f>
        <v>Standard</v>
      </c>
    </row>
    <row r="6045" customFormat="false" ht="15" hidden="false" customHeight="true" outlineLevel="0" collapsed="false">
      <c r="A6045" s="10" t="n">
        <f aca="false">Einstellungen!$B$5+INT((ROW()-9)/24)</f>
        <v>46217</v>
      </c>
      <c r="B6045" s="11" t="n">
        <f aca="false">MOD(ROW()-9,24)</f>
        <v>12</v>
      </c>
      <c r="C6045" s="12"/>
      <c r="D6045" s="13" t="n">
        <f aca="false">IF(B6045&lt;5,Einstellungen!$B$3,Einstellungen!$B$4)</f>
        <v>29.13</v>
      </c>
      <c r="E6045" s="14" t="str">
        <f aca="false">IF(C6045="","",C6045*D6045/100)</f>
        <v/>
      </c>
      <c r="F6045" s="15" t="str">
        <f aca="false">IF(B6045&lt;5,"Go","Standard")</f>
        <v>Standard</v>
      </c>
    </row>
    <row r="6046" customFormat="false" ht="15" hidden="false" customHeight="true" outlineLevel="0" collapsed="false">
      <c r="A6046" s="10" t="n">
        <f aca="false">Einstellungen!$B$5+INT((ROW()-9)/24)</f>
        <v>46217</v>
      </c>
      <c r="B6046" s="11" t="n">
        <f aca="false">MOD(ROW()-9,24)</f>
        <v>13</v>
      </c>
      <c r="C6046" s="12"/>
      <c r="D6046" s="13" t="n">
        <f aca="false">IF(B6046&lt;5,Einstellungen!$B$3,Einstellungen!$B$4)</f>
        <v>29.13</v>
      </c>
      <c r="E6046" s="14" t="str">
        <f aca="false">IF(C6046="","",C6046*D6046/100)</f>
        <v/>
      </c>
      <c r="F6046" s="15" t="str">
        <f aca="false">IF(B6046&lt;5,"Go","Standard")</f>
        <v>Standard</v>
      </c>
    </row>
    <row r="6047" customFormat="false" ht="15" hidden="false" customHeight="true" outlineLevel="0" collapsed="false">
      <c r="A6047" s="10" t="n">
        <f aca="false">Einstellungen!$B$5+INT((ROW()-9)/24)</f>
        <v>46217</v>
      </c>
      <c r="B6047" s="11" t="n">
        <f aca="false">MOD(ROW()-9,24)</f>
        <v>14</v>
      </c>
      <c r="C6047" s="12"/>
      <c r="D6047" s="13" t="n">
        <f aca="false">IF(B6047&lt;5,Einstellungen!$B$3,Einstellungen!$B$4)</f>
        <v>29.13</v>
      </c>
      <c r="E6047" s="14" t="str">
        <f aca="false">IF(C6047="","",C6047*D6047/100)</f>
        <v/>
      </c>
      <c r="F6047" s="15" t="str">
        <f aca="false">IF(B6047&lt;5,"Go","Standard")</f>
        <v>Standard</v>
      </c>
    </row>
    <row r="6048" customFormat="false" ht="15" hidden="false" customHeight="true" outlineLevel="0" collapsed="false">
      <c r="A6048" s="10" t="n">
        <f aca="false">Einstellungen!$B$5+INT((ROW()-9)/24)</f>
        <v>46217</v>
      </c>
      <c r="B6048" s="11" t="n">
        <f aca="false">MOD(ROW()-9,24)</f>
        <v>15</v>
      </c>
      <c r="C6048" s="12"/>
      <c r="D6048" s="13" t="n">
        <f aca="false">IF(B6048&lt;5,Einstellungen!$B$3,Einstellungen!$B$4)</f>
        <v>29.13</v>
      </c>
      <c r="E6048" s="14" t="str">
        <f aca="false">IF(C6048="","",C6048*D6048/100)</f>
        <v/>
      </c>
      <c r="F6048" s="15" t="str">
        <f aca="false">IF(B6048&lt;5,"Go","Standard")</f>
        <v>Standard</v>
      </c>
    </row>
    <row r="6049" customFormat="false" ht="15" hidden="false" customHeight="true" outlineLevel="0" collapsed="false">
      <c r="A6049" s="10" t="n">
        <f aca="false">Einstellungen!$B$5+INT((ROW()-9)/24)</f>
        <v>46217</v>
      </c>
      <c r="B6049" s="11" t="n">
        <f aca="false">MOD(ROW()-9,24)</f>
        <v>16</v>
      </c>
      <c r="C6049" s="12"/>
      <c r="D6049" s="13" t="n">
        <f aca="false">IF(B6049&lt;5,Einstellungen!$B$3,Einstellungen!$B$4)</f>
        <v>29.13</v>
      </c>
      <c r="E6049" s="14" t="str">
        <f aca="false">IF(C6049="","",C6049*D6049/100)</f>
        <v/>
      </c>
      <c r="F6049" s="15" t="str">
        <f aca="false">IF(B6049&lt;5,"Go","Standard")</f>
        <v>Standard</v>
      </c>
    </row>
    <row r="6050" customFormat="false" ht="15" hidden="false" customHeight="true" outlineLevel="0" collapsed="false">
      <c r="A6050" s="10" t="n">
        <f aca="false">Einstellungen!$B$5+INT((ROW()-9)/24)</f>
        <v>46217</v>
      </c>
      <c r="B6050" s="11" t="n">
        <f aca="false">MOD(ROW()-9,24)</f>
        <v>17</v>
      </c>
      <c r="C6050" s="12"/>
      <c r="D6050" s="13" t="n">
        <f aca="false">IF(B6050&lt;5,Einstellungen!$B$3,Einstellungen!$B$4)</f>
        <v>29.13</v>
      </c>
      <c r="E6050" s="14" t="str">
        <f aca="false">IF(C6050="","",C6050*D6050/100)</f>
        <v/>
      </c>
      <c r="F6050" s="15" t="str">
        <f aca="false">IF(B6050&lt;5,"Go","Standard")</f>
        <v>Standard</v>
      </c>
    </row>
    <row r="6051" customFormat="false" ht="15" hidden="false" customHeight="true" outlineLevel="0" collapsed="false">
      <c r="A6051" s="10" t="n">
        <f aca="false">Einstellungen!$B$5+INT((ROW()-9)/24)</f>
        <v>46217</v>
      </c>
      <c r="B6051" s="11" t="n">
        <f aca="false">MOD(ROW()-9,24)</f>
        <v>18</v>
      </c>
      <c r="C6051" s="12"/>
      <c r="D6051" s="13" t="n">
        <f aca="false">IF(B6051&lt;5,Einstellungen!$B$3,Einstellungen!$B$4)</f>
        <v>29.13</v>
      </c>
      <c r="E6051" s="14" t="str">
        <f aca="false">IF(C6051="","",C6051*D6051/100)</f>
        <v/>
      </c>
      <c r="F6051" s="15" t="str">
        <f aca="false">IF(B6051&lt;5,"Go","Standard")</f>
        <v>Standard</v>
      </c>
    </row>
    <row r="6052" customFormat="false" ht="15" hidden="false" customHeight="true" outlineLevel="0" collapsed="false">
      <c r="A6052" s="10" t="n">
        <f aca="false">Einstellungen!$B$5+INT((ROW()-9)/24)</f>
        <v>46217</v>
      </c>
      <c r="B6052" s="11" t="n">
        <f aca="false">MOD(ROW()-9,24)</f>
        <v>19</v>
      </c>
      <c r="C6052" s="12"/>
      <c r="D6052" s="13" t="n">
        <f aca="false">IF(B6052&lt;5,Einstellungen!$B$3,Einstellungen!$B$4)</f>
        <v>29.13</v>
      </c>
      <c r="E6052" s="14" t="str">
        <f aca="false">IF(C6052="","",C6052*D6052/100)</f>
        <v/>
      </c>
      <c r="F6052" s="15" t="str">
        <f aca="false">IF(B6052&lt;5,"Go","Standard")</f>
        <v>Standard</v>
      </c>
    </row>
    <row r="6053" customFormat="false" ht="15" hidden="false" customHeight="true" outlineLevel="0" collapsed="false">
      <c r="A6053" s="10" t="n">
        <f aca="false">Einstellungen!$B$5+INT((ROW()-9)/24)</f>
        <v>46217</v>
      </c>
      <c r="B6053" s="11" t="n">
        <f aca="false">MOD(ROW()-9,24)</f>
        <v>20</v>
      </c>
      <c r="C6053" s="12"/>
      <c r="D6053" s="13" t="n">
        <f aca="false">IF(B6053&lt;5,Einstellungen!$B$3,Einstellungen!$B$4)</f>
        <v>29.13</v>
      </c>
      <c r="E6053" s="14" t="str">
        <f aca="false">IF(C6053="","",C6053*D6053/100)</f>
        <v/>
      </c>
      <c r="F6053" s="15" t="str">
        <f aca="false">IF(B6053&lt;5,"Go","Standard")</f>
        <v>Standard</v>
      </c>
    </row>
    <row r="6054" customFormat="false" ht="15" hidden="false" customHeight="true" outlineLevel="0" collapsed="false">
      <c r="A6054" s="10" t="n">
        <f aca="false">Einstellungen!$B$5+INT((ROW()-9)/24)</f>
        <v>46217</v>
      </c>
      <c r="B6054" s="11" t="n">
        <f aca="false">MOD(ROW()-9,24)</f>
        <v>21</v>
      </c>
      <c r="C6054" s="12"/>
      <c r="D6054" s="13" t="n">
        <f aca="false">IF(B6054&lt;5,Einstellungen!$B$3,Einstellungen!$B$4)</f>
        <v>29.13</v>
      </c>
      <c r="E6054" s="14" t="str">
        <f aca="false">IF(C6054="","",C6054*D6054/100)</f>
        <v/>
      </c>
      <c r="F6054" s="15" t="str">
        <f aca="false">IF(B6054&lt;5,"Go","Standard")</f>
        <v>Standard</v>
      </c>
    </row>
    <row r="6055" customFormat="false" ht="15" hidden="false" customHeight="true" outlineLevel="0" collapsed="false">
      <c r="A6055" s="10" t="n">
        <f aca="false">Einstellungen!$B$5+INT((ROW()-9)/24)</f>
        <v>46217</v>
      </c>
      <c r="B6055" s="11" t="n">
        <f aca="false">MOD(ROW()-9,24)</f>
        <v>22</v>
      </c>
      <c r="C6055" s="12"/>
      <c r="D6055" s="13" t="n">
        <f aca="false">IF(B6055&lt;5,Einstellungen!$B$3,Einstellungen!$B$4)</f>
        <v>29.13</v>
      </c>
      <c r="E6055" s="14" t="str">
        <f aca="false">IF(C6055="","",C6055*D6055/100)</f>
        <v/>
      </c>
      <c r="F6055" s="15" t="str">
        <f aca="false">IF(B6055&lt;5,"Go","Standard")</f>
        <v>Standard</v>
      </c>
    </row>
    <row r="6056" customFormat="false" ht="15" hidden="false" customHeight="true" outlineLevel="0" collapsed="false">
      <c r="A6056" s="10" t="n">
        <f aca="false">Einstellungen!$B$5+INT((ROW()-9)/24)</f>
        <v>46217</v>
      </c>
      <c r="B6056" s="11" t="n">
        <f aca="false">MOD(ROW()-9,24)</f>
        <v>23</v>
      </c>
      <c r="C6056" s="12"/>
      <c r="D6056" s="13" t="n">
        <f aca="false">IF(B6056&lt;5,Einstellungen!$B$3,Einstellungen!$B$4)</f>
        <v>29.13</v>
      </c>
      <c r="E6056" s="14" t="str">
        <f aca="false">IF(C6056="","",C6056*D6056/100)</f>
        <v/>
      </c>
      <c r="F6056" s="15" t="str">
        <f aca="false">IF(B6056&lt;5,"Go","Standard")</f>
        <v>Standard</v>
      </c>
    </row>
    <row r="6057" customFormat="false" ht="15" hidden="false" customHeight="true" outlineLevel="0" collapsed="false">
      <c r="A6057" s="10" t="n">
        <f aca="false">Einstellungen!$B$5+INT((ROW()-9)/24)</f>
        <v>46218</v>
      </c>
      <c r="B6057" s="11" t="n">
        <f aca="false">MOD(ROW()-9,24)</f>
        <v>0</v>
      </c>
      <c r="C6057" s="12"/>
      <c r="D6057" s="13" t="n">
        <f aca="false">IF(B6057&lt;5,Einstellungen!$B$3,Einstellungen!$B$4)</f>
        <v>15.92</v>
      </c>
      <c r="E6057" s="14" t="str">
        <f aca="false">IF(C6057="","",C6057*D6057/100)</f>
        <v/>
      </c>
      <c r="F6057" s="15" t="str">
        <f aca="false">IF(B6057&lt;5,"Go","Standard")</f>
        <v>Go</v>
      </c>
    </row>
    <row r="6058" customFormat="false" ht="15" hidden="false" customHeight="true" outlineLevel="0" collapsed="false">
      <c r="A6058" s="10" t="n">
        <f aca="false">Einstellungen!$B$5+INT((ROW()-9)/24)</f>
        <v>46218</v>
      </c>
      <c r="B6058" s="11" t="n">
        <f aca="false">MOD(ROW()-9,24)</f>
        <v>1</v>
      </c>
      <c r="C6058" s="12"/>
      <c r="D6058" s="13" t="n">
        <f aca="false">IF(B6058&lt;5,Einstellungen!$B$3,Einstellungen!$B$4)</f>
        <v>15.92</v>
      </c>
      <c r="E6058" s="14" t="str">
        <f aca="false">IF(C6058="","",C6058*D6058/100)</f>
        <v/>
      </c>
      <c r="F6058" s="15" t="str">
        <f aca="false">IF(B6058&lt;5,"Go","Standard")</f>
        <v>Go</v>
      </c>
    </row>
    <row r="6059" customFormat="false" ht="15" hidden="false" customHeight="true" outlineLevel="0" collapsed="false">
      <c r="A6059" s="10" t="n">
        <f aca="false">Einstellungen!$B$5+INT((ROW()-9)/24)</f>
        <v>46218</v>
      </c>
      <c r="B6059" s="11" t="n">
        <f aca="false">MOD(ROW()-9,24)</f>
        <v>2</v>
      </c>
      <c r="C6059" s="12"/>
      <c r="D6059" s="13" t="n">
        <f aca="false">IF(B6059&lt;5,Einstellungen!$B$3,Einstellungen!$B$4)</f>
        <v>15.92</v>
      </c>
      <c r="E6059" s="14" t="str">
        <f aca="false">IF(C6059="","",C6059*D6059/100)</f>
        <v/>
      </c>
      <c r="F6059" s="15" t="str">
        <f aca="false">IF(B6059&lt;5,"Go","Standard")</f>
        <v>Go</v>
      </c>
    </row>
    <row r="6060" customFormat="false" ht="15" hidden="false" customHeight="true" outlineLevel="0" collapsed="false">
      <c r="A6060" s="10" t="n">
        <f aca="false">Einstellungen!$B$5+INT((ROW()-9)/24)</f>
        <v>46218</v>
      </c>
      <c r="B6060" s="11" t="n">
        <f aca="false">MOD(ROW()-9,24)</f>
        <v>3</v>
      </c>
      <c r="C6060" s="12"/>
      <c r="D6060" s="13" t="n">
        <f aca="false">IF(B6060&lt;5,Einstellungen!$B$3,Einstellungen!$B$4)</f>
        <v>15.92</v>
      </c>
      <c r="E6060" s="14" t="str">
        <f aca="false">IF(C6060="","",C6060*D6060/100)</f>
        <v/>
      </c>
      <c r="F6060" s="15" t="str">
        <f aca="false">IF(B6060&lt;5,"Go","Standard")</f>
        <v>Go</v>
      </c>
    </row>
    <row r="6061" customFormat="false" ht="15" hidden="false" customHeight="true" outlineLevel="0" collapsed="false">
      <c r="A6061" s="10" t="n">
        <f aca="false">Einstellungen!$B$5+INT((ROW()-9)/24)</f>
        <v>46218</v>
      </c>
      <c r="B6061" s="11" t="n">
        <f aca="false">MOD(ROW()-9,24)</f>
        <v>4</v>
      </c>
      <c r="C6061" s="12"/>
      <c r="D6061" s="13" t="n">
        <f aca="false">IF(B6061&lt;5,Einstellungen!$B$3,Einstellungen!$B$4)</f>
        <v>15.92</v>
      </c>
      <c r="E6061" s="14" t="str">
        <f aca="false">IF(C6061="","",C6061*D6061/100)</f>
        <v/>
      </c>
      <c r="F6061" s="15" t="str">
        <f aca="false">IF(B6061&lt;5,"Go","Standard")</f>
        <v>Go</v>
      </c>
    </row>
    <row r="6062" customFormat="false" ht="15" hidden="false" customHeight="true" outlineLevel="0" collapsed="false">
      <c r="A6062" s="10" t="n">
        <f aca="false">Einstellungen!$B$5+INT((ROW()-9)/24)</f>
        <v>46218</v>
      </c>
      <c r="B6062" s="11" t="n">
        <f aca="false">MOD(ROW()-9,24)</f>
        <v>5</v>
      </c>
      <c r="C6062" s="12"/>
      <c r="D6062" s="13" t="n">
        <f aca="false">IF(B6062&lt;5,Einstellungen!$B$3,Einstellungen!$B$4)</f>
        <v>29.13</v>
      </c>
      <c r="E6062" s="14" t="str">
        <f aca="false">IF(C6062="","",C6062*D6062/100)</f>
        <v/>
      </c>
      <c r="F6062" s="15" t="str">
        <f aca="false">IF(B6062&lt;5,"Go","Standard")</f>
        <v>Standard</v>
      </c>
    </row>
    <row r="6063" customFormat="false" ht="15" hidden="false" customHeight="true" outlineLevel="0" collapsed="false">
      <c r="A6063" s="10" t="n">
        <f aca="false">Einstellungen!$B$5+INT((ROW()-9)/24)</f>
        <v>46218</v>
      </c>
      <c r="B6063" s="11" t="n">
        <f aca="false">MOD(ROW()-9,24)</f>
        <v>6</v>
      </c>
      <c r="C6063" s="12"/>
      <c r="D6063" s="13" t="n">
        <f aca="false">IF(B6063&lt;5,Einstellungen!$B$3,Einstellungen!$B$4)</f>
        <v>29.13</v>
      </c>
      <c r="E6063" s="14" t="str">
        <f aca="false">IF(C6063="","",C6063*D6063/100)</f>
        <v/>
      </c>
      <c r="F6063" s="15" t="str">
        <f aca="false">IF(B6063&lt;5,"Go","Standard")</f>
        <v>Standard</v>
      </c>
    </row>
    <row r="6064" customFormat="false" ht="15" hidden="false" customHeight="true" outlineLevel="0" collapsed="false">
      <c r="A6064" s="10" t="n">
        <f aca="false">Einstellungen!$B$5+INT((ROW()-9)/24)</f>
        <v>46218</v>
      </c>
      <c r="B6064" s="11" t="n">
        <f aca="false">MOD(ROW()-9,24)</f>
        <v>7</v>
      </c>
      <c r="C6064" s="12"/>
      <c r="D6064" s="13" t="n">
        <f aca="false">IF(B6064&lt;5,Einstellungen!$B$3,Einstellungen!$B$4)</f>
        <v>29.13</v>
      </c>
      <c r="E6064" s="14" t="str">
        <f aca="false">IF(C6064="","",C6064*D6064/100)</f>
        <v/>
      </c>
      <c r="F6064" s="15" t="str">
        <f aca="false">IF(B6064&lt;5,"Go","Standard")</f>
        <v>Standard</v>
      </c>
    </row>
    <row r="6065" customFormat="false" ht="15" hidden="false" customHeight="true" outlineLevel="0" collapsed="false">
      <c r="A6065" s="10" t="n">
        <f aca="false">Einstellungen!$B$5+INT((ROW()-9)/24)</f>
        <v>46218</v>
      </c>
      <c r="B6065" s="11" t="n">
        <f aca="false">MOD(ROW()-9,24)</f>
        <v>8</v>
      </c>
      <c r="C6065" s="12"/>
      <c r="D6065" s="13" t="n">
        <f aca="false">IF(B6065&lt;5,Einstellungen!$B$3,Einstellungen!$B$4)</f>
        <v>29.13</v>
      </c>
      <c r="E6065" s="14" t="str">
        <f aca="false">IF(C6065="","",C6065*D6065/100)</f>
        <v/>
      </c>
      <c r="F6065" s="15" t="str">
        <f aca="false">IF(B6065&lt;5,"Go","Standard")</f>
        <v>Standard</v>
      </c>
    </row>
    <row r="6066" customFormat="false" ht="15" hidden="false" customHeight="true" outlineLevel="0" collapsed="false">
      <c r="A6066" s="10" t="n">
        <f aca="false">Einstellungen!$B$5+INT((ROW()-9)/24)</f>
        <v>46218</v>
      </c>
      <c r="B6066" s="11" t="n">
        <f aca="false">MOD(ROW()-9,24)</f>
        <v>9</v>
      </c>
      <c r="C6066" s="12"/>
      <c r="D6066" s="13" t="n">
        <f aca="false">IF(B6066&lt;5,Einstellungen!$B$3,Einstellungen!$B$4)</f>
        <v>29.13</v>
      </c>
      <c r="E6066" s="14" t="str">
        <f aca="false">IF(C6066="","",C6066*D6066/100)</f>
        <v/>
      </c>
      <c r="F6066" s="15" t="str">
        <f aca="false">IF(B6066&lt;5,"Go","Standard")</f>
        <v>Standard</v>
      </c>
    </row>
    <row r="6067" customFormat="false" ht="15" hidden="false" customHeight="true" outlineLevel="0" collapsed="false">
      <c r="A6067" s="10" t="n">
        <f aca="false">Einstellungen!$B$5+INT((ROW()-9)/24)</f>
        <v>46218</v>
      </c>
      <c r="B6067" s="11" t="n">
        <f aca="false">MOD(ROW()-9,24)</f>
        <v>10</v>
      </c>
      <c r="C6067" s="12"/>
      <c r="D6067" s="13" t="n">
        <f aca="false">IF(B6067&lt;5,Einstellungen!$B$3,Einstellungen!$B$4)</f>
        <v>29.13</v>
      </c>
      <c r="E6067" s="14" t="str">
        <f aca="false">IF(C6067="","",C6067*D6067/100)</f>
        <v/>
      </c>
      <c r="F6067" s="15" t="str">
        <f aca="false">IF(B6067&lt;5,"Go","Standard")</f>
        <v>Standard</v>
      </c>
    </row>
    <row r="6068" customFormat="false" ht="15" hidden="false" customHeight="true" outlineLevel="0" collapsed="false">
      <c r="A6068" s="10" t="n">
        <f aca="false">Einstellungen!$B$5+INT((ROW()-9)/24)</f>
        <v>46218</v>
      </c>
      <c r="B6068" s="11" t="n">
        <f aca="false">MOD(ROW()-9,24)</f>
        <v>11</v>
      </c>
      <c r="C6068" s="12"/>
      <c r="D6068" s="13" t="n">
        <f aca="false">IF(B6068&lt;5,Einstellungen!$B$3,Einstellungen!$B$4)</f>
        <v>29.13</v>
      </c>
      <c r="E6068" s="14" t="str">
        <f aca="false">IF(C6068="","",C6068*D6068/100)</f>
        <v/>
      </c>
      <c r="F6068" s="15" t="str">
        <f aca="false">IF(B6068&lt;5,"Go","Standard")</f>
        <v>Standard</v>
      </c>
    </row>
    <row r="6069" customFormat="false" ht="15" hidden="false" customHeight="true" outlineLevel="0" collapsed="false">
      <c r="A6069" s="10" t="n">
        <f aca="false">Einstellungen!$B$5+INT((ROW()-9)/24)</f>
        <v>46218</v>
      </c>
      <c r="B6069" s="11" t="n">
        <f aca="false">MOD(ROW()-9,24)</f>
        <v>12</v>
      </c>
      <c r="C6069" s="12"/>
      <c r="D6069" s="13" t="n">
        <f aca="false">IF(B6069&lt;5,Einstellungen!$B$3,Einstellungen!$B$4)</f>
        <v>29.13</v>
      </c>
      <c r="E6069" s="14" t="str">
        <f aca="false">IF(C6069="","",C6069*D6069/100)</f>
        <v/>
      </c>
      <c r="F6069" s="15" t="str">
        <f aca="false">IF(B6069&lt;5,"Go","Standard")</f>
        <v>Standard</v>
      </c>
    </row>
    <row r="6070" customFormat="false" ht="15" hidden="false" customHeight="true" outlineLevel="0" collapsed="false">
      <c r="A6070" s="10" t="n">
        <f aca="false">Einstellungen!$B$5+INT((ROW()-9)/24)</f>
        <v>46218</v>
      </c>
      <c r="B6070" s="11" t="n">
        <f aca="false">MOD(ROW()-9,24)</f>
        <v>13</v>
      </c>
      <c r="C6070" s="12"/>
      <c r="D6070" s="13" t="n">
        <f aca="false">IF(B6070&lt;5,Einstellungen!$B$3,Einstellungen!$B$4)</f>
        <v>29.13</v>
      </c>
      <c r="E6070" s="14" t="str">
        <f aca="false">IF(C6070="","",C6070*D6070/100)</f>
        <v/>
      </c>
      <c r="F6070" s="15" t="str">
        <f aca="false">IF(B6070&lt;5,"Go","Standard")</f>
        <v>Standard</v>
      </c>
    </row>
    <row r="6071" customFormat="false" ht="15" hidden="false" customHeight="true" outlineLevel="0" collapsed="false">
      <c r="A6071" s="10" t="n">
        <f aca="false">Einstellungen!$B$5+INT((ROW()-9)/24)</f>
        <v>46218</v>
      </c>
      <c r="B6071" s="11" t="n">
        <f aca="false">MOD(ROW()-9,24)</f>
        <v>14</v>
      </c>
      <c r="C6071" s="12"/>
      <c r="D6071" s="13" t="n">
        <f aca="false">IF(B6071&lt;5,Einstellungen!$B$3,Einstellungen!$B$4)</f>
        <v>29.13</v>
      </c>
      <c r="E6071" s="14" t="str">
        <f aca="false">IF(C6071="","",C6071*D6071/100)</f>
        <v/>
      </c>
      <c r="F6071" s="15" t="str">
        <f aca="false">IF(B6071&lt;5,"Go","Standard")</f>
        <v>Standard</v>
      </c>
    </row>
    <row r="6072" customFormat="false" ht="15" hidden="false" customHeight="true" outlineLevel="0" collapsed="false">
      <c r="A6072" s="10" t="n">
        <f aca="false">Einstellungen!$B$5+INT((ROW()-9)/24)</f>
        <v>46218</v>
      </c>
      <c r="B6072" s="11" t="n">
        <f aca="false">MOD(ROW()-9,24)</f>
        <v>15</v>
      </c>
      <c r="C6072" s="12"/>
      <c r="D6072" s="13" t="n">
        <f aca="false">IF(B6072&lt;5,Einstellungen!$B$3,Einstellungen!$B$4)</f>
        <v>29.13</v>
      </c>
      <c r="E6072" s="14" t="str">
        <f aca="false">IF(C6072="","",C6072*D6072/100)</f>
        <v/>
      </c>
      <c r="F6072" s="15" t="str">
        <f aca="false">IF(B6072&lt;5,"Go","Standard")</f>
        <v>Standard</v>
      </c>
    </row>
    <row r="6073" customFormat="false" ht="15" hidden="false" customHeight="true" outlineLevel="0" collapsed="false">
      <c r="A6073" s="10" t="n">
        <f aca="false">Einstellungen!$B$5+INT((ROW()-9)/24)</f>
        <v>46218</v>
      </c>
      <c r="B6073" s="11" t="n">
        <f aca="false">MOD(ROW()-9,24)</f>
        <v>16</v>
      </c>
      <c r="C6073" s="12"/>
      <c r="D6073" s="13" t="n">
        <f aca="false">IF(B6073&lt;5,Einstellungen!$B$3,Einstellungen!$B$4)</f>
        <v>29.13</v>
      </c>
      <c r="E6073" s="14" t="str">
        <f aca="false">IF(C6073="","",C6073*D6073/100)</f>
        <v/>
      </c>
      <c r="F6073" s="15" t="str">
        <f aca="false">IF(B6073&lt;5,"Go","Standard")</f>
        <v>Standard</v>
      </c>
    </row>
    <row r="6074" customFormat="false" ht="15" hidden="false" customHeight="true" outlineLevel="0" collapsed="false">
      <c r="A6074" s="10" t="n">
        <f aca="false">Einstellungen!$B$5+INT((ROW()-9)/24)</f>
        <v>46218</v>
      </c>
      <c r="B6074" s="11" t="n">
        <f aca="false">MOD(ROW()-9,24)</f>
        <v>17</v>
      </c>
      <c r="C6074" s="12"/>
      <c r="D6074" s="13" t="n">
        <f aca="false">IF(B6074&lt;5,Einstellungen!$B$3,Einstellungen!$B$4)</f>
        <v>29.13</v>
      </c>
      <c r="E6074" s="14" t="str">
        <f aca="false">IF(C6074="","",C6074*D6074/100)</f>
        <v/>
      </c>
      <c r="F6074" s="15" t="str">
        <f aca="false">IF(B6074&lt;5,"Go","Standard")</f>
        <v>Standard</v>
      </c>
    </row>
    <row r="6075" customFormat="false" ht="15" hidden="false" customHeight="true" outlineLevel="0" collapsed="false">
      <c r="A6075" s="10" t="n">
        <f aca="false">Einstellungen!$B$5+INT((ROW()-9)/24)</f>
        <v>46218</v>
      </c>
      <c r="B6075" s="11" t="n">
        <f aca="false">MOD(ROW()-9,24)</f>
        <v>18</v>
      </c>
      <c r="C6075" s="12"/>
      <c r="D6075" s="13" t="n">
        <f aca="false">IF(B6075&lt;5,Einstellungen!$B$3,Einstellungen!$B$4)</f>
        <v>29.13</v>
      </c>
      <c r="E6075" s="14" t="str">
        <f aca="false">IF(C6075="","",C6075*D6075/100)</f>
        <v/>
      </c>
      <c r="F6075" s="15" t="str">
        <f aca="false">IF(B6075&lt;5,"Go","Standard")</f>
        <v>Standard</v>
      </c>
    </row>
    <row r="6076" customFormat="false" ht="15" hidden="false" customHeight="true" outlineLevel="0" collapsed="false">
      <c r="A6076" s="10" t="n">
        <f aca="false">Einstellungen!$B$5+INT((ROW()-9)/24)</f>
        <v>46218</v>
      </c>
      <c r="B6076" s="11" t="n">
        <f aca="false">MOD(ROW()-9,24)</f>
        <v>19</v>
      </c>
      <c r="C6076" s="12"/>
      <c r="D6076" s="13" t="n">
        <f aca="false">IF(B6076&lt;5,Einstellungen!$B$3,Einstellungen!$B$4)</f>
        <v>29.13</v>
      </c>
      <c r="E6076" s="14" t="str">
        <f aca="false">IF(C6076="","",C6076*D6076/100)</f>
        <v/>
      </c>
      <c r="F6076" s="15" t="str">
        <f aca="false">IF(B6076&lt;5,"Go","Standard")</f>
        <v>Standard</v>
      </c>
    </row>
    <row r="6077" customFormat="false" ht="15" hidden="false" customHeight="true" outlineLevel="0" collapsed="false">
      <c r="A6077" s="10" t="n">
        <f aca="false">Einstellungen!$B$5+INT((ROW()-9)/24)</f>
        <v>46218</v>
      </c>
      <c r="B6077" s="11" t="n">
        <f aca="false">MOD(ROW()-9,24)</f>
        <v>20</v>
      </c>
      <c r="C6077" s="12"/>
      <c r="D6077" s="13" t="n">
        <f aca="false">IF(B6077&lt;5,Einstellungen!$B$3,Einstellungen!$B$4)</f>
        <v>29.13</v>
      </c>
      <c r="E6077" s="14" t="str">
        <f aca="false">IF(C6077="","",C6077*D6077/100)</f>
        <v/>
      </c>
      <c r="F6077" s="15" t="str">
        <f aca="false">IF(B6077&lt;5,"Go","Standard")</f>
        <v>Standard</v>
      </c>
    </row>
    <row r="6078" customFormat="false" ht="15" hidden="false" customHeight="true" outlineLevel="0" collapsed="false">
      <c r="A6078" s="10" t="n">
        <f aca="false">Einstellungen!$B$5+INT((ROW()-9)/24)</f>
        <v>46218</v>
      </c>
      <c r="B6078" s="11" t="n">
        <f aca="false">MOD(ROW()-9,24)</f>
        <v>21</v>
      </c>
      <c r="C6078" s="12"/>
      <c r="D6078" s="13" t="n">
        <f aca="false">IF(B6078&lt;5,Einstellungen!$B$3,Einstellungen!$B$4)</f>
        <v>29.13</v>
      </c>
      <c r="E6078" s="14" t="str">
        <f aca="false">IF(C6078="","",C6078*D6078/100)</f>
        <v/>
      </c>
      <c r="F6078" s="15" t="str">
        <f aca="false">IF(B6078&lt;5,"Go","Standard")</f>
        <v>Standard</v>
      </c>
    </row>
    <row r="6079" customFormat="false" ht="15" hidden="false" customHeight="true" outlineLevel="0" collapsed="false">
      <c r="A6079" s="10" t="n">
        <f aca="false">Einstellungen!$B$5+INT((ROW()-9)/24)</f>
        <v>46218</v>
      </c>
      <c r="B6079" s="11" t="n">
        <f aca="false">MOD(ROW()-9,24)</f>
        <v>22</v>
      </c>
      <c r="C6079" s="12"/>
      <c r="D6079" s="13" t="n">
        <f aca="false">IF(B6079&lt;5,Einstellungen!$B$3,Einstellungen!$B$4)</f>
        <v>29.13</v>
      </c>
      <c r="E6079" s="14" t="str">
        <f aca="false">IF(C6079="","",C6079*D6079/100)</f>
        <v/>
      </c>
      <c r="F6079" s="15" t="str">
        <f aca="false">IF(B6079&lt;5,"Go","Standard")</f>
        <v>Standard</v>
      </c>
    </row>
    <row r="6080" customFormat="false" ht="15" hidden="false" customHeight="true" outlineLevel="0" collapsed="false">
      <c r="A6080" s="10" t="n">
        <f aca="false">Einstellungen!$B$5+INT((ROW()-9)/24)</f>
        <v>46218</v>
      </c>
      <c r="B6080" s="11" t="n">
        <f aca="false">MOD(ROW()-9,24)</f>
        <v>23</v>
      </c>
      <c r="C6080" s="12"/>
      <c r="D6080" s="13" t="n">
        <f aca="false">IF(B6080&lt;5,Einstellungen!$B$3,Einstellungen!$B$4)</f>
        <v>29.13</v>
      </c>
      <c r="E6080" s="14" t="str">
        <f aca="false">IF(C6080="","",C6080*D6080/100)</f>
        <v/>
      </c>
      <c r="F6080" s="15" t="str">
        <f aca="false">IF(B6080&lt;5,"Go","Standard")</f>
        <v>Standard</v>
      </c>
    </row>
    <row r="6081" customFormat="false" ht="15" hidden="false" customHeight="true" outlineLevel="0" collapsed="false">
      <c r="A6081" s="10" t="n">
        <f aca="false">Einstellungen!$B$5+INT((ROW()-9)/24)</f>
        <v>46219</v>
      </c>
      <c r="B6081" s="11" t="n">
        <f aca="false">MOD(ROW()-9,24)</f>
        <v>0</v>
      </c>
      <c r="C6081" s="12"/>
      <c r="D6081" s="13" t="n">
        <f aca="false">IF(B6081&lt;5,Einstellungen!$B$3,Einstellungen!$B$4)</f>
        <v>15.92</v>
      </c>
      <c r="E6081" s="14" t="str">
        <f aca="false">IF(C6081="","",C6081*D6081/100)</f>
        <v/>
      </c>
      <c r="F6081" s="15" t="str">
        <f aca="false">IF(B6081&lt;5,"Go","Standard")</f>
        <v>Go</v>
      </c>
    </row>
    <row r="6082" customFormat="false" ht="15" hidden="false" customHeight="true" outlineLevel="0" collapsed="false">
      <c r="A6082" s="10" t="n">
        <f aca="false">Einstellungen!$B$5+INT((ROW()-9)/24)</f>
        <v>46219</v>
      </c>
      <c r="B6082" s="11" t="n">
        <f aca="false">MOD(ROW()-9,24)</f>
        <v>1</v>
      </c>
      <c r="C6082" s="12"/>
      <c r="D6082" s="13" t="n">
        <f aca="false">IF(B6082&lt;5,Einstellungen!$B$3,Einstellungen!$B$4)</f>
        <v>15.92</v>
      </c>
      <c r="E6082" s="14" t="str">
        <f aca="false">IF(C6082="","",C6082*D6082/100)</f>
        <v/>
      </c>
      <c r="F6082" s="15" t="str">
        <f aca="false">IF(B6082&lt;5,"Go","Standard")</f>
        <v>Go</v>
      </c>
    </row>
    <row r="6083" customFormat="false" ht="15" hidden="false" customHeight="true" outlineLevel="0" collapsed="false">
      <c r="A6083" s="10" t="n">
        <f aca="false">Einstellungen!$B$5+INT((ROW()-9)/24)</f>
        <v>46219</v>
      </c>
      <c r="B6083" s="11" t="n">
        <f aca="false">MOD(ROW()-9,24)</f>
        <v>2</v>
      </c>
      <c r="C6083" s="12"/>
      <c r="D6083" s="13" t="n">
        <f aca="false">IF(B6083&lt;5,Einstellungen!$B$3,Einstellungen!$B$4)</f>
        <v>15.92</v>
      </c>
      <c r="E6083" s="14" t="str">
        <f aca="false">IF(C6083="","",C6083*D6083/100)</f>
        <v/>
      </c>
      <c r="F6083" s="15" t="str">
        <f aca="false">IF(B6083&lt;5,"Go","Standard")</f>
        <v>Go</v>
      </c>
    </row>
    <row r="6084" customFormat="false" ht="15" hidden="false" customHeight="true" outlineLevel="0" collapsed="false">
      <c r="A6084" s="10" t="n">
        <f aca="false">Einstellungen!$B$5+INT((ROW()-9)/24)</f>
        <v>46219</v>
      </c>
      <c r="B6084" s="11" t="n">
        <f aca="false">MOD(ROW()-9,24)</f>
        <v>3</v>
      </c>
      <c r="C6084" s="12"/>
      <c r="D6084" s="13" t="n">
        <f aca="false">IF(B6084&lt;5,Einstellungen!$B$3,Einstellungen!$B$4)</f>
        <v>15.92</v>
      </c>
      <c r="E6084" s="14" t="str">
        <f aca="false">IF(C6084="","",C6084*D6084/100)</f>
        <v/>
      </c>
      <c r="F6084" s="15" t="str">
        <f aca="false">IF(B6084&lt;5,"Go","Standard")</f>
        <v>Go</v>
      </c>
    </row>
    <row r="6085" customFormat="false" ht="15" hidden="false" customHeight="true" outlineLevel="0" collapsed="false">
      <c r="A6085" s="10" t="n">
        <f aca="false">Einstellungen!$B$5+INT((ROW()-9)/24)</f>
        <v>46219</v>
      </c>
      <c r="B6085" s="11" t="n">
        <f aca="false">MOD(ROW()-9,24)</f>
        <v>4</v>
      </c>
      <c r="C6085" s="12"/>
      <c r="D6085" s="13" t="n">
        <f aca="false">IF(B6085&lt;5,Einstellungen!$B$3,Einstellungen!$B$4)</f>
        <v>15.92</v>
      </c>
      <c r="E6085" s="14" t="str">
        <f aca="false">IF(C6085="","",C6085*D6085/100)</f>
        <v/>
      </c>
      <c r="F6085" s="15" t="str">
        <f aca="false">IF(B6085&lt;5,"Go","Standard")</f>
        <v>Go</v>
      </c>
    </row>
    <row r="6086" customFormat="false" ht="15" hidden="false" customHeight="true" outlineLevel="0" collapsed="false">
      <c r="A6086" s="10" t="n">
        <f aca="false">Einstellungen!$B$5+INT((ROW()-9)/24)</f>
        <v>46219</v>
      </c>
      <c r="B6086" s="11" t="n">
        <f aca="false">MOD(ROW()-9,24)</f>
        <v>5</v>
      </c>
      <c r="C6086" s="12"/>
      <c r="D6086" s="13" t="n">
        <f aca="false">IF(B6086&lt;5,Einstellungen!$B$3,Einstellungen!$B$4)</f>
        <v>29.13</v>
      </c>
      <c r="E6086" s="14" t="str">
        <f aca="false">IF(C6086="","",C6086*D6086/100)</f>
        <v/>
      </c>
      <c r="F6086" s="15" t="str">
        <f aca="false">IF(B6086&lt;5,"Go","Standard")</f>
        <v>Standard</v>
      </c>
    </row>
    <row r="6087" customFormat="false" ht="15" hidden="false" customHeight="true" outlineLevel="0" collapsed="false">
      <c r="A6087" s="10" t="n">
        <f aca="false">Einstellungen!$B$5+INT((ROW()-9)/24)</f>
        <v>46219</v>
      </c>
      <c r="B6087" s="11" t="n">
        <f aca="false">MOD(ROW()-9,24)</f>
        <v>6</v>
      </c>
      <c r="C6087" s="12"/>
      <c r="D6087" s="13" t="n">
        <f aca="false">IF(B6087&lt;5,Einstellungen!$B$3,Einstellungen!$B$4)</f>
        <v>29.13</v>
      </c>
      <c r="E6087" s="14" t="str">
        <f aca="false">IF(C6087="","",C6087*D6087/100)</f>
        <v/>
      </c>
      <c r="F6087" s="15" t="str">
        <f aca="false">IF(B6087&lt;5,"Go","Standard")</f>
        <v>Standard</v>
      </c>
    </row>
    <row r="6088" customFormat="false" ht="15" hidden="false" customHeight="true" outlineLevel="0" collapsed="false">
      <c r="A6088" s="10" t="n">
        <f aca="false">Einstellungen!$B$5+INT((ROW()-9)/24)</f>
        <v>46219</v>
      </c>
      <c r="B6088" s="11" t="n">
        <f aca="false">MOD(ROW()-9,24)</f>
        <v>7</v>
      </c>
      <c r="C6088" s="12"/>
      <c r="D6088" s="13" t="n">
        <f aca="false">IF(B6088&lt;5,Einstellungen!$B$3,Einstellungen!$B$4)</f>
        <v>29.13</v>
      </c>
      <c r="E6088" s="14" t="str">
        <f aca="false">IF(C6088="","",C6088*D6088/100)</f>
        <v/>
      </c>
      <c r="F6088" s="15" t="str">
        <f aca="false">IF(B6088&lt;5,"Go","Standard")</f>
        <v>Standard</v>
      </c>
    </row>
    <row r="6089" customFormat="false" ht="15" hidden="false" customHeight="true" outlineLevel="0" collapsed="false">
      <c r="A6089" s="10" t="n">
        <f aca="false">Einstellungen!$B$5+INT((ROW()-9)/24)</f>
        <v>46219</v>
      </c>
      <c r="B6089" s="11" t="n">
        <f aca="false">MOD(ROW()-9,24)</f>
        <v>8</v>
      </c>
      <c r="C6089" s="12"/>
      <c r="D6089" s="13" t="n">
        <f aca="false">IF(B6089&lt;5,Einstellungen!$B$3,Einstellungen!$B$4)</f>
        <v>29.13</v>
      </c>
      <c r="E6089" s="14" t="str">
        <f aca="false">IF(C6089="","",C6089*D6089/100)</f>
        <v/>
      </c>
      <c r="F6089" s="15" t="str">
        <f aca="false">IF(B6089&lt;5,"Go","Standard")</f>
        <v>Standard</v>
      </c>
    </row>
    <row r="6090" customFormat="false" ht="15" hidden="false" customHeight="true" outlineLevel="0" collapsed="false">
      <c r="A6090" s="10" t="n">
        <f aca="false">Einstellungen!$B$5+INT((ROW()-9)/24)</f>
        <v>46219</v>
      </c>
      <c r="B6090" s="11" t="n">
        <f aca="false">MOD(ROW()-9,24)</f>
        <v>9</v>
      </c>
      <c r="C6090" s="12"/>
      <c r="D6090" s="13" t="n">
        <f aca="false">IF(B6090&lt;5,Einstellungen!$B$3,Einstellungen!$B$4)</f>
        <v>29.13</v>
      </c>
      <c r="E6090" s="14" t="str">
        <f aca="false">IF(C6090="","",C6090*D6090/100)</f>
        <v/>
      </c>
      <c r="F6090" s="15" t="str">
        <f aca="false">IF(B6090&lt;5,"Go","Standard")</f>
        <v>Standard</v>
      </c>
    </row>
    <row r="6091" customFormat="false" ht="15" hidden="false" customHeight="true" outlineLevel="0" collapsed="false">
      <c r="A6091" s="10" t="n">
        <f aca="false">Einstellungen!$B$5+INT((ROW()-9)/24)</f>
        <v>46219</v>
      </c>
      <c r="B6091" s="11" t="n">
        <f aca="false">MOD(ROW()-9,24)</f>
        <v>10</v>
      </c>
      <c r="C6091" s="12"/>
      <c r="D6091" s="13" t="n">
        <f aca="false">IF(B6091&lt;5,Einstellungen!$B$3,Einstellungen!$B$4)</f>
        <v>29.13</v>
      </c>
      <c r="E6091" s="14" t="str">
        <f aca="false">IF(C6091="","",C6091*D6091/100)</f>
        <v/>
      </c>
      <c r="F6091" s="15" t="str">
        <f aca="false">IF(B6091&lt;5,"Go","Standard")</f>
        <v>Standard</v>
      </c>
    </row>
    <row r="6092" customFormat="false" ht="15" hidden="false" customHeight="true" outlineLevel="0" collapsed="false">
      <c r="A6092" s="10" t="n">
        <f aca="false">Einstellungen!$B$5+INT((ROW()-9)/24)</f>
        <v>46219</v>
      </c>
      <c r="B6092" s="11" t="n">
        <f aca="false">MOD(ROW()-9,24)</f>
        <v>11</v>
      </c>
      <c r="C6092" s="12"/>
      <c r="D6092" s="13" t="n">
        <f aca="false">IF(B6092&lt;5,Einstellungen!$B$3,Einstellungen!$B$4)</f>
        <v>29.13</v>
      </c>
      <c r="E6092" s="14" t="str">
        <f aca="false">IF(C6092="","",C6092*D6092/100)</f>
        <v/>
      </c>
      <c r="F6092" s="15" t="str">
        <f aca="false">IF(B6092&lt;5,"Go","Standard")</f>
        <v>Standard</v>
      </c>
    </row>
    <row r="6093" customFormat="false" ht="15" hidden="false" customHeight="true" outlineLevel="0" collapsed="false">
      <c r="A6093" s="10" t="n">
        <f aca="false">Einstellungen!$B$5+INT((ROW()-9)/24)</f>
        <v>46219</v>
      </c>
      <c r="B6093" s="11" t="n">
        <f aca="false">MOD(ROW()-9,24)</f>
        <v>12</v>
      </c>
      <c r="C6093" s="12"/>
      <c r="D6093" s="13" t="n">
        <f aca="false">IF(B6093&lt;5,Einstellungen!$B$3,Einstellungen!$B$4)</f>
        <v>29.13</v>
      </c>
      <c r="E6093" s="14" t="str">
        <f aca="false">IF(C6093="","",C6093*D6093/100)</f>
        <v/>
      </c>
      <c r="F6093" s="15" t="str">
        <f aca="false">IF(B6093&lt;5,"Go","Standard")</f>
        <v>Standard</v>
      </c>
    </row>
    <row r="6094" customFormat="false" ht="15" hidden="false" customHeight="true" outlineLevel="0" collapsed="false">
      <c r="A6094" s="10" t="n">
        <f aca="false">Einstellungen!$B$5+INT((ROW()-9)/24)</f>
        <v>46219</v>
      </c>
      <c r="B6094" s="11" t="n">
        <f aca="false">MOD(ROW()-9,24)</f>
        <v>13</v>
      </c>
      <c r="C6094" s="12"/>
      <c r="D6094" s="13" t="n">
        <f aca="false">IF(B6094&lt;5,Einstellungen!$B$3,Einstellungen!$B$4)</f>
        <v>29.13</v>
      </c>
      <c r="E6094" s="14" t="str">
        <f aca="false">IF(C6094="","",C6094*D6094/100)</f>
        <v/>
      </c>
      <c r="F6094" s="15" t="str">
        <f aca="false">IF(B6094&lt;5,"Go","Standard")</f>
        <v>Standard</v>
      </c>
    </row>
    <row r="6095" customFormat="false" ht="15" hidden="false" customHeight="true" outlineLevel="0" collapsed="false">
      <c r="A6095" s="10" t="n">
        <f aca="false">Einstellungen!$B$5+INT((ROW()-9)/24)</f>
        <v>46219</v>
      </c>
      <c r="B6095" s="11" t="n">
        <f aca="false">MOD(ROW()-9,24)</f>
        <v>14</v>
      </c>
      <c r="C6095" s="12"/>
      <c r="D6095" s="13" t="n">
        <f aca="false">IF(B6095&lt;5,Einstellungen!$B$3,Einstellungen!$B$4)</f>
        <v>29.13</v>
      </c>
      <c r="E6095" s="14" t="str">
        <f aca="false">IF(C6095="","",C6095*D6095/100)</f>
        <v/>
      </c>
      <c r="F6095" s="15" t="str">
        <f aca="false">IF(B6095&lt;5,"Go","Standard")</f>
        <v>Standard</v>
      </c>
    </row>
    <row r="6096" customFormat="false" ht="15" hidden="false" customHeight="true" outlineLevel="0" collapsed="false">
      <c r="A6096" s="10" t="n">
        <f aca="false">Einstellungen!$B$5+INT((ROW()-9)/24)</f>
        <v>46219</v>
      </c>
      <c r="B6096" s="11" t="n">
        <f aca="false">MOD(ROW()-9,24)</f>
        <v>15</v>
      </c>
      <c r="C6096" s="12"/>
      <c r="D6096" s="13" t="n">
        <f aca="false">IF(B6096&lt;5,Einstellungen!$B$3,Einstellungen!$B$4)</f>
        <v>29.13</v>
      </c>
      <c r="E6096" s="14" t="str">
        <f aca="false">IF(C6096="","",C6096*D6096/100)</f>
        <v/>
      </c>
      <c r="F6096" s="15" t="str">
        <f aca="false">IF(B6096&lt;5,"Go","Standard")</f>
        <v>Standard</v>
      </c>
    </row>
    <row r="6097" customFormat="false" ht="15" hidden="false" customHeight="true" outlineLevel="0" collapsed="false">
      <c r="A6097" s="10" t="n">
        <f aca="false">Einstellungen!$B$5+INT((ROW()-9)/24)</f>
        <v>46219</v>
      </c>
      <c r="B6097" s="11" t="n">
        <f aca="false">MOD(ROW()-9,24)</f>
        <v>16</v>
      </c>
      <c r="C6097" s="12"/>
      <c r="D6097" s="13" t="n">
        <f aca="false">IF(B6097&lt;5,Einstellungen!$B$3,Einstellungen!$B$4)</f>
        <v>29.13</v>
      </c>
      <c r="E6097" s="14" t="str">
        <f aca="false">IF(C6097="","",C6097*D6097/100)</f>
        <v/>
      </c>
      <c r="F6097" s="15" t="str">
        <f aca="false">IF(B6097&lt;5,"Go","Standard")</f>
        <v>Standard</v>
      </c>
    </row>
    <row r="6098" customFormat="false" ht="15" hidden="false" customHeight="true" outlineLevel="0" collapsed="false">
      <c r="A6098" s="10" t="n">
        <f aca="false">Einstellungen!$B$5+INT((ROW()-9)/24)</f>
        <v>46219</v>
      </c>
      <c r="B6098" s="11" t="n">
        <f aca="false">MOD(ROW()-9,24)</f>
        <v>17</v>
      </c>
      <c r="C6098" s="12"/>
      <c r="D6098" s="13" t="n">
        <f aca="false">IF(B6098&lt;5,Einstellungen!$B$3,Einstellungen!$B$4)</f>
        <v>29.13</v>
      </c>
      <c r="E6098" s="14" t="str">
        <f aca="false">IF(C6098="","",C6098*D6098/100)</f>
        <v/>
      </c>
      <c r="F6098" s="15" t="str">
        <f aca="false">IF(B6098&lt;5,"Go","Standard")</f>
        <v>Standard</v>
      </c>
    </row>
    <row r="6099" customFormat="false" ht="15" hidden="false" customHeight="true" outlineLevel="0" collapsed="false">
      <c r="A6099" s="10" t="n">
        <f aca="false">Einstellungen!$B$5+INT((ROW()-9)/24)</f>
        <v>46219</v>
      </c>
      <c r="B6099" s="11" t="n">
        <f aca="false">MOD(ROW()-9,24)</f>
        <v>18</v>
      </c>
      <c r="C6099" s="12"/>
      <c r="D6099" s="13" t="n">
        <f aca="false">IF(B6099&lt;5,Einstellungen!$B$3,Einstellungen!$B$4)</f>
        <v>29.13</v>
      </c>
      <c r="E6099" s="14" t="str">
        <f aca="false">IF(C6099="","",C6099*D6099/100)</f>
        <v/>
      </c>
      <c r="F6099" s="15" t="str">
        <f aca="false">IF(B6099&lt;5,"Go","Standard")</f>
        <v>Standard</v>
      </c>
    </row>
    <row r="6100" customFormat="false" ht="15" hidden="false" customHeight="true" outlineLevel="0" collapsed="false">
      <c r="A6100" s="10" t="n">
        <f aca="false">Einstellungen!$B$5+INT((ROW()-9)/24)</f>
        <v>46219</v>
      </c>
      <c r="B6100" s="11" t="n">
        <f aca="false">MOD(ROW()-9,24)</f>
        <v>19</v>
      </c>
      <c r="C6100" s="12"/>
      <c r="D6100" s="13" t="n">
        <f aca="false">IF(B6100&lt;5,Einstellungen!$B$3,Einstellungen!$B$4)</f>
        <v>29.13</v>
      </c>
      <c r="E6100" s="14" t="str">
        <f aca="false">IF(C6100="","",C6100*D6100/100)</f>
        <v/>
      </c>
      <c r="F6100" s="15" t="str">
        <f aca="false">IF(B6100&lt;5,"Go","Standard")</f>
        <v>Standard</v>
      </c>
    </row>
    <row r="6101" customFormat="false" ht="15" hidden="false" customHeight="true" outlineLevel="0" collapsed="false">
      <c r="A6101" s="10" t="n">
        <f aca="false">Einstellungen!$B$5+INT((ROW()-9)/24)</f>
        <v>46219</v>
      </c>
      <c r="B6101" s="11" t="n">
        <f aca="false">MOD(ROW()-9,24)</f>
        <v>20</v>
      </c>
      <c r="C6101" s="12"/>
      <c r="D6101" s="13" t="n">
        <f aca="false">IF(B6101&lt;5,Einstellungen!$B$3,Einstellungen!$B$4)</f>
        <v>29.13</v>
      </c>
      <c r="E6101" s="14" t="str">
        <f aca="false">IF(C6101="","",C6101*D6101/100)</f>
        <v/>
      </c>
      <c r="F6101" s="15" t="str">
        <f aca="false">IF(B6101&lt;5,"Go","Standard")</f>
        <v>Standard</v>
      </c>
    </row>
    <row r="6102" customFormat="false" ht="15" hidden="false" customHeight="true" outlineLevel="0" collapsed="false">
      <c r="A6102" s="10" t="n">
        <f aca="false">Einstellungen!$B$5+INT((ROW()-9)/24)</f>
        <v>46219</v>
      </c>
      <c r="B6102" s="11" t="n">
        <f aca="false">MOD(ROW()-9,24)</f>
        <v>21</v>
      </c>
      <c r="C6102" s="12"/>
      <c r="D6102" s="13" t="n">
        <f aca="false">IF(B6102&lt;5,Einstellungen!$B$3,Einstellungen!$B$4)</f>
        <v>29.13</v>
      </c>
      <c r="E6102" s="14" t="str">
        <f aca="false">IF(C6102="","",C6102*D6102/100)</f>
        <v/>
      </c>
      <c r="F6102" s="15" t="str">
        <f aca="false">IF(B6102&lt;5,"Go","Standard")</f>
        <v>Standard</v>
      </c>
    </row>
    <row r="6103" customFormat="false" ht="15" hidden="false" customHeight="true" outlineLevel="0" collapsed="false">
      <c r="A6103" s="10" t="n">
        <f aca="false">Einstellungen!$B$5+INT((ROW()-9)/24)</f>
        <v>46219</v>
      </c>
      <c r="B6103" s="11" t="n">
        <f aca="false">MOD(ROW()-9,24)</f>
        <v>22</v>
      </c>
      <c r="C6103" s="12"/>
      <c r="D6103" s="13" t="n">
        <f aca="false">IF(B6103&lt;5,Einstellungen!$B$3,Einstellungen!$B$4)</f>
        <v>29.13</v>
      </c>
      <c r="E6103" s="14" t="str">
        <f aca="false">IF(C6103="","",C6103*D6103/100)</f>
        <v/>
      </c>
      <c r="F6103" s="15" t="str">
        <f aca="false">IF(B6103&lt;5,"Go","Standard")</f>
        <v>Standard</v>
      </c>
    </row>
    <row r="6104" customFormat="false" ht="15" hidden="false" customHeight="true" outlineLevel="0" collapsed="false">
      <c r="A6104" s="10" t="n">
        <f aca="false">Einstellungen!$B$5+INT((ROW()-9)/24)</f>
        <v>46219</v>
      </c>
      <c r="B6104" s="11" t="n">
        <f aca="false">MOD(ROW()-9,24)</f>
        <v>23</v>
      </c>
      <c r="C6104" s="12"/>
      <c r="D6104" s="13" t="n">
        <f aca="false">IF(B6104&lt;5,Einstellungen!$B$3,Einstellungen!$B$4)</f>
        <v>29.13</v>
      </c>
      <c r="E6104" s="14" t="str">
        <f aca="false">IF(C6104="","",C6104*D6104/100)</f>
        <v/>
      </c>
      <c r="F6104" s="15" t="str">
        <f aca="false">IF(B6104&lt;5,"Go","Standard")</f>
        <v>Standard</v>
      </c>
    </row>
    <row r="6105" customFormat="false" ht="15" hidden="false" customHeight="true" outlineLevel="0" collapsed="false">
      <c r="A6105" s="10" t="n">
        <f aca="false">Einstellungen!$B$5+INT((ROW()-9)/24)</f>
        <v>46220</v>
      </c>
      <c r="B6105" s="11" t="n">
        <f aca="false">MOD(ROW()-9,24)</f>
        <v>0</v>
      </c>
      <c r="C6105" s="12"/>
      <c r="D6105" s="13" t="n">
        <f aca="false">IF(B6105&lt;5,Einstellungen!$B$3,Einstellungen!$B$4)</f>
        <v>15.92</v>
      </c>
      <c r="E6105" s="14" t="str">
        <f aca="false">IF(C6105="","",C6105*D6105/100)</f>
        <v/>
      </c>
      <c r="F6105" s="15" t="str">
        <f aca="false">IF(B6105&lt;5,"Go","Standard")</f>
        <v>Go</v>
      </c>
    </row>
    <row r="6106" customFormat="false" ht="15" hidden="false" customHeight="true" outlineLevel="0" collapsed="false">
      <c r="A6106" s="10" t="n">
        <f aca="false">Einstellungen!$B$5+INT((ROW()-9)/24)</f>
        <v>46220</v>
      </c>
      <c r="B6106" s="11" t="n">
        <f aca="false">MOD(ROW()-9,24)</f>
        <v>1</v>
      </c>
      <c r="C6106" s="12"/>
      <c r="D6106" s="13" t="n">
        <f aca="false">IF(B6106&lt;5,Einstellungen!$B$3,Einstellungen!$B$4)</f>
        <v>15.92</v>
      </c>
      <c r="E6106" s="14" t="str">
        <f aca="false">IF(C6106="","",C6106*D6106/100)</f>
        <v/>
      </c>
      <c r="F6106" s="15" t="str">
        <f aca="false">IF(B6106&lt;5,"Go","Standard")</f>
        <v>Go</v>
      </c>
    </row>
    <row r="6107" customFormat="false" ht="15" hidden="false" customHeight="true" outlineLevel="0" collapsed="false">
      <c r="A6107" s="10" t="n">
        <f aca="false">Einstellungen!$B$5+INT((ROW()-9)/24)</f>
        <v>46220</v>
      </c>
      <c r="B6107" s="11" t="n">
        <f aca="false">MOD(ROW()-9,24)</f>
        <v>2</v>
      </c>
      <c r="C6107" s="12"/>
      <c r="D6107" s="13" t="n">
        <f aca="false">IF(B6107&lt;5,Einstellungen!$B$3,Einstellungen!$B$4)</f>
        <v>15.92</v>
      </c>
      <c r="E6107" s="14" t="str">
        <f aca="false">IF(C6107="","",C6107*D6107/100)</f>
        <v/>
      </c>
      <c r="F6107" s="15" t="str">
        <f aca="false">IF(B6107&lt;5,"Go","Standard")</f>
        <v>Go</v>
      </c>
    </row>
    <row r="6108" customFormat="false" ht="15" hidden="false" customHeight="true" outlineLevel="0" collapsed="false">
      <c r="A6108" s="10" t="n">
        <f aca="false">Einstellungen!$B$5+INT((ROW()-9)/24)</f>
        <v>46220</v>
      </c>
      <c r="B6108" s="11" t="n">
        <f aca="false">MOD(ROW()-9,24)</f>
        <v>3</v>
      </c>
      <c r="C6108" s="12"/>
      <c r="D6108" s="13" t="n">
        <f aca="false">IF(B6108&lt;5,Einstellungen!$B$3,Einstellungen!$B$4)</f>
        <v>15.92</v>
      </c>
      <c r="E6108" s="14" t="str">
        <f aca="false">IF(C6108="","",C6108*D6108/100)</f>
        <v/>
      </c>
      <c r="F6108" s="15" t="str">
        <f aca="false">IF(B6108&lt;5,"Go","Standard")</f>
        <v>Go</v>
      </c>
    </row>
    <row r="6109" customFormat="false" ht="15" hidden="false" customHeight="true" outlineLevel="0" collapsed="false">
      <c r="A6109" s="10" t="n">
        <f aca="false">Einstellungen!$B$5+INT((ROW()-9)/24)</f>
        <v>46220</v>
      </c>
      <c r="B6109" s="11" t="n">
        <f aca="false">MOD(ROW()-9,24)</f>
        <v>4</v>
      </c>
      <c r="C6109" s="12"/>
      <c r="D6109" s="13" t="n">
        <f aca="false">IF(B6109&lt;5,Einstellungen!$B$3,Einstellungen!$B$4)</f>
        <v>15.92</v>
      </c>
      <c r="E6109" s="14" t="str">
        <f aca="false">IF(C6109="","",C6109*D6109/100)</f>
        <v/>
      </c>
      <c r="F6109" s="15" t="str">
        <f aca="false">IF(B6109&lt;5,"Go","Standard")</f>
        <v>Go</v>
      </c>
    </row>
    <row r="6110" customFormat="false" ht="15" hidden="false" customHeight="true" outlineLevel="0" collapsed="false">
      <c r="A6110" s="10" t="n">
        <f aca="false">Einstellungen!$B$5+INT((ROW()-9)/24)</f>
        <v>46220</v>
      </c>
      <c r="B6110" s="11" t="n">
        <f aca="false">MOD(ROW()-9,24)</f>
        <v>5</v>
      </c>
      <c r="C6110" s="12"/>
      <c r="D6110" s="13" t="n">
        <f aca="false">IF(B6110&lt;5,Einstellungen!$B$3,Einstellungen!$B$4)</f>
        <v>29.13</v>
      </c>
      <c r="E6110" s="14" t="str">
        <f aca="false">IF(C6110="","",C6110*D6110/100)</f>
        <v/>
      </c>
      <c r="F6110" s="15" t="str">
        <f aca="false">IF(B6110&lt;5,"Go","Standard")</f>
        <v>Standard</v>
      </c>
    </row>
    <row r="6111" customFormat="false" ht="15" hidden="false" customHeight="true" outlineLevel="0" collapsed="false">
      <c r="A6111" s="10" t="n">
        <f aca="false">Einstellungen!$B$5+INT((ROW()-9)/24)</f>
        <v>46220</v>
      </c>
      <c r="B6111" s="11" t="n">
        <f aca="false">MOD(ROW()-9,24)</f>
        <v>6</v>
      </c>
      <c r="C6111" s="12"/>
      <c r="D6111" s="13" t="n">
        <f aca="false">IF(B6111&lt;5,Einstellungen!$B$3,Einstellungen!$B$4)</f>
        <v>29.13</v>
      </c>
      <c r="E6111" s="14" t="str">
        <f aca="false">IF(C6111="","",C6111*D6111/100)</f>
        <v/>
      </c>
      <c r="F6111" s="15" t="str">
        <f aca="false">IF(B6111&lt;5,"Go","Standard")</f>
        <v>Standard</v>
      </c>
    </row>
    <row r="6112" customFormat="false" ht="15" hidden="false" customHeight="true" outlineLevel="0" collapsed="false">
      <c r="A6112" s="10" t="n">
        <f aca="false">Einstellungen!$B$5+INT((ROW()-9)/24)</f>
        <v>46220</v>
      </c>
      <c r="B6112" s="11" t="n">
        <f aca="false">MOD(ROW()-9,24)</f>
        <v>7</v>
      </c>
      <c r="C6112" s="12"/>
      <c r="D6112" s="13" t="n">
        <f aca="false">IF(B6112&lt;5,Einstellungen!$B$3,Einstellungen!$B$4)</f>
        <v>29.13</v>
      </c>
      <c r="E6112" s="14" t="str">
        <f aca="false">IF(C6112="","",C6112*D6112/100)</f>
        <v/>
      </c>
      <c r="F6112" s="15" t="str">
        <f aca="false">IF(B6112&lt;5,"Go","Standard")</f>
        <v>Standard</v>
      </c>
    </row>
    <row r="6113" customFormat="false" ht="15" hidden="false" customHeight="true" outlineLevel="0" collapsed="false">
      <c r="A6113" s="10" t="n">
        <f aca="false">Einstellungen!$B$5+INT((ROW()-9)/24)</f>
        <v>46220</v>
      </c>
      <c r="B6113" s="11" t="n">
        <f aca="false">MOD(ROW()-9,24)</f>
        <v>8</v>
      </c>
      <c r="C6113" s="12"/>
      <c r="D6113" s="13" t="n">
        <f aca="false">IF(B6113&lt;5,Einstellungen!$B$3,Einstellungen!$B$4)</f>
        <v>29.13</v>
      </c>
      <c r="E6113" s="14" t="str">
        <f aca="false">IF(C6113="","",C6113*D6113/100)</f>
        <v/>
      </c>
      <c r="F6113" s="15" t="str">
        <f aca="false">IF(B6113&lt;5,"Go","Standard")</f>
        <v>Standard</v>
      </c>
    </row>
    <row r="6114" customFormat="false" ht="15" hidden="false" customHeight="true" outlineLevel="0" collapsed="false">
      <c r="A6114" s="10" t="n">
        <f aca="false">Einstellungen!$B$5+INT((ROW()-9)/24)</f>
        <v>46220</v>
      </c>
      <c r="B6114" s="11" t="n">
        <f aca="false">MOD(ROW()-9,24)</f>
        <v>9</v>
      </c>
      <c r="C6114" s="12"/>
      <c r="D6114" s="13" t="n">
        <f aca="false">IF(B6114&lt;5,Einstellungen!$B$3,Einstellungen!$B$4)</f>
        <v>29.13</v>
      </c>
      <c r="E6114" s="14" t="str">
        <f aca="false">IF(C6114="","",C6114*D6114/100)</f>
        <v/>
      </c>
      <c r="F6114" s="15" t="str">
        <f aca="false">IF(B6114&lt;5,"Go","Standard")</f>
        <v>Standard</v>
      </c>
    </row>
    <row r="6115" customFormat="false" ht="15" hidden="false" customHeight="true" outlineLevel="0" collapsed="false">
      <c r="A6115" s="10" t="n">
        <f aca="false">Einstellungen!$B$5+INT((ROW()-9)/24)</f>
        <v>46220</v>
      </c>
      <c r="B6115" s="11" t="n">
        <f aca="false">MOD(ROW()-9,24)</f>
        <v>10</v>
      </c>
      <c r="C6115" s="12"/>
      <c r="D6115" s="13" t="n">
        <f aca="false">IF(B6115&lt;5,Einstellungen!$B$3,Einstellungen!$B$4)</f>
        <v>29.13</v>
      </c>
      <c r="E6115" s="14" t="str">
        <f aca="false">IF(C6115="","",C6115*D6115/100)</f>
        <v/>
      </c>
      <c r="F6115" s="15" t="str">
        <f aca="false">IF(B6115&lt;5,"Go","Standard")</f>
        <v>Standard</v>
      </c>
    </row>
    <row r="6116" customFormat="false" ht="15" hidden="false" customHeight="true" outlineLevel="0" collapsed="false">
      <c r="A6116" s="10" t="n">
        <f aca="false">Einstellungen!$B$5+INT((ROW()-9)/24)</f>
        <v>46220</v>
      </c>
      <c r="B6116" s="11" t="n">
        <f aca="false">MOD(ROW()-9,24)</f>
        <v>11</v>
      </c>
      <c r="C6116" s="12"/>
      <c r="D6116" s="13" t="n">
        <f aca="false">IF(B6116&lt;5,Einstellungen!$B$3,Einstellungen!$B$4)</f>
        <v>29.13</v>
      </c>
      <c r="E6116" s="14" t="str">
        <f aca="false">IF(C6116="","",C6116*D6116/100)</f>
        <v/>
      </c>
      <c r="F6116" s="15" t="str">
        <f aca="false">IF(B6116&lt;5,"Go","Standard")</f>
        <v>Standard</v>
      </c>
    </row>
    <row r="6117" customFormat="false" ht="15" hidden="false" customHeight="true" outlineLevel="0" collapsed="false">
      <c r="A6117" s="10" t="n">
        <f aca="false">Einstellungen!$B$5+INT((ROW()-9)/24)</f>
        <v>46220</v>
      </c>
      <c r="B6117" s="11" t="n">
        <f aca="false">MOD(ROW()-9,24)</f>
        <v>12</v>
      </c>
      <c r="C6117" s="12"/>
      <c r="D6117" s="13" t="n">
        <f aca="false">IF(B6117&lt;5,Einstellungen!$B$3,Einstellungen!$B$4)</f>
        <v>29.13</v>
      </c>
      <c r="E6117" s="14" t="str">
        <f aca="false">IF(C6117="","",C6117*D6117/100)</f>
        <v/>
      </c>
      <c r="F6117" s="15" t="str">
        <f aca="false">IF(B6117&lt;5,"Go","Standard")</f>
        <v>Standard</v>
      </c>
    </row>
    <row r="6118" customFormat="false" ht="15" hidden="false" customHeight="true" outlineLevel="0" collapsed="false">
      <c r="A6118" s="10" t="n">
        <f aca="false">Einstellungen!$B$5+INT((ROW()-9)/24)</f>
        <v>46220</v>
      </c>
      <c r="B6118" s="11" t="n">
        <f aca="false">MOD(ROW()-9,24)</f>
        <v>13</v>
      </c>
      <c r="C6118" s="12"/>
      <c r="D6118" s="13" t="n">
        <f aca="false">IF(B6118&lt;5,Einstellungen!$B$3,Einstellungen!$B$4)</f>
        <v>29.13</v>
      </c>
      <c r="E6118" s="14" t="str">
        <f aca="false">IF(C6118="","",C6118*D6118/100)</f>
        <v/>
      </c>
      <c r="F6118" s="15" t="str">
        <f aca="false">IF(B6118&lt;5,"Go","Standard")</f>
        <v>Standard</v>
      </c>
    </row>
    <row r="6119" customFormat="false" ht="15" hidden="false" customHeight="true" outlineLevel="0" collapsed="false">
      <c r="A6119" s="10" t="n">
        <f aca="false">Einstellungen!$B$5+INT((ROW()-9)/24)</f>
        <v>46220</v>
      </c>
      <c r="B6119" s="11" t="n">
        <f aca="false">MOD(ROW()-9,24)</f>
        <v>14</v>
      </c>
      <c r="C6119" s="12"/>
      <c r="D6119" s="13" t="n">
        <f aca="false">IF(B6119&lt;5,Einstellungen!$B$3,Einstellungen!$B$4)</f>
        <v>29.13</v>
      </c>
      <c r="E6119" s="14" t="str">
        <f aca="false">IF(C6119="","",C6119*D6119/100)</f>
        <v/>
      </c>
      <c r="F6119" s="15" t="str">
        <f aca="false">IF(B6119&lt;5,"Go","Standard")</f>
        <v>Standard</v>
      </c>
    </row>
    <row r="6120" customFormat="false" ht="15" hidden="false" customHeight="true" outlineLevel="0" collapsed="false">
      <c r="A6120" s="10" t="n">
        <f aca="false">Einstellungen!$B$5+INT((ROW()-9)/24)</f>
        <v>46220</v>
      </c>
      <c r="B6120" s="11" t="n">
        <f aca="false">MOD(ROW()-9,24)</f>
        <v>15</v>
      </c>
      <c r="C6120" s="12"/>
      <c r="D6120" s="13" t="n">
        <f aca="false">IF(B6120&lt;5,Einstellungen!$B$3,Einstellungen!$B$4)</f>
        <v>29.13</v>
      </c>
      <c r="E6120" s="14" t="str">
        <f aca="false">IF(C6120="","",C6120*D6120/100)</f>
        <v/>
      </c>
      <c r="F6120" s="15" t="str">
        <f aca="false">IF(B6120&lt;5,"Go","Standard")</f>
        <v>Standard</v>
      </c>
    </row>
    <row r="6121" customFormat="false" ht="15" hidden="false" customHeight="true" outlineLevel="0" collapsed="false">
      <c r="A6121" s="10" t="n">
        <f aca="false">Einstellungen!$B$5+INT((ROW()-9)/24)</f>
        <v>46220</v>
      </c>
      <c r="B6121" s="11" t="n">
        <f aca="false">MOD(ROW()-9,24)</f>
        <v>16</v>
      </c>
      <c r="C6121" s="12"/>
      <c r="D6121" s="13" t="n">
        <f aca="false">IF(B6121&lt;5,Einstellungen!$B$3,Einstellungen!$B$4)</f>
        <v>29.13</v>
      </c>
      <c r="E6121" s="14" t="str">
        <f aca="false">IF(C6121="","",C6121*D6121/100)</f>
        <v/>
      </c>
      <c r="F6121" s="15" t="str">
        <f aca="false">IF(B6121&lt;5,"Go","Standard")</f>
        <v>Standard</v>
      </c>
    </row>
    <row r="6122" customFormat="false" ht="15" hidden="false" customHeight="true" outlineLevel="0" collapsed="false">
      <c r="A6122" s="10" t="n">
        <f aca="false">Einstellungen!$B$5+INT((ROW()-9)/24)</f>
        <v>46220</v>
      </c>
      <c r="B6122" s="11" t="n">
        <f aca="false">MOD(ROW()-9,24)</f>
        <v>17</v>
      </c>
      <c r="C6122" s="12"/>
      <c r="D6122" s="13" t="n">
        <f aca="false">IF(B6122&lt;5,Einstellungen!$B$3,Einstellungen!$B$4)</f>
        <v>29.13</v>
      </c>
      <c r="E6122" s="14" t="str">
        <f aca="false">IF(C6122="","",C6122*D6122/100)</f>
        <v/>
      </c>
      <c r="F6122" s="15" t="str">
        <f aca="false">IF(B6122&lt;5,"Go","Standard")</f>
        <v>Standard</v>
      </c>
    </row>
    <row r="6123" customFormat="false" ht="15" hidden="false" customHeight="true" outlineLevel="0" collapsed="false">
      <c r="A6123" s="10" t="n">
        <f aca="false">Einstellungen!$B$5+INT((ROW()-9)/24)</f>
        <v>46220</v>
      </c>
      <c r="B6123" s="11" t="n">
        <f aca="false">MOD(ROW()-9,24)</f>
        <v>18</v>
      </c>
      <c r="C6123" s="12"/>
      <c r="D6123" s="13" t="n">
        <f aca="false">IF(B6123&lt;5,Einstellungen!$B$3,Einstellungen!$B$4)</f>
        <v>29.13</v>
      </c>
      <c r="E6123" s="14" t="str">
        <f aca="false">IF(C6123="","",C6123*D6123/100)</f>
        <v/>
      </c>
      <c r="F6123" s="15" t="str">
        <f aca="false">IF(B6123&lt;5,"Go","Standard")</f>
        <v>Standard</v>
      </c>
    </row>
    <row r="6124" customFormat="false" ht="15" hidden="false" customHeight="true" outlineLevel="0" collapsed="false">
      <c r="A6124" s="10" t="n">
        <f aca="false">Einstellungen!$B$5+INT((ROW()-9)/24)</f>
        <v>46220</v>
      </c>
      <c r="B6124" s="11" t="n">
        <f aca="false">MOD(ROW()-9,24)</f>
        <v>19</v>
      </c>
      <c r="C6124" s="12"/>
      <c r="D6124" s="13" t="n">
        <f aca="false">IF(B6124&lt;5,Einstellungen!$B$3,Einstellungen!$B$4)</f>
        <v>29.13</v>
      </c>
      <c r="E6124" s="14" t="str">
        <f aca="false">IF(C6124="","",C6124*D6124/100)</f>
        <v/>
      </c>
      <c r="F6124" s="15" t="str">
        <f aca="false">IF(B6124&lt;5,"Go","Standard")</f>
        <v>Standard</v>
      </c>
    </row>
    <row r="6125" customFormat="false" ht="15" hidden="false" customHeight="true" outlineLevel="0" collapsed="false">
      <c r="A6125" s="10" t="n">
        <f aca="false">Einstellungen!$B$5+INT((ROW()-9)/24)</f>
        <v>46220</v>
      </c>
      <c r="B6125" s="11" t="n">
        <f aca="false">MOD(ROW()-9,24)</f>
        <v>20</v>
      </c>
      <c r="C6125" s="12"/>
      <c r="D6125" s="13" t="n">
        <f aca="false">IF(B6125&lt;5,Einstellungen!$B$3,Einstellungen!$B$4)</f>
        <v>29.13</v>
      </c>
      <c r="E6125" s="14" t="str">
        <f aca="false">IF(C6125="","",C6125*D6125/100)</f>
        <v/>
      </c>
      <c r="F6125" s="15" t="str">
        <f aca="false">IF(B6125&lt;5,"Go","Standard")</f>
        <v>Standard</v>
      </c>
    </row>
    <row r="6126" customFormat="false" ht="15" hidden="false" customHeight="true" outlineLevel="0" collapsed="false">
      <c r="A6126" s="10" t="n">
        <f aca="false">Einstellungen!$B$5+INT((ROW()-9)/24)</f>
        <v>46220</v>
      </c>
      <c r="B6126" s="11" t="n">
        <f aca="false">MOD(ROW()-9,24)</f>
        <v>21</v>
      </c>
      <c r="C6126" s="12"/>
      <c r="D6126" s="13" t="n">
        <f aca="false">IF(B6126&lt;5,Einstellungen!$B$3,Einstellungen!$B$4)</f>
        <v>29.13</v>
      </c>
      <c r="E6126" s="14" t="str">
        <f aca="false">IF(C6126="","",C6126*D6126/100)</f>
        <v/>
      </c>
      <c r="F6126" s="15" t="str">
        <f aca="false">IF(B6126&lt;5,"Go","Standard")</f>
        <v>Standard</v>
      </c>
    </row>
    <row r="6127" customFormat="false" ht="15" hidden="false" customHeight="true" outlineLevel="0" collapsed="false">
      <c r="A6127" s="10" t="n">
        <f aca="false">Einstellungen!$B$5+INT((ROW()-9)/24)</f>
        <v>46220</v>
      </c>
      <c r="B6127" s="11" t="n">
        <f aca="false">MOD(ROW()-9,24)</f>
        <v>22</v>
      </c>
      <c r="C6127" s="12"/>
      <c r="D6127" s="13" t="n">
        <f aca="false">IF(B6127&lt;5,Einstellungen!$B$3,Einstellungen!$B$4)</f>
        <v>29.13</v>
      </c>
      <c r="E6127" s="14" t="str">
        <f aca="false">IF(C6127="","",C6127*D6127/100)</f>
        <v/>
      </c>
      <c r="F6127" s="15" t="str">
        <f aca="false">IF(B6127&lt;5,"Go","Standard")</f>
        <v>Standard</v>
      </c>
    </row>
    <row r="6128" customFormat="false" ht="15" hidden="false" customHeight="true" outlineLevel="0" collapsed="false">
      <c r="A6128" s="10" t="n">
        <f aca="false">Einstellungen!$B$5+INT((ROW()-9)/24)</f>
        <v>46220</v>
      </c>
      <c r="B6128" s="11" t="n">
        <f aca="false">MOD(ROW()-9,24)</f>
        <v>23</v>
      </c>
      <c r="C6128" s="12"/>
      <c r="D6128" s="13" t="n">
        <f aca="false">IF(B6128&lt;5,Einstellungen!$B$3,Einstellungen!$B$4)</f>
        <v>29.13</v>
      </c>
      <c r="E6128" s="14" t="str">
        <f aca="false">IF(C6128="","",C6128*D6128/100)</f>
        <v/>
      </c>
      <c r="F6128" s="15" t="str">
        <f aca="false">IF(B6128&lt;5,"Go","Standard")</f>
        <v>Standard</v>
      </c>
    </row>
    <row r="6129" customFormat="false" ht="15" hidden="false" customHeight="true" outlineLevel="0" collapsed="false">
      <c r="A6129" s="10" t="n">
        <f aca="false">Einstellungen!$B$5+INT((ROW()-9)/24)</f>
        <v>46221</v>
      </c>
      <c r="B6129" s="11" t="n">
        <f aca="false">MOD(ROW()-9,24)</f>
        <v>0</v>
      </c>
      <c r="C6129" s="12"/>
      <c r="D6129" s="13" t="n">
        <f aca="false">IF(B6129&lt;5,Einstellungen!$B$3,Einstellungen!$B$4)</f>
        <v>15.92</v>
      </c>
      <c r="E6129" s="14" t="str">
        <f aca="false">IF(C6129="","",C6129*D6129/100)</f>
        <v/>
      </c>
      <c r="F6129" s="15" t="str">
        <f aca="false">IF(B6129&lt;5,"Go","Standard")</f>
        <v>Go</v>
      </c>
    </row>
    <row r="6130" customFormat="false" ht="15" hidden="false" customHeight="true" outlineLevel="0" collapsed="false">
      <c r="A6130" s="10" t="n">
        <f aca="false">Einstellungen!$B$5+INT((ROW()-9)/24)</f>
        <v>46221</v>
      </c>
      <c r="B6130" s="11" t="n">
        <f aca="false">MOD(ROW()-9,24)</f>
        <v>1</v>
      </c>
      <c r="C6130" s="12"/>
      <c r="D6130" s="13" t="n">
        <f aca="false">IF(B6130&lt;5,Einstellungen!$B$3,Einstellungen!$B$4)</f>
        <v>15.92</v>
      </c>
      <c r="E6130" s="14" t="str">
        <f aca="false">IF(C6130="","",C6130*D6130/100)</f>
        <v/>
      </c>
      <c r="F6130" s="15" t="str">
        <f aca="false">IF(B6130&lt;5,"Go","Standard")</f>
        <v>Go</v>
      </c>
    </row>
    <row r="6131" customFormat="false" ht="15" hidden="false" customHeight="true" outlineLevel="0" collapsed="false">
      <c r="A6131" s="10" t="n">
        <f aca="false">Einstellungen!$B$5+INT((ROW()-9)/24)</f>
        <v>46221</v>
      </c>
      <c r="B6131" s="11" t="n">
        <f aca="false">MOD(ROW()-9,24)</f>
        <v>2</v>
      </c>
      <c r="C6131" s="12"/>
      <c r="D6131" s="13" t="n">
        <f aca="false">IF(B6131&lt;5,Einstellungen!$B$3,Einstellungen!$B$4)</f>
        <v>15.92</v>
      </c>
      <c r="E6131" s="14" t="str">
        <f aca="false">IF(C6131="","",C6131*D6131/100)</f>
        <v/>
      </c>
      <c r="F6131" s="15" t="str">
        <f aca="false">IF(B6131&lt;5,"Go","Standard")</f>
        <v>Go</v>
      </c>
    </row>
    <row r="6132" customFormat="false" ht="15" hidden="false" customHeight="true" outlineLevel="0" collapsed="false">
      <c r="A6132" s="10" t="n">
        <f aca="false">Einstellungen!$B$5+INT((ROW()-9)/24)</f>
        <v>46221</v>
      </c>
      <c r="B6132" s="11" t="n">
        <f aca="false">MOD(ROW()-9,24)</f>
        <v>3</v>
      </c>
      <c r="C6132" s="12"/>
      <c r="D6132" s="13" t="n">
        <f aca="false">IF(B6132&lt;5,Einstellungen!$B$3,Einstellungen!$B$4)</f>
        <v>15.92</v>
      </c>
      <c r="E6132" s="14" t="str">
        <f aca="false">IF(C6132="","",C6132*D6132/100)</f>
        <v/>
      </c>
      <c r="F6132" s="15" t="str">
        <f aca="false">IF(B6132&lt;5,"Go","Standard")</f>
        <v>Go</v>
      </c>
    </row>
    <row r="6133" customFormat="false" ht="15" hidden="false" customHeight="true" outlineLevel="0" collapsed="false">
      <c r="A6133" s="10" t="n">
        <f aca="false">Einstellungen!$B$5+INT((ROW()-9)/24)</f>
        <v>46221</v>
      </c>
      <c r="B6133" s="11" t="n">
        <f aca="false">MOD(ROW()-9,24)</f>
        <v>4</v>
      </c>
      <c r="C6133" s="12"/>
      <c r="D6133" s="13" t="n">
        <f aca="false">IF(B6133&lt;5,Einstellungen!$B$3,Einstellungen!$B$4)</f>
        <v>15.92</v>
      </c>
      <c r="E6133" s="14" t="str">
        <f aca="false">IF(C6133="","",C6133*D6133/100)</f>
        <v/>
      </c>
      <c r="F6133" s="15" t="str">
        <f aca="false">IF(B6133&lt;5,"Go","Standard")</f>
        <v>Go</v>
      </c>
    </row>
    <row r="6134" customFormat="false" ht="15" hidden="false" customHeight="true" outlineLevel="0" collapsed="false">
      <c r="A6134" s="10" t="n">
        <f aca="false">Einstellungen!$B$5+INT((ROW()-9)/24)</f>
        <v>46221</v>
      </c>
      <c r="B6134" s="11" t="n">
        <f aca="false">MOD(ROW()-9,24)</f>
        <v>5</v>
      </c>
      <c r="C6134" s="12"/>
      <c r="D6134" s="13" t="n">
        <f aca="false">IF(B6134&lt;5,Einstellungen!$B$3,Einstellungen!$B$4)</f>
        <v>29.13</v>
      </c>
      <c r="E6134" s="14" t="str">
        <f aca="false">IF(C6134="","",C6134*D6134/100)</f>
        <v/>
      </c>
      <c r="F6134" s="15" t="str">
        <f aca="false">IF(B6134&lt;5,"Go","Standard")</f>
        <v>Standard</v>
      </c>
    </row>
    <row r="6135" customFormat="false" ht="15" hidden="false" customHeight="true" outlineLevel="0" collapsed="false">
      <c r="A6135" s="10" t="n">
        <f aca="false">Einstellungen!$B$5+INT((ROW()-9)/24)</f>
        <v>46221</v>
      </c>
      <c r="B6135" s="11" t="n">
        <f aca="false">MOD(ROW()-9,24)</f>
        <v>6</v>
      </c>
      <c r="C6135" s="12"/>
      <c r="D6135" s="13" t="n">
        <f aca="false">IF(B6135&lt;5,Einstellungen!$B$3,Einstellungen!$B$4)</f>
        <v>29.13</v>
      </c>
      <c r="E6135" s="14" t="str">
        <f aca="false">IF(C6135="","",C6135*D6135/100)</f>
        <v/>
      </c>
      <c r="F6135" s="15" t="str">
        <f aca="false">IF(B6135&lt;5,"Go","Standard")</f>
        <v>Standard</v>
      </c>
    </row>
    <row r="6136" customFormat="false" ht="15" hidden="false" customHeight="true" outlineLevel="0" collapsed="false">
      <c r="A6136" s="10" t="n">
        <f aca="false">Einstellungen!$B$5+INT((ROW()-9)/24)</f>
        <v>46221</v>
      </c>
      <c r="B6136" s="11" t="n">
        <f aca="false">MOD(ROW()-9,24)</f>
        <v>7</v>
      </c>
      <c r="C6136" s="12"/>
      <c r="D6136" s="13" t="n">
        <f aca="false">IF(B6136&lt;5,Einstellungen!$B$3,Einstellungen!$B$4)</f>
        <v>29.13</v>
      </c>
      <c r="E6136" s="14" t="str">
        <f aca="false">IF(C6136="","",C6136*D6136/100)</f>
        <v/>
      </c>
      <c r="F6136" s="15" t="str">
        <f aca="false">IF(B6136&lt;5,"Go","Standard")</f>
        <v>Standard</v>
      </c>
    </row>
    <row r="6137" customFormat="false" ht="15" hidden="false" customHeight="true" outlineLevel="0" collapsed="false">
      <c r="A6137" s="10" t="n">
        <f aca="false">Einstellungen!$B$5+INT((ROW()-9)/24)</f>
        <v>46221</v>
      </c>
      <c r="B6137" s="11" t="n">
        <f aca="false">MOD(ROW()-9,24)</f>
        <v>8</v>
      </c>
      <c r="C6137" s="12"/>
      <c r="D6137" s="13" t="n">
        <f aca="false">IF(B6137&lt;5,Einstellungen!$B$3,Einstellungen!$B$4)</f>
        <v>29.13</v>
      </c>
      <c r="E6137" s="14" t="str">
        <f aca="false">IF(C6137="","",C6137*D6137/100)</f>
        <v/>
      </c>
      <c r="F6137" s="15" t="str">
        <f aca="false">IF(B6137&lt;5,"Go","Standard")</f>
        <v>Standard</v>
      </c>
    </row>
    <row r="6138" customFormat="false" ht="15" hidden="false" customHeight="true" outlineLevel="0" collapsed="false">
      <c r="A6138" s="10" t="n">
        <f aca="false">Einstellungen!$B$5+INT((ROW()-9)/24)</f>
        <v>46221</v>
      </c>
      <c r="B6138" s="11" t="n">
        <f aca="false">MOD(ROW()-9,24)</f>
        <v>9</v>
      </c>
      <c r="C6138" s="12"/>
      <c r="D6138" s="13" t="n">
        <f aca="false">IF(B6138&lt;5,Einstellungen!$B$3,Einstellungen!$B$4)</f>
        <v>29.13</v>
      </c>
      <c r="E6138" s="14" t="str">
        <f aca="false">IF(C6138="","",C6138*D6138/100)</f>
        <v/>
      </c>
      <c r="F6138" s="15" t="str">
        <f aca="false">IF(B6138&lt;5,"Go","Standard")</f>
        <v>Standard</v>
      </c>
    </row>
    <row r="6139" customFormat="false" ht="15" hidden="false" customHeight="true" outlineLevel="0" collapsed="false">
      <c r="A6139" s="10" t="n">
        <f aca="false">Einstellungen!$B$5+INT((ROW()-9)/24)</f>
        <v>46221</v>
      </c>
      <c r="B6139" s="11" t="n">
        <f aca="false">MOD(ROW()-9,24)</f>
        <v>10</v>
      </c>
      <c r="C6139" s="12"/>
      <c r="D6139" s="13" t="n">
        <f aca="false">IF(B6139&lt;5,Einstellungen!$B$3,Einstellungen!$B$4)</f>
        <v>29.13</v>
      </c>
      <c r="E6139" s="14" t="str">
        <f aca="false">IF(C6139="","",C6139*D6139/100)</f>
        <v/>
      </c>
      <c r="F6139" s="15" t="str">
        <f aca="false">IF(B6139&lt;5,"Go","Standard")</f>
        <v>Standard</v>
      </c>
    </row>
    <row r="6140" customFormat="false" ht="15" hidden="false" customHeight="true" outlineLevel="0" collapsed="false">
      <c r="A6140" s="10" t="n">
        <f aca="false">Einstellungen!$B$5+INT((ROW()-9)/24)</f>
        <v>46221</v>
      </c>
      <c r="B6140" s="11" t="n">
        <f aca="false">MOD(ROW()-9,24)</f>
        <v>11</v>
      </c>
      <c r="C6140" s="12"/>
      <c r="D6140" s="13" t="n">
        <f aca="false">IF(B6140&lt;5,Einstellungen!$B$3,Einstellungen!$B$4)</f>
        <v>29.13</v>
      </c>
      <c r="E6140" s="14" t="str">
        <f aca="false">IF(C6140="","",C6140*D6140/100)</f>
        <v/>
      </c>
      <c r="F6140" s="15" t="str">
        <f aca="false">IF(B6140&lt;5,"Go","Standard")</f>
        <v>Standard</v>
      </c>
    </row>
    <row r="6141" customFormat="false" ht="15" hidden="false" customHeight="true" outlineLevel="0" collapsed="false">
      <c r="A6141" s="10" t="n">
        <f aca="false">Einstellungen!$B$5+INT((ROW()-9)/24)</f>
        <v>46221</v>
      </c>
      <c r="B6141" s="11" t="n">
        <f aca="false">MOD(ROW()-9,24)</f>
        <v>12</v>
      </c>
      <c r="C6141" s="12"/>
      <c r="D6141" s="13" t="n">
        <f aca="false">IF(B6141&lt;5,Einstellungen!$B$3,Einstellungen!$B$4)</f>
        <v>29.13</v>
      </c>
      <c r="E6141" s="14" t="str">
        <f aca="false">IF(C6141="","",C6141*D6141/100)</f>
        <v/>
      </c>
      <c r="F6141" s="15" t="str">
        <f aca="false">IF(B6141&lt;5,"Go","Standard")</f>
        <v>Standard</v>
      </c>
    </row>
    <row r="6142" customFormat="false" ht="15" hidden="false" customHeight="true" outlineLevel="0" collapsed="false">
      <c r="A6142" s="10" t="n">
        <f aca="false">Einstellungen!$B$5+INT((ROW()-9)/24)</f>
        <v>46221</v>
      </c>
      <c r="B6142" s="11" t="n">
        <f aca="false">MOD(ROW()-9,24)</f>
        <v>13</v>
      </c>
      <c r="C6142" s="12"/>
      <c r="D6142" s="13" t="n">
        <f aca="false">IF(B6142&lt;5,Einstellungen!$B$3,Einstellungen!$B$4)</f>
        <v>29.13</v>
      </c>
      <c r="E6142" s="14" t="str">
        <f aca="false">IF(C6142="","",C6142*D6142/100)</f>
        <v/>
      </c>
      <c r="F6142" s="15" t="str">
        <f aca="false">IF(B6142&lt;5,"Go","Standard")</f>
        <v>Standard</v>
      </c>
    </row>
    <row r="6143" customFormat="false" ht="15" hidden="false" customHeight="true" outlineLevel="0" collapsed="false">
      <c r="A6143" s="10" t="n">
        <f aca="false">Einstellungen!$B$5+INT((ROW()-9)/24)</f>
        <v>46221</v>
      </c>
      <c r="B6143" s="11" t="n">
        <f aca="false">MOD(ROW()-9,24)</f>
        <v>14</v>
      </c>
      <c r="C6143" s="12"/>
      <c r="D6143" s="13" t="n">
        <f aca="false">IF(B6143&lt;5,Einstellungen!$B$3,Einstellungen!$B$4)</f>
        <v>29.13</v>
      </c>
      <c r="E6143" s="14" t="str">
        <f aca="false">IF(C6143="","",C6143*D6143/100)</f>
        <v/>
      </c>
      <c r="F6143" s="15" t="str">
        <f aca="false">IF(B6143&lt;5,"Go","Standard")</f>
        <v>Standard</v>
      </c>
    </row>
    <row r="6144" customFormat="false" ht="15" hidden="false" customHeight="true" outlineLevel="0" collapsed="false">
      <c r="A6144" s="10" t="n">
        <f aca="false">Einstellungen!$B$5+INT((ROW()-9)/24)</f>
        <v>46221</v>
      </c>
      <c r="B6144" s="11" t="n">
        <f aca="false">MOD(ROW()-9,24)</f>
        <v>15</v>
      </c>
      <c r="C6144" s="12"/>
      <c r="D6144" s="13" t="n">
        <f aca="false">IF(B6144&lt;5,Einstellungen!$B$3,Einstellungen!$B$4)</f>
        <v>29.13</v>
      </c>
      <c r="E6144" s="14" t="str">
        <f aca="false">IF(C6144="","",C6144*D6144/100)</f>
        <v/>
      </c>
      <c r="F6144" s="15" t="str">
        <f aca="false">IF(B6144&lt;5,"Go","Standard")</f>
        <v>Standard</v>
      </c>
    </row>
    <row r="6145" customFormat="false" ht="15" hidden="false" customHeight="true" outlineLevel="0" collapsed="false">
      <c r="A6145" s="10" t="n">
        <f aca="false">Einstellungen!$B$5+INT((ROW()-9)/24)</f>
        <v>46221</v>
      </c>
      <c r="B6145" s="11" t="n">
        <f aca="false">MOD(ROW()-9,24)</f>
        <v>16</v>
      </c>
      <c r="C6145" s="12"/>
      <c r="D6145" s="13" t="n">
        <f aca="false">IF(B6145&lt;5,Einstellungen!$B$3,Einstellungen!$B$4)</f>
        <v>29.13</v>
      </c>
      <c r="E6145" s="14" t="str">
        <f aca="false">IF(C6145="","",C6145*D6145/100)</f>
        <v/>
      </c>
      <c r="F6145" s="15" t="str">
        <f aca="false">IF(B6145&lt;5,"Go","Standard")</f>
        <v>Standard</v>
      </c>
    </row>
    <row r="6146" customFormat="false" ht="15" hidden="false" customHeight="true" outlineLevel="0" collapsed="false">
      <c r="A6146" s="10" t="n">
        <f aca="false">Einstellungen!$B$5+INT((ROW()-9)/24)</f>
        <v>46221</v>
      </c>
      <c r="B6146" s="11" t="n">
        <f aca="false">MOD(ROW()-9,24)</f>
        <v>17</v>
      </c>
      <c r="C6146" s="12"/>
      <c r="D6146" s="13" t="n">
        <f aca="false">IF(B6146&lt;5,Einstellungen!$B$3,Einstellungen!$B$4)</f>
        <v>29.13</v>
      </c>
      <c r="E6146" s="14" t="str">
        <f aca="false">IF(C6146="","",C6146*D6146/100)</f>
        <v/>
      </c>
      <c r="F6146" s="15" t="str">
        <f aca="false">IF(B6146&lt;5,"Go","Standard")</f>
        <v>Standard</v>
      </c>
    </row>
    <row r="6147" customFormat="false" ht="15" hidden="false" customHeight="true" outlineLevel="0" collapsed="false">
      <c r="A6147" s="10" t="n">
        <f aca="false">Einstellungen!$B$5+INT((ROW()-9)/24)</f>
        <v>46221</v>
      </c>
      <c r="B6147" s="11" t="n">
        <f aca="false">MOD(ROW()-9,24)</f>
        <v>18</v>
      </c>
      <c r="C6147" s="12"/>
      <c r="D6147" s="13" t="n">
        <f aca="false">IF(B6147&lt;5,Einstellungen!$B$3,Einstellungen!$B$4)</f>
        <v>29.13</v>
      </c>
      <c r="E6147" s="14" t="str">
        <f aca="false">IF(C6147="","",C6147*D6147/100)</f>
        <v/>
      </c>
      <c r="F6147" s="15" t="str">
        <f aca="false">IF(B6147&lt;5,"Go","Standard")</f>
        <v>Standard</v>
      </c>
    </row>
    <row r="6148" customFormat="false" ht="15" hidden="false" customHeight="true" outlineLevel="0" collapsed="false">
      <c r="A6148" s="10" t="n">
        <f aca="false">Einstellungen!$B$5+INT((ROW()-9)/24)</f>
        <v>46221</v>
      </c>
      <c r="B6148" s="11" t="n">
        <f aca="false">MOD(ROW()-9,24)</f>
        <v>19</v>
      </c>
      <c r="C6148" s="12"/>
      <c r="D6148" s="13" t="n">
        <f aca="false">IF(B6148&lt;5,Einstellungen!$B$3,Einstellungen!$B$4)</f>
        <v>29.13</v>
      </c>
      <c r="E6148" s="14" t="str">
        <f aca="false">IF(C6148="","",C6148*D6148/100)</f>
        <v/>
      </c>
      <c r="F6148" s="15" t="str">
        <f aca="false">IF(B6148&lt;5,"Go","Standard")</f>
        <v>Standard</v>
      </c>
    </row>
    <row r="6149" customFormat="false" ht="15" hidden="false" customHeight="true" outlineLevel="0" collapsed="false">
      <c r="A6149" s="10" t="n">
        <f aca="false">Einstellungen!$B$5+INT((ROW()-9)/24)</f>
        <v>46221</v>
      </c>
      <c r="B6149" s="11" t="n">
        <f aca="false">MOD(ROW()-9,24)</f>
        <v>20</v>
      </c>
      <c r="C6149" s="12"/>
      <c r="D6149" s="13" t="n">
        <f aca="false">IF(B6149&lt;5,Einstellungen!$B$3,Einstellungen!$B$4)</f>
        <v>29.13</v>
      </c>
      <c r="E6149" s="14" t="str">
        <f aca="false">IF(C6149="","",C6149*D6149/100)</f>
        <v/>
      </c>
      <c r="F6149" s="15" t="str">
        <f aca="false">IF(B6149&lt;5,"Go","Standard")</f>
        <v>Standard</v>
      </c>
    </row>
    <row r="6150" customFormat="false" ht="15" hidden="false" customHeight="true" outlineLevel="0" collapsed="false">
      <c r="A6150" s="10" t="n">
        <f aca="false">Einstellungen!$B$5+INT((ROW()-9)/24)</f>
        <v>46221</v>
      </c>
      <c r="B6150" s="11" t="n">
        <f aca="false">MOD(ROW()-9,24)</f>
        <v>21</v>
      </c>
      <c r="C6150" s="12"/>
      <c r="D6150" s="13" t="n">
        <f aca="false">IF(B6150&lt;5,Einstellungen!$B$3,Einstellungen!$B$4)</f>
        <v>29.13</v>
      </c>
      <c r="E6150" s="14" t="str">
        <f aca="false">IF(C6150="","",C6150*D6150/100)</f>
        <v/>
      </c>
      <c r="F6150" s="15" t="str">
        <f aca="false">IF(B6150&lt;5,"Go","Standard")</f>
        <v>Standard</v>
      </c>
    </row>
    <row r="6151" customFormat="false" ht="15" hidden="false" customHeight="true" outlineLevel="0" collapsed="false">
      <c r="A6151" s="10" t="n">
        <f aca="false">Einstellungen!$B$5+INT((ROW()-9)/24)</f>
        <v>46221</v>
      </c>
      <c r="B6151" s="11" t="n">
        <f aca="false">MOD(ROW()-9,24)</f>
        <v>22</v>
      </c>
      <c r="C6151" s="12"/>
      <c r="D6151" s="13" t="n">
        <f aca="false">IF(B6151&lt;5,Einstellungen!$B$3,Einstellungen!$B$4)</f>
        <v>29.13</v>
      </c>
      <c r="E6151" s="14" t="str">
        <f aca="false">IF(C6151="","",C6151*D6151/100)</f>
        <v/>
      </c>
      <c r="F6151" s="15" t="str">
        <f aca="false">IF(B6151&lt;5,"Go","Standard")</f>
        <v>Standard</v>
      </c>
    </row>
    <row r="6152" customFormat="false" ht="15" hidden="false" customHeight="true" outlineLevel="0" collapsed="false">
      <c r="A6152" s="10" t="n">
        <f aca="false">Einstellungen!$B$5+INT((ROW()-9)/24)</f>
        <v>46221</v>
      </c>
      <c r="B6152" s="11" t="n">
        <f aca="false">MOD(ROW()-9,24)</f>
        <v>23</v>
      </c>
      <c r="C6152" s="12"/>
      <c r="D6152" s="13" t="n">
        <f aca="false">IF(B6152&lt;5,Einstellungen!$B$3,Einstellungen!$B$4)</f>
        <v>29.13</v>
      </c>
      <c r="E6152" s="14" t="str">
        <f aca="false">IF(C6152="","",C6152*D6152/100)</f>
        <v/>
      </c>
      <c r="F6152" s="15" t="str">
        <f aca="false">IF(B6152&lt;5,"Go","Standard")</f>
        <v>Standard</v>
      </c>
    </row>
    <row r="6153" customFormat="false" ht="15" hidden="false" customHeight="true" outlineLevel="0" collapsed="false">
      <c r="A6153" s="10" t="n">
        <f aca="false">Einstellungen!$B$5+INT((ROW()-9)/24)</f>
        <v>46222</v>
      </c>
      <c r="B6153" s="11" t="n">
        <f aca="false">MOD(ROW()-9,24)</f>
        <v>0</v>
      </c>
      <c r="C6153" s="12"/>
      <c r="D6153" s="13" t="n">
        <f aca="false">IF(B6153&lt;5,Einstellungen!$B$3,Einstellungen!$B$4)</f>
        <v>15.92</v>
      </c>
      <c r="E6153" s="14" t="str">
        <f aca="false">IF(C6153="","",C6153*D6153/100)</f>
        <v/>
      </c>
      <c r="F6153" s="15" t="str">
        <f aca="false">IF(B6153&lt;5,"Go","Standard")</f>
        <v>Go</v>
      </c>
    </row>
    <row r="6154" customFormat="false" ht="15" hidden="false" customHeight="true" outlineLevel="0" collapsed="false">
      <c r="A6154" s="10" t="n">
        <f aca="false">Einstellungen!$B$5+INT((ROW()-9)/24)</f>
        <v>46222</v>
      </c>
      <c r="B6154" s="11" t="n">
        <f aca="false">MOD(ROW()-9,24)</f>
        <v>1</v>
      </c>
      <c r="C6154" s="12"/>
      <c r="D6154" s="13" t="n">
        <f aca="false">IF(B6154&lt;5,Einstellungen!$B$3,Einstellungen!$B$4)</f>
        <v>15.92</v>
      </c>
      <c r="E6154" s="14" t="str">
        <f aca="false">IF(C6154="","",C6154*D6154/100)</f>
        <v/>
      </c>
      <c r="F6154" s="15" t="str">
        <f aca="false">IF(B6154&lt;5,"Go","Standard")</f>
        <v>Go</v>
      </c>
    </row>
    <row r="6155" customFormat="false" ht="15" hidden="false" customHeight="true" outlineLevel="0" collapsed="false">
      <c r="A6155" s="10" t="n">
        <f aca="false">Einstellungen!$B$5+INT((ROW()-9)/24)</f>
        <v>46222</v>
      </c>
      <c r="B6155" s="11" t="n">
        <f aca="false">MOD(ROW()-9,24)</f>
        <v>2</v>
      </c>
      <c r="C6155" s="12"/>
      <c r="D6155" s="13" t="n">
        <f aca="false">IF(B6155&lt;5,Einstellungen!$B$3,Einstellungen!$B$4)</f>
        <v>15.92</v>
      </c>
      <c r="E6155" s="14" t="str">
        <f aca="false">IF(C6155="","",C6155*D6155/100)</f>
        <v/>
      </c>
      <c r="F6155" s="15" t="str">
        <f aca="false">IF(B6155&lt;5,"Go","Standard")</f>
        <v>Go</v>
      </c>
    </row>
    <row r="6156" customFormat="false" ht="15" hidden="false" customHeight="true" outlineLevel="0" collapsed="false">
      <c r="A6156" s="10" t="n">
        <f aca="false">Einstellungen!$B$5+INT((ROW()-9)/24)</f>
        <v>46222</v>
      </c>
      <c r="B6156" s="11" t="n">
        <f aca="false">MOD(ROW()-9,24)</f>
        <v>3</v>
      </c>
      <c r="C6156" s="12"/>
      <c r="D6156" s="13" t="n">
        <f aca="false">IF(B6156&lt;5,Einstellungen!$B$3,Einstellungen!$B$4)</f>
        <v>15.92</v>
      </c>
      <c r="E6156" s="14" t="str">
        <f aca="false">IF(C6156="","",C6156*D6156/100)</f>
        <v/>
      </c>
      <c r="F6156" s="15" t="str">
        <f aca="false">IF(B6156&lt;5,"Go","Standard")</f>
        <v>Go</v>
      </c>
    </row>
    <row r="6157" customFormat="false" ht="15" hidden="false" customHeight="true" outlineLevel="0" collapsed="false">
      <c r="A6157" s="10" t="n">
        <f aca="false">Einstellungen!$B$5+INT((ROW()-9)/24)</f>
        <v>46222</v>
      </c>
      <c r="B6157" s="11" t="n">
        <f aca="false">MOD(ROW()-9,24)</f>
        <v>4</v>
      </c>
      <c r="C6157" s="12"/>
      <c r="D6157" s="13" t="n">
        <f aca="false">IF(B6157&lt;5,Einstellungen!$B$3,Einstellungen!$B$4)</f>
        <v>15.92</v>
      </c>
      <c r="E6157" s="14" t="str">
        <f aca="false">IF(C6157="","",C6157*D6157/100)</f>
        <v/>
      </c>
      <c r="F6157" s="15" t="str">
        <f aca="false">IF(B6157&lt;5,"Go","Standard")</f>
        <v>Go</v>
      </c>
    </row>
    <row r="6158" customFormat="false" ht="15" hidden="false" customHeight="true" outlineLevel="0" collapsed="false">
      <c r="A6158" s="10" t="n">
        <f aca="false">Einstellungen!$B$5+INT((ROW()-9)/24)</f>
        <v>46222</v>
      </c>
      <c r="B6158" s="11" t="n">
        <f aca="false">MOD(ROW()-9,24)</f>
        <v>5</v>
      </c>
      <c r="C6158" s="12"/>
      <c r="D6158" s="13" t="n">
        <f aca="false">IF(B6158&lt;5,Einstellungen!$B$3,Einstellungen!$B$4)</f>
        <v>29.13</v>
      </c>
      <c r="E6158" s="14" t="str">
        <f aca="false">IF(C6158="","",C6158*D6158/100)</f>
        <v/>
      </c>
      <c r="F6158" s="15" t="str">
        <f aca="false">IF(B6158&lt;5,"Go","Standard")</f>
        <v>Standard</v>
      </c>
    </row>
    <row r="6159" customFormat="false" ht="15" hidden="false" customHeight="true" outlineLevel="0" collapsed="false">
      <c r="A6159" s="10" t="n">
        <f aca="false">Einstellungen!$B$5+INT((ROW()-9)/24)</f>
        <v>46222</v>
      </c>
      <c r="B6159" s="11" t="n">
        <f aca="false">MOD(ROW()-9,24)</f>
        <v>6</v>
      </c>
      <c r="C6159" s="12"/>
      <c r="D6159" s="13" t="n">
        <f aca="false">IF(B6159&lt;5,Einstellungen!$B$3,Einstellungen!$B$4)</f>
        <v>29.13</v>
      </c>
      <c r="E6159" s="14" t="str">
        <f aca="false">IF(C6159="","",C6159*D6159/100)</f>
        <v/>
      </c>
      <c r="F6159" s="15" t="str">
        <f aca="false">IF(B6159&lt;5,"Go","Standard")</f>
        <v>Standard</v>
      </c>
    </row>
    <row r="6160" customFormat="false" ht="15" hidden="false" customHeight="true" outlineLevel="0" collapsed="false">
      <c r="A6160" s="10" t="n">
        <f aca="false">Einstellungen!$B$5+INT((ROW()-9)/24)</f>
        <v>46222</v>
      </c>
      <c r="B6160" s="11" t="n">
        <f aca="false">MOD(ROW()-9,24)</f>
        <v>7</v>
      </c>
      <c r="C6160" s="12"/>
      <c r="D6160" s="13" t="n">
        <f aca="false">IF(B6160&lt;5,Einstellungen!$B$3,Einstellungen!$B$4)</f>
        <v>29.13</v>
      </c>
      <c r="E6160" s="14" t="str">
        <f aca="false">IF(C6160="","",C6160*D6160/100)</f>
        <v/>
      </c>
      <c r="F6160" s="15" t="str">
        <f aca="false">IF(B6160&lt;5,"Go","Standard")</f>
        <v>Standard</v>
      </c>
    </row>
    <row r="6161" customFormat="false" ht="15" hidden="false" customHeight="true" outlineLevel="0" collapsed="false">
      <c r="A6161" s="10" t="n">
        <f aca="false">Einstellungen!$B$5+INT((ROW()-9)/24)</f>
        <v>46222</v>
      </c>
      <c r="B6161" s="11" t="n">
        <f aca="false">MOD(ROW()-9,24)</f>
        <v>8</v>
      </c>
      <c r="C6161" s="12"/>
      <c r="D6161" s="13" t="n">
        <f aca="false">IF(B6161&lt;5,Einstellungen!$B$3,Einstellungen!$B$4)</f>
        <v>29.13</v>
      </c>
      <c r="E6161" s="14" t="str">
        <f aca="false">IF(C6161="","",C6161*D6161/100)</f>
        <v/>
      </c>
      <c r="F6161" s="15" t="str">
        <f aca="false">IF(B6161&lt;5,"Go","Standard")</f>
        <v>Standard</v>
      </c>
    </row>
    <row r="6162" customFormat="false" ht="15" hidden="false" customHeight="true" outlineLevel="0" collapsed="false">
      <c r="A6162" s="10" t="n">
        <f aca="false">Einstellungen!$B$5+INT((ROW()-9)/24)</f>
        <v>46222</v>
      </c>
      <c r="B6162" s="11" t="n">
        <f aca="false">MOD(ROW()-9,24)</f>
        <v>9</v>
      </c>
      <c r="C6162" s="12"/>
      <c r="D6162" s="13" t="n">
        <f aca="false">IF(B6162&lt;5,Einstellungen!$B$3,Einstellungen!$B$4)</f>
        <v>29.13</v>
      </c>
      <c r="E6162" s="14" t="str">
        <f aca="false">IF(C6162="","",C6162*D6162/100)</f>
        <v/>
      </c>
      <c r="F6162" s="15" t="str">
        <f aca="false">IF(B6162&lt;5,"Go","Standard")</f>
        <v>Standard</v>
      </c>
    </row>
    <row r="6163" customFormat="false" ht="15" hidden="false" customHeight="true" outlineLevel="0" collapsed="false">
      <c r="A6163" s="10" t="n">
        <f aca="false">Einstellungen!$B$5+INT((ROW()-9)/24)</f>
        <v>46222</v>
      </c>
      <c r="B6163" s="11" t="n">
        <f aca="false">MOD(ROW()-9,24)</f>
        <v>10</v>
      </c>
      <c r="C6163" s="12"/>
      <c r="D6163" s="13" t="n">
        <f aca="false">IF(B6163&lt;5,Einstellungen!$B$3,Einstellungen!$B$4)</f>
        <v>29.13</v>
      </c>
      <c r="E6163" s="14" t="str">
        <f aca="false">IF(C6163="","",C6163*D6163/100)</f>
        <v/>
      </c>
      <c r="F6163" s="15" t="str">
        <f aca="false">IF(B6163&lt;5,"Go","Standard")</f>
        <v>Standard</v>
      </c>
    </row>
    <row r="6164" customFormat="false" ht="15" hidden="false" customHeight="true" outlineLevel="0" collapsed="false">
      <c r="A6164" s="10" t="n">
        <f aca="false">Einstellungen!$B$5+INT((ROW()-9)/24)</f>
        <v>46222</v>
      </c>
      <c r="B6164" s="11" t="n">
        <f aca="false">MOD(ROW()-9,24)</f>
        <v>11</v>
      </c>
      <c r="C6164" s="12"/>
      <c r="D6164" s="13" t="n">
        <f aca="false">IF(B6164&lt;5,Einstellungen!$B$3,Einstellungen!$B$4)</f>
        <v>29.13</v>
      </c>
      <c r="E6164" s="14" t="str">
        <f aca="false">IF(C6164="","",C6164*D6164/100)</f>
        <v/>
      </c>
      <c r="F6164" s="15" t="str">
        <f aca="false">IF(B6164&lt;5,"Go","Standard")</f>
        <v>Standard</v>
      </c>
    </row>
    <row r="6165" customFormat="false" ht="15" hidden="false" customHeight="true" outlineLevel="0" collapsed="false">
      <c r="A6165" s="10" t="n">
        <f aca="false">Einstellungen!$B$5+INT((ROW()-9)/24)</f>
        <v>46222</v>
      </c>
      <c r="B6165" s="11" t="n">
        <f aca="false">MOD(ROW()-9,24)</f>
        <v>12</v>
      </c>
      <c r="C6165" s="12"/>
      <c r="D6165" s="13" t="n">
        <f aca="false">IF(B6165&lt;5,Einstellungen!$B$3,Einstellungen!$B$4)</f>
        <v>29.13</v>
      </c>
      <c r="E6165" s="14" t="str">
        <f aca="false">IF(C6165="","",C6165*D6165/100)</f>
        <v/>
      </c>
      <c r="F6165" s="15" t="str">
        <f aca="false">IF(B6165&lt;5,"Go","Standard")</f>
        <v>Standard</v>
      </c>
    </row>
    <row r="6166" customFormat="false" ht="15" hidden="false" customHeight="true" outlineLevel="0" collapsed="false">
      <c r="A6166" s="10" t="n">
        <f aca="false">Einstellungen!$B$5+INT((ROW()-9)/24)</f>
        <v>46222</v>
      </c>
      <c r="B6166" s="11" t="n">
        <f aca="false">MOD(ROW()-9,24)</f>
        <v>13</v>
      </c>
      <c r="C6166" s="12"/>
      <c r="D6166" s="13" t="n">
        <f aca="false">IF(B6166&lt;5,Einstellungen!$B$3,Einstellungen!$B$4)</f>
        <v>29.13</v>
      </c>
      <c r="E6166" s="14" t="str">
        <f aca="false">IF(C6166="","",C6166*D6166/100)</f>
        <v/>
      </c>
      <c r="F6166" s="15" t="str">
        <f aca="false">IF(B6166&lt;5,"Go","Standard")</f>
        <v>Standard</v>
      </c>
    </row>
    <row r="6167" customFormat="false" ht="15" hidden="false" customHeight="true" outlineLevel="0" collapsed="false">
      <c r="A6167" s="10" t="n">
        <f aca="false">Einstellungen!$B$5+INT((ROW()-9)/24)</f>
        <v>46222</v>
      </c>
      <c r="B6167" s="11" t="n">
        <f aca="false">MOD(ROW()-9,24)</f>
        <v>14</v>
      </c>
      <c r="C6167" s="12"/>
      <c r="D6167" s="13" t="n">
        <f aca="false">IF(B6167&lt;5,Einstellungen!$B$3,Einstellungen!$B$4)</f>
        <v>29.13</v>
      </c>
      <c r="E6167" s="14" t="str">
        <f aca="false">IF(C6167="","",C6167*D6167/100)</f>
        <v/>
      </c>
      <c r="F6167" s="15" t="str">
        <f aca="false">IF(B6167&lt;5,"Go","Standard")</f>
        <v>Standard</v>
      </c>
    </row>
    <row r="6168" customFormat="false" ht="15" hidden="false" customHeight="true" outlineLevel="0" collapsed="false">
      <c r="A6168" s="10" t="n">
        <f aca="false">Einstellungen!$B$5+INT((ROW()-9)/24)</f>
        <v>46222</v>
      </c>
      <c r="B6168" s="11" t="n">
        <f aca="false">MOD(ROW()-9,24)</f>
        <v>15</v>
      </c>
      <c r="C6168" s="12"/>
      <c r="D6168" s="13" t="n">
        <f aca="false">IF(B6168&lt;5,Einstellungen!$B$3,Einstellungen!$B$4)</f>
        <v>29.13</v>
      </c>
      <c r="E6168" s="14" t="str">
        <f aca="false">IF(C6168="","",C6168*D6168/100)</f>
        <v/>
      </c>
      <c r="F6168" s="15" t="str">
        <f aca="false">IF(B6168&lt;5,"Go","Standard")</f>
        <v>Standard</v>
      </c>
    </row>
    <row r="6169" customFormat="false" ht="15" hidden="false" customHeight="true" outlineLevel="0" collapsed="false">
      <c r="A6169" s="10" t="n">
        <f aca="false">Einstellungen!$B$5+INT((ROW()-9)/24)</f>
        <v>46222</v>
      </c>
      <c r="B6169" s="11" t="n">
        <f aca="false">MOD(ROW()-9,24)</f>
        <v>16</v>
      </c>
      <c r="C6169" s="12"/>
      <c r="D6169" s="13" t="n">
        <f aca="false">IF(B6169&lt;5,Einstellungen!$B$3,Einstellungen!$B$4)</f>
        <v>29.13</v>
      </c>
      <c r="E6169" s="14" t="str">
        <f aca="false">IF(C6169="","",C6169*D6169/100)</f>
        <v/>
      </c>
      <c r="F6169" s="15" t="str">
        <f aca="false">IF(B6169&lt;5,"Go","Standard")</f>
        <v>Standard</v>
      </c>
    </row>
    <row r="6170" customFormat="false" ht="15" hidden="false" customHeight="true" outlineLevel="0" collapsed="false">
      <c r="A6170" s="10" t="n">
        <f aca="false">Einstellungen!$B$5+INT((ROW()-9)/24)</f>
        <v>46222</v>
      </c>
      <c r="B6170" s="11" t="n">
        <f aca="false">MOD(ROW()-9,24)</f>
        <v>17</v>
      </c>
      <c r="C6170" s="12"/>
      <c r="D6170" s="13" t="n">
        <f aca="false">IF(B6170&lt;5,Einstellungen!$B$3,Einstellungen!$B$4)</f>
        <v>29.13</v>
      </c>
      <c r="E6170" s="14" t="str">
        <f aca="false">IF(C6170="","",C6170*D6170/100)</f>
        <v/>
      </c>
      <c r="F6170" s="15" t="str">
        <f aca="false">IF(B6170&lt;5,"Go","Standard")</f>
        <v>Standard</v>
      </c>
    </row>
    <row r="6171" customFormat="false" ht="15" hidden="false" customHeight="true" outlineLevel="0" collapsed="false">
      <c r="A6171" s="10" t="n">
        <f aca="false">Einstellungen!$B$5+INT((ROW()-9)/24)</f>
        <v>46222</v>
      </c>
      <c r="B6171" s="11" t="n">
        <f aca="false">MOD(ROW()-9,24)</f>
        <v>18</v>
      </c>
      <c r="C6171" s="12"/>
      <c r="D6171" s="13" t="n">
        <f aca="false">IF(B6171&lt;5,Einstellungen!$B$3,Einstellungen!$B$4)</f>
        <v>29.13</v>
      </c>
      <c r="E6171" s="14" t="str">
        <f aca="false">IF(C6171="","",C6171*D6171/100)</f>
        <v/>
      </c>
      <c r="F6171" s="15" t="str">
        <f aca="false">IF(B6171&lt;5,"Go","Standard")</f>
        <v>Standard</v>
      </c>
    </row>
    <row r="6172" customFormat="false" ht="15" hidden="false" customHeight="true" outlineLevel="0" collapsed="false">
      <c r="A6172" s="10" t="n">
        <f aca="false">Einstellungen!$B$5+INT((ROW()-9)/24)</f>
        <v>46222</v>
      </c>
      <c r="B6172" s="11" t="n">
        <f aca="false">MOD(ROW()-9,24)</f>
        <v>19</v>
      </c>
      <c r="C6172" s="12"/>
      <c r="D6172" s="13" t="n">
        <f aca="false">IF(B6172&lt;5,Einstellungen!$B$3,Einstellungen!$B$4)</f>
        <v>29.13</v>
      </c>
      <c r="E6172" s="14" t="str">
        <f aca="false">IF(C6172="","",C6172*D6172/100)</f>
        <v/>
      </c>
      <c r="F6172" s="15" t="str">
        <f aca="false">IF(B6172&lt;5,"Go","Standard")</f>
        <v>Standard</v>
      </c>
    </row>
    <row r="6173" customFormat="false" ht="15" hidden="false" customHeight="true" outlineLevel="0" collapsed="false">
      <c r="A6173" s="10" t="n">
        <f aca="false">Einstellungen!$B$5+INT((ROW()-9)/24)</f>
        <v>46222</v>
      </c>
      <c r="B6173" s="11" t="n">
        <f aca="false">MOD(ROW()-9,24)</f>
        <v>20</v>
      </c>
      <c r="C6173" s="12"/>
      <c r="D6173" s="13" t="n">
        <f aca="false">IF(B6173&lt;5,Einstellungen!$B$3,Einstellungen!$B$4)</f>
        <v>29.13</v>
      </c>
      <c r="E6173" s="14" t="str">
        <f aca="false">IF(C6173="","",C6173*D6173/100)</f>
        <v/>
      </c>
      <c r="F6173" s="15" t="str">
        <f aca="false">IF(B6173&lt;5,"Go","Standard")</f>
        <v>Standard</v>
      </c>
    </row>
    <row r="6174" customFormat="false" ht="15" hidden="false" customHeight="true" outlineLevel="0" collapsed="false">
      <c r="A6174" s="10" t="n">
        <f aca="false">Einstellungen!$B$5+INT((ROW()-9)/24)</f>
        <v>46222</v>
      </c>
      <c r="B6174" s="11" t="n">
        <f aca="false">MOD(ROW()-9,24)</f>
        <v>21</v>
      </c>
      <c r="C6174" s="12"/>
      <c r="D6174" s="13" t="n">
        <f aca="false">IF(B6174&lt;5,Einstellungen!$B$3,Einstellungen!$B$4)</f>
        <v>29.13</v>
      </c>
      <c r="E6174" s="14" t="str">
        <f aca="false">IF(C6174="","",C6174*D6174/100)</f>
        <v/>
      </c>
      <c r="F6174" s="15" t="str">
        <f aca="false">IF(B6174&lt;5,"Go","Standard")</f>
        <v>Standard</v>
      </c>
    </row>
    <row r="6175" customFormat="false" ht="15" hidden="false" customHeight="true" outlineLevel="0" collapsed="false">
      <c r="A6175" s="10" t="n">
        <f aca="false">Einstellungen!$B$5+INT((ROW()-9)/24)</f>
        <v>46222</v>
      </c>
      <c r="B6175" s="11" t="n">
        <f aca="false">MOD(ROW()-9,24)</f>
        <v>22</v>
      </c>
      <c r="C6175" s="12"/>
      <c r="D6175" s="13" t="n">
        <f aca="false">IF(B6175&lt;5,Einstellungen!$B$3,Einstellungen!$B$4)</f>
        <v>29.13</v>
      </c>
      <c r="E6175" s="14" t="str">
        <f aca="false">IF(C6175="","",C6175*D6175/100)</f>
        <v/>
      </c>
      <c r="F6175" s="15" t="str">
        <f aca="false">IF(B6175&lt;5,"Go","Standard")</f>
        <v>Standard</v>
      </c>
    </row>
    <row r="6176" customFormat="false" ht="15" hidden="false" customHeight="true" outlineLevel="0" collapsed="false">
      <c r="A6176" s="10" t="n">
        <f aca="false">Einstellungen!$B$5+INT((ROW()-9)/24)</f>
        <v>46222</v>
      </c>
      <c r="B6176" s="11" t="n">
        <f aca="false">MOD(ROW()-9,24)</f>
        <v>23</v>
      </c>
      <c r="C6176" s="12"/>
      <c r="D6176" s="13" t="n">
        <f aca="false">IF(B6176&lt;5,Einstellungen!$B$3,Einstellungen!$B$4)</f>
        <v>29.13</v>
      </c>
      <c r="E6176" s="14" t="str">
        <f aca="false">IF(C6176="","",C6176*D6176/100)</f>
        <v/>
      </c>
      <c r="F6176" s="15" t="str">
        <f aca="false">IF(B6176&lt;5,"Go","Standard")</f>
        <v>Standard</v>
      </c>
    </row>
    <row r="6177" customFormat="false" ht="15" hidden="false" customHeight="true" outlineLevel="0" collapsed="false">
      <c r="A6177" s="10" t="n">
        <f aca="false">Einstellungen!$B$5+INT((ROW()-9)/24)</f>
        <v>46223</v>
      </c>
      <c r="B6177" s="11" t="n">
        <f aca="false">MOD(ROW()-9,24)</f>
        <v>0</v>
      </c>
      <c r="C6177" s="12"/>
      <c r="D6177" s="13" t="n">
        <f aca="false">IF(B6177&lt;5,Einstellungen!$B$3,Einstellungen!$B$4)</f>
        <v>15.92</v>
      </c>
      <c r="E6177" s="14" t="str">
        <f aca="false">IF(C6177="","",C6177*D6177/100)</f>
        <v/>
      </c>
      <c r="F6177" s="15" t="str">
        <f aca="false">IF(B6177&lt;5,"Go","Standard")</f>
        <v>Go</v>
      </c>
    </row>
    <row r="6178" customFormat="false" ht="15" hidden="false" customHeight="true" outlineLevel="0" collapsed="false">
      <c r="A6178" s="10" t="n">
        <f aca="false">Einstellungen!$B$5+INT((ROW()-9)/24)</f>
        <v>46223</v>
      </c>
      <c r="B6178" s="11" t="n">
        <f aca="false">MOD(ROW()-9,24)</f>
        <v>1</v>
      </c>
      <c r="C6178" s="12"/>
      <c r="D6178" s="13" t="n">
        <f aca="false">IF(B6178&lt;5,Einstellungen!$B$3,Einstellungen!$B$4)</f>
        <v>15.92</v>
      </c>
      <c r="E6178" s="14" t="str">
        <f aca="false">IF(C6178="","",C6178*D6178/100)</f>
        <v/>
      </c>
      <c r="F6178" s="15" t="str">
        <f aca="false">IF(B6178&lt;5,"Go","Standard")</f>
        <v>Go</v>
      </c>
    </row>
    <row r="6179" customFormat="false" ht="15" hidden="false" customHeight="true" outlineLevel="0" collapsed="false">
      <c r="A6179" s="10" t="n">
        <f aca="false">Einstellungen!$B$5+INT((ROW()-9)/24)</f>
        <v>46223</v>
      </c>
      <c r="B6179" s="11" t="n">
        <f aca="false">MOD(ROW()-9,24)</f>
        <v>2</v>
      </c>
      <c r="C6179" s="12"/>
      <c r="D6179" s="13" t="n">
        <f aca="false">IF(B6179&lt;5,Einstellungen!$B$3,Einstellungen!$B$4)</f>
        <v>15.92</v>
      </c>
      <c r="E6179" s="14" t="str">
        <f aca="false">IF(C6179="","",C6179*D6179/100)</f>
        <v/>
      </c>
      <c r="F6179" s="15" t="str">
        <f aca="false">IF(B6179&lt;5,"Go","Standard")</f>
        <v>Go</v>
      </c>
    </row>
    <row r="6180" customFormat="false" ht="15" hidden="false" customHeight="true" outlineLevel="0" collapsed="false">
      <c r="A6180" s="10" t="n">
        <f aca="false">Einstellungen!$B$5+INT((ROW()-9)/24)</f>
        <v>46223</v>
      </c>
      <c r="B6180" s="11" t="n">
        <f aca="false">MOD(ROW()-9,24)</f>
        <v>3</v>
      </c>
      <c r="C6180" s="12"/>
      <c r="D6180" s="13" t="n">
        <f aca="false">IF(B6180&lt;5,Einstellungen!$B$3,Einstellungen!$B$4)</f>
        <v>15.92</v>
      </c>
      <c r="E6180" s="14" t="str">
        <f aca="false">IF(C6180="","",C6180*D6180/100)</f>
        <v/>
      </c>
      <c r="F6180" s="15" t="str">
        <f aca="false">IF(B6180&lt;5,"Go","Standard")</f>
        <v>Go</v>
      </c>
    </row>
    <row r="6181" customFormat="false" ht="15" hidden="false" customHeight="true" outlineLevel="0" collapsed="false">
      <c r="A6181" s="10" t="n">
        <f aca="false">Einstellungen!$B$5+INT((ROW()-9)/24)</f>
        <v>46223</v>
      </c>
      <c r="B6181" s="11" t="n">
        <f aca="false">MOD(ROW()-9,24)</f>
        <v>4</v>
      </c>
      <c r="C6181" s="12"/>
      <c r="D6181" s="13" t="n">
        <f aca="false">IF(B6181&lt;5,Einstellungen!$B$3,Einstellungen!$B$4)</f>
        <v>15.92</v>
      </c>
      <c r="E6181" s="14" t="str">
        <f aca="false">IF(C6181="","",C6181*D6181/100)</f>
        <v/>
      </c>
      <c r="F6181" s="15" t="str">
        <f aca="false">IF(B6181&lt;5,"Go","Standard")</f>
        <v>Go</v>
      </c>
    </row>
    <row r="6182" customFormat="false" ht="15" hidden="false" customHeight="true" outlineLevel="0" collapsed="false">
      <c r="A6182" s="10" t="n">
        <f aca="false">Einstellungen!$B$5+INT((ROW()-9)/24)</f>
        <v>46223</v>
      </c>
      <c r="B6182" s="11" t="n">
        <f aca="false">MOD(ROW()-9,24)</f>
        <v>5</v>
      </c>
      <c r="C6182" s="12"/>
      <c r="D6182" s="13" t="n">
        <f aca="false">IF(B6182&lt;5,Einstellungen!$B$3,Einstellungen!$B$4)</f>
        <v>29.13</v>
      </c>
      <c r="E6182" s="14" t="str">
        <f aca="false">IF(C6182="","",C6182*D6182/100)</f>
        <v/>
      </c>
      <c r="F6182" s="15" t="str">
        <f aca="false">IF(B6182&lt;5,"Go","Standard")</f>
        <v>Standard</v>
      </c>
    </row>
    <row r="6183" customFormat="false" ht="15" hidden="false" customHeight="true" outlineLevel="0" collapsed="false">
      <c r="A6183" s="10" t="n">
        <f aca="false">Einstellungen!$B$5+INT((ROW()-9)/24)</f>
        <v>46223</v>
      </c>
      <c r="B6183" s="11" t="n">
        <f aca="false">MOD(ROW()-9,24)</f>
        <v>6</v>
      </c>
      <c r="C6183" s="12"/>
      <c r="D6183" s="13" t="n">
        <f aca="false">IF(B6183&lt;5,Einstellungen!$B$3,Einstellungen!$B$4)</f>
        <v>29.13</v>
      </c>
      <c r="E6183" s="14" t="str">
        <f aca="false">IF(C6183="","",C6183*D6183/100)</f>
        <v/>
      </c>
      <c r="F6183" s="15" t="str">
        <f aca="false">IF(B6183&lt;5,"Go","Standard")</f>
        <v>Standard</v>
      </c>
    </row>
    <row r="6184" customFormat="false" ht="15" hidden="false" customHeight="true" outlineLevel="0" collapsed="false">
      <c r="A6184" s="10" t="n">
        <f aca="false">Einstellungen!$B$5+INT((ROW()-9)/24)</f>
        <v>46223</v>
      </c>
      <c r="B6184" s="11" t="n">
        <f aca="false">MOD(ROW()-9,24)</f>
        <v>7</v>
      </c>
      <c r="C6184" s="12"/>
      <c r="D6184" s="13" t="n">
        <f aca="false">IF(B6184&lt;5,Einstellungen!$B$3,Einstellungen!$B$4)</f>
        <v>29.13</v>
      </c>
      <c r="E6184" s="14" t="str">
        <f aca="false">IF(C6184="","",C6184*D6184/100)</f>
        <v/>
      </c>
      <c r="F6184" s="15" t="str">
        <f aca="false">IF(B6184&lt;5,"Go","Standard")</f>
        <v>Standard</v>
      </c>
    </row>
    <row r="6185" customFormat="false" ht="15" hidden="false" customHeight="true" outlineLevel="0" collapsed="false">
      <c r="A6185" s="10" t="n">
        <f aca="false">Einstellungen!$B$5+INT((ROW()-9)/24)</f>
        <v>46223</v>
      </c>
      <c r="B6185" s="11" t="n">
        <f aca="false">MOD(ROW()-9,24)</f>
        <v>8</v>
      </c>
      <c r="C6185" s="12"/>
      <c r="D6185" s="13" t="n">
        <f aca="false">IF(B6185&lt;5,Einstellungen!$B$3,Einstellungen!$B$4)</f>
        <v>29.13</v>
      </c>
      <c r="E6185" s="14" t="str">
        <f aca="false">IF(C6185="","",C6185*D6185/100)</f>
        <v/>
      </c>
      <c r="F6185" s="15" t="str">
        <f aca="false">IF(B6185&lt;5,"Go","Standard")</f>
        <v>Standard</v>
      </c>
    </row>
    <row r="6186" customFormat="false" ht="15" hidden="false" customHeight="true" outlineLevel="0" collapsed="false">
      <c r="A6186" s="10" t="n">
        <f aca="false">Einstellungen!$B$5+INT((ROW()-9)/24)</f>
        <v>46223</v>
      </c>
      <c r="B6186" s="11" t="n">
        <f aca="false">MOD(ROW()-9,24)</f>
        <v>9</v>
      </c>
      <c r="C6186" s="12"/>
      <c r="D6186" s="13" t="n">
        <f aca="false">IF(B6186&lt;5,Einstellungen!$B$3,Einstellungen!$B$4)</f>
        <v>29.13</v>
      </c>
      <c r="E6186" s="14" t="str">
        <f aca="false">IF(C6186="","",C6186*D6186/100)</f>
        <v/>
      </c>
      <c r="F6186" s="15" t="str">
        <f aca="false">IF(B6186&lt;5,"Go","Standard")</f>
        <v>Standard</v>
      </c>
    </row>
    <row r="6187" customFormat="false" ht="15" hidden="false" customHeight="true" outlineLevel="0" collapsed="false">
      <c r="A6187" s="10" t="n">
        <f aca="false">Einstellungen!$B$5+INT((ROW()-9)/24)</f>
        <v>46223</v>
      </c>
      <c r="B6187" s="11" t="n">
        <f aca="false">MOD(ROW()-9,24)</f>
        <v>10</v>
      </c>
      <c r="C6187" s="12"/>
      <c r="D6187" s="13" t="n">
        <f aca="false">IF(B6187&lt;5,Einstellungen!$B$3,Einstellungen!$B$4)</f>
        <v>29.13</v>
      </c>
      <c r="E6187" s="14" t="str">
        <f aca="false">IF(C6187="","",C6187*D6187/100)</f>
        <v/>
      </c>
      <c r="F6187" s="15" t="str">
        <f aca="false">IF(B6187&lt;5,"Go","Standard")</f>
        <v>Standard</v>
      </c>
    </row>
    <row r="6188" customFormat="false" ht="15" hidden="false" customHeight="true" outlineLevel="0" collapsed="false">
      <c r="A6188" s="10" t="n">
        <f aca="false">Einstellungen!$B$5+INT((ROW()-9)/24)</f>
        <v>46223</v>
      </c>
      <c r="B6188" s="11" t="n">
        <f aca="false">MOD(ROW()-9,24)</f>
        <v>11</v>
      </c>
      <c r="C6188" s="12"/>
      <c r="D6188" s="13" t="n">
        <f aca="false">IF(B6188&lt;5,Einstellungen!$B$3,Einstellungen!$B$4)</f>
        <v>29.13</v>
      </c>
      <c r="E6188" s="14" t="str">
        <f aca="false">IF(C6188="","",C6188*D6188/100)</f>
        <v/>
      </c>
      <c r="F6188" s="15" t="str">
        <f aca="false">IF(B6188&lt;5,"Go","Standard")</f>
        <v>Standard</v>
      </c>
    </row>
    <row r="6189" customFormat="false" ht="15" hidden="false" customHeight="true" outlineLevel="0" collapsed="false">
      <c r="A6189" s="10" t="n">
        <f aca="false">Einstellungen!$B$5+INT((ROW()-9)/24)</f>
        <v>46223</v>
      </c>
      <c r="B6189" s="11" t="n">
        <f aca="false">MOD(ROW()-9,24)</f>
        <v>12</v>
      </c>
      <c r="C6189" s="12"/>
      <c r="D6189" s="13" t="n">
        <f aca="false">IF(B6189&lt;5,Einstellungen!$B$3,Einstellungen!$B$4)</f>
        <v>29.13</v>
      </c>
      <c r="E6189" s="14" t="str">
        <f aca="false">IF(C6189="","",C6189*D6189/100)</f>
        <v/>
      </c>
      <c r="F6189" s="15" t="str">
        <f aca="false">IF(B6189&lt;5,"Go","Standard")</f>
        <v>Standard</v>
      </c>
    </row>
    <row r="6190" customFormat="false" ht="15" hidden="false" customHeight="true" outlineLevel="0" collapsed="false">
      <c r="A6190" s="10" t="n">
        <f aca="false">Einstellungen!$B$5+INT((ROW()-9)/24)</f>
        <v>46223</v>
      </c>
      <c r="B6190" s="11" t="n">
        <f aca="false">MOD(ROW()-9,24)</f>
        <v>13</v>
      </c>
      <c r="C6190" s="12"/>
      <c r="D6190" s="13" t="n">
        <f aca="false">IF(B6190&lt;5,Einstellungen!$B$3,Einstellungen!$B$4)</f>
        <v>29.13</v>
      </c>
      <c r="E6190" s="14" t="str">
        <f aca="false">IF(C6190="","",C6190*D6190/100)</f>
        <v/>
      </c>
      <c r="F6190" s="15" t="str">
        <f aca="false">IF(B6190&lt;5,"Go","Standard")</f>
        <v>Standard</v>
      </c>
    </row>
    <row r="6191" customFormat="false" ht="15" hidden="false" customHeight="true" outlineLevel="0" collapsed="false">
      <c r="A6191" s="10" t="n">
        <f aca="false">Einstellungen!$B$5+INT((ROW()-9)/24)</f>
        <v>46223</v>
      </c>
      <c r="B6191" s="11" t="n">
        <f aca="false">MOD(ROW()-9,24)</f>
        <v>14</v>
      </c>
      <c r="C6191" s="12"/>
      <c r="D6191" s="13" t="n">
        <f aca="false">IF(B6191&lt;5,Einstellungen!$B$3,Einstellungen!$B$4)</f>
        <v>29.13</v>
      </c>
      <c r="E6191" s="14" t="str">
        <f aca="false">IF(C6191="","",C6191*D6191/100)</f>
        <v/>
      </c>
      <c r="F6191" s="15" t="str">
        <f aca="false">IF(B6191&lt;5,"Go","Standard")</f>
        <v>Standard</v>
      </c>
    </row>
    <row r="6192" customFormat="false" ht="15" hidden="false" customHeight="true" outlineLevel="0" collapsed="false">
      <c r="A6192" s="10" t="n">
        <f aca="false">Einstellungen!$B$5+INT((ROW()-9)/24)</f>
        <v>46223</v>
      </c>
      <c r="B6192" s="11" t="n">
        <f aca="false">MOD(ROW()-9,24)</f>
        <v>15</v>
      </c>
      <c r="C6192" s="12"/>
      <c r="D6192" s="13" t="n">
        <f aca="false">IF(B6192&lt;5,Einstellungen!$B$3,Einstellungen!$B$4)</f>
        <v>29.13</v>
      </c>
      <c r="E6192" s="14" t="str">
        <f aca="false">IF(C6192="","",C6192*D6192/100)</f>
        <v/>
      </c>
      <c r="F6192" s="15" t="str">
        <f aca="false">IF(B6192&lt;5,"Go","Standard")</f>
        <v>Standard</v>
      </c>
    </row>
    <row r="6193" customFormat="false" ht="15" hidden="false" customHeight="true" outlineLevel="0" collapsed="false">
      <c r="A6193" s="10" t="n">
        <f aca="false">Einstellungen!$B$5+INT((ROW()-9)/24)</f>
        <v>46223</v>
      </c>
      <c r="B6193" s="11" t="n">
        <f aca="false">MOD(ROW()-9,24)</f>
        <v>16</v>
      </c>
      <c r="C6193" s="12"/>
      <c r="D6193" s="13" t="n">
        <f aca="false">IF(B6193&lt;5,Einstellungen!$B$3,Einstellungen!$B$4)</f>
        <v>29.13</v>
      </c>
      <c r="E6193" s="14" t="str">
        <f aca="false">IF(C6193="","",C6193*D6193/100)</f>
        <v/>
      </c>
      <c r="F6193" s="15" t="str">
        <f aca="false">IF(B6193&lt;5,"Go","Standard")</f>
        <v>Standard</v>
      </c>
    </row>
    <row r="6194" customFormat="false" ht="15" hidden="false" customHeight="true" outlineLevel="0" collapsed="false">
      <c r="A6194" s="10" t="n">
        <f aca="false">Einstellungen!$B$5+INT((ROW()-9)/24)</f>
        <v>46223</v>
      </c>
      <c r="B6194" s="11" t="n">
        <f aca="false">MOD(ROW()-9,24)</f>
        <v>17</v>
      </c>
      <c r="C6194" s="12"/>
      <c r="D6194" s="13" t="n">
        <f aca="false">IF(B6194&lt;5,Einstellungen!$B$3,Einstellungen!$B$4)</f>
        <v>29.13</v>
      </c>
      <c r="E6194" s="14" t="str">
        <f aca="false">IF(C6194="","",C6194*D6194/100)</f>
        <v/>
      </c>
      <c r="F6194" s="15" t="str">
        <f aca="false">IF(B6194&lt;5,"Go","Standard")</f>
        <v>Standard</v>
      </c>
    </row>
    <row r="6195" customFormat="false" ht="15" hidden="false" customHeight="true" outlineLevel="0" collapsed="false">
      <c r="A6195" s="10" t="n">
        <f aca="false">Einstellungen!$B$5+INT((ROW()-9)/24)</f>
        <v>46223</v>
      </c>
      <c r="B6195" s="11" t="n">
        <f aca="false">MOD(ROW()-9,24)</f>
        <v>18</v>
      </c>
      <c r="C6195" s="12"/>
      <c r="D6195" s="13" t="n">
        <f aca="false">IF(B6195&lt;5,Einstellungen!$B$3,Einstellungen!$B$4)</f>
        <v>29.13</v>
      </c>
      <c r="E6195" s="14" t="str">
        <f aca="false">IF(C6195="","",C6195*D6195/100)</f>
        <v/>
      </c>
      <c r="F6195" s="15" t="str">
        <f aca="false">IF(B6195&lt;5,"Go","Standard")</f>
        <v>Standard</v>
      </c>
    </row>
    <row r="6196" customFormat="false" ht="15" hidden="false" customHeight="true" outlineLevel="0" collapsed="false">
      <c r="A6196" s="10" t="n">
        <f aca="false">Einstellungen!$B$5+INT((ROW()-9)/24)</f>
        <v>46223</v>
      </c>
      <c r="B6196" s="11" t="n">
        <f aca="false">MOD(ROW()-9,24)</f>
        <v>19</v>
      </c>
      <c r="C6196" s="12"/>
      <c r="D6196" s="13" t="n">
        <f aca="false">IF(B6196&lt;5,Einstellungen!$B$3,Einstellungen!$B$4)</f>
        <v>29.13</v>
      </c>
      <c r="E6196" s="14" t="str">
        <f aca="false">IF(C6196="","",C6196*D6196/100)</f>
        <v/>
      </c>
      <c r="F6196" s="15" t="str">
        <f aca="false">IF(B6196&lt;5,"Go","Standard")</f>
        <v>Standard</v>
      </c>
    </row>
    <row r="6197" customFormat="false" ht="15" hidden="false" customHeight="true" outlineLevel="0" collapsed="false">
      <c r="A6197" s="10" t="n">
        <f aca="false">Einstellungen!$B$5+INT((ROW()-9)/24)</f>
        <v>46223</v>
      </c>
      <c r="B6197" s="11" t="n">
        <f aca="false">MOD(ROW()-9,24)</f>
        <v>20</v>
      </c>
      <c r="C6197" s="12"/>
      <c r="D6197" s="13" t="n">
        <f aca="false">IF(B6197&lt;5,Einstellungen!$B$3,Einstellungen!$B$4)</f>
        <v>29.13</v>
      </c>
      <c r="E6197" s="14" t="str">
        <f aca="false">IF(C6197="","",C6197*D6197/100)</f>
        <v/>
      </c>
      <c r="F6197" s="15" t="str">
        <f aca="false">IF(B6197&lt;5,"Go","Standard")</f>
        <v>Standard</v>
      </c>
    </row>
    <row r="6198" customFormat="false" ht="15" hidden="false" customHeight="true" outlineLevel="0" collapsed="false">
      <c r="A6198" s="10" t="n">
        <f aca="false">Einstellungen!$B$5+INT((ROW()-9)/24)</f>
        <v>46223</v>
      </c>
      <c r="B6198" s="11" t="n">
        <f aca="false">MOD(ROW()-9,24)</f>
        <v>21</v>
      </c>
      <c r="C6198" s="12"/>
      <c r="D6198" s="13" t="n">
        <f aca="false">IF(B6198&lt;5,Einstellungen!$B$3,Einstellungen!$B$4)</f>
        <v>29.13</v>
      </c>
      <c r="E6198" s="14" t="str">
        <f aca="false">IF(C6198="","",C6198*D6198/100)</f>
        <v/>
      </c>
      <c r="F6198" s="15" t="str">
        <f aca="false">IF(B6198&lt;5,"Go","Standard")</f>
        <v>Standard</v>
      </c>
    </row>
    <row r="6199" customFormat="false" ht="15" hidden="false" customHeight="true" outlineLevel="0" collapsed="false">
      <c r="A6199" s="10" t="n">
        <f aca="false">Einstellungen!$B$5+INT((ROW()-9)/24)</f>
        <v>46223</v>
      </c>
      <c r="B6199" s="11" t="n">
        <f aca="false">MOD(ROW()-9,24)</f>
        <v>22</v>
      </c>
      <c r="C6199" s="12"/>
      <c r="D6199" s="13" t="n">
        <f aca="false">IF(B6199&lt;5,Einstellungen!$B$3,Einstellungen!$B$4)</f>
        <v>29.13</v>
      </c>
      <c r="E6199" s="14" t="str">
        <f aca="false">IF(C6199="","",C6199*D6199/100)</f>
        <v/>
      </c>
      <c r="F6199" s="15" t="str">
        <f aca="false">IF(B6199&lt;5,"Go","Standard")</f>
        <v>Standard</v>
      </c>
    </row>
    <row r="6200" customFormat="false" ht="15" hidden="false" customHeight="true" outlineLevel="0" collapsed="false">
      <c r="A6200" s="10" t="n">
        <f aca="false">Einstellungen!$B$5+INT((ROW()-9)/24)</f>
        <v>46223</v>
      </c>
      <c r="B6200" s="11" t="n">
        <f aca="false">MOD(ROW()-9,24)</f>
        <v>23</v>
      </c>
      <c r="C6200" s="12"/>
      <c r="D6200" s="13" t="n">
        <f aca="false">IF(B6200&lt;5,Einstellungen!$B$3,Einstellungen!$B$4)</f>
        <v>29.13</v>
      </c>
      <c r="E6200" s="14" t="str">
        <f aca="false">IF(C6200="","",C6200*D6200/100)</f>
        <v/>
      </c>
      <c r="F6200" s="15" t="str">
        <f aca="false">IF(B6200&lt;5,"Go","Standard")</f>
        <v>Standard</v>
      </c>
    </row>
    <row r="6201" customFormat="false" ht="15" hidden="false" customHeight="true" outlineLevel="0" collapsed="false">
      <c r="A6201" s="10" t="n">
        <f aca="false">Einstellungen!$B$5+INT((ROW()-9)/24)</f>
        <v>46224</v>
      </c>
      <c r="B6201" s="11" t="n">
        <f aca="false">MOD(ROW()-9,24)</f>
        <v>0</v>
      </c>
      <c r="C6201" s="12"/>
      <c r="D6201" s="13" t="n">
        <f aca="false">IF(B6201&lt;5,Einstellungen!$B$3,Einstellungen!$B$4)</f>
        <v>15.92</v>
      </c>
      <c r="E6201" s="14" t="str">
        <f aca="false">IF(C6201="","",C6201*D6201/100)</f>
        <v/>
      </c>
      <c r="F6201" s="15" t="str">
        <f aca="false">IF(B6201&lt;5,"Go","Standard")</f>
        <v>Go</v>
      </c>
    </row>
    <row r="6202" customFormat="false" ht="15" hidden="false" customHeight="true" outlineLevel="0" collapsed="false">
      <c r="A6202" s="10" t="n">
        <f aca="false">Einstellungen!$B$5+INT((ROW()-9)/24)</f>
        <v>46224</v>
      </c>
      <c r="B6202" s="11" t="n">
        <f aca="false">MOD(ROW()-9,24)</f>
        <v>1</v>
      </c>
      <c r="C6202" s="12"/>
      <c r="D6202" s="13" t="n">
        <f aca="false">IF(B6202&lt;5,Einstellungen!$B$3,Einstellungen!$B$4)</f>
        <v>15.92</v>
      </c>
      <c r="E6202" s="14" t="str">
        <f aca="false">IF(C6202="","",C6202*D6202/100)</f>
        <v/>
      </c>
      <c r="F6202" s="15" t="str">
        <f aca="false">IF(B6202&lt;5,"Go","Standard")</f>
        <v>Go</v>
      </c>
    </row>
    <row r="6203" customFormat="false" ht="15" hidden="false" customHeight="true" outlineLevel="0" collapsed="false">
      <c r="A6203" s="10" t="n">
        <f aca="false">Einstellungen!$B$5+INT((ROW()-9)/24)</f>
        <v>46224</v>
      </c>
      <c r="B6203" s="11" t="n">
        <f aca="false">MOD(ROW()-9,24)</f>
        <v>2</v>
      </c>
      <c r="C6203" s="12"/>
      <c r="D6203" s="13" t="n">
        <f aca="false">IF(B6203&lt;5,Einstellungen!$B$3,Einstellungen!$B$4)</f>
        <v>15.92</v>
      </c>
      <c r="E6203" s="14" t="str">
        <f aca="false">IF(C6203="","",C6203*D6203/100)</f>
        <v/>
      </c>
      <c r="F6203" s="15" t="str">
        <f aca="false">IF(B6203&lt;5,"Go","Standard")</f>
        <v>Go</v>
      </c>
    </row>
    <row r="6204" customFormat="false" ht="15" hidden="false" customHeight="true" outlineLevel="0" collapsed="false">
      <c r="A6204" s="10" t="n">
        <f aca="false">Einstellungen!$B$5+INT((ROW()-9)/24)</f>
        <v>46224</v>
      </c>
      <c r="B6204" s="11" t="n">
        <f aca="false">MOD(ROW()-9,24)</f>
        <v>3</v>
      </c>
      <c r="C6204" s="12"/>
      <c r="D6204" s="13" t="n">
        <f aca="false">IF(B6204&lt;5,Einstellungen!$B$3,Einstellungen!$B$4)</f>
        <v>15.92</v>
      </c>
      <c r="E6204" s="14" t="str">
        <f aca="false">IF(C6204="","",C6204*D6204/100)</f>
        <v/>
      </c>
      <c r="F6204" s="15" t="str">
        <f aca="false">IF(B6204&lt;5,"Go","Standard")</f>
        <v>Go</v>
      </c>
    </row>
    <row r="6205" customFormat="false" ht="15" hidden="false" customHeight="true" outlineLevel="0" collapsed="false">
      <c r="A6205" s="10" t="n">
        <f aca="false">Einstellungen!$B$5+INT((ROW()-9)/24)</f>
        <v>46224</v>
      </c>
      <c r="B6205" s="11" t="n">
        <f aca="false">MOD(ROW()-9,24)</f>
        <v>4</v>
      </c>
      <c r="C6205" s="12"/>
      <c r="D6205" s="13" t="n">
        <f aca="false">IF(B6205&lt;5,Einstellungen!$B$3,Einstellungen!$B$4)</f>
        <v>15.92</v>
      </c>
      <c r="E6205" s="14" t="str">
        <f aca="false">IF(C6205="","",C6205*D6205/100)</f>
        <v/>
      </c>
      <c r="F6205" s="15" t="str">
        <f aca="false">IF(B6205&lt;5,"Go","Standard")</f>
        <v>Go</v>
      </c>
    </row>
    <row r="6206" customFormat="false" ht="15" hidden="false" customHeight="true" outlineLevel="0" collapsed="false">
      <c r="A6206" s="10" t="n">
        <f aca="false">Einstellungen!$B$5+INT((ROW()-9)/24)</f>
        <v>46224</v>
      </c>
      <c r="B6206" s="11" t="n">
        <f aca="false">MOD(ROW()-9,24)</f>
        <v>5</v>
      </c>
      <c r="C6206" s="12"/>
      <c r="D6206" s="13" t="n">
        <f aca="false">IF(B6206&lt;5,Einstellungen!$B$3,Einstellungen!$B$4)</f>
        <v>29.13</v>
      </c>
      <c r="E6206" s="14" t="str">
        <f aca="false">IF(C6206="","",C6206*D6206/100)</f>
        <v/>
      </c>
      <c r="F6206" s="15" t="str">
        <f aca="false">IF(B6206&lt;5,"Go","Standard")</f>
        <v>Standard</v>
      </c>
    </row>
    <row r="6207" customFormat="false" ht="15" hidden="false" customHeight="true" outlineLevel="0" collapsed="false">
      <c r="A6207" s="10" t="n">
        <f aca="false">Einstellungen!$B$5+INT((ROW()-9)/24)</f>
        <v>46224</v>
      </c>
      <c r="B6207" s="11" t="n">
        <f aca="false">MOD(ROW()-9,24)</f>
        <v>6</v>
      </c>
      <c r="C6207" s="12"/>
      <c r="D6207" s="13" t="n">
        <f aca="false">IF(B6207&lt;5,Einstellungen!$B$3,Einstellungen!$B$4)</f>
        <v>29.13</v>
      </c>
      <c r="E6207" s="14" t="str">
        <f aca="false">IF(C6207="","",C6207*D6207/100)</f>
        <v/>
      </c>
      <c r="F6207" s="15" t="str">
        <f aca="false">IF(B6207&lt;5,"Go","Standard")</f>
        <v>Standard</v>
      </c>
    </row>
    <row r="6208" customFormat="false" ht="15" hidden="false" customHeight="true" outlineLevel="0" collapsed="false">
      <c r="A6208" s="10" t="n">
        <f aca="false">Einstellungen!$B$5+INT((ROW()-9)/24)</f>
        <v>46224</v>
      </c>
      <c r="B6208" s="11" t="n">
        <f aca="false">MOD(ROW()-9,24)</f>
        <v>7</v>
      </c>
      <c r="C6208" s="12"/>
      <c r="D6208" s="13" t="n">
        <f aca="false">IF(B6208&lt;5,Einstellungen!$B$3,Einstellungen!$B$4)</f>
        <v>29.13</v>
      </c>
      <c r="E6208" s="14" t="str">
        <f aca="false">IF(C6208="","",C6208*D6208/100)</f>
        <v/>
      </c>
      <c r="F6208" s="15" t="str">
        <f aca="false">IF(B6208&lt;5,"Go","Standard")</f>
        <v>Standard</v>
      </c>
    </row>
    <row r="6209" customFormat="false" ht="15" hidden="false" customHeight="true" outlineLevel="0" collapsed="false">
      <c r="A6209" s="10" t="n">
        <f aca="false">Einstellungen!$B$5+INT((ROW()-9)/24)</f>
        <v>46224</v>
      </c>
      <c r="B6209" s="11" t="n">
        <f aca="false">MOD(ROW()-9,24)</f>
        <v>8</v>
      </c>
      <c r="C6209" s="12"/>
      <c r="D6209" s="13" t="n">
        <f aca="false">IF(B6209&lt;5,Einstellungen!$B$3,Einstellungen!$B$4)</f>
        <v>29.13</v>
      </c>
      <c r="E6209" s="14" t="str">
        <f aca="false">IF(C6209="","",C6209*D6209/100)</f>
        <v/>
      </c>
      <c r="F6209" s="15" t="str">
        <f aca="false">IF(B6209&lt;5,"Go","Standard")</f>
        <v>Standard</v>
      </c>
    </row>
    <row r="6210" customFormat="false" ht="15" hidden="false" customHeight="true" outlineLevel="0" collapsed="false">
      <c r="A6210" s="10" t="n">
        <f aca="false">Einstellungen!$B$5+INT((ROW()-9)/24)</f>
        <v>46224</v>
      </c>
      <c r="B6210" s="11" t="n">
        <f aca="false">MOD(ROW()-9,24)</f>
        <v>9</v>
      </c>
      <c r="C6210" s="12"/>
      <c r="D6210" s="13" t="n">
        <f aca="false">IF(B6210&lt;5,Einstellungen!$B$3,Einstellungen!$B$4)</f>
        <v>29.13</v>
      </c>
      <c r="E6210" s="14" t="str">
        <f aca="false">IF(C6210="","",C6210*D6210/100)</f>
        <v/>
      </c>
      <c r="F6210" s="15" t="str">
        <f aca="false">IF(B6210&lt;5,"Go","Standard")</f>
        <v>Standard</v>
      </c>
    </row>
    <row r="6211" customFormat="false" ht="15" hidden="false" customHeight="true" outlineLevel="0" collapsed="false">
      <c r="A6211" s="10" t="n">
        <f aca="false">Einstellungen!$B$5+INT((ROW()-9)/24)</f>
        <v>46224</v>
      </c>
      <c r="B6211" s="11" t="n">
        <f aca="false">MOD(ROW()-9,24)</f>
        <v>10</v>
      </c>
      <c r="C6211" s="12"/>
      <c r="D6211" s="13" t="n">
        <f aca="false">IF(B6211&lt;5,Einstellungen!$B$3,Einstellungen!$B$4)</f>
        <v>29.13</v>
      </c>
      <c r="E6211" s="14" t="str">
        <f aca="false">IF(C6211="","",C6211*D6211/100)</f>
        <v/>
      </c>
      <c r="F6211" s="15" t="str">
        <f aca="false">IF(B6211&lt;5,"Go","Standard")</f>
        <v>Standard</v>
      </c>
    </row>
    <row r="6212" customFormat="false" ht="15" hidden="false" customHeight="true" outlineLevel="0" collapsed="false">
      <c r="A6212" s="10" t="n">
        <f aca="false">Einstellungen!$B$5+INT((ROW()-9)/24)</f>
        <v>46224</v>
      </c>
      <c r="B6212" s="11" t="n">
        <f aca="false">MOD(ROW()-9,24)</f>
        <v>11</v>
      </c>
      <c r="C6212" s="12"/>
      <c r="D6212" s="13" t="n">
        <f aca="false">IF(B6212&lt;5,Einstellungen!$B$3,Einstellungen!$B$4)</f>
        <v>29.13</v>
      </c>
      <c r="E6212" s="14" t="str">
        <f aca="false">IF(C6212="","",C6212*D6212/100)</f>
        <v/>
      </c>
      <c r="F6212" s="15" t="str">
        <f aca="false">IF(B6212&lt;5,"Go","Standard")</f>
        <v>Standard</v>
      </c>
    </row>
    <row r="6213" customFormat="false" ht="15" hidden="false" customHeight="true" outlineLevel="0" collapsed="false">
      <c r="A6213" s="10" t="n">
        <f aca="false">Einstellungen!$B$5+INT((ROW()-9)/24)</f>
        <v>46224</v>
      </c>
      <c r="B6213" s="11" t="n">
        <f aca="false">MOD(ROW()-9,24)</f>
        <v>12</v>
      </c>
      <c r="C6213" s="12"/>
      <c r="D6213" s="13" t="n">
        <f aca="false">IF(B6213&lt;5,Einstellungen!$B$3,Einstellungen!$B$4)</f>
        <v>29.13</v>
      </c>
      <c r="E6213" s="14" t="str">
        <f aca="false">IF(C6213="","",C6213*D6213/100)</f>
        <v/>
      </c>
      <c r="F6213" s="15" t="str">
        <f aca="false">IF(B6213&lt;5,"Go","Standard")</f>
        <v>Standard</v>
      </c>
    </row>
    <row r="6214" customFormat="false" ht="15" hidden="false" customHeight="true" outlineLevel="0" collapsed="false">
      <c r="A6214" s="10" t="n">
        <f aca="false">Einstellungen!$B$5+INT((ROW()-9)/24)</f>
        <v>46224</v>
      </c>
      <c r="B6214" s="11" t="n">
        <f aca="false">MOD(ROW()-9,24)</f>
        <v>13</v>
      </c>
      <c r="C6214" s="12"/>
      <c r="D6214" s="13" t="n">
        <f aca="false">IF(B6214&lt;5,Einstellungen!$B$3,Einstellungen!$B$4)</f>
        <v>29.13</v>
      </c>
      <c r="E6214" s="14" t="str">
        <f aca="false">IF(C6214="","",C6214*D6214/100)</f>
        <v/>
      </c>
      <c r="F6214" s="15" t="str">
        <f aca="false">IF(B6214&lt;5,"Go","Standard")</f>
        <v>Standard</v>
      </c>
    </row>
    <row r="6215" customFormat="false" ht="15" hidden="false" customHeight="true" outlineLevel="0" collapsed="false">
      <c r="A6215" s="10" t="n">
        <f aca="false">Einstellungen!$B$5+INT((ROW()-9)/24)</f>
        <v>46224</v>
      </c>
      <c r="B6215" s="11" t="n">
        <f aca="false">MOD(ROW()-9,24)</f>
        <v>14</v>
      </c>
      <c r="C6215" s="12"/>
      <c r="D6215" s="13" t="n">
        <f aca="false">IF(B6215&lt;5,Einstellungen!$B$3,Einstellungen!$B$4)</f>
        <v>29.13</v>
      </c>
      <c r="E6215" s="14" t="str">
        <f aca="false">IF(C6215="","",C6215*D6215/100)</f>
        <v/>
      </c>
      <c r="F6215" s="15" t="str">
        <f aca="false">IF(B6215&lt;5,"Go","Standard")</f>
        <v>Standard</v>
      </c>
    </row>
    <row r="6216" customFormat="false" ht="15" hidden="false" customHeight="true" outlineLevel="0" collapsed="false">
      <c r="A6216" s="10" t="n">
        <f aca="false">Einstellungen!$B$5+INT((ROW()-9)/24)</f>
        <v>46224</v>
      </c>
      <c r="B6216" s="11" t="n">
        <f aca="false">MOD(ROW()-9,24)</f>
        <v>15</v>
      </c>
      <c r="C6216" s="12"/>
      <c r="D6216" s="13" t="n">
        <f aca="false">IF(B6216&lt;5,Einstellungen!$B$3,Einstellungen!$B$4)</f>
        <v>29.13</v>
      </c>
      <c r="E6216" s="14" t="str">
        <f aca="false">IF(C6216="","",C6216*D6216/100)</f>
        <v/>
      </c>
      <c r="F6216" s="15" t="str">
        <f aca="false">IF(B6216&lt;5,"Go","Standard")</f>
        <v>Standard</v>
      </c>
    </row>
    <row r="6217" customFormat="false" ht="15" hidden="false" customHeight="true" outlineLevel="0" collapsed="false">
      <c r="A6217" s="10" t="n">
        <f aca="false">Einstellungen!$B$5+INT((ROW()-9)/24)</f>
        <v>46224</v>
      </c>
      <c r="B6217" s="11" t="n">
        <f aca="false">MOD(ROW()-9,24)</f>
        <v>16</v>
      </c>
      <c r="C6217" s="12"/>
      <c r="D6217" s="13" t="n">
        <f aca="false">IF(B6217&lt;5,Einstellungen!$B$3,Einstellungen!$B$4)</f>
        <v>29.13</v>
      </c>
      <c r="E6217" s="14" t="str">
        <f aca="false">IF(C6217="","",C6217*D6217/100)</f>
        <v/>
      </c>
      <c r="F6217" s="15" t="str">
        <f aca="false">IF(B6217&lt;5,"Go","Standard")</f>
        <v>Standard</v>
      </c>
    </row>
    <row r="6218" customFormat="false" ht="15" hidden="false" customHeight="true" outlineLevel="0" collapsed="false">
      <c r="A6218" s="10" t="n">
        <f aca="false">Einstellungen!$B$5+INT((ROW()-9)/24)</f>
        <v>46224</v>
      </c>
      <c r="B6218" s="11" t="n">
        <f aca="false">MOD(ROW()-9,24)</f>
        <v>17</v>
      </c>
      <c r="C6218" s="12"/>
      <c r="D6218" s="13" t="n">
        <f aca="false">IF(B6218&lt;5,Einstellungen!$B$3,Einstellungen!$B$4)</f>
        <v>29.13</v>
      </c>
      <c r="E6218" s="14" t="str">
        <f aca="false">IF(C6218="","",C6218*D6218/100)</f>
        <v/>
      </c>
      <c r="F6218" s="15" t="str">
        <f aca="false">IF(B6218&lt;5,"Go","Standard")</f>
        <v>Standard</v>
      </c>
    </row>
    <row r="6219" customFormat="false" ht="15" hidden="false" customHeight="true" outlineLevel="0" collapsed="false">
      <c r="A6219" s="10" t="n">
        <f aca="false">Einstellungen!$B$5+INT((ROW()-9)/24)</f>
        <v>46224</v>
      </c>
      <c r="B6219" s="11" t="n">
        <f aca="false">MOD(ROW()-9,24)</f>
        <v>18</v>
      </c>
      <c r="C6219" s="12"/>
      <c r="D6219" s="13" t="n">
        <f aca="false">IF(B6219&lt;5,Einstellungen!$B$3,Einstellungen!$B$4)</f>
        <v>29.13</v>
      </c>
      <c r="E6219" s="14" t="str">
        <f aca="false">IF(C6219="","",C6219*D6219/100)</f>
        <v/>
      </c>
      <c r="F6219" s="15" t="str">
        <f aca="false">IF(B6219&lt;5,"Go","Standard")</f>
        <v>Standard</v>
      </c>
    </row>
    <row r="6220" customFormat="false" ht="15" hidden="false" customHeight="true" outlineLevel="0" collapsed="false">
      <c r="A6220" s="10" t="n">
        <f aca="false">Einstellungen!$B$5+INT((ROW()-9)/24)</f>
        <v>46224</v>
      </c>
      <c r="B6220" s="11" t="n">
        <f aca="false">MOD(ROW()-9,24)</f>
        <v>19</v>
      </c>
      <c r="C6220" s="12"/>
      <c r="D6220" s="13" t="n">
        <f aca="false">IF(B6220&lt;5,Einstellungen!$B$3,Einstellungen!$B$4)</f>
        <v>29.13</v>
      </c>
      <c r="E6220" s="14" t="str">
        <f aca="false">IF(C6220="","",C6220*D6220/100)</f>
        <v/>
      </c>
      <c r="F6220" s="15" t="str">
        <f aca="false">IF(B6220&lt;5,"Go","Standard")</f>
        <v>Standard</v>
      </c>
    </row>
    <row r="6221" customFormat="false" ht="15" hidden="false" customHeight="true" outlineLevel="0" collapsed="false">
      <c r="A6221" s="10" t="n">
        <f aca="false">Einstellungen!$B$5+INT((ROW()-9)/24)</f>
        <v>46224</v>
      </c>
      <c r="B6221" s="11" t="n">
        <f aca="false">MOD(ROW()-9,24)</f>
        <v>20</v>
      </c>
      <c r="C6221" s="12"/>
      <c r="D6221" s="13" t="n">
        <f aca="false">IF(B6221&lt;5,Einstellungen!$B$3,Einstellungen!$B$4)</f>
        <v>29.13</v>
      </c>
      <c r="E6221" s="14" t="str">
        <f aca="false">IF(C6221="","",C6221*D6221/100)</f>
        <v/>
      </c>
      <c r="F6221" s="15" t="str">
        <f aca="false">IF(B6221&lt;5,"Go","Standard")</f>
        <v>Standard</v>
      </c>
    </row>
    <row r="6222" customFormat="false" ht="15" hidden="false" customHeight="true" outlineLevel="0" collapsed="false">
      <c r="A6222" s="10" t="n">
        <f aca="false">Einstellungen!$B$5+INT((ROW()-9)/24)</f>
        <v>46224</v>
      </c>
      <c r="B6222" s="11" t="n">
        <f aca="false">MOD(ROW()-9,24)</f>
        <v>21</v>
      </c>
      <c r="C6222" s="12"/>
      <c r="D6222" s="13" t="n">
        <f aca="false">IF(B6222&lt;5,Einstellungen!$B$3,Einstellungen!$B$4)</f>
        <v>29.13</v>
      </c>
      <c r="E6222" s="14" t="str">
        <f aca="false">IF(C6222="","",C6222*D6222/100)</f>
        <v/>
      </c>
      <c r="F6222" s="15" t="str">
        <f aca="false">IF(B6222&lt;5,"Go","Standard")</f>
        <v>Standard</v>
      </c>
    </row>
    <row r="6223" customFormat="false" ht="15" hidden="false" customHeight="true" outlineLevel="0" collapsed="false">
      <c r="A6223" s="10" t="n">
        <f aca="false">Einstellungen!$B$5+INT((ROW()-9)/24)</f>
        <v>46224</v>
      </c>
      <c r="B6223" s="11" t="n">
        <f aca="false">MOD(ROW()-9,24)</f>
        <v>22</v>
      </c>
      <c r="C6223" s="12"/>
      <c r="D6223" s="13" t="n">
        <f aca="false">IF(B6223&lt;5,Einstellungen!$B$3,Einstellungen!$B$4)</f>
        <v>29.13</v>
      </c>
      <c r="E6223" s="14" t="str">
        <f aca="false">IF(C6223="","",C6223*D6223/100)</f>
        <v/>
      </c>
      <c r="F6223" s="15" t="str">
        <f aca="false">IF(B6223&lt;5,"Go","Standard")</f>
        <v>Standard</v>
      </c>
    </row>
    <row r="6224" customFormat="false" ht="15" hidden="false" customHeight="true" outlineLevel="0" collapsed="false">
      <c r="A6224" s="10" t="n">
        <f aca="false">Einstellungen!$B$5+INT((ROW()-9)/24)</f>
        <v>46224</v>
      </c>
      <c r="B6224" s="11" t="n">
        <f aca="false">MOD(ROW()-9,24)</f>
        <v>23</v>
      </c>
      <c r="C6224" s="12"/>
      <c r="D6224" s="13" t="n">
        <f aca="false">IF(B6224&lt;5,Einstellungen!$B$3,Einstellungen!$B$4)</f>
        <v>29.13</v>
      </c>
      <c r="E6224" s="14" t="str">
        <f aca="false">IF(C6224="","",C6224*D6224/100)</f>
        <v/>
      </c>
      <c r="F6224" s="15" t="str">
        <f aca="false">IF(B6224&lt;5,"Go","Standard")</f>
        <v>Standard</v>
      </c>
    </row>
    <row r="6225" customFormat="false" ht="15" hidden="false" customHeight="true" outlineLevel="0" collapsed="false">
      <c r="A6225" s="10" t="n">
        <f aca="false">Einstellungen!$B$5+INT((ROW()-9)/24)</f>
        <v>46225</v>
      </c>
      <c r="B6225" s="11" t="n">
        <f aca="false">MOD(ROW()-9,24)</f>
        <v>0</v>
      </c>
      <c r="C6225" s="12"/>
      <c r="D6225" s="13" t="n">
        <f aca="false">IF(B6225&lt;5,Einstellungen!$B$3,Einstellungen!$B$4)</f>
        <v>15.92</v>
      </c>
      <c r="E6225" s="14" t="str">
        <f aca="false">IF(C6225="","",C6225*D6225/100)</f>
        <v/>
      </c>
      <c r="F6225" s="15" t="str">
        <f aca="false">IF(B6225&lt;5,"Go","Standard")</f>
        <v>Go</v>
      </c>
    </row>
    <row r="6226" customFormat="false" ht="15" hidden="false" customHeight="true" outlineLevel="0" collapsed="false">
      <c r="A6226" s="10" t="n">
        <f aca="false">Einstellungen!$B$5+INT((ROW()-9)/24)</f>
        <v>46225</v>
      </c>
      <c r="B6226" s="11" t="n">
        <f aca="false">MOD(ROW()-9,24)</f>
        <v>1</v>
      </c>
      <c r="C6226" s="12"/>
      <c r="D6226" s="13" t="n">
        <f aca="false">IF(B6226&lt;5,Einstellungen!$B$3,Einstellungen!$B$4)</f>
        <v>15.92</v>
      </c>
      <c r="E6226" s="14" t="str">
        <f aca="false">IF(C6226="","",C6226*D6226/100)</f>
        <v/>
      </c>
      <c r="F6226" s="15" t="str">
        <f aca="false">IF(B6226&lt;5,"Go","Standard")</f>
        <v>Go</v>
      </c>
    </row>
    <row r="6227" customFormat="false" ht="15" hidden="false" customHeight="true" outlineLevel="0" collapsed="false">
      <c r="A6227" s="10" t="n">
        <f aca="false">Einstellungen!$B$5+INT((ROW()-9)/24)</f>
        <v>46225</v>
      </c>
      <c r="B6227" s="11" t="n">
        <f aca="false">MOD(ROW()-9,24)</f>
        <v>2</v>
      </c>
      <c r="C6227" s="12"/>
      <c r="D6227" s="13" t="n">
        <f aca="false">IF(B6227&lt;5,Einstellungen!$B$3,Einstellungen!$B$4)</f>
        <v>15.92</v>
      </c>
      <c r="E6227" s="14" t="str">
        <f aca="false">IF(C6227="","",C6227*D6227/100)</f>
        <v/>
      </c>
      <c r="F6227" s="15" t="str">
        <f aca="false">IF(B6227&lt;5,"Go","Standard")</f>
        <v>Go</v>
      </c>
    </row>
    <row r="6228" customFormat="false" ht="15" hidden="false" customHeight="true" outlineLevel="0" collapsed="false">
      <c r="A6228" s="10" t="n">
        <f aca="false">Einstellungen!$B$5+INT((ROW()-9)/24)</f>
        <v>46225</v>
      </c>
      <c r="B6228" s="11" t="n">
        <f aca="false">MOD(ROW()-9,24)</f>
        <v>3</v>
      </c>
      <c r="C6228" s="12"/>
      <c r="D6228" s="13" t="n">
        <f aca="false">IF(B6228&lt;5,Einstellungen!$B$3,Einstellungen!$B$4)</f>
        <v>15.92</v>
      </c>
      <c r="E6228" s="14" t="str">
        <f aca="false">IF(C6228="","",C6228*D6228/100)</f>
        <v/>
      </c>
      <c r="F6228" s="15" t="str">
        <f aca="false">IF(B6228&lt;5,"Go","Standard")</f>
        <v>Go</v>
      </c>
    </row>
    <row r="6229" customFormat="false" ht="15" hidden="false" customHeight="true" outlineLevel="0" collapsed="false">
      <c r="A6229" s="10" t="n">
        <f aca="false">Einstellungen!$B$5+INT((ROW()-9)/24)</f>
        <v>46225</v>
      </c>
      <c r="B6229" s="11" t="n">
        <f aca="false">MOD(ROW()-9,24)</f>
        <v>4</v>
      </c>
      <c r="C6229" s="12"/>
      <c r="D6229" s="13" t="n">
        <f aca="false">IF(B6229&lt;5,Einstellungen!$B$3,Einstellungen!$B$4)</f>
        <v>15.92</v>
      </c>
      <c r="E6229" s="14" t="str">
        <f aca="false">IF(C6229="","",C6229*D6229/100)</f>
        <v/>
      </c>
      <c r="F6229" s="15" t="str">
        <f aca="false">IF(B6229&lt;5,"Go","Standard")</f>
        <v>Go</v>
      </c>
    </row>
    <row r="6230" customFormat="false" ht="15" hidden="false" customHeight="true" outlineLevel="0" collapsed="false">
      <c r="A6230" s="10" t="n">
        <f aca="false">Einstellungen!$B$5+INT((ROW()-9)/24)</f>
        <v>46225</v>
      </c>
      <c r="B6230" s="11" t="n">
        <f aca="false">MOD(ROW()-9,24)</f>
        <v>5</v>
      </c>
      <c r="C6230" s="12"/>
      <c r="D6230" s="13" t="n">
        <f aca="false">IF(B6230&lt;5,Einstellungen!$B$3,Einstellungen!$B$4)</f>
        <v>29.13</v>
      </c>
      <c r="E6230" s="14" t="str">
        <f aca="false">IF(C6230="","",C6230*D6230/100)</f>
        <v/>
      </c>
      <c r="F6230" s="15" t="str">
        <f aca="false">IF(B6230&lt;5,"Go","Standard")</f>
        <v>Standard</v>
      </c>
    </row>
    <row r="6231" customFormat="false" ht="15" hidden="false" customHeight="true" outlineLevel="0" collapsed="false">
      <c r="A6231" s="10" t="n">
        <f aca="false">Einstellungen!$B$5+INT((ROW()-9)/24)</f>
        <v>46225</v>
      </c>
      <c r="B6231" s="11" t="n">
        <f aca="false">MOD(ROW()-9,24)</f>
        <v>6</v>
      </c>
      <c r="C6231" s="12"/>
      <c r="D6231" s="13" t="n">
        <f aca="false">IF(B6231&lt;5,Einstellungen!$B$3,Einstellungen!$B$4)</f>
        <v>29.13</v>
      </c>
      <c r="E6231" s="14" t="str">
        <f aca="false">IF(C6231="","",C6231*D6231/100)</f>
        <v/>
      </c>
      <c r="F6231" s="15" t="str">
        <f aca="false">IF(B6231&lt;5,"Go","Standard")</f>
        <v>Standard</v>
      </c>
    </row>
    <row r="6232" customFormat="false" ht="15" hidden="false" customHeight="true" outlineLevel="0" collapsed="false">
      <c r="A6232" s="10" t="n">
        <f aca="false">Einstellungen!$B$5+INT((ROW()-9)/24)</f>
        <v>46225</v>
      </c>
      <c r="B6232" s="11" t="n">
        <f aca="false">MOD(ROW()-9,24)</f>
        <v>7</v>
      </c>
      <c r="C6232" s="12"/>
      <c r="D6232" s="13" t="n">
        <f aca="false">IF(B6232&lt;5,Einstellungen!$B$3,Einstellungen!$B$4)</f>
        <v>29.13</v>
      </c>
      <c r="E6232" s="14" t="str">
        <f aca="false">IF(C6232="","",C6232*D6232/100)</f>
        <v/>
      </c>
      <c r="F6232" s="15" t="str">
        <f aca="false">IF(B6232&lt;5,"Go","Standard")</f>
        <v>Standard</v>
      </c>
    </row>
    <row r="6233" customFormat="false" ht="15" hidden="false" customHeight="true" outlineLevel="0" collapsed="false">
      <c r="A6233" s="10" t="n">
        <f aca="false">Einstellungen!$B$5+INT((ROW()-9)/24)</f>
        <v>46225</v>
      </c>
      <c r="B6233" s="11" t="n">
        <f aca="false">MOD(ROW()-9,24)</f>
        <v>8</v>
      </c>
      <c r="C6233" s="12"/>
      <c r="D6233" s="13" t="n">
        <f aca="false">IF(B6233&lt;5,Einstellungen!$B$3,Einstellungen!$B$4)</f>
        <v>29.13</v>
      </c>
      <c r="E6233" s="14" t="str">
        <f aca="false">IF(C6233="","",C6233*D6233/100)</f>
        <v/>
      </c>
      <c r="F6233" s="15" t="str">
        <f aca="false">IF(B6233&lt;5,"Go","Standard")</f>
        <v>Standard</v>
      </c>
    </row>
    <row r="6234" customFormat="false" ht="15" hidden="false" customHeight="true" outlineLevel="0" collapsed="false">
      <c r="A6234" s="10" t="n">
        <f aca="false">Einstellungen!$B$5+INT((ROW()-9)/24)</f>
        <v>46225</v>
      </c>
      <c r="B6234" s="11" t="n">
        <f aca="false">MOD(ROW()-9,24)</f>
        <v>9</v>
      </c>
      <c r="C6234" s="12"/>
      <c r="D6234" s="13" t="n">
        <f aca="false">IF(B6234&lt;5,Einstellungen!$B$3,Einstellungen!$B$4)</f>
        <v>29.13</v>
      </c>
      <c r="E6234" s="14" t="str">
        <f aca="false">IF(C6234="","",C6234*D6234/100)</f>
        <v/>
      </c>
      <c r="F6234" s="15" t="str">
        <f aca="false">IF(B6234&lt;5,"Go","Standard")</f>
        <v>Standard</v>
      </c>
    </row>
    <row r="6235" customFormat="false" ht="15" hidden="false" customHeight="true" outlineLevel="0" collapsed="false">
      <c r="A6235" s="10" t="n">
        <f aca="false">Einstellungen!$B$5+INT((ROW()-9)/24)</f>
        <v>46225</v>
      </c>
      <c r="B6235" s="11" t="n">
        <f aca="false">MOD(ROW()-9,24)</f>
        <v>10</v>
      </c>
      <c r="C6235" s="12"/>
      <c r="D6235" s="13" t="n">
        <f aca="false">IF(B6235&lt;5,Einstellungen!$B$3,Einstellungen!$B$4)</f>
        <v>29.13</v>
      </c>
      <c r="E6235" s="14" t="str">
        <f aca="false">IF(C6235="","",C6235*D6235/100)</f>
        <v/>
      </c>
      <c r="F6235" s="15" t="str">
        <f aca="false">IF(B6235&lt;5,"Go","Standard")</f>
        <v>Standard</v>
      </c>
    </row>
    <row r="6236" customFormat="false" ht="15" hidden="false" customHeight="true" outlineLevel="0" collapsed="false">
      <c r="A6236" s="10" t="n">
        <f aca="false">Einstellungen!$B$5+INT((ROW()-9)/24)</f>
        <v>46225</v>
      </c>
      <c r="B6236" s="11" t="n">
        <f aca="false">MOD(ROW()-9,24)</f>
        <v>11</v>
      </c>
      <c r="C6236" s="12"/>
      <c r="D6236" s="13" t="n">
        <f aca="false">IF(B6236&lt;5,Einstellungen!$B$3,Einstellungen!$B$4)</f>
        <v>29.13</v>
      </c>
      <c r="E6236" s="14" t="str">
        <f aca="false">IF(C6236="","",C6236*D6236/100)</f>
        <v/>
      </c>
      <c r="F6236" s="15" t="str">
        <f aca="false">IF(B6236&lt;5,"Go","Standard")</f>
        <v>Standard</v>
      </c>
    </row>
    <row r="6237" customFormat="false" ht="15" hidden="false" customHeight="true" outlineLevel="0" collapsed="false">
      <c r="A6237" s="10" t="n">
        <f aca="false">Einstellungen!$B$5+INT((ROW()-9)/24)</f>
        <v>46225</v>
      </c>
      <c r="B6237" s="11" t="n">
        <f aca="false">MOD(ROW()-9,24)</f>
        <v>12</v>
      </c>
      <c r="C6237" s="12"/>
      <c r="D6237" s="13" t="n">
        <f aca="false">IF(B6237&lt;5,Einstellungen!$B$3,Einstellungen!$B$4)</f>
        <v>29.13</v>
      </c>
      <c r="E6237" s="14" t="str">
        <f aca="false">IF(C6237="","",C6237*D6237/100)</f>
        <v/>
      </c>
      <c r="F6237" s="15" t="str">
        <f aca="false">IF(B6237&lt;5,"Go","Standard")</f>
        <v>Standard</v>
      </c>
    </row>
    <row r="6238" customFormat="false" ht="15" hidden="false" customHeight="true" outlineLevel="0" collapsed="false">
      <c r="A6238" s="10" t="n">
        <f aca="false">Einstellungen!$B$5+INT((ROW()-9)/24)</f>
        <v>46225</v>
      </c>
      <c r="B6238" s="11" t="n">
        <f aca="false">MOD(ROW()-9,24)</f>
        <v>13</v>
      </c>
      <c r="C6238" s="12"/>
      <c r="D6238" s="13" t="n">
        <f aca="false">IF(B6238&lt;5,Einstellungen!$B$3,Einstellungen!$B$4)</f>
        <v>29.13</v>
      </c>
      <c r="E6238" s="14" t="str">
        <f aca="false">IF(C6238="","",C6238*D6238/100)</f>
        <v/>
      </c>
      <c r="F6238" s="15" t="str">
        <f aca="false">IF(B6238&lt;5,"Go","Standard")</f>
        <v>Standard</v>
      </c>
    </row>
    <row r="6239" customFormat="false" ht="15" hidden="false" customHeight="true" outlineLevel="0" collapsed="false">
      <c r="A6239" s="10" t="n">
        <f aca="false">Einstellungen!$B$5+INT((ROW()-9)/24)</f>
        <v>46225</v>
      </c>
      <c r="B6239" s="11" t="n">
        <f aca="false">MOD(ROW()-9,24)</f>
        <v>14</v>
      </c>
      <c r="C6239" s="12"/>
      <c r="D6239" s="13" t="n">
        <f aca="false">IF(B6239&lt;5,Einstellungen!$B$3,Einstellungen!$B$4)</f>
        <v>29.13</v>
      </c>
      <c r="E6239" s="14" t="str">
        <f aca="false">IF(C6239="","",C6239*D6239/100)</f>
        <v/>
      </c>
      <c r="F6239" s="15" t="str">
        <f aca="false">IF(B6239&lt;5,"Go","Standard")</f>
        <v>Standard</v>
      </c>
    </row>
    <row r="6240" customFormat="false" ht="15" hidden="false" customHeight="true" outlineLevel="0" collapsed="false">
      <c r="A6240" s="10" t="n">
        <f aca="false">Einstellungen!$B$5+INT((ROW()-9)/24)</f>
        <v>46225</v>
      </c>
      <c r="B6240" s="11" t="n">
        <f aca="false">MOD(ROW()-9,24)</f>
        <v>15</v>
      </c>
      <c r="C6240" s="12"/>
      <c r="D6240" s="13" t="n">
        <f aca="false">IF(B6240&lt;5,Einstellungen!$B$3,Einstellungen!$B$4)</f>
        <v>29.13</v>
      </c>
      <c r="E6240" s="14" t="str">
        <f aca="false">IF(C6240="","",C6240*D6240/100)</f>
        <v/>
      </c>
      <c r="F6240" s="15" t="str">
        <f aca="false">IF(B6240&lt;5,"Go","Standard")</f>
        <v>Standard</v>
      </c>
    </row>
    <row r="6241" customFormat="false" ht="15" hidden="false" customHeight="true" outlineLevel="0" collapsed="false">
      <c r="A6241" s="10" t="n">
        <f aca="false">Einstellungen!$B$5+INT((ROW()-9)/24)</f>
        <v>46225</v>
      </c>
      <c r="B6241" s="11" t="n">
        <f aca="false">MOD(ROW()-9,24)</f>
        <v>16</v>
      </c>
      <c r="C6241" s="12"/>
      <c r="D6241" s="13" t="n">
        <f aca="false">IF(B6241&lt;5,Einstellungen!$B$3,Einstellungen!$B$4)</f>
        <v>29.13</v>
      </c>
      <c r="E6241" s="14" t="str">
        <f aca="false">IF(C6241="","",C6241*D6241/100)</f>
        <v/>
      </c>
      <c r="F6241" s="15" t="str">
        <f aca="false">IF(B6241&lt;5,"Go","Standard")</f>
        <v>Standard</v>
      </c>
    </row>
    <row r="6242" customFormat="false" ht="15" hidden="false" customHeight="true" outlineLevel="0" collapsed="false">
      <c r="A6242" s="10" t="n">
        <f aca="false">Einstellungen!$B$5+INT((ROW()-9)/24)</f>
        <v>46225</v>
      </c>
      <c r="B6242" s="11" t="n">
        <f aca="false">MOD(ROW()-9,24)</f>
        <v>17</v>
      </c>
      <c r="C6242" s="12"/>
      <c r="D6242" s="13" t="n">
        <f aca="false">IF(B6242&lt;5,Einstellungen!$B$3,Einstellungen!$B$4)</f>
        <v>29.13</v>
      </c>
      <c r="E6242" s="14" t="str">
        <f aca="false">IF(C6242="","",C6242*D6242/100)</f>
        <v/>
      </c>
      <c r="F6242" s="15" t="str">
        <f aca="false">IF(B6242&lt;5,"Go","Standard")</f>
        <v>Standard</v>
      </c>
    </row>
    <row r="6243" customFormat="false" ht="15" hidden="false" customHeight="true" outlineLevel="0" collapsed="false">
      <c r="A6243" s="10" t="n">
        <f aca="false">Einstellungen!$B$5+INT((ROW()-9)/24)</f>
        <v>46225</v>
      </c>
      <c r="B6243" s="11" t="n">
        <f aca="false">MOD(ROW()-9,24)</f>
        <v>18</v>
      </c>
      <c r="C6243" s="12"/>
      <c r="D6243" s="13" t="n">
        <f aca="false">IF(B6243&lt;5,Einstellungen!$B$3,Einstellungen!$B$4)</f>
        <v>29.13</v>
      </c>
      <c r="E6243" s="14" t="str">
        <f aca="false">IF(C6243="","",C6243*D6243/100)</f>
        <v/>
      </c>
      <c r="F6243" s="15" t="str">
        <f aca="false">IF(B6243&lt;5,"Go","Standard")</f>
        <v>Standard</v>
      </c>
    </row>
    <row r="6244" customFormat="false" ht="15" hidden="false" customHeight="true" outlineLevel="0" collapsed="false">
      <c r="A6244" s="10" t="n">
        <f aca="false">Einstellungen!$B$5+INT((ROW()-9)/24)</f>
        <v>46225</v>
      </c>
      <c r="B6244" s="11" t="n">
        <f aca="false">MOD(ROW()-9,24)</f>
        <v>19</v>
      </c>
      <c r="C6244" s="12"/>
      <c r="D6244" s="13" t="n">
        <f aca="false">IF(B6244&lt;5,Einstellungen!$B$3,Einstellungen!$B$4)</f>
        <v>29.13</v>
      </c>
      <c r="E6244" s="14" t="str">
        <f aca="false">IF(C6244="","",C6244*D6244/100)</f>
        <v/>
      </c>
      <c r="F6244" s="15" t="str">
        <f aca="false">IF(B6244&lt;5,"Go","Standard")</f>
        <v>Standard</v>
      </c>
    </row>
    <row r="6245" customFormat="false" ht="15" hidden="false" customHeight="true" outlineLevel="0" collapsed="false">
      <c r="A6245" s="10" t="n">
        <f aca="false">Einstellungen!$B$5+INT((ROW()-9)/24)</f>
        <v>46225</v>
      </c>
      <c r="B6245" s="11" t="n">
        <f aca="false">MOD(ROW()-9,24)</f>
        <v>20</v>
      </c>
      <c r="C6245" s="12"/>
      <c r="D6245" s="13" t="n">
        <f aca="false">IF(B6245&lt;5,Einstellungen!$B$3,Einstellungen!$B$4)</f>
        <v>29.13</v>
      </c>
      <c r="E6245" s="14" t="str">
        <f aca="false">IF(C6245="","",C6245*D6245/100)</f>
        <v/>
      </c>
      <c r="F6245" s="15" t="str">
        <f aca="false">IF(B6245&lt;5,"Go","Standard")</f>
        <v>Standard</v>
      </c>
    </row>
    <row r="6246" customFormat="false" ht="15" hidden="false" customHeight="true" outlineLevel="0" collapsed="false">
      <c r="A6246" s="10" t="n">
        <f aca="false">Einstellungen!$B$5+INT((ROW()-9)/24)</f>
        <v>46225</v>
      </c>
      <c r="B6246" s="11" t="n">
        <f aca="false">MOD(ROW()-9,24)</f>
        <v>21</v>
      </c>
      <c r="C6246" s="12"/>
      <c r="D6246" s="13" t="n">
        <f aca="false">IF(B6246&lt;5,Einstellungen!$B$3,Einstellungen!$B$4)</f>
        <v>29.13</v>
      </c>
      <c r="E6246" s="14" t="str">
        <f aca="false">IF(C6246="","",C6246*D6246/100)</f>
        <v/>
      </c>
      <c r="F6246" s="15" t="str">
        <f aca="false">IF(B6246&lt;5,"Go","Standard")</f>
        <v>Standard</v>
      </c>
    </row>
    <row r="6247" customFormat="false" ht="15" hidden="false" customHeight="true" outlineLevel="0" collapsed="false">
      <c r="A6247" s="10" t="n">
        <f aca="false">Einstellungen!$B$5+INT((ROW()-9)/24)</f>
        <v>46225</v>
      </c>
      <c r="B6247" s="11" t="n">
        <f aca="false">MOD(ROW()-9,24)</f>
        <v>22</v>
      </c>
      <c r="C6247" s="12"/>
      <c r="D6247" s="13" t="n">
        <f aca="false">IF(B6247&lt;5,Einstellungen!$B$3,Einstellungen!$B$4)</f>
        <v>29.13</v>
      </c>
      <c r="E6247" s="14" t="str">
        <f aca="false">IF(C6247="","",C6247*D6247/100)</f>
        <v/>
      </c>
      <c r="F6247" s="15" t="str">
        <f aca="false">IF(B6247&lt;5,"Go","Standard")</f>
        <v>Standard</v>
      </c>
    </row>
    <row r="6248" customFormat="false" ht="15" hidden="false" customHeight="true" outlineLevel="0" collapsed="false">
      <c r="A6248" s="10" t="n">
        <f aca="false">Einstellungen!$B$5+INT((ROW()-9)/24)</f>
        <v>46225</v>
      </c>
      <c r="B6248" s="11" t="n">
        <f aca="false">MOD(ROW()-9,24)</f>
        <v>23</v>
      </c>
      <c r="C6248" s="12"/>
      <c r="D6248" s="13" t="n">
        <f aca="false">IF(B6248&lt;5,Einstellungen!$B$3,Einstellungen!$B$4)</f>
        <v>29.13</v>
      </c>
      <c r="E6248" s="14" t="str">
        <f aca="false">IF(C6248="","",C6248*D6248/100)</f>
        <v/>
      </c>
      <c r="F6248" s="15" t="str">
        <f aca="false">IF(B6248&lt;5,"Go","Standard")</f>
        <v>Standard</v>
      </c>
    </row>
    <row r="6249" customFormat="false" ht="15" hidden="false" customHeight="true" outlineLevel="0" collapsed="false">
      <c r="A6249" s="10" t="n">
        <f aca="false">Einstellungen!$B$5+INT((ROW()-9)/24)</f>
        <v>46226</v>
      </c>
      <c r="B6249" s="11" t="n">
        <f aca="false">MOD(ROW()-9,24)</f>
        <v>0</v>
      </c>
      <c r="C6249" s="12"/>
      <c r="D6249" s="13" t="n">
        <f aca="false">IF(B6249&lt;5,Einstellungen!$B$3,Einstellungen!$B$4)</f>
        <v>15.92</v>
      </c>
      <c r="E6249" s="14" t="str">
        <f aca="false">IF(C6249="","",C6249*D6249/100)</f>
        <v/>
      </c>
      <c r="F6249" s="15" t="str">
        <f aca="false">IF(B6249&lt;5,"Go","Standard")</f>
        <v>Go</v>
      </c>
    </row>
    <row r="6250" customFormat="false" ht="15" hidden="false" customHeight="true" outlineLevel="0" collapsed="false">
      <c r="A6250" s="10" t="n">
        <f aca="false">Einstellungen!$B$5+INT((ROW()-9)/24)</f>
        <v>46226</v>
      </c>
      <c r="B6250" s="11" t="n">
        <f aca="false">MOD(ROW()-9,24)</f>
        <v>1</v>
      </c>
      <c r="C6250" s="12"/>
      <c r="D6250" s="13" t="n">
        <f aca="false">IF(B6250&lt;5,Einstellungen!$B$3,Einstellungen!$B$4)</f>
        <v>15.92</v>
      </c>
      <c r="E6250" s="14" t="str">
        <f aca="false">IF(C6250="","",C6250*D6250/100)</f>
        <v/>
      </c>
      <c r="F6250" s="15" t="str">
        <f aca="false">IF(B6250&lt;5,"Go","Standard")</f>
        <v>Go</v>
      </c>
    </row>
    <row r="6251" customFormat="false" ht="15" hidden="false" customHeight="true" outlineLevel="0" collapsed="false">
      <c r="A6251" s="10" t="n">
        <f aca="false">Einstellungen!$B$5+INT((ROW()-9)/24)</f>
        <v>46226</v>
      </c>
      <c r="B6251" s="11" t="n">
        <f aca="false">MOD(ROW()-9,24)</f>
        <v>2</v>
      </c>
      <c r="C6251" s="12"/>
      <c r="D6251" s="13" t="n">
        <f aca="false">IF(B6251&lt;5,Einstellungen!$B$3,Einstellungen!$B$4)</f>
        <v>15.92</v>
      </c>
      <c r="E6251" s="14" t="str">
        <f aca="false">IF(C6251="","",C6251*D6251/100)</f>
        <v/>
      </c>
      <c r="F6251" s="15" t="str">
        <f aca="false">IF(B6251&lt;5,"Go","Standard")</f>
        <v>Go</v>
      </c>
    </row>
    <row r="6252" customFormat="false" ht="15" hidden="false" customHeight="true" outlineLevel="0" collapsed="false">
      <c r="A6252" s="10" t="n">
        <f aca="false">Einstellungen!$B$5+INT((ROW()-9)/24)</f>
        <v>46226</v>
      </c>
      <c r="B6252" s="11" t="n">
        <f aca="false">MOD(ROW()-9,24)</f>
        <v>3</v>
      </c>
      <c r="C6252" s="12"/>
      <c r="D6252" s="13" t="n">
        <f aca="false">IF(B6252&lt;5,Einstellungen!$B$3,Einstellungen!$B$4)</f>
        <v>15.92</v>
      </c>
      <c r="E6252" s="14" t="str">
        <f aca="false">IF(C6252="","",C6252*D6252/100)</f>
        <v/>
      </c>
      <c r="F6252" s="15" t="str">
        <f aca="false">IF(B6252&lt;5,"Go","Standard")</f>
        <v>Go</v>
      </c>
    </row>
    <row r="6253" customFormat="false" ht="15" hidden="false" customHeight="true" outlineLevel="0" collapsed="false">
      <c r="A6253" s="10" t="n">
        <f aca="false">Einstellungen!$B$5+INT((ROW()-9)/24)</f>
        <v>46226</v>
      </c>
      <c r="B6253" s="11" t="n">
        <f aca="false">MOD(ROW()-9,24)</f>
        <v>4</v>
      </c>
      <c r="C6253" s="12"/>
      <c r="D6253" s="13" t="n">
        <f aca="false">IF(B6253&lt;5,Einstellungen!$B$3,Einstellungen!$B$4)</f>
        <v>15.92</v>
      </c>
      <c r="E6253" s="14" t="str">
        <f aca="false">IF(C6253="","",C6253*D6253/100)</f>
        <v/>
      </c>
      <c r="F6253" s="15" t="str">
        <f aca="false">IF(B6253&lt;5,"Go","Standard")</f>
        <v>Go</v>
      </c>
    </row>
    <row r="6254" customFormat="false" ht="15" hidden="false" customHeight="true" outlineLevel="0" collapsed="false">
      <c r="A6254" s="10" t="n">
        <f aca="false">Einstellungen!$B$5+INT((ROW()-9)/24)</f>
        <v>46226</v>
      </c>
      <c r="B6254" s="11" t="n">
        <f aca="false">MOD(ROW()-9,24)</f>
        <v>5</v>
      </c>
      <c r="C6254" s="12"/>
      <c r="D6254" s="13" t="n">
        <f aca="false">IF(B6254&lt;5,Einstellungen!$B$3,Einstellungen!$B$4)</f>
        <v>29.13</v>
      </c>
      <c r="E6254" s="14" t="str">
        <f aca="false">IF(C6254="","",C6254*D6254/100)</f>
        <v/>
      </c>
      <c r="F6254" s="15" t="str">
        <f aca="false">IF(B6254&lt;5,"Go","Standard")</f>
        <v>Standard</v>
      </c>
    </row>
    <row r="6255" customFormat="false" ht="15" hidden="false" customHeight="true" outlineLevel="0" collapsed="false">
      <c r="A6255" s="10" t="n">
        <f aca="false">Einstellungen!$B$5+INT((ROW()-9)/24)</f>
        <v>46226</v>
      </c>
      <c r="B6255" s="11" t="n">
        <f aca="false">MOD(ROW()-9,24)</f>
        <v>6</v>
      </c>
      <c r="C6255" s="12"/>
      <c r="D6255" s="13" t="n">
        <f aca="false">IF(B6255&lt;5,Einstellungen!$B$3,Einstellungen!$B$4)</f>
        <v>29.13</v>
      </c>
      <c r="E6255" s="14" t="str">
        <f aca="false">IF(C6255="","",C6255*D6255/100)</f>
        <v/>
      </c>
      <c r="F6255" s="15" t="str">
        <f aca="false">IF(B6255&lt;5,"Go","Standard")</f>
        <v>Standard</v>
      </c>
    </row>
    <row r="6256" customFormat="false" ht="15" hidden="false" customHeight="true" outlineLevel="0" collapsed="false">
      <c r="A6256" s="10" t="n">
        <f aca="false">Einstellungen!$B$5+INT((ROW()-9)/24)</f>
        <v>46226</v>
      </c>
      <c r="B6256" s="11" t="n">
        <f aca="false">MOD(ROW()-9,24)</f>
        <v>7</v>
      </c>
      <c r="C6256" s="12"/>
      <c r="D6256" s="13" t="n">
        <f aca="false">IF(B6256&lt;5,Einstellungen!$B$3,Einstellungen!$B$4)</f>
        <v>29.13</v>
      </c>
      <c r="E6256" s="14" t="str">
        <f aca="false">IF(C6256="","",C6256*D6256/100)</f>
        <v/>
      </c>
      <c r="F6256" s="15" t="str">
        <f aca="false">IF(B6256&lt;5,"Go","Standard")</f>
        <v>Standard</v>
      </c>
    </row>
    <row r="6257" customFormat="false" ht="15" hidden="false" customHeight="true" outlineLevel="0" collapsed="false">
      <c r="A6257" s="10" t="n">
        <f aca="false">Einstellungen!$B$5+INT((ROW()-9)/24)</f>
        <v>46226</v>
      </c>
      <c r="B6257" s="11" t="n">
        <f aca="false">MOD(ROW()-9,24)</f>
        <v>8</v>
      </c>
      <c r="C6257" s="12"/>
      <c r="D6257" s="13" t="n">
        <f aca="false">IF(B6257&lt;5,Einstellungen!$B$3,Einstellungen!$B$4)</f>
        <v>29.13</v>
      </c>
      <c r="E6257" s="14" t="str">
        <f aca="false">IF(C6257="","",C6257*D6257/100)</f>
        <v/>
      </c>
      <c r="F6257" s="15" t="str">
        <f aca="false">IF(B6257&lt;5,"Go","Standard")</f>
        <v>Standard</v>
      </c>
    </row>
    <row r="6258" customFormat="false" ht="15" hidden="false" customHeight="true" outlineLevel="0" collapsed="false">
      <c r="A6258" s="10" t="n">
        <f aca="false">Einstellungen!$B$5+INT((ROW()-9)/24)</f>
        <v>46226</v>
      </c>
      <c r="B6258" s="11" t="n">
        <f aca="false">MOD(ROW()-9,24)</f>
        <v>9</v>
      </c>
      <c r="C6258" s="12"/>
      <c r="D6258" s="13" t="n">
        <f aca="false">IF(B6258&lt;5,Einstellungen!$B$3,Einstellungen!$B$4)</f>
        <v>29.13</v>
      </c>
      <c r="E6258" s="14" t="str">
        <f aca="false">IF(C6258="","",C6258*D6258/100)</f>
        <v/>
      </c>
      <c r="F6258" s="15" t="str">
        <f aca="false">IF(B6258&lt;5,"Go","Standard")</f>
        <v>Standard</v>
      </c>
    </row>
    <row r="6259" customFormat="false" ht="15" hidden="false" customHeight="true" outlineLevel="0" collapsed="false">
      <c r="A6259" s="10" t="n">
        <f aca="false">Einstellungen!$B$5+INT((ROW()-9)/24)</f>
        <v>46226</v>
      </c>
      <c r="B6259" s="11" t="n">
        <f aca="false">MOD(ROW()-9,24)</f>
        <v>10</v>
      </c>
      <c r="C6259" s="12"/>
      <c r="D6259" s="13" t="n">
        <f aca="false">IF(B6259&lt;5,Einstellungen!$B$3,Einstellungen!$B$4)</f>
        <v>29.13</v>
      </c>
      <c r="E6259" s="14" t="str">
        <f aca="false">IF(C6259="","",C6259*D6259/100)</f>
        <v/>
      </c>
      <c r="F6259" s="15" t="str">
        <f aca="false">IF(B6259&lt;5,"Go","Standard")</f>
        <v>Standard</v>
      </c>
    </row>
    <row r="6260" customFormat="false" ht="15" hidden="false" customHeight="true" outlineLevel="0" collapsed="false">
      <c r="A6260" s="10" t="n">
        <f aca="false">Einstellungen!$B$5+INT((ROW()-9)/24)</f>
        <v>46226</v>
      </c>
      <c r="B6260" s="11" t="n">
        <f aca="false">MOD(ROW()-9,24)</f>
        <v>11</v>
      </c>
      <c r="C6260" s="12"/>
      <c r="D6260" s="13" t="n">
        <f aca="false">IF(B6260&lt;5,Einstellungen!$B$3,Einstellungen!$B$4)</f>
        <v>29.13</v>
      </c>
      <c r="E6260" s="14" t="str">
        <f aca="false">IF(C6260="","",C6260*D6260/100)</f>
        <v/>
      </c>
      <c r="F6260" s="15" t="str">
        <f aca="false">IF(B6260&lt;5,"Go","Standard")</f>
        <v>Standard</v>
      </c>
    </row>
    <row r="6261" customFormat="false" ht="15" hidden="false" customHeight="true" outlineLevel="0" collapsed="false">
      <c r="A6261" s="10" t="n">
        <f aca="false">Einstellungen!$B$5+INT((ROW()-9)/24)</f>
        <v>46226</v>
      </c>
      <c r="B6261" s="11" t="n">
        <f aca="false">MOD(ROW()-9,24)</f>
        <v>12</v>
      </c>
      <c r="C6261" s="12"/>
      <c r="D6261" s="13" t="n">
        <f aca="false">IF(B6261&lt;5,Einstellungen!$B$3,Einstellungen!$B$4)</f>
        <v>29.13</v>
      </c>
      <c r="E6261" s="14" t="str">
        <f aca="false">IF(C6261="","",C6261*D6261/100)</f>
        <v/>
      </c>
      <c r="F6261" s="15" t="str">
        <f aca="false">IF(B6261&lt;5,"Go","Standard")</f>
        <v>Standard</v>
      </c>
    </row>
    <row r="6262" customFormat="false" ht="15" hidden="false" customHeight="true" outlineLevel="0" collapsed="false">
      <c r="A6262" s="10" t="n">
        <f aca="false">Einstellungen!$B$5+INT((ROW()-9)/24)</f>
        <v>46226</v>
      </c>
      <c r="B6262" s="11" t="n">
        <f aca="false">MOD(ROW()-9,24)</f>
        <v>13</v>
      </c>
      <c r="C6262" s="12"/>
      <c r="D6262" s="13" t="n">
        <f aca="false">IF(B6262&lt;5,Einstellungen!$B$3,Einstellungen!$B$4)</f>
        <v>29.13</v>
      </c>
      <c r="E6262" s="14" t="str">
        <f aca="false">IF(C6262="","",C6262*D6262/100)</f>
        <v/>
      </c>
      <c r="F6262" s="15" t="str">
        <f aca="false">IF(B6262&lt;5,"Go","Standard")</f>
        <v>Standard</v>
      </c>
    </row>
    <row r="6263" customFormat="false" ht="15" hidden="false" customHeight="true" outlineLevel="0" collapsed="false">
      <c r="A6263" s="10" t="n">
        <f aca="false">Einstellungen!$B$5+INT((ROW()-9)/24)</f>
        <v>46226</v>
      </c>
      <c r="B6263" s="11" t="n">
        <f aca="false">MOD(ROW()-9,24)</f>
        <v>14</v>
      </c>
      <c r="C6263" s="12"/>
      <c r="D6263" s="13" t="n">
        <f aca="false">IF(B6263&lt;5,Einstellungen!$B$3,Einstellungen!$B$4)</f>
        <v>29.13</v>
      </c>
      <c r="E6263" s="14" t="str">
        <f aca="false">IF(C6263="","",C6263*D6263/100)</f>
        <v/>
      </c>
      <c r="F6263" s="15" t="str">
        <f aca="false">IF(B6263&lt;5,"Go","Standard")</f>
        <v>Standard</v>
      </c>
    </row>
    <row r="6264" customFormat="false" ht="15" hidden="false" customHeight="true" outlineLevel="0" collapsed="false">
      <c r="A6264" s="10" t="n">
        <f aca="false">Einstellungen!$B$5+INT((ROW()-9)/24)</f>
        <v>46226</v>
      </c>
      <c r="B6264" s="11" t="n">
        <f aca="false">MOD(ROW()-9,24)</f>
        <v>15</v>
      </c>
      <c r="C6264" s="12"/>
      <c r="D6264" s="13" t="n">
        <f aca="false">IF(B6264&lt;5,Einstellungen!$B$3,Einstellungen!$B$4)</f>
        <v>29.13</v>
      </c>
      <c r="E6264" s="14" t="str">
        <f aca="false">IF(C6264="","",C6264*D6264/100)</f>
        <v/>
      </c>
      <c r="F6264" s="15" t="str">
        <f aca="false">IF(B6264&lt;5,"Go","Standard")</f>
        <v>Standard</v>
      </c>
    </row>
    <row r="6265" customFormat="false" ht="15" hidden="false" customHeight="true" outlineLevel="0" collapsed="false">
      <c r="A6265" s="10" t="n">
        <f aca="false">Einstellungen!$B$5+INT((ROW()-9)/24)</f>
        <v>46226</v>
      </c>
      <c r="B6265" s="11" t="n">
        <f aca="false">MOD(ROW()-9,24)</f>
        <v>16</v>
      </c>
      <c r="C6265" s="12"/>
      <c r="D6265" s="13" t="n">
        <f aca="false">IF(B6265&lt;5,Einstellungen!$B$3,Einstellungen!$B$4)</f>
        <v>29.13</v>
      </c>
      <c r="E6265" s="14" t="str">
        <f aca="false">IF(C6265="","",C6265*D6265/100)</f>
        <v/>
      </c>
      <c r="F6265" s="15" t="str">
        <f aca="false">IF(B6265&lt;5,"Go","Standard")</f>
        <v>Standard</v>
      </c>
    </row>
    <row r="6266" customFormat="false" ht="15" hidden="false" customHeight="true" outlineLevel="0" collapsed="false">
      <c r="A6266" s="10" t="n">
        <f aca="false">Einstellungen!$B$5+INT((ROW()-9)/24)</f>
        <v>46226</v>
      </c>
      <c r="B6266" s="11" t="n">
        <f aca="false">MOD(ROW()-9,24)</f>
        <v>17</v>
      </c>
      <c r="C6266" s="12"/>
      <c r="D6266" s="13" t="n">
        <f aca="false">IF(B6266&lt;5,Einstellungen!$B$3,Einstellungen!$B$4)</f>
        <v>29.13</v>
      </c>
      <c r="E6266" s="14" t="str">
        <f aca="false">IF(C6266="","",C6266*D6266/100)</f>
        <v/>
      </c>
      <c r="F6266" s="15" t="str">
        <f aca="false">IF(B6266&lt;5,"Go","Standard")</f>
        <v>Standard</v>
      </c>
    </row>
    <row r="6267" customFormat="false" ht="15" hidden="false" customHeight="true" outlineLevel="0" collapsed="false">
      <c r="A6267" s="10" t="n">
        <f aca="false">Einstellungen!$B$5+INT((ROW()-9)/24)</f>
        <v>46226</v>
      </c>
      <c r="B6267" s="11" t="n">
        <f aca="false">MOD(ROW()-9,24)</f>
        <v>18</v>
      </c>
      <c r="C6267" s="12"/>
      <c r="D6267" s="13" t="n">
        <f aca="false">IF(B6267&lt;5,Einstellungen!$B$3,Einstellungen!$B$4)</f>
        <v>29.13</v>
      </c>
      <c r="E6267" s="14" t="str">
        <f aca="false">IF(C6267="","",C6267*D6267/100)</f>
        <v/>
      </c>
      <c r="F6267" s="15" t="str">
        <f aca="false">IF(B6267&lt;5,"Go","Standard")</f>
        <v>Standard</v>
      </c>
    </row>
    <row r="6268" customFormat="false" ht="15" hidden="false" customHeight="true" outlineLevel="0" collapsed="false">
      <c r="A6268" s="10" t="n">
        <f aca="false">Einstellungen!$B$5+INT((ROW()-9)/24)</f>
        <v>46226</v>
      </c>
      <c r="B6268" s="11" t="n">
        <f aca="false">MOD(ROW()-9,24)</f>
        <v>19</v>
      </c>
      <c r="C6268" s="12"/>
      <c r="D6268" s="13" t="n">
        <f aca="false">IF(B6268&lt;5,Einstellungen!$B$3,Einstellungen!$B$4)</f>
        <v>29.13</v>
      </c>
      <c r="E6268" s="14" t="str">
        <f aca="false">IF(C6268="","",C6268*D6268/100)</f>
        <v/>
      </c>
      <c r="F6268" s="15" t="str">
        <f aca="false">IF(B6268&lt;5,"Go","Standard")</f>
        <v>Standard</v>
      </c>
    </row>
    <row r="6269" customFormat="false" ht="15" hidden="false" customHeight="true" outlineLevel="0" collapsed="false">
      <c r="A6269" s="10" t="n">
        <f aca="false">Einstellungen!$B$5+INT((ROW()-9)/24)</f>
        <v>46226</v>
      </c>
      <c r="B6269" s="11" t="n">
        <f aca="false">MOD(ROW()-9,24)</f>
        <v>20</v>
      </c>
      <c r="C6269" s="12"/>
      <c r="D6269" s="13" t="n">
        <f aca="false">IF(B6269&lt;5,Einstellungen!$B$3,Einstellungen!$B$4)</f>
        <v>29.13</v>
      </c>
      <c r="E6269" s="14" t="str">
        <f aca="false">IF(C6269="","",C6269*D6269/100)</f>
        <v/>
      </c>
      <c r="F6269" s="15" t="str">
        <f aca="false">IF(B6269&lt;5,"Go","Standard")</f>
        <v>Standard</v>
      </c>
    </row>
    <row r="6270" customFormat="false" ht="15" hidden="false" customHeight="true" outlineLevel="0" collapsed="false">
      <c r="A6270" s="10" t="n">
        <f aca="false">Einstellungen!$B$5+INT((ROW()-9)/24)</f>
        <v>46226</v>
      </c>
      <c r="B6270" s="11" t="n">
        <f aca="false">MOD(ROW()-9,24)</f>
        <v>21</v>
      </c>
      <c r="C6270" s="12"/>
      <c r="D6270" s="13" t="n">
        <f aca="false">IF(B6270&lt;5,Einstellungen!$B$3,Einstellungen!$B$4)</f>
        <v>29.13</v>
      </c>
      <c r="E6270" s="14" t="str">
        <f aca="false">IF(C6270="","",C6270*D6270/100)</f>
        <v/>
      </c>
      <c r="F6270" s="15" t="str">
        <f aca="false">IF(B6270&lt;5,"Go","Standard")</f>
        <v>Standard</v>
      </c>
    </row>
    <row r="6271" customFormat="false" ht="15" hidden="false" customHeight="true" outlineLevel="0" collapsed="false">
      <c r="A6271" s="10" t="n">
        <f aca="false">Einstellungen!$B$5+INT((ROW()-9)/24)</f>
        <v>46226</v>
      </c>
      <c r="B6271" s="11" t="n">
        <f aca="false">MOD(ROW()-9,24)</f>
        <v>22</v>
      </c>
      <c r="C6271" s="12"/>
      <c r="D6271" s="13" t="n">
        <f aca="false">IF(B6271&lt;5,Einstellungen!$B$3,Einstellungen!$B$4)</f>
        <v>29.13</v>
      </c>
      <c r="E6271" s="14" t="str">
        <f aca="false">IF(C6271="","",C6271*D6271/100)</f>
        <v/>
      </c>
      <c r="F6271" s="15" t="str">
        <f aca="false">IF(B6271&lt;5,"Go","Standard")</f>
        <v>Standard</v>
      </c>
    </row>
    <row r="6272" customFormat="false" ht="15" hidden="false" customHeight="true" outlineLevel="0" collapsed="false">
      <c r="A6272" s="10" t="n">
        <f aca="false">Einstellungen!$B$5+INT((ROW()-9)/24)</f>
        <v>46226</v>
      </c>
      <c r="B6272" s="11" t="n">
        <f aca="false">MOD(ROW()-9,24)</f>
        <v>23</v>
      </c>
      <c r="C6272" s="12"/>
      <c r="D6272" s="13" t="n">
        <f aca="false">IF(B6272&lt;5,Einstellungen!$B$3,Einstellungen!$B$4)</f>
        <v>29.13</v>
      </c>
      <c r="E6272" s="14" t="str">
        <f aca="false">IF(C6272="","",C6272*D6272/100)</f>
        <v/>
      </c>
      <c r="F6272" s="15" t="str">
        <f aca="false">IF(B6272&lt;5,"Go","Standard")</f>
        <v>Standard</v>
      </c>
    </row>
    <row r="6273" customFormat="false" ht="15" hidden="false" customHeight="true" outlineLevel="0" collapsed="false">
      <c r="A6273" s="10" t="n">
        <f aca="false">Einstellungen!$B$5+INT((ROW()-9)/24)</f>
        <v>46227</v>
      </c>
      <c r="B6273" s="11" t="n">
        <f aca="false">MOD(ROW()-9,24)</f>
        <v>0</v>
      </c>
      <c r="C6273" s="12"/>
      <c r="D6273" s="13" t="n">
        <f aca="false">IF(B6273&lt;5,Einstellungen!$B$3,Einstellungen!$B$4)</f>
        <v>15.92</v>
      </c>
      <c r="E6273" s="14" t="str">
        <f aca="false">IF(C6273="","",C6273*D6273/100)</f>
        <v/>
      </c>
      <c r="F6273" s="15" t="str">
        <f aca="false">IF(B6273&lt;5,"Go","Standard")</f>
        <v>Go</v>
      </c>
    </row>
    <row r="6274" customFormat="false" ht="15" hidden="false" customHeight="true" outlineLevel="0" collapsed="false">
      <c r="A6274" s="10" t="n">
        <f aca="false">Einstellungen!$B$5+INT((ROW()-9)/24)</f>
        <v>46227</v>
      </c>
      <c r="B6274" s="11" t="n">
        <f aca="false">MOD(ROW()-9,24)</f>
        <v>1</v>
      </c>
      <c r="C6274" s="12"/>
      <c r="D6274" s="13" t="n">
        <f aca="false">IF(B6274&lt;5,Einstellungen!$B$3,Einstellungen!$B$4)</f>
        <v>15.92</v>
      </c>
      <c r="E6274" s="14" t="str">
        <f aca="false">IF(C6274="","",C6274*D6274/100)</f>
        <v/>
      </c>
      <c r="F6274" s="15" t="str">
        <f aca="false">IF(B6274&lt;5,"Go","Standard")</f>
        <v>Go</v>
      </c>
    </row>
    <row r="6275" customFormat="false" ht="15" hidden="false" customHeight="true" outlineLevel="0" collapsed="false">
      <c r="A6275" s="10" t="n">
        <f aca="false">Einstellungen!$B$5+INT((ROW()-9)/24)</f>
        <v>46227</v>
      </c>
      <c r="B6275" s="11" t="n">
        <f aca="false">MOD(ROW()-9,24)</f>
        <v>2</v>
      </c>
      <c r="C6275" s="12"/>
      <c r="D6275" s="13" t="n">
        <f aca="false">IF(B6275&lt;5,Einstellungen!$B$3,Einstellungen!$B$4)</f>
        <v>15.92</v>
      </c>
      <c r="E6275" s="14" t="str">
        <f aca="false">IF(C6275="","",C6275*D6275/100)</f>
        <v/>
      </c>
      <c r="F6275" s="15" t="str">
        <f aca="false">IF(B6275&lt;5,"Go","Standard")</f>
        <v>Go</v>
      </c>
    </row>
    <row r="6276" customFormat="false" ht="15" hidden="false" customHeight="true" outlineLevel="0" collapsed="false">
      <c r="A6276" s="10" t="n">
        <f aca="false">Einstellungen!$B$5+INT((ROW()-9)/24)</f>
        <v>46227</v>
      </c>
      <c r="B6276" s="11" t="n">
        <f aca="false">MOD(ROW()-9,24)</f>
        <v>3</v>
      </c>
      <c r="C6276" s="12"/>
      <c r="D6276" s="13" t="n">
        <f aca="false">IF(B6276&lt;5,Einstellungen!$B$3,Einstellungen!$B$4)</f>
        <v>15.92</v>
      </c>
      <c r="E6276" s="14" t="str">
        <f aca="false">IF(C6276="","",C6276*D6276/100)</f>
        <v/>
      </c>
      <c r="F6276" s="15" t="str">
        <f aca="false">IF(B6276&lt;5,"Go","Standard")</f>
        <v>Go</v>
      </c>
    </row>
    <row r="6277" customFormat="false" ht="15" hidden="false" customHeight="true" outlineLevel="0" collapsed="false">
      <c r="A6277" s="10" t="n">
        <f aca="false">Einstellungen!$B$5+INT((ROW()-9)/24)</f>
        <v>46227</v>
      </c>
      <c r="B6277" s="11" t="n">
        <f aca="false">MOD(ROW()-9,24)</f>
        <v>4</v>
      </c>
      <c r="C6277" s="12"/>
      <c r="D6277" s="13" t="n">
        <f aca="false">IF(B6277&lt;5,Einstellungen!$B$3,Einstellungen!$B$4)</f>
        <v>15.92</v>
      </c>
      <c r="E6277" s="14" t="str">
        <f aca="false">IF(C6277="","",C6277*D6277/100)</f>
        <v/>
      </c>
      <c r="F6277" s="15" t="str">
        <f aca="false">IF(B6277&lt;5,"Go","Standard")</f>
        <v>Go</v>
      </c>
    </row>
    <row r="6278" customFormat="false" ht="15" hidden="false" customHeight="true" outlineLevel="0" collapsed="false">
      <c r="A6278" s="10" t="n">
        <f aca="false">Einstellungen!$B$5+INT((ROW()-9)/24)</f>
        <v>46227</v>
      </c>
      <c r="B6278" s="11" t="n">
        <f aca="false">MOD(ROW()-9,24)</f>
        <v>5</v>
      </c>
      <c r="C6278" s="12"/>
      <c r="D6278" s="13" t="n">
        <f aca="false">IF(B6278&lt;5,Einstellungen!$B$3,Einstellungen!$B$4)</f>
        <v>29.13</v>
      </c>
      <c r="E6278" s="14" t="str">
        <f aca="false">IF(C6278="","",C6278*D6278/100)</f>
        <v/>
      </c>
      <c r="F6278" s="15" t="str">
        <f aca="false">IF(B6278&lt;5,"Go","Standard")</f>
        <v>Standard</v>
      </c>
    </row>
    <row r="6279" customFormat="false" ht="15" hidden="false" customHeight="true" outlineLevel="0" collapsed="false">
      <c r="A6279" s="10" t="n">
        <f aca="false">Einstellungen!$B$5+INT((ROW()-9)/24)</f>
        <v>46227</v>
      </c>
      <c r="B6279" s="11" t="n">
        <f aca="false">MOD(ROW()-9,24)</f>
        <v>6</v>
      </c>
      <c r="C6279" s="12"/>
      <c r="D6279" s="13" t="n">
        <f aca="false">IF(B6279&lt;5,Einstellungen!$B$3,Einstellungen!$B$4)</f>
        <v>29.13</v>
      </c>
      <c r="E6279" s="14" t="str">
        <f aca="false">IF(C6279="","",C6279*D6279/100)</f>
        <v/>
      </c>
      <c r="F6279" s="15" t="str">
        <f aca="false">IF(B6279&lt;5,"Go","Standard")</f>
        <v>Standard</v>
      </c>
    </row>
    <row r="6280" customFormat="false" ht="15" hidden="false" customHeight="true" outlineLevel="0" collapsed="false">
      <c r="A6280" s="10" t="n">
        <f aca="false">Einstellungen!$B$5+INT((ROW()-9)/24)</f>
        <v>46227</v>
      </c>
      <c r="B6280" s="11" t="n">
        <f aca="false">MOD(ROW()-9,24)</f>
        <v>7</v>
      </c>
      <c r="C6280" s="12"/>
      <c r="D6280" s="13" t="n">
        <f aca="false">IF(B6280&lt;5,Einstellungen!$B$3,Einstellungen!$B$4)</f>
        <v>29.13</v>
      </c>
      <c r="E6280" s="14" t="str">
        <f aca="false">IF(C6280="","",C6280*D6280/100)</f>
        <v/>
      </c>
      <c r="F6280" s="15" t="str">
        <f aca="false">IF(B6280&lt;5,"Go","Standard")</f>
        <v>Standard</v>
      </c>
    </row>
    <row r="6281" customFormat="false" ht="15" hidden="false" customHeight="true" outlineLevel="0" collapsed="false">
      <c r="A6281" s="10" t="n">
        <f aca="false">Einstellungen!$B$5+INT((ROW()-9)/24)</f>
        <v>46227</v>
      </c>
      <c r="B6281" s="11" t="n">
        <f aca="false">MOD(ROW()-9,24)</f>
        <v>8</v>
      </c>
      <c r="C6281" s="12"/>
      <c r="D6281" s="13" t="n">
        <f aca="false">IF(B6281&lt;5,Einstellungen!$B$3,Einstellungen!$B$4)</f>
        <v>29.13</v>
      </c>
      <c r="E6281" s="14" t="str">
        <f aca="false">IF(C6281="","",C6281*D6281/100)</f>
        <v/>
      </c>
      <c r="F6281" s="15" t="str">
        <f aca="false">IF(B6281&lt;5,"Go","Standard")</f>
        <v>Standard</v>
      </c>
    </row>
    <row r="6282" customFormat="false" ht="15" hidden="false" customHeight="true" outlineLevel="0" collapsed="false">
      <c r="A6282" s="10" t="n">
        <f aca="false">Einstellungen!$B$5+INT((ROW()-9)/24)</f>
        <v>46227</v>
      </c>
      <c r="B6282" s="11" t="n">
        <f aca="false">MOD(ROW()-9,24)</f>
        <v>9</v>
      </c>
      <c r="C6282" s="12"/>
      <c r="D6282" s="13" t="n">
        <f aca="false">IF(B6282&lt;5,Einstellungen!$B$3,Einstellungen!$B$4)</f>
        <v>29.13</v>
      </c>
      <c r="E6282" s="14" t="str">
        <f aca="false">IF(C6282="","",C6282*D6282/100)</f>
        <v/>
      </c>
      <c r="F6282" s="15" t="str">
        <f aca="false">IF(B6282&lt;5,"Go","Standard")</f>
        <v>Standard</v>
      </c>
    </row>
    <row r="6283" customFormat="false" ht="15" hidden="false" customHeight="true" outlineLevel="0" collapsed="false">
      <c r="A6283" s="10" t="n">
        <f aca="false">Einstellungen!$B$5+INT((ROW()-9)/24)</f>
        <v>46227</v>
      </c>
      <c r="B6283" s="11" t="n">
        <f aca="false">MOD(ROW()-9,24)</f>
        <v>10</v>
      </c>
      <c r="C6283" s="12"/>
      <c r="D6283" s="13" t="n">
        <f aca="false">IF(B6283&lt;5,Einstellungen!$B$3,Einstellungen!$B$4)</f>
        <v>29.13</v>
      </c>
      <c r="E6283" s="14" t="str">
        <f aca="false">IF(C6283="","",C6283*D6283/100)</f>
        <v/>
      </c>
      <c r="F6283" s="15" t="str">
        <f aca="false">IF(B6283&lt;5,"Go","Standard")</f>
        <v>Standard</v>
      </c>
    </row>
    <row r="6284" customFormat="false" ht="15" hidden="false" customHeight="true" outlineLevel="0" collapsed="false">
      <c r="A6284" s="10" t="n">
        <f aca="false">Einstellungen!$B$5+INT((ROW()-9)/24)</f>
        <v>46227</v>
      </c>
      <c r="B6284" s="11" t="n">
        <f aca="false">MOD(ROW()-9,24)</f>
        <v>11</v>
      </c>
      <c r="C6284" s="12"/>
      <c r="D6284" s="13" t="n">
        <f aca="false">IF(B6284&lt;5,Einstellungen!$B$3,Einstellungen!$B$4)</f>
        <v>29.13</v>
      </c>
      <c r="E6284" s="14" t="str">
        <f aca="false">IF(C6284="","",C6284*D6284/100)</f>
        <v/>
      </c>
      <c r="F6284" s="15" t="str">
        <f aca="false">IF(B6284&lt;5,"Go","Standard")</f>
        <v>Standard</v>
      </c>
    </row>
    <row r="6285" customFormat="false" ht="15" hidden="false" customHeight="true" outlineLevel="0" collapsed="false">
      <c r="A6285" s="10" t="n">
        <f aca="false">Einstellungen!$B$5+INT((ROW()-9)/24)</f>
        <v>46227</v>
      </c>
      <c r="B6285" s="11" t="n">
        <f aca="false">MOD(ROW()-9,24)</f>
        <v>12</v>
      </c>
      <c r="C6285" s="12"/>
      <c r="D6285" s="13" t="n">
        <f aca="false">IF(B6285&lt;5,Einstellungen!$B$3,Einstellungen!$B$4)</f>
        <v>29.13</v>
      </c>
      <c r="E6285" s="14" t="str">
        <f aca="false">IF(C6285="","",C6285*D6285/100)</f>
        <v/>
      </c>
      <c r="F6285" s="15" t="str">
        <f aca="false">IF(B6285&lt;5,"Go","Standard")</f>
        <v>Standard</v>
      </c>
    </row>
    <row r="6286" customFormat="false" ht="15" hidden="false" customHeight="true" outlineLevel="0" collapsed="false">
      <c r="A6286" s="10" t="n">
        <f aca="false">Einstellungen!$B$5+INT((ROW()-9)/24)</f>
        <v>46227</v>
      </c>
      <c r="B6286" s="11" t="n">
        <f aca="false">MOD(ROW()-9,24)</f>
        <v>13</v>
      </c>
      <c r="C6286" s="12"/>
      <c r="D6286" s="13" t="n">
        <f aca="false">IF(B6286&lt;5,Einstellungen!$B$3,Einstellungen!$B$4)</f>
        <v>29.13</v>
      </c>
      <c r="E6286" s="14" t="str">
        <f aca="false">IF(C6286="","",C6286*D6286/100)</f>
        <v/>
      </c>
      <c r="F6286" s="15" t="str">
        <f aca="false">IF(B6286&lt;5,"Go","Standard")</f>
        <v>Standard</v>
      </c>
    </row>
    <row r="6287" customFormat="false" ht="15" hidden="false" customHeight="true" outlineLevel="0" collapsed="false">
      <c r="A6287" s="10" t="n">
        <f aca="false">Einstellungen!$B$5+INT((ROW()-9)/24)</f>
        <v>46227</v>
      </c>
      <c r="B6287" s="11" t="n">
        <f aca="false">MOD(ROW()-9,24)</f>
        <v>14</v>
      </c>
      <c r="C6287" s="12"/>
      <c r="D6287" s="13" t="n">
        <f aca="false">IF(B6287&lt;5,Einstellungen!$B$3,Einstellungen!$B$4)</f>
        <v>29.13</v>
      </c>
      <c r="E6287" s="14" t="str">
        <f aca="false">IF(C6287="","",C6287*D6287/100)</f>
        <v/>
      </c>
      <c r="F6287" s="15" t="str">
        <f aca="false">IF(B6287&lt;5,"Go","Standard")</f>
        <v>Standard</v>
      </c>
    </row>
    <row r="6288" customFormat="false" ht="15" hidden="false" customHeight="true" outlineLevel="0" collapsed="false">
      <c r="A6288" s="10" t="n">
        <f aca="false">Einstellungen!$B$5+INT((ROW()-9)/24)</f>
        <v>46227</v>
      </c>
      <c r="B6288" s="11" t="n">
        <f aca="false">MOD(ROW()-9,24)</f>
        <v>15</v>
      </c>
      <c r="C6288" s="12"/>
      <c r="D6288" s="13" t="n">
        <f aca="false">IF(B6288&lt;5,Einstellungen!$B$3,Einstellungen!$B$4)</f>
        <v>29.13</v>
      </c>
      <c r="E6288" s="14" t="str">
        <f aca="false">IF(C6288="","",C6288*D6288/100)</f>
        <v/>
      </c>
      <c r="F6288" s="15" t="str">
        <f aca="false">IF(B6288&lt;5,"Go","Standard")</f>
        <v>Standard</v>
      </c>
    </row>
    <row r="6289" customFormat="false" ht="15" hidden="false" customHeight="true" outlineLevel="0" collapsed="false">
      <c r="A6289" s="10" t="n">
        <f aca="false">Einstellungen!$B$5+INT((ROW()-9)/24)</f>
        <v>46227</v>
      </c>
      <c r="B6289" s="11" t="n">
        <f aca="false">MOD(ROW()-9,24)</f>
        <v>16</v>
      </c>
      <c r="C6289" s="12"/>
      <c r="D6289" s="13" t="n">
        <f aca="false">IF(B6289&lt;5,Einstellungen!$B$3,Einstellungen!$B$4)</f>
        <v>29.13</v>
      </c>
      <c r="E6289" s="14" t="str">
        <f aca="false">IF(C6289="","",C6289*D6289/100)</f>
        <v/>
      </c>
      <c r="F6289" s="15" t="str">
        <f aca="false">IF(B6289&lt;5,"Go","Standard")</f>
        <v>Standard</v>
      </c>
    </row>
    <row r="6290" customFormat="false" ht="15" hidden="false" customHeight="true" outlineLevel="0" collapsed="false">
      <c r="A6290" s="10" t="n">
        <f aca="false">Einstellungen!$B$5+INT((ROW()-9)/24)</f>
        <v>46227</v>
      </c>
      <c r="B6290" s="11" t="n">
        <f aca="false">MOD(ROW()-9,24)</f>
        <v>17</v>
      </c>
      <c r="C6290" s="12"/>
      <c r="D6290" s="13" t="n">
        <f aca="false">IF(B6290&lt;5,Einstellungen!$B$3,Einstellungen!$B$4)</f>
        <v>29.13</v>
      </c>
      <c r="E6290" s="14" t="str">
        <f aca="false">IF(C6290="","",C6290*D6290/100)</f>
        <v/>
      </c>
      <c r="F6290" s="15" t="str">
        <f aca="false">IF(B6290&lt;5,"Go","Standard")</f>
        <v>Standard</v>
      </c>
    </row>
    <row r="6291" customFormat="false" ht="15" hidden="false" customHeight="true" outlineLevel="0" collapsed="false">
      <c r="A6291" s="10" t="n">
        <f aca="false">Einstellungen!$B$5+INT((ROW()-9)/24)</f>
        <v>46227</v>
      </c>
      <c r="B6291" s="11" t="n">
        <f aca="false">MOD(ROW()-9,24)</f>
        <v>18</v>
      </c>
      <c r="C6291" s="12"/>
      <c r="D6291" s="13" t="n">
        <f aca="false">IF(B6291&lt;5,Einstellungen!$B$3,Einstellungen!$B$4)</f>
        <v>29.13</v>
      </c>
      <c r="E6291" s="14" t="str">
        <f aca="false">IF(C6291="","",C6291*D6291/100)</f>
        <v/>
      </c>
      <c r="F6291" s="15" t="str">
        <f aca="false">IF(B6291&lt;5,"Go","Standard")</f>
        <v>Standard</v>
      </c>
    </row>
    <row r="6292" customFormat="false" ht="15" hidden="false" customHeight="true" outlineLevel="0" collapsed="false">
      <c r="A6292" s="10" t="n">
        <f aca="false">Einstellungen!$B$5+INT((ROW()-9)/24)</f>
        <v>46227</v>
      </c>
      <c r="B6292" s="11" t="n">
        <f aca="false">MOD(ROW()-9,24)</f>
        <v>19</v>
      </c>
      <c r="C6292" s="12"/>
      <c r="D6292" s="13" t="n">
        <f aca="false">IF(B6292&lt;5,Einstellungen!$B$3,Einstellungen!$B$4)</f>
        <v>29.13</v>
      </c>
      <c r="E6292" s="14" t="str">
        <f aca="false">IF(C6292="","",C6292*D6292/100)</f>
        <v/>
      </c>
      <c r="F6292" s="15" t="str">
        <f aca="false">IF(B6292&lt;5,"Go","Standard")</f>
        <v>Standard</v>
      </c>
    </row>
    <row r="6293" customFormat="false" ht="15" hidden="false" customHeight="true" outlineLevel="0" collapsed="false">
      <c r="A6293" s="10" t="n">
        <f aca="false">Einstellungen!$B$5+INT((ROW()-9)/24)</f>
        <v>46227</v>
      </c>
      <c r="B6293" s="11" t="n">
        <f aca="false">MOD(ROW()-9,24)</f>
        <v>20</v>
      </c>
      <c r="C6293" s="12"/>
      <c r="D6293" s="13" t="n">
        <f aca="false">IF(B6293&lt;5,Einstellungen!$B$3,Einstellungen!$B$4)</f>
        <v>29.13</v>
      </c>
      <c r="E6293" s="14" t="str">
        <f aca="false">IF(C6293="","",C6293*D6293/100)</f>
        <v/>
      </c>
      <c r="F6293" s="15" t="str">
        <f aca="false">IF(B6293&lt;5,"Go","Standard")</f>
        <v>Standard</v>
      </c>
    </row>
    <row r="6294" customFormat="false" ht="15" hidden="false" customHeight="true" outlineLevel="0" collapsed="false">
      <c r="A6294" s="10" t="n">
        <f aca="false">Einstellungen!$B$5+INT((ROW()-9)/24)</f>
        <v>46227</v>
      </c>
      <c r="B6294" s="11" t="n">
        <f aca="false">MOD(ROW()-9,24)</f>
        <v>21</v>
      </c>
      <c r="C6294" s="12"/>
      <c r="D6294" s="13" t="n">
        <f aca="false">IF(B6294&lt;5,Einstellungen!$B$3,Einstellungen!$B$4)</f>
        <v>29.13</v>
      </c>
      <c r="E6294" s="14" t="str">
        <f aca="false">IF(C6294="","",C6294*D6294/100)</f>
        <v/>
      </c>
      <c r="F6294" s="15" t="str">
        <f aca="false">IF(B6294&lt;5,"Go","Standard")</f>
        <v>Standard</v>
      </c>
    </row>
    <row r="6295" customFormat="false" ht="15" hidden="false" customHeight="true" outlineLevel="0" collapsed="false">
      <c r="A6295" s="10" t="n">
        <f aca="false">Einstellungen!$B$5+INT((ROW()-9)/24)</f>
        <v>46227</v>
      </c>
      <c r="B6295" s="11" t="n">
        <f aca="false">MOD(ROW()-9,24)</f>
        <v>22</v>
      </c>
      <c r="C6295" s="12"/>
      <c r="D6295" s="13" t="n">
        <f aca="false">IF(B6295&lt;5,Einstellungen!$B$3,Einstellungen!$B$4)</f>
        <v>29.13</v>
      </c>
      <c r="E6295" s="14" t="str">
        <f aca="false">IF(C6295="","",C6295*D6295/100)</f>
        <v/>
      </c>
      <c r="F6295" s="15" t="str">
        <f aca="false">IF(B6295&lt;5,"Go","Standard")</f>
        <v>Standard</v>
      </c>
    </row>
    <row r="6296" customFormat="false" ht="15" hidden="false" customHeight="true" outlineLevel="0" collapsed="false">
      <c r="A6296" s="10" t="n">
        <f aca="false">Einstellungen!$B$5+INT((ROW()-9)/24)</f>
        <v>46227</v>
      </c>
      <c r="B6296" s="11" t="n">
        <f aca="false">MOD(ROW()-9,24)</f>
        <v>23</v>
      </c>
      <c r="C6296" s="12"/>
      <c r="D6296" s="13" t="n">
        <f aca="false">IF(B6296&lt;5,Einstellungen!$B$3,Einstellungen!$B$4)</f>
        <v>29.13</v>
      </c>
      <c r="E6296" s="14" t="str">
        <f aca="false">IF(C6296="","",C6296*D6296/100)</f>
        <v/>
      </c>
      <c r="F6296" s="15" t="str">
        <f aca="false">IF(B6296&lt;5,"Go","Standard")</f>
        <v>Standard</v>
      </c>
    </row>
    <row r="6297" customFormat="false" ht="15" hidden="false" customHeight="true" outlineLevel="0" collapsed="false">
      <c r="A6297" s="10" t="n">
        <f aca="false">Einstellungen!$B$5+INT((ROW()-9)/24)</f>
        <v>46228</v>
      </c>
      <c r="B6297" s="11" t="n">
        <f aca="false">MOD(ROW()-9,24)</f>
        <v>0</v>
      </c>
      <c r="C6297" s="12"/>
      <c r="D6297" s="13" t="n">
        <f aca="false">IF(B6297&lt;5,Einstellungen!$B$3,Einstellungen!$B$4)</f>
        <v>15.92</v>
      </c>
      <c r="E6297" s="14" t="str">
        <f aca="false">IF(C6297="","",C6297*D6297/100)</f>
        <v/>
      </c>
      <c r="F6297" s="15" t="str">
        <f aca="false">IF(B6297&lt;5,"Go","Standard")</f>
        <v>Go</v>
      </c>
    </row>
    <row r="6298" customFormat="false" ht="15" hidden="false" customHeight="true" outlineLevel="0" collapsed="false">
      <c r="A6298" s="10" t="n">
        <f aca="false">Einstellungen!$B$5+INT((ROW()-9)/24)</f>
        <v>46228</v>
      </c>
      <c r="B6298" s="11" t="n">
        <f aca="false">MOD(ROW()-9,24)</f>
        <v>1</v>
      </c>
      <c r="C6298" s="12"/>
      <c r="D6298" s="13" t="n">
        <f aca="false">IF(B6298&lt;5,Einstellungen!$B$3,Einstellungen!$B$4)</f>
        <v>15.92</v>
      </c>
      <c r="E6298" s="14" t="str">
        <f aca="false">IF(C6298="","",C6298*D6298/100)</f>
        <v/>
      </c>
      <c r="F6298" s="15" t="str">
        <f aca="false">IF(B6298&lt;5,"Go","Standard")</f>
        <v>Go</v>
      </c>
    </row>
    <row r="6299" customFormat="false" ht="15" hidden="false" customHeight="true" outlineLevel="0" collapsed="false">
      <c r="A6299" s="10" t="n">
        <f aca="false">Einstellungen!$B$5+INT((ROW()-9)/24)</f>
        <v>46228</v>
      </c>
      <c r="B6299" s="11" t="n">
        <f aca="false">MOD(ROW()-9,24)</f>
        <v>2</v>
      </c>
      <c r="C6299" s="12"/>
      <c r="D6299" s="13" t="n">
        <f aca="false">IF(B6299&lt;5,Einstellungen!$B$3,Einstellungen!$B$4)</f>
        <v>15.92</v>
      </c>
      <c r="E6299" s="14" t="str">
        <f aca="false">IF(C6299="","",C6299*D6299/100)</f>
        <v/>
      </c>
      <c r="F6299" s="15" t="str">
        <f aca="false">IF(B6299&lt;5,"Go","Standard")</f>
        <v>Go</v>
      </c>
    </row>
    <row r="6300" customFormat="false" ht="15" hidden="false" customHeight="true" outlineLevel="0" collapsed="false">
      <c r="A6300" s="10" t="n">
        <f aca="false">Einstellungen!$B$5+INT((ROW()-9)/24)</f>
        <v>46228</v>
      </c>
      <c r="B6300" s="11" t="n">
        <f aca="false">MOD(ROW()-9,24)</f>
        <v>3</v>
      </c>
      <c r="C6300" s="12"/>
      <c r="D6300" s="13" t="n">
        <f aca="false">IF(B6300&lt;5,Einstellungen!$B$3,Einstellungen!$B$4)</f>
        <v>15.92</v>
      </c>
      <c r="E6300" s="14" t="str">
        <f aca="false">IF(C6300="","",C6300*D6300/100)</f>
        <v/>
      </c>
      <c r="F6300" s="15" t="str">
        <f aca="false">IF(B6300&lt;5,"Go","Standard")</f>
        <v>Go</v>
      </c>
    </row>
    <row r="6301" customFormat="false" ht="15" hidden="false" customHeight="true" outlineLevel="0" collapsed="false">
      <c r="A6301" s="10" t="n">
        <f aca="false">Einstellungen!$B$5+INT((ROW()-9)/24)</f>
        <v>46228</v>
      </c>
      <c r="B6301" s="11" t="n">
        <f aca="false">MOD(ROW()-9,24)</f>
        <v>4</v>
      </c>
      <c r="C6301" s="12"/>
      <c r="D6301" s="13" t="n">
        <f aca="false">IF(B6301&lt;5,Einstellungen!$B$3,Einstellungen!$B$4)</f>
        <v>15.92</v>
      </c>
      <c r="E6301" s="14" t="str">
        <f aca="false">IF(C6301="","",C6301*D6301/100)</f>
        <v/>
      </c>
      <c r="F6301" s="15" t="str">
        <f aca="false">IF(B6301&lt;5,"Go","Standard")</f>
        <v>Go</v>
      </c>
    </row>
    <row r="6302" customFormat="false" ht="15" hidden="false" customHeight="true" outlineLevel="0" collapsed="false">
      <c r="A6302" s="10" t="n">
        <f aca="false">Einstellungen!$B$5+INT((ROW()-9)/24)</f>
        <v>46228</v>
      </c>
      <c r="B6302" s="11" t="n">
        <f aca="false">MOD(ROW()-9,24)</f>
        <v>5</v>
      </c>
      <c r="C6302" s="12"/>
      <c r="D6302" s="13" t="n">
        <f aca="false">IF(B6302&lt;5,Einstellungen!$B$3,Einstellungen!$B$4)</f>
        <v>29.13</v>
      </c>
      <c r="E6302" s="14" t="str">
        <f aca="false">IF(C6302="","",C6302*D6302/100)</f>
        <v/>
      </c>
      <c r="F6302" s="15" t="str">
        <f aca="false">IF(B6302&lt;5,"Go","Standard")</f>
        <v>Standard</v>
      </c>
    </row>
    <row r="6303" customFormat="false" ht="15" hidden="false" customHeight="true" outlineLevel="0" collapsed="false">
      <c r="A6303" s="10" t="n">
        <f aca="false">Einstellungen!$B$5+INT((ROW()-9)/24)</f>
        <v>46228</v>
      </c>
      <c r="B6303" s="11" t="n">
        <f aca="false">MOD(ROW()-9,24)</f>
        <v>6</v>
      </c>
      <c r="C6303" s="12"/>
      <c r="D6303" s="13" t="n">
        <f aca="false">IF(B6303&lt;5,Einstellungen!$B$3,Einstellungen!$B$4)</f>
        <v>29.13</v>
      </c>
      <c r="E6303" s="14" t="str">
        <f aca="false">IF(C6303="","",C6303*D6303/100)</f>
        <v/>
      </c>
      <c r="F6303" s="15" t="str">
        <f aca="false">IF(B6303&lt;5,"Go","Standard")</f>
        <v>Standard</v>
      </c>
    </row>
    <row r="6304" customFormat="false" ht="15" hidden="false" customHeight="true" outlineLevel="0" collapsed="false">
      <c r="A6304" s="10" t="n">
        <f aca="false">Einstellungen!$B$5+INT((ROW()-9)/24)</f>
        <v>46228</v>
      </c>
      <c r="B6304" s="11" t="n">
        <f aca="false">MOD(ROW()-9,24)</f>
        <v>7</v>
      </c>
      <c r="C6304" s="12"/>
      <c r="D6304" s="13" t="n">
        <f aca="false">IF(B6304&lt;5,Einstellungen!$B$3,Einstellungen!$B$4)</f>
        <v>29.13</v>
      </c>
      <c r="E6304" s="14" t="str">
        <f aca="false">IF(C6304="","",C6304*D6304/100)</f>
        <v/>
      </c>
      <c r="F6304" s="15" t="str">
        <f aca="false">IF(B6304&lt;5,"Go","Standard")</f>
        <v>Standard</v>
      </c>
    </row>
    <row r="6305" customFormat="false" ht="15" hidden="false" customHeight="true" outlineLevel="0" collapsed="false">
      <c r="A6305" s="10" t="n">
        <f aca="false">Einstellungen!$B$5+INT((ROW()-9)/24)</f>
        <v>46228</v>
      </c>
      <c r="B6305" s="11" t="n">
        <f aca="false">MOD(ROW()-9,24)</f>
        <v>8</v>
      </c>
      <c r="C6305" s="12"/>
      <c r="D6305" s="13" t="n">
        <f aca="false">IF(B6305&lt;5,Einstellungen!$B$3,Einstellungen!$B$4)</f>
        <v>29.13</v>
      </c>
      <c r="E6305" s="14" t="str">
        <f aca="false">IF(C6305="","",C6305*D6305/100)</f>
        <v/>
      </c>
      <c r="F6305" s="15" t="str">
        <f aca="false">IF(B6305&lt;5,"Go","Standard")</f>
        <v>Standard</v>
      </c>
    </row>
    <row r="6306" customFormat="false" ht="15" hidden="false" customHeight="true" outlineLevel="0" collapsed="false">
      <c r="A6306" s="10" t="n">
        <f aca="false">Einstellungen!$B$5+INT((ROW()-9)/24)</f>
        <v>46228</v>
      </c>
      <c r="B6306" s="11" t="n">
        <f aca="false">MOD(ROW()-9,24)</f>
        <v>9</v>
      </c>
      <c r="C6306" s="12"/>
      <c r="D6306" s="13" t="n">
        <f aca="false">IF(B6306&lt;5,Einstellungen!$B$3,Einstellungen!$B$4)</f>
        <v>29.13</v>
      </c>
      <c r="E6306" s="14" t="str">
        <f aca="false">IF(C6306="","",C6306*D6306/100)</f>
        <v/>
      </c>
      <c r="F6306" s="15" t="str">
        <f aca="false">IF(B6306&lt;5,"Go","Standard")</f>
        <v>Standard</v>
      </c>
    </row>
    <row r="6307" customFormat="false" ht="15" hidden="false" customHeight="true" outlineLevel="0" collapsed="false">
      <c r="A6307" s="10" t="n">
        <f aca="false">Einstellungen!$B$5+INT((ROW()-9)/24)</f>
        <v>46228</v>
      </c>
      <c r="B6307" s="11" t="n">
        <f aca="false">MOD(ROW()-9,24)</f>
        <v>10</v>
      </c>
      <c r="C6307" s="12"/>
      <c r="D6307" s="13" t="n">
        <f aca="false">IF(B6307&lt;5,Einstellungen!$B$3,Einstellungen!$B$4)</f>
        <v>29.13</v>
      </c>
      <c r="E6307" s="14" t="str">
        <f aca="false">IF(C6307="","",C6307*D6307/100)</f>
        <v/>
      </c>
      <c r="F6307" s="15" t="str">
        <f aca="false">IF(B6307&lt;5,"Go","Standard")</f>
        <v>Standard</v>
      </c>
    </row>
    <row r="6308" customFormat="false" ht="15" hidden="false" customHeight="true" outlineLevel="0" collapsed="false">
      <c r="A6308" s="10" t="n">
        <f aca="false">Einstellungen!$B$5+INT((ROW()-9)/24)</f>
        <v>46228</v>
      </c>
      <c r="B6308" s="11" t="n">
        <f aca="false">MOD(ROW()-9,24)</f>
        <v>11</v>
      </c>
      <c r="C6308" s="12"/>
      <c r="D6308" s="13" t="n">
        <f aca="false">IF(B6308&lt;5,Einstellungen!$B$3,Einstellungen!$B$4)</f>
        <v>29.13</v>
      </c>
      <c r="E6308" s="14" t="str">
        <f aca="false">IF(C6308="","",C6308*D6308/100)</f>
        <v/>
      </c>
      <c r="F6308" s="15" t="str">
        <f aca="false">IF(B6308&lt;5,"Go","Standard")</f>
        <v>Standard</v>
      </c>
    </row>
    <row r="6309" customFormat="false" ht="15" hidden="false" customHeight="true" outlineLevel="0" collapsed="false">
      <c r="A6309" s="10" t="n">
        <f aca="false">Einstellungen!$B$5+INT((ROW()-9)/24)</f>
        <v>46228</v>
      </c>
      <c r="B6309" s="11" t="n">
        <f aca="false">MOD(ROW()-9,24)</f>
        <v>12</v>
      </c>
      <c r="C6309" s="12"/>
      <c r="D6309" s="13" t="n">
        <f aca="false">IF(B6309&lt;5,Einstellungen!$B$3,Einstellungen!$B$4)</f>
        <v>29.13</v>
      </c>
      <c r="E6309" s="14" t="str">
        <f aca="false">IF(C6309="","",C6309*D6309/100)</f>
        <v/>
      </c>
      <c r="F6309" s="15" t="str">
        <f aca="false">IF(B6309&lt;5,"Go","Standard")</f>
        <v>Standard</v>
      </c>
    </row>
    <row r="6310" customFormat="false" ht="15" hidden="false" customHeight="true" outlineLevel="0" collapsed="false">
      <c r="A6310" s="10" t="n">
        <f aca="false">Einstellungen!$B$5+INT((ROW()-9)/24)</f>
        <v>46228</v>
      </c>
      <c r="B6310" s="11" t="n">
        <f aca="false">MOD(ROW()-9,24)</f>
        <v>13</v>
      </c>
      <c r="C6310" s="12"/>
      <c r="D6310" s="13" t="n">
        <f aca="false">IF(B6310&lt;5,Einstellungen!$B$3,Einstellungen!$B$4)</f>
        <v>29.13</v>
      </c>
      <c r="E6310" s="14" t="str">
        <f aca="false">IF(C6310="","",C6310*D6310/100)</f>
        <v/>
      </c>
      <c r="F6310" s="15" t="str">
        <f aca="false">IF(B6310&lt;5,"Go","Standard")</f>
        <v>Standard</v>
      </c>
    </row>
    <row r="6311" customFormat="false" ht="15" hidden="false" customHeight="true" outlineLevel="0" collapsed="false">
      <c r="A6311" s="10" t="n">
        <f aca="false">Einstellungen!$B$5+INT((ROW()-9)/24)</f>
        <v>46228</v>
      </c>
      <c r="B6311" s="11" t="n">
        <f aca="false">MOD(ROW()-9,24)</f>
        <v>14</v>
      </c>
      <c r="C6311" s="12"/>
      <c r="D6311" s="13" t="n">
        <f aca="false">IF(B6311&lt;5,Einstellungen!$B$3,Einstellungen!$B$4)</f>
        <v>29.13</v>
      </c>
      <c r="E6311" s="14" t="str">
        <f aca="false">IF(C6311="","",C6311*D6311/100)</f>
        <v/>
      </c>
      <c r="F6311" s="15" t="str">
        <f aca="false">IF(B6311&lt;5,"Go","Standard")</f>
        <v>Standard</v>
      </c>
    </row>
    <row r="6312" customFormat="false" ht="15" hidden="false" customHeight="true" outlineLevel="0" collapsed="false">
      <c r="A6312" s="10" t="n">
        <f aca="false">Einstellungen!$B$5+INT((ROW()-9)/24)</f>
        <v>46228</v>
      </c>
      <c r="B6312" s="11" t="n">
        <f aca="false">MOD(ROW()-9,24)</f>
        <v>15</v>
      </c>
      <c r="C6312" s="12"/>
      <c r="D6312" s="13" t="n">
        <f aca="false">IF(B6312&lt;5,Einstellungen!$B$3,Einstellungen!$B$4)</f>
        <v>29.13</v>
      </c>
      <c r="E6312" s="14" t="str">
        <f aca="false">IF(C6312="","",C6312*D6312/100)</f>
        <v/>
      </c>
      <c r="F6312" s="15" t="str">
        <f aca="false">IF(B6312&lt;5,"Go","Standard")</f>
        <v>Standard</v>
      </c>
    </row>
    <row r="6313" customFormat="false" ht="15" hidden="false" customHeight="true" outlineLevel="0" collapsed="false">
      <c r="A6313" s="10" t="n">
        <f aca="false">Einstellungen!$B$5+INT((ROW()-9)/24)</f>
        <v>46228</v>
      </c>
      <c r="B6313" s="11" t="n">
        <f aca="false">MOD(ROW()-9,24)</f>
        <v>16</v>
      </c>
      <c r="C6313" s="12"/>
      <c r="D6313" s="13" t="n">
        <f aca="false">IF(B6313&lt;5,Einstellungen!$B$3,Einstellungen!$B$4)</f>
        <v>29.13</v>
      </c>
      <c r="E6313" s="14" t="str">
        <f aca="false">IF(C6313="","",C6313*D6313/100)</f>
        <v/>
      </c>
      <c r="F6313" s="15" t="str">
        <f aca="false">IF(B6313&lt;5,"Go","Standard")</f>
        <v>Standard</v>
      </c>
    </row>
    <row r="6314" customFormat="false" ht="15" hidden="false" customHeight="true" outlineLevel="0" collapsed="false">
      <c r="A6314" s="10" t="n">
        <f aca="false">Einstellungen!$B$5+INT((ROW()-9)/24)</f>
        <v>46228</v>
      </c>
      <c r="B6314" s="11" t="n">
        <f aca="false">MOD(ROW()-9,24)</f>
        <v>17</v>
      </c>
      <c r="C6314" s="12"/>
      <c r="D6314" s="13" t="n">
        <f aca="false">IF(B6314&lt;5,Einstellungen!$B$3,Einstellungen!$B$4)</f>
        <v>29.13</v>
      </c>
      <c r="E6314" s="14" t="str">
        <f aca="false">IF(C6314="","",C6314*D6314/100)</f>
        <v/>
      </c>
      <c r="F6314" s="15" t="str">
        <f aca="false">IF(B6314&lt;5,"Go","Standard")</f>
        <v>Standard</v>
      </c>
    </row>
    <row r="6315" customFormat="false" ht="15" hidden="false" customHeight="true" outlineLevel="0" collapsed="false">
      <c r="A6315" s="10" t="n">
        <f aca="false">Einstellungen!$B$5+INT((ROW()-9)/24)</f>
        <v>46228</v>
      </c>
      <c r="B6315" s="11" t="n">
        <f aca="false">MOD(ROW()-9,24)</f>
        <v>18</v>
      </c>
      <c r="C6315" s="12"/>
      <c r="D6315" s="13" t="n">
        <f aca="false">IF(B6315&lt;5,Einstellungen!$B$3,Einstellungen!$B$4)</f>
        <v>29.13</v>
      </c>
      <c r="E6315" s="14" t="str">
        <f aca="false">IF(C6315="","",C6315*D6315/100)</f>
        <v/>
      </c>
      <c r="F6315" s="15" t="str">
        <f aca="false">IF(B6315&lt;5,"Go","Standard")</f>
        <v>Standard</v>
      </c>
    </row>
    <row r="6316" customFormat="false" ht="15" hidden="false" customHeight="true" outlineLevel="0" collapsed="false">
      <c r="A6316" s="10" t="n">
        <f aca="false">Einstellungen!$B$5+INT((ROW()-9)/24)</f>
        <v>46228</v>
      </c>
      <c r="B6316" s="11" t="n">
        <f aca="false">MOD(ROW()-9,24)</f>
        <v>19</v>
      </c>
      <c r="C6316" s="12"/>
      <c r="D6316" s="13" t="n">
        <f aca="false">IF(B6316&lt;5,Einstellungen!$B$3,Einstellungen!$B$4)</f>
        <v>29.13</v>
      </c>
      <c r="E6316" s="14" t="str">
        <f aca="false">IF(C6316="","",C6316*D6316/100)</f>
        <v/>
      </c>
      <c r="F6316" s="15" t="str">
        <f aca="false">IF(B6316&lt;5,"Go","Standard")</f>
        <v>Standard</v>
      </c>
    </row>
    <row r="6317" customFormat="false" ht="15" hidden="false" customHeight="true" outlineLevel="0" collapsed="false">
      <c r="A6317" s="10" t="n">
        <f aca="false">Einstellungen!$B$5+INT((ROW()-9)/24)</f>
        <v>46228</v>
      </c>
      <c r="B6317" s="11" t="n">
        <f aca="false">MOD(ROW()-9,24)</f>
        <v>20</v>
      </c>
      <c r="C6317" s="12"/>
      <c r="D6317" s="13" t="n">
        <f aca="false">IF(B6317&lt;5,Einstellungen!$B$3,Einstellungen!$B$4)</f>
        <v>29.13</v>
      </c>
      <c r="E6317" s="14" t="str">
        <f aca="false">IF(C6317="","",C6317*D6317/100)</f>
        <v/>
      </c>
      <c r="F6317" s="15" t="str">
        <f aca="false">IF(B6317&lt;5,"Go","Standard")</f>
        <v>Standard</v>
      </c>
    </row>
    <row r="6318" customFormat="false" ht="15" hidden="false" customHeight="true" outlineLevel="0" collapsed="false">
      <c r="A6318" s="10" t="n">
        <f aca="false">Einstellungen!$B$5+INT((ROW()-9)/24)</f>
        <v>46228</v>
      </c>
      <c r="B6318" s="11" t="n">
        <f aca="false">MOD(ROW()-9,24)</f>
        <v>21</v>
      </c>
      <c r="C6318" s="12"/>
      <c r="D6318" s="13" t="n">
        <f aca="false">IF(B6318&lt;5,Einstellungen!$B$3,Einstellungen!$B$4)</f>
        <v>29.13</v>
      </c>
      <c r="E6318" s="14" t="str">
        <f aca="false">IF(C6318="","",C6318*D6318/100)</f>
        <v/>
      </c>
      <c r="F6318" s="15" t="str">
        <f aca="false">IF(B6318&lt;5,"Go","Standard")</f>
        <v>Standard</v>
      </c>
    </row>
    <row r="6319" customFormat="false" ht="15" hidden="false" customHeight="true" outlineLevel="0" collapsed="false">
      <c r="A6319" s="10" t="n">
        <f aca="false">Einstellungen!$B$5+INT((ROW()-9)/24)</f>
        <v>46228</v>
      </c>
      <c r="B6319" s="11" t="n">
        <f aca="false">MOD(ROW()-9,24)</f>
        <v>22</v>
      </c>
      <c r="C6319" s="12"/>
      <c r="D6319" s="13" t="n">
        <f aca="false">IF(B6319&lt;5,Einstellungen!$B$3,Einstellungen!$B$4)</f>
        <v>29.13</v>
      </c>
      <c r="E6319" s="14" t="str">
        <f aca="false">IF(C6319="","",C6319*D6319/100)</f>
        <v/>
      </c>
      <c r="F6319" s="15" t="str">
        <f aca="false">IF(B6319&lt;5,"Go","Standard")</f>
        <v>Standard</v>
      </c>
    </row>
    <row r="6320" customFormat="false" ht="15" hidden="false" customHeight="true" outlineLevel="0" collapsed="false">
      <c r="A6320" s="10" t="n">
        <f aca="false">Einstellungen!$B$5+INT((ROW()-9)/24)</f>
        <v>46228</v>
      </c>
      <c r="B6320" s="11" t="n">
        <f aca="false">MOD(ROW()-9,24)</f>
        <v>23</v>
      </c>
      <c r="C6320" s="12"/>
      <c r="D6320" s="13" t="n">
        <f aca="false">IF(B6320&lt;5,Einstellungen!$B$3,Einstellungen!$B$4)</f>
        <v>29.13</v>
      </c>
      <c r="E6320" s="14" t="str">
        <f aca="false">IF(C6320="","",C6320*D6320/100)</f>
        <v/>
      </c>
      <c r="F6320" s="15" t="str">
        <f aca="false">IF(B6320&lt;5,"Go","Standard")</f>
        <v>Standard</v>
      </c>
    </row>
    <row r="6321" customFormat="false" ht="15" hidden="false" customHeight="true" outlineLevel="0" collapsed="false">
      <c r="A6321" s="10" t="n">
        <f aca="false">Einstellungen!$B$5+INT((ROW()-9)/24)</f>
        <v>46229</v>
      </c>
      <c r="B6321" s="11" t="n">
        <f aca="false">MOD(ROW()-9,24)</f>
        <v>0</v>
      </c>
      <c r="C6321" s="12"/>
      <c r="D6321" s="13" t="n">
        <f aca="false">IF(B6321&lt;5,Einstellungen!$B$3,Einstellungen!$B$4)</f>
        <v>15.92</v>
      </c>
      <c r="E6321" s="14" t="str">
        <f aca="false">IF(C6321="","",C6321*D6321/100)</f>
        <v/>
      </c>
      <c r="F6321" s="15" t="str">
        <f aca="false">IF(B6321&lt;5,"Go","Standard")</f>
        <v>Go</v>
      </c>
    </row>
    <row r="6322" customFormat="false" ht="15" hidden="false" customHeight="true" outlineLevel="0" collapsed="false">
      <c r="A6322" s="10" t="n">
        <f aca="false">Einstellungen!$B$5+INT((ROW()-9)/24)</f>
        <v>46229</v>
      </c>
      <c r="B6322" s="11" t="n">
        <f aca="false">MOD(ROW()-9,24)</f>
        <v>1</v>
      </c>
      <c r="C6322" s="12"/>
      <c r="D6322" s="13" t="n">
        <f aca="false">IF(B6322&lt;5,Einstellungen!$B$3,Einstellungen!$B$4)</f>
        <v>15.92</v>
      </c>
      <c r="E6322" s="14" t="str">
        <f aca="false">IF(C6322="","",C6322*D6322/100)</f>
        <v/>
      </c>
      <c r="F6322" s="15" t="str">
        <f aca="false">IF(B6322&lt;5,"Go","Standard")</f>
        <v>Go</v>
      </c>
    </row>
    <row r="6323" customFormat="false" ht="15" hidden="false" customHeight="true" outlineLevel="0" collapsed="false">
      <c r="A6323" s="10" t="n">
        <f aca="false">Einstellungen!$B$5+INT((ROW()-9)/24)</f>
        <v>46229</v>
      </c>
      <c r="B6323" s="11" t="n">
        <f aca="false">MOD(ROW()-9,24)</f>
        <v>2</v>
      </c>
      <c r="C6323" s="12"/>
      <c r="D6323" s="13" t="n">
        <f aca="false">IF(B6323&lt;5,Einstellungen!$B$3,Einstellungen!$B$4)</f>
        <v>15.92</v>
      </c>
      <c r="E6323" s="14" t="str">
        <f aca="false">IF(C6323="","",C6323*D6323/100)</f>
        <v/>
      </c>
      <c r="F6323" s="15" t="str">
        <f aca="false">IF(B6323&lt;5,"Go","Standard")</f>
        <v>Go</v>
      </c>
    </row>
    <row r="6324" customFormat="false" ht="15" hidden="false" customHeight="true" outlineLevel="0" collapsed="false">
      <c r="A6324" s="10" t="n">
        <f aca="false">Einstellungen!$B$5+INT((ROW()-9)/24)</f>
        <v>46229</v>
      </c>
      <c r="B6324" s="11" t="n">
        <f aca="false">MOD(ROW()-9,24)</f>
        <v>3</v>
      </c>
      <c r="C6324" s="12"/>
      <c r="D6324" s="13" t="n">
        <f aca="false">IF(B6324&lt;5,Einstellungen!$B$3,Einstellungen!$B$4)</f>
        <v>15.92</v>
      </c>
      <c r="E6324" s="14" t="str">
        <f aca="false">IF(C6324="","",C6324*D6324/100)</f>
        <v/>
      </c>
      <c r="F6324" s="15" t="str">
        <f aca="false">IF(B6324&lt;5,"Go","Standard")</f>
        <v>Go</v>
      </c>
    </row>
    <row r="6325" customFormat="false" ht="15" hidden="false" customHeight="true" outlineLevel="0" collapsed="false">
      <c r="A6325" s="10" t="n">
        <f aca="false">Einstellungen!$B$5+INT((ROW()-9)/24)</f>
        <v>46229</v>
      </c>
      <c r="B6325" s="11" t="n">
        <f aca="false">MOD(ROW()-9,24)</f>
        <v>4</v>
      </c>
      <c r="C6325" s="12"/>
      <c r="D6325" s="13" t="n">
        <f aca="false">IF(B6325&lt;5,Einstellungen!$B$3,Einstellungen!$B$4)</f>
        <v>15.92</v>
      </c>
      <c r="E6325" s="14" t="str">
        <f aca="false">IF(C6325="","",C6325*D6325/100)</f>
        <v/>
      </c>
      <c r="F6325" s="15" t="str">
        <f aca="false">IF(B6325&lt;5,"Go","Standard")</f>
        <v>Go</v>
      </c>
    </row>
    <row r="6326" customFormat="false" ht="15" hidden="false" customHeight="true" outlineLevel="0" collapsed="false">
      <c r="A6326" s="10" t="n">
        <f aca="false">Einstellungen!$B$5+INT((ROW()-9)/24)</f>
        <v>46229</v>
      </c>
      <c r="B6326" s="11" t="n">
        <f aca="false">MOD(ROW()-9,24)</f>
        <v>5</v>
      </c>
      <c r="C6326" s="12"/>
      <c r="D6326" s="13" t="n">
        <f aca="false">IF(B6326&lt;5,Einstellungen!$B$3,Einstellungen!$B$4)</f>
        <v>29.13</v>
      </c>
      <c r="E6326" s="14" t="str">
        <f aca="false">IF(C6326="","",C6326*D6326/100)</f>
        <v/>
      </c>
      <c r="F6326" s="15" t="str">
        <f aca="false">IF(B6326&lt;5,"Go","Standard")</f>
        <v>Standard</v>
      </c>
    </row>
    <row r="6327" customFormat="false" ht="15" hidden="false" customHeight="true" outlineLevel="0" collapsed="false">
      <c r="A6327" s="10" t="n">
        <f aca="false">Einstellungen!$B$5+INT((ROW()-9)/24)</f>
        <v>46229</v>
      </c>
      <c r="B6327" s="11" t="n">
        <f aca="false">MOD(ROW()-9,24)</f>
        <v>6</v>
      </c>
      <c r="C6327" s="12"/>
      <c r="D6327" s="13" t="n">
        <f aca="false">IF(B6327&lt;5,Einstellungen!$B$3,Einstellungen!$B$4)</f>
        <v>29.13</v>
      </c>
      <c r="E6327" s="14" t="str">
        <f aca="false">IF(C6327="","",C6327*D6327/100)</f>
        <v/>
      </c>
      <c r="F6327" s="15" t="str">
        <f aca="false">IF(B6327&lt;5,"Go","Standard")</f>
        <v>Standard</v>
      </c>
    </row>
    <row r="6328" customFormat="false" ht="15" hidden="false" customHeight="true" outlineLevel="0" collapsed="false">
      <c r="A6328" s="10" t="n">
        <f aca="false">Einstellungen!$B$5+INT((ROW()-9)/24)</f>
        <v>46229</v>
      </c>
      <c r="B6328" s="11" t="n">
        <f aca="false">MOD(ROW()-9,24)</f>
        <v>7</v>
      </c>
      <c r="C6328" s="12"/>
      <c r="D6328" s="13" t="n">
        <f aca="false">IF(B6328&lt;5,Einstellungen!$B$3,Einstellungen!$B$4)</f>
        <v>29.13</v>
      </c>
      <c r="E6328" s="14" t="str">
        <f aca="false">IF(C6328="","",C6328*D6328/100)</f>
        <v/>
      </c>
      <c r="F6328" s="15" t="str">
        <f aca="false">IF(B6328&lt;5,"Go","Standard")</f>
        <v>Standard</v>
      </c>
    </row>
    <row r="6329" customFormat="false" ht="15" hidden="false" customHeight="true" outlineLevel="0" collapsed="false">
      <c r="A6329" s="10" t="n">
        <f aca="false">Einstellungen!$B$5+INT((ROW()-9)/24)</f>
        <v>46229</v>
      </c>
      <c r="B6329" s="11" t="n">
        <f aca="false">MOD(ROW()-9,24)</f>
        <v>8</v>
      </c>
      <c r="C6329" s="12"/>
      <c r="D6329" s="13" t="n">
        <f aca="false">IF(B6329&lt;5,Einstellungen!$B$3,Einstellungen!$B$4)</f>
        <v>29.13</v>
      </c>
      <c r="E6329" s="14" t="str">
        <f aca="false">IF(C6329="","",C6329*D6329/100)</f>
        <v/>
      </c>
      <c r="F6329" s="15" t="str">
        <f aca="false">IF(B6329&lt;5,"Go","Standard")</f>
        <v>Standard</v>
      </c>
    </row>
    <row r="6330" customFormat="false" ht="15" hidden="false" customHeight="true" outlineLevel="0" collapsed="false">
      <c r="A6330" s="10" t="n">
        <f aca="false">Einstellungen!$B$5+INT((ROW()-9)/24)</f>
        <v>46229</v>
      </c>
      <c r="B6330" s="11" t="n">
        <f aca="false">MOD(ROW()-9,24)</f>
        <v>9</v>
      </c>
      <c r="C6330" s="12"/>
      <c r="D6330" s="13" t="n">
        <f aca="false">IF(B6330&lt;5,Einstellungen!$B$3,Einstellungen!$B$4)</f>
        <v>29.13</v>
      </c>
      <c r="E6330" s="14" t="str">
        <f aca="false">IF(C6330="","",C6330*D6330/100)</f>
        <v/>
      </c>
      <c r="F6330" s="15" t="str">
        <f aca="false">IF(B6330&lt;5,"Go","Standard")</f>
        <v>Standard</v>
      </c>
    </row>
    <row r="6331" customFormat="false" ht="15" hidden="false" customHeight="true" outlineLevel="0" collapsed="false">
      <c r="A6331" s="10" t="n">
        <f aca="false">Einstellungen!$B$5+INT((ROW()-9)/24)</f>
        <v>46229</v>
      </c>
      <c r="B6331" s="11" t="n">
        <f aca="false">MOD(ROW()-9,24)</f>
        <v>10</v>
      </c>
      <c r="C6331" s="12"/>
      <c r="D6331" s="13" t="n">
        <f aca="false">IF(B6331&lt;5,Einstellungen!$B$3,Einstellungen!$B$4)</f>
        <v>29.13</v>
      </c>
      <c r="E6331" s="14" t="str">
        <f aca="false">IF(C6331="","",C6331*D6331/100)</f>
        <v/>
      </c>
      <c r="F6331" s="15" t="str">
        <f aca="false">IF(B6331&lt;5,"Go","Standard")</f>
        <v>Standard</v>
      </c>
    </row>
    <row r="6332" customFormat="false" ht="15" hidden="false" customHeight="true" outlineLevel="0" collapsed="false">
      <c r="A6332" s="10" t="n">
        <f aca="false">Einstellungen!$B$5+INT((ROW()-9)/24)</f>
        <v>46229</v>
      </c>
      <c r="B6332" s="11" t="n">
        <f aca="false">MOD(ROW()-9,24)</f>
        <v>11</v>
      </c>
      <c r="C6332" s="12"/>
      <c r="D6332" s="13" t="n">
        <f aca="false">IF(B6332&lt;5,Einstellungen!$B$3,Einstellungen!$B$4)</f>
        <v>29.13</v>
      </c>
      <c r="E6332" s="14" t="str">
        <f aca="false">IF(C6332="","",C6332*D6332/100)</f>
        <v/>
      </c>
      <c r="F6332" s="15" t="str">
        <f aca="false">IF(B6332&lt;5,"Go","Standard")</f>
        <v>Standard</v>
      </c>
    </row>
    <row r="6333" customFormat="false" ht="15" hidden="false" customHeight="true" outlineLevel="0" collapsed="false">
      <c r="A6333" s="10" t="n">
        <f aca="false">Einstellungen!$B$5+INT((ROW()-9)/24)</f>
        <v>46229</v>
      </c>
      <c r="B6333" s="11" t="n">
        <f aca="false">MOD(ROW()-9,24)</f>
        <v>12</v>
      </c>
      <c r="C6333" s="12"/>
      <c r="D6333" s="13" t="n">
        <f aca="false">IF(B6333&lt;5,Einstellungen!$B$3,Einstellungen!$B$4)</f>
        <v>29.13</v>
      </c>
      <c r="E6333" s="14" t="str">
        <f aca="false">IF(C6333="","",C6333*D6333/100)</f>
        <v/>
      </c>
      <c r="F6333" s="15" t="str">
        <f aca="false">IF(B6333&lt;5,"Go","Standard")</f>
        <v>Standard</v>
      </c>
    </row>
    <row r="6334" customFormat="false" ht="15" hidden="false" customHeight="true" outlineLevel="0" collapsed="false">
      <c r="A6334" s="10" t="n">
        <f aca="false">Einstellungen!$B$5+INT((ROW()-9)/24)</f>
        <v>46229</v>
      </c>
      <c r="B6334" s="11" t="n">
        <f aca="false">MOD(ROW()-9,24)</f>
        <v>13</v>
      </c>
      <c r="C6334" s="12"/>
      <c r="D6334" s="13" t="n">
        <f aca="false">IF(B6334&lt;5,Einstellungen!$B$3,Einstellungen!$B$4)</f>
        <v>29.13</v>
      </c>
      <c r="E6334" s="14" t="str">
        <f aca="false">IF(C6334="","",C6334*D6334/100)</f>
        <v/>
      </c>
      <c r="F6334" s="15" t="str">
        <f aca="false">IF(B6334&lt;5,"Go","Standard")</f>
        <v>Standard</v>
      </c>
    </row>
    <row r="6335" customFormat="false" ht="15" hidden="false" customHeight="true" outlineLevel="0" collapsed="false">
      <c r="A6335" s="10" t="n">
        <f aca="false">Einstellungen!$B$5+INT((ROW()-9)/24)</f>
        <v>46229</v>
      </c>
      <c r="B6335" s="11" t="n">
        <f aca="false">MOD(ROW()-9,24)</f>
        <v>14</v>
      </c>
      <c r="C6335" s="12"/>
      <c r="D6335" s="13" t="n">
        <f aca="false">IF(B6335&lt;5,Einstellungen!$B$3,Einstellungen!$B$4)</f>
        <v>29.13</v>
      </c>
      <c r="E6335" s="14" t="str">
        <f aca="false">IF(C6335="","",C6335*D6335/100)</f>
        <v/>
      </c>
      <c r="F6335" s="15" t="str">
        <f aca="false">IF(B6335&lt;5,"Go","Standard")</f>
        <v>Standard</v>
      </c>
    </row>
    <row r="6336" customFormat="false" ht="15" hidden="false" customHeight="true" outlineLevel="0" collapsed="false">
      <c r="A6336" s="10" t="n">
        <f aca="false">Einstellungen!$B$5+INT((ROW()-9)/24)</f>
        <v>46229</v>
      </c>
      <c r="B6336" s="11" t="n">
        <f aca="false">MOD(ROW()-9,24)</f>
        <v>15</v>
      </c>
      <c r="C6336" s="12"/>
      <c r="D6336" s="13" t="n">
        <f aca="false">IF(B6336&lt;5,Einstellungen!$B$3,Einstellungen!$B$4)</f>
        <v>29.13</v>
      </c>
      <c r="E6336" s="14" t="str">
        <f aca="false">IF(C6336="","",C6336*D6336/100)</f>
        <v/>
      </c>
      <c r="F6336" s="15" t="str">
        <f aca="false">IF(B6336&lt;5,"Go","Standard")</f>
        <v>Standard</v>
      </c>
    </row>
    <row r="6337" customFormat="false" ht="15" hidden="false" customHeight="true" outlineLevel="0" collapsed="false">
      <c r="A6337" s="10" t="n">
        <f aca="false">Einstellungen!$B$5+INT((ROW()-9)/24)</f>
        <v>46229</v>
      </c>
      <c r="B6337" s="11" t="n">
        <f aca="false">MOD(ROW()-9,24)</f>
        <v>16</v>
      </c>
      <c r="C6337" s="12"/>
      <c r="D6337" s="13" t="n">
        <f aca="false">IF(B6337&lt;5,Einstellungen!$B$3,Einstellungen!$B$4)</f>
        <v>29.13</v>
      </c>
      <c r="E6337" s="14" t="str">
        <f aca="false">IF(C6337="","",C6337*D6337/100)</f>
        <v/>
      </c>
      <c r="F6337" s="15" t="str">
        <f aca="false">IF(B6337&lt;5,"Go","Standard")</f>
        <v>Standard</v>
      </c>
    </row>
    <row r="6338" customFormat="false" ht="15" hidden="false" customHeight="true" outlineLevel="0" collapsed="false">
      <c r="A6338" s="10" t="n">
        <f aca="false">Einstellungen!$B$5+INT((ROW()-9)/24)</f>
        <v>46229</v>
      </c>
      <c r="B6338" s="11" t="n">
        <f aca="false">MOD(ROW()-9,24)</f>
        <v>17</v>
      </c>
      <c r="C6338" s="12"/>
      <c r="D6338" s="13" t="n">
        <f aca="false">IF(B6338&lt;5,Einstellungen!$B$3,Einstellungen!$B$4)</f>
        <v>29.13</v>
      </c>
      <c r="E6338" s="14" t="str">
        <f aca="false">IF(C6338="","",C6338*D6338/100)</f>
        <v/>
      </c>
      <c r="F6338" s="15" t="str">
        <f aca="false">IF(B6338&lt;5,"Go","Standard")</f>
        <v>Standard</v>
      </c>
    </row>
    <row r="6339" customFormat="false" ht="15" hidden="false" customHeight="true" outlineLevel="0" collapsed="false">
      <c r="A6339" s="10" t="n">
        <f aca="false">Einstellungen!$B$5+INT((ROW()-9)/24)</f>
        <v>46229</v>
      </c>
      <c r="B6339" s="11" t="n">
        <f aca="false">MOD(ROW()-9,24)</f>
        <v>18</v>
      </c>
      <c r="C6339" s="12"/>
      <c r="D6339" s="13" t="n">
        <f aca="false">IF(B6339&lt;5,Einstellungen!$B$3,Einstellungen!$B$4)</f>
        <v>29.13</v>
      </c>
      <c r="E6339" s="14" t="str">
        <f aca="false">IF(C6339="","",C6339*D6339/100)</f>
        <v/>
      </c>
      <c r="F6339" s="15" t="str">
        <f aca="false">IF(B6339&lt;5,"Go","Standard")</f>
        <v>Standard</v>
      </c>
    </row>
    <row r="6340" customFormat="false" ht="15" hidden="false" customHeight="true" outlineLevel="0" collapsed="false">
      <c r="A6340" s="10" t="n">
        <f aca="false">Einstellungen!$B$5+INT((ROW()-9)/24)</f>
        <v>46229</v>
      </c>
      <c r="B6340" s="11" t="n">
        <f aca="false">MOD(ROW()-9,24)</f>
        <v>19</v>
      </c>
      <c r="C6340" s="12"/>
      <c r="D6340" s="13" t="n">
        <f aca="false">IF(B6340&lt;5,Einstellungen!$B$3,Einstellungen!$B$4)</f>
        <v>29.13</v>
      </c>
      <c r="E6340" s="14" t="str">
        <f aca="false">IF(C6340="","",C6340*D6340/100)</f>
        <v/>
      </c>
      <c r="F6340" s="15" t="str">
        <f aca="false">IF(B6340&lt;5,"Go","Standard")</f>
        <v>Standard</v>
      </c>
    </row>
    <row r="6341" customFormat="false" ht="15" hidden="false" customHeight="true" outlineLevel="0" collapsed="false">
      <c r="A6341" s="10" t="n">
        <f aca="false">Einstellungen!$B$5+INT((ROW()-9)/24)</f>
        <v>46229</v>
      </c>
      <c r="B6341" s="11" t="n">
        <f aca="false">MOD(ROW()-9,24)</f>
        <v>20</v>
      </c>
      <c r="C6341" s="12"/>
      <c r="D6341" s="13" t="n">
        <f aca="false">IF(B6341&lt;5,Einstellungen!$B$3,Einstellungen!$B$4)</f>
        <v>29.13</v>
      </c>
      <c r="E6341" s="14" t="str">
        <f aca="false">IF(C6341="","",C6341*D6341/100)</f>
        <v/>
      </c>
      <c r="F6341" s="15" t="str">
        <f aca="false">IF(B6341&lt;5,"Go","Standard")</f>
        <v>Standard</v>
      </c>
    </row>
    <row r="6342" customFormat="false" ht="15" hidden="false" customHeight="true" outlineLevel="0" collapsed="false">
      <c r="A6342" s="10" t="n">
        <f aca="false">Einstellungen!$B$5+INT((ROW()-9)/24)</f>
        <v>46229</v>
      </c>
      <c r="B6342" s="11" t="n">
        <f aca="false">MOD(ROW()-9,24)</f>
        <v>21</v>
      </c>
      <c r="C6342" s="12"/>
      <c r="D6342" s="13" t="n">
        <f aca="false">IF(B6342&lt;5,Einstellungen!$B$3,Einstellungen!$B$4)</f>
        <v>29.13</v>
      </c>
      <c r="E6342" s="14" t="str">
        <f aca="false">IF(C6342="","",C6342*D6342/100)</f>
        <v/>
      </c>
      <c r="F6342" s="15" t="str">
        <f aca="false">IF(B6342&lt;5,"Go","Standard")</f>
        <v>Standard</v>
      </c>
    </row>
    <row r="6343" customFormat="false" ht="15" hidden="false" customHeight="true" outlineLevel="0" collapsed="false">
      <c r="A6343" s="10" t="n">
        <f aca="false">Einstellungen!$B$5+INT((ROW()-9)/24)</f>
        <v>46229</v>
      </c>
      <c r="B6343" s="11" t="n">
        <f aca="false">MOD(ROW()-9,24)</f>
        <v>22</v>
      </c>
      <c r="C6343" s="12"/>
      <c r="D6343" s="13" t="n">
        <f aca="false">IF(B6343&lt;5,Einstellungen!$B$3,Einstellungen!$B$4)</f>
        <v>29.13</v>
      </c>
      <c r="E6343" s="14" t="str">
        <f aca="false">IF(C6343="","",C6343*D6343/100)</f>
        <v/>
      </c>
      <c r="F6343" s="15" t="str">
        <f aca="false">IF(B6343&lt;5,"Go","Standard")</f>
        <v>Standard</v>
      </c>
    </row>
    <row r="6344" customFormat="false" ht="15" hidden="false" customHeight="true" outlineLevel="0" collapsed="false">
      <c r="A6344" s="10" t="n">
        <f aca="false">Einstellungen!$B$5+INT((ROW()-9)/24)</f>
        <v>46229</v>
      </c>
      <c r="B6344" s="11" t="n">
        <f aca="false">MOD(ROW()-9,24)</f>
        <v>23</v>
      </c>
      <c r="C6344" s="12"/>
      <c r="D6344" s="13" t="n">
        <f aca="false">IF(B6344&lt;5,Einstellungen!$B$3,Einstellungen!$B$4)</f>
        <v>29.13</v>
      </c>
      <c r="E6344" s="14" t="str">
        <f aca="false">IF(C6344="","",C6344*D6344/100)</f>
        <v/>
      </c>
      <c r="F6344" s="15" t="str">
        <f aca="false">IF(B6344&lt;5,"Go","Standard")</f>
        <v>Standard</v>
      </c>
    </row>
    <row r="6345" customFormat="false" ht="15" hidden="false" customHeight="true" outlineLevel="0" collapsed="false">
      <c r="A6345" s="10" t="n">
        <f aca="false">Einstellungen!$B$5+INT((ROW()-9)/24)</f>
        <v>46230</v>
      </c>
      <c r="B6345" s="11" t="n">
        <f aca="false">MOD(ROW()-9,24)</f>
        <v>0</v>
      </c>
      <c r="C6345" s="12"/>
      <c r="D6345" s="13" t="n">
        <f aca="false">IF(B6345&lt;5,Einstellungen!$B$3,Einstellungen!$B$4)</f>
        <v>15.92</v>
      </c>
      <c r="E6345" s="14" t="str">
        <f aca="false">IF(C6345="","",C6345*D6345/100)</f>
        <v/>
      </c>
      <c r="F6345" s="15" t="str">
        <f aca="false">IF(B6345&lt;5,"Go","Standard")</f>
        <v>Go</v>
      </c>
    </row>
    <row r="6346" customFormat="false" ht="15" hidden="false" customHeight="true" outlineLevel="0" collapsed="false">
      <c r="A6346" s="10" t="n">
        <f aca="false">Einstellungen!$B$5+INT((ROW()-9)/24)</f>
        <v>46230</v>
      </c>
      <c r="B6346" s="11" t="n">
        <f aca="false">MOD(ROW()-9,24)</f>
        <v>1</v>
      </c>
      <c r="C6346" s="12"/>
      <c r="D6346" s="13" t="n">
        <f aca="false">IF(B6346&lt;5,Einstellungen!$B$3,Einstellungen!$B$4)</f>
        <v>15.92</v>
      </c>
      <c r="E6346" s="14" t="str">
        <f aca="false">IF(C6346="","",C6346*D6346/100)</f>
        <v/>
      </c>
      <c r="F6346" s="15" t="str">
        <f aca="false">IF(B6346&lt;5,"Go","Standard")</f>
        <v>Go</v>
      </c>
    </row>
    <row r="6347" customFormat="false" ht="15" hidden="false" customHeight="true" outlineLevel="0" collapsed="false">
      <c r="A6347" s="10" t="n">
        <f aca="false">Einstellungen!$B$5+INT((ROW()-9)/24)</f>
        <v>46230</v>
      </c>
      <c r="B6347" s="11" t="n">
        <f aca="false">MOD(ROW()-9,24)</f>
        <v>2</v>
      </c>
      <c r="C6347" s="12"/>
      <c r="D6347" s="13" t="n">
        <f aca="false">IF(B6347&lt;5,Einstellungen!$B$3,Einstellungen!$B$4)</f>
        <v>15.92</v>
      </c>
      <c r="E6347" s="14" t="str">
        <f aca="false">IF(C6347="","",C6347*D6347/100)</f>
        <v/>
      </c>
      <c r="F6347" s="15" t="str">
        <f aca="false">IF(B6347&lt;5,"Go","Standard")</f>
        <v>Go</v>
      </c>
    </row>
    <row r="6348" customFormat="false" ht="15" hidden="false" customHeight="true" outlineLevel="0" collapsed="false">
      <c r="A6348" s="10" t="n">
        <f aca="false">Einstellungen!$B$5+INT((ROW()-9)/24)</f>
        <v>46230</v>
      </c>
      <c r="B6348" s="11" t="n">
        <f aca="false">MOD(ROW()-9,24)</f>
        <v>3</v>
      </c>
      <c r="C6348" s="12"/>
      <c r="D6348" s="13" t="n">
        <f aca="false">IF(B6348&lt;5,Einstellungen!$B$3,Einstellungen!$B$4)</f>
        <v>15.92</v>
      </c>
      <c r="E6348" s="14" t="str">
        <f aca="false">IF(C6348="","",C6348*D6348/100)</f>
        <v/>
      </c>
      <c r="F6348" s="15" t="str">
        <f aca="false">IF(B6348&lt;5,"Go","Standard")</f>
        <v>Go</v>
      </c>
    </row>
    <row r="6349" customFormat="false" ht="15" hidden="false" customHeight="true" outlineLevel="0" collapsed="false">
      <c r="A6349" s="10" t="n">
        <f aca="false">Einstellungen!$B$5+INT((ROW()-9)/24)</f>
        <v>46230</v>
      </c>
      <c r="B6349" s="11" t="n">
        <f aca="false">MOD(ROW()-9,24)</f>
        <v>4</v>
      </c>
      <c r="C6349" s="12"/>
      <c r="D6349" s="13" t="n">
        <f aca="false">IF(B6349&lt;5,Einstellungen!$B$3,Einstellungen!$B$4)</f>
        <v>15.92</v>
      </c>
      <c r="E6349" s="14" t="str">
        <f aca="false">IF(C6349="","",C6349*D6349/100)</f>
        <v/>
      </c>
      <c r="F6349" s="15" t="str">
        <f aca="false">IF(B6349&lt;5,"Go","Standard")</f>
        <v>Go</v>
      </c>
    </row>
    <row r="6350" customFormat="false" ht="15" hidden="false" customHeight="true" outlineLevel="0" collapsed="false">
      <c r="A6350" s="10" t="n">
        <f aca="false">Einstellungen!$B$5+INT((ROW()-9)/24)</f>
        <v>46230</v>
      </c>
      <c r="B6350" s="11" t="n">
        <f aca="false">MOD(ROW()-9,24)</f>
        <v>5</v>
      </c>
      <c r="C6350" s="12"/>
      <c r="D6350" s="13" t="n">
        <f aca="false">IF(B6350&lt;5,Einstellungen!$B$3,Einstellungen!$B$4)</f>
        <v>29.13</v>
      </c>
      <c r="E6350" s="14" t="str">
        <f aca="false">IF(C6350="","",C6350*D6350/100)</f>
        <v/>
      </c>
      <c r="F6350" s="15" t="str">
        <f aca="false">IF(B6350&lt;5,"Go","Standard")</f>
        <v>Standard</v>
      </c>
    </row>
    <row r="6351" customFormat="false" ht="15" hidden="false" customHeight="true" outlineLevel="0" collapsed="false">
      <c r="A6351" s="10" t="n">
        <f aca="false">Einstellungen!$B$5+INT((ROW()-9)/24)</f>
        <v>46230</v>
      </c>
      <c r="B6351" s="11" t="n">
        <f aca="false">MOD(ROW()-9,24)</f>
        <v>6</v>
      </c>
      <c r="C6351" s="12"/>
      <c r="D6351" s="13" t="n">
        <f aca="false">IF(B6351&lt;5,Einstellungen!$B$3,Einstellungen!$B$4)</f>
        <v>29.13</v>
      </c>
      <c r="E6351" s="14" t="str">
        <f aca="false">IF(C6351="","",C6351*D6351/100)</f>
        <v/>
      </c>
      <c r="F6351" s="15" t="str">
        <f aca="false">IF(B6351&lt;5,"Go","Standard")</f>
        <v>Standard</v>
      </c>
    </row>
    <row r="6352" customFormat="false" ht="15" hidden="false" customHeight="true" outlineLevel="0" collapsed="false">
      <c r="A6352" s="10" t="n">
        <f aca="false">Einstellungen!$B$5+INT((ROW()-9)/24)</f>
        <v>46230</v>
      </c>
      <c r="B6352" s="11" t="n">
        <f aca="false">MOD(ROW()-9,24)</f>
        <v>7</v>
      </c>
      <c r="C6352" s="12"/>
      <c r="D6352" s="13" t="n">
        <f aca="false">IF(B6352&lt;5,Einstellungen!$B$3,Einstellungen!$B$4)</f>
        <v>29.13</v>
      </c>
      <c r="E6352" s="14" t="str">
        <f aca="false">IF(C6352="","",C6352*D6352/100)</f>
        <v/>
      </c>
      <c r="F6352" s="15" t="str">
        <f aca="false">IF(B6352&lt;5,"Go","Standard")</f>
        <v>Standard</v>
      </c>
    </row>
    <row r="6353" customFormat="false" ht="15" hidden="false" customHeight="true" outlineLevel="0" collapsed="false">
      <c r="A6353" s="10" t="n">
        <f aca="false">Einstellungen!$B$5+INT((ROW()-9)/24)</f>
        <v>46230</v>
      </c>
      <c r="B6353" s="11" t="n">
        <f aca="false">MOD(ROW()-9,24)</f>
        <v>8</v>
      </c>
      <c r="C6353" s="12"/>
      <c r="D6353" s="13" t="n">
        <f aca="false">IF(B6353&lt;5,Einstellungen!$B$3,Einstellungen!$B$4)</f>
        <v>29.13</v>
      </c>
      <c r="E6353" s="14" t="str">
        <f aca="false">IF(C6353="","",C6353*D6353/100)</f>
        <v/>
      </c>
      <c r="F6353" s="15" t="str">
        <f aca="false">IF(B6353&lt;5,"Go","Standard")</f>
        <v>Standard</v>
      </c>
    </row>
    <row r="6354" customFormat="false" ht="15" hidden="false" customHeight="true" outlineLevel="0" collapsed="false">
      <c r="A6354" s="10" t="n">
        <f aca="false">Einstellungen!$B$5+INT((ROW()-9)/24)</f>
        <v>46230</v>
      </c>
      <c r="B6354" s="11" t="n">
        <f aca="false">MOD(ROW()-9,24)</f>
        <v>9</v>
      </c>
      <c r="C6354" s="12"/>
      <c r="D6354" s="13" t="n">
        <f aca="false">IF(B6354&lt;5,Einstellungen!$B$3,Einstellungen!$B$4)</f>
        <v>29.13</v>
      </c>
      <c r="E6354" s="14" t="str">
        <f aca="false">IF(C6354="","",C6354*D6354/100)</f>
        <v/>
      </c>
      <c r="F6354" s="15" t="str">
        <f aca="false">IF(B6354&lt;5,"Go","Standard")</f>
        <v>Standard</v>
      </c>
    </row>
    <row r="6355" customFormat="false" ht="15" hidden="false" customHeight="true" outlineLevel="0" collapsed="false">
      <c r="A6355" s="10" t="n">
        <f aca="false">Einstellungen!$B$5+INT((ROW()-9)/24)</f>
        <v>46230</v>
      </c>
      <c r="B6355" s="11" t="n">
        <f aca="false">MOD(ROW()-9,24)</f>
        <v>10</v>
      </c>
      <c r="C6355" s="12"/>
      <c r="D6355" s="13" t="n">
        <f aca="false">IF(B6355&lt;5,Einstellungen!$B$3,Einstellungen!$B$4)</f>
        <v>29.13</v>
      </c>
      <c r="E6355" s="14" t="str">
        <f aca="false">IF(C6355="","",C6355*D6355/100)</f>
        <v/>
      </c>
      <c r="F6355" s="15" t="str">
        <f aca="false">IF(B6355&lt;5,"Go","Standard")</f>
        <v>Standard</v>
      </c>
    </row>
    <row r="6356" customFormat="false" ht="15" hidden="false" customHeight="true" outlineLevel="0" collapsed="false">
      <c r="A6356" s="10" t="n">
        <f aca="false">Einstellungen!$B$5+INT((ROW()-9)/24)</f>
        <v>46230</v>
      </c>
      <c r="B6356" s="11" t="n">
        <f aca="false">MOD(ROW()-9,24)</f>
        <v>11</v>
      </c>
      <c r="C6356" s="12"/>
      <c r="D6356" s="13" t="n">
        <f aca="false">IF(B6356&lt;5,Einstellungen!$B$3,Einstellungen!$B$4)</f>
        <v>29.13</v>
      </c>
      <c r="E6356" s="14" t="str">
        <f aca="false">IF(C6356="","",C6356*D6356/100)</f>
        <v/>
      </c>
      <c r="F6356" s="15" t="str">
        <f aca="false">IF(B6356&lt;5,"Go","Standard")</f>
        <v>Standard</v>
      </c>
    </row>
    <row r="6357" customFormat="false" ht="15" hidden="false" customHeight="true" outlineLevel="0" collapsed="false">
      <c r="A6357" s="10" t="n">
        <f aca="false">Einstellungen!$B$5+INT((ROW()-9)/24)</f>
        <v>46230</v>
      </c>
      <c r="B6357" s="11" t="n">
        <f aca="false">MOD(ROW()-9,24)</f>
        <v>12</v>
      </c>
      <c r="C6357" s="12"/>
      <c r="D6357" s="13" t="n">
        <f aca="false">IF(B6357&lt;5,Einstellungen!$B$3,Einstellungen!$B$4)</f>
        <v>29.13</v>
      </c>
      <c r="E6357" s="14" t="str">
        <f aca="false">IF(C6357="","",C6357*D6357/100)</f>
        <v/>
      </c>
      <c r="F6357" s="15" t="str">
        <f aca="false">IF(B6357&lt;5,"Go","Standard")</f>
        <v>Standard</v>
      </c>
    </row>
    <row r="6358" customFormat="false" ht="15" hidden="false" customHeight="true" outlineLevel="0" collapsed="false">
      <c r="A6358" s="10" t="n">
        <f aca="false">Einstellungen!$B$5+INT((ROW()-9)/24)</f>
        <v>46230</v>
      </c>
      <c r="B6358" s="11" t="n">
        <f aca="false">MOD(ROW()-9,24)</f>
        <v>13</v>
      </c>
      <c r="C6358" s="12"/>
      <c r="D6358" s="13" t="n">
        <f aca="false">IF(B6358&lt;5,Einstellungen!$B$3,Einstellungen!$B$4)</f>
        <v>29.13</v>
      </c>
      <c r="E6358" s="14" t="str">
        <f aca="false">IF(C6358="","",C6358*D6358/100)</f>
        <v/>
      </c>
      <c r="F6358" s="15" t="str">
        <f aca="false">IF(B6358&lt;5,"Go","Standard")</f>
        <v>Standard</v>
      </c>
    </row>
    <row r="6359" customFormat="false" ht="15" hidden="false" customHeight="true" outlineLevel="0" collapsed="false">
      <c r="A6359" s="10" t="n">
        <f aca="false">Einstellungen!$B$5+INT((ROW()-9)/24)</f>
        <v>46230</v>
      </c>
      <c r="B6359" s="11" t="n">
        <f aca="false">MOD(ROW()-9,24)</f>
        <v>14</v>
      </c>
      <c r="C6359" s="12"/>
      <c r="D6359" s="13" t="n">
        <f aca="false">IF(B6359&lt;5,Einstellungen!$B$3,Einstellungen!$B$4)</f>
        <v>29.13</v>
      </c>
      <c r="E6359" s="14" t="str">
        <f aca="false">IF(C6359="","",C6359*D6359/100)</f>
        <v/>
      </c>
      <c r="F6359" s="15" t="str">
        <f aca="false">IF(B6359&lt;5,"Go","Standard")</f>
        <v>Standard</v>
      </c>
    </row>
    <row r="6360" customFormat="false" ht="15" hidden="false" customHeight="true" outlineLevel="0" collapsed="false">
      <c r="A6360" s="10" t="n">
        <f aca="false">Einstellungen!$B$5+INT((ROW()-9)/24)</f>
        <v>46230</v>
      </c>
      <c r="B6360" s="11" t="n">
        <f aca="false">MOD(ROW()-9,24)</f>
        <v>15</v>
      </c>
      <c r="C6360" s="12"/>
      <c r="D6360" s="13" t="n">
        <f aca="false">IF(B6360&lt;5,Einstellungen!$B$3,Einstellungen!$B$4)</f>
        <v>29.13</v>
      </c>
      <c r="E6360" s="14" t="str">
        <f aca="false">IF(C6360="","",C6360*D6360/100)</f>
        <v/>
      </c>
      <c r="F6360" s="15" t="str">
        <f aca="false">IF(B6360&lt;5,"Go","Standard")</f>
        <v>Standard</v>
      </c>
    </row>
    <row r="6361" customFormat="false" ht="15" hidden="false" customHeight="true" outlineLevel="0" collapsed="false">
      <c r="A6361" s="10" t="n">
        <f aca="false">Einstellungen!$B$5+INT((ROW()-9)/24)</f>
        <v>46230</v>
      </c>
      <c r="B6361" s="11" t="n">
        <f aca="false">MOD(ROW()-9,24)</f>
        <v>16</v>
      </c>
      <c r="C6361" s="12"/>
      <c r="D6361" s="13" t="n">
        <f aca="false">IF(B6361&lt;5,Einstellungen!$B$3,Einstellungen!$B$4)</f>
        <v>29.13</v>
      </c>
      <c r="E6361" s="14" t="str">
        <f aca="false">IF(C6361="","",C6361*D6361/100)</f>
        <v/>
      </c>
      <c r="F6361" s="15" t="str">
        <f aca="false">IF(B6361&lt;5,"Go","Standard")</f>
        <v>Standard</v>
      </c>
    </row>
    <row r="6362" customFormat="false" ht="15" hidden="false" customHeight="true" outlineLevel="0" collapsed="false">
      <c r="A6362" s="10" t="n">
        <f aca="false">Einstellungen!$B$5+INT((ROW()-9)/24)</f>
        <v>46230</v>
      </c>
      <c r="B6362" s="11" t="n">
        <f aca="false">MOD(ROW()-9,24)</f>
        <v>17</v>
      </c>
      <c r="C6362" s="12"/>
      <c r="D6362" s="13" t="n">
        <f aca="false">IF(B6362&lt;5,Einstellungen!$B$3,Einstellungen!$B$4)</f>
        <v>29.13</v>
      </c>
      <c r="E6362" s="14" t="str">
        <f aca="false">IF(C6362="","",C6362*D6362/100)</f>
        <v/>
      </c>
      <c r="F6362" s="15" t="str">
        <f aca="false">IF(B6362&lt;5,"Go","Standard")</f>
        <v>Standard</v>
      </c>
    </row>
    <row r="6363" customFormat="false" ht="15" hidden="false" customHeight="true" outlineLevel="0" collapsed="false">
      <c r="A6363" s="10" t="n">
        <f aca="false">Einstellungen!$B$5+INT((ROW()-9)/24)</f>
        <v>46230</v>
      </c>
      <c r="B6363" s="11" t="n">
        <f aca="false">MOD(ROW()-9,24)</f>
        <v>18</v>
      </c>
      <c r="C6363" s="12"/>
      <c r="D6363" s="13" t="n">
        <f aca="false">IF(B6363&lt;5,Einstellungen!$B$3,Einstellungen!$B$4)</f>
        <v>29.13</v>
      </c>
      <c r="E6363" s="14" t="str">
        <f aca="false">IF(C6363="","",C6363*D6363/100)</f>
        <v/>
      </c>
      <c r="F6363" s="15" t="str">
        <f aca="false">IF(B6363&lt;5,"Go","Standard")</f>
        <v>Standard</v>
      </c>
    </row>
    <row r="6364" customFormat="false" ht="15" hidden="false" customHeight="true" outlineLevel="0" collapsed="false">
      <c r="A6364" s="10" t="n">
        <f aca="false">Einstellungen!$B$5+INT((ROW()-9)/24)</f>
        <v>46230</v>
      </c>
      <c r="B6364" s="11" t="n">
        <f aca="false">MOD(ROW()-9,24)</f>
        <v>19</v>
      </c>
      <c r="C6364" s="12"/>
      <c r="D6364" s="13" t="n">
        <f aca="false">IF(B6364&lt;5,Einstellungen!$B$3,Einstellungen!$B$4)</f>
        <v>29.13</v>
      </c>
      <c r="E6364" s="14" t="str">
        <f aca="false">IF(C6364="","",C6364*D6364/100)</f>
        <v/>
      </c>
      <c r="F6364" s="15" t="str">
        <f aca="false">IF(B6364&lt;5,"Go","Standard")</f>
        <v>Standard</v>
      </c>
    </row>
    <row r="6365" customFormat="false" ht="15" hidden="false" customHeight="true" outlineLevel="0" collapsed="false">
      <c r="A6365" s="10" t="n">
        <f aca="false">Einstellungen!$B$5+INT((ROW()-9)/24)</f>
        <v>46230</v>
      </c>
      <c r="B6365" s="11" t="n">
        <f aca="false">MOD(ROW()-9,24)</f>
        <v>20</v>
      </c>
      <c r="C6365" s="12"/>
      <c r="D6365" s="13" t="n">
        <f aca="false">IF(B6365&lt;5,Einstellungen!$B$3,Einstellungen!$B$4)</f>
        <v>29.13</v>
      </c>
      <c r="E6365" s="14" t="str">
        <f aca="false">IF(C6365="","",C6365*D6365/100)</f>
        <v/>
      </c>
      <c r="F6365" s="15" t="str">
        <f aca="false">IF(B6365&lt;5,"Go","Standard")</f>
        <v>Standard</v>
      </c>
    </row>
    <row r="6366" customFormat="false" ht="15" hidden="false" customHeight="true" outlineLevel="0" collapsed="false">
      <c r="A6366" s="10" t="n">
        <f aca="false">Einstellungen!$B$5+INT((ROW()-9)/24)</f>
        <v>46230</v>
      </c>
      <c r="B6366" s="11" t="n">
        <f aca="false">MOD(ROW()-9,24)</f>
        <v>21</v>
      </c>
      <c r="C6366" s="12"/>
      <c r="D6366" s="13" t="n">
        <f aca="false">IF(B6366&lt;5,Einstellungen!$B$3,Einstellungen!$B$4)</f>
        <v>29.13</v>
      </c>
      <c r="E6366" s="14" t="str">
        <f aca="false">IF(C6366="","",C6366*D6366/100)</f>
        <v/>
      </c>
      <c r="F6366" s="15" t="str">
        <f aca="false">IF(B6366&lt;5,"Go","Standard")</f>
        <v>Standard</v>
      </c>
    </row>
    <row r="6367" customFormat="false" ht="15" hidden="false" customHeight="true" outlineLevel="0" collapsed="false">
      <c r="A6367" s="10" t="n">
        <f aca="false">Einstellungen!$B$5+INT((ROW()-9)/24)</f>
        <v>46230</v>
      </c>
      <c r="B6367" s="11" t="n">
        <f aca="false">MOD(ROW()-9,24)</f>
        <v>22</v>
      </c>
      <c r="C6367" s="12"/>
      <c r="D6367" s="13" t="n">
        <f aca="false">IF(B6367&lt;5,Einstellungen!$B$3,Einstellungen!$B$4)</f>
        <v>29.13</v>
      </c>
      <c r="E6367" s="14" t="str">
        <f aca="false">IF(C6367="","",C6367*D6367/100)</f>
        <v/>
      </c>
      <c r="F6367" s="15" t="str">
        <f aca="false">IF(B6367&lt;5,"Go","Standard")</f>
        <v>Standard</v>
      </c>
    </row>
    <row r="6368" customFormat="false" ht="15" hidden="false" customHeight="true" outlineLevel="0" collapsed="false">
      <c r="A6368" s="10" t="n">
        <f aca="false">Einstellungen!$B$5+INT((ROW()-9)/24)</f>
        <v>46230</v>
      </c>
      <c r="B6368" s="11" t="n">
        <f aca="false">MOD(ROW()-9,24)</f>
        <v>23</v>
      </c>
      <c r="C6368" s="12"/>
      <c r="D6368" s="13" t="n">
        <f aca="false">IF(B6368&lt;5,Einstellungen!$B$3,Einstellungen!$B$4)</f>
        <v>29.13</v>
      </c>
      <c r="E6368" s="14" t="str">
        <f aca="false">IF(C6368="","",C6368*D6368/100)</f>
        <v/>
      </c>
      <c r="F6368" s="15" t="str">
        <f aca="false">IF(B6368&lt;5,"Go","Standard")</f>
        <v>Standard</v>
      </c>
    </row>
    <row r="6369" customFormat="false" ht="15" hidden="false" customHeight="true" outlineLevel="0" collapsed="false">
      <c r="A6369" s="10" t="n">
        <f aca="false">Einstellungen!$B$5+INT((ROW()-9)/24)</f>
        <v>46231</v>
      </c>
      <c r="B6369" s="11" t="n">
        <f aca="false">MOD(ROW()-9,24)</f>
        <v>0</v>
      </c>
      <c r="C6369" s="12"/>
      <c r="D6369" s="13" t="n">
        <f aca="false">IF(B6369&lt;5,Einstellungen!$B$3,Einstellungen!$B$4)</f>
        <v>15.92</v>
      </c>
      <c r="E6369" s="14" t="str">
        <f aca="false">IF(C6369="","",C6369*D6369/100)</f>
        <v/>
      </c>
      <c r="F6369" s="15" t="str">
        <f aca="false">IF(B6369&lt;5,"Go","Standard")</f>
        <v>Go</v>
      </c>
    </row>
    <row r="6370" customFormat="false" ht="15" hidden="false" customHeight="true" outlineLevel="0" collapsed="false">
      <c r="A6370" s="10" t="n">
        <f aca="false">Einstellungen!$B$5+INT((ROW()-9)/24)</f>
        <v>46231</v>
      </c>
      <c r="B6370" s="11" t="n">
        <f aca="false">MOD(ROW()-9,24)</f>
        <v>1</v>
      </c>
      <c r="C6370" s="12"/>
      <c r="D6370" s="13" t="n">
        <f aca="false">IF(B6370&lt;5,Einstellungen!$B$3,Einstellungen!$B$4)</f>
        <v>15.92</v>
      </c>
      <c r="E6370" s="14" t="str">
        <f aca="false">IF(C6370="","",C6370*D6370/100)</f>
        <v/>
      </c>
      <c r="F6370" s="15" t="str">
        <f aca="false">IF(B6370&lt;5,"Go","Standard")</f>
        <v>Go</v>
      </c>
    </row>
    <row r="6371" customFormat="false" ht="15" hidden="false" customHeight="true" outlineLevel="0" collapsed="false">
      <c r="A6371" s="10" t="n">
        <f aca="false">Einstellungen!$B$5+INT((ROW()-9)/24)</f>
        <v>46231</v>
      </c>
      <c r="B6371" s="11" t="n">
        <f aca="false">MOD(ROW()-9,24)</f>
        <v>2</v>
      </c>
      <c r="C6371" s="12"/>
      <c r="D6371" s="13" t="n">
        <f aca="false">IF(B6371&lt;5,Einstellungen!$B$3,Einstellungen!$B$4)</f>
        <v>15.92</v>
      </c>
      <c r="E6371" s="14" t="str">
        <f aca="false">IF(C6371="","",C6371*D6371/100)</f>
        <v/>
      </c>
      <c r="F6371" s="15" t="str">
        <f aca="false">IF(B6371&lt;5,"Go","Standard")</f>
        <v>Go</v>
      </c>
    </row>
    <row r="6372" customFormat="false" ht="15" hidden="false" customHeight="true" outlineLevel="0" collapsed="false">
      <c r="A6372" s="10" t="n">
        <f aca="false">Einstellungen!$B$5+INT((ROW()-9)/24)</f>
        <v>46231</v>
      </c>
      <c r="B6372" s="11" t="n">
        <f aca="false">MOD(ROW()-9,24)</f>
        <v>3</v>
      </c>
      <c r="C6372" s="12"/>
      <c r="D6372" s="13" t="n">
        <f aca="false">IF(B6372&lt;5,Einstellungen!$B$3,Einstellungen!$B$4)</f>
        <v>15.92</v>
      </c>
      <c r="E6372" s="14" t="str">
        <f aca="false">IF(C6372="","",C6372*D6372/100)</f>
        <v/>
      </c>
      <c r="F6372" s="15" t="str">
        <f aca="false">IF(B6372&lt;5,"Go","Standard")</f>
        <v>Go</v>
      </c>
    </row>
    <row r="6373" customFormat="false" ht="15" hidden="false" customHeight="true" outlineLevel="0" collapsed="false">
      <c r="A6373" s="10" t="n">
        <f aca="false">Einstellungen!$B$5+INT((ROW()-9)/24)</f>
        <v>46231</v>
      </c>
      <c r="B6373" s="11" t="n">
        <f aca="false">MOD(ROW()-9,24)</f>
        <v>4</v>
      </c>
      <c r="C6373" s="12"/>
      <c r="D6373" s="13" t="n">
        <f aca="false">IF(B6373&lt;5,Einstellungen!$B$3,Einstellungen!$B$4)</f>
        <v>15.92</v>
      </c>
      <c r="E6373" s="14" t="str">
        <f aca="false">IF(C6373="","",C6373*D6373/100)</f>
        <v/>
      </c>
      <c r="F6373" s="15" t="str">
        <f aca="false">IF(B6373&lt;5,"Go","Standard")</f>
        <v>Go</v>
      </c>
    </row>
    <row r="6374" customFormat="false" ht="15" hidden="false" customHeight="true" outlineLevel="0" collapsed="false">
      <c r="A6374" s="10" t="n">
        <f aca="false">Einstellungen!$B$5+INT((ROW()-9)/24)</f>
        <v>46231</v>
      </c>
      <c r="B6374" s="11" t="n">
        <f aca="false">MOD(ROW()-9,24)</f>
        <v>5</v>
      </c>
      <c r="C6374" s="12"/>
      <c r="D6374" s="13" t="n">
        <f aca="false">IF(B6374&lt;5,Einstellungen!$B$3,Einstellungen!$B$4)</f>
        <v>29.13</v>
      </c>
      <c r="E6374" s="14" t="str">
        <f aca="false">IF(C6374="","",C6374*D6374/100)</f>
        <v/>
      </c>
      <c r="F6374" s="15" t="str">
        <f aca="false">IF(B6374&lt;5,"Go","Standard")</f>
        <v>Standard</v>
      </c>
    </row>
    <row r="6375" customFormat="false" ht="15" hidden="false" customHeight="true" outlineLevel="0" collapsed="false">
      <c r="A6375" s="10" t="n">
        <f aca="false">Einstellungen!$B$5+INT((ROW()-9)/24)</f>
        <v>46231</v>
      </c>
      <c r="B6375" s="11" t="n">
        <f aca="false">MOD(ROW()-9,24)</f>
        <v>6</v>
      </c>
      <c r="C6375" s="12"/>
      <c r="D6375" s="13" t="n">
        <f aca="false">IF(B6375&lt;5,Einstellungen!$B$3,Einstellungen!$B$4)</f>
        <v>29.13</v>
      </c>
      <c r="E6375" s="14" t="str">
        <f aca="false">IF(C6375="","",C6375*D6375/100)</f>
        <v/>
      </c>
      <c r="F6375" s="15" t="str">
        <f aca="false">IF(B6375&lt;5,"Go","Standard")</f>
        <v>Standard</v>
      </c>
    </row>
    <row r="6376" customFormat="false" ht="15" hidden="false" customHeight="true" outlineLevel="0" collapsed="false">
      <c r="A6376" s="10" t="n">
        <f aca="false">Einstellungen!$B$5+INT((ROW()-9)/24)</f>
        <v>46231</v>
      </c>
      <c r="B6376" s="11" t="n">
        <f aca="false">MOD(ROW()-9,24)</f>
        <v>7</v>
      </c>
      <c r="C6376" s="12"/>
      <c r="D6376" s="13" t="n">
        <f aca="false">IF(B6376&lt;5,Einstellungen!$B$3,Einstellungen!$B$4)</f>
        <v>29.13</v>
      </c>
      <c r="E6376" s="14" t="str">
        <f aca="false">IF(C6376="","",C6376*D6376/100)</f>
        <v/>
      </c>
      <c r="F6376" s="15" t="str">
        <f aca="false">IF(B6376&lt;5,"Go","Standard")</f>
        <v>Standard</v>
      </c>
    </row>
    <row r="6377" customFormat="false" ht="15" hidden="false" customHeight="true" outlineLevel="0" collapsed="false">
      <c r="A6377" s="10" t="n">
        <f aca="false">Einstellungen!$B$5+INT((ROW()-9)/24)</f>
        <v>46231</v>
      </c>
      <c r="B6377" s="11" t="n">
        <f aca="false">MOD(ROW()-9,24)</f>
        <v>8</v>
      </c>
      <c r="C6377" s="12"/>
      <c r="D6377" s="13" t="n">
        <f aca="false">IF(B6377&lt;5,Einstellungen!$B$3,Einstellungen!$B$4)</f>
        <v>29.13</v>
      </c>
      <c r="E6377" s="14" t="str">
        <f aca="false">IF(C6377="","",C6377*D6377/100)</f>
        <v/>
      </c>
      <c r="F6377" s="15" t="str">
        <f aca="false">IF(B6377&lt;5,"Go","Standard")</f>
        <v>Standard</v>
      </c>
    </row>
    <row r="6378" customFormat="false" ht="15" hidden="false" customHeight="true" outlineLevel="0" collapsed="false">
      <c r="A6378" s="10" t="n">
        <f aca="false">Einstellungen!$B$5+INT((ROW()-9)/24)</f>
        <v>46231</v>
      </c>
      <c r="B6378" s="11" t="n">
        <f aca="false">MOD(ROW()-9,24)</f>
        <v>9</v>
      </c>
      <c r="C6378" s="12"/>
      <c r="D6378" s="13" t="n">
        <f aca="false">IF(B6378&lt;5,Einstellungen!$B$3,Einstellungen!$B$4)</f>
        <v>29.13</v>
      </c>
      <c r="E6378" s="14" t="str">
        <f aca="false">IF(C6378="","",C6378*D6378/100)</f>
        <v/>
      </c>
      <c r="F6378" s="15" t="str">
        <f aca="false">IF(B6378&lt;5,"Go","Standard")</f>
        <v>Standard</v>
      </c>
    </row>
    <row r="6379" customFormat="false" ht="15" hidden="false" customHeight="true" outlineLevel="0" collapsed="false">
      <c r="A6379" s="10" t="n">
        <f aca="false">Einstellungen!$B$5+INT((ROW()-9)/24)</f>
        <v>46231</v>
      </c>
      <c r="B6379" s="11" t="n">
        <f aca="false">MOD(ROW()-9,24)</f>
        <v>10</v>
      </c>
      <c r="C6379" s="12"/>
      <c r="D6379" s="13" t="n">
        <f aca="false">IF(B6379&lt;5,Einstellungen!$B$3,Einstellungen!$B$4)</f>
        <v>29.13</v>
      </c>
      <c r="E6379" s="14" t="str">
        <f aca="false">IF(C6379="","",C6379*D6379/100)</f>
        <v/>
      </c>
      <c r="F6379" s="15" t="str">
        <f aca="false">IF(B6379&lt;5,"Go","Standard")</f>
        <v>Standard</v>
      </c>
    </row>
    <row r="6380" customFormat="false" ht="15" hidden="false" customHeight="true" outlineLevel="0" collapsed="false">
      <c r="A6380" s="10" t="n">
        <f aca="false">Einstellungen!$B$5+INT((ROW()-9)/24)</f>
        <v>46231</v>
      </c>
      <c r="B6380" s="11" t="n">
        <f aca="false">MOD(ROW()-9,24)</f>
        <v>11</v>
      </c>
      <c r="C6380" s="12"/>
      <c r="D6380" s="13" t="n">
        <f aca="false">IF(B6380&lt;5,Einstellungen!$B$3,Einstellungen!$B$4)</f>
        <v>29.13</v>
      </c>
      <c r="E6380" s="14" t="str">
        <f aca="false">IF(C6380="","",C6380*D6380/100)</f>
        <v/>
      </c>
      <c r="F6380" s="15" t="str">
        <f aca="false">IF(B6380&lt;5,"Go","Standard")</f>
        <v>Standard</v>
      </c>
    </row>
    <row r="6381" customFormat="false" ht="15" hidden="false" customHeight="true" outlineLevel="0" collapsed="false">
      <c r="A6381" s="10" t="n">
        <f aca="false">Einstellungen!$B$5+INT((ROW()-9)/24)</f>
        <v>46231</v>
      </c>
      <c r="B6381" s="11" t="n">
        <f aca="false">MOD(ROW()-9,24)</f>
        <v>12</v>
      </c>
      <c r="C6381" s="12"/>
      <c r="D6381" s="13" t="n">
        <f aca="false">IF(B6381&lt;5,Einstellungen!$B$3,Einstellungen!$B$4)</f>
        <v>29.13</v>
      </c>
      <c r="E6381" s="14" t="str">
        <f aca="false">IF(C6381="","",C6381*D6381/100)</f>
        <v/>
      </c>
      <c r="F6381" s="15" t="str">
        <f aca="false">IF(B6381&lt;5,"Go","Standard")</f>
        <v>Standard</v>
      </c>
    </row>
    <row r="6382" customFormat="false" ht="15" hidden="false" customHeight="true" outlineLevel="0" collapsed="false">
      <c r="A6382" s="10" t="n">
        <f aca="false">Einstellungen!$B$5+INT((ROW()-9)/24)</f>
        <v>46231</v>
      </c>
      <c r="B6382" s="11" t="n">
        <f aca="false">MOD(ROW()-9,24)</f>
        <v>13</v>
      </c>
      <c r="C6382" s="12"/>
      <c r="D6382" s="13" t="n">
        <f aca="false">IF(B6382&lt;5,Einstellungen!$B$3,Einstellungen!$B$4)</f>
        <v>29.13</v>
      </c>
      <c r="E6382" s="14" t="str">
        <f aca="false">IF(C6382="","",C6382*D6382/100)</f>
        <v/>
      </c>
      <c r="F6382" s="15" t="str">
        <f aca="false">IF(B6382&lt;5,"Go","Standard")</f>
        <v>Standard</v>
      </c>
    </row>
    <row r="6383" customFormat="false" ht="15" hidden="false" customHeight="true" outlineLevel="0" collapsed="false">
      <c r="A6383" s="10" t="n">
        <f aca="false">Einstellungen!$B$5+INT((ROW()-9)/24)</f>
        <v>46231</v>
      </c>
      <c r="B6383" s="11" t="n">
        <f aca="false">MOD(ROW()-9,24)</f>
        <v>14</v>
      </c>
      <c r="C6383" s="12"/>
      <c r="D6383" s="13" t="n">
        <f aca="false">IF(B6383&lt;5,Einstellungen!$B$3,Einstellungen!$B$4)</f>
        <v>29.13</v>
      </c>
      <c r="E6383" s="14" t="str">
        <f aca="false">IF(C6383="","",C6383*D6383/100)</f>
        <v/>
      </c>
      <c r="F6383" s="15" t="str">
        <f aca="false">IF(B6383&lt;5,"Go","Standard")</f>
        <v>Standard</v>
      </c>
    </row>
    <row r="6384" customFormat="false" ht="15" hidden="false" customHeight="true" outlineLevel="0" collapsed="false">
      <c r="A6384" s="10" t="n">
        <f aca="false">Einstellungen!$B$5+INT((ROW()-9)/24)</f>
        <v>46231</v>
      </c>
      <c r="B6384" s="11" t="n">
        <f aca="false">MOD(ROW()-9,24)</f>
        <v>15</v>
      </c>
      <c r="C6384" s="12"/>
      <c r="D6384" s="13" t="n">
        <f aca="false">IF(B6384&lt;5,Einstellungen!$B$3,Einstellungen!$B$4)</f>
        <v>29.13</v>
      </c>
      <c r="E6384" s="14" t="str">
        <f aca="false">IF(C6384="","",C6384*D6384/100)</f>
        <v/>
      </c>
      <c r="F6384" s="15" t="str">
        <f aca="false">IF(B6384&lt;5,"Go","Standard")</f>
        <v>Standard</v>
      </c>
    </row>
    <row r="6385" customFormat="false" ht="15" hidden="false" customHeight="true" outlineLevel="0" collapsed="false">
      <c r="A6385" s="10" t="n">
        <f aca="false">Einstellungen!$B$5+INT((ROW()-9)/24)</f>
        <v>46231</v>
      </c>
      <c r="B6385" s="11" t="n">
        <f aca="false">MOD(ROW()-9,24)</f>
        <v>16</v>
      </c>
      <c r="C6385" s="12"/>
      <c r="D6385" s="13" t="n">
        <f aca="false">IF(B6385&lt;5,Einstellungen!$B$3,Einstellungen!$B$4)</f>
        <v>29.13</v>
      </c>
      <c r="E6385" s="14" t="str">
        <f aca="false">IF(C6385="","",C6385*D6385/100)</f>
        <v/>
      </c>
      <c r="F6385" s="15" t="str">
        <f aca="false">IF(B6385&lt;5,"Go","Standard")</f>
        <v>Standard</v>
      </c>
    </row>
    <row r="6386" customFormat="false" ht="15" hidden="false" customHeight="true" outlineLevel="0" collapsed="false">
      <c r="A6386" s="10" t="n">
        <f aca="false">Einstellungen!$B$5+INT((ROW()-9)/24)</f>
        <v>46231</v>
      </c>
      <c r="B6386" s="11" t="n">
        <f aca="false">MOD(ROW()-9,24)</f>
        <v>17</v>
      </c>
      <c r="C6386" s="12"/>
      <c r="D6386" s="13" t="n">
        <f aca="false">IF(B6386&lt;5,Einstellungen!$B$3,Einstellungen!$B$4)</f>
        <v>29.13</v>
      </c>
      <c r="E6386" s="14" t="str">
        <f aca="false">IF(C6386="","",C6386*D6386/100)</f>
        <v/>
      </c>
      <c r="F6386" s="15" t="str">
        <f aca="false">IF(B6386&lt;5,"Go","Standard")</f>
        <v>Standard</v>
      </c>
    </row>
    <row r="6387" customFormat="false" ht="15" hidden="false" customHeight="true" outlineLevel="0" collapsed="false">
      <c r="A6387" s="10" t="n">
        <f aca="false">Einstellungen!$B$5+INT((ROW()-9)/24)</f>
        <v>46231</v>
      </c>
      <c r="B6387" s="11" t="n">
        <f aca="false">MOD(ROW()-9,24)</f>
        <v>18</v>
      </c>
      <c r="C6387" s="12"/>
      <c r="D6387" s="13" t="n">
        <f aca="false">IF(B6387&lt;5,Einstellungen!$B$3,Einstellungen!$B$4)</f>
        <v>29.13</v>
      </c>
      <c r="E6387" s="14" t="str">
        <f aca="false">IF(C6387="","",C6387*D6387/100)</f>
        <v/>
      </c>
      <c r="F6387" s="15" t="str">
        <f aca="false">IF(B6387&lt;5,"Go","Standard")</f>
        <v>Standard</v>
      </c>
    </row>
    <row r="6388" customFormat="false" ht="15" hidden="false" customHeight="true" outlineLevel="0" collapsed="false">
      <c r="A6388" s="10" t="n">
        <f aca="false">Einstellungen!$B$5+INT((ROW()-9)/24)</f>
        <v>46231</v>
      </c>
      <c r="B6388" s="11" t="n">
        <f aca="false">MOD(ROW()-9,24)</f>
        <v>19</v>
      </c>
      <c r="C6388" s="12"/>
      <c r="D6388" s="13" t="n">
        <f aca="false">IF(B6388&lt;5,Einstellungen!$B$3,Einstellungen!$B$4)</f>
        <v>29.13</v>
      </c>
      <c r="E6388" s="14" t="str">
        <f aca="false">IF(C6388="","",C6388*D6388/100)</f>
        <v/>
      </c>
      <c r="F6388" s="15" t="str">
        <f aca="false">IF(B6388&lt;5,"Go","Standard")</f>
        <v>Standard</v>
      </c>
    </row>
    <row r="6389" customFormat="false" ht="15" hidden="false" customHeight="true" outlineLevel="0" collapsed="false">
      <c r="A6389" s="10" t="n">
        <f aca="false">Einstellungen!$B$5+INT((ROW()-9)/24)</f>
        <v>46231</v>
      </c>
      <c r="B6389" s="11" t="n">
        <f aca="false">MOD(ROW()-9,24)</f>
        <v>20</v>
      </c>
      <c r="C6389" s="12"/>
      <c r="D6389" s="13" t="n">
        <f aca="false">IF(B6389&lt;5,Einstellungen!$B$3,Einstellungen!$B$4)</f>
        <v>29.13</v>
      </c>
      <c r="E6389" s="14" t="str">
        <f aca="false">IF(C6389="","",C6389*D6389/100)</f>
        <v/>
      </c>
      <c r="F6389" s="15" t="str">
        <f aca="false">IF(B6389&lt;5,"Go","Standard")</f>
        <v>Standard</v>
      </c>
    </row>
    <row r="6390" customFormat="false" ht="15" hidden="false" customHeight="true" outlineLevel="0" collapsed="false">
      <c r="A6390" s="10" t="n">
        <f aca="false">Einstellungen!$B$5+INT((ROW()-9)/24)</f>
        <v>46231</v>
      </c>
      <c r="B6390" s="11" t="n">
        <f aca="false">MOD(ROW()-9,24)</f>
        <v>21</v>
      </c>
      <c r="C6390" s="12"/>
      <c r="D6390" s="13" t="n">
        <f aca="false">IF(B6390&lt;5,Einstellungen!$B$3,Einstellungen!$B$4)</f>
        <v>29.13</v>
      </c>
      <c r="E6390" s="14" t="str">
        <f aca="false">IF(C6390="","",C6390*D6390/100)</f>
        <v/>
      </c>
      <c r="F6390" s="15" t="str">
        <f aca="false">IF(B6390&lt;5,"Go","Standard")</f>
        <v>Standard</v>
      </c>
    </row>
    <row r="6391" customFormat="false" ht="15" hidden="false" customHeight="true" outlineLevel="0" collapsed="false">
      <c r="A6391" s="10" t="n">
        <f aca="false">Einstellungen!$B$5+INT((ROW()-9)/24)</f>
        <v>46231</v>
      </c>
      <c r="B6391" s="11" t="n">
        <f aca="false">MOD(ROW()-9,24)</f>
        <v>22</v>
      </c>
      <c r="C6391" s="12"/>
      <c r="D6391" s="13" t="n">
        <f aca="false">IF(B6391&lt;5,Einstellungen!$B$3,Einstellungen!$B$4)</f>
        <v>29.13</v>
      </c>
      <c r="E6391" s="14" t="str">
        <f aca="false">IF(C6391="","",C6391*D6391/100)</f>
        <v/>
      </c>
      <c r="F6391" s="15" t="str">
        <f aca="false">IF(B6391&lt;5,"Go","Standard")</f>
        <v>Standard</v>
      </c>
    </row>
    <row r="6392" customFormat="false" ht="15" hidden="false" customHeight="true" outlineLevel="0" collapsed="false">
      <c r="A6392" s="10" t="n">
        <f aca="false">Einstellungen!$B$5+INT((ROW()-9)/24)</f>
        <v>46231</v>
      </c>
      <c r="B6392" s="11" t="n">
        <f aca="false">MOD(ROW()-9,24)</f>
        <v>23</v>
      </c>
      <c r="C6392" s="12"/>
      <c r="D6392" s="13" t="n">
        <f aca="false">IF(B6392&lt;5,Einstellungen!$B$3,Einstellungen!$B$4)</f>
        <v>29.13</v>
      </c>
      <c r="E6392" s="14" t="str">
        <f aca="false">IF(C6392="","",C6392*D6392/100)</f>
        <v/>
      </c>
      <c r="F6392" s="15" t="str">
        <f aca="false">IF(B6392&lt;5,"Go","Standard")</f>
        <v>Standard</v>
      </c>
    </row>
    <row r="6393" customFormat="false" ht="15" hidden="false" customHeight="true" outlineLevel="0" collapsed="false">
      <c r="A6393" s="10" t="n">
        <f aca="false">Einstellungen!$B$5+INT((ROW()-9)/24)</f>
        <v>46232</v>
      </c>
      <c r="B6393" s="11" t="n">
        <f aca="false">MOD(ROW()-9,24)</f>
        <v>0</v>
      </c>
      <c r="C6393" s="12"/>
      <c r="D6393" s="13" t="n">
        <f aca="false">IF(B6393&lt;5,Einstellungen!$B$3,Einstellungen!$B$4)</f>
        <v>15.92</v>
      </c>
      <c r="E6393" s="14" t="str">
        <f aca="false">IF(C6393="","",C6393*D6393/100)</f>
        <v/>
      </c>
      <c r="F6393" s="15" t="str">
        <f aca="false">IF(B6393&lt;5,"Go","Standard")</f>
        <v>Go</v>
      </c>
    </row>
    <row r="6394" customFormat="false" ht="15" hidden="false" customHeight="true" outlineLevel="0" collapsed="false">
      <c r="A6394" s="10" t="n">
        <f aca="false">Einstellungen!$B$5+INT((ROW()-9)/24)</f>
        <v>46232</v>
      </c>
      <c r="B6394" s="11" t="n">
        <f aca="false">MOD(ROW()-9,24)</f>
        <v>1</v>
      </c>
      <c r="C6394" s="12"/>
      <c r="D6394" s="13" t="n">
        <f aca="false">IF(B6394&lt;5,Einstellungen!$B$3,Einstellungen!$B$4)</f>
        <v>15.92</v>
      </c>
      <c r="E6394" s="14" t="str">
        <f aca="false">IF(C6394="","",C6394*D6394/100)</f>
        <v/>
      </c>
      <c r="F6394" s="15" t="str">
        <f aca="false">IF(B6394&lt;5,"Go","Standard")</f>
        <v>Go</v>
      </c>
    </row>
    <row r="6395" customFormat="false" ht="15" hidden="false" customHeight="true" outlineLevel="0" collapsed="false">
      <c r="A6395" s="10" t="n">
        <f aca="false">Einstellungen!$B$5+INT((ROW()-9)/24)</f>
        <v>46232</v>
      </c>
      <c r="B6395" s="11" t="n">
        <f aca="false">MOD(ROW()-9,24)</f>
        <v>2</v>
      </c>
      <c r="C6395" s="12"/>
      <c r="D6395" s="13" t="n">
        <f aca="false">IF(B6395&lt;5,Einstellungen!$B$3,Einstellungen!$B$4)</f>
        <v>15.92</v>
      </c>
      <c r="E6395" s="14" t="str">
        <f aca="false">IF(C6395="","",C6395*D6395/100)</f>
        <v/>
      </c>
      <c r="F6395" s="15" t="str">
        <f aca="false">IF(B6395&lt;5,"Go","Standard")</f>
        <v>Go</v>
      </c>
    </row>
    <row r="6396" customFormat="false" ht="15" hidden="false" customHeight="true" outlineLevel="0" collapsed="false">
      <c r="A6396" s="10" t="n">
        <f aca="false">Einstellungen!$B$5+INT((ROW()-9)/24)</f>
        <v>46232</v>
      </c>
      <c r="B6396" s="11" t="n">
        <f aca="false">MOD(ROW()-9,24)</f>
        <v>3</v>
      </c>
      <c r="C6396" s="12"/>
      <c r="D6396" s="13" t="n">
        <f aca="false">IF(B6396&lt;5,Einstellungen!$B$3,Einstellungen!$B$4)</f>
        <v>15.92</v>
      </c>
      <c r="E6396" s="14" t="str">
        <f aca="false">IF(C6396="","",C6396*D6396/100)</f>
        <v/>
      </c>
      <c r="F6396" s="15" t="str">
        <f aca="false">IF(B6396&lt;5,"Go","Standard")</f>
        <v>Go</v>
      </c>
    </row>
    <row r="6397" customFormat="false" ht="15" hidden="false" customHeight="true" outlineLevel="0" collapsed="false">
      <c r="A6397" s="10" t="n">
        <f aca="false">Einstellungen!$B$5+INT((ROW()-9)/24)</f>
        <v>46232</v>
      </c>
      <c r="B6397" s="11" t="n">
        <f aca="false">MOD(ROW()-9,24)</f>
        <v>4</v>
      </c>
      <c r="C6397" s="12"/>
      <c r="D6397" s="13" t="n">
        <f aca="false">IF(B6397&lt;5,Einstellungen!$B$3,Einstellungen!$B$4)</f>
        <v>15.92</v>
      </c>
      <c r="E6397" s="14" t="str">
        <f aca="false">IF(C6397="","",C6397*D6397/100)</f>
        <v/>
      </c>
      <c r="F6397" s="15" t="str">
        <f aca="false">IF(B6397&lt;5,"Go","Standard")</f>
        <v>Go</v>
      </c>
    </row>
    <row r="6398" customFormat="false" ht="15" hidden="false" customHeight="true" outlineLevel="0" collapsed="false">
      <c r="A6398" s="10" t="n">
        <f aca="false">Einstellungen!$B$5+INT((ROW()-9)/24)</f>
        <v>46232</v>
      </c>
      <c r="B6398" s="11" t="n">
        <f aca="false">MOD(ROW()-9,24)</f>
        <v>5</v>
      </c>
      <c r="C6398" s="12"/>
      <c r="D6398" s="13" t="n">
        <f aca="false">IF(B6398&lt;5,Einstellungen!$B$3,Einstellungen!$B$4)</f>
        <v>29.13</v>
      </c>
      <c r="E6398" s="14" t="str">
        <f aca="false">IF(C6398="","",C6398*D6398/100)</f>
        <v/>
      </c>
      <c r="F6398" s="15" t="str">
        <f aca="false">IF(B6398&lt;5,"Go","Standard")</f>
        <v>Standard</v>
      </c>
    </row>
    <row r="6399" customFormat="false" ht="15" hidden="false" customHeight="true" outlineLevel="0" collapsed="false">
      <c r="A6399" s="10" t="n">
        <f aca="false">Einstellungen!$B$5+INT((ROW()-9)/24)</f>
        <v>46232</v>
      </c>
      <c r="B6399" s="11" t="n">
        <f aca="false">MOD(ROW()-9,24)</f>
        <v>6</v>
      </c>
      <c r="C6399" s="12"/>
      <c r="D6399" s="13" t="n">
        <f aca="false">IF(B6399&lt;5,Einstellungen!$B$3,Einstellungen!$B$4)</f>
        <v>29.13</v>
      </c>
      <c r="E6399" s="14" t="str">
        <f aca="false">IF(C6399="","",C6399*D6399/100)</f>
        <v/>
      </c>
      <c r="F6399" s="15" t="str">
        <f aca="false">IF(B6399&lt;5,"Go","Standard")</f>
        <v>Standard</v>
      </c>
    </row>
    <row r="6400" customFormat="false" ht="15" hidden="false" customHeight="true" outlineLevel="0" collapsed="false">
      <c r="A6400" s="10" t="n">
        <f aca="false">Einstellungen!$B$5+INT((ROW()-9)/24)</f>
        <v>46232</v>
      </c>
      <c r="B6400" s="11" t="n">
        <f aca="false">MOD(ROW()-9,24)</f>
        <v>7</v>
      </c>
      <c r="C6400" s="12"/>
      <c r="D6400" s="13" t="n">
        <f aca="false">IF(B6400&lt;5,Einstellungen!$B$3,Einstellungen!$B$4)</f>
        <v>29.13</v>
      </c>
      <c r="E6400" s="14" t="str">
        <f aca="false">IF(C6400="","",C6400*D6400/100)</f>
        <v/>
      </c>
      <c r="F6400" s="15" t="str">
        <f aca="false">IF(B6400&lt;5,"Go","Standard")</f>
        <v>Standard</v>
      </c>
    </row>
    <row r="6401" customFormat="false" ht="15" hidden="false" customHeight="true" outlineLevel="0" collapsed="false">
      <c r="A6401" s="10" t="n">
        <f aca="false">Einstellungen!$B$5+INT((ROW()-9)/24)</f>
        <v>46232</v>
      </c>
      <c r="B6401" s="11" t="n">
        <f aca="false">MOD(ROW()-9,24)</f>
        <v>8</v>
      </c>
      <c r="C6401" s="12"/>
      <c r="D6401" s="13" t="n">
        <f aca="false">IF(B6401&lt;5,Einstellungen!$B$3,Einstellungen!$B$4)</f>
        <v>29.13</v>
      </c>
      <c r="E6401" s="14" t="str">
        <f aca="false">IF(C6401="","",C6401*D6401/100)</f>
        <v/>
      </c>
      <c r="F6401" s="15" t="str">
        <f aca="false">IF(B6401&lt;5,"Go","Standard")</f>
        <v>Standard</v>
      </c>
    </row>
    <row r="6402" customFormat="false" ht="15" hidden="false" customHeight="true" outlineLevel="0" collapsed="false">
      <c r="A6402" s="10" t="n">
        <f aca="false">Einstellungen!$B$5+INT((ROW()-9)/24)</f>
        <v>46232</v>
      </c>
      <c r="B6402" s="11" t="n">
        <f aca="false">MOD(ROW()-9,24)</f>
        <v>9</v>
      </c>
      <c r="C6402" s="12"/>
      <c r="D6402" s="13" t="n">
        <f aca="false">IF(B6402&lt;5,Einstellungen!$B$3,Einstellungen!$B$4)</f>
        <v>29.13</v>
      </c>
      <c r="E6402" s="14" t="str">
        <f aca="false">IF(C6402="","",C6402*D6402/100)</f>
        <v/>
      </c>
      <c r="F6402" s="15" t="str">
        <f aca="false">IF(B6402&lt;5,"Go","Standard")</f>
        <v>Standard</v>
      </c>
    </row>
    <row r="6403" customFormat="false" ht="15" hidden="false" customHeight="true" outlineLevel="0" collapsed="false">
      <c r="A6403" s="10" t="n">
        <f aca="false">Einstellungen!$B$5+INT((ROW()-9)/24)</f>
        <v>46232</v>
      </c>
      <c r="B6403" s="11" t="n">
        <f aca="false">MOD(ROW()-9,24)</f>
        <v>10</v>
      </c>
      <c r="C6403" s="12"/>
      <c r="D6403" s="13" t="n">
        <f aca="false">IF(B6403&lt;5,Einstellungen!$B$3,Einstellungen!$B$4)</f>
        <v>29.13</v>
      </c>
      <c r="E6403" s="14" t="str">
        <f aca="false">IF(C6403="","",C6403*D6403/100)</f>
        <v/>
      </c>
      <c r="F6403" s="15" t="str">
        <f aca="false">IF(B6403&lt;5,"Go","Standard")</f>
        <v>Standard</v>
      </c>
    </row>
    <row r="6404" customFormat="false" ht="15" hidden="false" customHeight="true" outlineLevel="0" collapsed="false">
      <c r="A6404" s="10" t="n">
        <f aca="false">Einstellungen!$B$5+INT((ROW()-9)/24)</f>
        <v>46232</v>
      </c>
      <c r="B6404" s="11" t="n">
        <f aca="false">MOD(ROW()-9,24)</f>
        <v>11</v>
      </c>
      <c r="C6404" s="12"/>
      <c r="D6404" s="13" t="n">
        <f aca="false">IF(B6404&lt;5,Einstellungen!$B$3,Einstellungen!$B$4)</f>
        <v>29.13</v>
      </c>
      <c r="E6404" s="14" t="str">
        <f aca="false">IF(C6404="","",C6404*D6404/100)</f>
        <v/>
      </c>
      <c r="F6404" s="15" t="str">
        <f aca="false">IF(B6404&lt;5,"Go","Standard")</f>
        <v>Standard</v>
      </c>
    </row>
    <row r="6405" customFormat="false" ht="15" hidden="false" customHeight="true" outlineLevel="0" collapsed="false">
      <c r="A6405" s="10" t="n">
        <f aca="false">Einstellungen!$B$5+INT((ROW()-9)/24)</f>
        <v>46232</v>
      </c>
      <c r="B6405" s="11" t="n">
        <f aca="false">MOD(ROW()-9,24)</f>
        <v>12</v>
      </c>
      <c r="C6405" s="12"/>
      <c r="D6405" s="13" t="n">
        <f aca="false">IF(B6405&lt;5,Einstellungen!$B$3,Einstellungen!$B$4)</f>
        <v>29.13</v>
      </c>
      <c r="E6405" s="14" t="str">
        <f aca="false">IF(C6405="","",C6405*D6405/100)</f>
        <v/>
      </c>
      <c r="F6405" s="15" t="str">
        <f aca="false">IF(B6405&lt;5,"Go","Standard")</f>
        <v>Standard</v>
      </c>
    </row>
    <row r="6406" customFormat="false" ht="15" hidden="false" customHeight="true" outlineLevel="0" collapsed="false">
      <c r="A6406" s="10" t="n">
        <f aca="false">Einstellungen!$B$5+INT((ROW()-9)/24)</f>
        <v>46232</v>
      </c>
      <c r="B6406" s="11" t="n">
        <f aca="false">MOD(ROW()-9,24)</f>
        <v>13</v>
      </c>
      <c r="C6406" s="12"/>
      <c r="D6406" s="13" t="n">
        <f aca="false">IF(B6406&lt;5,Einstellungen!$B$3,Einstellungen!$B$4)</f>
        <v>29.13</v>
      </c>
      <c r="E6406" s="14" t="str">
        <f aca="false">IF(C6406="","",C6406*D6406/100)</f>
        <v/>
      </c>
      <c r="F6406" s="15" t="str">
        <f aca="false">IF(B6406&lt;5,"Go","Standard")</f>
        <v>Standard</v>
      </c>
    </row>
    <row r="6407" customFormat="false" ht="15" hidden="false" customHeight="true" outlineLevel="0" collapsed="false">
      <c r="A6407" s="10" t="n">
        <f aca="false">Einstellungen!$B$5+INT((ROW()-9)/24)</f>
        <v>46232</v>
      </c>
      <c r="B6407" s="11" t="n">
        <f aca="false">MOD(ROW()-9,24)</f>
        <v>14</v>
      </c>
      <c r="C6407" s="12"/>
      <c r="D6407" s="13" t="n">
        <f aca="false">IF(B6407&lt;5,Einstellungen!$B$3,Einstellungen!$B$4)</f>
        <v>29.13</v>
      </c>
      <c r="E6407" s="14" t="str">
        <f aca="false">IF(C6407="","",C6407*D6407/100)</f>
        <v/>
      </c>
      <c r="F6407" s="15" t="str">
        <f aca="false">IF(B6407&lt;5,"Go","Standard")</f>
        <v>Standard</v>
      </c>
    </row>
    <row r="6408" customFormat="false" ht="15" hidden="false" customHeight="true" outlineLevel="0" collapsed="false">
      <c r="A6408" s="10" t="n">
        <f aca="false">Einstellungen!$B$5+INT((ROW()-9)/24)</f>
        <v>46232</v>
      </c>
      <c r="B6408" s="11" t="n">
        <f aca="false">MOD(ROW()-9,24)</f>
        <v>15</v>
      </c>
      <c r="C6408" s="12"/>
      <c r="D6408" s="13" t="n">
        <f aca="false">IF(B6408&lt;5,Einstellungen!$B$3,Einstellungen!$B$4)</f>
        <v>29.13</v>
      </c>
      <c r="E6408" s="14" t="str">
        <f aca="false">IF(C6408="","",C6408*D6408/100)</f>
        <v/>
      </c>
      <c r="F6408" s="15" t="str">
        <f aca="false">IF(B6408&lt;5,"Go","Standard")</f>
        <v>Standard</v>
      </c>
    </row>
    <row r="6409" customFormat="false" ht="15" hidden="false" customHeight="true" outlineLevel="0" collapsed="false">
      <c r="A6409" s="10" t="n">
        <f aca="false">Einstellungen!$B$5+INT((ROW()-9)/24)</f>
        <v>46232</v>
      </c>
      <c r="B6409" s="11" t="n">
        <f aca="false">MOD(ROW()-9,24)</f>
        <v>16</v>
      </c>
      <c r="C6409" s="12"/>
      <c r="D6409" s="13" t="n">
        <f aca="false">IF(B6409&lt;5,Einstellungen!$B$3,Einstellungen!$B$4)</f>
        <v>29.13</v>
      </c>
      <c r="E6409" s="14" t="str">
        <f aca="false">IF(C6409="","",C6409*D6409/100)</f>
        <v/>
      </c>
      <c r="F6409" s="15" t="str">
        <f aca="false">IF(B6409&lt;5,"Go","Standard")</f>
        <v>Standard</v>
      </c>
    </row>
    <row r="6410" customFormat="false" ht="15" hidden="false" customHeight="true" outlineLevel="0" collapsed="false">
      <c r="A6410" s="10" t="n">
        <f aca="false">Einstellungen!$B$5+INT((ROW()-9)/24)</f>
        <v>46232</v>
      </c>
      <c r="B6410" s="11" t="n">
        <f aca="false">MOD(ROW()-9,24)</f>
        <v>17</v>
      </c>
      <c r="C6410" s="12"/>
      <c r="D6410" s="13" t="n">
        <f aca="false">IF(B6410&lt;5,Einstellungen!$B$3,Einstellungen!$B$4)</f>
        <v>29.13</v>
      </c>
      <c r="E6410" s="14" t="str">
        <f aca="false">IF(C6410="","",C6410*D6410/100)</f>
        <v/>
      </c>
      <c r="F6410" s="15" t="str">
        <f aca="false">IF(B6410&lt;5,"Go","Standard")</f>
        <v>Standard</v>
      </c>
    </row>
    <row r="6411" customFormat="false" ht="15" hidden="false" customHeight="true" outlineLevel="0" collapsed="false">
      <c r="A6411" s="10" t="n">
        <f aca="false">Einstellungen!$B$5+INT((ROW()-9)/24)</f>
        <v>46232</v>
      </c>
      <c r="B6411" s="11" t="n">
        <f aca="false">MOD(ROW()-9,24)</f>
        <v>18</v>
      </c>
      <c r="C6411" s="12"/>
      <c r="D6411" s="13" t="n">
        <f aca="false">IF(B6411&lt;5,Einstellungen!$B$3,Einstellungen!$B$4)</f>
        <v>29.13</v>
      </c>
      <c r="E6411" s="14" t="str">
        <f aca="false">IF(C6411="","",C6411*D6411/100)</f>
        <v/>
      </c>
      <c r="F6411" s="15" t="str">
        <f aca="false">IF(B6411&lt;5,"Go","Standard")</f>
        <v>Standard</v>
      </c>
    </row>
    <row r="6412" customFormat="false" ht="15" hidden="false" customHeight="true" outlineLevel="0" collapsed="false">
      <c r="A6412" s="10" t="n">
        <f aca="false">Einstellungen!$B$5+INT((ROW()-9)/24)</f>
        <v>46232</v>
      </c>
      <c r="B6412" s="11" t="n">
        <f aca="false">MOD(ROW()-9,24)</f>
        <v>19</v>
      </c>
      <c r="C6412" s="12"/>
      <c r="D6412" s="13" t="n">
        <f aca="false">IF(B6412&lt;5,Einstellungen!$B$3,Einstellungen!$B$4)</f>
        <v>29.13</v>
      </c>
      <c r="E6412" s="14" t="str">
        <f aca="false">IF(C6412="","",C6412*D6412/100)</f>
        <v/>
      </c>
      <c r="F6412" s="15" t="str">
        <f aca="false">IF(B6412&lt;5,"Go","Standard")</f>
        <v>Standard</v>
      </c>
    </row>
    <row r="6413" customFormat="false" ht="15" hidden="false" customHeight="true" outlineLevel="0" collapsed="false">
      <c r="A6413" s="10" t="n">
        <f aca="false">Einstellungen!$B$5+INT((ROW()-9)/24)</f>
        <v>46232</v>
      </c>
      <c r="B6413" s="11" t="n">
        <f aca="false">MOD(ROW()-9,24)</f>
        <v>20</v>
      </c>
      <c r="C6413" s="12"/>
      <c r="D6413" s="13" t="n">
        <f aca="false">IF(B6413&lt;5,Einstellungen!$B$3,Einstellungen!$B$4)</f>
        <v>29.13</v>
      </c>
      <c r="E6413" s="14" t="str">
        <f aca="false">IF(C6413="","",C6413*D6413/100)</f>
        <v/>
      </c>
      <c r="F6413" s="15" t="str">
        <f aca="false">IF(B6413&lt;5,"Go","Standard")</f>
        <v>Standard</v>
      </c>
    </row>
    <row r="6414" customFormat="false" ht="15" hidden="false" customHeight="true" outlineLevel="0" collapsed="false">
      <c r="A6414" s="10" t="n">
        <f aca="false">Einstellungen!$B$5+INT((ROW()-9)/24)</f>
        <v>46232</v>
      </c>
      <c r="B6414" s="11" t="n">
        <f aca="false">MOD(ROW()-9,24)</f>
        <v>21</v>
      </c>
      <c r="C6414" s="12"/>
      <c r="D6414" s="13" t="n">
        <f aca="false">IF(B6414&lt;5,Einstellungen!$B$3,Einstellungen!$B$4)</f>
        <v>29.13</v>
      </c>
      <c r="E6414" s="14" t="str">
        <f aca="false">IF(C6414="","",C6414*D6414/100)</f>
        <v/>
      </c>
      <c r="F6414" s="15" t="str">
        <f aca="false">IF(B6414&lt;5,"Go","Standard")</f>
        <v>Standard</v>
      </c>
    </row>
    <row r="6415" customFormat="false" ht="15" hidden="false" customHeight="true" outlineLevel="0" collapsed="false">
      <c r="A6415" s="10" t="n">
        <f aca="false">Einstellungen!$B$5+INT((ROW()-9)/24)</f>
        <v>46232</v>
      </c>
      <c r="B6415" s="11" t="n">
        <f aca="false">MOD(ROW()-9,24)</f>
        <v>22</v>
      </c>
      <c r="C6415" s="12"/>
      <c r="D6415" s="13" t="n">
        <f aca="false">IF(B6415&lt;5,Einstellungen!$B$3,Einstellungen!$B$4)</f>
        <v>29.13</v>
      </c>
      <c r="E6415" s="14" t="str">
        <f aca="false">IF(C6415="","",C6415*D6415/100)</f>
        <v/>
      </c>
      <c r="F6415" s="15" t="str">
        <f aca="false">IF(B6415&lt;5,"Go","Standard")</f>
        <v>Standard</v>
      </c>
    </row>
    <row r="6416" customFormat="false" ht="15" hidden="false" customHeight="true" outlineLevel="0" collapsed="false">
      <c r="A6416" s="10" t="n">
        <f aca="false">Einstellungen!$B$5+INT((ROW()-9)/24)</f>
        <v>46232</v>
      </c>
      <c r="B6416" s="11" t="n">
        <f aca="false">MOD(ROW()-9,24)</f>
        <v>23</v>
      </c>
      <c r="C6416" s="12"/>
      <c r="D6416" s="13" t="n">
        <f aca="false">IF(B6416&lt;5,Einstellungen!$B$3,Einstellungen!$B$4)</f>
        <v>29.13</v>
      </c>
      <c r="E6416" s="14" t="str">
        <f aca="false">IF(C6416="","",C6416*D6416/100)</f>
        <v/>
      </c>
      <c r="F6416" s="15" t="str">
        <f aca="false">IF(B6416&lt;5,"Go","Standard")</f>
        <v>Standard</v>
      </c>
    </row>
    <row r="6417" customFormat="false" ht="15" hidden="false" customHeight="true" outlineLevel="0" collapsed="false">
      <c r="A6417" s="10" t="n">
        <f aca="false">Einstellungen!$B$5+INT((ROW()-9)/24)</f>
        <v>46233</v>
      </c>
      <c r="B6417" s="11" t="n">
        <f aca="false">MOD(ROW()-9,24)</f>
        <v>0</v>
      </c>
      <c r="C6417" s="12"/>
      <c r="D6417" s="13" t="n">
        <f aca="false">IF(B6417&lt;5,Einstellungen!$B$3,Einstellungen!$B$4)</f>
        <v>15.92</v>
      </c>
      <c r="E6417" s="14" t="str">
        <f aca="false">IF(C6417="","",C6417*D6417/100)</f>
        <v/>
      </c>
      <c r="F6417" s="15" t="str">
        <f aca="false">IF(B6417&lt;5,"Go","Standard")</f>
        <v>Go</v>
      </c>
    </row>
    <row r="6418" customFormat="false" ht="15" hidden="false" customHeight="true" outlineLevel="0" collapsed="false">
      <c r="A6418" s="10" t="n">
        <f aca="false">Einstellungen!$B$5+INT((ROW()-9)/24)</f>
        <v>46233</v>
      </c>
      <c r="B6418" s="11" t="n">
        <f aca="false">MOD(ROW()-9,24)</f>
        <v>1</v>
      </c>
      <c r="C6418" s="12"/>
      <c r="D6418" s="13" t="n">
        <f aca="false">IF(B6418&lt;5,Einstellungen!$B$3,Einstellungen!$B$4)</f>
        <v>15.92</v>
      </c>
      <c r="E6418" s="14" t="str">
        <f aca="false">IF(C6418="","",C6418*D6418/100)</f>
        <v/>
      </c>
      <c r="F6418" s="15" t="str">
        <f aca="false">IF(B6418&lt;5,"Go","Standard")</f>
        <v>Go</v>
      </c>
    </row>
    <row r="6419" customFormat="false" ht="15" hidden="false" customHeight="true" outlineLevel="0" collapsed="false">
      <c r="A6419" s="10" t="n">
        <f aca="false">Einstellungen!$B$5+INT((ROW()-9)/24)</f>
        <v>46233</v>
      </c>
      <c r="B6419" s="11" t="n">
        <f aca="false">MOD(ROW()-9,24)</f>
        <v>2</v>
      </c>
      <c r="C6419" s="12"/>
      <c r="D6419" s="13" t="n">
        <f aca="false">IF(B6419&lt;5,Einstellungen!$B$3,Einstellungen!$B$4)</f>
        <v>15.92</v>
      </c>
      <c r="E6419" s="14" t="str">
        <f aca="false">IF(C6419="","",C6419*D6419/100)</f>
        <v/>
      </c>
      <c r="F6419" s="15" t="str">
        <f aca="false">IF(B6419&lt;5,"Go","Standard")</f>
        <v>Go</v>
      </c>
    </row>
    <row r="6420" customFormat="false" ht="15" hidden="false" customHeight="true" outlineLevel="0" collapsed="false">
      <c r="A6420" s="10" t="n">
        <f aca="false">Einstellungen!$B$5+INT((ROW()-9)/24)</f>
        <v>46233</v>
      </c>
      <c r="B6420" s="11" t="n">
        <f aca="false">MOD(ROW()-9,24)</f>
        <v>3</v>
      </c>
      <c r="C6420" s="12"/>
      <c r="D6420" s="13" t="n">
        <f aca="false">IF(B6420&lt;5,Einstellungen!$B$3,Einstellungen!$B$4)</f>
        <v>15.92</v>
      </c>
      <c r="E6420" s="14" t="str">
        <f aca="false">IF(C6420="","",C6420*D6420/100)</f>
        <v/>
      </c>
      <c r="F6420" s="15" t="str">
        <f aca="false">IF(B6420&lt;5,"Go","Standard")</f>
        <v>Go</v>
      </c>
    </row>
    <row r="6421" customFormat="false" ht="15" hidden="false" customHeight="true" outlineLevel="0" collapsed="false">
      <c r="A6421" s="10" t="n">
        <f aca="false">Einstellungen!$B$5+INT((ROW()-9)/24)</f>
        <v>46233</v>
      </c>
      <c r="B6421" s="11" t="n">
        <f aca="false">MOD(ROW()-9,24)</f>
        <v>4</v>
      </c>
      <c r="C6421" s="12"/>
      <c r="D6421" s="13" t="n">
        <f aca="false">IF(B6421&lt;5,Einstellungen!$B$3,Einstellungen!$B$4)</f>
        <v>15.92</v>
      </c>
      <c r="E6421" s="14" t="str">
        <f aca="false">IF(C6421="","",C6421*D6421/100)</f>
        <v/>
      </c>
      <c r="F6421" s="15" t="str">
        <f aca="false">IF(B6421&lt;5,"Go","Standard")</f>
        <v>Go</v>
      </c>
    </row>
    <row r="6422" customFormat="false" ht="15" hidden="false" customHeight="true" outlineLevel="0" collapsed="false">
      <c r="A6422" s="10" t="n">
        <f aca="false">Einstellungen!$B$5+INT((ROW()-9)/24)</f>
        <v>46233</v>
      </c>
      <c r="B6422" s="11" t="n">
        <f aca="false">MOD(ROW()-9,24)</f>
        <v>5</v>
      </c>
      <c r="C6422" s="12"/>
      <c r="D6422" s="13" t="n">
        <f aca="false">IF(B6422&lt;5,Einstellungen!$B$3,Einstellungen!$B$4)</f>
        <v>29.13</v>
      </c>
      <c r="E6422" s="14" t="str">
        <f aca="false">IF(C6422="","",C6422*D6422/100)</f>
        <v/>
      </c>
      <c r="F6422" s="15" t="str">
        <f aca="false">IF(B6422&lt;5,"Go","Standard")</f>
        <v>Standard</v>
      </c>
    </row>
    <row r="6423" customFormat="false" ht="15" hidden="false" customHeight="true" outlineLevel="0" collapsed="false">
      <c r="A6423" s="10" t="n">
        <f aca="false">Einstellungen!$B$5+INT((ROW()-9)/24)</f>
        <v>46233</v>
      </c>
      <c r="B6423" s="11" t="n">
        <f aca="false">MOD(ROW()-9,24)</f>
        <v>6</v>
      </c>
      <c r="C6423" s="12"/>
      <c r="D6423" s="13" t="n">
        <f aca="false">IF(B6423&lt;5,Einstellungen!$B$3,Einstellungen!$B$4)</f>
        <v>29.13</v>
      </c>
      <c r="E6423" s="14" t="str">
        <f aca="false">IF(C6423="","",C6423*D6423/100)</f>
        <v/>
      </c>
      <c r="F6423" s="15" t="str">
        <f aca="false">IF(B6423&lt;5,"Go","Standard")</f>
        <v>Standard</v>
      </c>
    </row>
    <row r="6424" customFormat="false" ht="15" hidden="false" customHeight="true" outlineLevel="0" collapsed="false">
      <c r="A6424" s="10" t="n">
        <f aca="false">Einstellungen!$B$5+INT((ROW()-9)/24)</f>
        <v>46233</v>
      </c>
      <c r="B6424" s="11" t="n">
        <f aca="false">MOD(ROW()-9,24)</f>
        <v>7</v>
      </c>
      <c r="C6424" s="12"/>
      <c r="D6424" s="13" t="n">
        <f aca="false">IF(B6424&lt;5,Einstellungen!$B$3,Einstellungen!$B$4)</f>
        <v>29.13</v>
      </c>
      <c r="E6424" s="14" t="str">
        <f aca="false">IF(C6424="","",C6424*D6424/100)</f>
        <v/>
      </c>
      <c r="F6424" s="15" t="str">
        <f aca="false">IF(B6424&lt;5,"Go","Standard")</f>
        <v>Standard</v>
      </c>
    </row>
    <row r="6425" customFormat="false" ht="15" hidden="false" customHeight="true" outlineLevel="0" collapsed="false">
      <c r="A6425" s="10" t="n">
        <f aca="false">Einstellungen!$B$5+INT((ROW()-9)/24)</f>
        <v>46233</v>
      </c>
      <c r="B6425" s="11" t="n">
        <f aca="false">MOD(ROW()-9,24)</f>
        <v>8</v>
      </c>
      <c r="C6425" s="12"/>
      <c r="D6425" s="13" t="n">
        <f aca="false">IF(B6425&lt;5,Einstellungen!$B$3,Einstellungen!$B$4)</f>
        <v>29.13</v>
      </c>
      <c r="E6425" s="14" t="str">
        <f aca="false">IF(C6425="","",C6425*D6425/100)</f>
        <v/>
      </c>
      <c r="F6425" s="15" t="str">
        <f aca="false">IF(B6425&lt;5,"Go","Standard")</f>
        <v>Standard</v>
      </c>
    </row>
    <row r="6426" customFormat="false" ht="15" hidden="false" customHeight="true" outlineLevel="0" collapsed="false">
      <c r="A6426" s="10" t="n">
        <f aca="false">Einstellungen!$B$5+INT((ROW()-9)/24)</f>
        <v>46233</v>
      </c>
      <c r="B6426" s="11" t="n">
        <f aca="false">MOD(ROW()-9,24)</f>
        <v>9</v>
      </c>
      <c r="C6426" s="12"/>
      <c r="D6426" s="13" t="n">
        <f aca="false">IF(B6426&lt;5,Einstellungen!$B$3,Einstellungen!$B$4)</f>
        <v>29.13</v>
      </c>
      <c r="E6426" s="14" t="str">
        <f aca="false">IF(C6426="","",C6426*D6426/100)</f>
        <v/>
      </c>
      <c r="F6426" s="15" t="str">
        <f aca="false">IF(B6426&lt;5,"Go","Standard")</f>
        <v>Standard</v>
      </c>
    </row>
    <row r="6427" customFormat="false" ht="15" hidden="false" customHeight="true" outlineLevel="0" collapsed="false">
      <c r="A6427" s="10" t="n">
        <f aca="false">Einstellungen!$B$5+INT((ROW()-9)/24)</f>
        <v>46233</v>
      </c>
      <c r="B6427" s="11" t="n">
        <f aca="false">MOD(ROW()-9,24)</f>
        <v>10</v>
      </c>
      <c r="C6427" s="12"/>
      <c r="D6427" s="13" t="n">
        <f aca="false">IF(B6427&lt;5,Einstellungen!$B$3,Einstellungen!$B$4)</f>
        <v>29.13</v>
      </c>
      <c r="E6427" s="14" t="str">
        <f aca="false">IF(C6427="","",C6427*D6427/100)</f>
        <v/>
      </c>
      <c r="F6427" s="15" t="str">
        <f aca="false">IF(B6427&lt;5,"Go","Standard")</f>
        <v>Standard</v>
      </c>
    </row>
    <row r="6428" customFormat="false" ht="15" hidden="false" customHeight="true" outlineLevel="0" collapsed="false">
      <c r="A6428" s="10" t="n">
        <f aca="false">Einstellungen!$B$5+INT((ROW()-9)/24)</f>
        <v>46233</v>
      </c>
      <c r="B6428" s="11" t="n">
        <f aca="false">MOD(ROW()-9,24)</f>
        <v>11</v>
      </c>
      <c r="C6428" s="12"/>
      <c r="D6428" s="13" t="n">
        <f aca="false">IF(B6428&lt;5,Einstellungen!$B$3,Einstellungen!$B$4)</f>
        <v>29.13</v>
      </c>
      <c r="E6428" s="14" t="str">
        <f aca="false">IF(C6428="","",C6428*D6428/100)</f>
        <v/>
      </c>
      <c r="F6428" s="15" t="str">
        <f aca="false">IF(B6428&lt;5,"Go","Standard")</f>
        <v>Standard</v>
      </c>
    </row>
    <row r="6429" customFormat="false" ht="15" hidden="false" customHeight="true" outlineLevel="0" collapsed="false">
      <c r="A6429" s="10" t="n">
        <f aca="false">Einstellungen!$B$5+INT((ROW()-9)/24)</f>
        <v>46233</v>
      </c>
      <c r="B6429" s="11" t="n">
        <f aca="false">MOD(ROW()-9,24)</f>
        <v>12</v>
      </c>
      <c r="C6429" s="12"/>
      <c r="D6429" s="13" t="n">
        <f aca="false">IF(B6429&lt;5,Einstellungen!$B$3,Einstellungen!$B$4)</f>
        <v>29.13</v>
      </c>
      <c r="E6429" s="14" t="str">
        <f aca="false">IF(C6429="","",C6429*D6429/100)</f>
        <v/>
      </c>
      <c r="F6429" s="15" t="str">
        <f aca="false">IF(B6429&lt;5,"Go","Standard")</f>
        <v>Standard</v>
      </c>
    </row>
    <row r="6430" customFormat="false" ht="15" hidden="false" customHeight="true" outlineLevel="0" collapsed="false">
      <c r="A6430" s="10" t="n">
        <f aca="false">Einstellungen!$B$5+INT((ROW()-9)/24)</f>
        <v>46233</v>
      </c>
      <c r="B6430" s="11" t="n">
        <f aca="false">MOD(ROW()-9,24)</f>
        <v>13</v>
      </c>
      <c r="C6430" s="12"/>
      <c r="D6430" s="13" t="n">
        <f aca="false">IF(B6430&lt;5,Einstellungen!$B$3,Einstellungen!$B$4)</f>
        <v>29.13</v>
      </c>
      <c r="E6430" s="14" t="str">
        <f aca="false">IF(C6430="","",C6430*D6430/100)</f>
        <v/>
      </c>
      <c r="F6430" s="15" t="str">
        <f aca="false">IF(B6430&lt;5,"Go","Standard")</f>
        <v>Standard</v>
      </c>
    </row>
    <row r="6431" customFormat="false" ht="15" hidden="false" customHeight="true" outlineLevel="0" collapsed="false">
      <c r="A6431" s="10" t="n">
        <f aca="false">Einstellungen!$B$5+INT((ROW()-9)/24)</f>
        <v>46233</v>
      </c>
      <c r="B6431" s="11" t="n">
        <f aca="false">MOD(ROW()-9,24)</f>
        <v>14</v>
      </c>
      <c r="C6431" s="12"/>
      <c r="D6431" s="13" t="n">
        <f aca="false">IF(B6431&lt;5,Einstellungen!$B$3,Einstellungen!$B$4)</f>
        <v>29.13</v>
      </c>
      <c r="E6431" s="14" t="str">
        <f aca="false">IF(C6431="","",C6431*D6431/100)</f>
        <v/>
      </c>
      <c r="F6431" s="15" t="str">
        <f aca="false">IF(B6431&lt;5,"Go","Standard")</f>
        <v>Standard</v>
      </c>
    </row>
    <row r="6432" customFormat="false" ht="15" hidden="false" customHeight="true" outlineLevel="0" collapsed="false">
      <c r="A6432" s="10" t="n">
        <f aca="false">Einstellungen!$B$5+INT((ROW()-9)/24)</f>
        <v>46233</v>
      </c>
      <c r="B6432" s="11" t="n">
        <f aca="false">MOD(ROW()-9,24)</f>
        <v>15</v>
      </c>
      <c r="C6432" s="12"/>
      <c r="D6432" s="13" t="n">
        <f aca="false">IF(B6432&lt;5,Einstellungen!$B$3,Einstellungen!$B$4)</f>
        <v>29.13</v>
      </c>
      <c r="E6432" s="14" t="str">
        <f aca="false">IF(C6432="","",C6432*D6432/100)</f>
        <v/>
      </c>
      <c r="F6432" s="15" t="str">
        <f aca="false">IF(B6432&lt;5,"Go","Standard")</f>
        <v>Standard</v>
      </c>
    </row>
    <row r="6433" customFormat="false" ht="15" hidden="false" customHeight="true" outlineLevel="0" collapsed="false">
      <c r="A6433" s="10" t="n">
        <f aca="false">Einstellungen!$B$5+INT((ROW()-9)/24)</f>
        <v>46233</v>
      </c>
      <c r="B6433" s="11" t="n">
        <f aca="false">MOD(ROW()-9,24)</f>
        <v>16</v>
      </c>
      <c r="C6433" s="12"/>
      <c r="D6433" s="13" t="n">
        <f aca="false">IF(B6433&lt;5,Einstellungen!$B$3,Einstellungen!$B$4)</f>
        <v>29.13</v>
      </c>
      <c r="E6433" s="14" t="str">
        <f aca="false">IF(C6433="","",C6433*D6433/100)</f>
        <v/>
      </c>
      <c r="F6433" s="15" t="str">
        <f aca="false">IF(B6433&lt;5,"Go","Standard")</f>
        <v>Standard</v>
      </c>
    </row>
    <row r="6434" customFormat="false" ht="15" hidden="false" customHeight="true" outlineLevel="0" collapsed="false">
      <c r="A6434" s="10" t="n">
        <f aca="false">Einstellungen!$B$5+INT((ROW()-9)/24)</f>
        <v>46233</v>
      </c>
      <c r="B6434" s="11" t="n">
        <f aca="false">MOD(ROW()-9,24)</f>
        <v>17</v>
      </c>
      <c r="C6434" s="12"/>
      <c r="D6434" s="13" t="n">
        <f aca="false">IF(B6434&lt;5,Einstellungen!$B$3,Einstellungen!$B$4)</f>
        <v>29.13</v>
      </c>
      <c r="E6434" s="14" t="str">
        <f aca="false">IF(C6434="","",C6434*D6434/100)</f>
        <v/>
      </c>
      <c r="F6434" s="15" t="str">
        <f aca="false">IF(B6434&lt;5,"Go","Standard")</f>
        <v>Standard</v>
      </c>
    </row>
    <row r="6435" customFormat="false" ht="15" hidden="false" customHeight="true" outlineLevel="0" collapsed="false">
      <c r="A6435" s="10" t="n">
        <f aca="false">Einstellungen!$B$5+INT((ROW()-9)/24)</f>
        <v>46233</v>
      </c>
      <c r="B6435" s="11" t="n">
        <f aca="false">MOD(ROW()-9,24)</f>
        <v>18</v>
      </c>
      <c r="C6435" s="12"/>
      <c r="D6435" s="13" t="n">
        <f aca="false">IF(B6435&lt;5,Einstellungen!$B$3,Einstellungen!$B$4)</f>
        <v>29.13</v>
      </c>
      <c r="E6435" s="14" t="str">
        <f aca="false">IF(C6435="","",C6435*D6435/100)</f>
        <v/>
      </c>
      <c r="F6435" s="15" t="str">
        <f aca="false">IF(B6435&lt;5,"Go","Standard")</f>
        <v>Standard</v>
      </c>
    </row>
    <row r="6436" customFormat="false" ht="15" hidden="false" customHeight="true" outlineLevel="0" collapsed="false">
      <c r="A6436" s="10" t="n">
        <f aca="false">Einstellungen!$B$5+INT((ROW()-9)/24)</f>
        <v>46233</v>
      </c>
      <c r="B6436" s="11" t="n">
        <f aca="false">MOD(ROW()-9,24)</f>
        <v>19</v>
      </c>
      <c r="C6436" s="12"/>
      <c r="D6436" s="13" t="n">
        <f aca="false">IF(B6436&lt;5,Einstellungen!$B$3,Einstellungen!$B$4)</f>
        <v>29.13</v>
      </c>
      <c r="E6436" s="14" t="str">
        <f aca="false">IF(C6436="","",C6436*D6436/100)</f>
        <v/>
      </c>
      <c r="F6436" s="15" t="str">
        <f aca="false">IF(B6436&lt;5,"Go","Standard")</f>
        <v>Standard</v>
      </c>
    </row>
    <row r="6437" customFormat="false" ht="15" hidden="false" customHeight="true" outlineLevel="0" collapsed="false">
      <c r="A6437" s="10" t="n">
        <f aca="false">Einstellungen!$B$5+INT((ROW()-9)/24)</f>
        <v>46233</v>
      </c>
      <c r="B6437" s="11" t="n">
        <f aca="false">MOD(ROW()-9,24)</f>
        <v>20</v>
      </c>
      <c r="C6437" s="12"/>
      <c r="D6437" s="13" t="n">
        <f aca="false">IF(B6437&lt;5,Einstellungen!$B$3,Einstellungen!$B$4)</f>
        <v>29.13</v>
      </c>
      <c r="E6437" s="14" t="str">
        <f aca="false">IF(C6437="","",C6437*D6437/100)</f>
        <v/>
      </c>
      <c r="F6437" s="15" t="str">
        <f aca="false">IF(B6437&lt;5,"Go","Standard")</f>
        <v>Standard</v>
      </c>
    </row>
    <row r="6438" customFormat="false" ht="15" hidden="false" customHeight="true" outlineLevel="0" collapsed="false">
      <c r="A6438" s="10" t="n">
        <f aca="false">Einstellungen!$B$5+INT((ROW()-9)/24)</f>
        <v>46233</v>
      </c>
      <c r="B6438" s="11" t="n">
        <f aca="false">MOD(ROW()-9,24)</f>
        <v>21</v>
      </c>
      <c r="C6438" s="12"/>
      <c r="D6438" s="13" t="n">
        <f aca="false">IF(B6438&lt;5,Einstellungen!$B$3,Einstellungen!$B$4)</f>
        <v>29.13</v>
      </c>
      <c r="E6438" s="14" t="str">
        <f aca="false">IF(C6438="","",C6438*D6438/100)</f>
        <v/>
      </c>
      <c r="F6438" s="15" t="str">
        <f aca="false">IF(B6438&lt;5,"Go","Standard")</f>
        <v>Standard</v>
      </c>
    </row>
    <row r="6439" customFormat="false" ht="15" hidden="false" customHeight="true" outlineLevel="0" collapsed="false">
      <c r="A6439" s="10" t="n">
        <f aca="false">Einstellungen!$B$5+INT((ROW()-9)/24)</f>
        <v>46233</v>
      </c>
      <c r="B6439" s="11" t="n">
        <f aca="false">MOD(ROW()-9,24)</f>
        <v>22</v>
      </c>
      <c r="C6439" s="12"/>
      <c r="D6439" s="13" t="n">
        <f aca="false">IF(B6439&lt;5,Einstellungen!$B$3,Einstellungen!$B$4)</f>
        <v>29.13</v>
      </c>
      <c r="E6439" s="14" t="str">
        <f aca="false">IF(C6439="","",C6439*D6439/100)</f>
        <v/>
      </c>
      <c r="F6439" s="15" t="str">
        <f aca="false">IF(B6439&lt;5,"Go","Standard")</f>
        <v>Standard</v>
      </c>
    </row>
    <row r="6440" customFormat="false" ht="15" hidden="false" customHeight="true" outlineLevel="0" collapsed="false">
      <c r="A6440" s="10" t="n">
        <f aca="false">Einstellungen!$B$5+INT((ROW()-9)/24)</f>
        <v>46233</v>
      </c>
      <c r="B6440" s="11" t="n">
        <f aca="false">MOD(ROW()-9,24)</f>
        <v>23</v>
      </c>
      <c r="C6440" s="12"/>
      <c r="D6440" s="13" t="n">
        <f aca="false">IF(B6440&lt;5,Einstellungen!$B$3,Einstellungen!$B$4)</f>
        <v>29.13</v>
      </c>
      <c r="E6440" s="14" t="str">
        <f aca="false">IF(C6440="","",C6440*D6440/100)</f>
        <v/>
      </c>
      <c r="F6440" s="15" t="str">
        <f aca="false">IF(B6440&lt;5,"Go","Standard")</f>
        <v>Standard</v>
      </c>
    </row>
    <row r="6441" customFormat="false" ht="15" hidden="false" customHeight="true" outlineLevel="0" collapsed="false">
      <c r="A6441" s="10" t="n">
        <f aca="false">Einstellungen!$B$5+INT((ROW()-9)/24)</f>
        <v>46234</v>
      </c>
      <c r="B6441" s="11" t="n">
        <f aca="false">MOD(ROW()-9,24)</f>
        <v>0</v>
      </c>
      <c r="C6441" s="12"/>
      <c r="D6441" s="13" t="n">
        <f aca="false">IF(B6441&lt;5,Einstellungen!$B$3,Einstellungen!$B$4)</f>
        <v>15.92</v>
      </c>
      <c r="E6441" s="14" t="str">
        <f aca="false">IF(C6441="","",C6441*D6441/100)</f>
        <v/>
      </c>
      <c r="F6441" s="15" t="str">
        <f aca="false">IF(B6441&lt;5,"Go","Standard")</f>
        <v>Go</v>
      </c>
    </row>
    <row r="6442" customFormat="false" ht="15" hidden="false" customHeight="true" outlineLevel="0" collapsed="false">
      <c r="A6442" s="10" t="n">
        <f aca="false">Einstellungen!$B$5+INT((ROW()-9)/24)</f>
        <v>46234</v>
      </c>
      <c r="B6442" s="11" t="n">
        <f aca="false">MOD(ROW()-9,24)</f>
        <v>1</v>
      </c>
      <c r="C6442" s="12"/>
      <c r="D6442" s="13" t="n">
        <f aca="false">IF(B6442&lt;5,Einstellungen!$B$3,Einstellungen!$B$4)</f>
        <v>15.92</v>
      </c>
      <c r="E6442" s="14" t="str">
        <f aca="false">IF(C6442="","",C6442*D6442/100)</f>
        <v/>
      </c>
      <c r="F6442" s="15" t="str">
        <f aca="false">IF(B6442&lt;5,"Go","Standard")</f>
        <v>Go</v>
      </c>
    </row>
    <row r="6443" customFormat="false" ht="15" hidden="false" customHeight="true" outlineLevel="0" collapsed="false">
      <c r="A6443" s="10" t="n">
        <f aca="false">Einstellungen!$B$5+INT((ROW()-9)/24)</f>
        <v>46234</v>
      </c>
      <c r="B6443" s="11" t="n">
        <f aca="false">MOD(ROW()-9,24)</f>
        <v>2</v>
      </c>
      <c r="C6443" s="12"/>
      <c r="D6443" s="13" t="n">
        <f aca="false">IF(B6443&lt;5,Einstellungen!$B$3,Einstellungen!$B$4)</f>
        <v>15.92</v>
      </c>
      <c r="E6443" s="14" t="str">
        <f aca="false">IF(C6443="","",C6443*D6443/100)</f>
        <v/>
      </c>
      <c r="F6443" s="15" t="str">
        <f aca="false">IF(B6443&lt;5,"Go","Standard")</f>
        <v>Go</v>
      </c>
    </row>
    <row r="6444" customFormat="false" ht="15" hidden="false" customHeight="true" outlineLevel="0" collapsed="false">
      <c r="A6444" s="10" t="n">
        <f aca="false">Einstellungen!$B$5+INT((ROW()-9)/24)</f>
        <v>46234</v>
      </c>
      <c r="B6444" s="11" t="n">
        <f aca="false">MOD(ROW()-9,24)</f>
        <v>3</v>
      </c>
      <c r="C6444" s="12"/>
      <c r="D6444" s="13" t="n">
        <f aca="false">IF(B6444&lt;5,Einstellungen!$B$3,Einstellungen!$B$4)</f>
        <v>15.92</v>
      </c>
      <c r="E6444" s="14" t="str">
        <f aca="false">IF(C6444="","",C6444*D6444/100)</f>
        <v/>
      </c>
      <c r="F6444" s="15" t="str">
        <f aca="false">IF(B6444&lt;5,"Go","Standard")</f>
        <v>Go</v>
      </c>
    </row>
    <row r="6445" customFormat="false" ht="15" hidden="false" customHeight="true" outlineLevel="0" collapsed="false">
      <c r="A6445" s="10" t="n">
        <f aca="false">Einstellungen!$B$5+INT((ROW()-9)/24)</f>
        <v>46234</v>
      </c>
      <c r="B6445" s="11" t="n">
        <f aca="false">MOD(ROW()-9,24)</f>
        <v>4</v>
      </c>
      <c r="C6445" s="12"/>
      <c r="D6445" s="13" t="n">
        <f aca="false">IF(B6445&lt;5,Einstellungen!$B$3,Einstellungen!$B$4)</f>
        <v>15.92</v>
      </c>
      <c r="E6445" s="14" t="str">
        <f aca="false">IF(C6445="","",C6445*D6445/100)</f>
        <v/>
      </c>
      <c r="F6445" s="15" t="str">
        <f aca="false">IF(B6445&lt;5,"Go","Standard")</f>
        <v>Go</v>
      </c>
    </row>
    <row r="6446" customFormat="false" ht="15" hidden="false" customHeight="true" outlineLevel="0" collapsed="false">
      <c r="A6446" s="10" t="n">
        <f aca="false">Einstellungen!$B$5+INT((ROW()-9)/24)</f>
        <v>46234</v>
      </c>
      <c r="B6446" s="11" t="n">
        <f aca="false">MOD(ROW()-9,24)</f>
        <v>5</v>
      </c>
      <c r="C6446" s="12"/>
      <c r="D6446" s="13" t="n">
        <f aca="false">IF(B6446&lt;5,Einstellungen!$B$3,Einstellungen!$B$4)</f>
        <v>29.13</v>
      </c>
      <c r="E6446" s="14" t="str">
        <f aca="false">IF(C6446="","",C6446*D6446/100)</f>
        <v/>
      </c>
      <c r="F6446" s="15" t="str">
        <f aca="false">IF(B6446&lt;5,"Go","Standard")</f>
        <v>Standard</v>
      </c>
    </row>
    <row r="6447" customFormat="false" ht="15" hidden="false" customHeight="true" outlineLevel="0" collapsed="false">
      <c r="A6447" s="10" t="n">
        <f aca="false">Einstellungen!$B$5+INT((ROW()-9)/24)</f>
        <v>46234</v>
      </c>
      <c r="B6447" s="11" t="n">
        <f aca="false">MOD(ROW()-9,24)</f>
        <v>6</v>
      </c>
      <c r="C6447" s="12"/>
      <c r="D6447" s="13" t="n">
        <f aca="false">IF(B6447&lt;5,Einstellungen!$B$3,Einstellungen!$B$4)</f>
        <v>29.13</v>
      </c>
      <c r="E6447" s="14" t="str">
        <f aca="false">IF(C6447="","",C6447*D6447/100)</f>
        <v/>
      </c>
      <c r="F6447" s="15" t="str">
        <f aca="false">IF(B6447&lt;5,"Go","Standard")</f>
        <v>Standard</v>
      </c>
    </row>
    <row r="6448" customFormat="false" ht="15" hidden="false" customHeight="true" outlineLevel="0" collapsed="false">
      <c r="A6448" s="10" t="n">
        <f aca="false">Einstellungen!$B$5+INT((ROW()-9)/24)</f>
        <v>46234</v>
      </c>
      <c r="B6448" s="11" t="n">
        <f aca="false">MOD(ROW()-9,24)</f>
        <v>7</v>
      </c>
      <c r="C6448" s="12"/>
      <c r="D6448" s="13" t="n">
        <f aca="false">IF(B6448&lt;5,Einstellungen!$B$3,Einstellungen!$B$4)</f>
        <v>29.13</v>
      </c>
      <c r="E6448" s="14" t="str">
        <f aca="false">IF(C6448="","",C6448*D6448/100)</f>
        <v/>
      </c>
      <c r="F6448" s="15" t="str">
        <f aca="false">IF(B6448&lt;5,"Go","Standard")</f>
        <v>Standard</v>
      </c>
    </row>
    <row r="6449" customFormat="false" ht="15" hidden="false" customHeight="true" outlineLevel="0" collapsed="false">
      <c r="A6449" s="10" t="n">
        <f aca="false">Einstellungen!$B$5+INT((ROW()-9)/24)</f>
        <v>46234</v>
      </c>
      <c r="B6449" s="11" t="n">
        <f aca="false">MOD(ROW()-9,24)</f>
        <v>8</v>
      </c>
      <c r="C6449" s="12"/>
      <c r="D6449" s="13" t="n">
        <f aca="false">IF(B6449&lt;5,Einstellungen!$B$3,Einstellungen!$B$4)</f>
        <v>29.13</v>
      </c>
      <c r="E6449" s="14" t="str">
        <f aca="false">IF(C6449="","",C6449*D6449/100)</f>
        <v/>
      </c>
      <c r="F6449" s="15" t="str">
        <f aca="false">IF(B6449&lt;5,"Go","Standard")</f>
        <v>Standard</v>
      </c>
    </row>
    <row r="6450" customFormat="false" ht="15" hidden="false" customHeight="true" outlineLevel="0" collapsed="false">
      <c r="A6450" s="10" t="n">
        <f aca="false">Einstellungen!$B$5+INT((ROW()-9)/24)</f>
        <v>46234</v>
      </c>
      <c r="B6450" s="11" t="n">
        <f aca="false">MOD(ROW()-9,24)</f>
        <v>9</v>
      </c>
      <c r="C6450" s="12"/>
      <c r="D6450" s="13" t="n">
        <f aca="false">IF(B6450&lt;5,Einstellungen!$B$3,Einstellungen!$B$4)</f>
        <v>29.13</v>
      </c>
      <c r="E6450" s="14" t="str">
        <f aca="false">IF(C6450="","",C6450*D6450/100)</f>
        <v/>
      </c>
      <c r="F6450" s="15" t="str">
        <f aca="false">IF(B6450&lt;5,"Go","Standard")</f>
        <v>Standard</v>
      </c>
    </row>
    <row r="6451" customFormat="false" ht="15" hidden="false" customHeight="true" outlineLevel="0" collapsed="false">
      <c r="A6451" s="10" t="n">
        <f aca="false">Einstellungen!$B$5+INT((ROW()-9)/24)</f>
        <v>46234</v>
      </c>
      <c r="B6451" s="11" t="n">
        <f aca="false">MOD(ROW()-9,24)</f>
        <v>10</v>
      </c>
      <c r="C6451" s="12"/>
      <c r="D6451" s="13" t="n">
        <f aca="false">IF(B6451&lt;5,Einstellungen!$B$3,Einstellungen!$B$4)</f>
        <v>29.13</v>
      </c>
      <c r="E6451" s="14" t="str">
        <f aca="false">IF(C6451="","",C6451*D6451/100)</f>
        <v/>
      </c>
      <c r="F6451" s="15" t="str">
        <f aca="false">IF(B6451&lt;5,"Go","Standard")</f>
        <v>Standard</v>
      </c>
    </row>
    <row r="6452" customFormat="false" ht="15" hidden="false" customHeight="true" outlineLevel="0" collapsed="false">
      <c r="A6452" s="10" t="n">
        <f aca="false">Einstellungen!$B$5+INT((ROW()-9)/24)</f>
        <v>46234</v>
      </c>
      <c r="B6452" s="11" t="n">
        <f aca="false">MOD(ROW()-9,24)</f>
        <v>11</v>
      </c>
      <c r="C6452" s="12"/>
      <c r="D6452" s="13" t="n">
        <f aca="false">IF(B6452&lt;5,Einstellungen!$B$3,Einstellungen!$B$4)</f>
        <v>29.13</v>
      </c>
      <c r="E6452" s="14" t="str">
        <f aca="false">IF(C6452="","",C6452*D6452/100)</f>
        <v/>
      </c>
      <c r="F6452" s="15" t="str">
        <f aca="false">IF(B6452&lt;5,"Go","Standard")</f>
        <v>Standard</v>
      </c>
    </row>
    <row r="6453" customFormat="false" ht="15" hidden="false" customHeight="true" outlineLevel="0" collapsed="false">
      <c r="A6453" s="10" t="n">
        <f aca="false">Einstellungen!$B$5+INT((ROW()-9)/24)</f>
        <v>46234</v>
      </c>
      <c r="B6453" s="11" t="n">
        <f aca="false">MOD(ROW()-9,24)</f>
        <v>12</v>
      </c>
      <c r="C6453" s="12"/>
      <c r="D6453" s="13" t="n">
        <f aca="false">IF(B6453&lt;5,Einstellungen!$B$3,Einstellungen!$B$4)</f>
        <v>29.13</v>
      </c>
      <c r="E6453" s="14" t="str">
        <f aca="false">IF(C6453="","",C6453*D6453/100)</f>
        <v/>
      </c>
      <c r="F6453" s="15" t="str">
        <f aca="false">IF(B6453&lt;5,"Go","Standard")</f>
        <v>Standard</v>
      </c>
    </row>
    <row r="6454" customFormat="false" ht="15" hidden="false" customHeight="true" outlineLevel="0" collapsed="false">
      <c r="A6454" s="10" t="n">
        <f aca="false">Einstellungen!$B$5+INT((ROW()-9)/24)</f>
        <v>46234</v>
      </c>
      <c r="B6454" s="11" t="n">
        <f aca="false">MOD(ROW()-9,24)</f>
        <v>13</v>
      </c>
      <c r="C6454" s="12"/>
      <c r="D6454" s="13" t="n">
        <f aca="false">IF(B6454&lt;5,Einstellungen!$B$3,Einstellungen!$B$4)</f>
        <v>29.13</v>
      </c>
      <c r="E6454" s="14" t="str">
        <f aca="false">IF(C6454="","",C6454*D6454/100)</f>
        <v/>
      </c>
      <c r="F6454" s="15" t="str">
        <f aca="false">IF(B6454&lt;5,"Go","Standard")</f>
        <v>Standard</v>
      </c>
    </row>
    <row r="6455" customFormat="false" ht="15" hidden="false" customHeight="true" outlineLevel="0" collapsed="false">
      <c r="A6455" s="10" t="n">
        <f aca="false">Einstellungen!$B$5+INT((ROW()-9)/24)</f>
        <v>46234</v>
      </c>
      <c r="B6455" s="11" t="n">
        <f aca="false">MOD(ROW()-9,24)</f>
        <v>14</v>
      </c>
      <c r="C6455" s="12"/>
      <c r="D6455" s="13" t="n">
        <f aca="false">IF(B6455&lt;5,Einstellungen!$B$3,Einstellungen!$B$4)</f>
        <v>29.13</v>
      </c>
      <c r="E6455" s="14" t="str">
        <f aca="false">IF(C6455="","",C6455*D6455/100)</f>
        <v/>
      </c>
      <c r="F6455" s="15" t="str">
        <f aca="false">IF(B6455&lt;5,"Go","Standard")</f>
        <v>Standard</v>
      </c>
    </row>
    <row r="6456" customFormat="false" ht="15" hidden="false" customHeight="true" outlineLevel="0" collapsed="false">
      <c r="A6456" s="10" t="n">
        <f aca="false">Einstellungen!$B$5+INT((ROW()-9)/24)</f>
        <v>46234</v>
      </c>
      <c r="B6456" s="11" t="n">
        <f aca="false">MOD(ROW()-9,24)</f>
        <v>15</v>
      </c>
      <c r="C6456" s="12"/>
      <c r="D6456" s="13" t="n">
        <f aca="false">IF(B6456&lt;5,Einstellungen!$B$3,Einstellungen!$B$4)</f>
        <v>29.13</v>
      </c>
      <c r="E6456" s="14" t="str">
        <f aca="false">IF(C6456="","",C6456*D6456/100)</f>
        <v/>
      </c>
      <c r="F6456" s="15" t="str">
        <f aca="false">IF(B6456&lt;5,"Go","Standard")</f>
        <v>Standard</v>
      </c>
    </row>
    <row r="6457" customFormat="false" ht="15" hidden="false" customHeight="true" outlineLevel="0" collapsed="false">
      <c r="A6457" s="10" t="n">
        <f aca="false">Einstellungen!$B$5+INT((ROW()-9)/24)</f>
        <v>46234</v>
      </c>
      <c r="B6457" s="11" t="n">
        <f aca="false">MOD(ROW()-9,24)</f>
        <v>16</v>
      </c>
      <c r="C6457" s="12"/>
      <c r="D6457" s="13" t="n">
        <f aca="false">IF(B6457&lt;5,Einstellungen!$B$3,Einstellungen!$B$4)</f>
        <v>29.13</v>
      </c>
      <c r="E6457" s="14" t="str">
        <f aca="false">IF(C6457="","",C6457*D6457/100)</f>
        <v/>
      </c>
      <c r="F6457" s="15" t="str">
        <f aca="false">IF(B6457&lt;5,"Go","Standard")</f>
        <v>Standard</v>
      </c>
    </row>
    <row r="6458" customFormat="false" ht="15" hidden="false" customHeight="true" outlineLevel="0" collapsed="false">
      <c r="A6458" s="10" t="n">
        <f aca="false">Einstellungen!$B$5+INT((ROW()-9)/24)</f>
        <v>46234</v>
      </c>
      <c r="B6458" s="11" t="n">
        <f aca="false">MOD(ROW()-9,24)</f>
        <v>17</v>
      </c>
      <c r="C6458" s="12"/>
      <c r="D6458" s="13" t="n">
        <f aca="false">IF(B6458&lt;5,Einstellungen!$B$3,Einstellungen!$B$4)</f>
        <v>29.13</v>
      </c>
      <c r="E6458" s="14" t="str">
        <f aca="false">IF(C6458="","",C6458*D6458/100)</f>
        <v/>
      </c>
      <c r="F6458" s="15" t="str">
        <f aca="false">IF(B6458&lt;5,"Go","Standard")</f>
        <v>Standard</v>
      </c>
    </row>
    <row r="6459" customFormat="false" ht="15" hidden="false" customHeight="true" outlineLevel="0" collapsed="false">
      <c r="A6459" s="10" t="n">
        <f aca="false">Einstellungen!$B$5+INT((ROW()-9)/24)</f>
        <v>46234</v>
      </c>
      <c r="B6459" s="11" t="n">
        <f aca="false">MOD(ROW()-9,24)</f>
        <v>18</v>
      </c>
      <c r="C6459" s="12"/>
      <c r="D6459" s="13" t="n">
        <f aca="false">IF(B6459&lt;5,Einstellungen!$B$3,Einstellungen!$B$4)</f>
        <v>29.13</v>
      </c>
      <c r="E6459" s="14" t="str">
        <f aca="false">IF(C6459="","",C6459*D6459/100)</f>
        <v/>
      </c>
      <c r="F6459" s="15" t="str">
        <f aca="false">IF(B6459&lt;5,"Go","Standard")</f>
        <v>Standard</v>
      </c>
    </row>
    <row r="6460" customFormat="false" ht="15" hidden="false" customHeight="true" outlineLevel="0" collapsed="false">
      <c r="A6460" s="10" t="n">
        <f aca="false">Einstellungen!$B$5+INT((ROW()-9)/24)</f>
        <v>46234</v>
      </c>
      <c r="B6460" s="11" t="n">
        <f aca="false">MOD(ROW()-9,24)</f>
        <v>19</v>
      </c>
      <c r="C6460" s="12"/>
      <c r="D6460" s="13" t="n">
        <f aca="false">IF(B6460&lt;5,Einstellungen!$B$3,Einstellungen!$B$4)</f>
        <v>29.13</v>
      </c>
      <c r="E6460" s="14" t="str">
        <f aca="false">IF(C6460="","",C6460*D6460/100)</f>
        <v/>
      </c>
      <c r="F6460" s="15" t="str">
        <f aca="false">IF(B6460&lt;5,"Go","Standard")</f>
        <v>Standard</v>
      </c>
    </row>
    <row r="6461" customFormat="false" ht="15" hidden="false" customHeight="true" outlineLevel="0" collapsed="false">
      <c r="A6461" s="10" t="n">
        <f aca="false">Einstellungen!$B$5+INT((ROW()-9)/24)</f>
        <v>46234</v>
      </c>
      <c r="B6461" s="11" t="n">
        <f aca="false">MOD(ROW()-9,24)</f>
        <v>20</v>
      </c>
      <c r="C6461" s="12"/>
      <c r="D6461" s="13" t="n">
        <f aca="false">IF(B6461&lt;5,Einstellungen!$B$3,Einstellungen!$B$4)</f>
        <v>29.13</v>
      </c>
      <c r="E6461" s="14" t="str">
        <f aca="false">IF(C6461="","",C6461*D6461/100)</f>
        <v/>
      </c>
      <c r="F6461" s="15" t="str">
        <f aca="false">IF(B6461&lt;5,"Go","Standard")</f>
        <v>Standard</v>
      </c>
    </row>
    <row r="6462" customFormat="false" ht="15" hidden="false" customHeight="true" outlineLevel="0" collapsed="false">
      <c r="A6462" s="10" t="n">
        <f aca="false">Einstellungen!$B$5+INT((ROW()-9)/24)</f>
        <v>46234</v>
      </c>
      <c r="B6462" s="11" t="n">
        <f aca="false">MOD(ROW()-9,24)</f>
        <v>21</v>
      </c>
      <c r="C6462" s="12"/>
      <c r="D6462" s="13" t="n">
        <f aca="false">IF(B6462&lt;5,Einstellungen!$B$3,Einstellungen!$B$4)</f>
        <v>29.13</v>
      </c>
      <c r="E6462" s="14" t="str">
        <f aca="false">IF(C6462="","",C6462*D6462/100)</f>
        <v/>
      </c>
      <c r="F6462" s="15" t="str">
        <f aca="false">IF(B6462&lt;5,"Go","Standard")</f>
        <v>Standard</v>
      </c>
    </row>
    <row r="6463" customFormat="false" ht="15" hidden="false" customHeight="true" outlineLevel="0" collapsed="false">
      <c r="A6463" s="10" t="n">
        <f aca="false">Einstellungen!$B$5+INT((ROW()-9)/24)</f>
        <v>46234</v>
      </c>
      <c r="B6463" s="11" t="n">
        <f aca="false">MOD(ROW()-9,24)</f>
        <v>22</v>
      </c>
      <c r="C6463" s="12"/>
      <c r="D6463" s="13" t="n">
        <f aca="false">IF(B6463&lt;5,Einstellungen!$B$3,Einstellungen!$B$4)</f>
        <v>29.13</v>
      </c>
      <c r="E6463" s="14" t="str">
        <f aca="false">IF(C6463="","",C6463*D6463/100)</f>
        <v/>
      </c>
      <c r="F6463" s="15" t="str">
        <f aca="false">IF(B6463&lt;5,"Go","Standard")</f>
        <v>Standard</v>
      </c>
    </row>
    <row r="6464" customFormat="false" ht="15" hidden="false" customHeight="true" outlineLevel="0" collapsed="false">
      <c r="A6464" s="10" t="n">
        <f aca="false">Einstellungen!$B$5+INT((ROW()-9)/24)</f>
        <v>46234</v>
      </c>
      <c r="B6464" s="11" t="n">
        <f aca="false">MOD(ROW()-9,24)</f>
        <v>23</v>
      </c>
      <c r="C6464" s="12"/>
      <c r="D6464" s="13" t="n">
        <f aca="false">IF(B6464&lt;5,Einstellungen!$B$3,Einstellungen!$B$4)</f>
        <v>29.13</v>
      </c>
      <c r="E6464" s="14" t="str">
        <f aca="false">IF(C6464="","",C6464*D6464/100)</f>
        <v/>
      </c>
      <c r="F6464" s="15" t="str">
        <f aca="false">IF(B6464&lt;5,"Go","Standard")</f>
        <v>Standard</v>
      </c>
    </row>
    <row r="6465" customFormat="false" ht="15" hidden="false" customHeight="true" outlineLevel="0" collapsed="false">
      <c r="A6465" s="10" t="n">
        <f aca="false">Einstellungen!$B$5+INT((ROW()-9)/24)</f>
        <v>46235</v>
      </c>
      <c r="B6465" s="11" t="n">
        <f aca="false">MOD(ROW()-9,24)</f>
        <v>0</v>
      </c>
      <c r="C6465" s="12"/>
      <c r="D6465" s="13" t="n">
        <f aca="false">IF(B6465&lt;5,Einstellungen!$B$3,Einstellungen!$B$4)</f>
        <v>15.92</v>
      </c>
      <c r="E6465" s="14" t="str">
        <f aca="false">IF(C6465="","",C6465*D6465/100)</f>
        <v/>
      </c>
      <c r="F6465" s="15" t="str">
        <f aca="false">IF(B6465&lt;5,"Go","Standard")</f>
        <v>Go</v>
      </c>
    </row>
    <row r="6466" customFormat="false" ht="15" hidden="false" customHeight="true" outlineLevel="0" collapsed="false">
      <c r="A6466" s="10" t="n">
        <f aca="false">Einstellungen!$B$5+INT((ROW()-9)/24)</f>
        <v>46235</v>
      </c>
      <c r="B6466" s="11" t="n">
        <f aca="false">MOD(ROW()-9,24)</f>
        <v>1</v>
      </c>
      <c r="C6466" s="12"/>
      <c r="D6466" s="13" t="n">
        <f aca="false">IF(B6466&lt;5,Einstellungen!$B$3,Einstellungen!$B$4)</f>
        <v>15.92</v>
      </c>
      <c r="E6466" s="14" t="str">
        <f aca="false">IF(C6466="","",C6466*D6466/100)</f>
        <v/>
      </c>
      <c r="F6466" s="15" t="str">
        <f aca="false">IF(B6466&lt;5,"Go","Standard")</f>
        <v>Go</v>
      </c>
    </row>
    <row r="6467" customFormat="false" ht="15" hidden="false" customHeight="true" outlineLevel="0" collapsed="false">
      <c r="A6467" s="10" t="n">
        <f aca="false">Einstellungen!$B$5+INT((ROW()-9)/24)</f>
        <v>46235</v>
      </c>
      <c r="B6467" s="11" t="n">
        <f aca="false">MOD(ROW()-9,24)</f>
        <v>2</v>
      </c>
      <c r="C6467" s="12"/>
      <c r="D6467" s="13" t="n">
        <f aca="false">IF(B6467&lt;5,Einstellungen!$B$3,Einstellungen!$B$4)</f>
        <v>15.92</v>
      </c>
      <c r="E6467" s="14" t="str">
        <f aca="false">IF(C6467="","",C6467*D6467/100)</f>
        <v/>
      </c>
      <c r="F6467" s="15" t="str">
        <f aca="false">IF(B6467&lt;5,"Go","Standard")</f>
        <v>Go</v>
      </c>
    </row>
    <row r="6468" customFormat="false" ht="15" hidden="false" customHeight="true" outlineLevel="0" collapsed="false">
      <c r="A6468" s="10" t="n">
        <f aca="false">Einstellungen!$B$5+INT((ROW()-9)/24)</f>
        <v>46235</v>
      </c>
      <c r="B6468" s="11" t="n">
        <f aca="false">MOD(ROW()-9,24)</f>
        <v>3</v>
      </c>
      <c r="C6468" s="12"/>
      <c r="D6468" s="13" t="n">
        <f aca="false">IF(B6468&lt;5,Einstellungen!$B$3,Einstellungen!$B$4)</f>
        <v>15.92</v>
      </c>
      <c r="E6468" s="14" t="str">
        <f aca="false">IF(C6468="","",C6468*D6468/100)</f>
        <v/>
      </c>
      <c r="F6468" s="15" t="str">
        <f aca="false">IF(B6468&lt;5,"Go","Standard")</f>
        <v>Go</v>
      </c>
    </row>
    <row r="6469" customFormat="false" ht="15" hidden="false" customHeight="true" outlineLevel="0" collapsed="false">
      <c r="A6469" s="10" t="n">
        <f aca="false">Einstellungen!$B$5+INT((ROW()-9)/24)</f>
        <v>46235</v>
      </c>
      <c r="B6469" s="11" t="n">
        <f aca="false">MOD(ROW()-9,24)</f>
        <v>4</v>
      </c>
      <c r="C6469" s="12"/>
      <c r="D6469" s="13" t="n">
        <f aca="false">IF(B6469&lt;5,Einstellungen!$B$3,Einstellungen!$B$4)</f>
        <v>15.92</v>
      </c>
      <c r="E6469" s="14" t="str">
        <f aca="false">IF(C6469="","",C6469*D6469/100)</f>
        <v/>
      </c>
      <c r="F6469" s="15" t="str">
        <f aca="false">IF(B6469&lt;5,"Go","Standard")</f>
        <v>Go</v>
      </c>
    </row>
    <row r="6470" customFormat="false" ht="15" hidden="false" customHeight="true" outlineLevel="0" collapsed="false">
      <c r="A6470" s="10" t="n">
        <f aca="false">Einstellungen!$B$5+INT((ROW()-9)/24)</f>
        <v>46235</v>
      </c>
      <c r="B6470" s="11" t="n">
        <f aca="false">MOD(ROW()-9,24)</f>
        <v>5</v>
      </c>
      <c r="C6470" s="12"/>
      <c r="D6470" s="13" t="n">
        <f aca="false">IF(B6470&lt;5,Einstellungen!$B$3,Einstellungen!$B$4)</f>
        <v>29.13</v>
      </c>
      <c r="E6470" s="14" t="str">
        <f aca="false">IF(C6470="","",C6470*D6470/100)</f>
        <v/>
      </c>
      <c r="F6470" s="15" t="str">
        <f aca="false">IF(B6470&lt;5,"Go","Standard")</f>
        <v>Standard</v>
      </c>
    </row>
    <row r="6471" customFormat="false" ht="15" hidden="false" customHeight="true" outlineLevel="0" collapsed="false">
      <c r="A6471" s="10" t="n">
        <f aca="false">Einstellungen!$B$5+INT((ROW()-9)/24)</f>
        <v>46235</v>
      </c>
      <c r="B6471" s="11" t="n">
        <f aca="false">MOD(ROW()-9,24)</f>
        <v>6</v>
      </c>
      <c r="C6471" s="12"/>
      <c r="D6471" s="13" t="n">
        <f aca="false">IF(B6471&lt;5,Einstellungen!$B$3,Einstellungen!$B$4)</f>
        <v>29.13</v>
      </c>
      <c r="E6471" s="14" t="str">
        <f aca="false">IF(C6471="","",C6471*D6471/100)</f>
        <v/>
      </c>
      <c r="F6471" s="15" t="str">
        <f aca="false">IF(B6471&lt;5,"Go","Standard")</f>
        <v>Standard</v>
      </c>
    </row>
    <row r="6472" customFormat="false" ht="15" hidden="false" customHeight="true" outlineLevel="0" collapsed="false">
      <c r="A6472" s="10" t="n">
        <f aca="false">Einstellungen!$B$5+INT((ROW()-9)/24)</f>
        <v>46235</v>
      </c>
      <c r="B6472" s="11" t="n">
        <f aca="false">MOD(ROW()-9,24)</f>
        <v>7</v>
      </c>
      <c r="C6472" s="12"/>
      <c r="D6472" s="13" t="n">
        <f aca="false">IF(B6472&lt;5,Einstellungen!$B$3,Einstellungen!$B$4)</f>
        <v>29.13</v>
      </c>
      <c r="E6472" s="14" t="str">
        <f aca="false">IF(C6472="","",C6472*D6472/100)</f>
        <v/>
      </c>
      <c r="F6472" s="15" t="str">
        <f aca="false">IF(B6472&lt;5,"Go","Standard")</f>
        <v>Standard</v>
      </c>
    </row>
    <row r="6473" customFormat="false" ht="15" hidden="false" customHeight="true" outlineLevel="0" collapsed="false">
      <c r="A6473" s="10" t="n">
        <f aca="false">Einstellungen!$B$5+INT((ROW()-9)/24)</f>
        <v>46235</v>
      </c>
      <c r="B6473" s="11" t="n">
        <f aca="false">MOD(ROW()-9,24)</f>
        <v>8</v>
      </c>
      <c r="C6473" s="12"/>
      <c r="D6473" s="13" t="n">
        <f aca="false">IF(B6473&lt;5,Einstellungen!$B$3,Einstellungen!$B$4)</f>
        <v>29.13</v>
      </c>
      <c r="E6473" s="14" t="str">
        <f aca="false">IF(C6473="","",C6473*D6473/100)</f>
        <v/>
      </c>
      <c r="F6473" s="15" t="str">
        <f aca="false">IF(B6473&lt;5,"Go","Standard")</f>
        <v>Standard</v>
      </c>
    </row>
    <row r="6474" customFormat="false" ht="15" hidden="false" customHeight="true" outlineLevel="0" collapsed="false">
      <c r="A6474" s="10" t="n">
        <f aca="false">Einstellungen!$B$5+INT((ROW()-9)/24)</f>
        <v>46235</v>
      </c>
      <c r="B6474" s="11" t="n">
        <f aca="false">MOD(ROW()-9,24)</f>
        <v>9</v>
      </c>
      <c r="C6474" s="12"/>
      <c r="D6474" s="13" t="n">
        <f aca="false">IF(B6474&lt;5,Einstellungen!$B$3,Einstellungen!$B$4)</f>
        <v>29.13</v>
      </c>
      <c r="E6474" s="14" t="str">
        <f aca="false">IF(C6474="","",C6474*D6474/100)</f>
        <v/>
      </c>
      <c r="F6474" s="15" t="str">
        <f aca="false">IF(B6474&lt;5,"Go","Standard")</f>
        <v>Standard</v>
      </c>
    </row>
    <row r="6475" customFormat="false" ht="15" hidden="false" customHeight="true" outlineLevel="0" collapsed="false">
      <c r="A6475" s="10" t="n">
        <f aca="false">Einstellungen!$B$5+INT((ROW()-9)/24)</f>
        <v>46235</v>
      </c>
      <c r="B6475" s="11" t="n">
        <f aca="false">MOD(ROW()-9,24)</f>
        <v>10</v>
      </c>
      <c r="C6475" s="12"/>
      <c r="D6475" s="13" t="n">
        <f aca="false">IF(B6475&lt;5,Einstellungen!$B$3,Einstellungen!$B$4)</f>
        <v>29.13</v>
      </c>
      <c r="E6475" s="14" t="str">
        <f aca="false">IF(C6475="","",C6475*D6475/100)</f>
        <v/>
      </c>
      <c r="F6475" s="15" t="str">
        <f aca="false">IF(B6475&lt;5,"Go","Standard")</f>
        <v>Standard</v>
      </c>
    </row>
    <row r="6476" customFormat="false" ht="15" hidden="false" customHeight="true" outlineLevel="0" collapsed="false">
      <c r="A6476" s="10" t="n">
        <f aca="false">Einstellungen!$B$5+INT((ROW()-9)/24)</f>
        <v>46235</v>
      </c>
      <c r="B6476" s="11" t="n">
        <f aca="false">MOD(ROW()-9,24)</f>
        <v>11</v>
      </c>
      <c r="C6476" s="12"/>
      <c r="D6476" s="13" t="n">
        <f aca="false">IF(B6476&lt;5,Einstellungen!$B$3,Einstellungen!$B$4)</f>
        <v>29.13</v>
      </c>
      <c r="E6476" s="14" t="str">
        <f aca="false">IF(C6476="","",C6476*D6476/100)</f>
        <v/>
      </c>
      <c r="F6476" s="15" t="str">
        <f aca="false">IF(B6476&lt;5,"Go","Standard")</f>
        <v>Standard</v>
      </c>
    </row>
    <row r="6477" customFormat="false" ht="15" hidden="false" customHeight="true" outlineLevel="0" collapsed="false">
      <c r="A6477" s="10" t="n">
        <f aca="false">Einstellungen!$B$5+INT((ROW()-9)/24)</f>
        <v>46235</v>
      </c>
      <c r="B6477" s="11" t="n">
        <f aca="false">MOD(ROW()-9,24)</f>
        <v>12</v>
      </c>
      <c r="C6477" s="12"/>
      <c r="D6477" s="13" t="n">
        <f aca="false">IF(B6477&lt;5,Einstellungen!$B$3,Einstellungen!$B$4)</f>
        <v>29.13</v>
      </c>
      <c r="E6477" s="14" t="str">
        <f aca="false">IF(C6477="","",C6477*D6477/100)</f>
        <v/>
      </c>
      <c r="F6477" s="15" t="str">
        <f aca="false">IF(B6477&lt;5,"Go","Standard")</f>
        <v>Standard</v>
      </c>
    </row>
    <row r="6478" customFormat="false" ht="15" hidden="false" customHeight="true" outlineLevel="0" collapsed="false">
      <c r="A6478" s="10" t="n">
        <f aca="false">Einstellungen!$B$5+INT((ROW()-9)/24)</f>
        <v>46235</v>
      </c>
      <c r="B6478" s="11" t="n">
        <f aca="false">MOD(ROW()-9,24)</f>
        <v>13</v>
      </c>
      <c r="C6478" s="12"/>
      <c r="D6478" s="13" t="n">
        <f aca="false">IF(B6478&lt;5,Einstellungen!$B$3,Einstellungen!$B$4)</f>
        <v>29.13</v>
      </c>
      <c r="E6478" s="14" t="str">
        <f aca="false">IF(C6478="","",C6478*D6478/100)</f>
        <v/>
      </c>
      <c r="F6478" s="15" t="str">
        <f aca="false">IF(B6478&lt;5,"Go","Standard")</f>
        <v>Standard</v>
      </c>
    </row>
    <row r="6479" customFormat="false" ht="15" hidden="false" customHeight="true" outlineLevel="0" collapsed="false">
      <c r="A6479" s="10" t="n">
        <f aca="false">Einstellungen!$B$5+INT((ROW()-9)/24)</f>
        <v>46235</v>
      </c>
      <c r="B6479" s="11" t="n">
        <f aca="false">MOD(ROW()-9,24)</f>
        <v>14</v>
      </c>
      <c r="C6479" s="12"/>
      <c r="D6479" s="13" t="n">
        <f aca="false">IF(B6479&lt;5,Einstellungen!$B$3,Einstellungen!$B$4)</f>
        <v>29.13</v>
      </c>
      <c r="E6479" s="14" t="str">
        <f aca="false">IF(C6479="","",C6479*D6479/100)</f>
        <v/>
      </c>
      <c r="F6479" s="15" t="str">
        <f aca="false">IF(B6479&lt;5,"Go","Standard")</f>
        <v>Standard</v>
      </c>
    </row>
    <row r="6480" customFormat="false" ht="15" hidden="false" customHeight="true" outlineLevel="0" collapsed="false">
      <c r="A6480" s="10" t="n">
        <f aca="false">Einstellungen!$B$5+INT((ROW()-9)/24)</f>
        <v>46235</v>
      </c>
      <c r="B6480" s="11" t="n">
        <f aca="false">MOD(ROW()-9,24)</f>
        <v>15</v>
      </c>
      <c r="C6480" s="12"/>
      <c r="D6480" s="13" t="n">
        <f aca="false">IF(B6480&lt;5,Einstellungen!$B$3,Einstellungen!$B$4)</f>
        <v>29.13</v>
      </c>
      <c r="E6480" s="14" t="str">
        <f aca="false">IF(C6480="","",C6480*D6480/100)</f>
        <v/>
      </c>
      <c r="F6480" s="15" t="str">
        <f aca="false">IF(B6480&lt;5,"Go","Standard")</f>
        <v>Standard</v>
      </c>
    </row>
    <row r="6481" customFormat="false" ht="15" hidden="false" customHeight="true" outlineLevel="0" collapsed="false">
      <c r="A6481" s="10" t="n">
        <f aca="false">Einstellungen!$B$5+INT((ROW()-9)/24)</f>
        <v>46235</v>
      </c>
      <c r="B6481" s="11" t="n">
        <f aca="false">MOD(ROW()-9,24)</f>
        <v>16</v>
      </c>
      <c r="C6481" s="12"/>
      <c r="D6481" s="13" t="n">
        <f aca="false">IF(B6481&lt;5,Einstellungen!$B$3,Einstellungen!$B$4)</f>
        <v>29.13</v>
      </c>
      <c r="E6481" s="14" t="str">
        <f aca="false">IF(C6481="","",C6481*D6481/100)</f>
        <v/>
      </c>
      <c r="F6481" s="15" t="str">
        <f aca="false">IF(B6481&lt;5,"Go","Standard")</f>
        <v>Standard</v>
      </c>
    </row>
    <row r="6482" customFormat="false" ht="15" hidden="false" customHeight="true" outlineLevel="0" collapsed="false">
      <c r="A6482" s="10" t="n">
        <f aca="false">Einstellungen!$B$5+INT((ROW()-9)/24)</f>
        <v>46235</v>
      </c>
      <c r="B6482" s="11" t="n">
        <f aca="false">MOD(ROW()-9,24)</f>
        <v>17</v>
      </c>
      <c r="C6482" s="12"/>
      <c r="D6482" s="13" t="n">
        <f aca="false">IF(B6482&lt;5,Einstellungen!$B$3,Einstellungen!$B$4)</f>
        <v>29.13</v>
      </c>
      <c r="E6482" s="14" t="str">
        <f aca="false">IF(C6482="","",C6482*D6482/100)</f>
        <v/>
      </c>
      <c r="F6482" s="15" t="str">
        <f aca="false">IF(B6482&lt;5,"Go","Standard")</f>
        <v>Standard</v>
      </c>
    </row>
    <row r="6483" customFormat="false" ht="15" hidden="false" customHeight="true" outlineLevel="0" collapsed="false">
      <c r="A6483" s="10" t="n">
        <f aca="false">Einstellungen!$B$5+INT((ROW()-9)/24)</f>
        <v>46235</v>
      </c>
      <c r="B6483" s="11" t="n">
        <f aca="false">MOD(ROW()-9,24)</f>
        <v>18</v>
      </c>
      <c r="C6483" s="12"/>
      <c r="D6483" s="13" t="n">
        <f aca="false">IF(B6483&lt;5,Einstellungen!$B$3,Einstellungen!$B$4)</f>
        <v>29.13</v>
      </c>
      <c r="E6483" s="14" t="str">
        <f aca="false">IF(C6483="","",C6483*D6483/100)</f>
        <v/>
      </c>
      <c r="F6483" s="15" t="str">
        <f aca="false">IF(B6483&lt;5,"Go","Standard")</f>
        <v>Standard</v>
      </c>
    </row>
    <row r="6484" customFormat="false" ht="15" hidden="false" customHeight="true" outlineLevel="0" collapsed="false">
      <c r="A6484" s="10" t="n">
        <f aca="false">Einstellungen!$B$5+INT((ROW()-9)/24)</f>
        <v>46235</v>
      </c>
      <c r="B6484" s="11" t="n">
        <f aca="false">MOD(ROW()-9,24)</f>
        <v>19</v>
      </c>
      <c r="C6484" s="12"/>
      <c r="D6484" s="13" t="n">
        <f aca="false">IF(B6484&lt;5,Einstellungen!$B$3,Einstellungen!$B$4)</f>
        <v>29.13</v>
      </c>
      <c r="E6484" s="14" t="str">
        <f aca="false">IF(C6484="","",C6484*D6484/100)</f>
        <v/>
      </c>
      <c r="F6484" s="15" t="str">
        <f aca="false">IF(B6484&lt;5,"Go","Standard")</f>
        <v>Standard</v>
      </c>
    </row>
    <row r="6485" customFormat="false" ht="15" hidden="false" customHeight="true" outlineLevel="0" collapsed="false">
      <c r="A6485" s="10" t="n">
        <f aca="false">Einstellungen!$B$5+INT((ROW()-9)/24)</f>
        <v>46235</v>
      </c>
      <c r="B6485" s="11" t="n">
        <f aca="false">MOD(ROW()-9,24)</f>
        <v>20</v>
      </c>
      <c r="C6485" s="12"/>
      <c r="D6485" s="13" t="n">
        <f aca="false">IF(B6485&lt;5,Einstellungen!$B$3,Einstellungen!$B$4)</f>
        <v>29.13</v>
      </c>
      <c r="E6485" s="14" t="str">
        <f aca="false">IF(C6485="","",C6485*D6485/100)</f>
        <v/>
      </c>
      <c r="F6485" s="15" t="str">
        <f aca="false">IF(B6485&lt;5,"Go","Standard")</f>
        <v>Standard</v>
      </c>
    </row>
    <row r="6486" customFormat="false" ht="15" hidden="false" customHeight="true" outlineLevel="0" collapsed="false">
      <c r="A6486" s="10" t="n">
        <f aca="false">Einstellungen!$B$5+INT((ROW()-9)/24)</f>
        <v>46235</v>
      </c>
      <c r="B6486" s="11" t="n">
        <f aca="false">MOD(ROW()-9,24)</f>
        <v>21</v>
      </c>
      <c r="C6486" s="12"/>
      <c r="D6486" s="13" t="n">
        <f aca="false">IF(B6486&lt;5,Einstellungen!$B$3,Einstellungen!$B$4)</f>
        <v>29.13</v>
      </c>
      <c r="E6486" s="14" t="str">
        <f aca="false">IF(C6486="","",C6486*D6486/100)</f>
        <v/>
      </c>
      <c r="F6486" s="15" t="str">
        <f aca="false">IF(B6486&lt;5,"Go","Standard")</f>
        <v>Standard</v>
      </c>
    </row>
    <row r="6487" customFormat="false" ht="15" hidden="false" customHeight="true" outlineLevel="0" collapsed="false">
      <c r="A6487" s="10" t="n">
        <f aca="false">Einstellungen!$B$5+INT((ROW()-9)/24)</f>
        <v>46235</v>
      </c>
      <c r="B6487" s="11" t="n">
        <f aca="false">MOD(ROW()-9,24)</f>
        <v>22</v>
      </c>
      <c r="C6487" s="12"/>
      <c r="D6487" s="13" t="n">
        <f aca="false">IF(B6487&lt;5,Einstellungen!$B$3,Einstellungen!$B$4)</f>
        <v>29.13</v>
      </c>
      <c r="E6487" s="14" t="str">
        <f aca="false">IF(C6487="","",C6487*D6487/100)</f>
        <v/>
      </c>
      <c r="F6487" s="15" t="str">
        <f aca="false">IF(B6487&lt;5,"Go","Standard")</f>
        <v>Standard</v>
      </c>
    </row>
    <row r="6488" customFormat="false" ht="15" hidden="false" customHeight="true" outlineLevel="0" collapsed="false">
      <c r="A6488" s="10" t="n">
        <f aca="false">Einstellungen!$B$5+INT((ROW()-9)/24)</f>
        <v>46235</v>
      </c>
      <c r="B6488" s="11" t="n">
        <f aca="false">MOD(ROW()-9,24)</f>
        <v>23</v>
      </c>
      <c r="C6488" s="12"/>
      <c r="D6488" s="13" t="n">
        <f aca="false">IF(B6488&lt;5,Einstellungen!$B$3,Einstellungen!$B$4)</f>
        <v>29.13</v>
      </c>
      <c r="E6488" s="14" t="str">
        <f aca="false">IF(C6488="","",C6488*D6488/100)</f>
        <v/>
      </c>
      <c r="F6488" s="15" t="str">
        <f aca="false">IF(B6488&lt;5,"Go","Standard")</f>
        <v>Standard</v>
      </c>
    </row>
    <row r="6489" customFormat="false" ht="15" hidden="false" customHeight="true" outlineLevel="0" collapsed="false">
      <c r="A6489" s="10" t="n">
        <f aca="false">Einstellungen!$B$5+INT((ROW()-9)/24)</f>
        <v>46236</v>
      </c>
      <c r="B6489" s="11" t="n">
        <f aca="false">MOD(ROW()-9,24)</f>
        <v>0</v>
      </c>
      <c r="C6489" s="12"/>
      <c r="D6489" s="13" t="n">
        <f aca="false">IF(B6489&lt;5,Einstellungen!$B$3,Einstellungen!$B$4)</f>
        <v>15.92</v>
      </c>
      <c r="E6489" s="14" t="str">
        <f aca="false">IF(C6489="","",C6489*D6489/100)</f>
        <v/>
      </c>
      <c r="F6489" s="15" t="str">
        <f aca="false">IF(B6489&lt;5,"Go","Standard")</f>
        <v>Go</v>
      </c>
    </row>
    <row r="6490" customFormat="false" ht="15" hidden="false" customHeight="true" outlineLevel="0" collapsed="false">
      <c r="A6490" s="10" t="n">
        <f aca="false">Einstellungen!$B$5+INT((ROW()-9)/24)</f>
        <v>46236</v>
      </c>
      <c r="B6490" s="11" t="n">
        <f aca="false">MOD(ROW()-9,24)</f>
        <v>1</v>
      </c>
      <c r="C6490" s="12"/>
      <c r="D6490" s="13" t="n">
        <f aca="false">IF(B6490&lt;5,Einstellungen!$B$3,Einstellungen!$B$4)</f>
        <v>15.92</v>
      </c>
      <c r="E6490" s="14" t="str">
        <f aca="false">IF(C6490="","",C6490*D6490/100)</f>
        <v/>
      </c>
      <c r="F6490" s="15" t="str">
        <f aca="false">IF(B6490&lt;5,"Go","Standard")</f>
        <v>Go</v>
      </c>
    </row>
    <row r="6491" customFormat="false" ht="15" hidden="false" customHeight="true" outlineLevel="0" collapsed="false">
      <c r="A6491" s="10" t="n">
        <f aca="false">Einstellungen!$B$5+INT((ROW()-9)/24)</f>
        <v>46236</v>
      </c>
      <c r="B6491" s="11" t="n">
        <f aca="false">MOD(ROW()-9,24)</f>
        <v>2</v>
      </c>
      <c r="C6491" s="12"/>
      <c r="D6491" s="13" t="n">
        <f aca="false">IF(B6491&lt;5,Einstellungen!$B$3,Einstellungen!$B$4)</f>
        <v>15.92</v>
      </c>
      <c r="E6491" s="14" t="str">
        <f aca="false">IF(C6491="","",C6491*D6491/100)</f>
        <v/>
      </c>
      <c r="F6491" s="15" t="str">
        <f aca="false">IF(B6491&lt;5,"Go","Standard")</f>
        <v>Go</v>
      </c>
    </row>
    <row r="6492" customFormat="false" ht="15" hidden="false" customHeight="true" outlineLevel="0" collapsed="false">
      <c r="A6492" s="10" t="n">
        <f aca="false">Einstellungen!$B$5+INT((ROW()-9)/24)</f>
        <v>46236</v>
      </c>
      <c r="B6492" s="11" t="n">
        <f aca="false">MOD(ROW()-9,24)</f>
        <v>3</v>
      </c>
      <c r="C6492" s="12"/>
      <c r="D6492" s="13" t="n">
        <f aca="false">IF(B6492&lt;5,Einstellungen!$B$3,Einstellungen!$B$4)</f>
        <v>15.92</v>
      </c>
      <c r="E6492" s="14" t="str">
        <f aca="false">IF(C6492="","",C6492*D6492/100)</f>
        <v/>
      </c>
      <c r="F6492" s="15" t="str">
        <f aca="false">IF(B6492&lt;5,"Go","Standard")</f>
        <v>Go</v>
      </c>
    </row>
    <row r="6493" customFormat="false" ht="15" hidden="false" customHeight="true" outlineLevel="0" collapsed="false">
      <c r="A6493" s="10" t="n">
        <f aca="false">Einstellungen!$B$5+INT((ROW()-9)/24)</f>
        <v>46236</v>
      </c>
      <c r="B6493" s="11" t="n">
        <f aca="false">MOD(ROW()-9,24)</f>
        <v>4</v>
      </c>
      <c r="C6493" s="12"/>
      <c r="D6493" s="13" t="n">
        <f aca="false">IF(B6493&lt;5,Einstellungen!$B$3,Einstellungen!$B$4)</f>
        <v>15.92</v>
      </c>
      <c r="E6493" s="14" t="str">
        <f aca="false">IF(C6493="","",C6493*D6493/100)</f>
        <v/>
      </c>
      <c r="F6493" s="15" t="str">
        <f aca="false">IF(B6493&lt;5,"Go","Standard")</f>
        <v>Go</v>
      </c>
    </row>
    <row r="6494" customFormat="false" ht="15" hidden="false" customHeight="true" outlineLevel="0" collapsed="false">
      <c r="A6494" s="10" t="n">
        <f aca="false">Einstellungen!$B$5+INT((ROW()-9)/24)</f>
        <v>46236</v>
      </c>
      <c r="B6494" s="11" t="n">
        <f aca="false">MOD(ROW()-9,24)</f>
        <v>5</v>
      </c>
      <c r="C6494" s="12"/>
      <c r="D6494" s="13" t="n">
        <f aca="false">IF(B6494&lt;5,Einstellungen!$B$3,Einstellungen!$B$4)</f>
        <v>29.13</v>
      </c>
      <c r="E6494" s="14" t="str">
        <f aca="false">IF(C6494="","",C6494*D6494/100)</f>
        <v/>
      </c>
      <c r="F6494" s="15" t="str">
        <f aca="false">IF(B6494&lt;5,"Go","Standard")</f>
        <v>Standard</v>
      </c>
    </row>
    <row r="6495" customFormat="false" ht="15" hidden="false" customHeight="true" outlineLevel="0" collapsed="false">
      <c r="A6495" s="10" t="n">
        <f aca="false">Einstellungen!$B$5+INT((ROW()-9)/24)</f>
        <v>46236</v>
      </c>
      <c r="B6495" s="11" t="n">
        <f aca="false">MOD(ROW()-9,24)</f>
        <v>6</v>
      </c>
      <c r="C6495" s="12"/>
      <c r="D6495" s="13" t="n">
        <f aca="false">IF(B6495&lt;5,Einstellungen!$B$3,Einstellungen!$B$4)</f>
        <v>29.13</v>
      </c>
      <c r="E6495" s="14" t="str">
        <f aca="false">IF(C6495="","",C6495*D6495/100)</f>
        <v/>
      </c>
      <c r="F6495" s="15" t="str">
        <f aca="false">IF(B6495&lt;5,"Go","Standard")</f>
        <v>Standard</v>
      </c>
    </row>
    <row r="6496" customFormat="false" ht="15" hidden="false" customHeight="true" outlineLevel="0" collapsed="false">
      <c r="A6496" s="10" t="n">
        <f aca="false">Einstellungen!$B$5+INT((ROW()-9)/24)</f>
        <v>46236</v>
      </c>
      <c r="B6496" s="11" t="n">
        <f aca="false">MOD(ROW()-9,24)</f>
        <v>7</v>
      </c>
      <c r="C6496" s="12"/>
      <c r="D6496" s="13" t="n">
        <f aca="false">IF(B6496&lt;5,Einstellungen!$B$3,Einstellungen!$B$4)</f>
        <v>29.13</v>
      </c>
      <c r="E6496" s="14" t="str">
        <f aca="false">IF(C6496="","",C6496*D6496/100)</f>
        <v/>
      </c>
      <c r="F6496" s="15" t="str">
        <f aca="false">IF(B6496&lt;5,"Go","Standard")</f>
        <v>Standard</v>
      </c>
    </row>
    <row r="6497" customFormat="false" ht="15" hidden="false" customHeight="true" outlineLevel="0" collapsed="false">
      <c r="A6497" s="10" t="n">
        <f aca="false">Einstellungen!$B$5+INT((ROW()-9)/24)</f>
        <v>46236</v>
      </c>
      <c r="B6497" s="11" t="n">
        <f aca="false">MOD(ROW()-9,24)</f>
        <v>8</v>
      </c>
      <c r="C6497" s="12"/>
      <c r="D6497" s="13" t="n">
        <f aca="false">IF(B6497&lt;5,Einstellungen!$B$3,Einstellungen!$B$4)</f>
        <v>29.13</v>
      </c>
      <c r="E6497" s="14" t="str">
        <f aca="false">IF(C6497="","",C6497*D6497/100)</f>
        <v/>
      </c>
      <c r="F6497" s="15" t="str">
        <f aca="false">IF(B6497&lt;5,"Go","Standard")</f>
        <v>Standard</v>
      </c>
    </row>
    <row r="6498" customFormat="false" ht="15" hidden="false" customHeight="true" outlineLevel="0" collapsed="false">
      <c r="A6498" s="10" t="n">
        <f aca="false">Einstellungen!$B$5+INT((ROW()-9)/24)</f>
        <v>46236</v>
      </c>
      <c r="B6498" s="11" t="n">
        <f aca="false">MOD(ROW()-9,24)</f>
        <v>9</v>
      </c>
      <c r="C6498" s="12"/>
      <c r="D6498" s="13" t="n">
        <f aca="false">IF(B6498&lt;5,Einstellungen!$B$3,Einstellungen!$B$4)</f>
        <v>29.13</v>
      </c>
      <c r="E6498" s="14" t="str">
        <f aca="false">IF(C6498="","",C6498*D6498/100)</f>
        <v/>
      </c>
      <c r="F6498" s="15" t="str">
        <f aca="false">IF(B6498&lt;5,"Go","Standard")</f>
        <v>Standard</v>
      </c>
    </row>
    <row r="6499" customFormat="false" ht="15" hidden="false" customHeight="true" outlineLevel="0" collapsed="false">
      <c r="A6499" s="10" t="n">
        <f aca="false">Einstellungen!$B$5+INT((ROW()-9)/24)</f>
        <v>46236</v>
      </c>
      <c r="B6499" s="11" t="n">
        <f aca="false">MOD(ROW()-9,24)</f>
        <v>10</v>
      </c>
      <c r="C6499" s="12"/>
      <c r="D6499" s="13" t="n">
        <f aca="false">IF(B6499&lt;5,Einstellungen!$B$3,Einstellungen!$B$4)</f>
        <v>29.13</v>
      </c>
      <c r="E6499" s="14" t="str">
        <f aca="false">IF(C6499="","",C6499*D6499/100)</f>
        <v/>
      </c>
      <c r="F6499" s="15" t="str">
        <f aca="false">IF(B6499&lt;5,"Go","Standard")</f>
        <v>Standard</v>
      </c>
    </row>
    <row r="6500" customFormat="false" ht="15" hidden="false" customHeight="true" outlineLevel="0" collapsed="false">
      <c r="A6500" s="10" t="n">
        <f aca="false">Einstellungen!$B$5+INT((ROW()-9)/24)</f>
        <v>46236</v>
      </c>
      <c r="B6500" s="11" t="n">
        <f aca="false">MOD(ROW()-9,24)</f>
        <v>11</v>
      </c>
      <c r="C6500" s="12"/>
      <c r="D6500" s="13" t="n">
        <f aca="false">IF(B6500&lt;5,Einstellungen!$B$3,Einstellungen!$B$4)</f>
        <v>29.13</v>
      </c>
      <c r="E6500" s="14" t="str">
        <f aca="false">IF(C6500="","",C6500*D6500/100)</f>
        <v/>
      </c>
      <c r="F6500" s="15" t="str">
        <f aca="false">IF(B6500&lt;5,"Go","Standard")</f>
        <v>Standard</v>
      </c>
    </row>
    <row r="6501" customFormat="false" ht="15" hidden="false" customHeight="true" outlineLevel="0" collapsed="false">
      <c r="A6501" s="10" t="n">
        <f aca="false">Einstellungen!$B$5+INT((ROW()-9)/24)</f>
        <v>46236</v>
      </c>
      <c r="B6501" s="11" t="n">
        <f aca="false">MOD(ROW()-9,24)</f>
        <v>12</v>
      </c>
      <c r="C6501" s="12"/>
      <c r="D6501" s="13" t="n">
        <f aca="false">IF(B6501&lt;5,Einstellungen!$B$3,Einstellungen!$B$4)</f>
        <v>29.13</v>
      </c>
      <c r="E6501" s="14" t="str">
        <f aca="false">IF(C6501="","",C6501*D6501/100)</f>
        <v/>
      </c>
      <c r="F6501" s="15" t="str">
        <f aca="false">IF(B6501&lt;5,"Go","Standard")</f>
        <v>Standard</v>
      </c>
    </row>
    <row r="6502" customFormat="false" ht="15" hidden="false" customHeight="true" outlineLevel="0" collapsed="false">
      <c r="A6502" s="10" t="n">
        <f aca="false">Einstellungen!$B$5+INT((ROW()-9)/24)</f>
        <v>46236</v>
      </c>
      <c r="B6502" s="11" t="n">
        <f aca="false">MOD(ROW()-9,24)</f>
        <v>13</v>
      </c>
      <c r="C6502" s="12"/>
      <c r="D6502" s="13" t="n">
        <f aca="false">IF(B6502&lt;5,Einstellungen!$B$3,Einstellungen!$B$4)</f>
        <v>29.13</v>
      </c>
      <c r="E6502" s="14" t="str">
        <f aca="false">IF(C6502="","",C6502*D6502/100)</f>
        <v/>
      </c>
      <c r="F6502" s="15" t="str">
        <f aca="false">IF(B6502&lt;5,"Go","Standard")</f>
        <v>Standard</v>
      </c>
    </row>
    <row r="6503" customFormat="false" ht="15" hidden="false" customHeight="true" outlineLevel="0" collapsed="false">
      <c r="A6503" s="10" t="n">
        <f aca="false">Einstellungen!$B$5+INT((ROW()-9)/24)</f>
        <v>46236</v>
      </c>
      <c r="B6503" s="11" t="n">
        <f aca="false">MOD(ROW()-9,24)</f>
        <v>14</v>
      </c>
      <c r="C6503" s="12"/>
      <c r="D6503" s="13" t="n">
        <f aca="false">IF(B6503&lt;5,Einstellungen!$B$3,Einstellungen!$B$4)</f>
        <v>29.13</v>
      </c>
      <c r="E6503" s="14" t="str">
        <f aca="false">IF(C6503="","",C6503*D6503/100)</f>
        <v/>
      </c>
      <c r="F6503" s="15" t="str">
        <f aca="false">IF(B6503&lt;5,"Go","Standard")</f>
        <v>Standard</v>
      </c>
    </row>
    <row r="6504" customFormat="false" ht="15" hidden="false" customHeight="true" outlineLevel="0" collapsed="false">
      <c r="A6504" s="10" t="n">
        <f aca="false">Einstellungen!$B$5+INT((ROW()-9)/24)</f>
        <v>46236</v>
      </c>
      <c r="B6504" s="11" t="n">
        <f aca="false">MOD(ROW()-9,24)</f>
        <v>15</v>
      </c>
      <c r="C6504" s="12"/>
      <c r="D6504" s="13" t="n">
        <f aca="false">IF(B6504&lt;5,Einstellungen!$B$3,Einstellungen!$B$4)</f>
        <v>29.13</v>
      </c>
      <c r="E6504" s="14" t="str">
        <f aca="false">IF(C6504="","",C6504*D6504/100)</f>
        <v/>
      </c>
      <c r="F6504" s="15" t="str">
        <f aca="false">IF(B6504&lt;5,"Go","Standard")</f>
        <v>Standard</v>
      </c>
    </row>
    <row r="6505" customFormat="false" ht="15" hidden="false" customHeight="true" outlineLevel="0" collapsed="false">
      <c r="A6505" s="10" t="n">
        <f aca="false">Einstellungen!$B$5+INT((ROW()-9)/24)</f>
        <v>46236</v>
      </c>
      <c r="B6505" s="11" t="n">
        <f aca="false">MOD(ROW()-9,24)</f>
        <v>16</v>
      </c>
      <c r="C6505" s="12"/>
      <c r="D6505" s="13" t="n">
        <f aca="false">IF(B6505&lt;5,Einstellungen!$B$3,Einstellungen!$B$4)</f>
        <v>29.13</v>
      </c>
      <c r="E6505" s="14" t="str">
        <f aca="false">IF(C6505="","",C6505*D6505/100)</f>
        <v/>
      </c>
      <c r="F6505" s="15" t="str">
        <f aca="false">IF(B6505&lt;5,"Go","Standard")</f>
        <v>Standard</v>
      </c>
    </row>
    <row r="6506" customFormat="false" ht="15" hidden="false" customHeight="true" outlineLevel="0" collapsed="false">
      <c r="A6506" s="10" t="n">
        <f aca="false">Einstellungen!$B$5+INT((ROW()-9)/24)</f>
        <v>46236</v>
      </c>
      <c r="B6506" s="11" t="n">
        <f aca="false">MOD(ROW()-9,24)</f>
        <v>17</v>
      </c>
      <c r="C6506" s="12"/>
      <c r="D6506" s="13" t="n">
        <f aca="false">IF(B6506&lt;5,Einstellungen!$B$3,Einstellungen!$B$4)</f>
        <v>29.13</v>
      </c>
      <c r="E6506" s="14" t="str">
        <f aca="false">IF(C6506="","",C6506*D6506/100)</f>
        <v/>
      </c>
      <c r="F6506" s="15" t="str">
        <f aca="false">IF(B6506&lt;5,"Go","Standard")</f>
        <v>Standard</v>
      </c>
    </row>
    <row r="6507" customFormat="false" ht="15" hidden="false" customHeight="true" outlineLevel="0" collapsed="false">
      <c r="A6507" s="10" t="n">
        <f aca="false">Einstellungen!$B$5+INT((ROW()-9)/24)</f>
        <v>46236</v>
      </c>
      <c r="B6507" s="11" t="n">
        <f aca="false">MOD(ROW()-9,24)</f>
        <v>18</v>
      </c>
      <c r="C6507" s="12"/>
      <c r="D6507" s="13" t="n">
        <f aca="false">IF(B6507&lt;5,Einstellungen!$B$3,Einstellungen!$B$4)</f>
        <v>29.13</v>
      </c>
      <c r="E6507" s="14" t="str">
        <f aca="false">IF(C6507="","",C6507*D6507/100)</f>
        <v/>
      </c>
      <c r="F6507" s="15" t="str">
        <f aca="false">IF(B6507&lt;5,"Go","Standard")</f>
        <v>Standard</v>
      </c>
    </row>
    <row r="6508" customFormat="false" ht="15" hidden="false" customHeight="true" outlineLevel="0" collapsed="false">
      <c r="A6508" s="10" t="n">
        <f aca="false">Einstellungen!$B$5+INT((ROW()-9)/24)</f>
        <v>46236</v>
      </c>
      <c r="B6508" s="11" t="n">
        <f aca="false">MOD(ROW()-9,24)</f>
        <v>19</v>
      </c>
      <c r="C6508" s="12"/>
      <c r="D6508" s="13" t="n">
        <f aca="false">IF(B6508&lt;5,Einstellungen!$B$3,Einstellungen!$B$4)</f>
        <v>29.13</v>
      </c>
      <c r="E6508" s="14" t="str">
        <f aca="false">IF(C6508="","",C6508*D6508/100)</f>
        <v/>
      </c>
      <c r="F6508" s="15" t="str">
        <f aca="false">IF(B6508&lt;5,"Go","Standard")</f>
        <v>Standard</v>
      </c>
    </row>
    <row r="6509" customFormat="false" ht="15" hidden="false" customHeight="true" outlineLevel="0" collapsed="false">
      <c r="A6509" s="10" t="n">
        <f aca="false">Einstellungen!$B$5+INT((ROW()-9)/24)</f>
        <v>46236</v>
      </c>
      <c r="B6509" s="11" t="n">
        <f aca="false">MOD(ROW()-9,24)</f>
        <v>20</v>
      </c>
      <c r="C6509" s="12"/>
      <c r="D6509" s="13" t="n">
        <f aca="false">IF(B6509&lt;5,Einstellungen!$B$3,Einstellungen!$B$4)</f>
        <v>29.13</v>
      </c>
      <c r="E6509" s="14" t="str">
        <f aca="false">IF(C6509="","",C6509*D6509/100)</f>
        <v/>
      </c>
      <c r="F6509" s="15" t="str">
        <f aca="false">IF(B6509&lt;5,"Go","Standard")</f>
        <v>Standard</v>
      </c>
    </row>
    <row r="6510" customFormat="false" ht="15" hidden="false" customHeight="true" outlineLevel="0" collapsed="false">
      <c r="A6510" s="10" t="n">
        <f aca="false">Einstellungen!$B$5+INT((ROW()-9)/24)</f>
        <v>46236</v>
      </c>
      <c r="B6510" s="11" t="n">
        <f aca="false">MOD(ROW()-9,24)</f>
        <v>21</v>
      </c>
      <c r="C6510" s="12"/>
      <c r="D6510" s="13" t="n">
        <f aca="false">IF(B6510&lt;5,Einstellungen!$B$3,Einstellungen!$B$4)</f>
        <v>29.13</v>
      </c>
      <c r="E6510" s="14" t="str">
        <f aca="false">IF(C6510="","",C6510*D6510/100)</f>
        <v/>
      </c>
      <c r="F6510" s="15" t="str">
        <f aca="false">IF(B6510&lt;5,"Go","Standard")</f>
        <v>Standard</v>
      </c>
    </row>
    <row r="6511" customFormat="false" ht="15" hidden="false" customHeight="true" outlineLevel="0" collapsed="false">
      <c r="A6511" s="10" t="n">
        <f aca="false">Einstellungen!$B$5+INT((ROW()-9)/24)</f>
        <v>46236</v>
      </c>
      <c r="B6511" s="11" t="n">
        <f aca="false">MOD(ROW()-9,24)</f>
        <v>22</v>
      </c>
      <c r="C6511" s="12"/>
      <c r="D6511" s="13" t="n">
        <f aca="false">IF(B6511&lt;5,Einstellungen!$B$3,Einstellungen!$B$4)</f>
        <v>29.13</v>
      </c>
      <c r="E6511" s="14" t="str">
        <f aca="false">IF(C6511="","",C6511*D6511/100)</f>
        <v/>
      </c>
      <c r="F6511" s="15" t="str">
        <f aca="false">IF(B6511&lt;5,"Go","Standard")</f>
        <v>Standard</v>
      </c>
    </row>
    <row r="6512" customFormat="false" ht="15" hidden="false" customHeight="true" outlineLevel="0" collapsed="false">
      <c r="A6512" s="10" t="n">
        <f aca="false">Einstellungen!$B$5+INT((ROW()-9)/24)</f>
        <v>46236</v>
      </c>
      <c r="B6512" s="11" t="n">
        <f aca="false">MOD(ROW()-9,24)</f>
        <v>23</v>
      </c>
      <c r="C6512" s="12"/>
      <c r="D6512" s="13" t="n">
        <f aca="false">IF(B6512&lt;5,Einstellungen!$B$3,Einstellungen!$B$4)</f>
        <v>29.13</v>
      </c>
      <c r="E6512" s="14" t="str">
        <f aca="false">IF(C6512="","",C6512*D6512/100)</f>
        <v/>
      </c>
      <c r="F6512" s="15" t="str">
        <f aca="false">IF(B6512&lt;5,"Go","Standard")</f>
        <v>Standard</v>
      </c>
    </row>
    <row r="6513" customFormat="false" ht="15" hidden="false" customHeight="true" outlineLevel="0" collapsed="false">
      <c r="A6513" s="10" t="n">
        <f aca="false">Einstellungen!$B$5+INT((ROW()-9)/24)</f>
        <v>46237</v>
      </c>
      <c r="B6513" s="11" t="n">
        <f aca="false">MOD(ROW()-9,24)</f>
        <v>0</v>
      </c>
      <c r="C6513" s="12"/>
      <c r="D6513" s="13" t="n">
        <f aca="false">IF(B6513&lt;5,Einstellungen!$B$3,Einstellungen!$B$4)</f>
        <v>15.92</v>
      </c>
      <c r="E6513" s="14" t="str">
        <f aca="false">IF(C6513="","",C6513*D6513/100)</f>
        <v/>
      </c>
      <c r="F6513" s="15" t="str">
        <f aca="false">IF(B6513&lt;5,"Go","Standard")</f>
        <v>Go</v>
      </c>
    </row>
    <row r="6514" customFormat="false" ht="15" hidden="false" customHeight="true" outlineLevel="0" collapsed="false">
      <c r="A6514" s="10" t="n">
        <f aca="false">Einstellungen!$B$5+INT((ROW()-9)/24)</f>
        <v>46237</v>
      </c>
      <c r="B6514" s="11" t="n">
        <f aca="false">MOD(ROW()-9,24)</f>
        <v>1</v>
      </c>
      <c r="C6514" s="12"/>
      <c r="D6514" s="13" t="n">
        <f aca="false">IF(B6514&lt;5,Einstellungen!$B$3,Einstellungen!$B$4)</f>
        <v>15.92</v>
      </c>
      <c r="E6514" s="14" t="str">
        <f aca="false">IF(C6514="","",C6514*D6514/100)</f>
        <v/>
      </c>
      <c r="F6514" s="15" t="str">
        <f aca="false">IF(B6514&lt;5,"Go","Standard")</f>
        <v>Go</v>
      </c>
    </row>
    <row r="6515" customFormat="false" ht="15" hidden="false" customHeight="true" outlineLevel="0" collapsed="false">
      <c r="A6515" s="10" t="n">
        <f aca="false">Einstellungen!$B$5+INT((ROW()-9)/24)</f>
        <v>46237</v>
      </c>
      <c r="B6515" s="11" t="n">
        <f aca="false">MOD(ROW()-9,24)</f>
        <v>2</v>
      </c>
      <c r="C6515" s="12"/>
      <c r="D6515" s="13" t="n">
        <f aca="false">IF(B6515&lt;5,Einstellungen!$B$3,Einstellungen!$B$4)</f>
        <v>15.92</v>
      </c>
      <c r="E6515" s="14" t="str">
        <f aca="false">IF(C6515="","",C6515*D6515/100)</f>
        <v/>
      </c>
      <c r="F6515" s="15" t="str">
        <f aca="false">IF(B6515&lt;5,"Go","Standard")</f>
        <v>Go</v>
      </c>
    </row>
    <row r="6516" customFormat="false" ht="15" hidden="false" customHeight="true" outlineLevel="0" collapsed="false">
      <c r="A6516" s="10" t="n">
        <f aca="false">Einstellungen!$B$5+INT((ROW()-9)/24)</f>
        <v>46237</v>
      </c>
      <c r="B6516" s="11" t="n">
        <f aca="false">MOD(ROW()-9,24)</f>
        <v>3</v>
      </c>
      <c r="C6516" s="12"/>
      <c r="D6516" s="13" t="n">
        <f aca="false">IF(B6516&lt;5,Einstellungen!$B$3,Einstellungen!$B$4)</f>
        <v>15.92</v>
      </c>
      <c r="E6516" s="14" t="str">
        <f aca="false">IF(C6516="","",C6516*D6516/100)</f>
        <v/>
      </c>
      <c r="F6516" s="15" t="str">
        <f aca="false">IF(B6516&lt;5,"Go","Standard")</f>
        <v>Go</v>
      </c>
    </row>
    <row r="6517" customFormat="false" ht="15" hidden="false" customHeight="true" outlineLevel="0" collapsed="false">
      <c r="A6517" s="10" t="n">
        <f aca="false">Einstellungen!$B$5+INT((ROW()-9)/24)</f>
        <v>46237</v>
      </c>
      <c r="B6517" s="11" t="n">
        <f aca="false">MOD(ROW()-9,24)</f>
        <v>4</v>
      </c>
      <c r="C6517" s="12"/>
      <c r="D6517" s="13" t="n">
        <f aca="false">IF(B6517&lt;5,Einstellungen!$B$3,Einstellungen!$B$4)</f>
        <v>15.92</v>
      </c>
      <c r="E6517" s="14" t="str">
        <f aca="false">IF(C6517="","",C6517*D6517/100)</f>
        <v/>
      </c>
      <c r="F6517" s="15" t="str">
        <f aca="false">IF(B6517&lt;5,"Go","Standard")</f>
        <v>Go</v>
      </c>
    </row>
    <row r="6518" customFormat="false" ht="15" hidden="false" customHeight="true" outlineLevel="0" collapsed="false">
      <c r="A6518" s="10" t="n">
        <f aca="false">Einstellungen!$B$5+INT((ROW()-9)/24)</f>
        <v>46237</v>
      </c>
      <c r="B6518" s="11" t="n">
        <f aca="false">MOD(ROW()-9,24)</f>
        <v>5</v>
      </c>
      <c r="C6518" s="12"/>
      <c r="D6518" s="13" t="n">
        <f aca="false">IF(B6518&lt;5,Einstellungen!$B$3,Einstellungen!$B$4)</f>
        <v>29.13</v>
      </c>
      <c r="E6518" s="14" t="str">
        <f aca="false">IF(C6518="","",C6518*D6518/100)</f>
        <v/>
      </c>
      <c r="F6518" s="15" t="str">
        <f aca="false">IF(B6518&lt;5,"Go","Standard")</f>
        <v>Standard</v>
      </c>
    </row>
    <row r="6519" customFormat="false" ht="15" hidden="false" customHeight="true" outlineLevel="0" collapsed="false">
      <c r="A6519" s="10" t="n">
        <f aca="false">Einstellungen!$B$5+INT((ROW()-9)/24)</f>
        <v>46237</v>
      </c>
      <c r="B6519" s="11" t="n">
        <f aca="false">MOD(ROW()-9,24)</f>
        <v>6</v>
      </c>
      <c r="C6519" s="12"/>
      <c r="D6519" s="13" t="n">
        <f aca="false">IF(B6519&lt;5,Einstellungen!$B$3,Einstellungen!$B$4)</f>
        <v>29.13</v>
      </c>
      <c r="E6519" s="14" t="str">
        <f aca="false">IF(C6519="","",C6519*D6519/100)</f>
        <v/>
      </c>
      <c r="F6519" s="15" t="str">
        <f aca="false">IF(B6519&lt;5,"Go","Standard")</f>
        <v>Standard</v>
      </c>
    </row>
    <row r="6520" customFormat="false" ht="15" hidden="false" customHeight="true" outlineLevel="0" collapsed="false">
      <c r="A6520" s="10" t="n">
        <f aca="false">Einstellungen!$B$5+INT((ROW()-9)/24)</f>
        <v>46237</v>
      </c>
      <c r="B6520" s="11" t="n">
        <f aca="false">MOD(ROW()-9,24)</f>
        <v>7</v>
      </c>
      <c r="C6520" s="12"/>
      <c r="D6520" s="13" t="n">
        <f aca="false">IF(B6520&lt;5,Einstellungen!$B$3,Einstellungen!$B$4)</f>
        <v>29.13</v>
      </c>
      <c r="E6520" s="14" t="str">
        <f aca="false">IF(C6520="","",C6520*D6520/100)</f>
        <v/>
      </c>
      <c r="F6520" s="15" t="str">
        <f aca="false">IF(B6520&lt;5,"Go","Standard")</f>
        <v>Standard</v>
      </c>
    </row>
    <row r="6521" customFormat="false" ht="15" hidden="false" customHeight="true" outlineLevel="0" collapsed="false">
      <c r="A6521" s="10" t="n">
        <f aca="false">Einstellungen!$B$5+INT((ROW()-9)/24)</f>
        <v>46237</v>
      </c>
      <c r="B6521" s="11" t="n">
        <f aca="false">MOD(ROW()-9,24)</f>
        <v>8</v>
      </c>
      <c r="C6521" s="12"/>
      <c r="D6521" s="13" t="n">
        <f aca="false">IF(B6521&lt;5,Einstellungen!$B$3,Einstellungen!$B$4)</f>
        <v>29.13</v>
      </c>
      <c r="E6521" s="14" t="str">
        <f aca="false">IF(C6521="","",C6521*D6521/100)</f>
        <v/>
      </c>
      <c r="F6521" s="15" t="str">
        <f aca="false">IF(B6521&lt;5,"Go","Standard")</f>
        <v>Standard</v>
      </c>
    </row>
    <row r="6522" customFormat="false" ht="15" hidden="false" customHeight="true" outlineLevel="0" collapsed="false">
      <c r="A6522" s="10" t="n">
        <f aca="false">Einstellungen!$B$5+INT((ROW()-9)/24)</f>
        <v>46237</v>
      </c>
      <c r="B6522" s="11" t="n">
        <f aca="false">MOD(ROW()-9,24)</f>
        <v>9</v>
      </c>
      <c r="C6522" s="12"/>
      <c r="D6522" s="13" t="n">
        <f aca="false">IF(B6522&lt;5,Einstellungen!$B$3,Einstellungen!$B$4)</f>
        <v>29.13</v>
      </c>
      <c r="E6522" s="14" t="str">
        <f aca="false">IF(C6522="","",C6522*D6522/100)</f>
        <v/>
      </c>
      <c r="F6522" s="15" t="str">
        <f aca="false">IF(B6522&lt;5,"Go","Standard")</f>
        <v>Standard</v>
      </c>
    </row>
    <row r="6523" customFormat="false" ht="15" hidden="false" customHeight="true" outlineLevel="0" collapsed="false">
      <c r="A6523" s="10" t="n">
        <f aca="false">Einstellungen!$B$5+INT((ROW()-9)/24)</f>
        <v>46237</v>
      </c>
      <c r="B6523" s="11" t="n">
        <f aca="false">MOD(ROW()-9,24)</f>
        <v>10</v>
      </c>
      <c r="C6523" s="12"/>
      <c r="D6523" s="13" t="n">
        <f aca="false">IF(B6523&lt;5,Einstellungen!$B$3,Einstellungen!$B$4)</f>
        <v>29.13</v>
      </c>
      <c r="E6523" s="14" t="str">
        <f aca="false">IF(C6523="","",C6523*D6523/100)</f>
        <v/>
      </c>
      <c r="F6523" s="15" t="str">
        <f aca="false">IF(B6523&lt;5,"Go","Standard")</f>
        <v>Standard</v>
      </c>
    </row>
    <row r="6524" customFormat="false" ht="15" hidden="false" customHeight="true" outlineLevel="0" collapsed="false">
      <c r="A6524" s="10" t="n">
        <f aca="false">Einstellungen!$B$5+INT((ROW()-9)/24)</f>
        <v>46237</v>
      </c>
      <c r="B6524" s="11" t="n">
        <f aca="false">MOD(ROW()-9,24)</f>
        <v>11</v>
      </c>
      <c r="C6524" s="12"/>
      <c r="D6524" s="13" t="n">
        <f aca="false">IF(B6524&lt;5,Einstellungen!$B$3,Einstellungen!$B$4)</f>
        <v>29.13</v>
      </c>
      <c r="E6524" s="14" t="str">
        <f aca="false">IF(C6524="","",C6524*D6524/100)</f>
        <v/>
      </c>
      <c r="F6524" s="15" t="str">
        <f aca="false">IF(B6524&lt;5,"Go","Standard")</f>
        <v>Standard</v>
      </c>
    </row>
    <row r="6525" customFormat="false" ht="15" hidden="false" customHeight="true" outlineLevel="0" collapsed="false">
      <c r="A6525" s="10" t="n">
        <f aca="false">Einstellungen!$B$5+INT((ROW()-9)/24)</f>
        <v>46237</v>
      </c>
      <c r="B6525" s="11" t="n">
        <f aca="false">MOD(ROW()-9,24)</f>
        <v>12</v>
      </c>
      <c r="C6525" s="12"/>
      <c r="D6525" s="13" t="n">
        <f aca="false">IF(B6525&lt;5,Einstellungen!$B$3,Einstellungen!$B$4)</f>
        <v>29.13</v>
      </c>
      <c r="E6525" s="14" t="str">
        <f aca="false">IF(C6525="","",C6525*D6525/100)</f>
        <v/>
      </c>
      <c r="F6525" s="15" t="str">
        <f aca="false">IF(B6525&lt;5,"Go","Standard")</f>
        <v>Standard</v>
      </c>
    </row>
    <row r="6526" customFormat="false" ht="15" hidden="false" customHeight="true" outlineLevel="0" collapsed="false">
      <c r="A6526" s="10" t="n">
        <f aca="false">Einstellungen!$B$5+INT((ROW()-9)/24)</f>
        <v>46237</v>
      </c>
      <c r="B6526" s="11" t="n">
        <f aca="false">MOD(ROW()-9,24)</f>
        <v>13</v>
      </c>
      <c r="C6526" s="12"/>
      <c r="D6526" s="13" t="n">
        <f aca="false">IF(B6526&lt;5,Einstellungen!$B$3,Einstellungen!$B$4)</f>
        <v>29.13</v>
      </c>
      <c r="E6526" s="14" t="str">
        <f aca="false">IF(C6526="","",C6526*D6526/100)</f>
        <v/>
      </c>
      <c r="F6526" s="15" t="str">
        <f aca="false">IF(B6526&lt;5,"Go","Standard")</f>
        <v>Standard</v>
      </c>
    </row>
    <row r="6527" customFormat="false" ht="15" hidden="false" customHeight="true" outlineLevel="0" collapsed="false">
      <c r="A6527" s="10" t="n">
        <f aca="false">Einstellungen!$B$5+INT((ROW()-9)/24)</f>
        <v>46237</v>
      </c>
      <c r="B6527" s="11" t="n">
        <f aca="false">MOD(ROW()-9,24)</f>
        <v>14</v>
      </c>
      <c r="C6527" s="12"/>
      <c r="D6527" s="13" t="n">
        <f aca="false">IF(B6527&lt;5,Einstellungen!$B$3,Einstellungen!$B$4)</f>
        <v>29.13</v>
      </c>
      <c r="E6527" s="14" t="str">
        <f aca="false">IF(C6527="","",C6527*D6527/100)</f>
        <v/>
      </c>
      <c r="F6527" s="15" t="str">
        <f aca="false">IF(B6527&lt;5,"Go","Standard")</f>
        <v>Standard</v>
      </c>
    </row>
    <row r="6528" customFormat="false" ht="15" hidden="false" customHeight="true" outlineLevel="0" collapsed="false">
      <c r="A6528" s="10" t="n">
        <f aca="false">Einstellungen!$B$5+INT((ROW()-9)/24)</f>
        <v>46237</v>
      </c>
      <c r="B6528" s="11" t="n">
        <f aca="false">MOD(ROW()-9,24)</f>
        <v>15</v>
      </c>
      <c r="C6528" s="12"/>
      <c r="D6528" s="13" t="n">
        <f aca="false">IF(B6528&lt;5,Einstellungen!$B$3,Einstellungen!$B$4)</f>
        <v>29.13</v>
      </c>
      <c r="E6528" s="14" t="str">
        <f aca="false">IF(C6528="","",C6528*D6528/100)</f>
        <v/>
      </c>
      <c r="F6528" s="15" t="str">
        <f aca="false">IF(B6528&lt;5,"Go","Standard")</f>
        <v>Standard</v>
      </c>
    </row>
    <row r="6529" customFormat="false" ht="15" hidden="false" customHeight="true" outlineLevel="0" collapsed="false">
      <c r="A6529" s="10" t="n">
        <f aca="false">Einstellungen!$B$5+INT((ROW()-9)/24)</f>
        <v>46237</v>
      </c>
      <c r="B6529" s="11" t="n">
        <f aca="false">MOD(ROW()-9,24)</f>
        <v>16</v>
      </c>
      <c r="C6529" s="12"/>
      <c r="D6529" s="13" t="n">
        <f aca="false">IF(B6529&lt;5,Einstellungen!$B$3,Einstellungen!$B$4)</f>
        <v>29.13</v>
      </c>
      <c r="E6529" s="14" t="str">
        <f aca="false">IF(C6529="","",C6529*D6529/100)</f>
        <v/>
      </c>
      <c r="F6529" s="15" t="str">
        <f aca="false">IF(B6529&lt;5,"Go","Standard")</f>
        <v>Standard</v>
      </c>
    </row>
    <row r="6530" customFormat="false" ht="15" hidden="false" customHeight="true" outlineLevel="0" collapsed="false">
      <c r="A6530" s="10" t="n">
        <f aca="false">Einstellungen!$B$5+INT((ROW()-9)/24)</f>
        <v>46237</v>
      </c>
      <c r="B6530" s="11" t="n">
        <f aca="false">MOD(ROW()-9,24)</f>
        <v>17</v>
      </c>
      <c r="C6530" s="12"/>
      <c r="D6530" s="13" t="n">
        <f aca="false">IF(B6530&lt;5,Einstellungen!$B$3,Einstellungen!$B$4)</f>
        <v>29.13</v>
      </c>
      <c r="E6530" s="14" t="str">
        <f aca="false">IF(C6530="","",C6530*D6530/100)</f>
        <v/>
      </c>
      <c r="F6530" s="15" t="str">
        <f aca="false">IF(B6530&lt;5,"Go","Standard")</f>
        <v>Standard</v>
      </c>
    </row>
    <row r="6531" customFormat="false" ht="15" hidden="false" customHeight="true" outlineLevel="0" collapsed="false">
      <c r="A6531" s="10" t="n">
        <f aca="false">Einstellungen!$B$5+INT((ROW()-9)/24)</f>
        <v>46237</v>
      </c>
      <c r="B6531" s="11" t="n">
        <f aca="false">MOD(ROW()-9,24)</f>
        <v>18</v>
      </c>
      <c r="C6531" s="12"/>
      <c r="D6531" s="13" t="n">
        <f aca="false">IF(B6531&lt;5,Einstellungen!$B$3,Einstellungen!$B$4)</f>
        <v>29.13</v>
      </c>
      <c r="E6531" s="14" t="str">
        <f aca="false">IF(C6531="","",C6531*D6531/100)</f>
        <v/>
      </c>
      <c r="F6531" s="15" t="str">
        <f aca="false">IF(B6531&lt;5,"Go","Standard")</f>
        <v>Standard</v>
      </c>
    </row>
    <row r="6532" customFormat="false" ht="15" hidden="false" customHeight="true" outlineLevel="0" collapsed="false">
      <c r="A6532" s="10" t="n">
        <f aca="false">Einstellungen!$B$5+INT((ROW()-9)/24)</f>
        <v>46237</v>
      </c>
      <c r="B6532" s="11" t="n">
        <f aca="false">MOD(ROW()-9,24)</f>
        <v>19</v>
      </c>
      <c r="C6532" s="12"/>
      <c r="D6532" s="13" t="n">
        <f aca="false">IF(B6532&lt;5,Einstellungen!$B$3,Einstellungen!$B$4)</f>
        <v>29.13</v>
      </c>
      <c r="E6532" s="14" t="str">
        <f aca="false">IF(C6532="","",C6532*D6532/100)</f>
        <v/>
      </c>
      <c r="F6532" s="15" t="str">
        <f aca="false">IF(B6532&lt;5,"Go","Standard")</f>
        <v>Standard</v>
      </c>
    </row>
    <row r="6533" customFormat="false" ht="15" hidden="false" customHeight="true" outlineLevel="0" collapsed="false">
      <c r="A6533" s="10" t="n">
        <f aca="false">Einstellungen!$B$5+INT((ROW()-9)/24)</f>
        <v>46237</v>
      </c>
      <c r="B6533" s="11" t="n">
        <f aca="false">MOD(ROW()-9,24)</f>
        <v>20</v>
      </c>
      <c r="C6533" s="12"/>
      <c r="D6533" s="13" t="n">
        <f aca="false">IF(B6533&lt;5,Einstellungen!$B$3,Einstellungen!$B$4)</f>
        <v>29.13</v>
      </c>
      <c r="E6533" s="14" t="str">
        <f aca="false">IF(C6533="","",C6533*D6533/100)</f>
        <v/>
      </c>
      <c r="F6533" s="15" t="str">
        <f aca="false">IF(B6533&lt;5,"Go","Standard")</f>
        <v>Standard</v>
      </c>
    </row>
    <row r="6534" customFormat="false" ht="15" hidden="false" customHeight="true" outlineLevel="0" collapsed="false">
      <c r="A6534" s="10" t="n">
        <f aca="false">Einstellungen!$B$5+INT((ROW()-9)/24)</f>
        <v>46237</v>
      </c>
      <c r="B6534" s="11" t="n">
        <f aca="false">MOD(ROW()-9,24)</f>
        <v>21</v>
      </c>
      <c r="C6534" s="12"/>
      <c r="D6534" s="13" t="n">
        <f aca="false">IF(B6534&lt;5,Einstellungen!$B$3,Einstellungen!$B$4)</f>
        <v>29.13</v>
      </c>
      <c r="E6534" s="14" t="str">
        <f aca="false">IF(C6534="","",C6534*D6534/100)</f>
        <v/>
      </c>
      <c r="F6534" s="15" t="str">
        <f aca="false">IF(B6534&lt;5,"Go","Standard")</f>
        <v>Standard</v>
      </c>
    </row>
    <row r="6535" customFormat="false" ht="15" hidden="false" customHeight="true" outlineLevel="0" collapsed="false">
      <c r="A6535" s="10" t="n">
        <f aca="false">Einstellungen!$B$5+INT((ROW()-9)/24)</f>
        <v>46237</v>
      </c>
      <c r="B6535" s="11" t="n">
        <f aca="false">MOD(ROW()-9,24)</f>
        <v>22</v>
      </c>
      <c r="C6535" s="12"/>
      <c r="D6535" s="13" t="n">
        <f aca="false">IF(B6535&lt;5,Einstellungen!$B$3,Einstellungen!$B$4)</f>
        <v>29.13</v>
      </c>
      <c r="E6535" s="14" t="str">
        <f aca="false">IF(C6535="","",C6535*D6535/100)</f>
        <v/>
      </c>
      <c r="F6535" s="15" t="str">
        <f aca="false">IF(B6535&lt;5,"Go","Standard")</f>
        <v>Standard</v>
      </c>
    </row>
    <row r="6536" customFormat="false" ht="15" hidden="false" customHeight="true" outlineLevel="0" collapsed="false">
      <c r="A6536" s="10" t="n">
        <f aca="false">Einstellungen!$B$5+INT((ROW()-9)/24)</f>
        <v>46237</v>
      </c>
      <c r="B6536" s="11" t="n">
        <f aca="false">MOD(ROW()-9,24)</f>
        <v>23</v>
      </c>
      <c r="C6536" s="12"/>
      <c r="D6536" s="13" t="n">
        <f aca="false">IF(B6536&lt;5,Einstellungen!$B$3,Einstellungen!$B$4)</f>
        <v>29.13</v>
      </c>
      <c r="E6536" s="14" t="str">
        <f aca="false">IF(C6536="","",C6536*D6536/100)</f>
        <v/>
      </c>
      <c r="F6536" s="15" t="str">
        <f aca="false">IF(B6536&lt;5,"Go","Standard")</f>
        <v>Standard</v>
      </c>
    </row>
    <row r="6537" customFormat="false" ht="15" hidden="false" customHeight="true" outlineLevel="0" collapsed="false">
      <c r="A6537" s="10" t="n">
        <f aca="false">Einstellungen!$B$5+INT((ROW()-9)/24)</f>
        <v>46238</v>
      </c>
      <c r="B6537" s="11" t="n">
        <f aca="false">MOD(ROW()-9,24)</f>
        <v>0</v>
      </c>
      <c r="C6537" s="12"/>
      <c r="D6537" s="13" t="n">
        <f aca="false">IF(B6537&lt;5,Einstellungen!$B$3,Einstellungen!$B$4)</f>
        <v>15.92</v>
      </c>
      <c r="E6537" s="14" t="str">
        <f aca="false">IF(C6537="","",C6537*D6537/100)</f>
        <v/>
      </c>
      <c r="F6537" s="15" t="str">
        <f aca="false">IF(B6537&lt;5,"Go","Standard")</f>
        <v>Go</v>
      </c>
    </row>
    <row r="6538" customFormat="false" ht="15" hidden="false" customHeight="true" outlineLevel="0" collapsed="false">
      <c r="A6538" s="10" t="n">
        <f aca="false">Einstellungen!$B$5+INT((ROW()-9)/24)</f>
        <v>46238</v>
      </c>
      <c r="B6538" s="11" t="n">
        <f aca="false">MOD(ROW()-9,24)</f>
        <v>1</v>
      </c>
      <c r="C6538" s="12"/>
      <c r="D6538" s="13" t="n">
        <f aca="false">IF(B6538&lt;5,Einstellungen!$B$3,Einstellungen!$B$4)</f>
        <v>15.92</v>
      </c>
      <c r="E6538" s="14" t="str">
        <f aca="false">IF(C6538="","",C6538*D6538/100)</f>
        <v/>
      </c>
      <c r="F6538" s="15" t="str">
        <f aca="false">IF(B6538&lt;5,"Go","Standard")</f>
        <v>Go</v>
      </c>
    </row>
    <row r="6539" customFormat="false" ht="15" hidden="false" customHeight="true" outlineLevel="0" collapsed="false">
      <c r="A6539" s="10" t="n">
        <f aca="false">Einstellungen!$B$5+INT((ROW()-9)/24)</f>
        <v>46238</v>
      </c>
      <c r="B6539" s="11" t="n">
        <f aca="false">MOD(ROW()-9,24)</f>
        <v>2</v>
      </c>
      <c r="C6539" s="12"/>
      <c r="D6539" s="13" t="n">
        <f aca="false">IF(B6539&lt;5,Einstellungen!$B$3,Einstellungen!$B$4)</f>
        <v>15.92</v>
      </c>
      <c r="E6539" s="14" t="str">
        <f aca="false">IF(C6539="","",C6539*D6539/100)</f>
        <v/>
      </c>
      <c r="F6539" s="15" t="str">
        <f aca="false">IF(B6539&lt;5,"Go","Standard")</f>
        <v>Go</v>
      </c>
    </row>
    <row r="6540" customFormat="false" ht="15" hidden="false" customHeight="true" outlineLevel="0" collapsed="false">
      <c r="A6540" s="10" t="n">
        <f aca="false">Einstellungen!$B$5+INT((ROW()-9)/24)</f>
        <v>46238</v>
      </c>
      <c r="B6540" s="11" t="n">
        <f aca="false">MOD(ROW()-9,24)</f>
        <v>3</v>
      </c>
      <c r="C6540" s="12"/>
      <c r="D6540" s="13" t="n">
        <f aca="false">IF(B6540&lt;5,Einstellungen!$B$3,Einstellungen!$B$4)</f>
        <v>15.92</v>
      </c>
      <c r="E6540" s="14" t="str">
        <f aca="false">IF(C6540="","",C6540*D6540/100)</f>
        <v/>
      </c>
      <c r="F6540" s="15" t="str">
        <f aca="false">IF(B6540&lt;5,"Go","Standard")</f>
        <v>Go</v>
      </c>
    </row>
    <row r="6541" customFormat="false" ht="15" hidden="false" customHeight="true" outlineLevel="0" collapsed="false">
      <c r="A6541" s="10" t="n">
        <f aca="false">Einstellungen!$B$5+INT((ROW()-9)/24)</f>
        <v>46238</v>
      </c>
      <c r="B6541" s="11" t="n">
        <f aca="false">MOD(ROW()-9,24)</f>
        <v>4</v>
      </c>
      <c r="C6541" s="12"/>
      <c r="D6541" s="13" t="n">
        <f aca="false">IF(B6541&lt;5,Einstellungen!$B$3,Einstellungen!$B$4)</f>
        <v>15.92</v>
      </c>
      <c r="E6541" s="14" t="str">
        <f aca="false">IF(C6541="","",C6541*D6541/100)</f>
        <v/>
      </c>
      <c r="F6541" s="15" t="str">
        <f aca="false">IF(B6541&lt;5,"Go","Standard")</f>
        <v>Go</v>
      </c>
    </row>
    <row r="6542" customFormat="false" ht="15" hidden="false" customHeight="true" outlineLevel="0" collapsed="false">
      <c r="A6542" s="10" t="n">
        <f aca="false">Einstellungen!$B$5+INT((ROW()-9)/24)</f>
        <v>46238</v>
      </c>
      <c r="B6542" s="11" t="n">
        <f aca="false">MOD(ROW()-9,24)</f>
        <v>5</v>
      </c>
      <c r="C6542" s="12"/>
      <c r="D6542" s="13" t="n">
        <f aca="false">IF(B6542&lt;5,Einstellungen!$B$3,Einstellungen!$B$4)</f>
        <v>29.13</v>
      </c>
      <c r="E6542" s="14" t="str">
        <f aca="false">IF(C6542="","",C6542*D6542/100)</f>
        <v/>
      </c>
      <c r="F6542" s="15" t="str">
        <f aca="false">IF(B6542&lt;5,"Go","Standard")</f>
        <v>Standard</v>
      </c>
    </row>
    <row r="6543" customFormat="false" ht="15" hidden="false" customHeight="true" outlineLevel="0" collapsed="false">
      <c r="A6543" s="10" t="n">
        <f aca="false">Einstellungen!$B$5+INT((ROW()-9)/24)</f>
        <v>46238</v>
      </c>
      <c r="B6543" s="11" t="n">
        <f aca="false">MOD(ROW()-9,24)</f>
        <v>6</v>
      </c>
      <c r="C6543" s="12"/>
      <c r="D6543" s="13" t="n">
        <f aca="false">IF(B6543&lt;5,Einstellungen!$B$3,Einstellungen!$B$4)</f>
        <v>29.13</v>
      </c>
      <c r="E6543" s="14" t="str">
        <f aca="false">IF(C6543="","",C6543*D6543/100)</f>
        <v/>
      </c>
      <c r="F6543" s="15" t="str">
        <f aca="false">IF(B6543&lt;5,"Go","Standard")</f>
        <v>Standard</v>
      </c>
    </row>
    <row r="6544" customFormat="false" ht="15" hidden="false" customHeight="true" outlineLevel="0" collapsed="false">
      <c r="A6544" s="10" t="n">
        <f aca="false">Einstellungen!$B$5+INT((ROW()-9)/24)</f>
        <v>46238</v>
      </c>
      <c r="B6544" s="11" t="n">
        <f aca="false">MOD(ROW()-9,24)</f>
        <v>7</v>
      </c>
      <c r="C6544" s="12"/>
      <c r="D6544" s="13" t="n">
        <f aca="false">IF(B6544&lt;5,Einstellungen!$B$3,Einstellungen!$B$4)</f>
        <v>29.13</v>
      </c>
      <c r="E6544" s="14" t="str">
        <f aca="false">IF(C6544="","",C6544*D6544/100)</f>
        <v/>
      </c>
      <c r="F6544" s="15" t="str">
        <f aca="false">IF(B6544&lt;5,"Go","Standard")</f>
        <v>Standard</v>
      </c>
    </row>
    <row r="6545" customFormat="false" ht="15" hidden="false" customHeight="true" outlineLevel="0" collapsed="false">
      <c r="A6545" s="10" t="n">
        <f aca="false">Einstellungen!$B$5+INT((ROW()-9)/24)</f>
        <v>46238</v>
      </c>
      <c r="B6545" s="11" t="n">
        <f aca="false">MOD(ROW()-9,24)</f>
        <v>8</v>
      </c>
      <c r="C6545" s="12"/>
      <c r="D6545" s="13" t="n">
        <f aca="false">IF(B6545&lt;5,Einstellungen!$B$3,Einstellungen!$B$4)</f>
        <v>29.13</v>
      </c>
      <c r="E6545" s="14" t="str">
        <f aca="false">IF(C6545="","",C6545*D6545/100)</f>
        <v/>
      </c>
      <c r="F6545" s="15" t="str">
        <f aca="false">IF(B6545&lt;5,"Go","Standard")</f>
        <v>Standard</v>
      </c>
    </row>
    <row r="6546" customFormat="false" ht="15" hidden="false" customHeight="true" outlineLevel="0" collapsed="false">
      <c r="A6546" s="10" t="n">
        <f aca="false">Einstellungen!$B$5+INT((ROW()-9)/24)</f>
        <v>46238</v>
      </c>
      <c r="B6546" s="11" t="n">
        <f aca="false">MOD(ROW()-9,24)</f>
        <v>9</v>
      </c>
      <c r="C6546" s="12"/>
      <c r="D6546" s="13" t="n">
        <f aca="false">IF(B6546&lt;5,Einstellungen!$B$3,Einstellungen!$B$4)</f>
        <v>29.13</v>
      </c>
      <c r="E6546" s="14" t="str">
        <f aca="false">IF(C6546="","",C6546*D6546/100)</f>
        <v/>
      </c>
      <c r="F6546" s="15" t="str">
        <f aca="false">IF(B6546&lt;5,"Go","Standard")</f>
        <v>Standard</v>
      </c>
    </row>
    <row r="6547" customFormat="false" ht="15" hidden="false" customHeight="true" outlineLevel="0" collapsed="false">
      <c r="A6547" s="10" t="n">
        <f aca="false">Einstellungen!$B$5+INT((ROW()-9)/24)</f>
        <v>46238</v>
      </c>
      <c r="B6547" s="11" t="n">
        <f aca="false">MOD(ROW()-9,24)</f>
        <v>10</v>
      </c>
      <c r="C6547" s="12"/>
      <c r="D6547" s="13" t="n">
        <f aca="false">IF(B6547&lt;5,Einstellungen!$B$3,Einstellungen!$B$4)</f>
        <v>29.13</v>
      </c>
      <c r="E6547" s="14" t="str">
        <f aca="false">IF(C6547="","",C6547*D6547/100)</f>
        <v/>
      </c>
      <c r="F6547" s="15" t="str">
        <f aca="false">IF(B6547&lt;5,"Go","Standard")</f>
        <v>Standard</v>
      </c>
    </row>
    <row r="6548" customFormat="false" ht="15" hidden="false" customHeight="true" outlineLevel="0" collapsed="false">
      <c r="A6548" s="10" t="n">
        <f aca="false">Einstellungen!$B$5+INT((ROW()-9)/24)</f>
        <v>46238</v>
      </c>
      <c r="B6548" s="11" t="n">
        <f aca="false">MOD(ROW()-9,24)</f>
        <v>11</v>
      </c>
      <c r="C6548" s="12"/>
      <c r="D6548" s="13" t="n">
        <f aca="false">IF(B6548&lt;5,Einstellungen!$B$3,Einstellungen!$B$4)</f>
        <v>29.13</v>
      </c>
      <c r="E6548" s="14" t="str">
        <f aca="false">IF(C6548="","",C6548*D6548/100)</f>
        <v/>
      </c>
      <c r="F6548" s="15" t="str">
        <f aca="false">IF(B6548&lt;5,"Go","Standard")</f>
        <v>Standard</v>
      </c>
    </row>
    <row r="6549" customFormat="false" ht="15" hidden="false" customHeight="true" outlineLevel="0" collapsed="false">
      <c r="A6549" s="10" t="n">
        <f aca="false">Einstellungen!$B$5+INT((ROW()-9)/24)</f>
        <v>46238</v>
      </c>
      <c r="B6549" s="11" t="n">
        <f aca="false">MOD(ROW()-9,24)</f>
        <v>12</v>
      </c>
      <c r="C6549" s="12"/>
      <c r="D6549" s="13" t="n">
        <f aca="false">IF(B6549&lt;5,Einstellungen!$B$3,Einstellungen!$B$4)</f>
        <v>29.13</v>
      </c>
      <c r="E6549" s="14" t="str">
        <f aca="false">IF(C6549="","",C6549*D6549/100)</f>
        <v/>
      </c>
      <c r="F6549" s="15" t="str">
        <f aca="false">IF(B6549&lt;5,"Go","Standard")</f>
        <v>Standard</v>
      </c>
    </row>
    <row r="6550" customFormat="false" ht="15" hidden="false" customHeight="true" outlineLevel="0" collapsed="false">
      <c r="A6550" s="10" t="n">
        <f aca="false">Einstellungen!$B$5+INT((ROW()-9)/24)</f>
        <v>46238</v>
      </c>
      <c r="B6550" s="11" t="n">
        <f aca="false">MOD(ROW()-9,24)</f>
        <v>13</v>
      </c>
      <c r="C6550" s="12"/>
      <c r="D6550" s="13" t="n">
        <f aca="false">IF(B6550&lt;5,Einstellungen!$B$3,Einstellungen!$B$4)</f>
        <v>29.13</v>
      </c>
      <c r="E6550" s="14" t="str">
        <f aca="false">IF(C6550="","",C6550*D6550/100)</f>
        <v/>
      </c>
      <c r="F6550" s="15" t="str">
        <f aca="false">IF(B6550&lt;5,"Go","Standard")</f>
        <v>Standard</v>
      </c>
    </row>
    <row r="6551" customFormat="false" ht="15" hidden="false" customHeight="true" outlineLevel="0" collapsed="false">
      <c r="A6551" s="10" t="n">
        <f aca="false">Einstellungen!$B$5+INT((ROW()-9)/24)</f>
        <v>46238</v>
      </c>
      <c r="B6551" s="11" t="n">
        <f aca="false">MOD(ROW()-9,24)</f>
        <v>14</v>
      </c>
      <c r="C6551" s="12"/>
      <c r="D6551" s="13" t="n">
        <f aca="false">IF(B6551&lt;5,Einstellungen!$B$3,Einstellungen!$B$4)</f>
        <v>29.13</v>
      </c>
      <c r="E6551" s="14" t="str">
        <f aca="false">IF(C6551="","",C6551*D6551/100)</f>
        <v/>
      </c>
      <c r="F6551" s="15" t="str">
        <f aca="false">IF(B6551&lt;5,"Go","Standard")</f>
        <v>Standard</v>
      </c>
    </row>
    <row r="6552" customFormat="false" ht="15" hidden="false" customHeight="true" outlineLevel="0" collapsed="false">
      <c r="A6552" s="10" t="n">
        <f aca="false">Einstellungen!$B$5+INT((ROW()-9)/24)</f>
        <v>46238</v>
      </c>
      <c r="B6552" s="11" t="n">
        <f aca="false">MOD(ROW()-9,24)</f>
        <v>15</v>
      </c>
      <c r="C6552" s="12"/>
      <c r="D6552" s="13" t="n">
        <f aca="false">IF(B6552&lt;5,Einstellungen!$B$3,Einstellungen!$B$4)</f>
        <v>29.13</v>
      </c>
      <c r="E6552" s="14" t="str">
        <f aca="false">IF(C6552="","",C6552*D6552/100)</f>
        <v/>
      </c>
      <c r="F6552" s="15" t="str">
        <f aca="false">IF(B6552&lt;5,"Go","Standard")</f>
        <v>Standard</v>
      </c>
    </row>
    <row r="6553" customFormat="false" ht="15" hidden="false" customHeight="true" outlineLevel="0" collapsed="false">
      <c r="A6553" s="10" t="n">
        <f aca="false">Einstellungen!$B$5+INT((ROW()-9)/24)</f>
        <v>46238</v>
      </c>
      <c r="B6553" s="11" t="n">
        <f aca="false">MOD(ROW()-9,24)</f>
        <v>16</v>
      </c>
      <c r="C6553" s="12"/>
      <c r="D6553" s="13" t="n">
        <f aca="false">IF(B6553&lt;5,Einstellungen!$B$3,Einstellungen!$B$4)</f>
        <v>29.13</v>
      </c>
      <c r="E6553" s="14" t="str">
        <f aca="false">IF(C6553="","",C6553*D6553/100)</f>
        <v/>
      </c>
      <c r="F6553" s="15" t="str">
        <f aca="false">IF(B6553&lt;5,"Go","Standard")</f>
        <v>Standard</v>
      </c>
    </row>
    <row r="6554" customFormat="false" ht="15" hidden="false" customHeight="true" outlineLevel="0" collapsed="false">
      <c r="A6554" s="10" t="n">
        <f aca="false">Einstellungen!$B$5+INT((ROW()-9)/24)</f>
        <v>46238</v>
      </c>
      <c r="B6554" s="11" t="n">
        <f aca="false">MOD(ROW()-9,24)</f>
        <v>17</v>
      </c>
      <c r="C6554" s="12"/>
      <c r="D6554" s="13" t="n">
        <f aca="false">IF(B6554&lt;5,Einstellungen!$B$3,Einstellungen!$B$4)</f>
        <v>29.13</v>
      </c>
      <c r="E6554" s="14" t="str">
        <f aca="false">IF(C6554="","",C6554*D6554/100)</f>
        <v/>
      </c>
      <c r="F6554" s="15" t="str">
        <f aca="false">IF(B6554&lt;5,"Go","Standard")</f>
        <v>Standard</v>
      </c>
    </row>
    <row r="6555" customFormat="false" ht="15" hidden="false" customHeight="true" outlineLevel="0" collapsed="false">
      <c r="A6555" s="10" t="n">
        <f aca="false">Einstellungen!$B$5+INT((ROW()-9)/24)</f>
        <v>46238</v>
      </c>
      <c r="B6555" s="11" t="n">
        <f aca="false">MOD(ROW()-9,24)</f>
        <v>18</v>
      </c>
      <c r="C6555" s="12"/>
      <c r="D6555" s="13" t="n">
        <f aca="false">IF(B6555&lt;5,Einstellungen!$B$3,Einstellungen!$B$4)</f>
        <v>29.13</v>
      </c>
      <c r="E6555" s="14" t="str">
        <f aca="false">IF(C6555="","",C6555*D6555/100)</f>
        <v/>
      </c>
      <c r="F6555" s="15" t="str">
        <f aca="false">IF(B6555&lt;5,"Go","Standard")</f>
        <v>Standard</v>
      </c>
    </row>
    <row r="6556" customFormat="false" ht="15" hidden="false" customHeight="true" outlineLevel="0" collapsed="false">
      <c r="A6556" s="10" t="n">
        <f aca="false">Einstellungen!$B$5+INT((ROW()-9)/24)</f>
        <v>46238</v>
      </c>
      <c r="B6556" s="11" t="n">
        <f aca="false">MOD(ROW()-9,24)</f>
        <v>19</v>
      </c>
      <c r="C6556" s="12"/>
      <c r="D6556" s="13" t="n">
        <f aca="false">IF(B6556&lt;5,Einstellungen!$B$3,Einstellungen!$B$4)</f>
        <v>29.13</v>
      </c>
      <c r="E6556" s="14" t="str">
        <f aca="false">IF(C6556="","",C6556*D6556/100)</f>
        <v/>
      </c>
      <c r="F6556" s="15" t="str">
        <f aca="false">IF(B6556&lt;5,"Go","Standard")</f>
        <v>Standard</v>
      </c>
    </row>
    <row r="6557" customFormat="false" ht="15" hidden="false" customHeight="true" outlineLevel="0" collapsed="false">
      <c r="A6557" s="10" t="n">
        <f aca="false">Einstellungen!$B$5+INT((ROW()-9)/24)</f>
        <v>46238</v>
      </c>
      <c r="B6557" s="11" t="n">
        <f aca="false">MOD(ROW()-9,24)</f>
        <v>20</v>
      </c>
      <c r="C6557" s="12"/>
      <c r="D6557" s="13" t="n">
        <f aca="false">IF(B6557&lt;5,Einstellungen!$B$3,Einstellungen!$B$4)</f>
        <v>29.13</v>
      </c>
      <c r="E6557" s="14" t="str">
        <f aca="false">IF(C6557="","",C6557*D6557/100)</f>
        <v/>
      </c>
      <c r="F6557" s="15" t="str">
        <f aca="false">IF(B6557&lt;5,"Go","Standard")</f>
        <v>Standard</v>
      </c>
    </row>
    <row r="6558" customFormat="false" ht="15" hidden="false" customHeight="true" outlineLevel="0" collapsed="false">
      <c r="A6558" s="10" t="n">
        <f aca="false">Einstellungen!$B$5+INT((ROW()-9)/24)</f>
        <v>46238</v>
      </c>
      <c r="B6558" s="11" t="n">
        <f aca="false">MOD(ROW()-9,24)</f>
        <v>21</v>
      </c>
      <c r="C6558" s="12"/>
      <c r="D6558" s="13" t="n">
        <f aca="false">IF(B6558&lt;5,Einstellungen!$B$3,Einstellungen!$B$4)</f>
        <v>29.13</v>
      </c>
      <c r="E6558" s="14" t="str">
        <f aca="false">IF(C6558="","",C6558*D6558/100)</f>
        <v/>
      </c>
      <c r="F6558" s="15" t="str">
        <f aca="false">IF(B6558&lt;5,"Go","Standard")</f>
        <v>Standard</v>
      </c>
    </row>
    <row r="6559" customFormat="false" ht="15" hidden="false" customHeight="true" outlineLevel="0" collapsed="false">
      <c r="A6559" s="10" t="n">
        <f aca="false">Einstellungen!$B$5+INT((ROW()-9)/24)</f>
        <v>46238</v>
      </c>
      <c r="B6559" s="11" t="n">
        <f aca="false">MOD(ROW()-9,24)</f>
        <v>22</v>
      </c>
      <c r="C6559" s="12"/>
      <c r="D6559" s="13" t="n">
        <f aca="false">IF(B6559&lt;5,Einstellungen!$B$3,Einstellungen!$B$4)</f>
        <v>29.13</v>
      </c>
      <c r="E6559" s="14" t="str">
        <f aca="false">IF(C6559="","",C6559*D6559/100)</f>
        <v/>
      </c>
      <c r="F6559" s="15" t="str">
        <f aca="false">IF(B6559&lt;5,"Go","Standard")</f>
        <v>Standard</v>
      </c>
    </row>
    <row r="6560" customFormat="false" ht="15" hidden="false" customHeight="true" outlineLevel="0" collapsed="false">
      <c r="A6560" s="10" t="n">
        <f aca="false">Einstellungen!$B$5+INT((ROW()-9)/24)</f>
        <v>46238</v>
      </c>
      <c r="B6560" s="11" t="n">
        <f aca="false">MOD(ROW()-9,24)</f>
        <v>23</v>
      </c>
      <c r="C6560" s="12"/>
      <c r="D6560" s="13" t="n">
        <f aca="false">IF(B6560&lt;5,Einstellungen!$B$3,Einstellungen!$B$4)</f>
        <v>29.13</v>
      </c>
      <c r="E6560" s="14" t="str">
        <f aca="false">IF(C6560="","",C6560*D6560/100)</f>
        <v/>
      </c>
      <c r="F6560" s="15" t="str">
        <f aca="false">IF(B6560&lt;5,"Go","Standard")</f>
        <v>Standard</v>
      </c>
    </row>
    <row r="6561" customFormat="false" ht="15" hidden="false" customHeight="true" outlineLevel="0" collapsed="false">
      <c r="A6561" s="10" t="n">
        <f aca="false">Einstellungen!$B$5+INT((ROW()-9)/24)</f>
        <v>46239</v>
      </c>
      <c r="B6561" s="11" t="n">
        <f aca="false">MOD(ROW()-9,24)</f>
        <v>0</v>
      </c>
      <c r="C6561" s="12"/>
      <c r="D6561" s="13" t="n">
        <f aca="false">IF(B6561&lt;5,Einstellungen!$B$3,Einstellungen!$B$4)</f>
        <v>15.92</v>
      </c>
      <c r="E6561" s="14" t="str">
        <f aca="false">IF(C6561="","",C6561*D6561/100)</f>
        <v/>
      </c>
      <c r="F6561" s="15" t="str">
        <f aca="false">IF(B6561&lt;5,"Go","Standard")</f>
        <v>Go</v>
      </c>
    </row>
    <row r="6562" customFormat="false" ht="15" hidden="false" customHeight="true" outlineLevel="0" collapsed="false">
      <c r="A6562" s="10" t="n">
        <f aca="false">Einstellungen!$B$5+INT((ROW()-9)/24)</f>
        <v>46239</v>
      </c>
      <c r="B6562" s="11" t="n">
        <f aca="false">MOD(ROW()-9,24)</f>
        <v>1</v>
      </c>
      <c r="C6562" s="12"/>
      <c r="D6562" s="13" t="n">
        <f aca="false">IF(B6562&lt;5,Einstellungen!$B$3,Einstellungen!$B$4)</f>
        <v>15.92</v>
      </c>
      <c r="E6562" s="14" t="str">
        <f aca="false">IF(C6562="","",C6562*D6562/100)</f>
        <v/>
      </c>
      <c r="F6562" s="15" t="str">
        <f aca="false">IF(B6562&lt;5,"Go","Standard")</f>
        <v>Go</v>
      </c>
    </row>
    <row r="6563" customFormat="false" ht="15" hidden="false" customHeight="true" outlineLevel="0" collapsed="false">
      <c r="A6563" s="10" t="n">
        <f aca="false">Einstellungen!$B$5+INT((ROW()-9)/24)</f>
        <v>46239</v>
      </c>
      <c r="B6563" s="11" t="n">
        <f aca="false">MOD(ROW()-9,24)</f>
        <v>2</v>
      </c>
      <c r="C6563" s="12"/>
      <c r="D6563" s="13" t="n">
        <f aca="false">IF(B6563&lt;5,Einstellungen!$B$3,Einstellungen!$B$4)</f>
        <v>15.92</v>
      </c>
      <c r="E6563" s="14" t="str">
        <f aca="false">IF(C6563="","",C6563*D6563/100)</f>
        <v/>
      </c>
      <c r="F6563" s="15" t="str">
        <f aca="false">IF(B6563&lt;5,"Go","Standard")</f>
        <v>Go</v>
      </c>
    </row>
    <row r="6564" customFormat="false" ht="15" hidden="false" customHeight="true" outlineLevel="0" collapsed="false">
      <c r="A6564" s="10" t="n">
        <f aca="false">Einstellungen!$B$5+INT((ROW()-9)/24)</f>
        <v>46239</v>
      </c>
      <c r="B6564" s="11" t="n">
        <f aca="false">MOD(ROW()-9,24)</f>
        <v>3</v>
      </c>
      <c r="C6564" s="12"/>
      <c r="D6564" s="13" t="n">
        <f aca="false">IF(B6564&lt;5,Einstellungen!$B$3,Einstellungen!$B$4)</f>
        <v>15.92</v>
      </c>
      <c r="E6564" s="14" t="str">
        <f aca="false">IF(C6564="","",C6564*D6564/100)</f>
        <v/>
      </c>
      <c r="F6564" s="15" t="str">
        <f aca="false">IF(B6564&lt;5,"Go","Standard")</f>
        <v>Go</v>
      </c>
    </row>
    <row r="6565" customFormat="false" ht="15" hidden="false" customHeight="true" outlineLevel="0" collapsed="false">
      <c r="A6565" s="10" t="n">
        <f aca="false">Einstellungen!$B$5+INT((ROW()-9)/24)</f>
        <v>46239</v>
      </c>
      <c r="B6565" s="11" t="n">
        <f aca="false">MOD(ROW()-9,24)</f>
        <v>4</v>
      </c>
      <c r="C6565" s="12"/>
      <c r="D6565" s="13" t="n">
        <f aca="false">IF(B6565&lt;5,Einstellungen!$B$3,Einstellungen!$B$4)</f>
        <v>15.92</v>
      </c>
      <c r="E6565" s="14" t="str">
        <f aca="false">IF(C6565="","",C6565*D6565/100)</f>
        <v/>
      </c>
      <c r="F6565" s="15" t="str">
        <f aca="false">IF(B6565&lt;5,"Go","Standard")</f>
        <v>Go</v>
      </c>
    </row>
    <row r="6566" customFormat="false" ht="15" hidden="false" customHeight="true" outlineLevel="0" collapsed="false">
      <c r="A6566" s="10" t="n">
        <f aca="false">Einstellungen!$B$5+INT((ROW()-9)/24)</f>
        <v>46239</v>
      </c>
      <c r="B6566" s="11" t="n">
        <f aca="false">MOD(ROW()-9,24)</f>
        <v>5</v>
      </c>
      <c r="C6566" s="12"/>
      <c r="D6566" s="13" t="n">
        <f aca="false">IF(B6566&lt;5,Einstellungen!$B$3,Einstellungen!$B$4)</f>
        <v>29.13</v>
      </c>
      <c r="E6566" s="14" t="str">
        <f aca="false">IF(C6566="","",C6566*D6566/100)</f>
        <v/>
      </c>
      <c r="F6566" s="15" t="str">
        <f aca="false">IF(B6566&lt;5,"Go","Standard")</f>
        <v>Standard</v>
      </c>
    </row>
    <row r="6567" customFormat="false" ht="15" hidden="false" customHeight="true" outlineLevel="0" collapsed="false">
      <c r="A6567" s="10" t="n">
        <f aca="false">Einstellungen!$B$5+INT((ROW()-9)/24)</f>
        <v>46239</v>
      </c>
      <c r="B6567" s="11" t="n">
        <f aca="false">MOD(ROW()-9,24)</f>
        <v>6</v>
      </c>
      <c r="C6567" s="12"/>
      <c r="D6567" s="13" t="n">
        <f aca="false">IF(B6567&lt;5,Einstellungen!$B$3,Einstellungen!$B$4)</f>
        <v>29.13</v>
      </c>
      <c r="E6567" s="14" t="str">
        <f aca="false">IF(C6567="","",C6567*D6567/100)</f>
        <v/>
      </c>
      <c r="F6567" s="15" t="str">
        <f aca="false">IF(B6567&lt;5,"Go","Standard")</f>
        <v>Standard</v>
      </c>
    </row>
    <row r="6568" customFormat="false" ht="15" hidden="false" customHeight="true" outlineLevel="0" collapsed="false">
      <c r="A6568" s="10" t="n">
        <f aca="false">Einstellungen!$B$5+INT((ROW()-9)/24)</f>
        <v>46239</v>
      </c>
      <c r="B6568" s="11" t="n">
        <f aca="false">MOD(ROW()-9,24)</f>
        <v>7</v>
      </c>
      <c r="C6568" s="12"/>
      <c r="D6568" s="13" t="n">
        <f aca="false">IF(B6568&lt;5,Einstellungen!$B$3,Einstellungen!$B$4)</f>
        <v>29.13</v>
      </c>
      <c r="E6568" s="14" t="str">
        <f aca="false">IF(C6568="","",C6568*D6568/100)</f>
        <v/>
      </c>
      <c r="F6568" s="15" t="str">
        <f aca="false">IF(B6568&lt;5,"Go","Standard")</f>
        <v>Standard</v>
      </c>
    </row>
    <row r="6569" customFormat="false" ht="15" hidden="false" customHeight="true" outlineLevel="0" collapsed="false">
      <c r="A6569" s="10" t="n">
        <f aca="false">Einstellungen!$B$5+INT((ROW()-9)/24)</f>
        <v>46239</v>
      </c>
      <c r="B6569" s="11" t="n">
        <f aca="false">MOD(ROW()-9,24)</f>
        <v>8</v>
      </c>
      <c r="C6569" s="12"/>
      <c r="D6569" s="13" t="n">
        <f aca="false">IF(B6569&lt;5,Einstellungen!$B$3,Einstellungen!$B$4)</f>
        <v>29.13</v>
      </c>
      <c r="E6569" s="14" t="str">
        <f aca="false">IF(C6569="","",C6569*D6569/100)</f>
        <v/>
      </c>
      <c r="F6569" s="15" t="str">
        <f aca="false">IF(B6569&lt;5,"Go","Standard")</f>
        <v>Standard</v>
      </c>
    </row>
    <row r="6570" customFormat="false" ht="15" hidden="false" customHeight="true" outlineLevel="0" collapsed="false">
      <c r="A6570" s="10" t="n">
        <f aca="false">Einstellungen!$B$5+INT((ROW()-9)/24)</f>
        <v>46239</v>
      </c>
      <c r="B6570" s="11" t="n">
        <f aca="false">MOD(ROW()-9,24)</f>
        <v>9</v>
      </c>
      <c r="C6570" s="12"/>
      <c r="D6570" s="13" t="n">
        <f aca="false">IF(B6570&lt;5,Einstellungen!$B$3,Einstellungen!$B$4)</f>
        <v>29.13</v>
      </c>
      <c r="E6570" s="14" t="str">
        <f aca="false">IF(C6570="","",C6570*D6570/100)</f>
        <v/>
      </c>
      <c r="F6570" s="15" t="str">
        <f aca="false">IF(B6570&lt;5,"Go","Standard")</f>
        <v>Standard</v>
      </c>
    </row>
    <row r="6571" customFormat="false" ht="15" hidden="false" customHeight="true" outlineLevel="0" collapsed="false">
      <c r="A6571" s="10" t="n">
        <f aca="false">Einstellungen!$B$5+INT((ROW()-9)/24)</f>
        <v>46239</v>
      </c>
      <c r="B6571" s="11" t="n">
        <f aca="false">MOD(ROW()-9,24)</f>
        <v>10</v>
      </c>
      <c r="C6571" s="12"/>
      <c r="D6571" s="13" t="n">
        <f aca="false">IF(B6571&lt;5,Einstellungen!$B$3,Einstellungen!$B$4)</f>
        <v>29.13</v>
      </c>
      <c r="E6571" s="14" t="str">
        <f aca="false">IF(C6571="","",C6571*D6571/100)</f>
        <v/>
      </c>
      <c r="F6571" s="15" t="str">
        <f aca="false">IF(B6571&lt;5,"Go","Standard")</f>
        <v>Standard</v>
      </c>
    </row>
    <row r="6572" customFormat="false" ht="15" hidden="false" customHeight="true" outlineLevel="0" collapsed="false">
      <c r="A6572" s="10" t="n">
        <f aca="false">Einstellungen!$B$5+INT((ROW()-9)/24)</f>
        <v>46239</v>
      </c>
      <c r="B6572" s="11" t="n">
        <f aca="false">MOD(ROW()-9,24)</f>
        <v>11</v>
      </c>
      <c r="C6572" s="12"/>
      <c r="D6572" s="13" t="n">
        <f aca="false">IF(B6572&lt;5,Einstellungen!$B$3,Einstellungen!$B$4)</f>
        <v>29.13</v>
      </c>
      <c r="E6572" s="14" t="str">
        <f aca="false">IF(C6572="","",C6572*D6572/100)</f>
        <v/>
      </c>
      <c r="F6572" s="15" t="str">
        <f aca="false">IF(B6572&lt;5,"Go","Standard")</f>
        <v>Standard</v>
      </c>
    </row>
    <row r="6573" customFormat="false" ht="15" hidden="false" customHeight="true" outlineLevel="0" collapsed="false">
      <c r="A6573" s="10" t="n">
        <f aca="false">Einstellungen!$B$5+INT((ROW()-9)/24)</f>
        <v>46239</v>
      </c>
      <c r="B6573" s="11" t="n">
        <f aca="false">MOD(ROW()-9,24)</f>
        <v>12</v>
      </c>
      <c r="C6573" s="12"/>
      <c r="D6573" s="13" t="n">
        <f aca="false">IF(B6573&lt;5,Einstellungen!$B$3,Einstellungen!$B$4)</f>
        <v>29.13</v>
      </c>
      <c r="E6573" s="14" t="str">
        <f aca="false">IF(C6573="","",C6573*D6573/100)</f>
        <v/>
      </c>
      <c r="F6573" s="15" t="str">
        <f aca="false">IF(B6573&lt;5,"Go","Standard")</f>
        <v>Standard</v>
      </c>
    </row>
    <row r="6574" customFormat="false" ht="15" hidden="false" customHeight="true" outlineLevel="0" collapsed="false">
      <c r="A6574" s="10" t="n">
        <f aca="false">Einstellungen!$B$5+INT((ROW()-9)/24)</f>
        <v>46239</v>
      </c>
      <c r="B6574" s="11" t="n">
        <f aca="false">MOD(ROW()-9,24)</f>
        <v>13</v>
      </c>
      <c r="C6574" s="12"/>
      <c r="D6574" s="13" t="n">
        <f aca="false">IF(B6574&lt;5,Einstellungen!$B$3,Einstellungen!$B$4)</f>
        <v>29.13</v>
      </c>
      <c r="E6574" s="14" t="str">
        <f aca="false">IF(C6574="","",C6574*D6574/100)</f>
        <v/>
      </c>
      <c r="F6574" s="15" t="str">
        <f aca="false">IF(B6574&lt;5,"Go","Standard")</f>
        <v>Standard</v>
      </c>
    </row>
    <row r="6575" customFormat="false" ht="15" hidden="false" customHeight="true" outlineLevel="0" collapsed="false">
      <c r="A6575" s="10" t="n">
        <f aca="false">Einstellungen!$B$5+INT((ROW()-9)/24)</f>
        <v>46239</v>
      </c>
      <c r="B6575" s="11" t="n">
        <f aca="false">MOD(ROW()-9,24)</f>
        <v>14</v>
      </c>
      <c r="C6575" s="12"/>
      <c r="D6575" s="13" t="n">
        <f aca="false">IF(B6575&lt;5,Einstellungen!$B$3,Einstellungen!$B$4)</f>
        <v>29.13</v>
      </c>
      <c r="E6575" s="14" t="str">
        <f aca="false">IF(C6575="","",C6575*D6575/100)</f>
        <v/>
      </c>
      <c r="F6575" s="15" t="str">
        <f aca="false">IF(B6575&lt;5,"Go","Standard")</f>
        <v>Standard</v>
      </c>
    </row>
    <row r="6576" customFormat="false" ht="15" hidden="false" customHeight="true" outlineLevel="0" collapsed="false">
      <c r="A6576" s="10" t="n">
        <f aca="false">Einstellungen!$B$5+INT((ROW()-9)/24)</f>
        <v>46239</v>
      </c>
      <c r="B6576" s="11" t="n">
        <f aca="false">MOD(ROW()-9,24)</f>
        <v>15</v>
      </c>
      <c r="C6576" s="12"/>
      <c r="D6576" s="13" t="n">
        <f aca="false">IF(B6576&lt;5,Einstellungen!$B$3,Einstellungen!$B$4)</f>
        <v>29.13</v>
      </c>
      <c r="E6576" s="14" t="str">
        <f aca="false">IF(C6576="","",C6576*D6576/100)</f>
        <v/>
      </c>
      <c r="F6576" s="15" t="str">
        <f aca="false">IF(B6576&lt;5,"Go","Standard")</f>
        <v>Standard</v>
      </c>
    </row>
    <row r="6577" customFormat="false" ht="15" hidden="false" customHeight="true" outlineLevel="0" collapsed="false">
      <c r="A6577" s="10" t="n">
        <f aca="false">Einstellungen!$B$5+INT((ROW()-9)/24)</f>
        <v>46239</v>
      </c>
      <c r="B6577" s="11" t="n">
        <f aca="false">MOD(ROW()-9,24)</f>
        <v>16</v>
      </c>
      <c r="C6577" s="12"/>
      <c r="D6577" s="13" t="n">
        <f aca="false">IF(B6577&lt;5,Einstellungen!$B$3,Einstellungen!$B$4)</f>
        <v>29.13</v>
      </c>
      <c r="E6577" s="14" t="str">
        <f aca="false">IF(C6577="","",C6577*D6577/100)</f>
        <v/>
      </c>
      <c r="F6577" s="15" t="str">
        <f aca="false">IF(B6577&lt;5,"Go","Standard")</f>
        <v>Standard</v>
      </c>
    </row>
    <row r="6578" customFormat="false" ht="15" hidden="false" customHeight="true" outlineLevel="0" collapsed="false">
      <c r="A6578" s="10" t="n">
        <f aca="false">Einstellungen!$B$5+INT((ROW()-9)/24)</f>
        <v>46239</v>
      </c>
      <c r="B6578" s="11" t="n">
        <f aca="false">MOD(ROW()-9,24)</f>
        <v>17</v>
      </c>
      <c r="C6578" s="12"/>
      <c r="D6578" s="13" t="n">
        <f aca="false">IF(B6578&lt;5,Einstellungen!$B$3,Einstellungen!$B$4)</f>
        <v>29.13</v>
      </c>
      <c r="E6578" s="14" t="str">
        <f aca="false">IF(C6578="","",C6578*D6578/100)</f>
        <v/>
      </c>
      <c r="F6578" s="15" t="str">
        <f aca="false">IF(B6578&lt;5,"Go","Standard")</f>
        <v>Standard</v>
      </c>
    </row>
    <row r="6579" customFormat="false" ht="15" hidden="false" customHeight="true" outlineLevel="0" collapsed="false">
      <c r="A6579" s="10" t="n">
        <f aca="false">Einstellungen!$B$5+INT((ROW()-9)/24)</f>
        <v>46239</v>
      </c>
      <c r="B6579" s="11" t="n">
        <f aca="false">MOD(ROW()-9,24)</f>
        <v>18</v>
      </c>
      <c r="C6579" s="12"/>
      <c r="D6579" s="13" t="n">
        <f aca="false">IF(B6579&lt;5,Einstellungen!$B$3,Einstellungen!$B$4)</f>
        <v>29.13</v>
      </c>
      <c r="E6579" s="14" t="str">
        <f aca="false">IF(C6579="","",C6579*D6579/100)</f>
        <v/>
      </c>
      <c r="F6579" s="15" t="str">
        <f aca="false">IF(B6579&lt;5,"Go","Standard")</f>
        <v>Standard</v>
      </c>
    </row>
    <row r="6580" customFormat="false" ht="15" hidden="false" customHeight="true" outlineLevel="0" collapsed="false">
      <c r="A6580" s="10" t="n">
        <f aca="false">Einstellungen!$B$5+INT((ROW()-9)/24)</f>
        <v>46239</v>
      </c>
      <c r="B6580" s="11" t="n">
        <f aca="false">MOD(ROW()-9,24)</f>
        <v>19</v>
      </c>
      <c r="C6580" s="12"/>
      <c r="D6580" s="13" t="n">
        <f aca="false">IF(B6580&lt;5,Einstellungen!$B$3,Einstellungen!$B$4)</f>
        <v>29.13</v>
      </c>
      <c r="E6580" s="14" t="str">
        <f aca="false">IF(C6580="","",C6580*D6580/100)</f>
        <v/>
      </c>
      <c r="F6580" s="15" t="str">
        <f aca="false">IF(B6580&lt;5,"Go","Standard")</f>
        <v>Standard</v>
      </c>
    </row>
    <row r="6581" customFormat="false" ht="15" hidden="false" customHeight="true" outlineLevel="0" collapsed="false">
      <c r="A6581" s="10" t="n">
        <f aca="false">Einstellungen!$B$5+INT((ROW()-9)/24)</f>
        <v>46239</v>
      </c>
      <c r="B6581" s="11" t="n">
        <f aca="false">MOD(ROW()-9,24)</f>
        <v>20</v>
      </c>
      <c r="C6581" s="12"/>
      <c r="D6581" s="13" t="n">
        <f aca="false">IF(B6581&lt;5,Einstellungen!$B$3,Einstellungen!$B$4)</f>
        <v>29.13</v>
      </c>
      <c r="E6581" s="14" t="str">
        <f aca="false">IF(C6581="","",C6581*D6581/100)</f>
        <v/>
      </c>
      <c r="F6581" s="15" t="str">
        <f aca="false">IF(B6581&lt;5,"Go","Standard")</f>
        <v>Standard</v>
      </c>
    </row>
    <row r="6582" customFormat="false" ht="15" hidden="false" customHeight="true" outlineLevel="0" collapsed="false">
      <c r="A6582" s="10" t="n">
        <f aca="false">Einstellungen!$B$5+INT((ROW()-9)/24)</f>
        <v>46239</v>
      </c>
      <c r="B6582" s="11" t="n">
        <f aca="false">MOD(ROW()-9,24)</f>
        <v>21</v>
      </c>
      <c r="C6582" s="12"/>
      <c r="D6582" s="13" t="n">
        <f aca="false">IF(B6582&lt;5,Einstellungen!$B$3,Einstellungen!$B$4)</f>
        <v>29.13</v>
      </c>
      <c r="E6582" s="14" t="str">
        <f aca="false">IF(C6582="","",C6582*D6582/100)</f>
        <v/>
      </c>
      <c r="F6582" s="15" t="str">
        <f aca="false">IF(B6582&lt;5,"Go","Standard")</f>
        <v>Standard</v>
      </c>
    </row>
    <row r="6583" customFormat="false" ht="15" hidden="false" customHeight="true" outlineLevel="0" collapsed="false">
      <c r="A6583" s="10" t="n">
        <f aca="false">Einstellungen!$B$5+INT((ROW()-9)/24)</f>
        <v>46239</v>
      </c>
      <c r="B6583" s="11" t="n">
        <f aca="false">MOD(ROW()-9,24)</f>
        <v>22</v>
      </c>
      <c r="C6583" s="12"/>
      <c r="D6583" s="13" t="n">
        <f aca="false">IF(B6583&lt;5,Einstellungen!$B$3,Einstellungen!$B$4)</f>
        <v>29.13</v>
      </c>
      <c r="E6583" s="14" t="str">
        <f aca="false">IF(C6583="","",C6583*D6583/100)</f>
        <v/>
      </c>
      <c r="F6583" s="15" t="str">
        <f aca="false">IF(B6583&lt;5,"Go","Standard")</f>
        <v>Standard</v>
      </c>
    </row>
    <row r="6584" customFormat="false" ht="15" hidden="false" customHeight="true" outlineLevel="0" collapsed="false">
      <c r="A6584" s="10" t="n">
        <f aca="false">Einstellungen!$B$5+INT((ROW()-9)/24)</f>
        <v>46239</v>
      </c>
      <c r="B6584" s="11" t="n">
        <f aca="false">MOD(ROW()-9,24)</f>
        <v>23</v>
      </c>
      <c r="C6584" s="12"/>
      <c r="D6584" s="13" t="n">
        <f aca="false">IF(B6584&lt;5,Einstellungen!$B$3,Einstellungen!$B$4)</f>
        <v>29.13</v>
      </c>
      <c r="E6584" s="14" t="str">
        <f aca="false">IF(C6584="","",C6584*D6584/100)</f>
        <v/>
      </c>
      <c r="F6584" s="15" t="str">
        <f aca="false">IF(B6584&lt;5,"Go","Standard")</f>
        <v>Standard</v>
      </c>
    </row>
    <row r="6585" customFormat="false" ht="15" hidden="false" customHeight="true" outlineLevel="0" collapsed="false">
      <c r="A6585" s="10" t="n">
        <f aca="false">Einstellungen!$B$5+INT((ROW()-9)/24)</f>
        <v>46240</v>
      </c>
      <c r="B6585" s="11" t="n">
        <f aca="false">MOD(ROW()-9,24)</f>
        <v>0</v>
      </c>
      <c r="C6585" s="12"/>
      <c r="D6585" s="13" t="n">
        <f aca="false">IF(B6585&lt;5,Einstellungen!$B$3,Einstellungen!$B$4)</f>
        <v>15.92</v>
      </c>
      <c r="E6585" s="14" t="str">
        <f aca="false">IF(C6585="","",C6585*D6585/100)</f>
        <v/>
      </c>
      <c r="F6585" s="15" t="str">
        <f aca="false">IF(B6585&lt;5,"Go","Standard")</f>
        <v>Go</v>
      </c>
    </row>
    <row r="6586" customFormat="false" ht="15" hidden="false" customHeight="true" outlineLevel="0" collapsed="false">
      <c r="A6586" s="10" t="n">
        <f aca="false">Einstellungen!$B$5+INT((ROW()-9)/24)</f>
        <v>46240</v>
      </c>
      <c r="B6586" s="11" t="n">
        <f aca="false">MOD(ROW()-9,24)</f>
        <v>1</v>
      </c>
      <c r="C6586" s="12"/>
      <c r="D6586" s="13" t="n">
        <f aca="false">IF(B6586&lt;5,Einstellungen!$B$3,Einstellungen!$B$4)</f>
        <v>15.92</v>
      </c>
      <c r="E6586" s="14" t="str">
        <f aca="false">IF(C6586="","",C6586*D6586/100)</f>
        <v/>
      </c>
      <c r="F6586" s="15" t="str">
        <f aca="false">IF(B6586&lt;5,"Go","Standard")</f>
        <v>Go</v>
      </c>
    </row>
    <row r="6587" customFormat="false" ht="15" hidden="false" customHeight="true" outlineLevel="0" collapsed="false">
      <c r="A6587" s="10" t="n">
        <f aca="false">Einstellungen!$B$5+INT((ROW()-9)/24)</f>
        <v>46240</v>
      </c>
      <c r="B6587" s="11" t="n">
        <f aca="false">MOD(ROW()-9,24)</f>
        <v>2</v>
      </c>
      <c r="C6587" s="12"/>
      <c r="D6587" s="13" t="n">
        <f aca="false">IF(B6587&lt;5,Einstellungen!$B$3,Einstellungen!$B$4)</f>
        <v>15.92</v>
      </c>
      <c r="E6587" s="14" t="str">
        <f aca="false">IF(C6587="","",C6587*D6587/100)</f>
        <v/>
      </c>
      <c r="F6587" s="15" t="str">
        <f aca="false">IF(B6587&lt;5,"Go","Standard")</f>
        <v>Go</v>
      </c>
    </row>
    <row r="6588" customFormat="false" ht="15" hidden="false" customHeight="true" outlineLevel="0" collapsed="false">
      <c r="A6588" s="10" t="n">
        <f aca="false">Einstellungen!$B$5+INT((ROW()-9)/24)</f>
        <v>46240</v>
      </c>
      <c r="B6588" s="11" t="n">
        <f aca="false">MOD(ROW()-9,24)</f>
        <v>3</v>
      </c>
      <c r="C6588" s="12"/>
      <c r="D6588" s="13" t="n">
        <f aca="false">IF(B6588&lt;5,Einstellungen!$B$3,Einstellungen!$B$4)</f>
        <v>15.92</v>
      </c>
      <c r="E6588" s="14" t="str">
        <f aca="false">IF(C6588="","",C6588*D6588/100)</f>
        <v/>
      </c>
      <c r="F6588" s="15" t="str">
        <f aca="false">IF(B6588&lt;5,"Go","Standard")</f>
        <v>Go</v>
      </c>
    </row>
    <row r="6589" customFormat="false" ht="15" hidden="false" customHeight="true" outlineLevel="0" collapsed="false">
      <c r="A6589" s="10" t="n">
        <f aca="false">Einstellungen!$B$5+INT((ROW()-9)/24)</f>
        <v>46240</v>
      </c>
      <c r="B6589" s="11" t="n">
        <f aca="false">MOD(ROW()-9,24)</f>
        <v>4</v>
      </c>
      <c r="C6589" s="12"/>
      <c r="D6589" s="13" t="n">
        <f aca="false">IF(B6589&lt;5,Einstellungen!$B$3,Einstellungen!$B$4)</f>
        <v>15.92</v>
      </c>
      <c r="E6589" s="14" t="str">
        <f aca="false">IF(C6589="","",C6589*D6589/100)</f>
        <v/>
      </c>
      <c r="F6589" s="15" t="str">
        <f aca="false">IF(B6589&lt;5,"Go","Standard")</f>
        <v>Go</v>
      </c>
    </row>
    <row r="6590" customFormat="false" ht="15" hidden="false" customHeight="true" outlineLevel="0" collapsed="false">
      <c r="A6590" s="10" t="n">
        <f aca="false">Einstellungen!$B$5+INT((ROW()-9)/24)</f>
        <v>46240</v>
      </c>
      <c r="B6590" s="11" t="n">
        <f aca="false">MOD(ROW()-9,24)</f>
        <v>5</v>
      </c>
      <c r="C6590" s="12"/>
      <c r="D6590" s="13" t="n">
        <f aca="false">IF(B6590&lt;5,Einstellungen!$B$3,Einstellungen!$B$4)</f>
        <v>29.13</v>
      </c>
      <c r="E6590" s="14" t="str">
        <f aca="false">IF(C6590="","",C6590*D6590/100)</f>
        <v/>
      </c>
      <c r="F6590" s="15" t="str">
        <f aca="false">IF(B6590&lt;5,"Go","Standard")</f>
        <v>Standard</v>
      </c>
    </row>
    <row r="6591" customFormat="false" ht="15" hidden="false" customHeight="true" outlineLevel="0" collapsed="false">
      <c r="A6591" s="10" t="n">
        <f aca="false">Einstellungen!$B$5+INT((ROW()-9)/24)</f>
        <v>46240</v>
      </c>
      <c r="B6591" s="11" t="n">
        <f aca="false">MOD(ROW()-9,24)</f>
        <v>6</v>
      </c>
      <c r="C6591" s="12"/>
      <c r="D6591" s="13" t="n">
        <f aca="false">IF(B6591&lt;5,Einstellungen!$B$3,Einstellungen!$B$4)</f>
        <v>29.13</v>
      </c>
      <c r="E6591" s="14" t="str">
        <f aca="false">IF(C6591="","",C6591*D6591/100)</f>
        <v/>
      </c>
      <c r="F6591" s="15" t="str">
        <f aca="false">IF(B6591&lt;5,"Go","Standard")</f>
        <v>Standard</v>
      </c>
    </row>
    <row r="6592" customFormat="false" ht="15" hidden="false" customHeight="true" outlineLevel="0" collapsed="false">
      <c r="A6592" s="10" t="n">
        <f aca="false">Einstellungen!$B$5+INT((ROW()-9)/24)</f>
        <v>46240</v>
      </c>
      <c r="B6592" s="11" t="n">
        <f aca="false">MOD(ROW()-9,24)</f>
        <v>7</v>
      </c>
      <c r="C6592" s="12"/>
      <c r="D6592" s="13" t="n">
        <f aca="false">IF(B6592&lt;5,Einstellungen!$B$3,Einstellungen!$B$4)</f>
        <v>29.13</v>
      </c>
      <c r="E6592" s="14" t="str">
        <f aca="false">IF(C6592="","",C6592*D6592/100)</f>
        <v/>
      </c>
      <c r="F6592" s="15" t="str">
        <f aca="false">IF(B6592&lt;5,"Go","Standard")</f>
        <v>Standard</v>
      </c>
    </row>
    <row r="6593" customFormat="false" ht="15" hidden="false" customHeight="true" outlineLevel="0" collapsed="false">
      <c r="A6593" s="10" t="n">
        <f aca="false">Einstellungen!$B$5+INT((ROW()-9)/24)</f>
        <v>46240</v>
      </c>
      <c r="B6593" s="11" t="n">
        <f aca="false">MOD(ROW()-9,24)</f>
        <v>8</v>
      </c>
      <c r="C6593" s="12"/>
      <c r="D6593" s="13" t="n">
        <f aca="false">IF(B6593&lt;5,Einstellungen!$B$3,Einstellungen!$B$4)</f>
        <v>29.13</v>
      </c>
      <c r="E6593" s="14" t="str">
        <f aca="false">IF(C6593="","",C6593*D6593/100)</f>
        <v/>
      </c>
      <c r="F6593" s="15" t="str">
        <f aca="false">IF(B6593&lt;5,"Go","Standard")</f>
        <v>Standard</v>
      </c>
    </row>
    <row r="6594" customFormat="false" ht="15" hidden="false" customHeight="true" outlineLevel="0" collapsed="false">
      <c r="A6594" s="10" t="n">
        <f aca="false">Einstellungen!$B$5+INT((ROW()-9)/24)</f>
        <v>46240</v>
      </c>
      <c r="B6594" s="11" t="n">
        <f aca="false">MOD(ROW()-9,24)</f>
        <v>9</v>
      </c>
      <c r="C6594" s="12"/>
      <c r="D6594" s="13" t="n">
        <f aca="false">IF(B6594&lt;5,Einstellungen!$B$3,Einstellungen!$B$4)</f>
        <v>29.13</v>
      </c>
      <c r="E6594" s="14" t="str">
        <f aca="false">IF(C6594="","",C6594*D6594/100)</f>
        <v/>
      </c>
      <c r="F6594" s="15" t="str">
        <f aca="false">IF(B6594&lt;5,"Go","Standard")</f>
        <v>Standard</v>
      </c>
    </row>
    <row r="6595" customFormat="false" ht="15" hidden="false" customHeight="true" outlineLevel="0" collapsed="false">
      <c r="A6595" s="10" t="n">
        <f aca="false">Einstellungen!$B$5+INT((ROW()-9)/24)</f>
        <v>46240</v>
      </c>
      <c r="B6595" s="11" t="n">
        <f aca="false">MOD(ROW()-9,24)</f>
        <v>10</v>
      </c>
      <c r="C6595" s="12"/>
      <c r="D6595" s="13" t="n">
        <f aca="false">IF(B6595&lt;5,Einstellungen!$B$3,Einstellungen!$B$4)</f>
        <v>29.13</v>
      </c>
      <c r="E6595" s="14" t="str">
        <f aca="false">IF(C6595="","",C6595*D6595/100)</f>
        <v/>
      </c>
      <c r="F6595" s="15" t="str">
        <f aca="false">IF(B6595&lt;5,"Go","Standard")</f>
        <v>Standard</v>
      </c>
    </row>
    <row r="6596" customFormat="false" ht="15" hidden="false" customHeight="true" outlineLevel="0" collapsed="false">
      <c r="A6596" s="10" t="n">
        <f aca="false">Einstellungen!$B$5+INT((ROW()-9)/24)</f>
        <v>46240</v>
      </c>
      <c r="B6596" s="11" t="n">
        <f aca="false">MOD(ROW()-9,24)</f>
        <v>11</v>
      </c>
      <c r="C6596" s="12"/>
      <c r="D6596" s="13" t="n">
        <f aca="false">IF(B6596&lt;5,Einstellungen!$B$3,Einstellungen!$B$4)</f>
        <v>29.13</v>
      </c>
      <c r="E6596" s="14" t="str">
        <f aca="false">IF(C6596="","",C6596*D6596/100)</f>
        <v/>
      </c>
      <c r="F6596" s="15" t="str">
        <f aca="false">IF(B6596&lt;5,"Go","Standard")</f>
        <v>Standard</v>
      </c>
    </row>
    <row r="6597" customFormat="false" ht="15" hidden="false" customHeight="true" outlineLevel="0" collapsed="false">
      <c r="A6597" s="10" t="n">
        <f aca="false">Einstellungen!$B$5+INT((ROW()-9)/24)</f>
        <v>46240</v>
      </c>
      <c r="B6597" s="11" t="n">
        <f aca="false">MOD(ROW()-9,24)</f>
        <v>12</v>
      </c>
      <c r="C6597" s="12"/>
      <c r="D6597" s="13" t="n">
        <f aca="false">IF(B6597&lt;5,Einstellungen!$B$3,Einstellungen!$B$4)</f>
        <v>29.13</v>
      </c>
      <c r="E6597" s="14" t="str">
        <f aca="false">IF(C6597="","",C6597*D6597/100)</f>
        <v/>
      </c>
      <c r="F6597" s="15" t="str">
        <f aca="false">IF(B6597&lt;5,"Go","Standard")</f>
        <v>Standard</v>
      </c>
    </row>
    <row r="6598" customFormat="false" ht="15" hidden="false" customHeight="true" outlineLevel="0" collapsed="false">
      <c r="A6598" s="10" t="n">
        <f aca="false">Einstellungen!$B$5+INT((ROW()-9)/24)</f>
        <v>46240</v>
      </c>
      <c r="B6598" s="11" t="n">
        <f aca="false">MOD(ROW()-9,24)</f>
        <v>13</v>
      </c>
      <c r="C6598" s="12"/>
      <c r="D6598" s="13" t="n">
        <f aca="false">IF(B6598&lt;5,Einstellungen!$B$3,Einstellungen!$B$4)</f>
        <v>29.13</v>
      </c>
      <c r="E6598" s="14" t="str">
        <f aca="false">IF(C6598="","",C6598*D6598/100)</f>
        <v/>
      </c>
      <c r="F6598" s="15" t="str">
        <f aca="false">IF(B6598&lt;5,"Go","Standard")</f>
        <v>Standard</v>
      </c>
    </row>
    <row r="6599" customFormat="false" ht="15" hidden="false" customHeight="true" outlineLevel="0" collapsed="false">
      <c r="A6599" s="10" t="n">
        <f aca="false">Einstellungen!$B$5+INT((ROW()-9)/24)</f>
        <v>46240</v>
      </c>
      <c r="B6599" s="11" t="n">
        <f aca="false">MOD(ROW()-9,24)</f>
        <v>14</v>
      </c>
      <c r="C6599" s="12"/>
      <c r="D6599" s="13" t="n">
        <f aca="false">IF(B6599&lt;5,Einstellungen!$B$3,Einstellungen!$B$4)</f>
        <v>29.13</v>
      </c>
      <c r="E6599" s="14" t="str">
        <f aca="false">IF(C6599="","",C6599*D6599/100)</f>
        <v/>
      </c>
      <c r="F6599" s="15" t="str">
        <f aca="false">IF(B6599&lt;5,"Go","Standard")</f>
        <v>Standard</v>
      </c>
    </row>
    <row r="6600" customFormat="false" ht="15" hidden="false" customHeight="true" outlineLevel="0" collapsed="false">
      <c r="A6600" s="10" t="n">
        <f aca="false">Einstellungen!$B$5+INT((ROW()-9)/24)</f>
        <v>46240</v>
      </c>
      <c r="B6600" s="11" t="n">
        <f aca="false">MOD(ROW()-9,24)</f>
        <v>15</v>
      </c>
      <c r="C6600" s="12"/>
      <c r="D6600" s="13" t="n">
        <f aca="false">IF(B6600&lt;5,Einstellungen!$B$3,Einstellungen!$B$4)</f>
        <v>29.13</v>
      </c>
      <c r="E6600" s="14" t="str">
        <f aca="false">IF(C6600="","",C6600*D6600/100)</f>
        <v/>
      </c>
      <c r="F6600" s="15" t="str">
        <f aca="false">IF(B6600&lt;5,"Go","Standard")</f>
        <v>Standard</v>
      </c>
    </row>
    <row r="6601" customFormat="false" ht="15" hidden="false" customHeight="true" outlineLevel="0" collapsed="false">
      <c r="A6601" s="10" t="n">
        <f aca="false">Einstellungen!$B$5+INT((ROW()-9)/24)</f>
        <v>46240</v>
      </c>
      <c r="B6601" s="11" t="n">
        <f aca="false">MOD(ROW()-9,24)</f>
        <v>16</v>
      </c>
      <c r="C6601" s="12"/>
      <c r="D6601" s="13" t="n">
        <f aca="false">IF(B6601&lt;5,Einstellungen!$B$3,Einstellungen!$B$4)</f>
        <v>29.13</v>
      </c>
      <c r="E6601" s="14" t="str">
        <f aca="false">IF(C6601="","",C6601*D6601/100)</f>
        <v/>
      </c>
      <c r="F6601" s="15" t="str">
        <f aca="false">IF(B6601&lt;5,"Go","Standard")</f>
        <v>Standard</v>
      </c>
    </row>
    <row r="6602" customFormat="false" ht="15" hidden="false" customHeight="true" outlineLevel="0" collapsed="false">
      <c r="A6602" s="10" t="n">
        <f aca="false">Einstellungen!$B$5+INT((ROW()-9)/24)</f>
        <v>46240</v>
      </c>
      <c r="B6602" s="11" t="n">
        <f aca="false">MOD(ROW()-9,24)</f>
        <v>17</v>
      </c>
      <c r="C6602" s="12"/>
      <c r="D6602" s="13" t="n">
        <f aca="false">IF(B6602&lt;5,Einstellungen!$B$3,Einstellungen!$B$4)</f>
        <v>29.13</v>
      </c>
      <c r="E6602" s="14" t="str">
        <f aca="false">IF(C6602="","",C6602*D6602/100)</f>
        <v/>
      </c>
      <c r="F6602" s="15" t="str">
        <f aca="false">IF(B6602&lt;5,"Go","Standard")</f>
        <v>Standard</v>
      </c>
    </row>
    <row r="6603" customFormat="false" ht="15" hidden="false" customHeight="true" outlineLevel="0" collapsed="false">
      <c r="A6603" s="10" t="n">
        <f aca="false">Einstellungen!$B$5+INT((ROW()-9)/24)</f>
        <v>46240</v>
      </c>
      <c r="B6603" s="11" t="n">
        <f aca="false">MOD(ROW()-9,24)</f>
        <v>18</v>
      </c>
      <c r="C6603" s="12"/>
      <c r="D6603" s="13" t="n">
        <f aca="false">IF(B6603&lt;5,Einstellungen!$B$3,Einstellungen!$B$4)</f>
        <v>29.13</v>
      </c>
      <c r="E6603" s="14" t="str">
        <f aca="false">IF(C6603="","",C6603*D6603/100)</f>
        <v/>
      </c>
      <c r="F6603" s="15" t="str">
        <f aca="false">IF(B6603&lt;5,"Go","Standard")</f>
        <v>Standard</v>
      </c>
    </row>
    <row r="6604" customFormat="false" ht="15" hidden="false" customHeight="true" outlineLevel="0" collapsed="false">
      <c r="A6604" s="10" t="n">
        <f aca="false">Einstellungen!$B$5+INT((ROW()-9)/24)</f>
        <v>46240</v>
      </c>
      <c r="B6604" s="11" t="n">
        <f aca="false">MOD(ROW()-9,24)</f>
        <v>19</v>
      </c>
      <c r="C6604" s="12"/>
      <c r="D6604" s="13" t="n">
        <f aca="false">IF(B6604&lt;5,Einstellungen!$B$3,Einstellungen!$B$4)</f>
        <v>29.13</v>
      </c>
      <c r="E6604" s="14" t="str">
        <f aca="false">IF(C6604="","",C6604*D6604/100)</f>
        <v/>
      </c>
      <c r="F6604" s="15" t="str">
        <f aca="false">IF(B6604&lt;5,"Go","Standard")</f>
        <v>Standard</v>
      </c>
    </row>
    <row r="6605" customFormat="false" ht="15" hidden="false" customHeight="true" outlineLevel="0" collapsed="false">
      <c r="A6605" s="10" t="n">
        <f aca="false">Einstellungen!$B$5+INT((ROW()-9)/24)</f>
        <v>46240</v>
      </c>
      <c r="B6605" s="11" t="n">
        <f aca="false">MOD(ROW()-9,24)</f>
        <v>20</v>
      </c>
      <c r="C6605" s="12"/>
      <c r="D6605" s="13" t="n">
        <f aca="false">IF(B6605&lt;5,Einstellungen!$B$3,Einstellungen!$B$4)</f>
        <v>29.13</v>
      </c>
      <c r="E6605" s="14" t="str">
        <f aca="false">IF(C6605="","",C6605*D6605/100)</f>
        <v/>
      </c>
      <c r="F6605" s="15" t="str">
        <f aca="false">IF(B6605&lt;5,"Go","Standard")</f>
        <v>Standard</v>
      </c>
    </row>
    <row r="6606" customFormat="false" ht="15" hidden="false" customHeight="true" outlineLevel="0" collapsed="false">
      <c r="A6606" s="10" t="n">
        <f aca="false">Einstellungen!$B$5+INT((ROW()-9)/24)</f>
        <v>46240</v>
      </c>
      <c r="B6606" s="11" t="n">
        <f aca="false">MOD(ROW()-9,24)</f>
        <v>21</v>
      </c>
      <c r="C6606" s="12"/>
      <c r="D6606" s="13" t="n">
        <f aca="false">IF(B6606&lt;5,Einstellungen!$B$3,Einstellungen!$B$4)</f>
        <v>29.13</v>
      </c>
      <c r="E6606" s="14" t="str">
        <f aca="false">IF(C6606="","",C6606*D6606/100)</f>
        <v/>
      </c>
      <c r="F6606" s="15" t="str">
        <f aca="false">IF(B6606&lt;5,"Go","Standard")</f>
        <v>Standard</v>
      </c>
    </row>
    <row r="6607" customFormat="false" ht="15" hidden="false" customHeight="true" outlineLevel="0" collapsed="false">
      <c r="A6607" s="10" t="n">
        <f aca="false">Einstellungen!$B$5+INT((ROW()-9)/24)</f>
        <v>46240</v>
      </c>
      <c r="B6607" s="11" t="n">
        <f aca="false">MOD(ROW()-9,24)</f>
        <v>22</v>
      </c>
      <c r="C6607" s="12"/>
      <c r="D6607" s="13" t="n">
        <f aca="false">IF(B6607&lt;5,Einstellungen!$B$3,Einstellungen!$B$4)</f>
        <v>29.13</v>
      </c>
      <c r="E6607" s="14" t="str">
        <f aca="false">IF(C6607="","",C6607*D6607/100)</f>
        <v/>
      </c>
      <c r="F6607" s="15" t="str">
        <f aca="false">IF(B6607&lt;5,"Go","Standard")</f>
        <v>Standard</v>
      </c>
    </row>
    <row r="6608" customFormat="false" ht="15" hidden="false" customHeight="true" outlineLevel="0" collapsed="false">
      <c r="A6608" s="10" t="n">
        <f aca="false">Einstellungen!$B$5+INT((ROW()-9)/24)</f>
        <v>46240</v>
      </c>
      <c r="B6608" s="11" t="n">
        <f aca="false">MOD(ROW()-9,24)</f>
        <v>23</v>
      </c>
      <c r="C6608" s="12"/>
      <c r="D6608" s="13" t="n">
        <f aca="false">IF(B6608&lt;5,Einstellungen!$B$3,Einstellungen!$B$4)</f>
        <v>29.13</v>
      </c>
      <c r="E6608" s="14" t="str">
        <f aca="false">IF(C6608="","",C6608*D6608/100)</f>
        <v/>
      </c>
      <c r="F6608" s="15" t="str">
        <f aca="false">IF(B6608&lt;5,"Go","Standard")</f>
        <v>Standard</v>
      </c>
    </row>
    <row r="6609" customFormat="false" ht="15" hidden="false" customHeight="true" outlineLevel="0" collapsed="false">
      <c r="A6609" s="10" t="n">
        <f aca="false">Einstellungen!$B$5+INT((ROW()-9)/24)</f>
        <v>46241</v>
      </c>
      <c r="B6609" s="11" t="n">
        <f aca="false">MOD(ROW()-9,24)</f>
        <v>0</v>
      </c>
      <c r="C6609" s="12"/>
      <c r="D6609" s="13" t="n">
        <f aca="false">IF(B6609&lt;5,Einstellungen!$B$3,Einstellungen!$B$4)</f>
        <v>15.92</v>
      </c>
      <c r="E6609" s="14" t="str">
        <f aca="false">IF(C6609="","",C6609*D6609/100)</f>
        <v/>
      </c>
      <c r="F6609" s="15" t="str">
        <f aca="false">IF(B6609&lt;5,"Go","Standard")</f>
        <v>Go</v>
      </c>
    </row>
    <row r="6610" customFormat="false" ht="15" hidden="false" customHeight="true" outlineLevel="0" collapsed="false">
      <c r="A6610" s="10" t="n">
        <f aca="false">Einstellungen!$B$5+INT((ROW()-9)/24)</f>
        <v>46241</v>
      </c>
      <c r="B6610" s="11" t="n">
        <f aca="false">MOD(ROW()-9,24)</f>
        <v>1</v>
      </c>
      <c r="C6610" s="12"/>
      <c r="D6610" s="13" t="n">
        <f aca="false">IF(B6610&lt;5,Einstellungen!$B$3,Einstellungen!$B$4)</f>
        <v>15.92</v>
      </c>
      <c r="E6610" s="14" t="str">
        <f aca="false">IF(C6610="","",C6610*D6610/100)</f>
        <v/>
      </c>
      <c r="F6610" s="15" t="str">
        <f aca="false">IF(B6610&lt;5,"Go","Standard")</f>
        <v>Go</v>
      </c>
    </row>
    <row r="6611" customFormat="false" ht="15" hidden="false" customHeight="true" outlineLevel="0" collapsed="false">
      <c r="A6611" s="10" t="n">
        <f aca="false">Einstellungen!$B$5+INT((ROW()-9)/24)</f>
        <v>46241</v>
      </c>
      <c r="B6611" s="11" t="n">
        <f aca="false">MOD(ROW()-9,24)</f>
        <v>2</v>
      </c>
      <c r="C6611" s="12"/>
      <c r="D6611" s="13" t="n">
        <f aca="false">IF(B6611&lt;5,Einstellungen!$B$3,Einstellungen!$B$4)</f>
        <v>15.92</v>
      </c>
      <c r="E6611" s="14" t="str">
        <f aca="false">IF(C6611="","",C6611*D6611/100)</f>
        <v/>
      </c>
      <c r="F6611" s="15" t="str">
        <f aca="false">IF(B6611&lt;5,"Go","Standard")</f>
        <v>Go</v>
      </c>
    </row>
    <row r="6612" customFormat="false" ht="15" hidden="false" customHeight="true" outlineLevel="0" collapsed="false">
      <c r="A6612" s="10" t="n">
        <f aca="false">Einstellungen!$B$5+INT((ROW()-9)/24)</f>
        <v>46241</v>
      </c>
      <c r="B6612" s="11" t="n">
        <f aca="false">MOD(ROW()-9,24)</f>
        <v>3</v>
      </c>
      <c r="C6612" s="12"/>
      <c r="D6612" s="13" t="n">
        <f aca="false">IF(B6612&lt;5,Einstellungen!$B$3,Einstellungen!$B$4)</f>
        <v>15.92</v>
      </c>
      <c r="E6612" s="14" t="str">
        <f aca="false">IF(C6612="","",C6612*D6612/100)</f>
        <v/>
      </c>
      <c r="F6612" s="15" t="str">
        <f aca="false">IF(B6612&lt;5,"Go","Standard")</f>
        <v>Go</v>
      </c>
    </row>
    <row r="6613" customFormat="false" ht="15" hidden="false" customHeight="true" outlineLevel="0" collapsed="false">
      <c r="A6613" s="10" t="n">
        <f aca="false">Einstellungen!$B$5+INT((ROW()-9)/24)</f>
        <v>46241</v>
      </c>
      <c r="B6613" s="11" t="n">
        <f aca="false">MOD(ROW()-9,24)</f>
        <v>4</v>
      </c>
      <c r="C6613" s="12"/>
      <c r="D6613" s="13" t="n">
        <f aca="false">IF(B6613&lt;5,Einstellungen!$B$3,Einstellungen!$B$4)</f>
        <v>15.92</v>
      </c>
      <c r="E6613" s="14" t="str">
        <f aca="false">IF(C6613="","",C6613*D6613/100)</f>
        <v/>
      </c>
      <c r="F6613" s="15" t="str">
        <f aca="false">IF(B6613&lt;5,"Go","Standard")</f>
        <v>Go</v>
      </c>
    </row>
    <row r="6614" customFormat="false" ht="15" hidden="false" customHeight="true" outlineLevel="0" collapsed="false">
      <c r="A6614" s="10" t="n">
        <f aca="false">Einstellungen!$B$5+INT((ROW()-9)/24)</f>
        <v>46241</v>
      </c>
      <c r="B6614" s="11" t="n">
        <f aca="false">MOD(ROW()-9,24)</f>
        <v>5</v>
      </c>
      <c r="C6614" s="12"/>
      <c r="D6614" s="13" t="n">
        <f aca="false">IF(B6614&lt;5,Einstellungen!$B$3,Einstellungen!$B$4)</f>
        <v>29.13</v>
      </c>
      <c r="E6614" s="14" t="str">
        <f aca="false">IF(C6614="","",C6614*D6614/100)</f>
        <v/>
      </c>
      <c r="F6614" s="15" t="str">
        <f aca="false">IF(B6614&lt;5,"Go","Standard")</f>
        <v>Standard</v>
      </c>
    </row>
    <row r="6615" customFormat="false" ht="15" hidden="false" customHeight="true" outlineLevel="0" collapsed="false">
      <c r="A6615" s="10" t="n">
        <f aca="false">Einstellungen!$B$5+INT((ROW()-9)/24)</f>
        <v>46241</v>
      </c>
      <c r="B6615" s="11" t="n">
        <f aca="false">MOD(ROW()-9,24)</f>
        <v>6</v>
      </c>
      <c r="C6615" s="12"/>
      <c r="D6615" s="13" t="n">
        <f aca="false">IF(B6615&lt;5,Einstellungen!$B$3,Einstellungen!$B$4)</f>
        <v>29.13</v>
      </c>
      <c r="E6615" s="14" t="str">
        <f aca="false">IF(C6615="","",C6615*D6615/100)</f>
        <v/>
      </c>
      <c r="F6615" s="15" t="str">
        <f aca="false">IF(B6615&lt;5,"Go","Standard")</f>
        <v>Standard</v>
      </c>
    </row>
    <row r="6616" customFormat="false" ht="15" hidden="false" customHeight="true" outlineLevel="0" collapsed="false">
      <c r="A6616" s="10" t="n">
        <f aca="false">Einstellungen!$B$5+INT((ROW()-9)/24)</f>
        <v>46241</v>
      </c>
      <c r="B6616" s="11" t="n">
        <f aca="false">MOD(ROW()-9,24)</f>
        <v>7</v>
      </c>
      <c r="C6616" s="12"/>
      <c r="D6616" s="13" t="n">
        <f aca="false">IF(B6616&lt;5,Einstellungen!$B$3,Einstellungen!$B$4)</f>
        <v>29.13</v>
      </c>
      <c r="E6616" s="14" t="str">
        <f aca="false">IF(C6616="","",C6616*D6616/100)</f>
        <v/>
      </c>
      <c r="F6616" s="15" t="str">
        <f aca="false">IF(B6616&lt;5,"Go","Standard")</f>
        <v>Standard</v>
      </c>
    </row>
    <row r="6617" customFormat="false" ht="15" hidden="false" customHeight="true" outlineLevel="0" collapsed="false">
      <c r="A6617" s="10" t="n">
        <f aca="false">Einstellungen!$B$5+INT((ROW()-9)/24)</f>
        <v>46241</v>
      </c>
      <c r="B6617" s="11" t="n">
        <f aca="false">MOD(ROW()-9,24)</f>
        <v>8</v>
      </c>
      <c r="C6617" s="12"/>
      <c r="D6617" s="13" t="n">
        <f aca="false">IF(B6617&lt;5,Einstellungen!$B$3,Einstellungen!$B$4)</f>
        <v>29.13</v>
      </c>
      <c r="E6617" s="14" t="str">
        <f aca="false">IF(C6617="","",C6617*D6617/100)</f>
        <v/>
      </c>
      <c r="F6617" s="15" t="str">
        <f aca="false">IF(B6617&lt;5,"Go","Standard")</f>
        <v>Standard</v>
      </c>
    </row>
    <row r="6618" customFormat="false" ht="15" hidden="false" customHeight="true" outlineLevel="0" collapsed="false">
      <c r="A6618" s="10" t="n">
        <f aca="false">Einstellungen!$B$5+INT((ROW()-9)/24)</f>
        <v>46241</v>
      </c>
      <c r="B6618" s="11" t="n">
        <f aca="false">MOD(ROW()-9,24)</f>
        <v>9</v>
      </c>
      <c r="C6618" s="12"/>
      <c r="D6618" s="13" t="n">
        <f aca="false">IF(B6618&lt;5,Einstellungen!$B$3,Einstellungen!$B$4)</f>
        <v>29.13</v>
      </c>
      <c r="E6618" s="14" t="str">
        <f aca="false">IF(C6618="","",C6618*D6618/100)</f>
        <v/>
      </c>
      <c r="F6618" s="15" t="str">
        <f aca="false">IF(B6618&lt;5,"Go","Standard")</f>
        <v>Standard</v>
      </c>
    </row>
    <row r="6619" customFormat="false" ht="15" hidden="false" customHeight="true" outlineLevel="0" collapsed="false">
      <c r="A6619" s="10" t="n">
        <f aca="false">Einstellungen!$B$5+INT((ROW()-9)/24)</f>
        <v>46241</v>
      </c>
      <c r="B6619" s="11" t="n">
        <f aca="false">MOD(ROW()-9,24)</f>
        <v>10</v>
      </c>
      <c r="C6619" s="12"/>
      <c r="D6619" s="13" t="n">
        <f aca="false">IF(B6619&lt;5,Einstellungen!$B$3,Einstellungen!$B$4)</f>
        <v>29.13</v>
      </c>
      <c r="E6619" s="14" t="str">
        <f aca="false">IF(C6619="","",C6619*D6619/100)</f>
        <v/>
      </c>
      <c r="F6619" s="15" t="str">
        <f aca="false">IF(B6619&lt;5,"Go","Standard")</f>
        <v>Standard</v>
      </c>
    </row>
    <row r="6620" customFormat="false" ht="15" hidden="false" customHeight="true" outlineLevel="0" collapsed="false">
      <c r="A6620" s="10" t="n">
        <f aca="false">Einstellungen!$B$5+INT((ROW()-9)/24)</f>
        <v>46241</v>
      </c>
      <c r="B6620" s="11" t="n">
        <f aca="false">MOD(ROW()-9,24)</f>
        <v>11</v>
      </c>
      <c r="C6620" s="12"/>
      <c r="D6620" s="13" t="n">
        <f aca="false">IF(B6620&lt;5,Einstellungen!$B$3,Einstellungen!$B$4)</f>
        <v>29.13</v>
      </c>
      <c r="E6620" s="14" t="str">
        <f aca="false">IF(C6620="","",C6620*D6620/100)</f>
        <v/>
      </c>
      <c r="F6620" s="15" t="str">
        <f aca="false">IF(B6620&lt;5,"Go","Standard")</f>
        <v>Standard</v>
      </c>
    </row>
    <row r="6621" customFormat="false" ht="15" hidden="false" customHeight="true" outlineLevel="0" collapsed="false">
      <c r="A6621" s="10" t="n">
        <f aca="false">Einstellungen!$B$5+INT((ROW()-9)/24)</f>
        <v>46241</v>
      </c>
      <c r="B6621" s="11" t="n">
        <f aca="false">MOD(ROW()-9,24)</f>
        <v>12</v>
      </c>
      <c r="C6621" s="12"/>
      <c r="D6621" s="13" t="n">
        <f aca="false">IF(B6621&lt;5,Einstellungen!$B$3,Einstellungen!$B$4)</f>
        <v>29.13</v>
      </c>
      <c r="E6621" s="14" t="str">
        <f aca="false">IF(C6621="","",C6621*D6621/100)</f>
        <v/>
      </c>
      <c r="F6621" s="15" t="str">
        <f aca="false">IF(B6621&lt;5,"Go","Standard")</f>
        <v>Standard</v>
      </c>
    </row>
    <row r="6622" customFormat="false" ht="15" hidden="false" customHeight="true" outlineLevel="0" collapsed="false">
      <c r="A6622" s="10" t="n">
        <f aca="false">Einstellungen!$B$5+INT((ROW()-9)/24)</f>
        <v>46241</v>
      </c>
      <c r="B6622" s="11" t="n">
        <f aca="false">MOD(ROW()-9,24)</f>
        <v>13</v>
      </c>
      <c r="C6622" s="12"/>
      <c r="D6622" s="13" t="n">
        <f aca="false">IF(B6622&lt;5,Einstellungen!$B$3,Einstellungen!$B$4)</f>
        <v>29.13</v>
      </c>
      <c r="E6622" s="14" t="str">
        <f aca="false">IF(C6622="","",C6622*D6622/100)</f>
        <v/>
      </c>
      <c r="F6622" s="15" t="str">
        <f aca="false">IF(B6622&lt;5,"Go","Standard")</f>
        <v>Standard</v>
      </c>
    </row>
    <row r="6623" customFormat="false" ht="15" hidden="false" customHeight="true" outlineLevel="0" collapsed="false">
      <c r="A6623" s="10" t="n">
        <f aca="false">Einstellungen!$B$5+INT((ROW()-9)/24)</f>
        <v>46241</v>
      </c>
      <c r="B6623" s="11" t="n">
        <f aca="false">MOD(ROW()-9,24)</f>
        <v>14</v>
      </c>
      <c r="C6623" s="12"/>
      <c r="D6623" s="13" t="n">
        <f aca="false">IF(B6623&lt;5,Einstellungen!$B$3,Einstellungen!$B$4)</f>
        <v>29.13</v>
      </c>
      <c r="E6623" s="14" t="str">
        <f aca="false">IF(C6623="","",C6623*D6623/100)</f>
        <v/>
      </c>
      <c r="F6623" s="15" t="str">
        <f aca="false">IF(B6623&lt;5,"Go","Standard")</f>
        <v>Standard</v>
      </c>
    </row>
    <row r="6624" customFormat="false" ht="15" hidden="false" customHeight="true" outlineLevel="0" collapsed="false">
      <c r="A6624" s="10" t="n">
        <f aca="false">Einstellungen!$B$5+INT((ROW()-9)/24)</f>
        <v>46241</v>
      </c>
      <c r="B6624" s="11" t="n">
        <f aca="false">MOD(ROW()-9,24)</f>
        <v>15</v>
      </c>
      <c r="C6624" s="12"/>
      <c r="D6624" s="13" t="n">
        <f aca="false">IF(B6624&lt;5,Einstellungen!$B$3,Einstellungen!$B$4)</f>
        <v>29.13</v>
      </c>
      <c r="E6624" s="14" t="str">
        <f aca="false">IF(C6624="","",C6624*D6624/100)</f>
        <v/>
      </c>
      <c r="F6624" s="15" t="str">
        <f aca="false">IF(B6624&lt;5,"Go","Standard")</f>
        <v>Standard</v>
      </c>
    </row>
    <row r="6625" customFormat="false" ht="15" hidden="false" customHeight="true" outlineLevel="0" collapsed="false">
      <c r="A6625" s="10" t="n">
        <f aca="false">Einstellungen!$B$5+INT((ROW()-9)/24)</f>
        <v>46241</v>
      </c>
      <c r="B6625" s="11" t="n">
        <f aca="false">MOD(ROW()-9,24)</f>
        <v>16</v>
      </c>
      <c r="C6625" s="12"/>
      <c r="D6625" s="13" t="n">
        <f aca="false">IF(B6625&lt;5,Einstellungen!$B$3,Einstellungen!$B$4)</f>
        <v>29.13</v>
      </c>
      <c r="E6625" s="14" t="str">
        <f aca="false">IF(C6625="","",C6625*D6625/100)</f>
        <v/>
      </c>
      <c r="F6625" s="15" t="str">
        <f aca="false">IF(B6625&lt;5,"Go","Standard")</f>
        <v>Standard</v>
      </c>
    </row>
    <row r="6626" customFormat="false" ht="15" hidden="false" customHeight="true" outlineLevel="0" collapsed="false">
      <c r="A6626" s="10" t="n">
        <f aca="false">Einstellungen!$B$5+INT((ROW()-9)/24)</f>
        <v>46241</v>
      </c>
      <c r="B6626" s="11" t="n">
        <f aca="false">MOD(ROW()-9,24)</f>
        <v>17</v>
      </c>
      <c r="C6626" s="12"/>
      <c r="D6626" s="13" t="n">
        <f aca="false">IF(B6626&lt;5,Einstellungen!$B$3,Einstellungen!$B$4)</f>
        <v>29.13</v>
      </c>
      <c r="E6626" s="14" t="str">
        <f aca="false">IF(C6626="","",C6626*D6626/100)</f>
        <v/>
      </c>
      <c r="F6626" s="15" t="str">
        <f aca="false">IF(B6626&lt;5,"Go","Standard")</f>
        <v>Standard</v>
      </c>
    </row>
    <row r="6627" customFormat="false" ht="15" hidden="false" customHeight="true" outlineLevel="0" collapsed="false">
      <c r="A6627" s="10" t="n">
        <f aca="false">Einstellungen!$B$5+INT((ROW()-9)/24)</f>
        <v>46241</v>
      </c>
      <c r="B6627" s="11" t="n">
        <f aca="false">MOD(ROW()-9,24)</f>
        <v>18</v>
      </c>
      <c r="C6627" s="12"/>
      <c r="D6627" s="13" t="n">
        <f aca="false">IF(B6627&lt;5,Einstellungen!$B$3,Einstellungen!$B$4)</f>
        <v>29.13</v>
      </c>
      <c r="E6627" s="14" t="str">
        <f aca="false">IF(C6627="","",C6627*D6627/100)</f>
        <v/>
      </c>
      <c r="F6627" s="15" t="str">
        <f aca="false">IF(B6627&lt;5,"Go","Standard")</f>
        <v>Standard</v>
      </c>
    </row>
    <row r="6628" customFormat="false" ht="15" hidden="false" customHeight="true" outlineLevel="0" collapsed="false">
      <c r="A6628" s="10" t="n">
        <f aca="false">Einstellungen!$B$5+INT((ROW()-9)/24)</f>
        <v>46241</v>
      </c>
      <c r="B6628" s="11" t="n">
        <f aca="false">MOD(ROW()-9,24)</f>
        <v>19</v>
      </c>
      <c r="C6628" s="12"/>
      <c r="D6628" s="13" t="n">
        <f aca="false">IF(B6628&lt;5,Einstellungen!$B$3,Einstellungen!$B$4)</f>
        <v>29.13</v>
      </c>
      <c r="E6628" s="14" t="str">
        <f aca="false">IF(C6628="","",C6628*D6628/100)</f>
        <v/>
      </c>
      <c r="F6628" s="15" t="str">
        <f aca="false">IF(B6628&lt;5,"Go","Standard")</f>
        <v>Standard</v>
      </c>
    </row>
    <row r="6629" customFormat="false" ht="15" hidden="false" customHeight="true" outlineLevel="0" collapsed="false">
      <c r="A6629" s="10" t="n">
        <f aca="false">Einstellungen!$B$5+INT((ROW()-9)/24)</f>
        <v>46241</v>
      </c>
      <c r="B6629" s="11" t="n">
        <f aca="false">MOD(ROW()-9,24)</f>
        <v>20</v>
      </c>
      <c r="C6629" s="12"/>
      <c r="D6629" s="13" t="n">
        <f aca="false">IF(B6629&lt;5,Einstellungen!$B$3,Einstellungen!$B$4)</f>
        <v>29.13</v>
      </c>
      <c r="E6629" s="14" t="str">
        <f aca="false">IF(C6629="","",C6629*D6629/100)</f>
        <v/>
      </c>
      <c r="F6629" s="15" t="str">
        <f aca="false">IF(B6629&lt;5,"Go","Standard")</f>
        <v>Standard</v>
      </c>
    </row>
    <row r="6630" customFormat="false" ht="15" hidden="false" customHeight="true" outlineLevel="0" collapsed="false">
      <c r="A6630" s="10" t="n">
        <f aca="false">Einstellungen!$B$5+INT((ROW()-9)/24)</f>
        <v>46241</v>
      </c>
      <c r="B6630" s="11" t="n">
        <f aca="false">MOD(ROW()-9,24)</f>
        <v>21</v>
      </c>
      <c r="C6630" s="12"/>
      <c r="D6630" s="13" t="n">
        <f aca="false">IF(B6630&lt;5,Einstellungen!$B$3,Einstellungen!$B$4)</f>
        <v>29.13</v>
      </c>
      <c r="E6630" s="14" t="str">
        <f aca="false">IF(C6630="","",C6630*D6630/100)</f>
        <v/>
      </c>
      <c r="F6630" s="15" t="str">
        <f aca="false">IF(B6630&lt;5,"Go","Standard")</f>
        <v>Standard</v>
      </c>
    </row>
    <row r="6631" customFormat="false" ht="15" hidden="false" customHeight="true" outlineLevel="0" collapsed="false">
      <c r="A6631" s="10" t="n">
        <f aca="false">Einstellungen!$B$5+INT((ROW()-9)/24)</f>
        <v>46241</v>
      </c>
      <c r="B6631" s="11" t="n">
        <f aca="false">MOD(ROW()-9,24)</f>
        <v>22</v>
      </c>
      <c r="C6631" s="12"/>
      <c r="D6631" s="13" t="n">
        <f aca="false">IF(B6631&lt;5,Einstellungen!$B$3,Einstellungen!$B$4)</f>
        <v>29.13</v>
      </c>
      <c r="E6631" s="14" t="str">
        <f aca="false">IF(C6631="","",C6631*D6631/100)</f>
        <v/>
      </c>
      <c r="F6631" s="15" t="str">
        <f aca="false">IF(B6631&lt;5,"Go","Standard")</f>
        <v>Standard</v>
      </c>
    </row>
    <row r="6632" customFormat="false" ht="15" hidden="false" customHeight="true" outlineLevel="0" collapsed="false">
      <c r="A6632" s="10" t="n">
        <f aca="false">Einstellungen!$B$5+INT((ROW()-9)/24)</f>
        <v>46241</v>
      </c>
      <c r="B6632" s="11" t="n">
        <f aca="false">MOD(ROW()-9,24)</f>
        <v>23</v>
      </c>
      <c r="C6632" s="12"/>
      <c r="D6632" s="13" t="n">
        <f aca="false">IF(B6632&lt;5,Einstellungen!$B$3,Einstellungen!$B$4)</f>
        <v>29.13</v>
      </c>
      <c r="E6632" s="14" t="str">
        <f aca="false">IF(C6632="","",C6632*D6632/100)</f>
        <v/>
      </c>
      <c r="F6632" s="15" t="str">
        <f aca="false">IF(B6632&lt;5,"Go","Standard")</f>
        <v>Standard</v>
      </c>
    </row>
    <row r="6633" customFormat="false" ht="15" hidden="false" customHeight="true" outlineLevel="0" collapsed="false">
      <c r="A6633" s="10" t="n">
        <f aca="false">Einstellungen!$B$5+INT((ROW()-9)/24)</f>
        <v>46242</v>
      </c>
      <c r="B6633" s="11" t="n">
        <f aca="false">MOD(ROW()-9,24)</f>
        <v>0</v>
      </c>
      <c r="C6633" s="12"/>
      <c r="D6633" s="13" t="n">
        <f aca="false">IF(B6633&lt;5,Einstellungen!$B$3,Einstellungen!$B$4)</f>
        <v>15.92</v>
      </c>
      <c r="E6633" s="14" t="str">
        <f aca="false">IF(C6633="","",C6633*D6633/100)</f>
        <v/>
      </c>
      <c r="F6633" s="15" t="str">
        <f aca="false">IF(B6633&lt;5,"Go","Standard")</f>
        <v>Go</v>
      </c>
    </row>
    <row r="6634" customFormat="false" ht="15" hidden="false" customHeight="true" outlineLevel="0" collapsed="false">
      <c r="A6634" s="10" t="n">
        <f aca="false">Einstellungen!$B$5+INT((ROW()-9)/24)</f>
        <v>46242</v>
      </c>
      <c r="B6634" s="11" t="n">
        <f aca="false">MOD(ROW()-9,24)</f>
        <v>1</v>
      </c>
      <c r="C6634" s="12"/>
      <c r="D6634" s="13" t="n">
        <f aca="false">IF(B6634&lt;5,Einstellungen!$B$3,Einstellungen!$B$4)</f>
        <v>15.92</v>
      </c>
      <c r="E6634" s="14" t="str">
        <f aca="false">IF(C6634="","",C6634*D6634/100)</f>
        <v/>
      </c>
      <c r="F6634" s="15" t="str">
        <f aca="false">IF(B6634&lt;5,"Go","Standard")</f>
        <v>Go</v>
      </c>
    </row>
    <row r="6635" customFormat="false" ht="15" hidden="false" customHeight="true" outlineLevel="0" collapsed="false">
      <c r="A6635" s="10" t="n">
        <f aca="false">Einstellungen!$B$5+INT((ROW()-9)/24)</f>
        <v>46242</v>
      </c>
      <c r="B6635" s="11" t="n">
        <f aca="false">MOD(ROW()-9,24)</f>
        <v>2</v>
      </c>
      <c r="C6635" s="12"/>
      <c r="D6635" s="13" t="n">
        <f aca="false">IF(B6635&lt;5,Einstellungen!$B$3,Einstellungen!$B$4)</f>
        <v>15.92</v>
      </c>
      <c r="E6635" s="14" t="str">
        <f aca="false">IF(C6635="","",C6635*D6635/100)</f>
        <v/>
      </c>
      <c r="F6635" s="15" t="str">
        <f aca="false">IF(B6635&lt;5,"Go","Standard")</f>
        <v>Go</v>
      </c>
    </row>
    <row r="6636" customFormat="false" ht="15" hidden="false" customHeight="true" outlineLevel="0" collapsed="false">
      <c r="A6636" s="10" t="n">
        <f aca="false">Einstellungen!$B$5+INT((ROW()-9)/24)</f>
        <v>46242</v>
      </c>
      <c r="B6636" s="11" t="n">
        <f aca="false">MOD(ROW()-9,24)</f>
        <v>3</v>
      </c>
      <c r="C6636" s="12"/>
      <c r="D6636" s="13" t="n">
        <f aca="false">IF(B6636&lt;5,Einstellungen!$B$3,Einstellungen!$B$4)</f>
        <v>15.92</v>
      </c>
      <c r="E6636" s="14" t="str">
        <f aca="false">IF(C6636="","",C6636*D6636/100)</f>
        <v/>
      </c>
      <c r="F6636" s="15" t="str">
        <f aca="false">IF(B6636&lt;5,"Go","Standard")</f>
        <v>Go</v>
      </c>
    </row>
    <row r="6637" customFormat="false" ht="15" hidden="false" customHeight="true" outlineLevel="0" collapsed="false">
      <c r="A6637" s="10" t="n">
        <f aca="false">Einstellungen!$B$5+INT((ROW()-9)/24)</f>
        <v>46242</v>
      </c>
      <c r="B6637" s="11" t="n">
        <f aca="false">MOD(ROW()-9,24)</f>
        <v>4</v>
      </c>
      <c r="C6637" s="12"/>
      <c r="D6637" s="13" t="n">
        <f aca="false">IF(B6637&lt;5,Einstellungen!$B$3,Einstellungen!$B$4)</f>
        <v>15.92</v>
      </c>
      <c r="E6637" s="14" t="str">
        <f aca="false">IF(C6637="","",C6637*D6637/100)</f>
        <v/>
      </c>
      <c r="F6637" s="15" t="str">
        <f aca="false">IF(B6637&lt;5,"Go","Standard")</f>
        <v>Go</v>
      </c>
    </row>
    <row r="6638" customFormat="false" ht="15" hidden="false" customHeight="true" outlineLevel="0" collapsed="false">
      <c r="A6638" s="10" t="n">
        <f aca="false">Einstellungen!$B$5+INT((ROW()-9)/24)</f>
        <v>46242</v>
      </c>
      <c r="B6638" s="11" t="n">
        <f aca="false">MOD(ROW()-9,24)</f>
        <v>5</v>
      </c>
      <c r="C6638" s="12"/>
      <c r="D6638" s="13" t="n">
        <f aca="false">IF(B6638&lt;5,Einstellungen!$B$3,Einstellungen!$B$4)</f>
        <v>29.13</v>
      </c>
      <c r="E6638" s="14" t="str">
        <f aca="false">IF(C6638="","",C6638*D6638/100)</f>
        <v/>
      </c>
      <c r="F6638" s="15" t="str">
        <f aca="false">IF(B6638&lt;5,"Go","Standard")</f>
        <v>Standard</v>
      </c>
    </row>
    <row r="6639" customFormat="false" ht="15" hidden="false" customHeight="true" outlineLevel="0" collapsed="false">
      <c r="A6639" s="10" t="n">
        <f aca="false">Einstellungen!$B$5+INT((ROW()-9)/24)</f>
        <v>46242</v>
      </c>
      <c r="B6639" s="11" t="n">
        <f aca="false">MOD(ROW()-9,24)</f>
        <v>6</v>
      </c>
      <c r="C6639" s="12"/>
      <c r="D6639" s="13" t="n">
        <f aca="false">IF(B6639&lt;5,Einstellungen!$B$3,Einstellungen!$B$4)</f>
        <v>29.13</v>
      </c>
      <c r="E6639" s="14" t="str">
        <f aca="false">IF(C6639="","",C6639*D6639/100)</f>
        <v/>
      </c>
      <c r="F6639" s="15" t="str">
        <f aca="false">IF(B6639&lt;5,"Go","Standard")</f>
        <v>Standard</v>
      </c>
    </row>
    <row r="6640" customFormat="false" ht="15" hidden="false" customHeight="true" outlineLevel="0" collapsed="false">
      <c r="A6640" s="10" t="n">
        <f aca="false">Einstellungen!$B$5+INT((ROW()-9)/24)</f>
        <v>46242</v>
      </c>
      <c r="B6640" s="11" t="n">
        <f aca="false">MOD(ROW()-9,24)</f>
        <v>7</v>
      </c>
      <c r="C6640" s="12"/>
      <c r="D6640" s="13" t="n">
        <f aca="false">IF(B6640&lt;5,Einstellungen!$B$3,Einstellungen!$B$4)</f>
        <v>29.13</v>
      </c>
      <c r="E6640" s="14" t="str">
        <f aca="false">IF(C6640="","",C6640*D6640/100)</f>
        <v/>
      </c>
      <c r="F6640" s="15" t="str">
        <f aca="false">IF(B6640&lt;5,"Go","Standard")</f>
        <v>Standard</v>
      </c>
    </row>
    <row r="6641" customFormat="false" ht="15" hidden="false" customHeight="true" outlineLevel="0" collapsed="false">
      <c r="A6641" s="10" t="n">
        <f aca="false">Einstellungen!$B$5+INT((ROW()-9)/24)</f>
        <v>46242</v>
      </c>
      <c r="B6641" s="11" t="n">
        <f aca="false">MOD(ROW()-9,24)</f>
        <v>8</v>
      </c>
      <c r="C6641" s="12"/>
      <c r="D6641" s="13" t="n">
        <f aca="false">IF(B6641&lt;5,Einstellungen!$B$3,Einstellungen!$B$4)</f>
        <v>29.13</v>
      </c>
      <c r="E6641" s="14" t="str">
        <f aca="false">IF(C6641="","",C6641*D6641/100)</f>
        <v/>
      </c>
      <c r="F6641" s="15" t="str">
        <f aca="false">IF(B6641&lt;5,"Go","Standard")</f>
        <v>Standard</v>
      </c>
    </row>
    <row r="6642" customFormat="false" ht="15" hidden="false" customHeight="true" outlineLevel="0" collapsed="false">
      <c r="A6642" s="10" t="n">
        <f aca="false">Einstellungen!$B$5+INT((ROW()-9)/24)</f>
        <v>46242</v>
      </c>
      <c r="B6642" s="11" t="n">
        <f aca="false">MOD(ROW()-9,24)</f>
        <v>9</v>
      </c>
      <c r="C6642" s="12"/>
      <c r="D6642" s="13" t="n">
        <f aca="false">IF(B6642&lt;5,Einstellungen!$B$3,Einstellungen!$B$4)</f>
        <v>29.13</v>
      </c>
      <c r="E6642" s="14" t="str">
        <f aca="false">IF(C6642="","",C6642*D6642/100)</f>
        <v/>
      </c>
      <c r="F6642" s="15" t="str">
        <f aca="false">IF(B6642&lt;5,"Go","Standard")</f>
        <v>Standard</v>
      </c>
    </row>
    <row r="6643" customFormat="false" ht="15" hidden="false" customHeight="true" outlineLevel="0" collapsed="false">
      <c r="A6643" s="10" t="n">
        <f aca="false">Einstellungen!$B$5+INT((ROW()-9)/24)</f>
        <v>46242</v>
      </c>
      <c r="B6643" s="11" t="n">
        <f aca="false">MOD(ROW()-9,24)</f>
        <v>10</v>
      </c>
      <c r="C6643" s="12"/>
      <c r="D6643" s="13" t="n">
        <f aca="false">IF(B6643&lt;5,Einstellungen!$B$3,Einstellungen!$B$4)</f>
        <v>29.13</v>
      </c>
      <c r="E6643" s="14" t="str">
        <f aca="false">IF(C6643="","",C6643*D6643/100)</f>
        <v/>
      </c>
      <c r="F6643" s="15" t="str">
        <f aca="false">IF(B6643&lt;5,"Go","Standard")</f>
        <v>Standard</v>
      </c>
    </row>
    <row r="6644" customFormat="false" ht="15" hidden="false" customHeight="true" outlineLevel="0" collapsed="false">
      <c r="A6644" s="10" t="n">
        <f aca="false">Einstellungen!$B$5+INT((ROW()-9)/24)</f>
        <v>46242</v>
      </c>
      <c r="B6644" s="11" t="n">
        <f aca="false">MOD(ROW()-9,24)</f>
        <v>11</v>
      </c>
      <c r="C6644" s="12"/>
      <c r="D6644" s="13" t="n">
        <f aca="false">IF(B6644&lt;5,Einstellungen!$B$3,Einstellungen!$B$4)</f>
        <v>29.13</v>
      </c>
      <c r="E6644" s="14" t="str">
        <f aca="false">IF(C6644="","",C6644*D6644/100)</f>
        <v/>
      </c>
      <c r="F6644" s="15" t="str">
        <f aca="false">IF(B6644&lt;5,"Go","Standard")</f>
        <v>Standard</v>
      </c>
    </row>
    <row r="6645" customFormat="false" ht="15" hidden="false" customHeight="true" outlineLevel="0" collapsed="false">
      <c r="A6645" s="10" t="n">
        <f aca="false">Einstellungen!$B$5+INT((ROW()-9)/24)</f>
        <v>46242</v>
      </c>
      <c r="B6645" s="11" t="n">
        <f aca="false">MOD(ROW()-9,24)</f>
        <v>12</v>
      </c>
      <c r="C6645" s="12"/>
      <c r="D6645" s="13" t="n">
        <f aca="false">IF(B6645&lt;5,Einstellungen!$B$3,Einstellungen!$B$4)</f>
        <v>29.13</v>
      </c>
      <c r="E6645" s="14" t="str">
        <f aca="false">IF(C6645="","",C6645*D6645/100)</f>
        <v/>
      </c>
      <c r="F6645" s="15" t="str">
        <f aca="false">IF(B6645&lt;5,"Go","Standard")</f>
        <v>Standard</v>
      </c>
    </row>
    <row r="6646" customFormat="false" ht="15" hidden="false" customHeight="true" outlineLevel="0" collapsed="false">
      <c r="A6646" s="10" t="n">
        <f aca="false">Einstellungen!$B$5+INT((ROW()-9)/24)</f>
        <v>46242</v>
      </c>
      <c r="B6646" s="11" t="n">
        <f aca="false">MOD(ROW()-9,24)</f>
        <v>13</v>
      </c>
      <c r="C6646" s="12"/>
      <c r="D6646" s="13" t="n">
        <f aca="false">IF(B6646&lt;5,Einstellungen!$B$3,Einstellungen!$B$4)</f>
        <v>29.13</v>
      </c>
      <c r="E6646" s="14" t="str">
        <f aca="false">IF(C6646="","",C6646*D6646/100)</f>
        <v/>
      </c>
      <c r="F6646" s="15" t="str">
        <f aca="false">IF(B6646&lt;5,"Go","Standard")</f>
        <v>Standard</v>
      </c>
    </row>
    <row r="6647" customFormat="false" ht="15" hidden="false" customHeight="true" outlineLevel="0" collapsed="false">
      <c r="A6647" s="10" t="n">
        <f aca="false">Einstellungen!$B$5+INT((ROW()-9)/24)</f>
        <v>46242</v>
      </c>
      <c r="B6647" s="11" t="n">
        <f aca="false">MOD(ROW()-9,24)</f>
        <v>14</v>
      </c>
      <c r="C6647" s="12"/>
      <c r="D6647" s="13" t="n">
        <f aca="false">IF(B6647&lt;5,Einstellungen!$B$3,Einstellungen!$B$4)</f>
        <v>29.13</v>
      </c>
      <c r="E6647" s="14" t="str">
        <f aca="false">IF(C6647="","",C6647*D6647/100)</f>
        <v/>
      </c>
      <c r="F6647" s="15" t="str">
        <f aca="false">IF(B6647&lt;5,"Go","Standard")</f>
        <v>Standard</v>
      </c>
    </row>
    <row r="6648" customFormat="false" ht="15" hidden="false" customHeight="true" outlineLevel="0" collapsed="false">
      <c r="A6648" s="10" t="n">
        <f aca="false">Einstellungen!$B$5+INT((ROW()-9)/24)</f>
        <v>46242</v>
      </c>
      <c r="B6648" s="11" t="n">
        <f aca="false">MOD(ROW()-9,24)</f>
        <v>15</v>
      </c>
      <c r="C6648" s="12"/>
      <c r="D6648" s="13" t="n">
        <f aca="false">IF(B6648&lt;5,Einstellungen!$B$3,Einstellungen!$B$4)</f>
        <v>29.13</v>
      </c>
      <c r="E6648" s="14" t="str">
        <f aca="false">IF(C6648="","",C6648*D6648/100)</f>
        <v/>
      </c>
      <c r="F6648" s="15" t="str">
        <f aca="false">IF(B6648&lt;5,"Go","Standard")</f>
        <v>Standard</v>
      </c>
    </row>
    <row r="6649" customFormat="false" ht="15" hidden="false" customHeight="true" outlineLevel="0" collapsed="false">
      <c r="A6649" s="10" t="n">
        <f aca="false">Einstellungen!$B$5+INT((ROW()-9)/24)</f>
        <v>46242</v>
      </c>
      <c r="B6649" s="11" t="n">
        <f aca="false">MOD(ROW()-9,24)</f>
        <v>16</v>
      </c>
      <c r="C6649" s="12"/>
      <c r="D6649" s="13" t="n">
        <f aca="false">IF(B6649&lt;5,Einstellungen!$B$3,Einstellungen!$B$4)</f>
        <v>29.13</v>
      </c>
      <c r="E6649" s="14" t="str">
        <f aca="false">IF(C6649="","",C6649*D6649/100)</f>
        <v/>
      </c>
      <c r="F6649" s="15" t="str">
        <f aca="false">IF(B6649&lt;5,"Go","Standard")</f>
        <v>Standard</v>
      </c>
    </row>
    <row r="6650" customFormat="false" ht="15" hidden="false" customHeight="true" outlineLevel="0" collapsed="false">
      <c r="A6650" s="10" t="n">
        <f aca="false">Einstellungen!$B$5+INT((ROW()-9)/24)</f>
        <v>46242</v>
      </c>
      <c r="B6650" s="11" t="n">
        <f aca="false">MOD(ROW()-9,24)</f>
        <v>17</v>
      </c>
      <c r="C6650" s="12"/>
      <c r="D6650" s="13" t="n">
        <f aca="false">IF(B6650&lt;5,Einstellungen!$B$3,Einstellungen!$B$4)</f>
        <v>29.13</v>
      </c>
      <c r="E6650" s="14" t="str">
        <f aca="false">IF(C6650="","",C6650*D6650/100)</f>
        <v/>
      </c>
      <c r="F6650" s="15" t="str">
        <f aca="false">IF(B6650&lt;5,"Go","Standard")</f>
        <v>Standard</v>
      </c>
    </row>
    <row r="6651" customFormat="false" ht="15" hidden="false" customHeight="true" outlineLevel="0" collapsed="false">
      <c r="A6651" s="10" t="n">
        <f aca="false">Einstellungen!$B$5+INT((ROW()-9)/24)</f>
        <v>46242</v>
      </c>
      <c r="B6651" s="11" t="n">
        <f aca="false">MOD(ROW()-9,24)</f>
        <v>18</v>
      </c>
      <c r="C6651" s="12"/>
      <c r="D6651" s="13" t="n">
        <f aca="false">IF(B6651&lt;5,Einstellungen!$B$3,Einstellungen!$B$4)</f>
        <v>29.13</v>
      </c>
      <c r="E6651" s="14" t="str">
        <f aca="false">IF(C6651="","",C6651*D6651/100)</f>
        <v/>
      </c>
      <c r="F6651" s="15" t="str">
        <f aca="false">IF(B6651&lt;5,"Go","Standard")</f>
        <v>Standard</v>
      </c>
    </row>
    <row r="6652" customFormat="false" ht="15" hidden="false" customHeight="true" outlineLevel="0" collapsed="false">
      <c r="A6652" s="10" t="n">
        <f aca="false">Einstellungen!$B$5+INT((ROW()-9)/24)</f>
        <v>46242</v>
      </c>
      <c r="B6652" s="11" t="n">
        <f aca="false">MOD(ROW()-9,24)</f>
        <v>19</v>
      </c>
      <c r="C6652" s="12"/>
      <c r="D6652" s="13" t="n">
        <f aca="false">IF(B6652&lt;5,Einstellungen!$B$3,Einstellungen!$B$4)</f>
        <v>29.13</v>
      </c>
      <c r="E6652" s="14" t="str">
        <f aca="false">IF(C6652="","",C6652*D6652/100)</f>
        <v/>
      </c>
      <c r="F6652" s="15" t="str">
        <f aca="false">IF(B6652&lt;5,"Go","Standard")</f>
        <v>Standard</v>
      </c>
    </row>
    <row r="6653" customFormat="false" ht="15" hidden="false" customHeight="true" outlineLevel="0" collapsed="false">
      <c r="A6653" s="10" t="n">
        <f aca="false">Einstellungen!$B$5+INT((ROW()-9)/24)</f>
        <v>46242</v>
      </c>
      <c r="B6653" s="11" t="n">
        <f aca="false">MOD(ROW()-9,24)</f>
        <v>20</v>
      </c>
      <c r="C6653" s="12"/>
      <c r="D6653" s="13" t="n">
        <f aca="false">IF(B6653&lt;5,Einstellungen!$B$3,Einstellungen!$B$4)</f>
        <v>29.13</v>
      </c>
      <c r="E6653" s="14" t="str">
        <f aca="false">IF(C6653="","",C6653*D6653/100)</f>
        <v/>
      </c>
      <c r="F6653" s="15" t="str">
        <f aca="false">IF(B6653&lt;5,"Go","Standard")</f>
        <v>Standard</v>
      </c>
    </row>
    <row r="6654" customFormat="false" ht="15" hidden="false" customHeight="true" outlineLevel="0" collapsed="false">
      <c r="A6654" s="10" t="n">
        <f aca="false">Einstellungen!$B$5+INT((ROW()-9)/24)</f>
        <v>46242</v>
      </c>
      <c r="B6654" s="11" t="n">
        <f aca="false">MOD(ROW()-9,24)</f>
        <v>21</v>
      </c>
      <c r="C6654" s="12"/>
      <c r="D6654" s="13" t="n">
        <f aca="false">IF(B6654&lt;5,Einstellungen!$B$3,Einstellungen!$B$4)</f>
        <v>29.13</v>
      </c>
      <c r="E6654" s="14" t="str">
        <f aca="false">IF(C6654="","",C6654*D6654/100)</f>
        <v/>
      </c>
      <c r="F6654" s="15" t="str">
        <f aca="false">IF(B6654&lt;5,"Go","Standard")</f>
        <v>Standard</v>
      </c>
    </row>
    <row r="6655" customFormat="false" ht="15" hidden="false" customHeight="true" outlineLevel="0" collapsed="false">
      <c r="A6655" s="10" t="n">
        <f aca="false">Einstellungen!$B$5+INT((ROW()-9)/24)</f>
        <v>46242</v>
      </c>
      <c r="B6655" s="11" t="n">
        <f aca="false">MOD(ROW()-9,24)</f>
        <v>22</v>
      </c>
      <c r="C6655" s="12"/>
      <c r="D6655" s="13" t="n">
        <f aca="false">IF(B6655&lt;5,Einstellungen!$B$3,Einstellungen!$B$4)</f>
        <v>29.13</v>
      </c>
      <c r="E6655" s="14" t="str">
        <f aca="false">IF(C6655="","",C6655*D6655/100)</f>
        <v/>
      </c>
      <c r="F6655" s="15" t="str">
        <f aca="false">IF(B6655&lt;5,"Go","Standard")</f>
        <v>Standard</v>
      </c>
    </row>
    <row r="6656" customFormat="false" ht="15" hidden="false" customHeight="true" outlineLevel="0" collapsed="false">
      <c r="A6656" s="10" t="n">
        <f aca="false">Einstellungen!$B$5+INT((ROW()-9)/24)</f>
        <v>46242</v>
      </c>
      <c r="B6656" s="11" t="n">
        <f aca="false">MOD(ROW()-9,24)</f>
        <v>23</v>
      </c>
      <c r="C6656" s="12"/>
      <c r="D6656" s="13" t="n">
        <f aca="false">IF(B6656&lt;5,Einstellungen!$B$3,Einstellungen!$B$4)</f>
        <v>29.13</v>
      </c>
      <c r="E6656" s="14" t="str">
        <f aca="false">IF(C6656="","",C6656*D6656/100)</f>
        <v/>
      </c>
      <c r="F6656" s="15" t="str">
        <f aca="false">IF(B6656&lt;5,"Go","Standard")</f>
        <v>Standard</v>
      </c>
    </row>
    <row r="6657" customFormat="false" ht="15" hidden="false" customHeight="true" outlineLevel="0" collapsed="false">
      <c r="A6657" s="10" t="n">
        <f aca="false">Einstellungen!$B$5+INT((ROW()-9)/24)</f>
        <v>46243</v>
      </c>
      <c r="B6657" s="11" t="n">
        <f aca="false">MOD(ROW()-9,24)</f>
        <v>0</v>
      </c>
      <c r="C6657" s="12"/>
      <c r="D6657" s="13" t="n">
        <f aca="false">IF(B6657&lt;5,Einstellungen!$B$3,Einstellungen!$B$4)</f>
        <v>15.92</v>
      </c>
      <c r="E6657" s="14" t="str">
        <f aca="false">IF(C6657="","",C6657*D6657/100)</f>
        <v/>
      </c>
      <c r="F6657" s="15" t="str">
        <f aca="false">IF(B6657&lt;5,"Go","Standard")</f>
        <v>Go</v>
      </c>
    </row>
    <row r="6658" customFormat="false" ht="15" hidden="false" customHeight="true" outlineLevel="0" collapsed="false">
      <c r="A6658" s="10" t="n">
        <f aca="false">Einstellungen!$B$5+INT((ROW()-9)/24)</f>
        <v>46243</v>
      </c>
      <c r="B6658" s="11" t="n">
        <f aca="false">MOD(ROW()-9,24)</f>
        <v>1</v>
      </c>
      <c r="C6658" s="12"/>
      <c r="D6658" s="13" t="n">
        <f aca="false">IF(B6658&lt;5,Einstellungen!$B$3,Einstellungen!$B$4)</f>
        <v>15.92</v>
      </c>
      <c r="E6658" s="14" t="str">
        <f aca="false">IF(C6658="","",C6658*D6658/100)</f>
        <v/>
      </c>
      <c r="F6658" s="15" t="str">
        <f aca="false">IF(B6658&lt;5,"Go","Standard")</f>
        <v>Go</v>
      </c>
    </row>
    <row r="6659" customFormat="false" ht="15" hidden="false" customHeight="true" outlineLevel="0" collapsed="false">
      <c r="A6659" s="10" t="n">
        <f aca="false">Einstellungen!$B$5+INT((ROW()-9)/24)</f>
        <v>46243</v>
      </c>
      <c r="B6659" s="11" t="n">
        <f aca="false">MOD(ROW()-9,24)</f>
        <v>2</v>
      </c>
      <c r="C6659" s="12"/>
      <c r="D6659" s="13" t="n">
        <f aca="false">IF(B6659&lt;5,Einstellungen!$B$3,Einstellungen!$B$4)</f>
        <v>15.92</v>
      </c>
      <c r="E6659" s="14" t="str">
        <f aca="false">IF(C6659="","",C6659*D6659/100)</f>
        <v/>
      </c>
      <c r="F6659" s="15" t="str">
        <f aca="false">IF(B6659&lt;5,"Go","Standard")</f>
        <v>Go</v>
      </c>
    </row>
    <row r="6660" customFormat="false" ht="15" hidden="false" customHeight="true" outlineLevel="0" collapsed="false">
      <c r="A6660" s="10" t="n">
        <f aca="false">Einstellungen!$B$5+INT((ROW()-9)/24)</f>
        <v>46243</v>
      </c>
      <c r="B6660" s="11" t="n">
        <f aca="false">MOD(ROW()-9,24)</f>
        <v>3</v>
      </c>
      <c r="C6660" s="12"/>
      <c r="D6660" s="13" t="n">
        <f aca="false">IF(B6660&lt;5,Einstellungen!$B$3,Einstellungen!$B$4)</f>
        <v>15.92</v>
      </c>
      <c r="E6660" s="14" t="str">
        <f aca="false">IF(C6660="","",C6660*D6660/100)</f>
        <v/>
      </c>
      <c r="F6660" s="15" t="str">
        <f aca="false">IF(B6660&lt;5,"Go","Standard")</f>
        <v>Go</v>
      </c>
    </row>
    <row r="6661" customFormat="false" ht="15" hidden="false" customHeight="true" outlineLevel="0" collapsed="false">
      <c r="A6661" s="10" t="n">
        <f aca="false">Einstellungen!$B$5+INT((ROW()-9)/24)</f>
        <v>46243</v>
      </c>
      <c r="B6661" s="11" t="n">
        <f aca="false">MOD(ROW()-9,24)</f>
        <v>4</v>
      </c>
      <c r="C6661" s="12"/>
      <c r="D6661" s="13" t="n">
        <f aca="false">IF(B6661&lt;5,Einstellungen!$B$3,Einstellungen!$B$4)</f>
        <v>15.92</v>
      </c>
      <c r="E6661" s="14" t="str">
        <f aca="false">IF(C6661="","",C6661*D6661/100)</f>
        <v/>
      </c>
      <c r="F6661" s="15" t="str">
        <f aca="false">IF(B6661&lt;5,"Go","Standard")</f>
        <v>Go</v>
      </c>
    </row>
    <row r="6662" customFormat="false" ht="15" hidden="false" customHeight="true" outlineLevel="0" collapsed="false">
      <c r="A6662" s="10" t="n">
        <f aca="false">Einstellungen!$B$5+INT((ROW()-9)/24)</f>
        <v>46243</v>
      </c>
      <c r="B6662" s="11" t="n">
        <f aca="false">MOD(ROW()-9,24)</f>
        <v>5</v>
      </c>
      <c r="C6662" s="12"/>
      <c r="D6662" s="13" t="n">
        <f aca="false">IF(B6662&lt;5,Einstellungen!$B$3,Einstellungen!$B$4)</f>
        <v>29.13</v>
      </c>
      <c r="E6662" s="14" t="str">
        <f aca="false">IF(C6662="","",C6662*D6662/100)</f>
        <v/>
      </c>
      <c r="F6662" s="15" t="str">
        <f aca="false">IF(B6662&lt;5,"Go","Standard")</f>
        <v>Standard</v>
      </c>
    </row>
    <row r="6663" customFormat="false" ht="15" hidden="false" customHeight="true" outlineLevel="0" collapsed="false">
      <c r="A6663" s="10" t="n">
        <f aca="false">Einstellungen!$B$5+INT((ROW()-9)/24)</f>
        <v>46243</v>
      </c>
      <c r="B6663" s="11" t="n">
        <f aca="false">MOD(ROW()-9,24)</f>
        <v>6</v>
      </c>
      <c r="C6663" s="12"/>
      <c r="D6663" s="13" t="n">
        <f aca="false">IF(B6663&lt;5,Einstellungen!$B$3,Einstellungen!$B$4)</f>
        <v>29.13</v>
      </c>
      <c r="E6663" s="14" t="str">
        <f aca="false">IF(C6663="","",C6663*D6663/100)</f>
        <v/>
      </c>
      <c r="F6663" s="15" t="str">
        <f aca="false">IF(B6663&lt;5,"Go","Standard")</f>
        <v>Standard</v>
      </c>
    </row>
    <row r="6664" customFormat="false" ht="15" hidden="false" customHeight="true" outlineLevel="0" collapsed="false">
      <c r="A6664" s="10" t="n">
        <f aca="false">Einstellungen!$B$5+INT((ROW()-9)/24)</f>
        <v>46243</v>
      </c>
      <c r="B6664" s="11" t="n">
        <f aca="false">MOD(ROW()-9,24)</f>
        <v>7</v>
      </c>
      <c r="C6664" s="12"/>
      <c r="D6664" s="13" t="n">
        <f aca="false">IF(B6664&lt;5,Einstellungen!$B$3,Einstellungen!$B$4)</f>
        <v>29.13</v>
      </c>
      <c r="E6664" s="14" t="str">
        <f aca="false">IF(C6664="","",C6664*D6664/100)</f>
        <v/>
      </c>
      <c r="F6664" s="15" t="str">
        <f aca="false">IF(B6664&lt;5,"Go","Standard")</f>
        <v>Standard</v>
      </c>
    </row>
    <row r="6665" customFormat="false" ht="15" hidden="false" customHeight="true" outlineLevel="0" collapsed="false">
      <c r="A6665" s="10" t="n">
        <f aca="false">Einstellungen!$B$5+INT((ROW()-9)/24)</f>
        <v>46243</v>
      </c>
      <c r="B6665" s="11" t="n">
        <f aca="false">MOD(ROW()-9,24)</f>
        <v>8</v>
      </c>
      <c r="C6665" s="12"/>
      <c r="D6665" s="13" t="n">
        <f aca="false">IF(B6665&lt;5,Einstellungen!$B$3,Einstellungen!$B$4)</f>
        <v>29.13</v>
      </c>
      <c r="E6665" s="14" t="str">
        <f aca="false">IF(C6665="","",C6665*D6665/100)</f>
        <v/>
      </c>
      <c r="F6665" s="15" t="str">
        <f aca="false">IF(B6665&lt;5,"Go","Standard")</f>
        <v>Standard</v>
      </c>
    </row>
    <row r="6666" customFormat="false" ht="15" hidden="false" customHeight="true" outlineLevel="0" collapsed="false">
      <c r="A6666" s="10" t="n">
        <f aca="false">Einstellungen!$B$5+INT((ROW()-9)/24)</f>
        <v>46243</v>
      </c>
      <c r="B6666" s="11" t="n">
        <f aca="false">MOD(ROW()-9,24)</f>
        <v>9</v>
      </c>
      <c r="C6666" s="12"/>
      <c r="D6666" s="13" t="n">
        <f aca="false">IF(B6666&lt;5,Einstellungen!$B$3,Einstellungen!$B$4)</f>
        <v>29.13</v>
      </c>
      <c r="E6666" s="14" t="str">
        <f aca="false">IF(C6666="","",C6666*D6666/100)</f>
        <v/>
      </c>
      <c r="F6666" s="15" t="str">
        <f aca="false">IF(B6666&lt;5,"Go","Standard")</f>
        <v>Standard</v>
      </c>
    </row>
    <row r="6667" customFormat="false" ht="15" hidden="false" customHeight="true" outlineLevel="0" collapsed="false">
      <c r="A6667" s="10" t="n">
        <f aca="false">Einstellungen!$B$5+INT((ROW()-9)/24)</f>
        <v>46243</v>
      </c>
      <c r="B6667" s="11" t="n">
        <f aca="false">MOD(ROW()-9,24)</f>
        <v>10</v>
      </c>
      <c r="C6667" s="12"/>
      <c r="D6667" s="13" t="n">
        <f aca="false">IF(B6667&lt;5,Einstellungen!$B$3,Einstellungen!$B$4)</f>
        <v>29.13</v>
      </c>
      <c r="E6667" s="14" t="str">
        <f aca="false">IF(C6667="","",C6667*D6667/100)</f>
        <v/>
      </c>
      <c r="F6667" s="15" t="str">
        <f aca="false">IF(B6667&lt;5,"Go","Standard")</f>
        <v>Standard</v>
      </c>
    </row>
    <row r="6668" customFormat="false" ht="15" hidden="false" customHeight="true" outlineLevel="0" collapsed="false">
      <c r="A6668" s="10" t="n">
        <f aca="false">Einstellungen!$B$5+INT((ROW()-9)/24)</f>
        <v>46243</v>
      </c>
      <c r="B6668" s="11" t="n">
        <f aca="false">MOD(ROW()-9,24)</f>
        <v>11</v>
      </c>
      <c r="C6668" s="12"/>
      <c r="D6668" s="13" t="n">
        <f aca="false">IF(B6668&lt;5,Einstellungen!$B$3,Einstellungen!$B$4)</f>
        <v>29.13</v>
      </c>
      <c r="E6668" s="14" t="str">
        <f aca="false">IF(C6668="","",C6668*D6668/100)</f>
        <v/>
      </c>
      <c r="F6668" s="15" t="str">
        <f aca="false">IF(B6668&lt;5,"Go","Standard")</f>
        <v>Standard</v>
      </c>
    </row>
    <row r="6669" customFormat="false" ht="15" hidden="false" customHeight="true" outlineLevel="0" collapsed="false">
      <c r="A6669" s="10" t="n">
        <f aca="false">Einstellungen!$B$5+INT((ROW()-9)/24)</f>
        <v>46243</v>
      </c>
      <c r="B6669" s="11" t="n">
        <f aca="false">MOD(ROW()-9,24)</f>
        <v>12</v>
      </c>
      <c r="C6669" s="12"/>
      <c r="D6669" s="13" t="n">
        <f aca="false">IF(B6669&lt;5,Einstellungen!$B$3,Einstellungen!$B$4)</f>
        <v>29.13</v>
      </c>
      <c r="E6669" s="14" t="str">
        <f aca="false">IF(C6669="","",C6669*D6669/100)</f>
        <v/>
      </c>
      <c r="F6669" s="15" t="str">
        <f aca="false">IF(B6669&lt;5,"Go","Standard")</f>
        <v>Standard</v>
      </c>
    </row>
    <row r="6670" customFormat="false" ht="15" hidden="false" customHeight="true" outlineLevel="0" collapsed="false">
      <c r="A6670" s="10" t="n">
        <f aca="false">Einstellungen!$B$5+INT((ROW()-9)/24)</f>
        <v>46243</v>
      </c>
      <c r="B6670" s="11" t="n">
        <f aca="false">MOD(ROW()-9,24)</f>
        <v>13</v>
      </c>
      <c r="C6670" s="12"/>
      <c r="D6670" s="13" t="n">
        <f aca="false">IF(B6670&lt;5,Einstellungen!$B$3,Einstellungen!$B$4)</f>
        <v>29.13</v>
      </c>
      <c r="E6670" s="14" t="str">
        <f aca="false">IF(C6670="","",C6670*D6670/100)</f>
        <v/>
      </c>
      <c r="F6670" s="15" t="str">
        <f aca="false">IF(B6670&lt;5,"Go","Standard")</f>
        <v>Standard</v>
      </c>
    </row>
    <row r="6671" customFormat="false" ht="15" hidden="false" customHeight="true" outlineLevel="0" collapsed="false">
      <c r="A6671" s="10" t="n">
        <f aca="false">Einstellungen!$B$5+INT((ROW()-9)/24)</f>
        <v>46243</v>
      </c>
      <c r="B6671" s="11" t="n">
        <f aca="false">MOD(ROW()-9,24)</f>
        <v>14</v>
      </c>
      <c r="C6671" s="12"/>
      <c r="D6671" s="13" t="n">
        <f aca="false">IF(B6671&lt;5,Einstellungen!$B$3,Einstellungen!$B$4)</f>
        <v>29.13</v>
      </c>
      <c r="E6671" s="14" t="str">
        <f aca="false">IF(C6671="","",C6671*D6671/100)</f>
        <v/>
      </c>
      <c r="F6671" s="15" t="str">
        <f aca="false">IF(B6671&lt;5,"Go","Standard")</f>
        <v>Standard</v>
      </c>
    </row>
    <row r="6672" customFormat="false" ht="15" hidden="false" customHeight="true" outlineLevel="0" collapsed="false">
      <c r="A6672" s="10" t="n">
        <f aca="false">Einstellungen!$B$5+INT((ROW()-9)/24)</f>
        <v>46243</v>
      </c>
      <c r="B6672" s="11" t="n">
        <f aca="false">MOD(ROW()-9,24)</f>
        <v>15</v>
      </c>
      <c r="C6672" s="12"/>
      <c r="D6672" s="13" t="n">
        <f aca="false">IF(B6672&lt;5,Einstellungen!$B$3,Einstellungen!$B$4)</f>
        <v>29.13</v>
      </c>
      <c r="E6672" s="14" t="str">
        <f aca="false">IF(C6672="","",C6672*D6672/100)</f>
        <v/>
      </c>
      <c r="F6672" s="15" t="str">
        <f aca="false">IF(B6672&lt;5,"Go","Standard")</f>
        <v>Standard</v>
      </c>
    </row>
    <row r="6673" customFormat="false" ht="15" hidden="false" customHeight="true" outlineLevel="0" collapsed="false">
      <c r="A6673" s="10" t="n">
        <f aca="false">Einstellungen!$B$5+INT((ROW()-9)/24)</f>
        <v>46243</v>
      </c>
      <c r="B6673" s="11" t="n">
        <f aca="false">MOD(ROW()-9,24)</f>
        <v>16</v>
      </c>
      <c r="C6673" s="12"/>
      <c r="D6673" s="13" t="n">
        <f aca="false">IF(B6673&lt;5,Einstellungen!$B$3,Einstellungen!$B$4)</f>
        <v>29.13</v>
      </c>
      <c r="E6673" s="14" t="str">
        <f aca="false">IF(C6673="","",C6673*D6673/100)</f>
        <v/>
      </c>
      <c r="F6673" s="15" t="str">
        <f aca="false">IF(B6673&lt;5,"Go","Standard")</f>
        <v>Standard</v>
      </c>
    </row>
    <row r="6674" customFormat="false" ht="15" hidden="false" customHeight="true" outlineLevel="0" collapsed="false">
      <c r="A6674" s="10" t="n">
        <f aca="false">Einstellungen!$B$5+INT((ROW()-9)/24)</f>
        <v>46243</v>
      </c>
      <c r="B6674" s="11" t="n">
        <f aca="false">MOD(ROW()-9,24)</f>
        <v>17</v>
      </c>
      <c r="C6674" s="12"/>
      <c r="D6674" s="13" t="n">
        <f aca="false">IF(B6674&lt;5,Einstellungen!$B$3,Einstellungen!$B$4)</f>
        <v>29.13</v>
      </c>
      <c r="E6674" s="14" t="str">
        <f aca="false">IF(C6674="","",C6674*D6674/100)</f>
        <v/>
      </c>
      <c r="F6674" s="15" t="str">
        <f aca="false">IF(B6674&lt;5,"Go","Standard")</f>
        <v>Standard</v>
      </c>
    </row>
    <row r="6675" customFormat="false" ht="15" hidden="false" customHeight="true" outlineLevel="0" collapsed="false">
      <c r="A6675" s="10" t="n">
        <f aca="false">Einstellungen!$B$5+INT((ROW()-9)/24)</f>
        <v>46243</v>
      </c>
      <c r="B6675" s="11" t="n">
        <f aca="false">MOD(ROW()-9,24)</f>
        <v>18</v>
      </c>
      <c r="C6675" s="12"/>
      <c r="D6675" s="13" t="n">
        <f aca="false">IF(B6675&lt;5,Einstellungen!$B$3,Einstellungen!$B$4)</f>
        <v>29.13</v>
      </c>
      <c r="E6675" s="14" t="str">
        <f aca="false">IF(C6675="","",C6675*D6675/100)</f>
        <v/>
      </c>
      <c r="F6675" s="15" t="str">
        <f aca="false">IF(B6675&lt;5,"Go","Standard")</f>
        <v>Standard</v>
      </c>
    </row>
    <row r="6676" customFormat="false" ht="15" hidden="false" customHeight="true" outlineLevel="0" collapsed="false">
      <c r="A6676" s="10" t="n">
        <f aca="false">Einstellungen!$B$5+INT((ROW()-9)/24)</f>
        <v>46243</v>
      </c>
      <c r="B6676" s="11" t="n">
        <f aca="false">MOD(ROW()-9,24)</f>
        <v>19</v>
      </c>
      <c r="C6676" s="12"/>
      <c r="D6676" s="13" t="n">
        <f aca="false">IF(B6676&lt;5,Einstellungen!$B$3,Einstellungen!$B$4)</f>
        <v>29.13</v>
      </c>
      <c r="E6676" s="14" t="str">
        <f aca="false">IF(C6676="","",C6676*D6676/100)</f>
        <v/>
      </c>
      <c r="F6676" s="15" t="str">
        <f aca="false">IF(B6676&lt;5,"Go","Standard")</f>
        <v>Standard</v>
      </c>
    </row>
    <row r="6677" customFormat="false" ht="15" hidden="false" customHeight="true" outlineLevel="0" collapsed="false">
      <c r="A6677" s="10" t="n">
        <f aca="false">Einstellungen!$B$5+INT((ROW()-9)/24)</f>
        <v>46243</v>
      </c>
      <c r="B6677" s="11" t="n">
        <f aca="false">MOD(ROW()-9,24)</f>
        <v>20</v>
      </c>
      <c r="C6677" s="12"/>
      <c r="D6677" s="13" t="n">
        <f aca="false">IF(B6677&lt;5,Einstellungen!$B$3,Einstellungen!$B$4)</f>
        <v>29.13</v>
      </c>
      <c r="E6677" s="14" t="str">
        <f aca="false">IF(C6677="","",C6677*D6677/100)</f>
        <v/>
      </c>
      <c r="F6677" s="15" t="str">
        <f aca="false">IF(B6677&lt;5,"Go","Standard")</f>
        <v>Standard</v>
      </c>
    </row>
    <row r="6678" customFormat="false" ht="15" hidden="false" customHeight="true" outlineLevel="0" collapsed="false">
      <c r="A6678" s="10" t="n">
        <f aca="false">Einstellungen!$B$5+INT((ROW()-9)/24)</f>
        <v>46243</v>
      </c>
      <c r="B6678" s="11" t="n">
        <f aca="false">MOD(ROW()-9,24)</f>
        <v>21</v>
      </c>
      <c r="C6678" s="12"/>
      <c r="D6678" s="13" t="n">
        <f aca="false">IF(B6678&lt;5,Einstellungen!$B$3,Einstellungen!$B$4)</f>
        <v>29.13</v>
      </c>
      <c r="E6678" s="14" t="str">
        <f aca="false">IF(C6678="","",C6678*D6678/100)</f>
        <v/>
      </c>
      <c r="F6678" s="15" t="str">
        <f aca="false">IF(B6678&lt;5,"Go","Standard")</f>
        <v>Standard</v>
      </c>
    </row>
    <row r="6679" customFormat="false" ht="15" hidden="false" customHeight="true" outlineLevel="0" collapsed="false">
      <c r="A6679" s="10" t="n">
        <f aca="false">Einstellungen!$B$5+INT((ROW()-9)/24)</f>
        <v>46243</v>
      </c>
      <c r="B6679" s="11" t="n">
        <f aca="false">MOD(ROW()-9,24)</f>
        <v>22</v>
      </c>
      <c r="C6679" s="12"/>
      <c r="D6679" s="13" t="n">
        <f aca="false">IF(B6679&lt;5,Einstellungen!$B$3,Einstellungen!$B$4)</f>
        <v>29.13</v>
      </c>
      <c r="E6679" s="14" t="str">
        <f aca="false">IF(C6679="","",C6679*D6679/100)</f>
        <v/>
      </c>
      <c r="F6679" s="15" t="str">
        <f aca="false">IF(B6679&lt;5,"Go","Standard")</f>
        <v>Standard</v>
      </c>
    </row>
    <row r="6680" customFormat="false" ht="15" hidden="false" customHeight="true" outlineLevel="0" collapsed="false">
      <c r="A6680" s="10" t="n">
        <f aca="false">Einstellungen!$B$5+INT((ROW()-9)/24)</f>
        <v>46243</v>
      </c>
      <c r="B6680" s="11" t="n">
        <f aca="false">MOD(ROW()-9,24)</f>
        <v>23</v>
      </c>
      <c r="C6680" s="12"/>
      <c r="D6680" s="13" t="n">
        <f aca="false">IF(B6680&lt;5,Einstellungen!$B$3,Einstellungen!$B$4)</f>
        <v>29.13</v>
      </c>
      <c r="E6680" s="14" t="str">
        <f aca="false">IF(C6680="","",C6680*D6680/100)</f>
        <v/>
      </c>
      <c r="F6680" s="15" t="str">
        <f aca="false">IF(B6680&lt;5,"Go","Standard")</f>
        <v>Standard</v>
      </c>
    </row>
    <row r="6681" customFormat="false" ht="15" hidden="false" customHeight="true" outlineLevel="0" collapsed="false">
      <c r="A6681" s="10" t="n">
        <f aca="false">Einstellungen!$B$5+INT((ROW()-9)/24)</f>
        <v>46244</v>
      </c>
      <c r="B6681" s="11" t="n">
        <f aca="false">MOD(ROW()-9,24)</f>
        <v>0</v>
      </c>
      <c r="C6681" s="12"/>
      <c r="D6681" s="13" t="n">
        <f aca="false">IF(B6681&lt;5,Einstellungen!$B$3,Einstellungen!$B$4)</f>
        <v>15.92</v>
      </c>
      <c r="E6681" s="14" t="str">
        <f aca="false">IF(C6681="","",C6681*D6681/100)</f>
        <v/>
      </c>
      <c r="F6681" s="15" t="str">
        <f aca="false">IF(B6681&lt;5,"Go","Standard")</f>
        <v>Go</v>
      </c>
    </row>
    <row r="6682" customFormat="false" ht="15" hidden="false" customHeight="true" outlineLevel="0" collapsed="false">
      <c r="A6682" s="10" t="n">
        <f aca="false">Einstellungen!$B$5+INT((ROW()-9)/24)</f>
        <v>46244</v>
      </c>
      <c r="B6682" s="11" t="n">
        <f aca="false">MOD(ROW()-9,24)</f>
        <v>1</v>
      </c>
      <c r="C6682" s="12"/>
      <c r="D6682" s="13" t="n">
        <f aca="false">IF(B6682&lt;5,Einstellungen!$B$3,Einstellungen!$B$4)</f>
        <v>15.92</v>
      </c>
      <c r="E6682" s="14" t="str">
        <f aca="false">IF(C6682="","",C6682*D6682/100)</f>
        <v/>
      </c>
      <c r="F6682" s="15" t="str">
        <f aca="false">IF(B6682&lt;5,"Go","Standard")</f>
        <v>Go</v>
      </c>
    </row>
    <row r="6683" customFormat="false" ht="15" hidden="false" customHeight="true" outlineLevel="0" collapsed="false">
      <c r="A6683" s="10" t="n">
        <f aca="false">Einstellungen!$B$5+INT((ROW()-9)/24)</f>
        <v>46244</v>
      </c>
      <c r="B6683" s="11" t="n">
        <f aca="false">MOD(ROW()-9,24)</f>
        <v>2</v>
      </c>
      <c r="C6683" s="12"/>
      <c r="D6683" s="13" t="n">
        <f aca="false">IF(B6683&lt;5,Einstellungen!$B$3,Einstellungen!$B$4)</f>
        <v>15.92</v>
      </c>
      <c r="E6683" s="14" t="str">
        <f aca="false">IF(C6683="","",C6683*D6683/100)</f>
        <v/>
      </c>
      <c r="F6683" s="15" t="str">
        <f aca="false">IF(B6683&lt;5,"Go","Standard")</f>
        <v>Go</v>
      </c>
    </row>
    <row r="6684" customFormat="false" ht="15" hidden="false" customHeight="true" outlineLevel="0" collapsed="false">
      <c r="A6684" s="10" t="n">
        <f aca="false">Einstellungen!$B$5+INT((ROW()-9)/24)</f>
        <v>46244</v>
      </c>
      <c r="B6684" s="11" t="n">
        <f aca="false">MOD(ROW()-9,24)</f>
        <v>3</v>
      </c>
      <c r="C6684" s="12"/>
      <c r="D6684" s="13" t="n">
        <f aca="false">IF(B6684&lt;5,Einstellungen!$B$3,Einstellungen!$B$4)</f>
        <v>15.92</v>
      </c>
      <c r="E6684" s="14" t="str">
        <f aca="false">IF(C6684="","",C6684*D6684/100)</f>
        <v/>
      </c>
      <c r="F6684" s="15" t="str">
        <f aca="false">IF(B6684&lt;5,"Go","Standard")</f>
        <v>Go</v>
      </c>
    </row>
    <row r="6685" customFormat="false" ht="15" hidden="false" customHeight="true" outlineLevel="0" collapsed="false">
      <c r="A6685" s="10" t="n">
        <f aca="false">Einstellungen!$B$5+INT((ROW()-9)/24)</f>
        <v>46244</v>
      </c>
      <c r="B6685" s="11" t="n">
        <f aca="false">MOD(ROW()-9,24)</f>
        <v>4</v>
      </c>
      <c r="C6685" s="12"/>
      <c r="D6685" s="13" t="n">
        <f aca="false">IF(B6685&lt;5,Einstellungen!$B$3,Einstellungen!$B$4)</f>
        <v>15.92</v>
      </c>
      <c r="E6685" s="14" t="str">
        <f aca="false">IF(C6685="","",C6685*D6685/100)</f>
        <v/>
      </c>
      <c r="F6685" s="15" t="str">
        <f aca="false">IF(B6685&lt;5,"Go","Standard")</f>
        <v>Go</v>
      </c>
    </row>
    <row r="6686" customFormat="false" ht="15" hidden="false" customHeight="true" outlineLevel="0" collapsed="false">
      <c r="A6686" s="10" t="n">
        <f aca="false">Einstellungen!$B$5+INT((ROW()-9)/24)</f>
        <v>46244</v>
      </c>
      <c r="B6686" s="11" t="n">
        <f aca="false">MOD(ROW()-9,24)</f>
        <v>5</v>
      </c>
      <c r="C6686" s="12"/>
      <c r="D6686" s="13" t="n">
        <f aca="false">IF(B6686&lt;5,Einstellungen!$B$3,Einstellungen!$B$4)</f>
        <v>29.13</v>
      </c>
      <c r="E6686" s="14" t="str">
        <f aca="false">IF(C6686="","",C6686*D6686/100)</f>
        <v/>
      </c>
      <c r="F6686" s="15" t="str">
        <f aca="false">IF(B6686&lt;5,"Go","Standard")</f>
        <v>Standard</v>
      </c>
    </row>
    <row r="6687" customFormat="false" ht="15" hidden="false" customHeight="true" outlineLevel="0" collapsed="false">
      <c r="A6687" s="10" t="n">
        <f aca="false">Einstellungen!$B$5+INT((ROW()-9)/24)</f>
        <v>46244</v>
      </c>
      <c r="B6687" s="11" t="n">
        <f aca="false">MOD(ROW()-9,24)</f>
        <v>6</v>
      </c>
      <c r="C6687" s="12"/>
      <c r="D6687" s="13" t="n">
        <f aca="false">IF(B6687&lt;5,Einstellungen!$B$3,Einstellungen!$B$4)</f>
        <v>29.13</v>
      </c>
      <c r="E6687" s="14" t="str">
        <f aca="false">IF(C6687="","",C6687*D6687/100)</f>
        <v/>
      </c>
      <c r="F6687" s="15" t="str">
        <f aca="false">IF(B6687&lt;5,"Go","Standard")</f>
        <v>Standard</v>
      </c>
    </row>
    <row r="6688" customFormat="false" ht="15" hidden="false" customHeight="true" outlineLevel="0" collapsed="false">
      <c r="A6688" s="10" t="n">
        <f aca="false">Einstellungen!$B$5+INT((ROW()-9)/24)</f>
        <v>46244</v>
      </c>
      <c r="B6688" s="11" t="n">
        <f aca="false">MOD(ROW()-9,24)</f>
        <v>7</v>
      </c>
      <c r="C6688" s="12"/>
      <c r="D6688" s="13" t="n">
        <f aca="false">IF(B6688&lt;5,Einstellungen!$B$3,Einstellungen!$B$4)</f>
        <v>29.13</v>
      </c>
      <c r="E6688" s="14" t="str">
        <f aca="false">IF(C6688="","",C6688*D6688/100)</f>
        <v/>
      </c>
      <c r="F6688" s="15" t="str">
        <f aca="false">IF(B6688&lt;5,"Go","Standard")</f>
        <v>Standard</v>
      </c>
    </row>
    <row r="6689" customFormat="false" ht="15" hidden="false" customHeight="true" outlineLevel="0" collapsed="false">
      <c r="A6689" s="10" t="n">
        <f aca="false">Einstellungen!$B$5+INT((ROW()-9)/24)</f>
        <v>46244</v>
      </c>
      <c r="B6689" s="11" t="n">
        <f aca="false">MOD(ROW()-9,24)</f>
        <v>8</v>
      </c>
      <c r="C6689" s="12"/>
      <c r="D6689" s="13" t="n">
        <f aca="false">IF(B6689&lt;5,Einstellungen!$B$3,Einstellungen!$B$4)</f>
        <v>29.13</v>
      </c>
      <c r="E6689" s="14" t="str">
        <f aca="false">IF(C6689="","",C6689*D6689/100)</f>
        <v/>
      </c>
      <c r="F6689" s="15" t="str">
        <f aca="false">IF(B6689&lt;5,"Go","Standard")</f>
        <v>Standard</v>
      </c>
    </row>
    <row r="6690" customFormat="false" ht="15" hidden="false" customHeight="true" outlineLevel="0" collapsed="false">
      <c r="A6690" s="10" t="n">
        <f aca="false">Einstellungen!$B$5+INT((ROW()-9)/24)</f>
        <v>46244</v>
      </c>
      <c r="B6690" s="11" t="n">
        <f aca="false">MOD(ROW()-9,24)</f>
        <v>9</v>
      </c>
      <c r="C6690" s="12"/>
      <c r="D6690" s="13" t="n">
        <f aca="false">IF(B6690&lt;5,Einstellungen!$B$3,Einstellungen!$B$4)</f>
        <v>29.13</v>
      </c>
      <c r="E6690" s="14" t="str">
        <f aca="false">IF(C6690="","",C6690*D6690/100)</f>
        <v/>
      </c>
      <c r="F6690" s="15" t="str">
        <f aca="false">IF(B6690&lt;5,"Go","Standard")</f>
        <v>Standard</v>
      </c>
    </row>
    <row r="6691" customFormat="false" ht="15" hidden="false" customHeight="true" outlineLevel="0" collapsed="false">
      <c r="A6691" s="10" t="n">
        <f aca="false">Einstellungen!$B$5+INT((ROW()-9)/24)</f>
        <v>46244</v>
      </c>
      <c r="B6691" s="11" t="n">
        <f aca="false">MOD(ROW()-9,24)</f>
        <v>10</v>
      </c>
      <c r="C6691" s="12"/>
      <c r="D6691" s="13" t="n">
        <f aca="false">IF(B6691&lt;5,Einstellungen!$B$3,Einstellungen!$B$4)</f>
        <v>29.13</v>
      </c>
      <c r="E6691" s="14" t="str">
        <f aca="false">IF(C6691="","",C6691*D6691/100)</f>
        <v/>
      </c>
      <c r="F6691" s="15" t="str">
        <f aca="false">IF(B6691&lt;5,"Go","Standard")</f>
        <v>Standard</v>
      </c>
    </row>
    <row r="6692" customFormat="false" ht="15" hidden="false" customHeight="true" outlineLevel="0" collapsed="false">
      <c r="A6692" s="10" t="n">
        <f aca="false">Einstellungen!$B$5+INT((ROW()-9)/24)</f>
        <v>46244</v>
      </c>
      <c r="B6692" s="11" t="n">
        <f aca="false">MOD(ROW()-9,24)</f>
        <v>11</v>
      </c>
      <c r="C6692" s="12"/>
      <c r="D6692" s="13" t="n">
        <f aca="false">IF(B6692&lt;5,Einstellungen!$B$3,Einstellungen!$B$4)</f>
        <v>29.13</v>
      </c>
      <c r="E6692" s="14" t="str">
        <f aca="false">IF(C6692="","",C6692*D6692/100)</f>
        <v/>
      </c>
      <c r="F6692" s="15" t="str">
        <f aca="false">IF(B6692&lt;5,"Go","Standard")</f>
        <v>Standard</v>
      </c>
    </row>
    <row r="6693" customFormat="false" ht="15" hidden="false" customHeight="true" outlineLevel="0" collapsed="false">
      <c r="A6693" s="10" t="n">
        <f aca="false">Einstellungen!$B$5+INT((ROW()-9)/24)</f>
        <v>46244</v>
      </c>
      <c r="B6693" s="11" t="n">
        <f aca="false">MOD(ROW()-9,24)</f>
        <v>12</v>
      </c>
      <c r="C6693" s="12"/>
      <c r="D6693" s="13" t="n">
        <f aca="false">IF(B6693&lt;5,Einstellungen!$B$3,Einstellungen!$B$4)</f>
        <v>29.13</v>
      </c>
      <c r="E6693" s="14" t="str">
        <f aca="false">IF(C6693="","",C6693*D6693/100)</f>
        <v/>
      </c>
      <c r="F6693" s="15" t="str">
        <f aca="false">IF(B6693&lt;5,"Go","Standard")</f>
        <v>Standard</v>
      </c>
    </row>
    <row r="6694" customFormat="false" ht="15" hidden="false" customHeight="true" outlineLevel="0" collapsed="false">
      <c r="A6694" s="10" t="n">
        <f aca="false">Einstellungen!$B$5+INT((ROW()-9)/24)</f>
        <v>46244</v>
      </c>
      <c r="B6694" s="11" t="n">
        <f aca="false">MOD(ROW()-9,24)</f>
        <v>13</v>
      </c>
      <c r="C6694" s="12"/>
      <c r="D6694" s="13" t="n">
        <f aca="false">IF(B6694&lt;5,Einstellungen!$B$3,Einstellungen!$B$4)</f>
        <v>29.13</v>
      </c>
      <c r="E6694" s="14" t="str">
        <f aca="false">IF(C6694="","",C6694*D6694/100)</f>
        <v/>
      </c>
      <c r="F6694" s="15" t="str">
        <f aca="false">IF(B6694&lt;5,"Go","Standard")</f>
        <v>Standard</v>
      </c>
    </row>
    <row r="6695" customFormat="false" ht="15" hidden="false" customHeight="true" outlineLevel="0" collapsed="false">
      <c r="A6695" s="10" t="n">
        <f aca="false">Einstellungen!$B$5+INT((ROW()-9)/24)</f>
        <v>46244</v>
      </c>
      <c r="B6695" s="11" t="n">
        <f aca="false">MOD(ROW()-9,24)</f>
        <v>14</v>
      </c>
      <c r="C6695" s="12"/>
      <c r="D6695" s="13" t="n">
        <f aca="false">IF(B6695&lt;5,Einstellungen!$B$3,Einstellungen!$B$4)</f>
        <v>29.13</v>
      </c>
      <c r="E6695" s="14" t="str">
        <f aca="false">IF(C6695="","",C6695*D6695/100)</f>
        <v/>
      </c>
      <c r="F6695" s="15" t="str">
        <f aca="false">IF(B6695&lt;5,"Go","Standard")</f>
        <v>Standard</v>
      </c>
    </row>
    <row r="6696" customFormat="false" ht="15" hidden="false" customHeight="true" outlineLevel="0" collapsed="false">
      <c r="A6696" s="10" t="n">
        <f aca="false">Einstellungen!$B$5+INT((ROW()-9)/24)</f>
        <v>46244</v>
      </c>
      <c r="B6696" s="11" t="n">
        <f aca="false">MOD(ROW()-9,24)</f>
        <v>15</v>
      </c>
      <c r="C6696" s="12"/>
      <c r="D6696" s="13" t="n">
        <f aca="false">IF(B6696&lt;5,Einstellungen!$B$3,Einstellungen!$B$4)</f>
        <v>29.13</v>
      </c>
      <c r="E6696" s="14" t="str">
        <f aca="false">IF(C6696="","",C6696*D6696/100)</f>
        <v/>
      </c>
      <c r="F6696" s="15" t="str">
        <f aca="false">IF(B6696&lt;5,"Go","Standard")</f>
        <v>Standard</v>
      </c>
    </row>
    <row r="6697" customFormat="false" ht="15" hidden="false" customHeight="true" outlineLevel="0" collapsed="false">
      <c r="A6697" s="10" t="n">
        <f aca="false">Einstellungen!$B$5+INT((ROW()-9)/24)</f>
        <v>46244</v>
      </c>
      <c r="B6697" s="11" t="n">
        <f aca="false">MOD(ROW()-9,24)</f>
        <v>16</v>
      </c>
      <c r="C6697" s="12"/>
      <c r="D6697" s="13" t="n">
        <f aca="false">IF(B6697&lt;5,Einstellungen!$B$3,Einstellungen!$B$4)</f>
        <v>29.13</v>
      </c>
      <c r="E6697" s="14" t="str">
        <f aca="false">IF(C6697="","",C6697*D6697/100)</f>
        <v/>
      </c>
      <c r="F6697" s="15" t="str">
        <f aca="false">IF(B6697&lt;5,"Go","Standard")</f>
        <v>Standard</v>
      </c>
    </row>
    <row r="6698" customFormat="false" ht="15" hidden="false" customHeight="true" outlineLevel="0" collapsed="false">
      <c r="A6698" s="10" t="n">
        <f aca="false">Einstellungen!$B$5+INT((ROW()-9)/24)</f>
        <v>46244</v>
      </c>
      <c r="B6698" s="11" t="n">
        <f aca="false">MOD(ROW()-9,24)</f>
        <v>17</v>
      </c>
      <c r="C6698" s="12"/>
      <c r="D6698" s="13" t="n">
        <f aca="false">IF(B6698&lt;5,Einstellungen!$B$3,Einstellungen!$B$4)</f>
        <v>29.13</v>
      </c>
      <c r="E6698" s="14" t="str">
        <f aca="false">IF(C6698="","",C6698*D6698/100)</f>
        <v/>
      </c>
      <c r="F6698" s="15" t="str">
        <f aca="false">IF(B6698&lt;5,"Go","Standard")</f>
        <v>Standard</v>
      </c>
    </row>
    <row r="6699" customFormat="false" ht="15" hidden="false" customHeight="true" outlineLevel="0" collapsed="false">
      <c r="A6699" s="10" t="n">
        <f aca="false">Einstellungen!$B$5+INT((ROW()-9)/24)</f>
        <v>46244</v>
      </c>
      <c r="B6699" s="11" t="n">
        <f aca="false">MOD(ROW()-9,24)</f>
        <v>18</v>
      </c>
      <c r="C6699" s="12"/>
      <c r="D6699" s="13" t="n">
        <f aca="false">IF(B6699&lt;5,Einstellungen!$B$3,Einstellungen!$B$4)</f>
        <v>29.13</v>
      </c>
      <c r="E6699" s="14" t="str">
        <f aca="false">IF(C6699="","",C6699*D6699/100)</f>
        <v/>
      </c>
      <c r="F6699" s="15" t="str">
        <f aca="false">IF(B6699&lt;5,"Go","Standard")</f>
        <v>Standard</v>
      </c>
    </row>
    <row r="6700" customFormat="false" ht="15" hidden="false" customHeight="true" outlineLevel="0" collapsed="false">
      <c r="A6700" s="10" t="n">
        <f aca="false">Einstellungen!$B$5+INT((ROW()-9)/24)</f>
        <v>46244</v>
      </c>
      <c r="B6700" s="11" t="n">
        <f aca="false">MOD(ROW()-9,24)</f>
        <v>19</v>
      </c>
      <c r="C6700" s="12"/>
      <c r="D6700" s="13" t="n">
        <f aca="false">IF(B6700&lt;5,Einstellungen!$B$3,Einstellungen!$B$4)</f>
        <v>29.13</v>
      </c>
      <c r="E6700" s="14" t="str">
        <f aca="false">IF(C6700="","",C6700*D6700/100)</f>
        <v/>
      </c>
      <c r="F6700" s="15" t="str">
        <f aca="false">IF(B6700&lt;5,"Go","Standard")</f>
        <v>Standard</v>
      </c>
    </row>
    <row r="6701" customFormat="false" ht="15" hidden="false" customHeight="true" outlineLevel="0" collapsed="false">
      <c r="A6701" s="10" t="n">
        <f aca="false">Einstellungen!$B$5+INT((ROW()-9)/24)</f>
        <v>46244</v>
      </c>
      <c r="B6701" s="11" t="n">
        <f aca="false">MOD(ROW()-9,24)</f>
        <v>20</v>
      </c>
      <c r="C6701" s="12"/>
      <c r="D6701" s="13" t="n">
        <f aca="false">IF(B6701&lt;5,Einstellungen!$B$3,Einstellungen!$B$4)</f>
        <v>29.13</v>
      </c>
      <c r="E6701" s="14" t="str">
        <f aca="false">IF(C6701="","",C6701*D6701/100)</f>
        <v/>
      </c>
      <c r="F6701" s="15" t="str">
        <f aca="false">IF(B6701&lt;5,"Go","Standard")</f>
        <v>Standard</v>
      </c>
    </row>
    <row r="6702" customFormat="false" ht="15" hidden="false" customHeight="true" outlineLevel="0" collapsed="false">
      <c r="A6702" s="10" t="n">
        <f aca="false">Einstellungen!$B$5+INT((ROW()-9)/24)</f>
        <v>46244</v>
      </c>
      <c r="B6702" s="11" t="n">
        <f aca="false">MOD(ROW()-9,24)</f>
        <v>21</v>
      </c>
      <c r="C6702" s="12"/>
      <c r="D6702" s="13" t="n">
        <f aca="false">IF(B6702&lt;5,Einstellungen!$B$3,Einstellungen!$B$4)</f>
        <v>29.13</v>
      </c>
      <c r="E6702" s="14" t="str">
        <f aca="false">IF(C6702="","",C6702*D6702/100)</f>
        <v/>
      </c>
      <c r="F6702" s="15" t="str">
        <f aca="false">IF(B6702&lt;5,"Go","Standard")</f>
        <v>Standard</v>
      </c>
    </row>
    <row r="6703" customFormat="false" ht="15" hidden="false" customHeight="true" outlineLevel="0" collapsed="false">
      <c r="A6703" s="10" t="n">
        <f aca="false">Einstellungen!$B$5+INT((ROW()-9)/24)</f>
        <v>46244</v>
      </c>
      <c r="B6703" s="11" t="n">
        <f aca="false">MOD(ROW()-9,24)</f>
        <v>22</v>
      </c>
      <c r="C6703" s="12"/>
      <c r="D6703" s="13" t="n">
        <f aca="false">IF(B6703&lt;5,Einstellungen!$B$3,Einstellungen!$B$4)</f>
        <v>29.13</v>
      </c>
      <c r="E6703" s="14" t="str">
        <f aca="false">IF(C6703="","",C6703*D6703/100)</f>
        <v/>
      </c>
      <c r="F6703" s="15" t="str">
        <f aca="false">IF(B6703&lt;5,"Go","Standard")</f>
        <v>Standard</v>
      </c>
    </row>
    <row r="6704" customFormat="false" ht="15" hidden="false" customHeight="true" outlineLevel="0" collapsed="false">
      <c r="A6704" s="10" t="n">
        <f aca="false">Einstellungen!$B$5+INT((ROW()-9)/24)</f>
        <v>46244</v>
      </c>
      <c r="B6704" s="11" t="n">
        <f aca="false">MOD(ROW()-9,24)</f>
        <v>23</v>
      </c>
      <c r="C6704" s="12"/>
      <c r="D6704" s="13" t="n">
        <f aca="false">IF(B6704&lt;5,Einstellungen!$B$3,Einstellungen!$B$4)</f>
        <v>29.13</v>
      </c>
      <c r="E6704" s="14" t="str">
        <f aca="false">IF(C6704="","",C6704*D6704/100)</f>
        <v/>
      </c>
      <c r="F6704" s="15" t="str">
        <f aca="false">IF(B6704&lt;5,"Go","Standard")</f>
        <v>Standard</v>
      </c>
    </row>
    <row r="6705" customFormat="false" ht="15" hidden="false" customHeight="true" outlineLevel="0" collapsed="false">
      <c r="A6705" s="10" t="n">
        <f aca="false">Einstellungen!$B$5+INT((ROW()-9)/24)</f>
        <v>46245</v>
      </c>
      <c r="B6705" s="11" t="n">
        <f aca="false">MOD(ROW()-9,24)</f>
        <v>0</v>
      </c>
      <c r="C6705" s="12"/>
      <c r="D6705" s="13" t="n">
        <f aca="false">IF(B6705&lt;5,Einstellungen!$B$3,Einstellungen!$B$4)</f>
        <v>15.92</v>
      </c>
      <c r="E6705" s="14" t="str">
        <f aca="false">IF(C6705="","",C6705*D6705/100)</f>
        <v/>
      </c>
      <c r="F6705" s="15" t="str">
        <f aca="false">IF(B6705&lt;5,"Go","Standard")</f>
        <v>Go</v>
      </c>
    </row>
    <row r="6706" customFormat="false" ht="15" hidden="false" customHeight="true" outlineLevel="0" collapsed="false">
      <c r="A6706" s="10" t="n">
        <f aca="false">Einstellungen!$B$5+INT((ROW()-9)/24)</f>
        <v>46245</v>
      </c>
      <c r="B6706" s="11" t="n">
        <f aca="false">MOD(ROW()-9,24)</f>
        <v>1</v>
      </c>
      <c r="C6706" s="12"/>
      <c r="D6706" s="13" t="n">
        <f aca="false">IF(B6706&lt;5,Einstellungen!$B$3,Einstellungen!$B$4)</f>
        <v>15.92</v>
      </c>
      <c r="E6706" s="14" t="str">
        <f aca="false">IF(C6706="","",C6706*D6706/100)</f>
        <v/>
      </c>
      <c r="F6706" s="15" t="str">
        <f aca="false">IF(B6706&lt;5,"Go","Standard")</f>
        <v>Go</v>
      </c>
    </row>
    <row r="6707" customFormat="false" ht="15" hidden="false" customHeight="true" outlineLevel="0" collapsed="false">
      <c r="A6707" s="10" t="n">
        <f aca="false">Einstellungen!$B$5+INT((ROW()-9)/24)</f>
        <v>46245</v>
      </c>
      <c r="B6707" s="11" t="n">
        <f aca="false">MOD(ROW()-9,24)</f>
        <v>2</v>
      </c>
      <c r="C6707" s="12"/>
      <c r="D6707" s="13" t="n">
        <f aca="false">IF(B6707&lt;5,Einstellungen!$B$3,Einstellungen!$B$4)</f>
        <v>15.92</v>
      </c>
      <c r="E6707" s="14" t="str">
        <f aca="false">IF(C6707="","",C6707*D6707/100)</f>
        <v/>
      </c>
      <c r="F6707" s="15" t="str">
        <f aca="false">IF(B6707&lt;5,"Go","Standard")</f>
        <v>Go</v>
      </c>
    </row>
    <row r="6708" customFormat="false" ht="15" hidden="false" customHeight="true" outlineLevel="0" collapsed="false">
      <c r="A6708" s="10" t="n">
        <f aca="false">Einstellungen!$B$5+INT((ROW()-9)/24)</f>
        <v>46245</v>
      </c>
      <c r="B6708" s="11" t="n">
        <f aca="false">MOD(ROW()-9,24)</f>
        <v>3</v>
      </c>
      <c r="C6708" s="12"/>
      <c r="D6708" s="13" t="n">
        <f aca="false">IF(B6708&lt;5,Einstellungen!$B$3,Einstellungen!$B$4)</f>
        <v>15.92</v>
      </c>
      <c r="E6708" s="14" t="str">
        <f aca="false">IF(C6708="","",C6708*D6708/100)</f>
        <v/>
      </c>
      <c r="F6708" s="15" t="str">
        <f aca="false">IF(B6708&lt;5,"Go","Standard")</f>
        <v>Go</v>
      </c>
    </row>
    <row r="6709" customFormat="false" ht="15" hidden="false" customHeight="true" outlineLevel="0" collapsed="false">
      <c r="A6709" s="10" t="n">
        <f aca="false">Einstellungen!$B$5+INT((ROW()-9)/24)</f>
        <v>46245</v>
      </c>
      <c r="B6709" s="11" t="n">
        <f aca="false">MOD(ROW()-9,24)</f>
        <v>4</v>
      </c>
      <c r="C6709" s="12"/>
      <c r="D6709" s="13" t="n">
        <f aca="false">IF(B6709&lt;5,Einstellungen!$B$3,Einstellungen!$B$4)</f>
        <v>15.92</v>
      </c>
      <c r="E6709" s="14" t="str">
        <f aca="false">IF(C6709="","",C6709*D6709/100)</f>
        <v/>
      </c>
      <c r="F6709" s="15" t="str">
        <f aca="false">IF(B6709&lt;5,"Go","Standard")</f>
        <v>Go</v>
      </c>
    </row>
    <row r="6710" customFormat="false" ht="15" hidden="false" customHeight="true" outlineLevel="0" collapsed="false">
      <c r="A6710" s="10" t="n">
        <f aca="false">Einstellungen!$B$5+INT((ROW()-9)/24)</f>
        <v>46245</v>
      </c>
      <c r="B6710" s="11" t="n">
        <f aca="false">MOD(ROW()-9,24)</f>
        <v>5</v>
      </c>
      <c r="C6710" s="12"/>
      <c r="D6710" s="13" t="n">
        <f aca="false">IF(B6710&lt;5,Einstellungen!$B$3,Einstellungen!$B$4)</f>
        <v>29.13</v>
      </c>
      <c r="E6710" s="14" t="str">
        <f aca="false">IF(C6710="","",C6710*D6710/100)</f>
        <v/>
      </c>
      <c r="F6710" s="15" t="str">
        <f aca="false">IF(B6710&lt;5,"Go","Standard")</f>
        <v>Standard</v>
      </c>
    </row>
    <row r="6711" customFormat="false" ht="15" hidden="false" customHeight="true" outlineLevel="0" collapsed="false">
      <c r="A6711" s="10" t="n">
        <f aca="false">Einstellungen!$B$5+INT((ROW()-9)/24)</f>
        <v>46245</v>
      </c>
      <c r="B6711" s="11" t="n">
        <f aca="false">MOD(ROW()-9,24)</f>
        <v>6</v>
      </c>
      <c r="C6711" s="12"/>
      <c r="D6711" s="13" t="n">
        <f aca="false">IF(B6711&lt;5,Einstellungen!$B$3,Einstellungen!$B$4)</f>
        <v>29.13</v>
      </c>
      <c r="E6711" s="14" t="str">
        <f aca="false">IF(C6711="","",C6711*D6711/100)</f>
        <v/>
      </c>
      <c r="F6711" s="15" t="str">
        <f aca="false">IF(B6711&lt;5,"Go","Standard")</f>
        <v>Standard</v>
      </c>
    </row>
    <row r="6712" customFormat="false" ht="15" hidden="false" customHeight="true" outlineLevel="0" collapsed="false">
      <c r="A6712" s="10" t="n">
        <f aca="false">Einstellungen!$B$5+INT((ROW()-9)/24)</f>
        <v>46245</v>
      </c>
      <c r="B6712" s="11" t="n">
        <f aca="false">MOD(ROW()-9,24)</f>
        <v>7</v>
      </c>
      <c r="C6712" s="12"/>
      <c r="D6712" s="13" t="n">
        <f aca="false">IF(B6712&lt;5,Einstellungen!$B$3,Einstellungen!$B$4)</f>
        <v>29.13</v>
      </c>
      <c r="E6712" s="14" t="str">
        <f aca="false">IF(C6712="","",C6712*D6712/100)</f>
        <v/>
      </c>
      <c r="F6712" s="15" t="str">
        <f aca="false">IF(B6712&lt;5,"Go","Standard")</f>
        <v>Standard</v>
      </c>
    </row>
    <row r="6713" customFormat="false" ht="15" hidden="false" customHeight="true" outlineLevel="0" collapsed="false">
      <c r="A6713" s="10" t="n">
        <f aca="false">Einstellungen!$B$5+INT((ROW()-9)/24)</f>
        <v>46245</v>
      </c>
      <c r="B6713" s="11" t="n">
        <f aca="false">MOD(ROW()-9,24)</f>
        <v>8</v>
      </c>
      <c r="C6713" s="12"/>
      <c r="D6713" s="13" t="n">
        <f aca="false">IF(B6713&lt;5,Einstellungen!$B$3,Einstellungen!$B$4)</f>
        <v>29.13</v>
      </c>
      <c r="E6713" s="14" t="str">
        <f aca="false">IF(C6713="","",C6713*D6713/100)</f>
        <v/>
      </c>
      <c r="F6713" s="15" t="str">
        <f aca="false">IF(B6713&lt;5,"Go","Standard")</f>
        <v>Standard</v>
      </c>
    </row>
    <row r="6714" customFormat="false" ht="15" hidden="false" customHeight="true" outlineLevel="0" collapsed="false">
      <c r="A6714" s="10" t="n">
        <f aca="false">Einstellungen!$B$5+INT((ROW()-9)/24)</f>
        <v>46245</v>
      </c>
      <c r="B6714" s="11" t="n">
        <f aca="false">MOD(ROW()-9,24)</f>
        <v>9</v>
      </c>
      <c r="C6714" s="12"/>
      <c r="D6714" s="13" t="n">
        <f aca="false">IF(B6714&lt;5,Einstellungen!$B$3,Einstellungen!$B$4)</f>
        <v>29.13</v>
      </c>
      <c r="E6714" s="14" t="str">
        <f aca="false">IF(C6714="","",C6714*D6714/100)</f>
        <v/>
      </c>
      <c r="F6714" s="15" t="str">
        <f aca="false">IF(B6714&lt;5,"Go","Standard")</f>
        <v>Standard</v>
      </c>
    </row>
    <row r="6715" customFormat="false" ht="15" hidden="false" customHeight="true" outlineLevel="0" collapsed="false">
      <c r="A6715" s="10" t="n">
        <f aca="false">Einstellungen!$B$5+INT((ROW()-9)/24)</f>
        <v>46245</v>
      </c>
      <c r="B6715" s="11" t="n">
        <f aca="false">MOD(ROW()-9,24)</f>
        <v>10</v>
      </c>
      <c r="C6715" s="12"/>
      <c r="D6715" s="13" t="n">
        <f aca="false">IF(B6715&lt;5,Einstellungen!$B$3,Einstellungen!$B$4)</f>
        <v>29.13</v>
      </c>
      <c r="E6715" s="14" t="str">
        <f aca="false">IF(C6715="","",C6715*D6715/100)</f>
        <v/>
      </c>
      <c r="F6715" s="15" t="str">
        <f aca="false">IF(B6715&lt;5,"Go","Standard")</f>
        <v>Standard</v>
      </c>
    </row>
    <row r="6716" customFormat="false" ht="15" hidden="false" customHeight="true" outlineLevel="0" collapsed="false">
      <c r="A6716" s="10" t="n">
        <f aca="false">Einstellungen!$B$5+INT((ROW()-9)/24)</f>
        <v>46245</v>
      </c>
      <c r="B6716" s="11" t="n">
        <f aca="false">MOD(ROW()-9,24)</f>
        <v>11</v>
      </c>
      <c r="C6716" s="12"/>
      <c r="D6716" s="13" t="n">
        <f aca="false">IF(B6716&lt;5,Einstellungen!$B$3,Einstellungen!$B$4)</f>
        <v>29.13</v>
      </c>
      <c r="E6716" s="14" t="str">
        <f aca="false">IF(C6716="","",C6716*D6716/100)</f>
        <v/>
      </c>
      <c r="F6716" s="15" t="str">
        <f aca="false">IF(B6716&lt;5,"Go","Standard")</f>
        <v>Standard</v>
      </c>
    </row>
    <row r="6717" customFormat="false" ht="15" hidden="false" customHeight="true" outlineLevel="0" collapsed="false">
      <c r="A6717" s="10" t="n">
        <f aca="false">Einstellungen!$B$5+INT((ROW()-9)/24)</f>
        <v>46245</v>
      </c>
      <c r="B6717" s="11" t="n">
        <f aca="false">MOD(ROW()-9,24)</f>
        <v>12</v>
      </c>
      <c r="C6717" s="12"/>
      <c r="D6717" s="13" t="n">
        <f aca="false">IF(B6717&lt;5,Einstellungen!$B$3,Einstellungen!$B$4)</f>
        <v>29.13</v>
      </c>
      <c r="E6717" s="14" t="str">
        <f aca="false">IF(C6717="","",C6717*D6717/100)</f>
        <v/>
      </c>
      <c r="F6717" s="15" t="str">
        <f aca="false">IF(B6717&lt;5,"Go","Standard")</f>
        <v>Standard</v>
      </c>
    </row>
    <row r="6718" customFormat="false" ht="15" hidden="false" customHeight="true" outlineLevel="0" collapsed="false">
      <c r="A6718" s="10" t="n">
        <f aca="false">Einstellungen!$B$5+INT((ROW()-9)/24)</f>
        <v>46245</v>
      </c>
      <c r="B6718" s="11" t="n">
        <f aca="false">MOD(ROW()-9,24)</f>
        <v>13</v>
      </c>
      <c r="C6718" s="12"/>
      <c r="D6718" s="13" t="n">
        <f aca="false">IF(B6718&lt;5,Einstellungen!$B$3,Einstellungen!$B$4)</f>
        <v>29.13</v>
      </c>
      <c r="E6718" s="14" t="str">
        <f aca="false">IF(C6718="","",C6718*D6718/100)</f>
        <v/>
      </c>
      <c r="F6718" s="15" t="str">
        <f aca="false">IF(B6718&lt;5,"Go","Standard")</f>
        <v>Standard</v>
      </c>
    </row>
    <row r="6719" customFormat="false" ht="15" hidden="false" customHeight="true" outlineLevel="0" collapsed="false">
      <c r="A6719" s="10" t="n">
        <f aca="false">Einstellungen!$B$5+INT((ROW()-9)/24)</f>
        <v>46245</v>
      </c>
      <c r="B6719" s="11" t="n">
        <f aca="false">MOD(ROW()-9,24)</f>
        <v>14</v>
      </c>
      <c r="C6719" s="12"/>
      <c r="D6719" s="13" t="n">
        <f aca="false">IF(B6719&lt;5,Einstellungen!$B$3,Einstellungen!$B$4)</f>
        <v>29.13</v>
      </c>
      <c r="E6719" s="14" t="str">
        <f aca="false">IF(C6719="","",C6719*D6719/100)</f>
        <v/>
      </c>
      <c r="F6719" s="15" t="str">
        <f aca="false">IF(B6719&lt;5,"Go","Standard")</f>
        <v>Standard</v>
      </c>
    </row>
    <row r="6720" customFormat="false" ht="15" hidden="false" customHeight="true" outlineLevel="0" collapsed="false">
      <c r="A6720" s="10" t="n">
        <f aca="false">Einstellungen!$B$5+INT((ROW()-9)/24)</f>
        <v>46245</v>
      </c>
      <c r="B6720" s="11" t="n">
        <f aca="false">MOD(ROW()-9,24)</f>
        <v>15</v>
      </c>
      <c r="C6720" s="12"/>
      <c r="D6720" s="13" t="n">
        <f aca="false">IF(B6720&lt;5,Einstellungen!$B$3,Einstellungen!$B$4)</f>
        <v>29.13</v>
      </c>
      <c r="E6720" s="14" t="str">
        <f aca="false">IF(C6720="","",C6720*D6720/100)</f>
        <v/>
      </c>
      <c r="F6720" s="15" t="str">
        <f aca="false">IF(B6720&lt;5,"Go","Standard")</f>
        <v>Standard</v>
      </c>
    </row>
    <row r="6721" customFormat="false" ht="15" hidden="false" customHeight="true" outlineLevel="0" collapsed="false">
      <c r="A6721" s="10" t="n">
        <f aca="false">Einstellungen!$B$5+INT((ROW()-9)/24)</f>
        <v>46245</v>
      </c>
      <c r="B6721" s="11" t="n">
        <f aca="false">MOD(ROW()-9,24)</f>
        <v>16</v>
      </c>
      <c r="C6721" s="12"/>
      <c r="D6721" s="13" t="n">
        <f aca="false">IF(B6721&lt;5,Einstellungen!$B$3,Einstellungen!$B$4)</f>
        <v>29.13</v>
      </c>
      <c r="E6721" s="14" t="str">
        <f aca="false">IF(C6721="","",C6721*D6721/100)</f>
        <v/>
      </c>
      <c r="F6721" s="15" t="str">
        <f aca="false">IF(B6721&lt;5,"Go","Standard")</f>
        <v>Standard</v>
      </c>
    </row>
    <row r="6722" customFormat="false" ht="15" hidden="false" customHeight="true" outlineLevel="0" collapsed="false">
      <c r="A6722" s="10" t="n">
        <f aca="false">Einstellungen!$B$5+INT((ROW()-9)/24)</f>
        <v>46245</v>
      </c>
      <c r="B6722" s="11" t="n">
        <f aca="false">MOD(ROW()-9,24)</f>
        <v>17</v>
      </c>
      <c r="C6722" s="12"/>
      <c r="D6722" s="13" t="n">
        <f aca="false">IF(B6722&lt;5,Einstellungen!$B$3,Einstellungen!$B$4)</f>
        <v>29.13</v>
      </c>
      <c r="E6722" s="14" t="str">
        <f aca="false">IF(C6722="","",C6722*D6722/100)</f>
        <v/>
      </c>
      <c r="F6722" s="15" t="str">
        <f aca="false">IF(B6722&lt;5,"Go","Standard")</f>
        <v>Standard</v>
      </c>
    </row>
    <row r="6723" customFormat="false" ht="15" hidden="false" customHeight="true" outlineLevel="0" collapsed="false">
      <c r="A6723" s="10" t="n">
        <f aca="false">Einstellungen!$B$5+INT((ROW()-9)/24)</f>
        <v>46245</v>
      </c>
      <c r="B6723" s="11" t="n">
        <f aca="false">MOD(ROW()-9,24)</f>
        <v>18</v>
      </c>
      <c r="C6723" s="12"/>
      <c r="D6723" s="13" t="n">
        <f aca="false">IF(B6723&lt;5,Einstellungen!$B$3,Einstellungen!$B$4)</f>
        <v>29.13</v>
      </c>
      <c r="E6723" s="14" t="str">
        <f aca="false">IF(C6723="","",C6723*D6723/100)</f>
        <v/>
      </c>
      <c r="F6723" s="15" t="str">
        <f aca="false">IF(B6723&lt;5,"Go","Standard")</f>
        <v>Standard</v>
      </c>
    </row>
    <row r="6724" customFormat="false" ht="15" hidden="false" customHeight="true" outlineLevel="0" collapsed="false">
      <c r="A6724" s="10" t="n">
        <f aca="false">Einstellungen!$B$5+INT((ROW()-9)/24)</f>
        <v>46245</v>
      </c>
      <c r="B6724" s="11" t="n">
        <f aca="false">MOD(ROW()-9,24)</f>
        <v>19</v>
      </c>
      <c r="C6724" s="12"/>
      <c r="D6724" s="13" t="n">
        <f aca="false">IF(B6724&lt;5,Einstellungen!$B$3,Einstellungen!$B$4)</f>
        <v>29.13</v>
      </c>
      <c r="E6724" s="14" t="str">
        <f aca="false">IF(C6724="","",C6724*D6724/100)</f>
        <v/>
      </c>
      <c r="F6724" s="15" t="str">
        <f aca="false">IF(B6724&lt;5,"Go","Standard")</f>
        <v>Standard</v>
      </c>
    </row>
    <row r="6725" customFormat="false" ht="15" hidden="false" customHeight="true" outlineLevel="0" collapsed="false">
      <c r="A6725" s="10" t="n">
        <f aca="false">Einstellungen!$B$5+INT((ROW()-9)/24)</f>
        <v>46245</v>
      </c>
      <c r="B6725" s="11" t="n">
        <f aca="false">MOD(ROW()-9,24)</f>
        <v>20</v>
      </c>
      <c r="C6725" s="12"/>
      <c r="D6725" s="13" t="n">
        <f aca="false">IF(B6725&lt;5,Einstellungen!$B$3,Einstellungen!$B$4)</f>
        <v>29.13</v>
      </c>
      <c r="E6725" s="14" t="str">
        <f aca="false">IF(C6725="","",C6725*D6725/100)</f>
        <v/>
      </c>
      <c r="F6725" s="15" t="str">
        <f aca="false">IF(B6725&lt;5,"Go","Standard")</f>
        <v>Standard</v>
      </c>
    </row>
    <row r="6726" customFormat="false" ht="15" hidden="false" customHeight="true" outlineLevel="0" collapsed="false">
      <c r="A6726" s="10" t="n">
        <f aca="false">Einstellungen!$B$5+INT((ROW()-9)/24)</f>
        <v>46245</v>
      </c>
      <c r="B6726" s="11" t="n">
        <f aca="false">MOD(ROW()-9,24)</f>
        <v>21</v>
      </c>
      <c r="C6726" s="12"/>
      <c r="D6726" s="13" t="n">
        <f aca="false">IF(B6726&lt;5,Einstellungen!$B$3,Einstellungen!$B$4)</f>
        <v>29.13</v>
      </c>
      <c r="E6726" s="14" t="str">
        <f aca="false">IF(C6726="","",C6726*D6726/100)</f>
        <v/>
      </c>
      <c r="F6726" s="15" t="str">
        <f aca="false">IF(B6726&lt;5,"Go","Standard")</f>
        <v>Standard</v>
      </c>
    </row>
    <row r="6727" customFormat="false" ht="15" hidden="false" customHeight="true" outlineLevel="0" collapsed="false">
      <c r="A6727" s="10" t="n">
        <f aca="false">Einstellungen!$B$5+INT((ROW()-9)/24)</f>
        <v>46245</v>
      </c>
      <c r="B6727" s="11" t="n">
        <f aca="false">MOD(ROW()-9,24)</f>
        <v>22</v>
      </c>
      <c r="C6727" s="12"/>
      <c r="D6727" s="13" t="n">
        <f aca="false">IF(B6727&lt;5,Einstellungen!$B$3,Einstellungen!$B$4)</f>
        <v>29.13</v>
      </c>
      <c r="E6727" s="14" t="str">
        <f aca="false">IF(C6727="","",C6727*D6727/100)</f>
        <v/>
      </c>
      <c r="F6727" s="15" t="str">
        <f aca="false">IF(B6727&lt;5,"Go","Standard")</f>
        <v>Standard</v>
      </c>
    </row>
    <row r="6728" customFormat="false" ht="15" hidden="false" customHeight="true" outlineLevel="0" collapsed="false">
      <c r="A6728" s="10" t="n">
        <f aca="false">Einstellungen!$B$5+INT((ROW()-9)/24)</f>
        <v>46245</v>
      </c>
      <c r="B6728" s="11" t="n">
        <f aca="false">MOD(ROW()-9,24)</f>
        <v>23</v>
      </c>
      <c r="C6728" s="12"/>
      <c r="D6728" s="13" t="n">
        <f aca="false">IF(B6728&lt;5,Einstellungen!$B$3,Einstellungen!$B$4)</f>
        <v>29.13</v>
      </c>
      <c r="E6728" s="14" t="str">
        <f aca="false">IF(C6728="","",C6728*D6728/100)</f>
        <v/>
      </c>
      <c r="F6728" s="15" t="str">
        <f aca="false">IF(B6728&lt;5,"Go","Standard")</f>
        <v>Standard</v>
      </c>
    </row>
    <row r="6729" customFormat="false" ht="15" hidden="false" customHeight="true" outlineLevel="0" collapsed="false">
      <c r="A6729" s="10" t="n">
        <f aca="false">Einstellungen!$B$5+INT((ROW()-9)/24)</f>
        <v>46246</v>
      </c>
      <c r="B6729" s="11" t="n">
        <f aca="false">MOD(ROW()-9,24)</f>
        <v>0</v>
      </c>
      <c r="C6729" s="12"/>
      <c r="D6729" s="13" t="n">
        <f aca="false">IF(B6729&lt;5,Einstellungen!$B$3,Einstellungen!$B$4)</f>
        <v>15.92</v>
      </c>
      <c r="E6729" s="14" t="str">
        <f aca="false">IF(C6729="","",C6729*D6729/100)</f>
        <v/>
      </c>
      <c r="F6729" s="15" t="str">
        <f aca="false">IF(B6729&lt;5,"Go","Standard")</f>
        <v>Go</v>
      </c>
    </row>
    <row r="6730" customFormat="false" ht="15" hidden="false" customHeight="true" outlineLevel="0" collapsed="false">
      <c r="A6730" s="10" t="n">
        <f aca="false">Einstellungen!$B$5+INT((ROW()-9)/24)</f>
        <v>46246</v>
      </c>
      <c r="B6730" s="11" t="n">
        <f aca="false">MOD(ROW()-9,24)</f>
        <v>1</v>
      </c>
      <c r="C6730" s="12"/>
      <c r="D6730" s="13" t="n">
        <f aca="false">IF(B6730&lt;5,Einstellungen!$B$3,Einstellungen!$B$4)</f>
        <v>15.92</v>
      </c>
      <c r="E6730" s="14" t="str">
        <f aca="false">IF(C6730="","",C6730*D6730/100)</f>
        <v/>
      </c>
      <c r="F6730" s="15" t="str">
        <f aca="false">IF(B6730&lt;5,"Go","Standard")</f>
        <v>Go</v>
      </c>
    </row>
    <row r="6731" customFormat="false" ht="15" hidden="false" customHeight="true" outlineLevel="0" collapsed="false">
      <c r="A6731" s="10" t="n">
        <f aca="false">Einstellungen!$B$5+INT((ROW()-9)/24)</f>
        <v>46246</v>
      </c>
      <c r="B6731" s="11" t="n">
        <f aca="false">MOD(ROW()-9,24)</f>
        <v>2</v>
      </c>
      <c r="C6731" s="12"/>
      <c r="D6731" s="13" t="n">
        <f aca="false">IF(B6731&lt;5,Einstellungen!$B$3,Einstellungen!$B$4)</f>
        <v>15.92</v>
      </c>
      <c r="E6731" s="14" t="str">
        <f aca="false">IF(C6731="","",C6731*D6731/100)</f>
        <v/>
      </c>
      <c r="F6731" s="15" t="str">
        <f aca="false">IF(B6731&lt;5,"Go","Standard")</f>
        <v>Go</v>
      </c>
    </row>
    <row r="6732" customFormat="false" ht="15" hidden="false" customHeight="true" outlineLevel="0" collapsed="false">
      <c r="A6732" s="10" t="n">
        <f aca="false">Einstellungen!$B$5+INT((ROW()-9)/24)</f>
        <v>46246</v>
      </c>
      <c r="B6732" s="11" t="n">
        <f aca="false">MOD(ROW()-9,24)</f>
        <v>3</v>
      </c>
      <c r="C6732" s="12"/>
      <c r="D6732" s="13" t="n">
        <f aca="false">IF(B6732&lt;5,Einstellungen!$B$3,Einstellungen!$B$4)</f>
        <v>15.92</v>
      </c>
      <c r="E6732" s="14" t="str">
        <f aca="false">IF(C6732="","",C6732*D6732/100)</f>
        <v/>
      </c>
      <c r="F6732" s="15" t="str">
        <f aca="false">IF(B6732&lt;5,"Go","Standard")</f>
        <v>Go</v>
      </c>
    </row>
    <row r="6733" customFormat="false" ht="15" hidden="false" customHeight="true" outlineLevel="0" collapsed="false">
      <c r="A6733" s="10" t="n">
        <f aca="false">Einstellungen!$B$5+INT((ROW()-9)/24)</f>
        <v>46246</v>
      </c>
      <c r="B6733" s="11" t="n">
        <f aca="false">MOD(ROW()-9,24)</f>
        <v>4</v>
      </c>
      <c r="C6733" s="12"/>
      <c r="D6733" s="13" t="n">
        <f aca="false">IF(B6733&lt;5,Einstellungen!$B$3,Einstellungen!$B$4)</f>
        <v>15.92</v>
      </c>
      <c r="E6733" s="14" t="str">
        <f aca="false">IF(C6733="","",C6733*D6733/100)</f>
        <v/>
      </c>
      <c r="F6733" s="15" t="str">
        <f aca="false">IF(B6733&lt;5,"Go","Standard")</f>
        <v>Go</v>
      </c>
    </row>
    <row r="6734" customFormat="false" ht="15" hidden="false" customHeight="true" outlineLevel="0" collapsed="false">
      <c r="A6734" s="10" t="n">
        <f aca="false">Einstellungen!$B$5+INT((ROW()-9)/24)</f>
        <v>46246</v>
      </c>
      <c r="B6734" s="11" t="n">
        <f aca="false">MOD(ROW()-9,24)</f>
        <v>5</v>
      </c>
      <c r="C6734" s="12"/>
      <c r="D6734" s="13" t="n">
        <f aca="false">IF(B6734&lt;5,Einstellungen!$B$3,Einstellungen!$B$4)</f>
        <v>29.13</v>
      </c>
      <c r="E6734" s="14" t="str">
        <f aca="false">IF(C6734="","",C6734*D6734/100)</f>
        <v/>
      </c>
      <c r="F6734" s="15" t="str">
        <f aca="false">IF(B6734&lt;5,"Go","Standard")</f>
        <v>Standard</v>
      </c>
    </row>
    <row r="6735" customFormat="false" ht="15" hidden="false" customHeight="true" outlineLevel="0" collapsed="false">
      <c r="A6735" s="10" t="n">
        <f aca="false">Einstellungen!$B$5+INT((ROW()-9)/24)</f>
        <v>46246</v>
      </c>
      <c r="B6735" s="11" t="n">
        <f aca="false">MOD(ROW()-9,24)</f>
        <v>6</v>
      </c>
      <c r="C6735" s="12"/>
      <c r="D6735" s="13" t="n">
        <f aca="false">IF(B6735&lt;5,Einstellungen!$B$3,Einstellungen!$B$4)</f>
        <v>29.13</v>
      </c>
      <c r="E6735" s="14" t="str">
        <f aca="false">IF(C6735="","",C6735*D6735/100)</f>
        <v/>
      </c>
      <c r="F6735" s="15" t="str">
        <f aca="false">IF(B6735&lt;5,"Go","Standard")</f>
        <v>Standard</v>
      </c>
    </row>
    <row r="6736" customFormat="false" ht="15" hidden="false" customHeight="true" outlineLevel="0" collapsed="false">
      <c r="A6736" s="10" t="n">
        <f aca="false">Einstellungen!$B$5+INT((ROW()-9)/24)</f>
        <v>46246</v>
      </c>
      <c r="B6736" s="11" t="n">
        <f aca="false">MOD(ROW()-9,24)</f>
        <v>7</v>
      </c>
      <c r="C6736" s="12"/>
      <c r="D6736" s="13" t="n">
        <f aca="false">IF(B6736&lt;5,Einstellungen!$B$3,Einstellungen!$B$4)</f>
        <v>29.13</v>
      </c>
      <c r="E6736" s="14" t="str">
        <f aca="false">IF(C6736="","",C6736*D6736/100)</f>
        <v/>
      </c>
      <c r="F6736" s="15" t="str">
        <f aca="false">IF(B6736&lt;5,"Go","Standard")</f>
        <v>Standard</v>
      </c>
    </row>
    <row r="6737" customFormat="false" ht="15" hidden="false" customHeight="true" outlineLevel="0" collapsed="false">
      <c r="A6737" s="10" t="n">
        <f aca="false">Einstellungen!$B$5+INT((ROW()-9)/24)</f>
        <v>46246</v>
      </c>
      <c r="B6737" s="11" t="n">
        <f aca="false">MOD(ROW()-9,24)</f>
        <v>8</v>
      </c>
      <c r="C6737" s="12"/>
      <c r="D6737" s="13" t="n">
        <f aca="false">IF(B6737&lt;5,Einstellungen!$B$3,Einstellungen!$B$4)</f>
        <v>29.13</v>
      </c>
      <c r="E6737" s="14" t="str">
        <f aca="false">IF(C6737="","",C6737*D6737/100)</f>
        <v/>
      </c>
      <c r="F6737" s="15" t="str">
        <f aca="false">IF(B6737&lt;5,"Go","Standard")</f>
        <v>Standard</v>
      </c>
    </row>
    <row r="6738" customFormat="false" ht="15" hidden="false" customHeight="true" outlineLevel="0" collapsed="false">
      <c r="A6738" s="10" t="n">
        <f aca="false">Einstellungen!$B$5+INT((ROW()-9)/24)</f>
        <v>46246</v>
      </c>
      <c r="B6738" s="11" t="n">
        <f aca="false">MOD(ROW()-9,24)</f>
        <v>9</v>
      </c>
      <c r="C6738" s="12"/>
      <c r="D6738" s="13" t="n">
        <f aca="false">IF(B6738&lt;5,Einstellungen!$B$3,Einstellungen!$B$4)</f>
        <v>29.13</v>
      </c>
      <c r="E6738" s="14" t="str">
        <f aca="false">IF(C6738="","",C6738*D6738/100)</f>
        <v/>
      </c>
      <c r="F6738" s="15" t="str">
        <f aca="false">IF(B6738&lt;5,"Go","Standard")</f>
        <v>Standard</v>
      </c>
    </row>
    <row r="6739" customFormat="false" ht="15" hidden="false" customHeight="true" outlineLevel="0" collapsed="false">
      <c r="A6739" s="10" t="n">
        <f aca="false">Einstellungen!$B$5+INT((ROW()-9)/24)</f>
        <v>46246</v>
      </c>
      <c r="B6739" s="11" t="n">
        <f aca="false">MOD(ROW()-9,24)</f>
        <v>10</v>
      </c>
      <c r="C6739" s="12"/>
      <c r="D6739" s="13" t="n">
        <f aca="false">IF(B6739&lt;5,Einstellungen!$B$3,Einstellungen!$B$4)</f>
        <v>29.13</v>
      </c>
      <c r="E6739" s="14" t="str">
        <f aca="false">IF(C6739="","",C6739*D6739/100)</f>
        <v/>
      </c>
      <c r="F6739" s="15" t="str">
        <f aca="false">IF(B6739&lt;5,"Go","Standard")</f>
        <v>Standard</v>
      </c>
    </row>
    <row r="6740" customFormat="false" ht="15" hidden="false" customHeight="true" outlineLevel="0" collapsed="false">
      <c r="A6740" s="10" t="n">
        <f aca="false">Einstellungen!$B$5+INT((ROW()-9)/24)</f>
        <v>46246</v>
      </c>
      <c r="B6740" s="11" t="n">
        <f aca="false">MOD(ROW()-9,24)</f>
        <v>11</v>
      </c>
      <c r="C6740" s="12"/>
      <c r="D6740" s="13" t="n">
        <f aca="false">IF(B6740&lt;5,Einstellungen!$B$3,Einstellungen!$B$4)</f>
        <v>29.13</v>
      </c>
      <c r="E6740" s="14" t="str">
        <f aca="false">IF(C6740="","",C6740*D6740/100)</f>
        <v/>
      </c>
      <c r="F6740" s="15" t="str">
        <f aca="false">IF(B6740&lt;5,"Go","Standard")</f>
        <v>Standard</v>
      </c>
    </row>
    <row r="6741" customFormat="false" ht="15" hidden="false" customHeight="true" outlineLevel="0" collapsed="false">
      <c r="A6741" s="10" t="n">
        <f aca="false">Einstellungen!$B$5+INT((ROW()-9)/24)</f>
        <v>46246</v>
      </c>
      <c r="B6741" s="11" t="n">
        <f aca="false">MOD(ROW()-9,24)</f>
        <v>12</v>
      </c>
      <c r="C6741" s="12"/>
      <c r="D6741" s="13" t="n">
        <f aca="false">IF(B6741&lt;5,Einstellungen!$B$3,Einstellungen!$B$4)</f>
        <v>29.13</v>
      </c>
      <c r="E6741" s="14" t="str">
        <f aca="false">IF(C6741="","",C6741*D6741/100)</f>
        <v/>
      </c>
      <c r="F6741" s="15" t="str">
        <f aca="false">IF(B6741&lt;5,"Go","Standard")</f>
        <v>Standard</v>
      </c>
    </row>
    <row r="6742" customFormat="false" ht="15" hidden="false" customHeight="true" outlineLevel="0" collapsed="false">
      <c r="A6742" s="10" t="n">
        <f aca="false">Einstellungen!$B$5+INT((ROW()-9)/24)</f>
        <v>46246</v>
      </c>
      <c r="B6742" s="11" t="n">
        <f aca="false">MOD(ROW()-9,24)</f>
        <v>13</v>
      </c>
      <c r="C6742" s="12"/>
      <c r="D6742" s="13" t="n">
        <f aca="false">IF(B6742&lt;5,Einstellungen!$B$3,Einstellungen!$B$4)</f>
        <v>29.13</v>
      </c>
      <c r="E6742" s="14" t="str">
        <f aca="false">IF(C6742="","",C6742*D6742/100)</f>
        <v/>
      </c>
      <c r="F6742" s="15" t="str">
        <f aca="false">IF(B6742&lt;5,"Go","Standard")</f>
        <v>Standard</v>
      </c>
    </row>
    <row r="6743" customFormat="false" ht="15" hidden="false" customHeight="true" outlineLevel="0" collapsed="false">
      <c r="A6743" s="10" t="n">
        <f aca="false">Einstellungen!$B$5+INT((ROW()-9)/24)</f>
        <v>46246</v>
      </c>
      <c r="B6743" s="11" t="n">
        <f aca="false">MOD(ROW()-9,24)</f>
        <v>14</v>
      </c>
      <c r="C6743" s="12"/>
      <c r="D6743" s="13" t="n">
        <f aca="false">IF(B6743&lt;5,Einstellungen!$B$3,Einstellungen!$B$4)</f>
        <v>29.13</v>
      </c>
      <c r="E6743" s="14" t="str">
        <f aca="false">IF(C6743="","",C6743*D6743/100)</f>
        <v/>
      </c>
      <c r="F6743" s="15" t="str">
        <f aca="false">IF(B6743&lt;5,"Go","Standard")</f>
        <v>Standard</v>
      </c>
    </row>
    <row r="6744" customFormat="false" ht="15" hidden="false" customHeight="true" outlineLevel="0" collapsed="false">
      <c r="A6744" s="10" t="n">
        <f aca="false">Einstellungen!$B$5+INT((ROW()-9)/24)</f>
        <v>46246</v>
      </c>
      <c r="B6744" s="11" t="n">
        <f aca="false">MOD(ROW()-9,24)</f>
        <v>15</v>
      </c>
      <c r="C6744" s="12"/>
      <c r="D6744" s="13" t="n">
        <f aca="false">IF(B6744&lt;5,Einstellungen!$B$3,Einstellungen!$B$4)</f>
        <v>29.13</v>
      </c>
      <c r="E6744" s="14" t="str">
        <f aca="false">IF(C6744="","",C6744*D6744/100)</f>
        <v/>
      </c>
      <c r="F6744" s="15" t="str">
        <f aca="false">IF(B6744&lt;5,"Go","Standard")</f>
        <v>Standard</v>
      </c>
    </row>
    <row r="6745" customFormat="false" ht="15" hidden="false" customHeight="true" outlineLevel="0" collapsed="false">
      <c r="A6745" s="10" t="n">
        <f aca="false">Einstellungen!$B$5+INT((ROW()-9)/24)</f>
        <v>46246</v>
      </c>
      <c r="B6745" s="11" t="n">
        <f aca="false">MOD(ROW()-9,24)</f>
        <v>16</v>
      </c>
      <c r="C6745" s="12"/>
      <c r="D6745" s="13" t="n">
        <f aca="false">IF(B6745&lt;5,Einstellungen!$B$3,Einstellungen!$B$4)</f>
        <v>29.13</v>
      </c>
      <c r="E6745" s="14" t="str">
        <f aca="false">IF(C6745="","",C6745*D6745/100)</f>
        <v/>
      </c>
      <c r="F6745" s="15" t="str">
        <f aca="false">IF(B6745&lt;5,"Go","Standard")</f>
        <v>Standard</v>
      </c>
    </row>
    <row r="6746" customFormat="false" ht="15" hidden="false" customHeight="true" outlineLevel="0" collapsed="false">
      <c r="A6746" s="10" t="n">
        <f aca="false">Einstellungen!$B$5+INT((ROW()-9)/24)</f>
        <v>46246</v>
      </c>
      <c r="B6746" s="11" t="n">
        <f aca="false">MOD(ROW()-9,24)</f>
        <v>17</v>
      </c>
      <c r="C6746" s="12"/>
      <c r="D6746" s="13" t="n">
        <f aca="false">IF(B6746&lt;5,Einstellungen!$B$3,Einstellungen!$B$4)</f>
        <v>29.13</v>
      </c>
      <c r="E6746" s="14" t="str">
        <f aca="false">IF(C6746="","",C6746*D6746/100)</f>
        <v/>
      </c>
      <c r="F6746" s="15" t="str">
        <f aca="false">IF(B6746&lt;5,"Go","Standard")</f>
        <v>Standard</v>
      </c>
    </row>
    <row r="6747" customFormat="false" ht="15" hidden="false" customHeight="true" outlineLevel="0" collapsed="false">
      <c r="A6747" s="10" t="n">
        <f aca="false">Einstellungen!$B$5+INT((ROW()-9)/24)</f>
        <v>46246</v>
      </c>
      <c r="B6747" s="11" t="n">
        <f aca="false">MOD(ROW()-9,24)</f>
        <v>18</v>
      </c>
      <c r="C6747" s="12"/>
      <c r="D6747" s="13" t="n">
        <f aca="false">IF(B6747&lt;5,Einstellungen!$B$3,Einstellungen!$B$4)</f>
        <v>29.13</v>
      </c>
      <c r="E6747" s="14" t="str">
        <f aca="false">IF(C6747="","",C6747*D6747/100)</f>
        <v/>
      </c>
      <c r="F6747" s="15" t="str">
        <f aca="false">IF(B6747&lt;5,"Go","Standard")</f>
        <v>Standard</v>
      </c>
    </row>
    <row r="6748" customFormat="false" ht="15" hidden="false" customHeight="true" outlineLevel="0" collapsed="false">
      <c r="A6748" s="10" t="n">
        <f aca="false">Einstellungen!$B$5+INT((ROW()-9)/24)</f>
        <v>46246</v>
      </c>
      <c r="B6748" s="11" t="n">
        <f aca="false">MOD(ROW()-9,24)</f>
        <v>19</v>
      </c>
      <c r="C6748" s="12"/>
      <c r="D6748" s="13" t="n">
        <f aca="false">IF(B6748&lt;5,Einstellungen!$B$3,Einstellungen!$B$4)</f>
        <v>29.13</v>
      </c>
      <c r="E6748" s="14" t="str">
        <f aca="false">IF(C6748="","",C6748*D6748/100)</f>
        <v/>
      </c>
      <c r="F6748" s="15" t="str">
        <f aca="false">IF(B6748&lt;5,"Go","Standard")</f>
        <v>Standard</v>
      </c>
    </row>
    <row r="6749" customFormat="false" ht="15" hidden="false" customHeight="true" outlineLevel="0" collapsed="false">
      <c r="A6749" s="10" t="n">
        <f aca="false">Einstellungen!$B$5+INT((ROW()-9)/24)</f>
        <v>46246</v>
      </c>
      <c r="B6749" s="11" t="n">
        <f aca="false">MOD(ROW()-9,24)</f>
        <v>20</v>
      </c>
      <c r="C6749" s="12"/>
      <c r="D6749" s="13" t="n">
        <f aca="false">IF(B6749&lt;5,Einstellungen!$B$3,Einstellungen!$B$4)</f>
        <v>29.13</v>
      </c>
      <c r="E6749" s="14" t="str">
        <f aca="false">IF(C6749="","",C6749*D6749/100)</f>
        <v/>
      </c>
      <c r="F6749" s="15" t="str">
        <f aca="false">IF(B6749&lt;5,"Go","Standard")</f>
        <v>Standard</v>
      </c>
    </row>
    <row r="6750" customFormat="false" ht="15" hidden="false" customHeight="true" outlineLevel="0" collapsed="false">
      <c r="A6750" s="10" t="n">
        <f aca="false">Einstellungen!$B$5+INT((ROW()-9)/24)</f>
        <v>46246</v>
      </c>
      <c r="B6750" s="11" t="n">
        <f aca="false">MOD(ROW()-9,24)</f>
        <v>21</v>
      </c>
      <c r="C6750" s="12"/>
      <c r="D6750" s="13" t="n">
        <f aca="false">IF(B6750&lt;5,Einstellungen!$B$3,Einstellungen!$B$4)</f>
        <v>29.13</v>
      </c>
      <c r="E6750" s="14" t="str">
        <f aca="false">IF(C6750="","",C6750*D6750/100)</f>
        <v/>
      </c>
      <c r="F6750" s="15" t="str">
        <f aca="false">IF(B6750&lt;5,"Go","Standard")</f>
        <v>Standard</v>
      </c>
    </row>
    <row r="6751" customFormat="false" ht="15" hidden="false" customHeight="true" outlineLevel="0" collapsed="false">
      <c r="A6751" s="10" t="n">
        <f aca="false">Einstellungen!$B$5+INT((ROW()-9)/24)</f>
        <v>46246</v>
      </c>
      <c r="B6751" s="11" t="n">
        <f aca="false">MOD(ROW()-9,24)</f>
        <v>22</v>
      </c>
      <c r="C6751" s="12"/>
      <c r="D6751" s="13" t="n">
        <f aca="false">IF(B6751&lt;5,Einstellungen!$B$3,Einstellungen!$B$4)</f>
        <v>29.13</v>
      </c>
      <c r="E6751" s="14" t="str">
        <f aca="false">IF(C6751="","",C6751*D6751/100)</f>
        <v/>
      </c>
      <c r="F6751" s="15" t="str">
        <f aca="false">IF(B6751&lt;5,"Go","Standard")</f>
        <v>Standard</v>
      </c>
    </row>
    <row r="6752" customFormat="false" ht="15" hidden="false" customHeight="true" outlineLevel="0" collapsed="false">
      <c r="A6752" s="10" t="n">
        <f aca="false">Einstellungen!$B$5+INT((ROW()-9)/24)</f>
        <v>46246</v>
      </c>
      <c r="B6752" s="11" t="n">
        <f aca="false">MOD(ROW()-9,24)</f>
        <v>23</v>
      </c>
      <c r="C6752" s="12"/>
      <c r="D6752" s="13" t="n">
        <f aca="false">IF(B6752&lt;5,Einstellungen!$B$3,Einstellungen!$B$4)</f>
        <v>29.13</v>
      </c>
      <c r="E6752" s="14" t="str">
        <f aca="false">IF(C6752="","",C6752*D6752/100)</f>
        <v/>
      </c>
      <c r="F6752" s="15" t="str">
        <f aca="false">IF(B6752&lt;5,"Go","Standard")</f>
        <v>Standard</v>
      </c>
    </row>
    <row r="6753" customFormat="false" ht="15" hidden="false" customHeight="true" outlineLevel="0" collapsed="false">
      <c r="A6753" s="10" t="n">
        <f aca="false">Einstellungen!$B$5+INT((ROW()-9)/24)</f>
        <v>46247</v>
      </c>
      <c r="B6753" s="11" t="n">
        <f aca="false">MOD(ROW()-9,24)</f>
        <v>0</v>
      </c>
      <c r="C6753" s="12"/>
      <c r="D6753" s="13" t="n">
        <f aca="false">IF(B6753&lt;5,Einstellungen!$B$3,Einstellungen!$B$4)</f>
        <v>15.92</v>
      </c>
      <c r="E6753" s="14" t="str">
        <f aca="false">IF(C6753="","",C6753*D6753/100)</f>
        <v/>
      </c>
      <c r="F6753" s="15" t="str">
        <f aca="false">IF(B6753&lt;5,"Go","Standard")</f>
        <v>Go</v>
      </c>
    </row>
    <row r="6754" customFormat="false" ht="15" hidden="false" customHeight="true" outlineLevel="0" collapsed="false">
      <c r="A6754" s="10" t="n">
        <f aca="false">Einstellungen!$B$5+INT((ROW()-9)/24)</f>
        <v>46247</v>
      </c>
      <c r="B6754" s="11" t="n">
        <f aca="false">MOD(ROW()-9,24)</f>
        <v>1</v>
      </c>
      <c r="C6754" s="12"/>
      <c r="D6754" s="13" t="n">
        <f aca="false">IF(B6754&lt;5,Einstellungen!$B$3,Einstellungen!$B$4)</f>
        <v>15.92</v>
      </c>
      <c r="E6754" s="14" t="str">
        <f aca="false">IF(C6754="","",C6754*D6754/100)</f>
        <v/>
      </c>
      <c r="F6754" s="15" t="str">
        <f aca="false">IF(B6754&lt;5,"Go","Standard")</f>
        <v>Go</v>
      </c>
    </row>
    <row r="6755" customFormat="false" ht="15" hidden="false" customHeight="true" outlineLevel="0" collapsed="false">
      <c r="A6755" s="10" t="n">
        <f aca="false">Einstellungen!$B$5+INT((ROW()-9)/24)</f>
        <v>46247</v>
      </c>
      <c r="B6755" s="11" t="n">
        <f aca="false">MOD(ROW()-9,24)</f>
        <v>2</v>
      </c>
      <c r="C6755" s="12"/>
      <c r="D6755" s="13" t="n">
        <f aca="false">IF(B6755&lt;5,Einstellungen!$B$3,Einstellungen!$B$4)</f>
        <v>15.92</v>
      </c>
      <c r="E6755" s="14" t="str">
        <f aca="false">IF(C6755="","",C6755*D6755/100)</f>
        <v/>
      </c>
      <c r="F6755" s="15" t="str">
        <f aca="false">IF(B6755&lt;5,"Go","Standard")</f>
        <v>Go</v>
      </c>
    </row>
    <row r="6756" customFormat="false" ht="15" hidden="false" customHeight="true" outlineLevel="0" collapsed="false">
      <c r="A6756" s="10" t="n">
        <f aca="false">Einstellungen!$B$5+INT((ROW()-9)/24)</f>
        <v>46247</v>
      </c>
      <c r="B6756" s="11" t="n">
        <f aca="false">MOD(ROW()-9,24)</f>
        <v>3</v>
      </c>
      <c r="C6756" s="12"/>
      <c r="D6756" s="13" t="n">
        <f aca="false">IF(B6756&lt;5,Einstellungen!$B$3,Einstellungen!$B$4)</f>
        <v>15.92</v>
      </c>
      <c r="E6756" s="14" t="str">
        <f aca="false">IF(C6756="","",C6756*D6756/100)</f>
        <v/>
      </c>
      <c r="F6756" s="15" t="str">
        <f aca="false">IF(B6756&lt;5,"Go","Standard")</f>
        <v>Go</v>
      </c>
    </row>
    <row r="6757" customFormat="false" ht="15" hidden="false" customHeight="true" outlineLevel="0" collapsed="false">
      <c r="A6757" s="10" t="n">
        <f aca="false">Einstellungen!$B$5+INT((ROW()-9)/24)</f>
        <v>46247</v>
      </c>
      <c r="B6757" s="11" t="n">
        <f aca="false">MOD(ROW()-9,24)</f>
        <v>4</v>
      </c>
      <c r="C6757" s="12"/>
      <c r="D6757" s="13" t="n">
        <f aca="false">IF(B6757&lt;5,Einstellungen!$B$3,Einstellungen!$B$4)</f>
        <v>15.92</v>
      </c>
      <c r="E6757" s="14" t="str">
        <f aca="false">IF(C6757="","",C6757*D6757/100)</f>
        <v/>
      </c>
      <c r="F6757" s="15" t="str">
        <f aca="false">IF(B6757&lt;5,"Go","Standard")</f>
        <v>Go</v>
      </c>
    </row>
    <row r="6758" customFormat="false" ht="15" hidden="false" customHeight="true" outlineLevel="0" collapsed="false">
      <c r="A6758" s="10" t="n">
        <f aca="false">Einstellungen!$B$5+INT((ROW()-9)/24)</f>
        <v>46247</v>
      </c>
      <c r="B6758" s="11" t="n">
        <f aca="false">MOD(ROW()-9,24)</f>
        <v>5</v>
      </c>
      <c r="C6758" s="12"/>
      <c r="D6758" s="13" t="n">
        <f aca="false">IF(B6758&lt;5,Einstellungen!$B$3,Einstellungen!$B$4)</f>
        <v>29.13</v>
      </c>
      <c r="E6758" s="14" t="str">
        <f aca="false">IF(C6758="","",C6758*D6758/100)</f>
        <v/>
      </c>
      <c r="F6758" s="15" t="str">
        <f aca="false">IF(B6758&lt;5,"Go","Standard")</f>
        <v>Standard</v>
      </c>
    </row>
    <row r="6759" customFormat="false" ht="15" hidden="false" customHeight="true" outlineLevel="0" collapsed="false">
      <c r="A6759" s="10" t="n">
        <f aca="false">Einstellungen!$B$5+INT((ROW()-9)/24)</f>
        <v>46247</v>
      </c>
      <c r="B6759" s="11" t="n">
        <f aca="false">MOD(ROW()-9,24)</f>
        <v>6</v>
      </c>
      <c r="C6759" s="12"/>
      <c r="D6759" s="13" t="n">
        <f aca="false">IF(B6759&lt;5,Einstellungen!$B$3,Einstellungen!$B$4)</f>
        <v>29.13</v>
      </c>
      <c r="E6759" s="14" t="str">
        <f aca="false">IF(C6759="","",C6759*D6759/100)</f>
        <v/>
      </c>
      <c r="F6759" s="15" t="str">
        <f aca="false">IF(B6759&lt;5,"Go","Standard")</f>
        <v>Standard</v>
      </c>
    </row>
    <row r="6760" customFormat="false" ht="15" hidden="false" customHeight="true" outlineLevel="0" collapsed="false">
      <c r="A6760" s="10" t="n">
        <f aca="false">Einstellungen!$B$5+INT((ROW()-9)/24)</f>
        <v>46247</v>
      </c>
      <c r="B6760" s="11" t="n">
        <f aca="false">MOD(ROW()-9,24)</f>
        <v>7</v>
      </c>
      <c r="C6760" s="12"/>
      <c r="D6760" s="13" t="n">
        <f aca="false">IF(B6760&lt;5,Einstellungen!$B$3,Einstellungen!$B$4)</f>
        <v>29.13</v>
      </c>
      <c r="E6760" s="14" t="str">
        <f aca="false">IF(C6760="","",C6760*D6760/100)</f>
        <v/>
      </c>
      <c r="F6760" s="15" t="str">
        <f aca="false">IF(B6760&lt;5,"Go","Standard")</f>
        <v>Standard</v>
      </c>
    </row>
    <row r="6761" customFormat="false" ht="15" hidden="false" customHeight="true" outlineLevel="0" collapsed="false">
      <c r="A6761" s="10" t="n">
        <f aca="false">Einstellungen!$B$5+INT((ROW()-9)/24)</f>
        <v>46247</v>
      </c>
      <c r="B6761" s="11" t="n">
        <f aca="false">MOD(ROW()-9,24)</f>
        <v>8</v>
      </c>
      <c r="C6761" s="12"/>
      <c r="D6761" s="13" t="n">
        <f aca="false">IF(B6761&lt;5,Einstellungen!$B$3,Einstellungen!$B$4)</f>
        <v>29.13</v>
      </c>
      <c r="E6761" s="14" t="str">
        <f aca="false">IF(C6761="","",C6761*D6761/100)</f>
        <v/>
      </c>
      <c r="F6761" s="15" t="str">
        <f aca="false">IF(B6761&lt;5,"Go","Standard")</f>
        <v>Standard</v>
      </c>
    </row>
    <row r="6762" customFormat="false" ht="15" hidden="false" customHeight="true" outlineLevel="0" collapsed="false">
      <c r="A6762" s="10" t="n">
        <f aca="false">Einstellungen!$B$5+INT((ROW()-9)/24)</f>
        <v>46247</v>
      </c>
      <c r="B6762" s="11" t="n">
        <f aca="false">MOD(ROW()-9,24)</f>
        <v>9</v>
      </c>
      <c r="C6762" s="12"/>
      <c r="D6762" s="13" t="n">
        <f aca="false">IF(B6762&lt;5,Einstellungen!$B$3,Einstellungen!$B$4)</f>
        <v>29.13</v>
      </c>
      <c r="E6762" s="14" t="str">
        <f aca="false">IF(C6762="","",C6762*D6762/100)</f>
        <v/>
      </c>
      <c r="F6762" s="15" t="str">
        <f aca="false">IF(B6762&lt;5,"Go","Standard")</f>
        <v>Standard</v>
      </c>
    </row>
    <row r="6763" customFormat="false" ht="15" hidden="false" customHeight="true" outlineLevel="0" collapsed="false">
      <c r="A6763" s="10" t="n">
        <f aca="false">Einstellungen!$B$5+INT((ROW()-9)/24)</f>
        <v>46247</v>
      </c>
      <c r="B6763" s="11" t="n">
        <f aca="false">MOD(ROW()-9,24)</f>
        <v>10</v>
      </c>
      <c r="C6763" s="12"/>
      <c r="D6763" s="13" t="n">
        <f aca="false">IF(B6763&lt;5,Einstellungen!$B$3,Einstellungen!$B$4)</f>
        <v>29.13</v>
      </c>
      <c r="E6763" s="14" t="str">
        <f aca="false">IF(C6763="","",C6763*D6763/100)</f>
        <v/>
      </c>
      <c r="F6763" s="15" t="str">
        <f aca="false">IF(B6763&lt;5,"Go","Standard")</f>
        <v>Standard</v>
      </c>
    </row>
    <row r="6764" customFormat="false" ht="15" hidden="false" customHeight="true" outlineLevel="0" collapsed="false">
      <c r="A6764" s="10" t="n">
        <f aca="false">Einstellungen!$B$5+INT((ROW()-9)/24)</f>
        <v>46247</v>
      </c>
      <c r="B6764" s="11" t="n">
        <f aca="false">MOD(ROW()-9,24)</f>
        <v>11</v>
      </c>
      <c r="C6764" s="12"/>
      <c r="D6764" s="13" t="n">
        <f aca="false">IF(B6764&lt;5,Einstellungen!$B$3,Einstellungen!$B$4)</f>
        <v>29.13</v>
      </c>
      <c r="E6764" s="14" t="str">
        <f aca="false">IF(C6764="","",C6764*D6764/100)</f>
        <v/>
      </c>
      <c r="F6764" s="15" t="str">
        <f aca="false">IF(B6764&lt;5,"Go","Standard")</f>
        <v>Standard</v>
      </c>
    </row>
    <row r="6765" customFormat="false" ht="15" hidden="false" customHeight="true" outlineLevel="0" collapsed="false">
      <c r="A6765" s="10" t="n">
        <f aca="false">Einstellungen!$B$5+INT((ROW()-9)/24)</f>
        <v>46247</v>
      </c>
      <c r="B6765" s="11" t="n">
        <f aca="false">MOD(ROW()-9,24)</f>
        <v>12</v>
      </c>
      <c r="C6765" s="12"/>
      <c r="D6765" s="13" t="n">
        <f aca="false">IF(B6765&lt;5,Einstellungen!$B$3,Einstellungen!$B$4)</f>
        <v>29.13</v>
      </c>
      <c r="E6765" s="14" t="str">
        <f aca="false">IF(C6765="","",C6765*D6765/100)</f>
        <v/>
      </c>
      <c r="F6765" s="15" t="str">
        <f aca="false">IF(B6765&lt;5,"Go","Standard")</f>
        <v>Standard</v>
      </c>
    </row>
    <row r="6766" customFormat="false" ht="15" hidden="false" customHeight="true" outlineLevel="0" collapsed="false">
      <c r="A6766" s="10" t="n">
        <f aca="false">Einstellungen!$B$5+INT((ROW()-9)/24)</f>
        <v>46247</v>
      </c>
      <c r="B6766" s="11" t="n">
        <f aca="false">MOD(ROW()-9,24)</f>
        <v>13</v>
      </c>
      <c r="C6766" s="12"/>
      <c r="D6766" s="13" t="n">
        <f aca="false">IF(B6766&lt;5,Einstellungen!$B$3,Einstellungen!$B$4)</f>
        <v>29.13</v>
      </c>
      <c r="E6766" s="14" t="str">
        <f aca="false">IF(C6766="","",C6766*D6766/100)</f>
        <v/>
      </c>
      <c r="F6766" s="15" t="str">
        <f aca="false">IF(B6766&lt;5,"Go","Standard")</f>
        <v>Standard</v>
      </c>
    </row>
    <row r="6767" customFormat="false" ht="15" hidden="false" customHeight="true" outlineLevel="0" collapsed="false">
      <c r="A6767" s="10" t="n">
        <f aca="false">Einstellungen!$B$5+INT((ROW()-9)/24)</f>
        <v>46247</v>
      </c>
      <c r="B6767" s="11" t="n">
        <f aca="false">MOD(ROW()-9,24)</f>
        <v>14</v>
      </c>
      <c r="C6767" s="12"/>
      <c r="D6767" s="13" t="n">
        <f aca="false">IF(B6767&lt;5,Einstellungen!$B$3,Einstellungen!$B$4)</f>
        <v>29.13</v>
      </c>
      <c r="E6767" s="14" t="str">
        <f aca="false">IF(C6767="","",C6767*D6767/100)</f>
        <v/>
      </c>
      <c r="F6767" s="15" t="str">
        <f aca="false">IF(B6767&lt;5,"Go","Standard")</f>
        <v>Standard</v>
      </c>
    </row>
    <row r="6768" customFormat="false" ht="15" hidden="false" customHeight="true" outlineLevel="0" collapsed="false">
      <c r="A6768" s="10" t="n">
        <f aca="false">Einstellungen!$B$5+INT((ROW()-9)/24)</f>
        <v>46247</v>
      </c>
      <c r="B6768" s="11" t="n">
        <f aca="false">MOD(ROW()-9,24)</f>
        <v>15</v>
      </c>
      <c r="C6768" s="12"/>
      <c r="D6768" s="13" t="n">
        <f aca="false">IF(B6768&lt;5,Einstellungen!$B$3,Einstellungen!$B$4)</f>
        <v>29.13</v>
      </c>
      <c r="E6768" s="14" t="str">
        <f aca="false">IF(C6768="","",C6768*D6768/100)</f>
        <v/>
      </c>
      <c r="F6768" s="15" t="str">
        <f aca="false">IF(B6768&lt;5,"Go","Standard")</f>
        <v>Standard</v>
      </c>
    </row>
    <row r="6769" customFormat="false" ht="15" hidden="false" customHeight="true" outlineLevel="0" collapsed="false">
      <c r="A6769" s="10" t="n">
        <f aca="false">Einstellungen!$B$5+INT((ROW()-9)/24)</f>
        <v>46247</v>
      </c>
      <c r="B6769" s="11" t="n">
        <f aca="false">MOD(ROW()-9,24)</f>
        <v>16</v>
      </c>
      <c r="C6769" s="12"/>
      <c r="D6769" s="13" t="n">
        <f aca="false">IF(B6769&lt;5,Einstellungen!$B$3,Einstellungen!$B$4)</f>
        <v>29.13</v>
      </c>
      <c r="E6769" s="14" t="str">
        <f aca="false">IF(C6769="","",C6769*D6769/100)</f>
        <v/>
      </c>
      <c r="F6769" s="15" t="str">
        <f aca="false">IF(B6769&lt;5,"Go","Standard")</f>
        <v>Standard</v>
      </c>
    </row>
    <row r="6770" customFormat="false" ht="15" hidden="false" customHeight="true" outlineLevel="0" collapsed="false">
      <c r="A6770" s="10" t="n">
        <f aca="false">Einstellungen!$B$5+INT((ROW()-9)/24)</f>
        <v>46247</v>
      </c>
      <c r="B6770" s="11" t="n">
        <f aca="false">MOD(ROW()-9,24)</f>
        <v>17</v>
      </c>
      <c r="C6770" s="12"/>
      <c r="D6770" s="13" t="n">
        <f aca="false">IF(B6770&lt;5,Einstellungen!$B$3,Einstellungen!$B$4)</f>
        <v>29.13</v>
      </c>
      <c r="E6770" s="14" t="str">
        <f aca="false">IF(C6770="","",C6770*D6770/100)</f>
        <v/>
      </c>
      <c r="F6770" s="15" t="str">
        <f aca="false">IF(B6770&lt;5,"Go","Standard")</f>
        <v>Standard</v>
      </c>
    </row>
    <row r="6771" customFormat="false" ht="15" hidden="false" customHeight="true" outlineLevel="0" collapsed="false">
      <c r="A6771" s="10" t="n">
        <f aca="false">Einstellungen!$B$5+INT((ROW()-9)/24)</f>
        <v>46247</v>
      </c>
      <c r="B6771" s="11" t="n">
        <f aca="false">MOD(ROW()-9,24)</f>
        <v>18</v>
      </c>
      <c r="C6771" s="12"/>
      <c r="D6771" s="13" t="n">
        <f aca="false">IF(B6771&lt;5,Einstellungen!$B$3,Einstellungen!$B$4)</f>
        <v>29.13</v>
      </c>
      <c r="E6771" s="14" t="str">
        <f aca="false">IF(C6771="","",C6771*D6771/100)</f>
        <v/>
      </c>
      <c r="F6771" s="15" t="str">
        <f aca="false">IF(B6771&lt;5,"Go","Standard")</f>
        <v>Standard</v>
      </c>
    </row>
    <row r="6772" customFormat="false" ht="15" hidden="false" customHeight="true" outlineLevel="0" collapsed="false">
      <c r="A6772" s="10" t="n">
        <f aca="false">Einstellungen!$B$5+INT((ROW()-9)/24)</f>
        <v>46247</v>
      </c>
      <c r="B6772" s="11" t="n">
        <f aca="false">MOD(ROW()-9,24)</f>
        <v>19</v>
      </c>
      <c r="C6772" s="12"/>
      <c r="D6772" s="13" t="n">
        <f aca="false">IF(B6772&lt;5,Einstellungen!$B$3,Einstellungen!$B$4)</f>
        <v>29.13</v>
      </c>
      <c r="E6772" s="14" t="str">
        <f aca="false">IF(C6772="","",C6772*D6772/100)</f>
        <v/>
      </c>
      <c r="F6772" s="15" t="str">
        <f aca="false">IF(B6772&lt;5,"Go","Standard")</f>
        <v>Standard</v>
      </c>
    </row>
    <row r="6773" customFormat="false" ht="15" hidden="false" customHeight="true" outlineLevel="0" collapsed="false">
      <c r="A6773" s="10" t="n">
        <f aca="false">Einstellungen!$B$5+INT((ROW()-9)/24)</f>
        <v>46247</v>
      </c>
      <c r="B6773" s="11" t="n">
        <f aca="false">MOD(ROW()-9,24)</f>
        <v>20</v>
      </c>
      <c r="C6773" s="12"/>
      <c r="D6773" s="13" t="n">
        <f aca="false">IF(B6773&lt;5,Einstellungen!$B$3,Einstellungen!$B$4)</f>
        <v>29.13</v>
      </c>
      <c r="E6773" s="14" t="str">
        <f aca="false">IF(C6773="","",C6773*D6773/100)</f>
        <v/>
      </c>
      <c r="F6773" s="15" t="str">
        <f aca="false">IF(B6773&lt;5,"Go","Standard")</f>
        <v>Standard</v>
      </c>
    </row>
    <row r="6774" customFormat="false" ht="15" hidden="false" customHeight="true" outlineLevel="0" collapsed="false">
      <c r="A6774" s="10" t="n">
        <f aca="false">Einstellungen!$B$5+INT((ROW()-9)/24)</f>
        <v>46247</v>
      </c>
      <c r="B6774" s="11" t="n">
        <f aca="false">MOD(ROW()-9,24)</f>
        <v>21</v>
      </c>
      <c r="C6774" s="12"/>
      <c r="D6774" s="13" t="n">
        <f aca="false">IF(B6774&lt;5,Einstellungen!$B$3,Einstellungen!$B$4)</f>
        <v>29.13</v>
      </c>
      <c r="E6774" s="14" t="str">
        <f aca="false">IF(C6774="","",C6774*D6774/100)</f>
        <v/>
      </c>
      <c r="F6774" s="15" t="str">
        <f aca="false">IF(B6774&lt;5,"Go","Standard")</f>
        <v>Standard</v>
      </c>
    </row>
    <row r="6775" customFormat="false" ht="15" hidden="false" customHeight="true" outlineLevel="0" collapsed="false">
      <c r="A6775" s="10" t="n">
        <f aca="false">Einstellungen!$B$5+INT((ROW()-9)/24)</f>
        <v>46247</v>
      </c>
      <c r="B6775" s="11" t="n">
        <f aca="false">MOD(ROW()-9,24)</f>
        <v>22</v>
      </c>
      <c r="C6775" s="12"/>
      <c r="D6775" s="13" t="n">
        <f aca="false">IF(B6775&lt;5,Einstellungen!$B$3,Einstellungen!$B$4)</f>
        <v>29.13</v>
      </c>
      <c r="E6775" s="14" t="str">
        <f aca="false">IF(C6775="","",C6775*D6775/100)</f>
        <v/>
      </c>
      <c r="F6775" s="15" t="str">
        <f aca="false">IF(B6775&lt;5,"Go","Standard")</f>
        <v>Standard</v>
      </c>
    </row>
    <row r="6776" customFormat="false" ht="15" hidden="false" customHeight="true" outlineLevel="0" collapsed="false">
      <c r="A6776" s="10" t="n">
        <f aca="false">Einstellungen!$B$5+INT((ROW()-9)/24)</f>
        <v>46247</v>
      </c>
      <c r="B6776" s="11" t="n">
        <f aca="false">MOD(ROW()-9,24)</f>
        <v>23</v>
      </c>
      <c r="C6776" s="12"/>
      <c r="D6776" s="13" t="n">
        <f aca="false">IF(B6776&lt;5,Einstellungen!$B$3,Einstellungen!$B$4)</f>
        <v>29.13</v>
      </c>
      <c r="E6776" s="14" t="str">
        <f aca="false">IF(C6776="","",C6776*D6776/100)</f>
        <v/>
      </c>
      <c r="F6776" s="15" t="str">
        <f aca="false">IF(B6776&lt;5,"Go","Standard")</f>
        <v>Standard</v>
      </c>
    </row>
    <row r="6777" customFormat="false" ht="15" hidden="false" customHeight="true" outlineLevel="0" collapsed="false">
      <c r="A6777" s="10" t="n">
        <f aca="false">Einstellungen!$B$5+INT((ROW()-9)/24)</f>
        <v>46248</v>
      </c>
      <c r="B6777" s="11" t="n">
        <f aca="false">MOD(ROW()-9,24)</f>
        <v>0</v>
      </c>
      <c r="C6777" s="12"/>
      <c r="D6777" s="13" t="n">
        <f aca="false">IF(B6777&lt;5,Einstellungen!$B$3,Einstellungen!$B$4)</f>
        <v>15.92</v>
      </c>
      <c r="E6777" s="14" t="str">
        <f aca="false">IF(C6777="","",C6777*D6777/100)</f>
        <v/>
      </c>
      <c r="F6777" s="15" t="str">
        <f aca="false">IF(B6777&lt;5,"Go","Standard")</f>
        <v>Go</v>
      </c>
    </row>
    <row r="6778" customFormat="false" ht="15" hidden="false" customHeight="true" outlineLevel="0" collapsed="false">
      <c r="A6778" s="10" t="n">
        <f aca="false">Einstellungen!$B$5+INT((ROW()-9)/24)</f>
        <v>46248</v>
      </c>
      <c r="B6778" s="11" t="n">
        <f aca="false">MOD(ROW()-9,24)</f>
        <v>1</v>
      </c>
      <c r="C6778" s="12"/>
      <c r="D6778" s="13" t="n">
        <f aca="false">IF(B6778&lt;5,Einstellungen!$B$3,Einstellungen!$B$4)</f>
        <v>15.92</v>
      </c>
      <c r="E6778" s="14" t="str">
        <f aca="false">IF(C6778="","",C6778*D6778/100)</f>
        <v/>
      </c>
      <c r="F6778" s="15" t="str">
        <f aca="false">IF(B6778&lt;5,"Go","Standard")</f>
        <v>Go</v>
      </c>
    </row>
    <row r="6779" customFormat="false" ht="15" hidden="false" customHeight="true" outlineLevel="0" collapsed="false">
      <c r="A6779" s="10" t="n">
        <f aca="false">Einstellungen!$B$5+INT((ROW()-9)/24)</f>
        <v>46248</v>
      </c>
      <c r="B6779" s="11" t="n">
        <f aca="false">MOD(ROW()-9,24)</f>
        <v>2</v>
      </c>
      <c r="C6779" s="12"/>
      <c r="D6779" s="13" t="n">
        <f aca="false">IF(B6779&lt;5,Einstellungen!$B$3,Einstellungen!$B$4)</f>
        <v>15.92</v>
      </c>
      <c r="E6779" s="14" t="str">
        <f aca="false">IF(C6779="","",C6779*D6779/100)</f>
        <v/>
      </c>
      <c r="F6779" s="15" t="str">
        <f aca="false">IF(B6779&lt;5,"Go","Standard")</f>
        <v>Go</v>
      </c>
    </row>
    <row r="6780" customFormat="false" ht="15" hidden="false" customHeight="true" outlineLevel="0" collapsed="false">
      <c r="A6780" s="10" t="n">
        <f aca="false">Einstellungen!$B$5+INT((ROW()-9)/24)</f>
        <v>46248</v>
      </c>
      <c r="B6780" s="11" t="n">
        <f aca="false">MOD(ROW()-9,24)</f>
        <v>3</v>
      </c>
      <c r="C6780" s="12"/>
      <c r="D6780" s="13" t="n">
        <f aca="false">IF(B6780&lt;5,Einstellungen!$B$3,Einstellungen!$B$4)</f>
        <v>15.92</v>
      </c>
      <c r="E6780" s="14" t="str">
        <f aca="false">IF(C6780="","",C6780*D6780/100)</f>
        <v/>
      </c>
      <c r="F6780" s="15" t="str">
        <f aca="false">IF(B6780&lt;5,"Go","Standard")</f>
        <v>Go</v>
      </c>
    </row>
    <row r="6781" customFormat="false" ht="15" hidden="false" customHeight="true" outlineLevel="0" collapsed="false">
      <c r="A6781" s="10" t="n">
        <f aca="false">Einstellungen!$B$5+INT((ROW()-9)/24)</f>
        <v>46248</v>
      </c>
      <c r="B6781" s="11" t="n">
        <f aca="false">MOD(ROW()-9,24)</f>
        <v>4</v>
      </c>
      <c r="C6781" s="12"/>
      <c r="D6781" s="13" t="n">
        <f aca="false">IF(B6781&lt;5,Einstellungen!$B$3,Einstellungen!$B$4)</f>
        <v>15.92</v>
      </c>
      <c r="E6781" s="14" t="str">
        <f aca="false">IF(C6781="","",C6781*D6781/100)</f>
        <v/>
      </c>
      <c r="F6781" s="15" t="str">
        <f aca="false">IF(B6781&lt;5,"Go","Standard")</f>
        <v>Go</v>
      </c>
    </row>
    <row r="6782" customFormat="false" ht="15" hidden="false" customHeight="true" outlineLevel="0" collapsed="false">
      <c r="A6782" s="10" t="n">
        <f aca="false">Einstellungen!$B$5+INT((ROW()-9)/24)</f>
        <v>46248</v>
      </c>
      <c r="B6782" s="11" t="n">
        <f aca="false">MOD(ROW()-9,24)</f>
        <v>5</v>
      </c>
      <c r="C6782" s="12"/>
      <c r="D6782" s="13" t="n">
        <f aca="false">IF(B6782&lt;5,Einstellungen!$B$3,Einstellungen!$B$4)</f>
        <v>29.13</v>
      </c>
      <c r="E6782" s="14" t="str">
        <f aca="false">IF(C6782="","",C6782*D6782/100)</f>
        <v/>
      </c>
      <c r="F6782" s="15" t="str">
        <f aca="false">IF(B6782&lt;5,"Go","Standard")</f>
        <v>Standard</v>
      </c>
    </row>
    <row r="6783" customFormat="false" ht="15" hidden="false" customHeight="true" outlineLevel="0" collapsed="false">
      <c r="A6783" s="10" t="n">
        <f aca="false">Einstellungen!$B$5+INT((ROW()-9)/24)</f>
        <v>46248</v>
      </c>
      <c r="B6783" s="11" t="n">
        <f aca="false">MOD(ROW()-9,24)</f>
        <v>6</v>
      </c>
      <c r="C6783" s="12"/>
      <c r="D6783" s="13" t="n">
        <f aca="false">IF(B6783&lt;5,Einstellungen!$B$3,Einstellungen!$B$4)</f>
        <v>29.13</v>
      </c>
      <c r="E6783" s="14" t="str">
        <f aca="false">IF(C6783="","",C6783*D6783/100)</f>
        <v/>
      </c>
      <c r="F6783" s="15" t="str">
        <f aca="false">IF(B6783&lt;5,"Go","Standard")</f>
        <v>Standard</v>
      </c>
    </row>
    <row r="6784" customFormat="false" ht="15" hidden="false" customHeight="true" outlineLevel="0" collapsed="false">
      <c r="A6784" s="10" t="n">
        <f aca="false">Einstellungen!$B$5+INT((ROW()-9)/24)</f>
        <v>46248</v>
      </c>
      <c r="B6784" s="11" t="n">
        <f aca="false">MOD(ROW()-9,24)</f>
        <v>7</v>
      </c>
      <c r="C6784" s="12"/>
      <c r="D6784" s="13" t="n">
        <f aca="false">IF(B6784&lt;5,Einstellungen!$B$3,Einstellungen!$B$4)</f>
        <v>29.13</v>
      </c>
      <c r="E6784" s="14" t="str">
        <f aca="false">IF(C6784="","",C6784*D6784/100)</f>
        <v/>
      </c>
      <c r="F6784" s="15" t="str">
        <f aca="false">IF(B6784&lt;5,"Go","Standard")</f>
        <v>Standard</v>
      </c>
    </row>
    <row r="6785" customFormat="false" ht="15" hidden="false" customHeight="true" outlineLevel="0" collapsed="false">
      <c r="A6785" s="10" t="n">
        <f aca="false">Einstellungen!$B$5+INT((ROW()-9)/24)</f>
        <v>46248</v>
      </c>
      <c r="B6785" s="11" t="n">
        <f aca="false">MOD(ROW()-9,24)</f>
        <v>8</v>
      </c>
      <c r="C6785" s="12"/>
      <c r="D6785" s="13" t="n">
        <f aca="false">IF(B6785&lt;5,Einstellungen!$B$3,Einstellungen!$B$4)</f>
        <v>29.13</v>
      </c>
      <c r="E6785" s="14" t="str">
        <f aca="false">IF(C6785="","",C6785*D6785/100)</f>
        <v/>
      </c>
      <c r="F6785" s="15" t="str">
        <f aca="false">IF(B6785&lt;5,"Go","Standard")</f>
        <v>Standard</v>
      </c>
    </row>
    <row r="6786" customFormat="false" ht="15" hidden="false" customHeight="true" outlineLevel="0" collapsed="false">
      <c r="A6786" s="10" t="n">
        <f aca="false">Einstellungen!$B$5+INT((ROW()-9)/24)</f>
        <v>46248</v>
      </c>
      <c r="B6786" s="11" t="n">
        <f aca="false">MOD(ROW()-9,24)</f>
        <v>9</v>
      </c>
      <c r="C6786" s="12"/>
      <c r="D6786" s="13" t="n">
        <f aca="false">IF(B6786&lt;5,Einstellungen!$B$3,Einstellungen!$B$4)</f>
        <v>29.13</v>
      </c>
      <c r="E6786" s="14" t="str">
        <f aca="false">IF(C6786="","",C6786*D6786/100)</f>
        <v/>
      </c>
      <c r="F6786" s="15" t="str">
        <f aca="false">IF(B6786&lt;5,"Go","Standard")</f>
        <v>Standard</v>
      </c>
    </row>
    <row r="6787" customFormat="false" ht="15" hidden="false" customHeight="true" outlineLevel="0" collapsed="false">
      <c r="A6787" s="10" t="n">
        <f aca="false">Einstellungen!$B$5+INT((ROW()-9)/24)</f>
        <v>46248</v>
      </c>
      <c r="B6787" s="11" t="n">
        <f aca="false">MOD(ROW()-9,24)</f>
        <v>10</v>
      </c>
      <c r="C6787" s="12"/>
      <c r="D6787" s="13" t="n">
        <f aca="false">IF(B6787&lt;5,Einstellungen!$B$3,Einstellungen!$B$4)</f>
        <v>29.13</v>
      </c>
      <c r="E6787" s="14" t="str">
        <f aca="false">IF(C6787="","",C6787*D6787/100)</f>
        <v/>
      </c>
      <c r="F6787" s="15" t="str">
        <f aca="false">IF(B6787&lt;5,"Go","Standard")</f>
        <v>Standard</v>
      </c>
    </row>
    <row r="6788" customFormat="false" ht="15" hidden="false" customHeight="true" outlineLevel="0" collapsed="false">
      <c r="A6788" s="10" t="n">
        <f aca="false">Einstellungen!$B$5+INT((ROW()-9)/24)</f>
        <v>46248</v>
      </c>
      <c r="B6788" s="11" t="n">
        <f aca="false">MOD(ROW()-9,24)</f>
        <v>11</v>
      </c>
      <c r="C6788" s="12"/>
      <c r="D6788" s="13" t="n">
        <f aca="false">IF(B6788&lt;5,Einstellungen!$B$3,Einstellungen!$B$4)</f>
        <v>29.13</v>
      </c>
      <c r="E6788" s="14" t="str">
        <f aca="false">IF(C6788="","",C6788*D6788/100)</f>
        <v/>
      </c>
      <c r="F6788" s="15" t="str">
        <f aca="false">IF(B6788&lt;5,"Go","Standard")</f>
        <v>Standard</v>
      </c>
    </row>
    <row r="6789" customFormat="false" ht="15" hidden="false" customHeight="true" outlineLevel="0" collapsed="false">
      <c r="A6789" s="10" t="n">
        <f aca="false">Einstellungen!$B$5+INT((ROW()-9)/24)</f>
        <v>46248</v>
      </c>
      <c r="B6789" s="11" t="n">
        <f aca="false">MOD(ROW()-9,24)</f>
        <v>12</v>
      </c>
      <c r="C6789" s="12"/>
      <c r="D6789" s="13" t="n">
        <f aca="false">IF(B6789&lt;5,Einstellungen!$B$3,Einstellungen!$B$4)</f>
        <v>29.13</v>
      </c>
      <c r="E6789" s="14" t="str">
        <f aca="false">IF(C6789="","",C6789*D6789/100)</f>
        <v/>
      </c>
      <c r="F6789" s="15" t="str">
        <f aca="false">IF(B6789&lt;5,"Go","Standard")</f>
        <v>Standard</v>
      </c>
    </row>
    <row r="6790" customFormat="false" ht="15" hidden="false" customHeight="true" outlineLevel="0" collapsed="false">
      <c r="A6790" s="10" t="n">
        <f aca="false">Einstellungen!$B$5+INT((ROW()-9)/24)</f>
        <v>46248</v>
      </c>
      <c r="B6790" s="11" t="n">
        <f aca="false">MOD(ROW()-9,24)</f>
        <v>13</v>
      </c>
      <c r="C6790" s="12"/>
      <c r="D6790" s="13" t="n">
        <f aca="false">IF(B6790&lt;5,Einstellungen!$B$3,Einstellungen!$B$4)</f>
        <v>29.13</v>
      </c>
      <c r="E6790" s="14" t="str">
        <f aca="false">IF(C6790="","",C6790*D6790/100)</f>
        <v/>
      </c>
      <c r="F6790" s="15" t="str">
        <f aca="false">IF(B6790&lt;5,"Go","Standard")</f>
        <v>Standard</v>
      </c>
    </row>
    <row r="6791" customFormat="false" ht="15" hidden="false" customHeight="true" outlineLevel="0" collapsed="false">
      <c r="A6791" s="10" t="n">
        <f aca="false">Einstellungen!$B$5+INT((ROW()-9)/24)</f>
        <v>46248</v>
      </c>
      <c r="B6791" s="11" t="n">
        <f aca="false">MOD(ROW()-9,24)</f>
        <v>14</v>
      </c>
      <c r="C6791" s="12"/>
      <c r="D6791" s="13" t="n">
        <f aca="false">IF(B6791&lt;5,Einstellungen!$B$3,Einstellungen!$B$4)</f>
        <v>29.13</v>
      </c>
      <c r="E6791" s="14" t="str">
        <f aca="false">IF(C6791="","",C6791*D6791/100)</f>
        <v/>
      </c>
      <c r="F6791" s="15" t="str">
        <f aca="false">IF(B6791&lt;5,"Go","Standard")</f>
        <v>Standard</v>
      </c>
    </row>
    <row r="6792" customFormat="false" ht="15" hidden="false" customHeight="true" outlineLevel="0" collapsed="false">
      <c r="A6792" s="10" t="n">
        <f aca="false">Einstellungen!$B$5+INT((ROW()-9)/24)</f>
        <v>46248</v>
      </c>
      <c r="B6792" s="11" t="n">
        <f aca="false">MOD(ROW()-9,24)</f>
        <v>15</v>
      </c>
      <c r="C6792" s="12"/>
      <c r="D6792" s="13" t="n">
        <f aca="false">IF(B6792&lt;5,Einstellungen!$B$3,Einstellungen!$B$4)</f>
        <v>29.13</v>
      </c>
      <c r="E6792" s="14" t="str">
        <f aca="false">IF(C6792="","",C6792*D6792/100)</f>
        <v/>
      </c>
      <c r="F6792" s="15" t="str">
        <f aca="false">IF(B6792&lt;5,"Go","Standard")</f>
        <v>Standard</v>
      </c>
    </row>
    <row r="6793" customFormat="false" ht="15" hidden="false" customHeight="true" outlineLevel="0" collapsed="false">
      <c r="A6793" s="10" t="n">
        <f aca="false">Einstellungen!$B$5+INT((ROW()-9)/24)</f>
        <v>46248</v>
      </c>
      <c r="B6793" s="11" t="n">
        <f aca="false">MOD(ROW()-9,24)</f>
        <v>16</v>
      </c>
      <c r="C6793" s="12"/>
      <c r="D6793" s="13" t="n">
        <f aca="false">IF(B6793&lt;5,Einstellungen!$B$3,Einstellungen!$B$4)</f>
        <v>29.13</v>
      </c>
      <c r="E6793" s="14" t="str">
        <f aca="false">IF(C6793="","",C6793*D6793/100)</f>
        <v/>
      </c>
      <c r="F6793" s="15" t="str">
        <f aca="false">IF(B6793&lt;5,"Go","Standard")</f>
        <v>Standard</v>
      </c>
    </row>
    <row r="6794" customFormat="false" ht="15" hidden="false" customHeight="true" outlineLevel="0" collapsed="false">
      <c r="A6794" s="10" t="n">
        <f aca="false">Einstellungen!$B$5+INT((ROW()-9)/24)</f>
        <v>46248</v>
      </c>
      <c r="B6794" s="11" t="n">
        <f aca="false">MOD(ROW()-9,24)</f>
        <v>17</v>
      </c>
      <c r="C6794" s="12"/>
      <c r="D6794" s="13" t="n">
        <f aca="false">IF(B6794&lt;5,Einstellungen!$B$3,Einstellungen!$B$4)</f>
        <v>29.13</v>
      </c>
      <c r="E6794" s="14" t="str">
        <f aca="false">IF(C6794="","",C6794*D6794/100)</f>
        <v/>
      </c>
      <c r="F6794" s="15" t="str">
        <f aca="false">IF(B6794&lt;5,"Go","Standard")</f>
        <v>Standard</v>
      </c>
    </row>
    <row r="6795" customFormat="false" ht="15" hidden="false" customHeight="true" outlineLevel="0" collapsed="false">
      <c r="A6795" s="10" t="n">
        <f aca="false">Einstellungen!$B$5+INT((ROW()-9)/24)</f>
        <v>46248</v>
      </c>
      <c r="B6795" s="11" t="n">
        <f aca="false">MOD(ROW()-9,24)</f>
        <v>18</v>
      </c>
      <c r="C6795" s="12"/>
      <c r="D6795" s="13" t="n">
        <f aca="false">IF(B6795&lt;5,Einstellungen!$B$3,Einstellungen!$B$4)</f>
        <v>29.13</v>
      </c>
      <c r="E6795" s="14" t="str">
        <f aca="false">IF(C6795="","",C6795*D6795/100)</f>
        <v/>
      </c>
      <c r="F6795" s="15" t="str">
        <f aca="false">IF(B6795&lt;5,"Go","Standard")</f>
        <v>Standard</v>
      </c>
    </row>
    <row r="6796" customFormat="false" ht="15" hidden="false" customHeight="true" outlineLevel="0" collapsed="false">
      <c r="A6796" s="10" t="n">
        <f aca="false">Einstellungen!$B$5+INT((ROW()-9)/24)</f>
        <v>46248</v>
      </c>
      <c r="B6796" s="11" t="n">
        <f aca="false">MOD(ROW()-9,24)</f>
        <v>19</v>
      </c>
      <c r="C6796" s="12"/>
      <c r="D6796" s="13" t="n">
        <f aca="false">IF(B6796&lt;5,Einstellungen!$B$3,Einstellungen!$B$4)</f>
        <v>29.13</v>
      </c>
      <c r="E6796" s="14" t="str">
        <f aca="false">IF(C6796="","",C6796*D6796/100)</f>
        <v/>
      </c>
      <c r="F6796" s="15" t="str">
        <f aca="false">IF(B6796&lt;5,"Go","Standard")</f>
        <v>Standard</v>
      </c>
    </row>
    <row r="6797" customFormat="false" ht="15" hidden="false" customHeight="true" outlineLevel="0" collapsed="false">
      <c r="A6797" s="10" t="n">
        <f aca="false">Einstellungen!$B$5+INT((ROW()-9)/24)</f>
        <v>46248</v>
      </c>
      <c r="B6797" s="11" t="n">
        <f aca="false">MOD(ROW()-9,24)</f>
        <v>20</v>
      </c>
      <c r="C6797" s="12"/>
      <c r="D6797" s="13" t="n">
        <f aca="false">IF(B6797&lt;5,Einstellungen!$B$3,Einstellungen!$B$4)</f>
        <v>29.13</v>
      </c>
      <c r="E6797" s="14" t="str">
        <f aca="false">IF(C6797="","",C6797*D6797/100)</f>
        <v/>
      </c>
      <c r="F6797" s="15" t="str">
        <f aca="false">IF(B6797&lt;5,"Go","Standard")</f>
        <v>Standard</v>
      </c>
    </row>
    <row r="6798" customFormat="false" ht="15" hidden="false" customHeight="true" outlineLevel="0" collapsed="false">
      <c r="A6798" s="10" t="n">
        <f aca="false">Einstellungen!$B$5+INT((ROW()-9)/24)</f>
        <v>46248</v>
      </c>
      <c r="B6798" s="11" t="n">
        <f aca="false">MOD(ROW()-9,24)</f>
        <v>21</v>
      </c>
      <c r="C6798" s="12"/>
      <c r="D6798" s="13" t="n">
        <f aca="false">IF(B6798&lt;5,Einstellungen!$B$3,Einstellungen!$B$4)</f>
        <v>29.13</v>
      </c>
      <c r="E6798" s="14" t="str">
        <f aca="false">IF(C6798="","",C6798*D6798/100)</f>
        <v/>
      </c>
      <c r="F6798" s="15" t="str">
        <f aca="false">IF(B6798&lt;5,"Go","Standard")</f>
        <v>Standard</v>
      </c>
    </row>
    <row r="6799" customFormat="false" ht="15" hidden="false" customHeight="true" outlineLevel="0" collapsed="false">
      <c r="A6799" s="10" t="n">
        <f aca="false">Einstellungen!$B$5+INT((ROW()-9)/24)</f>
        <v>46248</v>
      </c>
      <c r="B6799" s="11" t="n">
        <f aca="false">MOD(ROW()-9,24)</f>
        <v>22</v>
      </c>
      <c r="C6799" s="12"/>
      <c r="D6799" s="13" t="n">
        <f aca="false">IF(B6799&lt;5,Einstellungen!$B$3,Einstellungen!$B$4)</f>
        <v>29.13</v>
      </c>
      <c r="E6799" s="14" t="str">
        <f aca="false">IF(C6799="","",C6799*D6799/100)</f>
        <v/>
      </c>
      <c r="F6799" s="15" t="str">
        <f aca="false">IF(B6799&lt;5,"Go","Standard")</f>
        <v>Standard</v>
      </c>
    </row>
    <row r="6800" customFormat="false" ht="15" hidden="false" customHeight="true" outlineLevel="0" collapsed="false">
      <c r="A6800" s="10" t="n">
        <f aca="false">Einstellungen!$B$5+INT((ROW()-9)/24)</f>
        <v>46248</v>
      </c>
      <c r="B6800" s="11" t="n">
        <f aca="false">MOD(ROW()-9,24)</f>
        <v>23</v>
      </c>
      <c r="C6800" s="12"/>
      <c r="D6800" s="13" t="n">
        <f aca="false">IF(B6800&lt;5,Einstellungen!$B$3,Einstellungen!$B$4)</f>
        <v>29.13</v>
      </c>
      <c r="E6800" s="14" t="str">
        <f aca="false">IF(C6800="","",C6800*D6800/100)</f>
        <v/>
      </c>
      <c r="F6800" s="15" t="str">
        <f aca="false">IF(B6800&lt;5,"Go","Standard")</f>
        <v>Standard</v>
      </c>
    </row>
    <row r="6801" customFormat="false" ht="15" hidden="false" customHeight="true" outlineLevel="0" collapsed="false">
      <c r="A6801" s="10" t="n">
        <f aca="false">Einstellungen!$B$5+INT((ROW()-9)/24)</f>
        <v>46249</v>
      </c>
      <c r="B6801" s="11" t="n">
        <f aca="false">MOD(ROW()-9,24)</f>
        <v>0</v>
      </c>
      <c r="C6801" s="12"/>
      <c r="D6801" s="13" t="n">
        <f aca="false">IF(B6801&lt;5,Einstellungen!$B$3,Einstellungen!$B$4)</f>
        <v>15.92</v>
      </c>
      <c r="E6801" s="14" t="str">
        <f aca="false">IF(C6801="","",C6801*D6801/100)</f>
        <v/>
      </c>
      <c r="F6801" s="15" t="str">
        <f aca="false">IF(B6801&lt;5,"Go","Standard")</f>
        <v>Go</v>
      </c>
    </row>
    <row r="6802" customFormat="false" ht="15" hidden="false" customHeight="true" outlineLevel="0" collapsed="false">
      <c r="A6802" s="10" t="n">
        <f aca="false">Einstellungen!$B$5+INT((ROW()-9)/24)</f>
        <v>46249</v>
      </c>
      <c r="B6802" s="11" t="n">
        <f aca="false">MOD(ROW()-9,24)</f>
        <v>1</v>
      </c>
      <c r="C6802" s="12"/>
      <c r="D6802" s="13" t="n">
        <f aca="false">IF(B6802&lt;5,Einstellungen!$B$3,Einstellungen!$B$4)</f>
        <v>15.92</v>
      </c>
      <c r="E6802" s="14" t="str">
        <f aca="false">IF(C6802="","",C6802*D6802/100)</f>
        <v/>
      </c>
      <c r="F6802" s="15" t="str">
        <f aca="false">IF(B6802&lt;5,"Go","Standard")</f>
        <v>Go</v>
      </c>
    </row>
    <row r="6803" customFormat="false" ht="15" hidden="false" customHeight="true" outlineLevel="0" collapsed="false">
      <c r="A6803" s="10" t="n">
        <f aca="false">Einstellungen!$B$5+INT((ROW()-9)/24)</f>
        <v>46249</v>
      </c>
      <c r="B6803" s="11" t="n">
        <f aca="false">MOD(ROW()-9,24)</f>
        <v>2</v>
      </c>
      <c r="C6803" s="12"/>
      <c r="D6803" s="13" t="n">
        <f aca="false">IF(B6803&lt;5,Einstellungen!$B$3,Einstellungen!$B$4)</f>
        <v>15.92</v>
      </c>
      <c r="E6803" s="14" t="str">
        <f aca="false">IF(C6803="","",C6803*D6803/100)</f>
        <v/>
      </c>
      <c r="F6803" s="15" t="str">
        <f aca="false">IF(B6803&lt;5,"Go","Standard")</f>
        <v>Go</v>
      </c>
    </row>
    <row r="6804" customFormat="false" ht="15" hidden="false" customHeight="true" outlineLevel="0" collapsed="false">
      <c r="A6804" s="10" t="n">
        <f aca="false">Einstellungen!$B$5+INT((ROW()-9)/24)</f>
        <v>46249</v>
      </c>
      <c r="B6804" s="11" t="n">
        <f aca="false">MOD(ROW()-9,24)</f>
        <v>3</v>
      </c>
      <c r="C6804" s="12"/>
      <c r="D6804" s="13" t="n">
        <f aca="false">IF(B6804&lt;5,Einstellungen!$B$3,Einstellungen!$B$4)</f>
        <v>15.92</v>
      </c>
      <c r="E6804" s="14" t="str">
        <f aca="false">IF(C6804="","",C6804*D6804/100)</f>
        <v/>
      </c>
      <c r="F6804" s="15" t="str">
        <f aca="false">IF(B6804&lt;5,"Go","Standard")</f>
        <v>Go</v>
      </c>
    </row>
    <row r="6805" customFormat="false" ht="15" hidden="false" customHeight="true" outlineLevel="0" collapsed="false">
      <c r="A6805" s="10" t="n">
        <f aca="false">Einstellungen!$B$5+INT((ROW()-9)/24)</f>
        <v>46249</v>
      </c>
      <c r="B6805" s="11" t="n">
        <f aca="false">MOD(ROW()-9,24)</f>
        <v>4</v>
      </c>
      <c r="C6805" s="12"/>
      <c r="D6805" s="13" t="n">
        <f aca="false">IF(B6805&lt;5,Einstellungen!$B$3,Einstellungen!$B$4)</f>
        <v>15.92</v>
      </c>
      <c r="E6805" s="14" t="str">
        <f aca="false">IF(C6805="","",C6805*D6805/100)</f>
        <v/>
      </c>
      <c r="F6805" s="15" t="str">
        <f aca="false">IF(B6805&lt;5,"Go","Standard")</f>
        <v>Go</v>
      </c>
    </row>
    <row r="6806" customFormat="false" ht="15" hidden="false" customHeight="true" outlineLevel="0" collapsed="false">
      <c r="A6806" s="10" t="n">
        <f aca="false">Einstellungen!$B$5+INT((ROW()-9)/24)</f>
        <v>46249</v>
      </c>
      <c r="B6806" s="11" t="n">
        <f aca="false">MOD(ROW()-9,24)</f>
        <v>5</v>
      </c>
      <c r="C6806" s="12"/>
      <c r="D6806" s="13" t="n">
        <f aca="false">IF(B6806&lt;5,Einstellungen!$B$3,Einstellungen!$B$4)</f>
        <v>29.13</v>
      </c>
      <c r="E6806" s="14" t="str">
        <f aca="false">IF(C6806="","",C6806*D6806/100)</f>
        <v/>
      </c>
      <c r="F6806" s="15" t="str">
        <f aca="false">IF(B6806&lt;5,"Go","Standard")</f>
        <v>Standard</v>
      </c>
    </row>
    <row r="6807" customFormat="false" ht="15" hidden="false" customHeight="true" outlineLevel="0" collapsed="false">
      <c r="A6807" s="10" t="n">
        <f aca="false">Einstellungen!$B$5+INT((ROW()-9)/24)</f>
        <v>46249</v>
      </c>
      <c r="B6807" s="11" t="n">
        <f aca="false">MOD(ROW()-9,24)</f>
        <v>6</v>
      </c>
      <c r="C6807" s="12"/>
      <c r="D6807" s="13" t="n">
        <f aca="false">IF(B6807&lt;5,Einstellungen!$B$3,Einstellungen!$B$4)</f>
        <v>29.13</v>
      </c>
      <c r="E6807" s="14" t="str">
        <f aca="false">IF(C6807="","",C6807*D6807/100)</f>
        <v/>
      </c>
      <c r="F6807" s="15" t="str">
        <f aca="false">IF(B6807&lt;5,"Go","Standard")</f>
        <v>Standard</v>
      </c>
    </row>
    <row r="6808" customFormat="false" ht="15" hidden="false" customHeight="true" outlineLevel="0" collapsed="false">
      <c r="A6808" s="10" t="n">
        <f aca="false">Einstellungen!$B$5+INT((ROW()-9)/24)</f>
        <v>46249</v>
      </c>
      <c r="B6808" s="11" t="n">
        <f aca="false">MOD(ROW()-9,24)</f>
        <v>7</v>
      </c>
      <c r="C6808" s="12"/>
      <c r="D6808" s="13" t="n">
        <f aca="false">IF(B6808&lt;5,Einstellungen!$B$3,Einstellungen!$B$4)</f>
        <v>29.13</v>
      </c>
      <c r="E6808" s="14" t="str">
        <f aca="false">IF(C6808="","",C6808*D6808/100)</f>
        <v/>
      </c>
      <c r="F6808" s="15" t="str">
        <f aca="false">IF(B6808&lt;5,"Go","Standard")</f>
        <v>Standard</v>
      </c>
    </row>
    <row r="6809" customFormat="false" ht="15" hidden="false" customHeight="true" outlineLevel="0" collapsed="false">
      <c r="A6809" s="10" t="n">
        <f aca="false">Einstellungen!$B$5+INT((ROW()-9)/24)</f>
        <v>46249</v>
      </c>
      <c r="B6809" s="11" t="n">
        <f aca="false">MOD(ROW()-9,24)</f>
        <v>8</v>
      </c>
      <c r="C6809" s="12"/>
      <c r="D6809" s="13" t="n">
        <f aca="false">IF(B6809&lt;5,Einstellungen!$B$3,Einstellungen!$B$4)</f>
        <v>29.13</v>
      </c>
      <c r="E6809" s="14" t="str">
        <f aca="false">IF(C6809="","",C6809*D6809/100)</f>
        <v/>
      </c>
      <c r="F6809" s="15" t="str">
        <f aca="false">IF(B6809&lt;5,"Go","Standard")</f>
        <v>Standard</v>
      </c>
    </row>
    <row r="6810" customFormat="false" ht="15" hidden="false" customHeight="true" outlineLevel="0" collapsed="false">
      <c r="A6810" s="10" t="n">
        <f aca="false">Einstellungen!$B$5+INT((ROW()-9)/24)</f>
        <v>46249</v>
      </c>
      <c r="B6810" s="11" t="n">
        <f aca="false">MOD(ROW()-9,24)</f>
        <v>9</v>
      </c>
      <c r="C6810" s="12"/>
      <c r="D6810" s="13" t="n">
        <f aca="false">IF(B6810&lt;5,Einstellungen!$B$3,Einstellungen!$B$4)</f>
        <v>29.13</v>
      </c>
      <c r="E6810" s="14" t="str">
        <f aca="false">IF(C6810="","",C6810*D6810/100)</f>
        <v/>
      </c>
      <c r="F6810" s="15" t="str">
        <f aca="false">IF(B6810&lt;5,"Go","Standard")</f>
        <v>Standard</v>
      </c>
    </row>
    <row r="6811" customFormat="false" ht="15" hidden="false" customHeight="true" outlineLevel="0" collapsed="false">
      <c r="A6811" s="10" t="n">
        <f aca="false">Einstellungen!$B$5+INT((ROW()-9)/24)</f>
        <v>46249</v>
      </c>
      <c r="B6811" s="11" t="n">
        <f aca="false">MOD(ROW()-9,24)</f>
        <v>10</v>
      </c>
      <c r="C6811" s="12"/>
      <c r="D6811" s="13" t="n">
        <f aca="false">IF(B6811&lt;5,Einstellungen!$B$3,Einstellungen!$B$4)</f>
        <v>29.13</v>
      </c>
      <c r="E6811" s="14" t="str">
        <f aca="false">IF(C6811="","",C6811*D6811/100)</f>
        <v/>
      </c>
      <c r="F6811" s="15" t="str">
        <f aca="false">IF(B6811&lt;5,"Go","Standard")</f>
        <v>Standard</v>
      </c>
    </row>
    <row r="6812" customFormat="false" ht="15" hidden="false" customHeight="true" outlineLevel="0" collapsed="false">
      <c r="A6812" s="10" t="n">
        <f aca="false">Einstellungen!$B$5+INT((ROW()-9)/24)</f>
        <v>46249</v>
      </c>
      <c r="B6812" s="11" t="n">
        <f aca="false">MOD(ROW()-9,24)</f>
        <v>11</v>
      </c>
      <c r="C6812" s="12"/>
      <c r="D6812" s="13" t="n">
        <f aca="false">IF(B6812&lt;5,Einstellungen!$B$3,Einstellungen!$B$4)</f>
        <v>29.13</v>
      </c>
      <c r="E6812" s="14" t="str">
        <f aca="false">IF(C6812="","",C6812*D6812/100)</f>
        <v/>
      </c>
      <c r="F6812" s="15" t="str">
        <f aca="false">IF(B6812&lt;5,"Go","Standard")</f>
        <v>Standard</v>
      </c>
    </row>
    <row r="6813" customFormat="false" ht="15" hidden="false" customHeight="true" outlineLevel="0" collapsed="false">
      <c r="A6813" s="10" t="n">
        <f aca="false">Einstellungen!$B$5+INT((ROW()-9)/24)</f>
        <v>46249</v>
      </c>
      <c r="B6813" s="11" t="n">
        <f aca="false">MOD(ROW()-9,24)</f>
        <v>12</v>
      </c>
      <c r="C6813" s="12"/>
      <c r="D6813" s="13" t="n">
        <f aca="false">IF(B6813&lt;5,Einstellungen!$B$3,Einstellungen!$B$4)</f>
        <v>29.13</v>
      </c>
      <c r="E6813" s="14" t="str">
        <f aca="false">IF(C6813="","",C6813*D6813/100)</f>
        <v/>
      </c>
      <c r="F6813" s="15" t="str">
        <f aca="false">IF(B6813&lt;5,"Go","Standard")</f>
        <v>Standard</v>
      </c>
    </row>
    <row r="6814" customFormat="false" ht="15" hidden="false" customHeight="true" outlineLevel="0" collapsed="false">
      <c r="A6814" s="10" t="n">
        <f aca="false">Einstellungen!$B$5+INT((ROW()-9)/24)</f>
        <v>46249</v>
      </c>
      <c r="B6814" s="11" t="n">
        <f aca="false">MOD(ROW()-9,24)</f>
        <v>13</v>
      </c>
      <c r="C6814" s="12"/>
      <c r="D6814" s="13" t="n">
        <f aca="false">IF(B6814&lt;5,Einstellungen!$B$3,Einstellungen!$B$4)</f>
        <v>29.13</v>
      </c>
      <c r="E6814" s="14" t="str">
        <f aca="false">IF(C6814="","",C6814*D6814/100)</f>
        <v/>
      </c>
      <c r="F6814" s="15" t="str">
        <f aca="false">IF(B6814&lt;5,"Go","Standard")</f>
        <v>Standard</v>
      </c>
    </row>
    <row r="6815" customFormat="false" ht="15" hidden="false" customHeight="true" outlineLevel="0" collapsed="false">
      <c r="A6815" s="10" t="n">
        <f aca="false">Einstellungen!$B$5+INT((ROW()-9)/24)</f>
        <v>46249</v>
      </c>
      <c r="B6815" s="11" t="n">
        <f aca="false">MOD(ROW()-9,24)</f>
        <v>14</v>
      </c>
      <c r="C6815" s="12"/>
      <c r="D6815" s="13" t="n">
        <f aca="false">IF(B6815&lt;5,Einstellungen!$B$3,Einstellungen!$B$4)</f>
        <v>29.13</v>
      </c>
      <c r="E6815" s="14" t="str">
        <f aca="false">IF(C6815="","",C6815*D6815/100)</f>
        <v/>
      </c>
      <c r="F6815" s="15" t="str">
        <f aca="false">IF(B6815&lt;5,"Go","Standard")</f>
        <v>Standard</v>
      </c>
    </row>
    <row r="6816" customFormat="false" ht="15" hidden="false" customHeight="true" outlineLevel="0" collapsed="false">
      <c r="A6816" s="10" t="n">
        <f aca="false">Einstellungen!$B$5+INT((ROW()-9)/24)</f>
        <v>46249</v>
      </c>
      <c r="B6816" s="11" t="n">
        <f aca="false">MOD(ROW()-9,24)</f>
        <v>15</v>
      </c>
      <c r="C6816" s="12"/>
      <c r="D6816" s="13" t="n">
        <f aca="false">IF(B6816&lt;5,Einstellungen!$B$3,Einstellungen!$B$4)</f>
        <v>29.13</v>
      </c>
      <c r="E6816" s="14" t="str">
        <f aca="false">IF(C6816="","",C6816*D6816/100)</f>
        <v/>
      </c>
      <c r="F6816" s="15" t="str">
        <f aca="false">IF(B6816&lt;5,"Go","Standard")</f>
        <v>Standard</v>
      </c>
    </row>
    <row r="6817" customFormat="false" ht="15" hidden="false" customHeight="true" outlineLevel="0" collapsed="false">
      <c r="A6817" s="10" t="n">
        <f aca="false">Einstellungen!$B$5+INT((ROW()-9)/24)</f>
        <v>46249</v>
      </c>
      <c r="B6817" s="11" t="n">
        <f aca="false">MOD(ROW()-9,24)</f>
        <v>16</v>
      </c>
      <c r="C6817" s="12"/>
      <c r="D6817" s="13" t="n">
        <f aca="false">IF(B6817&lt;5,Einstellungen!$B$3,Einstellungen!$B$4)</f>
        <v>29.13</v>
      </c>
      <c r="E6817" s="14" t="str">
        <f aca="false">IF(C6817="","",C6817*D6817/100)</f>
        <v/>
      </c>
      <c r="F6817" s="15" t="str">
        <f aca="false">IF(B6817&lt;5,"Go","Standard")</f>
        <v>Standard</v>
      </c>
    </row>
    <row r="6818" customFormat="false" ht="15" hidden="false" customHeight="true" outlineLevel="0" collapsed="false">
      <c r="A6818" s="10" t="n">
        <f aca="false">Einstellungen!$B$5+INT((ROW()-9)/24)</f>
        <v>46249</v>
      </c>
      <c r="B6818" s="11" t="n">
        <f aca="false">MOD(ROW()-9,24)</f>
        <v>17</v>
      </c>
      <c r="C6818" s="12"/>
      <c r="D6818" s="13" t="n">
        <f aca="false">IF(B6818&lt;5,Einstellungen!$B$3,Einstellungen!$B$4)</f>
        <v>29.13</v>
      </c>
      <c r="E6818" s="14" t="str">
        <f aca="false">IF(C6818="","",C6818*D6818/100)</f>
        <v/>
      </c>
      <c r="F6818" s="15" t="str">
        <f aca="false">IF(B6818&lt;5,"Go","Standard")</f>
        <v>Standard</v>
      </c>
    </row>
    <row r="6819" customFormat="false" ht="15" hidden="false" customHeight="true" outlineLevel="0" collapsed="false">
      <c r="A6819" s="10" t="n">
        <f aca="false">Einstellungen!$B$5+INT((ROW()-9)/24)</f>
        <v>46249</v>
      </c>
      <c r="B6819" s="11" t="n">
        <f aca="false">MOD(ROW()-9,24)</f>
        <v>18</v>
      </c>
      <c r="C6819" s="12"/>
      <c r="D6819" s="13" t="n">
        <f aca="false">IF(B6819&lt;5,Einstellungen!$B$3,Einstellungen!$B$4)</f>
        <v>29.13</v>
      </c>
      <c r="E6819" s="14" t="str">
        <f aca="false">IF(C6819="","",C6819*D6819/100)</f>
        <v/>
      </c>
      <c r="F6819" s="15" t="str">
        <f aca="false">IF(B6819&lt;5,"Go","Standard")</f>
        <v>Standard</v>
      </c>
    </row>
    <row r="6820" customFormat="false" ht="15" hidden="false" customHeight="true" outlineLevel="0" collapsed="false">
      <c r="A6820" s="10" t="n">
        <f aca="false">Einstellungen!$B$5+INT((ROW()-9)/24)</f>
        <v>46249</v>
      </c>
      <c r="B6820" s="11" t="n">
        <f aca="false">MOD(ROW()-9,24)</f>
        <v>19</v>
      </c>
      <c r="C6820" s="12"/>
      <c r="D6820" s="13" t="n">
        <f aca="false">IF(B6820&lt;5,Einstellungen!$B$3,Einstellungen!$B$4)</f>
        <v>29.13</v>
      </c>
      <c r="E6820" s="14" t="str">
        <f aca="false">IF(C6820="","",C6820*D6820/100)</f>
        <v/>
      </c>
      <c r="F6820" s="15" t="str">
        <f aca="false">IF(B6820&lt;5,"Go","Standard")</f>
        <v>Standard</v>
      </c>
    </row>
    <row r="6821" customFormat="false" ht="15" hidden="false" customHeight="true" outlineLevel="0" collapsed="false">
      <c r="A6821" s="10" t="n">
        <f aca="false">Einstellungen!$B$5+INT((ROW()-9)/24)</f>
        <v>46249</v>
      </c>
      <c r="B6821" s="11" t="n">
        <f aca="false">MOD(ROW()-9,24)</f>
        <v>20</v>
      </c>
      <c r="C6821" s="12"/>
      <c r="D6821" s="13" t="n">
        <f aca="false">IF(B6821&lt;5,Einstellungen!$B$3,Einstellungen!$B$4)</f>
        <v>29.13</v>
      </c>
      <c r="E6821" s="14" t="str">
        <f aca="false">IF(C6821="","",C6821*D6821/100)</f>
        <v/>
      </c>
      <c r="F6821" s="15" t="str">
        <f aca="false">IF(B6821&lt;5,"Go","Standard")</f>
        <v>Standard</v>
      </c>
    </row>
    <row r="6822" customFormat="false" ht="15" hidden="false" customHeight="true" outlineLevel="0" collapsed="false">
      <c r="A6822" s="10" t="n">
        <f aca="false">Einstellungen!$B$5+INT((ROW()-9)/24)</f>
        <v>46249</v>
      </c>
      <c r="B6822" s="11" t="n">
        <f aca="false">MOD(ROW()-9,24)</f>
        <v>21</v>
      </c>
      <c r="C6822" s="12"/>
      <c r="D6822" s="13" t="n">
        <f aca="false">IF(B6822&lt;5,Einstellungen!$B$3,Einstellungen!$B$4)</f>
        <v>29.13</v>
      </c>
      <c r="E6822" s="14" t="str">
        <f aca="false">IF(C6822="","",C6822*D6822/100)</f>
        <v/>
      </c>
      <c r="F6822" s="15" t="str">
        <f aca="false">IF(B6822&lt;5,"Go","Standard")</f>
        <v>Standard</v>
      </c>
    </row>
    <row r="6823" customFormat="false" ht="15" hidden="false" customHeight="true" outlineLevel="0" collapsed="false">
      <c r="A6823" s="10" t="n">
        <f aca="false">Einstellungen!$B$5+INT((ROW()-9)/24)</f>
        <v>46249</v>
      </c>
      <c r="B6823" s="11" t="n">
        <f aca="false">MOD(ROW()-9,24)</f>
        <v>22</v>
      </c>
      <c r="C6823" s="12"/>
      <c r="D6823" s="13" t="n">
        <f aca="false">IF(B6823&lt;5,Einstellungen!$B$3,Einstellungen!$B$4)</f>
        <v>29.13</v>
      </c>
      <c r="E6823" s="14" t="str">
        <f aca="false">IF(C6823="","",C6823*D6823/100)</f>
        <v/>
      </c>
      <c r="F6823" s="15" t="str">
        <f aca="false">IF(B6823&lt;5,"Go","Standard")</f>
        <v>Standard</v>
      </c>
    </row>
    <row r="6824" customFormat="false" ht="15" hidden="false" customHeight="true" outlineLevel="0" collapsed="false">
      <c r="A6824" s="10" t="n">
        <f aca="false">Einstellungen!$B$5+INT((ROW()-9)/24)</f>
        <v>46249</v>
      </c>
      <c r="B6824" s="11" t="n">
        <f aca="false">MOD(ROW()-9,24)</f>
        <v>23</v>
      </c>
      <c r="C6824" s="12"/>
      <c r="D6824" s="13" t="n">
        <f aca="false">IF(B6824&lt;5,Einstellungen!$B$3,Einstellungen!$B$4)</f>
        <v>29.13</v>
      </c>
      <c r="E6824" s="14" t="str">
        <f aca="false">IF(C6824="","",C6824*D6824/100)</f>
        <v/>
      </c>
      <c r="F6824" s="15" t="str">
        <f aca="false">IF(B6824&lt;5,"Go","Standard")</f>
        <v>Standard</v>
      </c>
    </row>
    <row r="6825" customFormat="false" ht="15" hidden="false" customHeight="true" outlineLevel="0" collapsed="false">
      <c r="A6825" s="10" t="n">
        <f aca="false">Einstellungen!$B$5+INT((ROW()-9)/24)</f>
        <v>46250</v>
      </c>
      <c r="B6825" s="11" t="n">
        <f aca="false">MOD(ROW()-9,24)</f>
        <v>0</v>
      </c>
      <c r="C6825" s="12"/>
      <c r="D6825" s="13" t="n">
        <f aca="false">IF(B6825&lt;5,Einstellungen!$B$3,Einstellungen!$B$4)</f>
        <v>15.92</v>
      </c>
      <c r="E6825" s="14" t="str">
        <f aca="false">IF(C6825="","",C6825*D6825/100)</f>
        <v/>
      </c>
      <c r="F6825" s="15" t="str">
        <f aca="false">IF(B6825&lt;5,"Go","Standard")</f>
        <v>Go</v>
      </c>
    </row>
    <row r="6826" customFormat="false" ht="15" hidden="false" customHeight="true" outlineLevel="0" collapsed="false">
      <c r="A6826" s="10" t="n">
        <f aca="false">Einstellungen!$B$5+INT((ROW()-9)/24)</f>
        <v>46250</v>
      </c>
      <c r="B6826" s="11" t="n">
        <f aca="false">MOD(ROW()-9,24)</f>
        <v>1</v>
      </c>
      <c r="C6826" s="12"/>
      <c r="D6826" s="13" t="n">
        <f aca="false">IF(B6826&lt;5,Einstellungen!$B$3,Einstellungen!$B$4)</f>
        <v>15.92</v>
      </c>
      <c r="E6826" s="14" t="str">
        <f aca="false">IF(C6826="","",C6826*D6826/100)</f>
        <v/>
      </c>
      <c r="F6826" s="15" t="str">
        <f aca="false">IF(B6826&lt;5,"Go","Standard")</f>
        <v>Go</v>
      </c>
    </row>
    <row r="6827" customFormat="false" ht="15" hidden="false" customHeight="true" outlineLevel="0" collapsed="false">
      <c r="A6827" s="10" t="n">
        <f aca="false">Einstellungen!$B$5+INT((ROW()-9)/24)</f>
        <v>46250</v>
      </c>
      <c r="B6827" s="11" t="n">
        <f aca="false">MOD(ROW()-9,24)</f>
        <v>2</v>
      </c>
      <c r="C6827" s="12"/>
      <c r="D6827" s="13" t="n">
        <f aca="false">IF(B6827&lt;5,Einstellungen!$B$3,Einstellungen!$B$4)</f>
        <v>15.92</v>
      </c>
      <c r="E6827" s="14" t="str">
        <f aca="false">IF(C6827="","",C6827*D6827/100)</f>
        <v/>
      </c>
      <c r="F6827" s="15" t="str">
        <f aca="false">IF(B6827&lt;5,"Go","Standard")</f>
        <v>Go</v>
      </c>
    </row>
    <row r="6828" customFormat="false" ht="15" hidden="false" customHeight="true" outlineLevel="0" collapsed="false">
      <c r="A6828" s="10" t="n">
        <f aca="false">Einstellungen!$B$5+INT((ROW()-9)/24)</f>
        <v>46250</v>
      </c>
      <c r="B6828" s="11" t="n">
        <f aca="false">MOD(ROW()-9,24)</f>
        <v>3</v>
      </c>
      <c r="C6828" s="12"/>
      <c r="D6828" s="13" t="n">
        <f aca="false">IF(B6828&lt;5,Einstellungen!$B$3,Einstellungen!$B$4)</f>
        <v>15.92</v>
      </c>
      <c r="E6828" s="14" t="str">
        <f aca="false">IF(C6828="","",C6828*D6828/100)</f>
        <v/>
      </c>
      <c r="F6828" s="15" t="str">
        <f aca="false">IF(B6828&lt;5,"Go","Standard")</f>
        <v>Go</v>
      </c>
    </row>
    <row r="6829" customFormat="false" ht="15" hidden="false" customHeight="true" outlineLevel="0" collapsed="false">
      <c r="A6829" s="10" t="n">
        <f aca="false">Einstellungen!$B$5+INT((ROW()-9)/24)</f>
        <v>46250</v>
      </c>
      <c r="B6829" s="11" t="n">
        <f aca="false">MOD(ROW()-9,24)</f>
        <v>4</v>
      </c>
      <c r="C6829" s="12"/>
      <c r="D6829" s="13" t="n">
        <f aca="false">IF(B6829&lt;5,Einstellungen!$B$3,Einstellungen!$B$4)</f>
        <v>15.92</v>
      </c>
      <c r="E6829" s="14" t="str">
        <f aca="false">IF(C6829="","",C6829*D6829/100)</f>
        <v/>
      </c>
      <c r="F6829" s="15" t="str">
        <f aca="false">IF(B6829&lt;5,"Go","Standard")</f>
        <v>Go</v>
      </c>
    </row>
    <row r="6830" customFormat="false" ht="15" hidden="false" customHeight="true" outlineLevel="0" collapsed="false">
      <c r="A6830" s="10" t="n">
        <f aca="false">Einstellungen!$B$5+INT((ROW()-9)/24)</f>
        <v>46250</v>
      </c>
      <c r="B6830" s="11" t="n">
        <f aca="false">MOD(ROW()-9,24)</f>
        <v>5</v>
      </c>
      <c r="C6830" s="12"/>
      <c r="D6830" s="13" t="n">
        <f aca="false">IF(B6830&lt;5,Einstellungen!$B$3,Einstellungen!$B$4)</f>
        <v>29.13</v>
      </c>
      <c r="E6830" s="14" t="str">
        <f aca="false">IF(C6830="","",C6830*D6830/100)</f>
        <v/>
      </c>
      <c r="F6830" s="15" t="str">
        <f aca="false">IF(B6830&lt;5,"Go","Standard")</f>
        <v>Standard</v>
      </c>
    </row>
    <row r="6831" customFormat="false" ht="15" hidden="false" customHeight="true" outlineLevel="0" collapsed="false">
      <c r="A6831" s="10" t="n">
        <f aca="false">Einstellungen!$B$5+INT((ROW()-9)/24)</f>
        <v>46250</v>
      </c>
      <c r="B6831" s="11" t="n">
        <f aca="false">MOD(ROW()-9,24)</f>
        <v>6</v>
      </c>
      <c r="C6831" s="12"/>
      <c r="D6831" s="13" t="n">
        <f aca="false">IF(B6831&lt;5,Einstellungen!$B$3,Einstellungen!$B$4)</f>
        <v>29.13</v>
      </c>
      <c r="E6831" s="14" t="str">
        <f aca="false">IF(C6831="","",C6831*D6831/100)</f>
        <v/>
      </c>
      <c r="F6831" s="15" t="str">
        <f aca="false">IF(B6831&lt;5,"Go","Standard")</f>
        <v>Standard</v>
      </c>
    </row>
    <row r="6832" customFormat="false" ht="15" hidden="false" customHeight="true" outlineLevel="0" collapsed="false">
      <c r="A6832" s="10" t="n">
        <f aca="false">Einstellungen!$B$5+INT((ROW()-9)/24)</f>
        <v>46250</v>
      </c>
      <c r="B6832" s="11" t="n">
        <f aca="false">MOD(ROW()-9,24)</f>
        <v>7</v>
      </c>
      <c r="C6832" s="12"/>
      <c r="D6832" s="13" t="n">
        <f aca="false">IF(B6832&lt;5,Einstellungen!$B$3,Einstellungen!$B$4)</f>
        <v>29.13</v>
      </c>
      <c r="E6832" s="14" t="str">
        <f aca="false">IF(C6832="","",C6832*D6832/100)</f>
        <v/>
      </c>
      <c r="F6832" s="15" t="str">
        <f aca="false">IF(B6832&lt;5,"Go","Standard")</f>
        <v>Standard</v>
      </c>
    </row>
    <row r="6833" customFormat="false" ht="15" hidden="false" customHeight="true" outlineLevel="0" collapsed="false">
      <c r="A6833" s="10" t="n">
        <f aca="false">Einstellungen!$B$5+INT((ROW()-9)/24)</f>
        <v>46250</v>
      </c>
      <c r="B6833" s="11" t="n">
        <f aca="false">MOD(ROW()-9,24)</f>
        <v>8</v>
      </c>
      <c r="C6833" s="12"/>
      <c r="D6833" s="13" t="n">
        <f aca="false">IF(B6833&lt;5,Einstellungen!$B$3,Einstellungen!$B$4)</f>
        <v>29.13</v>
      </c>
      <c r="E6833" s="14" t="str">
        <f aca="false">IF(C6833="","",C6833*D6833/100)</f>
        <v/>
      </c>
      <c r="F6833" s="15" t="str">
        <f aca="false">IF(B6833&lt;5,"Go","Standard")</f>
        <v>Standard</v>
      </c>
    </row>
    <row r="6834" customFormat="false" ht="15" hidden="false" customHeight="true" outlineLevel="0" collapsed="false">
      <c r="A6834" s="10" t="n">
        <f aca="false">Einstellungen!$B$5+INT((ROW()-9)/24)</f>
        <v>46250</v>
      </c>
      <c r="B6834" s="11" t="n">
        <f aca="false">MOD(ROW()-9,24)</f>
        <v>9</v>
      </c>
      <c r="C6834" s="12"/>
      <c r="D6834" s="13" t="n">
        <f aca="false">IF(B6834&lt;5,Einstellungen!$B$3,Einstellungen!$B$4)</f>
        <v>29.13</v>
      </c>
      <c r="E6834" s="14" t="str">
        <f aca="false">IF(C6834="","",C6834*D6834/100)</f>
        <v/>
      </c>
      <c r="F6834" s="15" t="str">
        <f aca="false">IF(B6834&lt;5,"Go","Standard")</f>
        <v>Standard</v>
      </c>
    </row>
    <row r="6835" customFormat="false" ht="15" hidden="false" customHeight="true" outlineLevel="0" collapsed="false">
      <c r="A6835" s="10" t="n">
        <f aca="false">Einstellungen!$B$5+INT((ROW()-9)/24)</f>
        <v>46250</v>
      </c>
      <c r="B6835" s="11" t="n">
        <f aca="false">MOD(ROW()-9,24)</f>
        <v>10</v>
      </c>
      <c r="C6835" s="12"/>
      <c r="D6835" s="13" t="n">
        <f aca="false">IF(B6835&lt;5,Einstellungen!$B$3,Einstellungen!$B$4)</f>
        <v>29.13</v>
      </c>
      <c r="E6835" s="14" t="str">
        <f aca="false">IF(C6835="","",C6835*D6835/100)</f>
        <v/>
      </c>
      <c r="F6835" s="15" t="str">
        <f aca="false">IF(B6835&lt;5,"Go","Standard")</f>
        <v>Standard</v>
      </c>
    </row>
    <row r="6836" customFormat="false" ht="15" hidden="false" customHeight="true" outlineLevel="0" collapsed="false">
      <c r="A6836" s="10" t="n">
        <f aca="false">Einstellungen!$B$5+INT((ROW()-9)/24)</f>
        <v>46250</v>
      </c>
      <c r="B6836" s="11" t="n">
        <f aca="false">MOD(ROW()-9,24)</f>
        <v>11</v>
      </c>
      <c r="C6836" s="12"/>
      <c r="D6836" s="13" t="n">
        <f aca="false">IF(B6836&lt;5,Einstellungen!$B$3,Einstellungen!$B$4)</f>
        <v>29.13</v>
      </c>
      <c r="E6836" s="14" t="str">
        <f aca="false">IF(C6836="","",C6836*D6836/100)</f>
        <v/>
      </c>
      <c r="F6836" s="15" t="str">
        <f aca="false">IF(B6836&lt;5,"Go","Standard")</f>
        <v>Standard</v>
      </c>
    </row>
    <row r="6837" customFormat="false" ht="15" hidden="false" customHeight="true" outlineLevel="0" collapsed="false">
      <c r="A6837" s="10" t="n">
        <f aca="false">Einstellungen!$B$5+INT((ROW()-9)/24)</f>
        <v>46250</v>
      </c>
      <c r="B6837" s="11" t="n">
        <f aca="false">MOD(ROW()-9,24)</f>
        <v>12</v>
      </c>
      <c r="C6837" s="12"/>
      <c r="D6837" s="13" t="n">
        <f aca="false">IF(B6837&lt;5,Einstellungen!$B$3,Einstellungen!$B$4)</f>
        <v>29.13</v>
      </c>
      <c r="E6837" s="14" t="str">
        <f aca="false">IF(C6837="","",C6837*D6837/100)</f>
        <v/>
      </c>
      <c r="F6837" s="15" t="str">
        <f aca="false">IF(B6837&lt;5,"Go","Standard")</f>
        <v>Standard</v>
      </c>
    </row>
    <row r="6838" customFormat="false" ht="15" hidden="false" customHeight="true" outlineLevel="0" collapsed="false">
      <c r="A6838" s="10" t="n">
        <f aca="false">Einstellungen!$B$5+INT((ROW()-9)/24)</f>
        <v>46250</v>
      </c>
      <c r="B6838" s="11" t="n">
        <f aca="false">MOD(ROW()-9,24)</f>
        <v>13</v>
      </c>
      <c r="C6838" s="12"/>
      <c r="D6838" s="13" t="n">
        <f aca="false">IF(B6838&lt;5,Einstellungen!$B$3,Einstellungen!$B$4)</f>
        <v>29.13</v>
      </c>
      <c r="E6838" s="14" t="str">
        <f aca="false">IF(C6838="","",C6838*D6838/100)</f>
        <v/>
      </c>
      <c r="F6838" s="15" t="str">
        <f aca="false">IF(B6838&lt;5,"Go","Standard")</f>
        <v>Standard</v>
      </c>
    </row>
    <row r="6839" customFormat="false" ht="15" hidden="false" customHeight="true" outlineLevel="0" collapsed="false">
      <c r="A6839" s="10" t="n">
        <f aca="false">Einstellungen!$B$5+INT((ROW()-9)/24)</f>
        <v>46250</v>
      </c>
      <c r="B6839" s="11" t="n">
        <f aca="false">MOD(ROW()-9,24)</f>
        <v>14</v>
      </c>
      <c r="C6839" s="12"/>
      <c r="D6839" s="13" t="n">
        <f aca="false">IF(B6839&lt;5,Einstellungen!$B$3,Einstellungen!$B$4)</f>
        <v>29.13</v>
      </c>
      <c r="E6839" s="14" t="str">
        <f aca="false">IF(C6839="","",C6839*D6839/100)</f>
        <v/>
      </c>
      <c r="F6839" s="15" t="str">
        <f aca="false">IF(B6839&lt;5,"Go","Standard")</f>
        <v>Standard</v>
      </c>
    </row>
    <row r="6840" customFormat="false" ht="15" hidden="false" customHeight="true" outlineLevel="0" collapsed="false">
      <c r="A6840" s="10" t="n">
        <f aca="false">Einstellungen!$B$5+INT((ROW()-9)/24)</f>
        <v>46250</v>
      </c>
      <c r="B6840" s="11" t="n">
        <f aca="false">MOD(ROW()-9,24)</f>
        <v>15</v>
      </c>
      <c r="C6840" s="12"/>
      <c r="D6840" s="13" t="n">
        <f aca="false">IF(B6840&lt;5,Einstellungen!$B$3,Einstellungen!$B$4)</f>
        <v>29.13</v>
      </c>
      <c r="E6840" s="14" t="str">
        <f aca="false">IF(C6840="","",C6840*D6840/100)</f>
        <v/>
      </c>
      <c r="F6840" s="15" t="str">
        <f aca="false">IF(B6840&lt;5,"Go","Standard")</f>
        <v>Standard</v>
      </c>
    </row>
    <row r="6841" customFormat="false" ht="15" hidden="false" customHeight="true" outlineLevel="0" collapsed="false">
      <c r="A6841" s="10" t="n">
        <f aca="false">Einstellungen!$B$5+INT((ROW()-9)/24)</f>
        <v>46250</v>
      </c>
      <c r="B6841" s="11" t="n">
        <f aca="false">MOD(ROW()-9,24)</f>
        <v>16</v>
      </c>
      <c r="C6841" s="12"/>
      <c r="D6841" s="13" t="n">
        <f aca="false">IF(B6841&lt;5,Einstellungen!$B$3,Einstellungen!$B$4)</f>
        <v>29.13</v>
      </c>
      <c r="E6841" s="14" t="str">
        <f aca="false">IF(C6841="","",C6841*D6841/100)</f>
        <v/>
      </c>
      <c r="F6841" s="15" t="str">
        <f aca="false">IF(B6841&lt;5,"Go","Standard")</f>
        <v>Standard</v>
      </c>
    </row>
    <row r="6842" customFormat="false" ht="15" hidden="false" customHeight="true" outlineLevel="0" collapsed="false">
      <c r="A6842" s="10" t="n">
        <f aca="false">Einstellungen!$B$5+INT((ROW()-9)/24)</f>
        <v>46250</v>
      </c>
      <c r="B6842" s="11" t="n">
        <f aca="false">MOD(ROW()-9,24)</f>
        <v>17</v>
      </c>
      <c r="C6842" s="12"/>
      <c r="D6842" s="13" t="n">
        <f aca="false">IF(B6842&lt;5,Einstellungen!$B$3,Einstellungen!$B$4)</f>
        <v>29.13</v>
      </c>
      <c r="E6842" s="14" t="str">
        <f aca="false">IF(C6842="","",C6842*D6842/100)</f>
        <v/>
      </c>
      <c r="F6842" s="15" t="str">
        <f aca="false">IF(B6842&lt;5,"Go","Standard")</f>
        <v>Standard</v>
      </c>
    </row>
    <row r="6843" customFormat="false" ht="15" hidden="false" customHeight="true" outlineLevel="0" collapsed="false">
      <c r="A6843" s="10" t="n">
        <f aca="false">Einstellungen!$B$5+INT((ROW()-9)/24)</f>
        <v>46250</v>
      </c>
      <c r="B6843" s="11" t="n">
        <f aca="false">MOD(ROW()-9,24)</f>
        <v>18</v>
      </c>
      <c r="C6843" s="12"/>
      <c r="D6843" s="13" t="n">
        <f aca="false">IF(B6843&lt;5,Einstellungen!$B$3,Einstellungen!$B$4)</f>
        <v>29.13</v>
      </c>
      <c r="E6843" s="14" t="str">
        <f aca="false">IF(C6843="","",C6843*D6843/100)</f>
        <v/>
      </c>
      <c r="F6843" s="15" t="str">
        <f aca="false">IF(B6843&lt;5,"Go","Standard")</f>
        <v>Standard</v>
      </c>
    </row>
    <row r="6844" customFormat="false" ht="15" hidden="false" customHeight="true" outlineLevel="0" collapsed="false">
      <c r="A6844" s="10" t="n">
        <f aca="false">Einstellungen!$B$5+INT((ROW()-9)/24)</f>
        <v>46250</v>
      </c>
      <c r="B6844" s="11" t="n">
        <f aca="false">MOD(ROW()-9,24)</f>
        <v>19</v>
      </c>
      <c r="C6844" s="12"/>
      <c r="D6844" s="13" t="n">
        <f aca="false">IF(B6844&lt;5,Einstellungen!$B$3,Einstellungen!$B$4)</f>
        <v>29.13</v>
      </c>
      <c r="E6844" s="14" t="str">
        <f aca="false">IF(C6844="","",C6844*D6844/100)</f>
        <v/>
      </c>
      <c r="F6844" s="15" t="str">
        <f aca="false">IF(B6844&lt;5,"Go","Standard")</f>
        <v>Standard</v>
      </c>
    </row>
    <row r="6845" customFormat="false" ht="15" hidden="false" customHeight="true" outlineLevel="0" collapsed="false">
      <c r="A6845" s="10" t="n">
        <f aca="false">Einstellungen!$B$5+INT((ROW()-9)/24)</f>
        <v>46250</v>
      </c>
      <c r="B6845" s="11" t="n">
        <f aca="false">MOD(ROW()-9,24)</f>
        <v>20</v>
      </c>
      <c r="C6845" s="12"/>
      <c r="D6845" s="13" t="n">
        <f aca="false">IF(B6845&lt;5,Einstellungen!$B$3,Einstellungen!$B$4)</f>
        <v>29.13</v>
      </c>
      <c r="E6845" s="14" t="str">
        <f aca="false">IF(C6845="","",C6845*D6845/100)</f>
        <v/>
      </c>
      <c r="F6845" s="15" t="str">
        <f aca="false">IF(B6845&lt;5,"Go","Standard")</f>
        <v>Standard</v>
      </c>
    </row>
    <row r="6846" customFormat="false" ht="15" hidden="false" customHeight="true" outlineLevel="0" collapsed="false">
      <c r="A6846" s="10" t="n">
        <f aca="false">Einstellungen!$B$5+INT((ROW()-9)/24)</f>
        <v>46250</v>
      </c>
      <c r="B6846" s="11" t="n">
        <f aca="false">MOD(ROW()-9,24)</f>
        <v>21</v>
      </c>
      <c r="C6846" s="12"/>
      <c r="D6846" s="13" t="n">
        <f aca="false">IF(B6846&lt;5,Einstellungen!$B$3,Einstellungen!$B$4)</f>
        <v>29.13</v>
      </c>
      <c r="E6846" s="14" t="str">
        <f aca="false">IF(C6846="","",C6846*D6846/100)</f>
        <v/>
      </c>
      <c r="F6846" s="15" t="str">
        <f aca="false">IF(B6846&lt;5,"Go","Standard")</f>
        <v>Standard</v>
      </c>
    </row>
    <row r="6847" customFormat="false" ht="15" hidden="false" customHeight="true" outlineLevel="0" collapsed="false">
      <c r="A6847" s="10" t="n">
        <f aca="false">Einstellungen!$B$5+INT((ROW()-9)/24)</f>
        <v>46250</v>
      </c>
      <c r="B6847" s="11" t="n">
        <f aca="false">MOD(ROW()-9,24)</f>
        <v>22</v>
      </c>
      <c r="C6847" s="12"/>
      <c r="D6847" s="13" t="n">
        <f aca="false">IF(B6847&lt;5,Einstellungen!$B$3,Einstellungen!$B$4)</f>
        <v>29.13</v>
      </c>
      <c r="E6847" s="14" t="str">
        <f aca="false">IF(C6847="","",C6847*D6847/100)</f>
        <v/>
      </c>
      <c r="F6847" s="15" t="str">
        <f aca="false">IF(B6847&lt;5,"Go","Standard")</f>
        <v>Standard</v>
      </c>
    </row>
    <row r="6848" customFormat="false" ht="15" hidden="false" customHeight="true" outlineLevel="0" collapsed="false">
      <c r="A6848" s="10" t="n">
        <f aca="false">Einstellungen!$B$5+INT((ROW()-9)/24)</f>
        <v>46250</v>
      </c>
      <c r="B6848" s="11" t="n">
        <f aca="false">MOD(ROW()-9,24)</f>
        <v>23</v>
      </c>
      <c r="C6848" s="12"/>
      <c r="D6848" s="13" t="n">
        <f aca="false">IF(B6848&lt;5,Einstellungen!$B$3,Einstellungen!$B$4)</f>
        <v>29.13</v>
      </c>
      <c r="E6848" s="14" t="str">
        <f aca="false">IF(C6848="","",C6848*D6848/100)</f>
        <v/>
      </c>
      <c r="F6848" s="15" t="str">
        <f aca="false">IF(B6848&lt;5,"Go","Standard")</f>
        <v>Standard</v>
      </c>
    </row>
    <row r="6849" customFormat="false" ht="15" hidden="false" customHeight="true" outlineLevel="0" collapsed="false">
      <c r="A6849" s="10" t="n">
        <f aca="false">Einstellungen!$B$5+INT((ROW()-9)/24)</f>
        <v>46251</v>
      </c>
      <c r="B6849" s="11" t="n">
        <f aca="false">MOD(ROW()-9,24)</f>
        <v>0</v>
      </c>
      <c r="C6849" s="12"/>
      <c r="D6849" s="13" t="n">
        <f aca="false">IF(B6849&lt;5,Einstellungen!$B$3,Einstellungen!$B$4)</f>
        <v>15.92</v>
      </c>
      <c r="E6849" s="14" t="str">
        <f aca="false">IF(C6849="","",C6849*D6849/100)</f>
        <v/>
      </c>
      <c r="F6849" s="15" t="str">
        <f aca="false">IF(B6849&lt;5,"Go","Standard")</f>
        <v>Go</v>
      </c>
    </row>
    <row r="6850" customFormat="false" ht="15" hidden="false" customHeight="true" outlineLevel="0" collapsed="false">
      <c r="A6850" s="10" t="n">
        <f aca="false">Einstellungen!$B$5+INT((ROW()-9)/24)</f>
        <v>46251</v>
      </c>
      <c r="B6850" s="11" t="n">
        <f aca="false">MOD(ROW()-9,24)</f>
        <v>1</v>
      </c>
      <c r="C6850" s="12"/>
      <c r="D6850" s="13" t="n">
        <f aca="false">IF(B6850&lt;5,Einstellungen!$B$3,Einstellungen!$B$4)</f>
        <v>15.92</v>
      </c>
      <c r="E6850" s="14" t="str">
        <f aca="false">IF(C6850="","",C6850*D6850/100)</f>
        <v/>
      </c>
      <c r="F6850" s="15" t="str">
        <f aca="false">IF(B6850&lt;5,"Go","Standard")</f>
        <v>Go</v>
      </c>
    </row>
    <row r="6851" customFormat="false" ht="15" hidden="false" customHeight="true" outlineLevel="0" collapsed="false">
      <c r="A6851" s="10" t="n">
        <f aca="false">Einstellungen!$B$5+INT((ROW()-9)/24)</f>
        <v>46251</v>
      </c>
      <c r="B6851" s="11" t="n">
        <f aca="false">MOD(ROW()-9,24)</f>
        <v>2</v>
      </c>
      <c r="C6851" s="12"/>
      <c r="D6851" s="13" t="n">
        <f aca="false">IF(B6851&lt;5,Einstellungen!$B$3,Einstellungen!$B$4)</f>
        <v>15.92</v>
      </c>
      <c r="E6851" s="14" t="str">
        <f aca="false">IF(C6851="","",C6851*D6851/100)</f>
        <v/>
      </c>
      <c r="F6851" s="15" t="str">
        <f aca="false">IF(B6851&lt;5,"Go","Standard")</f>
        <v>Go</v>
      </c>
    </row>
    <row r="6852" customFormat="false" ht="15" hidden="false" customHeight="true" outlineLevel="0" collapsed="false">
      <c r="A6852" s="10" t="n">
        <f aca="false">Einstellungen!$B$5+INT((ROW()-9)/24)</f>
        <v>46251</v>
      </c>
      <c r="B6852" s="11" t="n">
        <f aca="false">MOD(ROW()-9,24)</f>
        <v>3</v>
      </c>
      <c r="C6852" s="12"/>
      <c r="D6852" s="13" t="n">
        <f aca="false">IF(B6852&lt;5,Einstellungen!$B$3,Einstellungen!$B$4)</f>
        <v>15.92</v>
      </c>
      <c r="E6852" s="14" t="str">
        <f aca="false">IF(C6852="","",C6852*D6852/100)</f>
        <v/>
      </c>
      <c r="F6852" s="15" t="str">
        <f aca="false">IF(B6852&lt;5,"Go","Standard")</f>
        <v>Go</v>
      </c>
    </row>
    <row r="6853" customFormat="false" ht="15" hidden="false" customHeight="true" outlineLevel="0" collapsed="false">
      <c r="A6853" s="10" t="n">
        <f aca="false">Einstellungen!$B$5+INT((ROW()-9)/24)</f>
        <v>46251</v>
      </c>
      <c r="B6853" s="11" t="n">
        <f aca="false">MOD(ROW()-9,24)</f>
        <v>4</v>
      </c>
      <c r="C6853" s="12"/>
      <c r="D6853" s="13" t="n">
        <f aca="false">IF(B6853&lt;5,Einstellungen!$B$3,Einstellungen!$B$4)</f>
        <v>15.92</v>
      </c>
      <c r="E6853" s="14" t="str">
        <f aca="false">IF(C6853="","",C6853*D6853/100)</f>
        <v/>
      </c>
      <c r="F6853" s="15" t="str">
        <f aca="false">IF(B6853&lt;5,"Go","Standard")</f>
        <v>Go</v>
      </c>
    </row>
    <row r="6854" customFormat="false" ht="15" hidden="false" customHeight="true" outlineLevel="0" collapsed="false">
      <c r="A6854" s="10" t="n">
        <f aca="false">Einstellungen!$B$5+INT((ROW()-9)/24)</f>
        <v>46251</v>
      </c>
      <c r="B6854" s="11" t="n">
        <f aca="false">MOD(ROW()-9,24)</f>
        <v>5</v>
      </c>
      <c r="C6854" s="12"/>
      <c r="D6854" s="13" t="n">
        <f aca="false">IF(B6854&lt;5,Einstellungen!$B$3,Einstellungen!$B$4)</f>
        <v>29.13</v>
      </c>
      <c r="E6854" s="14" t="str">
        <f aca="false">IF(C6854="","",C6854*D6854/100)</f>
        <v/>
      </c>
      <c r="F6854" s="15" t="str">
        <f aca="false">IF(B6854&lt;5,"Go","Standard")</f>
        <v>Standard</v>
      </c>
    </row>
    <row r="6855" customFormat="false" ht="15" hidden="false" customHeight="true" outlineLevel="0" collapsed="false">
      <c r="A6855" s="10" t="n">
        <f aca="false">Einstellungen!$B$5+INT((ROW()-9)/24)</f>
        <v>46251</v>
      </c>
      <c r="B6855" s="11" t="n">
        <f aca="false">MOD(ROW()-9,24)</f>
        <v>6</v>
      </c>
      <c r="C6855" s="12"/>
      <c r="D6855" s="13" t="n">
        <f aca="false">IF(B6855&lt;5,Einstellungen!$B$3,Einstellungen!$B$4)</f>
        <v>29.13</v>
      </c>
      <c r="E6855" s="14" t="str">
        <f aca="false">IF(C6855="","",C6855*D6855/100)</f>
        <v/>
      </c>
      <c r="F6855" s="15" t="str">
        <f aca="false">IF(B6855&lt;5,"Go","Standard")</f>
        <v>Standard</v>
      </c>
    </row>
    <row r="6856" customFormat="false" ht="15" hidden="false" customHeight="true" outlineLevel="0" collapsed="false">
      <c r="A6856" s="10" t="n">
        <f aca="false">Einstellungen!$B$5+INT((ROW()-9)/24)</f>
        <v>46251</v>
      </c>
      <c r="B6856" s="11" t="n">
        <f aca="false">MOD(ROW()-9,24)</f>
        <v>7</v>
      </c>
      <c r="C6856" s="12"/>
      <c r="D6856" s="13" t="n">
        <f aca="false">IF(B6856&lt;5,Einstellungen!$B$3,Einstellungen!$B$4)</f>
        <v>29.13</v>
      </c>
      <c r="E6856" s="14" t="str">
        <f aca="false">IF(C6856="","",C6856*D6856/100)</f>
        <v/>
      </c>
      <c r="F6856" s="15" t="str">
        <f aca="false">IF(B6856&lt;5,"Go","Standard")</f>
        <v>Standard</v>
      </c>
    </row>
    <row r="6857" customFormat="false" ht="15" hidden="false" customHeight="true" outlineLevel="0" collapsed="false">
      <c r="A6857" s="10" t="n">
        <f aca="false">Einstellungen!$B$5+INT((ROW()-9)/24)</f>
        <v>46251</v>
      </c>
      <c r="B6857" s="11" t="n">
        <f aca="false">MOD(ROW()-9,24)</f>
        <v>8</v>
      </c>
      <c r="C6857" s="12"/>
      <c r="D6857" s="13" t="n">
        <f aca="false">IF(B6857&lt;5,Einstellungen!$B$3,Einstellungen!$B$4)</f>
        <v>29.13</v>
      </c>
      <c r="E6857" s="14" t="str">
        <f aca="false">IF(C6857="","",C6857*D6857/100)</f>
        <v/>
      </c>
      <c r="F6857" s="15" t="str">
        <f aca="false">IF(B6857&lt;5,"Go","Standard")</f>
        <v>Standard</v>
      </c>
    </row>
    <row r="6858" customFormat="false" ht="15" hidden="false" customHeight="true" outlineLevel="0" collapsed="false">
      <c r="A6858" s="10" t="n">
        <f aca="false">Einstellungen!$B$5+INT((ROW()-9)/24)</f>
        <v>46251</v>
      </c>
      <c r="B6858" s="11" t="n">
        <f aca="false">MOD(ROW()-9,24)</f>
        <v>9</v>
      </c>
      <c r="C6858" s="12"/>
      <c r="D6858" s="13" t="n">
        <f aca="false">IF(B6858&lt;5,Einstellungen!$B$3,Einstellungen!$B$4)</f>
        <v>29.13</v>
      </c>
      <c r="E6858" s="14" t="str">
        <f aca="false">IF(C6858="","",C6858*D6858/100)</f>
        <v/>
      </c>
      <c r="F6858" s="15" t="str">
        <f aca="false">IF(B6858&lt;5,"Go","Standard")</f>
        <v>Standard</v>
      </c>
    </row>
    <row r="6859" customFormat="false" ht="15" hidden="false" customHeight="true" outlineLevel="0" collapsed="false">
      <c r="A6859" s="10" t="n">
        <f aca="false">Einstellungen!$B$5+INT((ROW()-9)/24)</f>
        <v>46251</v>
      </c>
      <c r="B6859" s="11" t="n">
        <f aca="false">MOD(ROW()-9,24)</f>
        <v>10</v>
      </c>
      <c r="C6859" s="12"/>
      <c r="D6859" s="13" t="n">
        <f aca="false">IF(B6859&lt;5,Einstellungen!$B$3,Einstellungen!$B$4)</f>
        <v>29.13</v>
      </c>
      <c r="E6859" s="14" t="str">
        <f aca="false">IF(C6859="","",C6859*D6859/100)</f>
        <v/>
      </c>
      <c r="F6859" s="15" t="str">
        <f aca="false">IF(B6859&lt;5,"Go","Standard")</f>
        <v>Standard</v>
      </c>
    </row>
    <row r="6860" customFormat="false" ht="15" hidden="false" customHeight="true" outlineLevel="0" collapsed="false">
      <c r="A6860" s="10" t="n">
        <f aca="false">Einstellungen!$B$5+INT((ROW()-9)/24)</f>
        <v>46251</v>
      </c>
      <c r="B6860" s="11" t="n">
        <f aca="false">MOD(ROW()-9,24)</f>
        <v>11</v>
      </c>
      <c r="C6860" s="12"/>
      <c r="D6860" s="13" t="n">
        <f aca="false">IF(B6860&lt;5,Einstellungen!$B$3,Einstellungen!$B$4)</f>
        <v>29.13</v>
      </c>
      <c r="E6860" s="14" t="str">
        <f aca="false">IF(C6860="","",C6860*D6860/100)</f>
        <v/>
      </c>
      <c r="F6860" s="15" t="str">
        <f aca="false">IF(B6860&lt;5,"Go","Standard")</f>
        <v>Standard</v>
      </c>
    </row>
    <row r="6861" customFormat="false" ht="15" hidden="false" customHeight="true" outlineLevel="0" collapsed="false">
      <c r="A6861" s="10" t="n">
        <f aca="false">Einstellungen!$B$5+INT((ROW()-9)/24)</f>
        <v>46251</v>
      </c>
      <c r="B6861" s="11" t="n">
        <f aca="false">MOD(ROW()-9,24)</f>
        <v>12</v>
      </c>
      <c r="C6861" s="12"/>
      <c r="D6861" s="13" t="n">
        <f aca="false">IF(B6861&lt;5,Einstellungen!$B$3,Einstellungen!$B$4)</f>
        <v>29.13</v>
      </c>
      <c r="E6861" s="14" t="str">
        <f aca="false">IF(C6861="","",C6861*D6861/100)</f>
        <v/>
      </c>
      <c r="F6861" s="15" t="str">
        <f aca="false">IF(B6861&lt;5,"Go","Standard")</f>
        <v>Standard</v>
      </c>
    </row>
    <row r="6862" customFormat="false" ht="15" hidden="false" customHeight="true" outlineLevel="0" collapsed="false">
      <c r="A6862" s="10" t="n">
        <f aca="false">Einstellungen!$B$5+INT((ROW()-9)/24)</f>
        <v>46251</v>
      </c>
      <c r="B6862" s="11" t="n">
        <f aca="false">MOD(ROW()-9,24)</f>
        <v>13</v>
      </c>
      <c r="C6862" s="12"/>
      <c r="D6862" s="13" t="n">
        <f aca="false">IF(B6862&lt;5,Einstellungen!$B$3,Einstellungen!$B$4)</f>
        <v>29.13</v>
      </c>
      <c r="E6862" s="14" t="str">
        <f aca="false">IF(C6862="","",C6862*D6862/100)</f>
        <v/>
      </c>
      <c r="F6862" s="15" t="str">
        <f aca="false">IF(B6862&lt;5,"Go","Standard")</f>
        <v>Standard</v>
      </c>
    </row>
    <row r="6863" customFormat="false" ht="15" hidden="false" customHeight="true" outlineLevel="0" collapsed="false">
      <c r="A6863" s="10" t="n">
        <f aca="false">Einstellungen!$B$5+INT((ROW()-9)/24)</f>
        <v>46251</v>
      </c>
      <c r="B6863" s="11" t="n">
        <f aca="false">MOD(ROW()-9,24)</f>
        <v>14</v>
      </c>
      <c r="C6863" s="12"/>
      <c r="D6863" s="13" t="n">
        <f aca="false">IF(B6863&lt;5,Einstellungen!$B$3,Einstellungen!$B$4)</f>
        <v>29.13</v>
      </c>
      <c r="E6863" s="14" t="str">
        <f aca="false">IF(C6863="","",C6863*D6863/100)</f>
        <v/>
      </c>
      <c r="F6863" s="15" t="str">
        <f aca="false">IF(B6863&lt;5,"Go","Standard")</f>
        <v>Standard</v>
      </c>
    </row>
    <row r="6864" customFormat="false" ht="15" hidden="false" customHeight="true" outlineLevel="0" collapsed="false">
      <c r="A6864" s="10" t="n">
        <f aca="false">Einstellungen!$B$5+INT((ROW()-9)/24)</f>
        <v>46251</v>
      </c>
      <c r="B6864" s="11" t="n">
        <f aca="false">MOD(ROW()-9,24)</f>
        <v>15</v>
      </c>
      <c r="C6864" s="12"/>
      <c r="D6864" s="13" t="n">
        <f aca="false">IF(B6864&lt;5,Einstellungen!$B$3,Einstellungen!$B$4)</f>
        <v>29.13</v>
      </c>
      <c r="E6864" s="14" t="str">
        <f aca="false">IF(C6864="","",C6864*D6864/100)</f>
        <v/>
      </c>
      <c r="F6864" s="15" t="str">
        <f aca="false">IF(B6864&lt;5,"Go","Standard")</f>
        <v>Standard</v>
      </c>
    </row>
    <row r="6865" customFormat="false" ht="15" hidden="false" customHeight="true" outlineLevel="0" collapsed="false">
      <c r="A6865" s="10" t="n">
        <f aca="false">Einstellungen!$B$5+INT((ROW()-9)/24)</f>
        <v>46251</v>
      </c>
      <c r="B6865" s="11" t="n">
        <f aca="false">MOD(ROW()-9,24)</f>
        <v>16</v>
      </c>
      <c r="C6865" s="12"/>
      <c r="D6865" s="13" t="n">
        <f aca="false">IF(B6865&lt;5,Einstellungen!$B$3,Einstellungen!$B$4)</f>
        <v>29.13</v>
      </c>
      <c r="E6865" s="14" t="str">
        <f aca="false">IF(C6865="","",C6865*D6865/100)</f>
        <v/>
      </c>
      <c r="F6865" s="15" t="str">
        <f aca="false">IF(B6865&lt;5,"Go","Standard")</f>
        <v>Standard</v>
      </c>
    </row>
    <row r="6866" customFormat="false" ht="15" hidden="false" customHeight="true" outlineLevel="0" collapsed="false">
      <c r="A6866" s="10" t="n">
        <f aca="false">Einstellungen!$B$5+INT((ROW()-9)/24)</f>
        <v>46251</v>
      </c>
      <c r="B6866" s="11" t="n">
        <f aca="false">MOD(ROW()-9,24)</f>
        <v>17</v>
      </c>
      <c r="C6866" s="12"/>
      <c r="D6866" s="13" t="n">
        <f aca="false">IF(B6866&lt;5,Einstellungen!$B$3,Einstellungen!$B$4)</f>
        <v>29.13</v>
      </c>
      <c r="E6866" s="14" t="str">
        <f aca="false">IF(C6866="","",C6866*D6866/100)</f>
        <v/>
      </c>
      <c r="F6866" s="15" t="str">
        <f aca="false">IF(B6866&lt;5,"Go","Standard")</f>
        <v>Standard</v>
      </c>
    </row>
    <row r="6867" customFormat="false" ht="15" hidden="false" customHeight="true" outlineLevel="0" collapsed="false">
      <c r="A6867" s="10" t="n">
        <f aca="false">Einstellungen!$B$5+INT((ROW()-9)/24)</f>
        <v>46251</v>
      </c>
      <c r="B6867" s="11" t="n">
        <f aca="false">MOD(ROW()-9,24)</f>
        <v>18</v>
      </c>
      <c r="C6867" s="12"/>
      <c r="D6867" s="13" t="n">
        <f aca="false">IF(B6867&lt;5,Einstellungen!$B$3,Einstellungen!$B$4)</f>
        <v>29.13</v>
      </c>
      <c r="E6867" s="14" t="str">
        <f aca="false">IF(C6867="","",C6867*D6867/100)</f>
        <v/>
      </c>
      <c r="F6867" s="15" t="str">
        <f aca="false">IF(B6867&lt;5,"Go","Standard")</f>
        <v>Standard</v>
      </c>
    </row>
    <row r="6868" customFormat="false" ht="15" hidden="false" customHeight="true" outlineLevel="0" collapsed="false">
      <c r="A6868" s="10" t="n">
        <f aca="false">Einstellungen!$B$5+INT((ROW()-9)/24)</f>
        <v>46251</v>
      </c>
      <c r="B6868" s="11" t="n">
        <f aca="false">MOD(ROW()-9,24)</f>
        <v>19</v>
      </c>
      <c r="C6868" s="12"/>
      <c r="D6868" s="13" t="n">
        <f aca="false">IF(B6868&lt;5,Einstellungen!$B$3,Einstellungen!$B$4)</f>
        <v>29.13</v>
      </c>
      <c r="E6868" s="14" t="str">
        <f aca="false">IF(C6868="","",C6868*D6868/100)</f>
        <v/>
      </c>
      <c r="F6868" s="15" t="str">
        <f aca="false">IF(B6868&lt;5,"Go","Standard")</f>
        <v>Standard</v>
      </c>
    </row>
    <row r="6869" customFormat="false" ht="15" hidden="false" customHeight="true" outlineLevel="0" collapsed="false">
      <c r="A6869" s="10" t="n">
        <f aca="false">Einstellungen!$B$5+INT((ROW()-9)/24)</f>
        <v>46251</v>
      </c>
      <c r="B6869" s="11" t="n">
        <f aca="false">MOD(ROW()-9,24)</f>
        <v>20</v>
      </c>
      <c r="C6869" s="12"/>
      <c r="D6869" s="13" t="n">
        <f aca="false">IF(B6869&lt;5,Einstellungen!$B$3,Einstellungen!$B$4)</f>
        <v>29.13</v>
      </c>
      <c r="E6869" s="14" t="str">
        <f aca="false">IF(C6869="","",C6869*D6869/100)</f>
        <v/>
      </c>
      <c r="F6869" s="15" t="str">
        <f aca="false">IF(B6869&lt;5,"Go","Standard")</f>
        <v>Standard</v>
      </c>
    </row>
    <row r="6870" customFormat="false" ht="15" hidden="false" customHeight="true" outlineLevel="0" collapsed="false">
      <c r="A6870" s="10" t="n">
        <f aca="false">Einstellungen!$B$5+INT((ROW()-9)/24)</f>
        <v>46251</v>
      </c>
      <c r="B6870" s="11" t="n">
        <f aca="false">MOD(ROW()-9,24)</f>
        <v>21</v>
      </c>
      <c r="C6870" s="12"/>
      <c r="D6870" s="13" t="n">
        <f aca="false">IF(B6870&lt;5,Einstellungen!$B$3,Einstellungen!$B$4)</f>
        <v>29.13</v>
      </c>
      <c r="E6870" s="14" t="str">
        <f aca="false">IF(C6870="","",C6870*D6870/100)</f>
        <v/>
      </c>
      <c r="F6870" s="15" t="str">
        <f aca="false">IF(B6870&lt;5,"Go","Standard")</f>
        <v>Standard</v>
      </c>
    </row>
    <row r="6871" customFormat="false" ht="15" hidden="false" customHeight="true" outlineLevel="0" collapsed="false">
      <c r="A6871" s="10" t="n">
        <f aca="false">Einstellungen!$B$5+INT((ROW()-9)/24)</f>
        <v>46251</v>
      </c>
      <c r="B6871" s="11" t="n">
        <f aca="false">MOD(ROW()-9,24)</f>
        <v>22</v>
      </c>
      <c r="C6871" s="12"/>
      <c r="D6871" s="13" t="n">
        <f aca="false">IF(B6871&lt;5,Einstellungen!$B$3,Einstellungen!$B$4)</f>
        <v>29.13</v>
      </c>
      <c r="E6871" s="14" t="str">
        <f aca="false">IF(C6871="","",C6871*D6871/100)</f>
        <v/>
      </c>
      <c r="F6871" s="15" t="str">
        <f aca="false">IF(B6871&lt;5,"Go","Standard")</f>
        <v>Standard</v>
      </c>
    </row>
    <row r="6872" customFormat="false" ht="15" hidden="false" customHeight="true" outlineLevel="0" collapsed="false">
      <c r="A6872" s="10" t="n">
        <f aca="false">Einstellungen!$B$5+INT((ROW()-9)/24)</f>
        <v>46251</v>
      </c>
      <c r="B6872" s="11" t="n">
        <f aca="false">MOD(ROW()-9,24)</f>
        <v>23</v>
      </c>
      <c r="C6872" s="12"/>
      <c r="D6872" s="13" t="n">
        <f aca="false">IF(B6872&lt;5,Einstellungen!$B$3,Einstellungen!$B$4)</f>
        <v>29.13</v>
      </c>
      <c r="E6872" s="14" t="str">
        <f aca="false">IF(C6872="","",C6872*D6872/100)</f>
        <v/>
      </c>
      <c r="F6872" s="15" t="str">
        <f aca="false">IF(B6872&lt;5,"Go","Standard")</f>
        <v>Standard</v>
      </c>
    </row>
    <row r="6873" customFormat="false" ht="15" hidden="false" customHeight="true" outlineLevel="0" collapsed="false">
      <c r="A6873" s="10" t="n">
        <f aca="false">Einstellungen!$B$5+INT((ROW()-9)/24)</f>
        <v>46252</v>
      </c>
      <c r="B6873" s="11" t="n">
        <f aca="false">MOD(ROW()-9,24)</f>
        <v>0</v>
      </c>
      <c r="C6873" s="12"/>
      <c r="D6873" s="13" t="n">
        <f aca="false">IF(B6873&lt;5,Einstellungen!$B$3,Einstellungen!$B$4)</f>
        <v>15.92</v>
      </c>
      <c r="E6873" s="14" t="str">
        <f aca="false">IF(C6873="","",C6873*D6873/100)</f>
        <v/>
      </c>
      <c r="F6873" s="15" t="str">
        <f aca="false">IF(B6873&lt;5,"Go","Standard")</f>
        <v>Go</v>
      </c>
    </row>
    <row r="6874" customFormat="false" ht="15" hidden="false" customHeight="true" outlineLevel="0" collapsed="false">
      <c r="A6874" s="10" t="n">
        <f aca="false">Einstellungen!$B$5+INT((ROW()-9)/24)</f>
        <v>46252</v>
      </c>
      <c r="B6874" s="11" t="n">
        <f aca="false">MOD(ROW()-9,24)</f>
        <v>1</v>
      </c>
      <c r="C6874" s="12"/>
      <c r="D6874" s="13" t="n">
        <f aca="false">IF(B6874&lt;5,Einstellungen!$B$3,Einstellungen!$B$4)</f>
        <v>15.92</v>
      </c>
      <c r="E6874" s="14" t="str">
        <f aca="false">IF(C6874="","",C6874*D6874/100)</f>
        <v/>
      </c>
      <c r="F6874" s="15" t="str">
        <f aca="false">IF(B6874&lt;5,"Go","Standard")</f>
        <v>Go</v>
      </c>
    </row>
    <row r="6875" customFormat="false" ht="15" hidden="false" customHeight="true" outlineLevel="0" collapsed="false">
      <c r="A6875" s="10" t="n">
        <f aca="false">Einstellungen!$B$5+INT((ROW()-9)/24)</f>
        <v>46252</v>
      </c>
      <c r="B6875" s="11" t="n">
        <f aca="false">MOD(ROW()-9,24)</f>
        <v>2</v>
      </c>
      <c r="C6875" s="12"/>
      <c r="D6875" s="13" t="n">
        <f aca="false">IF(B6875&lt;5,Einstellungen!$B$3,Einstellungen!$B$4)</f>
        <v>15.92</v>
      </c>
      <c r="E6875" s="14" t="str">
        <f aca="false">IF(C6875="","",C6875*D6875/100)</f>
        <v/>
      </c>
      <c r="F6875" s="15" t="str">
        <f aca="false">IF(B6875&lt;5,"Go","Standard")</f>
        <v>Go</v>
      </c>
    </row>
    <row r="6876" customFormat="false" ht="15" hidden="false" customHeight="true" outlineLevel="0" collapsed="false">
      <c r="A6876" s="10" t="n">
        <f aca="false">Einstellungen!$B$5+INT((ROW()-9)/24)</f>
        <v>46252</v>
      </c>
      <c r="B6876" s="11" t="n">
        <f aca="false">MOD(ROW()-9,24)</f>
        <v>3</v>
      </c>
      <c r="C6876" s="12"/>
      <c r="D6876" s="13" t="n">
        <f aca="false">IF(B6876&lt;5,Einstellungen!$B$3,Einstellungen!$B$4)</f>
        <v>15.92</v>
      </c>
      <c r="E6876" s="14" t="str">
        <f aca="false">IF(C6876="","",C6876*D6876/100)</f>
        <v/>
      </c>
      <c r="F6876" s="15" t="str">
        <f aca="false">IF(B6876&lt;5,"Go","Standard")</f>
        <v>Go</v>
      </c>
    </row>
    <row r="6877" customFormat="false" ht="15" hidden="false" customHeight="true" outlineLevel="0" collapsed="false">
      <c r="A6877" s="10" t="n">
        <f aca="false">Einstellungen!$B$5+INT((ROW()-9)/24)</f>
        <v>46252</v>
      </c>
      <c r="B6877" s="11" t="n">
        <f aca="false">MOD(ROW()-9,24)</f>
        <v>4</v>
      </c>
      <c r="C6877" s="12"/>
      <c r="D6877" s="13" t="n">
        <f aca="false">IF(B6877&lt;5,Einstellungen!$B$3,Einstellungen!$B$4)</f>
        <v>15.92</v>
      </c>
      <c r="E6877" s="14" t="str">
        <f aca="false">IF(C6877="","",C6877*D6877/100)</f>
        <v/>
      </c>
      <c r="F6877" s="15" t="str">
        <f aca="false">IF(B6877&lt;5,"Go","Standard")</f>
        <v>Go</v>
      </c>
    </row>
    <row r="6878" customFormat="false" ht="15" hidden="false" customHeight="true" outlineLevel="0" collapsed="false">
      <c r="A6878" s="10" t="n">
        <f aca="false">Einstellungen!$B$5+INT((ROW()-9)/24)</f>
        <v>46252</v>
      </c>
      <c r="B6878" s="11" t="n">
        <f aca="false">MOD(ROW()-9,24)</f>
        <v>5</v>
      </c>
      <c r="C6878" s="12"/>
      <c r="D6878" s="13" t="n">
        <f aca="false">IF(B6878&lt;5,Einstellungen!$B$3,Einstellungen!$B$4)</f>
        <v>29.13</v>
      </c>
      <c r="E6878" s="14" t="str">
        <f aca="false">IF(C6878="","",C6878*D6878/100)</f>
        <v/>
      </c>
      <c r="F6878" s="15" t="str">
        <f aca="false">IF(B6878&lt;5,"Go","Standard")</f>
        <v>Standard</v>
      </c>
    </row>
    <row r="6879" customFormat="false" ht="15" hidden="false" customHeight="true" outlineLevel="0" collapsed="false">
      <c r="A6879" s="10" t="n">
        <f aca="false">Einstellungen!$B$5+INT((ROW()-9)/24)</f>
        <v>46252</v>
      </c>
      <c r="B6879" s="11" t="n">
        <f aca="false">MOD(ROW()-9,24)</f>
        <v>6</v>
      </c>
      <c r="C6879" s="12"/>
      <c r="D6879" s="13" t="n">
        <f aca="false">IF(B6879&lt;5,Einstellungen!$B$3,Einstellungen!$B$4)</f>
        <v>29.13</v>
      </c>
      <c r="E6879" s="14" t="str">
        <f aca="false">IF(C6879="","",C6879*D6879/100)</f>
        <v/>
      </c>
      <c r="F6879" s="15" t="str">
        <f aca="false">IF(B6879&lt;5,"Go","Standard")</f>
        <v>Standard</v>
      </c>
    </row>
    <row r="6880" customFormat="false" ht="15" hidden="false" customHeight="true" outlineLevel="0" collapsed="false">
      <c r="A6880" s="10" t="n">
        <f aca="false">Einstellungen!$B$5+INT((ROW()-9)/24)</f>
        <v>46252</v>
      </c>
      <c r="B6880" s="11" t="n">
        <f aca="false">MOD(ROW()-9,24)</f>
        <v>7</v>
      </c>
      <c r="C6880" s="12"/>
      <c r="D6880" s="13" t="n">
        <f aca="false">IF(B6880&lt;5,Einstellungen!$B$3,Einstellungen!$B$4)</f>
        <v>29.13</v>
      </c>
      <c r="E6880" s="14" t="str">
        <f aca="false">IF(C6880="","",C6880*D6880/100)</f>
        <v/>
      </c>
      <c r="F6880" s="15" t="str">
        <f aca="false">IF(B6880&lt;5,"Go","Standard")</f>
        <v>Standard</v>
      </c>
    </row>
    <row r="6881" customFormat="false" ht="15" hidden="false" customHeight="true" outlineLevel="0" collapsed="false">
      <c r="A6881" s="10" t="n">
        <f aca="false">Einstellungen!$B$5+INT((ROW()-9)/24)</f>
        <v>46252</v>
      </c>
      <c r="B6881" s="11" t="n">
        <f aca="false">MOD(ROW()-9,24)</f>
        <v>8</v>
      </c>
      <c r="C6881" s="12"/>
      <c r="D6881" s="13" t="n">
        <f aca="false">IF(B6881&lt;5,Einstellungen!$B$3,Einstellungen!$B$4)</f>
        <v>29.13</v>
      </c>
      <c r="E6881" s="14" t="str">
        <f aca="false">IF(C6881="","",C6881*D6881/100)</f>
        <v/>
      </c>
      <c r="F6881" s="15" t="str">
        <f aca="false">IF(B6881&lt;5,"Go","Standard")</f>
        <v>Standard</v>
      </c>
    </row>
    <row r="6882" customFormat="false" ht="15" hidden="false" customHeight="true" outlineLevel="0" collapsed="false">
      <c r="A6882" s="10" t="n">
        <f aca="false">Einstellungen!$B$5+INT((ROW()-9)/24)</f>
        <v>46252</v>
      </c>
      <c r="B6882" s="11" t="n">
        <f aca="false">MOD(ROW()-9,24)</f>
        <v>9</v>
      </c>
      <c r="C6882" s="12"/>
      <c r="D6882" s="13" t="n">
        <f aca="false">IF(B6882&lt;5,Einstellungen!$B$3,Einstellungen!$B$4)</f>
        <v>29.13</v>
      </c>
      <c r="E6882" s="14" t="str">
        <f aca="false">IF(C6882="","",C6882*D6882/100)</f>
        <v/>
      </c>
      <c r="F6882" s="15" t="str">
        <f aca="false">IF(B6882&lt;5,"Go","Standard")</f>
        <v>Standard</v>
      </c>
    </row>
    <row r="6883" customFormat="false" ht="15" hidden="false" customHeight="true" outlineLevel="0" collapsed="false">
      <c r="A6883" s="10" t="n">
        <f aca="false">Einstellungen!$B$5+INT((ROW()-9)/24)</f>
        <v>46252</v>
      </c>
      <c r="B6883" s="11" t="n">
        <f aca="false">MOD(ROW()-9,24)</f>
        <v>10</v>
      </c>
      <c r="C6883" s="12"/>
      <c r="D6883" s="13" t="n">
        <f aca="false">IF(B6883&lt;5,Einstellungen!$B$3,Einstellungen!$B$4)</f>
        <v>29.13</v>
      </c>
      <c r="E6883" s="14" t="str">
        <f aca="false">IF(C6883="","",C6883*D6883/100)</f>
        <v/>
      </c>
      <c r="F6883" s="15" t="str">
        <f aca="false">IF(B6883&lt;5,"Go","Standard")</f>
        <v>Standard</v>
      </c>
    </row>
    <row r="6884" customFormat="false" ht="15" hidden="false" customHeight="true" outlineLevel="0" collapsed="false">
      <c r="A6884" s="10" t="n">
        <f aca="false">Einstellungen!$B$5+INT((ROW()-9)/24)</f>
        <v>46252</v>
      </c>
      <c r="B6884" s="11" t="n">
        <f aca="false">MOD(ROW()-9,24)</f>
        <v>11</v>
      </c>
      <c r="C6884" s="12"/>
      <c r="D6884" s="13" t="n">
        <f aca="false">IF(B6884&lt;5,Einstellungen!$B$3,Einstellungen!$B$4)</f>
        <v>29.13</v>
      </c>
      <c r="E6884" s="14" t="str">
        <f aca="false">IF(C6884="","",C6884*D6884/100)</f>
        <v/>
      </c>
      <c r="F6884" s="15" t="str">
        <f aca="false">IF(B6884&lt;5,"Go","Standard")</f>
        <v>Standard</v>
      </c>
    </row>
    <row r="6885" customFormat="false" ht="15" hidden="false" customHeight="true" outlineLevel="0" collapsed="false">
      <c r="A6885" s="10" t="n">
        <f aca="false">Einstellungen!$B$5+INT((ROW()-9)/24)</f>
        <v>46252</v>
      </c>
      <c r="B6885" s="11" t="n">
        <f aca="false">MOD(ROW()-9,24)</f>
        <v>12</v>
      </c>
      <c r="C6885" s="12"/>
      <c r="D6885" s="13" t="n">
        <f aca="false">IF(B6885&lt;5,Einstellungen!$B$3,Einstellungen!$B$4)</f>
        <v>29.13</v>
      </c>
      <c r="E6885" s="14" t="str">
        <f aca="false">IF(C6885="","",C6885*D6885/100)</f>
        <v/>
      </c>
      <c r="F6885" s="15" t="str">
        <f aca="false">IF(B6885&lt;5,"Go","Standard")</f>
        <v>Standard</v>
      </c>
    </row>
    <row r="6886" customFormat="false" ht="15" hidden="false" customHeight="true" outlineLevel="0" collapsed="false">
      <c r="A6886" s="10" t="n">
        <f aca="false">Einstellungen!$B$5+INT((ROW()-9)/24)</f>
        <v>46252</v>
      </c>
      <c r="B6886" s="11" t="n">
        <f aca="false">MOD(ROW()-9,24)</f>
        <v>13</v>
      </c>
      <c r="C6886" s="12"/>
      <c r="D6886" s="13" t="n">
        <f aca="false">IF(B6886&lt;5,Einstellungen!$B$3,Einstellungen!$B$4)</f>
        <v>29.13</v>
      </c>
      <c r="E6886" s="14" t="str">
        <f aca="false">IF(C6886="","",C6886*D6886/100)</f>
        <v/>
      </c>
      <c r="F6886" s="15" t="str">
        <f aca="false">IF(B6886&lt;5,"Go","Standard")</f>
        <v>Standard</v>
      </c>
    </row>
    <row r="6887" customFormat="false" ht="15" hidden="false" customHeight="true" outlineLevel="0" collapsed="false">
      <c r="A6887" s="10" t="n">
        <f aca="false">Einstellungen!$B$5+INT((ROW()-9)/24)</f>
        <v>46252</v>
      </c>
      <c r="B6887" s="11" t="n">
        <f aca="false">MOD(ROW()-9,24)</f>
        <v>14</v>
      </c>
      <c r="C6887" s="12"/>
      <c r="D6887" s="13" t="n">
        <f aca="false">IF(B6887&lt;5,Einstellungen!$B$3,Einstellungen!$B$4)</f>
        <v>29.13</v>
      </c>
      <c r="E6887" s="14" t="str">
        <f aca="false">IF(C6887="","",C6887*D6887/100)</f>
        <v/>
      </c>
      <c r="F6887" s="15" t="str">
        <f aca="false">IF(B6887&lt;5,"Go","Standard")</f>
        <v>Standard</v>
      </c>
    </row>
    <row r="6888" customFormat="false" ht="15" hidden="false" customHeight="true" outlineLevel="0" collapsed="false">
      <c r="A6888" s="10" t="n">
        <f aca="false">Einstellungen!$B$5+INT((ROW()-9)/24)</f>
        <v>46252</v>
      </c>
      <c r="B6888" s="11" t="n">
        <f aca="false">MOD(ROW()-9,24)</f>
        <v>15</v>
      </c>
      <c r="C6888" s="12"/>
      <c r="D6888" s="13" t="n">
        <f aca="false">IF(B6888&lt;5,Einstellungen!$B$3,Einstellungen!$B$4)</f>
        <v>29.13</v>
      </c>
      <c r="E6888" s="14" t="str">
        <f aca="false">IF(C6888="","",C6888*D6888/100)</f>
        <v/>
      </c>
      <c r="F6888" s="15" t="str">
        <f aca="false">IF(B6888&lt;5,"Go","Standard")</f>
        <v>Standard</v>
      </c>
    </row>
    <row r="6889" customFormat="false" ht="15" hidden="false" customHeight="true" outlineLevel="0" collapsed="false">
      <c r="A6889" s="10" t="n">
        <f aca="false">Einstellungen!$B$5+INT((ROW()-9)/24)</f>
        <v>46252</v>
      </c>
      <c r="B6889" s="11" t="n">
        <f aca="false">MOD(ROW()-9,24)</f>
        <v>16</v>
      </c>
      <c r="C6889" s="12"/>
      <c r="D6889" s="13" t="n">
        <f aca="false">IF(B6889&lt;5,Einstellungen!$B$3,Einstellungen!$B$4)</f>
        <v>29.13</v>
      </c>
      <c r="E6889" s="14" t="str">
        <f aca="false">IF(C6889="","",C6889*D6889/100)</f>
        <v/>
      </c>
      <c r="F6889" s="15" t="str">
        <f aca="false">IF(B6889&lt;5,"Go","Standard")</f>
        <v>Standard</v>
      </c>
    </row>
    <row r="6890" customFormat="false" ht="15" hidden="false" customHeight="true" outlineLevel="0" collapsed="false">
      <c r="A6890" s="10" t="n">
        <f aca="false">Einstellungen!$B$5+INT((ROW()-9)/24)</f>
        <v>46252</v>
      </c>
      <c r="B6890" s="11" t="n">
        <f aca="false">MOD(ROW()-9,24)</f>
        <v>17</v>
      </c>
      <c r="C6890" s="12"/>
      <c r="D6890" s="13" t="n">
        <f aca="false">IF(B6890&lt;5,Einstellungen!$B$3,Einstellungen!$B$4)</f>
        <v>29.13</v>
      </c>
      <c r="E6890" s="14" t="str">
        <f aca="false">IF(C6890="","",C6890*D6890/100)</f>
        <v/>
      </c>
      <c r="F6890" s="15" t="str">
        <f aca="false">IF(B6890&lt;5,"Go","Standard")</f>
        <v>Standard</v>
      </c>
    </row>
    <row r="6891" customFormat="false" ht="15" hidden="false" customHeight="true" outlineLevel="0" collapsed="false">
      <c r="A6891" s="10" t="n">
        <f aca="false">Einstellungen!$B$5+INT((ROW()-9)/24)</f>
        <v>46252</v>
      </c>
      <c r="B6891" s="11" t="n">
        <f aca="false">MOD(ROW()-9,24)</f>
        <v>18</v>
      </c>
      <c r="C6891" s="12"/>
      <c r="D6891" s="13" t="n">
        <f aca="false">IF(B6891&lt;5,Einstellungen!$B$3,Einstellungen!$B$4)</f>
        <v>29.13</v>
      </c>
      <c r="E6891" s="14" t="str">
        <f aca="false">IF(C6891="","",C6891*D6891/100)</f>
        <v/>
      </c>
      <c r="F6891" s="15" t="str">
        <f aca="false">IF(B6891&lt;5,"Go","Standard")</f>
        <v>Standard</v>
      </c>
    </row>
    <row r="6892" customFormat="false" ht="15" hidden="false" customHeight="true" outlineLevel="0" collapsed="false">
      <c r="A6892" s="10" t="n">
        <f aca="false">Einstellungen!$B$5+INT((ROW()-9)/24)</f>
        <v>46252</v>
      </c>
      <c r="B6892" s="11" t="n">
        <f aca="false">MOD(ROW()-9,24)</f>
        <v>19</v>
      </c>
      <c r="C6892" s="12"/>
      <c r="D6892" s="13" t="n">
        <f aca="false">IF(B6892&lt;5,Einstellungen!$B$3,Einstellungen!$B$4)</f>
        <v>29.13</v>
      </c>
      <c r="E6892" s="14" t="str">
        <f aca="false">IF(C6892="","",C6892*D6892/100)</f>
        <v/>
      </c>
      <c r="F6892" s="15" t="str">
        <f aca="false">IF(B6892&lt;5,"Go","Standard")</f>
        <v>Standard</v>
      </c>
    </row>
    <row r="6893" customFormat="false" ht="15" hidden="false" customHeight="true" outlineLevel="0" collapsed="false">
      <c r="A6893" s="10" t="n">
        <f aca="false">Einstellungen!$B$5+INT((ROW()-9)/24)</f>
        <v>46252</v>
      </c>
      <c r="B6893" s="11" t="n">
        <f aca="false">MOD(ROW()-9,24)</f>
        <v>20</v>
      </c>
      <c r="C6893" s="12"/>
      <c r="D6893" s="13" t="n">
        <f aca="false">IF(B6893&lt;5,Einstellungen!$B$3,Einstellungen!$B$4)</f>
        <v>29.13</v>
      </c>
      <c r="E6893" s="14" t="str">
        <f aca="false">IF(C6893="","",C6893*D6893/100)</f>
        <v/>
      </c>
      <c r="F6893" s="15" t="str">
        <f aca="false">IF(B6893&lt;5,"Go","Standard")</f>
        <v>Standard</v>
      </c>
    </row>
    <row r="6894" customFormat="false" ht="15" hidden="false" customHeight="true" outlineLevel="0" collapsed="false">
      <c r="A6894" s="10" t="n">
        <f aca="false">Einstellungen!$B$5+INT((ROW()-9)/24)</f>
        <v>46252</v>
      </c>
      <c r="B6894" s="11" t="n">
        <f aca="false">MOD(ROW()-9,24)</f>
        <v>21</v>
      </c>
      <c r="C6894" s="12"/>
      <c r="D6894" s="13" t="n">
        <f aca="false">IF(B6894&lt;5,Einstellungen!$B$3,Einstellungen!$B$4)</f>
        <v>29.13</v>
      </c>
      <c r="E6894" s="14" t="str">
        <f aca="false">IF(C6894="","",C6894*D6894/100)</f>
        <v/>
      </c>
      <c r="F6894" s="15" t="str">
        <f aca="false">IF(B6894&lt;5,"Go","Standard")</f>
        <v>Standard</v>
      </c>
    </row>
    <row r="6895" customFormat="false" ht="15" hidden="false" customHeight="true" outlineLevel="0" collapsed="false">
      <c r="A6895" s="10" t="n">
        <f aca="false">Einstellungen!$B$5+INT((ROW()-9)/24)</f>
        <v>46252</v>
      </c>
      <c r="B6895" s="11" t="n">
        <f aca="false">MOD(ROW()-9,24)</f>
        <v>22</v>
      </c>
      <c r="C6895" s="12"/>
      <c r="D6895" s="13" t="n">
        <f aca="false">IF(B6895&lt;5,Einstellungen!$B$3,Einstellungen!$B$4)</f>
        <v>29.13</v>
      </c>
      <c r="E6895" s="14" t="str">
        <f aca="false">IF(C6895="","",C6895*D6895/100)</f>
        <v/>
      </c>
      <c r="F6895" s="15" t="str">
        <f aca="false">IF(B6895&lt;5,"Go","Standard")</f>
        <v>Standard</v>
      </c>
    </row>
    <row r="6896" customFormat="false" ht="15" hidden="false" customHeight="true" outlineLevel="0" collapsed="false">
      <c r="A6896" s="10" t="n">
        <f aca="false">Einstellungen!$B$5+INT((ROW()-9)/24)</f>
        <v>46252</v>
      </c>
      <c r="B6896" s="11" t="n">
        <f aca="false">MOD(ROW()-9,24)</f>
        <v>23</v>
      </c>
      <c r="C6896" s="12"/>
      <c r="D6896" s="13" t="n">
        <f aca="false">IF(B6896&lt;5,Einstellungen!$B$3,Einstellungen!$B$4)</f>
        <v>29.13</v>
      </c>
      <c r="E6896" s="14" t="str">
        <f aca="false">IF(C6896="","",C6896*D6896/100)</f>
        <v/>
      </c>
      <c r="F6896" s="15" t="str">
        <f aca="false">IF(B6896&lt;5,"Go","Standard")</f>
        <v>Standard</v>
      </c>
    </row>
    <row r="6897" customFormat="false" ht="15" hidden="false" customHeight="true" outlineLevel="0" collapsed="false">
      <c r="A6897" s="10" t="n">
        <f aca="false">Einstellungen!$B$5+INT((ROW()-9)/24)</f>
        <v>46253</v>
      </c>
      <c r="B6897" s="11" t="n">
        <f aca="false">MOD(ROW()-9,24)</f>
        <v>0</v>
      </c>
      <c r="C6897" s="12"/>
      <c r="D6897" s="13" t="n">
        <f aca="false">IF(B6897&lt;5,Einstellungen!$B$3,Einstellungen!$B$4)</f>
        <v>15.92</v>
      </c>
      <c r="E6897" s="14" t="str">
        <f aca="false">IF(C6897="","",C6897*D6897/100)</f>
        <v/>
      </c>
      <c r="F6897" s="15" t="str">
        <f aca="false">IF(B6897&lt;5,"Go","Standard")</f>
        <v>Go</v>
      </c>
    </row>
    <row r="6898" customFormat="false" ht="15" hidden="false" customHeight="true" outlineLevel="0" collapsed="false">
      <c r="A6898" s="10" t="n">
        <f aca="false">Einstellungen!$B$5+INT((ROW()-9)/24)</f>
        <v>46253</v>
      </c>
      <c r="B6898" s="11" t="n">
        <f aca="false">MOD(ROW()-9,24)</f>
        <v>1</v>
      </c>
      <c r="C6898" s="12"/>
      <c r="D6898" s="13" t="n">
        <f aca="false">IF(B6898&lt;5,Einstellungen!$B$3,Einstellungen!$B$4)</f>
        <v>15.92</v>
      </c>
      <c r="E6898" s="14" t="str">
        <f aca="false">IF(C6898="","",C6898*D6898/100)</f>
        <v/>
      </c>
      <c r="F6898" s="15" t="str">
        <f aca="false">IF(B6898&lt;5,"Go","Standard")</f>
        <v>Go</v>
      </c>
    </row>
    <row r="6899" customFormat="false" ht="15" hidden="false" customHeight="true" outlineLevel="0" collapsed="false">
      <c r="A6899" s="10" t="n">
        <f aca="false">Einstellungen!$B$5+INT((ROW()-9)/24)</f>
        <v>46253</v>
      </c>
      <c r="B6899" s="11" t="n">
        <f aca="false">MOD(ROW()-9,24)</f>
        <v>2</v>
      </c>
      <c r="C6899" s="12"/>
      <c r="D6899" s="13" t="n">
        <f aca="false">IF(B6899&lt;5,Einstellungen!$B$3,Einstellungen!$B$4)</f>
        <v>15.92</v>
      </c>
      <c r="E6899" s="14" t="str">
        <f aca="false">IF(C6899="","",C6899*D6899/100)</f>
        <v/>
      </c>
      <c r="F6899" s="15" t="str">
        <f aca="false">IF(B6899&lt;5,"Go","Standard")</f>
        <v>Go</v>
      </c>
    </row>
    <row r="6900" customFormat="false" ht="15" hidden="false" customHeight="true" outlineLevel="0" collapsed="false">
      <c r="A6900" s="10" t="n">
        <f aca="false">Einstellungen!$B$5+INT((ROW()-9)/24)</f>
        <v>46253</v>
      </c>
      <c r="B6900" s="11" t="n">
        <f aca="false">MOD(ROW()-9,24)</f>
        <v>3</v>
      </c>
      <c r="C6900" s="12"/>
      <c r="D6900" s="13" t="n">
        <f aca="false">IF(B6900&lt;5,Einstellungen!$B$3,Einstellungen!$B$4)</f>
        <v>15.92</v>
      </c>
      <c r="E6900" s="14" t="str">
        <f aca="false">IF(C6900="","",C6900*D6900/100)</f>
        <v/>
      </c>
      <c r="F6900" s="15" t="str">
        <f aca="false">IF(B6900&lt;5,"Go","Standard")</f>
        <v>Go</v>
      </c>
    </row>
    <row r="6901" customFormat="false" ht="15" hidden="false" customHeight="true" outlineLevel="0" collapsed="false">
      <c r="A6901" s="10" t="n">
        <f aca="false">Einstellungen!$B$5+INT((ROW()-9)/24)</f>
        <v>46253</v>
      </c>
      <c r="B6901" s="11" t="n">
        <f aca="false">MOD(ROW()-9,24)</f>
        <v>4</v>
      </c>
      <c r="C6901" s="12"/>
      <c r="D6901" s="13" t="n">
        <f aca="false">IF(B6901&lt;5,Einstellungen!$B$3,Einstellungen!$B$4)</f>
        <v>15.92</v>
      </c>
      <c r="E6901" s="14" t="str">
        <f aca="false">IF(C6901="","",C6901*D6901/100)</f>
        <v/>
      </c>
      <c r="F6901" s="15" t="str">
        <f aca="false">IF(B6901&lt;5,"Go","Standard")</f>
        <v>Go</v>
      </c>
    </row>
    <row r="6902" customFormat="false" ht="15" hidden="false" customHeight="true" outlineLevel="0" collapsed="false">
      <c r="A6902" s="10" t="n">
        <f aca="false">Einstellungen!$B$5+INT((ROW()-9)/24)</f>
        <v>46253</v>
      </c>
      <c r="B6902" s="11" t="n">
        <f aca="false">MOD(ROW()-9,24)</f>
        <v>5</v>
      </c>
      <c r="C6902" s="12"/>
      <c r="D6902" s="13" t="n">
        <f aca="false">IF(B6902&lt;5,Einstellungen!$B$3,Einstellungen!$B$4)</f>
        <v>29.13</v>
      </c>
      <c r="E6902" s="14" t="str">
        <f aca="false">IF(C6902="","",C6902*D6902/100)</f>
        <v/>
      </c>
      <c r="F6902" s="15" t="str">
        <f aca="false">IF(B6902&lt;5,"Go","Standard")</f>
        <v>Standard</v>
      </c>
    </row>
    <row r="6903" customFormat="false" ht="15" hidden="false" customHeight="true" outlineLevel="0" collapsed="false">
      <c r="A6903" s="10" t="n">
        <f aca="false">Einstellungen!$B$5+INT((ROW()-9)/24)</f>
        <v>46253</v>
      </c>
      <c r="B6903" s="11" t="n">
        <f aca="false">MOD(ROW()-9,24)</f>
        <v>6</v>
      </c>
      <c r="C6903" s="12"/>
      <c r="D6903" s="13" t="n">
        <f aca="false">IF(B6903&lt;5,Einstellungen!$B$3,Einstellungen!$B$4)</f>
        <v>29.13</v>
      </c>
      <c r="E6903" s="14" t="str">
        <f aca="false">IF(C6903="","",C6903*D6903/100)</f>
        <v/>
      </c>
      <c r="F6903" s="15" t="str">
        <f aca="false">IF(B6903&lt;5,"Go","Standard")</f>
        <v>Standard</v>
      </c>
    </row>
    <row r="6904" customFormat="false" ht="15" hidden="false" customHeight="true" outlineLevel="0" collapsed="false">
      <c r="A6904" s="10" t="n">
        <f aca="false">Einstellungen!$B$5+INT((ROW()-9)/24)</f>
        <v>46253</v>
      </c>
      <c r="B6904" s="11" t="n">
        <f aca="false">MOD(ROW()-9,24)</f>
        <v>7</v>
      </c>
      <c r="C6904" s="12"/>
      <c r="D6904" s="13" t="n">
        <f aca="false">IF(B6904&lt;5,Einstellungen!$B$3,Einstellungen!$B$4)</f>
        <v>29.13</v>
      </c>
      <c r="E6904" s="14" t="str">
        <f aca="false">IF(C6904="","",C6904*D6904/100)</f>
        <v/>
      </c>
      <c r="F6904" s="15" t="str">
        <f aca="false">IF(B6904&lt;5,"Go","Standard")</f>
        <v>Standard</v>
      </c>
    </row>
    <row r="6905" customFormat="false" ht="15" hidden="false" customHeight="true" outlineLevel="0" collapsed="false">
      <c r="A6905" s="10" t="n">
        <f aca="false">Einstellungen!$B$5+INT((ROW()-9)/24)</f>
        <v>46253</v>
      </c>
      <c r="B6905" s="11" t="n">
        <f aca="false">MOD(ROW()-9,24)</f>
        <v>8</v>
      </c>
      <c r="C6905" s="12"/>
      <c r="D6905" s="13" t="n">
        <f aca="false">IF(B6905&lt;5,Einstellungen!$B$3,Einstellungen!$B$4)</f>
        <v>29.13</v>
      </c>
      <c r="E6905" s="14" t="str">
        <f aca="false">IF(C6905="","",C6905*D6905/100)</f>
        <v/>
      </c>
      <c r="F6905" s="15" t="str">
        <f aca="false">IF(B6905&lt;5,"Go","Standard")</f>
        <v>Standard</v>
      </c>
    </row>
    <row r="6906" customFormat="false" ht="15" hidden="false" customHeight="true" outlineLevel="0" collapsed="false">
      <c r="A6906" s="10" t="n">
        <f aca="false">Einstellungen!$B$5+INT((ROW()-9)/24)</f>
        <v>46253</v>
      </c>
      <c r="B6906" s="11" t="n">
        <f aca="false">MOD(ROW()-9,24)</f>
        <v>9</v>
      </c>
      <c r="C6906" s="12"/>
      <c r="D6906" s="13" t="n">
        <f aca="false">IF(B6906&lt;5,Einstellungen!$B$3,Einstellungen!$B$4)</f>
        <v>29.13</v>
      </c>
      <c r="E6906" s="14" t="str">
        <f aca="false">IF(C6906="","",C6906*D6906/100)</f>
        <v/>
      </c>
      <c r="F6906" s="15" t="str">
        <f aca="false">IF(B6906&lt;5,"Go","Standard")</f>
        <v>Standard</v>
      </c>
    </row>
    <row r="6907" customFormat="false" ht="15" hidden="false" customHeight="true" outlineLevel="0" collapsed="false">
      <c r="A6907" s="10" t="n">
        <f aca="false">Einstellungen!$B$5+INT((ROW()-9)/24)</f>
        <v>46253</v>
      </c>
      <c r="B6907" s="11" t="n">
        <f aca="false">MOD(ROW()-9,24)</f>
        <v>10</v>
      </c>
      <c r="C6907" s="12"/>
      <c r="D6907" s="13" t="n">
        <f aca="false">IF(B6907&lt;5,Einstellungen!$B$3,Einstellungen!$B$4)</f>
        <v>29.13</v>
      </c>
      <c r="E6907" s="14" t="str">
        <f aca="false">IF(C6907="","",C6907*D6907/100)</f>
        <v/>
      </c>
      <c r="F6907" s="15" t="str">
        <f aca="false">IF(B6907&lt;5,"Go","Standard")</f>
        <v>Standard</v>
      </c>
    </row>
    <row r="6908" customFormat="false" ht="15" hidden="false" customHeight="true" outlineLevel="0" collapsed="false">
      <c r="A6908" s="10" t="n">
        <f aca="false">Einstellungen!$B$5+INT((ROW()-9)/24)</f>
        <v>46253</v>
      </c>
      <c r="B6908" s="11" t="n">
        <f aca="false">MOD(ROW()-9,24)</f>
        <v>11</v>
      </c>
      <c r="C6908" s="12"/>
      <c r="D6908" s="13" t="n">
        <f aca="false">IF(B6908&lt;5,Einstellungen!$B$3,Einstellungen!$B$4)</f>
        <v>29.13</v>
      </c>
      <c r="E6908" s="14" t="str">
        <f aca="false">IF(C6908="","",C6908*D6908/100)</f>
        <v/>
      </c>
      <c r="F6908" s="15" t="str">
        <f aca="false">IF(B6908&lt;5,"Go","Standard")</f>
        <v>Standard</v>
      </c>
    </row>
    <row r="6909" customFormat="false" ht="15" hidden="false" customHeight="true" outlineLevel="0" collapsed="false">
      <c r="A6909" s="10" t="n">
        <f aca="false">Einstellungen!$B$5+INT((ROW()-9)/24)</f>
        <v>46253</v>
      </c>
      <c r="B6909" s="11" t="n">
        <f aca="false">MOD(ROW()-9,24)</f>
        <v>12</v>
      </c>
      <c r="C6909" s="12"/>
      <c r="D6909" s="13" t="n">
        <f aca="false">IF(B6909&lt;5,Einstellungen!$B$3,Einstellungen!$B$4)</f>
        <v>29.13</v>
      </c>
      <c r="E6909" s="14" t="str">
        <f aca="false">IF(C6909="","",C6909*D6909/100)</f>
        <v/>
      </c>
      <c r="F6909" s="15" t="str">
        <f aca="false">IF(B6909&lt;5,"Go","Standard")</f>
        <v>Standard</v>
      </c>
    </row>
    <row r="6910" customFormat="false" ht="15" hidden="false" customHeight="true" outlineLevel="0" collapsed="false">
      <c r="A6910" s="10" t="n">
        <f aca="false">Einstellungen!$B$5+INT((ROW()-9)/24)</f>
        <v>46253</v>
      </c>
      <c r="B6910" s="11" t="n">
        <f aca="false">MOD(ROW()-9,24)</f>
        <v>13</v>
      </c>
      <c r="C6910" s="12"/>
      <c r="D6910" s="13" t="n">
        <f aca="false">IF(B6910&lt;5,Einstellungen!$B$3,Einstellungen!$B$4)</f>
        <v>29.13</v>
      </c>
      <c r="E6910" s="14" t="str">
        <f aca="false">IF(C6910="","",C6910*D6910/100)</f>
        <v/>
      </c>
      <c r="F6910" s="15" t="str">
        <f aca="false">IF(B6910&lt;5,"Go","Standard")</f>
        <v>Standard</v>
      </c>
    </row>
    <row r="6911" customFormat="false" ht="15" hidden="false" customHeight="true" outlineLevel="0" collapsed="false">
      <c r="A6911" s="10" t="n">
        <f aca="false">Einstellungen!$B$5+INT((ROW()-9)/24)</f>
        <v>46253</v>
      </c>
      <c r="B6911" s="11" t="n">
        <f aca="false">MOD(ROW()-9,24)</f>
        <v>14</v>
      </c>
      <c r="C6911" s="12"/>
      <c r="D6911" s="13" t="n">
        <f aca="false">IF(B6911&lt;5,Einstellungen!$B$3,Einstellungen!$B$4)</f>
        <v>29.13</v>
      </c>
      <c r="E6911" s="14" t="str">
        <f aca="false">IF(C6911="","",C6911*D6911/100)</f>
        <v/>
      </c>
      <c r="F6911" s="15" t="str">
        <f aca="false">IF(B6911&lt;5,"Go","Standard")</f>
        <v>Standard</v>
      </c>
    </row>
    <row r="6912" customFormat="false" ht="15" hidden="false" customHeight="true" outlineLevel="0" collapsed="false">
      <c r="A6912" s="10" t="n">
        <f aca="false">Einstellungen!$B$5+INT((ROW()-9)/24)</f>
        <v>46253</v>
      </c>
      <c r="B6912" s="11" t="n">
        <f aca="false">MOD(ROW()-9,24)</f>
        <v>15</v>
      </c>
      <c r="C6912" s="12"/>
      <c r="D6912" s="13" t="n">
        <f aca="false">IF(B6912&lt;5,Einstellungen!$B$3,Einstellungen!$B$4)</f>
        <v>29.13</v>
      </c>
      <c r="E6912" s="14" t="str">
        <f aca="false">IF(C6912="","",C6912*D6912/100)</f>
        <v/>
      </c>
      <c r="F6912" s="15" t="str">
        <f aca="false">IF(B6912&lt;5,"Go","Standard")</f>
        <v>Standard</v>
      </c>
    </row>
    <row r="6913" customFormat="false" ht="15" hidden="false" customHeight="true" outlineLevel="0" collapsed="false">
      <c r="A6913" s="10" t="n">
        <f aca="false">Einstellungen!$B$5+INT((ROW()-9)/24)</f>
        <v>46253</v>
      </c>
      <c r="B6913" s="11" t="n">
        <f aca="false">MOD(ROW()-9,24)</f>
        <v>16</v>
      </c>
      <c r="C6913" s="12"/>
      <c r="D6913" s="13" t="n">
        <f aca="false">IF(B6913&lt;5,Einstellungen!$B$3,Einstellungen!$B$4)</f>
        <v>29.13</v>
      </c>
      <c r="E6913" s="14" t="str">
        <f aca="false">IF(C6913="","",C6913*D6913/100)</f>
        <v/>
      </c>
      <c r="F6913" s="15" t="str">
        <f aca="false">IF(B6913&lt;5,"Go","Standard")</f>
        <v>Standard</v>
      </c>
    </row>
    <row r="6914" customFormat="false" ht="15" hidden="false" customHeight="true" outlineLevel="0" collapsed="false">
      <c r="A6914" s="10" t="n">
        <f aca="false">Einstellungen!$B$5+INT((ROW()-9)/24)</f>
        <v>46253</v>
      </c>
      <c r="B6914" s="11" t="n">
        <f aca="false">MOD(ROW()-9,24)</f>
        <v>17</v>
      </c>
      <c r="C6914" s="12"/>
      <c r="D6914" s="13" t="n">
        <f aca="false">IF(B6914&lt;5,Einstellungen!$B$3,Einstellungen!$B$4)</f>
        <v>29.13</v>
      </c>
      <c r="E6914" s="14" t="str">
        <f aca="false">IF(C6914="","",C6914*D6914/100)</f>
        <v/>
      </c>
      <c r="F6914" s="15" t="str">
        <f aca="false">IF(B6914&lt;5,"Go","Standard")</f>
        <v>Standard</v>
      </c>
    </row>
    <row r="6915" customFormat="false" ht="15" hidden="false" customHeight="true" outlineLevel="0" collapsed="false">
      <c r="A6915" s="10" t="n">
        <f aca="false">Einstellungen!$B$5+INT((ROW()-9)/24)</f>
        <v>46253</v>
      </c>
      <c r="B6915" s="11" t="n">
        <f aca="false">MOD(ROW()-9,24)</f>
        <v>18</v>
      </c>
      <c r="C6915" s="12"/>
      <c r="D6915" s="13" t="n">
        <f aca="false">IF(B6915&lt;5,Einstellungen!$B$3,Einstellungen!$B$4)</f>
        <v>29.13</v>
      </c>
      <c r="E6915" s="14" t="str">
        <f aca="false">IF(C6915="","",C6915*D6915/100)</f>
        <v/>
      </c>
      <c r="F6915" s="15" t="str">
        <f aca="false">IF(B6915&lt;5,"Go","Standard")</f>
        <v>Standard</v>
      </c>
    </row>
    <row r="6916" customFormat="false" ht="15" hidden="false" customHeight="true" outlineLevel="0" collapsed="false">
      <c r="A6916" s="10" t="n">
        <f aca="false">Einstellungen!$B$5+INT((ROW()-9)/24)</f>
        <v>46253</v>
      </c>
      <c r="B6916" s="11" t="n">
        <f aca="false">MOD(ROW()-9,24)</f>
        <v>19</v>
      </c>
      <c r="C6916" s="12"/>
      <c r="D6916" s="13" t="n">
        <f aca="false">IF(B6916&lt;5,Einstellungen!$B$3,Einstellungen!$B$4)</f>
        <v>29.13</v>
      </c>
      <c r="E6916" s="14" t="str">
        <f aca="false">IF(C6916="","",C6916*D6916/100)</f>
        <v/>
      </c>
      <c r="F6916" s="15" t="str">
        <f aca="false">IF(B6916&lt;5,"Go","Standard")</f>
        <v>Standard</v>
      </c>
    </row>
    <row r="6917" customFormat="false" ht="15" hidden="false" customHeight="true" outlineLevel="0" collapsed="false">
      <c r="A6917" s="10" t="n">
        <f aca="false">Einstellungen!$B$5+INT((ROW()-9)/24)</f>
        <v>46253</v>
      </c>
      <c r="B6917" s="11" t="n">
        <f aca="false">MOD(ROW()-9,24)</f>
        <v>20</v>
      </c>
      <c r="C6917" s="12"/>
      <c r="D6917" s="13" t="n">
        <f aca="false">IF(B6917&lt;5,Einstellungen!$B$3,Einstellungen!$B$4)</f>
        <v>29.13</v>
      </c>
      <c r="E6917" s="14" t="str">
        <f aca="false">IF(C6917="","",C6917*D6917/100)</f>
        <v/>
      </c>
      <c r="F6917" s="15" t="str">
        <f aca="false">IF(B6917&lt;5,"Go","Standard")</f>
        <v>Standard</v>
      </c>
    </row>
    <row r="6918" customFormat="false" ht="15" hidden="false" customHeight="true" outlineLevel="0" collapsed="false">
      <c r="A6918" s="10" t="n">
        <f aca="false">Einstellungen!$B$5+INT((ROW()-9)/24)</f>
        <v>46253</v>
      </c>
      <c r="B6918" s="11" t="n">
        <f aca="false">MOD(ROW()-9,24)</f>
        <v>21</v>
      </c>
      <c r="C6918" s="12"/>
      <c r="D6918" s="13" t="n">
        <f aca="false">IF(B6918&lt;5,Einstellungen!$B$3,Einstellungen!$B$4)</f>
        <v>29.13</v>
      </c>
      <c r="E6918" s="14" t="str">
        <f aca="false">IF(C6918="","",C6918*D6918/100)</f>
        <v/>
      </c>
      <c r="F6918" s="15" t="str">
        <f aca="false">IF(B6918&lt;5,"Go","Standard")</f>
        <v>Standard</v>
      </c>
    </row>
    <row r="6919" customFormat="false" ht="15" hidden="false" customHeight="true" outlineLevel="0" collapsed="false">
      <c r="A6919" s="10" t="n">
        <f aca="false">Einstellungen!$B$5+INT((ROW()-9)/24)</f>
        <v>46253</v>
      </c>
      <c r="B6919" s="11" t="n">
        <f aca="false">MOD(ROW()-9,24)</f>
        <v>22</v>
      </c>
      <c r="C6919" s="12"/>
      <c r="D6919" s="13" t="n">
        <f aca="false">IF(B6919&lt;5,Einstellungen!$B$3,Einstellungen!$B$4)</f>
        <v>29.13</v>
      </c>
      <c r="E6919" s="14" t="str">
        <f aca="false">IF(C6919="","",C6919*D6919/100)</f>
        <v/>
      </c>
      <c r="F6919" s="15" t="str">
        <f aca="false">IF(B6919&lt;5,"Go","Standard")</f>
        <v>Standard</v>
      </c>
    </row>
    <row r="6920" customFormat="false" ht="15" hidden="false" customHeight="true" outlineLevel="0" collapsed="false">
      <c r="A6920" s="10" t="n">
        <f aca="false">Einstellungen!$B$5+INT((ROW()-9)/24)</f>
        <v>46253</v>
      </c>
      <c r="B6920" s="11" t="n">
        <f aca="false">MOD(ROW()-9,24)</f>
        <v>23</v>
      </c>
      <c r="C6920" s="12"/>
      <c r="D6920" s="13" t="n">
        <f aca="false">IF(B6920&lt;5,Einstellungen!$B$3,Einstellungen!$B$4)</f>
        <v>29.13</v>
      </c>
      <c r="E6920" s="14" t="str">
        <f aca="false">IF(C6920="","",C6920*D6920/100)</f>
        <v/>
      </c>
      <c r="F6920" s="15" t="str">
        <f aca="false">IF(B6920&lt;5,"Go","Standard")</f>
        <v>Standard</v>
      </c>
    </row>
    <row r="6921" customFormat="false" ht="15" hidden="false" customHeight="true" outlineLevel="0" collapsed="false">
      <c r="A6921" s="10" t="n">
        <f aca="false">Einstellungen!$B$5+INT((ROW()-9)/24)</f>
        <v>46254</v>
      </c>
      <c r="B6921" s="11" t="n">
        <f aca="false">MOD(ROW()-9,24)</f>
        <v>0</v>
      </c>
      <c r="C6921" s="12"/>
      <c r="D6921" s="13" t="n">
        <f aca="false">IF(B6921&lt;5,Einstellungen!$B$3,Einstellungen!$B$4)</f>
        <v>15.92</v>
      </c>
      <c r="E6921" s="14" t="str">
        <f aca="false">IF(C6921="","",C6921*D6921/100)</f>
        <v/>
      </c>
      <c r="F6921" s="15" t="str">
        <f aca="false">IF(B6921&lt;5,"Go","Standard")</f>
        <v>Go</v>
      </c>
    </row>
    <row r="6922" customFormat="false" ht="15" hidden="false" customHeight="true" outlineLevel="0" collapsed="false">
      <c r="A6922" s="10" t="n">
        <f aca="false">Einstellungen!$B$5+INT((ROW()-9)/24)</f>
        <v>46254</v>
      </c>
      <c r="B6922" s="11" t="n">
        <f aca="false">MOD(ROW()-9,24)</f>
        <v>1</v>
      </c>
      <c r="C6922" s="12"/>
      <c r="D6922" s="13" t="n">
        <f aca="false">IF(B6922&lt;5,Einstellungen!$B$3,Einstellungen!$B$4)</f>
        <v>15.92</v>
      </c>
      <c r="E6922" s="14" t="str">
        <f aca="false">IF(C6922="","",C6922*D6922/100)</f>
        <v/>
      </c>
      <c r="F6922" s="15" t="str">
        <f aca="false">IF(B6922&lt;5,"Go","Standard")</f>
        <v>Go</v>
      </c>
    </row>
    <row r="6923" customFormat="false" ht="15" hidden="false" customHeight="true" outlineLevel="0" collapsed="false">
      <c r="A6923" s="10" t="n">
        <f aca="false">Einstellungen!$B$5+INT((ROW()-9)/24)</f>
        <v>46254</v>
      </c>
      <c r="B6923" s="11" t="n">
        <f aca="false">MOD(ROW()-9,24)</f>
        <v>2</v>
      </c>
      <c r="C6923" s="12"/>
      <c r="D6923" s="13" t="n">
        <f aca="false">IF(B6923&lt;5,Einstellungen!$B$3,Einstellungen!$B$4)</f>
        <v>15.92</v>
      </c>
      <c r="E6923" s="14" t="str">
        <f aca="false">IF(C6923="","",C6923*D6923/100)</f>
        <v/>
      </c>
      <c r="F6923" s="15" t="str">
        <f aca="false">IF(B6923&lt;5,"Go","Standard")</f>
        <v>Go</v>
      </c>
    </row>
    <row r="6924" customFormat="false" ht="15" hidden="false" customHeight="true" outlineLevel="0" collapsed="false">
      <c r="A6924" s="10" t="n">
        <f aca="false">Einstellungen!$B$5+INT((ROW()-9)/24)</f>
        <v>46254</v>
      </c>
      <c r="B6924" s="11" t="n">
        <f aca="false">MOD(ROW()-9,24)</f>
        <v>3</v>
      </c>
      <c r="C6924" s="12"/>
      <c r="D6924" s="13" t="n">
        <f aca="false">IF(B6924&lt;5,Einstellungen!$B$3,Einstellungen!$B$4)</f>
        <v>15.92</v>
      </c>
      <c r="E6924" s="14" t="str">
        <f aca="false">IF(C6924="","",C6924*D6924/100)</f>
        <v/>
      </c>
      <c r="F6924" s="15" t="str">
        <f aca="false">IF(B6924&lt;5,"Go","Standard")</f>
        <v>Go</v>
      </c>
    </row>
    <row r="6925" customFormat="false" ht="15" hidden="false" customHeight="true" outlineLevel="0" collapsed="false">
      <c r="A6925" s="10" t="n">
        <f aca="false">Einstellungen!$B$5+INT((ROW()-9)/24)</f>
        <v>46254</v>
      </c>
      <c r="B6925" s="11" t="n">
        <f aca="false">MOD(ROW()-9,24)</f>
        <v>4</v>
      </c>
      <c r="C6925" s="12"/>
      <c r="D6925" s="13" t="n">
        <f aca="false">IF(B6925&lt;5,Einstellungen!$B$3,Einstellungen!$B$4)</f>
        <v>15.92</v>
      </c>
      <c r="E6925" s="14" t="str">
        <f aca="false">IF(C6925="","",C6925*D6925/100)</f>
        <v/>
      </c>
      <c r="F6925" s="15" t="str">
        <f aca="false">IF(B6925&lt;5,"Go","Standard")</f>
        <v>Go</v>
      </c>
    </row>
    <row r="6926" customFormat="false" ht="15" hidden="false" customHeight="true" outlineLevel="0" collapsed="false">
      <c r="A6926" s="10" t="n">
        <f aca="false">Einstellungen!$B$5+INT((ROW()-9)/24)</f>
        <v>46254</v>
      </c>
      <c r="B6926" s="11" t="n">
        <f aca="false">MOD(ROW()-9,24)</f>
        <v>5</v>
      </c>
      <c r="C6926" s="12"/>
      <c r="D6926" s="13" t="n">
        <f aca="false">IF(B6926&lt;5,Einstellungen!$B$3,Einstellungen!$B$4)</f>
        <v>29.13</v>
      </c>
      <c r="E6926" s="14" t="str">
        <f aca="false">IF(C6926="","",C6926*D6926/100)</f>
        <v/>
      </c>
      <c r="F6926" s="15" t="str">
        <f aca="false">IF(B6926&lt;5,"Go","Standard")</f>
        <v>Standard</v>
      </c>
    </row>
    <row r="6927" customFormat="false" ht="15" hidden="false" customHeight="true" outlineLevel="0" collapsed="false">
      <c r="A6927" s="10" t="n">
        <f aca="false">Einstellungen!$B$5+INT((ROW()-9)/24)</f>
        <v>46254</v>
      </c>
      <c r="B6927" s="11" t="n">
        <f aca="false">MOD(ROW()-9,24)</f>
        <v>6</v>
      </c>
      <c r="C6927" s="12"/>
      <c r="D6927" s="13" t="n">
        <f aca="false">IF(B6927&lt;5,Einstellungen!$B$3,Einstellungen!$B$4)</f>
        <v>29.13</v>
      </c>
      <c r="E6927" s="14" t="str">
        <f aca="false">IF(C6927="","",C6927*D6927/100)</f>
        <v/>
      </c>
      <c r="F6927" s="15" t="str">
        <f aca="false">IF(B6927&lt;5,"Go","Standard")</f>
        <v>Standard</v>
      </c>
    </row>
    <row r="6928" customFormat="false" ht="15" hidden="false" customHeight="true" outlineLevel="0" collapsed="false">
      <c r="A6928" s="10" t="n">
        <f aca="false">Einstellungen!$B$5+INT((ROW()-9)/24)</f>
        <v>46254</v>
      </c>
      <c r="B6928" s="11" t="n">
        <f aca="false">MOD(ROW()-9,24)</f>
        <v>7</v>
      </c>
      <c r="C6928" s="12"/>
      <c r="D6928" s="13" t="n">
        <f aca="false">IF(B6928&lt;5,Einstellungen!$B$3,Einstellungen!$B$4)</f>
        <v>29.13</v>
      </c>
      <c r="E6928" s="14" t="str">
        <f aca="false">IF(C6928="","",C6928*D6928/100)</f>
        <v/>
      </c>
      <c r="F6928" s="15" t="str">
        <f aca="false">IF(B6928&lt;5,"Go","Standard")</f>
        <v>Standard</v>
      </c>
    </row>
    <row r="6929" customFormat="false" ht="15" hidden="false" customHeight="true" outlineLevel="0" collapsed="false">
      <c r="A6929" s="10" t="n">
        <f aca="false">Einstellungen!$B$5+INT((ROW()-9)/24)</f>
        <v>46254</v>
      </c>
      <c r="B6929" s="11" t="n">
        <f aca="false">MOD(ROW()-9,24)</f>
        <v>8</v>
      </c>
      <c r="C6929" s="12"/>
      <c r="D6929" s="13" t="n">
        <f aca="false">IF(B6929&lt;5,Einstellungen!$B$3,Einstellungen!$B$4)</f>
        <v>29.13</v>
      </c>
      <c r="E6929" s="14" t="str">
        <f aca="false">IF(C6929="","",C6929*D6929/100)</f>
        <v/>
      </c>
      <c r="F6929" s="15" t="str">
        <f aca="false">IF(B6929&lt;5,"Go","Standard")</f>
        <v>Standard</v>
      </c>
    </row>
    <row r="6930" customFormat="false" ht="15" hidden="false" customHeight="true" outlineLevel="0" collapsed="false">
      <c r="A6930" s="10" t="n">
        <f aca="false">Einstellungen!$B$5+INT((ROW()-9)/24)</f>
        <v>46254</v>
      </c>
      <c r="B6930" s="11" t="n">
        <f aca="false">MOD(ROW()-9,24)</f>
        <v>9</v>
      </c>
      <c r="C6930" s="12"/>
      <c r="D6930" s="13" t="n">
        <f aca="false">IF(B6930&lt;5,Einstellungen!$B$3,Einstellungen!$B$4)</f>
        <v>29.13</v>
      </c>
      <c r="E6930" s="14" t="str">
        <f aca="false">IF(C6930="","",C6930*D6930/100)</f>
        <v/>
      </c>
      <c r="F6930" s="15" t="str">
        <f aca="false">IF(B6930&lt;5,"Go","Standard")</f>
        <v>Standard</v>
      </c>
    </row>
    <row r="6931" customFormat="false" ht="15" hidden="false" customHeight="true" outlineLevel="0" collapsed="false">
      <c r="A6931" s="10" t="n">
        <f aca="false">Einstellungen!$B$5+INT((ROW()-9)/24)</f>
        <v>46254</v>
      </c>
      <c r="B6931" s="11" t="n">
        <f aca="false">MOD(ROW()-9,24)</f>
        <v>10</v>
      </c>
      <c r="C6931" s="12"/>
      <c r="D6931" s="13" t="n">
        <f aca="false">IF(B6931&lt;5,Einstellungen!$B$3,Einstellungen!$B$4)</f>
        <v>29.13</v>
      </c>
      <c r="E6931" s="14" t="str">
        <f aca="false">IF(C6931="","",C6931*D6931/100)</f>
        <v/>
      </c>
      <c r="F6931" s="15" t="str">
        <f aca="false">IF(B6931&lt;5,"Go","Standard")</f>
        <v>Standard</v>
      </c>
    </row>
    <row r="6932" customFormat="false" ht="15" hidden="false" customHeight="true" outlineLevel="0" collapsed="false">
      <c r="A6932" s="10" t="n">
        <f aca="false">Einstellungen!$B$5+INT((ROW()-9)/24)</f>
        <v>46254</v>
      </c>
      <c r="B6932" s="11" t="n">
        <f aca="false">MOD(ROW()-9,24)</f>
        <v>11</v>
      </c>
      <c r="C6932" s="12"/>
      <c r="D6932" s="13" t="n">
        <f aca="false">IF(B6932&lt;5,Einstellungen!$B$3,Einstellungen!$B$4)</f>
        <v>29.13</v>
      </c>
      <c r="E6932" s="14" t="str">
        <f aca="false">IF(C6932="","",C6932*D6932/100)</f>
        <v/>
      </c>
      <c r="F6932" s="15" t="str">
        <f aca="false">IF(B6932&lt;5,"Go","Standard")</f>
        <v>Standard</v>
      </c>
    </row>
    <row r="6933" customFormat="false" ht="15" hidden="false" customHeight="true" outlineLevel="0" collapsed="false">
      <c r="A6933" s="10" t="n">
        <f aca="false">Einstellungen!$B$5+INT((ROW()-9)/24)</f>
        <v>46254</v>
      </c>
      <c r="B6933" s="11" t="n">
        <f aca="false">MOD(ROW()-9,24)</f>
        <v>12</v>
      </c>
      <c r="C6933" s="12"/>
      <c r="D6933" s="13" t="n">
        <f aca="false">IF(B6933&lt;5,Einstellungen!$B$3,Einstellungen!$B$4)</f>
        <v>29.13</v>
      </c>
      <c r="E6933" s="14" t="str">
        <f aca="false">IF(C6933="","",C6933*D6933/100)</f>
        <v/>
      </c>
      <c r="F6933" s="15" t="str">
        <f aca="false">IF(B6933&lt;5,"Go","Standard")</f>
        <v>Standard</v>
      </c>
    </row>
    <row r="6934" customFormat="false" ht="15" hidden="false" customHeight="true" outlineLevel="0" collapsed="false">
      <c r="A6934" s="10" t="n">
        <f aca="false">Einstellungen!$B$5+INT((ROW()-9)/24)</f>
        <v>46254</v>
      </c>
      <c r="B6934" s="11" t="n">
        <f aca="false">MOD(ROW()-9,24)</f>
        <v>13</v>
      </c>
      <c r="C6934" s="12"/>
      <c r="D6934" s="13" t="n">
        <f aca="false">IF(B6934&lt;5,Einstellungen!$B$3,Einstellungen!$B$4)</f>
        <v>29.13</v>
      </c>
      <c r="E6934" s="14" t="str">
        <f aca="false">IF(C6934="","",C6934*D6934/100)</f>
        <v/>
      </c>
      <c r="F6934" s="15" t="str">
        <f aca="false">IF(B6934&lt;5,"Go","Standard")</f>
        <v>Standard</v>
      </c>
    </row>
    <row r="6935" customFormat="false" ht="15" hidden="false" customHeight="true" outlineLevel="0" collapsed="false">
      <c r="A6935" s="10" t="n">
        <f aca="false">Einstellungen!$B$5+INT((ROW()-9)/24)</f>
        <v>46254</v>
      </c>
      <c r="B6935" s="11" t="n">
        <f aca="false">MOD(ROW()-9,24)</f>
        <v>14</v>
      </c>
      <c r="C6935" s="12"/>
      <c r="D6935" s="13" t="n">
        <f aca="false">IF(B6935&lt;5,Einstellungen!$B$3,Einstellungen!$B$4)</f>
        <v>29.13</v>
      </c>
      <c r="E6935" s="14" t="str">
        <f aca="false">IF(C6935="","",C6935*D6935/100)</f>
        <v/>
      </c>
      <c r="F6935" s="15" t="str">
        <f aca="false">IF(B6935&lt;5,"Go","Standard")</f>
        <v>Standard</v>
      </c>
    </row>
    <row r="6936" customFormat="false" ht="15" hidden="false" customHeight="true" outlineLevel="0" collapsed="false">
      <c r="A6936" s="10" t="n">
        <f aca="false">Einstellungen!$B$5+INT((ROW()-9)/24)</f>
        <v>46254</v>
      </c>
      <c r="B6936" s="11" t="n">
        <f aca="false">MOD(ROW()-9,24)</f>
        <v>15</v>
      </c>
      <c r="C6936" s="12"/>
      <c r="D6936" s="13" t="n">
        <f aca="false">IF(B6936&lt;5,Einstellungen!$B$3,Einstellungen!$B$4)</f>
        <v>29.13</v>
      </c>
      <c r="E6936" s="14" t="str">
        <f aca="false">IF(C6936="","",C6936*D6936/100)</f>
        <v/>
      </c>
      <c r="F6936" s="15" t="str">
        <f aca="false">IF(B6936&lt;5,"Go","Standard")</f>
        <v>Standard</v>
      </c>
    </row>
    <row r="6937" customFormat="false" ht="15" hidden="false" customHeight="true" outlineLevel="0" collapsed="false">
      <c r="A6937" s="10" t="n">
        <f aca="false">Einstellungen!$B$5+INT((ROW()-9)/24)</f>
        <v>46254</v>
      </c>
      <c r="B6937" s="11" t="n">
        <f aca="false">MOD(ROW()-9,24)</f>
        <v>16</v>
      </c>
      <c r="C6937" s="12"/>
      <c r="D6937" s="13" t="n">
        <f aca="false">IF(B6937&lt;5,Einstellungen!$B$3,Einstellungen!$B$4)</f>
        <v>29.13</v>
      </c>
      <c r="E6937" s="14" t="str">
        <f aca="false">IF(C6937="","",C6937*D6937/100)</f>
        <v/>
      </c>
      <c r="F6937" s="15" t="str">
        <f aca="false">IF(B6937&lt;5,"Go","Standard")</f>
        <v>Standard</v>
      </c>
    </row>
    <row r="6938" customFormat="false" ht="15" hidden="false" customHeight="true" outlineLevel="0" collapsed="false">
      <c r="A6938" s="10" t="n">
        <f aca="false">Einstellungen!$B$5+INT((ROW()-9)/24)</f>
        <v>46254</v>
      </c>
      <c r="B6938" s="11" t="n">
        <f aca="false">MOD(ROW()-9,24)</f>
        <v>17</v>
      </c>
      <c r="C6938" s="12"/>
      <c r="D6938" s="13" t="n">
        <f aca="false">IF(B6938&lt;5,Einstellungen!$B$3,Einstellungen!$B$4)</f>
        <v>29.13</v>
      </c>
      <c r="E6938" s="14" t="str">
        <f aca="false">IF(C6938="","",C6938*D6938/100)</f>
        <v/>
      </c>
      <c r="F6938" s="15" t="str">
        <f aca="false">IF(B6938&lt;5,"Go","Standard")</f>
        <v>Standard</v>
      </c>
    </row>
    <row r="6939" customFormat="false" ht="15" hidden="false" customHeight="true" outlineLevel="0" collapsed="false">
      <c r="A6939" s="10" t="n">
        <f aca="false">Einstellungen!$B$5+INT((ROW()-9)/24)</f>
        <v>46254</v>
      </c>
      <c r="B6939" s="11" t="n">
        <f aca="false">MOD(ROW()-9,24)</f>
        <v>18</v>
      </c>
      <c r="C6939" s="12"/>
      <c r="D6939" s="13" t="n">
        <f aca="false">IF(B6939&lt;5,Einstellungen!$B$3,Einstellungen!$B$4)</f>
        <v>29.13</v>
      </c>
      <c r="E6939" s="14" t="str">
        <f aca="false">IF(C6939="","",C6939*D6939/100)</f>
        <v/>
      </c>
      <c r="F6939" s="15" t="str">
        <f aca="false">IF(B6939&lt;5,"Go","Standard")</f>
        <v>Standard</v>
      </c>
    </row>
    <row r="6940" customFormat="false" ht="15" hidden="false" customHeight="true" outlineLevel="0" collapsed="false">
      <c r="A6940" s="10" t="n">
        <f aca="false">Einstellungen!$B$5+INT((ROW()-9)/24)</f>
        <v>46254</v>
      </c>
      <c r="B6940" s="11" t="n">
        <f aca="false">MOD(ROW()-9,24)</f>
        <v>19</v>
      </c>
      <c r="C6940" s="12"/>
      <c r="D6940" s="13" t="n">
        <f aca="false">IF(B6940&lt;5,Einstellungen!$B$3,Einstellungen!$B$4)</f>
        <v>29.13</v>
      </c>
      <c r="E6940" s="14" t="str">
        <f aca="false">IF(C6940="","",C6940*D6940/100)</f>
        <v/>
      </c>
      <c r="F6940" s="15" t="str">
        <f aca="false">IF(B6940&lt;5,"Go","Standard")</f>
        <v>Standard</v>
      </c>
    </row>
    <row r="6941" customFormat="false" ht="15" hidden="false" customHeight="true" outlineLevel="0" collapsed="false">
      <c r="A6941" s="10" t="n">
        <f aca="false">Einstellungen!$B$5+INT((ROW()-9)/24)</f>
        <v>46254</v>
      </c>
      <c r="B6941" s="11" t="n">
        <f aca="false">MOD(ROW()-9,24)</f>
        <v>20</v>
      </c>
      <c r="C6941" s="12"/>
      <c r="D6941" s="13" t="n">
        <f aca="false">IF(B6941&lt;5,Einstellungen!$B$3,Einstellungen!$B$4)</f>
        <v>29.13</v>
      </c>
      <c r="E6941" s="14" t="str">
        <f aca="false">IF(C6941="","",C6941*D6941/100)</f>
        <v/>
      </c>
      <c r="F6941" s="15" t="str">
        <f aca="false">IF(B6941&lt;5,"Go","Standard")</f>
        <v>Standard</v>
      </c>
    </row>
    <row r="6942" customFormat="false" ht="15" hidden="false" customHeight="true" outlineLevel="0" collapsed="false">
      <c r="A6942" s="10" t="n">
        <f aca="false">Einstellungen!$B$5+INT((ROW()-9)/24)</f>
        <v>46254</v>
      </c>
      <c r="B6942" s="11" t="n">
        <f aca="false">MOD(ROW()-9,24)</f>
        <v>21</v>
      </c>
      <c r="C6942" s="12"/>
      <c r="D6942" s="13" t="n">
        <f aca="false">IF(B6942&lt;5,Einstellungen!$B$3,Einstellungen!$B$4)</f>
        <v>29.13</v>
      </c>
      <c r="E6942" s="14" t="str">
        <f aca="false">IF(C6942="","",C6942*D6942/100)</f>
        <v/>
      </c>
      <c r="F6942" s="15" t="str">
        <f aca="false">IF(B6942&lt;5,"Go","Standard")</f>
        <v>Standard</v>
      </c>
    </row>
    <row r="6943" customFormat="false" ht="15" hidden="false" customHeight="true" outlineLevel="0" collapsed="false">
      <c r="A6943" s="10" t="n">
        <f aca="false">Einstellungen!$B$5+INT((ROW()-9)/24)</f>
        <v>46254</v>
      </c>
      <c r="B6943" s="11" t="n">
        <f aca="false">MOD(ROW()-9,24)</f>
        <v>22</v>
      </c>
      <c r="C6943" s="12"/>
      <c r="D6943" s="13" t="n">
        <f aca="false">IF(B6943&lt;5,Einstellungen!$B$3,Einstellungen!$B$4)</f>
        <v>29.13</v>
      </c>
      <c r="E6943" s="14" t="str">
        <f aca="false">IF(C6943="","",C6943*D6943/100)</f>
        <v/>
      </c>
      <c r="F6943" s="15" t="str">
        <f aca="false">IF(B6943&lt;5,"Go","Standard")</f>
        <v>Standard</v>
      </c>
    </row>
    <row r="6944" customFormat="false" ht="15" hidden="false" customHeight="true" outlineLevel="0" collapsed="false">
      <c r="A6944" s="10" t="n">
        <f aca="false">Einstellungen!$B$5+INT((ROW()-9)/24)</f>
        <v>46254</v>
      </c>
      <c r="B6944" s="11" t="n">
        <f aca="false">MOD(ROW()-9,24)</f>
        <v>23</v>
      </c>
      <c r="C6944" s="12"/>
      <c r="D6944" s="13" t="n">
        <f aca="false">IF(B6944&lt;5,Einstellungen!$B$3,Einstellungen!$B$4)</f>
        <v>29.13</v>
      </c>
      <c r="E6944" s="14" t="str">
        <f aca="false">IF(C6944="","",C6944*D6944/100)</f>
        <v/>
      </c>
      <c r="F6944" s="15" t="str">
        <f aca="false">IF(B6944&lt;5,"Go","Standard")</f>
        <v>Standard</v>
      </c>
    </row>
    <row r="6945" customFormat="false" ht="15" hidden="false" customHeight="true" outlineLevel="0" collapsed="false">
      <c r="A6945" s="10" t="n">
        <f aca="false">Einstellungen!$B$5+INT((ROW()-9)/24)</f>
        <v>46255</v>
      </c>
      <c r="B6945" s="11" t="n">
        <f aca="false">MOD(ROW()-9,24)</f>
        <v>0</v>
      </c>
      <c r="C6945" s="12"/>
      <c r="D6945" s="13" t="n">
        <f aca="false">IF(B6945&lt;5,Einstellungen!$B$3,Einstellungen!$B$4)</f>
        <v>15.92</v>
      </c>
      <c r="E6945" s="14" t="str">
        <f aca="false">IF(C6945="","",C6945*D6945/100)</f>
        <v/>
      </c>
      <c r="F6945" s="15" t="str">
        <f aca="false">IF(B6945&lt;5,"Go","Standard")</f>
        <v>Go</v>
      </c>
    </row>
    <row r="6946" customFormat="false" ht="15" hidden="false" customHeight="true" outlineLevel="0" collapsed="false">
      <c r="A6946" s="10" t="n">
        <f aca="false">Einstellungen!$B$5+INT((ROW()-9)/24)</f>
        <v>46255</v>
      </c>
      <c r="B6946" s="11" t="n">
        <f aca="false">MOD(ROW()-9,24)</f>
        <v>1</v>
      </c>
      <c r="C6946" s="12"/>
      <c r="D6946" s="13" t="n">
        <f aca="false">IF(B6946&lt;5,Einstellungen!$B$3,Einstellungen!$B$4)</f>
        <v>15.92</v>
      </c>
      <c r="E6946" s="14" t="str">
        <f aca="false">IF(C6946="","",C6946*D6946/100)</f>
        <v/>
      </c>
      <c r="F6946" s="15" t="str">
        <f aca="false">IF(B6946&lt;5,"Go","Standard")</f>
        <v>Go</v>
      </c>
    </row>
    <row r="6947" customFormat="false" ht="15" hidden="false" customHeight="true" outlineLevel="0" collapsed="false">
      <c r="A6947" s="10" t="n">
        <f aca="false">Einstellungen!$B$5+INT((ROW()-9)/24)</f>
        <v>46255</v>
      </c>
      <c r="B6947" s="11" t="n">
        <f aca="false">MOD(ROW()-9,24)</f>
        <v>2</v>
      </c>
      <c r="C6947" s="12"/>
      <c r="D6947" s="13" t="n">
        <f aca="false">IF(B6947&lt;5,Einstellungen!$B$3,Einstellungen!$B$4)</f>
        <v>15.92</v>
      </c>
      <c r="E6947" s="14" t="str">
        <f aca="false">IF(C6947="","",C6947*D6947/100)</f>
        <v/>
      </c>
      <c r="F6947" s="15" t="str">
        <f aca="false">IF(B6947&lt;5,"Go","Standard")</f>
        <v>Go</v>
      </c>
    </row>
    <row r="6948" customFormat="false" ht="15" hidden="false" customHeight="true" outlineLevel="0" collapsed="false">
      <c r="A6948" s="10" t="n">
        <f aca="false">Einstellungen!$B$5+INT((ROW()-9)/24)</f>
        <v>46255</v>
      </c>
      <c r="B6948" s="11" t="n">
        <f aca="false">MOD(ROW()-9,24)</f>
        <v>3</v>
      </c>
      <c r="C6948" s="12"/>
      <c r="D6948" s="13" t="n">
        <f aca="false">IF(B6948&lt;5,Einstellungen!$B$3,Einstellungen!$B$4)</f>
        <v>15.92</v>
      </c>
      <c r="E6948" s="14" t="str">
        <f aca="false">IF(C6948="","",C6948*D6948/100)</f>
        <v/>
      </c>
      <c r="F6948" s="15" t="str">
        <f aca="false">IF(B6948&lt;5,"Go","Standard")</f>
        <v>Go</v>
      </c>
    </row>
    <row r="6949" customFormat="false" ht="15" hidden="false" customHeight="true" outlineLevel="0" collapsed="false">
      <c r="A6949" s="10" t="n">
        <f aca="false">Einstellungen!$B$5+INT((ROW()-9)/24)</f>
        <v>46255</v>
      </c>
      <c r="B6949" s="11" t="n">
        <f aca="false">MOD(ROW()-9,24)</f>
        <v>4</v>
      </c>
      <c r="C6949" s="12"/>
      <c r="D6949" s="13" t="n">
        <f aca="false">IF(B6949&lt;5,Einstellungen!$B$3,Einstellungen!$B$4)</f>
        <v>15.92</v>
      </c>
      <c r="E6949" s="14" t="str">
        <f aca="false">IF(C6949="","",C6949*D6949/100)</f>
        <v/>
      </c>
      <c r="F6949" s="15" t="str">
        <f aca="false">IF(B6949&lt;5,"Go","Standard")</f>
        <v>Go</v>
      </c>
    </row>
    <row r="6950" customFormat="false" ht="15" hidden="false" customHeight="true" outlineLevel="0" collapsed="false">
      <c r="A6950" s="10" t="n">
        <f aca="false">Einstellungen!$B$5+INT((ROW()-9)/24)</f>
        <v>46255</v>
      </c>
      <c r="B6950" s="11" t="n">
        <f aca="false">MOD(ROW()-9,24)</f>
        <v>5</v>
      </c>
      <c r="C6950" s="12"/>
      <c r="D6950" s="13" t="n">
        <f aca="false">IF(B6950&lt;5,Einstellungen!$B$3,Einstellungen!$B$4)</f>
        <v>29.13</v>
      </c>
      <c r="E6950" s="14" t="str">
        <f aca="false">IF(C6950="","",C6950*D6950/100)</f>
        <v/>
      </c>
      <c r="F6950" s="15" t="str">
        <f aca="false">IF(B6950&lt;5,"Go","Standard")</f>
        <v>Standard</v>
      </c>
    </row>
    <row r="6951" customFormat="false" ht="15" hidden="false" customHeight="true" outlineLevel="0" collapsed="false">
      <c r="A6951" s="10" t="n">
        <f aca="false">Einstellungen!$B$5+INT((ROW()-9)/24)</f>
        <v>46255</v>
      </c>
      <c r="B6951" s="11" t="n">
        <f aca="false">MOD(ROW()-9,24)</f>
        <v>6</v>
      </c>
      <c r="C6951" s="12"/>
      <c r="D6951" s="13" t="n">
        <f aca="false">IF(B6951&lt;5,Einstellungen!$B$3,Einstellungen!$B$4)</f>
        <v>29.13</v>
      </c>
      <c r="E6951" s="14" t="str">
        <f aca="false">IF(C6951="","",C6951*D6951/100)</f>
        <v/>
      </c>
      <c r="F6951" s="15" t="str">
        <f aca="false">IF(B6951&lt;5,"Go","Standard")</f>
        <v>Standard</v>
      </c>
    </row>
    <row r="6952" customFormat="false" ht="15" hidden="false" customHeight="true" outlineLevel="0" collapsed="false">
      <c r="A6952" s="10" t="n">
        <f aca="false">Einstellungen!$B$5+INT((ROW()-9)/24)</f>
        <v>46255</v>
      </c>
      <c r="B6952" s="11" t="n">
        <f aca="false">MOD(ROW()-9,24)</f>
        <v>7</v>
      </c>
      <c r="C6952" s="12"/>
      <c r="D6952" s="13" t="n">
        <f aca="false">IF(B6952&lt;5,Einstellungen!$B$3,Einstellungen!$B$4)</f>
        <v>29.13</v>
      </c>
      <c r="E6952" s="14" t="str">
        <f aca="false">IF(C6952="","",C6952*D6952/100)</f>
        <v/>
      </c>
      <c r="F6952" s="15" t="str">
        <f aca="false">IF(B6952&lt;5,"Go","Standard")</f>
        <v>Standard</v>
      </c>
    </row>
    <row r="6953" customFormat="false" ht="15" hidden="false" customHeight="true" outlineLevel="0" collapsed="false">
      <c r="A6953" s="10" t="n">
        <f aca="false">Einstellungen!$B$5+INT((ROW()-9)/24)</f>
        <v>46255</v>
      </c>
      <c r="B6953" s="11" t="n">
        <f aca="false">MOD(ROW()-9,24)</f>
        <v>8</v>
      </c>
      <c r="C6953" s="12"/>
      <c r="D6953" s="13" t="n">
        <f aca="false">IF(B6953&lt;5,Einstellungen!$B$3,Einstellungen!$B$4)</f>
        <v>29.13</v>
      </c>
      <c r="E6953" s="14" t="str">
        <f aca="false">IF(C6953="","",C6953*D6953/100)</f>
        <v/>
      </c>
      <c r="F6953" s="15" t="str">
        <f aca="false">IF(B6953&lt;5,"Go","Standard")</f>
        <v>Standard</v>
      </c>
    </row>
    <row r="6954" customFormat="false" ht="15" hidden="false" customHeight="true" outlineLevel="0" collapsed="false">
      <c r="A6954" s="10" t="n">
        <f aca="false">Einstellungen!$B$5+INT((ROW()-9)/24)</f>
        <v>46255</v>
      </c>
      <c r="B6954" s="11" t="n">
        <f aca="false">MOD(ROW()-9,24)</f>
        <v>9</v>
      </c>
      <c r="C6954" s="12"/>
      <c r="D6954" s="13" t="n">
        <f aca="false">IF(B6954&lt;5,Einstellungen!$B$3,Einstellungen!$B$4)</f>
        <v>29.13</v>
      </c>
      <c r="E6954" s="14" t="str">
        <f aca="false">IF(C6954="","",C6954*D6954/100)</f>
        <v/>
      </c>
      <c r="F6954" s="15" t="str">
        <f aca="false">IF(B6954&lt;5,"Go","Standard")</f>
        <v>Standard</v>
      </c>
    </row>
    <row r="6955" customFormat="false" ht="15" hidden="false" customHeight="true" outlineLevel="0" collapsed="false">
      <c r="A6955" s="10" t="n">
        <f aca="false">Einstellungen!$B$5+INT((ROW()-9)/24)</f>
        <v>46255</v>
      </c>
      <c r="B6955" s="11" t="n">
        <f aca="false">MOD(ROW()-9,24)</f>
        <v>10</v>
      </c>
      <c r="C6955" s="12"/>
      <c r="D6955" s="13" t="n">
        <f aca="false">IF(B6955&lt;5,Einstellungen!$B$3,Einstellungen!$B$4)</f>
        <v>29.13</v>
      </c>
      <c r="E6955" s="14" t="str">
        <f aca="false">IF(C6955="","",C6955*D6955/100)</f>
        <v/>
      </c>
      <c r="F6955" s="15" t="str">
        <f aca="false">IF(B6955&lt;5,"Go","Standard")</f>
        <v>Standard</v>
      </c>
    </row>
    <row r="6956" customFormat="false" ht="15" hidden="false" customHeight="true" outlineLevel="0" collapsed="false">
      <c r="A6956" s="10" t="n">
        <f aca="false">Einstellungen!$B$5+INT((ROW()-9)/24)</f>
        <v>46255</v>
      </c>
      <c r="B6956" s="11" t="n">
        <f aca="false">MOD(ROW()-9,24)</f>
        <v>11</v>
      </c>
      <c r="C6956" s="12"/>
      <c r="D6956" s="13" t="n">
        <f aca="false">IF(B6956&lt;5,Einstellungen!$B$3,Einstellungen!$B$4)</f>
        <v>29.13</v>
      </c>
      <c r="E6956" s="14" t="str">
        <f aca="false">IF(C6956="","",C6956*D6956/100)</f>
        <v/>
      </c>
      <c r="F6956" s="15" t="str">
        <f aca="false">IF(B6956&lt;5,"Go","Standard")</f>
        <v>Standard</v>
      </c>
    </row>
    <row r="6957" customFormat="false" ht="15" hidden="false" customHeight="true" outlineLevel="0" collapsed="false">
      <c r="A6957" s="10" t="n">
        <f aca="false">Einstellungen!$B$5+INT((ROW()-9)/24)</f>
        <v>46255</v>
      </c>
      <c r="B6957" s="11" t="n">
        <f aca="false">MOD(ROW()-9,24)</f>
        <v>12</v>
      </c>
      <c r="C6957" s="12"/>
      <c r="D6957" s="13" t="n">
        <f aca="false">IF(B6957&lt;5,Einstellungen!$B$3,Einstellungen!$B$4)</f>
        <v>29.13</v>
      </c>
      <c r="E6957" s="14" t="str">
        <f aca="false">IF(C6957="","",C6957*D6957/100)</f>
        <v/>
      </c>
      <c r="F6957" s="15" t="str">
        <f aca="false">IF(B6957&lt;5,"Go","Standard")</f>
        <v>Standard</v>
      </c>
    </row>
    <row r="6958" customFormat="false" ht="15" hidden="false" customHeight="true" outlineLevel="0" collapsed="false">
      <c r="A6958" s="10" t="n">
        <f aca="false">Einstellungen!$B$5+INT((ROW()-9)/24)</f>
        <v>46255</v>
      </c>
      <c r="B6958" s="11" t="n">
        <f aca="false">MOD(ROW()-9,24)</f>
        <v>13</v>
      </c>
      <c r="C6958" s="12"/>
      <c r="D6958" s="13" t="n">
        <f aca="false">IF(B6958&lt;5,Einstellungen!$B$3,Einstellungen!$B$4)</f>
        <v>29.13</v>
      </c>
      <c r="E6958" s="14" t="str">
        <f aca="false">IF(C6958="","",C6958*D6958/100)</f>
        <v/>
      </c>
      <c r="F6958" s="15" t="str">
        <f aca="false">IF(B6958&lt;5,"Go","Standard")</f>
        <v>Standard</v>
      </c>
    </row>
    <row r="6959" customFormat="false" ht="15" hidden="false" customHeight="true" outlineLevel="0" collapsed="false">
      <c r="A6959" s="10" t="n">
        <f aca="false">Einstellungen!$B$5+INT((ROW()-9)/24)</f>
        <v>46255</v>
      </c>
      <c r="B6959" s="11" t="n">
        <f aca="false">MOD(ROW()-9,24)</f>
        <v>14</v>
      </c>
      <c r="C6959" s="12"/>
      <c r="D6959" s="13" t="n">
        <f aca="false">IF(B6959&lt;5,Einstellungen!$B$3,Einstellungen!$B$4)</f>
        <v>29.13</v>
      </c>
      <c r="E6959" s="14" t="str">
        <f aca="false">IF(C6959="","",C6959*D6959/100)</f>
        <v/>
      </c>
      <c r="F6959" s="15" t="str">
        <f aca="false">IF(B6959&lt;5,"Go","Standard")</f>
        <v>Standard</v>
      </c>
    </row>
    <row r="6960" customFormat="false" ht="15" hidden="false" customHeight="true" outlineLevel="0" collapsed="false">
      <c r="A6960" s="10" t="n">
        <f aca="false">Einstellungen!$B$5+INT((ROW()-9)/24)</f>
        <v>46255</v>
      </c>
      <c r="B6960" s="11" t="n">
        <f aca="false">MOD(ROW()-9,24)</f>
        <v>15</v>
      </c>
      <c r="C6960" s="12"/>
      <c r="D6960" s="13" t="n">
        <f aca="false">IF(B6960&lt;5,Einstellungen!$B$3,Einstellungen!$B$4)</f>
        <v>29.13</v>
      </c>
      <c r="E6960" s="14" t="str">
        <f aca="false">IF(C6960="","",C6960*D6960/100)</f>
        <v/>
      </c>
      <c r="F6960" s="15" t="str">
        <f aca="false">IF(B6960&lt;5,"Go","Standard")</f>
        <v>Standard</v>
      </c>
    </row>
    <row r="6961" customFormat="false" ht="15" hidden="false" customHeight="true" outlineLevel="0" collapsed="false">
      <c r="A6961" s="10" t="n">
        <f aca="false">Einstellungen!$B$5+INT((ROW()-9)/24)</f>
        <v>46255</v>
      </c>
      <c r="B6961" s="11" t="n">
        <f aca="false">MOD(ROW()-9,24)</f>
        <v>16</v>
      </c>
      <c r="C6961" s="12"/>
      <c r="D6961" s="13" t="n">
        <f aca="false">IF(B6961&lt;5,Einstellungen!$B$3,Einstellungen!$B$4)</f>
        <v>29.13</v>
      </c>
      <c r="E6961" s="14" t="str">
        <f aca="false">IF(C6961="","",C6961*D6961/100)</f>
        <v/>
      </c>
      <c r="F6961" s="15" t="str">
        <f aca="false">IF(B6961&lt;5,"Go","Standard")</f>
        <v>Standard</v>
      </c>
    </row>
    <row r="6962" customFormat="false" ht="15" hidden="false" customHeight="true" outlineLevel="0" collapsed="false">
      <c r="A6962" s="10" t="n">
        <f aca="false">Einstellungen!$B$5+INT((ROW()-9)/24)</f>
        <v>46255</v>
      </c>
      <c r="B6962" s="11" t="n">
        <f aca="false">MOD(ROW()-9,24)</f>
        <v>17</v>
      </c>
      <c r="C6962" s="12"/>
      <c r="D6962" s="13" t="n">
        <f aca="false">IF(B6962&lt;5,Einstellungen!$B$3,Einstellungen!$B$4)</f>
        <v>29.13</v>
      </c>
      <c r="E6962" s="14" t="str">
        <f aca="false">IF(C6962="","",C6962*D6962/100)</f>
        <v/>
      </c>
      <c r="F6962" s="15" t="str">
        <f aca="false">IF(B6962&lt;5,"Go","Standard")</f>
        <v>Standard</v>
      </c>
    </row>
    <row r="6963" customFormat="false" ht="15" hidden="false" customHeight="true" outlineLevel="0" collapsed="false">
      <c r="A6963" s="10" t="n">
        <f aca="false">Einstellungen!$B$5+INT((ROW()-9)/24)</f>
        <v>46255</v>
      </c>
      <c r="B6963" s="11" t="n">
        <f aca="false">MOD(ROW()-9,24)</f>
        <v>18</v>
      </c>
      <c r="C6963" s="12"/>
      <c r="D6963" s="13" t="n">
        <f aca="false">IF(B6963&lt;5,Einstellungen!$B$3,Einstellungen!$B$4)</f>
        <v>29.13</v>
      </c>
      <c r="E6963" s="14" t="str">
        <f aca="false">IF(C6963="","",C6963*D6963/100)</f>
        <v/>
      </c>
      <c r="F6963" s="15" t="str">
        <f aca="false">IF(B6963&lt;5,"Go","Standard")</f>
        <v>Standard</v>
      </c>
    </row>
    <row r="6964" customFormat="false" ht="15" hidden="false" customHeight="true" outlineLevel="0" collapsed="false">
      <c r="A6964" s="10" t="n">
        <f aca="false">Einstellungen!$B$5+INT((ROW()-9)/24)</f>
        <v>46255</v>
      </c>
      <c r="B6964" s="11" t="n">
        <f aca="false">MOD(ROW()-9,24)</f>
        <v>19</v>
      </c>
      <c r="C6964" s="12"/>
      <c r="D6964" s="13" t="n">
        <f aca="false">IF(B6964&lt;5,Einstellungen!$B$3,Einstellungen!$B$4)</f>
        <v>29.13</v>
      </c>
      <c r="E6964" s="14" t="str">
        <f aca="false">IF(C6964="","",C6964*D6964/100)</f>
        <v/>
      </c>
      <c r="F6964" s="15" t="str">
        <f aca="false">IF(B6964&lt;5,"Go","Standard")</f>
        <v>Standard</v>
      </c>
    </row>
    <row r="6965" customFormat="false" ht="15" hidden="false" customHeight="true" outlineLevel="0" collapsed="false">
      <c r="A6965" s="10" t="n">
        <f aca="false">Einstellungen!$B$5+INT((ROW()-9)/24)</f>
        <v>46255</v>
      </c>
      <c r="B6965" s="11" t="n">
        <f aca="false">MOD(ROW()-9,24)</f>
        <v>20</v>
      </c>
      <c r="C6965" s="12"/>
      <c r="D6965" s="13" t="n">
        <f aca="false">IF(B6965&lt;5,Einstellungen!$B$3,Einstellungen!$B$4)</f>
        <v>29.13</v>
      </c>
      <c r="E6965" s="14" t="str">
        <f aca="false">IF(C6965="","",C6965*D6965/100)</f>
        <v/>
      </c>
      <c r="F6965" s="15" t="str">
        <f aca="false">IF(B6965&lt;5,"Go","Standard")</f>
        <v>Standard</v>
      </c>
    </row>
    <row r="6966" customFormat="false" ht="15" hidden="false" customHeight="true" outlineLevel="0" collapsed="false">
      <c r="A6966" s="10" t="n">
        <f aca="false">Einstellungen!$B$5+INT((ROW()-9)/24)</f>
        <v>46255</v>
      </c>
      <c r="B6966" s="11" t="n">
        <f aca="false">MOD(ROW()-9,24)</f>
        <v>21</v>
      </c>
      <c r="C6966" s="12"/>
      <c r="D6966" s="13" t="n">
        <f aca="false">IF(B6966&lt;5,Einstellungen!$B$3,Einstellungen!$B$4)</f>
        <v>29.13</v>
      </c>
      <c r="E6966" s="14" t="str">
        <f aca="false">IF(C6966="","",C6966*D6966/100)</f>
        <v/>
      </c>
      <c r="F6966" s="15" t="str">
        <f aca="false">IF(B6966&lt;5,"Go","Standard")</f>
        <v>Standard</v>
      </c>
    </row>
    <row r="6967" customFormat="false" ht="15" hidden="false" customHeight="true" outlineLevel="0" collapsed="false">
      <c r="A6967" s="10" t="n">
        <f aca="false">Einstellungen!$B$5+INT((ROW()-9)/24)</f>
        <v>46255</v>
      </c>
      <c r="B6967" s="11" t="n">
        <f aca="false">MOD(ROW()-9,24)</f>
        <v>22</v>
      </c>
      <c r="C6967" s="12"/>
      <c r="D6967" s="13" t="n">
        <f aca="false">IF(B6967&lt;5,Einstellungen!$B$3,Einstellungen!$B$4)</f>
        <v>29.13</v>
      </c>
      <c r="E6967" s="14" t="str">
        <f aca="false">IF(C6967="","",C6967*D6967/100)</f>
        <v/>
      </c>
      <c r="F6967" s="15" t="str">
        <f aca="false">IF(B6967&lt;5,"Go","Standard")</f>
        <v>Standard</v>
      </c>
    </row>
    <row r="6968" customFormat="false" ht="15" hidden="false" customHeight="true" outlineLevel="0" collapsed="false">
      <c r="A6968" s="10" t="n">
        <f aca="false">Einstellungen!$B$5+INT((ROW()-9)/24)</f>
        <v>46255</v>
      </c>
      <c r="B6968" s="11" t="n">
        <f aca="false">MOD(ROW()-9,24)</f>
        <v>23</v>
      </c>
      <c r="C6968" s="12"/>
      <c r="D6968" s="13" t="n">
        <f aca="false">IF(B6968&lt;5,Einstellungen!$B$3,Einstellungen!$B$4)</f>
        <v>29.13</v>
      </c>
      <c r="E6968" s="14" t="str">
        <f aca="false">IF(C6968="","",C6968*D6968/100)</f>
        <v/>
      </c>
      <c r="F6968" s="15" t="str">
        <f aca="false">IF(B6968&lt;5,"Go","Standard")</f>
        <v>Standard</v>
      </c>
    </row>
    <row r="6969" customFormat="false" ht="15" hidden="false" customHeight="true" outlineLevel="0" collapsed="false">
      <c r="A6969" s="10" t="n">
        <f aca="false">Einstellungen!$B$5+INT((ROW()-9)/24)</f>
        <v>46256</v>
      </c>
      <c r="B6969" s="11" t="n">
        <f aca="false">MOD(ROW()-9,24)</f>
        <v>0</v>
      </c>
      <c r="C6969" s="12"/>
      <c r="D6969" s="13" t="n">
        <f aca="false">IF(B6969&lt;5,Einstellungen!$B$3,Einstellungen!$B$4)</f>
        <v>15.92</v>
      </c>
      <c r="E6969" s="14" t="str">
        <f aca="false">IF(C6969="","",C6969*D6969/100)</f>
        <v/>
      </c>
      <c r="F6969" s="15" t="str">
        <f aca="false">IF(B6969&lt;5,"Go","Standard")</f>
        <v>Go</v>
      </c>
    </row>
    <row r="6970" customFormat="false" ht="15" hidden="false" customHeight="true" outlineLevel="0" collapsed="false">
      <c r="A6970" s="10" t="n">
        <f aca="false">Einstellungen!$B$5+INT((ROW()-9)/24)</f>
        <v>46256</v>
      </c>
      <c r="B6970" s="11" t="n">
        <f aca="false">MOD(ROW()-9,24)</f>
        <v>1</v>
      </c>
      <c r="C6970" s="12"/>
      <c r="D6970" s="13" t="n">
        <f aca="false">IF(B6970&lt;5,Einstellungen!$B$3,Einstellungen!$B$4)</f>
        <v>15.92</v>
      </c>
      <c r="E6970" s="14" t="str">
        <f aca="false">IF(C6970="","",C6970*D6970/100)</f>
        <v/>
      </c>
      <c r="F6970" s="15" t="str">
        <f aca="false">IF(B6970&lt;5,"Go","Standard")</f>
        <v>Go</v>
      </c>
    </row>
    <row r="6971" customFormat="false" ht="15" hidden="false" customHeight="true" outlineLevel="0" collapsed="false">
      <c r="A6971" s="10" t="n">
        <f aca="false">Einstellungen!$B$5+INT((ROW()-9)/24)</f>
        <v>46256</v>
      </c>
      <c r="B6971" s="11" t="n">
        <f aca="false">MOD(ROW()-9,24)</f>
        <v>2</v>
      </c>
      <c r="C6971" s="12"/>
      <c r="D6971" s="13" t="n">
        <f aca="false">IF(B6971&lt;5,Einstellungen!$B$3,Einstellungen!$B$4)</f>
        <v>15.92</v>
      </c>
      <c r="E6971" s="14" t="str">
        <f aca="false">IF(C6971="","",C6971*D6971/100)</f>
        <v/>
      </c>
      <c r="F6971" s="15" t="str">
        <f aca="false">IF(B6971&lt;5,"Go","Standard")</f>
        <v>Go</v>
      </c>
    </row>
    <row r="6972" customFormat="false" ht="15" hidden="false" customHeight="true" outlineLevel="0" collapsed="false">
      <c r="A6972" s="10" t="n">
        <f aca="false">Einstellungen!$B$5+INT((ROW()-9)/24)</f>
        <v>46256</v>
      </c>
      <c r="B6972" s="11" t="n">
        <f aca="false">MOD(ROW()-9,24)</f>
        <v>3</v>
      </c>
      <c r="C6972" s="12"/>
      <c r="D6972" s="13" t="n">
        <f aca="false">IF(B6972&lt;5,Einstellungen!$B$3,Einstellungen!$B$4)</f>
        <v>15.92</v>
      </c>
      <c r="E6972" s="14" t="str">
        <f aca="false">IF(C6972="","",C6972*D6972/100)</f>
        <v/>
      </c>
      <c r="F6972" s="15" t="str">
        <f aca="false">IF(B6972&lt;5,"Go","Standard")</f>
        <v>Go</v>
      </c>
    </row>
    <row r="6973" customFormat="false" ht="15" hidden="false" customHeight="true" outlineLevel="0" collapsed="false">
      <c r="A6973" s="10" t="n">
        <f aca="false">Einstellungen!$B$5+INT((ROW()-9)/24)</f>
        <v>46256</v>
      </c>
      <c r="B6973" s="11" t="n">
        <f aca="false">MOD(ROW()-9,24)</f>
        <v>4</v>
      </c>
      <c r="C6973" s="12"/>
      <c r="D6973" s="13" t="n">
        <f aca="false">IF(B6973&lt;5,Einstellungen!$B$3,Einstellungen!$B$4)</f>
        <v>15.92</v>
      </c>
      <c r="E6973" s="14" t="str">
        <f aca="false">IF(C6973="","",C6973*D6973/100)</f>
        <v/>
      </c>
      <c r="F6973" s="15" t="str">
        <f aca="false">IF(B6973&lt;5,"Go","Standard")</f>
        <v>Go</v>
      </c>
    </row>
    <row r="6974" customFormat="false" ht="15" hidden="false" customHeight="true" outlineLevel="0" collapsed="false">
      <c r="A6974" s="10" t="n">
        <f aca="false">Einstellungen!$B$5+INT((ROW()-9)/24)</f>
        <v>46256</v>
      </c>
      <c r="B6974" s="11" t="n">
        <f aca="false">MOD(ROW()-9,24)</f>
        <v>5</v>
      </c>
      <c r="C6974" s="12"/>
      <c r="D6974" s="13" t="n">
        <f aca="false">IF(B6974&lt;5,Einstellungen!$B$3,Einstellungen!$B$4)</f>
        <v>29.13</v>
      </c>
      <c r="E6974" s="14" t="str">
        <f aca="false">IF(C6974="","",C6974*D6974/100)</f>
        <v/>
      </c>
      <c r="F6974" s="15" t="str">
        <f aca="false">IF(B6974&lt;5,"Go","Standard")</f>
        <v>Standard</v>
      </c>
    </row>
    <row r="6975" customFormat="false" ht="15" hidden="false" customHeight="true" outlineLevel="0" collapsed="false">
      <c r="A6975" s="10" t="n">
        <f aca="false">Einstellungen!$B$5+INT((ROW()-9)/24)</f>
        <v>46256</v>
      </c>
      <c r="B6975" s="11" t="n">
        <f aca="false">MOD(ROW()-9,24)</f>
        <v>6</v>
      </c>
      <c r="C6975" s="12"/>
      <c r="D6975" s="13" t="n">
        <f aca="false">IF(B6975&lt;5,Einstellungen!$B$3,Einstellungen!$B$4)</f>
        <v>29.13</v>
      </c>
      <c r="E6975" s="14" t="str">
        <f aca="false">IF(C6975="","",C6975*D6975/100)</f>
        <v/>
      </c>
      <c r="F6975" s="15" t="str">
        <f aca="false">IF(B6975&lt;5,"Go","Standard")</f>
        <v>Standard</v>
      </c>
    </row>
    <row r="6976" customFormat="false" ht="15" hidden="false" customHeight="true" outlineLevel="0" collapsed="false">
      <c r="A6976" s="10" t="n">
        <f aca="false">Einstellungen!$B$5+INT((ROW()-9)/24)</f>
        <v>46256</v>
      </c>
      <c r="B6976" s="11" t="n">
        <f aca="false">MOD(ROW()-9,24)</f>
        <v>7</v>
      </c>
      <c r="C6976" s="12"/>
      <c r="D6976" s="13" t="n">
        <f aca="false">IF(B6976&lt;5,Einstellungen!$B$3,Einstellungen!$B$4)</f>
        <v>29.13</v>
      </c>
      <c r="E6976" s="14" t="str">
        <f aca="false">IF(C6976="","",C6976*D6976/100)</f>
        <v/>
      </c>
      <c r="F6976" s="15" t="str">
        <f aca="false">IF(B6976&lt;5,"Go","Standard")</f>
        <v>Standard</v>
      </c>
    </row>
    <row r="6977" customFormat="false" ht="15" hidden="false" customHeight="true" outlineLevel="0" collapsed="false">
      <c r="A6977" s="10" t="n">
        <f aca="false">Einstellungen!$B$5+INT((ROW()-9)/24)</f>
        <v>46256</v>
      </c>
      <c r="B6977" s="11" t="n">
        <f aca="false">MOD(ROW()-9,24)</f>
        <v>8</v>
      </c>
      <c r="C6977" s="12"/>
      <c r="D6977" s="13" t="n">
        <f aca="false">IF(B6977&lt;5,Einstellungen!$B$3,Einstellungen!$B$4)</f>
        <v>29.13</v>
      </c>
      <c r="E6977" s="14" t="str">
        <f aca="false">IF(C6977="","",C6977*D6977/100)</f>
        <v/>
      </c>
      <c r="F6977" s="15" t="str">
        <f aca="false">IF(B6977&lt;5,"Go","Standard")</f>
        <v>Standard</v>
      </c>
    </row>
    <row r="6978" customFormat="false" ht="15" hidden="false" customHeight="true" outlineLevel="0" collapsed="false">
      <c r="A6978" s="10" t="n">
        <f aca="false">Einstellungen!$B$5+INT((ROW()-9)/24)</f>
        <v>46256</v>
      </c>
      <c r="B6978" s="11" t="n">
        <f aca="false">MOD(ROW()-9,24)</f>
        <v>9</v>
      </c>
      <c r="C6978" s="12"/>
      <c r="D6978" s="13" t="n">
        <f aca="false">IF(B6978&lt;5,Einstellungen!$B$3,Einstellungen!$B$4)</f>
        <v>29.13</v>
      </c>
      <c r="E6978" s="14" t="str">
        <f aca="false">IF(C6978="","",C6978*D6978/100)</f>
        <v/>
      </c>
      <c r="F6978" s="15" t="str">
        <f aca="false">IF(B6978&lt;5,"Go","Standard")</f>
        <v>Standard</v>
      </c>
    </row>
    <row r="6979" customFormat="false" ht="15" hidden="false" customHeight="true" outlineLevel="0" collapsed="false">
      <c r="A6979" s="10" t="n">
        <f aca="false">Einstellungen!$B$5+INT((ROW()-9)/24)</f>
        <v>46256</v>
      </c>
      <c r="B6979" s="11" t="n">
        <f aca="false">MOD(ROW()-9,24)</f>
        <v>10</v>
      </c>
      <c r="C6979" s="12"/>
      <c r="D6979" s="13" t="n">
        <f aca="false">IF(B6979&lt;5,Einstellungen!$B$3,Einstellungen!$B$4)</f>
        <v>29.13</v>
      </c>
      <c r="E6979" s="14" t="str">
        <f aca="false">IF(C6979="","",C6979*D6979/100)</f>
        <v/>
      </c>
      <c r="F6979" s="15" t="str">
        <f aca="false">IF(B6979&lt;5,"Go","Standard")</f>
        <v>Standard</v>
      </c>
    </row>
    <row r="6980" customFormat="false" ht="15" hidden="false" customHeight="true" outlineLevel="0" collapsed="false">
      <c r="A6980" s="10" t="n">
        <f aca="false">Einstellungen!$B$5+INT((ROW()-9)/24)</f>
        <v>46256</v>
      </c>
      <c r="B6980" s="11" t="n">
        <f aca="false">MOD(ROW()-9,24)</f>
        <v>11</v>
      </c>
      <c r="C6980" s="12"/>
      <c r="D6980" s="13" t="n">
        <f aca="false">IF(B6980&lt;5,Einstellungen!$B$3,Einstellungen!$B$4)</f>
        <v>29.13</v>
      </c>
      <c r="E6980" s="14" t="str">
        <f aca="false">IF(C6980="","",C6980*D6980/100)</f>
        <v/>
      </c>
      <c r="F6980" s="15" t="str">
        <f aca="false">IF(B6980&lt;5,"Go","Standard")</f>
        <v>Standard</v>
      </c>
    </row>
    <row r="6981" customFormat="false" ht="15" hidden="false" customHeight="true" outlineLevel="0" collapsed="false">
      <c r="A6981" s="10" t="n">
        <f aca="false">Einstellungen!$B$5+INT((ROW()-9)/24)</f>
        <v>46256</v>
      </c>
      <c r="B6981" s="11" t="n">
        <f aca="false">MOD(ROW()-9,24)</f>
        <v>12</v>
      </c>
      <c r="C6981" s="12"/>
      <c r="D6981" s="13" t="n">
        <f aca="false">IF(B6981&lt;5,Einstellungen!$B$3,Einstellungen!$B$4)</f>
        <v>29.13</v>
      </c>
      <c r="E6981" s="14" t="str">
        <f aca="false">IF(C6981="","",C6981*D6981/100)</f>
        <v/>
      </c>
      <c r="F6981" s="15" t="str">
        <f aca="false">IF(B6981&lt;5,"Go","Standard")</f>
        <v>Standard</v>
      </c>
    </row>
    <row r="6982" customFormat="false" ht="15" hidden="false" customHeight="true" outlineLevel="0" collapsed="false">
      <c r="A6982" s="10" t="n">
        <f aca="false">Einstellungen!$B$5+INT((ROW()-9)/24)</f>
        <v>46256</v>
      </c>
      <c r="B6982" s="11" t="n">
        <f aca="false">MOD(ROW()-9,24)</f>
        <v>13</v>
      </c>
      <c r="C6982" s="12"/>
      <c r="D6982" s="13" t="n">
        <f aca="false">IF(B6982&lt;5,Einstellungen!$B$3,Einstellungen!$B$4)</f>
        <v>29.13</v>
      </c>
      <c r="E6982" s="14" t="str">
        <f aca="false">IF(C6982="","",C6982*D6982/100)</f>
        <v/>
      </c>
      <c r="F6982" s="15" t="str">
        <f aca="false">IF(B6982&lt;5,"Go","Standard")</f>
        <v>Standard</v>
      </c>
    </row>
    <row r="6983" customFormat="false" ht="15" hidden="false" customHeight="true" outlineLevel="0" collapsed="false">
      <c r="A6983" s="10" t="n">
        <f aca="false">Einstellungen!$B$5+INT((ROW()-9)/24)</f>
        <v>46256</v>
      </c>
      <c r="B6983" s="11" t="n">
        <f aca="false">MOD(ROW()-9,24)</f>
        <v>14</v>
      </c>
      <c r="C6983" s="12"/>
      <c r="D6983" s="13" t="n">
        <f aca="false">IF(B6983&lt;5,Einstellungen!$B$3,Einstellungen!$B$4)</f>
        <v>29.13</v>
      </c>
      <c r="E6983" s="14" t="str">
        <f aca="false">IF(C6983="","",C6983*D6983/100)</f>
        <v/>
      </c>
      <c r="F6983" s="15" t="str">
        <f aca="false">IF(B6983&lt;5,"Go","Standard")</f>
        <v>Standard</v>
      </c>
    </row>
    <row r="6984" customFormat="false" ht="15" hidden="false" customHeight="true" outlineLevel="0" collapsed="false">
      <c r="A6984" s="10" t="n">
        <f aca="false">Einstellungen!$B$5+INT((ROW()-9)/24)</f>
        <v>46256</v>
      </c>
      <c r="B6984" s="11" t="n">
        <f aca="false">MOD(ROW()-9,24)</f>
        <v>15</v>
      </c>
      <c r="C6984" s="12"/>
      <c r="D6984" s="13" t="n">
        <f aca="false">IF(B6984&lt;5,Einstellungen!$B$3,Einstellungen!$B$4)</f>
        <v>29.13</v>
      </c>
      <c r="E6984" s="14" t="str">
        <f aca="false">IF(C6984="","",C6984*D6984/100)</f>
        <v/>
      </c>
      <c r="F6984" s="15" t="str">
        <f aca="false">IF(B6984&lt;5,"Go","Standard")</f>
        <v>Standard</v>
      </c>
    </row>
    <row r="6985" customFormat="false" ht="15" hidden="false" customHeight="true" outlineLevel="0" collapsed="false">
      <c r="A6985" s="10" t="n">
        <f aca="false">Einstellungen!$B$5+INT((ROW()-9)/24)</f>
        <v>46256</v>
      </c>
      <c r="B6985" s="11" t="n">
        <f aca="false">MOD(ROW()-9,24)</f>
        <v>16</v>
      </c>
      <c r="C6985" s="12"/>
      <c r="D6985" s="13" t="n">
        <f aca="false">IF(B6985&lt;5,Einstellungen!$B$3,Einstellungen!$B$4)</f>
        <v>29.13</v>
      </c>
      <c r="E6985" s="14" t="str">
        <f aca="false">IF(C6985="","",C6985*D6985/100)</f>
        <v/>
      </c>
      <c r="F6985" s="15" t="str">
        <f aca="false">IF(B6985&lt;5,"Go","Standard")</f>
        <v>Standard</v>
      </c>
    </row>
    <row r="6986" customFormat="false" ht="15" hidden="false" customHeight="true" outlineLevel="0" collapsed="false">
      <c r="A6986" s="10" t="n">
        <f aca="false">Einstellungen!$B$5+INT((ROW()-9)/24)</f>
        <v>46256</v>
      </c>
      <c r="B6986" s="11" t="n">
        <f aca="false">MOD(ROW()-9,24)</f>
        <v>17</v>
      </c>
      <c r="C6986" s="12"/>
      <c r="D6986" s="13" t="n">
        <f aca="false">IF(B6986&lt;5,Einstellungen!$B$3,Einstellungen!$B$4)</f>
        <v>29.13</v>
      </c>
      <c r="E6986" s="14" t="str">
        <f aca="false">IF(C6986="","",C6986*D6986/100)</f>
        <v/>
      </c>
      <c r="F6986" s="15" t="str">
        <f aca="false">IF(B6986&lt;5,"Go","Standard")</f>
        <v>Standard</v>
      </c>
    </row>
    <row r="6987" customFormat="false" ht="15" hidden="false" customHeight="true" outlineLevel="0" collapsed="false">
      <c r="A6987" s="10" t="n">
        <f aca="false">Einstellungen!$B$5+INT((ROW()-9)/24)</f>
        <v>46256</v>
      </c>
      <c r="B6987" s="11" t="n">
        <f aca="false">MOD(ROW()-9,24)</f>
        <v>18</v>
      </c>
      <c r="C6987" s="12"/>
      <c r="D6987" s="13" t="n">
        <f aca="false">IF(B6987&lt;5,Einstellungen!$B$3,Einstellungen!$B$4)</f>
        <v>29.13</v>
      </c>
      <c r="E6987" s="14" t="str">
        <f aca="false">IF(C6987="","",C6987*D6987/100)</f>
        <v/>
      </c>
      <c r="F6987" s="15" t="str">
        <f aca="false">IF(B6987&lt;5,"Go","Standard")</f>
        <v>Standard</v>
      </c>
    </row>
    <row r="6988" customFormat="false" ht="15" hidden="false" customHeight="true" outlineLevel="0" collapsed="false">
      <c r="A6988" s="10" t="n">
        <f aca="false">Einstellungen!$B$5+INT((ROW()-9)/24)</f>
        <v>46256</v>
      </c>
      <c r="B6988" s="11" t="n">
        <f aca="false">MOD(ROW()-9,24)</f>
        <v>19</v>
      </c>
      <c r="C6988" s="12"/>
      <c r="D6988" s="13" t="n">
        <f aca="false">IF(B6988&lt;5,Einstellungen!$B$3,Einstellungen!$B$4)</f>
        <v>29.13</v>
      </c>
      <c r="E6988" s="14" t="str">
        <f aca="false">IF(C6988="","",C6988*D6988/100)</f>
        <v/>
      </c>
      <c r="F6988" s="15" t="str">
        <f aca="false">IF(B6988&lt;5,"Go","Standard")</f>
        <v>Standard</v>
      </c>
    </row>
    <row r="6989" customFormat="false" ht="15" hidden="false" customHeight="true" outlineLevel="0" collapsed="false">
      <c r="A6989" s="10" t="n">
        <f aca="false">Einstellungen!$B$5+INT((ROW()-9)/24)</f>
        <v>46256</v>
      </c>
      <c r="B6989" s="11" t="n">
        <f aca="false">MOD(ROW()-9,24)</f>
        <v>20</v>
      </c>
      <c r="C6989" s="12"/>
      <c r="D6989" s="13" t="n">
        <f aca="false">IF(B6989&lt;5,Einstellungen!$B$3,Einstellungen!$B$4)</f>
        <v>29.13</v>
      </c>
      <c r="E6989" s="14" t="str">
        <f aca="false">IF(C6989="","",C6989*D6989/100)</f>
        <v/>
      </c>
      <c r="F6989" s="15" t="str">
        <f aca="false">IF(B6989&lt;5,"Go","Standard")</f>
        <v>Standard</v>
      </c>
    </row>
    <row r="6990" customFormat="false" ht="15" hidden="false" customHeight="true" outlineLevel="0" collapsed="false">
      <c r="A6990" s="10" t="n">
        <f aca="false">Einstellungen!$B$5+INT((ROW()-9)/24)</f>
        <v>46256</v>
      </c>
      <c r="B6990" s="11" t="n">
        <f aca="false">MOD(ROW()-9,24)</f>
        <v>21</v>
      </c>
      <c r="C6990" s="12"/>
      <c r="D6990" s="13" t="n">
        <f aca="false">IF(B6990&lt;5,Einstellungen!$B$3,Einstellungen!$B$4)</f>
        <v>29.13</v>
      </c>
      <c r="E6990" s="14" t="str">
        <f aca="false">IF(C6990="","",C6990*D6990/100)</f>
        <v/>
      </c>
      <c r="F6990" s="15" t="str">
        <f aca="false">IF(B6990&lt;5,"Go","Standard")</f>
        <v>Standard</v>
      </c>
    </row>
    <row r="6991" customFormat="false" ht="15" hidden="false" customHeight="true" outlineLevel="0" collapsed="false">
      <c r="A6991" s="10" t="n">
        <f aca="false">Einstellungen!$B$5+INT((ROW()-9)/24)</f>
        <v>46256</v>
      </c>
      <c r="B6991" s="11" t="n">
        <f aca="false">MOD(ROW()-9,24)</f>
        <v>22</v>
      </c>
      <c r="C6991" s="12"/>
      <c r="D6991" s="13" t="n">
        <f aca="false">IF(B6991&lt;5,Einstellungen!$B$3,Einstellungen!$B$4)</f>
        <v>29.13</v>
      </c>
      <c r="E6991" s="14" t="str">
        <f aca="false">IF(C6991="","",C6991*D6991/100)</f>
        <v/>
      </c>
      <c r="F6991" s="15" t="str">
        <f aca="false">IF(B6991&lt;5,"Go","Standard")</f>
        <v>Standard</v>
      </c>
    </row>
    <row r="6992" customFormat="false" ht="15" hidden="false" customHeight="true" outlineLevel="0" collapsed="false">
      <c r="A6992" s="10" t="n">
        <f aca="false">Einstellungen!$B$5+INT((ROW()-9)/24)</f>
        <v>46256</v>
      </c>
      <c r="B6992" s="11" t="n">
        <f aca="false">MOD(ROW()-9,24)</f>
        <v>23</v>
      </c>
      <c r="C6992" s="12"/>
      <c r="D6992" s="13" t="n">
        <f aca="false">IF(B6992&lt;5,Einstellungen!$B$3,Einstellungen!$B$4)</f>
        <v>29.13</v>
      </c>
      <c r="E6992" s="14" t="str">
        <f aca="false">IF(C6992="","",C6992*D6992/100)</f>
        <v/>
      </c>
      <c r="F6992" s="15" t="str">
        <f aca="false">IF(B6992&lt;5,"Go","Standard")</f>
        <v>Standard</v>
      </c>
    </row>
    <row r="6993" customFormat="false" ht="15" hidden="false" customHeight="true" outlineLevel="0" collapsed="false">
      <c r="A6993" s="10" t="n">
        <f aca="false">Einstellungen!$B$5+INT((ROW()-9)/24)</f>
        <v>46257</v>
      </c>
      <c r="B6993" s="11" t="n">
        <f aca="false">MOD(ROW()-9,24)</f>
        <v>0</v>
      </c>
      <c r="C6993" s="12"/>
      <c r="D6993" s="13" t="n">
        <f aca="false">IF(B6993&lt;5,Einstellungen!$B$3,Einstellungen!$B$4)</f>
        <v>15.92</v>
      </c>
      <c r="E6993" s="14" t="str">
        <f aca="false">IF(C6993="","",C6993*D6993/100)</f>
        <v/>
      </c>
      <c r="F6993" s="15" t="str">
        <f aca="false">IF(B6993&lt;5,"Go","Standard")</f>
        <v>Go</v>
      </c>
    </row>
    <row r="6994" customFormat="false" ht="15" hidden="false" customHeight="true" outlineLevel="0" collapsed="false">
      <c r="A6994" s="10" t="n">
        <f aca="false">Einstellungen!$B$5+INT((ROW()-9)/24)</f>
        <v>46257</v>
      </c>
      <c r="B6994" s="11" t="n">
        <f aca="false">MOD(ROW()-9,24)</f>
        <v>1</v>
      </c>
      <c r="C6994" s="12"/>
      <c r="D6994" s="13" t="n">
        <f aca="false">IF(B6994&lt;5,Einstellungen!$B$3,Einstellungen!$B$4)</f>
        <v>15.92</v>
      </c>
      <c r="E6994" s="14" t="str">
        <f aca="false">IF(C6994="","",C6994*D6994/100)</f>
        <v/>
      </c>
      <c r="F6994" s="15" t="str">
        <f aca="false">IF(B6994&lt;5,"Go","Standard")</f>
        <v>Go</v>
      </c>
    </row>
    <row r="6995" customFormat="false" ht="15" hidden="false" customHeight="true" outlineLevel="0" collapsed="false">
      <c r="A6995" s="10" t="n">
        <f aca="false">Einstellungen!$B$5+INT((ROW()-9)/24)</f>
        <v>46257</v>
      </c>
      <c r="B6995" s="11" t="n">
        <f aca="false">MOD(ROW()-9,24)</f>
        <v>2</v>
      </c>
      <c r="C6995" s="12"/>
      <c r="D6995" s="13" t="n">
        <f aca="false">IF(B6995&lt;5,Einstellungen!$B$3,Einstellungen!$B$4)</f>
        <v>15.92</v>
      </c>
      <c r="E6995" s="14" t="str">
        <f aca="false">IF(C6995="","",C6995*D6995/100)</f>
        <v/>
      </c>
      <c r="F6995" s="15" t="str">
        <f aca="false">IF(B6995&lt;5,"Go","Standard")</f>
        <v>Go</v>
      </c>
    </row>
    <row r="6996" customFormat="false" ht="15" hidden="false" customHeight="true" outlineLevel="0" collapsed="false">
      <c r="A6996" s="10" t="n">
        <f aca="false">Einstellungen!$B$5+INT((ROW()-9)/24)</f>
        <v>46257</v>
      </c>
      <c r="B6996" s="11" t="n">
        <f aca="false">MOD(ROW()-9,24)</f>
        <v>3</v>
      </c>
      <c r="C6996" s="12"/>
      <c r="D6996" s="13" t="n">
        <f aca="false">IF(B6996&lt;5,Einstellungen!$B$3,Einstellungen!$B$4)</f>
        <v>15.92</v>
      </c>
      <c r="E6996" s="14" t="str">
        <f aca="false">IF(C6996="","",C6996*D6996/100)</f>
        <v/>
      </c>
      <c r="F6996" s="15" t="str">
        <f aca="false">IF(B6996&lt;5,"Go","Standard")</f>
        <v>Go</v>
      </c>
    </row>
    <row r="6997" customFormat="false" ht="15" hidden="false" customHeight="true" outlineLevel="0" collapsed="false">
      <c r="A6997" s="10" t="n">
        <f aca="false">Einstellungen!$B$5+INT((ROW()-9)/24)</f>
        <v>46257</v>
      </c>
      <c r="B6997" s="11" t="n">
        <f aca="false">MOD(ROW()-9,24)</f>
        <v>4</v>
      </c>
      <c r="C6997" s="12"/>
      <c r="D6997" s="13" t="n">
        <f aca="false">IF(B6997&lt;5,Einstellungen!$B$3,Einstellungen!$B$4)</f>
        <v>15.92</v>
      </c>
      <c r="E6997" s="14" t="str">
        <f aca="false">IF(C6997="","",C6997*D6997/100)</f>
        <v/>
      </c>
      <c r="F6997" s="15" t="str">
        <f aca="false">IF(B6997&lt;5,"Go","Standard")</f>
        <v>Go</v>
      </c>
    </row>
    <row r="6998" customFormat="false" ht="15" hidden="false" customHeight="true" outlineLevel="0" collapsed="false">
      <c r="A6998" s="10" t="n">
        <f aca="false">Einstellungen!$B$5+INT((ROW()-9)/24)</f>
        <v>46257</v>
      </c>
      <c r="B6998" s="11" t="n">
        <f aca="false">MOD(ROW()-9,24)</f>
        <v>5</v>
      </c>
      <c r="C6998" s="12"/>
      <c r="D6998" s="13" t="n">
        <f aca="false">IF(B6998&lt;5,Einstellungen!$B$3,Einstellungen!$B$4)</f>
        <v>29.13</v>
      </c>
      <c r="E6998" s="14" t="str">
        <f aca="false">IF(C6998="","",C6998*D6998/100)</f>
        <v/>
      </c>
      <c r="F6998" s="15" t="str">
        <f aca="false">IF(B6998&lt;5,"Go","Standard")</f>
        <v>Standard</v>
      </c>
    </row>
    <row r="6999" customFormat="false" ht="15" hidden="false" customHeight="true" outlineLevel="0" collapsed="false">
      <c r="A6999" s="10" t="n">
        <f aca="false">Einstellungen!$B$5+INT((ROW()-9)/24)</f>
        <v>46257</v>
      </c>
      <c r="B6999" s="11" t="n">
        <f aca="false">MOD(ROW()-9,24)</f>
        <v>6</v>
      </c>
      <c r="C6999" s="12"/>
      <c r="D6999" s="13" t="n">
        <f aca="false">IF(B6999&lt;5,Einstellungen!$B$3,Einstellungen!$B$4)</f>
        <v>29.13</v>
      </c>
      <c r="E6999" s="14" t="str">
        <f aca="false">IF(C6999="","",C6999*D6999/100)</f>
        <v/>
      </c>
      <c r="F6999" s="15" t="str">
        <f aca="false">IF(B6999&lt;5,"Go","Standard")</f>
        <v>Standard</v>
      </c>
    </row>
    <row r="7000" customFormat="false" ht="15" hidden="false" customHeight="true" outlineLevel="0" collapsed="false">
      <c r="A7000" s="10" t="n">
        <f aca="false">Einstellungen!$B$5+INT((ROW()-9)/24)</f>
        <v>46257</v>
      </c>
      <c r="B7000" s="11" t="n">
        <f aca="false">MOD(ROW()-9,24)</f>
        <v>7</v>
      </c>
      <c r="C7000" s="12"/>
      <c r="D7000" s="13" t="n">
        <f aca="false">IF(B7000&lt;5,Einstellungen!$B$3,Einstellungen!$B$4)</f>
        <v>29.13</v>
      </c>
      <c r="E7000" s="14" t="str">
        <f aca="false">IF(C7000="","",C7000*D7000/100)</f>
        <v/>
      </c>
      <c r="F7000" s="15" t="str">
        <f aca="false">IF(B7000&lt;5,"Go","Standard")</f>
        <v>Standard</v>
      </c>
    </row>
    <row r="7001" customFormat="false" ht="15" hidden="false" customHeight="true" outlineLevel="0" collapsed="false">
      <c r="A7001" s="10" t="n">
        <f aca="false">Einstellungen!$B$5+INT((ROW()-9)/24)</f>
        <v>46257</v>
      </c>
      <c r="B7001" s="11" t="n">
        <f aca="false">MOD(ROW()-9,24)</f>
        <v>8</v>
      </c>
      <c r="C7001" s="12"/>
      <c r="D7001" s="13" t="n">
        <f aca="false">IF(B7001&lt;5,Einstellungen!$B$3,Einstellungen!$B$4)</f>
        <v>29.13</v>
      </c>
      <c r="E7001" s="14" t="str">
        <f aca="false">IF(C7001="","",C7001*D7001/100)</f>
        <v/>
      </c>
      <c r="F7001" s="15" t="str">
        <f aca="false">IF(B7001&lt;5,"Go","Standard")</f>
        <v>Standard</v>
      </c>
    </row>
    <row r="7002" customFormat="false" ht="15" hidden="false" customHeight="true" outlineLevel="0" collapsed="false">
      <c r="A7002" s="10" t="n">
        <f aca="false">Einstellungen!$B$5+INT((ROW()-9)/24)</f>
        <v>46257</v>
      </c>
      <c r="B7002" s="11" t="n">
        <f aca="false">MOD(ROW()-9,24)</f>
        <v>9</v>
      </c>
      <c r="C7002" s="12"/>
      <c r="D7002" s="13" t="n">
        <f aca="false">IF(B7002&lt;5,Einstellungen!$B$3,Einstellungen!$B$4)</f>
        <v>29.13</v>
      </c>
      <c r="E7002" s="14" t="str">
        <f aca="false">IF(C7002="","",C7002*D7002/100)</f>
        <v/>
      </c>
      <c r="F7002" s="15" t="str">
        <f aca="false">IF(B7002&lt;5,"Go","Standard")</f>
        <v>Standard</v>
      </c>
    </row>
    <row r="7003" customFormat="false" ht="15" hidden="false" customHeight="true" outlineLevel="0" collapsed="false">
      <c r="A7003" s="10" t="n">
        <f aca="false">Einstellungen!$B$5+INT((ROW()-9)/24)</f>
        <v>46257</v>
      </c>
      <c r="B7003" s="11" t="n">
        <f aca="false">MOD(ROW()-9,24)</f>
        <v>10</v>
      </c>
      <c r="C7003" s="12"/>
      <c r="D7003" s="13" t="n">
        <f aca="false">IF(B7003&lt;5,Einstellungen!$B$3,Einstellungen!$B$4)</f>
        <v>29.13</v>
      </c>
      <c r="E7003" s="14" t="str">
        <f aca="false">IF(C7003="","",C7003*D7003/100)</f>
        <v/>
      </c>
      <c r="F7003" s="15" t="str">
        <f aca="false">IF(B7003&lt;5,"Go","Standard")</f>
        <v>Standard</v>
      </c>
    </row>
    <row r="7004" customFormat="false" ht="15" hidden="false" customHeight="true" outlineLevel="0" collapsed="false">
      <c r="A7004" s="10" t="n">
        <f aca="false">Einstellungen!$B$5+INT((ROW()-9)/24)</f>
        <v>46257</v>
      </c>
      <c r="B7004" s="11" t="n">
        <f aca="false">MOD(ROW()-9,24)</f>
        <v>11</v>
      </c>
      <c r="C7004" s="12"/>
      <c r="D7004" s="13" t="n">
        <f aca="false">IF(B7004&lt;5,Einstellungen!$B$3,Einstellungen!$B$4)</f>
        <v>29.13</v>
      </c>
      <c r="E7004" s="14" t="str">
        <f aca="false">IF(C7004="","",C7004*D7004/100)</f>
        <v/>
      </c>
      <c r="F7004" s="15" t="str">
        <f aca="false">IF(B7004&lt;5,"Go","Standard")</f>
        <v>Standard</v>
      </c>
    </row>
    <row r="7005" customFormat="false" ht="15" hidden="false" customHeight="true" outlineLevel="0" collapsed="false">
      <c r="A7005" s="10" t="n">
        <f aca="false">Einstellungen!$B$5+INT((ROW()-9)/24)</f>
        <v>46257</v>
      </c>
      <c r="B7005" s="11" t="n">
        <f aca="false">MOD(ROW()-9,24)</f>
        <v>12</v>
      </c>
      <c r="C7005" s="12"/>
      <c r="D7005" s="13" t="n">
        <f aca="false">IF(B7005&lt;5,Einstellungen!$B$3,Einstellungen!$B$4)</f>
        <v>29.13</v>
      </c>
      <c r="E7005" s="14" t="str">
        <f aca="false">IF(C7005="","",C7005*D7005/100)</f>
        <v/>
      </c>
      <c r="F7005" s="15" t="str">
        <f aca="false">IF(B7005&lt;5,"Go","Standard")</f>
        <v>Standard</v>
      </c>
    </row>
    <row r="7006" customFormat="false" ht="15" hidden="false" customHeight="true" outlineLevel="0" collapsed="false">
      <c r="A7006" s="10" t="n">
        <f aca="false">Einstellungen!$B$5+INT((ROW()-9)/24)</f>
        <v>46257</v>
      </c>
      <c r="B7006" s="11" t="n">
        <f aca="false">MOD(ROW()-9,24)</f>
        <v>13</v>
      </c>
      <c r="C7006" s="12"/>
      <c r="D7006" s="13" t="n">
        <f aca="false">IF(B7006&lt;5,Einstellungen!$B$3,Einstellungen!$B$4)</f>
        <v>29.13</v>
      </c>
      <c r="E7006" s="14" t="str">
        <f aca="false">IF(C7006="","",C7006*D7006/100)</f>
        <v/>
      </c>
      <c r="F7006" s="15" t="str">
        <f aca="false">IF(B7006&lt;5,"Go","Standard")</f>
        <v>Standard</v>
      </c>
    </row>
    <row r="7007" customFormat="false" ht="15" hidden="false" customHeight="true" outlineLevel="0" collapsed="false">
      <c r="A7007" s="10" t="n">
        <f aca="false">Einstellungen!$B$5+INT((ROW()-9)/24)</f>
        <v>46257</v>
      </c>
      <c r="B7007" s="11" t="n">
        <f aca="false">MOD(ROW()-9,24)</f>
        <v>14</v>
      </c>
      <c r="C7007" s="12"/>
      <c r="D7007" s="13" t="n">
        <f aca="false">IF(B7007&lt;5,Einstellungen!$B$3,Einstellungen!$B$4)</f>
        <v>29.13</v>
      </c>
      <c r="E7007" s="14" t="str">
        <f aca="false">IF(C7007="","",C7007*D7007/100)</f>
        <v/>
      </c>
      <c r="F7007" s="15" t="str">
        <f aca="false">IF(B7007&lt;5,"Go","Standard")</f>
        <v>Standard</v>
      </c>
    </row>
    <row r="7008" customFormat="false" ht="15" hidden="false" customHeight="true" outlineLevel="0" collapsed="false">
      <c r="A7008" s="10" t="n">
        <f aca="false">Einstellungen!$B$5+INT((ROW()-9)/24)</f>
        <v>46257</v>
      </c>
      <c r="B7008" s="11" t="n">
        <f aca="false">MOD(ROW()-9,24)</f>
        <v>15</v>
      </c>
      <c r="C7008" s="12"/>
      <c r="D7008" s="13" t="n">
        <f aca="false">IF(B7008&lt;5,Einstellungen!$B$3,Einstellungen!$B$4)</f>
        <v>29.13</v>
      </c>
      <c r="E7008" s="14" t="str">
        <f aca="false">IF(C7008="","",C7008*D7008/100)</f>
        <v/>
      </c>
      <c r="F7008" s="15" t="str">
        <f aca="false">IF(B7008&lt;5,"Go","Standard")</f>
        <v>Standard</v>
      </c>
    </row>
    <row r="7009" customFormat="false" ht="15" hidden="false" customHeight="true" outlineLevel="0" collapsed="false">
      <c r="A7009" s="10" t="n">
        <f aca="false">Einstellungen!$B$5+INT((ROW()-9)/24)</f>
        <v>46257</v>
      </c>
      <c r="B7009" s="11" t="n">
        <f aca="false">MOD(ROW()-9,24)</f>
        <v>16</v>
      </c>
      <c r="C7009" s="12"/>
      <c r="D7009" s="13" t="n">
        <f aca="false">IF(B7009&lt;5,Einstellungen!$B$3,Einstellungen!$B$4)</f>
        <v>29.13</v>
      </c>
      <c r="E7009" s="14" t="str">
        <f aca="false">IF(C7009="","",C7009*D7009/100)</f>
        <v/>
      </c>
      <c r="F7009" s="15" t="str">
        <f aca="false">IF(B7009&lt;5,"Go","Standard")</f>
        <v>Standard</v>
      </c>
    </row>
    <row r="7010" customFormat="false" ht="15" hidden="false" customHeight="true" outlineLevel="0" collapsed="false">
      <c r="A7010" s="10" t="n">
        <f aca="false">Einstellungen!$B$5+INT((ROW()-9)/24)</f>
        <v>46257</v>
      </c>
      <c r="B7010" s="11" t="n">
        <f aca="false">MOD(ROW()-9,24)</f>
        <v>17</v>
      </c>
      <c r="C7010" s="12"/>
      <c r="D7010" s="13" t="n">
        <f aca="false">IF(B7010&lt;5,Einstellungen!$B$3,Einstellungen!$B$4)</f>
        <v>29.13</v>
      </c>
      <c r="E7010" s="14" t="str">
        <f aca="false">IF(C7010="","",C7010*D7010/100)</f>
        <v/>
      </c>
      <c r="F7010" s="15" t="str">
        <f aca="false">IF(B7010&lt;5,"Go","Standard")</f>
        <v>Standard</v>
      </c>
    </row>
    <row r="7011" customFormat="false" ht="15" hidden="false" customHeight="true" outlineLevel="0" collapsed="false">
      <c r="A7011" s="10" t="n">
        <f aca="false">Einstellungen!$B$5+INT((ROW()-9)/24)</f>
        <v>46257</v>
      </c>
      <c r="B7011" s="11" t="n">
        <f aca="false">MOD(ROW()-9,24)</f>
        <v>18</v>
      </c>
      <c r="C7011" s="12"/>
      <c r="D7011" s="13" t="n">
        <f aca="false">IF(B7011&lt;5,Einstellungen!$B$3,Einstellungen!$B$4)</f>
        <v>29.13</v>
      </c>
      <c r="E7011" s="14" t="str">
        <f aca="false">IF(C7011="","",C7011*D7011/100)</f>
        <v/>
      </c>
      <c r="F7011" s="15" t="str">
        <f aca="false">IF(B7011&lt;5,"Go","Standard")</f>
        <v>Standard</v>
      </c>
    </row>
    <row r="7012" customFormat="false" ht="15" hidden="false" customHeight="true" outlineLevel="0" collapsed="false">
      <c r="A7012" s="10" t="n">
        <f aca="false">Einstellungen!$B$5+INT((ROW()-9)/24)</f>
        <v>46257</v>
      </c>
      <c r="B7012" s="11" t="n">
        <f aca="false">MOD(ROW()-9,24)</f>
        <v>19</v>
      </c>
      <c r="C7012" s="12"/>
      <c r="D7012" s="13" t="n">
        <f aca="false">IF(B7012&lt;5,Einstellungen!$B$3,Einstellungen!$B$4)</f>
        <v>29.13</v>
      </c>
      <c r="E7012" s="14" t="str">
        <f aca="false">IF(C7012="","",C7012*D7012/100)</f>
        <v/>
      </c>
      <c r="F7012" s="15" t="str">
        <f aca="false">IF(B7012&lt;5,"Go","Standard")</f>
        <v>Standard</v>
      </c>
    </row>
    <row r="7013" customFormat="false" ht="15" hidden="false" customHeight="true" outlineLevel="0" collapsed="false">
      <c r="A7013" s="10" t="n">
        <f aca="false">Einstellungen!$B$5+INT((ROW()-9)/24)</f>
        <v>46257</v>
      </c>
      <c r="B7013" s="11" t="n">
        <f aca="false">MOD(ROW()-9,24)</f>
        <v>20</v>
      </c>
      <c r="C7013" s="12"/>
      <c r="D7013" s="13" t="n">
        <f aca="false">IF(B7013&lt;5,Einstellungen!$B$3,Einstellungen!$B$4)</f>
        <v>29.13</v>
      </c>
      <c r="E7013" s="14" t="str">
        <f aca="false">IF(C7013="","",C7013*D7013/100)</f>
        <v/>
      </c>
      <c r="F7013" s="15" t="str">
        <f aca="false">IF(B7013&lt;5,"Go","Standard")</f>
        <v>Standard</v>
      </c>
    </row>
    <row r="7014" customFormat="false" ht="15" hidden="false" customHeight="true" outlineLevel="0" collapsed="false">
      <c r="A7014" s="10" t="n">
        <f aca="false">Einstellungen!$B$5+INT((ROW()-9)/24)</f>
        <v>46257</v>
      </c>
      <c r="B7014" s="11" t="n">
        <f aca="false">MOD(ROW()-9,24)</f>
        <v>21</v>
      </c>
      <c r="C7014" s="12"/>
      <c r="D7014" s="13" t="n">
        <f aca="false">IF(B7014&lt;5,Einstellungen!$B$3,Einstellungen!$B$4)</f>
        <v>29.13</v>
      </c>
      <c r="E7014" s="14" t="str">
        <f aca="false">IF(C7014="","",C7014*D7014/100)</f>
        <v/>
      </c>
      <c r="F7014" s="15" t="str">
        <f aca="false">IF(B7014&lt;5,"Go","Standard")</f>
        <v>Standard</v>
      </c>
    </row>
    <row r="7015" customFormat="false" ht="15" hidden="false" customHeight="true" outlineLevel="0" collapsed="false">
      <c r="A7015" s="10" t="n">
        <f aca="false">Einstellungen!$B$5+INT((ROW()-9)/24)</f>
        <v>46257</v>
      </c>
      <c r="B7015" s="11" t="n">
        <f aca="false">MOD(ROW()-9,24)</f>
        <v>22</v>
      </c>
      <c r="C7015" s="12"/>
      <c r="D7015" s="13" t="n">
        <f aca="false">IF(B7015&lt;5,Einstellungen!$B$3,Einstellungen!$B$4)</f>
        <v>29.13</v>
      </c>
      <c r="E7015" s="14" t="str">
        <f aca="false">IF(C7015="","",C7015*D7015/100)</f>
        <v/>
      </c>
      <c r="F7015" s="15" t="str">
        <f aca="false">IF(B7015&lt;5,"Go","Standard")</f>
        <v>Standard</v>
      </c>
    </row>
    <row r="7016" customFormat="false" ht="15" hidden="false" customHeight="true" outlineLevel="0" collapsed="false">
      <c r="A7016" s="10" t="n">
        <f aca="false">Einstellungen!$B$5+INT((ROW()-9)/24)</f>
        <v>46257</v>
      </c>
      <c r="B7016" s="11" t="n">
        <f aca="false">MOD(ROW()-9,24)</f>
        <v>23</v>
      </c>
      <c r="C7016" s="12"/>
      <c r="D7016" s="13" t="n">
        <f aca="false">IF(B7016&lt;5,Einstellungen!$B$3,Einstellungen!$B$4)</f>
        <v>29.13</v>
      </c>
      <c r="E7016" s="14" t="str">
        <f aca="false">IF(C7016="","",C7016*D7016/100)</f>
        <v/>
      </c>
      <c r="F7016" s="15" t="str">
        <f aca="false">IF(B7016&lt;5,"Go","Standard")</f>
        <v>Standard</v>
      </c>
    </row>
    <row r="7017" customFormat="false" ht="15" hidden="false" customHeight="true" outlineLevel="0" collapsed="false">
      <c r="A7017" s="10" t="n">
        <f aca="false">Einstellungen!$B$5+INT((ROW()-9)/24)</f>
        <v>46258</v>
      </c>
      <c r="B7017" s="11" t="n">
        <f aca="false">MOD(ROW()-9,24)</f>
        <v>0</v>
      </c>
      <c r="C7017" s="12"/>
      <c r="D7017" s="13" t="n">
        <f aca="false">IF(B7017&lt;5,Einstellungen!$B$3,Einstellungen!$B$4)</f>
        <v>15.92</v>
      </c>
      <c r="E7017" s="14" t="str">
        <f aca="false">IF(C7017="","",C7017*D7017/100)</f>
        <v/>
      </c>
      <c r="F7017" s="15" t="str">
        <f aca="false">IF(B7017&lt;5,"Go","Standard")</f>
        <v>Go</v>
      </c>
    </row>
    <row r="7018" customFormat="false" ht="15" hidden="false" customHeight="true" outlineLevel="0" collapsed="false">
      <c r="A7018" s="10" t="n">
        <f aca="false">Einstellungen!$B$5+INT((ROW()-9)/24)</f>
        <v>46258</v>
      </c>
      <c r="B7018" s="11" t="n">
        <f aca="false">MOD(ROW()-9,24)</f>
        <v>1</v>
      </c>
      <c r="C7018" s="12"/>
      <c r="D7018" s="13" t="n">
        <f aca="false">IF(B7018&lt;5,Einstellungen!$B$3,Einstellungen!$B$4)</f>
        <v>15.92</v>
      </c>
      <c r="E7018" s="14" t="str">
        <f aca="false">IF(C7018="","",C7018*D7018/100)</f>
        <v/>
      </c>
      <c r="F7018" s="15" t="str">
        <f aca="false">IF(B7018&lt;5,"Go","Standard")</f>
        <v>Go</v>
      </c>
    </row>
    <row r="7019" customFormat="false" ht="15" hidden="false" customHeight="true" outlineLevel="0" collapsed="false">
      <c r="A7019" s="10" t="n">
        <f aca="false">Einstellungen!$B$5+INT((ROW()-9)/24)</f>
        <v>46258</v>
      </c>
      <c r="B7019" s="11" t="n">
        <f aca="false">MOD(ROW()-9,24)</f>
        <v>2</v>
      </c>
      <c r="C7019" s="12"/>
      <c r="D7019" s="13" t="n">
        <f aca="false">IF(B7019&lt;5,Einstellungen!$B$3,Einstellungen!$B$4)</f>
        <v>15.92</v>
      </c>
      <c r="E7019" s="14" t="str">
        <f aca="false">IF(C7019="","",C7019*D7019/100)</f>
        <v/>
      </c>
      <c r="F7019" s="15" t="str">
        <f aca="false">IF(B7019&lt;5,"Go","Standard")</f>
        <v>Go</v>
      </c>
    </row>
    <row r="7020" customFormat="false" ht="15" hidden="false" customHeight="true" outlineLevel="0" collapsed="false">
      <c r="A7020" s="10" t="n">
        <f aca="false">Einstellungen!$B$5+INT((ROW()-9)/24)</f>
        <v>46258</v>
      </c>
      <c r="B7020" s="11" t="n">
        <f aca="false">MOD(ROW()-9,24)</f>
        <v>3</v>
      </c>
      <c r="C7020" s="12"/>
      <c r="D7020" s="13" t="n">
        <f aca="false">IF(B7020&lt;5,Einstellungen!$B$3,Einstellungen!$B$4)</f>
        <v>15.92</v>
      </c>
      <c r="E7020" s="14" t="str">
        <f aca="false">IF(C7020="","",C7020*D7020/100)</f>
        <v/>
      </c>
      <c r="F7020" s="15" t="str">
        <f aca="false">IF(B7020&lt;5,"Go","Standard")</f>
        <v>Go</v>
      </c>
    </row>
    <row r="7021" customFormat="false" ht="15" hidden="false" customHeight="true" outlineLevel="0" collapsed="false">
      <c r="A7021" s="10" t="n">
        <f aca="false">Einstellungen!$B$5+INT((ROW()-9)/24)</f>
        <v>46258</v>
      </c>
      <c r="B7021" s="11" t="n">
        <f aca="false">MOD(ROW()-9,24)</f>
        <v>4</v>
      </c>
      <c r="C7021" s="12"/>
      <c r="D7021" s="13" t="n">
        <f aca="false">IF(B7021&lt;5,Einstellungen!$B$3,Einstellungen!$B$4)</f>
        <v>15.92</v>
      </c>
      <c r="E7021" s="14" t="str">
        <f aca="false">IF(C7021="","",C7021*D7021/100)</f>
        <v/>
      </c>
      <c r="F7021" s="15" t="str">
        <f aca="false">IF(B7021&lt;5,"Go","Standard")</f>
        <v>Go</v>
      </c>
    </row>
    <row r="7022" customFormat="false" ht="15" hidden="false" customHeight="true" outlineLevel="0" collapsed="false">
      <c r="A7022" s="10" t="n">
        <f aca="false">Einstellungen!$B$5+INT((ROW()-9)/24)</f>
        <v>46258</v>
      </c>
      <c r="B7022" s="11" t="n">
        <f aca="false">MOD(ROW()-9,24)</f>
        <v>5</v>
      </c>
      <c r="C7022" s="12"/>
      <c r="D7022" s="13" t="n">
        <f aca="false">IF(B7022&lt;5,Einstellungen!$B$3,Einstellungen!$B$4)</f>
        <v>29.13</v>
      </c>
      <c r="E7022" s="14" t="str">
        <f aca="false">IF(C7022="","",C7022*D7022/100)</f>
        <v/>
      </c>
      <c r="F7022" s="15" t="str">
        <f aca="false">IF(B7022&lt;5,"Go","Standard")</f>
        <v>Standard</v>
      </c>
    </row>
    <row r="7023" customFormat="false" ht="15" hidden="false" customHeight="true" outlineLevel="0" collapsed="false">
      <c r="A7023" s="10" t="n">
        <f aca="false">Einstellungen!$B$5+INT((ROW()-9)/24)</f>
        <v>46258</v>
      </c>
      <c r="B7023" s="11" t="n">
        <f aca="false">MOD(ROW()-9,24)</f>
        <v>6</v>
      </c>
      <c r="C7023" s="12"/>
      <c r="D7023" s="13" t="n">
        <f aca="false">IF(B7023&lt;5,Einstellungen!$B$3,Einstellungen!$B$4)</f>
        <v>29.13</v>
      </c>
      <c r="E7023" s="14" t="str">
        <f aca="false">IF(C7023="","",C7023*D7023/100)</f>
        <v/>
      </c>
      <c r="F7023" s="15" t="str">
        <f aca="false">IF(B7023&lt;5,"Go","Standard")</f>
        <v>Standard</v>
      </c>
    </row>
    <row r="7024" customFormat="false" ht="15" hidden="false" customHeight="true" outlineLevel="0" collapsed="false">
      <c r="A7024" s="10" t="n">
        <f aca="false">Einstellungen!$B$5+INT((ROW()-9)/24)</f>
        <v>46258</v>
      </c>
      <c r="B7024" s="11" t="n">
        <f aca="false">MOD(ROW()-9,24)</f>
        <v>7</v>
      </c>
      <c r="C7024" s="12"/>
      <c r="D7024" s="13" t="n">
        <f aca="false">IF(B7024&lt;5,Einstellungen!$B$3,Einstellungen!$B$4)</f>
        <v>29.13</v>
      </c>
      <c r="E7024" s="14" t="str">
        <f aca="false">IF(C7024="","",C7024*D7024/100)</f>
        <v/>
      </c>
      <c r="F7024" s="15" t="str">
        <f aca="false">IF(B7024&lt;5,"Go","Standard")</f>
        <v>Standard</v>
      </c>
    </row>
    <row r="7025" customFormat="false" ht="15" hidden="false" customHeight="true" outlineLevel="0" collapsed="false">
      <c r="A7025" s="10" t="n">
        <f aca="false">Einstellungen!$B$5+INT((ROW()-9)/24)</f>
        <v>46258</v>
      </c>
      <c r="B7025" s="11" t="n">
        <f aca="false">MOD(ROW()-9,24)</f>
        <v>8</v>
      </c>
      <c r="C7025" s="12"/>
      <c r="D7025" s="13" t="n">
        <f aca="false">IF(B7025&lt;5,Einstellungen!$B$3,Einstellungen!$B$4)</f>
        <v>29.13</v>
      </c>
      <c r="E7025" s="14" t="str">
        <f aca="false">IF(C7025="","",C7025*D7025/100)</f>
        <v/>
      </c>
      <c r="F7025" s="15" t="str">
        <f aca="false">IF(B7025&lt;5,"Go","Standard")</f>
        <v>Standard</v>
      </c>
    </row>
    <row r="7026" customFormat="false" ht="15" hidden="false" customHeight="true" outlineLevel="0" collapsed="false">
      <c r="A7026" s="10" t="n">
        <f aca="false">Einstellungen!$B$5+INT((ROW()-9)/24)</f>
        <v>46258</v>
      </c>
      <c r="B7026" s="11" t="n">
        <f aca="false">MOD(ROW()-9,24)</f>
        <v>9</v>
      </c>
      <c r="C7026" s="12"/>
      <c r="D7026" s="13" t="n">
        <f aca="false">IF(B7026&lt;5,Einstellungen!$B$3,Einstellungen!$B$4)</f>
        <v>29.13</v>
      </c>
      <c r="E7026" s="14" t="str">
        <f aca="false">IF(C7026="","",C7026*D7026/100)</f>
        <v/>
      </c>
      <c r="F7026" s="15" t="str">
        <f aca="false">IF(B7026&lt;5,"Go","Standard")</f>
        <v>Standard</v>
      </c>
    </row>
    <row r="7027" customFormat="false" ht="15" hidden="false" customHeight="true" outlineLevel="0" collapsed="false">
      <c r="A7027" s="10" t="n">
        <f aca="false">Einstellungen!$B$5+INT((ROW()-9)/24)</f>
        <v>46258</v>
      </c>
      <c r="B7027" s="11" t="n">
        <f aca="false">MOD(ROW()-9,24)</f>
        <v>10</v>
      </c>
      <c r="C7027" s="12"/>
      <c r="D7027" s="13" t="n">
        <f aca="false">IF(B7027&lt;5,Einstellungen!$B$3,Einstellungen!$B$4)</f>
        <v>29.13</v>
      </c>
      <c r="E7027" s="14" t="str">
        <f aca="false">IF(C7027="","",C7027*D7027/100)</f>
        <v/>
      </c>
      <c r="F7027" s="15" t="str">
        <f aca="false">IF(B7027&lt;5,"Go","Standard")</f>
        <v>Standard</v>
      </c>
    </row>
    <row r="7028" customFormat="false" ht="15" hidden="false" customHeight="true" outlineLevel="0" collapsed="false">
      <c r="A7028" s="10" t="n">
        <f aca="false">Einstellungen!$B$5+INT((ROW()-9)/24)</f>
        <v>46258</v>
      </c>
      <c r="B7028" s="11" t="n">
        <f aca="false">MOD(ROW()-9,24)</f>
        <v>11</v>
      </c>
      <c r="C7028" s="12"/>
      <c r="D7028" s="13" t="n">
        <f aca="false">IF(B7028&lt;5,Einstellungen!$B$3,Einstellungen!$B$4)</f>
        <v>29.13</v>
      </c>
      <c r="E7028" s="14" t="str">
        <f aca="false">IF(C7028="","",C7028*D7028/100)</f>
        <v/>
      </c>
      <c r="F7028" s="15" t="str">
        <f aca="false">IF(B7028&lt;5,"Go","Standard")</f>
        <v>Standard</v>
      </c>
    </row>
    <row r="7029" customFormat="false" ht="15" hidden="false" customHeight="true" outlineLevel="0" collapsed="false">
      <c r="A7029" s="10" t="n">
        <f aca="false">Einstellungen!$B$5+INT((ROW()-9)/24)</f>
        <v>46258</v>
      </c>
      <c r="B7029" s="11" t="n">
        <f aca="false">MOD(ROW()-9,24)</f>
        <v>12</v>
      </c>
      <c r="C7029" s="12"/>
      <c r="D7029" s="13" t="n">
        <f aca="false">IF(B7029&lt;5,Einstellungen!$B$3,Einstellungen!$B$4)</f>
        <v>29.13</v>
      </c>
      <c r="E7029" s="14" t="str">
        <f aca="false">IF(C7029="","",C7029*D7029/100)</f>
        <v/>
      </c>
      <c r="F7029" s="15" t="str">
        <f aca="false">IF(B7029&lt;5,"Go","Standard")</f>
        <v>Standard</v>
      </c>
    </row>
    <row r="7030" customFormat="false" ht="15" hidden="false" customHeight="true" outlineLevel="0" collapsed="false">
      <c r="A7030" s="10" t="n">
        <f aca="false">Einstellungen!$B$5+INT((ROW()-9)/24)</f>
        <v>46258</v>
      </c>
      <c r="B7030" s="11" t="n">
        <f aca="false">MOD(ROW()-9,24)</f>
        <v>13</v>
      </c>
      <c r="C7030" s="12"/>
      <c r="D7030" s="13" t="n">
        <f aca="false">IF(B7030&lt;5,Einstellungen!$B$3,Einstellungen!$B$4)</f>
        <v>29.13</v>
      </c>
      <c r="E7030" s="14" t="str">
        <f aca="false">IF(C7030="","",C7030*D7030/100)</f>
        <v/>
      </c>
      <c r="F7030" s="15" t="str">
        <f aca="false">IF(B7030&lt;5,"Go","Standard")</f>
        <v>Standard</v>
      </c>
    </row>
    <row r="7031" customFormat="false" ht="15" hidden="false" customHeight="true" outlineLevel="0" collapsed="false">
      <c r="A7031" s="10" t="n">
        <f aca="false">Einstellungen!$B$5+INT((ROW()-9)/24)</f>
        <v>46258</v>
      </c>
      <c r="B7031" s="11" t="n">
        <f aca="false">MOD(ROW()-9,24)</f>
        <v>14</v>
      </c>
      <c r="C7031" s="12"/>
      <c r="D7031" s="13" t="n">
        <f aca="false">IF(B7031&lt;5,Einstellungen!$B$3,Einstellungen!$B$4)</f>
        <v>29.13</v>
      </c>
      <c r="E7031" s="14" t="str">
        <f aca="false">IF(C7031="","",C7031*D7031/100)</f>
        <v/>
      </c>
      <c r="F7031" s="15" t="str">
        <f aca="false">IF(B7031&lt;5,"Go","Standard")</f>
        <v>Standard</v>
      </c>
    </row>
    <row r="7032" customFormat="false" ht="15" hidden="false" customHeight="true" outlineLevel="0" collapsed="false">
      <c r="A7032" s="10" t="n">
        <f aca="false">Einstellungen!$B$5+INT((ROW()-9)/24)</f>
        <v>46258</v>
      </c>
      <c r="B7032" s="11" t="n">
        <f aca="false">MOD(ROW()-9,24)</f>
        <v>15</v>
      </c>
      <c r="C7032" s="12"/>
      <c r="D7032" s="13" t="n">
        <f aca="false">IF(B7032&lt;5,Einstellungen!$B$3,Einstellungen!$B$4)</f>
        <v>29.13</v>
      </c>
      <c r="E7032" s="14" t="str">
        <f aca="false">IF(C7032="","",C7032*D7032/100)</f>
        <v/>
      </c>
      <c r="F7032" s="15" t="str">
        <f aca="false">IF(B7032&lt;5,"Go","Standard")</f>
        <v>Standard</v>
      </c>
    </row>
    <row r="7033" customFormat="false" ht="15" hidden="false" customHeight="true" outlineLevel="0" collapsed="false">
      <c r="A7033" s="10" t="n">
        <f aca="false">Einstellungen!$B$5+INT((ROW()-9)/24)</f>
        <v>46258</v>
      </c>
      <c r="B7033" s="11" t="n">
        <f aca="false">MOD(ROW()-9,24)</f>
        <v>16</v>
      </c>
      <c r="C7033" s="12"/>
      <c r="D7033" s="13" t="n">
        <f aca="false">IF(B7033&lt;5,Einstellungen!$B$3,Einstellungen!$B$4)</f>
        <v>29.13</v>
      </c>
      <c r="E7033" s="14" t="str">
        <f aca="false">IF(C7033="","",C7033*D7033/100)</f>
        <v/>
      </c>
      <c r="F7033" s="15" t="str">
        <f aca="false">IF(B7033&lt;5,"Go","Standard")</f>
        <v>Standard</v>
      </c>
    </row>
    <row r="7034" customFormat="false" ht="15" hidden="false" customHeight="true" outlineLevel="0" collapsed="false">
      <c r="A7034" s="10" t="n">
        <f aca="false">Einstellungen!$B$5+INT((ROW()-9)/24)</f>
        <v>46258</v>
      </c>
      <c r="B7034" s="11" t="n">
        <f aca="false">MOD(ROW()-9,24)</f>
        <v>17</v>
      </c>
      <c r="C7034" s="12"/>
      <c r="D7034" s="13" t="n">
        <f aca="false">IF(B7034&lt;5,Einstellungen!$B$3,Einstellungen!$B$4)</f>
        <v>29.13</v>
      </c>
      <c r="E7034" s="14" t="str">
        <f aca="false">IF(C7034="","",C7034*D7034/100)</f>
        <v/>
      </c>
      <c r="F7034" s="15" t="str">
        <f aca="false">IF(B7034&lt;5,"Go","Standard")</f>
        <v>Standard</v>
      </c>
    </row>
    <row r="7035" customFormat="false" ht="15" hidden="false" customHeight="true" outlineLevel="0" collapsed="false">
      <c r="A7035" s="10" t="n">
        <f aca="false">Einstellungen!$B$5+INT((ROW()-9)/24)</f>
        <v>46258</v>
      </c>
      <c r="B7035" s="11" t="n">
        <f aca="false">MOD(ROW()-9,24)</f>
        <v>18</v>
      </c>
      <c r="C7035" s="12"/>
      <c r="D7035" s="13" t="n">
        <f aca="false">IF(B7035&lt;5,Einstellungen!$B$3,Einstellungen!$B$4)</f>
        <v>29.13</v>
      </c>
      <c r="E7035" s="14" t="str">
        <f aca="false">IF(C7035="","",C7035*D7035/100)</f>
        <v/>
      </c>
      <c r="F7035" s="15" t="str">
        <f aca="false">IF(B7035&lt;5,"Go","Standard")</f>
        <v>Standard</v>
      </c>
    </row>
    <row r="7036" customFormat="false" ht="15" hidden="false" customHeight="true" outlineLevel="0" collapsed="false">
      <c r="A7036" s="10" t="n">
        <f aca="false">Einstellungen!$B$5+INT((ROW()-9)/24)</f>
        <v>46258</v>
      </c>
      <c r="B7036" s="11" t="n">
        <f aca="false">MOD(ROW()-9,24)</f>
        <v>19</v>
      </c>
      <c r="C7036" s="12"/>
      <c r="D7036" s="13" t="n">
        <f aca="false">IF(B7036&lt;5,Einstellungen!$B$3,Einstellungen!$B$4)</f>
        <v>29.13</v>
      </c>
      <c r="E7036" s="14" t="str">
        <f aca="false">IF(C7036="","",C7036*D7036/100)</f>
        <v/>
      </c>
      <c r="F7036" s="15" t="str">
        <f aca="false">IF(B7036&lt;5,"Go","Standard")</f>
        <v>Standard</v>
      </c>
    </row>
    <row r="7037" customFormat="false" ht="15" hidden="false" customHeight="true" outlineLevel="0" collapsed="false">
      <c r="A7037" s="10" t="n">
        <f aca="false">Einstellungen!$B$5+INT((ROW()-9)/24)</f>
        <v>46258</v>
      </c>
      <c r="B7037" s="11" t="n">
        <f aca="false">MOD(ROW()-9,24)</f>
        <v>20</v>
      </c>
      <c r="C7037" s="12"/>
      <c r="D7037" s="13" t="n">
        <f aca="false">IF(B7037&lt;5,Einstellungen!$B$3,Einstellungen!$B$4)</f>
        <v>29.13</v>
      </c>
      <c r="E7037" s="14" t="str">
        <f aca="false">IF(C7037="","",C7037*D7037/100)</f>
        <v/>
      </c>
      <c r="F7037" s="15" t="str">
        <f aca="false">IF(B7037&lt;5,"Go","Standard")</f>
        <v>Standard</v>
      </c>
    </row>
    <row r="7038" customFormat="false" ht="15" hidden="false" customHeight="true" outlineLevel="0" collapsed="false">
      <c r="A7038" s="10" t="n">
        <f aca="false">Einstellungen!$B$5+INT((ROW()-9)/24)</f>
        <v>46258</v>
      </c>
      <c r="B7038" s="11" t="n">
        <f aca="false">MOD(ROW()-9,24)</f>
        <v>21</v>
      </c>
      <c r="C7038" s="12"/>
      <c r="D7038" s="13" t="n">
        <f aca="false">IF(B7038&lt;5,Einstellungen!$B$3,Einstellungen!$B$4)</f>
        <v>29.13</v>
      </c>
      <c r="E7038" s="14" t="str">
        <f aca="false">IF(C7038="","",C7038*D7038/100)</f>
        <v/>
      </c>
      <c r="F7038" s="15" t="str">
        <f aca="false">IF(B7038&lt;5,"Go","Standard")</f>
        <v>Standard</v>
      </c>
    </row>
    <row r="7039" customFormat="false" ht="15" hidden="false" customHeight="true" outlineLevel="0" collapsed="false">
      <c r="A7039" s="10" t="n">
        <f aca="false">Einstellungen!$B$5+INT((ROW()-9)/24)</f>
        <v>46258</v>
      </c>
      <c r="B7039" s="11" t="n">
        <f aca="false">MOD(ROW()-9,24)</f>
        <v>22</v>
      </c>
      <c r="C7039" s="12"/>
      <c r="D7039" s="13" t="n">
        <f aca="false">IF(B7039&lt;5,Einstellungen!$B$3,Einstellungen!$B$4)</f>
        <v>29.13</v>
      </c>
      <c r="E7039" s="14" t="str">
        <f aca="false">IF(C7039="","",C7039*D7039/100)</f>
        <v/>
      </c>
      <c r="F7039" s="15" t="str">
        <f aca="false">IF(B7039&lt;5,"Go","Standard")</f>
        <v>Standard</v>
      </c>
    </row>
    <row r="7040" customFormat="false" ht="15" hidden="false" customHeight="true" outlineLevel="0" collapsed="false">
      <c r="A7040" s="10" t="n">
        <f aca="false">Einstellungen!$B$5+INT((ROW()-9)/24)</f>
        <v>46258</v>
      </c>
      <c r="B7040" s="11" t="n">
        <f aca="false">MOD(ROW()-9,24)</f>
        <v>23</v>
      </c>
      <c r="C7040" s="12"/>
      <c r="D7040" s="13" t="n">
        <f aca="false">IF(B7040&lt;5,Einstellungen!$B$3,Einstellungen!$B$4)</f>
        <v>29.13</v>
      </c>
      <c r="E7040" s="14" t="str">
        <f aca="false">IF(C7040="","",C7040*D7040/100)</f>
        <v/>
      </c>
      <c r="F7040" s="15" t="str">
        <f aca="false">IF(B7040&lt;5,"Go","Standard")</f>
        <v>Standard</v>
      </c>
    </row>
    <row r="7041" customFormat="false" ht="15" hidden="false" customHeight="true" outlineLevel="0" collapsed="false">
      <c r="A7041" s="10" t="n">
        <f aca="false">Einstellungen!$B$5+INT((ROW()-9)/24)</f>
        <v>46259</v>
      </c>
      <c r="B7041" s="11" t="n">
        <f aca="false">MOD(ROW()-9,24)</f>
        <v>0</v>
      </c>
      <c r="C7041" s="12"/>
      <c r="D7041" s="13" t="n">
        <f aca="false">IF(B7041&lt;5,Einstellungen!$B$3,Einstellungen!$B$4)</f>
        <v>15.92</v>
      </c>
      <c r="E7041" s="14" t="str">
        <f aca="false">IF(C7041="","",C7041*D7041/100)</f>
        <v/>
      </c>
      <c r="F7041" s="15" t="str">
        <f aca="false">IF(B7041&lt;5,"Go","Standard")</f>
        <v>Go</v>
      </c>
    </row>
    <row r="7042" customFormat="false" ht="15" hidden="false" customHeight="true" outlineLevel="0" collapsed="false">
      <c r="A7042" s="10" t="n">
        <f aca="false">Einstellungen!$B$5+INT((ROW()-9)/24)</f>
        <v>46259</v>
      </c>
      <c r="B7042" s="11" t="n">
        <f aca="false">MOD(ROW()-9,24)</f>
        <v>1</v>
      </c>
      <c r="C7042" s="12"/>
      <c r="D7042" s="13" t="n">
        <f aca="false">IF(B7042&lt;5,Einstellungen!$B$3,Einstellungen!$B$4)</f>
        <v>15.92</v>
      </c>
      <c r="E7042" s="14" t="str">
        <f aca="false">IF(C7042="","",C7042*D7042/100)</f>
        <v/>
      </c>
      <c r="F7042" s="15" t="str">
        <f aca="false">IF(B7042&lt;5,"Go","Standard")</f>
        <v>Go</v>
      </c>
    </row>
    <row r="7043" customFormat="false" ht="15" hidden="false" customHeight="true" outlineLevel="0" collapsed="false">
      <c r="A7043" s="10" t="n">
        <f aca="false">Einstellungen!$B$5+INT((ROW()-9)/24)</f>
        <v>46259</v>
      </c>
      <c r="B7043" s="11" t="n">
        <f aca="false">MOD(ROW()-9,24)</f>
        <v>2</v>
      </c>
      <c r="C7043" s="12"/>
      <c r="D7043" s="13" t="n">
        <f aca="false">IF(B7043&lt;5,Einstellungen!$B$3,Einstellungen!$B$4)</f>
        <v>15.92</v>
      </c>
      <c r="E7043" s="14" t="str">
        <f aca="false">IF(C7043="","",C7043*D7043/100)</f>
        <v/>
      </c>
      <c r="F7043" s="15" t="str">
        <f aca="false">IF(B7043&lt;5,"Go","Standard")</f>
        <v>Go</v>
      </c>
    </row>
    <row r="7044" customFormat="false" ht="15" hidden="false" customHeight="true" outlineLevel="0" collapsed="false">
      <c r="A7044" s="10" t="n">
        <f aca="false">Einstellungen!$B$5+INT((ROW()-9)/24)</f>
        <v>46259</v>
      </c>
      <c r="B7044" s="11" t="n">
        <f aca="false">MOD(ROW()-9,24)</f>
        <v>3</v>
      </c>
      <c r="C7044" s="12"/>
      <c r="D7044" s="13" t="n">
        <f aca="false">IF(B7044&lt;5,Einstellungen!$B$3,Einstellungen!$B$4)</f>
        <v>15.92</v>
      </c>
      <c r="E7044" s="14" t="str">
        <f aca="false">IF(C7044="","",C7044*D7044/100)</f>
        <v/>
      </c>
      <c r="F7044" s="15" t="str">
        <f aca="false">IF(B7044&lt;5,"Go","Standard")</f>
        <v>Go</v>
      </c>
    </row>
    <row r="7045" customFormat="false" ht="15" hidden="false" customHeight="true" outlineLevel="0" collapsed="false">
      <c r="A7045" s="10" t="n">
        <f aca="false">Einstellungen!$B$5+INT((ROW()-9)/24)</f>
        <v>46259</v>
      </c>
      <c r="B7045" s="11" t="n">
        <f aca="false">MOD(ROW()-9,24)</f>
        <v>4</v>
      </c>
      <c r="C7045" s="12"/>
      <c r="D7045" s="13" t="n">
        <f aca="false">IF(B7045&lt;5,Einstellungen!$B$3,Einstellungen!$B$4)</f>
        <v>15.92</v>
      </c>
      <c r="E7045" s="14" t="str">
        <f aca="false">IF(C7045="","",C7045*D7045/100)</f>
        <v/>
      </c>
      <c r="F7045" s="15" t="str">
        <f aca="false">IF(B7045&lt;5,"Go","Standard")</f>
        <v>Go</v>
      </c>
    </row>
    <row r="7046" customFormat="false" ht="15" hidden="false" customHeight="true" outlineLevel="0" collapsed="false">
      <c r="A7046" s="10" t="n">
        <f aca="false">Einstellungen!$B$5+INT((ROW()-9)/24)</f>
        <v>46259</v>
      </c>
      <c r="B7046" s="11" t="n">
        <f aca="false">MOD(ROW()-9,24)</f>
        <v>5</v>
      </c>
      <c r="C7046" s="12"/>
      <c r="D7046" s="13" t="n">
        <f aca="false">IF(B7046&lt;5,Einstellungen!$B$3,Einstellungen!$B$4)</f>
        <v>29.13</v>
      </c>
      <c r="E7046" s="14" t="str">
        <f aca="false">IF(C7046="","",C7046*D7046/100)</f>
        <v/>
      </c>
      <c r="F7046" s="15" t="str">
        <f aca="false">IF(B7046&lt;5,"Go","Standard")</f>
        <v>Standard</v>
      </c>
    </row>
    <row r="7047" customFormat="false" ht="15" hidden="false" customHeight="true" outlineLevel="0" collapsed="false">
      <c r="A7047" s="10" t="n">
        <f aca="false">Einstellungen!$B$5+INT((ROW()-9)/24)</f>
        <v>46259</v>
      </c>
      <c r="B7047" s="11" t="n">
        <f aca="false">MOD(ROW()-9,24)</f>
        <v>6</v>
      </c>
      <c r="C7047" s="12"/>
      <c r="D7047" s="13" t="n">
        <f aca="false">IF(B7047&lt;5,Einstellungen!$B$3,Einstellungen!$B$4)</f>
        <v>29.13</v>
      </c>
      <c r="E7047" s="14" t="str">
        <f aca="false">IF(C7047="","",C7047*D7047/100)</f>
        <v/>
      </c>
      <c r="F7047" s="15" t="str">
        <f aca="false">IF(B7047&lt;5,"Go","Standard")</f>
        <v>Standard</v>
      </c>
    </row>
    <row r="7048" customFormat="false" ht="15" hidden="false" customHeight="true" outlineLevel="0" collapsed="false">
      <c r="A7048" s="10" t="n">
        <f aca="false">Einstellungen!$B$5+INT((ROW()-9)/24)</f>
        <v>46259</v>
      </c>
      <c r="B7048" s="11" t="n">
        <f aca="false">MOD(ROW()-9,24)</f>
        <v>7</v>
      </c>
      <c r="C7048" s="12"/>
      <c r="D7048" s="13" t="n">
        <f aca="false">IF(B7048&lt;5,Einstellungen!$B$3,Einstellungen!$B$4)</f>
        <v>29.13</v>
      </c>
      <c r="E7048" s="14" t="str">
        <f aca="false">IF(C7048="","",C7048*D7048/100)</f>
        <v/>
      </c>
      <c r="F7048" s="15" t="str">
        <f aca="false">IF(B7048&lt;5,"Go","Standard")</f>
        <v>Standard</v>
      </c>
    </row>
    <row r="7049" customFormat="false" ht="15" hidden="false" customHeight="true" outlineLevel="0" collapsed="false">
      <c r="A7049" s="10" t="n">
        <f aca="false">Einstellungen!$B$5+INT((ROW()-9)/24)</f>
        <v>46259</v>
      </c>
      <c r="B7049" s="11" t="n">
        <f aca="false">MOD(ROW()-9,24)</f>
        <v>8</v>
      </c>
      <c r="C7049" s="12"/>
      <c r="D7049" s="13" t="n">
        <f aca="false">IF(B7049&lt;5,Einstellungen!$B$3,Einstellungen!$B$4)</f>
        <v>29.13</v>
      </c>
      <c r="E7049" s="14" t="str">
        <f aca="false">IF(C7049="","",C7049*D7049/100)</f>
        <v/>
      </c>
      <c r="F7049" s="15" t="str">
        <f aca="false">IF(B7049&lt;5,"Go","Standard")</f>
        <v>Standard</v>
      </c>
    </row>
    <row r="7050" customFormat="false" ht="15" hidden="false" customHeight="true" outlineLevel="0" collapsed="false">
      <c r="A7050" s="10" t="n">
        <f aca="false">Einstellungen!$B$5+INT((ROW()-9)/24)</f>
        <v>46259</v>
      </c>
      <c r="B7050" s="11" t="n">
        <f aca="false">MOD(ROW()-9,24)</f>
        <v>9</v>
      </c>
      <c r="C7050" s="12"/>
      <c r="D7050" s="13" t="n">
        <f aca="false">IF(B7050&lt;5,Einstellungen!$B$3,Einstellungen!$B$4)</f>
        <v>29.13</v>
      </c>
      <c r="E7050" s="14" t="str">
        <f aca="false">IF(C7050="","",C7050*D7050/100)</f>
        <v/>
      </c>
      <c r="F7050" s="15" t="str">
        <f aca="false">IF(B7050&lt;5,"Go","Standard")</f>
        <v>Standard</v>
      </c>
    </row>
    <row r="7051" customFormat="false" ht="15" hidden="false" customHeight="true" outlineLevel="0" collapsed="false">
      <c r="A7051" s="10" t="n">
        <f aca="false">Einstellungen!$B$5+INT((ROW()-9)/24)</f>
        <v>46259</v>
      </c>
      <c r="B7051" s="11" t="n">
        <f aca="false">MOD(ROW()-9,24)</f>
        <v>10</v>
      </c>
      <c r="C7051" s="12"/>
      <c r="D7051" s="13" t="n">
        <f aca="false">IF(B7051&lt;5,Einstellungen!$B$3,Einstellungen!$B$4)</f>
        <v>29.13</v>
      </c>
      <c r="E7051" s="14" t="str">
        <f aca="false">IF(C7051="","",C7051*D7051/100)</f>
        <v/>
      </c>
      <c r="F7051" s="15" t="str">
        <f aca="false">IF(B7051&lt;5,"Go","Standard")</f>
        <v>Standard</v>
      </c>
    </row>
    <row r="7052" customFormat="false" ht="15" hidden="false" customHeight="true" outlineLevel="0" collapsed="false">
      <c r="A7052" s="10" t="n">
        <f aca="false">Einstellungen!$B$5+INT((ROW()-9)/24)</f>
        <v>46259</v>
      </c>
      <c r="B7052" s="11" t="n">
        <f aca="false">MOD(ROW()-9,24)</f>
        <v>11</v>
      </c>
      <c r="C7052" s="12"/>
      <c r="D7052" s="13" t="n">
        <f aca="false">IF(B7052&lt;5,Einstellungen!$B$3,Einstellungen!$B$4)</f>
        <v>29.13</v>
      </c>
      <c r="E7052" s="14" t="str">
        <f aca="false">IF(C7052="","",C7052*D7052/100)</f>
        <v/>
      </c>
      <c r="F7052" s="15" t="str">
        <f aca="false">IF(B7052&lt;5,"Go","Standard")</f>
        <v>Standard</v>
      </c>
    </row>
    <row r="7053" customFormat="false" ht="15" hidden="false" customHeight="true" outlineLevel="0" collapsed="false">
      <c r="A7053" s="10" t="n">
        <f aca="false">Einstellungen!$B$5+INT((ROW()-9)/24)</f>
        <v>46259</v>
      </c>
      <c r="B7053" s="11" t="n">
        <f aca="false">MOD(ROW()-9,24)</f>
        <v>12</v>
      </c>
      <c r="C7053" s="12"/>
      <c r="D7053" s="13" t="n">
        <f aca="false">IF(B7053&lt;5,Einstellungen!$B$3,Einstellungen!$B$4)</f>
        <v>29.13</v>
      </c>
      <c r="E7053" s="14" t="str">
        <f aca="false">IF(C7053="","",C7053*D7053/100)</f>
        <v/>
      </c>
      <c r="F7053" s="15" t="str">
        <f aca="false">IF(B7053&lt;5,"Go","Standard")</f>
        <v>Standard</v>
      </c>
    </row>
    <row r="7054" customFormat="false" ht="15" hidden="false" customHeight="true" outlineLevel="0" collapsed="false">
      <c r="A7054" s="10" t="n">
        <f aca="false">Einstellungen!$B$5+INT((ROW()-9)/24)</f>
        <v>46259</v>
      </c>
      <c r="B7054" s="11" t="n">
        <f aca="false">MOD(ROW()-9,24)</f>
        <v>13</v>
      </c>
      <c r="C7054" s="12"/>
      <c r="D7054" s="13" t="n">
        <f aca="false">IF(B7054&lt;5,Einstellungen!$B$3,Einstellungen!$B$4)</f>
        <v>29.13</v>
      </c>
      <c r="E7054" s="14" t="str">
        <f aca="false">IF(C7054="","",C7054*D7054/100)</f>
        <v/>
      </c>
      <c r="F7054" s="15" t="str">
        <f aca="false">IF(B7054&lt;5,"Go","Standard")</f>
        <v>Standard</v>
      </c>
    </row>
    <row r="7055" customFormat="false" ht="15" hidden="false" customHeight="true" outlineLevel="0" collapsed="false">
      <c r="A7055" s="10" t="n">
        <f aca="false">Einstellungen!$B$5+INT((ROW()-9)/24)</f>
        <v>46259</v>
      </c>
      <c r="B7055" s="11" t="n">
        <f aca="false">MOD(ROW()-9,24)</f>
        <v>14</v>
      </c>
      <c r="C7055" s="12"/>
      <c r="D7055" s="13" t="n">
        <f aca="false">IF(B7055&lt;5,Einstellungen!$B$3,Einstellungen!$B$4)</f>
        <v>29.13</v>
      </c>
      <c r="E7055" s="14" t="str">
        <f aca="false">IF(C7055="","",C7055*D7055/100)</f>
        <v/>
      </c>
      <c r="F7055" s="15" t="str">
        <f aca="false">IF(B7055&lt;5,"Go","Standard")</f>
        <v>Standard</v>
      </c>
    </row>
    <row r="7056" customFormat="false" ht="15" hidden="false" customHeight="true" outlineLevel="0" collapsed="false">
      <c r="A7056" s="10" t="n">
        <f aca="false">Einstellungen!$B$5+INT((ROW()-9)/24)</f>
        <v>46259</v>
      </c>
      <c r="B7056" s="11" t="n">
        <f aca="false">MOD(ROW()-9,24)</f>
        <v>15</v>
      </c>
      <c r="C7056" s="12"/>
      <c r="D7056" s="13" t="n">
        <f aca="false">IF(B7056&lt;5,Einstellungen!$B$3,Einstellungen!$B$4)</f>
        <v>29.13</v>
      </c>
      <c r="E7056" s="14" t="str">
        <f aca="false">IF(C7056="","",C7056*D7056/100)</f>
        <v/>
      </c>
      <c r="F7056" s="15" t="str">
        <f aca="false">IF(B7056&lt;5,"Go","Standard")</f>
        <v>Standard</v>
      </c>
    </row>
    <row r="7057" customFormat="false" ht="15" hidden="false" customHeight="true" outlineLevel="0" collapsed="false">
      <c r="A7057" s="10" t="n">
        <f aca="false">Einstellungen!$B$5+INT((ROW()-9)/24)</f>
        <v>46259</v>
      </c>
      <c r="B7057" s="11" t="n">
        <f aca="false">MOD(ROW()-9,24)</f>
        <v>16</v>
      </c>
      <c r="C7057" s="12"/>
      <c r="D7057" s="13" t="n">
        <f aca="false">IF(B7057&lt;5,Einstellungen!$B$3,Einstellungen!$B$4)</f>
        <v>29.13</v>
      </c>
      <c r="E7057" s="14" t="str">
        <f aca="false">IF(C7057="","",C7057*D7057/100)</f>
        <v/>
      </c>
      <c r="F7057" s="15" t="str">
        <f aca="false">IF(B7057&lt;5,"Go","Standard")</f>
        <v>Standard</v>
      </c>
    </row>
    <row r="7058" customFormat="false" ht="15" hidden="false" customHeight="true" outlineLevel="0" collapsed="false">
      <c r="A7058" s="10" t="n">
        <f aca="false">Einstellungen!$B$5+INT((ROW()-9)/24)</f>
        <v>46259</v>
      </c>
      <c r="B7058" s="11" t="n">
        <f aca="false">MOD(ROW()-9,24)</f>
        <v>17</v>
      </c>
      <c r="C7058" s="12"/>
      <c r="D7058" s="13" t="n">
        <f aca="false">IF(B7058&lt;5,Einstellungen!$B$3,Einstellungen!$B$4)</f>
        <v>29.13</v>
      </c>
      <c r="E7058" s="14" t="str">
        <f aca="false">IF(C7058="","",C7058*D7058/100)</f>
        <v/>
      </c>
      <c r="F7058" s="15" t="str">
        <f aca="false">IF(B7058&lt;5,"Go","Standard")</f>
        <v>Standard</v>
      </c>
    </row>
    <row r="7059" customFormat="false" ht="15" hidden="false" customHeight="true" outlineLevel="0" collapsed="false">
      <c r="A7059" s="10" t="n">
        <f aca="false">Einstellungen!$B$5+INT((ROW()-9)/24)</f>
        <v>46259</v>
      </c>
      <c r="B7059" s="11" t="n">
        <f aca="false">MOD(ROW()-9,24)</f>
        <v>18</v>
      </c>
      <c r="C7059" s="12"/>
      <c r="D7059" s="13" t="n">
        <f aca="false">IF(B7059&lt;5,Einstellungen!$B$3,Einstellungen!$B$4)</f>
        <v>29.13</v>
      </c>
      <c r="E7059" s="14" t="str">
        <f aca="false">IF(C7059="","",C7059*D7059/100)</f>
        <v/>
      </c>
      <c r="F7059" s="15" t="str">
        <f aca="false">IF(B7059&lt;5,"Go","Standard")</f>
        <v>Standard</v>
      </c>
    </row>
    <row r="7060" customFormat="false" ht="15" hidden="false" customHeight="true" outlineLevel="0" collapsed="false">
      <c r="A7060" s="10" t="n">
        <f aca="false">Einstellungen!$B$5+INT((ROW()-9)/24)</f>
        <v>46259</v>
      </c>
      <c r="B7060" s="11" t="n">
        <f aca="false">MOD(ROW()-9,24)</f>
        <v>19</v>
      </c>
      <c r="C7060" s="12"/>
      <c r="D7060" s="13" t="n">
        <f aca="false">IF(B7060&lt;5,Einstellungen!$B$3,Einstellungen!$B$4)</f>
        <v>29.13</v>
      </c>
      <c r="E7060" s="14" t="str">
        <f aca="false">IF(C7060="","",C7060*D7060/100)</f>
        <v/>
      </c>
      <c r="F7060" s="15" t="str">
        <f aca="false">IF(B7060&lt;5,"Go","Standard")</f>
        <v>Standard</v>
      </c>
    </row>
    <row r="7061" customFormat="false" ht="15" hidden="false" customHeight="true" outlineLevel="0" collapsed="false">
      <c r="A7061" s="10" t="n">
        <f aca="false">Einstellungen!$B$5+INT((ROW()-9)/24)</f>
        <v>46259</v>
      </c>
      <c r="B7061" s="11" t="n">
        <f aca="false">MOD(ROW()-9,24)</f>
        <v>20</v>
      </c>
      <c r="C7061" s="12"/>
      <c r="D7061" s="13" t="n">
        <f aca="false">IF(B7061&lt;5,Einstellungen!$B$3,Einstellungen!$B$4)</f>
        <v>29.13</v>
      </c>
      <c r="E7061" s="14" t="str">
        <f aca="false">IF(C7061="","",C7061*D7061/100)</f>
        <v/>
      </c>
      <c r="F7061" s="15" t="str">
        <f aca="false">IF(B7061&lt;5,"Go","Standard")</f>
        <v>Standard</v>
      </c>
    </row>
    <row r="7062" customFormat="false" ht="15" hidden="false" customHeight="true" outlineLevel="0" collapsed="false">
      <c r="A7062" s="10" t="n">
        <f aca="false">Einstellungen!$B$5+INT((ROW()-9)/24)</f>
        <v>46259</v>
      </c>
      <c r="B7062" s="11" t="n">
        <f aca="false">MOD(ROW()-9,24)</f>
        <v>21</v>
      </c>
      <c r="C7062" s="12"/>
      <c r="D7062" s="13" t="n">
        <f aca="false">IF(B7062&lt;5,Einstellungen!$B$3,Einstellungen!$B$4)</f>
        <v>29.13</v>
      </c>
      <c r="E7062" s="14" t="str">
        <f aca="false">IF(C7062="","",C7062*D7062/100)</f>
        <v/>
      </c>
      <c r="F7062" s="15" t="str">
        <f aca="false">IF(B7062&lt;5,"Go","Standard")</f>
        <v>Standard</v>
      </c>
    </row>
    <row r="7063" customFormat="false" ht="15" hidden="false" customHeight="true" outlineLevel="0" collapsed="false">
      <c r="A7063" s="10" t="n">
        <f aca="false">Einstellungen!$B$5+INT((ROW()-9)/24)</f>
        <v>46259</v>
      </c>
      <c r="B7063" s="11" t="n">
        <f aca="false">MOD(ROW()-9,24)</f>
        <v>22</v>
      </c>
      <c r="C7063" s="12"/>
      <c r="D7063" s="13" t="n">
        <f aca="false">IF(B7063&lt;5,Einstellungen!$B$3,Einstellungen!$B$4)</f>
        <v>29.13</v>
      </c>
      <c r="E7063" s="14" t="str">
        <f aca="false">IF(C7063="","",C7063*D7063/100)</f>
        <v/>
      </c>
      <c r="F7063" s="15" t="str">
        <f aca="false">IF(B7063&lt;5,"Go","Standard")</f>
        <v>Standard</v>
      </c>
    </row>
    <row r="7064" customFormat="false" ht="15" hidden="false" customHeight="true" outlineLevel="0" collapsed="false">
      <c r="A7064" s="10" t="n">
        <f aca="false">Einstellungen!$B$5+INT((ROW()-9)/24)</f>
        <v>46259</v>
      </c>
      <c r="B7064" s="11" t="n">
        <f aca="false">MOD(ROW()-9,24)</f>
        <v>23</v>
      </c>
      <c r="C7064" s="12"/>
      <c r="D7064" s="13" t="n">
        <f aca="false">IF(B7064&lt;5,Einstellungen!$B$3,Einstellungen!$B$4)</f>
        <v>29.13</v>
      </c>
      <c r="E7064" s="14" t="str">
        <f aca="false">IF(C7064="","",C7064*D7064/100)</f>
        <v/>
      </c>
      <c r="F7064" s="15" t="str">
        <f aca="false">IF(B7064&lt;5,"Go","Standard")</f>
        <v>Standard</v>
      </c>
    </row>
    <row r="7065" customFormat="false" ht="15" hidden="false" customHeight="true" outlineLevel="0" collapsed="false">
      <c r="A7065" s="10" t="n">
        <f aca="false">Einstellungen!$B$5+INT((ROW()-9)/24)</f>
        <v>46260</v>
      </c>
      <c r="B7065" s="11" t="n">
        <f aca="false">MOD(ROW()-9,24)</f>
        <v>0</v>
      </c>
      <c r="C7065" s="12"/>
      <c r="D7065" s="13" t="n">
        <f aca="false">IF(B7065&lt;5,Einstellungen!$B$3,Einstellungen!$B$4)</f>
        <v>15.92</v>
      </c>
      <c r="E7065" s="14" t="str">
        <f aca="false">IF(C7065="","",C7065*D7065/100)</f>
        <v/>
      </c>
      <c r="F7065" s="15" t="str">
        <f aca="false">IF(B7065&lt;5,"Go","Standard")</f>
        <v>Go</v>
      </c>
    </row>
    <row r="7066" customFormat="false" ht="15" hidden="false" customHeight="true" outlineLevel="0" collapsed="false">
      <c r="A7066" s="10" t="n">
        <f aca="false">Einstellungen!$B$5+INT((ROW()-9)/24)</f>
        <v>46260</v>
      </c>
      <c r="B7066" s="11" t="n">
        <f aca="false">MOD(ROW()-9,24)</f>
        <v>1</v>
      </c>
      <c r="C7066" s="12"/>
      <c r="D7066" s="13" t="n">
        <f aca="false">IF(B7066&lt;5,Einstellungen!$B$3,Einstellungen!$B$4)</f>
        <v>15.92</v>
      </c>
      <c r="E7066" s="14" t="str">
        <f aca="false">IF(C7066="","",C7066*D7066/100)</f>
        <v/>
      </c>
      <c r="F7066" s="15" t="str">
        <f aca="false">IF(B7066&lt;5,"Go","Standard")</f>
        <v>Go</v>
      </c>
    </row>
    <row r="7067" customFormat="false" ht="15" hidden="false" customHeight="true" outlineLevel="0" collapsed="false">
      <c r="A7067" s="10" t="n">
        <f aca="false">Einstellungen!$B$5+INT((ROW()-9)/24)</f>
        <v>46260</v>
      </c>
      <c r="B7067" s="11" t="n">
        <f aca="false">MOD(ROW()-9,24)</f>
        <v>2</v>
      </c>
      <c r="C7067" s="12"/>
      <c r="D7067" s="13" t="n">
        <f aca="false">IF(B7067&lt;5,Einstellungen!$B$3,Einstellungen!$B$4)</f>
        <v>15.92</v>
      </c>
      <c r="E7067" s="14" t="str">
        <f aca="false">IF(C7067="","",C7067*D7067/100)</f>
        <v/>
      </c>
      <c r="F7067" s="15" t="str">
        <f aca="false">IF(B7067&lt;5,"Go","Standard")</f>
        <v>Go</v>
      </c>
    </row>
    <row r="7068" customFormat="false" ht="15" hidden="false" customHeight="true" outlineLevel="0" collapsed="false">
      <c r="A7068" s="10" t="n">
        <f aca="false">Einstellungen!$B$5+INT((ROW()-9)/24)</f>
        <v>46260</v>
      </c>
      <c r="B7068" s="11" t="n">
        <f aca="false">MOD(ROW()-9,24)</f>
        <v>3</v>
      </c>
      <c r="C7068" s="12"/>
      <c r="D7068" s="13" t="n">
        <f aca="false">IF(B7068&lt;5,Einstellungen!$B$3,Einstellungen!$B$4)</f>
        <v>15.92</v>
      </c>
      <c r="E7068" s="14" t="str">
        <f aca="false">IF(C7068="","",C7068*D7068/100)</f>
        <v/>
      </c>
      <c r="F7068" s="15" t="str">
        <f aca="false">IF(B7068&lt;5,"Go","Standard")</f>
        <v>Go</v>
      </c>
    </row>
    <row r="7069" customFormat="false" ht="15" hidden="false" customHeight="true" outlineLevel="0" collapsed="false">
      <c r="A7069" s="10" t="n">
        <f aca="false">Einstellungen!$B$5+INT((ROW()-9)/24)</f>
        <v>46260</v>
      </c>
      <c r="B7069" s="11" t="n">
        <f aca="false">MOD(ROW()-9,24)</f>
        <v>4</v>
      </c>
      <c r="C7069" s="12"/>
      <c r="D7069" s="13" t="n">
        <f aca="false">IF(B7069&lt;5,Einstellungen!$B$3,Einstellungen!$B$4)</f>
        <v>15.92</v>
      </c>
      <c r="E7069" s="14" t="str">
        <f aca="false">IF(C7069="","",C7069*D7069/100)</f>
        <v/>
      </c>
      <c r="F7069" s="15" t="str">
        <f aca="false">IF(B7069&lt;5,"Go","Standard")</f>
        <v>Go</v>
      </c>
    </row>
    <row r="7070" customFormat="false" ht="15" hidden="false" customHeight="true" outlineLevel="0" collapsed="false">
      <c r="A7070" s="10" t="n">
        <f aca="false">Einstellungen!$B$5+INT((ROW()-9)/24)</f>
        <v>46260</v>
      </c>
      <c r="B7070" s="11" t="n">
        <f aca="false">MOD(ROW()-9,24)</f>
        <v>5</v>
      </c>
      <c r="C7070" s="12"/>
      <c r="D7070" s="13" t="n">
        <f aca="false">IF(B7070&lt;5,Einstellungen!$B$3,Einstellungen!$B$4)</f>
        <v>29.13</v>
      </c>
      <c r="E7070" s="14" t="str">
        <f aca="false">IF(C7070="","",C7070*D7070/100)</f>
        <v/>
      </c>
      <c r="F7070" s="15" t="str">
        <f aca="false">IF(B7070&lt;5,"Go","Standard")</f>
        <v>Standard</v>
      </c>
    </row>
    <row r="7071" customFormat="false" ht="15" hidden="false" customHeight="true" outlineLevel="0" collapsed="false">
      <c r="A7071" s="10" t="n">
        <f aca="false">Einstellungen!$B$5+INT((ROW()-9)/24)</f>
        <v>46260</v>
      </c>
      <c r="B7071" s="11" t="n">
        <f aca="false">MOD(ROW()-9,24)</f>
        <v>6</v>
      </c>
      <c r="C7071" s="12"/>
      <c r="D7071" s="13" t="n">
        <f aca="false">IF(B7071&lt;5,Einstellungen!$B$3,Einstellungen!$B$4)</f>
        <v>29.13</v>
      </c>
      <c r="E7071" s="14" t="str">
        <f aca="false">IF(C7071="","",C7071*D7071/100)</f>
        <v/>
      </c>
      <c r="F7071" s="15" t="str">
        <f aca="false">IF(B7071&lt;5,"Go","Standard")</f>
        <v>Standard</v>
      </c>
    </row>
    <row r="7072" customFormat="false" ht="15" hidden="false" customHeight="true" outlineLevel="0" collapsed="false">
      <c r="A7072" s="10" t="n">
        <f aca="false">Einstellungen!$B$5+INT((ROW()-9)/24)</f>
        <v>46260</v>
      </c>
      <c r="B7072" s="11" t="n">
        <f aca="false">MOD(ROW()-9,24)</f>
        <v>7</v>
      </c>
      <c r="C7072" s="12"/>
      <c r="D7072" s="13" t="n">
        <f aca="false">IF(B7072&lt;5,Einstellungen!$B$3,Einstellungen!$B$4)</f>
        <v>29.13</v>
      </c>
      <c r="E7072" s="14" t="str">
        <f aca="false">IF(C7072="","",C7072*D7072/100)</f>
        <v/>
      </c>
      <c r="F7072" s="15" t="str">
        <f aca="false">IF(B7072&lt;5,"Go","Standard")</f>
        <v>Standard</v>
      </c>
    </row>
    <row r="7073" customFormat="false" ht="15" hidden="false" customHeight="true" outlineLevel="0" collapsed="false">
      <c r="A7073" s="10" t="n">
        <f aca="false">Einstellungen!$B$5+INT((ROW()-9)/24)</f>
        <v>46260</v>
      </c>
      <c r="B7073" s="11" t="n">
        <f aca="false">MOD(ROW()-9,24)</f>
        <v>8</v>
      </c>
      <c r="C7073" s="12"/>
      <c r="D7073" s="13" t="n">
        <f aca="false">IF(B7073&lt;5,Einstellungen!$B$3,Einstellungen!$B$4)</f>
        <v>29.13</v>
      </c>
      <c r="E7073" s="14" t="str">
        <f aca="false">IF(C7073="","",C7073*D7073/100)</f>
        <v/>
      </c>
      <c r="F7073" s="15" t="str">
        <f aca="false">IF(B7073&lt;5,"Go","Standard")</f>
        <v>Standard</v>
      </c>
    </row>
    <row r="7074" customFormat="false" ht="15" hidden="false" customHeight="true" outlineLevel="0" collapsed="false">
      <c r="A7074" s="10" t="n">
        <f aca="false">Einstellungen!$B$5+INT((ROW()-9)/24)</f>
        <v>46260</v>
      </c>
      <c r="B7074" s="11" t="n">
        <f aca="false">MOD(ROW()-9,24)</f>
        <v>9</v>
      </c>
      <c r="C7074" s="12"/>
      <c r="D7074" s="13" t="n">
        <f aca="false">IF(B7074&lt;5,Einstellungen!$B$3,Einstellungen!$B$4)</f>
        <v>29.13</v>
      </c>
      <c r="E7074" s="14" t="str">
        <f aca="false">IF(C7074="","",C7074*D7074/100)</f>
        <v/>
      </c>
      <c r="F7074" s="15" t="str">
        <f aca="false">IF(B7074&lt;5,"Go","Standard")</f>
        <v>Standard</v>
      </c>
    </row>
    <row r="7075" customFormat="false" ht="15" hidden="false" customHeight="true" outlineLevel="0" collapsed="false">
      <c r="A7075" s="10" t="n">
        <f aca="false">Einstellungen!$B$5+INT((ROW()-9)/24)</f>
        <v>46260</v>
      </c>
      <c r="B7075" s="11" t="n">
        <f aca="false">MOD(ROW()-9,24)</f>
        <v>10</v>
      </c>
      <c r="C7075" s="12"/>
      <c r="D7075" s="13" t="n">
        <f aca="false">IF(B7075&lt;5,Einstellungen!$B$3,Einstellungen!$B$4)</f>
        <v>29.13</v>
      </c>
      <c r="E7075" s="14" t="str">
        <f aca="false">IF(C7075="","",C7075*D7075/100)</f>
        <v/>
      </c>
      <c r="F7075" s="15" t="str">
        <f aca="false">IF(B7075&lt;5,"Go","Standard")</f>
        <v>Standard</v>
      </c>
    </row>
    <row r="7076" customFormat="false" ht="15" hidden="false" customHeight="true" outlineLevel="0" collapsed="false">
      <c r="A7076" s="10" t="n">
        <f aca="false">Einstellungen!$B$5+INT((ROW()-9)/24)</f>
        <v>46260</v>
      </c>
      <c r="B7076" s="11" t="n">
        <f aca="false">MOD(ROW()-9,24)</f>
        <v>11</v>
      </c>
      <c r="C7076" s="12"/>
      <c r="D7076" s="13" t="n">
        <f aca="false">IF(B7076&lt;5,Einstellungen!$B$3,Einstellungen!$B$4)</f>
        <v>29.13</v>
      </c>
      <c r="E7076" s="14" t="str">
        <f aca="false">IF(C7076="","",C7076*D7076/100)</f>
        <v/>
      </c>
      <c r="F7076" s="15" t="str">
        <f aca="false">IF(B7076&lt;5,"Go","Standard")</f>
        <v>Standard</v>
      </c>
    </row>
    <row r="7077" customFormat="false" ht="15" hidden="false" customHeight="true" outlineLevel="0" collapsed="false">
      <c r="A7077" s="10" t="n">
        <f aca="false">Einstellungen!$B$5+INT((ROW()-9)/24)</f>
        <v>46260</v>
      </c>
      <c r="B7077" s="11" t="n">
        <f aca="false">MOD(ROW()-9,24)</f>
        <v>12</v>
      </c>
      <c r="C7077" s="12"/>
      <c r="D7077" s="13" t="n">
        <f aca="false">IF(B7077&lt;5,Einstellungen!$B$3,Einstellungen!$B$4)</f>
        <v>29.13</v>
      </c>
      <c r="E7077" s="14" t="str">
        <f aca="false">IF(C7077="","",C7077*D7077/100)</f>
        <v/>
      </c>
      <c r="F7077" s="15" t="str">
        <f aca="false">IF(B7077&lt;5,"Go","Standard")</f>
        <v>Standard</v>
      </c>
    </row>
    <row r="7078" customFormat="false" ht="15" hidden="false" customHeight="true" outlineLevel="0" collapsed="false">
      <c r="A7078" s="10" t="n">
        <f aca="false">Einstellungen!$B$5+INT((ROW()-9)/24)</f>
        <v>46260</v>
      </c>
      <c r="B7078" s="11" t="n">
        <f aca="false">MOD(ROW()-9,24)</f>
        <v>13</v>
      </c>
      <c r="C7078" s="12"/>
      <c r="D7078" s="13" t="n">
        <f aca="false">IF(B7078&lt;5,Einstellungen!$B$3,Einstellungen!$B$4)</f>
        <v>29.13</v>
      </c>
      <c r="E7078" s="14" t="str">
        <f aca="false">IF(C7078="","",C7078*D7078/100)</f>
        <v/>
      </c>
      <c r="F7078" s="15" t="str">
        <f aca="false">IF(B7078&lt;5,"Go","Standard")</f>
        <v>Standard</v>
      </c>
    </row>
    <row r="7079" customFormat="false" ht="15" hidden="false" customHeight="true" outlineLevel="0" collapsed="false">
      <c r="A7079" s="10" t="n">
        <f aca="false">Einstellungen!$B$5+INT((ROW()-9)/24)</f>
        <v>46260</v>
      </c>
      <c r="B7079" s="11" t="n">
        <f aca="false">MOD(ROW()-9,24)</f>
        <v>14</v>
      </c>
      <c r="C7079" s="12"/>
      <c r="D7079" s="13" t="n">
        <f aca="false">IF(B7079&lt;5,Einstellungen!$B$3,Einstellungen!$B$4)</f>
        <v>29.13</v>
      </c>
      <c r="E7079" s="14" t="str">
        <f aca="false">IF(C7079="","",C7079*D7079/100)</f>
        <v/>
      </c>
      <c r="F7079" s="15" t="str">
        <f aca="false">IF(B7079&lt;5,"Go","Standard")</f>
        <v>Standard</v>
      </c>
    </row>
    <row r="7080" customFormat="false" ht="15" hidden="false" customHeight="true" outlineLevel="0" collapsed="false">
      <c r="A7080" s="10" t="n">
        <f aca="false">Einstellungen!$B$5+INT((ROW()-9)/24)</f>
        <v>46260</v>
      </c>
      <c r="B7080" s="11" t="n">
        <f aca="false">MOD(ROW()-9,24)</f>
        <v>15</v>
      </c>
      <c r="C7080" s="12"/>
      <c r="D7080" s="13" t="n">
        <f aca="false">IF(B7080&lt;5,Einstellungen!$B$3,Einstellungen!$B$4)</f>
        <v>29.13</v>
      </c>
      <c r="E7080" s="14" t="str">
        <f aca="false">IF(C7080="","",C7080*D7080/100)</f>
        <v/>
      </c>
      <c r="F7080" s="15" t="str">
        <f aca="false">IF(B7080&lt;5,"Go","Standard")</f>
        <v>Standard</v>
      </c>
    </row>
    <row r="7081" customFormat="false" ht="15" hidden="false" customHeight="true" outlineLevel="0" collapsed="false">
      <c r="A7081" s="10" t="n">
        <f aca="false">Einstellungen!$B$5+INT((ROW()-9)/24)</f>
        <v>46260</v>
      </c>
      <c r="B7081" s="11" t="n">
        <f aca="false">MOD(ROW()-9,24)</f>
        <v>16</v>
      </c>
      <c r="C7081" s="12"/>
      <c r="D7081" s="13" t="n">
        <f aca="false">IF(B7081&lt;5,Einstellungen!$B$3,Einstellungen!$B$4)</f>
        <v>29.13</v>
      </c>
      <c r="E7081" s="14" t="str">
        <f aca="false">IF(C7081="","",C7081*D7081/100)</f>
        <v/>
      </c>
      <c r="F7081" s="15" t="str">
        <f aca="false">IF(B7081&lt;5,"Go","Standard")</f>
        <v>Standard</v>
      </c>
    </row>
    <row r="7082" customFormat="false" ht="15" hidden="false" customHeight="true" outlineLevel="0" collapsed="false">
      <c r="A7082" s="10" t="n">
        <f aca="false">Einstellungen!$B$5+INT((ROW()-9)/24)</f>
        <v>46260</v>
      </c>
      <c r="B7082" s="11" t="n">
        <f aca="false">MOD(ROW()-9,24)</f>
        <v>17</v>
      </c>
      <c r="C7082" s="12"/>
      <c r="D7082" s="13" t="n">
        <f aca="false">IF(B7082&lt;5,Einstellungen!$B$3,Einstellungen!$B$4)</f>
        <v>29.13</v>
      </c>
      <c r="E7082" s="14" t="str">
        <f aca="false">IF(C7082="","",C7082*D7082/100)</f>
        <v/>
      </c>
      <c r="F7082" s="15" t="str">
        <f aca="false">IF(B7082&lt;5,"Go","Standard")</f>
        <v>Standard</v>
      </c>
    </row>
    <row r="7083" customFormat="false" ht="15" hidden="false" customHeight="true" outlineLevel="0" collapsed="false">
      <c r="A7083" s="10" t="n">
        <f aca="false">Einstellungen!$B$5+INT((ROW()-9)/24)</f>
        <v>46260</v>
      </c>
      <c r="B7083" s="11" t="n">
        <f aca="false">MOD(ROW()-9,24)</f>
        <v>18</v>
      </c>
      <c r="C7083" s="12"/>
      <c r="D7083" s="13" t="n">
        <f aca="false">IF(B7083&lt;5,Einstellungen!$B$3,Einstellungen!$B$4)</f>
        <v>29.13</v>
      </c>
      <c r="E7083" s="14" t="str">
        <f aca="false">IF(C7083="","",C7083*D7083/100)</f>
        <v/>
      </c>
      <c r="F7083" s="15" t="str">
        <f aca="false">IF(B7083&lt;5,"Go","Standard")</f>
        <v>Standard</v>
      </c>
    </row>
    <row r="7084" customFormat="false" ht="15" hidden="false" customHeight="true" outlineLevel="0" collapsed="false">
      <c r="A7084" s="10" t="n">
        <f aca="false">Einstellungen!$B$5+INT((ROW()-9)/24)</f>
        <v>46260</v>
      </c>
      <c r="B7084" s="11" t="n">
        <f aca="false">MOD(ROW()-9,24)</f>
        <v>19</v>
      </c>
      <c r="C7084" s="12"/>
      <c r="D7084" s="13" t="n">
        <f aca="false">IF(B7084&lt;5,Einstellungen!$B$3,Einstellungen!$B$4)</f>
        <v>29.13</v>
      </c>
      <c r="E7084" s="14" t="str">
        <f aca="false">IF(C7084="","",C7084*D7084/100)</f>
        <v/>
      </c>
      <c r="F7084" s="15" t="str">
        <f aca="false">IF(B7084&lt;5,"Go","Standard")</f>
        <v>Standard</v>
      </c>
    </row>
    <row r="7085" customFormat="false" ht="15" hidden="false" customHeight="true" outlineLevel="0" collapsed="false">
      <c r="A7085" s="10" t="n">
        <f aca="false">Einstellungen!$B$5+INT((ROW()-9)/24)</f>
        <v>46260</v>
      </c>
      <c r="B7085" s="11" t="n">
        <f aca="false">MOD(ROW()-9,24)</f>
        <v>20</v>
      </c>
      <c r="C7085" s="12"/>
      <c r="D7085" s="13" t="n">
        <f aca="false">IF(B7085&lt;5,Einstellungen!$B$3,Einstellungen!$B$4)</f>
        <v>29.13</v>
      </c>
      <c r="E7085" s="14" t="str">
        <f aca="false">IF(C7085="","",C7085*D7085/100)</f>
        <v/>
      </c>
      <c r="F7085" s="15" t="str">
        <f aca="false">IF(B7085&lt;5,"Go","Standard")</f>
        <v>Standard</v>
      </c>
    </row>
    <row r="7086" customFormat="false" ht="15" hidden="false" customHeight="true" outlineLevel="0" collapsed="false">
      <c r="A7086" s="10" t="n">
        <f aca="false">Einstellungen!$B$5+INT((ROW()-9)/24)</f>
        <v>46260</v>
      </c>
      <c r="B7086" s="11" t="n">
        <f aca="false">MOD(ROW()-9,24)</f>
        <v>21</v>
      </c>
      <c r="C7086" s="12"/>
      <c r="D7086" s="13" t="n">
        <f aca="false">IF(B7086&lt;5,Einstellungen!$B$3,Einstellungen!$B$4)</f>
        <v>29.13</v>
      </c>
      <c r="E7086" s="14" t="str">
        <f aca="false">IF(C7086="","",C7086*D7086/100)</f>
        <v/>
      </c>
      <c r="F7086" s="15" t="str">
        <f aca="false">IF(B7086&lt;5,"Go","Standard")</f>
        <v>Standard</v>
      </c>
    </row>
    <row r="7087" customFormat="false" ht="15" hidden="false" customHeight="true" outlineLevel="0" collapsed="false">
      <c r="A7087" s="10" t="n">
        <f aca="false">Einstellungen!$B$5+INT((ROW()-9)/24)</f>
        <v>46260</v>
      </c>
      <c r="B7087" s="11" t="n">
        <f aca="false">MOD(ROW()-9,24)</f>
        <v>22</v>
      </c>
      <c r="C7087" s="12"/>
      <c r="D7087" s="13" t="n">
        <f aca="false">IF(B7087&lt;5,Einstellungen!$B$3,Einstellungen!$B$4)</f>
        <v>29.13</v>
      </c>
      <c r="E7087" s="14" t="str">
        <f aca="false">IF(C7087="","",C7087*D7087/100)</f>
        <v/>
      </c>
      <c r="F7087" s="15" t="str">
        <f aca="false">IF(B7087&lt;5,"Go","Standard")</f>
        <v>Standard</v>
      </c>
    </row>
    <row r="7088" customFormat="false" ht="15" hidden="false" customHeight="true" outlineLevel="0" collapsed="false">
      <c r="A7088" s="10" t="n">
        <f aca="false">Einstellungen!$B$5+INT((ROW()-9)/24)</f>
        <v>46260</v>
      </c>
      <c r="B7088" s="11" t="n">
        <f aca="false">MOD(ROW()-9,24)</f>
        <v>23</v>
      </c>
      <c r="C7088" s="12"/>
      <c r="D7088" s="13" t="n">
        <f aca="false">IF(B7088&lt;5,Einstellungen!$B$3,Einstellungen!$B$4)</f>
        <v>29.13</v>
      </c>
      <c r="E7088" s="14" t="str">
        <f aca="false">IF(C7088="","",C7088*D7088/100)</f>
        <v/>
      </c>
      <c r="F7088" s="15" t="str">
        <f aca="false">IF(B7088&lt;5,"Go","Standard")</f>
        <v>Standard</v>
      </c>
    </row>
    <row r="7089" customFormat="false" ht="15" hidden="false" customHeight="true" outlineLevel="0" collapsed="false">
      <c r="A7089" s="10" t="n">
        <f aca="false">Einstellungen!$B$5+INT((ROW()-9)/24)</f>
        <v>46261</v>
      </c>
      <c r="B7089" s="11" t="n">
        <f aca="false">MOD(ROW()-9,24)</f>
        <v>0</v>
      </c>
      <c r="C7089" s="12"/>
      <c r="D7089" s="13" t="n">
        <f aca="false">IF(B7089&lt;5,Einstellungen!$B$3,Einstellungen!$B$4)</f>
        <v>15.92</v>
      </c>
      <c r="E7089" s="14" t="str">
        <f aca="false">IF(C7089="","",C7089*D7089/100)</f>
        <v/>
      </c>
      <c r="F7089" s="15" t="str">
        <f aca="false">IF(B7089&lt;5,"Go","Standard")</f>
        <v>Go</v>
      </c>
    </row>
    <row r="7090" customFormat="false" ht="15" hidden="false" customHeight="true" outlineLevel="0" collapsed="false">
      <c r="A7090" s="10" t="n">
        <f aca="false">Einstellungen!$B$5+INT((ROW()-9)/24)</f>
        <v>46261</v>
      </c>
      <c r="B7090" s="11" t="n">
        <f aca="false">MOD(ROW()-9,24)</f>
        <v>1</v>
      </c>
      <c r="C7090" s="12"/>
      <c r="D7090" s="13" t="n">
        <f aca="false">IF(B7090&lt;5,Einstellungen!$B$3,Einstellungen!$B$4)</f>
        <v>15.92</v>
      </c>
      <c r="E7090" s="14" t="str">
        <f aca="false">IF(C7090="","",C7090*D7090/100)</f>
        <v/>
      </c>
      <c r="F7090" s="15" t="str">
        <f aca="false">IF(B7090&lt;5,"Go","Standard")</f>
        <v>Go</v>
      </c>
    </row>
    <row r="7091" customFormat="false" ht="15" hidden="false" customHeight="true" outlineLevel="0" collapsed="false">
      <c r="A7091" s="10" t="n">
        <f aca="false">Einstellungen!$B$5+INT((ROW()-9)/24)</f>
        <v>46261</v>
      </c>
      <c r="B7091" s="11" t="n">
        <f aca="false">MOD(ROW()-9,24)</f>
        <v>2</v>
      </c>
      <c r="C7091" s="12"/>
      <c r="D7091" s="13" t="n">
        <f aca="false">IF(B7091&lt;5,Einstellungen!$B$3,Einstellungen!$B$4)</f>
        <v>15.92</v>
      </c>
      <c r="E7091" s="14" t="str">
        <f aca="false">IF(C7091="","",C7091*D7091/100)</f>
        <v/>
      </c>
      <c r="F7091" s="15" t="str">
        <f aca="false">IF(B7091&lt;5,"Go","Standard")</f>
        <v>Go</v>
      </c>
    </row>
    <row r="7092" customFormat="false" ht="15" hidden="false" customHeight="true" outlineLevel="0" collapsed="false">
      <c r="A7092" s="10" t="n">
        <f aca="false">Einstellungen!$B$5+INT((ROW()-9)/24)</f>
        <v>46261</v>
      </c>
      <c r="B7092" s="11" t="n">
        <f aca="false">MOD(ROW()-9,24)</f>
        <v>3</v>
      </c>
      <c r="C7092" s="12"/>
      <c r="D7092" s="13" t="n">
        <f aca="false">IF(B7092&lt;5,Einstellungen!$B$3,Einstellungen!$B$4)</f>
        <v>15.92</v>
      </c>
      <c r="E7092" s="14" t="str">
        <f aca="false">IF(C7092="","",C7092*D7092/100)</f>
        <v/>
      </c>
      <c r="F7092" s="15" t="str">
        <f aca="false">IF(B7092&lt;5,"Go","Standard")</f>
        <v>Go</v>
      </c>
    </row>
    <row r="7093" customFormat="false" ht="15" hidden="false" customHeight="true" outlineLevel="0" collapsed="false">
      <c r="A7093" s="10" t="n">
        <f aca="false">Einstellungen!$B$5+INT((ROW()-9)/24)</f>
        <v>46261</v>
      </c>
      <c r="B7093" s="11" t="n">
        <f aca="false">MOD(ROW()-9,24)</f>
        <v>4</v>
      </c>
      <c r="C7093" s="12"/>
      <c r="D7093" s="13" t="n">
        <f aca="false">IF(B7093&lt;5,Einstellungen!$B$3,Einstellungen!$B$4)</f>
        <v>15.92</v>
      </c>
      <c r="E7093" s="14" t="str">
        <f aca="false">IF(C7093="","",C7093*D7093/100)</f>
        <v/>
      </c>
      <c r="F7093" s="15" t="str">
        <f aca="false">IF(B7093&lt;5,"Go","Standard")</f>
        <v>Go</v>
      </c>
    </row>
    <row r="7094" customFormat="false" ht="15" hidden="false" customHeight="true" outlineLevel="0" collapsed="false">
      <c r="A7094" s="10" t="n">
        <f aca="false">Einstellungen!$B$5+INT((ROW()-9)/24)</f>
        <v>46261</v>
      </c>
      <c r="B7094" s="11" t="n">
        <f aca="false">MOD(ROW()-9,24)</f>
        <v>5</v>
      </c>
      <c r="C7094" s="12"/>
      <c r="D7094" s="13" t="n">
        <f aca="false">IF(B7094&lt;5,Einstellungen!$B$3,Einstellungen!$B$4)</f>
        <v>29.13</v>
      </c>
      <c r="E7094" s="14" t="str">
        <f aca="false">IF(C7094="","",C7094*D7094/100)</f>
        <v/>
      </c>
      <c r="F7094" s="15" t="str">
        <f aca="false">IF(B7094&lt;5,"Go","Standard")</f>
        <v>Standard</v>
      </c>
    </row>
    <row r="7095" customFormat="false" ht="15" hidden="false" customHeight="true" outlineLevel="0" collapsed="false">
      <c r="A7095" s="10" t="n">
        <f aca="false">Einstellungen!$B$5+INT((ROW()-9)/24)</f>
        <v>46261</v>
      </c>
      <c r="B7095" s="11" t="n">
        <f aca="false">MOD(ROW()-9,24)</f>
        <v>6</v>
      </c>
      <c r="C7095" s="12"/>
      <c r="D7095" s="13" t="n">
        <f aca="false">IF(B7095&lt;5,Einstellungen!$B$3,Einstellungen!$B$4)</f>
        <v>29.13</v>
      </c>
      <c r="E7095" s="14" t="str">
        <f aca="false">IF(C7095="","",C7095*D7095/100)</f>
        <v/>
      </c>
      <c r="F7095" s="15" t="str">
        <f aca="false">IF(B7095&lt;5,"Go","Standard")</f>
        <v>Standard</v>
      </c>
    </row>
    <row r="7096" customFormat="false" ht="15" hidden="false" customHeight="true" outlineLevel="0" collapsed="false">
      <c r="A7096" s="10" t="n">
        <f aca="false">Einstellungen!$B$5+INT((ROW()-9)/24)</f>
        <v>46261</v>
      </c>
      <c r="B7096" s="11" t="n">
        <f aca="false">MOD(ROW()-9,24)</f>
        <v>7</v>
      </c>
      <c r="C7096" s="12"/>
      <c r="D7096" s="13" t="n">
        <f aca="false">IF(B7096&lt;5,Einstellungen!$B$3,Einstellungen!$B$4)</f>
        <v>29.13</v>
      </c>
      <c r="E7096" s="14" t="str">
        <f aca="false">IF(C7096="","",C7096*D7096/100)</f>
        <v/>
      </c>
      <c r="F7096" s="15" t="str">
        <f aca="false">IF(B7096&lt;5,"Go","Standard")</f>
        <v>Standard</v>
      </c>
    </row>
    <row r="7097" customFormat="false" ht="15" hidden="false" customHeight="true" outlineLevel="0" collapsed="false">
      <c r="A7097" s="10" t="n">
        <f aca="false">Einstellungen!$B$5+INT((ROW()-9)/24)</f>
        <v>46261</v>
      </c>
      <c r="B7097" s="11" t="n">
        <f aca="false">MOD(ROW()-9,24)</f>
        <v>8</v>
      </c>
      <c r="C7097" s="12"/>
      <c r="D7097" s="13" t="n">
        <f aca="false">IF(B7097&lt;5,Einstellungen!$B$3,Einstellungen!$B$4)</f>
        <v>29.13</v>
      </c>
      <c r="E7097" s="14" t="str">
        <f aca="false">IF(C7097="","",C7097*D7097/100)</f>
        <v/>
      </c>
      <c r="F7097" s="15" t="str">
        <f aca="false">IF(B7097&lt;5,"Go","Standard")</f>
        <v>Standard</v>
      </c>
    </row>
    <row r="7098" customFormat="false" ht="15" hidden="false" customHeight="true" outlineLevel="0" collapsed="false">
      <c r="A7098" s="10" t="n">
        <f aca="false">Einstellungen!$B$5+INT((ROW()-9)/24)</f>
        <v>46261</v>
      </c>
      <c r="B7098" s="11" t="n">
        <f aca="false">MOD(ROW()-9,24)</f>
        <v>9</v>
      </c>
      <c r="C7098" s="12"/>
      <c r="D7098" s="13" t="n">
        <f aca="false">IF(B7098&lt;5,Einstellungen!$B$3,Einstellungen!$B$4)</f>
        <v>29.13</v>
      </c>
      <c r="E7098" s="14" t="str">
        <f aca="false">IF(C7098="","",C7098*D7098/100)</f>
        <v/>
      </c>
      <c r="F7098" s="15" t="str">
        <f aca="false">IF(B7098&lt;5,"Go","Standard")</f>
        <v>Standard</v>
      </c>
    </row>
    <row r="7099" customFormat="false" ht="15" hidden="false" customHeight="true" outlineLevel="0" collapsed="false">
      <c r="A7099" s="10" t="n">
        <f aca="false">Einstellungen!$B$5+INT((ROW()-9)/24)</f>
        <v>46261</v>
      </c>
      <c r="B7099" s="11" t="n">
        <f aca="false">MOD(ROW()-9,24)</f>
        <v>10</v>
      </c>
      <c r="C7099" s="12"/>
      <c r="D7099" s="13" t="n">
        <f aca="false">IF(B7099&lt;5,Einstellungen!$B$3,Einstellungen!$B$4)</f>
        <v>29.13</v>
      </c>
      <c r="E7099" s="14" t="str">
        <f aca="false">IF(C7099="","",C7099*D7099/100)</f>
        <v/>
      </c>
      <c r="F7099" s="15" t="str">
        <f aca="false">IF(B7099&lt;5,"Go","Standard")</f>
        <v>Standard</v>
      </c>
    </row>
    <row r="7100" customFormat="false" ht="15" hidden="false" customHeight="true" outlineLevel="0" collapsed="false">
      <c r="A7100" s="10" t="n">
        <f aca="false">Einstellungen!$B$5+INT((ROW()-9)/24)</f>
        <v>46261</v>
      </c>
      <c r="B7100" s="11" t="n">
        <f aca="false">MOD(ROW()-9,24)</f>
        <v>11</v>
      </c>
      <c r="C7100" s="12"/>
      <c r="D7100" s="13" t="n">
        <f aca="false">IF(B7100&lt;5,Einstellungen!$B$3,Einstellungen!$B$4)</f>
        <v>29.13</v>
      </c>
      <c r="E7100" s="14" t="str">
        <f aca="false">IF(C7100="","",C7100*D7100/100)</f>
        <v/>
      </c>
      <c r="F7100" s="15" t="str">
        <f aca="false">IF(B7100&lt;5,"Go","Standard")</f>
        <v>Standard</v>
      </c>
    </row>
    <row r="7101" customFormat="false" ht="15" hidden="false" customHeight="true" outlineLevel="0" collapsed="false">
      <c r="A7101" s="10" t="n">
        <f aca="false">Einstellungen!$B$5+INT((ROW()-9)/24)</f>
        <v>46261</v>
      </c>
      <c r="B7101" s="11" t="n">
        <f aca="false">MOD(ROW()-9,24)</f>
        <v>12</v>
      </c>
      <c r="C7101" s="12"/>
      <c r="D7101" s="13" t="n">
        <f aca="false">IF(B7101&lt;5,Einstellungen!$B$3,Einstellungen!$B$4)</f>
        <v>29.13</v>
      </c>
      <c r="E7101" s="14" t="str">
        <f aca="false">IF(C7101="","",C7101*D7101/100)</f>
        <v/>
      </c>
      <c r="F7101" s="15" t="str">
        <f aca="false">IF(B7101&lt;5,"Go","Standard")</f>
        <v>Standard</v>
      </c>
    </row>
    <row r="7102" customFormat="false" ht="15" hidden="false" customHeight="true" outlineLevel="0" collapsed="false">
      <c r="A7102" s="10" t="n">
        <f aca="false">Einstellungen!$B$5+INT((ROW()-9)/24)</f>
        <v>46261</v>
      </c>
      <c r="B7102" s="11" t="n">
        <f aca="false">MOD(ROW()-9,24)</f>
        <v>13</v>
      </c>
      <c r="C7102" s="12"/>
      <c r="D7102" s="13" t="n">
        <f aca="false">IF(B7102&lt;5,Einstellungen!$B$3,Einstellungen!$B$4)</f>
        <v>29.13</v>
      </c>
      <c r="E7102" s="14" t="str">
        <f aca="false">IF(C7102="","",C7102*D7102/100)</f>
        <v/>
      </c>
      <c r="F7102" s="15" t="str">
        <f aca="false">IF(B7102&lt;5,"Go","Standard")</f>
        <v>Standard</v>
      </c>
    </row>
    <row r="7103" customFormat="false" ht="15" hidden="false" customHeight="true" outlineLevel="0" collapsed="false">
      <c r="A7103" s="10" t="n">
        <f aca="false">Einstellungen!$B$5+INT((ROW()-9)/24)</f>
        <v>46261</v>
      </c>
      <c r="B7103" s="11" t="n">
        <f aca="false">MOD(ROW()-9,24)</f>
        <v>14</v>
      </c>
      <c r="C7103" s="12"/>
      <c r="D7103" s="13" t="n">
        <f aca="false">IF(B7103&lt;5,Einstellungen!$B$3,Einstellungen!$B$4)</f>
        <v>29.13</v>
      </c>
      <c r="E7103" s="14" t="str">
        <f aca="false">IF(C7103="","",C7103*D7103/100)</f>
        <v/>
      </c>
      <c r="F7103" s="15" t="str">
        <f aca="false">IF(B7103&lt;5,"Go","Standard")</f>
        <v>Standard</v>
      </c>
    </row>
    <row r="7104" customFormat="false" ht="15" hidden="false" customHeight="true" outlineLevel="0" collapsed="false">
      <c r="A7104" s="10" t="n">
        <f aca="false">Einstellungen!$B$5+INT((ROW()-9)/24)</f>
        <v>46261</v>
      </c>
      <c r="B7104" s="11" t="n">
        <f aca="false">MOD(ROW()-9,24)</f>
        <v>15</v>
      </c>
      <c r="C7104" s="12"/>
      <c r="D7104" s="13" t="n">
        <f aca="false">IF(B7104&lt;5,Einstellungen!$B$3,Einstellungen!$B$4)</f>
        <v>29.13</v>
      </c>
      <c r="E7104" s="14" t="str">
        <f aca="false">IF(C7104="","",C7104*D7104/100)</f>
        <v/>
      </c>
      <c r="F7104" s="15" t="str">
        <f aca="false">IF(B7104&lt;5,"Go","Standard")</f>
        <v>Standard</v>
      </c>
    </row>
    <row r="7105" customFormat="false" ht="15" hidden="false" customHeight="true" outlineLevel="0" collapsed="false">
      <c r="A7105" s="10" t="n">
        <f aca="false">Einstellungen!$B$5+INT((ROW()-9)/24)</f>
        <v>46261</v>
      </c>
      <c r="B7105" s="11" t="n">
        <f aca="false">MOD(ROW()-9,24)</f>
        <v>16</v>
      </c>
      <c r="C7105" s="12"/>
      <c r="D7105" s="13" t="n">
        <f aca="false">IF(B7105&lt;5,Einstellungen!$B$3,Einstellungen!$B$4)</f>
        <v>29.13</v>
      </c>
      <c r="E7105" s="14" t="str">
        <f aca="false">IF(C7105="","",C7105*D7105/100)</f>
        <v/>
      </c>
      <c r="F7105" s="15" t="str">
        <f aca="false">IF(B7105&lt;5,"Go","Standard")</f>
        <v>Standard</v>
      </c>
    </row>
    <row r="7106" customFormat="false" ht="15" hidden="false" customHeight="true" outlineLevel="0" collapsed="false">
      <c r="A7106" s="10" t="n">
        <f aca="false">Einstellungen!$B$5+INT((ROW()-9)/24)</f>
        <v>46261</v>
      </c>
      <c r="B7106" s="11" t="n">
        <f aca="false">MOD(ROW()-9,24)</f>
        <v>17</v>
      </c>
      <c r="C7106" s="12"/>
      <c r="D7106" s="13" t="n">
        <f aca="false">IF(B7106&lt;5,Einstellungen!$B$3,Einstellungen!$B$4)</f>
        <v>29.13</v>
      </c>
      <c r="E7106" s="14" t="str">
        <f aca="false">IF(C7106="","",C7106*D7106/100)</f>
        <v/>
      </c>
      <c r="F7106" s="15" t="str">
        <f aca="false">IF(B7106&lt;5,"Go","Standard")</f>
        <v>Standard</v>
      </c>
    </row>
    <row r="7107" customFormat="false" ht="15" hidden="false" customHeight="true" outlineLevel="0" collapsed="false">
      <c r="A7107" s="10" t="n">
        <f aca="false">Einstellungen!$B$5+INT((ROW()-9)/24)</f>
        <v>46261</v>
      </c>
      <c r="B7107" s="11" t="n">
        <f aca="false">MOD(ROW()-9,24)</f>
        <v>18</v>
      </c>
      <c r="C7107" s="12"/>
      <c r="D7107" s="13" t="n">
        <f aca="false">IF(B7107&lt;5,Einstellungen!$B$3,Einstellungen!$B$4)</f>
        <v>29.13</v>
      </c>
      <c r="E7107" s="14" t="str">
        <f aca="false">IF(C7107="","",C7107*D7107/100)</f>
        <v/>
      </c>
      <c r="F7107" s="15" t="str">
        <f aca="false">IF(B7107&lt;5,"Go","Standard")</f>
        <v>Standard</v>
      </c>
    </row>
    <row r="7108" customFormat="false" ht="15" hidden="false" customHeight="true" outlineLevel="0" collapsed="false">
      <c r="A7108" s="10" t="n">
        <f aca="false">Einstellungen!$B$5+INT((ROW()-9)/24)</f>
        <v>46261</v>
      </c>
      <c r="B7108" s="11" t="n">
        <f aca="false">MOD(ROW()-9,24)</f>
        <v>19</v>
      </c>
      <c r="C7108" s="12"/>
      <c r="D7108" s="13" t="n">
        <f aca="false">IF(B7108&lt;5,Einstellungen!$B$3,Einstellungen!$B$4)</f>
        <v>29.13</v>
      </c>
      <c r="E7108" s="14" t="str">
        <f aca="false">IF(C7108="","",C7108*D7108/100)</f>
        <v/>
      </c>
      <c r="F7108" s="15" t="str">
        <f aca="false">IF(B7108&lt;5,"Go","Standard")</f>
        <v>Standard</v>
      </c>
    </row>
    <row r="7109" customFormat="false" ht="15" hidden="false" customHeight="true" outlineLevel="0" collapsed="false">
      <c r="A7109" s="10" t="n">
        <f aca="false">Einstellungen!$B$5+INT((ROW()-9)/24)</f>
        <v>46261</v>
      </c>
      <c r="B7109" s="11" t="n">
        <f aca="false">MOD(ROW()-9,24)</f>
        <v>20</v>
      </c>
      <c r="C7109" s="12"/>
      <c r="D7109" s="13" t="n">
        <f aca="false">IF(B7109&lt;5,Einstellungen!$B$3,Einstellungen!$B$4)</f>
        <v>29.13</v>
      </c>
      <c r="E7109" s="14" t="str">
        <f aca="false">IF(C7109="","",C7109*D7109/100)</f>
        <v/>
      </c>
      <c r="F7109" s="15" t="str">
        <f aca="false">IF(B7109&lt;5,"Go","Standard")</f>
        <v>Standard</v>
      </c>
    </row>
    <row r="7110" customFormat="false" ht="15" hidden="false" customHeight="true" outlineLevel="0" collapsed="false">
      <c r="A7110" s="10" t="n">
        <f aca="false">Einstellungen!$B$5+INT((ROW()-9)/24)</f>
        <v>46261</v>
      </c>
      <c r="B7110" s="11" t="n">
        <f aca="false">MOD(ROW()-9,24)</f>
        <v>21</v>
      </c>
      <c r="C7110" s="12"/>
      <c r="D7110" s="13" t="n">
        <f aca="false">IF(B7110&lt;5,Einstellungen!$B$3,Einstellungen!$B$4)</f>
        <v>29.13</v>
      </c>
      <c r="E7110" s="14" t="str">
        <f aca="false">IF(C7110="","",C7110*D7110/100)</f>
        <v/>
      </c>
      <c r="F7110" s="15" t="str">
        <f aca="false">IF(B7110&lt;5,"Go","Standard")</f>
        <v>Standard</v>
      </c>
    </row>
    <row r="7111" customFormat="false" ht="15" hidden="false" customHeight="true" outlineLevel="0" collapsed="false">
      <c r="A7111" s="10" t="n">
        <f aca="false">Einstellungen!$B$5+INT((ROW()-9)/24)</f>
        <v>46261</v>
      </c>
      <c r="B7111" s="11" t="n">
        <f aca="false">MOD(ROW()-9,24)</f>
        <v>22</v>
      </c>
      <c r="C7111" s="12"/>
      <c r="D7111" s="13" t="n">
        <f aca="false">IF(B7111&lt;5,Einstellungen!$B$3,Einstellungen!$B$4)</f>
        <v>29.13</v>
      </c>
      <c r="E7111" s="14" t="str">
        <f aca="false">IF(C7111="","",C7111*D7111/100)</f>
        <v/>
      </c>
      <c r="F7111" s="15" t="str">
        <f aca="false">IF(B7111&lt;5,"Go","Standard")</f>
        <v>Standard</v>
      </c>
    </row>
    <row r="7112" customFormat="false" ht="15" hidden="false" customHeight="true" outlineLevel="0" collapsed="false">
      <c r="A7112" s="10" t="n">
        <f aca="false">Einstellungen!$B$5+INT((ROW()-9)/24)</f>
        <v>46261</v>
      </c>
      <c r="B7112" s="11" t="n">
        <f aca="false">MOD(ROW()-9,24)</f>
        <v>23</v>
      </c>
      <c r="C7112" s="12"/>
      <c r="D7112" s="13" t="n">
        <f aca="false">IF(B7112&lt;5,Einstellungen!$B$3,Einstellungen!$B$4)</f>
        <v>29.13</v>
      </c>
      <c r="E7112" s="14" t="str">
        <f aca="false">IF(C7112="","",C7112*D7112/100)</f>
        <v/>
      </c>
      <c r="F7112" s="15" t="str">
        <f aca="false">IF(B7112&lt;5,"Go","Standard")</f>
        <v>Standard</v>
      </c>
    </row>
    <row r="7113" customFormat="false" ht="15" hidden="false" customHeight="true" outlineLevel="0" collapsed="false">
      <c r="A7113" s="10" t="n">
        <f aca="false">Einstellungen!$B$5+INT((ROW()-9)/24)</f>
        <v>46262</v>
      </c>
      <c r="B7113" s="11" t="n">
        <f aca="false">MOD(ROW()-9,24)</f>
        <v>0</v>
      </c>
      <c r="C7113" s="12"/>
      <c r="D7113" s="13" t="n">
        <f aca="false">IF(B7113&lt;5,Einstellungen!$B$3,Einstellungen!$B$4)</f>
        <v>15.92</v>
      </c>
      <c r="E7113" s="14" t="str">
        <f aca="false">IF(C7113="","",C7113*D7113/100)</f>
        <v/>
      </c>
      <c r="F7113" s="15" t="str">
        <f aca="false">IF(B7113&lt;5,"Go","Standard")</f>
        <v>Go</v>
      </c>
    </row>
    <row r="7114" customFormat="false" ht="15" hidden="false" customHeight="true" outlineLevel="0" collapsed="false">
      <c r="A7114" s="10" t="n">
        <f aca="false">Einstellungen!$B$5+INT((ROW()-9)/24)</f>
        <v>46262</v>
      </c>
      <c r="B7114" s="11" t="n">
        <f aca="false">MOD(ROW()-9,24)</f>
        <v>1</v>
      </c>
      <c r="C7114" s="12"/>
      <c r="D7114" s="13" t="n">
        <f aca="false">IF(B7114&lt;5,Einstellungen!$B$3,Einstellungen!$B$4)</f>
        <v>15.92</v>
      </c>
      <c r="E7114" s="14" t="str">
        <f aca="false">IF(C7114="","",C7114*D7114/100)</f>
        <v/>
      </c>
      <c r="F7114" s="15" t="str">
        <f aca="false">IF(B7114&lt;5,"Go","Standard")</f>
        <v>Go</v>
      </c>
    </row>
    <row r="7115" customFormat="false" ht="15" hidden="false" customHeight="true" outlineLevel="0" collapsed="false">
      <c r="A7115" s="10" t="n">
        <f aca="false">Einstellungen!$B$5+INT((ROW()-9)/24)</f>
        <v>46262</v>
      </c>
      <c r="B7115" s="11" t="n">
        <f aca="false">MOD(ROW()-9,24)</f>
        <v>2</v>
      </c>
      <c r="C7115" s="12"/>
      <c r="D7115" s="13" t="n">
        <f aca="false">IF(B7115&lt;5,Einstellungen!$B$3,Einstellungen!$B$4)</f>
        <v>15.92</v>
      </c>
      <c r="E7115" s="14" t="str">
        <f aca="false">IF(C7115="","",C7115*D7115/100)</f>
        <v/>
      </c>
      <c r="F7115" s="15" t="str">
        <f aca="false">IF(B7115&lt;5,"Go","Standard")</f>
        <v>Go</v>
      </c>
    </row>
    <row r="7116" customFormat="false" ht="15" hidden="false" customHeight="true" outlineLevel="0" collapsed="false">
      <c r="A7116" s="10" t="n">
        <f aca="false">Einstellungen!$B$5+INT((ROW()-9)/24)</f>
        <v>46262</v>
      </c>
      <c r="B7116" s="11" t="n">
        <f aca="false">MOD(ROW()-9,24)</f>
        <v>3</v>
      </c>
      <c r="C7116" s="12"/>
      <c r="D7116" s="13" t="n">
        <f aca="false">IF(B7116&lt;5,Einstellungen!$B$3,Einstellungen!$B$4)</f>
        <v>15.92</v>
      </c>
      <c r="E7116" s="14" t="str">
        <f aca="false">IF(C7116="","",C7116*D7116/100)</f>
        <v/>
      </c>
      <c r="F7116" s="15" t="str">
        <f aca="false">IF(B7116&lt;5,"Go","Standard")</f>
        <v>Go</v>
      </c>
    </row>
    <row r="7117" customFormat="false" ht="15" hidden="false" customHeight="true" outlineLevel="0" collapsed="false">
      <c r="A7117" s="10" t="n">
        <f aca="false">Einstellungen!$B$5+INT((ROW()-9)/24)</f>
        <v>46262</v>
      </c>
      <c r="B7117" s="11" t="n">
        <f aca="false">MOD(ROW()-9,24)</f>
        <v>4</v>
      </c>
      <c r="C7117" s="12"/>
      <c r="D7117" s="13" t="n">
        <f aca="false">IF(B7117&lt;5,Einstellungen!$B$3,Einstellungen!$B$4)</f>
        <v>15.92</v>
      </c>
      <c r="E7117" s="14" t="str">
        <f aca="false">IF(C7117="","",C7117*D7117/100)</f>
        <v/>
      </c>
      <c r="F7117" s="15" t="str">
        <f aca="false">IF(B7117&lt;5,"Go","Standard")</f>
        <v>Go</v>
      </c>
    </row>
    <row r="7118" customFormat="false" ht="15" hidden="false" customHeight="true" outlineLevel="0" collapsed="false">
      <c r="A7118" s="10" t="n">
        <f aca="false">Einstellungen!$B$5+INT((ROW()-9)/24)</f>
        <v>46262</v>
      </c>
      <c r="B7118" s="11" t="n">
        <f aca="false">MOD(ROW()-9,24)</f>
        <v>5</v>
      </c>
      <c r="C7118" s="12"/>
      <c r="D7118" s="13" t="n">
        <f aca="false">IF(B7118&lt;5,Einstellungen!$B$3,Einstellungen!$B$4)</f>
        <v>29.13</v>
      </c>
      <c r="E7118" s="14" t="str">
        <f aca="false">IF(C7118="","",C7118*D7118/100)</f>
        <v/>
      </c>
      <c r="F7118" s="15" t="str">
        <f aca="false">IF(B7118&lt;5,"Go","Standard")</f>
        <v>Standard</v>
      </c>
    </row>
    <row r="7119" customFormat="false" ht="15" hidden="false" customHeight="true" outlineLevel="0" collapsed="false">
      <c r="A7119" s="10" t="n">
        <f aca="false">Einstellungen!$B$5+INT((ROW()-9)/24)</f>
        <v>46262</v>
      </c>
      <c r="B7119" s="11" t="n">
        <f aca="false">MOD(ROW()-9,24)</f>
        <v>6</v>
      </c>
      <c r="C7119" s="12"/>
      <c r="D7119" s="13" t="n">
        <f aca="false">IF(B7119&lt;5,Einstellungen!$B$3,Einstellungen!$B$4)</f>
        <v>29.13</v>
      </c>
      <c r="E7119" s="14" t="str">
        <f aca="false">IF(C7119="","",C7119*D7119/100)</f>
        <v/>
      </c>
      <c r="F7119" s="15" t="str">
        <f aca="false">IF(B7119&lt;5,"Go","Standard")</f>
        <v>Standard</v>
      </c>
    </row>
    <row r="7120" customFormat="false" ht="15" hidden="false" customHeight="true" outlineLevel="0" collapsed="false">
      <c r="A7120" s="10" t="n">
        <f aca="false">Einstellungen!$B$5+INT((ROW()-9)/24)</f>
        <v>46262</v>
      </c>
      <c r="B7120" s="11" t="n">
        <f aca="false">MOD(ROW()-9,24)</f>
        <v>7</v>
      </c>
      <c r="C7120" s="12"/>
      <c r="D7120" s="13" t="n">
        <f aca="false">IF(B7120&lt;5,Einstellungen!$B$3,Einstellungen!$B$4)</f>
        <v>29.13</v>
      </c>
      <c r="E7120" s="14" t="str">
        <f aca="false">IF(C7120="","",C7120*D7120/100)</f>
        <v/>
      </c>
      <c r="F7120" s="15" t="str">
        <f aca="false">IF(B7120&lt;5,"Go","Standard")</f>
        <v>Standard</v>
      </c>
    </row>
    <row r="7121" customFormat="false" ht="15" hidden="false" customHeight="true" outlineLevel="0" collapsed="false">
      <c r="A7121" s="10" t="n">
        <f aca="false">Einstellungen!$B$5+INT((ROW()-9)/24)</f>
        <v>46262</v>
      </c>
      <c r="B7121" s="11" t="n">
        <f aca="false">MOD(ROW()-9,24)</f>
        <v>8</v>
      </c>
      <c r="C7121" s="12"/>
      <c r="D7121" s="13" t="n">
        <f aca="false">IF(B7121&lt;5,Einstellungen!$B$3,Einstellungen!$B$4)</f>
        <v>29.13</v>
      </c>
      <c r="E7121" s="14" t="str">
        <f aca="false">IF(C7121="","",C7121*D7121/100)</f>
        <v/>
      </c>
      <c r="F7121" s="15" t="str">
        <f aca="false">IF(B7121&lt;5,"Go","Standard")</f>
        <v>Standard</v>
      </c>
    </row>
    <row r="7122" customFormat="false" ht="15" hidden="false" customHeight="true" outlineLevel="0" collapsed="false">
      <c r="A7122" s="10" t="n">
        <f aca="false">Einstellungen!$B$5+INT((ROW()-9)/24)</f>
        <v>46262</v>
      </c>
      <c r="B7122" s="11" t="n">
        <f aca="false">MOD(ROW()-9,24)</f>
        <v>9</v>
      </c>
      <c r="C7122" s="12"/>
      <c r="D7122" s="13" t="n">
        <f aca="false">IF(B7122&lt;5,Einstellungen!$B$3,Einstellungen!$B$4)</f>
        <v>29.13</v>
      </c>
      <c r="E7122" s="14" t="str">
        <f aca="false">IF(C7122="","",C7122*D7122/100)</f>
        <v/>
      </c>
      <c r="F7122" s="15" t="str">
        <f aca="false">IF(B7122&lt;5,"Go","Standard")</f>
        <v>Standard</v>
      </c>
    </row>
    <row r="7123" customFormat="false" ht="15" hidden="false" customHeight="true" outlineLevel="0" collapsed="false">
      <c r="A7123" s="10" t="n">
        <f aca="false">Einstellungen!$B$5+INT((ROW()-9)/24)</f>
        <v>46262</v>
      </c>
      <c r="B7123" s="11" t="n">
        <f aca="false">MOD(ROW()-9,24)</f>
        <v>10</v>
      </c>
      <c r="C7123" s="12"/>
      <c r="D7123" s="13" t="n">
        <f aca="false">IF(B7123&lt;5,Einstellungen!$B$3,Einstellungen!$B$4)</f>
        <v>29.13</v>
      </c>
      <c r="E7123" s="14" t="str">
        <f aca="false">IF(C7123="","",C7123*D7123/100)</f>
        <v/>
      </c>
      <c r="F7123" s="15" t="str">
        <f aca="false">IF(B7123&lt;5,"Go","Standard")</f>
        <v>Standard</v>
      </c>
    </row>
    <row r="7124" customFormat="false" ht="15" hidden="false" customHeight="true" outlineLevel="0" collapsed="false">
      <c r="A7124" s="10" t="n">
        <f aca="false">Einstellungen!$B$5+INT((ROW()-9)/24)</f>
        <v>46262</v>
      </c>
      <c r="B7124" s="11" t="n">
        <f aca="false">MOD(ROW()-9,24)</f>
        <v>11</v>
      </c>
      <c r="C7124" s="12"/>
      <c r="D7124" s="13" t="n">
        <f aca="false">IF(B7124&lt;5,Einstellungen!$B$3,Einstellungen!$B$4)</f>
        <v>29.13</v>
      </c>
      <c r="E7124" s="14" t="str">
        <f aca="false">IF(C7124="","",C7124*D7124/100)</f>
        <v/>
      </c>
      <c r="F7124" s="15" t="str">
        <f aca="false">IF(B7124&lt;5,"Go","Standard")</f>
        <v>Standard</v>
      </c>
    </row>
    <row r="7125" customFormat="false" ht="15" hidden="false" customHeight="true" outlineLevel="0" collapsed="false">
      <c r="A7125" s="10" t="n">
        <f aca="false">Einstellungen!$B$5+INT((ROW()-9)/24)</f>
        <v>46262</v>
      </c>
      <c r="B7125" s="11" t="n">
        <f aca="false">MOD(ROW()-9,24)</f>
        <v>12</v>
      </c>
      <c r="C7125" s="12"/>
      <c r="D7125" s="13" t="n">
        <f aca="false">IF(B7125&lt;5,Einstellungen!$B$3,Einstellungen!$B$4)</f>
        <v>29.13</v>
      </c>
      <c r="E7125" s="14" t="str">
        <f aca="false">IF(C7125="","",C7125*D7125/100)</f>
        <v/>
      </c>
      <c r="F7125" s="15" t="str">
        <f aca="false">IF(B7125&lt;5,"Go","Standard")</f>
        <v>Standard</v>
      </c>
    </row>
    <row r="7126" customFormat="false" ht="15" hidden="false" customHeight="true" outlineLevel="0" collapsed="false">
      <c r="A7126" s="10" t="n">
        <f aca="false">Einstellungen!$B$5+INT((ROW()-9)/24)</f>
        <v>46262</v>
      </c>
      <c r="B7126" s="11" t="n">
        <f aca="false">MOD(ROW()-9,24)</f>
        <v>13</v>
      </c>
      <c r="C7126" s="12"/>
      <c r="D7126" s="13" t="n">
        <f aca="false">IF(B7126&lt;5,Einstellungen!$B$3,Einstellungen!$B$4)</f>
        <v>29.13</v>
      </c>
      <c r="E7126" s="14" t="str">
        <f aca="false">IF(C7126="","",C7126*D7126/100)</f>
        <v/>
      </c>
      <c r="F7126" s="15" t="str">
        <f aca="false">IF(B7126&lt;5,"Go","Standard")</f>
        <v>Standard</v>
      </c>
    </row>
    <row r="7127" customFormat="false" ht="15" hidden="false" customHeight="true" outlineLevel="0" collapsed="false">
      <c r="A7127" s="10" t="n">
        <f aca="false">Einstellungen!$B$5+INT((ROW()-9)/24)</f>
        <v>46262</v>
      </c>
      <c r="B7127" s="11" t="n">
        <f aca="false">MOD(ROW()-9,24)</f>
        <v>14</v>
      </c>
      <c r="C7127" s="12"/>
      <c r="D7127" s="13" t="n">
        <f aca="false">IF(B7127&lt;5,Einstellungen!$B$3,Einstellungen!$B$4)</f>
        <v>29.13</v>
      </c>
      <c r="E7127" s="14" t="str">
        <f aca="false">IF(C7127="","",C7127*D7127/100)</f>
        <v/>
      </c>
      <c r="F7127" s="15" t="str">
        <f aca="false">IF(B7127&lt;5,"Go","Standard")</f>
        <v>Standard</v>
      </c>
    </row>
    <row r="7128" customFormat="false" ht="15" hidden="false" customHeight="true" outlineLevel="0" collapsed="false">
      <c r="A7128" s="10" t="n">
        <f aca="false">Einstellungen!$B$5+INT((ROW()-9)/24)</f>
        <v>46262</v>
      </c>
      <c r="B7128" s="11" t="n">
        <f aca="false">MOD(ROW()-9,24)</f>
        <v>15</v>
      </c>
      <c r="C7128" s="12"/>
      <c r="D7128" s="13" t="n">
        <f aca="false">IF(B7128&lt;5,Einstellungen!$B$3,Einstellungen!$B$4)</f>
        <v>29.13</v>
      </c>
      <c r="E7128" s="14" t="str">
        <f aca="false">IF(C7128="","",C7128*D7128/100)</f>
        <v/>
      </c>
      <c r="F7128" s="15" t="str">
        <f aca="false">IF(B7128&lt;5,"Go","Standard")</f>
        <v>Standard</v>
      </c>
    </row>
    <row r="7129" customFormat="false" ht="15" hidden="false" customHeight="true" outlineLevel="0" collapsed="false">
      <c r="A7129" s="10" t="n">
        <f aca="false">Einstellungen!$B$5+INT((ROW()-9)/24)</f>
        <v>46262</v>
      </c>
      <c r="B7129" s="11" t="n">
        <f aca="false">MOD(ROW()-9,24)</f>
        <v>16</v>
      </c>
      <c r="C7129" s="12"/>
      <c r="D7129" s="13" t="n">
        <f aca="false">IF(B7129&lt;5,Einstellungen!$B$3,Einstellungen!$B$4)</f>
        <v>29.13</v>
      </c>
      <c r="E7129" s="14" t="str">
        <f aca="false">IF(C7129="","",C7129*D7129/100)</f>
        <v/>
      </c>
      <c r="F7129" s="15" t="str">
        <f aca="false">IF(B7129&lt;5,"Go","Standard")</f>
        <v>Standard</v>
      </c>
    </row>
    <row r="7130" customFormat="false" ht="15" hidden="false" customHeight="true" outlineLevel="0" collapsed="false">
      <c r="A7130" s="10" t="n">
        <f aca="false">Einstellungen!$B$5+INT((ROW()-9)/24)</f>
        <v>46262</v>
      </c>
      <c r="B7130" s="11" t="n">
        <f aca="false">MOD(ROW()-9,24)</f>
        <v>17</v>
      </c>
      <c r="C7130" s="12"/>
      <c r="D7130" s="13" t="n">
        <f aca="false">IF(B7130&lt;5,Einstellungen!$B$3,Einstellungen!$B$4)</f>
        <v>29.13</v>
      </c>
      <c r="E7130" s="14" t="str">
        <f aca="false">IF(C7130="","",C7130*D7130/100)</f>
        <v/>
      </c>
      <c r="F7130" s="15" t="str">
        <f aca="false">IF(B7130&lt;5,"Go","Standard")</f>
        <v>Standard</v>
      </c>
    </row>
    <row r="7131" customFormat="false" ht="15" hidden="false" customHeight="true" outlineLevel="0" collapsed="false">
      <c r="A7131" s="10" t="n">
        <f aca="false">Einstellungen!$B$5+INT((ROW()-9)/24)</f>
        <v>46262</v>
      </c>
      <c r="B7131" s="11" t="n">
        <f aca="false">MOD(ROW()-9,24)</f>
        <v>18</v>
      </c>
      <c r="C7131" s="12"/>
      <c r="D7131" s="13" t="n">
        <f aca="false">IF(B7131&lt;5,Einstellungen!$B$3,Einstellungen!$B$4)</f>
        <v>29.13</v>
      </c>
      <c r="E7131" s="14" t="str">
        <f aca="false">IF(C7131="","",C7131*D7131/100)</f>
        <v/>
      </c>
      <c r="F7131" s="15" t="str">
        <f aca="false">IF(B7131&lt;5,"Go","Standard")</f>
        <v>Standard</v>
      </c>
    </row>
    <row r="7132" customFormat="false" ht="15" hidden="false" customHeight="true" outlineLevel="0" collapsed="false">
      <c r="A7132" s="10" t="n">
        <f aca="false">Einstellungen!$B$5+INT((ROW()-9)/24)</f>
        <v>46262</v>
      </c>
      <c r="B7132" s="11" t="n">
        <f aca="false">MOD(ROW()-9,24)</f>
        <v>19</v>
      </c>
      <c r="C7132" s="12"/>
      <c r="D7132" s="13" t="n">
        <f aca="false">IF(B7132&lt;5,Einstellungen!$B$3,Einstellungen!$B$4)</f>
        <v>29.13</v>
      </c>
      <c r="E7132" s="14" t="str">
        <f aca="false">IF(C7132="","",C7132*D7132/100)</f>
        <v/>
      </c>
      <c r="F7132" s="15" t="str">
        <f aca="false">IF(B7132&lt;5,"Go","Standard")</f>
        <v>Standard</v>
      </c>
    </row>
    <row r="7133" customFormat="false" ht="15" hidden="false" customHeight="true" outlineLevel="0" collapsed="false">
      <c r="A7133" s="10" t="n">
        <f aca="false">Einstellungen!$B$5+INT((ROW()-9)/24)</f>
        <v>46262</v>
      </c>
      <c r="B7133" s="11" t="n">
        <f aca="false">MOD(ROW()-9,24)</f>
        <v>20</v>
      </c>
      <c r="C7133" s="12"/>
      <c r="D7133" s="13" t="n">
        <f aca="false">IF(B7133&lt;5,Einstellungen!$B$3,Einstellungen!$B$4)</f>
        <v>29.13</v>
      </c>
      <c r="E7133" s="14" t="str">
        <f aca="false">IF(C7133="","",C7133*D7133/100)</f>
        <v/>
      </c>
      <c r="F7133" s="15" t="str">
        <f aca="false">IF(B7133&lt;5,"Go","Standard")</f>
        <v>Standard</v>
      </c>
    </row>
    <row r="7134" customFormat="false" ht="15" hidden="false" customHeight="true" outlineLevel="0" collapsed="false">
      <c r="A7134" s="10" t="n">
        <f aca="false">Einstellungen!$B$5+INT((ROW()-9)/24)</f>
        <v>46262</v>
      </c>
      <c r="B7134" s="11" t="n">
        <f aca="false">MOD(ROW()-9,24)</f>
        <v>21</v>
      </c>
      <c r="C7134" s="12"/>
      <c r="D7134" s="13" t="n">
        <f aca="false">IF(B7134&lt;5,Einstellungen!$B$3,Einstellungen!$B$4)</f>
        <v>29.13</v>
      </c>
      <c r="E7134" s="14" t="str">
        <f aca="false">IF(C7134="","",C7134*D7134/100)</f>
        <v/>
      </c>
      <c r="F7134" s="15" t="str">
        <f aca="false">IF(B7134&lt;5,"Go","Standard")</f>
        <v>Standard</v>
      </c>
    </row>
    <row r="7135" customFormat="false" ht="15" hidden="false" customHeight="true" outlineLevel="0" collapsed="false">
      <c r="A7135" s="10" t="n">
        <f aca="false">Einstellungen!$B$5+INT((ROW()-9)/24)</f>
        <v>46262</v>
      </c>
      <c r="B7135" s="11" t="n">
        <f aca="false">MOD(ROW()-9,24)</f>
        <v>22</v>
      </c>
      <c r="C7135" s="12"/>
      <c r="D7135" s="13" t="n">
        <f aca="false">IF(B7135&lt;5,Einstellungen!$B$3,Einstellungen!$B$4)</f>
        <v>29.13</v>
      </c>
      <c r="E7135" s="14" t="str">
        <f aca="false">IF(C7135="","",C7135*D7135/100)</f>
        <v/>
      </c>
      <c r="F7135" s="15" t="str">
        <f aca="false">IF(B7135&lt;5,"Go","Standard")</f>
        <v>Standard</v>
      </c>
    </row>
    <row r="7136" customFormat="false" ht="15" hidden="false" customHeight="true" outlineLevel="0" collapsed="false">
      <c r="A7136" s="10" t="n">
        <f aca="false">Einstellungen!$B$5+INT((ROW()-9)/24)</f>
        <v>46262</v>
      </c>
      <c r="B7136" s="11" t="n">
        <f aca="false">MOD(ROW()-9,24)</f>
        <v>23</v>
      </c>
      <c r="C7136" s="12"/>
      <c r="D7136" s="13" t="n">
        <f aca="false">IF(B7136&lt;5,Einstellungen!$B$3,Einstellungen!$B$4)</f>
        <v>29.13</v>
      </c>
      <c r="E7136" s="14" t="str">
        <f aca="false">IF(C7136="","",C7136*D7136/100)</f>
        <v/>
      </c>
      <c r="F7136" s="15" t="str">
        <f aca="false">IF(B7136&lt;5,"Go","Standard")</f>
        <v>Standard</v>
      </c>
    </row>
    <row r="7137" customFormat="false" ht="15" hidden="false" customHeight="true" outlineLevel="0" collapsed="false">
      <c r="A7137" s="10" t="n">
        <f aca="false">Einstellungen!$B$5+INT((ROW()-9)/24)</f>
        <v>46263</v>
      </c>
      <c r="B7137" s="11" t="n">
        <f aca="false">MOD(ROW()-9,24)</f>
        <v>0</v>
      </c>
      <c r="C7137" s="12"/>
      <c r="D7137" s="13" t="n">
        <f aca="false">IF(B7137&lt;5,Einstellungen!$B$3,Einstellungen!$B$4)</f>
        <v>15.92</v>
      </c>
      <c r="E7137" s="14" t="str">
        <f aca="false">IF(C7137="","",C7137*D7137/100)</f>
        <v/>
      </c>
      <c r="F7137" s="15" t="str">
        <f aca="false">IF(B7137&lt;5,"Go","Standard")</f>
        <v>Go</v>
      </c>
    </row>
    <row r="7138" customFormat="false" ht="15" hidden="false" customHeight="true" outlineLevel="0" collapsed="false">
      <c r="A7138" s="10" t="n">
        <f aca="false">Einstellungen!$B$5+INT((ROW()-9)/24)</f>
        <v>46263</v>
      </c>
      <c r="B7138" s="11" t="n">
        <f aca="false">MOD(ROW()-9,24)</f>
        <v>1</v>
      </c>
      <c r="C7138" s="12"/>
      <c r="D7138" s="13" t="n">
        <f aca="false">IF(B7138&lt;5,Einstellungen!$B$3,Einstellungen!$B$4)</f>
        <v>15.92</v>
      </c>
      <c r="E7138" s="14" t="str">
        <f aca="false">IF(C7138="","",C7138*D7138/100)</f>
        <v/>
      </c>
      <c r="F7138" s="15" t="str">
        <f aca="false">IF(B7138&lt;5,"Go","Standard")</f>
        <v>Go</v>
      </c>
    </row>
    <row r="7139" customFormat="false" ht="15" hidden="false" customHeight="true" outlineLevel="0" collapsed="false">
      <c r="A7139" s="10" t="n">
        <f aca="false">Einstellungen!$B$5+INT((ROW()-9)/24)</f>
        <v>46263</v>
      </c>
      <c r="B7139" s="11" t="n">
        <f aca="false">MOD(ROW()-9,24)</f>
        <v>2</v>
      </c>
      <c r="C7139" s="12"/>
      <c r="D7139" s="13" t="n">
        <f aca="false">IF(B7139&lt;5,Einstellungen!$B$3,Einstellungen!$B$4)</f>
        <v>15.92</v>
      </c>
      <c r="E7139" s="14" t="str">
        <f aca="false">IF(C7139="","",C7139*D7139/100)</f>
        <v/>
      </c>
      <c r="F7139" s="15" t="str">
        <f aca="false">IF(B7139&lt;5,"Go","Standard")</f>
        <v>Go</v>
      </c>
    </row>
    <row r="7140" customFormat="false" ht="15" hidden="false" customHeight="true" outlineLevel="0" collapsed="false">
      <c r="A7140" s="10" t="n">
        <f aca="false">Einstellungen!$B$5+INT((ROW()-9)/24)</f>
        <v>46263</v>
      </c>
      <c r="B7140" s="11" t="n">
        <f aca="false">MOD(ROW()-9,24)</f>
        <v>3</v>
      </c>
      <c r="C7140" s="12"/>
      <c r="D7140" s="13" t="n">
        <f aca="false">IF(B7140&lt;5,Einstellungen!$B$3,Einstellungen!$B$4)</f>
        <v>15.92</v>
      </c>
      <c r="E7140" s="14" t="str">
        <f aca="false">IF(C7140="","",C7140*D7140/100)</f>
        <v/>
      </c>
      <c r="F7140" s="15" t="str">
        <f aca="false">IF(B7140&lt;5,"Go","Standard")</f>
        <v>Go</v>
      </c>
    </row>
    <row r="7141" customFormat="false" ht="15" hidden="false" customHeight="true" outlineLevel="0" collapsed="false">
      <c r="A7141" s="10" t="n">
        <f aca="false">Einstellungen!$B$5+INT((ROW()-9)/24)</f>
        <v>46263</v>
      </c>
      <c r="B7141" s="11" t="n">
        <f aca="false">MOD(ROW()-9,24)</f>
        <v>4</v>
      </c>
      <c r="C7141" s="12"/>
      <c r="D7141" s="13" t="n">
        <f aca="false">IF(B7141&lt;5,Einstellungen!$B$3,Einstellungen!$B$4)</f>
        <v>15.92</v>
      </c>
      <c r="E7141" s="14" t="str">
        <f aca="false">IF(C7141="","",C7141*D7141/100)</f>
        <v/>
      </c>
      <c r="F7141" s="15" t="str">
        <f aca="false">IF(B7141&lt;5,"Go","Standard")</f>
        <v>Go</v>
      </c>
    </row>
    <row r="7142" customFormat="false" ht="15" hidden="false" customHeight="true" outlineLevel="0" collapsed="false">
      <c r="A7142" s="10" t="n">
        <f aca="false">Einstellungen!$B$5+INT((ROW()-9)/24)</f>
        <v>46263</v>
      </c>
      <c r="B7142" s="11" t="n">
        <f aca="false">MOD(ROW()-9,24)</f>
        <v>5</v>
      </c>
      <c r="C7142" s="12"/>
      <c r="D7142" s="13" t="n">
        <f aca="false">IF(B7142&lt;5,Einstellungen!$B$3,Einstellungen!$B$4)</f>
        <v>29.13</v>
      </c>
      <c r="E7142" s="14" t="str">
        <f aca="false">IF(C7142="","",C7142*D7142/100)</f>
        <v/>
      </c>
      <c r="F7142" s="15" t="str">
        <f aca="false">IF(B7142&lt;5,"Go","Standard")</f>
        <v>Standard</v>
      </c>
    </row>
    <row r="7143" customFormat="false" ht="15" hidden="false" customHeight="true" outlineLevel="0" collapsed="false">
      <c r="A7143" s="10" t="n">
        <f aca="false">Einstellungen!$B$5+INT((ROW()-9)/24)</f>
        <v>46263</v>
      </c>
      <c r="B7143" s="11" t="n">
        <f aca="false">MOD(ROW()-9,24)</f>
        <v>6</v>
      </c>
      <c r="C7143" s="12"/>
      <c r="D7143" s="13" t="n">
        <f aca="false">IF(B7143&lt;5,Einstellungen!$B$3,Einstellungen!$B$4)</f>
        <v>29.13</v>
      </c>
      <c r="E7143" s="14" t="str">
        <f aca="false">IF(C7143="","",C7143*D7143/100)</f>
        <v/>
      </c>
      <c r="F7143" s="15" t="str">
        <f aca="false">IF(B7143&lt;5,"Go","Standard")</f>
        <v>Standard</v>
      </c>
    </row>
    <row r="7144" customFormat="false" ht="15" hidden="false" customHeight="true" outlineLevel="0" collapsed="false">
      <c r="A7144" s="10" t="n">
        <f aca="false">Einstellungen!$B$5+INT((ROW()-9)/24)</f>
        <v>46263</v>
      </c>
      <c r="B7144" s="11" t="n">
        <f aca="false">MOD(ROW()-9,24)</f>
        <v>7</v>
      </c>
      <c r="C7144" s="12"/>
      <c r="D7144" s="13" t="n">
        <f aca="false">IF(B7144&lt;5,Einstellungen!$B$3,Einstellungen!$B$4)</f>
        <v>29.13</v>
      </c>
      <c r="E7144" s="14" t="str">
        <f aca="false">IF(C7144="","",C7144*D7144/100)</f>
        <v/>
      </c>
      <c r="F7144" s="15" t="str">
        <f aca="false">IF(B7144&lt;5,"Go","Standard")</f>
        <v>Standard</v>
      </c>
    </row>
    <row r="7145" customFormat="false" ht="15" hidden="false" customHeight="true" outlineLevel="0" collapsed="false">
      <c r="A7145" s="10" t="n">
        <f aca="false">Einstellungen!$B$5+INT((ROW()-9)/24)</f>
        <v>46263</v>
      </c>
      <c r="B7145" s="11" t="n">
        <f aca="false">MOD(ROW()-9,24)</f>
        <v>8</v>
      </c>
      <c r="C7145" s="12"/>
      <c r="D7145" s="13" t="n">
        <f aca="false">IF(B7145&lt;5,Einstellungen!$B$3,Einstellungen!$B$4)</f>
        <v>29.13</v>
      </c>
      <c r="E7145" s="14" t="str">
        <f aca="false">IF(C7145="","",C7145*D7145/100)</f>
        <v/>
      </c>
      <c r="F7145" s="15" t="str">
        <f aca="false">IF(B7145&lt;5,"Go","Standard")</f>
        <v>Standard</v>
      </c>
    </row>
    <row r="7146" customFormat="false" ht="15" hidden="false" customHeight="true" outlineLevel="0" collapsed="false">
      <c r="A7146" s="10" t="n">
        <f aca="false">Einstellungen!$B$5+INT((ROW()-9)/24)</f>
        <v>46263</v>
      </c>
      <c r="B7146" s="11" t="n">
        <f aca="false">MOD(ROW()-9,24)</f>
        <v>9</v>
      </c>
      <c r="C7146" s="12"/>
      <c r="D7146" s="13" t="n">
        <f aca="false">IF(B7146&lt;5,Einstellungen!$B$3,Einstellungen!$B$4)</f>
        <v>29.13</v>
      </c>
      <c r="E7146" s="14" t="str">
        <f aca="false">IF(C7146="","",C7146*D7146/100)</f>
        <v/>
      </c>
      <c r="F7146" s="15" t="str">
        <f aca="false">IF(B7146&lt;5,"Go","Standard")</f>
        <v>Standard</v>
      </c>
    </row>
    <row r="7147" customFormat="false" ht="15" hidden="false" customHeight="true" outlineLevel="0" collapsed="false">
      <c r="A7147" s="10" t="n">
        <f aca="false">Einstellungen!$B$5+INT((ROW()-9)/24)</f>
        <v>46263</v>
      </c>
      <c r="B7147" s="11" t="n">
        <f aca="false">MOD(ROW()-9,24)</f>
        <v>10</v>
      </c>
      <c r="C7147" s="12"/>
      <c r="D7147" s="13" t="n">
        <f aca="false">IF(B7147&lt;5,Einstellungen!$B$3,Einstellungen!$B$4)</f>
        <v>29.13</v>
      </c>
      <c r="E7147" s="14" t="str">
        <f aca="false">IF(C7147="","",C7147*D7147/100)</f>
        <v/>
      </c>
      <c r="F7147" s="15" t="str">
        <f aca="false">IF(B7147&lt;5,"Go","Standard")</f>
        <v>Standard</v>
      </c>
    </row>
    <row r="7148" customFormat="false" ht="15" hidden="false" customHeight="true" outlineLevel="0" collapsed="false">
      <c r="A7148" s="10" t="n">
        <f aca="false">Einstellungen!$B$5+INT((ROW()-9)/24)</f>
        <v>46263</v>
      </c>
      <c r="B7148" s="11" t="n">
        <f aca="false">MOD(ROW()-9,24)</f>
        <v>11</v>
      </c>
      <c r="C7148" s="12"/>
      <c r="D7148" s="13" t="n">
        <f aca="false">IF(B7148&lt;5,Einstellungen!$B$3,Einstellungen!$B$4)</f>
        <v>29.13</v>
      </c>
      <c r="E7148" s="14" t="str">
        <f aca="false">IF(C7148="","",C7148*D7148/100)</f>
        <v/>
      </c>
      <c r="F7148" s="15" t="str">
        <f aca="false">IF(B7148&lt;5,"Go","Standard")</f>
        <v>Standard</v>
      </c>
    </row>
    <row r="7149" customFormat="false" ht="15" hidden="false" customHeight="true" outlineLevel="0" collapsed="false">
      <c r="A7149" s="10" t="n">
        <f aca="false">Einstellungen!$B$5+INT((ROW()-9)/24)</f>
        <v>46263</v>
      </c>
      <c r="B7149" s="11" t="n">
        <f aca="false">MOD(ROW()-9,24)</f>
        <v>12</v>
      </c>
      <c r="C7149" s="12"/>
      <c r="D7149" s="13" t="n">
        <f aca="false">IF(B7149&lt;5,Einstellungen!$B$3,Einstellungen!$B$4)</f>
        <v>29.13</v>
      </c>
      <c r="E7149" s="14" t="str">
        <f aca="false">IF(C7149="","",C7149*D7149/100)</f>
        <v/>
      </c>
      <c r="F7149" s="15" t="str">
        <f aca="false">IF(B7149&lt;5,"Go","Standard")</f>
        <v>Standard</v>
      </c>
    </row>
    <row r="7150" customFormat="false" ht="15" hidden="false" customHeight="true" outlineLevel="0" collapsed="false">
      <c r="A7150" s="10" t="n">
        <f aca="false">Einstellungen!$B$5+INT((ROW()-9)/24)</f>
        <v>46263</v>
      </c>
      <c r="B7150" s="11" t="n">
        <f aca="false">MOD(ROW()-9,24)</f>
        <v>13</v>
      </c>
      <c r="C7150" s="12"/>
      <c r="D7150" s="13" t="n">
        <f aca="false">IF(B7150&lt;5,Einstellungen!$B$3,Einstellungen!$B$4)</f>
        <v>29.13</v>
      </c>
      <c r="E7150" s="14" t="str">
        <f aca="false">IF(C7150="","",C7150*D7150/100)</f>
        <v/>
      </c>
      <c r="F7150" s="15" t="str">
        <f aca="false">IF(B7150&lt;5,"Go","Standard")</f>
        <v>Standard</v>
      </c>
    </row>
    <row r="7151" customFormat="false" ht="15" hidden="false" customHeight="true" outlineLevel="0" collapsed="false">
      <c r="A7151" s="10" t="n">
        <f aca="false">Einstellungen!$B$5+INT((ROW()-9)/24)</f>
        <v>46263</v>
      </c>
      <c r="B7151" s="11" t="n">
        <f aca="false">MOD(ROW()-9,24)</f>
        <v>14</v>
      </c>
      <c r="C7151" s="12"/>
      <c r="D7151" s="13" t="n">
        <f aca="false">IF(B7151&lt;5,Einstellungen!$B$3,Einstellungen!$B$4)</f>
        <v>29.13</v>
      </c>
      <c r="E7151" s="14" t="str">
        <f aca="false">IF(C7151="","",C7151*D7151/100)</f>
        <v/>
      </c>
      <c r="F7151" s="15" t="str">
        <f aca="false">IF(B7151&lt;5,"Go","Standard")</f>
        <v>Standard</v>
      </c>
    </row>
    <row r="7152" customFormat="false" ht="15" hidden="false" customHeight="true" outlineLevel="0" collapsed="false">
      <c r="A7152" s="10" t="n">
        <f aca="false">Einstellungen!$B$5+INT((ROW()-9)/24)</f>
        <v>46263</v>
      </c>
      <c r="B7152" s="11" t="n">
        <f aca="false">MOD(ROW()-9,24)</f>
        <v>15</v>
      </c>
      <c r="C7152" s="12"/>
      <c r="D7152" s="13" t="n">
        <f aca="false">IF(B7152&lt;5,Einstellungen!$B$3,Einstellungen!$B$4)</f>
        <v>29.13</v>
      </c>
      <c r="E7152" s="14" t="str">
        <f aca="false">IF(C7152="","",C7152*D7152/100)</f>
        <v/>
      </c>
      <c r="F7152" s="15" t="str">
        <f aca="false">IF(B7152&lt;5,"Go","Standard")</f>
        <v>Standard</v>
      </c>
    </row>
    <row r="7153" customFormat="false" ht="15" hidden="false" customHeight="true" outlineLevel="0" collapsed="false">
      <c r="A7153" s="10" t="n">
        <f aca="false">Einstellungen!$B$5+INT((ROW()-9)/24)</f>
        <v>46263</v>
      </c>
      <c r="B7153" s="11" t="n">
        <f aca="false">MOD(ROW()-9,24)</f>
        <v>16</v>
      </c>
      <c r="C7153" s="12"/>
      <c r="D7153" s="13" t="n">
        <f aca="false">IF(B7153&lt;5,Einstellungen!$B$3,Einstellungen!$B$4)</f>
        <v>29.13</v>
      </c>
      <c r="E7153" s="14" t="str">
        <f aca="false">IF(C7153="","",C7153*D7153/100)</f>
        <v/>
      </c>
      <c r="F7153" s="15" t="str">
        <f aca="false">IF(B7153&lt;5,"Go","Standard")</f>
        <v>Standard</v>
      </c>
    </row>
    <row r="7154" customFormat="false" ht="15" hidden="false" customHeight="true" outlineLevel="0" collapsed="false">
      <c r="A7154" s="10" t="n">
        <f aca="false">Einstellungen!$B$5+INT((ROW()-9)/24)</f>
        <v>46263</v>
      </c>
      <c r="B7154" s="11" t="n">
        <f aca="false">MOD(ROW()-9,24)</f>
        <v>17</v>
      </c>
      <c r="C7154" s="12"/>
      <c r="D7154" s="13" t="n">
        <f aca="false">IF(B7154&lt;5,Einstellungen!$B$3,Einstellungen!$B$4)</f>
        <v>29.13</v>
      </c>
      <c r="E7154" s="14" t="str">
        <f aca="false">IF(C7154="","",C7154*D7154/100)</f>
        <v/>
      </c>
      <c r="F7154" s="15" t="str">
        <f aca="false">IF(B7154&lt;5,"Go","Standard")</f>
        <v>Standard</v>
      </c>
    </row>
    <row r="7155" customFormat="false" ht="15" hidden="false" customHeight="true" outlineLevel="0" collapsed="false">
      <c r="A7155" s="10" t="n">
        <f aca="false">Einstellungen!$B$5+INT((ROW()-9)/24)</f>
        <v>46263</v>
      </c>
      <c r="B7155" s="11" t="n">
        <f aca="false">MOD(ROW()-9,24)</f>
        <v>18</v>
      </c>
      <c r="C7155" s="12"/>
      <c r="D7155" s="13" t="n">
        <f aca="false">IF(B7155&lt;5,Einstellungen!$B$3,Einstellungen!$B$4)</f>
        <v>29.13</v>
      </c>
      <c r="E7155" s="14" t="str">
        <f aca="false">IF(C7155="","",C7155*D7155/100)</f>
        <v/>
      </c>
      <c r="F7155" s="15" t="str">
        <f aca="false">IF(B7155&lt;5,"Go","Standard")</f>
        <v>Standard</v>
      </c>
    </row>
    <row r="7156" customFormat="false" ht="15" hidden="false" customHeight="true" outlineLevel="0" collapsed="false">
      <c r="A7156" s="10" t="n">
        <f aca="false">Einstellungen!$B$5+INT((ROW()-9)/24)</f>
        <v>46263</v>
      </c>
      <c r="B7156" s="11" t="n">
        <f aca="false">MOD(ROW()-9,24)</f>
        <v>19</v>
      </c>
      <c r="C7156" s="12"/>
      <c r="D7156" s="13" t="n">
        <f aca="false">IF(B7156&lt;5,Einstellungen!$B$3,Einstellungen!$B$4)</f>
        <v>29.13</v>
      </c>
      <c r="E7156" s="14" t="str">
        <f aca="false">IF(C7156="","",C7156*D7156/100)</f>
        <v/>
      </c>
      <c r="F7156" s="15" t="str">
        <f aca="false">IF(B7156&lt;5,"Go","Standard")</f>
        <v>Standard</v>
      </c>
    </row>
    <row r="7157" customFormat="false" ht="15" hidden="false" customHeight="true" outlineLevel="0" collapsed="false">
      <c r="A7157" s="10" t="n">
        <f aca="false">Einstellungen!$B$5+INT((ROW()-9)/24)</f>
        <v>46263</v>
      </c>
      <c r="B7157" s="11" t="n">
        <f aca="false">MOD(ROW()-9,24)</f>
        <v>20</v>
      </c>
      <c r="C7157" s="12"/>
      <c r="D7157" s="13" t="n">
        <f aca="false">IF(B7157&lt;5,Einstellungen!$B$3,Einstellungen!$B$4)</f>
        <v>29.13</v>
      </c>
      <c r="E7157" s="14" t="str">
        <f aca="false">IF(C7157="","",C7157*D7157/100)</f>
        <v/>
      </c>
      <c r="F7157" s="15" t="str">
        <f aca="false">IF(B7157&lt;5,"Go","Standard")</f>
        <v>Standard</v>
      </c>
    </row>
    <row r="7158" customFormat="false" ht="15" hidden="false" customHeight="true" outlineLevel="0" collapsed="false">
      <c r="A7158" s="10" t="n">
        <f aca="false">Einstellungen!$B$5+INT((ROW()-9)/24)</f>
        <v>46263</v>
      </c>
      <c r="B7158" s="11" t="n">
        <f aca="false">MOD(ROW()-9,24)</f>
        <v>21</v>
      </c>
      <c r="C7158" s="12"/>
      <c r="D7158" s="13" t="n">
        <f aca="false">IF(B7158&lt;5,Einstellungen!$B$3,Einstellungen!$B$4)</f>
        <v>29.13</v>
      </c>
      <c r="E7158" s="14" t="str">
        <f aca="false">IF(C7158="","",C7158*D7158/100)</f>
        <v/>
      </c>
      <c r="F7158" s="15" t="str">
        <f aca="false">IF(B7158&lt;5,"Go","Standard")</f>
        <v>Standard</v>
      </c>
    </row>
    <row r="7159" customFormat="false" ht="15" hidden="false" customHeight="true" outlineLevel="0" collapsed="false">
      <c r="A7159" s="10" t="n">
        <f aca="false">Einstellungen!$B$5+INT((ROW()-9)/24)</f>
        <v>46263</v>
      </c>
      <c r="B7159" s="11" t="n">
        <f aca="false">MOD(ROW()-9,24)</f>
        <v>22</v>
      </c>
      <c r="C7159" s="12"/>
      <c r="D7159" s="13" t="n">
        <f aca="false">IF(B7159&lt;5,Einstellungen!$B$3,Einstellungen!$B$4)</f>
        <v>29.13</v>
      </c>
      <c r="E7159" s="14" t="str">
        <f aca="false">IF(C7159="","",C7159*D7159/100)</f>
        <v/>
      </c>
      <c r="F7159" s="15" t="str">
        <f aca="false">IF(B7159&lt;5,"Go","Standard")</f>
        <v>Standard</v>
      </c>
    </row>
    <row r="7160" customFormat="false" ht="15" hidden="false" customHeight="true" outlineLevel="0" collapsed="false">
      <c r="A7160" s="10" t="n">
        <f aca="false">Einstellungen!$B$5+INT((ROW()-9)/24)</f>
        <v>46263</v>
      </c>
      <c r="B7160" s="11" t="n">
        <f aca="false">MOD(ROW()-9,24)</f>
        <v>23</v>
      </c>
      <c r="C7160" s="12"/>
      <c r="D7160" s="13" t="n">
        <f aca="false">IF(B7160&lt;5,Einstellungen!$B$3,Einstellungen!$B$4)</f>
        <v>29.13</v>
      </c>
      <c r="E7160" s="14" t="str">
        <f aca="false">IF(C7160="","",C7160*D7160/100)</f>
        <v/>
      </c>
      <c r="F7160" s="15" t="str">
        <f aca="false">IF(B7160&lt;5,"Go","Standard")</f>
        <v>Standard</v>
      </c>
    </row>
    <row r="7161" customFormat="false" ht="15" hidden="false" customHeight="true" outlineLevel="0" collapsed="false">
      <c r="A7161" s="10" t="n">
        <f aca="false">Einstellungen!$B$5+INT((ROW()-9)/24)</f>
        <v>46264</v>
      </c>
      <c r="B7161" s="11" t="n">
        <f aca="false">MOD(ROW()-9,24)</f>
        <v>0</v>
      </c>
      <c r="C7161" s="12"/>
      <c r="D7161" s="13" t="n">
        <f aca="false">IF(B7161&lt;5,Einstellungen!$B$3,Einstellungen!$B$4)</f>
        <v>15.92</v>
      </c>
      <c r="E7161" s="14" t="str">
        <f aca="false">IF(C7161="","",C7161*D7161/100)</f>
        <v/>
      </c>
      <c r="F7161" s="15" t="str">
        <f aca="false">IF(B7161&lt;5,"Go","Standard")</f>
        <v>Go</v>
      </c>
    </row>
    <row r="7162" customFormat="false" ht="15" hidden="false" customHeight="true" outlineLevel="0" collapsed="false">
      <c r="A7162" s="10" t="n">
        <f aca="false">Einstellungen!$B$5+INT((ROW()-9)/24)</f>
        <v>46264</v>
      </c>
      <c r="B7162" s="11" t="n">
        <f aca="false">MOD(ROW()-9,24)</f>
        <v>1</v>
      </c>
      <c r="C7162" s="12"/>
      <c r="D7162" s="13" t="n">
        <f aca="false">IF(B7162&lt;5,Einstellungen!$B$3,Einstellungen!$B$4)</f>
        <v>15.92</v>
      </c>
      <c r="E7162" s="14" t="str">
        <f aca="false">IF(C7162="","",C7162*D7162/100)</f>
        <v/>
      </c>
      <c r="F7162" s="15" t="str">
        <f aca="false">IF(B7162&lt;5,"Go","Standard")</f>
        <v>Go</v>
      </c>
    </row>
    <row r="7163" customFormat="false" ht="15" hidden="false" customHeight="true" outlineLevel="0" collapsed="false">
      <c r="A7163" s="10" t="n">
        <f aca="false">Einstellungen!$B$5+INT((ROW()-9)/24)</f>
        <v>46264</v>
      </c>
      <c r="B7163" s="11" t="n">
        <f aca="false">MOD(ROW()-9,24)</f>
        <v>2</v>
      </c>
      <c r="C7163" s="12"/>
      <c r="D7163" s="13" t="n">
        <f aca="false">IF(B7163&lt;5,Einstellungen!$B$3,Einstellungen!$B$4)</f>
        <v>15.92</v>
      </c>
      <c r="E7163" s="14" t="str">
        <f aca="false">IF(C7163="","",C7163*D7163/100)</f>
        <v/>
      </c>
      <c r="F7163" s="15" t="str">
        <f aca="false">IF(B7163&lt;5,"Go","Standard")</f>
        <v>Go</v>
      </c>
    </row>
    <row r="7164" customFormat="false" ht="15" hidden="false" customHeight="true" outlineLevel="0" collapsed="false">
      <c r="A7164" s="10" t="n">
        <f aca="false">Einstellungen!$B$5+INT((ROW()-9)/24)</f>
        <v>46264</v>
      </c>
      <c r="B7164" s="11" t="n">
        <f aca="false">MOD(ROW()-9,24)</f>
        <v>3</v>
      </c>
      <c r="C7164" s="12"/>
      <c r="D7164" s="13" t="n">
        <f aca="false">IF(B7164&lt;5,Einstellungen!$B$3,Einstellungen!$B$4)</f>
        <v>15.92</v>
      </c>
      <c r="E7164" s="14" t="str">
        <f aca="false">IF(C7164="","",C7164*D7164/100)</f>
        <v/>
      </c>
      <c r="F7164" s="15" t="str">
        <f aca="false">IF(B7164&lt;5,"Go","Standard")</f>
        <v>Go</v>
      </c>
    </row>
    <row r="7165" customFormat="false" ht="15" hidden="false" customHeight="true" outlineLevel="0" collapsed="false">
      <c r="A7165" s="10" t="n">
        <f aca="false">Einstellungen!$B$5+INT((ROW()-9)/24)</f>
        <v>46264</v>
      </c>
      <c r="B7165" s="11" t="n">
        <f aca="false">MOD(ROW()-9,24)</f>
        <v>4</v>
      </c>
      <c r="C7165" s="12"/>
      <c r="D7165" s="13" t="n">
        <f aca="false">IF(B7165&lt;5,Einstellungen!$B$3,Einstellungen!$B$4)</f>
        <v>15.92</v>
      </c>
      <c r="E7165" s="14" t="str">
        <f aca="false">IF(C7165="","",C7165*D7165/100)</f>
        <v/>
      </c>
      <c r="F7165" s="15" t="str">
        <f aca="false">IF(B7165&lt;5,"Go","Standard")</f>
        <v>Go</v>
      </c>
    </row>
    <row r="7166" customFormat="false" ht="15" hidden="false" customHeight="true" outlineLevel="0" collapsed="false">
      <c r="A7166" s="10" t="n">
        <f aca="false">Einstellungen!$B$5+INT((ROW()-9)/24)</f>
        <v>46264</v>
      </c>
      <c r="B7166" s="11" t="n">
        <f aca="false">MOD(ROW()-9,24)</f>
        <v>5</v>
      </c>
      <c r="C7166" s="12"/>
      <c r="D7166" s="13" t="n">
        <f aca="false">IF(B7166&lt;5,Einstellungen!$B$3,Einstellungen!$B$4)</f>
        <v>29.13</v>
      </c>
      <c r="E7166" s="14" t="str">
        <f aca="false">IF(C7166="","",C7166*D7166/100)</f>
        <v/>
      </c>
      <c r="F7166" s="15" t="str">
        <f aca="false">IF(B7166&lt;5,"Go","Standard")</f>
        <v>Standard</v>
      </c>
    </row>
    <row r="7167" customFormat="false" ht="15" hidden="false" customHeight="true" outlineLevel="0" collapsed="false">
      <c r="A7167" s="10" t="n">
        <f aca="false">Einstellungen!$B$5+INT((ROW()-9)/24)</f>
        <v>46264</v>
      </c>
      <c r="B7167" s="11" t="n">
        <f aca="false">MOD(ROW()-9,24)</f>
        <v>6</v>
      </c>
      <c r="C7167" s="12"/>
      <c r="D7167" s="13" t="n">
        <f aca="false">IF(B7167&lt;5,Einstellungen!$B$3,Einstellungen!$B$4)</f>
        <v>29.13</v>
      </c>
      <c r="E7167" s="14" t="str">
        <f aca="false">IF(C7167="","",C7167*D7167/100)</f>
        <v/>
      </c>
      <c r="F7167" s="15" t="str">
        <f aca="false">IF(B7167&lt;5,"Go","Standard")</f>
        <v>Standard</v>
      </c>
    </row>
    <row r="7168" customFormat="false" ht="15" hidden="false" customHeight="true" outlineLevel="0" collapsed="false">
      <c r="A7168" s="10" t="n">
        <f aca="false">Einstellungen!$B$5+INT((ROW()-9)/24)</f>
        <v>46264</v>
      </c>
      <c r="B7168" s="11" t="n">
        <f aca="false">MOD(ROW()-9,24)</f>
        <v>7</v>
      </c>
      <c r="C7168" s="12"/>
      <c r="D7168" s="13" t="n">
        <f aca="false">IF(B7168&lt;5,Einstellungen!$B$3,Einstellungen!$B$4)</f>
        <v>29.13</v>
      </c>
      <c r="E7168" s="14" t="str">
        <f aca="false">IF(C7168="","",C7168*D7168/100)</f>
        <v/>
      </c>
      <c r="F7168" s="15" t="str">
        <f aca="false">IF(B7168&lt;5,"Go","Standard")</f>
        <v>Standard</v>
      </c>
    </row>
    <row r="7169" customFormat="false" ht="15" hidden="false" customHeight="true" outlineLevel="0" collapsed="false">
      <c r="A7169" s="10" t="n">
        <f aca="false">Einstellungen!$B$5+INT((ROW()-9)/24)</f>
        <v>46264</v>
      </c>
      <c r="B7169" s="11" t="n">
        <f aca="false">MOD(ROW()-9,24)</f>
        <v>8</v>
      </c>
      <c r="C7169" s="12"/>
      <c r="D7169" s="13" t="n">
        <f aca="false">IF(B7169&lt;5,Einstellungen!$B$3,Einstellungen!$B$4)</f>
        <v>29.13</v>
      </c>
      <c r="E7169" s="14" t="str">
        <f aca="false">IF(C7169="","",C7169*D7169/100)</f>
        <v/>
      </c>
      <c r="F7169" s="15" t="str">
        <f aca="false">IF(B7169&lt;5,"Go","Standard")</f>
        <v>Standard</v>
      </c>
    </row>
    <row r="7170" customFormat="false" ht="15" hidden="false" customHeight="true" outlineLevel="0" collapsed="false">
      <c r="A7170" s="10" t="n">
        <f aca="false">Einstellungen!$B$5+INT((ROW()-9)/24)</f>
        <v>46264</v>
      </c>
      <c r="B7170" s="11" t="n">
        <f aca="false">MOD(ROW()-9,24)</f>
        <v>9</v>
      </c>
      <c r="C7170" s="12"/>
      <c r="D7170" s="13" t="n">
        <f aca="false">IF(B7170&lt;5,Einstellungen!$B$3,Einstellungen!$B$4)</f>
        <v>29.13</v>
      </c>
      <c r="E7170" s="14" t="str">
        <f aca="false">IF(C7170="","",C7170*D7170/100)</f>
        <v/>
      </c>
      <c r="F7170" s="15" t="str">
        <f aca="false">IF(B7170&lt;5,"Go","Standard")</f>
        <v>Standard</v>
      </c>
    </row>
    <row r="7171" customFormat="false" ht="15" hidden="false" customHeight="true" outlineLevel="0" collapsed="false">
      <c r="A7171" s="10" t="n">
        <f aca="false">Einstellungen!$B$5+INT((ROW()-9)/24)</f>
        <v>46264</v>
      </c>
      <c r="B7171" s="11" t="n">
        <f aca="false">MOD(ROW()-9,24)</f>
        <v>10</v>
      </c>
      <c r="C7171" s="12"/>
      <c r="D7171" s="13" t="n">
        <f aca="false">IF(B7171&lt;5,Einstellungen!$B$3,Einstellungen!$B$4)</f>
        <v>29.13</v>
      </c>
      <c r="E7171" s="14" t="str">
        <f aca="false">IF(C7171="","",C7171*D7171/100)</f>
        <v/>
      </c>
      <c r="F7171" s="15" t="str">
        <f aca="false">IF(B7171&lt;5,"Go","Standard")</f>
        <v>Standard</v>
      </c>
    </row>
    <row r="7172" customFormat="false" ht="15" hidden="false" customHeight="true" outlineLevel="0" collapsed="false">
      <c r="A7172" s="10" t="n">
        <f aca="false">Einstellungen!$B$5+INT((ROW()-9)/24)</f>
        <v>46264</v>
      </c>
      <c r="B7172" s="11" t="n">
        <f aca="false">MOD(ROW()-9,24)</f>
        <v>11</v>
      </c>
      <c r="C7172" s="12"/>
      <c r="D7172" s="13" t="n">
        <f aca="false">IF(B7172&lt;5,Einstellungen!$B$3,Einstellungen!$B$4)</f>
        <v>29.13</v>
      </c>
      <c r="E7172" s="14" t="str">
        <f aca="false">IF(C7172="","",C7172*D7172/100)</f>
        <v/>
      </c>
      <c r="F7172" s="15" t="str">
        <f aca="false">IF(B7172&lt;5,"Go","Standard")</f>
        <v>Standard</v>
      </c>
    </row>
    <row r="7173" customFormat="false" ht="15" hidden="false" customHeight="true" outlineLevel="0" collapsed="false">
      <c r="A7173" s="10" t="n">
        <f aca="false">Einstellungen!$B$5+INT((ROW()-9)/24)</f>
        <v>46264</v>
      </c>
      <c r="B7173" s="11" t="n">
        <f aca="false">MOD(ROW()-9,24)</f>
        <v>12</v>
      </c>
      <c r="C7173" s="12"/>
      <c r="D7173" s="13" t="n">
        <f aca="false">IF(B7173&lt;5,Einstellungen!$B$3,Einstellungen!$B$4)</f>
        <v>29.13</v>
      </c>
      <c r="E7173" s="14" t="str">
        <f aca="false">IF(C7173="","",C7173*D7173/100)</f>
        <v/>
      </c>
      <c r="F7173" s="15" t="str">
        <f aca="false">IF(B7173&lt;5,"Go","Standard")</f>
        <v>Standard</v>
      </c>
    </row>
    <row r="7174" customFormat="false" ht="15" hidden="false" customHeight="true" outlineLevel="0" collapsed="false">
      <c r="A7174" s="10" t="n">
        <f aca="false">Einstellungen!$B$5+INT((ROW()-9)/24)</f>
        <v>46264</v>
      </c>
      <c r="B7174" s="11" t="n">
        <f aca="false">MOD(ROW()-9,24)</f>
        <v>13</v>
      </c>
      <c r="C7174" s="12"/>
      <c r="D7174" s="13" t="n">
        <f aca="false">IF(B7174&lt;5,Einstellungen!$B$3,Einstellungen!$B$4)</f>
        <v>29.13</v>
      </c>
      <c r="E7174" s="14" t="str">
        <f aca="false">IF(C7174="","",C7174*D7174/100)</f>
        <v/>
      </c>
      <c r="F7174" s="15" t="str">
        <f aca="false">IF(B7174&lt;5,"Go","Standard")</f>
        <v>Standard</v>
      </c>
    </row>
    <row r="7175" customFormat="false" ht="15" hidden="false" customHeight="true" outlineLevel="0" collapsed="false">
      <c r="A7175" s="10" t="n">
        <f aca="false">Einstellungen!$B$5+INT((ROW()-9)/24)</f>
        <v>46264</v>
      </c>
      <c r="B7175" s="11" t="n">
        <f aca="false">MOD(ROW()-9,24)</f>
        <v>14</v>
      </c>
      <c r="C7175" s="12"/>
      <c r="D7175" s="13" t="n">
        <f aca="false">IF(B7175&lt;5,Einstellungen!$B$3,Einstellungen!$B$4)</f>
        <v>29.13</v>
      </c>
      <c r="E7175" s="14" t="str">
        <f aca="false">IF(C7175="","",C7175*D7175/100)</f>
        <v/>
      </c>
      <c r="F7175" s="15" t="str">
        <f aca="false">IF(B7175&lt;5,"Go","Standard")</f>
        <v>Standard</v>
      </c>
    </row>
    <row r="7176" customFormat="false" ht="15" hidden="false" customHeight="true" outlineLevel="0" collapsed="false">
      <c r="A7176" s="10" t="n">
        <f aca="false">Einstellungen!$B$5+INT((ROW()-9)/24)</f>
        <v>46264</v>
      </c>
      <c r="B7176" s="11" t="n">
        <f aca="false">MOD(ROW()-9,24)</f>
        <v>15</v>
      </c>
      <c r="C7176" s="12"/>
      <c r="D7176" s="13" t="n">
        <f aca="false">IF(B7176&lt;5,Einstellungen!$B$3,Einstellungen!$B$4)</f>
        <v>29.13</v>
      </c>
      <c r="E7176" s="14" t="str">
        <f aca="false">IF(C7176="","",C7176*D7176/100)</f>
        <v/>
      </c>
      <c r="F7176" s="15" t="str">
        <f aca="false">IF(B7176&lt;5,"Go","Standard")</f>
        <v>Standard</v>
      </c>
    </row>
    <row r="7177" customFormat="false" ht="15" hidden="false" customHeight="true" outlineLevel="0" collapsed="false">
      <c r="A7177" s="10" t="n">
        <f aca="false">Einstellungen!$B$5+INT((ROW()-9)/24)</f>
        <v>46264</v>
      </c>
      <c r="B7177" s="11" t="n">
        <f aca="false">MOD(ROW()-9,24)</f>
        <v>16</v>
      </c>
      <c r="C7177" s="12"/>
      <c r="D7177" s="13" t="n">
        <f aca="false">IF(B7177&lt;5,Einstellungen!$B$3,Einstellungen!$B$4)</f>
        <v>29.13</v>
      </c>
      <c r="E7177" s="14" t="str">
        <f aca="false">IF(C7177="","",C7177*D7177/100)</f>
        <v/>
      </c>
      <c r="F7177" s="15" t="str">
        <f aca="false">IF(B7177&lt;5,"Go","Standard")</f>
        <v>Standard</v>
      </c>
    </row>
    <row r="7178" customFormat="false" ht="15" hidden="false" customHeight="true" outlineLevel="0" collapsed="false">
      <c r="A7178" s="10" t="n">
        <f aca="false">Einstellungen!$B$5+INT((ROW()-9)/24)</f>
        <v>46264</v>
      </c>
      <c r="B7178" s="11" t="n">
        <f aca="false">MOD(ROW()-9,24)</f>
        <v>17</v>
      </c>
      <c r="C7178" s="12"/>
      <c r="D7178" s="13" t="n">
        <f aca="false">IF(B7178&lt;5,Einstellungen!$B$3,Einstellungen!$B$4)</f>
        <v>29.13</v>
      </c>
      <c r="E7178" s="14" t="str">
        <f aca="false">IF(C7178="","",C7178*D7178/100)</f>
        <v/>
      </c>
      <c r="F7178" s="15" t="str">
        <f aca="false">IF(B7178&lt;5,"Go","Standard")</f>
        <v>Standard</v>
      </c>
    </row>
    <row r="7179" customFormat="false" ht="15" hidden="false" customHeight="true" outlineLevel="0" collapsed="false">
      <c r="A7179" s="10" t="n">
        <f aca="false">Einstellungen!$B$5+INT((ROW()-9)/24)</f>
        <v>46264</v>
      </c>
      <c r="B7179" s="11" t="n">
        <f aca="false">MOD(ROW()-9,24)</f>
        <v>18</v>
      </c>
      <c r="C7179" s="12"/>
      <c r="D7179" s="13" t="n">
        <f aca="false">IF(B7179&lt;5,Einstellungen!$B$3,Einstellungen!$B$4)</f>
        <v>29.13</v>
      </c>
      <c r="E7179" s="14" t="str">
        <f aca="false">IF(C7179="","",C7179*D7179/100)</f>
        <v/>
      </c>
      <c r="F7179" s="15" t="str">
        <f aca="false">IF(B7179&lt;5,"Go","Standard")</f>
        <v>Standard</v>
      </c>
    </row>
    <row r="7180" customFormat="false" ht="15" hidden="false" customHeight="true" outlineLevel="0" collapsed="false">
      <c r="A7180" s="10" t="n">
        <f aca="false">Einstellungen!$B$5+INT((ROW()-9)/24)</f>
        <v>46264</v>
      </c>
      <c r="B7180" s="11" t="n">
        <f aca="false">MOD(ROW()-9,24)</f>
        <v>19</v>
      </c>
      <c r="C7180" s="12"/>
      <c r="D7180" s="13" t="n">
        <f aca="false">IF(B7180&lt;5,Einstellungen!$B$3,Einstellungen!$B$4)</f>
        <v>29.13</v>
      </c>
      <c r="E7180" s="14" t="str">
        <f aca="false">IF(C7180="","",C7180*D7180/100)</f>
        <v/>
      </c>
      <c r="F7180" s="15" t="str">
        <f aca="false">IF(B7180&lt;5,"Go","Standard")</f>
        <v>Standard</v>
      </c>
    </row>
    <row r="7181" customFormat="false" ht="15" hidden="false" customHeight="true" outlineLevel="0" collapsed="false">
      <c r="A7181" s="10" t="n">
        <f aca="false">Einstellungen!$B$5+INT((ROW()-9)/24)</f>
        <v>46264</v>
      </c>
      <c r="B7181" s="11" t="n">
        <f aca="false">MOD(ROW()-9,24)</f>
        <v>20</v>
      </c>
      <c r="C7181" s="12"/>
      <c r="D7181" s="13" t="n">
        <f aca="false">IF(B7181&lt;5,Einstellungen!$B$3,Einstellungen!$B$4)</f>
        <v>29.13</v>
      </c>
      <c r="E7181" s="14" t="str">
        <f aca="false">IF(C7181="","",C7181*D7181/100)</f>
        <v/>
      </c>
      <c r="F7181" s="15" t="str">
        <f aca="false">IF(B7181&lt;5,"Go","Standard")</f>
        <v>Standard</v>
      </c>
    </row>
    <row r="7182" customFormat="false" ht="15" hidden="false" customHeight="true" outlineLevel="0" collapsed="false">
      <c r="A7182" s="10" t="n">
        <f aca="false">Einstellungen!$B$5+INT((ROW()-9)/24)</f>
        <v>46264</v>
      </c>
      <c r="B7182" s="11" t="n">
        <f aca="false">MOD(ROW()-9,24)</f>
        <v>21</v>
      </c>
      <c r="C7182" s="12"/>
      <c r="D7182" s="13" t="n">
        <f aca="false">IF(B7182&lt;5,Einstellungen!$B$3,Einstellungen!$B$4)</f>
        <v>29.13</v>
      </c>
      <c r="E7182" s="14" t="str">
        <f aca="false">IF(C7182="","",C7182*D7182/100)</f>
        <v/>
      </c>
      <c r="F7182" s="15" t="str">
        <f aca="false">IF(B7182&lt;5,"Go","Standard")</f>
        <v>Standard</v>
      </c>
    </row>
    <row r="7183" customFormat="false" ht="15" hidden="false" customHeight="true" outlineLevel="0" collapsed="false">
      <c r="A7183" s="10" t="n">
        <f aca="false">Einstellungen!$B$5+INT((ROW()-9)/24)</f>
        <v>46264</v>
      </c>
      <c r="B7183" s="11" t="n">
        <f aca="false">MOD(ROW()-9,24)</f>
        <v>22</v>
      </c>
      <c r="C7183" s="12"/>
      <c r="D7183" s="13" t="n">
        <f aca="false">IF(B7183&lt;5,Einstellungen!$B$3,Einstellungen!$B$4)</f>
        <v>29.13</v>
      </c>
      <c r="E7183" s="14" t="str">
        <f aca="false">IF(C7183="","",C7183*D7183/100)</f>
        <v/>
      </c>
      <c r="F7183" s="15" t="str">
        <f aca="false">IF(B7183&lt;5,"Go","Standard")</f>
        <v>Standard</v>
      </c>
    </row>
    <row r="7184" customFormat="false" ht="15" hidden="false" customHeight="true" outlineLevel="0" collapsed="false">
      <c r="A7184" s="10" t="n">
        <f aca="false">Einstellungen!$B$5+INT((ROW()-9)/24)</f>
        <v>46264</v>
      </c>
      <c r="B7184" s="11" t="n">
        <f aca="false">MOD(ROW()-9,24)</f>
        <v>23</v>
      </c>
      <c r="C7184" s="12"/>
      <c r="D7184" s="13" t="n">
        <f aca="false">IF(B7184&lt;5,Einstellungen!$B$3,Einstellungen!$B$4)</f>
        <v>29.13</v>
      </c>
      <c r="E7184" s="14" t="str">
        <f aca="false">IF(C7184="","",C7184*D7184/100)</f>
        <v/>
      </c>
      <c r="F7184" s="15" t="str">
        <f aca="false">IF(B7184&lt;5,"Go","Standard")</f>
        <v>Standard</v>
      </c>
    </row>
    <row r="7185" customFormat="false" ht="15" hidden="false" customHeight="true" outlineLevel="0" collapsed="false">
      <c r="A7185" s="10" t="n">
        <f aca="false">Einstellungen!$B$5+INT((ROW()-9)/24)</f>
        <v>46265</v>
      </c>
      <c r="B7185" s="11" t="n">
        <f aca="false">MOD(ROW()-9,24)</f>
        <v>0</v>
      </c>
      <c r="C7185" s="12"/>
      <c r="D7185" s="13" t="n">
        <f aca="false">IF(B7185&lt;5,Einstellungen!$B$3,Einstellungen!$B$4)</f>
        <v>15.92</v>
      </c>
      <c r="E7185" s="14" t="str">
        <f aca="false">IF(C7185="","",C7185*D7185/100)</f>
        <v/>
      </c>
      <c r="F7185" s="15" t="str">
        <f aca="false">IF(B7185&lt;5,"Go","Standard")</f>
        <v>Go</v>
      </c>
    </row>
    <row r="7186" customFormat="false" ht="15" hidden="false" customHeight="true" outlineLevel="0" collapsed="false">
      <c r="A7186" s="10" t="n">
        <f aca="false">Einstellungen!$B$5+INT((ROW()-9)/24)</f>
        <v>46265</v>
      </c>
      <c r="B7186" s="11" t="n">
        <f aca="false">MOD(ROW()-9,24)</f>
        <v>1</v>
      </c>
      <c r="C7186" s="12"/>
      <c r="D7186" s="13" t="n">
        <f aca="false">IF(B7186&lt;5,Einstellungen!$B$3,Einstellungen!$B$4)</f>
        <v>15.92</v>
      </c>
      <c r="E7186" s="14" t="str">
        <f aca="false">IF(C7186="","",C7186*D7186/100)</f>
        <v/>
      </c>
      <c r="F7186" s="15" t="str">
        <f aca="false">IF(B7186&lt;5,"Go","Standard")</f>
        <v>Go</v>
      </c>
    </row>
    <row r="7187" customFormat="false" ht="15" hidden="false" customHeight="true" outlineLevel="0" collapsed="false">
      <c r="A7187" s="10" t="n">
        <f aca="false">Einstellungen!$B$5+INT((ROW()-9)/24)</f>
        <v>46265</v>
      </c>
      <c r="B7187" s="11" t="n">
        <f aca="false">MOD(ROW()-9,24)</f>
        <v>2</v>
      </c>
      <c r="C7187" s="12"/>
      <c r="D7187" s="13" t="n">
        <f aca="false">IF(B7187&lt;5,Einstellungen!$B$3,Einstellungen!$B$4)</f>
        <v>15.92</v>
      </c>
      <c r="E7187" s="14" t="str">
        <f aca="false">IF(C7187="","",C7187*D7187/100)</f>
        <v/>
      </c>
      <c r="F7187" s="15" t="str">
        <f aca="false">IF(B7187&lt;5,"Go","Standard")</f>
        <v>Go</v>
      </c>
    </row>
    <row r="7188" customFormat="false" ht="15" hidden="false" customHeight="true" outlineLevel="0" collapsed="false">
      <c r="A7188" s="10" t="n">
        <f aca="false">Einstellungen!$B$5+INT((ROW()-9)/24)</f>
        <v>46265</v>
      </c>
      <c r="B7188" s="11" t="n">
        <f aca="false">MOD(ROW()-9,24)</f>
        <v>3</v>
      </c>
      <c r="C7188" s="12"/>
      <c r="D7188" s="13" t="n">
        <f aca="false">IF(B7188&lt;5,Einstellungen!$B$3,Einstellungen!$B$4)</f>
        <v>15.92</v>
      </c>
      <c r="E7188" s="14" t="str">
        <f aca="false">IF(C7188="","",C7188*D7188/100)</f>
        <v/>
      </c>
      <c r="F7188" s="15" t="str">
        <f aca="false">IF(B7188&lt;5,"Go","Standard")</f>
        <v>Go</v>
      </c>
    </row>
    <row r="7189" customFormat="false" ht="15" hidden="false" customHeight="true" outlineLevel="0" collapsed="false">
      <c r="A7189" s="10" t="n">
        <f aca="false">Einstellungen!$B$5+INT((ROW()-9)/24)</f>
        <v>46265</v>
      </c>
      <c r="B7189" s="11" t="n">
        <f aca="false">MOD(ROW()-9,24)</f>
        <v>4</v>
      </c>
      <c r="C7189" s="12"/>
      <c r="D7189" s="13" t="n">
        <f aca="false">IF(B7189&lt;5,Einstellungen!$B$3,Einstellungen!$B$4)</f>
        <v>15.92</v>
      </c>
      <c r="E7189" s="14" t="str">
        <f aca="false">IF(C7189="","",C7189*D7189/100)</f>
        <v/>
      </c>
      <c r="F7189" s="15" t="str">
        <f aca="false">IF(B7189&lt;5,"Go","Standard")</f>
        <v>Go</v>
      </c>
    </row>
    <row r="7190" customFormat="false" ht="15" hidden="false" customHeight="true" outlineLevel="0" collapsed="false">
      <c r="A7190" s="10" t="n">
        <f aca="false">Einstellungen!$B$5+INT((ROW()-9)/24)</f>
        <v>46265</v>
      </c>
      <c r="B7190" s="11" t="n">
        <f aca="false">MOD(ROW()-9,24)</f>
        <v>5</v>
      </c>
      <c r="C7190" s="12"/>
      <c r="D7190" s="13" t="n">
        <f aca="false">IF(B7190&lt;5,Einstellungen!$B$3,Einstellungen!$B$4)</f>
        <v>29.13</v>
      </c>
      <c r="E7190" s="14" t="str">
        <f aca="false">IF(C7190="","",C7190*D7190/100)</f>
        <v/>
      </c>
      <c r="F7190" s="15" t="str">
        <f aca="false">IF(B7190&lt;5,"Go","Standard")</f>
        <v>Standard</v>
      </c>
    </row>
    <row r="7191" customFormat="false" ht="15" hidden="false" customHeight="true" outlineLevel="0" collapsed="false">
      <c r="A7191" s="10" t="n">
        <f aca="false">Einstellungen!$B$5+INT((ROW()-9)/24)</f>
        <v>46265</v>
      </c>
      <c r="B7191" s="11" t="n">
        <f aca="false">MOD(ROW()-9,24)</f>
        <v>6</v>
      </c>
      <c r="C7191" s="12"/>
      <c r="D7191" s="13" t="n">
        <f aca="false">IF(B7191&lt;5,Einstellungen!$B$3,Einstellungen!$B$4)</f>
        <v>29.13</v>
      </c>
      <c r="E7191" s="14" t="str">
        <f aca="false">IF(C7191="","",C7191*D7191/100)</f>
        <v/>
      </c>
      <c r="F7191" s="15" t="str">
        <f aca="false">IF(B7191&lt;5,"Go","Standard")</f>
        <v>Standard</v>
      </c>
    </row>
    <row r="7192" customFormat="false" ht="15" hidden="false" customHeight="true" outlineLevel="0" collapsed="false">
      <c r="A7192" s="10" t="n">
        <f aca="false">Einstellungen!$B$5+INT((ROW()-9)/24)</f>
        <v>46265</v>
      </c>
      <c r="B7192" s="11" t="n">
        <f aca="false">MOD(ROW()-9,24)</f>
        <v>7</v>
      </c>
      <c r="C7192" s="12"/>
      <c r="D7192" s="13" t="n">
        <f aca="false">IF(B7192&lt;5,Einstellungen!$B$3,Einstellungen!$B$4)</f>
        <v>29.13</v>
      </c>
      <c r="E7192" s="14" t="str">
        <f aca="false">IF(C7192="","",C7192*D7192/100)</f>
        <v/>
      </c>
      <c r="F7192" s="15" t="str">
        <f aca="false">IF(B7192&lt;5,"Go","Standard")</f>
        <v>Standard</v>
      </c>
    </row>
    <row r="7193" customFormat="false" ht="15" hidden="false" customHeight="true" outlineLevel="0" collapsed="false">
      <c r="A7193" s="10" t="n">
        <f aca="false">Einstellungen!$B$5+INT((ROW()-9)/24)</f>
        <v>46265</v>
      </c>
      <c r="B7193" s="11" t="n">
        <f aca="false">MOD(ROW()-9,24)</f>
        <v>8</v>
      </c>
      <c r="C7193" s="12"/>
      <c r="D7193" s="13" t="n">
        <f aca="false">IF(B7193&lt;5,Einstellungen!$B$3,Einstellungen!$B$4)</f>
        <v>29.13</v>
      </c>
      <c r="E7193" s="14" t="str">
        <f aca="false">IF(C7193="","",C7193*D7193/100)</f>
        <v/>
      </c>
      <c r="F7193" s="15" t="str">
        <f aca="false">IF(B7193&lt;5,"Go","Standard")</f>
        <v>Standard</v>
      </c>
    </row>
    <row r="7194" customFormat="false" ht="15" hidden="false" customHeight="true" outlineLevel="0" collapsed="false">
      <c r="A7194" s="10" t="n">
        <f aca="false">Einstellungen!$B$5+INT((ROW()-9)/24)</f>
        <v>46265</v>
      </c>
      <c r="B7194" s="11" t="n">
        <f aca="false">MOD(ROW()-9,24)</f>
        <v>9</v>
      </c>
      <c r="C7194" s="12"/>
      <c r="D7194" s="13" t="n">
        <f aca="false">IF(B7194&lt;5,Einstellungen!$B$3,Einstellungen!$B$4)</f>
        <v>29.13</v>
      </c>
      <c r="E7194" s="14" t="str">
        <f aca="false">IF(C7194="","",C7194*D7194/100)</f>
        <v/>
      </c>
      <c r="F7194" s="15" t="str">
        <f aca="false">IF(B7194&lt;5,"Go","Standard")</f>
        <v>Standard</v>
      </c>
    </row>
    <row r="7195" customFormat="false" ht="15" hidden="false" customHeight="true" outlineLevel="0" collapsed="false">
      <c r="A7195" s="10" t="n">
        <f aca="false">Einstellungen!$B$5+INT((ROW()-9)/24)</f>
        <v>46265</v>
      </c>
      <c r="B7195" s="11" t="n">
        <f aca="false">MOD(ROW()-9,24)</f>
        <v>10</v>
      </c>
      <c r="C7195" s="12"/>
      <c r="D7195" s="13" t="n">
        <f aca="false">IF(B7195&lt;5,Einstellungen!$B$3,Einstellungen!$B$4)</f>
        <v>29.13</v>
      </c>
      <c r="E7195" s="14" t="str">
        <f aca="false">IF(C7195="","",C7195*D7195/100)</f>
        <v/>
      </c>
      <c r="F7195" s="15" t="str">
        <f aca="false">IF(B7195&lt;5,"Go","Standard")</f>
        <v>Standard</v>
      </c>
    </row>
    <row r="7196" customFormat="false" ht="15" hidden="false" customHeight="true" outlineLevel="0" collapsed="false">
      <c r="A7196" s="10" t="n">
        <f aca="false">Einstellungen!$B$5+INT((ROW()-9)/24)</f>
        <v>46265</v>
      </c>
      <c r="B7196" s="11" t="n">
        <f aca="false">MOD(ROW()-9,24)</f>
        <v>11</v>
      </c>
      <c r="C7196" s="12"/>
      <c r="D7196" s="13" t="n">
        <f aca="false">IF(B7196&lt;5,Einstellungen!$B$3,Einstellungen!$B$4)</f>
        <v>29.13</v>
      </c>
      <c r="E7196" s="14" t="str">
        <f aca="false">IF(C7196="","",C7196*D7196/100)</f>
        <v/>
      </c>
      <c r="F7196" s="15" t="str">
        <f aca="false">IF(B7196&lt;5,"Go","Standard")</f>
        <v>Standard</v>
      </c>
    </row>
    <row r="7197" customFormat="false" ht="15" hidden="false" customHeight="true" outlineLevel="0" collapsed="false">
      <c r="A7197" s="10" t="n">
        <f aca="false">Einstellungen!$B$5+INT((ROW()-9)/24)</f>
        <v>46265</v>
      </c>
      <c r="B7197" s="11" t="n">
        <f aca="false">MOD(ROW()-9,24)</f>
        <v>12</v>
      </c>
      <c r="C7197" s="12"/>
      <c r="D7197" s="13" t="n">
        <f aca="false">IF(B7197&lt;5,Einstellungen!$B$3,Einstellungen!$B$4)</f>
        <v>29.13</v>
      </c>
      <c r="E7197" s="14" t="str">
        <f aca="false">IF(C7197="","",C7197*D7197/100)</f>
        <v/>
      </c>
      <c r="F7197" s="15" t="str">
        <f aca="false">IF(B7197&lt;5,"Go","Standard")</f>
        <v>Standard</v>
      </c>
    </row>
    <row r="7198" customFormat="false" ht="15" hidden="false" customHeight="true" outlineLevel="0" collapsed="false">
      <c r="A7198" s="10" t="n">
        <f aca="false">Einstellungen!$B$5+INT((ROW()-9)/24)</f>
        <v>46265</v>
      </c>
      <c r="B7198" s="11" t="n">
        <f aca="false">MOD(ROW()-9,24)</f>
        <v>13</v>
      </c>
      <c r="C7198" s="12"/>
      <c r="D7198" s="13" t="n">
        <f aca="false">IF(B7198&lt;5,Einstellungen!$B$3,Einstellungen!$B$4)</f>
        <v>29.13</v>
      </c>
      <c r="E7198" s="14" t="str">
        <f aca="false">IF(C7198="","",C7198*D7198/100)</f>
        <v/>
      </c>
      <c r="F7198" s="15" t="str">
        <f aca="false">IF(B7198&lt;5,"Go","Standard")</f>
        <v>Standard</v>
      </c>
    </row>
    <row r="7199" customFormat="false" ht="15" hidden="false" customHeight="true" outlineLevel="0" collapsed="false">
      <c r="A7199" s="10" t="n">
        <f aca="false">Einstellungen!$B$5+INT((ROW()-9)/24)</f>
        <v>46265</v>
      </c>
      <c r="B7199" s="11" t="n">
        <f aca="false">MOD(ROW()-9,24)</f>
        <v>14</v>
      </c>
      <c r="C7199" s="12"/>
      <c r="D7199" s="13" t="n">
        <f aca="false">IF(B7199&lt;5,Einstellungen!$B$3,Einstellungen!$B$4)</f>
        <v>29.13</v>
      </c>
      <c r="E7199" s="14" t="str">
        <f aca="false">IF(C7199="","",C7199*D7199/100)</f>
        <v/>
      </c>
      <c r="F7199" s="15" t="str">
        <f aca="false">IF(B7199&lt;5,"Go","Standard")</f>
        <v>Standard</v>
      </c>
    </row>
    <row r="7200" customFormat="false" ht="15" hidden="false" customHeight="true" outlineLevel="0" collapsed="false">
      <c r="A7200" s="10" t="n">
        <f aca="false">Einstellungen!$B$5+INT((ROW()-9)/24)</f>
        <v>46265</v>
      </c>
      <c r="B7200" s="11" t="n">
        <f aca="false">MOD(ROW()-9,24)</f>
        <v>15</v>
      </c>
      <c r="C7200" s="12"/>
      <c r="D7200" s="13" t="n">
        <f aca="false">IF(B7200&lt;5,Einstellungen!$B$3,Einstellungen!$B$4)</f>
        <v>29.13</v>
      </c>
      <c r="E7200" s="14" t="str">
        <f aca="false">IF(C7200="","",C7200*D7200/100)</f>
        <v/>
      </c>
      <c r="F7200" s="15" t="str">
        <f aca="false">IF(B7200&lt;5,"Go","Standard")</f>
        <v>Standard</v>
      </c>
    </row>
    <row r="7201" customFormat="false" ht="15" hidden="false" customHeight="true" outlineLevel="0" collapsed="false">
      <c r="A7201" s="10" t="n">
        <f aca="false">Einstellungen!$B$5+INT((ROW()-9)/24)</f>
        <v>46265</v>
      </c>
      <c r="B7201" s="11" t="n">
        <f aca="false">MOD(ROW()-9,24)</f>
        <v>16</v>
      </c>
      <c r="C7201" s="12"/>
      <c r="D7201" s="13" t="n">
        <f aca="false">IF(B7201&lt;5,Einstellungen!$B$3,Einstellungen!$B$4)</f>
        <v>29.13</v>
      </c>
      <c r="E7201" s="14" t="str">
        <f aca="false">IF(C7201="","",C7201*D7201/100)</f>
        <v/>
      </c>
      <c r="F7201" s="15" t="str">
        <f aca="false">IF(B7201&lt;5,"Go","Standard")</f>
        <v>Standard</v>
      </c>
    </row>
    <row r="7202" customFormat="false" ht="15" hidden="false" customHeight="true" outlineLevel="0" collapsed="false">
      <c r="A7202" s="10" t="n">
        <f aca="false">Einstellungen!$B$5+INT((ROW()-9)/24)</f>
        <v>46265</v>
      </c>
      <c r="B7202" s="11" t="n">
        <f aca="false">MOD(ROW()-9,24)</f>
        <v>17</v>
      </c>
      <c r="C7202" s="12"/>
      <c r="D7202" s="13" t="n">
        <f aca="false">IF(B7202&lt;5,Einstellungen!$B$3,Einstellungen!$B$4)</f>
        <v>29.13</v>
      </c>
      <c r="E7202" s="14" t="str">
        <f aca="false">IF(C7202="","",C7202*D7202/100)</f>
        <v/>
      </c>
      <c r="F7202" s="15" t="str">
        <f aca="false">IF(B7202&lt;5,"Go","Standard")</f>
        <v>Standard</v>
      </c>
    </row>
    <row r="7203" customFormat="false" ht="15" hidden="false" customHeight="true" outlineLevel="0" collapsed="false">
      <c r="A7203" s="10" t="n">
        <f aca="false">Einstellungen!$B$5+INT((ROW()-9)/24)</f>
        <v>46265</v>
      </c>
      <c r="B7203" s="11" t="n">
        <f aca="false">MOD(ROW()-9,24)</f>
        <v>18</v>
      </c>
      <c r="C7203" s="12"/>
      <c r="D7203" s="13" t="n">
        <f aca="false">IF(B7203&lt;5,Einstellungen!$B$3,Einstellungen!$B$4)</f>
        <v>29.13</v>
      </c>
      <c r="E7203" s="14" t="str">
        <f aca="false">IF(C7203="","",C7203*D7203/100)</f>
        <v/>
      </c>
      <c r="F7203" s="15" t="str">
        <f aca="false">IF(B7203&lt;5,"Go","Standard")</f>
        <v>Standard</v>
      </c>
    </row>
    <row r="7204" customFormat="false" ht="15" hidden="false" customHeight="true" outlineLevel="0" collapsed="false">
      <c r="A7204" s="10" t="n">
        <f aca="false">Einstellungen!$B$5+INT((ROW()-9)/24)</f>
        <v>46265</v>
      </c>
      <c r="B7204" s="11" t="n">
        <f aca="false">MOD(ROW()-9,24)</f>
        <v>19</v>
      </c>
      <c r="C7204" s="12"/>
      <c r="D7204" s="13" t="n">
        <f aca="false">IF(B7204&lt;5,Einstellungen!$B$3,Einstellungen!$B$4)</f>
        <v>29.13</v>
      </c>
      <c r="E7204" s="14" t="str">
        <f aca="false">IF(C7204="","",C7204*D7204/100)</f>
        <v/>
      </c>
      <c r="F7204" s="15" t="str">
        <f aca="false">IF(B7204&lt;5,"Go","Standard")</f>
        <v>Standard</v>
      </c>
    </row>
    <row r="7205" customFormat="false" ht="15" hidden="false" customHeight="true" outlineLevel="0" collapsed="false">
      <c r="A7205" s="10" t="n">
        <f aca="false">Einstellungen!$B$5+INT((ROW()-9)/24)</f>
        <v>46265</v>
      </c>
      <c r="B7205" s="11" t="n">
        <f aca="false">MOD(ROW()-9,24)</f>
        <v>20</v>
      </c>
      <c r="C7205" s="12"/>
      <c r="D7205" s="13" t="n">
        <f aca="false">IF(B7205&lt;5,Einstellungen!$B$3,Einstellungen!$B$4)</f>
        <v>29.13</v>
      </c>
      <c r="E7205" s="14" t="str">
        <f aca="false">IF(C7205="","",C7205*D7205/100)</f>
        <v/>
      </c>
      <c r="F7205" s="15" t="str">
        <f aca="false">IF(B7205&lt;5,"Go","Standard")</f>
        <v>Standard</v>
      </c>
    </row>
    <row r="7206" customFormat="false" ht="15" hidden="false" customHeight="true" outlineLevel="0" collapsed="false">
      <c r="A7206" s="10" t="n">
        <f aca="false">Einstellungen!$B$5+INT((ROW()-9)/24)</f>
        <v>46265</v>
      </c>
      <c r="B7206" s="11" t="n">
        <f aca="false">MOD(ROW()-9,24)</f>
        <v>21</v>
      </c>
      <c r="C7206" s="12"/>
      <c r="D7206" s="13" t="n">
        <f aca="false">IF(B7206&lt;5,Einstellungen!$B$3,Einstellungen!$B$4)</f>
        <v>29.13</v>
      </c>
      <c r="E7206" s="14" t="str">
        <f aca="false">IF(C7206="","",C7206*D7206/100)</f>
        <v/>
      </c>
      <c r="F7206" s="15" t="str">
        <f aca="false">IF(B7206&lt;5,"Go","Standard")</f>
        <v>Standard</v>
      </c>
    </row>
    <row r="7207" customFormat="false" ht="15" hidden="false" customHeight="true" outlineLevel="0" collapsed="false">
      <c r="A7207" s="10" t="n">
        <f aca="false">Einstellungen!$B$5+INT((ROW()-9)/24)</f>
        <v>46265</v>
      </c>
      <c r="B7207" s="11" t="n">
        <f aca="false">MOD(ROW()-9,24)</f>
        <v>22</v>
      </c>
      <c r="C7207" s="12"/>
      <c r="D7207" s="13" t="n">
        <f aca="false">IF(B7207&lt;5,Einstellungen!$B$3,Einstellungen!$B$4)</f>
        <v>29.13</v>
      </c>
      <c r="E7207" s="14" t="str">
        <f aca="false">IF(C7207="","",C7207*D7207/100)</f>
        <v/>
      </c>
      <c r="F7207" s="15" t="str">
        <f aca="false">IF(B7207&lt;5,"Go","Standard")</f>
        <v>Standard</v>
      </c>
    </row>
    <row r="7208" customFormat="false" ht="15" hidden="false" customHeight="true" outlineLevel="0" collapsed="false">
      <c r="A7208" s="10" t="n">
        <f aca="false">Einstellungen!$B$5+INT((ROW()-9)/24)</f>
        <v>46265</v>
      </c>
      <c r="B7208" s="11" t="n">
        <f aca="false">MOD(ROW()-9,24)</f>
        <v>23</v>
      </c>
      <c r="C7208" s="12"/>
      <c r="D7208" s="13" t="n">
        <f aca="false">IF(B7208&lt;5,Einstellungen!$B$3,Einstellungen!$B$4)</f>
        <v>29.13</v>
      </c>
      <c r="E7208" s="14" t="str">
        <f aca="false">IF(C7208="","",C7208*D7208/100)</f>
        <v/>
      </c>
      <c r="F7208" s="15" t="str">
        <f aca="false">IF(B7208&lt;5,"Go","Standard")</f>
        <v>Standard</v>
      </c>
    </row>
    <row r="7209" customFormat="false" ht="15" hidden="false" customHeight="true" outlineLevel="0" collapsed="false">
      <c r="A7209" s="10" t="n">
        <f aca="false">Einstellungen!$B$5+INT((ROW()-9)/24)</f>
        <v>46266</v>
      </c>
      <c r="B7209" s="11" t="n">
        <f aca="false">MOD(ROW()-9,24)</f>
        <v>0</v>
      </c>
      <c r="C7209" s="12"/>
      <c r="D7209" s="13" t="n">
        <f aca="false">IF(B7209&lt;5,Einstellungen!$B$3,Einstellungen!$B$4)</f>
        <v>15.92</v>
      </c>
      <c r="E7209" s="14" t="str">
        <f aca="false">IF(C7209="","",C7209*D7209/100)</f>
        <v/>
      </c>
      <c r="F7209" s="15" t="str">
        <f aca="false">IF(B7209&lt;5,"Go","Standard")</f>
        <v>Go</v>
      </c>
    </row>
    <row r="7210" customFormat="false" ht="15" hidden="false" customHeight="true" outlineLevel="0" collapsed="false">
      <c r="A7210" s="10" t="n">
        <f aca="false">Einstellungen!$B$5+INT((ROW()-9)/24)</f>
        <v>46266</v>
      </c>
      <c r="B7210" s="11" t="n">
        <f aca="false">MOD(ROW()-9,24)</f>
        <v>1</v>
      </c>
      <c r="C7210" s="12"/>
      <c r="D7210" s="13" t="n">
        <f aca="false">IF(B7210&lt;5,Einstellungen!$B$3,Einstellungen!$B$4)</f>
        <v>15.92</v>
      </c>
      <c r="E7210" s="14" t="str">
        <f aca="false">IF(C7210="","",C7210*D7210/100)</f>
        <v/>
      </c>
      <c r="F7210" s="15" t="str">
        <f aca="false">IF(B7210&lt;5,"Go","Standard")</f>
        <v>Go</v>
      </c>
    </row>
    <row r="7211" customFormat="false" ht="15" hidden="false" customHeight="true" outlineLevel="0" collapsed="false">
      <c r="A7211" s="10" t="n">
        <f aca="false">Einstellungen!$B$5+INT((ROW()-9)/24)</f>
        <v>46266</v>
      </c>
      <c r="B7211" s="11" t="n">
        <f aca="false">MOD(ROW()-9,24)</f>
        <v>2</v>
      </c>
      <c r="C7211" s="12"/>
      <c r="D7211" s="13" t="n">
        <f aca="false">IF(B7211&lt;5,Einstellungen!$B$3,Einstellungen!$B$4)</f>
        <v>15.92</v>
      </c>
      <c r="E7211" s="14" t="str">
        <f aca="false">IF(C7211="","",C7211*D7211/100)</f>
        <v/>
      </c>
      <c r="F7211" s="15" t="str">
        <f aca="false">IF(B7211&lt;5,"Go","Standard")</f>
        <v>Go</v>
      </c>
    </row>
    <row r="7212" customFormat="false" ht="15" hidden="false" customHeight="true" outlineLevel="0" collapsed="false">
      <c r="A7212" s="10" t="n">
        <f aca="false">Einstellungen!$B$5+INT((ROW()-9)/24)</f>
        <v>46266</v>
      </c>
      <c r="B7212" s="11" t="n">
        <f aca="false">MOD(ROW()-9,24)</f>
        <v>3</v>
      </c>
      <c r="C7212" s="12"/>
      <c r="D7212" s="13" t="n">
        <f aca="false">IF(B7212&lt;5,Einstellungen!$B$3,Einstellungen!$B$4)</f>
        <v>15.92</v>
      </c>
      <c r="E7212" s="14" t="str">
        <f aca="false">IF(C7212="","",C7212*D7212/100)</f>
        <v/>
      </c>
      <c r="F7212" s="15" t="str">
        <f aca="false">IF(B7212&lt;5,"Go","Standard")</f>
        <v>Go</v>
      </c>
    </row>
    <row r="7213" customFormat="false" ht="15" hidden="false" customHeight="true" outlineLevel="0" collapsed="false">
      <c r="A7213" s="10" t="n">
        <f aca="false">Einstellungen!$B$5+INT((ROW()-9)/24)</f>
        <v>46266</v>
      </c>
      <c r="B7213" s="11" t="n">
        <f aca="false">MOD(ROW()-9,24)</f>
        <v>4</v>
      </c>
      <c r="C7213" s="12"/>
      <c r="D7213" s="13" t="n">
        <f aca="false">IF(B7213&lt;5,Einstellungen!$B$3,Einstellungen!$B$4)</f>
        <v>15.92</v>
      </c>
      <c r="E7213" s="14" t="str">
        <f aca="false">IF(C7213="","",C7213*D7213/100)</f>
        <v/>
      </c>
      <c r="F7213" s="15" t="str">
        <f aca="false">IF(B7213&lt;5,"Go","Standard")</f>
        <v>Go</v>
      </c>
    </row>
    <row r="7214" customFormat="false" ht="15" hidden="false" customHeight="true" outlineLevel="0" collapsed="false">
      <c r="A7214" s="10" t="n">
        <f aca="false">Einstellungen!$B$5+INT((ROW()-9)/24)</f>
        <v>46266</v>
      </c>
      <c r="B7214" s="11" t="n">
        <f aca="false">MOD(ROW()-9,24)</f>
        <v>5</v>
      </c>
      <c r="C7214" s="12"/>
      <c r="D7214" s="13" t="n">
        <f aca="false">IF(B7214&lt;5,Einstellungen!$B$3,Einstellungen!$B$4)</f>
        <v>29.13</v>
      </c>
      <c r="E7214" s="14" t="str">
        <f aca="false">IF(C7214="","",C7214*D7214/100)</f>
        <v/>
      </c>
      <c r="F7214" s="15" t="str">
        <f aca="false">IF(B7214&lt;5,"Go","Standard")</f>
        <v>Standard</v>
      </c>
    </row>
    <row r="7215" customFormat="false" ht="15" hidden="false" customHeight="true" outlineLevel="0" collapsed="false">
      <c r="A7215" s="10" t="n">
        <f aca="false">Einstellungen!$B$5+INT((ROW()-9)/24)</f>
        <v>46266</v>
      </c>
      <c r="B7215" s="11" t="n">
        <f aca="false">MOD(ROW()-9,24)</f>
        <v>6</v>
      </c>
      <c r="C7215" s="12"/>
      <c r="D7215" s="13" t="n">
        <f aca="false">IF(B7215&lt;5,Einstellungen!$B$3,Einstellungen!$B$4)</f>
        <v>29.13</v>
      </c>
      <c r="E7215" s="14" t="str">
        <f aca="false">IF(C7215="","",C7215*D7215/100)</f>
        <v/>
      </c>
      <c r="F7215" s="15" t="str">
        <f aca="false">IF(B7215&lt;5,"Go","Standard")</f>
        <v>Standard</v>
      </c>
    </row>
    <row r="7216" customFormat="false" ht="15" hidden="false" customHeight="true" outlineLevel="0" collapsed="false">
      <c r="A7216" s="10" t="n">
        <f aca="false">Einstellungen!$B$5+INT((ROW()-9)/24)</f>
        <v>46266</v>
      </c>
      <c r="B7216" s="11" t="n">
        <f aca="false">MOD(ROW()-9,24)</f>
        <v>7</v>
      </c>
      <c r="C7216" s="12"/>
      <c r="D7216" s="13" t="n">
        <f aca="false">IF(B7216&lt;5,Einstellungen!$B$3,Einstellungen!$B$4)</f>
        <v>29.13</v>
      </c>
      <c r="E7216" s="14" t="str">
        <f aca="false">IF(C7216="","",C7216*D7216/100)</f>
        <v/>
      </c>
      <c r="F7216" s="15" t="str">
        <f aca="false">IF(B7216&lt;5,"Go","Standard")</f>
        <v>Standard</v>
      </c>
    </row>
    <row r="7217" customFormat="false" ht="15" hidden="false" customHeight="true" outlineLevel="0" collapsed="false">
      <c r="A7217" s="10" t="n">
        <f aca="false">Einstellungen!$B$5+INT((ROW()-9)/24)</f>
        <v>46266</v>
      </c>
      <c r="B7217" s="11" t="n">
        <f aca="false">MOD(ROW()-9,24)</f>
        <v>8</v>
      </c>
      <c r="C7217" s="12"/>
      <c r="D7217" s="13" t="n">
        <f aca="false">IF(B7217&lt;5,Einstellungen!$B$3,Einstellungen!$B$4)</f>
        <v>29.13</v>
      </c>
      <c r="E7217" s="14" t="str">
        <f aca="false">IF(C7217="","",C7217*D7217/100)</f>
        <v/>
      </c>
      <c r="F7217" s="15" t="str">
        <f aca="false">IF(B7217&lt;5,"Go","Standard")</f>
        <v>Standard</v>
      </c>
    </row>
    <row r="7218" customFormat="false" ht="15" hidden="false" customHeight="true" outlineLevel="0" collapsed="false">
      <c r="A7218" s="10" t="n">
        <f aca="false">Einstellungen!$B$5+INT((ROW()-9)/24)</f>
        <v>46266</v>
      </c>
      <c r="B7218" s="11" t="n">
        <f aca="false">MOD(ROW()-9,24)</f>
        <v>9</v>
      </c>
      <c r="C7218" s="12"/>
      <c r="D7218" s="13" t="n">
        <f aca="false">IF(B7218&lt;5,Einstellungen!$B$3,Einstellungen!$B$4)</f>
        <v>29.13</v>
      </c>
      <c r="E7218" s="14" t="str">
        <f aca="false">IF(C7218="","",C7218*D7218/100)</f>
        <v/>
      </c>
      <c r="F7218" s="15" t="str">
        <f aca="false">IF(B7218&lt;5,"Go","Standard")</f>
        <v>Standard</v>
      </c>
    </row>
    <row r="7219" customFormat="false" ht="15" hidden="false" customHeight="true" outlineLevel="0" collapsed="false">
      <c r="A7219" s="10" t="n">
        <f aca="false">Einstellungen!$B$5+INT((ROW()-9)/24)</f>
        <v>46266</v>
      </c>
      <c r="B7219" s="11" t="n">
        <f aca="false">MOD(ROW()-9,24)</f>
        <v>10</v>
      </c>
      <c r="C7219" s="12"/>
      <c r="D7219" s="13" t="n">
        <f aca="false">IF(B7219&lt;5,Einstellungen!$B$3,Einstellungen!$B$4)</f>
        <v>29.13</v>
      </c>
      <c r="E7219" s="14" t="str">
        <f aca="false">IF(C7219="","",C7219*D7219/100)</f>
        <v/>
      </c>
      <c r="F7219" s="15" t="str">
        <f aca="false">IF(B7219&lt;5,"Go","Standard")</f>
        <v>Standard</v>
      </c>
    </row>
    <row r="7220" customFormat="false" ht="15" hidden="false" customHeight="true" outlineLevel="0" collapsed="false">
      <c r="A7220" s="10" t="n">
        <f aca="false">Einstellungen!$B$5+INT((ROW()-9)/24)</f>
        <v>46266</v>
      </c>
      <c r="B7220" s="11" t="n">
        <f aca="false">MOD(ROW()-9,24)</f>
        <v>11</v>
      </c>
      <c r="C7220" s="12"/>
      <c r="D7220" s="13" t="n">
        <f aca="false">IF(B7220&lt;5,Einstellungen!$B$3,Einstellungen!$B$4)</f>
        <v>29.13</v>
      </c>
      <c r="E7220" s="14" t="str">
        <f aca="false">IF(C7220="","",C7220*D7220/100)</f>
        <v/>
      </c>
      <c r="F7220" s="15" t="str">
        <f aca="false">IF(B7220&lt;5,"Go","Standard")</f>
        <v>Standard</v>
      </c>
    </row>
    <row r="7221" customFormat="false" ht="15" hidden="false" customHeight="true" outlineLevel="0" collapsed="false">
      <c r="A7221" s="10" t="n">
        <f aca="false">Einstellungen!$B$5+INT((ROW()-9)/24)</f>
        <v>46266</v>
      </c>
      <c r="B7221" s="11" t="n">
        <f aca="false">MOD(ROW()-9,24)</f>
        <v>12</v>
      </c>
      <c r="C7221" s="12"/>
      <c r="D7221" s="13" t="n">
        <f aca="false">IF(B7221&lt;5,Einstellungen!$B$3,Einstellungen!$B$4)</f>
        <v>29.13</v>
      </c>
      <c r="E7221" s="14" t="str">
        <f aca="false">IF(C7221="","",C7221*D7221/100)</f>
        <v/>
      </c>
      <c r="F7221" s="15" t="str">
        <f aca="false">IF(B7221&lt;5,"Go","Standard")</f>
        <v>Standard</v>
      </c>
    </row>
    <row r="7222" customFormat="false" ht="15" hidden="false" customHeight="true" outlineLevel="0" collapsed="false">
      <c r="A7222" s="10" t="n">
        <f aca="false">Einstellungen!$B$5+INT((ROW()-9)/24)</f>
        <v>46266</v>
      </c>
      <c r="B7222" s="11" t="n">
        <f aca="false">MOD(ROW()-9,24)</f>
        <v>13</v>
      </c>
      <c r="C7222" s="12"/>
      <c r="D7222" s="13" t="n">
        <f aca="false">IF(B7222&lt;5,Einstellungen!$B$3,Einstellungen!$B$4)</f>
        <v>29.13</v>
      </c>
      <c r="E7222" s="14" t="str">
        <f aca="false">IF(C7222="","",C7222*D7222/100)</f>
        <v/>
      </c>
      <c r="F7222" s="15" t="str">
        <f aca="false">IF(B7222&lt;5,"Go","Standard")</f>
        <v>Standard</v>
      </c>
    </row>
    <row r="7223" customFormat="false" ht="15" hidden="false" customHeight="true" outlineLevel="0" collapsed="false">
      <c r="A7223" s="10" t="n">
        <f aca="false">Einstellungen!$B$5+INT((ROW()-9)/24)</f>
        <v>46266</v>
      </c>
      <c r="B7223" s="11" t="n">
        <f aca="false">MOD(ROW()-9,24)</f>
        <v>14</v>
      </c>
      <c r="C7223" s="12"/>
      <c r="D7223" s="13" t="n">
        <f aca="false">IF(B7223&lt;5,Einstellungen!$B$3,Einstellungen!$B$4)</f>
        <v>29.13</v>
      </c>
      <c r="E7223" s="14" t="str">
        <f aca="false">IF(C7223="","",C7223*D7223/100)</f>
        <v/>
      </c>
      <c r="F7223" s="15" t="str">
        <f aca="false">IF(B7223&lt;5,"Go","Standard")</f>
        <v>Standard</v>
      </c>
    </row>
    <row r="7224" customFormat="false" ht="15" hidden="false" customHeight="true" outlineLevel="0" collapsed="false">
      <c r="A7224" s="10" t="n">
        <f aca="false">Einstellungen!$B$5+INT((ROW()-9)/24)</f>
        <v>46266</v>
      </c>
      <c r="B7224" s="11" t="n">
        <f aca="false">MOD(ROW()-9,24)</f>
        <v>15</v>
      </c>
      <c r="C7224" s="12"/>
      <c r="D7224" s="13" t="n">
        <f aca="false">IF(B7224&lt;5,Einstellungen!$B$3,Einstellungen!$B$4)</f>
        <v>29.13</v>
      </c>
      <c r="E7224" s="14" t="str">
        <f aca="false">IF(C7224="","",C7224*D7224/100)</f>
        <v/>
      </c>
      <c r="F7224" s="15" t="str">
        <f aca="false">IF(B7224&lt;5,"Go","Standard")</f>
        <v>Standard</v>
      </c>
    </row>
    <row r="7225" customFormat="false" ht="15" hidden="false" customHeight="true" outlineLevel="0" collapsed="false">
      <c r="A7225" s="10" t="n">
        <f aca="false">Einstellungen!$B$5+INT((ROW()-9)/24)</f>
        <v>46266</v>
      </c>
      <c r="B7225" s="11" t="n">
        <f aca="false">MOD(ROW()-9,24)</f>
        <v>16</v>
      </c>
      <c r="C7225" s="12"/>
      <c r="D7225" s="13" t="n">
        <f aca="false">IF(B7225&lt;5,Einstellungen!$B$3,Einstellungen!$B$4)</f>
        <v>29.13</v>
      </c>
      <c r="E7225" s="14" t="str">
        <f aca="false">IF(C7225="","",C7225*D7225/100)</f>
        <v/>
      </c>
      <c r="F7225" s="15" t="str">
        <f aca="false">IF(B7225&lt;5,"Go","Standard")</f>
        <v>Standard</v>
      </c>
    </row>
    <row r="7226" customFormat="false" ht="15" hidden="false" customHeight="true" outlineLevel="0" collapsed="false">
      <c r="A7226" s="10" t="n">
        <f aca="false">Einstellungen!$B$5+INT((ROW()-9)/24)</f>
        <v>46266</v>
      </c>
      <c r="B7226" s="11" t="n">
        <f aca="false">MOD(ROW()-9,24)</f>
        <v>17</v>
      </c>
      <c r="C7226" s="12"/>
      <c r="D7226" s="13" t="n">
        <f aca="false">IF(B7226&lt;5,Einstellungen!$B$3,Einstellungen!$B$4)</f>
        <v>29.13</v>
      </c>
      <c r="E7226" s="14" t="str">
        <f aca="false">IF(C7226="","",C7226*D7226/100)</f>
        <v/>
      </c>
      <c r="F7226" s="15" t="str">
        <f aca="false">IF(B7226&lt;5,"Go","Standard")</f>
        <v>Standard</v>
      </c>
    </row>
    <row r="7227" customFormat="false" ht="15" hidden="false" customHeight="true" outlineLevel="0" collapsed="false">
      <c r="A7227" s="10" t="n">
        <f aca="false">Einstellungen!$B$5+INT((ROW()-9)/24)</f>
        <v>46266</v>
      </c>
      <c r="B7227" s="11" t="n">
        <f aca="false">MOD(ROW()-9,24)</f>
        <v>18</v>
      </c>
      <c r="C7227" s="12"/>
      <c r="D7227" s="13" t="n">
        <f aca="false">IF(B7227&lt;5,Einstellungen!$B$3,Einstellungen!$B$4)</f>
        <v>29.13</v>
      </c>
      <c r="E7227" s="14" t="str">
        <f aca="false">IF(C7227="","",C7227*D7227/100)</f>
        <v/>
      </c>
      <c r="F7227" s="15" t="str">
        <f aca="false">IF(B7227&lt;5,"Go","Standard")</f>
        <v>Standard</v>
      </c>
    </row>
    <row r="7228" customFormat="false" ht="15" hidden="false" customHeight="true" outlineLevel="0" collapsed="false">
      <c r="A7228" s="10" t="n">
        <f aca="false">Einstellungen!$B$5+INT((ROW()-9)/24)</f>
        <v>46266</v>
      </c>
      <c r="B7228" s="11" t="n">
        <f aca="false">MOD(ROW()-9,24)</f>
        <v>19</v>
      </c>
      <c r="C7228" s="12"/>
      <c r="D7228" s="13" t="n">
        <f aca="false">IF(B7228&lt;5,Einstellungen!$B$3,Einstellungen!$B$4)</f>
        <v>29.13</v>
      </c>
      <c r="E7228" s="14" t="str">
        <f aca="false">IF(C7228="","",C7228*D7228/100)</f>
        <v/>
      </c>
      <c r="F7228" s="15" t="str">
        <f aca="false">IF(B7228&lt;5,"Go","Standard")</f>
        <v>Standard</v>
      </c>
    </row>
    <row r="7229" customFormat="false" ht="15" hidden="false" customHeight="true" outlineLevel="0" collapsed="false">
      <c r="A7229" s="10" t="n">
        <f aca="false">Einstellungen!$B$5+INT((ROW()-9)/24)</f>
        <v>46266</v>
      </c>
      <c r="B7229" s="11" t="n">
        <f aca="false">MOD(ROW()-9,24)</f>
        <v>20</v>
      </c>
      <c r="C7229" s="12"/>
      <c r="D7229" s="13" t="n">
        <f aca="false">IF(B7229&lt;5,Einstellungen!$B$3,Einstellungen!$B$4)</f>
        <v>29.13</v>
      </c>
      <c r="E7229" s="14" t="str">
        <f aca="false">IF(C7229="","",C7229*D7229/100)</f>
        <v/>
      </c>
      <c r="F7229" s="15" t="str">
        <f aca="false">IF(B7229&lt;5,"Go","Standard")</f>
        <v>Standard</v>
      </c>
    </row>
    <row r="7230" customFormat="false" ht="15" hidden="false" customHeight="true" outlineLevel="0" collapsed="false">
      <c r="A7230" s="10" t="n">
        <f aca="false">Einstellungen!$B$5+INT((ROW()-9)/24)</f>
        <v>46266</v>
      </c>
      <c r="B7230" s="11" t="n">
        <f aca="false">MOD(ROW()-9,24)</f>
        <v>21</v>
      </c>
      <c r="C7230" s="12"/>
      <c r="D7230" s="13" t="n">
        <f aca="false">IF(B7230&lt;5,Einstellungen!$B$3,Einstellungen!$B$4)</f>
        <v>29.13</v>
      </c>
      <c r="E7230" s="14" t="str">
        <f aca="false">IF(C7230="","",C7230*D7230/100)</f>
        <v/>
      </c>
      <c r="F7230" s="15" t="str">
        <f aca="false">IF(B7230&lt;5,"Go","Standard")</f>
        <v>Standard</v>
      </c>
    </row>
    <row r="7231" customFormat="false" ht="15" hidden="false" customHeight="true" outlineLevel="0" collapsed="false">
      <c r="A7231" s="10" t="n">
        <f aca="false">Einstellungen!$B$5+INT((ROW()-9)/24)</f>
        <v>46266</v>
      </c>
      <c r="B7231" s="11" t="n">
        <f aca="false">MOD(ROW()-9,24)</f>
        <v>22</v>
      </c>
      <c r="C7231" s="12"/>
      <c r="D7231" s="13" t="n">
        <f aca="false">IF(B7231&lt;5,Einstellungen!$B$3,Einstellungen!$B$4)</f>
        <v>29.13</v>
      </c>
      <c r="E7231" s="14" t="str">
        <f aca="false">IF(C7231="","",C7231*D7231/100)</f>
        <v/>
      </c>
      <c r="F7231" s="15" t="str">
        <f aca="false">IF(B7231&lt;5,"Go","Standard")</f>
        <v>Standard</v>
      </c>
    </row>
    <row r="7232" customFormat="false" ht="15" hidden="false" customHeight="true" outlineLevel="0" collapsed="false">
      <c r="A7232" s="10" t="n">
        <f aca="false">Einstellungen!$B$5+INT((ROW()-9)/24)</f>
        <v>46266</v>
      </c>
      <c r="B7232" s="11" t="n">
        <f aca="false">MOD(ROW()-9,24)</f>
        <v>23</v>
      </c>
      <c r="C7232" s="12"/>
      <c r="D7232" s="13" t="n">
        <f aca="false">IF(B7232&lt;5,Einstellungen!$B$3,Einstellungen!$B$4)</f>
        <v>29.13</v>
      </c>
      <c r="E7232" s="14" t="str">
        <f aca="false">IF(C7232="","",C7232*D7232/100)</f>
        <v/>
      </c>
      <c r="F7232" s="15" t="str">
        <f aca="false">IF(B7232&lt;5,"Go","Standard")</f>
        <v>Standard</v>
      </c>
    </row>
    <row r="7233" customFormat="false" ht="15" hidden="false" customHeight="true" outlineLevel="0" collapsed="false">
      <c r="A7233" s="10" t="n">
        <f aca="false">Einstellungen!$B$5+INT((ROW()-9)/24)</f>
        <v>46267</v>
      </c>
      <c r="B7233" s="11" t="n">
        <f aca="false">MOD(ROW()-9,24)</f>
        <v>0</v>
      </c>
      <c r="C7233" s="12"/>
      <c r="D7233" s="13" t="n">
        <f aca="false">IF(B7233&lt;5,Einstellungen!$B$3,Einstellungen!$B$4)</f>
        <v>15.92</v>
      </c>
      <c r="E7233" s="14" t="str">
        <f aca="false">IF(C7233="","",C7233*D7233/100)</f>
        <v/>
      </c>
      <c r="F7233" s="15" t="str">
        <f aca="false">IF(B7233&lt;5,"Go","Standard")</f>
        <v>Go</v>
      </c>
    </row>
    <row r="7234" customFormat="false" ht="15" hidden="false" customHeight="true" outlineLevel="0" collapsed="false">
      <c r="A7234" s="10" t="n">
        <f aca="false">Einstellungen!$B$5+INT((ROW()-9)/24)</f>
        <v>46267</v>
      </c>
      <c r="B7234" s="11" t="n">
        <f aca="false">MOD(ROW()-9,24)</f>
        <v>1</v>
      </c>
      <c r="C7234" s="12"/>
      <c r="D7234" s="13" t="n">
        <f aca="false">IF(B7234&lt;5,Einstellungen!$B$3,Einstellungen!$B$4)</f>
        <v>15.92</v>
      </c>
      <c r="E7234" s="14" t="str">
        <f aca="false">IF(C7234="","",C7234*D7234/100)</f>
        <v/>
      </c>
      <c r="F7234" s="15" t="str">
        <f aca="false">IF(B7234&lt;5,"Go","Standard")</f>
        <v>Go</v>
      </c>
    </row>
    <row r="7235" customFormat="false" ht="15" hidden="false" customHeight="true" outlineLevel="0" collapsed="false">
      <c r="A7235" s="10" t="n">
        <f aca="false">Einstellungen!$B$5+INT((ROW()-9)/24)</f>
        <v>46267</v>
      </c>
      <c r="B7235" s="11" t="n">
        <f aca="false">MOD(ROW()-9,24)</f>
        <v>2</v>
      </c>
      <c r="C7235" s="12"/>
      <c r="D7235" s="13" t="n">
        <f aca="false">IF(B7235&lt;5,Einstellungen!$B$3,Einstellungen!$B$4)</f>
        <v>15.92</v>
      </c>
      <c r="E7235" s="14" t="str">
        <f aca="false">IF(C7235="","",C7235*D7235/100)</f>
        <v/>
      </c>
      <c r="F7235" s="15" t="str">
        <f aca="false">IF(B7235&lt;5,"Go","Standard")</f>
        <v>Go</v>
      </c>
    </row>
    <row r="7236" customFormat="false" ht="15" hidden="false" customHeight="true" outlineLevel="0" collapsed="false">
      <c r="A7236" s="10" t="n">
        <f aca="false">Einstellungen!$B$5+INT((ROW()-9)/24)</f>
        <v>46267</v>
      </c>
      <c r="B7236" s="11" t="n">
        <f aca="false">MOD(ROW()-9,24)</f>
        <v>3</v>
      </c>
      <c r="C7236" s="12"/>
      <c r="D7236" s="13" t="n">
        <f aca="false">IF(B7236&lt;5,Einstellungen!$B$3,Einstellungen!$B$4)</f>
        <v>15.92</v>
      </c>
      <c r="E7236" s="14" t="str">
        <f aca="false">IF(C7236="","",C7236*D7236/100)</f>
        <v/>
      </c>
      <c r="F7236" s="15" t="str">
        <f aca="false">IF(B7236&lt;5,"Go","Standard")</f>
        <v>Go</v>
      </c>
    </row>
    <row r="7237" customFormat="false" ht="15" hidden="false" customHeight="true" outlineLevel="0" collapsed="false">
      <c r="A7237" s="10" t="n">
        <f aca="false">Einstellungen!$B$5+INT((ROW()-9)/24)</f>
        <v>46267</v>
      </c>
      <c r="B7237" s="11" t="n">
        <f aca="false">MOD(ROW()-9,24)</f>
        <v>4</v>
      </c>
      <c r="C7237" s="12"/>
      <c r="D7237" s="13" t="n">
        <f aca="false">IF(B7237&lt;5,Einstellungen!$B$3,Einstellungen!$B$4)</f>
        <v>15.92</v>
      </c>
      <c r="E7237" s="14" t="str">
        <f aca="false">IF(C7237="","",C7237*D7237/100)</f>
        <v/>
      </c>
      <c r="F7237" s="15" t="str">
        <f aca="false">IF(B7237&lt;5,"Go","Standard")</f>
        <v>Go</v>
      </c>
    </row>
    <row r="7238" customFormat="false" ht="15" hidden="false" customHeight="true" outlineLevel="0" collapsed="false">
      <c r="A7238" s="10" t="n">
        <f aca="false">Einstellungen!$B$5+INT((ROW()-9)/24)</f>
        <v>46267</v>
      </c>
      <c r="B7238" s="11" t="n">
        <f aca="false">MOD(ROW()-9,24)</f>
        <v>5</v>
      </c>
      <c r="C7238" s="12"/>
      <c r="D7238" s="13" t="n">
        <f aca="false">IF(B7238&lt;5,Einstellungen!$B$3,Einstellungen!$B$4)</f>
        <v>29.13</v>
      </c>
      <c r="E7238" s="14" t="str">
        <f aca="false">IF(C7238="","",C7238*D7238/100)</f>
        <v/>
      </c>
      <c r="F7238" s="15" t="str">
        <f aca="false">IF(B7238&lt;5,"Go","Standard")</f>
        <v>Standard</v>
      </c>
    </row>
    <row r="7239" customFormat="false" ht="15" hidden="false" customHeight="true" outlineLevel="0" collapsed="false">
      <c r="A7239" s="10" t="n">
        <f aca="false">Einstellungen!$B$5+INT((ROW()-9)/24)</f>
        <v>46267</v>
      </c>
      <c r="B7239" s="11" t="n">
        <f aca="false">MOD(ROW()-9,24)</f>
        <v>6</v>
      </c>
      <c r="C7239" s="12"/>
      <c r="D7239" s="13" t="n">
        <f aca="false">IF(B7239&lt;5,Einstellungen!$B$3,Einstellungen!$B$4)</f>
        <v>29.13</v>
      </c>
      <c r="E7239" s="14" t="str">
        <f aca="false">IF(C7239="","",C7239*D7239/100)</f>
        <v/>
      </c>
      <c r="F7239" s="15" t="str">
        <f aca="false">IF(B7239&lt;5,"Go","Standard")</f>
        <v>Standard</v>
      </c>
    </row>
    <row r="7240" customFormat="false" ht="15" hidden="false" customHeight="true" outlineLevel="0" collapsed="false">
      <c r="A7240" s="10" t="n">
        <f aca="false">Einstellungen!$B$5+INT((ROW()-9)/24)</f>
        <v>46267</v>
      </c>
      <c r="B7240" s="11" t="n">
        <f aca="false">MOD(ROW()-9,24)</f>
        <v>7</v>
      </c>
      <c r="C7240" s="12"/>
      <c r="D7240" s="13" t="n">
        <f aca="false">IF(B7240&lt;5,Einstellungen!$B$3,Einstellungen!$B$4)</f>
        <v>29.13</v>
      </c>
      <c r="E7240" s="14" t="str">
        <f aca="false">IF(C7240="","",C7240*D7240/100)</f>
        <v/>
      </c>
      <c r="F7240" s="15" t="str">
        <f aca="false">IF(B7240&lt;5,"Go","Standard")</f>
        <v>Standard</v>
      </c>
    </row>
    <row r="7241" customFormat="false" ht="15" hidden="false" customHeight="true" outlineLevel="0" collapsed="false">
      <c r="A7241" s="10" t="n">
        <f aca="false">Einstellungen!$B$5+INT((ROW()-9)/24)</f>
        <v>46267</v>
      </c>
      <c r="B7241" s="11" t="n">
        <f aca="false">MOD(ROW()-9,24)</f>
        <v>8</v>
      </c>
      <c r="C7241" s="12"/>
      <c r="D7241" s="13" t="n">
        <f aca="false">IF(B7241&lt;5,Einstellungen!$B$3,Einstellungen!$B$4)</f>
        <v>29.13</v>
      </c>
      <c r="E7241" s="14" t="str">
        <f aca="false">IF(C7241="","",C7241*D7241/100)</f>
        <v/>
      </c>
      <c r="F7241" s="15" t="str">
        <f aca="false">IF(B7241&lt;5,"Go","Standard")</f>
        <v>Standard</v>
      </c>
    </row>
    <row r="7242" customFormat="false" ht="15" hidden="false" customHeight="true" outlineLevel="0" collapsed="false">
      <c r="A7242" s="10" t="n">
        <f aca="false">Einstellungen!$B$5+INT((ROW()-9)/24)</f>
        <v>46267</v>
      </c>
      <c r="B7242" s="11" t="n">
        <f aca="false">MOD(ROW()-9,24)</f>
        <v>9</v>
      </c>
      <c r="C7242" s="12"/>
      <c r="D7242" s="13" t="n">
        <f aca="false">IF(B7242&lt;5,Einstellungen!$B$3,Einstellungen!$B$4)</f>
        <v>29.13</v>
      </c>
      <c r="E7242" s="14" t="str">
        <f aca="false">IF(C7242="","",C7242*D7242/100)</f>
        <v/>
      </c>
      <c r="F7242" s="15" t="str">
        <f aca="false">IF(B7242&lt;5,"Go","Standard")</f>
        <v>Standard</v>
      </c>
    </row>
    <row r="7243" customFormat="false" ht="15" hidden="false" customHeight="true" outlineLevel="0" collapsed="false">
      <c r="A7243" s="10" t="n">
        <f aca="false">Einstellungen!$B$5+INT((ROW()-9)/24)</f>
        <v>46267</v>
      </c>
      <c r="B7243" s="11" t="n">
        <f aca="false">MOD(ROW()-9,24)</f>
        <v>10</v>
      </c>
      <c r="C7243" s="12"/>
      <c r="D7243" s="13" t="n">
        <f aca="false">IF(B7243&lt;5,Einstellungen!$B$3,Einstellungen!$B$4)</f>
        <v>29.13</v>
      </c>
      <c r="E7243" s="14" t="str">
        <f aca="false">IF(C7243="","",C7243*D7243/100)</f>
        <v/>
      </c>
      <c r="F7243" s="15" t="str">
        <f aca="false">IF(B7243&lt;5,"Go","Standard")</f>
        <v>Standard</v>
      </c>
    </row>
    <row r="7244" customFormat="false" ht="15" hidden="false" customHeight="true" outlineLevel="0" collapsed="false">
      <c r="A7244" s="10" t="n">
        <f aca="false">Einstellungen!$B$5+INT((ROW()-9)/24)</f>
        <v>46267</v>
      </c>
      <c r="B7244" s="11" t="n">
        <f aca="false">MOD(ROW()-9,24)</f>
        <v>11</v>
      </c>
      <c r="C7244" s="12"/>
      <c r="D7244" s="13" t="n">
        <f aca="false">IF(B7244&lt;5,Einstellungen!$B$3,Einstellungen!$B$4)</f>
        <v>29.13</v>
      </c>
      <c r="E7244" s="14" t="str">
        <f aca="false">IF(C7244="","",C7244*D7244/100)</f>
        <v/>
      </c>
      <c r="F7244" s="15" t="str">
        <f aca="false">IF(B7244&lt;5,"Go","Standard")</f>
        <v>Standard</v>
      </c>
    </row>
    <row r="7245" customFormat="false" ht="15" hidden="false" customHeight="true" outlineLevel="0" collapsed="false">
      <c r="A7245" s="10" t="n">
        <f aca="false">Einstellungen!$B$5+INT((ROW()-9)/24)</f>
        <v>46267</v>
      </c>
      <c r="B7245" s="11" t="n">
        <f aca="false">MOD(ROW()-9,24)</f>
        <v>12</v>
      </c>
      <c r="C7245" s="12"/>
      <c r="D7245" s="13" t="n">
        <f aca="false">IF(B7245&lt;5,Einstellungen!$B$3,Einstellungen!$B$4)</f>
        <v>29.13</v>
      </c>
      <c r="E7245" s="14" t="str">
        <f aca="false">IF(C7245="","",C7245*D7245/100)</f>
        <v/>
      </c>
      <c r="F7245" s="15" t="str">
        <f aca="false">IF(B7245&lt;5,"Go","Standard")</f>
        <v>Standard</v>
      </c>
    </row>
    <row r="7246" customFormat="false" ht="15" hidden="false" customHeight="true" outlineLevel="0" collapsed="false">
      <c r="A7246" s="10" t="n">
        <f aca="false">Einstellungen!$B$5+INT((ROW()-9)/24)</f>
        <v>46267</v>
      </c>
      <c r="B7246" s="11" t="n">
        <f aca="false">MOD(ROW()-9,24)</f>
        <v>13</v>
      </c>
      <c r="C7246" s="12"/>
      <c r="D7246" s="13" t="n">
        <f aca="false">IF(B7246&lt;5,Einstellungen!$B$3,Einstellungen!$B$4)</f>
        <v>29.13</v>
      </c>
      <c r="E7246" s="14" t="str">
        <f aca="false">IF(C7246="","",C7246*D7246/100)</f>
        <v/>
      </c>
      <c r="F7246" s="15" t="str">
        <f aca="false">IF(B7246&lt;5,"Go","Standard")</f>
        <v>Standard</v>
      </c>
    </row>
    <row r="7247" customFormat="false" ht="15" hidden="false" customHeight="true" outlineLevel="0" collapsed="false">
      <c r="A7247" s="10" t="n">
        <f aca="false">Einstellungen!$B$5+INT((ROW()-9)/24)</f>
        <v>46267</v>
      </c>
      <c r="B7247" s="11" t="n">
        <f aca="false">MOD(ROW()-9,24)</f>
        <v>14</v>
      </c>
      <c r="C7247" s="12"/>
      <c r="D7247" s="13" t="n">
        <f aca="false">IF(B7247&lt;5,Einstellungen!$B$3,Einstellungen!$B$4)</f>
        <v>29.13</v>
      </c>
      <c r="E7247" s="14" t="str">
        <f aca="false">IF(C7247="","",C7247*D7247/100)</f>
        <v/>
      </c>
      <c r="F7247" s="15" t="str">
        <f aca="false">IF(B7247&lt;5,"Go","Standard")</f>
        <v>Standard</v>
      </c>
    </row>
    <row r="7248" customFormat="false" ht="15" hidden="false" customHeight="true" outlineLevel="0" collapsed="false">
      <c r="A7248" s="10" t="n">
        <f aca="false">Einstellungen!$B$5+INT((ROW()-9)/24)</f>
        <v>46267</v>
      </c>
      <c r="B7248" s="11" t="n">
        <f aca="false">MOD(ROW()-9,24)</f>
        <v>15</v>
      </c>
      <c r="C7248" s="12"/>
      <c r="D7248" s="13" t="n">
        <f aca="false">IF(B7248&lt;5,Einstellungen!$B$3,Einstellungen!$B$4)</f>
        <v>29.13</v>
      </c>
      <c r="E7248" s="14" t="str">
        <f aca="false">IF(C7248="","",C7248*D7248/100)</f>
        <v/>
      </c>
      <c r="F7248" s="15" t="str">
        <f aca="false">IF(B7248&lt;5,"Go","Standard")</f>
        <v>Standard</v>
      </c>
    </row>
    <row r="7249" customFormat="false" ht="15" hidden="false" customHeight="true" outlineLevel="0" collapsed="false">
      <c r="A7249" s="10" t="n">
        <f aca="false">Einstellungen!$B$5+INT((ROW()-9)/24)</f>
        <v>46267</v>
      </c>
      <c r="B7249" s="11" t="n">
        <f aca="false">MOD(ROW()-9,24)</f>
        <v>16</v>
      </c>
      <c r="C7249" s="12"/>
      <c r="D7249" s="13" t="n">
        <f aca="false">IF(B7249&lt;5,Einstellungen!$B$3,Einstellungen!$B$4)</f>
        <v>29.13</v>
      </c>
      <c r="E7249" s="14" t="str">
        <f aca="false">IF(C7249="","",C7249*D7249/100)</f>
        <v/>
      </c>
      <c r="F7249" s="15" t="str">
        <f aca="false">IF(B7249&lt;5,"Go","Standard")</f>
        <v>Standard</v>
      </c>
    </row>
    <row r="7250" customFormat="false" ht="15" hidden="false" customHeight="true" outlineLevel="0" collapsed="false">
      <c r="A7250" s="10" t="n">
        <f aca="false">Einstellungen!$B$5+INT((ROW()-9)/24)</f>
        <v>46267</v>
      </c>
      <c r="B7250" s="11" t="n">
        <f aca="false">MOD(ROW()-9,24)</f>
        <v>17</v>
      </c>
      <c r="C7250" s="12"/>
      <c r="D7250" s="13" t="n">
        <f aca="false">IF(B7250&lt;5,Einstellungen!$B$3,Einstellungen!$B$4)</f>
        <v>29.13</v>
      </c>
      <c r="E7250" s="14" t="str">
        <f aca="false">IF(C7250="","",C7250*D7250/100)</f>
        <v/>
      </c>
      <c r="F7250" s="15" t="str">
        <f aca="false">IF(B7250&lt;5,"Go","Standard")</f>
        <v>Standard</v>
      </c>
    </row>
    <row r="7251" customFormat="false" ht="15" hidden="false" customHeight="true" outlineLevel="0" collapsed="false">
      <c r="A7251" s="10" t="n">
        <f aca="false">Einstellungen!$B$5+INT((ROW()-9)/24)</f>
        <v>46267</v>
      </c>
      <c r="B7251" s="11" t="n">
        <f aca="false">MOD(ROW()-9,24)</f>
        <v>18</v>
      </c>
      <c r="C7251" s="12"/>
      <c r="D7251" s="13" t="n">
        <f aca="false">IF(B7251&lt;5,Einstellungen!$B$3,Einstellungen!$B$4)</f>
        <v>29.13</v>
      </c>
      <c r="E7251" s="14" t="str">
        <f aca="false">IF(C7251="","",C7251*D7251/100)</f>
        <v/>
      </c>
      <c r="F7251" s="15" t="str">
        <f aca="false">IF(B7251&lt;5,"Go","Standard")</f>
        <v>Standard</v>
      </c>
    </row>
    <row r="7252" customFormat="false" ht="15" hidden="false" customHeight="true" outlineLevel="0" collapsed="false">
      <c r="A7252" s="10" t="n">
        <f aca="false">Einstellungen!$B$5+INT((ROW()-9)/24)</f>
        <v>46267</v>
      </c>
      <c r="B7252" s="11" t="n">
        <f aca="false">MOD(ROW()-9,24)</f>
        <v>19</v>
      </c>
      <c r="C7252" s="12"/>
      <c r="D7252" s="13" t="n">
        <f aca="false">IF(B7252&lt;5,Einstellungen!$B$3,Einstellungen!$B$4)</f>
        <v>29.13</v>
      </c>
      <c r="E7252" s="14" t="str">
        <f aca="false">IF(C7252="","",C7252*D7252/100)</f>
        <v/>
      </c>
      <c r="F7252" s="15" t="str">
        <f aca="false">IF(B7252&lt;5,"Go","Standard")</f>
        <v>Standard</v>
      </c>
    </row>
    <row r="7253" customFormat="false" ht="15" hidden="false" customHeight="true" outlineLevel="0" collapsed="false">
      <c r="A7253" s="10" t="n">
        <f aca="false">Einstellungen!$B$5+INT((ROW()-9)/24)</f>
        <v>46267</v>
      </c>
      <c r="B7253" s="11" t="n">
        <f aca="false">MOD(ROW()-9,24)</f>
        <v>20</v>
      </c>
      <c r="C7253" s="12"/>
      <c r="D7253" s="13" t="n">
        <f aca="false">IF(B7253&lt;5,Einstellungen!$B$3,Einstellungen!$B$4)</f>
        <v>29.13</v>
      </c>
      <c r="E7253" s="14" t="str">
        <f aca="false">IF(C7253="","",C7253*D7253/100)</f>
        <v/>
      </c>
      <c r="F7253" s="15" t="str">
        <f aca="false">IF(B7253&lt;5,"Go","Standard")</f>
        <v>Standard</v>
      </c>
    </row>
    <row r="7254" customFormat="false" ht="15" hidden="false" customHeight="true" outlineLevel="0" collapsed="false">
      <c r="A7254" s="10" t="n">
        <f aca="false">Einstellungen!$B$5+INT((ROW()-9)/24)</f>
        <v>46267</v>
      </c>
      <c r="B7254" s="11" t="n">
        <f aca="false">MOD(ROW()-9,24)</f>
        <v>21</v>
      </c>
      <c r="C7254" s="12"/>
      <c r="D7254" s="13" t="n">
        <f aca="false">IF(B7254&lt;5,Einstellungen!$B$3,Einstellungen!$B$4)</f>
        <v>29.13</v>
      </c>
      <c r="E7254" s="14" t="str">
        <f aca="false">IF(C7254="","",C7254*D7254/100)</f>
        <v/>
      </c>
      <c r="F7254" s="15" t="str">
        <f aca="false">IF(B7254&lt;5,"Go","Standard")</f>
        <v>Standard</v>
      </c>
    </row>
    <row r="7255" customFormat="false" ht="15" hidden="false" customHeight="true" outlineLevel="0" collapsed="false">
      <c r="A7255" s="10" t="n">
        <f aca="false">Einstellungen!$B$5+INT((ROW()-9)/24)</f>
        <v>46267</v>
      </c>
      <c r="B7255" s="11" t="n">
        <f aca="false">MOD(ROW()-9,24)</f>
        <v>22</v>
      </c>
      <c r="C7255" s="12"/>
      <c r="D7255" s="13" t="n">
        <f aca="false">IF(B7255&lt;5,Einstellungen!$B$3,Einstellungen!$B$4)</f>
        <v>29.13</v>
      </c>
      <c r="E7255" s="14" t="str">
        <f aca="false">IF(C7255="","",C7255*D7255/100)</f>
        <v/>
      </c>
      <c r="F7255" s="15" t="str">
        <f aca="false">IF(B7255&lt;5,"Go","Standard")</f>
        <v>Standard</v>
      </c>
    </row>
    <row r="7256" customFormat="false" ht="15" hidden="false" customHeight="true" outlineLevel="0" collapsed="false">
      <c r="A7256" s="10" t="n">
        <f aca="false">Einstellungen!$B$5+INT((ROW()-9)/24)</f>
        <v>46267</v>
      </c>
      <c r="B7256" s="11" t="n">
        <f aca="false">MOD(ROW()-9,24)</f>
        <v>23</v>
      </c>
      <c r="C7256" s="12"/>
      <c r="D7256" s="13" t="n">
        <f aca="false">IF(B7256&lt;5,Einstellungen!$B$3,Einstellungen!$B$4)</f>
        <v>29.13</v>
      </c>
      <c r="E7256" s="14" t="str">
        <f aca="false">IF(C7256="","",C7256*D7256/100)</f>
        <v/>
      </c>
      <c r="F7256" s="15" t="str">
        <f aca="false">IF(B7256&lt;5,"Go","Standard")</f>
        <v>Standard</v>
      </c>
    </row>
    <row r="7257" customFormat="false" ht="15" hidden="false" customHeight="true" outlineLevel="0" collapsed="false">
      <c r="A7257" s="10" t="n">
        <f aca="false">Einstellungen!$B$5+INT((ROW()-9)/24)</f>
        <v>46268</v>
      </c>
      <c r="B7257" s="11" t="n">
        <f aca="false">MOD(ROW()-9,24)</f>
        <v>0</v>
      </c>
      <c r="C7257" s="12"/>
      <c r="D7257" s="13" t="n">
        <f aca="false">IF(B7257&lt;5,Einstellungen!$B$3,Einstellungen!$B$4)</f>
        <v>15.92</v>
      </c>
      <c r="E7257" s="14" t="str">
        <f aca="false">IF(C7257="","",C7257*D7257/100)</f>
        <v/>
      </c>
      <c r="F7257" s="15" t="str">
        <f aca="false">IF(B7257&lt;5,"Go","Standard")</f>
        <v>Go</v>
      </c>
    </row>
    <row r="7258" customFormat="false" ht="15" hidden="false" customHeight="true" outlineLevel="0" collapsed="false">
      <c r="A7258" s="10" t="n">
        <f aca="false">Einstellungen!$B$5+INT((ROW()-9)/24)</f>
        <v>46268</v>
      </c>
      <c r="B7258" s="11" t="n">
        <f aca="false">MOD(ROW()-9,24)</f>
        <v>1</v>
      </c>
      <c r="C7258" s="12"/>
      <c r="D7258" s="13" t="n">
        <f aca="false">IF(B7258&lt;5,Einstellungen!$B$3,Einstellungen!$B$4)</f>
        <v>15.92</v>
      </c>
      <c r="E7258" s="14" t="str">
        <f aca="false">IF(C7258="","",C7258*D7258/100)</f>
        <v/>
      </c>
      <c r="F7258" s="15" t="str">
        <f aca="false">IF(B7258&lt;5,"Go","Standard")</f>
        <v>Go</v>
      </c>
    </row>
    <row r="7259" customFormat="false" ht="15" hidden="false" customHeight="true" outlineLevel="0" collapsed="false">
      <c r="A7259" s="10" t="n">
        <f aca="false">Einstellungen!$B$5+INT((ROW()-9)/24)</f>
        <v>46268</v>
      </c>
      <c r="B7259" s="11" t="n">
        <f aca="false">MOD(ROW()-9,24)</f>
        <v>2</v>
      </c>
      <c r="C7259" s="12"/>
      <c r="D7259" s="13" t="n">
        <f aca="false">IF(B7259&lt;5,Einstellungen!$B$3,Einstellungen!$B$4)</f>
        <v>15.92</v>
      </c>
      <c r="E7259" s="14" t="str">
        <f aca="false">IF(C7259="","",C7259*D7259/100)</f>
        <v/>
      </c>
      <c r="F7259" s="15" t="str">
        <f aca="false">IF(B7259&lt;5,"Go","Standard")</f>
        <v>Go</v>
      </c>
    </row>
    <row r="7260" customFormat="false" ht="15" hidden="false" customHeight="true" outlineLevel="0" collapsed="false">
      <c r="A7260" s="10" t="n">
        <f aca="false">Einstellungen!$B$5+INT((ROW()-9)/24)</f>
        <v>46268</v>
      </c>
      <c r="B7260" s="11" t="n">
        <f aca="false">MOD(ROW()-9,24)</f>
        <v>3</v>
      </c>
      <c r="C7260" s="12"/>
      <c r="D7260" s="13" t="n">
        <f aca="false">IF(B7260&lt;5,Einstellungen!$B$3,Einstellungen!$B$4)</f>
        <v>15.92</v>
      </c>
      <c r="E7260" s="14" t="str">
        <f aca="false">IF(C7260="","",C7260*D7260/100)</f>
        <v/>
      </c>
      <c r="F7260" s="15" t="str">
        <f aca="false">IF(B7260&lt;5,"Go","Standard")</f>
        <v>Go</v>
      </c>
    </row>
    <row r="7261" customFormat="false" ht="15" hidden="false" customHeight="true" outlineLevel="0" collapsed="false">
      <c r="A7261" s="10" t="n">
        <f aca="false">Einstellungen!$B$5+INT((ROW()-9)/24)</f>
        <v>46268</v>
      </c>
      <c r="B7261" s="11" t="n">
        <f aca="false">MOD(ROW()-9,24)</f>
        <v>4</v>
      </c>
      <c r="C7261" s="12"/>
      <c r="D7261" s="13" t="n">
        <f aca="false">IF(B7261&lt;5,Einstellungen!$B$3,Einstellungen!$B$4)</f>
        <v>15.92</v>
      </c>
      <c r="E7261" s="14" t="str">
        <f aca="false">IF(C7261="","",C7261*D7261/100)</f>
        <v/>
      </c>
      <c r="F7261" s="15" t="str">
        <f aca="false">IF(B7261&lt;5,"Go","Standard")</f>
        <v>Go</v>
      </c>
    </row>
    <row r="7262" customFormat="false" ht="15" hidden="false" customHeight="true" outlineLevel="0" collapsed="false">
      <c r="A7262" s="10" t="n">
        <f aca="false">Einstellungen!$B$5+INT((ROW()-9)/24)</f>
        <v>46268</v>
      </c>
      <c r="B7262" s="11" t="n">
        <f aca="false">MOD(ROW()-9,24)</f>
        <v>5</v>
      </c>
      <c r="C7262" s="12"/>
      <c r="D7262" s="13" t="n">
        <f aca="false">IF(B7262&lt;5,Einstellungen!$B$3,Einstellungen!$B$4)</f>
        <v>29.13</v>
      </c>
      <c r="E7262" s="14" t="str">
        <f aca="false">IF(C7262="","",C7262*D7262/100)</f>
        <v/>
      </c>
      <c r="F7262" s="15" t="str">
        <f aca="false">IF(B7262&lt;5,"Go","Standard")</f>
        <v>Standard</v>
      </c>
    </row>
    <row r="7263" customFormat="false" ht="15" hidden="false" customHeight="true" outlineLevel="0" collapsed="false">
      <c r="A7263" s="10" t="n">
        <f aca="false">Einstellungen!$B$5+INT((ROW()-9)/24)</f>
        <v>46268</v>
      </c>
      <c r="B7263" s="11" t="n">
        <f aca="false">MOD(ROW()-9,24)</f>
        <v>6</v>
      </c>
      <c r="C7263" s="12"/>
      <c r="D7263" s="13" t="n">
        <f aca="false">IF(B7263&lt;5,Einstellungen!$B$3,Einstellungen!$B$4)</f>
        <v>29.13</v>
      </c>
      <c r="E7263" s="14" t="str">
        <f aca="false">IF(C7263="","",C7263*D7263/100)</f>
        <v/>
      </c>
      <c r="F7263" s="15" t="str">
        <f aca="false">IF(B7263&lt;5,"Go","Standard")</f>
        <v>Standard</v>
      </c>
    </row>
    <row r="7264" customFormat="false" ht="15" hidden="false" customHeight="true" outlineLevel="0" collapsed="false">
      <c r="A7264" s="10" t="n">
        <f aca="false">Einstellungen!$B$5+INT((ROW()-9)/24)</f>
        <v>46268</v>
      </c>
      <c r="B7264" s="11" t="n">
        <f aca="false">MOD(ROW()-9,24)</f>
        <v>7</v>
      </c>
      <c r="C7264" s="12"/>
      <c r="D7264" s="13" t="n">
        <f aca="false">IF(B7264&lt;5,Einstellungen!$B$3,Einstellungen!$B$4)</f>
        <v>29.13</v>
      </c>
      <c r="E7264" s="14" t="str">
        <f aca="false">IF(C7264="","",C7264*D7264/100)</f>
        <v/>
      </c>
      <c r="F7264" s="15" t="str">
        <f aca="false">IF(B7264&lt;5,"Go","Standard")</f>
        <v>Standard</v>
      </c>
    </row>
    <row r="7265" customFormat="false" ht="15" hidden="false" customHeight="true" outlineLevel="0" collapsed="false">
      <c r="A7265" s="10" t="n">
        <f aca="false">Einstellungen!$B$5+INT((ROW()-9)/24)</f>
        <v>46268</v>
      </c>
      <c r="B7265" s="11" t="n">
        <f aca="false">MOD(ROW()-9,24)</f>
        <v>8</v>
      </c>
      <c r="C7265" s="12"/>
      <c r="D7265" s="13" t="n">
        <f aca="false">IF(B7265&lt;5,Einstellungen!$B$3,Einstellungen!$B$4)</f>
        <v>29.13</v>
      </c>
      <c r="E7265" s="14" t="str">
        <f aca="false">IF(C7265="","",C7265*D7265/100)</f>
        <v/>
      </c>
      <c r="F7265" s="15" t="str">
        <f aca="false">IF(B7265&lt;5,"Go","Standard")</f>
        <v>Standard</v>
      </c>
    </row>
    <row r="7266" customFormat="false" ht="15" hidden="false" customHeight="true" outlineLevel="0" collapsed="false">
      <c r="A7266" s="10" t="n">
        <f aca="false">Einstellungen!$B$5+INT((ROW()-9)/24)</f>
        <v>46268</v>
      </c>
      <c r="B7266" s="11" t="n">
        <f aca="false">MOD(ROW()-9,24)</f>
        <v>9</v>
      </c>
      <c r="C7266" s="12"/>
      <c r="D7266" s="13" t="n">
        <f aca="false">IF(B7266&lt;5,Einstellungen!$B$3,Einstellungen!$B$4)</f>
        <v>29.13</v>
      </c>
      <c r="E7266" s="14" t="str">
        <f aca="false">IF(C7266="","",C7266*D7266/100)</f>
        <v/>
      </c>
      <c r="F7266" s="15" t="str">
        <f aca="false">IF(B7266&lt;5,"Go","Standard")</f>
        <v>Standard</v>
      </c>
    </row>
    <row r="7267" customFormat="false" ht="15" hidden="false" customHeight="true" outlineLevel="0" collapsed="false">
      <c r="A7267" s="10" t="n">
        <f aca="false">Einstellungen!$B$5+INT((ROW()-9)/24)</f>
        <v>46268</v>
      </c>
      <c r="B7267" s="11" t="n">
        <f aca="false">MOD(ROW()-9,24)</f>
        <v>10</v>
      </c>
      <c r="C7267" s="12"/>
      <c r="D7267" s="13" t="n">
        <f aca="false">IF(B7267&lt;5,Einstellungen!$B$3,Einstellungen!$B$4)</f>
        <v>29.13</v>
      </c>
      <c r="E7267" s="14" t="str">
        <f aca="false">IF(C7267="","",C7267*D7267/100)</f>
        <v/>
      </c>
      <c r="F7267" s="15" t="str">
        <f aca="false">IF(B7267&lt;5,"Go","Standard")</f>
        <v>Standard</v>
      </c>
    </row>
    <row r="7268" customFormat="false" ht="15" hidden="false" customHeight="true" outlineLevel="0" collapsed="false">
      <c r="A7268" s="10" t="n">
        <f aca="false">Einstellungen!$B$5+INT((ROW()-9)/24)</f>
        <v>46268</v>
      </c>
      <c r="B7268" s="11" t="n">
        <f aca="false">MOD(ROW()-9,24)</f>
        <v>11</v>
      </c>
      <c r="C7268" s="12"/>
      <c r="D7268" s="13" t="n">
        <f aca="false">IF(B7268&lt;5,Einstellungen!$B$3,Einstellungen!$B$4)</f>
        <v>29.13</v>
      </c>
      <c r="E7268" s="14" t="str">
        <f aca="false">IF(C7268="","",C7268*D7268/100)</f>
        <v/>
      </c>
      <c r="F7268" s="15" t="str">
        <f aca="false">IF(B7268&lt;5,"Go","Standard")</f>
        <v>Standard</v>
      </c>
    </row>
    <row r="7269" customFormat="false" ht="15" hidden="false" customHeight="true" outlineLevel="0" collapsed="false">
      <c r="A7269" s="10" t="n">
        <f aca="false">Einstellungen!$B$5+INT((ROW()-9)/24)</f>
        <v>46268</v>
      </c>
      <c r="B7269" s="11" t="n">
        <f aca="false">MOD(ROW()-9,24)</f>
        <v>12</v>
      </c>
      <c r="C7269" s="12"/>
      <c r="D7269" s="13" t="n">
        <f aca="false">IF(B7269&lt;5,Einstellungen!$B$3,Einstellungen!$B$4)</f>
        <v>29.13</v>
      </c>
      <c r="E7269" s="14" t="str">
        <f aca="false">IF(C7269="","",C7269*D7269/100)</f>
        <v/>
      </c>
      <c r="F7269" s="15" t="str">
        <f aca="false">IF(B7269&lt;5,"Go","Standard")</f>
        <v>Standard</v>
      </c>
    </row>
    <row r="7270" customFormat="false" ht="15" hidden="false" customHeight="true" outlineLevel="0" collapsed="false">
      <c r="A7270" s="10" t="n">
        <f aca="false">Einstellungen!$B$5+INT((ROW()-9)/24)</f>
        <v>46268</v>
      </c>
      <c r="B7270" s="11" t="n">
        <f aca="false">MOD(ROW()-9,24)</f>
        <v>13</v>
      </c>
      <c r="C7270" s="12"/>
      <c r="D7270" s="13" t="n">
        <f aca="false">IF(B7270&lt;5,Einstellungen!$B$3,Einstellungen!$B$4)</f>
        <v>29.13</v>
      </c>
      <c r="E7270" s="14" t="str">
        <f aca="false">IF(C7270="","",C7270*D7270/100)</f>
        <v/>
      </c>
      <c r="F7270" s="15" t="str">
        <f aca="false">IF(B7270&lt;5,"Go","Standard")</f>
        <v>Standard</v>
      </c>
    </row>
    <row r="7271" customFormat="false" ht="15" hidden="false" customHeight="true" outlineLevel="0" collapsed="false">
      <c r="A7271" s="10" t="n">
        <f aca="false">Einstellungen!$B$5+INT((ROW()-9)/24)</f>
        <v>46268</v>
      </c>
      <c r="B7271" s="11" t="n">
        <f aca="false">MOD(ROW()-9,24)</f>
        <v>14</v>
      </c>
      <c r="C7271" s="12"/>
      <c r="D7271" s="13" t="n">
        <f aca="false">IF(B7271&lt;5,Einstellungen!$B$3,Einstellungen!$B$4)</f>
        <v>29.13</v>
      </c>
      <c r="E7271" s="14" t="str">
        <f aca="false">IF(C7271="","",C7271*D7271/100)</f>
        <v/>
      </c>
      <c r="F7271" s="15" t="str">
        <f aca="false">IF(B7271&lt;5,"Go","Standard")</f>
        <v>Standard</v>
      </c>
    </row>
    <row r="7272" customFormat="false" ht="15" hidden="false" customHeight="true" outlineLevel="0" collapsed="false">
      <c r="A7272" s="10" t="n">
        <f aca="false">Einstellungen!$B$5+INT((ROW()-9)/24)</f>
        <v>46268</v>
      </c>
      <c r="B7272" s="11" t="n">
        <f aca="false">MOD(ROW()-9,24)</f>
        <v>15</v>
      </c>
      <c r="C7272" s="12"/>
      <c r="D7272" s="13" t="n">
        <f aca="false">IF(B7272&lt;5,Einstellungen!$B$3,Einstellungen!$B$4)</f>
        <v>29.13</v>
      </c>
      <c r="E7272" s="14" t="str">
        <f aca="false">IF(C7272="","",C7272*D7272/100)</f>
        <v/>
      </c>
      <c r="F7272" s="15" t="str">
        <f aca="false">IF(B7272&lt;5,"Go","Standard")</f>
        <v>Standard</v>
      </c>
    </row>
    <row r="7273" customFormat="false" ht="15" hidden="false" customHeight="true" outlineLevel="0" collapsed="false">
      <c r="A7273" s="10" t="n">
        <f aca="false">Einstellungen!$B$5+INT((ROW()-9)/24)</f>
        <v>46268</v>
      </c>
      <c r="B7273" s="11" t="n">
        <f aca="false">MOD(ROW()-9,24)</f>
        <v>16</v>
      </c>
      <c r="C7273" s="12"/>
      <c r="D7273" s="13" t="n">
        <f aca="false">IF(B7273&lt;5,Einstellungen!$B$3,Einstellungen!$B$4)</f>
        <v>29.13</v>
      </c>
      <c r="E7273" s="14" t="str">
        <f aca="false">IF(C7273="","",C7273*D7273/100)</f>
        <v/>
      </c>
      <c r="F7273" s="15" t="str">
        <f aca="false">IF(B7273&lt;5,"Go","Standard")</f>
        <v>Standard</v>
      </c>
    </row>
    <row r="7274" customFormat="false" ht="15" hidden="false" customHeight="true" outlineLevel="0" collapsed="false">
      <c r="A7274" s="10" t="n">
        <f aca="false">Einstellungen!$B$5+INT((ROW()-9)/24)</f>
        <v>46268</v>
      </c>
      <c r="B7274" s="11" t="n">
        <f aca="false">MOD(ROW()-9,24)</f>
        <v>17</v>
      </c>
      <c r="C7274" s="12"/>
      <c r="D7274" s="13" t="n">
        <f aca="false">IF(B7274&lt;5,Einstellungen!$B$3,Einstellungen!$B$4)</f>
        <v>29.13</v>
      </c>
      <c r="E7274" s="14" t="str">
        <f aca="false">IF(C7274="","",C7274*D7274/100)</f>
        <v/>
      </c>
      <c r="F7274" s="15" t="str">
        <f aca="false">IF(B7274&lt;5,"Go","Standard")</f>
        <v>Standard</v>
      </c>
    </row>
    <row r="7275" customFormat="false" ht="15" hidden="false" customHeight="true" outlineLevel="0" collapsed="false">
      <c r="A7275" s="10" t="n">
        <f aca="false">Einstellungen!$B$5+INT((ROW()-9)/24)</f>
        <v>46268</v>
      </c>
      <c r="B7275" s="11" t="n">
        <f aca="false">MOD(ROW()-9,24)</f>
        <v>18</v>
      </c>
      <c r="C7275" s="12"/>
      <c r="D7275" s="13" t="n">
        <f aca="false">IF(B7275&lt;5,Einstellungen!$B$3,Einstellungen!$B$4)</f>
        <v>29.13</v>
      </c>
      <c r="E7275" s="14" t="str">
        <f aca="false">IF(C7275="","",C7275*D7275/100)</f>
        <v/>
      </c>
      <c r="F7275" s="15" t="str">
        <f aca="false">IF(B7275&lt;5,"Go","Standard")</f>
        <v>Standard</v>
      </c>
    </row>
    <row r="7276" customFormat="false" ht="15" hidden="false" customHeight="true" outlineLevel="0" collapsed="false">
      <c r="A7276" s="10" t="n">
        <f aca="false">Einstellungen!$B$5+INT((ROW()-9)/24)</f>
        <v>46268</v>
      </c>
      <c r="B7276" s="11" t="n">
        <f aca="false">MOD(ROW()-9,24)</f>
        <v>19</v>
      </c>
      <c r="C7276" s="12"/>
      <c r="D7276" s="13" t="n">
        <f aca="false">IF(B7276&lt;5,Einstellungen!$B$3,Einstellungen!$B$4)</f>
        <v>29.13</v>
      </c>
      <c r="E7276" s="14" t="str">
        <f aca="false">IF(C7276="","",C7276*D7276/100)</f>
        <v/>
      </c>
      <c r="F7276" s="15" t="str">
        <f aca="false">IF(B7276&lt;5,"Go","Standard")</f>
        <v>Standard</v>
      </c>
    </row>
    <row r="7277" customFormat="false" ht="15" hidden="false" customHeight="true" outlineLevel="0" collapsed="false">
      <c r="A7277" s="10" t="n">
        <f aca="false">Einstellungen!$B$5+INT((ROW()-9)/24)</f>
        <v>46268</v>
      </c>
      <c r="B7277" s="11" t="n">
        <f aca="false">MOD(ROW()-9,24)</f>
        <v>20</v>
      </c>
      <c r="C7277" s="12"/>
      <c r="D7277" s="13" t="n">
        <f aca="false">IF(B7277&lt;5,Einstellungen!$B$3,Einstellungen!$B$4)</f>
        <v>29.13</v>
      </c>
      <c r="E7277" s="14" t="str">
        <f aca="false">IF(C7277="","",C7277*D7277/100)</f>
        <v/>
      </c>
      <c r="F7277" s="15" t="str">
        <f aca="false">IF(B7277&lt;5,"Go","Standard")</f>
        <v>Standard</v>
      </c>
    </row>
    <row r="7278" customFormat="false" ht="15" hidden="false" customHeight="true" outlineLevel="0" collapsed="false">
      <c r="A7278" s="10" t="n">
        <f aca="false">Einstellungen!$B$5+INT((ROW()-9)/24)</f>
        <v>46268</v>
      </c>
      <c r="B7278" s="11" t="n">
        <f aca="false">MOD(ROW()-9,24)</f>
        <v>21</v>
      </c>
      <c r="C7278" s="12"/>
      <c r="D7278" s="13" t="n">
        <f aca="false">IF(B7278&lt;5,Einstellungen!$B$3,Einstellungen!$B$4)</f>
        <v>29.13</v>
      </c>
      <c r="E7278" s="14" t="str">
        <f aca="false">IF(C7278="","",C7278*D7278/100)</f>
        <v/>
      </c>
      <c r="F7278" s="15" t="str">
        <f aca="false">IF(B7278&lt;5,"Go","Standard")</f>
        <v>Standard</v>
      </c>
    </row>
    <row r="7279" customFormat="false" ht="15" hidden="false" customHeight="true" outlineLevel="0" collapsed="false">
      <c r="A7279" s="10" t="n">
        <f aca="false">Einstellungen!$B$5+INT((ROW()-9)/24)</f>
        <v>46268</v>
      </c>
      <c r="B7279" s="11" t="n">
        <f aca="false">MOD(ROW()-9,24)</f>
        <v>22</v>
      </c>
      <c r="C7279" s="12"/>
      <c r="D7279" s="13" t="n">
        <f aca="false">IF(B7279&lt;5,Einstellungen!$B$3,Einstellungen!$B$4)</f>
        <v>29.13</v>
      </c>
      <c r="E7279" s="14" t="str">
        <f aca="false">IF(C7279="","",C7279*D7279/100)</f>
        <v/>
      </c>
      <c r="F7279" s="15" t="str">
        <f aca="false">IF(B7279&lt;5,"Go","Standard")</f>
        <v>Standard</v>
      </c>
    </row>
    <row r="7280" customFormat="false" ht="15" hidden="false" customHeight="true" outlineLevel="0" collapsed="false">
      <c r="A7280" s="10" t="n">
        <f aca="false">Einstellungen!$B$5+INT((ROW()-9)/24)</f>
        <v>46268</v>
      </c>
      <c r="B7280" s="11" t="n">
        <f aca="false">MOD(ROW()-9,24)</f>
        <v>23</v>
      </c>
      <c r="C7280" s="12"/>
      <c r="D7280" s="13" t="n">
        <f aca="false">IF(B7280&lt;5,Einstellungen!$B$3,Einstellungen!$B$4)</f>
        <v>29.13</v>
      </c>
      <c r="E7280" s="14" t="str">
        <f aca="false">IF(C7280="","",C7280*D7280/100)</f>
        <v/>
      </c>
      <c r="F7280" s="15" t="str">
        <f aca="false">IF(B7280&lt;5,"Go","Standard")</f>
        <v>Standard</v>
      </c>
    </row>
    <row r="7281" customFormat="false" ht="15" hidden="false" customHeight="true" outlineLevel="0" collapsed="false">
      <c r="A7281" s="10" t="n">
        <f aca="false">Einstellungen!$B$5+INT((ROW()-9)/24)</f>
        <v>46269</v>
      </c>
      <c r="B7281" s="11" t="n">
        <f aca="false">MOD(ROW()-9,24)</f>
        <v>0</v>
      </c>
      <c r="C7281" s="12"/>
      <c r="D7281" s="13" t="n">
        <f aca="false">IF(B7281&lt;5,Einstellungen!$B$3,Einstellungen!$B$4)</f>
        <v>15.92</v>
      </c>
      <c r="E7281" s="14" t="str">
        <f aca="false">IF(C7281="","",C7281*D7281/100)</f>
        <v/>
      </c>
      <c r="F7281" s="15" t="str">
        <f aca="false">IF(B7281&lt;5,"Go","Standard")</f>
        <v>Go</v>
      </c>
    </row>
    <row r="7282" customFormat="false" ht="15" hidden="false" customHeight="true" outlineLevel="0" collapsed="false">
      <c r="A7282" s="10" t="n">
        <f aca="false">Einstellungen!$B$5+INT((ROW()-9)/24)</f>
        <v>46269</v>
      </c>
      <c r="B7282" s="11" t="n">
        <f aca="false">MOD(ROW()-9,24)</f>
        <v>1</v>
      </c>
      <c r="C7282" s="12"/>
      <c r="D7282" s="13" t="n">
        <f aca="false">IF(B7282&lt;5,Einstellungen!$B$3,Einstellungen!$B$4)</f>
        <v>15.92</v>
      </c>
      <c r="E7282" s="14" t="str">
        <f aca="false">IF(C7282="","",C7282*D7282/100)</f>
        <v/>
      </c>
      <c r="F7282" s="15" t="str">
        <f aca="false">IF(B7282&lt;5,"Go","Standard")</f>
        <v>Go</v>
      </c>
    </row>
    <row r="7283" customFormat="false" ht="15" hidden="false" customHeight="true" outlineLevel="0" collapsed="false">
      <c r="A7283" s="10" t="n">
        <f aca="false">Einstellungen!$B$5+INT((ROW()-9)/24)</f>
        <v>46269</v>
      </c>
      <c r="B7283" s="11" t="n">
        <f aca="false">MOD(ROW()-9,24)</f>
        <v>2</v>
      </c>
      <c r="C7283" s="12"/>
      <c r="D7283" s="13" t="n">
        <f aca="false">IF(B7283&lt;5,Einstellungen!$B$3,Einstellungen!$B$4)</f>
        <v>15.92</v>
      </c>
      <c r="E7283" s="14" t="str">
        <f aca="false">IF(C7283="","",C7283*D7283/100)</f>
        <v/>
      </c>
      <c r="F7283" s="15" t="str">
        <f aca="false">IF(B7283&lt;5,"Go","Standard")</f>
        <v>Go</v>
      </c>
    </row>
    <row r="7284" customFormat="false" ht="15" hidden="false" customHeight="true" outlineLevel="0" collapsed="false">
      <c r="A7284" s="10" t="n">
        <f aca="false">Einstellungen!$B$5+INT((ROW()-9)/24)</f>
        <v>46269</v>
      </c>
      <c r="B7284" s="11" t="n">
        <f aca="false">MOD(ROW()-9,24)</f>
        <v>3</v>
      </c>
      <c r="C7284" s="12"/>
      <c r="D7284" s="13" t="n">
        <f aca="false">IF(B7284&lt;5,Einstellungen!$B$3,Einstellungen!$B$4)</f>
        <v>15.92</v>
      </c>
      <c r="E7284" s="14" t="str">
        <f aca="false">IF(C7284="","",C7284*D7284/100)</f>
        <v/>
      </c>
      <c r="F7284" s="15" t="str">
        <f aca="false">IF(B7284&lt;5,"Go","Standard")</f>
        <v>Go</v>
      </c>
    </row>
    <row r="7285" customFormat="false" ht="15" hidden="false" customHeight="true" outlineLevel="0" collapsed="false">
      <c r="A7285" s="10" t="n">
        <f aca="false">Einstellungen!$B$5+INT((ROW()-9)/24)</f>
        <v>46269</v>
      </c>
      <c r="B7285" s="11" t="n">
        <f aca="false">MOD(ROW()-9,24)</f>
        <v>4</v>
      </c>
      <c r="C7285" s="12"/>
      <c r="D7285" s="13" t="n">
        <f aca="false">IF(B7285&lt;5,Einstellungen!$B$3,Einstellungen!$B$4)</f>
        <v>15.92</v>
      </c>
      <c r="E7285" s="14" t="str">
        <f aca="false">IF(C7285="","",C7285*D7285/100)</f>
        <v/>
      </c>
      <c r="F7285" s="15" t="str">
        <f aca="false">IF(B7285&lt;5,"Go","Standard")</f>
        <v>Go</v>
      </c>
    </row>
    <row r="7286" customFormat="false" ht="15" hidden="false" customHeight="true" outlineLevel="0" collapsed="false">
      <c r="A7286" s="10" t="n">
        <f aca="false">Einstellungen!$B$5+INT((ROW()-9)/24)</f>
        <v>46269</v>
      </c>
      <c r="B7286" s="11" t="n">
        <f aca="false">MOD(ROW()-9,24)</f>
        <v>5</v>
      </c>
      <c r="C7286" s="12"/>
      <c r="D7286" s="13" t="n">
        <f aca="false">IF(B7286&lt;5,Einstellungen!$B$3,Einstellungen!$B$4)</f>
        <v>29.13</v>
      </c>
      <c r="E7286" s="14" t="str">
        <f aca="false">IF(C7286="","",C7286*D7286/100)</f>
        <v/>
      </c>
      <c r="F7286" s="15" t="str">
        <f aca="false">IF(B7286&lt;5,"Go","Standard")</f>
        <v>Standard</v>
      </c>
    </row>
    <row r="7287" customFormat="false" ht="15" hidden="false" customHeight="true" outlineLevel="0" collapsed="false">
      <c r="A7287" s="10" t="n">
        <f aca="false">Einstellungen!$B$5+INT((ROW()-9)/24)</f>
        <v>46269</v>
      </c>
      <c r="B7287" s="11" t="n">
        <f aca="false">MOD(ROW()-9,24)</f>
        <v>6</v>
      </c>
      <c r="C7287" s="12"/>
      <c r="D7287" s="13" t="n">
        <f aca="false">IF(B7287&lt;5,Einstellungen!$B$3,Einstellungen!$B$4)</f>
        <v>29.13</v>
      </c>
      <c r="E7287" s="14" t="str">
        <f aca="false">IF(C7287="","",C7287*D7287/100)</f>
        <v/>
      </c>
      <c r="F7287" s="15" t="str">
        <f aca="false">IF(B7287&lt;5,"Go","Standard")</f>
        <v>Standard</v>
      </c>
    </row>
    <row r="7288" customFormat="false" ht="15" hidden="false" customHeight="true" outlineLevel="0" collapsed="false">
      <c r="A7288" s="10" t="n">
        <f aca="false">Einstellungen!$B$5+INT((ROW()-9)/24)</f>
        <v>46269</v>
      </c>
      <c r="B7288" s="11" t="n">
        <f aca="false">MOD(ROW()-9,24)</f>
        <v>7</v>
      </c>
      <c r="C7288" s="12"/>
      <c r="D7288" s="13" t="n">
        <f aca="false">IF(B7288&lt;5,Einstellungen!$B$3,Einstellungen!$B$4)</f>
        <v>29.13</v>
      </c>
      <c r="E7288" s="14" t="str">
        <f aca="false">IF(C7288="","",C7288*D7288/100)</f>
        <v/>
      </c>
      <c r="F7288" s="15" t="str">
        <f aca="false">IF(B7288&lt;5,"Go","Standard")</f>
        <v>Standard</v>
      </c>
    </row>
    <row r="7289" customFormat="false" ht="15" hidden="false" customHeight="true" outlineLevel="0" collapsed="false">
      <c r="A7289" s="10" t="n">
        <f aca="false">Einstellungen!$B$5+INT((ROW()-9)/24)</f>
        <v>46269</v>
      </c>
      <c r="B7289" s="11" t="n">
        <f aca="false">MOD(ROW()-9,24)</f>
        <v>8</v>
      </c>
      <c r="C7289" s="12"/>
      <c r="D7289" s="13" t="n">
        <f aca="false">IF(B7289&lt;5,Einstellungen!$B$3,Einstellungen!$B$4)</f>
        <v>29.13</v>
      </c>
      <c r="E7289" s="14" t="str">
        <f aca="false">IF(C7289="","",C7289*D7289/100)</f>
        <v/>
      </c>
      <c r="F7289" s="15" t="str">
        <f aca="false">IF(B7289&lt;5,"Go","Standard")</f>
        <v>Standard</v>
      </c>
    </row>
    <row r="7290" customFormat="false" ht="15" hidden="false" customHeight="true" outlineLevel="0" collapsed="false">
      <c r="A7290" s="10" t="n">
        <f aca="false">Einstellungen!$B$5+INT((ROW()-9)/24)</f>
        <v>46269</v>
      </c>
      <c r="B7290" s="11" t="n">
        <f aca="false">MOD(ROW()-9,24)</f>
        <v>9</v>
      </c>
      <c r="C7290" s="12"/>
      <c r="D7290" s="13" t="n">
        <f aca="false">IF(B7290&lt;5,Einstellungen!$B$3,Einstellungen!$B$4)</f>
        <v>29.13</v>
      </c>
      <c r="E7290" s="14" t="str">
        <f aca="false">IF(C7290="","",C7290*D7290/100)</f>
        <v/>
      </c>
      <c r="F7290" s="15" t="str">
        <f aca="false">IF(B7290&lt;5,"Go","Standard")</f>
        <v>Standard</v>
      </c>
    </row>
    <row r="7291" customFormat="false" ht="15" hidden="false" customHeight="true" outlineLevel="0" collapsed="false">
      <c r="A7291" s="10" t="n">
        <f aca="false">Einstellungen!$B$5+INT((ROW()-9)/24)</f>
        <v>46269</v>
      </c>
      <c r="B7291" s="11" t="n">
        <f aca="false">MOD(ROW()-9,24)</f>
        <v>10</v>
      </c>
      <c r="C7291" s="12"/>
      <c r="D7291" s="13" t="n">
        <f aca="false">IF(B7291&lt;5,Einstellungen!$B$3,Einstellungen!$B$4)</f>
        <v>29.13</v>
      </c>
      <c r="E7291" s="14" t="str">
        <f aca="false">IF(C7291="","",C7291*D7291/100)</f>
        <v/>
      </c>
      <c r="F7291" s="15" t="str">
        <f aca="false">IF(B7291&lt;5,"Go","Standard")</f>
        <v>Standard</v>
      </c>
    </row>
    <row r="7292" customFormat="false" ht="15" hidden="false" customHeight="true" outlineLevel="0" collapsed="false">
      <c r="A7292" s="10" t="n">
        <f aca="false">Einstellungen!$B$5+INT((ROW()-9)/24)</f>
        <v>46269</v>
      </c>
      <c r="B7292" s="11" t="n">
        <f aca="false">MOD(ROW()-9,24)</f>
        <v>11</v>
      </c>
      <c r="C7292" s="12"/>
      <c r="D7292" s="13" t="n">
        <f aca="false">IF(B7292&lt;5,Einstellungen!$B$3,Einstellungen!$B$4)</f>
        <v>29.13</v>
      </c>
      <c r="E7292" s="14" t="str">
        <f aca="false">IF(C7292="","",C7292*D7292/100)</f>
        <v/>
      </c>
      <c r="F7292" s="15" t="str">
        <f aca="false">IF(B7292&lt;5,"Go","Standard")</f>
        <v>Standard</v>
      </c>
    </row>
    <row r="7293" customFormat="false" ht="15" hidden="false" customHeight="true" outlineLevel="0" collapsed="false">
      <c r="A7293" s="10" t="n">
        <f aca="false">Einstellungen!$B$5+INT((ROW()-9)/24)</f>
        <v>46269</v>
      </c>
      <c r="B7293" s="11" t="n">
        <f aca="false">MOD(ROW()-9,24)</f>
        <v>12</v>
      </c>
      <c r="C7293" s="12"/>
      <c r="D7293" s="13" t="n">
        <f aca="false">IF(B7293&lt;5,Einstellungen!$B$3,Einstellungen!$B$4)</f>
        <v>29.13</v>
      </c>
      <c r="E7293" s="14" t="str">
        <f aca="false">IF(C7293="","",C7293*D7293/100)</f>
        <v/>
      </c>
      <c r="F7293" s="15" t="str">
        <f aca="false">IF(B7293&lt;5,"Go","Standard")</f>
        <v>Standard</v>
      </c>
    </row>
    <row r="7294" customFormat="false" ht="15" hidden="false" customHeight="true" outlineLevel="0" collapsed="false">
      <c r="A7294" s="10" t="n">
        <f aca="false">Einstellungen!$B$5+INT((ROW()-9)/24)</f>
        <v>46269</v>
      </c>
      <c r="B7294" s="11" t="n">
        <f aca="false">MOD(ROW()-9,24)</f>
        <v>13</v>
      </c>
      <c r="C7294" s="12"/>
      <c r="D7294" s="13" t="n">
        <f aca="false">IF(B7294&lt;5,Einstellungen!$B$3,Einstellungen!$B$4)</f>
        <v>29.13</v>
      </c>
      <c r="E7294" s="14" t="str">
        <f aca="false">IF(C7294="","",C7294*D7294/100)</f>
        <v/>
      </c>
      <c r="F7294" s="15" t="str">
        <f aca="false">IF(B7294&lt;5,"Go","Standard")</f>
        <v>Standard</v>
      </c>
    </row>
    <row r="7295" customFormat="false" ht="15" hidden="false" customHeight="true" outlineLevel="0" collapsed="false">
      <c r="A7295" s="10" t="n">
        <f aca="false">Einstellungen!$B$5+INT((ROW()-9)/24)</f>
        <v>46269</v>
      </c>
      <c r="B7295" s="11" t="n">
        <f aca="false">MOD(ROW()-9,24)</f>
        <v>14</v>
      </c>
      <c r="C7295" s="12"/>
      <c r="D7295" s="13" t="n">
        <f aca="false">IF(B7295&lt;5,Einstellungen!$B$3,Einstellungen!$B$4)</f>
        <v>29.13</v>
      </c>
      <c r="E7295" s="14" t="str">
        <f aca="false">IF(C7295="","",C7295*D7295/100)</f>
        <v/>
      </c>
      <c r="F7295" s="15" t="str">
        <f aca="false">IF(B7295&lt;5,"Go","Standard")</f>
        <v>Standard</v>
      </c>
    </row>
    <row r="7296" customFormat="false" ht="15" hidden="false" customHeight="true" outlineLevel="0" collapsed="false">
      <c r="A7296" s="10" t="n">
        <f aca="false">Einstellungen!$B$5+INT((ROW()-9)/24)</f>
        <v>46269</v>
      </c>
      <c r="B7296" s="11" t="n">
        <f aca="false">MOD(ROW()-9,24)</f>
        <v>15</v>
      </c>
      <c r="C7296" s="12"/>
      <c r="D7296" s="13" t="n">
        <f aca="false">IF(B7296&lt;5,Einstellungen!$B$3,Einstellungen!$B$4)</f>
        <v>29.13</v>
      </c>
      <c r="E7296" s="14" t="str">
        <f aca="false">IF(C7296="","",C7296*D7296/100)</f>
        <v/>
      </c>
      <c r="F7296" s="15" t="str">
        <f aca="false">IF(B7296&lt;5,"Go","Standard")</f>
        <v>Standard</v>
      </c>
    </row>
    <row r="7297" customFormat="false" ht="15" hidden="false" customHeight="true" outlineLevel="0" collapsed="false">
      <c r="A7297" s="10" t="n">
        <f aca="false">Einstellungen!$B$5+INT((ROW()-9)/24)</f>
        <v>46269</v>
      </c>
      <c r="B7297" s="11" t="n">
        <f aca="false">MOD(ROW()-9,24)</f>
        <v>16</v>
      </c>
      <c r="C7297" s="12"/>
      <c r="D7297" s="13" t="n">
        <f aca="false">IF(B7297&lt;5,Einstellungen!$B$3,Einstellungen!$B$4)</f>
        <v>29.13</v>
      </c>
      <c r="E7297" s="14" t="str">
        <f aca="false">IF(C7297="","",C7297*D7297/100)</f>
        <v/>
      </c>
      <c r="F7297" s="15" t="str">
        <f aca="false">IF(B7297&lt;5,"Go","Standard")</f>
        <v>Standard</v>
      </c>
    </row>
    <row r="7298" customFormat="false" ht="15" hidden="false" customHeight="true" outlineLevel="0" collapsed="false">
      <c r="A7298" s="10" t="n">
        <f aca="false">Einstellungen!$B$5+INT((ROW()-9)/24)</f>
        <v>46269</v>
      </c>
      <c r="B7298" s="11" t="n">
        <f aca="false">MOD(ROW()-9,24)</f>
        <v>17</v>
      </c>
      <c r="C7298" s="12"/>
      <c r="D7298" s="13" t="n">
        <f aca="false">IF(B7298&lt;5,Einstellungen!$B$3,Einstellungen!$B$4)</f>
        <v>29.13</v>
      </c>
      <c r="E7298" s="14" t="str">
        <f aca="false">IF(C7298="","",C7298*D7298/100)</f>
        <v/>
      </c>
      <c r="F7298" s="15" t="str">
        <f aca="false">IF(B7298&lt;5,"Go","Standard")</f>
        <v>Standard</v>
      </c>
    </row>
    <row r="7299" customFormat="false" ht="15" hidden="false" customHeight="true" outlineLevel="0" collapsed="false">
      <c r="A7299" s="10" t="n">
        <f aca="false">Einstellungen!$B$5+INT((ROW()-9)/24)</f>
        <v>46269</v>
      </c>
      <c r="B7299" s="11" t="n">
        <f aca="false">MOD(ROW()-9,24)</f>
        <v>18</v>
      </c>
      <c r="C7299" s="12"/>
      <c r="D7299" s="13" t="n">
        <f aca="false">IF(B7299&lt;5,Einstellungen!$B$3,Einstellungen!$B$4)</f>
        <v>29.13</v>
      </c>
      <c r="E7299" s="14" t="str">
        <f aca="false">IF(C7299="","",C7299*D7299/100)</f>
        <v/>
      </c>
      <c r="F7299" s="15" t="str">
        <f aca="false">IF(B7299&lt;5,"Go","Standard")</f>
        <v>Standard</v>
      </c>
    </row>
    <row r="7300" customFormat="false" ht="15" hidden="false" customHeight="true" outlineLevel="0" collapsed="false">
      <c r="A7300" s="10" t="n">
        <f aca="false">Einstellungen!$B$5+INT((ROW()-9)/24)</f>
        <v>46269</v>
      </c>
      <c r="B7300" s="11" t="n">
        <f aca="false">MOD(ROW()-9,24)</f>
        <v>19</v>
      </c>
      <c r="C7300" s="12"/>
      <c r="D7300" s="13" t="n">
        <f aca="false">IF(B7300&lt;5,Einstellungen!$B$3,Einstellungen!$B$4)</f>
        <v>29.13</v>
      </c>
      <c r="E7300" s="14" t="str">
        <f aca="false">IF(C7300="","",C7300*D7300/100)</f>
        <v/>
      </c>
      <c r="F7300" s="15" t="str">
        <f aca="false">IF(B7300&lt;5,"Go","Standard")</f>
        <v>Standard</v>
      </c>
    </row>
    <row r="7301" customFormat="false" ht="15" hidden="false" customHeight="true" outlineLevel="0" collapsed="false">
      <c r="A7301" s="10" t="n">
        <f aca="false">Einstellungen!$B$5+INT((ROW()-9)/24)</f>
        <v>46269</v>
      </c>
      <c r="B7301" s="11" t="n">
        <f aca="false">MOD(ROW()-9,24)</f>
        <v>20</v>
      </c>
      <c r="C7301" s="12"/>
      <c r="D7301" s="13" t="n">
        <f aca="false">IF(B7301&lt;5,Einstellungen!$B$3,Einstellungen!$B$4)</f>
        <v>29.13</v>
      </c>
      <c r="E7301" s="14" t="str">
        <f aca="false">IF(C7301="","",C7301*D7301/100)</f>
        <v/>
      </c>
      <c r="F7301" s="15" t="str">
        <f aca="false">IF(B7301&lt;5,"Go","Standard")</f>
        <v>Standard</v>
      </c>
    </row>
    <row r="7302" customFormat="false" ht="15" hidden="false" customHeight="true" outlineLevel="0" collapsed="false">
      <c r="A7302" s="10" t="n">
        <f aca="false">Einstellungen!$B$5+INT((ROW()-9)/24)</f>
        <v>46269</v>
      </c>
      <c r="B7302" s="11" t="n">
        <f aca="false">MOD(ROW()-9,24)</f>
        <v>21</v>
      </c>
      <c r="C7302" s="12"/>
      <c r="D7302" s="13" t="n">
        <f aca="false">IF(B7302&lt;5,Einstellungen!$B$3,Einstellungen!$B$4)</f>
        <v>29.13</v>
      </c>
      <c r="E7302" s="14" t="str">
        <f aca="false">IF(C7302="","",C7302*D7302/100)</f>
        <v/>
      </c>
      <c r="F7302" s="15" t="str">
        <f aca="false">IF(B7302&lt;5,"Go","Standard")</f>
        <v>Standard</v>
      </c>
    </row>
    <row r="7303" customFormat="false" ht="15" hidden="false" customHeight="true" outlineLevel="0" collapsed="false">
      <c r="A7303" s="10" t="n">
        <f aca="false">Einstellungen!$B$5+INT((ROW()-9)/24)</f>
        <v>46269</v>
      </c>
      <c r="B7303" s="11" t="n">
        <f aca="false">MOD(ROW()-9,24)</f>
        <v>22</v>
      </c>
      <c r="C7303" s="12"/>
      <c r="D7303" s="13" t="n">
        <f aca="false">IF(B7303&lt;5,Einstellungen!$B$3,Einstellungen!$B$4)</f>
        <v>29.13</v>
      </c>
      <c r="E7303" s="14" t="str">
        <f aca="false">IF(C7303="","",C7303*D7303/100)</f>
        <v/>
      </c>
      <c r="F7303" s="15" t="str">
        <f aca="false">IF(B7303&lt;5,"Go","Standard")</f>
        <v>Standard</v>
      </c>
    </row>
    <row r="7304" customFormat="false" ht="15" hidden="false" customHeight="true" outlineLevel="0" collapsed="false">
      <c r="A7304" s="10" t="n">
        <f aca="false">Einstellungen!$B$5+INT((ROW()-9)/24)</f>
        <v>46269</v>
      </c>
      <c r="B7304" s="11" t="n">
        <f aca="false">MOD(ROW()-9,24)</f>
        <v>23</v>
      </c>
      <c r="C7304" s="12"/>
      <c r="D7304" s="13" t="n">
        <f aca="false">IF(B7304&lt;5,Einstellungen!$B$3,Einstellungen!$B$4)</f>
        <v>29.13</v>
      </c>
      <c r="E7304" s="14" t="str">
        <f aca="false">IF(C7304="","",C7304*D7304/100)</f>
        <v/>
      </c>
      <c r="F7304" s="15" t="str">
        <f aca="false">IF(B7304&lt;5,"Go","Standard")</f>
        <v>Standard</v>
      </c>
    </row>
    <row r="7305" customFormat="false" ht="15" hidden="false" customHeight="true" outlineLevel="0" collapsed="false">
      <c r="A7305" s="10" t="n">
        <f aca="false">Einstellungen!$B$5+INT((ROW()-9)/24)</f>
        <v>46270</v>
      </c>
      <c r="B7305" s="11" t="n">
        <f aca="false">MOD(ROW()-9,24)</f>
        <v>0</v>
      </c>
      <c r="C7305" s="12"/>
      <c r="D7305" s="13" t="n">
        <f aca="false">IF(B7305&lt;5,Einstellungen!$B$3,Einstellungen!$B$4)</f>
        <v>15.92</v>
      </c>
      <c r="E7305" s="14" t="str">
        <f aca="false">IF(C7305="","",C7305*D7305/100)</f>
        <v/>
      </c>
      <c r="F7305" s="15" t="str">
        <f aca="false">IF(B7305&lt;5,"Go","Standard")</f>
        <v>Go</v>
      </c>
    </row>
    <row r="7306" customFormat="false" ht="15" hidden="false" customHeight="true" outlineLevel="0" collapsed="false">
      <c r="A7306" s="10" t="n">
        <f aca="false">Einstellungen!$B$5+INT((ROW()-9)/24)</f>
        <v>46270</v>
      </c>
      <c r="B7306" s="11" t="n">
        <f aca="false">MOD(ROW()-9,24)</f>
        <v>1</v>
      </c>
      <c r="C7306" s="12"/>
      <c r="D7306" s="13" t="n">
        <f aca="false">IF(B7306&lt;5,Einstellungen!$B$3,Einstellungen!$B$4)</f>
        <v>15.92</v>
      </c>
      <c r="E7306" s="14" t="str">
        <f aca="false">IF(C7306="","",C7306*D7306/100)</f>
        <v/>
      </c>
      <c r="F7306" s="15" t="str">
        <f aca="false">IF(B7306&lt;5,"Go","Standard")</f>
        <v>Go</v>
      </c>
    </row>
    <row r="7307" customFormat="false" ht="15" hidden="false" customHeight="true" outlineLevel="0" collapsed="false">
      <c r="A7307" s="10" t="n">
        <f aca="false">Einstellungen!$B$5+INT((ROW()-9)/24)</f>
        <v>46270</v>
      </c>
      <c r="B7307" s="11" t="n">
        <f aca="false">MOD(ROW()-9,24)</f>
        <v>2</v>
      </c>
      <c r="C7307" s="12"/>
      <c r="D7307" s="13" t="n">
        <f aca="false">IF(B7307&lt;5,Einstellungen!$B$3,Einstellungen!$B$4)</f>
        <v>15.92</v>
      </c>
      <c r="E7307" s="14" t="str">
        <f aca="false">IF(C7307="","",C7307*D7307/100)</f>
        <v/>
      </c>
      <c r="F7307" s="15" t="str">
        <f aca="false">IF(B7307&lt;5,"Go","Standard")</f>
        <v>Go</v>
      </c>
    </row>
    <row r="7308" customFormat="false" ht="15" hidden="false" customHeight="true" outlineLevel="0" collapsed="false">
      <c r="A7308" s="10" t="n">
        <f aca="false">Einstellungen!$B$5+INT((ROW()-9)/24)</f>
        <v>46270</v>
      </c>
      <c r="B7308" s="11" t="n">
        <f aca="false">MOD(ROW()-9,24)</f>
        <v>3</v>
      </c>
      <c r="C7308" s="12"/>
      <c r="D7308" s="13" t="n">
        <f aca="false">IF(B7308&lt;5,Einstellungen!$B$3,Einstellungen!$B$4)</f>
        <v>15.92</v>
      </c>
      <c r="E7308" s="14" t="str">
        <f aca="false">IF(C7308="","",C7308*D7308/100)</f>
        <v/>
      </c>
      <c r="F7308" s="15" t="str">
        <f aca="false">IF(B7308&lt;5,"Go","Standard")</f>
        <v>Go</v>
      </c>
    </row>
    <row r="7309" customFormat="false" ht="15" hidden="false" customHeight="true" outlineLevel="0" collapsed="false">
      <c r="A7309" s="10" t="n">
        <f aca="false">Einstellungen!$B$5+INT((ROW()-9)/24)</f>
        <v>46270</v>
      </c>
      <c r="B7309" s="11" t="n">
        <f aca="false">MOD(ROW()-9,24)</f>
        <v>4</v>
      </c>
      <c r="C7309" s="12"/>
      <c r="D7309" s="13" t="n">
        <f aca="false">IF(B7309&lt;5,Einstellungen!$B$3,Einstellungen!$B$4)</f>
        <v>15.92</v>
      </c>
      <c r="E7309" s="14" t="str">
        <f aca="false">IF(C7309="","",C7309*D7309/100)</f>
        <v/>
      </c>
      <c r="F7309" s="15" t="str">
        <f aca="false">IF(B7309&lt;5,"Go","Standard")</f>
        <v>Go</v>
      </c>
    </row>
    <row r="7310" customFormat="false" ht="15" hidden="false" customHeight="true" outlineLevel="0" collapsed="false">
      <c r="A7310" s="10" t="n">
        <f aca="false">Einstellungen!$B$5+INT((ROW()-9)/24)</f>
        <v>46270</v>
      </c>
      <c r="B7310" s="11" t="n">
        <f aca="false">MOD(ROW()-9,24)</f>
        <v>5</v>
      </c>
      <c r="C7310" s="12"/>
      <c r="D7310" s="13" t="n">
        <f aca="false">IF(B7310&lt;5,Einstellungen!$B$3,Einstellungen!$B$4)</f>
        <v>29.13</v>
      </c>
      <c r="E7310" s="14" t="str">
        <f aca="false">IF(C7310="","",C7310*D7310/100)</f>
        <v/>
      </c>
      <c r="F7310" s="15" t="str">
        <f aca="false">IF(B7310&lt;5,"Go","Standard")</f>
        <v>Standard</v>
      </c>
    </row>
    <row r="7311" customFormat="false" ht="15" hidden="false" customHeight="true" outlineLevel="0" collapsed="false">
      <c r="A7311" s="10" t="n">
        <f aca="false">Einstellungen!$B$5+INT((ROW()-9)/24)</f>
        <v>46270</v>
      </c>
      <c r="B7311" s="11" t="n">
        <f aca="false">MOD(ROW()-9,24)</f>
        <v>6</v>
      </c>
      <c r="C7311" s="12"/>
      <c r="D7311" s="13" t="n">
        <f aca="false">IF(B7311&lt;5,Einstellungen!$B$3,Einstellungen!$B$4)</f>
        <v>29.13</v>
      </c>
      <c r="E7311" s="14" t="str">
        <f aca="false">IF(C7311="","",C7311*D7311/100)</f>
        <v/>
      </c>
      <c r="F7311" s="15" t="str">
        <f aca="false">IF(B7311&lt;5,"Go","Standard")</f>
        <v>Standard</v>
      </c>
    </row>
    <row r="7312" customFormat="false" ht="15" hidden="false" customHeight="true" outlineLevel="0" collapsed="false">
      <c r="A7312" s="10" t="n">
        <f aca="false">Einstellungen!$B$5+INT((ROW()-9)/24)</f>
        <v>46270</v>
      </c>
      <c r="B7312" s="11" t="n">
        <f aca="false">MOD(ROW()-9,24)</f>
        <v>7</v>
      </c>
      <c r="C7312" s="12"/>
      <c r="D7312" s="13" t="n">
        <f aca="false">IF(B7312&lt;5,Einstellungen!$B$3,Einstellungen!$B$4)</f>
        <v>29.13</v>
      </c>
      <c r="E7312" s="14" t="str">
        <f aca="false">IF(C7312="","",C7312*D7312/100)</f>
        <v/>
      </c>
      <c r="F7312" s="15" t="str">
        <f aca="false">IF(B7312&lt;5,"Go","Standard")</f>
        <v>Standard</v>
      </c>
    </row>
    <row r="7313" customFormat="false" ht="15" hidden="false" customHeight="true" outlineLevel="0" collapsed="false">
      <c r="A7313" s="10" t="n">
        <f aca="false">Einstellungen!$B$5+INT((ROW()-9)/24)</f>
        <v>46270</v>
      </c>
      <c r="B7313" s="11" t="n">
        <f aca="false">MOD(ROW()-9,24)</f>
        <v>8</v>
      </c>
      <c r="C7313" s="12"/>
      <c r="D7313" s="13" t="n">
        <f aca="false">IF(B7313&lt;5,Einstellungen!$B$3,Einstellungen!$B$4)</f>
        <v>29.13</v>
      </c>
      <c r="E7313" s="14" t="str">
        <f aca="false">IF(C7313="","",C7313*D7313/100)</f>
        <v/>
      </c>
      <c r="F7313" s="15" t="str">
        <f aca="false">IF(B7313&lt;5,"Go","Standard")</f>
        <v>Standard</v>
      </c>
    </row>
    <row r="7314" customFormat="false" ht="15" hidden="false" customHeight="true" outlineLevel="0" collapsed="false">
      <c r="A7314" s="10" t="n">
        <f aca="false">Einstellungen!$B$5+INT((ROW()-9)/24)</f>
        <v>46270</v>
      </c>
      <c r="B7314" s="11" t="n">
        <f aca="false">MOD(ROW()-9,24)</f>
        <v>9</v>
      </c>
      <c r="C7314" s="12"/>
      <c r="D7314" s="13" t="n">
        <f aca="false">IF(B7314&lt;5,Einstellungen!$B$3,Einstellungen!$B$4)</f>
        <v>29.13</v>
      </c>
      <c r="E7314" s="14" t="str">
        <f aca="false">IF(C7314="","",C7314*D7314/100)</f>
        <v/>
      </c>
      <c r="F7314" s="15" t="str">
        <f aca="false">IF(B7314&lt;5,"Go","Standard")</f>
        <v>Standard</v>
      </c>
    </row>
    <row r="7315" customFormat="false" ht="15" hidden="false" customHeight="true" outlineLevel="0" collapsed="false">
      <c r="A7315" s="10" t="n">
        <f aca="false">Einstellungen!$B$5+INT((ROW()-9)/24)</f>
        <v>46270</v>
      </c>
      <c r="B7315" s="11" t="n">
        <f aca="false">MOD(ROW()-9,24)</f>
        <v>10</v>
      </c>
      <c r="C7315" s="12"/>
      <c r="D7315" s="13" t="n">
        <f aca="false">IF(B7315&lt;5,Einstellungen!$B$3,Einstellungen!$B$4)</f>
        <v>29.13</v>
      </c>
      <c r="E7315" s="14" t="str">
        <f aca="false">IF(C7315="","",C7315*D7315/100)</f>
        <v/>
      </c>
      <c r="F7315" s="15" t="str">
        <f aca="false">IF(B7315&lt;5,"Go","Standard")</f>
        <v>Standard</v>
      </c>
    </row>
    <row r="7316" customFormat="false" ht="15" hidden="false" customHeight="true" outlineLevel="0" collapsed="false">
      <c r="A7316" s="10" t="n">
        <f aca="false">Einstellungen!$B$5+INT((ROW()-9)/24)</f>
        <v>46270</v>
      </c>
      <c r="B7316" s="11" t="n">
        <f aca="false">MOD(ROW()-9,24)</f>
        <v>11</v>
      </c>
      <c r="C7316" s="12"/>
      <c r="D7316" s="13" t="n">
        <f aca="false">IF(B7316&lt;5,Einstellungen!$B$3,Einstellungen!$B$4)</f>
        <v>29.13</v>
      </c>
      <c r="E7316" s="14" t="str">
        <f aca="false">IF(C7316="","",C7316*D7316/100)</f>
        <v/>
      </c>
      <c r="F7316" s="15" t="str">
        <f aca="false">IF(B7316&lt;5,"Go","Standard")</f>
        <v>Standard</v>
      </c>
    </row>
    <row r="7317" customFormat="false" ht="15" hidden="false" customHeight="true" outlineLevel="0" collapsed="false">
      <c r="A7317" s="10" t="n">
        <f aca="false">Einstellungen!$B$5+INT((ROW()-9)/24)</f>
        <v>46270</v>
      </c>
      <c r="B7317" s="11" t="n">
        <f aca="false">MOD(ROW()-9,24)</f>
        <v>12</v>
      </c>
      <c r="C7317" s="12"/>
      <c r="D7317" s="13" t="n">
        <f aca="false">IF(B7317&lt;5,Einstellungen!$B$3,Einstellungen!$B$4)</f>
        <v>29.13</v>
      </c>
      <c r="E7317" s="14" t="str">
        <f aca="false">IF(C7317="","",C7317*D7317/100)</f>
        <v/>
      </c>
      <c r="F7317" s="15" t="str">
        <f aca="false">IF(B7317&lt;5,"Go","Standard")</f>
        <v>Standard</v>
      </c>
    </row>
    <row r="7318" customFormat="false" ht="15" hidden="false" customHeight="true" outlineLevel="0" collapsed="false">
      <c r="A7318" s="10" t="n">
        <f aca="false">Einstellungen!$B$5+INT((ROW()-9)/24)</f>
        <v>46270</v>
      </c>
      <c r="B7318" s="11" t="n">
        <f aca="false">MOD(ROW()-9,24)</f>
        <v>13</v>
      </c>
      <c r="C7318" s="12"/>
      <c r="D7318" s="13" t="n">
        <f aca="false">IF(B7318&lt;5,Einstellungen!$B$3,Einstellungen!$B$4)</f>
        <v>29.13</v>
      </c>
      <c r="E7318" s="14" t="str">
        <f aca="false">IF(C7318="","",C7318*D7318/100)</f>
        <v/>
      </c>
      <c r="F7318" s="15" t="str">
        <f aca="false">IF(B7318&lt;5,"Go","Standard")</f>
        <v>Standard</v>
      </c>
    </row>
    <row r="7319" customFormat="false" ht="15" hidden="false" customHeight="true" outlineLevel="0" collapsed="false">
      <c r="A7319" s="10" t="n">
        <f aca="false">Einstellungen!$B$5+INT((ROW()-9)/24)</f>
        <v>46270</v>
      </c>
      <c r="B7319" s="11" t="n">
        <f aca="false">MOD(ROW()-9,24)</f>
        <v>14</v>
      </c>
      <c r="C7319" s="12"/>
      <c r="D7319" s="13" t="n">
        <f aca="false">IF(B7319&lt;5,Einstellungen!$B$3,Einstellungen!$B$4)</f>
        <v>29.13</v>
      </c>
      <c r="E7319" s="14" t="str">
        <f aca="false">IF(C7319="","",C7319*D7319/100)</f>
        <v/>
      </c>
      <c r="F7319" s="15" t="str">
        <f aca="false">IF(B7319&lt;5,"Go","Standard")</f>
        <v>Standard</v>
      </c>
    </row>
    <row r="7320" customFormat="false" ht="15" hidden="false" customHeight="true" outlineLevel="0" collapsed="false">
      <c r="A7320" s="10" t="n">
        <f aca="false">Einstellungen!$B$5+INT((ROW()-9)/24)</f>
        <v>46270</v>
      </c>
      <c r="B7320" s="11" t="n">
        <f aca="false">MOD(ROW()-9,24)</f>
        <v>15</v>
      </c>
      <c r="C7320" s="12"/>
      <c r="D7320" s="13" t="n">
        <f aca="false">IF(B7320&lt;5,Einstellungen!$B$3,Einstellungen!$B$4)</f>
        <v>29.13</v>
      </c>
      <c r="E7320" s="14" t="str">
        <f aca="false">IF(C7320="","",C7320*D7320/100)</f>
        <v/>
      </c>
      <c r="F7320" s="15" t="str">
        <f aca="false">IF(B7320&lt;5,"Go","Standard")</f>
        <v>Standard</v>
      </c>
    </row>
    <row r="7321" customFormat="false" ht="15" hidden="false" customHeight="true" outlineLevel="0" collapsed="false">
      <c r="A7321" s="10" t="n">
        <f aca="false">Einstellungen!$B$5+INT((ROW()-9)/24)</f>
        <v>46270</v>
      </c>
      <c r="B7321" s="11" t="n">
        <f aca="false">MOD(ROW()-9,24)</f>
        <v>16</v>
      </c>
      <c r="C7321" s="12"/>
      <c r="D7321" s="13" t="n">
        <f aca="false">IF(B7321&lt;5,Einstellungen!$B$3,Einstellungen!$B$4)</f>
        <v>29.13</v>
      </c>
      <c r="E7321" s="14" t="str">
        <f aca="false">IF(C7321="","",C7321*D7321/100)</f>
        <v/>
      </c>
      <c r="F7321" s="15" t="str">
        <f aca="false">IF(B7321&lt;5,"Go","Standard")</f>
        <v>Standard</v>
      </c>
    </row>
    <row r="7322" customFormat="false" ht="15" hidden="false" customHeight="true" outlineLevel="0" collapsed="false">
      <c r="A7322" s="10" t="n">
        <f aca="false">Einstellungen!$B$5+INT((ROW()-9)/24)</f>
        <v>46270</v>
      </c>
      <c r="B7322" s="11" t="n">
        <f aca="false">MOD(ROW()-9,24)</f>
        <v>17</v>
      </c>
      <c r="C7322" s="12"/>
      <c r="D7322" s="13" t="n">
        <f aca="false">IF(B7322&lt;5,Einstellungen!$B$3,Einstellungen!$B$4)</f>
        <v>29.13</v>
      </c>
      <c r="E7322" s="14" t="str">
        <f aca="false">IF(C7322="","",C7322*D7322/100)</f>
        <v/>
      </c>
      <c r="F7322" s="15" t="str">
        <f aca="false">IF(B7322&lt;5,"Go","Standard")</f>
        <v>Standard</v>
      </c>
    </row>
    <row r="7323" customFormat="false" ht="15" hidden="false" customHeight="true" outlineLevel="0" collapsed="false">
      <c r="A7323" s="10" t="n">
        <f aca="false">Einstellungen!$B$5+INT((ROW()-9)/24)</f>
        <v>46270</v>
      </c>
      <c r="B7323" s="11" t="n">
        <f aca="false">MOD(ROW()-9,24)</f>
        <v>18</v>
      </c>
      <c r="C7323" s="12"/>
      <c r="D7323" s="13" t="n">
        <f aca="false">IF(B7323&lt;5,Einstellungen!$B$3,Einstellungen!$B$4)</f>
        <v>29.13</v>
      </c>
      <c r="E7323" s="14" t="str">
        <f aca="false">IF(C7323="","",C7323*D7323/100)</f>
        <v/>
      </c>
      <c r="F7323" s="15" t="str">
        <f aca="false">IF(B7323&lt;5,"Go","Standard")</f>
        <v>Standard</v>
      </c>
    </row>
    <row r="7324" customFormat="false" ht="15" hidden="false" customHeight="true" outlineLevel="0" collapsed="false">
      <c r="A7324" s="10" t="n">
        <f aca="false">Einstellungen!$B$5+INT((ROW()-9)/24)</f>
        <v>46270</v>
      </c>
      <c r="B7324" s="11" t="n">
        <f aca="false">MOD(ROW()-9,24)</f>
        <v>19</v>
      </c>
      <c r="C7324" s="12"/>
      <c r="D7324" s="13" t="n">
        <f aca="false">IF(B7324&lt;5,Einstellungen!$B$3,Einstellungen!$B$4)</f>
        <v>29.13</v>
      </c>
      <c r="E7324" s="14" t="str">
        <f aca="false">IF(C7324="","",C7324*D7324/100)</f>
        <v/>
      </c>
      <c r="F7324" s="15" t="str">
        <f aca="false">IF(B7324&lt;5,"Go","Standard")</f>
        <v>Standard</v>
      </c>
    </row>
    <row r="7325" customFormat="false" ht="15" hidden="false" customHeight="true" outlineLevel="0" collapsed="false">
      <c r="A7325" s="10" t="n">
        <f aca="false">Einstellungen!$B$5+INT((ROW()-9)/24)</f>
        <v>46270</v>
      </c>
      <c r="B7325" s="11" t="n">
        <f aca="false">MOD(ROW()-9,24)</f>
        <v>20</v>
      </c>
      <c r="C7325" s="12"/>
      <c r="D7325" s="13" t="n">
        <f aca="false">IF(B7325&lt;5,Einstellungen!$B$3,Einstellungen!$B$4)</f>
        <v>29.13</v>
      </c>
      <c r="E7325" s="14" t="str">
        <f aca="false">IF(C7325="","",C7325*D7325/100)</f>
        <v/>
      </c>
      <c r="F7325" s="15" t="str">
        <f aca="false">IF(B7325&lt;5,"Go","Standard")</f>
        <v>Standard</v>
      </c>
    </row>
    <row r="7326" customFormat="false" ht="15" hidden="false" customHeight="true" outlineLevel="0" collapsed="false">
      <c r="A7326" s="10" t="n">
        <f aca="false">Einstellungen!$B$5+INT((ROW()-9)/24)</f>
        <v>46270</v>
      </c>
      <c r="B7326" s="11" t="n">
        <f aca="false">MOD(ROW()-9,24)</f>
        <v>21</v>
      </c>
      <c r="C7326" s="12"/>
      <c r="D7326" s="13" t="n">
        <f aca="false">IF(B7326&lt;5,Einstellungen!$B$3,Einstellungen!$B$4)</f>
        <v>29.13</v>
      </c>
      <c r="E7326" s="14" t="str">
        <f aca="false">IF(C7326="","",C7326*D7326/100)</f>
        <v/>
      </c>
      <c r="F7326" s="15" t="str">
        <f aca="false">IF(B7326&lt;5,"Go","Standard")</f>
        <v>Standard</v>
      </c>
    </row>
    <row r="7327" customFormat="false" ht="15" hidden="false" customHeight="true" outlineLevel="0" collapsed="false">
      <c r="A7327" s="10" t="n">
        <f aca="false">Einstellungen!$B$5+INT((ROW()-9)/24)</f>
        <v>46270</v>
      </c>
      <c r="B7327" s="11" t="n">
        <f aca="false">MOD(ROW()-9,24)</f>
        <v>22</v>
      </c>
      <c r="C7327" s="12"/>
      <c r="D7327" s="13" t="n">
        <f aca="false">IF(B7327&lt;5,Einstellungen!$B$3,Einstellungen!$B$4)</f>
        <v>29.13</v>
      </c>
      <c r="E7327" s="14" t="str">
        <f aca="false">IF(C7327="","",C7327*D7327/100)</f>
        <v/>
      </c>
      <c r="F7327" s="15" t="str">
        <f aca="false">IF(B7327&lt;5,"Go","Standard")</f>
        <v>Standard</v>
      </c>
    </row>
    <row r="7328" customFormat="false" ht="15" hidden="false" customHeight="true" outlineLevel="0" collapsed="false">
      <c r="A7328" s="10" t="n">
        <f aca="false">Einstellungen!$B$5+INT((ROW()-9)/24)</f>
        <v>46270</v>
      </c>
      <c r="B7328" s="11" t="n">
        <f aca="false">MOD(ROW()-9,24)</f>
        <v>23</v>
      </c>
      <c r="C7328" s="12"/>
      <c r="D7328" s="13" t="n">
        <f aca="false">IF(B7328&lt;5,Einstellungen!$B$3,Einstellungen!$B$4)</f>
        <v>29.13</v>
      </c>
      <c r="E7328" s="14" t="str">
        <f aca="false">IF(C7328="","",C7328*D7328/100)</f>
        <v/>
      </c>
      <c r="F7328" s="15" t="str">
        <f aca="false">IF(B7328&lt;5,"Go","Standard")</f>
        <v>Standard</v>
      </c>
    </row>
    <row r="7329" customFormat="false" ht="15" hidden="false" customHeight="true" outlineLevel="0" collapsed="false">
      <c r="A7329" s="10" t="n">
        <f aca="false">Einstellungen!$B$5+INT((ROW()-9)/24)</f>
        <v>46271</v>
      </c>
      <c r="B7329" s="11" t="n">
        <f aca="false">MOD(ROW()-9,24)</f>
        <v>0</v>
      </c>
      <c r="C7329" s="12"/>
      <c r="D7329" s="13" t="n">
        <f aca="false">IF(B7329&lt;5,Einstellungen!$B$3,Einstellungen!$B$4)</f>
        <v>15.92</v>
      </c>
      <c r="E7329" s="14" t="str">
        <f aca="false">IF(C7329="","",C7329*D7329/100)</f>
        <v/>
      </c>
      <c r="F7329" s="15" t="str">
        <f aca="false">IF(B7329&lt;5,"Go","Standard")</f>
        <v>Go</v>
      </c>
    </row>
    <row r="7330" customFormat="false" ht="15" hidden="false" customHeight="true" outlineLevel="0" collapsed="false">
      <c r="A7330" s="10" t="n">
        <f aca="false">Einstellungen!$B$5+INT((ROW()-9)/24)</f>
        <v>46271</v>
      </c>
      <c r="B7330" s="11" t="n">
        <f aca="false">MOD(ROW()-9,24)</f>
        <v>1</v>
      </c>
      <c r="C7330" s="12"/>
      <c r="D7330" s="13" t="n">
        <f aca="false">IF(B7330&lt;5,Einstellungen!$B$3,Einstellungen!$B$4)</f>
        <v>15.92</v>
      </c>
      <c r="E7330" s="14" t="str">
        <f aca="false">IF(C7330="","",C7330*D7330/100)</f>
        <v/>
      </c>
      <c r="F7330" s="15" t="str">
        <f aca="false">IF(B7330&lt;5,"Go","Standard")</f>
        <v>Go</v>
      </c>
    </row>
    <row r="7331" customFormat="false" ht="15" hidden="false" customHeight="true" outlineLevel="0" collapsed="false">
      <c r="A7331" s="10" t="n">
        <f aca="false">Einstellungen!$B$5+INT((ROW()-9)/24)</f>
        <v>46271</v>
      </c>
      <c r="B7331" s="11" t="n">
        <f aca="false">MOD(ROW()-9,24)</f>
        <v>2</v>
      </c>
      <c r="C7331" s="12"/>
      <c r="D7331" s="13" t="n">
        <f aca="false">IF(B7331&lt;5,Einstellungen!$B$3,Einstellungen!$B$4)</f>
        <v>15.92</v>
      </c>
      <c r="E7331" s="14" t="str">
        <f aca="false">IF(C7331="","",C7331*D7331/100)</f>
        <v/>
      </c>
      <c r="F7331" s="15" t="str">
        <f aca="false">IF(B7331&lt;5,"Go","Standard")</f>
        <v>Go</v>
      </c>
    </row>
    <row r="7332" customFormat="false" ht="15" hidden="false" customHeight="true" outlineLevel="0" collapsed="false">
      <c r="A7332" s="10" t="n">
        <f aca="false">Einstellungen!$B$5+INT((ROW()-9)/24)</f>
        <v>46271</v>
      </c>
      <c r="B7332" s="11" t="n">
        <f aca="false">MOD(ROW()-9,24)</f>
        <v>3</v>
      </c>
      <c r="C7332" s="12"/>
      <c r="D7332" s="13" t="n">
        <f aca="false">IF(B7332&lt;5,Einstellungen!$B$3,Einstellungen!$B$4)</f>
        <v>15.92</v>
      </c>
      <c r="E7332" s="14" t="str">
        <f aca="false">IF(C7332="","",C7332*D7332/100)</f>
        <v/>
      </c>
      <c r="F7332" s="15" t="str">
        <f aca="false">IF(B7332&lt;5,"Go","Standard")</f>
        <v>Go</v>
      </c>
    </row>
    <row r="7333" customFormat="false" ht="15" hidden="false" customHeight="true" outlineLevel="0" collapsed="false">
      <c r="A7333" s="10" t="n">
        <f aca="false">Einstellungen!$B$5+INT((ROW()-9)/24)</f>
        <v>46271</v>
      </c>
      <c r="B7333" s="11" t="n">
        <f aca="false">MOD(ROW()-9,24)</f>
        <v>4</v>
      </c>
      <c r="C7333" s="12"/>
      <c r="D7333" s="13" t="n">
        <f aca="false">IF(B7333&lt;5,Einstellungen!$B$3,Einstellungen!$B$4)</f>
        <v>15.92</v>
      </c>
      <c r="E7333" s="14" t="str">
        <f aca="false">IF(C7333="","",C7333*D7333/100)</f>
        <v/>
      </c>
      <c r="F7333" s="15" t="str">
        <f aca="false">IF(B7333&lt;5,"Go","Standard")</f>
        <v>Go</v>
      </c>
    </row>
    <row r="7334" customFormat="false" ht="15" hidden="false" customHeight="true" outlineLevel="0" collapsed="false">
      <c r="A7334" s="10" t="n">
        <f aca="false">Einstellungen!$B$5+INT((ROW()-9)/24)</f>
        <v>46271</v>
      </c>
      <c r="B7334" s="11" t="n">
        <f aca="false">MOD(ROW()-9,24)</f>
        <v>5</v>
      </c>
      <c r="C7334" s="12"/>
      <c r="D7334" s="13" t="n">
        <f aca="false">IF(B7334&lt;5,Einstellungen!$B$3,Einstellungen!$B$4)</f>
        <v>29.13</v>
      </c>
      <c r="E7334" s="14" t="str">
        <f aca="false">IF(C7334="","",C7334*D7334/100)</f>
        <v/>
      </c>
      <c r="F7334" s="15" t="str">
        <f aca="false">IF(B7334&lt;5,"Go","Standard")</f>
        <v>Standard</v>
      </c>
    </row>
    <row r="7335" customFormat="false" ht="15" hidden="false" customHeight="true" outlineLevel="0" collapsed="false">
      <c r="A7335" s="10" t="n">
        <f aca="false">Einstellungen!$B$5+INT((ROW()-9)/24)</f>
        <v>46271</v>
      </c>
      <c r="B7335" s="11" t="n">
        <f aca="false">MOD(ROW()-9,24)</f>
        <v>6</v>
      </c>
      <c r="C7335" s="12"/>
      <c r="D7335" s="13" t="n">
        <f aca="false">IF(B7335&lt;5,Einstellungen!$B$3,Einstellungen!$B$4)</f>
        <v>29.13</v>
      </c>
      <c r="E7335" s="14" t="str">
        <f aca="false">IF(C7335="","",C7335*D7335/100)</f>
        <v/>
      </c>
      <c r="F7335" s="15" t="str">
        <f aca="false">IF(B7335&lt;5,"Go","Standard")</f>
        <v>Standard</v>
      </c>
    </row>
    <row r="7336" customFormat="false" ht="15" hidden="false" customHeight="true" outlineLevel="0" collapsed="false">
      <c r="A7336" s="10" t="n">
        <f aca="false">Einstellungen!$B$5+INT((ROW()-9)/24)</f>
        <v>46271</v>
      </c>
      <c r="B7336" s="11" t="n">
        <f aca="false">MOD(ROW()-9,24)</f>
        <v>7</v>
      </c>
      <c r="C7336" s="12"/>
      <c r="D7336" s="13" t="n">
        <f aca="false">IF(B7336&lt;5,Einstellungen!$B$3,Einstellungen!$B$4)</f>
        <v>29.13</v>
      </c>
      <c r="E7336" s="14" t="str">
        <f aca="false">IF(C7336="","",C7336*D7336/100)</f>
        <v/>
      </c>
      <c r="F7336" s="15" t="str">
        <f aca="false">IF(B7336&lt;5,"Go","Standard")</f>
        <v>Standard</v>
      </c>
    </row>
    <row r="7337" customFormat="false" ht="15" hidden="false" customHeight="true" outlineLevel="0" collapsed="false">
      <c r="A7337" s="10" t="n">
        <f aca="false">Einstellungen!$B$5+INT((ROW()-9)/24)</f>
        <v>46271</v>
      </c>
      <c r="B7337" s="11" t="n">
        <f aca="false">MOD(ROW()-9,24)</f>
        <v>8</v>
      </c>
      <c r="C7337" s="12"/>
      <c r="D7337" s="13" t="n">
        <f aca="false">IF(B7337&lt;5,Einstellungen!$B$3,Einstellungen!$B$4)</f>
        <v>29.13</v>
      </c>
      <c r="E7337" s="14" t="str">
        <f aca="false">IF(C7337="","",C7337*D7337/100)</f>
        <v/>
      </c>
      <c r="F7337" s="15" t="str">
        <f aca="false">IF(B7337&lt;5,"Go","Standard")</f>
        <v>Standard</v>
      </c>
    </row>
    <row r="7338" customFormat="false" ht="15" hidden="false" customHeight="true" outlineLevel="0" collapsed="false">
      <c r="A7338" s="10" t="n">
        <f aca="false">Einstellungen!$B$5+INT((ROW()-9)/24)</f>
        <v>46271</v>
      </c>
      <c r="B7338" s="11" t="n">
        <f aca="false">MOD(ROW()-9,24)</f>
        <v>9</v>
      </c>
      <c r="C7338" s="12"/>
      <c r="D7338" s="13" t="n">
        <f aca="false">IF(B7338&lt;5,Einstellungen!$B$3,Einstellungen!$B$4)</f>
        <v>29.13</v>
      </c>
      <c r="E7338" s="14" t="str">
        <f aca="false">IF(C7338="","",C7338*D7338/100)</f>
        <v/>
      </c>
      <c r="F7338" s="15" t="str">
        <f aca="false">IF(B7338&lt;5,"Go","Standard")</f>
        <v>Standard</v>
      </c>
    </row>
    <row r="7339" customFormat="false" ht="15" hidden="false" customHeight="true" outlineLevel="0" collapsed="false">
      <c r="A7339" s="10" t="n">
        <f aca="false">Einstellungen!$B$5+INT((ROW()-9)/24)</f>
        <v>46271</v>
      </c>
      <c r="B7339" s="11" t="n">
        <f aca="false">MOD(ROW()-9,24)</f>
        <v>10</v>
      </c>
      <c r="C7339" s="12"/>
      <c r="D7339" s="13" t="n">
        <f aca="false">IF(B7339&lt;5,Einstellungen!$B$3,Einstellungen!$B$4)</f>
        <v>29.13</v>
      </c>
      <c r="E7339" s="14" t="str">
        <f aca="false">IF(C7339="","",C7339*D7339/100)</f>
        <v/>
      </c>
      <c r="F7339" s="15" t="str">
        <f aca="false">IF(B7339&lt;5,"Go","Standard")</f>
        <v>Standard</v>
      </c>
    </row>
    <row r="7340" customFormat="false" ht="15" hidden="false" customHeight="true" outlineLevel="0" collapsed="false">
      <c r="A7340" s="10" t="n">
        <f aca="false">Einstellungen!$B$5+INT((ROW()-9)/24)</f>
        <v>46271</v>
      </c>
      <c r="B7340" s="11" t="n">
        <f aca="false">MOD(ROW()-9,24)</f>
        <v>11</v>
      </c>
      <c r="C7340" s="12"/>
      <c r="D7340" s="13" t="n">
        <f aca="false">IF(B7340&lt;5,Einstellungen!$B$3,Einstellungen!$B$4)</f>
        <v>29.13</v>
      </c>
      <c r="E7340" s="14" t="str">
        <f aca="false">IF(C7340="","",C7340*D7340/100)</f>
        <v/>
      </c>
      <c r="F7340" s="15" t="str">
        <f aca="false">IF(B7340&lt;5,"Go","Standard")</f>
        <v>Standard</v>
      </c>
    </row>
    <row r="7341" customFormat="false" ht="15" hidden="false" customHeight="true" outlineLevel="0" collapsed="false">
      <c r="A7341" s="10" t="n">
        <f aca="false">Einstellungen!$B$5+INT((ROW()-9)/24)</f>
        <v>46271</v>
      </c>
      <c r="B7341" s="11" t="n">
        <f aca="false">MOD(ROW()-9,24)</f>
        <v>12</v>
      </c>
      <c r="C7341" s="12"/>
      <c r="D7341" s="13" t="n">
        <f aca="false">IF(B7341&lt;5,Einstellungen!$B$3,Einstellungen!$B$4)</f>
        <v>29.13</v>
      </c>
      <c r="E7341" s="14" t="str">
        <f aca="false">IF(C7341="","",C7341*D7341/100)</f>
        <v/>
      </c>
      <c r="F7341" s="15" t="str">
        <f aca="false">IF(B7341&lt;5,"Go","Standard")</f>
        <v>Standard</v>
      </c>
    </row>
    <row r="7342" customFormat="false" ht="15" hidden="false" customHeight="true" outlineLevel="0" collapsed="false">
      <c r="A7342" s="10" t="n">
        <f aca="false">Einstellungen!$B$5+INT((ROW()-9)/24)</f>
        <v>46271</v>
      </c>
      <c r="B7342" s="11" t="n">
        <f aca="false">MOD(ROW()-9,24)</f>
        <v>13</v>
      </c>
      <c r="C7342" s="12"/>
      <c r="D7342" s="13" t="n">
        <f aca="false">IF(B7342&lt;5,Einstellungen!$B$3,Einstellungen!$B$4)</f>
        <v>29.13</v>
      </c>
      <c r="E7342" s="14" t="str">
        <f aca="false">IF(C7342="","",C7342*D7342/100)</f>
        <v/>
      </c>
      <c r="F7342" s="15" t="str">
        <f aca="false">IF(B7342&lt;5,"Go","Standard")</f>
        <v>Standard</v>
      </c>
    </row>
    <row r="7343" customFormat="false" ht="15" hidden="false" customHeight="true" outlineLevel="0" collapsed="false">
      <c r="A7343" s="10" t="n">
        <f aca="false">Einstellungen!$B$5+INT((ROW()-9)/24)</f>
        <v>46271</v>
      </c>
      <c r="B7343" s="11" t="n">
        <f aca="false">MOD(ROW()-9,24)</f>
        <v>14</v>
      </c>
      <c r="C7343" s="12"/>
      <c r="D7343" s="13" t="n">
        <f aca="false">IF(B7343&lt;5,Einstellungen!$B$3,Einstellungen!$B$4)</f>
        <v>29.13</v>
      </c>
      <c r="E7343" s="14" t="str">
        <f aca="false">IF(C7343="","",C7343*D7343/100)</f>
        <v/>
      </c>
      <c r="F7343" s="15" t="str">
        <f aca="false">IF(B7343&lt;5,"Go","Standard")</f>
        <v>Standard</v>
      </c>
    </row>
    <row r="7344" customFormat="false" ht="15" hidden="false" customHeight="true" outlineLevel="0" collapsed="false">
      <c r="A7344" s="10" t="n">
        <f aca="false">Einstellungen!$B$5+INT((ROW()-9)/24)</f>
        <v>46271</v>
      </c>
      <c r="B7344" s="11" t="n">
        <f aca="false">MOD(ROW()-9,24)</f>
        <v>15</v>
      </c>
      <c r="C7344" s="12"/>
      <c r="D7344" s="13" t="n">
        <f aca="false">IF(B7344&lt;5,Einstellungen!$B$3,Einstellungen!$B$4)</f>
        <v>29.13</v>
      </c>
      <c r="E7344" s="14" t="str">
        <f aca="false">IF(C7344="","",C7344*D7344/100)</f>
        <v/>
      </c>
      <c r="F7344" s="15" t="str">
        <f aca="false">IF(B7344&lt;5,"Go","Standard")</f>
        <v>Standard</v>
      </c>
    </row>
    <row r="7345" customFormat="false" ht="15" hidden="false" customHeight="true" outlineLevel="0" collapsed="false">
      <c r="A7345" s="10" t="n">
        <f aca="false">Einstellungen!$B$5+INT((ROW()-9)/24)</f>
        <v>46271</v>
      </c>
      <c r="B7345" s="11" t="n">
        <f aca="false">MOD(ROW()-9,24)</f>
        <v>16</v>
      </c>
      <c r="C7345" s="12"/>
      <c r="D7345" s="13" t="n">
        <f aca="false">IF(B7345&lt;5,Einstellungen!$B$3,Einstellungen!$B$4)</f>
        <v>29.13</v>
      </c>
      <c r="E7345" s="14" t="str">
        <f aca="false">IF(C7345="","",C7345*D7345/100)</f>
        <v/>
      </c>
      <c r="F7345" s="15" t="str">
        <f aca="false">IF(B7345&lt;5,"Go","Standard")</f>
        <v>Standard</v>
      </c>
    </row>
    <row r="7346" customFormat="false" ht="15" hidden="false" customHeight="true" outlineLevel="0" collapsed="false">
      <c r="A7346" s="10" t="n">
        <f aca="false">Einstellungen!$B$5+INT((ROW()-9)/24)</f>
        <v>46271</v>
      </c>
      <c r="B7346" s="11" t="n">
        <f aca="false">MOD(ROW()-9,24)</f>
        <v>17</v>
      </c>
      <c r="C7346" s="12"/>
      <c r="D7346" s="13" t="n">
        <f aca="false">IF(B7346&lt;5,Einstellungen!$B$3,Einstellungen!$B$4)</f>
        <v>29.13</v>
      </c>
      <c r="E7346" s="14" t="str">
        <f aca="false">IF(C7346="","",C7346*D7346/100)</f>
        <v/>
      </c>
      <c r="F7346" s="15" t="str">
        <f aca="false">IF(B7346&lt;5,"Go","Standard")</f>
        <v>Standard</v>
      </c>
    </row>
    <row r="7347" customFormat="false" ht="15" hidden="false" customHeight="true" outlineLevel="0" collapsed="false">
      <c r="A7347" s="10" t="n">
        <f aca="false">Einstellungen!$B$5+INT((ROW()-9)/24)</f>
        <v>46271</v>
      </c>
      <c r="B7347" s="11" t="n">
        <f aca="false">MOD(ROW()-9,24)</f>
        <v>18</v>
      </c>
      <c r="C7347" s="12"/>
      <c r="D7347" s="13" t="n">
        <f aca="false">IF(B7347&lt;5,Einstellungen!$B$3,Einstellungen!$B$4)</f>
        <v>29.13</v>
      </c>
      <c r="E7347" s="14" t="str">
        <f aca="false">IF(C7347="","",C7347*D7347/100)</f>
        <v/>
      </c>
      <c r="F7347" s="15" t="str">
        <f aca="false">IF(B7347&lt;5,"Go","Standard")</f>
        <v>Standard</v>
      </c>
    </row>
    <row r="7348" customFormat="false" ht="15" hidden="false" customHeight="true" outlineLevel="0" collapsed="false">
      <c r="A7348" s="10" t="n">
        <f aca="false">Einstellungen!$B$5+INT((ROW()-9)/24)</f>
        <v>46271</v>
      </c>
      <c r="B7348" s="11" t="n">
        <f aca="false">MOD(ROW()-9,24)</f>
        <v>19</v>
      </c>
      <c r="C7348" s="12"/>
      <c r="D7348" s="13" t="n">
        <f aca="false">IF(B7348&lt;5,Einstellungen!$B$3,Einstellungen!$B$4)</f>
        <v>29.13</v>
      </c>
      <c r="E7348" s="14" t="str">
        <f aca="false">IF(C7348="","",C7348*D7348/100)</f>
        <v/>
      </c>
      <c r="F7348" s="15" t="str">
        <f aca="false">IF(B7348&lt;5,"Go","Standard")</f>
        <v>Standard</v>
      </c>
    </row>
    <row r="7349" customFormat="false" ht="15" hidden="false" customHeight="true" outlineLevel="0" collapsed="false">
      <c r="A7349" s="10" t="n">
        <f aca="false">Einstellungen!$B$5+INT((ROW()-9)/24)</f>
        <v>46271</v>
      </c>
      <c r="B7349" s="11" t="n">
        <f aca="false">MOD(ROW()-9,24)</f>
        <v>20</v>
      </c>
      <c r="C7349" s="12"/>
      <c r="D7349" s="13" t="n">
        <f aca="false">IF(B7349&lt;5,Einstellungen!$B$3,Einstellungen!$B$4)</f>
        <v>29.13</v>
      </c>
      <c r="E7349" s="14" t="str">
        <f aca="false">IF(C7349="","",C7349*D7349/100)</f>
        <v/>
      </c>
      <c r="F7349" s="15" t="str">
        <f aca="false">IF(B7349&lt;5,"Go","Standard")</f>
        <v>Standard</v>
      </c>
    </row>
    <row r="7350" customFormat="false" ht="15" hidden="false" customHeight="true" outlineLevel="0" collapsed="false">
      <c r="A7350" s="10" t="n">
        <f aca="false">Einstellungen!$B$5+INT((ROW()-9)/24)</f>
        <v>46271</v>
      </c>
      <c r="B7350" s="11" t="n">
        <f aca="false">MOD(ROW()-9,24)</f>
        <v>21</v>
      </c>
      <c r="C7350" s="12"/>
      <c r="D7350" s="13" t="n">
        <f aca="false">IF(B7350&lt;5,Einstellungen!$B$3,Einstellungen!$B$4)</f>
        <v>29.13</v>
      </c>
      <c r="E7350" s="14" t="str">
        <f aca="false">IF(C7350="","",C7350*D7350/100)</f>
        <v/>
      </c>
      <c r="F7350" s="15" t="str">
        <f aca="false">IF(B7350&lt;5,"Go","Standard")</f>
        <v>Standard</v>
      </c>
    </row>
    <row r="7351" customFormat="false" ht="15" hidden="false" customHeight="true" outlineLevel="0" collapsed="false">
      <c r="A7351" s="10" t="n">
        <f aca="false">Einstellungen!$B$5+INT((ROW()-9)/24)</f>
        <v>46271</v>
      </c>
      <c r="B7351" s="11" t="n">
        <f aca="false">MOD(ROW()-9,24)</f>
        <v>22</v>
      </c>
      <c r="C7351" s="12"/>
      <c r="D7351" s="13" t="n">
        <f aca="false">IF(B7351&lt;5,Einstellungen!$B$3,Einstellungen!$B$4)</f>
        <v>29.13</v>
      </c>
      <c r="E7351" s="14" t="str">
        <f aca="false">IF(C7351="","",C7351*D7351/100)</f>
        <v/>
      </c>
      <c r="F7351" s="15" t="str">
        <f aca="false">IF(B7351&lt;5,"Go","Standard")</f>
        <v>Standard</v>
      </c>
    </row>
    <row r="7352" customFormat="false" ht="15" hidden="false" customHeight="true" outlineLevel="0" collapsed="false">
      <c r="A7352" s="10" t="n">
        <f aca="false">Einstellungen!$B$5+INT((ROW()-9)/24)</f>
        <v>46271</v>
      </c>
      <c r="B7352" s="11" t="n">
        <f aca="false">MOD(ROW()-9,24)</f>
        <v>23</v>
      </c>
      <c r="C7352" s="12"/>
      <c r="D7352" s="13" t="n">
        <f aca="false">IF(B7352&lt;5,Einstellungen!$B$3,Einstellungen!$B$4)</f>
        <v>29.13</v>
      </c>
      <c r="E7352" s="14" t="str">
        <f aca="false">IF(C7352="","",C7352*D7352/100)</f>
        <v/>
      </c>
      <c r="F7352" s="15" t="str">
        <f aca="false">IF(B7352&lt;5,"Go","Standard")</f>
        <v>Standard</v>
      </c>
    </row>
    <row r="7353" customFormat="false" ht="15" hidden="false" customHeight="true" outlineLevel="0" collapsed="false">
      <c r="A7353" s="10" t="n">
        <f aca="false">Einstellungen!$B$5+INT((ROW()-9)/24)</f>
        <v>46272</v>
      </c>
      <c r="B7353" s="11" t="n">
        <f aca="false">MOD(ROW()-9,24)</f>
        <v>0</v>
      </c>
      <c r="C7353" s="12"/>
      <c r="D7353" s="13" t="n">
        <f aca="false">IF(B7353&lt;5,Einstellungen!$B$3,Einstellungen!$B$4)</f>
        <v>15.92</v>
      </c>
      <c r="E7353" s="14" t="str">
        <f aca="false">IF(C7353="","",C7353*D7353/100)</f>
        <v/>
      </c>
      <c r="F7353" s="15" t="str">
        <f aca="false">IF(B7353&lt;5,"Go","Standard")</f>
        <v>Go</v>
      </c>
    </row>
    <row r="7354" customFormat="false" ht="15" hidden="false" customHeight="true" outlineLevel="0" collapsed="false">
      <c r="A7354" s="10" t="n">
        <f aca="false">Einstellungen!$B$5+INT((ROW()-9)/24)</f>
        <v>46272</v>
      </c>
      <c r="B7354" s="11" t="n">
        <f aca="false">MOD(ROW()-9,24)</f>
        <v>1</v>
      </c>
      <c r="C7354" s="12"/>
      <c r="D7354" s="13" t="n">
        <f aca="false">IF(B7354&lt;5,Einstellungen!$B$3,Einstellungen!$B$4)</f>
        <v>15.92</v>
      </c>
      <c r="E7354" s="14" t="str">
        <f aca="false">IF(C7354="","",C7354*D7354/100)</f>
        <v/>
      </c>
      <c r="F7354" s="15" t="str">
        <f aca="false">IF(B7354&lt;5,"Go","Standard")</f>
        <v>Go</v>
      </c>
    </row>
    <row r="7355" customFormat="false" ht="15" hidden="false" customHeight="true" outlineLevel="0" collapsed="false">
      <c r="A7355" s="10" t="n">
        <f aca="false">Einstellungen!$B$5+INT((ROW()-9)/24)</f>
        <v>46272</v>
      </c>
      <c r="B7355" s="11" t="n">
        <f aca="false">MOD(ROW()-9,24)</f>
        <v>2</v>
      </c>
      <c r="C7355" s="12"/>
      <c r="D7355" s="13" t="n">
        <f aca="false">IF(B7355&lt;5,Einstellungen!$B$3,Einstellungen!$B$4)</f>
        <v>15.92</v>
      </c>
      <c r="E7355" s="14" t="str">
        <f aca="false">IF(C7355="","",C7355*D7355/100)</f>
        <v/>
      </c>
      <c r="F7355" s="15" t="str">
        <f aca="false">IF(B7355&lt;5,"Go","Standard")</f>
        <v>Go</v>
      </c>
    </row>
    <row r="7356" customFormat="false" ht="15" hidden="false" customHeight="true" outlineLevel="0" collapsed="false">
      <c r="A7356" s="10" t="n">
        <f aca="false">Einstellungen!$B$5+INT((ROW()-9)/24)</f>
        <v>46272</v>
      </c>
      <c r="B7356" s="11" t="n">
        <f aca="false">MOD(ROW()-9,24)</f>
        <v>3</v>
      </c>
      <c r="C7356" s="12"/>
      <c r="D7356" s="13" t="n">
        <f aca="false">IF(B7356&lt;5,Einstellungen!$B$3,Einstellungen!$B$4)</f>
        <v>15.92</v>
      </c>
      <c r="E7356" s="14" t="str">
        <f aca="false">IF(C7356="","",C7356*D7356/100)</f>
        <v/>
      </c>
      <c r="F7356" s="15" t="str">
        <f aca="false">IF(B7356&lt;5,"Go","Standard")</f>
        <v>Go</v>
      </c>
    </row>
    <row r="7357" customFormat="false" ht="15" hidden="false" customHeight="true" outlineLevel="0" collapsed="false">
      <c r="A7357" s="10" t="n">
        <f aca="false">Einstellungen!$B$5+INT((ROW()-9)/24)</f>
        <v>46272</v>
      </c>
      <c r="B7357" s="11" t="n">
        <f aca="false">MOD(ROW()-9,24)</f>
        <v>4</v>
      </c>
      <c r="C7357" s="12"/>
      <c r="D7357" s="13" t="n">
        <f aca="false">IF(B7357&lt;5,Einstellungen!$B$3,Einstellungen!$B$4)</f>
        <v>15.92</v>
      </c>
      <c r="E7357" s="14" t="str">
        <f aca="false">IF(C7357="","",C7357*D7357/100)</f>
        <v/>
      </c>
      <c r="F7357" s="15" t="str">
        <f aca="false">IF(B7357&lt;5,"Go","Standard")</f>
        <v>Go</v>
      </c>
    </row>
    <row r="7358" customFormat="false" ht="15" hidden="false" customHeight="true" outlineLevel="0" collapsed="false">
      <c r="A7358" s="10" t="n">
        <f aca="false">Einstellungen!$B$5+INT((ROW()-9)/24)</f>
        <v>46272</v>
      </c>
      <c r="B7358" s="11" t="n">
        <f aca="false">MOD(ROW()-9,24)</f>
        <v>5</v>
      </c>
      <c r="C7358" s="12"/>
      <c r="D7358" s="13" t="n">
        <f aca="false">IF(B7358&lt;5,Einstellungen!$B$3,Einstellungen!$B$4)</f>
        <v>29.13</v>
      </c>
      <c r="E7358" s="14" t="str">
        <f aca="false">IF(C7358="","",C7358*D7358/100)</f>
        <v/>
      </c>
      <c r="F7358" s="15" t="str">
        <f aca="false">IF(B7358&lt;5,"Go","Standard")</f>
        <v>Standard</v>
      </c>
    </row>
    <row r="7359" customFormat="false" ht="15" hidden="false" customHeight="true" outlineLevel="0" collapsed="false">
      <c r="A7359" s="10" t="n">
        <f aca="false">Einstellungen!$B$5+INT((ROW()-9)/24)</f>
        <v>46272</v>
      </c>
      <c r="B7359" s="11" t="n">
        <f aca="false">MOD(ROW()-9,24)</f>
        <v>6</v>
      </c>
      <c r="C7359" s="12"/>
      <c r="D7359" s="13" t="n">
        <f aca="false">IF(B7359&lt;5,Einstellungen!$B$3,Einstellungen!$B$4)</f>
        <v>29.13</v>
      </c>
      <c r="E7359" s="14" t="str">
        <f aca="false">IF(C7359="","",C7359*D7359/100)</f>
        <v/>
      </c>
      <c r="F7359" s="15" t="str">
        <f aca="false">IF(B7359&lt;5,"Go","Standard")</f>
        <v>Standard</v>
      </c>
    </row>
    <row r="7360" customFormat="false" ht="15" hidden="false" customHeight="true" outlineLevel="0" collapsed="false">
      <c r="A7360" s="10" t="n">
        <f aca="false">Einstellungen!$B$5+INT((ROW()-9)/24)</f>
        <v>46272</v>
      </c>
      <c r="B7360" s="11" t="n">
        <f aca="false">MOD(ROW()-9,24)</f>
        <v>7</v>
      </c>
      <c r="C7360" s="12"/>
      <c r="D7360" s="13" t="n">
        <f aca="false">IF(B7360&lt;5,Einstellungen!$B$3,Einstellungen!$B$4)</f>
        <v>29.13</v>
      </c>
      <c r="E7360" s="14" t="str">
        <f aca="false">IF(C7360="","",C7360*D7360/100)</f>
        <v/>
      </c>
      <c r="F7360" s="15" t="str">
        <f aca="false">IF(B7360&lt;5,"Go","Standard")</f>
        <v>Standard</v>
      </c>
    </row>
    <row r="7361" customFormat="false" ht="15" hidden="false" customHeight="true" outlineLevel="0" collapsed="false">
      <c r="A7361" s="10" t="n">
        <f aca="false">Einstellungen!$B$5+INT((ROW()-9)/24)</f>
        <v>46272</v>
      </c>
      <c r="B7361" s="11" t="n">
        <f aca="false">MOD(ROW()-9,24)</f>
        <v>8</v>
      </c>
      <c r="C7361" s="12"/>
      <c r="D7361" s="13" t="n">
        <f aca="false">IF(B7361&lt;5,Einstellungen!$B$3,Einstellungen!$B$4)</f>
        <v>29.13</v>
      </c>
      <c r="E7361" s="14" t="str">
        <f aca="false">IF(C7361="","",C7361*D7361/100)</f>
        <v/>
      </c>
      <c r="F7361" s="15" t="str">
        <f aca="false">IF(B7361&lt;5,"Go","Standard")</f>
        <v>Standard</v>
      </c>
    </row>
    <row r="7362" customFormat="false" ht="15" hidden="false" customHeight="true" outlineLevel="0" collapsed="false">
      <c r="A7362" s="10" t="n">
        <f aca="false">Einstellungen!$B$5+INT((ROW()-9)/24)</f>
        <v>46272</v>
      </c>
      <c r="B7362" s="11" t="n">
        <f aca="false">MOD(ROW()-9,24)</f>
        <v>9</v>
      </c>
      <c r="C7362" s="12"/>
      <c r="D7362" s="13" t="n">
        <f aca="false">IF(B7362&lt;5,Einstellungen!$B$3,Einstellungen!$B$4)</f>
        <v>29.13</v>
      </c>
      <c r="E7362" s="14" t="str">
        <f aca="false">IF(C7362="","",C7362*D7362/100)</f>
        <v/>
      </c>
      <c r="F7362" s="15" t="str">
        <f aca="false">IF(B7362&lt;5,"Go","Standard")</f>
        <v>Standard</v>
      </c>
    </row>
    <row r="7363" customFormat="false" ht="15" hidden="false" customHeight="true" outlineLevel="0" collapsed="false">
      <c r="A7363" s="10" t="n">
        <f aca="false">Einstellungen!$B$5+INT((ROW()-9)/24)</f>
        <v>46272</v>
      </c>
      <c r="B7363" s="11" t="n">
        <f aca="false">MOD(ROW()-9,24)</f>
        <v>10</v>
      </c>
      <c r="C7363" s="12"/>
      <c r="D7363" s="13" t="n">
        <f aca="false">IF(B7363&lt;5,Einstellungen!$B$3,Einstellungen!$B$4)</f>
        <v>29.13</v>
      </c>
      <c r="E7363" s="14" t="str">
        <f aca="false">IF(C7363="","",C7363*D7363/100)</f>
        <v/>
      </c>
      <c r="F7363" s="15" t="str">
        <f aca="false">IF(B7363&lt;5,"Go","Standard")</f>
        <v>Standard</v>
      </c>
    </row>
    <row r="7364" customFormat="false" ht="15" hidden="false" customHeight="true" outlineLevel="0" collapsed="false">
      <c r="A7364" s="10" t="n">
        <f aca="false">Einstellungen!$B$5+INT((ROW()-9)/24)</f>
        <v>46272</v>
      </c>
      <c r="B7364" s="11" t="n">
        <f aca="false">MOD(ROW()-9,24)</f>
        <v>11</v>
      </c>
      <c r="C7364" s="12"/>
      <c r="D7364" s="13" t="n">
        <f aca="false">IF(B7364&lt;5,Einstellungen!$B$3,Einstellungen!$B$4)</f>
        <v>29.13</v>
      </c>
      <c r="E7364" s="14" t="str">
        <f aca="false">IF(C7364="","",C7364*D7364/100)</f>
        <v/>
      </c>
      <c r="F7364" s="15" t="str">
        <f aca="false">IF(B7364&lt;5,"Go","Standard")</f>
        <v>Standard</v>
      </c>
    </row>
    <row r="7365" customFormat="false" ht="15" hidden="false" customHeight="true" outlineLevel="0" collapsed="false">
      <c r="A7365" s="10" t="n">
        <f aca="false">Einstellungen!$B$5+INT((ROW()-9)/24)</f>
        <v>46272</v>
      </c>
      <c r="B7365" s="11" t="n">
        <f aca="false">MOD(ROW()-9,24)</f>
        <v>12</v>
      </c>
      <c r="C7365" s="12"/>
      <c r="D7365" s="13" t="n">
        <f aca="false">IF(B7365&lt;5,Einstellungen!$B$3,Einstellungen!$B$4)</f>
        <v>29.13</v>
      </c>
      <c r="E7365" s="14" t="str">
        <f aca="false">IF(C7365="","",C7365*D7365/100)</f>
        <v/>
      </c>
      <c r="F7365" s="15" t="str">
        <f aca="false">IF(B7365&lt;5,"Go","Standard")</f>
        <v>Standard</v>
      </c>
    </row>
    <row r="7366" customFormat="false" ht="15" hidden="false" customHeight="true" outlineLevel="0" collapsed="false">
      <c r="A7366" s="10" t="n">
        <f aca="false">Einstellungen!$B$5+INT((ROW()-9)/24)</f>
        <v>46272</v>
      </c>
      <c r="B7366" s="11" t="n">
        <f aca="false">MOD(ROW()-9,24)</f>
        <v>13</v>
      </c>
      <c r="C7366" s="12"/>
      <c r="D7366" s="13" t="n">
        <f aca="false">IF(B7366&lt;5,Einstellungen!$B$3,Einstellungen!$B$4)</f>
        <v>29.13</v>
      </c>
      <c r="E7366" s="14" t="str">
        <f aca="false">IF(C7366="","",C7366*D7366/100)</f>
        <v/>
      </c>
      <c r="F7366" s="15" t="str">
        <f aca="false">IF(B7366&lt;5,"Go","Standard")</f>
        <v>Standard</v>
      </c>
    </row>
    <row r="7367" customFormat="false" ht="15" hidden="false" customHeight="true" outlineLevel="0" collapsed="false">
      <c r="A7367" s="10" t="n">
        <f aca="false">Einstellungen!$B$5+INT((ROW()-9)/24)</f>
        <v>46272</v>
      </c>
      <c r="B7367" s="11" t="n">
        <f aca="false">MOD(ROW()-9,24)</f>
        <v>14</v>
      </c>
      <c r="C7367" s="12"/>
      <c r="D7367" s="13" t="n">
        <f aca="false">IF(B7367&lt;5,Einstellungen!$B$3,Einstellungen!$B$4)</f>
        <v>29.13</v>
      </c>
      <c r="E7367" s="14" t="str">
        <f aca="false">IF(C7367="","",C7367*D7367/100)</f>
        <v/>
      </c>
      <c r="F7367" s="15" t="str">
        <f aca="false">IF(B7367&lt;5,"Go","Standard")</f>
        <v>Standard</v>
      </c>
    </row>
    <row r="7368" customFormat="false" ht="15" hidden="false" customHeight="true" outlineLevel="0" collapsed="false">
      <c r="A7368" s="10" t="n">
        <f aca="false">Einstellungen!$B$5+INT((ROW()-9)/24)</f>
        <v>46272</v>
      </c>
      <c r="B7368" s="11" t="n">
        <f aca="false">MOD(ROW()-9,24)</f>
        <v>15</v>
      </c>
      <c r="C7368" s="12"/>
      <c r="D7368" s="13" t="n">
        <f aca="false">IF(B7368&lt;5,Einstellungen!$B$3,Einstellungen!$B$4)</f>
        <v>29.13</v>
      </c>
      <c r="E7368" s="14" t="str">
        <f aca="false">IF(C7368="","",C7368*D7368/100)</f>
        <v/>
      </c>
      <c r="F7368" s="15" t="str">
        <f aca="false">IF(B7368&lt;5,"Go","Standard")</f>
        <v>Standard</v>
      </c>
    </row>
    <row r="7369" customFormat="false" ht="15" hidden="false" customHeight="true" outlineLevel="0" collapsed="false">
      <c r="A7369" s="10" t="n">
        <f aca="false">Einstellungen!$B$5+INT((ROW()-9)/24)</f>
        <v>46272</v>
      </c>
      <c r="B7369" s="11" t="n">
        <f aca="false">MOD(ROW()-9,24)</f>
        <v>16</v>
      </c>
      <c r="C7369" s="12"/>
      <c r="D7369" s="13" t="n">
        <f aca="false">IF(B7369&lt;5,Einstellungen!$B$3,Einstellungen!$B$4)</f>
        <v>29.13</v>
      </c>
      <c r="E7369" s="14" t="str">
        <f aca="false">IF(C7369="","",C7369*D7369/100)</f>
        <v/>
      </c>
      <c r="F7369" s="15" t="str">
        <f aca="false">IF(B7369&lt;5,"Go","Standard")</f>
        <v>Standard</v>
      </c>
    </row>
    <row r="7370" customFormat="false" ht="15" hidden="false" customHeight="true" outlineLevel="0" collapsed="false">
      <c r="A7370" s="10" t="n">
        <f aca="false">Einstellungen!$B$5+INT((ROW()-9)/24)</f>
        <v>46272</v>
      </c>
      <c r="B7370" s="11" t="n">
        <f aca="false">MOD(ROW()-9,24)</f>
        <v>17</v>
      </c>
      <c r="C7370" s="12"/>
      <c r="D7370" s="13" t="n">
        <f aca="false">IF(B7370&lt;5,Einstellungen!$B$3,Einstellungen!$B$4)</f>
        <v>29.13</v>
      </c>
      <c r="E7370" s="14" t="str">
        <f aca="false">IF(C7370="","",C7370*D7370/100)</f>
        <v/>
      </c>
      <c r="F7370" s="15" t="str">
        <f aca="false">IF(B7370&lt;5,"Go","Standard")</f>
        <v>Standard</v>
      </c>
    </row>
    <row r="7371" customFormat="false" ht="15" hidden="false" customHeight="true" outlineLevel="0" collapsed="false">
      <c r="A7371" s="10" t="n">
        <f aca="false">Einstellungen!$B$5+INT((ROW()-9)/24)</f>
        <v>46272</v>
      </c>
      <c r="B7371" s="11" t="n">
        <f aca="false">MOD(ROW()-9,24)</f>
        <v>18</v>
      </c>
      <c r="C7371" s="12"/>
      <c r="D7371" s="13" t="n">
        <f aca="false">IF(B7371&lt;5,Einstellungen!$B$3,Einstellungen!$B$4)</f>
        <v>29.13</v>
      </c>
      <c r="E7371" s="14" t="str">
        <f aca="false">IF(C7371="","",C7371*D7371/100)</f>
        <v/>
      </c>
      <c r="F7371" s="15" t="str">
        <f aca="false">IF(B7371&lt;5,"Go","Standard")</f>
        <v>Standard</v>
      </c>
    </row>
    <row r="7372" customFormat="false" ht="15" hidden="false" customHeight="true" outlineLevel="0" collapsed="false">
      <c r="A7372" s="10" t="n">
        <f aca="false">Einstellungen!$B$5+INT((ROW()-9)/24)</f>
        <v>46272</v>
      </c>
      <c r="B7372" s="11" t="n">
        <f aca="false">MOD(ROW()-9,24)</f>
        <v>19</v>
      </c>
      <c r="C7372" s="12"/>
      <c r="D7372" s="13" t="n">
        <f aca="false">IF(B7372&lt;5,Einstellungen!$B$3,Einstellungen!$B$4)</f>
        <v>29.13</v>
      </c>
      <c r="E7372" s="14" t="str">
        <f aca="false">IF(C7372="","",C7372*D7372/100)</f>
        <v/>
      </c>
      <c r="F7372" s="15" t="str">
        <f aca="false">IF(B7372&lt;5,"Go","Standard")</f>
        <v>Standard</v>
      </c>
    </row>
    <row r="7373" customFormat="false" ht="15" hidden="false" customHeight="true" outlineLevel="0" collapsed="false">
      <c r="A7373" s="10" t="n">
        <f aca="false">Einstellungen!$B$5+INT((ROW()-9)/24)</f>
        <v>46272</v>
      </c>
      <c r="B7373" s="11" t="n">
        <f aca="false">MOD(ROW()-9,24)</f>
        <v>20</v>
      </c>
      <c r="C7373" s="12"/>
      <c r="D7373" s="13" t="n">
        <f aca="false">IF(B7373&lt;5,Einstellungen!$B$3,Einstellungen!$B$4)</f>
        <v>29.13</v>
      </c>
      <c r="E7373" s="14" t="str">
        <f aca="false">IF(C7373="","",C7373*D7373/100)</f>
        <v/>
      </c>
      <c r="F7373" s="15" t="str">
        <f aca="false">IF(B7373&lt;5,"Go","Standard")</f>
        <v>Standard</v>
      </c>
    </row>
    <row r="7374" customFormat="false" ht="15" hidden="false" customHeight="true" outlineLevel="0" collapsed="false">
      <c r="A7374" s="10" t="n">
        <f aca="false">Einstellungen!$B$5+INT((ROW()-9)/24)</f>
        <v>46272</v>
      </c>
      <c r="B7374" s="11" t="n">
        <f aca="false">MOD(ROW()-9,24)</f>
        <v>21</v>
      </c>
      <c r="C7374" s="12"/>
      <c r="D7374" s="13" t="n">
        <f aca="false">IF(B7374&lt;5,Einstellungen!$B$3,Einstellungen!$B$4)</f>
        <v>29.13</v>
      </c>
      <c r="E7374" s="14" t="str">
        <f aca="false">IF(C7374="","",C7374*D7374/100)</f>
        <v/>
      </c>
      <c r="F7374" s="15" t="str">
        <f aca="false">IF(B7374&lt;5,"Go","Standard")</f>
        <v>Standard</v>
      </c>
    </row>
    <row r="7375" customFormat="false" ht="15" hidden="false" customHeight="true" outlineLevel="0" collapsed="false">
      <c r="A7375" s="10" t="n">
        <f aca="false">Einstellungen!$B$5+INT((ROW()-9)/24)</f>
        <v>46272</v>
      </c>
      <c r="B7375" s="11" t="n">
        <f aca="false">MOD(ROW()-9,24)</f>
        <v>22</v>
      </c>
      <c r="C7375" s="12"/>
      <c r="D7375" s="13" t="n">
        <f aca="false">IF(B7375&lt;5,Einstellungen!$B$3,Einstellungen!$B$4)</f>
        <v>29.13</v>
      </c>
      <c r="E7375" s="14" t="str">
        <f aca="false">IF(C7375="","",C7375*D7375/100)</f>
        <v/>
      </c>
      <c r="F7375" s="15" t="str">
        <f aca="false">IF(B7375&lt;5,"Go","Standard")</f>
        <v>Standard</v>
      </c>
    </row>
    <row r="7376" customFormat="false" ht="15" hidden="false" customHeight="true" outlineLevel="0" collapsed="false">
      <c r="A7376" s="10" t="n">
        <f aca="false">Einstellungen!$B$5+INT((ROW()-9)/24)</f>
        <v>46272</v>
      </c>
      <c r="B7376" s="11" t="n">
        <f aca="false">MOD(ROW()-9,24)</f>
        <v>23</v>
      </c>
      <c r="C7376" s="12"/>
      <c r="D7376" s="13" t="n">
        <f aca="false">IF(B7376&lt;5,Einstellungen!$B$3,Einstellungen!$B$4)</f>
        <v>29.13</v>
      </c>
      <c r="E7376" s="14" t="str">
        <f aca="false">IF(C7376="","",C7376*D7376/100)</f>
        <v/>
      </c>
      <c r="F7376" s="15" t="str">
        <f aca="false">IF(B7376&lt;5,"Go","Standard")</f>
        <v>Standard</v>
      </c>
    </row>
    <row r="7377" customFormat="false" ht="15" hidden="false" customHeight="true" outlineLevel="0" collapsed="false">
      <c r="A7377" s="10" t="n">
        <f aca="false">Einstellungen!$B$5+INT((ROW()-9)/24)</f>
        <v>46273</v>
      </c>
      <c r="B7377" s="11" t="n">
        <f aca="false">MOD(ROW()-9,24)</f>
        <v>0</v>
      </c>
      <c r="C7377" s="12"/>
      <c r="D7377" s="13" t="n">
        <f aca="false">IF(B7377&lt;5,Einstellungen!$B$3,Einstellungen!$B$4)</f>
        <v>15.92</v>
      </c>
      <c r="E7377" s="14" t="str">
        <f aca="false">IF(C7377="","",C7377*D7377/100)</f>
        <v/>
      </c>
      <c r="F7377" s="15" t="str">
        <f aca="false">IF(B7377&lt;5,"Go","Standard")</f>
        <v>Go</v>
      </c>
    </row>
    <row r="7378" customFormat="false" ht="15" hidden="false" customHeight="true" outlineLevel="0" collapsed="false">
      <c r="A7378" s="10" t="n">
        <f aca="false">Einstellungen!$B$5+INT((ROW()-9)/24)</f>
        <v>46273</v>
      </c>
      <c r="B7378" s="11" t="n">
        <f aca="false">MOD(ROW()-9,24)</f>
        <v>1</v>
      </c>
      <c r="C7378" s="12"/>
      <c r="D7378" s="13" t="n">
        <f aca="false">IF(B7378&lt;5,Einstellungen!$B$3,Einstellungen!$B$4)</f>
        <v>15.92</v>
      </c>
      <c r="E7378" s="14" t="str">
        <f aca="false">IF(C7378="","",C7378*D7378/100)</f>
        <v/>
      </c>
      <c r="F7378" s="15" t="str">
        <f aca="false">IF(B7378&lt;5,"Go","Standard")</f>
        <v>Go</v>
      </c>
    </row>
    <row r="7379" customFormat="false" ht="15" hidden="false" customHeight="true" outlineLevel="0" collapsed="false">
      <c r="A7379" s="10" t="n">
        <f aca="false">Einstellungen!$B$5+INT((ROW()-9)/24)</f>
        <v>46273</v>
      </c>
      <c r="B7379" s="11" t="n">
        <f aca="false">MOD(ROW()-9,24)</f>
        <v>2</v>
      </c>
      <c r="C7379" s="12"/>
      <c r="D7379" s="13" t="n">
        <f aca="false">IF(B7379&lt;5,Einstellungen!$B$3,Einstellungen!$B$4)</f>
        <v>15.92</v>
      </c>
      <c r="E7379" s="14" t="str">
        <f aca="false">IF(C7379="","",C7379*D7379/100)</f>
        <v/>
      </c>
      <c r="F7379" s="15" t="str">
        <f aca="false">IF(B7379&lt;5,"Go","Standard")</f>
        <v>Go</v>
      </c>
    </row>
    <row r="7380" customFormat="false" ht="15" hidden="false" customHeight="true" outlineLevel="0" collapsed="false">
      <c r="A7380" s="10" t="n">
        <f aca="false">Einstellungen!$B$5+INT((ROW()-9)/24)</f>
        <v>46273</v>
      </c>
      <c r="B7380" s="11" t="n">
        <f aca="false">MOD(ROW()-9,24)</f>
        <v>3</v>
      </c>
      <c r="C7380" s="12"/>
      <c r="D7380" s="13" t="n">
        <f aca="false">IF(B7380&lt;5,Einstellungen!$B$3,Einstellungen!$B$4)</f>
        <v>15.92</v>
      </c>
      <c r="E7380" s="14" t="str">
        <f aca="false">IF(C7380="","",C7380*D7380/100)</f>
        <v/>
      </c>
      <c r="F7380" s="15" t="str">
        <f aca="false">IF(B7380&lt;5,"Go","Standard")</f>
        <v>Go</v>
      </c>
    </row>
    <row r="7381" customFormat="false" ht="15" hidden="false" customHeight="true" outlineLevel="0" collapsed="false">
      <c r="A7381" s="10" t="n">
        <f aca="false">Einstellungen!$B$5+INT((ROW()-9)/24)</f>
        <v>46273</v>
      </c>
      <c r="B7381" s="11" t="n">
        <f aca="false">MOD(ROW()-9,24)</f>
        <v>4</v>
      </c>
      <c r="C7381" s="12"/>
      <c r="D7381" s="13" t="n">
        <f aca="false">IF(B7381&lt;5,Einstellungen!$B$3,Einstellungen!$B$4)</f>
        <v>15.92</v>
      </c>
      <c r="E7381" s="14" t="str">
        <f aca="false">IF(C7381="","",C7381*D7381/100)</f>
        <v/>
      </c>
      <c r="F7381" s="15" t="str">
        <f aca="false">IF(B7381&lt;5,"Go","Standard")</f>
        <v>Go</v>
      </c>
    </row>
    <row r="7382" customFormat="false" ht="15" hidden="false" customHeight="true" outlineLevel="0" collapsed="false">
      <c r="A7382" s="10" t="n">
        <f aca="false">Einstellungen!$B$5+INT((ROW()-9)/24)</f>
        <v>46273</v>
      </c>
      <c r="B7382" s="11" t="n">
        <f aca="false">MOD(ROW()-9,24)</f>
        <v>5</v>
      </c>
      <c r="C7382" s="12"/>
      <c r="D7382" s="13" t="n">
        <f aca="false">IF(B7382&lt;5,Einstellungen!$B$3,Einstellungen!$B$4)</f>
        <v>29.13</v>
      </c>
      <c r="E7382" s="14" t="str">
        <f aca="false">IF(C7382="","",C7382*D7382/100)</f>
        <v/>
      </c>
      <c r="F7382" s="15" t="str">
        <f aca="false">IF(B7382&lt;5,"Go","Standard")</f>
        <v>Standard</v>
      </c>
    </row>
    <row r="7383" customFormat="false" ht="15" hidden="false" customHeight="true" outlineLevel="0" collapsed="false">
      <c r="A7383" s="10" t="n">
        <f aca="false">Einstellungen!$B$5+INT((ROW()-9)/24)</f>
        <v>46273</v>
      </c>
      <c r="B7383" s="11" t="n">
        <f aca="false">MOD(ROW()-9,24)</f>
        <v>6</v>
      </c>
      <c r="C7383" s="12"/>
      <c r="D7383" s="13" t="n">
        <f aca="false">IF(B7383&lt;5,Einstellungen!$B$3,Einstellungen!$B$4)</f>
        <v>29.13</v>
      </c>
      <c r="E7383" s="14" t="str">
        <f aca="false">IF(C7383="","",C7383*D7383/100)</f>
        <v/>
      </c>
      <c r="F7383" s="15" t="str">
        <f aca="false">IF(B7383&lt;5,"Go","Standard")</f>
        <v>Standard</v>
      </c>
    </row>
    <row r="7384" customFormat="false" ht="15" hidden="false" customHeight="true" outlineLevel="0" collapsed="false">
      <c r="A7384" s="10" t="n">
        <f aca="false">Einstellungen!$B$5+INT((ROW()-9)/24)</f>
        <v>46273</v>
      </c>
      <c r="B7384" s="11" t="n">
        <f aca="false">MOD(ROW()-9,24)</f>
        <v>7</v>
      </c>
      <c r="C7384" s="12"/>
      <c r="D7384" s="13" t="n">
        <f aca="false">IF(B7384&lt;5,Einstellungen!$B$3,Einstellungen!$B$4)</f>
        <v>29.13</v>
      </c>
      <c r="E7384" s="14" t="str">
        <f aca="false">IF(C7384="","",C7384*D7384/100)</f>
        <v/>
      </c>
      <c r="F7384" s="15" t="str">
        <f aca="false">IF(B7384&lt;5,"Go","Standard")</f>
        <v>Standard</v>
      </c>
    </row>
    <row r="7385" customFormat="false" ht="15" hidden="false" customHeight="true" outlineLevel="0" collapsed="false">
      <c r="A7385" s="10" t="n">
        <f aca="false">Einstellungen!$B$5+INT((ROW()-9)/24)</f>
        <v>46273</v>
      </c>
      <c r="B7385" s="11" t="n">
        <f aca="false">MOD(ROW()-9,24)</f>
        <v>8</v>
      </c>
      <c r="C7385" s="12"/>
      <c r="D7385" s="13" t="n">
        <f aca="false">IF(B7385&lt;5,Einstellungen!$B$3,Einstellungen!$B$4)</f>
        <v>29.13</v>
      </c>
      <c r="E7385" s="14" t="str">
        <f aca="false">IF(C7385="","",C7385*D7385/100)</f>
        <v/>
      </c>
      <c r="F7385" s="15" t="str">
        <f aca="false">IF(B7385&lt;5,"Go","Standard")</f>
        <v>Standard</v>
      </c>
    </row>
    <row r="7386" customFormat="false" ht="15" hidden="false" customHeight="true" outlineLevel="0" collapsed="false">
      <c r="A7386" s="10" t="n">
        <f aca="false">Einstellungen!$B$5+INT((ROW()-9)/24)</f>
        <v>46273</v>
      </c>
      <c r="B7386" s="11" t="n">
        <f aca="false">MOD(ROW()-9,24)</f>
        <v>9</v>
      </c>
      <c r="C7386" s="12"/>
      <c r="D7386" s="13" t="n">
        <f aca="false">IF(B7386&lt;5,Einstellungen!$B$3,Einstellungen!$B$4)</f>
        <v>29.13</v>
      </c>
      <c r="E7386" s="14" t="str">
        <f aca="false">IF(C7386="","",C7386*D7386/100)</f>
        <v/>
      </c>
      <c r="F7386" s="15" t="str">
        <f aca="false">IF(B7386&lt;5,"Go","Standard")</f>
        <v>Standard</v>
      </c>
    </row>
    <row r="7387" customFormat="false" ht="15" hidden="false" customHeight="true" outlineLevel="0" collapsed="false">
      <c r="A7387" s="10" t="n">
        <f aca="false">Einstellungen!$B$5+INT((ROW()-9)/24)</f>
        <v>46273</v>
      </c>
      <c r="B7387" s="11" t="n">
        <f aca="false">MOD(ROW()-9,24)</f>
        <v>10</v>
      </c>
      <c r="C7387" s="12"/>
      <c r="D7387" s="13" t="n">
        <f aca="false">IF(B7387&lt;5,Einstellungen!$B$3,Einstellungen!$B$4)</f>
        <v>29.13</v>
      </c>
      <c r="E7387" s="14" t="str">
        <f aca="false">IF(C7387="","",C7387*D7387/100)</f>
        <v/>
      </c>
      <c r="F7387" s="15" t="str">
        <f aca="false">IF(B7387&lt;5,"Go","Standard")</f>
        <v>Standard</v>
      </c>
    </row>
    <row r="7388" customFormat="false" ht="15" hidden="false" customHeight="true" outlineLevel="0" collapsed="false">
      <c r="A7388" s="10" t="n">
        <f aca="false">Einstellungen!$B$5+INT((ROW()-9)/24)</f>
        <v>46273</v>
      </c>
      <c r="B7388" s="11" t="n">
        <f aca="false">MOD(ROW()-9,24)</f>
        <v>11</v>
      </c>
      <c r="C7388" s="12"/>
      <c r="D7388" s="13" t="n">
        <f aca="false">IF(B7388&lt;5,Einstellungen!$B$3,Einstellungen!$B$4)</f>
        <v>29.13</v>
      </c>
      <c r="E7388" s="14" t="str">
        <f aca="false">IF(C7388="","",C7388*D7388/100)</f>
        <v/>
      </c>
      <c r="F7388" s="15" t="str">
        <f aca="false">IF(B7388&lt;5,"Go","Standard")</f>
        <v>Standard</v>
      </c>
    </row>
    <row r="7389" customFormat="false" ht="15" hidden="false" customHeight="true" outlineLevel="0" collapsed="false">
      <c r="A7389" s="10" t="n">
        <f aca="false">Einstellungen!$B$5+INT((ROW()-9)/24)</f>
        <v>46273</v>
      </c>
      <c r="B7389" s="11" t="n">
        <f aca="false">MOD(ROW()-9,24)</f>
        <v>12</v>
      </c>
      <c r="C7389" s="12"/>
      <c r="D7389" s="13" t="n">
        <f aca="false">IF(B7389&lt;5,Einstellungen!$B$3,Einstellungen!$B$4)</f>
        <v>29.13</v>
      </c>
      <c r="E7389" s="14" t="str">
        <f aca="false">IF(C7389="","",C7389*D7389/100)</f>
        <v/>
      </c>
      <c r="F7389" s="15" t="str">
        <f aca="false">IF(B7389&lt;5,"Go","Standard")</f>
        <v>Standard</v>
      </c>
    </row>
    <row r="7390" customFormat="false" ht="15" hidden="false" customHeight="true" outlineLevel="0" collapsed="false">
      <c r="A7390" s="10" t="n">
        <f aca="false">Einstellungen!$B$5+INT((ROW()-9)/24)</f>
        <v>46273</v>
      </c>
      <c r="B7390" s="11" t="n">
        <f aca="false">MOD(ROW()-9,24)</f>
        <v>13</v>
      </c>
      <c r="C7390" s="12"/>
      <c r="D7390" s="13" t="n">
        <f aca="false">IF(B7390&lt;5,Einstellungen!$B$3,Einstellungen!$B$4)</f>
        <v>29.13</v>
      </c>
      <c r="E7390" s="14" t="str">
        <f aca="false">IF(C7390="","",C7390*D7390/100)</f>
        <v/>
      </c>
      <c r="F7390" s="15" t="str">
        <f aca="false">IF(B7390&lt;5,"Go","Standard")</f>
        <v>Standard</v>
      </c>
    </row>
    <row r="7391" customFormat="false" ht="15" hidden="false" customHeight="true" outlineLevel="0" collapsed="false">
      <c r="A7391" s="10" t="n">
        <f aca="false">Einstellungen!$B$5+INT((ROW()-9)/24)</f>
        <v>46273</v>
      </c>
      <c r="B7391" s="11" t="n">
        <f aca="false">MOD(ROW()-9,24)</f>
        <v>14</v>
      </c>
      <c r="C7391" s="12"/>
      <c r="D7391" s="13" t="n">
        <f aca="false">IF(B7391&lt;5,Einstellungen!$B$3,Einstellungen!$B$4)</f>
        <v>29.13</v>
      </c>
      <c r="E7391" s="14" t="str">
        <f aca="false">IF(C7391="","",C7391*D7391/100)</f>
        <v/>
      </c>
      <c r="F7391" s="15" t="str">
        <f aca="false">IF(B7391&lt;5,"Go","Standard")</f>
        <v>Standard</v>
      </c>
    </row>
    <row r="7392" customFormat="false" ht="15" hidden="false" customHeight="true" outlineLevel="0" collapsed="false">
      <c r="A7392" s="10" t="n">
        <f aca="false">Einstellungen!$B$5+INT((ROW()-9)/24)</f>
        <v>46273</v>
      </c>
      <c r="B7392" s="11" t="n">
        <f aca="false">MOD(ROW()-9,24)</f>
        <v>15</v>
      </c>
      <c r="C7392" s="12"/>
      <c r="D7392" s="13" t="n">
        <f aca="false">IF(B7392&lt;5,Einstellungen!$B$3,Einstellungen!$B$4)</f>
        <v>29.13</v>
      </c>
      <c r="E7392" s="14" t="str">
        <f aca="false">IF(C7392="","",C7392*D7392/100)</f>
        <v/>
      </c>
      <c r="F7392" s="15" t="str">
        <f aca="false">IF(B7392&lt;5,"Go","Standard")</f>
        <v>Standard</v>
      </c>
    </row>
    <row r="7393" customFormat="false" ht="15" hidden="false" customHeight="true" outlineLevel="0" collapsed="false">
      <c r="A7393" s="10" t="n">
        <f aca="false">Einstellungen!$B$5+INT((ROW()-9)/24)</f>
        <v>46273</v>
      </c>
      <c r="B7393" s="11" t="n">
        <f aca="false">MOD(ROW()-9,24)</f>
        <v>16</v>
      </c>
      <c r="C7393" s="12"/>
      <c r="D7393" s="13" t="n">
        <f aca="false">IF(B7393&lt;5,Einstellungen!$B$3,Einstellungen!$B$4)</f>
        <v>29.13</v>
      </c>
      <c r="E7393" s="14" t="str">
        <f aca="false">IF(C7393="","",C7393*D7393/100)</f>
        <v/>
      </c>
      <c r="F7393" s="15" t="str">
        <f aca="false">IF(B7393&lt;5,"Go","Standard")</f>
        <v>Standard</v>
      </c>
    </row>
    <row r="7394" customFormat="false" ht="15" hidden="false" customHeight="true" outlineLevel="0" collapsed="false">
      <c r="A7394" s="10" t="n">
        <f aca="false">Einstellungen!$B$5+INT((ROW()-9)/24)</f>
        <v>46273</v>
      </c>
      <c r="B7394" s="11" t="n">
        <f aca="false">MOD(ROW()-9,24)</f>
        <v>17</v>
      </c>
      <c r="C7394" s="12"/>
      <c r="D7394" s="13" t="n">
        <f aca="false">IF(B7394&lt;5,Einstellungen!$B$3,Einstellungen!$B$4)</f>
        <v>29.13</v>
      </c>
      <c r="E7394" s="14" t="str">
        <f aca="false">IF(C7394="","",C7394*D7394/100)</f>
        <v/>
      </c>
      <c r="F7394" s="15" t="str">
        <f aca="false">IF(B7394&lt;5,"Go","Standard")</f>
        <v>Standard</v>
      </c>
    </row>
    <row r="7395" customFormat="false" ht="15" hidden="false" customHeight="true" outlineLevel="0" collapsed="false">
      <c r="A7395" s="10" t="n">
        <f aca="false">Einstellungen!$B$5+INT((ROW()-9)/24)</f>
        <v>46273</v>
      </c>
      <c r="B7395" s="11" t="n">
        <f aca="false">MOD(ROW()-9,24)</f>
        <v>18</v>
      </c>
      <c r="C7395" s="12"/>
      <c r="D7395" s="13" t="n">
        <f aca="false">IF(B7395&lt;5,Einstellungen!$B$3,Einstellungen!$B$4)</f>
        <v>29.13</v>
      </c>
      <c r="E7395" s="14" t="str">
        <f aca="false">IF(C7395="","",C7395*D7395/100)</f>
        <v/>
      </c>
      <c r="F7395" s="15" t="str">
        <f aca="false">IF(B7395&lt;5,"Go","Standard")</f>
        <v>Standard</v>
      </c>
    </row>
    <row r="7396" customFormat="false" ht="15" hidden="false" customHeight="true" outlineLevel="0" collapsed="false">
      <c r="A7396" s="10" t="n">
        <f aca="false">Einstellungen!$B$5+INT((ROW()-9)/24)</f>
        <v>46273</v>
      </c>
      <c r="B7396" s="11" t="n">
        <f aca="false">MOD(ROW()-9,24)</f>
        <v>19</v>
      </c>
      <c r="C7396" s="12"/>
      <c r="D7396" s="13" t="n">
        <f aca="false">IF(B7396&lt;5,Einstellungen!$B$3,Einstellungen!$B$4)</f>
        <v>29.13</v>
      </c>
      <c r="E7396" s="14" t="str">
        <f aca="false">IF(C7396="","",C7396*D7396/100)</f>
        <v/>
      </c>
      <c r="F7396" s="15" t="str">
        <f aca="false">IF(B7396&lt;5,"Go","Standard")</f>
        <v>Standard</v>
      </c>
    </row>
    <row r="7397" customFormat="false" ht="15" hidden="false" customHeight="true" outlineLevel="0" collapsed="false">
      <c r="A7397" s="10" t="n">
        <f aca="false">Einstellungen!$B$5+INT((ROW()-9)/24)</f>
        <v>46273</v>
      </c>
      <c r="B7397" s="11" t="n">
        <f aca="false">MOD(ROW()-9,24)</f>
        <v>20</v>
      </c>
      <c r="C7397" s="12"/>
      <c r="D7397" s="13" t="n">
        <f aca="false">IF(B7397&lt;5,Einstellungen!$B$3,Einstellungen!$B$4)</f>
        <v>29.13</v>
      </c>
      <c r="E7397" s="14" t="str">
        <f aca="false">IF(C7397="","",C7397*D7397/100)</f>
        <v/>
      </c>
      <c r="F7397" s="15" t="str">
        <f aca="false">IF(B7397&lt;5,"Go","Standard")</f>
        <v>Standard</v>
      </c>
    </row>
    <row r="7398" customFormat="false" ht="15" hidden="false" customHeight="true" outlineLevel="0" collapsed="false">
      <c r="A7398" s="10" t="n">
        <f aca="false">Einstellungen!$B$5+INT((ROW()-9)/24)</f>
        <v>46273</v>
      </c>
      <c r="B7398" s="11" t="n">
        <f aca="false">MOD(ROW()-9,24)</f>
        <v>21</v>
      </c>
      <c r="C7398" s="12"/>
      <c r="D7398" s="13" t="n">
        <f aca="false">IF(B7398&lt;5,Einstellungen!$B$3,Einstellungen!$B$4)</f>
        <v>29.13</v>
      </c>
      <c r="E7398" s="14" t="str">
        <f aca="false">IF(C7398="","",C7398*D7398/100)</f>
        <v/>
      </c>
      <c r="F7398" s="15" t="str">
        <f aca="false">IF(B7398&lt;5,"Go","Standard")</f>
        <v>Standard</v>
      </c>
    </row>
    <row r="7399" customFormat="false" ht="15" hidden="false" customHeight="true" outlineLevel="0" collapsed="false">
      <c r="A7399" s="10" t="n">
        <f aca="false">Einstellungen!$B$5+INT((ROW()-9)/24)</f>
        <v>46273</v>
      </c>
      <c r="B7399" s="11" t="n">
        <f aca="false">MOD(ROW()-9,24)</f>
        <v>22</v>
      </c>
      <c r="C7399" s="12"/>
      <c r="D7399" s="13" t="n">
        <f aca="false">IF(B7399&lt;5,Einstellungen!$B$3,Einstellungen!$B$4)</f>
        <v>29.13</v>
      </c>
      <c r="E7399" s="14" t="str">
        <f aca="false">IF(C7399="","",C7399*D7399/100)</f>
        <v/>
      </c>
      <c r="F7399" s="15" t="str">
        <f aca="false">IF(B7399&lt;5,"Go","Standard")</f>
        <v>Standard</v>
      </c>
    </row>
    <row r="7400" customFormat="false" ht="15" hidden="false" customHeight="true" outlineLevel="0" collapsed="false">
      <c r="A7400" s="10" t="n">
        <f aca="false">Einstellungen!$B$5+INT((ROW()-9)/24)</f>
        <v>46273</v>
      </c>
      <c r="B7400" s="11" t="n">
        <f aca="false">MOD(ROW()-9,24)</f>
        <v>23</v>
      </c>
      <c r="C7400" s="12"/>
      <c r="D7400" s="13" t="n">
        <f aca="false">IF(B7400&lt;5,Einstellungen!$B$3,Einstellungen!$B$4)</f>
        <v>29.13</v>
      </c>
      <c r="E7400" s="14" t="str">
        <f aca="false">IF(C7400="","",C7400*D7400/100)</f>
        <v/>
      </c>
      <c r="F7400" s="15" t="str">
        <f aca="false">IF(B7400&lt;5,"Go","Standard")</f>
        <v>Standard</v>
      </c>
    </row>
    <row r="7401" customFormat="false" ht="15" hidden="false" customHeight="true" outlineLevel="0" collapsed="false">
      <c r="A7401" s="10" t="n">
        <f aca="false">Einstellungen!$B$5+INT((ROW()-9)/24)</f>
        <v>46274</v>
      </c>
      <c r="B7401" s="11" t="n">
        <f aca="false">MOD(ROW()-9,24)</f>
        <v>0</v>
      </c>
      <c r="C7401" s="12"/>
      <c r="D7401" s="13" t="n">
        <f aca="false">IF(B7401&lt;5,Einstellungen!$B$3,Einstellungen!$B$4)</f>
        <v>15.92</v>
      </c>
      <c r="E7401" s="14" t="str">
        <f aca="false">IF(C7401="","",C7401*D7401/100)</f>
        <v/>
      </c>
      <c r="F7401" s="15" t="str">
        <f aca="false">IF(B7401&lt;5,"Go","Standard")</f>
        <v>Go</v>
      </c>
    </row>
    <row r="7402" customFormat="false" ht="15" hidden="false" customHeight="true" outlineLevel="0" collapsed="false">
      <c r="A7402" s="10" t="n">
        <f aca="false">Einstellungen!$B$5+INT((ROW()-9)/24)</f>
        <v>46274</v>
      </c>
      <c r="B7402" s="11" t="n">
        <f aca="false">MOD(ROW()-9,24)</f>
        <v>1</v>
      </c>
      <c r="C7402" s="12"/>
      <c r="D7402" s="13" t="n">
        <f aca="false">IF(B7402&lt;5,Einstellungen!$B$3,Einstellungen!$B$4)</f>
        <v>15.92</v>
      </c>
      <c r="E7402" s="14" t="str">
        <f aca="false">IF(C7402="","",C7402*D7402/100)</f>
        <v/>
      </c>
      <c r="F7402" s="15" t="str">
        <f aca="false">IF(B7402&lt;5,"Go","Standard")</f>
        <v>Go</v>
      </c>
    </row>
    <row r="7403" customFormat="false" ht="15" hidden="false" customHeight="true" outlineLevel="0" collapsed="false">
      <c r="A7403" s="10" t="n">
        <f aca="false">Einstellungen!$B$5+INT((ROW()-9)/24)</f>
        <v>46274</v>
      </c>
      <c r="B7403" s="11" t="n">
        <f aca="false">MOD(ROW()-9,24)</f>
        <v>2</v>
      </c>
      <c r="C7403" s="12"/>
      <c r="D7403" s="13" t="n">
        <f aca="false">IF(B7403&lt;5,Einstellungen!$B$3,Einstellungen!$B$4)</f>
        <v>15.92</v>
      </c>
      <c r="E7403" s="14" t="str">
        <f aca="false">IF(C7403="","",C7403*D7403/100)</f>
        <v/>
      </c>
      <c r="F7403" s="15" t="str">
        <f aca="false">IF(B7403&lt;5,"Go","Standard")</f>
        <v>Go</v>
      </c>
    </row>
    <row r="7404" customFormat="false" ht="15" hidden="false" customHeight="true" outlineLevel="0" collapsed="false">
      <c r="A7404" s="10" t="n">
        <f aca="false">Einstellungen!$B$5+INT((ROW()-9)/24)</f>
        <v>46274</v>
      </c>
      <c r="B7404" s="11" t="n">
        <f aca="false">MOD(ROW()-9,24)</f>
        <v>3</v>
      </c>
      <c r="C7404" s="12"/>
      <c r="D7404" s="13" t="n">
        <f aca="false">IF(B7404&lt;5,Einstellungen!$B$3,Einstellungen!$B$4)</f>
        <v>15.92</v>
      </c>
      <c r="E7404" s="14" t="str">
        <f aca="false">IF(C7404="","",C7404*D7404/100)</f>
        <v/>
      </c>
      <c r="F7404" s="15" t="str">
        <f aca="false">IF(B7404&lt;5,"Go","Standard")</f>
        <v>Go</v>
      </c>
    </row>
    <row r="7405" customFormat="false" ht="15" hidden="false" customHeight="true" outlineLevel="0" collapsed="false">
      <c r="A7405" s="10" t="n">
        <f aca="false">Einstellungen!$B$5+INT((ROW()-9)/24)</f>
        <v>46274</v>
      </c>
      <c r="B7405" s="11" t="n">
        <f aca="false">MOD(ROW()-9,24)</f>
        <v>4</v>
      </c>
      <c r="C7405" s="12"/>
      <c r="D7405" s="13" t="n">
        <f aca="false">IF(B7405&lt;5,Einstellungen!$B$3,Einstellungen!$B$4)</f>
        <v>15.92</v>
      </c>
      <c r="E7405" s="14" t="str">
        <f aca="false">IF(C7405="","",C7405*D7405/100)</f>
        <v/>
      </c>
      <c r="F7405" s="15" t="str">
        <f aca="false">IF(B7405&lt;5,"Go","Standard")</f>
        <v>Go</v>
      </c>
    </row>
    <row r="7406" customFormat="false" ht="15" hidden="false" customHeight="true" outlineLevel="0" collapsed="false">
      <c r="A7406" s="10" t="n">
        <f aca="false">Einstellungen!$B$5+INT((ROW()-9)/24)</f>
        <v>46274</v>
      </c>
      <c r="B7406" s="11" t="n">
        <f aca="false">MOD(ROW()-9,24)</f>
        <v>5</v>
      </c>
      <c r="C7406" s="12"/>
      <c r="D7406" s="13" t="n">
        <f aca="false">IF(B7406&lt;5,Einstellungen!$B$3,Einstellungen!$B$4)</f>
        <v>29.13</v>
      </c>
      <c r="E7406" s="14" t="str">
        <f aca="false">IF(C7406="","",C7406*D7406/100)</f>
        <v/>
      </c>
      <c r="F7406" s="15" t="str">
        <f aca="false">IF(B7406&lt;5,"Go","Standard")</f>
        <v>Standard</v>
      </c>
    </row>
    <row r="7407" customFormat="false" ht="15" hidden="false" customHeight="true" outlineLevel="0" collapsed="false">
      <c r="A7407" s="10" t="n">
        <f aca="false">Einstellungen!$B$5+INT((ROW()-9)/24)</f>
        <v>46274</v>
      </c>
      <c r="B7407" s="11" t="n">
        <f aca="false">MOD(ROW()-9,24)</f>
        <v>6</v>
      </c>
      <c r="C7407" s="12"/>
      <c r="D7407" s="13" t="n">
        <f aca="false">IF(B7407&lt;5,Einstellungen!$B$3,Einstellungen!$B$4)</f>
        <v>29.13</v>
      </c>
      <c r="E7407" s="14" t="str">
        <f aca="false">IF(C7407="","",C7407*D7407/100)</f>
        <v/>
      </c>
      <c r="F7407" s="15" t="str">
        <f aca="false">IF(B7407&lt;5,"Go","Standard")</f>
        <v>Standard</v>
      </c>
    </row>
    <row r="7408" customFormat="false" ht="15" hidden="false" customHeight="true" outlineLevel="0" collapsed="false">
      <c r="A7408" s="10" t="n">
        <f aca="false">Einstellungen!$B$5+INT((ROW()-9)/24)</f>
        <v>46274</v>
      </c>
      <c r="B7408" s="11" t="n">
        <f aca="false">MOD(ROW()-9,24)</f>
        <v>7</v>
      </c>
      <c r="C7408" s="12"/>
      <c r="D7408" s="13" t="n">
        <f aca="false">IF(B7408&lt;5,Einstellungen!$B$3,Einstellungen!$B$4)</f>
        <v>29.13</v>
      </c>
      <c r="E7408" s="14" t="str">
        <f aca="false">IF(C7408="","",C7408*D7408/100)</f>
        <v/>
      </c>
      <c r="F7408" s="15" t="str">
        <f aca="false">IF(B7408&lt;5,"Go","Standard")</f>
        <v>Standard</v>
      </c>
    </row>
    <row r="7409" customFormat="false" ht="15" hidden="false" customHeight="true" outlineLevel="0" collapsed="false">
      <c r="A7409" s="10" t="n">
        <f aca="false">Einstellungen!$B$5+INT((ROW()-9)/24)</f>
        <v>46274</v>
      </c>
      <c r="B7409" s="11" t="n">
        <f aca="false">MOD(ROW()-9,24)</f>
        <v>8</v>
      </c>
      <c r="C7409" s="12"/>
      <c r="D7409" s="13" t="n">
        <f aca="false">IF(B7409&lt;5,Einstellungen!$B$3,Einstellungen!$B$4)</f>
        <v>29.13</v>
      </c>
      <c r="E7409" s="14" t="str">
        <f aca="false">IF(C7409="","",C7409*D7409/100)</f>
        <v/>
      </c>
      <c r="F7409" s="15" t="str">
        <f aca="false">IF(B7409&lt;5,"Go","Standard")</f>
        <v>Standard</v>
      </c>
    </row>
    <row r="7410" customFormat="false" ht="15" hidden="false" customHeight="true" outlineLevel="0" collapsed="false">
      <c r="A7410" s="10" t="n">
        <f aca="false">Einstellungen!$B$5+INT((ROW()-9)/24)</f>
        <v>46274</v>
      </c>
      <c r="B7410" s="11" t="n">
        <f aca="false">MOD(ROW()-9,24)</f>
        <v>9</v>
      </c>
      <c r="C7410" s="12"/>
      <c r="D7410" s="13" t="n">
        <f aca="false">IF(B7410&lt;5,Einstellungen!$B$3,Einstellungen!$B$4)</f>
        <v>29.13</v>
      </c>
      <c r="E7410" s="14" t="str">
        <f aca="false">IF(C7410="","",C7410*D7410/100)</f>
        <v/>
      </c>
      <c r="F7410" s="15" t="str">
        <f aca="false">IF(B7410&lt;5,"Go","Standard")</f>
        <v>Standard</v>
      </c>
    </row>
    <row r="7411" customFormat="false" ht="15" hidden="false" customHeight="true" outlineLevel="0" collapsed="false">
      <c r="A7411" s="10" t="n">
        <f aca="false">Einstellungen!$B$5+INT((ROW()-9)/24)</f>
        <v>46274</v>
      </c>
      <c r="B7411" s="11" t="n">
        <f aca="false">MOD(ROW()-9,24)</f>
        <v>10</v>
      </c>
      <c r="C7411" s="12"/>
      <c r="D7411" s="13" t="n">
        <f aca="false">IF(B7411&lt;5,Einstellungen!$B$3,Einstellungen!$B$4)</f>
        <v>29.13</v>
      </c>
      <c r="E7411" s="14" t="str">
        <f aca="false">IF(C7411="","",C7411*D7411/100)</f>
        <v/>
      </c>
      <c r="F7411" s="15" t="str">
        <f aca="false">IF(B7411&lt;5,"Go","Standard")</f>
        <v>Standard</v>
      </c>
    </row>
    <row r="7412" customFormat="false" ht="15" hidden="false" customHeight="true" outlineLevel="0" collapsed="false">
      <c r="A7412" s="10" t="n">
        <f aca="false">Einstellungen!$B$5+INT((ROW()-9)/24)</f>
        <v>46274</v>
      </c>
      <c r="B7412" s="11" t="n">
        <f aca="false">MOD(ROW()-9,24)</f>
        <v>11</v>
      </c>
      <c r="C7412" s="12"/>
      <c r="D7412" s="13" t="n">
        <f aca="false">IF(B7412&lt;5,Einstellungen!$B$3,Einstellungen!$B$4)</f>
        <v>29.13</v>
      </c>
      <c r="E7412" s="14" t="str">
        <f aca="false">IF(C7412="","",C7412*D7412/100)</f>
        <v/>
      </c>
      <c r="F7412" s="15" t="str">
        <f aca="false">IF(B7412&lt;5,"Go","Standard")</f>
        <v>Standard</v>
      </c>
    </row>
    <row r="7413" customFormat="false" ht="15" hidden="false" customHeight="true" outlineLevel="0" collapsed="false">
      <c r="A7413" s="10" t="n">
        <f aca="false">Einstellungen!$B$5+INT((ROW()-9)/24)</f>
        <v>46274</v>
      </c>
      <c r="B7413" s="11" t="n">
        <f aca="false">MOD(ROW()-9,24)</f>
        <v>12</v>
      </c>
      <c r="C7413" s="12"/>
      <c r="D7413" s="13" t="n">
        <f aca="false">IF(B7413&lt;5,Einstellungen!$B$3,Einstellungen!$B$4)</f>
        <v>29.13</v>
      </c>
      <c r="E7413" s="14" t="str">
        <f aca="false">IF(C7413="","",C7413*D7413/100)</f>
        <v/>
      </c>
      <c r="F7413" s="15" t="str">
        <f aca="false">IF(B7413&lt;5,"Go","Standard")</f>
        <v>Standard</v>
      </c>
    </row>
    <row r="7414" customFormat="false" ht="15" hidden="false" customHeight="true" outlineLevel="0" collapsed="false">
      <c r="A7414" s="10" t="n">
        <f aca="false">Einstellungen!$B$5+INT((ROW()-9)/24)</f>
        <v>46274</v>
      </c>
      <c r="B7414" s="11" t="n">
        <f aca="false">MOD(ROW()-9,24)</f>
        <v>13</v>
      </c>
      <c r="C7414" s="12"/>
      <c r="D7414" s="13" t="n">
        <f aca="false">IF(B7414&lt;5,Einstellungen!$B$3,Einstellungen!$B$4)</f>
        <v>29.13</v>
      </c>
      <c r="E7414" s="14" t="str">
        <f aca="false">IF(C7414="","",C7414*D7414/100)</f>
        <v/>
      </c>
      <c r="F7414" s="15" t="str">
        <f aca="false">IF(B7414&lt;5,"Go","Standard")</f>
        <v>Standard</v>
      </c>
    </row>
    <row r="7415" customFormat="false" ht="15" hidden="false" customHeight="true" outlineLevel="0" collapsed="false">
      <c r="A7415" s="10" t="n">
        <f aca="false">Einstellungen!$B$5+INT((ROW()-9)/24)</f>
        <v>46274</v>
      </c>
      <c r="B7415" s="11" t="n">
        <f aca="false">MOD(ROW()-9,24)</f>
        <v>14</v>
      </c>
      <c r="C7415" s="12"/>
      <c r="D7415" s="13" t="n">
        <f aca="false">IF(B7415&lt;5,Einstellungen!$B$3,Einstellungen!$B$4)</f>
        <v>29.13</v>
      </c>
      <c r="E7415" s="14" t="str">
        <f aca="false">IF(C7415="","",C7415*D7415/100)</f>
        <v/>
      </c>
      <c r="F7415" s="15" t="str">
        <f aca="false">IF(B7415&lt;5,"Go","Standard")</f>
        <v>Standard</v>
      </c>
    </row>
    <row r="7416" customFormat="false" ht="15" hidden="false" customHeight="true" outlineLevel="0" collapsed="false">
      <c r="A7416" s="10" t="n">
        <f aca="false">Einstellungen!$B$5+INT((ROW()-9)/24)</f>
        <v>46274</v>
      </c>
      <c r="B7416" s="11" t="n">
        <f aca="false">MOD(ROW()-9,24)</f>
        <v>15</v>
      </c>
      <c r="C7416" s="12"/>
      <c r="D7416" s="13" t="n">
        <f aca="false">IF(B7416&lt;5,Einstellungen!$B$3,Einstellungen!$B$4)</f>
        <v>29.13</v>
      </c>
      <c r="E7416" s="14" t="str">
        <f aca="false">IF(C7416="","",C7416*D7416/100)</f>
        <v/>
      </c>
      <c r="F7416" s="15" t="str">
        <f aca="false">IF(B7416&lt;5,"Go","Standard")</f>
        <v>Standard</v>
      </c>
    </row>
    <row r="7417" customFormat="false" ht="15" hidden="false" customHeight="true" outlineLevel="0" collapsed="false">
      <c r="A7417" s="10" t="n">
        <f aca="false">Einstellungen!$B$5+INT((ROW()-9)/24)</f>
        <v>46274</v>
      </c>
      <c r="B7417" s="11" t="n">
        <f aca="false">MOD(ROW()-9,24)</f>
        <v>16</v>
      </c>
      <c r="C7417" s="12"/>
      <c r="D7417" s="13" t="n">
        <f aca="false">IF(B7417&lt;5,Einstellungen!$B$3,Einstellungen!$B$4)</f>
        <v>29.13</v>
      </c>
      <c r="E7417" s="14" t="str">
        <f aca="false">IF(C7417="","",C7417*D7417/100)</f>
        <v/>
      </c>
      <c r="F7417" s="15" t="str">
        <f aca="false">IF(B7417&lt;5,"Go","Standard")</f>
        <v>Standard</v>
      </c>
    </row>
    <row r="7418" customFormat="false" ht="15" hidden="false" customHeight="true" outlineLevel="0" collapsed="false">
      <c r="A7418" s="10" t="n">
        <f aca="false">Einstellungen!$B$5+INT((ROW()-9)/24)</f>
        <v>46274</v>
      </c>
      <c r="B7418" s="11" t="n">
        <f aca="false">MOD(ROW()-9,24)</f>
        <v>17</v>
      </c>
      <c r="C7418" s="12"/>
      <c r="D7418" s="13" t="n">
        <f aca="false">IF(B7418&lt;5,Einstellungen!$B$3,Einstellungen!$B$4)</f>
        <v>29.13</v>
      </c>
      <c r="E7418" s="14" t="str">
        <f aca="false">IF(C7418="","",C7418*D7418/100)</f>
        <v/>
      </c>
      <c r="F7418" s="15" t="str">
        <f aca="false">IF(B7418&lt;5,"Go","Standard")</f>
        <v>Standard</v>
      </c>
    </row>
    <row r="7419" customFormat="false" ht="15" hidden="false" customHeight="true" outlineLevel="0" collapsed="false">
      <c r="A7419" s="10" t="n">
        <f aca="false">Einstellungen!$B$5+INT((ROW()-9)/24)</f>
        <v>46274</v>
      </c>
      <c r="B7419" s="11" t="n">
        <f aca="false">MOD(ROW()-9,24)</f>
        <v>18</v>
      </c>
      <c r="C7419" s="12"/>
      <c r="D7419" s="13" t="n">
        <f aca="false">IF(B7419&lt;5,Einstellungen!$B$3,Einstellungen!$B$4)</f>
        <v>29.13</v>
      </c>
      <c r="E7419" s="14" t="str">
        <f aca="false">IF(C7419="","",C7419*D7419/100)</f>
        <v/>
      </c>
      <c r="F7419" s="15" t="str">
        <f aca="false">IF(B7419&lt;5,"Go","Standard")</f>
        <v>Standard</v>
      </c>
    </row>
    <row r="7420" customFormat="false" ht="15" hidden="false" customHeight="true" outlineLevel="0" collapsed="false">
      <c r="A7420" s="10" t="n">
        <f aca="false">Einstellungen!$B$5+INT((ROW()-9)/24)</f>
        <v>46274</v>
      </c>
      <c r="B7420" s="11" t="n">
        <f aca="false">MOD(ROW()-9,24)</f>
        <v>19</v>
      </c>
      <c r="C7420" s="12"/>
      <c r="D7420" s="13" t="n">
        <f aca="false">IF(B7420&lt;5,Einstellungen!$B$3,Einstellungen!$B$4)</f>
        <v>29.13</v>
      </c>
      <c r="E7420" s="14" t="str">
        <f aca="false">IF(C7420="","",C7420*D7420/100)</f>
        <v/>
      </c>
      <c r="F7420" s="15" t="str">
        <f aca="false">IF(B7420&lt;5,"Go","Standard")</f>
        <v>Standard</v>
      </c>
    </row>
    <row r="7421" customFormat="false" ht="15" hidden="false" customHeight="true" outlineLevel="0" collapsed="false">
      <c r="A7421" s="10" t="n">
        <f aca="false">Einstellungen!$B$5+INT((ROW()-9)/24)</f>
        <v>46274</v>
      </c>
      <c r="B7421" s="11" t="n">
        <f aca="false">MOD(ROW()-9,24)</f>
        <v>20</v>
      </c>
      <c r="C7421" s="12"/>
      <c r="D7421" s="13" t="n">
        <f aca="false">IF(B7421&lt;5,Einstellungen!$B$3,Einstellungen!$B$4)</f>
        <v>29.13</v>
      </c>
      <c r="E7421" s="14" t="str">
        <f aca="false">IF(C7421="","",C7421*D7421/100)</f>
        <v/>
      </c>
      <c r="F7421" s="15" t="str">
        <f aca="false">IF(B7421&lt;5,"Go","Standard")</f>
        <v>Standard</v>
      </c>
    </row>
    <row r="7422" customFormat="false" ht="15" hidden="false" customHeight="true" outlineLevel="0" collapsed="false">
      <c r="A7422" s="10" t="n">
        <f aca="false">Einstellungen!$B$5+INT((ROW()-9)/24)</f>
        <v>46274</v>
      </c>
      <c r="B7422" s="11" t="n">
        <f aca="false">MOD(ROW()-9,24)</f>
        <v>21</v>
      </c>
      <c r="C7422" s="12"/>
      <c r="D7422" s="13" t="n">
        <f aca="false">IF(B7422&lt;5,Einstellungen!$B$3,Einstellungen!$B$4)</f>
        <v>29.13</v>
      </c>
      <c r="E7422" s="14" t="str">
        <f aca="false">IF(C7422="","",C7422*D7422/100)</f>
        <v/>
      </c>
      <c r="F7422" s="15" t="str">
        <f aca="false">IF(B7422&lt;5,"Go","Standard")</f>
        <v>Standard</v>
      </c>
    </row>
    <row r="7423" customFormat="false" ht="15" hidden="false" customHeight="true" outlineLevel="0" collapsed="false">
      <c r="A7423" s="10" t="n">
        <f aca="false">Einstellungen!$B$5+INT((ROW()-9)/24)</f>
        <v>46274</v>
      </c>
      <c r="B7423" s="11" t="n">
        <f aca="false">MOD(ROW()-9,24)</f>
        <v>22</v>
      </c>
      <c r="C7423" s="12"/>
      <c r="D7423" s="13" t="n">
        <f aca="false">IF(B7423&lt;5,Einstellungen!$B$3,Einstellungen!$B$4)</f>
        <v>29.13</v>
      </c>
      <c r="E7423" s="14" t="str">
        <f aca="false">IF(C7423="","",C7423*D7423/100)</f>
        <v/>
      </c>
      <c r="F7423" s="15" t="str">
        <f aca="false">IF(B7423&lt;5,"Go","Standard")</f>
        <v>Standard</v>
      </c>
    </row>
    <row r="7424" customFormat="false" ht="15" hidden="false" customHeight="true" outlineLevel="0" collapsed="false">
      <c r="A7424" s="10" t="n">
        <f aca="false">Einstellungen!$B$5+INT((ROW()-9)/24)</f>
        <v>46274</v>
      </c>
      <c r="B7424" s="11" t="n">
        <f aca="false">MOD(ROW()-9,24)</f>
        <v>23</v>
      </c>
      <c r="C7424" s="12"/>
      <c r="D7424" s="13" t="n">
        <f aca="false">IF(B7424&lt;5,Einstellungen!$B$3,Einstellungen!$B$4)</f>
        <v>29.13</v>
      </c>
      <c r="E7424" s="14" t="str">
        <f aca="false">IF(C7424="","",C7424*D7424/100)</f>
        <v/>
      </c>
      <c r="F7424" s="15" t="str">
        <f aca="false">IF(B7424&lt;5,"Go","Standard")</f>
        <v>Standard</v>
      </c>
    </row>
    <row r="7425" customFormat="false" ht="15" hidden="false" customHeight="true" outlineLevel="0" collapsed="false">
      <c r="A7425" s="10" t="n">
        <f aca="false">Einstellungen!$B$5+INT((ROW()-9)/24)</f>
        <v>46275</v>
      </c>
      <c r="B7425" s="11" t="n">
        <f aca="false">MOD(ROW()-9,24)</f>
        <v>0</v>
      </c>
      <c r="C7425" s="12"/>
      <c r="D7425" s="13" t="n">
        <f aca="false">IF(B7425&lt;5,Einstellungen!$B$3,Einstellungen!$B$4)</f>
        <v>15.92</v>
      </c>
      <c r="E7425" s="14" t="str">
        <f aca="false">IF(C7425="","",C7425*D7425/100)</f>
        <v/>
      </c>
      <c r="F7425" s="15" t="str">
        <f aca="false">IF(B7425&lt;5,"Go","Standard")</f>
        <v>Go</v>
      </c>
    </row>
    <row r="7426" customFormat="false" ht="15" hidden="false" customHeight="true" outlineLevel="0" collapsed="false">
      <c r="A7426" s="10" t="n">
        <f aca="false">Einstellungen!$B$5+INT((ROW()-9)/24)</f>
        <v>46275</v>
      </c>
      <c r="B7426" s="11" t="n">
        <f aca="false">MOD(ROW()-9,24)</f>
        <v>1</v>
      </c>
      <c r="C7426" s="12"/>
      <c r="D7426" s="13" t="n">
        <f aca="false">IF(B7426&lt;5,Einstellungen!$B$3,Einstellungen!$B$4)</f>
        <v>15.92</v>
      </c>
      <c r="E7426" s="14" t="str">
        <f aca="false">IF(C7426="","",C7426*D7426/100)</f>
        <v/>
      </c>
      <c r="F7426" s="15" t="str">
        <f aca="false">IF(B7426&lt;5,"Go","Standard")</f>
        <v>Go</v>
      </c>
    </row>
    <row r="7427" customFormat="false" ht="15" hidden="false" customHeight="true" outlineLevel="0" collapsed="false">
      <c r="A7427" s="10" t="n">
        <f aca="false">Einstellungen!$B$5+INT((ROW()-9)/24)</f>
        <v>46275</v>
      </c>
      <c r="B7427" s="11" t="n">
        <f aca="false">MOD(ROW()-9,24)</f>
        <v>2</v>
      </c>
      <c r="C7427" s="12"/>
      <c r="D7427" s="13" t="n">
        <f aca="false">IF(B7427&lt;5,Einstellungen!$B$3,Einstellungen!$B$4)</f>
        <v>15.92</v>
      </c>
      <c r="E7427" s="14" t="str">
        <f aca="false">IF(C7427="","",C7427*D7427/100)</f>
        <v/>
      </c>
      <c r="F7427" s="15" t="str">
        <f aca="false">IF(B7427&lt;5,"Go","Standard")</f>
        <v>Go</v>
      </c>
    </row>
    <row r="7428" customFormat="false" ht="15" hidden="false" customHeight="true" outlineLevel="0" collapsed="false">
      <c r="A7428" s="10" t="n">
        <f aca="false">Einstellungen!$B$5+INT((ROW()-9)/24)</f>
        <v>46275</v>
      </c>
      <c r="B7428" s="11" t="n">
        <f aca="false">MOD(ROW()-9,24)</f>
        <v>3</v>
      </c>
      <c r="C7428" s="12"/>
      <c r="D7428" s="13" t="n">
        <f aca="false">IF(B7428&lt;5,Einstellungen!$B$3,Einstellungen!$B$4)</f>
        <v>15.92</v>
      </c>
      <c r="E7428" s="14" t="str">
        <f aca="false">IF(C7428="","",C7428*D7428/100)</f>
        <v/>
      </c>
      <c r="F7428" s="15" t="str">
        <f aca="false">IF(B7428&lt;5,"Go","Standard")</f>
        <v>Go</v>
      </c>
    </row>
    <row r="7429" customFormat="false" ht="15" hidden="false" customHeight="true" outlineLevel="0" collapsed="false">
      <c r="A7429" s="10" t="n">
        <f aca="false">Einstellungen!$B$5+INT((ROW()-9)/24)</f>
        <v>46275</v>
      </c>
      <c r="B7429" s="11" t="n">
        <f aca="false">MOD(ROW()-9,24)</f>
        <v>4</v>
      </c>
      <c r="C7429" s="12"/>
      <c r="D7429" s="13" t="n">
        <f aca="false">IF(B7429&lt;5,Einstellungen!$B$3,Einstellungen!$B$4)</f>
        <v>15.92</v>
      </c>
      <c r="E7429" s="14" t="str">
        <f aca="false">IF(C7429="","",C7429*D7429/100)</f>
        <v/>
      </c>
      <c r="F7429" s="15" t="str">
        <f aca="false">IF(B7429&lt;5,"Go","Standard")</f>
        <v>Go</v>
      </c>
    </row>
    <row r="7430" customFormat="false" ht="15" hidden="false" customHeight="true" outlineLevel="0" collapsed="false">
      <c r="A7430" s="10" t="n">
        <f aca="false">Einstellungen!$B$5+INT((ROW()-9)/24)</f>
        <v>46275</v>
      </c>
      <c r="B7430" s="11" t="n">
        <f aca="false">MOD(ROW()-9,24)</f>
        <v>5</v>
      </c>
      <c r="C7430" s="12"/>
      <c r="D7430" s="13" t="n">
        <f aca="false">IF(B7430&lt;5,Einstellungen!$B$3,Einstellungen!$B$4)</f>
        <v>29.13</v>
      </c>
      <c r="E7430" s="14" t="str">
        <f aca="false">IF(C7430="","",C7430*D7430/100)</f>
        <v/>
      </c>
      <c r="F7430" s="15" t="str">
        <f aca="false">IF(B7430&lt;5,"Go","Standard")</f>
        <v>Standard</v>
      </c>
    </row>
    <row r="7431" customFormat="false" ht="15" hidden="false" customHeight="true" outlineLevel="0" collapsed="false">
      <c r="A7431" s="10" t="n">
        <f aca="false">Einstellungen!$B$5+INT((ROW()-9)/24)</f>
        <v>46275</v>
      </c>
      <c r="B7431" s="11" t="n">
        <f aca="false">MOD(ROW()-9,24)</f>
        <v>6</v>
      </c>
      <c r="C7431" s="12"/>
      <c r="D7431" s="13" t="n">
        <f aca="false">IF(B7431&lt;5,Einstellungen!$B$3,Einstellungen!$B$4)</f>
        <v>29.13</v>
      </c>
      <c r="E7431" s="14" t="str">
        <f aca="false">IF(C7431="","",C7431*D7431/100)</f>
        <v/>
      </c>
      <c r="F7431" s="15" t="str">
        <f aca="false">IF(B7431&lt;5,"Go","Standard")</f>
        <v>Standard</v>
      </c>
    </row>
    <row r="7432" customFormat="false" ht="15" hidden="false" customHeight="true" outlineLevel="0" collapsed="false">
      <c r="A7432" s="10" t="n">
        <f aca="false">Einstellungen!$B$5+INT((ROW()-9)/24)</f>
        <v>46275</v>
      </c>
      <c r="B7432" s="11" t="n">
        <f aca="false">MOD(ROW()-9,24)</f>
        <v>7</v>
      </c>
      <c r="C7432" s="12"/>
      <c r="D7432" s="13" t="n">
        <f aca="false">IF(B7432&lt;5,Einstellungen!$B$3,Einstellungen!$B$4)</f>
        <v>29.13</v>
      </c>
      <c r="E7432" s="14" t="str">
        <f aca="false">IF(C7432="","",C7432*D7432/100)</f>
        <v/>
      </c>
      <c r="F7432" s="15" t="str">
        <f aca="false">IF(B7432&lt;5,"Go","Standard")</f>
        <v>Standard</v>
      </c>
    </row>
    <row r="7433" customFormat="false" ht="15" hidden="false" customHeight="true" outlineLevel="0" collapsed="false">
      <c r="A7433" s="10" t="n">
        <f aca="false">Einstellungen!$B$5+INT((ROW()-9)/24)</f>
        <v>46275</v>
      </c>
      <c r="B7433" s="11" t="n">
        <f aca="false">MOD(ROW()-9,24)</f>
        <v>8</v>
      </c>
      <c r="C7433" s="12"/>
      <c r="D7433" s="13" t="n">
        <f aca="false">IF(B7433&lt;5,Einstellungen!$B$3,Einstellungen!$B$4)</f>
        <v>29.13</v>
      </c>
      <c r="E7433" s="14" t="str">
        <f aca="false">IF(C7433="","",C7433*D7433/100)</f>
        <v/>
      </c>
      <c r="F7433" s="15" t="str">
        <f aca="false">IF(B7433&lt;5,"Go","Standard")</f>
        <v>Standard</v>
      </c>
    </row>
    <row r="7434" customFormat="false" ht="15" hidden="false" customHeight="true" outlineLevel="0" collapsed="false">
      <c r="A7434" s="10" t="n">
        <f aca="false">Einstellungen!$B$5+INT((ROW()-9)/24)</f>
        <v>46275</v>
      </c>
      <c r="B7434" s="11" t="n">
        <f aca="false">MOD(ROW()-9,24)</f>
        <v>9</v>
      </c>
      <c r="C7434" s="12"/>
      <c r="D7434" s="13" t="n">
        <f aca="false">IF(B7434&lt;5,Einstellungen!$B$3,Einstellungen!$B$4)</f>
        <v>29.13</v>
      </c>
      <c r="E7434" s="14" t="str">
        <f aca="false">IF(C7434="","",C7434*D7434/100)</f>
        <v/>
      </c>
      <c r="F7434" s="15" t="str">
        <f aca="false">IF(B7434&lt;5,"Go","Standard")</f>
        <v>Standard</v>
      </c>
    </row>
    <row r="7435" customFormat="false" ht="15" hidden="false" customHeight="true" outlineLevel="0" collapsed="false">
      <c r="A7435" s="10" t="n">
        <f aca="false">Einstellungen!$B$5+INT((ROW()-9)/24)</f>
        <v>46275</v>
      </c>
      <c r="B7435" s="11" t="n">
        <f aca="false">MOD(ROW()-9,24)</f>
        <v>10</v>
      </c>
      <c r="C7435" s="12"/>
      <c r="D7435" s="13" t="n">
        <f aca="false">IF(B7435&lt;5,Einstellungen!$B$3,Einstellungen!$B$4)</f>
        <v>29.13</v>
      </c>
      <c r="E7435" s="14" t="str">
        <f aca="false">IF(C7435="","",C7435*D7435/100)</f>
        <v/>
      </c>
      <c r="F7435" s="15" t="str">
        <f aca="false">IF(B7435&lt;5,"Go","Standard")</f>
        <v>Standard</v>
      </c>
    </row>
    <row r="7436" customFormat="false" ht="15" hidden="false" customHeight="true" outlineLevel="0" collapsed="false">
      <c r="A7436" s="10" t="n">
        <f aca="false">Einstellungen!$B$5+INT((ROW()-9)/24)</f>
        <v>46275</v>
      </c>
      <c r="B7436" s="11" t="n">
        <f aca="false">MOD(ROW()-9,24)</f>
        <v>11</v>
      </c>
      <c r="C7436" s="12"/>
      <c r="D7436" s="13" t="n">
        <f aca="false">IF(B7436&lt;5,Einstellungen!$B$3,Einstellungen!$B$4)</f>
        <v>29.13</v>
      </c>
      <c r="E7436" s="14" t="str">
        <f aca="false">IF(C7436="","",C7436*D7436/100)</f>
        <v/>
      </c>
      <c r="F7436" s="15" t="str">
        <f aca="false">IF(B7436&lt;5,"Go","Standard")</f>
        <v>Standard</v>
      </c>
    </row>
    <row r="7437" customFormat="false" ht="15" hidden="false" customHeight="true" outlineLevel="0" collapsed="false">
      <c r="A7437" s="10" t="n">
        <f aca="false">Einstellungen!$B$5+INT((ROW()-9)/24)</f>
        <v>46275</v>
      </c>
      <c r="B7437" s="11" t="n">
        <f aca="false">MOD(ROW()-9,24)</f>
        <v>12</v>
      </c>
      <c r="C7437" s="12"/>
      <c r="D7437" s="13" t="n">
        <f aca="false">IF(B7437&lt;5,Einstellungen!$B$3,Einstellungen!$B$4)</f>
        <v>29.13</v>
      </c>
      <c r="E7437" s="14" t="str">
        <f aca="false">IF(C7437="","",C7437*D7437/100)</f>
        <v/>
      </c>
      <c r="F7437" s="15" t="str">
        <f aca="false">IF(B7437&lt;5,"Go","Standard")</f>
        <v>Standard</v>
      </c>
    </row>
    <row r="7438" customFormat="false" ht="15" hidden="false" customHeight="true" outlineLevel="0" collapsed="false">
      <c r="A7438" s="10" t="n">
        <f aca="false">Einstellungen!$B$5+INT((ROW()-9)/24)</f>
        <v>46275</v>
      </c>
      <c r="B7438" s="11" t="n">
        <f aca="false">MOD(ROW()-9,24)</f>
        <v>13</v>
      </c>
      <c r="C7438" s="12"/>
      <c r="D7438" s="13" t="n">
        <f aca="false">IF(B7438&lt;5,Einstellungen!$B$3,Einstellungen!$B$4)</f>
        <v>29.13</v>
      </c>
      <c r="E7438" s="14" t="str">
        <f aca="false">IF(C7438="","",C7438*D7438/100)</f>
        <v/>
      </c>
      <c r="F7438" s="15" t="str">
        <f aca="false">IF(B7438&lt;5,"Go","Standard")</f>
        <v>Standard</v>
      </c>
    </row>
    <row r="7439" customFormat="false" ht="15" hidden="false" customHeight="true" outlineLevel="0" collapsed="false">
      <c r="A7439" s="10" t="n">
        <f aca="false">Einstellungen!$B$5+INT((ROW()-9)/24)</f>
        <v>46275</v>
      </c>
      <c r="B7439" s="11" t="n">
        <f aca="false">MOD(ROW()-9,24)</f>
        <v>14</v>
      </c>
      <c r="C7439" s="12"/>
      <c r="D7439" s="13" t="n">
        <f aca="false">IF(B7439&lt;5,Einstellungen!$B$3,Einstellungen!$B$4)</f>
        <v>29.13</v>
      </c>
      <c r="E7439" s="14" t="str">
        <f aca="false">IF(C7439="","",C7439*D7439/100)</f>
        <v/>
      </c>
      <c r="F7439" s="15" t="str">
        <f aca="false">IF(B7439&lt;5,"Go","Standard")</f>
        <v>Standard</v>
      </c>
    </row>
    <row r="7440" customFormat="false" ht="15" hidden="false" customHeight="true" outlineLevel="0" collapsed="false">
      <c r="A7440" s="10" t="n">
        <f aca="false">Einstellungen!$B$5+INT((ROW()-9)/24)</f>
        <v>46275</v>
      </c>
      <c r="B7440" s="11" t="n">
        <f aca="false">MOD(ROW()-9,24)</f>
        <v>15</v>
      </c>
      <c r="C7440" s="12"/>
      <c r="D7440" s="13" t="n">
        <f aca="false">IF(B7440&lt;5,Einstellungen!$B$3,Einstellungen!$B$4)</f>
        <v>29.13</v>
      </c>
      <c r="E7440" s="14" t="str">
        <f aca="false">IF(C7440="","",C7440*D7440/100)</f>
        <v/>
      </c>
      <c r="F7440" s="15" t="str">
        <f aca="false">IF(B7440&lt;5,"Go","Standard")</f>
        <v>Standard</v>
      </c>
    </row>
    <row r="7441" customFormat="false" ht="15" hidden="false" customHeight="true" outlineLevel="0" collapsed="false">
      <c r="A7441" s="10" t="n">
        <f aca="false">Einstellungen!$B$5+INT((ROW()-9)/24)</f>
        <v>46275</v>
      </c>
      <c r="B7441" s="11" t="n">
        <f aca="false">MOD(ROW()-9,24)</f>
        <v>16</v>
      </c>
      <c r="C7441" s="12"/>
      <c r="D7441" s="13" t="n">
        <f aca="false">IF(B7441&lt;5,Einstellungen!$B$3,Einstellungen!$B$4)</f>
        <v>29.13</v>
      </c>
      <c r="E7441" s="14" t="str">
        <f aca="false">IF(C7441="","",C7441*D7441/100)</f>
        <v/>
      </c>
      <c r="F7441" s="15" t="str">
        <f aca="false">IF(B7441&lt;5,"Go","Standard")</f>
        <v>Standard</v>
      </c>
    </row>
    <row r="7442" customFormat="false" ht="15" hidden="false" customHeight="true" outlineLevel="0" collapsed="false">
      <c r="A7442" s="10" t="n">
        <f aca="false">Einstellungen!$B$5+INT((ROW()-9)/24)</f>
        <v>46275</v>
      </c>
      <c r="B7442" s="11" t="n">
        <f aca="false">MOD(ROW()-9,24)</f>
        <v>17</v>
      </c>
      <c r="C7442" s="12"/>
      <c r="D7442" s="13" t="n">
        <f aca="false">IF(B7442&lt;5,Einstellungen!$B$3,Einstellungen!$B$4)</f>
        <v>29.13</v>
      </c>
      <c r="E7442" s="14" t="str">
        <f aca="false">IF(C7442="","",C7442*D7442/100)</f>
        <v/>
      </c>
      <c r="F7442" s="15" t="str">
        <f aca="false">IF(B7442&lt;5,"Go","Standard")</f>
        <v>Standard</v>
      </c>
    </row>
    <row r="7443" customFormat="false" ht="15" hidden="false" customHeight="true" outlineLevel="0" collapsed="false">
      <c r="A7443" s="10" t="n">
        <f aca="false">Einstellungen!$B$5+INT((ROW()-9)/24)</f>
        <v>46275</v>
      </c>
      <c r="B7443" s="11" t="n">
        <f aca="false">MOD(ROW()-9,24)</f>
        <v>18</v>
      </c>
      <c r="C7443" s="12"/>
      <c r="D7443" s="13" t="n">
        <f aca="false">IF(B7443&lt;5,Einstellungen!$B$3,Einstellungen!$B$4)</f>
        <v>29.13</v>
      </c>
      <c r="E7443" s="14" t="str">
        <f aca="false">IF(C7443="","",C7443*D7443/100)</f>
        <v/>
      </c>
      <c r="F7443" s="15" t="str">
        <f aca="false">IF(B7443&lt;5,"Go","Standard")</f>
        <v>Standard</v>
      </c>
    </row>
    <row r="7444" customFormat="false" ht="15" hidden="false" customHeight="true" outlineLevel="0" collapsed="false">
      <c r="A7444" s="10" t="n">
        <f aca="false">Einstellungen!$B$5+INT((ROW()-9)/24)</f>
        <v>46275</v>
      </c>
      <c r="B7444" s="11" t="n">
        <f aca="false">MOD(ROW()-9,24)</f>
        <v>19</v>
      </c>
      <c r="C7444" s="12"/>
      <c r="D7444" s="13" t="n">
        <f aca="false">IF(B7444&lt;5,Einstellungen!$B$3,Einstellungen!$B$4)</f>
        <v>29.13</v>
      </c>
      <c r="E7444" s="14" t="str">
        <f aca="false">IF(C7444="","",C7444*D7444/100)</f>
        <v/>
      </c>
      <c r="F7444" s="15" t="str">
        <f aca="false">IF(B7444&lt;5,"Go","Standard")</f>
        <v>Standard</v>
      </c>
    </row>
    <row r="7445" customFormat="false" ht="15" hidden="false" customHeight="true" outlineLevel="0" collapsed="false">
      <c r="A7445" s="10" t="n">
        <f aca="false">Einstellungen!$B$5+INT((ROW()-9)/24)</f>
        <v>46275</v>
      </c>
      <c r="B7445" s="11" t="n">
        <f aca="false">MOD(ROW()-9,24)</f>
        <v>20</v>
      </c>
      <c r="C7445" s="12"/>
      <c r="D7445" s="13" t="n">
        <f aca="false">IF(B7445&lt;5,Einstellungen!$B$3,Einstellungen!$B$4)</f>
        <v>29.13</v>
      </c>
      <c r="E7445" s="14" t="str">
        <f aca="false">IF(C7445="","",C7445*D7445/100)</f>
        <v/>
      </c>
      <c r="F7445" s="15" t="str">
        <f aca="false">IF(B7445&lt;5,"Go","Standard")</f>
        <v>Standard</v>
      </c>
    </row>
    <row r="7446" customFormat="false" ht="15" hidden="false" customHeight="true" outlineLevel="0" collapsed="false">
      <c r="A7446" s="10" t="n">
        <f aca="false">Einstellungen!$B$5+INT((ROW()-9)/24)</f>
        <v>46275</v>
      </c>
      <c r="B7446" s="11" t="n">
        <f aca="false">MOD(ROW()-9,24)</f>
        <v>21</v>
      </c>
      <c r="C7446" s="12"/>
      <c r="D7446" s="13" t="n">
        <f aca="false">IF(B7446&lt;5,Einstellungen!$B$3,Einstellungen!$B$4)</f>
        <v>29.13</v>
      </c>
      <c r="E7446" s="14" t="str">
        <f aca="false">IF(C7446="","",C7446*D7446/100)</f>
        <v/>
      </c>
      <c r="F7446" s="15" t="str">
        <f aca="false">IF(B7446&lt;5,"Go","Standard")</f>
        <v>Standard</v>
      </c>
    </row>
    <row r="7447" customFormat="false" ht="15" hidden="false" customHeight="true" outlineLevel="0" collapsed="false">
      <c r="A7447" s="10" t="n">
        <f aca="false">Einstellungen!$B$5+INT((ROW()-9)/24)</f>
        <v>46275</v>
      </c>
      <c r="B7447" s="11" t="n">
        <f aca="false">MOD(ROW()-9,24)</f>
        <v>22</v>
      </c>
      <c r="C7447" s="12"/>
      <c r="D7447" s="13" t="n">
        <f aca="false">IF(B7447&lt;5,Einstellungen!$B$3,Einstellungen!$B$4)</f>
        <v>29.13</v>
      </c>
      <c r="E7447" s="14" t="str">
        <f aca="false">IF(C7447="","",C7447*D7447/100)</f>
        <v/>
      </c>
      <c r="F7447" s="15" t="str">
        <f aca="false">IF(B7447&lt;5,"Go","Standard")</f>
        <v>Standard</v>
      </c>
    </row>
    <row r="7448" customFormat="false" ht="15" hidden="false" customHeight="true" outlineLevel="0" collapsed="false">
      <c r="A7448" s="10" t="n">
        <f aca="false">Einstellungen!$B$5+INT((ROW()-9)/24)</f>
        <v>46275</v>
      </c>
      <c r="B7448" s="11" t="n">
        <f aca="false">MOD(ROW()-9,24)</f>
        <v>23</v>
      </c>
      <c r="C7448" s="12"/>
      <c r="D7448" s="13" t="n">
        <f aca="false">IF(B7448&lt;5,Einstellungen!$B$3,Einstellungen!$B$4)</f>
        <v>29.13</v>
      </c>
      <c r="E7448" s="14" t="str">
        <f aca="false">IF(C7448="","",C7448*D7448/100)</f>
        <v/>
      </c>
      <c r="F7448" s="15" t="str">
        <f aca="false">IF(B7448&lt;5,"Go","Standard")</f>
        <v>Standard</v>
      </c>
    </row>
    <row r="7449" customFormat="false" ht="15" hidden="false" customHeight="true" outlineLevel="0" collapsed="false">
      <c r="A7449" s="10" t="n">
        <f aca="false">Einstellungen!$B$5+INT((ROW()-9)/24)</f>
        <v>46276</v>
      </c>
      <c r="B7449" s="11" t="n">
        <f aca="false">MOD(ROW()-9,24)</f>
        <v>0</v>
      </c>
      <c r="C7449" s="12"/>
      <c r="D7449" s="13" t="n">
        <f aca="false">IF(B7449&lt;5,Einstellungen!$B$3,Einstellungen!$B$4)</f>
        <v>15.92</v>
      </c>
      <c r="E7449" s="14" t="str">
        <f aca="false">IF(C7449="","",C7449*D7449/100)</f>
        <v/>
      </c>
      <c r="F7449" s="15" t="str">
        <f aca="false">IF(B7449&lt;5,"Go","Standard")</f>
        <v>Go</v>
      </c>
    </row>
    <row r="7450" customFormat="false" ht="15" hidden="false" customHeight="true" outlineLevel="0" collapsed="false">
      <c r="A7450" s="10" t="n">
        <f aca="false">Einstellungen!$B$5+INT((ROW()-9)/24)</f>
        <v>46276</v>
      </c>
      <c r="B7450" s="11" t="n">
        <f aca="false">MOD(ROW()-9,24)</f>
        <v>1</v>
      </c>
      <c r="C7450" s="12"/>
      <c r="D7450" s="13" t="n">
        <f aca="false">IF(B7450&lt;5,Einstellungen!$B$3,Einstellungen!$B$4)</f>
        <v>15.92</v>
      </c>
      <c r="E7450" s="14" t="str">
        <f aca="false">IF(C7450="","",C7450*D7450/100)</f>
        <v/>
      </c>
      <c r="F7450" s="15" t="str">
        <f aca="false">IF(B7450&lt;5,"Go","Standard")</f>
        <v>Go</v>
      </c>
    </row>
    <row r="7451" customFormat="false" ht="15" hidden="false" customHeight="true" outlineLevel="0" collapsed="false">
      <c r="A7451" s="10" t="n">
        <f aca="false">Einstellungen!$B$5+INT((ROW()-9)/24)</f>
        <v>46276</v>
      </c>
      <c r="B7451" s="11" t="n">
        <f aca="false">MOD(ROW()-9,24)</f>
        <v>2</v>
      </c>
      <c r="C7451" s="12"/>
      <c r="D7451" s="13" t="n">
        <f aca="false">IF(B7451&lt;5,Einstellungen!$B$3,Einstellungen!$B$4)</f>
        <v>15.92</v>
      </c>
      <c r="E7451" s="14" t="str">
        <f aca="false">IF(C7451="","",C7451*D7451/100)</f>
        <v/>
      </c>
      <c r="F7451" s="15" t="str">
        <f aca="false">IF(B7451&lt;5,"Go","Standard")</f>
        <v>Go</v>
      </c>
    </row>
    <row r="7452" customFormat="false" ht="15" hidden="false" customHeight="true" outlineLevel="0" collapsed="false">
      <c r="A7452" s="10" t="n">
        <f aca="false">Einstellungen!$B$5+INT((ROW()-9)/24)</f>
        <v>46276</v>
      </c>
      <c r="B7452" s="11" t="n">
        <f aca="false">MOD(ROW()-9,24)</f>
        <v>3</v>
      </c>
      <c r="C7452" s="12"/>
      <c r="D7452" s="13" t="n">
        <f aca="false">IF(B7452&lt;5,Einstellungen!$B$3,Einstellungen!$B$4)</f>
        <v>15.92</v>
      </c>
      <c r="E7452" s="14" t="str">
        <f aca="false">IF(C7452="","",C7452*D7452/100)</f>
        <v/>
      </c>
      <c r="F7452" s="15" t="str">
        <f aca="false">IF(B7452&lt;5,"Go","Standard")</f>
        <v>Go</v>
      </c>
    </row>
    <row r="7453" customFormat="false" ht="15" hidden="false" customHeight="true" outlineLevel="0" collapsed="false">
      <c r="A7453" s="10" t="n">
        <f aca="false">Einstellungen!$B$5+INT((ROW()-9)/24)</f>
        <v>46276</v>
      </c>
      <c r="B7453" s="11" t="n">
        <f aca="false">MOD(ROW()-9,24)</f>
        <v>4</v>
      </c>
      <c r="C7453" s="12"/>
      <c r="D7453" s="13" t="n">
        <f aca="false">IF(B7453&lt;5,Einstellungen!$B$3,Einstellungen!$B$4)</f>
        <v>15.92</v>
      </c>
      <c r="E7453" s="14" t="str">
        <f aca="false">IF(C7453="","",C7453*D7453/100)</f>
        <v/>
      </c>
      <c r="F7453" s="15" t="str">
        <f aca="false">IF(B7453&lt;5,"Go","Standard")</f>
        <v>Go</v>
      </c>
    </row>
    <row r="7454" customFormat="false" ht="15" hidden="false" customHeight="true" outlineLevel="0" collapsed="false">
      <c r="A7454" s="10" t="n">
        <f aca="false">Einstellungen!$B$5+INT((ROW()-9)/24)</f>
        <v>46276</v>
      </c>
      <c r="B7454" s="11" t="n">
        <f aca="false">MOD(ROW()-9,24)</f>
        <v>5</v>
      </c>
      <c r="C7454" s="12"/>
      <c r="D7454" s="13" t="n">
        <f aca="false">IF(B7454&lt;5,Einstellungen!$B$3,Einstellungen!$B$4)</f>
        <v>29.13</v>
      </c>
      <c r="E7454" s="14" t="str">
        <f aca="false">IF(C7454="","",C7454*D7454/100)</f>
        <v/>
      </c>
      <c r="F7454" s="15" t="str">
        <f aca="false">IF(B7454&lt;5,"Go","Standard")</f>
        <v>Standard</v>
      </c>
    </row>
    <row r="7455" customFormat="false" ht="15" hidden="false" customHeight="true" outlineLevel="0" collapsed="false">
      <c r="A7455" s="10" t="n">
        <f aca="false">Einstellungen!$B$5+INT((ROW()-9)/24)</f>
        <v>46276</v>
      </c>
      <c r="B7455" s="11" t="n">
        <f aca="false">MOD(ROW()-9,24)</f>
        <v>6</v>
      </c>
      <c r="C7455" s="12"/>
      <c r="D7455" s="13" t="n">
        <f aca="false">IF(B7455&lt;5,Einstellungen!$B$3,Einstellungen!$B$4)</f>
        <v>29.13</v>
      </c>
      <c r="E7455" s="14" t="str">
        <f aca="false">IF(C7455="","",C7455*D7455/100)</f>
        <v/>
      </c>
      <c r="F7455" s="15" t="str">
        <f aca="false">IF(B7455&lt;5,"Go","Standard")</f>
        <v>Standard</v>
      </c>
    </row>
    <row r="7456" customFormat="false" ht="15" hidden="false" customHeight="true" outlineLevel="0" collapsed="false">
      <c r="A7456" s="10" t="n">
        <f aca="false">Einstellungen!$B$5+INT((ROW()-9)/24)</f>
        <v>46276</v>
      </c>
      <c r="B7456" s="11" t="n">
        <f aca="false">MOD(ROW()-9,24)</f>
        <v>7</v>
      </c>
      <c r="C7456" s="12"/>
      <c r="D7456" s="13" t="n">
        <f aca="false">IF(B7456&lt;5,Einstellungen!$B$3,Einstellungen!$B$4)</f>
        <v>29.13</v>
      </c>
      <c r="E7456" s="14" t="str">
        <f aca="false">IF(C7456="","",C7456*D7456/100)</f>
        <v/>
      </c>
      <c r="F7456" s="15" t="str">
        <f aca="false">IF(B7456&lt;5,"Go","Standard")</f>
        <v>Standard</v>
      </c>
    </row>
    <row r="7457" customFormat="false" ht="15" hidden="false" customHeight="true" outlineLevel="0" collapsed="false">
      <c r="A7457" s="10" t="n">
        <f aca="false">Einstellungen!$B$5+INT((ROW()-9)/24)</f>
        <v>46276</v>
      </c>
      <c r="B7457" s="11" t="n">
        <f aca="false">MOD(ROW()-9,24)</f>
        <v>8</v>
      </c>
      <c r="C7457" s="12"/>
      <c r="D7457" s="13" t="n">
        <f aca="false">IF(B7457&lt;5,Einstellungen!$B$3,Einstellungen!$B$4)</f>
        <v>29.13</v>
      </c>
      <c r="E7457" s="14" t="str">
        <f aca="false">IF(C7457="","",C7457*D7457/100)</f>
        <v/>
      </c>
      <c r="F7457" s="15" t="str">
        <f aca="false">IF(B7457&lt;5,"Go","Standard")</f>
        <v>Standard</v>
      </c>
    </row>
    <row r="7458" customFormat="false" ht="15" hidden="false" customHeight="true" outlineLevel="0" collapsed="false">
      <c r="A7458" s="10" t="n">
        <f aca="false">Einstellungen!$B$5+INT((ROW()-9)/24)</f>
        <v>46276</v>
      </c>
      <c r="B7458" s="11" t="n">
        <f aca="false">MOD(ROW()-9,24)</f>
        <v>9</v>
      </c>
      <c r="C7458" s="12"/>
      <c r="D7458" s="13" t="n">
        <f aca="false">IF(B7458&lt;5,Einstellungen!$B$3,Einstellungen!$B$4)</f>
        <v>29.13</v>
      </c>
      <c r="E7458" s="14" t="str">
        <f aca="false">IF(C7458="","",C7458*D7458/100)</f>
        <v/>
      </c>
      <c r="F7458" s="15" t="str">
        <f aca="false">IF(B7458&lt;5,"Go","Standard")</f>
        <v>Standard</v>
      </c>
    </row>
    <row r="7459" customFormat="false" ht="15" hidden="false" customHeight="true" outlineLevel="0" collapsed="false">
      <c r="A7459" s="10" t="n">
        <f aca="false">Einstellungen!$B$5+INT((ROW()-9)/24)</f>
        <v>46276</v>
      </c>
      <c r="B7459" s="11" t="n">
        <f aca="false">MOD(ROW()-9,24)</f>
        <v>10</v>
      </c>
      <c r="C7459" s="12"/>
      <c r="D7459" s="13" t="n">
        <f aca="false">IF(B7459&lt;5,Einstellungen!$B$3,Einstellungen!$B$4)</f>
        <v>29.13</v>
      </c>
      <c r="E7459" s="14" t="str">
        <f aca="false">IF(C7459="","",C7459*D7459/100)</f>
        <v/>
      </c>
      <c r="F7459" s="15" t="str">
        <f aca="false">IF(B7459&lt;5,"Go","Standard")</f>
        <v>Standard</v>
      </c>
    </row>
    <row r="7460" customFormat="false" ht="15" hidden="false" customHeight="true" outlineLevel="0" collapsed="false">
      <c r="A7460" s="10" t="n">
        <f aca="false">Einstellungen!$B$5+INT((ROW()-9)/24)</f>
        <v>46276</v>
      </c>
      <c r="B7460" s="11" t="n">
        <f aca="false">MOD(ROW()-9,24)</f>
        <v>11</v>
      </c>
      <c r="C7460" s="12"/>
      <c r="D7460" s="13" t="n">
        <f aca="false">IF(B7460&lt;5,Einstellungen!$B$3,Einstellungen!$B$4)</f>
        <v>29.13</v>
      </c>
      <c r="E7460" s="14" t="str">
        <f aca="false">IF(C7460="","",C7460*D7460/100)</f>
        <v/>
      </c>
      <c r="F7460" s="15" t="str">
        <f aca="false">IF(B7460&lt;5,"Go","Standard")</f>
        <v>Standard</v>
      </c>
    </row>
    <row r="7461" customFormat="false" ht="15" hidden="false" customHeight="true" outlineLevel="0" collapsed="false">
      <c r="A7461" s="10" t="n">
        <f aca="false">Einstellungen!$B$5+INT((ROW()-9)/24)</f>
        <v>46276</v>
      </c>
      <c r="B7461" s="11" t="n">
        <f aca="false">MOD(ROW()-9,24)</f>
        <v>12</v>
      </c>
      <c r="C7461" s="12"/>
      <c r="D7461" s="13" t="n">
        <f aca="false">IF(B7461&lt;5,Einstellungen!$B$3,Einstellungen!$B$4)</f>
        <v>29.13</v>
      </c>
      <c r="E7461" s="14" t="str">
        <f aca="false">IF(C7461="","",C7461*D7461/100)</f>
        <v/>
      </c>
      <c r="F7461" s="15" t="str">
        <f aca="false">IF(B7461&lt;5,"Go","Standard")</f>
        <v>Standard</v>
      </c>
    </row>
    <row r="7462" customFormat="false" ht="15" hidden="false" customHeight="true" outlineLevel="0" collapsed="false">
      <c r="A7462" s="10" t="n">
        <f aca="false">Einstellungen!$B$5+INT((ROW()-9)/24)</f>
        <v>46276</v>
      </c>
      <c r="B7462" s="11" t="n">
        <f aca="false">MOD(ROW()-9,24)</f>
        <v>13</v>
      </c>
      <c r="C7462" s="12"/>
      <c r="D7462" s="13" t="n">
        <f aca="false">IF(B7462&lt;5,Einstellungen!$B$3,Einstellungen!$B$4)</f>
        <v>29.13</v>
      </c>
      <c r="E7462" s="14" t="str">
        <f aca="false">IF(C7462="","",C7462*D7462/100)</f>
        <v/>
      </c>
      <c r="F7462" s="15" t="str">
        <f aca="false">IF(B7462&lt;5,"Go","Standard")</f>
        <v>Standard</v>
      </c>
    </row>
    <row r="7463" customFormat="false" ht="15" hidden="false" customHeight="true" outlineLevel="0" collapsed="false">
      <c r="A7463" s="10" t="n">
        <f aca="false">Einstellungen!$B$5+INT((ROW()-9)/24)</f>
        <v>46276</v>
      </c>
      <c r="B7463" s="11" t="n">
        <f aca="false">MOD(ROW()-9,24)</f>
        <v>14</v>
      </c>
      <c r="C7463" s="12"/>
      <c r="D7463" s="13" t="n">
        <f aca="false">IF(B7463&lt;5,Einstellungen!$B$3,Einstellungen!$B$4)</f>
        <v>29.13</v>
      </c>
      <c r="E7463" s="14" t="str">
        <f aca="false">IF(C7463="","",C7463*D7463/100)</f>
        <v/>
      </c>
      <c r="F7463" s="15" t="str">
        <f aca="false">IF(B7463&lt;5,"Go","Standard")</f>
        <v>Standard</v>
      </c>
    </row>
    <row r="7464" customFormat="false" ht="15" hidden="false" customHeight="true" outlineLevel="0" collapsed="false">
      <c r="A7464" s="10" t="n">
        <f aca="false">Einstellungen!$B$5+INT((ROW()-9)/24)</f>
        <v>46276</v>
      </c>
      <c r="B7464" s="11" t="n">
        <f aca="false">MOD(ROW()-9,24)</f>
        <v>15</v>
      </c>
      <c r="C7464" s="12"/>
      <c r="D7464" s="13" t="n">
        <f aca="false">IF(B7464&lt;5,Einstellungen!$B$3,Einstellungen!$B$4)</f>
        <v>29.13</v>
      </c>
      <c r="E7464" s="14" t="str">
        <f aca="false">IF(C7464="","",C7464*D7464/100)</f>
        <v/>
      </c>
      <c r="F7464" s="15" t="str">
        <f aca="false">IF(B7464&lt;5,"Go","Standard")</f>
        <v>Standard</v>
      </c>
    </row>
    <row r="7465" customFormat="false" ht="15" hidden="false" customHeight="true" outlineLevel="0" collapsed="false">
      <c r="A7465" s="10" t="n">
        <f aca="false">Einstellungen!$B$5+INT((ROW()-9)/24)</f>
        <v>46276</v>
      </c>
      <c r="B7465" s="11" t="n">
        <f aca="false">MOD(ROW()-9,24)</f>
        <v>16</v>
      </c>
      <c r="C7465" s="12"/>
      <c r="D7465" s="13" t="n">
        <f aca="false">IF(B7465&lt;5,Einstellungen!$B$3,Einstellungen!$B$4)</f>
        <v>29.13</v>
      </c>
      <c r="E7465" s="14" t="str">
        <f aca="false">IF(C7465="","",C7465*D7465/100)</f>
        <v/>
      </c>
      <c r="F7465" s="15" t="str">
        <f aca="false">IF(B7465&lt;5,"Go","Standard")</f>
        <v>Standard</v>
      </c>
    </row>
    <row r="7466" customFormat="false" ht="15" hidden="false" customHeight="true" outlineLevel="0" collapsed="false">
      <c r="A7466" s="10" t="n">
        <f aca="false">Einstellungen!$B$5+INT((ROW()-9)/24)</f>
        <v>46276</v>
      </c>
      <c r="B7466" s="11" t="n">
        <f aca="false">MOD(ROW()-9,24)</f>
        <v>17</v>
      </c>
      <c r="C7466" s="12"/>
      <c r="D7466" s="13" t="n">
        <f aca="false">IF(B7466&lt;5,Einstellungen!$B$3,Einstellungen!$B$4)</f>
        <v>29.13</v>
      </c>
      <c r="E7466" s="14" t="str">
        <f aca="false">IF(C7466="","",C7466*D7466/100)</f>
        <v/>
      </c>
      <c r="F7466" s="15" t="str">
        <f aca="false">IF(B7466&lt;5,"Go","Standard")</f>
        <v>Standard</v>
      </c>
    </row>
    <row r="7467" customFormat="false" ht="15" hidden="false" customHeight="true" outlineLevel="0" collapsed="false">
      <c r="A7467" s="10" t="n">
        <f aca="false">Einstellungen!$B$5+INT((ROW()-9)/24)</f>
        <v>46276</v>
      </c>
      <c r="B7467" s="11" t="n">
        <f aca="false">MOD(ROW()-9,24)</f>
        <v>18</v>
      </c>
      <c r="C7467" s="12"/>
      <c r="D7467" s="13" t="n">
        <f aca="false">IF(B7467&lt;5,Einstellungen!$B$3,Einstellungen!$B$4)</f>
        <v>29.13</v>
      </c>
      <c r="E7467" s="14" t="str">
        <f aca="false">IF(C7467="","",C7467*D7467/100)</f>
        <v/>
      </c>
      <c r="F7467" s="15" t="str">
        <f aca="false">IF(B7467&lt;5,"Go","Standard")</f>
        <v>Standard</v>
      </c>
    </row>
    <row r="7468" customFormat="false" ht="15" hidden="false" customHeight="true" outlineLevel="0" collapsed="false">
      <c r="A7468" s="10" t="n">
        <f aca="false">Einstellungen!$B$5+INT((ROW()-9)/24)</f>
        <v>46276</v>
      </c>
      <c r="B7468" s="11" t="n">
        <f aca="false">MOD(ROW()-9,24)</f>
        <v>19</v>
      </c>
      <c r="C7468" s="12"/>
      <c r="D7468" s="13" t="n">
        <f aca="false">IF(B7468&lt;5,Einstellungen!$B$3,Einstellungen!$B$4)</f>
        <v>29.13</v>
      </c>
      <c r="E7468" s="14" t="str">
        <f aca="false">IF(C7468="","",C7468*D7468/100)</f>
        <v/>
      </c>
      <c r="F7468" s="15" t="str">
        <f aca="false">IF(B7468&lt;5,"Go","Standard")</f>
        <v>Standard</v>
      </c>
    </row>
    <row r="7469" customFormat="false" ht="15" hidden="false" customHeight="true" outlineLevel="0" collapsed="false">
      <c r="A7469" s="10" t="n">
        <f aca="false">Einstellungen!$B$5+INT((ROW()-9)/24)</f>
        <v>46276</v>
      </c>
      <c r="B7469" s="11" t="n">
        <f aca="false">MOD(ROW()-9,24)</f>
        <v>20</v>
      </c>
      <c r="C7469" s="12"/>
      <c r="D7469" s="13" t="n">
        <f aca="false">IF(B7469&lt;5,Einstellungen!$B$3,Einstellungen!$B$4)</f>
        <v>29.13</v>
      </c>
      <c r="E7469" s="14" t="str">
        <f aca="false">IF(C7469="","",C7469*D7469/100)</f>
        <v/>
      </c>
      <c r="F7469" s="15" t="str">
        <f aca="false">IF(B7469&lt;5,"Go","Standard")</f>
        <v>Standard</v>
      </c>
    </row>
    <row r="7470" customFormat="false" ht="15" hidden="false" customHeight="true" outlineLevel="0" collapsed="false">
      <c r="A7470" s="10" t="n">
        <f aca="false">Einstellungen!$B$5+INT((ROW()-9)/24)</f>
        <v>46276</v>
      </c>
      <c r="B7470" s="11" t="n">
        <f aca="false">MOD(ROW()-9,24)</f>
        <v>21</v>
      </c>
      <c r="C7470" s="12"/>
      <c r="D7470" s="13" t="n">
        <f aca="false">IF(B7470&lt;5,Einstellungen!$B$3,Einstellungen!$B$4)</f>
        <v>29.13</v>
      </c>
      <c r="E7470" s="14" t="str">
        <f aca="false">IF(C7470="","",C7470*D7470/100)</f>
        <v/>
      </c>
      <c r="F7470" s="15" t="str">
        <f aca="false">IF(B7470&lt;5,"Go","Standard")</f>
        <v>Standard</v>
      </c>
    </row>
    <row r="7471" customFormat="false" ht="15" hidden="false" customHeight="true" outlineLevel="0" collapsed="false">
      <c r="A7471" s="10" t="n">
        <f aca="false">Einstellungen!$B$5+INT((ROW()-9)/24)</f>
        <v>46276</v>
      </c>
      <c r="B7471" s="11" t="n">
        <f aca="false">MOD(ROW()-9,24)</f>
        <v>22</v>
      </c>
      <c r="C7471" s="12"/>
      <c r="D7471" s="13" t="n">
        <f aca="false">IF(B7471&lt;5,Einstellungen!$B$3,Einstellungen!$B$4)</f>
        <v>29.13</v>
      </c>
      <c r="E7471" s="14" t="str">
        <f aca="false">IF(C7471="","",C7471*D7471/100)</f>
        <v/>
      </c>
      <c r="F7471" s="15" t="str">
        <f aca="false">IF(B7471&lt;5,"Go","Standard")</f>
        <v>Standard</v>
      </c>
    </row>
    <row r="7472" customFormat="false" ht="15" hidden="false" customHeight="true" outlineLevel="0" collapsed="false">
      <c r="A7472" s="10" t="n">
        <f aca="false">Einstellungen!$B$5+INT((ROW()-9)/24)</f>
        <v>46276</v>
      </c>
      <c r="B7472" s="11" t="n">
        <f aca="false">MOD(ROW()-9,24)</f>
        <v>23</v>
      </c>
      <c r="C7472" s="12"/>
      <c r="D7472" s="13" t="n">
        <f aca="false">IF(B7472&lt;5,Einstellungen!$B$3,Einstellungen!$B$4)</f>
        <v>29.13</v>
      </c>
      <c r="E7472" s="14" t="str">
        <f aca="false">IF(C7472="","",C7472*D7472/100)</f>
        <v/>
      </c>
      <c r="F7472" s="15" t="str">
        <f aca="false">IF(B7472&lt;5,"Go","Standard")</f>
        <v>Standard</v>
      </c>
    </row>
    <row r="7473" customFormat="false" ht="15" hidden="false" customHeight="true" outlineLevel="0" collapsed="false">
      <c r="A7473" s="10" t="n">
        <f aca="false">Einstellungen!$B$5+INT((ROW()-9)/24)</f>
        <v>46277</v>
      </c>
      <c r="B7473" s="11" t="n">
        <f aca="false">MOD(ROW()-9,24)</f>
        <v>0</v>
      </c>
      <c r="C7473" s="12"/>
      <c r="D7473" s="13" t="n">
        <f aca="false">IF(B7473&lt;5,Einstellungen!$B$3,Einstellungen!$B$4)</f>
        <v>15.92</v>
      </c>
      <c r="E7473" s="14" t="str">
        <f aca="false">IF(C7473="","",C7473*D7473/100)</f>
        <v/>
      </c>
      <c r="F7473" s="15" t="str">
        <f aca="false">IF(B7473&lt;5,"Go","Standard")</f>
        <v>Go</v>
      </c>
    </row>
    <row r="7474" customFormat="false" ht="15" hidden="false" customHeight="true" outlineLevel="0" collapsed="false">
      <c r="A7474" s="10" t="n">
        <f aca="false">Einstellungen!$B$5+INT((ROW()-9)/24)</f>
        <v>46277</v>
      </c>
      <c r="B7474" s="11" t="n">
        <f aca="false">MOD(ROW()-9,24)</f>
        <v>1</v>
      </c>
      <c r="C7474" s="12"/>
      <c r="D7474" s="13" t="n">
        <f aca="false">IF(B7474&lt;5,Einstellungen!$B$3,Einstellungen!$B$4)</f>
        <v>15.92</v>
      </c>
      <c r="E7474" s="14" t="str">
        <f aca="false">IF(C7474="","",C7474*D7474/100)</f>
        <v/>
      </c>
      <c r="F7474" s="15" t="str">
        <f aca="false">IF(B7474&lt;5,"Go","Standard")</f>
        <v>Go</v>
      </c>
    </row>
    <row r="7475" customFormat="false" ht="15" hidden="false" customHeight="true" outlineLevel="0" collapsed="false">
      <c r="A7475" s="10" t="n">
        <f aca="false">Einstellungen!$B$5+INT((ROW()-9)/24)</f>
        <v>46277</v>
      </c>
      <c r="B7475" s="11" t="n">
        <f aca="false">MOD(ROW()-9,24)</f>
        <v>2</v>
      </c>
      <c r="C7475" s="12"/>
      <c r="D7475" s="13" t="n">
        <f aca="false">IF(B7475&lt;5,Einstellungen!$B$3,Einstellungen!$B$4)</f>
        <v>15.92</v>
      </c>
      <c r="E7475" s="14" t="str">
        <f aca="false">IF(C7475="","",C7475*D7475/100)</f>
        <v/>
      </c>
      <c r="F7475" s="15" t="str">
        <f aca="false">IF(B7475&lt;5,"Go","Standard")</f>
        <v>Go</v>
      </c>
    </row>
    <row r="7476" customFormat="false" ht="15" hidden="false" customHeight="true" outlineLevel="0" collapsed="false">
      <c r="A7476" s="10" t="n">
        <f aca="false">Einstellungen!$B$5+INT((ROW()-9)/24)</f>
        <v>46277</v>
      </c>
      <c r="B7476" s="11" t="n">
        <f aca="false">MOD(ROW()-9,24)</f>
        <v>3</v>
      </c>
      <c r="C7476" s="12"/>
      <c r="D7476" s="13" t="n">
        <f aca="false">IF(B7476&lt;5,Einstellungen!$B$3,Einstellungen!$B$4)</f>
        <v>15.92</v>
      </c>
      <c r="E7476" s="14" t="str">
        <f aca="false">IF(C7476="","",C7476*D7476/100)</f>
        <v/>
      </c>
      <c r="F7476" s="15" t="str">
        <f aca="false">IF(B7476&lt;5,"Go","Standard")</f>
        <v>Go</v>
      </c>
    </row>
    <row r="7477" customFormat="false" ht="15" hidden="false" customHeight="true" outlineLevel="0" collapsed="false">
      <c r="A7477" s="10" t="n">
        <f aca="false">Einstellungen!$B$5+INT((ROW()-9)/24)</f>
        <v>46277</v>
      </c>
      <c r="B7477" s="11" t="n">
        <f aca="false">MOD(ROW()-9,24)</f>
        <v>4</v>
      </c>
      <c r="C7477" s="12"/>
      <c r="D7477" s="13" t="n">
        <f aca="false">IF(B7477&lt;5,Einstellungen!$B$3,Einstellungen!$B$4)</f>
        <v>15.92</v>
      </c>
      <c r="E7477" s="14" t="str">
        <f aca="false">IF(C7477="","",C7477*D7477/100)</f>
        <v/>
      </c>
      <c r="F7477" s="15" t="str">
        <f aca="false">IF(B7477&lt;5,"Go","Standard")</f>
        <v>Go</v>
      </c>
    </row>
    <row r="7478" customFormat="false" ht="15" hidden="false" customHeight="true" outlineLevel="0" collapsed="false">
      <c r="A7478" s="10" t="n">
        <f aca="false">Einstellungen!$B$5+INT((ROW()-9)/24)</f>
        <v>46277</v>
      </c>
      <c r="B7478" s="11" t="n">
        <f aca="false">MOD(ROW()-9,24)</f>
        <v>5</v>
      </c>
      <c r="C7478" s="12"/>
      <c r="D7478" s="13" t="n">
        <f aca="false">IF(B7478&lt;5,Einstellungen!$B$3,Einstellungen!$B$4)</f>
        <v>29.13</v>
      </c>
      <c r="E7478" s="14" t="str">
        <f aca="false">IF(C7478="","",C7478*D7478/100)</f>
        <v/>
      </c>
      <c r="F7478" s="15" t="str">
        <f aca="false">IF(B7478&lt;5,"Go","Standard")</f>
        <v>Standard</v>
      </c>
    </row>
    <row r="7479" customFormat="false" ht="15" hidden="false" customHeight="true" outlineLevel="0" collapsed="false">
      <c r="A7479" s="10" t="n">
        <f aca="false">Einstellungen!$B$5+INT((ROW()-9)/24)</f>
        <v>46277</v>
      </c>
      <c r="B7479" s="11" t="n">
        <f aca="false">MOD(ROW()-9,24)</f>
        <v>6</v>
      </c>
      <c r="C7479" s="12"/>
      <c r="D7479" s="13" t="n">
        <f aca="false">IF(B7479&lt;5,Einstellungen!$B$3,Einstellungen!$B$4)</f>
        <v>29.13</v>
      </c>
      <c r="E7479" s="14" t="str">
        <f aca="false">IF(C7479="","",C7479*D7479/100)</f>
        <v/>
      </c>
      <c r="F7479" s="15" t="str">
        <f aca="false">IF(B7479&lt;5,"Go","Standard")</f>
        <v>Standard</v>
      </c>
    </row>
    <row r="7480" customFormat="false" ht="15" hidden="false" customHeight="true" outlineLevel="0" collapsed="false">
      <c r="A7480" s="10" t="n">
        <f aca="false">Einstellungen!$B$5+INT((ROW()-9)/24)</f>
        <v>46277</v>
      </c>
      <c r="B7480" s="11" t="n">
        <f aca="false">MOD(ROW()-9,24)</f>
        <v>7</v>
      </c>
      <c r="C7480" s="12"/>
      <c r="D7480" s="13" t="n">
        <f aca="false">IF(B7480&lt;5,Einstellungen!$B$3,Einstellungen!$B$4)</f>
        <v>29.13</v>
      </c>
      <c r="E7480" s="14" t="str">
        <f aca="false">IF(C7480="","",C7480*D7480/100)</f>
        <v/>
      </c>
      <c r="F7480" s="15" t="str">
        <f aca="false">IF(B7480&lt;5,"Go","Standard")</f>
        <v>Standard</v>
      </c>
    </row>
    <row r="7481" customFormat="false" ht="15" hidden="false" customHeight="true" outlineLevel="0" collapsed="false">
      <c r="A7481" s="10" t="n">
        <f aca="false">Einstellungen!$B$5+INT((ROW()-9)/24)</f>
        <v>46277</v>
      </c>
      <c r="B7481" s="11" t="n">
        <f aca="false">MOD(ROW()-9,24)</f>
        <v>8</v>
      </c>
      <c r="C7481" s="12"/>
      <c r="D7481" s="13" t="n">
        <f aca="false">IF(B7481&lt;5,Einstellungen!$B$3,Einstellungen!$B$4)</f>
        <v>29.13</v>
      </c>
      <c r="E7481" s="14" t="str">
        <f aca="false">IF(C7481="","",C7481*D7481/100)</f>
        <v/>
      </c>
      <c r="F7481" s="15" t="str">
        <f aca="false">IF(B7481&lt;5,"Go","Standard")</f>
        <v>Standard</v>
      </c>
    </row>
    <row r="7482" customFormat="false" ht="15" hidden="false" customHeight="true" outlineLevel="0" collapsed="false">
      <c r="A7482" s="10" t="n">
        <f aca="false">Einstellungen!$B$5+INT((ROW()-9)/24)</f>
        <v>46277</v>
      </c>
      <c r="B7482" s="11" t="n">
        <f aca="false">MOD(ROW()-9,24)</f>
        <v>9</v>
      </c>
      <c r="C7482" s="12"/>
      <c r="D7482" s="13" t="n">
        <f aca="false">IF(B7482&lt;5,Einstellungen!$B$3,Einstellungen!$B$4)</f>
        <v>29.13</v>
      </c>
      <c r="E7482" s="14" t="str">
        <f aca="false">IF(C7482="","",C7482*D7482/100)</f>
        <v/>
      </c>
      <c r="F7482" s="15" t="str">
        <f aca="false">IF(B7482&lt;5,"Go","Standard")</f>
        <v>Standard</v>
      </c>
    </row>
    <row r="7483" customFormat="false" ht="15" hidden="false" customHeight="true" outlineLevel="0" collapsed="false">
      <c r="A7483" s="10" t="n">
        <f aca="false">Einstellungen!$B$5+INT((ROW()-9)/24)</f>
        <v>46277</v>
      </c>
      <c r="B7483" s="11" t="n">
        <f aca="false">MOD(ROW()-9,24)</f>
        <v>10</v>
      </c>
      <c r="C7483" s="12"/>
      <c r="D7483" s="13" t="n">
        <f aca="false">IF(B7483&lt;5,Einstellungen!$B$3,Einstellungen!$B$4)</f>
        <v>29.13</v>
      </c>
      <c r="E7483" s="14" t="str">
        <f aca="false">IF(C7483="","",C7483*D7483/100)</f>
        <v/>
      </c>
      <c r="F7483" s="15" t="str">
        <f aca="false">IF(B7483&lt;5,"Go","Standard")</f>
        <v>Standard</v>
      </c>
    </row>
    <row r="7484" customFormat="false" ht="15" hidden="false" customHeight="true" outlineLevel="0" collapsed="false">
      <c r="A7484" s="10" t="n">
        <f aca="false">Einstellungen!$B$5+INT((ROW()-9)/24)</f>
        <v>46277</v>
      </c>
      <c r="B7484" s="11" t="n">
        <f aca="false">MOD(ROW()-9,24)</f>
        <v>11</v>
      </c>
      <c r="C7484" s="12"/>
      <c r="D7484" s="13" t="n">
        <f aca="false">IF(B7484&lt;5,Einstellungen!$B$3,Einstellungen!$B$4)</f>
        <v>29.13</v>
      </c>
      <c r="E7484" s="14" t="str">
        <f aca="false">IF(C7484="","",C7484*D7484/100)</f>
        <v/>
      </c>
      <c r="F7484" s="15" t="str">
        <f aca="false">IF(B7484&lt;5,"Go","Standard")</f>
        <v>Standard</v>
      </c>
    </row>
    <row r="7485" customFormat="false" ht="15" hidden="false" customHeight="true" outlineLevel="0" collapsed="false">
      <c r="A7485" s="10" t="n">
        <f aca="false">Einstellungen!$B$5+INT((ROW()-9)/24)</f>
        <v>46277</v>
      </c>
      <c r="B7485" s="11" t="n">
        <f aca="false">MOD(ROW()-9,24)</f>
        <v>12</v>
      </c>
      <c r="C7485" s="12"/>
      <c r="D7485" s="13" t="n">
        <f aca="false">IF(B7485&lt;5,Einstellungen!$B$3,Einstellungen!$B$4)</f>
        <v>29.13</v>
      </c>
      <c r="E7485" s="14" t="str">
        <f aca="false">IF(C7485="","",C7485*D7485/100)</f>
        <v/>
      </c>
      <c r="F7485" s="15" t="str">
        <f aca="false">IF(B7485&lt;5,"Go","Standard")</f>
        <v>Standard</v>
      </c>
    </row>
    <row r="7486" customFormat="false" ht="15" hidden="false" customHeight="true" outlineLevel="0" collapsed="false">
      <c r="A7486" s="10" t="n">
        <f aca="false">Einstellungen!$B$5+INT((ROW()-9)/24)</f>
        <v>46277</v>
      </c>
      <c r="B7486" s="11" t="n">
        <f aca="false">MOD(ROW()-9,24)</f>
        <v>13</v>
      </c>
      <c r="C7486" s="12"/>
      <c r="D7486" s="13" t="n">
        <f aca="false">IF(B7486&lt;5,Einstellungen!$B$3,Einstellungen!$B$4)</f>
        <v>29.13</v>
      </c>
      <c r="E7486" s="14" t="str">
        <f aca="false">IF(C7486="","",C7486*D7486/100)</f>
        <v/>
      </c>
      <c r="F7486" s="15" t="str">
        <f aca="false">IF(B7486&lt;5,"Go","Standard")</f>
        <v>Standard</v>
      </c>
    </row>
    <row r="7487" customFormat="false" ht="15" hidden="false" customHeight="true" outlineLevel="0" collapsed="false">
      <c r="A7487" s="10" t="n">
        <f aca="false">Einstellungen!$B$5+INT((ROW()-9)/24)</f>
        <v>46277</v>
      </c>
      <c r="B7487" s="11" t="n">
        <f aca="false">MOD(ROW()-9,24)</f>
        <v>14</v>
      </c>
      <c r="C7487" s="12"/>
      <c r="D7487" s="13" t="n">
        <f aca="false">IF(B7487&lt;5,Einstellungen!$B$3,Einstellungen!$B$4)</f>
        <v>29.13</v>
      </c>
      <c r="E7487" s="14" t="str">
        <f aca="false">IF(C7487="","",C7487*D7487/100)</f>
        <v/>
      </c>
      <c r="F7487" s="15" t="str">
        <f aca="false">IF(B7487&lt;5,"Go","Standard")</f>
        <v>Standard</v>
      </c>
    </row>
    <row r="7488" customFormat="false" ht="15" hidden="false" customHeight="true" outlineLevel="0" collapsed="false">
      <c r="A7488" s="10" t="n">
        <f aca="false">Einstellungen!$B$5+INT((ROW()-9)/24)</f>
        <v>46277</v>
      </c>
      <c r="B7488" s="11" t="n">
        <f aca="false">MOD(ROW()-9,24)</f>
        <v>15</v>
      </c>
      <c r="C7488" s="12"/>
      <c r="D7488" s="13" t="n">
        <f aca="false">IF(B7488&lt;5,Einstellungen!$B$3,Einstellungen!$B$4)</f>
        <v>29.13</v>
      </c>
      <c r="E7488" s="14" t="str">
        <f aca="false">IF(C7488="","",C7488*D7488/100)</f>
        <v/>
      </c>
      <c r="F7488" s="15" t="str">
        <f aca="false">IF(B7488&lt;5,"Go","Standard")</f>
        <v>Standard</v>
      </c>
    </row>
    <row r="7489" customFormat="false" ht="15" hidden="false" customHeight="true" outlineLevel="0" collapsed="false">
      <c r="A7489" s="10" t="n">
        <f aca="false">Einstellungen!$B$5+INT((ROW()-9)/24)</f>
        <v>46277</v>
      </c>
      <c r="B7489" s="11" t="n">
        <f aca="false">MOD(ROW()-9,24)</f>
        <v>16</v>
      </c>
      <c r="C7489" s="12"/>
      <c r="D7489" s="13" t="n">
        <f aca="false">IF(B7489&lt;5,Einstellungen!$B$3,Einstellungen!$B$4)</f>
        <v>29.13</v>
      </c>
      <c r="E7489" s="14" t="str">
        <f aca="false">IF(C7489="","",C7489*D7489/100)</f>
        <v/>
      </c>
      <c r="F7489" s="15" t="str">
        <f aca="false">IF(B7489&lt;5,"Go","Standard")</f>
        <v>Standard</v>
      </c>
    </row>
    <row r="7490" customFormat="false" ht="15" hidden="false" customHeight="true" outlineLevel="0" collapsed="false">
      <c r="A7490" s="10" t="n">
        <f aca="false">Einstellungen!$B$5+INT((ROW()-9)/24)</f>
        <v>46277</v>
      </c>
      <c r="B7490" s="11" t="n">
        <f aca="false">MOD(ROW()-9,24)</f>
        <v>17</v>
      </c>
      <c r="C7490" s="12"/>
      <c r="D7490" s="13" t="n">
        <f aca="false">IF(B7490&lt;5,Einstellungen!$B$3,Einstellungen!$B$4)</f>
        <v>29.13</v>
      </c>
      <c r="E7490" s="14" t="str">
        <f aca="false">IF(C7490="","",C7490*D7490/100)</f>
        <v/>
      </c>
      <c r="F7490" s="15" t="str">
        <f aca="false">IF(B7490&lt;5,"Go","Standard")</f>
        <v>Standard</v>
      </c>
    </row>
    <row r="7491" customFormat="false" ht="15" hidden="false" customHeight="true" outlineLevel="0" collapsed="false">
      <c r="A7491" s="10" t="n">
        <f aca="false">Einstellungen!$B$5+INT((ROW()-9)/24)</f>
        <v>46277</v>
      </c>
      <c r="B7491" s="11" t="n">
        <f aca="false">MOD(ROW()-9,24)</f>
        <v>18</v>
      </c>
      <c r="C7491" s="12"/>
      <c r="D7491" s="13" t="n">
        <f aca="false">IF(B7491&lt;5,Einstellungen!$B$3,Einstellungen!$B$4)</f>
        <v>29.13</v>
      </c>
      <c r="E7491" s="14" t="str">
        <f aca="false">IF(C7491="","",C7491*D7491/100)</f>
        <v/>
      </c>
      <c r="F7491" s="15" t="str">
        <f aca="false">IF(B7491&lt;5,"Go","Standard")</f>
        <v>Standard</v>
      </c>
    </row>
    <row r="7492" customFormat="false" ht="15" hidden="false" customHeight="true" outlineLevel="0" collapsed="false">
      <c r="A7492" s="10" t="n">
        <f aca="false">Einstellungen!$B$5+INT((ROW()-9)/24)</f>
        <v>46277</v>
      </c>
      <c r="B7492" s="11" t="n">
        <f aca="false">MOD(ROW()-9,24)</f>
        <v>19</v>
      </c>
      <c r="C7492" s="12"/>
      <c r="D7492" s="13" t="n">
        <f aca="false">IF(B7492&lt;5,Einstellungen!$B$3,Einstellungen!$B$4)</f>
        <v>29.13</v>
      </c>
      <c r="E7492" s="14" t="str">
        <f aca="false">IF(C7492="","",C7492*D7492/100)</f>
        <v/>
      </c>
      <c r="F7492" s="15" t="str">
        <f aca="false">IF(B7492&lt;5,"Go","Standard")</f>
        <v>Standard</v>
      </c>
    </row>
    <row r="7493" customFormat="false" ht="15" hidden="false" customHeight="true" outlineLevel="0" collapsed="false">
      <c r="A7493" s="10" t="n">
        <f aca="false">Einstellungen!$B$5+INT((ROW()-9)/24)</f>
        <v>46277</v>
      </c>
      <c r="B7493" s="11" t="n">
        <f aca="false">MOD(ROW()-9,24)</f>
        <v>20</v>
      </c>
      <c r="C7493" s="12"/>
      <c r="D7493" s="13" t="n">
        <f aca="false">IF(B7493&lt;5,Einstellungen!$B$3,Einstellungen!$B$4)</f>
        <v>29.13</v>
      </c>
      <c r="E7493" s="14" t="str">
        <f aca="false">IF(C7493="","",C7493*D7493/100)</f>
        <v/>
      </c>
      <c r="F7493" s="15" t="str">
        <f aca="false">IF(B7493&lt;5,"Go","Standard")</f>
        <v>Standard</v>
      </c>
    </row>
    <row r="7494" customFormat="false" ht="15" hidden="false" customHeight="true" outlineLevel="0" collapsed="false">
      <c r="A7494" s="10" t="n">
        <f aca="false">Einstellungen!$B$5+INT((ROW()-9)/24)</f>
        <v>46277</v>
      </c>
      <c r="B7494" s="11" t="n">
        <f aca="false">MOD(ROW()-9,24)</f>
        <v>21</v>
      </c>
      <c r="C7494" s="12"/>
      <c r="D7494" s="13" t="n">
        <f aca="false">IF(B7494&lt;5,Einstellungen!$B$3,Einstellungen!$B$4)</f>
        <v>29.13</v>
      </c>
      <c r="E7494" s="14" t="str">
        <f aca="false">IF(C7494="","",C7494*D7494/100)</f>
        <v/>
      </c>
      <c r="F7494" s="15" t="str">
        <f aca="false">IF(B7494&lt;5,"Go","Standard")</f>
        <v>Standard</v>
      </c>
    </row>
    <row r="7495" customFormat="false" ht="15" hidden="false" customHeight="true" outlineLevel="0" collapsed="false">
      <c r="A7495" s="10" t="n">
        <f aca="false">Einstellungen!$B$5+INT((ROW()-9)/24)</f>
        <v>46277</v>
      </c>
      <c r="B7495" s="11" t="n">
        <f aca="false">MOD(ROW()-9,24)</f>
        <v>22</v>
      </c>
      <c r="C7495" s="12"/>
      <c r="D7495" s="13" t="n">
        <f aca="false">IF(B7495&lt;5,Einstellungen!$B$3,Einstellungen!$B$4)</f>
        <v>29.13</v>
      </c>
      <c r="E7495" s="14" t="str">
        <f aca="false">IF(C7495="","",C7495*D7495/100)</f>
        <v/>
      </c>
      <c r="F7495" s="15" t="str">
        <f aca="false">IF(B7495&lt;5,"Go","Standard")</f>
        <v>Standard</v>
      </c>
    </row>
    <row r="7496" customFormat="false" ht="15" hidden="false" customHeight="true" outlineLevel="0" collapsed="false">
      <c r="A7496" s="10" t="n">
        <f aca="false">Einstellungen!$B$5+INT((ROW()-9)/24)</f>
        <v>46277</v>
      </c>
      <c r="B7496" s="11" t="n">
        <f aca="false">MOD(ROW()-9,24)</f>
        <v>23</v>
      </c>
      <c r="C7496" s="12"/>
      <c r="D7496" s="13" t="n">
        <f aca="false">IF(B7496&lt;5,Einstellungen!$B$3,Einstellungen!$B$4)</f>
        <v>29.13</v>
      </c>
      <c r="E7496" s="14" t="str">
        <f aca="false">IF(C7496="","",C7496*D7496/100)</f>
        <v/>
      </c>
      <c r="F7496" s="15" t="str">
        <f aca="false">IF(B7496&lt;5,"Go","Standard")</f>
        <v>Standard</v>
      </c>
    </row>
    <row r="7497" customFormat="false" ht="15" hidden="false" customHeight="true" outlineLevel="0" collapsed="false">
      <c r="A7497" s="10" t="n">
        <f aca="false">Einstellungen!$B$5+INT((ROW()-9)/24)</f>
        <v>46278</v>
      </c>
      <c r="B7497" s="11" t="n">
        <f aca="false">MOD(ROW()-9,24)</f>
        <v>0</v>
      </c>
      <c r="C7497" s="12"/>
      <c r="D7497" s="13" t="n">
        <f aca="false">IF(B7497&lt;5,Einstellungen!$B$3,Einstellungen!$B$4)</f>
        <v>15.92</v>
      </c>
      <c r="E7497" s="14" t="str">
        <f aca="false">IF(C7497="","",C7497*D7497/100)</f>
        <v/>
      </c>
      <c r="F7497" s="15" t="str">
        <f aca="false">IF(B7497&lt;5,"Go","Standard")</f>
        <v>Go</v>
      </c>
    </row>
    <row r="7498" customFormat="false" ht="15" hidden="false" customHeight="true" outlineLevel="0" collapsed="false">
      <c r="A7498" s="10" t="n">
        <f aca="false">Einstellungen!$B$5+INT((ROW()-9)/24)</f>
        <v>46278</v>
      </c>
      <c r="B7498" s="11" t="n">
        <f aca="false">MOD(ROW()-9,24)</f>
        <v>1</v>
      </c>
      <c r="C7498" s="12"/>
      <c r="D7498" s="13" t="n">
        <f aca="false">IF(B7498&lt;5,Einstellungen!$B$3,Einstellungen!$B$4)</f>
        <v>15.92</v>
      </c>
      <c r="E7498" s="14" t="str">
        <f aca="false">IF(C7498="","",C7498*D7498/100)</f>
        <v/>
      </c>
      <c r="F7498" s="15" t="str">
        <f aca="false">IF(B7498&lt;5,"Go","Standard")</f>
        <v>Go</v>
      </c>
    </row>
    <row r="7499" customFormat="false" ht="15" hidden="false" customHeight="true" outlineLevel="0" collapsed="false">
      <c r="A7499" s="10" t="n">
        <f aca="false">Einstellungen!$B$5+INT((ROW()-9)/24)</f>
        <v>46278</v>
      </c>
      <c r="B7499" s="11" t="n">
        <f aca="false">MOD(ROW()-9,24)</f>
        <v>2</v>
      </c>
      <c r="C7499" s="12"/>
      <c r="D7499" s="13" t="n">
        <f aca="false">IF(B7499&lt;5,Einstellungen!$B$3,Einstellungen!$B$4)</f>
        <v>15.92</v>
      </c>
      <c r="E7499" s="14" t="str">
        <f aca="false">IF(C7499="","",C7499*D7499/100)</f>
        <v/>
      </c>
      <c r="F7499" s="15" t="str">
        <f aca="false">IF(B7499&lt;5,"Go","Standard")</f>
        <v>Go</v>
      </c>
    </row>
    <row r="7500" customFormat="false" ht="15" hidden="false" customHeight="true" outlineLevel="0" collapsed="false">
      <c r="A7500" s="10" t="n">
        <f aca="false">Einstellungen!$B$5+INT((ROW()-9)/24)</f>
        <v>46278</v>
      </c>
      <c r="B7500" s="11" t="n">
        <f aca="false">MOD(ROW()-9,24)</f>
        <v>3</v>
      </c>
      <c r="C7500" s="12"/>
      <c r="D7500" s="13" t="n">
        <f aca="false">IF(B7500&lt;5,Einstellungen!$B$3,Einstellungen!$B$4)</f>
        <v>15.92</v>
      </c>
      <c r="E7500" s="14" t="str">
        <f aca="false">IF(C7500="","",C7500*D7500/100)</f>
        <v/>
      </c>
      <c r="F7500" s="15" t="str">
        <f aca="false">IF(B7500&lt;5,"Go","Standard")</f>
        <v>Go</v>
      </c>
    </row>
    <row r="7501" customFormat="false" ht="15" hidden="false" customHeight="true" outlineLevel="0" collapsed="false">
      <c r="A7501" s="10" t="n">
        <f aca="false">Einstellungen!$B$5+INT((ROW()-9)/24)</f>
        <v>46278</v>
      </c>
      <c r="B7501" s="11" t="n">
        <f aca="false">MOD(ROW()-9,24)</f>
        <v>4</v>
      </c>
      <c r="C7501" s="12"/>
      <c r="D7501" s="13" t="n">
        <f aca="false">IF(B7501&lt;5,Einstellungen!$B$3,Einstellungen!$B$4)</f>
        <v>15.92</v>
      </c>
      <c r="E7501" s="14" t="str">
        <f aca="false">IF(C7501="","",C7501*D7501/100)</f>
        <v/>
      </c>
      <c r="F7501" s="15" t="str">
        <f aca="false">IF(B7501&lt;5,"Go","Standard")</f>
        <v>Go</v>
      </c>
    </row>
    <row r="7502" customFormat="false" ht="15" hidden="false" customHeight="true" outlineLevel="0" collapsed="false">
      <c r="A7502" s="10" t="n">
        <f aca="false">Einstellungen!$B$5+INT((ROW()-9)/24)</f>
        <v>46278</v>
      </c>
      <c r="B7502" s="11" t="n">
        <f aca="false">MOD(ROW()-9,24)</f>
        <v>5</v>
      </c>
      <c r="C7502" s="12"/>
      <c r="D7502" s="13" t="n">
        <f aca="false">IF(B7502&lt;5,Einstellungen!$B$3,Einstellungen!$B$4)</f>
        <v>29.13</v>
      </c>
      <c r="E7502" s="14" t="str">
        <f aca="false">IF(C7502="","",C7502*D7502/100)</f>
        <v/>
      </c>
      <c r="F7502" s="15" t="str">
        <f aca="false">IF(B7502&lt;5,"Go","Standard")</f>
        <v>Standard</v>
      </c>
    </row>
    <row r="7503" customFormat="false" ht="15" hidden="false" customHeight="true" outlineLevel="0" collapsed="false">
      <c r="A7503" s="10" t="n">
        <f aca="false">Einstellungen!$B$5+INT((ROW()-9)/24)</f>
        <v>46278</v>
      </c>
      <c r="B7503" s="11" t="n">
        <f aca="false">MOD(ROW()-9,24)</f>
        <v>6</v>
      </c>
      <c r="C7503" s="12"/>
      <c r="D7503" s="13" t="n">
        <f aca="false">IF(B7503&lt;5,Einstellungen!$B$3,Einstellungen!$B$4)</f>
        <v>29.13</v>
      </c>
      <c r="E7503" s="14" t="str">
        <f aca="false">IF(C7503="","",C7503*D7503/100)</f>
        <v/>
      </c>
      <c r="F7503" s="15" t="str">
        <f aca="false">IF(B7503&lt;5,"Go","Standard")</f>
        <v>Standard</v>
      </c>
    </row>
    <row r="7504" customFormat="false" ht="15" hidden="false" customHeight="true" outlineLevel="0" collapsed="false">
      <c r="A7504" s="10" t="n">
        <f aca="false">Einstellungen!$B$5+INT((ROW()-9)/24)</f>
        <v>46278</v>
      </c>
      <c r="B7504" s="11" t="n">
        <f aca="false">MOD(ROW()-9,24)</f>
        <v>7</v>
      </c>
      <c r="C7504" s="12"/>
      <c r="D7504" s="13" t="n">
        <f aca="false">IF(B7504&lt;5,Einstellungen!$B$3,Einstellungen!$B$4)</f>
        <v>29.13</v>
      </c>
      <c r="E7504" s="14" t="str">
        <f aca="false">IF(C7504="","",C7504*D7504/100)</f>
        <v/>
      </c>
      <c r="F7504" s="15" t="str">
        <f aca="false">IF(B7504&lt;5,"Go","Standard")</f>
        <v>Standard</v>
      </c>
    </row>
    <row r="7505" customFormat="false" ht="15" hidden="false" customHeight="true" outlineLevel="0" collapsed="false">
      <c r="A7505" s="10" t="n">
        <f aca="false">Einstellungen!$B$5+INT((ROW()-9)/24)</f>
        <v>46278</v>
      </c>
      <c r="B7505" s="11" t="n">
        <f aca="false">MOD(ROW()-9,24)</f>
        <v>8</v>
      </c>
      <c r="C7505" s="12"/>
      <c r="D7505" s="13" t="n">
        <f aca="false">IF(B7505&lt;5,Einstellungen!$B$3,Einstellungen!$B$4)</f>
        <v>29.13</v>
      </c>
      <c r="E7505" s="14" t="str">
        <f aca="false">IF(C7505="","",C7505*D7505/100)</f>
        <v/>
      </c>
      <c r="F7505" s="15" t="str">
        <f aca="false">IF(B7505&lt;5,"Go","Standard")</f>
        <v>Standard</v>
      </c>
    </row>
    <row r="7506" customFormat="false" ht="15" hidden="false" customHeight="true" outlineLevel="0" collapsed="false">
      <c r="A7506" s="10" t="n">
        <f aca="false">Einstellungen!$B$5+INT((ROW()-9)/24)</f>
        <v>46278</v>
      </c>
      <c r="B7506" s="11" t="n">
        <f aca="false">MOD(ROW()-9,24)</f>
        <v>9</v>
      </c>
      <c r="C7506" s="12"/>
      <c r="D7506" s="13" t="n">
        <f aca="false">IF(B7506&lt;5,Einstellungen!$B$3,Einstellungen!$B$4)</f>
        <v>29.13</v>
      </c>
      <c r="E7506" s="14" t="str">
        <f aca="false">IF(C7506="","",C7506*D7506/100)</f>
        <v/>
      </c>
      <c r="F7506" s="15" t="str">
        <f aca="false">IF(B7506&lt;5,"Go","Standard")</f>
        <v>Standard</v>
      </c>
    </row>
    <row r="7507" customFormat="false" ht="15" hidden="false" customHeight="true" outlineLevel="0" collapsed="false">
      <c r="A7507" s="10" t="n">
        <f aca="false">Einstellungen!$B$5+INT((ROW()-9)/24)</f>
        <v>46278</v>
      </c>
      <c r="B7507" s="11" t="n">
        <f aca="false">MOD(ROW()-9,24)</f>
        <v>10</v>
      </c>
      <c r="C7507" s="12"/>
      <c r="D7507" s="13" t="n">
        <f aca="false">IF(B7507&lt;5,Einstellungen!$B$3,Einstellungen!$B$4)</f>
        <v>29.13</v>
      </c>
      <c r="E7507" s="14" t="str">
        <f aca="false">IF(C7507="","",C7507*D7507/100)</f>
        <v/>
      </c>
      <c r="F7507" s="15" t="str">
        <f aca="false">IF(B7507&lt;5,"Go","Standard")</f>
        <v>Standard</v>
      </c>
    </row>
    <row r="7508" customFormat="false" ht="15" hidden="false" customHeight="true" outlineLevel="0" collapsed="false">
      <c r="A7508" s="10" t="n">
        <f aca="false">Einstellungen!$B$5+INT((ROW()-9)/24)</f>
        <v>46278</v>
      </c>
      <c r="B7508" s="11" t="n">
        <f aca="false">MOD(ROW()-9,24)</f>
        <v>11</v>
      </c>
      <c r="C7508" s="12"/>
      <c r="D7508" s="13" t="n">
        <f aca="false">IF(B7508&lt;5,Einstellungen!$B$3,Einstellungen!$B$4)</f>
        <v>29.13</v>
      </c>
      <c r="E7508" s="14" t="str">
        <f aca="false">IF(C7508="","",C7508*D7508/100)</f>
        <v/>
      </c>
      <c r="F7508" s="15" t="str">
        <f aca="false">IF(B7508&lt;5,"Go","Standard")</f>
        <v>Standard</v>
      </c>
    </row>
    <row r="7509" customFormat="false" ht="15" hidden="false" customHeight="true" outlineLevel="0" collapsed="false">
      <c r="A7509" s="10" t="n">
        <f aca="false">Einstellungen!$B$5+INT((ROW()-9)/24)</f>
        <v>46278</v>
      </c>
      <c r="B7509" s="11" t="n">
        <f aca="false">MOD(ROW()-9,24)</f>
        <v>12</v>
      </c>
      <c r="C7509" s="12"/>
      <c r="D7509" s="13" t="n">
        <f aca="false">IF(B7509&lt;5,Einstellungen!$B$3,Einstellungen!$B$4)</f>
        <v>29.13</v>
      </c>
      <c r="E7509" s="14" t="str">
        <f aca="false">IF(C7509="","",C7509*D7509/100)</f>
        <v/>
      </c>
      <c r="F7509" s="15" t="str">
        <f aca="false">IF(B7509&lt;5,"Go","Standard")</f>
        <v>Standard</v>
      </c>
    </row>
    <row r="7510" customFormat="false" ht="15" hidden="false" customHeight="true" outlineLevel="0" collapsed="false">
      <c r="A7510" s="10" t="n">
        <f aca="false">Einstellungen!$B$5+INT((ROW()-9)/24)</f>
        <v>46278</v>
      </c>
      <c r="B7510" s="11" t="n">
        <f aca="false">MOD(ROW()-9,24)</f>
        <v>13</v>
      </c>
      <c r="C7510" s="12"/>
      <c r="D7510" s="13" t="n">
        <f aca="false">IF(B7510&lt;5,Einstellungen!$B$3,Einstellungen!$B$4)</f>
        <v>29.13</v>
      </c>
      <c r="E7510" s="14" t="str">
        <f aca="false">IF(C7510="","",C7510*D7510/100)</f>
        <v/>
      </c>
      <c r="F7510" s="15" t="str">
        <f aca="false">IF(B7510&lt;5,"Go","Standard")</f>
        <v>Standard</v>
      </c>
    </row>
    <row r="7511" customFormat="false" ht="15" hidden="false" customHeight="true" outlineLevel="0" collapsed="false">
      <c r="A7511" s="10" t="n">
        <f aca="false">Einstellungen!$B$5+INT((ROW()-9)/24)</f>
        <v>46278</v>
      </c>
      <c r="B7511" s="11" t="n">
        <f aca="false">MOD(ROW()-9,24)</f>
        <v>14</v>
      </c>
      <c r="C7511" s="12"/>
      <c r="D7511" s="13" t="n">
        <f aca="false">IF(B7511&lt;5,Einstellungen!$B$3,Einstellungen!$B$4)</f>
        <v>29.13</v>
      </c>
      <c r="E7511" s="14" t="str">
        <f aca="false">IF(C7511="","",C7511*D7511/100)</f>
        <v/>
      </c>
      <c r="F7511" s="15" t="str">
        <f aca="false">IF(B7511&lt;5,"Go","Standard")</f>
        <v>Standard</v>
      </c>
    </row>
    <row r="7512" customFormat="false" ht="15" hidden="false" customHeight="true" outlineLevel="0" collapsed="false">
      <c r="A7512" s="10" t="n">
        <f aca="false">Einstellungen!$B$5+INT((ROW()-9)/24)</f>
        <v>46278</v>
      </c>
      <c r="B7512" s="11" t="n">
        <f aca="false">MOD(ROW()-9,24)</f>
        <v>15</v>
      </c>
      <c r="C7512" s="12"/>
      <c r="D7512" s="13" t="n">
        <f aca="false">IF(B7512&lt;5,Einstellungen!$B$3,Einstellungen!$B$4)</f>
        <v>29.13</v>
      </c>
      <c r="E7512" s="14" t="str">
        <f aca="false">IF(C7512="","",C7512*D7512/100)</f>
        <v/>
      </c>
      <c r="F7512" s="15" t="str">
        <f aca="false">IF(B7512&lt;5,"Go","Standard")</f>
        <v>Standard</v>
      </c>
    </row>
    <row r="7513" customFormat="false" ht="15" hidden="false" customHeight="true" outlineLevel="0" collapsed="false">
      <c r="A7513" s="10" t="n">
        <f aca="false">Einstellungen!$B$5+INT((ROW()-9)/24)</f>
        <v>46278</v>
      </c>
      <c r="B7513" s="11" t="n">
        <f aca="false">MOD(ROW()-9,24)</f>
        <v>16</v>
      </c>
      <c r="C7513" s="12"/>
      <c r="D7513" s="13" t="n">
        <f aca="false">IF(B7513&lt;5,Einstellungen!$B$3,Einstellungen!$B$4)</f>
        <v>29.13</v>
      </c>
      <c r="E7513" s="14" t="str">
        <f aca="false">IF(C7513="","",C7513*D7513/100)</f>
        <v/>
      </c>
      <c r="F7513" s="15" t="str">
        <f aca="false">IF(B7513&lt;5,"Go","Standard")</f>
        <v>Standard</v>
      </c>
    </row>
    <row r="7514" customFormat="false" ht="15" hidden="false" customHeight="true" outlineLevel="0" collapsed="false">
      <c r="A7514" s="10" t="n">
        <f aca="false">Einstellungen!$B$5+INT((ROW()-9)/24)</f>
        <v>46278</v>
      </c>
      <c r="B7514" s="11" t="n">
        <f aca="false">MOD(ROW()-9,24)</f>
        <v>17</v>
      </c>
      <c r="C7514" s="12"/>
      <c r="D7514" s="13" t="n">
        <f aca="false">IF(B7514&lt;5,Einstellungen!$B$3,Einstellungen!$B$4)</f>
        <v>29.13</v>
      </c>
      <c r="E7514" s="14" t="str">
        <f aca="false">IF(C7514="","",C7514*D7514/100)</f>
        <v/>
      </c>
      <c r="F7514" s="15" t="str">
        <f aca="false">IF(B7514&lt;5,"Go","Standard")</f>
        <v>Standard</v>
      </c>
    </row>
    <row r="7515" customFormat="false" ht="15" hidden="false" customHeight="true" outlineLevel="0" collapsed="false">
      <c r="A7515" s="10" t="n">
        <f aca="false">Einstellungen!$B$5+INT((ROW()-9)/24)</f>
        <v>46278</v>
      </c>
      <c r="B7515" s="11" t="n">
        <f aca="false">MOD(ROW()-9,24)</f>
        <v>18</v>
      </c>
      <c r="C7515" s="12"/>
      <c r="D7515" s="13" t="n">
        <f aca="false">IF(B7515&lt;5,Einstellungen!$B$3,Einstellungen!$B$4)</f>
        <v>29.13</v>
      </c>
      <c r="E7515" s="14" t="str">
        <f aca="false">IF(C7515="","",C7515*D7515/100)</f>
        <v/>
      </c>
      <c r="F7515" s="15" t="str">
        <f aca="false">IF(B7515&lt;5,"Go","Standard")</f>
        <v>Standard</v>
      </c>
    </row>
    <row r="7516" customFormat="false" ht="15" hidden="false" customHeight="true" outlineLevel="0" collapsed="false">
      <c r="A7516" s="10" t="n">
        <f aca="false">Einstellungen!$B$5+INT((ROW()-9)/24)</f>
        <v>46278</v>
      </c>
      <c r="B7516" s="11" t="n">
        <f aca="false">MOD(ROW()-9,24)</f>
        <v>19</v>
      </c>
      <c r="C7516" s="12"/>
      <c r="D7516" s="13" t="n">
        <f aca="false">IF(B7516&lt;5,Einstellungen!$B$3,Einstellungen!$B$4)</f>
        <v>29.13</v>
      </c>
      <c r="E7516" s="14" t="str">
        <f aca="false">IF(C7516="","",C7516*D7516/100)</f>
        <v/>
      </c>
      <c r="F7516" s="15" t="str">
        <f aca="false">IF(B7516&lt;5,"Go","Standard")</f>
        <v>Standard</v>
      </c>
    </row>
    <row r="7517" customFormat="false" ht="15" hidden="false" customHeight="true" outlineLevel="0" collapsed="false">
      <c r="A7517" s="10" t="n">
        <f aca="false">Einstellungen!$B$5+INT((ROW()-9)/24)</f>
        <v>46278</v>
      </c>
      <c r="B7517" s="11" t="n">
        <f aca="false">MOD(ROW()-9,24)</f>
        <v>20</v>
      </c>
      <c r="C7517" s="12"/>
      <c r="D7517" s="13" t="n">
        <f aca="false">IF(B7517&lt;5,Einstellungen!$B$3,Einstellungen!$B$4)</f>
        <v>29.13</v>
      </c>
      <c r="E7517" s="14" t="str">
        <f aca="false">IF(C7517="","",C7517*D7517/100)</f>
        <v/>
      </c>
      <c r="F7517" s="15" t="str">
        <f aca="false">IF(B7517&lt;5,"Go","Standard")</f>
        <v>Standard</v>
      </c>
    </row>
    <row r="7518" customFormat="false" ht="15" hidden="false" customHeight="true" outlineLevel="0" collapsed="false">
      <c r="A7518" s="10" t="n">
        <f aca="false">Einstellungen!$B$5+INT((ROW()-9)/24)</f>
        <v>46278</v>
      </c>
      <c r="B7518" s="11" t="n">
        <f aca="false">MOD(ROW()-9,24)</f>
        <v>21</v>
      </c>
      <c r="C7518" s="12"/>
      <c r="D7518" s="13" t="n">
        <f aca="false">IF(B7518&lt;5,Einstellungen!$B$3,Einstellungen!$B$4)</f>
        <v>29.13</v>
      </c>
      <c r="E7518" s="14" t="str">
        <f aca="false">IF(C7518="","",C7518*D7518/100)</f>
        <v/>
      </c>
      <c r="F7518" s="15" t="str">
        <f aca="false">IF(B7518&lt;5,"Go","Standard")</f>
        <v>Standard</v>
      </c>
    </row>
    <row r="7519" customFormat="false" ht="15" hidden="false" customHeight="true" outlineLevel="0" collapsed="false">
      <c r="A7519" s="10" t="n">
        <f aca="false">Einstellungen!$B$5+INT((ROW()-9)/24)</f>
        <v>46278</v>
      </c>
      <c r="B7519" s="11" t="n">
        <f aca="false">MOD(ROW()-9,24)</f>
        <v>22</v>
      </c>
      <c r="C7519" s="12"/>
      <c r="D7519" s="13" t="n">
        <f aca="false">IF(B7519&lt;5,Einstellungen!$B$3,Einstellungen!$B$4)</f>
        <v>29.13</v>
      </c>
      <c r="E7519" s="14" t="str">
        <f aca="false">IF(C7519="","",C7519*D7519/100)</f>
        <v/>
      </c>
      <c r="F7519" s="15" t="str">
        <f aca="false">IF(B7519&lt;5,"Go","Standard")</f>
        <v>Standard</v>
      </c>
    </row>
    <row r="7520" customFormat="false" ht="15" hidden="false" customHeight="true" outlineLevel="0" collapsed="false">
      <c r="A7520" s="10" t="n">
        <f aca="false">Einstellungen!$B$5+INT((ROW()-9)/24)</f>
        <v>46278</v>
      </c>
      <c r="B7520" s="11" t="n">
        <f aca="false">MOD(ROW()-9,24)</f>
        <v>23</v>
      </c>
      <c r="C7520" s="12"/>
      <c r="D7520" s="13" t="n">
        <f aca="false">IF(B7520&lt;5,Einstellungen!$B$3,Einstellungen!$B$4)</f>
        <v>29.13</v>
      </c>
      <c r="E7520" s="14" t="str">
        <f aca="false">IF(C7520="","",C7520*D7520/100)</f>
        <v/>
      </c>
      <c r="F7520" s="15" t="str">
        <f aca="false">IF(B7520&lt;5,"Go","Standard")</f>
        <v>Standard</v>
      </c>
    </row>
    <row r="7521" customFormat="false" ht="15" hidden="false" customHeight="true" outlineLevel="0" collapsed="false">
      <c r="A7521" s="10" t="n">
        <f aca="false">Einstellungen!$B$5+INT((ROW()-9)/24)</f>
        <v>46279</v>
      </c>
      <c r="B7521" s="11" t="n">
        <f aca="false">MOD(ROW()-9,24)</f>
        <v>0</v>
      </c>
      <c r="C7521" s="12"/>
      <c r="D7521" s="13" t="n">
        <f aca="false">IF(B7521&lt;5,Einstellungen!$B$3,Einstellungen!$B$4)</f>
        <v>15.92</v>
      </c>
      <c r="E7521" s="14" t="str">
        <f aca="false">IF(C7521="","",C7521*D7521/100)</f>
        <v/>
      </c>
      <c r="F7521" s="15" t="str">
        <f aca="false">IF(B7521&lt;5,"Go","Standard")</f>
        <v>Go</v>
      </c>
    </row>
    <row r="7522" customFormat="false" ht="15" hidden="false" customHeight="true" outlineLevel="0" collapsed="false">
      <c r="A7522" s="10" t="n">
        <f aca="false">Einstellungen!$B$5+INT((ROW()-9)/24)</f>
        <v>46279</v>
      </c>
      <c r="B7522" s="11" t="n">
        <f aca="false">MOD(ROW()-9,24)</f>
        <v>1</v>
      </c>
      <c r="C7522" s="12"/>
      <c r="D7522" s="13" t="n">
        <f aca="false">IF(B7522&lt;5,Einstellungen!$B$3,Einstellungen!$B$4)</f>
        <v>15.92</v>
      </c>
      <c r="E7522" s="14" t="str">
        <f aca="false">IF(C7522="","",C7522*D7522/100)</f>
        <v/>
      </c>
      <c r="F7522" s="15" t="str">
        <f aca="false">IF(B7522&lt;5,"Go","Standard")</f>
        <v>Go</v>
      </c>
    </row>
    <row r="7523" customFormat="false" ht="15" hidden="false" customHeight="true" outlineLevel="0" collapsed="false">
      <c r="A7523" s="10" t="n">
        <f aca="false">Einstellungen!$B$5+INT((ROW()-9)/24)</f>
        <v>46279</v>
      </c>
      <c r="B7523" s="11" t="n">
        <f aca="false">MOD(ROW()-9,24)</f>
        <v>2</v>
      </c>
      <c r="C7523" s="12"/>
      <c r="D7523" s="13" t="n">
        <f aca="false">IF(B7523&lt;5,Einstellungen!$B$3,Einstellungen!$B$4)</f>
        <v>15.92</v>
      </c>
      <c r="E7523" s="14" t="str">
        <f aca="false">IF(C7523="","",C7523*D7523/100)</f>
        <v/>
      </c>
      <c r="F7523" s="15" t="str">
        <f aca="false">IF(B7523&lt;5,"Go","Standard")</f>
        <v>Go</v>
      </c>
    </row>
    <row r="7524" customFormat="false" ht="15" hidden="false" customHeight="true" outlineLevel="0" collapsed="false">
      <c r="A7524" s="10" t="n">
        <f aca="false">Einstellungen!$B$5+INT((ROW()-9)/24)</f>
        <v>46279</v>
      </c>
      <c r="B7524" s="11" t="n">
        <f aca="false">MOD(ROW()-9,24)</f>
        <v>3</v>
      </c>
      <c r="C7524" s="12"/>
      <c r="D7524" s="13" t="n">
        <f aca="false">IF(B7524&lt;5,Einstellungen!$B$3,Einstellungen!$B$4)</f>
        <v>15.92</v>
      </c>
      <c r="E7524" s="14" t="str">
        <f aca="false">IF(C7524="","",C7524*D7524/100)</f>
        <v/>
      </c>
      <c r="F7524" s="15" t="str">
        <f aca="false">IF(B7524&lt;5,"Go","Standard")</f>
        <v>Go</v>
      </c>
    </row>
    <row r="7525" customFormat="false" ht="15" hidden="false" customHeight="true" outlineLevel="0" collapsed="false">
      <c r="A7525" s="10" t="n">
        <f aca="false">Einstellungen!$B$5+INT((ROW()-9)/24)</f>
        <v>46279</v>
      </c>
      <c r="B7525" s="11" t="n">
        <f aca="false">MOD(ROW()-9,24)</f>
        <v>4</v>
      </c>
      <c r="C7525" s="12"/>
      <c r="D7525" s="13" t="n">
        <f aca="false">IF(B7525&lt;5,Einstellungen!$B$3,Einstellungen!$B$4)</f>
        <v>15.92</v>
      </c>
      <c r="E7525" s="14" t="str">
        <f aca="false">IF(C7525="","",C7525*D7525/100)</f>
        <v/>
      </c>
      <c r="F7525" s="15" t="str">
        <f aca="false">IF(B7525&lt;5,"Go","Standard")</f>
        <v>Go</v>
      </c>
    </row>
    <row r="7526" customFormat="false" ht="15" hidden="false" customHeight="true" outlineLevel="0" collapsed="false">
      <c r="A7526" s="10" t="n">
        <f aca="false">Einstellungen!$B$5+INT((ROW()-9)/24)</f>
        <v>46279</v>
      </c>
      <c r="B7526" s="11" t="n">
        <f aca="false">MOD(ROW()-9,24)</f>
        <v>5</v>
      </c>
      <c r="C7526" s="12"/>
      <c r="D7526" s="13" t="n">
        <f aca="false">IF(B7526&lt;5,Einstellungen!$B$3,Einstellungen!$B$4)</f>
        <v>29.13</v>
      </c>
      <c r="E7526" s="14" t="str">
        <f aca="false">IF(C7526="","",C7526*D7526/100)</f>
        <v/>
      </c>
      <c r="F7526" s="15" t="str">
        <f aca="false">IF(B7526&lt;5,"Go","Standard")</f>
        <v>Standard</v>
      </c>
    </row>
    <row r="7527" customFormat="false" ht="15" hidden="false" customHeight="true" outlineLevel="0" collapsed="false">
      <c r="A7527" s="10" t="n">
        <f aca="false">Einstellungen!$B$5+INT((ROW()-9)/24)</f>
        <v>46279</v>
      </c>
      <c r="B7527" s="11" t="n">
        <f aca="false">MOD(ROW()-9,24)</f>
        <v>6</v>
      </c>
      <c r="C7527" s="12"/>
      <c r="D7527" s="13" t="n">
        <f aca="false">IF(B7527&lt;5,Einstellungen!$B$3,Einstellungen!$B$4)</f>
        <v>29.13</v>
      </c>
      <c r="E7527" s="14" t="str">
        <f aca="false">IF(C7527="","",C7527*D7527/100)</f>
        <v/>
      </c>
      <c r="F7527" s="15" t="str">
        <f aca="false">IF(B7527&lt;5,"Go","Standard")</f>
        <v>Standard</v>
      </c>
    </row>
    <row r="7528" customFormat="false" ht="15" hidden="false" customHeight="true" outlineLevel="0" collapsed="false">
      <c r="A7528" s="10" t="n">
        <f aca="false">Einstellungen!$B$5+INT((ROW()-9)/24)</f>
        <v>46279</v>
      </c>
      <c r="B7528" s="11" t="n">
        <f aca="false">MOD(ROW()-9,24)</f>
        <v>7</v>
      </c>
      <c r="C7528" s="12"/>
      <c r="D7528" s="13" t="n">
        <f aca="false">IF(B7528&lt;5,Einstellungen!$B$3,Einstellungen!$B$4)</f>
        <v>29.13</v>
      </c>
      <c r="E7528" s="14" t="str">
        <f aca="false">IF(C7528="","",C7528*D7528/100)</f>
        <v/>
      </c>
      <c r="F7528" s="15" t="str">
        <f aca="false">IF(B7528&lt;5,"Go","Standard")</f>
        <v>Standard</v>
      </c>
    </row>
    <row r="7529" customFormat="false" ht="15" hidden="false" customHeight="true" outlineLevel="0" collapsed="false">
      <c r="A7529" s="10" t="n">
        <f aca="false">Einstellungen!$B$5+INT((ROW()-9)/24)</f>
        <v>46279</v>
      </c>
      <c r="B7529" s="11" t="n">
        <f aca="false">MOD(ROW()-9,24)</f>
        <v>8</v>
      </c>
      <c r="C7529" s="12"/>
      <c r="D7529" s="13" t="n">
        <f aca="false">IF(B7529&lt;5,Einstellungen!$B$3,Einstellungen!$B$4)</f>
        <v>29.13</v>
      </c>
      <c r="E7529" s="14" t="str">
        <f aca="false">IF(C7529="","",C7529*D7529/100)</f>
        <v/>
      </c>
      <c r="F7529" s="15" t="str">
        <f aca="false">IF(B7529&lt;5,"Go","Standard")</f>
        <v>Standard</v>
      </c>
    </row>
    <row r="7530" customFormat="false" ht="15" hidden="false" customHeight="true" outlineLevel="0" collapsed="false">
      <c r="A7530" s="10" t="n">
        <f aca="false">Einstellungen!$B$5+INT((ROW()-9)/24)</f>
        <v>46279</v>
      </c>
      <c r="B7530" s="11" t="n">
        <f aca="false">MOD(ROW()-9,24)</f>
        <v>9</v>
      </c>
      <c r="C7530" s="12"/>
      <c r="D7530" s="13" t="n">
        <f aca="false">IF(B7530&lt;5,Einstellungen!$B$3,Einstellungen!$B$4)</f>
        <v>29.13</v>
      </c>
      <c r="E7530" s="14" t="str">
        <f aca="false">IF(C7530="","",C7530*D7530/100)</f>
        <v/>
      </c>
      <c r="F7530" s="15" t="str">
        <f aca="false">IF(B7530&lt;5,"Go","Standard")</f>
        <v>Standard</v>
      </c>
    </row>
    <row r="7531" customFormat="false" ht="15" hidden="false" customHeight="true" outlineLevel="0" collapsed="false">
      <c r="A7531" s="10" t="n">
        <f aca="false">Einstellungen!$B$5+INT((ROW()-9)/24)</f>
        <v>46279</v>
      </c>
      <c r="B7531" s="11" t="n">
        <f aca="false">MOD(ROW()-9,24)</f>
        <v>10</v>
      </c>
      <c r="C7531" s="12"/>
      <c r="D7531" s="13" t="n">
        <f aca="false">IF(B7531&lt;5,Einstellungen!$B$3,Einstellungen!$B$4)</f>
        <v>29.13</v>
      </c>
      <c r="E7531" s="14" t="str">
        <f aca="false">IF(C7531="","",C7531*D7531/100)</f>
        <v/>
      </c>
      <c r="F7531" s="15" t="str">
        <f aca="false">IF(B7531&lt;5,"Go","Standard")</f>
        <v>Standard</v>
      </c>
    </row>
    <row r="7532" customFormat="false" ht="15" hidden="false" customHeight="true" outlineLevel="0" collapsed="false">
      <c r="A7532" s="10" t="n">
        <f aca="false">Einstellungen!$B$5+INT((ROW()-9)/24)</f>
        <v>46279</v>
      </c>
      <c r="B7532" s="11" t="n">
        <f aca="false">MOD(ROW()-9,24)</f>
        <v>11</v>
      </c>
      <c r="C7532" s="12"/>
      <c r="D7532" s="13" t="n">
        <f aca="false">IF(B7532&lt;5,Einstellungen!$B$3,Einstellungen!$B$4)</f>
        <v>29.13</v>
      </c>
      <c r="E7532" s="14" t="str">
        <f aca="false">IF(C7532="","",C7532*D7532/100)</f>
        <v/>
      </c>
      <c r="F7532" s="15" t="str">
        <f aca="false">IF(B7532&lt;5,"Go","Standard")</f>
        <v>Standard</v>
      </c>
    </row>
    <row r="7533" customFormat="false" ht="15" hidden="false" customHeight="true" outlineLevel="0" collapsed="false">
      <c r="A7533" s="10" t="n">
        <f aca="false">Einstellungen!$B$5+INT((ROW()-9)/24)</f>
        <v>46279</v>
      </c>
      <c r="B7533" s="11" t="n">
        <f aca="false">MOD(ROW()-9,24)</f>
        <v>12</v>
      </c>
      <c r="C7533" s="12"/>
      <c r="D7533" s="13" t="n">
        <f aca="false">IF(B7533&lt;5,Einstellungen!$B$3,Einstellungen!$B$4)</f>
        <v>29.13</v>
      </c>
      <c r="E7533" s="14" t="str">
        <f aca="false">IF(C7533="","",C7533*D7533/100)</f>
        <v/>
      </c>
      <c r="F7533" s="15" t="str">
        <f aca="false">IF(B7533&lt;5,"Go","Standard")</f>
        <v>Standard</v>
      </c>
    </row>
    <row r="7534" customFormat="false" ht="15" hidden="false" customHeight="true" outlineLevel="0" collapsed="false">
      <c r="A7534" s="10" t="n">
        <f aca="false">Einstellungen!$B$5+INT((ROW()-9)/24)</f>
        <v>46279</v>
      </c>
      <c r="B7534" s="11" t="n">
        <f aca="false">MOD(ROW()-9,24)</f>
        <v>13</v>
      </c>
      <c r="C7534" s="12"/>
      <c r="D7534" s="13" t="n">
        <f aca="false">IF(B7534&lt;5,Einstellungen!$B$3,Einstellungen!$B$4)</f>
        <v>29.13</v>
      </c>
      <c r="E7534" s="14" t="str">
        <f aca="false">IF(C7534="","",C7534*D7534/100)</f>
        <v/>
      </c>
      <c r="F7534" s="15" t="str">
        <f aca="false">IF(B7534&lt;5,"Go","Standard")</f>
        <v>Standard</v>
      </c>
    </row>
    <row r="7535" customFormat="false" ht="15" hidden="false" customHeight="true" outlineLevel="0" collapsed="false">
      <c r="A7535" s="10" t="n">
        <f aca="false">Einstellungen!$B$5+INT((ROW()-9)/24)</f>
        <v>46279</v>
      </c>
      <c r="B7535" s="11" t="n">
        <f aca="false">MOD(ROW()-9,24)</f>
        <v>14</v>
      </c>
      <c r="C7535" s="12"/>
      <c r="D7535" s="13" t="n">
        <f aca="false">IF(B7535&lt;5,Einstellungen!$B$3,Einstellungen!$B$4)</f>
        <v>29.13</v>
      </c>
      <c r="E7535" s="14" t="str">
        <f aca="false">IF(C7535="","",C7535*D7535/100)</f>
        <v/>
      </c>
      <c r="F7535" s="15" t="str">
        <f aca="false">IF(B7535&lt;5,"Go","Standard")</f>
        <v>Standard</v>
      </c>
    </row>
    <row r="7536" customFormat="false" ht="15" hidden="false" customHeight="true" outlineLevel="0" collapsed="false">
      <c r="A7536" s="10" t="n">
        <f aca="false">Einstellungen!$B$5+INT((ROW()-9)/24)</f>
        <v>46279</v>
      </c>
      <c r="B7536" s="11" t="n">
        <f aca="false">MOD(ROW()-9,24)</f>
        <v>15</v>
      </c>
      <c r="C7536" s="12"/>
      <c r="D7536" s="13" t="n">
        <f aca="false">IF(B7536&lt;5,Einstellungen!$B$3,Einstellungen!$B$4)</f>
        <v>29.13</v>
      </c>
      <c r="E7536" s="14" t="str">
        <f aca="false">IF(C7536="","",C7536*D7536/100)</f>
        <v/>
      </c>
      <c r="F7536" s="15" t="str">
        <f aca="false">IF(B7536&lt;5,"Go","Standard")</f>
        <v>Standard</v>
      </c>
    </row>
    <row r="7537" customFormat="false" ht="15" hidden="false" customHeight="true" outlineLevel="0" collapsed="false">
      <c r="A7537" s="10" t="n">
        <f aca="false">Einstellungen!$B$5+INT((ROW()-9)/24)</f>
        <v>46279</v>
      </c>
      <c r="B7537" s="11" t="n">
        <f aca="false">MOD(ROW()-9,24)</f>
        <v>16</v>
      </c>
      <c r="C7537" s="12"/>
      <c r="D7537" s="13" t="n">
        <f aca="false">IF(B7537&lt;5,Einstellungen!$B$3,Einstellungen!$B$4)</f>
        <v>29.13</v>
      </c>
      <c r="E7537" s="14" t="str">
        <f aca="false">IF(C7537="","",C7537*D7537/100)</f>
        <v/>
      </c>
      <c r="F7537" s="15" t="str">
        <f aca="false">IF(B7537&lt;5,"Go","Standard")</f>
        <v>Standard</v>
      </c>
    </row>
    <row r="7538" customFormat="false" ht="15" hidden="false" customHeight="true" outlineLevel="0" collapsed="false">
      <c r="A7538" s="10" t="n">
        <f aca="false">Einstellungen!$B$5+INT((ROW()-9)/24)</f>
        <v>46279</v>
      </c>
      <c r="B7538" s="11" t="n">
        <f aca="false">MOD(ROW()-9,24)</f>
        <v>17</v>
      </c>
      <c r="C7538" s="12"/>
      <c r="D7538" s="13" t="n">
        <f aca="false">IF(B7538&lt;5,Einstellungen!$B$3,Einstellungen!$B$4)</f>
        <v>29.13</v>
      </c>
      <c r="E7538" s="14" t="str">
        <f aca="false">IF(C7538="","",C7538*D7538/100)</f>
        <v/>
      </c>
      <c r="F7538" s="15" t="str">
        <f aca="false">IF(B7538&lt;5,"Go","Standard")</f>
        <v>Standard</v>
      </c>
    </row>
    <row r="7539" customFormat="false" ht="15" hidden="false" customHeight="true" outlineLevel="0" collapsed="false">
      <c r="A7539" s="10" t="n">
        <f aca="false">Einstellungen!$B$5+INT((ROW()-9)/24)</f>
        <v>46279</v>
      </c>
      <c r="B7539" s="11" t="n">
        <f aca="false">MOD(ROW()-9,24)</f>
        <v>18</v>
      </c>
      <c r="C7539" s="12"/>
      <c r="D7539" s="13" t="n">
        <f aca="false">IF(B7539&lt;5,Einstellungen!$B$3,Einstellungen!$B$4)</f>
        <v>29.13</v>
      </c>
      <c r="E7539" s="14" t="str">
        <f aca="false">IF(C7539="","",C7539*D7539/100)</f>
        <v/>
      </c>
      <c r="F7539" s="15" t="str">
        <f aca="false">IF(B7539&lt;5,"Go","Standard")</f>
        <v>Standard</v>
      </c>
    </row>
    <row r="7540" customFormat="false" ht="15" hidden="false" customHeight="true" outlineLevel="0" collapsed="false">
      <c r="A7540" s="10" t="n">
        <f aca="false">Einstellungen!$B$5+INT((ROW()-9)/24)</f>
        <v>46279</v>
      </c>
      <c r="B7540" s="11" t="n">
        <f aca="false">MOD(ROW()-9,24)</f>
        <v>19</v>
      </c>
      <c r="C7540" s="12"/>
      <c r="D7540" s="13" t="n">
        <f aca="false">IF(B7540&lt;5,Einstellungen!$B$3,Einstellungen!$B$4)</f>
        <v>29.13</v>
      </c>
      <c r="E7540" s="14" t="str">
        <f aca="false">IF(C7540="","",C7540*D7540/100)</f>
        <v/>
      </c>
      <c r="F7540" s="15" t="str">
        <f aca="false">IF(B7540&lt;5,"Go","Standard")</f>
        <v>Standard</v>
      </c>
    </row>
    <row r="7541" customFormat="false" ht="15" hidden="false" customHeight="true" outlineLevel="0" collapsed="false">
      <c r="A7541" s="10" t="n">
        <f aca="false">Einstellungen!$B$5+INT((ROW()-9)/24)</f>
        <v>46279</v>
      </c>
      <c r="B7541" s="11" t="n">
        <f aca="false">MOD(ROW()-9,24)</f>
        <v>20</v>
      </c>
      <c r="C7541" s="12"/>
      <c r="D7541" s="13" t="n">
        <f aca="false">IF(B7541&lt;5,Einstellungen!$B$3,Einstellungen!$B$4)</f>
        <v>29.13</v>
      </c>
      <c r="E7541" s="14" t="str">
        <f aca="false">IF(C7541="","",C7541*D7541/100)</f>
        <v/>
      </c>
      <c r="F7541" s="15" t="str">
        <f aca="false">IF(B7541&lt;5,"Go","Standard")</f>
        <v>Standard</v>
      </c>
    </row>
    <row r="7542" customFormat="false" ht="15" hidden="false" customHeight="true" outlineLevel="0" collapsed="false">
      <c r="A7542" s="10" t="n">
        <f aca="false">Einstellungen!$B$5+INT((ROW()-9)/24)</f>
        <v>46279</v>
      </c>
      <c r="B7542" s="11" t="n">
        <f aca="false">MOD(ROW()-9,24)</f>
        <v>21</v>
      </c>
      <c r="C7542" s="12"/>
      <c r="D7542" s="13" t="n">
        <f aca="false">IF(B7542&lt;5,Einstellungen!$B$3,Einstellungen!$B$4)</f>
        <v>29.13</v>
      </c>
      <c r="E7542" s="14" t="str">
        <f aca="false">IF(C7542="","",C7542*D7542/100)</f>
        <v/>
      </c>
      <c r="F7542" s="15" t="str">
        <f aca="false">IF(B7542&lt;5,"Go","Standard")</f>
        <v>Standard</v>
      </c>
    </row>
    <row r="7543" customFormat="false" ht="15" hidden="false" customHeight="true" outlineLevel="0" collapsed="false">
      <c r="A7543" s="10" t="n">
        <f aca="false">Einstellungen!$B$5+INT((ROW()-9)/24)</f>
        <v>46279</v>
      </c>
      <c r="B7543" s="11" t="n">
        <f aca="false">MOD(ROW()-9,24)</f>
        <v>22</v>
      </c>
      <c r="C7543" s="12"/>
      <c r="D7543" s="13" t="n">
        <f aca="false">IF(B7543&lt;5,Einstellungen!$B$3,Einstellungen!$B$4)</f>
        <v>29.13</v>
      </c>
      <c r="E7543" s="14" t="str">
        <f aca="false">IF(C7543="","",C7543*D7543/100)</f>
        <v/>
      </c>
      <c r="F7543" s="15" t="str">
        <f aca="false">IF(B7543&lt;5,"Go","Standard")</f>
        <v>Standard</v>
      </c>
    </row>
    <row r="7544" customFormat="false" ht="15" hidden="false" customHeight="true" outlineLevel="0" collapsed="false">
      <c r="A7544" s="10" t="n">
        <f aca="false">Einstellungen!$B$5+INT((ROW()-9)/24)</f>
        <v>46279</v>
      </c>
      <c r="B7544" s="11" t="n">
        <f aca="false">MOD(ROW()-9,24)</f>
        <v>23</v>
      </c>
      <c r="C7544" s="12"/>
      <c r="D7544" s="13" t="n">
        <f aca="false">IF(B7544&lt;5,Einstellungen!$B$3,Einstellungen!$B$4)</f>
        <v>29.13</v>
      </c>
      <c r="E7544" s="14" t="str">
        <f aca="false">IF(C7544="","",C7544*D7544/100)</f>
        <v/>
      </c>
      <c r="F7544" s="15" t="str">
        <f aca="false">IF(B7544&lt;5,"Go","Standard")</f>
        <v>Standard</v>
      </c>
    </row>
    <row r="7545" customFormat="false" ht="15" hidden="false" customHeight="true" outlineLevel="0" collapsed="false">
      <c r="A7545" s="10" t="n">
        <f aca="false">Einstellungen!$B$5+INT((ROW()-9)/24)</f>
        <v>46280</v>
      </c>
      <c r="B7545" s="11" t="n">
        <f aca="false">MOD(ROW()-9,24)</f>
        <v>0</v>
      </c>
      <c r="C7545" s="12"/>
      <c r="D7545" s="13" t="n">
        <f aca="false">IF(B7545&lt;5,Einstellungen!$B$3,Einstellungen!$B$4)</f>
        <v>15.92</v>
      </c>
      <c r="E7545" s="14" t="str">
        <f aca="false">IF(C7545="","",C7545*D7545/100)</f>
        <v/>
      </c>
      <c r="F7545" s="15" t="str">
        <f aca="false">IF(B7545&lt;5,"Go","Standard")</f>
        <v>Go</v>
      </c>
    </row>
    <row r="7546" customFormat="false" ht="15" hidden="false" customHeight="true" outlineLevel="0" collapsed="false">
      <c r="A7546" s="10" t="n">
        <f aca="false">Einstellungen!$B$5+INT((ROW()-9)/24)</f>
        <v>46280</v>
      </c>
      <c r="B7546" s="11" t="n">
        <f aca="false">MOD(ROW()-9,24)</f>
        <v>1</v>
      </c>
      <c r="C7546" s="12"/>
      <c r="D7546" s="13" t="n">
        <f aca="false">IF(B7546&lt;5,Einstellungen!$B$3,Einstellungen!$B$4)</f>
        <v>15.92</v>
      </c>
      <c r="E7546" s="14" t="str">
        <f aca="false">IF(C7546="","",C7546*D7546/100)</f>
        <v/>
      </c>
      <c r="F7546" s="15" t="str">
        <f aca="false">IF(B7546&lt;5,"Go","Standard")</f>
        <v>Go</v>
      </c>
    </row>
    <row r="7547" customFormat="false" ht="15" hidden="false" customHeight="true" outlineLevel="0" collapsed="false">
      <c r="A7547" s="10" t="n">
        <f aca="false">Einstellungen!$B$5+INT((ROW()-9)/24)</f>
        <v>46280</v>
      </c>
      <c r="B7547" s="11" t="n">
        <f aca="false">MOD(ROW()-9,24)</f>
        <v>2</v>
      </c>
      <c r="C7547" s="12"/>
      <c r="D7547" s="13" t="n">
        <f aca="false">IF(B7547&lt;5,Einstellungen!$B$3,Einstellungen!$B$4)</f>
        <v>15.92</v>
      </c>
      <c r="E7547" s="14" t="str">
        <f aca="false">IF(C7547="","",C7547*D7547/100)</f>
        <v/>
      </c>
      <c r="F7547" s="15" t="str">
        <f aca="false">IF(B7547&lt;5,"Go","Standard")</f>
        <v>Go</v>
      </c>
    </row>
    <row r="7548" customFormat="false" ht="15" hidden="false" customHeight="true" outlineLevel="0" collapsed="false">
      <c r="A7548" s="10" t="n">
        <f aca="false">Einstellungen!$B$5+INT((ROW()-9)/24)</f>
        <v>46280</v>
      </c>
      <c r="B7548" s="11" t="n">
        <f aca="false">MOD(ROW()-9,24)</f>
        <v>3</v>
      </c>
      <c r="C7548" s="12"/>
      <c r="D7548" s="13" t="n">
        <f aca="false">IF(B7548&lt;5,Einstellungen!$B$3,Einstellungen!$B$4)</f>
        <v>15.92</v>
      </c>
      <c r="E7548" s="14" t="str">
        <f aca="false">IF(C7548="","",C7548*D7548/100)</f>
        <v/>
      </c>
      <c r="F7548" s="15" t="str">
        <f aca="false">IF(B7548&lt;5,"Go","Standard")</f>
        <v>Go</v>
      </c>
    </row>
    <row r="7549" customFormat="false" ht="15" hidden="false" customHeight="true" outlineLevel="0" collapsed="false">
      <c r="A7549" s="10" t="n">
        <f aca="false">Einstellungen!$B$5+INT((ROW()-9)/24)</f>
        <v>46280</v>
      </c>
      <c r="B7549" s="11" t="n">
        <f aca="false">MOD(ROW()-9,24)</f>
        <v>4</v>
      </c>
      <c r="C7549" s="12"/>
      <c r="D7549" s="13" t="n">
        <f aca="false">IF(B7549&lt;5,Einstellungen!$B$3,Einstellungen!$B$4)</f>
        <v>15.92</v>
      </c>
      <c r="E7549" s="14" t="str">
        <f aca="false">IF(C7549="","",C7549*D7549/100)</f>
        <v/>
      </c>
      <c r="F7549" s="15" t="str">
        <f aca="false">IF(B7549&lt;5,"Go","Standard")</f>
        <v>Go</v>
      </c>
    </row>
    <row r="7550" customFormat="false" ht="15" hidden="false" customHeight="true" outlineLevel="0" collapsed="false">
      <c r="A7550" s="10" t="n">
        <f aca="false">Einstellungen!$B$5+INT((ROW()-9)/24)</f>
        <v>46280</v>
      </c>
      <c r="B7550" s="11" t="n">
        <f aca="false">MOD(ROW()-9,24)</f>
        <v>5</v>
      </c>
      <c r="C7550" s="12"/>
      <c r="D7550" s="13" t="n">
        <f aca="false">IF(B7550&lt;5,Einstellungen!$B$3,Einstellungen!$B$4)</f>
        <v>29.13</v>
      </c>
      <c r="E7550" s="14" t="str">
        <f aca="false">IF(C7550="","",C7550*D7550/100)</f>
        <v/>
      </c>
      <c r="F7550" s="15" t="str">
        <f aca="false">IF(B7550&lt;5,"Go","Standard")</f>
        <v>Standard</v>
      </c>
    </row>
    <row r="7551" customFormat="false" ht="15" hidden="false" customHeight="true" outlineLevel="0" collapsed="false">
      <c r="A7551" s="10" t="n">
        <f aca="false">Einstellungen!$B$5+INT((ROW()-9)/24)</f>
        <v>46280</v>
      </c>
      <c r="B7551" s="11" t="n">
        <f aca="false">MOD(ROW()-9,24)</f>
        <v>6</v>
      </c>
      <c r="C7551" s="12"/>
      <c r="D7551" s="13" t="n">
        <f aca="false">IF(B7551&lt;5,Einstellungen!$B$3,Einstellungen!$B$4)</f>
        <v>29.13</v>
      </c>
      <c r="E7551" s="14" t="str">
        <f aca="false">IF(C7551="","",C7551*D7551/100)</f>
        <v/>
      </c>
      <c r="F7551" s="15" t="str">
        <f aca="false">IF(B7551&lt;5,"Go","Standard")</f>
        <v>Standard</v>
      </c>
    </row>
    <row r="7552" customFormat="false" ht="15" hidden="false" customHeight="true" outlineLevel="0" collapsed="false">
      <c r="A7552" s="10" t="n">
        <f aca="false">Einstellungen!$B$5+INT((ROW()-9)/24)</f>
        <v>46280</v>
      </c>
      <c r="B7552" s="11" t="n">
        <f aca="false">MOD(ROW()-9,24)</f>
        <v>7</v>
      </c>
      <c r="C7552" s="12"/>
      <c r="D7552" s="13" t="n">
        <f aca="false">IF(B7552&lt;5,Einstellungen!$B$3,Einstellungen!$B$4)</f>
        <v>29.13</v>
      </c>
      <c r="E7552" s="14" t="str">
        <f aca="false">IF(C7552="","",C7552*D7552/100)</f>
        <v/>
      </c>
      <c r="F7552" s="15" t="str">
        <f aca="false">IF(B7552&lt;5,"Go","Standard")</f>
        <v>Standard</v>
      </c>
    </row>
    <row r="7553" customFormat="false" ht="15" hidden="false" customHeight="true" outlineLevel="0" collapsed="false">
      <c r="A7553" s="10" t="n">
        <f aca="false">Einstellungen!$B$5+INT((ROW()-9)/24)</f>
        <v>46280</v>
      </c>
      <c r="B7553" s="11" t="n">
        <f aca="false">MOD(ROW()-9,24)</f>
        <v>8</v>
      </c>
      <c r="C7553" s="12"/>
      <c r="D7553" s="13" t="n">
        <f aca="false">IF(B7553&lt;5,Einstellungen!$B$3,Einstellungen!$B$4)</f>
        <v>29.13</v>
      </c>
      <c r="E7553" s="14" t="str">
        <f aca="false">IF(C7553="","",C7553*D7553/100)</f>
        <v/>
      </c>
      <c r="F7553" s="15" t="str">
        <f aca="false">IF(B7553&lt;5,"Go","Standard")</f>
        <v>Standard</v>
      </c>
    </row>
    <row r="7554" customFormat="false" ht="15" hidden="false" customHeight="true" outlineLevel="0" collapsed="false">
      <c r="A7554" s="10" t="n">
        <f aca="false">Einstellungen!$B$5+INT((ROW()-9)/24)</f>
        <v>46280</v>
      </c>
      <c r="B7554" s="11" t="n">
        <f aca="false">MOD(ROW()-9,24)</f>
        <v>9</v>
      </c>
      <c r="C7554" s="12"/>
      <c r="D7554" s="13" t="n">
        <f aca="false">IF(B7554&lt;5,Einstellungen!$B$3,Einstellungen!$B$4)</f>
        <v>29.13</v>
      </c>
      <c r="E7554" s="14" t="str">
        <f aca="false">IF(C7554="","",C7554*D7554/100)</f>
        <v/>
      </c>
      <c r="F7554" s="15" t="str">
        <f aca="false">IF(B7554&lt;5,"Go","Standard")</f>
        <v>Standard</v>
      </c>
    </row>
    <row r="7555" customFormat="false" ht="15" hidden="false" customHeight="true" outlineLevel="0" collapsed="false">
      <c r="A7555" s="10" t="n">
        <f aca="false">Einstellungen!$B$5+INT((ROW()-9)/24)</f>
        <v>46280</v>
      </c>
      <c r="B7555" s="11" t="n">
        <f aca="false">MOD(ROW()-9,24)</f>
        <v>10</v>
      </c>
      <c r="C7555" s="12"/>
      <c r="D7555" s="13" t="n">
        <f aca="false">IF(B7555&lt;5,Einstellungen!$B$3,Einstellungen!$B$4)</f>
        <v>29.13</v>
      </c>
      <c r="E7555" s="14" t="str">
        <f aca="false">IF(C7555="","",C7555*D7555/100)</f>
        <v/>
      </c>
      <c r="F7555" s="15" t="str">
        <f aca="false">IF(B7555&lt;5,"Go","Standard")</f>
        <v>Standard</v>
      </c>
    </row>
    <row r="7556" customFormat="false" ht="15" hidden="false" customHeight="true" outlineLevel="0" collapsed="false">
      <c r="A7556" s="10" t="n">
        <f aca="false">Einstellungen!$B$5+INT((ROW()-9)/24)</f>
        <v>46280</v>
      </c>
      <c r="B7556" s="11" t="n">
        <f aca="false">MOD(ROW()-9,24)</f>
        <v>11</v>
      </c>
      <c r="C7556" s="12"/>
      <c r="D7556" s="13" t="n">
        <f aca="false">IF(B7556&lt;5,Einstellungen!$B$3,Einstellungen!$B$4)</f>
        <v>29.13</v>
      </c>
      <c r="E7556" s="14" t="str">
        <f aca="false">IF(C7556="","",C7556*D7556/100)</f>
        <v/>
      </c>
      <c r="F7556" s="15" t="str">
        <f aca="false">IF(B7556&lt;5,"Go","Standard")</f>
        <v>Standard</v>
      </c>
    </row>
    <row r="7557" customFormat="false" ht="15" hidden="false" customHeight="true" outlineLevel="0" collapsed="false">
      <c r="A7557" s="10" t="n">
        <f aca="false">Einstellungen!$B$5+INT((ROW()-9)/24)</f>
        <v>46280</v>
      </c>
      <c r="B7557" s="11" t="n">
        <f aca="false">MOD(ROW()-9,24)</f>
        <v>12</v>
      </c>
      <c r="C7557" s="12"/>
      <c r="D7557" s="13" t="n">
        <f aca="false">IF(B7557&lt;5,Einstellungen!$B$3,Einstellungen!$B$4)</f>
        <v>29.13</v>
      </c>
      <c r="E7557" s="14" t="str">
        <f aca="false">IF(C7557="","",C7557*D7557/100)</f>
        <v/>
      </c>
      <c r="F7557" s="15" t="str">
        <f aca="false">IF(B7557&lt;5,"Go","Standard")</f>
        <v>Standard</v>
      </c>
    </row>
    <row r="7558" customFormat="false" ht="15" hidden="false" customHeight="true" outlineLevel="0" collapsed="false">
      <c r="A7558" s="10" t="n">
        <f aca="false">Einstellungen!$B$5+INT((ROW()-9)/24)</f>
        <v>46280</v>
      </c>
      <c r="B7558" s="11" t="n">
        <f aca="false">MOD(ROW()-9,24)</f>
        <v>13</v>
      </c>
      <c r="C7558" s="12"/>
      <c r="D7558" s="13" t="n">
        <f aca="false">IF(B7558&lt;5,Einstellungen!$B$3,Einstellungen!$B$4)</f>
        <v>29.13</v>
      </c>
      <c r="E7558" s="14" t="str">
        <f aca="false">IF(C7558="","",C7558*D7558/100)</f>
        <v/>
      </c>
      <c r="F7558" s="15" t="str">
        <f aca="false">IF(B7558&lt;5,"Go","Standard")</f>
        <v>Standard</v>
      </c>
    </row>
    <row r="7559" customFormat="false" ht="15" hidden="false" customHeight="true" outlineLevel="0" collapsed="false">
      <c r="A7559" s="10" t="n">
        <f aca="false">Einstellungen!$B$5+INT((ROW()-9)/24)</f>
        <v>46280</v>
      </c>
      <c r="B7559" s="11" t="n">
        <f aca="false">MOD(ROW()-9,24)</f>
        <v>14</v>
      </c>
      <c r="C7559" s="12"/>
      <c r="D7559" s="13" t="n">
        <f aca="false">IF(B7559&lt;5,Einstellungen!$B$3,Einstellungen!$B$4)</f>
        <v>29.13</v>
      </c>
      <c r="E7559" s="14" t="str">
        <f aca="false">IF(C7559="","",C7559*D7559/100)</f>
        <v/>
      </c>
      <c r="F7559" s="15" t="str">
        <f aca="false">IF(B7559&lt;5,"Go","Standard")</f>
        <v>Standard</v>
      </c>
    </row>
    <row r="7560" customFormat="false" ht="15" hidden="false" customHeight="true" outlineLevel="0" collapsed="false">
      <c r="A7560" s="10" t="n">
        <f aca="false">Einstellungen!$B$5+INT((ROW()-9)/24)</f>
        <v>46280</v>
      </c>
      <c r="B7560" s="11" t="n">
        <f aca="false">MOD(ROW()-9,24)</f>
        <v>15</v>
      </c>
      <c r="C7560" s="12"/>
      <c r="D7560" s="13" t="n">
        <f aca="false">IF(B7560&lt;5,Einstellungen!$B$3,Einstellungen!$B$4)</f>
        <v>29.13</v>
      </c>
      <c r="E7560" s="14" t="str">
        <f aca="false">IF(C7560="","",C7560*D7560/100)</f>
        <v/>
      </c>
      <c r="F7560" s="15" t="str">
        <f aca="false">IF(B7560&lt;5,"Go","Standard")</f>
        <v>Standard</v>
      </c>
    </row>
    <row r="7561" customFormat="false" ht="15" hidden="false" customHeight="true" outlineLevel="0" collapsed="false">
      <c r="A7561" s="10" t="n">
        <f aca="false">Einstellungen!$B$5+INT((ROW()-9)/24)</f>
        <v>46280</v>
      </c>
      <c r="B7561" s="11" t="n">
        <f aca="false">MOD(ROW()-9,24)</f>
        <v>16</v>
      </c>
      <c r="C7561" s="12"/>
      <c r="D7561" s="13" t="n">
        <f aca="false">IF(B7561&lt;5,Einstellungen!$B$3,Einstellungen!$B$4)</f>
        <v>29.13</v>
      </c>
      <c r="E7561" s="14" t="str">
        <f aca="false">IF(C7561="","",C7561*D7561/100)</f>
        <v/>
      </c>
      <c r="F7561" s="15" t="str">
        <f aca="false">IF(B7561&lt;5,"Go","Standard")</f>
        <v>Standard</v>
      </c>
    </row>
    <row r="7562" customFormat="false" ht="15" hidden="false" customHeight="true" outlineLevel="0" collapsed="false">
      <c r="A7562" s="10" t="n">
        <f aca="false">Einstellungen!$B$5+INT((ROW()-9)/24)</f>
        <v>46280</v>
      </c>
      <c r="B7562" s="11" t="n">
        <f aca="false">MOD(ROW()-9,24)</f>
        <v>17</v>
      </c>
      <c r="C7562" s="12"/>
      <c r="D7562" s="13" t="n">
        <f aca="false">IF(B7562&lt;5,Einstellungen!$B$3,Einstellungen!$B$4)</f>
        <v>29.13</v>
      </c>
      <c r="E7562" s="14" t="str">
        <f aca="false">IF(C7562="","",C7562*D7562/100)</f>
        <v/>
      </c>
      <c r="F7562" s="15" t="str">
        <f aca="false">IF(B7562&lt;5,"Go","Standard")</f>
        <v>Standard</v>
      </c>
    </row>
    <row r="7563" customFormat="false" ht="15" hidden="false" customHeight="true" outlineLevel="0" collapsed="false">
      <c r="A7563" s="10" t="n">
        <f aca="false">Einstellungen!$B$5+INT((ROW()-9)/24)</f>
        <v>46280</v>
      </c>
      <c r="B7563" s="11" t="n">
        <f aca="false">MOD(ROW()-9,24)</f>
        <v>18</v>
      </c>
      <c r="C7563" s="12"/>
      <c r="D7563" s="13" t="n">
        <f aca="false">IF(B7563&lt;5,Einstellungen!$B$3,Einstellungen!$B$4)</f>
        <v>29.13</v>
      </c>
      <c r="E7563" s="14" t="str">
        <f aca="false">IF(C7563="","",C7563*D7563/100)</f>
        <v/>
      </c>
      <c r="F7563" s="15" t="str">
        <f aca="false">IF(B7563&lt;5,"Go","Standard")</f>
        <v>Standard</v>
      </c>
    </row>
    <row r="7564" customFormat="false" ht="15" hidden="false" customHeight="true" outlineLevel="0" collapsed="false">
      <c r="A7564" s="10" t="n">
        <f aca="false">Einstellungen!$B$5+INT((ROW()-9)/24)</f>
        <v>46280</v>
      </c>
      <c r="B7564" s="11" t="n">
        <f aca="false">MOD(ROW()-9,24)</f>
        <v>19</v>
      </c>
      <c r="C7564" s="12"/>
      <c r="D7564" s="13" t="n">
        <f aca="false">IF(B7564&lt;5,Einstellungen!$B$3,Einstellungen!$B$4)</f>
        <v>29.13</v>
      </c>
      <c r="E7564" s="14" t="str">
        <f aca="false">IF(C7564="","",C7564*D7564/100)</f>
        <v/>
      </c>
      <c r="F7564" s="15" t="str">
        <f aca="false">IF(B7564&lt;5,"Go","Standard")</f>
        <v>Standard</v>
      </c>
    </row>
    <row r="7565" customFormat="false" ht="15" hidden="false" customHeight="true" outlineLevel="0" collapsed="false">
      <c r="A7565" s="10" t="n">
        <f aca="false">Einstellungen!$B$5+INT((ROW()-9)/24)</f>
        <v>46280</v>
      </c>
      <c r="B7565" s="11" t="n">
        <f aca="false">MOD(ROW()-9,24)</f>
        <v>20</v>
      </c>
      <c r="C7565" s="12"/>
      <c r="D7565" s="13" t="n">
        <f aca="false">IF(B7565&lt;5,Einstellungen!$B$3,Einstellungen!$B$4)</f>
        <v>29.13</v>
      </c>
      <c r="E7565" s="14" t="str">
        <f aca="false">IF(C7565="","",C7565*D7565/100)</f>
        <v/>
      </c>
      <c r="F7565" s="15" t="str">
        <f aca="false">IF(B7565&lt;5,"Go","Standard")</f>
        <v>Standard</v>
      </c>
    </row>
    <row r="7566" customFormat="false" ht="15" hidden="false" customHeight="true" outlineLevel="0" collapsed="false">
      <c r="A7566" s="10" t="n">
        <f aca="false">Einstellungen!$B$5+INT((ROW()-9)/24)</f>
        <v>46280</v>
      </c>
      <c r="B7566" s="11" t="n">
        <f aca="false">MOD(ROW()-9,24)</f>
        <v>21</v>
      </c>
      <c r="C7566" s="12"/>
      <c r="D7566" s="13" t="n">
        <f aca="false">IF(B7566&lt;5,Einstellungen!$B$3,Einstellungen!$B$4)</f>
        <v>29.13</v>
      </c>
      <c r="E7566" s="14" t="str">
        <f aca="false">IF(C7566="","",C7566*D7566/100)</f>
        <v/>
      </c>
      <c r="F7566" s="15" t="str">
        <f aca="false">IF(B7566&lt;5,"Go","Standard")</f>
        <v>Standard</v>
      </c>
    </row>
    <row r="7567" customFormat="false" ht="15" hidden="false" customHeight="true" outlineLevel="0" collapsed="false">
      <c r="A7567" s="10" t="n">
        <f aca="false">Einstellungen!$B$5+INT((ROW()-9)/24)</f>
        <v>46280</v>
      </c>
      <c r="B7567" s="11" t="n">
        <f aca="false">MOD(ROW()-9,24)</f>
        <v>22</v>
      </c>
      <c r="C7567" s="12"/>
      <c r="D7567" s="13" t="n">
        <f aca="false">IF(B7567&lt;5,Einstellungen!$B$3,Einstellungen!$B$4)</f>
        <v>29.13</v>
      </c>
      <c r="E7567" s="14" t="str">
        <f aca="false">IF(C7567="","",C7567*D7567/100)</f>
        <v/>
      </c>
      <c r="F7567" s="15" t="str">
        <f aca="false">IF(B7567&lt;5,"Go","Standard")</f>
        <v>Standard</v>
      </c>
    </row>
    <row r="7568" customFormat="false" ht="15" hidden="false" customHeight="true" outlineLevel="0" collapsed="false">
      <c r="A7568" s="10" t="n">
        <f aca="false">Einstellungen!$B$5+INT((ROW()-9)/24)</f>
        <v>46280</v>
      </c>
      <c r="B7568" s="11" t="n">
        <f aca="false">MOD(ROW()-9,24)</f>
        <v>23</v>
      </c>
      <c r="C7568" s="12"/>
      <c r="D7568" s="13" t="n">
        <f aca="false">IF(B7568&lt;5,Einstellungen!$B$3,Einstellungen!$B$4)</f>
        <v>29.13</v>
      </c>
      <c r="E7568" s="14" t="str">
        <f aca="false">IF(C7568="","",C7568*D7568/100)</f>
        <v/>
      </c>
      <c r="F7568" s="15" t="str">
        <f aca="false">IF(B7568&lt;5,"Go","Standard")</f>
        <v>Standard</v>
      </c>
    </row>
    <row r="7569" customFormat="false" ht="15" hidden="false" customHeight="true" outlineLevel="0" collapsed="false">
      <c r="A7569" s="10" t="n">
        <f aca="false">Einstellungen!$B$5+INT((ROW()-9)/24)</f>
        <v>46281</v>
      </c>
      <c r="B7569" s="11" t="n">
        <f aca="false">MOD(ROW()-9,24)</f>
        <v>0</v>
      </c>
      <c r="C7569" s="12"/>
      <c r="D7569" s="13" t="n">
        <f aca="false">IF(B7569&lt;5,Einstellungen!$B$3,Einstellungen!$B$4)</f>
        <v>15.92</v>
      </c>
      <c r="E7569" s="14" t="str">
        <f aca="false">IF(C7569="","",C7569*D7569/100)</f>
        <v/>
      </c>
      <c r="F7569" s="15" t="str">
        <f aca="false">IF(B7569&lt;5,"Go","Standard")</f>
        <v>Go</v>
      </c>
    </row>
    <row r="7570" customFormat="false" ht="15" hidden="false" customHeight="true" outlineLevel="0" collapsed="false">
      <c r="A7570" s="10" t="n">
        <f aca="false">Einstellungen!$B$5+INT((ROW()-9)/24)</f>
        <v>46281</v>
      </c>
      <c r="B7570" s="11" t="n">
        <f aca="false">MOD(ROW()-9,24)</f>
        <v>1</v>
      </c>
      <c r="C7570" s="12"/>
      <c r="D7570" s="13" t="n">
        <f aca="false">IF(B7570&lt;5,Einstellungen!$B$3,Einstellungen!$B$4)</f>
        <v>15.92</v>
      </c>
      <c r="E7570" s="14" t="str">
        <f aca="false">IF(C7570="","",C7570*D7570/100)</f>
        <v/>
      </c>
      <c r="F7570" s="15" t="str">
        <f aca="false">IF(B7570&lt;5,"Go","Standard")</f>
        <v>Go</v>
      </c>
    </row>
    <row r="7571" customFormat="false" ht="15" hidden="false" customHeight="true" outlineLevel="0" collapsed="false">
      <c r="A7571" s="10" t="n">
        <f aca="false">Einstellungen!$B$5+INT((ROW()-9)/24)</f>
        <v>46281</v>
      </c>
      <c r="B7571" s="11" t="n">
        <f aca="false">MOD(ROW()-9,24)</f>
        <v>2</v>
      </c>
      <c r="C7571" s="12"/>
      <c r="D7571" s="13" t="n">
        <f aca="false">IF(B7571&lt;5,Einstellungen!$B$3,Einstellungen!$B$4)</f>
        <v>15.92</v>
      </c>
      <c r="E7571" s="14" t="str">
        <f aca="false">IF(C7571="","",C7571*D7571/100)</f>
        <v/>
      </c>
      <c r="F7571" s="15" t="str">
        <f aca="false">IF(B7571&lt;5,"Go","Standard")</f>
        <v>Go</v>
      </c>
    </row>
    <row r="7572" customFormat="false" ht="15" hidden="false" customHeight="true" outlineLevel="0" collapsed="false">
      <c r="A7572" s="10" t="n">
        <f aca="false">Einstellungen!$B$5+INT((ROW()-9)/24)</f>
        <v>46281</v>
      </c>
      <c r="B7572" s="11" t="n">
        <f aca="false">MOD(ROW()-9,24)</f>
        <v>3</v>
      </c>
      <c r="C7572" s="12"/>
      <c r="D7572" s="13" t="n">
        <f aca="false">IF(B7572&lt;5,Einstellungen!$B$3,Einstellungen!$B$4)</f>
        <v>15.92</v>
      </c>
      <c r="E7572" s="14" t="str">
        <f aca="false">IF(C7572="","",C7572*D7572/100)</f>
        <v/>
      </c>
      <c r="F7572" s="15" t="str">
        <f aca="false">IF(B7572&lt;5,"Go","Standard")</f>
        <v>Go</v>
      </c>
    </row>
    <row r="7573" customFormat="false" ht="15" hidden="false" customHeight="true" outlineLevel="0" collapsed="false">
      <c r="A7573" s="10" t="n">
        <f aca="false">Einstellungen!$B$5+INT((ROW()-9)/24)</f>
        <v>46281</v>
      </c>
      <c r="B7573" s="11" t="n">
        <f aca="false">MOD(ROW()-9,24)</f>
        <v>4</v>
      </c>
      <c r="C7573" s="12"/>
      <c r="D7573" s="13" t="n">
        <f aca="false">IF(B7573&lt;5,Einstellungen!$B$3,Einstellungen!$B$4)</f>
        <v>15.92</v>
      </c>
      <c r="E7573" s="14" t="str">
        <f aca="false">IF(C7573="","",C7573*D7573/100)</f>
        <v/>
      </c>
      <c r="F7573" s="15" t="str">
        <f aca="false">IF(B7573&lt;5,"Go","Standard")</f>
        <v>Go</v>
      </c>
    </row>
    <row r="7574" customFormat="false" ht="15" hidden="false" customHeight="true" outlineLevel="0" collapsed="false">
      <c r="A7574" s="10" t="n">
        <f aca="false">Einstellungen!$B$5+INT((ROW()-9)/24)</f>
        <v>46281</v>
      </c>
      <c r="B7574" s="11" t="n">
        <f aca="false">MOD(ROW()-9,24)</f>
        <v>5</v>
      </c>
      <c r="C7574" s="12"/>
      <c r="D7574" s="13" t="n">
        <f aca="false">IF(B7574&lt;5,Einstellungen!$B$3,Einstellungen!$B$4)</f>
        <v>29.13</v>
      </c>
      <c r="E7574" s="14" t="str">
        <f aca="false">IF(C7574="","",C7574*D7574/100)</f>
        <v/>
      </c>
      <c r="F7574" s="15" t="str">
        <f aca="false">IF(B7574&lt;5,"Go","Standard")</f>
        <v>Standard</v>
      </c>
    </row>
    <row r="7575" customFormat="false" ht="15" hidden="false" customHeight="true" outlineLevel="0" collapsed="false">
      <c r="A7575" s="10" t="n">
        <f aca="false">Einstellungen!$B$5+INT((ROW()-9)/24)</f>
        <v>46281</v>
      </c>
      <c r="B7575" s="11" t="n">
        <f aca="false">MOD(ROW()-9,24)</f>
        <v>6</v>
      </c>
      <c r="C7575" s="12"/>
      <c r="D7575" s="13" t="n">
        <f aca="false">IF(B7575&lt;5,Einstellungen!$B$3,Einstellungen!$B$4)</f>
        <v>29.13</v>
      </c>
      <c r="E7575" s="14" t="str">
        <f aca="false">IF(C7575="","",C7575*D7575/100)</f>
        <v/>
      </c>
      <c r="F7575" s="15" t="str">
        <f aca="false">IF(B7575&lt;5,"Go","Standard")</f>
        <v>Standard</v>
      </c>
    </row>
    <row r="7576" customFormat="false" ht="15" hidden="false" customHeight="true" outlineLevel="0" collapsed="false">
      <c r="A7576" s="10" t="n">
        <f aca="false">Einstellungen!$B$5+INT((ROW()-9)/24)</f>
        <v>46281</v>
      </c>
      <c r="B7576" s="11" t="n">
        <f aca="false">MOD(ROW()-9,24)</f>
        <v>7</v>
      </c>
      <c r="C7576" s="12"/>
      <c r="D7576" s="13" t="n">
        <f aca="false">IF(B7576&lt;5,Einstellungen!$B$3,Einstellungen!$B$4)</f>
        <v>29.13</v>
      </c>
      <c r="E7576" s="14" t="str">
        <f aca="false">IF(C7576="","",C7576*D7576/100)</f>
        <v/>
      </c>
      <c r="F7576" s="15" t="str">
        <f aca="false">IF(B7576&lt;5,"Go","Standard")</f>
        <v>Standard</v>
      </c>
    </row>
    <row r="7577" customFormat="false" ht="15" hidden="false" customHeight="true" outlineLevel="0" collapsed="false">
      <c r="A7577" s="10" t="n">
        <f aca="false">Einstellungen!$B$5+INT((ROW()-9)/24)</f>
        <v>46281</v>
      </c>
      <c r="B7577" s="11" t="n">
        <f aca="false">MOD(ROW()-9,24)</f>
        <v>8</v>
      </c>
      <c r="C7577" s="12"/>
      <c r="D7577" s="13" t="n">
        <f aca="false">IF(B7577&lt;5,Einstellungen!$B$3,Einstellungen!$B$4)</f>
        <v>29.13</v>
      </c>
      <c r="E7577" s="14" t="str">
        <f aca="false">IF(C7577="","",C7577*D7577/100)</f>
        <v/>
      </c>
      <c r="F7577" s="15" t="str">
        <f aca="false">IF(B7577&lt;5,"Go","Standard")</f>
        <v>Standard</v>
      </c>
    </row>
    <row r="7578" customFormat="false" ht="15" hidden="false" customHeight="true" outlineLevel="0" collapsed="false">
      <c r="A7578" s="10" t="n">
        <f aca="false">Einstellungen!$B$5+INT((ROW()-9)/24)</f>
        <v>46281</v>
      </c>
      <c r="B7578" s="11" t="n">
        <f aca="false">MOD(ROW()-9,24)</f>
        <v>9</v>
      </c>
      <c r="C7578" s="12"/>
      <c r="D7578" s="13" t="n">
        <f aca="false">IF(B7578&lt;5,Einstellungen!$B$3,Einstellungen!$B$4)</f>
        <v>29.13</v>
      </c>
      <c r="E7578" s="14" t="str">
        <f aca="false">IF(C7578="","",C7578*D7578/100)</f>
        <v/>
      </c>
      <c r="F7578" s="15" t="str">
        <f aca="false">IF(B7578&lt;5,"Go","Standard")</f>
        <v>Standard</v>
      </c>
    </row>
    <row r="7579" customFormat="false" ht="15" hidden="false" customHeight="true" outlineLevel="0" collapsed="false">
      <c r="A7579" s="10" t="n">
        <f aca="false">Einstellungen!$B$5+INT((ROW()-9)/24)</f>
        <v>46281</v>
      </c>
      <c r="B7579" s="11" t="n">
        <f aca="false">MOD(ROW()-9,24)</f>
        <v>10</v>
      </c>
      <c r="C7579" s="12"/>
      <c r="D7579" s="13" t="n">
        <f aca="false">IF(B7579&lt;5,Einstellungen!$B$3,Einstellungen!$B$4)</f>
        <v>29.13</v>
      </c>
      <c r="E7579" s="14" t="str">
        <f aca="false">IF(C7579="","",C7579*D7579/100)</f>
        <v/>
      </c>
      <c r="F7579" s="15" t="str">
        <f aca="false">IF(B7579&lt;5,"Go","Standard")</f>
        <v>Standard</v>
      </c>
    </row>
    <row r="7580" customFormat="false" ht="15" hidden="false" customHeight="true" outlineLevel="0" collapsed="false">
      <c r="A7580" s="10" t="n">
        <f aca="false">Einstellungen!$B$5+INT((ROW()-9)/24)</f>
        <v>46281</v>
      </c>
      <c r="B7580" s="11" t="n">
        <f aca="false">MOD(ROW()-9,24)</f>
        <v>11</v>
      </c>
      <c r="C7580" s="12"/>
      <c r="D7580" s="13" t="n">
        <f aca="false">IF(B7580&lt;5,Einstellungen!$B$3,Einstellungen!$B$4)</f>
        <v>29.13</v>
      </c>
      <c r="E7580" s="14" t="str">
        <f aca="false">IF(C7580="","",C7580*D7580/100)</f>
        <v/>
      </c>
      <c r="F7580" s="15" t="str">
        <f aca="false">IF(B7580&lt;5,"Go","Standard")</f>
        <v>Standard</v>
      </c>
    </row>
    <row r="7581" customFormat="false" ht="15" hidden="false" customHeight="true" outlineLevel="0" collapsed="false">
      <c r="A7581" s="10" t="n">
        <f aca="false">Einstellungen!$B$5+INT((ROW()-9)/24)</f>
        <v>46281</v>
      </c>
      <c r="B7581" s="11" t="n">
        <f aca="false">MOD(ROW()-9,24)</f>
        <v>12</v>
      </c>
      <c r="C7581" s="12"/>
      <c r="D7581" s="13" t="n">
        <f aca="false">IF(B7581&lt;5,Einstellungen!$B$3,Einstellungen!$B$4)</f>
        <v>29.13</v>
      </c>
      <c r="E7581" s="14" t="str">
        <f aca="false">IF(C7581="","",C7581*D7581/100)</f>
        <v/>
      </c>
      <c r="F7581" s="15" t="str">
        <f aca="false">IF(B7581&lt;5,"Go","Standard")</f>
        <v>Standard</v>
      </c>
    </row>
    <row r="7582" customFormat="false" ht="15" hidden="false" customHeight="true" outlineLevel="0" collapsed="false">
      <c r="A7582" s="10" t="n">
        <f aca="false">Einstellungen!$B$5+INT((ROW()-9)/24)</f>
        <v>46281</v>
      </c>
      <c r="B7582" s="11" t="n">
        <f aca="false">MOD(ROW()-9,24)</f>
        <v>13</v>
      </c>
      <c r="C7582" s="12"/>
      <c r="D7582" s="13" t="n">
        <f aca="false">IF(B7582&lt;5,Einstellungen!$B$3,Einstellungen!$B$4)</f>
        <v>29.13</v>
      </c>
      <c r="E7582" s="14" t="str">
        <f aca="false">IF(C7582="","",C7582*D7582/100)</f>
        <v/>
      </c>
      <c r="F7582" s="15" t="str">
        <f aca="false">IF(B7582&lt;5,"Go","Standard")</f>
        <v>Standard</v>
      </c>
    </row>
    <row r="7583" customFormat="false" ht="15" hidden="false" customHeight="true" outlineLevel="0" collapsed="false">
      <c r="A7583" s="10" t="n">
        <f aca="false">Einstellungen!$B$5+INT((ROW()-9)/24)</f>
        <v>46281</v>
      </c>
      <c r="B7583" s="11" t="n">
        <f aca="false">MOD(ROW()-9,24)</f>
        <v>14</v>
      </c>
      <c r="C7583" s="12"/>
      <c r="D7583" s="13" t="n">
        <f aca="false">IF(B7583&lt;5,Einstellungen!$B$3,Einstellungen!$B$4)</f>
        <v>29.13</v>
      </c>
      <c r="E7583" s="14" t="str">
        <f aca="false">IF(C7583="","",C7583*D7583/100)</f>
        <v/>
      </c>
      <c r="F7583" s="15" t="str">
        <f aca="false">IF(B7583&lt;5,"Go","Standard")</f>
        <v>Standard</v>
      </c>
    </row>
    <row r="7584" customFormat="false" ht="15" hidden="false" customHeight="true" outlineLevel="0" collapsed="false">
      <c r="A7584" s="10" t="n">
        <f aca="false">Einstellungen!$B$5+INT((ROW()-9)/24)</f>
        <v>46281</v>
      </c>
      <c r="B7584" s="11" t="n">
        <f aca="false">MOD(ROW()-9,24)</f>
        <v>15</v>
      </c>
      <c r="C7584" s="12"/>
      <c r="D7584" s="13" t="n">
        <f aca="false">IF(B7584&lt;5,Einstellungen!$B$3,Einstellungen!$B$4)</f>
        <v>29.13</v>
      </c>
      <c r="E7584" s="14" t="str">
        <f aca="false">IF(C7584="","",C7584*D7584/100)</f>
        <v/>
      </c>
      <c r="F7584" s="15" t="str">
        <f aca="false">IF(B7584&lt;5,"Go","Standard")</f>
        <v>Standard</v>
      </c>
    </row>
    <row r="7585" customFormat="false" ht="15" hidden="false" customHeight="true" outlineLevel="0" collapsed="false">
      <c r="A7585" s="10" t="n">
        <f aca="false">Einstellungen!$B$5+INT((ROW()-9)/24)</f>
        <v>46281</v>
      </c>
      <c r="B7585" s="11" t="n">
        <f aca="false">MOD(ROW()-9,24)</f>
        <v>16</v>
      </c>
      <c r="C7585" s="12"/>
      <c r="D7585" s="13" t="n">
        <f aca="false">IF(B7585&lt;5,Einstellungen!$B$3,Einstellungen!$B$4)</f>
        <v>29.13</v>
      </c>
      <c r="E7585" s="14" t="str">
        <f aca="false">IF(C7585="","",C7585*D7585/100)</f>
        <v/>
      </c>
      <c r="F7585" s="15" t="str">
        <f aca="false">IF(B7585&lt;5,"Go","Standard")</f>
        <v>Standard</v>
      </c>
    </row>
    <row r="7586" customFormat="false" ht="15" hidden="false" customHeight="true" outlineLevel="0" collapsed="false">
      <c r="A7586" s="10" t="n">
        <f aca="false">Einstellungen!$B$5+INT((ROW()-9)/24)</f>
        <v>46281</v>
      </c>
      <c r="B7586" s="11" t="n">
        <f aca="false">MOD(ROW()-9,24)</f>
        <v>17</v>
      </c>
      <c r="C7586" s="12"/>
      <c r="D7586" s="13" t="n">
        <f aca="false">IF(B7586&lt;5,Einstellungen!$B$3,Einstellungen!$B$4)</f>
        <v>29.13</v>
      </c>
      <c r="E7586" s="14" t="str">
        <f aca="false">IF(C7586="","",C7586*D7586/100)</f>
        <v/>
      </c>
      <c r="F7586" s="15" t="str">
        <f aca="false">IF(B7586&lt;5,"Go","Standard")</f>
        <v>Standard</v>
      </c>
    </row>
    <row r="7587" customFormat="false" ht="15" hidden="false" customHeight="true" outlineLevel="0" collapsed="false">
      <c r="A7587" s="10" t="n">
        <f aca="false">Einstellungen!$B$5+INT((ROW()-9)/24)</f>
        <v>46281</v>
      </c>
      <c r="B7587" s="11" t="n">
        <f aca="false">MOD(ROW()-9,24)</f>
        <v>18</v>
      </c>
      <c r="C7587" s="12"/>
      <c r="D7587" s="13" t="n">
        <f aca="false">IF(B7587&lt;5,Einstellungen!$B$3,Einstellungen!$B$4)</f>
        <v>29.13</v>
      </c>
      <c r="E7587" s="14" t="str">
        <f aca="false">IF(C7587="","",C7587*D7587/100)</f>
        <v/>
      </c>
      <c r="F7587" s="15" t="str">
        <f aca="false">IF(B7587&lt;5,"Go","Standard")</f>
        <v>Standard</v>
      </c>
    </row>
    <row r="7588" customFormat="false" ht="15" hidden="false" customHeight="true" outlineLevel="0" collapsed="false">
      <c r="A7588" s="10" t="n">
        <f aca="false">Einstellungen!$B$5+INT((ROW()-9)/24)</f>
        <v>46281</v>
      </c>
      <c r="B7588" s="11" t="n">
        <f aca="false">MOD(ROW()-9,24)</f>
        <v>19</v>
      </c>
      <c r="C7588" s="12"/>
      <c r="D7588" s="13" t="n">
        <f aca="false">IF(B7588&lt;5,Einstellungen!$B$3,Einstellungen!$B$4)</f>
        <v>29.13</v>
      </c>
      <c r="E7588" s="14" t="str">
        <f aca="false">IF(C7588="","",C7588*D7588/100)</f>
        <v/>
      </c>
      <c r="F7588" s="15" t="str">
        <f aca="false">IF(B7588&lt;5,"Go","Standard")</f>
        <v>Standard</v>
      </c>
    </row>
    <row r="7589" customFormat="false" ht="15" hidden="false" customHeight="true" outlineLevel="0" collapsed="false">
      <c r="A7589" s="10" t="n">
        <f aca="false">Einstellungen!$B$5+INT((ROW()-9)/24)</f>
        <v>46281</v>
      </c>
      <c r="B7589" s="11" t="n">
        <f aca="false">MOD(ROW()-9,24)</f>
        <v>20</v>
      </c>
      <c r="C7589" s="12"/>
      <c r="D7589" s="13" t="n">
        <f aca="false">IF(B7589&lt;5,Einstellungen!$B$3,Einstellungen!$B$4)</f>
        <v>29.13</v>
      </c>
      <c r="E7589" s="14" t="str">
        <f aca="false">IF(C7589="","",C7589*D7589/100)</f>
        <v/>
      </c>
      <c r="F7589" s="15" t="str">
        <f aca="false">IF(B7589&lt;5,"Go","Standard")</f>
        <v>Standard</v>
      </c>
    </row>
    <row r="7590" customFormat="false" ht="15" hidden="false" customHeight="true" outlineLevel="0" collapsed="false">
      <c r="A7590" s="10" t="n">
        <f aca="false">Einstellungen!$B$5+INT((ROW()-9)/24)</f>
        <v>46281</v>
      </c>
      <c r="B7590" s="11" t="n">
        <f aca="false">MOD(ROW()-9,24)</f>
        <v>21</v>
      </c>
      <c r="C7590" s="12"/>
      <c r="D7590" s="13" t="n">
        <f aca="false">IF(B7590&lt;5,Einstellungen!$B$3,Einstellungen!$B$4)</f>
        <v>29.13</v>
      </c>
      <c r="E7590" s="14" t="str">
        <f aca="false">IF(C7590="","",C7590*D7590/100)</f>
        <v/>
      </c>
      <c r="F7590" s="15" t="str">
        <f aca="false">IF(B7590&lt;5,"Go","Standard")</f>
        <v>Standard</v>
      </c>
    </row>
    <row r="7591" customFormat="false" ht="15" hidden="false" customHeight="true" outlineLevel="0" collapsed="false">
      <c r="A7591" s="10" t="n">
        <f aca="false">Einstellungen!$B$5+INT((ROW()-9)/24)</f>
        <v>46281</v>
      </c>
      <c r="B7591" s="11" t="n">
        <f aca="false">MOD(ROW()-9,24)</f>
        <v>22</v>
      </c>
      <c r="C7591" s="12"/>
      <c r="D7591" s="13" t="n">
        <f aca="false">IF(B7591&lt;5,Einstellungen!$B$3,Einstellungen!$B$4)</f>
        <v>29.13</v>
      </c>
      <c r="E7591" s="14" t="str">
        <f aca="false">IF(C7591="","",C7591*D7591/100)</f>
        <v/>
      </c>
      <c r="F7591" s="15" t="str">
        <f aca="false">IF(B7591&lt;5,"Go","Standard")</f>
        <v>Standard</v>
      </c>
    </row>
    <row r="7592" customFormat="false" ht="15" hidden="false" customHeight="true" outlineLevel="0" collapsed="false">
      <c r="A7592" s="10" t="n">
        <f aca="false">Einstellungen!$B$5+INT((ROW()-9)/24)</f>
        <v>46281</v>
      </c>
      <c r="B7592" s="11" t="n">
        <f aca="false">MOD(ROW()-9,24)</f>
        <v>23</v>
      </c>
      <c r="C7592" s="12"/>
      <c r="D7592" s="13" t="n">
        <f aca="false">IF(B7592&lt;5,Einstellungen!$B$3,Einstellungen!$B$4)</f>
        <v>29.13</v>
      </c>
      <c r="E7592" s="14" t="str">
        <f aca="false">IF(C7592="","",C7592*D7592/100)</f>
        <v/>
      </c>
      <c r="F7592" s="15" t="str">
        <f aca="false">IF(B7592&lt;5,"Go","Standard")</f>
        <v>Standard</v>
      </c>
    </row>
    <row r="7593" customFormat="false" ht="15" hidden="false" customHeight="true" outlineLevel="0" collapsed="false">
      <c r="A7593" s="10" t="n">
        <f aca="false">Einstellungen!$B$5+INT((ROW()-9)/24)</f>
        <v>46282</v>
      </c>
      <c r="B7593" s="11" t="n">
        <f aca="false">MOD(ROW()-9,24)</f>
        <v>0</v>
      </c>
      <c r="C7593" s="12"/>
      <c r="D7593" s="13" t="n">
        <f aca="false">IF(B7593&lt;5,Einstellungen!$B$3,Einstellungen!$B$4)</f>
        <v>15.92</v>
      </c>
      <c r="E7593" s="14" t="str">
        <f aca="false">IF(C7593="","",C7593*D7593/100)</f>
        <v/>
      </c>
      <c r="F7593" s="15" t="str">
        <f aca="false">IF(B7593&lt;5,"Go","Standard")</f>
        <v>Go</v>
      </c>
    </row>
    <row r="7594" customFormat="false" ht="15" hidden="false" customHeight="true" outlineLevel="0" collapsed="false">
      <c r="A7594" s="10" t="n">
        <f aca="false">Einstellungen!$B$5+INT((ROW()-9)/24)</f>
        <v>46282</v>
      </c>
      <c r="B7594" s="11" t="n">
        <f aca="false">MOD(ROW()-9,24)</f>
        <v>1</v>
      </c>
      <c r="C7594" s="12"/>
      <c r="D7594" s="13" t="n">
        <f aca="false">IF(B7594&lt;5,Einstellungen!$B$3,Einstellungen!$B$4)</f>
        <v>15.92</v>
      </c>
      <c r="E7594" s="14" t="str">
        <f aca="false">IF(C7594="","",C7594*D7594/100)</f>
        <v/>
      </c>
      <c r="F7594" s="15" t="str">
        <f aca="false">IF(B7594&lt;5,"Go","Standard")</f>
        <v>Go</v>
      </c>
    </row>
    <row r="7595" customFormat="false" ht="15" hidden="false" customHeight="true" outlineLevel="0" collapsed="false">
      <c r="A7595" s="10" t="n">
        <f aca="false">Einstellungen!$B$5+INT((ROW()-9)/24)</f>
        <v>46282</v>
      </c>
      <c r="B7595" s="11" t="n">
        <f aca="false">MOD(ROW()-9,24)</f>
        <v>2</v>
      </c>
      <c r="C7595" s="12"/>
      <c r="D7595" s="13" t="n">
        <f aca="false">IF(B7595&lt;5,Einstellungen!$B$3,Einstellungen!$B$4)</f>
        <v>15.92</v>
      </c>
      <c r="E7595" s="14" t="str">
        <f aca="false">IF(C7595="","",C7595*D7595/100)</f>
        <v/>
      </c>
      <c r="F7595" s="15" t="str">
        <f aca="false">IF(B7595&lt;5,"Go","Standard")</f>
        <v>Go</v>
      </c>
    </row>
    <row r="7596" customFormat="false" ht="15" hidden="false" customHeight="true" outlineLevel="0" collapsed="false">
      <c r="A7596" s="10" t="n">
        <f aca="false">Einstellungen!$B$5+INT((ROW()-9)/24)</f>
        <v>46282</v>
      </c>
      <c r="B7596" s="11" t="n">
        <f aca="false">MOD(ROW()-9,24)</f>
        <v>3</v>
      </c>
      <c r="C7596" s="12"/>
      <c r="D7596" s="13" t="n">
        <f aca="false">IF(B7596&lt;5,Einstellungen!$B$3,Einstellungen!$B$4)</f>
        <v>15.92</v>
      </c>
      <c r="E7596" s="14" t="str">
        <f aca="false">IF(C7596="","",C7596*D7596/100)</f>
        <v/>
      </c>
      <c r="F7596" s="15" t="str">
        <f aca="false">IF(B7596&lt;5,"Go","Standard")</f>
        <v>Go</v>
      </c>
    </row>
    <row r="7597" customFormat="false" ht="15" hidden="false" customHeight="true" outlineLevel="0" collapsed="false">
      <c r="A7597" s="10" t="n">
        <f aca="false">Einstellungen!$B$5+INT((ROW()-9)/24)</f>
        <v>46282</v>
      </c>
      <c r="B7597" s="11" t="n">
        <f aca="false">MOD(ROW()-9,24)</f>
        <v>4</v>
      </c>
      <c r="C7597" s="12"/>
      <c r="D7597" s="13" t="n">
        <f aca="false">IF(B7597&lt;5,Einstellungen!$B$3,Einstellungen!$B$4)</f>
        <v>15.92</v>
      </c>
      <c r="E7597" s="14" t="str">
        <f aca="false">IF(C7597="","",C7597*D7597/100)</f>
        <v/>
      </c>
      <c r="F7597" s="15" t="str">
        <f aca="false">IF(B7597&lt;5,"Go","Standard")</f>
        <v>Go</v>
      </c>
    </row>
    <row r="7598" customFormat="false" ht="15" hidden="false" customHeight="true" outlineLevel="0" collapsed="false">
      <c r="A7598" s="10" t="n">
        <f aca="false">Einstellungen!$B$5+INT((ROW()-9)/24)</f>
        <v>46282</v>
      </c>
      <c r="B7598" s="11" t="n">
        <f aca="false">MOD(ROW()-9,24)</f>
        <v>5</v>
      </c>
      <c r="C7598" s="12"/>
      <c r="D7598" s="13" t="n">
        <f aca="false">IF(B7598&lt;5,Einstellungen!$B$3,Einstellungen!$B$4)</f>
        <v>29.13</v>
      </c>
      <c r="E7598" s="14" t="str">
        <f aca="false">IF(C7598="","",C7598*D7598/100)</f>
        <v/>
      </c>
      <c r="F7598" s="15" t="str">
        <f aca="false">IF(B7598&lt;5,"Go","Standard")</f>
        <v>Standard</v>
      </c>
    </row>
    <row r="7599" customFormat="false" ht="15" hidden="false" customHeight="true" outlineLevel="0" collapsed="false">
      <c r="A7599" s="10" t="n">
        <f aca="false">Einstellungen!$B$5+INT((ROW()-9)/24)</f>
        <v>46282</v>
      </c>
      <c r="B7599" s="11" t="n">
        <f aca="false">MOD(ROW()-9,24)</f>
        <v>6</v>
      </c>
      <c r="C7599" s="12"/>
      <c r="D7599" s="13" t="n">
        <f aca="false">IF(B7599&lt;5,Einstellungen!$B$3,Einstellungen!$B$4)</f>
        <v>29.13</v>
      </c>
      <c r="E7599" s="14" t="str">
        <f aca="false">IF(C7599="","",C7599*D7599/100)</f>
        <v/>
      </c>
      <c r="F7599" s="15" t="str">
        <f aca="false">IF(B7599&lt;5,"Go","Standard")</f>
        <v>Standard</v>
      </c>
    </row>
    <row r="7600" customFormat="false" ht="15" hidden="false" customHeight="true" outlineLevel="0" collapsed="false">
      <c r="A7600" s="10" t="n">
        <f aca="false">Einstellungen!$B$5+INT((ROW()-9)/24)</f>
        <v>46282</v>
      </c>
      <c r="B7600" s="11" t="n">
        <f aca="false">MOD(ROW()-9,24)</f>
        <v>7</v>
      </c>
      <c r="C7600" s="12"/>
      <c r="D7600" s="13" t="n">
        <f aca="false">IF(B7600&lt;5,Einstellungen!$B$3,Einstellungen!$B$4)</f>
        <v>29.13</v>
      </c>
      <c r="E7600" s="14" t="str">
        <f aca="false">IF(C7600="","",C7600*D7600/100)</f>
        <v/>
      </c>
      <c r="F7600" s="15" t="str">
        <f aca="false">IF(B7600&lt;5,"Go","Standard")</f>
        <v>Standard</v>
      </c>
    </row>
    <row r="7601" customFormat="false" ht="15" hidden="false" customHeight="true" outlineLevel="0" collapsed="false">
      <c r="A7601" s="10" t="n">
        <f aca="false">Einstellungen!$B$5+INT((ROW()-9)/24)</f>
        <v>46282</v>
      </c>
      <c r="B7601" s="11" t="n">
        <f aca="false">MOD(ROW()-9,24)</f>
        <v>8</v>
      </c>
      <c r="C7601" s="12"/>
      <c r="D7601" s="13" t="n">
        <f aca="false">IF(B7601&lt;5,Einstellungen!$B$3,Einstellungen!$B$4)</f>
        <v>29.13</v>
      </c>
      <c r="E7601" s="14" t="str">
        <f aca="false">IF(C7601="","",C7601*D7601/100)</f>
        <v/>
      </c>
      <c r="F7601" s="15" t="str">
        <f aca="false">IF(B7601&lt;5,"Go","Standard")</f>
        <v>Standard</v>
      </c>
    </row>
    <row r="7602" customFormat="false" ht="15" hidden="false" customHeight="true" outlineLevel="0" collapsed="false">
      <c r="A7602" s="10" t="n">
        <f aca="false">Einstellungen!$B$5+INT((ROW()-9)/24)</f>
        <v>46282</v>
      </c>
      <c r="B7602" s="11" t="n">
        <f aca="false">MOD(ROW()-9,24)</f>
        <v>9</v>
      </c>
      <c r="C7602" s="12"/>
      <c r="D7602" s="13" t="n">
        <f aca="false">IF(B7602&lt;5,Einstellungen!$B$3,Einstellungen!$B$4)</f>
        <v>29.13</v>
      </c>
      <c r="E7602" s="14" t="str">
        <f aca="false">IF(C7602="","",C7602*D7602/100)</f>
        <v/>
      </c>
      <c r="F7602" s="15" t="str">
        <f aca="false">IF(B7602&lt;5,"Go","Standard")</f>
        <v>Standard</v>
      </c>
    </row>
    <row r="7603" customFormat="false" ht="15" hidden="false" customHeight="true" outlineLevel="0" collapsed="false">
      <c r="A7603" s="10" t="n">
        <f aca="false">Einstellungen!$B$5+INT((ROW()-9)/24)</f>
        <v>46282</v>
      </c>
      <c r="B7603" s="11" t="n">
        <f aca="false">MOD(ROW()-9,24)</f>
        <v>10</v>
      </c>
      <c r="C7603" s="12"/>
      <c r="D7603" s="13" t="n">
        <f aca="false">IF(B7603&lt;5,Einstellungen!$B$3,Einstellungen!$B$4)</f>
        <v>29.13</v>
      </c>
      <c r="E7603" s="14" t="str">
        <f aca="false">IF(C7603="","",C7603*D7603/100)</f>
        <v/>
      </c>
      <c r="F7603" s="15" t="str">
        <f aca="false">IF(B7603&lt;5,"Go","Standard")</f>
        <v>Standard</v>
      </c>
    </row>
    <row r="7604" customFormat="false" ht="15" hidden="false" customHeight="true" outlineLevel="0" collapsed="false">
      <c r="A7604" s="10" t="n">
        <f aca="false">Einstellungen!$B$5+INT((ROW()-9)/24)</f>
        <v>46282</v>
      </c>
      <c r="B7604" s="11" t="n">
        <f aca="false">MOD(ROW()-9,24)</f>
        <v>11</v>
      </c>
      <c r="C7604" s="12"/>
      <c r="D7604" s="13" t="n">
        <f aca="false">IF(B7604&lt;5,Einstellungen!$B$3,Einstellungen!$B$4)</f>
        <v>29.13</v>
      </c>
      <c r="E7604" s="14" t="str">
        <f aca="false">IF(C7604="","",C7604*D7604/100)</f>
        <v/>
      </c>
      <c r="F7604" s="15" t="str">
        <f aca="false">IF(B7604&lt;5,"Go","Standard")</f>
        <v>Standard</v>
      </c>
    </row>
    <row r="7605" customFormat="false" ht="15" hidden="false" customHeight="true" outlineLevel="0" collapsed="false">
      <c r="A7605" s="10" t="n">
        <f aca="false">Einstellungen!$B$5+INT((ROW()-9)/24)</f>
        <v>46282</v>
      </c>
      <c r="B7605" s="11" t="n">
        <f aca="false">MOD(ROW()-9,24)</f>
        <v>12</v>
      </c>
      <c r="C7605" s="12"/>
      <c r="D7605" s="13" t="n">
        <f aca="false">IF(B7605&lt;5,Einstellungen!$B$3,Einstellungen!$B$4)</f>
        <v>29.13</v>
      </c>
      <c r="E7605" s="14" t="str">
        <f aca="false">IF(C7605="","",C7605*D7605/100)</f>
        <v/>
      </c>
      <c r="F7605" s="15" t="str">
        <f aca="false">IF(B7605&lt;5,"Go","Standard")</f>
        <v>Standard</v>
      </c>
    </row>
    <row r="7606" customFormat="false" ht="15" hidden="false" customHeight="true" outlineLevel="0" collapsed="false">
      <c r="A7606" s="10" t="n">
        <f aca="false">Einstellungen!$B$5+INT((ROW()-9)/24)</f>
        <v>46282</v>
      </c>
      <c r="B7606" s="11" t="n">
        <f aca="false">MOD(ROW()-9,24)</f>
        <v>13</v>
      </c>
      <c r="C7606" s="12"/>
      <c r="D7606" s="13" t="n">
        <f aca="false">IF(B7606&lt;5,Einstellungen!$B$3,Einstellungen!$B$4)</f>
        <v>29.13</v>
      </c>
      <c r="E7606" s="14" t="str">
        <f aca="false">IF(C7606="","",C7606*D7606/100)</f>
        <v/>
      </c>
      <c r="F7606" s="15" t="str">
        <f aca="false">IF(B7606&lt;5,"Go","Standard")</f>
        <v>Standard</v>
      </c>
    </row>
    <row r="7607" customFormat="false" ht="15" hidden="false" customHeight="true" outlineLevel="0" collapsed="false">
      <c r="A7607" s="10" t="n">
        <f aca="false">Einstellungen!$B$5+INT((ROW()-9)/24)</f>
        <v>46282</v>
      </c>
      <c r="B7607" s="11" t="n">
        <f aca="false">MOD(ROW()-9,24)</f>
        <v>14</v>
      </c>
      <c r="C7607" s="12"/>
      <c r="D7607" s="13" t="n">
        <f aca="false">IF(B7607&lt;5,Einstellungen!$B$3,Einstellungen!$B$4)</f>
        <v>29.13</v>
      </c>
      <c r="E7607" s="14" t="str">
        <f aca="false">IF(C7607="","",C7607*D7607/100)</f>
        <v/>
      </c>
      <c r="F7607" s="15" t="str">
        <f aca="false">IF(B7607&lt;5,"Go","Standard")</f>
        <v>Standard</v>
      </c>
    </row>
    <row r="7608" customFormat="false" ht="15" hidden="false" customHeight="true" outlineLevel="0" collapsed="false">
      <c r="A7608" s="10" t="n">
        <f aca="false">Einstellungen!$B$5+INT((ROW()-9)/24)</f>
        <v>46282</v>
      </c>
      <c r="B7608" s="11" t="n">
        <f aca="false">MOD(ROW()-9,24)</f>
        <v>15</v>
      </c>
      <c r="C7608" s="12"/>
      <c r="D7608" s="13" t="n">
        <f aca="false">IF(B7608&lt;5,Einstellungen!$B$3,Einstellungen!$B$4)</f>
        <v>29.13</v>
      </c>
      <c r="E7608" s="14" t="str">
        <f aca="false">IF(C7608="","",C7608*D7608/100)</f>
        <v/>
      </c>
      <c r="F7608" s="15" t="str">
        <f aca="false">IF(B7608&lt;5,"Go","Standard")</f>
        <v>Standard</v>
      </c>
    </row>
    <row r="7609" customFormat="false" ht="15" hidden="false" customHeight="true" outlineLevel="0" collapsed="false">
      <c r="A7609" s="10" t="n">
        <f aca="false">Einstellungen!$B$5+INT((ROW()-9)/24)</f>
        <v>46282</v>
      </c>
      <c r="B7609" s="11" t="n">
        <f aca="false">MOD(ROW()-9,24)</f>
        <v>16</v>
      </c>
      <c r="C7609" s="12"/>
      <c r="D7609" s="13" t="n">
        <f aca="false">IF(B7609&lt;5,Einstellungen!$B$3,Einstellungen!$B$4)</f>
        <v>29.13</v>
      </c>
      <c r="E7609" s="14" t="str">
        <f aca="false">IF(C7609="","",C7609*D7609/100)</f>
        <v/>
      </c>
      <c r="F7609" s="15" t="str">
        <f aca="false">IF(B7609&lt;5,"Go","Standard")</f>
        <v>Standard</v>
      </c>
    </row>
    <row r="7610" customFormat="false" ht="15" hidden="false" customHeight="true" outlineLevel="0" collapsed="false">
      <c r="A7610" s="10" t="n">
        <f aca="false">Einstellungen!$B$5+INT((ROW()-9)/24)</f>
        <v>46282</v>
      </c>
      <c r="B7610" s="11" t="n">
        <f aca="false">MOD(ROW()-9,24)</f>
        <v>17</v>
      </c>
      <c r="C7610" s="12"/>
      <c r="D7610" s="13" t="n">
        <f aca="false">IF(B7610&lt;5,Einstellungen!$B$3,Einstellungen!$B$4)</f>
        <v>29.13</v>
      </c>
      <c r="E7610" s="14" t="str">
        <f aca="false">IF(C7610="","",C7610*D7610/100)</f>
        <v/>
      </c>
      <c r="F7610" s="15" t="str">
        <f aca="false">IF(B7610&lt;5,"Go","Standard")</f>
        <v>Standard</v>
      </c>
    </row>
    <row r="7611" customFormat="false" ht="15" hidden="false" customHeight="true" outlineLevel="0" collapsed="false">
      <c r="A7611" s="10" t="n">
        <f aca="false">Einstellungen!$B$5+INT((ROW()-9)/24)</f>
        <v>46282</v>
      </c>
      <c r="B7611" s="11" t="n">
        <f aca="false">MOD(ROW()-9,24)</f>
        <v>18</v>
      </c>
      <c r="C7611" s="12"/>
      <c r="D7611" s="13" t="n">
        <f aca="false">IF(B7611&lt;5,Einstellungen!$B$3,Einstellungen!$B$4)</f>
        <v>29.13</v>
      </c>
      <c r="E7611" s="14" t="str">
        <f aca="false">IF(C7611="","",C7611*D7611/100)</f>
        <v/>
      </c>
      <c r="F7611" s="15" t="str">
        <f aca="false">IF(B7611&lt;5,"Go","Standard")</f>
        <v>Standard</v>
      </c>
    </row>
    <row r="7612" customFormat="false" ht="15" hidden="false" customHeight="true" outlineLevel="0" collapsed="false">
      <c r="A7612" s="10" t="n">
        <f aca="false">Einstellungen!$B$5+INT((ROW()-9)/24)</f>
        <v>46282</v>
      </c>
      <c r="B7612" s="11" t="n">
        <f aca="false">MOD(ROW()-9,24)</f>
        <v>19</v>
      </c>
      <c r="C7612" s="12"/>
      <c r="D7612" s="13" t="n">
        <f aca="false">IF(B7612&lt;5,Einstellungen!$B$3,Einstellungen!$B$4)</f>
        <v>29.13</v>
      </c>
      <c r="E7612" s="14" t="str">
        <f aca="false">IF(C7612="","",C7612*D7612/100)</f>
        <v/>
      </c>
      <c r="F7612" s="15" t="str">
        <f aca="false">IF(B7612&lt;5,"Go","Standard")</f>
        <v>Standard</v>
      </c>
    </row>
    <row r="7613" customFormat="false" ht="15" hidden="false" customHeight="true" outlineLevel="0" collapsed="false">
      <c r="A7613" s="10" t="n">
        <f aca="false">Einstellungen!$B$5+INT((ROW()-9)/24)</f>
        <v>46282</v>
      </c>
      <c r="B7613" s="11" t="n">
        <f aca="false">MOD(ROW()-9,24)</f>
        <v>20</v>
      </c>
      <c r="C7613" s="12"/>
      <c r="D7613" s="13" t="n">
        <f aca="false">IF(B7613&lt;5,Einstellungen!$B$3,Einstellungen!$B$4)</f>
        <v>29.13</v>
      </c>
      <c r="E7613" s="14" t="str">
        <f aca="false">IF(C7613="","",C7613*D7613/100)</f>
        <v/>
      </c>
      <c r="F7613" s="15" t="str">
        <f aca="false">IF(B7613&lt;5,"Go","Standard")</f>
        <v>Standard</v>
      </c>
    </row>
    <row r="7614" customFormat="false" ht="15" hidden="false" customHeight="true" outlineLevel="0" collapsed="false">
      <c r="A7614" s="10" t="n">
        <f aca="false">Einstellungen!$B$5+INT((ROW()-9)/24)</f>
        <v>46282</v>
      </c>
      <c r="B7614" s="11" t="n">
        <f aca="false">MOD(ROW()-9,24)</f>
        <v>21</v>
      </c>
      <c r="C7614" s="12"/>
      <c r="D7614" s="13" t="n">
        <f aca="false">IF(B7614&lt;5,Einstellungen!$B$3,Einstellungen!$B$4)</f>
        <v>29.13</v>
      </c>
      <c r="E7614" s="14" t="str">
        <f aca="false">IF(C7614="","",C7614*D7614/100)</f>
        <v/>
      </c>
      <c r="F7614" s="15" t="str">
        <f aca="false">IF(B7614&lt;5,"Go","Standard")</f>
        <v>Standard</v>
      </c>
    </row>
    <row r="7615" customFormat="false" ht="15" hidden="false" customHeight="true" outlineLevel="0" collapsed="false">
      <c r="A7615" s="10" t="n">
        <f aca="false">Einstellungen!$B$5+INT((ROW()-9)/24)</f>
        <v>46282</v>
      </c>
      <c r="B7615" s="11" t="n">
        <f aca="false">MOD(ROW()-9,24)</f>
        <v>22</v>
      </c>
      <c r="C7615" s="12"/>
      <c r="D7615" s="13" t="n">
        <f aca="false">IF(B7615&lt;5,Einstellungen!$B$3,Einstellungen!$B$4)</f>
        <v>29.13</v>
      </c>
      <c r="E7615" s="14" t="str">
        <f aca="false">IF(C7615="","",C7615*D7615/100)</f>
        <v/>
      </c>
      <c r="F7615" s="15" t="str">
        <f aca="false">IF(B7615&lt;5,"Go","Standard")</f>
        <v>Standard</v>
      </c>
    </row>
    <row r="7616" customFormat="false" ht="15" hidden="false" customHeight="true" outlineLevel="0" collapsed="false">
      <c r="A7616" s="10" t="n">
        <f aca="false">Einstellungen!$B$5+INT((ROW()-9)/24)</f>
        <v>46282</v>
      </c>
      <c r="B7616" s="11" t="n">
        <f aca="false">MOD(ROW()-9,24)</f>
        <v>23</v>
      </c>
      <c r="C7616" s="12"/>
      <c r="D7616" s="13" t="n">
        <f aca="false">IF(B7616&lt;5,Einstellungen!$B$3,Einstellungen!$B$4)</f>
        <v>29.13</v>
      </c>
      <c r="E7616" s="14" t="str">
        <f aca="false">IF(C7616="","",C7616*D7616/100)</f>
        <v/>
      </c>
      <c r="F7616" s="15" t="str">
        <f aca="false">IF(B7616&lt;5,"Go","Standard")</f>
        <v>Standard</v>
      </c>
    </row>
    <row r="7617" customFormat="false" ht="15" hidden="false" customHeight="true" outlineLevel="0" collapsed="false">
      <c r="A7617" s="10" t="n">
        <f aca="false">Einstellungen!$B$5+INT((ROW()-9)/24)</f>
        <v>46283</v>
      </c>
      <c r="B7617" s="11" t="n">
        <f aca="false">MOD(ROW()-9,24)</f>
        <v>0</v>
      </c>
      <c r="C7617" s="12"/>
      <c r="D7617" s="13" t="n">
        <f aca="false">IF(B7617&lt;5,Einstellungen!$B$3,Einstellungen!$B$4)</f>
        <v>15.92</v>
      </c>
      <c r="E7617" s="14" t="str">
        <f aca="false">IF(C7617="","",C7617*D7617/100)</f>
        <v/>
      </c>
      <c r="F7617" s="15" t="str">
        <f aca="false">IF(B7617&lt;5,"Go","Standard")</f>
        <v>Go</v>
      </c>
    </row>
    <row r="7618" customFormat="false" ht="15" hidden="false" customHeight="true" outlineLevel="0" collapsed="false">
      <c r="A7618" s="10" t="n">
        <f aca="false">Einstellungen!$B$5+INT((ROW()-9)/24)</f>
        <v>46283</v>
      </c>
      <c r="B7618" s="11" t="n">
        <f aca="false">MOD(ROW()-9,24)</f>
        <v>1</v>
      </c>
      <c r="C7618" s="12"/>
      <c r="D7618" s="13" t="n">
        <f aca="false">IF(B7618&lt;5,Einstellungen!$B$3,Einstellungen!$B$4)</f>
        <v>15.92</v>
      </c>
      <c r="E7618" s="14" t="str">
        <f aca="false">IF(C7618="","",C7618*D7618/100)</f>
        <v/>
      </c>
      <c r="F7618" s="15" t="str">
        <f aca="false">IF(B7618&lt;5,"Go","Standard")</f>
        <v>Go</v>
      </c>
    </row>
    <row r="7619" customFormat="false" ht="15" hidden="false" customHeight="true" outlineLevel="0" collapsed="false">
      <c r="A7619" s="10" t="n">
        <f aca="false">Einstellungen!$B$5+INT((ROW()-9)/24)</f>
        <v>46283</v>
      </c>
      <c r="B7619" s="11" t="n">
        <f aca="false">MOD(ROW()-9,24)</f>
        <v>2</v>
      </c>
      <c r="C7619" s="12"/>
      <c r="D7619" s="13" t="n">
        <f aca="false">IF(B7619&lt;5,Einstellungen!$B$3,Einstellungen!$B$4)</f>
        <v>15.92</v>
      </c>
      <c r="E7619" s="14" t="str">
        <f aca="false">IF(C7619="","",C7619*D7619/100)</f>
        <v/>
      </c>
      <c r="F7619" s="15" t="str">
        <f aca="false">IF(B7619&lt;5,"Go","Standard")</f>
        <v>Go</v>
      </c>
    </row>
    <row r="7620" customFormat="false" ht="15" hidden="false" customHeight="true" outlineLevel="0" collapsed="false">
      <c r="A7620" s="10" t="n">
        <f aca="false">Einstellungen!$B$5+INT((ROW()-9)/24)</f>
        <v>46283</v>
      </c>
      <c r="B7620" s="11" t="n">
        <f aca="false">MOD(ROW()-9,24)</f>
        <v>3</v>
      </c>
      <c r="C7620" s="12"/>
      <c r="D7620" s="13" t="n">
        <f aca="false">IF(B7620&lt;5,Einstellungen!$B$3,Einstellungen!$B$4)</f>
        <v>15.92</v>
      </c>
      <c r="E7620" s="14" t="str">
        <f aca="false">IF(C7620="","",C7620*D7620/100)</f>
        <v/>
      </c>
      <c r="F7620" s="15" t="str">
        <f aca="false">IF(B7620&lt;5,"Go","Standard")</f>
        <v>Go</v>
      </c>
    </row>
    <row r="7621" customFormat="false" ht="15" hidden="false" customHeight="true" outlineLevel="0" collapsed="false">
      <c r="A7621" s="10" t="n">
        <f aca="false">Einstellungen!$B$5+INT((ROW()-9)/24)</f>
        <v>46283</v>
      </c>
      <c r="B7621" s="11" t="n">
        <f aca="false">MOD(ROW()-9,24)</f>
        <v>4</v>
      </c>
      <c r="C7621" s="12"/>
      <c r="D7621" s="13" t="n">
        <f aca="false">IF(B7621&lt;5,Einstellungen!$B$3,Einstellungen!$B$4)</f>
        <v>15.92</v>
      </c>
      <c r="E7621" s="14" t="str">
        <f aca="false">IF(C7621="","",C7621*D7621/100)</f>
        <v/>
      </c>
      <c r="F7621" s="15" t="str">
        <f aca="false">IF(B7621&lt;5,"Go","Standard")</f>
        <v>Go</v>
      </c>
    </row>
    <row r="7622" customFormat="false" ht="15" hidden="false" customHeight="true" outlineLevel="0" collapsed="false">
      <c r="A7622" s="10" t="n">
        <f aca="false">Einstellungen!$B$5+INT((ROW()-9)/24)</f>
        <v>46283</v>
      </c>
      <c r="B7622" s="11" t="n">
        <f aca="false">MOD(ROW()-9,24)</f>
        <v>5</v>
      </c>
      <c r="C7622" s="12"/>
      <c r="D7622" s="13" t="n">
        <f aca="false">IF(B7622&lt;5,Einstellungen!$B$3,Einstellungen!$B$4)</f>
        <v>29.13</v>
      </c>
      <c r="E7622" s="14" t="str">
        <f aca="false">IF(C7622="","",C7622*D7622/100)</f>
        <v/>
      </c>
      <c r="F7622" s="15" t="str">
        <f aca="false">IF(B7622&lt;5,"Go","Standard")</f>
        <v>Standard</v>
      </c>
    </row>
    <row r="7623" customFormat="false" ht="15" hidden="false" customHeight="true" outlineLevel="0" collapsed="false">
      <c r="A7623" s="10" t="n">
        <f aca="false">Einstellungen!$B$5+INT((ROW()-9)/24)</f>
        <v>46283</v>
      </c>
      <c r="B7623" s="11" t="n">
        <f aca="false">MOD(ROW()-9,24)</f>
        <v>6</v>
      </c>
      <c r="C7623" s="12"/>
      <c r="D7623" s="13" t="n">
        <f aca="false">IF(B7623&lt;5,Einstellungen!$B$3,Einstellungen!$B$4)</f>
        <v>29.13</v>
      </c>
      <c r="E7623" s="14" t="str">
        <f aca="false">IF(C7623="","",C7623*D7623/100)</f>
        <v/>
      </c>
      <c r="F7623" s="15" t="str">
        <f aca="false">IF(B7623&lt;5,"Go","Standard")</f>
        <v>Standard</v>
      </c>
    </row>
    <row r="7624" customFormat="false" ht="15" hidden="false" customHeight="true" outlineLevel="0" collapsed="false">
      <c r="A7624" s="10" t="n">
        <f aca="false">Einstellungen!$B$5+INT((ROW()-9)/24)</f>
        <v>46283</v>
      </c>
      <c r="B7624" s="11" t="n">
        <f aca="false">MOD(ROW()-9,24)</f>
        <v>7</v>
      </c>
      <c r="C7624" s="12"/>
      <c r="D7624" s="13" t="n">
        <f aca="false">IF(B7624&lt;5,Einstellungen!$B$3,Einstellungen!$B$4)</f>
        <v>29.13</v>
      </c>
      <c r="E7624" s="14" t="str">
        <f aca="false">IF(C7624="","",C7624*D7624/100)</f>
        <v/>
      </c>
      <c r="F7624" s="15" t="str">
        <f aca="false">IF(B7624&lt;5,"Go","Standard")</f>
        <v>Standard</v>
      </c>
    </row>
    <row r="7625" customFormat="false" ht="15" hidden="false" customHeight="true" outlineLevel="0" collapsed="false">
      <c r="A7625" s="10" t="n">
        <f aca="false">Einstellungen!$B$5+INT((ROW()-9)/24)</f>
        <v>46283</v>
      </c>
      <c r="B7625" s="11" t="n">
        <f aca="false">MOD(ROW()-9,24)</f>
        <v>8</v>
      </c>
      <c r="C7625" s="12"/>
      <c r="D7625" s="13" t="n">
        <f aca="false">IF(B7625&lt;5,Einstellungen!$B$3,Einstellungen!$B$4)</f>
        <v>29.13</v>
      </c>
      <c r="E7625" s="14" t="str">
        <f aca="false">IF(C7625="","",C7625*D7625/100)</f>
        <v/>
      </c>
      <c r="F7625" s="15" t="str">
        <f aca="false">IF(B7625&lt;5,"Go","Standard")</f>
        <v>Standard</v>
      </c>
    </row>
    <row r="7626" customFormat="false" ht="15" hidden="false" customHeight="true" outlineLevel="0" collapsed="false">
      <c r="A7626" s="10" t="n">
        <f aca="false">Einstellungen!$B$5+INT((ROW()-9)/24)</f>
        <v>46283</v>
      </c>
      <c r="B7626" s="11" t="n">
        <f aca="false">MOD(ROW()-9,24)</f>
        <v>9</v>
      </c>
      <c r="C7626" s="12"/>
      <c r="D7626" s="13" t="n">
        <f aca="false">IF(B7626&lt;5,Einstellungen!$B$3,Einstellungen!$B$4)</f>
        <v>29.13</v>
      </c>
      <c r="E7626" s="14" t="str">
        <f aca="false">IF(C7626="","",C7626*D7626/100)</f>
        <v/>
      </c>
      <c r="F7626" s="15" t="str">
        <f aca="false">IF(B7626&lt;5,"Go","Standard")</f>
        <v>Standard</v>
      </c>
    </row>
    <row r="7627" customFormat="false" ht="15" hidden="false" customHeight="true" outlineLevel="0" collapsed="false">
      <c r="A7627" s="10" t="n">
        <f aca="false">Einstellungen!$B$5+INT((ROW()-9)/24)</f>
        <v>46283</v>
      </c>
      <c r="B7627" s="11" t="n">
        <f aca="false">MOD(ROW()-9,24)</f>
        <v>10</v>
      </c>
      <c r="C7627" s="12"/>
      <c r="D7627" s="13" t="n">
        <f aca="false">IF(B7627&lt;5,Einstellungen!$B$3,Einstellungen!$B$4)</f>
        <v>29.13</v>
      </c>
      <c r="E7627" s="14" t="str">
        <f aca="false">IF(C7627="","",C7627*D7627/100)</f>
        <v/>
      </c>
      <c r="F7627" s="15" t="str">
        <f aca="false">IF(B7627&lt;5,"Go","Standard")</f>
        <v>Standard</v>
      </c>
    </row>
    <row r="7628" customFormat="false" ht="15" hidden="false" customHeight="true" outlineLevel="0" collapsed="false">
      <c r="A7628" s="10" t="n">
        <f aca="false">Einstellungen!$B$5+INT((ROW()-9)/24)</f>
        <v>46283</v>
      </c>
      <c r="B7628" s="11" t="n">
        <f aca="false">MOD(ROW()-9,24)</f>
        <v>11</v>
      </c>
      <c r="C7628" s="12"/>
      <c r="D7628" s="13" t="n">
        <f aca="false">IF(B7628&lt;5,Einstellungen!$B$3,Einstellungen!$B$4)</f>
        <v>29.13</v>
      </c>
      <c r="E7628" s="14" t="str">
        <f aca="false">IF(C7628="","",C7628*D7628/100)</f>
        <v/>
      </c>
      <c r="F7628" s="15" t="str">
        <f aca="false">IF(B7628&lt;5,"Go","Standard")</f>
        <v>Standard</v>
      </c>
    </row>
    <row r="7629" customFormat="false" ht="15" hidden="false" customHeight="true" outlineLevel="0" collapsed="false">
      <c r="A7629" s="10" t="n">
        <f aca="false">Einstellungen!$B$5+INT((ROW()-9)/24)</f>
        <v>46283</v>
      </c>
      <c r="B7629" s="11" t="n">
        <f aca="false">MOD(ROW()-9,24)</f>
        <v>12</v>
      </c>
      <c r="C7629" s="12"/>
      <c r="D7629" s="13" t="n">
        <f aca="false">IF(B7629&lt;5,Einstellungen!$B$3,Einstellungen!$B$4)</f>
        <v>29.13</v>
      </c>
      <c r="E7629" s="14" t="str">
        <f aca="false">IF(C7629="","",C7629*D7629/100)</f>
        <v/>
      </c>
      <c r="F7629" s="15" t="str">
        <f aca="false">IF(B7629&lt;5,"Go","Standard")</f>
        <v>Standard</v>
      </c>
    </row>
    <row r="7630" customFormat="false" ht="15" hidden="false" customHeight="true" outlineLevel="0" collapsed="false">
      <c r="A7630" s="10" t="n">
        <f aca="false">Einstellungen!$B$5+INT((ROW()-9)/24)</f>
        <v>46283</v>
      </c>
      <c r="B7630" s="11" t="n">
        <f aca="false">MOD(ROW()-9,24)</f>
        <v>13</v>
      </c>
      <c r="C7630" s="12"/>
      <c r="D7630" s="13" t="n">
        <f aca="false">IF(B7630&lt;5,Einstellungen!$B$3,Einstellungen!$B$4)</f>
        <v>29.13</v>
      </c>
      <c r="E7630" s="14" t="str">
        <f aca="false">IF(C7630="","",C7630*D7630/100)</f>
        <v/>
      </c>
      <c r="F7630" s="15" t="str">
        <f aca="false">IF(B7630&lt;5,"Go","Standard")</f>
        <v>Standard</v>
      </c>
    </row>
    <row r="7631" customFormat="false" ht="15" hidden="false" customHeight="true" outlineLevel="0" collapsed="false">
      <c r="A7631" s="10" t="n">
        <f aca="false">Einstellungen!$B$5+INT((ROW()-9)/24)</f>
        <v>46283</v>
      </c>
      <c r="B7631" s="11" t="n">
        <f aca="false">MOD(ROW()-9,24)</f>
        <v>14</v>
      </c>
      <c r="C7631" s="12"/>
      <c r="D7631" s="13" t="n">
        <f aca="false">IF(B7631&lt;5,Einstellungen!$B$3,Einstellungen!$B$4)</f>
        <v>29.13</v>
      </c>
      <c r="E7631" s="14" t="str">
        <f aca="false">IF(C7631="","",C7631*D7631/100)</f>
        <v/>
      </c>
      <c r="F7631" s="15" t="str">
        <f aca="false">IF(B7631&lt;5,"Go","Standard")</f>
        <v>Standard</v>
      </c>
    </row>
    <row r="7632" customFormat="false" ht="15" hidden="false" customHeight="true" outlineLevel="0" collapsed="false">
      <c r="A7632" s="10" t="n">
        <f aca="false">Einstellungen!$B$5+INT((ROW()-9)/24)</f>
        <v>46283</v>
      </c>
      <c r="B7632" s="11" t="n">
        <f aca="false">MOD(ROW()-9,24)</f>
        <v>15</v>
      </c>
      <c r="C7632" s="12"/>
      <c r="D7632" s="13" t="n">
        <f aca="false">IF(B7632&lt;5,Einstellungen!$B$3,Einstellungen!$B$4)</f>
        <v>29.13</v>
      </c>
      <c r="E7632" s="14" t="str">
        <f aca="false">IF(C7632="","",C7632*D7632/100)</f>
        <v/>
      </c>
      <c r="F7632" s="15" t="str">
        <f aca="false">IF(B7632&lt;5,"Go","Standard")</f>
        <v>Standard</v>
      </c>
    </row>
    <row r="7633" customFormat="false" ht="15" hidden="false" customHeight="true" outlineLevel="0" collapsed="false">
      <c r="A7633" s="10" t="n">
        <f aca="false">Einstellungen!$B$5+INT((ROW()-9)/24)</f>
        <v>46283</v>
      </c>
      <c r="B7633" s="11" t="n">
        <f aca="false">MOD(ROW()-9,24)</f>
        <v>16</v>
      </c>
      <c r="C7633" s="12"/>
      <c r="D7633" s="13" t="n">
        <f aca="false">IF(B7633&lt;5,Einstellungen!$B$3,Einstellungen!$B$4)</f>
        <v>29.13</v>
      </c>
      <c r="E7633" s="14" t="str">
        <f aca="false">IF(C7633="","",C7633*D7633/100)</f>
        <v/>
      </c>
      <c r="F7633" s="15" t="str">
        <f aca="false">IF(B7633&lt;5,"Go","Standard")</f>
        <v>Standard</v>
      </c>
    </row>
    <row r="7634" customFormat="false" ht="15" hidden="false" customHeight="true" outlineLevel="0" collapsed="false">
      <c r="A7634" s="10" t="n">
        <f aca="false">Einstellungen!$B$5+INT((ROW()-9)/24)</f>
        <v>46283</v>
      </c>
      <c r="B7634" s="11" t="n">
        <f aca="false">MOD(ROW()-9,24)</f>
        <v>17</v>
      </c>
      <c r="C7634" s="12"/>
      <c r="D7634" s="13" t="n">
        <f aca="false">IF(B7634&lt;5,Einstellungen!$B$3,Einstellungen!$B$4)</f>
        <v>29.13</v>
      </c>
      <c r="E7634" s="14" t="str">
        <f aca="false">IF(C7634="","",C7634*D7634/100)</f>
        <v/>
      </c>
      <c r="F7634" s="15" t="str">
        <f aca="false">IF(B7634&lt;5,"Go","Standard")</f>
        <v>Standard</v>
      </c>
    </row>
    <row r="7635" customFormat="false" ht="15" hidden="false" customHeight="true" outlineLevel="0" collapsed="false">
      <c r="A7635" s="10" t="n">
        <f aca="false">Einstellungen!$B$5+INT((ROW()-9)/24)</f>
        <v>46283</v>
      </c>
      <c r="B7635" s="11" t="n">
        <f aca="false">MOD(ROW()-9,24)</f>
        <v>18</v>
      </c>
      <c r="C7635" s="12"/>
      <c r="D7635" s="13" t="n">
        <f aca="false">IF(B7635&lt;5,Einstellungen!$B$3,Einstellungen!$B$4)</f>
        <v>29.13</v>
      </c>
      <c r="E7635" s="14" t="str">
        <f aca="false">IF(C7635="","",C7635*D7635/100)</f>
        <v/>
      </c>
      <c r="F7635" s="15" t="str">
        <f aca="false">IF(B7635&lt;5,"Go","Standard")</f>
        <v>Standard</v>
      </c>
    </row>
    <row r="7636" customFormat="false" ht="15" hidden="false" customHeight="true" outlineLevel="0" collapsed="false">
      <c r="A7636" s="10" t="n">
        <f aca="false">Einstellungen!$B$5+INT((ROW()-9)/24)</f>
        <v>46283</v>
      </c>
      <c r="B7636" s="11" t="n">
        <f aca="false">MOD(ROW()-9,24)</f>
        <v>19</v>
      </c>
      <c r="C7636" s="12"/>
      <c r="D7636" s="13" t="n">
        <f aca="false">IF(B7636&lt;5,Einstellungen!$B$3,Einstellungen!$B$4)</f>
        <v>29.13</v>
      </c>
      <c r="E7636" s="14" t="str">
        <f aca="false">IF(C7636="","",C7636*D7636/100)</f>
        <v/>
      </c>
      <c r="F7636" s="15" t="str">
        <f aca="false">IF(B7636&lt;5,"Go","Standard")</f>
        <v>Standard</v>
      </c>
    </row>
    <row r="7637" customFormat="false" ht="15" hidden="false" customHeight="true" outlineLevel="0" collapsed="false">
      <c r="A7637" s="10" t="n">
        <f aca="false">Einstellungen!$B$5+INT((ROW()-9)/24)</f>
        <v>46283</v>
      </c>
      <c r="B7637" s="11" t="n">
        <f aca="false">MOD(ROW()-9,24)</f>
        <v>20</v>
      </c>
      <c r="C7637" s="12"/>
      <c r="D7637" s="13" t="n">
        <f aca="false">IF(B7637&lt;5,Einstellungen!$B$3,Einstellungen!$B$4)</f>
        <v>29.13</v>
      </c>
      <c r="E7637" s="14" t="str">
        <f aca="false">IF(C7637="","",C7637*D7637/100)</f>
        <v/>
      </c>
      <c r="F7637" s="15" t="str">
        <f aca="false">IF(B7637&lt;5,"Go","Standard")</f>
        <v>Standard</v>
      </c>
    </row>
    <row r="7638" customFormat="false" ht="15" hidden="false" customHeight="true" outlineLevel="0" collapsed="false">
      <c r="A7638" s="10" t="n">
        <f aca="false">Einstellungen!$B$5+INT((ROW()-9)/24)</f>
        <v>46283</v>
      </c>
      <c r="B7638" s="11" t="n">
        <f aca="false">MOD(ROW()-9,24)</f>
        <v>21</v>
      </c>
      <c r="C7638" s="12"/>
      <c r="D7638" s="13" t="n">
        <f aca="false">IF(B7638&lt;5,Einstellungen!$B$3,Einstellungen!$B$4)</f>
        <v>29.13</v>
      </c>
      <c r="E7638" s="14" t="str">
        <f aca="false">IF(C7638="","",C7638*D7638/100)</f>
        <v/>
      </c>
      <c r="F7638" s="15" t="str">
        <f aca="false">IF(B7638&lt;5,"Go","Standard")</f>
        <v>Standard</v>
      </c>
    </row>
    <row r="7639" customFormat="false" ht="15" hidden="false" customHeight="true" outlineLevel="0" collapsed="false">
      <c r="A7639" s="10" t="n">
        <f aca="false">Einstellungen!$B$5+INT((ROW()-9)/24)</f>
        <v>46283</v>
      </c>
      <c r="B7639" s="11" t="n">
        <f aca="false">MOD(ROW()-9,24)</f>
        <v>22</v>
      </c>
      <c r="C7639" s="12"/>
      <c r="D7639" s="13" t="n">
        <f aca="false">IF(B7639&lt;5,Einstellungen!$B$3,Einstellungen!$B$4)</f>
        <v>29.13</v>
      </c>
      <c r="E7639" s="14" t="str">
        <f aca="false">IF(C7639="","",C7639*D7639/100)</f>
        <v/>
      </c>
      <c r="F7639" s="15" t="str">
        <f aca="false">IF(B7639&lt;5,"Go","Standard")</f>
        <v>Standard</v>
      </c>
    </row>
    <row r="7640" customFormat="false" ht="15" hidden="false" customHeight="true" outlineLevel="0" collapsed="false">
      <c r="A7640" s="10" t="n">
        <f aca="false">Einstellungen!$B$5+INT((ROW()-9)/24)</f>
        <v>46283</v>
      </c>
      <c r="B7640" s="11" t="n">
        <f aca="false">MOD(ROW()-9,24)</f>
        <v>23</v>
      </c>
      <c r="C7640" s="12"/>
      <c r="D7640" s="13" t="n">
        <f aca="false">IF(B7640&lt;5,Einstellungen!$B$3,Einstellungen!$B$4)</f>
        <v>29.13</v>
      </c>
      <c r="E7640" s="14" t="str">
        <f aca="false">IF(C7640="","",C7640*D7640/100)</f>
        <v/>
      </c>
      <c r="F7640" s="15" t="str">
        <f aca="false">IF(B7640&lt;5,"Go","Standard")</f>
        <v>Standard</v>
      </c>
    </row>
    <row r="7641" customFormat="false" ht="15" hidden="false" customHeight="true" outlineLevel="0" collapsed="false">
      <c r="A7641" s="10" t="n">
        <f aca="false">Einstellungen!$B$5+INT((ROW()-9)/24)</f>
        <v>46284</v>
      </c>
      <c r="B7641" s="11" t="n">
        <f aca="false">MOD(ROW()-9,24)</f>
        <v>0</v>
      </c>
      <c r="C7641" s="12"/>
      <c r="D7641" s="13" t="n">
        <f aca="false">IF(B7641&lt;5,Einstellungen!$B$3,Einstellungen!$B$4)</f>
        <v>15.92</v>
      </c>
      <c r="E7641" s="14" t="str">
        <f aca="false">IF(C7641="","",C7641*D7641/100)</f>
        <v/>
      </c>
      <c r="F7641" s="15" t="str">
        <f aca="false">IF(B7641&lt;5,"Go","Standard")</f>
        <v>Go</v>
      </c>
    </row>
    <row r="7642" customFormat="false" ht="15" hidden="false" customHeight="true" outlineLevel="0" collapsed="false">
      <c r="A7642" s="10" t="n">
        <f aca="false">Einstellungen!$B$5+INT((ROW()-9)/24)</f>
        <v>46284</v>
      </c>
      <c r="B7642" s="11" t="n">
        <f aca="false">MOD(ROW()-9,24)</f>
        <v>1</v>
      </c>
      <c r="C7642" s="12"/>
      <c r="D7642" s="13" t="n">
        <f aca="false">IF(B7642&lt;5,Einstellungen!$B$3,Einstellungen!$B$4)</f>
        <v>15.92</v>
      </c>
      <c r="E7642" s="14" t="str">
        <f aca="false">IF(C7642="","",C7642*D7642/100)</f>
        <v/>
      </c>
      <c r="F7642" s="15" t="str">
        <f aca="false">IF(B7642&lt;5,"Go","Standard")</f>
        <v>Go</v>
      </c>
    </row>
    <row r="7643" customFormat="false" ht="15" hidden="false" customHeight="true" outlineLevel="0" collapsed="false">
      <c r="A7643" s="10" t="n">
        <f aca="false">Einstellungen!$B$5+INT((ROW()-9)/24)</f>
        <v>46284</v>
      </c>
      <c r="B7643" s="11" t="n">
        <f aca="false">MOD(ROW()-9,24)</f>
        <v>2</v>
      </c>
      <c r="C7643" s="12"/>
      <c r="D7643" s="13" t="n">
        <f aca="false">IF(B7643&lt;5,Einstellungen!$B$3,Einstellungen!$B$4)</f>
        <v>15.92</v>
      </c>
      <c r="E7643" s="14" t="str">
        <f aca="false">IF(C7643="","",C7643*D7643/100)</f>
        <v/>
      </c>
      <c r="F7643" s="15" t="str">
        <f aca="false">IF(B7643&lt;5,"Go","Standard")</f>
        <v>Go</v>
      </c>
    </row>
    <row r="7644" customFormat="false" ht="15" hidden="false" customHeight="true" outlineLevel="0" collapsed="false">
      <c r="A7644" s="10" t="n">
        <f aca="false">Einstellungen!$B$5+INT((ROW()-9)/24)</f>
        <v>46284</v>
      </c>
      <c r="B7644" s="11" t="n">
        <f aca="false">MOD(ROW()-9,24)</f>
        <v>3</v>
      </c>
      <c r="C7644" s="12"/>
      <c r="D7644" s="13" t="n">
        <f aca="false">IF(B7644&lt;5,Einstellungen!$B$3,Einstellungen!$B$4)</f>
        <v>15.92</v>
      </c>
      <c r="E7644" s="14" t="str">
        <f aca="false">IF(C7644="","",C7644*D7644/100)</f>
        <v/>
      </c>
      <c r="F7644" s="15" t="str">
        <f aca="false">IF(B7644&lt;5,"Go","Standard")</f>
        <v>Go</v>
      </c>
    </row>
    <row r="7645" customFormat="false" ht="15" hidden="false" customHeight="true" outlineLevel="0" collapsed="false">
      <c r="A7645" s="10" t="n">
        <f aca="false">Einstellungen!$B$5+INT((ROW()-9)/24)</f>
        <v>46284</v>
      </c>
      <c r="B7645" s="11" t="n">
        <f aca="false">MOD(ROW()-9,24)</f>
        <v>4</v>
      </c>
      <c r="C7645" s="12"/>
      <c r="D7645" s="13" t="n">
        <f aca="false">IF(B7645&lt;5,Einstellungen!$B$3,Einstellungen!$B$4)</f>
        <v>15.92</v>
      </c>
      <c r="E7645" s="14" t="str">
        <f aca="false">IF(C7645="","",C7645*D7645/100)</f>
        <v/>
      </c>
      <c r="F7645" s="15" t="str">
        <f aca="false">IF(B7645&lt;5,"Go","Standard")</f>
        <v>Go</v>
      </c>
    </row>
    <row r="7646" customFormat="false" ht="15" hidden="false" customHeight="true" outlineLevel="0" collapsed="false">
      <c r="A7646" s="10" t="n">
        <f aca="false">Einstellungen!$B$5+INT((ROW()-9)/24)</f>
        <v>46284</v>
      </c>
      <c r="B7646" s="11" t="n">
        <f aca="false">MOD(ROW()-9,24)</f>
        <v>5</v>
      </c>
      <c r="C7646" s="12"/>
      <c r="D7646" s="13" t="n">
        <f aca="false">IF(B7646&lt;5,Einstellungen!$B$3,Einstellungen!$B$4)</f>
        <v>29.13</v>
      </c>
      <c r="E7646" s="14" t="str">
        <f aca="false">IF(C7646="","",C7646*D7646/100)</f>
        <v/>
      </c>
      <c r="F7646" s="15" t="str">
        <f aca="false">IF(B7646&lt;5,"Go","Standard")</f>
        <v>Standard</v>
      </c>
    </row>
    <row r="7647" customFormat="false" ht="15" hidden="false" customHeight="true" outlineLevel="0" collapsed="false">
      <c r="A7647" s="10" t="n">
        <f aca="false">Einstellungen!$B$5+INT((ROW()-9)/24)</f>
        <v>46284</v>
      </c>
      <c r="B7647" s="11" t="n">
        <f aca="false">MOD(ROW()-9,24)</f>
        <v>6</v>
      </c>
      <c r="C7647" s="12"/>
      <c r="D7647" s="13" t="n">
        <f aca="false">IF(B7647&lt;5,Einstellungen!$B$3,Einstellungen!$B$4)</f>
        <v>29.13</v>
      </c>
      <c r="E7647" s="14" t="str">
        <f aca="false">IF(C7647="","",C7647*D7647/100)</f>
        <v/>
      </c>
      <c r="F7647" s="15" t="str">
        <f aca="false">IF(B7647&lt;5,"Go","Standard")</f>
        <v>Standard</v>
      </c>
    </row>
    <row r="7648" customFormat="false" ht="15" hidden="false" customHeight="true" outlineLevel="0" collapsed="false">
      <c r="A7648" s="10" t="n">
        <f aca="false">Einstellungen!$B$5+INT((ROW()-9)/24)</f>
        <v>46284</v>
      </c>
      <c r="B7648" s="11" t="n">
        <f aca="false">MOD(ROW()-9,24)</f>
        <v>7</v>
      </c>
      <c r="C7648" s="12"/>
      <c r="D7648" s="13" t="n">
        <f aca="false">IF(B7648&lt;5,Einstellungen!$B$3,Einstellungen!$B$4)</f>
        <v>29.13</v>
      </c>
      <c r="E7648" s="14" t="str">
        <f aca="false">IF(C7648="","",C7648*D7648/100)</f>
        <v/>
      </c>
      <c r="F7648" s="15" t="str">
        <f aca="false">IF(B7648&lt;5,"Go","Standard")</f>
        <v>Standard</v>
      </c>
    </row>
    <row r="7649" customFormat="false" ht="15" hidden="false" customHeight="true" outlineLevel="0" collapsed="false">
      <c r="A7649" s="10" t="n">
        <f aca="false">Einstellungen!$B$5+INT((ROW()-9)/24)</f>
        <v>46284</v>
      </c>
      <c r="B7649" s="11" t="n">
        <f aca="false">MOD(ROW()-9,24)</f>
        <v>8</v>
      </c>
      <c r="C7649" s="12"/>
      <c r="D7649" s="13" t="n">
        <f aca="false">IF(B7649&lt;5,Einstellungen!$B$3,Einstellungen!$B$4)</f>
        <v>29.13</v>
      </c>
      <c r="E7649" s="14" t="str">
        <f aca="false">IF(C7649="","",C7649*D7649/100)</f>
        <v/>
      </c>
      <c r="F7649" s="15" t="str">
        <f aca="false">IF(B7649&lt;5,"Go","Standard")</f>
        <v>Standard</v>
      </c>
    </row>
    <row r="7650" customFormat="false" ht="15" hidden="false" customHeight="true" outlineLevel="0" collapsed="false">
      <c r="A7650" s="10" t="n">
        <f aca="false">Einstellungen!$B$5+INT((ROW()-9)/24)</f>
        <v>46284</v>
      </c>
      <c r="B7650" s="11" t="n">
        <f aca="false">MOD(ROW()-9,24)</f>
        <v>9</v>
      </c>
      <c r="C7650" s="12"/>
      <c r="D7650" s="13" t="n">
        <f aca="false">IF(B7650&lt;5,Einstellungen!$B$3,Einstellungen!$B$4)</f>
        <v>29.13</v>
      </c>
      <c r="E7650" s="14" t="str">
        <f aca="false">IF(C7650="","",C7650*D7650/100)</f>
        <v/>
      </c>
      <c r="F7650" s="15" t="str">
        <f aca="false">IF(B7650&lt;5,"Go","Standard")</f>
        <v>Standard</v>
      </c>
    </row>
    <row r="7651" customFormat="false" ht="15" hidden="false" customHeight="true" outlineLevel="0" collapsed="false">
      <c r="A7651" s="10" t="n">
        <f aca="false">Einstellungen!$B$5+INT((ROW()-9)/24)</f>
        <v>46284</v>
      </c>
      <c r="B7651" s="11" t="n">
        <f aca="false">MOD(ROW()-9,24)</f>
        <v>10</v>
      </c>
      <c r="C7651" s="12"/>
      <c r="D7651" s="13" t="n">
        <f aca="false">IF(B7651&lt;5,Einstellungen!$B$3,Einstellungen!$B$4)</f>
        <v>29.13</v>
      </c>
      <c r="E7651" s="14" t="str">
        <f aca="false">IF(C7651="","",C7651*D7651/100)</f>
        <v/>
      </c>
      <c r="F7651" s="15" t="str">
        <f aca="false">IF(B7651&lt;5,"Go","Standard")</f>
        <v>Standard</v>
      </c>
    </row>
    <row r="7652" customFormat="false" ht="15" hidden="false" customHeight="true" outlineLevel="0" collapsed="false">
      <c r="A7652" s="10" t="n">
        <f aca="false">Einstellungen!$B$5+INT((ROW()-9)/24)</f>
        <v>46284</v>
      </c>
      <c r="B7652" s="11" t="n">
        <f aca="false">MOD(ROW()-9,24)</f>
        <v>11</v>
      </c>
      <c r="C7652" s="12"/>
      <c r="D7652" s="13" t="n">
        <f aca="false">IF(B7652&lt;5,Einstellungen!$B$3,Einstellungen!$B$4)</f>
        <v>29.13</v>
      </c>
      <c r="E7652" s="14" t="str">
        <f aca="false">IF(C7652="","",C7652*D7652/100)</f>
        <v/>
      </c>
      <c r="F7652" s="15" t="str">
        <f aca="false">IF(B7652&lt;5,"Go","Standard")</f>
        <v>Standard</v>
      </c>
    </row>
    <row r="7653" customFormat="false" ht="15" hidden="false" customHeight="true" outlineLevel="0" collapsed="false">
      <c r="A7653" s="10" t="n">
        <f aca="false">Einstellungen!$B$5+INT((ROW()-9)/24)</f>
        <v>46284</v>
      </c>
      <c r="B7653" s="11" t="n">
        <f aca="false">MOD(ROW()-9,24)</f>
        <v>12</v>
      </c>
      <c r="C7653" s="12"/>
      <c r="D7653" s="13" t="n">
        <f aca="false">IF(B7653&lt;5,Einstellungen!$B$3,Einstellungen!$B$4)</f>
        <v>29.13</v>
      </c>
      <c r="E7653" s="14" t="str">
        <f aca="false">IF(C7653="","",C7653*D7653/100)</f>
        <v/>
      </c>
      <c r="F7653" s="15" t="str">
        <f aca="false">IF(B7653&lt;5,"Go","Standard")</f>
        <v>Standard</v>
      </c>
    </row>
    <row r="7654" customFormat="false" ht="15" hidden="false" customHeight="true" outlineLevel="0" collapsed="false">
      <c r="A7654" s="10" t="n">
        <f aca="false">Einstellungen!$B$5+INT((ROW()-9)/24)</f>
        <v>46284</v>
      </c>
      <c r="B7654" s="11" t="n">
        <f aca="false">MOD(ROW()-9,24)</f>
        <v>13</v>
      </c>
      <c r="C7654" s="12"/>
      <c r="D7654" s="13" t="n">
        <f aca="false">IF(B7654&lt;5,Einstellungen!$B$3,Einstellungen!$B$4)</f>
        <v>29.13</v>
      </c>
      <c r="E7654" s="14" t="str">
        <f aca="false">IF(C7654="","",C7654*D7654/100)</f>
        <v/>
      </c>
      <c r="F7654" s="15" t="str">
        <f aca="false">IF(B7654&lt;5,"Go","Standard")</f>
        <v>Standard</v>
      </c>
    </row>
    <row r="7655" customFormat="false" ht="15" hidden="false" customHeight="true" outlineLevel="0" collapsed="false">
      <c r="A7655" s="10" t="n">
        <f aca="false">Einstellungen!$B$5+INT((ROW()-9)/24)</f>
        <v>46284</v>
      </c>
      <c r="B7655" s="11" t="n">
        <f aca="false">MOD(ROW()-9,24)</f>
        <v>14</v>
      </c>
      <c r="C7655" s="12"/>
      <c r="D7655" s="13" t="n">
        <f aca="false">IF(B7655&lt;5,Einstellungen!$B$3,Einstellungen!$B$4)</f>
        <v>29.13</v>
      </c>
      <c r="E7655" s="14" t="str">
        <f aca="false">IF(C7655="","",C7655*D7655/100)</f>
        <v/>
      </c>
      <c r="F7655" s="15" t="str">
        <f aca="false">IF(B7655&lt;5,"Go","Standard")</f>
        <v>Standard</v>
      </c>
    </row>
    <row r="7656" customFormat="false" ht="15" hidden="false" customHeight="true" outlineLevel="0" collapsed="false">
      <c r="A7656" s="10" t="n">
        <f aca="false">Einstellungen!$B$5+INT((ROW()-9)/24)</f>
        <v>46284</v>
      </c>
      <c r="B7656" s="11" t="n">
        <f aca="false">MOD(ROW()-9,24)</f>
        <v>15</v>
      </c>
      <c r="C7656" s="12"/>
      <c r="D7656" s="13" t="n">
        <f aca="false">IF(B7656&lt;5,Einstellungen!$B$3,Einstellungen!$B$4)</f>
        <v>29.13</v>
      </c>
      <c r="E7656" s="14" t="str">
        <f aca="false">IF(C7656="","",C7656*D7656/100)</f>
        <v/>
      </c>
      <c r="F7656" s="15" t="str">
        <f aca="false">IF(B7656&lt;5,"Go","Standard")</f>
        <v>Standard</v>
      </c>
    </row>
    <row r="7657" customFormat="false" ht="15" hidden="false" customHeight="true" outlineLevel="0" collapsed="false">
      <c r="A7657" s="10" t="n">
        <f aca="false">Einstellungen!$B$5+INT((ROW()-9)/24)</f>
        <v>46284</v>
      </c>
      <c r="B7657" s="11" t="n">
        <f aca="false">MOD(ROW()-9,24)</f>
        <v>16</v>
      </c>
      <c r="C7657" s="12"/>
      <c r="D7657" s="13" t="n">
        <f aca="false">IF(B7657&lt;5,Einstellungen!$B$3,Einstellungen!$B$4)</f>
        <v>29.13</v>
      </c>
      <c r="E7657" s="14" t="str">
        <f aca="false">IF(C7657="","",C7657*D7657/100)</f>
        <v/>
      </c>
      <c r="F7657" s="15" t="str">
        <f aca="false">IF(B7657&lt;5,"Go","Standard")</f>
        <v>Standard</v>
      </c>
    </row>
    <row r="7658" customFormat="false" ht="15" hidden="false" customHeight="true" outlineLevel="0" collapsed="false">
      <c r="A7658" s="10" t="n">
        <f aca="false">Einstellungen!$B$5+INT((ROW()-9)/24)</f>
        <v>46284</v>
      </c>
      <c r="B7658" s="11" t="n">
        <f aca="false">MOD(ROW()-9,24)</f>
        <v>17</v>
      </c>
      <c r="C7658" s="12"/>
      <c r="D7658" s="13" t="n">
        <f aca="false">IF(B7658&lt;5,Einstellungen!$B$3,Einstellungen!$B$4)</f>
        <v>29.13</v>
      </c>
      <c r="E7658" s="14" t="str">
        <f aca="false">IF(C7658="","",C7658*D7658/100)</f>
        <v/>
      </c>
      <c r="F7658" s="15" t="str">
        <f aca="false">IF(B7658&lt;5,"Go","Standard")</f>
        <v>Standard</v>
      </c>
    </row>
    <row r="7659" customFormat="false" ht="15" hidden="false" customHeight="true" outlineLevel="0" collapsed="false">
      <c r="A7659" s="10" t="n">
        <f aca="false">Einstellungen!$B$5+INT((ROW()-9)/24)</f>
        <v>46284</v>
      </c>
      <c r="B7659" s="11" t="n">
        <f aca="false">MOD(ROW()-9,24)</f>
        <v>18</v>
      </c>
      <c r="C7659" s="12"/>
      <c r="D7659" s="13" t="n">
        <f aca="false">IF(B7659&lt;5,Einstellungen!$B$3,Einstellungen!$B$4)</f>
        <v>29.13</v>
      </c>
      <c r="E7659" s="14" t="str">
        <f aca="false">IF(C7659="","",C7659*D7659/100)</f>
        <v/>
      </c>
      <c r="F7659" s="15" t="str">
        <f aca="false">IF(B7659&lt;5,"Go","Standard")</f>
        <v>Standard</v>
      </c>
    </row>
    <row r="7660" customFormat="false" ht="15" hidden="false" customHeight="true" outlineLevel="0" collapsed="false">
      <c r="A7660" s="10" t="n">
        <f aca="false">Einstellungen!$B$5+INT((ROW()-9)/24)</f>
        <v>46284</v>
      </c>
      <c r="B7660" s="11" t="n">
        <f aca="false">MOD(ROW()-9,24)</f>
        <v>19</v>
      </c>
      <c r="C7660" s="12"/>
      <c r="D7660" s="13" t="n">
        <f aca="false">IF(B7660&lt;5,Einstellungen!$B$3,Einstellungen!$B$4)</f>
        <v>29.13</v>
      </c>
      <c r="E7660" s="14" t="str">
        <f aca="false">IF(C7660="","",C7660*D7660/100)</f>
        <v/>
      </c>
      <c r="F7660" s="15" t="str">
        <f aca="false">IF(B7660&lt;5,"Go","Standard")</f>
        <v>Standard</v>
      </c>
    </row>
    <row r="7661" customFormat="false" ht="15" hidden="false" customHeight="true" outlineLevel="0" collapsed="false">
      <c r="A7661" s="10" t="n">
        <f aca="false">Einstellungen!$B$5+INT((ROW()-9)/24)</f>
        <v>46284</v>
      </c>
      <c r="B7661" s="11" t="n">
        <f aca="false">MOD(ROW()-9,24)</f>
        <v>20</v>
      </c>
      <c r="C7661" s="12"/>
      <c r="D7661" s="13" t="n">
        <f aca="false">IF(B7661&lt;5,Einstellungen!$B$3,Einstellungen!$B$4)</f>
        <v>29.13</v>
      </c>
      <c r="E7661" s="14" t="str">
        <f aca="false">IF(C7661="","",C7661*D7661/100)</f>
        <v/>
      </c>
      <c r="F7661" s="15" t="str">
        <f aca="false">IF(B7661&lt;5,"Go","Standard")</f>
        <v>Standard</v>
      </c>
    </row>
    <row r="7662" customFormat="false" ht="15" hidden="false" customHeight="true" outlineLevel="0" collapsed="false">
      <c r="A7662" s="10" t="n">
        <f aca="false">Einstellungen!$B$5+INT((ROW()-9)/24)</f>
        <v>46284</v>
      </c>
      <c r="B7662" s="11" t="n">
        <f aca="false">MOD(ROW()-9,24)</f>
        <v>21</v>
      </c>
      <c r="C7662" s="12"/>
      <c r="D7662" s="13" t="n">
        <f aca="false">IF(B7662&lt;5,Einstellungen!$B$3,Einstellungen!$B$4)</f>
        <v>29.13</v>
      </c>
      <c r="E7662" s="14" t="str">
        <f aca="false">IF(C7662="","",C7662*D7662/100)</f>
        <v/>
      </c>
      <c r="F7662" s="15" t="str">
        <f aca="false">IF(B7662&lt;5,"Go","Standard")</f>
        <v>Standard</v>
      </c>
    </row>
    <row r="7663" customFormat="false" ht="15" hidden="false" customHeight="true" outlineLevel="0" collapsed="false">
      <c r="A7663" s="10" t="n">
        <f aca="false">Einstellungen!$B$5+INT((ROW()-9)/24)</f>
        <v>46284</v>
      </c>
      <c r="B7663" s="11" t="n">
        <f aca="false">MOD(ROW()-9,24)</f>
        <v>22</v>
      </c>
      <c r="C7663" s="12"/>
      <c r="D7663" s="13" t="n">
        <f aca="false">IF(B7663&lt;5,Einstellungen!$B$3,Einstellungen!$B$4)</f>
        <v>29.13</v>
      </c>
      <c r="E7663" s="14" t="str">
        <f aca="false">IF(C7663="","",C7663*D7663/100)</f>
        <v/>
      </c>
      <c r="F7663" s="15" t="str">
        <f aca="false">IF(B7663&lt;5,"Go","Standard")</f>
        <v>Standard</v>
      </c>
    </row>
    <row r="7664" customFormat="false" ht="15" hidden="false" customHeight="true" outlineLevel="0" collapsed="false">
      <c r="A7664" s="10" t="n">
        <f aca="false">Einstellungen!$B$5+INT((ROW()-9)/24)</f>
        <v>46284</v>
      </c>
      <c r="B7664" s="11" t="n">
        <f aca="false">MOD(ROW()-9,24)</f>
        <v>23</v>
      </c>
      <c r="C7664" s="12"/>
      <c r="D7664" s="13" t="n">
        <f aca="false">IF(B7664&lt;5,Einstellungen!$B$3,Einstellungen!$B$4)</f>
        <v>29.13</v>
      </c>
      <c r="E7664" s="14" t="str">
        <f aca="false">IF(C7664="","",C7664*D7664/100)</f>
        <v/>
      </c>
      <c r="F7664" s="15" t="str">
        <f aca="false">IF(B7664&lt;5,"Go","Standard")</f>
        <v>Standard</v>
      </c>
    </row>
    <row r="7665" customFormat="false" ht="15" hidden="false" customHeight="true" outlineLevel="0" collapsed="false">
      <c r="A7665" s="10" t="n">
        <f aca="false">Einstellungen!$B$5+INT((ROW()-9)/24)</f>
        <v>46285</v>
      </c>
      <c r="B7665" s="11" t="n">
        <f aca="false">MOD(ROW()-9,24)</f>
        <v>0</v>
      </c>
      <c r="C7665" s="12"/>
      <c r="D7665" s="13" t="n">
        <f aca="false">IF(B7665&lt;5,Einstellungen!$B$3,Einstellungen!$B$4)</f>
        <v>15.92</v>
      </c>
      <c r="E7665" s="14" t="str">
        <f aca="false">IF(C7665="","",C7665*D7665/100)</f>
        <v/>
      </c>
      <c r="F7665" s="15" t="str">
        <f aca="false">IF(B7665&lt;5,"Go","Standard")</f>
        <v>Go</v>
      </c>
    </row>
    <row r="7666" customFormat="false" ht="15" hidden="false" customHeight="true" outlineLevel="0" collapsed="false">
      <c r="A7666" s="10" t="n">
        <f aca="false">Einstellungen!$B$5+INT((ROW()-9)/24)</f>
        <v>46285</v>
      </c>
      <c r="B7666" s="11" t="n">
        <f aca="false">MOD(ROW()-9,24)</f>
        <v>1</v>
      </c>
      <c r="C7666" s="12"/>
      <c r="D7666" s="13" t="n">
        <f aca="false">IF(B7666&lt;5,Einstellungen!$B$3,Einstellungen!$B$4)</f>
        <v>15.92</v>
      </c>
      <c r="E7666" s="14" t="str">
        <f aca="false">IF(C7666="","",C7666*D7666/100)</f>
        <v/>
      </c>
      <c r="F7666" s="15" t="str">
        <f aca="false">IF(B7666&lt;5,"Go","Standard")</f>
        <v>Go</v>
      </c>
    </row>
    <row r="7667" customFormat="false" ht="15" hidden="false" customHeight="true" outlineLevel="0" collapsed="false">
      <c r="A7667" s="10" t="n">
        <f aca="false">Einstellungen!$B$5+INT((ROW()-9)/24)</f>
        <v>46285</v>
      </c>
      <c r="B7667" s="11" t="n">
        <f aca="false">MOD(ROW()-9,24)</f>
        <v>2</v>
      </c>
      <c r="C7667" s="12"/>
      <c r="D7667" s="13" t="n">
        <f aca="false">IF(B7667&lt;5,Einstellungen!$B$3,Einstellungen!$B$4)</f>
        <v>15.92</v>
      </c>
      <c r="E7667" s="14" t="str">
        <f aca="false">IF(C7667="","",C7667*D7667/100)</f>
        <v/>
      </c>
      <c r="F7667" s="15" t="str">
        <f aca="false">IF(B7667&lt;5,"Go","Standard")</f>
        <v>Go</v>
      </c>
    </row>
    <row r="7668" customFormat="false" ht="15" hidden="false" customHeight="true" outlineLevel="0" collapsed="false">
      <c r="A7668" s="10" t="n">
        <f aca="false">Einstellungen!$B$5+INT((ROW()-9)/24)</f>
        <v>46285</v>
      </c>
      <c r="B7668" s="11" t="n">
        <f aca="false">MOD(ROW()-9,24)</f>
        <v>3</v>
      </c>
      <c r="C7668" s="12"/>
      <c r="D7668" s="13" t="n">
        <f aca="false">IF(B7668&lt;5,Einstellungen!$B$3,Einstellungen!$B$4)</f>
        <v>15.92</v>
      </c>
      <c r="E7668" s="14" t="str">
        <f aca="false">IF(C7668="","",C7668*D7668/100)</f>
        <v/>
      </c>
      <c r="F7668" s="15" t="str">
        <f aca="false">IF(B7668&lt;5,"Go","Standard")</f>
        <v>Go</v>
      </c>
    </row>
    <row r="7669" customFormat="false" ht="15" hidden="false" customHeight="true" outlineLevel="0" collapsed="false">
      <c r="A7669" s="10" t="n">
        <f aca="false">Einstellungen!$B$5+INT((ROW()-9)/24)</f>
        <v>46285</v>
      </c>
      <c r="B7669" s="11" t="n">
        <f aca="false">MOD(ROW()-9,24)</f>
        <v>4</v>
      </c>
      <c r="C7669" s="12"/>
      <c r="D7669" s="13" t="n">
        <f aca="false">IF(B7669&lt;5,Einstellungen!$B$3,Einstellungen!$B$4)</f>
        <v>15.92</v>
      </c>
      <c r="E7669" s="14" t="str">
        <f aca="false">IF(C7669="","",C7669*D7669/100)</f>
        <v/>
      </c>
      <c r="F7669" s="15" t="str">
        <f aca="false">IF(B7669&lt;5,"Go","Standard")</f>
        <v>Go</v>
      </c>
    </row>
    <row r="7670" customFormat="false" ht="15" hidden="false" customHeight="true" outlineLevel="0" collapsed="false">
      <c r="A7670" s="10" t="n">
        <f aca="false">Einstellungen!$B$5+INT((ROW()-9)/24)</f>
        <v>46285</v>
      </c>
      <c r="B7670" s="11" t="n">
        <f aca="false">MOD(ROW()-9,24)</f>
        <v>5</v>
      </c>
      <c r="C7670" s="12"/>
      <c r="D7670" s="13" t="n">
        <f aca="false">IF(B7670&lt;5,Einstellungen!$B$3,Einstellungen!$B$4)</f>
        <v>29.13</v>
      </c>
      <c r="E7670" s="14" t="str">
        <f aca="false">IF(C7670="","",C7670*D7670/100)</f>
        <v/>
      </c>
      <c r="F7670" s="15" t="str">
        <f aca="false">IF(B7670&lt;5,"Go","Standard")</f>
        <v>Standard</v>
      </c>
    </row>
    <row r="7671" customFormat="false" ht="15" hidden="false" customHeight="true" outlineLevel="0" collapsed="false">
      <c r="A7671" s="10" t="n">
        <f aca="false">Einstellungen!$B$5+INT((ROW()-9)/24)</f>
        <v>46285</v>
      </c>
      <c r="B7671" s="11" t="n">
        <f aca="false">MOD(ROW()-9,24)</f>
        <v>6</v>
      </c>
      <c r="C7671" s="12"/>
      <c r="D7671" s="13" t="n">
        <f aca="false">IF(B7671&lt;5,Einstellungen!$B$3,Einstellungen!$B$4)</f>
        <v>29.13</v>
      </c>
      <c r="E7671" s="14" t="str">
        <f aca="false">IF(C7671="","",C7671*D7671/100)</f>
        <v/>
      </c>
      <c r="F7671" s="15" t="str">
        <f aca="false">IF(B7671&lt;5,"Go","Standard")</f>
        <v>Standard</v>
      </c>
    </row>
    <row r="7672" customFormat="false" ht="15" hidden="false" customHeight="true" outlineLevel="0" collapsed="false">
      <c r="A7672" s="10" t="n">
        <f aca="false">Einstellungen!$B$5+INT((ROW()-9)/24)</f>
        <v>46285</v>
      </c>
      <c r="B7672" s="11" t="n">
        <f aca="false">MOD(ROW()-9,24)</f>
        <v>7</v>
      </c>
      <c r="C7672" s="12"/>
      <c r="D7672" s="13" t="n">
        <f aca="false">IF(B7672&lt;5,Einstellungen!$B$3,Einstellungen!$B$4)</f>
        <v>29.13</v>
      </c>
      <c r="E7672" s="14" t="str">
        <f aca="false">IF(C7672="","",C7672*D7672/100)</f>
        <v/>
      </c>
      <c r="F7672" s="15" t="str">
        <f aca="false">IF(B7672&lt;5,"Go","Standard")</f>
        <v>Standard</v>
      </c>
    </row>
    <row r="7673" customFormat="false" ht="15" hidden="false" customHeight="true" outlineLevel="0" collapsed="false">
      <c r="A7673" s="10" t="n">
        <f aca="false">Einstellungen!$B$5+INT((ROW()-9)/24)</f>
        <v>46285</v>
      </c>
      <c r="B7673" s="11" t="n">
        <f aca="false">MOD(ROW()-9,24)</f>
        <v>8</v>
      </c>
      <c r="C7673" s="12"/>
      <c r="D7673" s="13" t="n">
        <f aca="false">IF(B7673&lt;5,Einstellungen!$B$3,Einstellungen!$B$4)</f>
        <v>29.13</v>
      </c>
      <c r="E7673" s="14" t="str">
        <f aca="false">IF(C7673="","",C7673*D7673/100)</f>
        <v/>
      </c>
      <c r="F7673" s="15" t="str">
        <f aca="false">IF(B7673&lt;5,"Go","Standard")</f>
        <v>Standard</v>
      </c>
    </row>
    <row r="7674" customFormat="false" ht="15" hidden="false" customHeight="true" outlineLevel="0" collapsed="false">
      <c r="A7674" s="10" t="n">
        <f aca="false">Einstellungen!$B$5+INT((ROW()-9)/24)</f>
        <v>46285</v>
      </c>
      <c r="B7674" s="11" t="n">
        <f aca="false">MOD(ROW()-9,24)</f>
        <v>9</v>
      </c>
      <c r="C7674" s="12"/>
      <c r="D7674" s="13" t="n">
        <f aca="false">IF(B7674&lt;5,Einstellungen!$B$3,Einstellungen!$B$4)</f>
        <v>29.13</v>
      </c>
      <c r="E7674" s="14" t="str">
        <f aca="false">IF(C7674="","",C7674*D7674/100)</f>
        <v/>
      </c>
      <c r="F7674" s="15" t="str">
        <f aca="false">IF(B7674&lt;5,"Go","Standard")</f>
        <v>Standard</v>
      </c>
    </row>
    <row r="7675" customFormat="false" ht="15" hidden="false" customHeight="true" outlineLevel="0" collapsed="false">
      <c r="A7675" s="10" t="n">
        <f aca="false">Einstellungen!$B$5+INT((ROW()-9)/24)</f>
        <v>46285</v>
      </c>
      <c r="B7675" s="11" t="n">
        <f aca="false">MOD(ROW()-9,24)</f>
        <v>10</v>
      </c>
      <c r="C7675" s="12"/>
      <c r="D7675" s="13" t="n">
        <f aca="false">IF(B7675&lt;5,Einstellungen!$B$3,Einstellungen!$B$4)</f>
        <v>29.13</v>
      </c>
      <c r="E7675" s="14" t="str">
        <f aca="false">IF(C7675="","",C7675*D7675/100)</f>
        <v/>
      </c>
      <c r="F7675" s="15" t="str">
        <f aca="false">IF(B7675&lt;5,"Go","Standard")</f>
        <v>Standard</v>
      </c>
    </row>
    <row r="7676" customFormat="false" ht="15" hidden="false" customHeight="true" outlineLevel="0" collapsed="false">
      <c r="A7676" s="10" t="n">
        <f aca="false">Einstellungen!$B$5+INT((ROW()-9)/24)</f>
        <v>46285</v>
      </c>
      <c r="B7676" s="11" t="n">
        <f aca="false">MOD(ROW()-9,24)</f>
        <v>11</v>
      </c>
      <c r="C7676" s="12"/>
      <c r="D7676" s="13" t="n">
        <f aca="false">IF(B7676&lt;5,Einstellungen!$B$3,Einstellungen!$B$4)</f>
        <v>29.13</v>
      </c>
      <c r="E7676" s="14" t="str">
        <f aca="false">IF(C7676="","",C7676*D7676/100)</f>
        <v/>
      </c>
      <c r="F7676" s="15" t="str">
        <f aca="false">IF(B7676&lt;5,"Go","Standard")</f>
        <v>Standard</v>
      </c>
    </row>
    <row r="7677" customFormat="false" ht="15" hidden="false" customHeight="true" outlineLevel="0" collapsed="false">
      <c r="A7677" s="10" t="n">
        <f aca="false">Einstellungen!$B$5+INT((ROW()-9)/24)</f>
        <v>46285</v>
      </c>
      <c r="B7677" s="11" t="n">
        <f aca="false">MOD(ROW()-9,24)</f>
        <v>12</v>
      </c>
      <c r="C7677" s="12"/>
      <c r="D7677" s="13" t="n">
        <f aca="false">IF(B7677&lt;5,Einstellungen!$B$3,Einstellungen!$B$4)</f>
        <v>29.13</v>
      </c>
      <c r="E7677" s="14" t="str">
        <f aca="false">IF(C7677="","",C7677*D7677/100)</f>
        <v/>
      </c>
      <c r="F7677" s="15" t="str">
        <f aca="false">IF(B7677&lt;5,"Go","Standard")</f>
        <v>Standard</v>
      </c>
    </row>
    <row r="7678" customFormat="false" ht="15" hidden="false" customHeight="true" outlineLevel="0" collapsed="false">
      <c r="A7678" s="10" t="n">
        <f aca="false">Einstellungen!$B$5+INT((ROW()-9)/24)</f>
        <v>46285</v>
      </c>
      <c r="B7678" s="11" t="n">
        <f aca="false">MOD(ROW()-9,24)</f>
        <v>13</v>
      </c>
      <c r="C7678" s="12"/>
      <c r="D7678" s="13" t="n">
        <f aca="false">IF(B7678&lt;5,Einstellungen!$B$3,Einstellungen!$B$4)</f>
        <v>29.13</v>
      </c>
      <c r="E7678" s="14" t="str">
        <f aca="false">IF(C7678="","",C7678*D7678/100)</f>
        <v/>
      </c>
      <c r="F7678" s="15" t="str">
        <f aca="false">IF(B7678&lt;5,"Go","Standard")</f>
        <v>Standard</v>
      </c>
    </row>
    <row r="7679" customFormat="false" ht="15" hidden="false" customHeight="true" outlineLevel="0" collapsed="false">
      <c r="A7679" s="10" t="n">
        <f aca="false">Einstellungen!$B$5+INT((ROW()-9)/24)</f>
        <v>46285</v>
      </c>
      <c r="B7679" s="11" t="n">
        <f aca="false">MOD(ROW()-9,24)</f>
        <v>14</v>
      </c>
      <c r="C7679" s="12"/>
      <c r="D7679" s="13" t="n">
        <f aca="false">IF(B7679&lt;5,Einstellungen!$B$3,Einstellungen!$B$4)</f>
        <v>29.13</v>
      </c>
      <c r="E7679" s="14" t="str">
        <f aca="false">IF(C7679="","",C7679*D7679/100)</f>
        <v/>
      </c>
      <c r="F7679" s="15" t="str">
        <f aca="false">IF(B7679&lt;5,"Go","Standard")</f>
        <v>Standard</v>
      </c>
    </row>
    <row r="7680" customFormat="false" ht="15" hidden="false" customHeight="true" outlineLevel="0" collapsed="false">
      <c r="A7680" s="10" t="n">
        <f aca="false">Einstellungen!$B$5+INT((ROW()-9)/24)</f>
        <v>46285</v>
      </c>
      <c r="B7680" s="11" t="n">
        <f aca="false">MOD(ROW()-9,24)</f>
        <v>15</v>
      </c>
      <c r="C7680" s="12"/>
      <c r="D7680" s="13" t="n">
        <f aca="false">IF(B7680&lt;5,Einstellungen!$B$3,Einstellungen!$B$4)</f>
        <v>29.13</v>
      </c>
      <c r="E7680" s="14" t="str">
        <f aca="false">IF(C7680="","",C7680*D7680/100)</f>
        <v/>
      </c>
      <c r="F7680" s="15" t="str">
        <f aca="false">IF(B7680&lt;5,"Go","Standard")</f>
        <v>Standard</v>
      </c>
    </row>
    <row r="7681" customFormat="false" ht="15" hidden="false" customHeight="true" outlineLevel="0" collapsed="false">
      <c r="A7681" s="10" t="n">
        <f aca="false">Einstellungen!$B$5+INT((ROW()-9)/24)</f>
        <v>46285</v>
      </c>
      <c r="B7681" s="11" t="n">
        <f aca="false">MOD(ROW()-9,24)</f>
        <v>16</v>
      </c>
      <c r="C7681" s="12"/>
      <c r="D7681" s="13" t="n">
        <f aca="false">IF(B7681&lt;5,Einstellungen!$B$3,Einstellungen!$B$4)</f>
        <v>29.13</v>
      </c>
      <c r="E7681" s="14" t="str">
        <f aca="false">IF(C7681="","",C7681*D7681/100)</f>
        <v/>
      </c>
      <c r="F7681" s="15" t="str">
        <f aca="false">IF(B7681&lt;5,"Go","Standard")</f>
        <v>Standard</v>
      </c>
    </row>
    <row r="7682" customFormat="false" ht="15" hidden="false" customHeight="true" outlineLevel="0" collapsed="false">
      <c r="A7682" s="10" t="n">
        <f aca="false">Einstellungen!$B$5+INT((ROW()-9)/24)</f>
        <v>46285</v>
      </c>
      <c r="B7682" s="11" t="n">
        <f aca="false">MOD(ROW()-9,24)</f>
        <v>17</v>
      </c>
      <c r="C7682" s="12"/>
      <c r="D7682" s="13" t="n">
        <f aca="false">IF(B7682&lt;5,Einstellungen!$B$3,Einstellungen!$B$4)</f>
        <v>29.13</v>
      </c>
      <c r="E7682" s="14" t="str">
        <f aca="false">IF(C7682="","",C7682*D7682/100)</f>
        <v/>
      </c>
      <c r="F7682" s="15" t="str">
        <f aca="false">IF(B7682&lt;5,"Go","Standard")</f>
        <v>Standard</v>
      </c>
    </row>
    <row r="7683" customFormat="false" ht="15" hidden="false" customHeight="true" outlineLevel="0" collapsed="false">
      <c r="A7683" s="10" t="n">
        <f aca="false">Einstellungen!$B$5+INT((ROW()-9)/24)</f>
        <v>46285</v>
      </c>
      <c r="B7683" s="11" t="n">
        <f aca="false">MOD(ROW()-9,24)</f>
        <v>18</v>
      </c>
      <c r="C7683" s="12"/>
      <c r="D7683" s="13" t="n">
        <f aca="false">IF(B7683&lt;5,Einstellungen!$B$3,Einstellungen!$B$4)</f>
        <v>29.13</v>
      </c>
      <c r="E7683" s="14" t="str">
        <f aca="false">IF(C7683="","",C7683*D7683/100)</f>
        <v/>
      </c>
      <c r="F7683" s="15" t="str">
        <f aca="false">IF(B7683&lt;5,"Go","Standard")</f>
        <v>Standard</v>
      </c>
    </row>
    <row r="7684" customFormat="false" ht="15" hidden="false" customHeight="true" outlineLevel="0" collapsed="false">
      <c r="A7684" s="10" t="n">
        <f aca="false">Einstellungen!$B$5+INT((ROW()-9)/24)</f>
        <v>46285</v>
      </c>
      <c r="B7684" s="11" t="n">
        <f aca="false">MOD(ROW()-9,24)</f>
        <v>19</v>
      </c>
      <c r="C7684" s="12"/>
      <c r="D7684" s="13" t="n">
        <f aca="false">IF(B7684&lt;5,Einstellungen!$B$3,Einstellungen!$B$4)</f>
        <v>29.13</v>
      </c>
      <c r="E7684" s="14" t="str">
        <f aca="false">IF(C7684="","",C7684*D7684/100)</f>
        <v/>
      </c>
      <c r="F7684" s="15" t="str">
        <f aca="false">IF(B7684&lt;5,"Go","Standard")</f>
        <v>Standard</v>
      </c>
    </row>
    <row r="7685" customFormat="false" ht="15" hidden="false" customHeight="true" outlineLevel="0" collapsed="false">
      <c r="A7685" s="10" t="n">
        <f aca="false">Einstellungen!$B$5+INT((ROW()-9)/24)</f>
        <v>46285</v>
      </c>
      <c r="B7685" s="11" t="n">
        <f aca="false">MOD(ROW()-9,24)</f>
        <v>20</v>
      </c>
      <c r="C7685" s="12"/>
      <c r="D7685" s="13" t="n">
        <f aca="false">IF(B7685&lt;5,Einstellungen!$B$3,Einstellungen!$B$4)</f>
        <v>29.13</v>
      </c>
      <c r="E7685" s="14" t="str">
        <f aca="false">IF(C7685="","",C7685*D7685/100)</f>
        <v/>
      </c>
      <c r="F7685" s="15" t="str">
        <f aca="false">IF(B7685&lt;5,"Go","Standard")</f>
        <v>Standard</v>
      </c>
    </row>
    <row r="7686" customFormat="false" ht="15" hidden="false" customHeight="true" outlineLevel="0" collapsed="false">
      <c r="A7686" s="10" t="n">
        <f aca="false">Einstellungen!$B$5+INT((ROW()-9)/24)</f>
        <v>46285</v>
      </c>
      <c r="B7686" s="11" t="n">
        <f aca="false">MOD(ROW()-9,24)</f>
        <v>21</v>
      </c>
      <c r="C7686" s="12"/>
      <c r="D7686" s="13" t="n">
        <f aca="false">IF(B7686&lt;5,Einstellungen!$B$3,Einstellungen!$B$4)</f>
        <v>29.13</v>
      </c>
      <c r="E7686" s="14" t="str">
        <f aca="false">IF(C7686="","",C7686*D7686/100)</f>
        <v/>
      </c>
      <c r="F7686" s="15" t="str">
        <f aca="false">IF(B7686&lt;5,"Go","Standard")</f>
        <v>Standard</v>
      </c>
    </row>
    <row r="7687" customFormat="false" ht="15" hidden="false" customHeight="true" outlineLevel="0" collapsed="false">
      <c r="A7687" s="10" t="n">
        <f aca="false">Einstellungen!$B$5+INT((ROW()-9)/24)</f>
        <v>46285</v>
      </c>
      <c r="B7687" s="11" t="n">
        <f aca="false">MOD(ROW()-9,24)</f>
        <v>22</v>
      </c>
      <c r="C7687" s="12"/>
      <c r="D7687" s="13" t="n">
        <f aca="false">IF(B7687&lt;5,Einstellungen!$B$3,Einstellungen!$B$4)</f>
        <v>29.13</v>
      </c>
      <c r="E7687" s="14" t="str">
        <f aca="false">IF(C7687="","",C7687*D7687/100)</f>
        <v/>
      </c>
      <c r="F7687" s="15" t="str">
        <f aca="false">IF(B7687&lt;5,"Go","Standard")</f>
        <v>Standard</v>
      </c>
    </row>
    <row r="7688" customFormat="false" ht="15" hidden="false" customHeight="true" outlineLevel="0" collapsed="false">
      <c r="A7688" s="10" t="n">
        <f aca="false">Einstellungen!$B$5+INT((ROW()-9)/24)</f>
        <v>46285</v>
      </c>
      <c r="B7688" s="11" t="n">
        <f aca="false">MOD(ROW()-9,24)</f>
        <v>23</v>
      </c>
      <c r="C7688" s="12"/>
      <c r="D7688" s="13" t="n">
        <f aca="false">IF(B7688&lt;5,Einstellungen!$B$3,Einstellungen!$B$4)</f>
        <v>29.13</v>
      </c>
      <c r="E7688" s="14" t="str">
        <f aca="false">IF(C7688="","",C7688*D7688/100)</f>
        <v/>
      </c>
      <c r="F7688" s="15" t="str">
        <f aca="false">IF(B7688&lt;5,"Go","Standard")</f>
        <v>Standard</v>
      </c>
    </row>
    <row r="7689" customFormat="false" ht="15" hidden="false" customHeight="true" outlineLevel="0" collapsed="false">
      <c r="A7689" s="10" t="n">
        <f aca="false">Einstellungen!$B$5+INT((ROW()-9)/24)</f>
        <v>46286</v>
      </c>
      <c r="B7689" s="11" t="n">
        <f aca="false">MOD(ROW()-9,24)</f>
        <v>0</v>
      </c>
      <c r="C7689" s="12"/>
      <c r="D7689" s="13" t="n">
        <f aca="false">IF(B7689&lt;5,Einstellungen!$B$3,Einstellungen!$B$4)</f>
        <v>15.92</v>
      </c>
      <c r="E7689" s="14" t="str">
        <f aca="false">IF(C7689="","",C7689*D7689/100)</f>
        <v/>
      </c>
      <c r="F7689" s="15" t="str">
        <f aca="false">IF(B7689&lt;5,"Go","Standard")</f>
        <v>Go</v>
      </c>
    </row>
    <row r="7690" customFormat="false" ht="15" hidden="false" customHeight="true" outlineLevel="0" collapsed="false">
      <c r="A7690" s="10" t="n">
        <f aca="false">Einstellungen!$B$5+INT((ROW()-9)/24)</f>
        <v>46286</v>
      </c>
      <c r="B7690" s="11" t="n">
        <f aca="false">MOD(ROW()-9,24)</f>
        <v>1</v>
      </c>
      <c r="C7690" s="12"/>
      <c r="D7690" s="13" t="n">
        <f aca="false">IF(B7690&lt;5,Einstellungen!$B$3,Einstellungen!$B$4)</f>
        <v>15.92</v>
      </c>
      <c r="E7690" s="14" t="str">
        <f aca="false">IF(C7690="","",C7690*D7690/100)</f>
        <v/>
      </c>
      <c r="F7690" s="15" t="str">
        <f aca="false">IF(B7690&lt;5,"Go","Standard")</f>
        <v>Go</v>
      </c>
    </row>
    <row r="7691" customFormat="false" ht="15" hidden="false" customHeight="true" outlineLevel="0" collapsed="false">
      <c r="A7691" s="10" t="n">
        <f aca="false">Einstellungen!$B$5+INT((ROW()-9)/24)</f>
        <v>46286</v>
      </c>
      <c r="B7691" s="11" t="n">
        <f aca="false">MOD(ROW()-9,24)</f>
        <v>2</v>
      </c>
      <c r="C7691" s="12"/>
      <c r="D7691" s="13" t="n">
        <f aca="false">IF(B7691&lt;5,Einstellungen!$B$3,Einstellungen!$B$4)</f>
        <v>15.92</v>
      </c>
      <c r="E7691" s="14" t="str">
        <f aca="false">IF(C7691="","",C7691*D7691/100)</f>
        <v/>
      </c>
      <c r="F7691" s="15" t="str">
        <f aca="false">IF(B7691&lt;5,"Go","Standard")</f>
        <v>Go</v>
      </c>
    </row>
    <row r="7692" customFormat="false" ht="15" hidden="false" customHeight="true" outlineLevel="0" collapsed="false">
      <c r="A7692" s="10" t="n">
        <f aca="false">Einstellungen!$B$5+INT((ROW()-9)/24)</f>
        <v>46286</v>
      </c>
      <c r="B7692" s="11" t="n">
        <f aca="false">MOD(ROW()-9,24)</f>
        <v>3</v>
      </c>
      <c r="C7692" s="12"/>
      <c r="D7692" s="13" t="n">
        <f aca="false">IF(B7692&lt;5,Einstellungen!$B$3,Einstellungen!$B$4)</f>
        <v>15.92</v>
      </c>
      <c r="E7692" s="14" t="str">
        <f aca="false">IF(C7692="","",C7692*D7692/100)</f>
        <v/>
      </c>
      <c r="F7692" s="15" t="str">
        <f aca="false">IF(B7692&lt;5,"Go","Standard")</f>
        <v>Go</v>
      </c>
    </row>
    <row r="7693" customFormat="false" ht="15" hidden="false" customHeight="true" outlineLevel="0" collapsed="false">
      <c r="A7693" s="10" t="n">
        <f aca="false">Einstellungen!$B$5+INT((ROW()-9)/24)</f>
        <v>46286</v>
      </c>
      <c r="B7693" s="11" t="n">
        <f aca="false">MOD(ROW()-9,24)</f>
        <v>4</v>
      </c>
      <c r="C7693" s="12"/>
      <c r="D7693" s="13" t="n">
        <f aca="false">IF(B7693&lt;5,Einstellungen!$B$3,Einstellungen!$B$4)</f>
        <v>15.92</v>
      </c>
      <c r="E7693" s="14" t="str">
        <f aca="false">IF(C7693="","",C7693*D7693/100)</f>
        <v/>
      </c>
      <c r="F7693" s="15" t="str">
        <f aca="false">IF(B7693&lt;5,"Go","Standard")</f>
        <v>Go</v>
      </c>
    </row>
    <row r="7694" customFormat="false" ht="15" hidden="false" customHeight="true" outlineLevel="0" collapsed="false">
      <c r="A7694" s="10" t="n">
        <f aca="false">Einstellungen!$B$5+INT((ROW()-9)/24)</f>
        <v>46286</v>
      </c>
      <c r="B7694" s="11" t="n">
        <f aca="false">MOD(ROW()-9,24)</f>
        <v>5</v>
      </c>
      <c r="C7694" s="12"/>
      <c r="D7694" s="13" t="n">
        <f aca="false">IF(B7694&lt;5,Einstellungen!$B$3,Einstellungen!$B$4)</f>
        <v>29.13</v>
      </c>
      <c r="E7694" s="14" t="str">
        <f aca="false">IF(C7694="","",C7694*D7694/100)</f>
        <v/>
      </c>
      <c r="F7694" s="15" t="str">
        <f aca="false">IF(B7694&lt;5,"Go","Standard")</f>
        <v>Standard</v>
      </c>
    </row>
    <row r="7695" customFormat="false" ht="15" hidden="false" customHeight="true" outlineLevel="0" collapsed="false">
      <c r="A7695" s="10" t="n">
        <f aca="false">Einstellungen!$B$5+INT((ROW()-9)/24)</f>
        <v>46286</v>
      </c>
      <c r="B7695" s="11" t="n">
        <f aca="false">MOD(ROW()-9,24)</f>
        <v>6</v>
      </c>
      <c r="C7695" s="12"/>
      <c r="D7695" s="13" t="n">
        <f aca="false">IF(B7695&lt;5,Einstellungen!$B$3,Einstellungen!$B$4)</f>
        <v>29.13</v>
      </c>
      <c r="E7695" s="14" t="str">
        <f aca="false">IF(C7695="","",C7695*D7695/100)</f>
        <v/>
      </c>
      <c r="F7695" s="15" t="str">
        <f aca="false">IF(B7695&lt;5,"Go","Standard")</f>
        <v>Standard</v>
      </c>
    </row>
    <row r="7696" customFormat="false" ht="15" hidden="false" customHeight="true" outlineLevel="0" collapsed="false">
      <c r="A7696" s="10" t="n">
        <f aca="false">Einstellungen!$B$5+INT((ROW()-9)/24)</f>
        <v>46286</v>
      </c>
      <c r="B7696" s="11" t="n">
        <f aca="false">MOD(ROW()-9,24)</f>
        <v>7</v>
      </c>
      <c r="C7696" s="12"/>
      <c r="D7696" s="13" t="n">
        <f aca="false">IF(B7696&lt;5,Einstellungen!$B$3,Einstellungen!$B$4)</f>
        <v>29.13</v>
      </c>
      <c r="E7696" s="14" t="str">
        <f aca="false">IF(C7696="","",C7696*D7696/100)</f>
        <v/>
      </c>
      <c r="F7696" s="15" t="str">
        <f aca="false">IF(B7696&lt;5,"Go","Standard")</f>
        <v>Standard</v>
      </c>
    </row>
    <row r="7697" customFormat="false" ht="15" hidden="false" customHeight="true" outlineLevel="0" collapsed="false">
      <c r="A7697" s="10" t="n">
        <f aca="false">Einstellungen!$B$5+INT((ROW()-9)/24)</f>
        <v>46286</v>
      </c>
      <c r="B7697" s="11" t="n">
        <f aca="false">MOD(ROW()-9,24)</f>
        <v>8</v>
      </c>
      <c r="C7697" s="12"/>
      <c r="D7697" s="13" t="n">
        <f aca="false">IF(B7697&lt;5,Einstellungen!$B$3,Einstellungen!$B$4)</f>
        <v>29.13</v>
      </c>
      <c r="E7697" s="14" t="str">
        <f aca="false">IF(C7697="","",C7697*D7697/100)</f>
        <v/>
      </c>
      <c r="F7697" s="15" t="str">
        <f aca="false">IF(B7697&lt;5,"Go","Standard")</f>
        <v>Standard</v>
      </c>
    </row>
    <row r="7698" customFormat="false" ht="15" hidden="false" customHeight="true" outlineLevel="0" collapsed="false">
      <c r="A7698" s="10" t="n">
        <f aca="false">Einstellungen!$B$5+INT((ROW()-9)/24)</f>
        <v>46286</v>
      </c>
      <c r="B7698" s="11" t="n">
        <f aca="false">MOD(ROW()-9,24)</f>
        <v>9</v>
      </c>
      <c r="C7698" s="12"/>
      <c r="D7698" s="13" t="n">
        <f aca="false">IF(B7698&lt;5,Einstellungen!$B$3,Einstellungen!$B$4)</f>
        <v>29.13</v>
      </c>
      <c r="E7698" s="14" t="str">
        <f aca="false">IF(C7698="","",C7698*D7698/100)</f>
        <v/>
      </c>
      <c r="F7698" s="15" t="str">
        <f aca="false">IF(B7698&lt;5,"Go","Standard")</f>
        <v>Standard</v>
      </c>
    </row>
    <row r="7699" customFormat="false" ht="15" hidden="false" customHeight="true" outlineLevel="0" collapsed="false">
      <c r="A7699" s="10" t="n">
        <f aca="false">Einstellungen!$B$5+INT((ROW()-9)/24)</f>
        <v>46286</v>
      </c>
      <c r="B7699" s="11" t="n">
        <f aca="false">MOD(ROW()-9,24)</f>
        <v>10</v>
      </c>
      <c r="C7699" s="12"/>
      <c r="D7699" s="13" t="n">
        <f aca="false">IF(B7699&lt;5,Einstellungen!$B$3,Einstellungen!$B$4)</f>
        <v>29.13</v>
      </c>
      <c r="E7699" s="14" t="str">
        <f aca="false">IF(C7699="","",C7699*D7699/100)</f>
        <v/>
      </c>
      <c r="F7699" s="15" t="str">
        <f aca="false">IF(B7699&lt;5,"Go","Standard")</f>
        <v>Standard</v>
      </c>
    </row>
    <row r="7700" customFormat="false" ht="15" hidden="false" customHeight="true" outlineLevel="0" collapsed="false">
      <c r="A7700" s="10" t="n">
        <f aca="false">Einstellungen!$B$5+INT((ROW()-9)/24)</f>
        <v>46286</v>
      </c>
      <c r="B7700" s="11" t="n">
        <f aca="false">MOD(ROW()-9,24)</f>
        <v>11</v>
      </c>
      <c r="C7700" s="12"/>
      <c r="D7700" s="13" t="n">
        <f aca="false">IF(B7700&lt;5,Einstellungen!$B$3,Einstellungen!$B$4)</f>
        <v>29.13</v>
      </c>
      <c r="E7700" s="14" t="str">
        <f aca="false">IF(C7700="","",C7700*D7700/100)</f>
        <v/>
      </c>
      <c r="F7700" s="15" t="str">
        <f aca="false">IF(B7700&lt;5,"Go","Standard")</f>
        <v>Standard</v>
      </c>
    </row>
    <row r="7701" customFormat="false" ht="15" hidden="false" customHeight="true" outlineLevel="0" collapsed="false">
      <c r="A7701" s="10" t="n">
        <f aca="false">Einstellungen!$B$5+INT((ROW()-9)/24)</f>
        <v>46286</v>
      </c>
      <c r="B7701" s="11" t="n">
        <f aca="false">MOD(ROW()-9,24)</f>
        <v>12</v>
      </c>
      <c r="C7701" s="12"/>
      <c r="D7701" s="13" t="n">
        <f aca="false">IF(B7701&lt;5,Einstellungen!$B$3,Einstellungen!$B$4)</f>
        <v>29.13</v>
      </c>
      <c r="E7701" s="14" t="str">
        <f aca="false">IF(C7701="","",C7701*D7701/100)</f>
        <v/>
      </c>
      <c r="F7701" s="15" t="str">
        <f aca="false">IF(B7701&lt;5,"Go","Standard")</f>
        <v>Standard</v>
      </c>
    </row>
    <row r="7702" customFormat="false" ht="15" hidden="false" customHeight="true" outlineLevel="0" collapsed="false">
      <c r="A7702" s="10" t="n">
        <f aca="false">Einstellungen!$B$5+INT((ROW()-9)/24)</f>
        <v>46286</v>
      </c>
      <c r="B7702" s="11" t="n">
        <f aca="false">MOD(ROW()-9,24)</f>
        <v>13</v>
      </c>
      <c r="C7702" s="12"/>
      <c r="D7702" s="13" t="n">
        <f aca="false">IF(B7702&lt;5,Einstellungen!$B$3,Einstellungen!$B$4)</f>
        <v>29.13</v>
      </c>
      <c r="E7702" s="14" t="str">
        <f aca="false">IF(C7702="","",C7702*D7702/100)</f>
        <v/>
      </c>
      <c r="F7702" s="15" t="str">
        <f aca="false">IF(B7702&lt;5,"Go","Standard")</f>
        <v>Standard</v>
      </c>
    </row>
    <row r="7703" customFormat="false" ht="15" hidden="false" customHeight="true" outlineLevel="0" collapsed="false">
      <c r="A7703" s="10" t="n">
        <f aca="false">Einstellungen!$B$5+INT((ROW()-9)/24)</f>
        <v>46286</v>
      </c>
      <c r="B7703" s="11" t="n">
        <f aca="false">MOD(ROW()-9,24)</f>
        <v>14</v>
      </c>
      <c r="C7703" s="12"/>
      <c r="D7703" s="13" t="n">
        <f aca="false">IF(B7703&lt;5,Einstellungen!$B$3,Einstellungen!$B$4)</f>
        <v>29.13</v>
      </c>
      <c r="E7703" s="14" t="str">
        <f aca="false">IF(C7703="","",C7703*D7703/100)</f>
        <v/>
      </c>
      <c r="F7703" s="15" t="str">
        <f aca="false">IF(B7703&lt;5,"Go","Standard")</f>
        <v>Standard</v>
      </c>
    </row>
    <row r="7704" customFormat="false" ht="15" hidden="false" customHeight="true" outlineLevel="0" collapsed="false">
      <c r="A7704" s="10" t="n">
        <f aca="false">Einstellungen!$B$5+INT((ROW()-9)/24)</f>
        <v>46286</v>
      </c>
      <c r="B7704" s="11" t="n">
        <f aca="false">MOD(ROW()-9,24)</f>
        <v>15</v>
      </c>
      <c r="C7704" s="12"/>
      <c r="D7704" s="13" t="n">
        <f aca="false">IF(B7704&lt;5,Einstellungen!$B$3,Einstellungen!$B$4)</f>
        <v>29.13</v>
      </c>
      <c r="E7704" s="14" t="str">
        <f aca="false">IF(C7704="","",C7704*D7704/100)</f>
        <v/>
      </c>
      <c r="F7704" s="15" t="str">
        <f aca="false">IF(B7704&lt;5,"Go","Standard")</f>
        <v>Standard</v>
      </c>
    </row>
    <row r="7705" customFormat="false" ht="15" hidden="false" customHeight="true" outlineLevel="0" collapsed="false">
      <c r="A7705" s="10" t="n">
        <f aca="false">Einstellungen!$B$5+INT((ROW()-9)/24)</f>
        <v>46286</v>
      </c>
      <c r="B7705" s="11" t="n">
        <f aca="false">MOD(ROW()-9,24)</f>
        <v>16</v>
      </c>
      <c r="C7705" s="12"/>
      <c r="D7705" s="13" t="n">
        <f aca="false">IF(B7705&lt;5,Einstellungen!$B$3,Einstellungen!$B$4)</f>
        <v>29.13</v>
      </c>
      <c r="E7705" s="14" t="str">
        <f aca="false">IF(C7705="","",C7705*D7705/100)</f>
        <v/>
      </c>
      <c r="F7705" s="15" t="str">
        <f aca="false">IF(B7705&lt;5,"Go","Standard")</f>
        <v>Standard</v>
      </c>
    </row>
    <row r="7706" customFormat="false" ht="15" hidden="false" customHeight="true" outlineLevel="0" collapsed="false">
      <c r="A7706" s="10" t="n">
        <f aca="false">Einstellungen!$B$5+INT((ROW()-9)/24)</f>
        <v>46286</v>
      </c>
      <c r="B7706" s="11" t="n">
        <f aca="false">MOD(ROW()-9,24)</f>
        <v>17</v>
      </c>
      <c r="C7706" s="12"/>
      <c r="D7706" s="13" t="n">
        <f aca="false">IF(B7706&lt;5,Einstellungen!$B$3,Einstellungen!$B$4)</f>
        <v>29.13</v>
      </c>
      <c r="E7706" s="14" t="str">
        <f aca="false">IF(C7706="","",C7706*D7706/100)</f>
        <v/>
      </c>
      <c r="F7706" s="15" t="str">
        <f aca="false">IF(B7706&lt;5,"Go","Standard")</f>
        <v>Standard</v>
      </c>
    </row>
    <row r="7707" customFormat="false" ht="15" hidden="false" customHeight="true" outlineLevel="0" collapsed="false">
      <c r="A7707" s="10" t="n">
        <f aca="false">Einstellungen!$B$5+INT((ROW()-9)/24)</f>
        <v>46286</v>
      </c>
      <c r="B7707" s="11" t="n">
        <f aca="false">MOD(ROW()-9,24)</f>
        <v>18</v>
      </c>
      <c r="C7707" s="12"/>
      <c r="D7707" s="13" t="n">
        <f aca="false">IF(B7707&lt;5,Einstellungen!$B$3,Einstellungen!$B$4)</f>
        <v>29.13</v>
      </c>
      <c r="E7707" s="14" t="str">
        <f aca="false">IF(C7707="","",C7707*D7707/100)</f>
        <v/>
      </c>
      <c r="F7707" s="15" t="str">
        <f aca="false">IF(B7707&lt;5,"Go","Standard")</f>
        <v>Standard</v>
      </c>
    </row>
    <row r="7708" customFormat="false" ht="15" hidden="false" customHeight="true" outlineLevel="0" collapsed="false">
      <c r="A7708" s="10" t="n">
        <f aca="false">Einstellungen!$B$5+INT((ROW()-9)/24)</f>
        <v>46286</v>
      </c>
      <c r="B7708" s="11" t="n">
        <f aca="false">MOD(ROW()-9,24)</f>
        <v>19</v>
      </c>
      <c r="C7708" s="12"/>
      <c r="D7708" s="13" t="n">
        <f aca="false">IF(B7708&lt;5,Einstellungen!$B$3,Einstellungen!$B$4)</f>
        <v>29.13</v>
      </c>
      <c r="E7708" s="14" t="str">
        <f aca="false">IF(C7708="","",C7708*D7708/100)</f>
        <v/>
      </c>
      <c r="F7708" s="15" t="str">
        <f aca="false">IF(B7708&lt;5,"Go","Standard")</f>
        <v>Standard</v>
      </c>
    </row>
    <row r="7709" customFormat="false" ht="15" hidden="false" customHeight="true" outlineLevel="0" collapsed="false">
      <c r="A7709" s="10" t="n">
        <f aca="false">Einstellungen!$B$5+INT((ROW()-9)/24)</f>
        <v>46286</v>
      </c>
      <c r="B7709" s="11" t="n">
        <f aca="false">MOD(ROW()-9,24)</f>
        <v>20</v>
      </c>
      <c r="C7709" s="12"/>
      <c r="D7709" s="13" t="n">
        <f aca="false">IF(B7709&lt;5,Einstellungen!$B$3,Einstellungen!$B$4)</f>
        <v>29.13</v>
      </c>
      <c r="E7709" s="14" t="str">
        <f aca="false">IF(C7709="","",C7709*D7709/100)</f>
        <v/>
      </c>
      <c r="F7709" s="15" t="str">
        <f aca="false">IF(B7709&lt;5,"Go","Standard")</f>
        <v>Standard</v>
      </c>
    </row>
    <row r="7710" customFormat="false" ht="15" hidden="false" customHeight="true" outlineLevel="0" collapsed="false">
      <c r="A7710" s="10" t="n">
        <f aca="false">Einstellungen!$B$5+INT((ROW()-9)/24)</f>
        <v>46286</v>
      </c>
      <c r="B7710" s="11" t="n">
        <f aca="false">MOD(ROW()-9,24)</f>
        <v>21</v>
      </c>
      <c r="C7710" s="12"/>
      <c r="D7710" s="13" t="n">
        <f aca="false">IF(B7710&lt;5,Einstellungen!$B$3,Einstellungen!$B$4)</f>
        <v>29.13</v>
      </c>
      <c r="E7710" s="14" t="str">
        <f aca="false">IF(C7710="","",C7710*D7710/100)</f>
        <v/>
      </c>
      <c r="F7710" s="15" t="str">
        <f aca="false">IF(B7710&lt;5,"Go","Standard")</f>
        <v>Standard</v>
      </c>
    </row>
    <row r="7711" customFormat="false" ht="15" hidden="false" customHeight="true" outlineLevel="0" collapsed="false">
      <c r="A7711" s="10" t="n">
        <f aca="false">Einstellungen!$B$5+INT((ROW()-9)/24)</f>
        <v>46286</v>
      </c>
      <c r="B7711" s="11" t="n">
        <f aca="false">MOD(ROW()-9,24)</f>
        <v>22</v>
      </c>
      <c r="C7711" s="12"/>
      <c r="D7711" s="13" t="n">
        <f aca="false">IF(B7711&lt;5,Einstellungen!$B$3,Einstellungen!$B$4)</f>
        <v>29.13</v>
      </c>
      <c r="E7711" s="14" t="str">
        <f aca="false">IF(C7711="","",C7711*D7711/100)</f>
        <v/>
      </c>
      <c r="F7711" s="15" t="str">
        <f aca="false">IF(B7711&lt;5,"Go","Standard")</f>
        <v>Standard</v>
      </c>
    </row>
    <row r="7712" customFormat="false" ht="15" hidden="false" customHeight="true" outlineLevel="0" collapsed="false">
      <c r="A7712" s="10" t="n">
        <f aca="false">Einstellungen!$B$5+INT((ROW()-9)/24)</f>
        <v>46286</v>
      </c>
      <c r="B7712" s="11" t="n">
        <f aca="false">MOD(ROW()-9,24)</f>
        <v>23</v>
      </c>
      <c r="C7712" s="12"/>
      <c r="D7712" s="13" t="n">
        <f aca="false">IF(B7712&lt;5,Einstellungen!$B$3,Einstellungen!$B$4)</f>
        <v>29.13</v>
      </c>
      <c r="E7712" s="14" t="str">
        <f aca="false">IF(C7712="","",C7712*D7712/100)</f>
        <v/>
      </c>
      <c r="F7712" s="15" t="str">
        <f aca="false">IF(B7712&lt;5,"Go","Standard")</f>
        <v>Standard</v>
      </c>
    </row>
    <row r="7713" customFormat="false" ht="15" hidden="false" customHeight="true" outlineLevel="0" collapsed="false">
      <c r="A7713" s="10" t="n">
        <f aca="false">Einstellungen!$B$5+INT((ROW()-9)/24)</f>
        <v>46287</v>
      </c>
      <c r="B7713" s="11" t="n">
        <f aca="false">MOD(ROW()-9,24)</f>
        <v>0</v>
      </c>
      <c r="C7713" s="12"/>
      <c r="D7713" s="13" t="n">
        <f aca="false">IF(B7713&lt;5,Einstellungen!$B$3,Einstellungen!$B$4)</f>
        <v>15.92</v>
      </c>
      <c r="E7713" s="14" t="str">
        <f aca="false">IF(C7713="","",C7713*D7713/100)</f>
        <v/>
      </c>
      <c r="F7713" s="15" t="str">
        <f aca="false">IF(B7713&lt;5,"Go","Standard")</f>
        <v>Go</v>
      </c>
    </row>
    <row r="7714" customFormat="false" ht="15" hidden="false" customHeight="true" outlineLevel="0" collapsed="false">
      <c r="A7714" s="10" t="n">
        <f aca="false">Einstellungen!$B$5+INT((ROW()-9)/24)</f>
        <v>46287</v>
      </c>
      <c r="B7714" s="11" t="n">
        <f aca="false">MOD(ROW()-9,24)</f>
        <v>1</v>
      </c>
      <c r="C7714" s="12"/>
      <c r="D7714" s="13" t="n">
        <f aca="false">IF(B7714&lt;5,Einstellungen!$B$3,Einstellungen!$B$4)</f>
        <v>15.92</v>
      </c>
      <c r="E7714" s="14" t="str">
        <f aca="false">IF(C7714="","",C7714*D7714/100)</f>
        <v/>
      </c>
      <c r="F7714" s="15" t="str">
        <f aca="false">IF(B7714&lt;5,"Go","Standard")</f>
        <v>Go</v>
      </c>
    </row>
    <row r="7715" customFormat="false" ht="15" hidden="false" customHeight="true" outlineLevel="0" collapsed="false">
      <c r="A7715" s="10" t="n">
        <f aca="false">Einstellungen!$B$5+INT((ROW()-9)/24)</f>
        <v>46287</v>
      </c>
      <c r="B7715" s="11" t="n">
        <f aca="false">MOD(ROW()-9,24)</f>
        <v>2</v>
      </c>
      <c r="C7715" s="12"/>
      <c r="D7715" s="13" t="n">
        <f aca="false">IF(B7715&lt;5,Einstellungen!$B$3,Einstellungen!$B$4)</f>
        <v>15.92</v>
      </c>
      <c r="E7715" s="14" t="str">
        <f aca="false">IF(C7715="","",C7715*D7715/100)</f>
        <v/>
      </c>
      <c r="F7715" s="15" t="str">
        <f aca="false">IF(B7715&lt;5,"Go","Standard")</f>
        <v>Go</v>
      </c>
    </row>
    <row r="7716" customFormat="false" ht="15" hidden="false" customHeight="true" outlineLevel="0" collapsed="false">
      <c r="A7716" s="10" t="n">
        <f aca="false">Einstellungen!$B$5+INT((ROW()-9)/24)</f>
        <v>46287</v>
      </c>
      <c r="B7716" s="11" t="n">
        <f aca="false">MOD(ROW()-9,24)</f>
        <v>3</v>
      </c>
      <c r="C7716" s="12"/>
      <c r="D7716" s="13" t="n">
        <f aca="false">IF(B7716&lt;5,Einstellungen!$B$3,Einstellungen!$B$4)</f>
        <v>15.92</v>
      </c>
      <c r="E7716" s="14" t="str">
        <f aca="false">IF(C7716="","",C7716*D7716/100)</f>
        <v/>
      </c>
      <c r="F7716" s="15" t="str">
        <f aca="false">IF(B7716&lt;5,"Go","Standard")</f>
        <v>Go</v>
      </c>
    </row>
    <row r="7717" customFormat="false" ht="15" hidden="false" customHeight="true" outlineLevel="0" collapsed="false">
      <c r="A7717" s="10" t="n">
        <f aca="false">Einstellungen!$B$5+INT((ROW()-9)/24)</f>
        <v>46287</v>
      </c>
      <c r="B7717" s="11" t="n">
        <f aca="false">MOD(ROW()-9,24)</f>
        <v>4</v>
      </c>
      <c r="C7717" s="12"/>
      <c r="D7717" s="13" t="n">
        <f aca="false">IF(B7717&lt;5,Einstellungen!$B$3,Einstellungen!$B$4)</f>
        <v>15.92</v>
      </c>
      <c r="E7717" s="14" t="str">
        <f aca="false">IF(C7717="","",C7717*D7717/100)</f>
        <v/>
      </c>
      <c r="F7717" s="15" t="str">
        <f aca="false">IF(B7717&lt;5,"Go","Standard")</f>
        <v>Go</v>
      </c>
    </row>
    <row r="7718" customFormat="false" ht="15" hidden="false" customHeight="true" outlineLevel="0" collapsed="false">
      <c r="A7718" s="10" t="n">
        <f aca="false">Einstellungen!$B$5+INT((ROW()-9)/24)</f>
        <v>46287</v>
      </c>
      <c r="B7718" s="11" t="n">
        <f aca="false">MOD(ROW()-9,24)</f>
        <v>5</v>
      </c>
      <c r="C7718" s="12"/>
      <c r="D7718" s="13" t="n">
        <f aca="false">IF(B7718&lt;5,Einstellungen!$B$3,Einstellungen!$B$4)</f>
        <v>29.13</v>
      </c>
      <c r="E7718" s="14" t="str">
        <f aca="false">IF(C7718="","",C7718*D7718/100)</f>
        <v/>
      </c>
      <c r="F7718" s="15" t="str">
        <f aca="false">IF(B7718&lt;5,"Go","Standard")</f>
        <v>Standard</v>
      </c>
    </row>
    <row r="7719" customFormat="false" ht="15" hidden="false" customHeight="true" outlineLevel="0" collapsed="false">
      <c r="A7719" s="10" t="n">
        <f aca="false">Einstellungen!$B$5+INT((ROW()-9)/24)</f>
        <v>46287</v>
      </c>
      <c r="B7719" s="11" t="n">
        <f aca="false">MOD(ROW()-9,24)</f>
        <v>6</v>
      </c>
      <c r="C7719" s="12"/>
      <c r="D7719" s="13" t="n">
        <f aca="false">IF(B7719&lt;5,Einstellungen!$B$3,Einstellungen!$B$4)</f>
        <v>29.13</v>
      </c>
      <c r="E7719" s="14" t="str">
        <f aca="false">IF(C7719="","",C7719*D7719/100)</f>
        <v/>
      </c>
      <c r="F7719" s="15" t="str">
        <f aca="false">IF(B7719&lt;5,"Go","Standard")</f>
        <v>Standard</v>
      </c>
    </row>
    <row r="7720" customFormat="false" ht="15" hidden="false" customHeight="true" outlineLevel="0" collapsed="false">
      <c r="A7720" s="10" t="n">
        <f aca="false">Einstellungen!$B$5+INT((ROW()-9)/24)</f>
        <v>46287</v>
      </c>
      <c r="B7720" s="11" t="n">
        <f aca="false">MOD(ROW()-9,24)</f>
        <v>7</v>
      </c>
      <c r="C7720" s="12"/>
      <c r="D7720" s="13" t="n">
        <f aca="false">IF(B7720&lt;5,Einstellungen!$B$3,Einstellungen!$B$4)</f>
        <v>29.13</v>
      </c>
      <c r="E7720" s="14" t="str">
        <f aca="false">IF(C7720="","",C7720*D7720/100)</f>
        <v/>
      </c>
      <c r="F7720" s="15" t="str">
        <f aca="false">IF(B7720&lt;5,"Go","Standard")</f>
        <v>Standard</v>
      </c>
    </row>
    <row r="7721" customFormat="false" ht="15" hidden="false" customHeight="true" outlineLevel="0" collapsed="false">
      <c r="A7721" s="10" t="n">
        <f aca="false">Einstellungen!$B$5+INT((ROW()-9)/24)</f>
        <v>46287</v>
      </c>
      <c r="B7721" s="11" t="n">
        <f aca="false">MOD(ROW()-9,24)</f>
        <v>8</v>
      </c>
      <c r="C7721" s="12"/>
      <c r="D7721" s="13" t="n">
        <f aca="false">IF(B7721&lt;5,Einstellungen!$B$3,Einstellungen!$B$4)</f>
        <v>29.13</v>
      </c>
      <c r="E7721" s="14" t="str">
        <f aca="false">IF(C7721="","",C7721*D7721/100)</f>
        <v/>
      </c>
      <c r="F7721" s="15" t="str">
        <f aca="false">IF(B7721&lt;5,"Go","Standard")</f>
        <v>Standard</v>
      </c>
    </row>
    <row r="7722" customFormat="false" ht="15" hidden="false" customHeight="true" outlineLevel="0" collapsed="false">
      <c r="A7722" s="10" t="n">
        <f aca="false">Einstellungen!$B$5+INT((ROW()-9)/24)</f>
        <v>46287</v>
      </c>
      <c r="B7722" s="11" t="n">
        <f aca="false">MOD(ROW()-9,24)</f>
        <v>9</v>
      </c>
      <c r="C7722" s="12"/>
      <c r="D7722" s="13" t="n">
        <f aca="false">IF(B7722&lt;5,Einstellungen!$B$3,Einstellungen!$B$4)</f>
        <v>29.13</v>
      </c>
      <c r="E7722" s="14" t="str">
        <f aca="false">IF(C7722="","",C7722*D7722/100)</f>
        <v/>
      </c>
      <c r="F7722" s="15" t="str">
        <f aca="false">IF(B7722&lt;5,"Go","Standard")</f>
        <v>Standard</v>
      </c>
    </row>
    <row r="7723" customFormat="false" ht="15" hidden="false" customHeight="true" outlineLevel="0" collapsed="false">
      <c r="A7723" s="10" t="n">
        <f aca="false">Einstellungen!$B$5+INT((ROW()-9)/24)</f>
        <v>46287</v>
      </c>
      <c r="B7723" s="11" t="n">
        <f aca="false">MOD(ROW()-9,24)</f>
        <v>10</v>
      </c>
      <c r="C7723" s="12"/>
      <c r="D7723" s="13" t="n">
        <f aca="false">IF(B7723&lt;5,Einstellungen!$B$3,Einstellungen!$B$4)</f>
        <v>29.13</v>
      </c>
      <c r="E7723" s="14" t="str">
        <f aca="false">IF(C7723="","",C7723*D7723/100)</f>
        <v/>
      </c>
      <c r="F7723" s="15" t="str">
        <f aca="false">IF(B7723&lt;5,"Go","Standard")</f>
        <v>Standard</v>
      </c>
    </row>
    <row r="7724" customFormat="false" ht="15" hidden="false" customHeight="true" outlineLevel="0" collapsed="false">
      <c r="A7724" s="10" t="n">
        <f aca="false">Einstellungen!$B$5+INT((ROW()-9)/24)</f>
        <v>46287</v>
      </c>
      <c r="B7724" s="11" t="n">
        <f aca="false">MOD(ROW()-9,24)</f>
        <v>11</v>
      </c>
      <c r="C7724" s="12"/>
      <c r="D7724" s="13" t="n">
        <f aca="false">IF(B7724&lt;5,Einstellungen!$B$3,Einstellungen!$B$4)</f>
        <v>29.13</v>
      </c>
      <c r="E7724" s="14" t="str">
        <f aca="false">IF(C7724="","",C7724*D7724/100)</f>
        <v/>
      </c>
      <c r="F7724" s="15" t="str">
        <f aca="false">IF(B7724&lt;5,"Go","Standard")</f>
        <v>Standard</v>
      </c>
    </row>
    <row r="7725" customFormat="false" ht="15" hidden="false" customHeight="true" outlineLevel="0" collapsed="false">
      <c r="A7725" s="10" t="n">
        <f aca="false">Einstellungen!$B$5+INT((ROW()-9)/24)</f>
        <v>46287</v>
      </c>
      <c r="B7725" s="11" t="n">
        <f aca="false">MOD(ROW()-9,24)</f>
        <v>12</v>
      </c>
      <c r="C7725" s="12"/>
      <c r="D7725" s="13" t="n">
        <f aca="false">IF(B7725&lt;5,Einstellungen!$B$3,Einstellungen!$B$4)</f>
        <v>29.13</v>
      </c>
      <c r="E7725" s="14" t="str">
        <f aca="false">IF(C7725="","",C7725*D7725/100)</f>
        <v/>
      </c>
      <c r="F7725" s="15" t="str">
        <f aca="false">IF(B7725&lt;5,"Go","Standard")</f>
        <v>Standard</v>
      </c>
    </row>
    <row r="7726" customFormat="false" ht="15" hidden="false" customHeight="true" outlineLevel="0" collapsed="false">
      <c r="A7726" s="10" t="n">
        <f aca="false">Einstellungen!$B$5+INT((ROW()-9)/24)</f>
        <v>46287</v>
      </c>
      <c r="B7726" s="11" t="n">
        <f aca="false">MOD(ROW()-9,24)</f>
        <v>13</v>
      </c>
      <c r="C7726" s="12"/>
      <c r="D7726" s="13" t="n">
        <f aca="false">IF(B7726&lt;5,Einstellungen!$B$3,Einstellungen!$B$4)</f>
        <v>29.13</v>
      </c>
      <c r="E7726" s="14" t="str">
        <f aca="false">IF(C7726="","",C7726*D7726/100)</f>
        <v/>
      </c>
      <c r="F7726" s="15" t="str">
        <f aca="false">IF(B7726&lt;5,"Go","Standard")</f>
        <v>Standard</v>
      </c>
    </row>
    <row r="7727" customFormat="false" ht="15" hidden="false" customHeight="true" outlineLevel="0" collapsed="false">
      <c r="A7727" s="10" t="n">
        <f aca="false">Einstellungen!$B$5+INT((ROW()-9)/24)</f>
        <v>46287</v>
      </c>
      <c r="B7727" s="11" t="n">
        <f aca="false">MOD(ROW()-9,24)</f>
        <v>14</v>
      </c>
      <c r="C7727" s="12"/>
      <c r="D7727" s="13" t="n">
        <f aca="false">IF(B7727&lt;5,Einstellungen!$B$3,Einstellungen!$B$4)</f>
        <v>29.13</v>
      </c>
      <c r="E7727" s="14" t="str">
        <f aca="false">IF(C7727="","",C7727*D7727/100)</f>
        <v/>
      </c>
      <c r="F7727" s="15" t="str">
        <f aca="false">IF(B7727&lt;5,"Go","Standard")</f>
        <v>Standard</v>
      </c>
    </row>
    <row r="7728" customFormat="false" ht="15" hidden="false" customHeight="true" outlineLevel="0" collapsed="false">
      <c r="A7728" s="10" t="n">
        <f aca="false">Einstellungen!$B$5+INT((ROW()-9)/24)</f>
        <v>46287</v>
      </c>
      <c r="B7728" s="11" t="n">
        <f aca="false">MOD(ROW()-9,24)</f>
        <v>15</v>
      </c>
      <c r="C7728" s="12"/>
      <c r="D7728" s="13" t="n">
        <f aca="false">IF(B7728&lt;5,Einstellungen!$B$3,Einstellungen!$B$4)</f>
        <v>29.13</v>
      </c>
      <c r="E7728" s="14" t="str">
        <f aca="false">IF(C7728="","",C7728*D7728/100)</f>
        <v/>
      </c>
      <c r="F7728" s="15" t="str">
        <f aca="false">IF(B7728&lt;5,"Go","Standard")</f>
        <v>Standard</v>
      </c>
    </row>
    <row r="7729" customFormat="false" ht="15" hidden="false" customHeight="true" outlineLevel="0" collapsed="false">
      <c r="A7729" s="10" t="n">
        <f aca="false">Einstellungen!$B$5+INT((ROW()-9)/24)</f>
        <v>46287</v>
      </c>
      <c r="B7729" s="11" t="n">
        <f aca="false">MOD(ROW()-9,24)</f>
        <v>16</v>
      </c>
      <c r="C7729" s="12"/>
      <c r="D7729" s="13" t="n">
        <f aca="false">IF(B7729&lt;5,Einstellungen!$B$3,Einstellungen!$B$4)</f>
        <v>29.13</v>
      </c>
      <c r="E7729" s="14" t="str">
        <f aca="false">IF(C7729="","",C7729*D7729/100)</f>
        <v/>
      </c>
      <c r="F7729" s="15" t="str">
        <f aca="false">IF(B7729&lt;5,"Go","Standard")</f>
        <v>Standard</v>
      </c>
    </row>
    <row r="7730" customFormat="false" ht="15" hidden="false" customHeight="true" outlineLevel="0" collapsed="false">
      <c r="A7730" s="10" t="n">
        <f aca="false">Einstellungen!$B$5+INT((ROW()-9)/24)</f>
        <v>46287</v>
      </c>
      <c r="B7730" s="11" t="n">
        <f aca="false">MOD(ROW()-9,24)</f>
        <v>17</v>
      </c>
      <c r="C7730" s="12"/>
      <c r="D7730" s="13" t="n">
        <f aca="false">IF(B7730&lt;5,Einstellungen!$B$3,Einstellungen!$B$4)</f>
        <v>29.13</v>
      </c>
      <c r="E7730" s="14" t="str">
        <f aca="false">IF(C7730="","",C7730*D7730/100)</f>
        <v/>
      </c>
      <c r="F7730" s="15" t="str">
        <f aca="false">IF(B7730&lt;5,"Go","Standard")</f>
        <v>Standard</v>
      </c>
    </row>
    <row r="7731" customFormat="false" ht="15" hidden="false" customHeight="true" outlineLevel="0" collapsed="false">
      <c r="A7731" s="10" t="n">
        <f aca="false">Einstellungen!$B$5+INT((ROW()-9)/24)</f>
        <v>46287</v>
      </c>
      <c r="B7731" s="11" t="n">
        <f aca="false">MOD(ROW()-9,24)</f>
        <v>18</v>
      </c>
      <c r="C7731" s="12"/>
      <c r="D7731" s="13" t="n">
        <f aca="false">IF(B7731&lt;5,Einstellungen!$B$3,Einstellungen!$B$4)</f>
        <v>29.13</v>
      </c>
      <c r="E7731" s="14" t="str">
        <f aca="false">IF(C7731="","",C7731*D7731/100)</f>
        <v/>
      </c>
      <c r="F7731" s="15" t="str">
        <f aca="false">IF(B7731&lt;5,"Go","Standard")</f>
        <v>Standard</v>
      </c>
    </row>
    <row r="7732" customFormat="false" ht="15" hidden="false" customHeight="true" outlineLevel="0" collapsed="false">
      <c r="A7732" s="10" t="n">
        <f aca="false">Einstellungen!$B$5+INT((ROW()-9)/24)</f>
        <v>46287</v>
      </c>
      <c r="B7732" s="11" t="n">
        <f aca="false">MOD(ROW()-9,24)</f>
        <v>19</v>
      </c>
      <c r="C7732" s="12"/>
      <c r="D7732" s="13" t="n">
        <f aca="false">IF(B7732&lt;5,Einstellungen!$B$3,Einstellungen!$B$4)</f>
        <v>29.13</v>
      </c>
      <c r="E7732" s="14" t="str">
        <f aca="false">IF(C7732="","",C7732*D7732/100)</f>
        <v/>
      </c>
      <c r="F7732" s="15" t="str">
        <f aca="false">IF(B7732&lt;5,"Go","Standard")</f>
        <v>Standard</v>
      </c>
    </row>
    <row r="7733" customFormat="false" ht="15" hidden="false" customHeight="true" outlineLevel="0" collapsed="false">
      <c r="A7733" s="10" t="n">
        <f aca="false">Einstellungen!$B$5+INT((ROW()-9)/24)</f>
        <v>46287</v>
      </c>
      <c r="B7733" s="11" t="n">
        <f aca="false">MOD(ROW()-9,24)</f>
        <v>20</v>
      </c>
      <c r="C7733" s="12"/>
      <c r="D7733" s="13" t="n">
        <f aca="false">IF(B7733&lt;5,Einstellungen!$B$3,Einstellungen!$B$4)</f>
        <v>29.13</v>
      </c>
      <c r="E7733" s="14" t="str">
        <f aca="false">IF(C7733="","",C7733*D7733/100)</f>
        <v/>
      </c>
      <c r="F7733" s="15" t="str">
        <f aca="false">IF(B7733&lt;5,"Go","Standard")</f>
        <v>Standard</v>
      </c>
    </row>
    <row r="7734" customFormat="false" ht="15" hidden="false" customHeight="true" outlineLevel="0" collapsed="false">
      <c r="A7734" s="10" t="n">
        <f aca="false">Einstellungen!$B$5+INT((ROW()-9)/24)</f>
        <v>46287</v>
      </c>
      <c r="B7734" s="11" t="n">
        <f aca="false">MOD(ROW()-9,24)</f>
        <v>21</v>
      </c>
      <c r="C7734" s="12"/>
      <c r="D7734" s="13" t="n">
        <f aca="false">IF(B7734&lt;5,Einstellungen!$B$3,Einstellungen!$B$4)</f>
        <v>29.13</v>
      </c>
      <c r="E7734" s="14" t="str">
        <f aca="false">IF(C7734="","",C7734*D7734/100)</f>
        <v/>
      </c>
      <c r="F7734" s="15" t="str">
        <f aca="false">IF(B7734&lt;5,"Go","Standard")</f>
        <v>Standard</v>
      </c>
    </row>
    <row r="7735" customFormat="false" ht="15" hidden="false" customHeight="true" outlineLevel="0" collapsed="false">
      <c r="A7735" s="10" t="n">
        <f aca="false">Einstellungen!$B$5+INT((ROW()-9)/24)</f>
        <v>46287</v>
      </c>
      <c r="B7735" s="11" t="n">
        <f aca="false">MOD(ROW()-9,24)</f>
        <v>22</v>
      </c>
      <c r="C7735" s="12"/>
      <c r="D7735" s="13" t="n">
        <f aca="false">IF(B7735&lt;5,Einstellungen!$B$3,Einstellungen!$B$4)</f>
        <v>29.13</v>
      </c>
      <c r="E7735" s="14" t="str">
        <f aca="false">IF(C7735="","",C7735*D7735/100)</f>
        <v/>
      </c>
      <c r="F7735" s="15" t="str">
        <f aca="false">IF(B7735&lt;5,"Go","Standard")</f>
        <v>Standard</v>
      </c>
    </row>
    <row r="7736" customFormat="false" ht="15" hidden="false" customHeight="true" outlineLevel="0" collapsed="false">
      <c r="A7736" s="10" t="n">
        <f aca="false">Einstellungen!$B$5+INT((ROW()-9)/24)</f>
        <v>46287</v>
      </c>
      <c r="B7736" s="11" t="n">
        <f aca="false">MOD(ROW()-9,24)</f>
        <v>23</v>
      </c>
      <c r="C7736" s="12"/>
      <c r="D7736" s="13" t="n">
        <f aca="false">IF(B7736&lt;5,Einstellungen!$B$3,Einstellungen!$B$4)</f>
        <v>29.13</v>
      </c>
      <c r="E7736" s="14" t="str">
        <f aca="false">IF(C7736="","",C7736*D7736/100)</f>
        <v/>
      </c>
      <c r="F7736" s="15" t="str">
        <f aca="false">IF(B7736&lt;5,"Go","Standard")</f>
        <v>Standard</v>
      </c>
    </row>
    <row r="7737" customFormat="false" ht="15" hidden="false" customHeight="true" outlineLevel="0" collapsed="false">
      <c r="A7737" s="10" t="n">
        <f aca="false">Einstellungen!$B$5+INT((ROW()-9)/24)</f>
        <v>46288</v>
      </c>
      <c r="B7737" s="11" t="n">
        <f aca="false">MOD(ROW()-9,24)</f>
        <v>0</v>
      </c>
      <c r="C7737" s="12"/>
      <c r="D7737" s="13" t="n">
        <f aca="false">IF(B7737&lt;5,Einstellungen!$B$3,Einstellungen!$B$4)</f>
        <v>15.92</v>
      </c>
      <c r="E7737" s="14" t="str">
        <f aca="false">IF(C7737="","",C7737*D7737/100)</f>
        <v/>
      </c>
      <c r="F7737" s="15" t="str">
        <f aca="false">IF(B7737&lt;5,"Go","Standard")</f>
        <v>Go</v>
      </c>
    </row>
    <row r="7738" customFormat="false" ht="15" hidden="false" customHeight="true" outlineLevel="0" collapsed="false">
      <c r="A7738" s="10" t="n">
        <f aca="false">Einstellungen!$B$5+INT((ROW()-9)/24)</f>
        <v>46288</v>
      </c>
      <c r="B7738" s="11" t="n">
        <f aca="false">MOD(ROW()-9,24)</f>
        <v>1</v>
      </c>
      <c r="C7738" s="12"/>
      <c r="D7738" s="13" t="n">
        <f aca="false">IF(B7738&lt;5,Einstellungen!$B$3,Einstellungen!$B$4)</f>
        <v>15.92</v>
      </c>
      <c r="E7738" s="14" t="str">
        <f aca="false">IF(C7738="","",C7738*D7738/100)</f>
        <v/>
      </c>
      <c r="F7738" s="15" t="str">
        <f aca="false">IF(B7738&lt;5,"Go","Standard")</f>
        <v>Go</v>
      </c>
    </row>
    <row r="7739" customFormat="false" ht="15" hidden="false" customHeight="true" outlineLevel="0" collapsed="false">
      <c r="A7739" s="10" t="n">
        <f aca="false">Einstellungen!$B$5+INT((ROW()-9)/24)</f>
        <v>46288</v>
      </c>
      <c r="B7739" s="11" t="n">
        <f aca="false">MOD(ROW()-9,24)</f>
        <v>2</v>
      </c>
      <c r="C7739" s="12"/>
      <c r="D7739" s="13" t="n">
        <f aca="false">IF(B7739&lt;5,Einstellungen!$B$3,Einstellungen!$B$4)</f>
        <v>15.92</v>
      </c>
      <c r="E7739" s="14" t="str">
        <f aca="false">IF(C7739="","",C7739*D7739/100)</f>
        <v/>
      </c>
      <c r="F7739" s="15" t="str">
        <f aca="false">IF(B7739&lt;5,"Go","Standard")</f>
        <v>Go</v>
      </c>
    </row>
    <row r="7740" customFormat="false" ht="15" hidden="false" customHeight="true" outlineLevel="0" collapsed="false">
      <c r="A7740" s="10" t="n">
        <f aca="false">Einstellungen!$B$5+INT((ROW()-9)/24)</f>
        <v>46288</v>
      </c>
      <c r="B7740" s="11" t="n">
        <f aca="false">MOD(ROW()-9,24)</f>
        <v>3</v>
      </c>
      <c r="C7740" s="12"/>
      <c r="D7740" s="13" t="n">
        <f aca="false">IF(B7740&lt;5,Einstellungen!$B$3,Einstellungen!$B$4)</f>
        <v>15.92</v>
      </c>
      <c r="E7740" s="14" t="str">
        <f aca="false">IF(C7740="","",C7740*D7740/100)</f>
        <v/>
      </c>
      <c r="F7740" s="15" t="str">
        <f aca="false">IF(B7740&lt;5,"Go","Standard")</f>
        <v>Go</v>
      </c>
    </row>
    <row r="7741" customFormat="false" ht="15" hidden="false" customHeight="true" outlineLevel="0" collapsed="false">
      <c r="A7741" s="10" t="n">
        <f aca="false">Einstellungen!$B$5+INT((ROW()-9)/24)</f>
        <v>46288</v>
      </c>
      <c r="B7741" s="11" t="n">
        <f aca="false">MOD(ROW()-9,24)</f>
        <v>4</v>
      </c>
      <c r="C7741" s="12"/>
      <c r="D7741" s="13" t="n">
        <f aca="false">IF(B7741&lt;5,Einstellungen!$B$3,Einstellungen!$B$4)</f>
        <v>15.92</v>
      </c>
      <c r="E7741" s="14" t="str">
        <f aca="false">IF(C7741="","",C7741*D7741/100)</f>
        <v/>
      </c>
      <c r="F7741" s="15" t="str">
        <f aca="false">IF(B7741&lt;5,"Go","Standard")</f>
        <v>Go</v>
      </c>
    </row>
    <row r="7742" customFormat="false" ht="15" hidden="false" customHeight="true" outlineLevel="0" collapsed="false">
      <c r="A7742" s="10" t="n">
        <f aca="false">Einstellungen!$B$5+INT((ROW()-9)/24)</f>
        <v>46288</v>
      </c>
      <c r="B7742" s="11" t="n">
        <f aca="false">MOD(ROW()-9,24)</f>
        <v>5</v>
      </c>
      <c r="C7742" s="12"/>
      <c r="D7742" s="13" t="n">
        <f aca="false">IF(B7742&lt;5,Einstellungen!$B$3,Einstellungen!$B$4)</f>
        <v>29.13</v>
      </c>
      <c r="E7742" s="14" t="str">
        <f aca="false">IF(C7742="","",C7742*D7742/100)</f>
        <v/>
      </c>
      <c r="F7742" s="15" t="str">
        <f aca="false">IF(B7742&lt;5,"Go","Standard")</f>
        <v>Standard</v>
      </c>
    </row>
    <row r="7743" customFormat="false" ht="15" hidden="false" customHeight="true" outlineLevel="0" collapsed="false">
      <c r="A7743" s="10" t="n">
        <f aca="false">Einstellungen!$B$5+INT((ROW()-9)/24)</f>
        <v>46288</v>
      </c>
      <c r="B7743" s="11" t="n">
        <f aca="false">MOD(ROW()-9,24)</f>
        <v>6</v>
      </c>
      <c r="C7743" s="12"/>
      <c r="D7743" s="13" t="n">
        <f aca="false">IF(B7743&lt;5,Einstellungen!$B$3,Einstellungen!$B$4)</f>
        <v>29.13</v>
      </c>
      <c r="E7743" s="14" t="str">
        <f aca="false">IF(C7743="","",C7743*D7743/100)</f>
        <v/>
      </c>
      <c r="F7743" s="15" t="str">
        <f aca="false">IF(B7743&lt;5,"Go","Standard")</f>
        <v>Standard</v>
      </c>
    </row>
    <row r="7744" customFormat="false" ht="15" hidden="false" customHeight="true" outlineLevel="0" collapsed="false">
      <c r="A7744" s="10" t="n">
        <f aca="false">Einstellungen!$B$5+INT((ROW()-9)/24)</f>
        <v>46288</v>
      </c>
      <c r="B7744" s="11" t="n">
        <f aca="false">MOD(ROW()-9,24)</f>
        <v>7</v>
      </c>
      <c r="C7744" s="12"/>
      <c r="D7744" s="13" t="n">
        <f aca="false">IF(B7744&lt;5,Einstellungen!$B$3,Einstellungen!$B$4)</f>
        <v>29.13</v>
      </c>
      <c r="E7744" s="14" t="str">
        <f aca="false">IF(C7744="","",C7744*D7744/100)</f>
        <v/>
      </c>
      <c r="F7744" s="15" t="str">
        <f aca="false">IF(B7744&lt;5,"Go","Standard")</f>
        <v>Standard</v>
      </c>
    </row>
    <row r="7745" customFormat="false" ht="15" hidden="false" customHeight="true" outlineLevel="0" collapsed="false">
      <c r="A7745" s="10" t="n">
        <f aca="false">Einstellungen!$B$5+INT((ROW()-9)/24)</f>
        <v>46288</v>
      </c>
      <c r="B7745" s="11" t="n">
        <f aca="false">MOD(ROW()-9,24)</f>
        <v>8</v>
      </c>
      <c r="C7745" s="12"/>
      <c r="D7745" s="13" t="n">
        <f aca="false">IF(B7745&lt;5,Einstellungen!$B$3,Einstellungen!$B$4)</f>
        <v>29.13</v>
      </c>
      <c r="E7745" s="14" t="str">
        <f aca="false">IF(C7745="","",C7745*D7745/100)</f>
        <v/>
      </c>
      <c r="F7745" s="15" t="str">
        <f aca="false">IF(B7745&lt;5,"Go","Standard")</f>
        <v>Standard</v>
      </c>
    </row>
    <row r="7746" customFormat="false" ht="15" hidden="false" customHeight="true" outlineLevel="0" collapsed="false">
      <c r="A7746" s="10" t="n">
        <f aca="false">Einstellungen!$B$5+INT((ROW()-9)/24)</f>
        <v>46288</v>
      </c>
      <c r="B7746" s="11" t="n">
        <f aca="false">MOD(ROW()-9,24)</f>
        <v>9</v>
      </c>
      <c r="C7746" s="12"/>
      <c r="D7746" s="13" t="n">
        <f aca="false">IF(B7746&lt;5,Einstellungen!$B$3,Einstellungen!$B$4)</f>
        <v>29.13</v>
      </c>
      <c r="E7746" s="14" t="str">
        <f aca="false">IF(C7746="","",C7746*D7746/100)</f>
        <v/>
      </c>
      <c r="F7746" s="15" t="str">
        <f aca="false">IF(B7746&lt;5,"Go","Standard")</f>
        <v>Standard</v>
      </c>
    </row>
    <row r="7747" customFormat="false" ht="15" hidden="false" customHeight="true" outlineLevel="0" collapsed="false">
      <c r="A7747" s="10" t="n">
        <f aca="false">Einstellungen!$B$5+INT((ROW()-9)/24)</f>
        <v>46288</v>
      </c>
      <c r="B7747" s="11" t="n">
        <f aca="false">MOD(ROW()-9,24)</f>
        <v>10</v>
      </c>
      <c r="C7747" s="12"/>
      <c r="D7747" s="13" t="n">
        <f aca="false">IF(B7747&lt;5,Einstellungen!$B$3,Einstellungen!$B$4)</f>
        <v>29.13</v>
      </c>
      <c r="E7747" s="14" t="str">
        <f aca="false">IF(C7747="","",C7747*D7747/100)</f>
        <v/>
      </c>
      <c r="F7747" s="15" t="str">
        <f aca="false">IF(B7747&lt;5,"Go","Standard")</f>
        <v>Standard</v>
      </c>
    </row>
    <row r="7748" customFormat="false" ht="15" hidden="false" customHeight="true" outlineLevel="0" collapsed="false">
      <c r="A7748" s="10" t="n">
        <f aca="false">Einstellungen!$B$5+INT((ROW()-9)/24)</f>
        <v>46288</v>
      </c>
      <c r="B7748" s="11" t="n">
        <f aca="false">MOD(ROW()-9,24)</f>
        <v>11</v>
      </c>
      <c r="C7748" s="12"/>
      <c r="D7748" s="13" t="n">
        <f aca="false">IF(B7748&lt;5,Einstellungen!$B$3,Einstellungen!$B$4)</f>
        <v>29.13</v>
      </c>
      <c r="E7748" s="14" t="str">
        <f aca="false">IF(C7748="","",C7748*D7748/100)</f>
        <v/>
      </c>
      <c r="F7748" s="15" t="str">
        <f aca="false">IF(B7748&lt;5,"Go","Standard")</f>
        <v>Standard</v>
      </c>
    </row>
    <row r="7749" customFormat="false" ht="15" hidden="false" customHeight="true" outlineLevel="0" collapsed="false">
      <c r="A7749" s="10" t="n">
        <f aca="false">Einstellungen!$B$5+INT((ROW()-9)/24)</f>
        <v>46288</v>
      </c>
      <c r="B7749" s="11" t="n">
        <f aca="false">MOD(ROW()-9,24)</f>
        <v>12</v>
      </c>
      <c r="C7749" s="12"/>
      <c r="D7749" s="13" t="n">
        <f aca="false">IF(B7749&lt;5,Einstellungen!$B$3,Einstellungen!$B$4)</f>
        <v>29.13</v>
      </c>
      <c r="E7749" s="14" t="str">
        <f aca="false">IF(C7749="","",C7749*D7749/100)</f>
        <v/>
      </c>
      <c r="F7749" s="15" t="str">
        <f aca="false">IF(B7749&lt;5,"Go","Standard")</f>
        <v>Standard</v>
      </c>
    </row>
    <row r="7750" customFormat="false" ht="15" hidden="false" customHeight="true" outlineLevel="0" collapsed="false">
      <c r="A7750" s="10" t="n">
        <f aca="false">Einstellungen!$B$5+INT((ROW()-9)/24)</f>
        <v>46288</v>
      </c>
      <c r="B7750" s="11" t="n">
        <f aca="false">MOD(ROW()-9,24)</f>
        <v>13</v>
      </c>
      <c r="C7750" s="12"/>
      <c r="D7750" s="13" t="n">
        <f aca="false">IF(B7750&lt;5,Einstellungen!$B$3,Einstellungen!$B$4)</f>
        <v>29.13</v>
      </c>
      <c r="E7750" s="14" t="str">
        <f aca="false">IF(C7750="","",C7750*D7750/100)</f>
        <v/>
      </c>
      <c r="F7750" s="15" t="str">
        <f aca="false">IF(B7750&lt;5,"Go","Standard")</f>
        <v>Standard</v>
      </c>
    </row>
    <row r="7751" customFormat="false" ht="15" hidden="false" customHeight="true" outlineLevel="0" collapsed="false">
      <c r="A7751" s="10" t="n">
        <f aca="false">Einstellungen!$B$5+INT((ROW()-9)/24)</f>
        <v>46288</v>
      </c>
      <c r="B7751" s="11" t="n">
        <f aca="false">MOD(ROW()-9,24)</f>
        <v>14</v>
      </c>
      <c r="C7751" s="12"/>
      <c r="D7751" s="13" t="n">
        <f aca="false">IF(B7751&lt;5,Einstellungen!$B$3,Einstellungen!$B$4)</f>
        <v>29.13</v>
      </c>
      <c r="E7751" s="14" t="str">
        <f aca="false">IF(C7751="","",C7751*D7751/100)</f>
        <v/>
      </c>
      <c r="F7751" s="15" t="str">
        <f aca="false">IF(B7751&lt;5,"Go","Standard")</f>
        <v>Standard</v>
      </c>
    </row>
    <row r="7752" customFormat="false" ht="15" hidden="false" customHeight="true" outlineLevel="0" collapsed="false">
      <c r="A7752" s="10" t="n">
        <f aca="false">Einstellungen!$B$5+INT((ROW()-9)/24)</f>
        <v>46288</v>
      </c>
      <c r="B7752" s="11" t="n">
        <f aca="false">MOD(ROW()-9,24)</f>
        <v>15</v>
      </c>
      <c r="C7752" s="12"/>
      <c r="D7752" s="13" t="n">
        <f aca="false">IF(B7752&lt;5,Einstellungen!$B$3,Einstellungen!$B$4)</f>
        <v>29.13</v>
      </c>
      <c r="E7752" s="14" t="str">
        <f aca="false">IF(C7752="","",C7752*D7752/100)</f>
        <v/>
      </c>
      <c r="F7752" s="15" t="str">
        <f aca="false">IF(B7752&lt;5,"Go","Standard")</f>
        <v>Standard</v>
      </c>
    </row>
    <row r="7753" customFormat="false" ht="15" hidden="false" customHeight="true" outlineLevel="0" collapsed="false">
      <c r="A7753" s="10" t="n">
        <f aca="false">Einstellungen!$B$5+INT((ROW()-9)/24)</f>
        <v>46288</v>
      </c>
      <c r="B7753" s="11" t="n">
        <f aca="false">MOD(ROW()-9,24)</f>
        <v>16</v>
      </c>
      <c r="C7753" s="12"/>
      <c r="D7753" s="13" t="n">
        <f aca="false">IF(B7753&lt;5,Einstellungen!$B$3,Einstellungen!$B$4)</f>
        <v>29.13</v>
      </c>
      <c r="E7753" s="14" t="str">
        <f aca="false">IF(C7753="","",C7753*D7753/100)</f>
        <v/>
      </c>
      <c r="F7753" s="15" t="str">
        <f aca="false">IF(B7753&lt;5,"Go","Standard")</f>
        <v>Standard</v>
      </c>
    </row>
    <row r="7754" customFormat="false" ht="15" hidden="false" customHeight="true" outlineLevel="0" collapsed="false">
      <c r="A7754" s="10" t="n">
        <f aca="false">Einstellungen!$B$5+INT((ROW()-9)/24)</f>
        <v>46288</v>
      </c>
      <c r="B7754" s="11" t="n">
        <f aca="false">MOD(ROW()-9,24)</f>
        <v>17</v>
      </c>
      <c r="C7754" s="12"/>
      <c r="D7754" s="13" t="n">
        <f aca="false">IF(B7754&lt;5,Einstellungen!$B$3,Einstellungen!$B$4)</f>
        <v>29.13</v>
      </c>
      <c r="E7754" s="14" t="str">
        <f aca="false">IF(C7754="","",C7754*D7754/100)</f>
        <v/>
      </c>
      <c r="F7754" s="15" t="str">
        <f aca="false">IF(B7754&lt;5,"Go","Standard")</f>
        <v>Standard</v>
      </c>
    </row>
    <row r="7755" customFormat="false" ht="15" hidden="false" customHeight="true" outlineLevel="0" collapsed="false">
      <c r="A7755" s="10" t="n">
        <f aca="false">Einstellungen!$B$5+INT((ROW()-9)/24)</f>
        <v>46288</v>
      </c>
      <c r="B7755" s="11" t="n">
        <f aca="false">MOD(ROW()-9,24)</f>
        <v>18</v>
      </c>
      <c r="C7755" s="12"/>
      <c r="D7755" s="13" t="n">
        <f aca="false">IF(B7755&lt;5,Einstellungen!$B$3,Einstellungen!$B$4)</f>
        <v>29.13</v>
      </c>
      <c r="E7755" s="14" t="str">
        <f aca="false">IF(C7755="","",C7755*D7755/100)</f>
        <v/>
      </c>
      <c r="F7755" s="15" t="str">
        <f aca="false">IF(B7755&lt;5,"Go","Standard")</f>
        <v>Standard</v>
      </c>
    </row>
    <row r="7756" customFormat="false" ht="15" hidden="false" customHeight="true" outlineLevel="0" collapsed="false">
      <c r="A7756" s="10" t="n">
        <f aca="false">Einstellungen!$B$5+INT((ROW()-9)/24)</f>
        <v>46288</v>
      </c>
      <c r="B7756" s="11" t="n">
        <f aca="false">MOD(ROW()-9,24)</f>
        <v>19</v>
      </c>
      <c r="C7756" s="12"/>
      <c r="D7756" s="13" t="n">
        <f aca="false">IF(B7756&lt;5,Einstellungen!$B$3,Einstellungen!$B$4)</f>
        <v>29.13</v>
      </c>
      <c r="E7756" s="14" t="str">
        <f aca="false">IF(C7756="","",C7756*D7756/100)</f>
        <v/>
      </c>
      <c r="F7756" s="15" t="str">
        <f aca="false">IF(B7756&lt;5,"Go","Standard")</f>
        <v>Standard</v>
      </c>
    </row>
    <row r="7757" customFormat="false" ht="15" hidden="false" customHeight="true" outlineLevel="0" collapsed="false">
      <c r="A7757" s="10" t="n">
        <f aca="false">Einstellungen!$B$5+INT((ROW()-9)/24)</f>
        <v>46288</v>
      </c>
      <c r="B7757" s="11" t="n">
        <f aca="false">MOD(ROW()-9,24)</f>
        <v>20</v>
      </c>
      <c r="C7757" s="12"/>
      <c r="D7757" s="13" t="n">
        <f aca="false">IF(B7757&lt;5,Einstellungen!$B$3,Einstellungen!$B$4)</f>
        <v>29.13</v>
      </c>
      <c r="E7757" s="14" t="str">
        <f aca="false">IF(C7757="","",C7757*D7757/100)</f>
        <v/>
      </c>
      <c r="F7757" s="15" t="str">
        <f aca="false">IF(B7757&lt;5,"Go","Standard")</f>
        <v>Standard</v>
      </c>
    </row>
    <row r="7758" customFormat="false" ht="15" hidden="false" customHeight="true" outlineLevel="0" collapsed="false">
      <c r="A7758" s="10" t="n">
        <f aca="false">Einstellungen!$B$5+INT((ROW()-9)/24)</f>
        <v>46288</v>
      </c>
      <c r="B7758" s="11" t="n">
        <f aca="false">MOD(ROW()-9,24)</f>
        <v>21</v>
      </c>
      <c r="C7758" s="12"/>
      <c r="D7758" s="13" t="n">
        <f aca="false">IF(B7758&lt;5,Einstellungen!$B$3,Einstellungen!$B$4)</f>
        <v>29.13</v>
      </c>
      <c r="E7758" s="14" t="str">
        <f aca="false">IF(C7758="","",C7758*D7758/100)</f>
        <v/>
      </c>
      <c r="F7758" s="15" t="str">
        <f aca="false">IF(B7758&lt;5,"Go","Standard")</f>
        <v>Standard</v>
      </c>
    </row>
    <row r="7759" customFormat="false" ht="15" hidden="false" customHeight="true" outlineLevel="0" collapsed="false">
      <c r="A7759" s="10" t="n">
        <f aca="false">Einstellungen!$B$5+INT((ROW()-9)/24)</f>
        <v>46288</v>
      </c>
      <c r="B7759" s="11" t="n">
        <f aca="false">MOD(ROW()-9,24)</f>
        <v>22</v>
      </c>
      <c r="C7759" s="12"/>
      <c r="D7759" s="13" t="n">
        <f aca="false">IF(B7759&lt;5,Einstellungen!$B$3,Einstellungen!$B$4)</f>
        <v>29.13</v>
      </c>
      <c r="E7759" s="14" t="str">
        <f aca="false">IF(C7759="","",C7759*D7759/100)</f>
        <v/>
      </c>
      <c r="F7759" s="15" t="str">
        <f aca="false">IF(B7759&lt;5,"Go","Standard")</f>
        <v>Standard</v>
      </c>
    </row>
    <row r="7760" customFormat="false" ht="15" hidden="false" customHeight="true" outlineLevel="0" collapsed="false">
      <c r="A7760" s="10" t="n">
        <f aca="false">Einstellungen!$B$5+INT((ROW()-9)/24)</f>
        <v>46288</v>
      </c>
      <c r="B7760" s="11" t="n">
        <f aca="false">MOD(ROW()-9,24)</f>
        <v>23</v>
      </c>
      <c r="C7760" s="12"/>
      <c r="D7760" s="13" t="n">
        <f aca="false">IF(B7760&lt;5,Einstellungen!$B$3,Einstellungen!$B$4)</f>
        <v>29.13</v>
      </c>
      <c r="E7760" s="14" t="str">
        <f aca="false">IF(C7760="","",C7760*D7760/100)</f>
        <v/>
      </c>
      <c r="F7760" s="15" t="str">
        <f aca="false">IF(B7760&lt;5,"Go","Standard")</f>
        <v>Standard</v>
      </c>
    </row>
    <row r="7761" customFormat="false" ht="15" hidden="false" customHeight="true" outlineLevel="0" collapsed="false">
      <c r="A7761" s="10" t="n">
        <f aca="false">Einstellungen!$B$5+INT((ROW()-9)/24)</f>
        <v>46289</v>
      </c>
      <c r="B7761" s="11" t="n">
        <f aca="false">MOD(ROW()-9,24)</f>
        <v>0</v>
      </c>
      <c r="C7761" s="12"/>
      <c r="D7761" s="13" t="n">
        <f aca="false">IF(B7761&lt;5,Einstellungen!$B$3,Einstellungen!$B$4)</f>
        <v>15.92</v>
      </c>
      <c r="E7761" s="14" t="str">
        <f aca="false">IF(C7761="","",C7761*D7761/100)</f>
        <v/>
      </c>
      <c r="F7761" s="15" t="str">
        <f aca="false">IF(B7761&lt;5,"Go","Standard")</f>
        <v>Go</v>
      </c>
    </row>
    <row r="7762" customFormat="false" ht="15" hidden="false" customHeight="true" outlineLevel="0" collapsed="false">
      <c r="A7762" s="10" t="n">
        <f aca="false">Einstellungen!$B$5+INT((ROW()-9)/24)</f>
        <v>46289</v>
      </c>
      <c r="B7762" s="11" t="n">
        <f aca="false">MOD(ROW()-9,24)</f>
        <v>1</v>
      </c>
      <c r="C7762" s="12"/>
      <c r="D7762" s="13" t="n">
        <f aca="false">IF(B7762&lt;5,Einstellungen!$B$3,Einstellungen!$B$4)</f>
        <v>15.92</v>
      </c>
      <c r="E7762" s="14" t="str">
        <f aca="false">IF(C7762="","",C7762*D7762/100)</f>
        <v/>
      </c>
      <c r="F7762" s="15" t="str">
        <f aca="false">IF(B7762&lt;5,"Go","Standard")</f>
        <v>Go</v>
      </c>
    </row>
    <row r="7763" customFormat="false" ht="15" hidden="false" customHeight="true" outlineLevel="0" collapsed="false">
      <c r="A7763" s="10" t="n">
        <f aca="false">Einstellungen!$B$5+INT((ROW()-9)/24)</f>
        <v>46289</v>
      </c>
      <c r="B7763" s="11" t="n">
        <f aca="false">MOD(ROW()-9,24)</f>
        <v>2</v>
      </c>
      <c r="C7763" s="12"/>
      <c r="D7763" s="13" t="n">
        <f aca="false">IF(B7763&lt;5,Einstellungen!$B$3,Einstellungen!$B$4)</f>
        <v>15.92</v>
      </c>
      <c r="E7763" s="14" t="str">
        <f aca="false">IF(C7763="","",C7763*D7763/100)</f>
        <v/>
      </c>
      <c r="F7763" s="15" t="str">
        <f aca="false">IF(B7763&lt;5,"Go","Standard")</f>
        <v>Go</v>
      </c>
    </row>
    <row r="7764" customFormat="false" ht="15" hidden="false" customHeight="true" outlineLevel="0" collapsed="false">
      <c r="A7764" s="10" t="n">
        <f aca="false">Einstellungen!$B$5+INT((ROW()-9)/24)</f>
        <v>46289</v>
      </c>
      <c r="B7764" s="11" t="n">
        <f aca="false">MOD(ROW()-9,24)</f>
        <v>3</v>
      </c>
      <c r="C7764" s="12"/>
      <c r="D7764" s="13" t="n">
        <f aca="false">IF(B7764&lt;5,Einstellungen!$B$3,Einstellungen!$B$4)</f>
        <v>15.92</v>
      </c>
      <c r="E7764" s="14" t="str">
        <f aca="false">IF(C7764="","",C7764*D7764/100)</f>
        <v/>
      </c>
      <c r="F7764" s="15" t="str">
        <f aca="false">IF(B7764&lt;5,"Go","Standard")</f>
        <v>Go</v>
      </c>
    </row>
    <row r="7765" customFormat="false" ht="15" hidden="false" customHeight="true" outlineLevel="0" collapsed="false">
      <c r="A7765" s="10" t="n">
        <f aca="false">Einstellungen!$B$5+INT((ROW()-9)/24)</f>
        <v>46289</v>
      </c>
      <c r="B7765" s="11" t="n">
        <f aca="false">MOD(ROW()-9,24)</f>
        <v>4</v>
      </c>
      <c r="C7765" s="12"/>
      <c r="D7765" s="13" t="n">
        <f aca="false">IF(B7765&lt;5,Einstellungen!$B$3,Einstellungen!$B$4)</f>
        <v>15.92</v>
      </c>
      <c r="E7765" s="14" t="str">
        <f aca="false">IF(C7765="","",C7765*D7765/100)</f>
        <v/>
      </c>
      <c r="F7765" s="15" t="str">
        <f aca="false">IF(B7765&lt;5,"Go","Standard")</f>
        <v>Go</v>
      </c>
    </row>
    <row r="7766" customFormat="false" ht="15" hidden="false" customHeight="true" outlineLevel="0" collapsed="false">
      <c r="A7766" s="10" t="n">
        <f aca="false">Einstellungen!$B$5+INT((ROW()-9)/24)</f>
        <v>46289</v>
      </c>
      <c r="B7766" s="11" t="n">
        <f aca="false">MOD(ROW()-9,24)</f>
        <v>5</v>
      </c>
      <c r="C7766" s="12"/>
      <c r="D7766" s="13" t="n">
        <f aca="false">IF(B7766&lt;5,Einstellungen!$B$3,Einstellungen!$B$4)</f>
        <v>29.13</v>
      </c>
      <c r="E7766" s="14" t="str">
        <f aca="false">IF(C7766="","",C7766*D7766/100)</f>
        <v/>
      </c>
      <c r="F7766" s="15" t="str">
        <f aca="false">IF(B7766&lt;5,"Go","Standard")</f>
        <v>Standard</v>
      </c>
    </row>
    <row r="7767" customFormat="false" ht="15" hidden="false" customHeight="true" outlineLevel="0" collapsed="false">
      <c r="A7767" s="10" t="n">
        <f aca="false">Einstellungen!$B$5+INT((ROW()-9)/24)</f>
        <v>46289</v>
      </c>
      <c r="B7767" s="11" t="n">
        <f aca="false">MOD(ROW()-9,24)</f>
        <v>6</v>
      </c>
      <c r="C7767" s="12"/>
      <c r="D7767" s="13" t="n">
        <f aca="false">IF(B7767&lt;5,Einstellungen!$B$3,Einstellungen!$B$4)</f>
        <v>29.13</v>
      </c>
      <c r="E7767" s="14" t="str">
        <f aca="false">IF(C7767="","",C7767*D7767/100)</f>
        <v/>
      </c>
      <c r="F7767" s="15" t="str">
        <f aca="false">IF(B7767&lt;5,"Go","Standard")</f>
        <v>Standard</v>
      </c>
    </row>
    <row r="7768" customFormat="false" ht="15" hidden="false" customHeight="true" outlineLevel="0" collapsed="false">
      <c r="A7768" s="10" t="n">
        <f aca="false">Einstellungen!$B$5+INT((ROW()-9)/24)</f>
        <v>46289</v>
      </c>
      <c r="B7768" s="11" t="n">
        <f aca="false">MOD(ROW()-9,24)</f>
        <v>7</v>
      </c>
      <c r="C7768" s="12"/>
      <c r="D7768" s="13" t="n">
        <f aca="false">IF(B7768&lt;5,Einstellungen!$B$3,Einstellungen!$B$4)</f>
        <v>29.13</v>
      </c>
      <c r="E7768" s="14" t="str">
        <f aca="false">IF(C7768="","",C7768*D7768/100)</f>
        <v/>
      </c>
      <c r="F7768" s="15" t="str">
        <f aca="false">IF(B7768&lt;5,"Go","Standard")</f>
        <v>Standard</v>
      </c>
    </row>
    <row r="7769" customFormat="false" ht="15" hidden="false" customHeight="true" outlineLevel="0" collapsed="false">
      <c r="A7769" s="10" t="n">
        <f aca="false">Einstellungen!$B$5+INT((ROW()-9)/24)</f>
        <v>46289</v>
      </c>
      <c r="B7769" s="11" t="n">
        <f aca="false">MOD(ROW()-9,24)</f>
        <v>8</v>
      </c>
      <c r="C7769" s="12"/>
      <c r="D7769" s="13" t="n">
        <f aca="false">IF(B7769&lt;5,Einstellungen!$B$3,Einstellungen!$B$4)</f>
        <v>29.13</v>
      </c>
      <c r="E7769" s="14" t="str">
        <f aca="false">IF(C7769="","",C7769*D7769/100)</f>
        <v/>
      </c>
      <c r="F7769" s="15" t="str">
        <f aca="false">IF(B7769&lt;5,"Go","Standard")</f>
        <v>Standard</v>
      </c>
    </row>
    <row r="7770" customFormat="false" ht="15" hidden="false" customHeight="true" outlineLevel="0" collapsed="false">
      <c r="A7770" s="10" t="n">
        <f aca="false">Einstellungen!$B$5+INT((ROW()-9)/24)</f>
        <v>46289</v>
      </c>
      <c r="B7770" s="11" t="n">
        <f aca="false">MOD(ROW()-9,24)</f>
        <v>9</v>
      </c>
      <c r="C7770" s="12"/>
      <c r="D7770" s="13" t="n">
        <f aca="false">IF(B7770&lt;5,Einstellungen!$B$3,Einstellungen!$B$4)</f>
        <v>29.13</v>
      </c>
      <c r="E7770" s="14" t="str">
        <f aca="false">IF(C7770="","",C7770*D7770/100)</f>
        <v/>
      </c>
      <c r="F7770" s="15" t="str">
        <f aca="false">IF(B7770&lt;5,"Go","Standard")</f>
        <v>Standard</v>
      </c>
    </row>
    <row r="7771" customFormat="false" ht="15" hidden="false" customHeight="true" outlineLevel="0" collapsed="false">
      <c r="A7771" s="10" t="n">
        <f aca="false">Einstellungen!$B$5+INT((ROW()-9)/24)</f>
        <v>46289</v>
      </c>
      <c r="B7771" s="11" t="n">
        <f aca="false">MOD(ROW()-9,24)</f>
        <v>10</v>
      </c>
      <c r="C7771" s="12"/>
      <c r="D7771" s="13" t="n">
        <f aca="false">IF(B7771&lt;5,Einstellungen!$B$3,Einstellungen!$B$4)</f>
        <v>29.13</v>
      </c>
      <c r="E7771" s="14" t="str">
        <f aca="false">IF(C7771="","",C7771*D7771/100)</f>
        <v/>
      </c>
      <c r="F7771" s="15" t="str">
        <f aca="false">IF(B7771&lt;5,"Go","Standard")</f>
        <v>Standard</v>
      </c>
    </row>
    <row r="7772" customFormat="false" ht="15" hidden="false" customHeight="true" outlineLevel="0" collapsed="false">
      <c r="A7772" s="10" t="n">
        <f aca="false">Einstellungen!$B$5+INT((ROW()-9)/24)</f>
        <v>46289</v>
      </c>
      <c r="B7772" s="11" t="n">
        <f aca="false">MOD(ROW()-9,24)</f>
        <v>11</v>
      </c>
      <c r="C7772" s="12"/>
      <c r="D7772" s="13" t="n">
        <f aca="false">IF(B7772&lt;5,Einstellungen!$B$3,Einstellungen!$B$4)</f>
        <v>29.13</v>
      </c>
      <c r="E7772" s="14" t="str">
        <f aca="false">IF(C7772="","",C7772*D7772/100)</f>
        <v/>
      </c>
      <c r="F7772" s="15" t="str">
        <f aca="false">IF(B7772&lt;5,"Go","Standard")</f>
        <v>Standard</v>
      </c>
    </row>
    <row r="7773" customFormat="false" ht="15" hidden="false" customHeight="true" outlineLevel="0" collapsed="false">
      <c r="A7773" s="10" t="n">
        <f aca="false">Einstellungen!$B$5+INT((ROW()-9)/24)</f>
        <v>46289</v>
      </c>
      <c r="B7773" s="11" t="n">
        <f aca="false">MOD(ROW()-9,24)</f>
        <v>12</v>
      </c>
      <c r="C7773" s="12"/>
      <c r="D7773" s="13" t="n">
        <f aca="false">IF(B7773&lt;5,Einstellungen!$B$3,Einstellungen!$B$4)</f>
        <v>29.13</v>
      </c>
      <c r="E7773" s="14" t="str">
        <f aca="false">IF(C7773="","",C7773*D7773/100)</f>
        <v/>
      </c>
      <c r="F7773" s="15" t="str">
        <f aca="false">IF(B7773&lt;5,"Go","Standard")</f>
        <v>Standard</v>
      </c>
    </row>
    <row r="7774" customFormat="false" ht="15" hidden="false" customHeight="true" outlineLevel="0" collapsed="false">
      <c r="A7774" s="10" t="n">
        <f aca="false">Einstellungen!$B$5+INT((ROW()-9)/24)</f>
        <v>46289</v>
      </c>
      <c r="B7774" s="11" t="n">
        <f aca="false">MOD(ROW()-9,24)</f>
        <v>13</v>
      </c>
      <c r="C7774" s="12"/>
      <c r="D7774" s="13" t="n">
        <f aca="false">IF(B7774&lt;5,Einstellungen!$B$3,Einstellungen!$B$4)</f>
        <v>29.13</v>
      </c>
      <c r="E7774" s="14" t="str">
        <f aca="false">IF(C7774="","",C7774*D7774/100)</f>
        <v/>
      </c>
      <c r="F7774" s="15" t="str">
        <f aca="false">IF(B7774&lt;5,"Go","Standard")</f>
        <v>Standard</v>
      </c>
    </row>
    <row r="7775" customFormat="false" ht="15" hidden="false" customHeight="true" outlineLevel="0" collapsed="false">
      <c r="A7775" s="10" t="n">
        <f aca="false">Einstellungen!$B$5+INT((ROW()-9)/24)</f>
        <v>46289</v>
      </c>
      <c r="B7775" s="11" t="n">
        <f aca="false">MOD(ROW()-9,24)</f>
        <v>14</v>
      </c>
      <c r="C7775" s="12"/>
      <c r="D7775" s="13" t="n">
        <f aca="false">IF(B7775&lt;5,Einstellungen!$B$3,Einstellungen!$B$4)</f>
        <v>29.13</v>
      </c>
      <c r="E7775" s="14" t="str">
        <f aca="false">IF(C7775="","",C7775*D7775/100)</f>
        <v/>
      </c>
      <c r="F7775" s="15" t="str">
        <f aca="false">IF(B7775&lt;5,"Go","Standard")</f>
        <v>Standard</v>
      </c>
    </row>
    <row r="7776" customFormat="false" ht="15" hidden="false" customHeight="true" outlineLevel="0" collapsed="false">
      <c r="A7776" s="10" t="n">
        <f aca="false">Einstellungen!$B$5+INT((ROW()-9)/24)</f>
        <v>46289</v>
      </c>
      <c r="B7776" s="11" t="n">
        <f aca="false">MOD(ROW()-9,24)</f>
        <v>15</v>
      </c>
      <c r="C7776" s="12"/>
      <c r="D7776" s="13" t="n">
        <f aca="false">IF(B7776&lt;5,Einstellungen!$B$3,Einstellungen!$B$4)</f>
        <v>29.13</v>
      </c>
      <c r="E7776" s="14" t="str">
        <f aca="false">IF(C7776="","",C7776*D7776/100)</f>
        <v/>
      </c>
      <c r="F7776" s="15" t="str">
        <f aca="false">IF(B7776&lt;5,"Go","Standard")</f>
        <v>Standard</v>
      </c>
    </row>
    <row r="7777" customFormat="false" ht="15" hidden="false" customHeight="true" outlineLevel="0" collapsed="false">
      <c r="A7777" s="10" t="n">
        <f aca="false">Einstellungen!$B$5+INT((ROW()-9)/24)</f>
        <v>46289</v>
      </c>
      <c r="B7777" s="11" t="n">
        <f aca="false">MOD(ROW()-9,24)</f>
        <v>16</v>
      </c>
      <c r="C7777" s="12"/>
      <c r="D7777" s="13" t="n">
        <f aca="false">IF(B7777&lt;5,Einstellungen!$B$3,Einstellungen!$B$4)</f>
        <v>29.13</v>
      </c>
      <c r="E7777" s="14" t="str">
        <f aca="false">IF(C7777="","",C7777*D7777/100)</f>
        <v/>
      </c>
      <c r="F7777" s="15" t="str">
        <f aca="false">IF(B7777&lt;5,"Go","Standard")</f>
        <v>Standard</v>
      </c>
    </row>
    <row r="7778" customFormat="false" ht="15" hidden="false" customHeight="true" outlineLevel="0" collapsed="false">
      <c r="A7778" s="10" t="n">
        <f aca="false">Einstellungen!$B$5+INT((ROW()-9)/24)</f>
        <v>46289</v>
      </c>
      <c r="B7778" s="11" t="n">
        <f aca="false">MOD(ROW()-9,24)</f>
        <v>17</v>
      </c>
      <c r="C7778" s="12"/>
      <c r="D7778" s="13" t="n">
        <f aca="false">IF(B7778&lt;5,Einstellungen!$B$3,Einstellungen!$B$4)</f>
        <v>29.13</v>
      </c>
      <c r="E7778" s="14" t="str">
        <f aca="false">IF(C7778="","",C7778*D7778/100)</f>
        <v/>
      </c>
      <c r="F7778" s="15" t="str">
        <f aca="false">IF(B7778&lt;5,"Go","Standard")</f>
        <v>Standard</v>
      </c>
    </row>
    <row r="7779" customFormat="false" ht="15" hidden="false" customHeight="true" outlineLevel="0" collapsed="false">
      <c r="A7779" s="10" t="n">
        <f aca="false">Einstellungen!$B$5+INT((ROW()-9)/24)</f>
        <v>46289</v>
      </c>
      <c r="B7779" s="11" t="n">
        <f aca="false">MOD(ROW()-9,24)</f>
        <v>18</v>
      </c>
      <c r="C7779" s="12"/>
      <c r="D7779" s="13" t="n">
        <f aca="false">IF(B7779&lt;5,Einstellungen!$B$3,Einstellungen!$B$4)</f>
        <v>29.13</v>
      </c>
      <c r="E7779" s="14" t="str">
        <f aca="false">IF(C7779="","",C7779*D7779/100)</f>
        <v/>
      </c>
      <c r="F7779" s="15" t="str">
        <f aca="false">IF(B7779&lt;5,"Go","Standard")</f>
        <v>Standard</v>
      </c>
    </row>
    <row r="7780" customFormat="false" ht="15" hidden="false" customHeight="true" outlineLevel="0" collapsed="false">
      <c r="A7780" s="10" t="n">
        <f aca="false">Einstellungen!$B$5+INT((ROW()-9)/24)</f>
        <v>46289</v>
      </c>
      <c r="B7780" s="11" t="n">
        <f aca="false">MOD(ROW()-9,24)</f>
        <v>19</v>
      </c>
      <c r="C7780" s="12"/>
      <c r="D7780" s="13" t="n">
        <f aca="false">IF(B7780&lt;5,Einstellungen!$B$3,Einstellungen!$B$4)</f>
        <v>29.13</v>
      </c>
      <c r="E7780" s="14" t="str">
        <f aca="false">IF(C7780="","",C7780*D7780/100)</f>
        <v/>
      </c>
      <c r="F7780" s="15" t="str">
        <f aca="false">IF(B7780&lt;5,"Go","Standard")</f>
        <v>Standard</v>
      </c>
    </row>
    <row r="7781" customFormat="false" ht="15" hidden="false" customHeight="true" outlineLevel="0" collapsed="false">
      <c r="A7781" s="10" t="n">
        <f aca="false">Einstellungen!$B$5+INT((ROW()-9)/24)</f>
        <v>46289</v>
      </c>
      <c r="B7781" s="11" t="n">
        <f aca="false">MOD(ROW()-9,24)</f>
        <v>20</v>
      </c>
      <c r="C7781" s="12"/>
      <c r="D7781" s="13" t="n">
        <f aca="false">IF(B7781&lt;5,Einstellungen!$B$3,Einstellungen!$B$4)</f>
        <v>29.13</v>
      </c>
      <c r="E7781" s="14" t="str">
        <f aca="false">IF(C7781="","",C7781*D7781/100)</f>
        <v/>
      </c>
      <c r="F7781" s="15" t="str">
        <f aca="false">IF(B7781&lt;5,"Go","Standard")</f>
        <v>Standard</v>
      </c>
    </row>
    <row r="7782" customFormat="false" ht="15" hidden="false" customHeight="true" outlineLevel="0" collapsed="false">
      <c r="A7782" s="10" t="n">
        <f aca="false">Einstellungen!$B$5+INT((ROW()-9)/24)</f>
        <v>46289</v>
      </c>
      <c r="B7782" s="11" t="n">
        <f aca="false">MOD(ROW()-9,24)</f>
        <v>21</v>
      </c>
      <c r="C7782" s="12"/>
      <c r="D7782" s="13" t="n">
        <f aca="false">IF(B7782&lt;5,Einstellungen!$B$3,Einstellungen!$B$4)</f>
        <v>29.13</v>
      </c>
      <c r="E7782" s="14" t="str">
        <f aca="false">IF(C7782="","",C7782*D7782/100)</f>
        <v/>
      </c>
      <c r="F7782" s="15" t="str">
        <f aca="false">IF(B7782&lt;5,"Go","Standard")</f>
        <v>Standard</v>
      </c>
    </row>
    <row r="7783" customFormat="false" ht="15" hidden="false" customHeight="true" outlineLevel="0" collapsed="false">
      <c r="A7783" s="10" t="n">
        <f aca="false">Einstellungen!$B$5+INT((ROW()-9)/24)</f>
        <v>46289</v>
      </c>
      <c r="B7783" s="11" t="n">
        <f aca="false">MOD(ROW()-9,24)</f>
        <v>22</v>
      </c>
      <c r="C7783" s="12"/>
      <c r="D7783" s="13" t="n">
        <f aca="false">IF(B7783&lt;5,Einstellungen!$B$3,Einstellungen!$B$4)</f>
        <v>29.13</v>
      </c>
      <c r="E7783" s="14" t="str">
        <f aca="false">IF(C7783="","",C7783*D7783/100)</f>
        <v/>
      </c>
      <c r="F7783" s="15" t="str">
        <f aca="false">IF(B7783&lt;5,"Go","Standard")</f>
        <v>Standard</v>
      </c>
    </row>
    <row r="7784" customFormat="false" ht="15" hidden="false" customHeight="true" outlineLevel="0" collapsed="false">
      <c r="A7784" s="10" t="n">
        <f aca="false">Einstellungen!$B$5+INT((ROW()-9)/24)</f>
        <v>46289</v>
      </c>
      <c r="B7784" s="11" t="n">
        <f aca="false">MOD(ROW()-9,24)</f>
        <v>23</v>
      </c>
      <c r="C7784" s="12"/>
      <c r="D7784" s="13" t="n">
        <f aca="false">IF(B7784&lt;5,Einstellungen!$B$3,Einstellungen!$B$4)</f>
        <v>29.13</v>
      </c>
      <c r="E7784" s="14" t="str">
        <f aca="false">IF(C7784="","",C7784*D7784/100)</f>
        <v/>
      </c>
      <c r="F7784" s="15" t="str">
        <f aca="false">IF(B7784&lt;5,"Go","Standard")</f>
        <v>Standard</v>
      </c>
    </row>
    <row r="7785" customFormat="false" ht="15" hidden="false" customHeight="true" outlineLevel="0" collapsed="false">
      <c r="A7785" s="10" t="n">
        <f aca="false">Einstellungen!$B$5+INT((ROW()-9)/24)</f>
        <v>46290</v>
      </c>
      <c r="B7785" s="11" t="n">
        <f aca="false">MOD(ROW()-9,24)</f>
        <v>0</v>
      </c>
      <c r="C7785" s="12"/>
      <c r="D7785" s="13" t="n">
        <f aca="false">IF(B7785&lt;5,Einstellungen!$B$3,Einstellungen!$B$4)</f>
        <v>15.92</v>
      </c>
      <c r="E7785" s="14" t="str">
        <f aca="false">IF(C7785="","",C7785*D7785/100)</f>
        <v/>
      </c>
      <c r="F7785" s="15" t="str">
        <f aca="false">IF(B7785&lt;5,"Go","Standard")</f>
        <v>Go</v>
      </c>
    </row>
    <row r="7786" customFormat="false" ht="15" hidden="false" customHeight="true" outlineLevel="0" collapsed="false">
      <c r="A7786" s="10" t="n">
        <f aca="false">Einstellungen!$B$5+INT((ROW()-9)/24)</f>
        <v>46290</v>
      </c>
      <c r="B7786" s="11" t="n">
        <f aca="false">MOD(ROW()-9,24)</f>
        <v>1</v>
      </c>
      <c r="C7786" s="12"/>
      <c r="D7786" s="13" t="n">
        <f aca="false">IF(B7786&lt;5,Einstellungen!$B$3,Einstellungen!$B$4)</f>
        <v>15.92</v>
      </c>
      <c r="E7786" s="14" t="str">
        <f aca="false">IF(C7786="","",C7786*D7786/100)</f>
        <v/>
      </c>
      <c r="F7786" s="15" t="str">
        <f aca="false">IF(B7786&lt;5,"Go","Standard")</f>
        <v>Go</v>
      </c>
    </row>
    <row r="7787" customFormat="false" ht="15" hidden="false" customHeight="true" outlineLevel="0" collapsed="false">
      <c r="A7787" s="10" t="n">
        <f aca="false">Einstellungen!$B$5+INT((ROW()-9)/24)</f>
        <v>46290</v>
      </c>
      <c r="B7787" s="11" t="n">
        <f aca="false">MOD(ROW()-9,24)</f>
        <v>2</v>
      </c>
      <c r="C7787" s="12"/>
      <c r="D7787" s="13" t="n">
        <f aca="false">IF(B7787&lt;5,Einstellungen!$B$3,Einstellungen!$B$4)</f>
        <v>15.92</v>
      </c>
      <c r="E7787" s="14" t="str">
        <f aca="false">IF(C7787="","",C7787*D7787/100)</f>
        <v/>
      </c>
      <c r="F7787" s="15" t="str">
        <f aca="false">IF(B7787&lt;5,"Go","Standard")</f>
        <v>Go</v>
      </c>
    </row>
    <row r="7788" customFormat="false" ht="15" hidden="false" customHeight="true" outlineLevel="0" collapsed="false">
      <c r="A7788" s="10" t="n">
        <f aca="false">Einstellungen!$B$5+INT((ROW()-9)/24)</f>
        <v>46290</v>
      </c>
      <c r="B7788" s="11" t="n">
        <f aca="false">MOD(ROW()-9,24)</f>
        <v>3</v>
      </c>
      <c r="C7788" s="12"/>
      <c r="D7788" s="13" t="n">
        <f aca="false">IF(B7788&lt;5,Einstellungen!$B$3,Einstellungen!$B$4)</f>
        <v>15.92</v>
      </c>
      <c r="E7788" s="14" t="str">
        <f aca="false">IF(C7788="","",C7788*D7788/100)</f>
        <v/>
      </c>
      <c r="F7788" s="15" t="str">
        <f aca="false">IF(B7788&lt;5,"Go","Standard")</f>
        <v>Go</v>
      </c>
    </row>
    <row r="7789" customFormat="false" ht="15" hidden="false" customHeight="true" outlineLevel="0" collapsed="false">
      <c r="A7789" s="10" t="n">
        <f aca="false">Einstellungen!$B$5+INT((ROW()-9)/24)</f>
        <v>46290</v>
      </c>
      <c r="B7789" s="11" t="n">
        <f aca="false">MOD(ROW()-9,24)</f>
        <v>4</v>
      </c>
      <c r="C7789" s="12"/>
      <c r="D7789" s="13" t="n">
        <f aca="false">IF(B7789&lt;5,Einstellungen!$B$3,Einstellungen!$B$4)</f>
        <v>15.92</v>
      </c>
      <c r="E7789" s="14" t="str">
        <f aca="false">IF(C7789="","",C7789*D7789/100)</f>
        <v/>
      </c>
      <c r="F7789" s="15" t="str">
        <f aca="false">IF(B7789&lt;5,"Go","Standard")</f>
        <v>Go</v>
      </c>
    </row>
    <row r="7790" customFormat="false" ht="15" hidden="false" customHeight="true" outlineLevel="0" collapsed="false">
      <c r="A7790" s="10" t="n">
        <f aca="false">Einstellungen!$B$5+INT((ROW()-9)/24)</f>
        <v>46290</v>
      </c>
      <c r="B7790" s="11" t="n">
        <f aca="false">MOD(ROW()-9,24)</f>
        <v>5</v>
      </c>
      <c r="C7790" s="12"/>
      <c r="D7790" s="13" t="n">
        <f aca="false">IF(B7790&lt;5,Einstellungen!$B$3,Einstellungen!$B$4)</f>
        <v>29.13</v>
      </c>
      <c r="E7790" s="14" t="str">
        <f aca="false">IF(C7790="","",C7790*D7790/100)</f>
        <v/>
      </c>
      <c r="F7790" s="15" t="str">
        <f aca="false">IF(B7790&lt;5,"Go","Standard")</f>
        <v>Standard</v>
      </c>
    </row>
    <row r="7791" customFormat="false" ht="15" hidden="false" customHeight="true" outlineLevel="0" collapsed="false">
      <c r="A7791" s="10" t="n">
        <f aca="false">Einstellungen!$B$5+INT((ROW()-9)/24)</f>
        <v>46290</v>
      </c>
      <c r="B7791" s="11" t="n">
        <f aca="false">MOD(ROW()-9,24)</f>
        <v>6</v>
      </c>
      <c r="C7791" s="12"/>
      <c r="D7791" s="13" t="n">
        <f aca="false">IF(B7791&lt;5,Einstellungen!$B$3,Einstellungen!$B$4)</f>
        <v>29.13</v>
      </c>
      <c r="E7791" s="14" t="str">
        <f aca="false">IF(C7791="","",C7791*D7791/100)</f>
        <v/>
      </c>
      <c r="F7791" s="15" t="str">
        <f aca="false">IF(B7791&lt;5,"Go","Standard")</f>
        <v>Standard</v>
      </c>
    </row>
    <row r="7792" customFormat="false" ht="15" hidden="false" customHeight="true" outlineLevel="0" collapsed="false">
      <c r="A7792" s="10" t="n">
        <f aca="false">Einstellungen!$B$5+INT((ROW()-9)/24)</f>
        <v>46290</v>
      </c>
      <c r="B7792" s="11" t="n">
        <f aca="false">MOD(ROW()-9,24)</f>
        <v>7</v>
      </c>
      <c r="C7792" s="12"/>
      <c r="D7792" s="13" t="n">
        <f aca="false">IF(B7792&lt;5,Einstellungen!$B$3,Einstellungen!$B$4)</f>
        <v>29.13</v>
      </c>
      <c r="E7792" s="14" t="str">
        <f aca="false">IF(C7792="","",C7792*D7792/100)</f>
        <v/>
      </c>
      <c r="F7792" s="15" t="str">
        <f aca="false">IF(B7792&lt;5,"Go","Standard")</f>
        <v>Standard</v>
      </c>
    </row>
    <row r="7793" customFormat="false" ht="15" hidden="false" customHeight="true" outlineLevel="0" collapsed="false">
      <c r="A7793" s="10" t="n">
        <f aca="false">Einstellungen!$B$5+INT((ROW()-9)/24)</f>
        <v>46290</v>
      </c>
      <c r="B7793" s="11" t="n">
        <f aca="false">MOD(ROW()-9,24)</f>
        <v>8</v>
      </c>
      <c r="C7793" s="12"/>
      <c r="D7793" s="13" t="n">
        <f aca="false">IF(B7793&lt;5,Einstellungen!$B$3,Einstellungen!$B$4)</f>
        <v>29.13</v>
      </c>
      <c r="E7793" s="14" t="str">
        <f aca="false">IF(C7793="","",C7793*D7793/100)</f>
        <v/>
      </c>
      <c r="F7793" s="15" t="str">
        <f aca="false">IF(B7793&lt;5,"Go","Standard")</f>
        <v>Standard</v>
      </c>
    </row>
    <row r="7794" customFormat="false" ht="15" hidden="false" customHeight="true" outlineLevel="0" collapsed="false">
      <c r="A7794" s="10" t="n">
        <f aca="false">Einstellungen!$B$5+INT((ROW()-9)/24)</f>
        <v>46290</v>
      </c>
      <c r="B7794" s="11" t="n">
        <f aca="false">MOD(ROW()-9,24)</f>
        <v>9</v>
      </c>
      <c r="C7794" s="12"/>
      <c r="D7794" s="13" t="n">
        <f aca="false">IF(B7794&lt;5,Einstellungen!$B$3,Einstellungen!$B$4)</f>
        <v>29.13</v>
      </c>
      <c r="E7794" s="14" t="str">
        <f aca="false">IF(C7794="","",C7794*D7794/100)</f>
        <v/>
      </c>
      <c r="F7794" s="15" t="str">
        <f aca="false">IF(B7794&lt;5,"Go","Standard")</f>
        <v>Standard</v>
      </c>
    </row>
    <row r="7795" customFormat="false" ht="15" hidden="false" customHeight="true" outlineLevel="0" collapsed="false">
      <c r="A7795" s="10" t="n">
        <f aca="false">Einstellungen!$B$5+INT((ROW()-9)/24)</f>
        <v>46290</v>
      </c>
      <c r="B7795" s="11" t="n">
        <f aca="false">MOD(ROW()-9,24)</f>
        <v>10</v>
      </c>
      <c r="C7795" s="12"/>
      <c r="D7795" s="13" t="n">
        <f aca="false">IF(B7795&lt;5,Einstellungen!$B$3,Einstellungen!$B$4)</f>
        <v>29.13</v>
      </c>
      <c r="E7795" s="14" t="str">
        <f aca="false">IF(C7795="","",C7795*D7795/100)</f>
        <v/>
      </c>
      <c r="F7795" s="15" t="str">
        <f aca="false">IF(B7795&lt;5,"Go","Standard")</f>
        <v>Standard</v>
      </c>
    </row>
    <row r="7796" customFormat="false" ht="15" hidden="false" customHeight="true" outlineLevel="0" collapsed="false">
      <c r="A7796" s="10" t="n">
        <f aca="false">Einstellungen!$B$5+INT((ROW()-9)/24)</f>
        <v>46290</v>
      </c>
      <c r="B7796" s="11" t="n">
        <f aca="false">MOD(ROW()-9,24)</f>
        <v>11</v>
      </c>
      <c r="C7796" s="12"/>
      <c r="D7796" s="13" t="n">
        <f aca="false">IF(B7796&lt;5,Einstellungen!$B$3,Einstellungen!$B$4)</f>
        <v>29.13</v>
      </c>
      <c r="E7796" s="14" t="str">
        <f aca="false">IF(C7796="","",C7796*D7796/100)</f>
        <v/>
      </c>
      <c r="F7796" s="15" t="str">
        <f aca="false">IF(B7796&lt;5,"Go","Standard")</f>
        <v>Standard</v>
      </c>
    </row>
    <row r="7797" customFormat="false" ht="15" hidden="false" customHeight="true" outlineLevel="0" collapsed="false">
      <c r="A7797" s="10" t="n">
        <f aca="false">Einstellungen!$B$5+INT((ROW()-9)/24)</f>
        <v>46290</v>
      </c>
      <c r="B7797" s="11" t="n">
        <f aca="false">MOD(ROW()-9,24)</f>
        <v>12</v>
      </c>
      <c r="C7797" s="12"/>
      <c r="D7797" s="13" t="n">
        <f aca="false">IF(B7797&lt;5,Einstellungen!$B$3,Einstellungen!$B$4)</f>
        <v>29.13</v>
      </c>
      <c r="E7797" s="14" t="str">
        <f aca="false">IF(C7797="","",C7797*D7797/100)</f>
        <v/>
      </c>
      <c r="F7797" s="15" t="str">
        <f aca="false">IF(B7797&lt;5,"Go","Standard")</f>
        <v>Standard</v>
      </c>
    </row>
    <row r="7798" customFormat="false" ht="15" hidden="false" customHeight="true" outlineLevel="0" collapsed="false">
      <c r="A7798" s="10" t="n">
        <f aca="false">Einstellungen!$B$5+INT((ROW()-9)/24)</f>
        <v>46290</v>
      </c>
      <c r="B7798" s="11" t="n">
        <f aca="false">MOD(ROW()-9,24)</f>
        <v>13</v>
      </c>
      <c r="C7798" s="12"/>
      <c r="D7798" s="13" t="n">
        <f aca="false">IF(B7798&lt;5,Einstellungen!$B$3,Einstellungen!$B$4)</f>
        <v>29.13</v>
      </c>
      <c r="E7798" s="14" t="str">
        <f aca="false">IF(C7798="","",C7798*D7798/100)</f>
        <v/>
      </c>
      <c r="F7798" s="15" t="str">
        <f aca="false">IF(B7798&lt;5,"Go","Standard")</f>
        <v>Standard</v>
      </c>
    </row>
    <row r="7799" customFormat="false" ht="15" hidden="false" customHeight="true" outlineLevel="0" collapsed="false">
      <c r="A7799" s="10" t="n">
        <f aca="false">Einstellungen!$B$5+INT((ROW()-9)/24)</f>
        <v>46290</v>
      </c>
      <c r="B7799" s="11" t="n">
        <f aca="false">MOD(ROW()-9,24)</f>
        <v>14</v>
      </c>
      <c r="C7799" s="12"/>
      <c r="D7799" s="13" t="n">
        <f aca="false">IF(B7799&lt;5,Einstellungen!$B$3,Einstellungen!$B$4)</f>
        <v>29.13</v>
      </c>
      <c r="E7799" s="14" t="str">
        <f aca="false">IF(C7799="","",C7799*D7799/100)</f>
        <v/>
      </c>
      <c r="F7799" s="15" t="str">
        <f aca="false">IF(B7799&lt;5,"Go","Standard")</f>
        <v>Standard</v>
      </c>
    </row>
    <row r="7800" customFormat="false" ht="15" hidden="false" customHeight="true" outlineLevel="0" collapsed="false">
      <c r="A7800" s="10" t="n">
        <f aca="false">Einstellungen!$B$5+INT((ROW()-9)/24)</f>
        <v>46290</v>
      </c>
      <c r="B7800" s="11" t="n">
        <f aca="false">MOD(ROW()-9,24)</f>
        <v>15</v>
      </c>
      <c r="C7800" s="12"/>
      <c r="D7800" s="13" t="n">
        <f aca="false">IF(B7800&lt;5,Einstellungen!$B$3,Einstellungen!$B$4)</f>
        <v>29.13</v>
      </c>
      <c r="E7800" s="14" t="str">
        <f aca="false">IF(C7800="","",C7800*D7800/100)</f>
        <v/>
      </c>
      <c r="F7800" s="15" t="str">
        <f aca="false">IF(B7800&lt;5,"Go","Standard")</f>
        <v>Standard</v>
      </c>
    </row>
    <row r="7801" customFormat="false" ht="15" hidden="false" customHeight="true" outlineLevel="0" collapsed="false">
      <c r="A7801" s="10" t="n">
        <f aca="false">Einstellungen!$B$5+INT((ROW()-9)/24)</f>
        <v>46290</v>
      </c>
      <c r="B7801" s="11" t="n">
        <f aca="false">MOD(ROW()-9,24)</f>
        <v>16</v>
      </c>
      <c r="C7801" s="12"/>
      <c r="D7801" s="13" t="n">
        <f aca="false">IF(B7801&lt;5,Einstellungen!$B$3,Einstellungen!$B$4)</f>
        <v>29.13</v>
      </c>
      <c r="E7801" s="14" t="str">
        <f aca="false">IF(C7801="","",C7801*D7801/100)</f>
        <v/>
      </c>
      <c r="F7801" s="15" t="str">
        <f aca="false">IF(B7801&lt;5,"Go","Standard")</f>
        <v>Standard</v>
      </c>
    </row>
    <row r="7802" customFormat="false" ht="15" hidden="false" customHeight="true" outlineLevel="0" collapsed="false">
      <c r="A7802" s="10" t="n">
        <f aca="false">Einstellungen!$B$5+INT((ROW()-9)/24)</f>
        <v>46290</v>
      </c>
      <c r="B7802" s="11" t="n">
        <f aca="false">MOD(ROW()-9,24)</f>
        <v>17</v>
      </c>
      <c r="C7802" s="12"/>
      <c r="D7802" s="13" t="n">
        <f aca="false">IF(B7802&lt;5,Einstellungen!$B$3,Einstellungen!$B$4)</f>
        <v>29.13</v>
      </c>
      <c r="E7802" s="14" t="str">
        <f aca="false">IF(C7802="","",C7802*D7802/100)</f>
        <v/>
      </c>
      <c r="F7802" s="15" t="str">
        <f aca="false">IF(B7802&lt;5,"Go","Standard")</f>
        <v>Standard</v>
      </c>
    </row>
    <row r="7803" customFormat="false" ht="15" hidden="false" customHeight="true" outlineLevel="0" collapsed="false">
      <c r="A7803" s="10" t="n">
        <f aca="false">Einstellungen!$B$5+INT((ROW()-9)/24)</f>
        <v>46290</v>
      </c>
      <c r="B7803" s="11" t="n">
        <f aca="false">MOD(ROW()-9,24)</f>
        <v>18</v>
      </c>
      <c r="C7803" s="12"/>
      <c r="D7803" s="13" t="n">
        <f aca="false">IF(B7803&lt;5,Einstellungen!$B$3,Einstellungen!$B$4)</f>
        <v>29.13</v>
      </c>
      <c r="E7803" s="14" t="str">
        <f aca="false">IF(C7803="","",C7803*D7803/100)</f>
        <v/>
      </c>
      <c r="F7803" s="15" t="str">
        <f aca="false">IF(B7803&lt;5,"Go","Standard")</f>
        <v>Standard</v>
      </c>
    </row>
    <row r="7804" customFormat="false" ht="15" hidden="false" customHeight="true" outlineLevel="0" collapsed="false">
      <c r="A7804" s="10" t="n">
        <f aca="false">Einstellungen!$B$5+INT((ROW()-9)/24)</f>
        <v>46290</v>
      </c>
      <c r="B7804" s="11" t="n">
        <f aca="false">MOD(ROW()-9,24)</f>
        <v>19</v>
      </c>
      <c r="C7804" s="12"/>
      <c r="D7804" s="13" t="n">
        <f aca="false">IF(B7804&lt;5,Einstellungen!$B$3,Einstellungen!$B$4)</f>
        <v>29.13</v>
      </c>
      <c r="E7804" s="14" t="str">
        <f aca="false">IF(C7804="","",C7804*D7804/100)</f>
        <v/>
      </c>
      <c r="F7804" s="15" t="str">
        <f aca="false">IF(B7804&lt;5,"Go","Standard")</f>
        <v>Standard</v>
      </c>
    </row>
    <row r="7805" customFormat="false" ht="15" hidden="false" customHeight="true" outlineLevel="0" collapsed="false">
      <c r="A7805" s="10" t="n">
        <f aca="false">Einstellungen!$B$5+INT((ROW()-9)/24)</f>
        <v>46290</v>
      </c>
      <c r="B7805" s="11" t="n">
        <f aca="false">MOD(ROW()-9,24)</f>
        <v>20</v>
      </c>
      <c r="C7805" s="12"/>
      <c r="D7805" s="13" t="n">
        <f aca="false">IF(B7805&lt;5,Einstellungen!$B$3,Einstellungen!$B$4)</f>
        <v>29.13</v>
      </c>
      <c r="E7805" s="14" t="str">
        <f aca="false">IF(C7805="","",C7805*D7805/100)</f>
        <v/>
      </c>
      <c r="F7805" s="15" t="str">
        <f aca="false">IF(B7805&lt;5,"Go","Standard")</f>
        <v>Standard</v>
      </c>
    </row>
    <row r="7806" customFormat="false" ht="15" hidden="false" customHeight="true" outlineLevel="0" collapsed="false">
      <c r="A7806" s="10" t="n">
        <f aca="false">Einstellungen!$B$5+INT((ROW()-9)/24)</f>
        <v>46290</v>
      </c>
      <c r="B7806" s="11" t="n">
        <f aca="false">MOD(ROW()-9,24)</f>
        <v>21</v>
      </c>
      <c r="C7806" s="12"/>
      <c r="D7806" s="13" t="n">
        <f aca="false">IF(B7806&lt;5,Einstellungen!$B$3,Einstellungen!$B$4)</f>
        <v>29.13</v>
      </c>
      <c r="E7806" s="14" t="str">
        <f aca="false">IF(C7806="","",C7806*D7806/100)</f>
        <v/>
      </c>
      <c r="F7806" s="15" t="str">
        <f aca="false">IF(B7806&lt;5,"Go","Standard")</f>
        <v>Standard</v>
      </c>
    </row>
    <row r="7807" customFormat="false" ht="15" hidden="false" customHeight="true" outlineLevel="0" collapsed="false">
      <c r="A7807" s="10" t="n">
        <f aca="false">Einstellungen!$B$5+INT((ROW()-9)/24)</f>
        <v>46290</v>
      </c>
      <c r="B7807" s="11" t="n">
        <f aca="false">MOD(ROW()-9,24)</f>
        <v>22</v>
      </c>
      <c r="C7807" s="12"/>
      <c r="D7807" s="13" t="n">
        <f aca="false">IF(B7807&lt;5,Einstellungen!$B$3,Einstellungen!$B$4)</f>
        <v>29.13</v>
      </c>
      <c r="E7807" s="14" t="str">
        <f aca="false">IF(C7807="","",C7807*D7807/100)</f>
        <v/>
      </c>
      <c r="F7807" s="15" t="str">
        <f aca="false">IF(B7807&lt;5,"Go","Standard")</f>
        <v>Standard</v>
      </c>
    </row>
    <row r="7808" customFormat="false" ht="15" hidden="false" customHeight="true" outlineLevel="0" collapsed="false">
      <c r="A7808" s="10" t="n">
        <f aca="false">Einstellungen!$B$5+INT((ROW()-9)/24)</f>
        <v>46290</v>
      </c>
      <c r="B7808" s="11" t="n">
        <f aca="false">MOD(ROW()-9,24)</f>
        <v>23</v>
      </c>
      <c r="C7808" s="12"/>
      <c r="D7808" s="13" t="n">
        <f aca="false">IF(B7808&lt;5,Einstellungen!$B$3,Einstellungen!$B$4)</f>
        <v>29.13</v>
      </c>
      <c r="E7808" s="14" t="str">
        <f aca="false">IF(C7808="","",C7808*D7808/100)</f>
        <v/>
      </c>
      <c r="F7808" s="15" t="str">
        <f aca="false">IF(B7808&lt;5,"Go","Standard")</f>
        <v>Standard</v>
      </c>
    </row>
    <row r="7809" customFormat="false" ht="15" hidden="false" customHeight="true" outlineLevel="0" collapsed="false">
      <c r="A7809" s="10" t="n">
        <f aca="false">Einstellungen!$B$5+INT((ROW()-9)/24)</f>
        <v>46291</v>
      </c>
      <c r="B7809" s="11" t="n">
        <f aca="false">MOD(ROW()-9,24)</f>
        <v>0</v>
      </c>
      <c r="C7809" s="12"/>
      <c r="D7809" s="13" t="n">
        <f aca="false">IF(B7809&lt;5,Einstellungen!$B$3,Einstellungen!$B$4)</f>
        <v>15.92</v>
      </c>
      <c r="E7809" s="14" t="str">
        <f aca="false">IF(C7809="","",C7809*D7809/100)</f>
        <v/>
      </c>
      <c r="F7809" s="15" t="str">
        <f aca="false">IF(B7809&lt;5,"Go","Standard")</f>
        <v>Go</v>
      </c>
    </row>
    <row r="7810" customFormat="false" ht="15" hidden="false" customHeight="true" outlineLevel="0" collapsed="false">
      <c r="A7810" s="10" t="n">
        <f aca="false">Einstellungen!$B$5+INT((ROW()-9)/24)</f>
        <v>46291</v>
      </c>
      <c r="B7810" s="11" t="n">
        <f aca="false">MOD(ROW()-9,24)</f>
        <v>1</v>
      </c>
      <c r="C7810" s="12"/>
      <c r="D7810" s="13" t="n">
        <f aca="false">IF(B7810&lt;5,Einstellungen!$B$3,Einstellungen!$B$4)</f>
        <v>15.92</v>
      </c>
      <c r="E7810" s="14" t="str">
        <f aca="false">IF(C7810="","",C7810*D7810/100)</f>
        <v/>
      </c>
      <c r="F7810" s="15" t="str">
        <f aca="false">IF(B7810&lt;5,"Go","Standard")</f>
        <v>Go</v>
      </c>
    </row>
    <row r="7811" customFormat="false" ht="15" hidden="false" customHeight="true" outlineLevel="0" collapsed="false">
      <c r="A7811" s="10" t="n">
        <f aca="false">Einstellungen!$B$5+INT((ROW()-9)/24)</f>
        <v>46291</v>
      </c>
      <c r="B7811" s="11" t="n">
        <f aca="false">MOD(ROW()-9,24)</f>
        <v>2</v>
      </c>
      <c r="C7811" s="12"/>
      <c r="D7811" s="13" t="n">
        <f aca="false">IF(B7811&lt;5,Einstellungen!$B$3,Einstellungen!$B$4)</f>
        <v>15.92</v>
      </c>
      <c r="E7811" s="14" t="str">
        <f aca="false">IF(C7811="","",C7811*D7811/100)</f>
        <v/>
      </c>
      <c r="F7811" s="15" t="str">
        <f aca="false">IF(B7811&lt;5,"Go","Standard")</f>
        <v>Go</v>
      </c>
    </row>
    <row r="7812" customFormat="false" ht="15" hidden="false" customHeight="true" outlineLevel="0" collapsed="false">
      <c r="A7812" s="10" t="n">
        <f aca="false">Einstellungen!$B$5+INT((ROW()-9)/24)</f>
        <v>46291</v>
      </c>
      <c r="B7812" s="11" t="n">
        <f aca="false">MOD(ROW()-9,24)</f>
        <v>3</v>
      </c>
      <c r="C7812" s="12"/>
      <c r="D7812" s="13" t="n">
        <f aca="false">IF(B7812&lt;5,Einstellungen!$B$3,Einstellungen!$B$4)</f>
        <v>15.92</v>
      </c>
      <c r="E7812" s="14" t="str">
        <f aca="false">IF(C7812="","",C7812*D7812/100)</f>
        <v/>
      </c>
      <c r="F7812" s="15" t="str">
        <f aca="false">IF(B7812&lt;5,"Go","Standard")</f>
        <v>Go</v>
      </c>
    </row>
    <row r="7813" customFormat="false" ht="15" hidden="false" customHeight="true" outlineLevel="0" collapsed="false">
      <c r="A7813" s="10" t="n">
        <f aca="false">Einstellungen!$B$5+INT((ROW()-9)/24)</f>
        <v>46291</v>
      </c>
      <c r="B7813" s="11" t="n">
        <f aca="false">MOD(ROW()-9,24)</f>
        <v>4</v>
      </c>
      <c r="C7813" s="12"/>
      <c r="D7813" s="13" t="n">
        <f aca="false">IF(B7813&lt;5,Einstellungen!$B$3,Einstellungen!$B$4)</f>
        <v>15.92</v>
      </c>
      <c r="E7813" s="14" t="str">
        <f aca="false">IF(C7813="","",C7813*D7813/100)</f>
        <v/>
      </c>
      <c r="F7813" s="15" t="str">
        <f aca="false">IF(B7813&lt;5,"Go","Standard")</f>
        <v>Go</v>
      </c>
    </row>
    <row r="7814" customFormat="false" ht="15" hidden="false" customHeight="true" outlineLevel="0" collapsed="false">
      <c r="A7814" s="10" t="n">
        <f aca="false">Einstellungen!$B$5+INT((ROW()-9)/24)</f>
        <v>46291</v>
      </c>
      <c r="B7814" s="11" t="n">
        <f aca="false">MOD(ROW()-9,24)</f>
        <v>5</v>
      </c>
      <c r="C7814" s="12"/>
      <c r="D7814" s="13" t="n">
        <f aca="false">IF(B7814&lt;5,Einstellungen!$B$3,Einstellungen!$B$4)</f>
        <v>29.13</v>
      </c>
      <c r="E7814" s="14" t="str">
        <f aca="false">IF(C7814="","",C7814*D7814/100)</f>
        <v/>
      </c>
      <c r="F7814" s="15" t="str">
        <f aca="false">IF(B7814&lt;5,"Go","Standard")</f>
        <v>Standard</v>
      </c>
    </row>
    <row r="7815" customFormat="false" ht="15" hidden="false" customHeight="true" outlineLevel="0" collapsed="false">
      <c r="A7815" s="10" t="n">
        <f aca="false">Einstellungen!$B$5+INT((ROW()-9)/24)</f>
        <v>46291</v>
      </c>
      <c r="B7815" s="11" t="n">
        <f aca="false">MOD(ROW()-9,24)</f>
        <v>6</v>
      </c>
      <c r="C7815" s="12"/>
      <c r="D7815" s="13" t="n">
        <f aca="false">IF(B7815&lt;5,Einstellungen!$B$3,Einstellungen!$B$4)</f>
        <v>29.13</v>
      </c>
      <c r="E7815" s="14" t="str">
        <f aca="false">IF(C7815="","",C7815*D7815/100)</f>
        <v/>
      </c>
      <c r="F7815" s="15" t="str">
        <f aca="false">IF(B7815&lt;5,"Go","Standard")</f>
        <v>Standard</v>
      </c>
    </row>
    <row r="7816" customFormat="false" ht="15" hidden="false" customHeight="true" outlineLevel="0" collapsed="false">
      <c r="A7816" s="10" t="n">
        <f aca="false">Einstellungen!$B$5+INT((ROW()-9)/24)</f>
        <v>46291</v>
      </c>
      <c r="B7816" s="11" t="n">
        <f aca="false">MOD(ROW()-9,24)</f>
        <v>7</v>
      </c>
      <c r="C7816" s="12"/>
      <c r="D7816" s="13" t="n">
        <f aca="false">IF(B7816&lt;5,Einstellungen!$B$3,Einstellungen!$B$4)</f>
        <v>29.13</v>
      </c>
      <c r="E7816" s="14" t="str">
        <f aca="false">IF(C7816="","",C7816*D7816/100)</f>
        <v/>
      </c>
      <c r="F7816" s="15" t="str">
        <f aca="false">IF(B7816&lt;5,"Go","Standard")</f>
        <v>Standard</v>
      </c>
    </row>
    <row r="7817" customFormat="false" ht="15" hidden="false" customHeight="true" outlineLevel="0" collapsed="false">
      <c r="A7817" s="10" t="n">
        <f aca="false">Einstellungen!$B$5+INT((ROW()-9)/24)</f>
        <v>46291</v>
      </c>
      <c r="B7817" s="11" t="n">
        <f aca="false">MOD(ROW()-9,24)</f>
        <v>8</v>
      </c>
      <c r="C7817" s="12"/>
      <c r="D7817" s="13" t="n">
        <f aca="false">IF(B7817&lt;5,Einstellungen!$B$3,Einstellungen!$B$4)</f>
        <v>29.13</v>
      </c>
      <c r="E7817" s="14" t="str">
        <f aca="false">IF(C7817="","",C7817*D7817/100)</f>
        <v/>
      </c>
      <c r="F7817" s="15" t="str">
        <f aca="false">IF(B7817&lt;5,"Go","Standard")</f>
        <v>Standard</v>
      </c>
    </row>
    <row r="7818" customFormat="false" ht="15" hidden="false" customHeight="true" outlineLevel="0" collapsed="false">
      <c r="A7818" s="10" t="n">
        <f aca="false">Einstellungen!$B$5+INT((ROW()-9)/24)</f>
        <v>46291</v>
      </c>
      <c r="B7818" s="11" t="n">
        <f aca="false">MOD(ROW()-9,24)</f>
        <v>9</v>
      </c>
      <c r="C7818" s="12"/>
      <c r="D7818" s="13" t="n">
        <f aca="false">IF(B7818&lt;5,Einstellungen!$B$3,Einstellungen!$B$4)</f>
        <v>29.13</v>
      </c>
      <c r="E7818" s="14" t="str">
        <f aca="false">IF(C7818="","",C7818*D7818/100)</f>
        <v/>
      </c>
      <c r="F7818" s="15" t="str">
        <f aca="false">IF(B7818&lt;5,"Go","Standard")</f>
        <v>Standard</v>
      </c>
    </row>
    <row r="7819" customFormat="false" ht="15" hidden="false" customHeight="true" outlineLevel="0" collapsed="false">
      <c r="A7819" s="10" t="n">
        <f aca="false">Einstellungen!$B$5+INT((ROW()-9)/24)</f>
        <v>46291</v>
      </c>
      <c r="B7819" s="11" t="n">
        <f aca="false">MOD(ROW()-9,24)</f>
        <v>10</v>
      </c>
      <c r="C7819" s="12"/>
      <c r="D7819" s="13" t="n">
        <f aca="false">IF(B7819&lt;5,Einstellungen!$B$3,Einstellungen!$B$4)</f>
        <v>29.13</v>
      </c>
      <c r="E7819" s="14" t="str">
        <f aca="false">IF(C7819="","",C7819*D7819/100)</f>
        <v/>
      </c>
      <c r="F7819" s="15" t="str">
        <f aca="false">IF(B7819&lt;5,"Go","Standard")</f>
        <v>Standard</v>
      </c>
    </row>
    <row r="7820" customFormat="false" ht="15" hidden="false" customHeight="true" outlineLevel="0" collapsed="false">
      <c r="A7820" s="10" t="n">
        <f aca="false">Einstellungen!$B$5+INT((ROW()-9)/24)</f>
        <v>46291</v>
      </c>
      <c r="B7820" s="11" t="n">
        <f aca="false">MOD(ROW()-9,24)</f>
        <v>11</v>
      </c>
      <c r="C7820" s="12"/>
      <c r="D7820" s="13" t="n">
        <f aca="false">IF(B7820&lt;5,Einstellungen!$B$3,Einstellungen!$B$4)</f>
        <v>29.13</v>
      </c>
      <c r="E7820" s="14" t="str">
        <f aca="false">IF(C7820="","",C7820*D7820/100)</f>
        <v/>
      </c>
      <c r="F7820" s="15" t="str">
        <f aca="false">IF(B7820&lt;5,"Go","Standard")</f>
        <v>Standard</v>
      </c>
    </row>
    <row r="7821" customFormat="false" ht="15" hidden="false" customHeight="true" outlineLevel="0" collapsed="false">
      <c r="A7821" s="10" t="n">
        <f aca="false">Einstellungen!$B$5+INT((ROW()-9)/24)</f>
        <v>46291</v>
      </c>
      <c r="B7821" s="11" t="n">
        <f aca="false">MOD(ROW()-9,24)</f>
        <v>12</v>
      </c>
      <c r="C7821" s="12"/>
      <c r="D7821" s="13" t="n">
        <f aca="false">IF(B7821&lt;5,Einstellungen!$B$3,Einstellungen!$B$4)</f>
        <v>29.13</v>
      </c>
      <c r="E7821" s="14" t="str">
        <f aca="false">IF(C7821="","",C7821*D7821/100)</f>
        <v/>
      </c>
      <c r="F7821" s="15" t="str">
        <f aca="false">IF(B7821&lt;5,"Go","Standard")</f>
        <v>Standard</v>
      </c>
    </row>
    <row r="7822" customFormat="false" ht="15" hidden="false" customHeight="true" outlineLevel="0" collapsed="false">
      <c r="A7822" s="10" t="n">
        <f aca="false">Einstellungen!$B$5+INT((ROW()-9)/24)</f>
        <v>46291</v>
      </c>
      <c r="B7822" s="11" t="n">
        <f aca="false">MOD(ROW()-9,24)</f>
        <v>13</v>
      </c>
      <c r="C7822" s="12"/>
      <c r="D7822" s="13" t="n">
        <f aca="false">IF(B7822&lt;5,Einstellungen!$B$3,Einstellungen!$B$4)</f>
        <v>29.13</v>
      </c>
      <c r="E7822" s="14" t="str">
        <f aca="false">IF(C7822="","",C7822*D7822/100)</f>
        <v/>
      </c>
      <c r="F7822" s="15" t="str">
        <f aca="false">IF(B7822&lt;5,"Go","Standard")</f>
        <v>Standard</v>
      </c>
    </row>
    <row r="7823" customFormat="false" ht="15" hidden="false" customHeight="true" outlineLevel="0" collapsed="false">
      <c r="A7823" s="10" t="n">
        <f aca="false">Einstellungen!$B$5+INT((ROW()-9)/24)</f>
        <v>46291</v>
      </c>
      <c r="B7823" s="11" t="n">
        <f aca="false">MOD(ROW()-9,24)</f>
        <v>14</v>
      </c>
      <c r="C7823" s="12"/>
      <c r="D7823" s="13" t="n">
        <f aca="false">IF(B7823&lt;5,Einstellungen!$B$3,Einstellungen!$B$4)</f>
        <v>29.13</v>
      </c>
      <c r="E7823" s="14" t="str">
        <f aca="false">IF(C7823="","",C7823*D7823/100)</f>
        <v/>
      </c>
      <c r="F7823" s="15" t="str">
        <f aca="false">IF(B7823&lt;5,"Go","Standard")</f>
        <v>Standard</v>
      </c>
    </row>
    <row r="7824" customFormat="false" ht="15" hidden="false" customHeight="true" outlineLevel="0" collapsed="false">
      <c r="A7824" s="10" t="n">
        <f aca="false">Einstellungen!$B$5+INT((ROW()-9)/24)</f>
        <v>46291</v>
      </c>
      <c r="B7824" s="11" t="n">
        <f aca="false">MOD(ROW()-9,24)</f>
        <v>15</v>
      </c>
      <c r="C7824" s="12"/>
      <c r="D7824" s="13" t="n">
        <f aca="false">IF(B7824&lt;5,Einstellungen!$B$3,Einstellungen!$B$4)</f>
        <v>29.13</v>
      </c>
      <c r="E7824" s="14" t="str">
        <f aca="false">IF(C7824="","",C7824*D7824/100)</f>
        <v/>
      </c>
      <c r="F7824" s="15" t="str">
        <f aca="false">IF(B7824&lt;5,"Go","Standard")</f>
        <v>Standard</v>
      </c>
    </row>
    <row r="7825" customFormat="false" ht="15" hidden="false" customHeight="true" outlineLevel="0" collapsed="false">
      <c r="A7825" s="10" t="n">
        <f aca="false">Einstellungen!$B$5+INT((ROW()-9)/24)</f>
        <v>46291</v>
      </c>
      <c r="B7825" s="11" t="n">
        <f aca="false">MOD(ROW()-9,24)</f>
        <v>16</v>
      </c>
      <c r="C7825" s="12"/>
      <c r="D7825" s="13" t="n">
        <f aca="false">IF(B7825&lt;5,Einstellungen!$B$3,Einstellungen!$B$4)</f>
        <v>29.13</v>
      </c>
      <c r="E7825" s="14" t="str">
        <f aca="false">IF(C7825="","",C7825*D7825/100)</f>
        <v/>
      </c>
      <c r="F7825" s="15" t="str">
        <f aca="false">IF(B7825&lt;5,"Go","Standard")</f>
        <v>Standard</v>
      </c>
    </row>
    <row r="7826" customFormat="false" ht="15" hidden="false" customHeight="true" outlineLevel="0" collapsed="false">
      <c r="A7826" s="10" t="n">
        <f aca="false">Einstellungen!$B$5+INT((ROW()-9)/24)</f>
        <v>46291</v>
      </c>
      <c r="B7826" s="11" t="n">
        <f aca="false">MOD(ROW()-9,24)</f>
        <v>17</v>
      </c>
      <c r="C7826" s="12"/>
      <c r="D7826" s="13" t="n">
        <f aca="false">IF(B7826&lt;5,Einstellungen!$B$3,Einstellungen!$B$4)</f>
        <v>29.13</v>
      </c>
      <c r="E7826" s="14" t="str">
        <f aca="false">IF(C7826="","",C7826*D7826/100)</f>
        <v/>
      </c>
      <c r="F7826" s="15" t="str">
        <f aca="false">IF(B7826&lt;5,"Go","Standard")</f>
        <v>Standard</v>
      </c>
    </row>
    <row r="7827" customFormat="false" ht="15" hidden="false" customHeight="true" outlineLevel="0" collapsed="false">
      <c r="A7827" s="10" t="n">
        <f aca="false">Einstellungen!$B$5+INT((ROW()-9)/24)</f>
        <v>46291</v>
      </c>
      <c r="B7827" s="11" t="n">
        <f aca="false">MOD(ROW()-9,24)</f>
        <v>18</v>
      </c>
      <c r="C7827" s="12"/>
      <c r="D7827" s="13" t="n">
        <f aca="false">IF(B7827&lt;5,Einstellungen!$B$3,Einstellungen!$B$4)</f>
        <v>29.13</v>
      </c>
      <c r="E7827" s="14" t="str">
        <f aca="false">IF(C7827="","",C7827*D7827/100)</f>
        <v/>
      </c>
      <c r="F7827" s="15" t="str">
        <f aca="false">IF(B7827&lt;5,"Go","Standard")</f>
        <v>Standard</v>
      </c>
    </row>
    <row r="7828" customFormat="false" ht="15" hidden="false" customHeight="true" outlineLevel="0" collapsed="false">
      <c r="A7828" s="10" t="n">
        <f aca="false">Einstellungen!$B$5+INT((ROW()-9)/24)</f>
        <v>46291</v>
      </c>
      <c r="B7828" s="11" t="n">
        <f aca="false">MOD(ROW()-9,24)</f>
        <v>19</v>
      </c>
      <c r="C7828" s="12"/>
      <c r="D7828" s="13" t="n">
        <f aca="false">IF(B7828&lt;5,Einstellungen!$B$3,Einstellungen!$B$4)</f>
        <v>29.13</v>
      </c>
      <c r="E7828" s="14" t="str">
        <f aca="false">IF(C7828="","",C7828*D7828/100)</f>
        <v/>
      </c>
      <c r="F7828" s="15" t="str">
        <f aca="false">IF(B7828&lt;5,"Go","Standard")</f>
        <v>Standard</v>
      </c>
    </row>
    <row r="7829" customFormat="false" ht="15" hidden="false" customHeight="true" outlineLevel="0" collapsed="false">
      <c r="A7829" s="10" t="n">
        <f aca="false">Einstellungen!$B$5+INT((ROW()-9)/24)</f>
        <v>46291</v>
      </c>
      <c r="B7829" s="11" t="n">
        <f aca="false">MOD(ROW()-9,24)</f>
        <v>20</v>
      </c>
      <c r="C7829" s="12"/>
      <c r="D7829" s="13" t="n">
        <f aca="false">IF(B7829&lt;5,Einstellungen!$B$3,Einstellungen!$B$4)</f>
        <v>29.13</v>
      </c>
      <c r="E7829" s="14" t="str">
        <f aca="false">IF(C7829="","",C7829*D7829/100)</f>
        <v/>
      </c>
      <c r="F7829" s="15" t="str">
        <f aca="false">IF(B7829&lt;5,"Go","Standard")</f>
        <v>Standard</v>
      </c>
    </row>
    <row r="7830" customFormat="false" ht="15" hidden="false" customHeight="true" outlineLevel="0" collapsed="false">
      <c r="A7830" s="10" t="n">
        <f aca="false">Einstellungen!$B$5+INT((ROW()-9)/24)</f>
        <v>46291</v>
      </c>
      <c r="B7830" s="11" t="n">
        <f aca="false">MOD(ROW()-9,24)</f>
        <v>21</v>
      </c>
      <c r="C7830" s="12"/>
      <c r="D7830" s="13" t="n">
        <f aca="false">IF(B7830&lt;5,Einstellungen!$B$3,Einstellungen!$B$4)</f>
        <v>29.13</v>
      </c>
      <c r="E7830" s="14" t="str">
        <f aca="false">IF(C7830="","",C7830*D7830/100)</f>
        <v/>
      </c>
      <c r="F7830" s="15" t="str">
        <f aca="false">IF(B7830&lt;5,"Go","Standard")</f>
        <v>Standard</v>
      </c>
    </row>
    <row r="7831" customFormat="false" ht="15" hidden="false" customHeight="true" outlineLevel="0" collapsed="false">
      <c r="A7831" s="10" t="n">
        <f aca="false">Einstellungen!$B$5+INT((ROW()-9)/24)</f>
        <v>46291</v>
      </c>
      <c r="B7831" s="11" t="n">
        <f aca="false">MOD(ROW()-9,24)</f>
        <v>22</v>
      </c>
      <c r="C7831" s="12"/>
      <c r="D7831" s="13" t="n">
        <f aca="false">IF(B7831&lt;5,Einstellungen!$B$3,Einstellungen!$B$4)</f>
        <v>29.13</v>
      </c>
      <c r="E7831" s="14" t="str">
        <f aca="false">IF(C7831="","",C7831*D7831/100)</f>
        <v/>
      </c>
      <c r="F7831" s="15" t="str">
        <f aca="false">IF(B7831&lt;5,"Go","Standard")</f>
        <v>Standard</v>
      </c>
    </row>
    <row r="7832" customFormat="false" ht="15" hidden="false" customHeight="true" outlineLevel="0" collapsed="false">
      <c r="A7832" s="10" t="n">
        <f aca="false">Einstellungen!$B$5+INT((ROW()-9)/24)</f>
        <v>46291</v>
      </c>
      <c r="B7832" s="11" t="n">
        <f aca="false">MOD(ROW()-9,24)</f>
        <v>23</v>
      </c>
      <c r="C7832" s="12"/>
      <c r="D7832" s="13" t="n">
        <f aca="false">IF(B7832&lt;5,Einstellungen!$B$3,Einstellungen!$B$4)</f>
        <v>29.13</v>
      </c>
      <c r="E7832" s="14" t="str">
        <f aca="false">IF(C7832="","",C7832*D7832/100)</f>
        <v/>
      </c>
      <c r="F7832" s="15" t="str">
        <f aca="false">IF(B7832&lt;5,"Go","Standard")</f>
        <v>Standard</v>
      </c>
    </row>
    <row r="7833" customFormat="false" ht="15" hidden="false" customHeight="true" outlineLevel="0" collapsed="false">
      <c r="A7833" s="10" t="n">
        <f aca="false">Einstellungen!$B$5+INT((ROW()-9)/24)</f>
        <v>46292</v>
      </c>
      <c r="B7833" s="11" t="n">
        <f aca="false">MOD(ROW()-9,24)</f>
        <v>0</v>
      </c>
      <c r="C7833" s="12"/>
      <c r="D7833" s="13" t="n">
        <f aca="false">IF(B7833&lt;5,Einstellungen!$B$3,Einstellungen!$B$4)</f>
        <v>15.92</v>
      </c>
      <c r="E7833" s="14" t="str">
        <f aca="false">IF(C7833="","",C7833*D7833/100)</f>
        <v/>
      </c>
      <c r="F7833" s="15" t="str">
        <f aca="false">IF(B7833&lt;5,"Go","Standard")</f>
        <v>Go</v>
      </c>
    </row>
    <row r="7834" customFormat="false" ht="15" hidden="false" customHeight="true" outlineLevel="0" collapsed="false">
      <c r="A7834" s="10" t="n">
        <f aca="false">Einstellungen!$B$5+INT((ROW()-9)/24)</f>
        <v>46292</v>
      </c>
      <c r="B7834" s="11" t="n">
        <f aca="false">MOD(ROW()-9,24)</f>
        <v>1</v>
      </c>
      <c r="C7834" s="12"/>
      <c r="D7834" s="13" t="n">
        <f aca="false">IF(B7834&lt;5,Einstellungen!$B$3,Einstellungen!$B$4)</f>
        <v>15.92</v>
      </c>
      <c r="E7834" s="14" t="str">
        <f aca="false">IF(C7834="","",C7834*D7834/100)</f>
        <v/>
      </c>
      <c r="F7834" s="15" t="str">
        <f aca="false">IF(B7834&lt;5,"Go","Standard")</f>
        <v>Go</v>
      </c>
    </row>
    <row r="7835" customFormat="false" ht="15" hidden="false" customHeight="true" outlineLevel="0" collapsed="false">
      <c r="A7835" s="10" t="n">
        <f aca="false">Einstellungen!$B$5+INT((ROW()-9)/24)</f>
        <v>46292</v>
      </c>
      <c r="B7835" s="11" t="n">
        <f aca="false">MOD(ROW()-9,24)</f>
        <v>2</v>
      </c>
      <c r="C7835" s="12"/>
      <c r="D7835" s="13" t="n">
        <f aca="false">IF(B7835&lt;5,Einstellungen!$B$3,Einstellungen!$B$4)</f>
        <v>15.92</v>
      </c>
      <c r="E7835" s="14" t="str">
        <f aca="false">IF(C7835="","",C7835*D7835/100)</f>
        <v/>
      </c>
      <c r="F7835" s="15" t="str">
        <f aca="false">IF(B7835&lt;5,"Go","Standard")</f>
        <v>Go</v>
      </c>
    </row>
    <row r="7836" customFormat="false" ht="15" hidden="false" customHeight="true" outlineLevel="0" collapsed="false">
      <c r="A7836" s="10" t="n">
        <f aca="false">Einstellungen!$B$5+INT((ROW()-9)/24)</f>
        <v>46292</v>
      </c>
      <c r="B7836" s="11" t="n">
        <f aca="false">MOD(ROW()-9,24)</f>
        <v>3</v>
      </c>
      <c r="C7836" s="12"/>
      <c r="D7836" s="13" t="n">
        <f aca="false">IF(B7836&lt;5,Einstellungen!$B$3,Einstellungen!$B$4)</f>
        <v>15.92</v>
      </c>
      <c r="E7836" s="14" t="str">
        <f aca="false">IF(C7836="","",C7836*D7836/100)</f>
        <v/>
      </c>
      <c r="F7836" s="15" t="str">
        <f aca="false">IF(B7836&lt;5,"Go","Standard")</f>
        <v>Go</v>
      </c>
    </row>
    <row r="7837" customFormat="false" ht="15" hidden="false" customHeight="true" outlineLevel="0" collapsed="false">
      <c r="A7837" s="10" t="n">
        <f aca="false">Einstellungen!$B$5+INT((ROW()-9)/24)</f>
        <v>46292</v>
      </c>
      <c r="B7837" s="11" t="n">
        <f aca="false">MOD(ROW()-9,24)</f>
        <v>4</v>
      </c>
      <c r="C7837" s="12"/>
      <c r="D7837" s="13" t="n">
        <f aca="false">IF(B7837&lt;5,Einstellungen!$B$3,Einstellungen!$B$4)</f>
        <v>15.92</v>
      </c>
      <c r="E7837" s="14" t="str">
        <f aca="false">IF(C7837="","",C7837*D7837/100)</f>
        <v/>
      </c>
      <c r="F7837" s="15" t="str">
        <f aca="false">IF(B7837&lt;5,"Go","Standard")</f>
        <v>Go</v>
      </c>
    </row>
    <row r="7838" customFormat="false" ht="15" hidden="false" customHeight="true" outlineLevel="0" collapsed="false">
      <c r="A7838" s="10" t="n">
        <f aca="false">Einstellungen!$B$5+INT((ROW()-9)/24)</f>
        <v>46292</v>
      </c>
      <c r="B7838" s="11" t="n">
        <f aca="false">MOD(ROW()-9,24)</f>
        <v>5</v>
      </c>
      <c r="C7838" s="12"/>
      <c r="D7838" s="13" t="n">
        <f aca="false">IF(B7838&lt;5,Einstellungen!$B$3,Einstellungen!$B$4)</f>
        <v>29.13</v>
      </c>
      <c r="E7838" s="14" t="str">
        <f aca="false">IF(C7838="","",C7838*D7838/100)</f>
        <v/>
      </c>
      <c r="F7838" s="15" t="str">
        <f aca="false">IF(B7838&lt;5,"Go","Standard")</f>
        <v>Standard</v>
      </c>
    </row>
    <row r="7839" customFormat="false" ht="15" hidden="false" customHeight="true" outlineLevel="0" collapsed="false">
      <c r="A7839" s="10" t="n">
        <f aca="false">Einstellungen!$B$5+INT((ROW()-9)/24)</f>
        <v>46292</v>
      </c>
      <c r="B7839" s="11" t="n">
        <f aca="false">MOD(ROW()-9,24)</f>
        <v>6</v>
      </c>
      <c r="C7839" s="12"/>
      <c r="D7839" s="13" t="n">
        <f aca="false">IF(B7839&lt;5,Einstellungen!$B$3,Einstellungen!$B$4)</f>
        <v>29.13</v>
      </c>
      <c r="E7839" s="14" t="str">
        <f aca="false">IF(C7839="","",C7839*D7839/100)</f>
        <v/>
      </c>
      <c r="F7839" s="15" t="str">
        <f aca="false">IF(B7839&lt;5,"Go","Standard")</f>
        <v>Standard</v>
      </c>
    </row>
    <row r="7840" customFormat="false" ht="15" hidden="false" customHeight="true" outlineLevel="0" collapsed="false">
      <c r="A7840" s="10" t="n">
        <f aca="false">Einstellungen!$B$5+INT((ROW()-9)/24)</f>
        <v>46292</v>
      </c>
      <c r="B7840" s="11" t="n">
        <f aca="false">MOD(ROW()-9,24)</f>
        <v>7</v>
      </c>
      <c r="C7840" s="12"/>
      <c r="D7840" s="13" t="n">
        <f aca="false">IF(B7840&lt;5,Einstellungen!$B$3,Einstellungen!$B$4)</f>
        <v>29.13</v>
      </c>
      <c r="E7840" s="14" t="str">
        <f aca="false">IF(C7840="","",C7840*D7840/100)</f>
        <v/>
      </c>
      <c r="F7840" s="15" t="str">
        <f aca="false">IF(B7840&lt;5,"Go","Standard")</f>
        <v>Standard</v>
      </c>
    </row>
    <row r="7841" customFormat="false" ht="15" hidden="false" customHeight="true" outlineLevel="0" collapsed="false">
      <c r="A7841" s="10" t="n">
        <f aca="false">Einstellungen!$B$5+INT((ROW()-9)/24)</f>
        <v>46292</v>
      </c>
      <c r="B7841" s="11" t="n">
        <f aca="false">MOD(ROW()-9,24)</f>
        <v>8</v>
      </c>
      <c r="C7841" s="12"/>
      <c r="D7841" s="13" t="n">
        <f aca="false">IF(B7841&lt;5,Einstellungen!$B$3,Einstellungen!$B$4)</f>
        <v>29.13</v>
      </c>
      <c r="E7841" s="14" t="str">
        <f aca="false">IF(C7841="","",C7841*D7841/100)</f>
        <v/>
      </c>
      <c r="F7841" s="15" t="str">
        <f aca="false">IF(B7841&lt;5,"Go","Standard")</f>
        <v>Standard</v>
      </c>
    </row>
    <row r="7842" customFormat="false" ht="15" hidden="false" customHeight="true" outlineLevel="0" collapsed="false">
      <c r="A7842" s="10" t="n">
        <f aca="false">Einstellungen!$B$5+INT((ROW()-9)/24)</f>
        <v>46292</v>
      </c>
      <c r="B7842" s="11" t="n">
        <f aca="false">MOD(ROW()-9,24)</f>
        <v>9</v>
      </c>
      <c r="C7842" s="12"/>
      <c r="D7842" s="13" t="n">
        <f aca="false">IF(B7842&lt;5,Einstellungen!$B$3,Einstellungen!$B$4)</f>
        <v>29.13</v>
      </c>
      <c r="E7842" s="14" t="str">
        <f aca="false">IF(C7842="","",C7842*D7842/100)</f>
        <v/>
      </c>
      <c r="F7842" s="15" t="str">
        <f aca="false">IF(B7842&lt;5,"Go","Standard")</f>
        <v>Standard</v>
      </c>
    </row>
    <row r="7843" customFormat="false" ht="15" hidden="false" customHeight="true" outlineLevel="0" collapsed="false">
      <c r="A7843" s="10" t="n">
        <f aca="false">Einstellungen!$B$5+INT((ROW()-9)/24)</f>
        <v>46292</v>
      </c>
      <c r="B7843" s="11" t="n">
        <f aca="false">MOD(ROW()-9,24)</f>
        <v>10</v>
      </c>
      <c r="C7843" s="12"/>
      <c r="D7843" s="13" t="n">
        <f aca="false">IF(B7843&lt;5,Einstellungen!$B$3,Einstellungen!$B$4)</f>
        <v>29.13</v>
      </c>
      <c r="E7843" s="14" t="str">
        <f aca="false">IF(C7843="","",C7843*D7843/100)</f>
        <v/>
      </c>
      <c r="F7843" s="15" t="str">
        <f aca="false">IF(B7843&lt;5,"Go","Standard")</f>
        <v>Standard</v>
      </c>
    </row>
    <row r="7844" customFormat="false" ht="15" hidden="false" customHeight="true" outlineLevel="0" collapsed="false">
      <c r="A7844" s="10" t="n">
        <f aca="false">Einstellungen!$B$5+INT((ROW()-9)/24)</f>
        <v>46292</v>
      </c>
      <c r="B7844" s="11" t="n">
        <f aca="false">MOD(ROW()-9,24)</f>
        <v>11</v>
      </c>
      <c r="C7844" s="12"/>
      <c r="D7844" s="13" t="n">
        <f aca="false">IF(B7844&lt;5,Einstellungen!$B$3,Einstellungen!$B$4)</f>
        <v>29.13</v>
      </c>
      <c r="E7844" s="14" t="str">
        <f aca="false">IF(C7844="","",C7844*D7844/100)</f>
        <v/>
      </c>
      <c r="F7844" s="15" t="str">
        <f aca="false">IF(B7844&lt;5,"Go","Standard")</f>
        <v>Standard</v>
      </c>
    </row>
    <row r="7845" customFormat="false" ht="15" hidden="false" customHeight="true" outlineLevel="0" collapsed="false">
      <c r="A7845" s="10" t="n">
        <f aca="false">Einstellungen!$B$5+INT((ROW()-9)/24)</f>
        <v>46292</v>
      </c>
      <c r="B7845" s="11" t="n">
        <f aca="false">MOD(ROW()-9,24)</f>
        <v>12</v>
      </c>
      <c r="C7845" s="12"/>
      <c r="D7845" s="13" t="n">
        <f aca="false">IF(B7845&lt;5,Einstellungen!$B$3,Einstellungen!$B$4)</f>
        <v>29.13</v>
      </c>
      <c r="E7845" s="14" t="str">
        <f aca="false">IF(C7845="","",C7845*D7845/100)</f>
        <v/>
      </c>
      <c r="F7845" s="15" t="str">
        <f aca="false">IF(B7845&lt;5,"Go","Standard")</f>
        <v>Standard</v>
      </c>
    </row>
    <row r="7846" customFormat="false" ht="15" hidden="false" customHeight="true" outlineLevel="0" collapsed="false">
      <c r="A7846" s="10" t="n">
        <f aca="false">Einstellungen!$B$5+INT((ROW()-9)/24)</f>
        <v>46292</v>
      </c>
      <c r="B7846" s="11" t="n">
        <f aca="false">MOD(ROW()-9,24)</f>
        <v>13</v>
      </c>
      <c r="C7846" s="12"/>
      <c r="D7846" s="13" t="n">
        <f aca="false">IF(B7846&lt;5,Einstellungen!$B$3,Einstellungen!$B$4)</f>
        <v>29.13</v>
      </c>
      <c r="E7846" s="14" t="str">
        <f aca="false">IF(C7846="","",C7846*D7846/100)</f>
        <v/>
      </c>
      <c r="F7846" s="15" t="str">
        <f aca="false">IF(B7846&lt;5,"Go","Standard")</f>
        <v>Standard</v>
      </c>
    </row>
    <row r="7847" customFormat="false" ht="15" hidden="false" customHeight="true" outlineLevel="0" collapsed="false">
      <c r="A7847" s="10" t="n">
        <f aca="false">Einstellungen!$B$5+INT((ROW()-9)/24)</f>
        <v>46292</v>
      </c>
      <c r="B7847" s="11" t="n">
        <f aca="false">MOD(ROW()-9,24)</f>
        <v>14</v>
      </c>
      <c r="C7847" s="12"/>
      <c r="D7847" s="13" t="n">
        <f aca="false">IF(B7847&lt;5,Einstellungen!$B$3,Einstellungen!$B$4)</f>
        <v>29.13</v>
      </c>
      <c r="E7847" s="14" t="str">
        <f aca="false">IF(C7847="","",C7847*D7847/100)</f>
        <v/>
      </c>
      <c r="F7847" s="15" t="str">
        <f aca="false">IF(B7847&lt;5,"Go","Standard")</f>
        <v>Standard</v>
      </c>
    </row>
    <row r="7848" customFormat="false" ht="15" hidden="false" customHeight="true" outlineLevel="0" collapsed="false">
      <c r="A7848" s="10" t="n">
        <f aca="false">Einstellungen!$B$5+INT((ROW()-9)/24)</f>
        <v>46292</v>
      </c>
      <c r="B7848" s="11" t="n">
        <f aca="false">MOD(ROW()-9,24)</f>
        <v>15</v>
      </c>
      <c r="C7848" s="12"/>
      <c r="D7848" s="13" t="n">
        <f aca="false">IF(B7848&lt;5,Einstellungen!$B$3,Einstellungen!$B$4)</f>
        <v>29.13</v>
      </c>
      <c r="E7848" s="14" t="str">
        <f aca="false">IF(C7848="","",C7848*D7848/100)</f>
        <v/>
      </c>
      <c r="F7848" s="15" t="str">
        <f aca="false">IF(B7848&lt;5,"Go","Standard")</f>
        <v>Standard</v>
      </c>
    </row>
    <row r="7849" customFormat="false" ht="15" hidden="false" customHeight="true" outlineLevel="0" collapsed="false">
      <c r="A7849" s="10" t="n">
        <f aca="false">Einstellungen!$B$5+INT((ROW()-9)/24)</f>
        <v>46292</v>
      </c>
      <c r="B7849" s="11" t="n">
        <f aca="false">MOD(ROW()-9,24)</f>
        <v>16</v>
      </c>
      <c r="C7849" s="12"/>
      <c r="D7849" s="13" t="n">
        <f aca="false">IF(B7849&lt;5,Einstellungen!$B$3,Einstellungen!$B$4)</f>
        <v>29.13</v>
      </c>
      <c r="E7849" s="14" t="str">
        <f aca="false">IF(C7849="","",C7849*D7849/100)</f>
        <v/>
      </c>
      <c r="F7849" s="15" t="str">
        <f aca="false">IF(B7849&lt;5,"Go","Standard")</f>
        <v>Standard</v>
      </c>
    </row>
    <row r="7850" customFormat="false" ht="15" hidden="false" customHeight="true" outlineLevel="0" collapsed="false">
      <c r="A7850" s="10" t="n">
        <f aca="false">Einstellungen!$B$5+INT((ROW()-9)/24)</f>
        <v>46292</v>
      </c>
      <c r="B7850" s="11" t="n">
        <f aca="false">MOD(ROW()-9,24)</f>
        <v>17</v>
      </c>
      <c r="C7850" s="12"/>
      <c r="D7850" s="13" t="n">
        <f aca="false">IF(B7850&lt;5,Einstellungen!$B$3,Einstellungen!$B$4)</f>
        <v>29.13</v>
      </c>
      <c r="E7850" s="14" t="str">
        <f aca="false">IF(C7850="","",C7850*D7850/100)</f>
        <v/>
      </c>
      <c r="F7850" s="15" t="str">
        <f aca="false">IF(B7850&lt;5,"Go","Standard")</f>
        <v>Standard</v>
      </c>
    </row>
    <row r="7851" customFormat="false" ht="15" hidden="false" customHeight="true" outlineLevel="0" collapsed="false">
      <c r="A7851" s="10" t="n">
        <f aca="false">Einstellungen!$B$5+INT((ROW()-9)/24)</f>
        <v>46292</v>
      </c>
      <c r="B7851" s="11" t="n">
        <f aca="false">MOD(ROW()-9,24)</f>
        <v>18</v>
      </c>
      <c r="C7851" s="12"/>
      <c r="D7851" s="13" t="n">
        <f aca="false">IF(B7851&lt;5,Einstellungen!$B$3,Einstellungen!$B$4)</f>
        <v>29.13</v>
      </c>
      <c r="E7851" s="14" t="str">
        <f aca="false">IF(C7851="","",C7851*D7851/100)</f>
        <v/>
      </c>
      <c r="F7851" s="15" t="str">
        <f aca="false">IF(B7851&lt;5,"Go","Standard")</f>
        <v>Standard</v>
      </c>
    </row>
    <row r="7852" customFormat="false" ht="15" hidden="false" customHeight="true" outlineLevel="0" collapsed="false">
      <c r="A7852" s="10" t="n">
        <f aca="false">Einstellungen!$B$5+INT((ROW()-9)/24)</f>
        <v>46292</v>
      </c>
      <c r="B7852" s="11" t="n">
        <f aca="false">MOD(ROW()-9,24)</f>
        <v>19</v>
      </c>
      <c r="C7852" s="12"/>
      <c r="D7852" s="13" t="n">
        <f aca="false">IF(B7852&lt;5,Einstellungen!$B$3,Einstellungen!$B$4)</f>
        <v>29.13</v>
      </c>
      <c r="E7852" s="14" t="str">
        <f aca="false">IF(C7852="","",C7852*D7852/100)</f>
        <v/>
      </c>
      <c r="F7852" s="15" t="str">
        <f aca="false">IF(B7852&lt;5,"Go","Standard")</f>
        <v>Standard</v>
      </c>
    </row>
    <row r="7853" customFormat="false" ht="15" hidden="false" customHeight="true" outlineLevel="0" collapsed="false">
      <c r="A7853" s="10" t="n">
        <f aca="false">Einstellungen!$B$5+INT((ROW()-9)/24)</f>
        <v>46292</v>
      </c>
      <c r="B7853" s="11" t="n">
        <f aca="false">MOD(ROW()-9,24)</f>
        <v>20</v>
      </c>
      <c r="C7853" s="12"/>
      <c r="D7853" s="13" t="n">
        <f aca="false">IF(B7853&lt;5,Einstellungen!$B$3,Einstellungen!$B$4)</f>
        <v>29.13</v>
      </c>
      <c r="E7853" s="14" t="str">
        <f aca="false">IF(C7853="","",C7853*D7853/100)</f>
        <v/>
      </c>
      <c r="F7853" s="15" t="str">
        <f aca="false">IF(B7853&lt;5,"Go","Standard")</f>
        <v>Standard</v>
      </c>
    </row>
    <row r="7854" customFormat="false" ht="15" hidden="false" customHeight="true" outlineLevel="0" collapsed="false">
      <c r="A7854" s="10" t="n">
        <f aca="false">Einstellungen!$B$5+INT((ROW()-9)/24)</f>
        <v>46292</v>
      </c>
      <c r="B7854" s="11" t="n">
        <f aca="false">MOD(ROW()-9,24)</f>
        <v>21</v>
      </c>
      <c r="C7854" s="12"/>
      <c r="D7854" s="13" t="n">
        <f aca="false">IF(B7854&lt;5,Einstellungen!$B$3,Einstellungen!$B$4)</f>
        <v>29.13</v>
      </c>
      <c r="E7854" s="14" t="str">
        <f aca="false">IF(C7854="","",C7854*D7854/100)</f>
        <v/>
      </c>
      <c r="F7854" s="15" t="str">
        <f aca="false">IF(B7854&lt;5,"Go","Standard")</f>
        <v>Standard</v>
      </c>
    </row>
    <row r="7855" customFormat="false" ht="15" hidden="false" customHeight="true" outlineLevel="0" collapsed="false">
      <c r="A7855" s="10" t="n">
        <f aca="false">Einstellungen!$B$5+INT((ROW()-9)/24)</f>
        <v>46292</v>
      </c>
      <c r="B7855" s="11" t="n">
        <f aca="false">MOD(ROW()-9,24)</f>
        <v>22</v>
      </c>
      <c r="C7855" s="12"/>
      <c r="D7855" s="13" t="n">
        <f aca="false">IF(B7855&lt;5,Einstellungen!$B$3,Einstellungen!$B$4)</f>
        <v>29.13</v>
      </c>
      <c r="E7855" s="14" t="str">
        <f aca="false">IF(C7855="","",C7855*D7855/100)</f>
        <v/>
      </c>
      <c r="F7855" s="15" t="str">
        <f aca="false">IF(B7855&lt;5,"Go","Standard")</f>
        <v>Standard</v>
      </c>
    </row>
    <row r="7856" customFormat="false" ht="15" hidden="false" customHeight="true" outlineLevel="0" collapsed="false">
      <c r="A7856" s="10" t="n">
        <f aca="false">Einstellungen!$B$5+INT((ROW()-9)/24)</f>
        <v>46292</v>
      </c>
      <c r="B7856" s="11" t="n">
        <f aca="false">MOD(ROW()-9,24)</f>
        <v>23</v>
      </c>
      <c r="C7856" s="12"/>
      <c r="D7856" s="13" t="n">
        <f aca="false">IF(B7856&lt;5,Einstellungen!$B$3,Einstellungen!$B$4)</f>
        <v>29.13</v>
      </c>
      <c r="E7856" s="14" t="str">
        <f aca="false">IF(C7856="","",C7856*D7856/100)</f>
        <v/>
      </c>
      <c r="F7856" s="15" t="str">
        <f aca="false">IF(B7856&lt;5,"Go","Standard")</f>
        <v>Standard</v>
      </c>
    </row>
    <row r="7857" customFormat="false" ht="15" hidden="false" customHeight="true" outlineLevel="0" collapsed="false">
      <c r="A7857" s="10" t="n">
        <f aca="false">Einstellungen!$B$5+INT((ROW()-9)/24)</f>
        <v>46293</v>
      </c>
      <c r="B7857" s="11" t="n">
        <f aca="false">MOD(ROW()-9,24)</f>
        <v>0</v>
      </c>
      <c r="C7857" s="12"/>
      <c r="D7857" s="13" t="n">
        <f aca="false">IF(B7857&lt;5,Einstellungen!$B$3,Einstellungen!$B$4)</f>
        <v>15.92</v>
      </c>
      <c r="E7857" s="14" t="str">
        <f aca="false">IF(C7857="","",C7857*D7857/100)</f>
        <v/>
      </c>
      <c r="F7857" s="15" t="str">
        <f aca="false">IF(B7857&lt;5,"Go","Standard")</f>
        <v>Go</v>
      </c>
    </row>
    <row r="7858" customFormat="false" ht="15" hidden="false" customHeight="true" outlineLevel="0" collapsed="false">
      <c r="A7858" s="10" t="n">
        <f aca="false">Einstellungen!$B$5+INT((ROW()-9)/24)</f>
        <v>46293</v>
      </c>
      <c r="B7858" s="11" t="n">
        <f aca="false">MOD(ROW()-9,24)</f>
        <v>1</v>
      </c>
      <c r="C7858" s="12"/>
      <c r="D7858" s="13" t="n">
        <f aca="false">IF(B7858&lt;5,Einstellungen!$B$3,Einstellungen!$B$4)</f>
        <v>15.92</v>
      </c>
      <c r="E7858" s="14" t="str">
        <f aca="false">IF(C7858="","",C7858*D7858/100)</f>
        <v/>
      </c>
      <c r="F7858" s="15" t="str">
        <f aca="false">IF(B7858&lt;5,"Go","Standard")</f>
        <v>Go</v>
      </c>
    </row>
    <row r="7859" customFormat="false" ht="15" hidden="false" customHeight="true" outlineLevel="0" collapsed="false">
      <c r="A7859" s="10" t="n">
        <f aca="false">Einstellungen!$B$5+INT((ROW()-9)/24)</f>
        <v>46293</v>
      </c>
      <c r="B7859" s="11" t="n">
        <f aca="false">MOD(ROW()-9,24)</f>
        <v>2</v>
      </c>
      <c r="C7859" s="12"/>
      <c r="D7859" s="13" t="n">
        <f aca="false">IF(B7859&lt;5,Einstellungen!$B$3,Einstellungen!$B$4)</f>
        <v>15.92</v>
      </c>
      <c r="E7859" s="14" t="str">
        <f aca="false">IF(C7859="","",C7859*D7859/100)</f>
        <v/>
      </c>
      <c r="F7859" s="15" t="str">
        <f aca="false">IF(B7859&lt;5,"Go","Standard")</f>
        <v>Go</v>
      </c>
    </row>
    <row r="7860" customFormat="false" ht="15" hidden="false" customHeight="true" outlineLevel="0" collapsed="false">
      <c r="A7860" s="10" t="n">
        <f aca="false">Einstellungen!$B$5+INT((ROW()-9)/24)</f>
        <v>46293</v>
      </c>
      <c r="B7860" s="11" t="n">
        <f aca="false">MOD(ROW()-9,24)</f>
        <v>3</v>
      </c>
      <c r="C7860" s="12"/>
      <c r="D7860" s="13" t="n">
        <f aca="false">IF(B7860&lt;5,Einstellungen!$B$3,Einstellungen!$B$4)</f>
        <v>15.92</v>
      </c>
      <c r="E7860" s="14" t="str">
        <f aca="false">IF(C7860="","",C7860*D7860/100)</f>
        <v/>
      </c>
      <c r="F7860" s="15" t="str">
        <f aca="false">IF(B7860&lt;5,"Go","Standard")</f>
        <v>Go</v>
      </c>
    </row>
    <row r="7861" customFormat="false" ht="15" hidden="false" customHeight="true" outlineLevel="0" collapsed="false">
      <c r="A7861" s="10" t="n">
        <f aca="false">Einstellungen!$B$5+INT((ROW()-9)/24)</f>
        <v>46293</v>
      </c>
      <c r="B7861" s="11" t="n">
        <f aca="false">MOD(ROW()-9,24)</f>
        <v>4</v>
      </c>
      <c r="C7861" s="12"/>
      <c r="D7861" s="13" t="n">
        <f aca="false">IF(B7861&lt;5,Einstellungen!$B$3,Einstellungen!$B$4)</f>
        <v>15.92</v>
      </c>
      <c r="E7861" s="14" t="str">
        <f aca="false">IF(C7861="","",C7861*D7861/100)</f>
        <v/>
      </c>
      <c r="F7861" s="15" t="str">
        <f aca="false">IF(B7861&lt;5,"Go","Standard")</f>
        <v>Go</v>
      </c>
    </row>
    <row r="7862" customFormat="false" ht="15" hidden="false" customHeight="true" outlineLevel="0" collapsed="false">
      <c r="A7862" s="10" t="n">
        <f aca="false">Einstellungen!$B$5+INT((ROW()-9)/24)</f>
        <v>46293</v>
      </c>
      <c r="B7862" s="11" t="n">
        <f aca="false">MOD(ROW()-9,24)</f>
        <v>5</v>
      </c>
      <c r="C7862" s="12"/>
      <c r="D7862" s="13" t="n">
        <f aca="false">IF(B7862&lt;5,Einstellungen!$B$3,Einstellungen!$B$4)</f>
        <v>29.13</v>
      </c>
      <c r="E7862" s="14" t="str">
        <f aca="false">IF(C7862="","",C7862*D7862/100)</f>
        <v/>
      </c>
      <c r="F7862" s="15" t="str">
        <f aca="false">IF(B7862&lt;5,"Go","Standard")</f>
        <v>Standard</v>
      </c>
    </row>
    <row r="7863" customFormat="false" ht="15" hidden="false" customHeight="true" outlineLevel="0" collapsed="false">
      <c r="A7863" s="10" t="n">
        <f aca="false">Einstellungen!$B$5+INT((ROW()-9)/24)</f>
        <v>46293</v>
      </c>
      <c r="B7863" s="11" t="n">
        <f aca="false">MOD(ROW()-9,24)</f>
        <v>6</v>
      </c>
      <c r="C7863" s="12"/>
      <c r="D7863" s="13" t="n">
        <f aca="false">IF(B7863&lt;5,Einstellungen!$B$3,Einstellungen!$B$4)</f>
        <v>29.13</v>
      </c>
      <c r="E7863" s="14" t="str">
        <f aca="false">IF(C7863="","",C7863*D7863/100)</f>
        <v/>
      </c>
      <c r="F7863" s="15" t="str">
        <f aca="false">IF(B7863&lt;5,"Go","Standard")</f>
        <v>Standard</v>
      </c>
    </row>
    <row r="7864" customFormat="false" ht="15" hidden="false" customHeight="true" outlineLevel="0" collapsed="false">
      <c r="A7864" s="10" t="n">
        <f aca="false">Einstellungen!$B$5+INT((ROW()-9)/24)</f>
        <v>46293</v>
      </c>
      <c r="B7864" s="11" t="n">
        <f aca="false">MOD(ROW()-9,24)</f>
        <v>7</v>
      </c>
      <c r="C7864" s="12"/>
      <c r="D7864" s="13" t="n">
        <f aca="false">IF(B7864&lt;5,Einstellungen!$B$3,Einstellungen!$B$4)</f>
        <v>29.13</v>
      </c>
      <c r="E7864" s="14" t="str">
        <f aca="false">IF(C7864="","",C7864*D7864/100)</f>
        <v/>
      </c>
      <c r="F7864" s="15" t="str">
        <f aca="false">IF(B7864&lt;5,"Go","Standard")</f>
        <v>Standard</v>
      </c>
    </row>
    <row r="7865" customFormat="false" ht="15" hidden="false" customHeight="true" outlineLevel="0" collapsed="false">
      <c r="A7865" s="10" t="n">
        <f aca="false">Einstellungen!$B$5+INT((ROW()-9)/24)</f>
        <v>46293</v>
      </c>
      <c r="B7865" s="11" t="n">
        <f aca="false">MOD(ROW()-9,24)</f>
        <v>8</v>
      </c>
      <c r="C7865" s="12"/>
      <c r="D7865" s="13" t="n">
        <f aca="false">IF(B7865&lt;5,Einstellungen!$B$3,Einstellungen!$B$4)</f>
        <v>29.13</v>
      </c>
      <c r="E7865" s="14" t="str">
        <f aca="false">IF(C7865="","",C7865*D7865/100)</f>
        <v/>
      </c>
      <c r="F7865" s="15" t="str">
        <f aca="false">IF(B7865&lt;5,"Go","Standard")</f>
        <v>Standard</v>
      </c>
    </row>
    <row r="7866" customFormat="false" ht="15" hidden="false" customHeight="true" outlineLevel="0" collapsed="false">
      <c r="A7866" s="10" t="n">
        <f aca="false">Einstellungen!$B$5+INT((ROW()-9)/24)</f>
        <v>46293</v>
      </c>
      <c r="B7866" s="11" t="n">
        <f aca="false">MOD(ROW()-9,24)</f>
        <v>9</v>
      </c>
      <c r="C7866" s="12"/>
      <c r="D7866" s="13" t="n">
        <f aca="false">IF(B7866&lt;5,Einstellungen!$B$3,Einstellungen!$B$4)</f>
        <v>29.13</v>
      </c>
      <c r="E7866" s="14" t="str">
        <f aca="false">IF(C7866="","",C7866*D7866/100)</f>
        <v/>
      </c>
      <c r="F7866" s="15" t="str">
        <f aca="false">IF(B7866&lt;5,"Go","Standard")</f>
        <v>Standard</v>
      </c>
    </row>
    <row r="7867" customFormat="false" ht="15" hidden="false" customHeight="true" outlineLevel="0" collapsed="false">
      <c r="A7867" s="10" t="n">
        <f aca="false">Einstellungen!$B$5+INT((ROW()-9)/24)</f>
        <v>46293</v>
      </c>
      <c r="B7867" s="11" t="n">
        <f aca="false">MOD(ROW()-9,24)</f>
        <v>10</v>
      </c>
      <c r="C7867" s="12"/>
      <c r="D7867" s="13" t="n">
        <f aca="false">IF(B7867&lt;5,Einstellungen!$B$3,Einstellungen!$B$4)</f>
        <v>29.13</v>
      </c>
      <c r="E7867" s="14" t="str">
        <f aca="false">IF(C7867="","",C7867*D7867/100)</f>
        <v/>
      </c>
      <c r="F7867" s="15" t="str">
        <f aca="false">IF(B7867&lt;5,"Go","Standard")</f>
        <v>Standard</v>
      </c>
    </row>
    <row r="7868" customFormat="false" ht="15" hidden="false" customHeight="true" outlineLevel="0" collapsed="false">
      <c r="A7868" s="10" t="n">
        <f aca="false">Einstellungen!$B$5+INT((ROW()-9)/24)</f>
        <v>46293</v>
      </c>
      <c r="B7868" s="11" t="n">
        <f aca="false">MOD(ROW()-9,24)</f>
        <v>11</v>
      </c>
      <c r="C7868" s="12"/>
      <c r="D7868" s="13" t="n">
        <f aca="false">IF(B7868&lt;5,Einstellungen!$B$3,Einstellungen!$B$4)</f>
        <v>29.13</v>
      </c>
      <c r="E7868" s="14" t="str">
        <f aca="false">IF(C7868="","",C7868*D7868/100)</f>
        <v/>
      </c>
      <c r="F7868" s="15" t="str">
        <f aca="false">IF(B7868&lt;5,"Go","Standard")</f>
        <v>Standard</v>
      </c>
    </row>
    <row r="7869" customFormat="false" ht="15" hidden="false" customHeight="true" outlineLevel="0" collapsed="false">
      <c r="A7869" s="10" t="n">
        <f aca="false">Einstellungen!$B$5+INT((ROW()-9)/24)</f>
        <v>46293</v>
      </c>
      <c r="B7869" s="11" t="n">
        <f aca="false">MOD(ROW()-9,24)</f>
        <v>12</v>
      </c>
      <c r="C7869" s="12"/>
      <c r="D7869" s="13" t="n">
        <f aca="false">IF(B7869&lt;5,Einstellungen!$B$3,Einstellungen!$B$4)</f>
        <v>29.13</v>
      </c>
      <c r="E7869" s="14" t="str">
        <f aca="false">IF(C7869="","",C7869*D7869/100)</f>
        <v/>
      </c>
      <c r="F7869" s="15" t="str">
        <f aca="false">IF(B7869&lt;5,"Go","Standard")</f>
        <v>Standard</v>
      </c>
    </row>
    <row r="7870" customFormat="false" ht="15" hidden="false" customHeight="true" outlineLevel="0" collapsed="false">
      <c r="A7870" s="10" t="n">
        <f aca="false">Einstellungen!$B$5+INT((ROW()-9)/24)</f>
        <v>46293</v>
      </c>
      <c r="B7870" s="11" t="n">
        <f aca="false">MOD(ROW()-9,24)</f>
        <v>13</v>
      </c>
      <c r="C7870" s="12"/>
      <c r="D7870" s="13" t="n">
        <f aca="false">IF(B7870&lt;5,Einstellungen!$B$3,Einstellungen!$B$4)</f>
        <v>29.13</v>
      </c>
      <c r="E7870" s="14" t="str">
        <f aca="false">IF(C7870="","",C7870*D7870/100)</f>
        <v/>
      </c>
      <c r="F7870" s="15" t="str">
        <f aca="false">IF(B7870&lt;5,"Go","Standard")</f>
        <v>Standard</v>
      </c>
    </row>
    <row r="7871" customFormat="false" ht="15" hidden="false" customHeight="true" outlineLevel="0" collapsed="false">
      <c r="A7871" s="10" t="n">
        <f aca="false">Einstellungen!$B$5+INT((ROW()-9)/24)</f>
        <v>46293</v>
      </c>
      <c r="B7871" s="11" t="n">
        <f aca="false">MOD(ROW()-9,24)</f>
        <v>14</v>
      </c>
      <c r="C7871" s="12"/>
      <c r="D7871" s="13" t="n">
        <f aca="false">IF(B7871&lt;5,Einstellungen!$B$3,Einstellungen!$B$4)</f>
        <v>29.13</v>
      </c>
      <c r="E7871" s="14" t="str">
        <f aca="false">IF(C7871="","",C7871*D7871/100)</f>
        <v/>
      </c>
      <c r="F7871" s="15" t="str">
        <f aca="false">IF(B7871&lt;5,"Go","Standard")</f>
        <v>Standard</v>
      </c>
    </row>
    <row r="7872" customFormat="false" ht="15" hidden="false" customHeight="true" outlineLevel="0" collapsed="false">
      <c r="A7872" s="10" t="n">
        <f aca="false">Einstellungen!$B$5+INT((ROW()-9)/24)</f>
        <v>46293</v>
      </c>
      <c r="B7872" s="11" t="n">
        <f aca="false">MOD(ROW()-9,24)</f>
        <v>15</v>
      </c>
      <c r="C7872" s="12"/>
      <c r="D7872" s="13" t="n">
        <f aca="false">IF(B7872&lt;5,Einstellungen!$B$3,Einstellungen!$B$4)</f>
        <v>29.13</v>
      </c>
      <c r="E7872" s="14" t="str">
        <f aca="false">IF(C7872="","",C7872*D7872/100)</f>
        <v/>
      </c>
      <c r="F7872" s="15" t="str">
        <f aca="false">IF(B7872&lt;5,"Go","Standard")</f>
        <v>Standard</v>
      </c>
    </row>
    <row r="7873" customFormat="false" ht="15" hidden="false" customHeight="true" outlineLevel="0" collapsed="false">
      <c r="A7873" s="10" t="n">
        <f aca="false">Einstellungen!$B$5+INT((ROW()-9)/24)</f>
        <v>46293</v>
      </c>
      <c r="B7873" s="11" t="n">
        <f aca="false">MOD(ROW()-9,24)</f>
        <v>16</v>
      </c>
      <c r="C7873" s="12"/>
      <c r="D7873" s="13" t="n">
        <f aca="false">IF(B7873&lt;5,Einstellungen!$B$3,Einstellungen!$B$4)</f>
        <v>29.13</v>
      </c>
      <c r="E7873" s="14" t="str">
        <f aca="false">IF(C7873="","",C7873*D7873/100)</f>
        <v/>
      </c>
      <c r="F7873" s="15" t="str">
        <f aca="false">IF(B7873&lt;5,"Go","Standard")</f>
        <v>Standard</v>
      </c>
    </row>
    <row r="7874" customFormat="false" ht="15" hidden="false" customHeight="true" outlineLevel="0" collapsed="false">
      <c r="A7874" s="10" t="n">
        <f aca="false">Einstellungen!$B$5+INT((ROW()-9)/24)</f>
        <v>46293</v>
      </c>
      <c r="B7874" s="11" t="n">
        <f aca="false">MOD(ROW()-9,24)</f>
        <v>17</v>
      </c>
      <c r="C7874" s="12"/>
      <c r="D7874" s="13" t="n">
        <f aca="false">IF(B7874&lt;5,Einstellungen!$B$3,Einstellungen!$B$4)</f>
        <v>29.13</v>
      </c>
      <c r="E7874" s="14" t="str">
        <f aca="false">IF(C7874="","",C7874*D7874/100)</f>
        <v/>
      </c>
      <c r="F7874" s="15" t="str">
        <f aca="false">IF(B7874&lt;5,"Go","Standard")</f>
        <v>Standard</v>
      </c>
    </row>
    <row r="7875" customFormat="false" ht="15" hidden="false" customHeight="true" outlineLevel="0" collapsed="false">
      <c r="A7875" s="10" t="n">
        <f aca="false">Einstellungen!$B$5+INT((ROW()-9)/24)</f>
        <v>46293</v>
      </c>
      <c r="B7875" s="11" t="n">
        <f aca="false">MOD(ROW()-9,24)</f>
        <v>18</v>
      </c>
      <c r="C7875" s="12"/>
      <c r="D7875" s="13" t="n">
        <f aca="false">IF(B7875&lt;5,Einstellungen!$B$3,Einstellungen!$B$4)</f>
        <v>29.13</v>
      </c>
      <c r="E7875" s="14" t="str">
        <f aca="false">IF(C7875="","",C7875*D7875/100)</f>
        <v/>
      </c>
      <c r="F7875" s="15" t="str">
        <f aca="false">IF(B7875&lt;5,"Go","Standard")</f>
        <v>Standard</v>
      </c>
    </row>
    <row r="7876" customFormat="false" ht="15" hidden="false" customHeight="true" outlineLevel="0" collapsed="false">
      <c r="A7876" s="10" t="n">
        <f aca="false">Einstellungen!$B$5+INT((ROW()-9)/24)</f>
        <v>46293</v>
      </c>
      <c r="B7876" s="11" t="n">
        <f aca="false">MOD(ROW()-9,24)</f>
        <v>19</v>
      </c>
      <c r="C7876" s="12"/>
      <c r="D7876" s="13" t="n">
        <f aca="false">IF(B7876&lt;5,Einstellungen!$B$3,Einstellungen!$B$4)</f>
        <v>29.13</v>
      </c>
      <c r="E7876" s="14" t="str">
        <f aca="false">IF(C7876="","",C7876*D7876/100)</f>
        <v/>
      </c>
      <c r="F7876" s="15" t="str">
        <f aca="false">IF(B7876&lt;5,"Go","Standard")</f>
        <v>Standard</v>
      </c>
    </row>
    <row r="7877" customFormat="false" ht="15" hidden="false" customHeight="true" outlineLevel="0" collapsed="false">
      <c r="A7877" s="10" t="n">
        <f aca="false">Einstellungen!$B$5+INT((ROW()-9)/24)</f>
        <v>46293</v>
      </c>
      <c r="B7877" s="11" t="n">
        <f aca="false">MOD(ROW()-9,24)</f>
        <v>20</v>
      </c>
      <c r="C7877" s="12"/>
      <c r="D7877" s="13" t="n">
        <f aca="false">IF(B7877&lt;5,Einstellungen!$B$3,Einstellungen!$B$4)</f>
        <v>29.13</v>
      </c>
      <c r="E7877" s="14" t="str">
        <f aca="false">IF(C7877="","",C7877*D7877/100)</f>
        <v/>
      </c>
      <c r="F7877" s="15" t="str">
        <f aca="false">IF(B7877&lt;5,"Go","Standard")</f>
        <v>Standard</v>
      </c>
    </row>
    <row r="7878" customFormat="false" ht="15" hidden="false" customHeight="true" outlineLevel="0" collapsed="false">
      <c r="A7878" s="10" t="n">
        <f aca="false">Einstellungen!$B$5+INT((ROW()-9)/24)</f>
        <v>46293</v>
      </c>
      <c r="B7878" s="11" t="n">
        <f aca="false">MOD(ROW()-9,24)</f>
        <v>21</v>
      </c>
      <c r="C7878" s="12"/>
      <c r="D7878" s="13" t="n">
        <f aca="false">IF(B7878&lt;5,Einstellungen!$B$3,Einstellungen!$B$4)</f>
        <v>29.13</v>
      </c>
      <c r="E7878" s="14" t="str">
        <f aca="false">IF(C7878="","",C7878*D7878/100)</f>
        <v/>
      </c>
      <c r="F7878" s="15" t="str">
        <f aca="false">IF(B7878&lt;5,"Go","Standard")</f>
        <v>Standard</v>
      </c>
    </row>
    <row r="7879" customFormat="false" ht="15" hidden="false" customHeight="true" outlineLevel="0" collapsed="false">
      <c r="A7879" s="10" t="n">
        <f aca="false">Einstellungen!$B$5+INT((ROW()-9)/24)</f>
        <v>46293</v>
      </c>
      <c r="B7879" s="11" t="n">
        <f aca="false">MOD(ROW()-9,24)</f>
        <v>22</v>
      </c>
      <c r="C7879" s="12"/>
      <c r="D7879" s="13" t="n">
        <f aca="false">IF(B7879&lt;5,Einstellungen!$B$3,Einstellungen!$B$4)</f>
        <v>29.13</v>
      </c>
      <c r="E7879" s="14" t="str">
        <f aca="false">IF(C7879="","",C7879*D7879/100)</f>
        <v/>
      </c>
      <c r="F7879" s="15" t="str">
        <f aca="false">IF(B7879&lt;5,"Go","Standard")</f>
        <v>Standard</v>
      </c>
    </row>
    <row r="7880" customFormat="false" ht="15" hidden="false" customHeight="true" outlineLevel="0" collapsed="false">
      <c r="A7880" s="10" t="n">
        <f aca="false">Einstellungen!$B$5+INT((ROW()-9)/24)</f>
        <v>46293</v>
      </c>
      <c r="B7880" s="11" t="n">
        <f aca="false">MOD(ROW()-9,24)</f>
        <v>23</v>
      </c>
      <c r="C7880" s="12"/>
      <c r="D7880" s="13" t="n">
        <f aca="false">IF(B7880&lt;5,Einstellungen!$B$3,Einstellungen!$B$4)</f>
        <v>29.13</v>
      </c>
      <c r="E7880" s="14" t="str">
        <f aca="false">IF(C7880="","",C7880*D7880/100)</f>
        <v/>
      </c>
      <c r="F7880" s="15" t="str">
        <f aca="false">IF(B7880&lt;5,"Go","Standard")</f>
        <v>Standard</v>
      </c>
    </row>
    <row r="7881" customFormat="false" ht="15" hidden="false" customHeight="true" outlineLevel="0" collapsed="false">
      <c r="A7881" s="10" t="n">
        <f aca="false">Einstellungen!$B$5+INT((ROW()-9)/24)</f>
        <v>46294</v>
      </c>
      <c r="B7881" s="11" t="n">
        <f aca="false">MOD(ROW()-9,24)</f>
        <v>0</v>
      </c>
      <c r="C7881" s="12"/>
      <c r="D7881" s="13" t="n">
        <f aca="false">IF(B7881&lt;5,Einstellungen!$B$3,Einstellungen!$B$4)</f>
        <v>15.92</v>
      </c>
      <c r="E7881" s="14" t="str">
        <f aca="false">IF(C7881="","",C7881*D7881/100)</f>
        <v/>
      </c>
      <c r="F7881" s="15" t="str">
        <f aca="false">IF(B7881&lt;5,"Go","Standard")</f>
        <v>Go</v>
      </c>
    </row>
    <row r="7882" customFormat="false" ht="15" hidden="false" customHeight="true" outlineLevel="0" collapsed="false">
      <c r="A7882" s="10" t="n">
        <f aca="false">Einstellungen!$B$5+INT((ROW()-9)/24)</f>
        <v>46294</v>
      </c>
      <c r="B7882" s="11" t="n">
        <f aca="false">MOD(ROW()-9,24)</f>
        <v>1</v>
      </c>
      <c r="C7882" s="12"/>
      <c r="D7882" s="13" t="n">
        <f aca="false">IF(B7882&lt;5,Einstellungen!$B$3,Einstellungen!$B$4)</f>
        <v>15.92</v>
      </c>
      <c r="E7882" s="14" t="str">
        <f aca="false">IF(C7882="","",C7882*D7882/100)</f>
        <v/>
      </c>
      <c r="F7882" s="15" t="str">
        <f aca="false">IF(B7882&lt;5,"Go","Standard")</f>
        <v>Go</v>
      </c>
    </row>
    <row r="7883" customFormat="false" ht="15" hidden="false" customHeight="true" outlineLevel="0" collapsed="false">
      <c r="A7883" s="10" t="n">
        <f aca="false">Einstellungen!$B$5+INT((ROW()-9)/24)</f>
        <v>46294</v>
      </c>
      <c r="B7883" s="11" t="n">
        <f aca="false">MOD(ROW()-9,24)</f>
        <v>2</v>
      </c>
      <c r="C7883" s="12"/>
      <c r="D7883" s="13" t="n">
        <f aca="false">IF(B7883&lt;5,Einstellungen!$B$3,Einstellungen!$B$4)</f>
        <v>15.92</v>
      </c>
      <c r="E7883" s="14" t="str">
        <f aca="false">IF(C7883="","",C7883*D7883/100)</f>
        <v/>
      </c>
      <c r="F7883" s="15" t="str">
        <f aca="false">IF(B7883&lt;5,"Go","Standard")</f>
        <v>Go</v>
      </c>
    </row>
    <row r="7884" customFormat="false" ht="15" hidden="false" customHeight="true" outlineLevel="0" collapsed="false">
      <c r="A7884" s="10" t="n">
        <f aca="false">Einstellungen!$B$5+INT((ROW()-9)/24)</f>
        <v>46294</v>
      </c>
      <c r="B7884" s="11" t="n">
        <f aca="false">MOD(ROW()-9,24)</f>
        <v>3</v>
      </c>
      <c r="C7884" s="12"/>
      <c r="D7884" s="13" t="n">
        <f aca="false">IF(B7884&lt;5,Einstellungen!$B$3,Einstellungen!$B$4)</f>
        <v>15.92</v>
      </c>
      <c r="E7884" s="14" t="str">
        <f aca="false">IF(C7884="","",C7884*D7884/100)</f>
        <v/>
      </c>
      <c r="F7884" s="15" t="str">
        <f aca="false">IF(B7884&lt;5,"Go","Standard")</f>
        <v>Go</v>
      </c>
    </row>
    <row r="7885" customFormat="false" ht="15" hidden="false" customHeight="true" outlineLevel="0" collapsed="false">
      <c r="A7885" s="10" t="n">
        <f aca="false">Einstellungen!$B$5+INT((ROW()-9)/24)</f>
        <v>46294</v>
      </c>
      <c r="B7885" s="11" t="n">
        <f aca="false">MOD(ROW()-9,24)</f>
        <v>4</v>
      </c>
      <c r="C7885" s="12"/>
      <c r="D7885" s="13" t="n">
        <f aca="false">IF(B7885&lt;5,Einstellungen!$B$3,Einstellungen!$B$4)</f>
        <v>15.92</v>
      </c>
      <c r="E7885" s="14" t="str">
        <f aca="false">IF(C7885="","",C7885*D7885/100)</f>
        <v/>
      </c>
      <c r="F7885" s="15" t="str">
        <f aca="false">IF(B7885&lt;5,"Go","Standard")</f>
        <v>Go</v>
      </c>
    </row>
    <row r="7886" customFormat="false" ht="15" hidden="false" customHeight="true" outlineLevel="0" collapsed="false">
      <c r="A7886" s="10" t="n">
        <f aca="false">Einstellungen!$B$5+INT((ROW()-9)/24)</f>
        <v>46294</v>
      </c>
      <c r="B7886" s="11" t="n">
        <f aca="false">MOD(ROW()-9,24)</f>
        <v>5</v>
      </c>
      <c r="C7886" s="12"/>
      <c r="D7886" s="13" t="n">
        <f aca="false">IF(B7886&lt;5,Einstellungen!$B$3,Einstellungen!$B$4)</f>
        <v>29.13</v>
      </c>
      <c r="E7886" s="14" t="str">
        <f aca="false">IF(C7886="","",C7886*D7886/100)</f>
        <v/>
      </c>
      <c r="F7886" s="15" t="str">
        <f aca="false">IF(B7886&lt;5,"Go","Standard")</f>
        <v>Standard</v>
      </c>
    </row>
    <row r="7887" customFormat="false" ht="15" hidden="false" customHeight="true" outlineLevel="0" collapsed="false">
      <c r="A7887" s="10" t="n">
        <f aca="false">Einstellungen!$B$5+INT((ROW()-9)/24)</f>
        <v>46294</v>
      </c>
      <c r="B7887" s="11" t="n">
        <f aca="false">MOD(ROW()-9,24)</f>
        <v>6</v>
      </c>
      <c r="C7887" s="12"/>
      <c r="D7887" s="13" t="n">
        <f aca="false">IF(B7887&lt;5,Einstellungen!$B$3,Einstellungen!$B$4)</f>
        <v>29.13</v>
      </c>
      <c r="E7887" s="14" t="str">
        <f aca="false">IF(C7887="","",C7887*D7887/100)</f>
        <v/>
      </c>
      <c r="F7887" s="15" t="str">
        <f aca="false">IF(B7887&lt;5,"Go","Standard")</f>
        <v>Standard</v>
      </c>
    </row>
    <row r="7888" customFormat="false" ht="15" hidden="false" customHeight="true" outlineLevel="0" collapsed="false">
      <c r="A7888" s="10" t="n">
        <f aca="false">Einstellungen!$B$5+INT((ROW()-9)/24)</f>
        <v>46294</v>
      </c>
      <c r="B7888" s="11" t="n">
        <f aca="false">MOD(ROW()-9,24)</f>
        <v>7</v>
      </c>
      <c r="C7888" s="12"/>
      <c r="D7888" s="13" t="n">
        <f aca="false">IF(B7888&lt;5,Einstellungen!$B$3,Einstellungen!$B$4)</f>
        <v>29.13</v>
      </c>
      <c r="E7888" s="14" t="str">
        <f aca="false">IF(C7888="","",C7888*D7888/100)</f>
        <v/>
      </c>
      <c r="F7888" s="15" t="str">
        <f aca="false">IF(B7888&lt;5,"Go","Standard")</f>
        <v>Standard</v>
      </c>
    </row>
    <row r="7889" customFormat="false" ht="15" hidden="false" customHeight="true" outlineLevel="0" collapsed="false">
      <c r="A7889" s="10" t="n">
        <f aca="false">Einstellungen!$B$5+INT((ROW()-9)/24)</f>
        <v>46294</v>
      </c>
      <c r="B7889" s="11" t="n">
        <f aca="false">MOD(ROW()-9,24)</f>
        <v>8</v>
      </c>
      <c r="C7889" s="12"/>
      <c r="D7889" s="13" t="n">
        <f aca="false">IF(B7889&lt;5,Einstellungen!$B$3,Einstellungen!$B$4)</f>
        <v>29.13</v>
      </c>
      <c r="E7889" s="14" t="str">
        <f aca="false">IF(C7889="","",C7889*D7889/100)</f>
        <v/>
      </c>
      <c r="F7889" s="15" t="str">
        <f aca="false">IF(B7889&lt;5,"Go","Standard")</f>
        <v>Standard</v>
      </c>
    </row>
    <row r="7890" customFormat="false" ht="15" hidden="false" customHeight="true" outlineLevel="0" collapsed="false">
      <c r="A7890" s="10" t="n">
        <f aca="false">Einstellungen!$B$5+INT((ROW()-9)/24)</f>
        <v>46294</v>
      </c>
      <c r="B7890" s="11" t="n">
        <f aca="false">MOD(ROW()-9,24)</f>
        <v>9</v>
      </c>
      <c r="C7890" s="12"/>
      <c r="D7890" s="13" t="n">
        <f aca="false">IF(B7890&lt;5,Einstellungen!$B$3,Einstellungen!$B$4)</f>
        <v>29.13</v>
      </c>
      <c r="E7890" s="14" t="str">
        <f aca="false">IF(C7890="","",C7890*D7890/100)</f>
        <v/>
      </c>
      <c r="F7890" s="15" t="str">
        <f aca="false">IF(B7890&lt;5,"Go","Standard")</f>
        <v>Standard</v>
      </c>
    </row>
    <row r="7891" customFormat="false" ht="15" hidden="false" customHeight="true" outlineLevel="0" collapsed="false">
      <c r="A7891" s="10" t="n">
        <f aca="false">Einstellungen!$B$5+INT((ROW()-9)/24)</f>
        <v>46294</v>
      </c>
      <c r="B7891" s="11" t="n">
        <f aca="false">MOD(ROW()-9,24)</f>
        <v>10</v>
      </c>
      <c r="C7891" s="12"/>
      <c r="D7891" s="13" t="n">
        <f aca="false">IF(B7891&lt;5,Einstellungen!$B$3,Einstellungen!$B$4)</f>
        <v>29.13</v>
      </c>
      <c r="E7891" s="14" t="str">
        <f aca="false">IF(C7891="","",C7891*D7891/100)</f>
        <v/>
      </c>
      <c r="F7891" s="15" t="str">
        <f aca="false">IF(B7891&lt;5,"Go","Standard")</f>
        <v>Standard</v>
      </c>
    </row>
    <row r="7892" customFormat="false" ht="15" hidden="false" customHeight="true" outlineLevel="0" collapsed="false">
      <c r="A7892" s="10" t="n">
        <f aca="false">Einstellungen!$B$5+INT((ROW()-9)/24)</f>
        <v>46294</v>
      </c>
      <c r="B7892" s="11" t="n">
        <f aca="false">MOD(ROW()-9,24)</f>
        <v>11</v>
      </c>
      <c r="C7892" s="12"/>
      <c r="D7892" s="13" t="n">
        <f aca="false">IF(B7892&lt;5,Einstellungen!$B$3,Einstellungen!$B$4)</f>
        <v>29.13</v>
      </c>
      <c r="E7892" s="14" t="str">
        <f aca="false">IF(C7892="","",C7892*D7892/100)</f>
        <v/>
      </c>
      <c r="F7892" s="15" t="str">
        <f aca="false">IF(B7892&lt;5,"Go","Standard")</f>
        <v>Standard</v>
      </c>
    </row>
    <row r="7893" customFormat="false" ht="15" hidden="false" customHeight="true" outlineLevel="0" collapsed="false">
      <c r="A7893" s="10" t="n">
        <f aca="false">Einstellungen!$B$5+INT((ROW()-9)/24)</f>
        <v>46294</v>
      </c>
      <c r="B7893" s="11" t="n">
        <f aca="false">MOD(ROW()-9,24)</f>
        <v>12</v>
      </c>
      <c r="C7893" s="12"/>
      <c r="D7893" s="13" t="n">
        <f aca="false">IF(B7893&lt;5,Einstellungen!$B$3,Einstellungen!$B$4)</f>
        <v>29.13</v>
      </c>
      <c r="E7893" s="14" t="str">
        <f aca="false">IF(C7893="","",C7893*D7893/100)</f>
        <v/>
      </c>
      <c r="F7893" s="15" t="str">
        <f aca="false">IF(B7893&lt;5,"Go","Standard")</f>
        <v>Standard</v>
      </c>
    </row>
    <row r="7894" customFormat="false" ht="15" hidden="false" customHeight="true" outlineLevel="0" collapsed="false">
      <c r="A7894" s="10" t="n">
        <f aca="false">Einstellungen!$B$5+INT((ROW()-9)/24)</f>
        <v>46294</v>
      </c>
      <c r="B7894" s="11" t="n">
        <f aca="false">MOD(ROW()-9,24)</f>
        <v>13</v>
      </c>
      <c r="C7894" s="12"/>
      <c r="D7894" s="13" t="n">
        <f aca="false">IF(B7894&lt;5,Einstellungen!$B$3,Einstellungen!$B$4)</f>
        <v>29.13</v>
      </c>
      <c r="E7894" s="14" t="str">
        <f aca="false">IF(C7894="","",C7894*D7894/100)</f>
        <v/>
      </c>
      <c r="F7894" s="15" t="str">
        <f aca="false">IF(B7894&lt;5,"Go","Standard")</f>
        <v>Standard</v>
      </c>
    </row>
    <row r="7895" customFormat="false" ht="15" hidden="false" customHeight="true" outlineLevel="0" collapsed="false">
      <c r="A7895" s="10" t="n">
        <f aca="false">Einstellungen!$B$5+INT((ROW()-9)/24)</f>
        <v>46294</v>
      </c>
      <c r="B7895" s="11" t="n">
        <f aca="false">MOD(ROW()-9,24)</f>
        <v>14</v>
      </c>
      <c r="C7895" s="12"/>
      <c r="D7895" s="13" t="n">
        <f aca="false">IF(B7895&lt;5,Einstellungen!$B$3,Einstellungen!$B$4)</f>
        <v>29.13</v>
      </c>
      <c r="E7895" s="14" t="str">
        <f aca="false">IF(C7895="","",C7895*D7895/100)</f>
        <v/>
      </c>
      <c r="F7895" s="15" t="str">
        <f aca="false">IF(B7895&lt;5,"Go","Standard")</f>
        <v>Standard</v>
      </c>
    </row>
    <row r="7896" customFormat="false" ht="15" hidden="false" customHeight="true" outlineLevel="0" collapsed="false">
      <c r="A7896" s="10" t="n">
        <f aca="false">Einstellungen!$B$5+INT((ROW()-9)/24)</f>
        <v>46294</v>
      </c>
      <c r="B7896" s="11" t="n">
        <f aca="false">MOD(ROW()-9,24)</f>
        <v>15</v>
      </c>
      <c r="C7896" s="12"/>
      <c r="D7896" s="13" t="n">
        <f aca="false">IF(B7896&lt;5,Einstellungen!$B$3,Einstellungen!$B$4)</f>
        <v>29.13</v>
      </c>
      <c r="E7896" s="14" t="str">
        <f aca="false">IF(C7896="","",C7896*D7896/100)</f>
        <v/>
      </c>
      <c r="F7896" s="15" t="str">
        <f aca="false">IF(B7896&lt;5,"Go","Standard")</f>
        <v>Standard</v>
      </c>
    </row>
    <row r="7897" customFormat="false" ht="15" hidden="false" customHeight="true" outlineLevel="0" collapsed="false">
      <c r="A7897" s="10" t="n">
        <f aca="false">Einstellungen!$B$5+INT((ROW()-9)/24)</f>
        <v>46294</v>
      </c>
      <c r="B7897" s="11" t="n">
        <f aca="false">MOD(ROW()-9,24)</f>
        <v>16</v>
      </c>
      <c r="C7897" s="12"/>
      <c r="D7897" s="13" t="n">
        <f aca="false">IF(B7897&lt;5,Einstellungen!$B$3,Einstellungen!$B$4)</f>
        <v>29.13</v>
      </c>
      <c r="E7897" s="14" t="str">
        <f aca="false">IF(C7897="","",C7897*D7897/100)</f>
        <v/>
      </c>
      <c r="F7897" s="15" t="str">
        <f aca="false">IF(B7897&lt;5,"Go","Standard")</f>
        <v>Standard</v>
      </c>
    </row>
    <row r="7898" customFormat="false" ht="15" hidden="false" customHeight="true" outlineLevel="0" collapsed="false">
      <c r="A7898" s="10" t="n">
        <f aca="false">Einstellungen!$B$5+INT((ROW()-9)/24)</f>
        <v>46294</v>
      </c>
      <c r="B7898" s="11" t="n">
        <f aca="false">MOD(ROW()-9,24)</f>
        <v>17</v>
      </c>
      <c r="C7898" s="12"/>
      <c r="D7898" s="13" t="n">
        <f aca="false">IF(B7898&lt;5,Einstellungen!$B$3,Einstellungen!$B$4)</f>
        <v>29.13</v>
      </c>
      <c r="E7898" s="14" t="str">
        <f aca="false">IF(C7898="","",C7898*D7898/100)</f>
        <v/>
      </c>
      <c r="F7898" s="15" t="str">
        <f aca="false">IF(B7898&lt;5,"Go","Standard")</f>
        <v>Standard</v>
      </c>
    </row>
    <row r="7899" customFormat="false" ht="15" hidden="false" customHeight="true" outlineLevel="0" collapsed="false">
      <c r="A7899" s="10" t="n">
        <f aca="false">Einstellungen!$B$5+INT((ROW()-9)/24)</f>
        <v>46294</v>
      </c>
      <c r="B7899" s="11" t="n">
        <f aca="false">MOD(ROW()-9,24)</f>
        <v>18</v>
      </c>
      <c r="C7899" s="12"/>
      <c r="D7899" s="13" t="n">
        <f aca="false">IF(B7899&lt;5,Einstellungen!$B$3,Einstellungen!$B$4)</f>
        <v>29.13</v>
      </c>
      <c r="E7899" s="14" t="str">
        <f aca="false">IF(C7899="","",C7899*D7899/100)</f>
        <v/>
      </c>
      <c r="F7899" s="15" t="str">
        <f aca="false">IF(B7899&lt;5,"Go","Standard")</f>
        <v>Standard</v>
      </c>
    </row>
    <row r="7900" customFormat="false" ht="15" hidden="false" customHeight="true" outlineLevel="0" collapsed="false">
      <c r="A7900" s="10" t="n">
        <f aca="false">Einstellungen!$B$5+INT((ROW()-9)/24)</f>
        <v>46294</v>
      </c>
      <c r="B7900" s="11" t="n">
        <f aca="false">MOD(ROW()-9,24)</f>
        <v>19</v>
      </c>
      <c r="C7900" s="12"/>
      <c r="D7900" s="13" t="n">
        <f aca="false">IF(B7900&lt;5,Einstellungen!$B$3,Einstellungen!$B$4)</f>
        <v>29.13</v>
      </c>
      <c r="E7900" s="14" t="str">
        <f aca="false">IF(C7900="","",C7900*D7900/100)</f>
        <v/>
      </c>
      <c r="F7900" s="15" t="str">
        <f aca="false">IF(B7900&lt;5,"Go","Standard")</f>
        <v>Standard</v>
      </c>
    </row>
    <row r="7901" customFormat="false" ht="15" hidden="false" customHeight="true" outlineLevel="0" collapsed="false">
      <c r="A7901" s="10" t="n">
        <f aca="false">Einstellungen!$B$5+INT((ROW()-9)/24)</f>
        <v>46294</v>
      </c>
      <c r="B7901" s="11" t="n">
        <f aca="false">MOD(ROW()-9,24)</f>
        <v>20</v>
      </c>
      <c r="C7901" s="12"/>
      <c r="D7901" s="13" t="n">
        <f aca="false">IF(B7901&lt;5,Einstellungen!$B$3,Einstellungen!$B$4)</f>
        <v>29.13</v>
      </c>
      <c r="E7901" s="14" t="str">
        <f aca="false">IF(C7901="","",C7901*D7901/100)</f>
        <v/>
      </c>
      <c r="F7901" s="15" t="str">
        <f aca="false">IF(B7901&lt;5,"Go","Standard")</f>
        <v>Standard</v>
      </c>
    </row>
    <row r="7902" customFormat="false" ht="15" hidden="false" customHeight="true" outlineLevel="0" collapsed="false">
      <c r="A7902" s="10" t="n">
        <f aca="false">Einstellungen!$B$5+INT((ROW()-9)/24)</f>
        <v>46294</v>
      </c>
      <c r="B7902" s="11" t="n">
        <f aca="false">MOD(ROW()-9,24)</f>
        <v>21</v>
      </c>
      <c r="C7902" s="12"/>
      <c r="D7902" s="13" t="n">
        <f aca="false">IF(B7902&lt;5,Einstellungen!$B$3,Einstellungen!$B$4)</f>
        <v>29.13</v>
      </c>
      <c r="E7902" s="14" t="str">
        <f aca="false">IF(C7902="","",C7902*D7902/100)</f>
        <v/>
      </c>
      <c r="F7902" s="15" t="str">
        <f aca="false">IF(B7902&lt;5,"Go","Standard")</f>
        <v>Standard</v>
      </c>
    </row>
    <row r="7903" customFormat="false" ht="15" hidden="false" customHeight="true" outlineLevel="0" collapsed="false">
      <c r="A7903" s="10" t="n">
        <f aca="false">Einstellungen!$B$5+INT((ROW()-9)/24)</f>
        <v>46294</v>
      </c>
      <c r="B7903" s="11" t="n">
        <f aca="false">MOD(ROW()-9,24)</f>
        <v>22</v>
      </c>
      <c r="C7903" s="12"/>
      <c r="D7903" s="13" t="n">
        <f aca="false">IF(B7903&lt;5,Einstellungen!$B$3,Einstellungen!$B$4)</f>
        <v>29.13</v>
      </c>
      <c r="E7903" s="14" t="str">
        <f aca="false">IF(C7903="","",C7903*D7903/100)</f>
        <v/>
      </c>
      <c r="F7903" s="15" t="str">
        <f aca="false">IF(B7903&lt;5,"Go","Standard")</f>
        <v>Standard</v>
      </c>
    </row>
    <row r="7904" customFormat="false" ht="15" hidden="false" customHeight="true" outlineLevel="0" collapsed="false">
      <c r="A7904" s="10" t="n">
        <f aca="false">Einstellungen!$B$5+INT((ROW()-9)/24)</f>
        <v>46294</v>
      </c>
      <c r="B7904" s="11" t="n">
        <f aca="false">MOD(ROW()-9,24)</f>
        <v>23</v>
      </c>
      <c r="C7904" s="12"/>
      <c r="D7904" s="13" t="n">
        <f aca="false">IF(B7904&lt;5,Einstellungen!$B$3,Einstellungen!$B$4)</f>
        <v>29.13</v>
      </c>
      <c r="E7904" s="14" t="str">
        <f aca="false">IF(C7904="","",C7904*D7904/100)</f>
        <v/>
      </c>
      <c r="F7904" s="15" t="str">
        <f aca="false">IF(B7904&lt;5,"Go","Standard")</f>
        <v>Standard</v>
      </c>
    </row>
    <row r="7905" customFormat="false" ht="15" hidden="false" customHeight="true" outlineLevel="0" collapsed="false">
      <c r="A7905" s="10" t="n">
        <f aca="false">Einstellungen!$B$5+INT((ROW()-9)/24)</f>
        <v>46295</v>
      </c>
      <c r="B7905" s="11" t="n">
        <f aca="false">MOD(ROW()-9,24)</f>
        <v>0</v>
      </c>
      <c r="C7905" s="12"/>
      <c r="D7905" s="13" t="n">
        <f aca="false">IF(B7905&lt;5,Einstellungen!$B$3,Einstellungen!$B$4)</f>
        <v>15.92</v>
      </c>
      <c r="E7905" s="14" t="str">
        <f aca="false">IF(C7905="","",C7905*D7905/100)</f>
        <v/>
      </c>
      <c r="F7905" s="15" t="str">
        <f aca="false">IF(B7905&lt;5,"Go","Standard")</f>
        <v>Go</v>
      </c>
    </row>
    <row r="7906" customFormat="false" ht="15" hidden="false" customHeight="true" outlineLevel="0" collapsed="false">
      <c r="A7906" s="10" t="n">
        <f aca="false">Einstellungen!$B$5+INT((ROW()-9)/24)</f>
        <v>46295</v>
      </c>
      <c r="B7906" s="11" t="n">
        <f aca="false">MOD(ROW()-9,24)</f>
        <v>1</v>
      </c>
      <c r="C7906" s="12"/>
      <c r="D7906" s="13" t="n">
        <f aca="false">IF(B7906&lt;5,Einstellungen!$B$3,Einstellungen!$B$4)</f>
        <v>15.92</v>
      </c>
      <c r="E7906" s="14" t="str">
        <f aca="false">IF(C7906="","",C7906*D7906/100)</f>
        <v/>
      </c>
      <c r="F7906" s="15" t="str">
        <f aca="false">IF(B7906&lt;5,"Go","Standard")</f>
        <v>Go</v>
      </c>
    </row>
    <row r="7907" customFormat="false" ht="15" hidden="false" customHeight="true" outlineLevel="0" collapsed="false">
      <c r="A7907" s="10" t="n">
        <f aca="false">Einstellungen!$B$5+INT((ROW()-9)/24)</f>
        <v>46295</v>
      </c>
      <c r="B7907" s="11" t="n">
        <f aca="false">MOD(ROW()-9,24)</f>
        <v>2</v>
      </c>
      <c r="C7907" s="12"/>
      <c r="D7907" s="13" t="n">
        <f aca="false">IF(B7907&lt;5,Einstellungen!$B$3,Einstellungen!$B$4)</f>
        <v>15.92</v>
      </c>
      <c r="E7907" s="14" t="str">
        <f aca="false">IF(C7907="","",C7907*D7907/100)</f>
        <v/>
      </c>
      <c r="F7907" s="15" t="str">
        <f aca="false">IF(B7907&lt;5,"Go","Standard")</f>
        <v>Go</v>
      </c>
    </row>
    <row r="7908" customFormat="false" ht="15" hidden="false" customHeight="true" outlineLevel="0" collapsed="false">
      <c r="A7908" s="10" t="n">
        <f aca="false">Einstellungen!$B$5+INT((ROW()-9)/24)</f>
        <v>46295</v>
      </c>
      <c r="B7908" s="11" t="n">
        <f aca="false">MOD(ROW()-9,24)</f>
        <v>3</v>
      </c>
      <c r="C7908" s="12"/>
      <c r="D7908" s="13" t="n">
        <f aca="false">IF(B7908&lt;5,Einstellungen!$B$3,Einstellungen!$B$4)</f>
        <v>15.92</v>
      </c>
      <c r="E7908" s="14" t="str">
        <f aca="false">IF(C7908="","",C7908*D7908/100)</f>
        <v/>
      </c>
      <c r="F7908" s="15" t="str">
        <f aca="false">IF(B7908&lt;5,"Go","Standard")</f>
        <v>Go</v>
      </c>
    </row>
    <row r="7909" customFormat="false" ht="15" hidden="false" customHeight="true" outlineLevel="0" collapsed="false">
      <c r="A7909" s="10" t="n">
        <f aca="false">Einstellungen!$B$5+INT((ROW()-9)/24)</f>
        <v>46295</v>
      </c>
      <c r="B7909" s="11" t="n">
        <f aca="false">MOD(ROW()-9,24)</f>
        <v>4</v>
      </c>
      <c r="C7909" s="12"/>
      <c r="D7909" s="13" t="n">
        <f aca="false">IF(B7909&lt;5,Einstellungen!$B$3,Einstellungen!$B$4)</f>
        <v>15.92</v>
      </c>
      <c r="E7909" s="14" t="str">
        <f aca="false">IF(C7909="","",C7909*D7909/100)</f>
        <v/>
      </c>
      <c r="F7909" s="15" t="str">
        <f aca="false">IF(B7909&lt;5,"Go","Standard")</f>
        <v>Go</v>
      </c>
    </row>
    <row r="7910" customFormat="false" ht="15" hidden="false" customHeight="true" outlineLevel="0" collapsed="false">
      <c r="A7910" s="10" t="n">
        <f aca="false">Einstellungen!$B$5+INT((ROW()-9)/24)</f>
        <v>46295</v>
      </c>
      <c r="B7910" s="11" t="n">
        <f aca="false">MOD(ROW()-9,24)</f>
        <v>5</v>
      </c>
      <c r="C7910" s="12"/>
      <c r="D7910" s="13" t="n">
        <f aca="false">IF(B7910&lt;5,Einstellungen!$B$3,Einstellungen!$B$4)</f>
        <v>29.13</v>
      </c>
      <c r="E7910" s="14" t="str">
        <f aca="false">IF(C7910="","",C7910*D7910/100)</f>
        <v/>
      </c>
      <c r="F7910" s="15" t="str">
        <f aca="false">IF(B7910&lt;5,"Go","Standard")</f>
        <v>Standard</v>
      </c>
    </row>
    <row r="7911" customFormat="false" ht="15" hidden="false" customHeight="true" outlineLevel="0" collapsed="false">
      <c r="A7911" s="10" t="n">
        <f aca="false">Einstellungen!$B$5+INT((ROW()-9)/24)</f>
        <v>46295</v>
      </c>
      <c r="B7911" s="11" t="n">
        <f aca="false">MOD(ROW()-9,24)</f>
        <v>6</v>
      </c>
      <c r="C7911" s="12"/>
      <c r="D7911" s="13" t="n">
        <f aca="false">IF(B7911&lt;5,Einstellungen!$B$3,Einstellungen!$B$4)</f>
        <v>29.13</v>
      </c>
      <c r="E7911" s="14" t="str">
        <f aca="false">IF(C7911="","",C7911*D7911/100)</f>
        <v/>
      </c>
      <c r="F7911" s="15" t="str">
        <f aca="false">IF(B7911&lt;5,"Go","Standard")</f>
        <v>Standard</v>
      </c>
    </row>
    <row r="7912" customFormat="false" ht="15" hidden="false" customHeight="true" outlineLevel="0" collapsed="false">
      <c r="A7912" s="10" t="n">
        <f aca="false">Einstellungen!$B$5+INT((ROW()-9)/24)</f>
        <v>46295</v>
      </c>
      <c r="B7912" s="11" t="n">
        <f aca="false">MOD(ROW()-9,24)</f>
        <v>7</v>
      </c>
      <c r="C7912" s="12"/>
      <c r="D7912" s="13" t="n">
        <f aca="false">IF(B7912&lt;5,Einstellungen!$B$3,Einstellungen!$B$4)</f>
        <v>29.13</v>
      </c>
      <c r="E7912" s="14" t="str">
        <f aca="false">IF(C7912="","",C7912*D7912/100)</f>
        <v/>
      </c>
      <c r="F7912" s="15" t="str">
        <f aca="false">IF(B7912&lt;5,"Go","Standard")</f>
        <v>Standard</v>
      </c>
    </row>
    <row r="7913" customFormat="false" ht="15" hidden="false" customHeight="true" outlineLevel="0" collapsed="false">
      <c r="A7913" s="10" t="n">
        <f aca="false">Einstellungen!$B$5+INT((ROW()-9)/24)</f>
        <v>46295</v>
      </c>
      <c r="B7913" s="11" t="n">
        <f aca="false">MOD(ROW()-9,24)</f>
        <v>8</v>
      </c>
      <c r="C7913" s="12"/>
      <c r="D7913" s="13" t="n">
        <f aca="false">IF(B7913&lt;5,Einstellungen!$B$3,Einstellungen!$B$4)</f>
        <v>29.13</v>
      </c>
      <c r="E7913" s="14" t="str">
        <f aca="false">IF(C7913="","",C7913*D7913/100)</f>
        <v/>
      </c>
      <c r="F7913" s="15" t="str">
        <f aca="false">IF(B7913&lt;5,"Go","Standard")</f>
        <v>Standard</v>
      </c>
    </row>
    <row r="7914" customFormat="false" ht="15" hidden="false" customHeight="true" outlineLevel="0" collapsed="false">
      <c r="A7914" s="10" t="n">
        <f aca="false">Einstellungen!$B$5+INT((ROW()-9)/24)</f>
        <v>46295</v>
      </c>
      <c r="B7914" s="11" t="n">
        <f aca="false">MOD(ROW()-9,24)</f>
        <v>9</v>
      </c>
      <c r="C7914" s="12"/>
      <c r="D7914" s="13" t="n">
        <f aca="false">IF(B7914&lt;5,Einstellungen!$B$3,Einstellungen!$B$4)</f>
        <v>29.13</v>
      </c>
      <c r="E7914" s="14" t="str">
        <f aca="false">IF(C7914="","",C7914*D7914/100)</f>
        <v/>
      </c>
      <c r="F7914" s="15" t="str">
        <f aca="false">IF(B7914&lt;5,"Go","Standard")</f>
        <v>Standard</v>
      </c>
    </row>
    <row r="7915" customFormat="false" ht="15" hidden="false" customHeight="true" outlineLevel="0" collapsed="false">
      <c r="A7915" s="10" t="n">
        <f aca="false">Einstellungen!$B$5+INT((ROW()-9)/24)</f>
        <v>46295</v>
      </c>
      <c r="B7915" s="11" t="n">
        <f aca="false">MOD(ROW()-9,24)</f>
        <v>10</v>
      </c>
      <c r="C7915" s="12"/>
      <c r="D7915" s="13" t="n">
        <f aca="false">IF(B7915&lt;5,Einstellungen!$B$3,Einstellungen!$B$4)</f>
        <v>29.13</v>
      </c>
      <c r="E7915" s="14" t="str">
        <f aca="false">IF(C7915="","",C7915*D7915/100)</f>
        <v/>
      </c>
      <c r="F7915" s="15" t="str">
        <f aca="false">IF(B7915&lt;5,"Go","Standard")</f>
        <v>Standard</v>
      </c>
    </row>
    <row r="7916" customFormat="false" ht="15" hidden="false" customHeight="true" outlineLevel="0" collapsed="false">
      <c r="A7916" s="10" t="n">
        <f aca="false">Einstellungen!$B$5+INT((ROW()-9)/24)</f>
        <v>46295</v>
      </c>
      <c r="B7916" s="11" t="n">
        <f aca="false">MOD(ROW()-9,24)</f>
        <v>11</v>
      </c>
      <c r="C7916" s="12"/>
      <c r="D7916" s="13" t="n">
        <f aca="false">IF(B7916&lt;5,Einstellungen!$B$3,Einstellungen!$B$4)</f>
        <v>29.13</v>
      </c>
      <c r="E7916" s="14" t="str">
        <f aca="false">IF(C7916="","",C7916*D7916/100)</f>
        <v/>
      </c>
      <c r="F7916" s="15" t="str">
        <f aca="false">IF(B7916&lt;5,"Go","Standard")</f>
        <v>Standard</v>
      </c>
    </row>
    <row r="7917" customFormat="false" ht="15" hidden="false" customHeight="true" outlineLevel="0" collapsed="false">
      <c r="A7917" s="10" t="n">
        <f aca="false">Einstellungen!$B$5+INT((ROW()-9)/24)</f>
        <v>46295</v>
      </c>
      <c r="B7917" s="11" t="n">
        <f aca="false">MOD(ROW()-9,24)</f>
        <v>12</v>
      </c>
      <c r="C7917" s="12"/>
      <c r="D7917" s="13" t="n">
        <f aca="false">IF(B7917&lt;5,Einstellungen!$B$3,Einstellungen!$B$4)</f>
        <v>29.13</v>
      </c>
      <c r="E7917" s="14" t="str">
        <f aca="false">IF(C7917="","",C7917*D7917/100)</f>
        <v/>
      </c>
      <c r="F7917" s="15" t="str">
        <f aca="false">IF(B7917&lt;5,"Go","Standard")</f>
        <v>Standard</v>
      </c>
    </row>
    <row r="7918" customFormat="false" ht="15" hidden="false" customHeight="true" outlineLevel="0" collapsed="false">
      <c r="A7918" s="10" t="n">
        <f aca="false">Einstellungen!$B$5+INT((ROW()-9)/24)</f>
        <v>46295</v>
      </c>
      <c r="B7918" s="11" t="n">
        <f aca="false">MOD(ROW()-9,24)</f>
        <v>13</v>
      </c>
      <c r="C7918" s="12"/>
      <c r="D7918" s="13" t="n">
        <f aca="false">IF(B7918&lt;5,Einstellungen!$B$3,Einstellungen!$B$4)</f>
        <v>29.13</v>
      </c>
      <c r="E7918" s="14" t="str">
        <f aca="false">IF(C7918="","",C7918*D7918/100)</f>
        <v/>
      </c>
      <c r="F7918" s="15" t="str">
        <f aca="false">IF(B7918&lt;5,"Go","Standard")</f>
        <v>Standard</v>
      </c>
    </row>
    <row r="7919" customFormat="false" ht="15" hidden="false" customHeight="true" outlineLevel="0" collapsed="false">
      <c r="A7919" s="10" t="n">
        <f aca="false">Einstellungen!$B$5+INT((ROW()-9)/24)</f>
        <v>46295</v>
      </c>
      <c r="B7919" s="11" t="n">
        <f aca="false">MOD(ROW()-9,24)</f>
        <v>14</v>
      </c>
      <c r="C7919" s="12"/>
      <c r="D7919" s="13" t="n">
        <f aca="false">IF(B7919&lt;5,Einstellungen!$B$3,Einstellungen!$B$4)</f>
        <v>29.13</v>
      </c>
      <c r="E7919" s="14" t="str">
        <f aca="false">IF(C7919="","",C7919*D7919/100)</f>
        <v/>
      </c>
      <c r="F7919" s="15" t="str">
        <f aca="false">IF(B7919&lt;5,"Go","Standard")</f>
        <v>Standard</v>
      </c>
    </row>
    <row r="7920" customFormat="false" ht="15" hidden="false" customHeight="true" outlineLevel="0" collapsed="false">
      <c r="A7920" s="10" t="n">
        <f aca="false">Einstellungen!$B$5+INT((ROW()-9)/24)</f>
        <v>46295</v>
      </c>
      <c r="B7920" s="11" t="n">
        <f aca="false">MOD(ROW()-9,24)</f>
        <v>15</v>
      </c>
      <c r="C7920" s="12"/>
      <c r="D7920" s="13" t="n">
        <f aca="false">IF(B7920&lt;5,Einstellungen!$B$3,Einstellungen!$B$4)</f>
        <v>29.13</v>
      </c>
      <c r="E7920" s="14" t="str">
        <f aca="false">IF(C7920="","",C7920*D7920/100)</f>
        <v/>
      </c>
      <c r="F7920" s="15" t="str">
        <f aca="false">IF(B7920&lt;5,"Go","Standard")</f>
        <v>Standard</v>
      </c>
    </row>
    <row r="7921" customFormat="false" ht="15" hidden="false" customHeight="true" outlineLevel="0" collapsed="false">
      <c r="A7921" s="10" t="n">
        <f aca="false">Einstellungen!$B$5+INT((ROW()-9)/24)</f>
        <v>46295</v>
      </c>
      <c r="B7921" s="11" t="n">
        <f aca="false">MOD(ROW()-9,24)</f>
        <v>16</v>
      </c>
      <c r="C7921" s="12"/>
      <c r="D7921" s="13" t="n">
        <f aca="false">IF(B7921&lt;5,Einstellungen!$B$3,Einstellungen!$B$4)</f>
        <v>29.13</v>
      </c>
      <c r="E7921" s="14" t="str">
        <f aca="false">IF(C7921="","",C7921*D7921/100)</f>
        <v/>
      </c>
      <c r="F7921" s="15" t="str">
        <f aca="false">IF(B7921&lt;5,"Go","Standard")</f>
        <v>Standard</v>
      </c>
    </row>
    <row r="7922" customFormat="false" ht="15" hidden="false" customHeight="true" outlineLevel="0" collapsed="false">
      <c r="A7922" s="10" t="n">
        <f aca="false">Einstellungen!$B$5+INT((ROW()-9)/24)</f>
        <v>46295</v>
      </c>
      <c r="B7922" s="11" t="n">
        <f aca="false">MOD(ROW()-9,24)</f>
        <v>17</v>
      </c>
      <c r="C7922" s="12"/>
      <c r="D7922" s="13" t="n">
        <f aca="false">IF(B7922&lt;5,Einstellungen!$B$3,Einstellungen!$B$4)</f>
        <v>29.13</v>
      </c>
      <c r="E7922" s="14" t="str">
        <f aca="false">IF(C7922="","",C7922*D7922/100)</f>
        <v/>
      </c>
      <c r="F7922" s="15" t="str">
        <f aca="false">IF(B7922&lt;5,"Go","Standard")</f>
        <v>Standard</v>
      </c>
    </row>
    <row r="7923" customFormat="false" ht="15" hidden="false" customHeight="true" outlineLevel="0" collapsed="false">
      <c r="A7923" s="10" t="n">
        <f aca="false">Einstellungen!$B$5+INT((ROW()-9)/24)</f>
        <v>46295</v>
      </c>
      <c r="B7923" s="11" t="n">
        <f aca="false">MOD(ROW()-9,24)</f>
        <v>18</v>
      </c>
      <c r="C7923" s="12"/>
      <c r="D7923" s="13" t="n">
        <f aca="false">IF(B7923&lt;5,Einstellungen!$B$3,Einstellungen!$B$4)</f>
        <v>29.13</v>
      </c>
      <c r="E7923" s="14" t="str">
        <f aca="false">IF(C7923="","",C7923*D7923/100)</f>
        <v/>
      </c>
      <c r="F7923" s="15" t="str">
        <f aca="false">IF(B7923&lt;5,"Go","Standard")</f>
        <v>Standard</v>
      </c>
    </row>
    <row r="7924" customFormat="false" ht="15" hidden="false" customHeight="true" outlineLevel="0" collapsed="false">
      <c r="A7924" s="10" t="n">
        <f aca="false">Einstellungen!$B$5+INT((ROW()-9)/24)</f>
        <v>46295</v>
      </c>
      <c r="B7924" s="11" t="n">
        <f aca="false">MOD(ROW()-9,24)</f>
        <v>19</v>
      </c>
      <c r="C7924" s="12"/>
      <c r="D7924" s="13" t="n">
        <f aca="false">IF(B7924&lt;5,Einstellungen!$B$3,Einstellungen!$B$4)</f>
        <v>29.13</v>
      </c>
      <c r="E7924" s="14" t="str">
        <f aca="false">IF(C7924="","",C7924*D7924/100)</f>
        <v/>
      </c>
      <c r="F7924" s="15" t="str">
        <f aca="false">IF(B7924&lt;5,"Go","Standard")</f>
        <v>Standard</v>
      </c>
    </row>
    <row r="7925" customFormat="false" ht="15" hidden="false" customHeight="true" outlineLevel="0" collapsed="false">
      <c r="A7925" s="10" t="n">
        <f aca="false">Einstellungen!$B$5+INT((ROW()-9)/24)</f>
        <v>46295</v>
      </c>
      <c r="B7925" s="11" t="n">
        <f aca="false">MOD(ROW()-9,24)</f>
        <v>20</v>
      </c>
      <c r="C7925" s="12"/>
      <c r="D7925" s="13" t="n">
        <f aca="false">IF(B7925&lt;5,Einstellungen!$B$3,Einstellungen!$B$4)</f>
        <v>29.13</v>
      </c>
      <c r="E7925" s="14" t="str">
        <f aca="false">IF(C7925="","",C7925*D7925/100)</f>
        <v/>
      </c>
      <c r="F7925" s="15" t="str">
        <f aca="false">IF(B7925&lt;5,"Go","Standard")</f>
        <v>Standard</v>
      </c>
    </row>
    <row r="7926" customFormat="false" ht="15" hidden="false" customHeight="true" outlineLevel="0" collapsed="false">
      <c r="A7926" s="10" t="n">
        <f aca="false">Einstellungen!$B$5+INT((ROW()-9)/24)</f>
        <v>46295</v>
      </c>
      <c r="B7926" s="11" t="n">
        <f aca="false">MOD(ROW()-9,24)</f>
        <v>21</v>
      </c>
      <c r="C7926" s="12"/>
      <c r="D7926" s="13" t="n">
        <f aca="false">IF(B7926&lt;5,Einstellungen!$B$3,Einstellungen!$B$4)</f>
        <v>29.13</v>
      </c>
      <c r="E7926" s="14" t="str">
        <f aca="false">IF(C7926="","",C7926*D7926/100)</f>
        <v/>
      </c>
      <c r="F7926" s="15" t="str">
        <f aca="false">IF(B7926&lt;5,"Go","Standard")</f>
        <v>Standard</v>
      </c>
    </row>
    <row r="7927" customFormat="false" ht="15" hidden="false" customHeight="true" outlineLevel="0" collapsed="false">
      <c r="A7927" s="10" t="n">
        <f aca="false">Einstellungen!$B$5+INT((ROW()-9)/24)</f>
        <v>46295</v>
      </c>
      <c r="B7927" s="11" t="n">
        <f aca="false">MOD(ROW()-9,24)</f>
        <v>22</v>
      </c>
      <c r="C7927" s="12"/>
      <c r="D7927" s="13" t="n">
        <f aca="false">IF(B7927&lt;5,Einstellungen!$B$3,Einstellungen!$B$4)</f>
        <v>29.13</v>
      </c>
      <c r="E7927" s="14" t="str">
        <f aca="false">IF(C7927="","",C7927*D7927/100)</f>
        <v/>
      </c>
      <c r="F7927" s="15" t="str">
        <f aca="false">IF(B7927&lt;5,"Go","Standard")</f>
        <v>Standard</v>
      </c>
    </row>
    <row r="7928" customFormat="false" ht="15" hidden="false" customHeight="true" outlineLevel="0" collapsed="false">
      <c r="A7928" s="10" t="n">
        <f aca="false">Einstellungen!$B$5+INT((ROW()-9)/24)</f>
        <v>46295</v>
      </c>
      <c r="B7928" s="11" t="n">
        <f aca="false">MOD(ROW()-9,24)</f>
        <v>23</v>
      </c>
      <c r="C7928" s="12"/>
      <c r="D7928" s="13" t="n">
        <f aca="false">IF(B7928&lt;5,Einstellungen!$B$3,Einstellungen!$B$4)</f>
        <v>29.13</v>
      </c>
      <c r="E7928" s="14" t="str">
        <f aca="false">IF(C7928="","",C7928*D7928/100)</f>
        <v/>
      </c>
      <c r="F7928" s="15" t="str">
        <f aca="false">IF(B7928&lt;5,"Go","Standard")</f>
        <v>Standard</v>
      </c>
    </row>
    <row r="7929" customFormat="false" ht="15" hidden="false" customHeight="true" outlineLevel="0" collapsed="false">
      <c r="A7929" s="10" t="n">
        <f aca="false">Einstellungen!$B$5+INT((ROW()-9)/24)</f>
        <v>46296</v>
      </c>
      <c r="B7929" s="11" t="n">
        <f aca="false">MOD(ROW()-9,24)</f>
        <v>0</v>
      </c>
      <c r="C7929" s="12"/>
      <c r="D7929" s="13" t="n">
        <f aca="false">IF(B7929&lt;5,Einstellungen!$B$3,Einstellungen!$B$4)</f>
        <v>15.92</v>
      </c>
      <c r="E7929" s="14" t="str">
        <f aca="false">IF(C7929="","",C7929*D7929/100)</f>
        <v/>
      </c>
      <c r="F7929" s="15" t="str">
        <f aca="false">IF(B7929&lt;5,"Go","Standard")</f>
        <v>Go</v>
      </c>
    </row>
    <row r="7930" customFormat="false" ht="15" hidden="false" customHeight="true" outlineLevel="0" collapsed="false">
      <c r="A7930" s="10" t="n">
        <f aca="false">Einstellungen!$B$5+INT((ROW()-9)/24)</f>
        <v>46296</v>
      </c>
      <c r="B7930" s="11" t="n">
        <f aca="false">MOD(ROW()-9,24)</f>
        <v>1</v>
      </c>
      <c r="C7930" s="12"/>
      <c r="D7930" s="13" t="n">
        <f aca="false">IF(B7930&lt;5,Einstellungen!$B$3,Einstellungen!$B$4)</f>
        <v>15.92</v>
      </c>
      <c r="E7930" s="14" t="str">
        <f aca="false">IF(C7930="","",C7930*D7930/100)</f>
        <v/>
      </c>
      <c r="F7930" s="15" t="str">
        <f aca="false">IF(B7930&lt;5,"Go","Standard")</f>
        <v>Go</v>
      </c>
    </row>
    <row r="7931" customFormat="false" ht="15" hidden="false" customHeight="true" outlineLevel="0" collapsed="false">
      <c r="A7931" s="10" t="n">
        <f aca="false">Einstellungen!$B$5+INT((ROW()-9)/24)</f>
        <v>46296</v>
      </c>
      <c r="B7931" s="11" t="n">
        <f aca="false">MOD(ROW()-9,24)</f>
        <v>2</v>
      </c>
      <c r="C7931" s="12"/>
      <c r="D7931" s="13" t="n">
        <f aca="false">IF(B7931&lt;5,Einstellungen!$B$3,Einstellungen!$B$4)</f>
        <v>15.92</v>
      </c>
      <c r="E7931" s="14" t="str">
        <f aca="false">IF(C7931="","",C7931*D7931/100)</f>
        <v/>
      </c>
      <c r="F7931" s="15" t="str">
        <f aca="false">IF(B7931&lt;5,"Go","Standard")</f>
        <v>Go</v>
      </c>
    </row>
    <row r="7932" customFormat="false" ht="15" hidden="false" customHeight="true" outlineLevel="0" collapsed="false">
      <c r="A7932" s="10" t="n">
        <f aca="false">Einstellungen!$B$5+INT((ROW()-9)/24)</f>
        <v>46296</v>
      </c>
      <c r="B7932" s="11" t="n">
        <f aca="false">MOD(ROW()-9,24)</f>
        <v>3</v>
      </c>
      <c r="C7932" s="12"/>
      <c r="D7932" s="13" t="n">
        <f aca="false">IF(B7932&lt;5,Einstellungen!$B$3,Einstellungen!$B$4)</f>
        <v>15.92</v>
      </c>
      <c r="E7932" s="14" t="str">
        <f aca="false">IF(C7932="","",C7932*D7932/100)</f>
        <v/>
      </c>
      <c r="F7932" s="15" t="str">
        <f aca="false">IF(B7932&lt;5,"Go","Standard")</f>
        <v>Go</v>
      </c>
    </row>
    <row r="7933" customFormat="false" ht="15" hidden="false" customHeight="true" outlineLevel="0" collapsed="false">
      <c r="A7933" s="10" t="n">
        <f aca="false">Einstellungen!$B$5+INT((ROW()-9)/24)</f>
        <v>46296</v>
      </c>
      <c r="B7933" s="11" t="n">
        <f aca="false">MOD(ROW()-9,24)</f>
        <v>4</v>
      </c>
      <c r="C7933" s="12"/>
      <c r="D7933" s="13" t="n">
        <f aca="false">IF(B7933&lt;5,Einstellungen!$B$3,Einstellungen!$B$4)</f>
        <v>15.92</v>
      </c>
      <c r="E7933" s="14" t="str">
        <f aca="false">IF(C7933="","",C7933*D7933/100)</f>
        <v/>
      </c>
      <c r="F7933" s="15" t="str">
        <f aca="false">IF(B7933&lt;5,"Go","Standard")</f>
        <v>Go</v>
      </c>
    </row>
    <row r="7934" customFormat="false" ht="15" hidden="false" customHeight="true" outlineLevel="0" collapsed="false">
      <c r="A7934" s="10" t="n">
        <f aca="false">Einstellungen!$B$5+INT((ROW()-9)/24)</f>
        <v>46296</v>
      </c>
      <c r="B7934" s="11" t="n">
        <f aca="false">MOD(ROW()-9,24)</f>
        <v>5</v>
      </c>
      <c r="C7934" s="12"/>
      <c r="D7934" s="13" t="n">
        <f aca="false">IF(B7934&lt;5,Einstellungen!$B$3,Einstellungen!$B$4)</f>
        <v>29.13</v>
      </c>
      <c r="E7934" s="14" t="str">
        <f aca="false">IF(C7934="","",C7934*D7934/100)</f>
        <v/>
      </c>
      <c r="F7934" s="15" t="str">
        <f aca="false">IF(B7934&lt;5,"Go","Standard")</f>
        <v>Standard</v>
      </c>
    </row>
    <row r="7935" customFormat="false" ht="15" hidden="false" customHeight="true" outlineLevel="0" collapsed="false">
      <c r="A7935" s="10" t="n">
        <f aca="false">Einstellungen!$B$5+INT((ROW()-9)/24)</f>
        <v>46296</v>
      </c>
      <c r="B7935" s="11" t="n">
        <f aca="false">MOD(ROW()-9,24)</f>
        <v>6</v>
      </c>
      <c r="C7935" s="12"/>
      <c r="D7935" s="13" t="n">
        <f aca="false">IF(B7935&lt;5,Einstellungen!$B$3,Einstellungen!$B$4)</f>
        <v>29.13</v>
      </c>
      <c r="E7935" s="14" t="str">
        <f aca="false">IF(C7935="","",C7935*D7935/100)</f>
        <v/>
      </c>
      <c r="F7935" s="15" t="str">
        <f aca="false">IF(B7935&lt;5,"Go","Standard")</f>
        <v>Standard</v>
      </c>
    </row>
    <row r="7936" customFormat="false" ht="15" hidden="false" customHeight="true" outlineLevel="0" collapsed="false">
      <c r="A7936" s="10" t="n">
        <f aca="false">Einstellungen!$B$5+INT((ROW()-9)/24)</f>
        <v>46296</v>
      </c>
      <c r="B7936" s="11" t="n">
        <f aca="false">MOD(ROW()-9,24)</f>
        <v>7</v>
      </c>
      <c r="C7936" s="12"/>
      <c r="D7936" s="13" t="n">
        <f aca="false">IF(B7936&lt;5,Einstellungen!$B$3,Einstellungen!$B$4)</f>
        <v>29.13</v>
      </c>
      <c r="E7936" s="14" t="str">
        <f aca="false">IF(C7936="","",C7936*D7936/100)</f>
        <v/>
      </c>
      <c r="F7936" s="15" t="str">
        <f aca="false">IF(B7936&lt;5,"Go","Standard")</f>
        <v>Standard</v>
      </c>
    </row>
    <row r="7937" customFormat="false" ht="15" hidden="false" customHeight="true" outlineLevel="0" collapsed="false">
      <c r="A7937" s="10" t="n">
        <f aca="false">Einstellungen!$B$5+INT((ROW()-9)/24)</f>
        <v>46296</v>
      </c>
      <c r="B7937" s="11" t="n">
        <f aca="false">MOD(ROW()-9,24)</f>
        <v>8</v>
      </c>
      <c r="C7937" s="12"/>
      <c r="D7937" s="13" t="n">
        <f aca="false">IF(B7937&lt;5,Einstellungen!$B$3,Einstellungen!$B$4)</f>
        <v>29.13</v>
      </c>
      <c r="E7937" s="14" t="str">
        <f aca="false">IF(C7937="","",C7937*D7937/100)</f>
        <v/>
      </c>
      <c r="F7937" s="15" t="str">
        <f aca="false">IF(B7937&lt;5,"Go","Standard")</f>
        <v>Standard</v>
      </c>
    </row>
    <row r="7938" customFormat="false" ht="15" hidden="false" customHeight="true" outlineLevel="0" collapsed="false">
      <c r="A7938" s="10" t="n">
        <f aca="false">Einstellungen!$B$5+INT((ROW()-9)/24)</f>
        <v>46296</v>
      </c>
      <c r="B7938" s="11" t="n">
        <f aca="false">MOD(ROW()-9,24)</f>
        <v>9</v>
      </c>
      <c r="C7938" s="12"/>
      <c r="D7938" s="13" t="n">
        <f aca="false">IF(B7938&lt;5,Einstellungen!$B$3,Einstellungen!$B$4)</f>
        <v>29.13</v>
      </c>
      <c r="E7938" s="14" t="str">
        <f aca="false">IF(C7938="","",C7938*D7938/100)</f>
        <v/>
      </c>
      <c r="F7938" s="15" t="str">
        <f aca="false">IF(B7938&lt;5,"Go","Standard")</f>
        <v>Standard</v>
      </c>
    </row>
    <row r="7939" customFormat="false" ht="15" hidden="false" customHeight="true" outlineLevel="0" collapsed="false">
      <c r="A7939" s="10" t="n">
        <f aca="false">Einstellungen!$B$5+INT((ROW()-9)/24)</f>
        <v>46296</v>
      </c>
      <c r="B7939" s="11" t="n">
        <f aca="false">MOD(ROW()-9,24)</f>
        <v>10</v>
      </c>
      <c r="C7939" s="12"/>
      <c r="D7939" s="13" t="n">
        <f aca="false">IF(B7939&lt;5,Einstellungen!$B$3,Einstellungen!$B$4)</f>
        <v>29.13</v>
      </c>
      <c r="E7939" s="14" t="str">
        <f aca="false">IF(C7939="","",C7939*D7939/100)</f>
        <v/>
      </c>
      <c r="F7939" s="15" t="str">
        <f aca="false">IF(B7939&lt;5,"Go","Standard")</f>
        <v>Standard</v>
      </c>
    </row>
    <row r="7940" customFormat="false" ht="15" hidden="false" customHeight="true" outlineLevel="0" collapsed="false">
      <c r="A7940" s="10" t="n">
        <f aca="false">Einstellungen!$B$5+INT((ROW()-9)/24)</f>
        <v>46296</v>
      </c>
      <c r="B7940" s="11" t="n">
        <f aca="false">MOD(ROW()-9,24)</f>
        <v>11</v>
      </c>
      <c r="C7940" s="12"/>
      <c r="D7940" s="13" t="n">
        <f aca="false">IF(B7940&lt;5,Einstellungen!$B$3,Einstellungen!$B$4)</f>
        <v>29.13</v>
      </c>
      <c r="E7940" s="14" t="str">
        <f aca="false">IF(C7940="","",C7940*D7940/100)</f>
        <v/>
      </c>
      <c r="F7940" s="15" t="str">
        <f aca="false">IF(B7940&lt;5,"Go","Standard")</f>
        <v>Standard</v>
      </c>
    </row>
    <row r="7941" customFormat="false" ht="15" hidden="false" customHeight="true" outlineLevel="0" collapsed="false">
      <c r="A7941" s="10" t="n">
        <f aca="false">Einstellungen!$B$5+INT((ROW()-9)/24)</f>
        <v>46296</v>
      </c>
      <c r="B7941" s="11" t="n">
        <f aca="false">MOD(ROW()-9,24)</f>
        <v>12</v>
      </c>
      <c r="C7941" s="12"/>
      <c r="D7941" s="13" t="n">
        <f aca="false">IF(B7941&lt;5,Einstellungen!$B$3,Einstellungen!$B$4)</f>
        <v>29.13</v>
      </c>
      <c r="E7941" s="14" t="str">
        <f aca="false">IF(C7941="","",C7941*D7941/100)</f>
        <v/>
      </c>
      <c r="F7941" s="15" t="str">
        <f aca="false">IF(B7941&lt;5,"Go","Standard")</f>
        <v>Standard</v>
      </c>
    </row>
    <row r="7942" customFormat="false" ht="15" hidden="false" customHeight="true" outlineLevel="0" collapsed="false">
      <c r="A7942" s="10" t="n">
        <f aca="false">Einstellungen!$B$5+INT((ROW()-9)/24)</f>
        <v>46296</v>
      </c>
      <c r="B7942" s="11" t="n">
        <f aca="false">MOD(ROW()-9,24)</f>
        <v>13</v>
      </c>
      <c r="C7942" s="12"/>
      <c r="D7942" s="13" t="n">
        <f aca="false">IF(B7942&lt;5,Einstellungen!$B$3,Einstellungen!$B$4)</f>
        <v>29.13</v>
      </c>
      <c r="E7942" s="14" t="str">
        <f aca="false">IF(C7942="","",C7942*D7942/100)</f>
        <v/>
      </c>
      <c r="F7942" s="15" t="str">
        <f aca="false">IF(B7942&lt;5,"Go","Standard")</f>
        <v>Standard</v>
      </c>
    </row>
    <row r="7943" customFormat="false" ht="15" hidden="false" customHeight="true" outlineLevel="0" collapsed="false">
      <c r="A7943" s="10" t="n">
        <f aca="false">Einstellungen!$B$5+INT((ROW()-9)/24)</f>
        <v>46296</v>
      </c>
      <c r="B7943" s="11" t="n">
        <f aca="false">MOD(ROW()-9,24)</f>
        <v>14</v>
      </c>
      <c r="C7943" s="12"/>
      <c r="D7943" s="13" t="n">
        <f aca="false">IF(B7943&lt;5,Einstellungen!$B$3,Einstellungen!$B$4)</f>
        <v>29.13</v>
      </c>
      <c r="E7943" s="14" t="str">
        <f aca="false">IF(C7943="","",C7943*D7943/100)</f>
        <v/>
      </c>
      <c r="F7943" s="15" t="str">
        <f aca="false">IF(B7943&lt;5,"Go","Standard")</f>
        <v>Standard</v>
      </c>
    </row>
    <row r="7944" customFormat="false" ht="15" hidden="false" customHeight="true" outlineLevel="0" collapsed="false">
      <c r="A7944" s="10" t="n">
        <f aca="false">Einstellungen!$B$5+INT((ROW()-9)/24)</f>
        <v>46296</v>
      </c>
      <c r="B7944" s="11" t="n">
        <f aca="false">MOD(ROW()-9,24)</f>
        <v>15</v>
      </c>
      <c r="C7944" s="12"/>
      <c r="D7944" s="13" t="n">
        <f aca="false">IF(B7944&lt;5,Einstellungen!$B$3,Einstellungen!$B$4)</f>
        <v>29.13</v>
      </c>
      <c r="E7944" s="14" t="str">
        <f aca="false">IF(C7944="","",C7944*D7944/100)</f>
        <v/>
      </c>
      <c r="F7944" s="15" t="str">
        <f aca="false">IF(B7944&lt;5,"Go","Standard")</f>
        <v>Standard</v>
      </c>
    </row>
    <row r="7945" customFormat="false" ht="15" hidden="false" customHeight="true" outlineLevel="0" collapsed="false">
      <c r="A7945" s="10" t="n">
        <f aca="false">Einstellungen!$B$5+INT((ROW()-9)/24)</f>
        <v>46296</v>
      </c>
      <c r="B7945" s="11" t="n">
        <f aca="false">MOD(ROW()-9,24)</f>
        <v>16</v>
      </c>
      <c r="C7945" s="12"/>
      <c r="D7945" s="13" t="n">
        <f aca="false">IF(B7945&lt;5,Einstellungen!$B$3,Einstellungen!$B$4)</f>
        <v>29.13</v>
      </c>
      <c r="E7945" s="14" t="str">
        <f aca="false">IF(C7945="","",C7945*D7945/100)</f>
        <v/>
      </c>
      <c r="F7945" s="15" t="str">
        <f aca="false">IF(B7945&lt;5,"Go","Standard")</f>
        <v>Standard</v>
      </c>
    </row>
    <row r="7946" customFormat="false" ht="15" hidden="false" customHeight="true" outlineLevel="0" collapsed="false">
      <c r="A7946" s="10" t="n">
        <f aca="false">Einstellungen!$B$5+INT((ROW()-9)/24)</f>
        <v>46296</v>
      </c>
      <c r="B7946" s="11" t="n">
        <f aca="false">MOD(ROW()-9,24)</f>
        <v>17</v>
      </c>
      <c r="C7946" s="12"/>
      <c r="D7946" s="13" t="n">
        <f aca="false">IF(B7946&lt;5,Einstellungen!$B$3,Einstellungen!$B$4)</f>
        <v>29.13</v>
      </c>
      <c r="E7946" s="14" t="str">
        <f aca="false">IF(C7946="","",C7946*D7946/100)</f>
        <v/>
      </c>
      <c r="F7946" s="15" t="str">
        <f aca="false">IF(B7946&lt;5,"Go","Standard")</f>
        <v>Standard</v>
      </c>
    </row>
    <row r="7947" customFormat="false" ht="15" hidden="false" customHeight="true" outlineLevel="0" collapsed="false">
      <c r="A7947" s="10" t="n">
        <f aca="false">Einstellungen!$B$5+INT((ROW()-9)/24)</f>
        <v>46296</v>
      </c>
      <c r="B7947" s="11" t="n">
        <f aca="false">MOD(ROW()-9,24)</f>
        <v>18</v>
      </c>
      <c r="C7947" s="12"/>
      <c r="D7947" s="13" t="n">
        <f aca="false">IF(B7947&lt;5,Einstellungen!$B$3,Einstellungen!$B$4)</f>
        <v>29.13</v>
      </c>
      <c r="E7947" s="14" t="str">
        <f aca="false">IF(C7947="","",C7947*D7947/100)</f>
        <v/>
      </c>
      <c r="F7947" s="15" t="str">
        <f aca="false">IF(B7947&lt;5,"Go","Standard")</f>
        <v>Standard</v>
      </c>
    </row>
    <row r="7948" customFormat="false" ht="15" hidden="false" customHeight="true" outlineLevel="0" collapsed="false">
      <c r="A7948" s="10" t="n">
        <f aca="false">Einstellungen!$B$5+INT((ROW()-9)/24)</f>
        <v>46296</v>
      </c>
      <c r="B7948" s="11" t="n">
        <f aca="false">MOD(ROW()-9,24)</f>
        <v>19</v>
      </c>
      <c r="C7948" s="12"/>
      <c r="D7948" s="13" t="n">
        <f aca="false">IF(B7948&lt;5,Einstellungen!$B$3,Einstellungen!$B$4)</f>
        <v>29.13</v>
      </c>
      <c r="E7948" s="14" t="str">
        <f aca="false">IF(C7948="","",C7948*D7948/100)</f>
        <v/>
      </c>
      <c r="F7948" s="15" t="str">
        <f aca="false">IF(B7948&lt;5,"Go","Standard")</f>
        <v>Standard</v>
      </c>
    </row>
    <row r="7949" customFormat="false" ht="15" hidden="false" customHeight="true" outlineLevel="0" collapsed="false">
      <c r="A7949" s="10" t="n">
        <f aca="false">Einstellungen!$B$5+INT((ROW()-9)/24)</f>
        <v>46296</v>
      </c>
      <c r="B7949" s="11" t="n">
        <f aca="false">MOD(ROW()-9,24)</f>
        <v>20</v>
      </c>
      <c r="C7949" s="12"/>
      <c r="D7949" s="13" t="n">
        <f aca="false">IF(B7949&lt;5,Einstellungen!$B$3,Einstellungen!$B$4)</f>
        <v>29.13</v>
      </c>
      <c r="E7949" s="14" t="str">
        <f aca="false">IF(C7949="","",C7949*D7949/100)</f>
        <v/>
      </c>
      <c r="F7949" s="15" t="str">
        <f aca="false">IF(B7949&lt;5,"Go","Standard")</f>
        <v>Standard</v>
      </c>
    </row>
    <row r="7950" customFormat="false" ht="15" hidden="false" customHeight="true" outlineLevel="0" collapsed="false">
      <c r="A7950" s="10" t="n">
        <f aca="false">Einstellungen!$B$5+INT((ROW()-9)/24)</f>
        <v>46296</v>
      </c>
      <c r="B7950" s="11" t="n">
        <f aca="false">MOD(ROW()-9,24)</f>
        <v>21</v>
      </c>
      <c r="C7950" s="12"/>
      <c r="D7950" s="13" t="n">
        <f aca="false">IF(B7950&lt;5,Einstellungen!$B$3,Einstellungen!$B$4)</f>
        <v>29.13</v>
      </c>
      <c r="E7950" s="14" t="str">
        <f aca="false">IF(C7950="","",C7950*D7950/100)</f>
        <v/>
      </c>
      <c r="F7950" s="15" t="str">
        <f aca="false">IF(B7950&lt;5,"Go","Standard")</f>
        <v>Standard</v>
      </c>
    </row>
    <row r="7951" customFormat="false" ht="15" hidden="false" customHeight="true" outlineLevel="0" collapsed="false">
      <c r="A7951" s="10" t="n">
        <f aca="false">Einstellungen!$B$5+INT((ROW()-9)/24)</f>
        <v>46296</v>
      </c>
      <c r="B7951" s="11" t="n">
        <f aca="false">MOD(ROW()-9,24)</f>
        <v>22</v>
      </c>
      <c r="C7951" s="12"/>
      <c r="D7951" s="13" t="n">
        <f aca="false">IF(B7951&lt;5,Einstellungen!$B$3,Einstellungen!$B$4)</f>
        <v>29.13</v>
      </c>
      <c r="E7951" s="14" t="str">
        <f aca="false">IF(C7951="","",C7951*D7951/100)</f>
        <v/>
      </c>
      <c r="F7951" s="15" t="str">
        <f aca="false">IF(B7951&lt;5,"Go","Standard")</f>
        <v>Standard</v>
      </c>
    </row>
    <row r="7952" customFormat="false" ht="15" hidden="false" customHeight="true" outlineLevel="0" collapsed="false">
      <c r="A7952" s="10" t="n">
        <f aca="false">Einstellungen!$B$5+INT((ROW()-9)/24)</f>
        <v>46296</v>
      </c>
      <c r="B7952" s="11" t="n">
        <f aca="false">MOD(ROW()-9,24)</f>
        <v>23</v>
      </c>
      <c r="C7952" s="12"/>
      <c r="D7952" s="13" t="n">
        <f aca="false">IF(B7952&lt;5,Einstellungen!$B$3,Einstellungen!$B$4)</f>
        <v>29.13</v>
      </c>
      <c r="E7952" s="14" t="str">
        <f aca="false">IF(C7952="","",C7952*D7952/100)</f>
        <v/>
      </c>
      <c r="F7952" s="15" t="str">
        <f aca="false">IF(B7952&lt;5,"Go","Standard")</f>
        <v>Standard</v>
      </c>
    </row>
    <row r="7953" customFormat="false" ht="15" hidden="false" customHeight="true" outlineLevel="0" collapsed="false">
      <c r="A7953" s="10" t="n">
        <f aca="false">Einstellungen!$B$5+INT((ROW()-9)/24)</f>
        <v>46297</v>
      </c>
      <c r="B7953" s="11" t="n">
        <f aca="false">MOD(ROW()-9,24)</f>
        <v>0</v>
      </c>
      <c r="C7953" s="12"/>
      <c r="D7953" s="13" t="n">
        <f aca="false">IF(B7953&lt;5,Einstellungen!$B$3,Einstellungen!$B$4)</f>
        <v>15.92</v>
      </c>
      <c r="E7953" s="14" t="str">
        <f aca="false">IF(C7953="","",C7953*D7953/100)</f>
        <v/>
      </c>
      <c r="F7953" s="15" t="str">
        <f aca="false">IF(B7953&lt;5,"Go","Standard")</f>
        <v>Go</v>
      </c>
    </row>
    <row r="7954" customFormat="false" ht="15" hidden="false" customHeight="true" outlineLevel="0" collapsed="false">
      <c r="A7954" s="10" t="n">
        <f aca="false">Einstellungen!$B$5+INT((ROW()-9)/24)</f>
        <v>46297</v>
      </c>
      <c r="B7954" s="11" t="n">
        <f aca="false">MOD(ROW()-9,24)</f>
        <v>1</v>
      </c>
      <c r="C7954" s="12"/>
      <c r="D7954" s="13" t="n">
        <f aca="false">IF(B7954&lt;5,Einstellungen!$B$3,Einstellungen!$B$4)</f>
        <v>15.92</v>
      </c>
      <c r="E7954" s="14" t="str">
        <f aca="false">IF(C7954="","",C7954*D7954/100)</f>
        <v/>
      </c>
      <c r="F7954" s="15" t="str">
        <f aca="false">IF(B7954&lt;5,"Go","Standard")</f>
        <v>Go</v>
      </c>
    </row>
    <row r="7955" customFormat="false" ht="15" hidden="false" customHeight="true" outlineLevel="0" collapsed="false">
      <c r="A7955" s="10" t="n">
        <f aca="false">Einstellungen!$B$5+INT((ROW()-9)/24)</f>
        <v>46297</v>
      </c>
      <c r="B7955" s="11" t="n">
        <f aca="false">MOD(ROW()-9,24)</f>
        <v>2</v>
      </c>
      <c r="C7955" s="12"/>
      <c r="D7955" s="13" t="n">
        <f aca="false">IF(B7955&lt;5,Einstellungen!$B$3,Einstellungen!$B$4)</f>
        <v>15.92</v>
      </c>
      <c r="E7955" s="14" t="str">
        <f aca="false">IF(C7955="","",C7955*D7955/100)</f>
        <v/>
      </c>
      <c r="F7955" s="15" t="str">
        <f aca="false">IF(B7955&lt;5,"Go","Standard")</f>
        <v>Go</v>
      </c>
    </row>
    <row r="7956" customFormat="false" ht="15" hidden="false" customHeight="true" outlineLevel="0" collapsed="false">
      <c r="A7956" s="10" t="n">
        <f aca="false">Einstellungen!$B$5+INT((ROW()-9)/24)</f>
        <v>46297</v>
      </c>
      <c r="B7956" s="11" t="n">
        <f aca="false">MOD(ROW()-9,24)</f>
        <v>3</v>
      </c>
      <c r="C7956" s="12"/>
      <c r="D7956" s="13" t="n">
        <f aca="false">IF(B7956&lt;5,Einstellungen!$B$3,Einstellungen!$B$4)</f>
        <v>15.92</v>
      </c>
      <c r="E7956" s="14" t="str">
        <f aca="false">IF(C7956="","",C7956*D7956/100)</f>
        <v/>
      </c>
      <c r="F7956" s="15" t="str">
        <f aca="false">IF(B7956&lt;5,"Go","Standard")</f>
        <v>Go</v>
      </c>
    </row>
    <row r="7957" customFormat="false" ht="15" hidden="false" customHeight="true" outlineLevel="0" collapsed="false">
      <c r="A7957" s="10" t="n">
        <f aca="false">Einstellungen!$B$5+INT((ROW()-9)/24)</f>
        <v>46297</v>
      </c>
      <c r="B7957" s="11" t="n">
        <f aca="false">MOD(ROW()-9,24)</f>
        <v>4</v>
      </c>
      <c r="C7957" s="12"/>
      <c r="D7957" s="13" t="n">
        <f aca="false">IF(B7957&lt;5,Einstellungen!$B$3,Einstellungen!$B$4)</f>
        <v>15.92</v>
      </c>
      <c r="E7957" s="14" t="str">
        <f aca="false">IF(C7957="","",C7957*D7957/100)</f>
        <v/>
      </c>
      <c r="F7957" s="15" t="str">
        <f aca="false">IF(B7957&lt;5,"Go","Standard")</f>
        <v>Go</v>
      </c>
    </row>
    <row r="7958" customFormat="false" ht="15" hidden="false" customHeight="true" outlineLevel="0" collapsed="false">
      <c r="A7958" s="10" t="n">
        <f aca="false">Einstellungen!$B$5+INT((ROW()-9)/24)</f>
        <v>46297</v>
      </c>
      <c r="B7958" s="11" t="n">
        <f aca="false">MOD(ROW()-9,24)</f>
        <v>5</v>
      </c>
      <c r="C7958" s="12"/>
      <c r="D7958" s="13" t="n">
        <f aca="false">IF(B7958&lt;5,Einstellungen!$B$3,Einstellungen!$B$4)</f>
        <v>29.13</v>
      </c>
      <c r="E7958" s="14" t="str">
        <f aca="false">IF(C7958="","",C7958*D7958/100)</f>
        <v/>
      </c>
      <c r="F7958" s="15" t="str">
        <f aca="false">IF(B7958&lt;5,"Go","Standard")</f>
        <v>Standard</v>
      </c>
    </row>
    <row r="7959" customFormat="false" ht="15" hidden="false" customHeight="true" outlineLevel="0" collapsed="false">
      <c r="A7959" s="10" t="n">
        <f aca="false">Einstellungen!$B$5+INT((ROW()-9)/24)</f>
        <v>46297</v>
      </c>
      <c r="B7959" s="11" t="n">
        <f aca="false">MOD(ROW()-9,24)</f>
        <v>6</v>
      </c>
      <c r="C7959" s="12"/>
      <c r="D7959" s="13" t="n">
        <f aca="false">IF(B7959&lt;5,Einstellungen!$B$3,Einstellungen!$B$4)</f>
        <v>29.13</v>
      </c>
      <c r="E7959" s="14" t="str">
        <f aca="false">IF(C7959="","",C7959*D7959/100)</f>
        <v/>
      </c>
      <c r="F7959" s="15" t="str">
        <f aca="false">IF(B7959&lt;5,"Go","Standard")</f>
        <v>Standard</v>
      </c>
    </row>
    <row r="7960" customFormat="false" ht="15" hidden="false" customHeight="true" outlineLevel="0" collapsed="false">
      <c r="A7960" s="10" t="n">
        <f aca="false">Einstellungen!$B$5+INT((ROW()-9)/24)</f>
        <v>46297</v>
      </c>
      <c r="B7960" s="11" t="n">
        <f aca="false">MOD(ROW()-9,24)</f>
        <v>7</v>
      </c>
      <c r="C7960" s="12"/>
      <c r="D7960" s="13" t="n">
        <f aca="false">IF(B7960&lt;5,Einstellungen!$B$3,Einstellungen!$B$4)</f>
        <v>29.13</v>
      </c>
      <c r="E7960" s="14" t="str">
        <f aca="false">IF(C7960="","",C7960*D7960/100)</f>
        <v/>
      </c>
      <c r="F7960" s="15" t="str">
        <f aca="false">IF(B7960&lt;5,"Go","Standard")</f>
        <v>Standard</v>
      </c>
    </row>
    <row r="7961" customFormat="false" ht="15" hidden="false" customHeight="true" outlineLevel="0" collapsed="false">
      <c r="A7961" s="10" t="n">
        <f aca="false">Einstellungen!$B$5+INT((ROW()-9)/24)</f>
        <v>46297</v>
      </c>
      <c r="B7961" s="11" t="n">
        <f aca="false">MOD(ROW()-9,24)</f>
        <v>8</v>
      </c>
      <c r="C7961" s="12"/>
      <c r="D7961" s="13" t="n">
        <f aca="false">IF(B7961&lt;5,Einstellungen!$B$3,Einstellungen!$B$4)</f>
        <v>29.13</v>
      </c>
      <c r="E7961" s="14" t="str">
        <f aca="false">IF(C7961="","",C7961*D7961/100)</f>
        <v/>
      </c>
      <c r="F7961" s="15" t="str">
        <f aca="false">IF(B7961&lt;5,"Go","Standard")</f>
        <v>Standard</v>
      </c>
    </row>
    <row r="7962" customFormat="false" ht="15" hidden="false" customHeight="true" outlineLevel="0" collapsed="false">
      <c r="A7962" s="10" t="n">
        <f aca="false">Einstellungen!$B$5+INT((ROW()-9)/24)</f>
        <v>46297</v>
      </c>
      <c r="B7962" s="11" t="n">
        <f aca="false">MOD(ROW()-9,24)</f>
        <v>9</v>
      </c>
      <c r="C7962" s="12"/>
      <c r="D7962" s="13" t="n">
        <f aca="false">IF(B7962&lt;5,Einstellungen!$B$3,Einstellungen!$B$4)</f>
        <v>29.13</v>
      </c>
      <c r="E7962" s="14" t="str">
        <f aca="false">IF(C7962="","",C7962*D7962/100)</f>
        <v/>
      </c>
      <c r="F7962" s="15" t="str">
        <f aca="false">IF(B7962&lt;5,"Go","Standard")</f>
        <v>Standard</v>
      </c>
    </row>
    <row r="7963" customFormat="false" ht="15" hidden="false" customHeight="true" outlineLevel="0" collapsed="false">
      <c r="A7963" s="10" t="n">
        <f aca="false">Einstellungen!$B$5+INT((ROW()-9)/24)</f>
        <v>46297</v>
      </c>
      <c r="B7963" s="11" t="n">
        <f aca="false">MOD(ROW()-9,24)</f>
        <v>10</v>
      </c>
      <c r="C7963" s="12"/>
      <c r="D7963" s="13" t="n">
        <f aca="false">IF(B7963&lt;5,Einstellungen!$B$3,Einstellungen!$B$4)</f>
        <v>29.13</v>
      </c>
      <c r="E7963" s="14" t="str">
        <f aca="false">IF(C7963="","",C7963*D7963/100)</f>
        <v/>
      </c>
      <c r="F7963" s="15" t="str">
        <f aca="false">IF(B7963&lt;5,"Go","Standard")</f>
        <v>Standard</v>
      </c>
    </row>
    <row r="7964" customFormat="false" ht="15" hidden="false" customHeight="true" outlineLevel="0" collapsed="false">
      <c r="A7964" s="10" t="n">
        <f aca="false">Einstellungen!$B$5+INT((ROW()-9)/24)</f>
        <v>46297</v>
      </c>
      <c r="B7964" s="11" t="n">
        <f aca="false">MOD(ROW()-9,24)</f>
        <v>11</v>
      </c>
      <c r="C7964" s="12"/>
      <c r="D7964" s="13" t="n">
        <f aca="false">IF(B7964&lt;5,Einstellungen!$B$3,Einstellungen!$B$4)</f>
        <v>29.13</v>
      </c>
      <c r="E7964" s="14" t="str">
        <f aca="false">IF(C7964="","",C7964*D7964/100)</f>
        <v/>
      </c>
      <c r="F7964" s="15" t="str">
        <f aca="false">IF(B7964&lt;5,"Go","Standard")</f>
        <v>Standard</v>
      </c>
    </row>
    <row r="7965" customFormat="false" ht="15" hidden="false" customHeight="true" outlineLevel="0" collapsed="false">
      <c r="A7965" s="10" t="n">
        <f aca="false">Einstellungen!$B$5+INT((ROW()-9)/24)</f>
        <v>46297</v>
      </c>
      <c r="B7965" s="11" t="n">
        <f aca="false">MOD(ROW()-9,24)</f>
        <v>12</v>
      </c>
      <c r="C7965" s="12"/>
      <c r="D7965" s="13" t="n">
        <f aca="false">IF(B7965&lt;5,Einstellungen!$B$3,Einstellungen!$B$4)</f>
        <v>29.13</v>
      </c>
      <c r="E7965" s="14" t="str">
        <f aca="false">IF(C7965="","",C7965*D7965/100)</f>
        <v/>
      </c>
      <c r="F7965" s="15" t="str">
        <f aca="false">IF(B7965&lt;5,"Go","Standard")</f>
        <v>Standard</v>
      </c>
    </row>
    <row r="7966" customFormat="false" ht="15" hidden="false" customHeight="true" outlineLevel="0" collapsed="false">
      <c r="A7966" s="10" t="n">
        <f aca="false">Einstellungen!$B$5+INT((ROW()-9)/24)</f>
        <v>46297</v>
      </c>
      <c r="B7966" s="11" t="n">
        <f aca="false">MOD(ROW()-9,24)</f>
        <v>13</v>
      </c>
      <c r="C7966" s="12"/>
      <c r="D7966" s="13" t="n">
        <f aca="false">IF(B7966&lt;5,Einstellungen!$B$3,Einstellungen!$B$4)</f>
        <v>29.13</v>
      </c>
      <c r="E7966" s="14" t="str">
        <f aca="false">IF(C7966="","",C7966*D7966/100)</f>
        <v/>
      </c>
      <c r="F7966" s="15" t="str">
        <f aca="false">IF(B7966&lt;5,"Go","Standard")</f>
        <v>Standard</v>
      </c>
    </row>
    <row r="7967" customFormat="false" ht="15" hidden="false" customHeight="true" outlineLevel="0" collapsed="false">
      <c r="A7967" s="10" t="n">
        <f aca="false">Einstellungen!$B$5+INT((ROW()-9)/24)</f>
        <v>46297</v>
      </c>
      <c r="B7967" s="11" t="n">
        <f aca="false">MOD(ROW()-9,24)</f>
        <v>14</v>
      </c>
      <c r="C7967" s="12"/>
      <c r="D7967" s="13" t="n">
        <f aca="false">IF(B7967&lt;5,Einstellungen!$B$3,Einstellungen!$B$4)</f>
        <v>29.13</v>
      </c>
      <c r="E7967" s="14" t="str">
        <f aca="false">IF(C7967="","",C7967*D7967/100)</f>
        <v/>
      </c>
      <c r="F7967" s="15" t="str">
        <f aca="false">IF(B7967&lt;5,"Go","Standard")</f>
        <v>Standard</v>
      </c>
    </row>
    <row r="7968" customFormat="false" ht="15" hidden="false" customHeight="true" outlineLevel="0" collapsed="false">
      <c r="A7968" s="10" t="n">
        <f aca="false">Einstellungen!$B$5+INT((ROW()-9)/24)</f>
        <v>46297</v>
      </c>
      <c r="B7968" s="11" t="n">
        <f aca="false">MOD(ROW()-9,24)</f>
        <v>15</v>
      </c>
      <c r="C7968" s="12"/>
      <c r="D7968" s="13" t="n">
        <f aca="false">IF(B7968&lt;5,Einstellungen!$B$3,Einstellungen!$B$4)</f>
        <v>29.13</v>
      </c>
      <c r="E7968" s="14" t="str">
        <f aca="false">IF(C7968="","",C7968*D7968/100)</f>
        <v/>
      </c>
      <c r="F7968" s="15" t="str">
        <f aca="false">IF(B7968&lt;5,"Go","Standard")</f>
        <v>Standard</v>
      </c>
    </row>
    <row r="7969" customFormat="false" ht="15" hidden="false" customHeight="true" outlineLevel="0" collapsed="false">
      <c r="A7969" s="10" t="n">
        <f aca="false">Einstellungen!$B$5+INT((ROW()-9)/24)</f>
        <v>46297</v>
      </c>
      <c r="B7969" s="11" t="n">
        <f aca="false">MOD(ROW()-9,24)</f>
        <v>16</v>
      </c>
      <c r="C7969" s="12"/>
      <c r="D7969" s="13" t="n">
        <f aca="false">IF(B7969&lt;5,Einstellungen!$B$3,Einstellungen!$B$4)</f>
        <v>29.13</v>
      </c>
      <c r="E7969" s="14" t="str">
        <f aca="false">IF(C7969="","",C7969*D7969/100)</f>
        <v/>
      </c>
      <c r="F7969" s="15" t="str">
        <f aca="false">IF(B7969&lt;5,"Go","Standard")</f>
        <v>Standard</v>
      </c>
    </row>
    <row r="7970" customFormat="false" ht="15" hidden="false" customHeight="true" outlineLevel="0" collapsed="false">
      <c r="A7970" s="10" t="n">
        <f aca="false">Einstellungen!$B$5+INT((ROW()-9)/24)</f>
        <v>46297</v>
      </c>
      <c r="B7970" s="11" t="n">
        <f aca="false">MOD(ROW()-9,24)</f>
        <v>17</v>
      </c>
      <c r="C7970" s="12"/>
      <c r="D7970" s="13" t="n">
        <f aca="false">IF(B7970&lt;5,Einstellungen!$B$3,Einstellungen!$B$4)</f>
        <v>29.13</v>
      </c>
      <c r="E7970" s="14" t="str">
        <f aca="false">IF(C7970="","",C7970*D7970/100)</f>
        <v/>
      </c>
      <c r="F7970" s="15" t="str">
        <f aca="false">IF(B7970&lt;5,"Go","Standard")</f>
        <v>Standard</v>
      </c>
    </row>
    <row r="7971" customFormat="false" ht="15" hidden="false" customHeight="true" outlineLevel="0" collapsed="false">
      <c r="A7971" s="10" t="n">
        <f aca="false">Einstellungen!$B$5+INT((ROW()-9)/24)</f>
        <v>46297</v>
      </c>
      <c r="B7971" s="11" t="n">
        <f aca="false">MOD(ROW()-9,24)</f>
        <v>18</v>
      </c>
      <c r="C7971" s="12"/>
      <c r="D7971" s="13" t="n">
        <f aca="false">IF(B7971&lt;5,Einstellungen!$B$3,Einstellungen!$B$4)</f>
        <v>29.13</v>
      </c>
      <c r="E7971" s="14" t="str">
        <f aca="false">IF(C7971="","",C7971*D7971/100)</f>
        <v/>
      </c>
      <c r="F7971" s="15" t="str">
        <f aca="false">IF(B7971&lt;5,"Go","Standard")</f>
        <v>Standard</v>
      </c>
    </row>
    <row r="7972" customFormat="false" ht="15" hidden="false" customHeight="true" outlineLevel="0" collapsed="false">
      <c r="A7972" s="10" t="n">
        <f aca="false">Einstellungen!$B$5+INT((ROW()-9)/24)</f>
        <v>46297</v>
      </c>
      <c r="B7972" s="11" t="n">
        <f aca="false">MOD(ROW()-9,24)</f>
        <v>19</v>
      </c>
      <c r="C7972" s="12"/>
      <c r="D7972" s="13" t="n">
        <f aca="false">IF(B7972&lt;5,Einstellungen!$B$3,Einstellungen!$B$4)</f>
        <v>29.13</v>
      </c>
      <c r="E7972" s="14" t="str">
        <f aca="false">IF(C7972="","",C7972*D7972/100)</f>
        <v/>
      </c>
      <c r="F7972" s="15" t="str">
        <f aca="false">IF(B7972&lt;5,"Go","Standard")</f>
        <v>Standard</v>
      </c>
    </row>
    <row r="7973" customFormat="false" ht="15" hidden="false" customHeight="true" outlineLevel="0" collapsed="false">
      <c r="A7973" s="10" t="n">
        <f aca="false">Einstellungen!$B$5+INT((ROW()-9)/24)</f>
        <v>46297</v>
      </c>
      <c r="B7973" s="11" t="n">
        <f aca="false">MOD(ROW()-9,24)</f>
        <v>20</v>
      </c>
      <c r="C7973" s="12"/>
      <c r="D7973" s="13" t="n">
        <f aca="false">IF(B7973&lt;5,Einstellungen!$B$3,Einstellungen!$B$4)</f>
        <v>29.13</v>
      </c>
      <c r="E7973" s="14" t="str">
        <f aca="false">IF(C7973="","",C7973*D7973/100)</f>
        <v/>
      </c>
      <c r="F7973" s="15" t="str">
        <f aca="false">IF(B7973&lt;5,"Go","Standard")</f>
        <v>Standard</v>
      </c>
    </row>
    <row r="7974" customFormat="false" ht="15" hidden="false" customHeight="true" outlineLevel="0" collapsed="false">
      <c r="A7974" s="10" t="n">
        <f aca="false">Einstellungen!$B$5+INT((ROW()-9)/24)</f>
        <v>46297</v>
      </c>
      <c r="B7974" s="11" t="n">
        <f aca="false">MOD(ROW()-9,24)</f>
        <v>21</v>
      </c>
      <c r="C7974" s="12"/>
      <c r="D7974" s="13" t="n">
        <f aca="false">IF(B7974&lt;5,Einstellungen!$B$3,Einstellungen!$B$4)</f>
        <v>29.13</v>
      </c>
      <c r="E7974" s="14" t="str">
        <f aca="false">IF(C7974="","",C7974*D7974/100)</f>
        <v/>
      </c>
      <c r="F7974" s="15" t="str">
        <f aca="false">IF(B7974&lt;5,"Go","Standard")</f>
        <v>Standard</v>
      </c>
    </row>
    <row r="7975" customFormat="false" ht="15" hidden="false" customHeight="true" outlineLevel="0" collapsed="false">
      <c r="A7975" s="10" t="n">
        <f aca="false">Einstellungen!$B$5+INT((ROW()-9)/24)</f>
        <v>46297</v>
      </c>
      <c r="B7975" s="11" t="n">
        <f aca="false">MOD(ROW()-9,24)</f>
        <v>22</v>
      </c>
      <c r="C7975" s="12"/>
      <c r="D7975" s="13" t="n">
        <f aca="false">IF(B7975&lt;5,Einstellungen!$B$3,Einstellungen!$B$4)</f>
        <v>29.13</v>
      </c>
      <c r="E7975" s="14" t="str">
        <f aca="false">IF(C7975="","",C7975*D7975/100)</f>
        <v/>
      </c>
      <c r="F7975" s="15" t="str">
        <f aca="false">IF(B7975&lt;5,"Go","Standard")</f>
        <v>Standard</v>
      </c>
    </row>
    <row r="7976" customFormat="false" ht="15" hidden="false" customHeight="true" outlineLevel="0" collapsed="false">
      <c r="A7976" s="10" t="n">
        <f aca="false">Einstellungen!$B$5+INT((ROW()-9)/24)</f>
        <v>46297</v>
      </c>
      <c r="B7976" s="11" t="n">
        <f aca="false">MOD(ROW()-9,24)</f>
        <v>23</v>
      </c>
      <c r="C7976" s="12"/>
      <c r="D7976" s="13" t="n">
        <f aca="false">IF(B7976&lt;5,Einstellungen!$B$3,Einstellungen!$B$4)</f>
        <v>29.13</v>
      </c>
      <c r="E7976" s="14" t="str">
        <f aca="false">IF(C7976="","",C7976*D7976/100)</f>
        <v/>
      </c>
      <c r="F7976" s="15" t="str">
        <f aca="false">IF(B7976&lt;5,"Go","Standard")</f>
        <v>Standard</v>
      </c>
    </row>
    <row r="7977" customFormat="false" ht="15" hidden="false" customHeight="true" outlineLevel="0" collapsed="false">
      <c r="A7977" s="10" t="n">
        <f aca="false">Einstellungen!$B$5+INT((ROW()-9)/24)</f>
        <v>46298</v>
      </c>
      <c r="B7977" s="11" t="n">
        <f aca="false">MOD(ROW()-9,24)</f>
        <v>0</v>
      </c>
      <c r="C7977" s="12"/>
      <c r="D7977" s="13" t="n">
        <f aca="false">IF(B7977&lt;5,Einstellungen!$B$3,Einstellungen!$B$4)</f>
        <v>15.92</v>
      </c>
      <c r="E7977" s="14" t="str">
        <f aca="false">IF(C7977="","",C7977*D7977/100)</f>
        <v/>
      </c>
      <c r="F7977" s="15" t="str">
        <f aca="false">IF(B7977&lt;5,"Go","Standard")</f>
        <v>Go</v>
      </c>
    </row>
    <row r="7978" customFormat="false" ht="15" hidden="false" customHeight="true" outlineLevel="0" collapsed="false">
      <c r="A7978" s="10" t="n">
        <f aca="false">Einstellungen!$B$5+INT((ROW()-9)/24)</f>
        <v>46298</v>
      </c>
      <c r="B7978" s="11" t="n">
        <f aca="false">MOD(ROW()-9,24)</f>
        <v>1</v>
      </c>
      <c r="C7978" s="12"/>
      <c r="D7978" s="13" t="n">
        <f aca="false">IF(B7978&lt;5,Einstellungen!$B$3,Einstellungen!$B$4)</f>
        <v>15.92</v>
      </c>
      <c r="E7978" s="14" t="str">
        <f aca="false">IF(C7978="","",C7978*D7978/100)</f>
        <v/>
      </c>
      <c r="F7978" s="15" t="str">
        <f aca="false">IF(B7978&lt;5,"Go","Standard")</f>
        <v>Go</v>
      </c>
    </row>
    <row r="7979" customFormat="false" ht="15" hidden="false" customHeight="true" outlineLevel="0" collapsed="false">
      <c r="A7979" s="10" t="n">
        <f aca="false">Einstellungen!$B$5+INT((ROW()-9)/24)</f>
        <v>46298</v>
      </c>
      <c r="B7979" s="11" t="n">
        <f aca="false">MOD(ROW()-9,24)</f>
        <v>2</v>
      </c>
      <c r="C7979" s="12"/>
      <c r="D7979" s="13" t="n">
        <f aca="false">IF(B7979&lt;5,Einstellungen!$B$3,Einstellungen!$B$4)</f>
        <v>15.92</v>
      </c>
      <c r="E7979" s="14" t="str">
        <f aca="false">IF(C7979="","",C7979*D7979/100)</f>
        <v/>
      </c>
      <c r="F7979" s="15" t="str">
        <f aca="false">IF(B7979&lt;5,"Go","Standard")</f>
        <v>Go</v>
      </c>
    </row>
    <row r="7980" customFormat="false" ht="15" hidden="false" customHeight="true" outlineLevel="0" collapsed="false">
      <c r="A7980" s="10" t="n">
        <f aca="false">Einstellungen!$B$5+INT((ROW()-9)/24)</f>
        <v>46298</v>
      </c>
      <c r="B7980" s="11" t="n">
        <f aca="false">MOD(ROW()-9,24)</f>
        <v>3</v>
      </c>
      <c r="C7980" s="12"/>
      <c r="D7980" s="13" t="n">
        <f aca="false">IF(B7980&lt;5,Einstellungen!$B$3,Einstellungen!$B$4)</f>
        <v>15.92</v>
      </c>
      <c r="E7980" s="14" t="str">
        <f aca="false">IF(C7980="","",C7980*D7980/100)</f>
        <v/>
      </c>
      <c r="F7980" s="15" t="str">
        <f aca="false">IF(B7980&lt;5,"Go","Standard")</f>
        <v>Go</v>
      </c>
    </row>
    <row r="7981" customFormat="false" ht="15" hidden="false" customHeight="true" outlineLevel="0" collapsed="false">
      <c r="A7981" s="10" t="n">
        <f aca="false">Einstellungen!$B$5+INT((ROW()-9)/24)</f>
        <v>46298</v>
      </c>
      <c r="B7981" s="11" t="n">
        <f aca="false">MOD(ROW()-9,24)</f>
        <v>4</v>
      </c>
      <c r="C7981" s="12"/>
      <c r="D7981" s="13" t="n">
        <f aca="false">IF(B7981&lt;5,Einstellungen!$B$3,Einstellungen!$B$4)</f>
        <v>15.92</v>
      </c>
      <c r="E7981" s="14" t="str">
        <f aca="false">IF(C7981="","",C7981*D7981/100)</f>
        <v/>
      </c>
      <c r="F7981" s="15" t="str">
        <f aca="false">IF(B7981&lt;5,"Go","Standard")</f>
        <v>Go</v>
      </c>
    </row>
    <row r="7982" customFormat="false" ht="15" hidden="false" customHeight="true" outlineLevel="0" collapsed="false">
      <c r="A7982" s="10" t="n">
        <f aca="false">Einstellungen!$B$5+INT((ROW()-9)/24)</f>
        <v>46298</v>
      </c>
      <c r="B7982" s="11" t="n">
        <f aca="false">MOD(ROW()-9,24)</f>
        <v>5</v>
      </c>
      <c r="C7982" s="12"/>
      <c r="D7982" s="13" t="n">
        <f aca="false">IF(B7982&lt;5,Einstellungen!$B$3,Einstellungen!$B$4)</f>
        <v>29.13</v>
      </c>
      <c r="E7982" s="14" t="str">
        <f aca="false">IF(C7982="","",C7982*D7982/100)</f>
        <v/>
      </c>
      <c r="F7982" s="15" t="str">
        <f aca="false">IF(B7982&lt;5,"Go","Standard")</f>
        <v>Standard</v>
      </c>
    </row>
    <row r="7983" customFormat="false" ht="15" hidden="false" customHeight="true" outlineLevel="0" collapsed="false">
      <c r="A7983" s="10" t="n">
        <f aca="false">Einstellungen!$B$5+INT((ROW()-9)/24)</f>
        <v>46298</v>
      </c>
      <c r="B7983" s="11" t="n">
        <f aca="false">MOD(ROW()-9,24)</f>
        <v>6</v>
      </c>
      <c r="C7983" s="12"/>
      <c r="D7983" s="13" t="n">
        <f aca="false">IF(B7983&lt;5,Einstellungen!$B$3,Einstellungen!$B$4)</f>
        <v>29.13</v>
      </c>
      <c r="E7983" s="14" t="str">
        <f aca="false">IF(C7983="","",C7983*D7983/100)</f>
        <v/>
      </c>
      <c r="F7983" s="15" t="str">
        <f aca="false">IF(B7983&lt;5,"Go","Standard")</f>
        <v>Standard</v>
      </c>
    </row>
    <row r="7984" customFormat="false" ht="15" hidden="false" customHeight="true" outlineLevel="0" collapsed="false">
      <c r="A7984" s="10" t="n">
        <f aca="false">Einstellungen!$B$5+INT((ROW()-9)/24)</f>
        <v>46298</v>
      </c>
      <c r="B7984" s="11" t="n">
        <f aca="false">MOD(ROW()-9,24)</f>
        <v>7</v>
      </c>
      <c r="C7984" s="12"/>
      <c r="D7984" s="13" t="n">
        <f aca="false">IF(B7984&lt;5,Einstellungen!$B$3,Einstellungen!$B$4)</f>
        <v>29.13</v>
      </c>
      <c r="E7984" s="14" t="str">
        <f aca="false">IF(C7984="","",C7984*D7984/100)</f>
        <v/>
      </c>
      <c r="F7984" s="15" t="str">
        <f aca="false">IF(B7984&lt;5,"Go","Standard")</f>
        <v>Standard</v>
      </c>
    </row>
    <row r="7985" customFormat="false" ht="15" hidden="false" customHeight="true" outlineLevel="0" collapsed="false">
      <c r="A7985" s="10" t="n">
        <f aca="false">Einstellungen!$B$5+INT((ROW()-9)/24)</f>
        <v>46298</v>
      </c>
      <c r="B7985" s="11" t="n">
        <f aca="false">MOD(ROW()-9,24)</f>
        <v>8</v>
      </c>
      <c r="C7985" s="12"/>
      <c r="D7985" s="13" t="n">
        <f aca="false">IF(B7985&lt;5,Einstellungen!$B$3,Einstellungen!$B$4)</f>
        <v>29.13</v>
      </c>
      <c r="E7985" s="14" t="str">
        <f aca="false">IF(C7985="","",C7985*D7985/100)</f>
        <v/>
      </c>
      <c r="F7985" s="15" t="str">
        <f aca="false">IF(B7985&lt;5,"Go","Standard")</f>
        <v>Standard</v>
      </c>
    </row>
    <row r="7986" customFormat="false" ht="15" hidden="false" customHeight="true" outlineLevel="0" collapsed="false">
      <c r="A7986" s="10" t="n">
        <f aca="false">Einstellungen!$B$5+INT((ROW()-9)/24)</f>
        <v>46298</v>
      </c>
      <c r="B7986" s="11" t="n">
        <f aca="false">MOD(ROW()-9,24)</f>
        <v>9</v>
      </c>
      <c r="C7986" s="12"/>
      <c r="D7986" s="13" t="n">
        <f aca="false">IF(B7986&lt;5,Einstellungen!$B$3,Einstellungen!$B$4)</f>
        <v>29.13</v>
      </c>
      <c r="E7986" s="14" t="str">
        <f aca="false">IF(C7986="","",C7986*D7986/100)</f>
        <v/>
      </c>
      <c r="F7986" s="15" t="str">
        <f aca="false">IF(B7986&lt;5,"Go","Standard")</f>
        <v>Standard</v>
      </c>
    </row>
    <row r="7987" customFormat="false" ht="15" hidden="false" customHeight="true" outlineLevel="0" collapsed="false">
      <c r="A7987" s="10" t="n">
        <f aca="false">Einstellungen!$B$5+INT((ROW()-9)/24)</f>
        <v>46298</v>
      </c>
      <c r="B7987" s="11" t="n">
        <f aca="false">MOD(ROW()-9,24)</f>
        <v>10</v>
      </c>
      <c r="C7987" s="12"/>
      <c r="D7987" s="13" t="n">
        <f aca="false">IF(B7987&lt;5,Einstellungen!$B$3,Einstellungen!$B$4)</f>
        <v>29.13</v>
      </c>
      <c r="E7987" s="14" t="str">
        <f aca="false">IF(C7987="","",C7987*D7987/100)</f>
        <v/>
      </c>
      <c r="F7987" s="15" t="str">
        <f aca="false">IF(B7987&lt;5,"Go","Standard")</f>
        <v>Standard</v>
      </c>
    </row>
    <row r="7988" customFormat="false" ht="15" hidden="false" customHeight="true" outlineLevel="0" collapsed="false">
      <c r="A7988" s="10" t="n">
        <f aca="false">Einstellungen!$B$5+INT((ROW()-9)/24)</f>
        <v>46298</v>
      </c>
      <c r="B7988" s="11" t="n">
        <f aca="false">MOD(ROW()-9,24)</f>
        <v>11</v>
      </c>
      <c r="C7988" s="12"/>
      <c r="D7988" s="13" t="n">
        <f aca="false">IF(B7988&lt;5,Einstellungen!$B$3,Einstellungen!$B$4)</f>
        <v>29.13</v>
      </c>
      <c r="E7988" s="14" t="str">
        <f aca="false">IF(C7988="","",C7988*D7988/100)</f>
        <v/>
      </c>
      <c r="F7988" s="15" t="str">
        <f aca="false">IF(B7988&lt;5,"Go","Standard")</f>
        <v>Standard</v>
      </c>
    </row>
    <row r="7989" customFormat="false" ht="15" hidden="false" customHeight="true" outlineLevel="0" collapsed="false">
      <c r="A7989" s="10" t="n">
        <f aca="false">Einstellungen!$B$5+INT((ROW()-9)/24)</f>
        <v>46298</v>
      </c>
      <c r="B7989" s="11" t="n">
        <f aca="false">MOD(ROW()-9,24)</f>
        <v>12</v>
      </c>
      <c r="C7989" s="12"/>
      <c r="D7989" s="13" t="n">
        <f aca="false">IF(B7989&lt;5,Einstellungen!$B$3,Einstellungen!$B$4)</f>
        <v>29.13</v>
      </c>
      <c r="E7989" s="14" t="str">
        <f aca="false">IF(C7989="","",C7989*D7989/100)</f>
        <v/>
      </c>
      <c r="F7989" s="15" t="str">
        <f aca="false">IF(B7989&lt;5,"Go","Standard")</f>
        <v>Standard</v>
      </c>
    </row>
    <row r="7990" customFormat="false" ht="15" hidden="false" customHeight="true" outlineLevel="0" collapsed="false">
      <c r="A7990" s="10" t="n">
        <f aca="false">Einstellungen!$B$5+INT((ROW()-9)/24)</f>
        <v>46298</v>
      </c>
      <c r="B7990" s="11" t="n">
        <f aca="false">MOD(ROW()-9,24)</f>
        <v>13</v>
      </c>
      <c r="C7990" s="12"/>
      <c r="D7990" s="13" t="n">
        <f aca="false">IF(B7990&lt;5,Einstellungen!$B$3,Einstellungen!$B$4)</f>
        <v>29.13</v>
      </c>
      <c r="E7990" s="14" t="str">
        <f aca="false">IF(C7990="","",C7990*D7990/100)</f>
        <v/>
      </c>
      <c r="F7990" s="15" t="str">
        <f aca="false">IF(B7990&lt;5,"Go","Standard")</f>
        <v>Standard</v>
      </c>
    </row>
    <row r="7991" customFormat="false" ht="15" hidden="false" customHeight="true" outlineLevel="0" collapsed="false">
      <c r="A7991" s="10" t="n">
        <f aca="false">Einstellungen!$B$5+INT((ROW()-9)/24)</f>
        <v>46298</v>
      </c>
      <c r="B7991" s="11" t="n">
        <f aca="false">MOD(ROW()-9,24)</f>
        <v>14</v>
      </c>
      <c r="C7991" s="12"/>
      <c r="D7991" s="13" t="n">
        <f aca="false">IF(B7991&lt;5,Einstellungen!$B$3,Einstellungen!$B$4)</f>
        <v>29.13</v>
      </c>
      <c r="E7991" s="14" t="str">
        <f aca="false">IF(C7991="","",C7991*D7991/100)</f>
        <v/>
      </c>
      <c r="F7991" s="15" t="str">
        <f aca="false">IF(B7991&lt;5,"Go","Standard")</f>
        <v>Standard</v>
      </c>
    </row>
    <row r="7992" customFormat="false" ht="15" hidden="false" customHeight="true" outlineLevel="0" collapsed="false">
      <c r="A7992" s="10" t="n">
        <f aca="false">Einstellungen!$B$5+INT((ROW()-9)/24)</f>
        <v>46298</v>
      </c>
      <c r="B7992" s="11" t="n">
        <f aca="false">MOD(ROW()-9,24)</f>
        <v>15</v>
      </c>
      <c r="C7992" s="12"/>
      <c r="D7992" s="13" t="n">
        <f aca="false">IF(B7992&lt;5,Einstellungen!$B$3,Einstellungen!$B$4)</f>
        <v>29.13</v>
      </c>
      <c r="E7992" s="14" t="str">
        <f aca="false">IF(C7992="","",C7992*D7992/100)</f>
        <v/>
      </c>
      <c r="F7992" s="15" t="str">
        <f aca="false">IF(B7992&lt;5,"Go","Standard")</f>
        <v>Standard</v>
      </c>
    </row>
    <row r="7993" customFormat="false" ht="15" hidden="false" customHeight="true" outlineLevel="0" collapsed="false">
      <c r="A7993" s="10" t="n">
        <f aca="false">Einstellungen!$B$5+INT((ROW()-9)/24)</f>
        <v>46298</v>
      </c>
      <c r="B7993" s="11" t="n">
        <f aca="false">MOD(ROW()-9,24)</f>
        <v>16</v>
      </c>
      <c r="C7993" s="12"/>
      <c r="D7993" s="13" t="n">
        <f aca="false">IF(B7993&lt;5,Einstellungen!$B$3,Einstellungen!$B$4)</f>
        <v>29.13</v>
      </c>
      <c r="E7993" s="14" t="str">
        <f aca="false">IF(C7993="","",C7993*D7993/100)</f>
        <v/>
      </c>
      <c r="F7993" s="15" t="str">
        <f aca="false">IF(B7993&lt;5,"Go","Standard")</f>
        <v>Standard</v>
      </c>
    </row>
    <row r="7994" customFormat="false" ht="15" hidden="false" customHeight="true" outlineLevel="0" collapsed="false">
      <c r="A7994" s="10" t="n">
        <f aca="false">Einstellungen!$B$5+INT((ROW()-9)/24)</f>
        <v>46298</v>
      </c>
      <c r="B7994" s="11" t="n">
        <f aca="false">MOD(ROW()-9,24)</f>
        <v>17</v>
      </c>
      <c r="C7994" s="12"/>
      <c r="D7994" s="13" t="n">
        <f aca="false">IF(B7994&lt;5,Einstellungen!$B$3,Einstellungen!$B$4)</f>
        <v>29.13</v>
      </c>
      <c r="E7994" s="14" t="str">
        <f aca="false">IF(C7994="","",C7994*D7994/100)</f>
        <v/>
      </c>
      <c r="F7994" s="15" t="str">
        <f aca="false">IF(B7994&lt;5,"Go","Standard")</f>
        <v>Standard</v>
      </c>
    </row>
    <row r="7995" customFormat="false" ht="15" hidden="false" customHeight="true" outlineLevel="0" collapsed="false">
      <c r="A7995" s="10" t="n">
        <f aca="false">Einstellungen!$B$5+INT((ROW()-9)/24)</f>
        <v>46298</v>
      </c>
      <c r="B7995" s="11" t="n">
        <f aca="false">MOD(ROW()-9,24)</f>
        <v>18</v>
      </c>
      <c r="C7995" s="12"/>
      <c r="D7995" s="13" t="n">
        <f aca="false">IF(B7995&lt;5,Einstellungen!$B$3,Einstellungen!$B$4)</f>
        <v>29.13</v>
      </c>
      <c r="E7995" s="14" t="str">
        <f aca="false">IF(C7995="","",C7995*D7995/100)</f>
        <v/>
      </c>
      <c r="F7995" s="15" t="str">
        <f aca="false">IF(B7995&lt;5,"Go","Standard")</f>
        <v>Standard</v>
      </c>
    </row>
    <row r="7996" customFormat="false" ht="15" hidden="false" customHeight="true" outlineLevel="0" collapsed="false">
      <c r="A7996" s="10" t="n">
        <f aca="false">Einstellungen!$B$5+INT((ROW()-9)/24)</f>
        <v>46298</v>
      </c>
      <c r="B7996" s="11" t="n">
        <f aca="false">MOD(ROW()-9,24)</f>
        <v>19</v>
      </c>
      <c r="C7996" s="12"/>
      <c r="D7996" s="13" t="n">
        <f aca="false">IF(B7996&lt;5,Einstellungen!$B$3,Einstellungen!$B$4)</f>
        <v>29.13</v>
      </c>
      <c r="E7996" s="14" t="str">
        <f aca="false">IF(C7996="","",C7996*D7996/100)</f>
        <v/>
      </c>
      <c r="F7996" s="15" t="str">
        <f aca="false">IF(B7996&lt;5,"Go","Standard")</f>
        <v>Standard</v>
      </c>
    </row>
    <row r="7997" customFormat="false" ht="15" hidden="false" customHeight="true" outlineLevel="0" collapsed="false">
      <c r="A7997" s="10" t="n">
        <f aca="false">Einstellungen!$B$5+INT((ROW()-9)/24)</f>
        <v>46298</v>
      </c>
      <c r="B7997" s="11" t="n">
        <f aca="false">MOD(ROW()-9,24)</f>
        <v>20</v>
      </c>
      <c r="C7997" s="12"/>
      <c r="D7997" s="13" t="n">
        <f aca="false">IF(B7997&lt;5,Einstellungen!$B$3,Einstellungen!$B$4)</f>
        <v>29.13</v>
      </c>
      <c r="E7997" s="14" t="str">
        <f aca="false">IF(C7997="","",C7997*D7997/100)</f>
        <v/>
      </c>
      <c r="F7997" s="15" t="str">
        <f aca="false">IF(B7997&lt;5,"Go","Standard")</f>
        <v>Standard</v>
      </c>
    </row>
    <row r="7998" customFormat="false" ht="15" hidden="false" customHeight="true" outlineLevel="0" collapsed="false">
      <c r="A7998" s="10" t="n">
        <f aca="false">Einstellungen!$B$5+INT((ROW()-9)/24)</f>
        <v>46298</v>
      </c>
      <c r="B7998" s="11" t="n">
        <f aca="false">MOD(ROW()-9,24)</f>
        <v>21</v>
      </c>
      <c r="C7998" s="12"/>
      <c r="D7998" s="13" t="n">
        <f aca="false">IF(B7998&lt;5,Einstellungen!$B$3,Einstellungen!$B$4)</f>
        <v>29.13</v>
      </c>
      <c r="E7998" s="14" t="str">
        <f aca="false">IF(C7998="","",C7998*D7998/100)</f>
        <v/>
      </c>
      <c r="F7998" s="15" t="str">
        <f aca="false">IF(B7998&lt;5,"Go","Standard")</f>
        <v>Standard</v>
      </c>
    </row>
    <row r="7999" customFormat="false" ht="15" hidden="false" customHeight="true" outlineLevel="0" collapsed="false">
      <c r="A7999" s="10" t="n">
        <f aca="false">Einstellungen!$B$5+INT((ROW()-9)/24)</f>
        <v>46298</v>
      </c>
      <c r="B7999" s="11" t="n">
        <f aca="false">MOD(ROW()-9,24)</f>
        <v>22</v>
      </c>
      <c r="C7999" s="12"/>
      <c r="D7999" s="13" t="n">
        <f aca="false">IF(B7999&lt;5,Einstellungen!$B$3,Einstellungen!$B$4)</f>
        <v>29.13</v>
      </c>
      <c r="E7999" s="14" t="str">
        <f aca="false">IF(C7999="","",C7999*D7999/100)</f>
        <v/>
      </c>
      <c r="F7999" s="15" t="str">
        <f aca="false">IF(B7999&lt;5,"Go","Standard")</f>
        <v>Standard</v>
      </c>
    </row>
    <row r="8000" customFormat="false" ht="15" hidden="false" customHeight="true" outlineLevel="0" collapsed="false">
      <c r="A8000" s="10" t="n">
        <f aca="false">Einstellungen!$B$5+INT((ROW()-9)/24)</f>
        <v>46298</v>
      </c>
      <c r="B8000" s="11" t="n">
        <f aca="false">MOD(ROW()-9,24)</f>
        <v>23</v>
      </c>
      <c r="C8000" s="12"/>
      <c r="D8000" s="13" t="n">
        <f aca="false">IF(B8000&lt;5,Einstellungen!$B$3,Einstellungen!$B$4)</f>
        <v>29.13</v>
      </c>
      <c r="E8000" s="14" t="str">
        <f aca="false">IF(C8000="","",C8000*D8000/100)</f>
        <v/>
      </c>
      <c r="F8000" s="15" t="str">
        <f aca="false">IF(B8000&lt;5,"Go","Standard")</f>
        <v>Standard</v>
      </c>
    </row>
    <row r="8001" customFormat="false" ht="15" hidden="false" customHeight="true" outlineLevel="0" collapsed="false">
      <c r="A8001" s="10" t="n">
        <f aca="false">Einstellungen!$B$5+INT((ROW()-9)/24)</f>
        <v>46299</v>
      </c>
      <c r="B8001" s="11" t="n">
        <f aca="false">MOD(ROW()-9,24)</f>
        <v>0</v>
      </c>
      <c r="C8001" s="12"/>
      <c r="D8001" s="13" t="n">
        <f aca="false">IF(B8001&lt;5,Einstellungen!$B$3,Einstellungen!$B$4)</f>
        <v>15.92</v>
      </c>
      <c r="E8001" s="14" t="str">
        <f aca="false">IF(C8001="","",C8001*D8001/100)</f>
        <v/>
      </c>
      <c r="F8001" s="15" t="str">
        <f aca="false">IF(B8001&lt;5,"Go","Standard")</f>
        <v>Go</v>
      </c>
    </row>
    <row r="8002" customFormat="false" ht="15" hidden="false" customHeight="true" outlineLevel="0" collapsed="false">
      <c r="A8002" s="10" t="n">
        <f aca="false">Einstellungen!$B$5+INT((ROW()-9)/24)</f>
        <v>46299</v>
      </c>
      <c r="B8002" s="11" t="n">
        <f aca="false">MOD(ROW()-9,24)</f>
        <v>1</v>
      </c>
      <c r="C8002" s="12"/>
      <c r="D8002" s="13" t="n">
        <f aca="false">IF(B8002&lt;5,Einstellungen!$B$3,Einstellungen!$B$4)</f>
        <v>15.92</v>
      </c>
      <c r="E8002" s="14" t="str">
        <f aca="false">IF(C8002="","",C8002*D8002/100)</f>
        <v/>
      </c>
      <c r="F8002" s="15" t="str">
        <f aca="false">IF(B8002&lt;5,"Go","Standard")</f>
        <v>Go</v>
      </c>
    </row>
    <row r="8003" customFormat="false" ht="15" hidden="false" customHeight="true" outlineLevel="0" collapsed="false">
      <c r="A8003" s="10" t="n">
        <f aca="false">Einstellungen!$B$5+INT((ROW()-9)/24)</f>
        <v>46299</v>
      </c>
      <c r="B8003" s="11" t="n">
        <f aca="false">MOD(ROW()-9,24)</f>
        <v>2</v>
      </c>
      <c r="C8003" s="12"/>
      <c r="D8003" s="13" t="n">
        <f aca="false">IF(B8003&lt;5,Einstellungen!$B$3,Einstellungen!$B$4)</f>
        <v>15.92</v>
      </c>
      <c r="E8003" s="14" t="str">
        <f aca="false">IF(C8003="","",C8003*D8003/100)</f>
        <v/>
      </c>
      <c r="F8003" s="15" t="str">
        <f aca="false">IF(B8003&lt;5,"Go","Standard")</f>
        <v>Go</v>
      </c>
    </row>
    <row r="8004" customFormat="false" ht="15" hidden="false" customHeight="true" outlineLevel="0" collapsed="false">
      <c r="A8004" s="10" t="n">
        <f aca="false">Einstellungen!$B$5+INT((ROW()-9)/24)</f>
        <v>46299</v>
      </c>
      <c r="B8004" s="11" t="n">
        <f aca="false">MOD(ROW()-9,24)</f>
        <v>3</v>
      </c>
      <c r="C8004" s="12"/>
      <c r="D8004" s="13" t="n">
        <f aca="false">IF(B8004&lt;5,Einstellungen!$B$3,Einstellungen!$B$4)</f>
        <v>15.92</v>
      </c>
      <c r="E8004" s="14" t="str">
        <f aca="false">IF(C8004="","",C8004*D8004/100)</f>
        <v/>
      </c>
      <c r="F8004" s="15" t="str">
        <f aca="false">IF(B8004&lt;5,"Go","Standard")</f>
        <v>Go</v>
      </c>
    </row>
    <row r="8005" customFormat="false" ht="15" hidden="false" customHeight="true" outlineLevel="0" collapsed="false">
      <c r="A8005" s="10" t="n">
        <f aca="false">Einstellungen!$B$5+INT((ROW()-9)/24)</f>
        <v>46299</v>
      </c>
      <c r="B8005" s="11" t="n">
        <f aca="false">MOD(ROW()-9,24)</f>
        <v>4</v>
      </c>
      <c r="C8005" s="12"/>
      <c r="D8005" s="13" t="n">
        <f aca="false">IF(B8005&lt;5,Einstellungen!$B$3,Einstellungen!$B$4)</f>
        <v>15.92</v>
      </c>
      <c r="E8005" s="14" t="str">
        <f aca="false">IF(C8005="","",C8005*D8005/100)</f>
        <v/>
      </c>
      <c r="F8005" s="15" t="str">
        <f aca="false">IF(B8005&lt;5,"Go","Standard")</f>
        <v>Go</v>
      </c>
    </row>
    <row r="8006" customFormat="false" ht="15" hidden="false" customHeight="true" outlineLevel="0" collapsed="false">
      <c r="A8006" s="10" t="n">
        <f aca="false">Einstellungen!$B$5+INT((ROW()-9)/24)</f>
        <v>46299</v>
      </c>
      <c r="B8006" s="11" t="n">
        <f aca="false">MOD(ROW()-9,24)</f>
        <v>5</v>
      </c>
      <c r="C8006" s="12"/>
      <c r="D8006" s="13" t="n">
        <f aca="false">IF(B8006&lt;5,Einstellungen!$B$3,Einstellungen!$B$4)</f>
        <v>29.13</v>
      </c>
      <c r="E8006" s="14" t="str">
        <f aca="false">IF(C8006="","",C8006*D8006/100)</f>
        <v/>
      </c>
      <c r="F8006" s="15" t="str">
        <f aca="false">IF(B8006&lt;5,"Go","Standard")</f>
        <v>Standard</v>
      </c>
    </row>
    <row r="8007" customFormat="false" ht="15" hidden="false" customHeight="true" outlineLevel="0" collapsed="false">
      <c r="A8007" s="10" t="n">
        <f aca="false">Einstellungen!$B$5+INT((ROW()-9)/24)</f>
        <v>46299</v>
      </c>
      <c r="B8007" s="11" t="n">
        <f aca="false">MOD(ROW()-9,24)</f>
        <v>6</v>
      </c>
      <c r="C8007" s="12"/>
      <c r="D8007" s="13" t="n">
        <f aca="false">IF(B8007&lt;5,Einstellungen!$B$3,Einstellungen!$B$4)</f>
        <v>29.13</v>
      </c>
      <c r="E8007" s="14" t="str">
        <f aca="false">IF(C8007="","",C8007*D8007/100)</f>
        <v/>
      </c>
      <c r="F8007" s="15" t="str">
        <f aca="false">IF(B8007&lt;5,"Go","Standard")</f>
        <v>Standard</v>
      </c>
    </row>
    <row r="8008" customFormat="false" ht="15" hidden="false" customHeight="true" outlineLevel="0" collapsed="false">
      <c r="A8008" s="10" t="n">
        <f aca="false">Einstellungen!$B$5+INT((ROW()-9)/24)</f>
        <v>46299</v>
      </c>
      <c r="B8008" s="11" t="n">
        <f aca="false">MOD(ROW()-9,24)</f>
        <v>7</v>
      </c>
      <c r="C8008" s="12"/>
      <c r="D8008" s="13" t="n">
        <f aca="false">IF(B8008&lt;5,Einstellungen!$B$3,Einstellungen!$B$4)</f>
        <v>29.13</v>
      </c>
      <c r="E8008" s="14" t="str">
        <f aca="false">IF(C8008="","",C8008*D8008/100)</f>
        <v/>
      </c>
      <c r="F8008" s="15" t="str">
        <f aca="false">IF(B8008&lt;5,"Go","Standard")</f>
        <v>Standard</v>
      </c>
    </row>
    <row r="8009" customFormat="false" ht="15" hidden="false" customHeight="true" outlineLevel="0" collapsed="false">
      <c r="A8009" s="10" t="n">
        <f aca="false">Einstellungen!$B$5+INT((ROW()-9)/24)</f>
        <v>46299</v>
      </c>
      <c r="B8009" s="11" t="n">
        <f aca="false">MOD(ROW()-9,24)</f>
        <v>8</v>
      </c>
      <c r="C8009" s="12"/>
      <c r="D8009" s="13" t="n">
        <f aca="false">IF(B8009&lt;5,Einstellungen!$B$3,Einstellungen!$B$4)</f>
        <v>29.13</v>
      </c>
      <c r="E8009" s="14" t="str">
        <f aca="false">IF(C8009="","",C8009*D8009/100)</f>
        <v/>
      </c>
      <c r="F8009" s="15" t="str">
        <f aca="false">IF(B8009&lt;5,"Go","Standard")</f>
        <v>Standard</v>
      </c>
    </row>
    <row r="8010" customFormat="false" ht="15" hidden="false" customHeight="true" outlineLevel="0" collapsed="false">
      <c r="A8010" s="10" t="n">
        <f aca="false">Einstellungen!$B$5+INT((ROW()-9)/24)</f>
        <v>46299</v>
      </c>
      <c r="B8010" s="11" t="n">
        <f aca="false">MOD(ROW()-9,24)</f>
        <v>9</v>
      </c>
      <c r="C8010" s="12"/>
      <c r="D8010" s="13" t="n">
        <f aca="false">IF(B8010&lt;5,Einstellungen!$B$3,Einstellungen!$B$4)</f>
        <v>29.13</v>
      </c>
      <c r="E8010" s="14" t="str">
        <f aca="false">IF(C8010="","",C8010*D8010/100)</f>
        <v/>
      </c>
      <c r="F8010" s="15" t="str">
        <f aca="false">IF(B8010&lt;5,"Go","Standard")</f>
        <v>Standard</v>
      </c>
    </row>
    <row r="8011" customFormat="false" ht="15" hidden="false" customHeight="true" outlineLevel="0" collapsed="false">
      <c r="A8011" s="10" t="n">
        <f aca="false">Einstellungen!$B$5+INT((ROW()-9)/24)</f>
        <v>46299</v>
      </c>
      <c r="B8011" s="11" t="n">
        <f aca="false">MOD(ROW()-9,24)</f>
        <v>10</v>
      </c>
      <c r="C8011" s="12"/>
      <c r="D8011" s="13" t="n">
        <f aca="false">IF(B8011&lt;5,Einstellungen!$B$3,Einstellungen!$B$4)</f>
        <v>29.13</v>
      </c>
      <c r="E8011" s="14" t="str">
        <f aca="false">IF(C8011="","",C8011*D8011/100)</f>
        <v/>
      </c>
      <c r="F8011" s="15" t="str">
        <f aca="false">IF(B8011&lt;5,"Go","Standard")</f>
        <v>Standard</v>
      </c>
    </row>
    <row r="8012" customFormat="false" ht="15" hidden="false" customHeight="true" outlineLevel="0" collapsed="false">
      <c r="A8012" s="10" t="n">
        <f aca="false">Einstellungen!$B$5+INT((ROW()-9)/24)</f>
        <v>46299</v>
      </c>
      <c r="B8012" s="11" t="n">
        <f aca="false">MOD(ROW()-9,24)</f>
        <v>11</v>
      </c>
      <c r="C8012" s="12"/>
      <c r="D8012" s="13" t="n">
        <f aca="false">IF(B8012&lt;5,Einstellungen!$B$3,Einstellungen!$B$4)</f>
        <v>29.13</v>
      </c>
      <c r="E8012" s="14" t="str">
        <f aca="false">IF(C8012="","",C8012*D8012/100)</f>
        <v/>
      </c>
      <c r="F8012" s="15" t="str">
        <f aca="false">IF(B8012&lt;5,"Go","Standard")</f>
        <v>Standard</v>
      </c>
    </row>
    <row r="8013" customFormat="false" ht="15" hidden="false" customHeight="true" outlineLevel="0" collapsed="false">
      <c r="A8013" s="10" t="n">
        <f aca="false">Einstellungen!$B$5+INT((ROW()-9)/24)</f>
        <v>46299</v>
      </c>
      <c r="B8013" s="11" t="n">
        <f aca="false">MOD(ROW()-9,24)</f>
        <v>12</v>
      </c>
      <c r="C8013" s="12"/>
      <c r="D8013" s="13" t="n">
        <f aca="false">IF(B8013&lt;5,Einstellungen!$B$3,Einstellungen!$B$4)</f>
        <v>29.13</v>
      </c>
      <c r="E8013" s="14" t="str">
        <f aca="false">IF(C8013="","",C8013*D8013/100)</f>
        <v/>
      </c>
      <c r="F8013" s="15" t="str">
        <f aca="false">IF(B8013&lt;5,"Go","Standard")</f>
        <v>Standard</v>
      </c>
    </row>
    <row r="8014" customFormat="false" ht="15" hidden="false" customHeight="true" outlineLevel="0" collapsed="false">
      <c r="A8014" s="10" t="n">
        <f aca="false">Einstellungen!$B$5+INT((ROW()-9)/24)</f>
        <v>46299</v>
      </c>
      <c r="B8014" s="11" t="n">
        <f aca="false">MOD(ROW()-9,24)</f>
        <v>13</v>
      </c>
      <c r="C8014" s="12"/>
      <c r="D8014" s="13" t="n">
        <f aca="false">IF(B8014&lt;5,Einstellungen!$B$3,Einstellungen!$B$4)</f>
        <v>29.13</v>
      </c>
      <c r="E8014" s="14" t="str">
        <f aca="false">IF(C8014="","",C8014*D8014/100)</f>
        <v/>
      </c>
      <c r="F8014" s="15" t="str">
        <f aca="false">IF(B8014&lt;5,"Go","Standard")</f>
        <v>Standard</v>
      </c>
    </row>
    <row r="8015" customFormat="false" ht="15" hidden="false" customHeight="true" outlineLevel="0" collapsed="false">
      <c r="A8015" s="10" t="n">
        <f aca="false">Einstellungen!$B$5+INT((ROW()-9)/24)</f>
        <v>46299</v>
      </c>
      <c r="B8015" s="11" t="n">
        <f aca="false">MOD(ROW()-9,24)</f>
        <v>14</v>
      </c>
      <c r="C8015" s="12"/>
      <c r="D8015" s="13" t="n">
        <f aca="false">IF(B8015&lt;5,Einstellungen!$B$3,Einstellungen!$B$4)</f>
        <v>29.13</v>
      </c>
      <c r="E8015" s="14" t="str">
        <f aca="false">IF(C8015="","",C8015*D8015/100)</f>
        <v/>
      </c>
      <c r="F8015" s="15" t="str">
        <f aca="false">IF(B8015&lt;5,"Go","Standard")</f>
        <v>Standard</v>
      </c>
    </row>
    <row r="8016" customFormat="false" ht="15" hidden="false" customHeight="true" outlineLevel="0" collapsed="false">
      <c r="A8016" s="10" t="n">
        <f aca="false">Einstellungen!$B$5+INT((ROW()-9)/24)</f>
        <v>46299</v>
      </c>
      <c r="B8016" s="11" t="n">
        <f aca="false">MOD(ROW()-9,24)</f>
        <v>15</v>
      </c>
      <c r="C8016" s="12"/>
      <c r="D8016" s="13" t="n">
        <f aca="false">IF(B8016&lt;5,Einstellungen!$B$3,Einstellungen!$B$4)</f>
        <v>29.13</v>
      </c>
      <c r="E8016" s="14" t="str">
        <f aca="false">IF(C8016="","",C8016*D8016/100)</f>
        <v/>
      </c>
      <c r="F8016" s="15" t="str">
        <f aca="false">IF(B8016&lt;5,"Go","Standard")</f>
        <v>Standard</v>
      </c>
    </row>
    <row r="8017" customFormat="false" ht="15" hidden="false" customHeight="true" outlineLevel="0" collapsed="false">
      <c r="A8017" s="10" t="n">
        <f aca="false">Einstellungen!$B$5+INT((ROW()-9)/24)</f>
        <v>46299</v>
      </c>
      <c r="B8017" s="11" t="n">
        <f aca="false">MOD(ROW()-9,24)</f>
        <v>16</v>
      </c>
      <c r="C8017" s="12"/>
      <c r="D8017" s="13" t="n">
        <f aca="false">IF(B8017&lt;5,Einstellungen!$B$3,Einstellungen!$B$4)</f>
        <v>29.13</v>
      </c>
      <c r="E8017" s="14" t="str">
        <f aca="false">IF(C8017="","",C8017*D8017/100)</f>
        <v/>
      </c>
      <c r="F8017" s="15" t="str">
        <f aca="false">IF(B8017&lt;5,"Go","Standard")</f>
        <v>Standard</v>
      </c>
    </row>
    <row r="8018" customFormat="false" ht="15" hidden="false" customHeight="true" outlineLevel="0" collapsed="false">
      <c r="A8018" s="10" t="n">
        <f aca="false">Einstellungen!$B$5+INT((ROW()-9)/24)</f>
        <v>46299</v>
      </c>
      <c r="B8018" s="11" t="n">
        <f aca="false">MOD(ROW()-9,24)</f>
        <v>17</v>
      </c>
      <c r="C8018" s="12"/>
      <c r="D8018" s="13" t="n">
        <f aca="false">IF(B8018&lt;5,Einstellungen!$B$3,Einstellungen!$B$4)</f>
        <v>29.13</v>
      </c>
      <c r="E8018" s="14" t="str">
        <f aca="false">IF(C8018="","",C8018*D8018/100)</f>
        <v/>
      </c>
      <c r="F8018" s="15" t="str">
        <f aca="false">IF(B8018&lt;5,"Go","Standard")</f>
        <v>Standard</v>
      </c>
    </row>
    <row r="8019" customFormat="false" ht="15" hidden="false" customHeight="true" outlineLevel="0" collapsed="false">
      <c r="A8019" s="10" t="n">
        <f aca="false">Einstellungen!$B$5+INT((ROW()-9)/24)</f>
        <v>46299</v>
      </c>
      <c r="B8019" s="11" t="n">
        <f aca="false">MOD(ROW()-9,24)</f>
        <v>18</v>
      </c>
      <c r="C8019" s="12"/>
      <c r="D8019" s="13" t="n">
        <f aca="false">IF(B8019&lt;5,Einstellungen!$B$3,Einstellungen!$B$4)</f>
        <v>29.13</v>
      </c>
      <c r="E8019" s="14" t="str">
        <f aca="false">IF(C8019="","",C8019*D8019/100)</f>
        <v/>
      </c>
      <c r="F8019" s="15" t="str">
        <f aca="false">IF(B8019&lt;5,"Go","Standard")</f>
        <v>Standard</v>
      </c>
    </row>
    <row r="8020" customFormat="false" ht="15" hidden="false" customHeight="true" outlineLevel="0" collapsed="false">
      <c r="A8020" s="10" t="n">
        <f aca="false">Einstellungen!$B$5+INT((ROW()-9)/24)</f>
        <v>46299</v>
      </c>
      <c r="B8020" s="11" t="n">
        <f aca="false">MOD(ROW()-9,24)</f>
        <v>19</v>
      </c>
      <c r="C8020" s="12"/>
      <c r="D8020" s="13" t="n">
        <f aca="false">IF(B8020&lt;5,Einstellungen!$B$3,Einstellungen!$B$4)</f>
        <v>29.13</v>
      </c>
      <c r="E8020" s="14" t="str">
        <f aca="false">IF(C8020="","",C8020*D8020/100)</f>
        <v/>
      </c>
      <c r="F8020" s="15" t="str">
        <f aca="false">IF(B8020&lt;5,"Go","Standard")</f>
        <v>Standard</v>
      </c>
    </row>
    <row r="8021" customFormat="false" ht="15" hidden="false" customHeight="true" outlineLevel="0" collapsed="false">
      <c r="A8021" s="10" t="n">
        <f aca="false">Einstellungen!$B$5+INT((ROW()-9)/24)</f>
        <v>46299</v>
      </c>
      <c r="B8021" s="11" t="n">
        <f aca="false">MOD(ROW()-9,24)</f>
        <v>20</v>
      </c>
      <c r="C8021" s="12"/>
      <c r="D8021" s="13" t="n">
        <f aca="false">IF(B8021&lt;5,Einstellungen!$B$3,Einstellungen!$B$4)</f>
        <v>29.13</v>
      </c>
      <c r="E8021" s="14" t="str">
        <f aca="false">IF(C8021="","",C8021*D8021/100)</f>
        <v/>
      </c>
      <c r="F8021" s="15" t="str">
        <f aca="false">IF(B8021&lt;5,"Go","Standard")</f>
        <v>Standard</v>
      </c>
    </row>
    <row r="8022" customFormat="false" ht="15" hidden="false" customHeight="true" outlineLevel="0" collapsed="false">
      <c r="A8022" s="10" t="n">
        <f aca="false">Einstellungen!$B$5+INT((ROW()-9)/24)</f>
        <v>46299</v>
      </c>
      <c r="B8022" s="11" t="n">
        <f aca="false">MOD(ROW()-9,24)</f>
        <v>21</v>
      </c>
      <c r="C8022" s="12"/>
      <c r="D8022" s="13" t="n">
        <f aca="false">IF(B8022&lt;5,Einstellungen!$B$3,Einstellungen!$B$4)</f>
        <v>29.13</v>
      </c>
      <c r="E8022" s="14" t="str">
        <f aca="false">IF(C8022="","",C8022*D8022/100)</f>
        <v/>
      </c>
      <c r="F8022" s="15" t="str">
        <f aca="false">IF(B8022&lt;5,"Go","Standard")</f>
        <v>Standard</v>
      </c>
    </row>
    <row r="8023" customFormat="false" ht="15" hidden="false" customHeight="true" outlineLevel="0" collapsed="false">
      <c r="A8023" s="10" t="n">
        <f aca="false">Einstellungen!$B$5+INT((ROW()-9)/24)</f>
        <v>46299</v>
      </c>
      <c r="B8023" s="11" t="n">
        <f aca="false">MOD(ROW()-9,24)</f>
        <v>22</v>
      </c>
      <c r="C8023" s="12"/>
      <c r="D8023" s="13" t="n">
        <f aca="false">IF(B8023&lt;5,Einstellungen!$B$3,Einstellungen!$B$4)</f>
        <v>29.13</v>
      </c>
      <c r="E8023" s="14" t="str">
        <f aca="false">IF(C8023="","",C8023*D8023/100)</f>
        <v/>
      </c>
      <c r="F8023" s="15" t="str">
        <f aca="false">IF(B8023&lt;5,"Go","Standard")</f>
        <v>Standard</v>
      </c>
    </row>
    <row r="8024" customFormat="false" ht="15" hidden="false" customHeight="true" outlineLevel="0" collapsed="false">
      <c r="A8024" s="10" t="n">
        <f aca="false">Einstellungen!$B$5+INT((ROW()-9)/24)</f>
        <v>46299</v>
      </c>
      <c r="B8024" s="11" t="n">
        <f aca="false">MOD(ROW()-9,24)</f>
        <v>23</v>
      </c>
      <c r="C8024" s="12"/>
      <c r="D8024" s="13" t="n">
        <f aca="false">IF(B8024&lt;5,Einstellungen!$B$3,Einstellungen!$B$4)</f>
        <v>29.13</v>
      </c>
      <c r="E8024" s="14" t="str">
        <f aca="false">IF(C8024="","",C8024*D8024/100)</f>
        <v/>
      </c>
      <c r="F8024" s="15" t="str">
        <f aca="false">IF(B8024&lt;5,"Go","Standard")</f>
        <v>Standard</v>
      </c>
    </row>
    <row r="8025" customFormat="false" ht="15" hidden="false" customHeight="true" outlineLevel="0" collapsed="false">
      <c r="A8025" s="10" t="n">
        <f aca="false">Einstellungen!$B$5+INT((ROW()-9)/24)</f>
        <v>46300</v>
      </c>
      <c r="B8025" s="11" t="n">
        <f aca="false">MOD(ROW()-9,24)</f>
        <v>0</v>
      </c>
      <c r="C8025" s="12"/>
      <c r="D8025" s="13" t="n">
        <f aca="false">IF(B8025&lt;5,Einstellungen!$B$3,Einstellungen!$B$4)</f>
        <v>15.92</v>
      </c>
      <c r="E8025" s="14" t="str">
        <f aca="false">IF(C8025="","",C8025*D8025/100)</f>
        <v/>
      </c>
      <c r="F8025" s="15" t="str">
        <f aca="false">IF(B8025&lt;5,"Go","Standard")</f>
        <v>Go</v>
      </c>
    </row>
    <row r="8026" customFormat="false" ht="15" hidden="false" customHeight="true" outlineLevel="0" collapsed="false">
      <c r="A8026" s="10" t="n">
        <f aca="false">Einstellungen!$B$5+INT((ROW()-9)/24)</f>
        <v>46300</v>
      </c>
      <c r="B8026" s="11" t="n">
        <f aca="false">MOD(ROW()-9,24)</f>
        <v>1</v>
      </c>
      <c r="C8026" s="12"/>
      <c r="D8026" s="13" t="n">
        <f aca="false">IF(B8026&lt;5,Einstellungen!$B$3,Einstellungen!$B$4)</f>
        <v>15.92</v>
      </c>
      <c r="E8026" s="14" t="str">
        <f aca="false">IF(C8026="","",C8026*D8026/100)</f>
        <v/>
      </c>
      <c r="F8026" s="15" t="str">
        <f aca="false">IF(B8026&lt;5,"Go","Standard")</f>
        <v>Go</v>
      </c>
    </row>
    <row r="8027" customFormat="false" ht="15" hidden="false" customHeight="true" outlineLevel="0" collapsed="false">
      <c r="A8027" s="10" t="n">
        <f aca="false">Einstellungen!$B$5+INT((ROW()-9)/24)</f>
        <v>46300</v>
      </c>
      <c r="B8027" s="11" t="n">
        <f aca="false">MOD(ROW()-9,24)</f>
        <v>2</v>
      </c>
      <c r="C8027" s="12"/>
      <c r="D8027" s="13" t="n">
        <f aca="false">IF(B8027&lt;5,Einstellungen!$B$3,Einstellungen!$B$4)</f>
        <v>15.92</v>
      </c>
      <c r="E8027" s="14" t="str">
        <f aca="false">IF(C8027="","",C8027*D8027/100)</f>
        <v/>
      </c>
      <c r="F8027" s="15" t="str">
        <f aca="false">IF(B8027&lt;5,"Go","Standard")</f>
        <v>Go</v>
      </c>
    </row>
    <row r="8028" customFormat="false" ht="15" hidden="false" customHeight="true" outlineLevel="0" collapsed="false">
      <c r="A8028" s="10" t="n">
        <f aca="false">Einstellungen!$B$5+INT((ROW()-9)/24)</f>
        <v>46300</v>
      </c>
      <c r="B8028" s="11" t="n">
        <f aca="false">MOD(ROW()-9,24)</f>
        <v>3</v>
      </c>
      <c r="C8028" s="12"/>
      <c r="D8028" s="13" t="n">
        <f aca="false">IF(B8028&lt;5,Einstellungen!$B$3,Einstellungen!$B$4)</f>
        <v>15.92</v>
      </c>
      <c r="E8028" s="14" t="str">
        <f aca="false">IF(C8028="","",C8028*D8028/100)</f>
        <v/>
      </c>
      <c r="F8028" s="15" t="str">
        <f aca="false">IF(B8028&lt;5,"Go","Standard")</f>
        <v>Go</v>
      </c>
    </row>
    <row r="8029" customFormat="false" ht="15" hidden="false" customHeight="true" outlineLevel="0" collapsed="false">
      <c r="A8029" s="10" t="n">
        <f aca="false">Einstellungen!$B$5+INT((ROW()-9)/24)</f>
        <v>46300</v>
      </c>
      <c r="B8029" s="11" t="n">
        <f aca="false">MOD(ROW()-9,24)</f>
        <v>4</v>
      </c>
      <c r="C8029" s="12"/>
      <c r="D8029" s="13" t="n">
        <f aca="false">IF(B8029&lt;5,Einstellungen!$B$3,Einstellungen!$B$4)</f>
        <v>15.92</v>
      </c>
      <c r="E8029" s="14" t="str">
        <f aca="false">IF(C8029="","",C8029*D8029/100)</f>
        <v/>
      </c>
      <c r="F8029" s="15" t="str">
        <f aca="false">IF(B8029&lt;5,"Go","Standard")</f>
        <v>Go</v>
      </c>
    </row>
    <row r="8030" customFormat="false" ht="15" hidden="false" customHeight="true" outlineLevel="0" collapsed="false">
      <c r="A8030" s="10" t="n">
        <f aca="false">Einstellungen!$B$5+INT((ROW()-9)/24)</f>
        <v>46300</v>
      </c>
      <c r="B8030" s="11" t="n">
        <f aca="false">MOD(ROW()-9,24)</f>
        <v>5</v>
      </c>
      <c r="C8030" s="12"/>
      <c r="D8030" s="13" t="n">
        <f aca="false">IF(B8030&lt;5,Einstellungen!$B$3,Einstellungen!$B$4)</f>
        <v>29.13</v>
      </c>
      <c r="E8030" s="14" t="str">
        <f aca="false">IF(C8030="","",C8030*D8030/100)</f>
        <v/>
      </c>
      <c r="F8030" s="15" t="str">
        <f aca="false">IF(B8030&lt;5,"Go","Standard")</f>
        <v>Standard</v>
      </c>
    </row>
    <row r="8031" customFormat="false" ht="15" hidden="false" customHeight="true" outlineLevel="0" collapsed="false">
      <c r="A8031" s="10" t="n">
        <f aca="false">Einstellungen!$B$5+INT((ROW()-9)/24)</f>
        <v>46300</v>
      </c>
      <c r="B8031" s="11" t="n">
        <f aca="false">MOD(ROW()-9,24)</f>
        <v>6</v>
      </c>
      <c r="C8031" s="12"/>
      <c r="D8031" s="13" t="n">
        <f aca="false">IF(B8031&lt;5,Einstellungen!$B$3,Einstellungen!$B$4)</f>
        <v>29.13</v>
      </c>
      <c r="E8031" s="14" t="str">
        <f aca="false">IF(C8031="","",C8031*D8031/100)</f>
        <v/>
      </c>
      <c r="F8031" s="15" t="str">
        <f aca="false">IF(B8031&lt;5,"Go","Standard")</f>
        <v>Standard</v>
      </c>
    </row>
    <row r="8032" customFormat="false" ht="15" hidden="false" customHeight="true" outlineLevel="0" collapsed="false">
      <c r="A8032" s="10" t="n">
        <f aca="false">Einstellungen!$B$5+INT((ROW()-9)/24)</f>
        <v>46300</v>
      </c>
      <c r="B8032" s="11" t="n">
        <f aca="false">MOD(ROW()-9,24)</f>
        <v>7</v>
      </c>
      <c r="C8032" s="12"/>
      <c r="D8032" s="13" t="n">
        <f aca="false">IF(B8032&lt;5,Einstellungen!$B$3,Einstellungen!$B$4)</f>
        <v>29.13</v>
      </c>
      <c r="E8032" s="14" t="str">
        <f aca="false">IF(C8032="","",C8032*D8032/100)</f>
        <v/>
      </c>
      <c r="F8032" s="15" t="str">
        <f aca="false">IF(B8032&lt;5,"Go","Standard")</f>
        <v>Standard</v>
      </c>
    </row>
    <row r="8033" customFormat="false" ht="15" hidden="false" customHeight="true" outlineLevel="0" collapsed="false">
      <c r="A8033" s="10" t="n">
        <f aca="false">Einstellungen!$B$5+INT((ROW()-9)/24)</f>
        <v>46300</v>
      </c>
      <c r="B8033" s="11" t="n">
        <f aca="false">MOD(ROW()-9,24)</f>
        <v>8</v>
      </c>
      <c r="C8033" s="12"/>
      <c r="D8033" s="13" t="n">
        <f aca="false">IF(B8033&lt;5,Einstellungen!$B$3,Einstellungen!$B$4)</f>
        <v>29.13</v>
      </c>
      <c r="E8033" s="14" t="str">
        <f aca="false">IF(C8033="","",C8033*D8033/100)</f>
        <v/>
      </c>
      <c r="F8033" s="15" t="str">
        <f aca="false">IF(B8033&lt;5,"Go","Standard")</f>
        <v>Standard</v>
      </c>
    </row>
    <row r="8034" customFormat="false" ht="15" hidden="false" customHeight="true" outlineLevel="0" collapsed="false">
      <c r="A8034" s="10" t="n">
        <f aca="false">Einstellungen!$B$5+INT((ROW()-9)/24)</f>
        <v>46300</v>
      </c>
      <c r="B8034" s="11" t="n">
        <f aca="false">MOD(ROW()-9,24)</f>
        <v>9</v>
      </c>
      <c r="C8034" s="12"/>
      <c r="D8034" s="13" t="n">
        <f aca="false">IF(B8034&lt;5,Einstellungen!$B$3,Einstellungen!$B$4)</f>
        <v>29.13</v>
      </c>
      <c r="E8034" s="14" t="str">
        <f aca="false">IF(C8034="","",C8034*D8034/100)</f>
        <v/>
      </c>
      <c r="F8034" s="15" t="str">
        <f aca="false">IF(B8034&lt;5,"Go","Standard")</f>
        <v>Standard</v>
      </c>
    </row>
    <row r="8035" customFormat="false" ht="15" hidden="false" customHeight="true" outlineLevel="0" collapsed="false">
      <c r="A8035" s="10" t="n">
        <f aca="false">Einstellungen!$B$5+INT((ROW()-9)/24)</f>
        <v>46300</v>
      </c>
      <c r="B8035" s="11" t="n">
        <f aca="false">MOD(ROW()-9,24)</f>
        <v>10</v>
      </c>
      <c r="C8035" s="12"/>
      <c r="D8035" s="13" t="n">
        <f aca="false">IF(B8035&lt;5,Einstellungen!$B$3,Einstellungen!$B$4)</f>
        <v>29.13</v>
      </c>
      <c r="E8035" s="14" t="str">
        <f aca="false">IF(C8035="","",C8035*D8035/100)</f>
        <v/>
      </c>
      <c r="F8035" s="15" t="str">
        <f aca="false">IF(B8035&lt;5,"Go","Standard")</f>
        <v>Standard</v>
      </c>
    </row>
    <row r="8036" customFormat="false" ht="15" hidden="false" customHeight="true" outlineLevel="0" collapsed="false">
      <c r="A8036" s="10" t="n">
        <f aca="false">Einstellungen!$B$5+INT((ROW()-9)/24)</f>
        <v>46300</v>
      </c>
      <c r="B8036" s="11" t="n">
        <f aca="false">MOD(ROW()-9,24)</f>
        <v>11</v>
      </c>
      <c r="C8036" s="12"/>
      <c r="D8036" s="13" t="n">
        <f aca="false">IF(B8036&lt;5,Einstellungen!$B$3,Einstellungen!$B$4)</f>
        <v>29.13</v>
      </c>
      <c r="E8036" s="14" t="str">
        <f aca="false">IF(C8036="","",C8036*D8036/100)</f>
        <v/>
      </c>
      <c r="F8036" s="15" t="str">
        <f aca="false">IF(B8036&lt;5,"Go","Standard")</f>
        <v>Standard</v>
      </c>
    </row>
    <row r="8037" customFormat="false" ht="15" hidden="false" customHeight="true" outlineLevel="0" collapsed="false">
      <c r="A8037" s="10" t="n">
        <f aca="false">Einstellungen!$B$5+INT((ROW()-9)/24)</f>
        <v>46300</v>
      </c>
      <c r="B8037" s="11" t="n">
        <f aca="false">MOD(ROW()-9,24)</f>
        <v>12</v>
      </c>
      <c r="C8037" s="12"/>
      <c r="D8037" s="13" t="n">
        <f aca="false">IF(B8037&lt;5,Einstellungen!$B$3,Einstellungen!$B$4)</f>
        <v>29.13</v>
      </c>
      <c r="E8037" s="14" t="str">
        <f aca="false">IF(C8037="","",C8037*D8037/100)</f>
        <v/>
      </c>
      <c r="F8037" s="15" t="str">
        <f aca="false">IF(B8037&lt;5,"Go","Standard")</f>
        <v>Standard</v>
      </c>
    </row>
    <row r="8038" customFormat="false" ht="15" hidden="false" customHeight="true" outlineLevel="0" collapsed="false">
      <c r="A8038" s="10" t="n">
        <f aca="false">Einstellungen!$B$5+INT((ROW()-9)/24)</f>
        <v>46300</v>
      </c>
      <c r="B8038" s="11" t="n">
        <f aca="false">MOD(ROW()-9,24)</f>
        <v>13</v>
      </c>
      <c r="C8038" s="12"/>
      <c r="D8038" s="13" t="n">
        <f aca="false">IF(B8038&lt;5,Einstellungen!$B$3,Einstellungen!$B$4)</f>
        <v>29.13</v>
      </c>
      <c r="E8038" s="14" t="str">
        <f aca="false">IF(C8038="","",C8038*D8038/100)</f>
        <v/>
      </c>
      <c r="F8038" s="15" t="str">
        <f aca="false">IF(B8038&lt;5,"Go","Standard")</f>
        <v>Standard</v>
      </c>
    </row>
    <row r="8039" customFormat="false" ht="15" hidden="false" customHeight="true" outlineLevel="0" collapsed="false">
      <c r="A8039" s="10" t="n">
        <f aca="false">Einstellungen!$B$5+INT((ROW()-9)/24)</f>
        <v>46300</v>
      </c>
      <c r="B8039" s="11" t="n">
        <f aca="false">MOD(ROW()-9,24)</f>
        <v>14</v>
      </c>
      <c r="C8039" s="12"/>
      <c r="D8039" s="13" t="n">
        <f aca="false">IF(B8039&lt;5,Einstellungen!$B$3,Einstellungen!$B$4)</f>
        <v>29.13</v>
      </c>
      <c r="E8039" s="14" t="str">
        <f aca="false">IF(C8039="","",C8039*D8039/100)</f>
        <v/>
      </c>
      <c r="F8039" s="15" t="str">
        <f aca="false">IF(B8039&lt;5,"Go","Standard")</f>
        <v>Standard</v>
      </c>
    </row>
    <row r="8040" customFormat="false" ht="15" hidden="false" customHeight="true" outlineLevel="0" collapsed="false">
      <c r="A8040" s="10" t="n">
        <f aca="false">Einstellungen!$B$5+INT((ROW()-9)/24)</f>
        <v>46300</v>
      </c>
      <c r="B8040" s="11" t="n">
        <f aca="false">MOD(ROW()-9,24)</f>
        <v>15</v>
      </c>
      <c r="C8040" s="12"/>
      <c r="D8040" s="13" t="n">
        <f aca="false">IF(B8040&lt;5,Einstellungen!$B$3,Einstellungen!$B$4)</f>
        <v>29.13</v>
      </c>
      <c r="E8040" s="14" t="str">
        <f aca="false">IF(C8040="","",C8040*D8040/100)</f>
        <v/>
      </c>
      <c r="F8040" s="15" t="str">
        <f aca="false">IF(B8040&lt;5,"Go","Standard")</f>
        <v>Standard</v>
      </c>
    </row>
    <row r="8041" customFormat="false" ht="15" hidden="false" customHeight="true" outlineLevel="0" collapsed="false">
      <c r="A8041" s="10" t="n">
        <f aca="false">Einstellungen!$B$5+INT((ROW()-9)/24)</f>
        <v>46300</v>
      </c>
      <c r="B8041" s="11" t="n">
        <f aca="false">MOD(ROW()-9,24)</f>
        <v>16</v>
      </c>
      <c r="C8041" s="12"/>
      <c r="D8041" s="13" t="n">
        <f aca="false">IF(B8041&lt;5,Einstellungen!$B$3,Einstellungen!$B$4)</f>
        <v>29.13</v>
      </c>
      <c r="E8041" s="14" t="str">
        <f aca="false">IF(C8041="","",C8041*D8041/100)</f>
        <v/>
      </c>
      <c r="F8041" s="15" t="str">
        <f aca="false">IF(B8041&lt;5,"Go","Standard")</f>
        <v>Standard</v>
      </c>
    </row>
    <row r="8042" customFormat="false" ht="15" hidden="false" customHeight="true" outlineLevel="0" collapsed="false">
      <c r="A8042" s="10" t="n">
        <f aca="false">Einstellungen!$B$5+INT((ROW()-9)/24)</f>
        <v>46300</v>
      </c>
      <c r="B8042" s="11" t="n">
        <f aca="false">MOD(ROW()-9,24)</f>
        <v>17</v>
      </c>
      <c r="C8042" s="12"/>
      <c r="D8042" s="13" t="n">
        <f aca="false">IF(B8042&lt;5,Einstellungen!$B$3,Einstellungen!$B$4)</f>
        <v>29.13</v>
      </c>
      <c r="E8042" s="14" t="str">
        <f aca="false">IF(C8042="","",C8042*D8042/100)</f>
        <v/>
      </c>
      <c r="F8042" s="15" t="str">
        <f aca="false">IF(B8042&lt;5,"Go","Standard")</f>
        <v>Standard</v>
      </c>
    </row>
    <row r="8043" customFormat="false" ht="15" hidden="false" customHeight="true" outlineLevel="0" collapsed="false">
      <c r="A8043" s="10" t="n">
        <f aca="false">Einstellungen!$B$5+INT((ROW()-9)/24)</f>
        <v>46300</v>
      </c>
      <c r="B8043" s="11" t="n">
        <f aca="false">MOD(ROW()-9,24)</f>
        <v>18</v>
      </c>
      <c r="C8043" s="12"/>
      <c r="D8043" s="13" t="n">
        <f aca="false">IF(B8043&lt;5,Einstellungen!$B$3,Einstellungen!$B$4)</f>
        <v>29.13</v>
      </c>
      <c r="E8043" s="14" t="str">
        <f aca="false">IF(C8043="","",C8043*D8043/100)</f>
        <v/>
      </c>
      <c r="F8043" s="15" t="str">
        <f aca="false">IF(B8043&lt;5,"Go","Standard")</f>
        <v>Standard</v>
      </c>
    </row>
    <row r="8044" customFormat="false" ht="15" hidden="false" customHeight="true" outlineLevel="0" collapsed="false">
      <c r="A8044" s="10" t="n">
        <f aca="false">Einstellungen!$B$5+INT((ROW()-9)/24)</f>
        <v>46300</v>
      </c>
      <c r="B8044" s="11" t="n">
        <f aca="false">MOD(ROW()-9,24)</f>
        <v>19</v>
      </c>
      <c r="C8044" s="12"/>
      <c r="D8044" s="13" t="n">
        <f aca="false">IF(B8044&lt;5,Einstellungen!$B$3,Einstellungen!$B$4)</f>
        <v>29.13</v>
      </c>
      <c r="E8044" s="14" t="str">
        <f aca="false">IF(C8044="","",C8044*D8044/100)</f>
        <v/>
      </c>
      <c r="F8044" s="15" t="str">
        <f aca="false">IF(B8044&lt;5,"Go","Standard")</f>
        <v>Standard</v>
      </c>
    </row>
    <row r="8045" customFormat="false" ht="15" hidden="false" customHeight="true" outlineLevel="0" collapsed="false">
      <c r="A8045" s="10" t="n">
        <f aca="false">Einstellungen!$B$5+INT((ROW()-9)/24)</f>
        <v>46300</v>
      </c>
      <c r="B8045" s="11" t="n">
        <f aca="false">MOD(ROW()-9,24)</f>
        <v>20</v>
      </c>
      <c r="C8045" s="12"/>
      <c r="D8045" s="13" t="n">
        <f aca="false">IF(B8045&lt;5,Einstellungen!$B$3,Einstellungen!$B$4)</f>
        <v>29.13</v>
      </c>
      <c r="E8045" s="14" t="str">
        <f aca="false">IF(C8045="","",C8045*D8045/100)</f>
        <v/>
      </c>
      <c r="F8045" s="15" t="str">
        <f aca="false">IF(B8045&lt;5,"Go","Standard")</f>
        <v>Standard</v>
      </c>
    </row>
    <row r="8046" customFormat="false" ht="15" hidden="false" customHeight="true" outlineLevel="0" collapsed="false">
      <c r="A8046" s="10" t="n">
        <f aca="false">Einstellungen!$B$5+INT((ROW()-9)/24)</f>
        <v>46300</v>
      </c>
      <c r="B8046" s="11" t="n">
        <f aca="false">MOD(ROW()-9,24)</f>
        <v>21</v>
      </c>
      <c r="C8046" s="12"/>
      <c r="D8046" s="13" t="n">
        <f aca="false">IF(B8046&lt;5,Einstellungen!$B$3,Einstellungen!$B$4)</f>
        <v>29.13</v>
      </c>
      <c r="E8046" s="14" t="str">
        <f aca="false">IF(C8046="","",C8046*D8046/100)</f>
        <v/>
      </c>
      <c r="F8046" s="15" t="str">
        <f aca="false">IF(B8046&lt;5,"Go","Standard")</f>
        <v>Standard</v>
      </c>
    </row>
    <row r="8047" customFormat="false" ht="15" hidden="false" customHeight="true" outlineLevel="0" collapsed="false">
      <c r="A8047" s="10" t="n">
        <f aca="false">Einstellungen!$B$5+INT((ROW()-9)/24)</f>
        <v>46300</v>
      </c>
      <c r="B8047" s="11" t="n">
        <f aca="false">MOD(ROW()-9,24)</f>
        <v>22</v>
      </c>
      <c r="C8047" s="12"/>
      <c r="D8047" s="13" t="n">
        <f aca="false">IF(B8047&lt;5,Einstellungen!$B$3,Einstellungen!$B$4)</f>
        <v>29.13</v>
      </c>
      <c r="E8047" s="14" t="str">
        <f aca="false">IF(C8047="","",C8047*D8047/100)</f>
        <v/>
      </c>
      <c r="F8047" s="15" t="str">
        <f aca="false">IF(B8047&lt;5,"Go","Standard")</f>
        <v>Standard</v>
      </c>
    </row>
    <row r="8048" customFormat="false" ht="15" hidden="false" customHeight="true" outlineLevel="0" collapsed="false">
      <c r="A8048" s="10" t="n">
        <f aca="false">Einstellungen!$B$5+INT((ROW()-9)/24)</f>
        <v>46300</v>
      </c>
      <c r="B8048" s="11" t="n">
        <f aca="false">MOD(ROW()-9,24)</f>
        <v>23</v>
      </c>
      <c r="C8048" s="12"/>
      <c r="D8048" s="13" t="n">
        <f aca="false">IF(B8048&lt;5,Einstellungen!$B$3,Einstellungen!$B$4)</f>
        <v>29.13</v>
      </c>
      <c r="E8048" s="14" t="str">
        <f aca="false">IF(C8048="","",C8048*D8048/100)</f>
        <v/>
      </c>
      <c r="F8048" s="15" t="str">
        <f aca="false">IF(B8048&lt;5,"Go","Standard")</f>
        <v>Standard</v>
      </c>
    </row>
    <row r="8049" customFormat="false" ht="15" hidden="false" customHeight="true" outlineLevel="0" collapsed="false">
      <c r="A8049" s="10" t="n">
        <f aca="false">Einstellungen!$B$5+INT((ROW()-9)/24)</f>
        <v>46301</v>
      </c>
      <c r="B8049" s="11" t="n">
        <f aca="false">MOD(ROW()-9,24)</f>
        <v>0</v>
      </c>
      <c r="C8049" s="12"/>
      <c r="D8049" s="13" t="n">
        <f aca="false">IF(B8049&lt;5,Einstellungen!$B$3,Einstellungen!$B$4)</f>
        <v>15.92</v>
      </c>
      <c r="E8049" s="14" t="str">
        <f aca="false">IF(C8049="","",C8049*D8049/100)</f>
        <v/>
      </c>
      <c r="F8049" s="15" t="str">
        <f aca="false">IF(B8049&lt;5,"Go","Standard")</f>
        <v>Go</v>
      </c>
    </row>
    <row r="8050" customFormat="false" ht="15" hidden="false" customHeight="true" outlineLevel="0" collapsed="false">
      <c r="A8050" s="10" t="n">
        <f aca="false">Einstellungen!$B$5+INT((ROW()-9)/24)</f>
        <v>46301</v>
      </c>
      <c r="B8050" s="11" t="n">
        <f aca="false">MOD(ROW()-9,24)</f>
        <v>1</v>
      </c>
      <c r="C8050" s="12"/>
      <c r="D8050" s="13" t="n">
        <f aca="false">IF(B8050&lt;5,Einstellungen!$B$3,Einstellungen!$B$4)</f>
        <v>15.92</v>
      </c>
      <c r="E8050" s="14" t="str">
        <f aca="false">IF(C8050="","",C8050*D8050/100)</f>
        <v/>
      </c>
      <c r="F8050" s="15" t="str">
        <f aca="false">IF(B8050&lt;5,"Go","Standard")</f>
        <v>Go</v>
      </c>
    </row>
    <row r="8051" customFormat="false" ht="15" hidden="false" customHeight="true" outlineLevel="0" collapsed="false">
      <c r="A8051" s="10" t="n">
        <f aca="false">Einstellungen!$B$5+INT((ROW()-9)/24)</f>
        <v>46301</v>
      </c>
      <c r="B8051" s="11" t="n">
        <f aca="false">MOD(ROW()-9,24)</f>
        <v>2</v>
      </c>
      <c r="C8051" s="12"/>
      <c r="D8051" s="13" t="n">
        <f aca="false">IF(B8051&lt;5,Einstellungen!$B$3,Einstellungen!$B$4)</f>
        <v>15.92</v>
      </c>
      <c r="E8051" s="14" t="str">
        <f aca="false">IF(C8051="","",C8051*D8051/100)</f>
        <v/>
      </c>
      <c r="F8051" s="15" t="str">
        <f aca="false">IF(B8051&lt;5,"Go","Standard")</f>
        <v>Go</v>
      </c>
    </row>
    <row r="8052" customFormat="false" ht="15" hidden="false" customHeight="true" outlineLevel="0" collapsed="false">
      <c r="A8052" s="10" t="n">
        <f aca="false">Einstellungen!$B$5+INT((ROW()-9)/24)</f>
        <v>46301</v>
      </c>
      <c r="B8052" s="11" t="n">
        <f aca="false">MOD(ROW()-9,24)</f>
        <v>3</v>
      </c>
      <c r="C8052" s="12"/>
      <c r="D8052" s="13" t="n">
        <f aca="false">IF(B8052&lt;5,Einstellungen!$B$3,Einstellungen!$B$4)</f>
        <v>15.92</v>
      </c>
      <c r="E8052" s="14" t="str">
        <f aca="false">IF(C8052="","",C8052*D8052/100)</f>
        <v/>
      </c>
      <c r="F8052" s="15" t="str">
        <f aca="false">IF(B8052&lt;5,"Go","Standard")</f>
        <v>Go</v>
      </c>
    </row>
    <row r="8053" customFormat="false" ht="15" hidden="false" customHeight="true" outlineLevel="0" collapsed="false">
      <c r="A8053" s="10" t="n">
        <f aca="false">Einstellungen!$B$5+INT((ROW()-9)/24)</f>
        <v>46301</v>
      </c>
      <c r="B8053" s="11" t="n">
        <f aca="false">MOD(ROW()-9,24)</f>
        <v>4</v>
      </c>
      <c r="C8053" s="12"/>
      <c r="D8053" s="13" t="n">
        <f aca="false">IF(B8053&lt;5,Einstellungen!$B$3,Einstellungen!$B$4)</f>
        <v>15.92</v>
      </c>
      <c r="E8053" s="14" t="str">
        <f aca="false">IF(C8053="","",C8053*D8053/100)</f>
        <v/>
      </c>
      <c r="F8053" s="15" t="str">
        <f aca="false">IF(B8053&lt;5,"Go","Standard")</f>
        <v>Go</v>
      </c>
    </row>
    <row r="8054" customFormat="false" ht="15" hidden="false" customHeight="true" outlineLevel="0" collapsed="false">
      <c r="A8054" s="10" t="n">
        <f aca="false">Einstellungen!$B$5+INT((ROW()-9)/24)</f>
        <v>46301</v>
      </c>
      <c r="B8054" s="11" t="n">
        <f aca="false">MOD(ROW()-9,24)</f>
        <v>5</v>
      </c>
      <c r="C8054" s="12"/>
      <c r="D8054" s="13" t="n">
        <f aca="false">IF(B8054&lt;5,Einstellungen!$B$3,Einstellungen!$B$4)</f>
        <v>29.13</v>
      </c>
      <c r="E8054" s="14" t="str">
        <f aca="false">IF(C8054="","",C8054*D8054/100)</f>
        <v/>
      </c>
      <c r="F8054" s="15" t="str">
        <f aca="false">IF(B8054&lt;5,"Go","Standard")</f>
        <v>Standard</v>
      </c>
    </row>
    <row r="8055" customFormat="false" ht="15" hidden="false" customHeight="true" outlineLevel="0" collapsed="false">
      <c r="A8055" s="10" t="n">
        <f aca="false">Einstellungen!$B$5+INT((ROW()-9)/24)</f>
        <v>46301</v>
      </c>
      <c r="B8055" s="11" t="n">
        <f aca="false">MOD(ROW()-9,24)</f>
        <v>6</v>
      </c>
      <c r="C8055" s="12"/>
      <c r="D8055" s="13" t="n">
        <f aca="false">IF(B8055&lt;5,Einstellungen!$B$3,Einstellungen!$B$4)</f>
        <v>29.13</v>
      </c>
      <c r="E8055" s="14" t="str">
        <f aca="false">IF(C8055="","",C8055*D8055/100)</f>
        <v/>
      </c>
      <c r="F8055" s="15" t="str">
        <f aca="false">IF(B8055&lt;5,"Go","Standard")</f>
        <v>Standard</v>
      </c>
    </row>
    <row r="8056" customFormat="false" ht="15" hidden="false" customHeight="true" outlineLevel="0" collapsed="false">
      <c r="A8056" s="10" t="n">
        <f aca="false">Einstellungen!$B$5+INT((ROW()-9)/24)</f>
        <v>46301</v>
      </c>
      <c r="B8056" s="11" t="n">
        <f aca="false">MOD(ROW()-9,24)</f>
        <v>7</v>
      </c>
      <c r="C8056" s="12"/>
      <c r="D8056" s="13" t="n">
        <f aca="false">IF(B8056&lt;5,Einstellungen!$B$3,Einstellungen!$B$4)</f>
        <v>29.13</v>
      </c>
      <c r="E8056" s="14" t="str">
        <f aca="false">IF(C8056="","",C8056*D8056/100)</f>
        <v/>
      </c>
      <c r="F8056" s="15" t="str">
        <f aca="false">IF(B8056&lt;5,"Go","Standard")</f>
        <v>Standard</v>
      </c>
    </row>
    <row r="8057" customFormat="false" ht="15" hidden="false" customHeight="true" outlineLevel="0" collapsed="false">
      <c r="A8057" s="10" t="n">
        <f aca="false">Einstellungen!$B$5+INT((ROW()-9)/24)</f>
        <v>46301</v>
      </c>
      <c r="B8057" s="11" t="n">
        <f aca="false">MOD(ROW()-9,24)</f>
        <v>8</v>
      </c>
      <c r="C8057" s="12"/>
      <c r="D8057" s="13" t="n">
        <f aca="false">IF(B8057&lt;5,Einstellungen!$B$3,Einstellungen!$B$4)</f>
        <v>29.13</v>
      </c>
      <c r="E8057" s="14" t="str">
        <f aca="false">IF(C8057="","",C8057*D8057/100)</f>
        <v/>
      </c>
      <c r="F8057" s="15" t="str">
        <f aca="false">IF(B8057&lt;5,"Go","Standard")</f>
        <v>Standard</v>
      </c>
    </row>
    <row r="8058" customFormat="false" ht="15" hidden="false" customHeight="true" outlineLevel="0" collapsed="false">
      <c r="A8058" s="10" t="n">
        <f aca="false">Einstellungen!$B$5+INT((ROW()-9)/24)</f>
        <v>46301</v>
      </c>
      <c r="B8058" s="11" t="n">
        <f aca="false">MOD(ROW()-9,24)</f>
        <v>9</v>
      </c>
      <c r="C8058" s="12"/>
      <c r="D8058" s="13" t="n">
        <f aca="false">IF(B8058&lt;5,Einstellungen!$B$3,Einstellungen!$B$4)</f>
        <v>29.13</v>
      </c>
      <c r="E8058" s="14" t="str">
        <f aca="false">IF(C8058="","",C8058*D8058/100)</f>
        <v/>
      </c>
      <c r="F8058" s="15" t="str">
        <f aca="false">IF(B8058&lt;5,"Go","Standard")</f>
        <v>Standard</v>
      </c>
    </row>
    <row r="8059" customFormat="false" ht="15" hidden="false" customHeight="true" outlineLevel="0" collapsed="false">
      <c r="A8059" s="10" t="n">
        <f aca="false">Einstellungen!$B$5+INT((ROW()-9)/24)</f>
        <v>46301</v>
      </c>
      <c r="B8059" s="11" t="n">
        <f aca="false">MOD(ROW()-9,24)</f>
        <v>10</v>
      </c>
      <c r="C8059" s="12"/>
      <c r="D8059" s="13" t="n">
        <f aca="false">IF(B8059&lt;5,Einstellungen!$B$3,Einstellungen!$B$4)</f>
        <v>29.13</v>
      </c>
      <c r="E8059" s="14" t="str">
        <f aca="false">IF(C8059="","",C8059*D8059/100)</f>
        <v/>
      </c>
      <c r="F8059" s="15" t="str">
        <f aca="false">IF(B8059&lt;5,"Go","Standard")</f>
        <v>Standard</v>
      </c>
    </row>
    <row r="8060" customFormat="false" ht="15" hidden="false" customHeight="true" outlineLevel="0" collapsed="false">
      <c r="A8060" s="10" t="n">
        <f aca="false">Einstellungen!$B$5+INT((ROW()-9)/24)</f>
        <v>46301</v>
      </c>
      <c r="B8060" s="11" t="n">
        <f aca="false">MOD(ROW()-9,24)</f>
        <v>11</v>
      </c>
      <c r="C8060" s="12"/>
      <c r="D8060" s="13" t="n">
        <f aca="false">IF(B8060&lt;5,Einstellungen!$B$3,Einstellungen!$B$4)</f>
        <v>29.13</v>
      </c>
      <c r="E8060" s="14" t="str">
        <f aca="false">IF(C8060="","",C8060*D8060/100)</f>
        <v/>
      </c>
      <c r="F8060" s="15" t="str">
        <f aca="false">IF(B8060&lt;5,"Go","Standard")</f>
        <v>Standard</v>
      </c>
    </row>
    <row r="8061" customFormat="false" ht="15" hidden="false" customHeight="true" outlineLevel="0" collapsed="false">
      <c r="A8061" s="10" t="n">
        <f aca="false">Einstellungen!$B$5+INT((ROW()-9)/24)</f>
        <v>46301</v>
      </c>
      <c r="B8061" s="11" t="n">
        <f aca="false">MOD(ROW()-9,24)</f>
        <v>12</v>
      </c>
      <c r="C8061" s="12"/>
      <c r="D8061" s="13" t="n">
        <f aca="false">IF(B8061&lt;5,Einstellungen!$B$3,Einstellungen!$B$4)</f>
        <v>29.13</v>
      </c>
      <c r="E8061" s="14" t="str">
        <f aca="false">IF(C8061="","",C8061*D8061/100)</f>
        <v/>
      </c>
      <c r="F8061" s="15" t="str">
        <f aca="false">IF(B8061&lt;5,"Go","Standard")</f>
        <v>Standard</v>
      </c>
    </row>
    <row r="8062" customFormat="false" ht="15" hidden="false" customHeight="true" outlineLevel="0" collapsed="false">
      <c r="A8062" s="10" t="n">
        <f aca="false">Einstellungen!$B$5+INT((ROW()-9)/24)</f>
        <v>46301</v>
      </c>
      <c r="B8062" s="11" t="n">
        <f aca="false">MOD(ROW()-9,24)</f>
        <v>13</v>
      </c>
      <c r="C8062" s="12"/>
      <c r="D8062" s="13" t="n">
        <f aca="false">IF(B8062&lt;5,Einstellungen!$B$3,Einstellungen!$B$4)</f>
        <v>29.13</v>
      </c>
      <c r="E8062" s="14" t="str">
        <f aca="false">IF(C8062="","",C8062*D8062/100)</f>
        <v/>
      </c>
      <c r="F8062" s="15" t="str">
        <f aca="false">IF(B8062&lt;5,"Go","Standard")</f>
        <v>Standard</v>
      </c>
    </row>
    <row r="8063" customFormat="false" ht="15" hidden="false" customHeight="true" outlineLevel="0" collapsed="false">
      <c r="A8063" s="10" t="n">
        <f aca="false">Einstellungen!$B$5+INT((ROW()-9)/24)</f>
        <v>46301</v>
      </c>
      <c r="B8063" s="11" t="n">
        <f aca="false">MOD(ROW()-9,24)</f>
        <v>14</v>
      </c>
      <c r="C8063" s="12"/>
      <c r="D8063" s="13" t="n">
        <f aca="false">IF(B8063&lt;5,Einstellungen!$B$3,Einstellungen!$B$4)</f>
        <v>29.13</v>
      </c>
      <c r="E8063" s="14" t="str">
        <f aca="false">IF(C8063="","",C8063*D8063/100)</f>
        <v/>
      </c>
      <c r="F8063" s="15" t="str">
        <f aca="false">IF(B8063&lt;5,"Go","Standard")</f>
        <v>Standard</v>
      </c>
    </row>
    <row r="8064" customFormat="false" ht="15" hidden="false" customHeight="true" outlineLevel="0" collapsed="false">
      <c r="A8064" s="10" t="n">
        <f aca="false">Einstellungen!$B$5+INT((ROW()-9)/24)</f>
        <v>46301</v>
      </c>
      <c r="B8064" s="11" t="n">
        <f aca="false">MOD(ROW()-9,24)</f>
        <v>15</v>
      </c>
      <c r="C8064" s="12"/>
      <c r="D8064" s="13" t="n">
        <f aca="false">IF(B8064&lt;5,Einstellungen!$B$3,Einstellungen!$B$4)</f>
        <v>29.13</v>
      </c>
      <c r="E8064" s="14" t="str">
        <f aca="false">IF(C8064="","",C8064*D8064/100)</f>
        <v/>
      </c>
      <c r="F8064" s="15" t="str">
        <f aca="false">IF(B8064&lt;5,"Go","Standard")</f>
        <v>Standard</v>
      </c>
    </row>
    <row r="8065" customFormat="false" ht="15" hidden="false" customHeight="true" outlineLevel="0" collapsed="false">
      <c r="A8065" s="10" t="n">
        <f aca="false">Einstellungen!$B$5+INT((ROW()-9)/24)</f>
        <v>46301</v>
      </c>
      <c r="B8065" s="11" t="n">
        <f aca="false">MOD(ROW()-9,24)</f>
        <v>16</v>
      </c>
      <c r="C8065" s="12"/>
      <c r="D8065" s="13" t="n">
        <f aca="false">IF(B8065&lt;5,Einstellungen!$B$3,Einstellungen!$B$4)</f>
        <v>29.13</v>
      </c>
      <c r="E8065" s="14" t="str">
        <f aca="false">IF(C8065="","",C8065*D8065/100)</f>
        <v/>
      </c>
      <c r="F8065" s="15" t="str">
        <f aca="false">IF(B8065&lt;5,"Go","Standard")</f>
        <v>Standard</v>
      </c>
    </row>
    <row r="8066" customFormat="false" ht="15" hidden="false" customHeight="true" outlineLevel="0" collapsed="false">
      <c r="A8066" s="10" t="n">
        <f aca="false">Einstellungen!$B$5+INT((ROW()-9)/24)</f>
        <v>46301</v>
      </c>
      <c r="B8066" s="11" t="n">
        <f aca="false">MOD(ROW()-9,24)</f>
        <v>17</v>
      </c>
      <c r="C8066" s="12"/>
      <c r="D8066" s="13" t="n">
        <f aca="false">IF(B8066&lt;5,Einstellungen!$B$3,Einstellungen!$B$4)</f>
        <v>29.13</v>
      </c>
      <c r="E8066" s="14" t="str">
        <f aca="false">IF(C8066="","",C8066*D8066/100)</f>
        <v/>
      </c>
      <c r="F8066" s="15" t="str">
        <f aca="false">IF(B8066&lt;5,"Go","Standard")</f>
        <v>Standard</v>
      </c>
    </row>
    <row r="8067" customFormat="false" ht="15" hidden="false" customHeight="true" outlineLevel="0" collapsed="false">
      <c r="A8067" s="10" t="n">
        <f aca="false">Einstellungen!$B$5+INT((ROW()-9)/24)</f>
        <v>46301</v>
      </c>
      <c r="B8067" s="11" t="n">
        <f aca="false">MOD(ROW()-9,24)</f>
        <v>18</v>
      </c>
      <c r="C8067" s="12"/>
      <c r="D8067" s="13" t="n">
        <f aca="false">IF(B8067&lt;5,Einstellungen!$B$3,Einstellungen!$B$4)</f>
        <v>29.13</v>
      </c>
      <c r="E8067" s="14" t="str">
        <f aca="false">IF(C8067="","",C8067*D8067/100)</f>
        <v/>
      </c>
      <c r="F8067" s="15" t="str">
        <f aca="false">IF(B8067&lt;5,"Go","Standard")</f>
        <v>Standard</v>
      </c>
    </row>
    <row r="8068" customFormat="false" ht="15" hidden="false" customHeight="true" outlineLevel="0" collapsed="false">
      <c r="A8068" s="10" t="n">
        <f aca="false">Einstellungen!$B$5+INT((ROW()-9)/24)</f>
        <v>46301</v>
      </c>
      <c r="B8068" s="11" t="n">
        <f aca="false">MOD(ROW()-9,24)</f>
        <v>19</v>
      </c>
      <c r="C8068" s="12"/>
      <c r="D8068" s="13" t="n">
        <f aca="false">IF(B8068&lt;5,Einstellungen!$B$3,Einstellungen!$B$4)</f>
        <v>29.13</v>
      </c>
      <c r="E8068" s="14" t="str">
        <f aca="false">IF(C8068="","",C8068*D8068/100)</f>
        <v/>
      </c>
      <c r="F8068" s="15" t="str">
        <f aca="false">IF(B8068&lt;5,"Go","Standard")</f>
        <v>Standard</v>
      </c>
    </row>
    <row r="8069" customFormat="false" ht="15" hidden="false" customHeight="true" outlineLevel="0" collapsed="false">
      <c r="A8069" s="10" t="n">
        <f aca="false">Einstellungen!$B$5+INT((ROW()-9)/24)</f>
        <v>46301</v>
      </c>
      <c r="B8069" s="11" t="n">
        <f aca="false">MOD(ROW()-9,24)</f>
        <v>20</v>
      </c>
      <c r="C8069" s="12"/>
      <c r="D8069" s="13" t="n">
        <f aca="false">IF(B8069&lt;5,Einstellungen!$B$3,Einstellungen!$B$4)</f>
        <v>29.13</v>
      </c>
      <c r="E8069" s="14" t="str">
        <f aca="false">IF(C8069="","",C8069*D8069/100)</f>
        <v/>
      </c>
      <c r="F8069" s="15" t="str">
        <f aca="false">IF(B8069&lt;5,"Go","Standard")</f>
        <v>Standard</v>
      </c>
    </row>
    <row r="8070" customFormat="false" ht="15" hidden="false" customHeight="true" outlineLevel="0" collapsed="false">
      <c r="A8070" s="10" t="n">
        <f aca="false">Einstellungen!$B$5+INT((ROW()-9)/24)</f>
        <v>46301</v>
      </c>
      <c r="B8070" s="11" t="n">
        <f aca="false">MOD(ROW()-9,24)</f>
        <v>21</v>
      </c>
      <c r="C8070" s="12"/>
      <c r="D8070" s="13" t="n">
        <f aca="false">IF(B8070&lt;5,Einstellungen!$B$3,Einstellungen!$B$4)</f>
        <v>29.13</v>
      </c>
      <c r="E8070" s="14" t="str">
        <f aca="false">IF(C8070="","",C8070*D8070/100)</f>
        <v/>
      </c>
      <c r="F8070" s="15" t="str">
        <f aca="false">IF(B8070&lt;5,"Go","Standard")</f>
        <v>Standard</v>
      </c>
    </row>
    <row r="8071" customFormat="false" ht="15" hidden="false" customHeight="true" outlineLevel="0" collapsed="false">
      <c r="A8071" s="10" t="n">
        <f aca="false">Einstellungen!$B$5+INT((ROW()-9)/24)</f>
        <v>46301</v>
      </c>
      <c r="B8071" s="11" t="n">
        <f aca="false">MOD(ROW()-9,24)</f>
        <v>22</v>
      </c>
      <c r="C8071" s="12"/>
      <c r="D8071" s="13" t="n">
        <f aca="false">IF(B8071&lt;5,Einstellungen!$B$3,Einstellungen!$B$4)</f>
        <v>29.13</v>
      </c>
      <c r="E8071" s="14" t="str">
        <f aca="false">IF(C8071="","",C8071*D8071/100)</f>
        <v/>
      </c>
      <c r="F8071" s="15" t="str">
        <f aca="false">IF(B8071&lt;5,"Go","Standard")</f>
        <v>Standard</v>
      </c>
    </row>
    <row r="8072" customFormat="false" ht="15" hidden="false" customHeight="true" outlineLevel="0" collapsed="false">
      <c r="A8072" s="10" t="n">
        <f aca="false">Einstellungen!$B$5+INT((ROW()-9)/24)</f>
        <v>46301</v>
      </c>
      <c r="B8072" s="11" t="n">
        <f aca="false">MOD(ROW()-9,24)</f>
        <v>23</v>
      </c>
      <c r="C8072" s="12"/>
      <c r="D8072" s="13" t="n">
        <f aca="false">IF(B8072&lt;5,Einstellungen!$B$3,Einstellungen!$B$4)</f>
        <v>29.13</v>
      </c>
      <c r="E8072" s="14" t="str">
        <f aca="false">IF(C8072="","",C8072*D8072/100)</f>
        <v/>
      </c>
      <c r="F8072" s="15" t="str">
        <f aca="false">IF(B8072&lt;5,"Go","Standard")</f>
        <v>Standard</v>
      </c>
    </row>
    <row r="8073" customFormat="false" ht="15" hidden="false" customHeight="true" outlineLevel="0" collapsed="false">
      <c r="A8073" s="10" t="n">
        <f aca="false">Einstellungen!$B$5+INT((ROW()-9)/24)</f>
        <v>46302</v>
      </c>
      <c r="B8073" s="11" t="n">
        <f aca="false">MOD(ROW()-9,24)</f>
        <v>0</v>
      </c>
      <c r="C8073" s="12"/>
      <c r="D8073" s="13" t="n">
        <f aca="false">IF(B8073&lt;5,Einstellungen!$B$3,Einstellungen!$B$4)</f>
        <v>15.92</v>
      </c>
      <c r="E8073" s="14" t="str">
        <f aca="false">IF(C8073="","",C8073*D8073/100)</f>
        <v/>
      </c>
      <c r="F8073" s="15" t="str">
        <f aca="false">IF(B8073&lt;5,"Go","Standard")</f>
        <v>Go</v>
      </c>
    </row>
    <row r="8074" customFormat="false" ht="15" hidden="false" customHeight="true" outlineLevel="0" collapsed="false">
      <c r="A8074" s="10" t="n">
        <f aca="false">Einstellungen!$B$5+INT((ROW()-9)/24)</f>
        <v>46302</v>
      </c>
      <c r="B8074" s="11" t="n">
        <f aca="false">MOD(ROW()-9,24)</f>
        <v>1</v>
      </c>
      <c r="C8074" s="12"/>
      <c r="D8074" s="13" t="n">
        <f aca="false">IF(B8074&lt;5,Einstellungen!$B$3,Einstellungen!$B$4)</f>
        <v>15.92</v>
      </c>
      <c r="E8074" s="14" t="str">
        <f aca="false">IF(C8074="","",C8074*D8074/100)</f>
        <v/>
      </c>
      <c r="F8074" s="15" t="str">
        <f aca="false">IF(B8074&lt;5,"Go","Standard")</f>
        <v>Go</v>
      </c>
    </row>
    <row r="8075" customFormat="false" ht="15" hidden="false" customHeight="true" outlineLevel="0" collapsed="false">
      <c r="A8075" s="10" t="n">
        <f aca="false">Einstellungen!$B$5+INT((ROW()-9)/24)</f>
        <v>46302</v>
      </c>
      <c r="B8075" s="11" t="n">
        <f aca="false">MOD(ROW()-9,24)</f>
        <v>2</v>
      </c>
      <c r="C8075" s="12"/>
      <c r="D8075" s="13" t="n">
        <f aca="false">IF(B8075&lt;5,Einstellungen!$B$3,Einstellungen!$B$4)</f>
        <v>15.92</v>
      </c>
      <c r="E8075" s="14" t="str">
        <f aca="false">IF(C8075="","",C8075*D8075/100)</f>
        <v/>
      </c>
      <c r="F8075" s="15" t="str">
        <f aca="false">IF(B8075&lt;5,"Go","Standard")</f>
        <v>Go</v>
      </c>
    </row>
    <row r="8076" customFormat="false" ht="15" hidden="false" customHeight="true" outlineLevel="0" collapsed="false">
      <c r="A8076" s="10" t="n">
        <f aca="false">Einstellungen!$B$5+INT((ROW()-9)/24)</f>
        <v>46302</v>
      </c>
      <c r="B8076" s="11" t="n">
        <f aca="false">MOD(ROW()-9,24)</f>
        <v>3</v>
      </c>
      <c r="C8076" s="12"/>
      <c r="D8076" s="13" t="n">
        <f aca="false">IF(B8076&lt;5,Einstellungen!$B$3,Einstellungen!$B$4)</f>
        <v>15.92</v>
      </c>
      <c r="E8076" s="14" t="str">
        <f aca="false">IF(C8076="","",C8076*D8076/100)</f>
        <v/>
      </c>
      <c r="F8076" s="15" t="str">
        <f aca="false">IF(B8076&lt;5,"Go","Standard")</f>
        <v>Go</v>
      </c>
    </row>
    <row r="8077" customFormat="false" ht="15" hidden="false" customHeight="true" outlineLevel="0" collapsed="false">
      <c r="A8077" s="10" t="n">
        <f aca="false">Einstellungen!$B$5+INT((ROW()-9)/24)</f>
        <v>46302</v>
      </c>
      <c r="B8077" s="11" t="n">
        <f aca="false">MOD(ROW()-9,24)</f>
        <v>4</v>
      </c>
      <c r="C8077" s="12"/>
      <c r="D8077" s="13" t="n">
        <f aca="false">IF(B8077&lt;5,Einstellungen!$B$3,Einstellungen!$B$4)</f>
        <v>15.92</v>
      </c>
      <c r="E8077" s="14" t="str">
        <f aca="false">IF(C8077="","",C8077*D8077/100)</f>
        <v/>
      </c>
      <c r="F8077" s="15" t="str">
        <f aca="false">IF(B8077&lt;5,"Go","Standard")</f>
        <v>Go</v>
      </c>
    </row>
    <row r="8078" customFormat="false" ht="15" hidden="false" customHeight="true" outlineLevel="0" collapsed="false">
      <c r="A8078" s="10" t="n">
        <f aca="false">Einstellungen!$B$5+INT((ROW()-9)/24)</f>
        <v>46302</v>
      </c>
      <c r="B8078" s="11" t="n">
        <f aca="false">MOD(ROW()-9,24)</f>
        <v>5</v>
      </c>
      <c r="C8078" s="12"/>
      <c r="D8078" s="13" t="n">
        <f aca="false">IF(B8078&lt;5,Einstellungen!$B$3,Einstellungen!$B$4)</f>
        <v>29.13</v>
      </c>
      <c r="E8078" s="14" t="str">
        <f aca="false">IF(C8078="","",C8078*D8078/100)</f>
        <v/>
      </c>
      <c r="F8078" s="15" t="str">
        <f aca="false">IF(B8078&lt;5,"Go","Standard")</f>
        <v>Standard</v>
      </c>
    </row>
    <row r="8079" customFormat="false" ht="15" hidden="false" customHeight="true" outlineLevel="0" collapsed="false">
      <c r="A8079" s="10" t="n">
        <f aca="false">Einstellungen!$B$5+INT((ROW()-9)/24)</f>
        <v>46302</v>
      </c>
      <c r="B8079" s="11" t="n">
        <f aca="false">MOD(ROW()-9,24)</f>
        <v>6</v>
      </c>
      <c r="C8079" s="12"/>
      <c r="D8079" s="13" t="n">
        <f aca="false">IF(B8079&lt;5,Einstellungen!$B$3,Einstellungen!$B$4)</f>
        <v>29.13</v>
      </c>
      <c r="E8079" s="14" t="str">
        <f aca="false">IF(C8079="","",C8079*D8079/100)</f>
        <v/>
      </c>
      <c r="F8079" s="15" t="str">
        <f aca="false">IF(B8079&lt;5,"Go","Standard")</f>
        <v>Standard</v>
      </c>
    </row>
    <row r="8080" customFormat="false" ht="15" hidden="false" customHeight="true" outlineLevel="0" collapsed="false">
      <c r="A8080" s="10" t="n">
        <f aca="false">Einstellungen!$B$5+INT((ROW()-9)/24)</f>
        <v>46302</v>
      </c>
      <c r="B8080" s="11" t="n">
        <f aca="false">MOD(ROW()-9,24)</f>
        <v>7</v>
      </c>
      <c r="C8080" s="12"/>
      <c r="D8080" s="13" t="n">
        <f aca="false">IF(B8080&lt;5,Einstellungen!$B$3,Einstellungen!$B$4)</f>
        <v>29.13</v>
      </c>
      <c r="E8080" s="14" t="str">
        <f aca="false">IF(C8080="","",C8080*D8080/100)</f>
        <v/>
      </c>
      <c r="F8080" s="15" t="str">
        <f aca="false">IF(B8080&lt;5,"Go","Standard")</f>
        <v>Standard</v>
      </c>
    </row>
    <row r="8081" customFormat="false" ht="15" hidden="false" customHeight="true" outlineLevel="0" collapsed="false">
      <c r="A8081" s="10" t="n">
        <f aca="false">Einstellungen!$B$5+INT((ROW()-9)/24)</f>
        <v>46302</v>
      </c>
      <c r="B8081" s="11" t="n">
        <f aca="false">MOD(ROW()-9,24)</f>
        <v>8</v>
      </c>
      <c r="C8081" s="12"/>
      <c r="D8081" s="13" t="n">
        <f aca="false">IF(B8081&lt;5,Einstellungen!$B$3,Einstellungen!$B$4)</f>
        <v>29.13</v>
      </c>
      <c r="E8081" s="14" t="str">
        <f aca="false">IF(C8081="","",C8081*D8081/100)</f>
        <v/>
      </c>
      <c r="F8081" s="15" t="str">
        <f aca="false">IF(B8081&lt;5,"Go","Standard")</f>
        <v>Standard</v>
      </c>
    </row>
    <row r="8082" customFormat="false" ht="15" hidden="false" customHeight="true" outlineLevel="0" collapsed="false">
      <c r="A8082" s="10" t="n">
        <f aca="false">Einstellungen!$B$5+INT((ROW()-9)/24)</f>
        <v>46302</v>
      </c>
      <c r="B8082" s="11" t="n">
        <f aca="false">MOD(ROW()-9,24)</f>
        <v>9</v>
      </c>
      <c r="C8082" s="12"/>
      <c r="D8082" s="13" t="n">
        <f aca="false">IF(B8082&lt;5,Einstellungen!$B$3,Einstellungen!$B$4)</f>
        <v>29.13</v>
      </c>
      <c r="E8082" s="14" t="str">
        <f aca="false">IF(C8082="","",C8082*D8082/100)</f>
        <v/>
      </c>
      <c r="F8082" s="15" t="str">
        <f aca="false">IF(B8082&lt;5,"Go","Standard")</f>
        <v>Standard</v>
      </c>
    </row>
    <row r="8083" customFormat="false" ht="15" hidden="false" customHeight="true" outlineLevel="0" collapsed="false">
      <c r="A8083" s="10" t="n">
        <f aca="false">Einstellungen!$B$5+INT((ROW()-9)/24)</f>
        <v>46302</v>
      </c>
      <c r="B8083" s="11" t="n">
        <f aca="false">MOD(ROW()-9,24)</f>
        <v>10</v>
      </c>
      <c r="C8083" s="12"/>
      <c r="D8083" s="13" t="n">
        <f aca="false">IF(B8083&lt;5,Einstellungen!$B$3,Einstellungen!$B$4)</f>
        <v>29.13</v>
      </c>
      <c r="E8083" s="14" t="str">
        <f aca="false">IF(C8083="","",C8083*D8083/100)</f>
        <v/>
      </c>
      <c r="F8083" s="15" t="str">
        <f aca="false">IF(B8083&lt;5,"Go","Standard")</f>
        <v>Standard</v>
      </c>
    </row>
    <row r="8084" customFormat="false" ht="15" hidden="false" customHeight="true" outlineLevel="0" collapsed="false">
      <c r="A8084" s="10" t="n">
        <f aca="false">Einstellungen!$B$5+INT((ROW()-9)/24)</f>
        <v>46302</v>
      </c>
      <c r="B8084" s="11" t="n">
        <f aca="false">MOD(ROW()-9,24)</f>
        <v>11</v>
      </c>
      <c r="C8084" s="12"/>
      <c r="D8084" s="13" t="n">
        <f aca="false">IF(B8084&lt;5,Einstellungen!$B$3,Einstellungen!$B$4)</f>
        <v>29.13</v>
      </c>
      <c r="E8084" s="14" t="str">
        <f aca="false">IF(C8084="","",C8084*D8084/100)</f>
        <v/>
      </c>
      <c r="F8084" s="15" t="str">
        <f aca="false">IF(B8084&lt;5,"Go","Standard")</f>
        <v>Standard</v>
      </c>
    </row>
    <row r="8085" customFormat="false" ht="15" hidden="false" customHeight="true" outlineLevel="0" collapsed="false">
      <c r="A8085" s="10" t="n">
        <f aca="false">Einstellungen!$B$5+INT((ROW()-9)/24)</f>
        <v>46302</v>
      </c>
      <c r="B8085" s="11" t="n">
        <f aca="false">MOD(ROW()-9,24)</f>
        <v>12</v>
      </c>
      <c r="C8085" s="12"/>
      <c r="D8085" s="13" t="n">
        <f aca="false">IF(B8085&lt;5,Einstellungen!$B$3,Einstellungen!$B$4)</f>
        <v>29.13</v>
      </c>
      <c r="E8085" s="14" t="str">
        <f aca="false">IF(C8085="","",C8085*D8085/100)</f>
        <v/>
      </c>
      <c r="F8085" s="15" t="str">
        <f aca="false">IF(B8085&lt;5,"Go","Standard")</f>
        <v>Standard</v>
      </c>
    </row>
    <row r="8086" customFormat="false" ht="15" hidden="false" customHeight="true" outlineLevel="0" collapsed="false">
      <c r="A8086" s="10" t="n">
        <f aca="false">Einstellungen!$B$5+INT((ROW()-9)/24)</f>
        <v>46302</v>
      </c>
      <c r="B8086" s="11" t="n">
        <f aca="false">MOD(ROW()-9,24)</f>
        <v>13</v>
      </c>
      <c r="C8086" s="12"/>
      <c r="D8086" s="13" t="n">
        <f aca="false">IF(B8086&lt;5,Einstellungen!$B$3,Einstellungen!$B$4)</f>
        <v>29.13</v>
      </c>
      <c r="E8086" s="14" t="str">
        <f aca="false">IF(C8086="","",C8086*D8086/100)</f>
        <v/>
      </c>
      <c r="F8086" s="15" t="str">
        <f aca="false">IF(B8086&lt;5,"Go","Standard")</f>
        <v>Standard</v>
      </c>
    </row>
    <row r="8087" customFormat="false" ht="15" hidden="false" customHeight="true" outlineLevel="0" collapsed="false">
      <c r="A8087" s="10" t="n">
        <f aca="false">Einstellungen!$B$5+INT((ROW()-9)/24)</f>
        <v>46302</v>
      </c>
      <c r="B8087" s="11" t="n">
        <f aca="false">MOD(ROW()-9,24)</f>
        <v>14</v>
      </c>
      <c r="C8087" s="12"/>
      <c r="D8087" s="13" t="n">
        <f aca="false">IF(B8087&lt;5,Einstellungen!$B$3,Einstellungen!$B$4)</f>
        <v>29.13</v>
      </c>
      <c r="E8087" s="14" t="str">
        <f aca="false">IF(C8087="","",C8087*D8087/100)</f>
        <v/>
      </c>
      <c r="F8087" s="15" t="str">
        <f aca="false">IF(B8087&lt;5,"Go","Standard")</f>
        <v>Standard</v>
      </c>
    </row>
    <row r="8088" customFormat="false" ht="15" hidden="false" customHeight="true" outlineLevel="0" collapsed="false">
      <c r="A8088" s="10" t="n">
        <f aca="false">Einstellungen!$B$5+INT((ROW()-9)/24)</f>
        <v>46302</v>
      </c>
      <c r="B8088" s="11" t="n">
        <f aca="false">MOD(ROW()-9,24)</f>
        <v>15</v>
      </c>
      <c r="C8088" s="12"/>
      <c r="D8088" s="13" t="n">
        <f aca="false">IF(B8088&lt;5,Einstellungen!$B$3,Einstellungen!$B$4)</f>
        <v>29.13</v>
      </c>
      <c r="E8088" s="14" t="str">
        <f aca="false">IF(C8088="","",C8088*D8088/100)</f>
        <v/>
      </c>
      <c r="F8088" s="15" t="str">
        <f aca="false">IF(B8088&lt;5,"Go","Standard")</f>
        <v>Standard</v>
      </c>
    </row>
    <row r="8089" customFormat="false" ht="15" hidden="false" customHeight="true" outlineLevel="0" collapsed="false">
      <c r="A8089" s="10" t="n">
        <f aca="false">Einstellungen!$B$5+INT((ROW()-9)/24)</f>
        <v>46302</v>
      </c>
      <c r="B8089" s="11" t="n">
        <f aca="false">MOD(ROW()-9,24)</f>
        <v>16</v>
      </c>
      <c r="C8089" s="12"/>
      <c r="D8089" s="13" t="n">
        <f aca="false">IF(B8089&lt;5,Einstellungen!$B$3,Einstellungen!$B$4)</f>
        <v>29.13</v>
      </c>
      <c r="E8089" s="14" t="str">
        <f aca="false">IF(C8089="","",C8089*D8089/100)</f>
        <v/>
      </c>
      <c r="F8089" s="15" t="str">
        <f aca="false">IF(B8089&lt;5,"Go","Standard")</f>
        <v>Standard</v>
      </c>
    </row>
    <row r="8090" customFormat="false" ht="15" hidden="false" customHeight="true" outlineLevel="0" collapsed="false">
      <c r="A8090" s="10" t="n">
        <f aca="false">Einstellungen!$B$5+INT((ROW()-9)/24)</f>
        <v>46302</v>
      </c>
      <c r="B8090" s="11" t="n">
        <f aca="false">MOD(ROW()-9,24)</f>
        <v>17</v>
      </c>
      <c r="C8090" s="12"/>
      <c r="D8090" s="13" t="n">
        <f aca="false">IF(B8090&lt;5,Einstellungen!$B$3,Einstellungen!$B$4)</f>
        <v>29.13</v>
      </c>
      <c r="E8090" s="14" t="str">
        <f aca="false">IF(C8090="","",C8090*D8090/100)</f>
        <v/>
      </c>
      <c r="F8090" s="15" t="str">
        <f aca="false">IF(B8090&lt;5,"Go","Standard")</f>
        <v>Standard</v>
      </c>
    </row>
    <row r="8091" customFormat="false" ht="15" hidden="false" customHeight="true" outlineLevel="0" collapsed="false">
      <c r="A8091" s="10" t="n">
        <f aca="false">Einstellungen!$B$5+INT((ROW()-9)/24)</f>
        <v>46302</v>
      </c>
      <c r="B8091" s="11" t="n">
        <f aca="false">MOD(ROW()-9,24)</f>
        <v>18</v>
      </c>
      <c r="C8091" s="12"/>
      <c r="D8091" s="13" t="n">
        <f aca="false">IF(B8091&lt;5,Einstellungen!$B$3,Einstellungen!$B$4)</f>
        <v>29.13</v>
      </c>
      <c r="E8091" s="14" t="str">
        <f aca="false">IF(C8091="","",C8091*D8091/100)</f>
        <v/>
      </c>
      <c r="F8091" s="15" t="str">
        <f aca="false">IF(B8091&lt;5,"Go","Standard")</f>
        <v>Standard</v>
      </c>
    </row>
    <row r="8092" customFormat="false" ht="15" hidden="false" customHeight="true" outlineLevel="0" collapsed="false">
      <c r="A8092" s="10" t="n">
        <f aca="false">Einstellungen!$B$5+INT((ROW()-9)/24)</f>
        <v>46302</v>
      </c>
      <c r="B8092" s="11" t="n">
        <f aca="false">MOD(ROW()-9,24)</f>
        <v>19</v>
      </c>
      <c r="C8092" s="12"/>
      <c r="D8092" s="13" t="n">
        <f aca="false">IF(B8092&lt;5,Einstellungen!$B$3,Einstellungen!$B$4)</f>
        <v>29.13</v>
      </c>
      <c r="E8092" s="14" t="str">
        <f aca="false">IF(C8092="","",C8092*D8092/100)</f>
        <v/>
      </c>
      <c r="F8092" s="15" t="str">
        <f aca="false">IF(B8092&lt;5,"Go","Standard")</f>
        <v>Standard</v>
      </c>
    </row>
    <row r="8093" customFormat="false" ht="15" hidden="false" customHeight="true" outlineLevel="0" collapsed="false">
      <c r="A8093" s="10" t="n">
        <f aca="false">Einstellungen!$B$5+INT((ROW()-9)/24)</f>
        <v>46302</v>
      </c>
      <c r="B8093" s="11" t="n">
        <f aca="false">MOD(ROW()-9,24)</f>
        <v>20</v>
      </c>
      <c r="C8093" s="12"/>
      <c r="D8093" s="13" t="n">
        <f aca="false">IF(B8093&lt;5,Einstellungen!$B$3,Einstellungen!$B$4)</f>
        <v>29.13</v>
      </c>
      <c r="E8093" s="14" t="str">
        <f aca="false">IF(C8093="","",C8093*D8093/100)</f>
        <v/>
      </c>
      <c r="F8093" s="15" t="str">
        <f aca="false">IF(B8093&lt;5,"Go","Standard")</f>
        <v>Standard</v>
      </c>
    </row>
    <row r="8094" customFormat="false" ht="15" hidden="false" customHeight="true" outlineLevel="0" collapsed="false">
      <c r="A8094" s="10" t="n">
        <f aca="false">Einstellungen!$B$5+INT((ROW()-9)/24)</f>
        <v>46302</v>
      </c>
      <c r="B8094" s="11" t="n">
        <f aca="false">MOD(ROW()-9,24)</f>
        <v>21</v>
      </c>
      <c r="C8094" s="12"/>
      <c r="D8094" s="13" t="n">
        <f aca="false">IF(B8094&lt;5,Einstellungen!$B$3,Einstellungen!$B$4)</f>
        <v>29.13</v>
      </c>
      <c r="E8094" s="14" t="str">
        <f aca="false">IF(C8094="","",C8094*D8094/100)</f>
        <v/>
      </c>
      <c r="F8094" s="15" t="str">
        <f aca="false">IF(B8094&lt;5,"Go","Standard")</f>
        <v>Standard</v>
      </c>
    </row>
    <row r="8095" customFormat="false" ht="15" hidden="false" customHeight="true" outlineLevel="0" collapsed="false">
      <c r="A8095" s="10" t="n">
        <f aca="false">Einstellungen!$B$5+INT((ROW()-9)/24)</f>
        <v>46302</v>
      </c>
      <c r="B8095" s="11" t="n">
        <f aca="false">MOD(ROW()-9,24)</f>
        <v>22</v>
      </c>
      <c r="C8095" s="12"/>
      <c r="D8095" s="13" t="n">
        <f aca="false">IF(B8095&lt;5,Einstellungen!$B$3,Einstellungen!$B$4)</f>
        <v>29.13</v>
      </c>
      <c r="E8095" s="14" t="str">
        <f aca="false">IF(C8095="","",C8095*D8095/100)</f>
        <v/>
      </c>
      <c r="F8095" s="15" t="str">
        <f aca="false">IF(B8095&lt;5,"Go","Standard")</f>
        <v>Standard</v>
      </c>
    </row>
    <row r="8096" customFormat="false" ht="15" hidden="false" customHeight="true" outlineLevel="0" collapsed="false">
      <c r="A8096" s="10" t="n">
        <f aca="false">Einstellungen!$B$5+INT((ROW()-9)/24)</f>
        <v>46302</v>
      </c>
      <c r="B8096" s="11" t="n">
        <f aca="false">MOD(ROW()-9,24)</f>
        <v>23</v>
      </c>
      <c r="C8096" s="12"/>
      <c r="D8096" s="13" t="n">
        <f aca="false">IF(B8096&lt;5,Einstellungen!$B$3,Einstellungen!$B$4)</f>
        <v>29.13</v>
      </c>
      <c r="E8096" s="14" t="str">
        <f aca="false">IF(C8096="","",C8096*D8096/100)</f>
        <v/>
      </c>
      <c r="F8096" s="15" t="str">
        <f aca="false">IF(B8096&lt;5,"Go","Standard")</f>
        <v>Standard</v>
      </c>
    </row>
    <row r="8097" customFormat="false" ht="15" hidden="false" customHeight="true" outlineLevel="0" collapsed="false">
      <c r="A8097" s="10" t="n">
        <f aca="false">Einstellungen!$B$5+INT((ROW()-9)/24)</f>
        <v>46303</v>
      </c>
      <c r="B8097" s="11" t="n">
        <f aca="false">MOD(ROW()-9,24)</f>
        <v>0</v>
      </c>
      <c r="C8097" s="12"/>
      <c r="D8097" s="13" t="n">
        <f aca="false">IF(B8097&lt;5,Einstellungen!$B$3,Einstellungen!$B$4)</f>
        <v>15.92</v>
      </c>
      <c r="E8097" s="14" t="str">
        <f aca="false">IF(C8097="","",C8097*D8097/100)</f>
        <v/>
      </c>
      <c r="F8097" s="15" t="str">
        <f aca="false">IF(B8097&lt;5,"Go","Standard")</f>
        <v>Go</v>
      </c>
    </row>
    <row r="8098" customFormat="false" ht="15" hidden="false" customHeight="true" outlineLevel="0" collapsed="false">
      <c r="A8098" s="10" t="n">
        <f aca="false">Einstellungen!$B$5+INT((ROW()-9)/24)</f>
        <v>46303</v>
      </c>
      <c r="B8098" s="11" t="n">
        <f aca="false">MOD(ROW()-9,24)</f>
        <v>1</v>
      </c>
      <c r="C8098" s="12"/>
      <c r="D8098" s="13" t="n">
        <f aca="false">IF(B8098&lt;5,Einstellungen!$B$3,Einstellungen!$B$4)</f>
        <v>15.92</v>
      </c>
      <c r="E8098" s="14" t="str">
        <f aca="false">IF(C8098="","",C8098*D8098/100)</f>
        <v/>
      </c>
      <c r="F8098" s="15" t="str">
        <f aca="false">IF(B8098&lt;5,"Go","Standard")</f>
        <v>Go</v>
      </c>
    </row>
    <row r="8099" customFormat="false" ht="15" hidden="false" customHeight="true" outlineLevel="0" collapsed="false">
      <c r="A8099" s="10" t="n">
        <f aca="false">Einstellungen!$B$5+INT((ROW()-9)/24)</f>
        <v>46303</v>
      </c>
      <c r="B8099" s="11" t="n">
        <f aca="false">MOD(ROW()-9,24)</f>
        <v>2</v>
      </c>
      <c r="C8099" s="12"/>
      <c r="D8099" s="13" t="n">
        <f aca="false">IF(B8099&lt;5,Einstellungen!$B$3,Einstellungen!$B$4)</f>
        <v>15.92</v>
      </c>
      <c r="E8099" s="14" t="str">
        <f aca="false">IF(C8099="","",C8099*D8099/100)</f>
        <v/>
      </c>
      <c r="F8099" s="15" t="str">
        <f aca="false">IF(B8099&lt;5,"Go","Standard")</f>
        <v>Go</v>
      </c>
    </row>
    <row r="8100" customFormat="false" ht="15" hidden="false" customHeight="true" outlineLevel="0" collapsed="false">
      <c r="A8100" s="10" t="n">
        <f aca="false">Einstellungen!$B$5+INT((ROW()-9)/24)</f>
        <v>46303</v>
      </c>
      <c r="B8100" s="11" t="n">
        <f aca="false">MOD(ROW()-9,24)</f>
        <v>3</v>
      </c>
      <c r="C8100" s="12"/>
      <c r="D8100" s="13" t="n">
        <f aca="false">IF(B8100&lt;5,Einstellungen!$B$3,Einstellungen!$B$4)</f>
        <v>15.92</v>
      </c>
      <c r="E8100" s="14" t="str">
        <f aca="false">IF(C8100="","",C8100*D8100/100)</f>
        <v/>
      </c>
      <c r="F8100" s="15" t="str">
        <f aca="false">IF(B8100&lt;5,"Go","Standard")</f>
        <v>Go</v>
      </c>
    </row>
    <row r="8101" customFormat="false" ht="15" hidden="false" customHeight="true" outlineLevel="0" collapsed="false">
      <c r="A8101" s="10" t="n">
        <f aca="false">Einstellungen!$B$5+INT((ROW()-9)/24)</f>
        <v>46303</v>
      </c>
      <c r="B8101" s="11" t="n">
        <f aca="false">MOD(ROW()-9,24)</f>
        <v>4</v>
      </c>
      <c r="C8101" s="12"/>
      <c r="D8101" s="13" t="n">
        <f aca="false">IF(B8101&lt;5,Einstellungen!$B$3,Einstellungen!$B$4)</f>
        <v>15.92</v>
      </c>
      <c r="E8101" s="14" t="str">
        <f aca="false">IF(C8101="","",C8101*D8101/100)</f>
        <v/>
      </c>
      <c r="F8101" s="15" t="str">
        <f aca="false">IF(B8101&lt;5,"Go","Standard")</f>
        <v>Go</v>
      </c>
    </row>
    <row r="8102" customFormat="false" ht="15" hidden="false" customHeight="true" outlineLevel="0" collapsed="false">
      <c r="A8102" s="10" t="n">
        <f aca="false">Einstellungen!$B$5+INT((ROW()-9)/24)</f>
        <v>46303</v>
      </c>
      <c r="B8102" s="11" t="n">
        <f aca="false">MOD(ROW()-9,24)</f>
        <v>5</v>
      </c>
      <c r="C8102" s="12"/>
      <c r="D8102" s="13" t="n">
        <f aca="false">IF(B8102&lt;5,Einstellungen!$B$3,Einstellungen!$B$4)</f>
        <v>29.13</v>
      </c>
      <c r="E8102" s="14" t="str">
        <f aca="false">IF(C8102="","",C8102*D8102/100)</f>
        <v/>
      </c>
      <c r="F8102" s="15" t="str">
        <f aca="false">IF(B8102&lt;5,"Go","Standard")</f>
        <v>Standard</v>
      </c>
    </row>
    <row r="8103" customFormat="false" ht="15" hidden="false" customHeight="true" outlineLevel="0" collapsed="false">
      <c r="A8103" s="10" t="n">
        <f aca="false">Einstellungen!$B$5+INT((ROW()-9)/24)</f>
        <v>46303</v>
      </c>
      <c r="B8103" s="11" t="n">
        <f aca="false">MOD(ROW()-9,24)</f>
        <v>6</v>
      </c>
      <c r="C8103" s="12"/>
      <c r="D8103" s="13" t="n">
        <f aca="false">IF(B8103&lt;5,Einstellungen!$B$3,Einstellungen!$B$4)</f>
        <v>29.13</v>
      </c>
      <c r="E8103" s="14" t="str">
        <f aca="false">IF(C8103="","",C8103*D8103/100)</f>
        <v/>
      </c>
      <c r="F8103" s="15" t="str">
        <f aca="false">IF(B8103&lt;5,"Go","Standard")</f>
        <v>Standard</v>
      </c>
    </row>
    <row r="8104" customFormat="false" ht="15" hidden="false" customHeight="true" outlineLevel="0" collapsed="false">
      <c r="A8104" s="10" t="n">
        <f aca="false">Einstellungen!$B$5+INT((ROW()-9)/24)</f>
        <v>46303</v>
      </c>
      <c r="B8104" s="11" t="n">
        <f aca="false">MOD(ROW()-9,24)</f>
        <v>7</v>
      </c>
      <c r="C8104" s="12"/>
      <c r="D8104" s="13" t="n">
        <f aca="false">IF(B8104&lt;5,Einstellungen!$B$3,Einstellungen!$B$4)</f>
        <v>29.13</v>
      </c>
      <c r="E8104" s="14" t="str">
        <f aca="false">IF(C8104="","",C8104*D8104/100)</f>
        <v/>
      </c>
      <c r="F8104" s="15" t="str">
        <f aca="false">IF(B8104&lt;5,"Go","Standard")</f>
        <v>Standard</v>
      </c>
    </row>
    <row r="8105" customFormat="false" ht="15" hidden="false" customHeight="true" outlineLevel="0" collapsed="false">
      <c r="A8105" s="10" t="n">
        <f aca="false">Einstellungen!$B$5+INT((ROW()-9)/24)</f>
        <v>46303</v>
      </c>
      <c r="B8105" s="11" t="n">
        <f aca="false">MOD(ROW()-9,24)</f>
        <v>8</v>
      </c>
      <c r="C8105" s="12"/>
      <c r="D8105" s="13" t="n">
        <f aca="false">IF(B8105&lt;5,Einstellungen!$B$3,Einstellungen!$B$4)</f>
        <v>29.13</v>
      </c>
      <c r="E8105" s="14" t="str">
        <f aca="false">IF(C8105="","",C8105*D8105/100)</f>
        <v/>
      </c>
      <c r="F8105" s="15" t="str">
        <f aca="false">IF(B8105&lt;5,"Go","Standard")</f>
        <v>Standard</v>
      </c>
    </row>
    <row r="8106" customFormat="false" ht="15" hidden="false" customHeight="true" outlineLevel="0" collapsed="false">
      <c r="A8106" s="10" t="n">
        <f aca="false">Einstellungen!$B$5+INT((ROW()-9)/24)</f>
        <v>46303</v>
      </c>
      <c r="B8106" s="11" t="n">
        <f aca="false">MOD(ROW()-9,24)</f>
        <v>9</v>
      </c>
      <c r="C8106" s="12"/>
      <c r="D8106" s="13" t="n">
        <f aca="false">IF(B8106&lt;5,Einstellungen!$B$3,Einstellungen!$B$4)</f>
        <v>29.13</v>
      </c>
      <c r="E8106" s="14" t="str">
        <f aca="false">IF(C8106="","",C8106*D8106/100)</f>
        <v/>
      </c>
      <c r="F8106" s="15" t="str">
        <f aca="false">IF(B8106&lt;5,"Go","Standard")</f>
        <v>Standard</v>
      </c>
    </row>
    <row r="8107" customFormat="false" ht="15" hidden="false" customHeight="true" outlineLevel="0" collapsed="false">
      <c r="A8107" s="10" t="n">
        <f aca="false">Einstellungen!$B$5+INT((ROW()-9)/24)</f>
        <v>46303</v>
      </c>
      <c r="B8107" s="11" t="n">
        <f aca="false">MOD(ROW()-9,24)</f>
        <v>10</v>
      </c>
      <c r="C8107" s="12"/>
      <c r="D8107" s="13" t="n">
        <f aca="false">IF(B8107&lt;5,Einstellungen!$B$3,Einstellungen!$B$4)</f>
        <v>29.13</v>
      </c>
      <c r="E8107" s="14" t="str">
        <f aca="false">IF(C8107="","",C8107*D8107/100)</f>
        <v/>
      </c>
      <c r="F8107" s="15" t="str">
        <f aca="false">IF(B8107&lt;5,"Go","Standard")</f>
        <v>Standard</v>
      </c>
    </row>
    <row r="8108" customFormat="false" ht="15" hidden="false" customHeight="true" outlineLevel="0" collapsed="false">
      <c r="A8108" s="10" t="n">
        <f aca="false">Einstellungen!$B$5+INT((ROW()-9)/24)</f>
        <v>46303</v>
      </c>
      <c r="B8108" s="11" t="n">
        <f aca="false">MOD(ROW()-9,24)</f>
        <v>11</v>
      </c>
      <c r="C8108" s="12"/>
      <c r="D8108" s="13" t="n">
        <f aca="false">IF(B8108&lt;5,Einstellungen!$B$3,Einstellungen!$B$4)</f>
        <v>29.13</v>
      </c>
      <c r="E8108" s="14" t="str">
        <f aca="false">IF(C8108="","",C8108*D8108/100)</f>
        <v/>
      </c>
      <c r="F8108" s="15" t="str">
        <f aca="false">IF(B8108&lt;5,"Go","Standard")</f>
        <v>Standard</v>
      </c>
    </row>
    <row r="8109" customFormat="false" ht="15" hidden="false" customHeight="true" outlineLevel="0" collapsed="false">
      <c r="A8109" s="10" t="n">
        <f aca="false">Einstellungen!$B$5+INT((ROW()-9)/24)</f>
        <v>46303</v>
      </c>
      <c r="B8109" s="11" t="n">
        <f aca="false">MOD(ROW()-9,24)</f>
        <v>12</v>
      </c>
      <c r="C8109" s="12"/>
      <c r="D8109" s="13" t="n">
        <f aca="false">IF(B8109&lt;5,Einstellungen!$B$3,Einstellungen!$B$4)</f>
        <v>29.13</v>
      </c>
      <c r="E8109" s="14" t="str">
        <f aca="false">IF(C8109="","",C8109*D8109/100)</f>
        <v/>
      </c>
      <c r="F8109" s="15" t="str">
        <f aca="false">IF(B8109&lt;5,"Go","Standard")</f>
        <v>Standard</v>
      </c>
    </row>
    <row r="8110" customFormat="false" ht="15" hidden="false" customHeight="true" outlineLevel="0" collapsed="false">
      <c r="A8110" s="10" t="n">
        <f aca="false">Einstellungen!$B$5+INT((ROW()-9)/24)</f>
        <v>46303</v>
      </c>
      <c r="B8110" s="11" t="n">
        <f aca="false">MOD(ROW()-9,24)</f>
        <v>13</v>
      </c>
      <c r="C8110" s="12"/>
      <c r="D8110" s="13" t="n">
        <f aca="false">IF(B8110&lt;5,Einstellungen!$B$3,Einstellungen!$B$4)</f>
        <v>29.13</v>
      </c>
      <c r="E8110" s="14" t="str">
        <f aca="false">IF(C8110="","",C8110*D8110/100)</f>
        <v/>
      </c>
      <c r="F8110" s="15" t="str">
        <f aca="false">IF(B8110&lt;5,"Go","Standard")</f>
        <v>Standard</v>
      </c>
    </row>
    <row r="8111" customFormat="false" ht="15" hidden="false" customHeight="true" outlineLevel="0" collapsed="false">
      <c r="A8111" s="10" t="n">
        <f aca="false">Einstellungen!$B$5+INT((ROW()-9)/24)</f>
        <v>46303</v>
      </c>
      <c r="B8111" s="11" t="n">
        <f aca="false">MOD(ROW()-9,24)</f>
        <v>14</v>
      </c>
      <c r="C8111" s="12"/>
      <c r="D8111" s="13" t="n">
        <f aca="false">IF(B8111&lt;5,Einstellungen!$B$3,Einstellungen!$B$4)</f>
        <v>29.13</v>
      </c>
      <c r="E8111" s="14" t="str">
        <f aca="false">IF(C8111="","",C8111*D8111/100)</f>
        <v/>
      </c>
      <c r="F8111" s="15" t="str">
        <f aca="false">IF(B8111&lt;5,"Go","Standard")</f>
        <v>Standard</v>
      </c>
    </row>
    <row r="8112" customFormat="false" ht="15" hidden="false" customHeight="true" outlineLevel="0" collapsed="false">
      <c r="A8112" s="10" t="n">
        <f aca="false">Einstellungen!$B$5+INT((ROW()-9)/24)</f>
        <v>46303</v>
      </c>
      <c r="B8112" s="11" t="n">
        <f aca="false">MOD(ROW()-9,24)</f>
        <v>15</v>
      </c>
      <c r="C8112" s="12"/>
      <c r="D8112" s="13" t="n">
        <f aca="false">IF(B8112&lt;5,Einstellungen!$B$3,Einstellungen!$B$4)</f>
        <v>29.13</v>
      </c>
      <c r="E8112" s="14" t="str">
        <f aca="false">IF(C8112="","",C8112*D8112/100)</f>
        <v/>
      </c>
      <c r="F8112" s="15" t="str">
        <f aca="false">IF(B8112&lt;5,"Go","Standard")</f>
        <v>Standard</v>
      </c>
    </row>
    <row r="8113" customFormat="false" ht="15" hidden="false" customHeight="true" outlineLevel="0" collapsed="false">
      <c r="A8113" s="10" t="n">
        <f aca="false">Einstellungen!$B$5+INT((ROW()-9)/24)</f>
        <v>46303</v>
      </c>
      <c r="B8113" s="11" t="n">
        <f aca="false">MOD(ROW()-9,24)</f>
        <v>16</v>
      </c>
      <c r="C8113" s="12"/>
      <c r="D8113" s="13" t="n">
        <f aca="false">IF(B8113&lt;5,Einstellungen!$B$3,Einstellungen!$B$4)</f>
        <v>29.13</v>
      </c>
      <c r="E8113" s="14" t="str">
        <f aca="false">IF(C8113="","",C8113*D8113/100)</f>
        <v/>
      </c>
      <c r="F8113" s="15" t="str">
        <f aca="false">IF(B8113&lt;5,"Go","Standard")</f>
        <v>Standard</v>
      </c>
    </row>
    <row r="8114" customFormat="false" ht="15" hidden="false" customHeight="true" outlineLevel="0" collapsed="false">
      <c r="A8114" s="10" t="n">
        <f aca="false">Einstellungen!$B$5+INT((ROW()-9)/24)</f>
        <v>46303</v>
      </c>
      <c r="B8114" s="11" t="n">
        <f aca="false">MOD(ROW()-9,24)</f>
        <v>17</v>
      </c>
      <c r="C8114" s="12"/>
      <c r="D8114" s="13" t="n">
        <f aca="false">IF(B8114&lt;5,Einstellungen!$B$3,Einstellungen!$B$4)</f>
        <v>29.13</v>
      </c>
      <c r="E8114" s="14" t="str">
        <f aca="false">IF(C8114="","",C8114*D8114/100)</f>
        <v/>
      </c>
      <c r="F8114" s="15" t="str">
        <f aca="false">IF(B8114&lt;5,"Go","Standard")</f>
        <v>Standard</v>
      </c>
    </row>
    <row r="8115" customFormat="false" ht="15" hidden="false" customHeight="true" outlineLevel="0" collapsed="false">
      <c r="A8115" s="10" t="n">
        <f aca="false">Einstellungen!$B$5+INT((ROW()-9)/24)</f>
        <v>46303</v>
      </c>
      <c r="B8115" s="11" t="n">
        <f aca="false">MOD(ROW()-9,24)</f>
        <v>18</v>
      </c>
      <c r="C8115" s="12"/>
      <c r="D8115" s="13" t="n">
        <f aca="false">IF(B8115&lt;5,Einstellungen!$B$3,Einstellungen!$B$4)</f>
        <v>29.13</v>
      </c>
      <c r="E8115" s="14" t="str">
        <f aca="false">IF(C8115="","",C8115*D8115/100)</f>
        <v/>
      </c>
      <c r="F8115" s="15" t="str">
        <f aca="false">IF(B8115&lt;5,"Go","Standard")</f>
        <v>Standard</v>
      </c>
    </row>
    <row r="8116" customFormat="false" ht="15" hidden="false" customHeight="true" outlineLevel="0" collapsed="false">
      <c r="A8116" s="10" t="n">
        <f aca="false">Einstellungen!$B$5+INT((ROW()-9)/24)</f>
        <v>46303</v>
      </c>
      <c r="B8116" s="11" t="n">
        <f aca="false">MOD(ROW()-9,24)</f>
        <v>19</v>
      </c>
      <c r="C8116" s="12"/>
      <c r="D8116" s="13" t="n">
        <f aca="false">IF(B8116&lt;5,Einstellungen!$B$3,Einstellungen!$B$4)</f>
        <v>29.13</v>
      </c>
      <c r="E8116" s="14" t="str">
        <f aca="false">IF(C8116="","",C8116*D8116/100)</f>
        <v/>
      </c>
      <c r="F8116" s="15" t="str">
        <f aca="false">IF(B8116&lt;5,"Go","Standard")</f>
        <v>Standard</v>
      </c>
    </row>
    <row r="8117" customFormat="false" ht="15" hidden="false" customHeight="true" outlineLevel="0" collapsed="false">
      <c r="A8117" s="10" t="n">
        <f aca="false">Einstellungen!$B$5+INT((ROW()-9)/24)</f>
        <v>46303</v>
      </c>
      <c r="B8117" s="11" t="n">
        <f aca="false">MOD(ROW()-9,24)</f>
        <v>20</v>
      </c>
      <c r="C8117" s="12"/>
      <c r="D8117" s="13" t="n">
        <f aca="false">IF(B8117&lt;5,Einstellungen!$B$3,Einstellungen!$B$4)</f>
        <v>29.13</v>
      </c>
      <c r="E8117" s="14" t="str">
        <f aca="false">IF(C8117="","",C8117*D8117/100)</f>
        <v/>
      </c>
      <c r="F8117" s="15" t="str">
        <f aca="false">IF(B8117&lt;5,"Go","Standard")</f>
        <v>Standard</v>
      </c>
    </row>
    <row r="8118" customFormat="false" ht="15" hidden="false" customHeight="true" outlineLevel="0" collapsed="false">
      <c r="A8118" s="10" t="n">
        <f aca="false">Einstellungen!$B$5+INT((ROW()-9)/24)</f>
        <v>46303</v>
      </c>
      <c r="B8118" s="11" t="n">
        <f aca="false">MOD(ROW()-9,24)</f>
        <v>21</v>
      </c>
      <c r="C8118" s="12"/>
      <c r="D8118" s="13" t="n">
        <f aca="false">IF(B8118&lt;5,Einstellungen!$B$3,Einstellungen!$B$4)</f>
        <v>29.13</v>
      </c>
      <c r="E8118" s="14" t="str">
        <f aca="false">IF(C8118="","",C8118*D8118/100)</f>
        <v/>
      </c>
      <c r="F8118" s="15" t="str">
        <f aca="false">IF(B8118&lt;5,"Go","Standard")</f>
        <v>Standard</v>
      </c>
    </row>
    <row r="8119" customFormat="false" ht="15" hidden="false" customHeight="true" outlineLevel="0" collapsed="false">
      <c r="A8119" s="10" t="n">
        <f aca="false">Einstellungen!$B$5+INT((ROW()-9)/24)</f>
        <v>46303</v>
      </c>
      <c r="B8119" s="11" t="n">
        <f aca="false">MOD(ROW()-9,24)</f>
        <v>22</v>
      </c>
      <c r="C8119" s="12"/>
      <c r="D8119" s="13" t="n">
        <f aca="false">IF(B8119&lt;5,Einstellungen!$B$3,Einstellungen!$B$4)</f>
        <v>29.13</v>
      </c>
      <c r="E8119" s="14" t="str">
        <f aca="false">IF(C8119="","",C8119*D8119/100)</f>
        <v/>
      </c>
      <c r="F8119" s="15" t="str">
        <f aca="false">IF(B8119&lt;5,"Go","Standard")</f>
        <v>Standard</v>
      </c>
    </row>
    <row r="8120" customFormat="false" ht="15" hidden="false" customHeight="true" outlineLevel="0" collapsed="false">
      <c r="A8120" s="10" t="n">
        <f aca="false">Einstellungen!$B$5+INT((ROW()-9)/24)</f>
        <v>46303</v>
      </c>
      <c r="B8120" s="11" t="n">
        <f aca="false">MOD(ROW()-9,24)</f>
        <v>23</v>
      </c>
      <c r="C8120" s="12"/>
      <c r="D8120" s="13" t="n">
        <f aca="false">IF(B8120&lt;5,Einstellungen!$B$3,Einstellungen!$B$4)</f>
        <v>29.13</v>
      </c>
      <c r="E8120" s="14" t="str">
        <f aca="false">IF(C8120="","",C8120*D8120/100)</f>
        <v/>
      </c>
      <c r="F8120" s="15" t="str">
        <f aca="false">IF(B8120&lt;5,"Go","Standard")</f>
        <v>Standard</v>
      </c>
    </row>
    <row r="8121" customFormat="false" ht="15" hidden="false" customHeight="true" outlineLevel="0" collapsed="false">
      <c r="A8121" s="10" t="n">
        <f aca="false">Einstellungen!$B$5+INT((ROW()-9)/24)</f>
        <v>46304</v>
      </c>
      <c r="B8121" s="11" t="n">
        <f aca="false">MOD(ROW()-9,24)</f>
        <v>0</v>
      </c>
      <c r="C8121" s="12"/>
      <c r="D8121" s="13" t="n">
        <f aca="false">IF(B8121&lt;5,Einstellungen!$B$3,Einstellungen!$B$4)</f>
        <v>15.92</v>
      </c>
      <c r="E8121" s="14" t="str">
        <f aca="false">IF(C8121="","",C8121*D8121/100)</f>
        <v/>
      </c>
      <c r="F8121" s="15" t="str">
        <f aca="false">IF(B8121&lt;5,"Go","Standard")</f>
        <v>Go</v>
      </c>
    </row>
    <row r="8122" customFormat="false" ht="15" hidden="false" customHeight="true" outlineLevel="0" collapsed="false">
      <c r="A8122" s="10" t="n">
        <f aca="false">Einstellungen!$B$5+INT((ROW()-9)/24)</f>
        <v>46304</v>
      </c>
      <c r="B8122" s="11" t="n">
        <f aca="false">MOD(ROW()-9,24)</f>
        <v>1</v>
      </c>
      <c r="C8122" s="12"/>
      <c r="D8122" s="13" t="n">
        <f aca="false">IF(B8122&lt;5,Einstellungen!$B$3,Einstellungen!$B$4)</f>
        <v>15.92</v>
      </c>
      <c r="E8122" s="14" t="str">
        <f aca="false">IF(C8122="","",C8122*D8122/100)</f>
        <v/>
      </c>
      <c r="F8122" s="15" t="str">
        <f aca="false">IF(B8122&lt;5,"Go","Standard")</f>
        <v>Go</v>
      </c>
    </row>
    <row r="8123" customFormat="false" ht="15" hidden="false" customHeight="true" outlineLevel="0" collapsed="false">
      <c r="A8123" s="10" t="n">
        <f aca="false">Einstellungen!$B$5+INT((ROW()-9)/24)</f>
        <v>46304</v>
      </c>
      <c r="B8123" s="11" t="n">
        <f aca="false">MOD(ROW()-9,24)</f>
        <v>2</v>
      </c>
      <c r="C8123" s="12"/>
      <c r="D8123" s="13" t="n">
        <f aca="false">IF(B8123&lt;5,Einstellungen!$B$3,Einstellungen!$B$4)</f>
        <v>15.92</v>
      </c>
      <c r="E8123" s="14" t="str">
        <f aca="false">IF(C8123="","",C8123*D8123/100)</f>
        <v/>
      </c>
      <c r="F8123" s="15" t="str">
        <f aca="false">IF(B8123&lt;5,"Go","Standard")</f>
        <v>Go</v>
      </c>
    </row>
    <row r="8124" customFormat="false" ht="15" hidden="false" customHeight="true" outlineLevel="0" collapsed="false">
      <c r="A8124" s="10" t="n">
        <f aca="false">Einstellungen!$B$5+INT((ROW()-9)/24)</f>
        <v>46304</v>
      </c>
      <c r="B8124" s="11" t="n">
        <f aca="false">MOD(ROW()-9,24)</f>
        <v>3</v>
      </c>
      <c r="C8124" s="12"/>
      <c r="D8124" s="13" t="n">
        <f aca="false">IF(B8124&lt;5,Einstellungen!$B$3,Einstellungen!$B$4)</f>
        <v>15.92</v>
      </c>
      <c r="E8124" s="14" t="str">
        <f aca="false">IF(C8124="","",C8124*D8124/100)</f>
        <v/>
      </c>
      <c r="F8124" s="15" t="str">
        <f aca="false">IF(B8124&lt;5,"Go","Standard")</f>
        <v>Go</v>
      </c>
    </row>
    <row r="8125" customFormat="false" ht="15" hidden="false" customHeight="true" outlineLevel="0" collapsed="false">
      <c r="A8125" s="10" t="n">
        <f aca="false">Einstellungen!$B$5+INT((ROW()-9)/24)</f>
        <v>46304</v>
      </c>
      <c r="B8125" s="11" t="n">
        <f aca="false">MOD(ROW()-9,24)</f>
        <v>4</v>
      </c>
      <c r="C8125" s="12"/>
      <c r="D8125" s="13" t="n">
        <f aca="false">IF(B8125&lt;5,Einstellungen!$B$3,Einstellungen!$B$4)</f>
        <v>15.92</v>
      </c>
      <c r="E8125" s="14" t="str">
        <f aca="false">IF(C8125="","",C8125*D8125/100)</f>
        <v/>
      </c>
      <c r="F8125" s="15" t="str">
        <f aca="false">IF(B8125&lt;5,"Go","Standard")</f>
        <v>Go</v>
      </c>
    </row>
    <row r="8126" customFormat="false" ht="15" hidden="false" customHeight="true" outlineLevel="0" collapsed="false">
      <c r="A8126" s="10" t="n">
        <f aca="false">Einstellungen!$B$5+INT((ROW()-9)/24)</f>
        <v>46304</v>
      </c>
      <c r="B8126" s="11" t="n">
        <f aca="false">MOD(ROW()-9,24)</f>
        <v>5</v>
      </c>
      <c r="C8126" s="12"/>
      <c r="D8126" s="13" t="n">
        <f aca="false">IF(B8126&lt;5,Einstellungen!$B$3,Einstellungen!$B$4)</f>
        <v>29.13</v>
      </c>
      <c r="E8126" s="14" t="str">
        <f aca="false">IF(C8126="","",C8126*D8126/100)</f>
        <v/>
      </c>
      <c r="F8126" s="15" t="str">
        <f aca="false">IF(B8126&lt;5,"Go","Standard")</f>
        <v>Standard</v>
      </c>
    </row>
    <row r="8127" customFormat="false" ht="15" hidden="false" customHeight="true" outlineLevel="0" collapsed="false">
      <c r="A8127" s="10" t="n">
        <f aca="false">Einstellungen!$B$5+INT((ROW()-9)/24)</f>
        <v>46304</v>
      </c>
      <c r="B8127" s="11" t="n">
        <f aca="false">MOD(ROW()-9,24)</f>
        <v>6</v>
      </c>
      <c r="C8127" s="12"/>
      <c r="D8127" s="13" t="n">
        <f aca="false">IF(B8127&lt;5,Einstellungen!$B$3,Einstellungen!$B$4)</f>
        <v>29.13</v>
      </c>
      <c r="E8127" s="14" t="str">
        <f aca="false">IF(C8127="","",C8127*D8127/100)</f>
        <v/>
      </c>
      <c r="F8127" s="15" t="str">
        <f aca="false">IF(B8127&lt;5,"Go","Standard")</f>
        <v>Standard</v>
      </c>
    </row>
    <row r="8128" customFormat="false" ht="15" hidden="false" customHeight="true" outlineLevel="0" collapsed="false">
      <c r="A8128" s="10" t="n">
        <f aca="false">Einstellungen!$B$5+INT((ROW()-9)/24)</f>
        <v>46304</v>
      </c>
      <c r="B8128" s="11" t="n">
        <f aca="false">MOD(ROW()-9,24)</f>
        <v>7</v>
      </c>
      <c r="C8128" s="12"/>
      <c r="D8128" s="13" t="n">
        <f aca="false">IF(B8128&lt;5,Einstellungen!$B$3,Einstellungen!$B$4)</f>
        <v>29.13</v>
      </c>
      <c r="E8128" s="14" t="str">
        <f aca="false">IF(C8128="","",C8128*D8128/100)</f>
        <v/>
      </c>
      <c r="F8128" s="15" t="str">
        <f aca="false">IF(B8128&lt;5,"Go","Standard")</f>
        <v>Standard</v>
      </c>
    </row>
    <row r="8129" customFormat="false" ht="15" hidden="false" customHeight="true" outlineLevel="0" collapsed="false">
      <c r="A8129" s="10" t="n">
        <f aca="false">Einstellungen!$B$5+INT((ROW()-9)/24)</f>
        <v>46304</v>
      </c>
      <c r="B8129" s="11" t="n">
        <f aca="false">MOD(ROW()-9,24)</f>
        <v>8</v>
      </c>
      <c r="C8129" s="12"/>
      <c r="D8129" s="13" t="n">
        <f aca="false">IF(B8129&lt;5,Einstellungen!$B$3,Einstellungen!$B$4)</f>
        <v>29.13</v>
      </c>
      <c r="E8129" s="14" t="str">
        <f aca="false">IF(C8129="","",C8129*D8129/100)</f>
        <v/>
      </c>
      <c r="F8129" s="15" t="str">
        <f aca="false">IF(B8129&lt;5,"Go","Standard")</f>
        <v>Standard</v>
      </c>
    </row>
    <row r="8130" customFormat="false" ht="15" hidden="false" customHeight="true" outlineLevel="0" collapsed="false">
      <c r="A8130" s="10" t="n">
        <f aca="false">Einstellungen!$B$5+INT((ROW()-9)/24)</f>
        <v>46304</v>
      </c>
      <c r="B8130" s="11" t="n">
        <f aca="false">MOD(ROW()-9,24)</f>
        <v>9</v>
      </c>
      <c r="C8130" s="12"/>
      <c r="D8130" s="13" t="n">
        <f aca="false">IF(B8130&lt;5,Einstellungen!$B$3,Einstellungen!$B$4)</f>
        <v>29.13</v>
      </c>
      <c r="E8130" s="14" t="str">
        <f aca="false">IF(C8130="","",C8130*D8130/100)</f>
        <v/>
      </c>
      <c r="F8130" s="15" t="str">
        <f aca="false">IF(B8130&lt;5,"Go","Standard")</f>
        <v>Standard</v>
      </c>
    </row>
    <row r="8131" customFormat="false" ht="15" hidden="false" customHeight="true" outlineLevel="0" collapsed="false">
      <c r="A8131" s="10" t="n">
        <f aca="false">Einstellungen!$B$5+INT((ROW()-9)/24)</f>
        <v>46304</v>
      </c>
      <c r="B8131" s="11" t="n">
        <f aca="false">MOD(ROW()-9,24)</f>
        <v>10</v>
      </c>
      <c r="C8131" s="12"/>
      <c r="D8131" s="13" t="n">
        <f aca="false">IF(B8131&lt;5,Einstellungen!$B$3,Einstellungen!$B$4)</f>
        <v>29.13</v>
      </c>
      <c r="E8131" s="14" t="str">
        <f aca="false">IF(C8131="","",C8131*D8131/100)</f>
        <v/>
      </c>
      <c r="F8131" s="15" t="str">
        <f aca="false">IF(B8131&lt;5,"Go","Standard")</f>
        <v>Standard</v>
      </c>
    </row>
    <row r="8132" customFormat="false" ht="15" hidden="false" customHeight="true" outlineLevel="0" collapsed="false">
      <c r="A8132" s="10" t="n">
        <f aca="false">Einstellungen!$B$5+INT((ROW()-9)/24)</f>
        <v>46304</v>
      </c>
      <c r="B8132" s="11" t="n">
        <f aca="false">MOD(ROW()-9,24)</f>
        <v>11</v>
      </c>
      <c r="C8132" s="12"/>
      <c r="D8132" s="13" t="n">
        <f aca="false">IF(B8132&lt;5,Einstellungen!$B$3,Einstellungen!$B$4)</f>
        <v>29.13</v>
      </c>
      <c r="E8132" s="14" t="str">
        <f aca="false">IF(C8132="","",C8132*D8132/100)</f>
        <v/>
      </c>
      <c r="F8132" s="15" t="str">
        <f aca="false">IF(B8132&lt;5,"Go","Standard")</f>
        <v>Standard</v>
      </c>
    </row>
    <row r="8133" customFormat="false" ht="15" hidden="false" customHeight="true" outlineLevel="0" collapsed="false">
      <c r="A8133" s="10" t="n">
        <f aca="false">Einstellungen!$B$5+INT((ROW()-9)/24)</f>
        <v>46304</v>
      </c>
      <c r="B8133" s="11" t="n">
        <f aca="false">MOD(ROW()-9,24)</f>
        <v>12</v>
      </c>
      <c r="C8133" s="12"/>
      <c r="D8133" s="13" t="n">
        <f aca="false">IF(B8133&lt;5,Einstellungen!$B$3,Einstellungen!$B$4)</f>
        <v>29.13</v>
      </c>
      <c r="E8133" s="14" t="str">
        <f aca="false">IF(C8133="","",C8133*D8133/100)</f>
        <v/>
      </c>
      <c r="F8133" s="15" t="str">
        <f aca="false">IF(B8133&lt;5,"Go","Standard")</f>
        <v>Standard</v>
      </c>
    </row>
    <row r="8134" customFormat="false" ht="15" hidden="false" customHeight="true" outlineLevel="0" collapsed="false">
      <c r="A8134" s="10" t="n">
        <f aca="false">Einstellungen!$B$5+INT((ROW()-9)/24)</f>
        <v>46304</v>
      </c>
      <c r="B8134" s="11" t="n">
        <f aca="false">MOD(ROW()-9,24)</f>
        <v>13</v>
      </c>
      <c r="C8134" s="12"/>
      <c r="D8134" s="13" t="n">
        <f aca="false">IF(B8134&lt;5,Einstellungen!$B$3,Einstellungen!$B$4)</f>
        <v>29.13</v>
      </c>
      <c r="E8134" s="14" t="str">
        <f aca="false">IF(C8134="","",C8134*D8134/100)</f>
        <v/>
      </c>
      <c r="F8134" s="15" t="str">
        <f aca="false">IF(B8134&lt;5,"Go","Standard")</f>
        <v>Standard</v>
      </c>
    </row>
    <row r="8135" customFormat="false" ht="15" hidden="false" customHeight="true" outlineLevel="0" collapsed="false">
      <c r="A8135" s="10" t="n">
        <f aca="false">Einstellungen!$B$5+INT((ROW()-9)/24)</f>
        <v>46304</v>
      </c>
      <c r="B8135" s="11" t="n">
        <f aca="false">MOD(ROW()-9,24)</f>
        <v>14</v>
      </c>
      <c r="C8135" s="12"/>
      <c r="D8135" s="13" t="n">
        <f aca="false">IF(B8135&lt;5,Einstellungen!$B$3,Einstellungen!$B$4)</f>
        <v>29.13</v>
      </c>
      <c r="E8135" s="14" t="str">
        <f aca="false">IF(C8135="","",C8135*D8135/100)</f>
        <v/>
      </c>
      <c r="F8135" s="15" t="str">
        <f aca="false">IF(B8135&lt;5,"Go","Standard")</f>
        <v>Standard</v>
      </c>
    </row>
    <row r="8136" customFormat="false" ht="15" hidden="false" customHeight="true" outlineLevel="0" collapsed="false">
      <c r="A8136" s="10" t="n">
        <f aca="false">Einstellungen!$B$5+INT((ROW()-9)/24)</f>
        <v>46304</v>
      </c>
      <c r="B8136" s="11" t="n">
        <f aca="false">MOD(ROW()-9,24)</f>
        <v>15</v>
      </c>
      <c r="C8136" s="12"/>
      <c r="D8136" s="13" t="n">
        <f aca="false">IF(B8136&lt;5,Einstellungen!$B$3,Einstellungen!$B$4)</f>
        <v>29.13</v>
      </c>
      <c r="E8136" s="14" t="str">
        <f aca="false">IF(C8136="","",C8136*D8136/100)</f>
        <v/>
      </c>
      <c r="F8136" s="15" t="str">
        <f aca="false">IF(B8136&lt;5,"Go","Standard")</f>
        <v>Standard</v>
      </c>
    </row>
    <row r="8137" customFormat="false" ht="15" hidden="false" customHeight="true" outlineLevel="0" collapsed="false">
      <c r="A8137" s="10" t="n">
        <f aca="false">Einstellungen!$B$5+INT((ROW()-9)/24)</f>
        <v>46304</v>
      </c>
      <c r="B8137" s="11" t="n">
        <f aca="false">MOD(ROW()-9,24)</f>
        <v>16</v>
      </c>
      <c r="C8137" s="12"/>
      <c r="D8137" s="13" t="n">
        <f aca="false">IF(B8137&lt;5,Einstellungen!$B$3,Einstellungen!$B$4)</f>
        <v>29.13</v>
      </c>
      <c r="E8137" s="14" t="str">
        <f aca="false">IF(C8137="","",C8137*D8137/100)</f>
        <v/>
      </c>
      <c r="F8137" s="15" t="str">
        <f aca="false">IF(B8137&lt;5,"Go","Standard")</f>
        <v>Standard</v>
      </c>
    </row>
    <row r="8138" customFormat="false" ht="15" hidden="false" customHeight="true" outlineLevel="0" collapsed="false">
      <c r="A8138" s="10" t="n">
        <f aca="false">Einstellungen!$B$5+INT((ROW()-9)/24)</f>
        <v>46304</v>
      </c>
      <c r="B8138" s="11" t="n">
        <f aca="false">MOD(ROW()-9,24)</f>
        <v>17</v>
      </c>
      <c r="C8138" s="12"/>
      <c r="D8138" s="13" t="n">
        <f aca="false">IF(B8138&lt;5,Einstellungen!$B$3,Einstellungen!$B$4)</f>
        <v>29.13</v>
      </c>
      <c r="E8138" s="14" t="str">
        <f aca="false">IF(C8138="","",C8138*D8138/100)</f>
        <v/>
      </c>
      <c r="F8138" s="15" t="str">
        <f aca="false">IF(B8138&lt;5,"Go","Standard")</f>
        <v>Standard</v>
      </c>
    </row>
    <row r="8139" customFormat="false" ht="15" hidden="false" customHeight="true" outlineLevel="0" collapsed="false">
      <c r="A8139" s="10" t="n">
        <f aca="false">Einstellungen!$B$5+INT((ROW()-9)/24)</f>
        <v>46304</v>
      </c>
      <c r="B8139" s="11" t="n">
        <f aca="false">MOD(ROW()-9,24)</f>
        <v>18</v>
      </c>
      <c r="C8139" s="12"/>
      <c r="D8139" s="13" t="n">
        <f aca="false">IF(B8139&lt;5,Einstellungen!$B$3,Einstellungen!$B$4)</f>
        <v>29.13</v>
      </c>
      <c r="E8139" s="14" t="str">
        <f aca="false">IF(C8139="","",C8139*D8139/100)</f>
        <v/>
      </c>
      <c r="F8139" s="15" t="str">
        <f aca="false">IF(B8139&lt;5,"Go","Standard")</f>
        <v>Standard</v>
      </c>
    </row>
    <row r="8140" customFormat="false" ht="15" hidden="false" customHeight="true" outlineLevel="0" collapsed="false">
      <c r="A8140" s="10" t="n">
        <f aca="false">Einstellungen!$B$5+INT((ROW()-9)/24)</f>
        <v>46304</v>
      </c>
      <c r="B8140" s="11" t="n">
        <f aca="false">MOD(ROW()-9,24)</f>
        <v>19</v>
      </c>
      <c r="C8140" s="12"/>
      <c r="D8140" s="13" t="n">
        <f aca="false">IF(B8140&lt;5,Einstellungen!$B$3,Einstellungen!$B$4)</f>
        <v>29.13</v>
      </c>
      <c r="E8140" s="14" t="str">
        <f aca="false">IF(C8140="","",C8140*D8140/100)</f>
        <v/>
      </c>
      <c r="F8140" s="15" t="str">
        <f aca="false">IF(B8140&lt;5,"Go","Standard")</f>
        <v>Standard</v>
      </c>
    </row>
    <row r="8141" customFormat="false" ht="15" hidden="false" customHeight="true" outlineLevel="0" collapsed="false">
      <c r="A8141" s="10" t="n">
        <f aca="false">Einstellungen!$B$5+INT((ROW()-9)/24)</f>
        <v>46304</v>
      </c>
      <c r="B8141" s="11" t="n">
        <f aca="false">MOD(ROW()-9,24)</f>
        <v>20</v>
      </c>
      <c r="C8141" s="12"/>
      <c r="D8141" s="13" t="n">
        <f aca="false">IF(B8141&lt;5,Einstellungen!$B$3,Einstellungen!$B$4)</f>
        <v>29.13</v>
      </c>
      <c r="E8141" s="14" t="str">
        <f aca="false">IF(C8141="","",C8141*D8141/100)</f>
        <v/>
      </c>
      <c r="F8141" s="15" t="str">
        <f aca="false">IF(B8141&lt;5,"Go","Standard")</f>
        <v>Standard</v>
      </c>
    </row>
    <row r="8142" customFormat="false" ht="15" hidden="false" customHeight="true" outlineLevel="0" collapsed="false">
      <c r="A8142" s="10" t="n">
        <f aca="false">Einstellungen!$B$5+INT((ROW()-9)/24)</f>
        <v>46304</v>
      </c>
      <c r="B8142" s="11" t="n">
        <f aca="false">MOD(ROW()-9,24)</f>
        <v>21</v>
      </c>
      <c r="C8142" s="12"/>
      <c r="D8142" s="13" t="n">
        <f aca="false">IF(B8142&lt;5,Einstellungen!$B$3,Einstellungen!$B$4)</f>
        <v>29.13</v>
      </c>
      <c r="E8142" s="14" t="str">
        <f aca="false">IF(C8142="","",C8142*D8142/100)</f>
        <v/>
      </c>
      <c r="F8142" s="15" t="str">
        <f aca="false">IF(B8142&lt;5,"Go","Standard")</f>
        <v>Standard</v>
      </c>
    </row>
    <row r="8143" customFormat="false" ht="15" hidden="false" customHeight="true" outlineLevel="0" collapsed="false">
      <c r="A8143" s="10" t="n">
        <f aca="false">Einstellungen!$B$5+INT((ROW()-9)/24)</f>
        <v>46304</v>
      </c>
      <c r="B8143" s="11" t="n">
        <f aca="false">MOD(ROW()-9,24)</f>
        <v>22</v>
      </c>
      <c r="C8143" s="12"/>
      <c r="D8143" s="13" t="n">
        <f aca="false">IF(B8143&lt;5,Einstellungen!$B$3,Einstellungen!$B$4)</f>
        <v>29.13</v>
      </c>
      <c r="E8143" s="14" t="str">
        <f aca="false">IF(C8143="","",C8143*D8143/100)</f>
        <v/>
      </c>
      <c r="F8143" s="15" t="str">
        <f aca="false">IF(B8143&lt;5,"Go","Standard")</f>
        <v>Standard</v>
      </c>
    </row>
    <row r="8144" customFormat="false" ht="15" hidden="false" customHeight="true" outlineLevel="0" collapsed="false">
      <c r="A8144" s="10" t="n">
        <f aca="false">Einstellungen!$B$5+INT((ROW()-9)/24)</f>
        <v>46304</v>
      </c>
      <c r="B8144" s="11" t="n">
        <f aca="false">MOD(ROW()-9,24)</f>
        <v>23</v>
      </c>
      <c r="C8144" s="12"/>
      <c r="D8144" s="13" t="n">
        <f aca="false">IF(B8144&lt;5,Einstellungen!$B$3,Einstellungen!$B$4)</f>
        <v>29.13</v>
      </c>
      <c r="E8144" s="14" t="str">
        <f aca="false">IF(C8144="","",C8144*D8144/100)</f>
        <v/>
      </c>
      <c r="F8144" s="15" t="str">
        <f aca="false">IF(B8144&lt;5,"Go","Standard")</f>
        <v>Standard</v>
      </c>
    </row>
    <row r="8145" customFormat="false" ht="15" hidden="false" customHeight="true" outlineLevel="0" collapsed="false">
      <c r="A8145" s="10" t="n">
        <f aca="false">Einstellungen!$B$5+INT((ROW()-9)/24)</f>
        <v>46305</v>
      </c>
      <c r="B8145" s="11" t="n">
        <f aca="false">MOD(ROW()-9,24)</f>
        <v>0</v>
      </c>
      <c r="C8145" s="12"/>
      <c r="D8145" s="13" t="n">
        <f aca="false">IF(B8145&lt;5,Einstellungen!$B$3,Einstellungen!$B$4)</f>
        <v>15.92</v>
      </c>
      <c r="E8145" s="14" t="str">
        <f aca="false">IF(C8145="","",C8145*D8145/100)</f>
        <v/>
      </c>
      <c r="F8145" s="15" t="str">
        <f aca="false">IF(B8145&lt;5,"Go","Standard")</f>
        <v>Go</v>
      </c>
    </row>
    <row r="8146" customFormat="false" ht="15" hidden="false" customHeight="true" outlineLevel="0" collapsed="false">
      <c r="A8146" s="10" t="n">
        <f aca="false">Einstellungen!$B$5+INT((ROW()-9)/24)</f>
        <v>46305</v>
      </c>
      <c r="B8146" s="11" t="n">
        <f aca="false">MOD(ROW()-9,24)</f>
        <v>1</v>
      </c>
      <c r="C8146" s="12"/>
      <c r="D8146" s="13" t="n">
        <f aca="false">IF(B8146&lt;5,Einstellungen!$B$3,Einstellungen!$B$4)</f>
        <v>15.92</v>
      </c>
      <c r="E8146" s="14" t="str">
        <f aca="false">IF(C8146="","",C8146*D8146/100)</f>
        <v/>
      </c>
      <c r="F8146" s="15" t="str">
        <f aca="false">IF(B8146&lt;5,"Go","Standard")</f>
        <v>Go</v>
      </c>
    </row>
    <row r="8147" customFormat="false" ht="15" hidden="false" customHeight="true" outlineLevel="0" collapsed="false">
      <c r="A8147" s="10" t="n">
        <f aca="false">Einstellungen!$B$5+INT((ROW()-9)/24)</f>
        <v>46305</v>
      </c>
      <c r="B8147" s="11" t="n">
        <f aca="false">MOD(ROW()-9,24)</f>
        <v>2</v>
      </c>
      <c r="C8147" s="12"/>
      <c r="D8147" s="13" t="n">
        <f aca="false">IF(B8147&lt;5,Einstellungen!$B$3,Einstellungen!$B$4)</f>
        <v>15.92</v>
      </c>
      <c r="E8147" s="14" t="str">
        <f aca="false">IF(C8147="","",C8147*D8147/100)</f>
        <v/>
      </c>
      <c r="F8147" s="15" t="str">
        <f aca="false">IF(B8147&lt;5,"Go","Standard")</f>
        <v>Go</v>
      </c>
    </row>
    <row r="8148" customFormat="false" ht="15" hidden="false" customHeight="true" outlineLevel="0" collapsed="false">
      <c r="A8148" s="10" t="n">
        <f aca="false">Einstellungen!$B$5+INT((ROW()-9)/24)</f>
        <v>46305</v>
      </c>
      <c r="B8148" s="11" t="n">
        <f aca="false">MOD(ROW()-9,24)</f>
        <v>3</v>
      </c>
      <c r="C8148" s="12"/>
      <c r="D8148" s="13" t="n">
        <f aca="false">IF(B8148&lt;5,Einstellungen!$B$3,Einstellungen!$B$4)</f>
        <v>15.92</v>
      </c>
      <c r="E8148" s="14" t="str">
        <f aca="false">IF(C8148="","",C8148*D8148/100)</f>
        <v/>
      </c>
      <c r="F8148" s="15" t="str">
        <f aca="false">IF(B8148&lt;5,"Go","Standard")</f>
        <v>Go</v>
      </c>
    </row>
    <row r="8149" customFormat="false" ht="15" hidden="false" customHeight="true" outlineLevel="0" collapsed="false">
      <c r="A8149" s="10" t="n">
        <f aca="false">Einstellungen!$B$5+INT((ROW()-9)/24)</f>
        <v>46305</v>
      </c>
      <c r="B8149" s="11" t="n">
        <f aca="false">MOD(ROW()-9,24)</f>
        <v>4</v>
      </c>
      <c r="C8149" s="12"/>
      <c r="D8149" s="13" t="n">
        <f aca="false">IF(B8149&lt;5,Einstellungen!$B$3,Einstellungen!$B$4)</f>
        <v>15.92</v>
      </c>
      <c r="E8149" s="14" t="str">
        <f aca="false">IF(C8149="","",C8149*D8149/100)</f>
        <v/>
      </c>
      <c r="F8149" s="15" t="str">
        <f aca="false">IF(B8149&lt;5,"Go","Standard")</f>
        <v>Go</v>
      </c>
    </row>
    <row r="8150" customFormat="false" ht="15" hidden="false" customHeight="true" outlineLevel="0" collapsed="false">
      <c r="A8150" s="10" t="n">
        <f aca="false">Einstellungen!$B$5+INT((ROW()-9)/24)</f>
        <v>46305</v>
      </c>
      <c r="B8150" s="11" t="n">
        <f aca="false">MOD(ROW()-9,24)</f>
        <v>5</v>
      </c>
      <c r="C8150" s="12"/>
      <c r="D8150" s="13" t="n">
        <f aca="false">IF(B8150&lt;5,Einstellungen!$B$3,Einstellungen!$B$4)</f>
        <v>29.13</v>
      </c>
      <c r="E8150" s="14" t="str">
        <f aca="false">IF(C8150="","",C8150*D8150/100)</f>
        <v/>
      </c>
      <c r="F8150" s="15" t="str">
        <f aca="false">IF(B8150&lt;5,"Go","Standard")</f>
        <v>Standard</v>
      </c>
    </row>
    <row r="8151" customFormat="false" ht="15" hidden="false" customHeight="true" outlineLevel="0" collapsed="false">
      <c r="A8151" s="10" t="n">
        <f aca="false">Einstellungen!$B$5+INT((ROW()-9)/24)</f>
        <v>46305</v>
      </c>
      <c r="B8151" s="11" t="n">
        <f aca="false">MOD(ROW()-9,24)</f>
        <v>6</v>
      </c>
      <c r="C8151" s="12"/>
      <c r="D8151" s="13" t="n">
        <f aca="false">IF(B8151&lt;5,Einstellungen!$B$3,Einstellungen!$B$4)</f>
        <v>29.13</v>
      </c>
      <c r="E8151" s="14" t="str">
        <f aca="false">IF(C8151="","",C8151*D8151/100)</f>
        <v/>
      </c>
      <c r="F8151" s="15" t="str">
        <f aca="false">IF(B8151&lt;5,"Go","Standard")</f>
        <v>Standard</v>
      </c>
    </row>
    <row r="8152" customFormat="false" ht="15" hidden="false" customHeight="true" outlineLevel="0" collapsed="false">
      <c r="A8152" s="10" t="n">
        <f aca="false">Einstellungen!$B$5+INT((ROW()-9)/24)</f>
        <v>46305</v>
      </c>
      <c r="B8152" s="11" t="n">
        <f aca="false">MOD(ROW()-9,24)</f>
        <v>7</v>
      </c>
      <c r="C8152" s="12"/>
      <c r="D8152" s="13" t="n">
        <f aca="false">IF(B8152&lt;5,Einstellungen!$B$3,Einstellungen!$B$4)</f>
        <v>29.13</v>
      </c>
      <c r="E8152" s="14" t="str">
        <f aca="false">IF(C8152="","",C8152*D8152/100)</f>
        <v/>
      </c>
      <c r="F8152" s="15" t="str">
        <f aca="false">IF(B8152&lt;5,"Go","Standard")</f>
        <v>Standard</v>
      </c>
    </row>
    <row r="8153" customFormat="false" ht="15" hidden="false" customHeight="true" outlineLevel="0" collapsed="false">
      <c r="A8153" s="10" t="n">
        <f aca="false">Einstellungen!$B$5+INT((ROW()-9)/24)</f>
        <v>46305</v>
      </c>
      <c r="B8153" s="11" t="n">
        <f aca="false">MOD(ROW()-9,24)</f>
        <v>8</v>
      </c>
      <c r="C8153" s="12"/>
      <c r="D8153" s="13" t="n">
        <f aca="false">IF(B8153&lt;5,Einstellungen!$B$3,Einstellungen!$B$4)</f>
        <v>29.13</v>
      </c>
      <c r="E8153" s="14" t="str">
        <f aca="false">IF(C8153="","",C8153*D8153/100)</f>
        <v/>
      </c>
      <c r="F8153" s="15" t="str">
        <f aca="false">IF(B8153&lt;5,"Go","Standard")</f>
        <v>Standard</v>
      </c>
    </row>
    <row r="8154" customFormat="false" ht="15" hidden="false" customHeight="true" outlineLevel="0" collapsed="false">
      <c r="A8154" s="10" t="n">
        <f aca="false">Einstellungen!$B$5+INT((ROW()-9)/24)</f>
        <v>46305</v>
      </c>
      <c r="B8154" s="11" t="n">
        <f aca="false">MOD(ROW()-9,24)</f>
        <v>9</v>
      </c>
      <c r="C8154" s="12"/>
      <c r="D8154" s="13" t="n">
        <f aca="false">IF(B8154&lt;5,Einstellungen!$B$3,Einstellungen!$B$4)</f>
        <v>29.13</v>
      </c>
      <c r="E8154" s="14" t="str">
        <f aca="false">IF(C8154="","",C8154*D8154/100)</f>
        <v/>
      </c>
      <c r="F8154" s="15" t="str">
        <f aca="false">IF(B8154&lt;5,"Go","Standard")</f>
        <v>Standard</v>
      </c>
    </row>
    <row r="8155" customFormat="false" ht="15" hidden="false" customHeight="true" outlineLevel="0" collapsed="false">
      <c r="A8155" s="10" t="n">
        <f aca="false">Einstellungen!$B$5+INT((ROW()-9)/24)</f>
        <v>46305</v>
      </c>
      <c r="B8155" s="11" t="n">
        <f aca="false">MOD(ROW()-9,24)</f>
        <v>10</v>
      </c>
      <c r="C8155" s="12"/>
      <c r="D8155" s="13" t="n">
        <f aca="false">IF(B8155&lt;5,Einstellungen!$B$3,Einstellungen!$B$4)</f>
        <v>29.13</v>
      </c>
      <c r="E8155" s="14" t="str">
        <f aca="false">IF(C8155="","",C8155*D8155/100)</f>
        <v/>
      </c>
      <c r="F8155" s="15" t="str">
        <f aca="false">IF(B8155&lt;5,"Go","Standard")</f>
        <v>Standard</v>
      </c>
    </row>
    <row r="8156" customFormat="false" ht="15" hidden="false" customHeight="true" outlineLevel="0" collapsed="false">
      <c r="A8156" s="10" t="n">
        <f aca="false">Einstellungen!$B$5+INT((ROW()-9)/24)</f>
        <v>46305</v>
      </c>
      <c r="B8156" s="11" t="n">
        <f aca="false">MOD(ROW()-9,24)</f>
        <v>11</v>
      </c>
      <c r="C8156" s="12"/>
      <c r="D8156" s="13" t="n">
        <f aca="false">IF(B8156&lt;5,Einstellungen!$B$3,Einstellungen!$B$4)</f>
        <v>29.13</v>
      </c>
      <c r="E8156" s="14" t="str">
        <f aca="false">IF(C8156="","",C8156*D8156/100)</f>
        <v/>
      </c>
      <c r="F8156" s="15" t="str">
        <f aca="false">IF(B8156&lt;5,"Go","Standard")</f>
        <v>Standard</v>
      </c>
    </row>
    <row r="8157" customFormat="false" ht="15" hidden="false" customHeight="true" outlineLevel="0" collapsed="false">
      <c r="A8157" s="10" t="n">
        <f aca="false">Einstellungen!$B$5+INT((ROW()-9)/24)</f>
        <v>46305</v>
      </c>
      <c r="B8157" s="11" t="n">
        <f aca="false">MOD(ROW()-9,24)</f>
        <v>12</v>
      </c>
      <c r="C8157" s="12"/>
      <c r="D8157" s="13" t="n">
        <f aca="false">IF(B8157&lt;5,Einstellungen!$B$3,Einstellungen!$B$4)</f>
        <v>29.13</v>
      </c>
      <c r="E8157" s="14" t="str">
        <f aca="false">IF(C8157="","",C8157*D8157/100)</f>
        <v/>
      </c>
      <c r="F8157" s="15" t="str">
        <f aca="false">IF(B8157&lt;5,"Go","Standard")</f>
        <v>Standard</v>
      </c>
    </row>
    <row r="8158" customFormat="false" ht="15" hidden="false" customHeight="true" outlineLevel="0" collapsed="false">
      <c r="A8158" s="10" t="n">
        <f aca="false">Einstellungen!$B$5+INT((ROW()-9)/24)</f>
        <v>46305</v>
      </c>
      <c r="B8158" s="11" t="n">
        <f aca="false">MOD(ROW()-9,24)</f>
        <v>13</v>
      </c>
      <c r="C8158" s="12"/>
      <c r="D8158" s="13" t="n">
        <f aca="false">IF(B8158&lt;5,Einstellungen!$B$3,Einstellungen!$B$4)</f>
        <v>29.13</v>
      </c>
      <c r="E8158" s="14" t="str">
        <f aca="false">IF(C8158="","",C8158*D8158/100)</f>
        <v/>
      </c>
      <c r="F8158" s="15" t="str">
        <f aca="false">IF(B8158&lt;5,"Go","Standard")</f>
        <v>Standard</v>
      </c>
    </row>
    <row r="8159" customFormat="false" ht="15" hidden="false" customHeight="true" outlineLevel="0" collapsed="false">
      <c r="A8159" s="10" t="n">
        <f aca="false">Einstellungen!$B$5+INT((ROW()-9)/24)</f>
        <v>46305</v>
      </c>
      <c r="B8159" s="11" t="n">
        <f aca="false">MOD(ROW()-9,24)</f>
        <v>14</v>
      </c>
      <c r="C8159" s="12"/>
      <c r="D8159" s="13" t="n">
        <f aca="false">IF(B8159&lt;5,Einstellungen!$B$3,Einstellungen!$B$4)</f>
        <v>29.13</v>
      </c>
      <c r="E8159" s="14" t="str">
        <f aca="false">IF(C8159="","",C8159*D8159/100)</f>
        <v/>
      </c>
      <c r="F8159" s="15" t="str">
        <f aca="false">IF(B8159&lt;5,"Go","Standard")</f>
        <v>Standard</v>
      </c>
    </row>
    <row r="8160" customFormat="false" ht="15" hidden="false" customHeight="true" outlineLevel="0" collapsed="false">
      <c r="A8160" s="10" t="n">
        <f aca="false">Einstellungen!$B$5+INT((ROW()-9)/24)</f>
        <v>46305</v>
      </c>
      <c r="B8160" s="11" t="n">
        <f aca="false">MOD(ROW()-9,24)</f>
        <v>15</v>
      </c>
      <c r="C8160" s="12"/>
      <c r="D8160" s="13" t="n">
        <f aca="false">IF(B8160&lt;5,Einstellungen!$B$3,Einstellungen!$B$4)</f>
        <v>29.13</v>
      </c>
      <c r="E8160" s="14" t="str">
        <f aca="false">IF(C8160="","",C8160*D8160/100)</f>
        <v/>
      </c>
      <c r="F8160" s="15" t="str">
        <f aca="false">IF(B8160&lt;5,"Go","Standard")</f>
        <v>Standard</v>
      </c>
    </row>
    <row r="8161" customFormat="false" ht="15" hidden="false" customHeight="true" outlineLevel="0" collapsed="false">
      <c r="A8161" s="10" t="n">
        <f aca="false">Einstellungen!$B$5+INT((ROW()-9)/24)</f>
        <v>46305</v>
      </c>
      <c r="B8161" s="11" t="n">
        <f aca="false">MOD(ROW()-9,24)</f>
        <v>16</v>
      </c>
      <c r="C8161" s="12"/>
      <c r="D8161" s="13" t="n">
        <f aca="false">IF(B8161&lt;5,Einstellungen!$B$3,Einstellungen!$B$4)</f>
        <v>29.13</v>
      </c>
      <c r="E8161" s="14" t="str">
        <f aca="false">IF(C8161="","",C8161*D8161/100)</f>
        <v/>
      </c>
      <c r="F8161" s="15" t="str">
        <f aca="false">IF(B8161&lt;5,"Go","Standard")</f>
        <v>Standard</v>
      </c>
    </row>
    <row r="8162" customFormat="false" ht="15" hidden="false" customHeight="true" outlineLevel="0" collapsed="false">
      <c r="A8162" s="10" t="n">
        <f aca="false">Einstellungen!$B$5+INT((ROW()-9)/24)</f>
        <v>46305</v>
      </c>
      <c r="B8162" s="11" t="n">
        <f aca="false">MOD(ROW()-9,24)</f>
        <v>17</v>
      </c>
      <c r="C8162" s="12"/>
      <c r="D8162" s="13" t="n">
        <f aca="false">IF(B8162&lt;5,Einstellungen!$B$3,Einstellungen!$B$4)</f>
        <v>29.13</v>
      </c>
      <c r="E8162" s="14" t="str">
        <f aca="false">IF(C8162="","",C8162*D8162/100)</f>
        <v/>
      </c>
      <c r="F8162" s="15" t="str">
        <f aca="false">IF(B8162&lt;5,"Go","Standard")</f>
        <v>Standard</v>
      </c>
    </row>
    <row r="8163" customFormat="false" ht="15" hidden="false" customHeight="true" outlineLevel="0" collapsed="false">
      <c r="A8163" s="10" t="n">
        <f aca="false">Einstellungen!$B$5+INT((ROW()-9)/24)</f>
        <v>46305</v>
      </c>
      <c r="B8163" s="11" t="n">
        <f aca="false">MOD(ROW()-9,24)</f>
        <v>18</v>
      </c>
      <c r="C8163" s="12"/>
      <c r="D8163" s="13" t="n">
        <f aca="false">IF(B8163&lt;5,Einstellungen!$B$3,Einstellungen!$B$4)</f>
        <v>29.13</v>
      </c>
      <c r="E8163" s="14" t="str">
        <f aca="false">IF(C8163="","",C8163*D8163/100)</f>
        <v/>
      </c>
      <c r="F8163" s="15" t="str">
        <f aca="false">IF(B8163&lt;5,"Go","Standard")</f>
        <v>Standard</v>
      </c>
    </row>
    <row r="8164" customFormat="false" ht="15" hidden="false" customHeight="true" outlineLevel="0" collapsed="false">
      <c r="A8164" s="10" t="n">
        <f aca="false">Einstellungen!$B$5+INT((ROW()-9)/24)</f>
        <v>46305</v>
      </c>
      <c r="B8164" s="11" t="n">
        <f aca="false">MOD(ROW()-9,24)</f>
        <v>19</v>
      </c>
      <c r="C8164" s="12"/>
      <c r="D8164" s="13" t="n">
        <f aca="false">IF(B8164&lt;5,Einstellungen!$B$3,Einstellungen!$B$4)</f>
        <v>29.13</v>
      </c>
      <c r="E8164" s="14" t="str">
        <f aca="false">IF(C8164="","",C8164*D8164/100)</f>
        <v/>
      </c>
      <c r="F8164" s="15" t="str">
        <f aca="false">IF(B8164&lt;5,"Go","Standard")</f>
        <v>Standard</v>
      </c>
    </row>
    <row r="8165" customFormat="false" ht="15" hidden="false" customHeight="true" outlineLevel="0" collapsed="false">
      <c r="A8165" s="10" t="n">
        <f aca="false">Einstellungen!$B$5+INT((ROW()-9)/24)</f>
        <v>46305</v>
      </c>
      <c r="B8165" s="11" t="n">
        <f aca="false">MOD(ROW()-9,24)</f>
        <v>20</v>
      </c>
      <c r="C8165" s="12"/>
      <c r="D8165" s="13" t="n">
        <f aca="false">IF(B8165&lt;5,Einstellungen!$B$3,Einstellungen!$B$4)</f>
        <v>29.13</v>
      </c>
      <c r="E8165" s="14" t="str">
        <f aca="false">IF(C8165="","",C8165*D8165/100)</f>
        <v/>
      </c>
      <c r="F8165" s="15" t="str">
        <f aca="false">IF(B8165&lt;5,"Go","Standard")</f>
        <v>Standard</v>
      </c>
    </row>
    <row r="8166" customFormat="false" ht="15" hidden="false" customHeight="true" outlineLevel="0" collapsed="false">
      <c r="A8166" s="10" t="n">
        <f aca="false">Einstellungen!$B$5+INT((ROW()-9)/24)</f>
        <v>46305</v>
      </c>
      <c r="B8166" s="11" t="n">
        <f aca="false">MOD(ROW()-9,24)</f>
        <v>21</v>
      </c>
      <c r="C8166" s="12"/>
      <c r="D8166" s="13" t="n">
        <f aca="false">IF(B8166&lt;5,Einstellungen!$B$3,Einstellungen!$B$4)</f>
        <v>29.13</v>
      </c>
      <c r="E8166" s="14" t="str">
        <f aca="false">IF(C8166="","",C8166*D8166/100)</f>
        <v/>
      </c>
      <c r="F8166" s="15" t="str">
        <f aca="false">IF(B8166&lt;5,"Go","Standard")</f>
        <v>Standard</v>
      </c>
    </row>
    <row r="8167" customFormat="false" ht="15" hidden="false" customHeight="true" outlineLevel="0" collapsed="false">
      <c r="A8167" s="10" t="n">
        <f aca="false">Einstellungen!$B$5+INT((ROW()-9)/24)</f>
        <v>46305</v>
      </c>
      <c r="B8167" s="11" t="n">
        <f aca="false">MOD(ROW()-9,24)</f>
        <v>22</v>
      </c>
      <c r="C8167" s="12"/>
      <c r="D8167" s="13" t="n">
        <f aca="false">IF(B8167&lt;5,Einstellungen!$B$3,Einstellungen!$B$4)</f>
        <v>29.13</v>
      </c>
      <c r="E8167" s="14" t="str">
        <f aca="false">IF(C8167="","",C8167*D8167/100)</f>
        <v/>
      </c>
      <c r="F8167" s="15" t="str">
        <f aca="false">IF(B8167&lt;5,"Go","Standard")</f>
        <v>Standard</v>
      </c>
    </row>
    <row r="8168" customFormat="false" ht="15" hidden="false" customHeight="true" outlineLevel="0" collapsed="false">
      <c r="A8168" s="10" t="n">
        <f aca="false">Einstellungen!$B$5+INT((ROW()-9)/24)</f>
        <v>46305</v>
      </c>
      <c r="B8168" s="11" t="n">
        <f aca="false">MOD(ROW()-9,24)</f>
        <v>23</v>
      </c>
      <c r="C8168" s="12"/>
      <c r="D8168" s="13" t="n">
        <f aca="false">IF(B8168&lt;5,Einstellungen!$B$3,Einstellungen!$B$4)</f>
        <v>29.13</v>
      </c>
      <c r="E8168" s="14" t="str">
        <f aca="false">IF(C8168="","",C8168*D8168/100)</f>
        <v/>
      </c>
      <c r="F8168" s="15" t="str">
        <f aca="false">IF(B8168&lt;5,"Go","Standard")</f>
        <v>Standard</v>
      </c>
    </row>
    <row r="8169" customFormat="false" ht="15" hidden="false" customHeight="true" outlineLevel="0" collapsed="false">
      <c r="A8169" s="10" t="n">
        <f aca="false">Einstellungen!$B$5+INT((ROW()-9)/24)</f>
        <v>46306</v>
      </c>
      <c r="B8169" s="11" t="n">
        <f aca="false">MOD(ROW()-9,24)</f>
        <v>0</v>
      </c>
      <c r="C8169" s="12"/>
      <c r="D8169" s="13" t="n">
        <f aca="false">IF(B8169&lt;5,Einstellungen!$B$3,Einstellungen!$B$4)</f>
        <v>15.92</v>
      </c>
      <c r="E8169" s="14" t="str">
        <f aca="false">IF(C8169="","",C8169*D8169/100)</f>
        <v/>
      </c>
      <c r="F8169" s="15" t="str">
        <f aca="false">IF(B8169&lt;5,"Go","Standard")</f>
        <v>Go</v>
      </c>
    </row>
    <row r="8170" customFormat="false" ht="15" hidden="false" customHeight="true" outlineLevel="0" collapsed="false">
      <c r="A8170" s="10" t="n">
        <f aca="false">Einstellungen!$B$5+INT((ROW()-9)/24)</f>
        <v>46306</v>
      </c>
      <c r="B8170" s="11" t="n">
        <f aca="false">MOD(ROW()-9,24)</f>
        <v>1</v>
      </c>
      <c r="C8170" s="12"/>
      <c r="D8170" s="13" t="n">
        <f aca="false">IF(B8170&lt;5,Einstellungen!$B$3,Einstellungen!$B$4)</f>
        <v>15.92</v>
      </c>
      <c r="E8170" s="14" t="str">
        <f aca="false">IF(C8170="","",C8170*D8170/100)</f>
        <v/>
      </c>
      <c r="F8170" s="15" t="str">
        <f aca="false">IF(B8170&lt;5,"Go","Standard")</f>
        <v>Go</v>
      </c>
    </row>
    <row r="8171" customFormat="false" ht="15" hidden="false" customHeight="true" outlineLevel="0" collapsed="false">
      <c r="A8171" s="10" t="n">
        <f aca="false">Einstellungen!$B$5+INT((ROW()-9)/24)</f>
        <v>46306</v>
      </c>
      <c r="B8171" s="11" t="n">
        <f aca="false">MOD(ROW()-9,24)</f>
        <v>2</v>
      </c>
      <c r="C8171" s="12"/>
      <c r="D8171" s="13" t="n">
        <f aca="false">IF(B8171&lt;5,Einstellungen!$B$3,Einstellungen!$B$4)</f>
        <v>15.92</v>
      </c>
      <c r="E8171" s="14" t="str">
        <f aca="false">IF(C8171="","",C8171*D8171/100)</f>
        <v/>
      </c>
      <c r="F8171" s="15" t="str">
        <f aca="false">IF(B8171&lt;5,"Go","Standard")</f>
        <v>Go</v>
      </c>
    </row>
    <row r="8172" customFormat="false" ht="15" hidden="false" customHeight="true" outlineLevel="0" collapsed="false">
      <c r="A8172" s="10" t="n">
        <f aca="false">Einstellungen!$B$5+INT((ROW()-9)/24)</f>
        <v>46306</v>
      </c>
      <c r="B8172" s="11" t="n">
        <f aca="false">MOD(ROW()-9,24)</f>
        <v>3</v>
      </c>
      <c r="C8172" s="12"/>
      <c r="D8172" s="13" t="n">
        <f aca="false">IF(B8172&lt;5,Einstellungen!$B$3,Einstellungen!$B$4)</f>
        <v>15.92</v>
      </c>
      <c r="E8172" s="14" t="str">
        <f aca="false">IF(C8172="","",C8172*D8172/100)</f>
        <v/>
      </c>
      <c r="F8172" s="15" t="str">
        <f aca="false">IF(B8172&lt;5,"Go","Standard")</f>
        <v>Go</v>
      </c>
    </row>
    <row r="8173" customFormat="false" ht="15" hidden="false" customHeight="true" outlineLevel="0" collapsed="false">
      <c r="A8173" s="10" t="n">
        <f aca="false">Einstellungen!$B$5+INT((ROW()-9)/24)</f>
        <v>46306</v>
      </c>
      <c r="B8173" s="11" t="n">
        <f aca="false">MOD(ROW()-9,24)</f>
        <v>4</v>
      </c>
      <c r="C8173" s="12"/>
      <c r="D8173" s="13" t="n">
        <f aca="false">IF(B8173&lt;5,Einstellungen!$B$3,Einstellungen!$B$4)</f>
        <v>15.92</v>
      </c>
      <c r="E8173" s="14" t="str">
        <f aca="false">IF(C8173="","",C8173*D8173/100)</f>
        <v/>
      </c>
      <c r="F8173" s="15" t="str">
        <f aca="false">IF(B8173&lt;5,"Go","Standard")</f>
        <v>Go</v>
      </c>
    </row>
    <row r="8174" customFormat="false" ht="15" hidden="false" customHeight="true" outlineLevel="0" collapsed="false">
      <c r="A8174" s="10" t="n">
        <f aca="false">Einstellungen!$B$5+INT((ROW()-9)/24)</f>
        <v>46306</v>
      </c>
      <c r="B8174" s="11" t="n">
        <f aca="false">MOD(ROW()-9,24)</f>
        <v>5</v>
      </c>
      <c r="C8174" s="12"/>
      <c r="D8174" s="13" t="n">
        <f aca="false">IF(B8174&lt;5,Einstellungen!$B$3,Einstellungen!$B$4)</f>
        <v>29.13</v>
      </c>
      <c r="E8174" s="14" t="str">
        <f aca="false">IF(C8174="","",C8174*D8174/100)</f>
        <v/>
      </c>
      <c r="F8174" s="15" t="str">
        <f aca="false">IF(B8174&lt;5,"Go","Standard")</f>
        <v>Standard</v>
      </c>
    </row>
    <row r="8175" customFormat="false" ht="15" hidden="false" customHeight="true" outlineLevel="0" collapsed="false">
      <c r="A8175" s="10" t="n">
        <f aca="false">Einstellungen!$B$5+INT((ROW()-9)/24)</f>
        <v>46306</v>
      </c>
      <c r="B8175" s="11" t="n">
        <f aca="false">MOD(ROW()-9,24)</f>
        <v>6</v>
      </c>
      <c r="C8175" s="12"/>
      <c r="D8175" s="13" t="n">
        <f aca="false">IF(B8175&lt;5,Einstellungen!$B$3,Einstellungen!$B$4)</f>
        <v>29.13</v>
      </c>
      <c r="E8175" s="14" t="str">
        <f aca="false">IF(C8175="","",C8175*D8175/100)</f>
        <v/>
      </c>
      <c r="F8175" s="15" t="str">
        <f aca="false">IF(B8175&lt;5,"Go","Standard")</f>
        <v>Standard</v>
      </c>
    </row>
    <row r="8176" customFormat="false" ht="15" hidden="false" customHeight="true" outlineLevel="0" collapsed="false">
      <c r="A8176" s="10" t="n">
        <f aca="false">Einstellungen!$B$5+INT((ROW()-9)/24)</f>
        <v>46306</v>
      </c>
      <c r="B8176" s="11" t="n">
        <f aca="false">MOD(ROW()-9,24)</f>
        <v>7</v>
      </c>
      <c r="C8176" s="12"/>
      <c r="D8176" s="13" t="n">
        <f aca="false">IF(B8176&lt;5,Einstellungen!$B$3,Einstellungen!$B$4)</f>
        <v>29.13</v>
      </c>
      <c r="E8176" s="14" t="str">
        <f aca="false">IF(C8176="","",C8176*D8176/100)</f>
        <v/>
      </c>
      <c r="F8176" s="15" t="str">
        <f aca="false">IF(B8176&lt;5,"Go","Standard")</f>
        <v>Standard</v>
      </c>
    </row>
    <row r="8177" customFormat="false" ht="15" hidden="false" customHeight="true" outlineLevel="0" collapsed="false">
      <c r="A8177" s="10" t="n">
        <f aca="false">Einstellungen!$B$5+INT((ROW()-9)/24)</f>
        <v>46306</v>
      </c>
      <c r="B8177" s="11" t="n">
        <f aca="false">MOD(ROW()-9,24)</f>
        <v>8</v>
      </c>
      <c r="C8177" s="12"/>
      <c r="D8177" s="13" t="n">
        <f aca="false">IF(B8177&lt;5,Einstellungen!$B$3,Einstellungen!$B$4)</f>
        <v>29.13</v>
      </c>
      <c r="E8177" s="14" t="str">
        <f aca="false">IF(C8177="","",C8177*D8177/100)</f>
        <v/>
      </c>
      <c r="F8177" s="15" t="str">
        <f aca="false">IF(B8177&lt;5,"Go","Standard")</f>
        <v>Standard</v>
      </c>
    </row>
    <row r="8178" customFormat="false" ht="15" hidden="false" customHeight="true" outlineLevel="0" collapsed="false">
      <c r="A8178" s="10" t="n">
        <f aca="false">Einstellungen!$B$5+INT((ROW()-9)/24)</f>
        <v>46306</v>
      </c>
      <c r="B8178" s="11" t="n">
        <f aca="false">MOD(ROW()-9,24)</f>
        <v>9</v>
      </c>
      <c r="C8178" s="12"/>
      <c r="D8178" s="13" t="n">
        <f aca="false">IF(B8178&lt;5,Einstellungen!$B$3,Einstellungen!$B$4)</f>
        <v>29.13</v>
      </c>
      <c r="E8178" s="14" t="str">
        <f aca="false">IF(C8178="","",C8178*D8178/100)</f>
        <v/>
      </c>
      <c r="F8178" s="15" t="str">
        <f aca="false">IF(B8178&lt;5,"Go","Standard")</f>
        <v>Standard</v>
      </c>
    </row>
    <row r="8179" customFormat="false" ht="15" hidden="false" customHeight="true" outlineLevel="0" collapsed="false">
      <c r="A8179" s="10" t="n">
        <f aca="false">Einstellungen!$B$5+INT((ROW()-9)/24)</f>
        <v>46306</v>
      </c>
      <c r="B8179" s="11" t="n">
        <f aca="false">MOD(ROW()-9,24)</f>
        <v>10</v>
      </c>
      <c r="C8179" s="12"/>
      <c r="D8179" s="13" t="n">
        <f aca="false">IF(B8179&lt;5,Einstellungen!$B$3,Einstellungen!$B$4)</f>
        <v>29.13</v>
      </c>
      <c r="E8179" s="14" t="str">
        <f aca="false">IF(C8179="","",C8179*D8179/100)</f>
        <v/>
      </c>
      <c r="F8179" s="15" t="str">
        <f aca="false">IF(B8179&lt;5,"Go","Standard")</f>
        <v>Standard</v>
      </c>
    </row>
    <row r="8180" customFormat="false" ht="15" hidden="false" customHeight="true" outlineLevel="0" collapsed="false">
      <c r="A8180" s="10" t="n">
        <f aca="false">Einstellungen!$B$5+INT((ROW()-9)/24)</f>
        <v>46306</v>
      </c>
      <c r="B8180" s="11" t="n">
        <f aca="false">MOD(ROW()-9,24)</f>
        <v>11</v>
      </c>
      <c r="C8180" s="12"/>
      <c r="D8180" s="13" t="n">
        <f aca="false">IF(B8180&lt;5,Einstellungen!$B$3,Einstellungen!$B$4)</f>
        <v>29.13</v>
      </c>
      <c r="E8180" s="14" t="str">
        <f aca="false">IF(C8180="","",C8180*D8180/100)</f>
        <v/>
      </c>
      <c r="F8180" s="15" t="str">
        <f aca="false">IF(B8180&lt;5,"Go","Standard")</f>
        <v>Standard</v>
      </c>
    </row>
    <row r="8181" customFormat="false" ht="15" hidden="false" customHeight="true" outlineLevel="0" collapsed="false">
      <c r="A8181" s="10" t="n">
        <f aca="false">Einstellungen!$B$5+INT((ROW()-9)/24)</f>
        <v>46306</v>
      </c>
      <c r="B8181" s="11" t="n">
        <f aca="false">MOD(ROW()-9,24)</f>
        <v>12</v>
      </c>
      <c r="C8181" s="12"/>
      <c r="D8181" s="13" t="n">
        <f aca="false">IF(B8181&lt;5,Einstellungen!$B$3,Einstellungen!$B$4)</f>
        <v>29.13</v>
      </c>
      <c r="E8181" s="14" t="str">
        <f aca="false">IF(C8181="","",C8181*D8181/100)</f>
        <v/>
      </c>
      <c r="F8181" s="15" t="str">
        <f aca="false">IF(B8181&lt;5,"Go","Standard")</f>
        <v>Standard</v>
      </c>
    </row>
    <row r="8182" customFormat="false" ht="15" hidden="false" customHeight="true" outlineLevel="0" collapsed="false">
      <c r="A8182" s="10" t="n">
        <f aca="false">Einstellungen!$B$5+INT((ROW()-9)/24)</f>
        <v>46306</v>
      </c>
      <c r="B8182" s="11" t="n">
        <f aca="false">MOD(ROW()-9,24)</f>
        <v>13</v>
      </c>
      <c r="C8182" s="12"/>
      <c r="D8182" s="13" t="n">
        <f aca="false">IF(B8182&lt;5,Einstellungen!$B$3,Einstellungen!$B$4)</f>
        <v>29.13</v>
      </c>
      <c r="E8182" s="14" t="str">
        <f aca="false">IF(C8182="","",C8182*D8182/100)</f>
        <v/>
      </c>
      <c r="F8182" s="15" t="str">
        <f aca="false">IF(B8182&lt;5,"Go","Standard")</f>
        <v>Standard</v>
      </c>
    </row>
    <row r="8183" customFormat="false" ht="15" hidden="false" customHeight="true" outlineLevel="0" collapsed="false">
      <c r="A8183" s="10" t="n">
        <f aca="false">Einstellungen!$B$5+INT((ROW()-9)/24)</f>
        <v>46306</v>
      </c>
      <c r="B8183" s="11" t="n">
        <f aca="false">MOD(ROW()-9,24)</f>
        <v>14</v>
      </c>
      <c r="C8183" s="12"/>
      <c r="D8183" s="13" t="n">
        <f aca="false">IF(B8183&lt;5,Einstellungen!$B$3,Einstellungen!$B$4)</f>
        <v>29.13</v>
      </c>
      <c r="E8183" s="14" t="str">
        <f aca="false">IF(C8183="","",C8183*D8183/100)</f>
        <v/>
      </c>
      <c r="F8183" s="15" t="str">
        <f aca="false">IF(B8183&lt;5,"Go","Standard")</f>
        <v>Standard</v>
      </c>
    </row>
    <row r="8184" customFormat="false" ht="15" hidden="false" customHeight="true" outlineLevel="0" collapsed="false">
      <c r="A8184" s="10" t="n">
        <f aca="false">Einstellungen!$B$5+INT((ROW()-9)/24)</f>
        <v>46306</v>
      </c>
      <c r="B8184" s="11" t="n">
        <f aca="false">MOD(ROW()-9,24)</f>
        <v>15</v>
      </c>
      <c r="C8184" s="12"/>
      <c r="D8184" s="13" t="n">
        <f aca="false">IF(B8184&lt;5,Einstellungen!$B$3,Einstellungen!$B$4)</f>
        <v>29.13</v>
      </c>
      <c r="E8184" s="14" t="str">
        <f aca="false">IF(C8184="","",C8184*D8184/100)</f>
        <v/>
      </c>
      <c r="F8184" s="15" t="str">
        <f aca="false">IF(B8184&lt;5,"Go","Standard")</f>
        <v>Standard</v>
      </c>
    </row>
    <row r="8185" customFormat="false" ht="15" hidden="false" customHeight="true" outlineLevel="0" collapsed="false">
      <c r="A8185" s="10" t="n">
        <f aca="false">Einstellungen!$B$5+INT((ROW()-9)/24)</f>
        <v>46306</v>
      </c>
      <c r="B8185" s="11" t="n">
        <f aca="false">MOD(ROW()-9,24)</f>
        <v>16</v>
      </c>
      <c r="C8185" s="12"/>
      <c r="D8185" s="13" t="n">
        <f aca="false">IF(B8185&lt;5,Einstellungen!$B$3,Einstellungen!$B$4)</f>
        <v>29.13</v>
      </c>
      <c r="E8185" s="14" t="str">
        <f aca="false">IF(C8185="","",C8185*D8185/100)</f>
        <v/>
      </c>
      <c r="F8185" s="15" t="str">
        <f aca="false">IF(B8185&lt;5,"Go","Standard")</f>
        <v>Standard</v>
      </c>
    </row>
    <row r="8186" customFormat="false" ht="15" hidden="false" customHeight="true" outlineLevel="0" collapsed="false">
      <c r="A8186" s="10" t="n">
        <f aca="false">Einstellungen!$B$5+INT((ROW()-9)/24)</f>
        <v>46306</v>
      </c>
      <c r="B8186" s="11" t="n">
        <f aca="false">MOD(ROW()-9,24)</f>
        <v>17</v>
      </c>
      <c r="C8186" s="12"/>
      <c r="D8186" s="13" t="n">
        <f aca="false">IF(B8186&lt;5,Einstellungen!$B$3,Einstellungen!$B$4)</f>
        <v>29.13</v>
      </c>
      <c r="E8186" s="14" t="str">
        <f aca="false">IF(C8186="","",C8186*D8186/100)</f>
        <v/>
      </c>
      <c r="F8186" s="15" t="str">
        <f aca="false">IF(B8186&lt;5,"Go","Standard")</f>
        <v>Standard</v>
      </c>
    </row>
    <row r="8187" customFormat="false" ht="15" hidden="false" customHeight="true" outlineLevel="0" collapsed="false">
      <c r="A8187" s="10" t="n">
        <f aca="false">Einstellungen!$B$5+INT((ROW()-9)/24)</f>
        <v>46306</v>
      </c>
      <c r="B8187" s="11" t="n">
        <f aca="false">MOD(ROW()-9,24)</f>
        <v>18</v>
      </c>
      <c r="C8187" s="12"/>
      <c r="D8187" s="13" t="n">
        <f aca="false">IF(B8187&lt;5,Einstellungen!$B$3,Einstellungen!$B$4)</f>
        <v>29.13</v>
      </c>
      <c r="E8187" s="14" t="str">
        <f aca="false">IF(C8187="","",C8187*D8187/100)</f>
        <v/>
      </c>
      <c r="F8187" s="15" t="str">
        <f aca="false">IF(B8187&lt;5,"Go","Standard")</f>
        <v>Standard</v>
      </c>
    </row>
    <row r="8188" customFormat="false" ht="15" hidden="false" customHeight="true" outlineLevel="0" collapsed="false">
      <c r="A8188" s="10" t="n">
        <f aca="false">Einstellungen!$B$5+INT((ROW()-9)/24)</f>
        <v>46306</v>
      </c>
      <c r="B8188" s="11" t="n">
        <f aca="false">MOD(ROW()-9,24)</f>
        <v>19</v>
      </c>
      <c r="C8188" s="12"/>
      <c r="D8188" s="13" t="n">
        <f aca="false">IF(B8188&lt;5,Einstellungen!$B$3,Einstellungen!$B$4)</f>
        <v>29.13</v>
      </c>
      <c r="E8188" s="14" t="str">
        <f aca="false">IF(C8188="","",C8188*D8188/100)</f>
        <v/>
      </c>
      <c r="F8188" s="15" t="str">
        <f aca="false">IF(B8188&lt;5,"Go","Standard")</f>
        <v>Standard</v>
      </c>
    </row>
    <row r="8189" customFormat="false" ht="15" hidden="false" customHeight="true" outlineLevel="0" collapsed="false">
      <c r="A8189" s="10" t="n">
        <f aca="false">Einstellungen!$B$5+INT((ROW()-9)/24)</f>
        <v>46306</v>
      </c>
      <c r="B8189" s="11" t="n">
        <f aca="false">MOD(ROW()-9,24)</f>
        <v>20</v>
      </c>
      <c r="C8189" s="12"/>
      <c r="D8189" s="13" t="n">
        <f aca="false">IF(B8189&lt;5,Einstellungen!$B$3,Einstellungen!$B$4)</f>
        <v>29.13</v>
      </c>
      <c r="E8189" s="14" t="str">
        <f aca="false">IF(C8189="","",C8189*D8189/100)</f>
        <v/>
      </c>
      <c r="F8189" s="15" t="str">
        <f aca="false">IF(B8189&lt;5,"Go","Standard")</f>
        <v>Standard</v>
      </c>
    </row>
    <row r="8190" customFormat="false" ht="15" hidden="false" customHeight="true" outlineLevel="0" collapsed="false">
      <c r="A8190" s="10" t="n">
        <f aca="false">Einstellungen!$B$5+INT((ROW()-9)/24)</f>
        <v>46306</v>
      </c>
      <c r="B8190" s="11" t="n">
        <f aca="false">MOD(ROW()-9,24)</f>
        <v>21</v>
      </c>
      <c r="C8190" s="12"/>
      <c r="D8190" s="13" t="n">
        <f aca="false">IF(B8190&lt;5,Einstellungen!$B$3,Einstellungen!$B$4)</f>
        <v>29.13</v>
      </c>
      <c r="E8190" s="14" t="str">
        <f aca="false">IF(C8190="","",C8190*D8190/100)</f>
        <v/>
      </c>
      <c r="F8190" s="15" t="str">
        <f aca="false">IF(B8190&lt;5,"Go","Standard")</f>
        <v>Standard</v>
      </c>
    </row>
    <row r="8191" customFormat="false" ht="15" hidden="false" customHeight="true" outlineLevel="0" collapsed="false">
      <c r="A8191" s="10" t="n">
        <f aca="false">Einstellungen!$B$5+INT((ROW()-9)/24)</f>
        <v>46306</v>
      </c>
      <c r="B8191" s="11" t="n">
        <f aca="false">MOD(ROW()-9,24)</f>
        <v>22</v>
      </c>
      <c r="C8191" s="12"/>
      <c r="D8191" s="13" t="n">
        <f aca="false">IF(B8191&lt;5,Einstellungen!$B$3,Einstellungen!$B$4)</f>
        <v>29.13</v>
      </c>
      <c r="E8191" s="14" t="str">
        <f aca="false">IF(C8191="","",C8191*D8191/100)</f>
        <v/>
      </c>
      <c r="F8191" s="15" t="str">
        <f aca="false">IF(B8191&lt;5,"Go","Standard")</f>
        <v>Standard</v>
      </c>
    </row>
    <row r="8192" customFormat="false" ht="15" hidden="false" customHeight="true" outlineLevel="0" collapsed="false">
      <c r="A8192" s="10" t="n">
        <f aca="false">Einstellungen!$B$5+INT((ROW()-9)/24)</f>
        <v>46306</v>
      </c>
      <c r="B8192" s="11" t="n">
        <f aca="false">MOD(ROW()-9,24)</f>
        <v>23</v>
      </c>
      <c r="C8192" s="12"/>
      <c r="D8192" s="13" t="n">
        <f aca="false">IF(B8192&lt;5,Einstellungen!$B$3,Einstellungen!$B$4)</f>
        <v>29.13</v>
      </c>
      <c r="E8192" s="14" t="str">
        <f aca="false">IF(C8192="","",C8192*D8192/100)</f>
        <v/>
      </c>
      <c r="F8192" s="15" t="str">
        <f aca="false">IF(B8192&lt;5,"Go","Standard")</f>
        <v>Standard</v>
      </c>
    </row>
    <row r="8193" customFormat="false" ht="15" hidden="false" customHeight="true" outlineLevel="0" collapsed="false">
      <c r="A8193" s="10" t="n">
        <f aca="false">Einstellungen!$B$5+INT((ROW()-9)/24)</f>
        <v>46307</v>
      </c>
      <c r="B8193" s="11" t="n">
        <f aca="false">MOD(ROW()-9,24)</f>
        <v>0</v>
      </c>
      <c r="C8193" s="12"/>
      <c r="D8193" s="13" t="n">
        <f aca="false">IF(B8193&lt;5,Einstellungen!$B$3,Einstellungen!$B$4)</f>
        <v>15.92</v>
      </c>
      <c r="E8193" s="14" t="str">
        <f aca="false">IF(C8193="","",C8193*D8193/100)</f>
        <v/>
      </c>
      <c r="F8193" s="15" t="str">
        <f aca="false">IF(B8193&lt;5,"Go","Standard")</f>
        <v>Go</v>
      </c>
    </row>
    <row r="8194" customFormat="false" ht="15" hidden="false" customHeight="true" outlineLevel="0" collapsed="false">
      <c r="A8194" s="10" t="n">
        <f aca="false">Einstellungen!$B$5+INT((ROW()-9)/24)</f>
        <v>46307</v>
      </c>
      <c r="B8194" s="11" t="n">
        <f aca="false">MOD(ROW()-9,24)</f>
        <v>1</v>
      </c>
      <c r="C8194" s="12"/>
      <c r="D8194" s="13" t="n">
        <f aca="false">IF(B8194&lt;5,Einstellungen!$B$3,Einstellungen!$B$4)</f>
        <v>15.92</v>
      </c>
      <c r="E8194" s="14" t="str">
        <f aca="false">IF(C8194="","",C8194*D8194/100)</f>
        <v/>
      </c>
      <c r="F8194" s="15" t="str">
        <f aca="false">IF(B8194&lt;5,"Go","Standard")</f>
        <v>Go</v>
      </c>
    </row>
    <row r="8195" customFormat="false" ht="15" hidden="false" customHeight="true" outlineLevel="0" collapsed="false">
      <c r="A8195" s="10" t="n">
        <f aca="false">Einstellungen!$B$5+INT((ROW()-9)/24)</f>
        <v>46307</v>
      </c>
      <c r="B8195" s="11" t="n">
        <f aca="false">MOD(ROW()-9,24)</f>
        <v>2</v>
      </c>
      <c r="C8195" s="12"/>
      <c r="D8195" s="13" t="n">
        <f aca="false">IF(B8195&lt;5,Einstellungen!$B$3,Einstellungen!$B$4)</f>
        <v>15.92</v>
      </c>
      <c r="E8195" s="14" t="str">
        <f aca="false">IF(C8195="","",C8195*D8195/100)</f>
        <v/>
      </c>
      <c r="F8195" s="15" t="str">
        <f aca="false">IF(B8195&lt;5,"Go","Standard")</f>
        <v>Go</v>
      </c>
    </row>
    <row r="8196" customFormat="false" ht="15" hidden="false" customHeight="true" outlineLevel="0" collapsed="false">
      <c r="A8196" s="10" t="n">
        <f aca="false">Einstellungen!$B$5+INT((ROW()-9)/24)</f>
        <v>46307</v>
      </c>
      <c r="B8196" s="11" t="n">
        <f aca="false">MOD(ROW()-9,24)</f>
        <v>3</v>
      </c>
      <c r="C8196" s="12"/>
      <c r="D8196" s="13" t="n">
        <f aca="false">IF(B8196&lt;5,Einstellungen!$B$3,Einstellungen!$B$4)</f>
        <v>15.92</v>
      </c>
      <c r="E8196" s="14" t="str">
        <f aca="false">IF(C8196="","",C8196*D8196/100)</f>
        <v/>
      </c>
      <c r="F8196" s="15" t="str">
        <f aca="false">IF(B8196&lt;5,"Go","Standard")</f>
        <v>Go</v>
      </c>
    </row>
    <row r="8197" customFormat="false" ht="15" hidden="false" customHeight="true" outlineLevel="0" collapsed="false">
      <c r="A8197" s="10" t="n">
        <f aca="false">Einstellungen!$B$5+INT((ROW()-9)/24)</f>
        <v>46307</v>
      </c>
      <c r="B8197" s="11" t="n">
        <f aca="false">MOD(ROW()-9,24)</f>
        <v>4</v>
      </c>
      <c r="C8197" s="12"/>
      <c r="D8197" s="13" t="n">
        <f aca="false">IF(B8197&lt;5,Einstellungen!$B$3,Einstellungen!$B$4)</f>
        <v>15.92</v>
      </c>
      <c r="E8197" s="14" t="str">
        <f aca="false">IF(C8197="","",C8197*D8197/100)</f>
        <v/>
      </c>
      <c r="F8197" s="15" t="str">
        <f aca="false">IF(B8197&lt;5,"Go","Standard")</f>
        <v>Go</v>
      </c>
    </row>
    <row r="8198" customFormat="false" ht="15" hidden="false" customHeight="true" outlineLevel="0" collapsed="false">
      <c r="A8198" s="10" t="n">
        <f aca="false">Einstellungen!$B$5+INT((ROW()-9)/24)</f>
        <v>46307</v>
      </c>
      <c r="B8198" s="11" t="n">
        <f aca="false">MOD(ROW()-9,24)</f>
        <v>5</v>
      </c>
      <c r="C8198" s="12"/>
      <c r="D8198" s="13" t="n">
        <f aca="false">IF(B8198&lt;5,Einstellungen!$B$3,Einstellungen!$B$4)</f>
        <v>29.13</v>
      </c>
      <c r="E8198" s="14" t="str">
        <f aca="false">IF(C8198="","",C8198*D8198/100)</f>
        <v/>
      </c>
      <c r="F8198" s="15" t="str">
        <f aca="false">IF(B8198&lt;5,"Go","Standard")</f>
        <v>Standard</v>
      </c>
    </row>
    <row r="8199" customFormat="false" ht="15" hidden="false" customHeight="true" outlineLevel="0" collapsed="false">
      <c r="A8199" s="10" t="n">
        <f aca="false">Einstellungen!$B$5+INT((ROW()-9)/24)</f>
        <v>46307</v>
      </c>
      <c r="B8199" s="11" t="n">
        <f aca="false">MOD(ROW()-9,24)</f>
        <v>6</v>
      </c>
      <c r="C8199" s="12"/>
      <c r="D8199" s="13" t="n">
        <f aca="false">IF(B8199&lt;5,Einstellungen!$B$3,Einstellungen!$B$4)</f>
        <v>29.13</v>
      </c>
      <c r="E8199" s="14" t="str">
        <f aca="false">IF(C8199="","",C8199*D8199/100)</f>
        <v/>
      </c>
      <c r="F8199" s="15" t="str">
        <f aca="false">IF(B8199&lt;5,"Go","Standard")</f>
        <v>Standard</v>
      </c>
    </row>
    <row r="8200" customFormat="false" ht="15" hidden="false" customHeight="true" outlineLevel="0" collapsed="false">
      <c r="A8200" s="10" t="n">
        <f aca="false">Einstellungen!$B$5+INT((ROW()-9)/24)</f>
        <v>46307</v>
      </c>
      <c r="B8200" s="11" t="n">
        <f aca="false">MOD(ROW()-9,24)</f>
        <v>7</v>
      </c>
      <c r="C8200" s="12"/>
      <c r="D8200" s="13" t="n">
        <f aca="false">IF(B8200&lt;5,Einstellungen!$B$3,Einstellungen!$B$4)</f>
        <v>29.13</v>
      </c>
      <c r="E8200" s="14" t="str">
        <f aca="false">IF(C8200="","",C8200*D8200/100)</f>
        <v/>
      </c>
      <c r="F8200" s="15" t="str">
        <f aca="false">IF(B8200&lt;5,"Go","Standard")</f>
        <v>Standard</v>
      </c>
    </row>
    <row r="8201" customFormat="false" ht="15" hidden="false" customHeight="true" outlineLevel="0" collapsed="false">
      <c r="A8201" s="10" t="n">
        <f aca="false">Einstellungen!$B$5+INT((ROW()-9)/24)</f>
        <v>46307</v>
      </c>
      <c r="B8201" s="11" t="n">
        <f aca="false">MOD(ROW()-9,24)</f>
        <v>8</v>
      </c>
      <c r="C8201" s="12"/>
      <c r="D8201" s="13" t="n">
        <f aca="false">IF(B8201&lt;5,Einstellungen!$B$3,Einstellungen!$B$4)</f>
        <v>29.13</v>
      </c>
      <c r="E8201" s="14" t="str">
        <f aca="false">IF(C8201="","",C8201*D8201/100)</f>
        <v/>
      </c>
      <c r="F8201" s="15" t="str">
        <f aca="false">IF(B8201&lt;5,"Go","Standard")</f>
        <v>Standard</v>
      </c>
    </row>
    <row r="8202" customFormat="false" ht="15" hidden="false" customHeight="true" outlineLevel="0" collapsed="false">
      <c r="A8202" s="10" t="n">
        <f aca="false">Einstellungen!$B$5+INT((ROW()-9)/24)</f>
        <v>46307</v>
      </c>
      <c r="B8202" s="11" t="n">
        <f aca="false">MOD(ROW()-9,24)</f>
        <v>9</v>
      </c>
      <c r="C8202" s="12"/>
      <c r="D8202" s="13" t="n">
        <f aca="false">IF(B8202&lt;5,Einstellungen!$B$3,Einstellungen!$B$4)</f>
        <v>29.13</v>
      </c>
      <c r="E8202" s="14" t="str">
        <f aca="false">IF(C8202="","",C8202*D8202/100)</f>
        <v/>
      </c>
      <c r="F8202" s="15" t="str">
        <f aca="false">IF(B8202&lt;5,"Go","Standard")</f>
        <v>Standard</v>
      </c>
    </row>
    <row r="8203" customFormat="false" ht="15" hidden="false" customHeight="true" outlineLevel="0" collapsed="false">
      <c r="A8203" s="10" t="n">
        <f aca="false">Einstellungen!$B$5+INT((ROW()-9)/24)</f>
        <v>46307</v>
      </c>
      <c r="B8203" s="11" t="n">
        <f aca="false">MOD(ROW()-9,24)</f>
        <v>10</v>
      </c>
      <c r="C8203" s="12"/>
      <c r="D8203" s="13" t="n">
        <f aca="false">IF(B8203&lt;5,Einstellungen!$B$3,Einstellungen!$B$4)</f>
        <v>29.13</v>
      </c>
      <c r="E8203" s="14" t="str">
        <f aca="false">IF(C8203="","",C8203*D8203/100)</f>
        <v/>
      </c>
      <c r="F8203" s="15" t="str">
        <f aca="false">IF(B8203&lt;5,"Go","Standard")</f>
        <v>Standard</v>
      </c>
    </row>
    <row r="8204" customFormat="false" ht="15" hidden="false" customHeight="true" outlineLevel="0" collapsed="false">
      <c r="A8204" s="10" t="n">
        <f aca="false">Einstellungen!$B$5+INT((ROW()-9)/24)</f>
        <v>46307</v>
      </c>
      <c r="B8204" s="11" t="n">
        <f aca="false">MOD(ROW()-9,24)</f>
        <v>11</v>
      </c>
      <c r="C8204" s="12"/>
      <c r="D8204" s="13" t="n">
        <f aca="false">IF(B8204&lt;5,Einstellungen!$B$3,Einstellungen!$B$4)</f>
        <v>29.13</v>
      </c>
      <c r="E8204" s="14" t="str">
        <f aca="false">IF(C8204="","",C8204*D8204/100)</f>
        <v/>
      </c>
      <c r="F8204" s="15" t="str">
        <f aca="false">IF(B8204&lt;5,"Go","Standard")</f>
        <v>Standard</v>
      </c>
    </row>
    <row r="8205" customFormat="false" ht="15" hidden="false" customHeight="true" outlineLevel="0" collapsed="false">
      <c r="A8205" s="10" t="n">
        <f aca="false">Einstellungen!$B$5+INT((ROW()-9)/24)</f>
        <v>46307</v>
      </c>
      <c r="B8205" s="11" t="n">
        <f aca="false">MOD(ROW()-9,24)</f>
        <v>12</v>
      </c>
      <c r="C8205" s="12"/>
      <c r="D8205" s="13" t="n">
        <f aca="false">IF(B8205&lt;5,Einstellungen!$B$3,Einstellungen!$B$4)</f>
        <v>29.13</v>
      </c>
      <c r="E8205" s="14" t="str">
        <f aca="false">IF(C8205="","",C8205*D8205/100)</f>
        <v/>
      </c>
      <c r="F8205" s="15" t="str">
        <f aca="false">IF(B8205&lt;5,"Go","Standard")</f>
        <v>Standard</v>
      </c>
    </row>
    <row r="8206" customFormat="false" ht="15" hidden="false" customHeight="true" outlineLevel="0" collapsed="false">
      <c r="A8206" s="10" t="n">
        <f aca="false">Einstellungen!$B$5+INT((ROW()-9)/24)</f>
        <v>46307</v>
      </c>
      <c r="B8206" s="11" t="n">
        <f aca="false">MOD(ROW()-9,24)</f>
        <v>13</v>
      </c>
      <c r="C8206" s="12"/>
      <c r="D8206" s="13" t="n">
        <f aca="false">IF(B8206&lt;5,Einstellungen!$B$3,Einstellungen!$B$4)</f>
        <v>29.13</v>
      </c>
      <c r="E8206" s="14" t="str">
        <f aca="false">IF(C8206="","",C8206*D8206/100)</f>
        <v/>
      </c>
      <c r="F8206" s="15" t="str">
        <f aca="false">IF(B8206&lt;5,"Go","Standard")</f>
        <v>Standard</v>
      </c>
    </row>
    <row r="8207" customFormat="false" ht="15" hidden="false" customHeight="true" outlineLevel="0" collapsed="false">
      <c r="A8207" s="10" t="n">
        <f aca="false">Einstellungen!$B$5+INT((ROW()-9)/24)</f>
        <v>46307</v>
      </c>
      <c r="B8207" s="11" t="n">
        <f aca="false">MOD(ROW()-9,24)</f>
        <v>14</v>
      </c>
      <c r="C8207" s="12"/>
      <c r="D8207" s="13" t="n">
        <f aca="false">IF(B8207&lt;5,Einstellungen!$B$3,Einstellungen!$B$4)</f>
        <v>29.13</v>
      </c>
      <c r="E8207" s="14" t="str">
        <f aca="false">IF(C8207="","",C8207*D8207/100)</f>
        <v/>
      </c>
      <c r="F8207" s="15" t="str">
        <f aca="false">IF(B8207&lt;5,"Go","Standard")</f>
        <v>Standard</v>
      </c>
    </row>
    <row r="8208" customFormat="false" ht="15" hidden="false" customHeight="true" outlineLevel="0" collapsed="false">
      <c r="A8208" s="10" t="n">
        <f aca="false">Einstellungen!$B$5+INT((ROW()-9)/24)</f>
        <v>46307</v>
      </c>
      <c r="B8208" s="11" t="n">
        <f aca="false">MOD(ROW()-9,24)</f>
        <v>15</v>
      </c>
      <c r="C8208" s="12"/>
      <c r="D8208" s="13" t="n">
        <f aca="false">IF(B8208&lt;5,Einstellungen!$B$3,Einstellungen!$B$4)</f>
        <v>29.13</v>
      </c>
      <c r="E8208" s="14" t="str">
        <f aca="false">IF(C8208="","",C8208*D8208/100)</f>
        <v/>
      </c>
      <c r="F8208" s="15" t="str">
        <f aca="false">IF(B8208&lt;5,"Go","Standard")</f>
        <v>Standard</v>
      </c>
    </row>
    <row r="8209" customFormat="false" ht="15" hidden="false" customHeight="true" outlineLevel="0" collapsed="false">
      <c r="A8209" s="10" t="n">
        <f aca="false">Einstellungen!$B$5+INT((ROW()-9)/24)</f>
        <v>46307</v>
      </c>
      <c r="B8209" s="11" t="n">
        <f aca="false">MOD(ROW()-9,24)</f>
        <v>16</v>
      </c>
      <c r="C8209" s="12"/>
      <c r="D8209" s="13" t="n">
        <f aca="false">IF(B8209&lt;5,Einstellungen!$B$3,Einstellungen!$B$4)</f>
        <v>29.13</v>
      </c>
      <c r="E8209" s="14" t="str">
        <f aca="false">IF(C8209="","",C8209*D8209/100)</f>
        <v/>
      </c>
      <c r="F8209" s="15" t="str">
        <f aca="false">IF(B8209&lt;5,"Go","Standard")</f>
        <v>Standard</v>
      </c>
    </row>
    <row r="8210" customFormat="false" ht="15" hidden="false" customHeight="true" outlineLevel="0" collapsed="false">
      <c r="A8210" s="10" t="n">
        <f aca="false">Einstellungen!$B$5+INT((ROW()-9)/24)</f>
        <v>46307</v>
      </c>
      <c r="B8210" s="11" t="n">
        <f aca="false">MOD(ROW()-9,24)</f>
        <v>17</v>
      </c>
      <c r="C8210" s="12"/>
      <c r="D8210" s="13" t="n">
        <f aca="false">IF(B8210&lt;5,Einstellungen!$B$3,Einstellungen!$B$4)</f>
        <v>29.13</v>
      </c>
      <c r="E8210" s="14" t="str">
        <f aca="false">IF(C8210="","",C8210*D8210/100)</f>
        <v/>
      </c>
      <c r="F8210" s="15" t="str">
        <f aca="false">IF(B8210&lt;5,"Go","Standard")</f>
        <v>Standard</v>
      </c>
    </row>
    <row r="8211" customFormat="false" ht="15" hidden="false" customHeight="true" outlineLevel="0" collapsed="false">
      <c r="A8211" s="10" t="n">
        <f aca="false">Einstellungen!$B$5+INT((ROW()-9)/24)</f>
        <v>46307</v>
      </c>
      <c r="B8211" s="11" t="n">
        <f aca="false">MOD(ROW()-9,24)</f>
        <v>18</v>
      </c>
      <c r="C8211" s="12"/>
      <c r="D8211" s="13" t="n">
        <f aca="false">IF(B8211&lt;5,Einstellungen!$B$3,Einstellungen!$B$4)</f>
        <v>29.13</v>
      </c>
      <c r="E8211" s="14" t="str">
        <f aca="false">IF(C8211="","",C8211*D8211/100)</f>
        <v/>
      </c>
      <c r="F8211" s="15" t="str">
        <f aca="false">IF(B8211&lt;5,"Go","Standard")</f>
        <v>Standard</v>
      </c>
    </row>
    <row r="8212" customFormat="false" ht="15" hidden="false" customHeight="true" outlineLevel="0" collapsed="false">
      <c r="A8212" s="10" t="n">
        <f aca="false">Einstellungen!$B$5+INT((ROW()-9)/24)</f>
        <v>46307</v>
      </c>
      <c r="B8212" s="11" t="n">
        <f aca="false">MOD(ROW()-9,24)</f>
        <v>19</v>
      </c>
      <c r="C8212" s="12"/>
      <c r="D8212" s="13" t="n">
        <f aca="false">IF(B8212&lt;5,Einstellungen!$B$3,Einstellungen!$B$4)</f>
        <v>29.13</v>
      </c>
      <c r="E8212" s="14" t="str">
        <f aca="false">IF(C8212="","",C8212*D8212/100)</f>
        <v/>
      </c>
      <c r="F8212" s="15" t="str">
        <f aca="false">IF(B8212&lt;5,"Go","Standard")</f>
        <v>Standard</v>
      </c>
    </row>
    <row r="8213" customFormat="false" ht="15" hidden="false" customHeight="true" outlineLevel="0" collapsed="false">
      <c r="A8213" s="10" t="n">
        <f aca="false">Einstellungen!$B$5+INT((ROW()-9)/24)</f>
        <v>46307</v>
      </c>
      <c r="B8213" s="11" t="n">
        <f aca="false">MOD(ROW()-9,24)</f>
        <v>20</v>
      </c>
      <c r="C8213" s="12"/>
      <c r="D8213" s="13" t="n">
        <f aca="false">IF(B8213&lt;5,Einstellungen!$B$3,Einstellungen!$B$4)</f>
        <v>29.13</v>
      </c>
      <c r="E8213" s="14" t="str">
        <f aca="false">IF(C8213="","",C8213*D8213/100)</f>
        <v/>
      </c>
      <c r="F8213" s="15" t="str">
        <f aca="false">IF(B8213&lt;5,"Go","Standard")</f>
        <v>Standard</v>
      </c>
    </row>
    <row r="8214" customFormat="false" ht="15" hidden="false" customHeight="true" outlineLevel="0" collapsed="false">
      <c r="A8214" s="10" t="n">
        <f aca="false">Einstellungen!$B$5+INT((ROW()-9)/24)</f>
        <v>46307</v>
      </c>
      <c r="B8214" s="11" t="n">
        <f aca="false">MOD(ROW()-9,24)</f>
        <v>21</v>
      </c>
      <c r="C8214" s="12"/>
      <c r="D8214" s="13" t="n">
        <f aca="false">IF(B8214&lt;5,Einstellungen!$B$3,Einstellungen!$B$4)</f>
        <v>29.13</v>
      </c>
      <c r="E8214" s="14" t="str">
        <f aca="false">IF(C8214="","",C8214*D8214/100)</f>
        <v/>
      </c>
      <c r="F8214" s="15" t="str">
        <f aca="false">IF(B8214&lt;5,"Go","Standard")</f>
        <v>Standard</v>
      </c>
    </row>
    <row r="8215" customFormat="false" ht="15" hidden="false" customHeight="true" outlineLevel="0" collapsed="false">
      <c r="A8215" s="10" t="n">
        <f aca="false">Einstellungen!$B$5+INT((ROW()-9)/24)</f>
        <v>46307</v>
      </c>
      <c r="B8215" s="11" t="n">
        <f aca="false">MOD(ROW()-9,24)</f>
        <v>22</v>
      </c>
      <c r="C8215" s="12"/>
      <c r="D8215" s="13" t="n">
        <f aca="false">IF(B8215&lt;5,Einstellungen!$B$3,Einstellungen!$B$4)</f>
        <v>29.13</v>
      </c>
      <c r="E8215" s="14" t="str">
        <f aca="false">IF(C8215="","",C8215*D8215/100)</f>
        <v/>
      </c>
      <c r="F8215" s="15" t="str">
        <f aca="false">IF(B8215&lt;5,"Go","Standard")</f>
        <v>Standard</v>
      </c>
    </row>
    <row r="8216" customFormat="false" ht="15" hidden="false" customHeight="true" outlineLevel="0" collapsed="false">
      <c r="A8216" s="10" t="n">
        <f aca="false">Einstellungen!$B$5+INT((ROW()-9)/24)</f>
        <v>46307</v>
      </c>
      <c r="B8216" s="11" t="n">
        <f aca="false">MOD(ROW()-9,24)</f>
        <v>23</v>
      </c>
      <c r="C8216" s="12"/>
      <c r="D8216" s="13" t="n">
        <f aca="false">IF(B8216&lt;5,Einstellungen!$B$3,Einstellungen!$B$4)</f>
        <v>29.13</v>
      </c>
      <c r="E8216" s="14" t="str">
        <f aca="false">IF(C8216="","",C8216*D8216/100)</f>
        <v/>
      </c>
      <c r="F8216" s="15" t="str">
        <f aca="false">IF(B8216&lt;5,"Go","Standard")</f>
        <v>Standard</v>
      </c>
    </row>
    <row r="8217" customFormat="false" ht="15" hidden="false" customHeight="true" outlineLevel="0" collapsed="false">
      <c r="A8217" s="10" t="n">
        <f aca="false">Einstellungen!$B$5+INT((ROW()-9)/24)</f>
        <v>46308</v>
      </c>
      <c r="B8217" s="11" t="n">
        <f aca="false">MOD(ROW()-9,24)</f>
        <v>0</v>
      </c>
      <c r="C8217" s="12"/>
      <c r="D8217" s="13" t="n">
        <f aca="false">IF(B8217&lt;5,Einstellungen!$B$3,Einstellungen!$B$4)</f>
        <v>15.92</v>
      </c>
      <c r="E8217" s="14" t="str">
        <f aca="false">IF(C8217="","",C8217*D8217/100)</f>
        <v/>
      </c>
      <c r="F8217" s="15" t="str">
        <f aca="false">IF(B8217&lt;5,"Go","Standard")</f>
        <v>Go</v>
      </c>
    </row>
    <row r="8218" customFormat="false" ht="15" hidden="false" customHeight="true" outlineLevel="0" collapsed="false">
      <c r="A8218" s="10" t="n">
        <f aca="false">Einstellungen!$B$5+INT((ROW()-9)/24)</f>
        <v>46308</v>
      </c>
      <c r="B8218" s="11" t="n">
        <f aca="false">MOD(ROW()-9,24)</f>
        <v>1</v>
      </c>
      <c r="C8218" s="12"/>
      <c r="D8218" s="13" t="n">
        <f aca="false">IF(B8218&lt;5,Einstellungen!$B$3,Einstellungen!$B$4)</f>
        <v>15.92</v>
      </c>
      <c r="E8218" s="14" t="str">
        <f aca="false">IF(C8218="","",C8218*D8218/100)</f>
        <v/>
      </c>
      <c r="F8218" s="15" t="str">
        <f aca="false">IF(B8218&lt;5,"Go","Standard")</f>
        <v>Go</v>
      </c>
    </row>
    <row r="8219" customFormat="false" ht="15" hidden="false" customHeight="true" outlineLevel="0" collapsed="false">
      <c r="A8219" s="10" t="n">
        <f aca="false">Einstellungen!$B$5+INT((ROW()-9)/24)</f>
        <v>46308</v>
      </c>
      <c r="B8219" s="11" t="n">
        <f aca="false">MOD(ROW()-9,24)</f>
        <v>2</v>
      </c>
      <c r="C8219" s="12"/>
      <c r="D8219" s="13" t="n">
        <f aca="false">IF(B8219&lt;5,Einstellungen!$B$3,Einstellungen!$B$4)</f>
        <v>15.92</v>
      </c>
      <c r="E8219" s="14" t="str">
        <f aca="false">IF(C8219="","",C8219*D8219/100)</f>
        <v/>
      </c>
      <c r="F8219" s="15" t="str">
        <f aca="false">IF(B8219&lt;5,"Go","Standard")</f>
        <v>Go</v>
      </c>
    </row>
    <row r="8220" customFormat="false" ht="15" hidden="false" customHeight="true" outlineLevel="0" collapsed="false">
      <c r="A8220" s="10" t="n">
        <f aca="false">Einstellungen!$B$5+INT((ROW()-9)/24)</f>
        <v>46308</v>
      </c>
      <c r="B8220" s="11" t="n">
        <f aca="false">MOD(ROW()-9,24)</f>
        <v>3</v>
      </c>
      <c r="C8220" s="12"/>
      <c r="D8220" s="13" t="n">
        <f aca="false">IF(B8220&lt;5,Einstellungen!$B$3,Einstellungen!$B$4)</f>
        <v>15.92</v>
      </c>
      <c r="E8220" s="14" t="str">
        <f aca="false">IF(C8220="","",C8220*D8220/100)</f>
        <v/>
      </c>
      <c r="F8220" s="15" t="str">
        <f aca="false">IF(B8220&lt;5,"Go","Standard")</f>
        <v>Go</v>
      </c>
    </row>
    <row r="8221" customFormat="false" ht="15" hidden="false" customHeight="true" outlineLevel="0" collapsed="false">
      <c r="A8221" s="10" t="n">
        <f aca="false">Einstellungen!$B$5+INT((ROW()-9)/24)</f>
        <v>46308</v>
      </c>
      <c r="B8221" s="11" t="n">
        <f aca="false">MOD(ROW()-9,24)</f>
        <v>4</v>
      </c>
      <c r="C8221" s="12"/>
      <c r="D8221" s="13" t="n">
        <f aca="false">IF(B8221&lt;5,Einstellungen!$B$3,Einstellungen!$B$4)</f>
        <v>15.92</v>
      </c>
      <c r="E8221" s="14" t="str">
        <f aca="false">IF(C8221="","",C8221*D8221/100)</f>
        <v/>
      </c>
      <c r="F8221" s="15" t="str">
        <f aca="false">IF(B8221&lt;5,"Go","Standard")</f>
        <v>Go</v>
      </c>
    </row>
    <row r="8222" customFormat="false" ht="15" hidden="false" customHeight="true" outlineLevel="0" collapsed="false">
      <c r="A8222" s="10" t="n">
        <f aca="false">Einstellungen!$B$5+INT((ROW()-9)/24)</f>
        <v>46308</v>
      </c>
      <c r="B8222" s="11" t="n">
        <f aca="false">MOD(ROW()-9,24)</f>
        <v>5</v>
      </c>
      <c r="C8222" s="12"/>
      <c r="D8222" s="13" t="n">
        <f aca="false">IF(B8222&lt;5,Einstellungen!$B$3,Einstellungen!$B$4)</f>
        <v>29.13</v>
      </c>
      <c r="E8222" s="14" t="str">
        <f aca="false">IF(C8222="","",C8222*D8222/100)</f>
        <v/>
      </c>
      <c r="F8222" s="15" t="str">
        <f aca="false">IF(B8222&lt;5,"Go","Standard")</f>
        <v>Standard</v>
      </c>
    </row>
    <row r="8223" customFormat="false" ht="15" hidden="false" customHeight="true" outlineLevel="0" collapsed="false">
      <c r="A8223" s="10" t="n">
        <f aca="false">Einstellungen!$B$5+INT((ROW()-9)/24)</f>
        <v>46308</v>
      </c>
      <c r="B8223" s="11" t="n">
        <f aca="false">MOD(ROW()-9,24)</f>
        <v>6</v>
      </c>
      <c r="C8223" s="12"/>
      <c r="D8223" s="13" t="n">
        <f aca="false">IF(B8223&lt;5,Einstellungen!$B$3,Einstellungen!$B$4)</f>
        <v>29.13</v>
      </c>
      <c r="E8223" s="14" t="str">
        <f aca="false">IF(C8223="","",C8223*D8223/100)</f>
        <v/>
      </c>
      <c r="F8223" s="15" t="str">
        <f aca="false">IF(B8223&lt;5,"Go","Standard")</f>
        <v>Standard</v>
      </c>
    </row>
    <row r="8224" customFormat="false" ht="15" hidden="false" customHeight="true" outlineLevel="0" collapsed="false">
      <c r="A8224" s="10" t="n">
        <f aca="false">Einstellungen!$B$5+INT((ROW()-9)/24)</f>
        <v>46308</v>
      </c>
      <c r="B8224" s="11" t="n">
        <f aca="false">MOD(ROW()-9,24)</f>
        <v>7</v>
      </c>
      <c r="C8224" s="12"/>
      <c r="D8224" s="13" t="n">
        <f aca="false">IF(B8224&lt;5,Einstellungen!$B$3,Einstellungen!$B$4)</f>
        <v>29.13</v>
      </c>
      <c r="E8224" s="14" t="str">
        <f aca="false">IF(C8224="","",C8224*D8224/100)</f>
        <v/>
      </c>
      <c r="F8224" s="15" t="str">
        <f aca="false">IF(B8224&lt;5,"Go","Standard")</f>
        <v>Standard</v>
      </c>
    </row>
    <row r="8225" customFormat="false" ht="15" hidden="false" customHeight="true" outlineLevel="0" collapsed="false">
      <c r="A8225" s="10" t="n">
        <f aca="false">Einstellungen!$B$5+INT((ROW()-9)/24)</f>
        <v>46308</v>
      </c>
      <c r="B8225" s="11" t="n">
        <f aca="false">MOD(ROW()-9,24)</f>
        <v>8</v>
      </c>
      <c r="C8225" s="12"/>
      <c r="D8225" s="13" t="n">
        <f aca="false">IF(B8225&lt;5,Einstellungen!$B$3,Einstellungen!$B$4)</f>
        <v>29.13</v>
      </c>
      <c r="E8225" s="14" t="str">
        <f aca="false">IF(C8225="","",C8225*D8225/100)</f>
        <v/>
      </c>
      <c r="F8225" s="15" t="str">
        <f aca="false">IF(B8225&lt;5,"Go","Standard")</f>
        <v>Standard</v>
      </c>
    </row>
    <row r="8226" customFormat="false" ht="15" hidden="false" customHeight="true" outlineLevel="0" collapsed="false">
      <c r="A8226" s="10" t="n">
        <f aca="false">Einstellungen!$B$5+INT((ROW()-9)/24)</f>
        <v>46308</v>
      </c>
      <c r="B8226" s="11" t="n">
        <f aca="false">MOD(ROW()-9,24)</f>
        <v>9</v>
      </c>
      <c r="C8226" s="12"/>
      <c r="D8226" s="13" t="n">
        <f aca="false">IF(B8226&lt;5,Einstellungen!$B$3,Einstellungen!$B$4)</f>
        <v>29.13</v>
      </c>
      <c r="E8226" s="14" t="str">
        <f aca="false">IF(C8226="","",C8226*D8226/100)</f>
        <v/>
      </c>
      <c r="F8226" s="15" t="str">
        <f aca="false">IF(B8226&lt;5,"Go","Standard")</f>
        <v>Standard</v>
      </c>
    </row>
    <row r="8227" customFormat="false" ht="15" hidden="false" customHeight="true" outlineLevel="0" collapsed="false">
      <c r="A8227" s="10" t="n">
        <f aca="false">Einstellungen!$B$5+INT((ROW()-9)/24)</f>
        <v>46308</v>
      </c>
      <c r="B8227" s="11" t="n">
        <f aca="false">MOD(ROW()-9,24)</f>
        <v>10</v>
      </c>
      <c r="C8227" s="12"/>
      <c r="D8227" s="13" t="n">
        <f aca="false">IF(B8227&lt;5,Einstellungen!$B$3,Einstellungen!$B$4)</f>
        <v>29.13</v>
      </c>
      <c r="E8227" s="14" t="str">
        <f aca="false">IF(C8227="","",C8227*D8227/100)</f>
        <v/>
      </c>
      <c r="F8227" s="15" t="str">
        <f aca="false">IF(B8227&lt;5,"Go","Standard")</f>
        <v>Standard</v>
      </c>
    </row>
    <row r="8228" customFormat="false" ht="15" hidden="false" customHeight="true" outlineLevel="0" collapsed="false">
      <c r="A8228" s="10" t="n">
        <f aca="false">Einstellungen!$B$5+INT((ROW()-9)/24)</f>
        <v>46308</v>
      </c>
      <c r="B8228" s="11" t="n">
        <f aca="false">MOD(ROW()-9,24)</f>
        <v>11</v>
      </c>
      <c r="C8228" s="12"/>
      <c r="D8228" s="13" t="n">
        <f aca="false">IF(B8228&lt;5,Einstellungen!$B$3,Einstellungen!$B$4)</f>
        <v>29.13</v>
      </c>
      <c r="E8228" s="14" t="str">
        <f aca="false">IF(C8228="","",C8228*D8228/100)</f>
        <v/>
      </c>
      <c r="F8228" s="15" t="str">
        <f aca="false">IF(B8228&lt;5,"Go","Standard")</f>
        <v>Standard</v>
      </c>
    </row>
    <row r="8229" customFormat="false" ht="15" hidden="false" customHeight="true" outlineLevel="0" collapsed="false">
      <c r="A8229" s="10" t="n">
        <f aca="false">Einstellungen!$B$5+INT((ROW()-9)/24)</f>
        <v>46308</v>
      </c>
      <c r="B8229" s="11" t="n">
        <f aca="false">MOD(ROW()-9,24)</f>
        <v>12</v>
      </c>
      <c r="C8229" s="12"/>
      <c r="D8229" s="13" t="n">
        <f aca="false">IF(B8229&lt;5,Einstellungen!$B$3,Einstellungen!$B$4)</f>
        <v>29.13</v>
      </c>
      <c r="E8229" s="14" t="str">
        <f aca="false">IF(C8229="","",C8229*D8229/100)</f>
        <v/>
      </c>
      <c r="F8229" s="15" t="str">
        <f aca="false">IF(B8229&lt;5,"Go","Standard")</f>
        <v>Standard</v>
      </c>
    </row>
    <row r="8230" customFormat="false" ht="15" hidden="false" customHeight="true" outlineLevel="0" collapsed="false">
      <c r="A8230" s="10" t="n">
        <f aca="false">Einstellungen!$B$5+INT((ROW()-9)/24)</f>
        <v>46308</v>
      </c>
      <c r="B8230" s="11" t="n">
        <f aca="false">MOD(ROW()-9,24)</f>
        <v>13</v>
      </c>
      <c r="C8230" s="12"/>
      <c r="D8230" s="13" t="n">
        <f aca="false">IF(B8230&lt;5,Einstellungen!$B$3,Einstellungen!$B$4)</f>
        <v>29.13</v>
      </c>
      <c r="E8230" s="14" t="str">
        <f aca="false">IF(C8230="","",C8230*D8230/100)</f>
        <v/>
      </c>
      <c r="F8230" s="15" t="str">
        <f aca="false">IF(B8230&lt;5,"Go","Standard")</f>
        <v>Standard</v>
      </c>
    </row>
    <row r="8231" customFormat="false" ht="15" hidden="false" customHeight="true" outlineLevel="0" collapsed="false">
      <c r="A8231" s="10" t="n">
        <f aca="false">Einstellungen!$B$5+INT((ROW()-9)/24)</f>
        <v>46308</v>
      </c>
      <c r="B8231" s="11" t="n">
        <f aca="false">MOD(ROW()-9,24)</f>
        <v>14</v>
      </c>
      <c r="C8231" s="12"/>
      <c r="D8231" s="13" t="n">
        <f aca="false">IF(B8231&lt;5,Einstellungen!$B$3,Einstellungen!$B$4)</f>
        <v>29.13</v>
      </c>
      <c r="E8231" s="14" t="str">
        <f aca="false">IF(C8231="","",C8231*D8231/100)</f>
        <v/>
      </c>
      <c r="F8231" s="15" t="str">
        <f aca="false">IF(B8231&lt;5,"Go","Standard")</f>
        <v>Standard</v>
      </c>
    </row>
    <row r="8232" customFormat="false" ht="15" hidden="false" customHeight="true" outlineLevel="0" collapsed="false">
      <c r="A8232" s="10" t="n">
        <f aca="false">Einstellungen!$B$5+INT((ROW()-9)/24)</f>
        <v>46308</v>
      </c>
      <c r="B8232" s="11" t="n">
        <f aca="false">MOD(ROW()-9,24)</f>
        <v>15</v>
      </c>
      <c r="C8232" s="12"/>
      <c r="D8232" s="13" t="n">
        <f aca="false">IF(B8232&lt;5,Einstellungen!$B$3,Einstellungen!$B$4)</f>
        <v>29.13</v>
      </c>
      <c r="E8232" s="14" t="str">
        <f aca="false">IF(C8232="","",C8232*D8232/100)</f>
        <v/>
      </c>
      <c r="F8232" s="15" t="str">
        <f aca="false">IF(B8232&lt;5,"Go","Standard")</f>
        <v>Standard</v>
      </c>
    </row>
    <row r="8233" customFormat="false" ht="15" hidden="false" customHeight="true" outlineLevel="0" collapsed="false">
      <c r="A8233" s="10" t="n">
        <f aca="false">Einstellungen!$B$5+INT((ROW()-9)/24)</f>
        <v>46308</v>
      </c>
      <c r="B8233" s="11" t="n">
        <f aca="false">MOD(ROW()-9,24)</f>
        <v>16</v>
      </c>
      <c r="C8233" s="12"/>
      <c r="D8233" s="13" t="n">
        <f aca="false">IF(B8233&lt;5,Einstellungen!$B$3,Einstellungen!$B$4)</f>
        <v>29.13</v>
      </c>
      <c r="E8233" s="14" t="str">
        <f aca="false">IF(C8233="","",C8233*D8233/100)</f>
        <v/>
      </c>
      <c r="F8233" s="15" t="str">
        <f aca="false">IF(B8233&lt;5,"Go","Standard")</f>
        <v>Standard</v>
      </c>
    </row>
    <row r="8234" customFormat="false" ht="15" hidden="false" customHeight="true" outlineLevel="0" collapsed="false">
      <c r="A8234" s="10" t="n">
        <f aca="false">Einstellungen!$B$5+INT((ROW()-9)/24)</f>
        <v>46308</v>
      </c>
      <c r="B8234" s="11" t="n">
        <f aca="false">MOD(ROW()-9,24)</f>
        <v>17</v>
      </c>
      <c r="C8234" s="12"/>
      <c r="D8234" s="13" t="n">
        <f aca="false">IF(B8234&lt;5,Einstellungen!$B$3,Einstellungen!$B$4)</f>
        <v>29.13</v>
      </c>
      <c r="E8234" s="14" t="str">
        <f aca="false">IF(C8234="","",C8234*D8234/100)</f>
        <v/>
      </c>
      <c r="F8234" s="15" t="str">
        <f aca="false">IF(B8234&lt;5,"Go","Standard")</f>
        <v>Standard</v>
      </c>
    </row>
    <row r="8235" customFormat="false" ht="15" hidden="false" customHeight="true" outlineLevel="0" collapsed="false">
      <c r="A8235" s="10" t="n">
        <f aca="false">Einstellungen!$B$5+INT((ROW()-9)/24)</f>
        <v>46308</v>
      </c>
      <c r="B8235" s="11" t="n">
        <f aca="false">MOD(ROW()-9,24)</f>
        <v>18</v>
      </c>
      <c r="C8235" s="12"/>
      <c r="D8235" s="13" t="n">
        <f aca="false">IF(B8235&lt;5,Einstellungen!$B$3,Einstellungen!$B$4)</f>
        <v>29.13</v>
      </c>
      <c r="E8235" s="14" t="str">
        <f aca="false">IF(C8235="","",C8235*D8235/100)</f>
        <v/>
      </c>
      <c r="F8235" s="15" t="str">
        <f aca="false">IF(B8235&lt;5,"Go","Standard")</f>
        <v>Standard</v>
      </c>
    </row>
    <row r="8236" customFormat="false" ht="15" hidden="false" customHeight="true" outlineLevel="0" collapsed="false">
      <c r="A8236" s="10" t="n">
        <f aca="false">Einstellungen!$B$5+INT((ROW()-9)/24)</f>
        <v>46308</v>
      </c>
      <c r="B8236" s="11" t="n">
        <f aca="false">MOD(ROW()-9,24)</f>
        <v>19</v>
      </c>
      <c r="C8236" s="12"/>
      <c r="D8236" s="13" t="n">
        <f aca="false">IF(B8236&lt;5,Einstellungen!$B$3,Einstellungen!$B$4)</f>
        <v>29.13</v>
      </c>
      <c r="E8236" s="14" t="str">
        <f aca="false">IF(C8236="","",C8236*D8236/100)</f>
        <v/>
      </c>
      <c r="F8236" s="15" t="str">
        <f aca="false">IF(B8236&lt;5,"Go","Standard")</f>
        <v>Standard</v>
      </c>
    </row>
    <row r="8237" customFormat="false" ht="15" hidden="false" customHeight="true" outlineLevel="0" collapsed="false">
      <c r="A8237" s="10" t="n">
        <f aca="false">Einstellungen!$B$5+INT((ROW()-9)/24)</f>
        <v>46308</v>
      </c>
      <c r="B8237" s="11" t="n">
        <f aca="false">MOD(ROW()-9,24)</f>
        <v>20</v>
      </c>
      <c r="C8237" s="12"/>
      <c r="D8237" s="13" t="n">
        <f aca="false">IF(B8237&lt;5,Einstellungen!$B$3,Einstellungen!$B$4)</f>
        <v>29.13</v>
      </c>
      <c r="E8237" s="14" t="str">
        <f aca="false">IF(C8237="","",C8237*D8237/100)</f>
        <v/>
      </c>
      <c r="F8237" s="15" t="str">
        <f aca="false">IF(B8237&lt;5,"Go","Standard")</f>
        <v>Standard</v>
      </c>
    </row>
    <row r="8238" customFormat="false" ht="15" hidden="false" customHeight="true" outlineLevel="0" collapsed="false">
      <c r="A8238" s="10" t="n">
        <f aca="false">Einstellungen!$B$5+INT((ROW()-9)/24)</f>
        <v>46308</v>
      </c>
      <c r="B8238" s="11" t="n">
        <f aca="false">MOD(ROW()-9,24)</f>
        <v>21</v>
      </c>
      <c r="C8238" s="12"/>
      <c r="D8238" s="13" t="n">
        <f aca="false">IF(B8238&lt;5,Einstellungen!$B$3,Einstellungen!$B$4)</f>
        <v>29.13</v>
      </c>
      <c r="E8238" s="14" t="str">
        <f aca="false">IF(C8238="","",C8238*D8238/100)</f>
        <v/>
      </c>
      <c r="F8238" s="15" t="str">
        <f aca="false">IF(B8238&lt;5,"Go","Standard")</f>
        <v>Standard</v>
      </c>
    </row>
    <row r="8239" customFormat="false" ht="15" hidden="false" customHeight="true" outlineLevel="0" collapsed="false">
      <c r="A8239" s="10" t="n">
        <f aca="false">Einstellungen!$B$5+INT((ROW()-9)/24)</f>
        <v>46308</v>
      </c>
      <c r="B8239" s="11" t="n">
        <f aca="false">MOD(ROW()-9,24)</f>
        <v>22</v>
      </c>
      <c r="C8239" s="12"/>
      <c r="D8239" s="13" t="n">
        <f aca="false">IF(B8239&lt;5,Einstellungen!$B$3,Einstellungen!$B$4)</f>
        <v>29.13</v>
      </c>
      <c r="E8239" s="14" t="str">
        <f aca="false">IF(C8239="","",C8239*D8239/100)</f>
        <v/>
      </c>
      <c r="F8239" s="15" t="str">
        <f aca="false">IF(B8239&lt;5,"Go","Standard")</f>
        <v>Standard</v>
      </c>
    </row>
    <row r="8240" customFormat="false" ht="15" hidden="false" customHeight="true" outlineLevel="0" collapsed="false">
      <c r="A8240" s="10" t="n">
        <f aca="false">Einstellungen!$B$5+INT((ROW()-9)/24)</f>
        <v>46308</v>
      </c>
      <c r="B8240" s="11" t="n">
        <f aca="false">MOD(ROW()-9,24)</f>
        <v>23</v>
      </c>
      <c r="C8240" s="12"/>
      <c r="D8240" s="13" t="n">
        <f aca="false">IF(B8240&lt;5,Einstellungen!$B$3,Einstellungen!$B$4)</f>
        <v>29.13</v>
      </c>
      <c r="E8240" s="14" t="str">
        <f aca="false">IF(C8240="","",C8240*D8240/100)</f>
        <v/>
      </c>
      <c r="F8240" s="15" t="str">
        <f aca="false">IF(B8240&lt;5,"Go","Standard")</f>
        <v>Standard</v>
      </c>
    </row>
    <row r="8241" customFormat="false" ht="15" hidden="false" customHeight="true" outlineLevel="0" collapsed="false">
      <c r="A8241" s="10" t="n">
        <f aca="false">Einstellungen!$B$5+INT((ROW()-9)/24)</f>
        <v>46309</v>
      </c>
      <c r="B8241" s="11" t="n">
        <f aca="false">MOD(ROW()-9,24)</f>
        <v>0</v>
      </c>
      <c r="C8241" s="12"/>
      <c r="D8241" s="13" t="n">
        <f aca="false">IF(B8241&lt;5,Einstellungen!$B$3,Einstellungen!$B$4)</f>
        <v>15.92</v>
      </c>
      <c r="E8241" s="14" t="str">
        <f aca="false">IF(C8241="","",C8241*D8241/100)</f>
        <v/>
      </c>
      <c r="F8241" s="15" t="str">
        <f aca="false">IF(B8241&lt;5,"Go","Standard")</f>
        <v>Go</v>
      </c>
    </row>
    <row r="8242" customFormat="false" ht="15" hidden="false" customHeight="true" outlineLevel="0" collapsed="false">
      <c r="A8242" s="10" t="n">
        <f aca="false">Einstellungen!$B$5+INT((ROW()-9)/24)</f>
        <v>46309</v>
      </c>
      <c r="B8242" s="11" t="n">
        <f aca="false">MOD(ROW()-9,24)</f>
        <v>1</v>
      </c>
      <c r="C8242" s="12"/>
      <c r="D8242" s="13" t="n">
        <f aca="false">IF(B8242&lt;5,Einstellungen!$B$3,Einstellungen!$B$4)</f>
        <v>15.92</v>
      </c>
      <c r="E8242" s="14" t="str">
        <f aca="false">IF(C8242="","",C8242*D8242/100)</f>
        <v/>
      </c>
      <c r="F8242" s="15" t="str">
        <f aca="false">IF(B8242&lt;5,"Go","Standard")</f>
        <v>Go</v>
      </c>
    </row>
    <row r="8243" customFormat="false" ht="15" hidden="false" customHeight="true" outlineLevel="0" collapsed="false">
      <c r="A8243" s="10" t="n">
        <f aca="false">Einstellungen!$B$5+INT((ROW()-9)/24)</f>
        <v>46309</v>
      </c>
      <c r="B8243" s="11" t="n">
        <f aca="false">MOD(ROW()-9,24)</f>
        <v>2</v>
      </c>
      <c r="C8243" s="12"/>
      <c r="D8243" s="13" t="n">
        <f aca="false">IF(B8243&lt;5,Einstellungen!$B$3,Einstellungen!$B$4)</f>
        <v>15.92</v>
      </c>
      <c r="E8243" s="14" t="str">
        <f aca="false">IF(C8243="","",C8243*D8243/100)</f>
        <v/>
      </c>
      <c r="F8243" s="15" t="str">
        <f aca="false">IF(B8243&lt;5,"Go","Standard")</f>
        <v>Go</v>
      </c>
    </row>
    <row r="8244" customFormat="false" ht="15" hidden="false" customHeight="true" outlineLevel="0" collapsed="false">
      <c r="A8244" s="10" t="n">
        <f aca="false">Einstellungen!$B$5+INT((ROW()-9)/24)</f>
        <v>46309</v>
      </c>
      <c r="B8244" s="11" t="n">
        <f aca="false">MOD(ROW()-9,24)</f>
        <v>3</v>
      </c>
      <c r="C8244" s="12"/>
      <c r="D8244" s="13" t="n">
        <f aca="false">IF(B8244&lt;5,Einstellungen!$B$3,Einstellungen!$B$4)</f>
        <v>15.92</v>
      </c>
      <c r="E8244" s="14" t="str">
        <f aca="false">IF(C8244="","",C8244*D8244/100)</f>
        <v/>
      </c>
      <c r="F8244" s="15" t="str">
        <f aca="false">IF(B8244&lt;5,"Go","Standard")</f>
        <v>Go</v>
      </c>
    </row>
    <row r="8245" customFormat="false" ht="15" hidden="false" customHeight="true" outlineLevel="0" collapsed="false">
      <c r="A8245" s="10" t="n">
        <f aca="false">Einstellungen!$B$5+INT((ROW()-9)/24)</f>
        <v>46309</v>
      </c>
      <c r="B8245" s="11" t="n">
        <f aca="false">MOD(ROW()-9,24)</f>
        <v>4</v>
      </c>
      <c r="C8245" s="12"/>
      <c r="D8245" s="13" t="n">
        <f aca="false">IF(B8245&lt;5,Einstellungen!$B$3,Einstellungen!$B$4)</f>
        <v>15.92</v>
      </c>
      <c r="E8245" s="14" t="str">
        <f aca="false">IF(C8245="","",C8245*D8245/100)</f>
        <v/>
      </c>
      <c r="F8245" s="15" t="str">
        <f aca="false">IF(B8245&lt;5,"Go","Standard")</f>
        <v>Go</v>
      </c>
    </row>
    <row r="8246" customFormat="false" ht="15" hidden="false" customHeight="true" outlineLevel="0" collapsed="false">
      <c r="A8246" s="10" t="n">
        <f aca="false">Einstellungen!$B$5+INT((ROW()-9)/24)</f>
        <v>46309</v>
      </c>
      <c r="B8246" s="11" t="n">
        <f aca="false">MOD(ROW()-9,24)</f>
        <v>5</v>
      </c>
      <c r="C8246" s="12"/>
      <c r="D8246" s="13" t="n">
        <f aca="false">IF(B8246&lt;5,Einstellungen!$B$3,Einstellungen!$B$4)</f>
        <v>29.13</v>
      </c>
      <c r="E8246" s="14" t="str">
        <f aca="false">IF(C8246="","",C8246*D8246/100)</f>
        <v/>
      </c>
      <c r="F8246" s="15" t="str">
        <f aca="false">IF(B8246&lt;5,"Go","Standard")</f>
        <v>Standard</v>
      </c>
    </row>
    <row r="8247" customFormat="false" ht="15" hidden="false" customHeight="true" outlineLevel="0" collapsed="false">
      <c r="A8247" s="10" t="n">
        <f aca="false">Einstellungen!$B$5+INT((ROW()-9)/24)</f>
        <v>46309</v>
      </c>
      <c r="B8247" s="11" t="n">
        <f aca="false">MOD(ROW()-9,24)</f>
        <v>6</v>
      </c>
      <c r="C8247" s="12"/>
      <c r="D8247" s="13" t="n">
        <f aca="false">IF(B8247&lt;5,Einstellungen!$B$3,Einstellungen!$B$4)</f>
        <v>29.13</v>
      </c>
      <c r="E8247" s="14" t="str">
        <f aca="false">IF(C8247="","",C8247*D8247/100)</f>
        <v/>
      </c>
      <c r="F8247" s="15" t="str">
        <f aca="false">IF(B8247&lt;5,"Go","Standard")</f>
        <v>Standard</v>
      </c>
    </row>
    <row r="8248" customFormat="false" ht="15" hidden="false" customHeight="true" outlineLevel="0" collapsed="false">
      <c r="A8248" s="10" t="n">
        <f aca="false">Einstellungen!$B$5+INT((ROW()-9)/24)</f>
        <v>46309</v>
      </c>
      <c r="B8248" s="11" t="n">
        <f aca="false">MOD(ROW()-9,24)</f>
        <v>7</v>
      </c>
      <c r="C8248" s="12"/>
      <c r="D8248" s="13" t="n">
        <f aca="false">IF(B8248&lt;5,Einstellungen!$B$3,Einstellungen!$B$4)</f>
        <v>29.13</v>
      </c>
      <c r="E8248" s="14" t="str">
        <f aca="false">IF(C8248="","",C8248*D8248/100)</f>
        <v/>
      </c>
      <c r="F8248" s="15" t="str">
        <f aca="false">IF(B8248&lt;5,"Go","Standard")</f>
        <v>Standard</v>
      </c>
    </row>
    <row r="8249" customFormat="false" ht="15" hidden="false" customHeight="true" outlineLevel="0" collapsed="false">
      <c r="A8249" s="10" t="n">
        <f aca="false">Einstellungen!$B$5+INT((ROW()-9)/24)</f>
        <v>46309</v>
      </c>
      <c r="B8249" s="11" t="n">
        <f aca="false">MOD(ROW()-9,24)</f>
        <v>8</v>
      </c>
      <c r="C8249" s="12"/>
      <c r="D8249" s="13" t="n">
        <f aca="false">IF(B8249&lt;5,Einstellungen!$B$3,Einstellungen!$B$4)</f>
        <v>29.13</v>
      </c>
      <c r="E8249" s="14" t="str">
        <f aca="false">IF(C8249="","",C8249*D8249/100)</f>
        <v/>
      </c>
      <c r="F8249" s="15" t="str">
        <f aca="false">IF(B8249&lt;5,"Go","Standard")</f>
        <v>Standard</v>
      </c>
    </row>
    <row r="8250" customFormat="false" ht="15" hidden="false" customHeight="true" outlineLevel="0" collapsed="false">
      <c r="A8250" s="10" t="n">
        <f aca="false">Einstellungen!$B$5+INT((ROW()-9)/24)</f>
        <v>46309</v>
      </c>
      <c r="B8250" s="11" t="n">
        <f aca="false">MOD(ROW()-9,24)</f>
        <v>9</v>
      </c>
      <c r="C8250" s="12"/>
      <c r="D8250" s="13" t="n">
        <f aca="false">IF(B8250&lt;5,Einstellungen!$B$3,Einstellungen!$B$4)</f>
        <v>29.13</v>
      </c>
      <c r="E8250" s="14" t="str">
        <f aca="false">IF(C8250="","",C8250*D8250/100)</f>
        <v/>
      </c>
      <c r="F8250" s="15" t="str">
        <f aca="false">IF(B8250&lt;5,"Go","Standard")</f>
        <v>Standard</v>
      </c>
    </row>
    <row r="8251" customFormat="false" ht="15" hidden="false" customHeight="true" outlineLevel="0" collapsed="false">
      <c r="A8251" s="10" t="n">
        <f aca="false">Einstellungen!$B$5+INT((ROW()-9)/24)</f>
        <v>46309</v>
      </c>
      <c r="B8251" s="11" t="n">
        <f aca="false">MOD(ROW()-9,24)</f>
        <v>10</v>
      </c>
      <c r="C8251" s="12"/>
      <c r="D8251" s="13" t="n">
        <f aca="false">IF(B8251&lt;5,Einstellungen!$B$3,Einstellungen!$B$4)</f>
        <v>29.13</v>
      </c>
      <c r="E8251" s="14" t="str">
        <f aca="false">IF(C8251="","",C8251*D8251/100)</f>
        <v/>
      </c>
      <c r="F8251" s="15" t="str">
        <f aca="false">IF(B8251&lt;5,"Go","Standard")</f>
        <v>Standard</v>
      </c>
    </row>
    <row r="8252" customFormat="false" ht="15" hidden="false" customHeight="true" outlineLevel="0" collapsed="false">
      <c r="A8252" s="10" t="n">
        <f aca="false">Einstellungen!$B$5+INT((ROW()-9)/24)</f>
        <v>46309</v>
      </c>
      <c r="B8252" s="11" t="n">
        <f aca="false">MOD(ROW()-9,24)</f>
        <v>11</v>
      </c>
      <c r="C8252" s="12"/>
      <c r="D8252" s="13" t="n">
        <f aca="false">IF(B8252&lt;5,Einstellungen!$B$3,Einstellungen!$B$4)</f>
        <v>29.13</v>
      </c>
      <c r="E8252" s="14" t="str">
        <f aca="false">IF(C8252="","",C8252*D8252/100)</f>
        <v/>
      </c>
      <c r="F8252" s="15" t="str">
        <f aca="false">IF(B8252&lt;5,"Go","Standard")</f>
        <v>Standard</v>
      </c>
    </row>
    <row r="8253" customFormat="false" ht="15" hidden="false" customHeight="true" outlineLevel="0" collapsed="false">
      <c r="A8253" s="10" t="n">
        <f aca="false">Einstellungen!$B$5+INT((ROW()-9)/24)</f>
        <v>46309</v>
      </c>
      <c r="B8253" s="11" t="n">
        <f aca="false">MOD(ROW()-9,24)</f>
        <v>12</v>
      </c>
      <c r="C8253" s="12"/>
      <c r="D8253" s="13" t="n">
        <f aca="false">IF(B8253&lt;5,Einstellungen!$B$3,Einstellungen!$B$4)</f>
        <v>29.13</v>
      </c>
      <c r="E8253" s="14" t="str">
        <f aca="false">IF(C8253="","",C8253*D8253/100)</f>
        <v/>
      </c>
      <c r="F8253" s="15" t="str">
        <f aca="false">IF(B8253&lt;5,"Go","Standard")</f>
        <v>Standard</v>
      </c>
    </row>
    <row r="8254" customFormat="false" ht="15" hidden="false" customHeight="true" outlineLevel="0" collapsed="false">
      <c r="A8254" s="10" t="n">
        <f aca="false">Einstellungen!$B$5+INT((ROW()-9)/24)</f>
        <v>46309</v>
      </c>
      <c r="B8254" s="11" t="n">
        <f aca="false">MOD(ROW()-9,24)</f>
        <v>13</v>
      </c>
      <c r="C8254" s="12"/>
      <c r="D8254" s="13" t="n">
        <f aca="false">IF(B8254&lt;5,Einstellungen!$B$3,Einstellungen!$B$4)</f>
        <v>29.13</v>
      </c>
      <c r="E8254" s="14" t="str">
        <f aca="false">IF(C8254="","",C8254*D8254/100)</f>
        <v/>
      </c>
      <c r="F8254" s="15" t="str">
        <f aca="false">IF(B8254&lt;5,"Go","Standard")</f>
        <v>Standard</v>
      </c>
    </row>
    <row r="8255" customFormat="false" ht="15" hidden="false" customHeight="true" outlineLevel="0" collapsed="false">
      <c r="A8255" s="10" t="n">
        <f aca="false">Einstellungen!$B$5+INT((ROW()-9)/24)</f>
        <v>46309</v>
      </c>
      <c r="B8255" s="11" t="n">
        <f aca="false">MOD(ROW()-9,24)</f>
        <v>14</v>
      </c>
      <c r="C8255" s="12"/>
      <c r="D8255" s="13" t="n">
        <f aca="false">IF(B8255&lt;5,Einstellungen!$B$3,Einstellungen!$B$4)</f>
        <v>29.13</v>
      </c>
      <c r="E8255" s="14" t="str">
        <f aca="false">IF(C8255="","",C8255*D8255/100)</f>
        <v/>
      </c>
      <c r="F8255" s="15" t="str">
        <f aca="false">IF(B8255&lt;5,"Go","Standard")</f>
        <v>Standard</v>
      </c>
    </row>
    <row r="8256" customFormat="false" ht="15" hidden="false" customHeight="true" outlineLevel="0" collapsed="false">
      <c r="A8256" s="10" t="n">
        <f aca="false">Einstellungen!$B$5+INT((ROW()-9)/24)</f>
        <v>46309</v>
      </c>
      <c r="B8256" s="11" t="n">
        <f aca="false">MOD(ROW()-9,24)</f>
        <v>15</v>
      </c>
      <c r="C8256" s="12"/>
      <c r="D8256" s="13" t="n">
        <f aca="false">IF(B8256&lt;5,Einstellungen!$B$3,Einstellungen!$B$4)</f>
        <v>29.13</v>
      </c>
      <c r="E8256" s="14" t="str">
        <f aca="false">IF(C8256="","",C8256*D8256/100)</f>
        <v/>
      </c>
      <c r="F8256" s="15" t="str">
        <f aca="false">IF(B8256&lt;5,"Go","Standard")</f>
        <v>Standard</v>
      </c>
    </row>
    <row r="8257" customFormat="false" ht="15" hidden="false" customHeight="true" outlineLevel="0" collapsed="false">
      <c r="A8257" s="10" t="n">
        <f aca="false">Einstellungen!$B$5+INT((ROW()-9)/24)</f>
        <v>46309</v>
      </c>
      <c r="B8257" s="11" t="n">
        <f aca="false">MOD(ROW()-9,24)</f>
        <v>16</v>
      </c>
      <c r="C8257" s="12"/>
      <c r="D8257" s="13" t="n">
        <f aca="false">IF(B8257&lt;5,Einstellungen!$B$3,Einstellungen!$B$4)</f>
        <v>29.13</v>
      </c>
      <c r="E8257" s="14" t="str">
        <f aca="false">IF(C8257="","",C8257*D8257/100)</f>
        <v/>
      </c>
      <c r="F8257" s="15" t="str">
        <f aca="false">IF(B8257&lt;5,"Go","Standard")</f>
        <v>Standard</v>
      </c>
    </row>
    <row r="8258" customFormat="false" ht="15" hidden="false" customHeight="true" outlineLevel="0" collapsed="false">
      <c r="A8258" s="10" t="n">
        <f aca="false">Einstellungen!$B$5+INT((ROW()-9)/24)</f>
        <v>46309</v>
      </c>
      <c r="B8258" s="11" t="n">
        <f aca="false">MOD(ROW()-9,24)</f>
        <v>17</v>
      </c>
      <c r="C8258" s="12"/>
      <c r="D8258" s="13" t="n">
        <f aca="false">IF(B8258&lt;5,Einstellungen!$B$3,Einstellungen!$B$4)</f>
        <v>29.13</v>
      </c>
      <c r="E8258" s="14" t="str">
        <f aca="false">IF(C8258="","",C8258*D8258/100)</f>
        <v/>
      </c>
      <c r="F8258" s="15" t="str">
        <f aca="false">IF(B8258&lt;5,"Go","Standard")</f>
        <v>Standard</v>
      </c>
    </row>
    <row r="8259" customFormat="false" ht="15" hidden="false" customHeight="true" outlineLevel="0" collapsed="false">
      <c r="A8259" s="10" t="n">
        <f aca="false">Einstellungen!$B$5+INT((ROW()-9)/24)</f>
        <v>46309</v>
      </c>
      <c r="B8259" s="11" t="n">
        <f aca="false">MOD(ROW()-9,24)</f>
        <v>18</v>
      </c>
      <c r="C8259" s="12"/>
      <c r="D8259" s="13" t="n">
        <f aca="false">IF(B8259&lt;5,Einstellungen!$B$3,Einstellungen!$B$4)</f>
        <v>29.13</v>
      </c>
      <c r="E8259" s="14" t="str">
        <f aca="false">IF(C8259="","",C8259*D8259/100)</f>
        <v/>
      </c>
      <c r="F8259" s="15" t="str">
        <f aca="false">IF(B8259&lt;5,"Go","Standard")</f>
        <v>Standard</v>
      </c>
    </row>
    <row r="8260" customFormat="false" ht="15" hidden="false" customHeight="true" outlineLevel="0" collapsed="false">
      <c r="A8260" s="10" t="n">
        <f aca="false">Einstellungen!$B$5+INT((ROW()-9)/24)</f>
        <v>46309</v>
      </c>
      <c r="B8260" s="11" t="n">
        <f aca="false">MOD(ROW()-9,24)</f>
        <v>19</v>
      </c>
      <c r="C8260" s="12"/>
      <c r="D8260" s="13" t="n">
        <f aca="false">IF(B8260&lt;5,Einstellungen!$B$3,Einstellungen!$B$4)</f>
        <v>29.13</v>
      </c>
      <c r="E8260" s="14" t="str">
        <f aca="false">IF(C8260="","",C8260*D8260/100)</f>
        <v/>
      </c>
      <c r="F8260" s="15" t="str">
        <f aca="false">IF(B8260&lt;5,"Go","Standard")</f>
        <v>Standard</v>
      </c>
    </row>
    <row r="8261" customFormat="false" ht="15" hidden="false" customHeight="true" outlineLevel="0" collapsed="false">
      <c r="A8261" s="10" t="n">
        <f aca="false">Einstellungen!$B$5+INT((ROW()-9)/24)</f>
        <v>46309</v>
      </c>
      <c r="B8261" s="11" t="n">
        <f aca="false">MOD(ROW()-9,24)</f>
        <v>20</v>
      </c>
      <c r="C8261" s="12"/>
      <c r="D8261" s="13" t="n">
        <f aca="false">IF(B8261&lt;5,Einstellungen!$B$3,Einstellungen!$B$4)</f>
        <v>29.13</v>
      </c>
      <c r="E8261" s="14" t="str">
        <f aca="false">IF(C8261="","",C8261*D8261/100)</f>
        <v/>
      </c>
      <c r="F8261" s="15" t="str">
        <f aca="false">IF(B8261&lt;5,"Go","Standard")</f>
        <v>Standard</v>
      </c>
    </row>
    <row r="8262" customFormat="false" ht="15" hidden="false" customHeight="true" outlineLevel="0" collapsed="false">
      <c r="A8262" s="10" t="n">
        <f aca="false">Einstellungen!$B$5+INT((ROW()-9)/24)</f>
        <v>46309</v>
      </c>
      <c r="B8262" s="11" t="n">
        <f aca="false">MOD(ROW()-9,24)</f>
        <v>21</v>
      </c>
      <c r="C8262" s="12"/>
      <c r="D8262" s="13" t="n">
        <f aca="false">IF(B8262&lt;5,Einstellungen!$B$3,Einstellungen!$B$4)</f>
        <v>29.13</v>
      </c>
      <c r="E8262" s="14" t="str">
        <f aca="false">IF(C8262="","",C8262*D8262/100)</f>
        <v/>
      </c>
      <c r="F8262" s="15" t="str">
        <f aca="false">IF(B8262&lt;5,"Go","Standard")</f>
        <v>Standard</v>
      </c>
    </row>
    <row r="8263" customFormat="false" ht="15" hidden="false" customHeight="true" outlineLevel="0" collapsed="false">
      <c r="A8263" s="10" t="n">
        <f aca="false">Einstellungen!$B$5+INT((ROW()-9)/24)</f>
        <v>46309</v>
      </c>
      <c r="B8263" s="11" t="n">
        <f aca="false">MOD(ROW()-9,24)</f>
        <v>22</v>
      </c>
      <c r="C8263" s="12"/>
      <c r="D8263" s="13" t="n">
        <f aca="false">IF(B8263&lt;5,Einstellungen!$B$3,Einstellungen!$B$4)</f>
        <v>29.13</v>
      </c>
      <c r="E8263" s="14" t="str">
        <f aca="false">IF(C8263="","",C8263*D8263/100)</f>
        <v/>
      </c>
      <c r="F8263" s="15" t="str">
        <f aca="false">IF(B8263&lt;5,"Go","Standard")</f>
        <v>Standard</v>
      </c>
    </row>
    <row r="8264" customFormat="false" ht="15" hidden="false" customHeight="true" outlineLevel="0" collapsed="false">
      <c r="A8264" s="10" t="n">
        <f aca="false">Einstellungen!$B$5+INT((ROW()-9)/24)</f>
        <v>46309</v>
      </c>
      <c r="B8264" s="11" t="n">
        <f aca="false">MOD(ROW()-9,24)</f>
        <v>23</v>
      </c>
      <c r="C8264" s="12"/>
      <c r="D8264" s="13" t="n">
        <f aca="false">IF(B8264&lt;5,Einstellungen!$B$3,Einstellungen!$B$4)</f>
        <v>29.13</v>
      </c>
      <c r="E8264" s="14" t="str">
        <f aca="false">IF(C8264="","",C8264*D8264/100)</f>
        <v/>
      </c>
      <c r="F8264" s="15" t="str">
        <f aca="false">IF(B8264&lt;5,"Go","Standard")</f>
        <v>Standard</v>
      </c>
    </row>
    <row r="8265" customFormat="false" ht="15" hidden="false" customHeight="true" outlineLevel="0" collapsed="false">
      <c r="A8265" s="10" t="n">
        <f aca="false">Einstellungen!$B$5+INT((ROW()-9)/24)</f>
        <v>46310</v>
      </c>
      <c r="B8265" s="11" t="n">
        <f aca="false">MOD(ROW()-9,24)</f>
        <v>0</v>
      </c>
      <c r="C8265" s="12"/>
      <c r="D8265" s="13" t="n">
        <f aca="false">IF(B8265&lt;5,Einstellungen!$B$3,Einstellungen!$B$4)</f>
        <v>15.92</v>
      </c>
      <c r="E8265" s="14" t="str">
        <f aca="false">IF(C8265="","",C8265*D8265/100)</f>
        <v/>
      </c>
      <c r="F8265" s="15" t="str">
        <f aca="false">IF(B8265&lt;5,"Go","Standard")</f>
        <v>Go</v>
      </c>
    </row>
    <row r="8266" customFormat="false" ht="15" hidden="false" customHeight="true" outlineLevel="0" collapsed="false">
      <c r="A8266" s="10" t="n">
        <f aca="false">Einstellungen!$B$5+INT((ROW()-9)/24)</f>
        <v>46310</v>
      </c>
      <c r="B8266" s="11" t="n">
        <f aca="false">MOD(ROW()-9,24)</f>
        <v>1</v>
      </c>
      <c r="C8266" s="12"/>
      <c r="D8266" s="13" t="n">
        <f aca="false">IF(B8266&lt;5,Einstellungen!$B$3,Einstellungen!$B$4)</f>
        <v>15.92</v>
      </c>
      <c r="E8266" s="14" t="str">
        <f aca="false">IF(C8266="","",C8266*D8266/100)</f>
        <v/>
      </c>
      <c r="F8266" s="15" t="str">
        <f aca="false">IF(B8266&lt;5,"Go","Standard")</f>
        <v>Go</v>
      </c>
    </row>
    <row r="8267" customFormat="false" ht="15" hidden="false" customHeight="true" outlineLevel="0" collapsed="false">
      <c r="A8267" s="10" t="n">
        <f aca="false">Einstellungen!$B$5+INT((ROW()-9)/24)</f>
        <v>46310</v>
      </c>
      <c r="B8267" s="11" t="n">
        <f aca="false">MOD(ROW()-9,24)</f>
        <v>2</v>
      </c>
      <c r="C8267" s="12"/>
      <c r="D8267" s="13" t="n">
        <f aca="false">IF(B8267&lt;5,Einstellungen!$B$3,Einstellungen!$B$4)</f>
        <v>15.92</v>
      </c>
      <c r="E8267" s="14" t="str">
        <f aca="false">IF(C8267="","",C8267*D8267/100)</f>
        <v/>
      </c>
      <c r="F8267" s="15" t="str">
        <f aca="false">IF(B8267&lt;5,"Go","Standard")</f>
        <v>Go</v>
      </c>
    </row>
    <row r="8268" customFormat="false" ht="15" hidden="false" customHeight="true" outlineLevel="0" collapsed="false">
      <c r="A8268" s="10" t="n">
        <f aca="false">Einstellungen!$B$5+INT((ROW()-9)/24)</f>
        <v>46310</v>
      </c>
      <c r="B8268" s="11" t="n">
        <f aca="false">MOD(ROW()-9,24)</f>
        <v>3</v>
      </c>
      <c r="C8268" s="12"/>
      <c r="D8268" s="13" t="n">
        <f aca="false">IF(B8268&lt;5,Einstellungen!$B$3,Einstellungen!$B$4)</f>
        <v>15.92</v>
      </c>
      <c r="E8268" s="14" t="str">
        <f aca="false">IF(C8268="","",C8268*D8268/100)</f>
        <v/>
      </c>
      <c r="F8268" s="15" t="str">
        <f aca="false">IF(B8268&lt;5,"Go","Standard")</f>
        <v>Go</v>
      </c>
    </row>
    <row r="8269" customFormat="false" ht="15" hidden="false" customHeight="true" outlineLevel="0" collapsed="false">
      <c r="A8269" s="10" t="n">
        <f aca="false">Einstellungen!$B$5+INT((ROW()-9)/24)</f>
        <v>46310</v>
      </c>
      <c r="B8269" s="11" t="n">
        <f aca="false">MOD(ROW()-9,24)</f>
        <v>4</v>
      </c>
      <c r="C8269" s="12"/>
      <c r="D8269" s="13" t="n">
        <f aca="false">IF(B8269&lt;5,Einstellungen!$B$3,Einstellungen!$B$4)</f>
        <v>15.92</v>
      </c>
      <c r="E8269" s="14" t="str">
        <f aca="false">IF(C8269="","",C8269*D8269/100)</f>
        <v/>
      </c>
      <c r="F8269" s="15" t="str">
        <f aca="false">IF(B8269&lt;5,"Go","Standard")</f>
        <v>Go</v>
      </c>
    </row>
    <row r="8270" customFormat="false" ht="15" hidden="false" customHeight="true" outlineLevel="0" collapsed="false">
      <c r="A8270" s="10" t="n">
        <f aca="false">Einstellungen!$B$5+INT((ROW()-9)/24)</f>
        <v>46310</v>
      </c>
      <c r="B8270" s="11" t="n">
        <f aca="false">MOD(ROW()-9,24)</f>
        <v>5</v>
      </c>
      <c r="C8270" s="12"/>
      <c r="D8270" s="13" t="n">
        <f aca="false">IF(B8270&lt;5,Einstellungen!$B$3,Einstellungen!$B$4)</f>
        <v>29.13</v>
      </c>
      <c r="E8270" s="14" t="str">
        <f aca="false">IF(C8270="","",C8270*D8270/100)</f>
        <v/>
      </c>
      <c r="F8270" s="15" t="str">
        <f aca="false">IF(B8270&lt;5,"Go","Standard")</f>
        <v>Standard</v>
      </c>
    </row>
    <row r="8271" customFormat="false" ht="15" hidden="false" customHeight="true" outlineLevel="0" collapsed="false">
      <c r="A8271" s="10" t="n">
        <f aca="false">Einstellungen!$B$5+INT((ROW()-9)/24)</f>
        <v>46310</v>
      </c>
      <c r="B8271" s="11" t="n">
        <f aca="false">MOD(ROW()-9,24)</f>
        <v>6</v>
      </c>
      <c r="C8271" s="12"/>
      <c r="D8271" s="13" t="n">
        <f aca="false">IF(B8271&lt;5,Einstellungen!$B$3,Einstellungen!$B$4)</f>
        <v>29.13</v>
      </c>
      <c r="E8271" s="14" t="str">
        <f aca="false">IF(C8271="","",C8271*D8271/100)</f>
        <v/>
      </c>
      <c r="F8271" s="15" t="str">
        <f aca="false">IF(B8271&lt;5,"Go","Standard")</f>
        <v>Standard</v>
      </c>
    </row>
    <row r="8272" customFormat="false" ht="15" hidden="false" customHeight="true" outlineLevel="0" collapsed="false">
      <c r="A8272" s="10" t="n">
        <f aca="false">Einstellungen!$B$5+INT((ROW()-9)/24)</f>
        <v>46310</v>
      </c>
      <c r="B8272" s="11" t="n">
        <f aca="false">MOD(ROW()-9,24)</f>
        <v>7</v>
      </c>
      <c r="C8272" s="12"/>
      <c r="D8272" s="13" t="n">
        <f aca="false">IF(B8272&lt;5,Einstellungen!$B$3,Einstellungen!$B$4)</f>
        <v>29.13</v>
      </c>
      <c r="E8272" s="14" t="str">
        <f aca="false">IF(C8272="","",C8272*D8272/100)</f>
        <v/>
      </c>
      <c r="F8272" s="15" t="str">
        <f aca="false">IF(B8272&lt;5,"Go","Standard")</f>
        <v>Standard</v>
      </c>
    </row>
    <row r="8273" customFormat="false" ht="15" hidden="false" customHeight="true" outlineLevel="0" collapsed="false">
      <c r="A8273" s="10" t="n">
        <f aca="false">Einstellungen!$B$5+INT((ROW()-9)/24)</f>
        <v>46310</v>
      </c>
      <c r="B8273" s="11" t="n">
        <f aca="false">MOD(ROW()-9,24)</f>
        <v>8</v>
      </c>
      <c r="C8273" s="12"/>
      <c r="D8273" s="13" t="n">
        <f aca="false">IF(B8273&lt;5,Einstellungen!$B$3,Einstellungen!$B$4)</f>
        <v>29.13</v>
      </c>
      <c r="E8273" s="14" t="str">
        <f aca="false">IF(C8273="","",C8273*D8273/100)</f>
        <v/>
      </c>
      <c r="F8273" s="15" t="str">
        <f aca="false">IF(B8273&lt;5,"Go","Standard")</f>
        <v>Standard</v>
      </c>
    </row>
    <row r="8274" customFormat="false" ht="15" hidden="false" customHeight="true" outlineLevel="0" collapsed="false">
      <c r="A8274" s="10" t="n">
        <f aca="false">Einstellungen!$B$5+INT((ROW()-9)/24)</f>
        <v>46310</v>
      </c>
      <c r="B8274" s="11" t="n">
        <f aca="false">MOD(ROW()-9,24)</f>
        <v>9</v>
      </c>
      <c r="C8274" s="12"/>
      <c r="D8274" s="13" t="n">
        <f aca="false">IF(B8274&lt;5,Einstellungen!$B$3,Einstellungen!$B$4)</f>
        <v>29.13</v>
      </c>
      <c r="E8274" s="14" t="str">
        <f aca="false">IF(C8274="","",C8274*D8274/100)</f>
        <v/>
      </c>
      <c r="F8274" s="15" t="str">
        <f aca="false">IF(B8274&lt;5,"Go","Standard")</f>
        <v>Standard</v>
      </c>
    </row>
    <row r="8275" customFormat="false" ht="15" hidden="false" customHeight="true" outlineLevel="0" collapsed="false">
      <c r="A8275" s="10" t="n">
        <f aca="false">Einstellungen!$B$5+INT((ROW()-9)/24)</f>
        <v>46310</v>
      </c>
      <c r="B8275" s="11" t="n">
        <f aca="false">MOD(ROW()-9,24)</f>
        <v>10</v>
      </c>
      <c r="C8275" s="12"/>
      <c r="D8275" s="13" t="n">
        <f aca="false">IF(B8275&lt;5,Einstellungen!$B$3,Einstellungen!$B$4)</f>
        <v>29.13</v>
      </c>
      <c r="E8275" s="14" t="str">
        <f aca="false">IF(C8275="","",C8275*D8275/100)</f>
        <v/>
      </c>
      <c r="F8275" s="15" t="str">
        <f aca="false">IF(B8275&lt;5,"Go","Standard")</f>
        <v>Standard</v>
      </c>
    </row>
    <row r="8276" customFormat="false" ht="15" hidden="false" customHeight="true" outlineLevel="0" collapsed="false">
      <c r="A8276" s="10" t="n">
        <f aca="false">Einstellungen!$B$5+INT((ROW()-9)/24)</f>
        <v>46310</v>
      </c>
      <c r="B8276" s="11" t="n">
        <f aca="false">MOD(ROW()-9,24)</f>
        <v>11</v>
      </c>
      <c r="C8276" s="12"/>
      <c r="D8276" s="13" t="n">
        <f aca="false">IF(B8276&lt;5,Einstellungen!$B$3,Einstellungen!$B$4)</f>
        <v>29.13</v>
      </c>
      <c r="E8276" s="14" t="str">
        <f aca="false">IF(C8276="","",C8276*D8276/100)</f>
        <v/>
      </c>
      <c r="F8276" s="15" t="str">
        <f aca="false">IF(B8276&lt;5,"Go","Standard")</f>
        <v>Standard</v>
      </c>
    </row>
    <row r="8277" customFormat="false" ht="15" hidden="false" customHeight="true" outlineLevel="0" collapsed="false">
      <c r="A8277" s="10" t="n">
        <f aca="false">Einstellungen!$B$5+INT((ROW()-9)/24)</f>
        <v>46310</v>
      </c>
      <c r="B8277" s="11" t="n">
        <f aca="false">MOD(ROW()-9,24)</f>
        <v>12</v>
      </c>
      <c r="C8277" s="12"/>
      <c r="D8277" s="13" t="n">
        <f aca="false">IF(B8277&lt;5,Einstellungen!$B$3,Einstellungen!$B$4)</f>
        <v>29.13</v>
      </c>
      <c r="E8277" s="14" t="str">
        <f aca="false">IF(C8277="","",C8277*D8277/100)</f>
        <v/>
      </c>
      <c r="F8277" s="15" t="str">
        <f aca="false">IF(B8277&lt;5,"Go","Standard")</f>
        <v>Standard</v>
      </c>
    </row>
    <row r="8278" customFormat="false" ht="15" hidden="false" customHeight="true" outlineLevel="0" collapsed="false">
      <c r="A8278" s="10" t="n">
        <f aca="false">Einstellungen!$B$5+INT((ROW()-9)/24)</f>
        <v>46310</v>
      </c>
      <c r="B8278" s="11" t="n">
        <f aca="false">MOD(ROW()-9,24)</f>
        <v>13</v>
      </c>
      <c r="C8278" s="12"/>
      <c r="D8278" s="13" t="n">
        <f aca="false">IF(B8278&lt;5,Einstellungen!$B$3,Einstellungen!$B$4)</f>
        <v>29.13</v>
      </c>
      <c r="E8278" s="14" t="str">
        <f aca="false">IF(C8278="","",C8278*D8278/100)</f>
        <v/>
      </c>
      <c r="F8278" s="15" t="str">
        <f aca="false">IF(B8278&lt;5,"Go","Standard")</f>
        <v>Standard</v>
      </c>
    </row>
    <row r="8279" customFormat="false" ht="15" hidden="false" customHeight="true" outlineLevel="0" collapsed="false">
      <c r="A8279" s="10" t="n">
        <f aca="false">Einstellungen!$B$5+INT((ROW()-9)/24)</f>
        <v>46310</v>
      </c>
      <c r="B8279" s="11" t="n">
        <f aca="false">MOD(ROW()-9,24)</f>
        <v>14</v>
      </c>
      <c r="C8279" s="12"/>
      <c r="D8279" s="13" t="n">
        <f aca="false">IF(B8279&lt;5,Einstellungen!$B$3,Einstellungen!$B$4)</f>
        <v>29.13</v>
      </c>
      <c r="E8279" s="14" t="str">
        <f aca="false">IF(C8279="","",C8279*D8279/100)</f>
        <v/>
      </c>
      <c r="F8279" s="15" t="str">
        <f aca="false">IF(B8279&lt;5,"Go","Standard")</f>
        <v>Standard</v>
      </c>
    </row>
    <row r="8280" customFormat="false" ht="15" hidden="false" customHeight="true" outlineLevel="0" collapsed="false">
      <c r="A8280" s="10" t="n">
        <f aca="false">Einstellungen!$B$5+INT((ROW()-9)/24)</f>
        <v>46310</v>
      </c>
      <c r="B8280" s="11" t="n">
        <f aca="false">MOD(ROW()-9,24)</f>
        <v>15</v>
      </c>
      <c r="C8280" s="12"/>
      <c r="D8280" s="13" t="n">
        <f aca="false">IF(B8280&lt;5,Einstellungen!$B$3,Einstellungen!$B$4)</f>
        <v>29.13</v>
      </c>
      <c r="E8280" s="14" t="str">
        <f aca="false">IF(C8280="","",C8280*D8280/100)</f>
        <v/>
      </c>
      <c r="F8280" s="15" t="str">
        <f aca="false">IF(B8280&lt;5,"Go","Standard")</f>
        <v>Standard</v>
      </c>
    </row>
    <row r="8281" customFormat="false" ht="15" hidden="false" customHeight="true" outlineLevel="0" collapsed="false">
      <c r="A8281" s="10" t="n">
        <f aca="false">Einstellungen!$B$5+INT((ROW()-9)/24)</f>
        <v>46310</v>
      </c>
      <c r="B8281" s="11" t="n">
        <f aca="false">MOD(ROW()-9,24)</f>
        <v>16</v>
      </c>
      <c r="C8281" s="12"/>
      <c r="D8281" s="13" t="n">
        <f aca="false">IF(B8281&lt;5,Einstellungen!$B$3,Einstellungen!$B$4)</f>
        <v>29.13</v>
      </c>
      <c r="E8281" s="14" t="str">
        <f aca="false">IF(C8281="","",C8281*D8281/100)</f>
        <v/>
      </c>
      <c r="F8281" s="15" t="str">
        <f aca="false">IF(B8281&lt;5,"Go","Standard")</f>
        <v>Standard</v>
      </c>
    </row>
    <row r="8282" customFormat="false" ht="15" hidden="false" customHeight="true" outlineLevel="0" collapsed="false">
      <c r="A8282" s="10" t="n">
        <f aca="false">Einstellungen!$B$5+INT((ROW()-9)/24)</f>
        <v>46310</v>
      </c>
      <c r="B8282" s="11" t="n">
        <f aca="false">MOD(ROW()-9,24)</f>
        <v>17</v>
      </c>
      <c r="C8282" s="12"/>
      <c r="D8282" s="13" t="n">
        <f aca="false">IF(B8282&lt;5,Einstellungen!$B$3,Einstellungen!$B$4)</f>
        <v>29.13</v>
      </c>
      <c r="E8282" s="14" t="str">
        <f aca="false">IF(C8282="","",C8282*D8282/100)</f>
        <v/>
      </c>
      <c r="F8282" s="15" t="str">
        <f aca="false">IF(B8282&lt;5,"Go","Standard")</f>
        <v>Standard</v>
      </c>
    </row>
    <row r="8283" customFormat="false" ht="15" hidden="false" customHeight="true" outlineLevel="0" collapsed="false">
      <c r="A8283" s="10" t="n">
        <f aca="false">Einstellungen!$B$5+INT((ROW()-9)/24)</f>
        <v>46310</v>
      </c>
      <c r="B8283" s="11" t="n">
        <f aca="false">MOD(ROW()-9,24)</f>
        <v>18</v>
      </c>
      <c r="C8283" s="12"/>
      <c r="D8283" s="13" t="n">
        <f aca="false">IF(B8283&lt;5,Einstellungen!$B$3,Einstellungen!$B$4)</f>
        <v>29.13</v>
      </c>
      <c r="E8283" s="14" t="str">
        <f aca="false">IF(C8283="","",C8283*D8283/100)</f>
        <v/>
      </c>
      <c r="F8283" s="15" t="str">
        <f aca="false">IF(B8283&lt;5,"Go","Standard")</f>
        <v>Standard</v>
      </c>
    </row>
    <row r="8284" customFormat="false" ht="15" hidden="false" customHeight="true" outlineLevel="0" collapsed="false">
      <c r="A8284" s="10" t="n">
        <f aca="false">Einstellungen!$B$5+INT((ROW()-9)/24)</f>
        <v>46310</v>
      </c>
      <c r="B8284" s="11" t="n">
        <f aca="false">MOD(ROW()-9,24)</f>
        <v>19</v>
      </c>
      <c r="C8284" s="12"/>
      <c r="D8284" s="13" t="n">
        <f aca="false">IF(B8284&lt;5,Einstellungen!$B$3,Einstellungen!$B$4)</f>
        <v>29.13</v>
      </c>
      <c r="E8284" s="14" t="str">
        <f aca="false">IF(C8284="","",C8284*D8284/100)</f>
        <v/>
      </c>
      <c r="F8284" s="15" t="str">
        <f aca="false">IF(B8284&lt;5,"Go","Standard")</f>
        <v>Standard</v>
      </c>
    </row>
    <row r="8285" customFormat="false" ht="15" hidden="false" customHeight="true" outlineLevel="0" collapsed="false">
      <c r="A8285" s="10" t="n">
        <f aca="false">Einstellungen!$B$5+INT((ROW()-9)/24)</f>
        <v>46310</v>
      </c>
      <c r="B8285" s="11" t="n">
        <f aca="false">MOD(ROW()-9,24)</f>
        <v>20</v>
      </c>
      <c r="C8285" s="12"/>
      <c r="D8285" s="13" t="n">
        <f aca="false">IF(B8285&lt;5,Einstellungen!$B$3,Einstellungen!$B$4)</f>
        <v>29.13</v>
      </c>
      <c r="E8285" s="14" t="str">
        <f aca="false">IF(C8285="","",C8285*D8285/100)</f>
        <v/>
      </c>
      <c r="F8285" s="15" t="str">
        <f aca="false">IF(B8285&lt;5,"Go","Standard")</f>
        <v>Standard</v>
      </c>
    </row>
    <row r="8286" customFormat="false" ht="15" hidden="false" customHeight="true" outlineLevel="0" collapsed="false">
      <c r="A8286" s="10" t="n">
        <f aca="false">Einstellungen!$B$5+INT((ROW()-9)/24)</f>
        <v>46310</v>
      </c>
      <c r="B8286" s="11" t="n">
        <f aca="false">MOD(ROW()-9,24)</f>
        <v>21</v>
      </c>
      <c r="C8286" s="12"/>
      <c r="D8286" s="13" t="n">
        <f aca="false">IF(B8286&lt;5,Einstellungen!$B$3,Einstellungen!$B$4)</f>
        <v>29.13</v>
      </c>
      <c r="E8286" s="14" t="str">
        <f aca="false">IF(C8286="","",C8286*D8286/100)</f>
        <v/>
      </c>
      <c r="F8286" s="15" t="str">
        <f aca="false">IF(B8286&lt;5,"Go","Standard")</f>
        <v>Standard</v>
      </c>
    </row>
    <row r="8287" customFormat="false" ht="15" hidden="false" customHeight="true" outlineLevel="0" collapsed="false">
      <c r="A8287" s="10" t="n">
        <f aca="false">Einstellungen!$B$5+INT((ROW()-9)/24)</f>
        <v>46310</v>
      </c>
      <c r="B8287" s="11" t="n">
        <f aca="false">MOD(ROW()-9,24)</f>
        <v>22</v>
      </c>
      <c r="C8287" s="12"/>
      <c r="D8287" s="13" t="n">
        <f aca="false">IF(B8287&lt;5,Einstellungen!$B$3,Einstellungen!$B$4)</f>
        <v>29.13</v>
      </c>
      <c r="E8287" s="14" t="str">
        <f aca="false">IF(C8287="","",C8287*D8287/100)</f>
        <v/>
      </c>
      <c r="F8287" s="15" t="str">
        <f aca="false">IF(B8287&lt;5,"Go","Standard")</f>
        <v>Standard</v>
      </c>
    </row>
    <row r="8288" customFormat="false" ht="15" hidden="false" customHeight="true" outlineLevel="0" collapsed="false">
      <c r="A8288" s="10" t="n">
        <f aca="false">Einstellungen!$B$5+INT((ROW()-9)/24)</f>
        <v>46310</v>
      </c>
      <c r="B8288" s="11" t="n">
        <f aca="false">MOD(ROW()-9,24)</f>
        <v>23</v>
      </c>
      <c r="C8288" s="12"/>
      <c r="D8288" s="13" t="n">
        <f aca="false">IF(B8288&lt;5,Einstellungen!$B$3,Einstellungen!$B$4)</f>
        <v>29.13</v>
      </c>
      <c r="E8288" s="14" t="str">
        <f aca="false">IF(C8288="","",C8288*D8288/100)</f>
        <v/>
      </c>
      <c r="F8288" s="15" t="str">
        <f aca="false">IF(B8288&lt;5,"Go","Standard")</f>
        <v>Standard</v>
      </c>
    </row>
    <row r="8289" customFormat="false" ht="15" hidden="false" customHeight="true" outlineLevel="0" collapsed="false">
      <c r="A8289" s="10" t="n">
        <f aca="false">Einstellungen!$B$5+INT((ROW()-9)/24)</f>
        <v>46311</v>
      </c>
      <c r="B8289" s="11" t="n">
        <f aca="false">MOD(ROW()-9,24)</f>
        <v>0</v>
      </c>
      <c r="C8289" s="12"/>
      <c r="D8289" s="13" t="n">
        <f aca="false">IF(B8289&lt;5,Einstellungen!$B$3,Einstellungen!$B$4)</f>
        <v>15.92</v>
      </c>
      <c r="E8289" s="14" t="str">
        <f aca="false">IF(C8289="","",C8289*D8289/100)</f>
        <v/>
      </c>
      <c r="F8289" s="15" t="str">
        <f aca="false">IF(B8289&lt;5,"Go","Standard")</f>
        <v>Go</v>
      </c>
    </row>
    <row r="8290" customFormat="false" ht="15" hidden="false" customHeight="true" outlineLevel="0" collapsed="false">
      <c r="A8290" s="10" t="n">
        <f aca="false">Einstellungen!$B$5+INT((ROW()-9)/24)</f>
        <v>46311</v>
      </c>
      <c r="B8290" s="11" t="n">
        <f aca="false">MOD(ROW()-9,24)</f>
        <v>1</v>
      </c>
      <c r="C8290" s="12"/>
      <c r="D8290" s="13" t="n">
        <f aca="false">IF(B8290&lt;5,Einstellungen!$B$3,Einstellungen!$B$4)</f>
        <v>15.92</v>
      </c>
      <c r="E8290" s="14" t="str">
        <f aca="false">IF(C8290="","",C8290*D8290/100)</f>
        <v/>
      </c>
      <c r="F8290" s="15" t="str">
        <f aca="false">IF(B8290&lt;5,"Go","Standard")</f>
        <v>Go</v>
      </c>
    </row>
    <row r="8291" customFormat="false" ht="15" hidden="false" customHeight="true" outlineLevel="0" collapsed="false">
      <c r="A8291" s="10" t="n">
        <f aca="false">Einstellungen!$B$5+INT((ROW()-9)/24)</f>
        <v>46311</v>
      </c>
      <c r="B8291" s="11" t="n">
        <f aca="false">MOD(ROW()-9,24)</f>
        <v>2</v>
      </c>
      <c r="C8291" s="12"/>
      <c r="D8291" s="13" t="n">
        <f aca="false">IF(B8291&lt;5,Einstellungen!$B$3,Einstellungen!$B$4)</f>
        <v>15.92</v>
      </c>
      <c r="E8291" s="14" t="str">
        <f aca="false">IF(C8291="","",C8291*D8291/100)</f>
        <v/>
      </c>
      <c r="F8291" s="15" t="str">
        <f aca="false">IF(B8291&lt;5,"Go","Standard")</f>
        <v>Go</v>
      </c>
    </row>
    <row r="8292" customFormat="false" ht="15" hidden="false" customHeight="true" outlineLevel="0" collapsed="false">
      <c r="A8292" s="10" t="n">
        <f aca="false">Einstellungen!$B$5+INT((ROW()-9)/24)</f>
        <v>46311</v>
      </c>
      <c r="B8292" s="11" t="n">
        <f aca="false">MOD(ROW()-9,24)</f>
        <v>3</v>
      </c>
      <c r="C8292" s="12"/>
      <c r="D8292" s="13" t="n">
        <f aca="false">IF(B8292&lt;5,Einstellungen!$B$3,Einstellungen!$B$4)</f>
        <v>15.92</v>
      </c>
      <c r="E8292" s="14" t="str">
        <f aca="false">IF(C8292="","",C8292*D8292/100)</f>
        <v/>
      </c>
      <c r="F8292" s="15" t="str">
        <f aca="false">IF(B8292&lt;5,"Go","Standard")</f>
        <v>Go</v>
      </c>
    </row>
    <row r="8293" customFormat="false" ht="15" hidden="false" customHeight="true" outlineLevel="0" collapsed="false">
      <c r="A8293" s="10" t="n">
        <f aca="false">Einstellungen!$B$5+INT((ROW()-9)/24)</f>
        <v>46311</v>
      </c>
      <c r="B8293" s="11" t="n">
        <f aca="false">MOD(ROW()-9,24)</f>
        <v>4</v>
      </c>
      <c r="C8293" s="12"/>
      <c r="D8293" s="13" t="n">
        <f aca="false">IF(B8293&lt;5,Einstellungen!$B$3,Einstellungen!$B$4)</f>
        <v>15.92</v>
      </c>
      <c r="E8293" s="14" t="str">
        <f aca="false">IF(C8293="","",C8293*D8293/100)</f>
        <v/>
      </c>
      <c r="F8293" s="15" t="str">
        <f aca="false">IF(B8293&lt;5,"Go","Standard")</f>
        <v>Go</v>
      </c>
    </row>
    <row r="8294" customFormat="false" ht="15" hidden="false" customHeight="true" outlineLevel="0" collapsed="false">
      <c r="A8294" s="10" t="n">
        <f aca="false">Einstellungen!$B$5+INT((ROW()-9)/24)</f>
        <v>46311</v>
      </c>
      <c r="B8294" s="11" t="n">
        <f aca="false">MOD(ROW()-9,24)</f>
        <v>5</v>
      </c>
      <c r="C8294" s="12"/>
      <c r="D8294" s="13" t="n">
        <f aca="false">IF(B8294&lt;5,Einstellungen!$B$3,Einstellungen!$B$4)</f>
        <v>29.13</v>
      </c>
      <c r="E8294" s="14" t="str">
        <f aca="false">IF(C8294="","",C8294*D8294/100)</f>
        <v/>
      </c>
      <c r="F8294" s="15" t="str">
        <f aca="false">IF(B8294&lt;5,"Go","Standard")</f>
        <v>Standard</v>
      </c>
    </row>
    <row r="8295" customFormat="false" ht="15" hidden="false" customHeight="true" outlineLevel="0" collapsed="false">
      <c r="A8295" s="10" t="n">
        <f aca="false">Einstellungen!$B$5+INT((ROW()-9)/24)</f>
        <v>46311</v>
      </c>
      <c r="B8295" s="11" t="n">
        <f aca="false">MOD(ROW()-9,24)</f>
        <v>6</v>
      </c>
      <c r="C8295" s="12"/>
      <c r="D8295" s="13" t="n">
        <f aca="false">IF(B8295&lt;5,Einstellungen!$B$3,Einstellungen!$B$4)</f>
        <v>29.13</v>
      </c>
      <c r="E8295" s="14" t="str">
        <f aca="false">IF(C8295="","",C8295*D8295/100)</f>
        <v/>
      </c>
      <c r="F8295" s="15" t="str">
        <f aca="false">IF(B8295&lt;5,"Go","Standard")</f>
        <v>Standard</v>
      </c>
    </row>
    <row r="8296" customFormat="false" ht="15" hidden="false" customHeight="true" outlineLevel="0" collapsed="false">
      <c r="A8296" s="10" t="n">
        <f aca="false">Einstellungen!$B$5+INT((ROW()-9)/24)</f>
        <v>46311</v>
      </c>
      <c r="B8296" s="11" t="n">
        <f aca="false">MOD(ROW()-9,24)</f>
        <v>7</v>
      </c>
      <c r="C8296" s="12"/>
      <c r="D8296" s="13" t="n">
        <f aca="false">IF(B8296&lt;5,Einstellungen!$B$3,Einstellungen!$B$4)</f>
        <v>29.13</v>
      </c>
      <c r="E8296" s="14" t="str">
        <f aca="false">IF(C8296="","",C8296*D8296/100)</f>
        <v/>
      </c>
      <c r="F8296" s="15" t="str">
        <f aca="false">IF(B8296&lt;5,"Go","Standard")</f>
        <v>Standard</v>
      </c>
    </row>
    <row r="8297" customFormat="false" ht="15" hidden="false" customHeight="true" outlineLevel="0" collapsed="false">
      <c r="A8297" s="10" t="n">
        <f aca="false">Einstellungen!$B$5+INT((ROW()-9)/24)</f>
        <v>46311</v>
      </c>
      <c r="B8297" s="11" t="n">
        <f aca="false">MOD(ROW()-9,24)</f>
        <v>8</v>
      </c>
      <c r="C8297" s="12"/>
      <c r="D8297" s="13" t="n">
        <f aca="false">IF(B8297&lt;5,Einstellungen!$B$3,Einstellungen!$B$4)</f>
        <v>29.13</v>
      </c>
      <c r="E8297" s="14" t="str">
        <f aca="false">IF(C8297="","",C8297*D8297/100)</f>
        <v/>
      </c>
      <c r="F8297" s="15" t="str">
        <f aca="false">IF(B8297&lt;5,"Go","Standard")</f>
        <v>Standard</v>
      </c>
    </row>
    <row r="8298" customFormat="false" ht="15" hidden="false" customHeight="true" outlineLevel="0" collapsed="false">
      <c r="A8298" s="10" t="n">
        <f aca="false">Einstellungen!$B$5+INT((ROW()-9)/24)</f>
        <v>46311</v>
      </c>
      <c r="B8298" s="11" t="n">
        <f aca="false">MOD(ROW()-9,24)</f>
        <v>9</v>
      </c>
      <c r="C8298" s="12"/>
      <c r="D8298" s="13" t="n">
        <f aca="false">IF(B8298&lt;5,Einstellungen!$B$3,Einstellungen!$B$4)</f>
        <v>29.13</v>
      </c>
      <c r="E8298" s="14" t="str">
        <f aca="false">IF(C8298="","",C8298*D8298/100)</f>
        <v/>
      </c>
      <c r="F8298" s="15" t="str">
        <f aca="false">IF(B8298&lt;5,"Go","Standard")</f>
        <v>Standard</v>
      </c>
    </row>
    <row r="8299" customFormat="false" ht="15" hidden="false" customHeight="true" outlineLevel="0" collapsed="false">
      <c r="A8299" s="10" t="n">
        <f aca="false">Einstellungen!$B$5+INT((ROW()-9)/24)</f>
        <v>46311</v>
      </c>
      <c r="B8299" s="11" t="n">
        <f aca="false">MOD(ROW()-9,24)</f>
        <v>10</v>
      </c>
      <c r="C8299" s="12"/>
      <c r="D8299" s="13" t="n">
        <f aca="false">IF(B8299&lt;5,Einstellungen!$B$3,Einstellungen!$B$4)</f>
        <v>29.13</v>
      </c>
      <c r="E8299" s="14" t="str">
        <f aca="false">IF(C8299="","",C8299*D8299/100)</f>
        <v/>
      </c>
      <c r="F8299" s="15" t="str">
        <f aca="false">IF(B8299&lt;5,"Go","Standard")</f>
        <v>Standard</v>
      </c>
    </row>
    <row r="8300" customFormat="false" ht="15" hidden="false" customHeight="true" outlineLevel="0" collapsed="false">
      <c r="A8300" s="10" t="n">
        <f aca="false">Einstellungen!$B$5+INT((ROW()-9)/24)</f>
        <v>46311</v>
      </c>
      <c r="B8300" s="11" t="n">
        <f aca="false">MOD(ROW()-9,24)</f>
        <v>11</v>
      </c>
      <c r="C8300" s="12"/>
      <c r="D8300" s="13" t="n">
        <f aca="false">IF(B8300&lt;5,Einstellungen!$B$3,Einstellungen!$B$4)</f>
        <v>29.13</v>
      </c>
      <c r="E8300" s="14" t="str">
        <f aca="false">IF(C8300="","",C8300*D8300/100)</f>
        <v/>
      </c>
      <c r="F8300" s="15" t="str">
        <f aca="false">IF(B8300&lt;5,"Go","Standard")</f>
        <v>Standard</v>
      </c>
    </row>
    <row r="8301" customFormat="false" ht="15" hidden="false" customHeight="true" outlineLevel="0" collapsed="false">
      <c r="A8301" s="10" t="n">
        <f aca="false">Einstellungen!$B$5+INT((ROW()-9)/24)</f>
        <v>46311</v>
      </c>
      <c r="B8301" s="11" t="n">
        <f aca="false">MOD(ROW()-9,24)</f>
        <v>12</v>
      </c>
      <c r="C8301" s="12"/>
      <c r="D8301" s="13" t="n">
        <f aca="false">IF(B8301&lt;5,Einstellungen!$B$3,Einstellungen!$B$4)</f>
        <v>29.13</v>
      </c>
      <c r="E8301" s="14" t="str">
        <f aca="false">IF(C8301="","",C8301*D8301/100)</f>
        <v/>
      </c>
      <c r="F8301" s="15" t="str">
        <f aca="false">IF(B8301&lt;5,"Go","Standard")</f>
        <v>Standard</v>
      </c>
    </row>
    <row r="8302" customFormat="false" ht="15" hidden="false" customHeight="true" outlineLevel="0" collapsed="false">
      <c r="A8302" s="10" t="n">
        <f aca="false">Einstellungen!$B$5+INT((ROW()-9)/24)</f>
        <v>46311</v>
      </c>
      <c r="B8302" s="11" t="n">
        <f aca="false">MOD(ROW()-9,24)</f>
        <v>13</v>
      </c>
      <c r="C8302" s="12"/>
      <c r="D8302" s="13" t="n">
        <f aca="false">IF(B8302&lt;5,Einstellungen!$B$3,Einstellungen!$B$4)</f>
        <v>29.13</v>
      </c>
      <c r="E8302" s="14" t="str">
        <f aca="false">IF(C8302="","",C8302*D8302/100)</f>
        <v/>
      </c>
      <c r="F8302" s="15" t="str">
        <f aca="false">IF(B8302&lt;5,"Go","Standard")</f>
        <v>Standard</v>
      </c>
    </row>
    <row r="8303" customFormat="false" ht="15" hidden="false" customHeight="true" outlineLevel="0" collapsed="false">
      <c r="A8303" s="10" t="n">
        <f aca="false">Einstellungen!$B$5+INT((ROW()-9)/24)</f>
        <v>46311</v>
      </c>
      <c r="B8303" s="11" t="n">
        <f aca="false">MOD(ROW()-9,24)</f>
        <v>14</v>
      </c>
      <c r="C8303" s="12"/>
      <c r="D8303" s="13" t="n">
        <f aca="false">IF(B8303&lt;5,Einstellungen!$B$3,Einstellungen!$B$4)</f>
        <v>29.13</v>
      </c>
      <c r="E8303" s="14" t="str">
        <f aca="false">IF(C8303="","",C8303*D8303/100)</f>
        <v/>
      </c>
      <c r="F8303" s="15" t="str">
        <f aca="false">IF(B8303&lt;5,"Go","Standard")</f>
        <v>Standard</v>
      </c>
    </row>
    <row r="8304" customFormat="false" ht="15" hidden="false" customHeight="true" outlineLevel="0" collapsed="false">
      <c r="A8304" s="10" t="n">
        <f aca="false">Einstellungen!$B$5+INT((ROW()-9)/24)</f>
        <v>46311</v>
      </c>
      <c r="B8304" s="11" t="n">
        <f aca="false">MOD(ROW()-9,24)</f>
        <v>15</v>
      </c>
      <c r="C8304" s="12"/>
      <c r="D8304" s="13" t="n">
        <f aca="false">IF(B8304&lt;5,Einstellungen!$B$3,Einstellungen!$B$4)</f>
        <v>29.13</v>
      </c>
      <c r="E8304" s="14" t="str">
        <f aca="false">IF(C8304="","",C8304*D8304/100)</f>
        <v/>
      </c>
      <c r="F8304" s="15" t="str">
        <f aca="false">IF(B8304&lt;5,"Go","Standard")</f>
        <v>Standard</v>
      </c>
    </row>
    <row r="8305" customFormat="false" ht="15" hidden="false" customHeight="true" outlineLevel="0" collapsed="false">
      <c r="A8305" s="10" t="n">
        <f aca="false">Einstellungen!$B$5+INT((ROW()-9)/24)</f>
        <v>46311</v>
      </c>
      <c r="B8305" s="11" t="n">
        <f aca="false">MOD(ROW()-9,24)</f>
        <v>16</v>
      </c>
      <c r="C8305" s="12"/>
      <c r="D8305" s="13" t="n">
        <f aca="false">IF(B8305&lt;5,Einstellungen!$B$3,Einstellungen!$B$4)</f>
        <v>29.13</v>
      </c>
      <c r="E8305" s="14" t="str">
        <f aca="false">IF(C8305="","",C8305*D8305/100)</f>
        <v/>
      </c>
      <c r="F8305" s="15" t="str">
        <f aca="false">IF(B8305&lt;5,"Go","Standard")</f>
        <v>Standard</v>
      </c>
    </row>
    <row r="8306" customFormat="false" ht="15" hidden="false" customHeight="true" outlineLevel="0" collapsed="false">
      <c r="A8306" s="10" t="n">
        <f aca="false">Einstellungen!$B$5+INT((ROW()-9)/24)</f>
        <v>46311</v>
      </c>
      <c r="B8306" s="11" t="n">
        <f aca="false">MOD(ROW()-9,24)</f>
        <v>17</v>
      </c>
      <c r="C8306" s="12"/>
      <c r="D8306" s="13" t="n">
        <f aca="false">IF(B8306&lt;5,Einstellungen!$B$3,Einstellungen!$B$4)</f>
        <v>29.13</v>
      </c>
      <c r="E8306" s="14" t="str">
        <f aca="false">IF(C8306="","",C8306*D8306/100)</f>
        <v/>
      </c>
      <c r="F8306" s="15" t="str">
        <f aca="false">IF(B8306&lt;5,"Go","Standard")</f>
        <v>Standard</v>
      </c>
    </row>
    <row r="8307" customFormat="false" ht="15" hidden="false" customHeight="true" outlineLevel="0" collapsed="false">
      <c r="A8307" s="10" t="n">
        <f aca="false">Einstellungen!$B$5+INT((ROW()-9)/24)</f>
        <v>46311</v>
      </c>
      <c r="B8307" s="11" t="n">
        <f aca="false">MOD(ROW()-9,24)</f>
        <v>18</v>
      </c>
      <c r="C8307" s="12"/>
      <c r="D8307" s="13" t="n">
        <f aca="false">IF(B8307&lt;5,Einstellungen!$B$3,Einstellungen!$B$4)</f>
        <v>29.13</v>
      </c>
      <c r="E8307" s="14" t="str">
        <f aca="false">IF(C8307="","",C8307*D8307/100)</f>
        <v/>
      </c>
      <c r="F8307" s="15" t="str">
        <f aca="false">IF(B8307&lt;5,"Go","Standard")</f>
        <v>Standard</v>
      </c>
    </row>
    <row r="8308" customFormat="false" ht="15" hidden="false" customHeight="true" outlineLevel="0" collapsed="false">
      <c r="A8308" s="10" t="n">
        <f aca="false">Einstellungen!$B$5+INT((ROW()-9)/24)</f>
        <v>46311</v>
      </c>
      <c r="B8308" s="11" t="n">
        <f aca="false">MOD(ROW()-9,24)</f>
        <v>19</v>
      </c>
      <c r="C8308" s="12"/>
      <c r="D8308" s="13" t="n">
        <f aca="false">IF(B8308&lt;5,Einstellungen!$B$3,Einstellungen!$B$4)</f>
        <v>29.13</v>
      </c>
      <c r="E8308" s="14" t="str">
        <f aca="false">IF(C8308="","",C8308*D8308/100)</f>
        <v/>
      </c>
      <c r="F8308" s="15" t="str">
        <f aca="false">IF(B8308&lt;5,"Go","Standard")</f>
        <v>Standard</v>
      </c>
    </row>
    <row r="8309" customFormat="false" ht="15" hidden="false" customHeight="true" outlineLevel="0" collapsed="false">
      <c r="A8309" s="10" t="n">
        <f aca="false">Einstellungen!$B$5+INT((ROW()-9)/24)</f>
        <v>46311</v>
      </c>
      <c r="B8309" s="11" t="n">
        <f aca="false">MOD(ROW()-9,24)</f>
        <v>20</v>
      </c>
      <c r="C8309" s="12"/>
      <c r="D8309" s="13" t="n">
        <f aca="false">IF(B8309&lt;5,Einstellungen!$B$3,Einstellungen!$B$4)</f>
        <v>29.13</v>
      </c>
      <c r="E8309" s="14" t="str">
        <f aca="false">IF(C8309="","",C8309*D8309/100)</f>
        <v/>
      </c>
      <c r="F8309" s="15" t="str">
        <f aca="false">IF(B8309&lt;5,"Go","Standard")</f>
        <v>Standard</v>
      </c>
    </row>
    <row r="8310" customFormat="false" ht="15" hidden="false" customHeight="true" outlineLevel="0" collapsed="false">
      <c r="A8310" s="10" t="n">
        <f aca="false">Einstellungen!$B$5+INT((ROW()-9)/24)</f>
        <v>46311</v>
      </c>
      <c r="B8310" s="11" t="n">
        <f aca="false">MOD(ROW()-9,24)</f>
        <v>21</v>
      </c>
      <c r="C8310" s="12"/>
      <c r="D8310" s="13" t="n">
        <f aca="false">IF(B8310&lt;5,Einstellungen!$B$3,Einstellungen!$B$4)</f>
        <v>29.13</v>
      </c>
      <c r="E8310" s="14" t="str">
        <f aca="false">IF(C8310="","",C8310*D8310/100)</f>
        <v/>
      </c>
      <c r="F8310" s="15" t="str">
        <f aca="false">IF(B8310&lt;5,"Go","Standard")</f>
        <v>Standard</v>
      </c>
    </row>
    <row r="8311" customFormat="false" ht="15" hidden="false" customHeight="true" outlineLevel="0" collapsed="false">
      <c r="A8311" s="10" t="n">
        <f aca="false">Einstellungen!$B$5+INT((ROW()-9)/24)</f>
        <v>46311</v>
      </c>
      <c r="B8311" s="11" t="n">
        <f aca="false">MOD(ROW()-9,24)</f>
        <v>22</v>
      </c>
      <c r="C8311" s="12"/>
      <c r="D8311" s="13" t="n">
        <f aca="false">IF(B8311&lt;5,Einstellungen!$B$3,Einstellungen!$B$4)</f>
        <v>29.13</v>
      </c>
      <c r="E8311" s="14" t="str">
        <f aca="false">IF(C8311="","",C8311*D8311/100)</f>
        <v/>
      </c>
      <c r="F8311" s="15" t="str">
        <f aca="false">IF(B8311&lt;5,"Go","Standard")</f>
        <v>Standard</v>
      </c>
    </row>
    <row r="8312" customFormat="false" ht="15" hidden="false" customHeight="true" outlineLevel="0" collapsed="false">
      <c r="A8312" s="10" t="n">
        <f aca="false">Einstellungen!$B$5+INT((ROW()-9)/24)</f>
        <v>46311</v>
      </c>
      <c r="B8312" s="11" t="n">
        <f aca="false">MOD(ROW()-9,24)</f>
        <v>23</v>
      </c>
      <c r="C8312" s="12"/>
      <c r="D8312" s="13" t="n">
        <f aca="false">IF(B8312&lt;5,Einstellungen!$B$3,Einstellungen!$B$4)</f>
        <v>29.13</v>
      </c>
      <c r="E8312" s="14" t="str">
        <f aca="false">IF(C8312="","",C8312*D8312/100)</f>
        <v/>
      </c>
      <c r="F8312" s="15" t="str">
        <f aca="false">IF(B8312&lt;5,"Go","Standard")</f>
        <v>Standard</v>
      </c>
    </row>
    <row r="8313" customFormat="false" ht="15" hidden="false" customHeight="true" outlineLevel="0" collapsed="false">
      <c r="A8313" s="10" t="n">
        <f aca="false">Einstellungen!$B$5+INT((ROW()-9)/24)</f>
        <v>46312</v>
      </c>
      <c r="B8313" s="11" t="n">
        <f aca="false">MOD(ROW()-9,24)</f>
        <v>0</v>
      </c>
      <c r="C8313" s="12"/>
      <c r="D8313" s="13" t="n">
        <f aca="false">IF(B8313&lt;5,Einstellungen!$B$3,Einstellungen!$B$4)</f>
        <v>15.92</v>
      </c>
      <c r="E8313" s="14" t="str">
        <f aca="false">IF(C8313="","",C8313*D8313/100)</f>
        <v/>
      </c>
      <c r="F8313" s="15" t="str">
        <f aca="false">IF(B8313&lt;5,"Go","Standard")</f>
        <v>Go</v>
      </c>
    </row>
    <row r="8314" customFormat="false" ht="15" hidden="false" customHeight="true" outlineLevel="0" collapsed="false">
      <c r="A8314" s="10" t="n">
        <f aca="false">Einstellungen!$B$5+INT((ROW()-9)/24)</f>
        <v>46312</v>
      </c>
      <c r="B8314" s="11" t="n">
        <f aca="false">MOD(ROW()-9,24)</f>
        <v>1</v>
      </c>
      <c r="C8314" s="12"/>
      <c r="D8314" s="13" t="n">
        <f aca="false">IF(B8314&lt;5,Einstellungen!$B$3,Einstellungen!$B$4)</f>
        <v>15.92</v>
      </c>
      <c r="E8314" s="14" t="str">
        <f aca="false">IF(C8314="","",C8314*D8314/100)</f>
        <v/>
      </c>
      <c r="F8314" s="15" t="str">
        <f aca="false">IF(B8314&lt;5,"Go","Standard")</f>
        <v>Go</v>
      </c>
    </row>
    <row r="8315" customFormat="false" ht="15" hidden="false" customHeight="true" outlineLevel="0" collapsed="false">
      <c r="A8315" s="10" t="n">
        <f aca="false">Einstellungen!$B$5+INT((ROW()-9)/24)</f>
        <v>46312</v>
      </c>
      <c r="B8315" s="11" t="n">
        <f aca="false">MOD(ROW()-9,24)</f>
        <v>2</v>
      </c>
      <c r="C8315" s="12"/>
      <c r="D8315" s="13" t="n">
        <f aca="false">IF(B8315&lt;5,Einstellungen!$B$3,Einstellungen!$B$4)</f>
        <v>15.92</v>
      </c>
      <c r="E8315" s="14" t="str">
        <f aca="false">IF(C8315="","",C8315*D8315/100)</f>
        <v/>
      </c>
      <c r="F8315" s="15" t="str">
        <f aca="false">IF(B8315&lt;5,"Go","Standard")</f>
        <v>Go</v>
      </c>
    </row>
    <row r="8316" customFormat="false" ht="15" hidden="false" customHeight="true" outlineLevel="0" collapsed="false">
      <c r="A8316" s="10" t="n">
        <f aca="false">Einstellungen!$B$5+INT((ROW()-9)/24)</f>
        <v>46312</v>
      </c>
      <c r="B8316" s="11" t="n">
        <f aca="false">MOD(ROW()-9,24)</f>
        <v>3</v>
      </c>
      <c r="C8316" s="12"/>
      <c r="D8316" s="13" t="n">
        <f aca="false">IF(B8316&lt;5,Einstellungen!$B$3,Einstellungen!$B$4)</f>
        <v>15.92</v>
      </c>
      <c r="E8316" s="14" t="str">
        <f aca="false">IF(C8316="","",C8316*D8316/100)</f>
        <v/>
      </c>
      <c r="F8316" s="15" t="str">
        <f aca="false">IF(B8316&lt;5,"Go","Standard")</f>
        <v>Go</v>
      </c>
    </row>
    <row r="8317" customFormat="false" ht="15" hidden="false" customHeight="true" outlineLevel="0" collapsed="false">
      <c r="A8317" s="10" t="n">
        <f aca="false">Einstellungen!$B$5+INT((ROW()-9)/24)</f>
        <v>46312</v>
      </c>
      <c r="B8317" s="11" t="n">
        <f aca="false">MOD(ROW()-9,24)</f>
        <v>4</v>
      </c>
      <c r="C8317" s="12"/>
      <c r="D8317" s="13" t="n">
        <f aca="false">IF(B8317&lt;5,Einstellungen!$B$3,Einstellungen!$B$4)</f>
        <v>15.92</v>
      </c>
      <c r="E8317" s="14" t="str">
        <f aca="false">IF(C8317="","",C8317*D8317/100)</f>
        <v/>
      </c>
      <c r="F8317" s="15" t="str">
        <f aca="false">IF(B8317&lt;5,"Go","Standard")</f>
        <v>Go</v>
      </c>
    </row>
    <row r="8318" customFormat="false" ht="15" hidden="false" customHeight="true" outlineLevel="0" collapsed="false">
      <c r="A8318" s="10" t="n">
        <f aca="false">Einstellungen!$B$5+INT((ROW()-9)/24)</f>
        <v>46312</v>
      </c>
      <c r="B8318" s="11" t="n">
        <f aca="false">MOD(ROW()-9,24)</f>
        <v>5</v>
      </c>
      <c r="C8318" s="12"/>
      <c r="D8318" s="13" t="n">
        <f aca="false">IF(B8318&lt;5,Einstellungen!$B$3,Einstellungen!$B$4)</f>
        <v>29.13</v>
      </c>
      <c r="E8318" s="14" t="str">
        <f aca="false">IF(C8318="","",C8318*D8318/100)</f>
        <v/>
      </c>
      <c r="F8318" s="15" t="str">
        <f aca="false">IF(B8318&lt;5,"Go","Standard")</f>
        <v>Standard</v>
      </c>
    </row>
    <row r="8319" customFormat="false" ht="15" hidden="false" customHeight="true" outlineLevel="0" collapsed="false">
      <c r="A8319" s="10" t="n">
        <f aca="false">Einstellungen!$B$5+INT((ROW()-9)/24)</f>
        <v>46312</v>
      </c>
      <c r="B8319" s="11" t="n">
        <f aca="false">MOD(ROW()-9,24)</f>
        <v>6</v>
      </c>
      <c r="C8319" s="12"/>
      <c r="D8319" s="13" t="n">
        <f aca="false">IF(B8319&lt;5,Einstellungen!$B$3,Einstellungen!$B$4)</f>
        <v>29.13</v>
      </c>
      <c r="E8319" s="14" t="str">
        <f aca="false">IF(C8319="","",C8319*D8319/100)</f>
        <v/>
      </c>
      <c r="F8319" s="15" t="str">
        <f aca="false">IF(B8319&lt;5,"Go","Standard")</f>
        <v>Standard</v>
      </c>
    </row>
    <row r="8320" customFormat="false" ht="15" hidden="false" customHeight="true" outlineLevel="0" collapsed="false">
      <c r="A8320" s="10" t="n">
        <f aca="false">Einstellungen!$B$5+INT((ROW()-9)/24)</f>
        <v>46312</v>
      </c>
      <c r="B8320" s="11" t="n">
        <f aca="false">MOD(ROW()-9,24)</f>
        <v>7</v>
      </c>
      <c r="C8320" s="12"/>
      <c r="D8320" s="13" t="n">
        <f aca="false">IF(B8320&lt;5,Einstellungen!$B$3,Einstellungen!$B$4)</f>
        <v>29.13</v>
      </c>
      <c r="E8320" s="14" t="str">
        <f aca="false">IF(C8320="","",C8320*D8320/100)</f>
        <v/>
      </c>
      <c r="F8320" s="15" t="str">
        <f aca="false">IF(B8320&lt;5,"Go","Standard")</f>
        <v>Standard</v>
      </c>
    </row>
    <row r="8321" customFormat="false" ht="15" hidden="false" customHeight="true" outlineLevel="0" collapsed="false">
      <c r="A8321" s="10" t="n">
        <f aca="false">Einstellungen!$B$5+INT((ROW()-9)/24)</f>
        <v>46312</v>
      </c>
      <c r="B8321" s="11" t="n">
        <f aca="false">MOD(ROW()-9,24)</f>
        <v>8</v>
      </c>
      <c r="C8321" s="12"/>
      <c r="D8321" s="13" t="n">
        <f aca="false">IF(B8321&lt;5,Einstellungen!$B$3,Einstellungen!$B$4)</f>
        <v>29.13</v>
      </c>
      <c r="E8321" s="14" t="str">
        <f aca="false">IF(C8321="","",C8321*D8321/100)</f>
        <v/>
      </c>
      <c r="F8321" s="15" t="str">
        <f aca="false">IF(B8321&lt;5,"Go","Standard")</f>
        <v>Standard</v>
      </c>
    </row>
    <row r="8322" customFormat="false" ht="15" hidden="false" customHeight="true" outlineLevel="0" collapsed="false">
      <c r="A8322" s="10" t="n">
        <f aca="false">Einstellungen!$B$5+INT((ROW()-9)/24)</f>
        <v>46312</v>
      </c>
      <c r="B8322" s="11" t="n">
        <f aca="false">MOD(ROW()-9,24)</f>
        <v>9</v>
      </c>
      <c r="C8322" s="12"/>
      <c r="D8322" s="13" t="n">
        <f aca="false">IF(B8322&lt;5,Einstellungen!$B$3,Einstellungen!$B$4)</f>
        <v>29.13</v>
      </c>
      <c r="E8322" s="14" t="str">
        <f aca="false">IF(C8322="","",C8322*D8322/100)</f>
        <v/>
      </c>
      <c r="F8322" s="15" t="str">
        <f aca="false">IF(B8322&lt;5,"Go","Standard")</f>
        <v>Standard</v>
      </c>
    </row>
    <row r="8323" customFormat="false" ht="15" hidden="false" customHeight="true" outlineLevel="0" collapsed="false">
      <c r="A8323" s="10" t="n">
        <f aca="false">Einstellungen!$B$5+INT((ROW()-9)/24)</f>
        <v>46312</v>
      </c>
      <c r="B8323" s="11" t="n">
        <f aca="false">MOD(ROW()-9,24)</f>
        <v>10</v>
      </c>
      <c r="C8323" s="12"/>
      <c r="D8323" s="13" t="n">
        <f aca="false">IF(B8323&lt;5,Einstellungen!$B$3,Einstellungen!$B$4)</f>
        <v>29.13</v>
      </c>
      <c r="E8323" s="14" t="str">
        <f aca="false">IF(C8323="","",C8323*D8323/100)</f>
        <v/>
      </c>
      <c r="F8323" s="15" t="str">
        <f aca="false">IF(B8323&lt;5,"Go","Standard")</f>
        <v>Standard</v>
      </c>
    </row>
    <row r="8324" customFormat="false" ht="15" hidden="false" customHeight="true" outlineLevel="0" collapsed="false">
      <c r="A8324" s="10" t="n">
        <f aca="false">Einstellungen!$B$5+INT((ROW()-9)/24)</f>
        <v>46312</v>
      </c>
      <c r="B8324" s="11" t="n">
        <f aca="false">MOD(ROW()-9,24)</f>
        <v>11</v>
      </c>
      <c r="C8324" s="12"/>
      <c r="D8324" s="13" t="n">
        <f aca="false">IF(B8324&lt;5,Einstellungen!$B$3,Einstellungen!$B$4)</f>
        <v>29.13</v>
      </c>
      <c r="E8324" s="14" t="str">
        <f aca="false">IF(C8324="","",C8324*D8324/100)</f>
        <v/>
      </c>
      <c r="F8324" s="15" t="str">
        <f aca="false">IF(B8324&lt;5,"Go","Standard")</f>
        <v>Standard</v>
      </c>
    </row>
    <row r="8325" customFormat="false" ht="15" hidden="false" customHeight="true" outlineLevel="0" collapsed="false">
      <c r="A8325" s="10" t="n">
        <f aca="false">Einstellungen!$B$5+INT((ROW()-9)/24)</f>
        <v>46312</v>
      </c>
      <c r="B8325" s="11" t="n">
        <f aca="false">MOD(ROW()-9,24)</f>
        <v>12</v>
      </c>
      <c r="C8325" s="12"/>
      <c r="D8325" s="13" t="n">
        <f aca="false">IF(B8325&lt;5,Einstellungen!$B$3,Einstellungen!$B$4)</f>
        <v>29.13</v>
      </c>
      <c r="E8325" s="14" t="str">
        <f aca="false">IF(C8325="","",C8325*D8325/100)</f>
        <v/>
      </c>
      <c r="F8325" s="15" t="str">
        <f aca="false">IF(B8325&lt;5,"Go","Standard")</f>
        <v>Standard</v>
      </c>
    </row>
    <row r="8326" customFormat="false" ht="15" hidden="false" customHeight="true" outlineLevel="0" collapsed="false">
      <c r="A8326" s="10" t="n">
        <f aca="false">Einstellungen!$B$5+INT((ROW()-9)/24)</f>
        <v>46312</v>
      </c>
      <c r="B8326" s="11" t="n">
        <f aca="false">MOD(ROW()-9,24)</f>
        <v>13</v>
      </c>
      <c r="C8326" s="12"/>
      <c r="D8326" s="13" t="n">
        <f aca="false">IF(B8326&lt;5,Einstellungen!$B$3,Einstellungen!$B$4)</f>
        <v>29.13</v>
      </c>
      <c r="E8326" s="14" t="str">
        <f aca="false">IF(C8326="","",C8326*D8326/100)</f>
        <v/>
      </c>
      <c r="F8326" s="15" t="str">
        <f aca="false">IF(B8326&lt;5,"Go","Standard")</f>
        <v>Standard</v>
      </c>
    </row>
    <row r="8327" customFormat="false" ht="15" hidden="false" customHeight="true" outlineLevel="0" collapsed="false">
      <c r="A8327" s="10" t="n">
        <f aca="false">Einstellungen!$B$5+INT((ROW()-9)/24)</f>
        <v>46312</v>
      </c>
      <c r="B8327" s="11" t="n">
        <f aca="false">MOD(ROW()-9,24)</f>
        <v>14</v>
      </c>
      <c r="C8327" s="12"/>
      <c r="D8327" s="13" t="n">
        <f aca="false">IF(B8327&lt;5,Einstellungen!$B$3,Einstellungen!$B$4)</f>
        <v>29.13</v>
      </c>
      <c r="E8327" s="14" t="str">
        <f aca="false">IF(C8327="","",C8327*D8327/100)</f>
        <v/>
      </c>
      <c r="F8327" s="15" t="str">
        <f aca="false">IF(B8327&lt;5,"Go","Standard")</f>
        <v>Standard</v>
      </c>
    </row>
    <row r="8328" customFormat="false" ht="15" hidden="false" customHeight="true" outlineLevel="0" collapsed="false">
      <c r="A8328" s="10" t="n">
        <f aca="false">Einstellungen!$B$5+INT((ROW()-9)/24)</f>
        <v>46312</v>
      </c>
      <c r="B8328" s="11" t="n">
        <f aca="false">MOD(ROW()-9,24)</f>
        <v>15</v>
      </c>
      <c r="C8328" s="12"/>
      <c r="D8328" s="13" t="n">
        <f aca="false">IF(B8328&lt;5,Einstellungen!$B$3,Einstellungen!$B$4)</f>
        <v>29.13</v>
      </c>
      <c r="E8328" s="14" t="str">
        <f aca="false">IF(C8328="","",C8328*D8328/100)</f>
        <v/>
      </c>
      <c r="F8328" s="15" t="str">
        <f aca="false">IF(B8328&lt;5,"Go","Standard")</f>
        <v>Standard</v>
      </c>
    </row>
    <row r="8329" customFormat="false" ht="15" hidden="false" customHeight="true" outlineLevel="0" collapsed="false">
      <c r="A8329" s="10" t="n">
        <f aca="false">Einstellungen!$B$5+INT((ROW()-9)/24)</f>
        <v>46312</v>
      </c>
      <c r="B8329" s="11" t="n">
        <f aca="false">MOD(ROW()-9,24)</f>
        <v>16</v>
      </c>
      <c r="C8329" s="12"/>
      <c r="D8329" s="13" t="n">
        <f aca="false">IF(B8329&lt;5,Einstellungen!$B$3,Einstellungen!$B$4)</f>
        <v>29.13</v>
      </c>
      <c r="E8329" s="14" t="str">
        <f aca="false">IF(C8329="","",C8329*D8329/100)</f>
        <v/>
      </c>
      <c r="F8329" s="15" t="str">
        <f aca="false">IF(B8329&lt;5,"Go","Standard")</f>
        <v>Standard</v>
      </c>
    </row>
    <row r="8330" customFormat="false" ht="15" hidden="false" customHeight="true" outlineLevel="0" collapsed="false">
      <c r="A8330" s="10" t="n">
        <f aca="false">Einstellungen!$B$5+INT((ROW()-9)/24)</f>
        <v>46312</v>
      </c>
      <c r="B8330" s="11" t="n">
        <f aca="false">MOD(ROW()-9,24)</f>
        <v>17</v>
      </c>
      <c r="C8330" s="12"/>
      <c r="D8330" s="13" t="n">
        <f aca="false">IF(B8330&lt;5,Einstellungen!$B$3,Einstellungen!$B$4)</f>
        <v>29.13</v>
      </c>
      <c r="E8330" s="14" t="str">
        <f aca="false">IF(C8330="","",C8330*D8330/100)</f>
        <v/>
      </c>
      <c r="F8330" s="15" t="str">
        <f aca="false">IF(B8330&lt;5,"Go","Standard")</f>
        <v>Standard</v>
      </c>
    </row>
    <row r="8331" customFormat="false" ht="15" hidden="false" customHeight="true" outlineLevel="0" collapsed="false">
      <c r="A8331" s="10" t="n">
        <f aca="false">Einstellungen!$B$5+INT((ROW()-9)/24)</f>
        <v>46312</v>
      </c>
      <c r="B8331" s="11" t="n">
        <f aca="false">MOD(ROW()-9,24)</f>
        <v>18</v>
      </c>
      <c r="C8331" s="12"/>
      <c r="D8331" s="13" t="n">
        <f aca="false">IF(B8331&lt;5,Einstellungen!$B$3,Einstellungen!$B$4)</f>
        <v>29.13</v>
      </c>
      <c r="E8331" s="14" t="str">
        <f aca="false">IF(C8331="","",C8331*D8331/100)</f>
        <v/>
      </c>
      <c r="F8331" s="15" t="str">
        <f aca="false">IF(B8331&lt;5,"Go","Standard")</f>
        <v>Standard</v>
      </c>
    </row>
    <row r="8332" customFormat="false" ht="15" hidden="false" customHeight="true" outlineLevel="0" collapsed="false">
      <c r="A8332" s="10" t="n">
        <f aca="false">Einstellungen!$B$5+INT((ROW()-9)/24)</f>
        <v>46312</v>
      </c>
      <c r="B8332" s="11" t="n">
        <f aca="false">MOD(ROW()-9,24)</f>
        <v>19</v>
      </c>
      <c r="C8332" s="12"/>
      <c r="D8332" s="13" t="n">
        <f aca="false">IF(B8332&lt;5,Einstellungen!$B$3,Einstellungen!$B$4)</f>
        <v>29.13</v>
      </c>
      <c r="E8332" s="14" t="str">
        <f aca="false">IF(C8332="","",C8332*D8332/100)</f>
        <v/>
      </c>
      <c r="F8332" s="15" t="str">
        <f aca="false">IF(B8332&lt;5,"Go","Standard")</f>
        <v>Standard</v>
      </c>
    </row>
    <row r="8333" customFormat="false" ht="15" hidden="false" customHeight="true" outlineLevel="0" collapsed="false">
      <c r="A8333" s="10" t="n">
        <f aca="false">Einstellungen!$B$5+INT((ROW()-9)/24)</f>
        <v>46312</v>
      </c>
      <c r="B8333" s="11" t="n">
        <f aca="false">MOD(ROW()-9,24)</f>
        <v>20</v>
      </c>
      <c r="C8333" s="12"/>
      <c r="D8333" s="13" t="n">
        <f aca="false">IF(B8333&lt;5,Einstellungen!$B$3,Einstellungen!$B$4)</f>
        <v>29.13</v>
      </c>
      <c r="E8333" s="14" t="str">
        <f aca="false">IF(C8333="","",C8333*D8333/100)</f>
        <v/>
      </c>
      <c r="F8333" s="15" t="str">
        <f aca="false">IF(B8333&lt;5,"Go","Standard")</f>
        <v>Standard</v>
      </c>
    </row>
    <row r="8334" customFormat="false" ht="15" hidden="false" customHeight="true" outlineLevel="0" collapsed="false">
      <c r="A8334" s="10" t="n">
        <f aca="false">Einstellungen!$B$5+INT((ROW()-9)/24)</f>
        <v>46312</v>
      </c>
      <c r="B8334" s="11" t="n">
        <f aca="false">MOD(ROW()-9,24)</f>
        <v>21</v>
      </c>
      <c r="C8334" s="12"/>
      <c r="D8334" s="13" t="n">
        <f aca="false">IF(B8334&lt;5,Einstellungen!$B$3,Einstellungen!$B$4)</f>
        <v>29.13</v>
      </c>
      <c r="E8334" s="14" t="str">
        <f aca="false">IF(C8334="","",C8334*D8334/100)</f>
        <v/>
      </c>
      <c r="F8334" s="15" t="str">
        <f aca="false">IF(B8334&lt;5,"Go","Standard")</f>
        <v>Standard</v>
      </c>
    </row>
    <row r="8335" customFormat="false" ht="15" hidden="false" customHeight="true" outlineLevel="0" collapsed="false">
      <c r="A8335" s="10" t="n">
        <f aca="false">Einstellungen!$B$5+INT((ROW()-9)/24)</f>
        <v>46312</v>
      </c>
      <c r="B8335" s="11" t="n">
        <f aca="false">MOD(ROW()-9,24)</f>
        <v>22</v>
      </c>
      <c r="C8335" s="12"/>
      <c r="D8335" s="13" t="n">
        <f aca="false">IF(B8335&lt;5,Einstellungen!$B$3,Einstellungen!$B$4)</f>
        <v>29.13</v>
      </c>
      <c r="E8335" s="14" t="str">
        <f aca="false">IF(C8335="","",C8335*D8335/100)</f>
        <v/>
      </c>
      <c r="F8335" s="15" t="str">
        <f aca="false">IF(B8335&lt;5,"Go","Standard")</f>
        <v>Standard</v>
      </c>
    </row>
    <row r="8336" customFormat="false" ht="15" hidden="false" customHeight="true" outlineLevel="0" collapsed="false">
      <c r="A8336" s="10" t="n">
        <f aca="false">Einstellungen!$B$5+INT((ROW()-9)/24)</f>
        <v>46312</v>
      </c>
      <c r="B8336" s="11" t="n">
        <f aca="false">MOD(ROW()-9,24)</f>
        <v>23</v>
      </c>
      <c r="C8336" s="12"/>
      <c r="D8336" s="13" t="n">
        <f aca="false">IF(B8336&lt;5,Einstellungen!$B$3,Einstellungen!$B$4)</f>
        <v>29.13</v>
      </c>
      <c r="E8336" s="14" t="str">
        <f aca="false">IF(C8336="","",C8336*D8336/100)</f>
        <v/>
      </c>
      <c r="F8336" s="15" t="str">
        <f aca="false">IF(B8336&lt;5,"Go","Standard")</f>
        <v>Standard</v>
      </c>
    </row>
    <row r="8337" customFormat="false" ht="15" hidden="false" customHeight="true" outlineLevel="0" collapsed="false">
      <c r="A8337" s="10" t="n">
        <f aca="false">Einstellungen!$B$5+INT((ROW()-9)/24)</f>
        <v>46313</v>
      </c>
      <c r="B8337" s="11" t="n">
        <f aca="false">MOD(ROW()-9,24)</f>
        <v>0</v>
      </c>
      <c r="C8337" s="12"/>
      <c r="D8337" s="13" t="n">
        <f aca="false">IF(B8337&lt;5,Einstellungen!$B$3,Einstellungen!$B$4)</f>
        <v>15.92</v>
      </c>
      <c r="E8337" s="14" t="str">
        <f aca="false">IF(C8337="","",C8337*D8337/100)</f>
        <v/>
      </c>
      <c r="F8337" s="15" t="str">
        <f aca="false">IF(B8337&lt;5,"Go","Standard")</f>
        <v>Go</v>
      </c>
    </row>
    <row r="8338" customFormat="false" ht="15" hidden="false" customHeight="true" outlineLevel="0" collapsed="false">
      <c r="A8338" s="10" t="n">
        <f aca="false">Einstellungen!$B$5+INT((ROW()-9)/24)</f>
        <v>46313</v>
      </c>
      <c r="B8338" s="11" t="n">
        <f aca="false">MOD(ROW()-9,24)</f>
        <v>1</v>
      </c>
      <c r="C8338" s="12"/>
      <c r="D8338" s="13" t="n">
        <f aca="false">IF(B8338&lt;5,Einstellungen!$B$3,Einstellungen!$B$4)</f>
        <v>15.92</v>
      </c>
      <c r="E8338" s="14" t="str">
        <f aca="false">IF(C8338="","",C8338*D8338/100)</f>
        <v/>
      </c>
      <c r="F8338" s="15" t="str">
        <f aca="false">IF(B8338&lt;5,"Go","Standard")</f>
        <v>Go</v>
      </c>
    </row>
    <row r="8339" customFormat="false" ht="15" hidden="false" customHeight="true" outlineLevel="0" collapsed="false">
      <c r="A8339" s="10" t="n">
        <f aca="false">Einstellungen!$B$5+INT((ROW()-9)/24)</f>
        <v>46313</v>
      </c>
      <c r="B8339" s="11" t="n">
        <f aca="false">MOD(ROW()-9,24)</f>
        <v>2</v>
      </c>
      <c r="C8339" s="12"/>
      <c r="D8339" s="13" t="n">
        <f aca="false">IF(B8339&lt;5,Einstellungen!$B$3,Einstellungen!$B$4)</f>
        <v>15.92</v>
      </c>
      <c r="E8339" s="14" t="str">
        <f aca="false">IF(C8339="","",C8339*D8339/100)</f>
        <v/>
      </c>
      <c r="F8339" s="15" t="str">
        <f aca="false">IF(B8339&lt;5,"Go","Standard")</f>
        <v>Go</v>
      </c>
    </row>
    <row r="8340" customFormat="false" ht="15" hidden="false" customHeight="true" outlineLevel="0" collapsed="false">
      <c r="A8340" s="10" t="n">
        <f aca="false">Einstellungen!$B$5+INT((ROW()-9)/24)</f>
        <v>46313</v>
      </c>
      <c r="B8340" s="11" t="n">
        <f aca="false">MOD(ROW()-9,24)</f>
        <v>3</v>
      </c>
      <c r="C8340" s="12"/>
      <c r="D8340" s="13" t="n">
        <f aca="false">IF(B8340&lt;5,Einstellungen!$B$3,Einstellungen!$B$4)</f>
        <v>15.92</v>
      </c>
      <c r="E8340" s="14" t="str">
        <f aca="false">IF(C8340="","",C8340*D8340/100)</f>
        <v/>
      </c>
      <c r="F8340" s="15" t="str">
        <f aca="false">IF(B8340&lt;5,"Go","Standard")</f>
        <v>Go</v>
      </c>
    </row>
    <row r="8341" customFormat="false" ht="15" hidden="false" customHeight="true" outlineLevel="0" collapsed="false">
      <c r="A8341" s="10" t="n">
        <f aca="false">Einstellungen!$B$5+INT((ROW()-9)/24)</f>
        <v>46313</v>
      </c>
      <c r="B8341" s="11" t="n">
        <f aca="false">MOD(ROW()-9,24)</f>
        <v>4</v>
      </c>
      <c r="C8341" s="12"/>
      <c r="D8341" s="13" t="n">
        <f aca="false">IF(B8341&lt;5,Einstellungen!$B$3,Einstellungen!$B$4)</f>
        <v>15.92</v>
      </c>
      <c r="E8341" s="14" t="str">
        <f aca="false">IF(C8341="","",C8341*D8341/100)</f>
        <v/>
      </c>
      <c r="F8341" s="15" t="str">
        <f aca="false">IF(B8341&lt;5,"Go","Standard")</f>
        <v>Go</v>
      </c>
    </row>
    <row r="8342" customFormat="false" ht="15" hidden="false" customHeight="true" outlineLevel="0" collapsed="false">
      <c r="A8342" s="10" t="n">
        <f aca="false">Einstellungen!$B$5+INT((ROW()-9)/24)</f>
        <v>46313</v>
      </c>
      <c r="B8342" s="11" t="n">
        <f aca="false">MOD(ROW()-9,24)</f>
        <v>5</v>
      </c>
      <c r="C8342" s="12"/>
      <c r="D8342" s="13" t="n">
        <f aca="false">IF(B8342&lt;5,Einstellungen!$B$3,Einstellungen!$B$4)</f>
        <v>29.13</v>
      </c>
      <c r="E8342" s="14" t="str">
        <f aca="false">IF(C8342="","",C8342*D8342/100)</f>
        <v/>
      </c>
      <c r="F8342" s="15" t="str">
        <f aca="false">IF(B8342&lt;5,"Go","Standard")</f>
        <v>Standard</v>
      </c>
    </row>
    <row r="8343" customFormat="false" ht="15" hidden="false" customHeight="true" outlineLevel="0" collapsed="false">
      <c r="A8343" s="10" t="n">
        <f aca="false">Einstellungen!$B$5+INT((ROW()-9)/24)</f>
        <v>46313</v>
      </c>
      <c r="B8343" s="11" t="n">
        <f aca="false">MOD(ROW()-9,24)</f>
        <v>6</v>
      </c>
      <c r="C8343" s="12"/>
      <c r="D8343" s="13" t="n">
        <f aca="false">IF(B8343&lt;5,Einstellungen!$B$3,Einstellungen!$B$4)</f>
        <v>29.13</v>
      </c>
      <c r="E8343" s="14" t="str">
        <f aca="false">IF(C8343="","",C8343*D8343/100)</f>
        <v/>
      </c>
      <c r="F8343" s="15" t="str">
        <f aca="false">IF(B8343&lt;5,"Go","Standard")</f>
        <v>Standard</v>
      </c>
    </row>
    <row r="8344" customFormat="false" ht="15" hidden="false" customHeight="true" outlineLevel="0" collapsed="false">
      <c r="A8344" s="10" t="n">
        <f aca="false">Einstellungen!$B$5+INT((ROW()-9)/24)</f>
        <v>46313</v>
      </c>
      <c r="B8344" s="11" t="n">
        <f aca="false">MOD(ROW()-9,24)</f>
        <v>7</v>
      </c>
      <c r="C8344" s="12"/>
      <c r="D8344" s="13" t="n">
        <f aca="false">IF(B8344&lt;5,Einstellungen!$B$3,Einstellungen!$B$4)</f>
        <v>29.13</v>
      </c>
      <c r="E8344" s="14" t="str">
        <f aca="false">IF(C8344="","",C8344*D8344/100)</f>
        <v/>
      </c>
      <c r="F8344" s="15" t="str">
        <f aca="false">IF(B8344&lt;5,"Go","Standard")</f>
        <v>Standard</v>
      </c>
    </row>
    <row r="8345" customFormat="false" ht="15" hidden="false" customHeight="true" outlineLevel="0" collapsed="false">
      <c r="A8345" s="10" t="n">
        <f aca="false">Einstellungen!$B$5+INT((ROW()-9)/24)</f>
        <v>46313</v>
      </c>
      <c r="B8345" s="11" t="n">
        <f aca="false">MOD(ROW()-9,24)</f>
        <v>8</v>
      </c>
      <c r="C8345" s="12"/>
      <c r="D8345" s="13" t="n">
        <f aca="false">IF(B8345&lt;5,Einstellungen!$B$3,Einstellungen!$B$4)</f>
        <v>29.13</v>
      </c>
      <c r="E8345" s="14" t="str">
        <f aca="false">IF(C8345="","",C8345*D8345/100)</f>
        <v/>
      </c>
      <c r="F8345" s="15" t="str">
        <f aca="false">IF(B8345&lt;5,"Go","Standard")</f>
        <v>Standard</v>
      </c>
    </row>
    <row r="8346" customFormat="false" ht="15" hidden="false" customHeight="true" outlineLevel="0" collapsed="false">
      <c r="A8346" s="10" t="n">
        <f aca="false">Einstellungen!$B$5+INT((ROW()-9)/24)</f>
        <v>46313</v>
      </c>
      <c r="B8346" s="11" t="n">
        <f aca="false">MOD(ROW()-9,24)</f>
        <v>9</v>
      </c>
      <c r="C8346" s="12"/>
      <c r="D8346" s="13" t="n">
        <f aca="false">IF(B8346&lt;5,Einstellungen!$B$3,Einstellungen!$B$4)</f>
        <v>29.13</v>
      </c>
      <c r="E8346" s="14" t="str">
        <f aca="false">IF(C8346="","",C8346*D8346/100)</f>
        <v/>
      </c>
      <c r="F8346" s="15" t="str">
        <f aca="false">IF(B8346&lt;5,"Go","Standard")</f>
        <v>Standard</v>
      </c>
    </row>
    <row r="8347" customFormat="false" ht="15" hidden="false" customHeight="true" outlineLevel="0" collapsed="false">
      <c r="A8347" s="10" t="n">
        <f aca="false">Einstellungen!$B$5+INT((ROW()-9)/24)</f>
        <v>46313</v>
      </c>
      <c r="B8347" s="11" t="n">
        <f aca="false">MOD(ROW()-9,24)</f>
        <v>10</v>
      </c>
      <c r="C8347" s="12"/>
      <c r="D8347" s="13" t="n">
        <f aca="false">IF(B8347&lt;5,Einstellungen!$B$3,Einstellungen!$B$4)</f>
        <v>29.13</v>
      </c>
      <c r="E8347" s="14" t="str">
        <f aca="false">IF(C8347="","",C8347*D8347/100)</f>
        <v/>
      </c>
      <c r="F8347" s="15" t="str">
        <f aca="false">IF(B8347&lt;5,"Go","Standard")</f>
        <v>Standard</v>
      </c>
    </row>
    <row r="8348" customFormat="false" ht="15" hidden="false" customHeight="true" outlineLevel="0" collapsed="false">
      <c r="A8348" s="10" t="n">
        <f aca="false">Einstellungen!$B$5+INT((ROW()-9)/24)</f>
        <v>46313</v>
      </c>
      <c r="B8348" s="11" t="n">
        <f aca="false">MOD(ROW()-9,24)</f>
        <v>11</v>
      </c>
      <c r="C8348" s="12"/>
      <c r="D8348" s="13" t="n">
        <f aca="false">IF(B8348&lt;5,Einstellungen!$B$3,Einstellungen!$B$4)</f>
        <v>29.13</v>
      </c>
      <c r="E8348" s="14" t="str">
        <f aca="false">IF(C8348="","",C8348*D8348/100)</f>
        <v/>
      </c>
      <c r="F8348" s="15" t="str">
        <f aca="false">IF(B8348&lt;5,"Go","Standard")</f>
        <v>Standard</v>
      </c>
    </row>
    <row r="8349" customFormat="false" ht="15" hidden="false" customHeight="true" outlineLevel="0" collapsed="false">
      <c r="A8349" s="10" t="n">
        <f aca="false">Einstellungen!$B$5+INT((ROW()-9)/24)</f>
        <v>46313</v>
      </c>
      <c r="B8349" s="11" t="n">
        <f aca="false">MOD(ROW()-9,24)</f>
        <v>12</v>
      </c>
      <c r="C8349" s="12"/>
      <c r="D8349" s="13" t="n">
        <f aca="false">IF(B8349&lt;5,Einstellungen!$B$3,Einstellungen!$B$4)</f>
        <v>29.13</v>
      </c>
      <c r="E8349" s="14" t="str">
        <f aca="false">IF(C8349="","",C8349*D8349/100)</f>
        <v/>
      </c>
      <c r="F8349" s="15" t="str">
        <f aca="false">IF(B8349&lt;5,"Go","Standard")</f>
        <v>Standard</v>
      </c>
    </row>
    <row r="8350" customFormat="false" ht="15" hidden="false" customHeight="true" outlineLevel="0" collapsed="false">
      <c r="A8350" s="10" t="n">
        <f aca="false">Einstellungen!$B$5+INT((ROW()-9)/24)</f>
        <v>46313</v>
      </c>
      <c r="B8350" s="11" t="n">
        <f aca="false">MOD(ROW()-9,24)</f>
        <v>13</v>
      </c>
      <c r="C8350" s="12"/>
      <c r="D8350" s="13" t="n">
        <f aca="false">IF(B8350&lt;5,Einstellungen!$B$3,Einstellungen!$B$4)</f>
        <v>29.13</v>
      </c>
      <c r="E8350" s="14" t="str">
        <f aca="false">IF(C8350="","",C8350*D8350/100)</f>
        <v/>
      </c>
      <c r="F8350" s="15" t="str">
        <f aca="false">IF(B8350&lt;5,"Go","Standard")</f>
        <v>Standard</v>
      </c>
    </row>
    <row r="8351" customFormat="false" ht="15" hidden="false" customHeight="true" outlineLevel="0" collapsed="false">
      <c r="A8351" s="10" t="n">
        <f aca="false">Einstellungen!$B$5+INT((ROW()-9)/24)</f>
        <v>46313</v>
      </c>
      <c r="B8351" s="11" t="n">
        <f aca="false">MOD(ROW()-9,24)</f>
        <v>14</v>
      </c>
      <c r="C8351" s="12"/>
      <c r="D8351" s="13" t="n">
        <f aca="false">IF(B8351&lt;5,Einstellungen!$B$3,Einstellungen!$B$4)</f>
        <v>29.13</v>
      </c>
      <c r="E8351" s="14" t="str">
        <f aca="false">IF(C8351="","",C8351*D8351/100)</f>
        <v/>
      </c>
      <c r="F8351" s="15" t="str">
        <f aca="false">IF(B8351&lt;5,"Go","Standard")</f>
        <v>Standard</v>
      </c>
    </row>
    <row r="8352" customFormat="false" ht="15" hidden="false" customHeight="true" outlineLevel="0" collapsed="false">
      <c r="A8352" s="10" t="n">
        <f aca="false">Einstellungen!$B$5+INT((ROW()-9)/24)</f>
        <v>46313</v>
      </c>
      <c r="B8352" s="11" t="n">
        <f aca="false">MOD(ROW()-9,24)</f>
        <v>15</v>
      </c>
      <c r="C8352" s="12"/>
      <c r="D8352" s="13" t="n">
        <f aca="false">IF(B8352&lt;5,Einstellungen!$B$3,Einstellungen!$B$4)</f>
        <v>29.13</v>
      </c>
      <c r="E8352" s="14" t="str">
        <f aca="false">IF(C8352="","",C8352*D8352/100)</f>
        <v/>
      </c>
      <c r="F8352" s="15" t="str">
        <f aca="false">IF(B8352&lt;5,"Go","Standard")</f>
        <v>Standard</v>
      </c>
    </row>
    <row r="8353" customFormat="false" ht="15" hidden="false" customHeight="true" outlineLevel="0" collapsed="false">
      <c r="A8353" s="10" t="n">
        <f aca="false">Einstellungen!$B$5+INT((ROW()-9)/24)</f>
        <v>46313</v>
      </c>
      <c r="B8353" s="11" t="n">
        <f aca="false">MOD(ROW()-9,24)</f>
        <v>16</v>
      </c>
      <c r="C8353" s="12"/>
      <c r="D8353" s="13" t="n">
        <f aca="false">IF(B8353&lt;5,Einstellungen!$B$3,Einstellungen!$B$4)</f>
        <v>29.13</v>
      </c>
      <c r="E8353" s="14" t="str">
        <f aca="false">IF(C8353="","",C8353*D8353/100)</f>
        <v/>
      </c>
      <c r="F8353" s="15" t="str">
        <f aca="false">IF(B8353&lt;5,"Go","Standard")</f>
        <v>Standard</v>
      </c>
    </row>
    <row r="8354" customFormat="false" ht="15" hidden="false" customHeight="true" outlineLevel="0" collapsed="false">
      <c r="A8354" s="10" t="n">
        <f aca="false">Einstellungen!$B$5+INT((ROW()-9)/24)</f>
        <v>46313</v>
      </c>
      <c r="B8354" s="11" t="n">
        <f aca="false">MOD(ROW()-9,24)</f>
        <v>17</v>
      </c>
      <c r="C8354" s="12"/>
      <c r="D8354" s="13" t="n">
        <f aca="false">IF(B8354&lt;5,Einstellungen!$B$3,Einstellungen!$B$4)</f>
        <v>29.13</v>
      </c>
      <c r="E8354" s="14" t="str">
        <f aca="false">IF(C8354="","",C8354*D8354/100)</f>
        <v/>
      </c>
      <c r="F8354" s="15" t="str">
        <f aca="false">IF(B8354&lt;5,"Go","Standard")</f>
        <v>Standard</v>
      </c>
    </row>
    <row r="8355" customFormat="false" ht="15" hidden="false" customHeight="true" outlineLevel="0" collapsed="false">
      <c r="A8355" s="10" t="n">
        <f aca="false">Einstellungen!$B$5+INT((ROW()-9)/24)</f>
        <v>46313</v>
      </c>
      <c r="B8355" s="11" t="n">
        <f aca="false">MOD(ROW()-9,24)</f>
        <v>18</v>
      </c>
      <c r="C8355" s="12"/>
      <c r="D8355" s="13" t="n">
        <f aca="false">IF(B8355&lt;5,Einstellungen!$B$3,Einstellungen!$B$4)</f>
        <v>29.13</v>
      </c>
      <c r="E8355" s="14" t="str">
        <f aca="false">IF(C8355="","",C8355*D8355/100)</f>
        <v/>
      </c>
      <c r="F8355" s="15" t="str">
        <f aca="false">IF(B8355&lt;5,"Go","Standard")</f>
        <v>Standard</v>
      </c>
    </row>
    <row r="8356" customFormat="false" ht="15" hidden="false" customHeight="true" outlineLevel="0" collapsed="false">
      <c r="A8356" s="10" t="n">
        <f aca="false">Einstellungen!$B$5+INT((ROW()-9)/24)</f>
        <v>46313</v>
      </c>
      <c r="B8356" s="11" t="n">
        <f aca="false">MOD(ROW()-9,24)</f>
        <v>19</v>
      </c>
      <c r="C8356" s="12"/>
      <c r="D8356" s="13" t="n">
        <f aca="false">IF(B8356&lt;5,Einstellungen!$B$3,Einstellungen!$B$4)</f>
        <v>29.13</v>
      </c>
      <c r="E8356" s="14" t="str">
        <f aca="false">IF(C8356="","",C8356*D8356/100)</f>
        <v/>
      </c>
      <c r="F8356" s="15" t="str">
        <f aca="false">IF(B8356&lt;5,"Go","Standard")</f>
        <v>Standard</v>
      </c>
    </row>
    <row r="8357" customFormat="false" ht="15" hidden="false" customHeight="true" outlineLevel="0" collapsed="false">
      <c r="A8357" s="10" t="n">
        <f aca="false">Einstellungen!$B$5+INT((ROW()-9)/24)</f>
        <v>46313</v>
      </c>
      <c r="B8357" s="11" t="n">
        <f aca="false">MOD(ROW()-9,24)</f>
        <v>20</v>
      </c>
      <c r="C8357" s="12"/>
      <c r="D8357" s="13" t="n">
        <f aca="false">IF(B8357&lt;5,Einstellungen!$B$3,Einstellungen!$B$4)</f>
        <v>29.13</v>
      </c>
      <c r="E8357" s="14" t="str">
        <f aca="false">IF(C8357="","",C8357*D8357/100)</f>
        <v/>
      </c>
      <c r="F8357" s="15" t="str">
        <f aca="false">IF(B8357&lt;5,"Go","Standard")</f>
        <v>Standard</v>
      </c>
    </row>
    <row r="8358" customFormat="false" ht="15" hidden="false" customHeight="true" outlineLevel="0" collapsed="false">
      <c r="A8358" s="10" t="n">
        <f aca="false">Einstellungen!$B$5+INT((ROW()-9)/24)</f>
        <v>46313</v>
      </c>
      <c r="B8358" s="11" t="n">
        <f aca="false">MOD(ROW()-9,24)</f>
        <v>21</v>
      </c>
      <c r="C8358" s="12"/>
      <c r="D8358" s="13" t="n">
        <f aca="false">IF(B8358&lt;5,Einstellungen!$B$3,Einstellungen!$B$4)</f>
        <v>29.13</v>
      </c>
      <c r="E8358" s="14" t="str">
        <f aca="false">IF(C8358="","",C8358*D8358/100)</f>
        <v/>
      </c>
      <c r="F8358" s="15" t="str">
        <f aca="false">IF(B8358&lt;5,"Go","Standard")</f>
        <v>Standard</v>
      </c>
    </row>
    <row r="8359" customFormat="false" ht="15" hidden="false" customHeight="true" outlineLevel="0" collapsed="false">
      <c r="A8359" s="10" t="n">
        <f aca="false">Einstellungen!$B$5+INT((ROW()-9)/24)</f>
        <v>46313</v>
      </c>
      <c r="B8359" s="11" t="n">
        <f aca="false">MOD(ROW()-9,24)</f>
        <v>22</v>
      </c>
      <c r="C8359" s="12"/>
      <c r="D8359" s="13" t="n">
        <f aca="false">IF(B8359&lt;5,Einstellungen!$B$3,Einstellungen!$B$4)</f>
        <v>29.13</v>
      </c>
      <c r="E8359" s="14" t="str">
        <f aca="false">IF(C8359="","",C8359*D8359/100)</f>
        <v/>
      </c>
      <c r="F8359" s="15" t="str">
        <f aca="false">IF(B8359&lt;5,"Go","Standard")</f>
        <v>Standard</v>
      </c>
    </row>
    <row r="8360" customFormat="false" ht="15" hidden="false" customHeight="true" outlineLevel="0" collapsed="false">
      <c r="A8360" s="10" t="n">
        <f aca="false">Einstellungen!$B$5+INT((ROW()-9)/24)</f>
        <v>46313</v>
      </c>
      <c r="B8360" s="11" t="n">
        <f aca="false">MOD(ROW()-9,24)</f>
        <v>23</v>
      </c>
      <c r="C8360" s="12"/>
      <c r="D8360" s="13" t="n">
        <f aca="false">IF(B8360&lt;5,Einstellungen!$B$3,Einstellungen!$B$4)</f>
        <v>29.13</v>
      </c>
      <c r="E8360" s="14" t="str">
        <f aca="false">IF(C8360="","",C8360*D8360/100)</f>
        <v/>
      </c>
      <c r="F8360" s="15" t="str">
        <f aca="false">IF(B8360&lt;5,"Go","Standard")</f>
        <v>Standard</v>
      </c>
    </row>
    <row r="8361" customFormat="false" ht="15" hidden="false" customHeight="true" outlineLevel="0" collapsed="false">
      <c r="A8361" s="10" t="n">
        <f aca="false">Einstellungen!$B$5+INT((ROW()-9)/24)</f>
        <v>46314</v>
      </c>
      <c r="B8361" s="11" t="n">
        <f aca="false">MOD(ROW()-9,24)</f>
        <v>0</v>
      </c>
      <c r="C8361" s="12"/>
      <c r="D8361" s="13" t="n">
        <f aca="false">IF(B8361&lt;5,Einstellungen!$B$3,Einstellungen!$B$4)</f>
        <v>15.92</v>
      </c>
      <c r="E8361" s="14" t="str">
        <f aca="false">IF(C8361="","",C8361*D8361/100)</f>
        <v/>
      </c>
      <c r="F8361" s="15" t="str">
        <f aca="false">IF(B8361&lt;5,"Go","Standard")</f>
        <v>Go</v>
      </c>
    </row>
    <row r="8362" customFormat="false" ht="15" hidden="false" customHeight="true" outlineLevel="0" collapsed="false">
      <c r="A8362" s="10" t="n">
        <f aca="false">Einstellungen!$B$5+INT((ROW()-9)/24)</f>
        <v>46314</v>
      </c>
      <c r="B8362" s="11" t="n">
        <f aca="false">MOD(ROW()-9,24)</f>
        <v>1</v>
      </c>
      <c r="C8362" s="12"/>
      <c r="D8362" s="13" t="n">
        <f aca="false">IF(B8362&lt;5,Einstellungen!$B$3,Einstellungen!$B$4)</f>
        <v>15.92</v>
      </c>
      <c r="E8362" s="14" t="str">
        <f aca="false">IF(C8362="","",C8362*D8362/100)</f>
        <v/>
      </c>
      <c r="F8362" s="15" t="str">
        <f aca="false">IF(B8362&lt;5,"Go","Standard")</f>
        <v>Go</v>
      </c>
    </row>
    <row r="8363" customFormat="false" ht="15" hidden="false" customHeight="true" outlineLevel="0" collapsed="false">
      <c r="A8363" s="10" t="n">
        <f aca="false">Einstellungen!$B$5+INT((ROW()-9)/24)</f>
        <v>46314</v>
      </c>
      <c r="B8363" s="11" t="n">
        <f aca="false">MOD(ROW()-9,24)</f>
        <v>2</v>
      </c>
      <c r="C8363" s="12"/>
      <c r="D8363" s="13" t="n">
        <f aca="false">IF(B8363&lt;5,Einstellungen!$B$3,Einstellungen!$B$4)</f>
        <v>15.92</v>
      </c>
      <c r="E8363" s="14" t="str">
        <f aca="false">IF(C8363="","",C8363*D8363/100)</f>
        <v/>
      </c>
      <c r="F8363" s="15" t="str">
        <f aca="false">IF(B8363&lt;5,"Go","Standard")</f>
        <v>Go</v>
      </c>
    </row>
    <row r="8364" customFormat="false" ht="15" hidden="false" customHeight="true" outlineLevel="0" collapsed="false">
      <c r="A8364" s="10" t="n">
        <f aca="false">Einstellungen!$B$5+INT((ROW()-9)/24)</f>
        <v>46314</v>
      </c>
      <c r="B8364" s="11" t="n">
        <f aca="false">MOD(ROW()-9,24)</f>
        <v>3</v>
      </c>
      <c r="C8364" s="12"/>
      <c r="D8364" s="13" t="n">
        <f aca="false">IF(B8364&lt;5,Einstellungen!$B$3,Einstellungen!$B$4)</f>
        <v>15.92</v>
      </c>
      <c r="E8364" s="14" t="str">
        <f aca="false">IF(C8364="","",C8364*D8364/100)</f>
        <v/>
      </c>
      <c r="F8364" s="15" t="str">
        <f aca="false">IF(B8364&lt;5,"Go","Standard")</f>
        <v>Go</v>
      </c>
    </row>
    <row r="8365" customFormat="false" ht="15" hidden="false" customHeight="true" outlineLevel="0" collapsed="false">
      <c r="A8365" s="10" t="n">
        <f aca="false">Einstellungen!$B$5+INT((ROW()-9)/24)</f>
        <v>46314</v>
      </c>
      <c r="B8365" s="11" t="n">
        <f aca="false">MOD(ROW()-9,24)</f>
        <v>4</v>
      </c>
      <c r="C8365" s="12"/>
      <c r="D8365" s="13" t="n">
        <f aca="false">IF(B8365&lt;5,Einstellungen!$B$3,Einstellungen!$B$4)</f>
        <v>15.92</v>
      </c>
      <c r="E8365" s="14" t="str">
        <f aca="false">IF(C8365="","",C8365*D8365/100)</f>
        <v/>
      </c>
      <c r="F8365" s="15" t="str">
        <f aca="false">IF(B8365&lt;5,"Go","Standard")</f>
        <v>Go</v>
      </c>
    </row>
    <row r="8366" customFormat="false" ht="15" hidden="false" customHeight="true" outlineLevel="0" collapsed="false">
      <c r="A8366" s="10" t="n">
        <f aca="false">Einstellungen!$B$5+INT((ROW()-9)/24)</f>
        <v>46314</v>
      </c>
      <c r="B8366" s="11" t="n">
        <f aca="false">MOD(ROW()-9,24)</f>
        <v>5</v>
      </c>
      <c r="C8366" s="12"/>
      <c r="D8366" s="13" t="n">
        <f aca="false">IF(B8366&lt;5,Einstellungen!$B$3,Einstellungen!$B$4)</f>
        <v>29.13</v>
      </c>
      <c r="E8366" s="14" t="str">
        <f aca="false">IF(C8366="","",C8366*D8366/100)</f>
        <v/>
      </c>
      <c r="F8366" s="15" t="str">
        <f aca="false">IF(B8366&lt;5,"Go","Standard")</f>
        <v>Standard</v>
      </c>
    </row>
    <row r="8367" customFormat="false" ht="15" hidden="false" customHeight="true" outlineLevel="0" collapsed="false">
      <c r="A8367" s="10" t="n">
        <f aca="false">Einstellungen!$B$5+INT((ROW()-9)/24)</f>
        <v>46314</v>
      </c>
      <c r="B8367" s="11" t="n">
        <f aca="false">MOD(ROW()-9,24)</f>
        <v>6</v>
      </c>
      <c r="C8367" s="12"/>
      <c r="D8367" s="13" t="n">
        <f aca="false">IF(B8367&lt;5,Einstellungen!$B$3,Einstellungen!$B$4)</f>
        <v>29.13</v>
      </c>
      <c r="E8367" s="14" t="str">
        <f aca="false">IF(C8367="","",C8367*D8367/100)</f>
        <v/>
      </c>
      <c r="F8367" s="15" t="str">
        <f aca="false">IF(B8367&lt;5,"Go","Standard")</f>
        <v>Standard</v>
      </c>
    </row>
    <row r="8368" customFormat="false" ht="15" hidden="false" customHeight="true" outlineLevel="0" collapsed="false">
      <c r="A8368" s="10" t="n">
        <f aca="false">Einstellungen!$B$5+INT((ROW()-9)/24)</f>
        <v>46314</v>
      </c>
      <c r="B8368" s="11" t="n">
        <f aca="false">MOD(ROW()-9,24)</f>
        <v>7</v>
      </c>
      <c r="C8368" s="12"/>
      <c r="D8368" s="13" t="n">
        <f aca="false">IF(B8368&lt;5,Einstellungen!$B$3,Einstellungen!$B$4)</f>
        <v>29.13</v>
      </c>
      <c r="E8368" s="14" t="str">
        <f aca="false">IF(C8368="","",C8368*D8368/100)</f>
        <v/>
      </c>
      <c r="F8368" s="15" t="str">
        <f aca="false">IF(B8368&lt;5,"Go","Standard")</f>
        <v>Standard</v>
      </c>
    </row>
    <row r="8369" customFormat="false" ht="15" hidden="false" customHeight="true" outlineLevel="0" collapsed="false">
      <c r="A8369" s="10" t="n">
        <f aca="false">Einstellungen!$B$5+INT((ROW()-9)/24)</f>
        <v>46314</v>
      </c>
      <c r="B8369" s="11" t="n">
        <f aca="false">MOD(ROW()-9,24)</f>
        <v>8</v>
      </c>
      <c r="C8369" s="12"/>
      <c r="D8369" s="13" t="n">
        <f aca="false">IF(B8369&lt;5,Einstellungen!$B$3,Einstellungen!$B$4)</f>
        <v>29.13</v>
      </c>
      <c r="E8369" s="14" t="str">
        <f aca="false">IF(C8369="","",C8369*D8369/100)</f>
        <v/>
      </c>
      <c r="F8369" s="15" t="str">
        <f aca="false">IF(B8369&lt;5,"Go","Standard")</f>
        <v>Standard</v>
      </c>
    </row>
    <row r="8370" customFormat="false" ht="15" hidden="false" customHeight="true" outlineLevel="0" collapsed="false">
      <c r="A8370" s="10" t="n">
        <f aca="false">Einstellungen!$B$5+INT((ROW()-9)/24)</f>
        <v>46314</v>
      </c>
      <c r="B8370" s="11" t="n">
        <f aca="false">MOD(ROW()-9,24)</f>
        <v>9</v>
      </c>
      <c r="C8370" s="12"/>
      <c r="D8370" s="13" t="n">
        <f aca="false">IF(B8370&lt;5,Einstellungen!$B$3,Einstellungen!$B$4)</f>
        <v>29.13</v>
      </c>
      <c r="E8370" s="14" t="str">
        <f aca="false">IF(C8370="","",C8370*D8370/100)</f>
        <v/>
      </c>
      <c r="F8370" s="15" t="str">
        <f aca="false">IF(B8370&lt;5,"Go","Standard")</f>
        <v>Standard</v>
      </c>
    </row>
    <row r="8371" customFormat="false" ht="15" hidden="false" customHeight="true" outlineLevel="0" collapsed="false">
      <c r="A8371" s="10" t="n">
        <f aca="false">Einstellungen!$B$5+INT((ROW()-9)/24)</f>
        <v>46314</v>
      </c>
      <c r="B8371" s="11" t="n">
        <f aca="false">MOD(ROW()-9,24)</f>
        <v>10</v>
      </c>
      <c r="C8371" s="12"/>
      <c r="D8371" s="13" t="n">
        <f aca="false">IF(B8371&lt;5,Einstellungen!$B$3,Einstellungen!$B$4)</f>
        <v>29.13</v>
      </c>
      <c r="E8371" s="14" t="str">
        <f aca="false">IF(C8371="","",C8371*D8371/100)</f>
        <v/>
      </c>
      <c r="F8371" s="15" t="str">
        <f aca="false">IF(B8371&lt;5,"Go","Standard")</f>
        <v>Standard</v>
      </c>
    </row>
    <row r="8372" customFormat="false" ht="15" hidden="false" customHeight="true" outlineLevel="0" collapsed="false">
      <c r="A8372" s="10" t="n">
        <f aca="false">Einstellungen!$B$5+INT((ROW()-9)/24)</f>
        <v>46314</v>
      </c>
      <c r="B8372" s="11" t="n">
        <f aca="false">MOD(ROW()-9,24)</f>
        <v>11</v>
      </c>
      <c r="C8372" s="12"/>
      <c r="D8372" s="13" t="n">
        <f aca="false">IF(B8372&lt;5,Einstellungen!$B$3,Einstellungen!$B$4)</f>
        <v>29.13</v>
      </c>
      <c r="E8372" s="14" t="str">
        <f aca="false">IF(C8372="","",C8372*D8372/100)</f>
        <v/>
      </c>
      <c r="F8372" s="15" t="str">
        <f aca="false">IF(B8372&lt;5,"Go","Standard")</f>
        <v>Standard</v>
      </c>
    </row>
    <row r="8373" customFormat="false" ht="15" hidden="false" customHeight="true" outlineLevel="0" collapsed="false">
      <c r="A8373" s="10" t="n">
        <f aca="false">Einstellungen!$B$5+INT((ROW()-9)/24)</f>
        <v>46314</v>
      </c>
      <c r="B8373" s="11" t="n">
        <f aca="false">MOD(ROW()-9,24)</f>
        <v>12</v>
      </c>
      <c r="C8373" s="12"/>
      <c r="D8373" s="13" t="n">
        <f aca="false">IF(B8373&lt;5,Einstellungen!$B$3,Einstellungen!$B$4)</f>
        <v>29.13</v>
      </c>
      <c r="E8373" s="14" t="str">
        <f aca="false">IF(C8373="","",C8373*D8373/100)</f>
        <v/>
      </c>
      <c r="F8373" s="15" t="str">
        <f aca="false">IF(B8373&lt;5,"Go","Standard")</f>
        <v>Standard</v>
      </c>
    </row>
    <row r="8374" customFormat="false" ht="15" hidden="false" customHeight="true" outlineLevel="0" collapsed="false">
      <c r="A8374" s="10" t="n">
        <f aca="false">Einstellungen!$B$5+INT((ROW()-9)/24)</f>
        <v>46314</v>
      </c>
      <c r="B8374" s="11" t="n">
        <f aca="false">MOD(ROW()-9,24)</f>
        <v>13</v>
      </c>
      <c r="C8374" s="12"/>
      <c r="D8374" s="13" t="n">
        <f aca="false">IF(B8374&lt;5,Einstellungen!$B$3,Einstellungen!$B$4)</f>
        <v>29.13</v>
      </c>
      <c r="E8374" s="14" t="str">
        <f aca="false">IF(C8374="","",C8374*D8374/100)</f>
        <v/>
      </c>
      <c r="F8374" s="15" t="str">
        <f aca="false">IF(B8374&lt;5,"Go","Standard")</f>
        <v>Standard</v>
      </c>
    </row>
    <row r="8375" customFormat="false" ht="15" hidden="false" customHeight="true" outlineLevel="0" collapsed="false">
      <c r="A8375" s="10" t="n">
        <f aca="false">Einstellungen!$B$5+INT((ROW()-9)/24)</f>
        <v>46314</v>
      </c>
      <c r="B8375" s="11" t="n">
        <f aca="false">MOD(ROW()-9,24)</f>
        <v>14</v>
      </c>
      <c r="C8375" s="12"/>
      <c r="D8375" s="13" t="n">
        <f aca="false">IF(B8375&lt;5,Einstellungen!$B$3,Einstellungen!$B$4)</f>
        <v>29.13</v>
      </c>
      <c r="E8375" s="14" t="str">
        <f aca="false">IF(C8375="","",C8375*D8375/100)</f>
        <v/>
      </c>
      <c r="F8375" s="15" t="str">
        <f aca="false">IF(B8375&lt;5,"Go","Standard")</f>
        <v>Standard</v>
      </c>
    </row>
    <row r="8376" customFormat="false" ht="15" hidden="false" customHeight="true" outlineLevel="0" collapsed="false">
      <c r="A8376" s="10" t="n">
        <f aca="false">Einstellungen!$B$5+INT((ROW()-9)/24)</f>
        <v>46314</v>
      </c>
      <c r="B8376" s="11" t="n">
        <f aca="false">MOD(ROW()-9,24)</f>
        <v>15</v>
      </c>
      <c r="C8376" s="12"/>
      <c r="D8376" s="13" t="n">
        <f aca="false">IF(B8376&lt;5,Einstellungen!$B$3,Einstellungen!$B$4)</f>
        <v>29.13</v>
      </c>
      <c r="E8376" s="14" t="str">
        <f aca="false">IF(C8376="","",C8376*D8376/100)</f>
        <v/>
      </c>
      <c r="F8376" s="15" t="str">
        <f aca="false">IF(B8376&lt;5,"Go","Standard")</f>
        <v>Standard</v>
      </c>
    </row>
    <row r="8377" customFormat="false" ht="15" hidden="false" customHeight="true" outlineLevel="0" collapsed="false">
      <c r="A8377" s="10" t="n">
        <f aca="false">Einstellungen!$B$5+INT((ROW()-9)/24)</f>
        <v>46314</v>
      </c>
      <c r="B8377" s="11" t="n">
        <f aca="false">MOD(ROW()-9,24)</f>
        <v>16</v>
      </c>
      <c r="C8377" s="12"/>
      <c r="D8377" s="13" t="n">
        <f aca="false">IF(B8377&lt;5,Einstellungen!$B$3,Einstellungen!$B$4)</f>
        <v>29.13</v>
      </c>
      <c r="E8377" s="14" t="str">
        <f aca="false">IF(C8377="","",C8377*D8377/100)</f>
        <v/>
      </c>
      <c r="F8377" s="15" t="str">
        <f aca="false">IF(B8377&lt;5,"Go","Standard")</f>
        <v>Standard</v>
      </c>
    </row>
    <row r="8378" customFormat="false" ht="15" hidden="false" customHeight="true" outlineLevel="0" collapsed="false">
      <c r="A8378" s="10" t="n">
        <f aca="false">Einstellungen!$B$5+INT((ROW()-9)/24)</f>
        <v>46314</v>
      </c>
      <c r="B8378" s="11" t="n">
        <f aca="false">MOD(ROW()-9,24)</f>
        <v>17</v>
      </c>
      <c r="C8378" s="12"/>
      <c r="D8378" s="13" t="n">
        <f aca="false">IF(B8378&lt;5,Einstellungen!$B$3,Einstellungen!$B$4)</f>
        <v>29.13</v>
      </c>
      <c r="E8378" s="14" t="str">
        <f aca="false">IF(C8378="","",C8378*D8378/100)</f>
        <v/>
      </c>
      <c r="F8378" s="15" t="str">
        <f aca="false">IF(B8378&lt;5,"Go","Standard")</f>
        <v>Standard</v>
      </c>
    </row>
    <row r="8379" customFormat="false" ht="15" hidden="false" customHeight="true" outlineLevel="0" collapsed="false">
      <c r="A8379" s="10" t="n">
        <f aca="false">Einstellungen!$B$5+INT((ROW()-9)/24)</f>
        <v>46314</v>
      </c>
      <c r="B8379" s="11" t="n">
        <f aca="false">MOD(ROW()-9,24)</f>
        <v>18</v>
      </c>
      <c r="C8379" s="12"/>
      <c r="D8379" s="13" t="n">
        <f aca="false">IF(B8379&lt;5,Einstellungen!$B$3,Einstellungen!$B$4)</f>
        <v>29.13</v>
      </c>
      <c r="E8379" s="14" t="str">
        <f aca="false">IF(C8379="","",C8379*D8379/100)</f>
        <v/>
      </c>
      <c r="F8379" s="15" t="str">
        <f aca="false">IF(B8379&lt;5,"Go","Standard")</f>
        <v>Standard</v>
      </c>
    </row>
    <row r="8380" customFormat="false" ht="15" hidden="false" customHeight="true" outlineLevel="0" collapsed="false">
      <c r="A8380" s="10" t="n">
        <f aca="false">Einstellungen!$B$5+INT((ROW()-9)/24)</f>
        <v>46314</v>
      </c>
      <c r="B8380" s="11" t="n">
        <f aca="false">MOD(ROW()-9,24)</f>
        <v>19</v>
      </c>
      <c r="C8380" s="12"/>
      <c r="D8380" s="13" t="n">
        <f aca="false">IF(B8380&lt;5,Einstellungen!$B$3,Einstellungen!$B$4)</f>
        <v>29.13</v>
      </c>
      <c r="E8380" s="14" t="str">
        <f aca="false">IF(C8380="","",C8380*D8380/100)</f>
        <v/>
      </c>
      <c r="F8380" s="15" t="str">
        <f aca="false">IF(B8380&lt;5,"Go","Standard")</f>
        <v>Standard</v>
      </c>
    </row>
    <row r="8381" customFormat="false" ht="15" hidden="false" customHeight="true" outlineLevel="0" collapsed="false">
      <c r="A8381" s="10" t="n">
        <f aca="false">Einstellungen!$B$5+INT((ROW()-9)/24)</f>
        <v>46314</v>
      </c>
      <c r="B8381" s="11" t="n">
        <f aca="false">MOD(ROW()-9,24)</f>
        <v>20</v>
      </c>
      <c r="C8381" s="12"/>
      <c r="D8381" s="13" t="n">
        <f aca="false">IF(B8381&lt;5,Einstellungen!$B$3,Einstellungen!$B$4)</f>
        <v>29.13</v>
      </c>
      <c r="E8381" s="14" t="str">
        <f aca="false">IF(C8381="","",C8381*D8381/100)</f>
        <v/>
      </c>
      <c r="F8381" s="15" t="str">
        <f aca="false">IF(B8381&lt;5,"Go","Standard")</f>
        <v>Standard</v>
      </c>
    </row>
    <row r="8382" customFormat="false" ht="15" hidden="false" customHeight="true" outlineLevel="0" collapsed="false">
      <c r="A8382" s="10" t="n">
        <f aca="false">Einstellungen!$B$5+INT((ROW()-9)/24)</f>
        <v>46314</v>
      </c>
      <c r="B8382" s="11" t="n">
        <f aca="false">MOD(ROW()-9,24)</f>
        <v>21</v>
      </c>
      <c r="C8382" s="12"/>
      <c r="D8382" s="13" t="n">
        <f aca="false">IF(B8382&lt;5,Einstellungen!$B$3,Einstellungen!$B$4)</f>
        <v>29.13</v>
      </c>
      <c r="E8382" s="14" t="str">
        <f aca="false">IF(C8382="","",C8382*D8382/100)</f>
        <v/>
      </c>
      <c r="F8382" s="15" t="str">
        <f aca="false">IF(B8382&lt;5,"Go","Standard")</f>
        <v>Standard</v>
      </c>
    </row>
    <row r="8383" customFormat="false" ht="15" hidden="false" customHeight="true" outlineLevel="0" collapsed="false">
      <c r="A8383" s="10" t="n">
        <f aca="false">Einstellungen!$B$5+INT((ROW()-9)/24)</f>
        <v>46314</v>
      </c>
      <c r="B8383" s="11" t="n">
        <f aca="false">MOD(ROW()-9,24)</f>
        <v>22</v>
      </c>
      <c r="C8383" s="12"/>
      <c r="D8383" s="13" t="n">
        <f aca="false">IF(B8383&lt;5,Einstellungen!$B$3,Einstellungen!$B$4)</f>
        <v>29.13</v>
      </c>
      <c r="E8383" s="14" t="str">
        <f aca="false">IF(C8383="","",C8383*D8383/100)</f>
        <v/>
      </c>
      <c r="F8383" s="15" t="str">
        <f aca="false">IF(B8383&lt;5,"Go","Standard")</f>
        <v>Standard</v>
      </c>
    </row>
    <row r="8384" customFormat="false" ht="15" hidden="false" customHeight="true" outlineLevel="0" collapsed="false">
      <c r="A8384" s="10" t="n">
        <f aca="false">Einstellungen!$B$5+INT((ROW()-9)/24)</f>
        <v>46314</v>
      </c>
      <c r="B8384" s="11" t="n">
        <f aca="false">MOD(ROW()-9,24)</f>
        <v>23</v>
      </c>
      <c r="C8384" s="12"/>
      <c r="D8384" s="13" t="n">
        <f aca="false">IF(B8384&lt;5,Einstellungen!$B$3,Einstellungen!$B$4)</f>
        <v>29.13</v>
      </c>
      <c r="E8384" s="14" t="str">
        <f aca="false">IF(C8384="","",C8384*D8384/100)</f>
        <v/>
      </c>
      <c r="F8384" s="15" t="str">
        <f aca="false">IF(B8384&lt;5,"Go","Standard")</f>
        <v>Standard</v>
      </c>
    </row>
    <row r="8385" customFormat="false" ht="15" hidden="false" customHeight="true" outlineLevel="0" collapsed="false">
      <c r="A8385" s="10" t="n">
        <f aca="false">Einstellungen!$B$5+INT((ROW()-9)/24)</f>
        <v>46315</v>
      </c>
      <c r="B8385" s="11" t="n">
        <f aca="false">MOD(ROW()-9,24)</f>
        <v>0</v>
      </c>
      <c r="C8385" s="12"/>
      <c r="D8385" s="13" t="n">
        <f aca="false">IF(B8385&lt;5,Einstellungen!$B$3,Einstellungen!$B$4)</f>
        <v>15.92</v>
      </c>
      <c r="E8385" s="14" t="str">
        <f aca="false">IF(C8385="","",C8385*D8385/100)</f>
        <v/>
      </c>
      <c r="F8385" s="15" t="str">
        <f aca="false">IF(B8385&lt;5,"Go","Standard")</f>
        <v>Go</v>
      </c>
    </row>
    <row r="8386" customFormat="false" ht="15" hidden="false" customHeight="true" outlineLevel="0" collapsed="false">
      <c r="A8386" s="10" t="n">
        <f aca="false">Einstellungen!$B$5+INT((ROW()-9)/24)</f>
        <v>46315</v>
      </c>
      <c r="B8386" s="11" t="n">
        <f aca="false">MOD(ROW()-9,24)</f>
        <v>1</v>
      </c>
      <c r="C8386" s="12"/>
      <c r="D8386" s="13" t="n">
        <f aca="false">IF(B8386&lt;5,Einstellungen!$B$3,Einstellungen!$B$4)</f>
        <v>15.92</v>
      </c>
      <c r="E8386" s="14" t="str">
        <f aca="false">IF(C8386="","",C8386*D8386/100)</f>
        <v/>
      </c>
      <c r="F8386" s="15" t="str">
        <f aca="false">IF(B8386&lt;5,"Go","Standard")</f>
        <v>Go</v>
      </c>
    </row>
    <row r="8387" customFormat="false" ht="15" hidden="false" customHeight="true" outlineLevel="0" collapsed="false">
      <c r="A8387" s="10" t="n">
        <f aca="false">Einstellungen!$B$5+INT((ROW()-9)/24)</f>
        <v>46315</v>
      </c>
      <c r="B8387" s="11" t="n">
        <f aca="false">MOD(ROW()-9,24)</f>
        <v>2</v>
      </c>
      <c r="C8387" s="12"/>
      <c r="D8387" s="13" t="n">
        <f aca="false">IF(B8387&lt;5,Einstellungen!$B$3,Einstellungen!$B$4)</f>
        <v>15.92</v>
      </c>
      <c r="E8387" s="14" t="str">
        <f aca="false">IF(C8387="","",C8387*D8387/100)</f>
        <v/>
      </c>
      <c r="F8387" s="15" t="str">
        <f aca="false">IF(B8387&lt;5,"Go","Standard")</f>
        <v>Go</v>
      </c>
    </row>
    <row r="8388" customFormat="false" ht="15" hidden="false" customHeight="true" outlineLevel="0" collapsed="false">
      <c r="A8388" s="10" t="n">
        <f aca="false">Einstellungen!$B$5+INT((ROW()-9)/24)</f>
        <v>46315</v>
      </c>
      <c r="B8388" s="11" t="n">
        <f aca="false">MOD(ROW()-9,24)</f>
        <v>3</v>
      </c>
      <c r="C8388" s="12"/>
      <c r="D8388" s="13" t="n">
        <f aca="false">IF(B8388&lt;5,Einstellungen!$B$3,Einstellungen!$B$4)</f>
        <v>15.92</v>
      </c>
      <c r="E8388" s="14" t="str">
        <f aca="false">IF(C8388="","",C8388*D8388/100)</f>
        <v/>
      </c>
      <c r="F8388" s="15" t="str">
        <f aca="false">IF(B8388&lt;5,"Go","Standard")</f>
        <v>Go</v>
      </c>
    </row>
    <row r="8389" customFormat="false" ht="15" hidden="false" customHeight="true" outlineLevel="0" collapsed="false">
      <c r="A8389" s="10" t="n">
        <f aca="false">Einstellungen!$B$5+INT((ROW()-9)/24)</f>
        <v>46315</v>
      </c>
      <c r="B8389" s="11" t="n">
        <f aca="false">MOD(ROW()-9,24)</f>
        <v>4</v>
      </c>
      <c r="C8389" s="12"/>
      <c r="D8389" s="13" t="n">
        <f aca="false">IF(B8389&lt;5,Einstellungen!$B$3,Einstellungen!$B$4)</f>
        <v>15.92</v>
      </c>
      <c r="E8389" s="14" t="str">
        <f aca="false">IF(C8389="","",C8389*D8389/100)</f>
        <v/>
      </c>
      <c r="F8389" s="15" t="str">
        <f aca="false">IF(B8389&lt;5,"Go","Standard")</f>
        <v>Go</v>
      </c>
    </row>
    <row r="8390" customFormat="false" ht="15" hidden="false" customHeight="true" outlineLevel="0" collapsed="false">
      <c r="A8390" s="10" t="n">
        <f aca="false">Einstellungen!$B$5+INT((ROW()-9)/24)</f>
        <v>46315</v>
      </c>
      <c r="B8390" s="11" t="n">
        <f aca="false">MOD(ROW()-9,24)</f>
        <v>5</v>
      </c>
      <c r="C8390" s="12"/>
      <c r="D8390" s="13" t="n">
        <f aca="false">IF(B8390&lt;5,Einstellungen!$B$3,Einstellungen!$B$4)</f>
        <v>29.13</v>
      </c>
      <c r="E8390" s="14" t="str">
        <f aca="false">IF(C8390="","",C8390*D8390/100)</f>
        <v/>
      </c>
      <c r="F8390" s="15" t="str">
        <f aca="false">IF(B8390&lt;5,"Go","Standard")</f>
        <v>Standard</v>
      </c>
    </row>
    <row r="8391" customFormat="false" ht="15" hidden="false" customHeight="true" outlineLevel="0" collapsed="false">
      <c r="A8391" s="10" t="n">
        <f aca="false">Einstellungen!$B$5+INT((ROW()-9)/24)</f>
        <v>46315</v>
      </c>
      <c r="B8391" s="11" t="n">
        <f aca="false">MOD(ROW()-9,24)</f>
        <v>6</v>
      </c>
      <c r="C8391" s="12"/>
      <c r="D8391" s="13" t="n">
        <f aca="false">IF(B8391&lt;5,Einstellungen!$B$3,Einstellungen!$B$4)</f>
        <v>29.13</v>
      </c>
      <c r="E8391" s="14" t="str">
        <f aca="false">IF(C8391="","",C8391*D8391/100)</f>
        <v/>
      </c>
      <c r="F8391" s="15" t="str">
        <f aca="false">IF(B8391&lt;5,"Go","Standard")</f>
        <v>Standard</v>
      </c>
    </row>
    <row r="8392" customFormat="false" ht="15" hidden="false" customHeight="true" outlineLevel="0" collapsed="false">
      <c r="A8392" s="10" t="n">
        <f aca="false">Einstellungen!$B$5+INT((ROW()-9)/24)</f>
        <v>46315</v>
      </c>
      <c r="B8392" s="11" t="n">
        <f aca="false">MOD(ROW()-9,24)</f>
        <v>7</v>
      </c>
      <c r="C8392" s="12"/>
      <c r="D8392" s="13" t="n">
        <f aca="false">IF(B8392&lt;5,Einstellungen!$B$3,Einstellungen!$B$4)</f>
        <v>29.13</v>
      </c>
      <c r="E8392" s="14" t="str">
        <f aca="false">IF(C8392="","",C8392*D8392/100)</f>
        <v/>
      </c>
      <c r="F8392" s="15" t="str">
        <f aca="false">IF(B8392&lt;5,"Go","Standard")</f>
        <v>Standard</v>
      </c>
    </row>
    <row r="8393" customFormat="false" ht="15" hidden="false" customHeight="true" outlineLevel="0" collapsed="false">
      <c r="A8393" s="10" t="n">
        <f aca="false">Einstellungen!$B$5+INT((ROW()-9)/24)</f>
        <v>46315</v>
      </c>
      <c r="B8393" s="11" t="n">
        <f aca="false">MOD(ROW()-9,24)</f>
        <v>8</v>
      </c>
      <c r="C8393" s="12"/>
      <c r="D8393" s="13" t="n">
        <f aca="false">IF(B8393&lt;5,Einstellungen!$B$3,Einstellungen!$B$4)</f>
        <v>29.13</v>
      </c>
      <c r="E8393" s="14" t="str">
        <f aca="false">IF(C8393="","",C8393*D8393/100)</f>
        <v/>
      </c>
      <c r="F8393" s="15" t="str">
        <f aca="false">IF(B8393&lt;5,"Go","Standard")</f>
        <v>Standard</v>
      </c>
    </row>
    <row r="8394" customFormat="false" ht="15" hidden="false" customHeight="true" outlineLevel="0" collapsed="false">
      <c r="A8394" s="10" t="n">
        <f aca="false">Einstellungen!$B$5+INT((ROW()-9)/24)</f>
        <v>46315</v>
      </c>
      <c r="B8394" s="11" t="n">
        <f aca="false">MOD(ROW()-9,24)</f>
        <v>9</v>
      </c>
      <c r="C8394" s="12"/>
      <c r="D8394" s="13" t="n">
        <f aca="false">IF(B8394&lt;5,Einstellungen!$B$3,Einstellungen!$B$4)</f>
        <v>29.13</v>
      </c>
      <c r="E8394" s="14" t="str">
        <f aca="false">IF(C8394="","",C8394*D8394/100)</f>
        <v/>
      </c>
      <c r="F8394" s="15" t="str">
        <f aca="false">IF(B8394&lt;5,"Go","Standard")</f>
        <v>Standard</v>
      </c>
    </row>
    <row r="8395" customFormat="false" ht="15" hidden="false" customHeight="true" outlineLevel="0" collapsed="false">
      <c r="A8395" s="10" t="n">
        <f aca="false">Einstellungen!$B$5+INT((ROW()-9)/24)</f>
        <v>46315</v>
      </c>
      <c r="B8395" s="11" t="n">
        <f aca="false">MOD(ROW()-9,24)</f>
        <v>10</v>
      </c>
      <c r="C8395" s="12"/>
      <c r="D8395" s="13" t="n">
        <f aca="false">IF(B8395&lt;5,Einstellungen!$B$3,Einstellungen!$B$4)</f>
        <v>29.13</v>
      </c>
      <c r="E8395" s="14" t="str">
        <f aca="false">IF(C8395="","",C8395*D8395/100)</f>
        <v/>
      </c>
      <c r="F8395" s="15" t="str">
        <f aca="false">IF(B8395&lt;5,"Go","Standard")</f>
        <v>Standard</v>
      </c>
    </row>
    <row r="8396" customFormat="false" ht="15" hidden="false" customHeight="true" outlineLevel="0" collapsed="false">
      <c r="A8396" s="10" t="n">
        <f aca="false">Einstellungen!$B$5+INT((ROW()-9)/24)</f>
        <v>46315</v>
      </c>
      <c r="B8396" s="11" t="n">
        <f aca="false">MOD(ROW()-9,24)</f>
        <v>11</v>
      </c>
      <c r="C8396" s="12"/>
      <c r="D8396" s="13" t="n">
        <f aca="false">IF(B8396&lt;5,Einstellungen!$B$3,Einstellungen!$B$4)</f>
        <v>29.13</v>
      </c>
      <c r="E8396" s="14" t="str">
        <f aca="false">IF(C8396="","",C8396*D8396/100)</f>
        <v/>
      </c>
      <c r="F8396" s="15" t="str">
        <f aca="false">IF(B8396&lt;5,"Go","Standard")</f>
        <v>Standard</v>
      </c>
    </row>
    <row r="8397" customFormat="false" ht="15" hidden="false" customHeight="true" outlineLevel="0" collapsed="false">
      <c r="A8397" s="10" t="n">
        <f aca="false">Einstellungen!$B$5+INT((ROW()-9)/24)</f>
        <v>46315</v>
      </c>
      <c r="B8397" s="11" t="n">
        <f aca="false">MOD(ROW()-9,24)</f>
        <v>12</v>
      </c>
      <c r="C8397" s="12"/>
      <c r="D8397" s="13" t="n">
        <f aca="false">IF(B8397&lt;5,Einstellungen!$B$3,Einstellungen!$B$4)</f>
        <v>29.13</v>
      </c>
      <c r="E8397" s="14" t="str">
        <f aca="false">IF(C8397="","",C8397*D8397/100)</f>
        <v/>
      </c>
      <c r="F8397" s="15" t="str">
        <f aca="false">IF(B8397&lt;5,"Go","Standard")</f>
        <v>Standard</v>
      </c>
    </row>
    <row r="8398" customFormat="false" ht="15" hidden="false" customHeight="true" outlineLevel="0" collapsed="false">
      <c r="A8398" s="10" t="n">
        <f aca="false">Einstellungen!$B$5+INT((ROW()-9)/24)</f>
        <v>46315</v>
      </c>
      <c r="B8398" s="11" t="n">
        <f aca="false">MOD(ROW()-9,24)</f>
        <v>13</v>
      </c>
      <c r="C8398" s="12"/>
      <c r="D8398" s="13" t="n">
        <f aca="false">IF(B8398&lt;5,Einstellungen!$B$3,Einstellungen!$B$4)</f>
        <v>29.13</v>
      </c>
      <c r="E8398" s="14" t="str">
        <f aca="false">IF(C8398="","",C8398*D8398/100)</f>
        <v/>
      </c>
      <c r="F8398" s="15" t="str">
        <f aca="false">IF(B8398&lt;5,"Go","Standard")</f>
        <v>Standard</v>
      </c>
    </row>
    <row r="8399" customFormat="false" ht="15" hidden="false" customHeight="true" outlineLevel="0" collapsed="false">
      <c r="A8399" s="10" t="n">
        <f aca="false">Einstellungen!$B$5+INT((ROW()-9)/24)</f>
        <v>46315</v>
      </c>
      <c r="B8399" s="11" t="n">
        <f aca="false">MOD(ROW()-9,24)</f>
        <v>14</v>
      </c>
      <c r="C8399" s="12"/>
      <c r="D8399" s="13" t="n">
        <f aca="false">IF(B8399&lt;5,Einstellungen!$B$3,Einstellungen!$B$4)</f>
        <v>29.13</v>
      </c>
      <c r="E8399" s="14" t="str">
        <f aca="false">IF(C8399="","",C8399*D8399/100)</f>
        <v/>
      </c>
      <c r="F8399" s="15" t="str">
        <f aca="false">IF(B8399&lt;5,"Go","Standard")</f>
        <v>Standard</v>
      </c>
    </row>
    <row r="8400" customFormat="false" ht="15" hidden="false" customHeight="true" outlineLevel="0" collapsed="false">
      <c r="A8400" s="10" t="n">
        <f aca="false">Einstellungen!$B$5+INT((ROW()-9)/24)</f>
        <v>46315</v>
      </c>
      <c r="B8400" s="11" t="n">
        <f aca="false">MOD(ROW()-9,24)</f>
        <v>15</v>
      </c>
      <c r="C8400" s="12"/>
      <c r="D8400" s="13" t="n">
        <f aca="false">IF(B8400&lt;5,Einstellungen!$B$3,Einstellungen!$B$4)</f>
        <v>29.13</v>
      </c>
      <c r="E8400" s="14" t="str">
        <f aca="false">IF(C8400="","",C8400*D8400/100)</f>
        <v/>
      </c>
      <c r="F8400" s="15" t="str">
        <f aca="false">IF(B8400&lt;5,"Go","Standard")</f>
        <v>Standard</v>
      </c>
    </row>
    <row r="8401" customFormat="false" ht="15" hidden="false" customHeight="true" outlineLevel="0" collapsed="false">
      <c r="A8401" s="10" t="n">
        <f aca="false">Einstellungen!$B$5+INT((ROW()-9)/24)</f>
        <v>46315</v>
      </c>
      <c r="B8401" s="11" t="n">
        <f aca="false">MOD(ROW()-9,24)</f>
        <v>16</v>
      </c>
      <c r="C8401" s="12"/>
      <c r="D8401" s="13" t="n">
        <f aca="false">IF(B8401&lt;5,Einstellungen!$B$3,Einstellungen!$B$4)</f>
        <v>29.13</v>
      </c>
      <c r="E8401" s="14" t="str">
        <f aca="false">IF(C8401="","",C8401*D8401/100)</f>
        <v/>
      </c>
      <c r="F8401" s="15" t="str">
        <f aca="false">IF(B8401&lt;5,"Go","Standard")</f>
        <v>Standard</v>
      </c>
    </row>
    <row r="8402" customFormat="false" ht="15" hidden="false" customHeight="true" outlineLevel="0" collapsed="false">
      <c r="A8402" s="10" t="n">
        <f aca="false">Einstellungen!$B$5+INT((ROW()-9)/24)</f>
        <v>46315</v>
      </c>
      <c r="B8402" s="11" t="n">
        <f aca="false">MOD(ROW()-9,24)</f>
        <v>17</v>
      </c>
      <c r="C8402" s="12"/>
      <c r="D8402" s="13" t="n">
        <f aca="false">IF(B8402&lt;5,Einstellungen!$B$3,Einstellungen!$B$4)</f>
        <v>29.13</v>
      </c>
      <c r="E8402" s="14" t="str">
        <f aca="false">IF(C8402="","",C8402*D8402/100)</f>
        <v/>
      </c>
      <c r="F8402" s="15" t="str">
        <f aca="false">IF(B8402&lt;5,"Go","Standard")</f>
        <v>Standard</v>
      </c>
    </row>
    <row r="8403" customFormat="false" ht="15" hidden="false" customHeight="true" outlineLevel="0" collapsed="false">
      <c r="A8403" s="10" t="n">
        <f aca="false">Einstellungen!$B$5+INT((ROW()-9)/24)</f>
        <v>46315</v>
      </c>
      <c r="B8403" s="11" t="n">
        <f aca="false">MOD(ROW()-9,24)</f>
        <v>18</v>
      </c>
      <c r="C8403" s="12"/>
      <c r="D8403" s="13" t="n">
        <f aca="false">IF(B8403&lt;5,Einstellungen!$B$3,Einstellungen!$B$4)</f>
        <v>29.13</v>
      </c>
      <c r="E8403" s="14" t="str">
        <f aca="false">IF(C8403="","",C8403*D8403/100)</f>
        <v/>
      </c>
      <c r="F8403" s="15" t="str">
        <f aca="false">IF(B8403&lt;5,"Go","Standard")</f>
        <v>Standard</v>
      </c>
    </row>
    <row r="8404" customFormat="false" ht="15" hidden="false" customHeight="true" outlineLevel="0" collapsed="false">
      <c r="A8404" s="10" t="n">
        <f aca="false">Einstellungen!$B$5+INT((ROW()-9)/24)</f>
        <v>46315</v>
      </c>
      <c r="B8404" s="11" t="n">
        <f aca="false">MOD(ROW()-9,24)</f>
        <v>19</v>
      </c>
      <c r="C8404" s="12"/>
      <c r="D8404" s="13" t="n">
        <f aca="false">IF(B8404&lt;5,Einstellungen!$B$3,Einstellungen!$B$4)</f>
        <v>29.13</v>
      </c>
      <c r="E8404" s="14" t="str">
        <f aca="false">IF(C8404="","",C8404*D8404/100)</f>
        <v/>
      </c>
      <c r="F8404" s="15" t="str">
        <f aca="false">IF(B8404&lt;5,"Go","Standard")</f>
        <v>Standard</v>
      </c>
    </row>
    <row r="8405" customFormat="false" ht="15" hidden="false" customHeight="true" outlineLevel="0" collapsed="false">
      <c r="A8405" s="10" t="n">
        <f aca="false">Einstellungen!$B$5+INT((ROW()-9)/24)</f>
        <v>46315</v>
      </c>
      <c r="B8405" s="11" t="n">
        <f aca="false">MOD(ROW()-9,24)</f>
        <v>20</v>
      </c>
      <c r="C8405" s="12"/>
      <c r="D8405" s="13" t="n">
        <f aca="false">IF(B8405&lt;5,Einstellungen!$B$3,Einstellungen!$B$4)</f>
        <v>29.13</v>
      </c>
      <c r="E8405" s="14" t="str">
        <f aca="false">IF(C8405="","",C8405*D8405/100)</f>
        <v/>
      </c>
      <c r="F8405" s="15" t="str">
        <f aca="false">IF(B8405&lt;5,"Go","Standard")</f>
        <v>Standard</v>
      </c>
    </row>
    <row r="8406" customFormat="false" ht="15" hidden="false" customHeight="true" outlineLevel="0" collapsed="false">
      <c r="A8406" s="10" t="n">
        <f aca="false">Einstellungen!$B$5+INT((ROW()-9)/24)</f>
        <v>46315</v>
      </c>
      <c r="B8406" s="11" t="n">
        <f aca="false">MOD(ROW()-9,24)</f>
        <v>21</v>
      </c>
      <c r="C8406" s="12"/>
      <c r="D8406" s="13" t="n">
        <f aca="false">IF(B8406&lt;5,Einstellungen!$B$3,Einstellungen!$B$4)</f>
        <v>29.13</v>
      </c>
      <c r="E8406" s="14" t="str">
        <f aca="false">IF(C8406="","",C8406*D8406/100)</f>
        <v/>
      </c>
      <c r="F8406" s="15" t="str">
        <f aca="false">IF(B8406&lt;5,"Go","Standard")</f>
        <v>Standard</v>
      </c>
    </row>
    <row r="8407" customFormat="false" ht="15" hidden="false" customHeight="true" outlineLevel="0" collapsed="false">
      <c r="A8407" s="10" t="n">
        <f aca="false">Einstellungen!$B$5+INT((ROW()-9)/24)</f>
        <v>46315</v>
      </c>
      <c r="B8407" s="11" t="n">
        <f aca="false">MOD(ROW()-9,24)</f>
        <v>22</v>
      </c>
      <c r="C8407" s="12"/>
      <c r="D8407" s="13" t="n">
        <f aca="false">IF(B8407&lt;5,Einstellungen!$B$3,Einstellungen!$B$4)</f>
        <v>29.13</v>
      </c>
      <c r="E8407" s="14" t="str">
        <f aca="false">IF(C8407="","",C8407*D8407/100)</f>
        <v/>
      </c>
      <c r="F8407" s="15" t="str">
        <f aca="false">IF(B8407&lt;5,"Go","Standard")</f>
        <v>Standard</v>
      </c>
    </row>
    <row r="8408" customFormat="false" ht="15" hidden="false" customHeight="true" outlineLevel="0" collapsed="false">
      <c r="A8408" s="10" t="n">
        <f aca="false">Einstellungen!$B$5+INT((ROW()-9)/24)</f>
        <v>46315</v>
      </c>
      <c r="B8408" s="11" t="n">
        <f aca="false">MOD(ROW()-9,24)</f>
        <v>23</v>
      </c>
      <c r="C8408" s="12"/>
      <c r="D8408" s="13" t="n">
        <f aca="false">IF(B8408&lt;5,Einstellungen!$B$3,Einstellungen!$B$4)</f>
        <v>29.13</v>
      </c>
      <c r="E8408" s="14" t="str">
        <f aca="false">IF(C8408="","",C8408*D8408/100)</f>
        <v/>
      </c>
      <c r="F8408" s="15" t="str">
        <f aca="false">IF(B8408&lt;5,"Go","Standard")</f>
        <v>Standard</v>
      </c>
    </row>
    <row r="8409" customFormat="false" ht="15" hidden="false" customHeight="true" outlineLevel="0" collapsed="false">
      <c r="A8409" s="10" t="n">
        <f aca="false">Einstellungen!$B$5+INT((ROW()-9)/24)</f>
        <v>46316</v>
      </c>
      <c r="B8409" s="11" t="n">
        <f aca="false">MOD(ROW()-9,24)</f>
        <v>0</v>
      </c>
      <c r="C8409" s="12"/>
      <c r="D8409" s="13" t="n">
        <f aca="false">IF(B8409&lt;5,Einstellungen!$B$3,Einstellungen!$B$4)</f>
        <v>15.92</v>
      </c>
      <c r="E8409" s="14" t="str">
        <f aca="false">IF(C8409="","",C8409*D8409/100)</f>
        <v/>
      </c>
      <c r="F8409" s="15" t="str">
        <f aca="false">IF(B8409&lt;5,"Go","Standard")</f>
        <v>Go</v>
      </c>
    </row>
    <row r="8410" customFormat="false" ht="15" hidden="false" customHeight="true" outlineLevel="0" collapsed="false">
      <c r="A8410" s="10" t="n">
        <f aca="false">Einstellungen!$B$5+INT((ROW()-9)/24)</f>
        <v>46316</v>
      </c>
      <c r="B8410" s="11" t="n">
        <f aca="false">MOD(ROW()-9,24)</f>
        <v>1</v>
      </c>
      <c r="C8410" s="12"/>
      <c r="D8410" s="13" t="n">
        <f aca="false">IF(B8410&lt;5,Einstellungen!$B$3,Einstellungen!$B$4)</f>
        <v>15.92</v>
      </c>
      <c r="E8410" s="14" t="str">
        <f aca="false">IF(C8410="","",C8410*D8410/100)</f>
        <v/>
      </c>
      <c r="F8410" s="15" t="str">
        <f aca="false">IF(B8410&lt;5,"Go","Standard")</f>
        <v>Go</v>
      </c>
    </row>
    <row r="8411" customFormat="false" ht="15" hidden="false" customHeight="true" outlineLevel="0" collapsed="false">
      <c r="A8411" s="10" t="n">
        <f aca="false">Einstellungen!$B$5+INT((ROW()-9)/24)</f>
        <v>46316</v>
      </c>
      <c r="B8411" s="11" t="n">
        <f aca="false">MOD(ROW()-9,24)</f>
        <v>2</v>
      </c>
      <c r="C8411" s="12"/>
      <c r="D8411" s="13" t="n">
        <f aca="false">IF(B8411&lt;5,Einstellungen!$B$3,Einstellungen!$B$4)</f>
        <v>15.92</v>
      </c>
      <c r="E8411" s="14" t="str">
        <f aca="false">IF(C8411="","",C8411*D8411/100)</f>
        <v/>
      </c>
      <c r="F8411" s="15" t="str">
        <f aca="false">IF(B8411&lt;5,"Go","Standard")</f>
        <v>Go</v>
      </c>
    </row>
    <row r="8412" customFormat="false" ht="15" hidden="false" customHeight="true" outlineLevel="0" collapsed="false">
      <c r="A8412" s="10" t="n">
        <f aca="false">Einstellungen!$B$5+INT((ROW()-9)/24)</f>
        <v>46316</v>
      </c>
      <c r="B8412" s="11" t="n">
        <f aca="false">MOD(ROW()-9,24)</f>
        <v>3</v>
      </c>
      <c r="C8412" s="12"/>
      <c r="D8412" s="13" t="n">
        <f aca="false">IF(B8412&lt;5,Einstellungen!$B$3,Einstellungen!$B$4)</f>
        <v>15.92</v>
      </c>
      <c r="E8412" s="14" t="str">
        <f aca="false">IF(C8412="","",C8412*D8412/100)</f>
        <v/>
      </c>
      <c r="F8412" s="15" t="str">
        <f aca="false">IF(B8412&lt;5,"Go","Standard")</f>
        <v>Go</v>
      </c>
    </row>
    <row r="8413" customFormat="false" ht="15" hidden="false" customHeight="true" outlineLevel="0" collapsed="false">
      <c r="A8413" s="10" t="n">
        <f aca="false">Einstellungen!$B$5+INT((ROW()-9)/24)</f>
        <v>46316</v>
      </c>
      <c r="B8413" s="11" t="n">
        <f aca="false">MOD(ROW()-9,24)</f>
        <v>4</v>
      </c>
      <c r="C8413" s="12"/>
      <c r="D8413" s="13" t="n">
        <f aca="false">IF(B8413&lt;5,Einstellungen!$B$3,Einstellungen!$B$4)</f>
        <v>15.92</v>
      </c>
      <c r="E8413" s="14" t="str">
        <f aca="false">IF(C8413="","",C8413*D8413/100)</f>
        <v/>
      </c>
      <c r="F8413" s="15" t="str">
        <f aca="false">IF(B8413&lt;5,"Go","Standard")</f>
        <v>Go</v>
      </c>
    </row>
    <row r="8414" customFormat="false" ht="15" hidden="false" customHeight="true" outlineLevel="0" collapsed="false">
      <c r="A8414" s="10" t="n">
        <f aca="false">Einstellungen!$B$5+INT((ROW()-9)/24)</f>
        <v>46316</v>
      </c>
      <c r="B8414" s="11" t="n">
        <f aca="false">MOD(ROW()-9,24)</f>
        <v>5</v>
      </c>
      <c r="C8414" s="12"/>
      <c r="D8414" s="13" t="n">
        <f aca="false">IF(B8414&lt;5,Einstellungen!$B$3,Einstellungen!$B$4)</f>
        <v>29.13</v>
      </c>
      <c r="E8414" s="14" t="str">
        <f aca="false">IF(C8414="","",C8414*D8414/100)</f>
        <v/>
      </c>
      <c r="F8414" s="15" t="str">
        <f aca="false">IF(B8414&lt;5,"Go","Standard")</f>
        <v>Standard</v>
      </c>
    </row>
    <row r="8415" customFormat="false" ht="15" hidden="false" customHeight="true" outlineLevel="0" collapsed="false">
      <c r="A8415" s="10" t="n">
        <f aca="false">Einstellungen!$B$5+INT((ROW()-9)/24)</f>
        <v>46316</v>
      </c>
      <c r="B8415" s="11" t="n">
        <f aca="false">MOD(ROW()-9,24)</f>
        <v>6</v>
      </c>
      <c r="C8415" s="12"/>
      <c r="D8415" s="13" t="n">
        <f aca="false">IF(B8415&lt;5,Einstellungen!$B$3,Einstellungen!$B$4)</f>
        <v>29.13</v>
      </c>
      <c r="E8415" s="14" t="str">
        <f aca="false">IF(C8415="","",C8415*D8415/100)</f>
        <v/>
      </c>
      <c r="F8415" s="15" t="str">
        <f aca="false">IF(B8415&lt;5,"Go","Standard")</f>
        <v>Standard</v>
      </c>
    </row>
    <row r="8416" customFormat="false" ht="15" hidden="false" customHeight="true" outlineLevel="0" collapsed="false">
      <c r="A8416" s="10" t="n">
        <f aca="false">Einstellungen!$B$5+INT((ROW()-9)/24)</f>
        <v>46316</v>
      </c>
      <c r="B8416" s="11" t="n">
        <f aca="false">MOD(ROW()-9,24)</f>
        <v>7</v>
      </c>
      <c r="C8416" s="12"/>
      <c r="D8416" s="13" t="n">
        <f aca="false">IF(B8416&lt;5,Einstellungen!$B$3,Einstellungen!$B$4)</f>
        <v>29.13</v>
      </c>
      <c r="E8416" s="14" t="str">
        <f aca="false">IF(C8416="","",C8416*D8416/100)</f>
        <v/>
      </c>
      <c r="F8416" s="15" t="str">
        <f aca="false">IF(B8416&lt;5,"Go","Standard")</f>
        <v>Standard</v>
      </c>
    </row>
    <row r="8417" customFormat="false" ht="15" hidden="false" customHeight="true" outlineLevel="0" collapsed="false">
      <c r="A8417" s="10" t="n">
        <f aca="false">Einstellungen!$B$5+INT((ROW()-9)/24)</f>
        <v>46316</v>
      </c>
      <c r="B8417" s="11" t="n">
        <f aca="false">MOD(ROW()-9,24)</f>
        <v>8</v>
      </c>
      <c r="C8417" s="12"/>
      <c r="D8417" s="13" t="n">
        <f aca="false">IF(B8417&lt;5,Einstellungen!$B$3,Einstellungen!$B$4)</f>
        <v>29.13</v>
      </c>
      <c r="E8417" s="14" t="str">
        <f aca="false">IF(C8417="","",C8417*D8417/100)</f>
        <v/>
      </c>
      <c r="F8417" s="15" t="str">
        <f aca="false">IF(B8417&lt;5,"Go","Standard")</f>
        <v>Standard</v>
      </c>
    </row>
    <row r="8418" customFormat="false" ht="15" hidden="false" customHeight="true" outlineLevel="0" collapsed="false">
      <c r="A8418" s="10" t="n">
        <f aca="false">Einstellungen!$B$5+INT((ROW()-9)/24)</f>
        <v>46316</v>
      </c>
      <c r="B8418" s="11" t="n">
        <f aca="false">MOD(ROW()-9,24)</f>
        <v>9</v>
      </c>
      <c r="C8418" s="12"/>
      <c r="D8418" s="13" t="n">
        <f aca="false">IF(B8418&lt;5,Einstellungen!$B$3,Einstellungen!$B$4)</f>
        <v>29.13</v>
      </c>
      <c r="E8418" s="14" t="str">
        <f aca="false">IF(C8418="","",C8418*D8418/100)</f>
        <v/>
      </c>
      <c r="F8418" s="15" t="str">
        <f aca="false">IF(B8418&lt;5,"Go","Standard")</f>
        <v>Standard</v>
      </c>
    </row>
    <row r="8419" customFormat="false" ht="15" hidden="false" customHeight="true" outlineLevel="0" collapsed="false">
      <c r="A8419" s="10" t="n">
        <f aca="false">Einstellungen!$B$5+INT((ROW()-9)/24)</f>
        <v>46316</v>
      </c>
      <c r="B8419" s="11" t="n">
        <f aca="false">MOD(ROW()-9,24)</f>
        <v>10</v>
      </c>
      <c r="C8419" s="12"/>
      <c r="D8419" s="13" t="n">
        <f aca="false">IF(B8419&lt;5,Einstellungen!$B$3,Einstellungen!$B$4)</f>
        <v>29.13</v>
      </c>
      <c r="E8419" s="14" t="str">
        <f aca="false">IF(C8419="","",C8419*D8419/100)</f>
        <v/>
      </c>
      <c r="F8419" s="15" t="str">
        <f aca="false">IF(B8419&lt;5,"Go","Standard")</f>
        <v>Standard</v>
      </c>
    </row>
    <row r="8420" customFormat="false" ht="15" hidden="false" customHeight="true" outlineLevel="0" collapsed="false">
      <c r="A8420" s="10" t="n">
        <f aca="false">Einstellungen!$B$5+INT((ROW()-9)/24)</f>
        <v>46316</v>
      </c>
      <c r="B8420" s="11" t="n">
        <f aca="false">MOD(ROW()-9,24)</f>
        <v>11</v>
      </c>
      <c r="C8420" s="12"/>
      <c r="D8420" s="13" t="n">
        <f aca="false">IF(B8420&lt;5,Einstellungen!$B$3,Einstellungen!$B$4)</f>
        <v>29.13</v>
      </c>
      <c r="E8420" s="14" t="str">
        <f aca="false">IF(C8420="","",C8420*D8420/100)</f>
        <v/>
      </c>
      <c r="F8420" s="15" t="str">
        <f aca="false">IF(B8420&lt;5,"Go","Standard")</f>
        <v>Standard</v>
      </c>
    </row>
    <row r="8421" customFormat="false" ht="15" hidden="false" customHeight="true" outlineLevel="0" collapsed="false">
      <c r="A8421" s="10" t="n">
        <f aca="false">Einstellungen!$B$5+INT((ROW()-9)/24)</f>
        <v>46316</v>
      </c>
      <c r="B8421" s="11" t="n">
        <f aca="false">MOD(ROW()-9,24)</f>
        <v>12</v>
      </c>
      <c r="C8421" s="12"/>
      <c r="D8421" s="13" t="n">
        <f aca="false">IF(B8421&lt;5,Einstellungen!$B$3,Einstellungen!$B$4)</f>
        <v>29.13</v>
      </c>
      <c r="E8421" s="14" t="str">
        <f aca="false">IF(C8421="","",C8421*D8421/100)</f>
        <v/>
      </c>
      <c r="F8421" s="15" t="str">
        <f aca="false">IF(B8421&lt;5,"Go","Standard")</f>
        <v>Standard</v>
      </c>
    </row>
    <row r="8422" customFormat="false" ht="15" hidden="false" customHeight="true" outlineLevel="0" collapsed="false">
      <c r="A8422" s="10" t="n">
        <f aca="false">Einstellungen!$B$5+INT((ROW()-9)/24)</f>
        <v>46316</v>
      </c>
      <c r="B8422" s="11" t="n">
        <f aca="false">MOD(ROW()-9,24)</f>
        <v>13</v>
      </c>
      <c r="C8422" s="12"/>
      <c r="D8422" s="13" t="n">
        <f aca="false">IF(B8422&lt;5,Einstellungen!$B$3,Einstellungen!$B$4)</f>
        <v>29.13</v>
      </c>
      <c r="E8422" s="14" t="str">
        <f aca="false">IF(C8422="","",C8422*D8422/100)</f>
        <v/>
      </c>
      <c r="F8422" s="15" t="str">
        <f aca="false">IF(B8422&lt;5,"Go","Standard")</f>
        <v>Standard</v>
      </c>
    </row>
    <row r="8423" customFormat="false" ht="15" hidden="false" customHeight="true" outlineLevel="0" collapsed="false">
      <c r="A8423" s="10" t="n">
        <f aca="false">Einstellungen!$B$5+INT((ROW()-9)/24)</f>
        <v>46316</v>
      </c>
      <c r="B8423" s="11" t="n">
        <f aca="false">MOD(ROW()-9,24)</f>
        <v>14</v>
      </c>
      <c r="C8423" s="12"/>
      <c r="D8423" s="13" t="n">
        <f aca="false">IF(B8423&lt;5,Einstellungen!$B$3,Einstellungen!$B$4)</f>
        <v>29.13</v>
      </c>
      <c r="E8423" s="14" t="str">
        <f aca="false">IF(C8423="","",C8423*D8423/100)</f>
        <v/>
      </c>
      <c r="F8423" s="15" t="str">
        <f aca="false">IF(B8423&lt;5,"Go","Standard")</f>
        <v>Standard</v>
      </c>
    </row>
    <row r="8424" customFormat="false" ht="15" hidden="false" customHeight="true" outlineLevel="0" collapsed="false">
      <c r="A8424" s="10" t="n">
        <f aca="false">Einstellungen!$B$5+INT((ROW()-9)/24)</f>
        <v>46316</v>
      </c>
      <c r="B8424" s="11" t="n">
        <f aca="false">MOD(ROW()-9,24)</f>
        <v>15</v>
      </c>
      <c r="C8424" s="12"/>
      <c r="D8424" s="13" t="n">
        <f aca="false">IF(B8424&lt;5,Einstellungen!$B$3,Einstellungen!$B$4)</f>
        <v>29.13</v>
      </c>
      <c r="E8424" s="14" t="str">
        <f aca="false">IF(C8424="","",C8424*D8424/100)</f>
        <v/>
      </c>
      <c r="F8424" s="15" t="str">
        <f aca="false">IF(B8424&lt;5,"Go","Standard")</f>
        <v>Standard</v>
      </c>
    </row>
    <row r="8425" customFormat="false" ht="15" hidden="false" customHeight="true" outlineLevel="0" collapsed="false">
      <c r="A8425" s="10" t="n">
        <f aca="false">Einstellungen!$B$5+INT((ROW()-9)/24)</f>
        <v>46316</v>
      </c>
      <c r="B8425" s="11" t="n">
        <f aca="false">MOD(ROW()-9,24)</f>
        <v>16</v>
      </c>
      <c r="C8425" s="12"/>
      <c r="D8425" s="13" t="n">
        <f aca="false">IF(B8425&lt;5,Einstellungen!$B$3,Einstellungen!$B$4)</f>
        <v>29.13</v>
      </c>
      <c r="E8425" s="14" t="str">
        <f aca="false">IF(C8425="","",C8425*D8425/100)</f>
        <v/>
      </c>
      <c r="F8425" s="15" t="str">
        <f aca="false">IF(B8425&lt;5,"Go","Standard")</f>
        <v>Standard</v>
      </c>
    </row>
    <row r="8426" customFormat="false" ht="15" hidden="false" customHeight="true" outlineLevel="0" collapsed="false">
      <c r="A8426" s="10" t="n">
        <f aca="false">Einstellungen!$B$5+INT((ROW()-9)/24)</f>
        <v>46316</v>
      </c>
      <c r="B8426" s="11" t="n">
        <f aca="false">MOD(ROW()-9,24)</f>
        <v>17</v>
      </c>
      <c r="C8426" s="12"/>
      <c r="D8426" s="13" t="n">
        <f aca="false">IF(B8426&lt;5,Einstellungen!$B$3,Einstellungen!$B$4)</f>
        <v>29.13</v>
      </c>
      <c r="E8426" s="14" t="str">
        <f aca="false">IF(C8426="","",C8426*D8426/100)</f>
        <v/>
      </c>
      <c r="F8426" s="15" t="str">
        <f aca="false">IF(B8426&lt;5,"Go","Standard")</f>
        <v>Standard</v>
      </c>
    </row>
    <row r="8427" customFormat="false" ht="15" hidden="false" customHeight="true" outlineLevel="0" collapsed="false">
      <c r="A8427" s="10" t="n">
        <f aca="false">Einstellungen!$B$5+INT((ROW()-9)/24)</f>
        <v>46316</v>
      </c>
      <c r="B8427" s="11" t="n">
        <f aca="false">MOD(ROW()-9,24)</f>
        <v>18</v>
      </c>
      <c r="C8427" s="12"/>
      <c r="D8427" s="13" t="n">
        <f aca="false">IF(B8427&lt;5,Einstellungen!$B$3,Einstellungen!$B$4)</f>
        <v>29.13</v>
      </c>
      <c r="E8427" s="14" t="str">
        <f aca="false">IF(C8427="","",C8427*D8427/100)</f>
        <v/>
      </c>
      <c r="F8427" s="15" t="str">
        <f aca="false">IF(B8427&lt;5,"Go","Standard")</f>
        <v>Standard</v>
      </c>
    </row>
    <row r="8428" customFormat="false" ht="15" hidden="false" customHeight="true" outlineLevel="0" collapsed="false">
      <c r="A8428" s="10" t="n">
        <f aca="false">Einstellungen!$B$5+INT((ROW()-9)/24)</f>
        <v>46316</v>
      </c>
      <c r="B8428" s="11" t="n">
        <f aca="false">MOD(ROW()-9,24)</f>
        <v>19</v>
      </c>
      <c r="C8428" s="12"/>
      <c r="D8428" s="13" t="n">
        <f aca="false">IF(B8428&lt;5,Einstellungen!$B$3,Einstellungen!$B$4)</f>
        <v>29.13</v>
      </c>
      <c r="E8428" s="14" t="str">
        <f aca="false">IF(C8428="","",C8428*D8428/100)</f>
        <v/>
      </c>
      <c r="F8428" s="15" t="str">
        <f aca="false">IF(B8428&lt;5,"Go","Standard")</f>
        <v>Standard</v>
      </c>
    </row>
    <row r="8429" customFormat="false" ht="15" hidden="false" customHeight="true" outlineLevel="0" collapsed="false">
      <c r="A8429" s="10" t="n">
        <f aca="false">Einstellungen!$B$5+INT((ROW()-9)/24)</f>
        <v>46316</v>
      </c>
      <c r="B8429" s="11" t="n">
        <f aca="false">MOD(ROW()-9,24)</f>
        <v>20</v>
      </c>
      <c r="C8429" s="12"/>
      <c r="D8429" s="13" t="n">
        <f aca="false">IF(B8429&lt;5,Einstellungen!$B$3,Einstellungen!$B$4)</f>
        <v>29.13</v>
      </c>
      <c r="E8429" s="14" t="str">
        <f aca="false">IF(C8429="","",C8429*D8429/100)</f>
        <v/>
      </c>
      <c r="F8429" s="15" t="str">
        <f aca="false">IF(B8429&lt;5,"Go","Standard")</f>
        <v>Standard</v>
      </c>
    </row>
    <row r="8430" customFormat="false" ht="15" hidden="false" customHeight="true" outlineLevel="0" collapsed="false">
      <c r="A8430" s="10" t="n">
        <f aca="false">Einstellungen!$B$5+INT((ROW()-9)/24)</f>
        <v>46316</v>
      </c>
      <c r="B8430" s="11" t="n">
        <f aca="false">MOD(ROW()-9,24)</f>
        <v>21</v>
      </c>
      <c r="C8430" s="12"/>
      <c r="D8430" s="13" t="n">
        <f aca="false">IF(B8430&lt;5,Einstellungen!$B$3,Einstellungen!$B$4)</f>
        <v>29.13</v>
      </c>
      <c r="E8430" s="14" t="str">
        <f aca="false">IF(C8430="","",C8430*D8430/100)</f>
        <v/>
      </c>
      <c r="F8430" s="15" t="str">
        <f aca="false">IF(B8430&lt;5,"Go","Standard")</f>
        <v>Standard</v>
      </c>
    </row>
    <row r="8431" customFormat="false" ht="15" hidden="false" customHeight="true" outlineLevel="0" collapsed="false">
      <c r="A8431" s="10" t="n">
        <f aca="false">Einstellungen!$B$5+INT((ROW()-9)/24)</f>
        <v>46316</v>
      </c>
      <c r="B8431" s="11" t="n">
        <f aca="false">MOD(ROW()-9,24)</f>
        <v>22</v>
      </c>
      <c r="C8431" s="12"/>
      <c r="D8431" s="13" t="n">
        <f aca="false">IF(B8431&lt;5,Einstellungen!$B$3,Einstellungen!$B$4)</f>
        <v>29.13</v>
      </c>
      <c r="E8431" s="14" t="str">
        <f aca="false">IF(C8431="","",C8431*D8431/100)</f>
        <v/>
      </c>
      <c r="F8431" s="15" t="str">
        <f aca="false">IF(B8431&lt;5,"Go","Standard")</f>
        <v>Standard</v>
      </c>
    </row>
    <row r="8432" customFormat="false" ht="15" hidden="false" customHeight="true" outlineLevel="0" collapsed="false">
      <c r="A8432" s="10" t="n">
        <f aca="false">Einstellungen!$B$5+INT((ROW()-9)/24)</f>
        <v>46316</v>
      </c>
      <c r="B8432" s="11" t="n">
        <f aca="false">MOD(ROW()-9,24)</f>
        <v>23</v>
      </c>
      <c r="C8432" s="12"/>
      <c r="D8432" s="13" t="n">
        <f aca="false">IF(B8432&lt;5,Einstellungen!$B$3,Einstellungen!$B$4)</f>
        <v>29.13</v>
      </c>
      <c r="E8432" s="14" t="str">
        <f aca="false">IF(C8432="","",C8432*D8432/100)</f>
        <v/>
      </c>
      <c r="F8432" s="15" t="str">
        <f aca="false">IF(B8432&lt;5,"Go","Standard")</f>
        <v>Standard</v>
      </c>
    </row>
    <row r="8433" customFormat="false" ht="15" hidden="false" customHeight="true" outlineLevel="0" collapsed="false">
      <c r="A8433" s="10" t="n">
        <f aca="false">Einstellungen!$B$5+INT((ROW()-9)/24)</f>
        <v>46317</v>
      </c>
      <c r="B8433" s="11" t="n">
        <f aca="false">MOD(ROW()-9,24)</f>
        <v>0</v>
      </c>
      <c r="C8433" s="12"/>
      <c r="D8433" s="13" t="n">
        <f aca="false">IF(B8433&lt;5,Einstellungen!$B$3,Einstellungen!$B$4)</f>
        <v>15.92</v>
      </c>
      <c r="E8433" s="14" t="str">
        <f aca="false">IF(C8433="","",C8433*D8433/100)</f>
        <v/>
      </c>
      <c r="F8433" s="15" t="str">
        <f aca="false">IF(B8433&lt;5,"Go","Standard")</f>
        <v>Go</v>
      </c>
    </row>
    <row r="8434" customFormat="false" ht="15" hidden="false" customHeight="true" outlineLevel="0" collapsed="false">
      <c r="A8434" s="10" t="n">
        <f aca="false">Einstellungen!$B$5+INT((ROW()-9)/24)</f>
        <v>46317</v>
      </c>
      <c r="B8434" s="11" t="n">
        <f aca="false">MOD(ROW()-9,24)</f>
        <v>1</v>
      </c>
      <c r="C8434" s="12"/>
      <c r="D8434" s="13" t="n">
        <f aca="false">IF(B8434&lt;5,Einstellungen!$B$3,Einstellungen!$B$4)</f>
        <v>15.92</v>
      </c>
      <c r="E8434" s="14" t="str">
        <f aca="false">IF(C8434="","",C8434*D8434/100)</f>
        <v/>
      </c>
      <c r="F8434" s="15" t="str">
        <f aca="false">IF(B8434&lt;5,"Go","Standard")</f>
        <v>Go</v>
      </c>
    </row>
    <row r="8435" customFormat="false" ht="15" hidden="false" customHeight="true" outlineLevel="0" collapsed="false">
      <c r="A8435" s="10" t="n">
        <f aca="false">Einstellungen!$B$5+INT((ROW()-9)/24)</f>
        <v>46317</v>
      </c>
      <c r="B8435" s="11" t="n">
        <f aca="false">MOD(ROW()-9,24)</f>
        <v>2</v>
      </c>
      <c r="C8435" s="12"/>
      <c r="D8435" s="13" t="n">
        <f aca="false">IF(B8435&lt;5,Einstellungen!$B$3,Einstellungen!$B$4)</f>
        <v>15.92</v>
      </c>
      <c r="E8435" s="14" t="str">
        <f aca="false">IF(C8435="","",C8435*D8435/100)</f>
        <v/>
      </c>
      <c r="F8435" s="15" t="str">
        <f aca="false">IF(B8435&lt;5,"Go","Standard")</f>
        <v>Go</v>
      </c>
    </row>
    <row r="8436" customFormat="false" ht="15" hidden="false" customHeight="true" outlineLevel="0" collapsed="false">
      <c r="A8436" s="10" t="n">
        <f aca="false">Einstellungen!$B$5+INT((ROW()-9)/24)</f>
        <v>46317</v>
      </c>
      <c r="B8436" s="11" t="n">
        <f aca="false">MOD(ROW()-9,24)</f>
        <v>3</v>
      </c>
      <c r="C8436" s="12"/>
      <c r="D8436" s="13" t="n">
        <f aca="false">IF(B8436&lt;5,Einstellungen!$B$3,Einstellungen!$B$4)</f>
        <v>15.92</v>
      </c>
      <c r="E8436" s="14" t="str">
        <f aca="false">IF(C8436="","",C8436*D8436/100)</f>
        <v/>
      </c>
      <c r="F8436" s="15" t="str">
        <f aca="false">IF(B8436&lt;5,"Go","Standard")</f>
        <v>Go</v>
      </c>
    </row>
    <row r="8437" customFormat="false" ht="15" hidden="false" customHeight="true" outlineLevel="0" collapsed="false">
      <c r="A8437" s="10" t="n">
        <f aca="false">Einstellungen!$B$5+INT((ROW()-9)/24)</f>
        <v>46317</v>
      </c>
      <c r="B8437" s="11" t="n">
        <f aca="false">MOD(ROW()-9,24)</f>
        <v>4</v>
      </c>
      <c r="C8437" s="12"/>
      <c r="D8437" s="13" t="n">
        <f aca="false">IF(B8437&lt;5,Einstellungen!$B$3,Einstellungen!$B$4)</f>
        <v>15.92</v>
      </c>
      <c r="E8437" s="14" t="str">
        <f aca="false">IF(C8437="","",C8437*D8437/100)</f>
        <v/>
      </c>
      <c r="F8437" s="15" t="str">
        <f aca="false">IF(B8437&lt;5,"Go","Standard")</f>
        <v>Go</v>
      </c>
    </row>
    <row r="8438" customFormat="false" ht="15" hidden="false" customHeight="true" outlineLevel="0" collapsed="false">
      <c r="A8438" s="10" t="n">
        <f aca="false">Einstellungen!$B$5+INT((ROW()-9)/24)</f>
        <v>46317</v>
      </c>
      <c r="B8438" s="11" t="n">
        <f aca="false">MOD(ROW()-9,24)</f>
        <v>5</v>
      </c>
      <c r="C8438" s="12"/>
      <c r="D8438" s="13" t="n">
        <f aca="false">IF(B8438&lt;5,Einstellungen!$B$3,Einstellungen!$B$4)</f>
        <v>29.13</v>
      </c>
      <c r="E8438" s="14" t="str">
        <f aca="false">IF(C8438="","",C8438*D8438/100)</f>
        <v/>
      </c>
      <c r="F8438" s="15" t="str">
        <f aca="false">IF(B8438&lt;5,"Go","Standard")</f>
        <v>Standard</v>
      </c>
    </row>
    <row r="8439" customFormat="false" ht="15" hidden="false" customHeight="true" outlineLevel="0" collapsed="false">
      <c r="A8439" s="10" t="n">
        <f aca="false">Einstellungen!$B$5+INT((ROW()-9)/24)</f>
        <v>46317</v>
      </c>
      <c r="B8439" s="11" t="n">
        <f aca="false">MOD(ROW()-9,24)</f>
        <v>6</v>
      </c>
      <c r="C8439" s="12"/>
      <c r="D8439" s="13" t="n">
        <f aca="false">IF(B8439&lt;5,Einstellungen!$B$3,Einstellungen!$B$4)</f>
        <v>29.13</v>
      </c>
      <c r="E8439" s="14" t="str">
        <f aca="false">IF(C8439="","",C8439*D8439/100)</f>
        <v/>
      </c>
      <c r="F8439" s="15" t="str">
        <f aca="false">IF(B8439&lt;5,"Go","Standard")</f>
        <v>Standard</v>
      </c>
    </row>
    <row r="8440" customFormat="false" ht="15" hidden="false" customHeight="true" outlineLevel="0" collapsed="false">
      <c r="A8440" s="10" t="n">
        <f aca="false">Einstellungen!$B$5+INT((ROW()-9)/24)</f>
        <v>46317</v>
      </c>
      <c r="B8440" s="11" t="n">
        <f aca="false">MOD(ROW()-9,24)</f>
        <v>7</v>
      </c>
      <c r="C8440" s="12"/>
      <c r="D8440" s="13" t="n">
        <f aca="false">IF(B8440&lt;5,Einstellungen!$B$3,Einstellungen!$B$4)</f>
        <v>29.13</v>
      </c>
      <c r="E8440" s="14" t="str">
        <f aca="false">IF(C8440="","",C8440*D8440/100)</f>
        <v/>
      </c>
      <c r="F8440" s="15" t="str">
        <f aca="false">IF(B8440&lt;5,"Go","Standard")</f>
        <v>Standard</v>
      </c>
    </row>
    <row r="8441" customFormat="false" ht="15" hidden="false" customHeight="true" outlineLevel="0" collapsed="false">
      <c r="A8441" s="10" t="n">
        <f aca="false">Einstellungen!$B$5+INT((ROW()-9)/24)</f>
        <v>46317</v>
      </c>
      <c r="B8441" s="11" t="n">
        <f aca="false">MOD(ROW()-9,24)</f>
        <v>8</v>
      </c>
      <c r="C8441" s="12"/>
      <c r="D8441" s="13" t="n">
        <f aca="false">IF(B8441&lt;5,Einstellungen!$B$3,Einstellungen!$B$4)</f>
        <v>29.13</v>
      </c>
      <c r="E8441" s="14" t="str">
        <f aca="false">IF(C8441="","",C8441*D8441/100)</f>
        <v/>
      </c>
      <c r="F8441" s="15" t="str">
        <f aca="false">IF(B8441&lt;5,"Go","Standard")</f>
        <v>Standard</v>
      </c>
    </row>
    <row r="8442" customFormat="false" ht="15" hidden="false" customHeight="true" outlineLevel="0" collapsed="false">
      <c r="A8442" s="10" t="n">
        <f aca="false">Einstellungen!$B$5+INT((ROW()-9)/24)</f>
        <v>46317</v>
      </c>
      <c r="B8442" s="11" t="n">
        <f aca="false">MOD(ROW()-9,24)</f>
        <v>9</v>
      </c>
      <c r="C8442" s="12"/>
      <c r="D8442" s="13" t="n">
        <f aca="false">IF(B8442&lt;5,Einstellungen!$B$3,Einstellungen!$B$4)</f>
        <v>29.13</v>
      </c>
      <c r="E8442" s="14" t="str">
        <f aca="false">IF(C8442="","",C8442*D8442/100)</f>
        <v/>
      </c>
      <c r="F8442" s="15" t="str">
        <f aca="false">IF(B8442&lt;5,"Go","Standard")</f>
        <v>Standard</v>
      </c>
    </row>
    <row r="8443" customFormat="false" ht="15" hidden="false" customHeight="true" outlineLevel="0" collapsed="false">
      <c r="A8443" s="10" t="n">
        <f aca="false">Einstellungen!$B$5+INT((ROW()-9)/24)</f>
        <v>46317</v>
      </c>
      <c r="B8443" s="11" t="n">
        <f aca="false">MOD(ROW()-9,24)</f>
        <v>10</v>
      </c>
      <c r="C8443" s="12"/>
      <c r="D8443" s="13" t="n">
        <f aca="false">IF(B8443&lt;5,Einstellungen!$B$3,Einstellungen!$B$4)</f>
        <v>29.13</v>
      </c>
      <c r="E8443" s="14" t="str">
        <f aca="false">IF(C8443="","",C8443*D8443/100)</f>
        <v/>
      </c>
      <c r="F8443" s="15" t="str">
        <f aca="false">IF(B8443&lt;5,"Go","Standard")</f>
        <v>Standard</v>
      </c>
    </row>
    <row r="8444" customFormat="false" ht="15" hidden="false" customHeight="true" outlineLevel="0" collapsed="false">
      <c r="A8444" s="10" t="n">
        <f aca="false">Einstellungen!$B$5+INT((ROW()-9)/24)</f>
        <v>46317</v>
      </c>
      <c r="B8444" s="11" t="n">
        <f aca="false">MOD(ROW()-9,24)</f>
        <v>11</v>
      </c>
      <c r="C8444" s="12"/>
      <c r="D8444" s="13" t="n">
        <f aca="false">IF(B8444&lt;5,Einstellungen!$B$3,Einstellungen!$B$4)</f>
        <v>29.13</v>
      </c>
      <c r="E8444" s="14" t="str">
        <f aca="false">IF(C8444="","",C8444*D8444/100)</f>
        <v/>
      </c>
      <c r="F8444" s="15" t="str">
        <f aca="false">IF(B8444&lt;5,"Go","Standard")</f>
        <v>Standard</v>
      </c>
    </row>
    <row r="8445" customFormat="false" ht="15" hidden="false" customHeight="true" outlineLevel="0" collapsed="false">
      <c r="A8445" s="10" t="n">
        <f aca="false">Einstellungen!$B$5+INT((ROW()-9)/24)</f>
        <v>46317</v>
      </c>
      <c r="B8445" s="11" t="n">
        <f aca="false">MOD(ROW()-9,24)</f>
        <v>12</v>
      </c>
      <c r="C8445" s="12"/>
      <c r="D8445" s="13" t="n">
        <f aca="false">IF(B8445&lt;5,Einstellungen!$B$3,Einstellungen!$B$4)</f>
        <v>29.13</v>
      </c>
      <c r="E8445" s="14" t="str">
        <f aca="false">IF(C8445="","",C8445*D8445/100)</f>
        <v/>
      </c>
      <c r="F8445" s="15" t="str">
        <f aca="false">IF(B8445&lt;5,"Go","Standard")</f>
        <v>Standard</v>
      </c>
    </row>
    <row r="8446" customFormat="false" ht="15" hidden="false" customHeight="true" outlineLevel="0" collapsed="false">
      <c r="A8446" s="10" t="n">
        <f aca="false">Einstellungen!$B$5+INT((ROW()-9)/24)</f>
        <v>46317</v>
      </c>
      <c r="B8446" s="11" t="n">
        <f aca="false">MOD(ROW()-9,24)</f>
        <v>13</v>
      </c>
      <c r="C8446" s="12"/>
      <c r="D8446" s="13" t="n">
        <f aca="false">IF(B8446&lt;5,Einstellungen!$B$3,Einstellungen!$B$4)</f>
        <v>29.13</v>
      </c>
      <c r="E8446" s="14" t="str">
        <f aca="false">IF(C8446="","",C8446*D8446/100)</f>
        <v/>
      </c>
      <c r="F8446" s="15" t="str">
        <f aca="false">IF(B8446&lt;5,"Go","Standard")</f>
        <v>Standard</v>
      </c>
    </row>
    <row r="8447" customFormat="false" ht="15" hidden="false" customHeight="true" outlineLevel="0" collapsed="false">
      <c r="A8447" s="10" t="n">
        <f aca="false">Einstellungen!$B$5+INT((ROW()-9)/24)</f>
        <v>46317</v>
      </c>
      <c r="B8447" s="11" t="n">
        <f aca="false">MOD(ROW()-9,24)</f>
        <v>14</v>
      </c>
      <c r="C8447" s="12"/>
      <c r="D8447" s="13" t="n">
        <f aca="false">IF(B8447&lt;5,Einstellungen!$B$3,Einstellungen!$B$4)</f>
        <v>29.13</v>
      </c>
      <c r="E8447" s="14" t="str">
        <f aca="false">IF(C8447="","",C8447*D8447/100)</f>
        <v/>
      </c>
      <c r="F8447" s="15" t="str">
        <f aca="false">IF(B8447&lt;5,"Go","Standard")</f>
        <v>Standard</v>
      </c>
    </row>
    <row r="8448" customFormat="false" ht="15" hidden="false" customHeight="true" outlineLevel="0" collapsed="false">
      <c r="A8448" s="10" t="n">
        <f aca="false">Einstellungen!$B$5+INT((ROW()-9)/24)</f>
        <v>46317</v>
      </c>
      <c r="B8448" s="11" t="n">
        <f aca="false">MOD(ROW()-9,24)</f>
        <v>15</v>
      </c>
      <c r="C8448" s="12"/>
      <c r="D8448" s="13" t="n">
        <f aca="false">IF(B8448&lt;5,Einstellungen!$B$3,Einstellungen!$B$4)</f>
        <v>29.13</v>
      </c>
      <c r="E8448" s="14" t="str">
        <f aca="false">IF(C8448="","",C8448*D8448/100)</f>
        <v/>
      </c>
      <c r="F8448" s="15" t="str">
        <f aca="false">IF(B8448&lt;5,"Go","Standard")</f>
        <v>Standard</v>
      </c>
    </row>
    <row r="8449" customFormat="false" ht="15" hidden="false" customHeight="true" outlineLevel="0" collapsed="false">
      <c r="A8449" s="10" t="n">
        <f aca="false">Einstellungen!$B$5+INT((ROW()-9)/24)</f>
        <v>46317</v>
      </c>
      <c r="B8449" s="11" t="n">
        <f aca="false">MOD(ROW()-9,24)</f>
        <v>16</v>
      </c>
      <c r="C8449" s="12"/>
      <c r="D8449" s="13" t="n">
        <f aca="false">IF(B8449&lt;5,Einstellungen!$B$3,Einstellungen!$B$4)</f>
        <v>29.13</v>
      </c>
      <c r="E8449" s="14" t="str">
        <f aca="false">IF(C8449="","",C8449*D8449/100)</f>
        <v/>
      </c>
      <c r="F8449" s="15" t="str">
        <f aca="false">IF(B8449&lt;5,"Go","Standard")</f>
        <v>Standard</v>
      </c>
    </row>
    <row r="8450" customFormat="false" ht="15" hidden="false" customHeight="true" outlineLevel="0" collapsed="false">
      <c r="A8450" s="10" t="n">
        <f aca="false">Einstellungen!$B$5+INT((ROW()-9)/24)</f>
        <v>46317</v>
      </c>
      <c r="B8450" s="11" t="n">
        <f aca="false">MOD(ROW()-9,24)</f>
        <v>17</v>
      </c>
      <c r="C8450" s="12"/>
      <c r="D8450" s="13" t="n">
        <f aca="false">IF(B8450&lt;5,Einstellungen!$B$3,Einstellungen!$B$4)</f>
        <v>29.13</v>
      </c>
      <c r="E8450" s="14" t="str">
        <f aca="false">IF(C8450="","",C8450*D8450/100)</f>
        <v/>
      </c>
      <c r="F8450" s="15" t="str">
        <f aca="false">IF(B8450&lt;5,"Go","Standard")</f>
        <v>Standard</v>
      </c>
    </row>
    <row r="8451" customFormat="false" ht="15" hidden="false" customHeight="true" outlineLevel="0" collapsed="false">
      <c r="A8451" s="10" t="n">
        <f aca="false">Einstellungen!$B$5+INT((ROW()-9)/24)</f>
        <v>46317</v>
      </c>
      <c r="B8451" s="11" t="n">
        <f aca="false">MOD(ROW()-9,24)</f>
        <v>18</v>
      </c>
      <c r="C8451" s="12"/>
      <c r="D8451" s="13" t="n">
        <f aca="false">IF(B8451&lt;5,Einstellungen!$B$3,Einstellungen!$B$4)</f>
        <v>29.13</v>
      </c>
      <c r="E8451" s="14" t="str">
        <f aca="false">IF(C8451="","",C8451*D8451/100)</f>
        <v/>
      </c>
      <c r="F8451" s="15" t="str">
        <f aca="false">IF(B8451&lt;5,"Go","Standard")</f>
        <v>Standard</v>
      </c>
    </row>
    <row r="8452" customFormat="false" ht="15" hidden="false" customHeight="true" outlineLevel="0" collapsed="false">
      <c r="A8452" s="10" t="n">
        <f aca="false">Einstellungen!$B$5+INT((ROW()-9)/24)</f>
        <v>46317</v>
      </c>
      <c r="B8452" s="11" t="n">
        <f aca="false">MOD(ROW()-9,24)</f>
        <v>19</v>
      </c>
      <c r="C8452" s="12"/>
      <c r="D8452" s="13" t="n">
        <f aca="false">IF(B8452&lt;5,Einstellungen!$B$3,Einstellungen!$B$4)</f>
        <v>29.13</v>
      </c>
      <c r="E8452" s="14" t="str">
        <f aca="false">IF(C8452="","",C8452*D8452/100)</f>
        <v/>
      </c>
      <c r="F8452" s="15" t="str">
        <f aca="false">IF(B8452&lt;5,"Go","Standard")</f>
        <v>Standard</v>
      </c>
    </row>
    <row r="8453" customFormat="false" ht="15" hidden="false" customHeight="true" outlineLevel="0" collapsed="false">
      <c r="A8453" s="10" t="n">
        <f aca="false">Einstellungen!$B$5+INT((ROW()-9)/24)</f>
        <v>46317</v>
      </c>
      <c r="B8453" s="11" t="n">
        <f aca="false">MOD(ROW()-9,24)</f>
        <v>20</v>
      </c>
      <c r="C8453" s="12"/>
      <c r="D8453" s="13" t="n">
        <f aca="false">IF(B8453&lt;5,Einstellungen!$B$3,Einstellungen!$B$4)</f>
        <v>29.13</v>
      </c>
      <c r="E8453" s="14" t="str">
        <f aca="false">IF(C8453="","",C8453*D8453/100)</f>
        <v/>
      </c>
      <c r="F8453" s="15" t="str">
        <f aca="false">IF(B8453&lt;5,"Go","Standard")</f>
        <v>Standard</v>
      </c>
    </row>
    <row r="8454" customFormat="false" ht="15" hidden="false" customHeight="true" outlineLevel="0" collapsed="false">
      <c r="A8454" s="10" t="n">
        <f aca="false">Einstellungen!$B$5+INT((ROW()-9)/24)</f>
        <v>46317</v>
      </c>
      <c r="B8454" s="11" t="n">
        <f aca="false">MOD(ROW()-9,24)</f>
        <v>21</v>
      </c>
      <c r="C8454" s="12"/>
      <c r="D8454" s="13" t="n">
        <f aca="false">IF(B8454&lt;5,Einstellungen!$B$3,Einstellungen!$B$4)</f>
        <v>29.13</v>
      </c>
      <c r="E8454" s="14" t="str">
        <f aca="false">IF(C8454="","",C8454*D8454/100)</f>
        <v/>
      </c>
      <c r="F8454" s="15" t="str">
        <f aca="false">IF(B8454&lt;5,"Go","Standard")</f>
        <v>Standard</v>
      </c>
    </row>
    <row r="8455" customFormat="false" ht="15" hidden="false" customHeight="true" outlineLevel="0" collapsed="false">
      <c r="A8455" s="10" t="n">
        <f aca="false">Einstellungen!$B$5+INT((ROW()-9)/24)</f>
        <v>46317</v>
      </c>
      <c r="B8455" s="11" t="n">
        <f aca="false">MOD(ROW()-9,24)</f>
        <v>22</v>
      </c>
      <c r="C8455" s="12"/>
      <c r="D8455" s="13" t="n">
        <f aca="false">IF(B8455&lt;5,Einstellungen!$B$3,Einstellungen!$B$4)</f>
        <v>29.13</v>
      </c>
      <c r="E8455" s="14" t="str">
        <f aca="false">IF(C8455="","",C8455*D8455/100)</f>
        <v/>
      </c>
      <c r="F8455" s="15" t="str">
        <f aca="false">IF(B8455&lt;5,"Go","Standard")</f>
        <v>Standard</v>
      </c>
    </row>
    <row r="8456" customFormat="false" ht="15" hidden="false" customHeight="true" outlineLevel="0" collapsed="false">
      <c r="A8456" s="10" t="n">
        <f aca="false">Einstellungen!$B$5+INT((ROW()-9)/24)</f>
        <v>46317</v>
      </c>
      <c r="B8456" s="11" t="n">
        <f aca="false">MOD(ROW()-9,24)</f>
        <v>23</v>
      </c>
      <c r="C8456" s="12"/>
      <c r="D8456" s="13" t="n">
        <f aca="false">IF(B8456&lt;5,Einstellungen!$B$3,Einstellungen!$B$4)</f>
        <v>29.13</v>
      </c>
      <c r="E8456" s="14" t="str">
        <f aca="false">IF(C8456="","",C8456*D8456/100)</f>
        <v/>
      </c>
      <c r="F8456" s="15" t="str">
        <f aca="false">IF(B8456&lt;5,"Go","Standard")</f>
        <v>Standard</v>
      </c>
    </row>
    <row r="8457" customFormat="false" ht="15" hidden="false" customHeight="true" outlineLevel="0" collapsed="false">
      <c r="A8457" s="10" t="n">
        <f aca="false">Einstellungen!$B$5+INT((ROW()-9)/24)</f>
        <v>46318</v>
      </c>
      <c r="B8457" s="11" t="n">
        <f aca="false">MOD(ROW()-9,24)</f>
        <v>0</v>
      </c>
      <c r="C8457" s="12"/>
      <c r="D8457" s="13" t="n">
        <f aca="false">IF(B8457&lt;5,Einstellungen!$B$3,Einstellungen!$B$4)</f>
        <v>15.92</v>
      </c>
      <c r="E8457" s="14" t="str">
        <f aca="false">IF(C8457="","",C8457*D8457/100)</f>
        <v/>
      </c>
      <c r="F8457" s="15" t="str">
        <f aca="false">IF(B8457&lt;5,"Go","Standard")</f>
        <v>Go</v>
      </c>
    </row>
    <row r="8458" customFormat="false" ht="15" hidden="false" customHeight="true" outlineLevel="0" collapsed="false">
      <c r="A8458" s="10" t="n">
        <f aca="false">Einstellungen!$B$5+INT((ROW()-9)/24)</f>
        <v>46318</v>
      </c>
      <c r="B8458" s="11" t="n">
        <f aca="false">MOD(ROW()-9,24)</f>
        <v>1</v>
      </c>
      <c r="C8458" s="12"/>
      <c r="D8458" s="13" t="n">
        <f aca="false">IF(B8458&lt;5,Einstellungen!$B$3,Einstellungen!$B$4)</f>
        <v>15.92</v>
      </c>
      <c r="E8458" s="14" t="str">
        <f aca="false">IF(C8458="","",C8458*D8458/100)</f>
        <v/>
      </c>
      <c r="F8458" s="15" t="str">
        <f aca="false">IF(B8458&lt;5,"Go","Standard")</f>
        <v>Go</v>
      </c>
    </row>
    <row r="8459" customFormat="false" ht="15" hidden="false" customHeight="true" outlineLevel="0" collapsed="false">
      <c r="A8459" s="10" t="n">
        <f aca="false">Einstellungen!$B$5+INT((ROW()-9)/24)</f>
        <v>46318</v>
      </c>
      <c r="B8459" s="11" t="n">
        <f aca="false">MOD(ROW()-9,24)</f>
        <v>2</v>
      </c>
      <c r="C8459" s="12"/>
      <c r="D8459" s="13" t="n">
        <f aca="false">IF(B8459&lt;5,Einstellungen!$B$3,Einstellungen!$B$4)</f>
        <v>15.92</v>
      </c>
      <c r="E8459" s="14" t="str">
        <f aca="false">IF(C8459="","",C8459*D8459/100)</f>
        <v/>
      </c>
      <c r="F8459" s="15" t="str">
        <f aca="false">IF(B8459&lt;5,"Go","Standard")</f>
        <v>Go</v>
      </c>
    </row>
    <row r="8460" customFormat="false" ht="15" hidden="false" customHeight="true" outlineLevel="0" collapsed="false">
      <c r="A8460" s="10" t="n">
        <f aca="false">Einstellungen!$B$5+INT((ROW()-9)/24)</f>
        <v>46318</v>
      </c>
      <c r="B8460" s="11" t="n">
        <f aca="false">MOD(ROW()-9,24)</f>
        <v>3</v>
      </c>
      <c r="C8460" s="12"/>
      <c r="D8460" s="13" t="n">
        <f aca="false">IF(B8460&lt;5,Einstellungen!$B$3,Einstellungen!$B$4)</f>
        <v>15.92</v>
      </c>
      <c r="E8460" s="14" t="str">
        <f aca="false">IF(C8460="","",C8460*D8460/100)</f>
        <v/>
      </c>
      <c r="F8460" s="15" t="str">
        <f aca="false">IF(B8460&lt;5,"Go","Standard")</f>
        <v>Go</v>
      </c>
    </row>
    <row r="8461" customFormat="false" ht="15" hidden="false" customHeight="true" outlineLevel="0" collapsed="false">
      <c r="A8461" s="10" t="n">
        <f aca="false">Einstellungen!$B$5+INT((ROW()-9)/24)</f>
        <v>46318</v>
      </c>
      <c r="B8461" s="11" t="n">
        <f aca="false">MOD(ROW()-9,24)</f>
        <v>4</v>
      </c>
      <c r="C8461" s="12"/>
      <c r="D8461" s="13" t="n">
        <f aca="false">IF(B8461&lt;5,Einstellungen!$B$3,Einstellungen!$B$4)</f>
        <v>15.92</v>
      </c>
      <c r="E8461" s="14" t="str">
        <f aca="false">IF(C8461="","",C8461*D8461/100)</f>
        <v/>
      </c>
      <c r="F8461" s="15" t="str">
        <f aca="false">IF(B8461&lt;5,"Go","Standard")</f>
        <v>Go</v>
      </c>
    </row>
    <row r="8462" customFormat="false" ht="15" hidden="false" customHeight="true" outlineLevel="0" collapsed="false">
      <c r="A8462" s="10" t="n">
        <f aca="false">Einstellungen!$B$5+INT((ROW()-9)/24)</f>
        <v>46318</v>
      </c>
      <c r="B8462" s="11" t="n">
        <f aca="false">MOD(ROW()-9,24)</f>
        <v>5</v>
      </c>
      <c r="C8462" s="12"/>
      <c r="D8462" s="13" t="n">
        <f aca="false">IF(B8462&lt;5,Einstellungen!$B$3,Einstellungen!$B$4)</f>
        <v>29.13</v>
      </c>
      <c r="E8462" s="14" t="str">
        <f aca="false">IF(C8462="","",C8462*D8462/100)</f>
        <v/>
      </c>
      <c r="F8462" s="15" t="str">
        <f aca="false">IF(B8462&lt;5,"Go","Standard")</f>
        <v>Standard</v>
      </c>
    </row>
    <row r="8463" customFormat="false" ht="15" hidden="false" customHeight="true" outlineLevel="0" collapsed="false">
      <c r="A8463" s="10" t="n">
        <f aca="false">Einstellungen!$B$5+INT((ROW()-9)/24)</f>
        <v>46318</v>
      </c>
      <c r="B8463" s="11" t="n">
        <f aca="false">MOD(ROW()-9,24)</f>
        <v>6</v>
      </c>
      <c r="C8463" s="12"/>
      <c r="D8463" s="13" t="n">
        <f aca="false">IF(B8463&lt;5,Einstellungen!$B$3,Einstellungen!$B$4)</f>
        <v>29.13</v>
      </c>
      <c r="E8463" s="14" t="str">
        <f aca="false">IF(C8463="","",C8463*D8463/100)</f>
        <v/>
      </c>
      <c r="F8463" s="15" t="str">
        <f aca="false">IF(B8463&lt;5,"Go","Standard")</f>
        <v>Standard</v>
      </c>
    </row>
    <row r="8464" customFormat="false" ht="15" hidden="false" customHeight="true" outlineLevel="0" collapsed="false">
      <c r="A8464" s="10" t="n">
        <f aca="false">Einstellungen!$B$5+INT((ROW()-9)/24)</f>
        <v>46318</v>
      </c>
      <c r="B8464" s="11" t="n">
        <f aca="false">MOD(ROW()-9,24)</f>
        <v>7</v>
      </c>
      <c r="C8464" s="12"/>
      <c r="D8464" s="13" t="n">
        <f aca="false">IF(B8464&lt;5,Einstellungen!$B$3,Einstellungen!$B$4)</f>
        <v>29.13</v>
      </c>
      <c r="E8464" s="14" t="str">
        <f aca="false">IF(C8464="","",C8464*D8464/100)</f>
        <v/>
      </c>
      <c r="F8464" s="15" t="str">
        <f aca="false">IF(B8464&lt;5,"Go","Standard")</f>
        <v>Standard</v>
      </c>
    </row>
    <row r="8465" customFormat="false" ht="15" hidden="false" customHeight="true" outlineLevel="0" collapsed="false">
      <c r="A8465" s="10" t="n">
        <f aca="false">Einstellungen!$B$5+INT((ROW()-9)/24)</f>
        <v>46318</v>
      </c>
      <c r="B8465" s="11" t="n">
        <f aca="false">MOD(ROW()-9,24)</f>
        <v>8</v>
      </c>
      <c r="C8465" s="12"/>
      <c r="D8465" s="13" t="n">
        <f aca="false">IF(B8465&lt;5,Einstellungen!$B$3,Einstellungen!$B$4)</f>
        <v>29.13</v>
      </c>
      <c r="E8465" s="14" t="str">
        <f aca="false">IF(C8465="","",C8465*D8465/100)</f>
        <v/>
      </c>
      <c r="F8465" s="15" t="str">
        <f aca="false">IF(B8465&lt;5,"Go","Standard")</f>
        <v>Standard</v>
      </c>
    </row>
    <row r="8466" customFormat="false" ht="15" hidden="false" customHeight="true" outlineLevel="0" collapsed="false">
      <c r="A8466" s="10" t="n">
        <f aca="false">Einstellungen!$B$5+INT((ROW()-9)/24)</f>
        <v>46318</v>
      </c>
      <c r="B8466" s="11" t="n">
        <f aca="false">MOD(ROW()-9,24)</f>
        <v>9</v>
      </c>
      <c r="C8466" s="12"/>
      <c r="D8466" s="13" t="n">
        <f aca="false">IF(B8466&lt;5,Einstellungen!$B$3,Einstellungen!$B$4)</f>
        <v>29.13</v>
      </c>
      <c r="E8466" s="14" t="str">
        <f aca="false">IF(C8466="","",C8466*D8466/100)</f>
        <v/>
      </c>
      <c r="F8466" s="15" t="str">
        <f aca="false">IF(B8466&lt;5,"Go","Standard")</f>
        <v>Standard</v>
      </c>
    </row>
    <row r="8467" customFormat="false" ht="15" hidden="false" customHeight="true" outlineLevel="0" collapsed="false">
      <c r="A8467" s="10" t="n">
        <f aca="false">Einstellungen!$B$5+INT((ROW()-9)/24)</f>
        <v>46318</v>
      </c>
      <c r="B8467" s="11" t="n">
        <f aca="false">MOD(ROW()-9,24)</f>
        <v>10</v>
      </c>
      <c r="C8467" s="12"/>
      <c r="D8467" s="13" t="n">
        <f aca="false">IF(B8467&lt;5,Einstellungen!$B$3,Einstellungen!$B$4)</f>
        <v>29.13</v>
      </c>
      <c r="E8467" s="14" t="str">
        <f aca="false">IF(C8467="","",C8467*D8467/100)</f>
        <v/>
      </c>
      <c r="F8467" s="15" t="str">
        <f aca="false">IF(B8467&lt;5,"Go","Standard")</f>
        <v>Standard</v>
      </c>
    </row>
    <row r="8468" customFormat="false" ht="15" hidden="false" customHeight="true" outlineLevel="0" collapsed="false">
      <c r="A8468" s="10" t="n">
        <f aca="false">Einstellungen!$B$5+INT((ROW()-9)/24)</f>
        <v>46318</v>
      </c>
      <c r="B8468" s="11" t="n">
        <f aca="false">MOD(ROW()-9,24)</f>
        <v>11</v>
      </c>
      <c r="C8468" s="12"/>
      <c r="D8468" s="13" t="n">
        <f aca="false">IF(B8468&lt;5,Einstellungen!$B$3,Einstellungen!$B$4)</f>
        <v>29.13</v>
      </c>
      <c r="E8468" s="14" t="str">
        <f aca="false">IF(C8468="","",C8468*D8468/100)</f>
        <v/>
      </c>
      <c r="F8468" s="15" t="str">
        <f aca="false">IF(B8468&lt;5,"Go","Standard")</f>
        <v>Standard</v>
      </c>
    </row>
    <row r="8469" customFormat="false" ht="15" hidden="false" customHeight="true" outlineLevel="0" collapsed="false">
      <c r="A8469" s="10" t="n">
        <f aca="false">Einstellungen!$B$5+INT((ROW()-9)/24)</f>
        <v>46318</v>
      </c>
      <c r="B8469" s="11" t="n">
        <f aca="false">MOD(ROW()-9,24)</f>
        <v>12</v>
      </c>
      <c r="C8469" s="12"/>
      <c r="D8469" s="13" t="n">
        <f aca="false">IF(B8469&lt;5,Einstellungen!$B$3,Einstellungen!$B$4)</f>
        <v>29.13</v>
      </c>
      <c r="E8469" s="14" t="str">
        <f aca="false">IF(C8469="","",C8469*D8469/100)</f>
        <v/>
      </c>
      <c r="F8469" s="15" t="str">
        <f aca="false">IF(B8469&lt;5,"Go","Standard")</f>
        <v>Standard</v>
      </c>
    </row>
    <row r="8470" customFormat="false" ht="15" hidden="false" customHeight="true" outlineLevel="0" collapsed="false">
      <c r="A8470" s="10" t="n">
        <f aca="false">Einstellungen!$B$5+INT((ROW()-9)/24)</f>
        <v>46318</v>
      </c>
      <c r="B8470" s="11" t="n">
        <f aca="false">MOD(ROW()-9,24)</f>
        <v>13</v>
      </c>
      <c r="C8470" s="12"/>
      <c r="D8470" s="13" t="n">
        <f aca="false">IF(B8470&lt;5,Einstellungen!$B$3,Einstellungen!$B$4)</f>
        <v>29.13</v>
      </c>
      <c r="E8470" s="14" t="str">
        <f aca="false">IF(C8470="","",C8470*D8470/100)</f>
        <v/>
      </c>
      <c r="F8470" s="15" t="str">
        <f aca="false">IF(B8470&lt;5,"Go","Standard")</f>
        <v>Standard</v>
      </c>
    </row>
    <row r="8471" customFormat="false" ht="15" hidden="false" customHeight="true" outlineLevel="0" collapsed="false">
      <c r="A8471" s="10" t="n">
        <f aca="false">Einstellungen!$B$5+INT((ROW()-9)/24)</f>
        <v>46318</v>
      </c>
      <c r="B8471" s="11" t="n">
        <f aca="false">MOD(ROW()-9,24)</f>
        <v>14</v>
      </c>
      <c r="C8471" s="12"/>
      <c r="D8471" s="13" t="n">
        <f aca="false">IF(B8471&lt;5,Einstellungen!$B$3,Einstellungen!$B$4)</f>
        <v>29.13</v>
      </c>
      <c r="E8471" s="14" t="str">
        <f aca="false">IF(C8471="","",C8471*D8471/100)</f>
        <v/>
      </c>
      <c r="F8471" s="15" t="str">
        <f aca="false">IF(B8471&lt;5,"Go","Standard")</f>
        <v>Standard</v>
      </c>
    </row>
    <row r="8472" customFormat="false" ht="15" hidden="false" customHeight="true" outlineLevel="0" collapsed="false">
      <c r="A8472" s="10" t="n">
        <f aca="false">Einstellungen!$B$5+INT((ROW()-9)/24)</f>
        <v>46318</v>
      </c>
      <c r="B8472" s="11" t="n">
        <f aca="false">MOD(ROW()-9,24)</f>
        <v>15</v>
      </c>
      <c r="C8472" s="12"/>
      <c r="D8472" s="13" t="n">
        <f aca="false">IF(B8472&lt;5,Einstellungen!$B$3,Einstellungen!$B$4)</f>
        <v>29.13</v>
      </c>
      <c r="E8472" s="14" t="str">
        <f aca="false">IF(C8472="","",C8472*D8472/100)</f>
        <v/>
      </c>
      <c r="F8472" s="15" t="str">
        <f aca="false">IF(B8472&lt;5,"Go","Standard")</f>
        <v>Standard</v>
      </c>
    </row>
    <row r="8473" customFormat="false" ht="15" hidden="false" customHeight="true" outlineLevel="0" collapsed="false">
      <c r="A8473" s="10" t="n">
        <f aca="false">Einstellungen!$B$5+INT((ROW()-9)/24)</f>
        <v>46318</v>
      </c>
      <c r="B8473" s="11" t="n">
        <f aca="false">MOD(ROW()-9,24)</f>
        <v>16</v>
      </c>
      <c r="C8473" s="12"/>
      <c r="D8473" s="13" t="n">
        <f aca="false">IF(B8473&lt;5,Einstellungen!$B$3,Einstellungen!$B$4)</f>
        <v>29.13</v>
      </c>
      <c r="E8473" s="14" t="str">
        <f aca="false">IF(C8473="","",C8473*D8473/100)</f>
        <v/>
      </c>
      <c r="F8473" s="15" t="str">
        <f aca="false">IF(B8473&lt;5,"Go","Standard")</f>
        <v>Standard</v>
      </c>
    </row>
    <row r="8474" customFormat="false" ht="15" hidden="false" customHeight="true" outlineLevel="0" collapsed="false">
      <c r="A8474" s="10" t="n">
        <f aca="false">Einstellungen!$B$5+INT((ROW()-9)/24)</f>
        <v>46318</v>
      </c>
      <c r="B8474" s="11" t="n">
        <f aca="false">MOD(ROW()-9,24)</f>
        <v>17</v>
      </c>
      <c r="C8474" s="12"/>
      <c r="D8474" s="13" t="n">
        <f aca="false">IF(B8474&lt;5,Einstellungen!$B$3,Einstellungen!$B$4)</f>
        <v>29.13</v>
      </c>
      <c r="E8474" s="14" t="str">
        <f aca="false">IF(C8474="","",C8474*D8474/100)</f>
        <v/>
      </c>
      <c r="F8474" s="15" t="str">
        <f aca="false">IF(B8474&lt;5,"Go","Standard")</f>
        <v>Standard</v>
      </c>
    </row>
    <row r="8475" customFormat="false" ht="15" hidden="false" customHeight="true" outlineLevel="0" collapsed="false">
      <c r="A8475" s="10" t="n">
        <f aca="false">Einstellungen!$B$5+INT((ROW()-9)/24)</f>
        <v>46318</v>
      </c>
      <c r="B8475" s="11" t="n">
        <f aca="false">MOD(ROW()-9,24)</f>
        <v>18</v>
      </c>
      <c r="C8475" s="12"/>
      <c r="D8475" s="13" t="n">
        <f aca="false">IF(B8475&lt;5,Einstellungen!$B$3,Einstellungen!$B$4)</f>
        <v>29.13</v>
      </c>
      <c r="E8475" s="14" t="str">
        <f aca="false">IF(C8475="","",C8475*D8475/100)</f>
        <v/>
      </c>
      <c r="F8475" s="15" t="str">
        <f aca="false">IF(B8475&lt;5,"Go","Standard")</f>
        <v>Standard</v>
      </c>
    </row>
    <row r="8476" customFormat="false" ht="15" hidden="false" customHeight="true" outlineLevel="0" collapsed="false">
      <c r="A8476" s="10" t="n">
        <f aca="false">Einstellungen!$B$5+INT((ROW()-9)/24)</f>
        <v>46318</v>
      </c>
      <c r="B8476" s="11" t="n">
        <f aca="false">MOD(ROW()-9,24)</f>
        <v>19</v>
      </c>
      <c r="C8476" s="12"/>
      <c r="D8476" s="13" t="n">
        <f aca="false">IF(B8476&lt;5,Einstellungen!$B$3,Einstellungen!$B$4)</f>
        <v>29.13</v>
      </c>
      <c r="E8476" s="14" t="str">
        <f aca="false">IF(C8476="","",C8476*D8476/100)</f>
        <v/>
      </c>
      <c r="F8476" s="15" t="str">
        <f aca="false">IF(B8476&lt;5,"Go","Standard")</f>
        <v>Standard</v>
      </c>
    </row>
    <row r="8477" customFormat="false" ht="15" hidden="false" customHeight="true" outlineLevel="0" collapsed="false">
      <c r="A8477" s="10" t="n">
        <f aca="false">Einstellungen!$B$5+INT((ROW()-9)/24)</f>
        <v>46318</v>
      </c>
      <c r="B8477" s="11" t="n">
        <f aca="false">MOD(ROW()-9,24)</f>
        <v>20</v>
      </c>
      <c r="C8477" s="12"/>
      <c r="D8477" s="13" t="n">
        <f aca="false">IF(B8477&lt;5,Einstellungen!$B$3,Einstellungen!$B$4)</f>
        <v>29.13</v>
      </c>
      <c r="E8477" s="14" t="str">
        <f aca="false">IF(C8477="","",C8477*D8477/100)</f>
        <v/>
      </c>
      <c r="F8477" s="15" t="str">
        <f aca="false">IF(B8477&lt;5,"Go","Standard")</f>
        <v>Standard</v>
      </c>
    </row>
    <row r="8478" customFormat="false" ht="15" hidden="false" customHeight="true" outlineLevel="0" collapsed="false">
      <c r="A8478" s="10" t="n">
        <f aca="false">Einstellungen!$B$5+INT((ROW()-9)/24)</f>
        <v>46318</v>
      </c>
      <c r="B8478" s="11" t="n">
        <f aca="false">MOD(ROW()-9,24)</f>
        <v>21</v>
      </c>
      <c r="C8478" s="12"/>
      <c r="D8478" s="13" t="n">
        <f aca="false">IF(B8478&lt;5,Einstellungen!$B$3,Einstellungen!$B$4)</f>
        <v>29.13</v>
      </c>
      <c r="E8478" s="14" t="str">
        <f aca="false">IF(C8478="","",C8478*D8478/100)</f>
        <v/>
      </c>
      <c r="F8478" s="15" t="str">
        <f aca="false">IF(B8478&lt;5,"Go","Standard")</f>
        <v>Standard</v>
      </c>
    </row>
    <row r="8479" customFormat="false" ht="15" hidden="false" customHeight="true" outlineLevel="0" collapsed="false">
      <c r="A8479" s="10" t="n">
        <f aca="false">Einstellungen!$B$5+INT((ROW()-9)/24)</f>
        <v>46318</v>
      </c>
      <c r="B8479" s="11" t="n">
        <f aca="false">MOD(ROW()-9,24)</f>
        <v>22</v>
      </c>
      <c r="C8479" s="12"/>
      <c r="D8479" s="13" t="n">
        <f aca="false">IF(B8479&lt;5,Einstellungen!$B$3,Einstellungen!$B$4)</f>
        <v>29.13</v>
      </c>
      <c r="E8479" s="14" t="str">
        <f aca="false">IF(C8479="","",C8479*D8479/100)</f>
        <v/>
      </c>
      <c r="F8479" s="15" t="str">
        <f aca="false">IF(B8479&lt;5,"Go","Standard")</f>
        <v>Standard</v>
      </c>
    </row>
    <row r="8480" customFormat="false" ht="15" hidden="false" customHeight="true" outlineLevel="0" collapsed="false">
      <c r="A8480" s="10" t="n">
        <f aca="false">Einstellungen!$B$5+INT((ROW()-9)/24)</f>
        <v>46318</v>
      </c>
      <c r="B8480" s="11" t="n">
        <f aca="false">MOD(ROW()-9,24)</f>
        <v>23</v>
      </c>
      <c r="C8480" s="12"/>
      <c r="D8480" s="13" t="n">
        <f aca="false">IF(B8480&lt;5,Einstellungen!$B$3,Einstellungen!$B$4)</f>
        <v>29.13</v>
      </c>
      <c r="E8480" s="14" t="str">
        <f aca="false">IF(C8480="","",C8480*D8480/100)</f>
        <v/>
      </c>
      <c r="F8480" s="15" t="str">
        <f aca="false">IF(B8480&lt;5,"Go","Standard")</f>
        <v>Standard</v>
      </c>
    </row>
    <row r="8481" customFormat="false" ht="15" hidden="false" customHeight="true" outlineLevel="0" collapsed="false">
      <c r="A8481" s="10" t="n">
        <f aca="false">Einstellungen!$B$5+INT((ROW()-9)/24)</f>
        <v>46319</v>
      </c>
      <c r="B8481" s="11" t="n">
        <f aca="false">MOD(ROW()-9,24)</f>
        <v>0</v>
      </c>
      <c r="C8481" s="12"/>
      <c r="D8481" s="13" t="n">
        <f aca="false">IF(B8481&lt;5,Einstellungen!$B$3,Einstellungen!$B$4)</f>
        <v>15.92</v>
      </c>
      <c r="E8481" s="14" t="str">
        <f aca="false">IF(C8481="","",C8481*D8481/100)</f>
        <v/>
      </c>
      <c r="F8481" s="15" t="str">
        <f aca="false">IF(B8481&lt;5,"Go","Standard")</f>
        <v>Go</v>
      </c>
    </row>
    <row r="8482" customFormat="false" ht="15" hidden="false" customHeight="true" outlineLevel="0" collapsed="false">
      <c r="A8482" s="10" t="n">
        <f aca="false">Einstellungen!$B$5+INT((ROW()-9)/24)</f>
        <v>46319</v>
      </c>
      <c r="B8482" s="11" t="n">
        <f aca="false">MOD(ROW()-9,24)</f>
        <v>1</v>
      </c>
      <c r="C8482" s="12"/>
      <c r="D8482" s="13" t="n">
        <f aca="false">IF(B8482&lt;5,Einstellungen!$B$3,Einstellungen!$B$4)</f>
        <v>15.92</v>
      </c>
      <c r="E8482" s="14" t="str">
        <f aca="false">IF(C8482="","",C8482*D8482/100)</f>
        <v/>
      </c>
      <c r="F8482" s="15" t="str">
        <f aca="false">IF(B8482&lt;5,"Go","Standard")</f>
        <v>Go</v>
      </c>
    </row>
    <row r="8483" customFormat="false" ht="15" hidden="false" customHeight="true" outlineLevel="0" collapsed="false">
      <c r="A8483" s="10" t="n">
        <f aca="false">Einstellungen!$B$5+INT((ROW()-9)/24)</f>
        <v>46319</v>
      </c>
      <c r="B8483" s="11" t="n">
        <f aca="false">MOD(ROW()-9,24)</f>
        <v>2</v>
      </c>
      <c r="C8483" s="12"/>
      <c r="D8483" s="13" t="n">
        <f aca="false">IF(B8483&lt;5,Einstellungen!$B$3,Einstellungen!$B$4)</f>
        <v>15.92</v>
      </c>
      <c r="E8483" s="14" t="str">
        <f aca="false">IF(C8483="","",C8483*D8483/100)</f>
        <v/>
      </c>
      <c r="F8483" s="15" t="str">
        <f aca="false">IF(B8483&lt;5,"Go","Standard")</f>
        <v>Go</v>
      </c>
    </row>
    <row r="8484" customFormat="false" ht="15" hidden="false" customHeight="true" outlineLevel="0" collapsed="false">
      <c r="A8484" s="10" t="n">
        <f aca="false">Einstellungen!$B$5+INT((ROW()-9)/24)</f>
        <v>46319</v>
      </c>
      <c r="B8484" s="11" t="n">
        <f aca="false">MOD(ROW()-9,24)</f>
        <v>3</v>
      </c>
      <c r="C8484" s="12"/>
      <c r="D8484" s="13" t="n">
        <f aca="false">IF(B8484&lt;5,Einstellungen!$B$3,Einstellungen!$B$4)</f>
        <v>15.92</v>
      </c>
      <c r="E8484" s="14" t="str">
        <f aca="false">IF(C8484="","",C8484*D8484/100)</f>
        <v/>
      </c>
      <c r="F8484" s="15" t="str">
        <f aca="false">IF(B8484&lt;5,"Go","Standard")</f>
        <v>Go</v>
      </c>
    </row>
    <row r="8485" customFormat="false" ht="15" hidden="false" customHeight="true" outlineLevel="0" collapsed="false">
      <c r="A8485" s="10" t="n">
        <f aca="false">Einstellungen!$B$5+INT((ROW()-9)/24)</f>
        <v>46319</v>
      </c>
      <c r="B8485" s="11" t="n">
        <f aca="false">MOD(ROW()-9,24)</f>
        <v>4</v>
      </c>
      <c r="C8485" s="12"/>
      <c r="D8485" s="13" t="n">
        <f aca="false">IF(B8485&lt;5,Einstellungen!$B$3,Einstellungen!$B$4)</f>
        <v>15.92</v>
      </c>
      <c r="E8485" s="14" t="str">
        <f aca="false">IF(C8485="","",C8485*D8485/100)</f>
        <v/>
      </c>
      <c r="F8485" s="15" t="str">
        <f aca="false">IF(B8485&lt;5,"Go","Standard")</f>
        <v>Go</v>
      </c>
    </row>
    <row r="8486" customFormat="false" ht="15" hidden="false" customHeight="true" outlineLevel="0" collapsed="false">
      <c r="A8486" s="10" t="n">
        <f aca="false">Einstellungen!$B$5+INT((ROW()-9)/24)</f>
        <v>46319</v>
      </c>
      <c r="B8486" s="11" t="n">
        <f aca="false">MOD(ROW()-9,24)</f>
        <v>5</v>
      </c>
      <c r="C8486" s="12"/>
      <c r="D8486" s="13" t="n">
        <f aca="false">IF(B8486&lt;5,Einstellungen!$B$3,Einstellungen!$B$4)</f>
        <v>29.13</v>
      </c>
      <c r="E8486" s="14" t="str">
        <f aca="false">IF(C8486="","",C8486*D8486/100)</f>
        <v/>
      </c>
      <c r="F8486" s="15" t="str">
        <f aca="false">IF(B8486&lt;5,"Go","Standard")</f>
        <v>Standard</v>
      </c>
    </row>
    <row r="8487" customFormat="false" ht="15" hidden="false" customHeight="true" outlineLevel="0" collapsed="false">
      <c r="A8487" s="10" t="n">
        <f aca="false">Einstellungen!$B$5+INT((ROW()-9)/24)</f>
        <v>46319</v>
      </c>
      <c r="B8487" s="11" t="n">
        <f aca="false">MOD(ROW()-9,24)</f>
        <v>6</v>
      </c>
      <c r="C8487" s="12"/>
      <c r="D8487" s="13" t="n">
        <f aca="false">IF(B8487&lt;5,Einstellungen!$B$3,Einstellungen!$B$4)</f>
        <v>29.13</v>
      </c>
      <c r="E8487" s="14" t="str">
        <f aca="false">IF(C8487="","",C8487*D8487/100)</f>
        <v/>
      </c>
      <c r="F8487" s="15" t="str">
        <f aca="false">IF(B8487&lt;5,"Go","Standard")</f>
        <v>Standard</v>
      </c>
    </row>
    <row r="8488" customFormat="false" ht="15" hidden="false" customHeight="true" outlineLevel="0" collapsed="false">
      <c r="A8488" s="10" t="n">
        <f aca="false">Einstellungen!$B$5+INT((ROW()-9)/24)</f>
        <v>46319</v>
      </c>
      <c r="B8488" s="11" t="n">
        <f aca="false">MOD(ROW()-9,24)</f>
        <v>7</v>
      </c>
      <c r="C8488" s="12"/>
      <c r="D8488" s="13" t="n">
        <f aca="false">IF(B8488&lt;5,Einstellungen!$B$3,Einstellungen!$B$4)</f>
        <v>29.13</v>
      </c>
      <c r="E8488" s="14" t="str">
        <f aca="false">IF(C8488="","",C8488*D8488/100)</f>
        <v/>
      </c>
      <c r="F8488" s="15" t="str">
        <f aca="false">IF(B8488&lt;5,"Go","Standard")</f>
        <v>Standard</v>
      </c>
    </row>
    <row r="8489" customFormat="false" ht="15" hidden="false" customHeight="true" outlineLevel="0" collapsed="false">
      <c r="A8489" s="10" t="n">
        <f aca="false">Einstellungen!$B$5+INT((ROW()-9)/24)</f>
        <v>46319</v>
      </c>
      <c r="B8489" s="11" t="n">
        <f aca="false">MOD(ROW()-9,24)</f>
        <v>8</v>
      </c>
      <c r="C8489" s="12"/>
      <c r="D8489" s="13" t="n">
        <f aca="false">IF(B8489&lt;5,Einstellungen!$B$3,Einstellungen!$B$4)</f>
        <v>29.13</v>
      </c>
      <c r="E8489" s="14" t="str">
        <f aca="false">IF(C8489="","",C8489*D8489/100)</f>
        <v/>
      </c>
      <c r="F8489" s="15" t="str">
        <f aca="false">IF(B8489&lt;5,"Go","Standard")</f>
        <v>Standard</v>
      </c>
    </row>
    <row r="8490" customFormat="false" ht="15" hidden="false" customHeight="true" outlineLevel="0" collapsed="false">
      <c r="A8490" s="10" t="n">
        <f aca="false">Einstellungen!$B$5+INT((ROW()-9)/24)</f>
        <v>46319</v>
      </c>
      <c r="B8490" s="11" t="n">
        <f aca="false">MOD(ROW()-9,24)</f>
        <v>9</v>
      </c>
      <c r="C8490" s="12"/>
      <c r="D8490" s="13" t="n">
        <f aca="false">IF(B8490&lt;5,Einstellungen!$B$3,Einstellungen!$B$4)</f>
        <v>29.13</v>
      </c>
      <c r="E8490" s="14" t="str">
        <f aca="false">IF(C8490="","",C8490*D8490/100)</f>
        <v/>
      </c>
      <c r="F8490" s="15" t="str">
        <f aca="false">IF(B8490&lt;5,"Go","Standard")</f>
        <v>Standard</v>
      </c>
    </row>
    <row r="8491" customFormat="false" ht="15" hidden="false" customHeight="true" outlineLevel="0" collapsed="false">
      <c r="A8491" s="10" t="n">
        <f aca="false">Einstellungen!$B$5+INT((ROW()-9)/24)</f>
        <v>46319</v>
      </c>
      <c r="B8491" s="11" t="n">
        <f aca="false">MOD(ROW()-9,24)</f>
        <v>10</v>
      </c>
      <c r="C8491" s="12"/>
      <c r="D8491" s="13" t="n">
        <f aca="false">IF(B8491&lt;5,Einstellungen!$B$3,Einstellungen!$B$4)</f>
        <v>29.13</v>
      </c>
      <c r="E8491" s="14" t="str">
        <f aca="false">IF(C8491="","",C8491*D8491/100)</f>
        <v/>
      </c>
      <c r="F8491" s="15" t="str">
        <f aca="false">IF(B8491&lt;5,"Go","Standard")</f>
        <v>Standard</v>
      </c>
    </row>
    <row r="8492" customFormat="false" ht="15" hidden="false" customHeight="true" outlineLevel="0" collapsed="false">
      <c r="A8492" s="10" t="n">
        <f aca="false">Einstellungen!$B$5+INT((ROW()-9)/24)</f>
        <v>46319</v>
      </c>
      <c r="B8492" s="11" t="n">
        <f aca="false">MOD(ROW()-9,24)</f>
        <v>11</v>
      </c>
      <c r="C8492" s="12"/>
      <c r="D8492" s="13" t="n">
        <f aca="false">IF(B8492&lt;5,Einstellungen!$B$3,Einstellungen!$B$4)</f>
        <v>29.13</v>
      </c>
      <c r="E8492" s="14" t="str">
        <f aca="false">IF(C8492="","",C8492*D8492/100)</f>
        <v/>
      </c>
      <c r="F8492" s="15" t="str">
        <f aca="false">IF(B8492&lt;5,"Go","Standard")</f>
        <v>Standard</v>
      </c>
    </row>
    <row r="8493" customFormat="false" ht="15" hidden="false" customHeight="true" outlineLevel="0" collapsed="false">
      <c r="A8493" s="10" t="n">
        <f aca="false">Einstellungen!$B$5+INT((ROW()-9)/24)</f>
        <v>46319</v>
      </c>
      <c r="B8493" s="11" t="n">
        <f aca="false">MOD(ROW()-9,24)</f>
        <v>12</v>
      </c>
      <c r="C8493" s="12"/>
      <c r="D8493" s="13" t="n">
        <f aca="false">IF(B8493&lt;5,Einstellungen!$B$3,Einstellungen!$B$4)</f>
        <v>29.13</v>
      </c>
      <c r="E8493" s="14" t="str">
        <f aca="false">IF(C8493="","",C8493*D8493/100)</f>
        <v/>
      </c>
      <c r="F8493" s="15" t="str">
        <f aca="false">IF(B8493&lt;5,"Go","Standard")</f>
        <v>Standard</v>
      </c>
    </row>
    <row r="8494" customFormat="false" ht="15" hidden="false" customHeight="true" outlineLevel="0" collapsed="false">
      <c r="A8494" s="10" t="n">
        <f aca="false">Einstellungen!$B$5+INT((ROW()-9)/24)</f>
        <v>46319</v>
      </c>
      <c r="B8494" s="11" t="n">
        <f aca="false">MOD(ROW()-9,24)</f>
        <v>13</v>
      </c>
      <c r="C8494" s="12"/>
      <c r="D8494" s="13" t="n">
        <f aca="false">IF(B8494&lt;5,Einstellungen!$B$3,Einstellungen!$B$4)</f>
        <v>29.13</v>
      </c>
      <c r="E8494" s="14" t="str">
        <f aca="false">IF(C8494="","",C8494*D8494/100)</f>
        <v/>
      </c>
      <c r="F8494" s="15" t="str">
        <f aca="false">IF(B8494&lt;5,"Go","Standard")</f>
        <v>Standard</v>
      </c>
    </row>
    <row r="8495" customFormat="false" ht="15" hidden="false" customHeight="true" outlineLevel="0" collapsed="false">
      <c r="A8495" s="10" t="n">
        <f aca="false">Einstellungen!$B$5+INT((ROW()-9)/24)</f>
        <v>46319</v>
      </c>
      <c r="B8495" s="11" t="n">
        <f aca="false">MOD(ROW()-9,24)</f>
        <v>14</v>
      </c>
      <c r="C8495" s="12"/>
      <c r="D8495" s="13" t="n">
        <f aca="false">IF(B8495&lt;5,Einstellungen!$B$3,Einstellungen!$B$4)</f>
        <v>29.13</v>
      </c>
      <c r="E8495" s="14" t="str">
        <f aca="false">IF(C8495="","",C8495*D8495/100)</f>
        <v/>
      </c>
      <c r="F8495" s="15" t="str">
        <f aca="false">IF(B8495&lt;5,"Go","Standard")</f>
        <v>Standard</v>
      </c>
    </row>
    <row r="8496" customFormat="false" ht="15" hidden="false" customHeight="true" outlineLevel="0" collapsed="false">
      <c r="A8496" s="10" t="n">
        <f aca="false">Einstellungen!$B$5+INT((ROW()-9)/24)</f>
        <v>46319</v>
      </c>
      <c r="B8496" s="11" t="n">
        <f aca="false">MOD(ROW()-9,24)</f>
        <v>15</v>
      </c>
      <c r="C8496" s="12"/>
      <c r="D8496" s="13" t="n">
        <f aca="false">IF(B8496&lt;5,Einstellungen!$B$3,Einstellungen!$B$4)</f>
        <v>29.13</v>
      </c>
      <c r="E8496" s="14" t="str">
        <f aca="false">IF(C8496="","",C8496*D8496/100)</f>
        <v/>
      </c>
      <c r="F8496" s="15" t="str">
        <f aca="false">IF(B8496&lt;5,"Go","Standard")</f>
        <v>Standard</v>
      </c>
    </row>
    <row r="8497" customFormat="false" ht="15" hidden="false" customHeight="true" outlineLevel="0" collapsed="false">
      <c r="A8497" s="10" t="n">
        <f aca="false">Einstellungen!$B$5+INT((ROW()-9)/24)</f>
        <v>46319</v>
      </c>
      <c r="B8497" s="11" t="n">
        <f aca="false">MOD(ROW()-9,24)</f>
        <v>16</v>
      </c>
      <c r="C8497" s="12"/>
      <c r="D8497" s="13" t="n">
        <f aca="false">IF(B8497&lt;5,Einstellungen!$B$3,Einstellungen!$B$4)</f>
        <v>29.13</v>
      </c>
      <c r="E8497" s="14" t="str">
        <f aca="false">IF(C8497="","",C8497*D8497/100)</f>
        <v/>
      </c>
      <c r="F8497" s="15" t="str">
        <f aca="false">IF(B8497&lt;5,"Go","Standard")</f>
        <v>Standard</v>
      </c>
    </row>
    <row r="8498" customFormat="false" ht="15" hidden="false" customHeight="true" outlineLevel="0" collapsed="false">
      <c r="A8498" s="10" t="n">
        <f aca="false">Einstellungen!$B$5+INT((ROW()-9)/24)</f>
        <v>46319</v>
      </c>
      <c r="B8498" s="11" t="n">
        <f aca="false">MOD(ROW()-9,24)</f>
        <v>17</v>
      </c>
      <c r="C8498" s="12"/>
      <c r="D8498" s="13" t="n">
        <f aca="false">IF(B8498&lt;5,Einstellungen!$B$3,Einstellungen!$B$4)</f>
        <v>29.13</v>
      </c>
      <c r="E8498" s="14" t="str">
        <f aca="false">IF(C8498="","",C8498*D8498/100)</f>
        <v/>
      </c>
      <c r="F8498" s="15" t="str">
        <f aca="false">IF(B8498&lt;5,"Go","Standard")</f>
        <v>Standard</v>
      </c>
    </row>
    <row r="8499" customFormat="false" ht="15" hidden="false" customHeight="true" outlineLevel="0" collapsed="false">
      <c r="A8499" s="10" t="n">
        <f aca="false">Einstellungen!$B$5+INT((ROW()-9)/24)</f>
        <v>46319</v>
      </c>
      <c r="B8499" s="11" t="n">
        <f aca="false">MOD(ROW()-9,24)</f>
        <v>18</v>
      </c>
      <c r="C8499" s="12"/>
      <c r="D8499" s="13" t="n">
        <f aca="false">IF(B8499&lt;5,Einstellungen!$B$3,Einstellungen!$B$4)</f>
        <v>29.13</v>
      </c>
      <c r="E8499" s="14" t="str">
        <f aca="false">IF(C8499="","",C8499*D8499/100)</f>
        <v/>
      </c>
      <c r="F8499" s="15" t="str">
        <f aca="false">IF(B8499&lt;5,"Go","Standard")</f>
        <v>Standard</v>
      </c>
    </row>
    <row r="8500" customFormat="false" ht="15" hidden="false" customHeight="true" outlineLevel="0" collapsed="false">
      <c r="A8500" s="10" t="n">
        <f aca="false">Einstellungen!$B$5+INT((ROW()-9)/24)</f>
        <v>46319</v>
      </c>
      <c r="B8500" s="11" t="n">
        <f aca="false">MOD(ROW()-9,24)</f>
        <v>19</v>
      </c>
      <c r="C8500" s="12"/>
      <c r="D8500" s="13" t="n">
        <f aca="false">IF(B8500&lt;5,Einstellungen!$B$3,Einstellungen!$B$4)</f>
        <v>29.13</v>
      </c>
      <c r="E8500" s="14" t="str">
        <f aca="false">IF(C8500="","",C8500*D8500/100)</f>
        <v/>
      </c>
      <c r="F8500" s="15" t="str">
        <f aca="false">IF(B8500&lt;5,"Go","Standard")</f>
        <v>Standard</v>
      </c>
    </row>
    <row r="8501" customFormat="false" ht="15" hidden="false" customHeight="true" outlineLevel="0" collapsed="false">
      <c r="A8501" s="10" t="n">
        <f aca="false">Einstellungen!$B$5+INT((ROW()-9)/24)</f>
        <v>46319</v>
      </c>
      <c r="B8501" s="11" t="n">
        <f aca="false">MOD(ROW()-9,24)</f>
        <v>20</v>
      </c>
      <c r="C8501" s="12"/>
      <c r="D8501" s="13" t="n">
        <f aca="false">IF(B8501&lt;5,Einstellungen!$B$3,Einstellungen!$B$4)</f>
        <v>29.13</v>
      </c>
      <c r="E8501" s="14" t="str">
        <f aca="false">IF(C8501="","",C8501*D8501/100)</f>
        <v/>
      </c>
      <c r="F8501" s="15" t="str">
        <f aca="false">IF(B8501&lt;5,"Go","Standard")</f>
        <v>Standard</v>
      </c>
    </row>
    <row r="8502" customFormat="false" ht="15" hidden="false" customHeight="true" outlineLevel="0" collapsed="false">
      <c r="A8502" s="10" t="n">
        <f aca="false">Einstellungen!$B$5+INT((ROW()-9)/24)</f>
        <v>46319</v>
      </c>
      <c r="B8502" s="11" t="n">
        <f aca="false">MOD(ROW()-9,24)</f>
        <v>21</v>
      </c>
      <c r="C8502" s="12"/>
      <c r="D8502" s="13" t="n">
        <f aca="false">IF(B8502&lt;5,Einstellungen!$B$3,Einstellungen!$B$4)</f>
        <v>29.13</v>
      </c>
      <c r="E8502" s="14" t="str">
        <f aca="false">IF(C8502="","",C8502*D8502/100)</f>
        <v/>
      </c>
      <c r="F8502" s="15" t="str">
        <f aca="false">IF(B8502&lt;5,"Go","Standard")</f>
        <v>Standard</v>
      </c>
    </row>
    <row r="8503" customFormat="false" ht="15" hidden="false" customHeight="true" outlineLevel="0" collapsed="false">
      <c r="A8503" s="10" t="n">
        <f aca="false">Einstellungen!$B$5+INT((ROW()-9)/24)</f>
        <v>46319</v>
      </c>
      <c r="B8503" s="11" t="n">
        <f aca="false">MOD(ROW()-9,24)</f>
        <v>22</v>
      </c>
      <c r="C8503" s="12"/>
      <c r="D8503" s="13" t="n">
        <f aca="false">IF(B8503&lt;5,Einstellungen!$B$3,Einstellungen!$B$4)</f>
        <v>29.13</v>
      </c>
      <c r="E8503" s="14" t="str">
        <f aca="false">IF(C8503="","",C8503*D8503/100)</f>
        <v/>
      </c>
      <c r="F8503" s="15" t="str">
        <f aca="false">IF(B8503&lt;5,"Go","Standard")</f>
        <v>Standard</v>
      </c>
    </row>
    <row r="8504" customFormat="false" ht="15" hidden="false" customHeight="true" outlineLevel="0" collapsed="false">
      <c r="A8504" s="10" t="n">
        <f aca="false">Einstellungen!$B$5+INT((ROW()-9)/24)</f>
        <v>46319</v>
      </c>
      <c r="B8504" s="11" t="n">
        <f aca="false">MOD(ROW()-9,24)</f>
        <v>23</v>
      </c>
      <c r="C8504" s="12"/>
      <c r="D8504" s="13" t="n">
        <f aca="false">IF(B8504&lt;5,Einstellungen!$B$3,Einstellungen!$B$4)</f>
        <v>29.13</v>
      </c>
      <c r="E8504" s="14" t="str">
        <f aca="false">IF(C8504="","",C8504*D8504/100)</f>
        <v/>
      </c>
      <c r="F8504" s="15" t="str">
        <f aca="false">IF(B8504&lt;5,"Go","Standard")</f>
        <v>Standard</v>
      </c>
    </row>
    <row r="8505" customFormat="false" ht="15" hidden="false" customHeight="true" outlineLevel="0" collapsed="false">
      <c r="A8505" s="10" t="n">
        <f aca="false">Einstellungen!$B$5+INT((ROW()-9)/24)</f>
        <v>46320</v>
      </c>
      <c r="B8505" s="11" t="n">
        <f aca="false">MOD(ROW()-9,24)</f>
        <v>0</v>
      </c>
      <c r="C8505" s="12"/>
      <c r="D8505" s="13" t="n">
        <f aca="false">IF(B8505&lt;5,Einstellungen!$B$3,Einstellungen!$B$4)</f>
        <v>15.92</v>
      </c>
      <c r="E8505" s="14" t="str">
        <f aca="false">IF(C8505="","",C8505*D8505/100)</f>
        <v/>
      </c>
      <c r="F8505" s="15" t="str">
        <f aca="false">IF(B8505&lt;5,"Go","Standard")</f>
        <v>Go</v>
      </c>
    </row>
    <row r="8506" customFormat="false" ht="15" hidden="false" customHeight="true" outlineLevel="0" collapsed="false">
      <c r="A8506" s="10" t="n">
        <f aca="false">Einstellungen!$B$5+INT((ROW()-9)/24)</f>
        <v>46320</v>
      </c>
      <c r="B8506" s="11" t="n">
        <f aca="false">MOD(ROW()-9,24)</f>
        <v>1</v>
      </c>
      <c r="C8506" s="12"/>
      <c r="D8506" s="13" t="n">
        <f aca="false">IF(B8506&lt;5,Einstellungen!$B$3,Einstellungen!$B$4)</f>
        <v>15.92</v>
      </c>
      <c r="E8506" s="14" t="str">
        <f aca="false">IF(C8506="","",C8506*D8506/100)</f>
        <v/>
      </c>
      <c r="F8506" s="15" t="str">
        <f aca="false">IF(B8506&lt;5,"Go","Standard")</f>
        <v>Go</v>
      </c>
    </row>
    <row r="8507" customFormat="false" ht="15" hidden="false" customHeight="true" outlineLevel="0" collapsed="false">
      <c r="A8507" s="10" t="n">
        <f aca="false">Einstellungen!$B$5+INT((ROW()-9)/24)</f>
        <v>46320</v>
      </c>
      <c r="B8507" s="11" t="n">
        <f aca="false">MOD(ROW()-9,24)</f>
        <v>2</v>
      </c>
      <c r="C8507" s="12"/>
      <c r="D8507" s="13" t="n">
        <f aca="false">IF(B8507&lt;5,Einstellungen!$B$3,Einstellungen!$B$4)</f>
        <v>15.92</v>
      </c>
      <c r="E8507" s="14" t="str">
        <f aca="false">IF(C8507="","",C8507*D8507/100)</f>
        <v/>
      </c>
      <c r="F8507" s="15" t="str">
        <f aca="false">IF(B8507&lt;5,"Go","Standard")</f>
        <v>Go</v>
      </c>
    </row>
    <row r="8508" customFormat="false" ht="15" hidden="false" customHeight="true" outlineLevel="0" collapsed="false">
      <c r="A8508" s="10" t="n">
        <f aca="false">Einstellungen!$B$5+INT((ROW()-9)/24)</f>
        <v>46320</v>
      </c>
      <c r="B8508" s="11" t="n">
        <f aca="false">MOD(ROW()-9,24)</f>
        <v>3</v>
      </c>
      <c r="C8508" s="12"/>
      <c r="D8508" s="13" t="n">
        <f aca="false">IF(B8508&lt;5,Einstellungen!$B$3,Einstellungen!$B$4)</f>
        <v>15.92</v>
      </c>
      <c r="E8508" s="14" t="str">
        <f aca="false">IF(C8508="","",C8508*D8508/100)</f>
        <v/>
      </c>
      <c r="F8508" s="15" t="str">
        <f aca="false">IF(B8508&lt;5,"Go","Standard")</f>
        <v>Go</v>
      </c>
    </row>
    <row r="8509" customFormat="false" ht="15" hidden="false" customHeight="true" outlineLevel="0" collapsed="false">
      <c r="A8509" s="10" t="n">
        <f aca="false">Einstellungen!$B$5+INT((ROW()-9)/24)</f>
        <v>46320</v>
      </c>
      <c r="B8509" s="11" t="n">
        <f aca="false">MOD(ROW()-9,24)</f>
        <v>4</v>
      </c>
      <c r="C8509" s="12"/>
      <c r="D8509" s="13" t="n">
        <f aca="false">IF(B8509&lt;5,Einstellungen!$B$3,Einstellungen!$B$4)</f>
        <v>15.92</v>
      </c>
      <c r="E8509" s="14" t="str">
        <f aca="false">IF(C8509="","",C8509*D8509/100)</f>
        <v/>
      </c>
      <c r="F8509" s="15" t="str">
        <f aca="false">IF(B8509&lt;5,"Go","Standard")</f>
        <v>Go</v>
      </c>
    </row>
    <row r="8510" customFormat="false" ht="15" hidden="false" customHeight="true" outlineLevel="0" collapsed="false">
      <c r="A8510" s="10" t="n">
        <f aca="false">Einstellungen!$B$5+INT((ROW()-9)/24)</f>
        <v>46320</v>
      </c>
      <c r="B8510" s="11" t="n">
        <f aca="false">MOD(ROW()-9,24)</f>
        <v>5</v>
      </c>
      <c r="C8510" s="12"/>
      <c r="D8510" s="13" t="n">
        <f aca="false">IF(B8510&lt;5,Einstellungen!$B$3,Einstellungen!$B$4)</f>
        <v>29.13</v>
      </c>
      <c r="E8510" s="14" t="str">
        <f aca="false">IF(C8510="","",C8510*D8510/100)</f>
        <v/>
      </c>
      <c r="F8510" s="15" t="str">
        <f aca="false">IF(B8510&lt;5,"Go","Standard")</f>
        <v>Standard</v>
      </c>
    </row>
    <row r="8511" customFormat="false" ht="15" hidden="false" customHeight="true" outlineLevel="0" collapsed="false">
      <c r="A8511" s="10" t="n">
        <f aca="false">Einstellungen!$B$5+INT((ROW()-9)/24)</f>
        <v>46320</v>
      </c>
      <c r="B8511" s="11" t="n">
        <f aca="false">MOD(ROW()-9,24)</f>
        <v>6</v>
      </c>
      <c r="C8511" s="12"/>
      <c r="D8511" s="13" t="n">
        <f aca="false">IF(B8511&lt;5,Einstellungen!$B$3,Einstellungen!$B$4)</f>
        <v>29.13</v>
      </c>
      <c r="E8511" s="14" t="str">
        <f aca="false">IF(C8511="","",C8511*D8511/100)</f>
        <v/>
      </c>
      <c r="F8511" s="15" t="str">
        <f aca="false">IF(B8511&lt;5,"Go","Standard")</f>
        <v>Standard</v>
      </c>
    </row>
    <row r="8512" customFormat="false" ht="15" hidden="false" customHeight="true" outlineLevel="0" collapsed="false">
      <c r="A8512" s="10" t="n">
        <f aca="false">Einstellungen!$B$5+INT((ROW()-9)/24)</f>
        <v>46320</v>
      </c>
      <c r="B8512" s="11" t="n">
        <f aca="false">MOD(ROW()-9,24)</f>
        <v>7</v>
      </c>
      <c r="C8512" s="12"/>
      <c r="D8512" s="13" t="n">
        <f aca="false">IF(B8512&lt;5,Einstellungen!$B$3,Einstellungen!$B$4)</f>
        <v>29.13</v>
      </c>
      <c r="E8512" s="14" t="str">
        <f aca="false">IF(C8512="","",C8512*D8512/100)</f>
        <v/>
      </c>
      <c r="F8512" s="15" t="str">
        <f aca="false">IF(B8512&lt;5,"Go","Standard")</f>
        <v>Standard</v>
      </c>
    </row>
    <row r="8513" customFormat="false" ht="15" hidden="false" customHeight="true" outlineLevel="0" collapsed="false">
      <c r="A8513" s="10" t="n">
        <f aca="false">Einstellungen!$B$5+INT((ROW()-9)/24)</f>
        <v>46320</v>
      </c>
      <c r="B8513" s="11" t="n">
        <f aca="false">MOD(ROW()-9,24)</f>
        <v>8</v>
      </c>
      <c r="C8513" s="12"/>
      <c r="D8513" s="13" t="n">
        <f aca="false">IF(B8513&lt;5,Einstellungen!$B$3,Einstellungen!$B$4)</f>
        <v>29.13</v>
      </c>
      <c r="E8513" s="14" t="str">
        <f aca="false">IF(C8513="","",C8513*D8513/100)</f>
        <v/>
      </c>
      <c r="F8513" s="15" t="str">
        <f aca="false">IF(B8513&lt;5,"Go","Standard")</f>
        <v>Standard</v>
      </c>
    </row>
    <row r="8514" customFormat="false" ht="15" hidden="false" customHeight="true" outlineLevel="0" collapsed="false">
      <c r="A8514" s="10" t="n">
        <f aca="false">Einstellungen!$B$5+INT((ROW()-9)/24)</f>
        <v>46320</v>
      </c>
      <c r="B8514" s="11" t="n">
        <f aca="false">MOD(ROW()-9,24)</f>
        <v>9</v>
      </c>
      <c r="C8514" s="12"/>
      <c r="D8514" s="13" t="n">
        <f aca="false">IF(B8514&lt;5,Einstellungen!$B$3,Einstellungen!$B$4)</f>
        <v>29.13</v>
      </c>
      <c r="E8514" s="14" t="str">
        <f aca="false">IF(C8514="","",C8514*D8514/100)</f>
        <v/>
      </c>
      <c r="F8514" s="15" t="str">
        <f aca="false">IF(B8514&lt;5,"Go","Standard")</f>
        <v>Standard</v>
      </c>
    </row>
    <row r="8515" customFormat="false" ht="15" hidden="false" customHeight="true" outlineLevel="0" collapsed="false">
      <c r="A8515" s="10" t="n">
        <f aca="false">Einstellungen!$B$5+INT((ROW()-9)/24)</f>
        <v>46320</v>
      </c>
      <c r="B8515" s="11" t="n">
        <f aca="false">MOD(ROW()-9,24)</f>
        <v>10</v>
      </c>
      <c r="C8515" s="12"/>
      <c r="D8515" s="13" t="n">
        <f aca="false">IF(B8515&lt;5,Einstellungen!$B$3,Einstellungen!$B$4)</f>
        <v>29.13</v>
      </c>
      <c r="E8515" s="14" t="str">
        <f aca="false">IF(C8515="","",C8515*D8515/100)</f>
        <v/>
      </c>
      <c r="F8515" s="15" t="str">
        <f aca="false">IF(B8515&lt;5,"Go","Standard")</f>
        <v>Standard</v>
      </c>
    </row>
    <row r="8516" customFormat="false" ht="15" hidden="false" customHeight="true" outlineLevel="0" collapsed="false">
      <c r="A8516" s="10" t="n">
        <f aca="false">Einstellungen!$B$5+INT((ROW()-9)/24)</f>
        <v>46320</v>
      </c>
      <c r="B8516" s="11" t="n">
        <f aca="false">MOD(ROW()-9,24)</f>
        <v>11</v>
      </c>
      <c r="C8516" s="12"/>
      <c r="D8516" s="13" t="n">
        <f aca="false">IF(B8516&lt;5,Einstellungen!$B$3,Einstellungen!$B$4)</f>
        <v>29.13</v>
      </c>
      <c r="E8516" s="14" t="str">
        <f aca="false">IF(C8516="","",C8516*D8516/100)</f>
        <v/>
      </c>
      <c r="F8516" s="15" t="str">
        <f aca="false">IF(B8516&lt;5,"Go","Standard")</f>
        <v>Standard</v>
      </c>
    </row>
    <row r="8517" customFormat="false" ht="15" hidden="false" customHeight="true" outlineLevel="0" collapsed="false">
      <c r="A8517" s="10" t="n">
        <f aca="false">Einstellungen!$B$5+INT((ROW()-9)/24)</f>
        <v>46320</v>
      </c>
      <c r="B8517" s="11" t="n">
        <f aca="false">MOD(ROW()-9,24)</f>
        <v>12</v>
      </c>
      <c r="C8517" s="12"/>
      <c r="D8517" s="13" t="n">
        <f aca="false">IF(B8517&lt;5,Einstellungen!$B$3,Einstellungen!$B$4)</f>
        <v>29.13</v>
      </c>
      <c r="E8517" s="14" t="str">
        <f aca="false">IF(C8517="","",C8517*D8517/100)</f>
        <v/>
      </c>
      <c r="F8517" s="15" t="str">
        <f aca="false">IF(B8517&lt;5,"Go","Standard")</f>
        <v>Standard</v>
      </c>
    </row>
    <row r="8518" customFormat="false" ht="15" hidden="false" customHeight="true" outlineLevel="0" collapsed="false">
      <c r="A8518" s="10" t="n">
        <f aca="false">Einstellungen!$B$5+INT((ROW()-9)/24)</f>
        <v>46320</v>
      </c>
      <c r="B8518" s="11" t="n">
        <f aca="false">MOD(ROW()-9,24)</f>
        <v>13</v>
      </c>
      <c r="C8518" s="12"/>
      <c r="D8518" s="13" t="n">
        <f aca="false">IF(B8518&lt;5,Einstellungen!$B$3,Einstellungen!$B$4)</f>
        <v>29.13</v>
      </c>
      <c r="E8518" s="14" t="str">
        <f aca="false">IF(C8518="","",C8518*D8518/100)</f>
        <v/>
      </c>
      <c r="F8518" s="15" t="str">
        <f aca="false">IF(B8518&lt;5,"Go","Standard")</f>
        <v>Standard</v>
      </c>
    </row>
    <row r="8519" customFormat="false" ht="15" hidden="false" customHeight="true" outlineLevel="0" collapsed="false">
      <c r="A8519" s="10" t="n">
        <f aca="false">Einstellungen!$B$5+INT((ROW()-9)/24)</f>
        <v>46320</v>
      </c>
      <c r="B8519" s="11" t="n">
        <f aca="false">MOD(ROW()-9,24)</f>
        <v>14</v>
      </c>
      <c r="C8519" s="12"/>
      <c r="D8519" s="13" t="n">
        <f aca="false">IF(B8519&lt;5,Einstellungen!$B$3,Einstellungen!$B$4)</f>
        <v>29.13</v>
      </c>
      <c r="E8519" s="14" t="str">
        <f aca="false">IF(C8519="","",C8519*D8519/100)</f>
        <v/>
      </c>
      <c r="F8519" s="15" t="str">
        <f aca="false">IF(B8519&lt;5,"Go","Standard")</f>
        <v>Standard</v>
      </c>
    </row>
    <row r="8520" customFormat="false" ht="15" hidden="false" customHeight="true" outlineLevel="0" collapsed="false">
      <c r="A8520" s="10" t="n">
        <f aca="false">Einstellungen!$B$5+INT((ROW()-9)/24)</f>
        <v>46320</v>
      </c>
      <c r="B8520" s="11" t="n">
        <f aca="false">MOD(ROW()-9,24)</f>
        <v>15</v>
      </c>
      <c r="C8520" s="12"/>
      <c r="D8520" s="13" t="n">
        <f aca="false">IF(B8520&lt;5,Einstellungen!$B$3,Einstellungen!$B$4)</f>
        <v>29.13</v>
      </c>
      <c r="E8520" s="14" t="str">
        <f aca="false">IF(C8520="","",C8520*D8520/100)</f>
        <v/>
      </c>
      <c r="F8520" s="15" t="str">
        <f aca="false">IF(B8520&lt;5,"Go","Standard")</f>
        <v>Standard</v>
      </c>
    </row>
    <row r="8521" customFormat="false" ht="15" hidden="false" customHeight="true" outlineLevel="0" collapsed="false">
      <c r="A8521" s="10" t="n">
        <f aca="false">Einstellungen!$B$5+INT((ROW()-9)/24)</f>
        <v>46320</v>
      </c>
      <c r="B8521" s="11" t="n">
        <f aca="false">MOD(ROW()-9,24)</f>
        <v>16</v>
      </c>
      <c r="C8521" s="12"/>
      <c r="D8521" s="13" t="n">
        <f aca="false">IF(B8521&lt;5,Einstellungen!$B$3,Einstellungen!$B$4)</f>
        <v>29.13</v>
      </c>
      <c r="E8521" s="14" t="str">
        <f aca="false">IF(C8521="","",C8521*D8521/100)</f>
        <v/>
      </c>
      <c r="F8521" s="15" t="str">
        <f aca="false">IF(B8521&lt;5,"Go","Standard")</f>
        <v>Standard</v>
      </c>
    </row>
    <row r="8522" customFormat="false" ht="15" hidden="false" customHeight="true" outlineLevel="0" collapsed="false">
      <c r="A8522" s="10" t="n">
        <f aca="false">Einstellungen!$B$5+INT((ROW()-9)/24)</f>
        <v>46320</v>
      </c>
      <c r="B8522" s="11" t="n">
        <f aca="false">MOD(ROW()-9,24)</f>
        <v>17</v>
      </c>
      <c r="C8522" s="12"/>
      <c r="D8522" s="13" t="n">
        <f aca="false">IF(B8522&lt;5,Einstellungen!$B$3,Einstellungen!$B$4)</f>
        <v>29.13</v>
      </c>
      <c r="E8522" s="14" t="str">
        <f aca="false">IF(C8522="","",C8522*D8522/100)</f>
        <v/>
      </c>
      <c r="F8522" s="15" t="str">
        <f aca="false">IF(B8522&lt;5,"Go","Standard")</f>
        <v>Standard</v>
      </c>
    </row>
    <row r="8523" customFormat="false" ht="15" hidden="false" customHeight="true" outlineLevel="0" collapsed="false">
      <c r="A8523" s="10" t="n">
        <f aca="false">Einstellungen!$B$5+INT((ROW()-9)/24)</f>
        <v>46320</v>
      </c>
      <c r="B8523" s="11" t="n">
        <f aca="false">MOD(ROW()-9,24)</f>
        <v>18</v>
      </c>
      <c r="C8523" s="12"/>
      <c r="D8523" s="13" t="n">
        <f aca="false">IF(B8523&lt;5,Einstellungen!$B$3,Einstellungen!$B$4)</f>
        <v>29.13</v>
      </c>
      <c r="E8523" s="14" t="str">
        <f aca="false">IF(C8523="","",C8523*D8523/100)</f>
        <v/>
      </c>
      <c r="F8523" s="15" t="str">
        <f aca="false">IF(B8523&lt;5,"Go","Standard")</f>
        <v>Standard</v>
      </c>
    </row>
    <row r="8524" customFormat="false" ht="15" hidden="false" customHeight="true" outlineLevel="0" collapsed="false">
      <c r="A8524" s="10" t="n">
        <f aca="false">Einstellungen!$B$5+INT((ROW()-9)/24)</f>
        <v>46320</v>
      </c>
      <c r="B8524" s="11" t="n">
        <f aca="false">MOD(ROW()-9,24)</f>
        <v>19</v>
      </c>
      <c r="C8524" s="12"/>
      <c r="D8524" s="13" t="n">
        <f aca="false">IF(B8524&lt;5,Einstellungen!$B$3,Einstellungen!$B$4)</f>
        <v>29.13</v>
      </c>
      <c r="E8524" s="14" t="str">
        <f aca="false">IF(C8524="","",C8524*D8524/100)</f>
        <v/>
      </c>
      <c r="F8524" s="15" t="str">
        <f aca="false">IF(B8524&lt;5,"Go","Standard")</f>
        <v>Standard</v>
      </c>
    </row>
    <row r="8525" customFormat="false" ht="15" hidden="false" customHeight="true" outlineLevel="0" collapsed="false">
      <c r="A8525" s="10" t="n">
        <f aca="false">Einstellungen!$B$5+INT((ROW()-9)/24)</f>
        <v>46320</v>
      </c>
      <c r="B8525" s="11" t="n">
        <f aca="false">MOD(ROW()-9,24)</f>
        <v>20</v>
      </c>
      <c r="C8525" s="12"/>
      <c r="D8525" s="13" t="n">
        <f aca="false">IF(B8525&lt;5,Einstellungen!$B$3,Einstellungen!$B$4)</f>
        <v>29.13</v>
      </c>
      <c r="E8525" s="14" t="str">
        <f aca="false">IF(C8525="","",C8525*D8525/100)</f>
        <v/>
      </c>
      <c r="F8525" s="15" t="str">
        <f aca="false">IF(B8525&lt;5,"Go","Standard")</f>
        <v>Standard</v>
      </c>
    </row>
    <row r="8526" customFormat="false" ht="15" hidden="false" customHeight="true" outlineLevel="0" collapsed="false">
      <c r="A8526" s="10" t="n">
        <f aca="false">Einstellungen!$B$5+INT((ROW()-9)/24)</f>
        <v>46320</v>
      </c>
      <c r="B8526" s="11" t="n">
        <f aca="false">MOD(ROW()-9,24)</f>
        <v>21</v>
      </c>
      <c r="C8526" s="12"/>
      <c r="D8526" s="13" t="n">
        <f aca="false">IF(B8526&lt;5,Einstellungen!$B$3,Einstellungen!$B$4)</f>
        <v>29.13</v>
      </c>
      <c r="E8526" s="14" t="str">
        <f aca="false">IF(C8526="","",C8526*D8526/100)</f>
        <v/>
      </c>
      <c r="F8526" s="15" t="str">
        <f aca="false">IF(B8526&lt;5,"Go","Standard")</f>
        <v>Standard</v>
      </c>
    </row>
    <row r="8527" customFormat="false" ht="15" hidden="false" customHeight="true" outlineLevel="0" collapsed="false">
      <c r="A8527" s="10" t="n">
        <f aca="false">Einstellungen!$B$5+INT((ROW()-9)/24)</f>
        <v>46320</v>
      </c>
      <c r="B8527" s="11" t="n">
        <f aca="false">MOD(ROW()-9,24)</f>
        <v>22</v>
      </c>
      <c r="C8527" s="12"/>
      <c r="D8527" s="13" t="n">
        <f aca="false">IF(B8527&lt;5,Einstellungen!$B$3,Einstellungen!$B$4)</f>
        <v>29.13</v>
      </c>
      <c r="E8527" s="14" t="str">
        <f aca="false">IF(C8527="","",C8527*D8527/100)</f>
        <v/>
      </c>
      <c r="F8527" s="15" t="str">
        <f aca="false">IF(B8527&lt;5,"Go","Standard")</f>
        <v>Standard</v>
      </c>
    </row>
    <row r="8528" customFormat="false" ht="15" hidden="false" customHeight="true" outlineLevel="0" collapsed="false">
      <c r="A8528" s="10" t="n">
        <f aca="false">Einstellungen!$B$5+INT((ROW()-9)/24)</f>
        <v>46320</v>
      </c>
      <c r="B8528" s="11" t="n">
        <f aca="false">MOD(ROW()-9,24)</f>
        <v>23</v>
      </c>
      <c r="C8528" s="12"/>
      <c r="D8528" s="13" t="n">
        <f aca="false">IF(B8528&lt;5,Einstellungen!$B$3,Einstellungen!$B$4)</f>
        <v>29.13</v>
      </c>
      <c r="E8528" s="14" t="str">
        <f aca="false">IF(C8528="","",C8528*D8528/100)</f>
        <v/>
      </c>
      <c r="F8528" s="15" t="str">
        <f aca="false">IF(B8528&lt;5,"Go","Standard")</f>
        <v>Standard</v>
      </c>
    </row>
    <row r="8529" customFormat="false" ht="15" hidden="false" customHeight="true" outlineLevel="0" collapsed="false">
      <c r="A8529" s="10" t="n">
        <f aca="false">Einstellungen!$B$5+INT((ROW()-9)/24)</f>
        <v>46321</v>
      </c>
      <c r="B8529" s="11" t="n">
        <f aca="false">MOD(ROW()-9,24)</f>
        <v>0</v>
      </c>
      <c r="C8529" s="12"/>
      <c r="D8529" s="13" t="n">
        <f aca="false">IF(B8529&lt;5,Einstellungen!$B$3,Einstellungen!$B$4)</f>
        <v>15.92</v>
      </c>
      <c r="E8529" s="14" t="str">
        <f aca="false">IF(C8529="","",C8529*D8529/100)</f>
        <v/>
      </c>
      <c r="F8529" s="15" t="str">
        <f aca="false">IF(B8529&lt;5,"Go","Standard")</f>
        <v>Go</v>
      </c>
    </row>
    <row r="8530" customFormat="false" ht="15" hidden="false" customHeight="true" outlineLevel="0" collapsed="false">
      <c r="A8530" s="10" t="n">
        <f aca="false">Einstellungen!$B$5+INT((ROW()-9)/24)</f>
        <v>46321</v>
      </c>
      <c r="B8530" s="11" t="n">
        <f aca="false">MOD(ROW()-9,24)</f>
        <v>1</v>
      </c>
      <c r="C8530" s="12"/>
      <c r="D8530" s="13" t="n">
        <f aca="false">IF(B8530&lt;5,Einstellungen!$B$3,Einstellungen!$B$4)</f>
        <v>15.92</v>
      </c>
      <c r="E8530" s="14" t="str">
        <f aca="false">IF(C8530="","",C8530*D8530/100)</f>
        <v/>
      </c>
      <c r="F8530" s="15" t="str">
        <f aca="false">IF(B8530&lt;5,"Go","Standard")</f>
        <v>Go</v>
      </c>
    </row>
    <row r="8531" customFormat="false" ht="15" hidden="false" customHeight="true" outlineLevel="0" collapsed="false">
      <c r="A8531" s="10" t="n">
        <f aca="false">Einstellungen!$B$5+INT((ROW()-9)/24)</f>
        <v>46321</v>
      </c>
      <c r="B8531" s="11" t="n">
        <f aca="false">MOD(ROW()-9,24)</f>
        <v>2</v>
      </c>
      <c r="C8531" s="12"/>
      <c r="D8531" s="13" t="n">
        <f aca="false">IF(B8531&lt;5,Einstellungen!$B$3,Einstellungen!$B$4)</f>
        <v>15.92</v>
      </c>
      <c r="E8531" s="14" t="str">
        <f aca="false">IF(C8531="","",C8531*D8531/100)</f>
        <v/>
      </c>
      <c r="F8531" s="15" t="str">
        <f aca="false">IF(B8531&lt;5,"Go","Standard")</f>
        <v>Go</v>
      </c>
    </row>
    <row r="8532" customFormat="false" ht="15" hidden="false" customHeight="true" outlineLevel="0" collapsed="false">
      <c r="A8532" s="10" t="n">
        <f aca="false">Einstellungen!$B$5+INT((ROW()-9)/24)</f>
        <v>46321</v>
      </c>
      <c r="B8532" s="11" t="n">
        <f aca="false">MOD(ROW()-9,24)</f>
        <v>3</v>
      </c>
      <c r="C8532" s="12"/>
      <c r="D8532" s="13" t="n">
        <f aca="false">IF(B8532&lt;5,Einstellungen!$B$3,Einstellungen!$B$4)</f>
        <v>15.92</v>
      </c>
      <c r="E8532" s="14" t="str">
        <f aca="false">IF(C8532="","",C8532*D8532/100)</f>
        <v/>
      </c>
      <c r="F8532" s="15" t="str">
        <f aca="false">IF(B8532&lt;5,"Go","Standard")</f>
        <v>Go</v>
      </c>
    </row>
    <row r="8533" customFormat="false" ht="15" hidden="false" customHeight="true" outlineLevel="0" collapsed="false">
      <c r="A8533" s="10" t="n">
        <f aca="false">Einstellungen!$B$5+INT((ROW()-9)/24)</f>
        <v>46321</v>
      </c>
      <c r="B8533" s="11" t="n">
        <f aca="false">MOD(ROW()-9,24)</f>
        <v>4</v>
      </c>
      <c r="C8533" s="12"/>
      <c r="D8533" s="13" t="n">
        <f aca="false">IF(B8533&lt;5,Einstellungen!$B$3,Einstellungen!$B$4)</f>
        <v>15.92</v>
      </c>
      <c r="E8533" s="14" t="str">
        <f aca="false">IF(C8533="","",C8533*D8533/100)</f>
        <v/>
      </c>
      <c r="F8533" s="15" t="str">
        <f aca="false">IF(B8533&lt;5,"Go","Standard")</f>
        <v>Go</v>
      </c>
    </row>
    <row r="8534" customFormat="false" ht="15" hidden="false" customHeight="true" outlineLevel="0" collapsed="false">
      <c r="A8534" s="10" t="n">
        <f aca="false">Einstellungen!$B$5+INT((ROW()-9)/24)</f>
        <v>46321</v>
      </c>
      <c r="B8534" s="11" t="n">
        <f aca="false">MOD(ROW()-9,24)</f>
        <v>5</v>
      </c>
      <c r="C8534" s="12"/>
      <c r="D8534" s="13" t="n">
        <f aca="false">IF(B8534&lt;5,Einstellungen!$B$3,Einstellungen!$B$4)</f>
        <v>29.13</v>
      </c>
      <c r="E8534" s="14" t="str">
        <f aca="false">IF(C8534="","",C8534*D8534/100)</f>
        <v/>
      </c>
      <c r="F8534" s="15" t="str">
        <f aca="false">IF(B8534&lt;5,"Go","Standard")</f>
        <v>Standard</v>
      </c>
    </row>
    <row r="8535" customFormat="false" ht="15" hidden="false" customHeight="true" outlineLevel="0" collapsed="false">
      <c r="A8535" s="10" t="n">
        <f aca="false">Einstellungen!$B$5+INT((ROW()-9)/24)</f>
        <v>46321</v>
      </c>
      <c r="B8535" s="11" t="n">
        <f aca="false">MOD(ROW()-9,24)</f>
        <v>6</v>
      </c>
      <c r="C8535" s="12"/>
      <c r="D8535" s="13" t="n">
        <f aca="false">IF(B8535&lt;5,Einstellungen!$B$3,Einstellungen!$B$4)</f>
        <v>29.13</v>
      </c>
      <c r="E8535" s="14" t="str">
        <f aca="false">IF(C8535="","",C8535*D8535/100)</f>
        <v/>
      </c>
      <c r="F8535" s="15" t="str">
        <f aca="false">IF(B8535&lt;5,"Go","Standard")</f>
        <v>Standard</v>
      </c>
    </row>
    <row r="8536" customFormat="false" ht="15" hidden="false" customHeight="true" outlineLevel="0" collapsed="false">
      <c r="A8536" s="10" t="n">
        <f aca="false">Einstellungen!$B$5+INT((ROW()-9)/24)</f>
        <v>46321</v>
      </c>
      <c r="B8536" s="11" t="n">
        <f aca="false">MOD(ROW()-9,24)</f>
        <v>7</v>
      </c>
      <c r="C8536" s="12"/>
      <c r="D8536" s="13" t="n">
        <f aca="false">IF(B8536&lt;5,Einstellungen!$B$3,Einstellungen!$B$4)</f>
        <v>29.13</v>
      </c>
      <c r="E8536" s="14" t="str">
        <f aca="false">IF(C8536="","",C8536*D8536/100)</f>
        <v/>
      </c>
      <c r="F8536" s="15" t="str">
        <f aca="false">IF(B8536&lt;5,"Go","Standard")</f>
        <v>Standard</v>
      </c>
    </row>
    <row r="8537" customFormat="false" ht="15" hidden="false" customHeight="true" outlineLevel="0" collapsed="false">
      <c r="A8537" s="10" t="n">
        <f aca="false">Einstellungen!$B$5+INT((ROW()-9)/24)</f>
        <v>46321</v>
      </c>
      <c r="B8537" s="11" t="n">
        <f aca="false">MOD(ROW()-9,24)</f>
        <v>8</v>
      </c>
      <c r="C8537" s="12"/>
      <c r="D8537" s="13" t="n">
        <f aca="false">IF(B8537&lt;5,Einstellungen!$B$3,Einstellungen!$B$4)</f>
        <v>29.13</v>
      </c>
      <c r="E8537" s="14" t="str">
        <f aca="false">IF(C8537="","",C8537*D8537/100)</f>
        <v/>
      </c>
      <c r="F8537" s="15" t="str">
        <f aca="false">IF(B8537&lt;5,"Go","Standard")</f>
        <v>Standard</v>
      </c>
    </row>
    <row r="8538" customFormat="false" ht="15" hidden="false" customHeight="true" outlineLevel="0" collapsed="false">
      <c r="A8538" s="10" t="n">
        <f aca="false">Einstellungen!$B$5+INT((ROW()-9)/24)</f>
        <v>46321</v>
      </c>
      <c r="B8538" s="11" t="n">
        <f aca="false">MOD(ROW()-9,24)</f>
        <v>9</v>
      </c>
      <c r="C8538" s="12"/>
      <c r="D8538" s="13" t="n">
        <f aca="false">IF(B8538&lt;5,Einstellungen!$B$3,Einstellungen!$B$4)</f>
        <v>29.13</v>
      </c>
      <c r="E8538" s="14" t="str">
        <f aca="false">IF(C8538="","",C8538*D8538/100)</f>
        <v/>
      </c>
      <c r="F8538" s="15" t="str">
        <f aca="false">IF(B8538&lt;5,"Go","Standard")</f>
        <v>Standard</v>
      </c>
    </row>
    <row r="8539" customFormat="false" ht="15" hidden="false" customHeight="true" outlineLevel="0" collapsed="false">
      <c r="A8539" s="10" t="n">
        <f aca="false">Einstellungen!$B$5+INT((ROW()-9)/24)</f>
        <v>46321</v>
      </c>
      <c r="B8539" s="11" t="n">
        <f aca="false">MOD(ROW()-9,24)</f>
        <v>10</v>
      </c>
      <c r="C8539" s="12"/>
      <c r="D8539" s="13" t="n">
        <f aca="false">IF(B8539&lt;5,Einstellungen!$B$3,Einstellungen!$B$4)</f>
        <v>29.13</v>
      </c>
      <c r="E8539" s="14" t="str">
        <f aca="false">IF(C8539="","",C8539*D8539/100)</f>
        <v/>
      </c>
      <c r="F8539" s="15" t="str">
        <f aca="false">IF(B8539&lt;5,"Go","Standard")</f>
        <v>Standard</v>
      </c>
    </row>
    <row r="8540" customFormat="false" ht="15" hidden="false" customHeight="true" outlineLevel="0" collapsed="false">
      <c r="A8540" s="10" t="n">
        <f aca="false">Einstellungen!$B$5+INT((ROW()-9)/24)</f>
        <v>46321</v>
      </c>
      <c r="B8540" s="11" t="n">
        <f aca="false">MOD(ROW()-9,24)</f>
        <v>11</v>
      </c>
      <c r="C8540" s="12"/>
      <c r="D8540" s="13" t="n">
        <f aca="false">IF(B8540&lt;5,Einstellungen!$B$3,Einstellungen!$B$4)</f>
        <v>29.13</v>
      </c>
      <c r="E8540" s="14" t="str">
        <f aca="false">IF(C8540="","",C8540*D8540/100)</f>
        <v/>
      </c>
      <c r="F8540" s="15" t="str">
        <f aca="false">IF(B8540&lt;5,"Go","Standard")</f>
        <v>Standard</v>
      </c>
    </row>
    <row r="8541" customFormat="false" ht="15" hidden="false" customHeight="true" outlineLevel="0" collapsed="false">
      <c r="A8541" s="10" t="n">
        <f aca="false">Einstellungen!$B$5+INT((ROW()-9)/24)</f>
        <v>46321</v>
      </c>
      <c r="B8541" s="11" t="n">
        <f aca="false">MOD(ROW()-9,24)</f>
        <v>12</v>
      </c>
      <c r="C8541" s="12"/>
      <c r="D8541" s="13" t="n">
        <f aca="false">IF(B8541&lt;5,Einstellungen!$B$3,Einstellungen!$B$4)</f>
        <v>29.13</v>
      </c>
      <c r="E8541" s="14" t="str">
        <f aca="false">IF(C8541="","",C8541*D8541/100)</f>
        <v/>
      </c>
      <c r="F8541" s="15" t="str">
        <f aca="false">IF(B8541&lt;5,"Go","Standard")</f>
        <v>Standard</v>
      </c>
    </row>
    <row r="8542" customFormat="false" ht="15" hidden="false" customHeight="true" outlineLevel="0" collapsed="false">
      <c r="A8542" s="10" t="n">
        <f aca="false">Einstellungen!$B$5+INT((ROW()-9)/24)</f>
        <v>46321</v>
      </c>
      <c r="B8542" s="11" t="n">
        <f aca="false">MOD(ROW()-9,24)</f>
        <v>13</v>
      </c>
      <c r="C8542" s="12"/>
      <c r="D8542" s="13" t="n">
        <f aca="false">IF(B8542&lt;5,Einstellungen!$B$3,Einstellungen!$B$4)</f>
        <v>29.13</v>
      </c>
      <c r="E8542" s="14" t="str">
        <f aca="false">IF(C8542="","",C8542*D8542/100)</f>
        <v/>
      </c>
      <c r="F8542" s="15" t="str">
        <f aca="false">IF(B8542&lt;5,"Go","Standard")</f>
        <v>Standard</v>
      </c>
    </row>
    <row r="8543" customFormat="false" ht="15" hidden="false" customHeight="true" outlineLevel="0" collapsed="false">
      <c r="A8543" s="10" t="n">
        <f aca="false">Einstellungen!$B$5+INT((ROW()-9)/24)</f>
        <v>46321</v>
      </c>
      <c r="B8543" s="11" t="n">
        <f aca="false">MOD(ROW()-9,24)</f>
        <v>14</v>
      </c>
      <c r="C8543" s="12"/>
      <c r="D8543" s="13" t="n">
        <f aca="false">IF(B8543&lt;5,Einstellungen!$B$3,Einstellungen!$B$4)</f>
        <v>29.13</v>
      </c>
      <c r="E8543" s="14" t="str">
        <f aca="false">IF(C8543="","",C8543*D8543/100)</f>
        <v/>
      </c>
      <c r="F8543" s="15" t="str">
        <f aca="false">IF(B8543&lt;5,"Go","Standard")</f>
        <v>Standard</v>
      </c>
    </row>
    <row r="8544" customFormat="false" ht="15" hidden="false" customHeight="true" outlineLevel="0" collapsed="false">
      <c r="A8544" s="10" t="n">
        <f aca="false">Einstellungen!$B$5+INT((ROW()-9)/24)</f>
        <v>46321</v>
      </c>
      <c r="B8544" s="11" t="n">
        <f aca="false">MOD(ROW()-9,24)</f>
        <v>15</v>
      </c>
      <c r="C8544" s="12"/>
      <c r="D8544" s="13" t="n">
        <f aca="false">IF(B8544&lt;5,Einstellungen!$B$3,Einstellungen!$B$4)</f>
        <v>29.13</v>
      </c>
      <c r="E8544" s="14" t="str">
        <f aca="false">IF(C8544="","",C8544*D8544/100)</f>
        <v/>
      </c>
      <c r="F8544" s="15" t="str">
        <f aca="false">IF(B8544&lt;5,"Go","Standard")</f>
        <v>Standard</v>
      </c>
    </row>
    <row r="8545" customFormat="false" ht="15" hidden="false" customHeight="true" outlineLevel="0" collapsed="false">
      <c r="A8545" s="10" t="n">
        <f aca="false">Einstellungen!$B$5+INT((ROW()-9)/24)</f>
        <v>46321</v>
      </c>
      <c r="B8545" s="11" t="n">
        <f aca="false">MOD(ROW()-9,24)</f>
        <v>16</v>
      </c>
      <c r="C8545" s="12"/>
      <c r="D8545" s="13" t="n">
        <f aca="false">IF(B8545&lt;5,Einstellungen!$B$3,Einstellungen!$B$4)</f>
        <v>29.13</v>
      </c>
      <c r="E8545" s="14" t="str">
        <f aca="false">IF(C8545="","",C8545*D8545/100)</f>
        <v/>
      </c>
      <c r="F8545" s="15" t="str">
        <f aca="false">IF(B8545&lt;5,"Go","Standard")</f>
        <v>Standard</v>
      </c>
    </row>
    <row r="8546" customFormat="false" ht="15" hidden="false" customHeight="true" outlineLevel="0" collapsed="false">
      <c r="A8546" s="10" t="n">
        <f aca="false">Einstellungen!$B$5+INT((ROW()-9)/24)</f>
        <v>46321</v>
      </c>
      <c r="B8546" s="11" t="n">
        <f aca="false">MOD(ROW()-9,24)</f>
        <v>17</v>
      </c>
      <c r="C8546" s="12"/>
      <c r="D8546" s="13" t="n">
        <f aca="false">IF(B8546&lt;5,Einstellungen!$B$3,Einstellungen!$B$4)</f>
        <v>29.13</v>
      </c>
      <c r="E8546" s="14" t="str">
        <f aca="false">IF(C8546="","",C8546*D8546/100)</f>
        <v/>
      </c>
      <c r="F8546" s="15" t="str">
        <f aca="false">IF(B8546&lt;5,"Go","Standard")</f>
        <v>Standard</v>
      </c>
    </row>
    <row r="8547" customFormat="false" ht="15" hidden="false" customHeight="true" outlineLevel="0" collapsed="false">
      <c r="A8547" s="10" t="n">
        <f aca="false">Einstellungen!$B$5+INT((ROW()-9)/24)</f>
        <v>46321</v>
      </c>
      <c r="B8547" s="11" t="n">
        <f aca="false">MOD(ROW()-9,24)</f>
        <v>18</v>
      </c>
      <c r="C8547" s="12"/>
      <c r="D8547" s="13" t="n">
        <f aca="false">IF(B8547&lt;5,Einstellungen!$B$3,Einstellungen!$B$4)</f>
        <v>29.13</v>
      </c>
      <c r="E8547" s="14" t="str">
        <f aca="false">IF(C8547="","",C8547*D8547/100)</f>
        <v/>
      </c>
      <c r="F8547" s="15" t="str">
        <f aca="false">IF(B8547&lt;5,"Go","Standard")</f>
        <v>Standard</v>
      </c>
    </row>
    <row r="8548" customFormat="false" ht="15" hidden="false" customHeight="true" outlineLevel="0" collapsed="false">
      <c r="A8548" s="10" t="n">
        <f aca="false">Einstellungen!$B$5+INT((ROW()-9)/24)</f>
        <v>46321</v>
      </c>
      <c r="B8548" s="11" t="n">
        <f aca="false">MOD(ROW()-9,24)</f>
        <v>19</v>
      </c>
      <c r="C8548" s="12"/>
      <c r="D8548" s="13" t="n">
        <f aca="false">IF(B8548&lt;5,Einstellungen!$B$3,Einstellungen!$B$4)</f>
        <v>29.13</v>
      </c>
      <c r="E8548" s="14" t="str">
        <f aca="false">IF(C8548="","",C8548*D8548/100)</f>
        <v/>
      </c>
      <c r="F8548" s="15" t="str">
        <f aca="false">IF(B8548&lt;5,"Go","Standard")</f>
        <v>Standard</v>
      </c>
    </row>
    <row r="8549" customFormat="false" ht="15" hidden="false" customHeight="true" outlineLevel="0" collapsed="false">
      <c r="A8549" s="10" t="n">
        <f aca="false">Einstellungen!$B$5+INT((ROW()-9)/24)</f>
        <v>46321</v>
      </c>
      <c r="B8549" s="11" t="n">
        <f aca="false">MOD(ROW()-9,24)</f>
        <v>20</v>
      </c>
      <c r="C8549" s="12"/>
      <c r="D8549" s="13" t="n">
        <f aca="false">IF(B8549&lt;5,Einstellungen!$B$3,Einstellungen!$B$4)</f>
        <v>29.13</v>
      </c>
      <c r="E8549" s="14" t="str">
        <f aca="false">IF(C8549="","",C8549*D8549/100)</f>
        <v/>
      </c>
      <c r="F8549" s="15" t="str">
        <f aca="false">IF(B8549&lt;5,"Go","Standard")</f>
        <v>Standard</v>
      </c>
    </row>
    <row r="8550" customFormat="false" ht="15" hidden="false" customHeight="true" outlineLevel="0" collapsed="false">
      <c r="A8550" s="10" t="n">
        <f aca="false">Einstellungen!$B$5+INT((ROW()-9)/24)</f>
        <v>46321</v>
      </c>
      <c r="B8550" s="11" t="n">
        <f aca="false">MOD(ROW()-9,24)</f>
        <v>21</v>
      </c>
      <c r="C8550" s="12"/>
      <c r="D8550" s="13" t="n">
        <f aca="false">IF(B8550&lt;5,Einstellungen!$B$3,Einstellungen!$B$4)</f>
        <v>29.13</v>
      </c>
      <c r="E8550" s="14" t="str">
        <f aca="false">IF(C8550="","",C8550*D8550/100)</f>
        <v/>
      </c>
      <c r="F8550" s="15" t="str">
        <f aca="false">IF(B8550&lt;5,"Go","Standard")</f>
        <v>Standard</v>
      </c>
    </row>
    <row r="8551" customFormat="false" ht="15" hidden="false" customHeight="true" outlineLevel="0" collapsed="false">
      <c r="A8551" s="10" t="n">
        <f aca="false">Einstellungen!$B$5+INT((ROW()-9)/24)</f>
        <v>46321</v>
      </c>
      <c r="B8551" s="11" t="n">
        <f aca="false">MOD(ROW()-9,24)</f>
        <v>22</v>
      </c>
      <c r="C8551" s="12"/>
      <c r="D8551" s="13" t="n">
        <f aca="false">IF(B8551&lt;5,Einstellungen!$B$3,Einstellungen!$B$4)</f>
        <v>29.13</v>
      </c>
      <c r="E8551" s="14" t="str">
        <f aca="false">IF(C8551="","",C8551*D8551/100)</f>
        <v/>
      </c>
      <c r="F8551" s="15" t="str">
        <f aca="false">IF(B8551&lt;5,"Go","Standard")</f>
        <v>Standard</v>
      </c>
    </row>
    <row r="8552" customFormat="false" ht="15" hidden="false" customHeight="true" outlineLevel="0" collapsed="false">
      <c r="A8552" s="10" t="n">
        <f aca="false">Einstellungen!$B$5+INT((ROW()-9)/24)</f>
        <v>46321</v>
      </c>
      <c r="B8552" s="11" t="n">
        <f aca="false">MOD(ROW()-9,24)</f>
        <v>23</v>
      </c>
      <c r="C8552" s="12"/>
      <c r="D8552" s="13" t="n">
        <f aca="false">IF(B8552&lt;5,Einstellungen!$B$3,Einstellungen!$B$4)</f>
        <v>29.13</v>
      </c>
      <c r="E8552" s="14" t="str">
        <f aca="false">IF(C8552="","",C8552*D8552/100)</f>
        <v/>
      </c>
      <c r="F8552" s="15" t="str">
        <f aca="false">IF(B8552&lt;5,"Go","Standard")</f>
        <v>Standard</v>
      </c>
    </row>
    <row r="8553" customFormat="false" ht="15" hidden="false" customHeight="true" outlineLevel="0" collapsed="false">
      <c r="A8553" s="10" t="n">
        <f aca="false">Einstellungen!$B$5+INT((ROW()-9)/24)</f>
        <v>46322</v>
      </c>
      <c r="B8553" s="11" t="n">
        <f aca="false">MOD(ROW()-9,24)</f>
        <v>0</v>
      </c>
      <c r="C8553" s="12"/>
      <c r="D8553" s="13" t="n">
        <f aca="false">IF(B8553&lt;5,Einstellungen!$B$3,Einstellungen!$B$4)</f>
        <v>15.92</v>
      </c>
      <c r="E8553" s="14" t="str">
        <f aca="false">IF(C8553="","",C8553*D8553/100)</f>
        <v/>
      </c>
      <c r="F8553" s="15" t="str">
        <f aca="false">IF(B8553&lt;5,"Go","Standard")</f>
        <v>Go</v>
      </c>
    </row>
    <row r="8554" customFormat="false" ht="15" hidden="false" customHeight="true" outlineLevel="0" collapsed="false">
      <c r="A8554" s="10" t="n">
        <f aca="false">Einstellungen!$B$5+INT((ROW()-9)/24)</f>
        <v>46322</v>
      </c>
      <c r="B8554" s="11" t="n">
        <f aca="false">MOD(ROW()-9,24)</f>
        <v>1</v>
      </c>
      <c r="C8554" s="12"/>
      <c r="D8554" s="13" t="n">
        <f aca="false">IF(B8554&lt;5,Einstellungen!$B$3,Einstellungen!$B$4)</f>
        <v>15.92</v>
      </c>
      <c r="E8554" s="14" t="str">
        <f aca="false">IF(C8554="","",C8554*D8554/100)</f>
        <v/>
      </c>
      <c r="F8554" s="15" t="str">
        <f aca="false">IF(B8554&lt;5,"Go","Standard")</f>
        <v>Go</v>
      </c>
    </row>
    <row r="8555" customFormat="false" ht="15" hidden="false" customHeight="true" outlineLevel="0" collapsed="false">
      <c r="A8555" s="10" t="n">
        <f aca="false">Einstellungen!$B$5+INT((ROW()-9)/24)</f>
        <v>46322</v>
      </c>
      <c r="B8555" s="11" t="n">
        <f aca="false">MOD(ROW()-9,24)</f>
        <v>2</v>
      </c>
      <c r="C8555" s="12"/>
      <c r="D8555" s="13" t="n">
        <f aca="false">IF(B8555&lt;5,Einstellungen!$B$3,Einstellungen!$B$4)</f>
        <v>15.92</v>
      </c>
      <c r="E8555" s="14" t="str">
        <f aca="false">IF(C8555="","",C8555*D8555/100)</f>
        <v/>
      </c>
      <c r="F8555" s="15" t="str">
        <f aca="false">IF(B8555&lt;5,"Go","Standard")</f>
        <v>Go</v>
      </c>
    </row>
    <row r="8556" customFormat="false" ht="15" hidden="false" customHeight="true" outlineLevel="0" collapsed="false">
      <c r="A8556" s="10" t="n">
        <f aca="false">Einstellungen!$B$5+INT((ROW()-9)/24)</f>
        <v>46322</v>
      </c>
      <c r="B8556" s="11" t="n">
        <f aca="false">MOD(ROW()-9,24)</f>
        <v>3</v>
      </c>
      <c r="C8556" s="12"/>
      <c r="D8556" s="13" t="n">
        <f aca="false">IF(B8556&lt;5,Einstellungen!$B$3,Einstellungen!$B$4)</f>
        <v>15.92</v>
      </c>
      <c r="E8556" s="14" t="str">
        <f aca="false">IF(C8556="","",C8556*D8556/100)</f>
        <v/>
      </c>
      <c r="F8556" s="15" t="str">
        <f aca="false">IF(B8556&lt;5,"Go","Standard")</f>
        <v>Go</v>
      </c>
    </row>
    <row r="8557" customFormat="false" ht="15" hidden="false" customHeight="true" outlineLevel="0" collapsed="false">
      <c r="A8557" s="10" t="n">
        <f aca="false">Einstellungen!$B$5+INT((ROW()-9)/24)</f>
        <v>46322</v>
      </c>
      <c r="B8557" s="11" t="n">
        <f aca="false">MOD(ROW()-9,24)</f>
        <v>4</v>
      </c>
      <c r="C8557" s="12"/>
      <c r="D8557" s="13" t="n">
        <f aca="false">IF(B8557&lt;5,Einstellungen!$B$3,Einstellungen!$B$4)</f>
        <v>15.92</v>
      </c>
      <c r="E8557" s="14" t="str">
        <f aca="false">IF(C8557="","",C8557*D8557/100)</f>
        <v/>
      </c>
      <c r="F8557" s="15" t="str">
        <f aca="false">IF(B8557&lt;5,"Go","Standard")</f>
        <v>Go</v>
      </c>
    </row>
    <row r="8558" customFormat="false" ht="15" hidden="false" customHeight="true" outlineLevel="0" collapsed="false">
      <c r="A8558" s="10" t="n">
        <f aca="false">Einstellungen!$B$5+INT((ROW()-9)/24)</f>
        <v>46322</v>
      </c>
      <c r="B8558" s="11" t="n">
        <f aca="false">MOD(ROW()-9,24)</f>
        <v>5</v>
      </c>
      <c r="C8558" s="12"/>
      <c r="D8558" s="13" t="n">
        <f aca="false">IF(B8558&lt;5,Einstellungen!$B$3,Einstellungen!$B$4)</f>
        <v>29.13</v>
      </c>
      <c r="E8558" s="14" t="str">
        <f aca="false">IF(C8558="","",C8558*D8558/100)</f>
        <v/>
      </c>
      <c r="F8558" s="15" t="str">
        <f aca="false">IF(B8558&lt;5,"Go","Standard")</f>
        <v>Standard</v>
      </c>
    </row>
    <row r="8559" customFormat="false" ht="15" hidden="false" customHeight="true" outlineLevel="0" collapsed="false">
      <c r="A8559" s="10" t="n">
        <f aca="false">Einstellungen!$B$5+INT((ROW()-9)/24)</f>
        <v>46322</v>
      </c>
      <c r="B8559" s="11" t="n">
        <f aca="false">MOD(ROW()-9,24)</f>
        <v>6</v>
      </c>
      <c r="C8559" s="12"/>
      <c r="D8559" s="13" t="n">
        <f aca="false">IF(B8559&lt;5,Einstellungen!$B$3,Einstellungen!$B$4)</f>
        <v>29.13</v>
      </c>
      <c r="E8559" s="14" t="str">
        <f aca="false">IF(C8559="","",C8559*D8559/100)</f>
        <v/>
      </c>
      <c r="F8559" s="15" t="str">
        <f aca="false">IF(B8559&lt;5,"Go","Standard")</f>
        <v>Standard</v>
      </c>
    </row>
    <row r="8560" customFormat="false" ht="15" hidden="false" customHeight="true" outlineLevel="0" collapsed="false">
      <c r="A8560" s="10" t="n">
        <f aca="false">Einstellungen!$B$5+INT((ROW()-9)/24)</f>
        <v>46322</v>
      </c>
      <c r="B8560" s="11" t="n">
        <f aca="false">MOD(ROW()-9,24)</f>
        <v>7</v>
      </c>
      <c r="C8560" s="12"/>
      <c r="D8560" s="13" t="n">
        <f aca="false">IF(B8560&lt;5,Einstellungen!$B$3,Einstellungen!$B$4)</f>
        <v>29.13</v>
      </c>
      <c r="E8560" s="14" t="str">
        <f aca="false">IF(C8560="","",C8560*D8560/100)</f>
        <v/>
      </c>
      <c r="F8560" s="15" t="str">
        <f aca="false">IF(B8560&lt;5,"Go","Standard")</f>
        <v>Standard</v>
      </c>
    </row>
    <row r="8561" customFormat="false" ht="15" hidden="false" customHeight="true" outlineLevel="0" collapsed="false">
      <c r="A8561" s="10" t="n">
        <f aca="false">Einstellungen!$B$5+INT((ROW()-9)/24)</f>
        <v>46322</v>
      </c>
      <c r="B8561" s="11" t="n">
        <f aca="false">MOD(ROW()-9,24)</f>
        <v>8</v>
      </c>
      <c r="C8561" s="12"/>
      <c r="D8561" s="13" t="n">
        <f aca="false">IF(B8561&lt;5,Einstellungen!$B$3,Einstellungen!$B$4)</f>
        <v>29.13</v>
      </c>
      <c r="E8561" s="14" t="str">
        <f aca="false">IF(C8561="","",C8561*D8561/100)</f>
        <v/>
      </c>
      <c r="F8561" s="15" t="str">
        <f aca="false">IF(B8561&lt;5,"Go","Standard")</f>
        <v>Standard</v>
      </c>
    </row>
    <row r="8562" customFormat="false" ht="15" hidden="false" customHeight="true" outlineLevel="0" collapsed="false">
      <c r="A8562" s="10" t="n">
        <f aca="false">Einstellungen!$B$5+INT((ROW()-9)/24)</f>
        <v>46322</v>
      </c>
      <c r="B8562" s="11" t="n">
        <f aca="false">MOD(ROW()-9,24)</f>
        <v>9</v>
      </c>
      <c r="C8562" s="12"/>
      <c r="D8562" s="13" t="n">
        <f aca="false">IF(B8562&lt;5,Einstellungen!$B$3,Einstellungen!$B$4)</f>
        <v>29.13</v>
      </c>
      <c r="E8562" s="14" t="str">
        <f aca="false">IF(C8562="","",C8562*D8562/100)</f>
        <v/>
      </c>
      <c r="F8562" s="15" t="str">
        <f aca="false">IF(B8562&lt;5,"Go","Standard")</f>
        <v>Standard</v>
      </c>
    </row>
    <row r="8563" customFormat="false" ht="15" hidden="false" customHeight="true" outlineLevel="0" collapsed="false">
      <c r="A8563" s="10" t="n">
        <f aca="false">Einstellungen!$B$5+INT((ROW()-9)/24)</f>
        <v>46322</v>
      </c>
      <c r="B8563" s="11" t="n">
        <f aca="false">MOD(ROW()-9,24)</f>
        <v>10</v>
      </c>
      <c r="C8563" s="12"/>
      <c r="D8563" s="13" t="n">
        <f aca="false">IF(B8563&lt;5,Einstellungen!$B$3,Einstellungen!$B$4)</f>
        <v>29.13</v>
      </c>
      <c r="E8563" s="14" t="str">
        <f aca="false">IF(C8563="","",C8563*D8563/100)</f>
        <v/>
      </c>
      <c r="F8563" s="15" t="str">
        <f aca="false">IF(B8563&lt;5,"Go","Standard")</f>
        <v>Standard</v>
      </c>
    </row>
    <row r="8564" customFormat="false" ht="15" hidden="false" customHeight="true" outlineLevel="0" collapsed="false">
      <c r="A8564" s="10" t="n">
        <f aca="false">Einstellungen!$B$5+INT((ROW()-9)/24)</f>
        <v>46322</v>
      </c>
      <c r="B8564" s="11" t="n">
        <f aca="false">MOD(ROW()-9,24)</f>
        <v>11</v>
      </c>
      <c r="C8564" s="12"/>
      <c r="D8564" s="13" t="n">
        <f aca="false">IF(B8564&lt;5,Einstellungen!$B$3,Einstellungen!$B$4)</f>
        <v>29.13</v>
      </c>
      <c r="E8564" s="14" t="str">
        <f aca="false">IF(C8564="","",C8564*D8564/100)</f>
        <v/>
      </c>
      <c r="F8564" s="15" t="str">
        <f aca="false">IF(B8564&lt;5,"Go","Standard")</f>
        <v>Standard</v>
      </c>
    </row>
    <row r="8565" customFormat="false" ht="15" hidden="false" customHeight="true" outlineLevel="0" collapsed="false">
      <c r="A8565" s="10" t="n">
        <f aca="false">Einstellungen!$B$5+INT((ROW()-9)/24)</f>
        <v>46322</v>
      </c>
      <c r="B8565" s="11" t="n">
        <f aca="false">MOD(ROW()-9,24)</f>
        <v>12</v>
      </c>
      <c r="C8565" s="12"/>
      <c r="D8565" s="13" t="n">
        <f aca="false">IF(B8565&lt;5,Einstellungen!$B$3,Einstellungen!$B$4)</f>
        <v>29.13</v>
      </c>
      <c r="E8565" s="14" t="str">
        <f aca="false">IF(C8565="","",C8565*D8565/100)</f>
        <v/>
      </c>
      <c r="F8565" s="15" t="str">
        <f aca="false">IF(B8565&lt;5,"Go","Standard")</f>
        <v>Standard</v>
      </c>
    </row>
    <row r="8566" customFormat="false" ht="15" hidden="false" customHeight="true" outlineLevel="0" collapsed="false">
      <c r="A8566" s="10" t="n">
        <f aca="false">Einstellungen!$B$5+INT((ROW()-9)/24)</f>
        <v>46322</v>
      </c>
      <c r="B8566" s="11" t="n">
        <f aca="false">MOD(ROW()-9,24)</f>
        <v>13</v>
      </c>
      <c r="C8566" s="12"/>
      <c r="D8566" s="13" t="n">
        <f aca="false">IF(B8566&lt;5,Einstellungen!$B$3,Einstellungen!$B$4)</f>
        <v>29.13</v>
      </c>
      <c r="E8566" s="14" t="str">
        <f aca="false">IF(C8566="","",C8566*D8566/100)</f>
        <v/>
      </c>
      <c r="F8566" s="15" t="str">
        <f aca="false">IF(B8566&lt;5,"Go","Standard")</f>
        <v>Standard</v>
      </c>
    </row>
    <row r="8567" customFormat="false" ht="15" hidden="false" customHeight="true" outlineLevel="0" collapsed="false">
      <c r="A8567" s="10" t="n">
        <f aca="false">Einstellungen!$B$5+INT((ROW()-9)/24)</f>
        <v>46322</v>
      </c>
      <c r="B8567" s="11" t="n">
        <f aca="false">MOD(ROW()-9,24)</f>
        <v>14</v>
      </c>
      <c r="C8567" s="12"/>
      <c r="D8567" s="13" t="n">
        <f aca="false">IF(B8567&lt;5,Einstellungen!$B$3,Einstellungen!$B$4)</f>
        <v>29.13</v>
      </c>
      <c r="E8567" s="14" t="str">
        <f aca="false">IF(C8567="","",C8567*D8567/100)</f>
        <v/>
      </c>
      <c r="F8567" s="15" t="str">
        <f aca="false">IF(B8567&lt;5,"Go","Standard")</f>
        <v>Standard</v>
      </c>
    </row>
    <row r="8568" customFormat="false" ht="15" hidden="false" customHeight="true" outlineLevel="0" collapsed="false">
      <c r="A8568" s="10" t="n">
        <f aca="false">Einstellungen!$B$5+INT((ROW()-9)/24)</f>
        <v>46322</v>
      </c>
      <c r="B8568" s="11" t="n">
        <f aca="false">MOD(ROW()-9,24)</f>
        <v>15</v>
      </c>
      <c r="C8568" s="12"/>
      <c r="D8568" s="13" t="n">
        <f aca="false">IF(B8568&lt;5,Einstellungen!$B$3,Einstellungen!$B$4)</f>
        <v>29.13</v>
      </c>
      <c r="E8568" s="14" t="str">
        <f aca="false">IF(C8568="","",C8568*D8568/100)</f>
        <v/>
      </c>
      <c r="F8568" s="15" t="str">
        <f aca="false">IF(B8568&lt;5,"Go","Standard")</f>
        <v>Standard</v>
      </c>
    </row>
    <row r="8569" customFormat="false" ht="15" hidden="false" customHeight="true" outlineLevel="0" collapsed="false">
      <c r="A8569" s="10" t="n">
        <f aca="false">Einstellungen!$B$5+INT((ROW()-9)/24)</f>
        <v>46322</v>
      </c>
      <c r="B8569" s="11" t="n">
        <f aca="false">MOD(ROW()-9,24)</f>
        <v>16</v>
      </c>
      <c r="C8569" s="12"/>
      <c r="D8569" s="13" t="n">
        <f aca="false">IF(B8569&lt;5,Einstellungen!$B$3,Einstellungen!$B$4)</f>
        <v>29.13</v>
      </c>
      <c r="E8569" s="14" t="str">
        <f aca="false">IF(C8569="","",C8569*D8569/100)</f>
        <v/>
      </c>
      <c r="F8569" s="15" t="str">
        <f aca="false">IF(B8569&lt;5,"Go","Standard")</f>
        <v>Standard</v>
      </c>
    </row>
    <row r="8570" customFormat="false" ht="15" hidden="false" customHeight="true" outlineLevel="0" collapsed="false">
      <c r="A8570" s="10" t="n">
        <f aca="false">Einstellungen!$B$5+INT((ROW()-9)/24)</f>
        <v>46322</v>
      </c>
      <c r="B8570" s="11" t="n">
        <f aca="false">MOD(ROW()-9,24)</f>
        <v>17</v>
      </c>
      <c r="C8570" s="12"/>
      <c r="D8570" s="13" t="n">
        <f aca="false">IF(B8570&lt;5,Einstellungen!$B$3,Einstellungen!$B$4)</f>
        <v>29.13</v>
      </c>
      <c r="E8570" s="14" t="str">
        <f aca="false">IF(C8570="","",C8570*D8570/100)</f>
        <v/>
      </c>
      <c r="F8570" s="15" t="str">
        <f aca="false">IF(B8570&lt;5,"Go","Standard")</f>
        <v>Standard</v>
      </c>
    </row>
    <row r="8571" customFormat="false" ht="15" hidden="false" customHeight="true" outlineLevel="0" collapsed="false">
      <c r="A8571" s="10" t="n">
        <f aca="false">Einstellungen!$B$5+INT((ROW()-9)/24)</f>
        <v>46322</v>
      </c>
      <c r="B8571" s="11" t="n">
        <f aca="false">MOD(ROW()-9,24)</f>
        <v>18</v>
      </c>
      <c r="C8571" s="12"/>
      <c r="D8571" s="13" t="n">
        <f aca="false">IF(B8571&lt;5,Einstellungen!$B$3,Einstellungen!$B$4)</f>
        <v>29.13</v>
      </c>
      <c r="E8571" s="14" t="str">
        <f aca="false">IF(C8571="","",C8571*D8571/100)</f>
        <v/>
      </c>
      <c r="F8571" s="15" t="str">
        <f aca="false">IF(B8571&lt;5,"Go","Standard")</f>
        <v>Standard</v>
      </c>
    </row>
    <row r="8572" customFormat="false" ht="15" hidden="false" customHeight="true" outlineLevel="0" collapsed="false">
      <c r="A8572" s="10" t="n">
        <f aca="false">Einstellungen!$B$5+INT((ROW()-9)/24)</f>
        <v>46322</v>
      </c>
      <c r="B8572" s="11" t="n">
        <f aca="false">MOD(ROW()-9,24)</f>
        <v>19</v>
      </c>
      <c r="C8572" s="12"/>
      <c r="D8572" s="13" t="n">
        <f aca="false">IF(B8572&lt;5,Einstellungen!$B$3,Einstellungen!$B$4)</f>
        <v>29.13</v>
      </c>
      <c r="E8572" s="14" t="str">
        <f aca="false">IF(C8572="","",C8572*D8572/100)</f>
        <v/>
      </c>
      <c r="F8572" s="15" t="str">
        <f aca="false">IF(B8572&lt;5,"Go","Standard")</f>
        <v>Standard</v>
      </c>
    </row>
    <row r="8573" customFormat="false" ht="15" hidden="false" customHeight="true" outlineLevel="0" collapsed="false">
      <c r="A8573" s="10" t="n">
        <f aca="false">Einstellungen!$B$5+INT((ROW()-9)/24)</f>
        <v>46322</v>
      </c>
      <c r="B8573" s="11" t="n">
        <f aca="false">MOD(ROW()-9,24)</f>
        <v>20</v>
      </c>
      <c r="C8573" s="12"/>
      <c r="D8573" s="13" t="n">
        <f aca="false">IF(B8573&lt;5,Einstellungen!$B$3,Einstellungen!$B$4)</f>
        <v>29.13</v>
      </c>
      <c r="E8573" s="14" t="str">
        <f aca="false">IF(C8573="","",C8573*D8573/100)</f>
        <v/>
      </c>
      <c r="F8573" s="15" t="str">
        <f aca="false">IF(B8573&lt;5,"Go","Standard")</f>
        <v>Standard</v>
      </c>
    </row>
    <row r="8574" customFormat="false" ht="15" hidden="false" customHeight="true" outlineLevel="0" collapsed="false">
      <c r="A8574" s="10" t="n">
        <f aca="false">Einstellungen!$B$5+INT((ROW()-9)/24)</f>
        <v>46322</v>
      </c>
      <c r="B8574" s="11" t="n">
        <f aca="false">MOD(ROW()-9,24)</f>
        <v>21</v>
      </c>
      <c r="C8574" s="12"/>
      <c r="D8574" s="13" t="n">
        <f aca="false">IF(B8574&lt;5,Einstellungen!$B$3,Einstellungen!$B$4)</f>
        <v>29.13</v>
      </c>
      <c r="E8574" s="14" t="str">
        <f aca="false">IF(C8574="","",C8574*D8574/100)</f>
        <v/>
      </c>
      <c r="F8574" s="15" t="str">
        <f aca="false">IF(B8574&lt;5,"Go","Standard")</f>
        <v>Standard</v>
      </c>
    </row>
    <row r="8575" customFormat="false" ht="15" hidden="false" customHeight="true" outlineLevel="0" collapsed="false">
      <c r="A8575" s="10" t="n">
        <f aca="false">Einstellungen!$B$5+INT((ROW()-9)/24)</f>
        <v>46322</v>
      </c>
      <c r="B8575" s="11" t="n">
        <f aca="false">MOD(ROW()-9,24)</f>
        <v>22</v>
      </c>
      <c r="C8575" s="12"/>
      <c r="D8575" s="13" t="n">
        <f aca="false">IF(B8575&lt;5,Einstellungen!$B$3,Einstellungen!$B$4)</f>
        <v>29.13</v>
      </c>
      <c r="E8575" s="14" t="str">
        <f aca="false">IF(C8575="","",C8575*D8575/100)</f>
        <v/>
      </c>
      <c r="F8575" s="15" t="str">
        <f aca="false">IF(B8575&lt;5,"Go","Standard")</f>
        <v>Standard</v>
      </c>
    </row>
    <row r="8576" customFormat="false" ht="15" hidden="false" customHeight="true" outlineLevel="0" collapsed="false">
      <c r="A8576" s="10" t="n">
        <f aca="false">Einstellungen!$B$5+INT((ROW()-9)/24)</f>
        <v>46322</v>
      </c>
      <c r="B8576" s="11" t="n">
        <f aca="false">MOD(ROW()-9,24)</f>
        <v>23</v>
      </c>
      <c r="C8576" s="12"/>
      <c r="D8576" s="13" t="n">
        <f aca="false">IF(B8576&lt;5,Einstellungen!$B$3,Einstellungen!$B$4)</f>
        <v>29.13</v>
      </c>
      <c r="E8576" s="14" t="str">
        <f aca="false">IF(C8576="","",C8576*D8576/100)</f>
        <v/>
      </c>
      <c r="F8576" s="15" t="str">
        <f aca="false">IF(B8576&lt;5,"Go","Standard")</f>
        <v>Standard</v>
      </c>
    </row>
    <row r="8577" customFormat="false" ht="15" hidden="false" customHeight="true" outlineLevel="0" collapsed="false">
      <c r="A8577" s="10" t="n">
        <f aca="false">Einstellungen!$B$5+INT((ROW()-9)/24)</f>
        <v>46323</v>
      </c>
      <c r="B8577" s="11" t="n">
        <f aca="false">MOD(ROW()-9,24)</f>
        <v>0</v>
      </c>
      <c r="C8577" s="12"/>
      <c r="D8577" s="13" t="n">
        <f aca="false">IF(B8577&lt;5,Einstellungen!$B$3,Einstellungen!$B$4)</f>
        <v>15.92</v>
      </c>
      <c r="E8577" s="14" t="str">
        <f aca="false">IF(C8577="","",C8577*D8577/100)</f>
        <v/>
      </c>
      <c r="F8577" s="15" t="str">
        <f aca="false">IF(B8577&lt;5,"Go","Standard")</f>
        <v>Go</v>
      </c>
    </row>
    <row r="8578" customFormat="false" ht="15" hidden="false" customHeight="true" outlineLevel="0" collapsed="false">
      <c r="A8578" s="10" t="n">
        <f aca="false">Einstellungen!$B$5+INT((ROW()-9)/24)</f>
        <v>46323</v>
      </c>
      <c r="B8578" s="11" t="n">
        <f aca="false">MOD(ROW()-9,24)</f>
        <v>1</v>
      </c>
      <c r="C8578" s="12"/>
      <c r="D8578" s="13" t="n">
        <f aca="false">IF(B8578&lt;5,Einstellungen!$B$3,Einstellungen!$B$4)</f>
        <v>15.92</v>
      </c>
      <c r="E8578" s="14" t="str">
        <f aca="false">IF(C8578="","",C8578*D8578/100)</f>
        <v/>
      </c>
      <c r="F8578" s="15" t="str">
        <f aca="false">IF(B8578&lt;5,"Go","Standard")</f>
        <v>Go</v>
      </c>
    </row>
    <row r="8579" customFormat="false" ht="15" hidden="false" customHeight="true" outlineLevel="0" collapsed="false">
      <c r="A8579" s="10" t="n">
        <f aca="false">Einstellungen!$B$5+INT((ROW()-9)/24)</f>
        <v>46323</v>
      </c>
      <c r="B8579" s="11" t="n">
        <f aca="false">MOD(ROW()-9,24)</f>
        <v>2</v>
      </c>
      <c r="C8579" s="12"/>
      <c r="D8579" s="13" t="n">
        <f aca="false">IF(B8579&lt;5,Einstellungen!$B$3,Einstellungen!$B$4)</f>
        <v>15.92</v>
      </c>
      <c r="E8579" s="14" t="str">
        <f aca="false">IF(C8579="","",C8579*D8579/100)</f>
        <v/>
      </c>
      <c r="F8579" s="15" t="str">
        <f aca="false">IF(B8579&lt;5,"Go","Standard")</f>
        <v>Go</v>
      </c>
    </row>
    <row r="8580" customFormat="false" ht="15" hidden="false" customHeight="true" outlineLevel="0" collapsed="false">
      <c r="A8580" s="10" t="n">
        <f aca="false">Einstellungen!$B$5+INT((ROW()-9)/24)</f>
        <v>46323</v>
      </c>
      <c r="B8580" s="11" t="n">
        <f aca="false">MOD(ROW()-9,24)</f>
        <v>3</v>
      </c>
      <c r="C8580" s="12"/>
      <c r="D8580" s="13" t="n">
        <f aca="false">IF(B8580&lt;5,Einstellungen!$B$3,Einstellungen!$B$4)</f>
        <v>15.92</v>
      </c>
      <c r="E8580" s="14" t="str">
        <f aca="false">IF(C8580="","",C8580*D8580/100)</f>
        <v/>
      </c>
      <c r="F8580" s="15" t="str">
        <f aca="false">IF(B8580&lt;5,"Go","Standard")</f>
        <v>Go</v>
      </c>
    </row>
    <row r="8581" customFormat="false" ht="15" hidden="false" customHeight="true" outlineLevel="0" collapsed="false">
      <c r="A8581" s="10" t="n">
        <f aca="false">Einstellungen!$B$5+INT((ROW()-9)/24)</f>
        <v>46323</v>
      </c>
      <c r="B8581" s="11" t="n">
        <f aca="false">MOD(ROW()-9,24)</f>
        <v>4</v>
      </c>
      <c r="C8581" s="12"/>
      <c r="D8581" s="13" t="n">
        <f aca="false">IF(B8581&lt;5,Einstellungen!$B$3,Einstellungen!$B$4)</f>
        <v>15.92</v>
      </c>
      <c r="E8581" s="14" t="str">
        <f aca="false">IF(C8581="","",C8581*D8581/100)</f>
        <v/>
      </c>
      <c r="F8581" s="15" t="str">
        <f aca="false">IF(B8581&lt;5,"Go","Standard")</f>
        <v>Go</v>
      </c>
    </row>
    <row r="8582" customFormat="false" ht="15" hidden="false" customHeight="true" outlineLevel="0" collapsed="false">
      <c r="A8582" s="10" t="n">
        <f aca="false">Einstellungen!$B$5+INT((ROW()-9)/24)</f>
        <v>46323</v>
      </c>
      <c r="B8582" s="11" t="n">
        <f aca="false">MOD(ROW()-9,24)</f>
        <v>5</v>
      </c>
      <c r="C8582" s="12"/>
      <c r="D8582" s="13" t="n">
        <f aca="false">IF(B8582&lt;5,Einstellungen!$B$3,Einstellungen!$B$4)</f>
        <v>29.13</v>
      </c>
      <c r="E8582" s="14" t="str">
        <f aca="false">IF(C8582="","",C8582*D8582/100)</f>
        <v/>
      </c>
      <c r="F8582" s="15" t="str">
        <f aca="false">IF(B8582&lt;5,"Go","Standard")</f>
        <v>Standard</v>
      </c>
    </row>
    <row r="8583" customFormat="false" ht="15" hidden="false" customHeight="true" outlineLevel="0" collapsed="false">
      <c r="A8583" s="10" t="n">
        <f aca="false">Einstellungen!$B$5+INT((ROW()-9)/24)</f>
        <v>46323</v>
      </c>
      <c r="B8583" s="11" t="n">
        <f aca="false">MOD(ROW()-9,24)</f>
        <v>6</v>
      </c>
      <c r="C8583" s="12"/>
      <c r="D8583" s="13" t="n">
        <f aca="false">IF(B8583&lt;5,Einstellungen!$B$3,Einstellungen!$B$4)</f>
        <v>29.13</v>
      </c>
      <c r="E8583" s="14" t="str">
        <f aca="false">IF(C8583="","",C8583*D8583/100)</f>
        <v/>
      </c>
      <c r="F8583" s="15" t="str">
        <f aca="false">IF(B8583&lt;5,"Go","Standard")</f>
        <v>Standard</v>
      </c>
    </row>
    <row r="8584" customFormat="false" ht="15" hidden="false" customHeight="true" outlineLevel="0" collapsed="false">
      <c r="A8584" s="10" t="n">
        <f aca="false">Einstellungen!$B$5+INT((ROW()-9)/24)</f>
        <v>46323</v>
      </c>
      <c r="B8584" s="11" t="n">
        <f aca="false">MOD(ROW()-9,24)</f>
        <v>7</v>
      </c>
      <c r="C8584" s="12"/>
      <c r="D8584" s="13" t="n">
        <f aca="false">IF(B8584&lt;5,Einstellungen!$B$3,Einstellungen!$B$4)</f>
        <v>29.13</v>
      </c>
      <c r="E8584" s="14" t="str">
        <f aca="false">IF(C8584="","",C8584*D8584/100)</f>
        <v/>
      </c>
      <c r="F8584" s="15" t="str">
        <f aca="false">IF(B8584&lt;5,"Go","Standard")</f>
        <v>Standard</v>
      </c>
    </row>
    <row r="8585" customFormat="false" ht="15" hidden="false" customHeight="true" outlineLevel="0" collapsed="false">
      <c r="A8585" s="10" t="n">
        <f aca="false">Einstellungen!$B$5+INT((ROW()-9)/24)</f>
        <v>46323</v>
      </c>
      <c r="B8585" s="11" t="n">
        <f aca="false">MOD(ROW()-9,24)</f>
        <v>8</v>
      </c>
      <c r="C8585" s="12"/>
      <c r="D8585" s="13" t="n">
        <f aca="false">IF(B8585&lt;5,Einstellungen!$B$3,Einstellungen!$B$4)</f>
        <v>29.13</v>
      </c>
      <c r="E8585" s="14" t="str">
        <f aca="false">IF(C8585="","",C8585*D8585/100)</f>
        <v/>
      </c>
      <c r="F8585" s="15" t="str">
        <f aca="false">IF(B8585&lt;5,"Go","Standard")</f>
        <v>Standard</v>
      </c>
    </row>
    <row r="8586" customFormat="false" ht="15" hidden="false" customHeight="true" outlineLevel="0" collapsed="false">
      <c r="A8586" s="10" t="n">
        <f aca="false">Einstellungen!$B$5+INT((ROW()-9)/24)</f>
        <v>46323</v>
      </c>
      <c r="B8586" s="11" t="n">
        <f aca="false">MOD(ROW()-9,24)</f>
        <v>9</v>
      </c>
      <c r="C8586" s="12"/>
      <c r="D8586" s="13" t="n">
        <f aca="false">IF(B8586&lt;5,Einstellungen!$B$3,Einstellungen!$B$4)</f>
        <v>29.13</v>
      </c>
      <c r="E8586" s="14" t="str">
        <f aca="false">IF(C8586="","",C8586*D8586/100)</f>
        <v/>
      </c>
      <c r="F8586" s="15" t="str">
        <f aca="false">IF(B8586&lt;5,"Go","Standard")</f>
        <v>Standard</v>
      </c>
    </row>
    <row r="8587" customFormat="false" ht="15" hidden="false" customHeight="true" outlineLevel="0" collapsed="false">
      <c r="A8587" s="10" t="n">
        <f aca="false">Einstellungen!$B$5+INT((ROW()-9)/24)</f>
        <v>46323</v>
      </c>
      <c r="B8587" s="11" t="n">
        <f aca="false">MOD(ROW()-9,24)</f>
        <v>10</v>
      </c>
      <c r="C8587" s="12"/>
      <c r="D8587" s="13" t="n">
        <f aca="false">IF(B8587&lt;5,Einstellungen!$B$3,Einstellungen!$B$4)</f>
        <v>29.13</v>
      </c>
      <c r="E8587" s="14" t="str">
        <f aca="false">IF(C8587="","",C8587*D8587/100)</f>
        <v/>
      </c>
      <c r="F8587" s="15" t="str">
        <f aca="false">IF(B8587&lt;5,"Go","Standard")</f>
        <v>Standard</v>
      </c>
    </row>
    <row r="8588" customFormat="false" ht="15" hidden="false" customHeight="true" outlineLevel="0" collapsed="false">
      <c r="A8588" s="10" t="n">
        <f aca="false">Einstellungen!$B$5+INT((ROW()-9)/24)</f>
        <v>46323</v>
      </c>
      <c r="B8588" s="11" t="n">
        <f aca="false">MOD(ROW()-9,24)</f>
        <v>11</v>
      </c>
      <c r="C8588" s="12"/>
      <c r="D8588" s="13" t="n">
        <f aca="false">IF(B8588&lt;5,Einstellungen!$B$3,Einstellungen!$B$4)</f>
        <v>29.13</v>
      </c>
      <c r="E8588" s="14" t="str">
        <f aca="false">IF(C8588="","",C8588*D8588/100)</f>
        <v/>
      </c>
      <c r="F8588" s="15" t="str">
        <f aca="false">IF(B8588&lt;5,"Go","Standard")</f>
        <v>Standard</v>
      </c>
    </row>
    <row r="8589" customFormat="false" ht="15" hidden="false" customHeight="true" outlineLevel="0" collapsed="false">
      <c r="A8589" s="10" t="n">
        <f aca="false">Einstellungen!$B$5+INT((ROW()-9)/24)</f>
        <v>46323</v>
      </c>
      <c r="B8589" s="11" t="n">
        <f aca="false">MOD(ROW()-9,24)</f>
        <v>12</v>
      </c>
      <c r="C8589" s="12"/>
      <c r="D8589" s="13" t="n">
        <f aca="false">IF(B8589&lt;5,Einstellungen!$B$3,Einstellungen!$B$4)</f>
        <v>29.13</v>
      </c>
      <c r="E8589" s="14" t="str">
        <f aca="false">IF(C8589="","",C8589*D8589/100)</f>
        <v/>
      </c>
      <c r="F8589" s="15" t="str">
        <f aca="false">IF(B8589&lt;5,"Go","Standard")</f>
        <v>Standard</v>
      </c>
    </row>
    <row r="8590" customFormat="false" ht="15" hidden="false" customHeight="true" outlineLevel="0" collapsed="false">
      <c r="A8590" s="10" t="n">
        <f aca="false">Einstellungen!$B$5+INT((ROW()-9)/24)</f>
        <v>46323</v>
      </c>
      <c r="B8590" s="11" t="n">
        <f aca="false">MOD(ROW()-9,24)</f>
        <v>13</v>
      </c>
      <c r="C8590" s="12"/>
      <c r="D8590" s="13" t="n">
        <f aca="false">IF(B8590&lt;5,Einstellungen!$B$3,Einstellungen!$B$4)</f>
        <v>29.13</v>
      </c>
      <c r="E8590" s="14" t="str">
        <f aca="false">IF(C8590="","",C8590*D8590/100)</f>
        <v/>
      </c>
      <c r="F8590" s="15" t="str">
        <f aca="false">IF(B8590&lt;5,"Go","Standard")</f>
        <v>Standard</v>
      </c>
    </row>
    <row r="8591" customFormat="false" ht="15" hidden="false" customHeight="true" outlineLevel="0" collapsed="false">
      <c r="A8591" s="10" t="n">
        <f aca="false">Einstellungen!$B$5+INT((ROW()-9)/24)</f>
        <v>46323</v>
      </c>
      <c r="B8591" s="11" t="n">
        <f aca="false">MOD(ROW()-9,24)</f>
        <v>14</v>
      </c>
      <c r="C8591" s="12"/>
      <c r="D8591" s="13" t="n">
        <f aca="false">IF(B8591&lt;5,Einstellungen!$B$3,Einstellungen!$B$4)</f>
        <v>29.13</v>
      </c>
      <c r="E8591" s="14" t="str">
        <f aca="false">IF(C8591="","",C8591*D8591/100)</f>
        <v/>
      </c>
      <c r="F8591" s="15" t="str">
        <f aca="false">IF(B8591&lt;5,"Go","Standard")</f>
        <v>Standard</v>
      </c>
    </row>
    <row r="8592" customFormat="false" ht="15" hidden="false" customHeight="true" outlineLevel="0" collapsed="false">
      <c r="A8592" s="10" t="n">
        <f aca="false">Einstellungen!$B$5+INT((ROW()-9)/24)</f>
        <v>46323</v>
      </c>
      <c r="B8592" s="11" t="n">
        <f aca="false">MOD(ROW()-9,24)</f>
        <v>15</v>
      </c>
      <c r="C8592" s="12"/>
      <c r="D8592" s="13" t="n">
        <f aca="false">IF(B8592&lt;5,Einstellungen!$B$3,Einstellungen!$B$4)</f>
        <v>29.13</v>
      </c>
      <c r="E8592" s="14" t="str">
        <f aca="false">IF(C8592="","",C8592*D8592/100)</f>
        <v/>
      </c>
      <c r="F8592" s="15" t="str">
        <f aca="false">IF(B8592&lt;5,"Go","Standard")</f>
        <v>Standard</v>
      </c>
    </row>
    <row r="8593" customFormat="false" ht="15" hidden="false" customHeight="true" outlineLevel="0" collapsed="false">
      <c r="A8593" s="10" t="n">
        <f aca="false">Einstellungen!$B$5+INT((ROW()-9)/24)</f>
        <v>46323</v>
      </c>
      <c r="B8593" s="11" t="n">
        <f aca="false">MOD(ROW()-9,24)</f>
        <v>16</v>
      </c>
      <c r="C8593" s="12"/>
      <c r="D8593" s="13" t="n">
        <f aca="false">IF(B8593&lt;5,Einstellungen!$B$3,Einstellungen!$B$4)</f>
        <v>29.13</v>
      </c>
      <c r="E8593" s="14" t="str">
        <f aca="false">IF(C8593="","",C8593*D8593/100)</f>
        <v/>
      </c>
      <c r="F8593" s="15" t="str">
        <f aca="false">IF(B8593&lt;5,"Go","Standard")</f>
        <v>Standard</v>
      </c>
    </row>
    <row r="8594" customFormat="false" ht="15" hidden="false" customHeight="true" outlineLevel="0" collapsed="false">
      <c r="A8594" s="10" t="n">
        <f aca="false">Einstellungen!$B$5+INT((ROW()-9)/24)</f>
        <v>46323</v>
      </c>
      <c r="B8594" s="11" t="n">
        <f aca="false">MOD(ROW()-9,24)</f>
        <v>17</v>
      </c>
      <c r="C8594" s="12"/>
      <c r="D8594" s="13" t="n">
        <f aca="false">IF(B8594&lt;5,Einstellungen!$B$3,Einstellungen!$B$4)</f>
        <v>29.13</v>
      </c>
      <c r="E8594" s="14" t="str">
        <f aca="false">IF(C8594="","",C8594*D8594/100)</f>
        <v/>
      </c>
      <c r="F8594" s="15" t="str">
        <f aca="false">IF(B8594&lt;5,"Go","Standard")</f>
        <v>Standard</v>
      </c>
    </row>
    <row r="8595" customFormat="false" ht="15" hidden="false" customHeight="true" outlineLevel="0" collapsed="false">
      <c r="A8595" s="10" t="n">
        <f aca="false">Einstellungen!$B$5+INT((ROW()-9)/24)</f>
        <v>46323</v>
      </c>
      <c r="B8595" s="11" t="n">
        <f aca="false">MOD(ROW()-9,24)</f>
        <v>18</v>
      </c>
      <c r="C8595" s="12"/>
      <c r="D8595" s="13" t="n">
        <f aca="false">IF(B8595&lt;5,Einstellungen!$B$3,Einstellungen!$B$4)</f>
        <v>29.13</v>
      </c>
      <c r="E8595" s="14" t="str">
        <f aca="false">IF(C8595="","",C8595*D8595/100)</f>
        <v/>
      </c>
      <c r="F8595" s="15" t="str">
        <f aca="false">IF(B8595&lt;5,"Go","Standard")</f>
        <v>Standard</v>
      </c>
    </row>
    <row r="8596" customFormat="false" ht="15" hidden="false" customHeight="true" outlineLevel="0" collapsed="false">
      <c r="A8596" s="10" t="n">
        <f aca="false">Einstellungen!$B$5+INT((ROW()-9)/24)</f>
        <v>46323</v>
      </c>
      <c r="B8596" s="11" t="n">
        <f aca="false">MOD(ROW()-9,24)</f>
        <v>19</v>
      </c>
      <c r="C8596" s="12"/>
      <c r="D8596" s="13" t="n">
        <f aca="false">IF(B8596&lt;5,Einstellungen!$B$3,Einstellungen!$B$4)</f>
        <v>29.13</v>
      </c>
      <c r="E8596" s="14" t="str">
        <f aca="false">IF(C8596="","",C8596*D8596/100)</f>
        <v/>
      </c>
      <c r="F8596" s="15" t="str">
        <f aca="false">IF(B8596&lt;5,"Go","Standard")</f>
        <v>Standard</v>
      </c>
    </row>
    <row r="8597" customFormat="false" ht="15" hidden="false" customHeight="true" outlineLevel="0" collapsed="false">
      <c r="A8597" s="10" t="n">
        <f aca="false">Einstellungen!$B$5+INT((ROW()-9)/24)</f>
        <v>46323</v>
      </c>
      <c r="B8597" s="11" t="n">
        <f aca="false">MOD(ROW()-9,24)</f>
        <v>20</v>
      </c>
      <c r="C8597" s="12"/>
      <c r="D8597" s="13" t="n">
        <f aca="false">IF(B8597&lt;5,Einstellungen!$B$3,Einstellungen!$B$4)</f>
        <v>29.13</v>
      </c>
      <c r="E8597" s="14" t="str">
        <f aca="false">IF(C8597="","",C8597*D8597/100)</f>
        <v/>
      </c>
      <c r="F8597" s="15" t="str">
        <f aca="false">IF(B8597&lt;5,"Go","Standard")</f>
        <v>Standard</v>
      </c>
    </row>
    <row r="8598" customFormat="false" ht="15" hidden="false" customHeight="true" outlineLevel="0" collapsed="false">
      <c r="A8598" s="10" t="n">
        <f aca="false">Einstellungen!$B$5+INT((ROW()-9)/24)</f>
        <v>46323</v>
      </c>
      <c r="B8598" s="11" t="n">
        <f aca="false">MOD(ROW()-9,24)</f>
        <v>21</v>
      </c>
      <c r="C8598" s="12"/>
      <c r="D8598" s="13" t="n">
        <f aca="false">IF(B8598&lt;5,Einstellungen!$B$3,Einstellungen!$B$4)</f>
        <v>29.13</v>
      </c>
      <c r="E8598" s="14" t="str">
        <f aca="false">IF(C8598="","",C8598*D8598/100)</f>
        <v/>
      </c>
      <c r="F8598" s="15" t="str">
        <f aca="false">IF(B8598&lt;5,"Go","Standard")</f>
        <v>Standard</v>
      </c>
    </row>
    <row r="8599" customFormat="false" ht="15" hidden="false" customHeight="true" outlineLevel="0" collapsed="false">
      <c r="A8599" s="10" t="n">
        <f aca="false">Einstellungen!$B$5+INT((ROW()-9)/24)</f>
        <v>46323</v>
      </c>
      <c r="B8599" s="11" t="n">
        <f aca="false">MOD(ROW()-9,24)</f>
        <v>22</v>
      </c>
      <c r="C8599" s="12"/>
      <c r="D8599" s="13" t="n">
        <f aca="false">IF(B8599&lt;5,Einstellungen!$B$3,Einstellungen!$B$4)</f>
        <v>29.13</v>
      </c>
      <c r="E8599" s="14" t="str">
        <f aca="false">IF(C8599="","",C8599*D8599/100)</f>
        <v/>
      </c>
      <c r="F8599" s="15" t="str">
        <f aca="false">IF(B8599&lt;5,"Go","Standard")</f>
        <v>Standard</v>
      </c>
    </row>
    <row r="8600" customFormat="false" ht="15" hidden="false" customHeight="true" outlineLevel="0" collapsed="false">
      <c r="A8600" s="10" t="n">
        <f aca="false">Einstellungen!$B$5+INT((ROW()-9)/24)</f>
        <v>46323</v>
      </c>
      <c r="B8600" s="11" t="n">
        <f aca="false">MOD(ROW()-9,24)</f>
        <v>23</v>
      </c>
      <c r="C8600" s="12"/>
      <c r="D8600" s="13" t="n">
        <f aca="false">IF(B8600&lt;5,Einstellungen!$B$3,Einstellungen!$B$4)</f>
        <v>29.13</v>
      </c>
      <c r="E8600" s="14" t="str">
        <f aca="false">IF(C8600="","",C8600*D8600/100)</f>
        <v/>
      </c>
      <c r="F8600" s="15" t="str">
        <f aca="false">IF(B8600&lt;5,"Go","Standard")</f>
        <v>Standard</v>
      </c>
    </row>
    <row r="8601" customFormat="false" ht="15" hidden="false" customHeight="true" outlineLevel="0" collapsed="false">
      <c r="A8601" s="10" t="n">
        <f aca="false">Einstellungen!$B$5+INT((ROW()-9)/24)</f>
        <v>46324</v>
      </c>
      <c r="B8601" s="11" t="n">
        <f aca="false">MOD(ROW()-9,24)</f>
        <v>0</v>
      </c>
      <c r="C8601" s="12"/>
      <c r="D8601" s="13" t="n">
        <f aca="false">IF(B8601&lt;5,Einstellungen!$B$3,Einstellungen!$B$4)</f>
        <v>15.92</v>
      </c>
      <c r="E8601" s="14" t="str">
        <f aca="false">IF(C8601="","",C8601*D8601/100)</f>
        <v/>
      </c>
      <c r="F8601" s="15" t="str">
        <f aca="false">IF(B8601&lt;5,"Go","Standard")</f>
        <v>Go</v>
      </c>
    </row>
    <row r="8602" customFormat="false" ht="15" hidden="false" customHeight="true" outlineLevel="0" collapsed="false">
      <c r="A8602" s="10" t="n">
        <f aca="false">Einstellungen!$B$5+INT((ROW()-9)/24)</f>
        <v>46324</v>
      </c>
      <c r="B8602" s="11" t="n">
        <f aca="false">MOD(ROW()-9,24)</f>
        <v>1</v>
      </c>
      <c r="C8602" s="12"/>
      <c r="D8602" s="13" t="n">
        <f aca="false">IF(B8602&lt;5,Einstellungen!$B$3,Einstellungen!$B$4)</f>
        <v>15.92</v>
      </c>
      <c r="E8602" s="14" t="str">
        <f aca="false">IF(C8602="","",C8602*D8602/100)</f>
        <v/>
      </c>
      <c r="F8602" s="15" t="str">
        <f aca="false">IF(B8602&lt;5,"Go","Standard")</f>
        <v>Go</v>
      </c>
    </row>
    <row r="8603" customFormat="false" ht="15" hidden="false" customHeight="true" outlineLevel="0" collapsed="false">
      <c r="A8603" s="10" t="n">
        <f aca="false">Einstellungen!$B$5+INT((ROW()-9)/24)</f>
        <v>46324</v>
      </c>
      <c r="B8603" s="11" t="n">
        <f aca="false">MOD(ROW()-9,24)</f>
        <v>2</v>
      </c>
      <c r="C8603" s="12"/>
      <c r="D8603" s="13" t="n">
        <f aca="false">IF(B8603&lt;5,Einstellungen!$B$3,Einstellungen!$B$4)</f>
        <v>15.92</v>
      </c>
      <c r="E8603" s="14" t="str">
        <f aca="false">IF(C8603="","",C8603*D8603/100)</f>
        <v/>
      </c>
      <c r="F8603" s="15" t="str">
        <f aca="false">IF(B8603&lt;5,"Go","Standard")</f>
        <v>Go</v>
      </c>
    </row>
    <row r="8604" customFormat="false" ht="15" hidden="false" customHeight="true" outlineLevel="0" collapsed="false">
      <c r="A8604" s="10" t="n">
        <f aca="false">Einstellungen!$B$5+INT((ROW()-9)/24)</f>
        <v>46324</v>
      </c>
      <c r="B8604" s="11" t="n">
        <f aca="false">MOD(ROW()-9,24)</f>
        <v>3</v>
      </c>
      <c r="C8604" s="12"/>
      <c r="D8604" s="13" t="n">
        <f aca="false">IF(B8604&lt;5,Einstellungen!$B$3,Einstellungen!$B$4)</f>
        <v>15.92</v>
      </c>
      <c r="E8604" s="14" t="str">
        <f aca="false">IF(C8604="","",C8604*D8604/100)</f>
        <v/>
      </c>
      <c r="F8604" s="15" t="str">
        <f aca="false">IF(B8604&lt;5,"Go","Standard")</f>
        <v>Go</v>
      </c>
    </row>
    <row r="8605" customFormat="false" ht="15" hidden="false" customHeight="true" outlineLevel="0" collapsed="false">
      <c r="A8605" s="10" t="n">
        <f aca="false">Einstellungen!$B$5+INT((ROW()-9)/24)</f>
        <v>46324</v>
      </c>
      <c r="B8605" s="11" t="n">
        <f aca="false">MOD(ROW()-9,24)</f>
        <v>4</v>
      </c>
      <c r="C8605" s="12"/>
      <c r="D8605" s="13" t="n">
        <f aca="false">IF(B8605&lt;5,Einstellungen!$B$3,Einstellungen!$B$4)</f>
        <v>15.92</v>
      </c>
      <c r="E8605" s="14" t="str">
        <f aca="false">IF(C8605="","",C8605*D8605/100)</f>
        <v/>
      </c>
      <c r="F8605" s="15" t="str">
        <f aca="false">IF(B8605&lt;5,"Go","Standard")</f>
        <v>Go</v>
      </c>
    </row>
    <row r="8606" customFormat="false" ht="15" hidden="false" customHeight="true" outlineLevel="0" collapsed="false">
      <c r="A8606" s="10" t="n">
        <f aca="false">Einstellungen!$B$5+INT((ROW()-9)/24)</f>
        <v>46324</v>
      </c>
      <c r="B8606" s="11" t="n">
        <f aca="false">MOD(ROW()-9,24)</f>
        <v>5</v>
      </c>
      <c r="C8606" s="12"/>
      <c r="D8606" s="13" t="n">
        <f aca="false">IF(B8606&lt;5,Einstellungen!$B$3,Einstellungen!$B$4)</f>
        <v>29.13</v>
      </c>
      <c r="E8606" s="14" t="str">
        <f aca="false">IF(C8606="","",C8606*D8606/100)</f>
        <v/>
      </c>
      <c r="F8606" s="15" t="str">
        <f aca="false">IF(B8606&lt;5,"Go","Standard")</f>
        <v>Standard</v>
      </c>
    </row>
    <row r="8607" customFormat="false" ht="15" hidden="false" customHeight="true" outlineLevel="0" collapsed="false">
      <c r="A8607" s="10" t="n">
        <f aca="false">Einstellungen!$B$5+INT((ROW()-9)/24)</f>
        <v>46324</v>
      </c>
      <c r="B8607" s="11" t="n">
        <f aca="false">MOD(ROW()-9,24)</f>
        <v>6</v>
      </c>
      <c r="C8607" s="12"/>
      <c r="D8607" s="13" t="n">
        <f aca="false">IF(B8607&lt;5,Einstellungen!$B$3,Einstellungen!$B$4)</f>
        <v>29.13</v>
      </c>
      <c r="E8607" s="14" t="str">
        <f aca="false">IF(C8607="","",C8607*D8607/100)</f>
        <v/>
      </c>
      <c r="F8607" s="15" t="str">
        <f aca="false">IF(B8607&lt;5,"Go","Standard")</f>
        <v>Standard</v>
      </c>
    </row>
    <row r="8608" customFormat="false" ht="15" hidden="false" customHeight="true" outlineLevel="0" collapsed="false">
      <c r="A8608" s="10" t="n">
        <f aca="false">Einstellungen!$B$5+INT((ROW()-9)/24)</f>
        <v>46324</v>
      </c>
      <c r="B8608" s="11" t="n">
        <f aca="false">MOD(ROW()-9,24)</f>
        <v>7</v>
      </c>
      <c r="C8608" s="12"/>
      <c r="D8608" s="13" t="n">
        <f aca="false">IF(B8608&lt;5,Einstellungen!$B$3,Einstellungen!$B$4)</f>
        <v>29.13</v>
      </c>
      <c r="E8608" s="14" t="str">
        <f aca="false">IF(C8608="","",C8608*D8608/100)</f>
        <v/>
      </c>
      <c r="F8608" s="15" t="str">
        <f aca="false">IF(B8608&lt;5,"Go","Standard")</f>
        <v>Standard</v>
      </c>
    </row>
    <row r="8609" customFormat="false" ht="15" hidden="false" customHeight="true" outlineLevel="0" collapsed="false">
      <c r="A8609" s="10" t="n">
        <f aca="false">Einstellungen!$B$5+INT((ROW()-9)/24)</f>
        <v>46324</v>
      </c>
      <c r="B8609" s="11" t="n">
        <f aca="false">MOD(ROW()-9,24)</f>
        <v>8</v>
      </c>
      <c r="C8609" s="12"/>
      <c r="D8609" s="13" t="n">
        <f aca="false">IF(B8609&lt;5,Einstellungen!$B$3,Einstellungen!$B$4)</f>
        <v>29.13</v>
      </c>
      <c r="E8609" s="14" t="str">
        <f aca="false">IF(C8609="","",C8609*D8609/100)</f>
        <v/>
      </c>
      <c r="F8609" s="15" t="str">
        <f aca="false">IF(B8609&lt;5,"Go","Standard")</f>
        <v>Standard</v>
      </c>
    </row>
    <row r="8610" customFormat="false" ht="15" hidden="false" customHeight="true" outlineLevel="0" collapsed="false">
      <c r="A8610" s="10" t="n">
        <f aca="false">Einstellungen!$B$5+INT((ROW()-9)/24)</f>
        <v>46324</v>
      </c>
      <c r="B8610" s="11" t="n">
        <f aca="false">MOD(ROW()-9,24)</f>
        <v>9</v>
      </c>
      <c r="C8610" s="12"/>
      <c r="D8610" s="13" t="n">
        <f aca="false">IF(B8610&lt;5,Einstellungen!$B$3,Einstellungen!$B$4)</f>
        <v>29.13</v>
      </c>
      <c r="E8610" s="14" t="str">
        <f aca="false">IF(C8610="","",C8610*D8610/100)</f>
        <v/>
      </c>
      <c r="F8610" s="15" t="str">
        <f aca="false">IF(B8610&lt;5,"Go","Standard")</f>
        <v>Standard</v>
      </c>
    </row>
    <row r="8611" customFormat="false" ht="15" hidden="false" customHeight="true" outlineLevel="0" collapsed="false">
      <c r="A8611" s="10" t="n">
        <f aca="false">Einstellungen!$B$5+INT((ROW()-9)/24)</f>
        <v>46324</v>
      </c>
      <c r="B8611" s="11" t="n">
        <f aca="false">MOD(ROW()-9,24)</f>
        <v>10</v>
      </c>
      <c r="C8611" s="12"/>
      <c r="D8611" s="13" t="n">
        <f aca="false">IF(B8611&lt;5,Einstellungen!$B$3,Einstellungen!$B$4)</f>
        <v>29.13</v>
      </c>
      <c r="E8611" s="14" t="str">
        <f aca="false">IF(C8611="","",C8611*D8611/100)</f>
        <v/>
      </c>
      <c r="F8611" s="15" t="str">
        <f aca="false">IF(B8611&lt;5,"Go","Standard")</f>
        <v>Standard</v>
      </c>
    </row>
    <row r="8612" customFormat="false" ht="15" hidden="false" customHeight="true" outlineLevel="0" collapsed="false">
      <c r="A8612" s="10" t="n">
        <f aca="false">Einstellungen!$B$5+INT((ROW()-9)/24)</f>
        <v>46324</v>
      </c>
      <c r="B8612" s="11" t="n">
        <f aca="false">MOD(ROW()-9,24)</f>
        <v>11</v>
      </c>
      <c r="C8612" s="12"/>
      <c r="D8612" s="13" t="n">
        <f aca="false">IF(B8612&lt;5,Einstellungen!$B$3,Einstellungen!$B$4)</f>
        <v>29.13</v>
      </c>
      <c r="E8612" s="14" t="str">
        <f aca="false">IF(C8612="","",C8612*D8612/100)</f>
        <v/>
      </c>
      <c r="F8612" s="15" t="str">
        <f aca="false">IF(B8612&lt;5,"Go","Standard")</f>
        <v>Standard</v>
      </c>
    </row>
    <row r="8613" customFormat="false" ht="15" hidden="false" customHeight="true" outlineLevel="0" collapsed="false">
      <c r="A8613" s="10" t="n">
        <f aca="false">Einstellungen!$B$5+INT((ROW()-9)/24)</f>
        <v>46324</v>
      </c>
      <c r="B8613" s="11" t="n">
        <f aca="false">MOD(ROW()-9,24)</f>
        <v>12</v>
      </c>
      <c r="C8613" s="12"/>
      <c r="D8613" s="13" t="n">
        <f aca="false">IF(B8613&lt;5,Einstellungen!$B$3,Einstellungen!$B$4)</f>
        <v>29.13</v>
      </c>
      <c r="E8613" s="14" t="str">
        <f aca="false">IF(C8613="","",C8613*D8613/100)</f>
        <v/>
      </c>
      <c r="F8613" s="15" t="str">
        <f aca="false">IF(B8613&lt;5,"Go","Standard")</f>
        <v>Standard</v>
      </c>
    </row>
    <row r="8614" customFormat="false" ht="15" hidden="false" customHeight="true" outlineLevel="0" collapsed="false">
      <c r="A8614" s="10" t="n">
        <f aca="false">Einstellungen!$B$5+INT((ROW()-9)/24)</f>
        <v>46324</v>
      </c>
      <c r="B8614" s="11" t="n">
        <f aca="false">MOD(ROW()-9,24)</f>
        <v>13</v>
      </c>
      <c r="C8614" s="12"/>
      <c r="D8614" s="13" t="n">
        <f aca="false">IF(B8614&lt;5,Einstellungen!$B$3,Einstellungen!$B$4)</f>
        <v>29.13</v>
      </c>
      <c r="E8614" s="14" t="str">
        <f aca="false">IF(C8614="","",C8614*D8614/100)</f>
        <v/>
      </c>
      <c r="F8614" s="15" t="str">
        <f aca="false">IF(B8614&lt;5,"Go","Standard")</f>
        <v>Standard</v>
      </c>
    </row>
    <row r="8615" customFormat="false" ht="15" hidden="false" customHeight="true" outlineLevel="0" collapsed="false">
      <c r="A8615" s="10" t="n">
        <f aca="false">Einstellungen!$B$5+INT((ROW()-9)/24)</f>
        <v>46324</v>
      </c>
      <c r="B8615" s="11" t="n">
        <f aca="false">MOD(ROW()-9,24)</f>
        <v>14</v>
      </c>
      <c r="C8615" s="12"/>
      <c r="D8615" s="13" t="n">
        <f aca="false">IF(B8615&lt;5,Einstellungen!$B$3,Einstellungen!$B$4)</f>
        <v>29.13</v>
      </c>
      <c r="E8615" s="14" t="str">
        <f aca="false">IF(C8615="","",C8615*D8615/100)</f>
        <v/>
      </c>
      <c r="F8615" s="15" t="str">
        <f aca="false">IF(B8615&lt;5,"Go","Standard")</f>
        <v>Standard</v>
      </c>
    </row>
    <row r="8616" customFormat="false" ht="15" hidden="false" customHeight="true" outlineLevel="0" collapsed="false">
      <c r="A8616" s="10" t="n">
        <f aca="false">Einstellungen!$B$5+INT((ROW()-9)/24)</f>
        <v>46324</v>
      </c>
      <c r="B8616" s="11" t="n">
        <f aca="false">MOD(ROW()-9,24)</f>
        <v>15</v>
      </c>
      <c r="C8616" s="12"/>
      <c r="D8616" s="13" t="n">
        <f aca="false">IF(B8616&lt;5,Einstellungen!$B$3,Einstellungen!$B$4)</f>
        <v>29.13</v>
      </c>
      <c r="E8616" s="14" t="str">
        <f aca="false">IF(C8616="","",C8616*D8616/100)</f>
        <v/>
      </c>
      <c r="F8616" s="15" t="str">
        <f aca="false">IF(B8616&lt;5,"Go","Standard")</f>
        <v>Standard</v>
      </c>
    </row>
    <row r="8617" customFormat="false" ht="15" hidden="false" customHeight="true" outlineLevel="0" collapsed="false">
      <c r="A8617" s="10" t="n">
        <f aca="false">Einstellungen!$B$5+INT((ROW()-9)/24)</f>
        <v>46324</v>
      </c>
      <c r="B8617" s="11" t="n">
        <f aca="false">MOD(ROW()-9,24)</f>
        <v>16</v>
      </c>
      <c r="C8617" s="12"/>
      <c r="D8617" s="13" t="n">
        <f aca="false">IF(B8617&lt;5,Einstellungen!$B$3,Einstellungen!$B$4)</f>
        <v>29.13</v>
      </c>
      <c r="E8617" s="14" t="str">
        <f aca="false">IF(C8617="","",C8617*D8617/100)</f>
        <v/>
      </c>
      <c r="F8617" s="15" t="str">
        <f aca="false">IF(B8617&lt;5,"Go","Standard")</f>
        <v>Standard</v>
      </c>
    </row>
    <row r="8618" customFormat="false" ht="15" hidden="false" customHeight="true" outlineLevel="0" collapsed="false">
      <c r="A8618" s="10" t="n">
        <f aca="false">Einstellungen!$B$5+INT((ROW()-9)/24)</f>
        <v>46324</v>
      </c>
      <c r="B8618" s="11" t="n">
        <f aca="false">MOD(ROW()-9,24)</f>
        <v>17</v>
      </c>
      <c r="C8618" s="12"/>
      <c r="D8618" s="13" t="n">
        <f aca="false">IF(B8618&lt;5,Einstellungen!$B$3,Einstellungen!$B$4)</f>
        <v>29.13</v>
      </c>
      <c r="E8618" s="14" t="str">
        <f aca="false">IF(C8618="","",C8618*D8618/100)</f>
        <v/>
      </c>
      <c r="F8618" s="15" t="str">
        <f aca="false">IF(B8618&lt;5,"Go","Standard")</f>
        <v>Standard</v>
      </c>
    </row>
    <row r="8619" customFormat="false" ht="15" hidden="false" customHeight="true" outlineLevel="0" collapsed="false">
      <c r="A8619" s="10" t="n">
        <f aca="false">Einstellungen!$B$5+INT((ROW()-9)/24)</f>
        <v>46324</v>
      </c>
      <c r="B8619" s="11" t="n">
        <f aca="false">MOD(ROW()-9,24)</f>
        <v>18</v>
      </c>
      <c r="C8619" s="12"/>
      <c r="D8619" s="13" t="n">
        <f aca="false">IF(B8619&lt;5,Einstellungen!$B$3,Einstellungen!$B$4)</f>
        <v>29.13</v>
      </c>
      <c r="E8619" s="14" t="str">
        <f aca="false">IF(C8619="","",C8619*D8619/100)</f>
        <v/>
      </c>
      <c r="F8619" s="15" t="str">
        <f aca="false">IF(B8619&lt;5,"Go","Standard")</f>
        <v>Standard</v>
      </c>
    </row>
    <row r="8620" customFormat="false" ht="15" hidden="false" customHeight="true" outlineLevel="0" collapsed="false">
      <c r="A8620" s="10" t="n">
        <f aca="false">Einstellungen!$B$5+INT((ROW()-9)/24)</f>
        <v>46324</v>
      </c>
      <c r="B8620" s="11" t="n">
        <f aca="false">MOD(ROW()-9,24)</f>
        <v>19</v>
      </c>
      <c r="C8620" s="12"/>
      <c r="D8620" s="13" t="n">
        <f aca="false">IF(B8620&lt;5,Einstellungen!$B$3,Einstellungen!$B$4)</f>
        <v>29.13</v>
      </c>
      <c r="E8620" s="14" t="str">
        <f aca="false">IF(C8620="","",C8620*D8620/100)</f>
        <v/>
      </c>
      <c r="F8620" s="15" t="str">
        <f aca="false">IF(B8620&lt;5,"Go","Standard")</f>
        <v>Standard</v>
      </c>
    </row>
    <row r="8621" customFormat="false" ht="15" hidden="false" customHeight="true" outlineLevel="0" collapsed="false">
      <c r="A8621" s="10" t="n">
        <f aca="false">Einstellungen!$B$5+INT((ROW()-9)/24)</f>
        <v>46324</v>
      </c>
      <c r="B8621" s="11" t="n">
        <f aca="false">MOD(ROW()-9,24)</f>
        <v>20</v>
      </c>
      <c r="C8621" s="12"/>
      <c r="D8621" s="13" t="n">
        <f aca="false">IF(B8621&lt;5,Einstellungen!$B$3,Einstellungen!$B$4)</f>
        <v>29.13</v>
      </c>
      <c r="E8621" s="14" t="str">
        <f aca="false">IF(C8621="","",C8621*D8621/100)</f>
        <v/>
      </c>
      <c r="F8621" s="15" t="str">
        <f aca="false">IF(B8621&lt;5,"Go","Standard")</f>
        <v>Standard</v>
      </c>
    </row>
    <row r="8622" customFormat="false" ht="15" hidden="false" customHeight="true" outlineLevel="0" collapsed="false">
      <c r="A8622" s="10" t="n">
        <f aca="false">Einstellungen!$B$5+INT((ROW()-9)/24)</f>
        <v>46324</v>
      </c>
      <c r="B8622" s="11" t="n">
        <f aca="false">MOD(ROW()-9,24)</f>
        <v>21</v>
      </c>
      <c r="C8622" s="12"/>
      <c r="D8622" s="13" t="n">
        <f aca="false">IF(B8622&lt;5,Einstellungen!$B$3,Einstellungen!$B$4)</f>
        <v>29.13</v>
      </c>
      <c r="E8622" s="14" t="str">
        <f aca="false">IF(C8622="","",C8622*D8622/100)</f>
        <v/>
      </c>
      <c r="F8622" s="15" t="str">
        <f aca="false">IF(B8622&lt;5,"Go","Standard")</f>
        <v>Standard</v>
      </c>
    </row>
    <row r="8623" customFormat="false" ht="15" hidden="false" customHeight="true" outlineLevel="0" collapsed="false">
      <c r="A8623" s="10" t="n">
        <f aca="false">Einstellungen!$B$5+INT((ROW()-9)/24)</f>
        <v>46324</v>
      </c>
      <c r="B8623" s="11" t="n">
        <f aca="false">MOD(ROW()-9,24)</f>
        <v>22</v>
      </c>
      <c r="C8623" s="12"/>
      <c r="D8623" s="13" t="n">
        <f aca="false">IF(B8623&lt;5,Einstellungen!$B$3,Einstellungen!$B$4)</f>
        <v>29.13</v>
      </c>
      <c r="E8623" s="14" t="str">
        <f aca="false">IF(C8623="","",C8623*D8623/100)</f>
        <v/>
      </c>
      <c r="F8623" s="15" t="str">
        <f aca="false">IF(B8623&lt;5,"Go","Standard")</f>
        <v>Standard</v>
      </c>
    </row>
    <row r="8624" customFormat="false" ht="15" hidden="false" customHeight="true" outlineLevel="0" collapsed="false">
      <c r="A8624" s="10" t="n">
        <f aca="false">Einstellungen!$B$5+INT((ROW()-9)/24)</f>
        <v>46324</v>
      </c>
      <c r="B8624" s="11" t="n">
        <f aca="false">MOD(ROW()-9,24)</f>
        <v>23</v>
      </c>
      <c r="C8624" s="12"/>
      <c r="D8624" s="13" t="n">
        <f aca="false">IF(B8624&lt;5,Einstellungen!$B$3,Einstellungen!$B$4)</f>
        <v>29.13</v>
      </c>
      <c r="E8624" s="14" t="str">
        <f aca="false">IF(C8624="","",C8624*D8624/100)</f>
        <v/>
      </c>
      <c r="F8624" s="15" t="str">
        <f aca="false">IF(B8624&lt;5,"Go","Standard")</f>
        <v>Standard</v>
      </c>
    </row>
    <row r="8625" customFormat="false" ht="15" hidden="false" customHeight="true" outlineLevel="0" collapsed="false">
      <c r="A8625" s="10" t="n">
        <f aca="false">Einstellungen!$B$5+INT((ROW()-9)/24)</f>
        <v>46325</v>
      </c>
      <c r="B8625" s="11" t="n">
        <f aca="false">MOD(ROW()-9,24)</f>
        <v>0</v>
      </c>
      <c r="C8625" s="12"/>
      <c r="D8625" s="13" t="n">
        <f aca="false">IF(B8625&lt;5,Einstellungen!$B$3,Einstellungen!$B$4)</f>
        <v>15.92</v>
      </c>
      <c r="E8625" s="14" t="str">
        <f aca="false">IF(C8625="","",C8625*D8625/100)</f>
        <v/>
      </c>
      <c r="F8625" s="15" t="str">
        <f aca="false">IF(B8625&lt;5,"Go","Standard")</f>
        <v>Go</v>
      </c>
    </row>
    <row r="8626" customFormat="false" ht="15" hidden="false" customHeight="true" outlineLevel="0" collapsed="false">
      <c r="A8626" s="10" t="n">
        <f aca="false">Einstellungen!$B$5+INT((ROW()-9)/24)</f>
        <v>46325</v>
      </c>
      <c r="B8626" s="11" t="n">
        <f aca="false">MOD(ROW()-9,24)</f>
        <v>1</v>
      </c>
      <c r="C8626" s="12"/>
      <c r="D8626" s="13" t="n">
        <f aca="false">IF(B8626&lt;5,Einstellungen!$B$3,Einstellungen!$B$4)</f>
        <v>15.92</v>
      </c>
      <c r="E8626" s="14" t="str">
        <f aca="false">IF(C8626="","",C8626*D8626/100)</f>
        <v/>
      </c>
      <c r="F8626" s="15" t="str">
        <f aca="false">IF(B8626&lt;5,"Go","Standard")</f>
        <v>Go</v>
      </c>
    </row>
    <row r="8627" customFormat="false" ht="15" hidden="false" customHeight="true" outlineLevel="0" collapsed="false">
      <c r="A8627" s="10" t="n">
        <f aca="false">Einstellungen!$B$5+INT((ROW()-9)/24)</f>
        <v>46325</v>
      </c>
      <c r="B8627" s="11" t="n">
        <f aca="false">MOD(ROW()-9,24)</f>
        <v>2</v>
      </c>
      <c r="C8627" s="12"/>
      <c r="D8627" s="13" t="n">
        <f aca="false">IF(B8627&lt;5,Einstellungen!$B$3,Einstellungen!$B$4)</f>
        <v>15.92</v>
      </c>
      <c r="E8627" s="14" t="str">
        <f aca="false">IF(C8627="","",C8627*D8627/100)</f>
        <v/>
      </c>
      <c r="F8627" s="15" t="str">
        <f aca="false">IF(B8627&lt;5,"Go","Standard")</f>
        <v>Go</v>
      </c>
    </row>
    <row r="8628" customFormat="false" ht="15" hidden="false" customHeight="true" outlineLevel="0" collapsed="false">
      <c r="A8628" s="10" t="n">
        <f aca="false">Einstellungen!$B$5+INT((ROW()-9)/24)</f>
        <v>46325</v>
      </c>
      <c r="B8628" s="11" t="n">
        <f aca="false">MOD(ROW()-9,24)</f>
        <v>3</v>
      </c>
      <c r="C8628" s="12"/>
      <c r="D8628" s="13" t="n">
        <f aca="false">IF(B8628&lt;5,Einstellungen!$B$3,Einstellungen!$B$4)</f>
        <v>15.92</v>
      </c>
      <c r="E8628" s="14" t="str">
        <f aca="false">IF(C8628="","",C8628*D8628/100)</f>
        <v/>
      </c>
      <c r="F8628" s="15" t="str">
        <f aca="false">IF(B8628&lt;5,"Go","Standard")</f>
        <v>Go</v>
      </c>
    </row>
    <row r="8629" customFormat="false" ht="15" hidden="false" customHeight="true" outlineLevel="0" collapsed="false">
      <c r="A8629" s="10" t="n">
        <f aca="false">Einstellungen!$B$5+INT((ROW()-9)/24)</f>
        <v>46325</v>
      </c>
      <c r="B8629" s="11" t="n">
        <f aca="false">MOD(ROW()-9,24)</f>
        <v>4</v>
      </c>
      <c r="C8629" s="12"/>
      <c r="D8629" s="13" t="n">
        <f aca="false">IF(B8629&lt;5,Einstellungen!$B$3,Einstellungen!$B$4)</f>
        <v>15.92</v>
      </c>
      <c r="E8629" s="14" t="str">
        <f aca="false">IF(C8629="","",C8629*D8629/100)</f>
        <v/>
      </c>
      <c r="F8629" s="15" t="str">
        <f aca="false">IF(B8629&lt;5,"Go","Standard")</f>
        <v>Go</v>
      </c>
    </row>
    <row r="8630" customFormat="false" ht="15" hidden="false" customHeight="true" outlineLevel="0" collapsed="false">
      <c r="A8630" s="10" t="n">
        <f aca="false">Einstellungen!$B$5+INT((ROW()-9)/24)</f>
        <v>46325</v>
      </c>
      <c r="B8630" s="11" t="n">
        <f aca="false">MOD(ROW()-9,24)</f>
        <v>5</v>
      </c>
      <c r="C8630" s="12"/>
      <c r="D8630" s="13" t="n">
        <f aca="false">IF(B8630&lt;5,Einstellungen!$B$3,Einstellungen!$B$4)</f>
        <v>29.13</v>
      </c>
      <c r="E8630" s="14" t="str">
        <f aca="false">IF(C8630="","",C8630*D8630/100)</f>
        <v/>
      </c>
      <c r="F8630" s="15" t="str">
        <f aca="false">IF(B8630&lt;5,"Go","Standard")</f>
        <v>Standard</v>
      </c>
    </row>
    <row r="8631" customFormat="false" ht="15" hidden="false" customHeight="true" outlineLevel="0" collapsed="false">
      <c r="A8631" s="10" t="n">
        <f aca="false">Einstellungen!$B$5+INT((ROW()-9)/24)</f>
        <v>46325</v>
      </c>
      <c r="B8631" s="11" t="n">
        <f aca="false">MOD(ROW()-9,24)</f>
        <v>6</v>
      </c>
      <c r="C8631" s="12"/>
      <c r="D8631" s="13" t="n">
        <f aca="false">IF(B8631&lt;5,Einstellungen!$B$3,Einstellungen!$B$4)</f>
        <v>29.13</v>
      </c>
      <c r="E8631" s="14" t="str">
        <f aca="false">IF(C8631="","",C8631*D8631/100)</f>
        <v/>
      </c>
      <c r="F8631" s="15" t="str">
        <f aca="false">IF(B8631&lt;5,"Go","Standard")</f>
        <v>Standard</v>
      </c>
    </row>
    <row r="8632" customFormat="false" ht="15" hidden="false" customHeight="true" outlineLevel="0" collapsed="false">
      <c r="A8632" s="10" t="n">
        <f aca="false">Einstellungen!$B$5+INT((ROW()-9)/24)</f>
        <v>46325</v>
      </c>
      <c r="B8632" s="11" t="n">
        <f aca="false">MOD(ROW()-9,24)</f>
        <v>7</v>
      </c>
      <c r="C8632" s="12"/>
      <c r="D8632" s="13" t="n">
        <f aca="false">IF(B8632&lt;5,Einstellungen!$B$3,Einstellungen!$B$4)</f>
        <v>29.13</v>
      </c>
      <c r="E8632" s="14" t="str">
        <f aca="false">IF(C8632="","",C8632*D8632/100)</f>
        <v/>
      </c>
      <c r="F8632" s="15" t="str">
        <f aca="false">IF(B8632&lt;5,"Go","Standard")</f>
        <v>Standard</v>
      </c>
    </row>
    <row r="8633" customFormat="false" ht="15" hidden="false" customHeight="true" outlineLevel="0" collapsed="false">
      <c r="A8633" s="10" t="n">
        <f aca="false">Einstellungen!$B$5+INT((ROW()-9)/24)</f>
        <v>46325</v>
      </c>
      <c r="B8633" s="11" t="n">
        <f aca="false">MOD(ROW()-9,24)</f>
        <v>8</v>
      </c>
      <c r="C8633" s="12"/>
      <c r="D8633" s="13" t="n">
        <f aca="false">IF(B8633&lt;5,Einstellungen!$B$3,Einstellungen!$B$4)</f>
        <v>29.13</v>
      </c>
      <c r="E8633" s="14" t="str">
        <f aca="false">IF(C8633="","",C8633*D8633/100)</f>
        <v/>
      </c>
      <c r="F8633" s="15" t="str">
        <f aca="false">IF(B8633&lt;5,"Go","Standard")</f>
        <v>Standard</v>
      </c>
    </row>
    <row r="8634" customFormat="false" ht="15" hidden="false" customHeight="true" outlineLevel="0" collapsed="false">
      <c r="A8634" s="10" t="n">
        <f aca="false">Einstellungen!$B$5+INT((ROW()-9)/24)</f>
        <v>46325</v>
      </c>
      <c r="B8634" s="11" t="n">
        <f aca="false">MOD(ROW()-9,24)</f>
        <v>9</v>
      </c>
      <c r="C8634" s="12"/>
      <c r="D8634" s="13" t="n">
        <f aca="false">IF(B8634&lt;5,Einstellungen!$B$3,Einstellungen!$B$4)</f>
        <v>29.13</v>
      </c>
      <c r="E8634" s="14" t="str">
        <f aca="false">IF(C8634="","",C8634*D8634/100)</f>
        <v/>
      </c>
      <c r="F8634" s="15" t="str">
        <f aca="false">IF(B8634&lt;5,"Go","Standard")</f>
        <v>Standard</v>
      </c>
    </row>
    <row r="8635" customFormat="false" ht="15" hidden="false" customHeight="true" outlineLevel="0" collapsed="false">
      <c r="A8635" s="10" t="n">
        <f aca="false">Einstellungen!$B$5+INT((ROW()-9)/24)</f>
        <v>46325</v>
      </c>
      <c r="B8635" s="11" t="n">
        <f aca="false">MOD(ROW()-9,24)</f>
        <v>10</v>
      </c>
      <c r="C8635" s="12"/>
      <c r="D8635" s="13" t="n">
        <f aca="false">IF(B8635&lt;5,Einstellungen!$B$3,Einstellungen!$B$4)</f>
        <v>29.13</v>
      </c>
      <c r="E8635" s="14" t="str">
        <f aca="false">IF(C8635="","",C8635*D8635/100)</f>
        <v/>
      </c>
      <c r="F8635" s="15" t="str">
        <f aca="false">IF(B8635&lt;5,"Go","Standard")</f>
        <v>Standard</v>
      </c>
    </row>
    <row r="8636" customFormat="false" ht="15" hidden="false" customHeight="true" outlineLevel="0" collapsed="false">
      <c r="A8636" s="10" t="n">
        <f aca="false">Einstellungen!$B$5+INT((ROW()-9)/24)</f>
        <v>46325</v>
      </c>
      <c r="B8636" s="11" t="n">
        <f aca="false">MOD(ROW()-9,24)</f>
        <v>11</v>
      </c>
      <c r="C8636" s="12"/>
      <c r="D8636" s="13" t="n">
        <f aca="false">IF(B8636&lt;5,Einstellungen!$B$3,Einstellungen!$B$4)</f>
        <v>29.13</v>
      </c>
      <c r="E8636" s="14" t="str">
        <f aca="false">IF(C8636="","",C8636*D8636/100)</f>
        <v/>
      </c>
      <c r="F8636" s="15" t="str">
        <f aca="false">IF(B8636&lt;5,"Go","Standard")</f>
        <v>Standard</v>
      </c>
    </row>
    <row r="8637" customFormat="false" ht="15" hidden="false" customHeight="true" outlineLevel="0" collapsed="false">
      <c r="A8637" s="10" t="n">
        <f aca="false">Einstellungen!$B$5+INT((ROW()-9)/24)</f>
        <v>46325</v>
      </c>
      <c r="B8637" s="11" t="n">
        <f aca="false">MOD(ROW()-9,24)</f>
        <v>12</v>
      </c>
      <c r="C8637" s="12"/>
      <c r="D8637" s="13" t="n">
        <f aca="false">IF(B8637&lt;5,Einstellungen!$B$3,Einstellungen!$B$4)</f>
        <v>29.13</v>
      </c>
      <c r="E8637" s="14" t="str">
        <f aca="false">IF(C8637="","",C8637*D8637/100)</f>
        <v/>
      </c>
      <c r="F8637" s="15" t="str">
        <f aca="false">IF(B8637&lt;5,"Go","Standard")</f>
        <v>Standard</v>
      </c>
    </row>
    <row r="8638" customFormat="false" ht="15" hidden="false" customHeight="true" outlineLevel="0" collapsed="false">
      <c r="A8638" s="10" t="n">
        <f aca="false">Einstellungen!$B$5+INT((ROW()-9)/24)</f>
        <v>46325</v>
      </c>
      <c r="B8638" s="11" t="n">
        <f aca="false">MOD(ROW()-9,24)</f>
        <v>13</v>
      </c>
      <c r="C8638" s="12"/>
      <c r="D8638" s="13" t="n">
        <f aca="false">IF(B8638&lt;5,Einstellungen!$B$3,Einstellungen!$B$4)</f>
        <v>29.13</v>
      </c>
      <c r="E8638" s="14" t="str">
        <f aca="false">IF(C8638="","",C8638*D8638/100)</f>
        <v/>
      </c>
      <c r="F8638" s="15" t="str">
        <f aca="false">IF(B8638&lt;5,"Go","Standard")</f>
        <v>Standard</v>
      </c>
    </row>
    <row r="8639" customFormat="false" ht="15" hidden="false" customHeight="true" outlineLevel="0" collapsed="false">
      <c r="A8639" s="10" t="n">
        <f aca="false">Einstellungen!$B$5+INT((ROW()-9)/24)</f>
        <v>46325</v>
      </c>
      <c r="B8639" s="11" t="n">
        <f aca="false">MOD(ROW()-9,24)</f>
        <v>14</v>
      </c>
      <c r="C8639" s="12"/>
      <c r="D8639" s="13" t="n">
        <f aca="false">IF(B8639&lt;5,Einstellungen!$B$3,Einstellungen!$B$4)</f>
        <v>29.13</v>
      </c>
      <c r="E8639" s="14" t="str">
        <f aca="false">IF(C8639="","",C8639*D8639/100)</f>
        <v/>
      </c>
      <c r="F8639" s="15" t="str">
        <f aca="false">IF(B8639&lt;5,"Go","Standard")</f>
        <v>Standard</v>
      </c>
    </row>
    <row r="8640" customFormat="false" ht="15" hidden="false" customHeight="true" outlineLevel="0" collapsed="false">
      <c r="A8640" s="10" t="n">
        <f aca="false">Einstellungen!$B$5+INT((ROW()-9)/24)</f>
        <v>46325</v>
      </c>
      <c r="B8640" s="11" t="n">
        <f aca="false">MOD(ROW()-9,24)</f>
        <v>15</v>
      </c>
      <c r="C8640" s="12"/>
      <c r="D8640" s="13" t="n">
        <f aca="false">IF(B8640&lt;5,Einstellungen!$B$3,Einstellungen!$B$4)</f>
        <v>29.13</v>
      </c>
      <c r="E8640" s="14" t="str">
        <f aca="false">IF(C8640="","",C8640*D8640/100)</f>
        <v/>
      </c>
      <c r="F8640" s="15" t="str">
        <f aca="false">IF(B8640&lt;5,"Go","Standard")</f>
        <v>Standard</v>
      </c>
    </row>
    <row r="8641" customFormat="false" ht="15" hidden="false" customHeight="true" outlineLevel="0" collapsed="false">
      <c r="A8641" s="10" t="n">
        <f aca="false">Einstellungen!$B$5+INT((ROW()-9)/24)</f>
        <v>46325</v>
      </c>
      <c r="B8641" s="11" t="n">
        <f aca="false">MOD(ROW()-9,24)</f>
        <v>16</v>
      </c>
      <c r="C8641" s="12"/>
      <c r="D8641" s="13" t="n">
        <f aca="false">IF(B8641&lt;5,Einstellungen!$B$3,Einstellungen!$B$4)</f>
        <v>29.13</v>
      </c>
      <c r="E8641" s="14" t="str">
        <f aca="false">IF(C8641="","",C8641*D8641/100)</f>
        <v/>
      </c>
      <c r="F8641" s="15" t="str">
        <f aca="false">IF(B8641&lt;5,"Go","Standard")</f>
        <v>Standard</v>
      </c>
    </row>
    <row r="8642" customFormat="false" ht="15" hidden="false" customHeight="true" outlineLevel="0" collapsed="false">
      <c r="A8642" s="10" t="n">
        <f aca="false">Einstellungen!$B$5+INT((ROW()-9)/24)</f>
        <v>46325</v>
      </c>
      <c r="B8642" s="11" t="n">
        <f aca="false">MOD(ROW()-9,24)</f>
        <v>17</v>
      </c>
      <c r="C8642" s="12"/>
      <c r="D8642" s="13" t="n">
        <f aca="false">IF(B8642&lt;5,Einstellungen!$B$3,Einstellungen!$B$4)</f>
        <v>29.13</v>
      </c>
      <c r="E8642" s="14" t="str">
        <f aca="false">IF(C8642="","",C8642*D8642/100)</f>
        <v/>
      </c>
      <c r="F8642" s="15" t="str">
        <f aca="false">IF(B8642&lt;5,"Go","Standard")</f>
        <v>Standard</v>
      </c>
    </row>
    <row r="8643" customFormat="false" ht="15" hidden="false" customHeight="true" outlineLevel="0" collapsed="false">
      <c r="A8643" s="10" t="n">
        <f aca="false">Einstellungen!$B$5+INT((ROW()-9)/24)</f>
        <v>46325</v>
      </c>
      <c r="B8643" s="11" t="n">
        <f aca="false">MOD(ROW()-9,24)</f>
        <v>18</v>
      </c>
      <c r="C8643" s="12"/>
      <c r="D8643" s="13" t="n">
        <f aca="false">IF(B8643&lt;5,Einstellungen!$B$3,Einstellungen!$B$4)</f>
        <v>29.13</v>
      </c>
      <c r="E8643" s="14" t="str">
        <f aca="false">IF(C8643="","",C8643*D8643/100)</f>
        <v/>
      </c>
      <c r="F8643" s="15" t="str">
        <f aca="false">IF(B8643&lt;5,"Go","Standard")</f>
        <v>Standard</v>
      </c>
    </row>
    <row r="8644" customFormat="false" ht="15" hidden="false" customHeight="true" outlineLevel="0" collapsed="false">
      <c r="A8644" s="10" t="n">
        <f aca="false">Einstellungen!$B$5+INT((ROW()-9)/24)</f>
        <v>46325</v>
      </c>
      <c r="B8644" s="11" t="n">
        <f aca="false">MOD(ROW()-9,24)</f>
        <v>19</v>
      </c>
      <c r="C8644" s="12"/>
      <c r="D8644" s="13" t="n">
        <f aca="false">IF(B8644&lt;5,Einstellungen!$B$3,Einstellungen!$B$4)</f>
        <v>29.13</v>
      </c>
      <c r="E8644" s="14" t="str">
        <f aca="false">IF(C8644="","",C8644*D8644/100)</f>
        <v/>
      </c>
      <c r="F8644" s="15" t="str">
        <f aca="false">IF(B8644&lt;5,"Go","Standard")</f>
        <v>Standard</v>
      </c>
    </row>
    <row r="8645" customFormat="false" ht="15" hidden="false" customHeight="true" outlineLevel="0" collapsed="false">
      <c r="A8645" s="10" t="n">
        <f aca="false">Einstellungen!$B$5+INT((ROW()-9)/24)</f>
        <v>46325</v>
      </c>
      <c r="B8645" s="11" t="n">
        <f aca="false">MOD(ROW()-9,24)</f>
        <v>20</v>
      </c>
      <c r="C8645" s="12"/>
      <c r="D8645" s="13" t="n">
        <f aca="false">IF(B8645&lt;5,Einstellungen!$B$3,Einstellungen!$B$4)</f>
        <v>29.13</v>
      </c>
      <c r="E8645" s="14" t="str">
        <f aca="false">IF(C8645="","",C8645*D8645/100)</f>
        <v/>
      </c>
      <c r="F8645" s="15" t="str">
        <f aca="false">IF(B8645&lt;5,"Go","Standard")</f>
        <v>Standard</v>
      </c>
    </row>
    <row r="8646" customFormat="false" ht="15" hidden="false" customHeight="true" outlineLevel="0" collapsed="false">
      <c r="A8646" s="10" t="n">
        <f aca="false">Einstellungen!$B$5+INT((ROW()-9)/24)</f>
        <v>46325</v>
      </c>
      <c r="B8646" s="11" t="n">
        <f aca="false">MOD(ROW()-9,24)</f>
        <v>21</v>
      </c>
      <c r="C8646" s="12"/>
      <c r="D8646" s="13" t="n">
        <f aca="false">IF(B8646&lt;5,Einstellungen!$B$3,Einstellungen!$B$4)</f>
        <v>29.13</v>
      </c>
      <c r="E8646" s="14" t="str">
        <f aca="false">IF(C8646="","",C8646*D8646/100)</f>
        <v/>
      </c>
      <c r="F8646" s="15" t="str">
        <f aca="false">IF(B8646&lt;5,"Go","Standard")</f>
        <v>Standard</v>
      </c>
    </row>
    <row r="8647" customFormat="false" ht="15" hidden="false" customHeight="true" outlineLevel="0" collapsed="false">
      <c r="A8647" s="10" t="n">
        <f aca="false">Einstellungen!$B$5+INT((ROW()-9)/24)</f>
        <v>46325</v>
      </c>
      <c r="B8647" s="11" t="n">
        <f aca="false">MOD(ROW()-9,24)</f>
        <v>22</v>
      </c>
      <c r="C8647" s="12"/>
      <c r="D8647" s="13" t="n">
        <f aca="false">IF(B8647&lt;5,Einstellungen!$B$3,Einstellungen!$B$4)</f>
        <v>29.13</v>
      </c>
      <c r="E8647" s="14" t="str">
        <f aca="false">IF(C8647="","",C8647*D8647/100)</f>
        <v/>
      </c>
      <c r="F8647" s="15" t="str">
        <f aca="false">IF(B8647&lt;5,"Go","Standard")</f>
        <v>Standard</v>
      </c>
    </row>
    <row r="8648" customFormat="false" ht="15" hidden="false" customHeight="true" outlineLevel="0" collapsed="false">
      <c r="A8648" s="10" t="n">
        <f aca="false">Einstellungen!$B$5+INT((ROW()-9)/24)</f>
        <v>46325</v>
      </c>
      <c r="B8648" s="11" t="n">
        <f aca="false">MOD(ROW()-9,24)</f>
        <v>23</v>
      </c>
      <c r="C8648" s="12"/>
      <c r="D8648" s="13" t="n">
        <f aca="false">IF(B8648&lt;5,Einstellungen!$B$3,Einstellungen!$B$4)</f>
        <v>29.13</v>
      </c>
      <c r="E8648" s="14" t="str">
        <f aca="false">IF(C8648="","",C8648*D8648/100)</f>
        <v/>
      </c>
      <c r="F8648" s="15" t="str">
        <f aca="false">IF(B8648&lt;5,"Go","Standard")</f>
        <v>Standard</v>
      </c>
    </row>
    <row r="8649" customFormat="false" ht="15" hidden="false" customHeight="true" outlineLevel="0" collapsed="false">
      <c r="A8649" s="10" t="n">
        <f aca="false">Einstellungen!$B$5+INT((ROW()-9)/24)</f>
        <v>46326</v>
      </c>
      <c r="B8649" s="11" t="n">
        <f aca="false">MOD(ROW()-9,24)</f>
        <v>0</v>
      </c>
      <c r="C8649" s="12"/>
      <c r="D8649" s="13" t="n">
        <f aca="false">IF(B8649&lt;5,Einstellungen!$B$3,Einstellungen!$B$4)</f>
        <v>15.92</v>
      </c>
      <c r="E8649" s="14" t="str">
        <f aca="false">IF(C8649="","",C8649*D8649/100)</f>
        <v/>
      </c>
      <c r="F8649" s="15" t="str">
        <f aca="false">IF(B8649&lt;5,"Go","Standard")</f>
        <v>Go</v>
      </c>
    </row>
    <row r="8650" customFormat="false" ht="15" hidden="false" customHeight="true" outlineLevel="0" collapsed="false">
      <c r="A8650" s="10" t="n">
        <f aca="false">Einstellungen!$B$5+INT((ROW()-9)/24)</f>
        <v>46326</v>
      </c>
      <c r="B8650" s="11" t="n">
        <f aca="false">MOD(ROW()-9,24)</f>
        <v>1</v>
      </c>
      <c r="C8650" s="12"/>
      <c r="D8650" s="13" t="n">
        <f aca="false">IF(B8650&lt;5,Einstellungen!$B$3,Einstellungen!$B$4)</f>
        <v>15.92</v>
      </c>
      <c r="E8650" s="14" t="str">
        <f aca="false">IF(C8650="","",C8650*D8650/100)</f>
        <v/>
      </c>
      <c r="F8650" s="15" t="str">
        <f aca="false">IF(B8650&lt;5,"Go","Standard")</f>
        <v>Go</v>
      </c>
    </row>
    <row r="8651" customFormat="false" ht="15" hidden="false" customHeight="true" outlineLevel="0" collapsed="false">
      <c r="A8651" s="10" t="n">
        <f aca="false">Einstellungen!$B$5+INT((ROW()-9)/24)</f>
        <v>46326</v>
      </c>
      <c r="B8651" s="11" t="n">
        <f aca="false">MOD(ROW()-9,24)</f>
        <v>2</v>
      </c>
      <c r="C8651" s="12"/>
      <c r="D8651" s="13" t="n">
        <f aca="false">IF(B8651&lt;5,Einstellungen!$B$3,Einstellungen!$B$4)</f>
        <v>15.92</v>
      </c>
      <c r="E8651" s="14" t="str">
        <f aca="false">IF(C8651="","",C8651*D8651/100)</f>
        <v/>
      </c>
      <c r="F8651" s="15" t="str">
        <f aca="false">IF(B8651&lt;5,"Go","Standard")</f>
        <v>Go</v>
      </c>
    </row>
    <row r="8652" customFormat="false" ht="15" hidden="false" customHeight="true" outlineLevel="0" collapsed="false">
      <c r="A8652" s="10" t="n">
        <f aca="false">Einstellungen!$B$5+INT((ROW()-9)/24)</f>
        <v>46326</v>
      </c>
      <c r="B8652" s="11" t="n">
        <f aca="false">MOD(ROW()-9,24)</f>
        <v>3</v>
      </c>
      <c r="C8652" s="12"/>
      <c r="D8652" s="13" t="n">
        <f aca="false">IF(B8652&lt;5,Einstellungen!$B$3,Einstellungen!$B$4)</f>
        <v>15.92</v>
      </c>
      <c r="E8652" s="14" t="str">
        <f aca="false">IF(C8652="","",C8652*D8652/100)</f>
        <v/>
      </c>
      <c r="F8652" s="15" t="str">
        <f aca="false">IF(B8652&lt;5,"Go","Standard")</f>
        <v>Go</v>
      </c>
    </row>
    <row r="8653" customFormat="false" ht="15" hidden="false" customHeight="true" outlineLevel="0" collapsed="false">
      <c r="A8653" s="10" t="n">
        <f aca="false">Einstellungen!$B$5+INT((ROW()-9)/24)</f>
        <v>46326</v>
      </c>
      <c r="B8653" s="11" t="n">
        <f aca="false">MOD(ROW()-9,24)</f>
        <v>4</v>
      </c>
      <c r="C8653" s="12"/>
      <c r="D8653" s="13" t="n">
        <f aca="false">IF(B8653&lt;5,Einstellungen!$B$3,Einstellungen!$B$4)</f>
        <v>15.92</v>
      </c>
      <c r="E8653" s="14" t="str">
        <f aca="false">IF(C8653="","",C8653*D8653/100)</f>
        <v/>
      </c>
      <c r="F8653" s="15" t="str">
        <f aca="false">IF(B8653&lt;5,"Go","Standard")</f>
        <v>Go</v>
      </c>
    </row>
    <row r="8654" customFormat="false" ht="15" hidden="false" customHeight="true" outlineLevel="0" collapsed="false">
      <c r="A8654" s="10" t="n">
        <f aca="false">Einstellungen!$B$5+INT((ROW()-9)/24)</f>
        <v>46326</v>
      </c>
      <c r="B8654" s="11" t="n">
        <f aca="false">MOD(ROW()-9,24)</f>
        <v>5</v>
      </c>
      <c r="C8654" s="12"/>
      <c r="D8654" s="13" t="n">
        <f aca="false">IF(B8654&lt;5,Einstellungen!$B$3,Einstellungen!$B$4)</f>
        <v>29.13</v>
      </c>
      <c r="E8654" s="14" t="str">
        <f aca="false">IF(C8654="","",C8654*D8654/100)</f>
        <v/>
      </c>
      <c r="F8654" s="15" t="str">
        <f aca="false">IF(B8654&lt;5,"Go","Standard")</f>
        <v>Standard</v>
      </c>
    </row>
    <row r="8655" customFormat="false" ht="15" hidden="false" customHeight="true" outlineLevel="0" collapsed="false">
      <c r="A8655" s="10" t="n">
        <f aca="false">Einstellungen!$B$5+INT((ROW()-9)/24)</f>
        <v>46326</v>
      </c>
      <c r="B8655" s="11" t="n">
        <f aca="false">MOD(ROW()-9,24)</f>
        <v>6</v>
      </c>
      <c r="C8655" s="12"/>
      <c r="D8655" s="13" t="n">
        <f aca="false">IF(B8655&lt;5,Einstellungen!$B$3,Einstellungen!$B$4)</f>
        <v>29.13</v>
      </c>
      <c r="E8655" s="14" t="str">
        <f aca="false">IF(C8655="","",C8655*D8655/100)</f>
        <v/>
      </c>
      <c r="F8655" s="15" t="str">
        <f aca="false">IF(B8655&lt;5,"Go","Standard")</f>
        <v>Standard</v>
      </c>
    </row>
    <row r="8656" customFormat="false" ht="15" hidden="false" customHeight="true" outlineLevel="0" collapsed="false">
      <c r="A8656" s="10" t="n">
        <f aca="false">Einstellungen!$B$5+INT((ROW()-9)/24)</f>
        <v>46326</v>
      </c>
      <c r="B8656" s="11" t="n">
        <f aca="false">MOD(ROW()-9,24)</f>
        <v>7</v>
      </c>
      <c r="C8656" s="12"/>
      <c r="D8656" s="13" t="n">
        <f aca="false">IF(B8656&lt;5,Einstellungen!$B$3,Einstellungen!$B$4)</f>
        <v>29.13</v>
      </c>
      <c r="E8656" s="14" t="str">
        <f aca="false">IF(C8656="","",C8656*D8656/100)</f>
        <v/>
      </c>
      <c r="F8656" s="15" t="str">
        <f aca="false">IF(B8656&lt;5,"Go","Standard")</f>
        <v>Standard</v>
      </c>
    </row>
    <row r="8657" customFormat="false" ht="15" hidden="false" customHeight="true" outlineLevel="0" collapsed="false">
      <c r="A8657" s="10" t="n">
        <f aca="false">Einstellungen!$B$5+INT((ROW()-9)/24)</f>
        <v>46326</v>
      </c>
      <c r="B8657" s="11" t="n">
        <f aca="false">MOD(ROW()-9,24)</f>
        <v>8</v>
      </c>
      <c r="C8657" s="12"/>
      <c r="D8657" s="13" t="n">
        <f aca="false">IF(B8657&lt;5,Einstellungen!$B$3,Einstellungen!$B$4)</f>
        <v>29.13</v>
      </c>
      <c r="E8657" s="14" t="str">
        <f aca="false">IF(C8657="","",C8657*D8657/100)</f>
        <v/>
      </c>
      <c r="F8657" s="15" t="str">
        <f aca="false">IF(B8657&lt;5,"Go","Standard")</f>
        <v>Standard</v>
      </c>
    </row>
    <row r="8658" customFormat="false" ht="15" hidden="false" customHeight="true" outlineLevel="0" collapsed="false">
      <c r="A8658" s="10" t="n">
        <f aca="false">Einstellungen!$B$5+INT((ROW()-9)/24)</f>
        <v>46326</v>
      </c>
      <c r="B8658" s="11" t="n">
        <f aca="false">MOD(ROW()-9,24)</f>
        <v>9</v>
      </c>
      <c r="C8658" s="12"/>
      <c r="D8658" s="13" t="n">
        <f aca="false">IF(B8658&lt;5,Einstellungen!$B$3,Einstellungen!$B$4)</f>
        <v>29.13</v>
      </c>
      <c r="E8658" s="14" t="str">
        <f aca="false">IF(C8658="","",C8658*D8658/100)</f>
        <v/>
      </c>
      <c r="F8658" s="15" t="str">
        <f aca="false">IF(B8658&lt;5,"Go","Standard")</f>
        <v>Standard</v>
      </c>
    </row>
    <row r="8659" customFormat="false" ht="15" hidden="false" customHeight="true" outlineLevel="0" collapsed="false">
      <c r="A8659" s="10" t="n">
        <f aca="false">Einstellungen!$B$5+INT((ROW()-9)/24)</f>
        <v>46326</v>
      </c>
      <c r="B8659" s="11" t="n">
        <f aca="false">MOD(ROW()-9,24)</f>
        <v>10</v>
      </c>
      <c r="C8659" s="12"/>
      <c r="D8659" s="13" t="n">
        <f aca="false">IF(B8659&lt;5,Einstellungen!$B$3,Einstellungen!$B$4)</f>
        <v>29.13</v>
      </c>
      <c r="E8659" s="14" t="str">
        <f aca="false">IF(C8659="","",C8659*D8659/100)</f>
        <v/>
      </c>
      <c r="F8659" s="15" t="str">
        <f aca="false">IF(B8659&lt;5,"Go","Standard")</f>
        <v>Standard</v>
      </c>
    </row>
    <row r="8660" customFormat="false" ht="15" hidden="false" customHeight="true" outlineLevel="0" collapsed="false">
      <c r="A8660" s="10" t="n">
        <f aca="false">Einstellungen!$B$5+INT((ROW()-9)/24)</f>
        <v>46326</v>
      </c>
      <c r="B8660" s="11" t="n">
        <f aca="false">MOD(ROW()-9,24)</f>
        <v>11</v>
      </c>
      <c r="C8660" s="12"/>
      <c r="D8660" s="13" t="n">
        <f aca="false">IF(B8660&lt;5,Einstellungen!$B$3,Einstellungen!$B$4)</f>
        <v>29.13</v>
      </c>
      <c r="E8660" s="14" t="str">
        <f aca="false">IF(C8660="","",C8660*D8660/100)</f>
        <v/>
      </c>
      <c r="F8660" s="15" t="str">
        <f aca="false">IF(B8660&lt;5,"Go","Standard")</f>
        <v>Standard</v>
      </c>
    </row>
    <row r="8661" customFormat="false" ht="15" hidden="false" customHeight="true" outlineLevel="0" collapsed="false">
      <c r="A8661" s="10" t="n">
        <f aca="false">Einstellungen!$B$5+INT((ROW()-9)/24)</f>
        <v>46326</v>
      </c>
      <c r="B8661" s="11" t="n">
        <f aca="false">MOD(ROW()-9,24)</f>
        <v>12</v>
      </c>
      <c r="C8661" s="12"/>
      <c r="D8661" s="13" t="n">
        <f aca="false">IF(B8661&lt;5,Einstellungen!$B$3,Einstellungen!$B$4)</f>
        <v>29.13</v>
      </c>
      <c r="E8661" s="14" t="str">
        <f aca="false">IF(C8661="","",C8661*D8661/100)</f>
        <v/>
      </c>
      <c r="F8661" s="15" t="str">
        <f aca="false">IF(B8661&lt;5,"Go","Standard")</f>
        <v>Standard</v>
      </c>
    </row>
    <row r="8662" customFormat="false" ht="15" hidden="false" customHeight="true" outlineLevel="0" collapsed="false">
      <c r="A8662" s="10" t="n">
        <f aca="false">Einstellungen!$B$5+INT((ROW()-9)/24)</f>
        <v>46326</v>
      </c>
      <c r="B8662" s="11" t="n">
        <f aca="false">MOD(ROW()-9,24)</f>
        <v>13</v>
      </c>
      <c r="C8662" s="12"/>
      <c r="D8662" s="13" t="n">
        <f aca="false">IF(B8662&lt;5,Einstellungen!$B$3,Einstellungen!$B$4)</f>
        <v>29.13</v>
      </c>
      <c r="E8662" s="14" t="str">
        <f aca="false">IF(C8662="","",C8662*D8662/100)</f>
        <v/>
      </c>
      <c r="F8662" s="15" t="str">
        <f aca="false">IF(B8662&lt;5,"Go","Standard")</f>
        <v>Standard</v>
      </c>
    </row>
    <row r="8663" customFormat="false" ht="15" hidden="false" customHeight="true" outlineLevel="0" collapsed="false">
      <c r="A8663" s="10" t="n">
        <f aca="false">Einstellungen!$B$5+INT((ROW()-9)/24)</f>
        <v>46326</v>
      </c>
      <c r="B8663" s="11" t="n">
        <f aca="false">MOD(ROW()-9,24)</f>
        <v>14</v>
      </c>
      <c r="C8663" s="12"/>
      <c r="D8663" s="13" t="n">
        <f aca="false">IF(B8663&lt;5,Einstellungen!$B$3,Einstellungen!$B$4)</f>
        <v>29.13</v>
      </c>
      <c r="E8663" s="14" t="str">
        <f aca="false">IF(C8663="","",C8663*D8663/100)</f>
        <v/>
      </c>
      <c r="F8663" s="15" t="str">
        <f aca="false">IF(B8663&lt;5,"Go","Standard")</f>
        <v>Standard</v>
      </c>
    </row>
    <row r="8664" customFormat="false" ht="15" hidden="false" customHeight="true" outlineLevel="0" collapsed="false">
      <c r="A8664" s="10" t="n">
        <f aca="false">Einstellungen!$B$5+INT((ROW()-9)/24)</f>
        <v>46326</v>
      </c>
      <c r="B8664" s="11" t="n">
        <f aca="false">MOD(ROW()-9,24)</f>
        <v>15</v>
      </c>
      <c r="C8664" s="12"/>
      <c r="D8664" s="13" t="n">
        <f aca="false">IF(B8664&lt;5,Einstellungen!$B$3,Einstellungen!$B$4)</f>
        <v>29.13</v>
      </c>
      <c r="E8664" s="14" t="str">
        <f aca="false">IF(C8664="","",C8664*D8664/100)</f>
        <v/>
      </c>
      <c r="F8664" s="15" t="str">
        <f aca="false">IF(B8664&lt;5,"Go","Standard")</f>
        <v>Standard</v>
      </c>
    </row>
    <row r="8665" customFormat="false" ht="15" hidden="false" customHeight="true" outlineLevel="0" collapsed="false">
      <c r="A8665" s="10" t="n">
        <f aca="false">Einstellungen!$B$5+INT((ROW()-9)/24)</f>
        <v>46326</v>
      </c>
      <c r="B8665" s="11" t="n">
        <f aca="false">MOD(ROW()-9,24)</f>
        <v>16</v>
      </c>
      <c r="C8665" s="12"/>
      <c r="D8665" s="13" t="n">
        <f aca="false">IF(B8665&lt;5,Einstellungen!$B$3,Einstellungen!$B$4)</f>
        <v>29.13</v>
      </c>
      <c r="E8665" s="14" t="str">
        <f aca="false">IF(C8665="","",C8665*D8665/100)</f>
        <v/>
      </c>
      <c r="F8665" s="15" t="str">
        <f aca="false">IF(B8665&lt;5,"Go","Standard")</f>
        <v>Standard</v>
      </c>
    </row>
    <row r="8666" customFormat="false" ht="15" hidden="false" customHeight="true" outlineLevel="0" collapsed="false">
      <c r="A8666" s="10" t="n">
        <f aca="false">Einstellungen!$B$5+INT((ROW()-9)/24)</f>
        <v>46326</v>
      </c>
      <c r="B8666" s="11" t="n">
        <f aca="false">MOD(ROW()-9,24)</f>
        <v>17</v>
      </c>
      <c r="C8666" s="12"/>
      <c r="D8666" s="13" t="n">
        <f aca="false">IF(B8666&lt;5,Einstellungen!$B$3,Einstellungen!$B$4)</f>
        <v>29.13</v>
      </c>
      <c r="E8666" s="14" t="str">
        <f aca="false">IF(C8666="","",C8666*D8666/100)</f>
        <v/>
      </c>
      <c r="F8666" s="15" t="str">
        <f aca="false">IF(B8666&lt;5,"Go","Standard")</f>
        <v>Standard</v>
      </c>
    </row>
    <row r="8667" customFormat="false" ht="15" hidden="false" customHeight="true" outlineLevel="0" collapsed="false">
      <c r="A8667" s="10" t="n">
        <f aca="false">Einstellungen!$B$5+INT((ROW()-9)/24)</f>
        <v>46326</v>
      </c>
      <c r="B8667" s="11" t="n">
        <f aca="false">MOD(ROW()-9,24)</f>
        <v>18</v>
      </c>
      <c r="C8667" s="12"/>
      <c r="D8667" s="13" t="n">
        <f aca="false">IF(B8667&lt;5,Einstellungen!$B$3,Einstellungen!$B$4)</f>
        <v>29.13</v>
      </c>
      <c r="E8667" s="14" t="str">
        <f aca="false">IF(C8667="","",C8667*D8667/100)</f>
        <v/>
      </c>
      <c r="F8667" s="15" t="str">
        <f aca="false">IF(B8667&lt;5,"Go","Standard")</f>
        <v>Standard</v>
      </c>
    </row>
    <row r="8668" customFormat="false" ht="15" hidden="false" customHeight="true" outlineLevel="0" collapsed="false">
      <c r="A8668" s="10" t="n">
        <f aca="false">Einstellungen!$B$5+INT((ROW()-9)/24)</f>
        <v>46326</v>
      </c>
      <c r="B8668" s="11" t="n">
        <f aca="false">MOD(ROW()-9,24)</f>
        <v>19</v>
      </c>
      <c r="C8668" s="12"/>
      <c r="D8668" s="13" t="n">
        <f aca="false">IF(B8668&lt;5,Einstellungen!$B$3,Einstellungen!$B$4)</f>
        <v>29.13</v>
      </c>
      <c r="E8668" s="14" t="str">
        <f aca="false">IF(C8668="","",C8668*D8668/100)</f>
        <v/>
      </c>
      <c r="F8668" s="15" t="str">
        <f aca="false">IF(B8668&lt;5,"Go","Standard")</f>
        <v>Standard</v>
      </c>
    </row>
    <row r="8669" customFormat="false" ht="15" hidden="false" customHeight="true" outlineLevel="0" collapsed="false">
      <c r="A8669" s="10" t="n">
        <f aca="false">Einstellungen!$B$5+INT((ROW()-9)/24)</f>
        <v>46326</v>
      </c>
      <c r="B8669" s="11" t="n">
        <f aca="false">MOD(ROW()-9,24)</f>
        <v>20</v>
      </c>
      <c r="C8669" s="12"/>
      <c r="D8669" s="13" t="n">
        <f aca="false">IF(B8669&lt;5,Einstellungen!$B$3,Einstellungen!$B$4)</f>
        <v>29.13</v>
      </c>
      <c r="E8669" s="14" t="str">
        <f aca="false">IF(C8669="","",C8669*D8669/100)</f>
        <v/>
      </c>
      <c r="F8669" s="15" t="str">
        <f aca="false">IF(B8669&lt;5,"Go","Standard")</f>
        <v>Standard</v>
      </c>
    </row>
    <row r="8670" customFormat="false" ht="15" hidden="false" customHeight="true" outlineLevel="0" collapsed="false">
      <c r="A8670" s="10" t="n">
        <f aca="false">Einstellungen!$B$5+INT((ROW()-9)/24)</f>
        <v>46326</v>
      </c>
      <c r="B8670" s="11" t="n">
        <f aca="false">MOD(ROW()-9,24)</f>
        <v>21</v>
      </c>
      <c r="C8670" s="12"/>
      <c r="D8670" s="13" t="n">
        <f aca="false">IF(B8670&lt;5,Einstellungen!$B$3,Einstellungen!$B$4)</f>
        <v>29.13</v>
      </c>
      <c r="E8670" s="14" t="str">
        <f aca="false">IF(C8670="","",C8670*D8670/100)</f>
        <v/>
      </c>
      <c r="F8670" s="15" t="str">
        <f aca="false">IF(B8670&lt;5,"Go","Standard")</f>
        <v>Standard</v>
      </c>
    </row>
    <row r="8671" customFormat="false" ht="15" hidden="false" customHeight="true" outlineLevel="0" collapsed="false">
      <c r="A8671" s="10" t="n">
        <f aca="false">Einstellungen!$B$5+INT((ROW()-9)/24)</f>
        <v>46326</v>
      </c>
      <c r="B8671" s="11" t="n">
        <f aca="false">MOD(ROW()-9,24)</f>
        <v>22</v>
      </c>
      <c r="C8671" s="12"/>
      <c r="D8671" s="13" t="n">
        <f aca="false">IF(B8671&lt;5,Einstellungen!$B$3,Einstellungen!$B$4)</f>
        <v>29.13</v>
      </c>
      <c r="E8671" s="14" t="str">
        <f aca="false">IF(C8671="","",C8671*D8671/100)</f>
        <v/>
      </c>
      <c r="F8671" s="15" t="str">
        <f aca="false">IF(B8671&lt;5,"Go","Standard")</f>
        <v>Standard</v>
      </c>
    </row>
    <row r="8672" customFormat="false" ht="15" hidden="false" customHeight="true" outlineLevel="0" collapsed="false">
      <c r="A8672" s="10" t="n">
        <f aca="false">Einstellungen!$B$5+INT((ROW()-9)/24)</f>
        <v>46326</v>
      </c>
      <c r="B8672" s="11" t="n">
        <f aca="false">MOD(ROW()-9,24)</f>
        <v>23</v>
      </c>
      <c r="C8672" s="12"/>
      <c r="D8672" s="13" t="n">
        <f aca="false">IF(B8672&lt;5,Einstellungen!$B$3,Einstellungen!$B$4)</f>
        <v>29.13</v>
      </c>
      <c r="E8672" s="14" t="str">
        <f aca="false">IF(C8672="","",C8672*D8672/100)</f>
        <v/>
      </c>
      <c r="F8672" s="15" t="str">
        <f aca="false">IF(B8672&lt;5,"Go","Standard")</f>
        <v>Standard</v>
      </c>
    </row>
    <row r="8673" customFormat="false" ht="15" hidden="false" customHeight="true" outlineLevel="0" collapsed="false">
      <c r="A8673" s="10" t="n">
        <f aca="false">Einstellungen!$B$5+INT((ROW()-9)/24)</f>
        <v>46327</v>
      </c>
      <c r="B8673" s="11" t="n">
        <f aca="false">MOD(ROW()-9,24)</f>
        <v>0</v>
      </c>
      <c r="C8673" s="12"/>
      <c r="D8673" s="13" t="n">
        <f aca="false">IF(B8673&lt;5,Einstellungen!$B$3,Einstellungen!$B$4)</f>
        <v>15.92</v>
      </c>
      <c r="E8673" s="14" t="str">
        <f aca="false">IF(C8673="","",C8673*D8673/100)</f>
        <v/>
      </c>
      <c r="F8673" s="15" t="str">
        <f aca="false">IF(B8673&lt;5,"Go","Standard")</f>
        <v>Go</v>
      </c>
    </row>
    <row r="8674" customFormat="false" ht="15" hidden="false" customHeight="true" outlineLevel="0" collapsed="false">
      <c r="A8674" s="10" t="n">
        <f aca="false">Einstellungen!$B$5+INT((ROW()-9)/24)</f>
        <v>46327</v>
      </c>
      <c r="B8674" s="11" t="n">
        <f aca="false">MOD(ROW()-9,24)</f>
        <v>1</v>
      </c>
      <c r="C8674" s="12"/>
      <c r="D8674" s="13" t="n">
        <f aca="false">IF(B8674&lt;5,Einstellungen!$B$3,Einstellungen!$B$4)</f>
        <v>15.92</v>
      </c>
      <c r="E8674" s="14" t="str">
        <f aca="false">IF(C8674="","",C8674*D8674/100)</f>
        <v/>
      </c>
      <c r="F8674" s="15" t="str">
        <f aca="false">IF(B8674&lt;5,"Go","Standard")</f>
        <v>Go</v>
      </c>
    </row>
    <row r="8675" customFormat="false" ht="15" hidden="false" customHeight="true" outlineLevel="0" collapsed="false">
      <c r="A8675" s="10" t="n">
        <f aca="false">Einstellungen!$B$5+INT((ROW()-9)/24)</f>
        <v>46327</v>
      </c>
      <c r="B8675" s="11" t="n">
        <f aca="false">MOD(ROW()-9,24)</f>
        <v>2</v>
      </c>
      <c r="C8675" s="12"/>
      <c r="D8675" s="13" t="n">
        <f aca="false">IF(B8675&lt;5,Einstellungen!$B$3,Einstellungen!$B$4)</f>
        <v>15.92</v>
      </c>
      <c r="E8675" s="14" t="str">
        <f aca="false">IF(C8675="","",C8675*D8675/100)</f>
        <v/>
      </c>
      <c r="F8675" s="15" t="str">
        <f aca="false">IF(B8675&lt;5,"Go","Standard")</f>
        <v>Go</v>
      </c>
    </row>
    <row r="8676" customFormat="false" ht="15" hidden="false" customHeight="true" outlineLevel="0" collapsed="false">
      <c r="A8676" s="10" t="n">
        <f aca="false">Einstellungen!$B$5+INT((ROW()-9)/24)</f>
        <v>46327</v>
      </c>
      <c r="B8676" s="11" t="n">
        <f aca="false">MOD(ROW()-9,24)</f>
        <v>3</v>
      </c>
      <c r="C8676" s="12"/>
      <c r="D8676" s="13" t="n">
        <f aca="false">IF(B8676&lt;5,Einstellungen!$B$3,Einstellungen!$B$4)</f>
        <v>15.92</v>
      </c>
      <c r="E8676" s="14" t="str">
        <f aca="false">IF(C8676="","",C8676*D8676/100)</f>
        <v/>
      </c>
      <c r="F8676" s="15" t="str">
        <f aca="false">IF(B8676&lt;5,"Go","Standard")</f>
        <v>Go</v>
      </c>
    </row>
    <row r="8677" customFormat="false" ht="15" hidden="false" customHeight="true" outlineLevel="0" collapsed="false">
      <c r="A8677" s="10" t="n">
        <f aca="false">Einstellungen!$B$5+INT((ROW()-9)/24)</f>
        <v>46327</v>
      </c>
      <c r="B8677" s="11" t="n">
        <f aca="false">MOD(ROW()-9,24)</f>
        <v>4</v>
      </c>
      <c r="C8677" s="12"/>
      <c r="D8677" s="13" t="n">
        <f aca="false">IF(B8677&lt;5,Einstellungen!$B$3,Einstellungen!$B$4)</f>
        <v>15.92</v>
      </c>
      <c r="E8677" s="14" t="str">
        <f aca="false">IF(C8677="","",C8677*D8677/100)</f>
        <v/>
      </c>
      <c r="F8677" s="15" t="str">
        <f aca="false">IF(B8677&lt;5,"Go","Standard")</f>
        <v>Go</v>
      </c>
    </row>
    <row r="8678" customFormat="false" ht="15" hidden="false" customHeight="true" outlineLevel="0" collapsed="false">
      <c r="A8678" s="10" t="n">
        <f aca="false">Einstellungen!$B$5+INT((ROW()-9)/24)</f>
        <v>46327</v>
      </c>
      <c r="B8678" s="11" t="n">
        <f aca="false">MOD(ROW()-9,24)</f>
        <v>5</v>
      </c>
      <c r="C8678" s="12"/>
      <c r="D8678" s="13" t="n">
        <f aca="false">IF(B8678&lt;5,Einstellungen!$B$3,Einstellungen!$B$4)</f>
        <v>29.13</v>
      </c>
      <c r="E8678" s="14" t="str">
        <f aca="false">IF(C8678="","",C8678*D8678/100)</f>
        <v/>
      </c>
      <c r="F8678" s="15" t="str">
        <f aca="false">IF(B8678&lt;5,"Go","Standard")</f>
        <v>Standard</v>
      </c>
    </row>
    <row r="8679" customFormat="false" ht="15" hidden="false" customHeight="true" outlineLevel="0" collapsed="false">
      <c r="A8679" s="10" t="n">
        <f aca="false">Einstellungen!$B$5+INT((ROW()-9)/24)</f>
        <v>46327</v>
      </c>
      <c r="B8679" s="11" t="n">
        <f aca="false">MOD(ROW()-9,24)</f>
        <v>6</v>
      </c>
      <c r="C8679" s="12"/>
      <c r="D8679" s="13" t="n">
        <f aca="false">IF(B8679&lt;5,Einstellungen!$B$3,Einstellungen!$B$4)</f>
        <v>29.13</v>
      </c>
      <c r="E8679" s="14" t="str">
        <f aca="false">IF(C8679="","",C8679*D8679/100)</f>
        <v/>
      </c>
      <c r="F8679" s="15" t="str">
        <f aca="false">IF(B8679&lt;5,"Go","Standard")</f>
        <v>Standard</v>
      </c>
    </row>
    <row r="8680" customFormat="false" ht="15" hidden="false" customHeight="true" outlineLevel="0" collapsed="false">
      <c r="A8680" s="10" t="n">
        <f aca="false">Einstellungen!$B$5+INT((ROW()-9)/24)</f>
        <v>46327</v>
      </c>
      <c r="B8680" s="11" t="n">
        <f aca="false">MOD(ROW()-9,24)</f>
        <v>7</v>
      </c>
      <c r="C8680" s="12"/>
      <c r="D8680" s="13" t="n">
        <f aca="false">IF(B8680&lt;5,Einstellungen!$B$3,Einstellungen!$B$4)</f>
        <v>29.13</v>
      </c>
      <c r="E8680" s="14" t="str">
        <f aca="false">IF(C8680="","",C8680*D8680/100)</f>
        <v/>
      </c>
      <c r="F8680" s="15" t="str">
        <f aca="false">IF(B8680&lt;5,"Go","Standard")</f>
        <v>Standard</v>
      </c>
    </row>
    <row r="8681" customFormat="false" ht="15" hidden="false" customHeight="true" outlineLevel="0" collapsed="false">
      <c r="A8681" s="10" t="n">
        <f aca="false">Einstellungen!$B$5+INT((ROW()-9)/24)</f>
        <v>46327</v>
      </c>
      <c r="B8681" s="11" t="n">
        <f aca="false">MOD(ROW()-9,24)</f>
        <v>8</v>
      </c>
      <c r="C8681" s="12"/>
      <c r="D8681" s="13" t="n">
        <f aca="false">IF(B8681&lt;5,Einstellungen!$B$3,Einstellungen!$B$4)</f>
        <v>29.13</v>
      </c>
      <c r="E8681" s="14" t="str">
        <f aca="false">IF(C8681="","",C8681*D8681/100)</f>
        <v/>
      </c>
      <c r="F8681" s="15" t="str">
        <f aca="false">IF(B8681&lt;5,"Go","Standard")</f>
        <v>Standard</v>
      </c>
    </row>
    <row r="8682" customFormat="false" ht="15" hidden="false" customHeight="true" outlineLevel="0" collapsed="false">
      <c r="A8682" s="10" t="n">
        <f aca="false">Einstellungen!$B$5+INT((ROW()-9)/24)</f>
        <v>46327</v>
      </c>
      <c r="B8682" s="11" t="n">
        <f aca="false">MOD(ROW()-9,24)</f>
        <v>9</v>
      </c>
      <c r="C8682" s="12"/>
      <c r="D8682" s="13" t="n">
        <f aca="false">IF(B8682&lt;5,Einstellungen!$B$3,Einstellungen!$B$4)</f>
        <v>29.13</v>
      </c>
      <c r="E8682" s="14" t="str">
        <f aca="false">IF(C8682="","",C8682*D8682/100)</f>
        <v/>
      </c>
      <c r="F8682" s="15" t="str">
        <f aca="false">IF(B8682&lt;5,"Go","Standard")</f>
        <v>Standard</v>
      </c>
    </row>
    <row r="8683" customFormat="false" ht="15" hidden="false" customHeight="true" outlineLevel="0" collapsed="false">
      <c r="A8683" s="10" t="n">
        <f aca="false">Einstellungen!$B$5+INT((ROW()-9)/24)</f>
        <v>46327</v>
      </c>
      <c r="B8683" s="11" t="n">
        <f aca="false">MOD(ROW()-9,24)</f>
        <v>10</v>
      </c>
      <c r="C8683" s="12"/>
      <c r="D8683" s="13" t="n">
        <f aca="false">IF(B8683&lt;5,Einstellungen!$B$3,Einstellungen!$B$4)</f>
        <v>29.13</v>
      </c>
      <c r="E8683" s="14" t="str">
        <f aca="false">IF(C8683="","",C8683*D8683/100)</f>
        <v/>
      </c>
      <c r="F8683" s="15" t="str">
        <f aca="false">IF(B8683&lt;5,"Go","Standard")</f>
        <v>Standard</v>
      </c>
    </row>
    <row r="8684" customFormat="false" ht="15" hidden="false" customHeight="true" outlineLevel="0" collapsed="false">
      <c r="A8684" s="10" t="n">
        <f aca="false">Einstellungen!$B$5+INT((ROW()-9)/24)</f>
        <v>46327</v>
      </c>
      <c r="B8684" s="11" t="n">
        <f aca="false">MOD(ROW()-9,24)</f>
        <v>11</v>
      </c>
      <c r="C8684" s="12"/>
      <c r="D8684" s="13" t="n">
        <f aca="false">IF(B8684&lt;5,Einstellungen!$B$3,Einstellungen!$B$4)</f>
        <v>29.13</v>
      </c>
      <c r="E8684" s="14" t="str">
        <f aca="false">IF(C8684="","",C8684*D8684/100)</f>
        <v/>
      </c>
      <c r="F8684" s="15" t="str">
        <f aca="false">IF(B8684&lt;5,"Go","Standard")</f>
        <v>Standard</v>
      </c>
    </row>
    <row r="8685" customFormat="false" ht="15" hidden="false" customHeight="true" outlineLevel="0" collapsed="false">
      <c r="A8685" s="10" t="n">
        <f aca="false">Einstellungen!$B$5+INT((ROW()-9)/24)</f>
        <v>46327</v>
      </c>
      <c r="B8685" s="11" t="n">
        <f aca="false">MOD(ROW()-9,24)</f>
        <v>12</v>
      </c>
      <c r="C8685" s="12"/>
      <c r="D8685" s="13" t="n">
        <f aca="false">IF(B8685&lt;5,Einstellungen!$B$3,Einstellungen!$B$4)</f>
        <v>29.13</v>
      </c>
      <c r="E8685" s="14" t="str">
        <f aca="false">IF(C8685="","",C8685*D8685/100)</f>
        <v/>
      </c>
      <c r="F8685" s="15" t="str">
        <f aca="false">IF(B8685&lt;5,"Go","Standard")</f>
        <v>Standard</v>
      </c>
    </row>
    <row r="8686" customFormat="false" ht="15" hidden="false" customHeight="true" outlineLevel="0" collapsed="false">
      <c r="A8686" s="10" t="n">
        <f aca="false">Einstellungen!$B$5+INT((ROW()-9)/24)</f>
        <v>46327</v>
      </c>
      <c r="B8686" s="11" t="n">
        <f aca="false">MOD(ROW()-9,24)</f>
        <v>13</v>
      </c>
      <c r="C8686" s="12"/>
      <c r="D8686" s="13" t="n">
        <f aca="false">IF(B8686&lt;5,Einstellungen!$B$3,Einstellungen!$B$4)</f>
        <v>29.13</v>
      </c>
      <c r="E8686" s="14" t="str">
        <f aca="false">IF(C8686="","",C8686*D8686/100)</f>
        <v/>
      </c>
      <c r="F8686" s="15" t="str">
        <f aca="false">IF(B8686&lt;5,"Go","Standard")</f>
        <v>Standard</v>
      </c>
    </row>
    <row r="8687" customFormat="false" ht="15" hidden="false" customHeight="true" outlineLevel="0" collapsed="false">
      <c r="A8687" s="10" t="n">
        <f aca="false">Einstellungen!$B$5+INT((ROW()-9)/24)</f>
        <v>46327</v>
      </c>
      <c r="B8687" s="11" t="n">
        <f aca="false">MOD(ROW()-9,24)</f>
        <v>14</v>
      </c>
      <c r="C8687" s="12"/>
      <c r="D8687" s="13" t="n">
        <f aca="false">IF(B8687&lt;5,Einstellungen!$B$3,Einstellungen!$B$4)</f>
        <v>29.13</v>
      </c>
      <c r="E8687" s="14" t="str">
        <f aca="false">IF(C8687="","",C8687*D8687/100)</f>
        <v/>
      </c>
      <c r="F8687" s="15" t="str">
        <f aca="false">IF(B8687&lt;5,"Go","Standard")</f>
        <v>Standard</v>
      </c>
    </row>
    <row r="8688" customFormat="false" ht="15" hidden="false" customHeight="true" outlineLevel="0" collapsed="false">
      <c r="A8688" s="10" t="n">
        <f aca="false">Einstellungen!$B$5+INT((ROW()-9)/24)</f>
        <v>46327</v>
      </c>
      <c r="B8688" s="11" t="n">
        <f aca="false">MOD(ROW()-9,24)</f>
        <v>15</v>
      </c>
      <c r="C8688" s="12"/>
      <c r="D8688" s="13" t="n">
        <f aca="false">IF(B8688&lt;5,Einstellungen!$B$3,Einstellungen!$B$4)</f>
        <v>29.13</v>
      </c>
      <c r="E8688" s="14" t="str">
        <f aca="false">IF(C8688="","",C8688*D8688/100)</f>
        <v/>
      </c>
      <c r="F8688" s="15" t="str">
        <f aca="false">IF(B8688&lt;5,"Go","Standard")</f>
        <v>Standard</v>
      </c>
    </row>
    <row r="8689" customFormat="false" ht="15" hidden="false" customHeight="true" outlineLevel="0" collapsed="false">
      <c r="A8689" s="10" t="n">
        <f aca="false">Einstellungen!$B$5+INT((ROW()-9)/24)</f>
        <v>46327</v>
      </c>
      <c r="B8689" s="11" t="n">
        <f aca="false">MOD(ROW()-9,24)</f>
        <v>16</v>
      </c>
      <c r="C8689" s="12"/>
      <c r="D8689" s="13" t="n">
        <f aca="false">IF(B8689&lt;5,Einstellungen!$B$3,Einstellungen!$B$4)</f>
        <v>29.13</v>
      </c>
      <c r="E8689" s="14" t="str">
        <f aca="false">IF(C8689="","",C8689*D8689/100)</f>
        <v/>
      </c>
      <c r="F8689" s="15" t="str">
        <f aca="false">IF(B8689&lt;5,"Go","Standard")</f>
        <v>Standard</v>
      </c>
    </row>
    <row r="8690" customFormat="false" ht="15" hidden="false" customHeight="true" outlineLevel="0" collapsed="false">
      <c r="A8690" s="10" t="n">
        <f aca="false">Einstellungen!$B$5+INT((ROW()-9)/24)</f>
        <v>46327</v>
      </c>
      <c r="B8690" s="11" t="n">
        <f aca="false">MOD(ROW()-9,24)</f>
        <v>17</v>
      </c>
      <c r="C8690" s="12"/>
      <c r="D8690" s="13" t="n">
        <f aca="false">IF(B8690&lt;5,Einstellungen!$B$3,Einstellungen!$B$4)</f>
        <v>29.13</v>
      </c>
      <c r="E8690" s="14" t="str">
        <f aca="false">IF(C8690="","",C8690*D8690/100)</f>
        <v/>
      </c>
      <c r="F8690" s="15" t="str">
        <f aca="false">IF(B8690&lt;5,"Go","Standard")</f>
        <v>Standard</v>
      </c>
    </row>
    <row r="8691" customFormat="false" ht="15" hidden="false" customHeight="true" outlineLevel="0" collapsed="false">
      <c r="A8691" s="10" t="n">
        <f aca="false">Einstellungen!$B$5+INT((ROW()-9)/24)</f>
        <v>46327</v>
      </c>
      <c r="B8691" s="11" t="n">
        <f aca="false">MOD(ROW()-9,24)</f>
        <v>18</v>
      </c>
      <c r="C8691" s="12"/>
      <c r="D8691" s="13" t="n">
        <f aca="false">IF(B8691&lt;5,Einstellungen!$B$3,Einstellungen!$B$4)</f>
        <v>29.13</v>
      </c>
      <c r="E8691" s="14" t="str">
        <f aca="false">IF(C8691="","",C8691*D8691/100)</f>
        <v/>
      </c>
      <c r="F8691" s="15" t="str">
        <f aca="false">IF(B8691&lt;5,"Go","Standard")</f>
        <v>Standard</v>
      </c>
    </row>
    <row r="8692" customFormat="false" ht="15" hidden="false" customHeight="true" outlineLevel="0" collapsed="false">
      <c r="A8692" s="10" t="n">
        <f aca="false">Einstellungen!$B$5+INT((ROW()-9)/24)</f>
        <v>46327</v>
      </c>
      <c r="B8692" s="11" t="n">
        <f aca="false">MOD(ROW()-9,24)</f>
        <v>19</v>
      </c>
      <c r="C8692" s="12"/>
      <c r="D8692" s="13" t="n">
        <f aca="false">IF(B8692&lt;5,Einstellungen!$B$3,Einstellungen!$B$4)</f>
        <v>29.13</v>
      </c>
      <c r="E8692" s="14" t="str">
        <f aca="false">IF(C8692="","",C8692*D8692/100)</f>
        <v/>
      </c>
      <c r="F8692" s="15" t="str">
        <f aca="false">IF(B8692&lt;5,"Go","Standard")</f>
        <v>Standard</v>
      </c>
    </row>
    <row r="8693" customFormat="false" ht="15" hidden="false" customHeight="true" outlineLevel="0" collapsed="false">
      <c r="A8693" s="10" t="n">
        <f aca="false">Einstellungen!$B$5+INT((ROW()-9)/24)</f>
        <v>46327</v>
      </c>
      <c r="B8693" s="11" t="n">
        <f aca="false">MOD(ROW()-9,24)</f>
        <v>20</v>
      </c>
      <c r="C8693" s="12"/>
      <c r="D8693" s="13" t="n">
        <f aca="false">IF(B8693&lt;5,Einstellungen!$B$3,Einstellungen!$B$4)</f>
        <v>29.13</v>
      </c>
      <c r="E8693" s="14" t="str">
        <f aca="false">IF(C8693="","",C8693*D8693/100)</f>
        <v/>
      </c>
      <c r="F8693" s="15" t="str">
        <f aca="false">IF(B8693&lt;5,"Go","Standard")</f>
        <v>Standard</v>
      </c>
    </row>
    <row r="8694" customFormat="false" ht="15" hidden="false" customHeight="true" outlineLevel="0" collapsed="false">
      <c r="A8694" s="10" t="n">
        <f aca="false">Einstellungen!$B$5+INT((ROW()-9)/24)</f>
        <v>46327</v>
      </c>
      <c r="B8694" s="11" t="n">
        <f aca="false">MOD(ROW()-9,24)</f>
        <v>21</v>
      </c>
      <c r="C8694" s="12"/>
      <c r="D8694" s="13" t="n">
        <f aca="false">IF(B8694&lt;5,Einstellungen!$B$3,Einstellungen!$B$4)</f>
        <v>29.13</v>
      </c>
      <c r="E8694" s="14" t="str">
        <f aca="false">IF(C8694="","",C8694*D8694/100)</f>
        <v/>
      </c>
      <c r="F8694" s="15" t="str">
        <f aca="false">IF(B8694&lt;5,"Go","Standard")</f>
        <v>Standard</v>
      </c>
    </row>
    <row r="8695" customFormat="false" ht="15" hidden="false" customHeight="true" outlineLevel="0" collapsed="false">
      <c r="A8695" s="10" t="n">
        <f aca="false">Einstellungen!$B$5+INT((ROW()-9)/24)</f>
        <v>46327</v>
      </c>
      <c r="B8695" s="11" t="n">
        <f aca="false">MOD(ROW()-9,24)</f>
        <v>22</v>
      </c>
      <c r="C8695" s="12"/>
      <c r="D8695" s="13" t="n">
        <f aca="false">IF(B8695&lt;5,Einstellungen!$B$3,Einstellungen!$B$4)</f>
        <v>29.13</v>
      </c>
      <c r="E8695" s="14" t="str">
        <f aca="false">IF(C8695="","",C8695*D8695/100)</f>
        <v/>
      </c>
      <c r="F8695" s="15" t="str">
        <f aca="false">IF(B8695&lt;5,"Go","Standard")</f>
        <v>Standard</v>
      </c>
    </row>
    <row r="8696" customFormat="false" ht="15" hidden="false" customHeight="true" outlineLevel="0" collapsed="false">
      <c r="A8696" s="10" t="n">
        <f aca="false">Einstellungen!$B$5+INT((ROW()-9)/24)</f>
        <v>46327</v>
      </c>
      <c r="B8696" s="11" t="n">
        <f aca="false">MOD(ROW()-9,24)</f>
        <v>23</v>
      </c>
      <c r="C8696" s="12"/>
      <c r="D8696" s="13" t="n">
        <f aca="false">IF(B8696&lt;5,Einstellungen!$B$3,Einstellungen!$B$4)</f>
        <v>29.13</v>
      </c>
      <c r="E8696" s="14" t="str">
        <f aca="false">IF(C8696="","",C8696*D8696/100)</f>
        <v/>
      </c>
      <c r="F8696" s="15" t="str">
        <f aca="false">IF(B8696&lt;5,"Go","Standard")</f>
        <v>Standard</v>
      </c>
    </row>
    <row r="8697" customFormat="false" ht="15" hidden="false" customHeight="true" outlineLevel="0" collapsed="false">
      <c r="A8697" s="10" t="n">
        <f aca="false">Einstellungen!$B$5+INT((ROW()-9)/24)</f>
        <v>46328</v>
      </c>
      <c r="B8697" s="11" t="n">
        <f aca="false">MOD(ROW()-9,24)</f>
        <v>0</v>
      </c>
      <c r="C8697" s="12"/>
      <c r="D8697" s="13" t="n">
        <f aca="false">IF(B8697&lt;5,Einstellungen!$B$3,Einstellungen!$B$4)</f>
        <v>15.92</v>
      </c>
      <c r="E8697" s="14" t="str">
        <f aca="false">IF(C8697="","",C8697*D8697/100)</f>
        <v/>
      </c>
      <c r="F8697" s="15" t="str">
        <f aca="false">IF(B8697&lt;5,"Go","Standard")</f>
        <v>Go</v>
      </c>
    </row>
    <row r="8698" customFormat="false" ht="15" hidden="false" customHeight="true" outlineLevel="0" collapsed="false">
      <c r="A8698" s="10" t="n">
        <f aca="false">Einstellungen!$B$5+INT((ROW()-9)/24)</f>
        <v>46328</v>
      </c>
      <c r="B8698" s="11" t="n">
        <f aca="false">MOD(ROW()-9,24)</f>
        <v>1</v>
      </c>
      <c r="C8698" s="12"/>
      <c r="D8698" s="13" t="n">
        <f aca="false">IF(B8698&lt;5,Einstellungen!$B$3,Einstellungen!$B$4)</f>
        <v>15.92</v>
      </c>
      <c r="E8698" s="14" t="str">
        <f aca="false">IF(C8698="","",C8698*D8698/100)</f>
        <v/>
      </c>
      <c r="F8698" s="15" t="str">
        <f aca="false">IF(B8698&lt;5,"Go","Standard")</f>
        <v>Go</v>
      </c>
    </row>
    <row r="8699" customFormat="false" ht="15" hidden="false" customHeight="true" outlineLevel="0" collapsed="false">
      <c r="A8699" s="10" t="n">
        <f aca="false">Einstellungen!$B$5+INT((ROW()-9)/24)</f>
        <v>46328</v>
      </c>
      <c r="B8699" s="11" t="n">
        <f aca="false">MOD(ROW()-9,24)</f>
        <v>2</v>
      </c>
      <c r="C8699" s="12"/>
      <c r="D8699" s="13" t="n">
        <f aca="false">IF(B8699&lt;5,Einstellungen!$B$3,Einstellungen!$B$4)</f>
        <v>15.92</v>
      </c>
      <c r="E8699" s="14" t="str">
        <f aca="false">IF(C8699="","",C8699*D8699/100)</f>
        <v/>
      </c>
      <c r="F8699" s="15" t="str">
        <f aca="false">IF(B8699&lt;5,"Go","Standard")</f>
        <v>Go</v>
      </c>
    </row>
    <row r="8700" customFormat="false" ht="15" hidden="false" customHeight="true" outlineLevel="0" collapsed="false">
      <c r="A8700" s="10" t="n">
        <f aca="false">Einstellungen!$B$5+INT((ROW()-9)/24)</f>
        <v>46328</v>
      </c>
      <c r="B8700" s="11" t="n">
        <f aca="false">MOD(ROW()-9,24)</f>
        <v>3</v>
      </c>
      <c r="C8700" s="12"/>
      <c r="D8700" s="13" t="n">
        <f aca="false">IF(B8700&lt;5,Einstellungen!$B$3,Einstellungen!$B$4)</f>
        <v>15.92</v>
      </c>
      <c r="E8700" s="14" t="str">
        <f aca="false">IF(C8700="","",C8700*D8700/100)</f>
        <v/>
      </c>
      <c r="F8700" s="15" t="str">
        <f aca="false">IF(B8700&lt;5,"Go","Standard")</f>
        <v>Go</v>
      </c>
    </row>
    <row r="8701" customFormat="false" ht="15" hidden="false" customHeight="true" outlineLevel="0" collapsed="false">
      <c r="A8701" s="10" t="n">
        <f aca="false">Einstellungen!$B$5+INT((ROW()-9)/24)</f>
        <v>46328</v>
      </c>
      <c r="B8701" s="11" t="n">
        <f aca="false">MOD(ROW()-9,24)</f>
        <v>4</v>
      </c>
      <c r="C8701" s="12"/>
      <c r="D8701" s="13" t="n">
        <f aca="false">IF(B8701&lt;5,Einstellungen!$B$3,Einstellungen!$B$4)</f>
        <v>15.92</v>
      </c>
      <c r="E8701" s="14" t="str">
        <f aca="false">IF(C8701="","",C8701*D8701/100)</f>
        <v/>
      </c>
      <c r="F8701" s="15" t="str">
        <f aca="false">IF(B8701&lt;5,"Go","Standard")</f>
        <v>Go</v>
      </c>
    </row>
    <row r="8702" customFormat="false" ht="15" hidden="false" customHeight="true" outlineLevel="0" collapsed="false">
      <c r="A8702" s="10" t="n">
        <f aca="false">Einstellungen!$B$5+INT((ROW()-9)/24)</f>
        <v>46328</v>
      </c>
      <c r="B8702" s="11" t="n">
        <f aca="false">MOD(ROW()-9,24)</f>
        <v>5</v>
      </c>
      <c r="C8702" s="12"/>
      <c r="D8702" s="13" t="n">
        <f aca="false">IF(B8702&lt;5,Einstellungen!$B$3,Einstellungen!$B$4)</f>
        <v>29.13</v>
      </c>
      <c r="E8702" s="14" t="str">
        <f aca="false">IF(C8702="","",C8702*D8702/100)</f>
        <v/>
      </c>
      <c r="F8702" s="15" t="str">
        <f aca="false">IF(B8702&lt;5,"Go","Standard")</f>
        <v>Standard</v>
      </c>
    </row>
    <row r="8703" customFormat="false" ht="15" hidden="false" customHeight="true" outlineLevel="0" collapsed="false">
      <c r="A8703" s="10" t="n">
        <f aca="false">Einstellungen!$B$5+INT((ROW()-9)/24)</f>
        <v>46328</v>
      </c>
      <c r="B8703" s="11" t="n">
        <f aca="false">MOD(ROW()-9,24)</f>
        <v>6</v>
      </c>
      <c r="C8703" s="12"/>
      <c r="D8703" s="13" t="n">
        <f aca="false">IF(B8703&lt;5,Einstellungen!$B$3,Einstellungen!$B$4)</f>
        <v>29.13</v>
      </c>
      <c r="E8703" s="14" t="str">
        <f aca="false">IF(C8703="","",C8703*D8703/100)</f>
        <v/>
      </c>
      <c r="F8703" s="15" t="str">
        <f aca="false">IF(B8703&lt;5,"Go","Standard")</f>
        <v>Standard</v>
      </c>
    </row>
    <row r="8704" customFormat="false" ht="15" hidden="false" customHeight="true" outlineLevel="0" collapsed="false">
      <c r="A8704" s="10" t="n">
        <f aca="false">Einstellungen!$B$5+INT((ROW()-9)/24)</f>
        <v>46328</v>
      </c>
      <c r="B8704" s="11" t="n">
        <f aca="false">MOD(ROW()-9,24)</f>
        <v>7</v>
      </c>
      <c r="C8704" s="12"/>
      <c r="D8704" s="13" t="n">
        <f aca="false">IF(B8704&lt;5,Einstellungen!$B$3,Einstellungen!$B$4)</f>
        <v>29.13</v>
      </c>
      <c r="E8704" s="14" t="str">
        <f aca="false">IF(C8704="","",C8704*D8704/100)</f>
        <v/>
      </c>
      <c r="F8704" s="15" t="str">
        <f aca="false">IF(B8704&lt;5,"Go","Standard")</f>
        <v>Standard</v>
      </c>
    </row>
    <row r="8705" customFormat="false" ht="15" hidden="false" customHeight="true" outlineLevel="0" collapsed="false">
      <c r="A8705" s="10" t="n">
        <f aca="false">Einstellungen!$B$5+INT((ROW()-9)/24)</f>
        <v>46328</v>
      </c>
      <c r="B8705" s="11" t="n">
        <f aca="false">MOD(ROW()-9,24)</f>
        <v>8</v>
      </c>
      <c r="C8705" s="12"/>
      <c r="D8705" s="13" t="n">
        <f aca="false">IF(B8705&lt;5,Einstellungen!$B$3,Einstellungen!$B$4)</f>
        <v>29.13</v>
      </c>
      <c r="E8705" s="14" t="str">
        <f aca="false">IF(C8705="","",C8705*D8705/100)</f>
        <v/>
      </c>
      <c r="F8705" s="15" t="str">
        <f aca="false">IF(B8705&lt;5,"Go","Standard")</f>
        <v>Standard</v>
      </c>
    </row>
    <row r="8706" customFormat="false" ht="15" hidden="false" customHeight="true" outlineLevel="0" collapsed="false">
      <c r="A8706" s="10" t="n">
        <f aca="false">Einstellungen!$B$5+INT((ROW()-9)/24)</f>
        <v>46328</v>
      </c>
      <c r="B8706" s="11" t="n">
        <f aca="false">MOD(ROW()-9,24)</f>
        <v>9</v>
      </c>
      <c r="C8706" s="12"/>
      <c r="D8706" s="13" t="n">
        <f aca="false">IF(B8706&lt;5,Einstellungen!$B$3,Einstellungen!$B$4)</f>
        <v>29.13</v>
      </c>
      <c r="E8706" s="14" t="str">
        <f aca="false">IF(C8706="","",C8706*D8706/100)</f>
        <v/>
      </c>
      <c r="F8706" s="15" t="str">
        <f aca="false">IF(B8706&lt;5,"Go","Standard")</f>
        <v>Standard</v>
      </c>
    </row>
    <row r="8707" customFormat="false" ht="15" hidden="false" customHeight="true" outlineLevel="0" collapsed="false">
      <c r="A8707" s="10" t="n">
        <f aca="false">Einstellungen!$B$5+INT((ROW()-9)/24)</f>
        <v>46328</v>
      </c>
      <c r="B8707" s="11" t="n">
        <f aca="false">MOD(ROW()-9,24)</f>
        <v>10</v>
      </c>
      <c r="C8707" s="12"/>
      <c r="D8707" s="13" t="n">
        <f aca="false">IF(B8707&lt;5,Einstellungen!$B$3,Einstellungen!$B$4)</f>
        <v>29.13</v>
      </c>
      <c r="E8707" s="14" t="str">
        <f aca="false">IF(C8707="","",C8707*D8707/100)</f>
        <v/>
      </c>
      <c r="F8707" s="15" t="str">
        <f aca="false">IF(B8707&lt;5,"Go","Standard")</f>
        <v>Standard</v>
      </c>
    </row>
    <row r="8708" customFormat="false" ht="15" hidden="false" customHeight="true" outlineLevel="0" collapsed="false">
      <c r="A8708" s="10" t="n">
        <f aca="false">Einstellungen!$B$5+INT((ROW()-9)/24)</f>
        <v>46328</v>
      </c>
      <c r="B8708" s="11" t="n">
        <f aca="false">MOD(ROW()-9,24)</f>
        <v>11</v>
      </c>
      <c r="C8708" s="12"/>
      <c r="D8708" s="13" t="n">
        <f aca="false">IF(B8708&lt;5,Einstellungen!$B$3,Einstellungen!$B$4)</f>
        <v>29.13</v>
      </c>
      <c r="E8708" s="14" t="str">
        <f aca="false">IF(C8708="","",C8708*D8708/100)</f>
        <v/>
      </c>
      <c r="F8708" s="15" t="str">
        <f aca="false">IF(B8708&lt;5,"Go","Standard")</f>
        <v>Standard</v>
      </c>
    </row>
    <row r="8709" customFormat="false" ht="15" hidden="false" customHeight="true" outlineLevel="0" collapsed="false">
      <c r="A8709" s="10" t="n">
        <f aca="false">Einstellungen!$B$5+INT((ROW()-9)/24)</f>
        <v>46328</v>
      </c>
      <c r="B8709" s="11" t="n">
        <f aca="false">MOD(ROW()-9,24)</f>
        <v>12</v>
      </c>
      <c r="C8709" s="12"/>
      <c r="D8709" s="13" t="n">
        <f aca="false">IF(B8709&lt;5,Einstellungen!$B$3,Einstellungen!$B$4)</f>
        <v>29.13</v>
      </c>
      <c r="E8709" s="14" t="str">
        <f aca="false">IF(C8709="","",C8709*D8709/100)</f>
        <v/>
      </c>
      <c r="F8709" s="15" t="str">
        <f aca="false">IF(B8709&lt;5,"Go","Standard")</f>
        <v>Standard</v>
      </c>
    </row>
    <row r="8710" customFormat="false" ht="15" hidden="false" customHeight="true" outlineLevel="0" collapsed="false">
      <c r="A8710" s="10" t="n">
        <f aca="false">Einstellungen!$B$5+INT((ROW()-9)/24)</f>
        <v>46328</v>
      </c>
      <c r="B8710" s="11" t="n">
        <f aca="false">MOD(ROW()-9,24)</f>
        <v>13</v>
      </c>
      <c r="C8710" s="12"/>
      <c r="D8710" s="13" t="n">
        <f aca="false">IF(B8710&lt;5,Einstellungen!$B$3,Einstellungen!$B$4)</f>
        <v>29.13</v>
      </c>
      <c r="E8710" s="14" t="str">
        <f aca="false">IF(C8710="","",C8710*D8710/100)</f>
        <v/>
      </c>
      <c r="F8710" s="15" t="str">
        <f aca="false">IF(B8710&lt;5,"Go","Standard")</f>
        <v>Standard</v>
      </c>
    </row>
    <row r="8711" customFormat="false" ht="15" hidden="false" customHeight="true" outlineLevel="0" collapsed="false">
      <c r="A8711" s="10" t="n">
        <f aca="false">Einstellungen!$B$5+INT((ROW()-9)/24)</f>
        <v>46328</v>
      </c>
      <c r="B8711" s="11" t="n">
        <f aca="false">MOD(ROW()-9,24)</f>
        <v>14</v>
      </c>
      <c r="C8711" s="12"/>
      <c r="D8711" s="13" t="n">
        <f aca="false">IF(B8711&lt;5,Einstellungen!$B$3,Einstellungen!$B$4)</f>
        <v>29.13</v>
      </c>
      <c r="E8711" s="14" t="str">
        <f aca="false">IF(C8711="","",C8711*D8711/100)</f>
        <v/>
      </c>
      <c r="F8711" s="15" t="str">
        <f aca="false">IF(B8711&lt;5,"Go","Standard")</f>
        <v>Standard</v>
      </c>
    </row>
    <row r="8712" customFormat="false" ht="15" hidden="false" customHeight="true" outlineLevel="0" collapsed="false">
      <c r="A8712" s="10" t="n">
        <f aca="false">Einstellungen!$B$5+INT((ROW()-9)/24)</f>
        <v>46328</v>
      </c>
      <c r="B8712" s="11" t="n">
        <f aca="false">MOD(ROW()-9,24)</f>
        <v>15</v>
      </c>
      <c r="C8712" s="12"/>
      <c r="D8712" s="13" t="n">
        <f aca="false">IF(B8712&lt;5,Einstellungen!$B$3,Einstellungen!$B$4)</f>
        <v>29.13</v>
      </c>
      <c r="E8712" s="14" t="str">
        <f aca="false">IF(C8712="","",C8712*D8712/100)</f>
        <v/>
      </c>
      <c r="F8712" s="15" t="str">
        <f aca="false">IF(B8712&lt;5,"Go","Standard")</f>
        <v>Standard</v>
      </c>
    </row>
    <row r="8713" customFormat="false" ht="15" hidden="false" customHeight="true" outlineLevel="0" collapsed="false">
      <c r="A8713" s="10" t="n">
        <f aca="false">Einstellungen!$B$5+INT((ROW()-9)/24)</f>
        <v>46328</v>
      </c>
      <c r="B8713" s="11" t="n">
        <f aca="false">MOD(ROW()-9,24)</f>
        <v>16</v>
      </c>
      <c r="C8713" s="12"/>
      <c r="D8713" s="13" t="n">
        <f aca="false">IF(B8713&lt;5,Einstellungen!$B$3,Einstellungen!$B$4)</f>
        <v>29.13</v>
      </c>
      <c r="E8713" s="14" t="str">
        <f aca="false">IF(C8713="","",C8713*D8713/100)</f>
        <v/>
      </c>
      <c r="F8713" s="15" t="str">
        <f aca="false">IF(B8713&lt;5,"Go","Standard")</f>
        <v>Standard</v>
      </c>
    </row>
    <row r="8714" customFormat="false" ht="15" hidden="false" customHeight="true" outlineLevel="0" collapsed="false">
      <c r="A8714" s="10" t="n">
        <f aca="false">Einstellungen!$B$5+INT((ROW()-9)/24)</f>
        <v>46328</v>
      </c>
      <c r="B8714" s="11" t="n">
        <f aca="false">MOD(ROW()-9,24)</f>
        <v>17</v>
      </c>
      <c r="C8714" s="12"/>
      <c r="D8714" s="13" t="n">
        <f aca="false">IF(B8714&lt;5,Einstellungen!$B$3,Einstellungen!$B$4)</f>
        <v>29.13</v>
      </c>
      <c r="E8714" s="14" t="str">
        <f aca="false">IF(C8714="","",C8714*D8714/100)</f>
        <v/>
      </c>
      <c r="F8714" s="15" t="str">
        <f aca="false">IF(B8714&lt;5,"Go","Standard")</f>
        <v>Standard</v>
      </c>
    </row>
    <row r="8715" customFormat="false" ht="15" hidden="false" customHeight="true" outlineLevel="0" collapsed="false">
      <c r="A8715" s="10" t="n">
        <f aca="false">Einstellungen!$B$5+INT((ROW()-9)/24)</f>
        <v>46328</v>
      </c>
      <c r="B8715" s="11" t="n">
        <f aca="false">MOD(ROW()-9,24)</f>
        <v>18</v>
      </c>
      <c r="C8715" s="12"/>
      <c r="D8715" s="13" t="n">
        <f aca="false">IF(B8715&lt;5,Einstellungen!$B$3,Einstellungen!$B$4)</f>
        <v>29.13</v>
      </c>
      <c r="E8715" s="14" t="str">
        <f aca="false">IF(C8715="","",C8715*D8715/100)</f>
        <v/>
      </c>
      <c r="F8715" s="15" t="str">
        <f aca="false">IF(B8715&lt;5,"Go","Standard")</f>
        <v>Standard</v>
      </c>
    </row>
    <row r="8716" customFormat="false" ht="15" hidden="false" customHeight="true" outlineLevel="0" collapsed="false">
      <c r="A8716" s="10" t="n">
        <f aca="false">Einstellungen!$B$5+INT((ROW()-9)/24)</f>
        <v>46328</v>
      </c>
      <c r="B8716" s="11" t="n">
        <f aca="false">MOD(ROW()-9,24)</f>
        <v>19</v>
      </c>
      <c r="C8716" s="12"/>
      <c r="D8716" s="13" t="n">
        <f aca="false">IF(B8716&lt;5,Einstellungen!$B$3,Einstellungen!$B$4)</f>
        <v>29.13</v>
      </c>
      <c r="E8716" s="14" t="str">
        <f aca="false">IF(C8716="","",C8716*D8716/100)</f>
        <v/>
      </c>
      <c r="F8716" s="15" t="str">
        <f aca="false">IF(B8716&lt;5,"Go","Standard")</f>
        <v>Standard</v>
      </c>
    </row>
    <row r="8717" customFormat="false" ht="15" hidden="false" customHeight="true" outlineLevel="0" collapsed="false">
      <c r="A8717" s="10" t="n">
        <f aca="false">Einstellungen!$B$5+INT((ROW()-9)/24)</f>
        <v>46328</v>
      </c>
      <c r="B8717" s="11" t="n">
        <f aca="false">MOD(ROW()-9,24)</f>
        <v>20</v>
      </c>
      <c r="C8717" s="12"/>
      <c r="D8717" s="13" t="n">
        <f aca="false">IF(B8717&lt;5,Einstellungen!$B$3,Einstellungen!$B$4)</f>
        <v>29.13</v>
      </c>
      <c r="E8717" s="14" t="str">
        <f aca="false">IF(C8717="","",C8717*D8717/100)</f>
        <v/>
      </c>
      <c r="F8717" s="15" t="str">
        <f aca="false">IF(B8717&lt;5,"Go","Standard")</f>
        <v>Standard</v>
      </c>
    </row>
    <row r="8718" customFormat="false" ht="15" hidden="false" customHeight="true" outlineLevel="0" collapsed="false">
      <c r="A8718" s="10" t="n">
        <f aca="false">Einstellungen!$B$5+INT((ROW()-9)/24)</f>
        <v>46328</v>
      </c>
      <c r="B8718" s="11" t="n">
        <f aca="false">MOD(ROW()-9,24)</f>
        <v>21</v>
      </c>
      <c r="C8718" s="12"/>
      <c r="D8718" s="13" t="n">
        <f aca="false">IF(B8718&lt;5,Einstellungen!$B$3,Einstellungen!$B$4)</f>
        <v>29.13</v>
      </c>
      <c r="E8718" s="14" t="str">
        <f aca="false">IF(C8718="","",C8718*D8718/100)</f>
        <v/>
      </c>
      <c r="F8718" s="15" t="str">
        <f aca="false">IF(B8718&lt;5,"Go","Standard")</f>
        <v>Standard</v>
      </c>
    </row>
    <row r="8719" customFormat="false" ht="15" hidden="false" customHeight="true" outlineLevel="0" collapsed="false">
      <c r="A8719" s="10" t="n">
        <f aca="false">Einstellungen!$B$5+INT((ROW()-9)/24)</f>
        <v>46328</v>
      </c>
      <c r="B8719" s="11" t="n">
        <f aca="false">MOD(ROW()-9,24)</f>
        <v>22</v>
      </c>
      <c r="C8719" s="12"/>
      <c r="D8719" s="13" t="n">
        <f aca="false">IF(B8719&lt;5,Einstellungen!$B$3,Einstellungen!$B$4)</f>
        <v>29.13</v>
      </c>
      <c r="E8719" s="14" t="str">
        <f aca="false">IF(C8719="","",C8719*D8719/100)</f>
        <v/>
      </c>
      <c r="F8719" s="15" t="str">
        <f aca="false">IF(B8719&lt;5,"Go","Standard")</f>
        <v>Standard</v>
      </c>
    </row>
    <row r="8720" customFormat="false" ht="15" hidden="false" customHeight="true" outlineLevel="0" collapsed="false">
      <c r="A8720" s="10" t="n">
        <f aca="false">Einstellungen!$B$5+INT((ROW()-9)/24)</f>
        <v>46328</v>
      </c>
      <c r="B8720" s="11" t="n">
        <f aca="false">MOD(ROW()-9,24)</f>
        <v>23</v>
      </c>
      <c r="C8720" s="12"/>
      <c r="D8720" s="13" t="n">
        <f aca="false">IF(B8720&lt;5,Einstellungen!$B$3,Einstellungen!$B$4)</f>
        <v>29.13</v>
      </c>
      <c r="E8720" s="14" t="str">
        <f aca="false">IF(C8720="","",C8720*D8720/100)</f>
        <v/>
      </c>
      <c r="F8720" s="15" t="str">
        <f aca="false">IF(B8720&lt;5,"Go","Standard")</f>
        <v>Standard</v>
      </c>
    </row>
    <row r="8721" customFormat="false" ht="15" hidden="false" customHeight="true" outlineLevel="0" collapsed="false">
      <c r="A8721" s="10" t="n">
        <f aca="false">Einstellungen!$B$5+INT((ROW()-9)/24)</f>
        <v>46329</v>
      </c>
      <c r="B8721" s="11" t="n">
        <f aca="false">MOD(ROW()-9,24)</f>
        <v>0</v>
      </c>
      <c r="C8721" s="12"/>
      <c r="D8721" s="13" t="n">
        <f aca="false">IF(B8721&lt;5,Einstellungen!$B$3,Einstellungen!$B$4)</f>
        <v>15.92</v>
      </c>
      <c r="E8721" s="14" t="str">
        <f aca="false">IF(C8721="","",C8721*D8721/100)</f>
        <v/>
      </c>
      <c r="F8721" s="15" t="str">
        <f aca="false">IF(B8721&lt;5,"Go","Standard")</f>
        <v>Go</v>
      </c>
    </row>
    <row r="8722" customFormat="false" ht="15" hidden="false" customHeight="true" outlineLevel="0" collapsed="false">
      <c r="A8722" s="10" t="n">
        <f aca="false">Einstellungen!$B$5+INT((ROW()-9)/24)</f>
        <v>46329</v>
      </c>
      <c r="B8722" s="11" t="n">
        <f aca="false">MOD(ROW()-9,24)</f>
        <v>1</v>
      </c>
      <c r="C8722" s="12"/>
      <c r="D8722" s="13" t="n">
        <f aca="false">IF(B8722&lt;5,Einstellungen!$B$3,Einstellungen!$B$4)</f>
        <v>15.92</v>
      </c>
      <c r="E8722" s="14" t="str">
        <f aca="false">IF(C8722="","",C8722*D8722/100)</f>
        <v/>
      </c>
      <c r="F8722" s="15" t="str">
        <f aca="false">IF(B8722&lt;5,"Go","Standard")</f>
        <v>Go</v>
      </c>
    </row>
    <row r="8723" customFormat="false" ht="15" hidden="false" customHeight="true" outlineLevel="0" collapsed="false">
      <c r="A8723" s="10" t="n">
        <f aca="false">Einstellungen!$B$5+INT((ROW()-9)/24)</f>
        <v>46329</v>
      </c>
      <c r="B8723" s="11" t="n">
        <f aca="false">MOD(ROW()-9,24)</f>
        <v>2</v>
      </c>
      <c r="C8723" s="12"/>
      <c r="D8723" s="13" t="n">
        <f aca="false">IF(B8723&lt;5,Einstellungen!$B$3,Einstellungen!$B$4)</f>
        <v>15.92</v>
      </c>
      <c r="E8723" s="14" t="str">
        <f aca="false">IF(C8723="","",C8723*D8723/100)</f>
        <v/>
      </c>
      <c r="F8723" s="15" t="str">
        <f aca="false">IF(B8723&lt;5,"Go","Standard")</f>
        <v>Go</v>
      </c>
    </row>
    <row r="8724" customFormat="false" ht="15" hidden="false" customHeight="true" outlineLevel="0" collapsed="false">
      <c r="A8724" s="10" t="n">
        <f aca="false">Einstellungen!$B$5+INT((ROW()-9)/24)</f>
        <v>46329</v>
      </c>
      <c r="B8724" s="11" t="n">
        <f aca="false">MOD(ROW()-9,24)</f>
        <v>3</v>
      </c>
      <c r="C8724" s="12"/>
      <c r="D8724" s="13" t="n">
        <f aca="false">IF(B8724&lt;5,Einstellungen!$B$3,Einstellungen!$B$4)</f>
        <v>15.92</v>
      </c>
      <c r="E8724" s="14" t="str">
        <f aca="false">IF(C8724="","",C8724*D8724/100)</f>
        <v/>
      </c>
      <c r="F8724" s="15" t="str">
        <f aca="false">IF(B8724&lt;5,"Go","Standard")</f>
        <v>Go</v>
      </c>
    </row>
    <row r="8725" customFormat="false" ht="15" hidden="false" customHeight="true" outlineLevel="0" collapsed="false">
      <c r="A8725" s="10" t="n">
        <f aca="false">Einstellungen!$B$5+INT((ROW()-9)/24)</f>
        <v>46329</v>
      </c>
      <c r="B8725" s="11" t="n">
        <f aca="false">MOD(ROW()-9,24)</f>
        <v>4</v>
      </c>
      <c r="C8725" s="12"/>
      <c r="D8725" s="13" t="n">
        <f aca="false">IF(B8725&lt;5,Einstellungen!$B$3,Einstellungen!$B$4)</f>
        <v>15.92</v>
      </c>
      <c r="E8725" s="14" t="str">
        <f aca="false">IF(C8725="","",C8725*D8725/100)</f>
        <v/>
      </c>
      <c r="F8725" s="15" t="str">
        <f aca="false">IF(B8725&lt;5,"Go","Standard")</f>
        <v>Go</v>
      </c>
    </row>
    <row r="8726" customFormat="false" ht="15" hidden="false" customHeight="true" outlineLevel="0" collapsed="false">
      <c r="A8726" s="10" t="n">
        <f aca="false">Einstellungen!$B$5+INT((ROW()-9)/24)</f>
        <v>46329</v>
      </c>
      <c r="B8726" s="11" t="n">
        <f aca="false">MOD(ROW()-9,24)</f>
        <v>5</v>
      </c>
      <c r="C8726" s="12"/>
      <c r="D8726" s="13" t="n">
        <f aca="false">IF(B8726&lt;5,Einstellungen!$B$3,Einstellungen!$B$4)</f>
        <v>29.13</v>
      </c>
      <c r="E8726" s="14" t="str">
        <f aca="false">IF(C8726="","",C8726*D8726/100)</f>
        <v/>
      </c>
      <c r="F8726" s="15" t="str">
        <f aca="false">IF(B8726&lt;5,"Go","Standard")</f>
        <v>Standard</v>
      </c>
    </row>
    <row r="8727" customFormat="false" ht="15" hidden="false" customHeight="true" outlineLevel="0" collapsed="false">
      <c r="A8727" s="10" t="n">
        <f aca="false">Einstellungen!$B$5+INT((ROW()-9)/24)</f>
        <v>46329</v>
      </c>
      <c r="B8727" s="11" t="n">
        <f aca="false">MOD(ROW()-9,24)</f>
        <v>6</v>
      </c>
      <c r="C8727" s="12"/>
      <c r="D8727" s="13" t="n">
        <f aca="false">IF(B8727&lt;5,Einstellungen!$B$3,Einstellungen!$B$4)</f>
        <v>29.13</v>
      </c>
      <c r="E8727" s="14" t="str">
        <f aca="false">IF(C8727="","",C8727*D8727/100)</f>
        <v/>
      </c>
      <c r="F8727" s="15" t="str">
        <f aca="false">IF(B8727&lt;5,"Go","Standard")</f>
        <v>Standard</v>
      </c>
    </row>
    <row r="8728" customFormat="false" ht="15" hidden="false" customHeight="true" outlineLevel="0" collapsed="false">
      <c r="A8728" s="10" t="n">
        <f aca="false">Einstellungen!$B$5+INT((ROW()-9)/24)</f>
        <v>46329</v>
      </c>
      <c r="B8728" s="11" t="n">
        <f aca="false">MOD(ROW()-9,24)</f>
        <v>7</v>
      </c>
      <c r="C8728" s="12"/>
      <c r="D8728" s="13" t="n">
        <f aca="false">IF(B8728&lt;5,Einstellungen!$B$3,Einstellungen!$B$4)</f>
        <v>29.13</v>
      </c>
      <c r="E8728" s="14" t="str">
        <f aca="false">IF(C8728="","",C8728*D8728/100)</f>
        <v/>
      </c>
      <c r="F8728" s="15" t="str">
        <f aca="false">IF(B8728&lt;5,"Go","Standard")</f>
        <v>Standard</v>
      </c>
    </row>
    <row r="8729" customFormat="false" ht="15" hidden="false" customHeight="true" outlineLevel="0" collapsed="false">
      <c r="A8729" s="10" t="n">
        <f aca="false">Einstellungen!$B$5+INT((ROW()-9)/24)</f>
        <v>46329</v>
      </c>
      <c r="B8729" s="11" t="n">
        <f aca="false">MOD(ROW()-9,24)</f>
        <v>8</v>
      </c>
      <c r="C8729" s="12"/>
      <c r="D8729" s="13" t="n">
        <f aca="false">IF(B8729&lt;5,Einstellungen!$B$3,Einstellungen!$B$4)</f>
        <v>29.13</v>
      </c>
      <c r="E8729" s="14" t="str">
        <f aca="false">IF(C8729="","",C8729*D8729/100)</f>
        <v/>
      </c>
      <c r="F8729" s="15" t="str">
        <f aca="false">IF(B8729&lt;5,"Go","Standard")</f>
        <v>Standard</v>
      </c>
    </row>
    <row r="8730" customFormat="false" ht="15" hidden="false" customHeight="true" outlineLevel="0" collapsed="false">
      <c r="A8730" s="10" t="n">
        <f aca="false">Einstellungen!$B$5+INT((ROW()-9)/24)</f>
        <v>46329</v>
      </c>
      <c r="B8730" s="11" t="n">
        <f aca="false">MOD(ROW()-9,24)</f>
        <v>9</v>
      </c>
      <c r="C8730" s="12"/>
      <c r="D8730" s="13" t="n">
        <f aca="false">IF(B8730&lt;5,Einstellungen!$B$3,Einstellungen!$B$4)</f>
        <v>29.13</v>
      </c>
      <c r="E8730" s="14" t="str">
        <f aca="false">IF(C8730="","",C8730*D8730/100)</f>
        <v/>
      </c>
      <c r="F8730" s="15" t="str">
        <f aca="false">IF(B8730&lt;5,"Go","Standard")</f>
        <v>Standard</v>
      </c>
    </row>
    <row r="8731" customFormat="false" ht="15" hidden="false" customHeight="true" outlineLevel="0" collapsed="false">
      <c r="A8731" s="10" t="n">
        <f aca="false">Einstellungen!$B$5+INT((ROW()-9)/24)</f>
        <v>46329</v>
      </c>
      <c r="B8731" s="11" t="n">
        <f aca="false">MOD(ROW()-9,24)</f>
        <v>10</v>
      </c>
      <c r="C8731" s="12"/>
      <c r="D8731" s="13" t="n">
        <f aca="false">IF(B8731&lt;5,Einstellungen!$B$3,Einstellungen!$B$4)</f>
        <v>29.13</v>
      </c>
      <c r="E8731" s="14" t="str">
        <f aca="false">IF(C8731="","",C8731*D8731/100)</f>
        <v/>
      </c>
      <c r="F8731" s="15" t="str">
        <f aca="false">IF(B8731&lt;5,"Go","Standard")</f>
        <v>Standard</v>
      </c>
    </row>
    <row r="8732" customFormat="false" ht="15" hidden="false" customHeight="true" outlineLevel="0" collapsed="false">
      <c r="A8732" s="10" t="n">
        <f aca="false">Einstellungen!$B$5+INT((ROW()-9)/24)</f>
        <v>46329</v>
      </c>
      <c r="B8732" s="11" t="n">
        <f aca="false">MOD(ROW()-9,24)</f>
        <v>11</v>
      </c>
      <c r="C8732" s="12"/>
      <c r="D8732" s="13" t="n">
        <f aca="false">IF(B8732&lt;5,Einstellungen!$B$3,Einstellungen!$B$4)</f>
        <v>29.13</v>
      </c>
      <c r="E8732" s="14" t="str">
        <f aca="false">IF(C8732="","",C8732*D8732/100)</f>
        <v/>
      </c>
      <c r="F8732" s="15" t="str">
        <f aca="false">IF(B8732&lt;5,"Go","Standard")</f>
        <v>Standard</v>
      </c>
    </row>
    <row r="8733" customFormat="false" ht="15" hidden="false" customHeight="true" outlineLevel="0" collapsed="false">
      <c r="A8733" s="10" t="n">
        <f aca="false">Einstellungen!$B$5+INT((ROW()-9)/24)</f>
        <v>46329</v>
      </c>
      <c r="B8733" s="11" t="n">
        <f aca="false">MOD(ROW()-9,24)</f>
        <v>12</v>
      </c>
      <c r="C8733" s="12"/>
      <c r="D8733" s="13" t="n">
        <f aca="false">IF(B8733&lt;5,Einstellungen!$B$3,Einstellungen!$B$4)</f>
        <v>29.13</v>
      </c>
      <c r="E8733" s="14" t="str">
        <f aca="false">IF(C8733="","",C8733*D8733/100)</f>
        <v/>
      </c>
      <c r="F8733" s="15" t="str">
        <f aca="false">IF(B8733&lt;5,"Go","Standard")</f>
        <v>Standard</v>
      </c>
    </row>
    <row r="8734" customFormat="false" ht="15" hidden="false" customHeight="true" outlineLevel="0" collapsed="false">
      <c r="A8734" s="10" t="n">
        <f aca="false">Einstellungen!$B$5+INT((ROW()-9)/24)</f>
        <v>46329</v>
      </c>
      <c r="B8734" s="11" t="n">
        <f aca="false">MOD(ROW()-9,24)</f>
        <v>13</v>
      </c>
      <c r="C8734" s="12"/>
      <c r="D8734" s="13" t="n">
        <f aca="false">IF(B8734&lt;5,Einstellungen!$B$3,Einstellungen!$B$4)</f>
        <v>29.13</v>
      </c>
      <c r="E8734" s="14" t="str">
        <f aca="false">IF(C8734="","",C8734*D8734/100)</f>
        <v/>
      </c>
      <c r="F8734" s="15" t="str">
        <f aca="false">IF(B8734&lt;5,"Go","Standard")</f>
        <v>Standard</v>
      </c>
    </row>
    <row r="8735" customFormat="false" ht="15" hidden="false" customHeight="true" outlineLevel="0" collapsed="false">
      <c r="A8735" s="10" t="n">
        <f aca="false">Einstellungen!$B$5+INT((ROW()-9)/24)</f>
        <v>46329</v>
      </c>
      <c r="B8735" s="11" t="n">
        <f aca="false">MOD(ROW()-9,24)</f>
        <v>14</v>
      </c>
      <c r="C8735" s="12"/>
      <c r="D8735" s="13" t="n">
        <f aca="false">IF(B8735&lt;5,Einstellungen!$B$3,Einstellungen!$B$4)</f>
        <v>29.13</v>
      </c>
      <c r="E8735" s="14" t="str">
        <f aca="false">IF(C8735="","",C8735*D8735/100)</f>
        <v/>
      </c>
      <c r="F8735" s="15" t="str">
        <f aca="false">IF(B8735&lt;5,"Go","Standard")</f>
        <v>Standard</v>
      </c>
    </row>
    <row r="8736" customFormat="false" ht="15" hidden="false" customHeight="true" outlineLevel="0" collapsed="false">
      <c r="A8736" s="10" t="n">
        <f aca="false">Einstellungen!$B$5+INT((ROW()-9)/24)</f>
        <v>46329</v>
      </c>
      <c r="B8736" s="11" t="n">
        <f aca="false">MOD(ROW()-9,24)</f>
        <v>15</v>
      </c>
      <c r="C8736" s="12"/>
      <c r="D8736" s="13" t="n">
        <f aca="false">IF(B8736&lt;5,Einstellungen!$B$3,Einstellungen!$B$4)</f>
        <v>29.13</v>
      </c>
      <c r="E8736" s="14" t="str">
        <f aca="false">IF(C8736="","",C8736*D8736/100)</f>
        <v/>
      </c>
      <c r="F8736" s="15" t="str">
        <f aca="false">IF(B8736&lt;5,"Go","Standard")</f>
        <v>Standard</v>
      </c>
    </row>
    <row r="8737" customFormat="false" ht="15" hidden="false" customHeight="true" outlineLevel="0" collapsed="false">
      <c r="A8737" s="10" t="n">
        <f aca="false">Einstellungen!$B$5+INT((ROW()-9)/24)</f>
        <v>46329</v>
      </c>
      <c r="B8737" s="11" t="n">
        <f aca="false">MOD(ROW()-9,24)</f>
        <v>16</v>
      </c>
      <c r="C8737" s="12"/>
      <c r="D8737" s="13" t="n">
        <f aca="false">IF(B8737&lt;5,Einstellungen!$B$3,Einstellungen!$B$4)</f>
        <v>29.13</v>
      </c>
      <c r="E8737" s="14" t="str">
        <f aca="false">IF(C8737="","",C8737*D8737/100)</f>
        <v/>
      </c>
      <c r="F8737" s="15" t="str">
        <f aca="false">IF(B8737&lt;5,"Go","Standard")</f>
        <v>Standard</v>
      </c>
    </row>
    <row r="8738" customFormat="false" ht="15" hidden="false" customHeight="true" outlineLevel="0" collapsed="false">
      <c r="A8738" s="10" t="n">
        <f aca="false">Einstellungen!$B$5+INT((ROW()-9)/24)</f>
        <v>46329</v>
      </c>
      <c r="B8738" s="11" t="n">
        <f aca="false">MOD(ROW()-9,24)</f>
        <v>17</v>
      </c>
      <c r="C8738" s="12"/>
      <c r="D8738" s="13" t="n">
        <f aca="false">IF(B8738&lt;5,Einstellungen!$B$3,Einstellungen!$B$4)</f>
        <v>29.13</v>
      </c>
      <c r="E8738" s="14" t="str">
        <f aca="false">IF(C8738="","",C8738*D8738/100)</f>
        <v/>
      </c>
      <c r="F8738" s="15" t="str">
        <f aca="false">IF(B8738&lt;5,"Go","Standard")</f>
        <v>Standard</v>
      </c>
    </row>
    <row r="8739" customFormat="false" ht="15" hidden="false" customHeight="true" outlineLevel="0" collapsed="false">
      <c r="A8739" s="10" t="n">
        <f aca="false">Einstellungen!$B$5+INT((ROW()-9)/24)</f>
        <v>46329</v>
      </c>
      <c r="B8739" s="11" t="n">
        <f aca="false">MOD(ROW()-9,24)</f>
        <v>18</v>
      </c>
      <c r="C8739" s="12"/>
      <c r="D8739" s="13" t="n">
        <f aca="false">IF(B8739&lt;5,Einstellungen!$B$3,Einstellungen!$B$4)</f>
        <v>29.13</v>
      </c>
      <c r="E8739" s="14" t="str">
        <f aca="false">IF(C8739="","",C8739*D8739/100)</f>
        <v/>
      </c>
      <c r="F8739" s="15" t="str">
        <f aca="false">IF(B8739&lt;5,"Go","Standard")</f>
        <v>Standard</v>
      </c>
    </row>
    <row r="8740" customFormat="false" ht="15" hidden="false" customHeight="true" outlineLevel="0" collapsed="false">
      <c r="A8740" s="10" t="n">
        <f aca="false">Einstellungen!$B$5+INT((ROW()-9)/24)</f>
        <v>46329</v>
      </c>
      <c r="B8740" s="11" t="n">
        <f aca="false">MOD(ROW()-9,24)</f>
        <v>19</v>
      </c>
      <c r="C8740" s="12"/>
      <c r="D8740" s="13" t="n">
        <f aca="false">IF(B8740&lt;5,Einstellungen!$B$3,Einstellungen!$B$4)</f>
        <v>29.13</v>
      </c>
      <c r="E8740" s="14" t="str">
        <f aca="false">IF(C8740="","",C8740*D8740/100)</f>
        <v/>
      </c>
      <c r="F8740" s="15" t="str">
        <f aca="false">IF(B8740&lt;5,"Go","Standard")</f>
        <v>Standard</v>
      </c>
    </row>
    <row r="8741" customFormat="false" ht="15" hidden="false" customHeight="true" outlineLevel="0" collapsed="false">
      <c r="A8741" s="10" t="n">
        <f aca="false">Einstellungen!$B$5+INT((ROW()-9)/24)</f>
        <v>46329</v>
      </c>
      <c r="B8741" s="11" t="n">
        <f aca="false">MOD(ROW()-9,24)</f>
        <v>20</v>
      </c>
      <c r="C8741" s="12"/>
      <c r="D8741" s="13" t="n">
        <f aca="false">IF(B8741&lt;5,Einstellungen!$B$3,Einstellungen!$B$4)</f>
        <v>29.13</v>
      </c>
      <c r="E8741" s="14" t="str">
        <f aca="false">IF(C8741="","",C8741*D8741/100)</f>
        <v/>
      </c>
      <c r="F8741" s="15" t="str">
        <f aca="false">IF(B8741&lt;5,"Go","Standard")</f>
        <v>Standard</v>
      </c>
    </row>
    <row r="8742" customFormat="false" ht="15" hidden="false" customHeight="true" outlineLevel="0" collapsed="false">
      <c r="A8742" s="10" t="n">
        <f aca="false">Einstellungen!$B$5+INT((ROW()-9)/24)</f>
        <v>46329</v>
      </c>
      <c r="B8742" s="11" t="n">
        <f aca="false">MOD(ROW()-9,24)</f>
        <v>21</v>
      </c>
      <c r="C8742" s="12"/>
      <c r="D8742" s="13" t="n">
        <f aca="false">IF(B8742&lt;5,Einstellungen!$B$3,Einstellungen!$B$4)</f>
        <v>29.13</v>
      </c>
      <c r="E8742" s="14" t="str">
        <f aca="false">IF(C8742="","",C8742*D8742/100)</f>
        <v/>
      </c>
      <c r="F8742" s="15" t="str">
        <f aca="false">IF(B8742&lt;5,"Go","Standard")</f>
        <v>Standard</v>
      </c>
    </row>
    <row r="8743" customFormat="false" ht="15" hidden="false" customHeight="true" outlineLevel="0" collapsed="false">
      <c r="A8743" s="10" t="n">
        <f aca="false">Einstellungen!$B$5+INT((ROW()-9)/24)</f>
        <v>46329</v>
      </c>
      <c r="B8743" s="11" t="n">
        <f aca="false">MOD(ROW()-9,24)</f>
        <v>22</v>
      </c>
      <c r="C8743" s="12"/>
      <c r="D8743" s="13" t="n">
        <f aca="false">IF(B8743&lt;5,Einstellungen!$B$3,Einstellungen!$B$4)</f>
        <v>29.13</v>
      </c>
      <c r="E8743" s="14" t="str">
        <f aca="false">IF(C8743="","",C8743*D8743/100)</f>
        <v/>
      </c>
      <c r="F8743" s="15" t="str">
        <f aca="false">IF(B8743&lt;5,"Go","Standard")</f>
        <v>Standard</v>
      </c>
    </row>
    <row r="8744" customFormat="false" ht="15" hidden="false" customHeight="true" outlineLevel="0" collapsed="false">
      <c r="A8744" s="10" t="n">
        <f aca="false">Einstellungen!$B$5+INT((ROW()-9)/24)</f>
        <v>46329</v>
      </c>
      <c r="B8744" s="11" t="n">
        <f aca="false">MOD(ROW()-9,24)</f>
        <v>23</v>
      </c>
      <c r="C8744" s="12"/>
      <c r="D8744" s="13" t="n">
        <f aca="false">IF(B8744&lt;5,Einstellungen!$B$3,Einstellungen!$B$4)</f>
        <v>29.13</v>
      </c>
      <c r="E8744" s="14" t="str">
        <f aca="false">IF(C8744="","",C8744*D8744/100)</f>
        <v/>
      </c>
      <c r="F8744" s="15" t="str">
        <f aca="false">IF(B8744&lt;5,"Go","Standard")</f>
        <v>Standard</v>
      </c>
    </row>
    <row r="8745" customFormat="false" ht="15" hidden="false" customHeight="true" outlineLevel="0" collapsed="false">
      <c r="A8745" s="10" t="n">
        <f aca="false">Einstellungen!$B$5+INT((ROW()-9)/24)</f>
        <v>46330</v>
      </c>
      <c r="B8745" s="11" t="n">
        <f aca="false">MOD(ROW()-9,24)</f>
        <v>0</v>
      </c>
      <c r="C8745" s="12"/>
      <c r="D8745" s="13" t="n">
        <f aca="false">IF(B8745&lt;5,Einstellungen!$B$3,Einstellungen!$B$4)</f>
        <v>15.92</v>
      </c>
      <c r="E8745" s="14" t="str">
        <f aca="false">IF(C8745="","",C8745*D8745/100)</f>
        <v/>
      </c>
      <c r="F8745" s="15" t="str">
        <f aca="false">IF(B8745&lt;5,"Go","Standard")</f>
        <v>Go</v>
      </c>
    </row>
    <row r="8746" customFormat="false" ht="15" hidden="false" customHeight="true" outlineLevel="0" collapsed="false">
      <c r="A8746" s="10" t="n">
        <f aca="false">Einstellungen!$B$5+INT((ROW()-9)/24)</f>
        <v>46330</v>
      </c>
      <c r="B8746" s="11" t="n">
        <f aca="false">MOD(ROW()-9,24)</f>
        <v>1</v>
      </c>
      <c r="C8746" s="12"/>
      <c r="D8746" s="13" t="n">
        <f aca="false">IF(B8746&lt;5,Einstellungen!$B$3,Einstellungen!$B$4)</f>
        <v>15.92</v>
      </c>
      <c r="E8746" s="14" t="str">
        <f aca="false">IF(C8746="","",C8746*D8746/100)</f>
        <v/>
      </c>
      <c r="F8746" s="15" t="str">
        <f aca="false">IF(B8746&lt;5,"Go","Standard")</f>
        <v>Go</v>
      </c>
    </row>
    <row r="8747" customFormat="false" ht="15" hidden="false" customHeight="true" outlineLevel="0" collapsed="false">
      <c r="A8747" s="10" t="n">
        <f aca="false">Einstellungen!$B$5+INT((ROW()-9)/24)</f>
        <v>46330</v>
      </c>
      <c r="B8747" s="11" t="n">
        <f aca="false">MOD(ROW()-9,24)</f>
        <v>2</v>
      </c>
      <c r="C8747" s="12"/>
      <c r="D8747" s="13" t="n">
        <f aca="false">IF(B8747&lt;5,Einstellungen!$B$3,Einstellungen!$B$4)</f>
        <v>15.92</v>
      </c>
      <c r="E8747" s="14" t="str">
        <f aca="false">IF(C8747="","",C8747*D8747/100)</f>
        <v/>
      </c>
      <c r="F8747" s="15" t="str">
        <f aca="false">IF(B8747&lt;5,"Go","Standard")</f>
        <v>Go</v>
      </c>
    </row>
    <row r="8748" customFormat="false" ht="15" hidden="false" customHeight="true" outlineLevel="0" collapsed="false">
      <c r="A8748" s="10" t="n">
        <f aca="false">Einstellungen!$B$5+INT((ROW()-9)/24)</f>
        <v>46330</v>
      </c>
      <c r="B8748" s="11" t="n">
        <f aca="false">MOD(ROW()-9,24)</f>
        <v>3</v>
      </c>
      <c r="C8748" s="12"/>
      <c r="D8748" s="13" t="n">
        <f aca="false">IF(B8748&lt;5,Einstellungen!$B$3,Einstellungen!$B$4)</f>
        <v>15.92</v>
      </c>
      <c r="E8748" s="14" t="str">
        <f aca="false">IF(C8748="","",C8748*D8748/100)</f>
        <v/>
      </c>
      <c r="F8748" s="15" t="str">
        <f aca="false">IF(B8748&lt;5,"Go","Standard")</f>
        <v>Go</v>
      </c>
    </row>
    <row r="8749" customFormat="false" ht="15" hidden="false" customHeight="true" outlineLevel="0" collapsed="false">
      <c r="A8749" s="10" t="n">
        <f aca="false">Einstellungen!$B$5+INT((ROW()-9)/24)</f>
        <v>46330</v>
      </c>
      <c r="B8749" s="11" t="n">
        <f aca="false">MOD(ROW()-9,24)</f>
        <v>4</v>
      </c>
      <c r="C8749" s="12"/>
      <c r="D8749" s="13" t="n">
        <f aca="false">IF(B8749&lt;5,Einstellungen!$B$3,Einstellungen!$B$4)</f>
        <v>15.92</v>
      </c>
      <c r="E8749" s="14" t="str">
        <f aca="false">IF(C8749="","",C8749*D8749/100)</f>
        <v/>
      </c>
      <c r="F8749" s="15" t="str">
        <f aca="false">IF(B8749&lt;5,"Go","Standard")</f>
        <v>Go</v>
      </c>
    </row>
    <row r="8750" customFormat="false" ht="15" hidden="false" customHeight="true" outlineLevel="0" collapsed="false">
      <c r="A8750" s="10" t="n">
        <f aca="false">Einstellungen!$B$5+INT((ROW()-9)/24)</f>
        <v>46330</v>
      </c>
      <c r="B8750" s="11" t="n">
        <f aca="false">MOD(ROW()-9,24)</f>
        <v>5</v>
      </c>
      <c r="C8750" s="12"/>
      <c r="D8750" s="13" t="n">
        <f aca="false">IF(B8750&lt;5,Einstellungen!$B$3,Einstellungen!$B$4)</f>
        <v>29.13</v>
      </c>
      <c r="E8750" s="14" t="str">
        <f aca="false">IF(C8750="","",C8750*D8750/100)</f>
        <v/>
      </c>
      <c r="F8750" s="15" t="str">
        <f aca="false">IF(B8750&lt;5,"Go","Standard")</f>
        <v>Standard</v>
      </c>
    </row>
    <row r="8751" customFormat="false" ht="15" hidden="false" customHeight="true" outlineLevel="0" collapsed="false">
      <c r="A8751" s="10" t="n">
        <f aca="false">Einstellungen!$B$5+INT((ROW()-9)/24)</f>
        <v>46330</v>
      </c>
      <c r="B8751" s="11" t="n">
        <f aca="false">MOD(ROW()-9,24)</f>
        <v>6</v>
      </c>
      <c r="C8751" s="12"/>
      <c r="D8751" s="13" t="n">
        <f aca="false">IF(B8751&lt;5,Einstellungen!$B$3,Einstellungen!$B$4)</f>
        <v>29.13</v>
      </c>
      <c r="E8751" s="14" t="str">
        <f aca="false">IF(C8751="","",C8751*D8751/100)</f>
        <v/>
      </c>
      <c r="F8751" s="15" t="str">
        <f aca="false">IF(B8751&lt;5,"Go","Standard")</f>
        <v>Standard</v>
      </c>
    </row>
    <row r="8752" customFormat="false" ht="15" hidden="false" customHeight="true" outlineLevel="0" collapsed="false">
      <c r="A8752" s="10" t="n">
        <f aca="false">Einstellungen!$B$5+INT((ROW()-9)/24)</f>
        <v>46330</v>
      </c>
      <c r="B8752" s="11" t="n">
        <f aca="false">MOD(ROW()-9,24)</f>
        <v>7</v>
      </c>
      <c r="C8752" s="12"/>
      <c r="D8752" s="13" t="n">
        <f aca="false">IF(B8752&lt;5,Einstellungen!$B$3,Einstellungen!$B$4)</f>
        <v>29.13</v>
      </c>
      <c r="E8752" s="14" t="str">
        <f aca="false">IF(C8752="","",C8752*D8752/100)</f>
        <v/>
      </c>
      <c r="F8752" s="15" t="str">
        <f aca="false">IF(B8752&lt;5,"Go","Standard")</f>
        <v>Standard</v>
      </c>
    </row>
    <row r="8753" customFormat="false" ht="15" hidden="false" customHeight="true" outlineLevel="0" collapsed="false">
      <c r="A8753" s="10" t="n">
        <f aca="false">Einstellungen!$B$5+INT((ROW()-9)/24)</f>
        <v>46330</v>
      </c>
      <c r="B8753" s="11" t="n">
        <f aca="false">MOD(ROW()-9,24)</f>
        <v>8</v>
      </c>
      <c r="C8753" s="12"/>
      <c r="D8753" s="13" t="n">
        <f aca="false">IF(B8753&lt;5,Einstellungen!$B$3,Einstellungen!$B$4)</f>
        <v>29.13</v>
      </c>
      <c r="E8753" s="14" t="str">
        <f aca="false">IF(C8753="","",C8753*D8753/100)</f>
        <v/>
      </c>
      <c r="F8753" s="15" t="str">
        <f aca="false">IF(B8753&lt;5,"Go","Standard")</f>
        <v>Standard</v>
      </c>
    </row>
    <row r="8754" customFormat="false" ht="15" hidden="false" customHeight="true" outlineLevel="0" collapsed="false">
      <c r="A8754" s="10" t="n">
        <f aca="false">Einstellungen!$B$5+INT((ROW()-9)/24)</f>
        <v>46330</v>
      </c>
      <c r="B8754" s="11" t="n">
        <f aca="false">MOD(ROW()-9,24)</f>
        <v>9</v>
      </c>
      <c r="C8754" s="12"/>
      <c r="D8754" s="13" t="n">
        <f aca="false">IF(B8754&lt;5,Einstellungen!$B$3,Einstellungen!$B$4)</f>
        <v>29.13</v>
      </c>
      <c r="E8754" s="14" t="str">
        <f aca="false">IF(C8754="","",C8754*D8754/100)</f>
        <v/>
      </c>
      <c r="F8754" s="15" t="str">
        <f aca="false">IF(B8754&lt;5,"Go","Standard")</f>
        <v>Standard</v>
      </c>
    </row>
    <row r="8755" customFormat="false" ht="15" hidden="false" customHeight="true" outlineLevel="0" collapsed="false">
      <c r="A8755" s="10" t="n">
        <f aca="false">Einstellungen!$B$5+INT((ROW()-9)/24)</f>
        <v>46330</v>
      </c>
      <c r="B8755" s="11" t="n">
        <f aca="false">MOD(ROW()-9,24)</f>
        <v>10</v>
      </c>
      <c r="C8755" s="12"/>
      <c r="D8755" s="13" t="n">
        <f aca="false">IF(B8755&lt;5,Einstellungen!$B$3,Einstellungen!$B$4)</f>
        <v>29.13</v>
      </c>
      <c r="E8755" s="14" t="str">
        <f aca="false">IF(C8755="","",C8755*D8755/100)</f>
        <v/>
      </c>
      <c r="F8755" s="15" t="str">
        <f aca="false">IF(B8755&lt;5,"Go","Standard")</f>
        <v>Standard</v>
      </c>
    </row>
    <row r="8756" customFormat="false" ht="15" hidden="false" customHeight="true" outlineLevel="0" collapsed="false">
      <c r="A8756" s="10" t="n">
        <f aca="false">Einstellungen!$B$5+INT((ROW()-9)/24)</f>
        <v>46330</v>
      </c>
      <c r="B8756" s="11" t="n">
        <f aca="false">MOD(ROW()-9,24)</f>
        <v>11</v>
      </c>
      <c r="C8756" s="12"/>
      <c r="D8756" s="13" t="n">
        <f aca="false">IF(B8756&lt;5,Einstellungen!$B$3,Einstellungen!$B$4)</f>
        <v>29.13</v>
      </c>
      <c r="E8756" s="14" t="str">
        <f aca="false">IF(C8756="","",C8756*D8756/100)</f>
        <v/>
      </c>
      <c r="F8756" s="15" t="str">
        <f aca="false">IF(B8756&lt;5,"Go","Standard")</f>
        <v>Standard</v>
      </c>
    </row>
    <row r="8757" customFormat="false" ht="15" hidden="false" customHeight="true" outlineLevel="0" collapsed="false">
      <c r="A8757" s="10" t="n">
        <f aca="false">Einstellungen!$B$5+INT((ROW()-9)/24)</f>
        <v>46330</v>
      </c>
      <c r="B8757" s="11" t="n">
        <f aca="false">MOD(ROW()-9,24)</f>
        <v>12</v>
      </c>
      <c r="C8757" s="12"/>
      <c r="D8757" s="13" t="n">
        <f aca="false">IF(B8757&lt;5,Einstellungen!$B$3,Einstellungen!$B$4)</f>
        <v>29.13</v>
      </c>
      <c r="E8757" s="14" t="str">
        <f aca="false">IF(C8757="","",C8757*D8757/100)</f>
        <v/>
      </c>
      <c r="F8757" s="15" t="str">
        <f aca="false">IF(B8757&lt;5,"Go","Standard")</f>
        <v>Standard</v>
      </c>
    </row>
    <row r="8758" customFormat="false" ht="15" hidden="false" customHeight="true" outlineLevel="0" collapsed="false">
      <c r="A8758" s="10" t="n">
        <f aca="false">Einstellungen!$B$5+INT((ROW()-9)/24)</f>
        <v>46330</v>
      </c>
      <c r="B8758" s="11" t="n">
        <f aca="false">MOD(ROW()-9,24)</f>
        <v>13</v>
      </c>
      <c r="C8758" s="12"/>
      <c r="D8758" s="13" t="n">
        <f aca="false">IF(B8758&lt;5,Einstellungen!$B$3,Einstellungen!$B$4)</f>
        <v>29.13</v>
      </c>
      <c r="E8758" s="14" t="str">
        <f aca="false">IF(C8758="","",C8758*D8758/100)</f>
        <v/>
      </c>
      <c r="F8758" s="15" t="str">
        <f aca="false">IF(B8758&lt;5,"Go","Standard")</f>
        <v>Standard</v>
      </c>
    </row>
    <row r="8759" customFormat="false" ht="15" hidden="false" customHeight="true" outlineLevel="0" collapsed="false">
      <c r="A8759" s="10" t="n">
        <f aca="false">Einstellungen!$B$5+INT((ROW()-9)/24)</f>
        <v>46330</v>
      </c>
      <c r="B8759" s="11" t="n">
        <f aca="false">MOD(ROW()-9,24)</f>
        <v>14</v>
      </c>
      <c r="C8759" s="12"/>
      <c r="D8759" s="13" t="n">
        <f aca="false">IF(B8759&lt;5,Einstellungen!$B$3,Einstellungen!$B$4)</f>
        <v>29.13</v>
      </c>
      <c r="E8759" s="14" t="str">
        <f aca="false">IF(C8759="","",C8759*D8759/100)</f>
        <v/>
      </c>
      <c r="F8759" s="15" t="str">
        <f aca="false">IF(B8759&lt;5,"Go","Standard")</f>
        <v>Standard</v>
      </c>
    </row>
    <row r="8760" customFormat="false" ht="15" hidden="false" customHeight="true" outlineLevel="0" collapsed="false">
      <c r="A8760" s="10" t="n">
        <f aca="false">Einstellungen!$B$5+INT((ROW()-9)/24)</f>
        <v>46330</v>
      </c>
      <c r="B8760" s="11" t="n">
        <f aca="false">MOD(ROW()-9,24)</f>
        <v>15</v>
      </c>
      <c r="C8760" s="12"/>
      <c r="D8760" s="13" t="n">
        <f aca="false">IF(B8760&lt;5,Einstellungen!$B$3,Einstellungen!$B$4)</f>
        <v>29.13</v>
      </c>
      <c r="E8760" s="14" t="str">
        <f aca="false">IF(C8760="","",C8760*D8760/100)</f>
        <v/>
      </c>
      <c r="F8760" s="15" t="str">
        <f aca="false">IF(B8760&lt;5,"Go","Standard")</f>
        <v>Standard</v>
      </c>
    </row>
    <row r="8761" customFormat="false" ht="15" hidden="false" customHeight="true" outlineLevel="0" collapsed="false">
      <c r="A8761" s="10" t="n">
        <f aca="false">Einstellungen!$B$5+INT((ROW()-9)/24)</f>
        <v>46330</v>
      </c>
      <c r="B8761" s="11" t="n">
        <f aca="false">MOD(ROW()-9,24)</f>
        <v>16</v>
      </c>
      <c r="C8761" s="12"/>
      <c r="D8761" s="13" t="n">
        <f aca="false">IF(B8761&lt;5,Einstellungen!$B$3,Einstellungen!$B$4)</f>
        <v>29.13</v>
      </c>
      <c r="E8761" s="14" t="str">
        <f aca="false">IF(C8761="","",C8761*D8761/100)</f>
        <v/>
      </c>
      <c r="F8761" s="15" t="str">
        <f aca="false">IF(B8761&lt;5,"Go","Standard")</f>
        <v>Standard</v>
      </c>
    </row>
    <row r="8762" customFormat="false" ht="15" hidden="false" customHeight="true" outlineLevel="0" collapsed="false">
      <c r="A8762" s="10" t="n">
        <f aca="false">Einstellungen!$B$5+INT((ROW()-9)/24)</f>
        <v>46330</v>
      </c>
      <c r="B8762" s="11" t="n">
        <f aca="false">MOD(ROW()-9,24)</f>
        <v>17</v>
      </c>
      <c r="C8762" s="12"/>
      <c r="D8762" s="13" t="n">
        <f aca="false">IF(B8762&lt;5,Einstellungen!$B$3,Einstellungen!$B$4)</f>
        <v>29.13</v>
      </c>
      <c r="E8762" s="14" t="str">
        <f aca="false">IF(C8762="","",C8762*D8762/100)</f>
        <v/>
      </c>
      <c r="F8762" s="15" t="str">
        <f aca="false">IF(B8762&lt;5,"Go","Standard")</f>
        <v>Standard</v>
      </c>
    </row>
    <row r="8763" customFormat="false" ht="15" hidden="false" customHeight="true" outlineLevel="0" collapsed="false">
      <c r="A8763" s="10" t="n">
        <f aca="false">Einstellungen!$B$5+INT((ROW()-9)/24)</f>
        <v>46330</v>
      </c>
      <c r="B8763" s="11" t="n">
        <f aca="false">MOD(ROW()-9,24)</f>
        <v>18</v>
      </c>
      <c r="C8763" s="12"/>
      <c r="D8763" s="13" t="n">
        <f aca="false">IF(B8763&lt;5,Einstellungen!$B$3,Einstellungen!$B$4)</f>
        <v>29.13</v>
      </c>
      <c r="E8763" s="14" t="str">
        <f aca="false">IF(C8763="","",C8763*D8763/100)</f>
        <v/>
      </c>
      <c r="F8763" s="15" t="str">
        <f aca="false">IF(B8763&lt;5,"Go","Standard")</f>
        <v>Standard</v>
      </c>
    </row>
    <row r="8764" customFormat="false" ht="15" hidden="false" customHeight="true" outlineLevel="0" collapsed="false">
      <c r="A8764" s="10" t="n">
        <f aca="false">Einstellungen!$B$5+INT((ROW()-9)/24)</f>
        <v>46330</v>
      </c>
      <c r="B8764" s="11" t="n">
        <f aca="false">MOD(ROW()-9,24)</f>
        <v>19</v>
      </c>
      <c r="C8764" s="12"/>
      <c r="D8764" s="13" t="n">
        <f aca="false">IF(B8764&lt;5,Einstellungen!$B$3,Einstellungen!$B$4)</f>
        <v>29.13</v>
      </c>
      <c r="E8764" s="14" t="str">
        <f aca="false">IF(C8764="","",C8764*D8764/100)</f>
        <v/>
      </c>
      <c r="F8764" s="15" t="str">
        <f aca="false">IF(B8764&lt;5,"Go","Standard")</f>
        <v>Standard</v>
      </c>
    </row>
    <row r="8765" customFormat="false" ht="15" hidden="false" customHeight="true" outlineLevel="0" collapsed="false">
      <c r="A8765" s="10" t="n">
        <f aca="false">Einstellungen!$B$5+INT((ROW()-9)/24)</f>
        <v>46330</v>
      </c>
      <c r="B8765" s="11" t="n">
        <f aca="false">MOD(ROW()-9,24)</f>
        <v>20</v>
      </c>
      <c r="C8765" s="12"/>
      <c r="D8765" s="13" t="n">
        <f aca="false">IF(B8765&lt;5,Einstellungen!$B$3,Einstellungen!$B$4)</f>
        <v>29.13</v>
      </c>
      <c r="E8765" s="14" t="str">
        <f aca="false">IF(C8765="","",C8765*D8765/100)</f>
        <v/>
      </c>
      <c r="F8765" s="15" t="str">
        <f aca="false">IF(B8765&lt;5,"Go","Standard")</f>
        <v>Standard</v>
      </c>
    </row>
    <row r="8766" customFormat="false" ht="15" hidden="false" customHeight="true" outlineLevel="0" collapsed="false">
      <c r="A8766" s="10" t="n">
        <f aca="false">Einstellungen!$B$5+INT((ROW()-9)/24)</f>
        <v>46330</v>
      </c>
      <c r="B8766" s="11" t="n">
        <f aca="false">MOD(ROW()-9,24)</f>
        <v>21</v>
      </c>
      <c r="C8766" s="12"/>
      <c r="D8766" s="13" t="n">
        <f aca="false">IF(B8766&lt;5,Einstellungen!$B$3,Einstellungen!$B$4)</f>
        <v>29.13</v>
      </c>
      <c r="E8766" s="14" t="str">
        <f aca="false">IF(C8766="","",C8766*D8766/100)</f>
        <v/>
      </c>
      <c r="F8766" s="15" t="str">
        <f aca="false">IF(B8766&lt;5,"Go","Standard")</f>
        <v>Standard</v>
      </c>
    </row>
    <row r="8767" customFormat="false" ht="15" hidden="false" customHeight="true" outlineLevel="0" collapsed="false">
      <c r="A8767" s="10" t="n">
        <f aca="false">Einstellungen!$B$5+INT((ROW()-9)/24)</f>
        <v>46330</v>
      </c>
      <c r="B8767" s="11" t="n">
        <f aca="false">MOD(ROW()-9,24)</f>
        <v>22</v>
      </c>
      <c r="C8767" s="12"/>
      <c r="D8767" s="13" t="n">
        <f aca="false">IF(B8767&lt;5,Einstellungen!$B$3,Einstellungen!$B$4)</f>
        <v>29.13</v>
      </c>
      <c r="E8767" s="14" t="str">
        <f aca="false">IF(C8767="","",C8767*D8767/100)</f>
        <v/>
      </c>
      <c r="F8767" s="15" t="str">
        <f aca="false">IF(B8767&lt;5,"Go","Standard")</f>
        <v>Standard</v>
      </c>
    </row>
    <row r="8768" customFormat="false" ht="15" hidden="false" customHeight="true" outlineLevel="0" collapsed="false">
      <c r="A8768" s="10" t="n">
        <f aca="false">Einstellungen!$B$5+INT((ROW()-9)/24)</f>
        <v>46330</v>
      </c>
      <c r="B8768" s="11" t="n">
        <f aca="false">MOD(ROW()-9,24)</f>
        <v>23</v>
      </c>
      <c r="C8768" s="12"/>
      <c r="D8768" s="13" t="n">
        <f aca="false">IF(B8768&lt;5,Einstellungen!$B$3,Einstellungen!$B$4)</f>
        <v>29.13</v>
      </c>
      <c r="E8768" s="14" t="str">
        <f aca="false">IF(C8768="","",C8768*D8768/100)</f>
        <v/>
      </c>
      <c r="F8768" s="15" t="str">
        <f aca="false">IF(B8768&lt;5,"Go","Standard")</f>
        <v>Standard</v>
      </c>
    </row>
    <row r="8769" customFormat="false" ht="15" hidden="false" customHeight="true" outlineLevel="0" collapsed="false">
      <c r="A8769" s="10" t="n">
        <f aca="false">Einstellungen!$B$5+INT((ROW()-9)/24)</f>
        <v>46331</v>
      </c>
      <c r="B8769" s="11" t="n">
        <f aca="false">MOD(ROW()-9,24)</f>
        <v>0</v>
      </c>
      <c r="C8769" s="12"/>
      <c r="D8769" s="13" t="n">
        <f aca="false">IF(B8769&lt;5,Einstellungen!$B$3,Einstellungen!$B$4)</f>
        <v>15.92</v>
      </c>
      <c r="E8769" s="14" t="str">
        <f aca="false">IF(C8769="","",C8769*D8769/100)</f>
        <v/>
      </c>
      <c r="F8769" s="15" t="str">
        <f aca="false">IF(B8769&lt;5,"Go","Standard")</f>
        <v>Go</v>
      </c>
    </row>
    <row r="8770" customFormat="false" ht="15" hidden="false" customHeight="true" outlineLevel="0" collapsed="false">
      <c r="A8770" s="10" t="n">
        <f aca="false">Einstellungen!$B$5+INT((ROW()-9)/24)</f>
        <v>46331</v>
      </c>
      <c r="B8770" s="11" t="n">
        <f aca="false">MOD(ROW()-9,24)</f>
        <v>1</v>
      </c>
      <c r="C8770" s="12"/>
      <c r="D8770" s="13" t="n">
        <f aca="false">IF(B8770&lt;5,Einstellungen!$B$3,Einstellungen!$B$4)</f>
        <v>15.92</v>
      </c>
      <c r="E8770" s="14" t="str">
        <f aca="false">IF(C8770="","",C8770*D8770/100)</f>
        <v/>
      </c>
      <c r="F8770" s="15" t="str">
        <f aca="false">IF(B8770&lt;5,"Go","Standard")</f>
        <v>Go</v>
      </c>
    </row>
    <row r="8771" customFormat="false" ht="15" hidden="false" customHeight="true" outlineLevel="0" collapsed="false">
      <c r="A8771" s="10" t="n">
        <f aca="false">Einstellungen!$B$5+INT((ROW()-9)/24)</f>
        <v>46331</v>
      </c>
      <c r="B8771" s="11" t="n">
        <f aca="false">MOD(ROW()-9,24)</f>
        <v>2</v>
      </c>
      <c r="C8771" s="12"/>
      <c r="D8771" s="13" t="n">
        <f aca="false">IF(B8771&lt;5,Einstellungen!$B$3,Einstellungen!$B$4)</f>
        <v>15.92</v>
      </c>
      <c r="E8771" s="14" t="str">
        <f aca="false">IF(C8771="","",C8771*D8771/100)</f>
        <v/>
      </c>
      <c r="F8771" s="15" t="str">
        <f aca="false">IF(B8771&lt;5,"Go","Standard")</f>
        <v>Go</v>
      </c>
    </row>
    <row r="8772" customFormat="false" ht="15" hidden="false" customHeight="true" outlineLevel="0" collapsed="false">
      <c r="A8772" s="10" t="n">
        <f aca="false">Einstellungen!$B$5+INT((ROW()-9)/24)</f>
        <v>46331</v>
      </c>
      <c r="B8772" s="11" t="n">
        <f aca="false">MOD(ROW()-9,24)</f>
        <v>3</v>
      </c>
      <c r="C8772" s="12"/>
      <c r="D8772" s="13" t="n">
        <f aca="false">IF(B8772&lt;5,Einstellungen!$B$3,Einstellungen!$B$4)</f>
        <v>15.92</v>
      </c>
      <c r="E8772" s="14" t="str">
        <f aca="false">IF(C8772="","",C8772*D8772/100)</f>
        <v/>
      </c>
      <c r="F8772" s="15" t="str">
        <f aca="false">IF(B8772&lt;5,"Go","Standard")</f>
        <v>Go</v>
      </c>
    </row>
    <row r="8773" customFormat="false" ht="15" hidden="false" customHeight="true" outlineLevel="0" collapsed="false">
      <c r="A8773" s="10" t="n">
        <f aca="false">Einstellungen!$B$5+INT((ROW()-9)/24)</f>
        <v>46331</v>
      </c>
      <c r="B8773" s="11" t="n">
        <f aca="false">MOD(ROW()-9,24)</f>
        <v>4</v>
      </c>
      <c r="C8773" s="12"/>
      <c r="D8773" s="13" t="n">
        <f aca="false">IF(B8773&lt;5,Einstellungen!$B$3,Einstellungen!$B$4)</f>
        <v>15.92</v>
      </c>
      <c r="E8773" s="14" t="str">
        <f aca="false">IF(C8773="","",C8773*D8773/100)</f>
        <v/>
      </c>
      <c r="F8773" s="15" t="str">
        <f aca="false">IF(B8773&lt;5,"Go","Standard")</f>
        <v>Go</v>
      </c>
    </row>
    <row r="8774" customFormat="false" ht="15" hidden="false" customHeight="true" outlineLevel="0" collapsed="false">
      <c r="A8774" s="10" t="n">
        <f aca="false">Einstellungen!$B$5+INT((ROW()-9)/24)</f>
        <v>46331</v>
      </c>
      <c r="B8774" s="11" t="n">
        <f aca="false">MOD(ROW()-9,24)</f>
        <v>5</v>
      </c>
      <c r="C8774" s="12"/>
      <c r="D8774" s="13" t="n">
        <f aca="false">IF(B8774&lt;5,Einstellungen!$B$3,Einstellungen!$B$4)</f>
        <v>29.13</v>
      </c>
      <c r="E8774" s="14" t="str">
        <f aca="false">IF(C8774="","",C8774*D8774/100)</f>
        <v/>
      </c>
      <c r="F8774" s="15" t="str">
        <f aca="false">IF(B8774&lt;5,"Go","Standard")</f>
        <v>Standard</v>
      </c>
    </row>
    <row r="8775" customFormat="false" ht="15" hidden="false" customHeight="true" outlineLevel="0" collapsed="false">
      <c r="A8775" s="10" t="n">
        <f aca="false">Einstellungen!$B$5+INT((ROW()-9)/24)</f>
        <v>46331</v>
      </c>
      <c r="B8775" s="11" t="n">
        <f aca="false">MOD(ROW()-9,24)</f>
        <v>6</v>
      </c>
      <c r="C8775" s="12"/>
      <c r="D8775" s="13" t="n">
        <f aca="false">IF(B8775&lt;5,Einstellungen!$B$3,Einstellungen!$B$4)</f>
        <v>29.13</v>
      </c>
      <c r="E8775" s="14" t="str">
        <f aca="false">IF(C8775="","",C8775*D8775/100)</f>
        <v/>
      </c>
      <c r="F8775" s="15" t="str">
        <f aca="false">IF(B8775&lt;5,"Go","Standard")</f>
        <v>Standard</v>
      </c>
    </row>
    <row r="8776" customFormat="false" ht="15" hidden="false" customHeight="true" outlineLevel="0" collapsed="false">
      <c r="A8776" s="10" t="n">
        <f aca="false">Einstellungen!$B$5+INT((ROW()-9)/24)</f>
        <v>46331</v>
      </c>
      <c r="B8776" s="11" t="n">
        <f aca="false">MOD(ROW()-9,24)</f>
        <v>7</v>
      </c>
      <c r="C8776" s="12"/>
      <c r="D8776" s="13" t="n">
        <f aca="false">IF(B8776&lt;5,Einstellungen!$B$3,Einstellungen!$B$4)</f>
        <v>29.13</v>
      </c>
      <c r="E8776" s="14" t="str">
        <f aca="false">IF(C8776="","",C8776*D8776/100)</f>
        <v/>
      </c>
      <c r="F8776" s="15" t="str">
        <f aca="false">IF(B8776&lt;5,"Go","Standard")</f>
        <v>Standard</v>
      </c>
    </row>
    <row r="8777" customFormat="false" ht="15" hidden="false" customHeight="true" outlineLevel="0" collapsed="false">
      <c r="A8777" s="10" t="n">
        <f aca="false">Einstellungen!$B$5+INT((ROW()-9)/24)</f>
        <v>46331</v>
      </c>
      <c r="B8777" s="11" t="n">
        <f aca="false">MOD(ROW()-9,24)</f>
        <v>8</v>
      </c>
      <c r="C8777" s="12"/>
      <c r="D8777" s="13" t="n">
        <f aca="false">IF(B8777&lt;5,Einstellungen!$B$3,Einstellungen!$B$4)</f>
        <v>29.13</v>
      </c>
      <c r="E8777" s="14" t="str">
        <f aca="false">IF(C8777="","",C8777*D8777/100)</f>
        <v/>
      </c>
      <c r="F8777" s="15" t="str">
        <f aca="false">IF(B8777&lt;5,"Go","Standard")</f>
        <v>Standard</v>
      </c>
    </row>
    <row r="8778" customFormat="false" ht="15" hidden="false" customHeight="true" outlineLevel="0" collapsed="false">
      <c r="A8778" s="10" t="n">
        <f aca="false">Einstellungen!$B$5+INT((ROW()-9)/24)</f>
        <v>46331</v>
      </c>
      <c r="B8778" s="11" t="n">
        <f aca="false">MOD(ROW()-9,24)</f>
        <v>9</v>
      </c>
      <c r="C8778" s="12"/>
      <c r="D8778" s="13" t="n">
        <f aca="false">IF(B8778&lt;5,Einstellungen!$B$3,Einstellungen!$B$4)</f>
        <v>29.13</v>
      </c>
      <c r="E8778" s="14" t="str">
        <f aca="false">IF(C8778="","",C8778*D8778/100)</f>
        <v/>
      </c>
      <c r="F8778" s="15" t="str">
        <f aca="false">IF(B8778&lt;5,"Go","Standard")</f>
        <v>Standard</v>
      </c>
    </row>
    <row r="8779" customFormat="false" ht="15" hidden="false" customHeight="true" outlineLevel="0" collapsed="false">
      <c r="A8779" s="10" t="n">
        <f aca="false">Einstellungen!$B$5+INT((ROW()-9)/24)</f>
        <v>46331</v>
      </c>
      <c r="B8779" s="11" t="n">
        <f aca="false">MOD(ROW()-9,24)</f>
        <v>10</v>
      </c>
      <c r="C8779" s="12"/>
      <c r="D8779" s="13" t="n">
        <f aca="false">IF(B8779&lt;5,Einstellungen!$B$3,Einstellungen!$B$4)</f>
        <v>29.13</v>
      </c>
      <c r="E8779" s="14" t="str">
        <f aca="false">IF(C8779="","",C8779*D8779/100)</f>
        <v/>
      </c>
      <c r="F8779" s="15" t="str">
        <f aca="false">IF(B8779&lt;5,"Go","Standard")</f>
        <v>Standard</v>
      </c>
    </row>
    <row r="8780" customFormat="false" ht="15" hidden="false" customHeight="true" outlineLevel="0" collapsed="false">
      <c r="A8780" s="10" t="n">
        <f aca="false">Einstellungen!$B$5+INT((ROW()-9)/24)</f>
        <v>46331</v>
      </c>
      <c r="B8780" s="11" t="n">
        <f aca="false">MOD(ROW()-9,24)</f>
        <v>11</v>
      </c>
      <c r="C8780" s="12"/>
      <c r="D8780" s="13" t="n">
        <f aca="false">IF(B8780&lt;5,Einstellungen!$B$3,Einstellungen!$B$4)</f>
        <v>29.13</v>
      </c>
      <c r="E8780" s="14" t="str">
        <f aca="false">IF(C8780="","",C8780*D8780/100)</f>
        <v/>
      </c>
      <c r="F8780" s="15" t="str">
        <f aca="false">IF(B8780&lt;5,"Go","Standard")</f>
        <v>Standard</v>
      </c>
    </row>
    <row r="8781" customFormat="false" ht="15" hidden="false" customHeight="true" outlineLevel="0" collapsed="false">
      <c r="A8781" s="10" t="n">
        <f aca="false">Einstellungen!$B$5+INT((ROW()-9)/24)</f>
        <v>46331</v>
      </c>
      <c r="B8781" s="11" t="n">
        <f aca="false">MOD(ROW()-9,24)</f>
        <v>12</v>
      </c>
      <c r="C8781" s="12"/>
      <c r="D8781" s="13" t="n">
        <f aca="false">IF(B8781&lt;5,Einstellungen!$B$3,Einstellungen!$B$4)</f>
        <v>29.13</v>
      </c>
      <c r="E8781" s="14" t="str">
        <f aca="false">IF(C8781="","",C8781*D8781/100)</f>
        <v/>
      </c>
      <c r="F8781" s="15" t="str">
        <f aca="false">IF(B8781&lt;5,"Go","Standard")</f>
        <v>Standard</v>
      </c>
    </row>
    <row r="8782" customFormat="false" ht="15" hidden="false" customHeight="true" outlineLevel="0" collapsed="false">
      <c r="A8782" s="10" t="n">
        <f aca="false">Einstellungen!$B$5+INT((ROW()-9)/24)</f>
        <v>46331</v>
      </c>
      <c r="B8782" s="11" t="n">
        <f aca="false">MOD(ROW()-9,24)</f>
        <v>13</v>
      </c>
      <c r="C8782" s="12"/>
      <c r="D8782" s="13" t="n">
        <f aca="false">IF(B8782&lt;5,Einstellungen!$B$3,Einstellungen!$B$4)</f>
        <v>29.13</v>
      </c>
      <c r="E8782" s="14" t="str">
        <f aca="false">IF(C8782="","",C8782*D8782/100)</f>
        <v/>
      </c>
      <c r="F8782" s="15" t="str">
        <f aca="false">IF(B8782&lt;5,"Go","Standard")</f>
        <v>Standard</v>
      </c>
    </row>
    <row r="8783" customFormat="false" ht="15" hidden="false" customHeight="true" outlineLevel="0" collapsed="false">
      <c r="A8783" s="10" t="n">
        <f aca="false">Einstellungen!$B$5+INT((ROW()-9)/24)</f>
        <v>46331</v>
      </c>
      <c r="B8783" s="11" t="n">
        <f aca="false">MOD(ROW()-9,24)</f>
        <v>14</v>
      </c>
      <c r="C8783" s="12"/>
      <c r="D8783" s="13" t="n">
        <f aca="false">IF(B8783&lt;5,Einstellungen!$B$3,Einstellungen!$B$4)</f>
        <v>29.13</v>
      </c>
      <c r="E8783" s="14" t="str">
        <f aca="false">IF(C8783="","",C8783*D8783/100)</f>
        <v/>
      </c>
      <c r="F8783" s="15" t="str">
        <f aca="false">IF(B8783&lt;5,"Go","Standard")</f>
        <v>Standard</v>
      </c>
    </row>
    <row r="8784" customFormat="false" ht="15" hidden="false" customHeight="true" outlineLevel="0" collapsed="false">
      <c r="A8784" s="10" t="n">
        <f aca="false">Einstellungen!$B$5+INT((ROW()-9)/24)</f>
        <v>46331</v>
      </c>
      <c r="B8784" s="11" t="n">
        <f aca="false">MOD(ROW()-9,24)</f>
        <v>15</v>
      </c>
      <c r="C8784" s="12"/>
      <c r="D8784" s="13" t="n">
        <f aca="false">IF(B8784&lt;5,Einstellungen!$B$3,Einstellungen!$B$4)</f>
        <v>29.13</v>
      </c>
      <c r="E8784" s="14" t="str">
        <f aca="false">IF(C8784="","",C8784*D8784/100)</f>
        <v/>
      </c>
      <c r="F8784" s="15" t="str">
        <f aca="false">IF(B8784&lt;5,"Go","Standard")</f>
        <v>Standard</v>
      </c>
    </row>
    <row r="8785" customFormat="false" ht="15" hidden="false" customHeight="true" outlineLevel="0" collapsed="false">
      <c r="A8785" s="10" t="n">
        <f aca="false">Einstellungen!$B$5+INT((ROW()-9)/24)</f>
        <v>46331</v>
      </c>
      <c r="B8785" s="11" t="n">
        <f aca="false">MOD(ROW()-9,24)</f>
        <v>16</v>
      </c>
      <c r="C8785" s="12"/>
      <c r="D8785" s="13" t="n">
        <f aca="false">IF(B8785&lt;5,Einstellungen!$B$3,Einstellungen!$B$4)</f>
        <v>29.13</v>
      </c>
      <c r="E8785" s="14" t="str">
        <f aca="false">IF(C8785="","",C8785*D8785/100)</f>
        <v/>
      </c>
      <c r="F8785" s="15" t="str">
        <f aca="false">IF(B8785&lt;5,"Go","Standard")</f>
        <v>Standard</v>
      </c>
    </row>
    <row r="8786" customFormat="false" ht="15" hidden="false" customHeight="true" outlineLevel="0" collapsed="false">
      <c r="A8786" s="10" t="n">
        <f aca="false">Einstellungen!$B$5+INT((ROW()-9)/24)</f>
        <v>46331</v>
      </c>
      <c r="B8786" s="11" t="n">
        <f aca="false">MOD(ROW()-9,24)</f>
        <v>17</v>
      </c>
      <c r="C8786" s="12"/>
      <c r="D8786" s="13" t="n">
        <f aca="false">IF(B8786&lt;5,Einstellungen!$B$3,Einstellungen!$B$4)</f>
        <v>29.13</v>
      </c>
      <c r="E8786" s="14" t="str">
        <f aca="false">IF(C8786="","",C8786*D8786/100)</f>
        <v/>
      </c>
      <c r="F8786" s="15" t="str">
        <f aca="false">IF(B8786&lt;5,"Go","Standard")</f>
        <v>Standard</v>
      </c>
    </row>
    <row r="8787" customFormat="false" ht="15" hidden="false" customHeight="true" outlineLevel="0" collapsed="false">
      <c r="A8787" s="10" t="n">
        <f aca="false">Einstellungen!$B$5+INT((ROW()-9)/24)</f>
        <v>46331</v>
      </c>
      <c r="B8787" s="11" t="n">
        <f aca="false">MOD(ROW()-9,24)</f>
        <v>18</v>
      </c>
      <c r="C8787" s="12"/>
      <c r="D8787" s="13" t="n">
        <f aca="false">IF(B8787&lt;5,Einstellungen!$B$3,Einstellungen!$B$4)</f>
        <v>29.13</v>
      </c>
      <c r="E8787" s="14" t="str">
        <f aca="false">IF(C8787="","",C8787*D8787/100)</f>
        <v/>
      </c>
      <c r="F8787" s="15" t="str">
        <f aca="false">IF(B8787&lt;5,"Go","Standard")</f>
        <v>Standard</v>
      </c>
    </row>
    <row r="8788" customFormat="false" ht="15" hidden="false" customHeight="true" outlineLevel="0" collapsed="false">
      <c r="A8788" s="10" t="n">
        <f aca="false">Einstellungen!$B$5+INT((ROW()-9)/24)</f>
        <v>46331</v>
      </c>
      <c r="B8788" s="11" t="n">
        <f aca="false">MOD(ROW()-9,24)</f>
        <v>19</v>
      </c>
      <c r="C8788" s="12"/>
      <c r="D8788" s="13" t="n">
        <f aca="false">IF(B8788&lt;5,Einstellungen!$B$3,Einstellungen!$B$4)</f>
        <v>29.13</v>
      </c>
      <c r="E8788" s="14" t="str">
        <f aca="false">IF(C8788="","",C8788*D8788/100)</f>
        <v/>
      </c>
      <c r="F8788" s="15" t="str">
        <f aca="false">IF(B8788&lt;5,"Go","Standard")</f>
        <v>Standard</v>
      </c>
    </row>
    <row r="8789" customFormat="false" ht="15" hidden="false" customHeight="true" outlineLevel="0" collapsed="false">
      <c r="A8789" s="10" t="n">
        <f aca="false">Einstellungen!$B$5+INT((ROW()-9)/24)</f>
        <v>46331</v>
      </c>
      <c r="B8789" s="11" t="n">
        <f aca="false">MOD(ROW()-9,24)</f>
        <v>20</v>
      </c>
      <c r="C8789" s="12"/>
      <c r="D8789" s="13" t="n">
        <f aca="false">IF(B8789&lt;5,Einstellungen!$B$3,Einstellungen!$B$4)</f>
        <v>29.13</v>
      </c>
      <c r="E8789" s="14" t="str">
        <f aca="false">IF(C8789="","",C8789*D8789/100)</f>
        <v/>
      </c>
      <c r="F8789" s="15" t="str">
        <f aca="false">IF(B8789&lt;5,"Go","Standard")</f>
        <v>Standard</v>
      </c>
    </row>
    <row r="8790" customFormat="false" ht="15" hidden="false" customHeight="true" outlineLevel="0" collapsed="false">
      <c r="A8790" s="10" t="n">
        <f aca="false">Einstellungen!$B$5+INT((ROW()-9)/24)</f>
        <v>46331</v>
      </c>
      <c r="B8790" s="11" t="n">
        <f aca="false">MOD(ROW()-9,24)</f>
        <v>21</v>
      </c>
      <c r="C8790" s="12"/>
      <c r="D8790" s="13" t="n">
        <f aca="false">IF(B8790&lt;5,Einstellungen!$B$3,Einstellungen!$B$4)</f>
        <v>29.13</v>
      </c>
      <c r="E8790" s="14" t="str">
        <f aca="false">IF(C8790="","",C8790*D8790/100)</f>
        <v/>
      </c>
      <c r="F8790" s="15" t="str">
        <f aca="false">IF(B8790&lt;5,"Go","Standard")</f>
        <v>Standard</v>
      </c>
    </row>
    <row r="8791" customFormat="false" ht="15" hidden="false" customHeight="true" outlineLevel="0" collapsed="false">
      <c r="A8791" s="10" t="n">
        <f aca="false">Einstellungen!$B$5+INT((ROW()-9)/24)</f>
        <v>46331</v>
      </c>
      <c r="B8791" s="11" t="n">
        <f aca="false">MOD(ROW()-9,24)</f>
        <v>22</v>
      </c>
      <c r="C8791" s="12"/>
      <c r="D8791" s="13" t="n">
        <f aca="false">IF(B8791&lt;5,Einstellungen!$B$3,Einstellungen!$B$4)</f>
        <v>29.13</v>
      </c>
      <c r="E8791" s="14" t="str">
        <f aca="false">IF(C8791="","",C8791*D8791/100)</f>
        <v/>
      </c>
      <c r="F8791" s="15" t="str">
        <f aca="false">IF(B8791&lt;5,"Go","Standard")</f>
        <v>Standard</v>
      </c>
    </row>
    <row r="8792" customFormat="false" ht="15" hidden="false" customHeight="true" outlineLevel="0" collapsed="false">
      <c r="A8792" s="10" t="n">
        <f aca="false">Einstellungen!$B$5+INT((ROW()-9)/24)</f>
        <v>46331</v>
      </c>
      <c r="B8792" s="11" t="n">
        <f aca="false">MOD(ROW()-9,24)</f>
        <v>23</v>
      </c>
      <c r="C8792" s="12"/>
      <c r="D8792" s="13" t="n">
        <f aca="false">IF(B8792&lt;5,Einstellungen!$B$3,Einstellungen!$B$4)</f>
        <v>29.13</v>
      </c>
      <c r="E8792" s="14" t="str">
        <f aca="false">IF(C8792="","",C8792*D8792/100)</f>
        <v/>
      </c>
      <c r="F8792" s="15" t="str">
        <f aca="false">IF(B8792&lt;5,"Go","Standard")</f>
        <v>Standard</v>
      </c>
    </row>
    <row r="8793" customFormat="false" ht="15" hidden="false" customHeight="true" outlineLevel="0" collapsed="false">
      <c r="A8793" s="10" t="n">
        <f aca="false">Einstellungen!$B$5+INT((ROW()-9)/24)</f>
        <v>46332</v>
      </c>
      <c r="B8793" s="11" t="n">
        <f aca="false">MOD(ROW()-9,24)</f>
        <v>0</v>
      </c>
      <c r="C8793" s="12"/>
      <c r="D8793" s="13" t="n">
        <f aca="false">IF(B8793&lt;5,Einstellungen!$B$3,Einstellungen!$B$4)</f>
        <v>15.92</v>
      </c>
      <c r="E8793" s="14" t="str">
        <f aca="false">IF(C8793="","",C8793*D8793/100)</f>
        <v/>
      </c>
      <c r="F8793" s="15" t="str">
        <f aca="false">IF(B8793&lt;5,"Go","Standard")</f>
        <v>Go</v>
      </c>
    </row>
    <row r="8794" customFormat="false" ht="15" hidden="false" customHeight="true" outlineLevel="0" collapsed="false">
      <c r="A8794" s="10" t="n">
        <f aca="false">Einstellungen!$B$5+INT((ROW()-9)/24)</f>
        <v>46332</v>
      </c>
      <c r="B8794" s="11" t="n">
        <f aca="false">MOD(ROW()-9,24)</f>
        <v>1</v>
      </c>
      <c r="C8794" s="12"/>
      <c r="D8794" s="13" t="n">
        <f aca="false">IF(B8794&lt;5,Einstellungen!$B$3,Einstellungen!$B$4)</f>
        <v>15.92</v>
      </c>
      <c r="E8794" s="14" t="str">
        <f aca="false">IF(C8794="","",C8794*D8794/100)</f>
        <v/>
      </c>
      <c r="F8794" s="15" t="str">
        <f aca="false">IF(B8794&lt;5,"Go","Standard")</f>
        <v>Go</v>
      </c>
    </row>
    <row r="8795" customFormat="false" ht="15" hidden="false" customHeight="true" outlineLevel="0" collapsed="false">
      <c r="A8795" s="10" t="n">
        <f aca="false">Einstellungen!$B$5+INT((ROW()-9)/24)</f>
        <v>46332</v>
      </c>
      <c r="B8795" s="11" t="n">
        <f aca="false">MOD(ROW()-9,24)</f>
        <v>2</v>
      </c>
      <c r="C8795" s="12"/>
      <c r="D8795" s="13" t="n">
        <f aca="false">IF(B8795&lt;5,Einstellungen!$B$3,Einstellungen!$B$4)</f>
        <v>15.92</v>
      </c>
      <c r="E8795" s="14" t="str">
        <f aca="false">IF(C8795="","",C8795*D8795/100)</f>
        <v/>
      </c>
      <c r="F8795" s="15" t="str">
        <f aca="false">IF(B8795&lt;5,"Go","Standard")</f>
        <v>Go</v>
      </c>
    </row>
    <row r="8796" customFormat="false" ht="15" hidden="false" customHeight="true" outlineLevel="0" collapsed="false">
      <c r="A8796" s="10" t="n">
        <f aca="false">Einstellungen!$B$5+INT((ROW()-9)/24)</f>
        <v>46332</v>
      </c>
      <c r="B8796" s="11" t="n">
        <f aca="false">MOD(ROW()-9,24)</f>
        <v>3</v>
      </c>
      <c r="C8796" s="12"/>
      <c r="D8796" s="13" t="n">
        <f aca="false">IF(B8796&lt;5,Einstellungen!$B$3,Einstellungen!$B$4)</f>
        <v>15.92</v>
      </c>
      <c r="E8796" s="14" t="str">
        <f aca="false">IF(C8796="","",C8796*D8796/100)</f>
        <v/>
      </c>
      <c r="F8796" s="15" t="str">
        <f aca="false">IF(B8796&lt;5,"Go","Standard")</f>
        <v>Go</v>
      </c>
    </row>
    <row r="8797" customFormat="false" ht="15" hidden="false" customHeight="true" outlineLevel="0" collapsed="false">
      <c r="A8797" s="10" t="n">
        <f aca="false">Einstellungen!$B$5+INT((ROW()-9)/24)</f>
        <v>46332</v>
      </c>
      <c r="B8797" s="11" t="n">
        <f aca="false">MOD(ROW()-9,24)</f>
        <v>4</v>
      </c>
      <c r="C8797" s="12"/>
      <c r="D8797" s="13" t="n">
        <f aca="false">IF(B8797&lt;5,Einstellungen!$B$3,Einstellungen!$B$4)</f>
        <v>15.92</v>
      </c>
      <c r="E8797" s="14" t="str">
        <f aca="false">IF(C8797="","",C8797*D8797/100)</f>
        <v/>
      </c>
      <c r="F8797" s="15" t="str">
        <f aca="false">IF(B8797&lt;5,"Go","Standard")</f>
        <v>Go</v>
      </c>
    </row>
    <row r="8798" customFormat="false" ht="15" hidden="false" customHeight="true" outlineLevel="0" collapsed="false">
      <c r="A8798" s="10" t="n">
        <f aca="false">Einstellungen!$B$5+INT((ROW()-9)/24)</f>
        <v>46332</v>
      </c>
      <c r="B8798" s="11" t="n">
        <f aca="false">MOD(ROW()-9,24)</f>
        <v>5</v>
      </c>
      <c r="C8798" s="12"/>
      <c r="D8798" s="13" t="n">
        <f aca="false">IF(B8798&lt;5,Einstellungen!$B$3,Einstellungen!$B$4)</f>
        <v>29.13</v>
      </c>
      <c r="E8798" s="14" t="str">
        <f aca="false">IF(C8798="","",C8798*D8798/100)</f>
        <v/>
      </c>
      <c r="F8798" s="15" t="str">
        <f aca="false">IF(B8798&lt;5,"Go","Standard")</f>
        <v>Standard</v>
      </c>
    </row>
    <row r="8799" customFormat="false" ht="15" hidden="false" customHeight="true" outlineLevel="0" collapsed="false">
      <c r="A8799" s="10" t="n">
        <f aca="false">Einstellungen!$B$5+INT((ROW()-9)/24)</f>
        <v>46332</v>
      </c>
      <c r="B8799" s="11" t="n">
        <f aca="false">MOD(ROW()-9,24)</f>
        <v>6</v>
      </c>
      <c r="C8799" s="12"/>
      <c r="D8799" s="13" t="n">
        <f aca="false">IF(B8799&lt;5,Einstellungen!$B$3,Einstellungen!$B$4)</f>
        <v>29.13</v>
      </c>
      <c r="E8799" s="14" t="str">
        <f aca="false">IF(C8799="","",C8799*D8799/100)</f>
        <v/>
      </c>
      <c r="F8799" s="15" t="str">
        <f aca="false">IF(B8799&lt;5,"Go","Standard")</f>
        <v>Standard</v>
      </c>
    </row>
    <row r="8800" customFormat="false" ht="15" hidden="false" customHeight="true" outlineLevel="0" collapsed="false">
      <c r="A8800" s="10" t="n">
        <f aca="false">Einstellungen!$B$5+INT((ROW()-9)/24)</f>
        <v>46332</v>
      </c>
      <c r="B8800" s="11" t="n">
        <f aca="false">MOD(ROW()-9,24)</f>
        <v>7</v>
      </c>
      <c r="C8800" s="12"/>
      <c r="D8800" s="13" t="n">
        <f aca="false">IF(B8800&lt;5,Einstellungen!$B$3,Einstellungen!$B$4)</f>
        <v>29.13</v>
      </c>
      <c r="E8800" s="14" t="str">
        <f aca="false">IF(C8800="","",C8800*D8800/100)</f>
        <v/>
      </c>
      <c r="F8800" s="15" t="str">
        <f aca="false">IF(B8800&lt;5,"Go","Standard")</f>
        <v>Standard</v>
      </c>
    </row>
    <row r="8801" customFormat="false" ht="15" hidden="false" customHeight="true" outlineLevel="0" collapsed="false">
      <c r="A8801" s="10" t="n">
        <f aca="false">Einstellungen!$B$5+INT((ROW()-9)/24)</f>
        <v>46332</v>
      </c>
      <c r="B8801" s="11" t="n">
        <f aca="false">MOD(ROW()-9,24)</f>
        <v>8</v>
      </c>
      <c r="C8801" s="12"/>
      <c r="D8801" s="13" t="n">
        <f aca="false">IF(B8801&lt;5,Einstellungen!$B$3,Einstellungen!$B$4)</f>
        <v>29.13</v>
      </c>
      <c r="E8801" s="14" t="str">
        <f aca="false">IF(C8801="","",C8801*D8801/100)</f>
        <v/>
      </c>
      <c r="F8801" s="15" t="str">
        <f aca="false">IF(B8801&lt;5,"Go","Standard")</f>
        <v>Standard</v>
      </c>
    </row>
    <row r="8802" customFormat="false" ht="15" hidden="false" customHeight="true" outlineLevel="0" collapsed="false">
      <c r="A8802" s="10" t="n">
        <f aca="false">Einstellungen!$B$5+INT((ROW()-9)/24)</f>
        <v>46332</v>
      </c>
      <c r="B8802" s="11" t="n">
        <f aca="false">MOD(ROW()-9,24)</f>
        <v>9</v>
      </c>
      <c r="C8802" s="12"/>
      <c r="D8802" s="13" t="n">
        <f aca="false">IF(B8802&lt;5,Einstellungen!$B$3,Einstellungen!$B$4)</f>
        <v>29.13</v>
      </c>
      <c r="E8802" s="14" t="str">
        <f aca="false">IF(C8802="","",C8802*D8802/100)</f>
        <v/>
      </c>
      <c r="F8802" s="15" t="str">
        <f aca="false">IF(B8802&lt;5,"Go","Standard")</f>
        <v>Standard</v>
      </c>
    </row>
    <row r="8803" customFormat="false" ht="15" hidden="false" customHeight="true" outlineLevel="0" collapsed="false">
      <c r="A8803" s="10" t="n">
        <f aca="false">Einstellungen!$B$5+INT((ROW()-9)/24)</f>
        <v>46332</v>
      </c>
      <c r="B8803" s="11" t="n">
        <f aca="false">MOD(ROW()-9,24)</f>
        <v>10</v>
      </c>
      <c r="C8803" s="12"/>
      <c r="D8803" s="13" t="n">
        <f aca="false">IF(B8803&lt;5,Einstellungen!$B$3,Einstellungen!$B$4)</f>
        <v>29.13</v>
      </c>
      <c r="E8803" s="14" t="str">
        <f aca="false">IF(C8803="","",C8803*D8803/100)</f>
        <v/>
      </c>
      <c r="F8803" s="15" t="str">
        <f aca="false">IF(B8803&lt;5,"Go","Standard")</f>
        <v>Standard</v>
      </c>
    </row>
    <row r="8804" customFormat="false" ht="15" hidden="false" customHeight="true" outlineLevel="0" collapsed="false">
      <c r="A8804" s="10" t="n">
        <f aca="false">Einstellungen!$B$5+INT((ROW()-9)/24)</f>
        <v>46332</v>
      </c>
      <c r="B8804" s="11" t="n">
        <f aca="false">MOD(ROW()-9,24)</f>
        <v>11</v>
      </c>
      <c r="C8804" s="12"/>
      <c r="D8804" s="13" t="n">
        <f aca="false">IF(B8804&lt;5,Einstellungen!$B$3,Einstellungen!$B$4)</f>
        <v>29.13</v>
      </c>
      <c r="E8804" s="14" t="str">
        <f aca="false">IF(C8804="","",C8804*D8804/100)</f>
        <v/>
      </c>
      <c r="F8804" s="15" t="str">
        <f aca="false">IF(B8804&lt;5,"Go","Standard")</f>
        <v>Standard</v>
      </c>
    </row>
    <row r="8805" customFormat="false" ht="15" hidden="false" customHeight="true" outlineLevel="0" collapsed="false">
      <c r="A8805" s="10" t="n">
        <f aca="false">Einstellungen!$B$5+INT((ROW()-9)/24)</f>
        <v>46332</v>
      </c>
      <c r="B8805" s="11" t="n">
        <f aca="false">MOD(ROW()-9,24)</f>
        <v>12</v>
      </c>
      <c r="C8805" s="12"/>
      <c r="D8805" s="13" t="n">
        <f aca="false">IF(B8805&lt;5,Einstellungen!$B$3,Einstellungen!$B$4)</f>
        <v>29.13</v>
      </c>
      <c r="E8805" s="14" t="str">
        <f aca="false">IF(C8805="","",C8805*D8805/100)</f>
        <v/>
      </c>
      <c r="F8805" s="15" t="str">
        <f aca="false">IF(B8805&lt;5,"Go","Standard")</f>
        <v>Standard</v>
      </c>
    </row>
    <row r="8806" customFormat="false" ht="15" hidden="false" customHeight="true" outlineLevel="0" collapsed="false">
      <c r="A8806" s="10" t="n">
        <f aca="false">Einstellungen!$B$5+INT((ROW()-9)/24)</f>
        <v>46332</v>
      </c>
      <c r="B8806" s="11" t="n">
        <f aca="false">MOD(ROW()-9,24)</f>
        <v>13</v>
      </c>
      <c r="C8806" s="12"/>
      <c r="D8806" s="13" t="n">
        <f aca="false">IF(B8806&lt;5,Einstellungen!$B$3,Einstellungen!$B$4)</f>
        <v>29.13</v>
      </c>
      <c r="E8806" s="14" t="str">
        <f aca="false">IF(C8806="","",C8806*D8806/100)</f>
        <v/>
      </c>
      <c r="F8806" s="15" t="str">
        <f aca="false">IF(B8806&lt;5,"Go","Standard")</f>
        <v>Standard</v>
      </c>
    </row>
    <row r="8807" customFormat="false" ht="15" hidden="false" customHeight="true" outlineLevel="0" collapsed="false">
      <c r="A8807" s="10" t="n">
        <f aca="false">Einstellungen!$B$5+INT((ROW()-9)/24)</f>
        <v>46332</v>
      </c>
      <c r="B8807" s="11" t="n">
        <f aca="false">MOD(ROW()-9,24)</f>
        <v>14</v>
      </c>
      <c r="C8807" s="12"/>
      <c r="D8807" s="13" t="n">
        <f aca="false">IF(B8807&lt;5,Einstellungen!$B$3,Einstellungen!$B$4)</f>
        <v>29.13</v>
      </c>
      <c r="E8807" s="14" t="str">
        <f aca="false">IF(C8807="","",C8807*D8807/100)</f>
        <v/>
      </c>
      <c r="F8807" s="15" t="str">
        <f aca="false">IF(B8807&lt;5,"Go","Standard")</f>
        <v>Standard</v>
      </c>
    </row>
    <row r="8808" customFormat="false" ht="15" hidden="false" customHeight="true" outlineLevel="0" collapsed="false">
      <c r="A8808" s="10" t="n">
        <f aca="false">Einstellungen!$B$5+INT((ROW()-9)/24)</f>
        <v>46332</v>
      </c>
      <c r="B8808" s="11" t="n">
        <f aca="false">MOD(ROW()-9,24)</f>
        <v>15</v>
      </c>
      <c r="C8808" s="12"/>
      <c r="D8808" s="13" t="n">
        <f aca="false">IF(B8808&lt;5,Einstellungen!$B$3,Einstellungen!$B$4)</f>
        <v>29.13</v>
      </c>
      <c r="E8808" s="14" t="str">
        <f aca="false">IF(C8808="","",C8808*D8808/100)</f>
        <v/>
      </c>
      <c r="F8808" s="15" t="str">
        <f aca="false">IF(B8808&lt;5,"Go","Standard")</f>
        <v>Standard</v>
      </c>
    </row>
    <row r="8809" customFormat="false" ht="15" hidden="false" customHeight="true" outlineLevel="0" collapsed="false">
      <c r="A8809" s="10" t="n">
        <f aca="false">Einstellungen!$B$5+INT((ROW()-9)/24)</f>
        <v>46332</v>
      </c>
      <c r="B8809" s="11" t="n">
        <f aca="false">MOD(ROW()-9,24)</f>
        <v>16</v>
      </c>
      <c r="C8809" s="12"/>
      <c r="D8809" s="13" t="n">
        <f aca="false">IF(B8809&lt;5,Einstellungen!$B$3,Einstellungen!$B$4)</f>
        <v>29.13</v>
      </c>
      <c r="E8809" s="14" t="str">
        <f aca="false">IF(C8809="","",C8809*D8809/100)</f>
        <v/>
      </c>
      <c r="F8809" s="15" t="str">
        <f aca="false">IF(B8809&lt;5,"Go","Standard")</f>
        <v>Standard</v>
      </c>
    </row>
    <row r="8810" customFormat="false" ht="15" hidden="false" customHeight="true" outlineLevel="0" collapsed="false">
      <c r="A8810" s="10" t="n">
        <f aca="false">Einstellungen!$B$5+INT((ROW()-9)/24)</f>
        <v>46332</v>
      </c>
      <c r="B8810" s="11" t="n">
        <f aca="false">MOD(ROW()-9,24)</f>
        <v>17</v>
      </c>
      <c r="C8810" s="12"/>
      <c r="D8810" s="13" t="n">
        <f aca="false">IF(B8810&lt;5,Einstellungen!$B$3,Einstellungen!$B$4)</f>
        <v>29.13</v>
      </c>
      <c r="E8810" s="14" t="str">
        <f aca="false">IF(C8810="","",C8810*D8810/100)</f>
        <v/>
      </c>
      <c r="F8810" s="15" t="str">
        <f aca="false">IF(B8810&lt;5,"Go","Standard")</f>
        <v>Standard</v>
      </c>
    </row>
    <row r="8811" customFormat="false" ht="15" hidden="false" customHeight="true" outlineLevel="0" collapsed="false">
      <c r="A8811" s="10" t="n">
        <f aca="false">Einstellungen!$B$5+INT((ROW()-9)/24)</f>
        <v>46332</v>
      </c>
      <c r="B8811" s="11" t="n">
        <f aca="false">MOD(ROW()-9,24)</f>
        <v>18</v>
      </c>
      <c r="C8811" s="12"/>
      <c r="D8811" s="13" t="n">
        <f aca="false">IF(B8811&lt;5,Einstellungen!$B$3,Einstellungen!$B$4)</f>
        <v>29.13</v>
      </c>
      <c r="E8811" s="14" t="str">
        <f aca="false">IF(C8811="","",C8811*D8811/100)</f>
        <v/>
      </c>
      <c r="F8811" s="15" t="str">
        <f aca="false">IF(B8811&lt;5,"Go","Standard")</f>
        <v>Standard</v>
      </c>
    </row>
    <row r="8812" customFormat="false" ht="15" hidden="false" customHeight="true" outlineLevel="0" collapsed="false">
      <c r="A8812" s="10" t="n">
        <f aca="false">Einstellungen!$B$5+INT((ROW()-9)/24)</f>
        <v>46332</v>
      </c>
      <c r="B8812" s="11" t="n">
        <f aca="false">MOD(ROW()-9,24)</f>
        <v>19</v>
      </c>
      <c r="C8812" s="12"/>
      <c r="D8812" s="13" t="n">
        <f aca="false">IF(B8812&lt;5,Einstellungen!$B$3,Einstellungen!$B$4)</f>
        <v>29.13</v>
      </c>
      <c r="E8812" s="14" t="str">
        <f aca="false">IF(C8812="","",C8812*D8812/100)</f>
        <v/>
      </c>
      <c r="F8812" s="15" t="str">
        <f aca="false">IF(B8812&lt;5,"Go","Standard")</f>
        <v>Standard</v>
      </c>
    </row>
    <row r="8813" customFormat="false" ht="15" hidden="false" customHeight="true" outlineLevel="0" collapsed="false">
      <c r="A8813" s="10" t="n">
        <f aca="false">Einstellungen!$B$5+INT((ROW()-9)/24)</f>
        <v>46332</v>
      </c>
      <c r="B8813" s="11" t="n">
        <f aca="false">MOD(ROW()-9,24)</f>
        <v>20</v>
      </c>
      <c r="C8813" s="12"/>
      <c r="D8813" s="13" t="n">
        <f aca="false">IF(B8813&lt;5,Einstellungen!$B$3,Einstellungen!$B$4)</f>
        <v>29.13</v>
      </c>
      <c r="E8813" s="14" t="str">
        <f aca="false">IF(C8813="","",C8813*D8813/100)</f>
        <v/>
      </c>
      <c r="F8813" s="15" t="str">
        <f aca="false">IF(B8813&lt;5,"Go","Standard")</f>
        <v>Standard</v>
      </c>
    </row>
    <row r="8814" customFormat="false" ht="15" hidden="false" customHeight="true" outlineLevel="0" collapsed="false">
      <c r="A8814" s="10" t="n">
        <f aca="false">Einstellungen!$B$5+INT((ROW()-9)/24)</f>
        <v>46332</v>
      </c>
      <c r="B8814" s="11" t="n">
        <f aca="false">MOD(ROW()-9,24)</f>
        <v>21</v>
      </c>
      <c r="C8814" s="12"/>
      <c r="D8814" s="13" t="n">
        <f aca="false">IF(B8814&lt;5,Einstellungen!$B$3,Einstellungen!$B$4)</f>
        <v>29.13</v>
      </c>
      <c r="E8814" s="14" t="str">
        <f aca="false">IF(C8814="","",C8814*D8814/100)</f>
        <v/>
      </c>
      <c r="F8814" s="15" t="str">
        <f aca="false">IF(B8814&lt;5,"Go","Standard")</f>
        <v>Standard</v>
      </c>
    </row>
    <row r="8815" customFormat="false" ht="15" hidden="false" customHeight="true" outlineLevel="0" collapsed="false">
      <c r="A8815" s="10" t="n">
        <f aca="false">Einstellungen!$B$5+INT((ROW()-9)/24)</f>
        <v>46332</v>
      </c>
      <c r="B8815" s="11" t="n">
        <f aca="false">MOD(ROW()-9,24)</f>
        <v>22</v>
      </c>
      <c r="C8815" s="12"/>
      <c r="D8815" s="13" t="n">
        <f aca="false">IF(B8815&lt;5,Einstellungen!$B$3,Einstellungen!$B$4)</f>
        <v>29.13</v>
      </c>
      <c r="E8815" s="14" t="str">
        <f aca="false">IF(C8815="","",C8815*D8815/100)</f>
        <v/>
      </c>
      <c r="F8815" s="15" t="str">
        <f aca="false">IF(B8815&lt;5,"Go","Standard")</f>
        <v>Standard</v>
      </c>
    </row>
    <row r="8816" customFormat="false" ht="15" hidden="false" customHeight="true" outlineLevel="0" collapsed="false">
      <c r="A8816" s="10" t="n">
        <f aca="false">Einstellungen!$B$5+INT((ROW()-9)/24)</f>
        <v>46332</v>
      </c>
      <c r="B8816" s="11" t="n">
        <f aca="false">MOD(ROW()-9,24)</f>
        <v>23</v>
      </c>
      <c r="C8816" s="12"/>
      <c r="D8816" s="13" t="n">
        <f aca="false">IF(B8816&lt;5,Einstellungen!$B$3,Einstellungen!$B$4)</f>
        <v>29.13</v>
      </c>
      <c r="E8816" s="14" t="str">
        <f aca="false">IF(C8816="","",C8816*D8816/100)</f>
        <v/>
      </c>
      <c r="F8816" s="15" t="str">
        <f aca="false">IF(B8816&lt;5,"Go","Standard")</f>
        <v>Standard</v>
      </c>
    </row>
    <row r="8817" customFormat="false" ht="15" hidden="false" customHeight="true" outlineLevel="0" collapsed="false">
      <c r="A8817" s="10" t="n">
        <f aca="false">Einstellungen!$B$5+INT((ROW()-9)/24)</f>
        <v>46333</v>
      </c>
      <c r="B8817" s="11" t="n">
        <f aca="false">MOD(ROW()-9,24)</f>
        <v>0</v>
      </c>
      <c r="C8817" s="12"/>
      <c r="D8817" s="13" t="n">
        <f aca="false">IF(B8817&lt;5,Einstellungen!$B$3,Einstellungen!$B$4)</f>
        <v>15.92</v>
      </c>
      <c r="E8817" s="14" t="str">
        <f aca="false">IF(C8817="","",C8817*D8817/100)</f>
        <v/>
      </c>
      <c r="F8817" s="15" t="str">
        <f aca="false">IF(B8817&lt;5,"Go","Standard")</f>
        <v>Go</v>
      </c>
    </row>
    <row r="8818" customFormat="false" ht="15" hidden="false" customHeight="true" outlineLevel="0" collapsed="false">
      <c r="A8818" s="10" t="n">
        <f aca="false">Einstellungen!$B$5+INT((ROW()-9)/24)</f>
        <v>46333</v>
      </c>
      <c r="B8818" s="11" t="n">
        <f aca="false">MOD(ROW()-9,24)</f>
        <v>1</v>
      </c>
      <c r="C8818" s="12"/>
      <c r="D8818" s="13" t="n">
        <f aca="false">IF(B8818&lt;5,Einstellungen!$B$3,Einstellungen!$B$4)</f>
        <v>15.92</v>
      </c>
      <c r="E8818" s="14" t="str">
        <f aca="false">IF(C8818="","",C8818*D8818/100)</f>
        <v/>
      </c>
      <c r="F8818" s="15" t="str">
        <f aca="false">IF(B8818&lt;5,"Go","Standard")</f>
        <v>Go</v>
      </c>
    </row>
    <row r="8819" customFormat="false" ht="15" hidden="false" customHeight="true" outlineLevel="0" collapsed="false">
      <c r="A8819" s="10" t="n">
        <f aca="false">Einstellungen!$B$5+INT((ROW()-9)/24)</f>
        <v>46333</v>
      </c>
      <c r="B8819" s="11" t="n">
        <f aca="false">MOD(ROW()-9,24)</f>
        <v>2</v>
      </c>
      <c r="C8819" s="12"/>
      <c r="D8819" s="13" t="n">
        <f aca="false">IF(B8819&lt;5,Einstellungen!$B$3,Einstellungen!$B$4)</f>
        <v>15.92</v>
      </c>
      <c r="E8819" s="14" t="str">
        <f aca="false">IF(C8819="","",C8819*D8819/100)</f>
        <v/>
      </c>
      <c r="F8819" s="15" t="str">
        <f aca="false">IF(B8819&lt;5,"Go","Standard")</f>
        <v>Go</v>
      </c>
    </row>
    <row r="8820" customFormat="false" ht="15" hidden="false" customHeight="true" outlineLevel="0" collapsed="false">
      <c r="A8820" s="10" t="n">
        <f aca="false">Einstellungen!$B$5+INT((ROW()-9)/24)</f>
        <v>46333</v>
      </c>
      <c r="B8820" s="11" t="n">
        <f aca="false">MOD(ROW()-9,24)</f>
        <v>3</v>
      </c>
      <c r="C8820" s="12"/>
      <c r="D8820" s="13" t="n">
        <f aca="false">IF(B8820&lt;5,Einstellungen!$B$3,Einstellungen!$B$4)</f>
        <v>15.92</v>
      </c>
      <c r="E8820" s="14" t="str">
        <f aca="false">IF(C8820="","",C8820*D8820/100)</f>
        <v/>
      </c>
      <c r="F8820" s="15" t="str">
        <f aca="false">IF(B8820&lt;5,"Go","Standard")</f>
        <v>Go</v>
      </c>
    </row>
    <row r="8821" customFormat="false" ht="15" hidden="false" customHeight="true" outlineLevel="0" collapsed="false">
      <c r="A8821" s="10" t="n">
        <f aca="false">Einstellungen!$B$5+INT((ROW()-9)/24)</f>
        <v>46333</v>
      </c>
      <c r="B8821" s="11" t="n">
        <f aca="false">MOD(ROW()-9,24)</f>
        <v>4</v>
      </c>
      <c r="C8821" s="12"/>
      <c r="D8821" s="13" t="n">
        <f aca="false">IF(B8821&lt;5,Einstellungen!$B$3,Einstellungen!$B$4)</f>
        <v>15.92</v>
      </c>
      <c r="E8821" s="14" t="str">
        <f aca="false">IF(C8821="","",C8821*D8821/100)</f>
        <v/>
      </c>
      <c r="F8821" s="15" t="str">
        <f aca="false">IF(B8821&lt;5,"Go","Standard")</f>
        <v>Go</v>
      </c>
    </row>
    <row r="8822" customFormat="false" ht="15" hidden="false" customHeight="true" outlineLevel="0" collapsed="false">
      <c r="A8822" s="10" t="n">
        <f aca="false">Einstellungen!$B$5+INT((ROW()-9)/24)</f>
        <v>46333</v>
      </c>
      <c r="B8822" s="11" t="n">
        <f aca="false">MOD(ROW()-9,24)</f>
        <v>5</v>
      </c>
      <c r="C8822" s="12"/>
      <c r="D8822" s="13" t="n">
        <f aca="false">IF(B8822&lt;5,Einstellungen!$B$3,Einstellungen!$B$4)</f>
        <v>29.13</v>
      </c>
      <c r="E8822" s="14" t="str">
        <f aca="false">IF(C8822="","",C8822*D8822/100)</f>
        <v/>
      </c>
      <c r="F8822" s="15" t="str">
        <f aca="false">IF(B8822&lt;5,"Go","Standard")</f>
        <v>Standard</v>
      </c>
    </row>
    <row r="8823" customFormat="false" ht="15" hidden="false" customHeight="true" outlineLevel="0" collapsed="false">
      <c r="A8823" s="10" t="n">
        <f aca="false">Einstellungen!$B$5+INT((ROW()-9)/24)</f>
        <v>46333</v>
      </c>
      <c r="B8823" s="11" t="n">
        <f aca="false">MOD(ROW()-9,24)</f>
        <v>6</v>
      </c>
      <c r="C8823" s="12"/>
      <c r="D8823" s="13" t="n">
        <f aca="false">IF(B8823&lt;5,Einstellungen!$B$3,Einstellungen!$B$4)</f>
        <v>29.13</v>
      </c>
      <c r="E8823" s="14" t="str">
        <f aca="false">IF(C8823="","",C8823*D8823/100)</f>
        <v/>
      </c>
      <c r="F8823" s="15" t="str">
        <f aca="false">IF(B8823&lt;5,"Go","Standard")</f>
        <v>Standard</v>
      </c>
    </row>
    <row r="8824" customFormat="false" ht="15" hidden="false" customHeight="true" outlineLevel="0" collapsed="false">
      <c r="A8824" s="10" t="n">
        <f aca="false">Einstellungen!$B$5+INT((ROW()-9)/24)</f>
        <v>46333</v>
      </c>
      <c r="B8824" s="11" t="n">
        <f aca="false">MOD(ROW()-9,24)</f>
        <v>7</v>
      </c>
      <c r="C8824" s="12"/>
      <c r="D8824" s="13" t="n">
        <f aca="false">IF(B8824&lt;5,Einstellungen!$B$3,Einstellungen!$B$4)</f>
        <v>29.13</v>
      </c>
      <c r="E8824" s="14" t="str">
        <f aca="false">IF(C8824="","",C8824*D8824/100)</f>
        <v/>
      </c>
      <c r="F8824" s="15" t="str">
        <f aca="false">IF(B8824&lt;5,"Go","Standard")</f>
        <v>Standard</v>
      </c>
    </row>
    <row r="8825" customFormat="false" ht="15" hidden="false" customHeight="true" outlineLevel="0" collapsed="false">
      <c r="A8825" s="10" t="n">
        <f aca="false">Einstellungen!$B$5+INT((ROW()-9)/24)</f>
        <v>46333</v>
      </c>
      <c r="B8825" s="11" t="n">
        <f aca="false">MOD(ROW()-9,24)</f>
        <v>8</v>
      </c>
      <c r="C8825" s="12"/>
      <c r="D8825" s="13" t="n">
        <f aca="false">IF(B8825&lt;5,Einstellungen!$B$3,Einstellungen!$B$4)</f>
        <v>29.13</v>
      </c>
      <c r="E8825" s="14" t="str">
        <f aca="false">IF(C8825="","",C8825*D8825/100)</f>
        <v/>
      </c>
      <c r="F8825" s="15" t="str">
        <f aca="false">IF(B8825&lt;5,"Go","Standard")</f>
        <v>Standard</v>
      </c>
    </row>
    <row r="8826" customFormat="false" ht="15" hidden="false" customHeight="true" outlineLevel="0" collapsed="false">
      <c r="A8826" s="10" t="n">
        <f aca="false">Einstellungen!$B$5+INT((ROW()-9)/24)</f>
        <v>46333</v>
      </c>
      <c r="B8826" s="11" t="n">
        <f aca="false">MOD(ROW()-9,24)</f>
        <v>9</v>
      </c>
      <c r="C8826" s="12"/>
      <c r="D8826" s="13" t="n">
        <f aca="false">IF(B8826&lt;5,Einstellungen!$B$3,Einstellungen!$B$4)</f>
        <v>29.13</v>
      </c>
      <c r="E8826" s="14" t="str">
        <f aca="false">IF(C8826="","",C8826*D8826/100)</f>
        <v/>
      </c>
      <c r="F8826" s="15" t="str">
        <f aca="false">IF(B8826&lt;5,"Go","Standard")</f>
        <v>Standard</v>
      </c>
    </row>
    <row r="8827" customFormat="false" ht="15" hidden="false" customHeight="true" outlineLevel="0" collapsed="false">
      <c r="A8827" s="10" t="n">
        <f aca="false">Einstellungen!$B$5+INT((ROW()-9)/24)</f>
        <v>46333</v>
      </c>
      <c r="B8827" s="11" t="n">
        <f aca="false">MOD(ROW()-9,24)</f>
        <v>10</v>
      </c>
      <c r="C8827" s="12"/>
      <c r="D8827" s="13" t="n">
        <f aca="false">IF(B8827&lt;5,Einstellungen!$B$3,Einstellungen!$B$4)</f>
        <v>29.13</v>
      </c>
      <c r="E8827" s="14" t="str">
        <f aca="false">IF(C8827="","",C8827*D8827/100)</f>
        <v/>
      </c>
      <c r="F8827" s="15" t="str">
        <f aca="false">IF(B8827&lt;5,"Go","Standard")</f>
        <v>Standard</v>
      </c>
    </row>
    <row r="8828" customFormat="false" ht="15" hidden="false" customHeight="true" outlineLevel="0" collapsed="false">
      <c r="A8828" s="10" t="n">
        <f aca="false">Einstellungen!$B$5+INT((ROW()-9)/24)</f>
        <v>46333</v>
      </c>
      <c r="B8828" s="11" t="n">
        <f aca="false">MOD(ROW()-9,24)</f>
        <v>11</v>
      </c>
      <c r="C8828" s="12"/>
      <c r="D8828" s="13" t="n">
        <f aca="false">IF(B8828&lt;5,Einstellungen!$B$3,Einstellungen!$B$4)</f>
        <v>29.13</v>
      </c>
      <c r="E8828" s="14" t="str">
        <f aca="false">IF(C8828="","",C8828*D8828/100)</f>
        <v/>
      </c>
      <c r="F8828" s="15" t="str">
        <f aca="false">IF(B8828&lt;5,"Go","Standard")</f>
        <v>Standard</v>
      </c>
    </row>
    <row r="8829" customFormat="false" ht="15" hidden="false" customHeight="true" outlineLevel="0" collapsed="false">
      <c r="A8829" s="10" t="n">
        <f aca="false">Einstellungen!$B$5+INT((ROW()-9)/24)</f>
        <v>46333</v>
      </c>
      <c r="B8829" s="11" t="n">
        <f aca="false">MOD(ROW()-9,24)</f>
        <v>12</v>
      </c>
      <c r="C8829" s="12"/>
      <c r="D8829" s="13" t="n">
        <f aca="false">IF(B8829&lt;5,Einstellungen!$B$3,Einstellungen!$B$4)</f>
        <v>29.13</v>
      </c>
      <c r="E8829" s="14" t="str">
        <f aca="false">IF(C8829="","",C8829*D8829/100)</f>
        <v/>
      </c>
      <c r="F8829" s="15" t="str">
        <f aca="false">IF(B8829&lt;5,"Go","Standard")</f>
        <v>Standard</v>
      </c>
    </row>
    <row r="8830" customFormat="false" ht="15" hidden="false" customHeight="true" outlineLevel="0" collapsed="false">
      <c r="A8830" s="10" t="n">
        <f aca="false">Einstellungen!$B$5+INT((ROW()-9)/24)</f>
        <v>46333</v>
      </c>
      <c r="B8830" s="11" t="n">
        <f aca="false">MOD(ROW()-9,24)</f>
        <v>13</v>
      </c>
      <c r="C8830" s="12"/>
      <c r="D8830" s="13" t="n">
        <f aca="false">IF(B8830&lt;5,Einstellungen!$B$3,Einstellungen!$B$4)</f>
        <v>29.13</v>
      </c>
      <c r="E8830" s="14" t="str">
        <f aca="false">IF(C8830="","",C8830*D8830/100)</f>
        <v/>
      </c>
      <c r="F8830" s="15" t="str">
        <f aca="false">IF(B8830&lt;5,"Go","Standard")</f>
        <v>Standard</v>
      </c>
    </row>
    <row r="8831" customFormat="false" ht="15" hidden="false" customHeight="true" outlineLevel="0" collapsed="false">
      <c r="A8831" s="10" t="n">
        <f aca="false">Einstellungen!$B$5+INT((ROW()-9)/24)</f>
        <v>46333</v>
      </c>
      <c r="B8831" s="11" t="n">
        <f aca="false">MOD(ROW()-9,24)</f>
        <v>14</v>
      </c>
      <c r="C8831" s="12"/>
      <c r="D8831" s="13" t="n">
        <f aca="false">IF(B8831&lt;5,Einstellungen!$B$3,Einstellungen!$B$4)</f>
        <v>29.13</v>
      </c>
      <c r="E8831" s="14" t="str">
        <f aca="false">IF(C8831="","",C8831*D8831/100)</f>
        <v/>
      </c>
      <c r="F8831" s="15" t="str">
        <f aca="false">IF(B8831&lt;5,"Go","Standard")</f>
        <v>Standard</v>
      </c>
    </row>
    <row r="8832" customFormat="false" ht="15" hidden="false" customHeight="true" outlineLevel="0" collapsed="false">
      <c r="A8832" s="10" t="n">
        <f aca="false">Einstellungen!$B$5+INT((ROW()-9)/24)</f>
        <v>46333</v>
      </c>
      <c r="B8832" s="11" t="n">
        <f aca="false">MOD(ROW()-9,24)</f>
        <v>15</v>
      </c>
      <c r="C8832" s="12"/>
      <c r="D8832" s="13" t="n">
        <f aca="false">IF(B8832&lt;5,Einstellungen!$B$3,Einstellungen!$B$4)</f>
        <v>29.13</v>
      </c>
      <c r="E8832" s="14" t="str">
        <f aca="false">IF(C8832="","",C8832*D8832/100)</f>
        <v/>
      </c>
      <c r="F8832" s="15" t="str">
        <f aca="false">IF(B8832&lt;5,"Go","Standard")</f>
        <v>Standard</v>
      </c>
    </row>
    <row r="8833" customFormat="false" ht="15" hidden="false" customHeight="true" outlineLevel="0" collapsed="false">
      <c r="A8833" s="10" t="n">
        <f aca="false">Einstellungen!$B$5+INT((ROW()-9)/24)</f>
        <v>46333</v>
      </c>
      <c r="B8833" s="11" t="n">
        <f aca="false">MOD(ROW()-9,24)</f>
        <v>16</v>
      </c>
      <c r="C8833" s="12"/>
      <c r="D8833" s="13" t="n">
        <f aca="false">IF(B8833&lt;5,Einstellungen!$B$3,Einstellungen!$B$4)</f>
        <v>29.13</v>
      </c>
      <c r="E8833" s="14" t="str">
        <f aca="false">IF(C8833="","",C8833*D8833/100)</f>
        <v/>
      </c>
      <c r="F8833" s="15" t="str">
        <f aca="false">IF(B8833&lt;5,"Go","Standard")</f>
        <v>Standard</v>
      </c>
    </row>
    <row r="8834" customFormat="false" ht="15" hidden="false" customHeight="true" outlineLevel="0" collapsed="false">
      <c r="A8834" s="10" t="n">
        <f aca="false">Einstellungen!$B$5+INT((ROW()-9)/24)</f>
        <v>46333</v>
      </c>
      <c r="B8834" s="11" t="n">
        <f aca="false">MOD(ROW()-9,24)</f>
        <v>17</v>
      </c>
      <c r="C8834" s="12"/>
      <c r="D8834" s="13" t="n">
        <f aca="false">IF(B8834&lt;5,Einstellungen!$B$3,Einstellungen!$B$4)</f>
        <v>29.13</v>
      </c>
      <c r="E8834" s="14" t="str">
        <f aca="false">IF(C8834="","",C8834*D8834/100)</f>
        <v/>
      </c>
      <c r="F8834" s="15" t="str">
        <f aca="false">IF(B8834&lt;5,"Go","Standard")</f>
        <v>Standard</v>
      </c>
    </row>
    <row r="8835" customFormat="false" ht="15" hidden="false" customHeight="true" outlineLevel="0" collapsed="false">
      <c r="A8835" s="10" t="n">
        <f aca="false">Einstellungen!$B$5+INT((ROW()-9)/24)</f>
        <v>46333</v>
      </c>
      <c r="B8835" s="11" t="n">
        <f aca="false">MOD(ROW()-9,24)</f>
        <v>18</v>
      </c>
      <c r="C8835" s="12"/>
      <c r="D8835" s="13" t="n">
        <f aca="false">IF(B8835&lt;5,Einstellungen!$B$3,Einstellungen!$B$4)</f>
        <v>29.13</v>
      </c>
      <c r="E8835" s="14" t="str">
        <f aca="false">IF(C8835="","",C8835*D8835/100)</f>
        <v/>
      </c>
      <c r="F8835" s="15" t="str">
        <f aca="false">IF(B8835&lt;5,"Go","Standard")</f>
        <v>Standard</v>
      </c>
    </row>
    <row r="8836" customFormat="false" ht="15" hidden="false" customHeight="true" outlineLevel="0" collapsed="false">
      <c r="A8836" s="10" t="n">
        <f aca="false">Einstellungen!$B$5+INT((ROW()-9)/24)</f>
        <v>46333</v>
      </c>
      <c r="B8836" s="11" t="n">
        <f aca="false">MOD(ROW()-9,24)</f>
        <v>19</v>
      </c>
      <c r="C8836" s="12"/>
      <c r="D8836" s="13" t="n">
        <f aca="false">IF(B8836&lt;5,Einstellungen!$B$3,Einstellungen!$B$4)</f>
        <v>29.13</v>
      </c>
      <c r="E8836" s="14" t="str">
        <f aca="false">IF(C8836="","",C8836*D8836/100)</f>
        <v/>
      </c>
      <c r="F8836" s="15" t="str">
        <f aca="false">IF(B8836&lt;5,"Go","Standard")</f>
        <v>Standard</v>
      </c>
    </row>
    <row r="8837" customFormat="false" ht="15" hidden="false" customHeight="true" outlineLevel="0" collapsed="false">
      <c r="A8837" s="10" t="n">
        <f aca="false">Einstellungen!$B$5+INT((ROW()-9)/24)</f>
        <v>46333</v>
      </c>
      <c r="B8837" s="11" t="n">
        <f aca="false">MOD(ROW()-9,24)</f>
        <v>20</v>
      </c>
      <c r="C8837" s="12"/>
      <c r="D8837" s="13" t="n">
        <f aca="false">IF(B8837&lt;5,Einstellungen!$B$3,Einstellungen!$B$4)</f>
        <v>29.13</v>
      </c>
      <c r="E8837" s="14" t="str">
        <f aca="false">IF(C8837="","",C8837*D8837/100)</f>
        <v/>
      </c>
      <c r="F8837" s="15" t="str">
        <f aca="false">IF(B8837&lt;5,"Go","Standard")</f>
        <v>Standard</v>
      </c>
    </row>
    <row r="8838" customFormat="false" ht="15" hidden="false" customHeight="true" outlineLevel="0" collapsed="false">
      <c r="A8838" s="10" t="n">
        <f aca="false">Einstellungen!$B$5+INT((ROW()-9)/24)</f>
        <v>46333</v>
      </c>
      <c r="B8838" s="11" t="n">
        <f aca="false">MOD(ROW()-9,24)</f>
        <v>21</v>
      </c>
      <c r="C8838" s="12"/>
      <c r="D8838" s="13" t="n">
        <f aca="false">IF(B8838&lt;5,Einstellungen!$B$3,Einstellungen!$B$4)</f>
        <v>29.13</v>
      </c>
      <c r="E8838" s="14" t="str">
        <f aca="false">IF(C8838="","",C8838*D8838/100)</f>
        <v/>
      </c>
      <c r="F8838" s="15" t="str">
        <f aca="false">IF(B8838&lt;5,"Go","Standard")</f>
        <v>Standard</v>
      </c>
    </row>
    <row r="8839" customFormat="false" ht="15" hidden="false" customHeight="true" outlineLevel="0" collapsed="false">
      <c r="A8839" s="10" t="n">
        <f aca="false">Einstellungen!$B$5+INT((ROW()-9)/24)</f>
        <v>46333</v>
      </c>
      <c r="B8839" s="11" t="n">
        <f aca="false">MOD(ROW()-9,24)</f>
        <v>22</v>
      </c>
      <c r="C8839" s="12"/>
      <c r="D8839" s="13" t="n">
        <f aca="false">IF(B8839&lt;5,Einstellungen!$B$3,Einstellungen!$B$4)</f>
        <v>29.13</v>
      </c>
      <c r="E8839" s="14" t="str">
        <f aca="false">IF(C8839="","",C8839*D8839/100)</f>
        <v/>
      </c>
      <c r="F8839" s="15" t="str">
        <f aca="false">IF(B8839&lt;5,"Go","Standard")</f>
        <v>Standard</v>
      </c>
    </row>
    <row r="8840" customFormat="false" ht="15" hidden="false" customHeight="true" outlineLevel="0" collapsed="false">
      <c r="A8840" s="10" t="n">
        <f aca="false">Einstellungen!$B$5+INT((ROW()-9)/24)</f>
        <v>46333</v>
      </c>
      <c r="B8840" s="11" t="n">
        <f aca="false">MOD(ROW()-9,24)</f>
        <v>23</v>
      </c>
      <c r="C8840" s="12"/>
      <c r="D8840" s="13" t="n">
        <f aca="false">IF(B8840&lt;5,Einstellungen!$B$3,Einstellungen!$B$4)</f>
        <v>29.13</v>
      </c>
      <c r="E8840" s="14" t="str">
        <f aca="false">IF(C8840="","",C8840*D8840/100)</f>
        <v/>
      </c>
      <c r="F8840" s="15" t="str">
        <f aca="false">IF(B8840&lt;5,"Go","Standard")</f>
        <v>Standard</v>
      </c>
    </row>
    <row r="8841" customFormat="false" ht="15" hidden="false" customHeight="true" outlineLevel="0" collapsed="false">
      <c r="A8841" s="10" t="n">
        <f aca="false">Einstellungen!$B$5+INT((ROW()-9)/24)</f>
        <v>46334</v>
      </c>
      <c r="B8841" s="11" t="n">
        <f aca="false">MOD(ROW()-9,24)</f>
        <v>0</v>
      </c>
      <c r="C8841" s="12"/>
      <c r="D8841" s="13" t="n">
        <f aca="false">IF(B8841&lt;5,Einstellungen!$B$3,Einstellungen!$B$4)</f>
        <v>15.92</v>
      </c>
      <c r="E8841" s="14" t="str">
        <f aca="false">IF(C8841="","",C8841*D8841/100)</f>
        <v/>
      </c>
      <c r="F8841" s="15" t="str">
        <f aca="false">IF(B8841&lt;5,"Go","Standard")</f>
        <v>Go</v>
      </c>
    </row>
    <row r="8842" customFormat="false" ht="15" hidden="false" customHeight="true" outlineLevel="0" collapsed="false">
      <c r="A8842" s="10" t="n">
        <f aca="false">Einstellungen!$B$5+INT((ROW()-9)/24)</f>
        <v>46334</v>
      </c>
      <c r="B8842" s="11" t="n">
        <f aca="false">MOD(ROW()-9,24)</f>
        <v>1</v>
      </c>
      <c r="C8842" s="12"/>
      <c r="D8842" s="13" t="n">
        <f aca="false">IF(B8842&lt;5,Einstellungen!$B$3,Einstellungen!$B$4)</f>
        <v>15.92</v>
      </c>
      <c r="E8842" s="14" t="str">
        <f aca="false">IF(C8842="","",C8842*D8842/100)</f>
        <v/>
      </c>
      <c r="F8842" s="15" t="str">
        <f aca="false">IF(B8842&lt;5,"Go","Standard")</f>
        <v>Go</v>
      </c>
    </row>
    <row r="8843" customFormat="false" ht="15" hidden="false" customHeight="true" outlineLevel="0" collapsed="false">
      <c r="A8843" s="10" t="n">
        <f aca="false">Einstellungen!$B$5+INT((ROW()-9)/24)</f>
        <v>46334</v>
      </c>
      <c r="B8843" s="11" t="n">
        <f aca="false">MOD(ROW()-9,24)</f>
        <v>2</v>
      </c>
      <c r="C8843" s="12"/>
      <c r="D8843" s="13" t="n">
        <f aca="false">IF(B8843&lt;5,Einstellungen!$B$3,Einstellungen!$B$4)</f>
        <v>15.92</v>
      </c>
      <c r="E8843" s="14" t="str">
        <f aca="false">IF(C8843="","",C8843*D8843/100)</f>
        <v/>
      </c>
      <c r="F8843" s="15" t="str">
        <f aca="false">IF(B8843&lt;5,"Go","Standard")</f>
        <v>Go</v>
      </c>
    </row>
    <row r="8844" customFormat="false" ht="15" hidden="false" customHeight="true" outlineLevel="0" collapsed="false">
      <c r="A8844" s="10" t="n">
        <f aca="false">Einstellungen!$B$5+INT((ROW()-9)/24)</f>
        <v>46334</v>
      </c>
      <c r="B8844" s="11" t="n">
        <f aca="false">MOD(ROW()-9,24)</f>
        <v>3</v>
      </c>
      <c r="C8844" s="12"/>
      <c r="D8844" s="13" t="n">
        <f aca="false">IF(B8844&lt;5,Einstellungen!$B$3,Einstellungen!$B$4)</f>
        <v>15.92</v>
      </c>
      <c r="E8844" s="14" t="str">
        <f aca="false">IF(C8844="","",C8844*D8844/100)</f>
        <v/>
      </c>
      <c r="F8844" s="15" t="str">
        <f aca="false">IF(B8844&lt;5,"Go","Standard")</f>
        <v>Go</v>
      </c>
    </row>
    <row r="8845" customFormat="false" ht="15" hidden="false" customHeight="true" outlineLevel="0" collapsed="false">
      <c r="A8845" s="10" t="n">
        <f aca="false">Einstellungen!$B$5+INT((ROW()-9)/24)</f>
        <v>46334</v>
      </c>
      <c r="B8845" s="11" t="n">
        <f aca="false">MOD(ROW()-9,24)</f>
        <v>4</v>
      </c>
      <c r="C8845" s="12"/>
      <c r="D8845" s="13" t="n">
        <f aca="false">IF(B8845&lt;5,Einstellungen!$B$3,Einstellungen!$B$4)</f>
        <v>15.92</v>
      </c>
      <c r="E8845" s="14" t="str">
        <f aca="false">IF(C8845="","",C8845*D8845/100)</f>
        <v/>
      </c>
      <c r="F8845" s="15" t="str">
        <f aca="false">IF(B8845&lt;5,"Go","Standard")</f>
        <v>Go</v>
      </c>
    </row>
    <row r="8846" customFormat="false" ht="15" hidden="false" customHeight="true" outlineLevel="0" collapsed="false">
      <c r="A8846" s="10" t="n">
        <f aca="false">Einstellungen!$B$5+INT((ROW()-9)/24)</f>
        <v>46334</v>
      </c>
      <c r="B8846" s="11" t="n">
        <f aca="false">MOD(ROW()-9,24)</f>
        <v>5</v>
      </c>
      <c r="C8846" s="12"/>
      <c r="D8846" s="13" t="n">
        <f aca="false">IF(B8846&lt;5,Einstellungen!$B$3,Einstellungen!$B$4)</f>
        <v>29.13</v>
      </c>
      <c r="E8846" s="14" t="str">
        <f aca="false">IF(C8846="","",C8846*D8846/100)</f>
        <v/>
      </c>
      <c r="F8846" s="15" t="str">
        <f aca="false">IF(B8846&lt;5,"Go","Standard")</f>
        <v>Standard</v>
      </c>
    </row>
    <row r="8847" customFormat="false" ht="15" hidden="false" customHeight="true" outlineLevel="0" collapsed="false">
      <c r="A8847" s="10" t="n">
        <f aca="false">Einstellungen!$B$5+INT((ROW()-9)/24)</f>
        <v>46334</v>
      </c>
      <c r="B8847" s="11" t="n">
        <f aca="false">MOD(ROW()-9,24)</f>
        <v>6</v>
      </c>
      <c r="C8847" s="12"/>
      <c r="D8847" s="13" t="n">
        <f aca="false">IF(B8847&lt;5,Einstellungen!$B$3,Einstellungen!$B$4)</f>
        <v>29.13</v>
      </c>
      <c r="E8847" s="14" t="str">
        <f aca="false">IF(C8847="","",C8847*D8847/100)</f>
        <v/>
      </c>
      <c r="F8847" s="15" t="str">
        <f aca="false">IF(B8847&lt;5,"Go","Standard")</f>
        <v>Standard</v>
      </c>
    </row>
    <row r="8848" customFormat="false" ht="15" hidden="false" customHeight="true" outlineLevel="0" collapsed="false">
      <c r="A8848" s="10" t="n">
        <f aca="false">Einstellungen!$B$5+INT((ROW()-9)/24)</f>
        <v>46334</v>
      </c>
      <c r="B8848" s="11" t="n">
        <f aca="false">MOD(ROW()-9,24)</f>
        <v>7</v>
      </c>
      <c r="C8848" s="12"/>
      <c r="D8848" s="13" t="n">
        <f aca="false">IF(B8848&lt;5,Einstellungen!$B$3,Einstellungen!$B$4)</f>
        <v>29.13</v>
      </c>
      <c r="E8848" s="14" t="str">
        <f aca="false">IF(C8848="","",C8848*D8848/100)</f>
        <v/>
      </c>
      <c r="F8848" s="15" t="str">
        <f aca="false">IF(B8848&lt;5,"Go","Standard")</f>
        <v>Standard</v>
      </c>
    </row>
    <row r="8849" customFormat="false" ht="15" hidden="false" customHeight="true" outlineLevel="0" collapsed="false">
      <c r="A8849" s="10" t="n">
        <f aca="false">Einstellungen!$B$5+INT((ROW()-9)/24)</f>
        <v>46334</v>
      </c>
      <c r="B8849" s="11" t="n">
        <f aca="false">MOD(ROW()-9,24)</f>
        <v>8</v>
      </c>
      <c r="C8849" s="12"/>
      <c r="D8849" s="13" t="n">
        <f aca="false">IF(B8849&lt;5,Einstellungen!$B$3,Einstellungen!$B$4)</f>
        <v>29.13</v>
      </c>
      <c r="E8849" s="14" t="str">
        <f aca="false">IF(C8849="","",C8849*D8849/100)</f>
        <v/>
      </c>
      <c r="F8849" s="15" t="str">
        <f aca="false">IF(B8849&lt;5,"Go","Standard")</f>
        <v>Standard</v>
      </c>
    </row>
    <row r="8850" customFormat="false" ht="15" hidden="false" customHeight="true" outlineLevel="0" collapsed="false">
      <c r="A8850" s="10" t="n">
        <f aca="false">Einstellungen!$B$5+INT((ROW()-9)/24)</f>
        <v>46334</v>
      </c>
      <c r="B8850" s="11" t="n">
        <f aca="false">MOD(ROW()-9,24)</f>
        <v>9</v>
      </c>
      <c r="C8850" s="12"/>
      <c r="D8850" s="13" t="n">
        <f aca="false">IF(B8850&lt;5,Einstellungen!$B$3,Einstellungen!$B$4)</f>
        <v>29.13</v>
      </c>
      <c r="E8850" s="14" t="str">
        <f aca="false">IF(C8850="","",C8850*D8850/100)</f>
        <v/>
      </c>
      <c r="F8850" s="15" t="str">
        <f aca="false">IF(B8850&lt;5,"Go","Standard")</f>
        <v>Standard</v>
      </c>
    </row>
    <row r="8851" customFormat="false" ht="15" hidden="false" customHeight="true" outlineLevel="0" collapsed="false">
      <c r="A8851" s="10" t="n">
        <f aca="false">Einstellungen!$B$5+INT((ROW()-9)/24)</f>
        <v>46334</v>
      </c>
      <c r="B8851" s="11" t="n">
        <f aca="false">MOD(ROW()-9,24)</f>
        <v>10</v>
      </c>
      <c r="C8851" s="12"/>
      <c r="D8851" s="13" t="n">
        <f aca="false">IF(B8851&lt;5,Einstellungen!$B$3,Einstellungen!$B$4)</f>
        <v>29.13</v>
      </c>
      <c r="E8851" s="14" t="str">
        <f aca="false">IF(C8851="","",C8851*D8851/100)</f>
        <v/>
      </c>
      <c r="F8851" s="15" t="str">
        <f aca="false">IF(B8851&lt;5,"Go","Standard")</f>
        <v>Standard</v>
      </c>
    </row>
    <row r="8852" customFormat="false" ht="15" hidden="false" customHeight="true" outlineLevel="0" collapsed="false">
      <c r="A8852" s="10" t="n">
        <f aca="false">Einstellungen!$B$5+INT((ROW()-9)/24)</f>
        <v>46334</v>
      </c>
      <c r="B8852" s="11" t="n">
        <f aca="false">MOD(ROW()-9,24)</f>
        <v>11</v>
      </c>
      <c r="C8852" s="12"/>
      <c r="D8852" s="13" t="n">
        <f aca="false">IF(B8852&lt;5,Einstellungen!$B$3,Einstellungen!$B$4)</f>
        <v>29.13</v>
      </c>
      <c r="E8852" s="14" t="str">
        <f aca="false">IF(C8852="","",C8852*D8852/100)</f>
        <v/>
      </c>
      <c r="F8852" s="15" t="str">
        <f aca="false">IF(B8852&lt;5,"Go","Standard")</f>
        <v>Standard</v>
      </c>
    </row>
    <row r="8853" customFormat="false" ht="15" hidden="false" customHeight="true" outlineLevel="0" collapsed="false">
      <c r="A8853" s="10" t="n">
        <f aca="false">Einstellungen!$B$5+INT((ROW()-9)/24)</f>
        <v>46334</v>
      </c>
      <c r="B8853" s="11" t="n">
        <f aca="false">MOD(ROW()-9,24)</f>
        <v>12</v>
      </c>
      <c r="C8853" s="12"/>
      <c r="D8853" s="13" t="n">
        <f aca="false">IF(B8853&lt;5,Einstellungen!$B$3,Einstellungen!$B$4)</f>
        <v>29.13</v>
      </c>
      <c r="E8853" s="14" t="str">
        <f aca="false">IF(C8853="","",C8853*D8853/100)</f>
        <v/>
      </c>
      <c r="F8853" s="15" t="str">
        <f aca="false">IF(B8853&lt;5,"Go","Standard")</f>
        <v>Standard</v>
      </c>
    </row>
    <row r="8854" customFormat="false" ht="15" hidden="false" customHeight="true" outlineLevel="0" collapsed="false">
      <c r="A8854" s="10" t="n">
        <f aca="false">Einstellungen!$B$5+INT((ROW()-9)/24)</f>
        <v>46334</v>
      </c>
      <c r="B8854" s="11" t="n">
        <f aca="false">MOD(ROW()-9,24)</f>
        <v>13</v>
      </c>
      <c r="C8854" s="12"/>
      <c r="D8854" s="13" t="n">
        <f aca="false">IF(B8854&lt;5,Einstellungen!$B$3,Einstellungen!$B$4)</f>
        <v>29.13</v>
      </c>
      <c r="E8854" s="14" t="str">
        <f aca="false">IF(C8854="","",C8854*D8854/100)</f>
        <v/>
      </c>
      <c r="F8854" s="15" t="str">
        <f aca="false">IF(B8854&lt;5,"Go","Standard")</f>
        <v>Standard</v>
      </c>
    </row>
    <row r="8855" customFormat="false" ht="15" hidden="false" customHeight="true" outlineLevel="0" collapsed="false">
      <c r="A8855" s="10" t="n">
        <f aca="false">Einstellungen!$B$5+INT((ROW()-9)/24)</f>
        <v>46334</v>
      </c>
      <c r="B8855" s="11" t="n">
        <f aca="false">MOD(ROW()-9,24)</f>
        <v>14</v>
      </c>
      <c r="C8855" s="12"/>
      <c r="D8855" s="13" t="n">
        <f aca="false">IF(B8855&lt;5,Einstellungen!$B$3,Einstellungen!$B$4)</f>
        <v>29.13</v>
      </c>
      <c r="E8855" s="14" t="str">
        <f aca="false">IF(C8855="","",C8855*D8855/100)</f>
        <v/>
      </c>
      <c r="F8855" s="15" t="str">
        <f aca="false">IF(B8855&lt;5,"Go","Standard")</f>
        <v>Standard</v>
      </c>
    </row>
    <row r="8856" customFormat="false" ht="15" hidden="false" customHeight="true" outlineLevel="0" collapsed="false">
      <c r="A8856" s="10" t="n">
        <f aca="false">Einstellungen!$B$5+INT((ROW()-9)/24)</f>
        <v>46334</v>
      </c>
      <c r="B8856" s="11" t="n">
        <f aca="false">MOD(ROW()-9,24)</f>
        <v>15</v>
      </c>
      <c r="C8856" s="12"/>
      <c r="D8856" s="13" t="n">
        <f aca="false">IF(B8856&lt;5,Einstellungen!$B$3,Einstellungen!$B$4)</f>
        <v>29.13</v>
      </c>
      <c r="E8856" s="14" t="str">
        <f aca="false">IF(C8856="","",C8856*D8856/100)</f>
        <v/>
      </c>
      <c r="F8856" s="15" t="str">
        <f aca="false">IF(B8856&lt;5,"Go","Standard")</f>
        <v>Standard</v>
      </c>
    </row>
    <row r="8857" customFormat="false" ht="15" hidden="false" customHeight="true" outlineLevel="0" collapsed="false">
      <c r="A8857" s="10" t="n">
        <f aca="false">Einstellungen!$B$5+INT((ROW()-9)/24)</f>
        <v>46334</v>
      </c>
      <c r="B8857" s="11" t="n">
        <f aca="false">MOD(ROW()-9,24)</f>
        <v>16</v>
      </c>
      <c r="C8857" s="12"/>
      <c r="D8857" s="13" t="n">
        <f aca="false">IF(B8857&lt;5,Einstellungen!$B$3,Einstellungen!$B$4)</f>
        <v>29.13</v>
      </c>
      <c r="E8857" s="14" t="str">
        <f aca="false">IF(C8857="","",C8857*D8857/100)</f>
        <v/>
      </c>
      <c r="F8857" s="15" t="str">
        <f aca="false">IF(B8857&lt;5,"Go","Standard")</f>
        <v>Standard</v>
      </c>
    </row>
    <row r="8858" customFormat="false" ht="15" hidden="false" customHeight="true" outlineLevel="0" collapsed="false">
      <c r="A8858" s="10" t="n">
        <f aca="false">Einstellungen!$B$5+INT((ROW()-9)/24)</f>
        <v>46334</v>
      </c>
      <c r="B8858" s="11" t="n">
        <f aca="false">MOD(ROW()-9,24)</f>
        <v>17</v>
      </c>
      <c r="C8858" s="12"/>
      <c r="D8858" s="13" t="n">
        <f aca="false">IF(B8858&lt;5,Einstellungen!$B$3,Einstellungen!$B$4)</f>
        <v>29.13</v>
      </c>
      <c r="E8858" s="14" t="str">
        <f aca="false">IF(C8858="","",C8858*D8858/100)</f>
        <v/>
      </c>
      <c r="F8858" s="15" t="str">
        <f aca="false">IF(B8858&lt;5,"Go","Standard")</f>
        <v>Standard</v>
      </c>
    </row>
    <row r="8859" customFormat="false" ht="15" hidden="false" customHeight="true" outlineLevel="0" collapsed="false">
      <c r="A8859" s="10" t="n">
        <f aca="false">Einstellungen!$B$5+INT((ROW()-9)/24)</f>
        <v>46334</v>
      </c>
      <c r="B8859" s="11" t="n">
        <f aca="false">MOD(ROW()-9,24)</f>
        <v>18</v>
      </c>
      <c r="C8859" s="12"/>
      <c r="D8859" s="13" t="n">
        <f aca="false">IF(B8859&lt;5,Einstellungen!$B$3,Einstellungen!$B$4)</f>
        <v>29.13</v>
      </c>
      <c r="E8859" s="14" t="str">
        <f aca="false">IF(C8859="","",C8859*D8859/100)</f>
        <v/>
      </c>
      <c r="F8859" s="15" t="str">
        <f aca="false">IF(B8859&lt;5,"Go","Standard")</f>
        <v>Standard</v>
      </c>
    </row>
    <row r="8860" customFormat="false" ht="15" hidden="false" customHeight="true" outlineLevel="0" collapsed="false">
      <c r="A8860" s="10" t="n">
        <f aca="false">Einstellungen!$B$5+INT((ROW()-9)/24)</f>
        <v>46334</v>
      </c>
      <c r="B8860" s="11" t="n">
        <f aca="false">MOD(ROW()-9,24)</f>
        <v>19</v>
      </c>
      <c r="C8860" s="12"/>
      <c r="D8860" s="13" t="n">
        <f aca="false">IF(B8860&lt;5,Einstellungen!$B$3,Einstellungen!$B$4)</f>
        <v>29.13</v>
      </c>
      <c r="E8860" s="14" t="str">
        <f aca="false">IF(C8860="","",C8860*D8860/100)</f>
        <v/>
      </c>
      <c r="F8860" s="15" t="str">
        <f aca="false">IF(B8860&lt;5,"Go","Standard")</f>
        <v>Standard</v>
      </c>
    </row>
    <row r="8861" customFormat="false" ht="15" hidden="false" customHeight="true" outlineLevel="0" collapsed="false">
      <c r="A8861" s="10" t="n">
        <f aca="false">Einstellungen!$B$5+INT((ROW()-9)/24)</f>
        <v>46334</v>
      </c>
      <c r="B8861" s="11" t="n">
        <f aca="false">MOD(ROW()-9,24)</f>
        <v>20</v>
      </c>
      <c r="C8861" s="12"/>
      <c r="D8861" s="13" t="n">
        <f aca="false">IF(B8861&lt;5,Einstellungen!$B$3,Einstellungen!$B$4)</f>
        <v>29.13</v>
      </c>
      <c r="E8861" s="14" t="str">
        <f aca="false">IF(C8861="","",C8861*D8861/100)</f>
        <v/>
      </c>
      <c r="F8861" s="15" t="str">
        <f aca="false">IF(B8861&lt;5,"Go","Standard")</f>
        <v>Standard</v>
      </c>
    </row>
    <row r="8862" customFormat="false" ht="15" hidden="false" customHeight="true" outlineLevel="0" collapsed="false">
      <c r="A8862" s="10" t="n">
        <f aca="false">Einstellungen!$B$5+INT((ROW()-9)/24)</f>
        <v>46334</v>
      </c>
      <c r="B8862" s="11" t="n">
        <f aca="false">MOD(ROW()-9,24)</f>
        <v>21</v>
      </c>
      <c r="C8862" s="12"/>
      <c r="D8862" s="13" t="n">
        <f aca="false">IF(B8862&lt;5,Einstellungen!$B$3,Einstellungen!$B$4)</f>
        <v>29.13</v>
      </c>
      <c r="E8862" s="14" t="str">
        <f aca="false">IF(C8862="","",C8862*D8862/100)</f>
        <v/>
      </c>
      <c r="F8862" s="15" t="str">
        <f aca="false">IF(B8862&lt;5,"Go","Standard")</f>
        <v>Standard</v>
      </c>
    </row>
    <row r="8863" customFormat="false" ht="15" hidden="false" customHeight="true" outlineLevel="0" collapsed="false">
      <c r="A8863" s="10" t="n">
        <f aca="false">Einstellungen!$B$5+INT((ROW()-9)/24)</f>
        <v>46334</v>
      </c>
      <c r="B8863" s="11" t="n">
        <f aca="false">MOD(ROW()-9,24)</f>
        <v>22</v>
      </c>
      <c r="C8863" s="12"/>
      <c r="D8863" s="13" t="n">
        <f aca="false">IF(B8863&lt;5,Einstellungen!$B$3,Einstellungen!$B$4)</f>
        <v>29.13</v>
      </c>
      <c r="E8863" s="14" t="str">
        <f aca="false">IF(C8863="","",C8863*D8863/100)</f>
        <v/>
      </c>
      <c r="F8863" s="15" t="str">
        <f aca="false">IF(B8863&lt;5,"Go","Standard")</f>
        <v>Standard</v>
      </c>
    </row>
    <row r="8864" customFormat="false" ht="15" hidden="false" customHeight="true" outlineLevel="0" collapsed="false">
      <c r="A8864" s="10" t="n">
        <f aca="false">Einstellungen!$B$5+INT((ROW()-9)/24)</f>
        <v>46334</v>
      </c>
      <c r="B8864" s="11" t="n">
        <f aca="false">MOD(ROW()-9,24)</f>
        <v>23</v>
      </c>
      <c r="C8864" s="12"/>
      <c r="D8864" s="13" t="n">
        <f aca="false">IF(B8864&lt;5,Einstellungen!$B$3,Einstellungen!$B$4)</f>
        <v>29.13</v>
      </c>
      <c r="E8864" s="14" t="str">
        <f aca="false">IF(C8864="","",C8864*D8864/100)</f>
        <v/>
      </c>
      <c r="F8864" s="15" t="str">
        <f aca="false">IF(B8864&lt;5,"Go","Standard")</f>
        <v>Standard</v>
      </c>
    </row>
    <row r="8865" customFormat="false" ht="15" hidden="false" customHeight="true" outlineLevel="0" collapsed="false">
      <c r="A8865" s="10" t="n">
        <f aca="false">Einstellungen!$B$5+INT((ROW()-9)/24)</f>
        <v>46335</v>
      </c>
      <c r="B8865" s="11" t="n">
        <f aca="false">MOD(ROW()-9,24)</f>
        <v>0</v>
      </c>
      <c r="C8865" s="12"/>
      <c r="D8865" s="13" t="n">
        <f aca="false">IF(B8865&lt;5,Einstellungen!$B$3,Einstellungen!$B$4)</f>
        <v>15.92</v>
      </c>
      <c r="E8865" s="14" t="str">
        <f aca="false">IF(C8865="","",C8865*D8865/100)</f>
        <v/>
      </c>
      <c r="F8865" s="15" t="str">
        <f aca="false">IF(B8865&lt;5,"Go","Standard")</f>
        <v>Go</v>
      </c>
    </row>
    <row r="8866" customFormat="false" ht="15" hidden="false" customHeight="true" outlineLevel="0" collapsed="false">
      <c r="A8866" s="10" t="n">
        <f aca="false">Einstellungen!$B$5+INT((ROW()-9)/24)</f>
        <v>46335</v>
      </c>
      <c r="B8866" s="11" t="n">
        <f aca="false">MOD(ROW()-9,24)</f>
        <v>1</v>
      </c>
      <c r="C8866" s="12"/>
      <c r="D8866" s="13" t="n">
        <f aca="false">IF(B8866&lt;5,Einstellungen!$B$3,Einstellungen!$B$4)</f>
        <v>15.92</v>
      </c>
      <c r="E8866" s="14" t="str">
        <f aca="false">IF(C8866="","",C8866*D8866/100)</f>
        <v/>
      </c>
      <c r="F8866" s="15" t="str">
        <f aca="false">IF(B8866&lt;5,"Go","Standard")</f>
        <v>Go</v>
      </c>
    </row>
    <row r="8867" customFormat="false" ht="15" hidden="false" customHeight="true" outlineLevel="0" collapsed="false">
      <c r="A8867" s="10" t="n">
        <f aca="false">Einstellungen!$B$5+INT((ROW()-9)/24)</f>
        <v>46335</v>
      </c>
      <c r="B8867" s="11" t="n">
        <f aca="false">MOD(ROW()-9,24)</f>
        <v>2</v>
      </c>
      <c r="C8867" s="12"/>
      <c r="D8867" s="13" t="n">
        <f aca="false">IF(B8867&lt;5,Einstellungen!$B$3,Einstellungen!$B$4)</f>
        <v>15.92</v>
      </c>
      <c r="E8867" s="14" t="str">
        <f aca="false">IF(C8867="","",C8867*D8867/100)</f>
        <v/>
      </c>
      <c r="F8867" s="15" t="str">
        <f aca="false">IF(B8867&lt;5,"Go","Standard")</f>
        <v>Go</v>
      </c>
    </row>
    <row r="8868" customFormat="false" ht="15" hidden="false" customHeight="true" outlineLevel="0" collapsed="false">
      <c r="A8868" s="10" t="n">
        <f aca="false">Einstellungen!$B$5+INT((ROW()-9)/24)</f>
        <v>46335</v>
      </c>
      <c r="B8868" s="11" t="n">
        <f aca="false">MOD(ROW()-9,24)</f>
        <v>3</v>
      </c>
      <c r="C8868" s="12"/>
      <c r="D8868" s="13" t="n">
        <f aca="false">IF(B8868&lt;5,Einstellungen!$B$3,Einstellungen!$B$4)</f>
        <v>15.92</v>
      </c>
      <c r="E8868" s="14" t="str">
        <f aca="false">IF(C8868="","",C8868*D8868/100)</f>
        <v/>
      </c>
      <c r="F8868" s="15" t="str">
        <f aca="false">IF(B8868&lt;5,"Go","Standard")</f>
        <v>Go</v>
      </c>
    </row>
    <row r="8869" customFormat="false" ht="15" hidden="false" customHeight="true" outlineLevel="0" collapsed="false">
      <c r="A8869" s="10" t="n">
        <f aca="false">Einstellungen!$B$5+INT((ROW()-9)/24)</f>
        <v>46335</v>
      </c>
      <c r="B8869" s="11" t="n">
        <f aca="false">MOD(ROW()-9,24)</f>
        <v>4</v>
      </c>
      <c r="C8869" s="12"/>
      <c r="D8869" s="13" t="n">
        <f aca="false">IF(B8869&lt;5,Einstellungen!$B$3,Einstellungen!$B$4)</f>
        <v>15.92</v>
      </c>
      <c r="E8869" s="14" t="str">
        <f aca="false">IF(C8869="","",C8869*D8869/100)</f>
        <v/>
      </c>
      <c r="F8869" s="15" t="str">
        <f aca="false">IF(B8869&lt;5,"Go","Standard")</f>
        <v>Go</v>
      </c>
    </row>
    <row r="8870" customFormat="false" ht="15" hidden="false" customHeight="true" outlineLevel="0" collapsed="false">
      <c r="A8870" s="10" t="n">
        <f aca="false">Einstellungen!$B$5+INT((ROW()-9)/24)</f>
        <v>46335</v>
      </c>
      <c r="B8870" s="11" t="n">
        <f aca="false">MOD(ROW()-9,24)</f>
        <v>5</v>
      </c>
      <c r="C8870" s="12"/>
      <c r="D8870" s="13" t="n">
        <f aca="false">IF(B8870&lt;5,Einstellungen!$B$3,Einstellungen!$B$4)</f>
        <v>29.13</v>
      </c>
      <c r="E8870" s="14" t="str">
        <f aca="false">IF(C8870="","",C8870*D8870/100)</f>
        <v/>
      </c>
      <c r="F8870" s="15" t="str">
        <f aca="false">IF(B8870&lt;5,"Go","Standard")</f>
        <v>Standard</v>
      </c>
    </row>
    <row r="8871" customFormat="false" ht="15" hidden="false" customHeight="true" outlineLevel="0" collapsed="false">
      <c r="A8871" s="10" t="n">
        <f aca="false">Einstellungen!$B$5+INT((ROW()-9)/24)</f>
        <v>46335</v>
      </c>
      <c r="B8871" s="11" t="n">
        <f aca="false">MOD(ROW()-9,24)</f>
        <v>6</v>
      </c>
      <c r="C8871" s="12"/>
      <c r="D8871" s="13" t="n">
        <f aca="false">IF(B8871&lt;5,Einstellungen!$B$3,Einstellungen!$B$4)</f>
        <v>29.13</v>
      </c>
      <c r="E8871" s="14" t="str">
        <f aca="false">IF(C8871="","",C8871*D8871/100)</f>
        <v/>
      </c>
      <c r="F8871" s="15" t="str">
        <f aca="false">IF(B8871&lt;5,"Go","Standard")</f>
        <v>Standard</v>
      </c>
    </row>
    <row r="8872" customFormat="false" ht="15" hidden="false" customHeight="true" outlineLevel="0" collapsed="false">
      <c r="A8872" s="10" t="n">
        <f aca="false">Einstellungen!$B$5+INT((ROW()-9)/24)</f>
        <v>46335</v>
      </c>
      <c r="B8872" s="11" t="n">
        <f aca="false">MOD(ROW()-9,24)</f>
        <v>7</v>
      </c>
      <c r="C8872" s="12"/>
      <c r="D8872" s="13" t="n">
        <f aca="false">IF(B8872&lt;5,Einstellungen!$B$3,Einstellungen!$B$4)</f>
        <v>29.13</v>
      </c>
      <c r="E8872" s="14" t="str">
        <f aca="false">IF(C8872="","",C8872*D8872/100)</f>
        <v/>
      </c>
      <c r="F8872" s="15" t="str">
        <f aca="false">IF(B8872&lt;5,"Go","Standard")</f>
        <v>Standard</v>
      </c>
    </row>
    <row r="8873" customFormat="false" ht="15" hidden="false" customHeight="true" outlineLevel="0" collapsed="false">
      <c r="A8873" s="10" t="n">
        <f aca="false">Einstellungen!$B$5+INT((ROW()-9)/24)</f>
        <v>46335</v>
      </c>
      <c r="B8873" s="11" t="n">
        <f aca="false">MOD(ROW()-9,24)</f>
        <v>8</v>
      </c>
      <c r="C8873" s="12"/>
      <c r="D8873" s="13" t="n">
        <f aca="false">IF(B8873&lt;5,Einstellungen!$B$3,Einstellungen!$B$4)</f>
        <v>29.13</v>
      </c>
      <c r="E8873" s="14" t="str">
        <f aca="false">IF(C8873="","",C8873*D8873/100)</f>
        <v/>
      </c>
      <c r="F8873" s="15" t="str">
        <f aca="false">IF(B8873&lt;5,"Go","Standard")</f>
        <v>Standard</v>
      </c>
    </row>
    <row r="8874" customFormat="false" ht="15" hidden="false" customHeight="true" outlineLevel="0" collapsed="false">
      <c r="A8874" s="10" t="n">
        <f aca="false">Einstellungen!$B$5+INT((ROW()-9)/24)</f>
        <v>46335</v>
      </c>
      <c r="B8874" s="11" t="n">
        <f aca="false">MOD(ROW()-9,24)</f>
        <v>9</v>
      </c>
      <c r="C8874" s="12"/>
      <c r="D8874" s="13" t="n">
        <f aca="false">IF(B8874&lt;5,Einstellungen!$B$3,Einstellungen!$B$4)</f>
        <v>29.13</v>
      </c>
      <c r="E8874" s="14" t="str">
        <f aca="false">IF(C8874="","",C8874*D8874/100)</f>
        <v/>
      </c>
      <c r="F8874" s="15" t="str">
        <f aca="false">IF(B8874&lt;5,"Go","Standard")</f>
        <v>Standard</v>
      </c>
    </row>
    <row r="8875" customFormat="false" ht="15" hidden="false" customHeight="true" outlineLevel="0" collapsed="false">
      <c r="A8875" s="10" t="n">
        <f aca="false">Einstellungen!$B$5+INT((ROW()-9)/24)</f>
        <v>46335</v>
      </c>
      <c r="B8875" s="11" t="n">
        <f aca="false">MOD(ROW()-9,24)</f>
        <v>10</v>
      </c>
      <c r="C8875" s="12"/>
      <c r="D8875" s="13" t="n">
        <f aca="false">IF(B8875&lt;5,Einstellungen!$B$3,Einstellungen!$B$4)</f>
        <v>29.13</v>
      </c>
      <c r="E8875" s="14" t="str">
        <f aca="false">IF(C8875="","",C8875*D8875/100)</f>
        <v/>
      </c>
      <c r="F8875" s="15" t="str">
        <f aca="false">IF(B8875&lt;5,"Go","Standard")</f>
        <v>Standard</v>
      </c>
    </row>
    <row r="8876" customFormat="false" ht="15" hidden="false" customHeight="true" outlineLevel="0" collapsed="false">
      <c r="A8876" s="10" t="n">
        <f aca="false">Einstellungen!$B$5+INT((ROW()-9)/24)</f>
        <v>46335</v>
      </c>
      <c r="B8876" s="11" t="n">
        <f aca="false">MOD(ROW()-9,24)</f>
        <v>11</v>
      </c>
      <c r="C8876" s="12"/>
      <c r="D8876" s="13" t="n">
        <f aca="false">IF(B8876&lt;5,Einstellungen!$B$3,Einstellungen!$B$4)</f>
        <v>29.13</v>
      </c>
      <c r="E8876" s="14" t="str">
        <f aca="false">IF(C8876="","",C8876*D8876/100)</f>
        <v/>
      </c>
      <c r="F8876" s="15" t="str">
        <f aca="false">IF(B8876&lt;5,"Go","Standard")</f>
        <v>Standard</v>
      </c>
    </row>
    <row r="8877" customFormat="false" ht="15" hidden="false" customHeight="true" outlineLevel="0" collapsed="false">
      <c r="A8877" s="10" t="n">
        <f aca="false">Einstellungen!$B$5+INT((ROW()-9)/24)</f>
        <v>46335</v>
      </c>
      <c r="B8877" s="11" t="n">
        <f aca="false">MOD(ROW()-9,24)</f>
        <v>12</v>
      </c>
      <c r="C8877" s="12"/>
      <c r="D8877" s="13" t="n">
        <f aca="false">IF(B8877&lt;5,Einstellungen!$B$3,Einstellungen!$B$4)</f>
        <v>29.13</v>
      </c>
      <c r="E8877" s="14" t="str">
        <f aca="false">IF(C8877="","",C8877*D8877/100)</f>
        <v/>
      </c>
      <c r="F8877" s="15" t="str">
        <f aca="false">IF(B8877&lt;5,"Go","Standard")</f>
        <v>Standard</v>
      </c>
    </row>
    <row r="8878" customFormat="false" ht="15" hidden="false" customHeight="true" outlineLevel="0" collapsed="false">
      <c r="A8878" s="10" t="n">
        <f aca="false">Einstellungen!$B$5+INT((ROW()-9)/24)</f>
        <v>46335</v>
      </c>
      <c r="B8878" s="11" t="n">
        <f aca="false">MOD(ROW()-9,24)</f>
        <v>13</v>
      </c>
      <c r="C8878" s="12"/>
      <c r="D8878" s="13" t="n">
        <f aca="false">IF(B8878&lt;5,Einstellungen!$B$3,Einstellungen!$B$4)</f>
        <v>29.13</v>
      </c>
      <c r="E8878" s="14" t="str">
        <f aca="false">IF(C8878="","",C8878*D8878/100)</f>
        <v/>
      </c>
      <c r="F8878" s="15" t="str">
        <f aca="false">IF(B8878&lt;5,"Go","Standard")</f>
        <v>Standard</v>
      </c>
    </row>
    <row r="8879" customFormat="false" ht="15" hidden="false" customHeight="true" outlineLevel="0" collapsed="false">
      <c r="A8879" s="10" t="n">
        <f aca="false">Einstellungen!$B$5+INT((ROW()-9)/24)</f>
        <v>46335</v>
      </c>
      <c r="B8879" s="11" t="n">
        <f aca="false">MOD(ROW()-9,24)</f>
        <v>14</v>
      </c>
      <c r="C8879" s="12"/>
      <c r="D8879" s="13" t="n">
        <f aca="false">IF(B8879&lt;5,Einstellungen!$B$3,Einstellungen!$B$4)</f>
        <v>29.13</v>
      </c>
      <c r="E8879" s="14" t="str">
        <f aca="false">IF(C8879="","",C8879*D8879/100)</f>
        <v/>
      </c>
      <c r="F8879" s="15" t="str">
        <f aca="false">IF(B8879&lt;5,"Go","Standard")</f>
        <v>Standard</v>
      </c>
    </row>
    <row r="8880" customFormat="false" ht="15" hidden="false" customHeight="true" outlineLevel="0" collapsed="false">
      <c r="A8880" s="10" t="n">
        <f aca="false">Einstellungen!$B$5+INT((ROW()-9)/24)</f>
        <v>46335</v>
      </c>
      <c r="B8880" s="11" t="n">
        <f aca="false">MOD(ROW()-9,24)</f>
        <v>15</v>
      </c>
      <c r="C8880" s="12"/>
      <c r="D8880" s="13" t="n">
        <f aca="false">IF(B8880&lt;5,Einstellungen!$B$3,Einstellungen!$B$4)</f>
        <v>29.13</v>
      </c>
      <c r="E8880" s="14" t="str">
        <f aca="false">IF(C8880="","",C8880*D8880/100)</f>
        <v/>
      </c>
      <c r="F8880" s="15" t="str">
        <f aca="false">IF(B8880&lt;5,"Go","Standard")</f>
        <v>Standard</v>
      </c>
    </row>
    <row r="8881" customFormat="false" ht="15" hidden="false" customHeight="true" outlineLevel="0" collapsed="false">
      <c r="A8881" s="10" t="n">
        <f aca="false">Einstellungen!$B$5+INT((ROW()-9)/24)</f>
        <v>46335</v>
      </c>
      <c r="B8881" s="11" t="n">
        <f aca="false">MOD(ROW()-9,24)</f>
        <v>16</v>
      </c>
      <c r="C8881" s="12"/>
      <c r="D8881" s="13" t="n">
        <f aca="false">IF(B8881&lt;5,Einstellungen!$B$3,Einstellungen!$B$4)</f>
        <v>29.13</v>
      </c>
      <c r="E8881" s="14" t="str">
        <f aca="false">IF(C8881="","",C8881*D8881/100)</f>
        <v/>
      </c>
      <c r="F8881" s="15" t="str">
        <f aca="false">IF(B8881&lt;5,"Go","Standard")</f>
        <v>Standard</v>
      </c>
    </row>
    <row r="8882" customFormat="false" ht="15" hidden="false" customHeight="true" outlineLevel="0" collapsed="false">
      <c r="A8882" s="10" t="n">
        <f aca="false">Einstellungen!$B$5+INT((ROW()-9)/24)</f>
        <v>46335</v>
      </c>
      <c r="B8882" s="11" t="n">
        <f aca="false">MOD(ROW()-9,24)</f>
        <v>17</v>
      </c>
      <c r="C8882" s="12"/>
      <c r="D8882" s="13" t="n">
        <f aca="false">IF(B8882&lt;5,Einstellungen!$B$3,Einstellungen!$B$4)</f>
        <v>29.13</v>
      </c>
      <c r="E8882" s="14" t="str">
        <f aca="false">IF(C8882="","",C8882*D8882/100)</f>
        <v/>
      </c>
      <c r="F8882" s="15" t="str">
        <f aca="false">IF(B8882&lt;5,"Go","Standard")</f>
        <v>Standard</v>
      </c>
    </row>
    <row r="8883" customFormat="false" ht="15" hidden="false" customHeight="true" outlineLevel="0" collapsed="false">
      <c r="A8883" s="10" t="n">
        <f aca="false">Einstellungen!$B$5+INT((ROW()-9)/24)</f>
        <v>46335</v>
      </c>
      <c r="B8883" s="11" t="n">
        <f aca="false">MOD(ROW()-9,24)</f>
        <v>18</v>
      </c>
      <c r="C8883" s="12"/>
      <c r="D8883" s="13" t="n">
        <f aca="false">IF(B8883&lt;5,Einstellungen!$B$3,Einstellungen!$B$4)</f>
        <v>29.13</v>
      </c>
      <c r="E8883" s="14" t="str">
        <f aca="false">IF(C8883="","",C8883*D8883/100)</f>
        <v/>
      </c>
      <c r="F8883" s="15" t="str">
        <f aca="false">IF(B8883&lt;5,"Go","Standard")</f>
        <v>Standard</v>
      </c>
    </row>
    <row r="8884" customFormat="false" ht="15" hidden="false" customHeight="true" outlineLevel="0" collapsed="false">
      <c r="A8884" s="10" t="n">
        <f aca="false">Einstellungen!$B$5+INT((ROW()-9)/24)</f>
        <v>46335</v>
      </c>
      <c r="B8884" s="11" t="n">
        <f aca="false">MOD(ROW()-9,24)</f>
        <v>19</v>
      </c>
      <c r="C8884" s="12"/>
      <c r="D8884" s="13" t="n">
        <f aca="false">IF(B8884&lt;5,Einstellungen!$B$3,Einstellungen!$B$4)</f>
        <v>29.13</v>
      </c>
      <c r="E8884" s="14" t="str">
        <f aca="false">IF(C8884="","",C8884*D8884/100)</f>
        <v/>
      </c>
      <c r="F8884" s="15" t="str">
        <f aca="false">IF(B8884&lt;5,"Go","Standard")</f>
        <v>Standard</v>
      </c>
    </row>
    <row r="8885" customFormat="false" ht="15" hidden="false" customHeight="true" outlineLevel="0" collapsed="false">
      <c r="A8885" s="10" t="n">
        <f aca="false">Einstellungen!$B$5+INT((ROW()-9)/24)</f>
        <v>46335</v>
      </c>
      <c r="B8885" s="11" t="n">
        <f aca="false">MOD(ROW()-9,24)</f>
        <v>20</v>
      </c>
      <c r="C8885" s="12"/>
      <c r="D8885" s="13" t="n">
        <f aca="false">IF(B8885&lt;5,Einstellungen!$B$3,Einstellungen!$B$4)</f>
        <v>29.13</v>
      </c>
      <c r="E8885" s="14" t="str">
        <f aca="false">IF(C8885="","",C8885*D8885/100)</f>
        <v/>
      </c>
      <c r="F8885" s="15" t="str">
        <f aca="false">IF(B8885&lt;5,"Go","Standard")</f>
        <v>Standard</v>
      </c>
    </row>
    <row r="8886" customFormat="false" ht="15" hidden="false" customHeight="true" outlineLevel="0" collapsed="false">
      <c r="A8886" s="10" t="n">
        <f aca="false">Einstellungen!$B$5+INT((ROW()-9)/24)</f>
        <v>46335</v>
      </c>
      <c r="B8886" s="11" t="n">
        <f aca="false">MOD(ROW()-9,24)</f>
        <v>21</v>
      </c>
      <c r="C8886" s="12"/>
      <c r="D8886" s="13" t="n">
        <f aca="false">IF(B8886&lt;5,Einstellungen!$B$3,Einstellungen!$B$4)</f>
        <v>29.13</v>
      </c>
      <c r="E8886" s="14" t="str">
        <f aca="false">IF(C8886="","",C8886*D8886/100)</f>
        <v/>
      </c>
      <c r="F8886" s="15" t="str">
        <f aca="false">IF(B8886&lt;5,"Go","Standard")</f>
        <v>Standard</v>
      </c>
    </row>
    <row r="8887" customFormat="false" ht="15" hidden="false" customHeight="true" outlineLevel="0" collapsed="false">
      <c r="A8887" s="10" t="n">
        <f aca="false">Einstellungen!$B$5+INT((ROW()-9)/24)</f>
        <v>46335</v>
      </c>
      <c r="B8887" s="11" t="n">
        <f aca="false">MOD(ROW()-9,24)</f>
        <v>22</v>
      </c>
      <c r="C8887" s="12"/>
      <c r="D8887" s="13" t="n">
        <f aca="false">IF(B8887&lt;5,Einstellungen!$B$3,Einstellungen!$B$4)</f>
        <v>29.13</v>
      </c>
      <c r="E8887" s="14" t="str">
        <f aca="false">IF(C8887="","",C8887*D8887/100)</f>
        <v/>
      </c>
      <c r="F8887" s="15" t="str">
        <f aca="false">IF(B8887&lt;5,"Go","Standard")</f>
        <v>Standard</v>
      </c>
    </row>
    <row r="8888" customFormat="false" ht="15" hidden="false" customHeight="true" outlineLevel="0" collapsed="false">
      <c r="A8888" s="10" t="n">
        <f aca="false">Einstellungen!$B$5+INT((ROW()-9)/24)</f>
        <v>46335</v>
      </c>
      <c r="B8888" s="11" t="n">
        <f aca="false">MOD(ROW()-9,24)</f>
        <v>23</v>
      </c>
      <c r="C8888" s="12"/>
      <c r="D8888" s="13" t="n">
        <f aca="false">IF(B8888&lt;5,Einstellungen!$B$3,Einstellungen!$B$4)</f>
        <v>29.13</v>
      </c>
      <c r="E8888" s="14" t="str">
        <f aca="false">IF(C8888="","",C8888*D8888/100)</f>
        <v/>
      </c>
      <c r="F8888" s="15" t="str">
        <f aca="false">IF(B8888&lt;5,"Go","Standard")</f>
        <v>Standard</v>
      </c>
    </row>
    <row r="8889" customFormat="false" ht="15" hidden="false" customHeight="true" outlineLevel="0" collapsed="false">
      <c r="A8889" s="10" t="n">
        <f aca="false">Einstellungen!$B$5+INT((ROW()-9)/24)</f>
        <v>46336</v>
      </c>
      <c r="B8889" s="11" t="n">
        <f aca="false">MOD(ROW()-9,24)</f>
        <v>0</v>
      </c>
      <c r="C8889" s="12"/>
      <c r="D8889" s="13" t="n">
        <f aca="false">IF(B8889&lt;5,Einstellungen!$B$3,Einstellungen!$B$4)</f>
        <v>15.92</v>
      </c>
      <c r="E8889" s="14" t="str">
        <f aca="false">IF(C8889="","",C8889*D8889/100)</f>
        <v/>
      </c>
      <c r="F8889" s="15" t="str">
        <f aca="false">IF(B8889&lt;5,"Go","Standard")</f>
        <v>Go</v>
      </c>
    </row>
    <row r="8890" customFormat="false" ht="15" hidden="false" customHeight="true" outlineLevel="0" collapsed="false">
      <c r="A8890" s="10" t="n">
        <f aca="false">Einstellungen!$B$5+INT((ROW()-9)/24)</f>
        <v>46336</v>
      </c>
      <c r="B8890" s="11" t="n">
        <f aca="false">MOD(ROW()-9,24)</f>
        <v>1</v>
      </c>
      <c r="C8890" s="12"/>
      <c r="D8890" s="13" t="n">
        <f aca="false">IF(B8890&lt;5,Einstellungen!$B$3,Einstellungen!$B$4)</f>
        <v>15.92</v>
      </c>
      <c r="E8890" s="14" t="str">
        <f aca="false">IF(C8890="","",C8890*D8890/100)</f>
        <v/>
      </c>
      <c r="F8890" s="15" t="str">
        <f aca="false">IF(B8890&lt;5,"Go","Standard")</f>
        <v>Go</v>
      </c>
    </row>
    <row r="8891" customFormat="false" ht="15" hidden="false" customHeight="true" outlineLevel="0" collapsed="false">
      <c r="A8891" s="10" t="n">
        <f aca="false">Einstellungen!$B$5+INT((ROW()-9)/24)</f>
        <v>46336</v>
      </c>
      <c r="B8891" s="11" t="n">
        <f aca="false">MOD(ROW()-9,24)</f>
        <v>2</v>
      </c>
      <c r="C8891" s="12"/>
      <c r="D8891" s="13" t="n">
        <f aca="false">IF(B8891&lt;5,Einstellungen!$B$3,Einstellungen!$B$4)</f>
        <v>15.92</v>
      </c>
      <c r="E8891" s="14" t="str">
        <f aca="false">IF(C8891="","",C8891*D8891/100)</f>
        <v/>
      </c>
      <c r="F8891" s="15" t="str">
        <f aca="false">IF(B8891&lt;5,"Go","Standard")</f>
        <v>Go</v>
      </c>
    </row>
    <row r="8892" customFormat="false" ht="15" hidden="false" customHeight="true" outlineLevel="0" collapsed="false">
      <c r="A8892" s="10" t="n">
        <f aca="false">Einstellungen!$B$5+INT((ROW()-9)/24)</f>
        <v>46336</v>
      </c>
      <c r="B8892" s="11" t="n">
        <f aca="false">MOD(ROW()-9,24)</f>
        <v>3</v>
      </c>
      <c r="C8892" s="12"/>
      <c r="D8892" s="13" t="n">
        <f aca="false">IF(B8892&lt;5,Einstellungen!$B$3,Einstellungen!$B$4)</f>
        <v>15.92</v>
      </c>
      <c r="E8892" s="14" t="str">
        <f aca="false">IF(C8892="","",C8892*D8892/100)</f>
        <v/>
      </c>
      <c r="F8892" s="15" t="str">
        <f aca="false">IF(B8892&lt;5,"Go","Standard")</f>
        <v>Go</v>
      </c>
    </row>
    <row r="8893" customFormat="false" ht="15" hidden="false" customHeight="true" outlineLevel="0" collapsed="false">
      <c r="A8893" s="10" t="n">
        <f aca="false">Einstellungen!$B$5+INT((ROW()-9)/24)</f>
        <v>46336</v>
      </c>
      <c r="B8893" s="11" t="n">
        <f aca="false">MOD(ROW()-9,24)</f>
        <v>4</v>
      </c>
      <c r="C8893" s="12"/>
      <c r="D8893" s="13" t="n">
        <f aca="false">IF(B8893&lt;5,Einstellungen!$B$3,Einstellungen!$B$4)</f>
        <v>15.92</v>
      </c>
      <c r="E8893" s="14" t="str">
        <f aca="false">IF(C8893="","",C8893*D8893/100)</f>
        <v/>
      </c>
      <c r="F8893" s="15" t="str">
        <f aca="false">IF(B8893&lt;5,"Go","Standard")</f>
        <v>Go</v>
      </c>
    </row>
    <row r="8894" customFormat="false" ht="15" hidden="false" customHeight="true" outlineLevel="0" collapsed="false">
      <c r="A8894" s="10" t="n">
        <f aca="false">Einstellungen!$B$5+INT((ROW()-9)/24)</f>
        <v>46336</v>
      </c>
      <c r="B8894" s="11" t="n">
        <f aca="false">MOD(ROW()-9,24)</f>
        <v>5</v>
      </c>
      <c r="C8894" s="12"/>
      <c r="D8894" s="13" t="n">
        <f aca="false">IF(B8894&lt;5,Einstellungen!$B$3,Einstellungen!$B$4)</f>
        <v>29.13</v>
      </c>
      <c r="E8894" s="14" t="str">
        <f aca="false">IF(C8894="","",C8894*D8894/100)</f>
        <v/>
      </c>
      <c r="F8894" s="15" t="str">
        <f aca="false">IF(B8894&lt;5,"Go","Standard")</f>
        <v>Standard</v>
      </c>
    </row>
    <row r="8895" customFormat="false" ht="15" hidden="false" customHeight="true" outlineLevel="0" collapsed="false">
      <c r="A8895" s="10" t="n">
        <f aca="false">Einstellungen!$B$5+INT((ROW()-9)/24)</f>
        <v>46336</v>
      </c>
      <c r="B8895" s="11" t="n">
        <f aca="false">MOD(ROW()-9,24)</f>
        <v>6</v>
      </c>
      <c r="C8895" s="12"/>
      <c r="D8895" s="13" t="n">
        <f aca="false">IF(B8895&lt;5,Einstellungen!$B$3,Einstellungen!$B$4)</f>
        <v>29.13</v>
      </c>
      <c r="E8895" s="14" t="str">
        <f aca="false">IF(C8895="","",C8895*D8895/100)</f>
        <v/>
      </c>
      <c r="F8895" s="15" t="str">
        <f aca="false">IF(B8895&lt;5,"Go","Standard")</f>
        <v>Standard</v>
      </c>
    </row>
    <row r="8896" customFormat="false" ht="15" hidden="false" customHeight="true" outlineLevel="0" collapsed="false">
      <c r="A8896" s="10" t="n">
        <f aca="false">Einstellungen!$B$5+INT((ROW()-9)/24)</f>
        <v>46336</v>
      </c>
      <c r="B8896" s="11" t="n">
        <f aca="false">MOD(ROW()-9,24)</f>
        <v>7</v>
      </c>
      <c r="C8896" s="12"/>
      <c r="D8896" s="13" t="n">
        <f aca="false">IF(B8896&lt;5,Einstellungen!$B$3,Einstellungen!$B$4)</f>
        <v>29.13</v>
      </c>
      <c r="E8896" s="14" t="str">
        <f aca="false">IF(C8896="","",C8896*D8896/100)</f>
        <v/>
      </c>
      <c r="F8896" s="15" t="str">
        <f aca="false">IF(B8896&lt;5,"Go","Standard")</f>
        <v>Standard</v>
      </c>
    </row>
    <row r="8897" customFormat="false" ht="15" hidden="false" customHeight="true" outlineLevel="0" collapsed="false">
      <c r="A8897" s="10" t="n">
        <f aca="false">Einstellungen!$B$5+INT((ROW()-9)/24)</f>
        <v>46336</v>
      </c>
      <c r="B8897" s="11" t="n">
        <f aca="false">MOD(ROW()-9,24)</f>
        <v>8</v>
      </c>
      <c r="C8897" s="12"/>
      <c r="D8897" s="13" t="n">
        <f aca="false">IF(B8897&lt;5,Einstellungen!$B$3,Einstellungen!$B$4)</f>
        <v>29.13</v>
      </c>
      <c r="E8897" s="14" t="str">
        <f aca="false">IF(C8897="","",C8897*D8897/100)</f>
        <v/>
      </c>
      <c r="F8897" s="15" t="str">
        <f aca="false">IF(B8897&lt;5,"Go","Standard")</f>
        <v>Standard</v>
      </c>
    </row>
    <row r="8898" customFormat="false" ht="15" hidden="false" customHeight="true" outlineLevel="0" collapsed="false">
      <c r="A8898" s="10" t="n">
        <f aca="false">Einstellungen!$B$5+INT((ROW()-9)/24)</f>
        <v>46336</v>
      </c>
      <c r="B8898" s="11" t="n">
        <f aca="false">MOD(ROW()-9,24)</f>
        <v>9</v>
      </c>
      <c r="C8898" s="12"/>
      <c r="D8898" s="13" t="n">
        <f aca="false">IF(B8898&lt;5,Einstellungen!$B$3,Einstellungen!$B$4)</f>
        <v>29.13</v>
      </c>
      <c r="E8898" s="14" t="str">
        <f aca="false">IF(C8898="","",C8898*D8898/100)</f>
        <v/>
      </c>
      <c r="F8898" s="15" t="str">
        <f aca="false">IF(B8898&lt;5,"Go","Standard")</f>
        <v>Standard</v>
      </c>
    </row>
    <row r="8899" customFormat="false" ht="15" hidden="false" customHeight="true" outlineLevel="0" collapsed="false">
      <c r="A8899" s="10" t="n">
        <f aca="false">Einstellungen!$B$5+INT((ROW()-9)/24)</f>
        <v>46336</v>
      </c>
      <c r="B8899" s="11" t="n">
        <f aca="false">MOD(ROW()-9,24)</f>
        <v>10</v>
      </c>
      <c r="C8899" s="12"/>
      <c r="D8899" s="13" t="n">
        <f aca="false">IF(B8899&lt;5,Einstellungen!$B$3,Einstellungen!$B$4)</f>
        <v>29.13</v>
      </c>
      <c r="E8899" s="14" t="str">
        <f aca="false">IF(C8899="","",C8899*D8899/100)</f>
        <v/>
      </c>
      <c r="F8899" s="15" t="str">
        <f aca="false">IF(B8899&lt;5,"Go","Standard")</f>
        <v>Standard</v>
      </c>
    </row>
    <row r="8900" customFormat="false" ht="15" hidden="false" customHeight="true" outlineLevel="0" collapsed="false">
      <c r="A8900" s="10" t="n">
        <f aca="false">Einstellungen!$B$5+INT((ROW()-9)/24)</f>
        <v>46336</v>
      </c>
      <c r="B8900" s="11" t="n">
        <f aca="false">MOD(ROW()-9,24)</f>
        <v>11</v>
      </c>
      <c r="C8900" s="12"/>
      <c r="D8900" s="13" t="n">
        <f aca="false">IF(B8900&lt;5,Einstellungen!$B$3,Einstellungen!$B$4)</f>
        <v>29.13</v>
      </c>
      <c r="E8900" s="14" t="str">
        <f aca="false">IF(C8900="","",C8900*D8900/100)</f>
        <v/>
      </c>
      <c r="F8900" s="15" t="str">
        <f aca="false">IF(B8900&lt;5,"Go","Standard")</f>
        <v>Standard</v>
      </c>
    </row>
    <row r="8901" customFormat="false" ht="15" hidden="false" customHeight="true" outlineLevel="0" collapsed="false">
      <c r="A8901" s="10" t="n">
        <f aca="false">Einstellungen!$B$5+INT((ROW()-9)/24)</f>
        <v>46336</v>
      </c>
      <c r="B8901" s="11" t="n">
        <f aca="false">MOD(ROW()-9,24)</f>
        <v>12</v>
      </c>
      <c r="C8901" s="12"/>
      <c r="D8901" s="13" t="n">
        <f aca="false">IF(B8901&lt;5,Einstellungen!$B$3,Einstellungen!$B$4)</f>
        <v>29.13</v>
      </c>
      <c r="E8901" s="14" t="str">
        <f aca="false">IF(C8901="","",C8901*D8901/100)</f>
        <v/>
      </c>
      <c r="F8901" s="15" t="str">
        <f aca="false">IF(B8901&lt;5,"Go","Standard")</f>
        <v>Standard</v>
      </c>
    </row>
    <row r="8902" customFormat="false" ht="15" hidden="false" customHeight="true" outlineLevel="0" collapsed="false">
      <c r="A8902" s="10" t="n">
        <f aca="false">Einstellungen!$B$5+INT((ROW()-9)/24)</f>
        <v>46336</v>
      </c>
      <c r="B8902" s="11" t="n">
        <f aca="false">MOD(ROW()-9,24)</f>
        <v>13</v>
      </c>
      <c r="C8902" s="12"/>
      <c r="D8902" s="13" t="n">
        <f aca="false">IF(B8902&lt;5,Einstellungen!$B$3,Einstellungen!$B$4)</f>
        <v>29.13</v>
      </c>
      <c r="E8902" s="14" t="str">
        <f aca="false">IF(C8902="","",C8902*D8902/100)</f>
        <v/>
      </c>
      <c r="F8902" s="15" t="str">
        <f aca="false">IF(B8902&lt;5,"Go","Standard")</f>
        <v>Standard</v>
      </c>
    </row>
    <row r="8903" customFormat="false" ht="15" hidden="false" customHeight="true" outlineLevel="0" collapsed="false">
      <c r="A8903" s="10" t="n">
        <f aca="false">Einstellungen!$B$5+INT((ROW()-9)/24)</f>
        <v>46336</v>
      </c>
      <c r="B8903" s="11" t="n">
        <f aca="false">MOD(ROW()-9,24)</f>
        <v>14</v>
      </c>
      <c r="C8903" s="12"/>
      <c r="D8903" s="13" t="n">
        <f aca="false">IF(B8903&lt;5,Einstellungen!$B$3,Einstellungen!$B$4)</f>
        <v>29.13</v>
      </c>
      <c r="E8903" s="14" t="str">
        <f aca="false">IF(C8903="","",C8903*D8903/100)</f>
        <v/>
      </c>
      <c r="F8903" s="15" t="str">
        <f aca="false">IF(B8903&lt;5,"Go","Standard")</f>
        <v>Standard</v>
      </c>
    </row>
    <row r="8904" customFormat="false" ht="15" hidden="false" customHeight="true" outlineLevel="0" collapsed="false">
      <c r="A8904" s="10" t="n">
        <f aca="false">Einstellungen!$B$5+INT((ROW()-9)/24)</f>
        <v>46336</v>
      </c>
      <c r="B8904" s="11" t="n">
        <f aca="false">MOD(ROW()-9,24)</f>
        <v>15</v>
      </c>
      <c r="C8904" s="12"/>
      <c r="D8904" s="13" t="n">
        <f aca="false">IF(B8904&lt;5,Einstellungen!$B$3,Einstellungen!$B$4)</f>
        <v>29.13</v>
      </c>
      <c r="E8904" s="14" t="str">
        <f aca="false">IF(C8904="","",C8904*D8904/100)</f>
        <v/>
      </c>
      <c r="F8904" s="15" t="str">
        <f aca="false">IF(B8904&lt;5,"Go","Standard")</f>
        <v>Standard</v>
      </c>
    </row>
    <row r="8905" customFormat="false" ht="15" hidden="false" customHeight="true" outlineLevel="0" collapsed="false">
      <c r="A8905" s="10" t="n">
        <f aca="false">Einstellungen!$B$5+INT((ROW()-9)/24)</f>
        <v>46336</v>
      </c>
      <c r="B8905" s="11" t="n">
        <f aca="false">MOD(ROW()-9,24)</f>
        <v>16</v>
      </c>
      <c r="C8905" s="12"/>
      <c r="D8905" s="13" t="n">
        <f aca="false">IF(B8905&lt;5,Einstellungen!$B$3,Einstellungen!$B$4)</f>
        <v>29.13</v>
      </c>
      <c r="E8905" s="14" t="str">
        <f aca="false">IF(C8905="","",C8905*D8905/100)</f>
        <v/>
      </c>
      <c r="F8905" s="15" t="str">
        <f aca="false">IF(B8905&lt;5,"Go","Standard")</f>
        <v>Standard</v>
      </c>
    </row>
    <row r="8906" customFormat="false" ht="15" hidden="false" customHeight="true" outlineLevel="0" collapsed="false">
      <c r="A8906" s="10" t="n">
        <f aca="false">Einstellungen!$B$5+INT((ROW()-9)/24)</f>
        <v>46336</v>
      </c>
      <c r="B8906" s="11" t="n">
        <f aca="false">MOD(ROW()-9,24)</f>
        <v>17</v>
      </c>
      <c r="C8906" s="12"/>
      <c r="D8906" s="13" t="n">
        <f aca="false">IF(B8906&lt;5,Einstellungen!$B$3,Einstellungen!$B$4)</f>
        <v>29.13</v>
      </c>
      <c r="E8906" s="14" t="str">
        <f aca="false">IF(C8906="","",C8906*D8906/100)</f>
        <v/>
      </c>
      <c r="F8906" s="15" t="str">
        <f aca="false">IF(B8906&lt;5,"Go","Standard")</f>
        <v>Standard</v>
      </c>
    </row>
    <row r="8907" customFormat="false" ht="15" hidden="false" customHeight="true" outlineLevel="0" collapsed="false">
      <c r="A8907" s="10" t="n">
        <f aca="false">Einstellungen!$B$5+INT((ROW()-9)/24)</f>
        <v>46336</v>
      </c>
      <c r="B8907" s="11" t="n">
        <f aca="false">MOD(ROW()-9,24)</f>
        <v>18</v>
      </c>
      <c r="C8907" s="12"/>
      <c r="D8907" s="13" t="n">
        <f aca="false">IF(B8907&lt;5,Einstellungen!$B$3,Einstellungen!$B$4)</f>
        <v>29.13</v>
      </c>
      <c r="E8907" s="14" t="str">
        <f aca="false">IF(C8907="","",C8907*D8907/100)</f>
        <v/>
      </c>
      <c r="F8907" s="15" t="str">
        <f aca="false">IF(B8907&lt;5,"Go","Standard")</f>
        <v>Standard</v>
      </c>
    </row>
    <row r="8908" customFormat="false" ht="15" hidden="false" customHeight="true" outlineLevel="0" collapsed="false">
      <c r="A8908" s="10" t="n">
        <f aca="false">Einstellungen!$B$5+INT((ROW()-9)/24)</f>
        <v>46336</v>
      </c>
      <c r="B8908" s="11" t="n">
        <f aca="false">MOD(ROW()-9,24)</f>
        <v>19</v>
      </c>
      <c r="C8908" s="12"/>
      <c r="D8908" s="13" t="n">
        <f aca="false">IF(B8908&lt;5,Einstellungen!$B$3,Einstellungen!$B$4)</f>
        <v>29.13</v>
      </c>
      <c r="E8908" s="14" t="str">
        <f aca="false">IF(C8908="","",C8908*D8908/100)</f>
        <v/>
      </c>
      <c r="F8908" s="15" t="str">
        <f aca="false">IF(B8908&lt;5,"Go","Standard")</f>
        <v>Standard</v>
      </c>
    </row>
    <row r="8909" customFormat="false" ht="15" hidden="false" customHeight="true" outlineLevel="0" collapsed="false">
      <c r="A8909" s="10" t="n">
        <f aca="false">Einstellungen!$B$5+INT((ROW()-9)/24)</f>
        <v>46336</v>
      </c>
      <c r="B8909" s="11" t="n">
        <f aca="false">MOD(ROW()-9,24)</f>
        <v>20</v>
      </c>
      <c r="C8909" s="12"/>
      <c r="D8909" s="13" t="n">
        <f aca="false">IF(B8909&lt;5,Einstellungen!$B$3,Einstellungen!$B$4)</f>
        <v>29.13</v>
      </c>
      <c r="E8909" s="14" t="str">
        <f aca="false">IF(C8909="","",C8909*D8909/100)</f>
        <v/>
      </c>
      <c r="F8909" s="15" t="str">
        <f aca="false">IF(B8909&lt;5,"Go","Standard")</f>
        <v>Standard</v>
      </c>
    </row>
    <row r="8910" customFormat="false" ht="15" hidden="false" customHeight="true" outlineLevel="0" collapsed="false">
      <c r="A8910" s="10" t="n">
        <f aca="false">Einstellungen!$B$5+INT((ROW()-9)/24)</f>
        <v>46336</v>
      </c>
      <c r="B8910" s="11" t="n">
        <f aca="false">MOD(ROW()-9,24)</f>
        <v>21</v>
      </c>
      <c r="C8910" s="12"/>
      <c r="D8910" s="13" t="n">
        <f aca="false">IF(B8910&lt;5,Einstellungen!$B$3,Einstellungen!$B$4)</f>
        <v>29.13</v>
      </c>
      <c r="E8910" s="14" t="str">
        <f aca="false">IF(C8910="","",C8910*D8910/100)</f>
        <v/>
      </c>
      <c r="F8910" s="15" t="str">
        <f aca="false">IF(B8910&lt;5,"Go","Standard")</f>
        <v>Standard</v>
      </c>
    </row>
    <row r="8911" customFormat="false" ht="15" hidden="false" customHeight="true" outlineLevel="0" collapsed="false">
      <c r="A8911" s="10" t="n">
        <f aca="false">Einstellungen!$B$5+INT((ROW()-9)/24)</f>
        <v>46336</v>
      </c>
      <c r="B8911" s="11" t="n">
        <f aca="false">MOD(ROW()-9,24)</f>
        <v>22</v>
      </c>
      <c r="C8911" s="12"/>
      <c r="D8911" s="13" t="n">
        <f aca="false">IF(B8911&lt;5,Einstellungen!$B$3,Einstellungen!$B$4)</f>
        <v>29.13</v>
      </c>
      <c r="E8911" s="14" t="str">
        <f aca="false">IF(C8911="","",C8911*D8911/100)</f>
        <v/>
      </c>
      <c r="F8911" s="15" t="str">
        <f aca="false">IF(B8911&lt;5,"Go","Standard")</f>
        <v>Standard</v>
      </c>
    </row>
    <row r="8912" customFormat="false" ht="15" hidden="false" customHeight="true" outlineLevel="0" collapsed="false">
      <c r="A8912" s="10" t="n">
        <f aca="false">Einstellungen!$B$5+INT((ROW()-9)/24)</f>
        <v>46336</v>
      </c>
      <c r="B8912" s="11" t="n">
        <f aca="false">MOD(ROW()-9,24)</f>
        <v>23</v>
      </c>
      <c r="C8912" s="12"/>
      <c r="D8912" s="13" t="n">
        <f aca="false">IF(B8912&lt;5,Einstellungen!$B$3,Einstellungen!$B$4)</f>
        <v>29.13</v>
      </c>
      <c r="E8912" s="14" t="str">
        <f aca="false">IF(C8912="","",C8912*D8912/100)</f>
        <v/>
      </c>
      <c r="F8912" s="15" t="str">
        <f aca="false">IF(B8912&lt;5,"Go","Standard")</f>
        <v>Standard</v>
      </c>
    </row>
    <row r="8913" customFormat="false" ht="15" hidden="false" customHeight="true" outlineLevel="0" collapsed="false">
      <c r="A8913" s="10" t="n">
        <f aca="false">Einstellungen!$B$5+INT((ROW()-9)/24)</f>
        <v>46337</v>
      </c>
      <c r="B8913" s="11" t="n">
        <f aca="false">MOD(ROW()-9,24)</f>
        <v>0</v>
      </c>
      <c r="C8913" s="12"/>
      <c r="D8913" s="13" t="n">
        <f aca="false">IF(B8913&lt;5,Einstellungen!$B$3,Einstellungen!$B$4)</f>
        <v>15.92</v>
      </c>
      <c r="E8913" s="14" t="str">
        <f aca="false">IF(C8913="","",C8913*D8913/100)</f>
        <v/>
      </c>
      <c r="F8913" s="15" t="str">
        <f aca="false">IF(B8913&lt;5,"Go","Standard")</f>
        <v>Go</v>
      </c>
    </row>
    <row r="8914" customFormat="false" ht="15" hidden="false" customHeight="true" outlineLevel="0" collapsed="false">
      <c r="A8914" s="10" t="n">
        <f aca="false">Einstellungen!$B$5+INT((ROW()-9)/24)</f>
        <v>46337</v>
      </c>
      <c r="B8914" s="11" t="n">
        <f aca="false">MOD(ROW()-9,24)</f>
        <v>1</v>
      </c>
      <c r="C8914" s="12"/>
      <c r="D8914" s="13" t="n">
        <f aca="false">IF(B8914&lt;5,Einstellungen!$B$3,Einstellungen!$B$4)</f>
        <v>15.92</v>
      </c>
      <c r="E8914" s="14" t="str">
        <f aca="false">IF(C8914="","",C8914*D8914/100)</f>
        <v/>
      </c>
      <c r="F8914" s="15" t="str">
        <f aca="false">IF(B8914&lt;5,"Go","Standard")</f>
        <v>Go</v>
      </c>
    </row>
    <row r="8915" customFormat="false" ht="15" hidden="false" customHeight="true" outlineLevel="0" collapsed="false">
      <c r="A8915" s="10" t="n">
        <f aca="false">Einstellungen!$B$5+INT((ROW()-9)/24)</f>
        <v>46337</v>
      </c>
      <c r="B8915" s="11" t="n">
        <f aca="false">MOD(ROW()-9,24)</f>
        <v>2</v>
      </c>
      <c r="C8915" s="12"/>
      <c r="D8915" s="13" t="n">
        <f aca="false">IF(B8915&lt;5,Einstellungen!$B$3,Einstellungen!$B$4)</f>
        <v>15.92</v>
      </c>
      <c r="E8915" s="14" t="str">
        <f aca="false">IF(C8915="","",C8915*D8915/100)</f>
        <v/>
      </c>
      <c r="F8915" s="15" t="str">
        <f aca="false">IF(B8915&lt;5,"Go","Standard")</f>
        <v>Go</v>
      </c>
    </row>
    <row r="8916" customFormat="false" ht="15" hidden="false" customHeight="true" outlineLevel="0" collapsed="false">
      <c r="A8916" s="10" t="n">
        <f aca="false">Einstellungen!$B$5+INT((ROW()-9)/24)</f>
        <v>46337</v>
      </c>
      <c r="B8916" s="11" t="n">
        <f aca="false">MOD(ROW()-9,24)</f>
        <v>3</v>
      </c>
      <c r="C8916" s="12"/>
      <c r="D8916" s="13" t="n">
        <f aca="false">IF(B8916&lt;5,Einstellungen!$B$3,Einstellungen!$B$4)</f>
        <v>15.92</v>
      </c>
      <c r="E8916" s="14" t="str">
        <f aca="false">IF(C8916="","",C8916*D8916/100)</f>
        <v/>
      </c>
      <c r="F8916" s="15" t="str">
        <f aca="false">IF(B8916&lt;5,"Go","Standard")</f>
        <v>Go</v>
      </c>
    </row>
    <row r="8917" customFormat="false" ht="15" hidden="false" customHeight="true" outlineLevel="0" collapsed="false">
      <c r="A8917" s="10" t="n">
        <f aca="false">Einstellungen!$B$5+INT((ROW()-9)/24)</f>
        <v>46337</v>
      </c>
      <c r="B8917" s="11" t="n">
        <f aca="false">MOD(ROW()-9,24)</f>
        <v>4</v>
      </c>
      <c r="C8917" s="12"/>
      <c r="D8917" s="13" t="n">
        <f aca="false">IF(B8917&lt;5,Einstellungen!$B$3,Einstellungen!$B$4)</f>
        <v>15.92</v>
      </c>
      <c r="E8917" s="14" t="str">
        <f aca="false">IF(C8917="","",C8917*D8917/100)</f>
        <v/>
      </c>
      <c r="F8917" s="15" t="str">
        <f aca="false">IF(B8917&lt;5,"Go","Standard")</f>
        <v>Go</v>
      </c>
    </row>
    <row r="8918" customFormat="false" ht="15" hidden="false" customHeight="true" outlineLevel="0" collapsed="false">
      <c r="A8918" s="10" t="n">
        <f aca="false">Einstellungen!$B$5+INT((ROW()-9)/24)</f>
        <v>46337</v>
      </c>
      <c r="B8918" s="11" t="n">
        <f aca="false">MOD(ROW()-9,24)</f>
        <v>5</v>
      </c>
      <c r="C8918" s="12"/>
      <c r="D8918" s="13" t="n">
        <f aca="false">IF(B8918&lt;5,Einstellungen!$B$3,Einstellungen!$B$4)</f>
        <v>29.13</v>
      </c>
      <c r="E8918" s="14" t="str">
        <f aca="false">IF(C8918="","",C8918*D8918/100)</f>
        <v/>
      </c>
      <c r="F8918" s="15" t="str">
        <f aca="false">IF(B8918&lt;5,"Go","Standard")</f>
        <v>Standard</v>
      </c>
    </row>
    <row r="8919" customFormat="false" ht="15" hidden="false" customHeight="true" outlineLevel="0" collapsed="false">
      <c r="A8919" s="10" t="n">
        <f aca="false">Einstellungen!$B$5+INT((ROW()-9)/24)</f>
        <v>46337</v>
      </c>
      <c r="B8919" s="11" t="n">
        <f aca="false">MOD(ROW()-9,24)</f>
        <v>6</v>
      </c>
      <c r="C8919" s="12"/>
      <c r="D8919" s="13" t="n">
        <f aca="false">IF(B8919&lt;5,Einstellungen!$B$3,Einstellungen!$B$4)</f>
        <v>29.13</v>
      </c>
      <c r="E8919" s="14" t="str">
        <f aca="false">IF(C8919="","",C8919*D8919/100)</f>
        <v/>
      </c>
      <c r="F8919" s="15" t="str">
        <f aca="false">IF(B8919&lt;5,"Go","Standard")</f>
        <v>Standard</v>
      </c>
    </row>
    <row r="8920" customFormat="false" ht="15" hidden="false" customHeight="true" outlineLevel="0" collapsed="false">
      <c r="A8920" s="10" t="n">
        <f aca="false">Einstellungen!$B$5+INT((ROW()-9)/24)</f>
        <v>46337</v>
      </c>
      <c r="B8920" s="11" t="n">
        <f aca="false">MOD(ROW()-9,24)</f>
        <v>7</v>
      </c>
      <c r="C8920" s="12"/>
      <c r="D8920" s="13" t="n">
        <f aca="false">IF(B8920&lt;5,Einstellungen!$B$3,Einstellungen!$B$4)</f>
        <v>29.13</v>
      </c>
      <c r="E8920" s="14" t="str">
        <f aca="false">IF(C8920="","",C8920*D8920/100)</f>
        <v/>
      </c>
      <c r="F8920" s="15" t="str">
        <f aca="false">IF(B8920&lt;5,"Go","Standard")</f>
        <v>Standard</v>
      </c>
    </row>
    <row r="8921" customFormat="false" ht="15" hidden="false" customHeight="true" outlineLevel="0" collapsed="false">
      <c r="A8921" s="10" t="n">
        <f aca="false">Einstellungen!$B$5+INT((ROW()-9)/24)</f>
        <v>46337</v>
      </c>
      <c r="B8921" s="11" t="n">
        <f aca="false">MOD(ROW()-9,24)</f>
        <v>8</v>
      </c>
      <c r="C8921" s="12"/>
      <c r="D8921" s="13" t="n">
        <f aca="false">IF(B8921&lt;5,Einstellungen!$B$3,Einstellungen!$B$4)</f>
        <v>29.13</v>
      </c>
      <c r="E8921" s="14" t="str">
        <f aca="false">IF(C8921="","",C8921*D8921/100)</f>
        <v/>
      </c>
      <c r="F8921" s="15" t="str">
        <f aca="false">IF(B8921&lt;5,"Go","Standard")</f>
        <v>Standard</v>
      </c>
    </row>
    <row r="8922" customFormat="false" ht="15" hidden="false" customHeight="true" outlineLevel="0" collapsed="false">
      <c r="A8922" s="10" t="n">
        <f aca="false">Einstellungen!$B$5+INT((ROW()-9)/24)</f>
        <v>46337</v>
      </c>
      <c r="B8922" s="11" t="n">
        <f aca="false">MOD(ROW()-9,24)</f>
        <v>9</v>
      </c>
      <c r="C8922" s="12"/>
      <c r="D8922" s="13" t="n">
        <f aca="false">IF(B8922&lt;5,Einstellungen!$B$3,Einstellungen!$B$4)</f>
        <v>29.13</v>
      </c>
      <c r="E8922" s="14" t="str">
        <f aca="false">IF(C8922="","",C8922*D8922/100)</f>
        <v/>
      </c>
      <c r="F8922" s="15" t="str">
        <f aca="false">IF(B8922&lt;5,"Go","Standard")</f>
        <v>Standard</v>
      </c>
    </row>
    <row r="8923" customFormat="false" ht="15" hidden="false" customHeight="true" outlineLevel="0" collapsed="false">
      <c r="A8923" s="10" t="n">
        <f aca="false">Einstellungen!$B$5+INT((ROW()-9)/24)</f>
        <v>46337</v>
      </c>
      <c r="B8923" s="11" t="n">
        <f aca="false">MOD(ROW()-9,24)</f>
        <v>10</v>
      </c>
      <c r="C8923" s="12"/>
      <c r="D8923" s="13" t="n">
        <f aca="false">IF(B8923&lt;5,Einstellungen!$B$3,Einstellungen!$B$4)</f>
        <v>29.13</v>
      </c>
      <c r="E8923" s="14" t="str">
        <f aca="false">IF(C8923="","",C8923*D8923/100)</f>
        <v/>
      </c>
      <c r="F8923" s="15" t="str">
        <f aca="false">IF(B8923&lt;5,"Go","Standard")</f>
        <v>Standard</v>
      </c>
    </row>
    <row r="8924" customFormat="false" ht="15" hidden="false" customHeight="true" outlineLevel="0" collapsed="false">
      <c r="A8924" s="10" t="n">
        <f aca="false">Einstellungen!$B$5+INT((ROW()-9)/24)</f>
        <v>46337</v>
      </c>
      <c r="B8924" s="11" t="n">
        <f aca="false">MOD(ROW()-9,24)</f>
        <v>11</v>
      </c>
      <c r="C8924" s="12"/>
      <c r="D8924" s="13" t="n">
        <f aca="false">IF(B8924&lt;5,Einstellungen!$B$3,Einstellungen!$B$4)</f>
        <v>29.13</v>
      </c>
      <c r="E8924" s="14" t="str">
        <f aca="false">IF(C8924="","",C8924*D8924/100)</f>
        <v/>
      </c>
      <c r="F8924" s="15" t="str">
        <f aca="false">IF(B8924&lt;5,"Go","Standard")</f>
        <v>Standard</v>
      </c>
    </row>
    <row r="8925" customFormat="false" ht="15" hidden="false" customHeight="true" outlineLevel="0" collapsed="false">
      <c r="A8925" s="10" t="n">
        <f aca="false">Einstellungen!$B$5+INT((ROW()-9)/24)</f>
        <v>46337</v>
      </c>
      <c r="B8925" s="11" t="n">
        <f aca="false">MOD(ROW()-9,24)</f>
        <v>12</v>
      </c>
      <c r="C8925" s="12"/>
      <c r="D8925" s="13" t="n">
        <f aca="false">IF(B8925&lt;5,Einstellungen!$B$3,Einstellungen!$B$4)</f>
        <v>29.13</v>
      </c>
      <c r="E8925" s="14" t="str">
        <f aca="false">IF(C8925="","",C8925*D8925/100)</f>
        <v/>
      </c>
      <c r="F8925" s="15" t="str">
        <f aca="false">IF(B8925&lt;5,"Go","Standard")</f>
        <v>Standard</v>
      </c>
    </row>
    <row r="8926" customFormat="false" ht="15" hidden="false" customHeight="true" outlineLevel="0" collapsed="false">
      <c r="A8926" s="10" t="n">
        <f aca="false">Einstellungen!$B$5+INT((ROW()-9)/24)</f>
        <v>46337</v>
      </c>
      <c r="B8926" s="11" t="n">
        <f aca="false">MOD(ROW()-9,24)</f>
        <v>13</v>
      </c>
      <c r="C8926" s="12"/>
      <c r="D8926" s="13" t="n">
        <f aca="false">IF(B8926&lt;5,Einstellungen!$B$3,Einstellungen!$B$4)</f>
        <v>29.13</v>
      </c>
      <c r="E8926" s="14" t="str">
        <f aca="false">IF(C8926="","",C8926*D8926/100)</f>
        <v/>
      </c>
      <c r="F8926" s="15" t="str">
        <f aca="false">IF(B8926&lt;5,"Go","Standard")</f>
        <v>Standard</v>
      </c>
    </row>
    <row r="8927" customFormat="false" ht="15" hidden="false" customHeight="true" outlineLevel="0" collapsed="false">
      <c r="A8927" s="10" t="n">
        <f aca="false">Einstellungen!$B$5+INT((ROW()-9)/24)</f>
        <v>46337</v>
      </c>
      <c r="B8927" s="11" t="n">
        <f aca="false">MOD(ROW()-9,24)</f>
        <v>14</v>
      </c>
      <c r="C8927" s="12"/>
      <c r="D8927" s="13" t="n">
        <f aca="false">IF(B8927&lt;5,Einstellungen!$B$3,Einstellungen!$B$4)</f>
        <v>29.13</v>
      </c>
      <c r="E8927" s="14" t="str">
        <f aca="false">IF(C8927="","",C8927*D8927/100)</f>
        <v/>
      </c>
      <c r="F8927" s="15" t="str">
        <f aca="false">IF(B8927&lt;5,"Go","Standard")</f>
        <v>Standard</v>
      </c>
    </row>
    <row r="8928" customFormat="false" ht="15" hidden="false" customHeight="true" outlineLevel="0" collapsed="false">
      <c r="A8928" s="10" t="n">
        <f aca="false">Einstellungen!$B$5+INT((ROW()-9)/24)</f>
        <v>46337</v>
      </c>
      <c r="B8928" s="11" t="n">
        <f aca="false">MOD(ROW()-9,24)</f>
        <v>15</v>
      </c>
      <c r="C8928" s="12"/>
      <c r="D8928" s="13" t="n">
        <f aca="false">IF(B8928&lt;5,Einstellungen!$B$3,Einstellungen!$B$4)</f>
        <v>29.13</v>
      </c>
      <c r="E8928" s="14" t="str">
        <f aca="false">IF(C8928="","",C8928*D8928/100)</f>
        <v/>
      </c>
      <c r="F8928" s="15" t="str">
        <f aca="false">IF(B8928&lt;5,"Go","Standard")</f>
        <v>Standard</v>
      </c>
    </row>
    <row r="8929" customFormat="false" ht="15" hidden="false" customHeight="true" outlineLevel="0" collapsed="false">
      <c r="A8929" s="10" t="n">
        <f aca="false">Einstellungen!$B$5+INT((ROW()-9)/24)</f>
        <v>46337</v>
      </c>
      <c r="B8929" s="11" t="n">
        <f aca="false">MOD(ROW()-9,24)</f>
        <v>16</v>
      </c>
      <c r="C8929" s="12"/>
      <c r="D8929" s="13" t="n">
        <f aca="false">IF(B8929&lt;5,Einstellungen!$B$3,Einstellungen!$B$4)</f>
        <v>29.13</v>
      </c>
      <c r="E8929" s="14" t="str">
        <f aca="false">IF(C8929="","",C8929*D8929/100)</f>
        <v/>
      </c>
      <c r="F8929" s="15" t="str">
        <f aca="false">IF(B8929&lt;5,"Go","Standard")</f>
        <v>Standard</v>
      </c>
    </row>
    <row r="8930" customFormat="false" ht="15" hidden="false" customHeight="true" outlineLevel="0" collapsed="false">
      <c r="A8930" s="10" t="n">
        <f aca="false">Einstellungen!$B$5+INT((ROW()-9)/24)</f>
        <v>46337</v>
      </c>
      <c r="B8930" s="11" t="n">
        <f aca="false">MOD(ROW()-9,24)</f>
        <v>17</v>
      </c>
      <c r="C8930" s="12"/>
      <c r="D8930" s="13" t="n">
        <f aca="false">IF(B8930&lt;5,Einstellungen!$B$3,Einstellungen!$B$4)</f>
        <v>29.13</v>
      </c>
      <c r="E8930" s="14" t="str">
        <f aca="false">IF(C8930="","",C8930*D8930/100)</f>
        <v/>
      </c>
      <c r="F8930" s="15" t="str">
        <f aca="false">IF(B8930&lt;5,"Go","Standard")</f>
        <v>Standard</v>
      </c>
    </row>
    <row r="8931" customFormat="false" ht="15" hidden="false" customHeight="true" outlineLevel="0" collapsed="false">
      <c r="A8931" s="10" t="n">
        <f aca="false">Einstellungen!$B$5+INT((ROW()-9)/24)</f>
        <v>46337</v>
      </c>
      <c r="B8931" s="11" t="n">
        <f aca="false">MOD(ROW()-9,24)</f>
        <v>18</v>
      </c>
      <c r="C8931" s="12"/>
      <c r="D8931" s="13" t="n">
        <f aca="false">IF(B8931&lt;5,Einstellungen!$B$3,Einstellungen!$B$4)</f>
        <v>29.13</v>
      </c>
      <c r="E8931" s="14" t="str">
        <f aca="false">IF(C8931="","",C8931*D8931/100)</f>
        <v/>
      </c>
      <c r="F8931" s="15" t="str">
        <f aca="false">IF(B8931&lt;5,"Go","Standard")</f>
        <v>Standard</v>
      </c>
    </row>
    <row r="8932" customFormat="false" ht="15" hidden="false" customHeight="true" outlineLevel="0" collapsed="false">
      <c r="A8932" s="10" t="n">
        <f aca="false">Einstellungen!$B$5+INT((ROW()-9)/24)</f>
        <v>46337</v>
      </c>
      <c r="B8932" s="11" t="n">
        <f aca="false">MOD(ROW()-9,24)</f>
        <v>19</v>
      </c>
      <c r="C8932" s="12"/>
      <c r="D8932" s="13" t="n">
        <f aca="false">IF(B8932&lt;5,Einstellungen!$B$3,Einstellungen!$B$4)</f>
        <v>29.13</v>
      </c>
      <c r="E8932" s="14" t="str">
        <f aca="false">IF(C8932="","",C8932*D8932/100)</f>
        <v/>
      </c>
      <c r="F8932" s="15" t="str">
        <f aca="false">IF(B8932&lt;5,"Go","Standard")</f>
        <v>Standard</v>
      </c>
    </row>
    <row r="8933" customFormat="false" ht="15" hidden="false" customHeight="true" outlineLevel="0" collapsed="false">
      <c r="A8933" s="10" t="n">
        <f aca="false">Einstellungen!$B$5+INT((ROW()-9)/24)</f>
        <v>46337</v>
      </c>
      <c r="B8933" s="11" t="n">
        <f aca="false">MOD(ROW()-9,24)</f>
        <v>20</v>
      </c>
      <c r="C8933" s="12"/>
      <c r="D8933" s="13" t="n">
        <f aca="false">IF(B8933&lt;5,Einstellungen!$B$3,Einstellungen!$B$4)</f>
        <v>29.13</v>
      </c>
      <c r="E8933" s="14" t="str">
        <f aca="false">IF(C8933="","",C8933*D8933/100)</f>
        <v/>
      </c>
      <c r="F8933" s="15" t="str">
        <f aca="false">IF(B8933&lt;5,"Go","Standard")</f>
        <v>Standard</v>
      </c>
    </row>
    <row r="8934" customFormat="false" ht="15" hidden="false" customHeight="true" outlineLevel="0" collapsed="false">
      <c r="A8934" s="10" t="n">
        <f aca="false">Einstellungen!$B$5+INT((ROW()-9)/24)</f>
        <v>46337</v>
      </c>
      <c r="B8934" s="11" t="n">
        <f aca="false">MOD(ROW()-9,24)</f>
        <v>21</v>
      </c>
      <c r="C8934" s="12"/>
      <c r="D8934" s="13" t="n">
        <f aca="false">IF(B8934&lt;5,Einstellungen!$B$3,Einstellungen!$B$4)</f>
        <v>29.13</v>
      </c>
      <c r="E8934" s="14" t="str">
        <f aca="false">IF(C8934="","",C8934*D8934/100)</f>
        <v/>
      </c>
      <c r="F8934" s="15" t="str">
        <f aca="false">IF(B8934&lt;5,"Go","Standard")</f>
        <v>Standard</v>
      </c>
    </row>
    <row r="8935" customFormat="false" ht="15" hidden="false" customHeight="true" outlineLevel="0" collapsed="false">
      <c r="A8935" s="10" t="n">
        <f aca="false">Einstellungen!$B$5+INT((ROW()-9)/24)</f>
        <v>46337</v>
      </c>
      <c r="B8935" s="11" t="n">
        <f aca="false">MOD(ROW()-9,24)</f>
        <v>22</v>
      </c>
      <c r="C8935" s="12"/>
      <c r="D8935" s="13" t="n">
        <f aca="false">IF(B8935&lt;5,Einstellungen!$B$3,Einstellungen!$B$4)</f>
        <v>29.13</v>
      </c>
      <c r="E8935" s="14" t="str">
        <f aca="false">IF(C8935="","",C8935*D8935/100)</f>
        <v/>
      </c>
      <c r="F8935" s="15" t="str">
        <f aca="false">IF(B8935&lt;5,"Go","Standard")</f>
        <v>Standard</v>
      </c>
    </row>
    <row r="8936" customFormat="false" ht="15" hidden="false" customHeight="true" outlineLevel="0" collapsed="false">
      <c r="A8936" s="10" t="n">
        <f aca="false">Einstellungen!$B$5+INT((ROW()-9)/24)</f>
        <v>46337</v>
      </c>
      <c r="B8936" s="11" t="n">
        <f aca="false">MOD(ROW()-9,24)</f>
        <v>23</v>
      </c>
      <c r="C8936" s="12"/>
      <c r="D8936" s="13" t="n">
        <f aca="false">IF(B8936&lt;5,Einstellungen!$B$3,Einstellungen!$B$4)</f>
        <v>29.13</v>
      </c>
      <c r="E8936" s="14" t="str">
        <f aca="false">IF(C8936="","",C8936*D8936/100)</f>
        <v/>
      </c>
      <c r="F8936" s="15" t="str">
        <f aca="false">IF(B8936&lt;5,"Go","Standard")</f>
        <v>Standard</v>
      </c>
    </row>
    <row r="8937" customFormat="false" ht="15" hidden="false" customHeight="true" outlineLevel="0" collapsed="false">
      <c r="A8937" s="10" t="n">
        <f aca="false">Einstellungen!$B$5+INT((ROW()-9)/24)</f>
        <v>46338</v>
      </c>
      <c r="B8937" s="11" t="n">
        <f aca="false">MOD(ROW()-9,24)</f>
        <v>0</v>
      </c>
      <c r="C8937" s="12"/>
      <c r="D8937" s="13" t="n">
        <f aca="false">IF(B8937&lt;5,Einstellungen!$B$3,Einstellungen!$B$4)</f>
        <v>15.92</v>
      </c>
      <c r="E8937" s="14" t="str">
        <f aca="false">IF(C8937="","",C8937*D8937/100)</f>
        <v/>
      </c>
      <c r="F8937" s="15" t="str">
        <f aca="false">IF(B8937&lt;5,"Go","Standard")</f>
        <v>Go</v>
      </c>
    </row>
    <row r="8938" customFormat="false" ht="15" hidden="false" customHeight="true" outlineLevel="0" collapsed="false">
      <c r="A8938" s="10" t="n">
        <f aca="false">Einstellungen!$B$5+INT((ROW()-9)/24)</f>
        <v>46338</v>
      </c>
      <c r="B8938" s="11" t="n">
        <f aca="false">MOD(ROW()-9,24)</f>
        <v>1</v>
      </c>
      <c r="C8938" s="12"/>
      <c r="D8938" s="13" t="n">
        <f aca="false">IF(B8938&lt;5,Einstellungen!$B$3,Einstellungen!$B$4)</f>
        <v>15.92</v>
      </c>
      <c r="E8938" s="14" t="str">
        <f aca="false">IF(C8938="","",C8938*D8938/100)</f>
        <v/>
      </c>
      <c r="F8938" s="15" t="str">
        <f aca="false">IF(B8938&lt;5,"Go","Standard")</f>
        <v>Go</v>
      </c>
    </row>
    <row r="8939" customFormat="false" ht="15" hidden="false" customHeight="true" outlineLevel="0" collapsed="false">
      <c r="A8939" s="10" t="n">
        <f aca="false">Einstellungen!$B$5+INT((ROW()-9)/24)</f>
        <v>46338</v>
      </c>
      <c r="B8939" s="11" t="n">
        <f aca="false">MOD(ROW()-9,24)</f>
        <v>2</v>
      </c>
      <c r="C8939" s="12"/>
      <c r="D8939" s="13" t="n">
        <f aca="false">IF(B8939&lt;5,Einstellungen!$B$3,Einstellungen!$B$4)</f>
        <v>15.92</v>
      </c>
      <c r="E8939" s="14" t="str">
        <f aca="false">IF(C8939="","",C8939*D8939/100)</f>
        <v/>
      </c>
      <c r="F8939" s="15" t="str">
        <f aca="false">IF(B8939&lt;5,"Go","Standard")</f>
        <v>Go</v>
      </c>
    </row>
    <row r="8940" customFormat="false" ht="15" hidden="false" customHeight="true" outlineLevel="0" collapsed="false">
      <c r="A8940" s="10" t="n">
        <f aca="false">Einstellungen!$B$5+INT((ROW()-9)/24)</f>
        <v>46338</v>
      </c>
      <c r="B8940" s="11" t="n">
        <f aca="false">MOD(ROW()-9,24)</f>
        <v>3</v>
      </c>
      <c r="C8940" s="12"/>
      <c r="D8940" s="13" t="n">
        <f aca="false">IF(B8940&lt;5,Einstellungen!$B$3,Einstellungen!$B$4)</f>
        <v>15.92</v>
      </c>
      <c r="E8940" s="14" t="str">
        <f aca="false">IF(C8940="","",C8940*D8940/100)</f>
        <v/>
      </c>
      <c r="F8940" s="15" t="str">
        <f aca="false">IF(B8940&lt;5,"Go","Standard")</f>
        <v>Go</v>
      </c>
    </row>
    <row r="8941" customFormat="false" ht="15" hidden="false" customHeight="true" outlineLevel="0" collapsed="false">
      <c r="A8941" s="10" t="n">
        <f aca="false">Einstellungen!$B$5+INT((ROW()-9)/24)</f>
        <v>46338</v>
      </c>
      <c r="B8941" s="11" t="n">
        <f aca="false">MOD(ROW()-9,24)</f>
        <v>4</v>
      </c>
      <c r="C8941" s="12"/>
      <c r="D8941" s="13" t="n">
        <f aca="false">IF(B8941&lt;5,Einstellungen!$B$3,Einstellungen!$B$4)</f>
        <v>15.92</v>
      </c>
      <c r="E8941" s="14" t="str">
        <f aca="false">IF(C8941="","",C8941*D8941/100)</f>
        <v/>
      </c>
      <c r="F8941" s="15" t="str">
        <f aca="false">IF(B8941&lt;5,"Go","Standard")</f>
        <v>Go</v>
      </c>
    </row>
    <row r="8942" customFormat="false" ht="15" hidden="false" customHeight="true" outlineLevel="0" collapsed="false">
      <c r="A8942" s="10" t="n">
        <f aca="false">Einstellungen!$B$5+INT((ROW()-9)/24)</f>
        <v>46338</v>
      </c>
      <c r="B8942" s="11" t="n">
        <f aca="false">MOD(ROW()-9,24)</f>
        <v>5</v>
      </c>
      <c r="C8942" s="12"/>
      <c r="D8942" s="13" t="n">
        <f aca="false">IF(B8942&lt;5,Einstellungen!$B$3,Einstellungen!$B$4)</f>
        <v>29.13</v>
      </c>
      <c r="E8942" s="14" t="str">
        <f aca="false">IF(C8942="","",C8942*D8942/100)</f>
        <v/>
      </c>
      <c r="F8942" s="15" t="str">
        <f aca="false">IF(B8942&lt;5,"Go","Standard")</f>
        <v>Standard</v>
      </c>
    </row>
    <row r="8943" customFormat="false" ht="15" hidden="false" customHeight="true" outlineLevel="0" collapsed="false">
      <c r="A8943" s="10" t="n">
        <f aca="false">Einstellungen!$B$5+INT((ROW()-9)/24)</f>
        <v>46338</v>
      </c>
      <c r="B8943" s="11" t="n">
        <f aca="false">MOD(ROW()-9,24)</f>
        <v>6</v>
      </c>
      <c r="C8943" s="12"/>
      <c r="D8943" s="13" t="n">
        <f aca="false">IF(B8943&lt;5,Einstellungen!$B$3,Einstellungen!$B$4)</f>
        <v>29.13</v>
      </c>
      <c r="E8943" s="14" t="str">
        <f aca="false">IF(C8943="","",C8943*D8943/100)</f>
        <v/>
      </c>
      <c r="F8943" s="15" t="str">
        <f aca="false">IF(B8943&lt;5,"Go","Standard")</f>
        <v>Standard</v>
      </c>
    </row>
    <row r="8944" customFormat="false" ht="15" hidden="false" customHeight="true" outlineLevel="0" collapsed="false">
      <c r="A8944" s="10" t="n">
        <f aca="false">Einstellungen!$B$5+INT((ROW()-9)/24)</f>
        <v>46338</v>
      </c>
      <c r="B8944" s="11" t="n">
        <f aca="false">MOD(ROW()-9,24)</f>
        <v>7</v>
      </c>
      <c r="C8944" s="12"/>
      <c r="D8944" s="13" t="n">
        <f aca="false">IF(B8944&lt;5,Einstellungen!$B$3,Einstellungen!$B$4)</f>
        <v>29.13</v>
      </c>
      <c r="E8944" s="14" t="str">
        <f aca="false">IF(C8944="","",C8944*D8944/100)</f>
        <v/>
      </c>
      <c r="F8944" s="15" t="str">
        <f aca="false">IF(B8944&lt;5,"Go","Standard")</f>
        <v>Standard</v>
      </c>
    </row>
    <row r="8945" customFormat="false" ht="15" hidden="false" customHeight="true" outlineLevel="0" collapsed="false">
      <c r="A8945" s="10" t="n">
        <f aca="false">Einstellungen!$B$5+INT((ROW()-9)/24)</f>
        <v>46338</v>
      </c>
      <c r="B8945" s="11" t="n">
        <f aca="false">MOD(ROW()-9,24)</f>
        <v>8</v>
      </c>
      <c r="C8945" s="12"/>
      <c r="D8945" s="13" t="n">
        <f aca="false">IF(B8945&lt;5,Einstellungen!$B$3,Einstellungen!$B$4)</f>
        <v>29.13</v>
      </c>
      <c r="E8945" s="14" t="str">
        <f aca="false">IF(C8945="","",C8945*D8945/100)</f>
        <v/>
      </c>
      <c r="F8945" s="15" t="str">
        <f aca="false">IF(B8945&lt;5,"Go","Standard")</f>
        <v>Standard</v>
      </c>
    </row>
    <row r="8946" customFormat="false" ht="15" hidden="false" customHeight="true" outlineLevel="0" collapsed="false">
      <c r="A8946" s="10" t="n">
        <f aca="false">Einstellungen!$B$5+INT((ROW()-9)/24)</f>
        <v>46338</v>
      </c>
      <c r="B8946" s="11" t="n">
        <f aca="false">MOD(ROW()-9,24)</f>
        <v>9</v>
      </c>
      <c r="C8946" s="12"/>
      <c r="D8946" s="13" t="n">
        <f aca="false">IF(B8946&lt;5,Einstellungen!$B$3,Einstellungen!$B$4)</f>
        <v>29.13</v>
      </c>
      <c r="E8946" s="14" t="str">
        <f aca="false">IF(C8946="","",C8946*D8946/100)</f>
        <v/>
      </c>
      <c r="F8946" s="15" t="str">
        <f aca="false">IF(B8946&lt;5,"Go","Standard")</f>
        <v>Standard</v>
      </c>
    </row>
    <row r="8947" customFormat="false" ht="15" hidden="false" customHeight="true" outlineLevel="0" collapsed="false">
      <c r="A8947" s="10" t="n">
        <f aca="false">Einstellungen!$B$5+INT((ROW()-9)/24)</f>
        <v>46338</v>
      </c>
      <c r="B8947" s="11" t="n">
        <f aca="false">MOD(ROW()-9,24)</f>
        <v>10</v>
      </c>
      <c r="C8947" s="12"/>
      <c r="D8947" s="13" t="n">
        <f aca="false">IF(B8947&lt;5,Einstellungen!$B$3,Einstellungen!$B$4)</f>
        <v>29.13</v>
      </c>
      <c r="E8947" s="14" t="str">
        <f aca="false">IF(C8947="","",C8947*D8947/100)</f>
        <v/>
      </c>
      <c r="F8947" s="15" t="str">
        <f aca="false">IF(B8947&lt;5,"Go","Standard")</f>
        <v>Standard</v>
      </c>
    </row>
    <row r="8948" customFormat="false" ht="15" hidden="false" customHeight="true" outlineLevel="0" collapsed="false">
      <c r="A8948" s="10" t="n">
        <f aca="false">Einstellungen!$B$5+INT((ROW()-9)/24)</f>
        <v>46338</v>
      </c>
      <c r="B8948" s="11" t="n">
        <f aca="false">MOD(ROW()-9,24)</f>
        <v>11</v>
      </c>
      <c r="C8948" s="12"/>
      <c r="D8948" s="13" t="n">
        <f aca="false">IF(B8948&lt;5,Einstellungen!$B$3,Einstellungen!$B$4)</f>
        <v>29.13</v>
      </c>
      <c r="E8948" s="14" t="str">
        <f aca="false">IF(C8948="","",C8948*D8948/100)</f>
        <v/>
      </c>
      <c r="F8948" s="15" t="str">
        <f aca="false">IF(B8948&lt;5,"Go","Standard")</f>
        <v>Standard</v>
      </c>
    </row>
    <row r="8949" customFormat="false" ht="15" hidden="false" customHeight="true" outlineLevel="0" collapsed="false">
      <c r="A8949" s="10" t="n">
        <f aca="false">Einstellungen!$B$5+INT((ROW()-9)/24)</f>
        <v>46338</v>
      </c>
      <c r="B8949" s="11" t="n">
        <f aca="false">MOD(ROW()-9,24)</f>
        <v>12</v>
      </c>
      <c r="C8949" s="12"/>
      <c r="D8949" s="13" t="n">
        <f aca="false">IF(B8949&lt;5,Einstellungen!$B$3,Einstellungen!$B$4)</f>
        <v>29.13</v>
      </c>
      <c r="E8949" s="14" t="str">
        <f aca="false">IF(C8949="","",C8949*D8949/100)</f>
        <v/>
      </c>
      <c r="F8949" s="15" t="str">
        <f aca="false">IF(B8949&lt;5,"Go","Standard")</f>
        <v>Standard</v>
      </c>
    </row>
    <row r="8950" customFormat="false" ht="15" hidden="false" customHeight="true" outlineLevel="0" collapsed="false">
      <c r="A8950" s="10" t="n">
        <f aca="false">Einstellungen!$B$5+INT((ROW()-9)/24)</f>
        <v>46338</v>
      </c>
      <c r="B8950" s="11" t="n">
        <f aca="false">MOD(ROW()-9,24)</f>
        <v>13</v>
      </c>
      <c r="C8950" s="12"/>
      <c r="D8950" s="13" t="n">
        <f aca="false">IF(B8950&lt;5,Einstellungen!$B$3,Einstellungen!$B$4)</f>
        <v>29.13</v>
      </c>
      <c r="E8950" s="14" t="str">
        <f aca="false">IF(C8950="","",C8950*D8950/100)</f>
        <v/>
      </c>
      <c r="F8950" s="15" t="str">
        <f aca="false">IF(B8950&lt;5,"Go","Standard")</f>
        <v>Standard</v>
      </c>
    </row>
    <row r="8951" customFormat="false" ht="15" hidden="false" customHeight="true" outlineLevel="0" collapsed="false">
      <c r="A8951" s="10" t="n">
        <f aca="false">Einstellungen!$B$5+INT((ROW()-9)/24)</f>
        <v>46338</v>
      </c>
      <c r="B8951" s="11" t="n">
        <f aca="false">MOD(ROW()-9,24)</f>
        <v>14</v>
      </c>
      <c r="C8951" s="12"/>
      <c r="D8951" s="13" t="n">
        <f aca="false">IF(B8951&lt;5,Einstellungen!$B$3,Einstellungen!$B$4)</f>
        <v>29.13</v>
      </c>
      <c r="E8951" s="14" t="str">
        <f aca="false">IF(C8951="","",C8951*D8951/100)</f>
        <v/>
      </c>
      <c r="F8951" s="15" t="str">
        <f aca="false">IF(B8951&lt;5,"Go","Standard")</f>
        <v>Standard</v>
      </c>
    </row>
    <row r="8952" customFormat="false" ht="15" hidden="false" customHeight="true" outlineLevel="0" collapsed="false">
      <c r="A8952" s="10" t="n">
        <f aca="false">Einstellungen!$B$5+INT((ROW()-9)/24)</f>
        <v>46338</v>
      </c>
      <c r="B8952" s="11" t="n">
        <f aca="false">MOD(ROW()-9,24)</f>
        <v>15</v>
      </c>
      <c r="C8952" s="12"/>
      <c r="D8952" s="13" t="n">
        <f aca="false">IF(B8952&lt;5,Einstellungen!$B$3,Einstellungen!$B$4)</f>
        <v>29.13</v>
      </c>
      <c r="E8952" s="14" t="str">
        <f aca="false">IF(C8952="","",C8952*D8952/100)</f>
        <v/>
      </c>
      <c r="F8952" s="15" t="str">
        <f aca="false">IF(B8952&lt;5,"Go","Standard")</f>
        <v>Standard</v>
      </c>
    </row>
    <row r="8953" customFormat="false" ht="15" hidden="false" customHeight="true" outlineLevel="0" collapsed="false">
      <c r="A8953" s="10" t="n">
        <f aca="false">Einstellungen!$B$5+INT((ROW()-9)/24)</f>
        <v>46338</v>
      </c>
      <c r="B8953" s="11" t="n">
        <f aca="false">MOD(ROW()-9,24)</f>
        <v>16</v>
      </c>
      <c r="C8953" s="12"/>
      <c r="D8953" s="13" t="n">
        <f aca="false">IF(B8953&lt;5,Einstellungen!$B$3,Einstellungen!$B$4)</f>
        <v>29.13</v>
      </c>
      <c r="E8953" s="14" t="str">
        <f aca="false">IF(C8953="","",C8953*D8953/100)</f>
        <v/>
      </c>
      <c r="F8953" s="15" t="str">
        <f aca="false">IF(B8953&lt;5,"Go","Standard")</f>
        <v>Standard</v>
      </c>
    </row>
    <row r="8954" customFormat="false" ht="15" hidden="false" customHeight="true" outlineLevel="0" collapsed="false">
      <c r="A8954" s="10" t="n">
        <f aca="false">Einstellungen!$B$5+INT((ROW()-9)/24)</f>
        <v>46338</v>
      </c>
      <c r="B8954" s="11" t="n">
        <f aca="false">MOD(ROW()-9,24)</f>
        <v>17</v>
      </c>
      <c r="C8954" s="12"/>
      <c r="D8954" s="13" t="n">
        <f aca="false">IF(B8954&lt;5,Einstellungen!$B$3,Einstellungen!$B$4)</f>
        <v>29.13</v>
      </c>
      <c r="E8954" s="14" t="str">
        <f aca="false">IF(C8954="","",C8954*D8954/100)</f>
        <v/>
      </c>
      <c r="F8954" s="15" t="str">
        <f aca="false">IF(B8954&lt;5,"Go","Standard")</f>
        <v>Standard</v>
      </c>
    </row>
    <row r="8955" customFormat="false" ht="15" hidden="false" customHeight="true" outlineLevel="0" collapsed="false">
      <c r="A8955" s="10" t="n">
        <f aca="false">Einstellungen!$B$5+INT((ROW()-9)/24)</f>
        <v>46338</v>
      </c>
      <c r="B8955" s="11" t="n">
        <f aca="false">MOD(ROW()-9,24)</f>
        <v>18</v>
      </c>
      <c r="C8955" s="12"/>
      <c r="D8955" s="13" t="n">
        <f aca="false">IF(B8955&lt;5,Einstellungen!$B$3,Einstellungen!$B$4)</f>
        <v>29.13</v>
      </c>
      <c r="E8955" s="14" t="str">
        <f aca="false">IF(C8955="","",C8955*D8955/100)</f>
        <v/>
      </c>
      <c r="F8955" s="15" t="str">
        <f aca="false">IF(B8955&lt;5,"Go","Standard")</f>
        <v>Standard</v>
      </c>
    </row>
    <row r="8956" customFormat="false" ht="15" hidden="false" customHeight="true" outlineLevel="0" collapsed="false">
      <c r="A8956" s="10" t="n">
        <f aca="false">Einstellungen!$B$5+INT((ROW()-9)/24)</f>
        <v>46338</v>
      </c>
      <c r="B8956" s="11" t="n">
        <f aca="false">MOD(ROW()-9,24)</f>
        <v>19</v>
      </c>
      <c r="C8956" s="12"/>
      <c r="D8956" s="13" t="n">
        <f aca="false">IF(B8956&lt;5,Einstellungen!$B$3,Einstellungen!$B$4)</f>
        <v>29.13</v>
      </c>
      <c r="E8956" s="14" t="str">
        <f aca="false">IF(C8956="","",C8956*D8956/100)</f>
        <v/>
      </c>
      <c r="F8956" s="15" t="str">
        <f aca="false">IF(B8956&lt;5,"Go","Standard")</f>
        <v>Standard</v>
      </c>
    </row>
    <row r="8957" customFormat="false" ht="15" hidden="false" customHeight="true" outlineLevel="0" collapsed="false">
      <c r="A8957" s="10" t="n">
        <f aca="false">Einstellungen!$B$5+INT((ROW()-9)/24)</f>
        <v>46338</v>
      </c>
      <c r="B8957" s="11" t="n">
        <f aca="false">MOD(ROW()-9,24)</f>
        <v>20</v>
      </c>
      <c r="C8957" s="12"/>
      <c r="D8957" s="13" t="n">
        <f aca="false">IF(B8957&lt;5,Einstellungen!$B$3,Einstellungen!$B$4)</f>
        <v>29.13</v>
      </c>
      <c r="E8957" s="14" t="str">
        <f aca="false">IF(C8957="","",C8957*D8957/100)</f>
        <v/>
      </c>
      <c r="F8957" s="15" t="str">
        <f aca="false">IF(B8957&lt;5,"Go","Standard")</f>
        <v>Standard</v>
      </c>
    </row>
    <row r="8958" customFormat="false" ht="15" hidden="false" customHeight="true" outlineLevel="0" collapsed="false">
      <c r="A8958" s="10" t="n">
        <f aca="false">Einstellungen!$B$5+INT((ROW()-9)/24)</f>
        <v>46338</v>
      </c>
      <c r="B8958" s="11" t="n">
        <f aca="false">MOD(ROW()-9,24)</f>
        <v>21</v>
      </c>
      <c r="C8958" s="12"/>
      <c r="D8958" s="13" t="n">
        <f aca="false">IF(B8958&lt;5,Einstellungen!$B$3,Einstellungen!$B$4)</f>
        <v>29.13</v>
      </c>
      <c r="E8958" s="14" t="str">
        <f aca="false">IF(C8958="","",C8958*D8958/100)</f>
        <v/>
      </c>
      <c r="F8958" s="15" t="str">
        <f aca="false">IF(B8958&lt;5,"Go","Standard")</f>
        <v>Standard</v>
      </c>
    </row>
    <row r="8959" customFormat="false" ht="15" hidden="false" customHeight="true" outlineLevel="0" collapsed="false">
      <c r="A8959" s="10" t="n">
        <f aca="false">Einstellungen!$B$5+INT((ROW()-9)/24)</f>
        <v>46338</v>
      </c>
      <c r="B8959" s="11" t="n">
        <f aca="false">MOD(ROW()-9,24)</f>
        <v>22</v>
      </c>
      <c r="C8959" s="12"/>
      <c r="D8959" s="13" t="n">
        <f aca="false">IF(B8959&lt;5,Einstellungen!$B$3,Einstellungen!$B$4)</f>
        <v>29.13</v>
      </c>
      <c r="E8959" s="14" t="str">
        <f aca="false">IF(C8959="","",C8959*D8959/100)</f>
        <v/>
      </c>
      <c r="F8959" s="15" t="str">
        <f aca="false">IF(B8959&lt;5,"Go","Standard")</f>
        <v>Standard</v>
      </c>
    </row>
    <row r="8960" customFormat="false" ht="15" hidden="false" customHeight="true" outlineLevel="0" collapsed="false">
      <c r="A8960" s="10" t="n">
        <f aca="false">Einstellungen!$B$5+INT((ROW()-9)/24)</f>
        <v>46338</v>
      </c>
      <c r="B8960" s="11" t="n">
        <f aca="false">MOD(ROW()-9,24)</f>
        <v>23</v>
      </c>
      <c r="C8960" s="12"/>
      <c r="D8960" s="13" t="n">
        <f aca="false">IF(B8960&lt;5,Einstellungen!$B$3,Einstellungen!$B$4)</f>
        <v>29.13</v>
      </c>
      <c r="E8960" s="14" t="str">
        <f aca="false">IF(C8960="","",C8960*D8960/100)</f>
        <v/>
      </c>
      <c r="F8960" s="15" t="str">
        <f aca="false">IF(B8960&lt;5,"Go","Standard")</f>
        <v>Standard</v>
      </c>
    </row>
    <row r="8961" customFormat="false" ht="15" hidden="false" customHeight="true" outlineLevel="0" collapsed="false">
      <c r="A8961" s="10" t="n">
        <f aca="false">Einstellungen!$B$5+INT((ROW()-9)/24)</f>
        <v>46339</v>
      </c>
      <c r="B8961" s="11" t="n">
        <f aca="false">MOD(ROW()-9,24)</f>
        <v>0</v>
      </c>
      <c r="C8961" s="12"/>
      <c r="D8961" s="13" t="n">
        <f aca="false">IF(B8961&lt;5,Einstellungen!$B$3,Einstellungen!$B$4)</f>
        <v>15.92</v>
      </c>
      <c r="E8961" s="14" t="str">
        <f aca="false">IF(C8961="","",C8961*D8961/100)</f>
        <v/>
      </c>
      <c r="F8961" s="15" t="str">
        <f aca="false">IF(B8961&lt;5,"Go","Standard")</f>
        <v>Go</v>
      </c>
    </row>
    <row r="8962" customFormat="false" ht="15" hidden="false" customHeight="true" outlineLevel="0" collapsed="false">
      <c r="A8962" s="10" t="n">
        <f aca="false">Einstellungen!$B$5+INT((ROW()-9)/24)</f>
        <v>46339</v>
      </c>
      <c r="B8962" s="11" t="n">
        <f aca="false">MOD(ROW()-9,24)</f>
        <v>1</v>
      </c>
      <c r="C8962" s="12"/>
      <c r="D8962" s="13" t="n">
        <f aca="false">IF(B8962&lt;5,Einstellungen!$B$3,Einstellungen!$B$4)</f>
        <v>15.92</v>
      </c>
      <c r="E8962" s="14" t="str">
        <f aca="false">IF(C8962="","",C8962*D8962/100)</f>
        <v/>
      </c>
      <c r="F8962" s="15" t="str">
        <f aca="false">IF(B8962&lt;5,"Go","Standard")</f>
        <v>Go</v>
      </c>
    </row>
    <row r="8963" customFormat="false" ht="15" hidden="false" customHeight="true" outlineLevel="0" collapsed="false">
      <c r="A8963" s="10" t="n">
        <f aca="false">Einstellungen!$B$5+INT((ROW()-9)/24)</f>
        <v>46339</v>
      </c>
      <c r="B8963" s="11" t="n">
        <f aca="false">MOD(ROW()-9,24)</f>
        <v>2</v>
      </c>
      <c r="C8963" s="12"/>
      <c r="D8963" s="13" t="n">
        <f aca="false">IF(B8963&lt;5,Einstellungen!$B$3,Einstellungen!$B$4)</f>
        <v>15.92</v>
      </c>
      <c r="E8963" s="14" t="str">
        <f aca="false">IF(C8963="","",C8963*D8963/100)</f>
        <v/>
      </c>
      <c r="F8963" s="15" t="str">
        <f aca="false">IF(B8963&lt;5,"Go","Standard")</f>
        <v>Go</v>
      </c>
    </row>
    <row r="8964" customFormat="false" ht="15" hidden="false" customHeight="true" outlineLevel="0" collapsed="false">
      <c r="A8964" s="10" t="n">
        <f aca="false">Einstellungen!$B$5+INT((ROW()-9)/24)</f>
        <v>46339</v>
      </c>
      <c r="B8964" s="11" t="n">
        <f aca="false">MOD(ROW()-9,24)</f>
        <v>3</v>
      </c>
      <c r="C8964" s="12"/>
      <c r="D8964" s="13" t="n">
        <f aca="false">IF(B8964&lt;5,Einstellungen!$B$3,Einstellungen!$B$4)</f>
        <v>15.92</v>
      </c>
      <c r="E8964" s="14" t="str">
        <f aca="false">IF(C8964="","",C8964*D8964/100)</f>
        <v/>
      </c>
      <c r="F8964" s="15" t="str">
        <f aca="false">IF(B8964&lt;5,"Go","Standard")</f>
        <v>Go</v>
      </c>
    </row>
    <row r="8965" customFormat="false" ht="15" hidden="false" customHeight="true" outlineLevel="0" collapsed="false">
      <c r="A8965" s="10" t="n">
        <f aca="false">Einstellungen!$B$5+INT((ROW()-9)/24)</f>
        <v>46339</v>
      </c>
      <c r="B8965" s="11" t="n">
        <f aca="false">MOD(ROW()-9,24)</f>
        <v>4</v>
      </c>
      <c r="C8965" s="12"/>
      <c r="D8965" s="13" t="n">
        <f aca="false">IF(B8965&lt;5,Einstellungen!$B$3,Einstellungen!$B$4)</f>
        <v>15.92</v>
      </c>
      <c r="E8965" s="14" t="str">
        <f aca="false">IF(C8965="","",C8965*D8965/100)</f>
        <v/>
      </c>
      <c r="F8965" s="15" t="str">
        <f aca="false">IF(B8965&lt;5,"Go","Standard")</f>
        <v>Go</v>
      </c>
    </row>
    <row r="8966" customFormat="false" ht="15" hidden="false" customHeight="true" outlineLevel="0" collapsed="false">
      <c r="A8966" s="10" t="n">
        <f aca="false">Einstellungen!$B$5+INT((ROW()-9)/24)</f>
        <v>46339</v>
      </c>
      <c r="B8966" s="11" t="n">
        <f aca="false">MOD(ROW()-9,24)</f>
        <v>5</v>
      </c>
      <c r="C8966" s="12"/>
      <c r="D8966" s="13" t="n">
        <f aca="false">IF(B8966&lt;5,Einstellungen!$B$3,Einstellungen!$B$4)</f>
        <v>29.13</v>
      </c>
      <c r="E8966" s="14" t="str">
        <f aca="false">IF(C8966="","",C8966*D8966/100)</f>
        <v/>
      </c>
      <c r="F8966" s="15" t="str">
        <f aca="false">IF(B8966&lt;5,"Go","Standard")</f>
        <v>Standard</v>
      </c>
    </row>
    <row r="8967" customFormat="false" ht="15" hidden="false" customHeight="true" outlineLevel="0" collapsed="false">
      <c r="A8967" s="10" t="n">
        <f aca="false">Einstellungen!$B$5+INT((ROW()-9)/24)</f>
        <v>46339</v>
      </c>
      <c r="B8967" s="11" t="n">
        <f aca="false">MOD(ROW()-9,24)</f>
        <v>6</v>
      </c>
      <c r="C8967" s="12"/>
      <c r="D8967" s="13" t="n">
        <f aca="false">IF(B8967&lt;5,Einstellungen!$B$3,Einstellungen!$B$4)</f>
        <v>29.13</v>
      </c>
      <c r="E8967" s="14" t="str">
        <f aca="false">IF(C8967="","",C8967*D8967/100)</f>
        <v/>
      </c>
      <c r="F8967" s="15" t="str">
        <f aca="false">IF(B8967&lt;5,"Go","Standard")</f>
        <v>Standard</v>
      </c>
    </row>
    <row r="8968" customFormat="false" ht="15" hidden="false" customHeight="true" outlineLevel="0" collapsed="false">
      <c r="A8968" s="10" t="n">
        <f aca="false">Einstellungen!$B$5+INT((ROW()-9)/24)</f>
        <v>46339</v>
      </c>
      <c r="B8968" s="11" t="n">
        <f aca="false">MOD(ROW()-9,24)</f>
        <v>7</v>
      </c>
      <c r="C8968" s="12"/>
      <c r="D8968" s="13" t="n">
        <f aca="false">IF(B8968&lt;5,Einstellungen!$B$3,Einstellungen!$B$4)</f>
        <v>29.13</v>
      </c>
      <c r="E8968" s="14" t="str">
        <f aca="false">IF(C8968="","",C8968*D8968/100)</f>
        <v/>
      </c>
      <c r="F8968" s="15" t="str">
        <f aca="false">IF(B8968&lt;5,"Go","Standard")</f>
        <v>Standard</v>
      </c>
    </row>
    <row r="8969" customFormat="false" ht="15" hidden="false" customHeight="true" outlineLevel="0" collapsed="false">
      <c r="A8969" s="10" t="n">
        <f aca="false">Einstellungen!$B$5+INT((ROW()-9)/24)</f>
        <v>46339</v>
      </c>
      <c r="B8969" s="11" t="n">
        <f aca="false">MOD(ROW()-9,24)</f>
        <v>8</v>
      </c>
      <c r="C8969" s="12"/>
      <c r="D8969" s="13" t="n">
        <f aca="false">IF(B8969&lt;5,Einstellungen!$B$3,Einstellungen!$B$4)</f>
        <v>29.13</v>
      </c>
      <c r="E8969" s="14" t="str">
        <f aca="false">IF(C8969="","",C8969*D8969/100)</f>
        <v/>
      </c>
      <c r="F8969" s="15" t="str">
        <f aca="false">IF(B8969&lt;5,"Go","Standard")</f>
        <v>Standard</v>
      </c>
    </row>
    <row r="8970" customFormat="false" ht="15" hidden="false" customHeight="true" outlineLevel="0" collapsed="false">
      <c r="A8970" s="10" t="n">
        <f aca="false">Einstellungen!$B$5+INT((ROW()-9)/24)</f>
        <v>46339</v>
      </c>
      <c r="B8970" s="11" t="n">
        <f aca="false">MOD(ROW()-9,24)</f>
        <v>9</v>
      </c>
      <c r="C8970" s="12"/>
      <c r="D8970" s="13" t="n">
        <f aca="false">IF(B8970&lt;5,Einstellungen!$B$3,Einstellungen!$B$4)</f>
        <v>29.13</v>
      </c>
      <c r="E8970" s="14" t="str">
        <f aca="false">IF(C8970="","",C8970*D8970/100)</f>
        <v/>
      </c>
      <c r="F8970" s="15" t="str">
        <f aca="false">IF(B8970&lt;5,"Go","Standard")</f>
        <v>Standard</v>
      </c>
    </row>
    <row r="8971" customFormat="false" ht="15" hidden="false" customHeight="true" outlineLevel="0" collapsed="false">
      <c r="A8971" s="10" t="n">
        <f aca="false">Einstellungen!$B$5+INT((ROW()-9)/24)</f>
        <v>46339</v>
      </c>
      <c r="B8971" s="11" t="n">
        <f aca="false">MOD(ROW()-9,24)</f>
        <v>10</v>
      </c>
      <c r="C8971" s="12"/>
      <c r="D8971" s="13" t="n">
        <f aca="false">IF(B8971&lt;5,Einstellungen!$B$3,Einstellungen!$B$4)</f>
        <v>29.13</v>
      </c>
      <c r="E8971" s="14" t="str">
        <f aca="false">IF(C8971="","",C8971*D8971/100)</f>
        <v/>
      </c>
      <c r="F8971" s="15" t="str">
        <f aca="false">IF(B8971&lt;5,"Go","Standard")</f>
        <v>Standard</v>
      </c>
    </row>
    <row r="8972" customFormat="false" ht="15" hidden="false" customHeight="true" outlineLevel="0" collapsed="false">
      <c r="A8972" s="10" t="n">
        <f aca="false">Einstellungen!$B$5+INT((ROW()-9)/24)</f>
        <v>46339</v>
      </c>
      <c r="B8972" s="11" t="n">
        <f aca="false">MOD(ROW()-9,24)</f>
        <v>11</v>
      </c>
      <c r="C8972" s="12"/>
      <c r="D8972" s="13" t="n">
        <f aca="false">IF(B8972&lt;5,Einstellungen!$B$3,Einstellungen!$B$4)</f>
        <v>29.13</v>
      </c>
      <c r="E8972" s="14" t="str">
        <f aca="false">IF(C8972="","",C8972*D8972/100)</f>
        <v/>
      </c>
      <c r="F8972" s="15" t="str">
        <f aca="false">IF(B8972&lt;5,"Go","Standard")</f>
        <v>Standard</v>
      </c>
    </row>
    <row r="8973" customFormat="false" ht="15" hidden="false" customHeight="true" outlineLevel="0" collapsed="false">
      <c r="A8973" s="10" t="n">
        <f aca="false">Einstellungen!$B$5+INT((ROW()-9)/24)</f>
        <v>46339</v>
      </c>
      <c r="B8973" s="11" t="n">
        <f aca="false">MOD(ROW()-9,24)</f>
        <v>12</v>
      </c>
      <c r="C8973" s="12"/>
      <c r="D8973" s="13" t="n">
        <f aca="false">IF(B8973&lt;5,Einstellungen!$B$3,Einstellungen!$B$4)</f>
        <v>29.13</v>
      </c>
      <c r="E8973" s="14" t="str">
        <f aca="false">IF(C8973="","",C8973*D8973/100)</f>
        <v/>
      </c>
      <c r="F8973" s="15" t="str">
        <f aca="false">IF(B8973&lt;5,"Go","Standard")</f>
        <v>Standard</v>
      </c>
    </row>
    <row r="8974" customFormat="false" ht="15" hidden="false" customHeight="true" outlineLevel="0" collapsed="false">
      <c r="A8974" s="10" t="n">
        <f aca="false">Einstellungen!$B$5+INT((ROW()-9)/24)</f>
        <v>46339</v>
      </c>
      <c r="B8974" s="11" t="n">
        <f aca="false">MOD(ROW()-9,24)</f>
        <v>13</v>
      </c>
      <c r="C8974" s="12"/>
      <c r="D8974" s="13" t="n">
        <f aca="false">IF(B8974&lt;5,Einstellungen!$B$3,Einstellungen!$B$4)</f>
        <v>29.13</v>
      </c>
      <c r="E8974" s="14" t="str">
        <f aca="false">IF(C8974="","",C8974*D8974/100)</f>
        <v/>
      </c>
      <c r="F8974" s="15" t="str">
        <f aca="false">IF(B8974&lt;5,"Go","Standard")</f>
        <v>Standard</v>
      </c>
    </row>
    <row r="8975" customFormat="false" ht="15" hidden="false" customHeight="true" outlineLevel="0" collapsed="false">
      <c r="A8975" s="10" t="n">
        <f aca="false">Einstellungen!$B$5+INT((ROW()-9)/24)</f>
        <v>46339</v>
      </c>
      <c r="B8975" s="11" t="n">
        <f aca="false">MOD(ROW()-9,24)</f>
        <v>14</v>
      </c>
      <c r="C8975" s="12"/>
      <c r="D8975" s="13" t="n">
        <f aca="false">IF(B8975&lt;5,Einstellungen!$B$3,Einstellungen!$B$4)</f>
        <v>29.13</v>
      </c>
      <c r="E8975" s="14" t="str">
        <f aca="false">IF(C8975="","",C8975*D8975/100)</f>
        <v/>
      </c>
      <c r="F8975" s="15" t="str">
        <f aca="false">IF(B8975&lt;5,"Go","Standard")</f>
        <v>Standard</v>
      </c>
    </row>
    <row r="8976" customFormat="false" ht="15" hidden="false" customHeight="true" outlineLevel="0" collapsed="false">
      <c r="A8976" s="10" t="n">
        <f aca="false">Einstellungen!$B$5+INT((ROW()-9)/24)</f>
        <v>46339</v>
      </c>
      <c r="B8976" s="11" t="n">
        <f aca="false">MOD(ROW()-9,24)</f>
        <v>15</v>
      </c>
      <c r="C8976" s="12"/>
      <c r="D8976" s="13" t="n">
        <f aca="false">IF(B8976&lt;5,Einstellungen!$B$3,Einstellungen!$B$4)</f>
        <v>29.13</v>
      </c>
      <c r="E8976" s="14" t="str">
        <f aca="false">IF(C8976="","",C8976*D8976/100)</f>
        <v/>
      </c>
      <c r="F8976" s="15" t="str">
        <f aca="false">IF(B8976&lt;5,"Go","Standard")</f>
        <v>Standard</v>
      </c>
    </row>
    <row r="8977" customFormat="false" ht="15" hidden="false" customHeight="true" outlineLevel="0" collapsed="false">
      <c r="A8977" s="10" t="n">
        <f aca="false">Einstellungen!$B$5+INT((ROW()-9)/24)</f>
        <v>46339</v>
      </c>
      <c r="B8977" s="11" t="n">
        <f aca="false">MOD(ROW()-9,24)</f>
        <v>16</v>
      </c>
      <c r="C8977" s="12"/>
      <c r="D8977" s="13" t="n">
        <f aca="false">IF(B8977&lt;5,Einstellungen!$B$3,Einstellungen!$B$4)</f>
        <v>29.13</v>
      </c>
      <c r="E8977" s="14" t="str">
        <f aca="false">IF(C8977="","",C8977*D8977/100)</f>
        <v/>
      </c>
      <c r="F8977" s="15" t="str">
        <f aca="false">IF(B8977&lt;5,"Go","Standard")</f>
        <v>Standard</v>
      </c>
    </row>
    <row r="8978" customFormat="false" ht="15" hidden="false" customHeight="true" outlineLevel="0" collapsed="false">
      <c r="A8978" s="10" t="n">
        <f aca="false">Einstellungen!$B$5+INT((ROW()-9)/24)</f>
        <v>46339</v>
      </c>
      <c r="B8978" s="11" t="n">
        <f aca="false">MOD(ROW()-9,24)</f>
        <v>17</v>
      </c>
      <c r="C8978" s="12"/>
      <c r="D8978" s="13" t="n">
        <f aca="false">IF(B8978&lt;5,Einstellungen!$B$3,Einstellungen!$B$4)</f>
        <v>29.13</v>
      </c>
      <c r="E8978" s="14" t="str">
        <f aca="false">IF(C8978="","",C8978*D8978/100)</f>
        <v/>
      </c>
      <c r="F8978" s="15" t="str">
        <f aca="false">IF(B8978&lt;5,"Go","Standard")</f>
        <v>Standard</v>
      </c>
    </row>
    <row r="8979" customFormat="false" ht="15" hidden="false" customHeight="true" outlineLevel="0" collapsed="false">
      <c r="A8979" s="10" t="n">
        <f aca="false">Einstellungen!$B$5+INT((ROW()-9)/24)</f>
        <v>46339</v>
      </c>
      <c r="B8979" s="11" t="n">
        <f aca="false">MOD(ROW()-9,24)</f>
        <v>18</v>
      </c>
      <c r="C8979" s="12"/>
      <c r="D8979" s="13" t="n">
        <f aca="false">IF(B8979&lt;5,Einstellungen!$B$3,Einstellungen!$B$4)</f>
        <v>29.13</v>
      </c>
      <c r="E8979" s="14" t="str">
        <f aca="false">IF(C8979="","",C8979*D8979/100)</f>
        <v/>
      </c>
      <c r="F8979" s="15" t="str">
        <f aca="false">IF(B8979&lt;5,"Go","Standard")</f>
        <v>Standard</v>
      </c>
    </row>
    <row r="8980" customFormat="false" ht="15" hidden="false" customHeight="true" outlineLevel="0" collapsed="false">
      <c r="A8980" s="10" t="n">
        <f aca="false">Einstellungen!$B$5+INT((ROW()-9)/24)</f>
        <v>46339</v>
      </c>
      <c r="B8980" s="11" t="n">
        <f aca="false">MOD(ROW()-9,24)</f>
        <v>19</v>
      </c>
      <c r="C8980" s="12"/>
      <c r="D8980" s="13" t="n">
        <f aca="false">IF(B8980&lt;5,Einstellungen!$B$3,Einstellungen!$B$4)</f>
        <v>29.13</v>
      </c>
      <c r="E8980" s="14" t="str">
        <f aca="false">IF(C8980="","",C8980*D8980/100)</f>
        <v/>
      </c>
      <c r="F8980" s="15" t="str">
        <f aca="false">IF(B8980&lt;5,"Go","Standard")</f>
        <v>Standard</v>
      </c>
    </row>
    <row r="8981" customFormat="false" ht="15" hidden="false" customHeight="true" outlineLevel="0" collapsed="false">
      <c r="A8981" s="10" t="n">
        <f aca="false">Einstellungen!$B$5+INT((ROW()-9)/24)</f>
        <v>46339</v>
      </c>
      <c r="B8981" s="11" t="n">
        <f aca="false">MOD(ROW()-9,24)</f>
        <v>20</v>
      </c>
      <c r="C8981" s="12"/>
      <c r="D8981" s="13" t="n">
        <f aca="false">IF(B8981&lt;5,Einstellungen!$B$3,Einstellungen!$B$4)</f>
        <v>29.13</v>
      </c>
      <c r="E8981" s="14" t="str">
        <f aca="false">IF(C8981="","",C8981*D8981/100)</f>
        <v/>
      </c>
      <c r="F8981" s="15" t="str">
        <f aca="false">IF(B8981&lt;5,"Go","Standard")</f>
        <v>Standard</v>
      </c>
    </row>
    <row r="8982" customFormat="false" ht="15" hidden="false" customHeight="true" outlineLevel="0" collapsed="false">
      <c r="A8982" s="10" t="n">
        <f aca="false">Einstellungen!$B$5+INT((ROW()-9)/24)</f>
        <v>46339</v>
      </c>
      <c r="B8982" s="11" t="n">
        <f aca="false">MOD(ROW()-9,24)</f>
        <v>21</v>
      </c>
      <c r="C8982" s="12"/>
      <c r="D8982" s="13" t="n">
        <f aca="false">IF(B8982&lt;5,Einstellungen!$B$3,Einstellungen!$B$4)</f>
        <v>29.13</v>
      </c>
      <c r="E8982" s="14" t="str">
        <f aca="false">IF(C8982="","",C8982*D8982/100)</f>
        <v/>
      </c>
      <c r="F8982" s="15" t="str">
        <f aca="false">IF(B8982&lt;5,"Go","Standard")</f>
        <v>Standard</v>
      </c>
    </row>
    <row r="8983" customFormat="false" ht="15" hidden="false" customHeight="true" outlineLevel="0" collapsed="false">
      <c r="A8983" s="10" t="n">
        <f aca="false">Einstellungen!$B$5+INT((ROW()-9)/24)</f>
        <v>46339</v>
      </c>
      <c r="B8983" s="11" t="n">
        <f aca="false">MOD(ROW()-9,24)</f>
        <v>22</v>
      </c>
      <c r="C8983" s="12"/>
      <c r="D8983" s="13" t="n">
        <f aca="false">IF(B8983&lt;5,Einstellungen!$B$3,Einstellungen!$B$4)</f>
        <v>29.13</v>
      </c>
      <c r="E8983" s="14" t="str">
        <f aca="false">IF(C8983="","",C8983*D8983/100)</f>
        <v/>
      </c>
      <c r="F8983" s="15" t="str">
        <f aca="false">IF(B8983&lt;5,"Go","Standard")</f>
        <v>Standard</v>
      </c>
    </row>
    <row r="8984" customFormat="false" ht="15" hidden="false" customHeight="true" outlineLevel="0" collapsed="false">
      <c r="A8984" s="10" t="n">
        <f aca="false">Einstellungen!$B$5+INT((ROW()-9)/24)</f>
        <v>46339</v>
      </c>
      <c r="B8984" s="11" t="n">
        <f aca="false">MOD(ROW()-9,24)</f>
        <v>23</v>
      </c>
      <c r="C8984" s="12"/>
      <c r="D8984" s="13" t="n">
        <f aca="false">IF(B8984&lt;5,Einstellungen!$B$3,Einstellungen!$B$4)</f>
        <v>29.13</v>
      </c>
      <c r="E8984" s="14" t="str">
        <f aca="false">IF(C8984="","",C8984*D8984/100)</f>
        <v/>
      </c>
      <c r="F8984" s="15" t="str">
        <f aca="false">IF(B8984&lt;5,"Go","Standard")</f>
        <v>Standard</v>
      </c>
    </row>
    <row r="8985" customFormat="false" ht="15" hidden="false" customHeight="true" outlineLevel="0" collapsed="false">
      <c r="A8985" s="10" t="n">
        <f aca="false">Einstellungen!$B$5+INT((ROW()-9)/24)</f>
        <v>46340</v>
      </c>
      <c r="B8985" s="11" t="n">
        <f aca="false">MOD(ROW()-9,24)</f>
        <v>0</v>
      </c>
      <c r="C8985" s="12"/>
      <c r="D8985" s="13" t="n">
        <f aca="false">IF(B8985&lt;5,Einstellungen!$B$3,Einstellungen!$B$4)</f>
        <v>15.92</v>
      </c>
      <c r="E8985" s="14" t="str">
        <f aca="false">IF(C8985="","",C8985*D8985/100)</f>
        <v/>
      </c>
      <c r="F8985" s="15" t="str">
        <f aca="false">IF(B8985&lt;5,"Go","Standard")</f>
        <v>Go</v>
      </c>
    </row>
    <row r="8986" customFormat="false" ht="15" hidden="false" customHeight="true" outlineLevel="0" collapsed="false">
      <c r="A8986" s="10" t="n">
        <f aca="false">Einstellungen!$B$5+INT((ROW()-9)/24)</f>
        <v>46340</v>
      </c>
      <c r="B8986" s="11" t="n">
        <f aca="false">MOD(ROW()-9,24)</f>
        <v>1</v>
      </c>
      <c r="C8986" s="12"/>
      <c r="D8986" s="13" t="n">
        <f aca="false">IF(B8986&lt;5,Einstellungen!$B$3,Einstellungen!$B$4)</f>
        <v>15.92</v>
      </c>
      <c r="E8986" s="14" t="str">
        <f aca="false">IF(C8986="","",C8986*D8986/100)</f>
        <v/>
      </c>
      <c r="F8986" s="15" t="str">
        <f aca="false">IF(B8986&lt;5,"Go","Standard")</f>
        <v>Go</v>
      </c>
    </row>
    <row r="8987" customFormat="false" ht="15" hidden="false" customHeight="true" outlineLevel="0" collapsed="false">
      <c r="A8987" s="10" t="n">
        <f aca="false">Einstellungen!$B$5+INT((ROW()-9)/24)</f>
        <v>46340</v>
      </c>
      <c r="B8987" s="11" t="n">
        <f aca="false">MOD(ROW()-9,24)</f>
        <v>2</v>
      </c>
      <c r="C8987" s="12"/>
      <c r="D8987" s="13" t="n">
        <f aca="false">IF(B8987&lt;5,Einstellungen!$B$3,Einstellungen!$B$4)</f>
        <v>15.92</v>
      </c>
      <c r="E8987" s="14" t="str">
        <f aca="false">IF(C8987="","",C8987*D8987/100)</f>
        <v/>
      </c>
      <c r="F8987" s="15" t="str">
        <f aca="false">IF(B8987&lt;5,"Go","Standard")</f>
        <v>Go</v>
      </c>
    </row>
    <row r="8988" customFormat="false" ht="15" hidden="false" customHeight="true" outlineLevel="0" collapsed="false">
      <c r="A8988" s="10" t="n">
        <f aca="false">Einstellungen!$B$5+INT((ROW()-9)/24)</f>
        <v>46340</v>
      </c>
      <c r="B8988" s="11" t="n">
        <f aca="false">MOD(ROW()-9,24)</f>
        <v>3</v>
      </c>
      <c r="C8988" s="12"/>
      <c r="D8988" s="13" t="n">
        <f aca="false">IF(B8988&lt;5,Einstellungen!$B$3,Einstellungen!$B$4)</f>
        <v>15.92</v>
      </c>
      <c r="E8988" s="14" t="str">
        <f aca="false">IF(C8988="","",C8988*D8988/100)</f>
        <v/>
      </c>
      <c r="F8988" s="15" t="str">
        <f aca="false">IF(B8988&lt;5,"Go","Standard")</f>
        <v>Go</v>
      </c>
    </row>
    <row r="8989" customFormat="false" ht="15" hidden="false" customHeight="true" outlineLevel="0" collapsed="false">
      <c r="A8989" s="10" t="n">
        <f aca="false">Einstellungen!$B$5+INT((ROW()-9)/24)</f>
        <v>46340</v>
      </c>
      <c r="B8989" s="11" t="n">
        <f aca="false">MOD(ROW()-9,24)</f>
        <v>4</v>
      </c>
      <c r="C8989" s="12"/>
      <c r="D8989" s="13" t="n">
        <f aca="false">IF(B8989&lt;5,Einstellungen!$B$3,Einstellungen!$B$4)</f>
        <v>15.92</v>
      </c>
      <c r="E8989" s="14" t="str">
        <f aca="false">IF(C8989="","",C8989*D8989/100)</f>
        <v/>
      </c>
      <c r="F8989" s="15" t="str">
        <f aca="false">IF(B8989&lt;5,"Go","Standard")</f>
        <v>Go</v>
      </c>
    </row>
    <row r="8990" customFormat="false" ht="15" hidden="false" customHeight="true" outlineLevel="0" collapsed="false">
      <c r="A8990" s="10" t="n">
        <f aca="false">Einstellungen!$B$5+INT((ROW()-9)/24)</f>
        <v>46340</v>
      </c>
      <c r="B8990" s="11" t="n">
        <f aca="false">MOD(ROW()-9,24)</f>
        <v>5</v>
      </c>
      <c r="C8990" s="12"/>
      <c r="D8990" s="13" t="n">
        <f aca="false">IF(B8990&lt;5,Einstellungen!$B$3,Einstellungen!$B$4)</f>
        <v>29.13</v>
      </c>
      <c r="E8990" s="14" t="str">
        <f aca="false">IF(C8990="","",C8990*D8990/100)</f>
        <v/>
      </c>
      <c r="F8990" s="15" t="str">
        <f aca="false">IF(B8990&lt;5,"Go","Standard")</f>
        <v>Standard</v>
      </c>
    </row>
    <row r="8991" customFormat="false" ht="15" hidden="false" customHeight="true" outlineLevel="0" collapsed="false">
      <c r="A8991" s="10" t="n">
        <f aca="false">Einstellungen!$B$5+INT((ROW()-9)/24)</f>
        <v>46340</v>
      </c>
      <c r="B8991" s="11" t="n">
        <f aca="false">MOD(ROW()-9,24)</f>
        <v>6</v>
      </c>
      <c r="C8991" s="12"/>
      <c r="D8991" s="13" t="n">
        <f aca="false">IF(B8991&lt;5,Einstellungen!$B$3,Einstellungen!$B$4)</f>
        <v>29.13</v>
      </c>
      <c r="E8991" s="14" t="str">
        <f aca="false">IF(C8991="","",C8991*D8991/100)</f>
        <v/>
      </c>
      <c r="F8991" s="15" t="str">
        <f aca="false">IF(B8991&lt;5,"Go","Standard")</f>
        <v>Standard</v>
      </c>
    </row>
    <row r="8992" customFormat="false" ht="15" hidden="false" customHeight="true" outlineLevel="0" collapsed="false">
      <c r="A8992" s="10" t="n">
        <f aca="false">Einstellungen!$B$5+INT((ROW()-9)/24)</f>
        <v>46340</v>
      </c>
      <c r="B8992" s="11" t="n">
        <f aca="false">MOD(ROW()-9,24)</f>
        <v>7</v>
      </c>
      <c r="C8992" s="12"/>
      <c r="D8992" s="13" t="n">
        <f aca="false">IF(B8992&lt;5,Einstellungen!$B$3,Einstellungen!$B$4)</f>
        <v>29.13</v>
      </c>
      <c r="E8992" s="14" t="str">
        <f aca="false">IF(C8992="","",C8992*D8992/100)</f>
        <v/>
      </c>
      <c r="F8992" s="15" t="str">
        <f aca="false">IF(B8992&lt;5,"Go","Standard")</f>
        <v>Standard</v>
      </c>
    </row>
    <row r="8993" customFormat="false" ht="15" hidden="false" customHeight="true" outlineLevel="0" collapsed="false">
      <c r="A8993" s="10" t="n">
        <f aca="false">Einstellungen!$B$5+INT((ROW()-9)/24)</f>
        <v>46340</v>
      </c>
      <c r="B8993" s="11" t="n">
        <f aca="false">MOD(ROW()-9,24)</f>
        <v>8</v>
      </c>
      <c r="C8993" s="12"/>
      <c r="D8993" s="13" t="n">
        <f aca="false">IF(B8993&lt;5,Einstellungen!$B$3,Einstellungen!$B$4)</f>
        <v>29.13</v>
      </c>
      <c r="E8993" s="14" t="str">
        <f aca="false">IF(C8993="","",C8993*D8993/100)</f>
        <v/>
      </c>
      <c r="F8993" s="15" t="str">
        <f aca="false">IF(B8993&lt;5,"Go","Standard")</f>
        <v>Standard</v>
      </c>
    </row>
    <row r="8994" customFormat="false" ht="15" hidden="false" customHeight="true" outlineLevel="0" collapsed="false">
      <c r="A8994" s="10" t="n">
        <f aca="false">Einstellungen!$B$5+INT((ROW()-9)/24)</f>
        <v>46340</v>
      </c>
      <c r="B8994" s="11" t="n">
        <f aca="false">MOD(ROW()-9,24)</f>
        <v>9</v>
      </c>
      <c r="C8994" s="12"/>
      <c r="D8994" s="13" t="n">
        <f aca="false">IF(B8994&lt;5,Einstellungen!$B$3,Einstellungen!$B$4)</f>
        <v>29.13</v>
      </c>
      <c r="E8994" s="14" t="str">
        <f aca="false">IF(C8994="","",C8994*D8994/100)</f>
        <v/>
      </c>
      <c r="F8994" s="15" t="str">
        <f aca="false">IF(B8994&lt;5,"Go","Standard")</f>
        <v>Standard</v>
      </c>
    </row>
    <row r="8995" customFormat="false" ht="15" hidden="false" customHeight="true" outlineLevel="0" collapsed="false">
      <c r="A8995" s="10" t="n">
        <f aca="false">Einstellungen!$B$5+INT((ROW()-9)/24)</f>
        <v>46340</v>
      </c>
      <c r="B8995" s="11" t="n">
        <f aca="false">MOD(ROW()-9,24)</f>
        <v>10</v>
      </c>
      <c r="C8995" s="12"/>
      <c r="D8995" s="13" t="n">
        <f aca="false">IF(B8995&lt;5,Einstellungen!$B$3,Einstellungen!$B$4)</f>
        <v>29.13</v>
      </c>
      <c r="E8995" s="14" t="str">
        <f aca="false">IF(C8995="","",C8995*D8995/100)</f>
        <v/>
      </c>
      <c r="F8995" s="15" t="str">
        <f aca="false">IF(B8995&lt;5,"Go","Standard")</f>
        <v>Standard</v>
      </c>
    </row>
    <row r="8996" customFormat="false" ht="15" hidden="false" customHeight="true" outlineLevel="0" collapsed="false">
      <c r="A8996" s="10" t="n">
        <f aca="false">Einstellungen!$B$5+INT((ROW()-9)/24)</f>
        <v>46340</v>
      </c>
      <c r="B8996" s="11" t="n">
        <f aca="false">MOD(ROW()-9,24)</f>
        <v>11</v>
      </c>
      <c r="C8996" s="12"/>
      <c r="D8996" s="13" t="n">
        <f aca="false">IF(B8996&lt;5,Einstellungen!$B$3,Einstellungen!$B$4)</f>
        <v>29.13</v>
      </c>
      <c r="E8996" s="14" t="str">
        <f aca="false">IF(C8996="","",C8996*D8996/100)</f>
        <v/>
      </c>
      <c r="F8996" s="15" t="str">
        <f aca="false">IF(B8996&lt;5,"Go","Standard")</f>
        <v>Standard</v>
      </c>
    </row>
    <row r="8997" customFormat="false" ht="15" hidden="false" customHeight="true" outlineLevel="0" collapsed="false">
      <c r="A8997" s="10" t="n">
        <f aca="false">Einstellungen!$B$5+INT((ROW()-9)/24)</f>
        <v>46340</v>
      </c>
      <c r="B8997" s="11" t="n">
        <f aca="false">MOD(ROW()-9,24)</f>
        <v>12</v>
      </c>
      <c r="C8997" s="12"/>
      <c r="D8997" s="13" t="n">
        <f aca="false">IF(B8997&lt;5,Einstellungen!$B$3,Einstellungen!$B$4)</f>
        <v>29.13</v>
      </c>
      <c r="E8997" s="14" t="str">
        <f aca="false">IF(C8997="","",C8997*D8997/100)</f>
        <v/>
      </c>
      <c r="F8997" s="15" t="str">
        <f aca="false">IF(B8997&lt;5,"Go","Standard")</f>
        <v>Standard</v>
      </c>
    </row>
    <row r="8998" customFormat="false" ht="15" hidden="false" customHeight="true" outlineLevel="0" collapsed="false">
      <c r="A8998" s="10" t="n">
        <f aca="false">Einstellungen!$B$5+INT((ROW()-9)/24)</f>
        <v>46340</v>
      </c>
      <c r="B8998" s="11" t="n">
        <f aca="false">MOD(ROW()-9,24)</f>
        <v>13</v>
      </c>
      <c r="C8998" s="12"/>
      <c r="D8998" s="13" t="n">
        <f aca="false">IF(B8998&lt;5,Einstellungen!$B$3,Einstellungen!$B$4)</f>
        <v>29.13</v>
      </c>
      <c r="E8998" s="14" t="str">
        <f aca="false">IF(C8998="","",C8998*D8998/100)</f>
        <v/>
      </c>
      <c r="F8998" s="15" t="str">
        <f aca="false">IF(B8998&lt;5,"Go","Standard")</f>
        <v>Standard</v>
      </c>
    </row>
    <row r="8999" customFormat="false" ht="15" hidden="false" customHeight="true" outlineLevel="0" collapsed="false">
      <c r="A8999" s="10" t="n">
        <f aca="false">Einstellungen!$B$5+INT((ROW()-9)/24)</f>
        <v>46340</v>
      </c>
      <c r="B8999" s="11" t="n">
        <f aca="false">MOD(ROW()-9,24)</f>
        <v>14</v>
      </c>
      <c r="C8999" s="12"/>
      <c r="D8999" s="13" t="n">
        <f aca="false">IF(B8999&lt;5,Einstellungen!$B$3,Einstellungen!$B$4)</f>
        <v>29.13</v>
      </c>
      <c r="E8999" s="14" t="str">
        <f aca="false">IF(C8999="","",C8999*D8999/100)</f>
        <v/>
      </c>
      <c r="F8999" s="15" t="str">
        <f aca="false">IF(B8999&lt;5,"Go","Standard")</f>
        <v>Standard</v>
      </c>
    </row>
    <row r="9000" customFormat="false" ht="15" hidden="false" customHeight="true" outlineLevel="0" collapsed="false">
      <c r="A9000" s="10" t="n">
        <f aca="false">Einstellungen!$B$5+INT((ROW()-9)/24)</f>
        <v>46340</v>
      </c>
      <c r="B9000" s="11" t="n">
        <f aca="false">MOD(ROW()-9,24)</f>
        <v>15</v>
      </c>
      <c r="C9000" s="12"/>
      <c r="D9000" s="13" t="n">
        <f aca="false">IF(B9000&lt;5,Einstellungen!$B$3,Einstellungen!$B$4)</f>
        <v>29.13</v>
      </c>
      <c r="E9000" s="14" t="str">
        <f aca="false">IF(C9000="","",C9000*D9000/100)</f>
        <v/>
      </c>
      <c r="F9000" s="15" t="str">
        <f aca="false">IF(B9000&lt;5,"Go","Standard")</f>
        <v>Standard</v>
      </c>
    </row>
    <row r="9001" customFormat="false" ht="15" hidden="false" customHeight="true" outlineLevel="0" collapsed="false">
      <c r="A9001" s="10" t="n">
        <f aca="false">Einstellungen!$B$5+INT((ROW()-9)/24)</f>
        <v>46340</v>
      </c>
      <c r="B9001" s="11" t="n">
        <f aca="false">MOD(ROW()-9,24)</f>
        <v>16</v>
      </c>
      <c r="C9001" s="12"/>
      <c r="D9001" s="13" t="n">
        <f aca="false">IF(B9001&lt;5,Einstellungen!$B$3,Einstellungen!$B$4)</f>
        <v>29.13</v>
      </c>
      <c r="E9001" s="14" t="str">
        <f aca="false">IF(C9001="","",C9001*D9001/100)</f>
        <v/>
      </c>
      <c r="F9001" s="15" t="str">
        <f aca="false">IF(B9001&lt;5,"Go","Standard")</f>
        <v>Standard</v>
      </c>
    </row>
    <row r="9002" customFormat="false" ht="15" hidden="false" customHeight="true" outlineLevel="0" collapsed="false">
      <c r="A9002" s="10" t="n">
        <f aca="false">Einstellungen!$B$5+INT((ROW()-9)/24)</f>
        <v>46340</v>
      </c>
      <c r="B9002" s="11" t="n">
        <f aca="false">MOD(ROW()-9,24)</f>
        <v>17</v>
      </c>
      <c r="C9002" s="12"/>
      <c r="D9002" s="13" t="n">
        <f aca="false">IF(B9002&lt;5,Einstellungen!$B$3,Einstellungen!$B$4)</f>
        <v>29.13</v>
      </c>
      <c r="E9002" s="14" t="str">
        <f aca="false">IF(C9002="","",C9002*D9002/100)</f>
        <v/>
      </c>
      <c r="F9002" s="15" t="str">
        <f aca="false">IF(B9002&lt;5,"Go","Standard")</f>
        <v>Standard</v>
      </c>
    </row>
    <row r="9003" customFormat="false" ht="15" hidden="false" customHeight="true" outlineLevel="0" collapsed="false">
      <c r="A9003" s="10" t="n">
        <f aca="false">Einstellungen!$B$5+INT((ROW()-9)/24)</f>
        <v>46340</v>
      </c>
      <c r="B9003" s="11" t="n">
        <f aca="false">MOD(ROW()-9,24)</f>
        <v>18</v>
      </c>
      <c r="C9003" s="12"/>
      <c r="D9003" s="13" t="n">
        <f aca="false">IF(B9003&lt;5,Einstellungen!$B$3,Einstellungen!$B$4)</f>
        <v>29.13</v>
      </c>
      <c r="E9003" s="14" t="str">
        <f aca="false">IF(C9003="","",C9003*D9003/100)</f>
        <v/>
      </c>
      <c r="F9003" s="15" t="str">
        <f aca="false">IF(B9003&lt;5,"Go","Standard")</f>
        <v>Standard</v>
      </c>
    </row>
    <row r="9004" customFormat="false" ht="15" hidden="false" customHeight="true" outlineLevel="0" collapsed="false">
      <c r="A9004" s="10" t="n">
        <f aca="false">Einstellungen!$B$5+INT((ROW()-9)/24)</f>
        <v>46340</v>
      </c>
      <c r="B9004" s="11" t="n">
        <f aca="false">MOD(ROW()-9,24)</f>
        <v>19</v>
      </c>
      <c r="C9004" s="12"/>
      <c r="D9004" s="13" t="n">
        <f aca="false">IF(B9004&lt;5,Einstellungen!$B$3,Einstellungen!$B$4)</f>
        <v>29.13</v>
      </c>
      <c r="E9004" s="14" t="str">
        <f aca="false">IF(C9004="","",C9004*D9004/100)</f>
        <v/>
      </c>
      <c r="F9004" s="15" t="str">
        <f aca="false">IF(B9004&lt;5,"Go","Standard")</f>
        <v>Standard</v>
      </c>
    </row>
    <row r="9005" customFormat="false" ht="15" hidden="false" customHeight="true" outlineLevel="0" collapsed="false">
      <c r="A9005" s="10" t="n">
        <f aca="false">Einstellungen!$B$5+INT((ROW()-9)/24)</f>
        <v>46340</v>
      </c>
      <c r="B9005" s="11" t="n">
        <f aca="false">MOD(ROW()-9,24)</f>
        <v>20</v>
      </c>
      <c r="C9005" s="12"/>
      <c r="D9005" s="13" t="n">
        <f aca="false">IF(B9005&lt;5,Einstellungen!$B$3,Einstellungen!$B$4)</f>
        <v>29.13</v>
      </c>
      <c r="E9005" s="14" t="str">
        <f aca="false">IF(C9005="","",C9005*D9005/100)</f>
        <v/>
      </c>
      <c r="F9005" s="15" t="str">
        <f aca="false">IF(B9005&lt;5,"Go","Standard")</f>
        <v>Standard</v>
      </c>
    </row>
    <row r="9006" customFormat="false" ht="15" hidden="false" customHeight="true" outlineLevel="0" collapsed="false">
      <c r="A9006" s="10" t="n">
        <f aca="false">Einstellungen!$B$5+INT((ROW()-9)/24)</f>
        <v>46340</v>
      </c>
      <c r="B9006" s="11" t="n">
        <f aca="false">MOD(ROW()-9,24)</f>
        <v>21</v>
      </c>
      <c r="C9006" s="12"/>
      <c r="D9006" s="13" t="n">
        <f aca="false">IF(B9006&lt;5,Einstellungen!$B$3,Einstellungen!$B$4)</f>
        <v>29.13</v>
      </c>
      <c r="E9006" s="14" t="str">
        <f aca="false">IF(C9006="","",C9006*D9006/100)</f>
        <v/>
      </c>
      <c r="F9006" s="15" t="str">
        <f aca="false">IF(B9006&lt;5,"Go","Standard")</f>
        <v>Standard</v>
      </c>
    </row>
    <row r="9007" customFormat="false" ht="15" hidden="false" customHeight="true" outlineLevel="0" collapsed="false">
      <c r="A9007" s="10" t="n">
        <f aca="false">Einstellungen!$B$5+INT((ROW()-9)/24)</f>
        <v>46340</v>
      </c>
      <c r="B9007" s="11" t="n">
        <f aca="false">MOD(ROW()-9,24)</f>
        <v>22</v>
      </c>
      <c r="C9007" s="12"/>
      <c r="D9007" s="13" t="n">
        <f aca="false">IF(B9007&lt;5,Einstellungen!$B$3,Einstellungen!$B$4)</f>
        <v>29.13</v>
      </c>
      <c r="E9007" s="14" t="str">
        <f aca="false">IF(C9007="","",C9007*D9007/100)</f>
        <v/>
      </c>
      <c r="F9007" s="15" t="str">
        <f aca="false">IF(B9007&lt;5,"Go","Standard")</f>
        <v>Standard</v>
      </c>
    </row>
    <row r="9008" customFormat="false" ht="15" hidden="false" customHeight="true" outlineLevel="0" collapsed="false">
      <c r="A9008" s="10" t="n">
        <f aca="false">Einstellungen!$B$5+INT((ROW()-9)/24)</f>
        <v>46340</v>
      </c>
      <c r="B9008" s="11" t="n">
        <f aca="false">MOD(ROW()-9,24)</f>
        <v>23</v>
      </c>
      <c r="C9008" s="12"/>
      <c r="D9008" s="13" t="n">
        <f aca="false">IF(B9008&lt;5,Einstellungen!$B$3,Einstellungen!$B$4)</f>
        <v>29.13</v>
      </c>
      <c r="E9008" s="14" t="str">
        <f aca="false">IF(C9008="","",C9008*D9008/100)</f>
        <v/>
      </c>
      <c r="F9008" s="15" t="str">
        <f aca="false">IF(B9008&lt;5,"Go","Standard")</f>
        <v>Standard</v>
      </c>
    </row>
    <row r="9009" customFormat="false" ht="15" hidden="false" customHeight="true" outlineLevel="0" collapsed="false">
      <c r="A9009" s="10" t="n">
        <f aca="false">Einstellungen!$B$5+INT((ROW()-9)/24)</f>
        <v>46341</v>
      </c>
      <c r="B9009" s="11" t="n">
        <f aca="false">MOD(ROW()-9,24)</f>
        <v>0</v>
      </c>
      <c r="C9009" s="12"/>
      <c r="D9009" s="13" t="n">
        <f aca="false">IF(B9009&lt;5,Einstellungen!$B$3,Einstellungen!$B$4)</f>
        <v>15.92</v>
      </c>
      <c r="E9009" s="14" t="str">
        <f aca="false">IF(C9009="","",C9009*D9009/100)</f>
        <v/>
      </c>
      <c r="F9009" s="15" t="str">
        <f aca="false">IF(B9009&lt;5,"Go","Standard")</f>
        <v>Go</v>
      </c>
    </row>
    <row r="9010" customFormat="false" ht="15" hidden="false" customHeight="true" outlineLevel="0" collapsed="false">
      <c r="A9010" s="10" t="n">
        <f aca="false">Einstellungen!$B$5+INT((ROW()-9)/24)</f>
        <v>46341</v>
      </c>
      <c r="B9010" s="11" t="n">
        <f aca="false">MOD(ROW()-9,24)</f>
        <v>1</v>
      </c>
      <c r="C9010" s="12"/>
      <c r="D9010" s="13" t="n">
        <f aca="false">IF(B9010&lt;5,Einstellungen!$B$3,Einstellungen!$B$4)</f>
        <v>15.92</v>
      </c>
      <c r="E9010" s="14" t="str">
        <f aca="false">IF(C9010="","",C9010*D9010/100)</f>
        <v/>
      </c>
      <c r="F9010" s="15" t="str">
        <f aca="false">IF(B9010&lt;5,"Go","Standard")</f>
        <v>Go</v>
      </c>
    </row>
    <row r="9011" customFormat="false" ht="15" hidden="false" customHeight="true" outlineLevel="0" collapsed="false">
      <c r="A9011" s="10" t="n">
        <f aca="false">Einstellungen!$B$5+INT((ROW()-9)/24)</f>
        <v>46341</v>
      </c>
      <c r="B9011" s="11" t="n">
        <f aca="false">MOD(ROW()-9,24)</f>
        <v>2</v>
      </c>
      <c r="C9011" s="12"/>
      <c r="D9011" s="13" t="n">
        <f aca="false">IF(B9011&lt;5,Einstellungen!$B$3,Einstellungen!$B$4)</f>
        <v>15.92</v>
      </c>
      <c r="E9011" s="14" t="str">
        <f aca="false">IF(C9011="","",C9011*D9011/100)</f>
        <v/>
      </c>
      <c r="F9011" s="15" t="str">
        <f aca="false">IF(B9011&lt;5,"Go","Standard")</f>
        <v>Go</v>
      </c>
    </row>
    <row r="9012" customFormat="false" ht="15" hidden="false" customHeight="true" outlineLevel="0" collapsed="false">
      <c r="A9012" s="10" t="n">
        <f aca="false">Einstellungen!$B$5+INT((ROW()-9)/24)</f>
        <v>46341</v>
      </c>
      <c r="B9012" s="11" t="n">
        <f aca="false">MOD(ROW()-9,24)</f>
        <v>3</v>
      </c>
      <c r="C9012" s="12"/>
      <c r="D9012" s="13" t="n">
        <f aca="false">IF(B9012&lt;5,Einstellungen!$B$3,Einstellungen!$B$4)</f>
        <v>15.92</v>
      </c>
      <c r="E9012" s="14" t="str">
        <f aca="false">IF(C9012="","",C9012*D9012/100)</f>
        <v/>
      </c>
      <c r="F9012" s="15" t="str">
        <f aca="false">IF(B9012&lt;5,"Go","Standard")</f>
        <v>Go</v>
      </c>
    </row>
    <row r="9013" customFormat="false" ht="15" hidden="false" customHeight="true" outlineLevel="0" collapsed="false">
      <c r="A9013" s="10" t="n">
        <f aca="false">Einstellungen!$B$5+INT((ROW()-9)/24)</f>
        <v>46341</v>
      </c>
      <c r="B9013" s="11" t="n">
        <f aca="false">MOD(ROW()-9,24)</f>
        <v>4</v>
      </c>
      <c r="C9013" s="12"/>
      <c r="D9013" s="13" t="n">
        <f aca="false">IF(B9013&lt;5,Einstellungen!$B$3,Einstellungen!$B$4)</f>
        <v>15.92</v>
      </c>
      <c r="E9013" s="14" t="str">
        <f aca="false">IF(C9013="","",C9013*D9013/100)</f>
        <v/>
      </c>
      <c r="F9013" s="15" t="str">
        <f aca="false">IF(B9013&lt;5,"Go","Standard")</f>
        <v>Go</v>
      </c>
    </row>
    <row r="9014" customFormat="false" ht="15" hidden="false" customHeight="true" outlineLevel="0" collapsed="false">
      <c r="A9014" s="10" t="n">
        <f aca="false">Einstellungen!$B$5+INT((ROW()-9)/24)</f>
        <v>46341</v>
      </c>
      <c r="B9014" s="11" t="n">
        <f aca="false">MOD(ROW()-9,24)</f>
        <v>5</v>
      </c>
      <c r="C9014" s="12"/>
      <c r="D9014" s="13" t="n">
        <f aca="false">IF(B9014&lt;5,Einstellungen!$B$3,Einstellungen!$B$4)</f>
        <v>29.13</v>
      </c>
      <c r="E9014" s="14" t="str">
        <f aca="false">IF(C9014="","",C9014*D9014/100)</f>
        <v/>
      </c>
      <c r="F9014" s="15" t="str">
        <f aca="false">IF(B9014&lt;5,"Go","Standard")</f>
        <v>Standard</v>
      </c>
    </row>
    <row r="9015" customFormat="false" ht="15" hidden="false" customHeight="true" outlineLevel="0" collapsed="false">
      <c r="A9015" s="10" t="n">
        <f aca="false">Einstellungen!$B$5+INT((ROW()-9)/24)</f>
        <v>46341</v>
      </c>
      <c r="B9015" s="11" t="n">
        <f aca="false">MOD(ROW()-9,24)</f>
        <v>6</v>
      </c>
      <c r="C9015" s="12"/>
      <c r="D9015" s="13" t="n">
        <f aca="false">IF(B9015&lt;5,Einstellungen!$B$3,Einstellungen!$B$4)</f>
        <v>29.13</v>
      </c>
      <c r="E9015" s="14" t="str">
        <f aca="false">IF(C9015="","",C9015*D9015/100)</f>
        <v/>
      </c>
      <c r="F9015" s="15" t="str">
        <f aca="false">IF(B9015&lt;5,"Go","Standard")</f>
        <v>Standard</v>
      </c>
    </row>
    <row r="9016" customFormat="false" ht="15" hidden="false" customHeight="true" outlineLevel="0" collapsed="false">
      <c r="A9016" s="10" t="n">
        <f aca="false">Einstellungen!$B$5+INT((ROW()-9)/24)</f>
        <v>46341</v>
      </c>
      <c r="B9016" s="11" t="n">
        <f aca="false">MOD(ROW()-9,24)</f>
        <v>7</v>
      </c>
      <c r="C9016" s="12"/>
      <c r="D9016" s="13" t="n">
        <f aca="false">IF(B9016&lt;5,Einstellungen!$B$3,Einstellungen!$B$4)</f>
        <v>29.13</v>
      </c>
      <c r="E9016" s="14" t="str">
        <f aca="false">IF(C9016="","",C9016*D9016/100)</f>
        <v/>
      </c>
      <c r="F9016" s="15" t="str">
        <f aca="false">IF(B9016&lt;5,"Go","Standard")</f>
        <v>Standard</v>
      </c>
    </row>
    <row r="9017" customFormat="false" ht="15" hidden="false" customHeight="true" outlineLevel="0" collapsed="false">
      <c r="A9017" s="10" t="n">
        <f aca="false">Einstellungen!$B$5+INT((ROW()-9)/24)</f>
        <v>46341</v>
      </c>
      <c r="B9017" s="11" t="n">
        <f aca="false">MOD(ROW()-9,24)</f>
        <v>8</v>
      </c>
      <c r="C9017" s="12"/>
      <c r="D9017" s="13" t="n">
        <f aca="false">IF(B9017&lt;5,Einstellungen!$B$3,Einstellungen!$B$4)</f>
        <v>29.13</v>
      </c>
      <c r="E9017" s="14" t="str">
        <f aca="false">IF(C9017="","",C9017*D9017/100)</f>
        <v/>
      </c>
      <c r="F9017" s="15" t="str">
        <f aca="false">IF(B9017&lt;5,"Go","Standard")</f>
        <v>Standard</v>
      </c>
    </row>
    <row r="9018" customFormat="false" ht="15" hidden="false" customHeight="true" outlineLevel="0" collapsed="false">
      <c r="A9018" s="10" t="n">
        <f aca="false">Einstellungen!$B$5+INT((ROW()-9)/24)</f>
        <v>46341</v>
      </c>
      <c r="B9018" s="11" t="n">
        <f aca="false">MOD(ROW()-9,24)</f>
        <v>9</v>
      </c>
      <c r="C9018" s="12"/>
      <c r="D9018" s="13" t="n">
        <f aca="false">IF(B9018&lt;5,Einstellungen!$B$3,Einstellungen!$B$4)</f>
        <v>29.13</v>
      </c>
      <c r="E9018" s="14" t="str">
        <f aca="false">IF(C9018="","",C9018*D9018/100)</f>
        <v/>
      </c>
      <c r="F9018" s="15" t="str">
        <f aca="false">IF(B9018&lt;5,"Go","Standard")</f>
        <v>Standard</v>
      </c>
    </row>
    <row r="9019" customFormat="false" ht="15" hidden="false" customHeight="true" outlineLevel="0" collapsed="false">
      <c r="A9019" s="10" t="n">
        <f aca="false">Einstellungen!$B$5+INT((ROW()-9)/24)</f>
        <v>46341</v>
      </c>
      <c r="B9019" s="11" t="n">
        <f aca="false">MOD(ROW()-9,24)</f>
        <v>10</v>
      </c>
      <c r="C9019" s="12"/>
      <c r="D9019" s="13" t="n">
        <f aca="false">IF(B9019&lt;5,Einstellungen!$B$3,Einstellungen!$B$4)</f>
        <v>29.13</v>
      </c>
      <c r="E9019" s="14" t="str">
        <f aca="false">IF(C9019="","",C9019*D9019/100)</f>
        <v/>
      </c>
      <c r="F9019" s="15" t="str">
        <f aca="false">IF(B9019&lt;5,"Go","Standard")</f>
        <v>Standard</v>
      </c>
    </row>
    <row r="9020" customFormat="false" ht="15" hidden="false" customHeight="true" outlineLevel="0" collapsed="false">
      <c r="A9020" s="10" t="n">
        <f aca="false">Einstellungen!$B$5+INT((ROW()-9)/24)</f>
        <v>46341</v>
      </c>
      <c r="B9020" s="11" t="n">
        <f aca="false">MOD(ROW()-9,24)</f>
        <v>11</v>
      </c>
      <c r="C9020" s="12"/>
      <c r="D9020" s="13" t="n">
        <f aca="false">IF(B9020&lt;5,Einstellungen!$B$3,Einstellungen!$B$4)</f>
        <v>29.13</v>
      </c>
      <c r="E9020" s="14" t="str">
        <f aca="false">IF(C9020="","",C9020*D9020/100)</f>
        <v/>
      </c>
      <c r="F9020" s="15" t="str">
        <f aca="false">IF(B9020&lt;5,"Go","Standard")</f>
        <v>Standard</v>
      </c>
    </row>
    <row r="9021" customFormat="false" ht="15" hidden="false" customHeight="true" outlineLevel="0" collapsed="false">
      <c r="A9021" s="10" t="n">
        <f aca="false">Einstellungen!$B$5+INT((ROW()-9)/24)</f>
        <v>46341</v>
      </c>
      <c r="B9021" s="11" t="n">
        <f aca="false">MOD(ROW()-9,24)</f>
        <v>12</v>
      </c>
      <c r="C9021" s="12"/>
      <c r="D9021" s="13" t="n">
        <f aca="false">IF(B9021&lt;5,Einstellungen!$B$3,Einstellungen!$B$4)</f>
        <v>29.13</v>
      </c>
      <c r="E9021" s="14" t="str">
        <f aca="false">IF(C9021="","",C9021*D9021/100)</f>
        <v/>
      </c>
      <c r="F9021" s="15" t="str">
        <f aca="false">IF(B9021&lt;5,"Go","Standard")</f>
        <v>Standard</v>
      </c>
    </row>
    <row r="9022" customFormat="false" ht="15" hidden="false" customHeight="true" outlineLevel="0" collapsed="false">
      <c r="A9022" s="10" t="n">
        <f aca="false">Einstellungen!$B$5+INT((ROW()-9)/24)</f>
        <v>46341</v>
      </c>
      <c r="B9022" s="11" t="n">
        <f aca="false">MOD(ROW()-9,24)</f>
        <v>13</v>
      </c>
      <c r="C9022" s="12"/>
      <c r="D9022" s="13" t="n">
        <f aca="false">IF(B9022&lt;5,Einstellungen!$B$3,Einstellungen!$B$4)</f>
        <v>29.13</v>
      </c>
      <c r="E9022" s="14" t="str">
        <f aca="false">IF(C9022="","",C9022*D9022/100)</f>
        <v/>
      </c>
      <c r="F9022" s="15" t="str">
        <f aca="false">IF(B9022&lt;5,"Go","Standard")</f>
        <v>Standard</v>
      </c>
    </row>
    <row r="9023" customFormat="false" ht="15" hidden="false" customHeight="true" outlineLevel="0" collapsed="false">
      <c r="A9023" s="10" t="n">
        <f aca="false">Einstellungen!$B$5+INT((ROW()-9)/24)</f>
        <v>46341</v>
      </c>
      <c r="B9023" s="11" t="n">
        <f aca="false">MOD(ROW()-9,24)</f>
        <v>14</v>
      </c>
      <c r="C9023" s="12"/>
      <c r="D9023" s="13" t="n">
        <f aca="false">IF(B9023&lt;5,Einstellungen!$B$3,Einstellungen!$B$4)</f>
        <v>29.13</v>
      </c>
      <c r="E9023" s="14" t="str">
        <f aca="false">IF(C9023="","",C9023*D9023/100)</f>
        <v/>
      </c>
      <c r="F9023" s="15" t="str">
        <f aca="false">IF(B9023&lt;5,"Go","Standard")</f>
        <v>Standard</v>
      </c>
    </row>
    <row r="9024" customFormat="false" ht="15" hidden="false" customHeight="true" outlineLevel="0" collapsed="false">
      <c r="A9024" s="10" t="n">
        <f aca="false">Einstellungen!$B$5+INT((ROW()-9)/24)</f>
        <v>46341</v>
      </c>
      <c r="B9024" s="11" t="n">
        <f aca="false">MOD(ROW()-9,24)</f>
        <v>15</v>
      </c>
      <c r="C9024" s="12"/>
      <c r="D9024" s="13" t="n">
        <f aca="false">IF(B9024&lt;5,Einstellungen!$B$3,Einstellungen!$B$4)</f>
        <v>29.13</v>
      </c>
      <c r="E9024" s="14" t="str">
        <f aca="false">IF(C9024="","",C9024*D9024/100)</f>
        <v/>
      </c>
      <c r="F9024" s="15" t="str">
        <f aca="false">IF(B9024&lt;5,"Go","Standard")</f>
        <v>Standard</v>
      </c>
    </row>
    <row r="9025" customFormat="false" ht="15" hidden="false" customHeight="true" outlineLevel="0" collapsed="false">
      <c r="A9025" s="10" t="n">
        <f aca="false">Einstellungen!$B$5+INT((ROW()-9)/24)</f>
        <v>46341</v>
      </c>
      <c r="B9025" s="11" t="n">
        <f aca="false">MOD(ROW()-9,24)</f>
        <v>16</v>
      </c>
      <c r="C9025" s="12"/>
      <c r="D9025" s="13" t="n">
        <f aca="false">IF(B9025&lt;5,Einstellungen!$B$3,Einstellungen!$B$4)</f>
        <v>29.13</v>
      </c>
      <c r="E9025" s="14" t="str">
        <f aca="false">IF(C9025="","",C9025*D9025/100)</f>
        <v/>
      </c>
      <c r="F9025" s="15" t="str">
        <f aca="false">IF(B9025&lt;5,"Go","Standard")</f>
        <v>Standard</v>
      </c>
    </row>
    <row r="9026" customFormat="false" ht="15" hidden="false" customHeight="true" outlineLevel="0" collapsed="false">
      <c r="A9026" s="10" t="n">
        <f aca="false">Einstellungen!$B$5+INT((ROW()-9)/24)</f>
        <v>46341</v>
      </c>
      <c r="B9026" s="11" t="n">
        <f aca="false">MOD(ROW()-9,24)</f>
        <v>17</v>
      </c>
      <c r="C9026" s="12"/>
      <c r="D9026" s="13" t="n">
        <f aca="false">IF(B9026&lt;5,Einstellungen!$B$3,Einstellungen!$B$4)</f>
        <v>29.13</v>
      </c>
      <c r="E9026" s="14" t="str">
        <f aca="false">IF(C9026="","",C9026*D9026/100)</f>
        <v/>
      </c>
      <c r="F9026" s="15" t="str">
        <f aca="false">IF(B9026&lt;5,"Go","Standard")</f>
        <v>Standard</v>
      </c>
    </row>
    <row r="9027" customFormat="false" ht="15" hidden="false" customHeight="true" outlineLevel="0" collapsed="false">
      <c r="A9027" s="10" t="n">
        <f aca="false">Einstellungen!$B$5+INT((ROW()-9)/24)</f>
        <v>46341</v>
      </c>
      <c r="B9027" s="11" t="n">
        <f aca="false">MOD(ROW()-9,24)</f>
        <v>18</v>
      </c>
      <c r="C9027" s="12"/>
      <c r="D9027" s="13" t="n">
        <f aca="false">IF(B9027&lt;5,Einstellungen!$B$3,Einstellungen!$B$4)</f>
        <v>29.13</v>
      </c>
      <c r="E9027" s="14" t="str">
        <f aca="false">IF(C9027="","",C9027*D9027/100)</f>
        <v/>
      </c>
      <c r="F9027" s="15" t="str">
        <f aca="false">IF(B9027&lt;5,"Go","Standard")</f>
        <v>Standard</v>
      </c>
    </row>
    <row r="9028" customFormat="false" ht="15" hidden="false" customHeight="true" outlineLevel="0" collapsed="false">
      <c r="A9028" s="10" t="n">
        <f aca="false">Einstellungen!$B$5+INT((ROW()-9)/24)</f>
        <v>46341</v>
      </c>
      <c r="B9028" s="11" t="n">
        <f aca="false">MOD(ROW()-9,24)</f>
        <v>19</v>
      </c>
      <c r="C9028" s="12"/>
      <c r="D9028" s="13" t="n">
        <f aca="false">IF(B9028&lt;5,Einstellungen!$B$3,Einstellungen!$B$4)</f>
        <v>29.13</v>
      </c>
      <c r="E9028" s="14" t="str">
        <f aca="false">IF(C9028="","",C9028*D9028/100)</f>
        <v/>
      </c>
      <c r="F9028" s="15" t="str">
        <f aca="false">IF(B9028&lt;5,"Go","Standard")</f>
        <v>Standard</v>
      </c>
    </row>
    <row r="9029" customFormat="false" ht="15" hidden="false" customHeight="true" outlineLevel="0" collapsed="false">
      <c r="A9029" s="10" t="n">
        <f aca="false">Einstellungen!$B$5+INT((ROW()-9)/24)</f>
        <v>46341</v>
      </c>
      <c r="B9029" s="11" t="n">
        <f aca="false">MOD(ROW()-9,24)</f>
        <v>20</v>
      </c>
      <c r="C9029" s="12"/>
      <c r="D9029" s="13" t="n">
        <f aca="false">IF(B9029&lt;5,Einstellungen!$B$3,Einstellungen!$B$4)</f>
        <v>29.13</v>
      </c>
      <c r="E9029" s="14" t="str">
        <f aca="false">IF(C9029="","",C9029*D9029/100)</f>
        <v/>
      </c>
      <c r="F9029" s="15" t="str">
        <f aca="false">IF(B9029&lt;5,"Go","Standard")</f>
        <v>Standard</v>
      </c>
    </row>
    <row r="9030" customFormat="false" ht="15" hidden="false" customHeight="true" outlineLevel="0" collapsed="false">
      <c r="A9030" s="10" t="n">
        <f aca="false">Einstellungen!$B$5+INT((ROW()-9)/24)</f>
        <v>46341</v>
      </c>
      <c r="B9030" s="11" t="n">
        <f aca="false">MOD(ROW()-9,24)</f>
        <v>21</v>
      </c>
      <c r="C9030" s="12"/>
      <c r="D9030" s="13" t="n">
        <f aca="false">IF(B9030&lt;5,Einstellungen!$B$3,Einstellungen!$B$4)</f>
        <v>29.13</v>
      </c>
      <c r="E9030" s="14" t="str">
        <f aca="false">IF(C9030="","",C9030*D9030/100)</f>
        <v/>
      </c>
      <c r="F9030" s="15" t="str">
        <f aca="false">IF(B9030&lt;5,"Go","Standard")</f>
        <v>Standard</v>
      </c>
    </row>
    <row r="9031" customFormat="false" ht="15" hidden="false" customHeight="true" outlineLevel="0" collapsed="false">
      <c r="A9031" s="10" t="n">
        <f aca="false">Einstellungen!$B$5+INT((ROW()-9)/24)</f>
        <v>46341</v>
      </c>
      <c r="B9031" s="11" t="n">
        <f aca="false">MOD(ROW()-9,24)</f>
        <v>22</v>
      </c>
      <c r="C9031" s="12"/>
      <c r="D9031" s="13" t="n">
        <f aca="false">IF(B9031&lt;5,Einstellungen!$B$3,Einstellungen!$B$4)</f>
        <v>29.13</v>
      </c>
      <c r="E9031" s="14" t="str">
        <f aca="false">IF(C9031="","",C9031*D9031/100)</f>
        <v/>
      </c>
      <c r="F9031" s="15" t="str">
        <f aca="false">IF(B9031&lt;5,"Go","Standard")</f>
        <v>Standard</v>
      </c>
    </row>
    <row r="9032" customFormat="false" ht="15" hidden="false" customHeight="true" outlineLevel="0" collapsed="false">
      <c r="A9032" s="10" t="n">
        <f aca="false">Einstellungen!$B$5+INT((ROW()-9)/24)</f>
        <v>46341</v>
      </c>
      <c r="B9032" s="11" t="n">
        <f aca="false">MOD(ROW()-9,24)</f>
        <v>23</v>
      </c>
      <c r="C9032" s="12"/>
      <c r="D9032" s="13" t="n">
        <f aca="false">IF(B9032&lt;5,Einstellungen!$B$3,Einstellungen!$B$4)</f>
        <v>29.13</v>
      </c>
      <c r="E9032" s="14" t="str">
        <f aca="false">IF(C9032="","",C9032*D9032/100)</f>
        <v/>
      </c>
      <c r="F9032" s="15" t="str">
        <f aca="false">IF(B9032&lt;5,"Go","Standard")</f>
        <v>Standard</v>
      </c>
    </row>
    <row r="9033" customFormat="false" ht="15" hidden="false" customHeight="true" outlineLevel="0" collapsed="false">
      <c r="A9033" s="10" t="n">
        <f aca="false">Einstellungen!$B$5+INT((ROW()-9)/24)</f>
        <v>46342</v>
      </c>
      <c r="B9033" s="11" t="n">
        <f aca="false">MOD(ROW()-9,24)</f>
        <v>0</v>
      </c>
      <c r="C9033" s="12"/>
      <c r="D9033" s="13" t="n">
        <f aca="false">IF(B9033&lt;5,Einstellungen!$B$3,Einstellungen!$B$4)</f>
        <v>15.92</v>
      </c>
      <c r="E9033" s="14" t="str">
        <f aca="false">IF(C9033="","",C9033*D9033/100)</f>
        <v/>
      </c>
      <c r="F9033" s="15" t="str">
        <f aca="false">IF(B9033&lt;5,"Go","Standard")</f>
        <v>Go</v>
      </c>
    </row>
    <row r="9034" customFormat="false" ht="15" hidden="false" customHeight="true" outlineLevel="0" collapsed="false">
      <c r="A9034" s="10" t="n">
        <f aca="false">Einstellungen!$B$5+INT((ROW()-9)/24)</f>
        <v>46342</v>
      </c>
      <c r="B9034" s="11" t="n">
        <f aca="false">MOD(ROW()-9,24)</f>
        <v>1</v>
      </c>
      <c r="C9034" s="12"/>
      <c r="D9034" s="13" t="n">
        <f aca="false">IF(B9034&lt;5,Einstellungen!$B$3,Einstellungen!$B$4)</f>
        <v>15.92</v>
      </c>
      <c r="E9034" s="14" t="str">
        <f aca="false">IF(C9034="","",C9034*D9034/100)</f>
        <v/>
      </c>
      <c r="F9034" s="15" t="str">
        <f aca="false">IF(B9034&lt;5,"Go","Standard")</f>
        <v>Go</v>
      </c>
    </row>
    <row r="9035" customFormat="false" ht="15" hidden="false" customHeight="true" outlineLevel="0" collapsed="false">
      <c r="A9035" s="10" t="n">
        <f aca="false">Einstellungen!$B$5+INT((ROW()-9)/24)</f>
        <v>46342</v>
      </c>
      <c r="B9035" s="11" t="n">
        <f aca="false">MOD(ROW()-9,24)</f>
        <v>2</v>
      </c>
      <c r="C9035" s="12"/>
      <c r="D9035" s="13" t="n">
        <f aca="false">IF(B9035&lt;5,Einstellungen!$B$3,Einstellungen!$B$4)</f>
        <v>15.92</v>
      </c>
      <c r="E9035" s="14" t="str">
        <f aca="false">IF(C9035="","",C9035*D9035/100)</f>
        <v/>
      </c>
      <c r="F9035" s="15" t="str">
        <f aca="false">IF(B9035&lt;5,"Go","Standard")</f>
        <v>Go</v>
      </c>
    </row>
    <row r="9036" customFormat="false" ht="15" hidden="false" customHeight="true" outlineLevel="0" collapsed="false">
      <c r="A9036" s="10" t="n">
        <f aca="false">Einstellungen!$B$5+INT((ROW()-9)/24)</f>
        <v>46342</v>
      </c>
      <c r="B9036" s="11" t="n">
        <f aca="false">MOD(ROW()-9,24)</f>
        <v>3</v>
      </c>
      <c r="C9036" s="12"/>
      <c r="D9036" s="13" t="n">
        <f aca="false">IF(B9036&lt;5,Einstellungen!$B$3,Einstellungen!$B$4)</f>
        <v>15.92</v>
      </c>
      <c r="E9036" s="14" t="str">
        <f aca="false">IF(C9036="","",C9036*D9036/100)</f>
        <v/>
      </c>
      <c r="F9036" s="15" t="str">
        <f aca="false">IF(B9036&lt;5,"Go","Standard")</f>
        <v>Go</v>
      </c>
    </row>
    <row r="9037" customFormat="false" ht="15" hidden="false" customHeight="true" outlineLevel="0" collapsed="false">
      <c r="A9037" s="10" t="n">
        <f aca="false">Einstellungen!$B$5+INT((ROW()-9)/24)</f>
        <v>46342</v>
      </c>
      <c r="B9037" s="11" t="n">
        <f aca="false">MOD(ROW()-9,24)</f>
        <v>4</v>
      </c>
      <c r="C9037" s="12"/>
      <c r="D9037" s="13" t="n">
        <f aca="false">IF(B9037&lt;5,Einstellungen!$B$3,Einstellungen!$B$4)</f>
        <v>15.92</v>
      </c>
      <c r="E9037" s="14" t="str">
        <f aca="false">IF(C9037="","",C9037*D9037/100)</f>
        <v/>
      </c>
      <c r="F9037" s="15" t="str">
        <f aca="false">IF(B9037&lt;5,"Go","Standard")</f>
        <v>Go</v>
      </c>
    </row>
    <row r="9038" customFormat="false" ht="15" hidden="false" customHeight="true" outlineLevel="0" collapsed="false">
      <c r="A9038" s="10" t="n">
        <f aca="false">Einstellungen!$B$5+INT((ROW()-9)/24)</f>
        <v>46342</v>
      </c>
      <c r="B9038" s="11" t="n">
        <f aca="false">MOD(ROW()-9,24)</f>
        <v>5</v>
      </c>
      <c r="C9038" s="12"/>
      <c r="D9038" s="13" t="n">
        <f aca="false">IF(B9038&lt;5,Einstellungen!$B$3,Einstellungen!$B$4)</f>
        <v>29.13</v>
      </c>
      <c r="E9038" s="14" t="str">
        <f aca="false">IF(C9038="","",C9038*D9038/100)</f>
        <v/>
      </c>
      <c r="F9038" s="15" t="str">
        <f aca="false">IF(B9038&lt;5,"Go","Standard")</f>
        <v>Standard</v>
      </c>
    </row>
    <row r="9039" customFormat="false" ht="15" hidden="false" customHeight="true" outlineLevel="0" collapsed="false">
      <c r="A9039" s="10" t="n">
        <f aca="false">Einstellungen!$B$5+INT((ROW()-9)/24)</f>
        <v>46342</v>
      </c>
      <c r="B9039" s="11" t="n">
        <f aca="false">MOD(ROW()-9,24)</f>
        <v>6</v>
      </c>
      <c r="C9039" s="12"/>
      <c r="D9039" s="13" t="n">
        <f aca="false">IF(B9039&lt;5,Einstellungen!$B$3,Einstellungen!$B$4)</f>
        <v>29.13</v>
      </c>
      <c r="E9039" s="14" t="str">
        <f aca="false">IF(C9039="","",C9039*D9039/100)</f>
        <v/>
      </c>
      <c r="F9039" s="15" t="str">
        <f aca="false">IF(B9039&lt;5,"Go","Standard")</f>
        <v>Standard</v>
      </c>
    </row>
    <row r="9040" customFormat="false" ht="15" hidden="false" customHeight="true" outlineLevel="0" collapsed="false">
      <c r="A9040" s="10" t="n">
        <f aca="false">Einstellungen!$B$5+INT((ROW()-9)/24)</f>
        <v>46342</v>
      </c>
      <c r="B9040" s="11" t="n">
        <f aca="false">MOD(ROW()-9,24)</f>
        <v>7</v>
      </c>
      <c r="C9040" s="12"/>
      <c r="D9040" s="13" t="n">
        <f aca="false">IF(B9040&lt;5,Einstellungen!$B$3,Einstellungen!$B$4)</f>
        <v>29.13</v>
      </c>
      <c r="E9040" s="14" t="str">
        <f aca="false">IF(C9040="","",C9040*D9040/100)</f>
        <v/>
      </c>
      <c r="F9040" s="15" t="str">
        <f aca="false">IF(B9040&lt;5,"Go","Standard")</f>
        <v>Standard</v>
      </c>
    </row>
    <row r="9041" customFormat="false" ht="15" hidden="false" customHeight="true" outlineLevel="0" collapsed="false">
      <c r="A9041" s="10" t="n">
        <f aca="false">Einstellungen!$B$5+INT((ROW()-9)/24)</f>
        <v>46342</v>
      </c>
      <c r="B9041" s="11" t="n">
        <f aca="false">MOD(ROW()-9,24)</f>
        <v>8</v>
      </c>
      <c r="C9041" s="12"/>
      <c r="D9041" s="13" t="n">
        <f aca="false">IF(B9041&lt;5,Einstellungen!$B$3,Einstellungen!$B$4)</f>
        <v>29.13</v>
      </c>
      <c r="E9041" s="14" t="str">
        <f aca="false">IF(C9041="","",C9041*D9041/100)</f>
        <v/>
      </c>
      <c r="F9041" s="15" t="str">
        <f aca="false">IF(B9041&lt;5,"Go","Standard")</f>
        <v>Standard</v>
      </c>
    </row>
    <row r="9042" customFormat="false" ht="15" hidden="false" customHeight="true" outlineLevel="0" collapsed="false">
      <c r="A9042" s="10" t="n">
        <f aca="false">Einstellungen!$B$5+INT((ROW()-9)/24)</f>
        <v>46342</v>
      </c>
      <c r="B9042" s="11" t="n">
        <f aca="false">MOD(ROW()-9,24)</f>
        <v>9</v>
      </c>
      <c r="C9042" s="12"/>
      <c r="D9042" s="13" t="n">
        <f aca="false">IF(B9042&lt;5,Einstellungen!$B$3,Einstellungen!$B$4)</f>
        <v>29.13</v>
      </c>
      <c r="E9042" s="14" t="str">
        <f aca="false">IF(C9042="","",C9042*D9042/100)</f>
        <v/>
      </c>
      <c r="F9042" s="15" t="str">
        <f aca="false">IF(B9042&lt;5,"Go","Standard")</f>
        <v>Standard</v>
      </c>
    </row>
    <row r="9043" customFormat="false" ht="15" hidden="false" customHeight="true" outlineLevel="0" collapsed="false">
      <c r="A9043" s="10" t="n">
        <f aca="false">Einstellungen!$B$5+INT((ROW()-9)/24)</f>
        <v>46342</v>
      </c>
      <c r="B9043" s="11" t="n">
        <f aca="false">MOD(ROW()-9,24)</f>
        <v>10</v>
      </c>
      <c r="C9043" s="12"/>
      <c r="D9043" s="13" t="n">
        <f aca="false">IF(B9043&lt;5,Einstellungen!$B$3,Einstellungen!$B$4)</f>
        <v>29.13</v>
      </c>
      <c r="E9043" s="14" t="str">
        <f aca="false">IF(C9043="","",C9043*D9043/100)</f>
        <v/>
      </c>
      <c r="F9043" s="15" t="str">
        <f aca="false">IF(B9043&lt;5,"Go","Standard")</f>
        <v>Standard</v>
      </c>
    </row>
    <row r="9044" customFormat="false" ht="15" hidden="false" customHeight="true" outlineLevel="0" collapsed="false">
      <c r="A9044" s="10" t="n">
        <f aca="false">Einstellungen!$B$5+INT((ROW()-9)/24)</f>
        <v>46342</v>
      </c>
      <c r="B9044" s="11" t="n">
        <f aca="false">MOD(ROW()-9,24)</f>
        <v>11</v>
      </c>
      <c r="C9044" s="12"/>
      <c r="D9044" s="13" t="n">
        <f aca="false">IF(B9044&lt;5,Einstellungen!$B$3,Einstellungen!$B$4)</f>
        <v>29.13</v>
      </c>
      <c r="E9044" s="14" t="str">
        <f aca="false">IF(C9044="","",C9044*D9044/100)</f>
        <v/>
      </c>
      <c r="F9044" s="15" t="str">
        <f aca="false">IF(B9044&lt;5,"Go","Standard")</f>
        <v>Standard</v>
      </c>
    </row>
    <row r="9045" customFormat="false" ht="15" hidden="false" customHeight="true" outlineLevel="0" collapsed="false">
      <c r="A9045" s="10" t="n">
        <f aca="false">Einstellungen!$B$5+INT((ROW()-9)/24)</f>
        <v>46342</v>
      </c>
      <c r="B9045" s="11" t="n">
        <f aca="false">MOD(ROW()-9,24)</f>
        <v>12</v>
      </c>
      <c r="C9045" s="12"/>
      <c r="D9045" s="13" t="n">
        <f aca="false">IF(B9045&lt;5,Einstellungen!$B$3,Einstellungen!$B$4)</f>
        <v>29.13</v>
      </c>
      <c r="E9045" s="14" t="str">
        <f aca="false">IF(C9045="","",C9045*D9045/100)</f>
        <v/>
      </c>
      <c r="F9045" s="15" t="str">
        <f aca="false">IF(B9045&lt;5,"Go","Standard")</f>
        <v>Standard</v>
      </c>
    </row>
    <row r="9046" customFormat="false" ht="15" hidden="false" customHeight="true" outlineLevel="0" collapsed="false">
      <c r="A9046" s="10" t="n">
        <f aca="false">Einstellungen!$B$5+INT((ROW()-9)/24)</f>
        <v>46342</v>
      </c>
      <c r="B9046" s="11" t="n">
        <f aca="false">MOD(ROW()-9,24)</f>
        <v>13</v>
      </c>
      <c r="C9046" s="12"/>
      <c r="D9046" s="13" t="n">
        <f aca="false">IF(B9046&lt;5,Einstellungen!$B$3,Einstellungen!$B$4)</f>
        <v>29.13</v>
      </c>
      <c r="E9046" s="14" t="str">
        <f aca="false">IF(C9046="","",C9046*D9046/100)</f>
        <v/>
      </c>
      <c r="F9046" s="15" t="str">
        <f aca="false">IF(B9046&lt;5,"Go","Standard")</f>
        <v>Standard</v>
      </c>
    </row>
    <row r="9047" customFormat="false" ht="15" hidden="false" customHeight="true" outlineLevel="0" collapsed="false">
      <c r="A9047" s="10" t="n">
        <f aca="false">Einstellungen!$B$5+INT((ROW()-9)/24)</f>
        <v>46342</v>
      </c>
      <c r="B9047" s="11" t="n">
        <f aca="false">MOD(ROW()-9,24)</f>
        <v>14</v>
      </c>
      <c r="C9047" s="12"/>
      <c r="D9047" s="13" t="n">
        <f aca="false">IF(B9047&lt;5,Einstellungen!$B$3,Einstellungen!$B$4)</f>
        <v>29.13</v>
      </c>
      <c r="E9047" s="14" t="str">
        <f aca="false">IF(C9047="","",C9047*D9047/100)</f>
        <v/>
      </c>
      <c r="F9047" s="15" t="str">
        <f aca="false">IF(B9047&lt;5,"Go","Standard")</f>
        <v>Standard</v>
      </c>
    </row>
    <row r="9048" customFormat="false" ht="15" hidden="false" customHeight="true" outlineLevel="0" collapsed="false">
      <c r="A9048" s="10" t="n">
        <f aca="false">Einstellungen!$B$5+INT((ROW()-9)/24)</f>
        <v>46342</v>
      </c>
      <c r="B9048" s="11" t="n">
        <f aca="false">MOD(ROW()-9,24)</f>
        <v>15</v>
      </c>
      <c r="C9048" s="12"/>
      <c r="D9048" s="13" t="n">
        <f aca="false">IF(B9048&lt;5,Einstellungen!$B$3,Einstellungen!$B$4)</f>
        <v>29.13</v>
      </c>
      <c r="E9048" s="14" t="str">
        <f aca="false">IF(C9048="","",C9048*D9048/100)</f>
        <v/>
      </c>
      <c r="F9048" s="15" t="str">
        <f aca="false">IF(B9048&lt;5,"Go","Standard")</f>
        <v>Standard</v>
      </c>
    </row>
    <row r="9049" customFormat="false" ht="15" hidden="false" customHeight="true" outlineLevel="0" collapsed="false">
      <c r="A9049" s="10" t="n">
        <f aca="false">Einstellungen!$B$5+INT((ROW()-9)/24)</f>
        <v>46342</v>
      </c>
      <c r="B9049" s="11" t="n">
        <f aca="false">MOD(ROW()-9,24)</f>
        <v>16</v>
      </c>
      <c r="C9049" s="12"/>
      <c r="D9049" s="13" t="n">
        <f aca="false">IF(B9049&lt;5,Einstellungen!$B$3,Einstellungen!$B$4)</f>
        <v>29.13</v>
      </c>
      <c r="E9049" s="14" t="str">
        <f aca="false">IF(C9049="","",C9049*D9049/100)</f>
        <v/>
      </c>
      <c r="F9049" s="15" t="str">
        <f aca="false">IF(B9049&lt;5,"Go","Standard")</f>
        <v>Standard</v>
      </c>
    </row>
    <row r="9050" customFormat="false" ht="15" hidden="false" customHeight="true" outlineLevel="0" collapsed="false">
      <c r="A9050" s="10" t="n">
        <f aca="false">Einstellungen!$B$5+INT((ROW()-9)/24)</f>
        <v>46342</v>
      </c>
      <c r="B9050" s="11" t="n">
        <f aca="false">MOD(ROW()-9,24)</f>
        <v>17</v>
      </c>
      <c r="C9050" s="12"/>
      <c r="D9050" s="13" t="n">
        <f aca="false">IF(B9050&lt;5,Einstellungen!$B$3,Einstellungen!$B$4)</f>
        <v>29.13</v>
      </c>
      <c r="E9050" s="14" t="str">
        <f aca="false">IF(C9050="","",C9050*D9050/100)</f>
        <v/>
      </c>
      <c r="F9050" s="15" t="str">
        <f aca="false">IF(B9050&lt;5,"Go","Standard")</f>
        <v>Standard</v>
      </c>
    </row>
    <row r="9051" customFormat="false" ht="15" hidden="false" customHeight="true" outlineLevel="0" collapsed="false">
      <c r="A9051" s="10" t="n">
        <f aca="false">Einstellungen!$B$5+INT((ROW()-9)/24)</f>
        <v>46342</v>
      </c>
      <c r="B9051" s="11" t="n">
        <f aca="false">MOD(ROW()-9,24)</f>
        <v>18</v>
      </c>
      <c r="C9051" s="12"/>
      <c r="D9051" s="13" t="n">
        <f aca="false">IF(B9051&lt;5,Einstellungen!$B$3,Einstellungen!$B$4)</f>
        <v>29.13</v>
      </c>
      <c r="E9051" s="14" t="str">
        <f aca="false">IF(C9051="","",C9051*D9051/100)</f>
        <v/>
      </c>
      <c r="F9051" s="15" t="str">
        <f aca="false">IF(B9051&lt;5,"Go","Standard")</f>
        <v>Standard</v>
      </c>
    </row>
    <row r="9052" customFormat="false" ht="15" hidden="false" customHeight="true" outlineLevel="0" collapsed="false">
      <c r="A9052" s="10" t="n">
        <f aca="false">Einstellungen!$B$5+INT((ROW()-9)/24)</f>
        <v>46342</v>
      </c>
      <c r="B9052" s="11" t="n">
        <f aca="false">MOD(ROW()-9,24)</f>
        <v>19</v>
      </c>
      <c r="C9052" s="12"/>
      <c r="D9052" s="13" t="n">
        <f aca="false">IF(B9052&lt;5,Einstellungen!$B$3,Einstellungen!$B$4)</f>
        <v>29.13</v>
      </c>
      <c r="E9052" s="14" t="str">
        <f aca="false">IF(C9052="","",C9052*D9052/100)</f>
        <v/>
      </c>
      <c r="F9052" s="15" t="str">
        <f aca="false">IF(B9052&lt;5,"Go","Standard")</f>
        <v>Standard</v>
      </c>
    </row>
    <row r="9053" customFormat="false" ht="15" hidden="false" customHeight="true" outlineLevel="0" collapsed="false">
      <c r="A9053" s="10" t="n">
        <f aca="false">Einstellungen!$B$5+INT((ROW()-9)/24)</f>
        <v>46342</v>
      </c>
      <c r="B9053" s="11" t="n">
        <f aca="false">MOD(ROW()-9,24)</f>
        <v>20</v>
      </c>
      <c r="C9053" s="12"/>
      <c r="D9053" s="13" t="n">
        <f aca="false">IF(B9053&lt;5,Einstellungen!$B$3,Einstellungen!$B$4)</f>
        <v>29.13</v>
      </c>
      <c r="E9053" s="14" t="str">
        <f aca="false">IF(C9053="","",C9053*D9053/100)</f>
        <v/>
      </c>
      <c r="F9053" s="15" t="str">
        <f aca="false">IF(B9053&lt;5,"Go","Standard")</f>
        <v>Standard</v>
      </c>
    </row>
    <row r="9054" customFormat="false" ht="15" hidden="false" customHeight="true" outlineLevel="0" collapsed="false">
      <c r="A9054" s="10" t="n">
        <f aca="false">Einstellungen!$B$5+INT((ROW()-9)/24)</f>
        <v>46342</v>
      </c>
      <c r="B9054" s="11" t="n">
        <f aca="false">MOD(ROW()-9,24)</f>
        <v>21</v>
      </c>
      <c r="C9054" s="12"/>
      <c r="D9054" s="13" t="n">
        <f aca="false">IF(B9054&lt;5,Einstellungen!$B$3,Einstellungen!$B$4)</f>
        <v>29.13</v>
      </c>
      <c r="E9054" s="14" t="str">
        <f aca="false">IF(C9054="","",C9054*D9054/100)</f>
        <v/>
      </c>
      <c r="F9054" s="15" t="str">
        <f aca="false">IF(B9054&lt;5,"Go","Standard")</f>
        <v>Standard</v>
      </c>
    </row>
    <row r="9055" customFormat="false" ht="15" hidden="false" customHeight="true" outlineLevel="0" collapsed="false">
      <c r="A9055" s="10" t="n">
        <f aca="false">Einstellungen!$B$5+INT((ROW()-9)/24)</f>
        <v>46342</v>
      </c>
      <c r="B9055" s="11" t="n">
        <f aca="false">MOD(ROW()-9,24)</f>
        <v>22</v>
      </c>
      <c r="C9055" s="12"/>
      <c r="D9055" s="13" t="n">
        <f aca="false">IF(B9055&lt;5,Einstellungen!$B$3,Einstellungen!$B$4)</f>
        <v>29.13</v>
      </c>
      <c r="E9055" s="14" t="str">
        <f aca="false">IF(C9055="","",C9055*D9055/100)</f>
        <v/>
      </c>
      <c r="F9055" s="15" t="str">
        <f aca="false">IF(B9055&lt;5,"Go","Standard")</f>
        <v>Standard</v>
      </c>
    </row>
    <row r="9056" customFormat="false" ht="15" hidden="false" customHeight="true" outlineLevel="0" collapsed="false">
      <c r="A9056" s="10" t="n">
        <f aca="false">Einstellungen!$B$5+INT((ROW()-9)/24)</f>
        <v>46342</v>
      </c>
      <c r="B9056" s="11" t="n">
        <f aca="false">MOD(ROW()-9,24)</f>
        <v>23</v>
      </c>
      <c r="C9056" s="12"/>
      <c r="D9056" s="13" t="n">
        <f aca="false">IF(B9056&lt;5,Einstellungen!$B$3,Einstellungen!$B$4)</f>
        <v>29.13</v>
      </c>
      <c r="E9056" s="14" t="str">
        <f aca="false">IF(C9056="","",C9056*D9056/100)</f>
        <v/>
      </c>
      <c r="F9056" s="15" t="str">
        <f aca="false">IF(B9056&lt;5,"Go","Standard")</f>
        <v>Standard</v>
      </c>
    </row>
    <row r="9057" customFormat="false" ht="15" hidden="false" customHeight="true" outlineLevel="0" collapsed="false">
      <c r="A9057" s="10" t="n">
        <f aca="false">Einstellungen!$B$5+INT((ROW()-9)/24)</f>
        <v>46343</v>
      </c>
      <c r="B9057" s="11" t="n">
        <f aca="false">MOD(ROW()-9,24)</f>
        <v>0</v>
      </c>
      <c r="C9057" s="12"/>
      <c r="D9057" s="13" t="n">
        <f aca="false">IF(B9057&lt;5,Einstellungen!$B$3,Einstellungen!$B$4)</f>
        <v>15.92</v>
      </c>
      <c r="E9057" s="14" t="str">
        <f aca="false">IF(C9057="","",C9057*D9057/100)</f>
        <v/>
      </c>
      <c r="F9057" s="15" t="str">
        <f aca="false">IF(B9057&lt;5,"Go","Standard")</f>
        <v>Go</v>
      </c>
    </row>
    <row r="9058" customFormat="false" ht="15" hidden="false" customHeight="true" outlineLevel="0" collapsed="false">
      <c r="A9058" s="10" t="n">
        <f aca="false">Einstellungen!$B$5+INT((ROW()-9)/24)</f>
        <v>46343</v>
      </c>
      <c r="B9058" s="11" t="n">
        <f aca="false">MOD(ROW()-9,24)</f>
        <v>1</v>
      </c>
      <c r="C9058" s="12"/>
      <c r="D9058" s="13" t="n">
        <f aca="false">IF(B9058&lt;5,Einstellungen!$B$3,Einstellungen!$B$4)</f>
        <v>15.92</v>
      </c>
      <c r="E9058" s="14" t="str">
        <f aca="false">IF(C9058="","",C9058*D9058/100)</f>
        <v/>
      </c>
      <c r="F9058" s="15" t="str">
        <f aca="false">IF(B9058&lt;5,"Go","Standard")</f>
        <v>Go</v>
      </c>
    </row>
    <row r="9059" customFormat="false" ht="15" hidden="false" customHeight="true" outlineLevel="0" collapsed="false">
      <c r="A9059" s="10" t="n">
        <f aca="false">Einstellungen!$B$5+INT((ROW()-9)/24)</f>
        <v>46343</v>
      </c>
      <c r="B9059" s="11" t="n">
        <f aca="false">MOD(ROW()-9,24)</f>
        <v>2</v>
      </c>
      <c r="C9059" s="12"/>
      <c r="D9059" s="13" t="n">
        <f aca="false">IF(B9059&lt;5,Einstellungen!$B$3,Einstellungen!$B$4)</f>
        <v>15.92</v>
      </c>
      <c r="E9059" s="14" t="str">
        <f aca="false">IF(C9059="","",C9059*D9059/100)</f>
        <v/>
      </c>
      <c r="F9059" s="15" t="str">
        <f aca="false">IF(B9059&lt;5,"Go","Standard")</f>
        <v>Go</v>
      </c>
    </row>
    <row r="9060" customFormat="false" ht="15" hidden="false" customHeight="true" outlineLevel="0" collapsed="false">
      <c r="A9060" s="10" t="n">
        <f aca="false">Einstellungen!$B$5+INT((ROW()-9)/24)</f>
        <v>46343</v>
      </c>
      <c r="B9060" s="11" t="n">
        <f aca="false">MOD(ROW()-9,24)</f>
        <v>3</v>
      </c>
      <c r="C9060" s="12"/>
      <c r="D9060" s="13" t="n">
        <f aca="false">IF(B9060&lt;5,Einstellungen!$B$3,Einstellungen!$B$4)</f>
        <v>15.92</v>
      </c>
      <c r="E9060" s="14" t="str">
        <f aca="false">IF(C9060="","",C9060*D9060/100)</f>
        <v/>
      </c>
      <c r="F9060" s="15" t="str">
        <f aca="false">IF(B9060&lt;5,"Go","Standard")</f>
        <v>Go</v>
      </c>
    </row>
    <row r="9061" customFormat="false" ht="15" hidden="false" customHeight="true" outlineLevel="0" collapsed="false">
      <c r="A9061" s="10" t="n">
        <f aca="false">Einstellungen!$B$5+INT((ROW()-9)/24)</f>
        <v>46343</v>
      </c>
      <c r="B9061" s="11" t="n">
        <f aca="false">MOD(ROW()-9,24)</f>
        <v>4</v>
      </c>
      <c r="C9061" s="12"/>
      <c r="D9061" s="13" t="n">
        <f aca="false">IF(B9061&lt;5,Einstellungen!$B$3,Einstellungen!$B$4)</f>
        <v>15.92</v>
      </c>
      <c r="E9061" s="14" t="str">
        <f aca="false">IF(C9061="","",C9061*D9061/100)</f>
        <v/>
      </c>
      <c r="F9061" s="15" t="str">
        <f aca="false">IF(B9061&lt;5,"Go","Standard")</f>
        <v>Go</v>
      </c>
    </row>
    <row r="9062" customFormat="false" ht="15" hidden="false" customHeight="true" outlineLevel="0" collapsed="false">
      <c r="A9062" s="10" t="n">
        <f aca="false">Einstellungen!$B$5+INT((ROW()-9)/24)</f>
        <v>46343</v>
      </c>
      <c r="B9062" s="11" t="n">
        <f aca="false">MOD(ROW()-9,24)</f>
        <v>5</v>
      </c>
      <c r="C9062" s="12"/>
      <c r="D9062" s="13" t="n">
        <f aca="false">IF(B9062&lt;5,Einstellungen!$B$3,Einstellungen!$B$4)</f>
        <v>29.13</v>
      </c>
      <c r="E9062" s="14" t="str">
        <f aca="false">IF(C9062="","",C9062*D9062/100)</f>
        <v/>
      </c>
      <c r="F9062" s="15" t="str">
        <f aca="false">IF(B9062&lt;5,"Go","Standard")</f>
        <v>Standard</v>
      </c>
    </row>
    <row r="9063" customFormat="false" ht="15" hidden="false" customHeight="true" outlineLevel="0" collapsed="false">
      <c r="A9063" s="10" t="n">
        <f aca="false">Einstellungen!$B$5+INT((ROW()-9)/24)</f>
        <v>46343</v>
      </c>
      <c r="B9063" s="11" t="n">
        <f aca="false">MOD(ROW()-9,24)</f>
        <v>6</v>
      </c>
      <c r="C9063" s="12"/>
      <c r="D9063" s="13" t="n">
        <f aca="false">IF(B9063&lt;5,Einstellungen!$B$3,Einstellungen!$B$4)</f>
        <v>29.13</v>
      </c>
      <c r="E9063" s="14" t="str">
        <f aca="false">IF(C9063="","",C9063*D9063/100)</f>
        <v/>
      </c>
      <c r="F9063" s="15" t="str">
        <f aca="false">IF(B9063&lt;5,"Go","Standard")</f>
        <v>Standard</v>
      </c>
    </row>
    <row r="9064" customFormat="false" ht="15" hidden="false" customHeight="true" outlineLevel="0" collapsed="false">
      <c r="A9064" s="10" t="n">
        <f aca="false">Einstellungen!$B$5+INT((ROW()-9)/24)</f>
        <v>46343</v>
      </c>
      <c r="B9064" s="11" t="n">
        <f aca="false">MOD(ROW()-9,24)</f>
        <v>7</v>
      </c>
      <c r="C9064" s="12"/>
      <c r="D9064" s="13" t="n">
        <f aca="false">IF(B9064&lt;5,Einstellungen!$B$3,Einstellungen!$B$4)</f>
        <v>29.13</v>
      </c>
      <c r="E9064" s="14" t="str">
        <f aca="false">IF(C9064="","",C9064*D9064/100)</f>
        <v/>
      </c>
      <c r="F9064" s="15" t="str">
        <f aca="false">IF(B9064&lt;5,"Go","Standard")</f>
        <v>Standard</v>
      </c>
    </row>
    <row r="9065" customFormat="false" ht="15" hidden="false" customHeight="true" outlineLevel="0" collapsed="false">
      <c r="A9065" s="10" t="n">
        <f aca="false">Einstellungen!$B$5+INT((ROW()-9)/24)</f>
        <v>46343</v>
      </c>
      <c r="B9065" s="11" t="n">
        <f aca="false">MOD(ROW()-9,24)</f>
        <v>8</v>
      </c>
      <c r="C9065" s="12"/>
      <c r="D9065" s="13" t="n">
        <f aca="false">IF(B9065&lt;5,Einstellungen!$B$3,Einstellungen!$B$4)</f>
        <v>29.13</v>
      </c>
      <c r="E9065" s="14" t="str">
        <f aca="false">IF(C9065="","",C9065*D9065/100)</f>
        <v/>
      </c>
      <c r="F9065" s="15" t="str">
        <f aca="false">IF(B9065&lt;5,"Go","Standard")</f>
        <v>Standard</v>
      </c>
    </row>
    <row r="9066" customFormat="false" ht="15" hidden="false" customHeight="true" outlineLevel="0" collapsed="false">
      <c r="A9066" s="10" t="n">
        <f aca="false">Einstellungen!$B$5+INT((ROW()-9)/24)</f>
        <v>46343</v>
      </c>
      <c r="B9066" s="11" t="n">
        <f aca="false">MOD(ROW()-9,24)</f>
        <v>9</v>
      </c>
      <c r="C9066" s="12"/>
      <c r="D9066" s="13" t="n">
        <f aca="false">IF(B9066&lt;5,Einstellungen!$B$3,Einstellungen!$B$4)</f>
        <v>29.13</v>
      </c>
      <c r="E9066" s="14" t="str">
        <f aca="false">IF(C9066="","",C9066*D9066/100)</f>
        <v/>
      </c>
      <c r="F9066" s="15" t="str">
        <f aca="false">IF(B9066&lt;5,"Go","Standard")</f>
        <v>Standard</v>
      </c>
    </row>
    <row r="9067" customFormat="false" ht="15" hidden="false" customHeight="true" outlineLevel="0" collapsed="false">
      <c r="A9067" s="10" t="n">
        <f aca="false">Einstellungen!$B$5+INT((ROW()-9)/24)</f>
        <v>46343</v>
      </c>
      <c r="B9067" s="11" t="n">
        <f aca="false">MOD(ROW()-9,24)</f>
        <v>10</v>
      </c>
      <c r="C9067" s="12"/>
      <c r="D9067" s="13" t="n">
        <f aca="false">IF(B9067&lt;5,Einstellungen!$B$3,Einstellungen!$B$4)</f>
        <v>29.13</v>
      </c>
      <c r="E9067" s="14" t="str">
        <f aca="false">IF(C9067="","",C9067*D9067/100)</f>
        <v/>
      </c>
      <c r="F9067" s="15" t="str">
        <f aca="false">IF(B9067&lt;5,"Go","Standard")</f>
        <v>Standard</v>
      </c>
    </row>
    <row r="9068" customFormat="false" ht="15" hidden="false" customHeight="true" outlineLevel="0" collapsed="false">
      <c r="A9068" s="10" t="n">
        <f aca="false">Einstellungen!$B$5+INT((ROW()-9)/24)</f>
        <v>46343</v>
      </c>
      <c r="B9068" s="11" t="n">
        <f aca="false">MOD(ROW()-9,24)</f>
        <v>11</v>
      </c>
      <c r="C9068" s="12"/>
      <c r="D9068" s="13" t="n">
        <f aca="false">IF(B9068&lt;5,Einstellungen!$B$3,Einstellungen!$B$4)</f>
        <v>29.13</v>
      </c>
      <c r="E9068" s="14" t="str">
        <f aca="false">IF(C9068="","",C9068*D9068/100)</f>
        <v/>
      </c>
      <c r="F9068" s="15" t="str">
        <f aca="false">IF(B9068&lt;5,"Go","Standard")</f>
        <v>Standard</v>
      </c>
    </row>
    <row r="9069" customFormat="false" ht="15" hidden="false" customHeight="true" outlineLevel="0" collapsed="false">
      <c r="A9069" s="10" t="n">
        <f aca="false">Einstellungen!$B$5+INT((ROW()-9)/24)</f>
        <v>46343</v>
      </c>
      <c r="B9069" s="11" t="n">
        <f aca="false">MOD(ROW()-9,24)</f>
        <v>12</v>
      </c>
      <c r="C9069" s="12"/>
      <c r="D9069" s="13" t="n">
        <f aca="false">IF(B9069&lt;5,Einstellungen!$B$3,Einstellungen!$B$4)</f>
        <v>29.13</v>
      </c>
      <c r="E9069" s="14" t="str">
        <f aca="false">IF(C9069="","",C9069*D9069/100)</f>
        <v/>
      </c>
      <c r="F9069" s="15" t="str">
        <f aca="false">IF(B9069&lt;5,"Go","Standard")</f>
        <v>Standard</v>
      </c>
    </row>
    <row r="9070" customFormat="false" ht="15" hidden="false" customHeight="true" outlineLevel="0" collapsed="false">
      <c r="A9070" s="10" t="n">
        <f aca="false">Einstellungen!$B$5+INT((ROW()-9)/24)</f>
        <v>46343</v>
      </c>
      <c r="B9070" s="11" t="n">
        <f aca="false">MOD(ROW()-9,24)</f>
        <v>13</v>
      </c>
      <c r="C9070" s="12"/>
      <c r="D9070" s="13" t="n">
        <f aca="false">IF(B9070&lt;5,Einstellungen!$B$3,Einstellungen!$B$4)</f>
        <v>29.13</v>
      </c>
      <c r="E9070" s="14" t="str">
        <f aca="false">IF(C9070="","",C9070*D9070/100)</f>
        <v/>
      </c>
      <c r="F9070" s="15" t="str">
        <f aca="false">IF(B9070&lt;5,"Go","Standard")</f>
        <v>Standard</v>
      </c>
    </row>
    <row r="9071" customFormat="false" ht="15" hidden="false" customHeight="true" outlineLevel="0" collapsed="false">
      <c r="A9071" s="10" t="n">
        <f aca="false">Einstellungen!$B$5+INT((ROW()-9)/24)</f>
        <v>46343</v>
      </c>
      <c r="B9071" s="11" t="n">
        <f aca="false">MOD(ROW()-9,24)</f>
        <v>14</v>
      </c>
      <c r="C9071" s="12"/>
      <c r="D9071" s="13" t="n">
        <f aca="false">IF(B9071&lt;5,Einstellungen!$B$3,Einstellungen!$B$4)</f>
        <v>29.13</v>
      </c>
      <c r="E9071" s="14" t="str">
        <f aca="false">IF(C9071="","",C9071*D9071/100)</f>
        <v/>
      </c>
      <c r="F9071" s="15" t="str">
        <f aca="false">IF(B9071&lt;5,"Go","Standard")</f>
        <v>Standard</v>
      </c>
    </row>
    <row r="9072" customFormat="false" ht="15" hidden="false" customHeight="true" outlineLevel="0" collapsed="false">
      <c r="A9072" s="10" t="n">
        <f aca="false">Einstellungen!$B$5+INT((ROW()-9)/24)</f>
        <v>46343</v>
      </c>
      <c r="B9072" s="11" t="n">
        <f aca="false">MOD(ROW()-9,24)</f>
        <v>15</v>
      </c>
      <c r="C9072" s="12"/>
      <c r="D9072" s="13" t="n">
        <f aca="false">IF(B9072&lt;5,Einstellungen!$B$3,Einstellungen!$B$4)</f>
        <v>29.13</v>
      </c>
      <c r="E9072" s="14" t="str">
        <f aca="false">IF(C9072="","",C9072*D9072/100)</f>
        <v/>
      </c>
      <c r="F9072" s="15" t="str">
        <f aca="false">IF(B9072&lt;5,"Go","Standard")</f>
        <v>Standard</v>
      </c>
    </row>
    <row r="9073" customFormat="false" ht="15" hidden="false" customHeight="true" outlineLevel="0" collapsed="false">
      <c r="A9073" s="10" t="n">
        <f aca="false">Einstellungen!$B$5+INT((ROW()-9)/24)</f>
        <v>46343</v>
      </c>
      <c r="B9073" s="11" t="n">
        <f aca="false">MOD(ROW()-9,24)</f>
        <v>16</v>
      </c>
      <c r="C9073" s="12"/>
      <c r="D9073" s="13" t="n">
        <f aca="false">IF(B9073&lt;5,Einstellungen!$B$3,Einstellungen!$B$4)</f>
        <v>29.13</v>
      </c>
      <c r="E9073" s="14" t="str">
        <f aca="false">IF(C9073="","",C9073*D9073/100)</f>
        <v/>
      </c>
      <c r="F9073" s="15" t="str">
        <f aca="false">IF(B9073&lt;5,"Go","Standard")</f>
        <v>Standard</v>
      </c>
    </row>
    <row r="9074" customFormat="false" ht="15" hidden="false" customHeight="true" outlineLevel="0" collapsed="false">
      <c r="A9074" s="10" t="n">
        <f aca="false">Einstellungen!$B$5+INT((ROW()-9)/24)</f>
        <v>46343</v>
      </c>
      <c r="B9074" s="11" t="n">
        <f aca="false">MOD(ROW()-9,24)</f>
        <v>17</v>
      </c>
      <c r="C9074" s="12"/>
      <c r="D9074" s="13" t="n">
        <f aca="false">IF(B9074&lt;5,Einstellungen!$B$3,Einstellungen!$B$4)</f>
        <v>29.13</v>
      </c>
      <c r="E9074" s="14" t="str">
        <f aca="false">IF(C9074="","",C9074*D9074/100)</f>
        <v/>
      </c>
      <c r="F9074" s="15" t="str">
        <f aca="false">IF(B9074&lt;5,"Go","Standard")</f>
        <v>Standard</v>
      </c>
    </row>
    <row r="9075" customFormat="false" ht="15" hidden="false" customHeight="true" outlineLevel="0" collapsed="false">
      <c r="A9075" s="10" t="n">
        <f aca="false">Einstellungen!$B$5+INT((ROW()-9)/24)</f>
        <v>46343</v>
      </c>
      <c r="B9075" s="11" t="n">
        <f aca="false">MOD(ROW()-9,24)</f>
        <v>18</v>
      </c>
      <c r="C9075" s="12"/>
      <c r="D9075" s="13" t="n">
        <f aca="false">IF(B9075&lt;5,Einstellungen!$B$3,Einstellungen!$B$4)</f>
        <v>29.13</v>
      </c>
      <c r="E9075" s="14" t="str">
        <f aca="false">IF(C9075="","",C9075*D9075/100)</f>
        <v/>
      </c>
      <c r="F9075" s="15" t="str">
        <f aca="false">IF(B9075&lt;5,"Go","Standard")</f>
        <v>Standard</v>
      </c>
    </row>
    <row r="9076" customFormat="false" ht="15" hidden="false" customHeight="true" outlineLevel="0" collapsed="false">
      <c r="A9076" s="10" t="n">
        <f aca="false">Einstellungen!$B$5+INT((ROW()-9)/24)</f>
        <v>46343</v>
      </c>
      <c r="B9076" s="11" t="n">
        <f aca="false">MOD(ROW()-9,24)</f>
        <v>19</v>
      </c>
      <c r="C9076" s="12"/>
      <c r="D9076" s="13" t="n">
        <f aca="false">IF(B9076&lt;5,Einstellungen!$B$3,Einstellungen!$B$4)</f>
        <v>29.13</v>
      </c>
      <c r="E9076" s="14" t="str">
        <f aca="false">IF(C9076="","",C9076*D9076/100)</f>
        <v/>
      </c>
      <c r="F9076" s="15" t="str">
        <f aca="false">IF(B9076&lt;5,"Go","Standard")</f>
        <v>Standard</v>
      </c>
    </row>
    <row r="9077" customFormat="false" ht="15" hidden="false" customHeight="true" outlineLevel="0" collapsed="false">
      <c r="A9077" s="10" t="n">
        <f aca="false">Einstellungen!$B$5+INT((ROW()-9)/24)</f>
        <v>46343</v>
      </c>
      <c r="B9077" s="11" t="n">
        <f aca="false">MOD(ROW()-9,24)</f>
        <v>20</v>
      </c>
      <c r="C9077" s="12"/>
      <c r="D9077" s="13" t="n">
        <f aca="false">IF(B9077&lt;5,Einstellungen!$B$3,Einstellungen!$B$4)</f>
        <v>29.13</v>
      </c>
      <c r="E9077" s="14" t="str">
        <f aca="false">IF(C9077="","",C9077*D9077/100)</f>
        <v/>
      </c>
      <c r="F9077" s="15" t="str">
        <f aca="false">IF(B9077&lt;5,"Go","Standard")</f>
        <v>Standard</v>
      </c>
    </row>
    <row r="9078" customFormat="false" ht="15" hidden="false" customHeight="true" outlineLevel="0" collapsed="false">
      <c r="A9078" s="10" t="n">
        <f aca="false">Einstellungen!$B$5+INT((ROW()-9)/24)</f>
        <v>46343</v>
      </c>
      <c r="B9078" s="11" t="n">
        <f aca="false">MOD(ROW()-9,24)</f>
        <v>21</v>
      </c>
      <c r="C9078" s="12"/>
      <c r="D9078" s="13" t="n">
        <f aca="false">IF(B9078&lt;5,Einstellungen!$B$3,Einstellungen!$B$4)</f>
        <v>29.13</v>
      </c>
      <c r="E9078" s="14" t="str">
        <f aca="false">IF(C9078="","",C9078*D9078/100)</f>
        <v/>
      </c>
      <c r="F9078" s="15" t="str">
        <f aca="false">IF(B9078&lt;5,"Go","Standard")</f>
        <v>Standard</v>
      </c>
    </row>
    <row r="9079" customFormat="false" ht="15" hidden="false" customHeight="true" outlineLevel="0" collapsed="false">
      <c r="A9079" s="10" t="n">
        <f aca="false">Einstellungen!$B$5+INT((ROW()-9)/24)</f>
        <v>46343</v>
      </c>
      <c r="B9079" s="11" t="n">
        <f aca="false">MOD(ROW()-9,24)</f>
        <v>22</v>
      </c>
      <c r="C9079" s="12"/>
      <c r="D9079" s="13" t="n">
        <f aca="false">IF(B9079&lt;5,Einstellungen!$B$3,Einstellungen!$B$4)</f>
        <v>29.13</v>
      </c>
      <c r="E9079" s="14" t="str">
        <f aca="false">IF(C9079="","",C9079*D9079/100)</f>
        <v/>
      </c>
      <c r="F9079" s="15" t="str">
        <f aca="false">IF(B9079&lt;5,"Go","Standard")</f>
        <v>Standard</v>
      </c>
    </row>
    <row r="9080" customFormat="false" ht="15" hidden="false" customHeight="true" outlineLevel="0" collapsed="false">
      <c r="A9080" s="10" t="n">
        <f aca="false">Einstellungen!$B$5+INT((ROW()-9)/24)</f>
        <v>46343</v>
      </c>
      <c r="B9080" s="11" t="n">
        <f aca="false">MOD(ROW()-9,24)</f>
        <v>23</v>
      </c>
      <c r="C9080" s="12"/>
      <c r="D9080" s="13" t="n">
        <f aca="false">IF(B9080&lt;5,Einstellungen!$B$3,Einstellungen!$B$4)</f>
        <v>29.13</v>
      </c>
      <c r="E9080" s="14" t="str">
        <f aca="false">IF(C9080="","",C9080*D9080/100)</f>
        <v/>
      </c>
      <c r="F9080" s="15" t="str">
        <f aca="false">IF(B9080&lt;5,"Go","Standard")</f>
        <v>Standard</v>
      </c>
    </row>
    <row r="9081" customFormat="false" ht="15" hidden="false" customHeight="true" outlineLevel="0" collapsed="false">
      <c r="A9081" s="10" t="n">
        <f aca="false">Einstellungen!$B$5+INT((ROW()-9)/24)</f>
        <v>46344</v>
      </c>
      <c r="B9081" s="11" t="n">
        <f aca="false">MOD(ROW()-9,24)</f>
        <v>0</v>
      </c>
      <c r="C9081" s="12"/>
      <c r="D9081" s="13" t="n">
        <f aca="false">IF(B9081&lt;5,Einstellungen!$B$3,Einstellungen!$B$4)</f>
        <v>15.92</v>
      </c>
      <c r="E9081" s="14" t="str">
        <f aca="false">IF(C9081="","",C9081*D9081/100)</f>
        <v/>
      </c>
      <c r="F9081" s="15" t="str">
        <f aca="false">IF(B9081&lt;5,"Go","Standard")</f>
        <v>Go</v>
      </c>
    </row>
    <row r="9082" customFormat="false" ht="15" hidden="false" customHeight="true" outlineLevel="0" collapsed="false">
      <c r="A9082" s="10" t="n">
        <f aca="false">Einstellungen!$B$5+INT((ROW()-9)/24)</f>
        <v>46344</v>
      </c>
      <c r="B9082" s="11" t="n">
        <f aca="false">MOD(ROW()-9,24)</f>
        <v>1</v>
      </c>
      <c r="C9082" s="12"/>
      <c r="D9082" s="13" t="n">
        <f aca="false">IF(B9082&lt;5,Einstellungen!$B$3,Einstellungen!$B$4)</f>
        <v>15.92</v>
      </c>
      <c r="E9082" s="14" t="str">
        <f aca="false">IF(C9082="","",C9082*D9082/100)</f>
        <v/>
      </c>
      <c r="F9082" s="15" t="str">
        <f aca="false">IF(B9082&lt;5,"Go","Standard")</f>
        <v>Go</v>
      </c>
    </row>
    <row r="9083" customFormat="false" ht="15" hidden="false" customHeight="true" outlineLevel="0" collapsed="false">
      <c r="A9083" s="10" t="n">
        <f aca="false">Einstellungen!$B$5+INT((ROW()-9)/24)</f>
        <v>46344</v>
      </c>
      <c r="B9083" s="11" t="n">
        <f aca="false">MOD(ROW()-9,24)</f>
        <v>2</v>
      </c>
      <c r="C9083" s="12"/>
      <c r="D9083" s="13" t="n">
        <f aca="false">IF(B9083&lt;5,Einstellungen!$B$3,Einstellungen!$B$4)</f>
        <v>15.92</v>
      </c>
      <c r="E9083" s="14" t="str">
        <f aca="false">IF(C9083="","",C9083*D9083/100)</f>
        <v/>
      </c>
      <c r="F9083" s="15" t="str">
        <f aca="false">IF(B9083&lt;5,"Go","Standard")</f>
        <v>Go</v>
      </c>
    </row>
    <row r="9084" customFormat="false" ht="15" hidden="false" customHeight="true" outlineLevel="0" collapsed="false">
      <c r="A9084" s="10" t="n">
        <f aca="false">Einstellungen!$B$5+INT((ROW()-9)/24)</f>
        <v>46344</v>
      </c>
      <c r="B9084" s="11" t="n">
        <f aca="false">MOD(ROW()-9,24)</f>
        <v>3</v>
      </c>
      <c r="C9084" s="12"/>
      <c r="D9084" s="13" t="n">
        <f aca="false">IF(B9084&lt;5,Einstellungen!$B$3,Einstellungen!$B$4)</f>
        <v>15.92</v>
      </c>
      <c r="E9084" s="14" t="str">
        <f aca="false">IF(C9084="","",C9084*D9084/100)</f>
        <v/>
      </c>
      <c r="F9084" s="15" t="str">
        <f aca="false">IF(B9084&lt;5,"Go","Standard")</f>
        <v>Go</v>
      </c>
    </row>
    <row r="9085" customFormat="false" ht="15" hidden="false" customHeight="true" outlineLevel="0" collapsed="false">
      <c r="A9085" s="10" t="n">
        <f aca="false">Einstellungen!$B$5+INT((ROW()-9)/24)</f>
        <v>46344</v>
      </c>
      <c r="B9085" s="11" t="n">
        <f aca="false">MOD(ROW()-9,24)</f>
        <v>4</v>
      </c>
      <c r="C9085" s="12"/>
      <c r="D9085" s="13" t="n">
        <f aca="false">IF(B9085&lt;5,Einstellungen!$B$3,Einstellungen!$B$4)</f>
        <v>15.92</v>
      </c>
      <c r="E9085" s="14" t="str">
        <f aca="false">IF(C9085="","",C9085*D9085/100)</f>
        <v/>
      </c>
      <c r="F9085" s="15" t="str">
        <f aca="false">IF(B9085&lt;5,"Go","Standard")</f>
        <v>Go</v>
      </c>
    </row>
    <row r="9086" customFormat="false" ht="15" hidden="false" customHeight="true" outlineLevel="0" collapsed="false">
      <c r="A9086" s="10" t="n">
        <f aca="false">Einstellungen!$B$5+INT((ROW()-9)/24)</f>
        <v>46344</v>
      </c>
      <c r="B9086" s="11" t="n">
        <f aca="false">MOD(ROW()-9,24)</f>
        <v>5</v>
      </c>
      <c r="C9086" s="12"/>
      <c r="D9086" s="13" t="n">
        <f aca="false">IF(B9086&lt;5,Einstellungen!$B$3,Einstellungen!$B$4)</f>
        <v>29.13</v>
      </c>
      <c r="E9086" s="14" t="str">
        <f aca="false">IF(C9086="","",C9086*D9086/100)</f>
        <v/>
      </c>
      <c r="F9086" s="15" t="str">
        <f aca="false">IF(B9086&lt;5,"Go","Standard")</f>
        <v>Standard</v>
      </c>
    </row>
    <row r="9087" customFormat="false" ht="15" hidden="false" customHeight="true" outlineLevel="0" collapsed="false">
      <c r="A9087" s="10" t="n">
        <f aca="false">Einstellungen!$B$5+INT((ROW()-9)/24)</f>
        <v>46344</v>
      </c>
      <c r="B9087" s="11" t="n">
        <f aca="false">MOD(ROW()-9,24)</f>
        <v>6</v>
      </c>
      <c r="C9087" s="12"/>
      <c r="D9087" s="13" t="n">
        <f aca="false">IF(B9087&lt;5,Einstellungen!$B$3,Einstellungen!$B$4)</f>
        <v>29.13</v>
      </c>
      <c r="E9087" s="14" t="str">
        <f aca="false">IF(C9087="","",C9087*D9087/100)</f>
        <v/>
      </c>
      <c r="F9087" s="15" t="str">
        <f aca="false">IF(B9087&lt;5,"Go","Standard")</f>
        <v>Standard</v>
      </c>
    </row>
    <row r="9088" customFormat="false" ht="15" hidden="false" customHeight="true" outlineLevel="0" collapsed="false">
      <c r="A9088" s="10" t="n">
        <f aca="false">Einstellungen!$B$5+INT((ROW()-9)/24)</f>
        <v>46344</v>
      </c>
      <c r="B9088" s="11" t="n">
        <f aca="false">MOD(ROW()-9,24)</f>
        <v>7</v>
      </c>
      <c r="C9088" s="12"/>
      <c r="D9088" s="13" t="n">
        <f aca="false">IF(B9088&lt;5,Einstellungen!$B$3,Einstellungen!$B$4)</f>
        <v>29.13</v>
      </c>
      <c r="E9088" s="14" t="str">
        <f aca="false">IF(C9088="","",C9088*D9088/100)</f>
        <v/>
      </c>
      <c r="F9088" s="15" t="str">
        <f aca="false">IF(B9088&lt;5,"Go","Standard")</f>
        <v>Standard</v>
      </c>
    </row>
    <row r="9089" customFormat="false" ht="15" hidden="false" customHeight="true" outlineLevel="0" collapsed="false">
      <c r="A9089" s="10" t="n">
        <f aca="false">Einstellungen!$B$5+INT((ROW()-9)/24)</f>
        <v>46344</v>
      </c>
      <c r="B9089" s="11" t="n">
        <f aca="false">MOD(ROW()-9,24)</f>
        <v>8</v>
      </c>
      <c r="C9089" s="12"/>
      <c r="D9089" s="13" t="n">
        <f aca="false">IF(B9089&lt;5,Einstellungen!$B$3,Einstellungen!$B$4)</f>
        <v>29.13</v>
      </c>
      <c r="E9089" s="14" t="str">
        <f aca="false">IF(C9089="","",C9089*D9089/100)</f>
        <v/>
      </c>
      <c r="F9089" s="15" t="str">
        <f aca="false">IF(B9089&lt;5,"Go","Standard")</f>
        <v>Standard</v>
      </c>
    </row>
    <row r="9090" customFormat="false" ht="15" hidden="false" customHeight="true" outlineLevel="0" collapsed="false">
      <c r="A9090" s="10" t="n">
        <f aca="false">Einstellungen!$B$5+INT((ROW()-9)/24)</f>
        <v>46344</v>
      </c>
      <c r="B9090" s="11" t="n">
        <f aca="false">MOD(ROW()-9,24)</f>
        <v>9</v>
      </c>
      <c r="C9090" s="12"/>
      <c r="D9090" s="13" t="n">
        <f aca="false">IF(B9090&lt;5,Einstellungen!$B$3,Einstellungen!$B$4)</f>
        <v>29.13</v>
      </c>
      <c r="E9090" s="14" t="str">
        <f aca="false">IF(C9090="","",C9090*D9090/100)</f>
        <v/>
      </c>
      <c r="F9090" s="15" t="str">
        <f aca="false">IF(B9090&lt;5,"Go","Standard")</f>
        <v>Standard</v>
      </c>
    </row>
    <row r="9091" customFormat="false" ht="15" hidden="false" customHeight="true" outlineLevel="0" collapsed="false">
      <c r="A9091" s="10" t="n">
        <f aca="false">Einstellungen!$B$5+INT((ROW()-9)/24)</f>
        <v>46344</v>
      </c>
      <c r="B9091" s="11" t="n">
        <f aca="false">MOD(ROW()-9,24)</f>
        <v>10</v>
      </c>
      <c r="C9091" s="12"/>
      <c r="D9091" s="13" t="n">
        <f aca="false">IF(B9091&lt;5,Einstellungen!$B$3,Einstellungen!$B$4)</f>
        <v>29.13</v>
      </c>
      <c r="E9091" s="14" t="str">
        <f aca="false">IF(C9091="","",C9091*D9091/100)</f>
        <v/>
      </c>
      <c r="F9091" s="15" t="str">
        <f aca="false">IF(B9091&lt;5,"Go","Standard")</f>
        <v>Standard</v>
      </c>
    </row>
    <row r="9092" customFormat="false" ht="15" hidden="false" customHeight="true" outlineLevel="0" collapsed="false">
      <c r="A9092" s="10" t="n">
        <f aca="false">Einstellungen!$B$5+INT((ROW()-9)/24)</f>
        <v>46344</v>
      </c>
      <c r="B9092" s="11" t="n">
        <f aca="false">MOD(ROW()-9,24)</f>
        <v>11</v>
      </c>
      <c r="C9092" s="12"/>
      <c r="D9092" s="13" t="n">
        <f aca="false">IF(B9092&lt;5,Einstellungen!$B$3,Einstellungen!$B$4)</f>
        <v>29.13</v>
      </c>
      <c r="E9092" s="14" t="str">
        <f aca="false">IF(C9092="","",C9092*D9092/100)</f>
        <v/>
      </c>
      <c r="F9092" s="15" t="str">
        <f aca="false">IF(B9092&lt;5,"Go","Standard")</f>
        <v>Standard</v>
      </c>
    </row>
    <row r="9093" customFormat="false" ht="15" hidden="false" customHeight="true" outlineLevel="0" collapsed="false">
      <c r="A9093" s="10" t="n">
        <f aca="false">Einstellungen!$B$5+INT((ROW()-9)/24)</f>
        <v>46344</v>
      </c>
      <c r="B9093" s="11" t="n">
        <f aca="false">MOD(ROW()-9,24)</f>
        <v>12</v>
      </c>
      <c r="C9093" s="12"/>
      <c r="D9093" s="13" t="n">
        <f aca="false">IF(B9093&lt;5,Einstellungen!$B$3,Einstellungen!$B$4)</f>
        <v>29.13</v>
      </c>
      <c r="E9093" s="14" t="str">
        <f aca="false">IF(C9093="","",C9093*D9093/100)</f>
        <v/>
      </c>
      <c r="F9093" s="15" t="str">
        <f aca="false">IF(B9093&lt;5,"Go","Standard")</f>
        <v>Standard</v>
      </c>
    </row>
    <row r="9094" customFormat="false" ht="15" hidden="false" customHeight="true" outlineLevel="0" collapsed="false">
      <c r="A9094" s="10" t="n">
        <f aca="false">Einstellungen!$B$5+INT((ROW()-9)/24)</f>
        <v>46344</v>
      </c>
      <c r="B9094" s="11" t="n">
        <f aca="false">MOD(ROW()-9,24)</f>
        <v>13</v>
      </c>
      <c r="C9094" s="12"/>
      <c r="D9094" s="13" t="n">
        <f aca="false">IF(B9094&lt;5,Einstellungen!$B$3,Einstellungen!$B$4)</f>
        <v>29.13</v>
      </c>
      <c r="E9094" s="14" t="str">
        <f aca="false">IF(C9094="","",C9094*D9094/100)</f>
        <v/>
      </c>
      <c r="F9094" s="15" t="str">
        <f aca="false">IF(B9094&lt;5,"Go","Standard")</f>
        <v>Standard</v>
      </c>
    </row>
    <row r="9095" customFormat="false" ht="15" hidden="false" customHeight="true" outlineLevel="0" collapsed="false">
      <c r="A9095" s="10" t="n">
        <f aca="false">Einstellungen!$B$5+INT((ROW()-9)/24)</f>
        <v>46344</v>
      </c>
      <c r="B9095" s="11" t="n">
        <f aca="false">MOD(ROW()-9,24)</f>
        <v>14</v>
      </c>
      <c r="C9095" s="12"/>
      <c r="D9095" s="13" t="n">
        <f aca="false">IF(B9095&lt;5,Einstellungen!$B$3,Einstellungen!$B$4)</f>
        <v>29.13</v>
      </c>
      <c r="E9095" s="14" t="str">
        <f aca="false">IF(C9095="","",C9095*D9095/100)</f>
        <v/>
      </c>
      <c r="F9095" s="15" t="str">
        <f aca="false">IF(B9095&lt;5,"Go","Standard")</f>
        <v>Standard</v>
      </c>
    </row>
    <row r="9096" customFormat="false" ht="15" hidden="false" customHeight="true" outlineLevel="0" collapsed="false">
      <c r="A9096" s="10" t="n">
        <f aca="false">Einstellungen!$B$5+INT((ROW()-9)/24)</f>
        <v>46344</v>
      </c>
      <c r="B9096" s="11" t="n">
        <f aca="false">MOD(ROW()-9,24)</f>
        <v>15</v>
      </c>
      <c r="C9096" s="12"/>
      <c r="D9096" s="13" t="n">
        <f aca="false">IF(B9096&lt;5,Einstellungen!$B$3,Einstellungen!$B$4)</f>
        <v>29.13</v>
      </c>
      <c r="E9096" s="14" t="str">
        <f aca="false">IF(C9096="","",C9096*D9096/100)</f>
        <v/>
      </c>
      <c r="F9096" s="15" t="str">
        <f aca="false">IF(B9096&lt;5,"Go","Standard")</f>
        <v>Standard</v>
      </c>
    </row>
    <row r="9097" customFormat="false" ht="15" hidden="false" customHeight="true" outlineLevel="0" collapsed="false">
      <c r="A9097" s="10" t="n">
        <f aca="false">Einstellungen!$B$5+INT((ROW()-9)/24)</f>
        <v>46344</v>
      </c>
      <c r="B9097" s="11" t="n">
        <f aca="false">MOD(ROW()-9,24)</f>
        <v>16</v>
      </c>
      <c r="C9097" s="12"/>
      <c r="D9097" s="13" t="n">
        <f aca="false">IF(B9097&lt;5,Einstellungen!$B$3,Einstellungen!$B$4)</f>
        <v>29.13</v>
      </c>
      <c r="E9097" s="14" t="str">
        <f aca="false">IF(C9097="","",C9097*D9097/100)</f>
        <v/>
      </c>
      <c r="F9097" s="15" t="str">
        <f aca="false">IF(B9097&lt;5,"Go","Standard")</f>
        <v>Standard</v>
      </c>
    </row>
    <row r="9098" customFormat="false" ht="15" hidden="false" customHeight="true" outlineLevel="0" collapsed="false">
      <c r="A9098" s="10" t="n">
        <f aca="false">Einstellungen!$B$5+INT((ROW()-9)/24)</f>
        <v>46344</v>
      </c>
      <c r="B9098" s="11" t="n">
        <f aca="false">MOD(ROW()-9,24)</f>
        <v>17</v>
      </c>
      <c r="C9098" s="12"/>
      <c r="D9098" s="13" t="n">
        <f aca="false">IF(B9098&lt;5,Einstellungen!$B$3,Einstellungen!$B$4)</f>
        <v>29.13</v>
      </c>
      <c r="E9098" s="14" t="str">
        <f aca="false">IF(C9098="","",C9098*D9098/100)</f>
        <v/>
      </c>
      <c r="F9098" s="15" t="str">
        <f aca="false">IF(B9098&lt;5,"Go","Standard")</f>
        <v>Standard</v>
      </c>
    </row>
    <row r="9099" customFormat="false" ht="15" hidden="false" customHeight="true" outlineLevel="0" collapsed="false">
      <c r="A9099" s="10" t="n">
        <f aca="false">Einstellungen!$B$5+INT((ROW()-9)/24)</f>
        <v>46344</v>
      </c>
      <c r="B9099" s="11" t="n">
        <f aca="false">MOD(ROW()-9,24)</f>
        <v>18</v>
      </c>
      <c r="C9099" s="12"/>
      <c r="D9099" s="13" t="n">
        <f aca="false">IF(B9099&lt;5,Einstellungen!$B$3,Einstellungen!$B$4)</f>
        <v>29.13</v>
      </c>
      <c r="E9099" s="14" t="str">
        <f aca="false">IF(C9099="","",C9099*D9099/100)</f>
        <v/>
      </c>
      <c r="F9099" s="15" t="str">
        <f aca="false">IF(B9099&lt;5,"Go","Standard")</f>
        <v>Standard</v>
      </c>
    </row>
    <row r="9100" customFormat="false" ht="15" hidden="false" customHeight="true" outlineLevel="0" collapsed="false">
      <c r="A9100" s="10" t="n">
        <f aca="false">Einstellungen!$B$5+INT((ROW()-9)/24)</f>
        <v>46344</v>
      </c>
      <c r="B9100" s="11" t="n">
        <f aca="false">MOD(ROW()-9,24)</f>
        <v>19</v>
      </c>
      <c r="C9100" s="12"/>
      <c r="D9100" s="13" t="n">
        <f aca="false">IF(B9100&lt;5,Einstellungen!$B$3,Einstellungen!$B$4)</f>
        <v>29.13</v>
      </c>
      <c r="E9100" s="14" t="str">
        <f aca="false">IF(C9100="","",C9100*D9100/100)</f>
        <v/>
      </c>
      <c r="F9100" s="15" t="str">
        <f aca="false">IF(B9100&lt;5,"Go","Standard")</f>
        <v>Standard</v>
      </c>
    </row>
    <row r="9101" customFormat="false" ht="15" hidden="false" customHeight="true" outlineLevel="0" collapsed="false">
      <c r="A9101" s="10" t="n">
        <f aca="false">Einstellungen!$B$5+INT((ROW()-9)/24)</f>
        <v>46344</v>
      </c>
      <c r="B9101" s="11" t="n">
        <f aca="false">MOD(ROW()-9,24)</f>
        <v>20</v>
      </c>
      <c r="C9101" s="12"/>
      <c r="D9101" s="13" t="n">
        <f aca="false">IF(B9101&lt;5,Einstellungen!$B$3,Einstellungen!$B$4)</f>
        <v>29.13</v>
      </c>
      <c r="E9101" s="14" t="str">
        <f aca="false">IF(C9101="","",C9101*D9101/100)</f>
        <v/>
      </c>
      <c r="F9101" s="15" t="str">
        <f aca="false">IF(B9101&lt;5,"Go","Standard")</f>
        <v>Standard</v>
      </c>
    </row>
    <row r="9102" customFormat="false" ht="15" hidden="false" customHeight="true" outlineLevel="0" collapsed="false">
      <c r="A9102" s="10" t="n">
        <f aca="false">Einstellungen!$B$5+INT((ROW()-9)/24)</f>
        <v>46344</v>
      </c>
      <c r="B9102" s="11" t="n">
        <f aca="false">MOD(ROW()-9,24)</f>
        <v>21</v>
      </c>
      <c r="C9102" s="12"/>
      <c r="D9102" s="13" t="n">
        <f aca="false">IF(B9102&lt;5,Einstellungen!$B$3,Einstellungen!$B$4)</f>
        <v>29.13</v>
      </c>
      <c r="E9102" s="14" t="str">
        <f aca="false">IF(C9102="","",C9102*D9102/100)</f>
        <v/>
      </c>
      <c r="F9102" s="15" t="str">
        <f aca="false">IF(B9102&lt;5,"Go","Standard")</f>
        <v>Standard</v>
      </c>
    </row>
    <row r="9103" customFormat="false" ht="15" hidden="false" customHeight="true" outlineLevel="0" collapsed="false">
      <c r="A9103" s="10" t="n">
        <f aca="false">Einstellungen!$B$5+INT((ROW()-9)/24)</f>
        <v>46344</v>
      </c>
      <c r="B9103" s="11" t="n">
        <f aca="false">MOD(ROW()-9,24)</f>
        <v>22</v>
      </c>
      <c r="C9103" s="12"/>
      <c r="D9103" s="13" t="n">
        <f aca="false">IF(B9103&lt;5,Einstellungen!$B$3,Einstellungen!$B$4)</f>
        <v>29.13</v>
      </c>
      <c r="E9103" s="14" t="str">
        <f aca="false">IF(C9103="","",C9103*D9103/100)</f>
        <v/>
      </c>
      <c r="F9103" s="15" t="str">
        <f aca="false">IF(B9103&lt;5,"Go","Standard")</f>
        <v>Standard</v>
      </c>
    </row>
    <row r="9104" customFormat="false" ht="15" hidden="false" customHeight="true" outlineLevel="0" collapsed="false">
      <c r="A9104" s="10" t="n">
        <f aca="false">Einstellungen!$B$5+INT((ROW()-9)/24)</f>
        <v>46344</v>
      </c>
      <c r="B9104" s="11" t="n">
        <f aca="false">MOD(ROW()-9,24)</f>
        <v>23</v>
      </c>
      <c r="C9104" s="12"/>
      <c r="D9104" s="13" t="n">
        <f aca="false">IF(B9104&lt;5,Einstellungen!$B$3,Einstellungen!$B$4)</f>
        <v>29.13</v>
      </c>
      <c r="E9104" s="14" t="str">
        <f aca="false">IF(C9104="","",C9104*D9104/100)</f>
        <v/>
      </c>
      <c r="F9104" s="15" t="str">
        <f aca="false">IF(B9104&lt;5,"Go","Standard")</f>
        <v>Standard</v>
      </c>
    </row>
    <row r="9105" customFormat="false" ht="15" hidden="false" customHeight="true" outlineLevel="0" collapsed="false">
      <c r="A9105" s="10" t="n">
        <f aca="false">Einstellungen!$B$5+INT((ROW()-9)/24)</f>
        <v>46345</v>
      </c>
      <c r="B9105" s="11" t="n">
        <f aca="false">MOD(ROW()-9,24)</f>
        <v>0</v>
      </c>
      <c r="C9105" s="12"/>
      <c r="D9105" s="13" t="n">
        <f aca="false">IF(B9105&lt;5,Einstellungen!$B$3,Einstellungen!$B$4)</f>
        <v>15.92</v>
      </c>
      <c r="E9105" s="14" t="str">
        <f aca="false">IF(C9105="","",C9105*D9105/100)</f>
        <v/>
      </c>
      <c r="F9105" s="15" t="str">
        <f aca="false">IF(B9105&lt;5,"Go","Standard")</f>
        <v>Go</v>
      </c>
    </row>
    <row r="9106" customFormat="false" ht="15" hidden="false" customHeight="true" outlineLevel="0" collapsed="false">
      <c r="A9106" s="10" t="n">
        <f aca="false">Einstellungen!$B$5+INT((ROW()-9)/24)</f>
        <v>46345</v>
      </c>
      <c r="B9106" s="11" t="n">
        <f aca="false">MOD(ROW()-9,24)</f>
        <v>1</v>
      </c>
      <c r="C9106" s="12"/>
      <c r="D9106" s="13" t="n">
        <f aca="false">IF(B9106&lt;5,Einstellungen!$B$3,Einstellungen!$B$4)</f>
        <v>15.92</v>
      </c>
      <c r="E9106" s="14" t="str">
        <f aca="false">IF(C9106="","",C9106*D9106/100)</f>
        <v/>
      </c>
      <c r="F9106" s="15" t="str">
        <f aca="false">IF(B9106&lt;5,"Go","Standard")</f>
        <v>Go</v>
      </c>
    </row>
    <row r="9107" customFormat="false" ht="15" hidden="false" customHeight="true" outlineLevel="0" collapsed="false">
      <c r="A9107" s="10" t="n">
        <f aca="false">Einstellungen!$B$5+INT((ROW()-9)/24)</f>
        <v>46345</v>
      </c>
      <c r="B9107" s="11" t="n">
        <f aca="false">MOD(ROW()-9,24)</f>
        <v>2</v>
      </c>
      <c r="C9107" s="12"/>
      <c r="D9107" s="13" t="n">
        <f aca="false">IF(B9107&lt;5,Einstellungen!$B$3,Einstellungen!$B$4)</f>
        <v>15.92</v>
      </c>
      <c r="E9107" s="14" t="str">
        <f aca="false">IF(C9107="","",C9107*D9107/100)</f>
        <v/>
      </c>
      <c r="F9107" s="15" t="str">
        <f aca="false">IF(B9107&lt;5,"Go","Standard")</f>
        <v>Go</v>
      </c>
    </row>
    <row r="9108" customFormat="false" ht="15" hidden="false" customHeight="true" outlineLevel="0" collapsed="false">
      <c r="A9108" s="10" t="n">
        <f aca="false">Einstellungen!$B$5+INT((ROW()-9)/24)</f>
        <v>46345</v>
      </c>
      <c r="B9108" s="11" t="n">
        <f aca="false">MOD(ROW()-9,24)</f>
        <v>3</v>
      </c>
      <c r="C9108" s="12"/>
      <c r="D9108" s="13" t="n">
        <f aca="false">IF(B9108&lt;5,Einstellungen!$B$3,Einstellungen!$B$4)</f>
        <v>15.92</v>
      </c>
      <c r="E9108" s="14" t="str">
        <f aca="false">IF(C9108="","",C9108*D9108/100)</f>
        <v/>
      </c>
      <c r="F9108" s="15" t="str">
        <f aca="false">IF(B9108&lt;5,"Go","Standard")</f>
        <v>Go</v>
      </c>
    </row>
    <row r="9109" customFormat="false" ht="15" hidden="false" customHeight="true" outlineLevel="0" collapsed="false">
      <c r="A9109" s="10" t="n">
        <f aca="false">Einstellungen!$B$5+INT((ROW()-9)/24)</f>
        <v>46345</v>
      </c>
      <c r="B9109" s="11" t="n">
        <f aca="false">MOD(ROW()-9,24)</f>
        <v>4</v>
      </c>
      <c r="C9109" s="12"/>
      <c r="D9109" s="13" t="n">
        <f aca="false">IF(B9109&lt;5,Einstellungen!$B$3,Einstellungen!$B$4)</f>
        <v>15.92</v>
      </c>
      <c r="E9109" s="14" t="str">
        <f aca="false">IF(C9109="","",C9109*D9109/100)</f>
        <v/>
      </c>
      <c r="F9109" s="15" t="str">
        <f aca="false">IF(B9109&lt;5,"Go","Standard")</f>
        <v>Go</v>
      </c>
    </row>
    <row r="9110" customFormat="false" ht="15" hidden="false" customHeight="true" outlineLevel="0" collapsed="false">
      <c r="A9110" s="10" t="n">
        <f aca="false">Einstellungen!$B$5+INT((ROW()-9)/24)</f>
        <v>46345</v>
      </c>
      <c r="B9110" s="11" t="n">
        <f aca="false">MOD(ROW()-9,24)</f>
        <v>5</v>
      </c>
      <c r="C9110" s="12"/>
      <c r="D9110" s="13" t="n">
        <f aca="false">IF(B9110&lt;5,Einstellungen!$B$3,Einstellungen!$B$4)</f>
        <v>29.13</v>
      </c>
      <c r="E9110" s="14" t="str">
        <f aca="false">IF(C9110="","",C9110*D9110/100)</f>
        <v/>
      </c>
      <c r="F9110" s="15" t="str">
        <f aca="false">IF(B9110&lt;5,"Go","Standard")</f>
        <v>Standard</v>
      </c>
    </row>
    <row r="9111" customFormat="false" ht="15" hidden="false" customHeight="true" outlineLevel="0" collapsed="false">
      <c r="A9111" s="10" t="n">
        <f aca="false">Einstellungen!$B$5+INT((ROW()-9)/24)</f>
        <v>46345</v>
      </c>
      <c r="B9111" s="11" t="n">
        <f aca="false">MOD(ROW()-9,24)</f>
        <v>6</v>
      </c>
      <c r="C9111" s="12"/>
      <c r="D9111" s="13" t="n">
        <f aca="false">IF(B9111&lt;5,Einstellungen!$B$3,Einstellungen!$B$4)</f>
        <v>29.13</v>
      </c>
      <c r="E9111" s="14" t="str">
        <f aca="false">IF(C9111="","",C9111*D9111/100)</f>
        <v/>
      </c>
      <c r="F9111" s="15" t="str">
        <f aca="false">IF(B9111&lt;5,"Go","Standard")</f>
        <v>Standard</v>
      </c>
    </row>
    <row r="9112" customFormat="false" ht="15" hidden="false" customHeight="true" outlineLevel="0" collapsed="false">
      <c r="A9112" s="10" t="n">
        <f aca="false">Einstellungen!$B$5+INT((ROW()-9)/24)</f>
        <v>46345</v>
      </c>
      <c r="B9112" s="11" t="n">
        <f aca="false">MOD(ROW()-9,24)</f>
        <v>7</v>
      </c>
      <c r="C9112" s="12"/>
      <c r="D9112" s="13" t="n">
        <f aca="false">IF(B9112&lt;5,Einstellungen!$B$3,Einstellungen!$B$4)</f>
        <v>29.13</v>
      </c>
      <c r="E9112" s="14" t="str">
        <f aca="false">IF(C9112="","",C9112*D9112/100)</f>
        <v/>
      </c>
      <c r="F9112" s="15" t="str">
        <f aca="false">IF(B9112&lt;5,"Go","Standard")</f>
        <v>Standard</v>
      </c>
    </row>
    <row r="9113" customFormat="false" ht="15" hidden="false" customHeight="true" outlineLevel="0" collapsed="false">
      <c r="A9113" s="10" t="n">
        <f aca="false">Einstellungen!$B$5+INT((ROW()-9)/24)</f>
        <v>46345</v>
      </c>
      <c r="B9113" s="11" t="n">
        <f aca="false">MOD(ROW()-9,24)</f>
        <v>8</v>
      </c>
      <c r="C9113" s="12"/>
      <c r="D9113" s="13" t="n">
        <f aca="false">IF(B9113&lt;5,Einstellungen!$B$3,Einstellungen!$B$4)</f>
        <v>29.13</v>
      </c>
      <c r="E9113" s="14" t="str">
        <f aca="false">IF(C9113="","",C9113*D9113/100)</f>
        <v/>
      </c>
      <c r="F9113" s="15" t="str">
        <f aca="false">IF(B9113&lt;5,"Go","Standard")</f>
        <v>Standard</v>
      </c>
    </row>
    <row r="9114" customFormat="false" ht="15" hidden="false" customHeight="true" outlineLevel="0" collapsed="false">
      <c r="A9114" s="10" t="n">
        <f aca="false">Einstellungen!$B$5+INT((ROW()-9)/24)</f>
        <v>46345</v>
      </c>
      <c r="B9114" s="11" t="n">
        <f aca="false">MOD(ROW()-9,24)</f>
        <v>9</v>
      </c>
      <c r="C9114" s="12"/>
      <c r="D9114" s="13" t="n">
        <f aca="false">IF(B9114&lt;5,Einstellungen!$B$3,Einstellungen!$B$4)</f>
        <v>29.13</v>
      </c>
      <c r="E9114" s="14" t="str">
        <f aca="false">IF(C9114="","",C9114*D9114/100)</f>
        <v/>
      </c>
      <c r="F9114" s="15" t="str">
        <f aca="false">IF(B9114&lt;5,"Go","Standard")</f>
        <v>Standard</v>
      </c>
    </row>
    <row r="9115" customFormat="false" ht="15" hidden="false" customHeight="true" outlineLevel="0" collapsed="false">
      <c r="A9115" s="10" t="n">
        <f aca="false">Einstellungen!$B$5+INT((ROW()-9)/24)</f>
        <v>46345</v>
      </c>
      <c r="B9115" s="11" t="n">
        <f aca="false">MOD(ROW()-9,24)</f>
        <v>10</v>
      </c>
      <c r="C9115" s="12"/>
      <c r="D9115" s="13" t="n">
        <f aca="false">IF(B9115&lt;5,Einstellungen!$B$3,Einstellungen!$B$4)</f>
        <v>29.13</v>
      </c>
      <c r="E9115" s="14" t="str">
        <f aca="false">IF(C9115="","",C9115*D9115/100)</f>
        <v/>
      </c>
      <c r="F9115" s="15" t="str">
        <f aca="false">IF(B9115&lt;5,"Go","Standard")</f>
        <v>Standard</v>
      </c>
    </row>
    <row r="9116" customFormat="false" ht="15" hidden="false" customHeight="true" outlineLevel="0" collapsed="false">
      <c r="A9116" s="10" t="n">
        <f aca="false">Einstellungen!$B$5+INT((ROW()-9)/24)</f>
        <v>46345</v>
      </c>
      <c r="B9116" s="11" t="n">
        <f aca="false">MOD(ROW()-9,24)</f>
        <v>11</v>
      </c>
      <c r="C9116" s="12"/>
      <c r="D9116" s="13" t="n">
        <f aca="false">IF(B9116&lt;5,Einstellungen!$B$3,Einstellungen!$B$4)</f>
        <v>29.13</v>
      </c>
      <c r="E9116" s="14" t="str">
        <f aca="false">IF(C9116="","",C9116*D9116/100)</f>
        <v/>
      </c>
      <c r="F9116" s="15" t="str">
        <f aca="false">IF(B9116&lt;5,"Go","Standard")</f>
        <v>Standard</v>
      </c>
    </row>
    <row r="9117" customFormat="false" ht="15" hidden="false" customHeight="true" outlineLevel="0" collapsed="false">
      <c r="A9117" s="10" t="n">
        <f aca="false">Einstellungen!$B$5+INT((ROW()-9)/24)</f>
        <v>46345</v>
      </c>
      <c r="B9117" s="11" t="n">
        <f aca="false">MOD(ROW()-9,24)</f>
        <v>12</v>
      </c>
      <c r="C9117" s="12"/>
      <c r="D9117" s="13" t="n">
        <f aca="false">IF(B9117&lt;5,Einstellungen!$B$3,Einstellungen!$B$4)</f>
        <v>29.13</v>
      </c>
      <c r="E9117" s="14" t="str">
        <f aca="false">IF(C9117="","",C9117*D9117/100)</f>
        <v/>
      </c>
      <c r="F9117" s="15" t="str">
        <f aca="false">IF(B9117&lt;5,"Go","Standard")</f>
        <v>Standard</v>
      </c>
    </row>
    <row r="9118" customFormat="false" ht="15" hidden="false" customHeight="true" outlineLevel="0" collapsed="false">
      <c r="A9118" s="10" t="n">
        <f aca="false">Einstellungen!$B$5+INT((ROW()-9)/24)</f>
        <v>46345</v>
      </c>
      <c r="B9118" s="11" t="n">
        <f aca="false">MOD(ROW()-9,24)</f>
        <v>13</v>
      </c>
      <c r="C9118" s="12"/>
      <c r="D9118" s="13" t="n">
        <f aca="false">IF(B9118&lt;5,Einstellungen!$B$3,Einstellungen!$B$4)</f>
        <v>29.13</v>
      </c>
      <c r="E9118" s="14" t="str">
        <f aca="false">IF(C9118="","",C9118*D9118/100)</f>
        <v/>
      </c>
      <c r="F9118" s="15" t="str">
        <f aca="false">IF(B9118&lt;5,"Go","Standard")</f>
        <v>Standard</v>
      </c>
    </row>
    <row r="9119" customFormat="false" ht="15" hidden="false" customHeight="true" outlineLevel="0" collapsed="false">
      <c r="A9119" s="10" t="n">
        <f aca="false">Einstellungen!$B$5+INT((ROW()-9)/24)</f>
        <v>46345</v>
      </c>
      <c r="B9119" s="11" t="n">
        <f aca="false">MOD(ROW()-9,24)</f>
        <v>14</v>
      </c>
      <c r="C9119" s="12"/>
      <c r="D9119" s="13" t="n">
        <f aca="false">IF(B9119&lt;5,Einstellungen!$B$3,Einstellungen!$B$4)</f>
        <v>29.13</v>
      </c>
      <c r="E9119" s="14" t="str">
        <f aca="false">IF(C9119="","",C9119*D9119/100)</f>
        <v/>
      </c>
      <c r="F9119" s="15" t="str">
        <f aca="false">IF(B9119&lt;5,"Go","Standard")</f>
        <v>Standard</v>
      </c>
    </row>
    <row r="9120" customFormat="false" ht="15" hidden="false" customHeight="true" outlineLevel="0" collapsed="false">
      <c r="A9120" s="10" t="n">
        <f aca="false">Einstellungen!$B$5+INT((ROW()-9)/24)</f>
        <v>46345</v>
      </c>
      <c r="B9120" s="11" t="n">
        <f aca="false">MOD(ROW()-9,24)</f>
        <v>15</v>
      </c>
      <c r="C9120" s="12"/>
      <c r="D9120" s="13" t="n">
        <f aca="false">IF(B9120&lt;5,Einstellungen!$B$3,Einstellungen!$B$4)</f>
        <v>29.13</v>
      </c>
      <c r="E9120" s="14" t="str">
        <f aca="false">IF(C9120="","",C9120*D9120/100)</f>
        <v/>
      </c>
      <c r="F9120" s="15" t="str">
        <f aca="false">IF(B9120&lt;5,"Go","Standard")</f>
        <v>Standard</v>
      </c>
    </row>
    <row r="9121" customFormat="false" ht="15" hidden="false" customHeight="true" outlineLevel="0" collapsed="false">
      <c r="A9121" s="10" t="n">
        <f aca="false">Einstellungen!$B$5+INT((ROW()-9)/24)</f>
        <v>46345</v>
      </c>
      <c r="B9121" s="11" t="n">
        <f aca="false">MOD(ROW()-9,24)</f>
        <v>16</v>
      </c>
      <c r="C9121" s="12"/>
      <c r="D9121" s="13" t="n">
        <f aca="false">IF(B9121&lt;5,Einstellungen!$B$3,Einstellungen!$B$4)</f>
        <v>29.13</v>
      </c>
      <c r="E9121" s="14" t="str">
        <f aca="false">IF(C9121="","",C9121*D9121/100)</f>
        <v/>
      </c>
      <c r="F9121" s="15" t="str">
        <f aca="false">IF(B9121&lt;5,"Go","Standard")</f>
        <v>Standard</v>
      </c>
    </row>
    <row r="9122" customFormat="false" ht="15" hidden="false" customHeight="true" outlineLevel="0" collapsed="false">
      <c r="A9122" s="10" t="n">
        <f aca="false">Einstellungen!$B$5+INT((ROW()-9)/24)</f>
        <v>46345</v>
      </c>
      <c r="B9122" s="11" t="n">
        <f aca="false">MOD(ROW()-9,24)</f>
        <v>17</v>
      </c>
      <c r="C9122" s="12"/>
      <c r="D9122" s="13" t="n">
        <f aca="false">IF(B9122&lt;5,Einstellungen!$B$3,Einstellungen!$B$4)</f>
        <v>29.13</v>
      </c>
      <c r="E9122" s="14" t="str">
        <f aca="false">IF(C9122="","",C9122*D9122/100)</f>
        <v/>
      </c>
      <c r="F9122" s="15" t="str">
        <f aca="false">IF(B9122&lt;5,"Go","Standard")</f>
        <v>Standard</v>
      </c>
    </row>
    <row r="9123" customFormat="false" ht="15" hidden="false" customHeight="true" outlineLevel="0" collapsed="false">
      <c r="A9123" s="10" t="n">
        <f aca="false">Einstellungen!$B$5+INT((ROW()-9)/24)</f>
        <v>46345</v>
      </c>
      <c r="B9123" s="11" t="n">
        <f aca="false">MOD(ROW()-9,24)</f>
        <v>18</v>
      </c>
      <c r="C9123" s="12"/>
      <c r="D9123" s="13" t="n">
        <f aca="false">IF(B9123&lt;5,Einstellungen!$B$3,Einstellungen!$B$4)</f>
        <v>29.13</v>
      </c>
      <c r="E9123" s="14" t="str">
        <f aca="false">IF(C9123="","",C9123*D9123/100)</f>
        <v/>
      </c>
      <c r="F9123" s="15" t="str">
        <f aca="false">IF(B9123&lt;5,"Go","Standard")</f>
        <v>Standard</v>
      </c>
    </row>
    <row r="9124" customFormat="false" ht="15" hidden="false" customHeight="true" outlineLevel="0" collapsed="false">
      <c r="A9124" s="10" t="n">
        <f aca="false">Einstellungen!$B$5+INT((ROW()-9)/24)</f>
        <v>46345</v>
      </c>
      <c r="B9124" s="11" t="n">
        <f aca="false">MOD(ROW()-9,24)</f>
        <v>19</v>
      </c>
      <c r="C9124" s="12"/>
      <c r="D9124" s="13" t="n">
        <f aca="false">IF(B9124&lt;5,Einstellungen!$B$3,Einstellungen!$B$4)</f>
        <v>29.13</v>
      </c>
      <c r="E9124" s="14" t="str">
        <f aca="false">IF(C9124="","",C9124*D9124/100)</f>
        <v/>
      </c>
      <c r="F9124" s="15" t="str">
        <f aca="false">IF(B9124&lt;5,"Go","Standard")</f>
        <v>Standard</v>
      </c>
    </row>
    <row r="9125" customFormat="false" ht="15" hidden="false" customHeight="true" outlineLevel="0" collapsed="false">
      <c r="A9125" s="10" t="n">
        <f aca="false">Einstellungen!$B$5+INT((ROW()-9)/24)</f>
        <v>46345</v>
      </c>
      <c r="B9125" s="11" t="n">
        <f aca="false">MOD(ROW()-9,24)</f>
        <v>20</v>
      </c>
      <c r="C9125" s="12"/>
      <c r="D9125" s="13" t="n">
        <f aca="false">IF(B9125&lt;5,Einstellungen!$B$3,Einstellungen!$B$4)</f>
        <v>29.13</v>
      </c>
      <c r="E9125" s="14" t="str">
        <f aca="false">IF(C9125="","",C9125*D9125/100)</f>
        <v/>
      </c>
      <c r="F9125" s="15" t="str">
        <f aca="false">IF(B9125&lt;5,"Go","Standard")</f>
        <v>Standard</v>
      </c>
    </row>
    <row r="9126" customFormat="false" ht="15" hidden="false" customHeight="true" outlineLevel="0" collapsed="false">
      <c r="A9126" s="10" t="n">
        <f aca="false">Einstellungen!$B$5+INT((ROW()-9)/24)</f>
        <v>46345</v>
      </c>
      <c r="B9126" s="11" t="n">
        <f aca="false">MOD(ROW()-9,24)</f>
        <v>21</v>
      </c>
      <c r="C9126" s="12"/>
      <c r="D9126" s="13" t="n">
        <f aca="false">IF(B9126&lt;5,Einstellungen!$B$3,Einstellungen!$B$4)</f>
        <v>29.13</v>
      </c>
      <c r="E9126" s="14" t="str">
        <f aca="false">IF(C9126="","",C9126*D9126/100)</f>
        <v/>
      </c>
      <c r="F9126" s="15" t="str">
        <f aca="false">IF(B9126&lt;5,"Go","Standard")</f>
        <v>Standard</v>
      </c>
    </row>
    <row r="9127" customFormat="false" ht="15" hidden="false" customHeight="true" outlineLevel="0" collapsed="false">
      <c r="A9127" s="10" t="n">
        <f aca="false">Einstellungen!$B$5+INT((ROW()-9)/24)</f>
        <v>46345</v>
      </c>
      <c r="B9127" s="11" t="n">
        <f aca="false">MOD(ROW()-9,24)</f>
        <v>22</v>
      </c>
      <c r="C9127" s="12"/>
      <c r="D9127" s="13" t="n">
        <f aca="false">IF(B9127&lt;5,Einstellungen!$B$3,Einstellungen!$B$4)</f>
        <v>29.13</v>
      </c>
      <c r="E9127" s="14" t="str">
        <f aca="false">IF(C9127="","",C9127*D9127/100)</f>
        <v/>
      </c>
      <c r="F9127" s="15" t="str">
        <f aca="false">IF(B9127&lt;5,"Go","Standard")</f>
        <v>Standard</v>
      </c>
    </row>
    <row r="9128" customFormat="false" ht="15" hidden="false" customHeight="true" outlineLevel="0" collapsed="false">
      <c r="A9128" s="10" t="n">
        <f aca="false">Einstellungen!$B$5+INT((ROW()-9)/24)</f>
        <v>46345</v>
      </c>
      <c r="B9128" s="11" t="n">
        <f aca="false">MOD(ROW()-9,24)</f>
        <v>23</v>
      </c>
      <c r="C9128" s="12"/>
      <c r="D9128" s="13" t="n">
        <f aca="false">IF(B9128&lt;5,Einstellungen!$B$3,Einstellungen!$B$4)</f>
        <v>29.13</v>
      </c>
      <c r="E9128" s="14" t="str">
        <f aca="false">IF(C9128="","",C9128*D9128/100)</f>
        <v/>
      </c>
      <c r="F9128" s="15" t="str">
        <f aca="false">IF(B9128&lt;5,"Go","Standard")</f>
        <v>Standard</v>
      </c>
    </row>
    <row r="9129" customFormat="false" ht="15" hidden="false" customHeight="true" outlineLevel="0" collapsed="false">
      <c r="A9129" s="10" t="n">
        <f aca="false">Einstellungen!$B$5+INT((ROW()-9)/24)</f>
        <v>46346</v>
      </c>
      <c r="B9129" s="11" t="n">
        <f aca="false">MOD(ROW()-9,24)</f>
        <v>0</v>
      </c>
      <c r="C9129" s="12"/>
      <c r="D9129" s="13" t="n">
        <f aca="false">IF(B9129&lt;5,Einstellungen!$B$3,Einstellungen!$B$4)</f>
        <v>15.92</v>
      </c>
      <c r="E9129" s="14" t="str">
        <f aca="false">IF(C9129="","",C9129*D9129/100)</f>
        <v/>
      </c>
      <c r="F9129" s="15" t="str">
        <f aca="false">IF(B9129&lt;5,"Go","Standard")</f>
        <v>Go</v>
      </c>
    </row>
    <row r="9130" customFormat="false" ht="15" hidden="false" customHeight="true" outlineLevel="0" collapsed="false">
      <c r="A9130" s="10" t="n">
        <f aca="false">Einstellungen!$B$5+INT((ROW()-9)/24)</f>
        <v>46346</v>
      </c>
      <c r="B9130" s="11" t="n">
        <f aca="false">MOD(ROW()-9,24)</f>
        <v>1</v>
      </c>
      <c r="C9130" s="12"/>
      <c r="D9130" s="13" t="n">
        <f aca="false">IF(B9130&lt;5,Einstellungen!$B$3,Einstellungen!$B$4)</f>
        <v>15.92</v>
      </c>
      <c r="E9130" s="14" t="str">
        <f aca="false">IF(C9130="","",C9130*D9130/100)</f>
        <v/>
      </c>
      <c r="F9130" s="15" t="str">
        <f aca="false">IF(B9130&lt;5,"Go","Standard")</f>
        <v>Go</v>
      </c>
    </row>
    <row r="9131" customFormat="false" ht="15" hidden="false" customHeight="true" outlineLevel="0" collapsed="false">
      <c r="A9131" s="10" t="n">
        <f aca="false">Einstellungen!$B$5+INT((ROW()-9)/24)</f>
        <v>46346</v>
      </c>
      <c r="B9131" s="11" t="n">
        <f aca="false">MOD(ROW()-9,24)</f>
        <v>2</v>
      </c>
      <c r="C9131" s="12"/>
      <c r="D9131" s="13" t="n">
        <f aca="false">IF(B9131&lt;5,Einstellungen!$B$3,Einstellungen!$B$4)</f>
        <v>15.92</v>
      </c>
      <c r="E9131" s="14" t="str">
        <f aca="false">IF(C9131="","",C9131*D9131/100)</f>
        <v/>
      </c>
      <c r="F9131" s="15" t="str">
        <f aca="false">IF(B9131&lt;5,"Go","Standard")</f>
        <v>Go</v>
      </c>
    </row>
    <row r="9132" customFormat="false" ht="15" hidden="false" customHeight="true" outlineLevel="0" collapsed="false">
      <c r="A9132" s="10" t="n">
        <f aca="false">Einstellungen!$B$5+INT((ROW()-9)/24)</f>
        <v>46346</v>
      </c>
      <c r="B9132" s="11" t="n">
        <f aca="false">MOD(ROW()-9,24)</f>
        <v>3</v>
      </c>
      <c r="C9132" s="12"/>
      <c r="D9132" s="13" t="n">
        <f aca="false">IF(B9132&lt;5,Einstellungen!$B$3,Einstellungen!$B$4)</f>
        <v>15.92</v>
      </c>
      <c r="E9132" s="14" t="str">
        <f aca="false">IF(C9132="","",C9132*D9132/100)</f>
        <v/>
      </c>
      <c r="F9132" s="15" t="str">
        <f aca="false">IF(B9132&lt;5,"Go","Standard")</f>
        <v>Go</v>
      </c>
    </row>
    <row r="9133" customFormat="false" ht="15" hidden="false" customHeight="true" outlineLevel="0" collapsed="false">
      <c r="A9133" s="10" t="n">
        <f aca="false">Einstellungen!$B$5+INT((ROW()-9)/24)</f>
        <v>46346</v>
      </c>
      <c r="B9133" s="11" t="n">
        <f aca="false">MOD(ROW()-9,24)</f>
        <v>4</v>
      </c>
      <c r="C9133" s="12"/>
      <c r="D9133" s="13" t="n">
        <f aca="false">IF(B9133&lt;5,Einstellungen!$B$3,Einstellungen!$B$4)</f>
        <v>15.92</v>
      </c>
      <c r="E9133" s="14" t="str">
        <f aca="false">IF(C9133="","",C9133*D9133/100)</f>
        <v/>
      </c>
      <c r="F9133" s="15" t="str">
        <f aca="false">IF(B9133&lt;5,"Go","Standard")</f>
        <v>Go</v>
      </c>
    </row>
    <row r="9134" customFormat="false" ht="15" hidden="false" customHeight="true" outlineLevel="0" collapsed="false">
      <c r="A9134" s="10" t="n">
        <f aca="false">Einstellungen!$B$5+INT((ROW()-9)/24)</f>
        <v>46346</v>
      </c>
      <c r="B9134" s="11" t="n">
        <f aca="false">MOD(ROW()-9,24)</f>
        <v>5</v>
      </c>
      <c r="C9134" s="12"/>
      <c r="D9134" s="13" t="n">
        <f aca="false">IF(B9134&lt;5,Einstellungen!$B$3,Einstellungen!$B$4)</f>
        <v>29.13</v>
      </c>
      <c r="E9134" s="14" t="str">
        <f aca="false">IF(C9134="","",C9134*D9134/100)</f>
        <v/>
      </c>
      <c r="F9134" s="15" t="str">
        <f aca="false">IF(B9134&lt;5,"Go","Standard")</f>
        <v>Standard</v>
      </c>
    </row>
    <row r="9135" customFormat="false" ht="15" hidden="false" customHeight="true" outlineLevel="0" collapsed="false">
      <c r="A9135" s="10" t="n">
        <f aca="false">Einstellungen!$B$5+INT((ROW()-9)/24)</f>
        <v>46346</v>
      </c>
      <c r="B9135" s="11" t="n">
        <f aca="false">MOD(ROW()-9,24)</f>
        <v>6</v>
      </c>
      <c r="C9135" s="12"/>
      <c r="D9135" s="13" t="n">
        <f aca="false">IF(B9135&lt;5,Einstellungen!$B$3,Einstellungen!$B$4)</f>
        <v>29.13</v>
      </c>
      <c r="E9135" s="14" t="str">
        <f aca="false">IF(C9135="","",C9135*D9135/100)</f>
        <v/>
      </c>
      <c r="F9135" s="15" t="str">
        <f aca="false">IF(B9135&lt;5,"Go","Standard")</f>
        <v>Standard</v>
      </c>
    </row>
    <row r="9136" customFormat="false" ht="15" hidden="false" customHeight="true" outlineLevel="0" collapsed="false">
      <c r="A9136" s="10" t="n">
        <f aca="false">Einstellungen!$B$5+INT((ROW()-9)/24)</f>
        <v>46346</v>
      </c>
      <c r="B9136" s="11" t="n">
        <f aca="false">MOD(ROW()-9,24)</f>
        <v>7</v>
      </c>
      <c r="C9136" s="12"/>
      <c r="D9136" s="13" t="n">
        <f aca="false">IF(B9136&lt;5,Einstellungen!$B$3,Einstellungen!$B$4)</f>
        <v>29.13</v>
      </c>
      <c r="E9136" s="14" t="str">
        <f aca="false">IF(C9136="","",C9136*D9136/100)</f>
        <v/>
      </c>
      <c r="F9136" s="15" t="str">
        <f aca="false">IF(B9136&lt;5,"Go","Standard")</f>
        <v>Standard</v>
      </c>
    </row>
    <row r="9137" customFormat="false" ht="15" hidden="false" customHeight="true" outlineLevel="0" collapsed="false">
      <c r="A9137" s="10" t="n">
        <f aca="false">Einstellungen!$B$5+INT((ROW()-9)/24)</f>
        <v>46346</v>
      </c>
      <c r="B9137" s="11" t="n">
        <f aca="false">MOD(ROW()-9,24)</f>
        <v>8</v>
      </c>
      <c r="C9137" s="12"/>
      <c r="D9137" s="13" t="n">
        <f aca="false">IF(B9137&lt;5,Einstellungen!$B$3,Einstellungen!$B$4)</f>
        <v>29.13</v>
      </c>
      <c r="E9137" s="14" t="str">
        <f aca="false">IF(C9137="","",C9137*D9137/100)</f>
        <v/>
      </c>
      <c r="F9137" s="15" t="str">
        <f aca="false">IF(B9137&lt;5,"Go","Standard")</f>
        <v>Standard</v>
      </c>
    </row>
    <row r="9138" customFormat="false" ht="15" hidden="false" customHeight="true" outlineLevel="0" collapsed="false">
      <c r="A9138" s="10" t="n">
        <f aca="false">Einstellungen!$B$5+INT((ROW()-9)/24)</f>
        <v>46346</v>
      </c>
      <c r="B9138" s="11" t="n">
        <f aca="false">MOD(ROW()-9,24)</f>
        <v>9</v>
      </c>
      <c r="C9138" s="12"/>
      <c r="D9138" s="13" t="n">
        <f aca="false">IF(B9138&lt;5,Einstellungen!$B$3,Einstellungen!$B$4)</f>
        <v>29.13</v>
      </c>
      <c r="E9138" s="14" t="str">
        <f aca="false">IF(C9138="","",C9138*D9138/100)</f>
        <v/>
      </c>
      <c r="F9138" s="15" t="str">
        <f aca="false">IF(B9138&lt;5,"Go","Standard")</f>
        <v>Standard</v>
      </c>
    </row>
    <row r="9139" customFormat="false" ht="15" hidden="false" customHeight="true" outlineLevel="0" collapsed="false">
      <c r="A9139" s="10" t="n">
        <f aca="false">Einstellungen!$B$5+INT((ROW()-9)/24)</f>
        <v>46346</v>
      </c>
      <c r="B9139" s="11" t="n">
        <f aca="false">MOD(ROW()-9,24)</f>
        <v>10</v>
      </c>
      <c r="C9139" s="12"/>
      <c r="D9139" s="13" t="n">
        <f aca="false">IF(B9139&lt;5,Einstellungen!$B$3,Einstellungen!$B$4)</f>
        <v>29.13</v>
      </c>
      <c r="E9139" s="14" t="str">
        <f aca="false">IF(C9139="","",C9139*D9139/100)</f>
        <v/>
      </c>
      <c r="F9139" s="15" t="str">
        <f aca="false">IF(B9139&lt;5,"Go","Standard")</f>
        <v>Standard</v>
      </c>
    </row>
    <row r="9140" customFormat="false" ht="15" hidden="false" customHeight="true" outlineLevel="0" collapsed="false">
      <c r="A9140" s="10" t="n">
        <f aca="false">Einstellungen!$B$5+INT((ROW()-9)/24)</f>
        <v>46346</v>
      </c>
      <c r="B9140" s="11" t="n">
        <f aca="false">MOD(ROW()-9,24)</f>
        <v>11</v>
      </c>
      <c r="C9140" s="12"/>
      <c r="D9140" s="13" t="n">
        <f aca="false">IF(B9140&lt;5,Einstellungen!$B$3,Einstellungen!$B$4)</f>
        <v>29.13</v>
      </c>
      <c r="E9140" s="14" t="str">
        <f aca="false">IF(C9140="","",C9140*D9140/100)</f>
        <v/>
      </c>
      <c r="F9140" s="15" t="str">
        <f aca="false">IF(B9140&lt;5,"Go","Standard")</f>
        <v>Standard</v>
      </c>
    </row>
    <row r="9141" customFormat="false" ht="15" hidden="false" customHeight="true" outlineLevel="0" collapsed="false">
      <c r="A9141" s="10" t="n">
        <f aca="false">Einstellungen!$B$5+INT((ROW()-9)/24)</f>
        <v>46346</v>
      </c>
      <c r="B9141" s="11" t="n">
        <f aca="false">MOD(ROW()-9,24)</f>
        <v>12</v>
      </c>
      <c r="C9141" s="12"/>
      <c r="D9141" s="13" t="n">
        <f aca="false">IF(B9141&lt;5,Einstellungen!$B$3,Einstellungen!$B$4)</f>
        <v>29.13</v>
      </c>
      <c r="E9141" s="14" t="str">
        <f aca="false">IF(C9141="","",C9141*D9141/100)</f>
        <v/>
      </c>
      <c r="F9141" s="15" t="str">
        <f aca="false">IF(B9141&lt;5,"Go","Standard")</f>
        <v>Standard</v>
      </c>
    </row>
    <row r="9142" customFormat="false" ht="15" hidden="false" customHeight="true" outlineLevel="0" collapsed="false">
      <c r="A9142" s="10" t="n">
        <f aca="false">Einstellungen!$B$5+INT((ROW()-9)/24)</f>
        <v>46346</v>
      </c>
      <c r="B9142" s="11" t="n">
        <f aca="false">MOD(ROW()-9,24)</f>
        <v>13</v>
      </c>
      <c r="C9142" s="12"/>
      <c r="D9142" s="13" t="n">
        <f aca="false">IF(B9142&lt;5,Einstellungen!$B$3,Einstellungen!$B$4)</f>
        <v>29.13</v>
      </c>
      <c r="E9142" s="14" t="str">
        <f aca="false">IF(C9142="","",C9142*D9142/100)</f>
        <v/>
      </c>
      <c r="F9142" s="15" t="str">
        <f aca="false">IF(B9142&lt;5,"Go","Standard")</f>
        <v>Standard</v>
      </c>
    </row>
    <row r="9143" customFormat="false" ht="15" hidden="false" customHeight="true" outlineLevel="0" collapsed="false">
      <c r="A9143" s="10" t="n">
        <f aca="false">Einstellungen!$B$5+INT((ROW()-9)/24)</f>
        <v>46346</v>
      </c>
      <c r="B9143" s="11" t="n">
        <f aca="false">MOD(ROW()-9,24)</f>
        <v>14</v>
      </c>
      <c r="C9143" s="12"/>
      <c r="D9143" s="13" t="n">
        <f aca="false">IF(B9143&lt;5,Einstellungen!$B$3,Einstellungen!$B$4)</f>
        <v>29.13</v>
      </c>
      <c r="E9143" s="14" t="str">
        <f aca="false">IF(C9143="","",C9143*D9143/100)</f>
        <v/>
      </c>
      <c r="F9143" s="15" t="str">
        <f aca="false">IF(B9143&lt;5,"Go","Standard")</f>
        <v>Standard</v>
      </c>
    </row>
    <row r="9144" customFormat="false" ht="15" hidden="false" customHeight="true" outlineLevel="0" collapsed="false">
      <c r="A9144" s="10" t="n">
        <f aca="false">Einstellungen!$B$5+INT((ROW()-9)/24)</f>
        <v>46346</v>
      </c>
      <c r="B9144" s="11" t="n">
        <f aca="false">MOD(ROW()-9,24)</f>
        <v>15</v>
      </c>
      <c r="C9144" s="12"/>
      <c r="D9144" s="13" t="n">
        <f aca="false">IF(B9144&lt;5,Einstellungen!$B$3,Einstellungen!$B$4)</f>
        <v>29.13</v>
      </c>
      <c r="E9144" s="14" t="str">
        <f aca="false">IF(C9144="","",C9144*D9144/100)</f>
        <v/>
      </c>
      <c r="F9144" s="15" t="str">
        <f aca="false">IF(B9144&lt;5,"Go","Standard")</f>
        <v>Standard</v>
      </c>
    </row>
    <row r="9145" customFormat="false" ht="15" hidden="false" customHeight="true" outlineLevel="0" collapsed="false">
      <c r="A9145" s="10" t="n">
        <f aca="false">Einstellungen!$B$5+INT((ROW()-9)/24)</f>
        <v>46346</v>
      </c>
      <c r="B9145" s="11" t="n">
        <f aca="false">MOD(ROW()-9,24)</f>
        <v>16</v>
      </c>
      <c r="C9145" s="12"/>
      <c r="D9145" s="13" t="n">
        <f aca="false">IF(B9145&lt;5,Einstellungen!$B$3,Einstellungen!$B$4)</f>
        <v>29.13</v>
      </c>
      <c r="E9145" s="14" t="str">
        <f aca="false">IF(C9145="","",C9145*D9145/100)</f>
        <v/>
      </c>
      <c r="F9145" s="15" t="str">
        <f aca="false">IF(B9145&lt;5,"Go","Standard")</f>
        <v>Standard</v>
      </c>
    </row>
    <row r="9146" customFormat="false" ht="15" hidden="false" customHeight="true" outlineLevel="0" collapsed="false">
      <c r="A9146" s="10" t="n">
        <f aca="false">Einstellungen!$B$5+INT((ROW()-9)/24)</f>
        <v>46346</v>
      </c>
      <c r="B9146" s="11" t="n">
        <f aca="false">MOD(ROW()-9,24)</f>
        <v>17</v>
      </c>
      <c r="C9146" s="12"/>
      <c r="D9146" s="13" t="n">
        <f aca="false">IF(B9146&lt;5,Einstellungen!$B$3,Einstellungen!$B$4)</f>
        <v>29.13</v>
      </c>
      <c r="E9146" s="14" t="str">
        <f aca="false">IF(C9146="","",C9146*D9146/100)</f>
        <v/>
      </c>
      <c r="F9146" s="15" t="str">
        <f aca="false">IF(B9146&lt;5,"Go","Standard")</f>
        <v>Standard</v>
      </c>
    </row>
    <row r="9147" customFormat="false" ht="15" hidden="false" customHeight="true" outlineLevel="0" collapsed="false">
      <c r="A9147" s="10" t="n">
        <f aca="false">Einstellungen!$B$5+INT((ROW()-9)/24)</f>
        <v>46346</v>
      </c>
      <c r="B9147" s="11" t="n">
        <f aca="false">MOD(ROW()-9,24)</f>
        <v>18</v>
      </c>
      <c r="C9147" s="12"/>
      <c r="D9147" s="13" t="n">
        <f aca="false">IF(B9147&lt;5,Einstellungen!$B$3,Einstellungen!$B$4)</f>
        <v>29.13</v>
      </c>
      <c r="E9147" s="14" t="str">
        <f aca="false">IF(C9147="","",C9147*D9147/100)</f>
        <v/>
      </c>
      <c r="F9147" s="15" t="str">
        <f aca="false">IF(B9147&lt;5,"Go","Standard")</f>
        <v>Standard</v>
      </c>
    </row>
    <row r="9148" customFormat="false" ht="15" hidden="false" customHeight="true" outlineLevel="0" collapsed="false">
      <c r="A9148" s="10" t="n">
        <f aca="false">Einstellungen!$B$5+INT((ROW()-9)/24)</f>
        <v>46346</v>
      </c>
      <c r="B9148" s="11" t="n">
        <f aca="false">MOD(ROW()-9,24)</f>
        <v>19</v>
      </c>
      <c r="C9148" s="12"/>
      <c r="D9148" s="13" t="n">
        <f aca="false">IF(B9148&lt;5,Einstellungen!$B$3,Einstellungen!$B$4)</f>
        <v>29.13</v>
      </c>
      <c r="E9148" s="14" t="str">
        <f aca="false">IF(C9148="","",C9148*D9148/100)</f>
        <v/>
      </c>
      <c r="F9148" s="15" t="str">
        <f aca="false">IF(B9148&lt;5,"Go","Standard")</f>
        <v>Standard</v>
      </c>
    </row>
    <row r="9149" customFormat="false" ht="15" hidden="false" customHeight="true" outlineLevel="0" collapsed="false">
      <c r="A9149" s="10" t="n">
        <f aca="false">Einstellungen!$B$5+INT((ROW()-9)/24)</f>
        <v>46346</v>
      </c>
      <c r="B9149" s="11" t="n">
        <f aca="false">MOD(ROW()-9,24)</f>
        <v>20</v>
      </c>
      <c r="C9149" s="12"/>
      <c r="D9149" s="13" t="n">
        <f aca="false">IF(B9149&lt;5,Einstellungen!$B$3,Einstellungen!$B$4)</f>
        <v>29.13</v>
      </c>
      <c r="E9149" s="14" t="str">
        <f aca="false">IF(C9149="","",C9149*D9149/100)</f>
        <v/>
      </c>
      <c r="F9149" s="15" t="str">
        <f aca="false">IF(B9149&lt;5,"Go","Standard")</f>
        <v>Standard</v>
      </c>
    </row>
    <row r="9150" customFormat="false" ht="15" hidden="false" customHeight="true" outlineLevel="0" collapsed="false">
      <c r="A9150" s="10" t="n">
        <f aca="false">Einstellungen!$B$5+INT((ROW()-9)/24)</f>
        <v>46346</v>
      </c>
      <c r="B9150" s="11" t="n">
        <f aca="false">MOD(ROW()-9,24)</f>
        <v>21</v>
      </c>
      <c r="C9150" s="12"/>
      <c r="D9150" s="13" t="n">
        <f aca="false">IF(B9150&lt;5,Einstellungen!$B$3,Einstellungen!$B$4)</f>
        <v>29.13</v>
      </c>
      <c r="E9150" s="14" t="str">
        <f aca="false">IF(C9150="","",C9150*D9150/100)</f>
        <v/>
      </c>
      <c r="F9150" s="15" t="str">
        <f aca="false">IF(B9150&lt;5,"Go","Standard")</f>
        <v>Standard</v>
      </c>
    </row>
    <row r="9151" customFormat="false" ht="15" hidden="false" customHeight="true" outlineLevel="0" collapsed="false">
      <c r="A9151" s="10" t="n">
        <f aca="false">Einstellungen!$B$5+INT((ROW()-9)/24)</f>
        <v>46346</v>
      </c>
      <c r="B9151" s="11" t="n">
        <f aca="false">MOD(ROW()-9,24)</f>
        <v>22</v>
      </c>
      <c r="C9151" s="12"/>
      <c r="D9151" s="13" t="n">
        <f aca="false">IF(B9151&lt;5,Einstellungen!$B$3,Einstellungen!$B$4)</f>
        <v>29.13</v>
      </c>
      <c r="E9151" s="14" t="str">
        <f aca="false">IF(C9151="","",C9151*D9151/100)</f>
        <v/>
      </c>
      <c r="F9151" s="15" t="str">
        <f aca="false">IF(B9151&lt;5,"Go","Standard")</f>
        <v>Standard</v>
      </c>
    </row>
    <row r="9152" customFormat="false" ht="15" hidden="false" customHeight="true" outlineLevel="0" collapsed="false">
      <c r="A9152" s="10" t="n">
        <f aca="false">Einstellungen!$B$5+INT((ROW()-9)/24)</f>
        <v>46346</v>
      </c>
      <c r="B9152" s="11" t="n">
        <f aca="false">MOD(ROW()-9,24)</f>
        <v>23</v>
      </c>
      <c r="C9152" s="12"/>
      <c r="D9152" s="13" t="n">
        <f aca="false">IF(B9152&lt;5,Einstellungen!$B$3,Einstellungen!$B$4)</f>
        <v>29.13</v>
      </c>
      <c r="E9152" s="14" t="str">
        <f aca="false">IF(C9152="","",C9152*D9152/100)</f>
        <v/>
      </c>
      <c r="F9152" s="15" t="str">
        <f aca="false">IF(B9152&lt;5,"Go","Standard")</f>
        <v>Standard</v>
      </c>
    </row>
    <row r="9153" customFormat="false" ht="15" hidden="false" customHeight="true" outlineLevel="0" collapsed="false">
      <c r="A9153" s="10" t="n">
        <f aca="false">Einstellungen!$B$5+INT((ROW()-9)/24)</f>
        <v>46347</v>
      </c>
      <c r="B9153" s="11" t="n">
        <f aca="false">MOD(ROW()-9,24)</f>
        <v>0</v>
      </c>
      <c r="C9153" s="12"/>
      <c r="D9153" s="13" t="n">
        <f aca="false">IF(B9153&lt;5,Einstellungen!$B$3,Einstellungen!$B$4)</f>
        <v>15.92</v>
      </c>
      <c r="E9153" s="14" t="str">
        <f aca="false">IF(C9153="","",C9153*D9153/100)</f>
        <v/>
      </c>
      <c r="F9153" s="15" t="str">
        <f aca="false">IF(B9153&lt;5,"Go","Standard")</f>
        <v>Go</v>
      </c>
    </row>
    <row r="9154" customFormat="false" ht="15" hidden="false" customHeight="true" outlineLevel="0" collapsed="false">
      <c r="A9154" s="10" t="n">
        <f aca="false">Einstellungen!$B$5+INT((ROW()-9)/24)</f>
        <v>46347</v>
      </c>
      <c r="B9154" s="11" t="n">
        <f aca="false">MOD(ROW()-9,24)</f>
        <v>1</v>
      </c>
      <c r="C9154" s="12"/>
      <c r="D9154" s="13" t="n">
        <f aca="false">IF(B9154&lt;5,Einstellungen!$B$3,Einstellungen!$B$4)</f>
        <v>15.92</v>
      </c>
      <c r="E9154" s="14" t="str">
        <f aca="false">IF(C9154="","",C9154*D9154/100)</f>
        <v/>
      </c>
      <c r="F9154" s="15" t="str">
        <f aca="false">IF(B9154&lt;5,"Go","Standard")</f>
        <v>Go</v>
      </c>
    </row>
    <row r="9155" customFormat="false" ht="15" hidden="false" customHeight="true" outlineLevel="0" collapsed="false">
      <c r="A9155" s="10" t="n">
        <f aca="false">Einstellungen!$B$5+INT((ROW()-9)/24)</f>
        <v>46347</v>
      </c>
      <c r="B9155" s="11" t="n">
        <f aca="false">MOD(ROW()-9,24)</f>
        <v>2</v>
      </c>
      <c r="C9155" s="12"/>
      <c r="D9155" s="13" t="n">
        <f aca="false">IF(B9155&lt;5,Einstellungen!$B$3,Einstellungen!$B$4)</f>
        <v>15.92</v>
      </c>
      <c r="E9155" s="14" t="str">
        <f aca="false">IF(C9155="","",C9155*D9155/100)</f>
        <v/>
      </c>
      <c r="F9155" s="15" t="str">
        <f aca="false">IF(B9155&lt;5,"Go","Standard")</f>
        <v>Go</v>
      </c>
    </row>
    <row r="9156" customFormat="false" ht="15" hidden="false" customHeight="true" outlineLevel="0" collapsed="false">
      <c r="A9156" s="10" t="n">
        <f aca="false">Einstellungen!$B$5+INT((ROW()-9)/24)</f>
        <v>46347</v>
      </c>
      <c r="B9156" s="11" t="n">
        <f aca="false">MOD(ROW()-9,24)</f>
        <v>3</v>
      </c>
      <c r="C9156" s="12"/>
      <c r="D9156" s="13" t="n">
        <f aca="false">IF(B9156&lt;5,Einstellungen!$B$3,Einstellungen!$B$4)</f>
        <v>15.92</v>
      </c>
      <c r="E9156" s="14" t="str">
        <f aca="false">IF(C9156="","",C9156*D9156/100)</f>
        <v/>
      </c>
      <c r="F9156" s="15" t="str">
        <f aca="false">IF(B9156&lt;5,"Go","Standard")</f>
        <v>Go</v>
      </c>
    </row>
    <row r="9157" customFormat="false" ht="15" hidden="false" customHeight="true" outlineLevel="0" collapsed="false">
      <c r="A9157" s="10" t="n">
        <f aca="false">Einstellungen!$B$5+INT((ROW()-9)/24)</f>
        <v>46347</v>
      </c>
      <c r="B9157" s="11" t="n">
        <f aca="false">MOD(ROW()-9,24)</f>
        <v>4</v>
      </c>
      <c r="C9157" s="12"/>
      <c r="D9157" s="13" t="n">
        <f aca="false">IF(B9157&lt;5,Einstellungen!$B$3,Einstellungen!$B$4)</f>
        <v>15.92</v>
      </c>
      <c r="E9157" s="14" t="str">
        <f aca="false">IF(C9157="","",C9157*D9157/100)</f>
        <v/>
      </c>
      <c r="F9157" s="15" t="str">
        <f aca="false">IF(B9157&lt;5,"Go","Standard")</f>
        <v>Go</v>
      </c>
    </row>
    <row r="9158" customFormat="false" ht="15" hidden="false" customHeight="true" outlineLevel="0" collapsed="false">
      <c r="A9158" s="10" t="n">
        <f aca="false">Einstellungen!$B$5+INT((ROW()-9)/24)</f>
        <v>46347</v>
      </c>
      <c r="B9158" s="11" t="n">
        <f aca="false">MOD(ROW()-9,24)</f>
        <v>5</v>
      </c>
      <c r="C9158" s="12"/>
      <c r="D9158" s="13" t="n">
        <f aca="false">IF(B9158&lt;5,Einstellungen!$B$3,Einstellungen!$B$4)</f>
        <v>29.13</v>
      </c>
      <c r="E9158" s="14" t="str">
        <f aca="false">IF(C9158="","",C9158*D9158/100)</f>
        <v/>
      </c>
      <c r="F9158" s="15" t="str">
        <f aca="false">IF(B9158&lt;5,"Go","Standard")</f>
        <v>Standard</v>
      </c>
    </row>
    <row r="9159" customFormat="false" ht="15" hidden="false" customHeight="true" outlineLevel="0" collapsed="false">
      <c r="A9159" s="10" t="n">
        <f aca="false">Einstellungen!$B$5+INT((ROW()-9)/24)</f>
        <v>46347</v>
      </c>
      <c r="B9159" s="11" t="n">
        <f aca="false">MOD(ROW()-9,24)</f>
        <v>6</v>
      </c>
      <c r="C9159" s="12"/>
      <c r="D9159" s="13" t="n">
        <f aca="false">IF(B9159&lt;5,Einstellungen!$B$3,Einstellungen!$B$4)</f>
        <v>29.13</v>
      </c>
      <c r="E9159" s="14" t="str">
        <f aca="false">IF(C9159="","",C9159*D9159/100)</f>
        <v/>
      </c>
      <c r="F9159" s="15" t="str">
        <f aca="false">IF(B9159&lt;5,"Go","Standard")</f>
        <v>Standard</v>
      </c>
    </row>
    <row r="9160" customFormat="false" ht="15" hidden="false" customHeight="true" outlineLevel="0" collapsed="false">
      <c r="A9160" s="10" t="n">
        <f aca="false">Einstellungen!$B$5+INT((ROW()-9)/24)</f>
        <v>46347</v>
      </c>
      <c r="B9160" s="11" t="n">
        <f aca="false">MOD(ROW()-9,24)</f>
        <v>7</v>
      </c>
      <c r="C9160" s="12"/>
      <c r="D9160" s="13" t="n">
        <f aca="false">IF(B9160&lt;5,Einstellungen!$B$3,Einstellungen!$B$4)</f>
        <v>29.13</v>
      </c>
      <c r="E9160" s="14" t="str">
        <f aca="false">IF(C9160="","",C9160*D9160/100)</f>
        <v/>
      </c>
      <c r="F9160" s="15" t="str">
        <f aca="false">IF(B9160&lt;5,"Go","Standard")</f>
        <v>Standard</v>
      </c>
    </row>
    <row r="9161" customFormat="false" ht="15" hidden="false" customHeight="true" outlineLevel="0" collapsed="false">
      <c r="A9161" s="10" t="n">
        <f aca="false">Einstellungen!$B$5+INT((ROW()-9)/24)</f>
        <v>46347</v>
      </c>
      <c r="B9161" s="11" t="n">
        <f aca="false">MOD(ROW()-9,24)</f>
        <v>8</v>
      </c>
      <c r="C9161" s="12"/>
      <c r="D9161" s="13" t="n">
        <f aca="false">IF(B9161&lt;5,Einstellungen!$B$3,Einstellungen!$B$4)</f>
        <v>29.13</v>
      </c>
      <c r="E9161" s="14" t="str">
        <f aca="false">IF(C9161="","",C9161*D9161/100)</f>
        <v/>
      </c>
      <c r="F9161" s="15" t="str">
        <f aca="false">IF(B9161&lt;5,"Go","Standard")</f>
        <v>Standard</v>
      </c>
    </row>
    <row r="9162" customFormat="false" ht="15" hidden="false" customHeight="true" outlineLevel="0" collapsed="false">
      <c r="A9162" s="10" t="n">
        <f aca="false">Einstellungen!$B$5+INT((ROW()-9)/24)</f>
        <v>46347</v>
      </c>
      <c r="B9162" s="11" t="n">
        <f aca="false">MOD(ROW()-9,24)</f>
        <v>9</v>
      </c>
      <c r="C9162" s="12"/>
      <c r="D9162" s="13" t="n">
        <f aca="false">IF(B9162&lt;5,Einstellungen!$B$3,Einstellungen!$B$4)</f>
        <v>29.13</v>
      </c>
      <c r="E9162" s="14" t="str">
        <f aca="false">IF(C9162="","",C9162*D9162/100)</f>
        <v/>
      </c>
      <c r="F9162" s="15" t="str">
        <f aca="false">IF(B9162&lt;5,"Go","Standard")</f>
        <v>Standard</v>
      </c>
    </row>
    <row r="9163" customFormat="false" ht="15" hidden="false" customHeight="true" outlineLevel="0" collapsed="false">
      <c r="A9163" s="10" t="n">
        <f aca="false">Einstellungen!$B$5+INT((ROW()-9)/24)</f>
        <v>46347</v>
      </c>
      <c r="B9163" s="11" t="n">
        <f aca="false">MOD(ROW()-9,24)</f>
        <v>10</v>
      </c>
      <c r="C9163" s="12"/>
      <c r="D9163" s="13" t="n">
        <f aca="false">IF(B9163&lt;5,Einstellungen!$B$3,Einstellungen!$B$4)</f>
        <v>29.13</v>
      </c>
      <c r="E9163" s="14" t="str">
        <f aca="false">IF(C9163="","",C9163*D9163/100)</f>
        <v/>
      </c>
      <c r="F9163" s="15" t="str">
        <f aca="false">IF(B9163&lt;5,"Go","Standard")</f>
        <v>Standard</v>
      </c>
    </row>
    <row r="9164" customFormat="false" ht="15" hidden="false" customHeight="true" outlineLevel="0" collapsed="false">
      <c r="A9164" s="10" t="n">
        <f aca="false">Einstellungen!$B$5+INT((ROW()-9)/24)</f>
        <v>46347</v>
      </c>
      <c r="B9164" s="11" t="n">
        <f aca="false">MOD(ROW()-9,24)</f>
        <v>11</v>
      </c>
      <c r="C9164" s="12"/>
      <c r="D9164" s="13" t="n">
        <f aca="false">IF(B9164&lt;5,Einstellungen!$B$3,Einstellungen!$B$4)</f>
        <v>29.13</v>
      </c>
      <c r="E9164" s="14" t="str">
        <f aca="false">IF(C9164="","",C9164*D9164/100)</f>
        <v/>
      </c>
      <c r="F9164" s="15" t="str">
        <f aca="false">IF(B9164&lt;5,"Go","Standard")</f>
        <v>Standard</v>
      </c>
    </row>
    <row r="9165" customFormat="false" ht="15" hidden="false" customHeight="true" outlineLevel="0" collapsed="false">
      <c r="A9165" s="10" t="n">
        <f aca="false">Einstellungen!$B$5+INT((ROW()-9)/24)</f>
        <v>46347</v>
      </c>
      <c r="B9165" s="11" t="n">
        <f aca="false">MOD(ROW()-9,24)</f>
        <v>12</v>
      </c>
      <c r="C9165" s="12"/>
      <c r="D9165" s="13" t="n">
        <f aca="false">IF(B9165&lt;5,Einstellungen!$B$3,Einstellungen!$B$4)</f>
        <v>29.13</v>
      </c>
      <c r="E9165" s="14" t="str">
        <f aca="false">IF(C9165="","",C9165*D9165/100)</f>
        <v/>
      </c>
      <c r="F9165" s="15" t="str">
        <f aca="false">IF(B9165&lt;5,"Go","Standard")</f>
        <v>Standard</v>
      </c>
    </row>
    <row r="9166" customFormat="false" ht="15" hidden="false" customHeight="true" outlineLevel="0" collapsed="false">
      <c r="A9166" s="10" t="n">
        <f aca="false">Einstellungen!$B$5+INT((ROW()-9)/24)</f>
        <v>46347</v>
      </c>
      <c r="B9166" s="11" t="n">
        <f aca="false">MOD(ROW()-9,24)</f>
        <v>13</v>
      </c>
      <c r="C9166" s="12"/>
      <c r="D9166" s="13" t="n">
        <f aca="false">IF(B9166&lt;5,Einstellungen!$B$3,Einstellungen!$B$4)</f>
        <v>29.13</v>
      </c>
      <c r="E9166" s="14" t="str">
        <f aca="false">IF(C9166="","",C9166*D9166/100)</f>
        <v/>
      </c>
      <c r="F9166" s="15" t="str">
        <f aca="false">IF(B9166&lt;5,"Go","Standard")</f>
        <v>Standard</v>
      </c>
    </row>
    <row r="9167" customFormat="false" ht="15" hidden="false" customHeight="true" outlineLevel="0" collapsed="false">
      <c r="A9167" s="10" t="n">
        <f aca="false">Einstellungen!$B$5+INT((ROW()-9)/24)</f>
        <v>46347</v>
      </c>
      <c r="B9167" s="11" t="n">
        <f aca="false">MOD(ROW()-9,24)</f>
        <v>14</v>
      </c>
      <c r="C9167" s="12"/>
      <c r="D9167" s="13" t="n">
        <f aca="false">IF(B9167&lt;5,Einstellungen!$B$3,Einstellungen!$B$4)</f>
        <v>29.13</v>
      </c>
      <c r="E9167" s="14" t="str">
        <f aca="false">IF(C9167="","",C9167*D9167/100)</f>
        <v/>
      </c>
      <c r="F9167" s="15" t="str">
        <f aca="false">IF(B9167&lt;5,"Go","Standard")</f>
        <v>Standard</v>
      </c>
    </row>
    <row r="9168" customFormat="false" ht="15" hidden="false" customHeight="true" outlineLevel="0" collapsed="false">
      <c r="A9168" s="10" t="n">
        <f aca="false">Einstellungen!$B$5+INT((ROW()-9)/24)</f>
        <v>46347</v>
      </c>
      <c r="B9168" s="11" t="n">
        <f aca="false">MOD(ROW()-9,24)</f>
        <v>15</v>
      </c>
      <c r="C9168" s="12"/>
      <c r="D9168" s="13" t="n">
        <f aca="false">IF(B9168&lt;5,Einstellungen!$B$3,Einstellungen!$B$4)</f>
        <v>29.13</v>
      </c>
      <c r="E9168" s="14" t="str">
        <f aca="false">IF(C9168="","",C9168*D9168/100)</f>
        <v/>
      </c>
      <c r="F9168" s="15" t="str">
        <f aca="false">IF(B9168&lt;5,"Go","Standard")</f>
        <v>Standard</v>
      </c>
    </row>
    <row r="9169" customFormat="false" ht="15" hidden="false" customHeight="true" outlineLevel="0" collapsed="false">
      <c r="A9169" s="10" t="n">
        <f aca="false">Einstellungen!$B$5+INT((ROW()-9)/24)</f>
        <v>46347</v>
      </c>
      <c r="B9169" s="11" t="n">
        <f aca="false">MOD(ROW()-9,24)</f>
        <v>16</v>
      </c>
      <c r="C9169" s="12"/>
      <c r="D9169" s="13" t="n">
        <f aca="false">IF(B9169&lt;5,Einstellungen!$B$3,Einstellungen!$B$4)</f>
        <v>29.13</v>
      </c>
      <c r="E9169" s="14" t="str">
        <f aca="false">IF(C9169="","",C9169*D9169/100)</f>
        <v/>
      </c>
      <c r="F9169" s="15" t="str">
        <f aca="false">IF(B9169&lt;5,"Go","Standard")</f>
        <v>Standard</v>
      </c>
    </row>
    <row r="9170" customFormat="false" ht="15" hidden="false" customHeight="true" outlineLevel="0" collapsed="false">
      <c r="A9170" s="10" t="n">
        <f aca="false">Einstellungen!$B$5+INT((ROW()-9)/24)</f>
        <v>46347</v>
      </c>
      <c r="B9170" s="11" t="n">
        <f aca="false">MOD(ROW()-9,24)</f>
        <v>17</v>
      </c>
      <c r="C9170" s="12"/>
      <c r="D9170" s="13" t="n">
        <f aca="false">IF(B9170&lt;5,Einstellungen!$B$3,Einstellungen!$B$4)</f>
        <v>29.13</v>
      </c>
      <c r="E9170" s="14" t="str">
        <f aca="false">IF(C9170="","",C9170*D9170/100)</f>
        <v/>
      </c>
      <c r="F9170" s="15" t="str">
        <f aca="false">IF(B9170&lt;5,"Go","Standard")</f>
        <v>Standard</v>
      </c>
    </row>
    <row r="9171" customFormat="false" ht="15" hidden="false" customHeight="true" outlineLevel="0" collapsed="false">
      <c r="A9171" s="10" t="n">
        <f aca="false">Einstellungen!$B$5+INT((ROW()-9)/24)</f>
        <v>46347</v>
      </c>
      <c r="B9171" s="11" t="n">
        <f aca="false">MOD(ROW()-9,24)</f>
        <v>18</v>
      </c>
      <c r="C9171" s="12"/>
      <c r="D9171" s="13" t="n">
        <f aca="false">IF(B9171&lt;5,Einstellungen!$B$3,Einstellungen!$B$4)</f>
        <v>29.13</v>
      </c>
      <c r="E9171" s="14" t="str">
        <f aca="false">IF(C9171="","",C9171*D9171/100)</f>
        <v/>
      </c>
      <c r="F9171" s="15" t="str">
        <f aca="false">IF(B9171&lt;5,"Go","Standard")</f>
        <v>Standard</v>
      </c>
    </row>
    <row r="9172" customFormat="false" ht="15" hidden="false" customHeight="true" outlineLevel="0" collapsed="false">
      <c r="A9172" s="10" t="n">
        <f aca="false">Einstellungen!$B$5+INT((ROW()-9)/24)</f>
        <v>46347</v>
      </c>
      <c r="B9172" s="11" t="n">
        <f aca="false">MOD(ROW()-9,24)</f>
        <v>19</v>
      </c>
      <c r="C9172" s="12"/>
      <c r="D9172" s="13" t="n">
        <f aca="false">IF(B9172&lt;5,Einstellungen!$B$3,Einstellungen!$B$4)</f>
        <v>29.13</v>
      </c>
      <c r="E9172" s="14" t="str">
        <f aca="false">IF(C9172="","",C9172*D9172/100)</f>
        <v/>
      </c>
      <c r="F9172" s="15" t="str">
        <f aca="false">IF(B9172&lt;5,"Go","Standard")</f>
        <v>Standard</v>
      </c>
    </row>
    <row r="9173" customFormat="false" ht="15" hidden="false" customHeight="true" outlineLevel="0" collapsed="false">
      <c r="A9173" s="10" t="n">
        <f aca="false">Einstellungen!$B$5+INT((ROW()-9)/24)</f>
        <v>46347</v>
      </c>
      <c r="B9173" s="11" t="n">
        <f aca="false">MOD(ROW()-9,24)</f>
        <v>20</v>
      </c>
      <c r="C9173" s="12"/>
      <c r="D9173" s="13" t="n">
        <f aca="false">IF(B9173&lt;5,Einstellungen!$B$3,Einstellungen!$B$4)</f>
        <v>29.13</v>
      </c>
      <c r="E9173" s="14" t="str">
        <f aca="false">IF(C9173="","",C9173*D9173/100)</f>
        <v/>
      </c>
      <c r="F9173" s="15" t="str">
        <f aca="false">IF(B9173&lt;5,"Go","Standard")</f>
        <v>Standard</v>
      </c>
    </row>
    <row r="9174" customFormat="false" ht="15" hidden="false" customHeight="true" outlineLevel="0" collapsed="false">
      <c r="A9174" s="10" t="n">
        <f aca="false">Einstellungen!$B$5+INT((ROW()-9)/24)</f>
        <v>46347</v>
      </c>
      <c r="B9174" s="11" t="n">
        <f aca="false">MOD(ROW()-9,24)</f>
        <v>21</v>
      </c>
      <c r="C9174" s="12"/>
      <c r="D9174" s="13" t="n">
        <f aca="false">IF(B9174&lt;5,Einstellungen!$B$3,Einstellungen!$B$4)</f>
        <v>29.13</v>
      </c>
      <c r="E9174" s="14" t="str">
        <f aca="false">IF(C9174="","",C9174*D9174/100)</f>
        <v/>
      </c>
      <c r="F9174" s="15" t="str">
        <f aca="false">IF(B9174&lt;5,"Go","Standard")</f>
        <v>Standard</v>
      </c>
    </row>
    <row r="9175" customFormat="false" ht="15" hidden="false" customHeight="true" outlineLevel="0" collapsed="false">
      <c r="A9175" s="10" t="n">
        <f aca="false">Einstellungen!$B$5+INT((ROW()-9)/24)</f>
        <v>46347</v>
      </c>
      <c r="B9175" s="11" t="n">
        <f aca="false">MOD(ROW()-9,24)</f>
        <v>22</v>
      </c>
      <c r="C9175" s="12"/>
      <c r="D9175" s="13" t="n">
        <f aca="false">IF(B9175&lt;5,Einstellungen!$B$3,Einstellungen!$B$4)</f>
        <v>29.13</v>
      </c>
      <c r="E9175" s="14" t="str">
        <f aca="false">IF(C9175="","",C9175*D9175/100)</f>
        <v/>
      </c>
      <c r="F9175" s="15" t="str">
        <f aca="false">IF(B9175&lt;5,"Go","Standard")</f>
        <v>Standard</v>
      </c>
    </row>
    <row r="9176" customFormat="false" ht="15" hidden="false" customHeight="true" outlineLevel="0" collapsed="false">
      <c r="A9176" s="10" t="n">
        <f aca="false">Einstellungen!$B$5+INT((ROW()-9)/24)</f>
        <v>46347</v>
      </c>
      <c r="B9176" s="11" t="n">
        <f aca="false">MOD(ROW()-9,24)</f>
        <v>23</v>
      </c>
      <c r="C9176" s="12"/>
      <c r="D9176" s="13" t="n">
        <f aca="false">IF(B9176&lt;5,Einstellungen!$B$3,Einstellungen!$B$4)</f>
        <v>29.13</v>
      </c>
      <c r="E9176" s="14" t="str">
        <f aca="false">IF(C9176="","",C9176*D9176/100)</f>
        <v/>
      </c>
      <c r="F9176" s="15" t="str">
        <f aca="false">IF(B9176&lt;5,"Go","Standard")</f>
        <v>Standard</v>
      </c>
    </row>
    <row r="9177" customFormat="false" ht="15" hidden="false" customHeight="true" outlineLevel="0" collapsed="false">
      <c r="A9177" s="10" t="n">
        <f aca="false">Einstellungen!$B$5+INT((ROW()-9)/24)</f>
        <v>46348</v>
      </c>
      <c r="B9177" s="11" t="n">
        <f aca="false">MOD(ROW()-9,24)</f>
        <v>0</v>
      </c>
      <c r="C9177" s="12"/>
      <c r="D9177" s="13" t="n">
        <f aca="false">IF(B9177&lt;5,Einstellungen!$B$3,Einstellungen!$B$4)</f>
        <v>15.92</v>
      </c>
      <c r="E9177" s="14" t="str">
        <f aca="false">IF(C9177="","",C9177*D9177/100)</f>
        <v/>
      </c>
      <c r="F9177" s="15" t="str">
        <f aca="false">IF(B9177&lt;5,"Go","Standard")</f>
        <v>Go</v>
      </c>
    </row>
    <row r="9178" customFormat="false" ht="15" hidden="false" customHeight="true" outlineLevel="0" collapsed="false">
      <c r="A9178" s="10" t="n">
        <f aca="false">Einstellungen!$B$5+INT((ROW()-9)/24)</f>
        <v>46348</v>
      </c>
      <c r="B9178" s="11" t="n">
        <f aca="false">MOD(ROW()-9,24)</f>
        <v>1</v>
      </c>
      <c r="C9178" s="12"/>
      <c r="D9178" s="13" t="n">
        <f aca="false">IF(B9178&lt;5,Einstellungen!$B$3,Einstellungen!$B$4)</f>
        <v>15.92</v>
      </c>
      <c r="E9178" s="14" t="str">
        <f aca="false">IF(C9178="","",C9178*D9178/100)</f>
        <v/>
      </c>
      <c r="F9178" s="15" t="str">
        <f aca="false">IF(B9178&lt;5,"Go","Standard")</f>
        <v>Go</v>
      </c>
    </row>
    <row r="9179" customFormat="false" ht="15" hidden="false" customHeight="true" outlineLevel="0" collapsed="false">
      <c r="A9179" s="10" t="n">
        <f aca="false">Einstellungen!$B$5+INT((ROW()-9)/24)</f>
        <v>46348</v>
      </c>
      <c r="B9179" s="11" t="n">
        <f aca="false">MOD(ROW()-9,24)</f>
        <v>2</v>
      </c>
      <c r="C9179" s="12"/>
      <c r="D9179" s="13" t="n">
        <f aca="false">IF(B9179&lt;5,Einstellungen!$B$3,Einstellungen!$B$4)</f>
        <v>15.92</v>
      </c>
      <c r="E9179" s="14" t="str">
        <f aca="false">IF(C9179="","",C9179*D9179/100)</f>
        <v/>
      </c>
      <c r="F9179" s="15" t="str">
        <f aca="false">IF(B9179&lt;5,"Go","Standard")</f>
        <v>Go</v>
      </c>
    </row>
    <row r="9180" customFormat="false" ht="15" hidden="false" customHeight="true" outlineLevel="0" collapsed="false">
      <c r="A9180" s="10" t="n">
        <f aca="false">Einstellungen!$B$5+INT((ROW()-9)/24)</f>
        <v>46348</v>
      </c>
      <c r="B9180" s="11" t="n">
        <f aca="false">MOD(ROW()-9,24)</f>
        <v>3</v>
      </c>
      <c r="C9180" s="12"/>
      <c r="D9180" s="13" t="n">
        <f aca="false">IF(B9180&lt;5,Einstellungen!$B$3,Einstellungen!$B$4)</f>
        <v>15.92</v>
      </c>
      <c r="E9180" s="14" t="str">
        <f aca="false">IF(C9180="","",C9180*D9180/100)</f>
        <v/>
      </c>
      <c r="F9180" s="15" t="str">
        <f aca="false">IF(B9180&lt;5,"Go","Standard")</f>
        <v>Go</v>
      </c>
    </row>
    <row r="9181" customFormat="false" ht="15" hidden="false" customHeight="true" outlineLevel="0" collapsed="false">
      <c r="A9181" s="10" t="n">
        <f aca="false">Einstellungen!$B$5+INT((ROW()-9)/24)</f>
        <v>46348</v>
      </c>
      <c r="B9181" s="11" t="n">
        <f aca="false">MOD(ROW()-9,24)</f>
        <v>4</v>
      </c>
      <c r="C9181" s="12"/>
      <c r="D9181" s="13" t="n">
        <f aca="false">IF(B9181&lt;5,Einstellungen!$B$3,Einstellungen!$B$4)</f>
        <v>15.92</v>
      </c>
      <c r="E9181" s="14" t="str">
        <f aca="false">IF(C9181="","",C9181*D9181/100)</f>
        <v/>
      </c>
      <c r="F9181" s="15" t="str">
        <f aca="false">IF(B9181&lt;5,"Go","Standard")</f>
        <v>Go</v>
      </c>
    </row>
    <row r="9182" customFormat="false" ht="15" hidden="false" customHeight="true" outlineLevel="0" collapsed="false">
      <c r="A9182" s="10" t="n">
        <f aca="false">Einstellungen!$B$5+INT((ROW()-9)/24)</f>
        <v>46348</v>
      </c>
      <c r="B9182" s="11" t="n">
        <f aca="false">MOD(ROW()-9,24)</f>
        <v>5</v>
      </c>
      <c r="C9182" s="12"/>
      <c r="D9182" s="13" t="n">
        <f aca="false">IF(B9182&lt;5,Einstellungen!$B$3,Einstellungen!$B$4)</f>
        <v>29.13</v>
      </c>
      <c r="E9182" s="14" t="str">
        <f aca="false">IF(C9182="","",C9182*D9182/100)</f>
        <v/>
      </c>
      <c r="F9182" s="15" t="str">
        <f aca="false">IF(B9182&lt;5,"Go","Standard")</f>
        <v>Standard</v>
      </c>
    </row>
    <row r="9183" customFormat="false" ht="15" hidden="false" customHeight="true" outlineLevel="0" collapsed="false">
      <c r="A9183" s="10" t="n">
        <f aca="false">Einstellungen!$B$5+INT((ROW()-9)/24)</f>
        <v>46348</v>
      </c>
      <c r="B9183" s="11" t="n">
        <f aca="false">MOD(ROW()-9,24)</f>
        <v>6</v>
      </c>
      <c r="C9183" s="12"/>
      <c r="D9183" s="13" t="n">
        <f aca="false">IF(B9183&lt;5,Einstellungen!$B$3,Einstellungen!$B$4)</f>
        <v>29.13</v>
      </c>
      <c r="E9183" s="14" t="str">
        <f aca="false">IF(C9183="","",C9183*D9183/100)</f>
        <v/>
      </c>
      <c r="F9183" s="15" t="str">
        <f aca="false">IF(B9183&lt;5,"Go","Standard")</f>
        <v>Standard</v>
      </c>
    </row>
    <row r="9184" customFormat="false" ht="15" hidden="false" customHeight="true" outlineLevel="0" collapsed="false">
      <c r="A9184" s="10" t="n">
        <f aca="false">Einstellungen!$B$5+INT((ROW()-9)/24)</f>
        <v>46348</v>
      </c>
      <c r="B9184" s="11" t="n">
        <f aca="false">MOD(ROW()-9,24)</f>
        <v>7</v>
      </c>
      <c r="C9184" s="12"/>
      <c r="D9184" s="13" t="n">
        <f aca="false">IF(B9184&lt;5,Einstellungen!$B$3,Einstellungen!$B$4)</f>
        <v>29.13</v>
      </c>
      <c r="E9184" s="14" t="str">
        <f aca="false">IF(C9184="","",C9184*D9184/100)</f>
        <v/>
      </c>
      <c r="F9184" s="15" t="str">
        <f aca="false">IF(B9184&lt;5,"Go","Standard")</f>
        <v>Standard</v>
      </c>
    </row>
    <row r="9185" customFormat="false" ht="15" hidden="false" customHeight="true" outlineLevel="0" collapsed="false">
      <c r="A9185" s="10" t="n">
        <f aca="false">Einstellungen!$B$5+INT((ROW()-9)/24)</f>
        <v>46348</v>
      </c>
      <c r="B9185" s="11" t="n">
        <f aca="false">MOD(ROW()-9,24)</f>
        <v>8</v>
      </c>
      <c r="C9185" s="12"/>
      <c r="D9185" s="13" t="n">
        <f aca="false">IF(B9185&lt;5,Einstellungen!$B$3,Einstellungen!$B$4)</f>
        <v>29.13</v>
      </c>
      <c r="E9185" s="14" t="str">
        <f aca="false">IF(C9185="","",C9185*D9185/100)</f>
        <v/>
      </c>
      <c r="F9185" s="15" t="str">
        <f aca="false">IF(B9185&lt;5,"Go","Standard")</f>
        <v>Standard</v>
      </c>
    </row>
    <row r="9186" customFormat="false" ht="15" hidden="false" customHeight="true" outlineLevel="0" collapsed="false">
      <c r="A9186" s="10" t="n">
        <f aca="false">Einstellungen!$B$5+INT((ROW()-9)/24)</f>
        <v>46348</v>
      </c>
      <c r="B9186" s="11" t="n">
        <f aca="false">MOD(ROW()-9,24)</f>
        <v>9</v>
      </c>
      <c r="C9186" s="12"/>
      <c r="D9186" s="13" t="n">
        <f aca="false">IF(B9186&lt;5,Einstellungen!$B$3,Einstellungen!$B$4)</f>
        <v>29.13</v>
      </c>
      <c r="E9186" s="14" t="str">
        <f aca="false">IF(C9186="","",C9186*D9186/100)</f>
        <v/>
      </c>
      <c r="F9186" s="15" t="str">
        <f aca="false">IF(B9186&lt;5,"Go","Standard")</f>
        <v>Standard</v>
      </c>
    </row>
    <row r="9187" customFormat="false" ht="15" hidden="false" customHeight="true" outlineLevel="0" collapsed="false">
      <c r="A9187" s="10" t="n">
        <f aca="false">Einstellungen!$B$5+INT((ROW()-9)/24)</f>
        <v>46348</v>
      </c>
      <c r="B9187" s="11" t="n">
        <f aca="false">MOD(ROW()-9,24)</f>
        <v>10</v>
      </c>
      <c r="C9187" s="12"/>
      <c r="D9187" s="13" t="n">
        <f aca="false">IF(B9187&lt;5,Einstellungen!$B$3,Einstellungen!$B$4)</f>
        <v>29.13</v>
      </c>
      <c r="E9187" s="14" t="str">
        <f aca="false">IF(C9187="","",C9187*D9187/100)</f>
        <v/>
      </c>
      <c r="F9187" s="15" t="str">
        <f aca="false">IF(B9187&lt;5,"Go","Standard")</f>
        <v>Standard</v>
      </c>
    </row>
    <row r="9188" customFormat="false" ht="15" hidden="false" customHeight="true" outlineLevel="0" collapsed="false">
      <c r="A9188" s="10" t="n">
        <f aca="false">Einstellungen!$B$5+INT((ROW()-9)/24)</f>
        <v>46348</v>
      </c>
      <c r="B9188" s="11" t="n">
        <f aca="false">MOD(ROW()-9,24)</f>
        <v>11</v>
      </c>
      <c r="C9188" s="12"/>
      <c r="D9188" s="13" t="n">
        <f aca="false">IF(B9188&lt;5,Einstellungen!$B$3,Einstellungen!$B$4)</f>
        <v>29.13</v>
      </c>
      <c r="E9188" s="14" t="str">
        <f aca="false">IF(C9188="","",C9188*D9188/100)</f>
        <v/>
      </c>
      <c r="F9188" s="15" t="str">
        <f aca="false">IF(B9188&lt;5,"Go","Standard")</f>
        <v>Standard</v>
      </c>
    </row>
    <row r="9189" customFormat="false" ht="15" hidden="false" customHeight="true" outlineLevel="0" collapsed="false">
      <c r="A9189" s="10" t="n">
        <f aca="false">Einstellungen!$B$5+INT((ROW()-9)/24)</f>
        <v>46348</v>
      </c>
      <c r="B9189" s="11" t="n">
        <f aca="false">MOD(ROW()-9,24)</f>
        <v>12</v>
      </c>
      <c r="C9189" s="12"/>
      <c r="D9189" s="13" t="n">
        <f aca="false">IF(B9189&lt;5,Einstellungen!$B$3,Einstellungen!$B$4)</f>
        <v>29.13</v>
      </c>
      <c r="E9189" s="14" t="str">
        <f aca="false">IF(C9189="","",C9189*D9189/100)</f>
        <v/>
      </c>
      <c r="F9189" s="15" t="str">
        <f aca="false">IF(B9189&lt;5,"Go","Standard")</f>
        <v>Standard</v>
      </c>
    </row>
    <row r="9190" customFormat="false" ht="15" hidden="false" customHeight="true" outlineLevel="0" collapsed="false">
      <c r="A9190" s="10" t="n">
        <f aca="false">Einstellungen!$B$5+INT((ROW()-9)/24)</f>
        <v>46348</v>
      </c>
      <c r="B9190" s="11" t="n">
        <f aca="false">MOD(ROW()-9,24)</f>
        <v>13</v>
      </c>
      <c r="C9190" s="12"/>
      <c r="D9190" s="13" t="n">
        <f aca="false">IF(B9190&lt;5,Einstellungen!$B$3,Einstellungen!$B$4)</f>
        <v>29.13</v>
      </c>
      <c r="E9190" s="14" t="str">
        <f aca="false">IF(C9190="","",C9190*D9190/100)</f>
        <v/>
      </c>
      <c r="F9190" s="15" t="str">
        <f aca="false">IF(B9190&lt;5,"Go","Standard")</f>
        <v>Standard</v>
      </c>
    </row>
    <row r="9191" customFormat="false" ht="15" hidden="false" customHeight="true" outlineLevel="0" collapsed="false">
      <c r="A9191" s="10" t="n">
        <f aca="false">Einstellungen!$B$5+INT((ROW()-9)/24)</f>
        <v>46348</v>
      </c>
      <c r="B9191" s="11" t="n">
        <f aca="false">MOD(ROW()-9,24)</f>
        <v>14</v>
      </c>
      <c r="C9191" s="12"/>
      <c r="D9191" s="13" t="n">
        <f aca="false">IF(B9191&lt;5,Einstellungen!$B$3,Einstellungen!$B$4)</f>
        <v>29.13</v>
      </c>
      <c r="E9191" s="14" t="str">
        <f aca="false">IF(C9191="","",C9191*D9191/100)</f>
        <v/>
      </c>
      <c r="F9191" s="15" t="str">
        <f aca="false">IF(B9191&lt;5,"Go","Standard")</f>
        <v>Standard</v>
      </c>
    </row>
    <row r="9192" customFormat="false" ht="15" hidden="false" customHeight="true" outlineLevel="0" collapsed="false">
      <c r="A9192" s="10" t="n">
        <f aca="false">Einstellungen!$B$5+INT((ROW()-9)/24)</f>
        <v>46348</v>
      </c>
      <c r="B9192" s="11" t="n">
        <f aca="false">MOD(ROW()-9,24)</f>
        <v>15</v>
      </c>
      <c r="C9192" s="12"/>
      <c r="D9192" s="13" t="n">
        <f aca="false">IF(B9192&lt;5,Einstellungen!$B$3,Einstellungen!$B$4)</f>
        <v>29.13</v>
      </c>
      <c r="E9192" s="14" t="str">
        <f aca="false">IF(C9192="","",C9192*D9192/100)</f>
        <v/>
      </c>
      <c r="F9192" s="15" t="str">
        <f aca="false">IF(B9192&lt;5,"Go","Standard")</f>
        <v>Standard</v>
      </c>
    </row>
    <row r="9193" customFormat="false" ht="15" hidden="false" customHeight="true" outlineLevel="0" collapsed="false">
      <c r="A9193" s="10" t="n">
        <f aca="false">Einstellungen!$B$5+INT((ROW()-9)/24)</f>
        <v>46348</v>
      </c>
      <c r="B9193" s="11" t="n">
        <f aca="false">MOD(ROW()-9,24)</f>
        <v>16</v>
      </c>
      <c r="C9193" s="12"/>
      <c r="D9193" s="13" t="n">
        <f aca="false">IF(B9193&lt;5,Einstellungen!$B$3,Einstellungen!$B$4)</f>
        <v>29.13</v>
      </c>
      <c r="E9193" s="14" t="str">
        <f aca="false">IF(C9193="","",C9193*D9193/100)</f>
        <v/>
      </c>
      <c r="F9193" s="15" t="str">
        <f aca="false">IF(B9193&lt;5,"Go","Standard")</f>
        <v>Standard</v>
      </c>
    </row>
    <row r="9194" customFormat="false" ht="15" hidden="false" customHeight="true" outlineLevel="0" collapsed="false">
      <c r="A9194" s="10" t="n">
        <f aca="false">Einstellungen!$B$5+INT((ROW()-9)/24)</f>
        <v>46348</v>
      </c>
      <c r="B9194" s="11" t="n">
        <f aca="false">MOD(ROW()-9,24)</f>
        <v>17</v>
      </c>
      <c r="C9194" s="12"/>
      <c r="D9194" s="13" t="n">
        <f aca="false">IF(B9194&lt;5,Einstellungen!$B$3,Einstellungen!$B$4)</f>
        <v>29.13</v>
      </c>
      <c r="E9194" s="14" t="str">
        <f aca="false">IF(C9194="","",C9194*D9194/100)</f>
        <v/>
      </c>
      <c r="F9194" s="15" t="str">
        <f aca="false">IF(B9194&lt;5,"Go","Standard")</f>
        <v>Standard</v>
      </c>
    </row>
    <row r="9195" customFormat="false" ht="15" hidden="false" customHeight="true" outlineLevel="0" collapsed="false">
      <c r="A9195" s="10" t="n">
        <f aca="false">Einstellungen!$B$5+INT((ROW()-9)/24)</f>
        <v>46348</v>
      </c>
      <c r="B9195" s="11" t="n">
        <f aca="false">MOD(ROW()-9,24)</f>
        <v>18</v>
      </c>
      <c r="C9195" s="12"/>
      <c r="D9195" s="13" t="n">
        <f aca="false">IF(B9195&lt;5,Einstellungen!$B$3,Einstellungen!$B$4)</f>
        <v>29.13</v>
      </c>
      <c r="E9195" s="14" t="str">
        <f aca="false">IF(C9195="","",C9195*D9195/100)</f>
        <v/>
      </c>
      <c r="F9195" s="15" t="str">
        <f aca="false">IF(B9195&lt;5,"Go","Standard")</f>
        <v>Standard</v>
      </c>
    </row>
    <row r="9196" customFormat="false" ht="15" hidden="false" customHeight="true" outlineLevel="0" collapsed="false">
      <c r="A9196" s="10" t="n">
        <f aca="false">Einstellungen!$B$5+INT((ROW()-9)/24)</f>
        <v>46348</v>
      </c>
      <c r="B9196" s="11" t="n">
        <f aca="false">MOD(ROW()-9,24)</f>
        <v>19</v>
      </c>
      <c r="C9196" s="12"/>
      <c r="D9196" s="13" t="n">
        <f aca="false">IF(B9196&lt;5,Einstellungen!$B$3,Einstellungen!$B$4)</f>
        <v>29.13</v>
      </c>
      <c r="E9196" s="14" t="str">
        <f aca="false">IF(C9196="","",C9196*D9196/100)</f>
        <v/>
      </c>
      <c r="F9196" s="15" t="str">
        <f aca="false">IF(B9196&lt;5,"Go","Standard")</f>
        <v>Standard</v>
      </c>
    </row>
    <row r="9197" customFormat="false" ht="15" hidden="false" customHeight="true" outlineLevel="0" collapsed="false">
      <c r="A9197" s="10" t="n">
        <f aca="false">Einstellungen!$B$5+INT((ROW()-9)/24)</f>
        <v>46348</v>
      </c>
      <c r="B9197" s="11" t="n">
        <f aca="false">MOD(ROW()-9,24)</f>
        <v>20</v>
      </c>
      <c r="C9197" s="12"/>
      <c r="D9197" s="13" t="n">
        <f aca="false">IF(B9197&lt;5,Einstellungen!$B$3,Einstellungen!$B$4)</f>
        <v>29.13</v>
      </c>
      <c r="E9197" s="14" t="str">
        <f aca="false">IF(C9197="","",C9197*D9197/100)</f>
        <v/>
      </c>
      <c r="F9197" s="15" t="str">
        <f aca="false">IF(B9197&lt;5,"Go","Standard")</f>
        <v>Standard</v>
      </c>
    </row>
    <row r="9198" customFormat="false" ht="15" hidden="false" customHeight="true" outlineLevel="0" collapsed="false">
      <c r="A9198" s="10" t="n">
        <f aca="false">Einstellungen!$B$5+INT((ROW()-9)/24)</f>
        <v>46348</v>
      </c>
      <c r="B9198" s="11" t="n">
        <f aca="false">MOD(ROW()-9,24)</f>
        <v>21</v>
      </c>
      <c r="C9198" s="12"/>
      <c r="D9198" s="13" t="n">
        <f aca="false">IF(B9198&lt;5,Einstellungen!$B$3,Einstellungen!$B$4)</f>
        <v>29.13</v>
      </c>
      <c r="E9198" s="14" t="str">
        <f aca="false">IF(C9198="","",C9198*D9198/100)</f>
        <v/>
      </c>
      <c r="F9198" s="15" t="str">
        <f aca="false">IF(B9198&lt;5,"Go","Standard")</f>
        <v>Standard</v>
      </c>
    </row>
    <row r="9199" customFormat="false" ht="15" hidden="false" customHeight="true" outlineLevel="0" collapsed="false">
      <c r="A9199" s="10" t="n">
        <f aca="false">Einstellungen!$B$5+INT((ROW()-9)/24)</f>
        <v>46348</v>
      </c>
      <c r="B9199" s="11" t="n">
        <f aca="false">MOD(ROW()-9,24)</f>
        <v>22</v>
      </c>
      <c r="C9199" s="12"/>
      <c r="D9199" s="13" t="n">
        <f aca="false">IF(B9199&lt;5,Einstellungen!$B$3,Einstellungen!$B$4)</f>
        <v>29.13</v>
      </c>
      <c r="E9199" s="14" t="str">
        <f aca="false">IF(C9199="","",C9199*D9199/100)</f>
        <v/>
      </c>
      <c r="F9199" s="15" t="str">
        <f aca="false">IF(B9199&lt;5,"Go","Standard")</f>
        <v>Standard</v>
      </c>
    </row>
    <row r="9200" customFormat="false" ht="15" hidden="false" customHeight="true" outlineLevel="0" collapsed="false">
      <c r="A9200" s="10" t="n">
        <f aca="false">Einstellungen!$B$5+INT((ROW()-9)/24)</f>
        <v>46348</v>
      </c>
      <c r="B9200" s="11" t="n">
        <f aca="false">MOD(ROW()-9,24)</f>
        <v>23</v>
      </c>
      <c r="C9200" s="12"/>
      <c r="D9200" s="13" t="n">
        <f aca="false">IF(B9200&lt;5,Einstellungen!$B$3,Einstellungen!$B$4)</f>
        <v>29.13</v>
      </c>
      <c r="E9200" s="14" t="str">
        <f aca="false">IF(C9200="","",C9200*D9200/100)</f>
        <v/>
      </c>
      <c r="F9200" s="15" t="str">
        <f aca="false">IF(B9200&lt;5,"Go","Standard")</f>
        <v>Standard</v>
      </c>
    </row>
    <row r="9201" customFormat="false" ht="15" hidden="false" customHeight="true" outlineLevel="0" collapsed="false">
      <c r="A9201" s="10" t="n">
        <f aca="false">Einstellungen!$B$5+INT((ROW()-9)/24)</f>
        <v>46349</v>
      </c>
      <c r="B9201" s="11" t="n">
        <f aca="false">MOD(ROW()-9,24)</f>
        <v>0</v>
      </c>
      <c r="C9201" s="12"/>
      <c r="D9201" s="13" t="n">
        <f aca="false">IF(B9201&lt;5,Einstellungen!$B$3,Einstellungen!$B$4)</f>
        <v>15.92</v>
      </c>
      <c r="E9201" s="14" t="str">
        <f aca="false">IF(C9201="","",C9201*D9201/100)</f>
        <v/>
      </c>
      <c r="F9201" s="15" t="str">
        <f aca="false">IF(B9201&lt;5,"Go","Standard")</f>
        <v>Go</v>
      </c>
    </row>
    <row r="9202" customFormat="false" ht="15" hidden="false" customHeight="true" outlineLevel="0" collapsed="false">
      <c r="A9202" s="10" t="n">
        <f aca="false">Einstellungen!$B$5+INT((ROW()-9)/24)</f>
        <v>46349</v>
      </c>
      <c r="B9202" s="11" t="n">
        <f aca="false">MOD(ROW()-9,24)</f>
        <v>1</v>
      </c>
      <c r="C9202" s="12"/>
      <c r="D9202" s="13" t="n">
        <f aca="false">IF(B9202&lt;5,Einstellungen!$B$3,Einstellungen!$B$4)</f>
        <v>15.92</v>
      </c>
      <c r="E9202" s="14" t="str">
        <f aca="false">IF(C9202="","",C9202*D9202/100)</f>
        <v/>
      </c>
      <c r="F9202" s="15" t="str">
        <f aca="false">IF(B9202&lt;5,"Go","Standard")</f>
        <v>Go</v>
      </c>
    </row>
    <row r="9203" customFormat="false" ht="15" hidden="false" customHeight="true" outlineLevel="0" collapsed="false">
      <c r="A9203" s="10" t="n">
        <f aca="false">Einstellungen!$B$5+INT((ROW()-9)/24)</f>
        <v>46349</v>
      </c>
      <c r="B9203" s="11" t="n">
        <f aca="false">MOD(ROW()-9,24)</f>
        <v>2</v>
      </c>
      <c r="C9203" s="12"/>
      <c r="D9203" s="13" t="n">
        <f aca="false">IF(B9203&lt;5,Einstellungen!$B$3,Einstellungen!$B$4)</f>
        <v>15.92</v>
      </c>
      <c r="E9203" s="14" t="str">
        <f aca="false">IF(C9203="","",C9203*D9203/100)</f>
        <v/>
      </c>
      <c r="F9203" s="15" t="str">
        <f aca="false">IF(B9203&lt;5,"Go","Standard")</f>
        <v>Go</v>
      </c>
    </row>
    <row r="9204" customFormat="false" ht="15" hidden="false" customHeight="true" outlineLevel="0" collapsed="false">
      <c r="A9204" s="10" t="n">
        <f aca="false">Einstellungen!$B$5+INT((ROW()-9)/24)</f>
        <v>46349</v>
      </c>
      <c r="B9204" s="11" t="n">
        <f aca="false">MOD(ROW()-9,24)</f>
        <v>3</v>
      </c>
      <c r="C9204" s="12"/>
      <c r="D9204" s="13" t="n">
        <f aca="false">IF(B9204&lt;5,Einstellungen!$B$3,Einstellungen!$B$4)</f>
        <v>15.92</v>
      </c>
      <c r="E9204" s="14" t="str">
        <f aca="false">IF(C9204="","",C9204*D9204/100)</f>
        <v/>
      </c>
      <c r="F9204" s="15" t="str">
        <f aca="false">IF(B9204&lt;5,"Go","Standard")</f>
        <v>Go</v>
      </c>
    </row>
    <row r="9205" customFormat="false" ht="15" hidden="false" customHeight="true" outlineLevel="0" collapsed="false">
      <c r="A9205" s="10" t="n">
        <f aca="false">Einstellungen!$B$5+INT((ROW()-9)/24)</f>
        <v>46349</v>
      </c>
      <c r="B9205" s="11" t="n">
        <f aca="false">MOD(ROW()-9,24)</f>
        <v>4</v>
      </c>
      <c r="C9205" s="12"/>
      <c r="D9205" s="13" t="n">
        <f aca="false">IF(B9205&lt;5,Einstellungen!$B$3,Einstellungen!$B$4)</f>
        <v>15.92</v>
      </c>
      <c r="E9205" s="14" t="str">
        <f aca="false">IF(C9205="","",C9205*D9205/100)</f>
        <v/>
      </c>
      <c r="F9205" s="15" t="str">
        <f aca="false">IF(B9205&lt;5,"Go","Standard")</f>
        <v>Go</v>
      </c>
    </row>
    <row r="9206" customFormat="false" ht="15" hidden="false" customHeight="true" outlineLevel="0" collapsed="false">
      <c r="A9206" s="10" t="n">
        <f aca="false">Einstellungen!$B$5+INT((ROW()-9)/24)</f>
        <v>46349</v>
      </c>
      <c r="B9206" s="11" t="n">
        <f aca="false">MOD(ROW()-9,24)</f>
        <v>5</v>
      </c>
      <c r="C9206" s="12"/>
      <c r="D9206" s="13" t="n">
        <f aca="false">IF(B9206&lt;5,Einstellungen!$B$3,Einstellungen!$B$4)</f>
        <v>29.13</v>
      </c>
      <c r="E9206" s="14" t="str">
        <f aca="false">IF(C9206="","",C9206*D9206/100)</f>
        <v/>
      </c>
      <c r="F9206" s="15" t="str">
        <f aca="false">IF(B9206&lt;5,"Go","Standard")</f>
        <v>Standard</v>
      </c>
    </row>
    <row r="9207" customFormat="false" ht="15" hidden="false" customHeight="true" outlineLevel="0" collapsed="false">
      <c r="A9207" s="10" t="n">
        <f aca="false">Einstellungen!$B$5+INT((ROW()-9)/24)</f>
        <v>46349</v>
      </c>
      <c r="B9207" s="11" t="n">
        <f aca="false">MOD(ROW()-9,24)</f>
        <v>6</v>
      </c>
      <c r="C9207" s="12"/>
      <c r="D9207" s="13" t="n">
        <f aca="false">IF(B9207&lt;5,Einstellungen!$B$3,Einstellungen!$B$4)</f>
        <v>29.13</v>
      </c>
      <c r="E9207" s="14" t="str">
        <f aca="false">IF(C9207="","",C9207*D9207/100)</f>
        <v/>
      </c>
      <c r="F9207" s="15" t="str">
        <f aca="false">IF(B9207&lt;5,"Go","Standard")</f>
        <v>Standard</v>
      </c>
    </row>
    <row r="9208" customFormat="false" ht="15" hidden="false" customHeight="true" outlineLevel="0" collapsed="false">
      <c r="A9208" s="10" t="n">
        <f aca="false">Einstellungen!$B$5+INT((ROW()-9)/24)</f>
        <v>46349</v>
      </c>
      <c r="B9208" s="11" t="n">
        <f aca="false">MOD(ROW()-9,24)</f>
        <v>7</v>
      </c>
      <c r="C9208" s="12"/>
      <c r="D9208" s="13" t="n">
        <f aca="false">IF(B9208&lt;5,Einstellungen!$B$3,Einstellungen!$B$4)</f>
        <v>29.13</v>
      </c>
      <c r="E9208" s="14" t="str">
        <f aca="false">IF(C9208="","",C9208*D9208/100)</f>
        <v/>
      </c>
      <c r="F9208" s="15" t="str">
        <f aca="false">IF(B9208&lt;5,"Go","Standard")</f>
        <v>Standard</v>
      </c>
    </row>
    <row r="9209" customFormat="false" ht="15" hidden="false" customHeight="true" outlineLevel="0" collapsed="false">
      <c r="A9209" s="10" t="n">
        <f aca="false">Einstellungen!$B$5+INT((ROW()-9)/24)</f>
        <v>46349</v>
      </c>
      <c r="B9209" s="11" t="n">
        <f aca="false">MOD(ROW()-9,24)</f>
        <v>8</v>
      </c>
      <c r="C9209" s="12"/>
      <c r="D9209" s="13" t="n">
        <f aca="false">IF(B9209&lt;5,Einstellungen!$B$3,Einstellungen!$B$4)</f>
        <v>29.13</v>
      </c>
      <c r="E9209" s="14" t="str">
        <f aca="false">IF(C9209="","",C9209*D9209/100)</f>
        <v/>
      </c>
      <c r="F9209" s="15" t="str">
        <f aca="false">IF(B9209&lt;5,"Go","Standard")</f>
        <v>Standard</v>
      </c>
    </row>
    <row r="9210" customFormat="false" ht="15" hidden="false" customHeight="true" outlineLevel="0" collapsed="false">
      <c r="A9210" s="10" t="n">
        <f aca="false">Einstellungen!$B$5+INT((ROW()-9)/24)</f>
        <v>46349</v>
      </c>
      <c r="B9210" s="11" t="n">
        <f aca="false">MOD(ROW()-9,24)</f>
        <v>9</v>
      </c>
      <c r="C9210" s="12"/>
      <c r="D9210" s="13" t="n">
        <f aca="false">IF(B9210&lt;5,Einstellungen!$B$3,Einstellungen!$B$4)</f>
        <v>29.13</v>
      </c>
      <c r="E9210" s="14" t="str">
        <f aca="false">IF(C9210="","",C9210*D9210/100)</f>
        <v/>
      </c>
      <c r="F9210" s="15" t="str">
        <f aca="false">IF(B9210&lt;5,"Go","Standard")</f>
        <v>Standard</v>
      </c>
    </row>
    <row r="9211" customFormat="false" ht="15" hidden="false" customHeight="true" outlineLevel="0" collapsed="false">
      <c r="A9211" s="10" t="n">
        <f aca="false">Einstellungen!$B$5+INT((ROW()-9)/24)</f>
        <v>46349</v>
      </c>
      <c r="B9211" s="11" t="n">
        <f aca="false">MOD(ROW()-9,24)</f>
        <v>10</v>
      </c>
      <c r="C9211" s="12"/>
      <c r="D9211" s="13" t="n">
        <f aca="false">IF(B9211&lt;5,Einstellungen!$B$3,Einstellungen!$B$4)</f>
        <v>29.13</v>
      </c>
      <c r="E9211" s="14" t="str">
        <f aca="false">IF(C9211="","",C9211*D9211/100)</f>
        <v/>
      </c>
      <c r="F9211" s="15" t="str">
        <f aca="false">IF(B9211&lt;5,"Go","Standard")</f>
        <v>Standard</v>
      </c>
    </row>
    <row r="9212" customFormat="false" ht="15" hidden="false" customHeight="true" outlineLevel="0" collapsed="false">
      <c r="A9212" s="10" t="n">
        <f aca="false">Einstellungen!$B$5+INT((ROW()-9)/24)</f>
        <v>46349</v>
      </c>
      <c r="B9212" s="11" t="n">
        <f aca="false">MOD(ROW()-9,24)</f>
        <v>11</v>
      </c>
      <c r="C9212" s="12"/>
      <c r="D9212" s="13" t="n">
        <f aca="false">IF(B9212&lt;5,Einstellungen!$B$3,Einstellungen!$B$4)</f>
        <v>29.13</v>
      </c>
      <c r="E9212" s="14" t="str">
        <f aca="false">IF(C9212="","",C9212*D9212/100)</f>
        <v/>
      </c>
      <c r="F9212" s="15" t="str">
        <f aca="false">IF(B9212&lt;5,"Go","Standard")</f>
        <v>Standard</v>
      </c>
    </row>
    <row r="9213" customFormat="false" ht="15" hidden="false" customHeight="true" outlineLevel="0" collapsed="false">
      <c r="A9213" s="10" t="n">
        <f aca="false">Einstellungen!$B$5+INT((ROW()-9)/24)</f>
        <v>46349</v>
      </c>
      <c r="B9213" s="11" t="n">
        <f aca="false">MOD(ROW()-9,24)</f>
        <v>12</v>
      </c>
      <c r="C9213" s="12"/>
      <c r="D9213" s="13" t="n">
        <f aca="false">IF(B9213&lt;5,Einstellungen!$B$3,Einstellungen!$B$4)</f>
        <v>29.13</v>
      </c>
      <c r="E9213" s="14" t="str">
        <f aca="false">IF(C9213="","",C9213*D9213/100)</f>
        <v/>
      </c>
      <c r="F9213" s="15" t="str">
        <f aca="false">IF(B9213&lt;5,"Go","Standard")</f>
        <v>Standard</v>
      </c>
    </row>
    <row r="9214" customFormat="false" ht="15" hidden="false" customHeight="true" outlineLevel="0" collapsed="false">
      <c r="A9214" s="10" t="n">
        <f aca="false">Einstellungen!$B$5+INT((ROW()-9)/24)</f>
        <v>46349</v>
      </c>
      <c r="B9214" s="11" t="n">
        <f aca="false">MOD(ROW()-9,24)</f>
        <v>13</v>
      </c>
      <c r="C9214" s="12"/>
      <c r="D9214" s="13" t="n">
        <f aca="false">IF(B9214&lt;5,Einstellungen!$B$3,Einstellungen!$B$4)</f>
        <v>29.13</v>
      </c>
      <c r="E9214" s="14" t="str">
        <f aca="false">IF(C9214="","",C9214*D9214/100)</f>
        <v/>
      </c>
      <c r="F9214" s="15" t="str">
        <f aca="false">IF(B9214&lt;5,"Go","Standard")</f>
        <v>Standard</v>
      </c>
    </row>
    <row r="9215" customFormat="false" ht="15" hidden="false" customHeight="true" outlineLevel="0" collapsed="false">
      <c r="A9215" s="10" t="n">
        <f aca="false">Einstellungen!$B$5+INT((ROW()-9)/24)</f>
        <v>46349</v>
      </c>
      <c r="B9215" s="11" t="n">
        <f aca="false">MOD(ROW()-9,24)</f>
        <v>14</v>
      </c>
      <c r="C9215" s="12"/>
      <c r="D9215" s="13" t="n">
        <f aca="false">IF(B9215&lt;5,Einstellungen!$B$3,Einstellungen!$B$4)</f>
        <v>29.13</v>
      </c>
      <c r="E9215" s="14" t="str">
        <f aca="false">IF(C9215="","",C9215*D9215/100)</f>
        <v/>
      </c>
      <c r="F9215" s="15" t="str">
        <f aca="false">IF(B9215&lt;5,"Go","Standard")</f>
        <v>Standard</v>
      </c>
    </row>
    <row r="9216" customFormat="false" ht="15" hidden="false" customHeight="true" outlineLevel="0" collapsed="false">
      <c r="A9216" s="10" t="n">
        <f aca="false">Einstellungen!$B$5+INT((ROW()-9)/24)</f>
        <v>46349</v>
      </c>
      <c r="B9216" s="11" t="n">
        <f aca="false">MOD(ROW()-9,24)</f>
        <v>15</v>
      </c>
      <c r="C9216" s="12"/>
      <c r="D9216" s="13" t="n">
        <f aca="false">IF(B9216&lt;5,Einstellungen!$B$3,Einstellungen!$B$4)</f>
        <v>29.13</v>
      </c>
      <c r="E9216" s="14" t="str">
        <f aca="false">IF(C9216="","",C9216*D9216/100)</f>
        <v/>
      </c>
      <c r="F9216" s="15" t="str">
        <f aca="false">IF(B9216&lt;5,"Go","Standard")</f>
        <v>Standard</v>
      </c>
    </row>
    <row r="9217" customFormat="false" ht="15" hidden="false" customHeight="true" outlineLevel="0" collapsed="false">
      <c r="A9217" s="10" t="n">
        <f aca="false">Einstellungen!$B$5+INT((ROW()-9)/24)</f>
        <v>46349</v>
      </c>
      <c r="B9217" s="11" t="n">
        <f aca="false">MOD(ROW()-9,24)</f>
        <v>16</v>
      </c>
      <c r="C9217" s="12"/>
      <c r="D9217" s="13" t="n">
        <f aca="false">IF(B9217&lt;5,Einstellungen!$B$3,Einstellungen!$B$4)</f>
        <v>29.13</v>
      </c>
      <c r="E9217" s="14" t="str">
        <f aca="false">IF(C9217="","",C9217*D9217/100)</f>
        <v/>
      </c>
      <c r="F9217" s="15" t="str">
        <f aca="false">IF(B9217&lt;5,"Go","Standard")</f>
        <v>Standard</v>
      </c>
    </row>
    <row r="9218" customFormat="false" ht="15" hidden="false" customHeight="true" outlineLevel="0" collapsed="false">
      <c r="A9218" s="10" t="n">
        <f aca="false">Einstellungen!$B$5+INT((ROW()-9)/24)</f>
        <v>46349</v>
      </c>
      <c r="B9218" s="11" t="n">
        <f aca="false">MOD(ROW()-9,24)</f>
        <v>17</v>
      </c>
      <c r="C9218" s="12"/>
      <c r="D9218" s="13" t="n">
        <f aca="false">IF(B9218&lt;5,Einstellungen!$B$3,Einstellungen!$B$4)</f>
        <v>29.13</v>
      </c>
      <c r="E9218" s="14" t="str">
        <f aca="false">IF(C9218="","",C9218*D9218/100)</f>
        <v/>
      </c>
      <c r="F9218" s="15" t="str">
        <f aca="false">IF(B9218&lt;5,"Go","Standard")</f>
        <v>Standard</v>
      </c>
    </row>
    <row r="9219" customFormat="false" ht="15" hidden="false" customHeight="true" outlineLevel="0" collapsed="false">
      <c r="A9219" s="10" t="n">
        <f aca="false">Einstellungen!$B$5+INT((ROW()-9)/24)</f>
        <v>46349</v>
      </c>
      <c r="B9219" s="11" t="n">
        <f aca="false">MOD(ROW()-9,24)</f>
        <v>18</v>
      </c>
      <c r="C9219" s="12"/>
      <c r="D9219" s="13" t="n">
        <f aca="false">IF(B9219&lt;5,Einstellungen!$B$3,Einstellungen!$B$4)</f>
        <v>29.13</v>
      </c>
      <c r="E9219" s="14" t="str">
        <f aca="false">IF(C9219="","",C9219*D9219/100)</f>
        <v/>
      </c>
      <c r="F9219" s="15" t="str">
        <f aca="false">IF(B9219&lt;5,"Go","Standard")</f>
        <v>Standard</v>
      </c>
    </row>
    <row r="9220" customFormat="false" ht="15" hidden="false" customHeight="true" outlineLevel="0" collapsed="false">
      <c r="A9220" s="10" t="n">
        <f aca="false">Einstellungen!$B$5+INT((ROW()-9)/24)</f>
        <v>46349</v>
      </c>
      <c r="B9220" s="11" t="n">
        <f aca="false">MOD(ROW()-9,24)</f>
        <v>19</v>
      </c>
      <c r="C9220" s="12"/>
      <c r="D9220" s="13" t="n">
        <f aca="false">IF(B9220&lt;5,Einstellungen!$B$3,Einstellungen!$B$4)</f>
        <v>29.13</v>
      </c>
      <c r="E9220" s="14" t="str">
        <f aca="false">IF(C9220="","",C9220*D9220/100)</f>
        <v/>
      </c>
      <c r="F9220" s="15" t="str">
        <f aca="false">IF(B9220&lt;5,"Go","Standard")</f>
        <v>Standard</v>
      </c>
    </row>
    <row r="9221" customFormat="false" ht="15" hidden="false" customHeight="true" outlineLevel="0" collapsed="false">
      <c r="A9221" s="10" t="n">
        <f aca="false">Einstellungen!$B$5+INT((ROW()-9)/24)</f>
        <v>46349</v>
      </c>
      <c r="B9221" s="11" t="n">
        <f aca="false">MOD(ROW()-9,24)</f>
        <v>20</v>
      </c>
      <c r="C9221" s="12"/>
      <c r="D9221" s="13" t="n">
        <f aca="false">IF(B9221&lt;5,Einstellungen!$B$3,Einstellungen!$B$4)</f>
        <v>29.13</v>
      </c>
      <c r="E9221" s="14" t="str">
        <f aca="false">IF(C9221="","",C9221*D9221/100)</f>
        <v/>
      </c>
      <c r="F9221" s="15" t="str">
        <f aca="false">IF(B9221&lt;5,"Go","Standard")</f>
        <v>Standard</v>
      </c>
    </row>
    <row r="9222" customFormat="false" ht="15" hidden="false" customHeight="true" outlineLevel="0" collapsed="false">
      <c r="A9222" s="10" t="n">
        <f aca="false">Einstellungen!$B$5+INT((ROW()-9)/24)</f>
        <v>46349</v>
      </c>
      <c r="B9222" s="11" t="n">
        <f aca="false">MOD(ROW()-9,24)</f>
        <v>21</v>
      </c>
      <c r="C9222" s="12"/>
      <c r="D9222" s="13" t="n">
        <f aca="false">IF(B9222&lt;5,Einstellungen!$B$3,Einstellungen!$B$4)</f>
        <v>29.13</v>
      </c>
      <c r="E9222" s="14" t="str">
        <f aca="false">IF(C9222="","",C9222*D9222/100)</f>
        <v/>
      </c>
      <c r="F9222" s="15" t="str">
        <f aca="false">IF(B9222&lt;5,"Go","Standard")</f>
        <v>Standard</v>
      </c>
    </row>
    <row r="9223" customFormat="false" ht="15" hidden="false" customHeight="true" outlineLevel="0" collapsed="false">
      <c r="A9223" s="10" t="n">
        <f aca="false">Einstellungen!$B$5+INT((ROW()-9)/24)</f>
        <v>46349</v>
      </c>
      <c r="B9223" s="11" t="n">
        <f aca="false">MOD(ROW()-9,24)</f>
        <v>22</v>
      </c>
      <c r="C9223" s="12"/>
      <c r="D9223" s="13" t="n">
        <f aca="false">IF(B9223&lt;5,Einstellungen!$B$3,Einstellungen!$B$4)</f>
        <v>29.13</v>
      </c>
      <c r="E9223" s="14" t="str">
        <f aca="false">IF(C9223="","",C9223*D9223/100)</f>
        <v/>
      </c>
      <c r="F9223" s="15" t="str">
        <f aca="false">IF(B9223&lt;5,"Go","Standard")</f>
        <v>Standard</v>
      </c>
    </row>
    <row r="9224" customFormat="false" ht="15" hidden="false" customHeight="true" outlineLevel="0" collapsed="false">
      <c r="A9224" s="10" t="n">
        <f aca="false">Einstellungen!$B$5+INT((ROW()-9)/24)</f>
        <v>46349</v>
      </c>
      <c r="B9224" s="11" t="n">
        <f aca="false">MOD(ROW()-9,24)</f>
        <v>23</v>
      </c>
      <c r="C9224" s="12"/>
      <c r="D9224" s="13" t="n">
        <f aca="false">IF(B9224&lt;5,Einstellungen!$B$3,Einstellungen!$B$4)</f>
        <v>29.13</v>
      </c>
      <c r="E9224" s="14" t="str">
        <f aca="false">IF(C9224="","",C9224*D9224/100)</f>
        <v/>
      </c>
      <c r="F9224" s="15" t="str">
        <f aca="false">IF(B9224&lt;5,"Go","Standard")</f>
        <v>Standard</v>
      </c>
    </row>
    <row r="9225" customFormat="false" ht="15" hidden="false" customHeight="true" outlineLevel="0" collapsed="false">
      <c r="A9225" s="10" t="n">
        <f aca="false">Einstellungen!$B$5+INT((ROW()-9)/24)</f>
        <v>46350</v>
      </c>
      <c r="B9225" s="11" t="n">
        <f aca="false">MOD(ROW()-9,24)</f>
        <v>0</v>
      </c>
      <c r="C9225" s="12"/>
      <c r="D9225" s="13" t="n">
        <f aca="false">IF(B9225&lt;5,Einstellungen!$B$3,Einstellungen!$B$4)</f>
        <v>15.92</v>
      </c>
      <c r="E9225" s="14" t="str">
        <f aca="false">IF(C9225="","",C9225*D9225/100)</f>
        <v/>
      </c>
      <c r="F9225" s="15" t="str">
        <f aca="false">IF(B9225&lt;5,"Go","Standard")</f>
        <v>Go</v>
      </c>
    </row>
    <row r="9226" customFormat="false" ht="15" hidden="false" customHeight="true" outlineLevel="0" collapsed="false">
      <c r="A9226" s="10" t="n">
        <f aca="false">Einstellungen!$B$5+INT((ROW()-9)/24)</f>
        <v>46350</v>
      </c>
      <c r="B9226" s="11" t="n">
        <f aca="false">MOD(ROW()-9,24)</f>
        <v>1</v>
      </c>
      <c r="C9226" s="12"/>
      <c r="D9226" s="13" t="n">
        <f aca="false">IF(B9226&lt;5,Einstellungen!$B$3,Einstellungen!$B$4)</f>
        <v>15.92</v>
      </c>
      <c r="E9226" s="14" t="str">
        <f aca="false">IF(C9226="","",C9226*D9226/100)</f>
        <v/>
      </c>
      <c r="F9226" s="15" t="str">
        <f aca="false">IF(B9226&lt;5,"Go","Standard")</f>
        <v>Go</v>
      </c>
    </row>
    <row r="9227" customFormat="false" ht="15" hidden="false" customHeight="true" outlineLevel="0" collapsed="false">
      <c r="A9227" s="10" t="n">
        <f aca="false">Einstellungen!$B$5+INT((ROW()-9)/24)</f>
        <v>46350</v>
      </c>
      <c r="B9227" s="11" t="n">
        <f aca="false">MOD(ROW()-9,24)</f>
        <v>2</v>
      </c>
      <c r="C9227" s="12"/>
      <c r="D9227" s="13" t="n">
        <f aca="false">IF(B9227&lt;5,Einstellungen!$B$3,Einstellungen!$B$4)</f>
        <v>15.92</v>
      </c>
      <c r="E9227" s="14" t="str">
        <f aca="false">IF(C9227="","",C9227*D9227/100)</f>
        <v/>
      </c>
      <c r="F9227" s="15" t="str">
        <f aca="false">IF(B9227&lt;5,"Go","Standard")</f>
        <v>Go</v>
      </c>
    </row>
    <row r="9228" customFormat="false" ht="15" hidden="false" customHeight="true" outlineLevel="0" collapsed="false">
      <c r="A9228" s="10" t="n">
        <f aca="false">Einstellungen!$B$5+INT((ROW()-9)/24)</f>
        <v>46350</v>
      </c>
      <c r="B9228" s="11" t="n">
        <f aca="false">MOD(ROW()-9,24)</f>
        <v>3</v>
      </c>
      <c r="C9228" s="12"/>
      <c r="D9228" s="13" t="n">
        <f aca="false">IF(B9228&lt;5,Einstellungen!$B$3,Einstellungen!$B$4)</f>
        <v>15.92</v>
      </c>
      <c r="E9228" s="14" t="str">
        <f aca="false">IF(C9228="","",C9228*D9228/100)</f>
        <v/>
      </c>
      <c r="F9228" s="15" t="str">
        <f aca="false">IF(B9228&lt;5,"Go","Standard")</f>
        <v>Go</v>
      </c>
    </row>
    <row r="9229" customFormat="false" ht="15" hidden="false" customHeight="true" outlineLevel="0" collapsed="false">
      <c r="A9229" s="10" t="n">
        <f aca="false">Einstellungen!$B$5+INT((ROW()-9)/24)</f>
        <v>46350</v>
      </c>
      <c r="B9229" s="11" t="n">
        <f aca="false">MOD(ROW()-9,24)</f>
        <v>4</v>
      </c>
      <c r="C9229" s="12"/>
      <c r="D9229" s="13" t="n">
        <f aca="false">IF(B9229&lt;5,Einstellungen!$B$3,Einstellungen!$B$4)</f>
        <v>15.92</v>
      </c>
      <c r="E9229" s="14" t="str">
        <f aca="false">IF(C9229="","",C9229*D9229/100)</f>
        <v/>
      </c>
      <c r="F9229" s="15" t="str">
        <f aca="false">IF(B9229&lt;5,"Go","Standard")</f>
        <v>Go</v>
      </c>
    </row>
    <row r="9230" customFormat="false" ht="15" hidden="false" customHeight="true" outlineLevel="0" collapsed="false">
      <c r="A9230" s="10" t="n">
        <f aca="false">Einstellungen!$B$5+INT((ROW()-9)/24)</f>
        <v>46350</v>
      </c>
      <c r="B9230" s="11" t="n">
        <f aca="false">MOD(ROW()-9,24)</f>
        <v>5</v>
      </c>
      <c r="C9230" s="12"/>
      <c r="D9230" s="13" t="n">
        <f aca="false">IF(B9230&lt;5,Einstellungen!$B$3,Einstellungen!$B$4)</f>
        <v>29.13</v>
      </c>
      <c r="E9230" s="14" t="str">
        <f aca="false">IF(C9230="","",C9230*D9230/100)</f>
        <v/>
      </c>
      <c r="F9230" s="15" t="str">
        <f aca="false">IF(B9230&lt;5,"Go","Standard")</f>
        <v>Standard</v>
      </c>
    </row>
    <row r="9231" customFormat="false" ht="15" hidden="false" customHeight="true" outlineLevel="0" collapsed="false">
      <c r="A9231" s="10" t="n">
        <f aca="false">Einstellungen!$B$5+INT((ROW()-9)/24)</f>
        <v>46350</v>
      </c>
      <c r="B9231" s="11" t="n">
        <f aca="false">MOD(ROW()-9,24)</f>
        <v>6</v>
      </c>
      <c r="C9231" s="12"/>
      <c r="D9231" s="13" t="n">
        <f aca="false">IF(B9231&lt;5,Einstellungen!$B$3,Einstellungen!$B$4)</f>
        <v>29.13</v>
      </c>
      <c r="E9231" s="14" t="str">
        <f aca="false">IF(C9231="","",C9231*D9231/100)</f>
        <v/>
      </c>
      <c r="F9231" s="15" t="str">
        <f aca="false">IF(B9231&lt;5,"Go","Standard")</f>
        <v>Standard</v>
      </c>
    </row>
    <row r="9232" customFormat="false" ht="15" hidden="false" customHeight="true" outlineLevel="0" collapsed="false">
      <c r="A9232" s="10" t="n">
        <f aca="false">Einstellungen!$B$5+INT((ROW()-9)/24)</f>
        <v>46350</v>
      </c>
      <c r="B9232" s="11" t="n">
        <f aca="false">MOD(ROW()-9,24)</f>
        <v>7</v>
      </c>
      <c r="C9232" s="12"/>
      <c r="D9232" s="13" t="n">
        <f aca="false">IF(B9232&lt;5,Einstellungen!$B$3,Einstellungen!$B$4)</f>
        <v>29.13</v>
      </c>
      <c r="E9232" s="14" t="str">
        <f aca="false">IF(C9232="","",C9232*D9232/100)</f>
        <v/>
      </c>
      <c r="F9232" s="15" t="str">
        <f aca="false">IF(B9232&lt;5,"Go","Standard")</f>
        <v>Standard</v>
      </c>
    </row>
    <row r="9233" customFormat="false" ht="15" hidden="false" customHeight="true" outlineLevel="0" collapsed="false">
      <c r="A9233" s="10" t="n">
        <f aca="false">Einstellungen!$B$5+INT((ROW()-9)/24)</f>
        <v>46350</v>
      </c>
      <c r="B9233" s="11" t="n">
        <f aca="false">MOD(ROW()-9,24)</f>
        <v>8</v>
      </c>
      <c r="C9233" s="12"/>
      <c r="D9233" s="13" t="n">
        <f aca="false">IF(B9233&lt;5,Einstellungen!$B$3,Einstellungen!$B$4)</f>
        <v>29.13</v>
      </c>
      <c r="E9233" s="14" t="str">
        <f aca="false">IF(C9233="","",C9233*D9233/100)</f>
        <v/>
      </c>
      <c r="F9233" s="15" t="str">
        <f aca="false">IF(B9233&lt;5,"Go","Standard")</f>
        <v>Standard</v>
      </c>
    </row>
    <row r="9234" customFormat="false" ht="15" hidden="false" customHeight="true" outlineLevel="0" collapsed="false">
      <c r="A9234" s="10" t="n">
        <f aca="false">Einstellungen!$B$5+INT((ROW()-9)/24)</f>
        <v>46350</v>
      </c>
      <c r="B9234" s="11" t="n">
        <f aca="false">MOD(ROW()-9,24)</f>
        <v>9</v>
      </c>
      <c r="C9234" s="12"/>
      <c r="D9234" s="13" t="n">
        <f aca="false">IF(B9234&lt;5,Einstellungen!$B$3,Einstellungen!$B$4)</f>
        <v>29.13</v>
      </c>
      <c r="E9234" s="14" t="str">
        <f aca="false">IF(C9234="","",C9234*D9234/100)</f>
        <v/>
      </c>
      <c r="F9234" s="15" t="str">
        <f aca="false">IF(B9234&lt;5,"Go","Standard")</f>
        <v>Standard</v>
      </c>
    </row>
    <row r="9235" customFormat="false" ht="15" hidden="false" customHeight="true" outlineLevel="0" collapsed="false">
      <c r="A9235" s="10" t="n">
        <f aca="false">Einstellungen!$B$5+INT((ROW()-9)/24)</f>
        <v>46350</v>
      </c>
      <c r="B9235" s="11" t="n">
        <f aca="false">MOD(ROW()-9,24)</f>
        <v>10</v>
      </c>
      <c r="C9235" s="12"/>
      <c r="D9235" s="13" t="n">
        <f aca="false">IF(B9235&lt;5,Einstellungen!$B$3,Einstellungen!$B$4)</f>
        <v>29.13</v>
      </c>
      <c r="E9235" s="14" t="str">
        <f aca="false">IF(C9235="","",C9235*D9235/100)</f>
        <v/>
      </c>
      <c r="F9235" s="15" t="str">
        <f aca="false">IF(B9235&lt;5,"Go","Standard")</f>
        <v>Standard</v>
      </c>
    </row>
    <row r="9236" customFormat="false" ht="15" hidden="false" customHeight="true" outlineLevel="0" collapsed="false">
      <c r="A9236" s="10" t="n">
        <f aca="false">Einstellungen!$B$5+INT((ROW()-9)/24)</f>
        <v>46350</v>
      </c>
      <c r="B9236" s="11" t="n">
        <f aca="false">MOD(ROW()-9,24)</f>
        <v>11</v>
      </c>
      <c r="C9236" s="12"/>
      <c r="D9236" s="13" t="n">
        <f aca="false">IF(B9236&lt;5,Einstellungen!$B$3,Einstellungen!$B$4)</f>
        <v>29.13</v>
      </c>
      <c r="E9236" s="14" t="str">
        <f aca="false">IF(C9236="","",C9236*D9236/100)</f>
        <v/>
      </c>
      <c r="F9236" s="15" t="str">
        <f aca="false">IF(B9236&lt;5,"Go","Standard")</f>
        <v>Standard</v>
      </c>
    </row>
    <row r="9237" customFormat="false" ht="15" hidden="false" customHeight="true" outlineLevel="0" collapsed="false">
      <c r="A9237" s="10" t="n">
        <f aca="false">Einstellungen!$B$5+INT((ROW()-9)/24)</f>
        <v>46350</v>
      </c>
      <c r="B9237" s="11" t="n">
        <f aca="false">MOD(ROW()-9,24)</f>
        <v>12</v>
      </c>
      <c r="C9237" s="12"/>
      <c r="D9237" s="13" t="n">
        <f aca="false">IF(B9237&lt;5,Einstellungen!$B$3,Einstellungen!$B$4)</f>
        <v>29.13</v>
      </c>
      <c r="E9237" s="14" t="str">
        <f aca="false">IF(C9237="","",C9237*D9237/100)</f>
        <v/>
      </c>
      <c r="F9237" s="15" t="str">
        <f aca="false">IF(B9237&lt;5,"Go","Standard")</f>
        <v>Standard</v>
      </c>
    </row>
    <row r="9238" customFormat="false" ht="15" hidden="false" customHeight="true" outlineLevel="0" collapsed="false">
      <c r="A9238" s="10" t="n">
        <f aca="false">Einstellungen!$B$5+INT((ROW()-9)/24)</f>
        <v>46350</v>
      </c>
      <c r="B9238" s="11" t="n">
        <f aca="false">MOD(ROW()-9,24)</f>
        <v>13</v>
      </c>
      <c r="C9238" s="12"/>
      <c r="D9238" s="13" t="n">
        <f aca="false">IF(B9238&lt;5,Einstellungen!$B$3,Einstellungen!$B$4)</f>
        <v>29.13</v>
      </c>
      <c r="E9238" s="14" t="str">
        <f aca="false">IF(C9238="","",C9238*D9238/100)</f>
        <v/>
      </c>
      <c r="F9238" s="15" t="str">
        <f aca="false">IF(B9238&lt;5,"Go","Standard")</f>
        <v>Standard</v>
      </c>
    </row>
    <row r="9239" customFormat="false" ht="15" hidden="false" customHeight="true" outlineLevel="0" collapsed="false">
      <c r="A9239" s="10" t="n">
        <f aca="false">Einstellungen!$B$5+INT((ROW()-9)/24)</f>
        <v>46350</v>
      </c>
      <c r="B9239" s="11" t="n">
        <f aca="false">MOD(ROW()-9,24)</f>
        <v>14</v>
      </c>
      <c r="C9239" s="12"/>
      <c r="D9239" s="13" t="n">
        <f aca="false">IF(B9239&lt;5,Einstellungen!$B$3,Einstellungen!$B$4)</f>
        <v>29.13</v>
      </c>
      <c r="E9239" s="14" t="str">
        <f aca="false">IF(C9239="","",C9239*D9239/100)</f>
        <v/>
      </c>
      <c r="F9239" s="15" t="str">
        <f aca="false">IF(B9239&lt;5,"Go","Standard")</f>
        <v>Standard</v>
      </c>
    </row>
    <row r="9240" customFormat="false" ht="15" hidden="false" customHeight="true" outlineLevel="0" collapsed="false">
      <c r="A9240" s="10" t="n">
        <f aca="false">Einstellungen!$B$5+INT((ROW()-9)/24)</f>
        <v>46350</v>
      </c>
      <c r="B9240" s="11" t="n">
        <f aca="false">MOD(ROW()-9,24)</f>
        <v>15</v>
      </c>
      <c r="C9240" s="12"/>
      <c r="D9240" s="13" t="n">
        <f aca="false">IF(B9240&lt;5,Einstellungen!$B$3,Einstellungen!$B$4)</f>
        <v>29.13</v>
      </c>
      <c r="E9240" s="14" t="str">
        <f aca="false">IF(C9240="","",C9240*D9240/100)</f>
        <v/>
      </c>
      <c r="F9240" s="15" t="str">
        <f aca="false">IF(B9240&lt;5,"Go","Standard")</f>
        <v>Standard</v>
      </c>
    </row>
    <row r="9241" customFormat="false" ht="15" hidden="false" customHeight="true" outlineLevel="0" collapsed="false">
      <c r="A9241" s="10" t="n">
        <f aca="false">Einstellungen!$B$5+INT((ROW()-9)/24)</f>
        <v>46350</v>
      </c>
      <c r="B9241" s="11" t="n">
        <f aca="false">MOD(ROW()-9,24)</f>
        <v>16</v>
      </c>
      <c r="C9241" s="12"/>
      <c r="D9241" s="13" t="n">
        <f aca="false">IF(B9241&lt;5,Einstellungen!$B$3,Einstellungen!$B$4)</f>
        <v>29.13</v>
      </c>
      <c r="E9241" s="14" t="str">
        <f aca="false">IF(C9241="","",C9241*D9241/100)</f>
        <v/>
      </c>
      <c r="F9241" s="15" t="str">
        <f aca="false">IF(B9241&lt;5,"Go","Standard")</f>
        <v>Standard</v>
      </c>
    </row>
    <row r="9242" customFormat="false" ht="15" hidden="false" customHeight="true" outlineLevel="0" collapsed="false">
      <c r="A9242" s="10" t="n">
        <f aca="false">Einstellungen!$B$5+INT((ROW()-9)/24)</f>
        <v>46350</v>
      </c>
      <c r="B9242" s="11" t="n">
        <f aca="false">MOD(ROW()-9,24)</f>
        <v>17</v>
      </c>
      <c r="C9242" s="12"/>
      <c r="D9242" s="13" t="n">
        <f aca="false">IF(B9242&lt;5,Einstellungen!$B$3,Einstellungen!$B$4)</f>
        <v>29.13</v>
      </c>
      <c r="E9242" s="14" t="str">
        <f aca="false">IF(C9242="","",C9242*D9242/100)</f>
        <v/>
      </c>
      <c r="F9242" s="15" t="str">
        <f aca="false">IF(B9242&lt;5,"Go","Standard")</f>
        <v>Standard</v>
      </c>
    </row>
    <row r="9243" customFormat="false" ht="15" hidden="false" customHeight="true" outlineLevel="0" collapsed="false">
      <c r="A9243" s="10" t="n">
        <f aca="false">Einstellungen!$B$5+INT((ROW()-9)/24)</f>
        <v>46350</v>
      </c>
      <c r="B9243" s="11" t="n">
        <f aca="false">MOD(ROW()-9,24)</f>
        <v>18</v>
      </c>
      <c r="C9243" s="12"/>
      <c r="D9243" s="13" t="n">
        <f aca="false">IF(B9243&lt;5,Einstellungen!$B$3,Einstellungen!$B$4)</f>
        <v>29.13</v>
      </c>
      <c r="E9243" s="14" t="str">
        <f aca="false">IF(C9243="","",C9243*D9243/100)</f>
        <v/>
      </c>
      <c r="F9243" s="15" t="str">
        <f aca="false">IF(B9243&lt;5,"Go","Standard")</f>
        <v>Standard</v>
      </c>
    </row>
    <row r="9244" customFormat="false" ht="15" hidden="false" customHeight="true" outlineLevel="0" collapsed="false">
      <c r="A9244" s="10" t="n">
        <f aca="false">Einstellungen!$B$5+INT((ROW()-9)/24)</f>
        <v>46350</v>
      </c>
      <c r="B9244" s="11" t="n">
        <f aca="false">MOD(ROW()-9,24)</f>
        <v>19</v>
      </c>
      <c r="C9244" s="12"/>
      <c r="D9244" s="13" t="n">
        <f aca="false">IF(B9244&lt;5,Einstellungen!$B$3,Einstellungen!$B$4)</f>
        <v>29.13</v>
      </c>
      <c r="E9244" s="14" t="str">
        <f aca="false">IF(C9244="","",C9244*D9244/100)</f>
        <v/>
      </c>
      <c r="F9244" s="15" t="str">
        <f aca="false">IF(B9244&lt;5,"Go","Standard")</f>
        <v>Standard</v>
      </c>
    </row>
    <row r="9245" customFormat="false" ht="15" hidden="false" customHeight="true" outlineLevel="0" collapsed="false">
      <c r="A9245" s="10" t="n">
        <f aca="false">Einstellungen!$B$5+INT((ROW()-9)/24)</f>
        <v>46350</v>
      </c>
      <c r="B9245" s="11" t="n">
        <f aca="false">MOD(ROW()-9,24)</f>
        <v>20</v>
      </c>
      <c r="C9245" s="12"/>
      <c r="D9245" s="13" t="n">
        <f aca="false">IF(B9245&lt;5,Einstellungen!$B$3,Einstellungen!$B$4)</f>
        <v>29.13</v>
      </c>
      <c r="E9245" s="14" t="str">
        <f aca="false">IF(C9245="","",C9245*D9245/100)</f>
        <v/>
      </c>
      <c r="F9245" s="15" t="str">
        <f aca="false">IF(B9245&lt;5,"Go","Standard")</f>
        <v>Standard</v>
      </c>
    </row>
    <row r="9246" customFormat="false" ht="15" hidden="false" customHeight="true" outlineLevel="0" collapsed="false">
      <c r="A9246" s="10" t="n">
        <f aca="false">Einstellungen!$B$5+INT((ROW()-9)/24)</f>
        <v>46350</v>
      </c>
      <c r="B9246" s="11" t="n">
        <f aca="false">MOD(ROW()-9,24)</f>
        <v>21</v>
      </c>
      <c r="C9246" s="12"/>
      <c r="D9246" s="13" t="n">
        <f aca="false">IF(B9246&lt;5,Einstellungen!$B$3,Einstellungen!$B$4)</f>
        <v>29.13</v>
      </c>
      <c r="E9246" s="14" t="str">
        <f aca="false">IF(C9246="","",C9246*D9246/100)</f>
        <v/>
      </c>
      <c r="F9246" s="15" t="str">
        <f aca="false">IF(B9246&lt;5,"Go","Standard")</f>
        <v>Standard</v>
      </c>
    </row>
    <row r="9247" customFormat="false" ht="15" hidden="false" customHeight="true" outlineLevel="0" collapsed="false">
      <c r="A9247" s="10" t="n">
        <f aca="false">Einstellungen!$B$5+INT((ROW()-9)/24)</f>
        <v>46350</v>
      </c>
      <c r="B9247" s="11" t="n">
        <f aca="false">MOD(ROW()-9,24)</f>
        <v>22</v>
      </c>
      <c r="C9247" s="12"/>
      <c r="D9247" s="13" t="n">
        <f aca="false">IF(B9247&lt;5,Einstellungen!$B$3,Einstellungen!$B$4)</f>
        <v>29.13</v>
      </c>
      <c r="E9247" s="14" t="str">
        <f aca="false">IF(C9247="","",C9247*D9247/100)</f>
        <v/>
      </c>
      <c r="F9247" s="15" t="str">
        <f aca="false">IF(B9247&lt;5,"Go","Standard")</f>
        <v>Standard</v>
      </c>
    </row>
    <row r="9248" customFormat="false" ht="15" hidden="false" customHeight="true" outlineLevel="0" collapsed="false">
      <c r="A9248" s="10" t="n">
        <f aca="false">Einstellungen!$B$5+INT((ROW()-9)/24)</f>
        <v>46350</v>
      </c>
      <c r="B9248" s="11" t="n">
        <f aca="false">MOD(ROW()-9,24)</f>
        <v>23</v>
      </c>
      <c r="C9248" s="12"/>
      <c r="D9248" s="13" t="n">
        <f aca="false">IF(B9248&lt;5,Einstellungen!$B$3,Einstellungen!$B$4)</f>
        <v>29.13</v>
      </c>
      <c r="E9248" s="14" t="str">
        <f aca="false">IF(C9248="","",C9248*D9248/100)</f>
        <v/>
      </c>
      <c r="F9248" s="15" t="str">
        <f aca="false">IF(B9248&lt;5,"Go","Standard")</f>
        <v>Standard</v>
      </c>
    </row>
    <row r="9249" customFormat="false" ht="15" hidden="false" customHeight="true" outlineLevel="0" collapsed="false">
      <c r="A9249" s="10" t="n">
        <f aca="false">Einstellungen!$B$5+INT((ROW()-9)/24)</f>
        <v>46351</v>
      </c>
      <c r="B9249" s="11" t="n">
        <f aca="false">MOD(ROW()-9,24)</f>
        <v>0</v>
      </c>
      <c r="C9249" s="12"/>
      <c r="D9249" s="13" t="n">
        <f aca="false">IF(B9249&lt;5,Einstellungen!$B$3,Einstellungen!$B$4)</f>
        <v>15.92</v>
      </c>
      <c r="E9249" s="14" t="str">
        <f aca="false">IF(C9249="","",C9249*D9249/100)</f>
        <v/>
      </c>
      <c r="F9249" s="15" t="str">
        <f aca="false">IF(B9249&lt;5,"Go","Standard")</f>
        <v>Go</v>
      </c>
    </row>
    <row r="9250" customFormat="false" ht="15" hidden="false" customHeight="true" outlineLevel="0" collapsed="false">
      <c r="A9250" s="10" t="n">
        <f aca="false">Einstellungen!$B$5+INT((ROW()-9)/24)</f>
        <v>46351</v>
      </c>
      <c r="B9250" s="11" t="n">
        <f aca="false">MOD(ROW()-9,24)</f>
        <v>1</v>
      </c>
      <c r="C9250" s="12"/>
      <c r="D9250" s="13" t="n">
        <f aca="false">IF(B9250&lt;5,Einstellungen!$B$3,Einstellungen!$B$4)</f>
        <v>15.92</v>
      </c>
      <c r="E9250" s="14" t="str">
        <f aca="false">IF(C9250="","",C9250*D9250/100)</f>
        <v/>
      </c>
      <c r="F9250" s="15" t="str">
        <f aca="false">IF(B9250&lt;5,"Go","Standard")</f>
        <v>Go</v>
      </c>
    </row>
    <row r="9251" customFormat="false" ht="15" hidden="false" customHeight="true" outlineLevel="0" collapsed="false">
      <c r="A9251" s="10" t="n">
        <f aca="false">Einstellungen!$B$5+INT((ROW()-9)/24)</f>
        <v>46351</v>
      </c>
      <c r="B9251" s="11" t="n">
        <f aca="false">MOD(ROW()-9,24)</f>
        <v>2</v>
      </c>
      <c r="C9251" s="12"/>
      <c r="D9251" s="13" t="n">
        <f aca="false">IF(B9251&lt;5,Einstellungen!$B$3,Einstellungen!$B$4)</f>
        <v>15.92</v>
      </c>
      <c r="E9251" s="14" t="str">
        <f aca="false">IF(C9251="","",C9251*D9251/100)</f>
        <v/>
      </c>
      <c r="F9251" s="15" t="str">
        <f aca="false">IF(B9251&lt;5,"Go","Standard")</f>
        <v>Go</v>
      </c>
    </row>
    <row r="9252" customFormat="false" ht="15" hidden="false" customHeight="true" outlineLevel="0" collapsed="false">
      <c r="A9252" s="10" t="n">
        <f aca="false">Einstellungen!$B$5+INT((ROW()-9)/24)</f>
        <v>46351</v>
      </c>
      <c r="B9252" s="11" t="n">
        <f aca="false">MOD(ROW()-9,24)</f>
        <v>3</v>
      </c>
      <c r="C9252" s="12"/>
      <c r="D9252" s="13" t="n">
        <f aca="false">IF(B9252&lt;5,Einstellungen!$B$3,Einstellungen!$B$4)</f>
        <v>15.92</v>
      </c>
      <c r="E9252" s="14" t="str">
        <f aca="false">IF(C9252="","",C9252*D9252/100)</f>
        <v/>
      </c>
      <c r="F9252" s="15" t="str">
        <f aca="false">IF(B9252&lt;5,"Go","Standard")</f>
        <v>Go</v>
      </c>
    </row>
    <row r="9253" customFormat="false" ht="15" hidden="false" customHeight="true" outlineLevel="0" collapsed="false">
      <c r="A9253" s="10" t="n">
        <f aca="false">Einstellungen!$B$5+INT((ROW()-9)/24)</f>
        <v>46351</v>
      </c>
      <c r="B9253" s="11" t="n">
        <f aca="false">MOD(ROW()-9,24)</f>
        <v>4</v>
      </c>
      <c r="C9253" s="12"/>
      <c r="D9253" s="13" t="n">
        <f aca="false">IF(B9253&lt;5,Einstellungen!$B$3,Einstellungen!$B$4)</f>
        <v>15.92</v>
      </c>
      <c r="E9253" s="14" t="str">
        <f aca="false">IF(C9253="","",C9253*D9253/100)</f>
        <v/>
      </c>
      <c r="F9253" s="15" t="str">
        <f aca="false">IF(B9253&lt;5,"Go","Standard")</f>
        <v>Go</v>
      </c>
    </row>
    <row r="9254" customFormat="false" ht="15" hidden="false" customHeight="true" outlineLevel="0" collapsed="false">
      <c r="A9254" s="10" t="n">
        <f aca="false">Einstellungen!$B$5+INT((ROW()-9)/24)</f>
        <v>46351</v>
      </c>
      <c r="B9254" s="11" t="n">
        <f aca="false">MOD(ROW()-9,24)</f>
        <v>5</v>
      </c>
      <c r="C9254" s="12"/>
      <c r="D9254" s="13" t="n">
        <f aca="false">IF(B9254&lt;5,Einstellungen!$B$3,Einstellungen!$B$4)</f>
        <v>29.13</v>
      </c>
      <c r="E9254" s="14" t="str">
        <f aca="false">IF(C9254="","",C9254*D9254/100)</f>
        <v/>
      </c>
      <c r="F9254" s="15" t="str">
        <f aca="false">IF(B9254&lt;5,"Go","Standard")</f>
        <v>Standard</v>
      </c>
    </row>
    <row r="9255" customFormat="false" ht="15" hidden="false" customHeight="true" outlineLevel="0" collapsed="false">
      <c r="A9255" s="10" t="n">
        <f aca="false">Einstellungen!$B$5+INT((ROW()-9)/24)</f>
        <v>46351</v>
      </c>
      <c r="B9255" s="11" t="n">
        <f aca="false">MOD(ROW()-9,24)</f>
        <v>6</v>
      </c>
      <c r="C9255" s="12"/>
      <c r="D9255" s="13" t="n">
        <f aca="false">IF(B9255&lt;5,Einstellungen!$B$3,Einstellungen!$B$4)</f>
        <v>29.13</v>
      </c>
      <c r="E9255" s="14" t="str">
        <f aca="false">IF(C9255="","",C9255*D9255/100)</f>
        <v/>
      </c>
      <c r="F9255" s="15" t="str">
        <f aca="false">IF(B9255&lt;5,"Go","Standard")</f>
        <v>Standard</v>
      </c>
    </row>
    <row r="9256" customFormat="false" ht="15" hidden="false" customHeight="true" outlineLevel="0" collapsed="false">
      <c r="A9256" s="10" t="n">
        <f aca="false">Einstellungen!$B$5+INT((ROW()-9)/24)</f>
        <v>46351</v>
      </c>
      <c r="B9256" s="11" t="n">
        <f aca="false">MOD(ROW()-9,24)</f>
        <v>7</v>
      </c>
      <c r="C9256" s="12"/>
      <c r="D9256" s="13" t="n">
        <f aca="false">IF(B9256&lt;5,Einstellungen!$B$3,Einstellungen!$B$4)</f>
        <v>29.13</v>
      </c>
      <c r="E9256" s="14" t="str">
        <f aca="false">IF(C9256="","",C9256*D9256/100)</f>
        <v/>
      </c>
      <c r="F9256" s="15" t="str">
        <f aca="false">IF(B9256&lt;5,"Go","Standard")</f>
        <v>Standard</v>
      </c>
    </row>
    <row r="9257" customFormat="false" ht="15" hidden="false" customHeight="true" outlineLevel="0" collapsed="false">
      <c r="A9257" s="10" t="n">
        <f aca="false">Einstellungen!$B$5+INT((ROW()-9)/24)</f>
        <v>46351</v>
      </c>
      <c r="B9257" s="11" t="n">
        <f aca="false">MOD(ROW()-9,24)</f>
        <v>8</v>
      </c>
      <c r="C9257" s="12"/>
      <c r="D9257" s="13" t="n">
        <f aca="false">IF(B9257&lt;5,Einstellungen!$B$3,Einstellungen!$B$4)</f>
        <v>29.13</v>
      </c>
      <c r="E9257" s="14" t="str">
        <f aca="false">IF(C9257="","",C9257*D9257/100)</f>
        <v/>
      </c>
      <c r="F9257" s="15" t="str">
        <f aca="false">IF(B9257&lt;5,"Go","Standard")</f>
        <v>Standard</v>
      </c>
    </row>
    <row r="9258" customFormat="false" ht="15" hidden="false" customHeight="true" outlineLevel="0" collapsed="false">
      <c r="A9258" s="10" t="n">
        <f aca="false">Einstellungen!$B$5+INT((ROW()-9)/24)</f>
        <v>46351</v>
      </c>
      <c r="B9258" s="11" t="n">
        <f aca="false">MOD(ROW()-9,24)</f>
        <v>9</v>
      </c>
      <c r="C9258" s="12"/>
      <c r="D9258" s="13" t="n">
        <f aca="false">IF(B9258&lt;5,Einstellungen!$B$3,Einstellungen!$B$4)</f>
        <v>29.13</v>
      </c>
      <c r="E9258" s="14" t="str">
        <f aca="false">IF(C9258="","",C9258*D9258/100)</f>
        <v/>
      </c>
      <c r="F9258" s="15" t="str">
        <f aca="false">IF(B9258&lt;5,"Go","Standard")</f>
        <v>Standard</v>
      </c>
    </row>
    <row r="9259" customFormat="false" ht="15" hidden="false" customHeight="true" outlineLevel="0" collapsed="false">
      <c r="A9259" s="10" t="n">
        <f aca="false">Einstellungen!$B$5+INT((ROW()-9)/24)</f>
        <v>46351</v>
      </c>
      <c r="B9259" s="11" t="n">
        <f aca="false">MOD(ROW()-9,24)</f>
        <v>10</v>
      </c>
      <c r="C9259" s="12"/>
      <c r="D9259" s="13" t="n">
        <f aca="false">IF(B9259&lt;5,Einstellungen!$B$3,Einstellungen!$B$4)</f>
        <v>29.13</v>
      </c>
      <c r="E9259" s="14" t="str">
        <f aca="false">IF(C9259="","",C9259*D9259/100)</f>
        <v/>
      </c>
      <c r="F9259" s="15" t="str">
        <f aca="false">IF(B9259&lt;5,"Go","Standard")</f>
        <v>Standard</v>
      </c>
    </row>
    <row r="9260" customFormat="false" ht="15" hidden="false" customHeight="true" outlineLevel="0" collapsed="false">
      <c r="A9260" s="10" t="n">
        <f aca="false">Einstellungen!$B$5+INT((ROW()-9)/24)</f>
        <v>46351</v>
      </c>
      <c r="B9260" s="11" t="n">
        <f aca="false">MOD(ROW()-9,24)</f>
        <v>11</v>
      </c>
      <c r="C9260" s="12"/>
      <c r="D9260" s="13" t="n">
        <f aca="false">IF(B9260&lt;5,Einstellungen!$B$3,Einstellungen!$B$4)</f>
        <v>29.13</v>
      </c>
      <c r="E9260" s="14" t="str">
        <f aca="false">IF(C9260="","",C9260*D9260/100)</f>
        <v/>
      </c>
      <c r="F9260" s="15" t="str">
        <f aca="false">IF(B9260&lt;5,"Go","Standard")</f>
        <v>Standard</v>
      </c>
    </row>
    <row r="9261" customFormat="false" ht="15" hidden="false" customHeight="true" outlineLevel="0" collapsed="false">
      <c r="A9261" s="10" t="n">
        <f aca="false">Einstellungen!$B$5+INT((ROW()-9)/24)</f>
        <v>46351</v>
      </c>
      <c r="B9261" s="11" t="n">
        <f aca="false">MOD(ROW()-9,24)</f>
        <v>12</v>
      </c>
      <c r="C9261" s="12"/>
      <c r="D9261" s="13" t="n">
        <f aca="false">IF(B9261&lt;5,Einstellungen!$B$3,Einstellungen!$B$4)</f>
        <v>29.13</v>
      </c>
      <c r="E9261" s="14" t="str">
        <f aca="false">IF(C9261="","",C9261*D9261/100)</f>
        <v/>
      </c>
      <c r="F9261" s="15" t="str">
        <f aca="false">IF(B9261&lt;5,"Go","Standard")</f>
        <v>Standard</v>
      </c>
    </row>
    <row r="9262" customFormat="false" ht="15" hidden="false" customHeight="true" outlineLevel="0" collapsed="false">
      <c r="A9262" s="10" t="n">
        <f aca="false">Einstellungen!$B$5+INT((ROW()-9)/24)</f>
        <v>46351</v>
      </c>
      <c r="B9262" s="11" t="n">
        <f aca="false">MOD(ROW()-9,24)</f>
        <v>13</v>
      </c>
      <c r="C9262" s="12"/>
      <c r="D9262" s="13" t="n">
        <f aca="false">IF(B9262&lt;5,Einstellungen!$B$3,Einstellungen!$B$4)</f>
        <v>29.13</v>
      </c>
      <c r="E9262" s="14" t="str">
        <f aca="false">IF(C9262="","",C9262*D9262/100)</f>
        <v/>
      </c>
      <c r="F9262" s="15" t="str">
        <f aca="false">IF(B9262&lt;5,"Go","Standard")</f>
        <v>Standard</v>
      </c>
    </row>
    <row r="9263" customFormat="false" ht="15" hidden="false" customHeight="true" outlineLevel="0" collapsed="false">
      <c r="A9263" s="10" t="n">
        <f aca="false">Einstellungen!$B$5+INT((ROW()-9)/24)</f>
        <v>46351</v>
      </c>
      <c r="B9263" s="11" t="n">
        <f aca="false">MOD(ROW()-9,24)</f>
        <v>14</v>
      </c>
      <c r="C9263" s="12"/>
      <c r="D9263" s="13" t="n">
        <f aca="false">IF(B9263&lt;5,Einstellungen!$B$3,Einstellungen!$B$4)</f>
        <v>29.13</v>
      </c>
      <c r="E9263" s="14" t="str">
        <f aca="false">IF(C9263="","",C9263*D9263/100)</f>
        <v/>
      </c>
      <c r="F9263" s="15" t="str">
        <f aca="false">IF(B9263&lt;5,"Go","Standard")</f>
        <v>Standard</v>
      </c>
    </row>
    <row r="9264" customFormat="false" ht="15" hidden="false" customHeight="true" outlineLevel="0" collapsed="false">
      <c r="A9264" s="10" t="n">
        <f aca="false">Einstellungen!$B$5+INT((ROW()-9)/24)</f>
        <v>46351</v>
      </c>
      <c r="B9264" s="11" t="n">
        <f aca="false">MOD(ROW()-9,24)</f>
        <v>15</v>
      </c>
      <c r="C9264" s="12"/>
      <c r="D9264" s="13" t="n">
        <f aca="false">IF(B9264&lt;5,Einstellungen!$B$3,Einstellungen!$B$4)</f>
        <v>29.13</v>
      </c>
      <c r="E9264" s="14" t="str">
        <f aca="false">IF(C9264="","",C9264*D9264/100)</f>
        <v/>
      </c>
      <c r="F9264" s="15" t="str">
        <f aca="false">IF(B9264&lt;5,"Go","Standard")</f>
        <v>Standard</v>
      </c>
    </row>
    <row r="9265" customFormat="false" ht="15" hidden="false" customHeight="true" outlineLevel="0" collapsed="false">
      <c r="A9265" s="10" t="n">
        <f aca="false">Einstellungen!$B$5+INT((ROW()-9)/24)</f>
        <v>46351</v>
      </c>
      <c r="B9265" s="11" t="n">
        <f aca="false">MOD(ROW()-9,24)</f>
        <v>16</v>
      </c>
      <c r="C9265" s="12"/>
      <c r="D9265" s="13" t="n">
        <f aca="false">IF(B9265&lt;5,Einstellungen!$B$3,Einstellungen!$B$4)</f>
        <v>29.13</v>
      </c>
      <c r="E9265" s="14" t="str">
        <f aca="false">IF(C9265="","",C9265*D9265/100)</f>
        <v/>
      </c>
      <c r="F9265" s="15" t="str">
        <f aca="false">IF(B9265&lt;5,"Go","Standard")</f>
        <v>Standard</v>
      </c>
    </row>
    <row r="9266" customFormat="false" ht="15" hidden="false" customHeight="true" outlineLevel="0" collapsed="false">
      <c r="A9266" s="10" t="n">
        <f aca="false">Einstellungen!$B$5+INT((ROW()-9)/24)</f>
        <v>46351</v>
      </c>
      <c r="B9266" s="11" t="n">
        <f aca="false">MOD(ROW()-9,24)</f>
        <v>17</v>
      </c>
      <c r="C9266" s="12"/>
      <c r="D9266" s="13" t="n">
        <f aca="false">IF(B9266&lt;5,Einstellungen!$B$3,Einstellungen!$B$4)</f>
        <v>29.13</v>
      </c>
      <c r="E9266" s="14" t="str">
        <f aca="false">IF(C9266="","",C9266*D9266/100)</f>
        <v/>
      </c>
      <c r="F9266" s="15" t="str">
        <f aca="false">IF(B9266&lt;5,"Go","Standard")</f>
        <v>Standard</v>
      </c>
    </row>
    <row r="9267" customFormat="false" ht="15" hidden="false" customHeight="true" outlineLevel="0" collapsed="false">
      <c r="A9267" s="10" t="n">
        <f aca="false">Einstellungen!$B$5+INT((ROW()-9)/24)</f>
        <v>46351</v>
      </c>
      <c r="B9267" s="11" t="n">
        <f aca="false">MOD(ROW()-9,24)</f>
        <v>18</v>
      </c>
      <c r="C9267" s="12"/>
      <c r="D9267" s="13" t="n">
        <f aca="false">IF(B9267&lt;5,Einstellungen!$B$3,Einstellungen!$B$4)</f>
        <v>29.13</v>
      </c>
      <c r="E9267" s="14" t="str">
        <f aca="false">IF(C9267="","",C9267*D9267/100)</f>
        <v/>
      </c>
      <c r="F9267" s="15" t="str">
        <f aca="false">IF(B9267&lt;5,"Go","Standard")</f>
        <v>Standard</v>
      </c>
    </row>
    <row r="9268" customFormat="false" ht="15" hidden="false" customHeight="true" outlineLevel="0" collapsed="false">
      <c r="A9268" s="10" t="n">
        <f aca="false">Einstellungen!$B$5+INT((ROW()-9)/24)</f>
        <v>46351</v>
      </c>
      <c r="B9268" s="11" t="n">
        <f aca="false">MOD(ROW()-9,24)</f>
        <v>19</v>
      </c>
      <c r="C9268" s="12"/>
      <c r="D9268" s="13" t="n">
        <f aca="false">IF(B9268&lt;5,Einstellungen!$B$3,Einstellungen!$B$4)</f>
        <v>29.13</v>
      </c>
      <c r="E9268" s="14" t="str">
        <f aca="false">IF(C9268="","",C9268*D9268/100)</f>
        <v/>
      </c>
      <c r="F9268" s="15" t="str">
        <f aca="false">IF(B9268&lt;5,"Go","Standard")</f>
        <v>Standard</v>
      </c>
    </row>
    <row r="9269" customFormat="false" ht="15" hidden="false" customHeight="true" outlineLevel="0" collapsed="false">
      <c r="A9269" s="10" t="n">
        <f aca="false">Einstellungen!$B$5+INT((ROW()-9)/24)</f>
        <v>46351</v>
      </c>
      <c r="B9269" s="11" t="n">
        <f aca="false">MOD(ROW()-9,24)</f>
        <v>20</v>
      </c>
      <c r="C9269" s="12"/>
      <c r="D9269" s="13" t="n">
        <f aca="false">IF(B9269&lt;5,Einstellungen!$B$3,Einstellungen!$B$4)</f>
        <v>29.13</v>
      </c>
      <c r="E9269" s="14" t="str">
        <f aca="false">IF(C9269="","",C9269*D9269/100)</f>
        <v/>
      </c>
      <c r="F9269" s="15" t="str">
        <f aca="false">IF(B9269&lt;5,"Go","Standard")</f>
        <v>Standard</v>
      </c>
    </row>
    <row r="9270" customFormat="false" ht="15" hidden="false" customHeight="true" outlineLevel="0" collapsed="false">
      <c r="A9270" s="10" t="n">
        <f aca="false">Einstellungen!$B$5+INT((ROW()-9)/24)</f>
        <v>46351</v>
      </c>
      <c r="B9270" s="11" t="n">
        <f aca="false">MOD(ROW()-9,24)</f>
        <v>21</v>
      </c>
      <c r="C9270" s="12"/>
      <c r="D9270" s="13" t="n">
        <f aca="false">IF(B9270&lt;5,Einstellungen!$B$3,Einstellungen!$B$4)</f>
        <v>29.13</v>
      </c>
      <c r="E9270" s="14" t="str">
        <f aca="false">IF(C9270="","",C9270*D9270/100)</f>
        <v/>
      </c>
      <c r="F9270" s="15" t="str">
        <f aca="false">IF(B9270&lt;5,"Go","Standard")</f>
        <v>Standard</v>
      </c>
    </row>
    <row r="9271" customFormat="false" ht="15" hidden="false" customHeight="true" outlineLevel="0" collapsed="false">
      <c r="A9271" s="10" t="n">
        <f aca="false">Einstellungen!$B$5+INT((ROW()-9)/24)</f>
        <v>46351</v>
      </c>
      <c r="B9271" s="11" t="n">
        <f aca="false">MOD(ROW()-9,24)</f>
        <v>22</v>
      </c>
      <c r="C9271" s="12"/>
      <c r="D9271" s="13" t="n">
        <f aca="false">IF(B9271&lt;5,Einstellungen!$B$3,Einstellungen!$B$4)</f>
        <v>29.13</v>
      </c>
      <c r="E9271" s="14" t="str">
        <f aca="false">IF(C9271="","",C9271*D9271/100)</f>
        <v/>
      </c>
      <c r="F9271" s="15" t="str">
        <f aca="false">IF(B9271&lt;5,"Go","Standard")</f>
        <v>Standard</v>
      </c>
    </row>
    <row r="9272" customFormat="false" ht="15" hidden="false" customHeight="true" outlineLevel="0" collapsed="false">
      <c r="A9272" s="10" t="n">
        <f aca="false">Einstellungen!$B$5+INT((ROW()-9)/24)</f>
        <v>46351</v>
      </c>
      <c r="B9272" s="11" t="n">
        <f aca="false">MOD(ROW()-9,24)</f>
        <v>23</v>
      </c>
      <c r="C9272" s="12"/>
      <c r="D9272" s="13" t="n">
        <f aca="false">IF(B9272&lt;5,Einstellungen!$B$3,Einstellungen!$B$4)</f>
        <v>29.13</v>
      </c>
      <c r="E9272" s="14" t="str">
        <f aca="false">IF(C9272="","",C9272*D9272/100)</f>
        <v/>
      </c>
      <c r="F9272" s="15" t="str">
        <f aca="false">IF(B9272&lt;5,"Go","Standard")</f>
        <v>Standard</v>
      </c>
    </row>
    <row r="9273" customFormat="false" ht="15" hidden="false" customHeight="true" outlineLevel="0" collapsed="false">
      <c r="A9273" s="10" t="n">
        <f aca="false">Einstellungen!$B$5+INT((ROW()-9)/24)</f>
        <v>46352</v>
      </c>
      <c r="B9273" s="11" t="n">
        <f aca="false">MOD(ROW()-9,24)</f>
        <v>0</v>
      </c>
      <c r="C9273" s="12"/>
      <c r="D9273" s="13" t="n">
        <f aca="false">IF(B9273&lt;5,Einstellungen!$B$3,Einstellungen!$B$4)</f>
        <v>15.92</v>
      </c>
      <c r="E9273" s="14" t="str">
        <f aca="false">IF(C9273="","",C9273*D9273/100)</f>
        <v/>
      </c>
      <c r="F9273" s="15" t="str">
        <f aca="false">IF(B9273&lt;5,"Go","Standard")</f>
        <v>Go</v>
      </c>
    </row>
    <row r="9274" customFormat="false" ht="15" hidden="false" customHeight="true" outlineLevel="0" collapsed="false">
      <c r="A9274" s="10" t="n">
        <f aca="false">Einstellungen!$B$5+INT((ROW()-9)/24)</f>
        <v>46352</v>
      </c>
      <c r="B9274" s="11" t="n">
        <f aca="false">MOD(ROW()-9,24)</f>
        <v>1</v>
      </c>
      <c r="C9274" s="12"/>
      <c r="D9274" s="13" t="n">
        <f aca="false">IF(B9274&lt;5,Einstellungen!$B$3,Einstellungen!$B$4)</f>
        <v>15.92</v>
      </c>
      <c r="E9274" s="14" t="str">
        <f aca="false">IF(C9274="","",C9274*D9274/100)</f>
        <v/>
      </c>
      <c r="F9274" s="15" t="str">
        <f aca="false">IF(B9274&lt;5,"Go","Standard")</f>
        <v>Go</v>
      </c>
    </row>
    <row r="9275" customFormat="false" ht="15" hidden="false" customHeight="true" outlineLevel="0" collapsed="false">
      <c r="A9275" s="10" t="n">
        <f aca="false">Einstellungen!$B$5+INT((ROW()-9)/24)</f>
        <v>46352</v>
      </c>
      <c r="B9275" s="11" t="n">
        <f aca="false">MOD(ROW()-9,24)</f>
        <v>2</v>
      </c>
      <c r="C9275" s="12"/>
      <c r="D9275" s="13" t="n">
        <f aca="false">IF(B9275&lt;5,Einstellungen!$B$3,Einstellungen!$B$4)</f>
        <v>15.92</v>
      </c>
      <c r="E9275" s="14" t="str">
        <f aca="false">IF(C9275="","",C9275*D9275/100)</f>
        <v/>
      </c>
      <c r="F9275" s="15" t="str">
        <f aca="false">IF(B9275&lt;5,"Go","Standard")</f>
        <v>Go</v>
      </c>
    </row>
    <row r="9276" customFormat="false" ht="15" hidden="false" customHeight="true" outlineLevel="0" collapsed="false">
      <c r="A9276" s="10" t="n">
        <f aca="false">Einstellungen!$B$5+INT((ROW()-9)/24)</f>
        <v>46352</v>
      </c>
      <c r="B9276" s="11" t="n">
        <f aca="false">MOD(ROW()-9,24)</f>
        <v>3</v>
      </c>
      <c r="C9276" s="12"/>
      <c r="D9276" s="13" t="n">
        <f aca="false">IF(B9276&lt;5,Einstellungen!$B$3,Einstellungen!$B$4)</f>
        <v>15.92</v>
      </c>
      <c r="E9276" s="14" t="str">
        <f aca="false">IF(C9276="","",C9276*D9276/100)</f>
        <v/>
      </c>
      <c r="F9276" s="15" t="str">
        <f aca="false">IF(B9276&lt;5,"Go","Standard")</f>
        <v>Go</v>
      </c>
    </row>
    <row r="9277" customFormat="false" ht="15" hidden="false" customHeight="true" outlineLevel="0" collapsed="false">
      <c r="A9277" s="10" t="n">
        <f aca="false">Einstellungen!$B$5+INT((ROW()-9)/24)</f>
        <v>46352</v>
      </c>
      <c r="B9277" s="11" t="n">
        <f aca="false">MOD(ROW()-9,24)</f>
        <v>4</v>
      </c>
      <c r="C9277" s="12"/>
      <c r="D9277" s="13" t="n">
        <f aca="false">IF(B9277&lt;5,Einstellungen!$B$3,Einstellungen!$B$4)</f>
        <v>15.92</v>
      </c>
      <c r="E9277" s="14" t="str">
        <f aca="false">IF(C9277="","",C9277*D9277/100)</f>
        <v/>
      </c>
      <c r="F9277" s="15" t="str">
        <f aca="false">IF(B9277&lt;5,"Go","Standard")</f>
        <v>Go</v>
      </c>
    </row>
    <row r="9278" customFormat="false" ht="15" hidden="false" customHeight="true" outlineLevel="0" collapsed="false">
      <c r="A9278" s="10" t="n">
        <f aca="false">Einstellungen!$B$5+INT((ROW()-9)/24)</f>
        <v>46352</v>
      </c>
      <c r="B9278" s="11" t="n">
        <f aca="false">MOD(ROW()-9,24)</f>
        <v>5</v>
      </c>
      <c r="C9278" s="12"/>
      <c r="D9278" s="13" t="n">
        <f aca="false">IF(B9278&lt;5,Einstellungen!$B$3,Einstellungen!$B$4)</f>
        <v>29.13</v>
      </c>
      <c r="E9278" s="14" t="str">
        <f aca="false">IF(C9278="","",C9278*D9278/100)</f>
        <v/>
      </c>
      <c r="F9278" s="15" t="str">
        <f aca="false">IF(B9278&lt;5,"Go","Standard")</f>
        <v>Standard</v>
      </c>
    </row>
    <row r="9279" customFormat="false" ht="15" hidden="false" customHeight="true" outlineLevel="0" collapsed="false">
      <c r="A9279" s="10" t="n">
        <f aca="false">Einstellungen!$B$5+INT((ROW()-9)/24)</f>
        <v>46352</v>
      </c>
      <c r="B9279" s="11" t="n">
        <f aca="false">MOD(ROW()-9,24)</f>
        <v>6</v>
      </c>
      <c r="C9279" s="12"/>
      <c r="D9279" s="13" t="n">
        <f aca="false">IF(B9279&lt;5,Einstellungen!$B$3,Einstellungen!$B$4)</f>
        <v>29.13</v>
      </c>
      <c r="E9279" s="14" t="str">
        <f aca="false">IF(C9279="","",C9279*D9279/100)</f>
        <v/>
      </c>
      <c r="F9279" s="15" t="str">
        <f aca="false">IF(B9279&lt;5,"Go","Standard")</f>
        <v>Standard</v>
      </c>
    </row>
    <row r="9280" customFormat="false" ht="15" hidden="false" customHeight="true" outlineLevel="0" collapsed="false">
      <c r="A9280" s="10" t="n">
        <f aca="false">Einstellungen!$B$5+INT((ROW()-9)/24)</f>
        <v>46352</v>
      </c>
      <c r="B9280" s="11" t="n">
        <f aca="false">MOD(ROW()-9,24)</f>
        <v>7</v>
      </c>
      <c r="C9280" s="12"/>
      <c r="D9280" s="13" t="n">
        <f aca="false">IF(B9280&lt;5,Einstellungen!$B$3,Einstellungen!$B$4)</f>
        <v>29.13</v>
      </c>
      <c r="E9280" s="14" t="str">
        <f aca="false">IF(C9280="","",C9280*D9280/100)</f>
        <v/>
      </c>
      <c r="F9280" s="15" t="str">
        <f aca="false">IF(B9280&lt;5,"Go","Standard")</f>
        <v>Standard</v>
      </c>
    </row>
    <row r="9281" customFormat="false" ht="15" hidden="false" customHeight="true" outlineLevel="0" collapsed="false">
      <c r="A9281" s="10" t="n">
        <f aca="false">Einstellungen!$B$5+INT((ROW()-9)/24)</f>
        <v>46352</v>
      </c>
      <c r="B9281" s="11" t="n">
        <f aca="false">MOD(ROW()-9,24)</f>
        <v>8</v>
      </c>
      <c r="C9281" s="12"/>
      <c r="D9281" s="13" t="n">
        <f aca="false">IF(B9281&lt;5,Einstellungen!$B$3,Einstellungen!$B$4)</f>
        <v>29.13</v>
      </c>
      <c r="E9281" s="14" t="str">
        <f aca="false">IF(C9281="","",C9281*D9281/100)</f>
        <v/>
      </c>
      <c r="F9281" s="15" t="str">
        <f aca="false">IF(B9281&lt;5,"Go","Standard")</f>
        <v>Standard</v>
      </c>
    </row>
    <row r="9282" customFormat="false" ht="15" hidden="false" customHeight="true" outlineLevel="0" collapsed="false">
      <c r="A9282" s="10" t="n">
        <f aca="false">Einstellungen!$B$5+INT((ROW()-9)/24)</f>
        <v>46352</v>
      </c>
      <c r="B9282" s="11" t="n">
        <f aca="false">MOD(ROW()-9,24)</f>
        <v>9</v>
      </c>
      <c r="C9282" s="12"/>
      <c r="D9282" s="13" t="n">
        <f aca="false">IF(B9282&lt;5,Einstellungen!$B$3,Einstellungen!$B$4)</f>
        <v>29.13</v>
      </c>
      <c r="E9282" s="14" t="str">
        <f aca="false">IF(C9282="","",C9282*D9282/100)</f>
        <v/>
      </c>
      <c r="F9282" s="15" t="str">
        <f aca="false">IF(B9282&lt;5,"Go","Standard")</f>
        <v>Standard</v>
      </c>
    </row>
    <row r="9283" customFormat="false" ht="15" hidden="false" customHeight="true" outlineLevel="0" collapsed="false">
      <c r="A9283" s="10" t="n">
        <f aca="false">Einstellungen!$B$5+INT((ROW()-9)/24)</f>
        <v>46352</v>
      </c>
      <c r="B9283" s="11" t="n">
        <f aca="false">MOD(ROW()-9,24)</f>
        <v>10</v>
      </c>
      <c r="C9283" s="12"/>
      <c r="D9283" s="13" t="n">
        <f aca="false">IF(B9283&lt;5,Einstellungen!$B$3,Einstellungen!$B$4)</f>
        <v>29.13</v>
      </c>
      <c r="E9283" s="14" t="str">
        <f aca="false">IF(C9283="","",C9283*D9283/100)</f>
        <v/>
      </c>
      <c r="F9283" s="15" t="str">
        <f aca="false">IF(B9283&lt;5,"Go","Standard")</f>
        <v>Standard</v>
      </c>
    </row>
    <row r="9284" customFormat="false" ht="15" hidden="false" customHeight="true" outlineLevel="0" collapsed="false">
      <c r="A9284" s="10" t="n">
        <f aca="false">Einstellungen!$B$5+INT((ROW()-9)/24)</f>
        <v>46352</v>
      </c>
      <c r="B9284" s="11" t="n">
        <f aca="false">MOD(ROW()-9,24)</f>
        <v>11</v>
      </c>
      <c r="C9284" s="12"/>
      <c r="D9284" s="13" t="n">
        <f aca="false">IF(B9284&lt;5,Einstellungen!$B$3,Einstellungen!$B$4)</f>
        <v>29.13</v>
      </c>
      <c r="E9284" s="14" t="str">
        <f aca="false">IF(C9284="","",C9284*D9284/100)</f>
        <v/>
      </c>
      <c r="F9284" s="15" t="str">
        <f aca="false">IF(B9284&lt;5,"Go","Standard")</f>
        <v>Standard</v>
      </c>
    </row>
    <row r="9285" customFormat="false" ht="15" hidden="false" customHeight="true" outlineLevel="0" collapsed="false">
      <c r="A9285" s="10" t="n">
        <f aca="false">Einstellungen!$B$5+INT((ROW()-9)/24)</f>
        <v>46352</v>
      </c>
      <c r="B9285" s="11" t="n">
        <f aca="false">MOD(ROW()-9,24)</f>
        <v>12</v>
      </c>
      <c r="C9285" s="12"/>
      <c r="D9285" s="13" t="n">
        <f aca="false">IF(B9285&lt;5,Einstellungen!$B$3,Einstellungen!$B$4)</f>
        <v>29.13</v>
      </c>
      <c r="E9285" s="14" t="str">
        <f aca="false">IF(C9285="","",C9285*D9285/100)</f>
        <v/>
      </c>
      <c r="F9285" s="15" t="str">
        <f aca="false">IF(B9285&lt;5,"Go","Standard")</f>
        <v>Standard</v>
      </c>
    </row>
    <row r="9286" customFormat="false" ht="15" hidden="false" customHeight="true" outlineLevel="0" collapsed="false">
      <c r="A9286" s="10" t="n">
        <f aca="false">Einstellungen!$B$5+INT((ROW()-9)/24)</f>
        <v>46352</v>
      </c>
      <c r="B9286" s="11" t="n">
        <f aca="false">MOD(ROW()-9,24)</f>
        <v>13</v>
      </c>
      <c r="C9286" s="12"/>
      <c r="D9286" s="13" t="n">
        <f aca="false">IF(B9286&lt;5,Einstellungen!$B$3,Einstellungen!$B$4)</f>
        <v>29.13</v>
      </c>
      <c r="E9286" s="14" t="str">
        <f aca="false">IF(C9286="","",C9286*D9286/100)</f>
        <v/>
      </c>
      <c r="F9286" s="15" t="str">
        <f aca="false">IF(B9286&lt;5,"Go","Standard")</f>
        <v>Standard</v>
      </c>
    </row>
    <row r="9287" customFormat="false" ht="15" hidden="false" customHeight="true" outlineLevel="0" collapsed="false">
      <c r="A9287" s="10" t="n">
        <f aca="false">Einstellungen!$B$5+INT((ROW()-9)/24)</f>
        <v>46352</v>
      </c>
      <c r="B9287" s="11" t="n">
        <f aca="false">MOD(ROW()-9,24)</f>
        <v>14</v>
      </c>
      <c r="C9287" s="12"/>
      <c r="D9287" s="13" t="n">
        <f aca="false">IF(B9287&lt;5,Einstellungen!$B$3,Einstellungen!$B$4)</f>
        <v>29.13</v>
      </c>
      <c r="E9287" s="14" t="str">
        <f aca="false">IF(C9287="","",C9287*D9287/100)</f>
        <v/>
      </c>
      <c r="F9287" s="15" t="str">
        <f aca="false">IF(B9287&lt;5,"Go","Standard")</f>
        <v>Standard</v>
      </c>
    </row>
    <row r="9288" customFormat="false" ht="15" hidden="false" customHeight="true" outlineLevel="0" collapsed="false">
      <c r="A9288" s="10" t="n">
        <f aca="false">Einstellungen!$B$5+INT((ROW()-9)/24)</f>
        <v>46352</v>
      </c>
      <c r="B9288" s="11" t="n">
        <f aca="false">MOD(ROW()-9,24)</f>
        <v>15</v>
      </c>
      <c r="C9288" s="12"/>
      <c r="D9288" s="13" t="n">
        <f aca="false">IF(B9288&lt;5,Einstellungen!$B$3,Einstellungen!$B$4)</f>
        <v>29.13</v>
      </c>
      <c r="E9288" s="14" t="str">
        <f aca="false">IF(C9288="","",C9288*D9288/100)</f>
        <v/>
      </c>
      <c r="F9288" s="15" t="str">
        <f aca="false">IF(B9288&lt;5,"Go","Standard")</f>
        <v>Standard</v>
      </c>
    </row>
    <row r="9289" customFormat="false" ht="15" hidden="false" customHeight="true" outlineLevel="0" collapsed="false">
      <c r="A9289" s="10" t="n">
        <f aca="false">Einstellungen!$B$5+INT((ROW()-9)/24)</f>
        <v>46352</v>
      </c>
      <c r="B9289" s="11" t="n">
        <f aca="false">MOD(ROW()-9,24)</f>
        <v>16</v>
      </c>
      <c r="C9289" s="12"/>
      <c r="D9289" s="13" t="n">
        <f aca="false">IF(B9289&lt;5,Einstellungen!$B$3,Einstellungen!$B$4)</f>
        <v>29.13</v>
      </c>
      <c r="E9289" s="14" t="str">
        <f aca="false">IF(C9289="","",C9289*D9289/100)</f>
        <v/>
      </c>
      <c r="F9289" s="15" t="str">
        <f aca="false">IF(B9289&lt;5,"Go","Standard")</f>
        <v>Standard</v>
      </c>
    </row>
    <row r="9290" customFormat="false" ht="15" hidden="false" customHeight="true" outlineLevel="0" collapsed="false">
      <c r="A9290" s="10" t="n">
        <f aca="false">Einstellungen!$B$5+INT((ROW()-9)/24)</f>
        <v>46352</v>
      </c>
      <c r="B9290" s="11" t="n">
        <f aca="false">MOD(ROW()-9,24)</f>
        <v>17</v>
      </c>
      <c r="C9290" s="12"/>
      <c r="D9290" s="13" t="n">
        <f aca="false">IF(B9290&lt;5,Einstellungen!$B$3,Einstellungen!$B$4)</f>
        <v>29.13</v>
      </c>
      <c r="E9290" s="14" t="str">
        <f aca="false">IF(C9290="","",C9290*D9290/100)</f>
        <v/>
      </c>
      <c r="F9290" s="15" t="str">
        <f aca="false">IF(B9290&lt;5,"Go","Standard")</f>
        <v>Standard</v>
      </c>
    </row>
    <row r="9291" customFormat="false" ht="15" hidden="false" customHeight="true" outlineLevel="0" collapsed="false">
      <c r="A9291" s="10" t="n">
        <f aca="false">Einstellungen!$B$5+INT((ROW()-9)/24)</f>
        <v>46352</v>
      </c>
      <c r="B9291" s="11" t="n">
        <f aca="false">MOD(ROW()-9,24)</f>
        <v>18</v>
      </c>
      <c r="C9291" s="12"/>
      <c r="D9291" s="13" t="n">
        <f aca="false">IF(B9291&lt;5,Einstellungen!$B$3,Einstellungen!$B$4)</f>
        <v>29.13</v>
      </c>
      <c r="E9291" s="14" t="str">
        <f aca="false">IF(C9291="","",C9291*D9291/100)</f>
        <v/>
      </c>
      <c r="F9291" s="15" t="str">
        <f aca="false">IF(B9291&lt;5,"Go","Standard")</f>
        <v>Standard</v>
      </c>
    </row>
    <row r="9292" customFormat="false" ht="15" hidden="false" customHeight="true" outlineLevel="0" collapsed="false">
      <c r="A9292" s="10" t="n">
        <f aca="false">Einstellungen!$B$5+INT((ROW()-9)/24)</f>
        <v>46352</v>
      </c>
      <c r="B9292" s="11" t="n">
        <f aca="false">MOD(ROW()-9,24)</f>
        <v>19</v>
      </c>
      <c r="C9292" s="12"/>
      <c r="D9292" s="13" t="n">
        <f aca="false">IF(B9292&lt;5,Einstellungen!$B$3,Einstellungen!$B$4)</f>
        <v>29.13</v>
      </c>
      <c r="E9292" s="14" t="str">
        <f aca="false">IF(C9292="","",C9292*D9292/100)</f>
        <v/>
      </c>
      <c r="F9292" s="15" t="str">
        <f aca="false">IF(B9292&lt;5,"Go","Standard")</f>
        <v>Standard</v>
      </c>
    </row>
    <row r="9293" customFormat="false" ht="15" hidden="false" customHeight="true" outlineLevel="0" collapsed="false">
      <c r="A9293" s="10" t="n">
        <f aca="false">Einstellungen!$B$5+INT((ROW()-9)/24)</f>
        <v>46352</v>
      </c>
      <c r="B9293" s="11" t="n">
        <f aca="false">MOD(ROW()-9,24)</f>
        <v>20</v>
      </c>
      <c r="C9293" s="12"/>
      <c r="D9293" s="13" t="n">
        <f aca="false">IF(B9293&lt;5,Einstellungen!$B$3,Einstellungen!$B$4)</f>
        <v>29.13</v>
      </c>
      <c r="E9293" s="14" t="str">
        <f aca="false">IF(C9293="","",C9293*D9293/100)</f>
        <v/>
      </c>
      <c r="F9293" s="15" t="str">
        <f aca="false">IF(B9293&lt;5,"Go","Standard")</f>
        <v>Standard</v>
      </c>
    </row>
    <row r="9294" customFormat="false" ht="15" hidden="false" customHeight="true" outlineLevel="0" collapsed="false">
      <c r="A9294" s="10" t="n">
        <f aca="false">Einstellungen!$B$5+INT((ROW()-9)/24)</f>
        <v>46352</v>
      </c>
      <c r="B9294" s="11" t="n">
        <f aca="false">MOD(ROW()-9,24)</f>
        <v>21</v>
      </c>
      <c r="C9294" s="12"/>
      <c r="D9294" s="13" t="n">
        <f aca="false">IF(B9294&lt;5,Einstellungen!$B$3,Einstellungen!$B$4)</f>
        <v>29.13</v>
      </c>
      <c r="E9294" s="14" t="str">
        <f aca="false">IF(C9294="","",C9294*D9294/100)</f>
        <v/>
      </c>
      <c r="F9294" s="15" t="str">
        <f aca="false">IF(B9294&lt;5,"Go","Standard")</f>
        <v>Standard</v>
      </c>
    </row>
    <row r="9295" customFormat="false" ht="15" hidden="false" customHeight="true" outlineLevel="0" collapsed="false">
      <c r="A9295" s="10" t="n">
        <f aca="false">Einstellungen!$B$5+INT((ROW()-9)/24)</f>
        <v>46352</v>
      </c>
      <c r="B9295" s="11" t="n">
        <f aca="false">MOD(ROW()-9,24)</f>
        <v>22</v>
      </c>
      <c r="C9295" s="12"/>
      <c r="D9295" s="13" t="n">
        <f aca="false">IF(B9295&lt;5,Einstellungen!$B$3,Einstellungen!$B$4)</f>
        <v>29.13</v>
      </c>
      <c r="E9295" s="14" t="str">
        <f aca="false">IF(C9295="","",C9295*D9295/100)</f>
        <v/>
      </c>
      <c r="F9295" s="15" t="str">
        <f aca="false">IF(B9295&lt;5,"Go","Standard")</f>
        <v>Standard</v>
      </c>
    </row>
    <row r="9296" customFormat="false" ht="15" hidden="false" customHeight="true" outlineLevel="0" collapsed="false">
      <c r="A9296" s="10" t="n">
        <f aca="false">Einstellungen!$B$5+INT((ROW()-9)/24)</f>
        <v>46352</v>
      </c>
      <c r="B9296" s="11" t="n">
        <f aca="false">MOD(ROW()-9,24)</f>
        <v>23</v>
      </c>
      <c r="C9296" s="12"/>
      <c r="D9296" s="13" t="n">
        <f aca="false">IF(B9296&lt;5,Einstellungen!$B$3,Einstellungen!$B$4)</f>
        <v>29.13</v>
      </c>
      <c r="E9296" s="14" t="str">
        <f aca="false">IF(C9296="","",C9296*D9296/100)</f>
        <v/>
      </c>
      <c r="F9296" s="15" t="str">
        <f aca="false">IF(B9296&lt;5,"Go","Standard")</f>
        <v>Standard</v>
      </c>
    </row>
    <row r="9297" customFormat="false" ht="15" hidden="false" customHeight="true" outlineLevel="0" collapsed="false">
      <c r="A9297" s="10" t="n">
        <f aca="false">Einstellungen!$B$5+INT((ROW()-9)/24)</f>
        <v>46353</v>
      </c>
      <c r="B9297" s="11" t="n">
        <f aca="false">MOD(ROW()-9,24)</f>
        <v>0</v>
      </c>
      <c r="C9297" s="12"/>
      <c r="D9297" s="13" t="n">
        <f aca="false">IF(B9297&lt;5,Einstellungen!$B$3,Einstellungen!$B$4)</f>
        <v>15.92</v>
      </c>
      <c r="E9297" s="14" t="str">
        <f aca="false">IF(C9297="","",C9297*D9297/100)</f>
        <v/>
      </c>
      <c r="F9297" s="15" t="str">
        <f aca="false">IF(B9297&lt;5,"Go","Standard")</f>
        <v>Go</v>
      </c>
    </row>
    <row r="9298" customFormat="false" ht="15" hidden="false" customHeight="true" outlineLevel="0" collapsed="false">
      <c r="A9298" s="10" t="n">
        <f aca="false">Einstellungen!$B$5+INT((ROW()-9)/24)</f>
        <v>46353</v>
      </c>
      <c r="B9298" s="11" t="n">
        <f aca="false">MOD(ROW()-9,24)</f>
        <v>1</v>
      </c>
      <c r="C9298" s="12"/>
      <c r="D9298" s="13" t="n">
        <f aca="false">IF(B9298&lt;5,Einstellungen!$B$3,Einstellungen!$B$4)</f>
        <v>15.92</v>
      </c>
      <c r="E9298" s="14" t="str">
        <f aca="false">IF(C9298="","",C9298*D9298/100)</f>
        <v/>
      </c>
      <c r="F9298" s="15" t="str">
        <f aca="false">IF(B9298&lt;5,"Go","Standard")</f>
        <v>Go</v>
      </c>
    </row>
    <row r="9299" customFormat="false" ht="15" hidden="false" customHeight="true" outlineLevel="0" collapsed="false">
      <c r="A9299" s="10" t="n">
        <f aca="false">Einstellungen!$B$5+INT((ROW()-9)/24)</f>
        <v>46353</v>
      </c>
      <c r="B9299" s="11" t="n">
        <f aca="false">MOD(ROW()-9,24)</f>
        <v>2</v>
      </c>
      <c r="C9299" s="12"/>
      <c r="D9299" s="13" t="n">
        <f aca="false">IF(B9299&lt;5,Einstellungen!$B$3,Einstellungen!$B$4)</f>
        <v>15.92</v>
      </c>
      <c r="E9299" s="14" t="str">
        <f aca="false">IF(C9299="","",C9299*D9299/100)</f>
        <v/>
      </c>
      <c r="F9299" s="15" t="str">
        <f aca="false">IF(B9299&lt;5,"Go","Standard")</f>
        <v>Go</v>
      </c>
    </row>
    <row r="9300" customFormat="false" ht="15" hidden="false" customHeight="true" outlineLevel="0" collapsed="false">
      <c r="A9300" s="10" t="n">
        <f aca="false">Einstellungen!$B$5+INT((ROW()-9)/24)</f>
        <v>46353</v>
      </c>
      <c r="B9300" s="11" t="n">
        <f aca="false">MOD(ROW()-9,24)</f>
        <v>3</v>
      </c>
      <c r="C9300" s="12"/>
      <c r="D9300" s="13" t="n">
        <f aca="false">IF(B9300&lt;5,Einstellungen!$B$3,Einstellungen!$B$4)</f>
        <v>15.92</v>
      </c>
      <c r="E9300" s="14" t="str">
        <f aca="false">IF(C9300="","",C9300*D9300/100)</f>
        <v/>
      </c>
      <c r="F9300" s="15" t="str">
        <f aca="false">IF(B9300&lt;5,"Go","Standard")</f>
        <v>Go</v>
      </c>
    </row>
    <row r="9301" customFormat="false" ht="15" hidden="false" customHeight="true" outlineLevel="0" collapsed="false">
      <c r="A9301" s="10" t="n">
        <f aca="false">Einstellungen!$B$5+INT((ROW()-9)/24)</f>
        <v>46353</v>
      </c>
      <c r="B9301" s="11" t="n">
        <f aca="false">MOD(ROW()-9,24)</f>
        <v>4</v>
      </c>
      <c r="C9301" s="12"/>
      <c r="D9301" s="13" t="n">
        <f aca="false">IF(B9301&lt;5,Einstellungen!$B$3,Einstellungen!$B$4)</f>
        <v>15.92</v>
      </c>
      <c r="E9301" s="14" t="str">
        <f aca="false">IF(C9301="","",C9301*D9301/100)</f>
        <v/>
      </c>
      <c r="F9301" s="15" t="str">
        <f aca="false">IF(B9301&lt;5,"Go","Standard")</f>
        <v>Go</v>
      </c>
    </row>
    <row r="9302" customFormat="false" ht="15" hidden="false" customHeight="true" outlineLevel="0" collapsed="false">
      <c r="A9302" s="10" t="n">
        <f aca="false">Einstellungen!$B$5+INT((ROW()-9)/24)</f>
        <v>46353</v>
      </c>
      <c r="B9302" s="11" t="n">
        <f aca="false">MOD(ROW()-9,24)</f>
        <v>5</v>
      </c>
      <c r="C9302" s="12"/>
      <c r="D9302" s="13" t="n">
        <f aca="false">IF(B9302&lt;5,Einstellungen!$B$3,Einstellungen!$B$4)</f>
        <v>29.13</v>
      </c>
      <c r="E9302" s="14" t="str">
        <f aca="false">IF(C9302="","",C9302*D9302/100)</f>
        <v/>
      </c>
      <c r="F9302" s="15" t="str">
        <f aca="false">IF(B9302&lt;5,"Go","Standard")</f>
        <v>Standard</v>
      </c>
    </row>
    <row r="9303" customFormat="false" ht="15" hidden="false" customHeight="true" outlineLevel="0" collapsed="false">
      <c r="A9303" s="10" t="n">
        <f aca="false">Einstellungen!$B$5+INT((ROW()-9)/24)</f>
        <v>46353</v>
      </c>
      <c r="B9303" s="11" t="n">
        <f aca="false">MOD(ROW()-9,24)</f>
        <v>6</v>
      </c>
      <c r="C9303" s="12"/>
      <c r="D9303" s="13" t="n">
        <f aca="false">IF(B9303&lt;5,Einstellungen!$B$3,Einstellungen!$B$4)</f>
        <v>29.13</v>
      </c>
      <c r="E9303" s="14" t="str">
        <f aca="false">IF(C9303="","",C9303*D9303/100)</f>
        <v/>
      </c>
      <c r="F9303" s="15" t="str">
        <f aca="false">IF(B9303&lt;5,"Go","Standard")</f>
        <v>Standard</v>
      </c>
    </row>
    <row r="9304" customFormat="false" ht="15" hidden="false" customHeight="true" outlineLevel="0" collapsed="false">
      <c r="A9304" s="10" t="n">
        <f aca="false">Einstellungen!$B$5+INT((ROW()-9)/24)</f>
        <v>46353</v>
      </c>
      <c r="B9304" s="11" t="n">
        <f aca="false">MOD(ROW()-9,24)</f>
        <v>7</v>
      </c>
      <c r="C9304" s="12"/>
      <c r="D9304" s="13" t="n">
        <f aca="false">IF(B9304&lt;5,Einstellungen!$B$3,Einstellungen!$B$4)</f>
        <v>29.13</v>
      </c>
      <c r="E9304" s="14" t="str">
        <f aca="false">IF(C9304="","",C9304*D9304/100)</f>
        <v/>
      </c>
      <c r="F9304" s="15" t="str">
        <f aca="false">IF(B9304&lt;5,"Go","Standard")</f>
        <v>Standard</v>
      </c>
    </row>
    <row r="9305" customFormat="false" ht="15" hidden="false" customHeight="true" outlineLevel="0" collapsed="false">
      <c r="A9305" s="10" t="n">
        <f aca="false">Einstellungen!$B$5+INT((ROW()-9)/24)</f>
        <v>46353</v>
      </c>
      <c r="B9305" s="11" t="n">
        <f aca="false">MOD(ROW()-9,24)</f>
        <v>8</v>
      </c>
      <c r="C9305" s="12"/>
      <c r="D9305" s="13" t="n">
        <f aca="false">IF(B9305&lt;5,Einstellungen!$B$3,Einstellungen!$B$4)</f>
        <v>29.13</v>
      </c>
      <c r="E9305" s="14" t="str">
        <f aca="false">IF(C9305="","",C9305*D9305/100)</f>
        <v/>
      </c>
      <c r="F9305" s="15" t="str">
        <f aca="false">IF(B9305&lt;5,"Go","Standard")</f>
        <v>Standard</v>
      </c>
    </row>
    <row r="9306" customFormat="false" ht="15" hidden="false" customHeight="true" outlineLevel="0" collapsed="false">
      <c r="A9306" s="10" t="n">
        <f aca="false">Einstellungen!$B$5+INT((ROW()-9)/24)</f>
        <v>46353</v>
      </c>
      <c r="B9306" s="11" t="n">
        <f aca="false">MOD(ROW()-9,24)</f>
        <v>9</v>
      </c>
      <c r="C9306" s="12"/>
      <c r="D9306" s="13" t="n">
        <f aca="false">IF(B9306&lt;5,Einstellungen!$B$3,Einstellungen!$B$4)</f>
        <v>29.13</v>
      </c>
      <c r="E9306" s="14" t="str">
        <f aca="false">IF(C9306="","",C9306*D9306/100)</f>
        <v/>
      </c>
      <c r="F9306" s="15" t="str">
        <f aca="false">IF(B9306&lt;5,"Go","Standard")</f>
        <v>Standard</v>
      </c>
    </row>
    <row r="9307" customFormat="false" ht="15" hidden="false" customHeight="true" outlineLevel="0" collapsed="false">
      <c r="A9307" s="10" t="n">
        <f aca="false">Einstellungen!$B$5+INT((ROW()-9)/24)</f>
        <v>46353</v>
      </c>
      <c r="B9307" s="11" t="n">
        <f aca="false">MOD(ROW()-9,24)</f>
        <v>10</v>
      </c>
      <c r="C9307" s="12"/>
      <c r="D9307" s="13" t="n">
        <f aca="false">IF(B9307&lt;5,Einstellungen!$B$3,Einstellungen!$B$4)</f>
        <v>29.13</v>
      </c>
      <c r="E9307" s="14" t="str">
        <f aca="false">IF(C9307="","",C9307*D9307/100)</f>
        <v/>
      </c>
      <c r="F9307" s="15" t="str">
        <f aca="false">IF(B9307&lt;5,"Go","Standard")</f>
        <v>Standard</v>
      </c>
    </row>
    <row r="9308" customFormat="false" ht="15" hidden="false" customHeight="true" outlineLevel="0" collapsed="false">
      <c r="A9308" s="10" t="n">
        <f aca="false">Einstellungen!$B$5+INT((ROW()-9)/24)</f>
        <v>46353</v>
      </c>
      <c r="B9308" s="11" t="n">
        <f aca="false">MOD(ROW()-9,24)</f>
        <v>11</v>
      </c>
      <c r="C9308" s="12"/>
      <c r="D9308" s="13" t="n">
        <f aca="false">IF(B9308&lt;5,Einstellungen!$B$3,Einstellungen!$B$4)</f>
        <v>29.13</v>
      </c>
      <c r="E9308" s="14" t="str">
        <f aca="false">IF(C9308="","",C9308*D9308/100)</f>
        <v/>
      </c>
      <c r="F9308" s="15" t="str">
        <f aca="false">IF(B9308&lt;5,"Go","Standard")</f>
        <v>Standard</v>
      </c>
    </row>
    <row r="9309" customFormat="false" ht="15" hidden="false" customHeight="true" outlineLevel="0" collapsed="false">
      <c r="A9309" s="10" t="n">
        <f aca="false">Einstellungen!$B$5+INT((ROW()-9)/24)</f>
        <v>46353</v>
      </c>
      <c r="B9309" s="11" t="n">
        <f aca="false">MOD(ROW()-9,24)</f>
        <v>12</v>
      </c>
      <c r="C9309" s="12"/>
      <c r="D9309" s="13" t="n">
        <f aca="false">IF(B9309&lt;5,Einstellungen!$B$3,Einstellungen!$B$4)</f>
        <v>29.13</v>
      </c>
      <c r="E9309" s="14" t="str">
        <f aca="false">IF(C9309="","",C9309*D9309/100)</f>
        <v/>
      </c>
      <c r="F9309" s="15" t="str">
        <f aca="false">IF(B9309&lt;5,"Go","Standard")</f>
        <v>Standard</v>
      </c>
    </row>
    <row r="9310" customFormat="false" ht="15" hidden="false" customHeight="true" outlineLevel="0" collapsed="false">
      <c r="A9310" s="10" t="n">
        <f aca="false">Einstellungen!$B$5+INT((ROW()-9)/24)</f>
        <v>46353</v>
      </c>
      <c r="B9310" s="11" t="n">
        <f aca="false">MOD(ROW()-9,24)</f>
        <v>13</v>
      </c>
      <c r="C9310" s="12"/>
      <c r="D9310" s="13" t="n">
        <f aca="false">IF(B9310&lt;5,Einstellungen!$B$3,Einstellungen!$B$4)</f>
        <v>29.13</v>
      </c>
      <c r="E9310" s="14" t="str">
        <f aca="false">IF(C9310="","",C9310*D9310/100)</f>
        <v/>
      </c>
      <c r="F9310" s="15" t="str">
        <f aca="false">IF(B9310&lt;5,"Go","Standard")</f>
        <v>Standard</v>
      </c>
    </row>
    <row r="9311" customFormat="false" ht="15" hidden="false" customHeight="true" outlineLevel="0" collapsed="false">
      <c r="A9311" s="10" t="n">
        <f aca="false">Einstellungen!$B$5+INT((ROW()-9)/24)</f>
        <v>46353</v>
      </c>
      <c r="B9311" s="11" t="n">
        <f aca="false">MOD(ROW()-9,24)</f>
        <v>14</v>
      </c>
      <c r="C9311" s="12"/>
      <c r="D9311" s="13" t="n">
        <f aca="false">IF(B9311&lt;5,Einstellungen!$B$3,Einstellungen!$B$4)</f>
        <v>29.13</v>
      </c>
      <c r="E9311" s="14" t="str">
        <f aca="false">IF(C9311="","",C9311*D9311/100)</f>
        <v/>
      </c>
      <c r="F9311" s="15" t="str">
        <f aca="false">IF(B9311&lt;5,"Go","Standard")</f>
        <v>Standard</v>
      </c>
    </row>
    <row r="9312" customFormat="false" ht="15" hidden="false" customHeight="true" outlineLevel="0" collapsed="false">
      <c r="A9312" s="10" t="n">
        <f aca="false">Einstellungen!$B$5+INT((ROW()-9)/24)</f>
        <v>46353</v>
      </c>
      <c r="B9312" s="11" t="n">
        <f aca="false">MOD(ROW()-9,24)</f>
        <v>15</v>
      </c>
      <c r="C9312" s="12"/>
      <c r="D9312" s="13" t="n">
        <f aca="false">IF(B9312&lt;5,Einstellungen!$B$3,Einstellungen!$B$4)</f>
        <v>29.13</v>
      </c>
      <c r="E9312" s="14" t="str">
        <f aca="false">IF(C9312="","",C9312*D9312/100)</f>
        <v/>
      </c>
      <c r="F9312" s="15" t="str">
        <f aca="false">IF(B9312&lt;5,"Go","Standard")</f>
        <v>Standard</v>
      </c>
    </row>
    <row r="9313" customFormat="false" ht="15" hidden="false" customHeight="true" outlineLevel="0" collapsed="false">
      <c r="A9313" s="10" t="n">
        <f aca="false">Einstellungen!$B$5+INT((ROW()-9)/24)</f>
        <v>46353</v>
      </c>
      <c r="B9313" s="11" t="n">
        <f aca="false">MOD(ROW()-9,24)</f>
        <v>16</v>
      </c>
      <c r="C9313" s="12"/>
      <c r="D9313" s="13" t="n">
        <f aca="false">IF(B9313&lt;5,Einstellungen!$B$3,Einstellungen!$B$4)</f>
        <v>29.13</v>
      </c>
      <c r="E9313" s="14" t="str">
        <f aca="false">IF(C9313="","",C9313*D9313/100)</f>
        <v/>
      </c>
      <c r="F9313" s="15" t="str">
        <f aca="false">IF(B9313&lt;5,"Go","Standard")</f>
        <v>Standard</v>
      </c>
    </row>
    <row r="9314" customFormat="false" ht="15" hidden="false" customHeight="true" outlineLevel="0" collapsed="false">
      <c r="A9314" s="10" t="n">
        <f aca="false">Einstellungen!$B$5+INT((ROW()-9)/24)</f>
        <v>46353</v>
      </c>
      <c r="B9314" s="11" t="n">
        <f aca="false">MOD(ROW()-9,24)</f>
        <v>17</v>
      </c>
      <c r="C9314" s="12"/>
      <c r="D9314" s="13" t="n">
        <f aca="false">IF(B9314&lt;5,Einstellungen!$B$3,Einstellungen!$B$4)</f>
        <v>29.13</v>
      </c>
      <c r="E9314" s="14" t="str">
        <f aca="false">IF(C9314="","",C9314*D9314/100)</f>
        <v/>
      </c>
      <c r="F9314" s="15" t="str">
        <f aca="false">IF(B9314&lt;5,"Go","Standard")</f>
        <v>Standard</v>
      </c>
    </row>
    <row r="9315" customFormat="false" ht="15" hidden="false" customHeight="true" outlineLevel="0" collapsed="false">
      <c r="A9315" s="10" t="n">
        <f aca="false">Einstellungen!$B$5+INT((ROW()-9)/24)</f>
        <v>46353</v>
      </c>
      <c r="B9315" s="11" t="n">
        <f aca="false">MOD(ROW()-9,24)</f>
        <v>18</v>
      </c>
      <c r="C9315" s="12"/>
      <c r="D9315" s="13" t="n">
        <f aca="false">IF(B9315&lt;5,Einstellungen!$B$3,Einstellungen!$B$4)</f>
        <v>29.13</v>
      </c>
      <c r="E9315" s="14" t="str">
        <f aca="false">IF(C9315="","",C9315*D9315/100)</f>
        <v/>
      </c>
      <c r="F9315" s="15" t="str">
        <f aca="false">IF(B9315&lt;5,"Go","Standard")</f>
        <v>Standard</v>
      </c>
    </row>
    <row r="9316" customFormat="false" ht="15" hidden="false" customHeight="true" outlineLevel="0" collapsed="false">
      <c r="A9316" s="10" t="n">
        <f aca="false">Einstellungen!$B$5+INT((ROW()-9)/24)</f>
        <v>46353</v>
      </c>
      <c r="B9316" s="11" t="n">
        <f aca="false">MOD(ROW()-9,24)</f>
        <v>19</v>
      </c>
      <c r="C9316" s="12"/>
      <c r="D9316" s="13" t="n">
        <f aca="false">IF(B9316&lt;5,Einstellungen!$B$3,Einstellungen!$B$4)</f>
        <v>29.13</v>
      </c>
      <c r="E9316" s="14" t="str">
        <f aca="false">IF(C9316="","",C9316*D9316/100)</f>
        <v/>
      </c>
      <c r="F9316" s="15" t="str">
        <f aca="false">IF(B9316&lt;5,"Go","Standard")</f>
        <v>Standard</v>
      </c>
    </row>
    <row r="9317" customFormat="false" ht="15" hidden="false" customHeight="true" outlineLevel="0" collapsed="false">
      <c r="A9317" s="10" t="n">
        <f aca="false">Einstellungen!$B$5+INT((ROW()-9)/24)</f>
        <v>46353</v>
      </c>
      <c r="B9317" s="11" t="n">
        <f aca="false">MOD(ROW()-9,24)</f>
        <v>20</v>
      </c>
      <c r="C9317" s="12"/>
      <c r="D9317" s="13" t="n">
        <f aca="false">IF(B9317&lt;5,Einstellungen!$B$3,Einstellungen!$B$4)</f>
        <v>29.13</v>
      </c>
      <c r="E9317" s="14" t="str">
        <f aca="false">IF(C9317="","",C9317*D9317/100)</f>
        <v/>
      </c>
      <c r="F9317" s="15" t="str">
        <f aca="false">IF(B9317&lt;5,"Go","Standard")</f>
        <v>Standard</v>
      </c>
    </row>
    <row r="9318" customFormat="false" ht="15" hidden="false" customHeight="true" outlineLevel="0" collapsed="false">
      <c r="A9318" s="10" t="n">
        <f aca="false">Einstellungen!$B$5+INT((ROW()-9)/24)</f>
        <v>46353</v>
      </c>
      <c r="B9318" s="11" t="n">
        <f aca="false">MOD(ROW()-9,24)</f>
        <v>21</v>
      </c>
      <c r="C9318" s="12"/>
      <c r="D9318" s="13" t="n">
        <f aca="false">IF(B9318&lt;5,Einstellungen!$B$3,Einstellungen!$B$4)</f>
        <v>29.13</v>
      </c>
      <c r="E9318" s="14" t="str">
        <f aca="false">IF(C9318="","",C9318*D9318/100)</f>
        <v/>
      </c>
      <c r="F9318" s="15" t="str">
        <f aca="false">IF(B9318&lt;5,"Go","Standard")</f>
        <v>Standard</v>
      </c>
    </row>
    <row r="9319" customFormat="false" ht="15" hidden="false" customHeight="true" outlineLevel="0" collapsed="false">
      <c r="A9319" s="10" t="n">
        <f aca="false">Einstellungen!$B$5+INT((ROW()-9)/24)</f>
        <v>46353</v>
      </c>
      <c r="B9319" s="11" t="n">
        <f aca="false">MOD(ROW()-9,24)</f>
        <v>22</v>
      </c>
      <c r="C9319" s="12"/>
      <c r="D9319" s="13" t="n">
        <f aca="false">IF(B9319&lt;5,Einstellungen!$B$3,Einstellungen!$B$4)</f>
        <v>29.13</v>
      </c>
      <c r="E9319" s="14" t="str">
        <f aca="false">IF(C9319="","",C9319*D9319/100)</f>
        <v/>
      </c>
      <c r="F9319" s="15" t="str">
        <f aca="false">IF(B9319&lt;5,"Go","Standard")</f>
        <v>Standard</v>
      </c>
    </row>
    <row r="9320" customFormat="false" ht="15" hidden="false" customHeight="true" outlineLevel="0" collapsed="false">
      <c r="A9320" s="10" t="n">
        <f aca="false">Einstellungen!$B$5+INT((ROW()-9)/24)</f>
        <v>46353</v>
      </c>
      <c r="B9320" s="11" t="n">
        <f aca="false">MOD(ROW()-9,24)</f>
        <v>23</v>
      </c>
      <c r="C9320" s="12"/>
      <c r="D9320" s="13" t="n">
        <f aca="false">IF(B9320&lt;5,Einstellungen!$B$3,Einstellungen!$B$4)</f>
        <v>29.13</v>
      </c>
      <c r="E9320" s="14" t="str">
        <f aca="false">IF(C9320="","",C9320*D9320/100)</f>
        <v/>
      </c>
      <c r="F9320" s="15" t="str">
        <f aca="false">IF(B9320&lt;5,"Go","Standard")</f>
        <v>Standard</v>
      </c>
    </row>
    <row r="9321" customFormat="false" ht="15" hidden="false" customHeight="true" outlineLevel="0" collapsed="false">
      <c r="A9321" s="10" t="n">
        <f aca="false">Einstellungen!$B$5+INT((ROW()-9)/24)</f>
        <v>46354</v>
      </c>
      <c r="B9321" s="11" t="n">
        <f aca="false">MOD(ROW()-9,24)</f>
        <v>0</v>
      </c>
      <c r="C9321" s="12"/>
      <c r="D9321" s="13" t="n">
        <f aca="false">IF(B9321&lt;5,Einstellungen!$B$3,Einstellungen!$B$4)</f>
        <v>15.92</v>
      </c>
      <c r="E9321" s="14" t="str">
        <f aca="false">IF(C9321="","",C9321*D9321/100)</f>
        <v/>
      </c>
      <c r="F9321" s="15" t="str">
        <f aca="false">IF(B9321&lt;5,"Go","Standard")</f>
        <v>Go</v>
      </c>
    </row>
    <row r="9322" customFormat="false" ht="15" hidden="false" customHeight="true" outlineLevel="0" collapsed="false">
      <c r="A9322" s="10" t="n">
        <f aca="false">Einstellungen!$B$5+INT((ROW()-9)/24)</f>
        <v>46354</v>
      </c>
      <c r="B9322" s="11" t="n">
        <f aca="false">MOD(ROW()-9,24)</f>
        <v>1</v>
      </c>
      <c r="C9322" s="12"/>
      <c r="D9322" s="13" t="n">
        <f aca="false">IF(B9322&lt;5,Einstellungen!$B$3,Einstellungen!$B$4)</f>
        <v>15.92</v>
      </c>
      <c r="E9322" s="14" t="str">
        <f aca="false">IF(C9322="","",C9322*D9322/100)</f>
        <v/>
      </c>
      <c r="F9322" s="15" t="str">
        <f aca="false">IF(B9322&lt;5,"Go","Standard")</f>
        <v>Go</v>
      </c>
    </row>
    <row r="9323" customFormat="false" ht="15" hidden="false" customHeight="true" outlineLevel="0" collapsed="false">
      <c r="A9323" s="10" t="n">
        <f aca="false">Einstellungen!$B$5+INT((ROW()-9)/24)</f>
        <v>46354</v>
      </c>
      <c r="B9323" s="11" t="n">
        <f aca="false">MOD(ROW()-9,24)</f>
        <v>2</v>
      </c>
      <c r="C9323" s="12"/>
      <c r="D9323" s="13" t="n">
        <f aca="false">IF(B9323&lt;5,Einstellungen!$B$3,Einstellungen!$B$4)</f>
        <v>15.92</v>
      </c>
      <c r="E9323" s="14" t="str">
        <f aca="false">IF(C9323="","",C9323*D9323/100)</f>
        <v/>
      </c>
      <c r="F9323" s="15" t="str">
        <f aca="false">IF(B9323&lt;5,"Go","Standard")</f>
        <v>Go</v>
      </c>
    </row>
    <row r="9324" customFormat="false" ht="15" hidden="false" customHeight="true" outlineLevel="0" collapsed="false">
      <c r="A9324" s="10" t="n">
        <f aca="false">Einstellungen!$B$5+INT((ROW()-9)/24)</f>
        <v>46354</v>
      </c>
      <c r="B9324" s="11" t="n">
        <f aca="false">MOD(ROW()-9,24)</f>
        <v>3</v>
      </c>
      <c r="C9324" s="12"/>
      <c r="D9324" s="13" t="n">
        <f aca="false">IF(B9324&lt;5,Einstellungen!$B$3,Einstellungen!$B$4)</f>
        <v>15.92</v>
      </c>
      <c r="E9324" s="14" t="str">
        <f aca="false">IF(C9324="","",C9324*D9324/100)</f>
        <v/>
      </c>
      <c r="F9324" s="15" t="str">
        <f aca="false">IF(B9324&lt;5,"Go","Standard")</f>
        <v>Go</v>
      </c>
    </row>
    <row r="9325" customFormat="false" ht="15" hidden="false" customHeight="true" outlineLevel="0" collapsed="false">
      <c r="A9325" s="10" t="n">
        <f aca="false">Einstellungen!$B$5+INT((ROW()-9)/24)</f>
        <v>46354</v>
      </c>
      <c r="B9325" s="11" t="n">
        <f aca="false">MOD(ROW()-9,24)</f>
        <v>4</v>
      </c>
      <c r="C9325" s="12"/>
      <c r="D9325" s="13" t="n">
        <f aca="false">IF(B9325&lt;5,Einstellungen!$B$3,Einstellungen!$B$4)</f>
        <v>15.92</v>
      </c>
      <c r="E9325" s="14" t="str">
        <f aca="false">IF(C9325="","",C9325*D9325/100)</f>
        <v/>
      </c>
      <c r="F9325" s="15" t="str">
        <f aca="false">IF(B9325&lt;5,"Go","Standard")</f>
        <v>Go</v>
      </c>
    </row>
    <row r="9326" customFormat="false" ht="15" hidden="false" customHeight="true" outlineLevel="0" collapsed="false">
      <c r="A9326" s="10" t="n">
        <f aca="false">Einstellungen!$B$5+INT((ROW()-9)/24)</f>
        <v>46354</v>
      </c>
      <c r="B9326" s="11" t="n">
        <f aca="false">MOD(ROW()-9,24)</f>
        <v>5</v>
      </c>
      <c r="C9326" s="12"/>
      <c r="D9326" s="13" t="n">
        <f aca="false">IF(B9326&lt;5,Einstellungen!$B$3,Einstellungen!$B$4)</f>
        <v>29.13</v>
      </c>
      <c r="E9326" s="14" t="str">
        <f aca="false">IF(C9326="","",C9326*D9326/100)</f>
        <v/>
      </c>
      <c r="F9326" s="15" t="str">
        <f aca="false">IF(B9326&lt;5,"Go","Standard")</f>
        <v>Standard</v>
      </c>
    </row>
    <row r="9327" customFormat="false" ht="15" hidden="false" customHeight="true" outlineLevel="0" collapsed="false">
      <c r="A9327" s="10" t="n">
        <f aca="false">Einstellungen!$B$5+INT((ROW()-9)/24)</f>
        <v>46354</v>
      </c>
      <c r="B9327" s="11" t="n">
        <f aca="false">MOD(ROW()-9,24)</f>
        <v>6</v>
      </c>
      <c r="C9327" s="12"/>
      <c r="D9327" s="13" t="n">
        <f aca="false">IF(B9327&lt;5,Einstellungen!$B$3,Einstellungen!$B$4)</f>
        <v>29.13</v>
      </c>
      <c r="E9327" s="14" t="str">
        <f aca="false">IF(C9327="","",C9327*D9327/100)</f>
        <v/>
      </c>
      <c r="F9327" s="15" t="str">
        <f aca="false">IF(B9327&lt;5,"Go","Standard")</f>
        <v>Standard</v>
      </c>
    </row>
    <row r="9328" customFormat="false" ht="15" hidden="false" customHeight="true" outlineLevel="0" collapsed="false">
      <c r="A9328" s="10" t="n">
        <f aca="false">Einstellungen!$B$5+INT((ROW()-9)/24)</f>
        <v>46354</v>
      </c>
      <c r="B9328" s="11" t="n">
        <f aca="false">MOD(ROW()-9,24)</f>
        <v>7</v>
      </c>
      <c r="C9328" s="12"/>
      <c r="D9328" s="13" t="n">
        <f aca="false">IF(B9328&lt;5,Einstellungen!$B$3,Einstellungen!$B$4)</f>
        <v>29.13</v>
      </c>
      <c r="E9328" s="14" t="str">
        <f aca="false">IF(C9328="","",C9328*D9328/100)</f>
        <v/>
      </c>
      <c r="F9328" s="15" t="str">
        <f aca="false">IF(B9328&lt;5,"Go","Standard")</f>
        <v>Standard</v>
      </c>
    </row>
    <row r="9329" customFormat="false" ht="15" hidden="false" customHeight="true" outlineLevel="0" collapsed="false">
      <c r="A9329" s="10" t="n">
        <f aca="false">Einstellungen!$B$5+INT((ROW()-9)/24)</f>
        <v>46354</v>
      </c>
      <c r="B9329" s="11" t="n">
        <f aca="false">MOD(ROW()-9,24)</f>
        <v>8</v>
      </c>
      <c r="C9329" s="12"/>
      <c r="D9329" s="13" t="n">
        <f aca="false">IF(B9329&lt;5,Einstellungen!$B$3,Einstellungen!$B$4)</f>
        <v>29.13</v>
      </c>
      <c r="E9329" s="14" t="str">
        <f aca="false">IF(C9329="","",C9329*D9329/100)</f>
        <v/>
      </c>
      <c r="F9329" s="15" t="str">
        <f aca="false">IF(B9329&lt;5,"Go","Standard")</f>
        <v>Standard</v>
      </c>
    </row>
    <row r="9330" customFormat="false" ht="15" hidden="false" customHeight="true" outlineLevel="0" collapsed="false">
      <c r="A9330" s="10" t="n">
        <f aca="false">Einstellungen!$B$5+INT((ROW()-9)/24)</f>
        <v>46354</v>
      </c>
      <c r="B9330" s="11" t="n">
        <f aca="false">MOD(ROW()-9,24)</f>
        <v>9</v>
      </c>
      <c r="C9330" s="12"/>
      <c r="D9330" s="13" t="n">
        <f aca="false">IF(B9330&lt;5,Einstellungen!$B$3,Einstellungen!$B$4)</f>
        <v>29.13</v>
      </c>
      <c r="E9330" s="14" t="str">
        <f aca="false">IF(C9330="","",C9330*D9330/100)</f>
        <v/>
      </c>
      <c r="F9330" s="15" t="str">
        <f aca="false">IF(B9330&lt;5,"Go","Standard")</f>
        <v>Standard</v>
      </c>
    </row>
    <row r="9331" customFormat="false" ht="15" hidden="false" customHeight="true" outlineLevel="0" collapsed="false">
      <c r="A9331" s="10" t="n">
        <f aca="false">Einstellungen!$B$5+INT((ROW()-9)/24)</f>
        <v>46354</v>
      </c>
      <c r="B9331" s="11" t="n">
        <f aca="false">MOD(ROW()-9,24)</f>
        <v>10</v>
      </c>
      <c r="C9331" s="12"/>
      <c r="D9331" s="13" t="n">
        <f aca="false">IF(B9331&lt;5,Einstellungen!$B$3,Einstellungen!$B$4)</f>
        <v>29.13</v>
      </c>
      <c r="E9331" s="14" t="str">
        <f aca="false">IF(C9331="","",C9331*D9331/100)</f>
        <v/>
      </c>
      <c r="F9331" s="15" t="str">
        <f aca="false">IF(B9331&lt;5,"Go","Standard")</f>
        <v>Standard</v>
      </c>
    </row>
    <row r="9332" customFormat="false" ht="15" hidden="false" customHeight="true" outlineLevel="0" collapsed="false">
      <c r="A9332" s="10" t="n">
        <f aca="false">Einstellungen!$B$5+INT((ROW()-9)/24)</f>
        <v>46354</v>
      </c>
      <c r="B9332" s="11" t="n">
        <f aca="false">MOD(ROW()-9,24)</f>
        <v>11</v>
      </c>
      <c r="C9332" s="12"/>
      <c r="D9332" s="13" t="n">
        <f aca="false">IF(B9332&lt;5,Einstellungen!$B$3,Einstellungen!$B$4)</f>
        <v>29.13</v>
      </c>
      <c r="E9332" s="14" t="str">
        <f aca="false">IF(C9332="","",C9332*D9332/100)</f>
        <v/>
      </c>
      <c r="F9332" s="15" t="str">
        <f aca="false">IF(B9332&lt;5,"Go","Standard")</f>
        <v>Standard</v>
      </c>
    </row>
    <row r="9333" customFormat="false" ht="15" hidden="false" customHeight="true" outlineLevel="0" collapsed="false">
      <c r="A9333" s="10" t="n">
        <f aca="false">Einstellungen!$B$5+INT((ROW()-9)/24)</f>
        <v>46354</v>
      </c>
      <c r="B9333" s="11" t="n">
        <f aca="false">MOD(ROW()-9,24)</f>
        <v>12</v>
      </c>
      <c r="C9333" s="12"/>
      <c r="D9333" s="13" t="n">
        <f aca="false">IF(B9333&lt;5,Einstellungen!$B$3,Einstellungen!$B$4)</f>
        <v>29.13</v>
      </c>
      <c r="E9333" s="14" t="str">
        <f aca="false">IF(C9333="","",C9333*D9333/100)</f>
        <v/>
      </c>
      <c r="F9333" s="15" t="str">
        <f aca="false">IF(B9333&lt;5,"Go","Standard")</f>
        <v>Standard</v>
      </c>
    </row>
    <row r="9334" customFormat="false" ht="15" hidden="false" customHeight="true" outlineLevel="0" collapsed="false">
      <c r="A9334" s="10" t="n">
        <f aca="false">Einstellungen!$B$5+INT((ROW()-9)/24)</f>
        <v>46354</v>
      </c>
      <c r="B9334" s="11" t="n">
        <f aca="false">MOD(ROW()-9,24)</f>
        <v>13</v>
      </c>
      <c r="C9334" s="12"/>
      <c r="D9334" s="13" t="n">
        <f aca="false">IF(B9334&lt;5,Einstellungen!$B$3,Einstellungen!$B$4)</f>
        <v>29.13</v>
      </c>
      <c r="E9334" s="14" t="str">
        <f aca="false">IF(C9334="","",C9334*D9334/100)</f>
        <v/>
      </c>
      <c r="F9334" s="15" t="str">
        <f aca="false">IF(B9334&lt;5,"Go","Standard")</f>
        <v>Standard</v>
      </c>
    </row>
    <row r="9335" customFormat="false" ht="15" hidden="false" customHeight="true" outlineLevel="0" collapsed="false">
      <c r="A9335" s="10" t="n">
        <f aca="false">Einstellungen!$B$5+INT((ROW()-9)/24)</f>
        <v>46354</v>
      </c>
      <c r="B9335" s="11" t="n">
        <f aca="false">MOD(ROW()-9,24)</f>
        <v>14</v>
      </c>
      <c r="C9335" s="12"/>
      <c r="D9335" s="13" t="n">
        <f aca="false">IF(B9335&lt;5,Einstellungen!$B$3,Einstellungen!$B$4)</f>
        <v>29.13</v>
      </c>
      <c r="E9335" s="14" t="str">
        <f aca="false">IF(C9335="","",C9335*D9335/100)</f>
        <v/>
      </c>
      <c r="F9335" s="15" t="str">
        <f aca="false">IF(B9335&lt;5,"Go","Standard")</f>
        <v>Standard</v>
      </c>
    </row>
    <row r="9336" customFormat="false" ht="15" hidden="false" customHeight="true" outlineLevel="0" collapsed="false">
      <c r="A9336" s="10" t="n">
        <f aca="false">Einstellungen!$B$5+INT((ROW()-9)/24)</f>
        <v>46354</v>
      </c>
      <c r="B9336" s="11" t="n">
        <f aca="false">MOD(ROW()-9,24)</f>
        <v>15</v>
      </c>
      <c r="C9336" s="12"/>
      <c r="D9336" s="13" t="n">
        <f aca="false">IF(B9336&lt;5,Einstellungen!$B$3,Einstellungen!$B$4)</f>
        <v>29.13</v>
      </c>
      <c r="E9336" s="14" t="str">
        <f aca="false">IF(C9336="","",C9336*D9336/100)</f>
        <v/>
      </c>
      <c r="F9336" s="15" t="str">
        <f aca="false">IF(B9336&lt;5,"Go","Standard")</f>
        <v>Standard</v>
      </c>
    </row>
    <row r="9337" customFormat="false" ht="15" hidden="false" customHeight="true" outlineLevel="0" collapsed="false">
      <c r="A9337" s="10" t="n">
        <f aca="false">Einstellungen!$B$5+INT((ROW()-9)/24)</f>
        <v>46354</v>
      </c>
      <c r="B9337" s="11" t="n">
        <f aca="false">MOD(ROW()-9,24)</f>
        <v>16</v>
      </c>
      <c r="C9337" s="12"/>
      <c r="D9337" s="13" t="n">
        <f aca="false">IF(B9337&lt;5,Einstellungen!$B$3,Einstellungen!$B$4)</f>
        <v>29.13</v>
      </c>
      <c r="E9337" s="14" t="str">
        <f aca="false">IF(C9337="","",C9337*D9337/100)</f>
        <v/>
      </c>
      <c r="F9337" s="15" t="str">
        <f aca="false">IF(B9337&lt;5,"Go","Standard")</f>
        <v>Standard</v>
      </c>
    </row>
    <row r="9338" customFormat="false" ht="15" hidden="false" customHeight="true" outlineLevel="0" collapsed="false">
      <c r="A9338" s="10" t="n">
        <f aca="false">Einstellungen!$B$5+INT((ROW()-9)/24)</f>
        <v>46354</v>
      </c>
      <c r="B9338" s="11" t="n">
        <f aca="false">MOD(ROW()-9,24)</f>
        <v>17</v>
      </c>
      <c r="C9338" s="12"/>
      <c r="D9338" s="13" t="n">
        <f aca="false">IF(B9338&lt;5,Einstellungen!$B$3,Einstellungen!$B$4)</f>
        <v>29.13</v>
      </c>
      <c r="E9338" s="14" t="str">
        <f aca="false">IF(C9338="","",C9338*D9338/100)</f>
        <v/>
      </c>
      <c r="F9338" s="15" t="str">
        <f aca="false">IF(B9338&lt;5,"Go","Standard")</f>
        <v>Standard</v>
      </c>
    </row>
    <row r="9339" customFormat="false" ht="15" hidden="false" customHeight="true" outlineLevel="0" collapsed="false">
      <c r="A9339" s="10" t="n">
        <f aca="false">Einstellungen!$B$5+INT((ROW()-9)/24)</f>
        <v>46354</v>
      </c>
      <c r="B9339" s="11" t="n">
        <f aca="false">MOD(ROW()-9,24)</f>
        <v>18</v>
      </c>
      <c r="C9339" s="12"/>
      <c r="D9339" s="13" t="n">
        <f aca="false">IF(B9339&lt;5,Einstellungen!$B$3,Einstellungen!$B$4)</f>
        <v>29.13</v>
      </c>
      <c r="E9339" s="14" t="str">
        <f aca="false">IF(C9339="","",C9339*D9339/100)</f>
        <v/>
      </c>
      <c r="F9339" s="15" t="str">
        <f aca="false">IF(B9339&lt;5,"Go","Standard")</f>
        <v>Standard</v>
      </c>
    </row>
    <row r="9340" customFormat="false" ht="15" hidden="false" customHeight="true" outlineLevel="0" collapsed="false">
      <c r="A9340" s="10" t="n">
        <f aca="false">Einstellungen!$B$5+INT((ROW()-9)/24)</f>
        <v>46354</v>
      </c>
      <c r="B9340" s="11" t="n">
        <f aca="false">MOD(ROW()-9,24)</f>
        <v>19</v>
      </c>
      <c r="C9340" s="12"/>
      <c r="D9340" s="13" t="n">
        <f aca="false">IF(B9340&lt;5,Einstellungen!$B$3,Einstellungen!$B$4)</f>
        <v>29.13</v>
      </c>
      <c r="E9340" s="14" t="str">
        <f aca="false">IF(C9340="","",C9340*D9340/100)</f>
        <v/>
      </c>
      <c r="F9340" s="15" t="str">
        <f aca="false">IF(B9340&lt;5,"Go","Standard")</f>
        <v>Standard</v>
      </c>
    </row>
    <row r="9341" customFormat="false" ht="15" hidden="false" customHeight="true" outlineLevel="0" collapsed="false">
      <c r="A9341" s="10" t="n">
        <f aca="false">Einstellungen!$B$5+INT((ROW()-9)/24)</f>
        <v>46354</v>
      </c>
      <c r="B9341" s="11" t="n">
        <f aca="false">MOD(ROW()-9,24)</f>
        <v>20</v>
      </c>
      <c r="C9341" s="12"/>
      <c r="D9341" s="13" t="n">
        <f aca="false">IF(B9341&lt;5,Einstellungen!$B$3,Einstellungen!$B$4)</f>
        <v>29.13</v>
      </c>
      <c r="E9341" s="14" t="str">
        <f aca="false">IF(C9341="","",C9341*D9341/100)</f>
        <v/>
      </c>
      <c r="F9341" s="15" t="str">
        <f aca="false">IF(B9341&lt;5,"Go","Standard")</f>
        <v>Standard</v>
      </c>
    </row>
    <row r="9342" customFormat="false" ht="15" hidden="false" customHeight="true" outlineLevel="0" collapsed="false">
      <c r="A9342" s="10" t="n">
        <f aca="false">Einstellungen!$B$5+INT((ROW()-9)/24)</f>
        <v>46354</v>
      </c>
      <c r="B9342" s="11" t="n">
        <f aca="false">MOD(ROW()-9,24)</f>
        <v>21</v>
      </c>
      <c r="C9342" s="12"/>
      <c r="D9342" s="13" t="n">
        <f aca="false">IF(B9342&lt;5,Einstellungen!$B$3,Einstellungen!$B$4)</f>
        <v>29.13</v>
      </c>
      <c r="E9342" s="14" t="str">
        <f aca="false">IF(C9342="","",C9342*D9342/100)</f>
        <v/>
      </c>
      <c r="F9342" s="15" t="str">
        <f aca="false">IF(B9342&lt;5,"Go","Standard")</f>
        <v>Standard</v>
      </c>
    </row>
    <row r="9343" customFormat="false" ht="15" hidden="false" customHeight="true" outlineLevel="0" collapsed="false">
      <c r="A9343" s="10" t="n">
        <f aca="false">Einstellungen!$B$5+INT((ROW()-9)/24)</f>
        <v>46354</v>
      </c>
      <c r="B9343" s="11" t="n">
        <f aca="false">MOD(ROW()-9,24)</f>
        <v>22</v>
      </c>
      <c r="C9343" s="12"/>
      <c r="D9343" s="13" t="n">
        <f aca="false">IF(B9343&lt;5,Einstellungen!$B$3,Einstellungen!$B$4)</f>
        <v>29.13</v>
      </c>
      <c r="E9343" s="14" t="str">
        <f aca="false">IF(C9343="","",C9343*D9343/100)</f>
        <v/>
      </c>
      <c r="F9343" s="15" t="str">
        <f aca="false">IF(B9343&lt;5,"Go","Standard")</f>
        <v>Standard</v>
      </c>
    </row>
    <row r="9344" customFormat="false" ht="15" hidden="false" customHeight="true" outlineLevel="0" collapsed="false">
      <c r="A9344" s="10" t="n">
        <f aca="false">Einstellungen!$B$5+INT((ROW()-9)/24)</f>
        <v>46354</v>
      </c>
      <c r="B9344" s="11" t="n">
        <f aca="false">MOD(ROW()-9,24)</f>
        <v>23</v>
      </c>
      <c r="C9344" s="12"/>
      <c r="D9344" s="13" t="n">
        <f aca="false">IF(B9344&lt;5,Einstellungen!$B$3,Einstellungen!$B$4)</f>
        <v>29.13</v>
      </c>
      <c r="E9344" s="14" t="str">
        <f aca="false">IF(C9344="","",C9344*D9344/100)</f>
        <v/>
      </c>
      <c r="F9344" s="15" t="str">
        <f aca="false">IF(B9344&lt;5,"Go","Standard")</f>
        <v>Standard</v>
      </c>
    </row>
    <row r="9345" customFormat="false" ht="15" hidden="false" customHeight="true" outlineLevel="0" collapsed="false">
      <c r="A9345" s="10" t="n">
        <f aca="false">Einstellungen!$B$5+INT((ROW()-9)/24)</f>
        <v>46355</v>
      </c>
      <c r="B9345" s="11" t="n">
        <f aca="false">MOD(ROW()-9,24)</f>
        <v>0</v>
      </c>
      <c r="C9345" s="12"/>
      <c r="D9345" s="13" t="n">
        <f aca="false">IF(B9345&lt;5,Einstellungen!$B$3,Einstellungen!$B$4)</f>
        <v>15.92</v>
      </c>
      <c r="E9345" s="14" t="str">
        <f aca="false">IF(C9345="","",C9345*D9345/100)</f>
        <v/>
      </c>
      <c r="F9345" s="15" t="str">
        <f aca="false">IF(B9345&lt;5,"Go","Standard")</f>
        <v>Go</v>
      </c>
    </row>
    <row r="9346" customFormat="false" ht="15" hidden="false" customHeight="true" outlineLevel="0" collapsed="false">
      <c r="A9346" s="10" t="n">
        <f aca="false">Einstellungen!$B$5+INT((ROW()-9)/24)</f>
        <v>46355</v>
      </c>
      <c r="B9346" s="11" t="n">
        <f aca="false">MOD(ROW()-9,24)</f>
        <v>1</v>
      </c>
      <c r="C9346" s="12"/>
      <c r="D9346" s="13" t="n">
        <f aca="false">IF(B9346&lt;5,Einstellungen!$B$3,Einstellungen!$B$4)</f>
        <v>15.92</v>
      </c>
      <c r="E9346" s="14" t="str">
        <f aca="false">IF(C9346="","",C9346*D9346/100)</f>
        <v/>
      </c>
      <c r="F9346" s="15" t="str">
        <f aca="false">IF(B9346&lt;5,"Go","Standard")</f>
        <v>Go</v>
      </c>
    </row>
    <row r="9347" customFormat="false" ht="15" hidden="false" customHeight="true" outlineLevel="0" collapsed="false">
      <c r="A9347" s="10" t="n">
        <f aca="false">Einstellungen!$B$5+INT((ROW()-9)/24)</f>
        <v>46355</v>
      </c>
      <c r="B9347" s="11" t="n">
        <f aca="false">MOD(ROW()-9,24)</f>
        <v>2</v>
      </c>
      <c r="C9347" s="12"/>
      <c r="D9347" s="13" t="n">
        <f aca="false">IF(B9347&lt;5,Einstellungen!$B$3,Einstellungen!$B$4)</f>
        <v>15.92</v>
      </c>
      <c r="E9347" s="14" t="str">
        <f aca="false">IF(C9347="","",C9347*D9347/100)</f>
        <v/>
      </c>
      <c r="F9347" s="15" t="str">
        <f aca="false">IF(B9347&lt;5,"Go","Standard")</f>
        <v>Go</v>
      </c>
    </row>
    <row r="9348" customFormat="false" ht="15" hidden="false" customHeight="true" outlineLevel="0" collapsed="false">
      <c r="A9348" s="10" t="n">
        <f aca="false">Einstellungen!$B$5+INT((ROW()-9)/24)</f>
        <v>46355</v>
      </c>
      <c r="B9348" s="11" t="n">
        <f aca="false">MOD(ROW()-9,24)</f>
        <v>3</v>
      </c>
      <c r="C9348" s="12"/>
      <c r="D9348" s="13" t="n">
        <f aca="false">IF(B9348&lt;5,Einstellungen!$B$3,Einstellungen!$B$4)</f>
        <v>15.92</v>
      </c>
      <c r="E9348" s="14" t="str">
        <f aca="false">IF(C9348="","",C9348*D9348/100)</f>
        <v/>
      </c>
      <c r="F9348" s="15" t="str">
        <f aca="false">IF(B9348&lt;5,"Go","Standard")</f>
        <v>Go</v>
      </c>
    </row>
    <row r="9349" customFormat="false" ht="15" hidden="false" customHeight="true" outlineLevel="0" collapsed="false">
      <c r="A9349" s="10" t="n">
        <f aca="false">Einstellungen!$B$5+INT((ROW()-9)/24)</f>
        <v>46355</v>
      </c>
      <c r="B9349" s="11" t="n">
        <f aca="false">MOD(ROW()-9,24)</f>
        <v>4</v>
      </c>
      <c r="C9349" s="12"/>
      <c r="D9349" s="13" t="n">
        <f aca="false">IF(B9349&lt;5,Einstellungen!$B$3,Einstellungen!$B$4)</f>
        <v>15.92</v>
      </c>
      <c r="E9349" s="14" t="str">
        <f aca="false">IF(C9349="","",C9349*D9349/100)</f>
        <v/>
      </c>
      <c r="F9349" s="15" t="str">
        <f aca="false">IF(B9349&lt;5,"Go","Standard")</f>
        <v>Go</v>
      </c>
    </row>
    <row r="9350" customFormat="false" ht="15" hidden="false" customHeight="true" outlineLevel="0" collapsed="false">
      <c r="A9350" s="10" t="n">
        <f aca="false">Einstellungen!$B$5+INT((ROW()-9)/24)</f>
        <v>46355</v>
      </c>
      <c r="B9350" s="11" t="n">
        <f aca="false">MOD(ROW()-9,24)</f>
        <v>5</v>
      </c>
      <c r="C9350" s="12"/>
      <c r="D9350" s="13" t="n">
        <f aca="false">IF(B9350&lt;5,Einstellungen!$B$3,Einstellungen!$B$4)</f>
        <v>29.13</v>
      </c>
      <c r="E9350" s="14" t="str">
        <f aca="false">IF(C9350="","",C9350*D9350/100)</f>
        <v/>
      </c>
      <c r="F9350" s="15" t="str">
        <f aca="false">IF(B9350&lt;5,"Go","Standard")</f>
        <v>Standard</v>
      </c>
    </row>
    <row r="9351" customFormat="false" ht="15" hidden="false" customHeight="true" outlineLevel="0" collapsed="false">
      <c r="A9351" s="10" t="n">
        <f aca="false">Einstellungen!$B$5+INT((ROW()-9)/24)</f>
        <v>46355</v>
      </c>
      <c r="B9351" s="11" t="n">
        <f aca="false">MOD(ROW()-9,24)</f>
        <v>6</v>
      </c>
      <c r="C9351" s="12"/>
      <c r="D9351" s="13" t="n">
        <f aca="false">IF(B9351&lt;5,Einstellungen!$B$3,Einstellungen!$B$4)</f>
        <v>29.13</v>
      </c>
      <c r="E9351" s="14" t="str">
        <f aca="false">IF(C9351="","",C9351*D9351/100)</f>
        <v/>
      </c>
      <c r="F9351" s="15" t="str">
        <f aca="false">IF(B9351&lt;5,"Go","Standard")</f>
        <v>Standard</v>
      </c>
    </row>
    <row r="9352" customFormat="false" ht="15" hidden="false" customHeight="true" outlineLevel="0" collapsed="false">
      <c r="A9352" s="10" t="n">
        <f aca="false">Einstellungen!$B$5+INT((ROW()-9)/24)</f>
        <v>46355</v>
      </c>
      <c r="B9352" s="11" t="n">
        <f aca="false">MOD(ROW()-9,24)</f>
        <v>7</v>
      </c>
      <c r="C9352" s="12"/>
      <c r="D9352" s="13" t="n">
        <f aca="false">IF(B9352&lt;5,Einstellungen!$B$3,Einstellungen!$B$4)</f>
        <v>29.13</v>
      </c>
      <c r="E9352" s="14" t="str">
        <f aca="false">IF(C9352="","",C9352*D9352/100)</f>
        <v/>
      </c>
      <c r="F9352" s="15" t="str">
        <f aca="false">IF(B9352&lt;5,"Go","Standard")</f>
        <v>Standard</v>
      </c>
    </row>
    <row r="9353" customFormat="false" ht="15" hidden="false" customHeight="true" outlineLevel="0" collapsed="false">
      <c r="A9353" s="10" t="n">
        <f aca="false">Einstellungen!$B$5+INT((ROW()-9)/24)</f>
        <v>46355</v>
      </c>
      <c r="B9353" s="11" t="n">
        <f aca="false">MOD(ROW()-9,24)</f>
        <v>8</v>
      </c>
      <c r="C9353" s="12"/>
      <c r="D9353" s="13" t="n">
        <f aca="false">IF(B9353&lt;5,Einstellungen!$B$3,Einstellungen!$B$4)</f>
        <v>29.13</v>
      </c>
      <c r="E9353" s="14" t="str">
        <f aca="false">IF(C9353="","",C9353*D9353/100)</f>
        <v/>
      </c>
      <c r="F9353" s="15" t="str">
        <f aca="false">IF(B9353&lt;5,"Go","Standard")</f>
        <v>Standard</v>
      </c>
    </row>
    <row r="9354" customFormat="false" ht="15" hidden="false" customHeight="true" outlineLevel="0" collapsed="false">
      <c r="A9354" s="10" t="n">
        <f aca="false">Einstellungen!$B$5+INT((ROW()-9)/24)</f>
        <v>46355</v>
      </c>
      <c r="B9354" s="11" t="n">
        <f aca="false">MOD(ROW()-9,24)</f>
        <v>9</v>
      </c>
      <c r="C9354" s="12"/>
      <c r="D9354" s="13" t="n">
        <f aca="false">IF(B9354&lt;5,Einstellungen!$B$3,Einstellungen!$B$4)</f>
        <v>29.13</v>
      </c>
      <c r="E9354" s="14" t="str">
        <f aca="false">IF(C9354="","",C9354*D9354/100)</f>
        <v/>
      </c>
      <c r="F9354" s="15" t="str">
        <f aca="false">IF(B9354&lt;5,"Go","Standard")</f>
        <v>Standard</v>
      </c>
    </row>
    <row r="9355" customFormat="false" ht="15" hidden="false" customHeight="true" outlineLevel="0" collapsed="false">
      <c r="A9355" s="10" t="n">
        <f aca="false">Einstellungen!$B$5+INT((ROW()-9)/24)</f>
        <v>46355</v>
      </c>
      <c r="B9355" s="11" t="n">
        <f aca="false">MOD(ROW()-9,24)</f>
        <v>10</v>
      </c>
      <c r="C9355" s="12"/>
      <c r="D9355" s="13" t="n">
        <f aca="false">IF(B9355&lt;5,Einstellungen!$B$3,Einstellungen!$B$4)</f>
        <v>29.13</v>
      </c>
      <c r="E9355" s="14" t="str">
        <f aca="false">IF(C9355="","",C9355*D9355/100)</f>
        <v/>
      </c>
      <c r="F9355" s="15" t="str">
        <f aca="false">IF(B9355&lt;5,"Go","Standard")</f>
        <v>Standard</v>
      </c>
    </row>
    <row r="9356" customFormat="false" ht="15" hidden="false" customHeight="true" outlineLevel="0" collapsed="false">
      <c r="A9356" s="10" t="n">
        <f aca="false">Einstellungen!$B$5+INT((ROW()-9)/24)</f>
        <v>46355</v>
      </c>
      <c r="B9356" s="11" t="n">
        <f aca="false">MOD(ROW()-9,24)</f>
        <v>11</v>
      </c>
      <c r="C9356" s="12"/>
      <c r="D9356" s="13" t="n">
        <f aca="false">IF(B9356&lt;5,Einstellungen!$B$3,Einstellungen!$B$4)</f>
        <v>29.13</v>
      </c>
      <c r="E9356" s="14" t="str">
        <f aca="false">IF(C9356="","",C9356*D9356/100)</f>
        <v/>
      </c>
      <c r="F9356" s="15" t="str">
        <f aca="false">IF(B9356&lt;5,"Go","Standard")</f>
        <v>Standard</v>
      </c>
    </row>
    <row r="9357" customFormat="false" ht="15" hidden="false" customHeight="true" outlineLevel="0" collapsed="false">
      <c r="A9357" s="10" t="n">
        <f aca="false">Einstellungen!$B$5+INT((ROW()-9)/24)</f>
        <v>46355</v>
      </c>
      <c r="B9357" s="11" t="n">
        <f aca="false">MOD(ROW()-9,24)</f>
        <v>12</v>
      </c>
      <c r="C9357" s="12"/>
      <c r="D9357" s="13" t="n">
        <f aca="false">IF(B9357&lt;5,Einstellungen!$B$3,Einstellungen!$B$4)</f>
        <v>29.13</v>
      </c>
      <c r="E9357" s="14" t="str">
        <f aca="false">IF(C9357="","",C9357*D9357/100)</f>
        <v/>
      </c>
      <c r="F9357" s="15" t="str">
        <f aca="false">IF(B9357&lt;5,"Go","Standard")</f>
        <v>Standard</v>
      </c>
    </row>
    <row r="9358" customFormat="false" ht="15" hidden="false" customHeight="true" outlineLevel="0" collapsed="false">
      <c r="A9358" s="10" t="n">
        <f aca="false">Einstellungen!$B$5+INT((ROW()-9)/24)</f>
        <v>46355</v>
      </c>
      <c r="B9358" s="11" t="n">
        <f aca="false">MOD(ROW()-9,24)</f>
        <v>13</v>
      </c>
      <c r="C9358" s="12"/>
      <c r="D9358" s="13" t="n">
        <f aca="false">IF(B9358&lt;5,Einstellungen!$B$3,Einstellungen!$B$4)</f>
        <v>29.13</v>
      </c>
      <c r="E9358" s="14" t="str">
        <f aca="false">IF(C9358="","",C9358*D9358/100)</f>
        <v/>
      </c>
      <c r="F9358" s="15" t="str">
        <f aca="false">IF(B9358&lt;5,"Go","Standard")</f>
        <v>Standard</v>
      </c>
    </row>
    <row r="9359" customFormat="false" ht="15" hidden="false" customHeight="true" outlineLevel="0" collapsed="false">
      <c r="A9359" s="10" t="n">
        <f aca="false">Einstellungen!$B$5+INT((ROW()-9)/24)</f>
        <v>46355</v>
      </c>
      <c r="B9359" s="11" t="n">
        <f aca="false">MOD(ROW()-9,24)</f>
        <v>14</v>
      </c>
      <c r="C9359" s="12"/>
      <c r="D9359" s="13" t="n">
        <f aca="false">IF(B9359&lt;5,Einstellungen!$B$3,Einstellungen!$B$4)</f>
        <v>29.13</v>
      </c>
      <c r="E9359" s="14" t="str">
        <f aca="false">IF(C9359="","",C9359*D9359/100)</f>
        <v/>
      </c>
      <c r="F9359" s="15" t="str">
        <f aca="false">IF(B9359&lt;5,"Go","Standard")</f>
        <v>Standard</v>
      </c>
    </row>
    <row r="9360" customFormat="false" ht="15" hidden="false" customHeight="true" outlineLevel="0" collapsed="false">
      <c r="A9360" s="10" t="n">
        <f aca="false">Einstellungen!$B$5+INT((ROW()-9)/24)</f>
        <v>46355</v>
      </c>
      <c r="B9360" s="11" t="n">
        <f aca="false">MOD(ROW()-9,24)</f>
        <v>15</v>
      </c>
      <c r="C9360" s="12"/>
      <c r="D9360" s="13" t="n">
        <f aca="false">IF(B9360&lt;5,Einstellungen!$B$3,Einstellungen!$B$4)</f>
        <v>29.13</v>
      </c>
      <c r="E9360" s="14" t="str">
        <f aca="false">IF(C9360="","",C9360*D9360/100)</f>
        <v/>
      </c>
      <c r="F9360" s="15" t="str">
        <f aca="false">IF(B9360&lt;5,"Go","Standard")</f>
        <v>Standard</v>
      </c>
    </row>
    <row r="9361" customFormat="false" ht="15" hidden="false" customHeight="true" outlineLevel="0" collapsed="false">
      <c r="A9361" s="10" t="n">
        <f aca="false">Einstellungen!$B$5+INT((ROW()-9)/24)</f>
        <v>46355</v>
      </c>
      <c r="B9361" s="11" t="n">
        <f aca="false">MOD(ROW()-9,24)</f>
        <v>16</v>
      </c>
      <c r="C9361" s="12"/>
      <c r="D9361" s="13" t="n">
        <f aca="false">IF(B9361&lt;5,Einstellungen!$B$3,Einstellungen!$B$4)</f>
        <v>29.13</v>
      </c>
      <c r="E9361" s="14" t="str">
        <f aca="false">IF(C9361="","",C9361*D9361/100)</f>
        <v/>
      </c>
      <c r="F9361" s="15" t="str">
        <f aca="false">IF(B9361&lt;5,"Go","Standard")</f>
        <v>Standard</v>
      </c>
    </row>
    <row r="9362" customFormat="false" ht="15" hidden="false" customHeight="true" outlineLevel="0" collapsed="false">
      <c r="A9362" s="10" t="n">
        <f aca="false">Einstellungen!$B$5+INT((ROW()-9)/24)</f>
        <v>46355</v>
      </c>
      <c r="B9362" s="11" t="n">
        <f aca="false">MOD(ROW()-9,24)</f>
        <v>17</v>
      </c>
      <c r="C9362" s="12"/>
      <c r="D9362" s="13" t="n">
        <f aca="false">IF(B9362&lt;5,Einstellungen!$B$3,Einstellungen!$B$4)</f>
        <v>29.13</v>
      </c>
      <c r="E9362" s="14" t="str">
        <f aca="false">IF(C9362="","",C9362*D9362/100)</f>
        <v/>
      </c>
      <c r="F9362" s="15" t="str">
        <f aca="false">IF(B9362&lt;5,"Go","Standard")</f>
        <v>Standard</v>
      </c>
    </row>
    <row r="9363" customFormat="false" ht="15" hidden="false" customHeight="true" outlineLevel="0" collapsed="false">
      <c r="A9363" s="10" t="n">
        <f aca="false">Einstellungen!$B$5+INT((ROW()-9)/24)</f>
        <v>46355</v>
      </c>
      <c r="B9363" s="11" t="n">
        <f aca="false">MOD(ROW()-9,24)</f>
        <v>18</v>
      </c>
      <c r="C9363" s="12"/>
      <c r="D9363" s="13" t="n">
        <f aca="false">IF(B9363&lt;5,Einstellungen!$B$3,Einstellungen!$B$4)</f>
        <v>29.13</v>
      </c>
      <c r="E9363" s="14" t="str">
        <f aca="false">IF(C9363="","",C9363*D9363/100)</f>
        <v/>
      </c>
      <c r="F9363" s="15" t="str">
        <f aca="false">IF(B9363&lt;5,"Go","Standard")</f>
        <v>Standard</v>
      </c>
    </row>
    <row r="9364" customFormat="false" ht="15" hidden="false" customHeight="true" outlineLevel="0" collapsed="false">
      <c r="A9364" s="10" t="n">
        <f aca="false">Einstellungen!$B$5+INT((ROW()-9)/24)</f>
        <v>46355</v>
      </c>
      <c r="B9364" s="11" t="n">
        <f aca="false">MOD(ROW()-9,24)</f>
        <v>19</v>
      </c>
      <c r="C9364" s="12"/>
      <c r="D9364" s="13" t="n">
        <f aca="false">IF(B9364&lt;5,Einstellungen!$B$3,Einstellungen!$B$4)</f>
        <v>29.13</v>
      </c>
      <c r="E9364" s="14" t="str">
        <f aca="false">IF(C9364="","",C9364*D9364/100)</f>
        <v/>
      </c>
      <c r="F9364" s="15" t="str">
        <f aca="false">IF(B9364&lt;5,"Go","Standard")</f>
        <v>Standard</v>
      </c>
    </row>
    <row r="9365" customFormat="false" ht="15" hidden="false" customHeight="true" outlineLevel="0" collapsed="false">
      <c r="A9365" s="10" t="n">
        <f aca="false">Einstellungen!$B$5+INT((ROW()-9)/24)</f>
        <v>46355</v>
      </c>
      <c r="B9365" s="11" t="n">
        <f aca="false">MOD(ROW()-9,24)</f>
        <v>20</v>
      </c>
      <c r="C9365" s="12"/>
      <c r="D9365" s="13" t="n">
        <f aca="false">IF(B9365&lt;5,Einstellungen!$B$3,Einstellungen!$B$4)</f>
        <v>29.13</v>
      </c>
      <c r="E9365" s="14" t="str">
        <f aca="false">IF(C9365="","",C9365*D9365/100)</f>
        <v/>
      </c>
      <c r="F9365" s="15" t="str">
        <f aca="false">IF(B9365&lt;5,"Go","Standard")</f>
        <v>Standard</v>
      </c>
    </row>
    <row r="9366" customFormat="false" ht="15" hidden="false" customHeight="true" outlineLevel="0" collapsed="false">
      <c r="A9366" s="10" t="n">
        <f aca="false">Einstellungen!$B$5+INT((ROW()-9)/24)</f>
        <v>46355</v>
      </c>
      <c r="B9366" s="11" t="n">
        <f aca="false">MOD(ROW()-9,24)</f>
        <v>21</v>
      </c>
      <c r="C9366" s="12"/>
      <c r="D9366" s="13" t="n">
        <f aca="false">IF(B9366&lt;5,Einstellungen!$B$3,Einstellungen!$B$4)</f>
        <v>29.13</v>
      </c>
      <c r="E9366" s="14" t="str">
        <f aca="false">IF(C9366="","",C9366*D9366/100)</f>
        <v/>
      </c>
      <c r="F9366" s="15" t="str">
        <f aca="false">IF(B9366&lt;5,"Go","Standard")</f>
        <v>Standard</v>
      </c>
    </row>
    <row r="9367" customFormat="false" ht="15" hidden="false" customHeight="true" outlineLevel="0" collapsed="false">
      <c r="A9367" s="10" t="n">
        <f aca="false">Einstellungen!$B$5+INT((ROW()-9)/24)</f>
        <v>46355</v>
      </c>
      <c r="B9367" s="11" t="n">
        <f aca="false">MOD(ROW()-9,24)</f>
        <v>22</v>
      </c>
      <c r="C9367" s="12"/>
      <c r="D9367" s="13" t="n">
        <f aca="false">IF(B9367&lt;5,Einstellungen!$B$3,Einstellungen!$B$4)</f>
        <v>29.13</v>
      </c>
      <c r="E9367" s="14" t="str">
        <f aca="false">IF(C9367="","",C9367*D9367/100)</f>
        <v/>
      </c>
      <c r="F9367" s="15" t="str">
        <f aca="false">IF(B9367&lt;5,"Go","Standard")</f>
        <v>Standard</v>
      </c>
    </row>
    <row r="9368" customFormat="false" ht="15" hidden="false" customHeight="true" outlineLevel="0" collapsed="false">
      <c r="A9368" s="10" t="n">
        <f aca="false">Einstellungen!$B$5+INT((ROW()-9)/24)</f>
        <v>46355</v>
      </c>
      <c r="B9368" s="11" t="n">
        <f aca="false">MOD(ROW()-9,24)</f>
        <v>23</v>
      </c>
      <c r="C9368" s="12"/>
      <c r="D9368" s="13" t="n">
        <f aca="false">IF(B9368&lt;5,Einstellungen!$B$3,Einstellungen!$B$4)</f>
        <v>29.13</v>
      </c>
      <c r="E9368" s="14" t="str">
        <f aca="false">IF(C9368="","",C9368*D9368/100)</f>
        <v/>
      </c>
      <c r="F9368" s="15" t="str">
        <f aca="false">IF(B9368&lt;5,"Go","Standard")</f>
        <v>Standard</v>
      </c>
    </row>
    <row r="9369" customFormat="false" ht="15" hidden="false" customHeight="true" outlineLevel="0" collapsed="false">
      <c r="A9369" s="10" t="n">
        <f aca="false">Einstellungen!$B$5+INT((ROW()-9)/24)</f>
        <v>46356</v>
      </c>
      <c r="B9369" s="11" t="n">
        <f aca="false">MOD(ROW()-9,24)</f>
        <v>0</v>
      </c>
      <c r="C9369" s="12"/>
      <c r="D9369" s="13" t="n">
        <f aca="false">IF(B9369&lt;5,Einstellungen!$B$3,Einstellungen!$B$4)</f>
        <v>15.92</v>
      </c>
      <c r="E9369" s="14" t="str">
        <f aca="false">IF(C9369="","",C9369*D9369/100)</f>
        <v/>
      </c>
      <c r="F9369" s="15" t="str">
        <f aca="false">IF(B9369&lt;5,"Go","Standard")</f>
        <v>Go</v>
      </c>
    </row>
    <row r="9370" customFormat="false" ht="15" hidden="false" customHeight="true" outlineLevel="0" collapsed="false">
      <c r="A9370" s="10" t="n">
        <f aca="false">Einstellungen!$B$5+INT((ROW()-9)/24)</f>
        <v>46356</v>
      </c>
      <c r="B9370" s="11" t="n">
        <f aca="false">MOD(ROW()-9,24)</f>
        <v>1</v>
      </c>
      <c r="C9370" s="12"/>
      <c r="D9370" s="13" t="n">
        <f aca="false">IF(B9370&lt;5,Einstellungen!$B$3,Einstellungen!$B$4)</f>
        <v>15.92</v>
      </c>
      <c r="E9370" s="14" t="str">
        <f aca="false">IF(C9370="","",C9370*D9370/100)</f>
        <v/>
      </c>
      <c r="F9370" s="15" t="str">
        <f aca="false">IF(B9370&lt;5,"Go","Standard")</f>
        <v>Go</v>
      </c>
    </row>
    <row r="9371" customFormat="false" ht="15" hidden="false" customHeight="true" outlineLevel="0" collapsed="false">
      <c r="A9371" s="10" t="n">
        <f aca="false">Einstellungen!$B$5+INT((ROW()-9)/24)</f>
        <v>46356</v>
      </c>
      <c r="B9371" s="11" t="n">
        <f aca="false">MOD(ROW()-9,24)</f>
        <v>2</v>
      </c>
      <c r="C9371" s="12"/>
      <c r="D9371" s="13" t="n">
        <f aca="false">IF(B9371&lt;5,Einstellungen!$B$3,Einstellungen!$B$4)</f>
        <v>15.92</v>
      </c>
      <c r="E9371" s="14" t="str">
        <f aca="false">IF(C9371="","",C9371*D9371/100)</f>
        <v/>
      </c>
      <c r="F9371" s="15" t="str">
        <f aca="false">IF(B9371&lt;5,"Go","Standard")</f>
        <v>Go</v>
      </c>
    </row>
    <row r="9372" customFormat="false" ht="15" hidden="false" customHeight="true" outlineLevel="0" collapsed="false">
      <c r="A9372" s="10" t="n">
        <f aca="false">Einstellungen!$B$5+INT((ROW()-9)/24)</f>
        <v>46356</v>
      </c>
      <c r="B9372" s="11" t="n">
        <f aca="false">MOD(ROW()-9,24)</f>
        <v>3</v>
      </c>
      <c r="C9372" s="12"/>
      <c r="D9372" s="13" t="n">
        <f aca="false">IF(B9372&lt;5,Einstellungen!$B$3,Einstellungen!$B$4)</f>
        <v>15.92</v>
      </c>
      <c r="E9372" s="14" t="str">
        <f aca="false">IF(C9372="","",C9372*D9372/100)</f>
        <v/>
      </c>
      <c r="F9372" s="15" t="str">
        <f aca="false">IF(B9372&lt;5,"Go","Standard")</f>
        <v>Go</v>
      </c>
    </row>
    <row r="9373" customFormat="false" ht="15" hidden="false" customHeight="true" outlineLevel="0" collapsed="false">
      <c r="A9373" s="10" t="n">
        <f aca="false">Einstellungen!$B$5+INT((ROW()-9)/24)</f>
        <v>46356</v>
      </c>
      <c r="B9373" s="11" t="n">
        <f aca="false">MOD(ROW()-9,24)</f>
        <v>4</v>
      </c>
      <c r="C9373" s="12"/>
      <c r="D9373" s="13" t="n">
        <f aca="false">IF(B9373&lt;5,Einstellungen!$B$3,Einstellungen!$B$4)</f>
        <v>15.92</v>
      </c>
      <c r="E9373" s="14" t="str">
        <f aca="false">IF(C9373="","",C9373*D9373/100)</f>
        <v/>
      </c>
      <c r="F9373" s="15" t="str">
        <f aca="false">IF(B9373&lt;5,"Go","Standard")</f>
        <v>Go</v>
      </c>
    </row>
    <row r="9374" customFormat="false" ht="15" hidden="false" customHeight="true" outlineLevel="0" collapsed="false">
      <c r="A9374" s="10" t="n">
        <f aca="false">Einstellungen!$B$5+INT((ROW()-9)/24)</f>
        <v>46356</v>
      </c>
      <c r="B9374" s="11" t="n">
        <f aca="false">MOD(ROW()-9,24)</f>
        <v>5</v>
      </c>
      <c r="C9374" s="12"/>
      <c r="D9374" s="13" t="n">
        <f aca="false">IF(B9374&lt;5,Einstellungen!$B$3,Einstellungen!$B$4)</f>
        <v>29.13</v>
      </c>
      <c r="E9374" s="14" t="str">
        <f aca="false">IF(C9374="","",C9374*D9374/100)</f>
        <v/>
      </c>
      <c r="F9374" s="15" t="str">
        <f aca="false">IF(B9374&lt;5,"Go","Standard")</f>
        <v>Standard</v>
      </c>
    </row>
    <row r="9375" customFormat="false" ht="15" hidden="false" customHeight="true" outlineLevel="0" collapsed="false">
      <c r="A9375" s="10" t="n">
        <f aca="false">Einstellungen!$B$5+INT((ROW()-9)/24)</f>
        <v>46356</v>
      </c>
      <c r="B9375" s="11" t="n">
        <f aca="false">MOD(ROW()-9,24)</f>
        <v>6</v>
      </c>
      <c r="C9375" s="12"/>
      <c r="D9375" s="13" t="n">
        <f aca="false">IF(B9375&lt;5,Einstellungen!$B$3,Einstellungen!$B$4)</f>
        <v>29.13</v>
      </c>
      <c r="E9375" s="14" t="str">
        <f aca="false">IF(C9375="","",C9375*D9375/100)</f>
        <v/>
      </c>
      <c r="F9375" s="15" t="str">
        <f aca="false">IF(B9375&lt;5,"Go","Standard")</f>
        <v>Standard</v>
      </c>
    </row>
    <row r="9376" customFormat="false" ht="15" hidden="false" customHeight="true" outlineLevel="0" collapsed="false">
      <c r="A9376" s="10" t="n">
        <f aca="false">Einstellungen!$B$5+INT((ROW()-9)/24)</f>
        <v>46356</v>
      </c>
      <c r="B9376" s="11" t="n">
        <f aca="false">MOD(ROW()-9,24)</f>
        <v>7</v>
      </c>
      <c r="C9376" s="12"/>
      <c r="D9376" s="13" t="n">
        <f aca="false">IF(B9376&lt;5,Einstellungen!$B$3,Einstellungen!$B$4)</f>
        <v>29.13</v>
      </c>
      <c r="E9376" s="14" t="str">
        <f aca="false">IF(C9376="","",C9376*D9376/100)</f>
        <v/>
      </c>
      <c r="F9376" s="15" t="str">
        <f aca="false">IF(B9376&lt;5,"Go","Standard")</f>
        <v>Standard</v>
      </c>
    </row>
    <row r="9377" customFormat="false" ht="15" hidden="false" customHeight="true" outlineLevel="0" collapsed="false">
      <c r="A9377" s="10" t="n">
        <f aca="false">Einstellungen!$B$5+INT((ROW()-9)/24)</f>
        <v>46356</v>
      </c>
      <c r="B9377" s="11" t="n">
        <f aca="false">MOD(ROW()-9,24)</f>
        <v>8</v>
      </c>
      <c r="C9377" s="12"/>
      <c r="D9377" s="13" t="n">
        <f aca="false">IF(B9377&lt;5,Einstellungen!$B$3,Einstellungen!$B$4)</f>
        <v>29.13</v>
      </c>
      <c r="E9377" s="14" t="str">
        <f aca="false">IF(C9377="","",C9377*D9377/100)</f>
        <v/>
      </c>
      <c r="F9377" s="15" t="str">
        <f aca="false">IF(B9377&lt;5,"Go","Standard")</f>
        <v>Standard</v>
      </c>
    </row>
    <row r="9378" customFormat="false" ht="15" hidden="false" customHeight="true" outlineLevel="0" collapsed="false">
      <c r="A9378" s="10" t="n">
        <f aca="false">Einstellungen!$B$5+INT((ROW()-9)/24)</f>
        <v>46356</v>
      </c>
      <c r="B9378" s="11" t="n">
        <f aca="false">MOD(ROW()-9,24)</f>
        <v>9</v>
      </c>
      <c r="C9378" s="12"/>
      <c r="D9378" s="13" t="n">
        <f aca="false">IF(B9378&lt;5,Einstellungen!$B$3,Einstellungen!$B$4)</f>
        <v>29.13</v>
      </c>
      <c r="E9378" s="14" t="str">
        <f aca="false">IF(C9378="","",C9378*D9378/100)</f>
        <v/>
      </c>
      <c r="F9378" s="15" t="str">
        <f aca="false">IF(B9378&lt;5,"Go","Standard")</f>
        <v>Standard</v>
      </c>
    </row>
    <row r="9379" customFormat="false" ht="15" hidden="false" customHeight="true" outlineLevel="0" collapsed="false">
      <c r="A9379" s="10" t="n">
        <f aca="false">Einstellungen!$B$5+INT((ROW()-9)/24)</f>
        <v>46356</v>
      </c>
      <c r="B9379" s="11" t="n">
        <f aca="false">MOD(ROW()-9,24)</f>
        <v>10</v>
      </c>
      <c r="C9379" s="12"/>
      <c r="D9379" s="13" t="n">
        <f aca="false">IF(B9379&lt;5,Einstellungen!$B$3,Einstellungen!$B$4)</f>
        <v>29.13</v>
      </c>
      <c r="E9379" s="14" t="str">
        <f aca="false">IF(C9379="","",C9379*D9379/100)</f>
        <v/>
      </c>
      <c r="F9379" s="15" t="str">
        <f aca="false">IF(B9379&lt;5,"Go","Standard")</f>
        <v>Standard</v>
      </c>
    </row>
    <row r="9380" customFormat="false" ht="15" hidden="false" customHeight="true" outlineLevel="0" collapsed="false">
      <c r="A9380" s="10" t="n">
        <f aca="false">Einstellungen!$B$5+INT((ROW()-9)/24)</f>
        <v>46356</v>
      </c>
      <c r="B9380" s="11" t="n">
        <f aca="false">MOD(ROW()-9,24)</f>
        <v>11</v>
      </c>
      <c r="C9380" s="12"/>
      <c r="D9380" s="13" t="n">
        <f aca="false">IF(B9380&lt;5,Einstellungen!$B$3,Einstellungen!$B$4)</f>
        <v>29.13</v>
      </c>
      <c r="E9380" s="14" t="str">
        <f aca="false">IF(C9380="","",C9380*D9380/100)</f>
        <v/>
      </c>
      <c r="F9380" s="15" t="str">
        <f aca="false">IF(B9380&lt;5,"Go","Standard")</f>
        <v>Standard</v>
      </c>
    </row>
    <row r="9381" customFormat="false" ht="15" hidden="false" customHeight="true" outlineLevel="0" collapsed="false">
      <c r="A9381" s="10" t="n">
        <f aca="false">Einstellungen!$B$5+INT((ROW()-9)/24)</f>
        <v>46356</v>
      </c>
      <c r="B9381" s="11" t="n">
        <f aca="false">MOD(ROW()-9,24)</f>
        <v>12</v>
      </c>
      <c r="C9381" s="12"/>
      <c r="D9381" s="13" t="n">
        <f aca="false">IF(B9381&lt;5,Einstellungen!$B$3,Einstellungen!$B$4)</f>
        <v>29.13</v>
      </c>
      <c r="E9381" s="14" t="str">
        <f aca="false">IF(C9381="","",C9381*D9381/100)</f>
        <v/>
      </c>
      <c r="F9381" s="15" t="str">
        <f aca="false">IF(B9381&lt;5,"Go","Standard")</f>
        <v>Standard</v>
      </c>
    </row>
    <row r="9382" customFormat="false" ht="15" hidden="false" customHeight="true" outlineLevel="0" collapsed="false">
      <c r="A9382" s="10" t="n">
        <f aca="false">Einstellungen!$B$5+INT((ROW()-9)/24)</f>
        <v>46356</v>
      </c>
      <c r="B9382" s="11" t="n">
        <f aca="false">MOD(ROW()-9,24)</f>
        <v>13</v>
      </c>
      <c r="C9382" s="12"/>
      <c r="D9382" s="13" t="n">
        <f aca="false">IF(B9382&lt;5,Einstellungen!$B$3,Einstellungen!$B$4)</f>
        <v>29.13</v>
      </c>
      <c r="E9382" s="14" t="str">
        <f aca="false">IF(C9382="","",C9382*D9382/100)</f>
        <v/>
      </c>
      <c r="F9382" s="15" t="str">
        <f aca="false">IF(B9382&lt;5,"Go","Standard")</f>
        <v>Standard</v>
      </c>
    </row>
    <row r="9383" customFormat="false" ht="15" hidden="false" customHeight="true" outlineLevel="0" collapsed="false">
      <c r="A9383" s="10" t="n">
        <f aca="false">Einstellungen!$B$5+INT((ROW()-9)/24)</f>
        <v>46356</v>
      </c>
      <c r="B9383" s="11" t="n">
        <f aca="false">MOD(ROW()-9,24)</f>
        <v>14</v>
      </c>
      <c r="C9383" s="12"/>
      <c r="D9383" s="13" t="n">
        <f aca="false">IF(B9383&lt;5,Einstellungen!$B$3,Einstellungen!$B$4)</f>
        <v>29.13</v>
      </c>
      <c r="E9383" s="14" t="str">
        <f aca="false">IF(C9383="","",C9383*D9383/100)</f>
        <v/>
      </c>
      <c r="F9383" s="15" t="str">
        <f aca="false">IF(B9383&lt;5,"Go","Standard")</f>
        <v>Standard</v>
      </c>
    </row>
    <row r="9384" customFormat="false" ht="15" hidden="false" customHeight="true" outlineLevel="0" collapsed="false">
      <c r="A9384" s="10" t="n">
        <f aca="false">Einstellungen!$B$5+INT((ROW()-9)/24)</f>
        <v>46356</v>
      </c>
      <c r="B9384" s="11" t="n">
        <f aca="false">MOD(ROW()-9,24)</f>
        <v>15</v>
      </c>
      <c r="C9384" s="12"/>
      <c r="D9384" s="13" t="n">
        <f aca="false">IF(B9384&lt;5,Einstellungen!$B$3,Einstellungen!$B$4)</f>
        <v>29.13</v>
      </c>
      <c r="E9384" s="14" t="str">
        <f aca="false">IF(C9384="","",C9384*D9384/100)</f>
        <v/>
      </c>
      <c r="F9384" s="15" t="str">
        <f aca="false">IF(B9384&lt;5,"Go","Standard")</f>
        <v>Standard</v>
      </c>
    </row>
    <row r="9385" customFormat="false" ht="15" hidden="false" customHeight="true" outlineLevel="0" collapsed="false">
      <c r="A9385" s="10" t="n">
        <f aca="false">Einstellungen!$B$5+INT((ROW()-9)/24)</f>
        <v>46356</v>
      </c>
      <c r="B9385" s="11" t="n">
        <f aca="false">MOD(ROW()-9,24)</f>
        <v>16</v>
      </c>
      <c r="C9385" s="12"/>
      <c r="D9385" s="13" t="n">
        <f aca="false">IF(B9385&lt;5,Einstellungen!$B$3,Einstellungen!$B$4)</f>
        <v>29.13</v>
      </c>
      <c r="E9385" s="14" t="str">
        <f aca="false">IF(C9385="","",C9385*D9385/100)</f>
        <v/>
      </c>
      <c r="F9385" s="15" t="str">
        <f aca="false">IF(B9385&lt;5,"Go","Standard")</f>
        <v>Standard</v>
      </c>
    </row>
    <row r="9386" customFormat="false" ht="15" hidden="false" customHeight="true" outlineLevel="0" collapsed="false">
      <c r="A9386" s="10" t="n">
        <f aca="false">Einstellungen!$B$5+INT((ROW()-9)/24)</f>
        <v>46356</v>
      </c>
      <c r="B9386" s="11" t="n">
        <f aca="false">MOD(ROW()-9,24)</f>
        <v>17</v>
      </c>
      <c r="C9386" s="12"/>
      <c r="D9386" s="13" t="n">
        <f aca="false">IF(B9386&lt;5,Einstellungen!$B$3,Einstellungen!$B$4)</f>
        <v>29.13</v>
      </c>
      <c r="E9386" s="14" t="str">
        <f aca="false">IF(C9386="","",C9386*D9386/100)</f>
        <v/>
      </c>
      <c r="F9386" s="15" t="str">
        <f aca="false">IF(B9386&lt;5,"Go","Standard")</f>
        <v>Standard</v>
      </c>
    </row>
    <row r="9387" customFormat="false" ht="15" hidden="false" customHeight="true" outlineLevel="0" collapsed="false">
      <c r="A9387" s="10" t="n">
        <f aca="false">Einstellungen!$B$5+INT((ROW()-9)/24)</f>
        <v>46356</v>
      </c>
      <c r="B9387" s="11" t="n">
        <f aca="false">MOD(ROW()-9,24)</f>
        <v>18</v>
      </c>
      <c r="C9387" s="12"/>
      <c r="D9387" s="13" t="n">
        <f aca="false">IF(B9387&lt;5,Einstellungen!$B$3,Einstellungen!$B$4)</f>
        <v>29.13</v>
      </c>
      <c r="E9387" s="14" t="str">
        <f aca="false">IF(C9387="","",C9387*D9387/100)</f>
        <v/>
      </c>
      <c r="F9387" s="15" t="str">
        <f aca="false">IF(B9387&lt;5,"Go","Standard")</f>
        <v>Standard</v>
      </c>
    </row>
    <row r="9388" customFormat="false" ht="15" hidden="false" customHeight="true" outlineLevel="0" collapsed="false">
      <c r="A9388" s="10" t="n">
        <f aca="false">Einstellungen!$B$5+INT((ROW()-9)/24)</f>
        <v>46356</v>
      </c>
      <c r="B9388" s="11" t="n">
        <f aca="false">MOD(ROW()-9,24)</f>
        <v>19</v>
      </c>
      <c r="C9388" s="12"/>
      <c r="D9388" s="13" t="n">
        <f aca="false">IF(B9388&lt;5,Einstellungen!$B$3,Einstellungen!$B$4)</f>
        <v>29.13</v>
      </c>
      <c r="E9388" s="14" t="str">
        <f aca="false">IF(C9388="","",C9388*D9388/100)</f>
        <v/>
      </c>
      <c r="F9388" s="15" t="str">
        <f aca="false">IF(B9388&lt;5,"Go","Standard")</f>
        <v>Standard</v>
      </c>
    </row>
    <row r="9389" customFormat="false" ht="15" hidden="false" customHeight="true" outlineLevel="0" collapsed="false">
      <c r="A9389" s="10" t="n">
        <f aca="false">Einstellungen!$B$5+INT((ROW()-9)/24)</f>
        <v>46356</v>
      </c>
      <c r="B9389" s="11" t="n">
        <f aca="false">MOD(ROW()-9,24)</f>
        <v>20</v>
      </c>
      <c r="C9389" s="12"/>
      <c r="D9389" s="13" t="n">
        <f aca="false">IF(B9389&lt;5,Einstellungen!$B$3,Einstellungen!$B$4)</f>
        <v>29.13</v>
      </c>
      <c r="E9389" s="14" t="str">
        <f aca="false">IF(C9389="","",C9389*D9389/100)</f>
        <v/>
      </c>
      <c r="F9389" s="15" t="str">
        <f aca="false">IF(B9389&lt;5,"Go","Standard")</f>
        <v>Standard</v>
      </c>
    </row>
    <row r="9390" customFormat="false" ht="15" hidden="false" customHeight="true" outlineLevel="0" collapsed="false">
      <c r="A9390" s="10" t="n">
        <f aca="false">Einstellungen!$B$5+INT((ROW()-9)/24)</f>
        <v>46356</v>
      </c>
      <c r="B9390" s="11" t="n">
        <f aca="false">MOD(ROW()-9,24)</f>
        <v>21</v>
      </c>
      <c r="C9390" s="12"/>
      <c r="D9390" s="13" t="n">
        <f aca="false">IF(B9390&lt;5,Einstellungen!$B$3,Einstellungen!$B$4)</f>
        <v>29.13</v>
      </c>
      <c r="E9390" s="14" t="str">
        <f aca="false">IF(C9390="","",C9390*D9390/100)</f>
        <v/>
      </c>
      <c r="F9390" s="15" t="str">
        <f aca="false">IF(B9390&lt;5,"Go","Standard")</f>
        <v>Standard</v>
      </c>
    </row>
    <row r="9391" customFormat="false" ht="15" hidden="false" customHeight="true" outlineLevel="0" collapsed="false">
      <c r="A9391" s="10" t="n">
        <f aca="false">Einstellungen!$B$5+INT((ROW()-9)/24)</f>
        <v>46356</v>
      </c>
      <c r="B9391" s="11" t="n">
        <f aca="false">MOD(ROW()-9,24)</f>
        <v>22</v>
      </c>
      <c r="C9391" s="12"/>
      <c r="D9391" s="13" t="n">
        <f aca="false">IF(B9391&lt;5,Einstellungen!$B$3,Einstellungen!$B$4)</f>
        <v>29.13</v>
      </c>
      <c r="E9391" s="14" t="str">
        <f aca="false">IF(C9391="","",C9391*D9391/100)</f>
        <v/>
      </c>
      <c r="F9391" s="15" t="str">
        <f aca="false">IF(B9391&lt;5,"Go","Standard")</f>
        <v>Standard</v>
      </c>
    </row>
    <row r="9392" customFormat="false" ht="15" hidden="false" customHeight="true" outlineLevel="0" collapsed="false">
      <c r="A9392" s="10" t="n">
        <f aca="false">Einstellungen!$B$5+INT((ROW()-9)/24)</f>
        <v>46356</v>
      </c>
      <c r="B9392" s="11" t="n">
        <f aca="false">MOD(ROW()-9,24)</f>
        <v>23</v>
      </c>
      <c r="C9392" s="12"/>
      <c r="D9392" s="13" t="n">
        <f aca="false">IF(B9392&lt;5,Einstellungen!$B$3,Einstellungen!$B$4)</f>
        <v>29.13</v>
      </c>
      <c r="E9392" s="14" t="str">
        <f aca="false">IF(C9392="","",C9392*D9392/100)</f>
        <v/>
      </c>
      <c r="F9392" s="15" t="str">
        <f aca="false">IF(B9392&lt;5,"Go","Standard")</f>
        <v>Standard</v>
      </c>
    </row>
    <row r="9393" customFormat="false" ht="15" hidden="false" customHeight="true" outlineLevel="0" collapsed="false">
      <c r="A9393" s="10" t="n">
        <f aca="false">Einstellungen!$B$5+INT((ROW()-9)/24)</f>
        <v>46357</v>
      </c>
      <c r="B9393" s="11" t="n">
        <f aca="false">MOD(ROW()-9,24)</f>
        <v>0</v>
      </c>
      <c r="C9393" s="12"/>
      <c r="D9393" s="13" t="n">
        <f aca="false">IF(B9393&lt;5,Einstellungen!$B$3,Einstellungen!$B$4)</f>
        <v>15.92</v>
      </c>
      <c r="E9393" s="14" t="str">
        <f aca="false">IF(C9393="","",C9393*D9393/100)</f>
        <v/>
      </c>
      <c r="F9393" s="15" t="str">
        <f aca="false">IF(B9393&lt;5,"Go","Standard")</f>
        <v>Go</v>
      </c>
    </row>
    <row r="9394" customFormat="false" ht="15" hidden="false" customHeight="true" outlineLevel="0" collapsed="false">
      <c r="A9394" s="10" t="n">
        <f aca="false">Einstellungen!$B$5+INT((ROW()-9)/24)</f>
        <v>46357</v>
      </c>
      <c r="B9394" s="11" t="n">
        <f aca="false">MOD(ROW()-9,24)</f>
        <v>1</v>
      </c>
      <c r="C9394" s="12"/>
      <c r="D9394" s="13" t="n">
        <f aca="false">IF(B9394&lt;5,Einstellungen!$B$3,Einstellungen!$B$4)</f>
        <v>15.92</v>
      </c>
      <c r="E9394" s="14" t="str">
        <f aca="false">IF(C9394="","",C9394*D9394/100)</f>
        <v/>
      </c>
      <c r="F9394" s="15" t="str">
        <f aca="false">IF(B9394&lt;5,"Go","Standard")</f>
        <v>Go</v>
      </c>
    </row>
    <row r="9395" customFormat="false" ht="15" hidden="false" customHeight="true" outlineLevel="0" collapsed="false">
      <c r="A9395" s="10" t="n">
        <f aca="false">Einstellungen!$B$5+INT((ROW()-9)/24)</f>
        <v>46357</v>
      </c>
      <c r="B9395" s="11" t="n">
        <f aca="false">MOD(ROW()-9,24)</f>
        <v>2</v>
      </c>
      <c r="C9395" s="12"/>
      <c r="D9395" s="13" t="n">
        <f aca="false">IF(B9395&lt;5,Einstellungen!$B$3,Einstellungen!$B$4)</f>
        <v>15.92</v>
      </c>
      <c r="E9395" s="14" t="str">
        <f aca="false">IF(C9395="","",C9395*D9395/100)</f>
        <v/>
      </c>
      <c r="F9395" s="15" t="str">
        <f aca="false">IF(B9395&lt;5,"Go","Standard")</f>
        <v>Go</v>
      </c>
    </row>
    <row r="9396" customFormat="false" ht="15" hidden="false" customHeight="true" outlineLevel="0" collapsed="false">
      <c r="A9396" s="10" t="n">
        <f aca="false">Einstellungen!$B$5+INT((ROW()-9)/24)</f>
        <v>46357</v>
      </c>
      <c r="B9396" s="11" t="n">
        <f aca="false">MOD(ROW()-9,24)</f>
        <v>3</v>
      </c>
      <c r="C9396" s="12"/>
      <c r="D9396" s="13" t="n">
        <f aca="false">IF(B9396&lt;5,Einstellungen!$B$3,Einstellungen!$B$4)</f>
        <v>15.92</v>
      </c>
      <c r="E9396" s="14" t="str">
        <f aca="false">IF(C9396="","",C9396*D9396/100)</f>
        <v/>
      </c>
      <c r="F9396" s="15" t="str">
        <f aca="false">IF(B9396&lt;5,"Go","Standard")</f>
        <v>Go</v>
      </c>
    </row>
    <row r="9397" customFormat="false" ht="15" hidden="false" customHeight="true" outlineLevel="0" collapsed="false">
      <c r="A9397" s="10" t="n">
        <f aca="false">Einstellungen!$B$5+INT((ROW()-9)/24)</f>
        <v>46357</v>
      </c>
      <c r="B9397" s="11" t="n">
        <f aca="false">MOD(ROW()-9,24)</f>
        <v>4</v>
      </c>
      <c r="C9397" s="12"/>
      <c r="D9397" s="13" t="n">
        <f aca="false">IF(B9397&lt;5,Einstellungen!$B$3,Einstellungen!$B$4)</f>
        <v>15.92</v>
      </c>
      <c r="E9397" s="14" t="str">
        <f aca="false">IF(C9397="","",C9397*D9397/100)</f>
        <v/>
      </c>
      <c r="F9397" s="15" t="str">
        <f aca="false">IF(B9397&lt;5,"Go","Standard")</f>
        <v>Go</v>
      </c>
    </row>
    <row r="9398" customFormat="false" ht="15" hidden="false" customHeight="true" outlineLevel="0" collapsed="false">
      <c r="A9398" s="10" t="n">
        <f aca="false">Einstellungen!$B$5+INT((ROW()-9)/24)</f>
        <v>46357</v>
      </c>
      <c r="B9398" s="11" t="n">
        <f aca="false">MOD(ROW()-9,24)</f>
        <v>5</v>
      </c>
      <c r="C9398" s="12"/>
      <c r="D9398" s="13" t="n">
        <f aca="false">IF(B9398&lt;5,Einstellungen!$B$3,Einstellungen!$B$4)</f>
        <v>29.13</v>
      </c>
      <c r="E9398" s="14" t="str">
        <f aca="false">IF(C9398="","",C9398*D9398/100)</f>
        <v/>
      </c>
      <c r="F9398" s="15" t="str">
        <f aca="false">IF(B9398&lt;5,"Go","Standard")</f>
        <v>Standard</v>
      </c>
    </row>
    <row r="9399" customFormat="false" ht="15" hidden="false" customHeight="true" outlineLevel="0" collapsed="false">
      <c r="A9399" s="10" t="n">
        <f aca="false">Einstellungen!$B$5+INT((ROW()-9)/24)</f>
        <v>46357</v>
      </c>
      <c r="B9399" s="11" t="n">
        <f aca="false">MOD(ROW()-9,24)</f>
        <v>6</v>
      </c>
      <c r="C9399" s="12"/>
      <c r="D9399" s="13" t="n">
        <f aca="false">IF(B9399&lt;5,Einstellungen!$B$3,Einstellungen!$B$4)</f>
        <v>29.13</v>
      </c>
      <c r="E9399" s="14" t="str">
        <f aca="false">IF(C9399="","",C9399*D9399/100)</f>
        <v/>
      </c>
      <c r="F9399" s="15" t="str">
        <f aca="false">IF(B9399&lt;5,"Go","Standard")</f>
        <v>Standard</v>
      </c>
    </row>
    <row r="9400" customFormat="false" ht="15" hidden="false" customHeight="true" outlineLevel="0" collapsed="false">
      <c r="A9400" s="10" t="n">
        <f aca="false">Einstellungen!$B$5+INT((ROW()-9)/24)</f>
        <v>46357</v>
      </c>
      <c r="B9400" s="11" t="n">
        <f aca="false">MOD(ROW()-9,24)</f>
        <v>7</v>
      </c>
      <c r="C9400" s="12"/>
      <c r="D9400" s="13" t="n">
        <f aca="false">IF(B9400&lt;5,Einstellungen!$B$3,Einstellungen!$B$4)</f>
        <v>29.13</v>
      </c>
      <c r="E9400" s="14" t="str">
        <f aca="false">IF(C9400="","",C9400*D9400/100)</f>
        <v/>
      </c>
      <c r="F9400" s="15" t="str">
        <f aca="false">IF(B9400&lt;5,"Go","Standard")</f>
        <v>Standard</v>
      </c>
    </row>
    <row r="9401" customFormat="false" ht="15" hidden="false" customHeight="true" outlineLevel="0" collapsed="false">
      <c r="A9401" s="10" t="n">
        <f aca="false">Einstellungen!$B$5+INT((ROW()-9)/24)</f>
        <v>46357</v>
      </c>
      <c r="B9401" s="11" t="n">
        <f aca="false">MOD(ROW()-9,24)</f>
        <v>8</v>
      </c>
      <c r="C9401" s="12"/>
      <c r="D9401" s="13" t="n">
        <f aca="false">IF(B9401&lt;5,Einstellungen!$B$3,Einstellungen!$B$4)</f>
        <v>29.13</v>
      </c>
      <c r="E9401" s="14" t="str">
        <f aca="false">IF(C9401="","",C9401*D9401/100)</f>
        <v/>
      </c>
      <c r="F9401" s="15" t="str">
        <f aca="false">IF(B9401&lt;5,"Go","Standard")</f>
        <v>Standard</v>
      </c>
    </row>
    <row r="9402" customFormat="false" ht="15" hidden="false" customHeight="true" outlineLevel="0" collapsed="false">
      <c r="A9402" s="10" t="n">
        <f aca="false">Einstellungen!$B$5+INT((ROW()-9)/24)</f>
        <v>46357</v>
      </c>
      <c r="B9402" s="11" t="n">
        <f aca="false">MOD(ROW()-9,24)</f>
        <v>9</v>
      </c>
      <c r="C9402" s="12"/>
      <c r="D9402" s="13" t="n">
        <f aca="false">IF(B9402&lt;5,Einstellungen!$B$3,Einstellungen!$B$4)</f>
        <v>29.13</v>
      </c>
      <c r="E9402" s="14" t="str">
        <f aca="false">IF(C9402="","",C9402*D9402/100)</f>
        <v/>
      </c>
      <c r="F9402" s="15" t="str">
        <f aca="false">IF(B9402&lt;5,"Go","Standard")</f>
        <v>Standard</v>
      </c>
    </row>
    <row r="9403" customFormat="false" ht="15" hidden="false" customHeight="true" outlineLevel="0" collapsed="false">
      <c r="A9403" s="10" t="n">
        <f aca="false">Einstellungen!$B$5+INT((ROW()-9)/24)</f>
        <v>46357</v>
      </c>
      <c r="B9403" s="11" t="n">
        <f aca="false">MOD(ROW()-9,24)</f>
        <v>10</v>
      </c>
      <c r="C9403" s="12"/>
      <c r="D9403" s="13" t="n">
        <f aca="false">IF(B9403&lt;5,Einstellungen!$B$3,Einstellungen!$B$4)</f>
        <v>29.13</v>
      </c>
      <c r="E9403" s="14" t="str">
        <f aca="false">IF(C9403="","",C9403*D9403/100)</f>
        <v/>
      </c>
      <c r="F9403" s="15" t="str">
        <f aca="false">IF(B9403&lt;5,"Go","Standard")</f>
        <v>Standard</v>
      </c>
    </row>
    <row r="9404" customFormat="false" ht="15" hidden="false" customHeight="true" outlineLevel="0" collapsed="false">
      <c r="A9404" s="10" t="n">
        <f aca="false">Einstellungen!$B$5+INT((ROW()-9)/24)</f>
        <v>46357</v>
      </c>
      <c r="B9404" s="11" t="n">
        <f aca="false">MOD(ROW()-9,24)</f>
        <v>11</v>
      </c>
      <c r="C9404" s="12"/>
      <c r="D9404" s="13" t="n">
        <f aca="false">IF(B9404&lt;5,Einstellungen!$B$3,Einstellungen!$B$4)</f>
        <v>29.13</v>
      </c>
      <c r="E9404" s="14" t="str">
        <f aca="false">IF(C9404="","",C9404*D9404/100)</f>
        <v/>
      </c>
      <c r="F9404" s="15" t="str">
        <f aca="false">IF(B9404&lt;5,"Go","Standard")</f>
        <v>Standard</v>
      </c>
    </row>
    <row r="9405" customFormat="false" ht="15" hidden="false" customHeight="true" outlineLevel="0" collapsed="false">
      <c r="A9405" s="10" t="n">
        <f aca="false">Einstellungen!$B$5+INT((ROW()-9)/24)</f>
        <v>46357</v>
      </c>
      <c r="B9405" s="11" t="n">
        <f aca="false">MOD(ROW()-9,24)</f>
        <v>12</v>
      </c>
      <c r="C9405" s="12"/>
      <c r="D9405" s="13" t="n">
        <f aca="false">IF(B9405&lt;5,Einstellungen!$B$3,Einstellungen!$B$4)</f>
        <v>29.13</v>
      </c>
      <c r="E9405" s="14" t="str">
        <f aca="false">IF(C9405="","",C9405*D9405/100)</f>
        <v/>
      </c>
      <c r="F9405" s="15" t="str">
        <f aca="false">IF(B9405&lt;5,"Go","Standard")</f>
        <v>Standard</v>
      </c>
    </row>
    <row r="9406" customFormat="false" ht="15" hidden="false" customHeight="true" outlineLevel="0" collapsed="false">
      <c r="A9406" s="10" t="n">
        <f aca="false">Einstellungen!$B$5+INT((ROW()-9)/24)</f>
        <v>46357</v>
      </c>
      <c r="B9406" s="11" t="n">
        <f aca="false">MOD(ROW()-9,24)</f>
        <v>13</v>
      </c>
      <c r="C9406" s="12"/>
      <c r="D9406" s="13" t="n">
        <f aca="false">IF(B9406&lt;5,Einstellungen!$B$3,Einstellungen!$B$4)</f>
        <v>29.13</v>
      </c>
      <c r="E9406" s="14" t="str">
        <f aca="false">IF(C9406="","",C9406*D9406/100)</f>
        <v/>
      </c>
      <c r="F9406" s="15" t="str">
        <f aca="false">IF(B9406&lt;5,"Go","Standard")</f>
        <v>Standard</v>
      </c>
    </row>
    <row r="9407" customFormat="false" ht="15" hidden="false" customHeight="true" outlineLevel="0" collapsed="false">
      <c r="A9407" s="10" t="n">
        <f aca="false">Einstellungen!$B$5+INT((ROW()-9)/24)</f>
        <v>46357</v>
      </c>
      <c r="B9407" s="11" t="n">
        <f aca="false">MOD(ROW()-9,24)</f>
        <v>14</v>
      </c>
      <c r="C9407" s="12"/>
      <c r="D9407" s="13" t="n">
        <f aca="false">IF(B9407&lt;5,Einstellungen!$B$3,Einstellungen!$B$4)</f>
        <v>29.13</v>
      </c>
      <c r="E9407" s="14" t="str">
        <f aca="false">IF(C9407="","",C9407*D9407/100)</f>
        <v/>
      </c>
      <c r="F9407" s="15" t="str">
        <f aca="false">IF(B9407&lt;5,"Go","Standard")</f>
        <v>Standard</v>
      </c>
    </row>
    <row r="9408" customFormat="false" ht="15" hidden="false" customHeight="true" outlineLevel="0" collapsed="false">
      <c r="A9408" s="10" t="n">
        <f aca="false">Einstellungen!$B$5+INT((ROW()-9)/24)</f>
        <v>46357</v>
      </c>
      <c r="B9408" s="11" t="n">
        <f aca="false">MOD(ROW()-9,24)</f>
        <v>15</v>
      </c>
      <c r="C9408" s="12"/>
      <c r="D9408" s="13" t="n">
        <f aca="false">IF(B9408&lt;5,Einstellungen!$B$3,Einstellungen!$B$4)</f>
        <v>29.13</v>
      </c>
      <c r="E9408" s="14" t="str">
        <f aca="false">IF(C9408="","",C9408*D9408/100)</f>
        <v/>
      </c>
      <c r="F9408" s="15" t="str">
        <f aca="false">IF(B9408&lt;5,"Go","Standard")</f>
        <v>Standard</v>
      </c>
    </row>
    <row r="9409" customFormat="false" ht="15" hidden="false" customHeight="true" outlineLevel="0" collapsed="false">
      <c r="A9409" s="10" t="n">
        <f aca="false">Einstellungen!$B$5+INT((ROW()-9)/24)</f>
        <v>46357</v>
      </c>
      <c r="B9409" s="11" t="n">
        <f aca="false">MOD(ROW()-9,24)</f>
        <v>16</v>
      </c>
      <c r="C9409" s="12"/>
      <c r="D9409" s="13" t="n">
        <f aca="false">IF(B9409&lt;5,Einstellungen!$B$3,Einstellungen!$B$4)</f>
        <v>29.13</v>
      </c>
      <c r="E9409" s="14" t="str">
        <f aca="false">IF(C9409="","",C9409*D9409/100)</f>
        <v/>
      </c>
      <c r="F9409" s="15" t="str">
        <f aca="false">IF(B9409&lt;5,"Go","Standard")</f>
        <v>Standard</v>
      </c>
    </row>
    <row r="9410" customFormat="false" ht="15" hidden="false" customHeight="true" outlineLevel="0" collapsed="false">
      <c r="A9410" s="10" t="n">
        <f aca="false">Einstellungen!$B$5+INT((ROW()-9)/24)</f>
        <v>46357</v>
      </c>
      <c r="B9410" s="11" t="n">
        <f aca="false">MOD(ROW()-9,24)</f>
        <v>17</v>
      </c>
      <c r="C9410" s="12"/>
      <c r="D9410" s="13" t="n">
        <f aca="false">IF(B9410&lt;5,Einstellungen!$B$3,Einstellungen!$B$4)</f>
        <v>29.13</v>
      </c>
      <c r="E9410" s="14" t="str">
        <f aca="false">IF(C9410="","",C9410*D9410/100)</f>
        <v/>
      </c>
      <c r="F9410" s="15" t="str">
        <f aca="false">IF(B9410&lt;5,"Go","Standard")</f>
        <v>Standard</v>
      </c>
    </row>
    <row r="9411" customFormat="false" ht="15" hidden="false" customHeight="true" outlineLevel="0" collapsed="false">
      <c r="A9411" s="10" t="n">
        <f aca="false">Einstellungen!$B$5+INT((ROW()-9)/24)</f>
        <v>46357</v>
      </c>
      <c r="B9411" s="11" t="n">
        <f aca="false">MOD(ROW()-9,24)</f>
        <v>18</v>
      </c>
      <c r="C9411" s="12"/>
      <c r="D9411" s="13" t="n">
        <f aca="false">IF(B9411&lt;5,Einstellungen!$B$3,Einstellungen!$B$4)</f>
        <v>29.13</v>
      </c>
      <c r="E9411" s="14" t="str">
        <f aca="false">IF(C9411="","",C9411*D9411/100)</f>
        <v/>
      </c>
      <c r="F9411" s="15" t="str">
        <f aca="false">IF(B9411&lt;5,"Go","Standard")</f>
        <v>Standard</v>
      </c>
    </row>
    <row r="9412" customFormat="false" ht="15" hidden="false" customHeight="true" outlineLevel="0" collapsed="false">
      <c r="A9412" s="10" t="n">
        <f aca="false">Einstellungen!$B$5+INT((ROW()-9)/24)</f>
        <v>46357</v>
      </c>
      <c r="B9412" s="11" t="n">
        <f aca="false">MOD(ROW()-9,24)</f>
        <v>19</v>
      </c>
      <c r="C9412" s="12"/>
      <c r="D9412" s="13" t="n">
        <f aca="false">IF(B9412&lt;5,Einstellungen!$B$3,Einstellungen!$B$4)</f>
        <v>29.13</v>
      </c>
      <c r="E9412" s="14" t="str">
        <f aca="false">IF(C9412="","",C9412*D9412/100)</f>
        <v/>
      </c>
      <c r="F9412" s="15" t="str">
        <f aca="false">IF(B9412&lt;5,"Go","Standard")</f>
        <v>Standard</v>
      </c>
    </row>
    <row r="9413" customFormat="false" ht="15" hidden="false" customHeight="true" outlineLevel="0" collapsed="false">
      <c r="A9413" s="10" t="n">
        <f aca="false">Einstellungen!$B$5+INT((ROW()-9)/24)</f>
        <v>46357</v>
      </c>
      <c r="B9413" s="11" t="n">
        <f aca="false">MOD(ROW()-9,24)</f>
        <v>20</v>
      </c>
      <c r="C9413" s="12"/>
      <c r="D9413" s="13" t="n">
        <f aca="false">IF(B9413&lt;5,Einstellungen!$B$3,Einstellungen!$B$4)</f>
        <v>29.13</v>
      </c>
      <c r="E9413" s="14" t="str">
        <f aca="false">IF(C9413="","",C9413*D9413/100)</f>
        <v/>
      </c>
      <c r="F9413" s="15" t="str">
        <f aca="false">IF(B9413&lt;5,"Go","Standard")</f>
        <v>Standard</v>
      </c>
    </row>
    <row r="9414" customFormat="false" ht="15" hidden="false" customHeight="true" outlineLevel="0" collapsed="false">
      <c r="A9414" s="10" t="n">
        <f aca="false">Einstellungen!$B$5+INT((ROW()-9)/24)</f>
        <v>46357</v>
      </c>
      <c r="B9414" s="11" t="n">
        <f aca="false">MOD(ROW()-9,24)</f>
        <v>21</v>
      </c>
      <c r="C9414" s="12"/>
      <c r="D9414" s="13" t="n">
        <f aca="false">IF(B9414&lt;5,Einstellungen!$B$3,Einstellungen!$B$4)</f>
        <v>29.13</v>
      </c>
      <c r="E9414" s="14" t="str">
        <f aca="false">IF(C9414="","",C9414*D9414/100)</f>
        <v/>
      </c>
      <c r="F9414" s="15" t="str">
        <f aca="false">IF(B9414&lt;5,"Go","Standard")</f>
        <v>Standard</v>
      </c>
    </row>
    <row r="9415" customFormat="false" ht="15" hidden="false" customHeight="true" outlineLevel="0" collapsed="false">
      <c r="A9415" s="10" t="n">
        <f aca="false">Einstellungen!$B$5+INT((ROW()-9)/24)</f>
        <v>46357</v>
      </c>
      <c r="B9415" s="11" t="n">
        <f aca="false">MOD(ROW()-9,24)</f>
        <v>22</v>
      </c>
      <c r="C9415" s="12"/>
      <c r="D9415" s="13" t="n">
        <f aca="false">IF(B9415&lt;5,Einstellungen!$B$3,Einstellungen!$B$4)</f>
        <v>29.13</v>
      </c>
      <c r="E9415" s="14" t="str">
        <f aca="false">IF(C9415="","",C9415*D9415/100)</f>
        <v/>
      </c>
      <c r="F9415" s="15" t="str">
        <f aca="false">IF(B9415&lt;5,"Go","Standard")</f>
        <v>Standard</v>
      </c>
    </row>
    <row r="9416" customFormat="false" ht="15" hidden="false" customHeight="true" outlineLevel="0" collapsed="false">
      <c r="A9416" s="10" t="n">
        <f aca="false">Einstellungen!$B$5+INT((ROW()-9)/24)</f>
        <v>46357</v>
      </c>
      <c r="B9416" s="11" t="n">
        <f aca="false">MOD(ROW()-9,24)</f>
        <v>23</v>
      </c>
      <c r="C9416" s="12"/>
      <c r="D9416" s="13" t="n">
        <f aca="false">IF(B9416&lt;5,Einstellungen!$B$3,Einstellungen!$B$4)</f>
        <v>29.13</v>
      </c>
      <c r="E9416" s="14" t="str">
        <f aca="false">IF(C9416="","",C9416*D9416/100)</f>
        <v/>
      </c>
      <c r="F9416" s="15" t="str">
        <f aca="false">IF(B9416&lt;5,"Go","Standard")</f>
        <v>Standard</v>
      </c>
    </row>
    <row r="9417" customFormat="false" ht="15" hidden="false" customHeight="true" outlineLevel="0" collapsed="false">
      <c r="A9417" s="10" t="n">
        <f aca="false">Einstellungen!$B$5+INT((ROW()-9)/24)</f>
        <v>46358</v>
      </c>
      <c r="B9417" s="11" t="n">
        <f aca="false">MOD(ROW()-9,24)</f>
        <v>0</v>
      </c>
      <c r="C9417" s="12"/>
      <c r="D9417" s="13" t="n">
        <f aca="false">IF(B9417&lt;5,Einstellungen!$B$3,Einstellungen!$B$4)</f>
        <v>15.92</v>
      </c>
      <c r="E9417" s="14" t="str">
        <f aca="false">IF(C9417="","",C9417*D9417/100)</f>
        <v/>
      </c>
      <c r="F9417" s="15" t="str">
        <f aca="false">IF(B9417&lt;5,"Go","Standard")</f>
        <v>Go</v>
      </c>
    </row>
    <row r="9418" customFormat="false" ht="15" hidden="false" customHeight="true" outlineLevel="0" collapsed="false">
      <c r="A9418" s="10" t="n">
        <f aca="false">Einstellungen!$B$5+INT((ROW()-9)/24)</f>
        <v>46358</v>
      </c>
      <c r="B9418" s="11" t="n">
        <f aca="false">MOD(ROW()-9,24)</f>
        <v>1</v>
      </c>
      <c r="C9418" s="12"/>
      <c r="D9418" s="13" t="n">
        <f aca="false">IF(B9418&lt;5,Einstellungen!$B$3,Einstellungen!$B$4)</f>
        <v>15.92</v>
      </c>
      <c r="E9418" s="14" t="str">
        <f aca="false">IF(C9418="","",C9418*D9418/100)</f>
        <v/>
      </c>
      <c r="F9418" s="15" t="str">
        <f aca="false">IF(B9418&lt;5,"Go","Standard")</f>
        <v>Go</v>
      </c>
    </row>
    <row r="9419" customFormat="false" ht="15" hidden="false" customHeight="true" outlineLevel="0" collapsed="false">
      <c r="A9419" s="10" t="n">
        <f aca="false">Einstellungen!$B$5+INT((ROW()-9)/24)</f>
        <v>46358</v>
      </c>
      <c r="B9419" s="11" t="n">
        <f aca="false">MOD(ROW()-9,24)</f>
        <v>2</v>
      </c>
      <c r="C9419" s="12"/>
      <c r="D9419" s="13" t="n">
        <f aca="false">IF(B9419&lt;5,Einstellungen!$B$3,Einstellungen!$B$4)</f>
        <v>15.92</v>
      </c>
      <c r="E9419" s="14" t="str">
        <f aca="false">IF(C9419="","",C9419*D9419/100)</f>
        <v/>
      </c>
      <c r="F9419" s="15" t="str">
        <f aca="false">IF(B9419&lt;5,"Go","Standard")</f>
        <v>Go</v>
      </c>
    </row>
    <row r="9420" customFormat="false" ht="15" hidden="false" customHeight="true" outlineLevel="0" collapsed="false">
      <c r="A9420" s="10" t="n">
        <f aca="false">Einstellungen!$B$5+INT((ROW()-9)/24)</f>
        <v>46358</v>
      </c>
      <c r="B9420" s="11" t="n">
        <f aca="false">MOD(ROW()-9,24)</f>
        <v>3</v>
      </c>
      <c r="C9420" s="12"/>
      <c r="D9420" s="13" t="n">
        <f aca="false">IF(B9420&lt;5,Einstellungen!$B$3,Einstellungen!$B$4)</f>
        <v>15.92</v>
      </c>
      <c r="E9420" s="14" t="str">
        <f aca="false">IF(C9420="","",C9420*D9420/100)</f>
        <v/>
      </c>
      <c r="F9420" s="15" t="str">
        <f aca="false">IF(B9420&lt;5,"Go","Standard")</f>
        <v>Go</v>
      </c>
    </row>
    <row r="9421" customFormat="false" ht="15" hidden="false" customHeight="true" outlineLevel="0" collapsed="false">
      <c r="A9421" s="10" t="n">
        <f aca="false">Einstellungen!$B$5+INT((ROW()-9)/24)</f>
        <v>46358</v>
      </c>
      <c r="B9421" s="11" t="n">
        <f aca="false">MOD(ROW()-9,24)</f>
        <v>4</v>
      </c>
      <c r="C9421" s="12"/>
      <c r="D9421" s="13" t="n">
        <f aca="false">IF(B9421&lt;5,Einstellungen!$B$3,Einstellungen!$B$4)</f>
        <v>15.92</v>
      </c>
      <c r="E9421" s="14" t="str">
        <f aca="false">IF(C9421="","",C9421*D9421/100)</f>
        <v/>
      </c>
      <c r="F9421" s="15" t="str">
        <f aca="false">IF(B9421&lt;5,"Go","Standard")</f>
        <v>Go</v>
      </c>
    </row>
    <row r="9422" customFormat="false" ht="15" hidden="false" customHeight="true" outlineLevel="0" collapsed="false">
      <c r="A9422" s="10" t="n">
        <f aca="false">Einstellungen!$B$5+INT((ROW()-9)/24)</f>
        <v>46358</v>
      </c>
      <c r="B9422" s="11" t="n">
        <f aca="false">MOD(ROW()-9,24)</f>
        <v>5</v>
      </c>
      <c r="C9422" s="12"/>
      <c r="D9422" s="13" t="n">
        <f aca="false">IF(B9422&lt;5,Einstellungen!$B$3,Einstellungen!$B$4)</f>
        <v>29.13</v>
      </c>
      <c r="E9422" s="14" t="str">
        <f aca="false">IF(C9422="","",C9422*D9422/100)</f>
        <v/>
      </c>
      <c r="F9422" s="15" t="str">
        <f aca="false">IF(B9422&lt;5,"Go","Standard")</f>
        <v>Standard</v>
      </c>
    </row>
    <row r="9423" customFormat="false" ht="15" hidden="false" customHeight="true" outlineLevel="0" collapsed="false">
      <c r="A9423" s="10" t="n">
        <f aca="false">Einstellungen!$B$5+INT((ROW()-9)/24)</f>
        <v>46358</v>
      </c>
      <c r="B9423" s="11" t="n">
        <f aca="false">MOD(ROW()-9,24)</f>
        <v>6</v>
      </c>
      <c r="C9423" s="12"/>
      <c r="D9423" s="13" t="n">
        <f aca="false">IF(B9423&lt;5,Einstellungen!$B$3,Einstellungen!$B$4)</f>
        <v>29.13</v>
      </c>
      <c r="E9423" s="14" t="str">
        <f aca="false">IF(C9423="","",C9423*D9423/100)</f>
        <v/>
      </c>
      <c r="F9423" s="15" t="str">
        <f aca="false">IF(B9423&lt;5,"Go","Standard")</f>
        <v>Standard</v>
      </c>
    </row>
    <row r="9424" customFormat="false" ht="15" hidden="false" customHeight="true" outlineLevel="0" collapsed="false">
      <c r="A9424" s="10" t="n">
        <f aca="false">Einstellungen!$B$5+INT((ROW()-9)/24)</f>
        <v>46358</v>
      </c>
      <c r="B9424" s="11" t="n">
        <f aca="false">MOD(ROW()-9,24)</f>
        <v>7</v>
      </c>
      <c r="C9424" s="12"/>
      <c r="D9424" s="13" t="n">
        <f aca="false">IF(B9424&lt;5,Einstellungen!$B$3,Einstellungen!$B$4)</f>
        <v>29.13</v>
      </c>
      <c r="E9424" s="14" t="str">
        <f aca="false">IF(C9424="","",C9424*D9424/100)</f>
        <v/>
      </c>
      <c r="F9424" s="15" t="str">
        <f aca="false">IF(B9424&lt;5,"Go","Standard")</f>
        <v>Standard</v>
      </c>
    </row>
    <row r="9425" customFormat="false" ht="15" hidden="false" customHeight="true" outlineLevel="0" collapsed="false">
      <c r="A9425" s="10" t="n">
        <f aca="false">Einstellungen!$B$5+INT((ROW()-9)/24)</f>
        <v>46358</v>
      </c>
      <c r="B9425" s="11" t="n">
        <f aca="false">MOD(ROW()-9,24)</f>
        <v>8</v>
      </c>
      <c r="C9425" s="12"/>
      <c r="D9425" s="13" t="n">
        <f aca="false">IF(B9425&lt;5,Einstellungen!$B$3,Einstellungen!$B$4)</f>
        <v>29.13</v>
      </c>
      <c r="E9425" s="14" t="str">
        <f aca="false">IF(C9425="","",C9425*D9425/100)</f>
        <v/>
      </c>
      <c r="F9425" s="15" t="str">
        <f aca="false">IF(B9425&lt;5,"Go","Standard")</f>
        <v>Standard</v>
      </c>
    </row>
    <row r="9426" customFormat="false" ht="15" hidden="false" customHeight="true" outlineLevel="0" collapsed="false">
      <c r="A9426" s="10" t="n">
        <f aca="false">Einstellungen!$B$5+INT((ROW()-9)/24)</f>
        <v>46358</v>
      </c>
      <c r="B9426" s="11" t="n">
        <f aca="false">MOD(ROW()-9,24)</f>
        <v>9</v>
      </c>
      <c r="C9426" s="12"/>
      <c r="D9426" s="13" t="n">
        <f aca="false">IF(B9426&lt;5,Einstellungen!$B$3,Einstellungen!$B$4)</f>
        <v>29.13</v>
      </c>
      <c r="E9426" s="14" t="str">
        <f aca="false">IF(C9426="","",C9426*D9426/100)</f>
        <v/>
      </c>
      <c r="F9426" s="15" t="str">
        <f aca="false">IF(B9426&lt;5,"Go","Standard")</f>
        <v>Standard</v>
      </c>
    </row>
    <row r="9427" customFormat="false" ht="15" hidden="false" customHeight="true" outlineLevel="0" collapsed="false">
      <c r="A9427" s="10" t="n">
        <f aca="false">Einstellungen!$B$5+INT((ROW()-9)/24)</f>
        <v>46358</v>
      </c>
      <c r="B9427" s="11" t="n">
        <f aca="false">MOD(ROW()-9,24)</f>
        <v>10</v>
      </c>
      <c r="C9427" s="12"/>
      <c r="D9427" s="13" t="n">
        <f aca="false">IF(B9427&lt;5,Einstellungen!$B$3,Einstellungen!$B$4)</f>
        <v>29.13</v>
      </c>
      <c r="E9427" s="14" t="str">
        <f aca="false">IF(C9427="","",C9427*D9427/100)</f>
        <v/>
      </c>
      <c r="F9427" s="15" t="str">
        <f aca="false">IF(B9427&lt;5,"Go","Standard")</f>
        <v>Standard</v>
      </c>
    </row>
    <row r="9428" customFormat="false" ht="15" hidden="false" customHeight="true" outlineLevel="0" collapsed="false">
      <c r="A9428" s="10" t="n">
        <f aca="false">Einstellungen!$B$5+INT((ROW()-9)/24)</f>
        <v>46358</v>
      </c>
      <c r="B9428" s="11" t="n">
        <f aca="false">MOD(ROW()-9,24)</f>
        <v>11</v>
      </c>
      <c r="C9428" s="12"/>
      <c r="D9428" s="13" t="n">
        <f aca="false">IF(B9428&lt;5,Einstellungen!$B$3,Einstellungen!$B$4)</f>
        <v>29.13</v>
      </c>
      <c r="E9428" s="14" t="str">
        <f aca="false">IF(C9428="","",C9428*D9428/100)</f>
        <v/>
      </c>
      <c r="F9428" s="15" t="str">
        <f aca="false">IF(B9428&lt;5,"Go","Standard")</f>
        <v>Standard</v>
      </c>
    </row>
    <row r="9429" customFormat="false" ht="15" hidden="false" customHeight="true" outlineLevel="0" collapsed="false">
      <c r="A9429" s="10" t="n">
        <f aca="false">Einstellungen!$B$5+INT((ROW()-9)/24)</f>
        <v>46358</v>
      </c>
      <c r="B9429" s="11" t="n">
        <f aca="false">MOD(ROW()-9,24)</f>
        <v>12</v>
      </c>
      <c r="C9429" s="12"/>
      <c r="D9429" s="13" t="n">
        <f aca="false">IF(B9429&lt;5,Einstellungen!$B$3,Einstellungen!$B$4)</f>
        <v>29.13</v>
      </c>
      <c r="E9429" s="14" t="str">
        <f aca="false">IF(C9429="","",C9429*D9429/100)</f>
        <v/>
      </c>
      <c r="F9429" s="15" t="str">
        <f aca="false">IF(B9429&lt;5,"Go","Standard")</f>
        <v>Standard</v>
      </c>
    </row>
    <row r="9430" customFormat="false" ht="15" hidden="false" customHeight="true" outlineLevel="0" collapsed="false">
      <c r="A9430" s="10" t="n">
        <f aca="false">Einstellungen!$B$5+INT((ROW()-9)/24)</f>
        <v>46358</v>
      </c>
      <c r="B9430" s="11" t="n">
        <f aca="false">MOD(ROW()-9,24)</f>
        <v>13</v>
      </c>
      <c r="C9430" s="12"/>
      <c r="D9430" s="13" t="n">
        <f aca="false">IF(B9430&lt;5,Einstellungen!$B$3,Einstellungen!$B$4)</f>
        <v>29.13</v>
      </c>
      <c r="E9430" s="14" t="str">
        <f aca="false">IF(C9430="","",C9430*D9430/100)</f>
        <v/>
      </c>
      <c r="F9430" s="15" t="str">
        <f aca="false">IF(B9430&lt;5,"Go","Standard")</f>
        <v>Standard</v>
      </c>
    </row>
    <row r="9431" customFormat="false" ht="15" hidden="false" customHeight="true" outlineLevel="0" collapsed="false">
      <c r="A9431" s="10" t="n">
        <f aca="false">Einstellungen!$B$5+INT((ROW()-9)/24)</f>
        <v>46358</v>
      </c>
      <c r="B9431" s="11" t="n">
        <f aca="false">MOD(ROW()-9,24)</f>
        <v>14</v>
      </c>
      <c r="C9431" s="12"/>
      <c r="D9431" s="13" t="n">
        <f aca="false">IF(B9431&lt;5,Einstellungen!$B$3,Einstellungen!$B$4)</f>
        <v>29.13</v>
      </c>
      <c r="E9431" s="14" t="str">
        <f aca="false">IF(C9431="","",C9431*D9431/100)</f>
        <v/>
      </c>
      <c r="F9431" s="15" t="str">
        <f aca="false">IF(B9431&lt;5,"Go","Standard")</f>
        <v>Standard</v>
      </c>
    </row>
    <row r="9432" customFormat="false" ht="15" hidden="false" customHeight="true" outlineLevel="0" collapsed="false">
      <c r="A9432" s="10" t="n">
        <f aca="false">Einstellungen!$B$5+INT((ROW()-9)/24)</f>
        <v>46358</v>
      </c>
      <c r="B9432" s="11" t="n">
        <f aca="false">MOD(ROW()-9,24)</f>
        <v>15</v>
      </c>
      <c r="C9432" s="12"/>
      <c r="D9432" s="13" t="n">
        <f aca="false">IF(B9432&lt;5,Einstellungen!$B$3,Einstellungen!$B$4)</f>
        <v>29.13</v>
      </c>
      <c r="E9432" s="14" t="str">
        <f aca="false">IF(C9432="","",C9432*D9432/100)</f>
        <v/>
      </c>
      <c r="F9432" s="15" t="str">
        <f aca="false">IF(B9432&lt;5,"Go","Standard")</f>
        <v>Standard</v>
      </c>
    </row>
    <row r="9433" customFormat="false" ht="15" hidden="false" customHeight="true" outlineLevel="0" collapsed="false">
      <c r="A9433" s="10" t="n">
        <f aca="false">Einstellungen!$B$5+INT((ROW()-9)/24)</f>
        <v>46358</v>
      </c>
      <c r="B9433" s="11" t="n">
        <f aca="false">MOD(ROW()-9,24)</f>
        <v>16</v>
      </c>
      <c r="C9433" s="12"/>
      <c r="D9433" s="13" t="n">
        <f aca="false">IF(B9433&lt;5,Einstellungen!$B$3,Einstellungen!$B$4)</f>
        <v>29.13</v>
      </c>
      <c r="E9433" s="14" t="str">
        <f aca="false">IF(C9433="","",C9433*D9433/100)</f>
        <v/>
      </c>
      <c r="F9433" s="15" t="str">
        <f aca="false">IF(B9433&lt;5,"Go","Standard")</f>
        <v>Standard</v>
      </c>
    </row>
    <row r="9434" customFormat="false" ht="15" hidden="false" customHeight="true" outlineLevel="0" collapsed="false">
      <c r="A9434" s="10" t="n">
        <f aca="false">Einstellungen!$B$5+INT((ROW()-9)/24)</f>
        <v>46358</v>
      </c>
      <c r="B9434" s="11" t="n">
        <f aca="false">MOD(ROW()-9,24)</f>
        <v>17</v>
      </c>
      <c r="C9434" s="12"/>
      <c r="D9434" s="13" t="n">
        <f aca="false">IF(B9434&lt;5,Einstellungen!$B$3,Einstellungen!$B$4)</f>
        <v>29.13</v>
      </c>
      <c r="E9434" s="14" t="str">
        <f aca="false">IF(C9434="","",C9434*D9434/100)</f>
        <v/>
      </c>
      <c r="F9434" s="15" t="str">
        <f aca="false">IF(B9434&lt;5,"Go","Standard")</f>
        <v>Standard</v>
      </c>
    </row>
    <row r="9435" customFormat="false" ht="15" hidden="false" customHeight="true" outlineLevel="0" collapsed="false">
      <c r="A9435" s="10" t="n">
        <f aca="false">Einstellungen!$B$5+INT((ROW()-9)/24)</f>
        <v>46358</v>
      </c>
      <c r="B9435" s="11" t="n">
        <f aca="false">MOD(ROW()-9,24)</f>
        <v>18</v>
      </c>
      <c r="C9435" s="12"/>
      <c r="D9435" s="13" t="n">
        <f aca="false">IF(B9435&lt;5,Einstellungen!$B$3,Einstellungen!$B$4)</f>
        <v>29.13</v>
      </c>
      <c r="E9435" s="14" t="str">
        <f aca="false">IF(C9435="","",C9435*D9435/100)</f>
        <v/>
      </c>
      <c r="F9435" s="15" t="str">
        <f aca="false">IF(B9435&lt;5,"Go","Standard")</f>
        <v>Standard</v>
      </c>
    </row>
    <row r="9436" customFormat="false" ht="15" hidden="false" customHeight="true" outlineLevel="0" collapsed="false">
      <c r="A9436" s="10" t="n">
        <f aca="false">Einstellungen!$B$5+INT((ROW()-9)/24)</f>
        <v>46358</v>
      </c>
      <c r="B9436" s="11" t="n">
        <f aca="false">MOD(ROW()-9,24)</f>
        <v>19</v>
      </c>
      <c r="C9436" s="12"/>
      <c r="D9436" s="13" t="n">
        <f aca="false">IF(B9436&lt;5,Einstellungen!$B$3,Einstellungen!$B$4)</f>
        <v>29.13</v>
      </c>
      <c r="E9436" s="14" t="str">
        <f aca="false">IF(C9436="","",C9436*D9436/100)</f>
        <v/>
      </c>
      <c r="F9436" s="15" t="str">
        <f aca="false">IF(B9436&lt;5,"Go","Standard")</f>
        <v>Standard</v>
      </c>
    </row>
    <row r="9437" customFormat="false" ht="15" hidden="false" customHeight="true" outlineLevel="0" collapsed="false">
      <c r="A9437" s="10" t="n">
        <f aca="false">Einstellungen!$B$5+INT((ROW()-9)/24)</f>
        <v>46358</v>
      </c>
      <c r="B9437" s="11" t="n">
        <f aca="false">MOD(ROW()-9,24)</f>
        <v>20</v>
      </c>
      <c r="C9437" s="12"/>
      <c r="D9437" s="13" t="n">
        <f aca="false">IF(B9437&lt;5,Einstellungen!$B$3,Einstellungen!$B$4)</f>
        <v>29.13</v>
      </c>
      <c r="E9437" s="14" t="str">
        <f aca="false">IF(C9437="","",C9437*D9437/100)</f>
        <v/>
      </c>
      <c r="F9437" s="15" t="str">
        <f aca="false">IF(B9437&lt;5,"Go","Standard")</f>
        <v>Standard</v>
      </c>
    </row>
    <row r="9438" customFormat="false" ht="15" hidden="false" customHeight="true" outlineLevel="0" collapsed="false">
      <c r="A9438" s="10" t="n">
        <f aca="false">Einstellungen!$B$5+INT((ROW()-9)/24)</f>
        <v>46358</v>
      </c>
      <c r="B9438" s="11" t="n">
        <f aca="false">MOD(ROW()-9,24)</f>
        <v>21</v>
      </c>
      <c r="C9438" s="12"/>
      <c r="D9438" s="13" t="n">
        <f aca="false">IF(B9438&lt;5,Einstellungen!$B$3,Einstellungen!$B$4)</f>
        <v>29.13</v>
      </c>
      <c r="E9438" s="14" t="str">
        <f aca="false">IF(C9438="","",C9438*D9438/100)</f>
        <v/>
      </c>
      <c r="F9438" s="15" t="str">
        <f aca="false">IF(B9438&lt;5,"Go","Standard")</f>
        <v>Standard</v>
      </c>
    </row>
    <row r="9439" customFormat="false" ht="15" hidden="false" customHeight="true" outlineLevel="0" collapsed="false">
      <c r="A9439" s="10" t="n">
        <f aca="false">Einstellungen!$B$5+INT((ROW()-9)/24)</f>
        <v>46358</v>
      </c>
      <c r="B9439" s="11" t="n">
        <f aca="false">MOD(ROW()-9,24)</f>
        <v>22</v>
      </c>
      <c r="C9439" s="12"/>
      <c r="D9439" s="13" t="n">
        <f aca="false">IF(B9439&lt;5,Einstellungen!$B$3,Einstellungen!$B$4)</f>
        <v>29.13</v>
      </c>
      <c r="E9439" s="14" t="str">
        <f aca="false">IF(C9439="","",C9439*D9439/100)</f>
        <v/>
      </c>
      <c r="F9439" s="15" t="str">
        <f aca="false">IF(B9439&lt;5,"Go","Standard")</f>
        <v>Standard</v>
      </c>
    </row>
    <row r="9440" customFormat="false" ht="15" hidden="false" customHeight="true" outlineLevel="0" collapsed="false">
      <c r="A9440" s="10" t="n">
        <f aca="false">Einstellungen!$B$5+INT((ROW()-9)/24)</f>
        <v>46358</v>
      </c>
      <c r="B9440" s="11" t="n">
        <f aca="false">MOD(ROW()-9,24)</f>
        <v>23</v>
      </c>
      <c r="C9440" s="12"/>
      <c r="D9440" s="13" t="n">
        <f aca="false">IF(B9440&lt;5,Einstellungen!$B$3,Einstellungen!$B$4)</f>
        <v>29.13</v>
      </c>
      <c r="E9440" s="14" t="str">
        <f aca="false">IF(C9440="","",C9440*D9440/100)</f>
        <v/>
      </c>
      <c r="F9440" s="15" t="str">
        <f aca="false">IF(B9440&lt;5,"Go","Standard")</f>
        <v>Standard</v>
      </c>
    </row>
    <row r="9441" customFormat="false" ht="15" hidden="false" customHeight="true" outlineLevel="0" collapsed="false">
      <c r="A9441" s="10" t="n">
        <f aca="false">Einstellungen!$B$5+INT((ROW()-9)/24)</f>
        <v>46359</v>
      </c>
      <c r="B9441" s="11" t="n">
        <f aca="false">MOD(ROW()-9,24)</f>
        <v>0</v>
      </c>
      <c r="C9441" s="12"/>
      <c r="D9441" s="13" t="n">
        <f aca="false">IF(B9441&lt;5,Einstellungen!$B$3,Einstellungen!$B$4)</f>
        <v>15.92</v>
      </c>
      <c r="E9441" s="14" t="str">
        <f aca="false">IF(C9441="","",C9441*D9441/100)</f>
        <v/>
      </c>
      <c r="F9441" s="15" t="str">
        <f aca="false">IF(B9441&lt;5,"Go","Standard")</f>
        <v>Go</v>
      </c>
    </row>
    <row r="9442" customFormat="false" ht="15" hidden="false" customHeight="true" outlineLevel="0" collapsed="false">
      <c r="A9442" s="10" t="n">
        <f aca="false">Einstellungen!$B$5+INT((ROW()-9)/24)</f>
        <v>46359</v>
      </c>
      <c r="B9442" s="11" t="n">
        <f aca="false">MOD(ROW()-9,24)</f>
        <v>1</v>
      </c>
      <c r="C9442" s="12"/>
      <c r="D9442" s="13" t="n">
        <f aca="false">IF(B9442&lt;5,Einstellungen!$B$3,Einstellungen!$B$4)</f>
        <v>15.92</v>
      </c>
      <c r="E9442" s="14" t="str">
        <f aca="false">IF(C9442="","",C9442*D9442/100)</f>
        <v/>
      </c>
      <c r="F9442" s="15" t="str">
        <f aca="false">IF(B9442&lt;5,"Go","Standard")</f>
        <v>Go</v>
      </c>
    </row>
    <row r="9443" customFormat="false" ht="15" hidden="false" customHeight="true" outlineLevel="0" collapsed="false">
      <c r="A9443" s="10" t="n">
        <f aca="false">Einstellungen!$B$5+INT((ROW()-9)/24)</f>
        <v>46359</v>
      </c>
      <c r="B9443" s="11" t="n">
        <f aca="false">MOD(ROW()-9,24)</f>
        <v>2</v>
      </c>
      <c r="C9443" s="12"/>
      <c r="D9443" s="13" t="n">
        <f aca="false">IF(B9443&lt;5,Einstellungen!$B$3,Einstellungen!$B$4)</f>
        <v>15.92</v>
      </c>
      <c r="E9443" s="14" t="str">
        <f aca="false">IF(C9443="","",C9443*D9443/100)</f>
        <v/>
      </c>
      <c r="F9443" s="15" t="str">
        <f aca="false">IF(B9443&lt;5,"Go","Standard")</f>
        <v>Go</v>
      </c>
    </row>
    <row r="9444" customFormat="false" ht="15" hidden="false" customHeight="true" outlineLevel="0" collapsed="false">
      <c r="A9444" s="10" t="n">
        <f aca="false">Einstellungen!$B$5+INT((ROW()-9)/24)</f>
        <v>46359</v>
      </c>
      <c r="B9444" s="11" t="n">
        <f aca="false">MOD(ROW()-9,24)</f>
        <v>3</v>
      </c>
      <c r="C9444" s="12"/>
      <c r="D9444" s="13" t="n">
        <f aca="false">IF(B9444&lt;5,Einstellungen!$B$3,Einstellungen!$B$4)</f>
        <v>15.92</v>
      </c>
      <c r="E9444" s="14" t="str">
        <f aca="false">IF(C9444="","",C9444*D9444/100)</f>
        <v/>
      </c>
      <c r="F9444" s="15" t="str">
        <f aca="false">IF(B9444&lt;5,"Go","Standard")</f>
        <v>Go</v>
      </c>
    </row>
    <row r="9445" customFormat="false" ht="15" hidden="false" customHeight="true" outlineLevel="0" collapsed="false">
      <c r="A9445" s="10" t="n">
        <f aca="false">Einstellungen!$B$5+INT((ROW()-9)/24)</f>
        <v>46359</v>
      </c>
      <c r="B9445" s="11" t="n">
        <f aca="false">MOD(ROW()-9,24)</f>
        <v>4</v>
      </c>
      <c r="C9445" s="12"/>
      <c r="D9445" s="13" t="n">
        <f aca="false">IF(B9445&lt;5,Einstellungen!$B$3,Einstellungen!$B$4)</f>
        <v>15.92</v>
      </c>
      <c r="E9445" s="14" t="str">
        <f aca="false">IF(C9445="","",C9445*D9445/100)</f>
        <v/>
      </c>
      <c r="F9445" s="15" t="str">
        <f aca="false">IF(B9445&lt;5,"Go","Standard")</f>
        <v>Go</v>
      </c>
    </row>
    <row r="9446" customFormat="false" ht="15" hidden="false" customHeight="true" outlineLevel="0" collapsed="false">
      <c r="A9446" s="10" t="n">
        <f aca="false">Einstellungen!$B$5+INT((ROW()-9)/24)</f>
        <v>46359</v>
      </c>
      <c r="B9446" s="11" t="n">
        <f aca="false">MOD(ROW()-9,24)</f>
        <v>5</v>
      </c>
      <c r="C9446" s="12"/>
      <c r="D9446" s="13" t="n">
        <f aca="false">IF(B9446&lt;5,Einstellungen!$B$3,Einstellungen!$B$4)</f>
        <v>29.13</v>
      </c>
      <c r="E9446" s="14" t="str">
        <f aca="false">IF(C9446="","",C9446*D9446/100)</f>
        <v/>
      </c>
      <c r="F9446" s="15" t="str">
        <f aca="false">IF(B9446&lt;5,"Go","Standard")</f>
        <v>Standard</v>
      </c>
    </row>
    <row r="9447" customFormat="false" ht="15" hidden="false" customHeight="true" outlineLevel="0" collapsed="false">
      <c r="A9447" s="10" t="n">
        <f aca="false">Einstellungen!$B$5+INT((ROW()-9)/24)</f>
        <v>46359</v>
      </c>
      <c r="B9447" s="11" t="n">
        <f aca="false">MOD(ROW()-9,24)</f>
        <v>6</v>
      </c>
      <c r="C9447" s="12"/>
      <c r="D9447" s="13" t="n">
        <f aca="false">IF(B9447&lt;5,Einstellungen!$B$3,Einstellungen!$B$4)</f>
        <v>29.13</v>
      </c>
      <c r="E9447" s="14" t="str">
        <f aca="false">IF(C9447="","",C9447*D9447/100)</f>
        <v/>
      </c>
      <c r="F9447" s="15" t="str">
        <f aca="false">IF(B9447&lt;5,"Go","Standard")</f>
        <v>Standard</v>
      </c>
    </row>
    <row r="9448" customFormat="false" ht="15" hidden="false" customHeight="true" outlineLevel="0" collapsed="false">
      <c r="A9448" s="10" t="n">
        <f aca="false">Einstellungen!$B$5+INT((ROW()-9)/24)</f>
        <v>46359</v>
      </c>
      <c r="B9448" s="11" t="n">
        <f aca="false">MOD(ROW()-9,24)</f>
        <v>7</v>
      </c>
      <c r="C9448" s="12"/>
      <c r="D9448" s="13" t="n">
        <f aca="false">IF(B9448&lt;5,Einstellungen!$B$3,Einstellungen!$B$4)</f>
        <v>29.13</v>
      </c>
      <c r="E9448" s="14" t="str">
        <f aca="false">IF(C9448="","",C9448*D9448/100)</f>
        <v/>
      </c>
      <c r="F9448" s="15" t="str">
        <f aca="false">IF(B9448&lt;5,"Go","Standard")</f>
        <v>Standard</v>
      </c>
    </row>
    <row r="9449" customFormat="false" ht="15" hidden="false" customHeight="true" outlineLevel="0" collapsed="false">
      <c r="A9449" s="10" t="n">
        <f aca="false">Einstellungen!$B$5+INT((ROW()-9)/24)</f>
        <v>46359</v>
      </c>
      <c r="B9449" s="11" t="n">
        <f aca="false">MOD(ROW()-9,24)</f>
        <v>8</v>
      </c>
      <c r="C9449" s="12"/>
      <c r="D9449" s="13" t="n">
        <f aca="false">IF(B9449&lt;5,Einstellungen!$B$3,Einstellungen!$B$4)</f>
        <v>29.13</v>
      </c>
      <c r="E9449" s="14" t="str">
        <f aca="false">IF(C9449="","",C9449*D9449/100)</f>
        <v/>
      </c>
      <c r="F9449" s="15" t="str">
        <f aca="false">IF(B9449&lt;5,"Go","Standard")</f>
        <v>Standard</v>
      </c>
    </row>
    <row r="9450" customFormat="false" ht="15" hidden="false" customHeight="true" outlineLevel="0" collapsed="false">
      <c r="A9450" s="10" t="n">
        <f aca="false">Einstellungen!$B$5+INT((ROW()-9)/24)</f>
        <v>46359</v>
      </c>
      <c r="B9450" s="11" t="n">
        <f aca="false">MOD(ROW()-9,24)</f>
        <v>9</v>
      </c>
      <c r="C9450" s="12"/>
      <c r="D9450" s="13" t="n">
        <f aca="false">IF(B9450&lt;5,Einstellungen!$B$3,Einstellungen!$B$4)</f>
        <v>29.13</v>
      </c>
      <c r="E9450" s="14" t="str">
        <f aca="false">IF(C9450="","",C9450*D9450/100)</f>
        <v/>
      </c>
      <c r="F9450" s="15" t="str">
        <f aca="false">IF(B9450&lt;5,"Go","Standard")</f>
        <v>Standard</v>
      </c>
    </row>
    <row r="9451" customFormat="false" ht="15" hidden="false" customHeight="true" outlineLevel="0" collapsed="false">
      <c r="A9451" s="10" t="n">
        <f aca="false">Einstellungen!$B$5+INT((ROW()-9)/24)</f>
        <v>46359</v>
      </c>
      <c r="B9451" s="11" t="n">
        <f aca="false">MOD(ROW()-9,24)</f>
        <v>10</v>
      </c>
      <c r="C9451" s="12"/>
      <c r="D9451" s="13" t="n">
        <f aca="false">IF(B9451&lt;5,Einstellungen!$B$3,Einstellungen!$B$4)</f>
        <v>29.13</v>
      </c>
      <c r="E9451" s="14" t="str">
        <f aca="false">IF(C9451="","",C9451*D9451/100)</f>
        <v/>
      </c>
      <c r="F9451" s="15" t="str">
        <f aca="false">IF(B9451&lt;5,"Go","Standard")</f>
        <v>Standard</v>
      </c>
    </row>
    <row r="9452" customFormat="false" ht="15" hidden="false" customHeight="true" outlineLevel="0" collapsed="false">
      <c r="A9452" s="10" t="n">
        <f aca="false">Einstellungen!$B$5+INT((ROW()-9)/24)</f>
        <v>46359</v>
      </c>
      <c r="B9452" s="11" t="n">
        <f aca="false">MOD(ROW()-9,24)</f>
        <v>11</v>
      </c>
      <c r="C9452" s="12"/>
      <c r="D9452" s="13" t="n">
        <f aca="false">IF(B9452&lt;5,Einstellungen!$B$3,Einstellungen!$B$4)</f>
        <v>29.13</v>
      </c>
      <c r="E9452" s="14" t="str">
        <f aca="false">IF(C9452="","",C9452*D9452/100)</f>
        <v/>
      </c>
      <c r="F9452" s="15" t="str">
        <f aca="false">IF(B9452&lt;5,"Go","Standard")</f>
        <v>Standard</v>
      </c>
    </row>
    <row r="9453" customFormat="false" ht="15" hidden="false" customHeight="true" outlineLevel="0" collapsed="false">
      <c r="A9453" s="10" t="n">
        <f aca="false">Einstellungen!$B$5+INT((ROW()-9)/24)</f>
        <v>46359</v>
      </c>
      <c r="B9453" s="11" t="n">
        <f aca="false">MOD(ROW()-9,24)</f>
        <v>12</v>
      </c>
      <c r="C9453" s="12"/>
      <c r="D9453" s="13" t="n">
        <f aca="false">IF(B9453&lt;5,Einstellungen!$B$3,Einstellungen!$B$4)</f>
        <v>29.13</v>
      </c>
      <c r="E9453" s="14" t="str">
        <f aca="false">IF(C9453="","",C9453*D9453/100)</f>
        <v/>
      </c>
      <c r="F9453" s="15" t="str">
        <f aca="false">IF(B9453&lt;5,"Go","Standard")</f>
        <v>Standard</v>
      </c>
    </row>
    <row r="9454" customFormat="false" ht="15" hidden="false" customHeight="true" outlineLevel="0" collapsed="false">
      <c r="A9454" s="10" t="n">
        <f aca="false">Einstellungen!$B$5+INT((ROW()-9)/24)</f>
        <v>46359</v>
      </c>
      <c r="B9454" s="11" t="n">
        <f aca="false">MOD(ROW()-9,24)</f>
        <v>13</v>
      </c>
      <c r="C9454" s="12"/>
      <c r="D9454" s="13" t="n">
        <f aca="false">IF(B9454&lt;5,Einstellungen!$B$3,Einstellungen!$B$4)</f>
        <v>29.13</v>
      </c>
      <c r="E9454" s="14" t="str">
        <f aca="false">IF(C9454="","",C9454*D9454/100)</f>
        <v/>
      </c>
      <c r="F9454" s="15" t="str">
        <f aca="false">IF(B9454&lt;5,"Go","Standard")</f>
        <v>Standard</v>
      </c>
    </row>
    <row r="9455" customFormat="false" ht="15" hidden="false" customHeight="true" outlineLevel="0" collapsed="false">
      <c r="A9455" s="10" t="n">
        <f aca="false">Einstellungen!$B$5+INT((ROW()-9)/24)</f>
        <v>46359</v>
      </c>
      <c r="B9455" s="11" t="n">
        <f aca="false">MOD(ROW()-9,24)</f>
        <v>14</v>
      </c>
      <c r="C9455" s="12"/>
      <c r="D9455" s="13" t="n">
        <f aca="false">IF(B9455&lt;5,Einstellungen!$B$3,Einstellungen!$B$4)</f>
        <v>29.13</v>
      </c>
      <c r="E9455" s="14" t="str">
        <f aca="false">IF(C9455="","",C9455*D9455/100)</f>
        <v/>
      </c>
      <c r="F9455" s="15" t="str">
        <f aca="false">IF(B9455&lt;5,"Go","Standard")</f>
        <v>Standard</v>
      </c>
    </row>
    <row r="9456" customFormat="false" ht="15" hidden="false" customHeight="true" outlineLevel="0" collapsed="false">
      <c r="A9456" s="10" t="n">
        <f aca="false">Einstellungen!$B$5+INT((ROW()-9)/24)</f>
        <v>46359</v>
      </c>
      <c r="B9456" s="11" t="n">
        <f aca="false">MOD(ROW()-9,24)</f>
        <v>15</v>
      </c>
      <c r="C9456" s="12"/>
      <c r="D9456" s="13" t="n">
        <f aca="false">IF(B9456&lt;5,Einstellungen!$B$3,Einstellungen!$B$4)</f>
        <v>29.13</v>
      </c>
      <c r="E9456" s="14" t="str">
        <f aca="false">IF(C9456="","",C9456*D9456/100)</f>
        <v/>
      </c>
      <c r="F9456" s="15" t="str">
        <f aca="false">IF(B9456&lt;5,"Go","Standard")</f>
        <v>Standard</v>
      </c>
    </row>
    <row r="9457" customFormat="false" ht="15" hidden="false" customHeight="true" outlineLevel="0" collapsed="false">
      <c r="A9457" s="10" t="n">
        <f aca="false">Einstellungen!$B$5+INT((ROW()-9)/24)</f>
        <v>46359</v>
      </c>
      <c r="B9457" s="11" t="n">
        <f aca="false">MOD(ROW()-9,24)</f>
        <v>16</v>
      </c>
      <c r="C9457" s="12"/>
      <c r="D9457" s="13" t="n">
        <f aca="false">IF(B9457&lt;5,Einstellungen!$B$3,Einstellungen!$B$4)</f>
        <v>29.13</v>
      </c>
      <c r="E9457" s="14" t="str">
        <f aca="false">IF(C9457="","",C9457*D9457/100)</f>
        <v/>
      </c>
      <c r="F9457" s="15" t="str">
        <f aca="false">IF(B9457&lt;5,"Go","Standard")</f>
        <v>Standard</v>
      </c>
    </row>
    <row r="9458" customFormat="false" ht="15" hidden="false" customHeight="true" outlineLevel="0" collapsed="false">
      <c r="A9458" s="10" t="n">
        <f aca="false">Einstellungen!$B$5+INT((ROW()-9)/24)</f>
        <v>46359</v>
      </c>
      <c r="B9458" s="11" t="n">
        <f aca="false">MOD(ROW()-9,24)</f>
        <v>17</v>
      </c>
      <c r="C9458" s="12"/>
      <c r="D9458" s="13" t="n">
        <f aca="false">IF(B9458&lt;5,Einstellungen!$B$3,Einstellungen!$B$4)</f>
        <v>29.13</v>
      </c>
      <c r="E9458" s="14" t="str">
        <f aca="false">IF(C9458="","",C9458*D9458/100)</f>
        <v/>
      </c>
      <c r="F9458" s="15" t="str">
        <f aca="false">IF(B9458&lt;5,"Go","Standard")</f>
        <v>Standard</v>
      </c>
    </row>
    <row r="9459" customFormat="false" ht="15" hidden="false" customHeight="true" outlineLevel="0" collapsed="false">
      <c r="A9459" s="10" t="n">
        <f aca="false">Einstellungen!$B$5+INT((ROW()-9)/24)</f>
        <v>46359</v>
      </c>
      <c r="B9459" s="11" t="n">
        <f aca="false">MOD(ROW()-9,24)</f>
        <v>18</v>
      </c>
      <c r="C9459" s="12"/>
      <c r="D9459" s="13" t="n">
        <f aca="false">IF(B9459&lt;5,Einstellungen!$B$3,Einstellungen!$B$4)</f>
        <v>29.13</v>
      </c>
      <c r="E9459" s="14" t="str">
        <f aca="false">IF(C9459="","",C9459*D9459/100)</f>
        <v/>
      </c>
      <c r="F9459" s="15" t="str">
        <f aca="false">IF(B9459&lt;5,"Go","Standard")</f>
        <v>Standard</v>
      </c>
    </row>
    <row r="9460" customFormat="false" ht="15" hidden="false" customHeight="true" outlineLevel="0" collapsed="false">
      <c r="A9460" s="10" t="n">
        <f aca="false">Einstellungen!$B$5+INT((ROW()-9)/24)</f>
        <v>46359</v>
      </c>
      <c r="B9460" s="11" t="n">
        <f aca="false">MOD(ROW()-9,24)</f>
        <v>19</v>
      </c>
      <c r="C9460" s="12"/>
      <c r="D9460" s="13" t="n">
        <f aca="false">IF(B9460&lt;5,Einstellungen!$B$3,Einstellungen!$B$4)</f>
        <v>29.13</v>
      </c>
      <c r="E9460" s="14" t="str">
        <f aca="false">IF(C9460="","",C9460*D9460/100)</f>
        <v/>
      </c>
      <c r="F9460" s="15" t="str">
        <f aca="false">IF(B9460&lt;5,"Go","Standard")</f>
        <v>Standard</v>
      </c>
    </row>
    <row r="9461" customFormat="false" ht="15" hidden="false" customHeight="true" outlineLevel="0" collapsed="false">
      <c r="A9461" s="10" t="n">
        <f aca="false">Einstellungen!$B$5+INT((ROW()-9)/24)</f>
        <v>46359</v>
      </c>
      <c r="B9461" s="11" t="n">
        <f aca="false">MOD(ROW()-9,24)</f>
        <v>20</v>
      </c>
      <c r="C9461" s="12"/>
      <c r="D9461" s="13" t="n">
        <f aca="false">IF(B9461&lt;5,Einstellungen!$B$3,Einstellungen!$B$4)</f>
        <v>29.13</v>
      </c>
      <c r="E9461" s="14" t="str">
        <f aca="false">IF(C9461="","",C9461*D9461/100)</f>
        <v/>
      </c>
      <c r="F9461" s="15" t="str">
        <f aca="false">IF(B9461&lt;5,"Go","Standard")</f>
        <v>Standard</v>
      </c>
    </row>
    <row r="9462" customFormat="false" ht="15" hidden="false" customHeight="true" outlineLevel="0" collapsed="false">
      <c r="A9462" s="10" t="n">
        <f aca="false">Einstellungen!$B$5+INT((ROW()-9)/24)</f>
        <v>46359</v>
      </c>
      <c r="B9462" s="11" t="n">
        <f aca="false">MOD(ROW()-9,24)</f>
        <v>21</v>
      </c>
      <c r="C9462" s="12"/>
      <c r="D9462" s="13" t="n">
        <f aca="false">IF(B9462&lt;5,Einstellungen!$B$3,Einstellungen!$B$4)</f>
        <v>29.13</v>
      </c>
      <c r="E9462" s="14" t="str">
        <f aca="false">IF(C9462="","",C9462*D9462/100)</f>
        <v/>
      </c>
      <c r="F9462" s="15" t="str">
        <f aca="false">IF(B9462&lt;5,"Go","Standard")</f>
        <v>Standard</v>
      </c>
    </row>
    <row r="9463" customFormat="false" ht="15" hidden="false" customHeight="true" outlineLevel="0" collapsed="false">
      <c r="A9463" s="10" t="n">
        <f aca="false">Einstellungen!$B$5+INT((ROW()-9)/24)</f>
        <v>46359</v>
      </c>
      <c r="B9463" s="11" t="n">
        <f aca="false">MOD(ROW()-9,24)</f>
        <v>22</v>
      </c>
      <c r="C9463" s="12"/>
      <c r="D9463" s="13" t="n">
        <f aca="false">IF(B9463&lt;5,Einstellungen!$B$3,Einstellungen!$B$4)</f>
        <v>29.13</v>
      </c>
      <c r="E9463" s="14" t="str">
        <f aca="false">IF(C9463="","",C9463*D9463/100)</f>
        <v/>
      </c>
      <c r="F9463" s="15" t="str">
        <f aca="false">IF(B9463&lt;5,"Go","Standard")</f>
        <v>Standard</v>
      </c>
    </row>
    <row r="9464" customFormat="false" ht="15" hidden="false" customHeight="true" outlineLevel="0" collapsed="false">
      <c r="A9464" s="10" t="n">
        <f aca="false">Einstellungen!$B$5+INT((ROW()-9)/24)</f>
        <v>46359</v>
      </c>
      <c r="B9464" s="11" t="n">
        <f aca="false">MOD(ROW()-9,24)</f>
        <v>23</v>
      </c>
      <c r="C9464" s="12"/>
      <c r="D9464" s="13" t="n">
        <f aca="false">IF(B9464&lt;5,Einstellungen!$B$3,Einstellungen!$B$4)</f>
        <v>29.13</v>
      </c>
      <c r="E9464" s="14" t="str">
        <f aca="false">IF(C9464="","",C9464*D9464/100)</f>
        <v/>
      </c>
      <c r="F9464" s="15" t="str">
        <f aca="false">IF(B9464&lt;5,"Go","Standard")</f>
        <v>Standard</v>
      </c>
    </row>
    <row r="9465" customFormat="false" ht="15" hidden="false" customHeight="true" outlineLevel="0" collapsed="false">
      <c r="A9465" s="10" t="n">
        <f aca="false">Einstellungen!$B$5+INT((ROW()-9)/24)</f>
        <v>46360</v>
      </c>
      <c r="B9465" s="11" t="n">
        <f aca="false">MOD(ROW()-9,24)</f>
        <v>0</v>
      </c>
      <c r="C9465" s="12"/>
      <c r="D9465" s="13" t="n">
        <f aca="false">IF(B9465&lt;5,Einstellungen!$B$3,Einstellungen!$B$4)</f>
        <v>15.92</v>
      </c>
      <c r="E9465" s="14" t="str">
        <f aca="false">IF(C9465="","",C9465*D9465/100)</f>
        <v/>
      </c>
      <c r="F9465" s="15" t="str">
        <f aca="false">IF(B9465&lt;5,"Go","Standard")</f>
        <v>Go</v>
      </c>
    </row>
    <row r="9466" customFormat="false" ht="15" hidden="false" customHeight="true" outlineLevel="0" collapsed="false">
      <c r="A9466" s="10" t="n">
        <f aca="false">Einstellungen!$B$5+INT((ROW()-9)/24)</f>
        <v>46360</v>
      </c>
      <c r="B9466" s="11" t="n">
        <f aca="false">MOD(ROW()-9,24)</f>
        <v>1</v>
      </c>
      <c r="C9466" s="12"/>
      <c r="D9466" s="13" t="n">
        <f aca="false">IF(B9466&lt;5,Einstellungen!$B$3,Einstellungen!$B$4)</f>
        <v>15.92</v>
      </c>
      <c r="E9466" s="14" t="str">
        <f aca="false">IF(C9466="","",C9466*D9466/100)</f>
        <v/>
      </c>
      <c r="F9466" s="15" t="str">
        <f aca="false">IF(B9466&lt;5,"Go","Standard")</f>
        <v>Go</v>
      </c>
    </row>
    <row r="9467" customFormat="false" ht="15" hidden="false" customHeight="true" outlineLevel="0" collapsed="false">
      <c r="A9467" s="10" t="n">
        <f aca="false">Einstellungen!$B$5+INT((ROW()-9)/24)</f>
        <v>46360</v>
      </c>
      <c r="B9467" s="11" t="n">
        <f aca="false">MOD(ROW()-9,24)</f>
        <v>2</v>
      </c>
      <c r="C9467" s="12"/>
      <c r="D9467" s="13" t="n">
        <f aca="false">IF(B9467&lt;5,Einstellungen!$B$3,Einstellungen!$B$4)</f>
        <v>15.92</v>
      </c>
      <c r="E9467" s="14" t="str">
        <f aca="false">IF(C9467="","",C9467*D9467/100)</f>
        <v/>
      </c>
      <c r="F9467" s="15" t="str">
        <f aca="false">IF(B9467&lt;5,"Go","Standard")</f>
        <v>Go</v>
      </c>
    </row>
    <row r="9468" customFormat="false" ht="15" hidden="false" customHeight="true" outlineLevel="0" collapsed="false">
      <c r="A9468" s="10" t="n">
        <f aca="false">Einstellungen!$B$5+INT((ROW()-9)/24)</f>
        <v>46360</v>
      </c>
      <c r="B9468" s="11" t="n">
        <f aca="false">MOD(ROW()-9,24)</f>
        <v>3</v>
      </c>
      <c r="C9468" s="12"/>
      <c r="D9468" s="13" t="n">
        <f aca="false">IF(B9468&lt;5,Einstellungen!$B$3,Einstellungen!$B$4)</f>
        <v>15.92</v>
      </c>
      <c r="E9468" s="14" t="str">
        <f aca="false">IF(C9468="","",C9468*D9468/100)</f>
        <v/>
      </c>
      <c r="F9468" s="15" t="str">
        <f aca="false">IF(B9468&lt;5,"Go","Standard")</f>
        <v>Go</v>
      </c>
    </row>
    <row r="9469" customFormat="false" ht="15" hidden="false" customHeight="true" outlineLevel="0" collapsed="false">
      <c r="A9469" s="10" t="n">
        <f aca="false">Einstellungen!$B$5+INT((ROW()-9)/24)</f>
        <v>46360</v>
      </c>
      <c r="B9469" s="11" t="n">
        <f aca="false">MOD(ROW()-9,24)</f>
        <v>4</v>
      </c>
      <c r="C9469" s="12"/>
      <c r="D9469" s="13" t="n">
        <f aca="false">IF(B9469&lt;5,Einstellungen!$B$3,Einstellungen!$B$4)</f>
        <v>15.92</v>
      </c>
      <c r="E9469" s="14" t="str">
        <f aca="false">IF(C9469="","",C9469*D9469/100)</f>
        <v/>
      </c>
      <c r="F9469" s="15" t="str">
        <f aca="false">IF(B9469&lt;5,"Go","Standard")</f>
        <v>Go</v>
      </c>
    </row>
    <row r="9470" customFormat="false" ht="15" hidden="false" customHeight="true" outlineLevel="0" collapsed="false">
      <c r="A9470" s="10" t="n">
        <f aca="false">Einstellungen!$B$5+INT((ROW()-9)/24)</f>
        <v>46360</v>
      </c>
      <c r="B9470" s="11" t="n">
        <f aca="false">MOD(ROW()-9,24)</f>
        <v>5</v>
      </c>
      <c r="C9470" s="12"/>
      <c r="D9470" s="13" t="n">
        <f aca="false">IF(B9470&lt;5,Einstellungen!$B$3,Einstellungen!$B$4)</f>
        <v>29.13</v>
      </c>
      <c r="E9470" s="14" t="str">
        <f aca="false">IF(C9470="","",C9470*D9470/100)</f>
        <v/>
      </c>
      <c r="F9470" s="15" t="str">
        <f aca="false">IF(B9470&lt;5,"Go","Standard")</f>
        <v>Standard</v>
      </c>
    </row>
    <row r="9471" customFormat="false" ht="15" hidden="false" customHeight="true" outlineLevel="0" collapsed="false">
      <c r="A9471" s="10" t="n">
        <f aca="false">Einstellungen!$B$5+INT((ROW()-9)/24)</f>
        <v>46360</v>
      </c>
      <c r="B9471" s="11" t="n">
        <f aca="false">MOD(ROW()-9,24)</f>
        <v>6</v>
      </c>
      <c r="C9471" s="12"/>
      <c r="D9471" s="13" t="n">
        <f aca="false">IF(B9471&lt;5,Einstellungen!$B$3,Einstellungen!$B$4)</f>
        <v>29.13</v>
      </c>
      <c r="E9471" s="14" t="str">
        <f aca="false">IF(C9471="","",C9471*D9471/100)</f>
        <v/>
      </c>
      <c r="F9471" s="15" t="str">
        <f aca="false">IF(B9471&lt;5,"Go","Standard")</f>
        <v>Standard</v>
      </c>
    </row>
    <row r="9472" customFormat="false" ht="15" hidden="false" customHeight="true" outlineLevel="0" collapsed="false">
      <c r="A9472" s="10" t="n">
        <f aca="false">Einstellungen!$B$5+INT((ROW()-9)/24)</f>
        <v>46360</v>
      </c>
      <c r="B9472" s="11" t="n">
        <f aca="false">MOD(ROW()-9,24)</f>
        <v>7</v>
      </c>
      <c r="C9472" s="12"/>
      <c r="D9472" s="13" t="n">
        <f aca="false">IF(B9472&lt;5,Einstellungen!$B$3,Einstellungen!$B$4)</f>
        <v>29.13</v>
      </c>
      <c r="E9472" s="14" t="str">
        <f aca="false">IF(C9472="","",C9472*D9472/100)</f>
        <v/>
      </c>
      <c r="F9472" s="15" t="str">
        <f aca="false">IF(B9472&lt;5,"Go","Standard")</f>
        <v>Standard</v>
      </c>
    </row>
    <row r="9473" customFormat="false" ht="15" hidden="false" customHeight="true" outlineLevel="0" collapsed="false">
      <c r="A9473" s="10" t="n">
        <f aca="false">Einstellungen!$B$5+INT((ROW()-9)/24)</f>
        <v>46360</v>
      </c>
      <c r="B9473" s="11" t="n">
        <f aca="false">MOD(ROW()-9,24)</f>
        <v>8</v>
      </c>
      <c r="C9473" s="12"/>
      <c r="D9473" s="13" t="n">
        <f aca="false">IF(B9473&lt;5,Einstellungen!$B$3,Einstellungen!$B$4)</f>
        <v>29.13</v>
      </c>
      <c r="E9473" s="14" t="str">
        <f aca="false">IF(C9473="","",C9473*D9473/100)</f>
        <v/>
      </c>
      <c r="F9473" s="15" t="str">
        <f aca="false">IF(B9473&lt;5,"Go","Standard")</f>
        <v>Standard</v>
      </c>
    </row>
    <row r="9474" customFormat="false" ht="15" hidden="false" customHeight="true" outlineLevel="0" collapsed="false">
      <c r="A9474" s="10" t="n">
        <f aca="false">Einstellungen!$B$5+INT((ROW()-9)/24)</f>
        <v>46360</v>
      </c>
      <c r="B9474" s="11" t="n">
        <f aca="false">MOD(ROW()-9,24)</f>
        <v>9</v>
      </c>
      <c r="C9474" s="12"/>
      <c r="D9474" s="13" t="n">
        <f aca="false">IF(B9474&lt;5,Einstellungen!$B$3,Einstellungen!$B$4)</f>
        <v>29.13</v>
      </c>
      <c r="E9474" s="14" t="str">
        <f aca="false">IF(C9474="","",C9474*D9474/100)</f>
        <v/>
      </c>
      <c r="F9474" s="15" t="str">
        <f aca="false">IF(B9474&lt;5,"Go","Standard")</f>
        <v>Standard</v>
      </c>
    </row>
    <row r="9475" customFormat="false" ht="15" hidden="false" customHeight="true" outlineLevel="0" collapsed="false">
      <c r="A9475" s="10" t="n">
        <f aca="false">Einstellungen!$B$5+INT((ROW()-9)/24)</f>
        <v>46360</v>
      </c>
      <c r="B9475" s="11" t="n">
        <f aca="false">MOD(ROW()-9,24)</f>
        <v>10</v>
      </c>
      <c r="C9475" s="12"/>
      <c r="D9475" s="13" t="n">
        <f aca="false">IF(B9475&lt;5,Einstellungen!$B$3,Einstellungen!$B$4)</f>
        <v>29.13</v>
      </c>
      <c r="E9475" s="14" t="str">
        <f aca="false">IF(C9475="","",C9475*D9475/100)</f>
        <v/>
      </c>
      <c r="F9475" s="15" t="str">
        <f aca="false">IF(B9475&lt;5,"Go","Standard")</f>
        <v>Standard</v>
      </c>
    </row>
    <row r="9476" customFormat="false" ht="15" hidden="false" customHeight="true" outlineLevel="0" collapsed="false">
      <c r="A9476" s="10" t="n">
        <f aca="false">Einstellungen!$B$5+INT((ROW()-9)/24)</f>
        <v>46360</v>
      </c>
      <c r="B9476" s="11" t="n">
        <f aca="false">MOD(ROW()-9,24)</f>
        <v>11</v>
      </c>
      <c r="C9476" s="12"/>
      <c r="D9476" s="13" t="n">
        <f aca="false">IF(B9476&lt;5,Einstellungen!$B$3,Einstellungen!$B$4)</f>
        <v>29.13</v>
      </c>
      <c r="E9476" s="14" t="str">
        <f aca="false">IF(C9476="","",C9476*D9476/100)</f>
        <v/>
      </c>
      <c r="F9476" s="15" t="str">
        <f aca="false">IF(B9476&lt;5,"Go","Standard")</f>
        <v>Standard</v>
      </c>
    </row>
    <row r="9477" customFormat="false" ht="15" hidden="false" customHeight="true" outlineLevel="0" collapsed="false">
      <c r="A9477" s="10" t="n">
        <f aca="false">Einstellungen!$B$5+INT((ROW()-9)/24)</f>
        <v>46360</v>
      </c>
      <c r="B9477" s="11" t="n">
        <f aca="false">MOD(ROW()-9,24)</f>
        <v>12</v>
      </c>
      <c r="C9477" s="12"/>
      <c r="D9477" s="13" t="n">
        <f aca="false">IF(B9477&lt;5,Einstellungen!$B$3,Einstellungen!$B$4)</f>
        <v>29.13</v>
      </c>
      <c r="E9477" s="14" t="str">
        <f aca="false">IF(C9477="","",C9477*D9477/100)</f>
        <v/>
      </c>
      <c r="F9477" s="15" t="str">
        <f aca="false">IF(B9477&lt;5,"Go","Standard")</f>
        <v>Standard</v>
      </c>
    </row>
    <row r="9478" customFormat="false" ht="15" hidden="false" customHeight="true" outlineLevel="0" collapsed="false">
      <c r="A9478" s="10" t="n">
        <f aca="false">Einstellungen!$B$5+INT((ROW()-9)/24)</f>
        <v>46360</v>
      </c>
      <c r="B9478" s="11" t="n">
        <f aca="false">MOD(ROW()-9,24)</f>
        <v>13</v>
      </c>
      <c r="C9478" s="12"/>
      <c r="D9478" s="13" t="n">
        <f aca="false">IF(B9478&lt;5,Einstellungen!$B$3,Einstellungen!$B$4)</f>
        <v>29.13</v>
      </c>
      <c r="E9478" s="14" t="str">
        <f aca="false">IF(C9478="","",C9478*D9478/100)</f>
        <v/>
      </c>
      <c r="F9478" s="15" t="str">
        <f aca="false">IF(B9478&lt;5,"Go","Standard")</f>
        <v>Standard</v>
      </c>
    </row>
    <row r="9479" customFormat="false" ht="15" hidden="false" customHeight="true" outlineLevel="0" collapsed="false">
      <c r="A9479" s="10" t="n">
        <f aca="false">Einstellungen!$B$5+INT((ROW()-9)/24)</f>
        <v>46360</v>
      </c>
      <c r="B9479" s="11" t="n">
        <f aca="false">MOD(ROW()-9,24)</f>
        <v>14</v>
      </c>
      <c r="C9479" s="12"/>
      <c r="D9479" s="13" t="n">
        <f aca="false">IF(B9479&lt;5,Einstellungen!$B$3,Einstellungen!$B$4)</f>
        <v>29.13</v>
      </c>
      <c r="E9479" s="14" t="str">
        <f aca="false">IF(C9479="","",C9479*D9479/100)</f>
        <v/>
      </c>
      <c r="F9479" s="15" t="str">
        <f aca="false">IF(B9479&lt;5,"Go","Standard")</f>
        <v>Standard</v>
      </c>
    </row>
    <row r="9480" customFormat="false" ht="15" hidden="false" customHeight="true" outlineLevel="0" collapsed="false">
      <c r="A9480" s="10" t="n">
        <f aca="false">Einstellungen!$B$5+INT((ROW()-9)/24)</f>
        <v>46360</v>
      </c>
      <c r="B9480" s="11" t="n">
        <f aca="false">MOD(ROW()-9,24)</f>
        <v>15</v>
      </c>
      <c r="C9480" s="12"/>
      <c r="D9480" s="13" t="n">
        <f aca="false">IF(B9480&lt;5,Einstellungen!$B$3,Einstellungen!$B$4)</f>
        <v>29.13</v>
      </c>
      <c r="E9480" s="14" t="str">
        <f aca="false">IF(C9480="","",C9480*D9480/100)</f>
        <v/>
      </c>
      <c r="F9480" s="15" t="str">
        <f aca="false">IF(B9480&lt;5,"Go","Standard")</f>
        <v>Standard</v>
      </c>
    </row>
    <row r="9481" customFormat="false" ht="15" hidden="false" customHeight="true" outlineLevel="0" collapsed="false">
      <c r="A9481" s="10" t="n">
        <f aca="false">Einstellungen!$B$5+INT((ROW()-9)/24)</f>
        <v>46360</v>
      </c>
      <c r="B9481" s="11" t="n">
        <f aca="false">MOD(ROW()-9,24)</f>
        <v>16</v>
      </c>
      <c r="C9481" s="12"/>
      <c r="D9481" s="13" t="n">
        <f aca="false">IF(B9481&lt;5,Einstellungen!$B$3,Einstellungen!$B$4)</f>
        <v>29.13</v>
      </c>
      <c r="E9481" s="14" t="str">
        <f aca="false">IF(C9481="","",C9481*D9481/100)</f>
        <v/>
      </c>
      <c r="F9481" s="15" t="str">
        <f aca="false">IF(B9481&lt;5,"Go","Standard")</f>
        <v>Standard</v>
      </c>
    </row>
    <row r="9482" customFormat="false" ht="15" hidden="false" customHeight="true" outlineLevel="0" collapsed="false">
      <c r="A9482" s="10" t="n">
        <f aca="false">Einstellungen!$B$5+INT((ROW()-9)/24)</f>
        <v>46360</v>
      </c>
      <c r="B9482" s="11" t="n">
        <f aca="false">MOD(ROW()-9,24)</f>
        <v>17</v>
      </c>
      <c r="C9482" s="12"/>
      <c r="D9482" s="13" t="n">
        <f aca="false">IF(B9482&lt;5,Einstellungen!$B$3,Einstellungen!$B$4)</f>
        <v>29.13</v>
      </c>
      <c r="E9482" s="14" t="str">
        <f aca="false">IF(C9482="","",C9482*D9482/100)</f>
        <v/>
      </c>
      <c r="F9482" s="15" t="str">
        <f aca="false">IF(B9482&lt;5,"Go","Standard")</f>
        <v>Standard</v>
      </c>
    </row>
    <row r="9483" customFormat="false" ht="15" hidden="false" customHeight="true" outlineLevel="0" collapsed="false">
      <c r="A9483" s="10" t="n">
        <f aca="false">Einstellungen!$B$5+INT((ROW()-9)/24)</f>
        <v>46360</v>
      </c>
      <c r="B9483" s="11" t="n">
        <f aca="false">MOD(ROW()-9,24)</f>
        <v>18</v>
      </c>
      <c r="C9483" s="12"/>
      <c r="D9483" s="13" t="n">
        <f aca="false">IF(B9483&lt;5,Einstellungen!$B$3,Einstellungen!$B$4)</f>
        <v>29.13</v>
      </c>
      <c r="E9483" s="14" t="str">
        <f aca="false">IF(C9483="","",C9483*D9483/100)</f>
        <v/>
      </c>
      <c r="F9483" s="15" t="str">
        <f aca="false">IF(B9483&lt;5,"Go","Standard")</f>
        <v>Standard</v>
      </c>
    </row>
    <row r="9484" customFormat="false" ht="15" hidden="false" customHeight="true" outlineLevel="0" collapsed="false">
      <c r="A9484" s="10" t="n">
        <f aca="false">Einstellungen!$B$5+INT((ROW()-9)/24)</f>
        <v>46360</v>
      </c>
      <c r="B9484" s="11" t="n">
        <f aca="false">MOD(ROW()-9,24)</f>
        <v>19</v>
      </c>
      <c r="C9484" s="12"/>
      <c r="D9484" s="13" t="n">
        <f aca="false">IF(B9484&lt;5,Einstellungen!$B$3,Einstellungen!$B$4)</f>
        <v>29.13</v>
      </c>
      <c r="E9484" s="14" t="str">
        <f aca="false">IF(C9484="","",C9484*D9484/100)</f>
        <v/>
      </c>
      <c r="F9484" s="15" t="str">
        <f aca="false">IF(B9484&lt;5,"Go","Standard")</f>
        <v>Standard</v>
      </c>
    </row>
    <row r="9485" customFormat="false" ht="15" hidden="false" customHeight="true" outlineLevel="0" collapsed="false">
      <c r="A9485" s="10" t="n">
        <f aca="false">Einstellungen!$B$5+INT((ROW()-9)/24)</f>
        <v>46360</v>
      </c>
      <c r="B9485" s="11" t="n">
        <f aca="false">MOD(ROW()-9,24)</f>
        <v>20</v>
      </c>
      <c r="C9485" s="12"/>
      <c r="D9485" s="13" t="n">
        <f aca="false">IF(B9485&lt;5,Einstellungen!$B$3,Einstellungen!$B$4)</f>
        <v>29.13</v>
      </c>
      <c r="E9485" s="14" t="str">
        <f aca="false">IF(C9485="","",C9485*D9485/100)</f>
        <v/>
      </c>
      <c r="F9485" s="15" t="str">
        <f aca="false">IF(B9485&lt;5,"Go","Standard")</f>
        <v>Standard</v>
      </c>
    </row>
    <row r="9486" customFormat="false" ht="15" hidden="false" customHeight="true" outlineLevel="0" collapsed="false">
      <c r="A9486" s="10" t="n">
        <f aca="false">Einstellungen!$B$5+INT((ROW()-9)/24)</f>
        <v>46360</v>
      </c>
      <c r="B9486" s="11" t="n">
        <f aca="false">MOD(ROW()-9,24)</f>
        <v>21</v>
      </c>
      <c r="C9486" s="12"/>
      <c r="D9486" s="13" t="n">
        <f aca="false">IF(B9486&lt;5,Einstellungen!$B$3,Einstellungen!$B$4)</f>
        <v>29.13</v>
      </c>
      <c r="E9486" s="14" t="str">
        <f aca="false">IF(C9486="","",C9486*D9486/100)</f>
        <v/>
      </c>
      <c r="F9486" s="15" t="str">
        <f aca="false">IF(B9486&lt;5,"Go","Standard")</f>
        <v>Standard</v>
      </c>
    </row>
    <row r="9487" customFormat="false" ht="15" hidden="false" customHeight="true" outlineLevel="0" collapsed="false">
      <c r="A9487" s="10" t="n">
        <f aca="false">Einstellungen!$B$5+INT((ROW()-9)/24)</f>
        <v>46360</v>
      </c>
      <c r="B9487" s="11" t="n">
        <f aca="false">MOD(ROW()-9,24)</f>
        <v>22</v>
      </c>
      <c r="C9487" s="12"/>
      <c r="D9487" s="13" t="n">
        <f aca="false">IF(B9487&lt;5,Einstellungen!$B$3,Einstellungen!$B$4)</f>
        <v>29.13</v>
      </c>
      <c r="E9487" s="14" t="str">
        <f aca="false">IF(C9487="","",C9487*D9487/100)</f>
        <v/>
      </c>
      <c r="F9487" s="15" t="str">
        <f aca="false">IF(B9487&lt;5,"Go","Standard")</f>
        <v>Standard</v>
      </c>
    </row>
    <row r="9488" customFormat="false" ht="15" hidden="false" customHeight="true" outlineLevel="0" collapsed="false">
      <c r="A9488" s="10" t="n">
        <f aca="false">Einstellungen!$B$5+INT((ROW()-9)/24)</f>
        <v>46360</v>
      </c>
      <c r="B9488" s="11" t="n">
        <f aca="false">MOD(ROW()-9,24)</f>
        <v>23</v>
      </c>
      <c r="C9488" s="12"/>
      <c r="D9488" s="13" t="n">
        <f aca="false">IF(B9488&lt;5,Einstellungen!$B$3,Einstellungen!$B$4)</f>
        <v>29.13</v>
      </c>
      <c r="E9488" s="14" t="str">
        <f aca="false">IF(C9488="","",C9488*D9488/100)</f>
        <v/>
      </c>
      <c r="F9488" s="15" t="str">
        <f aca="false">IF(B9488&lt;5,"Go","Standard")</f>
        <v>Standard</v>
      </c>
    </row>
    <row r="9489" customFormat="false" ht="15" hidden="false" customHeight="true" outlineLevel="0" collapsed="false">
      <c r="A9489" s="10" t="n">
        <f aca="false">Einstellungen!$B$5+INT((ROW()-9)/24)</f>
        <v>46361</v>
      </c>
      <c r="B9489" s="11" t="n">
        <f aca="false">MOD(ROW()-9,24)</f>
        <v>0</v>
      </c>
      <c r="C9489" s="12"/>
      <c r="D9489" s="13" t="n">
        <f aca="false">IF(B9489&lt;5,Einstellungen!$B$3,Einstellungen!$B$4)</f>
        <v>15.92</v>
      </c>
      <c r="E9489" s="14" t="str">
        <f aca="false">IF(C9489="","",C9489*D9489/100)</f>
        <v/>
      </c>
      <c r="F9489" s="15" t="str">
        <f aca="false">IF(B9489&lt;5,"Go","Standard")</f>
        <v>Go</v>
      </c>
    </row>
    <row r="9490" customFormat="false" ht="15" hidden="false" customHeight="true" outlineLevel="0" collapsed="false">
      <c r="A9490" s="10" t="n">
        <f aca="false">Einstellungen!$B$5+INT((ROW()-9)/24)</f>
        <v>46361</v>
      </c>
      <c r="B9490" s="11" t="n">
        <f aca="false">MOD(ROW()-9,24)</f>
        <v>1</v>
      </c>
      <c r="C9490" s="12"/>
      <c r="D9490" s="13" t="n">
        <f aca="false">IF(B9490&lt;5,Einstellungen!$B$3,Einstellungen!$B$4)</f>
        <v>15.92</v>
      </c>
      <c r="E9490" s="14" t="str">
        <f aca="false">IF(C9490="","",C9490*D9490/100)</f>
        <v/>
      </c>
      <c r="F9490" s="15" t="str">
        <f aca="false">IF(B9490&lt;5,"Go","Standard")</f>
        <v>Go</v>
      </c>
    </row>
    <row r="9491" customFormat="false" ht="15" hidden="false" customHeight="true" outlineLevel="0" collapsed="false">
      <c r="A9491" s="10" t="n">
        <f aca="false">Einstellungen!$B$5+INT((ROW()-9)/24)</f>
        <v>46361</v>
      </c>
      <c r="B9491" s="11" t="n">
        <f aca="false">MOD(ROW()-9,24)</f>
        <v>2</v>
      </c>
      <c r="C9491" s="12"/>
      <c r="D9491" s="13" t="n">
        <f aca="false">IF(B9491&lt;5,Einstellungen!$B$3,Einstellungen!$B$4)</f>
        <v>15.92</v>
      </c>
      <c r="E9491" s="14" t="str">
        <f aca="false">IF(C9491="","",C9491*D9491/100)</f>
        <v/>
      </c>
      <c r="F9491" s="15" t="str">
        <f aca="false">IF(B9491&lt;5,"Go","Standard")</f>
        <v>Go</v>
      </c>
    </row>
    <row r="9492" customFormat="false" ht="15" hidden="false" customHeight="true" outlineLevel="0" collapsed="false">
      <c r="A9492" s="10" t="n">
        <f aca="false">Einstellungen!$B$5+INT((ROW()-9)/24)</f>
        <v>46361</v>
      </c>
      <c r="B9492" s="11" t="n">
        <f aca="false">MOD(ROW()-9,24)</f>
        <v>3</v>
      </c>
      <c r="C9492" s="12"/>
      <c r="D9492" s="13" t="n">
        <f aca="false">IF(B9492&lt;5,Einstellungen!$B$3,Einstellungen!$B$4)</f>
        <v>15.92</v>
      </c>
      <c r="E9492" s="14" t="str">
        <f aca="false">IF(C9492="","",C9492*D9492/100)</f>
        <v/>
      </c>
      <c r="F9492" s="15" t="str">
        <f aca="false">IF(B9492&lt;5,"Go","Standard")</f>
        <v>Go</v>
      </c>
    </row>
    <row r="9493" customFormat="false" ht="15" hidden="false" customHeight="true" outlineLevel="0" collapsed="false">
      <c r="A9493" s="10" t="n">
        <f aca="false">Einstellungen!$B$5+INT((ROW()-9)/24)</f>
        <v>46361</v>
      </c>
      <c r="B9493" s="11" t="n">
        <f aca="false">MOD(ROW()-9,24)</f>
        <v>4</v>
      </c>
      <c r="C9493" s="12"/>
      <c r="D9493" s="13" t="n">
        <f aca="false">IF(B9493&lt;5,Einstellungen!$B$3,Einstellungen!$B$4)</f>
        <v>15.92</v>
      </c>
      <c r="E9493" s="14" t="str">
        <f aca="false">IF(C9493="","",C9493*D9493/100)</f>
        <v/>
      </c>
      <c r="F9493" s="15" t="str">
        <f aca="false">IF(B9493&lt;5,"Go","Standard")</f>
        <v>Go</v>
      </c>
    </row>
    <row r="9494" customFormat="false" ht="15" hidden="false" customHeight="true" outlineLevel="0" collapsed="false">
      <c r="A9494" s="10" t="n">
        <f aca="false">Einstellungen!$B$5+INT((ROW()-9)/24)</f>
        <v>46361</v>
      </c>
      <c r="B9494" s="11" t="n">
        <f aca="false">MOD(ROW()-9,24)</f>
        <v>5</v>
      </c>
      <c r="C9494" s="12"/>
      <c r="D9494" s="13" t="n">
        <f aca="false">IF(B9494&lt;5,Einstellungen!$B$3,Einstellungen!$B$4)</f>
        <v>29.13</v>
      </c>
      <c r="E9494" s="14" t="str">
        <f aca="false">IF(C9494="","",C9494*D9494/100)</f>
        <v/>
      </c>
      <c r="F9494" s="15" t="str">
        <f aca="false">IF(B9494&lt;5,"Go","Standard")</f>
        <v>Standard</v>
      </c>
    </row>
    <row r="9495" customFormat="false" ht="15" hidden="false" customHeight="true" outlineLevel="0" collapsed="false">
      <c r="A9495" s="10" t="n">
        <f aca="false">Einstellungen!$B$5+INT((ROW()-9)/24)</f>
        <v>46361</v>
      </c>
      <c r="B9495" s="11" t="n">
        <f aca="false">MOD(ROW()-9,24)</f>
        <v>6</v>
      </c>
      <c r="C9495" s="12"/>
      <c r="D9495" s="13" t="n">
        <f aca="false">IF(B9495&lt;5,Einstellungen!$B$3,Einstellungen!$B$4)</f>
        <v>29.13</v>
      </c>
      <c r="E9495" s="14" t="str">
        <f aca="false">IF(C9495="","",C9495*D9495/100)</f>
        <v/>
      </c>
      <c r="F9495" s="15" t="str">
        <f aca="false">IF(B9495&lt;5,"Go","Standard")</f>
        <v>Standard</v>
      </c>
    </row>
    <row r="9496" customFormat="false" ht="15" hidden="false" customHeight="true" outlineLevel="0" collapsed="false">
      <c r="A9496" s="10" t="n">
        <f aca="false">Einstellungen!$B$5+INT((ROW()-9)/24)</f>
        <v>46361</v>
      </c>
      <c r="B9496" s="11" t="n">
        <f aca="false">MOD(ROW()-9,24)</f>
        <v>7</v>
      </c>
      <c r="C9496" s="12"/>
      <c r="D9496" s="13" t="n">
        <f aca="false">IF(B9496&lt;5,Einstellungen!$B$3,Einstellungen!$B$4)</f>
        <v>29.13</v>
      </c>
      <c r="E9496" s="14" t="str">
        <f aca="false">IF(C9496="","",C9496*D9496/100)</f>
        <v/>
      </c>
      <c r="F9496" s="15" t="str">
        <f aca="false">IF(B9496&lt;5,"Go","Standard")</f>
        <v>Standard</v>
      </c>
    </row>
    <row r="9497" customFormat="false" ht="15" hidden="false" customHeight="true" outlineLevel="0" collapsed="false">
      <c r="A9497" s="10" t="n">
        <f aca="false">Einstellungen!$B$5+INT((ROW()-9)/24)</f>
        <v>46361</v>
      </c>
      <c r="B9497" s="11" t="n">
        <f aca="false">MOD(ROW()-9,24)</f>
        <v>8</v>
      </c>
      <c r="C9497" s="12"/>
      <c r="D9497" s="13" t="n">
        <f aca="false">IF(B9497&lt;5,Einstellungen!$B$3,Einstellungen!$B$4)</f>
        <v>29.13</v>
      </c>
      <c r="E9497" s="14" t="str">
        <f aca="false">IF(C9497="","",C9497*D9497/100)</f>
        <v/>
      </c>
      <c r="F9497" s="15" t="str">
        <f aca="false">IF(B9497&lt;5,"Go","Standard")</f>
        <v>Standard</v>
      </c>
    </row>
    <row r="9498" customFormat="false" ht="15" hidden="false" customHeight="true" outlineLevel="0" collapsed="false">
      <c r="A9498" s="10" t="n">
        <f aca="false">Einstellungen!$B$5+INT((ROW()-9)/24)</f>
        <v>46361</v>
      </c>
      <c r="B9498" s="11" t="n">
        <f aca="false">MOD(ROW()-9,24)</f>
        <v>9</v>
      </c>
      <c r="C9498" s="12"/>
      <c r="D9498" s="13" t="n">
        <f aca="false">IF(B9498&lt;5,Einstellungen!$B$3,Einstellungen!$B$4)</f>
        <v>29.13</v>
      </c>
      <c r="E9498" s="14" t="str">
        <f aca="false">IF(C9498="","",C9498*D9498/100)</f>
        <v/>
      </c>
      <c r="F9498" s="15" t="str">
        <f aca="false">IF(B9498&lt;5,"Go","Standard")</f>
        <v>Standard</v>
      </c>
    </row>
    <row r="9499" customFormat="false" ht="15" hidden="false" customHeight="true" outlineLevel="0" collapsed="false">
      <c r="A9499" s="10" t="n">
        <f aca="false">Einstellungen!$B$5+INT((ROW()-9)/24)</f>
        <v>46361</v>
      </c>
      <c r="B9499" s="11" t="n">
        <f aca="false">MOD(ROW()-9,24)</f>
        <v>10</v>
      </c>
      <c r="C9499" s="12"/>
      <c r="D9499" s="13" t="n">
        <f aca="false">IF(B9499&lt;5,Einstellungen!$B$3,Einstellungen!$B$4)</f>
        <v>29.13</v>
      </c>
      <c r="E9499" s="14" t="str">
        <f aca="false">IF(C9499="","",C9499*D9499/100)</f>
        <v/>
      </c>
      <c r="F9499" s="15" t="str">
        <f aca="false">IF(B9499&lt;5,"Go","Standard")</f>
        <v>Standard</v>
      </c>
    </row>
    <row r="9500" customFormat="false" ht="15" hidden="false" customHeight="true" outlineLevel="0" collapsed="false">
      <c r="A9500" s="10" t="n">
        <f aca="false">Einstellungen!$B$5+INT((ROW()-9)/24)</f>
        <v>46361</v>
      </c>
      <c r="B9500" s="11" t="n">
        <f aca="false">MOD(ROW()-9,24)</f>
        <v>11</v>
      </c>
      <c r="C9500" s="12"/>
      <c r="D9500" s="13" t="n">
        <f aca="false">IF(B9500&lt;5,Einstellungen!$B$3,Einstellungen!$B$4)</f>
        <v>29.13</v>
      </c>
      <c r="E9500" s="14" t="str">
        <f aca="false">IF(C9500="","",C9500*D9500/100)</f>
        <v/>
      </c>
      <c r="F9500" s="15" t="str">
        <f aca="false">IF(B9500&lt;5,"Go","Standard")</f>
        <v>Standard</v>
      </c>
    </row>
    <row r="9501" customFormat="false" ht="15" hidden="false" customHeight="true" outlineLevel="0" collapsed="false">
      <c r="A9501" s="10" t="n">
        <f aca="false">Einstellungen!$B$5+INT((ROW()-9)/24)</f>
        <v>46361</v>
      </c>
      <c r="B9501" s="11" t="n">
        <f aca="false">MOD(ROW()-9,24)</f>
        <v>12</v>
      </c>
      <c r="C9501" s="12"/>
      <c r="D9501" s="13" t="n">
        <f aca="false">IF(B9501&lt;5,Einstellungen!$B$3,Einstellungen!$B$4)</f>
        <v>29.13</v>
      </c>
      <c r="E9501" s="14" t="str">
        <f aca="false">IF(C9501="","",C9501*D9501/100)</f>
        <v/>
      </c>
      <c r="F9501" s="15" t="str">
        <f aca="false">IF(B9501&lt;5,"Go","Standard")</f>
        <v>Standard</v>
      </c>
    </row>
    <row r="9502" customFormat="false" ht="15" hidden="false" customHeight="true" outlineLevel="0" collapsed="false">
      <c r="A9502" s="10" t="n">
        <f aca="false">Einstellungen!$B$5+INT((ROW()-9)/24)</f>
        <v>46361</v>
      </c>
      <c r="B9502" s="11" t="n">
        <f aca="false">MOD(ROW()-9,24)</f>
        <v>13</v>
      </c>
      <c r="C9502" s="12"/>
      <c r="D9502" s="13" t="n">
        <f aca="false">IF(B9502&lt;5,Einstellungen!$B$3,Einstellungen!$B$4)</f>
        <v>29.13</v>
      </c>
      <c r="E9502" s="14" t="str">
        <f aca="false">IF(C9502="","",C9502*D9502/100)</f>
        <v/>
      </c>
      <c r="F9502" s="15" t="str">
        <f aca="false">IF(B9502&lt;5,"Go","Standard")</f>
        <v>Standard</v>
      </c>
    </row>
    <row r="9503" customFormat="false" ht="15" hidden="false" customHeight="true" outlineLevel="0" collapsed="false">
      <c r="A9503" s="10" t="n">
        <f aca="false">Einstellungen!$B$5+INT((ROW()-9)/24)</f>
        <v>46361</v>
      </c>
      <c r="B9503" s="11" t="n">
        <f aca="false">MOD(ROW()-9,24)</f>
        <v>14</v>
      </c>
      <c r="C9503" s="12"/>
      <c r="D9503" s="13" t="n">
        <f aca="false">IF(B9503&lt;5,Einstellungen!$B$3,Einstellungen!$B$4)</f>
        <v>29.13</v>
      </c>
      <c r="E9503" s="14" t="str">
        <f aca="false">IF(C9503="","",C9503*D9503/100)</f>
        <v/>
      </c>
      <c r="F9503" s="15" t="str">
        <f aca="false">IF(B9503&lt;5,"Go","Standard")</f>
        <v>Standard</v>
      </c>
    </row>
    <row r="9504" customFormat="false" ht="15" hidden="false" customHeight="true" outlineLevel="0" collapsed="false">
      <c r="A9504" s="10" t="n">
        <f aca="false">Einstellungen!$B$5+INT((ROW()-9)/24)</f>
        <v>46361</v>
      </c>
      <c r="B9504" s="11" t="n">
        <f aca="false">MOD(ROW()-9,24)</f>
        <v>15</v>
      </c>
      <c r="C9504" s="12"/>
      <c r="D9504" s="13" t="n">
        <f aca="false">IF(B9504&lt;5,Einstellungen!$B$3,Einstellungen!$B$4)</f>
        <v>29.13</v>
      </c>
      <c r="E9504" s="14" t="str">
        <f aca="false">IF(C9504="","",C9504*D9504/100)</f>
        <v/>
      </c>
      <c r="F9504" s="15" t="str">
        <f aca="false">IF(B9504&lt;5,"Go","Standard")</f>
        <v>Standard</v>
      </c>
    </row>
    <row r="9505" customFormat="false" ht="15" hidden="false" customHeight="true" outlineLevel="0" collapsed="false">
      <c r="A9505" s="10" t="n">
        <f aca="false">Einstellungen!$B$5+INT((ROW()-9)/24)</f>
        <v>46361</v>
      </c>
      <c r="B9505" s="11" t="n">
        <f aca="false">MOD(ROW()-9,24)</f>
        <v>16</v>
      </c>
      <c r="C9505" s="12"/>
      <c r="D9505" s="13" t="n">
        <f aca="false">IF(B9505&lt;5,Einstellungen!$B$3,Einstellungen!$B$4)</f>
        <v>29.13</v>
      </c>
      <c r="E9505" s="14" t="str">
        <f aca="false">IF(C9505="","",C9505*D9505/100)</f>
        <v/>
      </c>
      <c r="F9505" s="15" t="str">
        <f aca="false">IF(B9505&lt;5,"Go","Standard")</f>
        <v>Standard</v>
      </c>
    </row>
    <row r="9506" customFormat="false" ht="15" hidden="false" customHeight="true" outlineLevel="0" collapsed="false">
      <c r="A9506" s="10" t="n">
        <f aca="false">Einstellungen!$B$5+INT((ROW()-9)/24)</f>
        <v>46361</v>
      </c>
      <c r="B9506" s="11" t="n">
        <f aca="false">MOD(ROW()-9,24)</f>
        <v>17</v>
      </c>
      <c r="C9506" s="12"/>
      <c r="D9506" s="13" t="n">
        <f aca="false">IF(B9506&lt;5,Einstellungen!$B$3,Einstellungen!$B$4)</f>
        <v>29.13</v>
      </c>
      <c r="E9506" s="14" t="str">
        <f aca="false">IF(C9506="","",C9506*D9506/100)</f>
        <v/>
      </c>
      <c r="F9506" s="15" t="str">
        <f aca="false">IF(B9506&lt;5,"Go","Standard")</f>
        <v>Standard</v>
      </c>
    </row>
    <row r="9507" customFormat="false" ht="15" hidden="false" customHeight="true" outlineLevel="0" collapsed="false">
      <c r="A9507" s="10" t="n">
        <f aca="false">Einstellungen!$B$5+INT((ROW()-9)/24)</f>
        <v>46361</v>
      </c>
      <c r="B9507" s="11" t="n">
        <f aca="false">MOD(ROW()-9,24)</f>
        <v>18</v>
      </c>
      <c r="C9507" s="12"/>
      <c r="D9507" s="13" t="n">
        <f aca="false">IF(B9507&lt;5,Einstellungen!$B$3,Einstellungen!$B$4)</f>
        <v>29.13</v>
      </c>
      <c r="E9507" s="14" t="str">
        <f aca="false">IF(C9507="","",C9507*D9507/100)</f>
        <v/>
      </c>
      <c r="F9507" s="15" t="str">
        <f aca="false">IF(B9507&lt;5,"Go","Standard")</f>
        <v>Standard</v>
      </c>
    </row>
    <row r="9508" customFormat="false" ht="15" hidden="false" customHeight="true" outlineLevel="0" collapsed="false">
      <c r="A9508" s="10" t="n">
        <f aca="false">Einstellungen!$B$5+INT((ROW()-9)/24)</f>
        <v>46361</v>
      </c>
      <c r="B9508" s="11" t="n">
        <f aca="false">MOD(ROW()-9,24)</f>
        <v>19</v>
      </c>
      <c r="C9508" s="12"/>
      <c r="D9508" s="13" t="n">
        <f aca="false">IF(B9508&lt;5,Einstellungen!$B$3,Einstellungen!$B$4)</f>
        <v>29.13</v>
      </c>
      <c r="E9508" s="14" t="str">
        <f aca="false">IF(C9508="","",C9508*D9508/100)</f>
        <v/>
      </c>
      <c r="F9508" s="15" t="str">
        <f aca="false">IF(B9508&lt;5,"Go","Standard")</f>
        <v>Standard</v>
      </c>
    </row>
    <row r="9509" customFormat="false" ht="15" hidden="false" customHeight="true" outlineLevel="0" collapsed="false">
      <c r="A9509" s="10" t="n">
        <f aca="false">Einstellungen!$B$5+INT((ROW()-9)/24)</f>
        <v>46361</v>
      </c>
      <c r="B9509" s="11" t="n">
        <f aca="false">MOD(ROW()-9,24)</f>
        <v>20</v>
      </c>
      <c r="C9509" s="12"/>
      <c r="D9509" s="13" t="n">
        <f aca="false">IF(B9509&lt;5,Einstellungen!$B$3,Einstellungen!$B$4)</f>
        <v>29.13</v>
      </c>
      <c r="E9509" s="14" t="str">
        <f aca="false">IF(C9509="","",C9509*D9509/100)</f>
        <v/>
      </c>
      <c r="F9509" s="15" t="str">
        <f aca="false">IF(B9509&lt;5,"Go","Standard")</f>
        <v>Standard</v>
      </c>
    </row>
    <row r="9510" customFormat="false" ht="15" hidden="false" customHeight="true" outlineLevel="0" collapsed="false">
      <c r="A9510" s="10" t="n">
        <f aca="false">Einstellungen!$B$5+INT((ROW()-9)/24)</f>
        <v>46361</v>
      </c>
      <c r="B9510" s="11" t="n">
        <f aca="false">MOD(ROW()-9,24)</f>
        <v>21</v>
      </c>
      <c r="C9510" s="12"/>
      <c r="D9510" s="13" t="n">
        <f aca="false">IF(B9510&lt;5,Einstellungen!$B$3,Einstellungen!$B$4)</f>
        <v>29.13</v>
      </c>
      <c r="E9510" s="14" t="str">
        <f aca="false">IF(C9510="","",C9510*D9510/100)</f>
        <v/>
      </c>
      <c r="F9510" s="15" t="str">
        <f aca="false">IF(B9510&lt;5,"Go","Standard")</f>
        <v>Standard</v>
      </c>
    </row>
    <row r="9511" customFormat="false" ht="15" hidden="false" customHeight="true" outlineLevel="0" collapsed="false">
      <c r="A9511" s="10" t="n">
        <f aca="false">Einstellungen!$B$5+INT((ROW()-9)/24)</f>
        <v>46361</v>
      </c>
      <c r="B9511" s="11" t="n">
        <f aca="false">MOD(ROW()-9,24)</f>
        <v>22</v>
      </c>
      <c r="C9511" s="12"/>
      <c r="D9511" s="13" t="n">
        <f aca="false">IF(B9511&lt;5,Einstellungen!$B$3,Einstellungen!$B$4)</f>
        <v>29.13</v>
      </c>
      <c r="E9511" s="14" t="str">
        <f aca="false">IF(C9511="","",C9511*D9511/100)</f>
        <v/>
      </c>
      <c r="F9511" s="15" t="str">
        <f aca="false">IF(B9511&lt;5,"Go","Standard")</f>
        <v>Standard</v>
      </c>
    </row>
    <row r="9512" customFormat="false" ht="15" hidden="false" customHeight="true" outlineLevel="0" collapsed="false">
      <c r="A9512" s="10" t="n">
        <f aca="false">Einstellungen!$B$5+INT((ROW()-9)/24)</f>
        <v>46361</v>
      </c>
      <c r="B9512" s="11" t="n">
        <f aca="false">MOD(ROW()-9,24)</f>
        <v>23</v>
      </c>
      <c r="C9512" s="12"/>
      <c r="D9512" s="13" t="n">
        <f aca="false">IF(B9512&lt;5,Einstellungen!$B$3,Einstellungen!$B$4)</f>
        <v>29.13</v>
      </c>
      <c r="E9512" s="14" t="str">
        <f aca="false">IF(C9512="","",C9512*D9512/100)</f>
        <v/>
      </c>
      <c r="F9512" s="15" t="str">
        <f aca="false">IF(B9512&lt;5,"Go","Standard")</f>
        <v>Standard</v>
      </c>
    </row>
    <row r="9513" customFormat="false" ht="15" hidden="false" customHeight="true" outlineLevel="0" collapsed="false">
      <c r="A9513" s="10" t="n">
        <f aca="false">Einstellungen!$B$5+INT((ROW()-9)/24)</f>
        <v>46362</v>
      </c>
      <c r="B9513" s="11" t="n">
        <f aca="false">MOD(ROW()-9,24)</f>
        <v>0</v>
      </c>
      <c r="C9513" s="12"/>
      <c r="D9513" s="13" t="n">
        <f aca="false">IF(B9513&lt;5,Einstellungen!$B$3,Einstellungen!$B$4)</f>
        <v>15.92</v>
      </c>
      <c r="E9513" s="14" t="str">
        <f aca="false">IF(C9513="","",C9513*D9513/100)</f>
        <v/>
      </c>
      <c r="F9513" s="15" t="str">
        <f aca="false">IF(B9513&lt;5,"Go","Standard")</f>
        <v>Go</v>
      </c>
    </row>
    <row r="9514" customFormat="false" ht="15" hidden="false" customHeight="true" outlineLevel="0" collapsed="false">
      <c r="A9514" s="10" t="n">
        <f aca="false">Einstellungen!$B$5+INT((ROW()-9)/24)</f>
        <v>46362</v>
      </c>
      <c r="B9514" s="11" t="n">
        <f aca="false">MOD(ROW()-9,24)</f>
        <v>1</v>
      </c>
      <c r="C9514" s="12"/>
      <c r="D9514" s="13" t="n">
        <f aca="false">IF(B9514&lt;5,Einstellungen!$B$3,Einstellungen!$B$4)</f>
        <v>15.92</v>
      </c>
      <c r="E9514" s="14" t="str">
        <f aca="false">IF(C9514="","",C9514*D9514/100)</f>
        <v/>
      </c>
      <c r="F9514" s="15" t="str">
        <f aca="false">IF(B9514&lt;5,"Go","Standard")</f>
        <v>Go</v>
      </c>
    </row>
    <row r="9515" customFormat="false" ht="15" hidden="false" customHeight="true" outlineLevel="0" collapsed="false">
      <c r="A9515" s="10" t="n">
        <f aca="false">Einstellungen!$B$5+INT((ROW()-9)/24)</f>
        <v>46362</v>
      </c>
      <c r="B9515" s="11" t="n">
        <f aca="false">MOD(ROW()-9,24)</f>
        <v>2</v>
      </c>
      <c r="C9515" s="12"/>
      <c r="D9515" s="13" t="n">
        <f aca="false">IF(B9515&lt;5,Einstellungen!$B$3,Einstellungen!$B$4)</f>
        <v>15.92</v>
      </c>
      <c r="E9515" s="14" t="str">
        <f aca="false">IF(C9515="","",C9515*D9515/100)</f>
        <v/>
      </c>
      <c r="F9515" s="15" t="str">
        <f aca="false">IF(B9515&lt;5,"Go","Standard")</f>
        <v>Go</v>
      </c>
    </row>
    <row r="9516" customFormat="false" ht="15" hidden="false" customHeight="true" outlineLevel="0" collapsed="false">
      <c r="A9516" s="10" t="n">
        <f aca="false">Einstellungen!$B$5+INT((ROW()-9)/24)</f>
        <v>46362</v>
      </c>
      <c r="B9516" s="11" t="n">
        <f aca="false">MOD(ROW()-9,24)</f>
        <v>3</v>
      </c>
      <c r="C9516" s="12"/>
      <c r="D9516" s="13" t="n">
        <f aca="false">IF(B9516&lt;5,Einstellungen!$B$3,Einstellungen!$B$4)</f>
        <v>15.92</v>
      </c>
      <c r="E9516" s="14" t="str">
        <f aca="false">IF(C9516="","",C9516*D9516/100)</f>
        <v/>
      </c>
      <c r="F9516" s="15" t="str">
        <f aca="false">IF(B9516&lt;5,"Go","Standard")</f>
        <v>Go</v>
      </c>
    </row>
    <row r="9517" customFormat="false" ht="15" hidden="false" customHeight="true" outlineLevel="0" collapsed="false">
      <c r="A9517" s="10" t="n">
        <f aca="false">Einstellungen!$B$5+INT((ROW()-9)/24)</f>
        <v>46362</v>
      </c>
      <c r="B9517" s="11" t="n">
        <f aca="false">MOD(ROW()-9,24)</f>
        <v>4</v>
      </c>
      <c r="C9517" s="12"/>
      <c r="D9517" s="13" t="n">
        <f aca="false">IF(B9517&lt;5,Einstellungen!$B$3,Einstellungen!$B$4)</f>
        <v>15.92</v>
      </c>
      <c r="E9517" s="14" t="str">
        <f aca="false">IF(C9517="","",C9517*D9517/100)</f>
        <v/>
      </c>
      <c r="F9517" s="15" t="str">
        <f aca="false">IF(B9517&lt;5,"Go","Standard")</f>
        <v>Go</v>
      </c>
    </row>
    <row r="9518" customFormat="false" ht="15" hidden="false" customHeight="true" outlineLevel="0" collapsed="false">
      <c r="A9518" s="10" t="n">
        <f aca="false">Einstellungen!$B$5+INT((ROW()-9)/24)</f>
        <v>46362</v>
      </c>
      <c r="B9518" s="11" t="n">
        <f aca="false">MOD(ROW()-9,24)</f>
        <v>5</v>
      </c>
      <c r="C9518" s="12"/>
      <c r="D9518" s="13" t="n">
        <f aca="false">IF(B9518&lt;5,Einstellungen!$B$3,Einstellungen!$B$4)</f>
        <v>29.13</v>
      </c>
      <c r="E9518" s="14" t="str">
        <f aca="false">IF(C9518="","",C9518*D9518/100)</f>
        <v/>
      </c>
      <c r="F9518" s="15" t="str">
        <f aca="false">IF(B9518&lt;5,"Go","Standard")</f>
        <v>Standard</v>
      </c>
    </row>
    <row r="9519" customFormat="false" ht="15" hidden="false" customHeight="true" outlineLevel="0" collapsed="false">
      <c r="A9519" s="10" t="n">
        <f aca="false">Einstellungen!$B$5+INT((ROW()-9)/24)</f>
        <v>46362</v>
      </c>
      <c r="B9519" s="11" t="n">
        <f aca="false">MOD(ROW()-9,24)</f>
        <v>6</v>
      </c>
      <c r="C9519" s="12"/>
      <c r="D9519" s="13" t="n">
        <f aca="false">IF(B9519&lt;5,Einstellungen!$B$3,Einstellungen!$B$4)</f>
        <v>29.13</v>
      </c>
      <c r="E9519" s="14" t="str">
        <f aca="false">IF(C9519="","",C9519*D9519/100)</f>
        <v/>
      </c>
      <c r="F9519" s="15" t="str">
        <f aca="false">IF(B9519&lt;5,"Go","Standard")</f>
        <v>Standard</v>
      </c>
    </row>
    <row r="9520" customFormat="false" ht="15" hidden="false" customHeight="true" outlineLevel="0" collapsed="false">
      <c r="A9520" s="10" t="n">
        <f aca="false">Einstellungen!$B$5+INT((ROW()-9)/24)</f>
        <v>46362</v>
      </c>
      <c r="B9520" s="11" t="n">
        <f aca="false">MOD(ROW()-9,24)</f>
        <v>7</v>
      </c>
      <c r="C9520" s="12"/>
      <c r="D9520" s="13" t="n">
        <f aca="false">IF(B9520&lt;5,Einstellungen!$B$3,Einstellungen!$B$4)</f>
        <v>29.13</v>
      </c>
      <c r="E9520" s="14" t="str">
        <f aca="false">IF(C9520="","",C9520*D9520/100)</f>
        <v/>
      </c>
      <c r="F9520" s="15" t="str">
        <f aca="false">IF(B9520&lt;5,"Go","Standard")</f>
        <v>Standard</v>
      </c>
    </row>
    <row r="9521" customFormat="false" ht="15" hidden="false" customHeight="true" outlineLevel="0" collapsed="false">
      <c r="A9521" s="10" t="n">
        <f aca="false">Einstellungen!$B$5+INT((ROW()-9)/24)</f>
        <v>46362</v>
      </c>
      <c r="B9521" s="11" t="n">
        <f aca="false">MOD(ROW()-9,24)</f>
        <v>8</v>
      </c>
      <c r="C9521" s="12"/>
      <c r="D9521" s="13" t="n">
        <f aca="false">IF(B9521&lt;5,Einstellungen!$B$3,Einstellungen!$B$4)</f>
        <v>29.13</v>
      </c>
      <c r="E9521" s="14" t="str">
        <f aca="false">IF(C9521="","",C9521*D9521/100)</f>
        <v/>
      </c>
      <c r="F9521" s="15" t="str">
        <f aca="false">IF(B9521&lt;5,"Go","Standard")</f>
        <v>Standard</v>
      </c>
    </row>
    <row r="9522" customFormat="false" ht="15" hidden="false" customHeight="true" outlineLevel="0" collapsed="false">
      <c r="A9522" s="10" t="n">
        <f aca="false">Einstellungen!$B$5+INT((ROW()-9)/24)</f>
        <v>46362</v>
      </c>
      <c r="B9522" s="11" t="n">
        <f aca="false">MOD(ROW()-9,24)</f>
        <v>9</v>
      </c>
      <c r="C9522" s="12"/>
      <c r="D9522" s="13" t="n">
        <f aca="false">IF(B9522&lt;5,Einstellungen!$B$3,Einstellungen!$B$4)</f>
        <v>29.13</v>
      </c>
      <c r="E9522" s="14" t="str">
        <f aca="false">IF(C9522="","",C9522*D9522/100)</f>
        <v/>
      </c>
      <c r="F9522" s="15" t="str">
        <f aca="false">IF(B9522&lt;5,"Go","Standard")</f>
        <v>Standard</v>
      </c>
    </row>
    <row r="9523" customFormat="false" ht="15" hidden="false" customHeight="true" outlineLevel="0" collapsed="false">
      <c r="A9523" s="10" t="n">
        <f aca="false">Einstellungen!$B$5+INT((ROW()-9)/24)</f>
        <v>46362</v>
      </c>
      <c r="B9523" s="11" t="n">
        <f aca="false">MOD(ROW()-9,24)</f>
        <v>10</v>
      </c>
      <c r="C9523" s="12"/>
      <c r="D9523" s="13" t="n">
        <f aca="false">IF(B9523&lt;5,Einstellungen!$B$3,Einstellungen!$B$4)</f>
        <v>29.13</v>
      </c>
      <c r="E9523" s="14" t="str">
        <f aca="false">IF(C9523="","",C9523*D9523/100)</f>
        <v/>
      </c>
      <c r="F9523" s="15" t="str">
        <f aca="false">IF(B9523&lt;5,"Go","Standard")</f>
        <v>Standard</v>
      </c>
    </row>
    <row r="9524" customFormat="false" ht="15" hidden="false" customHeight="true" outlineLevel="0" collapsed="false">
      <c r="A9524" s="10" t="n">
        <f aca="false">Einstellungen!$B$5+INT((ROW()-9)/24)</f>
        <v>46362</v>
      </c>
      <c r="B9524" s="11" t="n">
        <f aca="false">MOD(ROW()-9,24)</f>
        <v>11</v>
      </c>
      <c r="C9524" s="12"/>
      <c r="D9524" s="13" t="n">
        <f aca="false">IF(B9524&lt;5,Einstellungen!$B$3,Einstellungen!$B$4)</f>
        <v>29.13</v>
      </c>
      <c r="E9524" s="14" t="str">
        <f aca="false">IF(C9524="","",C9524*D9524/100)</f>
        <v/>
      </c>
      <c r="F9524" s="15" t="str">
        <f aca="false">IF(B9524&lt;5,"Go","Standard")</f>
        <v>Standard</v>
      </c>
    </row>
    <row r="9525" customFormat="false" ht="15" hidden="false" customHeight="true" outlineLevel="0" collapsed="false">
      <c r="A9525" s="10" t="n">
        <f aca="false">Einstellungen!$B$5+INT((ROW()-9)/24)</f>
        <v>46362</v>
      </c>
      <c r="B9525" s="11" t="n">
        <f aca="false">MOD(ROW()-9,24)</f>
        <v>12</v>
      </c>
      <c r="C9525" s="12"/>
      <c r="D9525" s="13" t="n">
        <f aca="false">IF(B9525&lt;5,Einstellungen!$B$3,Einstellungen!$B$4)</f>
        <v>29.13</v>
      </c>
      <c r="E9525" s="14" t="str">
        <f aca="false">IF(C9525="","",C9525*D9525/100)</f>
        <v/>
      </c>
      <c r="F9525" s="15" t="str">
        <f aca="false">IF(B9525&lt;5,"Go","Standard")</f>
        <v>Standard</v>
      </c>
    </row>
    <row r="9526" customFormat="false" ht="15" hidden="false" customHeight="true" outlineLevel="0" collapsed="false">
      <c r="A9526" s="10" t="n">
        <f aca="false">Einstellungen!$B$5+INT((ROW()-9)/24)</f>
        <v>46362</v>
      </c>
      <c r="B9526" s="11" t="n">
        <f aca="false">MOD(ROW()-9,24)</f>
        <v>13</v>
      </c>
      <c r="C9526" s="12"/>
      <c r="D9526" s="13" t="n">
        <f aca="false">IF(B9526&lt;5,Einstellungen!$B$3,Einstellungen!$B$4)</f>
        <v>29.13</v>
      </c>
      <c r="E9526" s="14" t="str">
        <f aca="false">IF(C9526="","",C9526*D9526/100)</f>
        <v/>
      </c>
      <c r="F9526" s="15" t="str">
        <f aca="false">IF(B9526&lt;5,"Go","Standard")</f>
        <v>Standard</v>
      </c>
    </row>
    <row r="9527" customFormat="false" ht="15" hidden="false" customHeight="true" outlineLevel="0" collapsed="false">
      <c r="A9527" s="10" t="n">
        <f aca="false">Einstellungen!$B$5+INT((ROW()-9)/24)</f>
        <v>46362</v>
      </c>
      <c r="B9527" s="11" t="n">
        <f aca="false">MOD(ROW()-9,24)</f>
        <v>14</v>
      </c>
      <c r="C9527" s="12"/>
      <c r="D9527" s="13" t="n">
        <f aca="false">IF(B9527&lt;5,Einstellungen!$B$3,Einstellungen!$B$4)</f>
        <v>29.13</v>
      </c>
      <c r="E9527" s="14" t="str">
        <f aca="false">IF(C9527="","",C9527*D9527/100)</f>
        <v/>
      </c>
      <c r="F9527" s="15" t="str">
        <f aca="false">IF(B9527&lt;5,"Go","Standard")</f>
        <v>Standard</v>
      </c>
    </row>
    <row r="9528" customFormat="false" ht="15" hidden="false" customHeight="true" outlineLevel="0" collapsed="false">
      <c r="A9528" s="10" t="n">
        <f aca="false">Einstellungen!$B$5+INT((ROW()-9)/24)</f>
        <v>46362</v>
      </c>
      <c r="B9528" s="11" t="n">
        <f aca="false">MOD(ROW()-9,24)</f>
        <v>15</v>
      </c>
      <c r="C9528" s="12"/>
      <c r="D9528" s="13" t="n">
        <f aca="false">IF(B9528&lt;5,Einstellungen!$B$3,Einstellungen!$B$4)</f>
        <v>29.13</v>
      </c>
      <c r="E9528" s="14" t="str">
        <f aca="false">IF(C9528="","",C9528*D9528/100)</f>
        <v/>
      </c>
      <c r="F9528" s="15" t="str">
        <f aca="false">IF(B9528&lt;5,"Go","Standard")</f>
        <v>Standard</v>
      </c>
    </row>
    <row r="9529" customFormat="false" ht="15" hidden="false" customHeight="true" outlineLevel="0" collapsed="false">
      <c r="A9529" s="10" t="n">
        <f aca="false">Einstellungen!$B$5+INT((ROW()-9)/24)</f>
        <v>46362</v>
      </c>
      <c r="B9529" s="11" t="n">
        <f aca="false">MOD(ROW()-9,24)</f>
        <v>16</v>
      </c>
      <c r="C9529" s="12"/>
      <c r="D9529" s="13" t="n">
        <f aca="false">IF(B9529&lt;5,Einstellungen!$B$3,Einstellungen!$B$4)</f>
        <v>29.13</v>
      </c>
      <c r="E9529" s="14" t="str">
        <f aca="false">IF(C9529="","",C9529*D9529/100)</f>
        <v/>
      </c>
      <c r="F9529" s="15" t="str">
        <f aca="false">IF(B9529&lt;5,"Go","Standard")</f>
        <v>Standard</v>
      </c>
    </row>
    <row r="9530" customFormat="false" ht="15" hidden="false" customHeight="true" outlineLevel="0" collapsed="false">
      <c r="A9530" s="10" t="n">
        <f aca="false">Einstellungen!$B$5+INT((ROW()-9)/24)</f>
        <v>46362</v>
      </c>
      <c r="B9530" s="11" t="n">
        <f aca="false">MOD(ROW()-9,24)</f>
        <v>17</v>
      </c>
      <c r="C9530" s="12"/>
      <c r="D9530" s="13" t="n">
        <f aca="false">IF(B9530&lt;5,Einstellungen!$B$3,Einstellungen!$B$4)</f>
        <v>29.13</v>
      </c>
      <c r="E9530" s="14" t="str">
        <f aca="false">IF(C9530="","",C9530*D9530/100)</f>
        <v/>
      </c>
      <c r="F9530" s="15" t="str">
        <f aca="false">IF(B9530&lt;5,"Go","Standard")</f>
        <v>Standard</v>
      </c>
    </row>
    <row r="9531" customFormat="false" ht="15" hidden="false" customHeight="true" outlineLevel="0" collapsed="false">
      <c r="A9531" s="10" t="n">
        <f aca="false">Einstellungen!$B$5+INT((ROW()-9)/24)</f>
        <v>46362</v>
      </c>
      <c r="B9531" s="11" t="n">
        <f aca="false">MOD(ROW()-9,24)</f>
        <v>18</v>
      </c>
      <c r="C9531" s="12"/>
      <c r="D9531" s="13" t="n">
        <f aca="false">IF(B9531&lt;5,Einstellungen!$B$3,Einstellungen!$B$4)</f>
        <v>29.13</v>
      </c>
      <c r="E9531" s="14" t="str">
        <f aca="false">IF(C9531="","",C9531*D9531/100)</f>
        <v/>
      </c>
      <c r="F9531" s="15" t="str">
        <f aca="false">IF(B9531&lt;5,"Go","Standard")</f>
        <v>Standard</v>
      </c>
    </row>
    <row r="9532" customFormat="false" ht="15" hidden="false" customHeight="true" outlineLevel="0" collapsed="false">
      <c r="A9532" s="10" t="n">
        <f aca="false">Einstellungen!$B$5+INT((ROW()-9)/24)</f>
        <v>46362</v>
      </c>
      <c r="B9532" s="11" t="n">
        <f aca="false">MOD(ROW()-9,24)</f>
        <v>19</v>
      </c>
      <c r="C9532" s="12"/>
      <c r="D9532" s="13" t="n">
        <f aca="false">IF(B9532&lt;5,Einstellungen!$B$3,Einstellungen!$B$4)</f>
        <v>29.13</v>
      </c>
      <c r="E9532" s="14" t="str">
        <f aca="false">IF(C9532="","",C9532*D9532/100)</f>
        <v/>
      </c>
      <c r="F9532" s="15" t="str">
        <f aca="false">IF(B9532&lt;5,"Go","Standard")</f>
        <v>Standard</v>
      </c>
    </row>
    <row r="9533" customFormat="false" ht="15" hidden="false" customHeight="true" outlineLevel="0" collapsed="false">
      <c r="A9533" s="10" t="n">
        <f aca="false">Einstellungen!$B$5+INT((ROW()-9)/24)</f>
        <v>46362</v>
      </c>
      <c r="B9533" s="11" t="n">
        <f aca="false">MOD(ROW()-9,24)</f>
        <v>20</v>
      </c>
      <c r="C9533" s="12"/>
      <c r="D9533" s="13" t="n">
        <f aca="false">IF(B9533&lt;5,Einstellungen!$B$3,Einstellungen!$B$4)</f>
        <v>29.13</v>
      </c>
      <c r="E9533" s="14" t="str">
        <f aca="false">IF(C9533="","",C9533*D9533/100)</f>
        <v/>
      </c>
      <c r="F9533" s="15" t="str">
        <f aca="false">IF(B9533&lt;5,"Go","Standard")</f>
        <v>Standard</v>
      </c>
    </row>
    <row r="9534" customFormat="false" ht="15" hidden="false" customHeight="true" outlineLevel="0" collapsed="false">
      <c r="A9534" s="10" t="n">
        <f aca="false">Einstellungen!$B$5+INT((ROW()-9)/24)</f>
        <v>46362</v>
      </c>
      <c r="B9534" s="11" t="n">
        <f aca="false">MOD(ROW()-9,24)</f>
        <v>21</v>
      </c>
      <c r="C9534" s="12"/>
      <c r="D9534" s="13" t="n">
        <f aca="false">IF(B9534&lt;5,Einstellungen!$B$3,Einstellungen!$B$4)</f>
        <v>29.13</v>
      </c>
      <c r="E9534" s="14" t="str">
        <f aca="false">IF(C9534="","",C9534*D9534/100)</f>
        <v/>
      </c>
      <c r="F9534" s="15" t="str">
        <f aca="false">IF(B9534&lt;5,"Go","Standard")</f>
        <v>Standard</v>
      </c>
    </row>
    <row r="9535" customFormat="false" ht="15" hidden="false" customHeight="true" outlineLevel="0" collapsed="false">
      <c r="A9535" s="10" t="n">
        <f aca="false">Einstellungen!$B$5+INT((ROW()-9)/24)</f>
        <v>46362</v>
      </c>
      <c r="B9535" s="11" t="n">
        <f aca="false">MOD(ROW()-9,24)</f>
        <v>22</v>
      </c>
      <c r="C9535" s="12"/>
      <c r="D9535" s="13" t="n">
        <f aca="false">IF(B9535&lt;5,Einstellungen!$B$3,Einstellungen!$B$4)</f>
        <v>29.13</v>
      </c>
      <c r="E9535" s="14" t="str">
        <f aca="false">IF(C9535="","",C9535*D9535/100)</f>
        <v/>
      </c>
      <c r="F9535" s="15" t="str">
        <f aca="false">IF(B9535&lt;5,"Go","Standard")</f>
        <v>Standard</v>
      </c>
    </row>
    <row r="9536" customFormat="false" ht="15" hidden="false" customHeight="true" outlineLevel="0" collapsed="false">
      <c r="A9536" s="10" t="n">
        <f aca="false">Einstellungen!$B$5+INT((ROW()-9)/24)</f>
        <v>46362</v>
      </c>
      <c r="B9536" s="11" t="n">
        <f aca="false">MOD(ROW()-9,24)</f>
        <v>23</v>
      </c>
      <c r="C9536" s="12"/>
      <c r="D9536" s="13" t="n">
        <f aca="false">IF(B9536&lt;5,Einstellungen!$B$3,Einstellungen!$B$4)</f>
        <v>29.13</v>
      </c>
      <c r="E9536" s="14" t="str">
        <f aca="false">IF(C9536="","",C9536*D9536/100)</f>
        <v/>
      </c>
      <c r="F9536" s="15" t="str">
        <f aca="false">IF(B9536&lt;5,"Go","Standard")</f>
        <v>Standard</v>
      </c>
    </row>
    <row r="9537" customFormat="false" ht="15" hidden="false" customHeight="true" outlineLevel="0" collapsed="false">
      <c r="A9537" s="10" t="n">
        <f aca="false">Einstellungen!$B$5+INT((ROW()-9)/24)</f>
        <v>46363</v>
      </c>
      <c r="B9537" s="11" t="n">
        <f aca="false">MOD(ROW()-9,24)</f>
        <v>0</v>
      </c>
      <c r="C9537" s="12"/>
      <c r="D9537" s="13" t="n">
        <f aca="false">IF(B9537&lt;5,Einstellungen!$B$3,Einstellungen!$B$4)</f>
        <v>15.92</v>
      </c>
      <c r="E9537" s="14" t="str">
        <f aca="false">IF(C9537="","",C9537*D9537/100)</f>
        <v/>
      </c>
      <c r="F9537" s="15" t="str">
        <f aca="false">IF(B9537&lt;5,"Go","Standard")</f>
        <v>Go</v>
      </c>
    </row>
    <row r="9538" customFormat="false" ht="15" hidden="false" customHeight="true" outlineLevel="0" collapsed="false">
      <c r="A9538" s="10" t="n">
        <f aca="false">Einstellungen!$B$5+INT((ROW()-9)/24)</f>
        <v>46363</v>
      </c>
      <c r="B9538" s="11" t="n">
        <f aca="false">MOD(ROW()-9,24)</f>
        <v>1</v>
      </c>
      <c r="C9538" s="12"/>
      <c r="D9538" s="13" t="n">
        <f aca="false">IF(B9538&lt;5,Einstellungen!$B$3,Einstellungen!$B$4)</f>
        <v>15.92</v>
      </c>
      <c r="E9538" s="14" t="str">
        <f aca="false">IF(C9538="","",C9538*D9538/100)</f>
        <v/>
      </c>
      <c r="F9538" s="15" t="str">
        <f aca="false">IF(B9538&lt;5,"Go","Standard")</f>
        <v>Go</v>
      </c>
    </row>
    <row r="9539" customFormat="false" ht="15" hidden="false" customHeight="true" outlineLevel="0" collapsed="false">
      <c r="A9539" s="10" t="n">
        <f aca="false">Einstellungen!$B$5+INT((ROW()-9)/24)</f>
        <v>46363</v>
      </c>
      <c r="B9539" s="11" t="n">
        <f aca="false">MOD(ROW()-9,24)</f>
        <v>2</v>
      </c>
      <c r="C9539" s="12"/>
      <c r="D9539" s="13" t="n">
        <f aca="false">IF(B9539&lt;5,Einstellungen!$B$3,Einstellungen!$B$4)</f>
        <v>15.92</v>
      </c>
      <c r="E9539" s="14" t="str">
        <f aca="false">IF(C9539="","",C9539*D9539/100)</f>
        <v/>
      </c>
      <c r="F9539" s="15" t="str">
        <f aca="false">IF(B9539&lt;5,"Go","Standard")</f>
        <v>Go</v>
      </c>
    </row>
    <row r="9540" customFormat="false" ht="15" hidden="false" customHeight="true" outlineLevel="0" collapsed="false">
      <c r="A9540" s="10" t="n">
        <f aca="false">Einstellungen!$B$5+INT((ROW()-9)/24)</f>
        <v>46363</v>
      </c>
      <c r="B9540" s="11" t="n">
        <f aca="false">MOD(ROW()-9,24)</f>
        <v>3</v>
      </c>
      <c r="C9540" s="12"/>
      <c r="D9540" s="13" t="n">
        <f aca="false">IF(B9540&lt;5,Einstellungen!$B$3,Einstellungen!$B$4)</f>
        <v>15.92</v>
      </c>
      <c r="E9540" s="14" t="str">
        <f aca="false">IF(C9540="","",C9540*D9540/100)</f>
        <v/>
      </c>
      <c r="F9540" s="15" t="str">
        <f aca="false">IF(B9540&lt;5,"Go","Standard")</f>
        <v>Go</v>
      </c>
    </row>
    <row r="9541" customFormat="false" ht="15" hidden="false" customHeight="true" outlineLevel="0" collapsed="false">
      <c r="A9541" s="10" t="n">
        <f aca="false">Einstellungen!$B$5+INT((ROW()-9)/24)</f>
        <v>46363</v>
      </c>
      <c r="B9541" s="11" t="n">
        <f aca="false">MOD(ROW()-9,24)</f>
        <v>4</v>
      </c>
      <c r="C9541" s="12"/>
      <c r="D9541" s="13" t="n">
        <f aca="false">IF(B9541&lt;5,Einstellungen!$B$3,Einstellungen!$B$4)</f>
        <v>15.92</v>
      </c>
      <c r="E9541" s="14" t="str">
        <f aca="false">IF(C9541="","",C9541*D9541/100)</f>
        <v/>
      </c>
      <c r="F9541" s="15" t="str">
        <f aca="false">IF(B9541&lt;5,"Go","Standard")</f>
        <v>Go</v>
      </c>
    </row>
    <row r="9542" customFormat="false" ht="15" hidden="false" customHeight="true" outlineLevel="0" collapsed="false">
      <c r="A9542" s="10" t="n">
        <f aca="false">Einstellungen!$B$5+INT((ROW()-9)/24)</f>
        <v>46363</v>
      </c>
      <c r="B9542" s="11" t="n">
        <f aca="false">MOD(ROW()-9,24)</f>
        <v>5</v>
      </c>
      <c r="C9542" s="12"/>
      <c r="D9542" s="13" t="n">
        <f aca="false">IF(B9542&lt;5,Einstellungen!$B$3,Einstellungen!$B$4)</f>
        <v>29.13</v>
      </c>
      <c r="E9542" s="14" t="str">
        <f aca="false">IF(C9542="","",C9542*D9542/100)</f>
        <v/>
      </c>
      <c r="F9542" s="15" t="str">
        <f aca="false">IF(B9542&lt;5,"Go","Standard")</f>
        <v>Standard</v>
      </c>
    </row>
    <row r="9543" customFormat="false" ht="15" hidden="false" customHeight="true" outlineLevel="0" collapsed="false">
      <c r="A9543" s="10" t="n">
        <f aca="false">Einstellungen!$B$5+INT((ROW()-9)/24)</f>
        <v>46363</v>
      </c>
      <c r="B9543" s="11" t="n">
        <f aca="false">MOD(ROW()-9,24)</f>
        <v>6</v>
      </c>
      <c r="C9543" s="12"/>
      <c r="D9543" s="13" t="n">
        <f aca="false">IF(B9543&lt;5,Einstellungen!$B$3,Einstellungen!$B$4)</f>
        <v>29.13</v>
      </c>
      <c r="E9543" s="14" t="str">
        <f aca="false">IF(C9543="","",C9543*D9543/100)</f>
        <v/>
      </c>
      <c r="F9543" s="15" t="str">
        <f aca="false">IF(B9543&lt;5,"Go","Standard")</f>
        <v>Standard</v>
      </c>
    </row>
    <row r="9544" customFormat="false" ht="15" hidden="false" customHeight="true" outlineLevel="0" collapsed="false">
      <c r="A9544" s="10" t="n">
        <f aca="false">Einstellungen!$B$5+INT((ROW()-9)/24)</f>
        <v>46363</v>
      </c>
      <c r="B9544" s="11" t="n">
        <f aca="false">MOD(ROW()-9,24)</f>
        <v>7</v>
      </c>
      <c r="C9544" s="12"/>
      <c r="D9544" s="13" t="n">
        <f aca="false">IF(B9544&lt;5,Einstellungen!$B$3,Einstellungen!$B$4)</f>
        <v>29.13</v>
      </c>
      <c r="E9544" s="14" t="str">
        <f aca="false">IF(C9544="","",C9544*D9544/100)</f>
        <v/>
      </c>
      <c r="F9544" s="15" t="str">
        <f aca="false">IF(B9544&lt;5,"Go","Standard")</f>
        <v>Standard</v>
      </c>
    </row>
    <row r="9545" customFormat="false" ht="15" hidden="false" customHeight="true" outlineLevel="0" collapsed="false">
      <c r="A9545" s="10" t="n">
        <f aca="false">Einstellungen!$B$5+INT((ROW()-9)/24)</f>
        <v>46363</v>
      </c>
      <c r="B9545" s="11" t="n">
        <f aca="false">MOD(ROW()-9,24)</f>
        <v>8</v>
      </c>
      <c r="C9545" s="12"/>
      <c r="D9545" s="13" t="n">
        <f aca="false">IF(B9545&lt;5,Einstellungen!$B$3,Einstellungen!$B$4)</f>
        <v>29.13</v>
      </c>
      <c r="E9545" s="14" t="str">
        <f aca="false">IF(C9545="","",C9545*D9545/100)</f>
        <v/>
      </c>
      <c r="F9545" s="15" t="str">
        <f aca="false">IF(B9545&lt;5,"Go","Standard")</f>
        <v>Standard</v>
      </c>
    </row>
    <row r="9546" customFormat="false" ht="15" hidden="false" customHeight="true" outlineLevel="0" collapsed="false">
      <c r="A9546" s="10" t="n">
        <f aca="false">Einstellungen!$B$5+INT((ROW()-9)/24)</f>
        <v>46363</v>
      </c>
      <c r="B9546" s="11" t="n">
        <f aca="false">MOD(ROW()-9,24)</f>
        <v>9</v>
      </c>
      <c r="C9546" s="12"/>
      <c r="D9546" s="13" t="n">
        <f aca="false">IF(B9546&lt;5,Einstellungen!$B$3,Einstellungen!$B$4)</f>
        <v>29.13</v>
      </c>
      <c r="E9546" s="14" t="str">
        <f aca="false">IF(C9546="","",C9546*D9546/100)</f>
        <v/>
      </c>
      <c r="F9546" s="15" t="str">
        <f aca="false">IF(B9546&lt;5,"Go","Standard")</f>
        <v>Standard</v>
      </c>
    </row>
    <row r="9547" customFormat="false" ht="15" hidden="false" customHeight="true" outlineLevel="0" collapsed="false">
      <c r="A9547" s="10" t="n">
        <f aca="false">Einstellungen!$B$5+INT((ROW()-9)/24)</f>
        <v>46363</v>
      </c>
      <c r="B9547" s="11" t="n">
        <f aca="false">MOD(ROW()-9,24)</f>
        <v>10</v>
      </c>
      <c r="C9547" s="12"/>
      <c r="D9547" s="13" t="n">
        <f aca="false">IF(B9547&lt;5,Einstellungen!$B$3,Einstellungen!$B$4)</f>
        <v>29.13</v>
      </c>
      <c r="E9547" s="14" t="str">
        <f aca="false">IF(C9547="","",C9547*D9547/100)</f>
        <v/>
      </c>
      <c r="F9547" s="15" t="str">
        <f aca="false">IF(B9547&lt;5,"Go","Standard")</f>
        <v>Standard</v>
      </c>
    </row>
    <row r="9548" customFormat="false" ht="15" hidden="false" customHeight="true" outlineLevel="0" collapsed="false">
      <c r="A9548" s="10" t="n">
        <f aca="false">Einstellungen!$B$5+INT((ROW()-9)/24)</f>
        <v>46363</v>
      </c>
      <c r="B9548" s="11" t="n">
        <f aca="false">MOD(ROW()-9,24)</f>
        <v>11</v>
      </c>
      <c r="C9548" s="12"/>
      <c r="D9548" s="13" t="n">
        <f aca="false">IF(B9548&lt;5,Einstellungen!$B$3,Einstellungen!$B$4)</f>
        <v>29.13</v>
      </c>
      <c r="E9548" s="14" t="str">
        <f aca="false">IF(C9548="","",C9548*D9548/100)</f>
        <v/>
      </c>
      <c r="F9548" s="15" t="str">
        <f aca="false">IF(B9548&lt;5,"Go","Standard")</f>
        <v>Standard</v>
      </c>
    </row>
    <row r="9549" customFormat="false" ht="15" hidden="false" customHeight="true" outlineLevel="0" collapsed="false">
      <c r="A9549" s="10" t="n">
        <f aca="false">Einstellungen!$B$5+INT((ROW()-9)/24)</f>
        <v>46363</v>
      </c>
      <c r="B9549" s="11" t="n">
        <f aca="false">MOD(ROW()-9,24)</f>
        <v>12</v>
      </c>
      <c r="C9549" s="12"/>
      <c r="D9549" s="13" t="n">
        <f aca="false">IF(B9549&lt;5,Einstellungen!$B$3,Einstellungen!$B$4)</f>
        <v>29.13</v>
      </c>
      <c r="E9549" s="14" t="str">
        <f aca="false">IF(C9549="","",C9549*D9549/100)</f>
        <v/>
      </c>
      <c r="F9549" s="15" t="str">
        <f aca="false">IF(B9549&lt;5,"Go","Standard")</f>
        <v>Standard</v>
      </c>
    </row>
    <row r="9550" customFormat="false" ht="15" hidden="false" customHeight="true" outlineLevel="0" collapsed="false">
      <c r="A9550" s="10" t="n">
        <f aca="false">Einstellungen!$B$5+INT((ROW()-9)/24)</f>
        <v>46363</v>
      </c>
      <c r="B9550" s="11" t="n">
        <f aca="false">MOD(ROW()-9,24)</f>
        <v>13</v>
      </c>
      <c r="C9550" s="12"/>
      <c r="D9550" s="13" t="n">
        <f aca="false">IF(B9550&lt;5,Einstellungen!$B$3,Einstellungen!$B$4)</f>
        <v>29.13</v>
      </c>
      <c r="E9550" s="14" t="str">
        <f aca="false">IF(C9550="","",C9550*D9550/100)</f>
        <v/>
      </c>
      <c r="F9550" s="15" t="str">
        <f aca="false">IF(B9550&lt;5,"Go","Standard")</f>
        <v>Standard</v>
      </c>
    </row>
    <row r="9551" customFormat="false" ht="15" hidden="false" customHeight="true" outlineLevel="0" collapsed="false">
      <c r="A9551" s="10" t="n">
        <f aca="false">Einstellungen!$B$5+INT((ROW()-9)/24)</f>
        <v>46363</v>
      </c>
      <c r="B9551" s="11" t="n">
        <f aca="false">MOD(ROW()-9,24)</f>
        <v>14</v>
      </c>
      <c r="C9551" s="12"/>
      <c r="D9551" s="13" t="n">
        <f aca="false">IF(B9551&lt;5,Einstellungen!$B$3,Einstellungen!$B$4)</f>
        <v>29.13</v>
      </c>
      <c r="E9551" s="14" t="str">
        <f aca="false">IF(C9551="","",C9551*D9551/100)</f>
        <v/>
      </c>
      <c r="F9551" s="15" t="str">
        <f aca="false">IF(B9551&lt;5,"Go","Standard")</f>
        <v>Standard</v>
      </c>
    </row>
    <row r="9552" customFormat="false" ht="15" hidden="false" customHeight="true" outlineLevel="0" collapsed="false">
      <c r="A9552" s="10" t="n">
        <f aca="false">Einstellungen!$B$5+INT((ROW()-9)/24)</f>
        <v>46363</v>
      </c>
      <c r="B9552" s="11" t="n">
        <f aca="false">MOD(ROW()-9,24)</f>
        <v>15</v>
      </c>
      <c r="C9552" s="12"/>
      <c r="D9552" s="13" t="n">
        <f aca="false">IF(B9552&lt;5,Einstellungen!$B$3,Einstellungen!$B$4)</f>
        <v>29.13</v>
      </c>
      <c r="E9552" s="14" t="str">
        <f aca="false">IF(C9552="","",C9552*D9552/100)</f>
        <v/>
      </c>
      <c r="F9552" s="15" t="str">
        <f aca="false">IF(B9552&lt;5,"Go","Standard")</f>
        <v>Standard</v>
      </c>
    </row>
    <row r="9553" customFormat="false" ht="15" hidden="false" customHeight="true" outlineLevel="0" collapsed="false">
      <c r="A9553" s="10" t="n">
        <f aca="false">Einstellungen!$B$5+INT((ROW()-9)/24)</f>
        <v>46363</v>
      </c>
      <c r="B9553" s="11" t="n">
        <f aca="false">MOD(ROW()-9,24)</f>
        <v>16</v>
      </c>
      <c r="C9553" s="12"/>
      <c r="D9553" s="13" t="n">
        <f aca="false">IF(B9553&lt;5,Einstellungen!$B$3,Einstellungen!$B$4)</f>
        <v>29.13</v>
      </c>
      <c r="E9553" s="14" t="str">
        <f aca="false">IF(C9553="","",C9553*D9553/100)</f>
        <v/>
      </c>
      <c r="F9553" s="15" t="str">
        <f aca="false">IF(B9553&lt;5,"Go","Standard")</f>
        <v>Standard</v>
      </c>
    </row>
    <row r="9554" customFormat="false" ht="15" hidden="false" customHeight="true" outlineLevel="0" collapsed="false">
      <c r="A9554" s="10" t="n">
        <f aca="false">Einstellungen!$B$5+INT((ROW()-9)/24)</f>
        <v>46363</v>
      </c>
      <c r="B9554" s="11" t="n">
        <f aca="false">MOD(ROW()-9,24)</f>
        <v>17</v>
      </c>
      <c r="C9554" s="12"/>
      <c r="D9554" s="13" t="n">
        <f aca="false">IF(B9554&lt;5,Einstellungen!$B$3,Einstellungen!$B$4)</f>
        <v>29.13</v>
      </c>
      <c r="E9554" s="14" t="str">
        <f aca="false">IF(C9554="","",C9554*D9554/100)</f>
        <v/>
      </c>
      <c r="F9554" s="15" t="str">
        <f aca="false">IF(B9554&lt;5,"Go","Standard")</f>
        <v>Standard</v>
      </c>
    </row>
    <row r="9555" customFormat="false" ht="15" hidden="false" customHeight="true" outlineLevel="0" collapsed="false">
      <c r="A9555" s="10" t="n">
        <f aca="false">Einstellungen!$B$5+INT((ROW()-9)/24)</f>
        <v>46363</v>
      </c>
      <c r="B9555" s="11" t="n">
        <f aca="false">MOD(ROW()-9,24)</f>
        <v>18</v>
      </c>
      <c r="C9555" s="12"/>
      <c r="D9555" s="13" t="n">
        <f aca="false">IF(B9555&lt;5,Einstellungen!$B$3,Einstellungen!$B$4)</f>
        <v>29.13</v>
      </c>
      <c r="E9555" s="14" t="str">
        <f aca="false">IF(C9555="","",C9555*D9555/100)</f>
        <v/>
      </c>
      <c r="F9555" s="15" t="str">
        <f aca="false">IF(B9555&lt;5,"Go","Standard")</f>
        <v>Standard</v>
      </c>
    </row>
    <row r="9556" customFormat="false" ht="15" hidden="false" customHeight="true" outlineLevel="0" collapsed="false">
      <c r="A9556" s="10" t="n">
        <f aca="false">Einstellungen!$B$5+INT((ROW()-9)/24)</f>
        <v>46363</v>
      </c>
      <c r="B9556" s="11" t="n">
        <f aca="false">MOD(ROW()-9,24)</f>
        <v>19</v>
      </c>
      <c r="C9556" s="12"/>
      <c r="D9556" s="13" t="n">
        <f aca="false">IF(B9556&lt;5,Einstellungen!$B$3,Einstellungen!$B$4)</f>
        <v>29.13</v>
      </c>
      <c r="E9556" s="14" t="str">
        <f aca="false">IF(C9556="","",C9556*D9556/100)</f>
        <v/>
      </c>
      <c r="F9556" s="15" t="str">
        <f aca="false">IF(B9556&lt;5,"Go","Standard")</f>
        <v>Standard</v>
      </c>
    </row>
    <row r="9557" customFormat="false" ht="15" hidden="false" customHeight="true" outlineLevel="0" collapsed="false">
      <c r="A9557" s="10" t="n">
        <f aca="false">Einstellungen!$B$5+INT((ROW()-9)/24)</f>
        <v>46363</v>
      </c>
      <c r="B9557" s="11" t="n">
        <f aca="false">MOD(ROW()-9,24)</f>
        <v>20</v>
      </c>
      <c r="C9557" s="12"/>
      <c r="D9557" s="13" t="n">
        <f aca="false">IF(B9557&lt;5,Einstellungen!$B$3,Einstellungen!$B$4)</f>
        <v>29.13</v>
      </c>
      <c r="E9557" s="14" t="str">
        <f aca="false">IF(C9557="","",C9557*D9557/100)</f>
        <v/>
      </c>
      <c r="F9557" s="15" t="str">
        <f aca="false">IF(B9557&lt;5,"Go","Standard")</f>
        <v>Standard</v>
      </c>
    </row>
    <row r="9558" customFormat="false" ht="15" hidden="false" customHeight="true" outlineLevel="0" collapsed="false">
      <c r="A9558" s="10" t="n">
        <f aca="false">Einstellungen!$B$5+INT((ROW()-9)/24)</f>
        <v>46363</v>
      </c>
      <c r="B9558" s="11" t="n">
        <f aca="false">MOD(ROW()-9,24)</f>
        <v>21</v>
      </c>
      <c r="C9558" s="12"/>
      <c r="D9558" s="13" t="n">
        <f aca="false">IF(B9558&lt;5,Einstellungen!$B$3,Einstellungen!$B$4)</f>
        <v>29.13</v>
      </c>
      <c r="E9558" s="14" t="str">
        <f aca="false">IF(C9558="","",C9558*D9558/100)</f>
        <v/>
      </c>
      <c r="F9558" s="15" t="str">
        <f aca="false">IF(B9558&lt;5,"Go","Standard")</f>
        <v>Standard</v>
      </c>
    </row>
    <row r="9559" customFormat="false" ht="15" hidden="false" customHeight="true" outlineLevel="0" collapsed="false">
      <c r="A9559" s="10" t="n">
        <f aca="false">Einstellungen!$B$5+INT((ROW()-9)/24)</f>
        <v>46363</v>
      </c>
      <c r="B9559" s="11" t="n">
        <f aca="false">MOD(ROW()-9,24)</f>
        <v>22</v>
      </c>
      <c r="C9559" s="12"/>
      <c r="D9559" s="13" t="n">
        <f aca="false">IF(B9559&lt;5,Einstellungen!$B$3,Einstellungen!$B$4)</f>
        <v>29.13</v>
      </c>
      <c r="E9559" s="14" t="str">
        <f aca="false">IF(C9559="","",C9559*D9559/100)</f>
        <v/>
      </c>
      <c r="F9559" s="15" t="str">
        <f aca="false">IF(B9559&lt;5,"Go","Standard")</f>
        <v>Standard</v>
      </c>
    </row>
    <row r="9560" customFormat="false" ht="15" hidden="false" customHeight="true" outlineLevel="0" collapsed="false">
      <c r="A9560" s="10" t="n">
        <f aca="false">Einstellungen!$B$5+INT((ROW()-9)/24)</f>
        <v>46363</v>
      </c>
      <c r="B9560" s="11" t="n">
        <f aca="false">MOD(ROW()-9,24)</f>
        <v>23</v>
      </c>
      <c r="C9560" s="12"/>
      <c r="D9560" s="13" t="n">
        <f aca="false">IF(B9560&lt;5,Einstellungen!$B$3,Einstellungen!$B$4)</f>
        <v>29.13</v>
      </c>
      <c r="E9560" s="14" t="str">
        <f aca="false">IF(C9560="","",C9560*D9560/100)</f>
        <v/>
      </c>
      <c r="F9560" s="15" t="str">
        <f aca="false">IF(B9560&lt;5,"Go","Standard")</f>
        <v>Standard</v>
      </c>
    </row>
    <row r="9561" customFormat="false" ht="15" hidden="false" customHeight="true" outlineLevel="0" collapsed="false">
      <c r="A9561" s="10" t="n">
        <f aca="false">Einstellungen!$B$5+INT((ROW()-9)/24)</f>
        <v>46364</v>
      </c>
      <c r="B9561" s="11" t="n">
        <f aca="false">MOD(ROW()-9,24)</f>
        <v>0</v>
      </c>
      <c r="C9561" s="12"/>
      <c r="D9561" s="13" t="n">
        <f aca="false">IF(B9561&lt;5,Einstellungen!$B$3,Einstellungen!$B$4)</f>
        <v>15.92</v>
      </c>
      <c r="E9561" s="14" t="str">
        <f aca="false">IF(C9561="","",C9561*D9561/100)</f>
        <v/>
      </c>
      <c r="F9561" s="15" t="str">
        <f aca="false">IF(B9561&lt;5,"Go","Standard")</f>
        <v>Go</v>
      </c>
    </row>
    <row r="9562" customFormat="false" ht="15" hidden="false" customHeight="true" outlineLevel="0" collapsed="false">
      <c r="A9562" s="10" t="n">
        <f aca="false">Einstellungen!$B$5+INT((ROW()-9)/24)</f>
        <v>46364</v>
      </c>
      <c r="B9562" s="11" t="n">
        <f aca="false">MOD(ROW()-9,24)</f>
        <v>1</v>
      </c>
      <c r="C9562" s="12"/>
      <c r="D9562" s="13" t="n">
        <f aca="false">IF(B9562&lt;5,Einstellungen!$B$3,Einstellungen!$B$4)</f>
        <v>15.92</v>
      </c>
      <c r="E9562" s="14" t="str">
        <f aca="false">IF(C9562="","",C9562*D9562/100)</f>
        <v/>
      </c>
      <c r="F9562" s="15" t="str">
        <f aca="false">IF(B9562&lt;5,"Go","Standard")</f>
        <v>Go</v>
      </c>
    </row>
    <row r="9563" customFormat="false" ht="15" hidden="false" customHeight="true" outlineLevel="0" collapsed="false">
      <c r="A9563" s="10" t="n">
        <f aca="false">Einstellungen!$B$5+INT((ROW()-9)/24)</f>
        <v>46364</v>
      </c>
      <c r="B9563" s="11" t="n">
        <f aca="false">MOD(ROW()-9,24)</f>
        <v>2</v>
      </c>
      <c r="C9563" s="12"/>
      <c r="D9563" s="13" t="n">
        <f aca="false">IF(B9563&lt;5,Einstellungen!$B$3,Einstellungen!$B$4)</f>
        <v>15.92</v>
      </c>
      <c r="E9563" s="14" t="str">
        <f aca="false">IF(C9563="","",C9563*D9563/100)</f>
        <v/>
      </c>
      <c r="F9563" s="15" t="str">
        <f aca="false">IF(B9563&lt;5,"Go","Standard")</f>
        <v>Go</v>
      </c>
    </row>
    <row r="9564" customFormat="false" ht="15" hidden="false" customHeight="true" outlineLevel="0" collapsed="false">
      <c r="A9564" s="10" t="n">
        <f aca="false">Einstellungen!$B$5+INT((ROW()-9)/24)</f>
        <v>46364</v>
      </c>
      <c r="B9564" s="11" t="n">
        <f aca="false">MOD(ROW()-9,24)</f>
        <v>3</v>
      </c>
      <c r="C9564" s="12"/>
      <c r="D9564" s="13" t="n">
        <f aca="false">IF(B9564&lt;5,Einstellungen!$B$3,Einstellungen!$B$4)</f>
        <v>15.92</v>
      </c>
      <c r="E9564" s="14" t="str">
        <f aca="false">IF(C9564="","",C9564*D9564/100)</f>
        <v/>
      </c>
      <c r="F9564" s="15" t="str">
        <f aca="false">IF(B9564&lt;5,"Go","Standard")</f>
        <v>Go</v>
      </c>
    </row>
    <row r="9565" customFormat="false" ht="15" hidden="false" customHeight="true" outlineLevel="0" collapsed="false">
      <c r="A9565" s="10" t="n">
        <f aca="false">Einstellungen!$B$5+INT((ROW()-9)/24)</f>
        <v>46364</v>
      </c>
      <c r="B9565" s="11" t="n">
        <f aca="false">MOD(ROW()-9,24)</f>
        <v>4</v>
      </c>
      <c r="C9565" s="12"/>
      <c r="D9565" s="13" t="n">
        <f aca="false">IF(B9565&lt;5,Einstellungen!$B$3,Einstellungen!$B$4)</f>
        <v>15.92</v>
      </c>
      <c r="E9565" s="14" t="str">
        <f aca="false">IF(C9565="","",C9565*D9565/100)</f>
        <v/>
      </c>
      <c r="F9565" s="15" t="str">
        <f aca="false">IF(B9565&lt;5,"Go","Standard")</f>
        <v>Go</v>
      </c>
    </row>
    <row r="9566" customFormat="false" ht="15" hidden="false" customHeight="true" outlineLevel="0" collapsed="false">
      <c r="A9566" s="10" t="n">
        <f aca="false">Einstellungen!$B$5+INT((ROW()-9)/24)</f>
        <v>46364</v>
      </c>
      <c r="B9566" s="11" t="n">
        <f aca="false">MOD(ROW()-9,24)</f>
        <v>5</v>
      </c>
      <c r="C9566" s="12"/>
      <c r="D9566" s="13" t="n">
        <f aca="false">IF(B9566&lt;5,Einstellungen!$B$3,Einstellungen!$B$4)</f>
        <v>29.13</v>
      </c>
      <c r="E9566" s="14" t="str">
        <f aca="false">IF(C9566="","",C9566*D9566/100)</f>
        <v/>
      </c>
      <c r="F9566" s="15" t="str">
        <f aca="false">IF(B9566&lt;5,"Go","Standard")</f>
        <v>Standard</v>
      </c>
    </row>
    <row r="9567" customFormat="false" ht="15" hidden="false" customHeight="true" outlineLevel="0" collapsed="false">
      <c r="A9567" s="10" t="n">
        <f aca="false">Einstellungen!$B$5+INT((ROW()-9)/24)</f>
        <v>46364</v>
      </c>
      <c r="B9567" s="11" t="n">
        <f aca="false">MOD(ROW()-9,24)</f>
        <v>6</v>
      </c>
      <c r="C9567" s="12"/>
      <c r="D9567" s="13" t="n">
        <f aca="false">IF(B9567&lt;5,Einstellungen!$B$3,Einstellungen!$B$4)</f>
        <v>29.13</v>
      </c>
      <c r="E9567" s="14" t="str">
        <f aca="false">IF(C9567="","",C9567*D9567/100)</f>
        <v/>
      </c>
      <c r="F9567" s="15" t="str">
        <f aca="false">IF(B9567&lt;5,"Go","Standard")</f>
        <v>Standard</v>
      </c>
    </row>
    <row r="9568" customFormat="false" ht="15" hidden="false" customHeight="true" outlineLevel="0" collapsed="false">
      <c r="A9568" s="10" t="n">
        <f aca="false">Einstellungen!$B$5+INT((ROW()-9)/24)</f>
        <v>46364</v>
      </c>
      <c r="B9568" s="11" t="n">
        <f aca="false">MOD(ROW()-9,24)</f>
        <v>7</v>
      </c>
      <c r="C9568" s="12"/>
      <c r="D9568" s="13" t="n">
        <f aca="false">IF(B9568&lt;5,Einstellungen!$B$3,Einstellungen!$B$4)</f>
        <v>29.13</v>
      </c>
      <c r="E9568" s="14" t="str">
        <f aca="false">IF(C9568="","",C9568*D9568/100)</f>
        <v/>
      </c>
      <c r="F9568" s="15" t="str">
        <f aca="false">IF(B9568&lt;5,"Go","Standard")</f>
        <v>Standard</v>
      </c>
    </row>
    <row r="9569" customFormat="false" ht="15" hidden="false" customHeight="true" outlineLevel="0" collapsed="false">
      <c r="A9569" s="10" t="n">
        <f aca="false">Einstellungen!$B$5+INT((ROW()-9)/24)</f>
        <v>46364</v>
      </c>
      <c r="B9569" s="11" t="n">
        <f aca="false">MOD(ROW()-9,24)</f>
        <v>8</v>
      </c>
      <c r="C9569" s="12"/>
      <c r="D9569" s="13" t="n">
        <f aca="false">IF(B9569&lt;5,Einstellungen!$B$3,Einstellungen!$B$4)</f>
        <v>29.13</v>
      </c>
      <c r="E9569" s="14" t="str">
        <f aca="false">IF(C9569="","",C9569*D9569/100)</f>
        <v/>
      </c>
      <c r="F9569" s="15" t="str">
        <f aca="false">IF(B9569&lt;5,"Go","Standard")</f>
        <v>Standard</v>
      </c>
    </row>
    <row r="9570" customFormat="false" ht="15" hidden="false" customHeight="true" outlineLevel="0" collapsed="false">
      <c r="A9570" s="10" t="n">
        <f aca="false">Einstellungen!$B$5+INT((ROW()-9)/24)</f>
        <v>46364</v>
      </c>
      <c r="B9570" s="11" t="n">
        <f aca="false">MOD(ROW()-9,24)</f>
        <v>9</v>
      </c>
      <c r="C9570" s="12"/>
      <c r="D9570" s="13" t="n">
        <f aca="false">IF(B9570&lt;5,Einstellungen!$B$3,Einstellungen!$B$4)</f>
        <v>29.13</v>
      </c>
      <c r="E9570" s="14" t="str">
        <f aca="false">IF(C9570="","",C9570*D9570/100)</f>
        <v/>
      </c>
      <c r="F9570" s="15" t="str">
        <f aca="false">IF(B9570&lt;5,"Go","Standard")</f>
        <v>Standard</v>
      </c>
    </row>
    <row r="9571" customFormat="false" ht="15" hidden="false" customHeight="true" outlineLevel="0" collapsed="false">
      <c r="A9571" s="10" t="n">
        <f aca="false">Einstellungen!$B$5+INT((ROW()-9)/24)</f>
        <v>46364</v>
      </c>
      <c r="B9571" s="11" t="n">
        <f aca="false">MOD(ROW()-9,24)</f>
        <v>10</v>
      </c>
      <c r="C9571" s="12"/>
      <c r="D9571" s="13" t="n">
        <f aca="false">IF(B9571&lt;5,Einstellungen!$B$3,Einstellungen!$B$4)</f>
        <v>29.13</v>
      </c>
      <c r="E9571" s="14" t="str">
        <f aca="false">IF(C9571="","",C9571*D9571/100)</f>
        <v/>
      </c>
      <c r="F9571" s="15" t="str">
        <f aca="false">IF(B9571&lt;5,"Go","Standard")</f>
        <v>Standard</v>
      </c>
    </row>
    <row r="9572" customFormat="false" ht="15" hidden="false" customHeight="true" outlineLevel="0" collapsed="false">
      <c r="A9572" s="10" t="n">
        <f aca="false">Einstellungen!$B$5+INT((ROW()-9)/24)</f>
        <v>46364</v>
      </c>
      <c r="B9572" s="11" t="n">
        <f aca="false">MOD(ROW()-9,24)</f>
        <v>11</v>
      </c>
      <c r="C9572" s="12"/>
      <c r="D9572" s="13" t="n">
        <f aca="false">IF(B9572&lt;5,Einstellungen!$B$3,Einstellungen!$B$4)</f>
        <v>29.13</v>
      </c>
      <c r="E9572" s="14" t="str">
        <f aca="false">IF(C9572="","",C9572*D9572/100)</f>
        <v/>
      </c>
      <c r="F9572" s="15" t="str">
        <f aca="false">IF(B9572&lt;5,"Go","Standard")</f>
        <v>Standard</v>
      </c>
    </row>
    <row r="9573" customFormat="false" ht="15" hidden="false" customHeight="true" outlineLevel="0" collapsed="false">
      <c r="A9573" s="10" t="n">
        <f aca="false">Einstellungen!$B$5+INT((ROW()-9)/24)</f>
        <v>46364</v>
      </c>
      <c r="B9573" s="11" t="n">
        <f aca="false">MOD(ROW()-9,24)</f>
        <v>12</v>
      </c>
      <c r="C9573" s="12"/>
      <c r="D9573" s="13" t="n">
        <f aca="false">IF(B9573&lt;5,Einstellungen!$B$3,Einstellungen!$B$4)</f>
        <v>29.13</v>
      </c>
      <c r="E9573" s="14" t="str">
        <f aca="false">IF(C9573="","",C9573*D9573/100)</f>
        <v/>
      </c>
      <c r="F9573" s="15" t="str">
        <f aca="false">IF(B9573&lt;5,"Go","Standard")</f>
        <v>Standard</v>
      </c>
    </row>
    <row r="9574" customFormat="false" ht="15" hidden="false" customHeight="true" outlineLevel="0" collapsed="false">
      <c r="A9574" s="10" t="n">
        <f aca="false">Einstellungen!$B$5+INT((ROW()-9)/24)</f>
        <v>46364</v>
      </c>
      <c r="B9574" s="11" t="n">
        <f aca="false">MOD(ROW()-9,24)</f>
        <v>13</v>
      </c>
      <c r="C9574" s="12"/>
      <c r="D9574" s="13" t="n">
        <f aca="false">IF(B9574&lt;5,Einstellungen!$B$3,Einstellungen!$B$4)</f>
        <v>29.13</v>
      </c>
      <c r="E9574" s="14" t="str">
        <f aca="false">IF(C9574="","",C9574*D9574/100)</f>
        <v/>
      </c>
      <c r="F9574" s="15" t="str">
        <f aca="false">IF(B9574&lt;5,"Go","Standard")</f>
        <v>Standard</v>
      </c>
    </row>
    <row r="9575" customFormat="false" ht="15" hidden="false" customHeight="true" outlineLevel="0" collapsed="false">
      <c r="A9575" s="10" t="n">
        <f aca="false">Einstellungen!$B$5+INT((ROW()-9)/24)</f>
        <v>46364</v>
      </c>
      <c r="B9575" s="11" t="n">
        <f aca="false">MOD(ROW()-9,24)</f>
        <v>14</v>
      </c>
      <c r="C9575" s="12"/>
      <c r="D9575" s="13" t="n">
        <f aca="false">IF(B9575&lt;5,Einstellungen!$B$3,Einstellungen!$B$4)</f>
        <v>29.13</v>
      </c>
      <c r="E9575" s="14" t="str">
        <f aca="false">IF(C9575="","",C9575*D9575/100)</f>
        <v/>
      </c>
      <c r="F9575" s="15" t="str">
        <f aca="false">IF(B9575&lt;5,"Go","Standard")</f>
        <v>Standard</v>
      </c>
    </row>
    <row r="9576" customFormat="false" ht="15" hidden="false" customHeight="true" outlineLevel="0" collapsed="false">
      <c r="A9576" s="10" t="n">
        <f aca="false">Einstellungen!$B$5+INT((ROW()-9)/24)</f>
        <v>46364</v>
      </c>
      <c r="B9576" s="11" t="n">
        <f aca="false">MOD(ROW()-9,24)</f>
        <v>15</v>
      </c>
      <c r="C9576" s="12"/>
      <c r="D9576" s="13" t="n">
        <f aca="false">IF(B9576&lt;5,Einstellungen!$B$3,Einstellungen!$B$4)</f>
        <v>29.13</v>
      </c>
      <c r="E9576" s="14" t="str">
        <f aca="false">IF(C9576="","",C9576*D9576/100)</f>
        <v/>
      </c>
      <c r="F9576" s="15" t="str">
        <f aca="false">IF(B9576&lt;5,"Go","Standard")</f>
        <v>Standard</v>
      </c>
    </row>
    <row r="9577" customFormat="false" ht="15" hidden="false" customHeight="true" outlineLevel="0" collapsed="false">
      <c r="A9577" s="10" t="n">
        <f aca="false">Einstellungen!$B$5+INT((ROW()-9)/24)</f>
        <v>46364</v>
      </c>
      <c r="B9577" s="11" t="n">
        <f aca="false">MOD(ROW()-9,24)</f>
        <v>16</v>
      </c>
      <c r="C9577" s="12"/>
      <c r="D9577" s="13" t="n">
        <f aca="false">IF(B9577&lt;5,Einstellungen!$B$3,Einstellungen!$B$4)</f>
        <v>29.13</v>
      </c>
      <c r="E9577" s="14" t="str">
        <f aca="false">IF(C9577="","",C9577*D9577/100)</f>
        <v/>
      </c>
      <c r="F9577" s="15" t="str">
        <f aca="false">IF(B9577&lt;5,"Go","Standard")</f>
        <v>Standard</v>
      </c>
    </row>
    <row r="9578" customFormat="false" ht="15" hidden="false" customHeight="true" outlineLevel="0" collapsed="false">
      <c r="A9578" s="10" t="n">
        <f aca="false">Einstellungen!$B$5+INT((ROW()-9)/24)</f>
        <v>46364</v>
      </c>
      <c r="B9578" s="11" t="n">
        <f aca="false">MOD(ROW()-9,24)</f>
        <v>17</v>
      </c>
      <c r="C9578" s="12"/>
      <c r="D9578" s="13" t="n">
        <f aca="false">IF(B9578&lt;5,Einstellungen!$B$3,Einstellungen!$B$4)</f>
        <v>29.13</v>
      </c>
      <c r="E9578" s="14" t="str">
        <f aca="false">IF(C9578="","",C9578*D9578/100)</f>
        <v/>
      </c>
      <c r="F9578" s="15" t="str">
        <f aca="false">IF(B9578&lt;5,"Go","Standard")</f>
        <v>Standard</v>
      </c>
    </row>
    <row r="9579" customFormat="false" ht="15" hidden="false" customHeight="true" outlineLevel="0" collapsed="false">
      <c r="A9579" s="10" t="n">
        <f aca="false">Einstellungen!$B$5+INT((ROW()-9)/24)</f>
        <v>46364</v>
      </c>
      <c r="B9579" s="11" t="n">
        <f aca="false">MOD(ROW()-9,24)</f>
        <v>18</v>
      </c>
      <c r="C9579" s="12"/>
      <c r="D9579" s="13" t="n">
        <f aca="false">IF(B9579&lt;5,Einstellungen!$B$3,Einstellungen!$B$4)</f>
        <v>29.13</v>
      </c>
      <c r="E9579" s="14" t="str">
        <f aca="false">IF(C9579="","",C9579*D9579/100)</f>
        <v/>
      </c>
      <c r="F9579" s="15" t="str">
        <f aca="false">IF(B9579&lt;5,"Go","Standard")</f>
        <v>Standard</v>
      </c>
    </row>
    <row r="9580" customFormat="false" ht="15" hidden="false" customHeight="true" outlineLevel="0" collapsed="false">
      <c r="A9580" s="10" t="n">
        <f aca="false">Einstellungen!$B$5+INT((ROW()-9)/24)</f>
        <v>46364</v>
      </c>
      <c r="B9580" s="11" t="n">
        <f aca="false">MOD(ROW()-9,24)</f>
        <v>19</v>
      </c>
      <c r="C9580" s="12"/>
      <c r="D9580" s="13" t="n">
        <f aca="false">IF(B9580&lt;5,Einstellungen!$B$3,Einstellungen!$B$4)</f>
        <v>29.13</v>
      </c>
      <c r="E9580" s="14" t="str">
        <f aca="false">IF(C9580="","",C9580*D9580/100)</f>
        <v/>
      </c>
      <c r="F9580" s="15" t="str">
        <f aca="false">IF(B9580&lt;5,"Go","Standard")</f>
        <v>Standard</v>
      </c>
    </row>
    <row r="9581" customFormat="false" ht="15" hidden="false" customHeight="true" outlineLevel="0" collapsed="false">
      <c r="A9581" s="10" t="n">
        <f aca="false">Einstellungen!$B$5+INT((ROW()-9)/24)</f>
        <v>46364</v>
      </c>
      <c r="B9581" s="11" t="n">
        <f aca="false">MOD(ROW()-9,24)</f>
        <v>20</v>
      </c>
      <c r="C9581" s="12"/>
      <c r="D9581" s="13" t="n">
        <f aca="false">IF(B9581&lt;5,Einstellungen!$B$3,Einstellungen!$B$4)</f>
        <v>29.13</v>
      </c>
      <c r="E9581" s="14" t="str">
        <f aca="false">IF(C9581="","",C9581*D9581/100)</f>
        <v/>
      </c>
      <c r="F9581" s="15" t="str">
        <f aca="false">IF(B9581&lt;5,"Go","Standard")</f>
        <v>Standard</v>
      </c>
    </row>
    <row r="9582" customFormat="false" ht="15" hidden="false" customHeight="true" outlineLevel="0" collapsed="false">
      <c r="A9582" s="10" t="n">
        <f aca="false">Einstellungen!$B$5+INT((ROW()-9)/24)</f>
        <v>46364</v>
      </c>
      <c r="B9582" s="11" t="n">
        <f aca="false">MOD(ROW()-9,24)</f>
        <v>21</v>
      </c>
      <c r="C9582" s="12"/>
      <c r="D9582" s="13" t="n">
        <f aca="false">IF(B9582&lt;5,Einstellungen!$B$3,Einstellungen!$B$4)</f>
        <v>29.13</v>
      </c>
      <c r="E9582" s="14" t="str">
        <f aca="false">IF(C9582="","",C9582*D9582/100)</f>
        <v/>
      </c>
      <c r="F9582" s="15" t="str">
        <f aca="false">IF(B9582&lt;5,"Go","Standard")</f>
        <v>Standard</v>
      </c>
    </row>
    <row r="9583" customFormat="false" ht="15" hidden="false" customHeight="true" outlineLevel="0" collapsed="false">
      <c r="A9583" s="10" t="n">
        <f aca="false">Einstellungen!$B$5+INT((ROW()-9)/24)</f>
        <v>46364</v>
      </c>
      <c r="B9583" s="11" t="n">
        <f aca="false">MOD(ROW()-9,24)</f>
        <v>22</v>
      </c>
      <c r="C9583" s="12"/>
      <c r="D9583" s="13" t="n">
        <f aca="false">IF(B9583&lt;5,Einstellungen!$B$3,Einstellungen!$B$4)</f>
        <v>29.13</v>
      </c>
      <c r="E9583" s="14" t="str">
        <f aca="false">IF(C9583="","",C9583*D9583/100)</f>
        <v/>
      </c>
      <c r="F9583" s="15" t="str">
        <f aca="false">IF(B9583&lt;5,"Go","Standard")</f>
        <v>Standard</v>
      </c>
    </row>
    <row r="9584" customFormat="false" ht="15" hidden="false" customHeight="true" outlineLevel="0" collapsed="false">
      <c r="A9584" s="10" t="n">
        <f aca="false">Einstellungen!$B$5+INT((ROW()-9)/24)</f>
        <v>46364</v>
      </c>
      <c r="B9584" s="11" t="n">
        <f aca="false">MOD(ROW()-9,24)</f>
        <v>23</v>
      </c>
      <c r="C9584" s="12"/>
      <c r="D9584" s="13" t="n">
        <f aca="false">IF(B9584&lt;5,Einstellungen!$B$3,Einstellungen!$B$4)</f>
        <v>29.13</v>
      </c>
      <c r="E9584" s="14" t="str">
        <f aca="false">IF(C9584="","",C9584*D9584/100)</f>
        <v/>
      </c>
      <c r="F9584" s="15" t="str">
        <f aca="false">IF(B9584&lt;5,"Go","Standard")</f>
        <v>Standard</v>
      </c>
    </row>
    <row r="9585" customFormat="false" ht="15" hidden="false" customHeight="true" outlineLevel="0" collapsed="false">
      <c r="A9585" s="10" t="n">
        <f aca="false">Einstellungen!$B$5+INT((ROW()-9)/24)</f>
        <v>46365</v>
      </c>
      <c r="B9585" s="11" t="n">
        <f aca="false">MOD(ROW()-9,24)</f>
        <v>0</v>
      </c>
      <c r="C9585" s="12"/>
      <c r="D9585" s="13" t="n">
        <f aca="false">IF(B9585&lt;5,Einstellungen!$B$3,Einstellungen!$B$4)</f>
        <v>15.92</v>
      </c>
      <c r="E9585" s="14" t="str">
        <f aca="false">IF(C9585="","",C9585*D9585/100)</f>
        <v/>
      </c>
      <c r="F9585" s="15" t="str">
        <f aca="false">IF(B9585&lt;5,"Go","Standard")</f>
        <v>Go</v>
      </c>
    </row>
    <row r="9586" customFormat="false" ht="15" hidden="false" customHeight="true" outlineLevel="0" collapsed="false">
      <c r="A9586" s="10" t="n">
        <f aca="false">Einstellungen!$B$5+INT((ROW()-9)/24)</f>
        <v>46365</v>
      </c>
      <c r="B9586" s="11" t="n">
        <f aca="false">MOD(ROW()-9,24)</f>
        <v>1</v>
      </c>
      <c r="C9586" s="12"/>
      <c r="D9586" s="13" t="n">
        <f aca="false">IF(B9586&lt;5,Einstellungen!$B$3,Einstellungen!$B$4)</f>
        <v>15.92</v>
      </c>
      <c r="E9586" s="14" t="str">
        <f aca="false">IF(C9586="","",C9586*D9586/100)</f>
        <v/>
      </c>
      <c r="F9586" s="15" t="str">
        <f aca="false">IF(B9586&lt;5,"Go","Standard")</f>
        <v>Go</v>
      </c>
    </row>
    <row r="9587" customFormat="false" ht="15" hidden="false" customHeight="true" outlineLevel="0" collapsed="false">
      <c r="A9587" s="10" t="n">
        <f aca="false">Einstellungen!$B$5+INT((ROW()-9)/24)</f>
        <v>46365</v>
      </c>
      <c r="B9587" s="11" t="n">
        <f aca="false">MOD(ROW()-9,24)</f>
        <v>2</v>
      </c>
      <c r="C9587" s="12"/>
      <c r="D9587" s="13" t="n">
        <f aca="false">IF(B9587&lt;5,Einstellungen!$B$3,Einstellungen!$B$4)</f>
        <v>15.92</v>
      </c>
      <c r="E9587" s="14" t="str">
        <f aca="false">IF(C9587="","",C9587*D9587/100)</f>
        <v/>
      </c>
      <c r="F9587" s="15" t="str">
        <f aca="false">IF(B9587&lt;5,"Go","Standard")</f>
        <v>Go</v>
      </c>
    </row>
    <row r="9588" customFormat="false" ht="15" hidden="false" customHeight="true" outlineLevel="0" collapsed="false">
      <c r="A9588" s="10" t="n">
        <f aca="false">Einstellungen!$B$5+INT((ROW()-9)/24)</f>
        <v>46365</v>
      </c>
      <c r="B9588" s="11" t="n">
        <f aca="false">MOD(ROW()-9,24)</f>
        <v>3</v>
      </c>
      <c r="C9588" s="12"/>
      <c r="D9588" s="13" t="n">
        <f aca="false">IF(B9588&lt;5,Einstellungen!$B$3,Einstellungen!$B$4)</f>
        <v>15.92</v>
      </c>
      <c r="E9588" s="14" t="str">
        <f aca="false">IF(C9588="","",C9588*D9588/100)</f>
        <v/>
      </c>
      <c r="F9588" s="15" t="str">
        <f aca="false">IF(B9588&lt;5,"Go","Standard")</f>
        <v>Go</v>
      </c>
    </row>
    <row r="9589" customFormat="false" ht="15" hidden="false" customHeight="true" outlineLevel="0" collapsed="false">
      <c r="A9589" s="10" t="n">
        <f aca="false">Einstellungen!$B$5+INT((ROW()-9)/24)</f>
        <v>46365</v>
      </c>
      <c r="B9589" s="11" t="n">
        <f aca="false">MOD(ROW()-9,24)</f>
        <v>4</v>
      </c>
      <c r="C9589" s="12"/>
      <c r="D9589" s="13" t="n">
        <f aca="false">IF(B9589&lt;5,Einstellungen!$B$3,Einstellungen!$B$4)</f>
        <v>15.92</v>
      </c>
      <c r="E9589" s="14" t="str">
        <f aca="false">IF(C9589="","",C9589*D9589/100)</f>
        <v/>
      </c>
      <c r="F9589" s="15" t="str">
        <f aca="false">IF(B9589&lt;5,"Go","Standard")</f>
        <v>Go</v>
      </c>
    </row>
    <row r="9590" customFormat="false" ht="15" hidden="false" customHeight="true" outlineLevel="0" collapsed="false">
      <c r="A9590" s="10" t="n">
        <f aca="false">Einstellungen!$B$5+INT((ROW()-9)/24)</f>
        <v>46365</v>
      </c>
      <c r="B9590" s="11" t="n">
        <f aca="false">MOD(ROW()-9,24)</f>
        <v>5</v>
      </c>
      <c r="C9590" s="12"/>
      <c r="D9590" s="13" t="n">
        <f aca="false">IF(B9590&lt;5,Einstellungen!$B$3,Einstellungen!$B$4)</f>
        <v>29.13</v>
      </c>
      <c r="E9590" s="14" t="str">
        <f aca="false">IF(C9590="","",C9590*D9590/100)</f>
        <v/>
      </c>
      <c r="F9590" s="15" t="str">
        <f aca="false">IF(B9590&lt;5,"Go","Standard")</f>
        <v>Standard</v>
      </c>
    </row>
    <row r="9591" customFormat="false" ht="15" hidden="false" customHeight="true" outlineLevel="0" collapsed="false">
      <c r="A9591" s="10" t="n">
        <f aca="false">Einstellungen!$B$5+INT((ROW()-9)/24)</f>
        <v>46365</v>
      </c>
      <c r="B9591" s="11" t="n">
        <f aca="false">MOD(ROW()-9,24)</f>
        <v>6</v>
      </c>
      <c r="C9591" s="12"/>
      <c r="D9591" s="13" t="n">
        <f aca="false">IF(B9591&lt;5,Einstellungen!$B$3,Einstellungen!$B$4)</f>
        <v>29.13</v>
      </c>
      <c r="E9591" s="14" t="str">
        <f aca="false">IF(C9591="","",C9591*D9591/100)</f>
        <v/>
      </c>
      <c r="F9591" s="15" t="str">
        <f aca="false">IF(B9591&lt;5,"Go","Standard")</f>
        <v>Standard</v>
      </c>
    </row>
    <row r="9592" customFormat="false" ht="15" hidden="false" customHeight="true" outlineLevel="0" collapsed="false">
      <c r="A9592" s="10" t="n">
        <f aca="false">Einstellungen!$B$5+INT((ROW()-9)/24)</f>
        <v>46365</v>
      </c>
      <c r="B9592" s="11" t="n">
        <f aca="false">MOD(ROW()-9,24)</f>
        <v>7</v>
      </c>
      <c r="C9592" s="12"/>
      <c r="D9592" s="13" t="n">
        <f aca="false">IF(B9592&lt;5,Einstellungen!$B$3,Einstellungen!$B$4)</f>
        <v>29.13</v>
      </c>
      <c r="E9592" s="14" t="str">
        <f aca="false">IF(C9592="","",C9592*D9592/100)</f>
        <v/>
      </c>
      <c r="F9592" s="15" t="str">
        <f aca="false">IF(B9592&lt;5,"Go","Standard")</f>
        <v>Standard</v>
      </c>
    </row>
    <row r="9593" customFormat="false" ht="15" hidden="false" customHeight="true" outlineLevel="0" collapsed="false">
      <c r="A9593" s="10" t="n">
        <f aca="false">Einstellungen!$B$5+INT((ROW()-9)/24)</f>
        <v>46365</v>
      </c>
      <c r="B9593" s="11" t="n">
        <f aca="false">MOD(ROW()-9,24)</f>
        <v>8</v>
      </c>
      <c r="C9593" s="12"/>
      <c r="D9593" s="13" t="n">
        <f aca="false">IF(B9593&lt;5,Einstellungen!$B$3,Einstellungen!$B$4)</f>
        <v>29.13</v>
      </c>
      <c r="E9593" s="14" t="str">
        <f aca="false">IF(C9593="","",C9593*D9593/100)</f>
        <v/>
      </c>
      <c r="F9593" s="15" t="str">
        <f aca="false">IF(B9593&lt;5,"Go","Standard")</f>
        <v>Standard</v>
      </c>
    </row>
    <row r="9594" customFormat="false" ht="15" hidden="false" customHeight="true" outlineLevel="0" collapsed="false">
      <c r="A9594" s="10" t="n">
        <f aca="false">Einstellungen!$B$5+INT((ROW()-9)/24)</f>
        <v>46365</v>
      </c>
      <c r="B9594" s="11" t="n">
        <f aca="false">MOD(ROW()-9,24)</f>
        <v>9</v>
      </c>
      <c r="C9594" s="12"/>
      <c r="D9594" s="13" t="n">
        <f aca="false">IF(B9594&lt;5,Einstellungen!$B$3,Einstellungen!$B$4)</f>
        <v>29.13</v>
      </c>
      <c r="E9594" s="14" t="str">
        <f aca="false">IF(C9594="","",C9594*D9594/100)</f>
        <v/>
      </c>
      <c r="F9594" s="15" t="str">
        <f aca="false">IF(B9594&lt;5,"Go","Standard")</f>
        <v>Standard</v>
      </c>
    </row>
    <row r="9595" customFormat="false" ht="15" hidden="false" customHeight="true" outlineLevel="0" collapsed="false">
      <c r="A9595" s="10" t="n">
        <f aca="false">Einstellungen!$B$5+INT((ROW()-9)/24)</f>
        <v>46365</v>
      </c>
      <c r="B9595" s="11" t="n">
        <f aca="false">MOD(ROW()-9,24)</f>
        <v>10</v>
      </c>
      <c r="C9595" s="12"/>
      <c r="D9595" s="13" t="n">
        <f aca="false">IF(B9595&lt;5,Einstellungen!$B$3,Einstellungen!$B$4)</f>
        <v>29.13</v>
      </c>
      <c r="E9595" s="14" t="str">
        <f aca="false">IF(C9595="","",C9595*D9595/100)</f>
        <v/>
      </c>
      <c r="F9595" s="15" t="str">
        <f aca="false">IF(B9595&lt;5,"Go","Standard")</f>
        <v>Standard</v>
      </c>
    </row>
    <row r="9596" customFormat="false" ht="15" hidden="false" customHeight="true" outlineLevel="0" collapsed="false">
      <c r="A9596" s="10" t="n">
        <f aca="false">Einstellungen!$B$5+INT((ROW()-9)/24)</f>
        <v>46365</v>
      </c>
      <c r="B9596" s="11" t="n">
        <f aca="false">MOD(ROW()-9,24)</f>
        <v>11</v>
      </c>
      <c r="C9596" s="12"/>
      <c r="D9596" s="13" t="n">
        <f aca="false">IF(B9596&lt;5,Einstellungen!$B$3,Einstellungen!$B$4)</f>
        <v>29.13</v>
      </c>
      <c r="E9596" s="14" t="str">
        <f aca="false">IF(C9596="","",C9596*D9596/100)</f>
        <v/>
      </c>
      <c r="F9596" s="15" t="str">
        <f aca="false">IF(B9596&lt;5,"Go","Standard")</f>
        <v>Standard</v>
      </c>
    </row>
    <row r="9597" customFormat="false" ht="15" hidden="false" customHeight="true" outlineLevel="0" collapsed="false">
      <c r="A9597" s="10" t="n">
        <f aca="false">Einstellungen!$B$5+INT((ROW()-9)/24)</f>
        <v>46365</v>
      </c>
      <c r="B9597" s="11" t="n">
        <f aca="false">MOD(ROW()-9,24)</f>
        <v>12</v>
      </c>
      <c r="C9597" s="12"/>
      <c r="D9597" s="13" t="n">
        <f aca="false">IF(B9597&lt;5,Einstellungen!$B$3,Einstellungen!$B$4)</f>
        <v>29.13</v>
      </c>
      <c r="E9597" s="14" t="str">
        <f aca="false">IF(C9597="","",C9597*D9597/100)</f>
        <v/>
      </c>
      <c r="F9597" s="15" t="str">
        <f aca="false">IF(B9597&lt;5,"Go","Standard")</f>
        <v>Standard</v>
      </c>
    </row>
    <row r="9598" customFormat="false" ht="15" hidden="false" customHeight="true" outlineLevel="0" collapsed="false">
      <c r="A9598" s="10" t="n">
        <f aca="false">Einstellungen!$B$5+INT((ROW()-9)/24)</f>
        <v>46365</v>
      </c>
      <c r="B9598" s="11" t="n">
        <f aca="false">MOD(ROW()-9,24)</f>
        <v>13</v>
      </c>
      <c r="C9598" s="12"/>
      <c r="D9598" s="13" t="n">
        <f aca="false">IF(B9598&lt;5,Einstellungen!$B$3,Einstellungen!$B$4)</f>
        <v>29.13</v>
      </c>
      <c r="E9598" s="14" t="str">
        <f aca="false">IF(C9598="","",C9598*D9598/100)</f>
        <v/>
      </c>
      <c r="F9598" s="15" t="str">
        <f aca="false">IF(B9598&lt;5,"Go","Standard")</f>
        <v>Standard</v>
      </c>
    </row>
    <row r="9599" customFormat="false" ht="15" hidden="false" customHeight="true" outlineLevel="0" collapsed="false">
      <c r="A9599" s="10" t="n">
        <f aca="false">Einstellungen!$B$5+INT((ROW()-9)/24)</f>
        <v>46365</v>
      </c>
      <c r="B9599" s="11" t="n">
        <f aca="false">MOD(ROW()-9,24)</f>
        <v>14</v>
      </c>
      <c r="C9599" s="12"/>
      <c r="D9599" s="13" t="n">
        <f aca="false">IF(B9599&lt;5,Einstellungen!$B$3,Einstellungen!$B$4)</f>
        <v>29.13</v>
      </c>
      <c r="E9599" s="14" t="str">
        <f aca="false">IF(C9599="","",C9599*D9599/100)</f>
        <v/>
      </c>
      <c r="F9599" s="15" t="str">
        <f aca="false">IF(B9599&lt;5,"Go","Standard")</f>
        <v>Standard</v>
      </c>
    </row>
    <row r="9600" customFormat="false" ht="15" hidden="false" customHeight="true" outlineLevel="0" collapsed="false">
      <c r="A9600" s="10" t="n">
        <f aca="false">Einstellungen!$B$5+INT((ROW()-9)/24)</f>
        <v>46365</v>
      </c>
      <c r="B9600" s="11" t="n">
        <f aca="false">MOD(ROW()-9,24)</f>
        <v>15</v>
      </c>
      <c r="C9600" s="12"/>
      <c r="D9600" s="13" t="n">
        <f aca="false">IF(B9600&lt;5,Einstellungen!$B$3,Einstellungen!$B$4)</f>
        <v>29.13</v>
      </c>
      <c r="E9600" s="14" t="str">
        <f aca="false">IF(C9600="","",C9600*D9600/100)</f>
        <v/>
      </c>
      <c r="F9600" s="15" t="str">
        <f aca="false">IF(B9600&lt;5,"Go","Standard")</f>
        <v>Standard</v>
      </c>
    </row>
    <row r="9601" customFormat="false" ht="15" hidden="false" customHeight="true" outlineLevel="0" collapsed="false">
      <c r="A9601" s="10" t="n">
        <f aca="false">Einstellungen!$B$5+INT((ROW()-9)/24)</f>
        <v>46365</v>
      </c>
      <c r="B9601" s="11" t="n">
        <f aca="false">MOD(ROW()-9,24)</f>
        <v>16</v>
      </c>
      <c r="C9601" s="12"/>
      <c r="D9601" s="13" t="n">
        <f aca="false">IF(B9601&lt;5,Einstellungen!$B$3,Einstellungen!$B$4)</f>
        <v>29.13</v>
      </c>
      <c r="E9601" s="14" t="str">
        <f aca="false">IF(C9601="","",C9601*D9601/100)</f>
        <v/>
      </c>
      <c r="F9601" s="15" t="str">
        <f aca="false">IF(B9601&lt;5,"Go","Standard")</f>
        <v>Standard</v>
      </c>
    </row>
    <row r="9602" customFormat="false" ht="15" hidden="false" customHeight="true" outlineLevel="0" collapsed="false">
      <c r="A9602" s="10" t="n">
        <f aca="false">Einstellungen!$B$5+INT((ROW()-9)/24)</f>
        <v>46365</v>
      </c>
      <c r="B9602" s="11" t="n">
        <f aca="false">MOD(ROW()-9,24)</f>
        <v>17</v>
      </c>
      <c r="C9602" s="12"/>
      <c r="D9602" s="13" t="n">
        <f aca="false">IF(B9602&lt;5,Einstellungen!$B$3,Einstellungen!$B$4)</f>
        <v>29.13</v>
      </c>
      <c r="E9602" s="14" t="str">
        <f aca="false">IF(C9602="","",C9602*D9602/100)</f>
        <v/>
      </c>
      <c r="F9602" s="15" t="str">
        <f aca="false">IF(B9602&lt;5,"Go","Standard")</f>
        <v>Standard</v>
      </c>
    </row>
    <row r="9603" customFormat="false" ht="15" hidden="false" customHeight="true" outlineLevel="0" collapsed="false">
      <c r="A9603" s="10" t="n">
        <f aca="false">Einstellungen!$B$5+INT((ROW()-9)/24)</f>
        <v>46365</v>
      </c>
      <c r="B9603" s="11" t="n">
        <f aca="false">MOD(ROW()-9,24)</f>
        <v>18</v>
      </c>
      <c r="C9603" s="12"/>
      <c r="D9603" s="13" t="n">
        <f aca="false">IF(B9603&lt;5,Einstellungen!$B$3,Einstellungen!$B$4)</f>
        <v>29.13</v>
      </c>
      <c r="E9603" s="14" t="str">
        <f aca="false">IF(C9603="","",C9603*D9603/100)</f>
        <v/>
      </c>
      <c r="F9603" s="15" t="str">
        <f aca="false">IF(B9603&lt;5,"Go","Standard")</f>
        <v>Standard</v>
      </c>
    </row>
    <row r="9604" customFormat="false" ht="15" hidden="false" customHeight="true" outlineLevel="0" collapsed="false">
      <c r="A9604" s="10" t="n">
        <f aca="false">Einstellungen!$B$5+INT((ROW()-9)/24)</f>
        <v>46365</v>
      </c>
      <c r="B9604" s="11" t="n">
        <f aca="false">MOD(ROW()-9,24)</f>
        <v>19</v>
      </c>
      <c r="C9604" s="12"/>
      <c r="D9604" s="13" t="n">
        <f aca="false">IF(B9604&lt;5,Einstellungen!$B$3,Einstellungen!$B$4)</f>
        <v>29.13</v>
      </c>
      <c r="E9604" s="14" t="str">
        <f aca="false">IF(C9604="","",C9604*D9604/100)</f>
        <v/>
      </c>
      <c r="F9604" s="15" t="str">
        <f aca="false">IF(B9604&lt;5,"Go","Standard")</f>
        <v>Standard</v>
      </c>
    </row>
    <row r="9605" customFormat="false" ht="15" hidden="false" customHeight="true" outlineLevel="0" collapsed="false">
      <c r="A9605" s="10" t="n">
        <f aca="false">Einstellungen!$B$5+INT((ROW()-9)/24)</f>
        <v>46365</v>
      </c>
      <c r="B9605" s="11" t="n">
        <f aca="false">MOD(ROW()-9,24)</f>
        <v>20</v>
      </c>
      <c r="C9605" s="12"/>
      <c r="D9605" s="13" t="n">
        <f aca="false">IF(B9605&lt;5,Einstellungen!$B$3,Einstellungen!$B$4)</f>
        <v>29.13</v>
      </c>
      <c r="E9605" s="14" t="str">
        <f aca="false">IF(C9605="","",C9605*D9605/100)</f>
        <v/>
      </c>
      <c r="F9605" s="15" t="str">
        <f aca="false">IF(B9605&lt;5,"Go","Standard")</f>
        <v>Standard</v>
      </c>
    </row>
    <row r="9606" customFormat="false" ht="15" hidden="false" customHeight="true" outlineLevel="0" collapsed="false">
      <c r="A9606" s="10" t="n">
        <f aca="false">Einstellungen!$B$5+INT((ROW()-9)/24)</f>
        <v>46365</v>
      </c>
      <c r="B9606" s="11" t="n">
        <f aca="false">MOD(ROW()-9,24)</f>
        <v>21</v>
      </c>
      <c r="C9606" s="12"/>
      <c r="D9606" s="13" t="n">
        <f aca="false">IF(B9606&lt;5,Einstellungen!$B$3,Einstellungen!$B$4)</f>
        <v>29.13</v>
      </c>
      <c r="E9606" s="14" t="str">
        <f aca="false">IF(C9606="","",C9606*D9606/100)</f>
        <v/>
      </c>
      <c r="F9606" s="15" t="str">
        <f aca="false">IF(B9606&lt;5,"Go","Standard")</f>
        <v>Standard</v>
      </c>
    </row>
    <row r="9607" customFormat="false" ht="15" hidden="false" customHeight="true" outlineLevel="0" collapsed="false">
      <c r="A9607" s="10" t="n">
        <f aca="false">Einstellungen!$B$5+INT((ROW()-9)/24)</f>
        <v>46365</v>
      </c>
      <c r="B9607" s="11" t="n">
        <f aca="false">MOD(ROW()-9,24)</f>
        <v>22</v>
      </c>
      <c r="C9607" s="12"/>
      <c r="D9607" s="13" t="n">
        <f aca="false">IF(B9607&lt;5,Einstellungen!$B$3,Einstellungen!$B$4)</f>
        <v>29.13</v>
      </c>
      <c r="E9607" s="14" t="str">
        <f aca="false">IF(C9607="","",C9607*D9607/100)</f>
        <v/>
      </c>
      <c r="F9607" s="15" t="str">
        <f aca="false">IF(B9607&lt;5,"Go","Standard")</f>
        <v>Standard</v>
      </c>
    </row>
    <row r="9608" customFormat="false" ht="15" hidden="false" customHeight="true" outlineLevel="0" collapsed="false">
      <c r="A9608" s="10" t="n">
        <f aca="false">Einstellungen!$B$5+INT((ROW()-9)/24)</f>
        <v>46365</v>
      </c>
      <c r="B9608" s="11" t="n">
        <f aca="false">MOD(ROW()-9,24)</f>
        <v>23</v>
      </c>
      <c r="C9608" s="12"/>
      <c r="D9608" s="13" t="n">
        <f aca="false">IF(B9608&lt;5,Einstellungen!$B$3,Einstellungen!$B$4)</f>
        <v>29.13</v>
      </c>
      <c r="E9608" s="14" t="str">
        <f aca="false">IF(C9608="","",C9608*D9608/100)</f>
        <v/>
      </c>
      <c r="F9608" s="15" t="str">
        <f aca="false">IF(B9608&lt;5,"Go","Standard")</f>
        <v>Standard</v>
      </c>
    </row>
    <row r="9609" customFormat="false" ht="15" hidden="false" customHeight="true" outlineLevel="0" collapsed="false">
      <c r="A9609" s="10" t="n">
        <f aca="false">Einstellungen!$B$5+INT((ROW()-9)/24)</f>
        <v>46366</v>
      </c>
      <c r="B9609" s="11" t="n">
        <f aca="false">MOD(ROW()-9,24)</f>
        <v>0</v>
      </c>
      <c r="C9609" s="12"/>
      <c r="D9609" s="13" t="n">
        <f aca="false">IF(B9609&lt;5,Einstellungen!$B$3,Einstellungen!$B$4)</f>
        <v>15.92</v>
      </c>
      <c r="E9609" s="14" t="str">
        <f aca="false">IF(C9609="","",C9609*D9609/100)</f>
        <v/>
      </c>
      <c r="F9609" s="15" t="str">
        <f aca="false">IF(B9609&lt;5,"Go","Standard")</f>
        <v>Go</v>
      </c>
    </row>
    <row r="9610" customFormat="false" ht="15" hidden="false" customHeight="true" outlineLevel="0" collapsed="false">
      <c r="A9610" s="10" t="n">
        <f aca="false">Einstellungen!$B$5+INT((ROW()-9)/24)</f>
        <v>46366</v>
      </c>
      <c r="B9610" s="11" t="n">
        <f aca="false">MOD(ROW()-9,24)</f>
        <v>1</v>
      </c>
      <c r="C9610" s="12"/>
      <c r="D9610" s="13" t="n">
        <f aca="false">IF(B9610&lt;5,Einstellungen!$B$3,Einstellungen!$B$4)</f>
        <v>15.92</v>
      </c>
      <c r="E9610" s="14" t="str">
        <f aca="false">IF(C9610="","",C9610*D9610/100)</f>
        <v/>
      </c>
      <c r="F9610" s="15" t="str">
        <f aca="false">IF(B9610&lt;5,"Go","Standard")</f>
        <v>Go</v>
      </c>
    </row>
    <row r="9611" customFormat="false" ht="15" hidden="false" customHeight="true" outlineLevel="0" collapsed="false">
      <c r="A9611" s="10" t="n">
        <f aca="false">Einstellungen!$B$5+INT((ROW()-9)/24)</f>
        <v>46366</v>
      </c>
      <c r="B9611" s="11" t="n">
        <f aca="false">MOD(ROW()-9,24)</f>
        <v>2</v>
      </c>
      <c r="C9611" s="12"/>
      <c r="D9611" s="13" t="n">
        <f aca="false">IF(B9611&lt;5,Einstellungen!$B$3,Einstellungen!$B$4)</f>
        <v>15.92</v>
      </c>
      <c r="E9611" s="14" t="str">
        <f aca="false">IF(C9611="","",C9611*D9611/100)</f>
        <v/>
      </c>
      <c r="F9611" s="15" t="str">
        <f aca="false">IF(B9611&lt;5,"Go","Standard")</f>
        <v>Go</v>
      </c>
    </row>
    <row r="9612" customFormat="false" ht="15" hidden="false" customHeight="true" outlineLevel="0" collapsed="false">
      <c r="A9612" s="10" t="n">
        <f aca="false">Einstellungen!$B$5+INT((ROW()-9)/24)</f>
        <v>46366</v>
      </c>
      <c r="B9612" s="11" t="n">
        <f aca="false">MOD(ROW()-9,24)</f>
        <v>3</v>
      </c>
      <c r="C9612" s="12"/>
      <c r="D9612" s="13" t="n">
        <f aca="false">IF(B9612&lt;5,Einstellungen!$B$3,Einstellungen!$B$4)</f>
        <v>15.92</v>
      </c>
      <c r="E9612" s="14" t="str">
        <f aca="false">IF(C9612="","",C9612*D9612/100)</f>
        <v/>
      </c>
      <c r="F9612" s="15" t="str">
        <f aca="false">IF(B9612&lt;5,"Go","Standard")</f>
        <v>Go</v>
      </c>
    </row>
    <row r="9613" customFormat="false" ht="15" hidden="false" customHeight="true" outlineLevel="0" collapsed="false">
      <c r="A9613" s="10" t="n">
        <f aca="false">Einstellungen!$B$5+INT((ROW()-9)/24)</f>
        <v>46366</v>
      </c>
      <c r="B9613" s="11" t="n">
        <f aca="false">MOD(ROW()-9,24)</f>
        <v>4</v>
      </c>
      <c r="C9613" s="12"/>
      <c r="D9613" s="13" t="n">
        <f aca="false">IF(B9613&lt;5,Einstellungen!$B$3,Einstellungen!$B$4)</f>
        <v>15.92</v>
      </c>
      <c r="E9613" s="14" t="str">
        <f aca="false">IF(C9613="","",C9613*D9613/100)</f>
        <v/>
      </c>
      <c r="F9613" s="15" t="str">
        <f aca="false">IF(B9613&lt;5,"Go","Standard")</f>
        <v>Go</v>
      </c>
    </row>
    <row r="9614" customFormat="false" ht="15" hidden="false" customHeight="true" outlineLevel="0" collapsed="false">
      <c r="A9614" s="10" t="n">
        <f aca="false">Einstellungen!$B$5+INT((ROW()-9)/24)</f>
        <v>46366</v>
      </c>
      <c r="B9614" s="11" t="n">
        <f aca="false">MOD(ROW()-9,24)</f>
        <v>5</v>
      </c>
      <c r="C9614" s="12"/>
      <c r="D9614" s="13" t="n">
        <f aca="false">IF(B9614&lt;5,Einstellungen!$B$3,Einstellungen!$B$4)</f>
        <v>29.13</v>
      </c>
      <c r="E9614" s="14" t="str">
        <f aca="false">IF(C9614="","",C9614*D9614/100)</f>
        <v/>
      </c>
      <c r="F9614" s="15" t="str">
        <f aca="false">IF(B9614&lt;5,"Go","Standard")</f>
        <v>Standard</v>
      </c>
    </row>
    <row r="9615" customFormat="false" ht="15" hidden="false" customHeight="true" outlineLevel="0" collapsed="false">
      <c r="A9615" s="10" t="n">
        <f aca="false">Einstellungen!$B$5+INT((ROW()-9)/24)</f>
        <v>46366</v>
      </c>
      <c r="B9615" s="11" t="n">
        <f aca="false">MOD(ROW()-9,24)</f>
        <v>6</v>
      </c>
      <c r="C9615" s="12"/>
      <c r="D9615" s="13" t="n">
        <f aca="false">IF(B9615&lt;5,Einstellungen!$B$3,Einstellungen!$B$4)</f>
        <v>29.13</v>
      </c>
      <c r="E9615" s="14" t="str">
        <f aca="false">IF(C9615="","",C9615*D9615/100)</f>
        <v/>
      </c>
      <c r="F9615" s="15" t="str">
        <f aca="false">IF(B9615&lt;5,"Go","Standard")</f>
        <v>Standard</v>
      </c>
    </row>
    <row r="9616" customFormat="false" ht="15" hidden="false" customHeight="true" outlineLevel="0" collapsed="false">
      <c r="A9616" s="10" t="n">
        <f aca="false">Einstellungen!$B$5+INT((ROW()-9)/24)</f>
        <v>46366</v>
      </c>
      <c r="B9616" s="11" t="n">
        <f aca="false">MOD(ROW()-9,24)</f>
        <v>7</v>
      </c>
      <c r="C9616" s="12"/>
      <c r="D9616" s="13" t="n">
        <f aca="false">IF(B9616&lt;5,Einstellungen!$B$3,Einstellungen!$B$4)</f>
        <v>29.13</v>
      </c>
      <c r="E9616" s="14" t="str">
        <f aca="false">IF(C9616="","",C9616*D9616/100)</f>
        <v/>
      </c>
      <c r="F9616" s="15" t="str">
        <f aca="false">IF(B9616&lt;5,"Go","Standard")</f>
        <v>Standard</v>
      </c>
    </row>
    <row r="9617" customFormat="false" ht="15" hidden="false" customHeight="true" outlineLevel="0" collapsed="false">
      <c r="A9617" s="10" t="n">
        <f aca="false">Einstellungen!$B$5+INT((ROW()-9)/24)</f>
        <v>46366</v>
      </c>
      <c r="B9617" s="11" t="n">
        <f aca="false">MOD(ROW()-9,24)</f>
        <v>8</v>
      </c>
      <c r="C9617" s="12"/>
      <c r="D9617" s="13" t="n">
        <f aca="false">IF(B9617&lt;5,Einstellungen!$B$3,Einstellungen!$B$4)</f>
        <v>29.13</v>
      </c>
      <c r="E9617" s="14" t="str">
        <f aca="false">IF(C9617="","",C9617*D9617/100)</f>
        <v/>
      </c>
      <c r="F9617" s="15" t="str">
        <f aca="false">IF(B9617&lt;5,"Go","Standard")</f>
        <v>Standard</v>
      </c>
    </row>
    <row r="9618" customFormat="false" ht="15" hidden="false" customHeight="true" outlineLevel="0" collapsed="false">
      <c r="A9618" s="10" t="n">
        <f aca="false">Einstellungen!$B$5+INT((ROW()-9)/24)</f>
        <v>46366</v>
      </c>
      <c r="B9618" s="11" t="n">
        <f aca="false">MOD(ROW()-9,24)</f>
        <v>9</v>
      </c>
      <c r="C9618" s="12"/>
      <c r="D9618" s="13" t="n">
        <f aca="false">IF(B9618&lt;5,Einstellungen!$B$3,Einstellungen!$B$4)</f>
        <v>29.13</v>
      </c>
      <c r="E9618" s="14" t="str">
        <f aca="false">IF(C9618="","",C9618*D9618/100)</f>
        <v/>
      </c>
      <c r="F9618" s="15" t="str">
        <f aca="false">IF(B9618&lt;5,"Go","Standard")</f>
        <v>Standard</v>
      </c>
    </row>
    <row r="9619" customFormat="false" ht="15" hidden="false" customHeight="true" outlineLevel="0" collapsed="false">
      <c r="A9619" s="10" t="n">
        <f aca="false">Einstellungen!$B$5+INT((ROW()-9)/24)</f>
        <v>46366</v>
      </c>
      <c r="B9619" s="11" t="n">
        <f aca="false">MOD(ROW()-9,24)</f>
        <v>10</v>
      </c>
      <c r="C9619" s="12"/>
      <c r="D9619" s="13" t="n">
        <f aca="false">IF(B9619&lt;5,Einstellungen!$B$3,Einstellungen!$B$4)</f>
        <v>29.13</v>
      </c>
      <c r="E9619" s="14" t="str">
        <f aca="false">IF(C9619="","",C9619*D9619/100)</f>
        <v/>
      </c>
      <c r="F9619" s="15" t="str">
        <f aca="false">IF(B9619&lt;5,"Go","Standard")</f>
        <v>Standard</v>
      </c>
    </row>
    <row r="9620" customFormat="false" ht="15" hidden="false" customHeight="true" outlineLevel="0" collapsed="false">
      <c r="A9620" s="10" t="n">
        <f aca="false">Einstellungen!$B$5+INT((ROW()-9)/24)</f>
        <v>46366</v>
      </c>
      <c r="B9620" s="11" t="n">
        <f aca="false">MOD(ROW()-9,24)</f>
        <v>11</v>
      </c>
      <c r="C9620" s="12"/>
      <c r="D9620" s="13" t="n">
        <f aca="false">IF(B9620&lt;5,Einstellungen!$B$3,Einstellungen!$B$4)</f>
        <v>29.13</v>
      </c>
      <c r="E9620" s="14" t="str">
        <f aca="false">IF(C9620="","",C9620*D9620/100)</f>
        <v/>
      </c>
      <c r="F9620" s="15" t="str">
        <f aca="false">IF(B9620&lt;5,"Go","Standard")</f>
        <v>Standard</v>
      </c>
    </row>
    <row r="9621" customFormat="false" ht="15" hidden="false" customHeight="true" outlineLevel="0" collapsed="false">
      <c r="A9621" s="10" t="n">
        <f aca="false">Einstellungen!$B$5+INT((ROW()-9)/24)</f>
        <v>46366</v>
      </c>
      <c r="B9621" s="11" t="n">
        <f aca="false">MOD(ROW()-9,24)</f>
        <v>12</v>
      </c>
      <c r="C9621" s="12"/>
      <c r="D9621" s="13" t="n">
        <f aca="false">IF(B9621&lt;5,Einstellungen!$B$3,Einstellungen!$B$4)</f>
        <v>29.13</v>
      </c>
      <c r="E9621" s="14" t="str">
        <f aca="false">IF(C9621="","",C9621*D9621/100)</f>
        <v/>
      </c>
      <c r="F9621" s="15" t="str">
        <f aca="false">IF(B9621&lt;5,"Go","Standard")</f>
        <v>Standard</v>
      </c>
    </row>
    <row r="9622" customFormat="false" ht="15" hidden="false" customHeight="true" outlineLevel="0" collapsed="false">
      <c r="A9622" s="10" t="n">
        <f aca="false">Einstellungen!$B$5+INT((ROW()-9)/24)</f>
        <v>46366</v>
      </c>
      <c r="B9622" s="11" t="n">
        <f aca="false">MOD(ROW()-9,24)</f>
        <v>13</v>
      </c>
      <c r="C9622" s="12"/>
      <c r="D9622" s="13" t="n">
        <f aca="false">IF(B9622&lt;5,Einstellungen!$B$3,Einstellungen!$B$4)</f>
        <v>29.13</v>
      </c>
      <c r="E9622" s="14" t="str">
        <f aca="false">IF(C9622="","",C9622*D9622/100)</f>
        <v/>
      </c>
      <c r="F9622" s="15" t="str">
        <f aca="false">IF(B9622&lt;5,"Go","Standard")</f>
        <v>Standard</v>
      </c>
    </row>
    <row r="9623" customFormat="false" ht="15" hidden="false" customHeight="true" outlineLevel="0" collapsed="false">
      <c r="A9623" s="10" t="n">
        <f aca="false">Einstellungen!$B$5+INT((ROW()-9)/24)</f>
        <v>46366</v>
      </c>
      <c r="B9623" s="11" t="n">
        <f aca="false">MOD(ROW()-9,24)</f>
        <v>14</v>
      </c>
      <c r="C9623" s="12"/>
      <c r="D9623" s="13" t="n">
        <f aca="false">IF(B9623&lt;5,Einstellungen!$B$3,Einstellungen!$B$4)</f>
        <v>29.13</v>
      </c>
      <c r="E9623" s="14" t="str">
        <f aca="false">IF(C9623="","",C9623*D9623/100)</f>
        <v/>
      </c>
      <c r="F9623" s="15" t="str">
        <f aca="false">IF(B9623&lt;5,"Go","Standard")</f>
        <v>Standard</v>
      </c>
    </row>
    <row r="9624" customFormat="false" ht="15" hidden="false" customHeight="true" outlineLevel="0" collapsed="false">
      <c r="A9624" s="10" t="n">
        <f aca="false">Einstellungen!$B$5+INT((ROW()-9)/24)</f>
        <v>46366</v>
      </c>
      <c r="B9624" s="11" t="n">
        <f aca="false">MOD(ROW()-9,24)</f>
        <v>15</v>
      </c>
      <c r="C9624" s="12"/>
      <c r="D9624" s="13" t="n">
        <f aca="false">IF(B9624&lt;5,Einstellungen!$B$3,Einstellungen!$B$4)</f>
        <v>29.13</v>
      </c>
      <c r="E9624" s="14" t="str">
        <f aca="false">IF(C9624="","",C9624*D9624/100)</f>
        <v/>
      </c>
      <c r="F9624" s="15" t="str">
        <f aca="false">IF(B9624&lt;5,"Go","Standard")</f>
        <v>Standard</v>
      </c>
    </row>
    <row r="9625" customFormat="false" ht="15" hidden="false" customHeight="true" outlineLevel="0" collapsed="false">
      <c r="A9625" s="10" t="n">
        <f aca="false">Einstellungen!$B$5+INT((ROW()-9)/24)</f>
        <v>46366</v>
      </c>
      <c r="B9625" s="11" t="n">
        <f aca="false">MOD(ROW()-9,24)</f>
        <v>16</v>
      </c>
      <c r="C9625" s="12"/>
      <c r="D9625" s="13" t="n">
        <f aca="false">IF(B9625&lt;5,Einstellungen!$B$3,Einstellungen!$B$4)</f>
        <v>29.13</v>
      </c>
      <c r="E9625" s="14" t="str">
        <f aca="false">IF(C9625="","",C9625*D9625/100)</f>
        <v/>
      </c>
      <c r="F9625" s="15" t="str">
        <f aca="false">IF(B9625&lt;5,"Go","Standard")</f>
        <v>Standard</v>
      </c>
    </row>
    <row r="9626" customFormat="false" ht="15" hidden="false" customHeight="true" outlineLevel="0" collapsed="false">
      <c r="A9626" s="10" t="n">
        <f aca="false">Einstellungen!$B$5+INT((ROW()-9)/24)</f>
        <v>46366</v>
      </c>
      <c r="B9626" s="11" t="n">
        <f aca="false">MOD(ROW()-9,24)</f>
        <v>17</v>
      </c>
      <c r="C9626" s="12"/>
      <c r="D9626" s="13" t="n">
        <f aca="false">IF(B9626&lt;5,Einstellungen!$B$3,Einstellungen!$B$4)</f>
        <v>29.13</v>
      </c>
      <c r="E9626" s="14" t="str">
        <f aca="false">IF(C9626="","",C9626*D9626/100)</f>
        <v/>
      </c>
      <c r="F9626" s="15" t="str">
        <f aca="false">IF(B9626&lt;5,"Go","Standard")</f>
        <v>Standard</v>
      </c>
    </row>
    <row r="9627" customFormat="false" ht="15" hidden="false" customHeight="true" outlineLevel="0" collapsed="false">
      <c r="A9627" s="10" t="n">
        <f aca="false">Einstellungen!$B$5+INT((ROW()-9)/24)</f>
        <v>46366</v>
      </c>
      <c r="B9627" s="11" t="n">
        <f aca="false">MOD(ROW()-9,24)</f>
        <v>18</v>
      </c>
      <c r="C9627" s="12"/>
      <c r="D9627" s="13" t="n">
        <f aca="false">IF(B9627&lt;5,Einstellungen!$B$3,Einstellungen!$B$4)</f>
        <v>29.13</v>
      </c>
      <c r="E9627" s="14" t="str">
        <f aca="false">IF(C9627="","",C9627*D9627/100)</f>
        <v/>
      </c>
      <c r="F9627" s="15" t="str">
        <f aca="false">IF(B9627&lt;5,"Go","Standard")</f>
        <v>Standard</v>
      </c>
    </row>
    <row r="9628" customFormat="false" ht="15" hidden="false" customHeight="true" outlineLevel="0" collapsed="false">
      <c r="A9628" s="10" t="n">
        <f aca="false">Einstellungen!$B$5+INT((ROW()-9)/24)</f>
        <v>46366</v>
      </c>
      <c r="B9628" s="11" t="n">
        <f aca="false">MOD(ROW()-9,24)</f>
        <v>19</v>
      </c>
      <c r="C9628" s="12"/>
      <c r="D9628" s="13" t="n">
        <f aca="false">IF(B9628&lt;5,Einstellungen!$B$3,Einstellungen!$B$4)</f>
        <v>29.13</v>
      </c>
      <c r="E9628" s="14" t="str">
        <f aca="false">IF(C9628="","",C9628*D9628/100)</f>
        <v/>
      </c>
      <c r="F9628" s="15" t="str">
        <f aca="false">IF(B9628&lt;5,"Go","Standard")</f>
        <v>Standard</v>
      </c>
    </row>
    <row r="9629" customFormat="false" ht="15" hidden="false" customHeight="true" outlineLevel="0" collapsed="false">
      <c r="A9629" s="10" t="n">
        <f aca="false">Einstellungen!$B$5+INT((ROW()-9)/24)</f>
        <v>46366</v>
      </c>
      <c r="B9629" s="11" t="n">
        <f aca="false">MOD(ROW()-9,24)</f>
        <v>20</v>
      </c>
      <c r="C9629" s="12"/>
      <c r="D9629" s="13" t="n">
        <f aca="false">IF(B9629&lt;5,Einstellungen!$B$3,Einstellungen!$B$4)</f>
        <v>29.13</v>
      </c>
      <c r="E9629" s="14" t="str">
        <f aca="false">IF(C9629="","",C9629*D9629/100)</f>
        <v/>
      </c>
      <c r="F9629" s="15" t="str">
        <f aca="false">IF(B9629&lt;5,"Go","Standard")</f>
        <v>Standard</v>
      </c>
    </row>
    <row r="9630" customFormat="false" ht="15" hidden="false" customHeight="true" outlineLevel="0" collapsed="false">
      <c r="A9630" s="10" t="n">
        <f aca="false">Einstellungen!$B$5+INT((ROW()-9)/24)</f>
        <v>46366</v>
      </c>
      <c r="B9630" s="11" t="n">
        <f aca="false">MOD(ROW()-9,24)</f>
        <v>21</v>
      </c>
      <c r="C9630" s="12"/>
      <c r="D9630" s="13" t="n">
        <f aca="false">IF(B9630&lt;5,Einstellungen!$B$3,Einstellungen!$B$4)</f>
        <v>29.13</v>
      </c>
      <c r="E9630" s="14" t="str">
        <f aca="false">IF(C9630="","",C9630*D9630/100)</f>
        <v/>
      </c>
      <c r="F9630" s="15" t="str">
        <f aca="false">IF(B9630&lt;5,"Go","Standard")</f>
        <v>Standard</v>
      </c>
    </row>
    <row r="9631" customFormat="false" ht="15" hidden="false" customHeight="true" outlineLevel="0" collapsed="false">
      <c r="A9631" s="10" t="n">
        <f aca="false">Einstellungen!$B$5+INT((ROW()-9)/24)</f>
        <v>46366</v>
      </c>
      <c r="B9631" s="11" t="n">
        <f aca="false">MOD(ROW()-9,24)</f>
        <v>22</v>
      </c>
      <c r="C9631" s="12"/>
      <c r="D9631" s="13" t="n">
        <f aca="false">IF(B9631&lt;5,Einstellungen!$B$3,Einstellungen!$B$4)</f>
        <v>29.13</v>
      </c>
      <c r="E9631" s="14" t="str">
        <f aca="false">IF(C9631="","",C9631*D9631/100)</f>
        <v/>
      </c>
      <c r="F9631" s="15" t="str">
        <f aca="false">IF(B9631&lt;5,"Go","Standard")</f>
        <v>Standard</v>
      </c>
    </row>
    <row r="9632" customFormat="false" ht="15" hidden="false" customHeight="true" outlineLevel="0" collapsed="false">
      <c r="A9632" s="10" t="n">
        <f aca="false">Einstellungen!$B$5+INT((ROW()-9)/24)</f>
        <v>46366</v>
      </c>
      <c r="B9632" s="11" t="n">
        <f aca="false">MOD(ROW()-9,24)</f>
        <v>23</v>
      </c>
      <c r="C9632" s="12"/>
      <c r="D9632" s="13" t="n">
        <f aca="false">IF(B9632&lt;5,Einstellungen!$B$3,Einstellungen!$B$4)</f>
        <v>29.13</v>
      </c>
      <c r="E9632" s="14" t="str">
        <f aca="false">IF(C9632="","",C9632*D9632/100)</f>
        <v/>
      </c>
      <c r="F9632" s="15" t="str">
        <f aca="false">IF(B9632&lt;5,"Go","Standard")</f>
        <v>Standard</v>
      </c>
    </row>
    <row r="9633" customFormat="false" ht="15" hidden="false" customHeight="true" outlineLevel="0" collapsed="false">
      <c r="A9633" s="10" t="n">
        <f aca="false">Einstellungen!$B$5+INT((ROW()-9)/24)</f>
        <v>46367</v>
      </c>
      <c r="B9633" s="11" t="n">
        <f aca="false">MOD(ROW()-9,24)</f>
        <v>0</v>
      </c>
      <c r="C9633" s="12"/>
      <c r="D9633" s="13" t="n">
        <f aca="false">IF(B9633&lt;5,Einstellungen!$B$3,Einstellungen!$B$4)</f>
        <v>15.92</v>
      </c>
      <c r="E9633" s="14" t="str">
        <f aca="false">IF(C9633="","",C9633*D9633/100)</f>
        <v/>
      </c>
      <c r="F9633" s="15" t="str">
        <f aca="false">IF(B9633&lt;5,"Go","Standard")</f>
        <v>Go</v>
      </c>
    </row>
    <row r="9634" customFormat="false" ht="15" hidden="false" customHeight="true" outlineLevel="0" collapsed="false">
      <c r="A9634" s="10" t="n">
        <f aca="false">Einstellungen!$B$5+INT((ROW()-9)/24)</f>
        <v>46367</v>
      </c>
      <c r="B9634" s="11" t="n">
        <f aca="false">MOD(ROW()-9,24)</f>
        <v>1</v>
      </c>
      <c r="C9634" s="12"/>
      <c r="D9634" s="13" t="n">
        <f aca="false">IF(B9634&lt;5,Einstellungen!$B$3,Einstellungen!$B$4)</f>
        <v>15.92</v>
      </c>
      <c r="E9634" s="14" t="str">
        <f aca="false">IF(C9634="","",C9634*D9634/100)</f>
        <v/>
      </c>
      <c r="F9634" s="15" t="str">
        <f aca="false">IF(B9634&lt;5,"Go","Standard")</f>
        <v>Go</v>
      </c>
    </row>
    <row r="9635" customFormat="false" ht="15" hidden="false" customHeight="true" outlineLevel="0" collapsed="false">
      <c r="A9635" s="10" t="n">
        <f aca="false">Einstellungen!$B$5+INT((ROW()-9)/24)</f>
        <v>46367</v>
      </c>
      <c r="B9635" s="11" t="n">
        <f aca="false">MOD(ROW()-9,24)</f>
        <v>2</v>
      </c>
      <c r="C9635" s="12"/>
      <c r="D9635" s="13" t="n">
        <f aca="false">IF(B9635&lt;5,Einstellungen!$B$3,Einstellungen!$B$4)</f>
        <v>15.92</v>
      </c>
      <c r="E9635" s="14" t="str">
        <f aca="false">IF(C9635="","",C9635*D9635/100)</f>
        <v/>
      </c>
      <c r="F9635" s="15" t="str">
        <f aca="false">IF(B9635&lt;5,"Go","Standard")</f>
        <v>Go</v>
      </c>
    </row>
    <row r="9636" customFormat="false" ht="15" hidden="false" customHeight="true" outlineLevel="0" collapsed="false">
      <c r="A9636" s="10" t="n">
        <f aca="false">Einstellungen!$B$5+INT((ROW()-9)/24)</f>
        <v>46367</v>
      </c>
      <c r="B9636" s="11" t="n">
        <f aca="false">MOD(ROW()-9,24)</f>
        <v>3</v>
      </c>
      <c r="C9636" s="12"/>
      <c r="D9636" s="13" t="n">
        <f aca="false">IF(B9636&lt;5,Einstellungen!$B$3,Einstellungen!$B$4)</f>
        <v>15.92</v>
      </c>
      <c r="E9636" s="14" t="str">
        <f aca="false">IF(C9636="","",C9636*D9636/100)</f>
        <v/>
      </c>
      <c r="F9636" s="15" t="str">
        <f aca="false">IF(B9636&lt;5,"Go","Standard")</f>
        <v>Go</v>
      </c>
    </row>
    <row r="9637" customFormat="false" ht="15" hidden="false" customHeight="true" outlineLevel="0" collapsed="false">
      <c r="A9637" s="10" t="n">
        <f aca="false">Einstellungen!$B$5+INT((ROW()-9)/24)</f>
        <v>46367</v>
      </c>
      <c r="B9637" s="11" t="n">
        <f aca="false">MOD(ROW()-9,24)</f>
        <v>4</v>
      </c>
      <c r="C9637" s="12"/>
      <c r="D9637" s="13" t="n">
        <f aca="false">IF(B9637&lt;5,Einstellungen!$B$3,Einstellungen!$B$4)</f>
        <v>15.92</v>
      </c>
      <c r="E9637" s="14" t="str">
        <f aca="false">IF(C9637="","",C9637*D9637/100)</f>
        <v/>
      </c>
      <c r="F9637" s="15" t="str">
        <f aca="false">IF(B9637&lt;5,"Go","Standard")</f>
        <v>Go</v>
      </c>
    </row>
    <row r="9638" customFormat="false" ht="15" hidden="false" customHeight="true" outlineLevel="0" collapsed="false">
      <c r="A9638" s="10" t="n">
        <f aca="false">Einstellungen!$B$5+INT((ROW()-9)/24)</f>
        <v>46367</v>
      </c>
      <c r="B9638" s="11" t="n">
        <f aca="false">MOD(ROW()-9,24)</f>
        <v>5</v>
      </c>
      <c r="C9638" s="12"/>
      <c r="D9638" s="13" t="n">
        <f aca="false">IF(B9638&lt;5,Einstellungen!$B$3,Einstellungen!$B$4)</f>
        <v>29.13</v>
      </c>
      <c r="E9638" s="14" t="str">
        <f aca="false">IF(C9638="","",C9638*D9638/100)</f>
        <v/>
      </c>
      <c r="F9638" s="15" t="str">
        <f aca="false">IF(B9638&lt;5,"Go","Standard")</f>
        <v>Standard</v>
      </c>
    </row>
    <row r="9639" customFormat="false" ht="15" hidden="false" customHeight="true" outlineLevel="0" collapsed="false">
      <c r="A9639" s="10" t="n">
        <f aca="false">Einstellungen!$B$5+INT((ROW()-9)/24)</f>
        <v>46367</v>
      </c>
      <c r="B9639" s="11" t="n">
        <f aca="false">MOD(ROW()-9,24)</f>
        <v>6</v>
      </c>
      <c r="C9639" s="12"/>
      <c r="D9639" s="13" t="n">
        <f aca="false">IF(B9639&lt;5,Einstellungen!$B$3,Einstellungen!$B$4)</f>
        <v>29.13</v>
      </c>
      <c r="E9639" s="14" t="str">
        <f aca="false">IF(C9639="","",C9639*D9639/100)</f>
        <v/>
      </c>
      <c r="F9639" s="15" t="str">
        <f aca="false">IF(B9639&lt;5,"Go","Standard")</f>
        <v>Standard</v>
      </c>
    </row>
    <row r="9640" customFormat="false" ht="15" hidden="false" customHeight="true" outlineLevel="0" collapsed="false">
      <c r="A9640" s="10" t="n">
        <f aca="false">Einstellungen!$B$5+INT((ROW()-9)/24)</f>
        <v>46367</v>
      </c>
      <c r="B9640" s="11" t="n">
        <f aca="false">MOD(ROW()-9,24)</f>
        <v>7</v>
      </c>
      <c r="C9640" s="12"/>
      <c r="D9640" s="13" t="n">
        <f aca="false">IF(B9640&lt;5,Einstellungen!$B$3,Einstellungen!$B$4)</f>
        <v>29.13</v>
      </c>
      <c r="E9640" s="14" t="str">
        <f aca="false">IF(C9640="","",C9640*D9640/100)</f>
        <v/>
      </c>
      <c r="F9640" s="15" t="str">
        <f aca="false">IF(B9640&lt;5,"Go","Standard")</f>
        <v>Standard</v>
      </c>
    </row>
    <row r="9641" customFormat="false" ht="15" hidden="false" customHeight="true" outlineLevel="0" collapsed="false">
      <c r="A9641" s="10" t="n">
        <f aca="false">Einstellungen!$B$5+INT((ROW()-9)/24)</f>
        <v>46367</v>
      </c>
      <c r="B9641" s="11" t="n">
        <f aca="false">MOD(ROW()-9,24)</f>
        <v>8</v>
      </c>
      <c r="C9641" s="12"/>
      <c r="D9641" s="13" t="n">
        <f aca="false">IF(B9641&lt;5,Einstellungen!$B$3,Einstellungen!$B$4)</f>
        <v>29.13</v>
      </c>
      <c r="E9641" s="14" t="str">
        <f aca="false">IF(C9641="","",C9641*D9641/100)</f>
        <v/>
      </c>
      <c r="F9641" s="15" t="str">
        <f aca="false">IF(B9641&lt;5,"Go","Standard")</f>
        <v>Standard</v>
      </c>
    </row>
    <row r="9642" customFormat="false" ht="15" hidden="false" customHeight="true" outlineLevel="0" collapsed="false">
      <c r="A9642" s="10" t="n">
        <f aca="false">Einstellungen!$B$5+INT((ROW()-9)/24)</f>
        <v>46367</v>
      </c>
      <c r="B9642" s="11" t="n">
        <f aca="false">MOD(ROW()-9,24)</f>
        <v>9</v>
      </c>
      <c r="C9642" s="12"/>
      <c r="D9642" s="13" t="n">
        <f aca="false">IF(B9642&lt;5,Einstellungen!$B$3,Einstellungen!$B$4)</f>
        <v>29.13</v>
      </c>
      <c r="E9642" s="14" t="str">
        <f aca="false">IF(C9642="","",C9642*D9642/100)</f>
        <v/>
      </c>
      <c r="F9642" s="15" t="str">
        <f aca="false">IF(B9642&lt;5,"Go","Standard")</f>
        <v>Standard</v>
      </c>
    </row>
    <row r="9643" customFormat="false" ht="15" hidden="false" customHeight="true" outlineLevel="0" collapsed="false">
      <c r="A9643" s="10" t="n">
        <f aca="false">Einstellungen!$B$5+INT((ROW()-9)/24)</f>
        <v>46367</v>
      </c>
      <c r="B9643" s="11" t="n">
        <f aca="false">MOD(ROW()-9,24)</f>
        <v>10</v>
      </c>
      <c r="C9643" s="12"/>
      <c r="D9643" s="13" t="n">
        <f aca="false">IF(B9643&lt;5,Einstellungen!$B$3,Einstellungen!$B$4)</f>
        <v>29.13</v>
      </c>
      <c r="E9643" s="14" t="str">
        <f aca="false">IF(C9643="","",C9643*D9643/100)</f>
        <v/>
      </c>
      <c r="F9643" s="15" t="str">
        <f aca="false">IF(B9643&lt;5,"Go","Standard")</f>
        <v>Standard</v>
      </c>
    </row>
    <row r="9644" customFormat="false" ht="15" hidden="false" customHeight="true" outlineLevel="0" collapsed="false">
      <c r="A9644" s="10" t="n">
        <f aca="false">Einstellungen!$B$5+INT((ROW()-9)/24)</f>
        <v>46367</v>
      </c>
      <c r="B9644" s="11" t="n">
        <f aca="false">MOD(ROW()-9,24)</f>
        <v>11</v>
      </c>
      <c r="C9644" s="12"/>
      <c r="D9644" s="13" t="n">
        <f aca="false">IF(B9644&lt;5,Einstellungen!$B$3,Einstellungen!$B$4)</f>
        <v>29.13</v>
      </c>
      <c r="E9644" s="14" t="str">
        <f aca="false">IF(C9644="","",C9644*D9644/100)</f>
        <v/>
      </c>
      <c r="F9644" s="15" t="str">
        <f aca="false">IF(B9644&lt;5,"Go","Standard")</f>
        <v>Standard</v>
      </c>
    </row>
    <row r="9645" customFormat="false" ht="15" hidden="false" customHeight="true" outlineLevel="0" collapsed="false">
      <c r="A9645" s="10" t="n">
        <f aca="false">Einstellungen!$B$5+INT((ROW()-9)/24)</f>
        <v>46367</v>
      </c>
      <c r="B9645" s="11" t="n">
        <f aca="false">MOD(ROW()-9,24)</f>
        <v>12</v>
      </c>
      <c r="C9645" s="12"/>
      <c r="D9645" s="13" t="n">
        <f aca="false">IF(B9645&lt;5,Einstellungen!$B$3,Einstellungen!$B$4)</f>
        <v>29.13</v>
      </c>
      <c r="E9645" s="14" t="str">
        <f aca="false">IF(C9645="","",C9645*D9645/100)</f>
        <v/>
      </c>
      <c r="F9645" s="15" t="str">
        <f aca="false">IF(B9645&lt;5,"Go","Standard")</f>
        <v>Standard</v>
      </c>
    </row>
    <row r="9646" customFormat="false" ht="15" hidden="false" customHeight="true" outlineLevel="0" collapsed="false">
      <c r="A9646" s="10" t="n">
        <f aca="false">Einstellungen!$B$5+INT((ROW()-9)/24)</f>
        <v>46367</v>
      </c>
      <c r="B9646" s="11" t="n">
        <f aca="false">MOD(ROW()-9,24)</f>
        <v>13</v>
      </c>
      <c r="C9646" s="12"/>
      <c r="D9646" s="13" t="n">
        <f aca="false">IF(B9646&lt;5,Einstellungen!$B$3,Einstellungen!$B$4)</f>
        <v>29.13</v>
      </c>
      <c r="E9646" s="14" t="str">
        <f aca="false">IF(C9646="","",C9646*D9646/100)</f>
        <v/>
      </c>
      <c r="F9646" s="15" t="str">
        <f aca="false">IF(B9646&lt;5,"Go","Standard")</f>
        <v>Standard</v>
      </c>
    </row>
    <row r="9647" customFormat="false" ht="15" hidden="false" customHeight="true" outlineLevel="0" collapsed="false">
      <c r="A9647" s="10" t="n">
        <f aca="false">Einstellungen!$B$5+INT((ROW()-9)/24)</f>
        <v>46367</v>
      </c>
      <c r="B9647" s="11" t="n">
        <f aca="false">MOD(ROW()-9,24)</f>
        <v>14</v>
      </c>
      <c r="C9647" s="12"/>
      <c r="D9647" s="13" t="n">
        <f aca="false">IF(B9647&lt;5,Einstellungen!$B$3,Einstellungen!$B$4)</f>
        <v>29.13</v>
      </c>
      <c r="E9647" s="14" t="str">
        <f aca="false">IF(C9647="","",C9647*D9647/100)</f>
        <v/>
      </c>
      <c r="F9647" s="15" t="str">
        <f aca="false">IF(B9647&lt;5,"Go","Standard")</f>
        <v>Standard</v>
      </c>
    </row>
    <row r="9648" customFormat="false" ht="15" hidden="false" customHeight="true" outlineLevel="0" collapsed="false">
      <c r="A9648" s="10" t="n">
        <f aca="false">Einstellungen!$B$5+INT((ROW()-9)/24)</f>
        <v>46367</v>
      </c>
      <c r="B9648" s="11" t="n">
        <f aca="false">MOD(ROW()-9,24)</f>
        <v>15</v>
      </c>
      <c r="C9648" s="12"/>
      <c r="D9648" s="13" t="n">
        <f aca="false">IF(B9648&lt;5,Einstellungen!$B$3,Einstellungen!$B$4)</f>
        <v>29.13</v>
      </c>
      <c r="E9648" s="14" t="str">
        <f aca="false">IF(C9648="","",C9648*D9648/100)</f>
        <v/>
      </c>
      <c r="F9648" s="15" t="str">
        <f aca="false">IF(B9648&lt;5,"Go","Standard")</f>
        <v>Standard</v>
      </c>
    </row>
    <row r="9649" customFormat="false" ht="15" hidden="false" customHeight="true" outlineLevel="0" collapsed="false">
      <c r="A9649" s="10" t="n">
        <f aca="false">Einstellungen!$B$5+INT((ROW()-9)/24)</f>
        <v>46367</v>
      </c>
      <c r="B9649" s="11" t="n">
        <f aca="false">MOD(ROW()-9,24)</f>
        <v>16</v>
      </c>
      <c r="C9649" s="12"/>
      <c r="D9649" s="13" t="n">
        <f aca="false">IF(B9649&lt;5,Einstellungen!$B$3,Einstellungen!$B$4)</f>
        <v>29.13</v>
      </c>
      <c r="E9649" s="14" t="str">
        <f aca="false">IF(C9649="","",C9649*D9649/100)</f>
        <v/>
      </c>
      <c r="F9649" s="15" t="str">
        <f aca="false">IF(B9649&lt;5,"Go","Standard")</f>
        <v>Standard</v>
      </c>
    </row>
    <row r="9650" customFormat="false" ht="15" hidden="false" customHeight="true" outlineLevel="0" collapsed="false">
      <c r="A9650" s="10" t="n">
        <f aca="false">Einstellungen!$B$5+INT((ROW()-9)/24)</f>
        <v>46367</v>
      </c>
      <c r="B9650" s="11" t="n">
        <f aca="false">MOD(ROW()-9,24)</f>
        <v>17</v>
      </c>
      <c r="C9650" s="12"/>
      <c r="D9650" s="13" t="n">
        <f aca="false">IF(B9650&lt;5,Einstellungen!$B$3,Einstellungen!$B$4)</f>
        <v>29.13</v>
      </c>
      <c r="E9650" s="14" t="str">
        <f aca="false">IF(C9650="","",C9650*D9650/100)</f>
        <v/>
      </c>
      <c r="F9650" s="15" t="str">
        <f aca="false">IF(B9650&lt;5,"Go","Standard")</f>
        <v>Standard</v>
      </c>
    </row>
    <row r="9651" customFormat="false" ht="15" hidden="false" customHeight="true" outlineLevel="0" collapsed="false">
      <c r="A9651" s="10" t="n">
        <f aca="false">Einstellungen!$B$5+INT((ROW()-9)/24)</f>
        <v>46367</v>
      </c>
      <c r="B9651" s="11" t="n">
        <f aca="false">MOD(ROW()-9,24)</f>
        <v>18</v>
      </c>
      <c r="C9651" s="12"/>
      <c r="D9651" s="13" t="n">
        <f aca="false">IF(B9651&lt;5,Einstellungen!$B$3,Einstellungen!$B$4)</f>
        <v>29.13</v>
      </c>
      <c r="E9651" s="14" t="str">
        <f aca="false">IF(C9651="","",C9651*D9651/100)</f>
        <v/>
      </c>
      <c r="F9651" s="15" t="str">
        <f aca="false">IF(B9651&lt;5,"Go","Standard")</f>
        <v>Standard</v>
      </c>
    </row>
    <row r="9652" customFormat="false" ht="15" hidden="false" customHeight="true" outlineLevel="0" collapsed="false">
      <c r="A9652" s="10" t="n">
        <f aca="false">Einstellungen!$B$5+INT((ROW()-9)/24)</f>
        <v>46367</v>
      </c>
      <c r="B9652" s="11" t="n">
        <f aca="false">MOD(ROW()-9,24)</f>
        <v>19</v>
      </c>
      <c r="C9652" s="12"/>
      <c r="D9652" s="13" t="n">
        <f aca="false">IF(B9652&lt;5,Einstellungen!$B$3,Einstellungen!$B$4)</f>
        <v>29.13</v>
      </c>
      <c r="E9652" s="14" t="str">
        <f aca="false">IF(C9652="","",C9652*D9652/100)</f>
        <v/>
      </c>
      <c r="F9652" s="15" t="str">
        <f aca="false">IF(B9652&lt;5,"Go","Standard")</f>
        <v>Standard</v>
      </c>
    </row>
    <row r="9653" customFormat="false" ht="15" hidden="false" customHeight="true" outlineLevel="0" collapsed="false">
      <c r="A9653" s="10" t="n">
        <f aca="false">Einstellungen!$B$5+INT((ROW()-9)/24)</f>
        <v>46367</v>
      </c>
      <c r="B9653" s="11" t="n">
        <f aca="false">MOD(ROW()-9,24)</f>
        <v>20</v>
      </c>
      <c r="C9653" s="12"/>
      <c r="D9653" s="13" t="n">
        <f aca="false">IF(B9653&lt;5,Einstellungen!$B$3,Einstellungen!$B$4)</f>
        <v>29.13</v>
      </c>
      <c r="E9653" s="14" t="str">
        <f aca="false">IF(C9653="","",C9653*D9653/100)</f>
        <v/>
      </c>
      <c r="F9653" s="15" t="str">
        <f aca="false">IF(B9653&lt;5,"Go","Standard")</f>
        <v>Standard</v>
      </c>
    </row>
    <row r="9654" customFormat="false" ht="15" hidden="false" customHeight="true" outlineLevel="0" collapsed="false">
      <c r="A9654" s="10" t="n">
        <f aca="false">Einstellungen!$B$5+INT((ROW()-9)/24)</f>
        <v>46367</v>
      </c>
      <c r="B9654" s="11" t="n">
        <f aca="false">MOD(ROW()-9,24)</f>
        <v>21</v>
      </c>
      <c r="C9654" s="12"/>
      <c r="D9654" s="13" t="n">
        <f aca="false">IF(B9654&lt;5,Einstellungen!$B$3,Einstellungen!$B$4)</f>
        <v>29.13</v>
      </c>
      <c r="E9654" s="14" t="str">
        <f aca="false">IF(C9654="","",C9654*D9654/100)</f>
        <v/>
      </c>
      <c r="F9654" s="15" t="str">
        <f aca="false">IF(B9654&lt;5,"Go","Standard")</f>
        <v>Standard</v>
      </c>
    </row>
    <row r="9655" customFormat="false" ht="15" hidden="false" customHeight="true" outlineLevel="0" collapsed="false">
      <c r="A9655" s="10" t="n">
        <f aca="false">Einstellungen!$B$5+INT((ROW()-9)/24)</f>
        <v>46367</v>
      </c>
      <c r="B9655" s="11" t="n">
        <f aca="false">MOD(ROW()-9,24)</f>
        <v>22</v>
      </c>
      <c r="C9655" s="12"/>
      <c r="D9655" s="13" t="n">
        <f aca="false">IF(B9655&lt;5,Einstellungen!$B$3,Einstellungen!$B$4)</f>
        <v>29.13</v>
      </c>
      <c r="E9655" s="14" t="str">
        <f aca="false">IF(C9655="","",C9655*D9655/100)</f>
        <v/>
      </c>
      <c r="F9655" s="15" t="str">
        <f aca="false">IF(B9655&lt;5,"Go","Standard")</f>
        <v>Standard</v>
      </c>
    </row>
    <row r="9656" customFormat="false" ht="15" hidden="false" customHeight="true" outlineLevel="0" collapsed="false">
      <c r="A9656" s="10" t="n">
        <f aca="false">Einstellungen!$B$5+INT((ROW()-9)/24)</f>
        <v>46367</v>
      </c>
      <c r="B9656" s="11" t="n">
        <f aca="false">MOD(ROW()-9,24)</f>
        <v>23</v>
      </c>
      <c r="C9656" s="12"/>
      <c r="D9656" s="13" t="n">
        <f aca="false">IF(B9656&lt;5,Einstellungen!$B$3,Einstellungen!$B$4)</f>
        <v>29.13</v>
      </c>
      <c r="E9656" s="14" t="str">
        <f aca="false">IF(C9656="","",C9656*D9656/100)</f>
        <v/>
      </c>
      <c r="F9656" s="15" t="str">
        <f aca="false">IF(B9656&lt;5,"Go","Standard")</f>
        <v>Standard</v>
      </c>
    </row>
    <row r="9657" customFormat="false" ht="15" hidden="false" customHeight="true" outlineLevel="0" collapsed="false">
      <c r="A9657" s="10" t="n">
        <f aca="false">Einstellungen!$B$5+INT((ROW()-9)/24)</f>
        <v>46368</v>
      </c>
      <c r="B9657" s="11" t="n">
        <f aca="false">MOD(ROW()-9,24)</f>
        <v>0</v>
      </c>
      <c r="C9657" s="12"/>
      <c r="D9657" s="13" t="n">
        <f aca="false">IF(B9657&lt;5,Einstellungen!$B$3,Einstellungen!$B$4)</f>
        <v>15.92</v>
      </c>
      <c r="E9657" s="14" t="str">
        <f aca="false">IF(C9657="","",C9657*D9657/100)</f>
        <v/>
      </c>
      <c r="F9657" s="15" t="str">
        <f aca="false">IF(B9657&lt;5,"Go","Standard")</f>
        <v>Go</v>
      </c>
    </row>
    <row r="9658" customFormat="false" ht="15" hidden="false" customHeight="true" outlineLevel="0" collapsed="false">
      <c r="A9658" s="10" t="n">
        <f aca="false">Einstellungen!$B$5+INT((ROW()-9)/24)</f>
        <v>46368</v>
      </c>
      <c r="B9658" s="11" t="n">
        <f aca="false">MOD(ROW()-9,24)</f>
        <v>1</v>
      </c>
      <c r="C9658" s="12"/>
      <c r="D9658" s="13" t="n">
        <f aca="false">IF(B9658&lt;5,Einstellungen!$B$3,Einstellungen!$B$4)</f>
        <v>15.92</v>
      </c>
      <c r="E9658" s="14" t="str">
        <f aca="false">IF(C9658="","",C9658*D9658/100)</f>
        <v/>
      </c>
      <c r="F9658" s="15" t="str">
        <f aca="false">IF(B9658&lt;5,"Go","Standard")</f>
        <v>Go</v>
      </c>
    </row>
    <row r="9659" customFormat="false" ht="15" hidden="false" customHeight="true" outlineLevel="0" collapsed="false">
      <c r="A9659" s="10" t="n">
        <f aca="false">Einstellungen!$B$5+INT((ROW()-9)/24)</f>
        <v>46368</v>
      </c>
      <c r="B9659" s="11" t="n">
        <f aca="false">MOD(ROW()-9,24)</f>
        <v>2</v>
      </c>
      <c r="C9659" s="12"/>
      <c r="D9659" s="13" t="n">
        <f aca="false">IF(B9659&lt;5,Einstellungen!$B$3,Einstellungen!$B$4)</f>
        <v>15.92</v>
      </c>
      <c r="E9659" s="14" t="str">
        <f aca="false">IF(C9659="","",C9659*D9659/100)</f>
        <v/>
      </c>
      <c r="F9659" s="15" t="str">
        <f aca="false">IF(B9659&lt;5,"Go","Standard")</f>
        <v>Go</v>
      </c>
    </row>
    <row r="9660" customFormat="false" ht="15" hidden="false" customHeight="true" outlineLevel="0" collapsed="false">
      <c r="A9660" s="10" t="n">
        <f aca="false">Einstellungen!$B$5+INT((ROW()-9)/24)</f>
        <v>46368</v>
      </c>
      <c r="B9660" s="11" t="n">
        <f aca="false">MOD(ROW()-9,24)</f>
        <v>3</v>
      </c>
      <c r="C9660" s="12"/>
      <c r="D9660" s="13" t="n">
        <f aca="false">IF(B9660&lt;5,Einstellungen!$B$3,Einstellungen!$B$4)</f>
        <v>15.92</v>
      </c>
      <c r="E9660" s="14" t="str">
        <f aca="false">IF(C9660="","",C9660*D9660/100)</f>
        <v/>
      </c>
      <c r="F9660" s="15" t="str">
        <f aca="false">IF(B9660&lt;5,"Go","Standard")</f>
        <v>Go</v>
      </c>
    </row>
    <row r="9661" customFormat="false" ht="15" hidden="false" customHeight="true" outlineLevel="0" collapsed="false">
      <c r="A9661" s="10" t="n">
        <f aca="false">Einstellungen!$B$5+INT((ROW()-9)/24)</f>
        <v>46368</v>
      </c>
      <c r="B9661" s="11" t="n">
        <f aca="false">MOD(ROW()-9,24)</f>
        <v>4</v>
      </c>
      <c r="C9661" s="12"/>
      <c r="D9661" s="13" t="n">
        <f aca="false">IF(B9661&lt;5,Einstellungen!$B$3,Einstellungen!$B$4)</f>
        <v>15.92</v>
      </c>
      <c r="E9661" s="14" t="str">
        <f aca="false">IF(C9661="","",C9661*D9661/100)</f>
        <v/>
      </c>
      <c r="F9661" s="15" t="str">
        <f aca="false">IF(B9661&lt;5,"Go","Standard")</f>
        <v>Go</v>
      </c>
    </row>
    <row r="9662" customFormat="false" ht="15" hidden="false" customHeight="true" outlineLevel="0" collapsed="false">
      <c r="A9662" s="10" t="n">
        <f aca="false">Einstellungen!$B$5+INT((ROW()-9)/24)</f>
        <v>46368</v>
      </c>
      <c r="B9662" s="11" t="n">
        <f aca="false">MOD(ROW()-9,24)</f>
        <v>5</v>
      </c>
      <c r="C9662" s="12"/>
      <c r="D9662" s="13" t="n">
        <f aca="false">IF(B9662&lt;5,Einstellungen!$B$3,Einstellungen!$B$4)</f>
        <v>29.13</v>
      </c>
      <c r="E9662" s="14" t="str">
        <f aca="false">IF(C9662="","",C9662*D9662/100)</f>
        <v/>
      </c>
      <c r="F9662" s="15" t="str">
        <f aca="false">IF(B9662&lt;5,"Go","Standard")</f>
        <v>Standard</v>
      </c>
    </row>
    <row r="9663" customFormat="false" ht="15" hidden="false" customHeight="true" outlineLevel="0" collapsed="false">
      <c r="A9663" s="10" t="n">
        <f aca="false">Einstellungen!$B$5+INT((ROW()-9)/24)</f>
        <v>46368</v>
      </c>
      <c r="B9663" s="11" t="n">
        <f aca="false">MOD(ROW()-9,24)</f>
        <v>6</v>
      </c>
      <c r="C9663" s="12"/>
      <c r="D9663" s="13" t="n">
        <f aca="false">IF(B9663&lt;5,Einstellungen!$B$3,Einstellungen!$B$4)</f>
        <v>29.13</v>
      </c>
      <c r="E9663" s="14" t="str">
        <f aca="false">IF(C9663="","",C9663*D9663/100)</f>
        <v/>
      </c>
      <c r="F9663" s="15" t="str">
        <f aca="false">IF(B9663&lt;5,"Go","Standard")</f>
        <v>Standard</v>
      </c>
    </row>
    <row r="9664" customFormat="false" ht="15" hidden="false" customHeight="true" outlineLevel="0" collapsed="false">
      <c r="A9664" s="10" t="n">
        <f aca="false">Einstellungen!$B$5+INT((ROW()-9)/24)</f>
        <v>46368</v>
      </c>
      <c r="B9664" s="11" t="n">
        <f aca="false">MOD(ROW()-9,24)</f>
        <v>7</v>
      </c>
      <c r="C9664" s="12"/>
      <c r="D9664" s="13" t="n">
        <f aca="false">IF(B9664&lt;5,Einstellungen!$B$3,Einstellungen!$B$4)</f>
        <v>29.13</v>
      </c>
      <c r="E9664" s="14" t="str">
        <f aca="false">IF(C9664="","",C9664*D9664/100)</f>
        <v/>
      </c>
      <c r="F9664" s="15" t="str">
        <f aca="false">IF(B9664&lt;5,"Go","Standard")</f>
        <v>Standard</v>
      </c>
    </row>
    <row r="9665" customFormat="false" ht="15" hidden="false" customHeight="true" outlineLevel="0" collapsed="false">
      <c r="A9665" s="10" t="n">
        <f aca="false">Einstellungen!$B$5+INT((ROW()-9)/24)</f>
        <v>46368</v>
      </c>
      <c r="B9665" s="11" t="n">
        <f aca="false">MOD(ROW()-9,24)</f>
        <v>8</v>
      </c>
      <c r="C9665" s="12"/>
      <c r="D9665" s="13" t="n">
        <f aca="false">IF(B9665&lt;5,Einstellungen!$B$3,Einstellungen!$B$4)</f>
        <v>29.13</v>
      </c>
      <c r="E9665" s="14" t="str">
        <f aca="false">IF(C9665="","",C9665*D9665/100)</f>
        <v/>
      </c>
      <c r="F9665" s="15" t="str">
        <f aca="false">IF(B9665&lt;5,"Go","Standard")</f>
        <v>Standard</v>
      </c>
    </row>
    <row r="9666" customFormat="false" ht="15" hidden="false" customHeight="true" outlineLevel="0" collapsed="false">
      <c r="A9666" s="10" t="n">
        <f aca="false">Einstellungen!$B$5+INT((ROW()-9)/24)</f>
        <v>46368</v>
      </c>
      <c r="B9666" s="11" t="n">
        <f aca="false">MOD(ROW()-9,24)</f>
        <v>9</v>
      </c>
      <c r="C9666" s="12"/>
      <c r="D9666" s="13" t="n">
        <f aca="false">IF(B9666&lt;5,Einstellungen!$B$3,Einstellungen!$B$4)</f>
        <v>29.13</v>
      </c>
      <c r="E9666" s="14" t="str">
        <f aca="false">IF(C9666="","",C9666*D9666/100)</f>
        <v/>
      </c>
      <c r="F9666" s="15" t="str">
        <f aca="false">IF(B9666&lt;5,"Go","Standard")</f>
        <v>Standard</v>
      </c>
    </row>
    <row r="9667" customFormat="false" ht="15" hidden="false" customHeight="true" outlineLevel="0" collapsed="false">
      <c r="A9667" s="10" t="n">
        <f aca="false">Einstellungen!$B$5+INT((ROW()-9)/24)</f>
        <v>46368</v>
      </c>
      <c r="B9667" s="11" t="n">
        <f aca="false">MOD(ROW()-9,24)</f>
        <v>10</v>
      </c>
      <c r="C9667" s="12"/>
      <c r="D9667" s="13" t="n">
        <f aca="false">IF(B9667&lt;5,Einstellungen!$B$3,Einstellungen!$B$4)</f>
        <v>29.13</v>
      </c>
      <c r="E9667" s="14" t="str">
        <f aca="false">IF(C9667="","",C9667*D9667/100)</f>
        <v/>
      </c>
      <c r="F9667" s="15" t="str">
        <f aca="false">IF(B9667&lt;5,"Go","Standard")</f>
        <v>Standard</v>
      </c>
    </row>
    <row r="9668" customFormat="false" ht="15" hidden="false" customHeight="true" outlineLevel="0" collapsed="false">
      <c r="A9668" s="10" t="n">
        <f aca="false">Einstellungen!$B$5+INT((ROW()-9)/24)</f>
        <v>46368</v>
      </c>
      <c r="B9668" s="11" t="n">
        <f aca="false">MOD(ROW()-9,24)</f>
        <v>11</v>
      </c>
      <c r="C9668" s="12"/>
      <c r="D9668" s="13" t="n">
        <f aca="false">IF(B9668&lt;5,Einstellungen!$B$3,Einstellungen!$B$4)</f>
        <v>29.13</v>
      </c>
      <c r="E9668" s="14" t="str">
        <f aca="false">IF(C9668="","",C9668*D9668/100)</f>
        <v/>
      </c>
      <c r="F9668" s="15" t="str">
        <f aca="false">IF(B9668&lt;5,"Go","Standard")</f>
        <v>Standard</v>
      </c>
    </row>
    <row r="9669" customFormat="false" ht="15" hidden="false" customHeight="true" outlineLevel="0" collapsed="false">
      <c r="A9669" s="10" t="n">
        <f aca="false">Einstellungen!$B$5+INT((ROW()-9)/24)</f>
        <v>46368</v>
      </c>
      <c r="B9669" s="11" t="n">
        <f aca="false">MOD(ROW()-9,24)</f>
        <v>12</v>
      </c>
      <c r="C9669" s="12"/>
      <c r="D9669" s="13" t="n">
        <f aca="false">IF(B9669&lt;5,Einstellungen!$B$3,Einstellungen!$B$4)</f>
        <v>29.13</v>
      </c>
      <c r="E9669" s="14" t="str">
        <f aca="false">IF(C9669="","",C9669*D9669/100)</f>
        <v/>
      </c>
      <c r="F9669" s="15" t="str">
        <f aca="false">IF(B9669&lt;5,"Go","Standard")</f>
        <v>Standard</v>
      </c>
    </row>
    <row r="9670" customFormat="false" ht="15" hidden="false" customHeight="true" outlineLevel="0" collapsed="false">
      <c r="A9670" s="10" t="n">
        <f aca="false">Einstellungen!$B$5+INT((ROW()-9)/24)</f>
        <v>46368</v>
      </c>
      <c r="B9670" s="11" t="n">
        <f aca="false">MOD(ROW()-9,24)</f>
        <v>13</v>
      </c>
      <c r="C9670" s="12"/>
      <c r="D9670" s="13" t="n">
        <f aca="false">IF(B9670&lt;5,Einstellungen!$B$3,Einstellungen!$B$4)</f>
        <v>29.13</v>
      </c>
      <c r="E9670" s="14" t="str">
        <f aca="false">IF(C9670="","",C9670*D9670/100)</f>
        <v/>
      </c>
      <c r="F9670" s="15" t="str">
        <f aca="false">IF(B9670&lt;5,"Go","Standard")</f>
        <v>Standard</v>
      </c>
    </row>
    <row r="9671" customFormat="false" ht="15" hidden="false" customHeight="true" outlineLevel="0" collapsed="false">
      <c r="A9671" s="10" t="n">
        <f aca="false">Einstellungen!$B$5+INT((ROW()-9)/24)</f>
        <v>46368</v>
      </c>
      <c r="B9671" s="11" t="n">
        <f aca="false">MOD(ROW()-9,24)</f>
        <v>14</v>
      </c>
      <c r="C9671" s="12"/>
      <c r="D9671" s="13" t="n">
        <f aca="false">IF(B9671&lt;5,Einstellungen!$B$3,Einstellungen!$B$4)</f>
        <v>29.13</v>
      </c>
      <c r="E9671" s="14" t="str">
        <f aca="false">IF(C9671="","",C9671*D9671/100)</f>
        <v/>
      </c>
      <c r="F9671" s="15" t="str">
        <f aca="false">IF(B9671&lt;5,"Go","Standard")</f>
        <v>Standard</v>
      </c>
    </row>
    <row r="9672" customFormat="false" ht="15" hidden="false" customHeight="true" outlineLevel="0" collapsed="false">
      <c r="A9672" s="10" t="n">
        <f aca="false">Einstellungen!$B$5+INT((ROW()-9)/24)</f>
        <v>46368</v>
      </c>
      <c r="B9672" s="11" t="n">
        <f aca="false">MOD(ROW()-9,24)</f>
        <v>15</v>
      </c>
      <c r="C9672" s="12"/>
      <c r="D9672" s="13" t="n">
        <f aca="false">IF(B9672&lt;5,Einstellungen!$B$3,Einstellungen!$B$4)</f>
        <v>29.13</v>
      </c>
      <c r="E9672" s="14" t="str">
        <f aca="false">IF(C9672="","",C9672*D9672/100)</f>
        <v/>
      </c>
      <c r="F9672" s="15" t="str">
        <f aca="false">IF(B9672&lt;5,"Go","Standard")</f>
        <v>Standard</v>
      </c>
    </row>
    <row r="9673" customFormat="false" ht="15" hidden="false" customHeight="true" outlineLevel="0" collapsed="false">
      <c r="A9673" s="10" t="n">
        <f aca="false">Einstellungen!$B$5+INT((ROW()-9)/24)</f>
        <v>46368</v>
      </c>
      <c r="B9673" s="11" t="n">
        <f aca="false">MOD(ROW()-9,24)</f>
        <v>16</v>
      </c>
      <c r="C9673" s="12"/>
      <c r="D9673" s="13" t="n">
        <f aca="false">IF(B9673&lt;5,Einstellungen!$B$3,Einstellungen!$B$4)</f>
        <v>29.13</v>
      </c>
      <c r="E9673" s="14" t="str">
        <f aca="false">IF(C9673="","",C9673*D9673/100)</f>
        <v/>
      </c>
      <c r="F9673" s="15" t="str">
        <f aca="false">IF(B9673&lt;5,"Go","Standard")</f>
        <v>Standard</v>
      </c>
    </row>
    <row r="9674" customFormat="false" ht="15" hidden="false" customHeight="true" outlineLevel="0" collapsed="false">
      <c r="A9674" s="10" t="n">
        <f aca="false">Einstellungen!$B$5+INT((ROW()-9)/24)</f>
        <v>46368</v>
      </c>
      <c r="B9674" s="11" t="n">
        <f aca="false">MOD(ROW()-9,24)</f>
        <v>17</v>
      </c>
      <c r="C9674" s="12"/>
      <c r="D9674" s="13" t="n">
        <f aca="false">IF(B9674&lt;5,Einstellungen!$B$3,Einstellungen!$B$4)</f>
        <v>29.13</v>
      </c>
      <c r="E9674" s="14" t="str">
        <f aca="false">IF(C9674="","",C9674*D9674/100)</f>
        <v/>
      </c>
      <c r="F9674" s="15" t="str">
        <f aca="false">IF(B9674&lt;5,"Go","Standard")</f>
        <v>Standard</v>
      </c>
    </row>
    <row r="9675" customFormat="false" ht="15" hidden="false" customHeight="true" outlineLevel="0" collapsed="false">
      <c r="A9675" s="10" t="n">
        <f aca="false">Einstellungen!$B$5+INT((ROW()-9)/24)</f>
        <v>46368</v>
      </c>
      <c r="B9675" s="11" t="n">
        <f aca="false">MOD(ROW()-9,24)</f>
        <v>18</v>
      </c>
      <c r="C9675" s="12"/>
      <c r="D9675" s="13" t="n">
        <f aca="false">IF(B9675&lt;5,Einstellungen!$B$3,Einstellungen!$B$4)</f>
        <v>29.13</v>
      </c>
      <c r="E9675" s="14" t="str">
        <f aca="false">IF(C9675="","",C9675*D9675/100)</f>
        <v/>
      </c>
      <c r="F9675" s="15" t="str">
        <f aca="false">IF(B9675&lt;5,"Go","Standard")</f>
        <v>Standard</v>
      </c>
    </row>
    <row r="9676" customFormat="false" ht="15" hidden="false" customHeight="true" outlineLevel="0" collapsed="false">
      <c r="A9676" s="10" t="n">
        <f aca="false">Einstellungen!$B$5+INT((ROW()-9)/24)</f>
        <v>46368</v>
      </c>
      <c r="B9676" s="11" t="n">
        <f aca="false">MOD(ROW()-9,24)</f>
        <v>19</v>
      </c>
      <c r="C9676" s="12"/>
      <c r="D9676" s="13" t="n">
        <f aca="false">IF(B9676&lt;5,Einstellungen!$B$3,Einstellungen!$B$4)</f>
        <v>29.13</v>
      </c>
      <c r="E9676" s="14" t="str">
        <f aca="false">IF(C9676="","",C9676*D9676/100)</f>
        <v/>
      </c>
      <c r="F9676" s="15" t="str">
        <f aca="false">IF(B9676&lt;5,"Go","Standard")</f>
        <v>Standard</v>
      </c>
    </row>
    <row r="9677" customFormat="false" ht="15" hidden="false" customHeight="true" outlineLevel="0" collapsed="false">
      <c r="A9677" s="10" t="n">
        <f aca="false">Einstellungen!$B$5+INT((ROW()-9)/24)</f>
        <v>46368</v>
      </c>
      <c r="B9677" s="11" t="n">
        <f aca="false">MOD(ROW()-9,24)</f>
        <v>20</v>
      </c>
      <c r="C9677" s="12"/>
      <c r="D9677" s="13" t="n">
        <f aca="false">IF(B9677&lt;5,Einstellungen!$B$3,Einstellungen!$B$4)</f>
        <v>29.13</v>
      </c>
      <c r="E9677" s="14" t="str">
        <f aca="false">IF(C9677="","",C9677*D9677/100)</f>
        <v/>
      </c>
      <c r="F9677" s="15" t="str">
        <f aca="false">IF(B9677&lt;5,"Go","Standard")</f>
        <v>Standard</v>
      </c>
    </row>
    <row r="9678" customFormat="false" ht="15" hidden="false" customHeight="true" outlineLevel="0" collapsed="false">
      <c r="A9678" s="10" t="n">
        <f aca="false">Einstellungen!$B$5+INT((ROW()-9)/24)</f>
        <v>46368</v>
      </c>
      <c r="B9678" s="11" t="n">
        <f aca="false">MOD(ROW()-9,24)</f>
        <v>21</v>
      </c>
      <c r="C9678" s="12"/>
      <c r="D9678" s="13" t="n">
        <f aca="false">IF(B9678&lt;5,Einstellungen!$B$3,Einstellungen!$B$4)</f>
        <v>29.13</v>
      </c>
      <c r="E9678" s="14" t="str">
        <f aca="false">IF(C9678="","",C9678*D9678/100)</f>
        <v/>
      </c>
      <c r="F9678" s="15" t="str">
        <f aca="false">IF(B9678&lt;5,"Go","Standard")</f>
        <v>Standard</v>
      </c>
    </row>
    <row r="9679" customFormat="false" ht="15" hidden="false" customHeight="true" outlineLevel="0" collapsed="false">
      <c r="A9679" s="10" t="n">
        <f aca="false">Einstellungen!$B$5+INT((ROW()-9)/24)</f>
        <v>46368</v>
      </c>
      <c r="B9679" s="11" t="n">
        <f aca="false">MOD(ROW()-9,24)</f>
        <v>22</v>
      </c>
      <c r="C9679" s="12"/>
      <c r="D9679" s="13" t="n">
        <f aca="false">IF(B9679&lt;5,Einstellungen!$B$3,Einstellungen!$B$4)</f>
        <v>29.13</v>
      </c>
      <c r="E9679" s="14" t="str">
        <f aca="false">IF(C9679="","",C9679*D9679/100)</f>
        <v/>
      </c>
      <c r="F9679" s="15" t="str">
        <f aca="false">IF(B9679&lt;5,"Go","Standard")</f>
        <v>Standard</v>
      </c>
    </row>
    <row r="9680" customFormat="false" ht="15" hidden="false" customHeight="true" outlineLevel="0" collapsed="false">
      <c r="A9680" s="10" t="n">
        <f aca="false">Einstellungen!$B$5+INT((ROW()-9)/24)</f>
        <v>46368</v>
      </c>
      <c r="B9680" s="11" t="n">
        <f aca="false">MOD(ROW()-9,24)</f>
        <v>23</v>
      </c>
      <c r="C9680" s="12"/>
      <c r="D9680" s="13" t="n">
        <f aca="false">IF(B9680&lt;5,Einstellungen!$B$3,Einstellungen!$B$4)</f>
        <v>29.13</v>
      </c>
      <c r="E9680" s="14" t="str">
        <f aca="false">IF(C9680="","",C9680*D9680/100)</f>
        <v/>
      </c>
      <c r="F9680" s="15" t="str">
        <f aca="false">IF(B9680&lt;5,"Go","Standard")</f>
        <v>Standard</v>
      </c>
    </row>
    <row r="9681" customFormat="false" ht="15" hidden="false" customHeight="true" outlineLevel="0" collapsed="false">
      <c r="A9681" s="10" t="n">
        <f aca="false">Einstellungen!$B$5+INT((ROW()-9)/24)</f>
        <v>46369</v>
      </c>
      <c r="B9681" s="11" t="n">
        <f aca="false">MOD(ROW()-9,24)</f>
        <v>0</v>
      </c>
      <c r="C9681" s="12"/>
      <c r="D9681" s="13" t="n">
        <f aca="false">IF(B9681&lt;5,Einstellungen!$B$3,Einstellungen!$B$4)</f>
        <v>15.92</v>
      </c>
      <c r="E9681" s="14" t="str">
        <f aca="false">IF(C9681="","",C9681*D9681/100)</f>
        <v/>
      </c>
      <c r="F9681" s="15" t="str">
        <f aca="false">IF(B9681&lt;5,"Go","Standard")</f>
        <v>Go</v>
      </c>
    </row>
    <row r="9682" customFormat="false" ht="15" hidden="false" customHeight="true" outlineLevel="0" collapsed="false">
      <c r="A9682" s="10" t="n">
        <f aca="false">Einstellungen!$B$5+INT((ROW()-9)/24)</f>
        <v>46369</v>
      </c>
      <c r="B9682" s="11" t="n">
        <f aca="false">MOD(ROW()-9,24)</f>
        <v>1</v>
      </c>
      <c r="C9682" s="12"/>
      <c r="D9682" s="13" t="n">
        <f aca="false">IF(B9682&lt;5,Einstellungen!$B$3,Einstellungen!$B$4)</f>
        <v>15.92</v>
      </c>
      <c r="E9682" s="14" t="str">
        <f aca="false">IF(C9682="","",C9682*D9682/100)</f>
        <v/>
      </c>
      <c r="F9682" s="15" t="str">
        <f aca="false">IF(B9682&lt;5,"Go","Standard")</f>
        <v>Go</v>
      </c>
    </row>
    <row r="9683" customFormat="false" ht="15" hidden="false" customHeight="true" outlineLevel="0" collapsed="false">
      <c r="A9683" s="10" t="n">
        <f aca="false">Einstellungen!$B$5+INT((ROW()-9)/24)</f>
        <v>46369</v>
      </c>
      <c r="B9683" s="11" t="n">
        <f aca="false">MOD(ROW()-9,24)</f>
        <v>2</v>
      </c>
      <c r="C9683" s="12"/>
      <c r="D9683" s="13" t="n">
        <f aca="false">IF(B9683&lt;5,Einstellungen!$B$3,Einstellungen!$B$4)</f>
        <v>15.92</v>
      </c>
      <c r="E9683" s="14" t="str">
        <f aca="false">IF(C9683="","",C9683*D9683/100)</f>
        <v/>
      </c>
      <c r="F9683" s="15" t="str">
        <f aca="false">IF(B9683&lt;5,"Go","Standard")</f>
        <v>Go</v>
      </c>
    </row>
    <row r="9684" customFormat="false" ht="15" hidden="false" customHeight="true" outlineLevel="0" collapsed="false">
      <c r="A9684" s="10" t="n">
        <f aca="false">Einstellungen!$B$5+INT((ROW()-9)/24)</f>
        <v>46369</v>
      </c>
      <c r="B9684" s="11" t="n">
        <f aca="false">MOD(ROW()-9,24)</f>
        <v>3</v>
      </c>
      <c r="C9684" s="12"/>
      <c r="D9684" s="13" t="n">
        <f aca="false">IF(B9684&lt;5,Einstellungen!$B$3,Einstellungen!$B$4)</f>
        <v>15.92</v>
      </c>
      <c r="E9684" s="14" t="str">
        <f aca="false">IF(C9684="","",C9684*D9684/100)</f>
        <v/>
      </c>
      <c r="F9684" s="15" t="str">
        <f aca="false">IF(B9684&lt;5,"Go","Standard")</f>
        <v>Go</v>
      </c>
    </row>
    <row r="9685" customFormat="false" ht="15" hidden="false" customHeight="true" outlineLevel="0" collapsed="false">
      <c r="A9685" s="10" t="n">
        <f aca="false">Einstellungen!$B$5+INT((ROW()-9)/24)</f>
        <v>46369</v>
      </c>
      <c r="B9685" s="11" t="n">
        <f aca="false">MOD(ROW()-9,24)</f>
        <v>4</v>
      </c>
      <c r="C9685" s="12"/>
      <c r="D9685" s="13" t="n">
        <f aca="false">IF(B9685&lt;5,Einstellungen!$B$3,Einstellungen!$B$4)</f>
        <v>15.92</v>
      </c>
      <c r="E9685" s="14" t="str">
        <f aca="false">IF(C9685="","",C9685*D9685/100)</f>
        <v/>
      </c>
      <c r="F9685" s="15" t="str">
        <f aca="false">IF(B9685&lt;5,"Go","Standard")</f>
        <v>Go</v>
      </c>
    </row>
    <row r="9686" customFormat="false" ht="15" hidden="false" customHeight="true" outlineLevel="0" collapsed="false">
      <c r="A9686" s="10" t="n">
        <f aca="false">Einstellungen!$B$5+INT((ROW()-9)/24)</f>
        <v>46369</v>
      </c>
      <c r="B9686" s="11" t="n">
        <f aca="false">MOD(ROW()-9,24)</f>
        <v>5</v>
      </c>
      <c r="C9686" s="12"/>
      <c r="D9686" s="13" t="n">
        <f aca="false">IF(B9686&lt;5,Einstellungen!$B$3,Einstellungen!$B$4)</f>
        <v>29.13</v>
      </c>
      <c r="E9686" s="14" t="str">
        <f aca="false">IF(C9686="","",C9686*D9686/100)</f>
        <v/>
      </c>
      <c r="F9686" s="15" t="str">
        <f aca="false">IF(B9686&lt;5,"Go","Standard")</f>
        <v>Standard</v>
      </c>
    </row>
    <row r="9687" customFormat="false" ht="15" hidden="false" customHeight="true" outlineLevel="0" collapsed="false">
      <c r="A9687" s="10" t="n">
        <f aca="false">Einstellungen!$B$5+INT((ROW()-9)/24)</f>
        <v>46369</v>
      </c>
      <c r="B9687" s="11" t="n">
        <f aca="false">MOD(ROW()-9,24)</f>
        <v>6</v>
      </c>
      <c r="C9687" s="12"/>
      <c r="D9687" s="13" t="n">
        <f aca="false">IF(B9687&lt;5,Einstellungen!$B$3,Einstellungen!$B$4)</f>
        <v>29.13</v>
      </c>
      <c r="E9687" s="14" t="str">
        <f aca="false">IF(C9687="","",C9687*D9687/100)</f>
        <v/>
      </c>
      <c r="F9687" s="15" t="str">
        <f aca="false">IF(B9687&lt;5,"Go","Standard")</f>
        <v>Standard</v>
      </c>
    </row>
    <row r="9688" customFormat="false" ht="15" hidden="false" customHeight="true" outlineLevel="0" collapsed="false">
      <c r="A9688" s="10" t="n">
        <f aca="false">Einstellungen!$B$5+INT((ROW()-9)/24)</f>
        <v>46369</v>
      </c>
      <c r="B9688" s="11" t="n">
        <f aca="false">MOD(ROW()-9,24)</f>
        <v>7</v>
      </c>
      <c r="C9688" s="12"/>
      <c r="D9688" s="13" t="n">
        <f aca="false">IF(B9688&lt;5,Einstellungen!$B$3,Einstellungen!$B$4)</f>
        <v>29.13</v>
      </c>
      <c r="E9688" s="14" t="str">
        <f aca="false">IF(C9688="","",C9688*D9688/100)</f>
        <v/>
      </c>
      <c r="F9688" s="15" t="str">
        <f aca="false">IF(B9688&lt;5,"Go","Standard")</f>
        <v>Standard</v>
      </c>
    </row>
    <row r="9689" customFormat="false" ht="15" hidden="false" customHeight="true" outlineLevel="0" collapsed="false">
      <c r="A9689" s="10" t="n">
        <f aca="false">Einstellungen!$B$5+INT((ROW()-9)/24)</f>
        <v>46369</v>
      </c>
      <c r="B9689" s="11" t="n">
        <f aca="false">MOD(ROW()-9,24)</f>
        <v>8</v>
      </c>
      <c r="C9689" s="12"/>
      <c r="D9689" s="13" t="n">
        <f aca="false">IF(B9689&lt;5,Einstellungen!$B$3,Einstellungen!$B$4)</f>
        <v>29.13</v>
      </c>
      <c r="E9689" s="14" t="str">
        <f aca="false">IF(C9689="","",C9689*D9689/100)</f>
        <v/>
      </c>
      <c r="F9689" s="15" t="str">
        <f aca="false">IF(B9689&lt;5,"Go","Standard")</f>
        <v>Standard</v>
      </c>
    </row>
    <row r="9690" customFormat="false" ht="15" hidden="false" customHeight="true" outlineLevel="0" collapsed="false">
      <c r="A9690" s="10" t="n">
        <f aca="false">Einstellungen!$B$5+INT((ROW()-9)/24)</f>
        <v>46369</v>
      </c>
      <c r="B9690" s="11" t="n">
        <f aca="false">MOD(ROW()-9,24)</f>
        <v>9</v>
      </c>
      <c r="C9690" s="12"/>
      <c r="D9690" s="13" t="n">
        <f aca="false">IF(B9690&lt;5,Einstellungen!$B$3,Einstellungen!$B$4)</f>
        <v>29.13</v>
      </c>
      <c r="E9690" s="14" t="str">
        <f aca="false">IF(C9690="","",C9690*D9690/100)</f>
        <v/>
      </c>
      <c r="F9690" s="15" t="str">
        <f aca="false">IF(B9690&lt;5,"Go","Standard")</f>
        <v>Standard</v>
      </c>
    </row>
    <row r="9691" customFormat="false" ht="15" hidden="false" customHeight="true" outlineLevel="0" collapsed="false">
      <c r="A9691" s="10" t="n">
        <f aca="false">Einstellungen!$B$5+INT((ROW()-9)/24)</f>
        <v>46369</v>
      </c>
      <c r="B9691" s="11" t="n">
        <f aca="false">MOD(ROW()-9,24)</f>
        <v>10</v>
      </c>
      <c r="C9691" s="12"/>
      <c r="D9691" s="13" t="n">
        <f aca="false">IF(B9691&lt;5,Einstellungen!$B$3,Einstellungen!$B$4)</f>
        <v>29.13</v>
      </c>
      <c r="E9691" s="14" t="str">
        <f aca="false">IF(C9691="","",C9691*D9691/100)</f>
        <v/>
      </c>
      <c r="F9691" s="15" t="str">
        <f aca="false">IF(B9691&lt;5,"Go","Standard")</f>
        <v>Standard</v>
      </c>
    </row>
    <row r="9692" customFormat="false" ht="15" hidden="false" customHeight="true" outlineLevel="0" collapsed="false">
      <c r="A9692" s="10" t="n">
        <f aca="false">Einstellungen!$B$5+INT((ROW()-9)/24)</f>
        <v>46369</v>
      </c>
      <c r="B9692" s="11" t="n">
        <f aca="false">MOD(ROW()-9,24)</f>
        <v>11</v>
      </c>
      <c r="C9692" s="12"/>
      <c r="D9692" s="13" t="n">
        <f aca="false">IF(B9692&lt;5,Einstellungen!$B$3,Einstellungen!$B$4)</f>
        <v>29.13</v>
      </c>
      <c r="E9692" s="14" t="str">
        <f aca="false">IF(C9692="","",C9692*D9692/100)</f>
        <v/>
      </c>
      <c r="F9692" s="15" t="str">
        <f aca="false">IF(B9692&lt;5,"Go","Standard")</f>
        <v>Standard</v>
      </c>
    </row>
    <row r="9693" customFormat="false" ht="15" hidden="false" customHeight="true" outlineLevel="0" collapsed="false">
      <c r="A9693" s="10" t="n">
        <f aca="false">Einstellungen!$B$5+INT((ROW()-9)/24)</f>
        <v>46369</v>
      </c>
      <c r="B9693" s="11" t="n">
        <f aca="false">MOD(ROW()-9,24)</f>
        <v>12</v>
      </c>
      <c r="C9693" s="12"/>
      <c r="D9693" s="13" t="n">
        <f aca="false">IF(B9693&lt;5,Einstellungen!$B$3,Einstellungen!$B$4)</f>
        <v>29.13</v>
      </c>
      <c r="E9693" s="14" t="str">
        <f aca="false">IF(C9693="","",C9693*D9693/100)</f>
        <v/>
      </c>
      <c r="F9693" s="15" t="str">
        <f aca="false">IF(B9693&lt;5,"Go","Standard")</f>
        <v>Standard</v>
      </c>
    </row>
    <row r="9694" customFormat="false" ht="15" hidden="false" customHeight="true" outlineLevel="0" collapsed="false">
      <c r="A9694" s="10" t="n">
        <f aca="false">Einstellungen!$B$5+INT((ROW()-9)/24)</f>
        <v>46369</v>
      </c>
      <c r="B9694" s="11" t="n">
        <f aca="false">MOD(ROW()-9,24)</f>
        <v>13</v>
      </c>
      <c r="C9694" s="12"/>
      <c r="D9694" s="13" t="n">
        <f aca="false">IF(B9694&lt;5,Einstellungen!$B$3,Einstellungen!$B$4)</f>
        <v>29.13</v>
      </c>
      <c r="E9694" s="14" t="str">
        <f aca="false">IF(C9694="","",C9694*D9694/100)</f>
        <v/>
      </c>
      <c r="F9694" s="15" t="str">
        <f aca="false">IF(B9694&lt;5,"Go","Standard")</f>
        <v>Standard</v>
      </c>
    </row>
    <row r="9695" customFormat="false" ht="15" hidden="false" customHeight="true" outlineLevel="0" collapsed="false">
      <c r="A9695" s="10" t="n">
        <f aca="false">Einstellungen!$B$5+INT((ROW()-9)/24)</f>
        <v>46369</v>
      </c>
      <c r="B9695" s="11" t="n">
        <f aca="false">MOD(ROW()-9,24)</f>
        <v>14</v>
      </c>
      <c r="C9695" s="12"/>
      <c r="D9695" s="13" t="n">
        <f aca="false">IF(B9695&lt;5,Einstellungen!$B$3,Einstellungen!$B$4)</f>
        <v>29.13</v>
      </c>
      <c r="E9695" s="14" t="str">
        <f aca="false">IF(C9695="","",C9695*D9695/100)</f>
        <v/>
      </c>
      <c r="F9695" s="15" t="str">
        <f aca="false">IF(B9695&lt;5,"Go","Standard")</f>
        <v>Standard</v>
      </c>
    </row>
    <row r="9696" customFormat="false" ht="15" hidden="false" customHeight="true" outlineLevel="0" collapsed="false">
      <c r="A9696" s="10" t="n">
        <f aca="false">Einstellungen!$B$5+INT((ROW()-9)/24)</f>
        <v>46369</v>
      </c>
      <c r="B9696" s="11" t="n">
        <f aca="false">MOD(ROW()-9,24)</f>
        <v>15</v>
      </c>
      <c r="C9696" s="12"/>
      <c r="D9696" s="13" t="n">
        <f aca="false">IF(B9696&lt;5,Einstellungen!$B$3,Einstellungen!$B$4)</f>
        <v>29.13</v>
      </c>
      <c r="E9696" s="14" t="str">
        <f aca="false">IF(C9696="","",C9696*D9696/100)</f>
        <v/>
      </c>
      <c r="F9696" s="15" t="str">
        <f aca="false">IF(B9696&lt;5,"Go","Standard")</f>
        <v>Standard</v>
      </c>
    </row>
    <row r="9697" customFormat="false" ht="15" hidden="false" customHeight="true" outlineLevel="0" collapsed="false">
      <c r="A9697" s="10" t="n">
        <f aca="false">Einstellungen!$B$5+INT((ROW()-9)/24)</f>
        <v>46369</v>
      </c>
      <c r="B9697" s="11" t="n">
        <f aca="false">MOD(ROW()-9,24)</f>
        <v>16</v>
      </c>
      <c r="C9697" s="12"/>
      <c r="D9697" s="13" t="n">
        <f aca="false">IF(B9697&lt;5,Einstellungen!$B$3,Einstellungen!$B$4)</f>
        <v>29.13</v>
      </c>
      <c r="E9697" s="14" t="str">
        <f aca="false">IF(C9697="","",C9697*D9697/100)</f>
        <v/>
      </c>
      <c r="F9697" s="15" t="str">
        <f aca="false">IF(B9697&lt;5,"Go","Standard")</f>
        <v>Standard</v>
      </c>
    </row>
    <row r="9698" customFormat="false" ht="15" hidden="false" customHeight="true" outlineLevel="0" collapsed="false">
      <c r="A9698" s="10" t="n">
        <f aca="false">Einstellungen!$B$5+INT((ROW()-9)/24)</f>
        <v>46369</v>
      </c>
      <c r="B9698" s="11" t="n">
        <f aca="false">MOD(ROW()-9,24)</f>
        <v>17</v>
      </c>
      <c r="C9698" s="12"/>
      <c r="D9698" s="13" t="n">
        <f aca="false">IF(B9698&lt;5,Einstellungen!$B$3,Einstellungen!$B$4)</f>
        <v>29.13</v>
      </c>
      <c r="E9698" s="14" t="str">
        <f aca="false">IF(C9698="","",C9698*D9698/100)</f>
        <v/>
      </c>
      <c r="F9698" s="15" t="str">
        <f aca="false">IF(B9698&lt;5,"Go","Standard")</f>
        <v>Standard</v>
      </c>
    </row>
    <row r="9699" customFormat="false" ht="15" hidden="false" customHeight="true" outlineLevel="0" collapsed="false">
      <c r="A9699" s="10" t="n">
        <f aca="false">Einstellungen!$B$5+INT((ROW()-9)/24)</f>
        <v>46369</v>
      </c>
      <c r="B9699" s="11" t="n">
        <f aca="false">MOD(ROW()-9,24)</f>
        <v>18</v>
      </c>
      <c r="C9699" s="12"/>
      <c r="D9699" s="13" t="n">
        <f aca="false">IF(B9699&lt;5,Einstellungen!$B$3,Einstellungen!$B$4)</f>
        <v>29.13</v>
      </c>
      <c r="E9699" s="14" t="str">
        <f aca="false">IF(C9699="","",C9699*D9699/100)</f>
        <v/>
      </c>
      <c r="F9699" s="15" t="str">
        <f aca="false">IF(B9699&lt;5,"Go","Standard")</f>
        <v>Standard</v>
      </c>
    </row>
    <row r="9700" customFormat="false" ht="15" hidden="false" customHeight="true" outlineLevel="0" collapsed="false">
      <c r="A9700" s="10" t="n">
        <f aca="false">Einstellungen!$B$5+INT((ROW()-9)/24)</f>
        <v>46369</v>
      </c>
      <c r="B9700" s="11" t="n">
        <f aca="false">MOD(ROW()-9,24)</f>
        <v>19</v>
      </c>
      <c r="C9700" s="12"/>
      <c r="D9700" s="13" t="n">
        <f aca="false">IF(B9700&lt;5,Einstellungen!$B$3,Einstellungen!$B$4)</f>
        <v>29.13</v>
      </c>
      <c r="E9700" s="14" t="str">
        <f aca="false">IF(C9700="","",C9700*D9700/100)</f>
        <v/>
      </c>
      <c r="F9700" s="15" t="str">
        <f aca="false">IF(B9700&lt;5,"Go","Standard")</f>
        <v>Standard</v>
      </c>
    </row>
    <row r="9701" customFormat="false" ht="15" hidden="false" customHeight="true" outlineLevel="0" collapsed="false">
      <c r="A9701" s="10" t="n">
        <f aca="false">Einstellungen!$B$5+INT((ROW()-9)/24)</f>
        <v>46369</v>
      </c>
      <c r="B9701" s="11" t="n">
        <f aca="false">MOD(ROW()-9,24)</f>
        <v>20</v>
      </c>
      <c r="C9701" s="12"/>
      <c r="D9701" s="13" t="n">
        <f aca="false">IF(B9701&lt;5,Einstellungen!$B$3,Einstellungen!$B$4)</f>
        <v>29.13</v>
      </c>
      <c r="E9701" s="14" t="str">
        <f aca="false">IF(C9701="","",C9701*D9701/100)</f>
        <v/>
      </c>
      <c r="F9701" s="15" t="str">
        <f aca="false">IF(B9701&lt;5,"Go","Standard")</f>
        <v>Standard</v>
      </c>
    </row>
    <row r="9702" customFormat="false" ht="15" hidden="false" customHeight="true" outlineLevel="0" collapsed="false">
      <c r="A9702" s="10" t="n">
        <f aca="false">Einstellungen!$B$5+INT((ROW()-9)/24)</f>
        <v>46369</v>
      </c>
      <c r="B9702" s="11" t="n">
        <f aca="false">MOD(ROW()-9,24)</f>
        <v>21</v>
      </c>
      <c r="C9702" s="12"/>
      <c r="D9702" s="13" t="n">
        <f aca="false">IF(B9702&lt;5,Einstellungen!$B$3,Einstellungen!$B$4)</f>
        <v>29.13</v>
      </c>
      <c r="E9702" s="14" t="str">
        <f aca="false">IF(C9702="","",C9702*D9702/100)</f>
        <v/>
      </c>
      <c r="F9702" s="15" t="str">
        <f aca="false">IF(B9702&lt;5,"Go","Standard")</f>
        <v>Standard</v>
      </c>
    </row>
    <row r="9703" customFormat="false" ht="15" hidden="false" customHeight="true" outlineLevel="0" collapsed="false">
      <c r="A9703" s="10" t="n">
        <f aca="false">Einstellungen!$B$5+INT((ROW()-9)/24)</f>
        <v>46369</v>
      </c>
      <c r="B9703" s="11" t="n">
        <f aca="false">MOD(ROW()-9,24)</f>
        <v>22</v>
      </c>
      <c r="C9703" s="12"/>
      <c r="D9703" s="13" t="n">
        <f aca="false">IF(B9703&lt;5,Einstellungen!$B$3,Einstellungen!$B$4)</f>
        <v>29.13</v>
      </c>
      <c r="E9703" s="14" t="str">
        <f aca="false">IF(C9703="","",C9703*D9703/100)</f>
        <v/>
      </c>
      <c r="F9703" s="15" t="str">
        <f aca="false">IF(B9703&lt;5,"Go","Standard")</f>
        <v>Standard</v>
      </c>
    </row>
    <row r="9704" customFormat="false" ht="15" hidden="false" customHeight="true" outlineLevel="0" collapsed="false">
      <c r="A9704" s="10" t="n">
        <f aca="false">Einstellungen!$B$5+INT((ROW()-9)/24)</f>
        <v>46369</v>
      </c>
      <c r="B9704" s="11" t="n">
        <f aca="false">MOD(ROW()-9,24)</f>
        <v>23</v>
      </c>
      <c r="C9704" s="12"/>
      <c r="D9704" s="13" t="n">
        <f aca="false">IF(B9704&lt;5,Einstellungen!$B$3,Einstellungen!$B$4)</f>
        <v>29.13</v>
      </c>
      <c r="E9704" s="14" t="str">
        <f aca="false">IF(C9704="","",C9704*D9704/100)</f>
        <v/>
      </c>
      <c r="F9704" s="15" t="str">
        <f aca="false">IF(B9704&lt;5,"Go","Standard")</f>
        <v>Standard</v>
      </c>
    </row>
    <row r="9705" customFormat="false" ht="15" hidden="false" customHeight="true" outlineLevel="0" collapsed="false">
      <c r="A9705" s="10" t="n">
        <f aca="false">Einstellungen!$B$5+INT((ROW()-9)/24)</f>
        <v>46370</v>
      </c>
      <c r="B9705" s="11" t="n">
        <f aca="false">MOD(ROW()-9,24)</f>
        <v>0</v>
      </c>
      <c r="C9705" s="12"/>
      <c r="D9705" s="13" t="n">
        <f aca="false">IF(B9705&lt;5,Einstellungen!$B$3,Einstellungen!$B$4)</f>
        <v>15.92</v>
      </c>
      <c r="E9705" s="14" t="str">
        <f aca="false">IF(C9705="","",C9705*D9705/100)</f>
        <v/>
      </c>
      <c r="F9705" s="15" t="str">
        <f aca="false">IF(B9705&lt;5,"Go","Standard")</f>
        <v>Go</v>
      </c>
    </row>
    <row r="9706" customFormat="false" ht="15" hidden="false" customHeight="true" outlineLevel="0" collapsed="false">
      <c r="A9706" s="10" t="n">
        <f aca="false">Einstellungen!$B$5+INT((ROW()-9)/24)</f>
        <v>46370</v>
      </c>
      <c r="B9706" s="11" t="n">
        <f aca="false">MOD(ROW()-9,24)</f>
        <v>1</v>
      </c>
      <c r="C9706" s="12"/>
      <c r="D9706" s="13" t="n">
        <f aca="false">IF(B9706&lt;5,Einstellungen!$B$3,Einstellungen!$B$4)</f>
        <v>15.92</v>
      </c>
      <c r="E9706" s="14" t="str">
        <f aca="false">IF(C9706="","",C9706*D9706/100)</f>
        <v/>
      </c>
      <c r="F9706" s="15" t="str">
        <f aca="false">IF(B9706&lt;5,"Go","Standard")</f>
        <v>Go</v>
      </c>
    </row>
    <row r="9707" customFormat="false" ht="15" hidden="false" customHeight="true" outlineLevel="0" collapsed="false">
      <c r="A9707" s="10" t="n">
        <f aca="false">Einstellungen!$B$5+INT((ROW()-9)/24)</f>
        <v>46370</v>
      </c>
      <c r="B9707" s="11" t="n">
        <f aca="false">MOD(ROW()-9,24)</f>
        <v>2</v>
      </c>
      <c r="C9707" s="12"/>
      <c r="D9707" s="13" t="n">
        <f aca="false">IF(B9707&lt;5,Einstellungen!$B$3,Einstellungen!$B$4)</f>
        <v>15.92</v>
      </c>
      <c r="E9707" s="14" t="str">
        <f aca="false">IF(C9707="","",C9707*D9707/100)</f>
        <v/>
      </c>
      <c r="F9707" s="15" t="str">
        <f aca="false">IF(B9707&lt;5,"Go","Standard")</f>
        <v>Go</v>
      </c>
    </row>
    <row r="9708" customFormat="false" ht="15" hidden="false" customHeight="true" outlineLevel="0" collapsed="false">
      <c r="A9708" s="10" t="n">
        <f aca="false">Einstellungen!$B$5+INT((ROW()-9)/24)</f>
        <v>46370</v>
      </c>
      <c r="B9708" s="11" t="n">
        <f aca="false">MOD(ROW()-9,24)</f>
        <v>3</v>
      </c>
      <c r="C9708" s="12"/>
      <c r="D9708" s="13" t="n">
        <f aca="false">IF(B9708&lt;5,Einstellungen!$B$3,Einstellungen!$B$4)</f>
        <v>15.92</v>
      </c>
      <c r="E9708" s="14" t="str">
        <f aca="false">IF(C9708="","",C9708*D9708/100)</f>
        <v/>
      </c>
      <c r="F9708" s="15" t="str">
        <f aca="false">IF(B9708&lt;5,"Go","Standard")</f>
        <v>Go</v>
      </c>
    </row>
    <row r="9709" customFormat="false" ht="15" hidden="false" customHeight="true" outlineLevel="0" collapsed="false">
      <c r="A9709" s="10" t="n">
        <f aca="false">Einstellungen!$B$5+INT((ROW()-9)/24)</f>
        <v>46370</v>
      </c>
      <c r="B9709" s="11" t="n">
        <f aca="false">MOD(ROW()-9,24)</f>
        <v>4</v>
      </c>
      <c r="C9709" s="12"/>
      <c r="D9709" s="13" t="n">
        <f aca="false">IF(B9709&lt;5,Einstellungen!$B$3,Einstellungen!$B$4)</f>
        <v>15.92</v>
      </c>
      <c r="E9709" s="14" t="str">
        <f aca="false">IF(C9709="","",C9709*D9709/100)</f>
        <v/>
      </c>
      <c r="F9709" s="15" t="str">
        <f aca="false">IF(B9709&lt;5,"Go","Standard")</f>
        <v>Go</v>
      </c>
    </row>
    <row r="9710" customFormat="false" ht="15" hidden="false" customHeight="true" outlineLevel="0" collapsed="false">
      <c r="A9710" s="10" t="n">
        <f aca="false">Einstellungen!$B$5+INT((ROW()-9)/24)</f>
        <v>46370</v>
      </c>
      <c r="B9710" s="11" t="n">
        <f aca="false">MOD(ROW()-9,24)</f>
        <v>5</v>
      </c>
      <c r="C9710" s="12"/>
      <c r="D9710" s="13" t="n">
        <f aca="false">IF(B9710&lt;5,Einstellungen!$B$3,Einstellungen!$B$4)</f>
        <v>29.13</v>
      </c>
      <c r="E9710" s="14" t="str">
        <f aca="false">IF(C9710="","",C9710*D9710/100)</f>
        <v/>
      </c>
      <c r="F9710" s="15" t="str">
        <f aca="false">IF(B9710&lt;5,"Go","Standard")</f>
        <v>Standard</v>
      </c>
    </row>
    <row r="9711" customFormat="false" ht="15" hidden="false" customHeight="true" outlineLevel="0" collapsed="false">
      <c r="A9711" s="10" t="n">
        <f aca="false">Einstellungen!$B$5+INT((ROW()-9)/24)</f>
        <v>46370</v>
      </c>
      <c r="B9711" s="11" t="n">
        <f aca="false">MOD(ROW()-9,24)</f>
        <v>6</v>
      </c>
      <c r="C9711" s="12"/>
      <c r="D9711" s="13" t="n">
        <f aca="false">IF(B9711&lt;5,Einstellungen!$B$3,Einstellungen!$B$4)</f>
        <v>29.13</v>
      </c>
      <c r="E9711" s="14" t="str">
        <f aca="false">IF(C9711="","",C9711*D9711/100)</f>
        <v/>
      </c>
      <c r="F9711" s="15" t="str">
        <f aca="false">IF(B9711&lt;5,"Go","Standard")</f>
        <v>Standard</v>
      </c>
    </row>
    <row r="9712" customFormat="false" ht="15" hidden="false" customHeight="true" outlineLevel="0" collapsed="false">
      <c r="A9712" s="10" t="n">
        <f aca="false">Einstellungen!$B$5+INT((ROW()-9)/24)</f>
        <v>46370</v>
      </c>
      <c r="B9712" s="11" t="n">
        <f aca="false">MOD(ROW()-9,24)</f>
        <v>7</v>
      </c>
      <c r="C9712" s="12"/>
      <c r="D9712" s="13" t="n">
        <f aca="false">IF(B9712&lt;5,Einstellungen!$B$3,Einstellungen!$B$4)</f>
        <v>29.13</v>
      </c>
      <c r="E9712" s="14" t="str">
        <f aca="false">IF(C9712="","",C9712*D9712/100)</f>
        <v/>
      </c>
      <c r="F9712" s="15" t="str">
        <f aca="false">IF(B9712&lt;5,"Go","Standard")</f>
        <v>Standard</v>
      </c>
    </row>
    <row r="9713" customFormat="false" ht="15" hidden="false" customHeight="true" outlineLevel="0" collapsed="false">
      <c r="A9713" s="10" t="n">
        <f aca="false">Einstellungen!$B$5+INT((ROW()-9)/24)</f>
        <v>46370</v>
      </c>
      <c r="B9713" s="11" t="n">
        <f aca="false">MOD(ROW()-9,24)</f>
        <v>8</v>
      </c>
      <c r="C9713" s="12"/>
      <c r="D9713" s="13" t="n">
        <f aca="false">IF(B9713&lt;5,Einstellungen!$B$3,Einstellungen!$B$4)</f>
        <v>29.13</v>
      </c>
      <c r="E9713" s="14" t="str">
        <f aca="false">IF(C9713="","",C9713*D9713/100)</f>
        <v/>
      </c>
      <c r="F9713" s="15" t="str">
        <f aca="false">IF(B9713&lt;5,"Go","Standard")</f>
        <v>Standard</v>
      </c>
    </row>
    <row r="9714" customFormat="false" ht="15" hidden="false" customHeight="true" outlineLevel="0" collapsed="false">
      <c r="A9714" s="10" t="n">
        <f aca="false">Einstellungen!$B$5+INT((ROW()-9)/24)</f>
        <v>46370</v>
      </c>
      <c r="B9714" s="11" t="n">
        <f aca="false">MOD(ROW()-9,24)</f>
        <v>9</v>
      </c>
      <c r="C9714" s="12"/>
      <c r="D9714" s="13" t="n">
        <f aca="false">IF(B9714&lt;5,Einstellungen!$B$3,Einstellungen!$B$4)</f>
        <v>29.13</v>
      </c>
      <c r="E9714" s="14" t="str">
        <f aca="false">IF(C9714="","",C9714*D9714/100)</f>
        <v/>
      </c>
      <c r="F9714" s="15" t="str">
        <f aca="false">IF(B9714&lt;5,"Go","Standard")</f>
        <v>Standard</v>
      </c>
    </row>
    <row r="9715" customFormat="false" ht="15" hidden="false" customHeight="true" outlineLevel="0" collapsed="false">
      <c r="A9715" s="10" t="n">
        <f aca="false">Einstellungen!$B$5+INT((ROW()-9)/24)</f>
        <v>46370</v>
      </c>
      <c r="B9715" s="11" t="n">
        <f aca="false">MOD(ROW()-9,24)</f>
        <v>10</v>
      </c>
      <c r="C9715" s="12"/>
      <c r="D9715" s="13" t="n">
        <f aca="false">IF(B9715&lt;5,Einstellungen!$B$3,Einstellungen!$B$4)</f>
        <v>29.13</v>
      </c>
      <c r="E9715" s="14" t="str">
        <f aca="false">IF(C9715="","",C9715*D9715/100)</f>
        <v/>
      </c>
      <c r="F9715" s="15" t="str">
        <f aca="false">IF(B9715&lt;5,"Go","Standard")</f>
        <v>Standard</v>
      </c>
    </row>
    <row r="9716" customFormat="false" ht="15" hidden="false" customHeight="true" outlineLevel="0" collapsed="false">
      <c r="A9716" s="10" t="n">
        <f aca="false">Einstellungen!$B$5+INT((ROW()-9)/24)</f>
        <v>46370</v>
      </c>
      <c r="B9716" s="11" t="n">
        <f aca="false">MOD(ROW()-9,24)</f>
        <v>11</v>
      </c>
      <c r="C9716" s="12"/>
      <c r="D9716" s="13" t="n">
        <f aca="false">IF(B9716&lt;5,Einstellungen!$B$3,Einstellungen!$B$4)</f>
        <v>29.13</v>
      </c>
      <c r="E9716" s="14" t="str">
        <f aca="false">IF(C9716="","",C9716*D9716/100)</f>
        <v/>
      </c>
      <c r="F9716" s="15" t="str">
        <f aca="false">IF(B9716&lt;5,"Go","Standard")</f>
        <v>Standard</v>
      </c>
    </row>
    <row r="9717" customFormat="false" ht="15" hidden="false" customHeight="true" outlineLevel="0" collapsed="false">
      <c r="A9717" s="10" t="n">
        <f aca="false">Einstellungen!$B$5+INT((ROW()-9)/24)</f>
        <v>46370</v>
      </c>
      <c r="B9717" s="11" t="n">
        <f aca="false">MOD(ROW()-9,24)</f>
        <v>12</v>
      </c>
      <c r="C9717" s="12"/>
      <c r="D9717" s="13" t="n">
        <f aca="false">IF(B9717&lt;5,Einstellungen!$B$3,Einstellungen!$B$4)</f>
        <v>29.13</v>
      </c>
      <c r="E9717" s="14" t="str">
        <f aca="false">IF(C9717="","",C9717*D9717/100)</f>
        <v/>
      </c>
      <c r="F9717" s="15" t="str">
        <f aca="false">IF(B9717&lt;5,"Go","Standard")</f>
        <v>Standard</v>
      </c>
    </row>
    <row r="9718" customFormat="false" ht="15" hidden="false" customHeight="true" outlineLevel="0" collapsed="false">
      <c r="A9718" s="10" t="n">
        <f aca="false">Einstellungen!$B$5+INT((ROW()-9)/24)</f>
        <v>46370</v>
      </c>
      <c r="B9718" s="11" t="n">
        <f aca="false">MOD(ROW()-9,24)</f>
        <v>13</v>
      </c>
      <c r="C9718" s="12"/>
      <c r="D9718" s="13" t="n">
        <f aca="false">IF(B9718&lt;5,Einstellungen!$B$3,Einstellungen!$B$4)</f>
        <v>29.13</v>
      </c>
      <c r="E9718" s="14" t="str">
        <f aca="false">IF(C9718="","",C9718*D9718/100)</f>
        <v/>
      </c>
      <c r="F9718" s="15" t="str">
        <f aca="false">IF(B9718&lt;5,"Go","Standard")</f>
        <v>Standard</v>
      </c>
    </row>
    <row r="9719" customFormat="false" ht="15" hidden="false" customHeight="true" outlineLevel="0" collapsed="false">
      <c r="A9719" s="10" t="n">
        <f aca="false">Einstellungen!$B$5+INT((ROW()-9)/24)</f>
        <v>46370</v>
      </c>
      <c r="B9719" s="11" t="n">
        <f aca="false">MOD(ROW()-9,24)</f>
        <v>14</v>
      </c>
      <c r="C9719" s="12"/>
      <c r="D9719" s="13" t="n">
        <f aca="false">IF(B9719&lt;5,Einstellungen!$B$3,Einstellungen!$B$4)</f>
        <v>29.13</v>
      </c>
      <c r="E9719" s="14" t="str">
        <f aca="false">IF(C9719="","",C9719*D9719/100)</f>
        <v/>
      </c>
      <c r="F9719" s="15" t="str">
        <f aca="false">IF(B9719&lt;5,"Go","Standard")</f>
        <v>Standard</v>
      </c>
    </row>
    <row r="9720" customFormat="false" ht="15" hidden="false" customHeight="true" outlineLevel="0" collapsed="false">
      <c r="A9720" s="10" t="n">
        <f aca="false">Einstellungen!$B$5+INT((ROW()-9)/24)</f>
        <v>46370</v>
      </c>
      <c r="B9720" s="11" t="n">
        <f aca="false">MOD(ROW()-9,24)</f>
        <v>15</v>
      </c>
      <c r="C9720" s="12"/>
      <c r="D9720" s="13" t="n">
        <f aca="false">IF(B9720&lt;5,Einstellungen!$B$3,Einstellungen!$B$4)</f>
        <v>29.13</v>
      </c>
      <c r="E9720" s="14" t="str">
        <f aca="false">IF(C9720="","",C9720*D9720/100)</f>
        <v/>
      </c>
      <c r="F9720" s="15" t="str">
        <f aca="false">IF(B9720&lt;5,"Go","Standard")</f>
        <v>Standard</v>
      </c>
    </row>
    <row r="9721" customFormat="false" ht="15" hidden="false" customHeight="true" outlineLevel="0" collapsed="false">
      <c r="A9721" s="10" t="n">
        <f aca="false">Einstellungen!$B$5+INT((ROW()-9)/24)</f>
        <v>46370</v>
      </c>
      <c r="B9721" s="11" t="n">
        <f aca="false">MOD(ROW()-9,24)</f>
        <v>16</v>
      </c>
      <c r="C9721" s="12"/>
      <c r="D9721" s="13" t="n">
        <f aca="false">IF(B9721&lt;5,Einstellungen!$B$3,Einstellungen!$B$4)</f>
        <v>29.13</v>
      </c>
      <c r="E9721" s="14" t="str">
        <f aca="false">IF(C9721="","",C9721*D9721/100)</f>
        <v/>
      </c>
      <c r="F9721" s="15" t="str">
        <f aca="false">IF(B9721&lt;5,"Go","Standard")</f>
        <v>Standard</v>
      </c>
    </row>
    <row r="9722" customFormat="false" ht="15" hidden="false" customHeight="true" outlineLevel="0" collapsed="false">
      <c r="A9722" s="10" t="n">
        <f aca="false">Einstellungen!$B$5+INT((ROW()-9)/24)</f>
        <v>46370</v>
      </c>
      <c r="B9722" s="11" t="n">
        <f aca="false">MOD(ROW()-9,24)</f>
        <v>17</v>
      </c>
      <c r="C9722" s="12"/>
      <c r="D9722" s="13" t="n">
        <f aca="false">IF(B9722&lt;5,Einstellungen!$B$3,Einstellungen!$B$4)</f>
        <v>29.13</v>
      </c>
      <c r="E9722" s="14" t="str">
        <f aca="false">IF(C9722="","",C9722*D9722/100)</f>
        <v/>
      </c>
      <c r="F9722" s="15" t="str">
        <f aca="false">IF(B9722&lt;5,"Go","Standard")</f>
        <v>Standard</v>
      </c>
    </row>
    <row r="9723" customFormat="false" ht="15" hidden="false" customHeight="true" outlineLevel="0" collapsed="false">
      <c r="A9723" s="10" t="n">
        <f aca="false">Einstellungen!$B$5+INT((ROW()-9)/24)</f>
        <v>46370</v>
      </c>
      <c r="B9723" s="11" t="n">
        <f aca="false">MOD(ROW()-9,24)</f>
        <v>18</v>
      </c>
      <c r="C9723" s="12"/>
      <c r="D9723" s="13" t="n">
        <f aca="false">IF(B9723&lt;5,Einstellungen!$B$3,Einstellungen!$B$4)</f>
        <v>29.13</v>
      </c>
      <c r="E9723" s="14" t="str">
        <f aca="false">IF(C9723="","",C9723*D9723/100)</f>
        <v/>
      </c>
      <c r="F9723" s="15" t="str">
        <f aca="false">IF(B9723&lt;5,"Go","Standard")</f>
        <v>Standard</v>
      </c>
    </row>
    <row r="9724" customFormat="false" ht="15" hidden="false" customHeight="true" outlineLevel="0" collapsed="false">
      <c r="A9724" s="10" t="n">
        <f aca="false">Einstellungen!$B$5+INT((ROW()-9)/24)</f>
        <v>46370</v>
      </c>
      <c r="B9724" s="11" t="n">
        <f aca="false">MOD(ROW()-9,24)</f>
        <v>19</v>
      </c>
      <c r="C9724" s="12"/>
      <c r="D9724" s="13" t="n">
        <f aca="false">IF(B9724&lt;5,Einstellungen!$B$3,Einstellungen!$B$4)</f>
        <v>29.13</v>
      </c>
      <c r="E9724" s="14" t="str">
        <f aca="false">IF(C9724="","",C9724*D9724/100)</f>
        <v/>
      </c>
      <c r="F9724" s="15" t="str">
        <f aca="false">IF(B9724&lt;5,"Go","Standard")</f>
        <v>Standard</v>
      </c>
    </row>
    <row r="9725" customFormat="false" ht="15" hidden="false" customHeight="true" outlineLevel="0" collapsed="false">
      <c r="A9725" s="10" t="n">
        <f aca="false">Einstellungen!$B$5+INT((ROW()-9)/24)</f>
        <v>46370</v>
      </c>
      <c r="B9725" s="11" t="n">
        <f aca="false">MOD(ROW()-9,24)</f>
        <v>20</v>
      </c>
      <c r="C9725" s="12"/>
      <c r="D9725" s="13" t="n">
        <f aca="false">IF(B9725&lt;5,Einstellungen!$B$3,Einstellungen!$B$4)</f>
        <v>29.13</v>
      </c>
      <c r="E9725" s="14" t="str">
        <f aca="false">IF(C9725="","",C9725*D9725/100)</f>
        <v/>
      </c>
      <c r="F9725" s="15" t="str">
        <f aca="false">IF(B9725&lt;5,"Go","Standard")</f>
        <v>Standard</v>
      </c>
    </row>
    <row r="9726" customFormat="false" ht="15" hidden="false" customHeight="true" outlineLevel="0" collapsed="false">
      <c r="A9726" s="10" t="n">
        <f aca="false">Einstellungen!$B$5+INT((ROW()-9)/24)</f>
        <v>46370</v>
      </c>
      <c r="B9726" s="11" t="n">
        <f aca="false">MOD(ROW()-9,24)</f>
        <v>21</v>
      </c>
      <c r="C9726" s="12"/>
      <c r="D9726" s="13" t="n">
        <f aca="false">IF(B9726&lt;5,Einstellungen!$B$3,Einstellungen!$B$4)</f>
        <v>29.13</v>
      </c>
      <c r="E9726" s="14" t="str">
        <f aca="false">IF(C9726="","",C9726*D9726/100)</f>
        <v/>
      </c>
      <c r="F9726" s="15" t="str">
        <f aca="false">IF(B9726&lt;5,"Go","Standard")</f>
        <v>Standard</v>
      </c>
    </row>
    <row r="9727" customFormat="false" ht="15" hidden="false" customHeight="true" outlineLevel="0" collapsed="false">
      <c r="A9727" s="10" t="n">
        <f aca="false">Einstellungen!$B$5+INT((ROW()-9)/24)</f>
        <v>46370</v>
      </c>
      <c r="B9727" s="11" t="n">
        <f aca="false">MOD(ROW()-9,24)</f>
        <v>22</v>
      </c>
      <c r="C9727" s="12"/>
      <c r="D9727" s="13" t="n">
        <f aca="false">IF(B9727&lt;5,Einstellungen!$B$3,Einstellungen!$B$4)</f>
        <v>29.13</v>
      </c>
      <c r="E9727" s="14" t="str">
        <f aca="false">IF(C9727="","",C9727*D9727/100)</f>
        <v/>
      </c>
      <c r="F9727" s="15" t="str">
        <f aca="false">IF(B9727&lt;5,"Go","Standard")</f>
        <v>Standard</v>
      </c>
    </row>
    <row r="9728" customFormat="false" ht="15" hidden="false" customHeight="true" outlineLevel="0" collapsed="false">
      <c r="A9728" s="10" t="n">
        <f aca="false">Einstellungen!$B$5+INT((ROW()-9)/24)</f>
        <v>46370</v>
      </c>
      <c r="B9728" s="11" t="n">
        <f aca="false">MOD(ROW()-9,24)</f>
        <v>23</v>
      </c>
      <c r="C9728" s="12"/>
      <c r="D9728" s="13" t="n">
        <f aca="false">IF(B9728&lt;5,Einstellungen!$B$3,Einstellungen!$B$4)</f>
        <v>29.13</v>
      </c>
      <c r="E9728" s="14" t="str">
        <f aca="false">IF(C9728="","",C9728*D9728/100)</f>
        <v/>
      </c>
      <c r="F9728" s="15" t="str">
        <f aca="false">IF(B9728&lt;5,"Go","Standard")</f>
        <v>Standard</v>
      </c>
    </row>
    <row r="9729" customFormat="false" ht="15" hidden="false" customHeight="true" outlineLevel="0" collapsed="false">
      <c r="A9729" s="10" t="n">
        <f aca="false">Einstellungen!$B$5+INT((ROW()-9)/24)</f>
        <v>46371</v>
      </c>
      <c r="B9729" s="11" t="n">
        <f aca="false">MOD(ROW()-9,24)</f>
        <v>0</v>
      </c>
      <c r="C9729" s="12"/>
      <c r="D9729" s="13" t="n">
        <f aca="false">IF(B9729&lt;5,Einstellungen!$B$3,Einstellungen!$B$4)</f>
        <v>15.92</v>
      </c>
      <c r="E9729" s="14" t="str">
        <f aca="false">IF(C9729="","",C9729*D9729/100)</f>
        <v/>
      </c>
      <c r="F9729" s="15" t="str">
        <f aca="false">IF(B9729&lt;5,"Go","Standard")</f>
        <v>Go</v>
      </c>
    </row>
    <row r="9730" customFormat="false" ht="15" hidden="false" customHeight="true" outlineLevel="0" collapsed="false">
      <c r="A9730" s="10" t="n">
        <f aca="false">Einstellungen!$B$5+INT((ROW()-9)/24)</f>
        <v>46371</v>
      </c>
      <c r="B9730" s="11" t="n">
        <f aca="false">MOD(ROW()-9,24)</f>
        <v>1</v>
      </c>
      <c r="C9730" s="12"/>
      <c r="D9730" s="13" t="n">
        <f aca="false">IF(B9730&lt;5,Einstellungen!$B$3,Einstellungen!$B$4)</f>
        <v>15.92</v>
      </c>
      <c r="E9730" s="14" t="str">
        <f aca="false">IF(C9730="","",C9730*D9730/100)</f>
        <v/>
      </c>
      <c r="F9730" s="15" t="str">
        <f aca="false">IF(B9730&lt;5,"Go","Standard")</f>
        <v>Go</v>
      </c>
    </row>
    <row r="9731" customFormat="false" ht="15" hidden="false" customHeight="true" outlineLevel="0" collapsed="false">
      <c r="A9731" s="10" t="n">
        <f aca="false">Einstellungen!$B$5+INT((ROW()-9)/24)</f>
        <v>46371</v>
      </c>
      <c r="B9731" s="11" t="n">
        <f aca="false">MOD(ROW()-9,24)</f>
        <v>2</v>
      </c>
      <c r="C9731" s="12"/>
      <c r="D9731" s="13" t="n">
        <f aca="false">IF(B9731&lt;5,Einstellungen!$B$3,Einstellungen!$B$4)</f>
        <v>15.92</v>
      </c>
      <c r="E9731" s="14" t="str">
        <f aca="false">IF(C9731="","",C9731*D9731/100)</f>
        <v/>
      </c>
      <c r="F9731" s="15" t="str">
        <f aca="false">IF(B9731&lt;5,"Go","Standard")</f>
        <v>Go</v>
      </c>
    </row>
    <row r="9732" customFormat="false" ht="15" hidden="false" customHeight="true" outlineLevel="0" collapsed="false">
      <c r="A9732" s="10" t="n">
        <f aca="false">Einstellungen!$B$5+INT((ROW()-9)/24)</f>
        <v>46371</v>
      </c>
      <c r="B9732" s="11" t="n">
        <f aca="false">MOD(ROW()-9,24)</f>
        <v>3</v>
      </c>
      <c r="C9732" s="12"/>
      <c r="D9732" s="13" t="n">
        <f aca="false">IF(B9732&lt;5,Einstellungen!$B$3,Einstellungen!$B$4)</f>
        <v>15.92</v>
      </c>
      <c r="E9732" s="14" t="str">
        <f aca="false">IF(C9732="","",C9732*D9732/100)</f>
        <v/>
      </c>
      <c r="F9732" s="15" t="str">
        <f aca="false">IF(B9732&lt;5,"Go","Standard")</f>
        <v>Go</v>
      </c>
    </row>
    <row r="9733" customFormat="false" ht="15" hidden="false" customHeight="true" outlineLevel="0" collapsed="false">
      <c r="A9733" s="10" t="n">
        <f aca="false">Einstellungen!$B$5+INT((ROW()-9)/24)</f>
        <v>46371</v>
      </c>
      <c r="B9733" s="11" t="n">
        <f aca="false">MOD(ROW()-9,24)</f>
        <v>4</v>
      </c>
      <c r="C9733" s="12"/>
      <c r="D9733" s="13" t="n">
        <f aca="false">IF(B9733&lt;5,Einstellungen!$B$3,Einstellungen!$B$4)</f>
        <v>15.92</v>
      </c>
      <c r="E9733" s="14" t="str">
        <f aca="false">IF(C9733="","",C9733*D9733/100)</f>
        <v/>
      </c>
      <c r="F9733" s="15" t="str">
        <f aca="false">IF(B9733&lt;5,"Go","Standard")</f>
        <v>Go</v>
      </c>
    </row>
    <row r="9734" customFormat="false" ht="15" hidden="false" customHeight="true" outlineLevel="0" collapsed="false">
      <c r="A9734" s="10" t="n">
        <f aca="false">Einstellungen!$B$5+INT((ROW()-9)/24)</f>
        <v>46371</v>
      </c>
      <c r="B9734" s="11" t="n">
        <f aca="false">MOD(ROW()-9,24)</f>
        <v>5</v>
      </c>
      <c r="C9734" s="12"/>
      <c r="D9734" s="13" t="n">
        <f aca="false">IF(B9734&lt;5,Einstellungen!$B$3,Einstellungen!$B$4)</f>
        <v>29.13</v>
      </c>
      <c r="E9734" s="14" t="str">
        <f aca="false">IF(C9734="","",C9734*D9734/100)</f>
        <v/>
      </c>
      <c r="F9734" s="15" t="str">
        <f aca="false">IF(B9734&lt;5,"Go","Standard")</f>
        <v>Standard</v>
      </c>
    </row>
    <row r="9735" customFormat="false" ht="15" hidden="false" customHeight="true" outlineLevel="0" collapsed="false">
      <c r="A9735" s="10" t="n">
        <f aca="false">Einstellungen!$B$5+INT((ROW()-9)/24)</f>
        <v>46371</v>
      </c>
      <c r="B9735" s="11" t="n">
        <f aca="false">MOD(ROW()-9,24)</f>
        <v>6</v>
      </c>
      <c r="C9735" s="12"/>
      <c r="D9735" s="13" t="n">
        <f aca="false">IF(B9735&lt;5,Einstellungen!$B$3,Einstellungen!$B$4)</f>
        <v>29.13</v>
      </c>
      <c r="E9735" s="14" t="str">
        <f aca="false">IF(C9735="","",C9735*D9735/100)</f>
        <v/>
      </c>
      <c r="F9735" s="15" t="str">
        <f aca="false">IF(B9735&lt;5,"Go","Standard")</f>
        <v>Standard</v>
      </c>
    </row>
    <row r="9736" customFormat="false" ht="15" hidden="false" customHeight="true" outlineLevel="0" collapsed="false">
      <c r="A9736" s="10" t="n">
        <f aca="false">Einstellungen!$B$5+INT((ROW()-9)/24)</f>
        <v>46371</v>
      </c>
      <c r="B9736" s="11" t="n">
        <f aca="false">MOD(ROW()-9,24)</f>
        <v>7</v>
      </c>
      <c r="C9736" s="12"/>
      <c r="D9736" s="13" t="n">
        <f aca="false">IF(B9736&lt;5,Einstellungen!$B$3,Einstellungen!$B$4)</f>
        <v>29.13</v>
      </c>
      <c r="E9736" s="14" t="str">
        <f aca="false">IF(C9736="","",C9736*D9736/100)</f>
        <v/>
      </c>
      <c r="F9736" s="15" t="str">
        <f aca="false">IF(B9736&lt;5,"Go","Standard")</f>
        <v>Standard</v>
      </c>
    </row>
    <row r="9737" customFormat="false" ht="15" hidden="false" customHeight="true" outlineLevel="0" collapsed="false">
      <c r="A9737" s="10" t="n">
        <f aca="false">Einstellungen!$B$5+INT((ROW()-9)/24)</f>
        <v>46371</v>
      </c>
      <c r="B9737" s="11" t="n">
        <f aca="false">MOD(ROW()-9,24)</f>
        <v>8</v>
      </c>
      <c r="C9737" s="12"/>
      <c r="D9737" s="13" t="n">
        <f aca="false">IF(B9737&lt;5,Einstellungen!$B$3,Einstellungen!$B$4)</f>
        <v>29.13</v>
      </c>
      <c r="E9737" s="14" t="str">
        <f aca="false">IF(C9737="","",C9737*D9737/100)</f>
        <v/>
      </c>
      <c r="F9737" s="15" t="str">
        <f aca="false">IF(B9737&lt;5,"Go","Standard")</f>
        <v>Standard</v>
      </c>
    </row>
    <row r="9738" customFormat="false" ht="15" hidden="false" customHeight="true" outlineLevel="0" collapsed="false">
      <c r="A9738" s="10" t="n">
        <f aca="false">Einstellungen!$B$5+INT((ROW()-9)/24)</f>
        <v>46371</v>
      </c>
      <c r="B9738" s="11" t="n">
        <f aca="false">MOD(ROW()-9,24)</f>
        <v>9</v>
      </c>
      <c r="C9738" s="12"/>
      <c r="D9738" s="13" t="n">
        <f aca="false">IF(B9738&lt;5,Einstellungen!$B$3,Einstellungen!$B$4)</f>
        <v>29.13</v>
      </c>
      <c r="E9738" s="14" t="str">
        <f aca="false">IF(C9738="","",C9738*D9738/100)</f>
        <v/>
      </c>
      <c r="F9738" s="15" t="str">
        <f aca="false">IF(B9738&lt;5,"Go","Standard")</f>
        <v>Standard</v>
      </c>
    </row>
    <row r="9739" customFormat="false" ht="15" hidden="false" customHeight="true" outlineLevel="0" collapsed="false">
      <c r="A9739" s="10" t="n">
        <f aca="false">Einstellungen!$B$5+INT((ROW()-9)/24)</f>
        <v>46371</v>
      </c>
      <c r="B9739" s="11" t="n">
        <f aca="false">MOD(ROW()-9,24)</f>
        <v>10</v>
      </c>
      <c r="C9739" s="12"/>
      <c r="D9739" s="13" t="n">
        <f aca="false">IF(B9739&lt;5,Einstellungen!$B$3,Einstellungen!$B$4)</f>
        <v>29.13</v>
      </c>
      <c r="E9739" s="14" t="str">
        <f aca="false">IF(C9739="","",C9739*D9739/100)</f>
        <v/>
      </c>
      <c r="F9739" s="15" t="str">
        <f aca="false">IF(B9739&lt;5,"Go","Standard")</f>
        <v>Standard</v>
      </c>
    </row>
    <row r="9740" customFormat="false" ht="15" hidden="false" customHeight="true" outlineLevel="0" collapsed="false">
      <c r="A9740" s="10" t="n">
        <f aca="false">Einstellungen!$B$5+INT((ROW()-9)/24)</f>
        <v>46371</v>
      </c>
      <c r="B9740" s="11" t="n">
        <f aca="false">MOD(ROW()-9,24)</f>
        <v>11</v>
      </c>
      <c r="C9740" s="12"/>
      <c r="D9740" s="13" t="n">
        <f aca="false">IF(B9740&lt;5,Einstellungen!$B$3,Einstellungen!$B$4)</f>
        <v>29.13</v>
      </c>
      <c r="E9740" s="14" t="str">
        <f aca="false">IF(C9740="","",C9740*D9740/100)</f>
        <v/>
      </c>
      <c r="F9740" s="15" t="str">
        <f aca="false">IF(B9740&lt;5,"Go","Standard")</f>
        <v>Standard</v>
      </c>
    </row>
    <row r="9741" customFormat="false" ht="15" hidden="false" customHeight="true" outlineLevel="0" collapsed="false">
      <c r="A9741" s="10" t="n">
        <f aca="false">Einstellungen!$B$5+INT((ROW()-9)/24)</f>
        <v>46371</v>
      </c>
      <c r="B9741" s="11" t="n">
        <f aca="false">MOD(ROW()-9,24)</f>
        <v>12</v>
      </c>
      <c r="C9741" s="12"/>
      <c r="D9741" s="13" t="n">
        <f aca="false">IF(B9741&lt;5,Einstellungen!$B$3,Einstellungen!$B$4)</f>
        <v>29.13</v>
      </c>
      <c r="E9741" s="14" t="str">
        <f aca="false">IF(C9741="","",C9741*D9741/100)</f>
        <v/>
      </c>
      <c r="F9741" s="15" t="str">
        <f aca="false">IF(B9741&lt;5,"Go","Standard")</f>
        <v>Standard</v>
      </c>
    </row>
    <row r="9742" customFormat="false" ht="15" hidden="false" customHeight="true" outlineLevel="0" collapsed="false">
      <c r="A9742" s="10" t="n">
        <f aca="false">Einstellungen!$B$5+INT((ROW()-9)/24)</f>
        <v>46371</v>
      </c>
      <c r="B9742" s="11" t="n">
        <f aca="false">MOD(ROW()-9,24)</f>
        <v>13</v>
      </c>
      <c r="C9742" s="12"/>
      <c r="D9742" s="13" t="n">
        <f aca="false">IF(B9742&lt;5,Einstellungen!$B$3,Einstellungen!$B$4)</f>
        <v>29.13</v>
      </c>
      <c r="E9742" s="14" t="str">
        <f aca="false">IF(C9742="","",C9742*D9742/100)</f>
        <v/>
      </c>
      <c r="F9742" s="15" t="str">
        <f aca="false">IF(B9742&lt;5,"Go","Standard")</f>
        <v>Standard</v>
      </c>
    </row>
    <row r="9743" customFormat="false" ht="15" hidden="false" customHeight="true" outlineLevel="0" collapsed="false">
      <c r="A9743" s="10" t="n">
        <f aca="false">Einstellungen!$B$5+INT((ROW()-9)/24)</f>
        <v>46371</v>
      </c>
      <c r="B9743" s="11" t="n">
        <f aca="false">MOD(ROW()-9,24)</f>
        <v>14</v>
      </c>
      <c r="C9743" s="12"/>
      <c r="D9743" s="13" t="n">
        <f aca="false">IF(B9743&lt;5,Einstellungen!$B$3,Einstellungen!$B$4)</f>
        <v>29.13</v>
      </c>
      <c r="E9743" s="14" t="str">
        <f aca="false">IF(C9743="","",C9743*D9743/100)</f>
        <v/>
      </c>
      <c r="F9743" s="15" t="str">
        <f aca="false">IF(B9743&lt;5,"Go","Standard")</f>
        <v>Standard</v>
      </c>
    </row>
    <row r="9744" customFormat="false" ht="15" hidden="false" customHeight="true" outlineLevel="0" collapsed="false">
      <c r="A9744" s="10" t="n">
        <f aca="false">Einstellungen!$B$5+INT((ROW()-9)/24)</f>
        <v>46371</v>
      </c>
      <c r="B9744" s="11" t="n">
        <f aca="false">MOD(ROW()-9,24)</f>
        <v>15</v>
      </c>
      <c r="C9744" s="12"/>
      <c r="D9744" s="13" t="n">
        <f aca="false">IF(B9744&lt;5,Einstellungen!$B$3,Einstellungen!$B$4)</f>
        <v>29.13</v>
      </c>
      <c r="E9744" s="14" t="str">
        <f aca="false">IF(C9744="","",C9744*D9744/100)</f>
        <v/>
      </c>
      <c r="F9744" s="15" t="str">
        <f aca="false">IF(B9744&lt;5,"Go","Standard")</f>
        <v>Standard</v>
      </c>
    </row>
    <row r="9745" customFormat="false" ht="15" hidden="false" customHeight="true" outlineLevel="0" collapsed="false">
      <c r="A9745" s="10" t="n">
        <f aca="false">Einstellungen!$B$5+INT((ROW()-9)/24)</f>
        <v>46371</v>
      </c>
      <c r="B9745" s="11" t="n">
        <f aca="false">MOD(ROW()-9,24)</f>
        <v>16</v>
      </c>
      <c r="C9745" s="12"/>
      <c r="D9745" s="13" t="n">
        <f aca="false">IF(B9745&lt;5,Einstellungen!$B$3,Einstellungen!$B$4)</f>
        <v>29.13</v>
      </c>
      <c r="E9745" s="14" t="str">
        <f aca="false">IF(C9745="","",C9745*D9745/100)</f>
        <v/>
      </c>
      <c r="F9745" s="15" t="str">
        <f aca="false">IF(B9745&lt;5,"Go","Standard")</f>
        <v>Standard</v>
      </c>
    </row>
    <row r="9746" customFormat="false" ht="15" hidden="false" customHeight="true" outlineLevel="0" collapsed="false">
      <c r="A9746" s="10" t="n">
        <f aca="false">Einstellungen!$B$5+INT((ROW()-9)/24)</f>
        <v>46371</v>
      </c>
      <c r="B9746" s="11" t="n">
        <f aca="false">MOD(ROW()-9,24)</f>
        <v>17</v>
      </c>
      <c r="C9746" s="12"/>
      <c r="D9746" s="13" t="n">
        <f aca="false">IF(B9746&lt;5,Einstellungen!$B$3,Einstellungen!$B$4)</f>
        <v>29.13</v>
      </c>
      <c r="E9746" s="14" t="str">
        <f aca="false">IF(C9746="","",C9746*D9746/100)</f>
        <v/>
      </c>
      <c r="F9746" s="15" t="str">
        <f aca="false">IF(B9746&lt;5,"Go","Standard")</f>
        <v>Standard</v>
      </c>
    </row>
    <row r="9747" customFormat="false" ht="15" hidden="false" customHeight="true" outlineLevel="0" collapsed="false">
      <c r="A9747" s="10" t="n">
        <f aca="false">Einstellungen!$B$5+INT((ROW()-9)/24)</f>
        <v>46371</v>
      </c>
      <c r="B9747" s="11" t="n">
        <f aca="false">MOD(ROW()-9,24)</f>
        <v>18</v>
      </c>
      <c r="C9747" s="12"/>
      <c r="D9747" s="13" t="n">
        <f aca="false">IF(B9747&lt;5,Einstellungen!$B$3,Einstellungen!$B$4)</f>
        <v>29.13</v>
      </c>
      <c r="E9747" s="14" t="str">
        <f aca="false">IF(C9747="","",C9747*D9747/100)</f>
        <v/>
      </c>
      <c r="F9747" s="15" t="str">
        <f aca="false">IF(B9747&lt;5,"Go","Standard")</f>
        <v>Standard</v>
      </c>
    </row>
    <row r="9748" customFormat="false" ht="15" hidden="false" customHeight="true" outlineLevel="0" collapsed="false">
      <c r="A9748" s="10" t="n">
        <f aca="false">Einstellungen!$B$5+INT((ROW()-9)/24)</f>
        <v>46371</v>
      </c>
      <c r="B9748" s="11" t="n">
        <f aca="false">MOD(ROW()-9,24)</f>
        <v>19</v>
      </c>
      <c r="C9748" s="12"/>
      <c r="D9748" s="13" t="n">
        <f aca="false">IF(B9748&lt;5,Einstellungen!$B$3,Einstellungen!$B$4)</f>
        <v>29.13</v>
      </c>
      <c r="E9748" s="14" t="str">
        <f aca="false">IF(C9748="","",C9748*D9748/100)</f>
        <v/>
      </c>
      <c r="F9748" s="15" t="str">
        <f aca="false">IF(B9748&lt;5,"Go","Standard")</f>
        <v>Standard</v>
      </c>
    </row>
    <row r="9749" customFormat="false" ht="15" hidden="false" customHeight="true" outlineLevel="0" collapsed="false">
      <c r="A9749" s="10" t="n">
        <f aca="false">Einstellungen!$B$5+INT((ROW()-9)/24)</f>
        <v>46371</v>
      </c>
      <c r="B9749" s="11" t="n">
        <f aca="false">MOD(ROW()-9,24)</f>
        <v>20</v>
      </c>
      <c r="C9749" s="12"/>
      <c r="D9749" s="13" t="n">
        <f aca="false">IF(B9749&lt;5,Einstellungen!$B$3,Einstellungen!$B$4)</f>
        <v>29.13</v>
      </c>
      <c r="E9749" s="14" t="str">
        <f aca="false">IF(C9749="","",C9749*D9749/100)</f>
        <v/>
      </c>
      <c r="F9749" s="15" t="str">
        <f aca="false">IF(B9749&lt;5,"Go","Standard")</f>
        <v>Standard</v>
      </c>
    </row>
    <row r="9750" customFormat="false" ht="15" hidden="false" customHeight="true" outlineLevel="0" collapsed="false">
      <c r="A9750" s="10" t="n">
        <f aca="false">Einstellungen!$B$5+INT((ROW()-9)/24)</f>
        <v>46371</v>
      </c>
      <c r="B9750" s="11" t="n">
        <f aca="false">MOD(ROW()-9,24)</f>
        <v>21</v>
      </c>
      <c r="C9750" s="12"/>
      <c r="D9750" s="13" t="n">
        <f aca="false">IF(B9750&lt;5,Einstellungen!$B$3,Einstellungen!$B$4)</f>
        <v>29.13</v>
      </c>
      <c r="E9750" s="14" t="str">
        <f aca="false">IF(C9750="","",C9750*D9750/100)</f>
        <v/>
      </c>
      <c r="F9750" s="15" t="str">
        <f aca="false">IF(B9750&lt;5,"Go","Standard")</f>
        <v>Standard</v>
      </c>
    </row>
    <row r="9751" customFormat="false" ht="15" hidden="false" customHeight="true" outlineLevel="0" collapsed="false">
      <c r="A9751" s="10" t="n">
        <f aca="false">Einstellungen!$B$5+INT((ROW()-9)/24)</f>
        <v>46371</v>
      </c>
      <c r="B9751" s="11" t="n">
        <f aca="false">MOD(ROW()-9,24)</f>
        <v>22</v>
      </c>
      <c r="C9751" s="12"/>
      <c r="D9751" s="13" t="n">
        <f aca="false">IF(B9751&lt;5,Einstellungen!$B$3,Einstellungen!$B$4)</f>
        <v>29.13</v>
      </c>
      <c r="E9751" s="14" t="str">
        <f aca="false">IF(C9751="","",C9751*D9751/100)</f>
        <v/>
      </c>
      <c r="F9751" s="15" t="str">
        <f aca="false">IF(B9751&lt;5,"Go","Standard")</f>
        <v>Standard</v>
      </c>
    </row>
    <row r="9752" customFormat="false" ht="15" hidden="false" customHeight="true" outlineLevel="0" collapsed="false">
      <c r="A9752" s="10" t="n">
        <f aca="false">Einstellungen!$B$5+INT((ROW()-9)/24)</f>
        <v>46371</v>
      </c>
      <c r="B9752" s="11" t="n">
        <f aca="false">MOD(ROW()-9,24)</f>
        <v>23</v>
      </c>
      <c r="C9752" s="12"/>
      <c r="D9752" s="13" t="n">
        <f aca="false">IF(B9752&lt;5,Einstellungen!$B$3,Einstellungen!$B$4)</f>
        <v>29.13</v>
      </c>
      <c r="E9752" s="14" t="str">
        <f aca="false">IF(C9752="","",C9752*D9752/100)</f>
        <v/>
      </c>
      <c r="F9752" s="15" t="str">
        <f aca="false">IF(B9752&lt;5,"Go","Standard")</f>
        <v>Standard</v>
      </c>
    </row>
    <row r="9753" customFormat="false" ht="15" hidden="false" customHeight="true" outlineLevel="0" collapsed="false">
      <c r="A9753" s="10" t="n">
        <f aca="false">Einstellungen!$B$5+INT((ROW()-9)/24)</f>
        <v>46372</v>
      </c>
      <c r="B9753" s="11" t="n">
        <f aca="false">MOD(ROW()-9,24)</f>
        <v>0</v>
      </c>
      <c r="C9753" s="12"/>
      <c r="D9753" s="13" t="n">
        <f aca="false">IF(B9753&lt;5,Einstellungen!$B$3,Einstellungen!$B$4)</f>
        <v>15.92</v>
      </c>
      <c r="E9753" s="14" t="str">
        <f aca="false">IF(C9753="","",C9753*D9753/100)</f>
        <v/>
      </c>
      <c r="F9753" s="15" t="str">
        <f aca="false">IF(B9753&lt;5,"Go","Standard")</f>
        <v>Go</v>
      </c>
    </row>
    <row r="9754" customFormat="false" ht="15" hidden="false" customHeight="true" outlineLevel="0" collapsed="false">
      <c r="A9754" s="10" t="n">
        <f aca="false">Einstellungen!$B$5+INT((ROW()-9)/24)</f>
        <v>46372</v>
      </c>
      <c r="B9754" s="11" t="n">
        <f aca="false">MOD(ROW()-9,24)</f>
        <v>1</v>
      </c>
      <c r="C9754" s="12"/>
      <c r="D9754" s="13" t="n">
        <f aca="false">IF(B9754&lt;5,Einstellungen!$B$3,Einstellungen!$B$4)</f>
        <v>15.92</v>
      </c>
      <c r="E9754" s="14" t="str">
        <f aca="false">IF(C9754="","",C9754*D9754/100)</f>
        <v/>
      </c>
      <c r="F9754" s="15" t="str">
        <f aca="false">IF(B9754&lt;5,"Go","Standard")</f>
        <v>Go</v>
      </c>
    </row>
    <row r="9755" customFormat="false" ht="15" hidden="false" customHeight="true" outlineLevel="0" collapsed="false">
      <c r="A9755" s="10" t="n">
        <f aca="false">Einstellungen!$B$5+INT((ROW()-9)/24)</f>
        <v>46372</v>
      </c>
      <c r="B9755" s="11" t="n">
        <f aca="false">MOD(ROW()-9,24)</f>
        <v>2</v>
      </c>
      <c r="C9755" s="12"/>
      <c r="D9755" s="13" t="n">
        <f aca="false">IF(B9755&lt;5,Einstellungen!$B$3,Einstellungen!$B$4)</f>
        <v>15.92</v>
      </c>
      <c r="E9755" s="14" t="str">
        <f aca="false">IF(C9755="","",C9755*D9755/100)</f>
        <v/>
      </c>
      <c r="F9755" s="15" t="str">
        <f aca="false">IF(B9755&lt;5,"Go","Standard")</f>
        <v>Go</v>
      </c>
    </row>
    <row r="9756" customFormat="false" ht="15" hidden="false" customHeight="true" outlineLevel="0" collapsed="false">
      <c r="A9756" s="10" t="n">
        <f aca="false">Einstellungen!$B$5+INT((ROW()-9)/24)</f>
        <v>46372</v>
      </c>
      <c r="B9756" s="11" t="n">
        <f aca="false">MOD(ROW()-9,24)</f>
        <v>3</v>
      </c>
      <c r="C9756" s="12"/>
      <c r="D9756" s="13" t="n">
        <f aca="false">IF(B9756&lt;5,Einstellungen!$B$3,Einstellungen!$B$4)</f>
        <v>15.92</v>
      </c>
      <c r="E9756" s="14" t="str">
        <f aca="false">IF(C9756="","",C9756*D9756/100)</f>
        <v/>
      </c>
      <c r="F9756" s="15" t="str">
        <f aca="false">IF(B9756&lt;5,"Go","Standard")</f>
        <v>Go</v>
      </c>
    </row>
    <row r="9757" customFormat="false" ht="15" hidden="false" customHeight="true" outlineLevel="0" collapsed="false">
      <c r="A9757" s="10" t="n">
        <f aca="false">Einstellungen!$B$5+INT((ROW()-9)/24)</f>
        <v>46372</v>
      </c>
      <c r="B9757" s="11" t="n">
        <f aca="false">MOD(ROW()-9,24)</f>
        <v>4</v>
      </c>
      <c r="C9757" s="12"/>
      <c r="D9757" s="13" t="n">
        <f aca="false">IF(B9757&lt;5,Einstellungen!$B$3,Einstellungen!$B$4)</f>
        <v>15.92</v>
      </c>
      <c r="E9757" s="14" t="str">
        <f aca="false">IF(C9757="","",C9757*D9757/100)</f>
        <v/>
      </c>
      <c r="F9757" s="15" t="str">
        <f aca="false">IF(B9757&lt;5,"Go","Standard")</f>
        <v>Go</v>
      </c>
    </row>
    <row r="9758" customFormat="false" ht="15" hidden="false" customHeight="true" outlineLevel="0" collapsed="false">
      <c r="A9758" s="10" t="n">
        <f aca="false">Einstellungen!$B$5+INT((ROW()-9)/24)</f>
        <v>46372</v>
      </c>
      <c r="B9758" s="11" t="n">
        <f aca="false">MOD(ROW()-9,24)</f>
        <v>5</v>
      </c>
      <c r="C9758" s="12"/>
      <c r="D9758" s="13" t="n">
        <f aca="false">IF(B9758&lt;5,Einstellungen!$B$3,Einstellungen!$B$4)</f>
        <v>29.13</v>
      </c>
      <c r="E9758" s="14" t="str">
        <f aca="false">IF(C9758="","",C9758*D9758/100)</f>
        <v/>
      </c>
      <c r="F9758" s="15" t="str">
        <f aca="false">IF(B9758&lt;5,"Go","Standard")</f>
        <v>Standard</v>
      </c>
    </row>
    <row r="9759" customFormat="false" ht="15" hidden="false" customHeight="true" outlineLevel="0" collapsed="false">
      <c r="A9759" s="10" t="n">
        <f aca="false">Einstellungen!$B$5+INT((ROW()-9)/24)</f>
        <v>46372</v>
      </c>
      <c r="B9759" s="11" t="n">
        <f aca="false">MOD(ROW()-9,24)</f>
        <v>6</v>
      </c>
      <c r="C9759" s="12"/>
      <c r="D9759" s="13" t="n">
        <f aca="false">IF(B9759&lt;5,Einstellungen!$B$3,Einstellungen!$B$4)</f>
        <v>29.13</v>
      </c>
      <c r="E9759" s="14" t="str">
        <f aca="false">IF(C9759="","",C9759*D9759/100)</f>
        <v/>
      </c>
      <c r="F9759" s="15" t="str">
        <f aca="false">IF(B9759&lt;5,"Go","Standard")</f>
        <v>Standard</v>
      </c>
    </row>
    <row r="9760" customFormat="false" ht="15" hidden="false" customHeight="true" outlineLevel="0" collapsed="false">
      <c r="A9760" s="10" t="n">
        <f aca="false">Einstellungen!$B$5+INT((ROW()-9)/24)</f>
        <v>46372</v>
      </c>
      <c r="B9760" s="11" t="n">
        <f aca="false">MOD(ROW()-9,24)</f>
        <v>7</v>
      </c>
      <c r="C9760" s="12"/>
      <c r="D9760" s="13" t="n">
        <f aca="false">IF(B9760&lt;5,Einstellungen!$B$3,Einstellungen!$B$4)</f>
        <v>29.13</v>
      </c>
      <c r="E9760" s="14" t="str">
        <f aca="false">IF(C9760="","",C9760*D9760/100)</f>
        <v/>
      </c>
      <c r="F9760" s="15" t="str">
        <f aca="false">IF(B9760&lt;5,"Go","Standard")</f>
        <v>Standard</v>
      </c>
    </row>
    <row r="9761" customFormat="false" ht="15" hidden="false" customHeight="true" outlineLevel="0" collapsed="false">
      <c r="A9761" s="10" t="n">
        <f aca="false">Einstellungen!$B$5+INT((ROW()-9)/24)</f>
        <v>46372</v>
      </c>
      <c r="B9761" s="11" t="n">
        <f aca="false">MOD(ROW()-9,24)</f>
        <v>8</v>
      </c>
      <c r="C9761" s="12"/>
      <c r="D9761" s="13" t="n">
        <f aca="false">IF(B9761&lt;5,Einstellungen!$B$3,Einstellungen!$B$4)</f>
        <v>29.13</v>
      </c>
      <c r="E9761" s="14" t="str">
        <f aca="false">IF(C9761="","",C9761*D9761/100)</f>
        <v/>
      </c>
      <c r="F9761" s="15" t="str">
        <f aca="false">IF(B9761&lt;5,"Go","Standard")</f>
        <v>Standard</v>
      </c>
    </row>
    <row r="9762" customFormat="false" ht="15" hidden="false" customHeight="true" outlineLevel="0" collapsed="false">
      <c r="A9762" s="10" t="n">
        <f aca="false">Einstellungen!$B$5+INT((ROW()-9)/24)</f>
        <v>46372</v>
      </c>
      <c r="B9762" s="11" t="n">
        <f aca="false">MOD(ROW()-9,24)</f>
        <v>9</v>
      </c>
      <c r="C9762" s="12"/>
      <c r="D9762" s="13" t="n">
        <f aca="false">IF(B9762&lt;5,Einstellungen!$B$3,Einstellungen!$B$4)</f>
        <v>29.13</v>
      </c>
      <c r="E9762" s="14" t="str">
        <f aca="false">IF(C9762="","",C9762*D9762/100)</f>
        <v/>
      </c>
      <c r="F9762" s="15" t="str">
        <f aca="false">IF(B9762&lt;5,"Go","Standard")</f>
        <v>Standard</v>
      </c>
    </row>
    <row r="9763" customFormat="false" ht="15" hidden="false" customHeight="true" outlineLevel="0" collapsed="false">
      <c r="A9763" s="10" t="n">
        <f aca="false">Einstellungen!$B$5+INT((ROW()-9)/24)</f>
        <v>46372</v>
      </c>
      <c r="B9763" s="11" t="n">
        <f aca="false">MOD(ROW()-9,24)</f>
        <v>10</v>
      </c>
      <c r="C9763" s="12"/>
      <c r="D9763" s="13" t="n">
        <f aca="false">IF(B9763&lt;5,Einstellungen!$B$3,Einstellungen!$B$4)</f>
        <v>29.13</v>
      </c>
      <c r="E9763" s="14" t="str">
        <f aca="false">IF(C9763="","",C9763*D9763/100)</f>
        <v/>
      </c>
      <c r="F9763" s="15" t="str">
        <f aca="false">IF(B9763&lt;5,"Go","Standard")</f>
        <v>Standard</v>
      </c>
    </row>
    <row r="9764" customFormat="false" ht="15" hidden="false" customHeight="true" outlineLevel="0" collapsed="false">
      <c r="A9764" s="10" t="n">
        <f aca="false">Einstellungen!$B$5+INT((ROW()-9)/24)</f>
        <v>46372</v>
      </c>
      <c r="B9764" s="11" t="n">
        <f aca="false">MOD(ROW()-9,24)</f>
        <v>11</v>
      </c>
      <c r="C9764" s="12"/>
      <c r="D9764" s="13" t="n">
        <f aca="false">IF(B9764&lt;5,Einstellungen!$B$3,Einstellungen!$B$4)</f>
        <v>29.13</v>
      </c>
      <c r="E9764" s="14" t="str">
        <f aca="false">IF(C9764="","",C9764*D9764/100)</f>
        <v/>
      </c>
      <c r="F9764" s="15" t="str">
        <f aca="false">IF(B9764&lt;5,"Go","Standard")</f>
        <v>Standard</v>
      </c>
    </row>
    <row r="9765" customFormat="false" ht="15" hidden="false" customHeight="true" outlineLevel="0" collapsed="false">
      <c r="A9765" s="10" t="n">
        <f aca="false">Einstellungen!$B$5+INT((ROW()-9)/24)</f>
        <v>46372</v>
      </c>
      <c r="B9765" s="11" t="n">
        <f aca="false">MOD(ROW()-9,24)</f>
        <v>12</v>
      </c>
      <c r="C9765" s="12"/>
      <c r="D9765" s="13" t="n">
        <f aca="false">IF(B9765&lt;5,Einstellungen!$B$3,Einstellungen!$B$4)</f>
        <v>29.13</v>
      </c>
      <c r="E9765" s="14" t="str">
        <f aca="false">IF(C9765="","",C9765*D9765/100)</f>
        <v/>
      </c>
      <c r="F9765" s="15" t="str">
        <f aca="false">IF(B9765&lt;5,"Go","Standard")</f>
        <v>Standard</v>
      </c>
    </row>
    <row r="9766" customFormat="false" ht="15" hidden="false" customHeight="true" outlineLevel="0" collapsed="false">
      <c r="A9766" s="10" t="n">
        <f aca="false">Einstellungen!$B$5+INT((ROW()-9)/24)</f>
        <v>46372</v>
      </c>
      <c r="B9766" s="11" t="n">
        <f aca="false">MOD(ROW()-9,24)</f>
        <v>13</v>
      </c>
      <c r="C9766" s="12"/>
      <c r="D9766" s="13" t="n">
        <f aca="false">IF(B9766&lt;5,Einstellungen!$B$3,Einstellungen!$B$4)</f>
        <v>29.13</v>
      </c>
      <c r="E9766" s="14" t="str">
        <f aca="false">IF(C9766="","",C9766*D9766/100)</f>
        <v/>
      </c>
      <c r="F9766" s="15" t="str">
        <f aca="false">IF(B9766&lt;5,"Go","Standard")</f>
        <v>Standard</v>
      </c>
    </row>
    <row r="9767" customFormat="false" ht="15" hidden="false" customHeight="true" outlineLevel="0" collapsed="false">
      <c r="A9767" s="10" t="n">
        <f aca="false">Einstellungen!$B$5+INT((ROW()-9)/24)</f>
        <v>46372</v>
      </c>
      <c r="B9767" s="11" t="n">
        <f aca="false">MOD(ROW()-9,24)</f>
        <v>14</v>
      </c>
      <c r="C9767" s="12"/>
      <c r="D9767" s="13" t="n">
        <f aca="false">IF(B9767&lt;5,Einstellungen!$B$3,Einstellungen!$B$4)</f>
        <v>29.13</v>
      </c>
      <c r="E9767" s="14" t="str">
        <f aca="false">IF(C9767="","",C9767*D9767/100)</f>
        <v/>
      </c>
      <c r="F9767" s="15" t="str">
        <f aca="false">IF(B9767&lt;5,"Go","Standard")</f>
        <v>Standard</v>
      </c>
    </row>
    <row r="9768" customFormat="false" ht="15" hidden="false" customHeight="true" outlineLevel="0" collapsed="false">
      <c r="A9768" s="10" t="n">
        <f aca="false">Einstellungen!$B$5+INT((ROW()-9)/24)</f>
        <v>46372</v>
      </c>
      <c r="B9768" s="11" t="n">
        <f aca="false">MOD(ROW()-9,24)</f>
        <v>15</v>
      </c>
      <c r="C9768" s="12"/>
      <c r="D9768" s="13" t="n">
        <f aca="false">IF(B9768&lt;5,Einstellungen!$B$3,Einstellungen!$B$4)</f>
        <v>29.13</v>
      </c>
      <c r="E9768" s="14" t="str">
        <f aca="false">IF(C9768="","",C9768*D9768/100)</f>
        <v/>
      </c>
      <c r="F9768" s="15" t="str">
        <f aca="false">IF(B9768&lt;5,"Go","Standard")</f>
        <v>Standard</v>
      </c>
    </row>
    <row r="9769" customFormat="false" ht="15" hidden="false" customHeight="true" outlineLevel="0" collapsed="false">
      <c r="A9769" s="10" t="n">
        <f aca="false">Einstellungen!$B$5+INT((ROW()-9)/24)</f>
        <v>46372</v>
      </c>
      <c r="B9769" s="11" t="n">
        <f aca="false">MOD(ROW()-9,24)</f>
        <v>16</v>
      </c>
      <c r="C9769" s="12"/>
      <c r="D9769" s="13" t="n">
        <f aca="false">IF(B9769&lt;5,Einstellungen!$B$3,Einstellungen!$B$4)</f>
        <v>29.13</v>
      </c>
      <c r="E9769" s="14" t="str">
        <f aca="false">IF(C9769="","",C9769*D9769/100)</f>
        <v/>
      </c>
      <c r="F9769" s="15" t="str">
        <f aca="false">IF(B9769&lt;5,"Go","Standard")</f>
        <v>Standard</v>
      </c>
    </row>
    <row r="9770" customFormat="false" ht="15" hidden="false" customHeight="true" outlineLevel="0" collapsed="false">
      <c r="A9770" s="10" t="n">
        <f aca="false">Einstellungen!$B$5+INT((ROW()-9)/24)</f>
        <v>46372</v>
      </c>
      <c r="B9770" s="11" t="n">
        <f aca="false">MOD(ROW()-9,24)</f>
        <v>17</v>
      </c>
      <c r="C9770" s="12"/>
      <c r="D9770" s="13" t="n">
        <f aca="false">IF(B9770&lt;5,Einstellungen!$B$3,Einstellungen!$B$4)</f>
        <v>29.13</v>
      </c>
      <c r="E9770" s="14" t="str">
        <f aca="false">IF(C9770="","",C9770*D9770/100)</f>
        <v/>
      </c>
      <c r="F9770" s="15" t="str">
        <f aca="false">IF(B9770&lt;5,"Go","Standard")</f>
        <v>Standard</v>
      </c>
    </row>
    <row r="9771" customFormat="false" ht="15" hidden="false" customHeight="true" outlineLevel="0" collapsed="false">
      <c r="A9771" s="10" t="n">
        <f aca="false">Einstellungen!$B$5+INT((ROW()-9)/24)</f>
        <v>46372</v>
      </c>
      <c r="B9771" s="11" t="n">
        <f aca="false">MOD(ROW()-9,24)</f>
        <v>18</v>
      </c>
      <c r="C9771" s="12"/>
      <c r="D9771" s="13" t="n">
        <f aca="false">IF(B9771&lt;5,Einstellungen!$B$3,Einstellungen!$B$4)</f>
        <v>29.13</v>
      </c>
      <c r="E9771" s="14" t="str">
        <f aca="false">IF(C9771="","",C9771*D9771/100)</f>
        <v/>
      </c>
      <c r="F9771" s="15" t="str">
        <f aca="false">IF(B9771&lt;5,"Go","Standard")</f>
        <v>Standard</v>
      </c>
    </row>
    <row r="9772" customFormat="false" ht="15" hidden="false" customHeight="true" outlineLevel="0" collapsed="false">
      <c r="A9772" s="10" t="n">
        <f aca="false">Einstellungen!$B$5+INT((ROW()-9)/24)</f>
        <v>46372</v>
      </c>
      <c r="B9772" s="11" t="n">
        <f aca="false">MOD(ROW()-9,24)</f>
        <v>19</v>
      </c>
      <c r="C9772" s="12"/>
      <c r="D9772" s="13" t="n">
        <f aca="false">IF(B9772&lt;5,Einstellungen!$B$3,Einstellungen!$B$4)</f>
        <v>29.13</v>
      </c>
      <c r="E9772" s="14" t="str">
        <f aca="false">IF(C9772="","",C9772*D9772/100)</f>
        <v/>
      </c>
      <c r="F9772" s="15" t="str">
        <f aca="false">IF(B9772&lt;5,"Go","Standard")</f>
        <v>Standard</v>
      </c>
    </row>
    <row r="9773" customFormat="false" ht="15" hidden="false" customHeight="true" outlineLevel="0" collapsed="false">
      <c r="A9773" s="10" t="n">
        <f aca="false">Einstellungen!$B$5+INT((ROW()-9)/24)</f>
        <v>46372</v>
      </c>
      <c r="B9773" s="11" t="n">
        <f aca="false">MOD(ROW()-9,24)</f>
        <v>20</v>
      </c>
      <c r="C9773" s="12"/>
      <c r="D9773" s="13" t="n">
        <f aca="false">IF(B9773&lt;5,Einstellungen!$B$3,Einstellungen!$B$4)</f>
        <v>29.13</v>
      </c>
      <c r="E9773" s="14" t="str">
        <f aca="false">IF(C9773="","",C9773*D9773/100)</f>
        <v/>
      </c>
      <c r="F9773" s="15" t="str">
        <f aca="false">IF(B9773&lt;5,"Go","Standard")</f>
        <v>Standard</v>
      </c>
    </row>
    <row r="9774" customFormat="false" ht="15" hidden="false" customHeight="true" outlineLevel="0" collapsed="false">
      <c r="A9774" s="10" t="n">
        <f aca="false">Einstellungen!$B$5+INT((ROW()-9)/24)</f>
        <v>46372</v>
      </c>
      <c r="B9774" s="11" t="n">
        <f aca="false">MOD(ROW()-9,24)</f>
        <v>21</v>
      </c>
      <c r="C9774" s="12"/>
      <c r="D9774" s="13" t="n">
        <f aca="false">IF(B9774&lt;5,Einstellungen!$B$3,Einstellungen!$B$4)</f>
        <v>29.13</v>
      </c>
      <c r="E9774" s="14" t="str">
        <f aca="false">IF(C9774="","",C9774*D9774/100)</f>
        <v/>
      </c>
      <c r="F9774" s="15" t="str">
        <f aca="false">IF(B9774&lt;5,"Go","Standard")</f>
        <v>Standard</v>
      </c>
    </row>
    <row r="9775" customFormat="false" ht="15" hidden="false" customHeight="true" outlineLevel="0" collapsed="false">
      <c r="A9775" s="10" t="n">
        <f aca="false">Einstellungen!$B$5+INT((ROW()-9)/24)</f>
        <v>46372</v>
      </c>
      <c r="B9775" s="11" t="n">
        <f aca="false">MOD(ROW()-9,24)</f>
        <v>22</v>
      </c>
      <c r="C9775" s="12"/>
      <c r="D9775" s="13" t="n">
        <f aca="false">IF(B9775&lt;5,Einstellungen!$B$3,Einstellungen!$B$4)</f>
        <v>29.13</v>
      </c>
      <c r="E9775" s="14" t="str">
        <f aca="false">IF(C9775="","",C9775*D9775/100)</f>
        <v/>
      </c>
      <c r="F9775" s="15" t="str">
        <f aca="false">IF(B9775&lt;5,"Go","Standard")</f>
        <v>Standard</v>
      </c>
    </row>
    <row r="9776" customFormat="false" ht="15" hidden="false" customHeight="true" outlineLevel="0" collapsed="false">
      <c r="A9776" s="10" t="n">
        <f aca="false">Einstellungen!$B$5+INT((ROW()-9)/24)</f>
        <v>46372</v>
      </c>
      <c r="B9776" s="11" t="n">
        <f aca="false">MOD(ROW()-9,24)</f>
        <v>23</v>
      </c>
      <c r="C9776" s="12"/>
      <c r="D9776" s="13" t="n">
        <f aca="false">IF(B9776&lt;5,Einstellungen!$B$3,Einstellungen!$B$4)</f>
        <v>29.13</v>
      </c>
      <c r="E9776" s="14" t="str">
        <f aca="false">IF(C9776="","",C9776*D9776/100)</f>
        <v/>
      </c>
      <c r="F9776" s="15" t="str">
        <f aca="false">IF(B9776&lt;5,"Go","Standard")</f>
        <v>Standard</v>
      </c>
    </row>
    <row r="9777" customFormat="false" ht="15" hidden="false" customHeight="true" outlineLevel="0" collapsed="false">
      <c r="A9777" s="10" t="n">
        <f aca="false">Einstellungen!$B$5+INT((ROW()-9)/24)</f>
        <v>46373</v>
      </c>
      <c r="B9777" s="11" t="n">
        <f aca="false">MOD(ROW()-9,24)</f>
        <v>0</v>
      </c>
      <c r="C9777" s="12"/>
      <c r="D9777" s="13" t="n">
        <f aca="false">IF(B9777&lt;5,Einstellungen!$B$3,Einstellungen!$B$4)</f>
        <v>15.92</v>
      </c>
      <c r="E9777" s="14" t="str">
        <f aca="false">IF(C9777="","",C9777*D9777/100)</f>
        <v/>
      </c>
      <c r="F9777" s="15" t="str">
        <f aca="false">IF(B9777&lt;5,"Go","Standard")</f>
        <v>Go</v>
      </c>
    </row>
    <row r="9778" customFormat="false" ht="15" hidden="false" customHeight="true" outlineLevel="0" collapsed="false">
      <c r="A9778" s="10" t="n">
        <f aca="false">Einstellungen!$B$5+INT((ROW()-9)/24)</f>
        <v>46373</v>
      </c>
      <c r="B9778" s="11" t="n">
        <f aca="false">MOD(ROW()-9,24)</f>
        <v>1</v>
      </c>
      <c r="C9778" s="12"/>
      <c r="D9778" s="13" t="n">
        <f aca="false">IF(B9778&lt;5,Einstellungen!$B$3,Einstellungen!$B$4)</f>
        <v>15.92</v>
      </c>
      <c r="E9778" s="14" t="str">
        <f aca="false">IF(C9778="","",C9778*D9778/100)</f>
        <v/>
      </c>
      <c r="F9778" s="15" t="str">
        <f aca="false">IF(B9778&lt;5,"Go","Standard")</f>
        <v>Go</v>
      </c>
    </row>
    <row r="9779" customFormat="false" ht="15" hidden="false" customHeight="true" outlineLevel="0" collapsed="false">
      <c r="A9779" s="10" t="n">
        <f aca="false">Einstellungen!$B$5+INT((ROW()-9)/24)</f>
        <v>46373</v>
      </c>
      <c r="B9779" s="11" t="n">
        <f aca="false">MOD(ROW()-9,24)</f>
        <v>2</v>
      </c>
      <c r="C9779" s="12"/>
      <c r="D9779" s="13" t="n">
        <f aca="false">IF(B9779&lt;5,Einstellungen!$B$3,Einstellungen!$B$4)</f>
        <v>15.92</v>
      </c>
      <c r="E9779" s="14" t="str">
        <f aca="false">IF(C9779="","",C9779*D9779/100)</f>
        <v/>
      </c>
      <c r="F9779" s="15" t="str">
        <f aca="false">IF(B9779&lt;5,"Go","Standard")</f>
        <v>Go</v>
      </c>
    </row>
    <row r="9780" customFormat="false" ht="15" hidden="false" customHeight="true" outlineLevel="0" collapsed="false">
      <c r="A9780" s="10" t="n">
        <f aca="false">Einstellungen!$B$5+INT((ROW()-9)/24)</f>
        <v>46373</v>
      </c>
      <c r="B9780" s="11" t="n">
        <f aca="false">MOD(ROW()-9,24)</f>
        <v>3</v>
      </c>
      <c r="C9780" s="12"/>
      <c r="D9780" s="13" t="n">
        <f aca="false">IF(B9780&lt;5,Einstellungen!$B$3,Einstellungen!$B$4)</f>
        <v>15.92</v>
      </c>
      <c r="E9780" s="14" t="str">
        <f aca="false">IF(C9780="","",C9780*D9780/100)</f>
        <v/>
      </c>
      <c r="F9780" s="15" t="str">
        <f aca="false">IF(B9780&lt;5,"Go","Standard")</f>
        <v>Go</v>
      </c>
    </row>
    <row r="9781" customFormat="false" ht="15" hidden="false" customHeight="true" outlineLevel="0" collapsed="false">
      <c r="A9781" s="10" t="n">
        <f aca="false">Einstellungen!$B$5+INT((ROW()-9)/24)</f>
        <v>46373</v>
      </c>
      <c r="B9781" s="11" t="n">
        <f aca="false">MOD(ROW()-9,24)</f>
        <v>4</v>
      </c>
      <c r="C9781" s="12"/>
      <c r="D9781" s="13" t="n">
        <f aca="false">IF(B9781&lt;5,Einstellungen!$B$3,Einstellungen!$B$4)</f>
        <v>15.92</v>
      </c>
      <c r="E9781" s="14" t="str">
        <f aca="false">IF(C9781="","",C9781*D9781/100)</f>
        <v/>
      </c>
      <c r="F9781" s="15" t="str">
        <f aca="false">IF(B9781&lt;5,"Go","Standard")</f>
        <v>Go</v>
      </c>
    </row>
    <row r="9782" customFormat="false" ht="15" hidden="false" customHeight="true" outlineLevel="0" collapsed="false">
      <c r="A9782" s="10" t="n">
        <f aca="false">Einstellungen!$B$5+INT((ROW()-9)/24)</f>
        <v>46373</v>
      </c>
      <c r="B9782" s="11" t="n">
        <f aca="false">MOD(ROW()-9,24)</f>
        <v>5</v>
      </c>
      <c r="C9782" s="12"/>
      <c r="D9782" s="13" t="n">
        <f aca="false">IF(B9782&lt;5,Einstellungen!$B$3,Einstellungen!$B$4)</f>
        <v>29.13</v>
      </c>
      <c r="E9782" s="14" t="str">
        <f aca="false">IF(C9782="","",C9782*D9782/100)</f>
        <v/>
      </c>
      <c r="F9782" s="15" t="str">
        <f aca="false">IF(B9782&lt;5,"Go","Standard")</f>
        <v>Standard</v>
      </c>
    </row>
    <row r="9783" customFormat="false" ht="15" hidden="false" customHeight="true" outlineLevel="0" collapsed="false">
      <c r="A9783" s="10" t="n">
        <f aca="false">Einstellungen!$B$5+INT((ROW()-9)/24)</f>
        <v>46373</v>
      </c>
      <c r="B9783" s="11" t="n">
        <f aca="false">MOD(ROW()-9,24)</f>
        <v>6</v>
      </c>
      <c r="C9783" s="12"/>
      <c r="D9783" s="13" t="n">
        <f aca="false">IF(B9783&lt;5,Einstellungen!$B$3,Einstellungen!$B$4)</f>
        <v>29.13</v>
      </c>
      <c r="E9783" s="14" t="str">
        <f aca="false">IF(C9783="","",C9783*D9783/100)</f>
        <v/>
      </c>
      <c r="F9783" s="15" t="str">
        <f aca="false">IF(B9783&lt;5,"Go","Standard")</f>
        <v>Standard</v>
      </c>
    </row>
    <row r="9784" customFormat="false" ht="15" hidden="false" customHeight="true" outlineLevel="0" collapsed="false">
      <c r="A9784" s="10" t="n">
        <f aca="false">Einstellungen!$B$5+INT((ROW()-9)/24)</f>
        <v>46373</v>
      </c>
      <c r="B9784" s="11" t="n">
        <f aca="false">MOD(ROW()-9,24)</f>
        <v>7</v>
      </c>
      <c r="C9784" s="12"/>
      <c r="D9784" s="13" t="n">
        <f aca="false">IF(B9784&lt;5,Einstellungen!$B$3,Einstellungen!$B$4)</f>
        <v>29.13</v>
      </c>
      <c r="E9784" s="14" t="str">
        <f aca="false">IF(C9784="","",C9784*D9784/100)</f>
        <v/>
      </c>
      <c r="F9784" s="15" t="str">
        <f aca="false">IF(B9784&lt;5,"Go","Standard")</f>
        <v>Standard</v>
      </c>
    </row>
    <row r="9785" customFormat="false" ht="15" hidden="false" customHeight="true" outlineLevel="0" collapsed="false">
      <c r="A9785" s="10" t="n">
        <f aca="false">Einstellungen!$B$5+INT((ROW()-9)/24)</f>
        <v>46373</v>
      </c>
      <c r="B9785" s="11" t="n">
        <f aca="false">MOD(ROW()-9,24)</f>
        <v>8</v>
      </c>
      <c r="C9785" s="12"/>
      <c r="D9785" s="13" t="n">
        <f aca="false">IF(B9785&lt;5,Einstellungen!$B$3,Einstellungen!$B$4)</f>
        <v>29.13</v>
      </c>
      <c r="E9785" s="14" t="str">
        <f aca="false">IF(C9785="","",C9785*D9785/100)</f>
        <v/>
      </c>
      <c r="F9785" s="15" t="str">
        <f aca="false">IF(B9785&lt;5,"Go","Standard")</f>
        <v>Standard</v>
      </c>
    </row>
    <row r="9786" customFormat="false" ht="15" hidden="false" customHeight="true" outlineLevel="0" collapsed="false">
      <c r="A9786" s="10" t="n">
        <f aca="false">Einstellungen!$B$5+INT((ROW()-9)/24)</f>
        <v>46373</v>
      </c>
      <c r="B9786" s="11" t="n">
        <f aca="false">MOD(ROW()-9,24)</f>
        <v>9</v>
      </c>
      <c r="C9786" s="12"/>
      <c r="D9786" s="13" t="n">
        <f aca="false">IF(B9786&lt;5,Einstellungen!$B$3,Einstellungen!$B$4)</f>
        <v>29.13</v>
      </c>
      <c r="E9786" s="14" t="str">
        <f aca="false">IF(C9786="","",C9786*D9786/100)</f>
        <v/>
      </c>
      <c r="F9786" s="15" t="str">
        <f aca="false">IF(B9786&lt;5,"Go","Standard")</f>
        <v>Standard</v>
      </c>
    </row>
    <row r="9787" customFormat="false" ht="15" hidden="false" customHeight="true" outlineLevel="0" collapsed="false">
      <c r="A9787" s="10" t="n">
        <f aca="false">Einstellungen!$B$5+INT((ROW()-9)/24)</f>
        <v>46373</v>
      </c>
      <c r="B9787" s="11" t="n">
        <f aca="false">MOD(ROW()-9,24)</f>
        <v>10</v>
      </c>
      <c r="C9787" s="12"/>
      <c r="D9787" s="13" t="n">
        <f aca="false">IF(B9787&lt;5,Einstellungen!$B$3,Einstellungen!$B$4)</f>
        <v>29.13</v>
      </c>
      <c r="E9787" s="14" t="str">
        <f aca="false">IF(C9787="","",C9787*D9787/100)</f>
        <v/>
      </c>
      <c r="F9787" s="15" t="str">
        <f aca="false">IF(B9787&lt;5,"Go","Standard")</f>
        <v>Standard</v>
      </c>
    </row>
    <row r="9788" customFormat="false" ht="15" hidden="false" customHeight="true" outlineLevel="0" collapsed="false">
      <c r="A9788" s="10" t="n">
        <f aca="false">Einstellungen!$B$5+INT((ROW()-9)/24)</f>
        <v>46373</v>
      </c>
      <c r="B9788" s="11" t="n">
        <f aca="false">MOD(ROW()-9,24)</f>
        <v>11</v>
      </c>
      <c r="C9788" s="12"/>
      <c r="D9788" s="13" t="n">
        <f aca="false">IF(B9788&lt;5,Einstellungen!$B$3,Einstellungen!$B$4)</f>
        <v>29.13</v>
      </c>
      <c r="E9788" s="14" t="str">
        <f aca="false">IF(C9788="","",C9788*D9788/100)</f>
        <v/>
      </c>
      <c r="F9788" s="15" t="str">
        <f aca="false">IF(B9788&lt;5,"Go","Standard")</f>
        <v>Standard</v>
      </c>
    </row>
    <row r="9789" customFormat="false" ht="15" hidden="false" customHeight="true" outlineLevel="0" collapsed="false">
      <c r="A9789" s="10" t="n">
        <f aca="false">Einstellungen!$B$5+INT((ROW()-9)/24)</f>
        <v>46373</v>
      </c>
      <c r="B9789" s="11" t="n">
        <f aca="false">MOD(ROW()-9,24)</f>
        <v>12</v>
      </c>
      <c r="C9789" s="12"/>
      <c r="D9789" s="13" t="n">
        <f aca="false">IF(B9789&lt;5,Einstellungen!$B$3,Einstellungen!$B$4)</f>
        <v>29.13</v>
      </c>
      <c r="E9789" s="14" t="str">
        <f aca="false">IF(C9789="","",C9789*D9789/100)</f>
        <v/>
      </c>
      <c r="F9789" s="15" t="str">
        <f aca="false">IF(B9789&lt;5,"Go","Standard")</f>
        <v>Standard</v>
      </c>
    </row>
    <row r="9790" customFormat="false" ht="15" hidden="false" customHeight="true" outlineLevel="0" collapsed="false">
      <c r="A9790" s="10" t="n">
        <f aca="false">Einstellungen!$B$5+INT((ROW()-9)/24)</f>
        <v>46373</v>
      </c>
      <c r="B9790" s="11" t="n">
        <f aca="false">MOD(ROW()-9,24)</f>
        <v>13</v>
      </c>
      <c r="C9790" s="12"/>
      <c r="D9790" s="13" t="n">
        <f aca="false">IF(B9790&lt;5,Einstellungen!$B$3,Einstellungen!$B$4)</f>
        <v>29.13</v>
      </c>
      <c r="E9790" s="14" t="str">
        <f aca="false">IF(C9790="","",C9790*D9790/100)</f>
        <v/>
      </c>
      <c r="F9790" s="15" t="str">
        <f aca="false">IF(B9790&lt;5,"Go","Standard")</f>
        <v>Standard</v>
      </c>
    </row>
    <row r="9791" customFormat="false" ht="15" hidden="false" customHeight="true" outlineLevel="0" collapsed="false">
      <c r="A9791" s="10" t="n">
        <f aca="false">Einstellungen!$B$5+INT((ROW()-9)/24)</f>
        <v>46373</v>
      </c>
      <c r="B9791" s="11" t="n">
        <f aca="false">MOD(ROW()-9,24)</f>
        <v>14</v>
      </c>
      <c r="C9791" s="12"/>
      <c r="D9791" s="13" t="n">
        <f aca="false">IF(B9791&lt;5,Einstellungen!$B$3,Einstellungen!$B$4)</f>
        <v>29.13</v>
      </c>
      <c r="E9791" s="14" t="str">
        <f aca="false">IF(C9791="","",C9791*D9791/100)</f>
        <v/>
      </c>
      <c r="F9791" s="15" t="str">
        <f aca="false">IF(B9791&lt;5,"Go","Standard")</f>
        <v>Standard</v>
      </c>
    </row>
    <row r="9792" customFormat="false" ht="15" hidden="false" customHeight="true" outlineLevel="0" collapsed="false">
      <c r="A9792" s="10" t="n">
        <f aca="false">Einstellungen!$B$5+INT((ROW()-9)/24)</f>
        <v>46373</v>
      </c>
      <c r="B9792" s="11" t="n">
        <f aca="false">MOD(ROW()-9,24)</f>
        <v>15</v>
      </c>
      <c r="C9792" s="12"/>
      <c r="D9792" s="13" t="n">
        <f aca="false">IF(B9792&lt;5,Einstellungen!$B$3,Einstellungen!$B$4)</f>
        <v>29.13</v>
      </c>
      <c r="E9792" s="14" t="str">
        <f aca="false">IF(C9792="","",C9792*D9792/100)</f>
        <v/>
      </c>
      <c r="F9792" s="15" t="str">
        <f aca="false">IF(B9792&lt;5,"Go","Standard")</f>
        <v>Standard</v>
      </c>
    </row>
    <row r="9793" customFormat="false" ht="15" hidden="false" customHeight="true" outlineLevel="0" collapsed="false">
      <c r="A9793" s="10" t="n">
        <f aca="false">Einstellungen!$B$5+INT((ROW()-9)/24)</f>
        <v>46373</v>
      </c>
      <c r="B9793" s="11" t="n">
        <f aca="false">MOD(ROW()-9,24)</f>
        <v>16</v>
      </c>
      <c r="C9793" s="12"/>
      <c r="D9793" s="13" t="n">
        <f aca="false">IF(B9793&lt;5,Einstellungen!$B$3,Einstellungen!$B$4)</f>
        <v>29.13</v>
      </c>
      <c r="E9793" s="14" t="str">
        <f aca="false">IF(C9793="","",C9793*D9793/100)</f>
        <v/>
      </c>
      <c r="F9793" s="15" t="str">
        <f aca="false">IF(B9793&lt;5,"Go","Standard")</f>
        <v>Standard</v>
      </c>
    </row>
    <row r="9794" customFormat="false" ht="15" hidden="false" customHeight="true" outlineLevel="0" collapsed="false">
      <c r="A9794" s="10" t="n">
        <f aca="false">Einstellungen!$B$5+INT((ROW()-9)/24)</f>
        <v>46373</v>
      </c>
      <c r="B9794" s="11" t="n">
        <f aca="false">MOD(ROW()-9,24)</f>
        <v>17</v>
      </c>
      <c r="C9794" s="12"/>
      <c r="D9794" s="13" t="n">
        <f aca="false">IF(B9794&lt;5,Einstellungen!$B$3,Einstellungen!$B$4)</f>
        <v>29.13</v>
      </c>
      <c r="E9794" s="14" t="str">
        <f aca="false">IF(C9794="","",C9794*D9794/100)</f>
        <v/>
      </c>
      <c r="F9794" s="15" t="str">
        <f aca="false">IF(B9794&lt;5,"Go","Standard")</f>
        <v>Standard</v>
      </c>
    </row>
    <row r="9795" customFormat="false" ht="15" hidden="false" customHeight="true" outlineLevel="0" collapsed="false">
      <c r="A9795" s="10" t="n">
        <f aca="false">Einstellungen!$B$5+INT((ROW()-9)/24)</f>
        <v>46373</v>
      </c>
      <c r="B9795" s="11" t="n">
        <f aca="false">MOD(ROW()-9,24)</f>
        <v>18</v>
      </c>
      <c r="C9795" s="12"/>
      <c r="D9795" s="13" t="n">
        <f aca="false">IF(B9795&lt;5,Einstellungen!$B$3,Einstellungen!$B$4)</f>
        <v>29.13</v>
      </c>
      <c r="E9795" s="14" t="str">
        <f aca="false">IF(C9795="","",C9795*D9795/100)</f>
        <v/>
      </c>
      <c r="F9795" s="15" t="str">
        <f aca="false">IF(B9795&lt;5,"Go","Standard")</f>
        <v>Standard</v>
      </c>
    </row>
    <row r="9796" customFormat="false" ht="15" hidden="false" customHeight="true" outlineLevel="0" collapsed="false">
      <c r="A9796" s="10" t="n">
        <f aca="false">Einstellungen!$B$5+INT((ROW()-9)/24)</f>
        <v>46373</v>
      </c>
      <c r="B9796" s="11" t="n">
        <f aca="false">MOD(ROW()-9,24)</f>
        <v>19</v>
      </c>
      <c r="C9796" s="12"/>
      <c r="D9796" s="13" t="n">
        <f aca="false">IF(B9796&lt;5,Einstellungen!$B$3,Einstellungen!$B$4)</f>
        <v>29.13</v>
      </c>
      <c r="E9796" s="14" t="str">
        <f aca="false">IF(C9796="","",C9796*D9796/100)</f>
        <v/>
      </c>
      <c r="F9796" s="15" t="str">
        <f aca="false">IF(B9796&lt;5,"Go","Standard")</f>
        <v>Standard</v>
      </c>
    </row>
    <row r="9797" customFormat="false" ht="15" hidden="false" customHeight="true" outlineLevel="0" collapsed="false">
      <c r="A9797" s="10" t="n">
        <f aca="false">Einstellungen!$B$5+INT((ROW()-9)/24)</f>
        <v>46373</v>
      </c>
      <c r="B9797" s="11" t="n">
        <f aca="false">MOD(ROW()-9,24)</f>
        <v>20</v>
      </c>
      <c r="C9797" s="12"/>
      <c r="D9797" s="13" t="n">
        <f aca="false">IF(B9797&lt;5,Einstellungen!$B$3,Einstellungen!$B$4)</f>
        <v>29.13</v>
      </c>
      <c r="E9797" s="14" t="str">
        <f aca="false">IF(C9797="","",C9797*D9797/100)</f>
        <v/>
      </c>
      <c r="F9797" s="15" t="str">
        <f aca="false">IF(B9797&lt;5,"Go","Standard")</f>
        <v>Standard</v>
      </c>
    </row>
    <row r="9798" customFormat="false" ht="15" hidden="false" customHeight="true" outlineLevel="0" collapsed="false">
      <c r="A9798" s="10" t="n">
        <f aca="false">Einstellungen!$B$5+INT((ROW()-9)/24)</f>
        <v>46373</v>
      </c>
      <c r="B9798" s="11" t="n">
        <f aca="false">MOD(ROW()-9,24)</f>
        <v>21</v>
      </c>
      <c r="C9798" s="12"/>
      <c r="D9798" s="13" t="n">
        <f aca="false">IF(B9798&lt;5,Einstellungen!$B$3,Einstellungen!$B$4)</f>
        <v>29.13</v>
      </c>
      <c r="E9798" s="14" t="str">
        <f aca="false">IF(C9798="","",C9798*D9798/100)</f>
        <v/>
      </c>
      <c r="F9798" s="15" t="str">
        <f aca="false">IF(B9798&lt;5,"Go","Standard")</f>
        <v>Standard</v>
      </c>
    </row>
    <row r="9799" customFormat="false" ht="15" hidden="false" customHeight="true" outlineLevel="0" collapsed="false">
      <c r="A9799" s="10" t="n">
        <f aca="false">Einstellungen!$B$5+INT((ROW()-9)/24)</f>
        <v>46373</v>
      </c>
      <c r="B9799" s="11" t="n">
        <f aca="false">MOD(ROW()-9,24)</f>
        <v>22</v>
      </c>
      <c r="C9799" s="12"/>
      <c r="D9799" s="13" t="n">
        <f aca="false">IF(B9799&lt;5,Einstellungen!$B$3,Einstellungen!$B$4)</f>
        <v>29.13</v>
      </c>
      <c r="E9799" s="14" t="str">
        <f aca="false">IF(C9799="","",C9799*D9799/100)</f>
        <v/>
      </c>
      <c r="F9799" s="15" t="str">
        <f aca="false">IF(B9799&lt;5,"Go","Standard")</f>
        <v>Standard</v>
      </c>
    </row>
    <row r="9800" customFormat="false" ht="15" hidden="false" customHeight="true" outlineLevel="0" collapsed="false">
      <c r="A9800" s="10" t="n">
        <f aca="false">Einstellungen!$B$5+INT((ROW()-9)/24)</f>
        <v>46373</v>
      </c>
      <c r="B9800" s="11" t="n">
        <f aca="false">MOD(ROW()-9,24)</f>
        <v>23</v>
      </c>
      <c r="C9800" s="12"/>
      <c r="D9800" s="13" t="n">
        <f aca="false">IF(B9800&lt;5,Einstellungen!$B$3,Einstellungen!$B$4)</f>
        <v>29.13</v>
      </c>
      <c r="E9800" s="14" t="str">
        <f aca="false">IF(C9800="","",C9800*D9800/100)</f>
        <v/>
      </c>
      <c r="F9800" s="15" t="str">
        <f aca="false">IF(B9800&lt;5,"Go","Standard")</f>
        <v>Standard</v>
      </c>
    </row>
    <row r="9801" customFormat="false" ht="15" hidden="false" customHeight="true" outlineLevel="0" collapsed="false">
      <c r="A9801" s="10" t="n">
        <f aca="false">Einstellungen!$B$5+INT((ROW()-9)/24)</f>
        <v>46374</v>
      </c>
      <c r="B9801" s="11" t="n">
        <f aca="false">MOD(ROW()-9,24)</f>
        <v>0</v>
      </c>
      <c r="C9801" s="12"/>
      <c r="D9801" s="13" t="n">
        <f aca="false">IF(B9801&lt;5,Einstellungen!$B$3,Einstellungen!$B$4)</f>
        <v>15.92</v>
      </c>
      <c r="E9801" s="14" t="str">
        <f aca="false">IF(C9801="","",C9801*D9801/100)</f>
        <v/>
      </c>
      <c r="F9801" s="15" t="str">
        <f aca="false">IF(B9801&lt;5,"Go","Standard")</f>
        <v>Go</v>
      </c>
    </row>
    <row r="9802" customFormat="false" ht="15" hidden="false" customHeight="true" outlineLevel="0" collapsed="false">
      <c r="A9802" s="10" t="n">
        <f aca="false">Einstellungen!$B$5+INT((ROW()-9)/24)</f>
        <v>46374</v>
      </c>
      <c r="B9802" s="11" t="n">
        <f aca="false">MOD(ROW()-9,24)</f>
        <v>1</v>
      </c>
      <c r="C9802" s="12"/>
      <c r="D9802" s="13" t="n">
        <f aca="false">IF(B9802&lt;5,Einstellungen!$B$3,Einstellungen!$B$4)</f>
        <v>15.92</v>
      </c>
      <c r="E9802" s="14" t="str">
        <f aca="false">IF(C9802="","",C9802*D9802/100)</f>
        <v/>
      </c>
      <c r="F9802" s="15" t="str">
        <f aca="false">IF(B9802&lt;5,"Go","Standard")</f>
        <v>Go</v>
      </c>
    </row>
    <row r="9803" customFormat="false" ht="15" hidden="false" customHeight="true" outlineLevel="0" collapsed="false">
      <c r="A9803" s="10" t="n">
        <f aca="false">Einstellungen!$B$5+INT((ROW()-9)/24)</f>
        <v>46374</v>
      </c>
      <c r="B9803" s="11" t="n">
        <f aca="false">MOD(ROW()-9,24)</f>
        <v>2</v>
      </c>
      <c r="C9803" s="12"/>
      <c r="D9803" s="13" t="n">
        <f aca="false">IF(B9803&lt;5,Einstellungen!$B$3,Einstellungen!$B$4)</f>
        <v>15.92</v>
      </c>
      <c r="E9803" s="14" t="str">
        <f aca="false">IF(C9803="","",C9803*D9803/100)</f>
        <v/>
      </c>
      <c r="F9803" s="15" t="str">
        <f aca="false">IF(B9803&lt;5,"Go","Standard")</f>
        <v>Go</v>
      </c>
    </row>
    <row r="9804" customFormat="false" ht="15" hidden="false" customHeight="true" outlineLevel="0" collapsed="false">
      <c r="A9804" s="10" t="n">
        <f aca="false">Einstellungen!$B$5+INT((ROW()-9)/24)</f>
        <v>46374</v>
      </c>
      <c r="B9804" s="11" t="n">
        <f aca="false">MOD(ROW()-9,24)</f>
        <v>3</v>
      </c>
      <c r="C9804" s="12"/>
      <c r="D9804" s="13" t="n">
        <f aca="false">IF(B9804&lt;5,Einstellungen!$B$3,Einstellungen!$B$4)</f>
        <v>15.92</v>
      </c>
      <c r="E9804" s="14" t="str">
        <f aca="false">IF(C9804="","",C9804*D9804/100)</f>
        <v/>
      </c>
      <c r="F9804" s="15" t="str">
        <f aca="false">IF(B9804&lt;5,"Go","Standard")</f>
        <v>Go</v>
      </c>
    </row>
    <row r="9805" customFormat="false" ht="15" hidden="false" customHeight="true" outlineLevel="0" collapsed="false">
      <c r="A9805" s="10" t="n">
        <f aca="false">Einstellungen!$B$5+INT((ROW()-9)/24)</f>
        <v>46374</v>
      </c>
      <c r="B9805" s="11" t="n">
        <f aca="false">MOD(ROW()-9,24)</f>
        <v>4</v>
      </c>
      <c r="C9805" s="12"/>
      <c r="D9805" s="13" t="n">
        <f aca="false">IF(B9805&lt;5,Einstellungen!$B$3,Einstellungen!$B$4)</f>
        <v>15.92</v>
      </c>
      <c r="E9805" s="14" t="str">
        <f aca="false">IF(C9805="","",C9805*D9805/100)</f>
        <v/>
      </c>
      <c r="F9805" s="15" t="str">
        <f aca="false">IF(B9805&lt;5,"Go","Standard")</f>
        <v>Go</v>
      </c>
    </row>
    <row r="9806" customFormat="false" ht="15" hidden="false" customHeight="true" outlineLevel="0" collapsed="false">
      <c r="A9806" s="10" t="n">
        <f aca="false">Einstellungen!$B$5+INT((ROW()-9)/24)</f>
        <v>46374</v>
      </c>
      <c r="B9806" s="11" t="n">
        <f aca="false">MOD(ROW()-9,24)</f>
        <v>5</v>
      </c>
      <c r="C9806" s="12"/>
      <c r="D9806" s="13" t="n">
        <f aca="false">IF(B9806&lt;5,Einstellungen!$B$3,Einstellungen!$B$4)</f>
        <v>29.13</v>
      </c>
      <c r="E9806" s="14" t="str">
        <f aca="false">IF(C9806="","",C9806*D9806/100)</f>
        <v/>
      </c>
      <c r="F9806" s="15" t="str">
        <f aca="false">IF(B9806&lt;5,"Go","Standard")</f>
        <v>Standard</v>
      </c>
    </row>
    <row r="9807" customFormat="false" ht="15" hidden="false" customHeight="true" outlineLevel="0" collapsed="false">
      <c r="A9807" s="10" t="n">
        <f aca="false">Einstellungen!$B$5+INT((ROW()-9)/24)</f>
        <v>46374</v>
      </c>
      <c r="B9807" s="11" t="n">
        <f aca="false">MOD(ROW()-9,24)</f>
        <v>6</v>
      </c>
      <c r="C9807" s="12"/>
      <c r="D9807" s="13" t="n">
        <f aca="false">IF(B9807&lt;5,Einstellungen!$B$3,Einstellungen!$B$4)</f>
        <v>29.13</v>
      </c>
      <c r="E9807" s="14" t="str">
        <f aca="false">IF(C9807="","",C9807*D9807/100)</f>
        <v/>
      </c>
      <c r="F9807" s="15" t="str">
        <f aca="false">IF(B9807&lt;5,"Go","Standard")</f>
        <v>Standard</v>
      </c>
    </row>
    <row r="9808" customFormat="false" ht="15" hidden="false" customHeight="true" outlineLevel="0" collapsed="false">
      <c r="A9808" s="10" t="n">
        <f aca="false">Einstellungen!$B$5+INT((ROW()-9)/24)</f>
        <v>46374</v>
      </c>
      <c r="B9808" s="11" t="n">
        <f aca="false">MOD(ROW()-9,24)</f>
        <v>7</v>
      </c>
      <c r="C9808" s="12"/>
      <c r="D9808" s="13" t="n">
        <f aca="false">IF(B9808&lt;5,Einstellungen!$B$3,Einstellungen!$B$4)</f>
        <v>29.13</v>
      </c>
      <c r="E9808" s="14" t="str">
        <f aca="false">IF(C9808="","",C9808*D9808/100)</f>
        <v/>
      </c>
      <c r="F9808" s="15" t="str">
        <f aca="false">IF(B9808&lt;5,"Go","Standard")</f>
        <v>Standard</v>
      </c>
    </row>
    <row r="9809" customFormat="false" ht="15" hidden="false" customHeight="true" outlineLevel="0" collapsed="false">
      <c r="A9809" s="10" t="n">
        <f aca="false">Einstellungen!$B$5+INT((ROW()-9)/24)</f>
        <v>46374</v>
      </c>
      <c r="B9809" s="11" t="n">
        <f aca="false">MOD(ROW()-9,24)</f>
        <v>8</v>
      </c>
      <c r="C9809" s="12"/>
      <c r="D9809" s="13" t="n">
        <f aca="false">IF(B9809&lt;5,Einstellungen!$B$3,Einstellungen!$B$4)</f>
        <v>29.13</v>
      </c>
      <c r="E9809" s="14" t="str">
        <f aca="false">IF(C9809="","",C9809*D9809/100)</f>
        <v/>
      </c>
      <c r="F9809" s="15" t="str">
        <f aca="false">IF(B9809&lt;5,"Go","Standard")</f>
        <v>Standard</v>
      </c>
    </row>
    <row r="9810" customFormat="false" ht="15" hidden="false" customHeight="true" outlineLevel="0" collapsed="false">
      <c r="A9810" s="10" t="n">
        <f aca="false">Einstellungen!$B$5+INT((ROW()-9)/24)</f>
        <v>46374</v>
      </c>
      <c r="B9810" s="11" t="n">
        <f aca="false">MOD(ROW()-9,24)</f>
        <v>9</v>
      </c>
      <c r="C9810" s="12"/>
      <c r="D9810" s="13" t="n">
        <f aca="false">IF(B9810&lt;5,Einstellungen!$B$3,Einstellungen!$B$4)</f>
        <v>29.13</v>
      </c>
      <c r="E9810" s="14" t="str">
        <f aca="false">IF(C9810="","",C9810*D9810/100)</f>
        <v/>
      </c>
      <c r="F9810" s="15" t="str">
        <f aca="false">IF(B9810&lt;5,"Go","Standard")</f>
        <v>Standard</v>
      </c>
    </row>
    <row r="9811" customFormat="false" ht="15" hidden="false" customHeight="true" outlineLevel="0" collapsed="false">
      <c r="A9811" s="10" t="n">
        <f aca="false">Einstellungen!$B$5+INT((ROW()-9)/24)</f>
        <v>46374</v>
      </c>
      <c r="B9811" s="11" t="n">
        <f aca="false">MOD(ROW()-9,24)</f>
        <v>10</v>
      </c>
      <c r="C9811" s="12"/>
      <c r="D9811" s="13" t="n">
        <f aca="false">IF(B9811&lt;5,Einstellungen!$B$3,Einstellungen!$B$4)</f>
        <v>29.13</v>
      </c>
      <c r="E9811" s="14" t="str">
        <f aca="false">IF(C9811="","",C9811*D9811/100)</f>
        <v/>
      </c>
      <c r="F9811" s="15" t="str">
        <f aca="false">IF(B9811&lt;5,"Go","Standard")</f>
        <v>Standard</v>
      </c>
    </row>
    <row r="9812" customFormat="false" ht="15" hidden="false" customHeight="true" outlineLevel="0" collapsed="false">
      <c r="A9812" s="10" t="n">
        <f aca="false">Einstellungen!$B$5+INT((ROW()-9)/24)</f>
        <v>46374</v>
      </c>
      <c r="B9812" s="11" t="n">
        <f aca="false">MOD(ROW()-9,24)</f>
        <v>11</v>
      </c>
      <c r="C9812" s="12"/>
      <c r="D9812" s="13" t="n">
        <f aca="false">IF(B9812&lt;5,Einstellungen!$B$3,Einstellungen!$B$4)</f>
        <v>29.13</v>
      </c>
      <c r="E9812" s="14" t="str">
        <f aca="false">IF(C9812="","",C9812*D9812/100)</f>
        <v/>
      </c>
      <c r="F9812" s="15" t="str">
        <f aca="false">IF(B9812&lt;5,"Go","Standard")</f>
        <v>Standard</v>
      </c>
    </row>
    <row r="9813" customFormat="false" ht="15" hidden="false" customHeight="true" outlineLevel="0" collapsed="false">
      <c r="A9813" s="10" t="n">
        <f aca="false">Einstellungen!$B$5+INT((ROW()-9)/24)</f>
        <v>46374</v>
      </c>
      <c r="B9813" s="11" t="n">
        <f aca="false">MOD(ROW()-9,24)</f>
        <v>12</v>
      </c>
      <c r="C9813" s="12"/>
      <c r="D9813" s="13" t="n">
        <f aca="false">IF(B9813&lt;5,Einstellungen!$B$3,Einstellungen!$B$4)</f>
        <v>29.13</v>
      </c>
      <c r="E9813" s="14" t="str">
        <f aca="false">IF(C9813="","",C9813*D9813/100)</f>
        <v/>
      </c>
      <c r="F9813" s="15" t="str">
        <f aca="false">IF(B9813&lt;5,"Go","Standard")</f>
        <v>Standard</v>
      </c>
    </row>
    <row r="9814" customFormat="false" ht="15" hidden="false" customHeight="true" outlineLevel="0" collapsed="false">
      <c r="A9814" s="10" t="n">
        <f aca="false">Einstellungen!$B$5+INT((ROW()-9)/24)</f>
        <v>46374</v>
      </c>
      <c r="B9814" s="11" t="n">
        <f aca="false">MOD(ROW()-9,24)</f>
        <v>13</v>
      </c>
      <c r="C9814" s="12"/>
      <c r="D9814" s="13" t="n">
        <f aca="false">IF(B9814&lt;5,Einstellungen!$B$3,Einstellungen!$B$4)</f>
        <v>29.13</v>
      </c>
      <c r="E9814" s="14" t="str">
        <f aca="false">IF(C9814="","",C9814*D9814/100)</f>
        <v/>
      </c>
      <c r="F9814" s="15" t="str">
        <f aca="false">IF(B9814&lt;5,"Go","Standard")</f>
        <v>Standard</v>
      </c>
    </row>
    <row r="9815" customFormat="false" ht="15" hidden="false" customHeight="true" outlineLevel="0" collapsed="false">
      <c r="A9815" s="10" t="n">
        <f aca="false">Einstellungen!$B$5+INT((ROW()-9)/24)</f>
        <v>46374</v>
      </c>
      <c r="B9815" s="11" t="n">
        <f aca="false">MOD(ROW()-9,24)</f>
        <v>14</v>
      </c>
      <c r="C9815" s="12"/>
      <c r="D9815" s="13" t="n">
        <f aca="false">IF(B9815&lt;5,Einstellungen!$B$3,Einstellungen!$B$4)</f>
        <v>29.13</v>
      </c>
      <c r="E9815" s="14" t="str">
        <f aca="false">IF(C9815="","",C9815*D9815/100)</f>
        <v/>
      </c>
      <c r="F9815" s="15" t="str">
        <f aca="false">IF(B9815&lt;5,"Go","Standard")</f>
        <v>Standard</v>
      </c>
    </row>
    <row r="9816" customFormat="false" ht="15" hidden="false" customHeight="true" outlineLevel="0" collapsed="false">
      <c r="A9816" s="10" t="n">
        <f aca="false">Einstellungen!$B$5+INT((ROW()-9)/24)</f>
        <v>46374</v>
      </c>
      <c r="B9816" s="11" t="n">
        <f aca="false">MOD(ROW()-9,24)</f>
        <v>15</v>
      </c>
      <c r="C9816" s="12"/>
      <c r="D9816" s="13" t="n">
        <f aca="false">IF(B9816&lt;5,Einstellungen!$B$3,Einstellungen!$B$4)</f>
        <v>29.13</v>
      </c>
      <c r="E9816" s="14" t="str">
        <f aca="false">IF(C9816="","",C9816*D9816/100)</f>
        <v/>
      </c>
      <c r="F9816" s="15" t="str">
        <f aca="false">IF(B9816&lt;5,"Go","Standard")</f>
        <v>Standard</v>
      </c>
    </row>
    <row r="9817" customFormat="false" ht="15" hidden="false" customHeight="true" outlineLevel="0" collapsed="false">
      <c r="A9817" s="10" t="n">
        <f aca="false">Einstellungen!$B$5+INT((ROW()-9)/24)</f>
        <v>46374</v>
      </c>
      <c r="B9817" s="11" t="n">
        <f aca="false">MOD(ROW()-9,24)</f>
        <v>16</v>
      </c>
      <c r="C9817" s="12"/>
      <c r="D9817" s="13" t="n">
        <f aca="false">IF(B9817&lt;5,Einstellungen!$B$3,Einstellungen!$B$4)</f>
        <v>29.13</v>
      </c>
      <c r="E9817" s="14" t="str">
        <f aca="false">IF(C9817="","",C9817*D9817/100)</f>
        <v/>
      </c>
      <c r="F9817" s="15" t="str">
        <f aca="false">IF(B9817&lt;5,"Go","Standard")</f>
        <v>Standard</v>
      </c>
    </row>
    <row r="9818" customFormat="false" ht="15" hidden="false" customHeight="true" outlineLevel="0" collapsed="false">
      <c r="A9818" s="10" t="n">
        <f aca="false">Einstellungen!$B$5+INT((ROW()-9)/24)</f>
        <v>46374</v>
      </c>
      <c r="B9818" s="11" t="n">
        <f aca="false">MOD(ROW()-9,24)</f>
        <v>17</v>
      </c>
      <c r="C9818" s="12"/>
      <c r="D9818" s="13" t="n">
        <f aca="false">IF(B9818&lt;5,Einstellungen!$B$3,Einstellungen!$B$4)</f>
        <v>29.13</v>
      </c>
      <c r="E9818" s="14" t="str">
        <f aca="false">IF(C9818="","",C9818*D9818/100)</f>
        <v/>
      </c>
      <c r="F9818" s="15" t="str">
        <f aca="false">IF(B9818&lt;5,"Go","Standard")</f>
        <v>Standard</v>
      </c>
    </row>
    <row r="9819" customFormat="false" ht="15" hidden="false" customHeight="true" outlineLevel="0" collapsed="false">
      <c r="A9819" s="10" t="n">
        <f aca="false">Einstellungen!$B$5+INT((ROW()-9)/24)</f>
        <v>46374</v>
      </c>
      <c r="B9819" s="11" t="n">
        <f aca="false">MOD(ROW()-9,24)</f>
        <v>18</v>
      </c>
      <c r="C9819" s="12"/>
      <c r="D9819" s="13" t="n">
        <f aca="false">IF(B9819&lt;5,Einstellungen!$B$3,Einstellungen!$B$4)</f>
        <v>29.13</v>
      </c>
      <c r="E9819" s="14" t="str">
        <f aca="false">IF(C9819="","",C9819*D9819/100)</f>
        <v/>
      </c>
      <c r="F9819" s="15" t="str">
        <f aca="false">IF(B9819&lt;5,"Go","Standard")</f>
        <v>Standard</v>
      </c>
    </row>
    <row r="9820" customFormat="false" ht="15" hidden="false" customHeight="true" outlineLevel="0" collapsed="false">
      <c r="A9820" s="10" t="n">
        <f aca="false">Einstellungen!$B$5+INT((ROW()-9)/24)</f>
        <v>46374</v>
      </c>
      <c r="B9820" s="11" t="n">
        <f aca="false">MOD(ROW()-9,24)</f>
        <v>19</v>
      </c>
      <c r="C9820" s="12"/>
      <c r="D9820" s="13" t="n">
        <f aca="false">IF(B9820&lt;5,Einstellungen!$B$3,Einstellungen!$B$4)</f>
        <v>29.13</v>
      </c>
      <c r="E9820" s="14" t="str">
        <f aca="false">IF(C9820="","",C9820*D9820/100)</f>
        <v/>
      </c>
      <c r="F9820" s="15" t="str">
        <f aca="false">IF(B9820&lt;5,"Go","Standard")</f>
        <v>Standard</v>
      </c>
    </row>
    <row r="9821" customFormat="false" ht="15" hidden="false" customHeight="true" outlineLevel="0" collapsed="false">
      <c r="A9821" s="10" t="n">
        <f aca="false">Einstellungen!$B$5+INT((ROW()-9)/24)</f>
        <v>46374</v>
      </c>
      <c r="B9821" s="11" t="n">
        <f aca="false">MOD(ROW()-9,24)</f>
        <v>20</v>
      </c>
      <c r="C9821" s="12"/>
      <c r="D9821" s="13" t="n">
        <f aca="false">IF(B9821&lt;5,Einstellungen!$B$3,Einstellungen!$B$4)</f>
        <v>29.13</v>
      </c>
      <c r="E9821" s="14" t="str">
        <f aca="false">IF(C9821="","",C9821*D9821/100)</f>
        <v/>
      </c>
      <c r="F9821" s="15" t="str">
        <f aca="false">IF(B9821&lt;5,"Go","Standard")</f>
        <v>Standard</v>
      </c>
    </row>
    <row r="9822" customFormat="false" ht="15" hidden="false" customHeight="true" outlineLevel="0" collapsed="false">
      <c r="A9822" s="10" t="n">
        <f aca="false">Einstellungen!$B$5+INT((ROW()-9)/24)</f>
        <v>46374</v>
      </c>
      <c r="B9822" s="11" t="n">
        <f aca="false">MOD(ROW()-9,24)</f>
        <v>21</v>
      </c>
      <c r="C9822" s="12"/>
      <c r="D9822" s="13" t="n">
        <f aca="false">IF(B9822&lt;5,Einstellungen!$B$3,Einstellungen!$B$4)</f>
        <v>29.13</v>
      </c>
      <c r="E9822" s="14" t="str">
        <f aca="false">IF(C9822="","",C9822*D9822/100)</f>
        <v/>
      </c>
      <c r="F9822" s="15" t="str">
        <f aca="false">IF(B9822&lt;5,"Go","Standard")</f>
        <v>Standard</v>
      </c>
    </row>
    <row r="9823" customFormat="false" ht="15" hidden="false" customHeight="true" outlineLevel="0" collapsed="false">
      <c r="A9823" s="10" t="n">
        <f aca="false">Einstellungen!$B$5+INT((ROW()-9)/24)</f>
        <v>46374</v>
      </c>
      <c r="B9823" s="11" t="n">
        <f aca="false">MOD(ROW()-9,24)</f>
        <v>22</v>
      </c>
      <c r="C9823" s="12"/>
      <c r="D9823" s="13" t="n">
        <f aca="false">IF(B9823&lt;5,Einstellungen!$B$3,Einstellungen!$B$4)</f>
        <v>29.13</v>
      </c>
      <c r="E9823" s="14" t="str">
        <f aca="false">IF(C9823="","",C9823*D9823/100)</f>
        <v/>
      </c>
      <c r="F9823" s="15" t="str">
        <f aca="false">IF(B9823&lt;5,"Go","Standard")</f>
        <v>Standard</v>
      </c>
    </row>
    <row r="9824" customFormat="false" ht="15" hidden="false" customHeight="true" outlineLevel="0" collapsed="false">
      <c r="A9824" s="10" t="n">
        <f aca="false">Einstellungen!$B$5+INT((ROW()-9)/24)</f>
        <v>46374</v>
      </c>
      <c r="B9824" s="11" t="n">
        <f aca="false">MOD(ROW()-9,24)</f>
        <v>23</v>
      </c>
      <c r="C9824" s="12"/>
      <c r="D9824" s="13" t="n">
        <f aca="false">IF(B9824&lt;5,Einstellungen!$B$3,Einstellungen!$B$4)</f>
        <v>29.13</v>
      </c>
      <c r="E9824" s="14" t="str">
        <f aca="false">IF(C9824="","",C9824*D9824/100)</f>
        <v/>
      </c>
      <c r="F9824" s="15" t="str">
        <f aca="false">IF(B9824&lt;5,"Go","Standard")</f>
        <v>Standard</v>
      </c>
    </row>
    <row r="9825" customFormat="false" ht="15" hidden="false" customHeight="true" outlineLevel="0" collapsed="false">
      <c r="A9825" s="10" t="n">
        <f aca="false">Einstellungen!$B$5+INT((ROW()-9)/24)</f>
        <v>46375</v>
      </c>
      <c r="B9825" s="11" t="n">
        <f aca="false">MOD(ROW()-9,24)</f>
        <v>0</v>
      </c>
      <c r="C9825" s="12"/>
      <c r="D9825" s="13" t="n">
        <f aca="false">IF(B9825&lt;5,Einstellungen!$B$3,Einstellungen!$B$4)</f>
        <v>15.92</v>
      </c>
      <c r="E9825" s="14" t="str">
        <f aca="false">IF(C9825="","",C9825*D9825/100)</f>
        <v/>
      </c>
      <c r="F9825" s="15" t="str">
        <f aca="false">IF(B9825&lt;5,"Go","Standard")</f>
        <v>Go</v>
      </c>
    </row>
    <row r="9826" customFormat="false" ht="15" hidden="false" customHeight="true" outlineLevel="0" collapsed="false">
      <c r="A9826" s="10" t="n">
        <f aca="false">Einstellungen!$B$5+INT((ROW()-9)/24)</f>
        <v>46375</v>
      </c>
      <c r="B9826" s="11" t="n">
        <f aca="false">MOD(ROW()-9,24)</f>
        <v>1</v>
      </c>
      <c r="C9826" s="12"/>
      <c r="D9826" s="13" t="n">
        <f aca="false">IF(B9826&lt;5,Einstellungen!$B$3,Einstellungen!$B$4)</f>
        <v>15.92</v>
      </c>
      <c r="E9826" s="14" t="str">
        <f aca="false">IF(C9826="","",C9826*D9826/100)</f>
        <v/>
      </c>
      <c r="F9826" s="15" t="str">
        <f aca="false">IF(B9826&lt;5,"Go","Standard")</f>
        <v>Go</v>
      </c>
    </row>
    <row r="9827" customFormat="false" ht="15" hidden="false" customHeight="true" outlineLevel="0" collapsed="false">
      <c r="A9827" s="10" t="n">
        <f aca="false">Einstellungen!$B$5+INT((ROW()-9)/24)</f>
        <v>46375</v>
      </c>
      <c r="B9827" s="11" t="n">
        <f aca="false">MOD(ROW()-9,24)</f>
        <v>2</v>
      </c>
      <c r="C9827" s="12"/>
      <c r="D9827" s="13" t="n">
        <f aca="false">IF(B9827&lt;5,Einstellungen!$B$3,Einstellungen!$B$4)</f>
        <v>15.92</v>
      </c>
      <c r="E9827" s="14" t="str">
        <f aca="false">IF(C9827="","",C9827*D9827/100)</f>
        <v/>
      </c>
      <c r="F9827" s="15" t="str">
        <f aca="false">IF(B9827&lt;5,"Go","Standard")</f>
        <v>Go</v>
      </c>
    </row>
    <row r="9828" customFormat="false" ht="15" hidden="false" customHeight="true" outlineLevel="0" collapsed="false">
      <c r="A9828" s="10" t="n">
        <f aca="false">Einstellungen!$B$5+INT((ROW()-9)/24)</f>
        <v>46375</v>
      </c>
      <c r="B9828" s="11" t="n">
        <f aca="false">MOD(ROW()-9,24)</f>
        <v>3</v>
      </c>
      <c r="C9828" s="12"/>
      <c r="D9828" s="13" t="n">
        <f aca="false">IF(B9828&lt;5,Einstellungen!$B$3,Einstellungen!$B$4)</f>
        <v>15.92</v>
      </c>
      <c r="E9828" s="14" t="str">
        <f aca="false">IF(C9828="","",C9828*D9828/100)</f>
        <v/>
      </c>
      <c r="F9828" s="15" t="str">
        <f aca="false">IF(B9828&lt;5,"Go","Standard")</f>
        <v>Go</v>
      </c>
    </row>
    <row r="9829" customFormat="false" ht="15" hidden="false" customHeight="true" outlineLevel="0" collapsed="false">
      <c r="A9829" s="10" t="n">
        <f aca="false">Einstellungen!$B$5+INT((ROW()-9)/24)</f>
        <v>46375</v>
      </c>
      <c r="B9829" s="11" t="n">
        <f aca="false">MOD(ROW()-9,24)</f>
        <v>4</v>
      </c>
      <c r="C9829" s="12"/>
      <c r="D9829" s="13" t="n">
        <f aca="false">IF(B9829&lt;5,Einstellungen!$B$3,Einstellungen!$B$4)</f>
        <v>15.92</v>
      </c>
      <c r="E9829" s="14" t="str">
        <f aca="false">IF(C9829="","",C9829*D9829/100)</f>
        <v/>
      </c>
      <c r="F9829" s="15" t="str">
        <f aca="false">IF(B9829&lt;5,"Go","Standard")</f>
        <v>Go</v>
      </c>
    </row>
    <row r="9830" customFormat="false" ht="15" hidden="false" customHeight="true" outlineLevel="0" collapsed="false">
      <c r="A9830" s="10" t="n">
        <f aca="false">Einstellungen!$B$5+INT((ROW()-9)/24)</f>
        <v>46375</v>
      </c>
      <c r="B9830" s="11" t="n">
        <f aca="false">MOD(ROW()-9,24)</f>
        <v>5</v>
      </c>
      <c r="C9830" s="12"/>
      <c r="D9830" s="13" t="n">
        <f aca="false">IF(B9830&lt;5,Einstellungen!$B$3,Einstellungen!$B$4)</f>
        <v>29.13</v>
      </c>
      <c r="E9830" s="14" t="str">
        <f aca="false">IF(C9830="","",C9830*D9830/100)</f>
        <v/>
      </c>
      <c r="F9830" s="15" t="str">
        <f aca="false">IF(B9830&lt;5,"Go","Standard")</f>
        <v>Standard</v>
      </c>
    </row>
    <row r="9831" customFormat="false" ht="15" hidden="false" customHeight="true" outlineLevel="0" collapsed="false">
      <c r="A9831" s="10" t="n">
        <f aca="false">Einstellungen!$B$5+INT((ROW()-9)/24)</f>
        <v>46375</v>
      </c>
      <c r="B9831" s="11" t="n">
        <f aca="false">MOD(ROW()-9,24)</f>
        <v>6</v>
      </c>
      <c r="C9831" s="12"/>
      <c r="D9831" s="13" t="n">
        <f aca="false">IF(B9831&lt;5,Einstellungen!$B$3,Einstellungen!$B$4)</f>
        <v>29.13</v>
      </c>
      <c r="E9831" s="14" t="str">
        <f aca="false">IF(C9831="","",C9831*D9831/100)</f>
        <v/>
      </c>
      <c r="F9831" s="15" t="str">
        <f aca="false">IF(B9831&lt;5,"Go","Standard")</f>
        <v>Standard</v>
      </c>
    </row>
    <row r="9832" customFormat="false" ht="15" hidden="false" customHeight="true" outlineLevel="0" collapsed="false">
      <c r="A9832" s="10" t="n">
        <f aca="false">Einstellungen!$B$5+INT((ROW()-9)/24)</f>
        <v>46375</v>
      </c>
      <c r="B9832" s="11" t="n">
        <f aca="false">MOD(ROW()-9,24)</f>
        <v>7</v>
      </c>
      <c r="C9832" s="12"/>
      <c r="D9832" s="13" t="n">
        <f aca="false">IF(B9832&lt;5,Einstellungen!$B$3,Einstellungen!$B$4)</f>
        <v>29.13</v>
      </c>
      <c r="E9832" s="14" t="str">
        <f aca="false">IF(C9832="","",C9832*D9832/100)</f>
        <v/>
      </c>
      <c r="F9832" s="15" t="str">
        <f aca="false">IF(B9832&lt;5,"Go","Standard")</f>
        <v>Standard</v>
      </c>
    </row>
    <row r="9833" customFormat="false" ht="15" hidden="false" customHeight="true" outlineLevel="0" collapsed="false">
      <c r="A9833" s="10" t="n">
        <f aca="false">Einstellungen!$B$5+INT((ROW()-9)/24)</f>
        <v>46375</v>
      </c>
      <c r="B9833" s="11" t="n">
        <f aca="false">MOD(ROW()-9,24)</f>
        <v>8</v>
      </c>
      <c r="C9833" s="12"/>
      <c r="D9833" s="13" t="n">
        <f aca="false">IF(B9833&lt;5,Einstellungen!$B$3,Einstellungen!$B$4)</f>
        <v>29.13</v>
      </c>
      <c r="E9833" s="14" t="str">
        <f aca="false">IF(C9833="","",C9833*D9833/100)</f>
        <v/>
      </c>
      <c r="F9833" s="15" t="str">
        <f aca="false">IF(B9833&lt;5,"Go","Standard")</f>
        <v>Standard</v>
      </c>
    </row>
    <row r="9834" customFormat="false" ht="15" hidden="false" customHeight="true" outlineLevel="0" collapsed="false">
      <c r="A9834" s="10" t="n">
        <f aca="false">Einstellungen!$B$5+INT((ROW()-9)/24)</f>
        <v>46375</v>
      </c>
      <c r="B9834" s="11" t="n">
        <f aca="false">MOD(ROW()-9,24)</f>
        <v>9</v>
      </c>
      <c r="C9834" s="12"/>
      <c r="D9834" s="13" t="n">
        <f aca="false">IF(B9834&lt;5,Einstellungen!$B$3,Einstellungen!$B$4)</f>
        <v>29.13</v>
      </c>
      <c r="E9834" s="14" t="str">
        <f aca="false">IF(C9834="","",C9834*D9834/100)</f>
        <v/>
      </c>
      <c r="F9834" s="15" t="str">
        <f aca="false">IF(B9834&lt;5,"Go","Standard")</f>
        <v>Standard</v>
      </c>
    </row>
    <row r="9835" customFormat="false" ht="15" hidden="false" customHeight="true" outlineLevel="0" collapsed="false">
      <c r="A9835" s="10" t="n">
        <f aca="false">Einstellungen!$B$5+INT((ROW()-9)/24)</f>
        <v>46375</v>
      </c>
      <c r="B9835" s="11" t="n">
        <f aca="false">MOD(ROW()-9,24)</f>
        <v>10</v>
      </c>
      <c r="C9835" s="12"/>
      <c r="D9835" s="13" t="n">
        <f aca="false">IF(B9835&lt;5,Einstellungen!$B$3,Einstellungen!$B$4)</f>
        <v>29.13</v>
      </c>
      <c r="E9835" s="14" t="str">
        <f aca="false">IF(C9835="","",C9835*D9835/100)</f>
        <v/>
      </c>
      <c r="F9835" s="15" t="str">
        <f aca="false">IF(B9835&lt;5,"Go","Standard")</f>
        <v>Standard</v>
      </c>
    </row>
    <row r="9836" customFormat="false" ht="15" hidden="false" customHeight="true" outlineLevel="0" collapsed="false">
      <c r="A9836" s="10" t="n">
        <f aca="false">Einstellungen!$B$5+INT((ROW()-9)/24)</f>
        <v>46375</v>
      </c>
      <c r="B9836" s="11" t="n">
        <f aca="false">MOD(ROW()-9,24)</f>
        <v>11</v>
      </c>
      <c r="C9836" s="12"/>
      <c r="D9836" s="13" t="n">
        <f aca="false">IF(B9836&lt;5,Einstellungen!$B$3,Einstellungen!$B$4)</f>
        <v>29.13</v>
      </c>
      <c r="E9836" s="14" t="str">
        <f aca="false">IF(C9836="","",C9836*D9836/100)</f>
        <v/>
      </c>
      <c r="F9836" s="15" t="str">
        <f aca="false">IF(B9836&lt;5,"Go","Standard")</f>
        <v>Standard</v>
      </c>
    </row>
    <row r="9837" customFormat="false" ht="15" hidden="false" customHeight="true" outlineLevel="0" collapsed="false">
      <c r="A9837" s="10" t="n">
        <f aca="false">Einstellungen!$B$5+INT((ROW()-9)/24)</f>
        <v>46375</v>
      </c>
      <c r="B9837" s="11" t="n">
        <f aca="false">MOD(ROW()-9,24)</f>
        <v>12</v>
      </c>
      <c r="C9837" s="12"/>
      <c r="D9837" s="13" t="n">
        <f aca="false">IF(B9837&lt;5,Einstellungen!$B$3,Einstellungen!$B$4)</f>
        <v>29.13</v>
      </c>
      <c r="E9837" s="14" t="str">
        <f aca="false">IF(C9837="","",C9837*D9837/100)</f>
        <v/>
      </c>
      <c r="F9837" s="15" t="str">
        <f aca="false">IF(B9837&lt;5,"Go","Standard")</f>
        <v>Standard</v>
      </c>
    </row>
    <row r="9838" customFormat="false" ht="15" hidden="false" customHeight="true" outlineLevel="0" collapsed="false">
      <c r="A9838" s="10" t="n">
        <f aca="false">Einstellungen!$B$5+INT((ROW()-9)/24)</f>
        <v>46375</v>
      </c>
      <c r="B9838" s="11" t="n">
        <f aca="false">MOD(ROW()-9,24)</f>
        <v>13</v>
      </c>
      <c r="C9838" s="12"/>
      <c r="D9838" s="13" t="n">
        <f aca="false">IF(B9838&lt;5,Einstellungen!$B$3,Einstellungen!$B$4)</f>
        <v>29.13</v>
      </c>
      <c r="E9838" s="14" t="str">
        <f aca="false">IF(C9838="","",C9838*D9838/100)</f>
        <v/>
      </c>
      <c r="F9838" s="15" t="str">
        <f aca="false">IF(B9838&lt;5,"Go","Standard")</f>
        <v>Standard</v>
      </c>
    </row>
    <row r="9839" customFormat="false" ht="15" hidden="false" customHeight="true" outlineLevel="0" collapsed="false">
      <c r="A9839" s="10" t="n">
        <f aca="false">Einstellungen!$B$5+INT((ROW()-9)/24)</f>
        <v>46375</v>
      </c>
      <c r="B9839" s="11" t="n">
        <f aca="false">MOD(ROW()-9,24)</f>
        <v>14</v>
      </c>
      <c r="C9839" s="12"/>
      <c r="D9839" s="13" t="n">
        <f aca="false">IF(B9839&lt;5,Einstellungen!$B$3,Einstellungen!$B$4)</f>
        <v>29.13</v>
      </c>
      <c r="E9839" s="14" t="str">
        <f aca="false">IF(C9839="","",C9839*D9839/100)</f>
        <v/>
      </c>
      <c r="F9839" s="15" t="str">
        <f aca="false">IF(B9839&lt;5,"Go","Standard")</f>
        <v>Standard</v>
      </c>
    </row>
    <row r="9840" customFormat="false" ht="15" hidden="false" customHeight="true" outlineLevel="0" collapsed="false">
      <c r="A9840" s="10" t="n">
        <f aca="false">Einstellungen!$B$5+INT((ROW()-9)/24)</f>
        <v>46375</v>
      </c>
      <c r="B9840" s="11" t="n">
        <f aca="false">MOD(ROW()-9,24)</f>
        <v>15</v>
      </c>
      <c r="C9840" s="12"/>
      <c r="D9840" s="13" t="n">
        <f aca="false">IF(B9840&lt;5,Einstellungen!$B$3,Einstellungen!$B$4)</f>
        <v>29.13</v>
      </c>
      <c r="E9840" s="14" t="str">
        <f aca="false">IF(C9840="","",C9840*D9840/100)</f>
        <v/>
      </c>
      <c r="F9840" s="15" t="str">
        <f aca="false">IF(B9840&lt;5,"Go","Standard")</f>
        <v>Standard</v>
      </c>
    </row>
    <row r="9841" customFormat="false" ht="15" hidden="false" customHeight="true" outlineLevel="0" collapsed="false">
      <c r="A9841" s="10" t="n">
        <f aca="false">Einstellungen!$B$5+INT((ROW()-9)/24)</f>
        <v>46375</v>
      </c>
      <c r="B9841" s="11" t="n">
        <f aca="false">MOD(ROW()-9,24)</f>
        <v>16</v>
      </c>
      <c r="C9841" s="12"/>
      <c r="D9841" s="13" t="n">
        <f aca="false">IF(B9841&lt;5,Einstellungen!$B$3,Einstellungen!$B$4)</f>
        <v>29.13</v>
      </c>
      <c r="E9841" s="14" t="str">
        <f aca="false">IF(C9841="","",C9841*D9841/100)</f>
        <v/>
      </c>
      <c r="F9841" s="15" t="str">
        <f aca="false">IF(B9841&lt;5,"Go","Standard")</f>
        <v>Standard</v>
      </c>
    </row>
    <row r="9842" customFormat="false" ht="15" hidden="false" customHeight="true" outlineLevel="0" collapsed="false">
      <c r="A9842" s="10" t="n">
        <f aca="false">Einstellungen!$B$5+INT((ROW()-9)/24)</f>
        <v>46375</v>
      </c>
      <c r="B9842" s="11" t="n">
        <f aca="false">MOD(ROW()-9,24)</f>
        <v>17</v>
      </c>
      <c r="C9842" s="12"/>
      <c r="D9842" s="13" t="n">
        <f aca="false">IF(B9842&lt;5,Einstellungen!$B$3,Einstellungen!$B$4)</f>
        <v>29.13</v>
      </c>
      <c r="E9842" s="14" t="str">
        <f aca="false">IF(C9842="","",C9842*D9842/100)</f>
        <v/>
      </c>
      <c r="F9842" s="15" t="str">
        <f aca="false">IF(B9842&lt;5,"Go","Standard")</f>
        <v>Standard</v>
      </c>
    </row>
    <row r="9843" customFormat="false" ht="15" hidden="false" customHeight="true" outlineLevel="0" collapsed="false">
      <c r="A9843" s="10" t="n">
        <f aca="false">Einstellungen!$B$5+INT((ROW()-9)/24)</f>
        <v>46375</v>
      </c>
      <c r="B9843" s="11" t="n">
        <f aca="false">MOD(ROW()-9,24)</f>
        <v>18</v>
      </c>
      <c r="C9843" s="12"/>
      <c r="D9843" s="13" t="n">
        <f aca="false">IF(B9843&lt;5,Einstellungen!$B$3,Einstellungen!$B$4)</f>
        <v>29.13</v>
      </c>
      <c r="E9843" s="14" t="str">
        <f aca="false">IF(C9843="","",C9843*D9843/100)</f>
        <v/>
      </c>
      <c r="F9843" s="15" t="str">
        <f aca="false">IF(B9843&lt;5,"Go","Standard")</f>
        <v>Standard</v>
      </c>
    </row>
    <row r="9844" customFormat="false" ht="15" hidden="false" customHeight="true" outlineLevel="0" collapsed="false">
      <c r="A9844" s="10" t="n">
        <f aca="false">Einstellungen!$B$5+INT((ROW()-9)/24)</f>
        <v>46375</v>
      </c>
      <c r="B9844" s="11" t="n">
        <f aca="false">MOD(ROW()-9,24)</f>
        <v>19</v>
      </c>
      <c r="C9844" s="12"/>
      <c r="D9844" s="13" t="n">
        <f aca="false">IF(B9844&lt;5,Einstellungen!$B$3,Einstellungen!$B$4)</f>
        <v>29.13</v>
      </c>
      <c r="E9844" s="14" t="str">
        <f aca="false">IF(C9844="","",C9844*D9844/100)</f>
        <v/>
      </c>
      <c r="F9844" s="15" t="str">
        <f aca="false">IF(B9844&lt;5,"Go","Standard")</f>
        <v>Standard</v>
      </c>
    </row>
    <row r="9845" customFormat="false" ht="15" hidden="false" customHeight="true" outlineLevel="0" collapsed="false">
      <c r="A9845" s="10" t="n">
        <f aca="false">Einstellungen!$B$5+INT((ROW()-9)/24)</f>
        <v>46375</v>
      </c>
      <c r="B9845" s="11" t="n">
        <f aca="false">MOD(ROW()-9,24)</f>
        <v>20</v>
      </c>
      <c r="C9845" s="12"/>
      <c r="D9845" s="13" t="n">
        <f aca="false">IF(B9845&lt;5,Einstellungen!$B$3,Einstellungen!$B$4)</f>
        <v>29.13</v>
      </c>
      <c r="E9845" s="14" t="str">
        <f aca="false">IF(C9845="","",C9845*D9845/100)</f>
        <v/>
      </c>
      <c r="F9845" s="15" t="str">
        <f aca="false">IF(B9845&lt;5,"Go","Standard")</f>
        <v>Standard</v>
      </c>
    </row>
    <row r="9846" customFormat="false" ht="15" hidden="false" customHeight="true" outlineLevel="0" collapsed="false">
      <c r="A9846" s="10" t="n">
        <f aca="false">Einstellungen!$B$5+INT((ROW()-9)/24)</f>
        <v>46375</v>
      </c>
      <c r="B9846" s="11" t="n">
        <f aca="false">MOD(ROW()-9,24)</f>
        <v>21</v>
      </c>
      <c r="C9846" s="12"/>
      <c r="D9846" s="13" t="n">
        <f aca="false">IF(B9846&lt;5,Einstellungen!$B$3,Einstellungen!$B$4)</f>
        <v>29.13</v>
      </c>
      <c r="E9846" s="14" t="str">
        <f aca="false">IF(C9846="","",C9846*D9846/100)</f>
        <v/>
      </c>
      <c r="F9846" s="15" t="str">
        <f aca="false">IF(B9846&lt;5,"Go","Standard")</f>
        <v>Standard</v>
      </c>
    </row>
    <row r="9847" customFormat="false" ht="15" hidden="false" customHeight="true" outlineLevel="0" collapsed="false">
      <c r="A9847" s="10" t="n">
        <f aca="false">Einstellungen!$B$5+INT((ROW()-9)/24)</f>
        <v>46375</v>
      </c>
      <c r="B9847" s="11" t="n">
        <f aca="false">MOD(ROW()-9,24)</f>
        <v>22</v>
      </c>
      <c r="C9847" s="12"/>
      <c r="D9847" s="13" t="n">
        <f aca="false">IF(B9847&lt;5,Einstellungen!$B$3,Einstellungen!$B$4)</f>
        <v>29.13</v>
      </c>
      <c r="E9847" s="14" t="str">
        <f aca="false">IF(C9847="","",C9847*D9847/100)</f>
        <v/>
      </c>
      <c r="F9847" s="15" t="str">
        <f aca="false">IF(B9847&lt;5,"Go","Standard")</f>
        <v>Standard</v>
      </c>
    </row>
    <row r="9848" customFormat="false" ht="15" hidden="false" customHeight="true" outlineLevel="0" collapsed="false">
      <c r="A9848" s="10" t="n">
        <f aca="false">Einstellungen!$B$5+INT((ROW()-9)/24)</f>
        <v>46375</v>
      </c>
      <c r="B9848" s="11" t="n">
        <f aca="false">MOD(ROW()-9,24)</f>
        <v>23</v>
      </c>
      <c r="C9848" s="12"/>
      <c r="D9848" s="13" t="n">
        <f aca="false">IF(B9848&lt;5,Einstellungen!$B$3,Einstellungen!$B$4)</f>
        <v>29.13</v>
      </c>
      <c r="E9848" s="14" t="str">
        <f aca="false">IF(C9848="","",C9848*D9848/100)</f>
        <v/>
      </c>
      <c r="F9848" s="15" t="str">
        <f aca="false">IF(B9848&lt;5,"Go","Standard")</f>
        <v>Standard</v>
      </c>
    </row>
    <row r="9849" customFormat="false" ht="15" hidden="false" customHeight="true" outlineLevel="0" collapsed="false">
      <c r="A9849" s="10" t="n">
        <f aca="false">Einstellungen!$B$5+INT((ROW()-9)/24)</f>
        <v>46376</v>
      </c>
      <c r="B9849" s="11" t="n">
        <f aca="false">MOD(ROW()-9,24)</f>
        <v>0</v>
      </c>
      <c r="C9849" s="12"/>
      <c r="D9849" s="13" t="n">
        <f aca="false">IF(B9849&lt;5,Einstellungen!$B$3,Einstellungen!$B$4)</f>
        <v>15.92</v>
      </c>
      <c r="E9849" s="14" t="str">
        <f aca="false">IF(C9849="","",C9849*D9849/100)</f>
        <v/>
      </c>
      <c r="F9849" s="15" t="str">
        <f aca="false">IF(B9849&lt;5,"Go","Standard")</f>
        <v>Go</v>
      </c>
    </row>
    <row r="9850" customFormat="false" ht="15" hidden="false" customHeight="true" outlineLevel="0" collapsed="false">
      <c r="A9850" s="10" t="n">
        <f aca="false">Einstellungen!$B$5+INT((ROW()-9)/24)</f>
        <v>46376</v>
      </c>
      <c r="B9850" s="11" t="n">
        <f aca="false">MOD(ROW()-9,24)</f>
        <v>1</v>
      </c>
      <c r="C9850" s="12"/>
      <c r="D9850" s="13" t="n">
        <f aca="false">IF(B9850&lt;5,Einstellungen!$B$3,Einstellungen!$B$4)</f>
        <v>15.92</v>
      </c>
      <c r="E9850" s="14" t="str">
        <f aca="false">IF(C9850="","",C9850*D9850/100)</f>
        <v/>
      </c>
      <c r="F9850" s="15" t="str">
        <f aca="false">IF(B9850&lt;5,"Go","Standard")</f>
        <v>Go</v>
      </c>
    </row>
    <row r="9851" customFormat="false" ht="15" hidden="false" customHeight="true" outlineLevel="0" collapsed="false">
      <c r="A9851" s="10" t="n">
        <f aca="false">Einstellungen!$B$5+INT((ROW()-9)/24)</f>
        <v>46376</v>
      </c>
      <c r="B9851" s="11" t="n">
        <f aca="false">MOD(ROW()-9,24)</f>
        <v>2</v>
      </c>
      <c r="C9851" s="12"/>
      <c r="D9851" s="13" t="n">
        <f aca="false">IF(B9851&lt;5,Einstellungen!$B$3,Einstellungen!$B$4)</f>
        <v>15.92</v>
      </c>
      <c r="E9851" s="14" t="str">
        <f aca="false">IF(C9851="","",C9851*D9851/100)</f>
        <v/>
      </c>
      <c r="F9851" s="15" t="str">
        <f aca="false">IF(B9851&lt;5,"Go","Standard")</f>
        <v>Go</v>
      </c>
    </row>
    <row r="9852" customFormat="false" ht="15" hidden="false" customHeight="true" outlineLevel="0" collapsed="false">
      <c r="A9852" s="10" t="n">
        <f aca="false">Einstellungen!$B$5+INT((ROW()-9)/24)</f>
        <v>46376</v>
      </c>
      <c r="B9852" s="11" t="n">
        <f aca="false">MOD(ROW()-9,24)</f>
        <v>3</v>
      </c>
      <c r="C9852" s="12"/>
      <c r="D9852" s="13" t="n">
        <f aca="false">IF(B9852&lt;5,Einstellungen!$B$3,Einstellungen!$B$4)</f>
        <v>15.92</v>
      </c>
      <c r="E9852" s="14" t="str">
        <f aca="false">IF(C9852="","",C9852*D9852/100)</f>
        <v/>
      </c>
      <c r="F9852" s="15" t="str">
        <f aca="false">IF(B9852&lt;5,"Go","Standard")</f>
        <v>Go</v>
      </c>
    </row>
    <row r="9853" customFormat="false" ht="15" hidden="false" customHeight="true" outlineLevel="0" collapsed="false">
      <c r="A9853" s="10" t="n">
        <f aca="false">Einstellungen!$B$5+INT((ROW()-9)/24)</f>
        <v>46376</v>
      </c>
      <c r="B9853" s="11" t="n">
        <f aca="false">MOD(ROW()-9,24)</f>
        <v>4</v>
      </c>
      <c r="C9853" s="12"/>
      <c r="D9853" s="13" t="n">
        <f aca="false">IF(B9853&lt;5,Einstellungen!$B$3,Einstellungen!$B$4)</f>
        <v>15.92</v>
      </c>
      <c r="E9853" s="14" t="str">
        <f aca="false">IF(C9853="","",C9853*D9853/100)</f>
        <v/>
      </c>
      <c r="F9853" s="15" t="str">
        <f aca="false">IF(B9853&lt;5,"Go","Standard")</f>
        <v>Go</v>
      </c>
    </row>
    <row r="9854" customFormat="false" ht="15" hidden="false" customHeight="true" outlineLevel="0" collapsed="false">
      <c r="A9854" s="10" t="n">
        <f aca="false">Einstellungen!$B$5+INT((ROW()-9)/24)</f>
        <v>46376</v>
      </c>
      <c r="B9854" s="11" t="n">
        <f aca="false">MOD(ROW()-9,24)</f>
        <v>5</v>
      </c>
      <c r="C9854" s="12"/>
      <c r="D9854" s="13" t="n">
        <f aca="false">IF(B9854&lt;5,Einstellungen!$B$3,Einstellungen!$B$4)</f>
        <v>29.13</v>
      </c>
      <c r="E9854" s="14" t="str">
        <f aca="false">IF(C9854="","",C9854*D9854/100)</f>
        <v/>
      </c>
      <c r="F9854" s="15" t="str">
        <f aca="false">IF(B9854&lt;5,"Go","Standard")</f>
        <v>Standard</v>
      </c>
    </row>
    <row r="9855" customFormat="false" ht="15" hidden="false" customHeight="true" outlineLevel="0" collapsed="false">
      <c r="A9855" s="10" t="n">
        <f aca="false">Einstellungen!$B$5+INT((ROW()-9)/24)</f>
        <v>46376</v>
      </c>
      <c r="B9855" s="11" t="n">
        <f aca="false">MOD(ROW()-9,24)</f>
        <v>6</v>
      </c>
      <c r="C9855" s="12"/>
      <c r="D9855" s="13" t="n">
        <f aca="false">IF(B9855&lt;5,Einstellungen!$B$3,Einstellungen!$B$4)</f>
        <v>29.13</v>
      </c>
      <c r="E9855" s="14" t="str">
        <f aca="false">IF(C9855="","",C9855*D9855/100)</f>
        <v/>
      </c>
      <c r="F9855" s="15" t="str">
        <f aca="false">IF(B9855&lt;5,"Go","Standard")</f>
        <v>Standard</v>
      </c>
    </row>
    <row r="9856" customFormat="false" ht="15" hidden="false" customHeight="true" outlineLevel="0" collapsed="false">
      <c r="A9856" s="10" t="n">
        <f aca="false">Einstellungen!$B$5+INT((ROW()-9)/24)</f>
        <v>46376</v>
      </c>
      <c r="B9856" s="11" t="n">
        <f aca="false">MOD(ROW()-9,24)</f>
        <v>7</v>
      </c>
      <c r="C9856" s="12"/>
      <c r="D9856" s="13" t="n">
        <f aca="false">IF(B9856&lt;5,Einstellungen!$B$3,Einstellungen!$B$4)</f>
        <v>29.13</v>
      </c>
      <c r="E9856" s="14" t="str">
        <f aca="false">IF(C9856="","",C9856*D9856/100)</f>
        <v/>
      </c>
      <c r="F9856" s="15" t="str">
        <f aca="false">IF(B9856&lt;5,"Go","Standard")</f>
        <v>Standard</v>
      </c>
    </row>
    <row r="9857" customFormat="false" ht="15" hidden="false" customHeight="true" outlineLevel="0" collapsed="false">
      <c r="A9857" s="10" t="n">
        <f aca="false">Einstellungen!$B$5+INT((ROW()-9)/24)</f>
        <v>46376</v>
      </c>
      <c r="B9857" s="11" t="n">
        <f aca="false">MOD(ROW()-9,24)</f>
        <v>8</v>
      </c>
      <c r="C9857" s="12"/>
      <c r="D9857" s="13" t="n">
        <f aca="false">IF(B9857&lt;5,Einstellungen!$B$3,Einstellungen!$B$4)</f>
        <v>29.13</v>
      </c>
      <c r="E9857" s="14" t="str">
        <f aca="false">IF(C9857="","",C9857*D9857/100)</f>
        <v/>
      </c>
      <c r="F9857" s="15" t="str">
        <f aca="false">IF(B9857&lt;5,"Go","Standard")</f>
        <v>Standard</v>
      </c>
    </row>
    <row r="9858" customFormat="false" ht="15" hidden="false" customHeight="true" outlineLevel="0" collapsed="false">
      <c r="A9858" s="10" t="n">
        <f aca="false">Einstellungen!$B$5+INT((ROW()-9)/24)</f>
        <v>46376</v>
      </c>
      <c r="B9858" s="11" t="n">
        <f aca="false">MOD(ROW()-9,24)</f>
        <v>9</v>
      </c>
      <c r="C9858" s="12"/>
      <c r="D9858" s="13" t="n">
        <f aca="false">IF(B9858&lt;5,Einstellungen!$B$3,Einstellungen!$B$4)</f>
        <v>29.13</v>
      </c>
      <c r="E9858" s="14" t="str">
        <f aca="false">IF(C9858="","",C9858*D9858/100)</f>
        <v/>
      </c>
      <c r="F9858" s="15" t="str">
        <f aca="false">IF(B9858&lt;5,"Go","Standard")</f>
        <v>Standard</v>
      </c>
    </row>
    <row r="9859" customFormat="false" ht="15" hidden="false" customHeight="true" outlineLevel="0" collapsed="false">
      <c r="A9859" s="10" t="n">
        <f aca="false">Einstellungen!$B$5+INT((ROW()-9)/24)</f>
        <v>46376</v>
      </c>
      <c r="B9859" s="11" t="n">
        <f aca="false">MOD(ROW()-9,24)</f>
        <v>10</v>
      </c>
      <c r="C9859" s="12"/>
      <c r="D9859" s="13" t="n">
        <f aca="false">IF(B9859&lt;5,Einstellungen!$B$3,Einstellungen!$B$4)</f>
        <v>29.13</v>
      </c>
      <c r="E9859" s="14" t="str">
        <f aca="false">IF(C9859="","",C9859*D9859/100)</f>
        <v/>
      </c>
      <c r="F9859" s="15" t="str">
        <f aca="false">IF(B9859&lt;5,"Go","Standard")</f>
        <v>Standard</v>
      </c>
    </row>
    <row r="9860" customFormat="false" ht="15" hidden="false" customHeight="true" outlineLevel="0" collapsed="false">
      <c r="A9860" s="10" t="n">
        <f aca="false">Einstellungen!$B$5+INT((ROW()-9)/24)</f>
        <v>46376</v>
      </c>
      <c r="B9860" s="11" t="n">
        <f aca="false">MOD(ROW()-9,24)</f>
        <v>11</v>
      </c>
      <c r="C9860" s="12"/>
      <c r="D9860" s="13" t="n">
        <f aca="false">IF(B9860&lt;5,Einstellungen!$B$3,Einstellungen!$B$4)</f>
        <v>29.13</v>
      </c>
      <c r="E9860" s="14" t="str">
        <f aca="false">IF(C9860="","",C9860*D9860/100)</f>
        <v/>
      </c>
      <c r="F9860" s="15" t="str">
        <f aca="false">IF(B9860&lt;5,"Go","Standard")</f>
        <v>Standard</v>
      </c>
    </row>
    <row r="9861" customFormat="false" ht="15" hidden="false" customHeight="true" outlineLevel="0" collapsed="false">
      <c r="A9861" s="10" t="n">
        <f aca="false">Einstellungen!$B$5+INT((ROW()-9)/24)</f>
        <v>46376</v>
      </c>
      <c r="B9861" s="11" t="n">
        <f aca="false">MOD(ROW()-9,24)</f>
        <v>12</v>
      </c>
      <c r="C9861" s="12"/>
      <c r="D9861" s="13" t="n">
        <f aca="false">IF(B9861&lt;5,Einstellungen!$B$3,Einstellungen!$B$4)</f>
        <v>29.13</v>
      </c>
      <c r="E9861" s="14" t="str">
        <f aca="false">IF(C9861="","",C9861*D9861/100)</f>
        <v/>
      </c>
      <c r="F9861" s="15" t="str">
        <f aca="false">IF(B9861&lt;5,"Go","Standard")</f>
        <v>Standard</v>
      </c>
    </row>
    <row r="9862" customFormat="false" ht="15" hidden="false" customHeight="true" outlineLevel="0" collapsed="false">
      <c r="A9862" s="10" t="n">
        <f aca="false">Einstellungen!$B$5+INT((ROW()-9)/24)</f>
        <v>46376</v>
      </c>
      <c r="B9862" s="11" t="n">
        <f aca="false">MOD(ROW()-9,24)</f>
        <v>13</v>
      </c>
      <c r="C9862" s="12"/>
      <c r="D9862" s="13" t="n">
        <f aca="false">IF(B9862&lt;5,Einstellungen!$B$3,Einstellungen!$B$4)</f>
        <v>29.13</v>
      </c>
      <c r="E9862" s="14" t="str">
        <f aca="false">IF(C9862="","",C9862*D9862/100)</f>
        <v/>
      </c>
      <c r="F9862" s="15" t="str">
        <f aca="false">IF(B9862&lt;5,"Go","Standard")</f>
        <v>Standard</v>
      </c>
    </row>
    <row r="9863" customFormat="false" ht="15" hidden="false" customHeight="true" outlineLevel="0" collapsed="false">
      <c r="A9863" s="10" t="n">
        <f aca="false">Einstellungen!$B$5+INT((ROW()-9)/24)</f>
        <v>46376</v>
      </c>
      <c r="B9863" s="11" t="n">
        <f aca="false">MOD(ROW()-9,24)</f>
        <v>14</v>
      </c>
      <c r="C9863" s="12"/>
      <c r="D9863" s="13" t="n">
        <f aca="false">IF(B9863&lt;5,Einstellungen!$B$3,Einstellungen!$B$4)</f>
        <v>29.13</v>
      </c>
      <c r="E9863" s="14" t="str">
        <f aca="false">IF(C9863="","",C9863*D9863/100)</f>
        <v/>
      </c>
      <c r="F9863" s="15" t="str">
        <f aca="false">IF(B9863&lt;5,"Go","Standard")</f>
        <v>Standard</v>
      </c>
    </row>
    <row r="9864" customFormat="false" ht="15" hidden="false" customHeight="true" outlineLevel="0" collapsed="false">
      <c r="A9864" s="10" t="n">
        <f aca="false">Einstellungen!$B$5+INT((ROW()-9)/24)</f>
        <v>46376</v>
      </c>
      <c r="B9864" s="11" t="n">
        <f aca="false">MOD(ROW()-9,24)</f>
        <v>15</v>
      </c>
      <c r="C9864" s="12"/>
      <c r="D9864" s="13" t="n">
        <f aca="false">IF(B9864&lt;5,Einstellungen!$B$3,Einstellungen!$B$4)</f>
        <v>29.13</v>
      </c>
      <c r="E9864" s="14" t="str">
        <f aca="false">IF(C9864="","",C9864*D9864/100)</f>
        <v/>
      </c>
      <c r="F9864" s="15" t="str">
        <f aca="false">IF(B9864&lt;5,"Go","Standard")</f>
        <v>Standard</v>
      </c>
    </row>
    <row r="9865" customFormat="false" ht="15" hidden="false" customHeight="true" outlineLevel="0" collapsed="false">
      <c r="A9865" s="10" t="n">
        <f aca="false">Einstellungen!$B$5+INT((ROW()-9)/24)</f>
        <v>46376</v>
      </c>
      <c r="B9865" s="11" t="n">
        <f aca="false">MOD(ROW()-9,24)</f>
        <v>16</v>
      </c>
      <c r="C9865" s="12"/>
      <c r="D9865" s="13" t="n">
        <f aca="false">IF(B9865&lt;5,Einstellungen!$B$3,Einstellungen!$B$4)</f>
        <v>29.13</v>
      </c>
      <c r="E9865" s="14" t="str">
        <f aca="false">IF(C9865="","",C9865*D9865/100)</f>
        <v/>
      </c>
      <c r="F9865" s="15" t="str">
        <f aca="false">IF(B9865&lt;5,"Go","Standard")</f>
        <v>Standard</v>
      </c>
    </row>
    <row r="9866" customFormat="false" ht="15" hidden="false" customHeight="true" outlineLevel="0" collapsed="false">
      <c r="A9866" s="10" t="n">
        <f aca="false">Einstellungen!$B$5+INT((ROW()-9)/24)</f>
        <v>46376</v>
      </c>
      <c r="B9866" s="11" t="n">
        <f aca="false">MOD(ROW()-9,24)</f>
        <v>17</v>
      </c>
      <c r="C9866" s="12"/>
      <c r="D9866" s="13" t="n">
        <f aca="false">IF(B9866&lt;5,Einstellungen!$B$3,Einstellungen!$B$4)</f>
        <v>29.13</v>
      </c>
      <c r="E9866" s="14" t="str">
        <f aca="false">IF(C9866="","",C9866*D9866/100)</f>
        <v/>
      </c>
      <c r="F9866" s="15" t="str">
        <f aca="false">IF(B9866&lt;5,"Go","Standard")</f>
        <v>Standard</v>
      </c>
    </row>
    <row r="9867" customFormat="false" ht="15" hidden="false" customHeight="true" outlineLevel="0" collapsed="false">
      <c r="A9867" s="10" t="n">
        <f aca="false">Einstellungen!$B$5+INT((ROW()-9)/24)</f>
        <v>46376</v>
      </c>
      <c r="B9867" s="11" t="n">
        <f aca="false">MOD(ROW()-9,24)</f>
        <v>18</v>
      </c>
      <c r="C9867" s="12"/>
      <c r="D9867" s="13" t="n">
        <f aca="false">IF(B9867&lt;5,Einstellungen!$B$3,Einstellungen!$B$4)</f>
        <v>29.13</v>
      </c>
      <c r="E9867" s="14" t="str">
        <f aca="false">IF(C9867="","",C9867*D9867/100)</f>
        <v/>
      </c>
      <c r="F9867" s="15" t="str">
        <f aca="false">IF(B9867&lt;5,"Go","Standard")</f>
        <v>Standard</v>
      </c>
    </row>
    <row r="9868" customFormat="false" ht="15" hidden="false" customHeight="true" outlineLevel="0" collapsed="false">
      <c r="A9868" s="10" t="n">
        <f aca="false">Einstellungen!$B$5+INT((ROW()-9)/24)</f>
        <v>46376</v>
      </c>
      <c r="B9868" s="11" t="n">
        <f aca="false">MOD(ROW()-9,24)</f>
        <v>19</v>
      </c>
      <c r="C9868" s="12"/>
      <c r="D9868" s="13" t="n">
        <f aca="false">IF(B9868&lt;5,Einstellungen!$B$3,Einstellungen!$B$4)</f>
        <v>29.13</v>
      </c>
      <c r="E9868" s="14" t="str">
        <f aca="false">IF(C9868="","",C9868*D9868/100)</f>
        <v/>
      </c>
      <c r="F9868" s="15" t="str">
        <f aca="false">IF(B9868&lt;5,"Go","Standard")</f>
        <v>Standard</v>
      </c>
    </row>
    <row r="9869" customFormat="false" ht="15" hidden="false" customHeight="true" outlineLevel="0" collapsed="false">
      <c r="A9869" s="10" t="n">
        <f aca="false">Einstellungen!$B$5+INT((ROW()-9)/24)</f>
        <v>46376</v>
      </c>
      <c r="B9869" s="11" t="n">
        <f aca="false">MOD(ROW()-9,24)</f>
        <v>20</v>
      </c>
      <c r="C9869" s="12"/>
      <c r="D9869" s="13" t="n">
        <f aca="false">IF(B9869&lt;5,Einstellungen!$B$3,Einstellungen!$B$4)</f>
        <v>29.13</v>
      </c>
      <c r="E9869" s="14" t="str">
        <f aca="false">IF(C9869="","",C9869*D9869/100)</f>
        <v/>
      </c>
      <c r="F9869" s="15" t="str">
        <f aca="false">IF(B9869&lt;5,"Go","Standard")</f>
        <v>Standard</v>
      </c>
    </row>
    <row r="9870" customFormat="false" ht="15" hidden="false" customHeight="true" outlineLevel="0" collapsed="false">
      <c r="A9870" s="10" t="n">
        <f aca="false">Einstellungen!$B$5+INT((ROW()-9)/24)</f>
        <v>46376</v>
      </c>
      <c r="B9870" s="11" t="n">
        <f aca="false">MOD(ROW()-9,24)</f>
        <v>21</v>
      </c>
      <c r="C9870" s="12"/>
      <c r="D9870" s="13" t="n">
        <f aca="false">IF(B9870&lt;5,Einstellungen!$B$3,Einstellungen!$B$4)</f>
        <v>29.13</v>
      </c>
      <c r="E9870" s="14" t="str">
        <f aca="false">IF(C9870="","",C9870*D9870/100)</f>
        <v/>
      </c>
      <c r="F9870" s="15" t="str">
        <f aca="false">IF(B9870&lt;5,"Go","Standard")</f>
        <v>Standard</v>
      </c>
    </row>
    <row r="9871" customFormat="false" ht="15" hidden="false" customHeight="true" outlineLevel="0" collapsed="false">
      <c r="A9871" s="10" t="n">
        <f aca="false">Einstellungen!$B$5+INT((ROW()-9)/24)</f>
        <v>46376</v>
      </c>
      <c r="B9871" s="11" t="n">
        <f aca="false">MOD(ROW()-9,24)</f>
        <v>22</v>
      </c>
      <c r="C9871" s="12"/>
      <c r="D9871" s="13" t="n">
        <f aca="false">IF(B9871&lt;5,Einstellungen!$B$3,Einstellungen!$B$4)</f>
        <v>29.13</v>
      </c>
      <c r="E9871" s="14" t="str">
        <f aca="false">IF(C9871="","",C9871*D9871/100)</f>
        <v/>
      </c>
      <c r="F9871" s="15" t="str">
        <f aca="false">IF(B9871&lt;5,"Go","Standard")</f>
        <v>Standard</v>
      </c>
    </row>
    <row r="9872" customFormat="false" ht="15" hidden="false" customHeight="true" outlineLevel="0" collapsed="false">
      <c r="A9872" s="10" t="n">
        <f aca="false">Einstellungen!$B$5+INT((ROW()-9)/24)</f>
        <v>46376</v>
      </c>
      <c r="B9872" s="11" t="n">
        <f aca="false">MOD(ROW()-9,24)</f>
        <v>23</v>
      </c>
      <c r="C9872" s="12"/>
      <c r="D9872" s="13" t="n">
        <f aca="false">IF(B9872&lt;5,Einstellungen!$B$3,Einstellungen!$B$4)</f>
        <v>29.13</v>
      </c>
      <c r="E9872" s="14" t="str">
        <f aca="false">IF(C9872="","",C9872*D9872/100)</f>
        <v/>
      </c>
      <c r="F9872" s="15" t="str">
        <f aca="false">IF(B9872&lt;5,"Go","Standard")</f>
        <v>Standard</v>
      </c>
    </row>
    <row r="9873" customFormat="false" ht="15" hidden="false" customHeight="true" outlineLevel="0" collapsed="false">
      <c r="A9873" s="10" t="n">
        <f aca="false">Einstellungen!$B$5+INT((ROW()-9)/24)</f>
        <v>46377</v>
      </c>
      <c r="B9873" s="11" t="n">
        <f aca="false">MOD(ROW()-9,24)</f>
        <v>0</v>
      </c>
      <c r="C9873" s="12"/>
      <c r="D9873" s="13" t="n">
        <f aca="false">IF(B9873&lt;5,Einstellungen!$B$3,Einstellungen!$B$4)</f>
        <v>15.92</v>
      </c>
      <c r="E9873" s="14" t="str">
        <f aca="false">IF(C9873="","",C9873*D9873/100)</f>
        <v/>
      </c>
      <c r="F9873" s="15" t="str">
        <f aca="false">IF(B9873&lt;5,"Go","Standard")</f>
        <v>Go</v>
      </c>
    </row>
    <row r="9874" customFormat="false" ht="15" hidden="false" customHeight="true" outlineLevel="0" collapsed="false">
      <c r="A9874" s="10" t="n">
        <f aca="false">Einstellungen!$B$5+INT((ROW()-9)/24)</f>
        <v>46377</v>
      </c>
      <c r="B9874" s="11" t="n">
        <f aca="false">MOD(ROW()-9,24)</f>
        <v>1</v>
      </c>
      <c r="C9874" s="12"/>
      <c r="D9874" s="13" t="n">
        <f aca="false">IF(B9874&lt;5,Einstellungen!$B$3,Einstellungen!$B$4)</f>
        <v>15.92</v>
      </c>
      <c r="E9874" s="14" t="str">
        <f aca="false">IF(C9874="","",C9874*D9874/100)</f>
        <v/>
      </c>
      <c r="F9874" s="15" t="str">
        <f aca="false">IF(B9874&lt;5,"Go","Standard")</f>
        <v>Go</v>
      </c>
    </row>
    <row r="9875" customFormat="false" ht="15" hidden="false" customHeight="true" outlineLevel="0" collapsed="false">
      <c r="A9875" s="10" t="n">
        <f aca="false">Einstellungen!$B$5+INT((ROW()-9)/24)</f>
        <v>46377</v>
      </c>
      <c r="B9875" s="11" t="n">
        <f aca="false">MOD(ROW()-9,24)</f>
        <v>2</v>
      </c>
      <c r="C9875" s="12"/>
      <c r="D9875" s="13" t="n">
        <f aca="false">IF(B9875&lt;5,Einstellungen!$B$3,Einstellungen!$B$4)</f>
        <v>15.92</v>
      </c>
      <c r="E9875" s="14" t="str">
        <f aca="false">IF(C9875="","",C9875*D9875/100)</f>
        <v/>
      </c>
      <c r="F9875" s="15" t="str">
        <f aca="false">IF(B9875&lt;5,"Go","Standard")</f>
        <v>Go</v>
      </c>
    </row>
    <row r="9876" customFormat="false" ht="15" hidden="false" customHeight="true" outlineLevel="0" collapsed="false">
      <c r="A9876" s="10" t="n">
        <f aca="false">Einstellungen!$B$5+INT((ROW()-9)/24)</f>
        <v>46377</v>
      </c>
      <c r="B9876" s="11" t="n">
        <f aca="false">MOD(ROW()-9,24)</f>
        <v>3</v>
      </c>
      <c r="C9876" s="12"/>
      <c r="D9876" s="13" t="n">
        <f aca="false">IF(B9876&lt;5,Einstellungen!$B$3,Einstellungen!$B$4)</f>
        <v>15.92</v>
      </c>
      <c r="E9876" s="14" t="str">
        <f aca="false">IF(C9876="","",C9876*D9876/100)</f>
        <v/>
      </c>
      <c r="F9876" s="15" t="str">
        <f aca="false">IF(B9876&lt;5,"Go","Standard")</f>
        <v>Go</v>
      </c>
    </row>
    <row r="9877" customFormat="false" ht="15" hidden="false" customHeight="true" outlineLevel="0" collapsed="false">
      <c r="A9877" s="10" t="n">
        <f aca="false">Einstellungen!$B$5+INT((ROW()-9)/24)</f>
        <v>46377</v>
      </c>
      <c r="B9877" s="11" t="n">
        <f aca="false">MOD(ROW()-9,24)</f>
        <v>4</v>
      </c>
      <c r="C9877" s="12"/>
      <c r="D9877" s="13" t="n">
        <f aca="false">IF(B9877&lt;5,Einstellungen!$B$3,Einstellungen!$B$4)</f>
        <v>15.92</v>
      </c>
      <c r="E9877" s="14" t="str">
        <f aca="false">IF(C9877="","",C9877*D9877/100)</f>
        <v/>
      </c>
      <c r="F9877" s="15" t="str">
        <f aca="false">IF(B9877&lt;5,"Go","Standard")</f>
        <v>Go</v>
      </c>
    </row>
    <row r="9878" customFormat="false" ht="15" hidden="false" customHeight="true" outlineLevel="0" collapsed="false">
      <c r="A9878" s="10" t="n">
        <f aca="false">Einstellungen!$B$5+INT((ROW()-9)/24)</f>
        <v>46377</v>
      </c>
      <c r="B9878" s="11" t="n">
        <f aca="false">MOD(ROW()-9,24)</f>
        <v>5</v>
      </c>
      <c r="C9878" s="12"/>
      <c r="D9878" s="13" t="n">
        <f aca="false">IF(B9878&lt;5,Einstellungen!$B$3,Einstellungen!$B$4)</f>
        <v>29.13</v>
      </c>
      <c r="E9878" s="14" t="str">
        <f aca="false">IF(C9878="","",C9878*D9878/100)</f>
        <v/>
      </c>
      <c r="F9878" s="15" t="str">
        <f aca="false">IF(B9878&lt;5,"Go","Standard")</f>
        <v>Standard</v>
      </c>
    </row>
    <row r="9879" customFormat="false" ht="15" hidden="false" customHeight="true" outlineLevel="0" collapsed="false">
      <c r="A9879" s="10" t="n">
        <f aca="false">Einstellungen!$B$5+INT((ROW()-9)/24)</f>
        <v>46377</v>
      </c>
      <c r="B9879" s="11" t="n">
        <f aca="false">MOD(ROW()-9,24)</f>
        <v>6</v>
      </c>
      <c r="C9879" s="12"/>
      <c r="D9879" s="13" t="n">
        <f aca="false">IF(B9879&lt;5,Einstellungen!$B$3,Einstellungen!$B$4)</f>
        <v>29.13</v>
      </c>
      <c r="E9879" s="14" t="str">
        <f aca="false">IF(C9879="","",C9879*D9879/100)</f>
        <v/>
      </c>
      <c r="F9879" s="15" t="str">
        <f aca="false">IF(B9879&lt;5,"Go","Standard")</f>
        <v>Standard</v>
      </c>
    </row>
    <row r="9880" customFormat="false" ht="15" hidden="false" customHeight="true" outlineLevel="0" collapsed="false">
      <c r="A9880" s="10" t="n">
        <f aca="false">Einstellungen!$B$5+INT((ROW()-9)/24)</f>
        <v>46377</v>
      </c>
      <c r="B9880" s="11" t="n">
        <f aca="false">MOD(ROW()-9,24)</f>
        <v>7</v>
      </c>
      <c r="C9880" s="12"/>
      <c r="D9880" s="13" t="n">
        <f aca="false">IF(B9880&lt;5,Einstellungen!$B$3,Einstellungen!$B$4)</f>
        <v>29.13</v>
      </c>
      <c r="E9880" s="14" t="str">
        <f aca="false">IF(C9880="","",C9880*D9880/100)</f>
        <v/>
      </c>
      <c r="F9880" s="15" t="str">
        <f aca="false">IF(B9880&lt;5,"Go","Standard")</f>
        <v>Standard</v>
      </c>
    </row>
    <row r="9881" customFormat="false" ht="15" hidden="false" customHeight="true" outlineLevel="0" collapsed="false">
      <c r="A9881" s="10" t="n">
        <f aca="false">Einstellungen!$B$5+INT((ROW()-9)/24)</f>
        <v>46377</v>
      </c>
      <c r="B9881" s="11" t="n">
        <f aca="false">MOD(ROW()-9,24)</f>
        <v>8</v>
      </c>
      <c r="C9881" s="12"/>
      <c r="D9881" s="13" t="n">
        <f aca="false">IF(B9881&lt;5,Einstellungen!$B$3,Einstellungen!$B$4)</f>
        <v>29.13</v>
      </c>
      <c r="E9881" s="14" t="str">
        <f aca="false">IF(C9881="","",C9881*D9881/100)</f>
        <v/>
      </c>
      <c r="F9881" s="15" t="str">
        <f aca="false">IF(B9881&lt;5,"Go","Standard")</f>
        <v>Standard</v>
      </c>
    </row>
    <row r="9882" customFormat="false" ht="15" hidden="false" customHeight="true" outlineLevel="0" collapsed="false">
      <c r="A9882" s="10" t="n">
        <f aca="false">Einstellungen!$B$5+INT((ROW()-9)/24)</f>
        <v>46377</v>
      </c>
      <c r="B9882" s="11" t="n">
        <f aca="false">MOD(ROW()-9,24)</f>
        <v>9</v>
      </c>
      <c r="C9882" s="12"/>
      <c r="D9882" s="13" t="n">
        <f aca="false">IF(B9882&lt;5,Einstellungen!$B$3,Einstellungen!$B$4)</f>
        <v>29.13</v>
      </c>
      <c r="E9882" s="14" t="str">
        <f aca="false">IF(C9882="","",C9882*D9882/100)</f>
        <v/>
      </c>
      <c r="F9882" s="15" t="str">
        <f aca="false">IF(B9882&lt;5,"Go","Standard")</f>
        <v>Standard</v>
      </c>
    </row>
    <row r="9883" customFormat="false" ht="15" hidden="false" customHeight="true" outlineLevel="0" collapsed="false">
      <c r="A9883" s="10" t="n">
        <f aca="false">Einstellungen!$B$5+INT((ROW()-9)/24)</f>
        <v>46377</v>
      </c>
      <c r="B9883" s="11" t="n">
        <f aca="false">MOD(ROW()-9,24)</f>
        <v>10</v>
      </c>
      <c r="C9883" s="12"/>
      <c r="D9883" s="13" t="n">
        <f aca="false">IF(B9883&lt;5,Einstellungen!$B$3,Einstellungen!$B$4)</f>
        <v>29.13</v>
      </c>
      <c r="E9883" s="14" t="str">
        <f aca="false">IF(C9883="","",C9883*D9883/100)</f>
        <v/>
      </c>
      <c r="F9883" s="15" t="str">
        <f aca="false">IF(B9883&lt;5,"Go","Standard")</f>
        <v>Standard</v>
      </c>
    </row>
    <row r="9884" customFormat="false" ht="15" hidden="false" customHeight="true" outlineLevel="0" collapsed="false">
      <c r="A9884" s="10" t="n">
        <f aca="false">Einstellungen!$B$5+INT((ROW()-9)/24)</f>
        <v>46377</v>
      </c>
      <c r="B9884" s="11" t="n">
        <f aca="false">MOD(ROW()-9,24)</f>
        <v>11</v>
      </c>
      <c r="C9884" s="12"/>
      <c r="D9884" s="13" t="n">
        <f aca="false">IF(B9884&lt;5,Einstellungen!$B$3,Einstellungen!$B$4)</f>
        <v>29.13</v>
      </c>
      <c r="E9884" s="14" t="str">
        <f aca="false">IF(C9884="","",C9884*D9884/100)</f>
        <v/>
      </c>
      <c r="F9884" s="15" t="str">
        <f aca="false">IF(B9884&lt;5,"Go","Standard")</f>
        <v>Standard</v>
      </c>
    </row>
    <row r="9885" customFormat="false" ht="15" hidden="false" customHeight="true" outlineLevel="0" collapsed="false">
      <c r="A9885" s="10" t="n">
        <f aca="false">Einstellungen!$B$5+INT((ROW()-9)/24)</f>
        <v>46377</v>
      </c>
      <c r="B9885" s="11" t="n">
        <f aca="false">MOD(ROW()-9,24)</f>
        <v>12</v>
      </c>
      <c r="C9885" s="12"/>
      <c r="D9885" s="13" t="n">
        <f aca="false">IF(B9885&lt;5,Einstellungen!$B$3,Einstellungen!$B$4)</f>
        <v>29.13</v>
      </c>
      <c r="E9885" s="14" t="str">
        <f aca="false">IF(C9885="","",C9885*D9885/100)</f>
        <v/>
      </c>
      <c r="F9885" s="15" t="str">
        <f aca="false">IF(B9885&lt;5,"Go","Standard")</f>
        <v>Standard</v>
      </c>
    </row>
    <row r="9886" customFormat="false" ht="15" hidden="false" customHeight="true" outlineLevel="0" collapsed="false">
      <c r="A9886" s="10" t="n">
        <f aca="false">Einstellungen!$B$5+INT((ROW()-9)/24)</f>
        <v>46377</v>
      </c>
      <c r="B9886" s="11" t="n">
        <f aca="false">MOD(ROW()-9,24)</f>
        <v>13</v>
      </c>
      <c r="C9886" s="12"/>
      <c r="D9886" s="13" t="n">
        <f aca="false">IF(B9886&lt;5,Einstellungen!$B$3,Einstellungen!$B$4)</f>
        <v>29.13</v>
      </c>
      <c r="E9886" s="14" t="str">
        <f aca="false">IF(C9886="","",C9886*D9886/100)</f>
        <v/>
      </c>
      <c r="F9886" s="15" t="str">
        <f aca="false">IF(B9886&lt;5,"Go","Standard")</f>
        <v>Standard</v>
      </c>
    </row>
    <row r="9887" customFormat="false" ht="15" hidden="false" customHeight="true" outlineLevel="0" collapsed="false">
      <c r="A9887" s="10" t="n">
        <f aca="false">Einstellungen!$B$5+INT((ROW()-9)/24)</f>
        <v>46377</v>
      </c>
      <c r="B9887" s="11" t="n">
        <f aca="false">MOD(ROW()-9,24)</f>
        <v>14</v>
      </c>
      <c r="C9887" s="12"/>
      <c r="D9887" s="13" t="n">
        <f aca="false">IF(B9887&lt;5,Einstellungen!$B$3,Einstellungen!$B$4)</f>
        <v>29.13</v>
      </c>
      <c r="E9887" s="14" t="str">
        <f aca="false">IF(C9887="","",C9887*D9887/100)</f>
        <v/>
      </c>
      <c r="F9887" s="15" t="str">
        <f aca="false">IF(B9887&lt;5,"Go","Standard")</f>
        <v>Standard</v>
      </c>
    </row>
    <row r="9888" customFormat="false" ht="15" hidden="false" customHeight="true" outlineLevel="0" collapsed="false">
      <c r="A9888" s="10" t="n">
        <f aca="false">Einstellungen!$B$5+INT((ROW()-9)/24)</f>
        <v>46377</v>
      </c>
      <c r="B9888" s="11" t="n">
        <f aca="false">MOD(ROW()-9,24)</f>
        <v>15</v>
      </c>
      <c r="C9888" s="12"/>
      <c r="D9888" s="13" t="n">
        <f aca="false">IF(B9888&lt;5,Einstellungen!$B$3,Einstellungen!$B$4)</f>
        <v>29.13</v>
      </c>
      <c r="E9888" s="14" t="str">
        <f aca="false">IF(C9888="","",C9888*D9888/100)</f>
        <v/>
      </c>
      <c r="F9888" s="15" t="str">
        <f aca="false">IF(B9888&lt;5,"Go","Standard")</f>
        <v>Standard</v>
      </c>
    </row>
    <row r="9889" customFormat="false" ht="15" hidden="false" customHeight="true" outlineLevel="0" collapsed="false">
      <c r="A9889" s="10" t="n">
        <f aca="false">Einstellungen!$B$5+INT((ROW()-9)/24)</f>
        <v>46377</v>
      </c>
      <c r="B9889" s="11" t="n">
        <f aca="false">MOD(ROW()-9,24)</f>
        <v>16</v>
      </c>
      <c r="C9889" s="12"/>
      <c r="D9889" s="13" t="n">
        <f aca="false">IF(B9889&lt;5,Einstellungen!$B$3,Einstellungen!$B$4)</f>
        <v>29.13</v>
      </c>
      <c r="E9889" s="14" t="str">
        <f aca="false">IF(C9889="","",C9889*D9889/100)</f>
        <v/>
      </c>
      <c r="F9889" s="15" t="str">
        <f aca="false">IF(B9889&lt;5,"Go","Standard")</f>
        <v>Standard</v>
      </c>
    </row>
    <row r="9890" customFormat="false" ht="15" hidden="false" customHeight="true" outlineLevel="0" collapsed="false">
      <c r="A9890" s="10" t="n">
        <f aca="false">Einstellungen!$B$5+INT((ROW()-9)/24)</f>
        <v>46377</v>
      </c>
      <c r="B9890" s="11" t="n">
        <f aca="false">MOD(ROW()-9,24)</f>
        <v>17</v>
      </c>
      <c r="C9890" s="12"/>
      <c r="D9890" s="13" t="n">
        <f aca="false">IF(B9890&lt;5,Einstellungen!$B$3,Einstellungen!$B$4)</f>
        <v>29.13</v>
      </c>
      <c r="E9890" s="14" t="str">
        <f aca="false">IF(C9890="","",C9890*D9890/100)</f>
        <v/>
      </c>
      <c r="F9890" s="15" t="str">
        <f aca="false">IF(B9890&lt;5,"Go","Standard")</f>
        <v>Standard</v>
      </c>
    </row>
    <row r="9891" customFormat="false" ht="15" hidden="false" customHeight="true" outlineLevel="0" collapsed="false">
      <c r="A9891" s="10" t="n">
        <f aca="false">Einstellungen!$B$5+INT((ROW()-9)/24)</f>
        <v>46377</v>
      </c>
      <c r="B9891" s="11" t="n">
        <f aca="false">MOD(ROW()-9,24)</f>
        <v>18</v>
      </c>
      <c r="C9891" s="12"/>
      <c r="D9891" s="13" t="n">
        <f aca="false">IF(B9891&lt;5,Einstellungen!$B$3,Einstellungen!$B$4)</f>
        <v>29.13</v>
      </c>
      <c r="E9891" s="14" t="str">
        <f aca="false">IF(C9891="","",C9891*D9891/100)</f>
        <v/>
      </c>
      <c r="F9891" s="15" t="str">
        <f aca="false">IF(B9891&lt;5,"Go","Standard")</f>
        <v>Standard</v>
      </c>
    </row>
    <row r="9892" customFormat="false" ht="15" hidden="false" customHeight="true" outlineLevel="0" collapsed="false">
      <c r="A9892" s="10" t="n">
        <f aca="false">Einstellungen!$B$5+INT((ROW()-9)/24)</f>
        <v>46377</v>
      </c>
      <c r="B9892" s="11" t="n">
        <f aca="false">MOD(ROW()-9,24)</f>
        <v>19</v>
      </c>
      <c r="C9892" s="12"/>
      <c r="D9892" s="13" t="n">
        <f aca="false">IF(B9892&lt;5,Einstellungen!$B$3,Einstellungen!$B$4)</f>
        <v>29.13</v>
      </c>
      <c r="E9892" s="14" t="str">
        <f aca="false">IF(C9892="","",C9892*D9892/100)</f>
        <v/>
      </c>
      <c r="F9892" s="15" t="str">
        <f aca="false">IF(B9892&lt;5,"Go","Standard")</f>
        <v>Standard</v>
      </c>
    </row>
    <row r="9893" customFormat="false" ht="15" hidden="false" customHeight="true" outlineLevel="0" collapsed="false">
      <c r="A9893" s="10" t="n">
        <f aca="false">Einstellungen!$B$5+INT((ROW()-9)/24)</f>
        <v>46377</v>
      </c>
      <c r="B9893" s="11" t="n">
        <f aca="false">MOD(ROW()-9,24)</f>
        <v>20</v>
      </c>
      <c r="C9893" s="12"/>
      <c r="D9893" s="13" t="n">
        <f aca="false">IF(B9893&lt;5,Einstellungen!$B$3,Einstellungen!$B$4)</f>
        <v>29.13</v>
      </c>
      <c r="E9893" s="14" t="str">
        <f aca="false">IF(C9893="","",C9893*D9893/100)</f>
        <v/>
      </c>
      <c r="F9893" s="15" t="str">
        <f aca="false">IF(B9893&lt;5,"Go","Standard")</f>
        <v>Standard</v>
      </c>
    </row>
    <row r="9894" customFormat="false" ht="15" hidden="false" customHeight="true" outlineLevel="0" collapsed="false">
      <c r="A9894" s="10" t="n">
        <f aca="false">Einstellungen!$B$5+INT((ROW()-9)/24)</f>
        <v>46377</v>
      </c>
      <c r="B9894" s="11" t="n">
        <f aca="false">MOD(ROW()-9,24)</f>
        <v>21</v>
      </c>
      <c r="C9894" s="12"/>
      <c r="D9894" s="13" t="n">
        <f aca="false">IF(B9894&lt;5,Einstellungen!$B$3,Einstellungen!$B$4)</f>
        <v>29.13</v>
      </c>
      <c r="E9894" s="14" t="str">
        <f aca="false">IF(C9894="","",C9894*D9894/100)</f>
        <v/>
      </c>
      <c r="F9894" s="15" t="str">
        <f aca="false">IF(B9894&lt;5,"Go","Standard")</f>
        <v>Standard</v>
      </c>
    </row>
    <row r="9895" customFormat="false" ht="15" hidden="false" customHeight="true" outlineLevel="0" collapsed="false">
      <c r="A9895" s="10" t="n">
        <f aca="false">Einstellungen!$B$5+INT((ROW()-9)/24)</f>
        <v>46377</v>
      </c>
      <c r="B9895" s="11" t="n">
        <f aca="false">MOD(ROW()-9,24)</f>
        <v>22</v>
      </c>
      <c r="C9895" s="12"/>
      <c r="D9895" s="13" t="n">
        <f aca="false">IF(B9895&lt;5,Einstellungen!$B$3,Einstellungen!$B$4)</f>
        <v>29.13</v>
      </c>
      <c r="E9895" s="14" t="str">
        <f aca="false">IF(C9895="","",C9895*D9895/100)</f>
        <v/>
      </c>
      <c r="F9895" s="15" t="str">
        <f aca="false">IF(B9895&lt;5,"Go","Standard")</f>
        <v>Standard</v>
      </c>
    </row>
    <row r="9896" customFormat="false" ht="15" hidden="false" customHeight="true" outlineLevel="0" collapsed="false">
      <c r="A9896" s="10" t="n">
        <f aca="false">Einstellungen!$B$5+INT((ROW()-9)/24)</f>
        <v>46377</v>
      </c>
      <c r="B9896" s="11" t="n">
        <f aca="false">MOD(ROW()-9,24)</f>
        <v>23</v>
      </c>
      <c r="C9896" s="12"/>
      <c r="D9896" s="13" t="n">
        <f aca="false">IF(B9896&lt;5,Einstellungen!$B$3,Einstellungen!$B$4)</f>
        <v>29.13</v>
      </c>
      <c r="E9896" s="14" t="str">
        <f aca="false">IF(C9896="","",C9896*D9896/100)</f>
        <v/>
      </c>
      <c r="F9896" s="15" t="str">
        <f aca="false">IF(B9896&lt;5,"Go","Standard")</f>
        <v>Standard</v>
      </c>
    </row>
    <row r="9897" customFormat="false" ht="15" hidden="false" customHeight="true" outlineLevel="0" collapsed="false">
      <c r="A9897" s="10" t="n">
        <f aca="false">Einstellungen!$B$5+INT((ROW()-9)/24)</f>
        <v>46378</v>
      </c>
      <c r="B9897" s="11" t="n">
        <f aca="false">MOD(ROW()-9,24)</f>
        <v>0</v>
      </c>
      <c r="C9897" s="12"/>
      <c r="D9897" s="13" t="n">
        <f aca="false">IF(B9897&lt;5,Einstellungen!$B$3,Einstellungen!$B$4)</f>
        <v>15.92</v>
      </c>
      <c r="E9897" s="14" t="str">
        <f aca="false">IF(C9897="","",C9897*D9897/100)</f>
        <v/>
      </c>
      <c r="F9897" s="15" t="str">
        <f aca="false">IF(B9897&lt;5,"Go","Standard")</f>
        <v>Go</v>
      </c>
    </row>
    <row r="9898" customFormat="false" ht="15" hidden="false" customHeight="true" outlineLevel="0" collapsed="false">
      <c r="A9898" s="10" t="n">
        <f aca="false">Einstellungen!$B$5+INT((ROW()-9)/24)</f>
        <v>46378</v>
      </c>
      <c r="B9898" s="11" t="n">
        <f aca="false">MOD(ROW()-9,24)</f>
        <v>1</v>
      </c>
      <c r="C9898" s="12"/>
      <c r="D9898" s="13" t="n">
        <f aca="false">IF(B9898&lt;5,Einstellungen!$B$3,Einstellungen!$B$4)</f>
        <v>15.92</v>
      </c>
      <c r="E9898" s="14" t="str">
        <f aca="false">IF(C9898="","",C9898*D9898/100)</f>
        <v/>
      </c>
      <c r="F9898" s="15" t="str">
        <f aca="false">IF(B9898&lt;5,"Go","Standard")</f>
        <v>Go</v>
      </c>
    </row>
    <row r="9899" customFormat="false" ht="15" hidden="false" customHeight="true" outlineLevel="0" collapsed="false">
      <c r="A9899" s="10" t="n">
        <f aca="false">Einstellungen!$B$5+INT((ROW()-9)/24)</f>
        <v>46378</v>
      </c>
      <c r="B9899" s="11" t="n">
        <f aca="false">MOD(ROW()-9,24)</f>
        <v>2</v>
      </c>
      <c r="C9899" s="12"/>
      <c r="D9899" s="13" t="n">
        <f aca="false">IF(B9899&lt;5,Einstellungen!$B$3,Einstellungen!$B$4)</f>
        <v>15.92</v>
      </c>
      <c r="E9899" s="14" t="str">
        <f aca="false">IF(C9899="","",C9899*D9899/100)</f>
        <v/>
      </c>
      <c r="F9899" s="15" t="str">
        <f aca="false">IF(B9899&lt;5,"Go","Standard")</f>
        <v>Go</v>
      </c>
    </row>
    <row r="9900" customFormat="false" ht="15" hidden="false" customHeight="true" outlineLevel="0" collapsed="false">
      <c r="A9900" s="10" t="n">
        <f aca="false">Einstellungen!$B$5+INT((ROW()-9)/24)</f>
        <v>46378</v>
      </c>
      <c r="B9900" s="11" t="n">
        <f aca="false">MOD(ROW()-9,24)</f>
        <v>3</v>
      </c>
      <c r="C9900" s="12"/>
      <c r="D9900" s="13" t="n">
        <f aca="false">IF(B9900&lt;5,Einstellungen!$B$3,Einstellungen!$B$4)</f>
        <v>15.92</v>
      </c>
      <c r="E9900" s="14" t="str">
        <f aca="false">IF(C9900="","",C9900*D9900/100)</f>
        <v/>
      </c>
      <c r="F9900" s="15" t="str">
        <f aca="false">IF(B9900&lt;5,"Go","Standard")</f>
        <v>Go</v>
      </c>
    </row>
    <row r="9901" customFormat="false" ht="15" hidden="false" customHeight="true" outlineLevel="0" collapsed="false">
      <c r="A9901" s="10" t="n">
        <f aca="false">Einstellungen!$B$5+INT((ROW()-9)/24)</f>
        <v>46378</v>
      </c>
      <c r="B9901" s="11" t="n">
        <f aca="false">MOD(ROW()-9,24)</f>
        <v>4</v>
      </c>
      <c r="C9901" s="12"/>
      <c r="D9901" s="13" t="n">
        <f aca="false">IF(B9901&lt;5,Einstellungen!$B$3,Einstellungen!$B$4)</f>
        <v>15.92</v>
      </c>
      <c r="E9901" s="14" t="str">
        <f aca="false">IF(C9901="","",C9901*D9901/100)</f>
        <v/>
      </c>
      <c r="F9901" s="15" t="str">
        <f aca="false">IF(B9901&lt;5,"Go","Standard")</f>
        <v>Go</v>
      </c>
    </row>
    <row r="9902" customFormat="false" ht="15" hidden="false" customHeight="true" outlineLevel="0" collapsed="false">
      <c r="A9902" s="10" t="n">
        <f aca="false">Einstellungen!$B$5+INT((ROW()-9)/24)</f>
        <v>46378</v>
      </c>
      <c r="B9902" s="11" t="n">
        <f aca="false">MOD(ROW()-9,24)</f>
        <v>5</v>
      </c>
      <c r="C9902" s="12"/>
      <c r="D9902" s="13" t="n">
        <f aca="false">IF(B9902&lt;5,Einstellungen!$B$3,Einstellungen!$B$4)</f>
        <v>29.13</v>
      </c>
      <c r="E9902" s="14" t="str">
        <f aca="false">IF(C9902="","",C9902*D9902/100)</f>
        <v/>
      </c>
      <c r="F9902" s="15" t="str">
        <f aca="false">IF(B9902&lt;5,"Go","Standard")</f>
        <v>Standard</v>
      </c>
    </row>
    <row r="9903" customFormat="false" ht="15" hidden="false" customHeight="true" outlineLevel="0" collapsed="false">
      <c r="A9903" s="10" t="n">
        <f aca="false">Einstellungen!$B$5+INT((ROW()-9)/24)</f>
        <v>46378</v>
      </c>
      <c r="B9903" s="11" t="n">
        <f aca="false">MOD(ROW()-9,24)</f>
        <v>6</v>
      </c>
      <c r="C9903" s="12"/>
      <c r="D9903" s="13" t="n">
        <f aca="false">IF(B9903&lt;5,Einstellungen!$B$3,Einstellungen!$B$4)</f>
        <v>29.13</v>
      </c>
      <c r="E9903" s="14" t="str">
        <f aca="false">IF(C9903="","",C9903*D9903/100)</f>
        <v/>
      </c>
      <c r="F9903" s="15" t="str">
        <f aca="false">IF(B9903&lt;5,"Go","Standard")</f>
        <v>Standard</v>
      </c>
    </row>
    <row r="9904" customFormat="false" ht="15" hidden="false" customHeight="true" outlineLevel="0" collapsed="false">
      <c r="A9904" s="10" t="n">
        <f aca="false">Einstellungen!$B$5+INT((ROW()-9)/24)</f>
        <v>46378</v>
      </c>
      <c r="B9904" s="11" t="n">
        <f aca="false">MOD(ROW()-9,24)</f>
        <v>7</v>
      </c>
      <c r="C9904" s="12"/>
      <c r="D9904" s="13" t="n">
        <f aca="false">IF(B9904&lt;5,Einstellungen!$B$3,Einstellungen!$B$4)</f>
        <v>29.13</v>
      </c>
      <c r="E9904" s="14" t="str">
        <f aca="false">IF(C9904="","",C9904*D9904/100)</f>
        <v/>
      </c>
      <c r="F9904" s="15" t="str">
        <f aca="false">IF(B9904&lt;5,"Go","Standard")</f>
        <v>Standard</v>
      </c>
    </row>
    <row r="9905" customFormat="false" ht="15" hidden="false" customHeight="true" outlineLevel="0" collapsed="false">
      <c r="A9905" s="10" t="n">
        <f aca="false">Einstellungen!$B$5+INT((ROW()-9)/24)</f>
        <v>46378</v>
      </c>
      <c r="B9905" s="11" t="n">
        <f aca="false">MOD(ROW()-9,24)</f>
        <v>8</v>
      </c>
      <c r="C9905" s="12"/>
      <c r="D9905" s="13" t="n">
        <f aca="false">IF(B9905&lt;5,Einstellungen!$B$3,Einstellungen!$B$4)</f>
        <v>29.13</v>
      </c>
      <c r="E9905" s="14" t="str">
        <f aca="false">IF(C9905="","",C9905*D9905/100)</f>
        <v/>
      </c>
      <c r="F9905" s="15" t="str">
        <f aca="false">IF(B9905&lt;5,"Go","Standard")</f>
        <v>Standard</v>
      </c>
    </row>
    <row r="9906" customFormat="false" ht="15" hidden="false" customHeight="true" outlineLevel="0" collapsed="false">
      <c r="A9906" s="10" t="n">
        <f aca="false">Einstellungen!$B$5+INT((ROW()-9)/24)</f>
        <v>46378</v>
      </c>
      <c r="B9906" s="11" t="n">
        <f aca="false">MOD(ROW()-9,24)</f>
        <v>9</v>
      </c>
      <c r="C9906" s="12"/>
      <c r="D9906" s="13" t="n">
        <f aca="false">IF(B9906&lt;5,Einstellungen!$B$3,Einstellungen!$B$4)</f>
        <v>29.13</v>
      </c>
      <c r="E9906" s="14" t="str">
        <f aca="false">IF(C9906="","",C9906*D9906/100)</f>
        <v/>
      </c>
      <c r="F9906" s="15" t="str">
        <f aca="false">IF(B9906&lt;5,"Go","Standard")</f>
        <v>Standard</v>
      </c>
    </row>
    <row r="9907" customFormat="false" ht="15" hidden="false" customHeight="true" outlineLevel="0" collapsed="false">
      <c r="A9907" s="10" t="n">
        <f aca="false">Einstellungen!$B$5+INT((ROW()-9)/24)</f>
        <v>46378</v>
      </c>
      <c r="B9907" s="11" t="n">
        <f aca="false">MOD(ROW()-9,24)</f>
        <v>10</v>
      </c>
      <c r="C9907" s="12"/>
      <c r="D9907" s="13" t="n">
        <f aca="false">IF(B9907&lt;5,Einstellungen!$B$3,Einstellungen!$B$4)</f>
        <v>29.13</v>
      </c>
      <c r="E9907" s="14" t="str">
        <f aca="false">IF(C9907="","",C9907*D9907/100)</f>
        <v/>
      </c>
      <c r="F9907" s="15" t="str">
        <f aca="false">IF(B9907&lt;5,"Go","Standard")</f>
        <v>Standard</v>
      </c>
    </row>
    <row r="9908" customFormat="false" ht="15" hidden="false" customHeight="true" outlineLevel="0" collapsed="false">
      <c r="A9908" s="10" t="n">
        <f aca="false">Einstellungen!$B$5+INT((ROW()-9)/24)</f>
        <v>46378</v>
      </c>
      <c r="B9908" s="11" t="n">
        <f aca="false">MOD(ROW()-9,24)</f>
        <v>11</v>
      </c>
      <c r="C9908" s="12"/>
      <c r="D9908" s="13" t="n">
        <f aca="false">IF(B9908&lt;5,Einstellungen!$B$3,Einstellungen!$B$4)</f>
        <v>29.13</v>
      </c>
      <c r="E9908" s="14" t="str">
        <f aca="false">IF(C9908="","",C9908*D9908/100)</f>
        <v/>
      </c>
      <c r="F9908" s="15" t="str">
        <f aca="false">IF(B9908&lt;5,"Go","Standard")</f>
        <v>Standard</v>
      </c>
    </row>
    <row r="9909" customFormat="false" ht="15" hidden="false" customHeight="true" outlineLevel="0" collapsed="false">
      <c r="A9909" s="10" t="n">
        <f aca="false">Einstellungen!$B$5+INT((ROW()-9)/24)</f>
        <v>46378</v>
      </c>
      <c r="B9909" s="11" t="n">
        <f aca="false">MOD(ROW()-9,24)</f>
        <v>12</v>
      </c>
      <c r="C9909" s="12"/>
      <c r="D9909" s="13" t="n">
        <f aca="false">IF(B9909&lt;5,Einstellungen!$B$3,Einstellungen!$B$4)</f>
        <v>29.13</v>
      </c>
      <c r="E9909" s="14" t="str">
        <f aca="false">IF(C9909="","",C9909*D9909/100)</f>
        <v/>
      </c>
      <c r="F9909" s="15" t="str">
        <f aca="false">IF(B9909&lt;5,"Go","Standard")</f>
        <v>Standard</v>
      </c>
    </row>
    <row r="9910" customFormat="false" ht="15" hidden="false" customHeight="true" outlineLevel="0" collapsed="false">
      <c r="A9910" s="10" t="n">
        <f aca="false">Einstellungen!$B$5+INT((ROW()-9)/24)</f>
        <v>46378</v>
      </c>
      <c r="B9910" s="11" t="n">
        <f aca="false">MOD(ROW()-9,24)</f>
        <v>13</v>
      </c>
      <c r="C9910" s="12"/>
      <c r="D9910" s="13" t="n">
        <f aca="false">IF(B9910&lt;5,Einstellungen!$B$3,Einstellungen!$B$4)</f>
        <v>29.13</v>
      </c>
      <c r="E9910" s="14" t="str">
        <f aca="false">IF(C9910="","",C9910*D9910/100)</f>
        <v/>
      </c>
      <c r="F9910" s="15" t="str">
        <f aca="false">IF(B9910&lt;5,"Go","Standard")</f>
        <v>Standard</v>
      </c>
    </row>
    <row r="9911" customFormat="false" ht="15" hidden="false" customHeight="true" outlineLevel="0" collapsed="false">
      <c r="A9911" s="10" t="n">
        <f aca="false">Einstellungen!$B$5+INT((ROW()-9)/24)</f>
        <v>46378</v>
      </c>
      <c r="B9911" s="11" t="n">
        <f aca="false">MOD(ROW()-9,24)</f>
        <v>14</v>
      </c>
      <c r="C9911" s="12"/>
      <c r="D9911" s="13" t="n">
        <f aca="false">IF(B9911&lt;5,Einstellungen!$B$3,Einstellungen!$B$4)</f>
        <v>29.13</v>
      </c>
      <c r="E9911" s="14" t="str">
        <f aca="false">IF(C9911="","",C9911*D9911/100)</f>
        <v/>
      </c>
      <c r="F9911" s="15" t="str">
        <f aca="false">IF(B9911&lt;5,"Go","Standard")</f>
        <v>Standard</v>
      </c>
    </row>
    <row r="9912" customFormat="false" ht="15" hidden="false" customHeight="true" outlineLevel="0" collapsed="false">
      <c r="A9912" s="10" t="n">
        <f aca="false">Einstellungen!$B$5+INT((ROW()-9)/24)</f>
        <v>46378</v>
      </c>
      <c r="B9912" s="11" t="n">
        <f aca="false">MOD(ROW()-9,24)</f>
        <v>15</v>
      </c>
      <c r="C9912" s="12"/>
      <c r="D9912" s="13" t="n">
        <f aca="false">IF(B9912&lt;5,Einstellungen!$B$3,Einstellungen!$B$4)</f>
        <v>29.13</v>
      </c>
      <c r="E9912" s="14" t="str">
        <f aca="false">IF(C9912="","",C9912*D9912/100)</f>
        <v/>
      </c>
      <c r="F9912" s="15" t="str">
        <f aca="false">IF(B9912&lt;5,"Go","Standard")</f>
        <v>Standard</v>
      </c>
    </row>
    <row r="9913" customFormat="false" ht="15" hidden="false" customHeight="true" outlineLevel="0" collapsed="false">
      <c r="A9913" s="10" t="n">
        <f aca="false">Einstellungen!$B$5+INT((ROW()-9)/24)</f>
        <v>46378</v>
      </c>
      <c r="B9913" s="11" t="n">
        <f aca="false">MOD(ROW()-9,24)</f>
        <v>16</v>
      </c>
      <c r="C9913" s="12"/>
      <c r="D9913" s="13" t="n">
        <f aca="false">IF(B9913&lt;5,Einstellungen!$B$3,Einstellungen!$B$4)</f>
        <v>29.13</v>
      </c>
      <c r="E9913" s="14" t="str">
        <f aca="false">IF(C9913="","",C9913*D9913/100)</f>
        <v/>
      </c>
      <c r="F9913" s="15" t="str">
        <f aca="false">IF(B9913&lt;5,"Go","Standard")</f>
        <v>Standard</v>
      </c>
    </row>
    <row r="9914" customFormat="false" ht="15" hidden="false" customHeight="true" outlineLevel="0" collapsed="false">
      <c r="A9914" s="10" t="n">
        <f aca="false">Einstellungen!$B$5+INT((ROW()-9)/24)</f>
        <v>46378</v>
      </c>
      <c r="B9914" s="11" t="n">
        <f aca="false">MOD(ROW()-9,24)</f>
        <v>17</v>
      </c>
      <c r="C9914" s="12"/>
      <c r="D9914" s="13" t="n">
        <f aca="false">IF(B9914&lt;5,Einstellungen!$B$3,Einstellungen!$B$4)</f>
        <v>29.13</v>
      </c>
      <c r="E9914" s="14" t="str">
        <f aca="false">IF(C9914="","",C9914*D9914/100)</f>
        <v/>
      </c>
      <c r="F9914" s="15" t="str">
        <f aca="false">IF(B9914&lt;5,"Go","Standard")</f>
        <v>Standard</v>
      </c>
    </row>
    <row r="9915" customFormat="false" ht="15" hidden="false" customHeight="true" outlineLevel="0" collapsed="false">
      <c r="A9915" s="10" t="n">
        <f aca="false">Einstellungen!$B$5+INT((ROW()-9)/24)</f>
        <v>46378</v>
      </c>
      <c r="B9915" s="11" t="n">
        <f aca="false">MOD(ROW()-9,24)</f>
        <v>18</v>
      </c>
      <c r="C9915" s="12"/>
      <c r="D9915" s="13" t="n">
        <f aca="false">IF(B9915&lt;5,Einstellungen!$B$3,Einstellungen!$B$4)</f>
        <v>29.13</v>
      </c>
      <c r="E9915" s="14" t="str">
        <f aca="false">IF(C9915="","",C9915*D9915/100)</f>
        <v/>
      </c>
      <c r="F9915" s="15" t="str">
        <f aca="false">IF(B9915&lt;5,"Go","Standard")</f>
        <v>Standard</v>
      </c>
    </row>
    <row r="9916" customFormat="false" ht="15" hidden="false" customHeight="true" outlineLevel="0" collapsed="false">
      <c r="A9916" s="10" t="n">
        <f aca="false">Einstellungen!$B$5+INT((ROW()-9)/24)</f>
        <v>46378</v>
      </c>
      <c r="B9916" s="11" t="n">
        <f aca="false">MOD(ROW()-9,24)</f>
        <v>19</v>
      </c>
      <c r="C9916" s="12"/>
      <c r="D9916" s="13" t="n">
        <f aca="false">IF(B9916&lt;5,Einstellungen!$B$3,Einstellungen!$B$4)</f>
        <v>29.13</v>
      </c>
      <c r="E9916" s="14" t="str">
        <f aca="false">IF(C9916="","",C9916*D9916/100)</f>
        <v/>
      </c>
      <c r="F9916" s="15" t="str">
        <f aca="false">IF(B9916&lt;5,"Go","Standard")</f>
        <v>Standard</v>
      </c>
    </row>
    <row r="9917" customFormat="false" ht="15" hidden="false" customHeight="true" outlineLevel="0" collapsed="false">
      <c r="A9917" s="10" t="n">
        <f aca="false">Einstellungen!$B$5+INT((ROW()-9)/24)</f>
        <v>46378</v>
      </c>
      <c r="B9917" s="11" t="n">
        <f aca="false">MOD(ROW()-9,24)</f>
        <v>20</v>
      </c>
      <c r="C9917" s="12"/>
      <c r="D9917" s="13" t="n">
        <f aca="false">IF(B9917&lt;5,Einstellungen!$B$3,Einstellungen!$B$4)</f>
        <v>29.13</v>
      </c>
      <c r="E9917" s="14" t="str">
        <f aca="false">IF(C9917="","",C9917*D9917/100)</f>
        <v/>
      </c>
      <c r="F9917" s="15" t="str">
        <f aca="false">IF(B9917&lt;5,"Go","Standard")</f>
        <v>Standard</v>
      </c>
    </row>
    <row r="9918" customFormat="false" ht="15" hidden="false" customHeight="true" outlineLevel="0" collapsed="false">
      <c r="A9918" s="10" t="n">
        <f aca="false">Einstellungen!$B$5+INT((ROW()-9)/24)</f>
        <v>46378</v>
      </c>
      <c r="B9918" s="11" t="n">
        <f aca="false">MOD(ROW()-9,24)</f>
        <v>21</v>
      </c>
      <c r="C9918" s="12"/>
      <c r="D9918" s="13" t="n">
        <f aca="false">IF(B9918&lt;5,Einstellungen!$B$3,Einstellungen!$B$4)</f>
        <v>29.13</v>
      </c>
      <c r="E9918" s="14" t="str">
        <f aca="false">IF(C9918="","",C9918*D9918/100)</f>
        <v/>
      </c>
      <c r="F9918" s="15" t="str">
        <f aca="false">IF(B9918&lt;5,"Go","Standard")</f>
        <v>Standard</v>
      </c>
    </row>
    <row r="9919" customFormat="false" ht="15" hidden="false" customHeight="true" outlineLevel="0" collapsed="false">
      <c r="A9919" s="10" t="n">
        <f aca="false">Einstellungen!$B$5+INT((ROW()-9)/24)</f>
        <v>46378</v>
      </c>
      <c r="B9919" s="11" t="n">
        <f aca="false">MOD(ROW()-9,24)</f>
        <v>22</v>
      </c>
      <c r="C9919" s="12"/>
      <c r="D9919" s="13" t="n">
        <f aca="false">IF(B9919&lt;5,Einstellungen!$B$3,Einstellungen!$B$4)</f>
        <v>29.13</v>
      </c>
      <c r="E9919" s="14" t="str">
        <f aca="false">IF(C9919="","",C9919*D9919/100)</f>
        <v/>
      </c>
      <c r="F9919" s="15" t="str">
        <f aca="false">IF(B9919&lt;5,"Go","Standard")</f>
        <v>Standard</v>
      </c>
    </row>
    <row r="9920" customFormat="false" ht="15" hidden="false" customHeight="true" outlineLevel="0" collapsed="false">
      <c r="A9920" s="10" t="n">
        <f aca="false">Einstellungen!$B$5+INT((ROW()-9)/24)</f>
        <v>46378</v>
      </c>
      <c r="B9920" s="11" t="n">
        <f aca="false">MOD(ROW()-9,24)</f>
        <v>23</v>
      </c>
      <c r="C9920" s="12"/>
      <c r="D9920" s="13" t="n">
        <f aca="false">IF(B9920&lt;5,Einstellungen!$B$3,Einstellungen!$B$4)</f>
        <v>29.13</v>
      </c>
      <c r="E9920" s="14" t="str">
        <f aca="false">IF(C9920="","",C9920*D9920/100)</f>
        <v/>
      </c>
      <c r="F9920" s="15" t="str">
        <f aca="false">IF(B9920&lt;5,"Go","Standard")</f>
        <v>Standard</v>
      </c>
    </row>
    <row r="9921" customFormat="false" ht="15" hidden="false" customHeight="true" outlineLevel="0" collapsed="false">
      <c r="A9921" s="10" t="n">
        <f aca="false">Einstellungen!$B$5+INT((ROW()-9)/24)</f>
        <v>46379</v>
      </c>
      <c r="B9921" s="11" t="n">
        <f aca="false">MOD(ROW()-9,24)</f>
        <v>0</v>
      </c>
      <c r="C9921" s="12"/>
      <c r="D9921" s="13" t="n">
        <f aca="false">IF(B9921&lt;5,Einstellungen!$B$3,Einstellungen!$B$4)</f>
        <v>15.92</v>
      </c>
      <c r="E9921" s="14" t="str">
        <f aca="false">IF(C9921="","",C9921*D9921/100)</f>
        <v/>
      </c>
      <c r="F9921" s="15" t="str">
        <f aca="false">IF(B9921&lt;5,"Go","Standard")</f>
        <v>Go</v>
      </c>
    </row>
    <row r="9922" customFormat="false" ht="15" hidden="false" customHeight="true" outlineLevel="0" collapsed="false">
      <c r="A9922" s="10" t="n">
        <f aca="false">Einstellungen!$B$5+INT((ROW()-9)/24)</f>
        <v>46379</v>
      </c>
      <c r="B9922" s="11" t="n">
        <f aca="false">MOD(ROW()-9,24)</f>
        <v>1</v>
      </c>
      <c r="C9922" s="12"/>
      <c r="D9922" s="13" t="n">
        <f aca="false">IF(B9922&lt;5,Einstellungen!$B$3,Einstellungen!$B$4)</f>
        <v>15.92</v>
      </c>
      <c r="E9922" s="14" t="str">
        <f aca="false">IF(C9922="","",C9922*D9922/100)</f>
        <v/>
      </c>
      <c r="F9922" s="15" t="str">
        <f aca="false">IF(B9922&lt;5,"Go","Standard")</f>
        <v>Go</v>
      </c>
    </row>
    <row r="9923" customFormat="false" ht="15" hidden="false" customHeight="true" outlineLevel="0" collapsed="false">
      <c r="A9923" s="10" t="n">
        <f aca="false">Einstellungen!$B$5+INT((ROW()-9)/24)</f>
        <v>46379</v>
      </c>
      <c r="B9923" s="11" t="n">
        <f aca="false">MOD(ROW()-9,24)</f>
        <v>2</v>
      </c>
      <c r="C9923" s="12"/>
      <c r="D9923" s="13" t="n">
        <f aca="false">IF(B9923&lt;5,Einstellungen!$B$3,Einstellungen!$B$4)</f>
        <v>15.92</v>
      </c>
      <c r="E9923" s="14" t="str">
        <f aca="false">IF(C9923="","",C9923*D9923/100)</f>
        <v/>
      </c>
      <c r="F9923" s="15" t="str">
        <f aca="false">IF(B9923&lt;5,"Go","Standard")</f>
        <v>Go</v>
      </c>
    </row>
    <row r="9924" customFormat="false" ht="15" hidden="false" customHeight="true" outlineLevel="0" collapsed="false">
      <c r="A9924" s="10" t="n">
        <f aca="false">Einstellungen!$B$5+INT((ROW()-9)/24)</f>
        <v>46379</v>
      </c>
      <c r="B9924" s="11" t="n">
        <f aca="false">MOD(ROW()-9,24)</f>
        <v>3</v>
      </c>
      <c r="C9924" s="12"/>
      <c r="D9924" s="13" t="n">
        <f aca="false">IF(B9924&lt;5,Einstellungen!$B$3,Einstellungen!$B$4)</f>
        <v>15.92</v>
      </c>
      <c r="E9924" s="14" t="str">
        <f aca="false">IF(C9924="","",C9924*D9924/100)</f>
        <v/>
      </c>
      <c r="F9924" s="15" t="str">
        <f aca="false">IF(B9924&lt;5,"Go","Standard")</f>
        <v>Go</v>
      </c>
    </row>
    <row r="9925" customFormat="false" ht="15" hidden="false" customHeight="true" outlineLevel="0" collapsed="false">
      <c r="A9925" s="10" t="n">
        <f aca="false">Einstellungen!$B$5+INT((ROW()-9)/24)</f>
        <v>46379</v>
      </c>
      <c r="B9925" s="11" t="n">
        <f aca="false">MOD(ROW()-9,24)</f>
        <v>4</v>
      </c>
      <c r="C9925" s="12"/>
      <c r="D9925" s="13" t="n">
        <f aca="false">IF(B9925&lt;5,Einstellungen!$B$3,Einstellungen!$B$4)</f>
        <v>15.92</v>
      </c>
      <c r="E9925" s="14" t="str">
        <f aca="false">IF(C9925="","",C9925*D9925/100)</f>
        <v/>
      </c>
      <c r="F9925" s="15" t="str">
        <f aca="false">IF(B9925&lt;5,"Go","Standard")</f>
        <v>Go</v>
      </c>
    </row>
    <row r="9926" customFormat="false" ht="15" hidden="false" customHeight="true" outlineLevel="0" collapsed="false">
      <c r="A9926" s="10" t="n">
        <f aca="false">Einstellungen!$B$5+INT((ROW()-9)/24)</f>
        <v>46379</v>
      </c>
      <c r="B9926" s="11" t="n">
        <f aca="false">MOD(ROW()-9,24)</f>
        <v>5</v>
      </c>
      <c r="C9926" s="12"/>
      <c r="D9926" s="13" t="n">
        <f aca="false">IF(B9926&lt;5,Einstellungen!$B$3,Einstellungen!$B$4)</f>
        <v>29.13</v>
      </c>
      <c r="E9926" s="14" t="str">
        <f aca="false">IF(C9926="","",C9926*D9926/100)</f>
        <v/>
      </c>
      <c r="F9926" s="15" t="str">
        <f aca="false">IF(B9926&lt;5,"Go","Standard")</f>
        <v>Standard</v>
      </c>
    </row>
    <row r="9927" customFormat="false" ht="15" hidden="false" customHeight="true" outlineLevel="0" collapsed="false">
      <c r="A9927" s="10" t="n">
        <f aca="false">Einstellungen!$B$5+INT((ROW()-9)/24)</f>
        <v>46379</v>
      </c>
      <c r="B9927" s="11" t="n">
        <f aca="false">MOD(ROW()-9,24)</f>
        <v>6</v>
      </c>
      <c r="C9927" s="12"/>
      <c r="D9927" s="13" t="n">
        <f aca="false">IF(B9927&lt;5,Einstellungen!$B$3,Einstellungen!$B$4)</f>
        <v>29.13</v>
      </c>
      <c r="E9927" s="14" t="str">
        <f aca="false">IF(C9927="","",C9927*D9927/100)</f>
        <v/>
      </c>
      <c r="F9927" s="15" t="str">
        <f aca="false">IF(B9927&lt;5,"Go","Standard")</f>
        <v>Standard</v>
      </c>
    </row>
    <row r="9928" customFormat="false" ht="15" hidden="false" customHeight="true" outlineLevel="0" collapsed="false">
      <c r="A9928" s="10" t="n">
        <f aca="false">Einstellungen!$B$5+INT((ROW()-9)/24)</f>
        <v>46379</v>
      </c>
      <c r="B9928" s="11" t="n">
        <f aca="false">MOD(ROW()-9,24)</f>
        <v>7</v>
      </c>
      <c r="C9928" s="12"/>
      <c r="D9928" s="13" t="n">
        <f aca="false">IF(B9928&lt;5,Einstellungen!$B$3,Einstellungen!$B$4)</f>
        <v>29.13</v>
      </c>
      <c r="E9928" s="14" t="str">
        <f aca="false">IF(C9928="","",C9928*D9928/100)</f>
        <v/>
      </c>
      <c r="F9928" s="15" t="str">
        <f aca="false">IF(B9928&lt;5,"Go","Standard")</f>
        <v>Standard</v>
      </c>
    </row>
    <row r="9929" customFormat="false" ht="15" hidden="false" customHeight="true" outlineLevel="0" collapsed="false">
      <c r="A9929" s="10" t="n">
        <f aca="false">Einstellungen!$B$5+INT((ROW()-9)/24)</f>
        <v>46379</v>
      </c>
      <c r="B9929" s="11" t="n">
        <f aca="false">MOD(ROW()-9,24)</f>
        <v>8</v>
      </c>
      <c r="C9929" s="12"/>
      <c r="D9929" s="13" t="n">
        <f aca="false">IF(B9929&lt;5,Einstellungen!$B$3,Einstellungen!$B$4)</f>
        <v>29.13</v>
      </c>
      <c r="E9929" s="14" t="str">
        <f aca="false">IF(C9929="","",C9929*D9929/100)</f>
        <v/>
      </c>
      <c r="F9929" s="15" t="str">
        <f aca="false">IF(B9929&lt;5,"Go","Standard")</f>
        <v>Standard</v>
      </c>
    </row>
    <row r="9930" customFormat="false" ht="15" hidden="false" customHeight="true" outlineLevel="0" collapsed="false">
      <c r="A9930" s="10" t="n">
        <f aca="false">Einstellungen!$B$5+INT((ROW()-9)/24)</f>
        <v>46379</v>
      </c>
      <c r="B9930" s="11" t="n">
        <f aca="false">MOD(ROW()-9,24)</f>
        <v>9</v>
      </c>
      <c r="C9930" s="12"/>
      <c r="D9930" s="13" t="n">
        <f aca="false">IF(B9930&lt;5,Einstellungen!$B$3,Einstellungen!$B$4)</f>
        <v>29.13</v>
      </c>
      <c r="E9930" s="14" t="str">
        <f aca="false">IF(C9930="","",C9930*D9930/100)</f>
        <v/>
      </c>
      <c r="F9930" s="15" t="str">
        <f aca="false">IF(B9930&lt;5,"Go","Standard")</f>
        <v>Standard</v>
      </c>
    </row>
    <row r="9931" customFormat="false" ht="15" hidden="false" customHeight="true" outlineLevel="0" collapsed="false">
      <c r="A9931" s="10" t="n">
        <f aca="false">Einstellungen!$B$5+INT((ROW()-9)/24)</f>
        <v>46379</v>
      </c>
      <c r="B9931" s="11" t="n">
        <f aca="false">MOD(ROW()-9,24)</f>
        <v>10</v>
      </c>
      <c r="C9931" s="12"/>
      <c r="D9931" s="13" t="n">
        <f aca="false">IF(B9931&lt;5,Einstellungen!$B$3,Einstellungen!$B$4)</f>
        <v>29.13</v>
      </c>
      <c r="E9931" s="14" t="str">
        <f aca="false">IF(C9931="","",C9931*D9931/100)</f>
        <v/>
      </c>
      <c r="F9931" s="15" t="str">
        <f aca="false">IF(B9931&lt;5,"Go","Standard")</f>
        <v>Standard</v>
      </c>
    </row>
    <row r="9932" customFormat="false" ht="15" hidden="false" customHeight="true" outlineLevel="0" collapsed="false">
      <c r="A9932" s="10" t="n">
        <f aca="false">Einstellungen!$B$5+INT((ROW()-9)/24)</f>
        <v>46379</v>
      </c>
      <c r="B9932" s="11" t="n">
        <f aca="false">MOD(ROW()-9,24)</f>
        <v>11</v>
      </c>
      <c r="C9932" s="12"/>
      <c r="D9932" s="13" t="n">
        <f aca="false">IF(B9932&lt;5,Einstellungen!$B$3,Einstellungen!$B$4)</f>
        <v>29.13</v>
      </c>
      <c r="E9932" s="14" t="str">
        <f aca="false">IF(C9932="","",C9932*D9932/100)</f>
        <v/>
      </c>
      <c r="F9932" s="15" t="str">
        <f aca="false">IF(B9932&lt;5,"Go","Standard")</f>
        <v>Standard</v>
      </c>
    </row>
    <row r="9933" customFormat="false" ht="15" hidden="false" customHeight="true" outlineLevel="0" collapsed="false">
      <c r="A9933" s="10" t="n">
        <f aca="false">Einstellungen!$B$5+INT((ROW()-9)/24)</f>
        <v>46379</v>
      </c>
      <c r="B9933" s="11" t="n">
        <f aca="false">MOD(ROW()-9,24)</f>
        <v>12</v>
      </c>
      <c r="C9933" s="12"/>
      <c r="D9933" s="13" t="n">
        <f aca="false">IF(B9933&lt;5,Einstellungen!$B$3,Einstellungen!$B$4)</f>
        <v>29.13</v>
      </c>
      <c r="E9933" s="14" t="str">
        <f aca="false">IF(C9933="","",C9933*D9933/100)</f>
        <v/>
      </c>
      <c r="F9933" s="15" t="str">
        <f aca="false">IF(B9933&lt;5,"Go","Standard")</f>
        <v>Standard</v>
      </c>
    </row>
    <row r="9934" customFormat="false" ht="15" hidden="false" customHeight="true" outlineLevel="0" collapsed="false">
      <c r="A9934" s="10" t="n">
        <f aca="false">Einstellungen!$B$5+INT((ROW()-9)/24)</f>
        <v>46379</v>
      </c>
      <c r="B9934" s="11" t="n">
        <f aca="false">MOD(ROW()-9,24)</f>
        <v>13</v>
      </c>
      <c r="C9934" s="12"/>
      <c r="D9934" s="13" t="n">
        <f aca="false">IF(B9934&lt;5,Einstellungen!$B$3,Einstellungen!$B$4)</f>
        <v>29.13</v>
      </c>
      <c r="E9934" s="14" t="str">
        <f aca="false">IF(C9934="","",C9934*D9934/100)</f>
        <v/>
      </c>
      <c r="F9934" s="15" t="str">
        <f aca="false">IF(B9934&lt;5,"Go","Standard")</f>
        <v>Standard</v>
      </c>
    </row>
    <row r="9935" customFormat="false" ht="15" hidden="false" customHeight="true" outlineLevel="0" collapsed="false">
      <c r="A9935" s="10" t="n">
        <f aca="false">Einstellungen!$B$5+INT((ROW()-9)/24)</f>
        <v>46379</v>
      </c>
      <c r="B9935" s="11" t="n">
        <f aca="false">MOD(ROW()-9,24)</f>
        <v>14</v>
      </c>
      <c r="C9935" s="12"/>
      <c r="D9935" s="13" t="n">
        <f aca="false">IF(B9935&lt;5,Einstellungen!$B$3,Einstellungen!$B$4)</f>
        <v>29.13</v>
      </c>
      <c r="E9935" s="14" t="str">
        <f aca="false">IF(C9935="","",C9935*D9935/100)</f>
        <v/>
      </c>
      <c r="F9935" s="15" t="str">
        <f aca="false">IF(B9935&lt;5,"Go","Standard")</f>
        <v>Standard</v>
      </c>
    </row>
    <row r="9936" customFormat="false" ht="15" hidden="false" customHeight="true" outlineLevel="0" collapsed="false">
      <c r="A9936" s="10" t="n">
        <f aca="false">Einstellungen!$B$5+INT((ROW()-9)/24)</f>
        <v>46379</v>
      </c>
      <c r="B9936" s="11" t="n">
        <f aca="false">MOD(ROW()-9,24)</f>
        <v>15</v>
      </c>
      <c r="C9936" s="12"/>
      <c r="D9936" s="13" t="n">
        <f aca="false">IF(B9936&lt;5,Einstellungen!$B$3,Einstellungen!$B$4)</f>
        <v>29.13</v>
      </c>
      <c r="E9936" s="14" t="str">
        <f aca="false">IF(C9936="","",C9936*D9936/100)</f>
        <v/>
      </c>
      <c r="F9936" s="15" t="str">
        <f aca="false">IF(B9936&lt;5,"Go","Standard")</f>
        <v>Standard</v>
      </c>
    </row>
    <row r="9937" customFormat="false" ht="15" hidden="false" customHeight="true" outlineLevel="0" collapsed="false">
      <c r="A9937" s="10" t="n">
        <f aca="false">Einstellungen!$B$5+INT((ROW()-9)/24)</f>
        <v>46379</v>
      </c>
      <c r="B9937" s="11" t="n">
        <f aca="false">MOD(ROW()-9,24)</f>
        <v>16</v>
      </c>
      <c r="C9937" s="12"/>
      <c r="D9937" s="13" t="n">
        <f aca="false">IF(B9937&lt;5,Einstellungen!$B$3,Einstellungen!$B$4)</f>
        <v>29.13</v>
      </c>
      <c r="E9937" s="14" t="str">
        <f aca="false">IF(C9937="","",C9937*D9937/100)</f>
        <v/>
      </c>
      <c r="F9937" s="15" t="str">
        <f aca="false">IF(B9937&lt;5,"Go","Standard")</f>
        <v>Standard</v>
      </c>
    </row>
    <row r="9938" customFormat="false" ht="15" hidden="false" customHeight="true" outlineLevel="0" collapsed="false">
      <c r="A9938" s="10" t="n">
        <f aca="false">Einstellungen!$B$5+INT((ROW()-9)/24)</f>
        <v>46379</v>
      </c>
      <c r="B9938" s="11" t="n">
        <f aca="false">MOD(ROW()-9,24)</f>
        <v>17</v>
      </c>
      <c r="C9938" s="12"/>
      <c r="D9938" s="13" t="n">
        <f aca="false">IF(B9938&lt;5,Einstellungen!$B$3,Einstellungen!$B$4)</f>
        <v>29.13</v>
      </c>
      <c r="E9938" s="14" t="str">
        <f aca="false">IF(C9938="","",C9938*D9938/100)</f>
        <v/>
      </c>
      <c r="F9938" s="15" t="str">
        <f aca="false">IF(B9938&lt;5,"Go","Standard")</f>
        <v>Standard</v>
      </c>
    </row>
    <row r="9939" customFormat="false" ht="15" hidden="false" customHeight="true" outlineLevel="0" collapsed="false">
      <c r="A9939" s="10" t="n">
        <f aca="false">Einstellungen!$B$5+INT((ROW()-9)/24)</f>
        <v>46379</v>
      </c>
      <c r="B9939" s="11" t="n">
        <f aca="false">MOD(ROW()-9,24)</f>
        <v>18</v>
      </c>
      <c r="C9939" s="12"/>
      <c r="D9939" s="13" t="n">
        <f aca="false">IF(B9939&lt;5,Einstellungen!$B$3,Einstellungen!$B$4)</f>
        <v>29.13</v>
      </c>
      <c r="E9939" s="14" t="str">
        <f aca="false">IF(C9939="","",C9939*D9939/100)</f>
        <v/>
      </c>
      <c r="F9939" s="15" t="str">
        <f aca="false">IF(B9939&lt;5,"Go","Standard")</f>
        <v>Standard</v>
      </c>
    </row>
    <row r="9940" customFormat="false" ht="15" hidden="false" customHeight="true" outlineLevel="0" collapsed="false">
      <c r="A9940" s="10" t="n">
        <f aca="false">Einstellungen!$B$5+INT((ROW()-9)/24)</f>
        <v>46379</v>
      </c>
      <c r="B9940" s="11" t="n">
        <f aca="false">MOD(ROW()-9,24)</f>
        <v>19</v>
      </c>
      <c r="C9940" s="12"/>
      <c r="D9940" s="13" t="n">
        <f aca="false">IF(B9940&lt;5,Einstellungen!$B$3,Einstellungen!$B$4)</f>
        <v>29.13</v>
      </c>
      <c r="E9940" s="14" t="str">
        <f aca="false">IF(C9940="","",C9940*D9940/100)</f>
        <v/>
      </c>
      <c r="F9940" s="15" t="str">
        <f aca="false">IF(B9940&lt;5,"Go","Standard")</f>
        <v>Standard</v>
      </c>
    </row>
    <row r="9941" customFormat="false" ht="15" hidden="false" customHeight="true" outlineLevel="0" collapsed="false">
      <c r="A9941" s="10" t="n">
        <f aca="false">Einstellungen!$B$5+INT((ROW()-9)/24)</f>
        <v>46379</v>
      </c>
      <c r="B9941" s="11" t="n">
        <f aca="false">MOD(ROW()-9,24)</f>
        <v>20</v>
      </c>
      <c r="C9941" s="12"/>
      <c r="D9941" s="13" t="n">
        <f aca="false">IF(B9941&lt;5,Einstellungen!$B$3,Einstellungen!$B$4)</f>
        <v>29.13</v>
      </c>
      <c r="E9941" s="14" t="str">
        <f aca="false">IF(C9941="","",C9941*D9941/100)</f>
        <v/>
      </c>
      <c r="F9941" s="15" t="str">
        <f aca="false">IF(B9941&lt;5,"Go","Standard")</f>
        <v>Standard</v>
      </c>
    </row>
    <row r="9942" customFormat="false" ht="15" hidden="false" customHeight="true" outlineLevel="0" collapsed="false">
      <c r="A9942" s="10" t="n">
        <f aca="false">Einstellungen!$B$5+INT((ROW()-9)/24)</f>
        <v>46379</v>
      </c>
      <c r="B9942" s="11" t="n">
        <f aca="false">MOD(ROW()-9,24)</f>
        <v>21</v>
      </c>
      <c r="C9942" s="12"/>
      <c r="D9942" s="13" t="n">
        <f aca="false">IF(B9942&lt;5,Einstellungen!$B$3,Einstellungen!$B$4)</f>
        <v>29.13</v>
      </c>
      <c r="E9942" s="14" t="str">
        <f aca="false">IF(C9942="","",C9942*D9942/100)</f>
        <v/>
      </c>
      <c r="F9942" s="15" t="str">
        <f aca="false">IF(B9942&lt;5,"Go","Standard")</f>
        <v>Standard</v>
      </c>
    </row>
    <row r="9943" customFormat="false" ht="15" hidden="false" customHeight="true" outlineLevel="0" collapsed="false">
      <c r="A9943" s="10" t="n">
        <f aca="false">Einstellungen!$B$5+INT((ROW()-9)/24)</f>
        <v>46379</v>
      </c>
      <c r="B9943" s="11" t="n">
        <f aca="false">MOD(ROW()-9,24)</f>
        <v>22</v>
      </c>
      <c r="C9943" s="12"/>
      <c r="D9943" s="13" t="n">
        <f aca="false">IF(B9943&lt;5,Einstellungen!$B$3,Einstellungen!$B$4)</f>
        <v>29.13</v>
      </c>
      <c r="E9943" s="14" t="str">
        <f aca="false">IF(C9943="","",C9943*D9943/100)</f>
        <v/>
      </c>
      <c r="F9943" s="15" t="str">
        <f aca="false">IF(B9943&lt;5,"Go","Standard")</f>
        <v>Standard</v>
      </c>
    </row>
    <row r="9944" customFormat="false" ht="15" hidden="false" customHeight="true" outlineLevel="0" collapsed="false">
      <c r="A9944" s="10" t="n">
        <f aca="false">Einstellungen!$B$5+INT((ROW()-9)/24)</f>
        <v>46379</v>
      </c>
      <c r="B9944" s="11" t="n">
        <f aca="false">MOD(ROW()-9,24)</f>
        <v>23</v>
      </c>
      <c r="C9944" s="12"/>
      <c r="D9944" s="13" t="n">
        <f aca="false">IF(B9944&lt;5,Einstellungen!$B$3,Einstellungen!$B$4)</f>
        <v>29.13</v>
      </c>
      <c r="E9944" s="14" t="str">
        <f aca="false">IF(C9944="","",C9944*D9944/100)</f>
        <v/>
      </c>
      <c r="F9944" s="15" t="str">
        <f aca="false">IF(B9944&lt;5,"Go","Standard")</f>
        <v>Standard</v>
      </c>
    </row>
    <row r="9945" customFormat="false" ht="15" hidden="false" customHeight="true" outlineLevel="0" collapsed="false">
      <c r="A9945" s="10" t="n">
        <f aca="false">Einstellungen!$B$5+INT((ROW()-9)/24)</f>
        <v>46380</v>
      </c>
      <c r="B9945" s="11" t="n">
        <f aca="false">MOD(ROW()-9,24)</f>
        <v>0</v>
      </c>
      <c r="C9945" s="12"/>
      <c r="D9945" s="13" t="n">
        <f aca="false">IF(B9945&lt;5,Einstellungen!$B$3,Einstellungen!$B$4)</f>
        <v>15.92</v>
      </c>
      <c r="E9945" s="14" t="str">
        <f aca="false">IF(C9945="","",C9945*D9945/100)</f>
        <v/>
      </c>
      <c r="F9945" s="15" t="str">
        <f aca="false">IF(B9945&lt;5,"Go","Standard")</f>
        <v>Go</v>
      </c>
    </row>
    <row r="9946" customFormat="false" ht="15" hidden="false" customHeight="true" outlineLevel="0" collapsed="false">
      <c r="A9946" s="10" t="n">
        <f aca="false">Einstellungen!$B$5+INT((ROW()-9)/24)</f>
        <v>46380</v>
      </c>
      <c r="B9946" s="11" t="n">
        <f aca="false">MOD(ROW()-9,24)</f>
        <v>1</v>
      </c>
      <c r="C9946" s="12"/>
      <c r="D9946" s="13" t="n">
        <f aca="false">IF(B9946&lt;5,Einstellungen!$B$3,Einstellungen!$B$4)</f>
        <v>15.92</v>
      </c>
      <c r="E9946" s="14" t="str">
        <f aca="false">IF(C9946="","",C9946*D9946/100)</f>
        <v/>
      </c>
      <c r="F9946" s="15" t="str">
        <f aca="false">IF(B9946&lt;5,"Go","Standard")</f>
        <v>Go</v>
      </c>
    </row>
    <row r="9947" customFormat="false" ht="15" hidden="false" customHeight="true" outlineLevel="0" collapsed="false">
      <c r="A9947" s="10" t="n">
        <f aca="false">Einstellungen!$B$5+INT((ROW()-9)/24)</f>
        <v>46380</v>
      </c>
      <c r="B9947" s="11" t="n">
        <f aca="false">MOD(ROW()-9,24)</f>
        <v>2</v>
      </c>
      <c r="C9947" s="12"/>
      <c r="D9947" s="13" t="n">
        <f aca="false">IF(B9947&lt;5,Einstellungen!$B$3,Einstellungen!$B$4)</f>
        <v>15.92</v>
      </c>
      <c r="E9947" s="14" t="str">
        <f aca="false">IF(C9947="","",C9947*D9947/100)</f>
        <v/>
      </c>
      <c r="F9947" s="15" t="str">
        <f aca="false">IF(B9947&lt;5,"Go","Standard")</f>
        <v>Go</v>
      </c>
    </row>
    <row r="9948" customFormat="false" ht="15" hidden="false" customHeight="true" outlineLevel="0" collapsed="false">
      <c r="A9948" s="10" t="n">
        <f aca="false">Einstellungen!$B$5+INT((ROW()-9)/24)</f>
        <v>46380</v>
      </c>
      <c r="B9948" s="11" t="n">
        <f aca="false">MOD(ROW()-9,24)</f>
        <v>3</v>
      </c>
      <c r="C9948" s="12"/>
      <c r="D9948" s="13" t="n">
        <f aca="false">IF(B9948&lt;5,Einstellungen!$B$3,Einstellungen!$B$4)</f>
        <v>15.92</v>
      </c>
      <c r="E9948" s="14" t="str">
        <f aca="false">IF(C9948="","",C9948*D9948/100)</f>
        <v/>
      </c>
      <c r="F9948" s="15" t="str">
        <f aca="false">IF(B9948&lt;5,"Go","Standard")</f>
        <v>Go</v>
      </c>
    </row>
    <row r="9949" customFormat="false" ht="15" hidden="false" customHeight="true" outlineLevel="0" collapsed="false">
      <c r="A9949" s="10" t="n">
        <f aca="false">Einstellungen!$B$5+INT((ROW()-9)/24)</f>
        <v>46380</v>
      </c>
      <c r="B9949" s="11" t="n">
        <f aca="false">MOD(ROW()-9,24)</f>
        <v>4</v>
      </c>
      <c r="C9949" s="12"/>
      <c r="D9949" s="13" t="n">
        <f aca="false">IF(B9949&lt;5,Einstellungen!$B$3,Einstellungen!$B$4)</f>
        <v>15.92</v>
      </c>
      <c r="E9949" s="14" t="str">
        <f aca="false">IF(C9949="","",C9949*D9949/100)</f>
        <v/>
      </c>
      <c r="F9949" s="15" t="str">
        <f aca="false">IF(B9949&lt;5,"Go","Standard")</f>
        <v>Go</v>
      </c>
    </row>
    <row r="9950" customFormat="false" ht="15" hidden="false" customHeight="true" outlineLevel="0" collapsed="false">
      <c r="A9950" s="10" t="n">
        <f aca="false">Einstellungen!$B$5+INT((ROW()-9)/24)</f>
        <v>46380</v>
      </c>
      <c r="B9950" s="11" t="n">
        <f aca="false">MOD(ROW()-9,24)</f>
        <v>5</v>
      </c>
      <c r="C9950" s="12"/>
      <c r="D9950" s="13" t="n">
        <f aca="false">IF(B9950&lt;5,Einstellungen!$B$3,Einstellungen!$B$4)</f>
        <v>29.13</v>
      </c>
      <c r="E9950" s="14" t="str">
        <f aca="false">IF(C9950="","",C9950*D9950/100)</f>
        <v/>
      </c>
      <c r="F9950" s="15" t="str">
        <f aca="false">IF(B9950&lt;5,"Go","Standard")</f>
        <v>Standard</v>
      </c>
    </row>
    <row r="9951" customFormat="false" ht="15" hidden="false" customHeight="true" outlineLevel="0" collapsed="false">
      <c r="A9951" s="10" t="n">
        <f aca="false">Einstellungen!$B$5+INT((ROW()-9)/24)</f>
        <v>46380</v>
      </c>
      <c r="B9951" s="11" t="n">
        <f aca="false">MOD(ROW()-9,24)</f>
        <v>6</v>
      </c>
      <c r="C9951" s="12"/>
      <c r="D9951" s="13" t="n">
        <f aca="false">IF(B9951&lt;5,Einstellungen!$B$3,Einstellungen!$B$4)</f>
        <v>29.13</v>
      </c>
      <c r="E9951" s="14" t="str">
        <f aca="false">IF(C9951="","",C9951*D9951/100)</f>
        <v/>
      </c>
      <c r="F9951" s="15" t="str">
        <f aca="false">IF(B9951&lt;5,"Go","Standard")</f>
        <v>Standard</v>
      </c>
    </row>
    <row r="9952" customFormat="false" ht="15" hidden="false" customHeight="true" outlineLevel="0" collapsed="false">
      <c r="A9952" s="10" t="n">
        <f aca="false">Einstellungen!$B$5+INT((ROW()-9)/24)</f>
        <v>46380</v>
      </c>
      <c r="B9952" s="11" t="n">
        <f aca="false">MOD(ROW()-9,24)</f>
        <v>7</v>
      </c>
      <c r="C9952" s="12"/>
      <c r="D9952" s="13" t="n">
        <f aca="false">IF(B9952&lt;5,Einstellungen!$B$3,Einstellungen!$B$4)</f>
        <v>29.13</v>
      </c>
      <c r="E9952" s="14" t="str">
        <f aca="false">IF(C9952="","",C9952*D9952/100)</f>
        <v/>
      </c>
      <c r="F9952" s="15" t="str">
        <f aca="false">IF(B9952&lt;5,"Go","Standard")</f>
        <v>Standard</v>
      </c>
    </row>
    <row r="9953" customFormat="false" ht="15" hidden="false" customHeight="true" outlineLevel="0" collapsed="false">
      <c r="A9953" s="10" t="n">
        <f aca="false">Einstellungen!$B$5+INT((ROW()-9)/24)</f>
        <v>46380</v>
      </c>
      <c r="B9953" s="11" t="n">
        <f aca="false">MOD(ROW()-9,24)</f>
        <v>8</v>
      </c>
      <c r="C9953" s="12"/>
      <c r="D9953" s="13" t="n">
        <f aca="false">IF(B9953&lt;5,Einstellungen!$B$3,Einstellungen!$B$4)</f>
        <v>29.13</v>
      </c>
      <c r="E9953" s="14" t="str">
        <f aca="false">IF(C9953="","",C9953*D9953/100)</f>
        <v/>
      </c>
      <c r="F9953" s="15" t="str">
        <f aca="false">IF(B9953&lt;5,"Go","Standard")</f>
        <v>Standard</v>
      </c>
    </row>
    <row r="9954" customFormat="false" ht="15" hidden="false" customHeight="true" outlineLevel="0" collapsed="false">
      <c r="A9954" s="10" t="n">
        <f aca="false">Einstellungen!$B$5+INT((ROW()-9)/24)</f>
        <v>46380</v>
      </c>
      <c r="B9954" s="11" t="n">
        <f aca="false">MOD(ROW()-9,24)</f>
        <v>9</v>
      </c>
      <c r="C9954" s="12"/>
      <c r="D9954" s="13" t="n">
        <f aca="false">IF(B9954&lt;5,Einstellungen!$B$3,Einstellungen!$B$4)</f>
        <v>29.13</v>
      </c>
      <c r="E9954" s="14" t="str">
        <f aca="false">IF(C9954="","",C9954*D9954/100)</f>
        <v/>
      </c>
      <c r="F9954" s="15" t="str">
        <f aca="false">IF(B9954&lt;5,"Go","Standard")</f>
        <v>Standard</v>
      </c>
    </row>
    <row r="9955" customFormat="false" ht="15" hidden="false" customHeight="true" outlineLevel="0" collapsed="false">
      <c r="A9955" s="10" t="n">
        <f aca="false">Einstellungen!$B$5+INT((ROW()-9)/24)</f>
        <v>46380</v>
      </c>
      <c r="B9955" s="11" t="n">
        <f aca="false">MOD(ROW()-9,24)</f>
        <v>10</v>
      </c>
      <c r="C9955" s="12"/>
      <c r="D9955" s="13" t="n">
        <f aca="false">IF(B9955&lt;5,Einstellungen!$B$3,Einstellungen!$B$4)</f>
        <v>29.13</v>
      </c>
      <c r="E9955" s="14" t="str">
        <f aca="false">IF(C9955="","",C9955*D9955/100)</f>
        <v/>
      </c>
      <c r="F9955" s="15" t="str">
        <f aca="false">IF(B9955&lt;5,"Go","Standard")</f>
        <v>Standard</v>
      </c>
    </row>
    <row r="9956" customFormat="false" ht="15" hidden="false" customHeight="true" outlineLevel="0" collapsed="false">
      <c r="A9956" s="10" t="n">
        <f aca="false">Einstellungen!$B$5+INT((ROW()-9)/24)</f>
        <v>46380</v>
      </c>
      <c r="B9956" s="11" t="n">
        <f aca="false">MOD(ROW()-9,24)</f>
        <v>11</v>
      </c>
      <c r="C9956" s="12"/>
      <c r="D9956" s="13" t="n">
        <f aca="false">IF(B9956&lt;5,Einstellungen!$B$3,Einstellungen!$B$4)</f>
        <v>29.13</v>
      </c>
      <c r="E9956" s="14" t="str">
        <f aca="false">IF(C9956="","",C9956*D9956/100)</f>
        <v/>
      </c>
      <c r="F9956" s="15" t="str">
        <f aca="false">IF(B9956&lt;5,"Go","Standard")</f>
        <v>Standard</v>
      </c>
    </row>
    <row r="9957" customFormat="false" ht="15" hidden="false" customHeight="true" outlineLevel="0" collapsed="false">
      <c r="A9957" s="10" t="n">
        <f aca="false">Einstellungen!$B$5+INT((ROW()-9)/24)</f>
        <v>46380</v>
      </c>
      <c r="B9957" s="11" t="n">
        <f aca="false">MOD(ROW()-9,24)</f>
        <v>12</v>
      </c>
      <c r="C9957" s="12"/>
      <c r="D9957" s="13" t="n">
        <f aca="false">IF(B9957&lt;5,Einstellungen!$B$3,Einstellungen!$B$4)</f>
        <v>29.13</v>
      </c>
      <c r="E9957" s="14" t="str">
        <f aca="false">IF(C9957="","",C9957*D9957/100)</f>
        <v/>
      </c>
      <c r="F9957" s="15" t="str">
        <f aca="false">IF(B9957&lt;5,"Go","Standard")</f>
        <v>Standard</v>
      </c>
    </row>
    <row r="9958" customFormat="false" ht="15" hidden="false" customHeight="true" outlineLevel="0" collapsed="false">
      <c r="A9958" s="10" t="n">
        <f aca="false">Einstellungen!$B$5+INT((ROW()-9)/24)</f>
        <v>46380</v>
      </c>
      <c r="B9958" s="11" t="n">
        <f aca="false">MOD(ROW()-9,24)</f>
        <v>13</v>
      </c>
      <c r="C9958" s="12"/>
      <c r="D9958" s="13" t="n">
        <f aca="false">IF(B9958&lt;5,Einstellungen!$B$3,Einstellungen!$B$4)</f>
        <v>29.13</v>
      </c>
      <c r="E9958" s="14" t="str">
        <f aca="false">IF(C9958="","",C9958*D9958/100)</f>
        <v/>
      </c>
      <c r="F9958" s="15" t="str">
        <f aca="false">IF(B9958&lt;5,"Go","Standard")</f>
        <v>Standard</v>
      </c>
    </row>
    <row r="9959" customFormat="false" ht="15" hidden="false" customHeight="true" outlineLevel="0" collapsed="false">
      <c r="A9959" s="10" t="n">
        <f aca="false">Einstellungen!$B$5+INT((ROW()-9)/24)</f>
        <v>46380</v>
      </c>
      <c r="B9959" s="11" t="n">
        <f aca="false">MOD(ROW()-9,24)</f>
        <v>14</v>
      </c>
      <c r="C9959" s="12"/>
      <c r="D9959" s="13" t="n">
        <f aca="false">IF(B9959&lt;5,Einstellungen!$B$3,Einstellungen!$B$4)</f>
        <v>29.13</v>
      </c>
      <c r="E9959" s="14" t="str">
        <f aca="false">IF(C9959="","",C9959*D9959/100)</f>
        <v/>
      </c>
      <c r="F9959" s="15" t="str">
        <f aca="false">IF(B9959&lt;5,"Go","Standard")</f>
        <v>Standard</v>
      </c>
    </row>
    <row r="9960" customFormat="false" ht="15" hidden="false" customHeight="true" outlineLevel="0" collapsed="false">
      <c r="A9960" s="10" t="n">
        <f aca="false">Einstellungen!$B$5+INT((ROW()-9)/24)</f>
        <v>46380</v>
      </c>
      <c r="B9960" s="11" t="n">
        <f aca="false">MOD(ROW()-9,24)</f>
        <v>15</v>
      </c>
      <c r="C9960" s="12"/>
      <c r="D9960" s="13" t="n">
        <f aca="false">IF(B9960&lt;5,Einstellungen!$B$3,Einstellungen!$B$4)</f>
        <v>29.13</v>
      </c>
      <c r="E9960" s="14" t="str">
        <f aca="false">IF(C9960="","",C9960*D9960/100)</f>
        <v/>
      </c>
      <c r="F9960" s="15" t="str">
        <f aca="false">IF(B9960&lt;5,"Go","Standard")</f>
        <v>Standard</v>
      </c>
    </row>
    <row r="9961" customFormat="false" ht="15" hidden="false" customHeight="true" outlineLevel="0" collapsed="false">
      <c r="A9961" s="10" t="n">
        <f aca="false">Einstellungen!$B$5+INT((ROW()-9)/24)</f>
        <v>46380</v>
      </c>
      <c r="B9961" s="11" t="n">
        <f aca="false">MOD(ROW()-9,24)</f>
        <v>16</v>
      </c>
      <c r="C9961" s="12"/>
      <c r="D9961" s="13" t="n">
        <f aca="false">IF(B9961&lt;5,Einstellungen!$B$3,Einstellungen!$B$4)</f>
        <v>29.13</v>
      </c>
      <c r="E9961" s="14" t="str">
        <f aca="false">IF(C9961="","",C9961*D9961/100)</f>
        <v/>
      </c>
      <c r="F9961" s="15" t="str">
        <f aca="false">IF(B9961&lt;5,"Go","Standard")</f>
        <v>Standard</v>
      </c>
    </row>
    <row r="9962" customFormat="false" ht="15" hidden="false" customHeight="true" outlineLevel="0" collapsed="false">
      <c r="A9962" s="10" t="n">
        <f aca="false">Einstellungen!$B$5+INT((ROW()-9)/24)</f>
        <v>46380</v>
      </c>
      <c r="B9962" s="11" t="n">
        <f aca="false">MOD(ROW()-9,24)</f>
        <v>17</v>
      </c>
      <c r="C9962" s="12"/>
      <c r="D9962" s="13" t="n">
        <f aca="false">IF(B9962&lt;5,Einstellungen!$B$3,Einstellungen!$B$4)</f>
        <v>29.13</v>
      </c>
      <c r="E9962" s="14" t="str">
        <f aca="false">IF(C9962="","",C9962*D9962/100)</f>
        <v/>
      </c>
      <c r="F9962" s="15" t="str">
        <f aca="false">IF(B9962&lt;5,"Go","Standard")</f>
        <v>Standard</v>
      </c>
    </row>
    <row r="9963" customFormat="false" ht="15" hidden="false" customHeight="true" outlineLevel="0" collapsed="false">
      <c r="A9963" s="10" t="n">
        <f aca="false">Einstellungen!$B$5+INT((ROW()-9)/24)</f>
        <v>46380</v>
      </c>
      <c r="B9963" s="11" t="n">
        <f aca="false">MOD(ROW()-9,24)</f>
        <v>18</v>
      </c>
      <c r="C9963" s="12"/>
      <c r="D9963" s="13" t="n">
        <f aca="false">IF(B9963&lt;5,Einstellungen!$B$3,Einstellungen!$B$4)</f>
        <v>29.13</v>
      </c>
      <c r="E9963" s="14" t="str">
        <f aca="false">IF(C9963="","",C9963*D9963/100)</f>
        <v/>
      </c>
      <c r="F9963" s="15" t="str">
        <f aca="false">IF(B9963&lt;5,"Go","Standard")</f>
        <v>Standard</v>
      </c>
    </row>
    <row r="9964" customFormat="false" ht="15" hidden="false" customHeight="true" outlineLevel="0" collapsed="false">
      <c r="A9964" s="10" t="n">
        <f aca="false">Einstellungen!$B$5+INT((ROW()-9)/24)</f>
        <v>46380</v>
      </c>
      <c r="B9964" s="11" t="n">
        <f aca="false">MOD(ROW()-9,24)</f>
        <v>19</v>
      </c>
      <c r="C9964" s="12"/>
      <c r="D9964" s="13" t="n">
        <f aca="false">IF(B9964&lt;5,Einstellungen!$B$3,Einstellungen!$B$4)</f>
        <v>29.13</v>
      </c>
      <c r="E9964" s="14" t="str">
        <f aca="false">IF(C9964="","",C9964*D9964/100)</f>
        <v/>
      </c>
      <c r="F9964" s="15" t="str">
        <f aca="false">IF(B9964&lt;5,"Go","Standard")</f>
        <v>Standard</v>
      </c>
    </row>
    <row r="9965" customFormat="false" ht="15" hidden="false" customHeight="true" outlineLevel="0" collapsed="false">
      <c r="A9965" s="10" t="n">
        <f aca="false">Einstellungen!$B$5+INT((ROW()-9)/24)</f>
        <v>46380</v>
      </c>
      <c r="B9965" s="11" t="n">
        <f aca="false">MOD(ROW()-9,24)</f>
        <v>20</v>
      </c>
      <c r="C9965" s="12"/>
      <c r="D9965" s="13" t="n">
        <f aca="false">IF(B9965&lt;5,Einstellungen!$B$3,Einstellungen!$B$4)</f>
        <v>29.13</v>
      </c>
      <c r="E9965" s="14" t="str">
        <f aca="false">IF(C9965="","",C9965*D9965/100)</f>
        <v/>
      </c>
      <c r="F9965" s="15" t="str">
        <f aca="false">IF(B9965&lt;5,"Go","Standard")</f>
        <v>Standard</v>
      </c>
    </row>
    <row r="9966" customFormat="false" ht="15" hidden="false" customHeight="true" outlineLevel="0" collapsed="false">
      <c r="A9966" s="10" t="n">
        <f aca="false">Einstellungen!$B$5+INT((ROW()-9)/24)</f>
        <v>46380</v>
      </c>
      <c r="B9966" s="11" t="n">
        <f aca="false">MOD(ROW()-9,24)</f>
        <v>21</v>
      </c>
      <c r="C9966" s="12"/>
      <c r="D9966" s="13" t="n">
        <f aca="false">IF(B9966&lt;5,Einstellungen!$B$3,Einstellungen!$B$4)</f>
        <v>29.13</v>
      </c>
      <c r="E9966" s="14" t="str">
        <f aca="false">IF(C9966="","",C9966*D9966/100)</f>
        <v/>
      </c>
      <c r="F9966" s="15" t="str">
        <f aca="false">IF(B9966&lt;5,"Go","Standard")</f>
        <v>Standard</v>
      </c>
    </row>
    <row r="9967" customFormat="false" ht="15" hidden="false" customHeight="true" outlineLevel="0" collapsed="false">
      <c r="A9967" s="10" t="n">
        <f aca="false">Einstellungen!$B$5+INT((ROW()-9)/24)</f>
        <v>46380</v>
      </c>
      <c r="B9967" s="11" t="n">
        <f aca="false">MOD(ROW()-9,24)</f>
        <v>22</v>
      </c>
      <c r="C9967" s="12"/>
      <c r="D9967" s="13" t="n">
        <f aca="false">IF(B9967&lt;5,Einstellungen!$B$3,Einstellungen!$B$4)</f>
        <v>29.13</v>
      </c>
      <c r="E9967" s="14" t="str">
        <f aca="false">IF(C9967="","",C9967*D9967/100)</f>
        <v/>
      </c>
      <c r="F9967" s="15" t="str">
        <f aca="false">IF(B9967&lt;5,"Go","Standard")</f>
        <v>Standard</v>
      </c>
    </row>
    <row r="9968" customFormat="false" ht="15" hidden="false" customHeight="true" outlineLevel="0" collapsed="false">
      <c r="A9968" s="10" t="n">
        <f aca="false">Einstellungen!$B$5+INT((ROW()-9)/24)</f>
        <v>46380</v>
      </c>
      <c r="B9968" s="11" t="n">
        <f aca="false">MOD(ROW()-9,24)</f>
        <v>23</v>
      </c>
      <c r="C9968" s="12"/>
      <c r="D9968" s="13" t="n">
        <f aca="false">IF(B9968&lt;5,Einstellungen!$B$3,Einstellungen!$B$4)</f>
        <v>29.13</v>
      </c>
      <c r="E9968" s="14" t="str">
        <f aca="false">IF(C9968="","",C9968*D9968/100)</f>
        <v/>
      </c>
      <c r="F9968" s="15" t="str">
        <f aca="false">IF(B9968&lt;5,"Go","Standard")</f>
        <v>Standard</v>
      </c>
    </row>
    <row r="9969" customFormat="false" ht="15" hidden="false" customHeight="true" outlineLevel="0" collapsed="false">
      <c r="A9969" s="10" t="n">
        <f aca="false">Einstellungen!$B$5+INT((ROW()-9)/24)</f>
        <v>46381</v>
      </c>
      <c r="B9969" s="11" t="n">
        <f aca="false">MOD(ROW()-9,24)</f>
        <v>0</v>
      </c>
      <c r="C9969" s="12"/>
      <c r="D9969" s="13" t="n">
        <f aca="false">IF(B9969&lt;5,Einstellungen!$B$3,Einstellungen!$B$4)</f>
        <v>15.92</v>
      </c>
      <c r="E9969" s="14" t="str">
        <f aca="false">IF(C9969="","",C9969*D9969/100)</f>
        <v/>
      </c>
      <c r="F9969" s="15" t="str">
        <f aca="false">IF(B9969&lt;5,"Go","Standard")</f>
        <v>Go</v>
      </c>
    </row>
    <row r="9970" customFormat="false" ht="15" hidden="false" customHeight="true" outlineLevel="0" collapsed="false">
      <c r="A9970" s="10" t="n">
        <f aca="false">Einstellungen!$B$5+INT((ROW()-9)/24)</f>
        <v>46381</v>
      </c>
      <c r="B9970" s="11" t="n">
        <f aca="false">MOD(ROW()-9,24)</f>
        <v>1</v>
      </c>
      <c r="C9970" s="12"/>
      <c r="D9970" s="13" t="n">
        <f aca="false">IF(B9970&lt;5,Einstellungen!$B$3,Einstellungen!$B$4)</f>
        <v>15.92</v>
      </c>
      <c r="E9970" s="14" t="str">
        <f aca="false">IF(C9970="","",C9970*D9970/100)</f>
        <v/>
      </c>
      <c r="F9970" s="15" t="str">
        <f aca="false">IF(B9970&lt;5,"Go","Standard")</f>
        <v>Go</v>
      </c>
    </row>
    <row r="9971" customFormat="false" ht="15" hidden="false" customHeight="true" outlineLevel="0" collapsed="false">
      <c r="A9971" s="10" t="n">
        <f aca="false">Einstellungen!$B$5+INT((ROW()-9)/24)</f>
        <v>46381</v>
      </c>
      <c r="B9971" s="11" t="n">
        <f aca="false">MOD(ROW()-9,24)</f>
        <v>2</v>
      </c>
      <c r="C9971" s="12"/>
      <c r="D9971" s="13" t="n">
        <f aca="false">IF(B9971&lt;5,Einstellungen!$B$3,Einstellungen!$B$4)</f>
        <v>15.92</v>
      </c>
      <c r="E9971" s="14" t="str">
        <f aca="false">IF(C9971="","",C9971*D9971/100)</f>
        <v/>
      </c>
      <c r="F9971" s="15" t="str">
        <f aca="false">IF(B9971&lt;5,"Go","Standard")</f>
        <v>Go</v>
      </c>
    </row>
    <row r="9972" customFormat="false" ht="15" hidden="false" customHeight="true" outlineLevel="0" collapsed="false">
      <c r="A9972" s="10" t="n">
        <f aca="false">Einstellungen!$B$5+INT((ROW()-9)/24)</f>
        <v>46381</v>
      </c>
      <c r="B9972" s="11" t="n">
        <f aca="false">MOD(ROW()-9,24)</f>
        <v>3</v>
      </c>
      <c r="C9972" s="12"/>
      <c r="D9972" s="13" t="n">
        <f aca="false">IF(B9972&lt;5,Einstellungen!$B$3,Einstellungen!$B$4)</f>
        <v>15.92</v>
      </c>
      <c r="E9972" s="14" t="str">
        <f aca="false">IF(C9972="","",C9972*D9972/100)</f>
        <v/>
      </c>
      <c r="F9972" s="15" t="str">
        <f aca="false">IF(B9972&lt;5,"Go","Standard")</f>
        <v>Go</v>
      </c>
    </row>
    <row r="9973" customFormat="false" ht="15" hidden="false" customHeight="true" outlineLevel="0" collapsed="false">
      <c r="A9973" s="10" t="n">
        <f aca="false">Einstellungen!$B$5+INT((ROW()-9)/24)</f>
        <v>46381</v>
      </c>
      <c r="B9973" s="11" t="n">
        <f aca="false">MOD(ROW()-9,24)</f>
        <v>4</v>
      </c>
      <c r="C9973" s="12"/>
      <c r="D9973" s="13" t="n">
        <f aca="false">IF(B9973&lt;5,Einstellungen!$B$3,Einstellungen!$B$4)</f>
        <v>15.92</v>
      </c>
      <c r="E9973" s="14" t="str">
        <f aca="false">IF(C9973="","",C9973*D9973/100)</f>
        <v/>
      </c>
      <c r="F9973" s="15" t="str">
        <f aca="false">IF(B9973&lt;5,"Go","Standard")</f>
        <v>Go</v>
      </c>
    </row>
    <row r="9974" customFormat="false" ht="15" hidden="false" customHeight="true" outlineLevel="0" collapsed="false">
      <c r="A9974" s="10" t="n">
        <f aca="false">Einstellungen!$B$5+INT((ROW()-9)/24)</f>
        <v>46381</v>
      </c>
      <c r="B9974" s="11" t="n">
        <f aca="false">MOD(ROW()-9,24)</f>
        <v>5</v>
      </c>
      <c r="C9974" s="12"/>
      <c r="D9974" s="13" t="n">
        <f aca="false">IF(B9974&lt;5,Einstellungen!$B$3,Einstellungen!$B$4)</f>
        <v>29.13</v>
      </c>
      <c r="E9974" s="14" t="str">
        <f aca="false">IF(C9974="","",C9974*D9974/100)</f>
        <v/>
      </c>
      <c r="F9974" s="15" t="str">
        <f aca="false">IF(B9974&lt;5,"Go","Standard")</f>
        <v>Standard</v>
      </c>
    </row>
    <row r="9975" customFormat="false" ht="15" hidden="false" customHeight="true" outlineLevel="0" collapsed="false">
      <c r="A9975" s="10" t="n">
        <f aca="false">Einstellungen!$B$5+INT((ROW()-9)/24)</f>
        <v>46381</v>
      </c>
      <c r="B9975" s="11" t="n">
        <f aca="false">MOD(ROW()-9,24)</f>
        <v>6</v>
      </c>
      <c r="C9975" s="12"/>
      <c r="D9975" s="13" t="n">
        <f aca="false">IF(B9975&lt;5,Einstellungen!$B$3,Einstellungen!$B$4)</f>
        <v>29.13</v>
      </c>
      <c r="E9975" s="14" t="str">
        <f aca="false">IF(C9975="","",C9975*D9975/100)</f>
        <v/>
      </c>
      <c r="F9975" s="15" t="str">
        <f aca="false">IF(B9975&lt;5,"Go","Standard")</f>
        <v>Standard</v>
      </c>
    </row>
    <row r="9976" customFormat="false" ht="15" hidden="false" customHeight="true" outlineLevel="0" collapsed="false">
      <c r="A9976" s="10" t="n">
        <f aca="false">Einstellungen!$B$5+INT((ROW()-9)/24)</f>
        <v>46381</v>
      </c>
      <c r="B9976" s="11" t="n">
        <f aca="false">MOD(ROW()-9,24)</f>
        <v>7</v>
      </c>
      <c r="C9976" s="12"/>
      <c r="D9976" s="13" t="n">
        <f aca="false">IF(B9976&lt;5,Einstellungen!$B$3,Einstellungen!$B$4)</f>
        <v>29.13</v>
      </c>
      <c r="E9976" s="14" t="str">
        <f aca="false">IF(C9976="","",C9976*D9976/100)</f>
        <v/>
      </c>
      <c r="F9976" s="15" t="str">
        <f aca="false">IF(B9976&lt;5,"Go","Standard")</f>
        <v>Standard</v>
      </c>
    </row>
    <row r="9977" customFormat="false" ht="15" hidden="false" customHeight="true" outlineLevel="0" collapsed="false">
      <c r="A9977" s="10" t="n">
        <f aca="false">Einstellungen!$B$5+INT((ROW()-9)/24)</f>
        <v>46381</v>
      </c>
      <c r="B9977" s="11" t="n">
        <f aca="false">MOD(ROW()-9,24)</f>
        <v>8</v>
      </c>
      <c r="C9977" s="12"/>
      <c r="D9977" s="13" t="n">
        <f aca="false">IF(B9977&lt;5,Einstellungen!$B$3,Einstellungen!$B$4)</f>
        <v>29.13</v>
      </c>
      <c r="E9977" s="14" t="str">
        <f aca="false">IF(C9977="","",C9977*D9977/100)</f>
        <v/>
      </c>
      <c r="F9977" s="15" t="str">
        <f aca="false">IF(B9977&lt;5,"Go","Standard")</f>
        <v>Standard</v>
      </c>
    </row>
    <row r="9978" customFormat="false" ht="15" hidden="false" customHeight="true" outlineLevel="0" collapsed="false">
      <c r="A9978" s="10" t="n">
        <f aca="false">Einstellungen!$B$5+INT((ROW()-9)/24)</f>
        <v>46381</v>
      </c>
      <c r="B9978" s="11" t="n">
        <f aca="false">MOD(ROW()-9,24)</f>
        <v>9</v>
      </c>
      <c r="C9978" s="12"/>
      <c r="D9978" s="13" t="n">
        <f aca="false">IF(B9978&lt;5,Einstellungen!$B$3,Einstellungen!$B$4)</f>
        <v>29.13</v>
      </c>
      <c r="E9978" s="14" t="str">
        <f aca="false">IF(C9978="","",C9978*D9978/100)</f>
        <v/>
      </c>
      <c r="F9978" s="15" t="str">
        <f aca="false">IF(B9978&lt;5,"Go","Standard")</f>
        <v>Standard</v>
      </c>
    </row>
    <row r="9979" customFormat="false" ht="15" hidden="false" customHeight="true" outlineLevel="0" collapsed="false">
      <c r="A9979" s="10" t="n">
        <f aca="false">Einstellungen!$B$5+INT((ROW()-9)/24)</f>
        <v>46381</v>
      </c>
      <c r="B9979" s="11" t="n">
        <f aca="false">MOD(ROW()-9,24)</f>
        <v>10</v>
      </c>
      <c r="C9979" s="12"/>
      <c r="D9979" s="13" t="n">
        <f aca="false">IF(B9979&lt;5,Einstellungen!$B$3,Einstellungen!$B$4)</f>
        <v>29.13</v>
      </c>
      <c r="E9979" s="14" t="str">
        <f aca="false">IF(C9979="","",C9979*D9979/100)</f>
        <v/>
      </c>
      <c r="F9979" s="15" t="str">
        <f aca="false">IF(B9979&lt;5,"Go","Standard")</f>
        <v>Standard</v>
      </c>
    </row>
    <row r="9980" customFormat="false" ht="15" hidden="false" customHeight="true" outlineLevel="0" collapsed="false">
      <c r="A9980" s="10" t="n">
        <f aca="false">Einstellungen!$B$5+INT((ROW()-9)/24)</f>
        <v>46381</v>
      </c>
      <c r="B9980" s="11" t="n">
        <f aca="false">MOD(ROW()-9,24)</f>
        <v>11</v>
      </c>
      <c r="C9980" s="12"/>
      <c r="D9980" s="13" t="n">
        <f aca="false">IF(B9980&lt;5,Einstellungen!$B$3,Einstellungen!$B$4)</f>
        <v>29.13</v>
      </c>
      <c r="E9980" s="14" t="str">
        <f aca="false">IF(C9980="","",C9980*D9980/100)</f>
        <v/>
      </c>
      <c r="F9980" s="15" t="str">
        <f aca="false">IF(B9980&lt;5,"Go","Standard")</f>
        <v>Standard</v>
      </c>
    </row>
    <row r="9981" customFormat="false" ht="15" hidden="false" customHeight="true" outlineLevel="0" collapsed="false">
      <c r="A9981" s="10" t="n">
        <f aca="false">Einstellungen!$B$5+INT((ROW()-9)/24)</f>
        <v>46381</v>
      </c>
      <c r="B9981" s="11" t="n">
        <f aca="false">MOD(ROW()-9,24)</f>
        <v>12</v>
      </c>
      <c r="C9981" s="12"/>
      <c r="D9981" s="13" t="n">
        <f aca="false">IF(B9981&lt;5,Einstellungen!$B$3,Einstellungen!$B$4)</f>
        <v>29.13</v>
      </c>
      <c r="E9981" s="14" t="str">
        <f aca="false">IF(C9981="","",C9981*D9981/100)</f>
        <v/>
      </c>
      <c r="F9981" s="15" t="str">
        <f aca="false">IF(B9981&lt;5,"Go","Standard")</f>
        <v>Standard</v>
      </c>
    </row>
    <row r="9982" customFormat="false" ht="15" hidden="false" customHeight="true" outlineLevel="0" collapsed="false">
      <c r="A9982" s="10" t="n">
        <f aca="false">Einstellungen!$B$5+INT((ROW()-9)/24)</f>
        <v>46381</v>
      </c>
      <c r="B9982" s="11" t="n">
        <f aca="false">MOD(ROW()-9,24)</f>
        <v>13</v>
      </c>
      <c r="C9982" s="12"/>
      <c r="D9982" s="13" t="n">
        <f aca="false">IF(B9982&lt;5,Einstellungen!$B$3,Einstellungen!$B$4)</f>
        <v>29.13</v>
      </c>
      <c r="E9982" s="14" t="str">
        <f aca="false">IF(C9982="","",C9982*D9982/100)</f>
        <v/>
      </c>
      <c r="F9982" s="15" t="str">
        <f aca="false">IF(B9982&lt;5,"Go","Standard")</f>
        <v>Standard</v>
      </c>
    </row>
    <row r="9983" customFormat="false" ht="15" hidden="false" customHeight="true" outlineLevel="0" collapsed="false">
      <c r="A9983" s="10" t="n">
        <f aca="false">Einstellungen!$B$5+INT((ROW()-9)/24)</f>
        <v>46381</v>
      </c>
      <c r="B9983" s="11" t="n">
        <f aca="false">MOD(ROW()-9,24)</f>
        <v>14</v>
      </c>
      <c r="C9983" s="12"/>
      <c r="D9983" s="13" t="n">
        <f aca="false">IF(B9983&lt;5,Einstellungen!$B$3,Einstellungen!$B$4)</f>
        <v>29.13</v>
      </c>
      <c r="E9983" s="14" t="str">
        <f aca="false">IF(C9983="","",C9983*D9983/100)</f>
        <v/>
      </c>
      <c r="F9983" s="15" t="str">
        <f aca="false">IF(B9983&lt;5,"Go","Standard")</f>
        <v>Standard</v>
      </c>
    </row>
    <row r="9984" customFormat="false" ht="15" hidden="false" customHeight="true" outlineLevel="0" collapsed="false">
      <c r="A9984" s="10" t="n">
        <f aca="false">Einstellungen!$B$5+INT((ROW()-9)/24)</f>
        <v>46381</v>
      </c>
      <c r="B9984" s="11" t="n">
        <f aca="false">MOD(ROW()-9,24)</f>
        <v>15</v>
      </c>
      <c r="C9984" s="12"/>
      <c r="D9984" s="13" t="n">
        <f aca="false">IF(B9984&lt;5,Einstellungen!$B$3,Einstellungen!$B$4)</f>
        <v>29.13</v>
      </c>
      <c r="E9984" s="14" t="str">
        <f aca="false">IF(C9984="","",C9984*D9984/100)</f>
        <v/>
      </c>
      <c r="F9984" s="15" t="str">
        <f aca="false">IF(B9984&lt;5,"Go","Standard")</f>
        <v>Standard</v>
      </c>
    </row>
    <row r="9985" customFormat="false" ht="15" hidden="false" customHeight="true" outlineLevel="0" collapsed="false">
      <c r="A9985" s="10" t="n">
        <f aca="false">Einstellungen!$B$5+INT((ROW()-9)/24)</f>
        <v>46381</v>
      </c>
      <c r="B9985" s="11" t="n">
        <f aca="false">MOD(ROW()-9,24)</f>
        <v>16</v>
      </c>
      <c r="C9985" s="12"/>
      <c r="D9985" s="13" t="n">
        <f aca="false">IF(B9985&lt;5,Einstellungen!$B$3,Einstellungen!$B$4)</f>
        <v>29.13</v>
      </c>
      <c r="E9985" s="14" t="str">
        <f aca="false">IF(C9985="","",C9985*D9985/100)</f>
        <v/>
      </c>
      <c r="F9985" s="15" t="str">
        <f aca="false">IF(B9985&lt;5,"Go","Standard")</f>
        <v>Standard</v>
      </c>
    </row>
    <row r="9986" customFormat="false" ht="15" hidden="false" customHeight="true" outlineLevel="0" collapsed="false">
      <c r="A9986" s="10" t="n">
        <f aca="false">Einstellungen!$B$5+INT((ROW()-9)/24)</f>
        <v>46381</v>
      </c>
      <c r="B9986" s="11" t="n">
        <f aca="false">MOD(ROW()-9,24)</f>
        <v>17</v>
      </c>
      <c r="C9986" s="12"/>
      <c r="D9986" s="13" t="n">
        <f aca="false">IF(B9986&lt;5,Einstellungen!$B$3,Einstellungen!$B$4)</f>
        <v>29.13</v>
      </c>
      <c r="E9986" s="14" t="str">
        <f aca="false">IF(C9986="","",C9986*D9986/100)</f>
        <v/>
      </c>
      <c r="F9986" s="15" t="str">
        <f aca="false">IF(B9986&lt;5,"Go","Standard")</f>
        <v>Standard</v>
      </c>
    </row>
    <row r="9987" customFormat="false" ht="15" hidden="false" customHeight="true" outlineLevel="0" collapsed="false">
      <c r="A9987" s="10" t="n">
        <f aca="false">Einstellungen!$B$5+INT((ROW()-9)/24)</f>
        <v>46381</v>
      </c>
      <c r="B9987" s="11" t="n">
        <f aca="false">MOD(ROW()-9,24)</f>
        <v>18</v>
      </c>
      <c r="C9987" s="12"/>
      <c r="D9987" s="13" t="n">
        <f aca="false">IF(B9987&lt;5,Einstellungen!$B$3,Einstellungen!$B$4)</f>
        <v>29.13</v>
      </c>
      <c r="E9987" s="14" t="str">
        <f aca="false">IF(C9987="","",C9987*D9987/100)</f>
        <v/>
      </c>
      <c r="F9987" s="15" t="str">
        <f aca="false">IF(B9987&lt;5,"Go","Standard")</f>
        <v>Standard</v>
      </c>
    </row>
    <row r="9988" customFormat="false" ht="15" hidden="false" customHeight="true" outlineLevel="0" collapsed="false">
      <c r="A9988" s="10" t="n">
        <f aca="false">Einstellungen!$B$5+INT((ROW()-9)/24)</f>
        <v>46381</v>
      </c>
      <c r="B9988" s="11" t="n">
        <f aca="false">MOD(ROW()-9,24)</f>
        <v>19</v>
      </c>
      <c r="C9988" s="12"/>
      <c r="D9988" s="13" t="n">
        <f aca="false">IF(B9988&lt;5,Einstellungen!$B$3,Einstellungen!$B$4)</f>
        <v>29.13</v>
      </c>
      <c r="E9988" s="14" t="str">
        <f aca="false">IF(C9988="","",C9988*D9988/100)</f>
        <v/>
      </c>
      <c r="F9988" s="15" t="str">
        <f aca="false">IF(B9988&lt;5,"Go","Standard")</f>
        <v>Standard</v>
      </c>
    </row>
    <row r="9989" customFormat="false" ht="15" hidden="false" customHeight="true" outlineLevel="0" collapsed="false">
      <c r="A9989" s="10" t="n">
        <f aca="false">Einstellungen!$B$5+INT((ROW()-9)/24)</f>
        <v>46381</v>
      </c>
      <c r="B9989" s="11" t="n">
        <f aca="false">MOD(ROW()-9,24)</f>
        <v>20</v>
      </c>
      <c r="C9989" s="12"/>
      <c r="D9989" s="13" t="n">
        <f aca="false">IF(B9989&lt;5,Einstellungen!$B$3,Einstellungen!$B$4)</f>
        <v>29.13</v>
      </c>
      <c r="E9989" s="14" t="str">
        <f aca="false">IF(C9989="","",C9989*D9989/100)</f>
        <v/>
      </c>
      <c r="F9989" s="15" t="str">
        <f aca="false">IF(B9989&lt;5,"Go","Standard")</f>
        <v>Standard</v>
      </c>
    </row>
    <row r="9990" customFormat="false" ht="15" hidden="false" customHeight="true" outlineLevel="0" collapsed="false">
      <c r="A9990" s="10" t="n">
        <f aca="false">Einstellungen!$B$5+INT((ROW()-9)/24)</f>
        <v>46381</v>
      </c>
      <c r="B9990" s="11" t="n">
        <f aca="false">MOD(ROW()-9,24)</f>
        <v>21</v>
      </c>
      <c r="C9990" s="12"/>
      <c r="D9990" s="13" t="n">
        <f aca="false">IF(B9990&lt;5,Einstellungen!$B$3,Einstellungen!$B$4)</f>
        <v>29.13</v>
      </c>
      <c r="E9990" s="14" t="str">
        <f aca="false">IF(C9990="","",C9990*D9990/100)</f>
        <v/>
      </c>
      <c r="F9990" s="15" t="str">
        <f aca="false">IF(B9990&lt;5,"Go","Standard")</f>
        <v>Standard</v>
      </c>
    </row>
    <row r="9991" customFormat="false" ht="15" hidden="false" customHeight="true" outlineLevel="0" collapsed="false">
      <c r="A9991" s="10" t="n">
        <f aca="false">Einstellungen!$B$5+INT((ROW()-9)/24)</f>
        <v>46381</v>
      </c>
      <c r="B9991" s="11" t="n">
        <f aca="false">MOD(ROW()-9,24)</f>
        <v>22</v>
      </c>
      <c r="C9991" s="12"/>
      <c r="D9991" s="13" t="n">
        <f aca="false">IF(B9991&lt;5,Einstellungen!$B$3,Einstellungen!$B$4)</f>
        <v>29.13</v>
      </c>
      <c r="E9991" s="14" t="str">
        <f aca="false">IF(C9991="","",C9991*D9991/100)</f>
        <v/>
      </c>
      <c r="F9991" s="15" t="str">
        <f aca="false">IF(B9991&lt;5,"Go","Standard")</f>
        <v>Standard</v>
      </c>
    </row>
    <row r="9992" customFormat="false" ht="15" hidden="false" customHeight="true" outlineLevel="0" collapsed="false">
      <c r="A9992" s="10" t="n">
        <f aca="false">Einstellungen!$B$5+INT((ROW()-9)/24)</f>
        <v>46381</v>
      </c>
      <c r="B9992" s="11" t="n">
        <f aca="false">MOD(ROW()-9,24)</f>
        <v>23</v>
      </c>
      <c r="C9992" s="12"/>
      <c r="D9992" s="13" t="n">
        <f aca="false">IF(B9992&lt;5,Einstellungen!$B$3,Einstellungen!$B$4)</f>
        <v>29.13</v>
      </c>
      <c r="E9992" s="14" t="str">
        <f aca="false">IF(C9992="","",C9992*D9992/100)</f>
        <v/>
      </c>
      <c r="F9992" s="15" t="str">
        <f aca="false">IF(B9992&lt;5,"Go","Standard")</f>
        <v>Standard</v>
      </c>
    </row>
    <row r="9993" customFormat="false" ht="15" hidden="false" customHeight="true" outlineLevel="0" collapsed="false">
      <c r="A9993" s="10" t="n">
        <f aca="false">Einstellungen!$B$5+INT((ROW()-9)/24)</f>
        <v>46382</v>
      </c>
      <c r="B9993" s="11" t="n">
        <f aca="false">MOD(ROW()-9,24)</f>
        <v>0</v>
      </c>
      <c r="C9993" s="12"/>
      <c r="D9993" s="13" t="n">
        <f aca="false">IF(B9993&lt;5,Einstellungen!$B$3,Einstellungen!$B$4)</f>
        <v>15.92</v>
      </c>
      <c r="E9993" s="14" t="str">
        <f aca="false">IF(C9993="","",C9993*D9993/100)</f>
        <v/>
      </c>
      <c r="F9993" s="15" t="str">
        <f aca="false">IF(B9993&lt;5,"Go","Standard")</f>
        <v>Go</v>
      </c>
    </row>
    <row r="9994" customFormat="false" ht="15" hidden="false" customHeight="true" outlineLevel="0" collapsed="false">
      <c r="A9994" s="10" t="n">
        <f aca="false">Einstellungen!$B$5+INT((ROW()-9)/24)</f>
        <v>46382</v>
      </c>
      <c r="B9994" s="11" t="n">
        <f aca="false">MOD(ROW()-9,24)</f>
        <v>1</v>
      </c>
      <c r="C9994" s="12"/>
      <c r="D9994" s="13" t="n">
        <f aca="false">IF(B9994&lt;5,Einstellungen!$B$3,Einstellungen!$B$4)</f>
        <v>15.92</v>
      </c>
      <c r="E9994" s="14" t="str">
        <f aca="false">IF(C9994="","",C9994*D9994/100)</f>
        <v/>
      </c>
      <c r="F9994" s="15" t="str">
        <f aca="false">IF(B9994&lt;5,"Go","Standard")</f>
        <v>Go</v>
      </c>
    </row>
    <row r="9995" customFormat="false" ht="15" hidden="false" customHeight="true" outlineLevel="0" collapsed="false">
      <c r="A9995" s="10" t="n">
        <f aca="false">Einstellungen!$B$5+INT((ROW()-9)/24)</f>
        <v>46382</v>
      </c>
      <c r="B9995" s="11" t="n">
        <f aca="false">MOD(ROW()-9,24)</f>
        <v>2</v>
      </c>
      <c r="C9995" s="12"/>
      <c r="D9995" s="13" t="n">
        <f aca="false">IF(B9995&lt;5,Einstellungen!$B$3,Einstellungen!$B$4)</f>
        <v>15.92</v>
      </c>
      <c r="E9995" s="14" t="str">
        <f aca="false">IF(C9995="","",C9995*D9995/100)</f>
        <v/>
      </c>
      <c r="F9995" s="15" t="str">
        <f aca="false">IF(B9995&lt;5,"Go","Standard")</f>
        <v>Go</v>
      </c>
    </row>
    <row r="9996" customFormat="false" ht="15" hidden="false" customHeight="true" outlineLevel="0" collapsed="false">
      <c r="A9996" s="10" t="n">
        <f aca="false">Einstellungen!$B$5+INT((ROW()-9)/24)</f>
        <v>46382</v>
      </c>
      <c r="B9996" s="11" t="n">
        <f aca="false">MOD(ROW()-9,24)</f>
        <v>3</v>
      </c>
      <c r="C9996" s="12"/>
      <c r="D9996" s="13" t="n">
        <f aca="false">IF(B9996&lt;5,Einstellungen!$B$3,Einstellungen!$B$4)</f>
        <v>15.92</v>
      </c>
      <c r="E9996" s="14" t="str">
        <f aca="false">IF(C9996="","",C9996*D9996/100)</f>
        <v/>
      </c>
      <c r="F9996" s="15" t="str">
        <f aca="false">IF(B9996&lt;5,"Go","Standard")</f>
        <v>Go</v>
      </c>
    </row>
    <row r="9997" customFormat="false" ht="15" hidden="false" customHeight="true" outlineLevel="0" collapsed="false">
      <c r="A9997" s="10" t="n">
        <f aca="false">Einstellungen!$B$5+INT((ROW()-9)/24)</f>
        <v>46382</v>
      </c>
      <c r="B9997" s="11" t="n">
        <f aca="false">MOD(ROW()-9,24)</f>
        <v>4</v>
      </c>
      <c r="C9997" s="12"/>
      <c r="D9997" s="13" t="n">
        <f aca="false">IF(B9997&lt;5,Einstellungen!$B$3,Einstellungen!$B$4)</f>
        <v>15.92</v>
      </c>
      <c r="E9997" s="14" t="str">
        <f aca="false">IF(C9997="","",C9997*D9997/100)</f>
        <v/>
      </c>
      <c r="F9997" s="15" t="str">
        <f aca="false">IF(B9997&lt;5,"Go","Standard")</f>
        <v>Go</v>
      </c>
    </row>
    <row r="9998" customFormat="false" ht="15" hidden="false" customHeight="true" outlineLevel="0" collapsed="false">
      <c r="A9998" s="10" t="n">
        <f aca="false">Einstellungen!$B$5+INT((ROW()-9)/24)</f>
        <v>46382</v>
      </c>
      <c r="B9998" s="11" t="n">
        <f aca="false">MOD(ROW()-9,24)</f>
        <v>5</v>
      </c>
      <c r="C9998" s="12"/>
      <c r="D9998" s="13" t="n">
        <f aca="false">IF(B9998&lt;5,Einstellungen!$B$3,Einstellungen!$B$4)</f>
        <v>29.13</v>
      </c>
      <c r="E9998" s="14" t="str">
        <f aca="false">IF(C9998="","",C9998*D9998/100)</f>
        <v/>
      </c>
      <c r="F9998" s="15" t="str">
        <f aca="false">IF(B9998&lt;5,"Go","Standard")</f>
        <v>Standard</v>
      </c>
    </row>
    <row r="9999" customFormat="false" ht="15" hidden="false" customHeight="true" outlineLevel="0" collapsed="false">
      <c r="A9999" s="10" t="n">
        <f aca="false">Einstellungen!$B$5+INT((ROW()-9)/24)</f>
        <v>46382</v>
      </c>
      <c r="B9999" s="11" t="n">
        <f aca="false">MOD(ROW()-9,24)</f>
        <v>6</v>
      </c>
      <c r="C9999" s="12"/>
      <c r="D9999" s="13" t="n">
        <f aca="false">IF(B9999&lt;5,Einstellungen!$B$3,Einstellungen!$B$4)</f>
        <v>29.13</v>
      </c>
      <c r="E9999" s="14" t="str">
        <f aca="false">IF(C9999="","",C9999*D9999/100)</f>
        <v/>
      </c>
      <c r="F9999" s="15" t="str">
        <f aca="false">IF(B9999&lt;5,"Go","Standard")</f>
        <v>Standard</v>
      </c>
    </row>
    <row r="10000" customFormat="false" ht="15" hidden="false" customHeight="true" outlineLevel="0" collapsed="false">
      <c r="A10000" s="10" t="n">
        <f aca="false">Einstellungen!$B$5+INT((ROW()-9)/24)</f>
        <v>46382</v>
      </c>
      <c r="B10000" s="11" t="n">
        <f aca="false">MOD(ROW()-9,24)</f>
        <v>7</v>
      </c>
      <c r="C10000" s="12"/>
      <c r="D10000" s="13" t="n">
        <f aca="false">IF(B10000&lt;5,Einstellungen!$B$3,Einstellungen!$B$4)</f>
        <v>29.13</v>
      </c>
      <c r="E10000" s="14" t="str">
        <f aca="false">IF(C10000="","",C10000*D10000/100)</f>
        <v/>
      </c>
      <c r="F10000" s="15" t="str">
        <f aca="false">IF(B10000&lt;5,"Go","Standard")</f>
        <v>Standard</v>
      </c>
    </row>
    <row r="10001" customFormat="false" ht="15" hidden="false" customHeight="true" outlineLevel="0" collapsed="false">
      <c r="A10001" s="10" t="n">
        <f aca="false">Einstellungen!$B$5+INT((ROW()-9)/24)</f>
        <v>46382</v>
      </c>
      <c r="B10001" s="11" t="n">
        <f aca="false">MOD(ROW()-9,24)</f>
        <v>8</v>
      </c>
      <c r="C10001" s="12"/>
      <c r="D10001" s="13" t="n">
        <f aca="false">IF(B10001&lt;5,Einstellungen!$B$3,Einstellungen!$B$4)</f>
        <v>29.13</v>
      </c>
      <c r="E10001" s="14" t="str">
        <f aca="false">IF(C10001="","",C10001*D10001/100)</f>
        <v/>
      </c>
      <c r="F10001" s="15" t="str">
        <f aca="false">IF(B10001&lt;5,"Go","Standard")</f>
        <v>Standard</v>
      </c>
    </row>
    <row r="10002" customFormat="false" ht="15" hidden="false" customHeight="true" outlineLevel="0" collapsed="false">
      <c r="A10002" s="10" t="n">
        <f aca="false">Einstellungen!$B$5+INT((ROW()-9)/24)</f>
        <v>46382</v>
      </c>
      <c r="B10002" s="11" t="n">
        <f aca="false">MOD(ROW()-9,24)</f>
        <v>9</v>
      </c>
      <c r="C10002" s="12"/>
      <c r="D10002" s="13" t="n">
        <f aca="false">IF(B10002&lt;5,Einstellungen!$B$3,Einstellungen!$B$4)</f>
        <v>29.13</v>
      </c>
      <c r="E10002" s="14" t="str">
        <f aca="false">IF(C10002="","",C10002*D10002/100)</f>
        <v/>
      </c>
      <c r="F10002" s="15" t="str">
        <f aca="false">IF(B10002&lt;5,"Go","Standard")</f>
        <v>Standard</v>
      </c>
    </row>
    <row r="10003" customFormat="false" ht="15" hidden="false" customHeight="true" outlineLevel="0" collapsed="false">
      <c r="A10003" s="10" t="n">
        <f aca="false">Einstellungen!$B$5+INT((ROW()-9)/24)</f>
        <v>46382</v>
      </c>
      <c r="B10003" s="11" t="n">
        <f aca="false">MOD(ROW()-9,24)</f>
        <v>10</v>
      </c>
      <c r="C10003" s="12"/>
      <c r="D10003" s="13" t="n">
        <f aca="false">IF(B10003&lt;5,Einstellungen!$B$3,Einstellungen!$B$4)</f>
        <v>29.13</v>
      </c>
      <c r="E10003" s="14" t="str">
        <f aca="false">IF(C10003="","",C10003*D10003/100)</f>
        <v/>
      </c>
      <c r="F10003" s="15" t="str">
        <f aca="false">IF(B10003&lt;5,"Go","Standard")</f>
        <v>Standard</v>
      </c>
    </row>
    <row r="10004" customFormat="false" ht="15" hidden="false" customHeight="true" outlineLevel="0" collapsed="false">
      <c r="A10004" s="10" t="n">
        <f aca="false">Einstellungen!$B$5+INT((ROW()-9)/24)</f>
        <v>46382</v>
      </c>
      <c r="B10004" s="11" t="n">
        <f aca="false">MOD(ROW()-9,24)</f>
        <v>11</v>
      </c>
      <c r="C10004" s="12"/>
      <c r="D10004" s="13" t="n">
        <f aca="false">IF(B10004&lt;5,Einstellungen!$B$3,Einstellungen!$B$4)</f>
        <v>29.13</v>
      </c>
      <c r="E10004" s="14" t="str">
        <f aca="false">IF(C10004="","",C10004*D10004/100)</f>
        <v/>
      </c>
      <c r="F10004" s="15" t="str">
        <f aca="false">IF(B10004&lt;5,"Go","Standard")</f>
        <v>Standard</v>
      </c>
    </row>
    <row r="10005" customFormat="false" ht="15" hidden="false" customHeight="true" outlineLevel="0" collapsed="false">
      <c r="A10005" s="10" t="n">
        <f aca="false">Einstellungen!$B$5+INT((ROW()-9)/24)</f>
        <v>46382</v>
      </c>
      <c r="B10005" s="11" t="n">
        <f aca="false">MOD(ROW()-9,24)</f>
        <v>12</v>
      </c>
      <c r="C10005" s="12"/>
      <c r="D10005" s="13" t="n">
        <f aca="false">IF(B10005&lt;5,Einstellungen!$B$3,Einstellungen!$B$4)</f>
        <v>29.13</v>
      </c>
      <c r="E10005" s="14" t="str">
        <f aca="false">IF(C10005="","",C10005*D10005/100)</f>
        <v/>
      </c>
      <c r="F10005" s="15" t="str">
        <f aca="false">IF(B10005&lt;5,"Go","Standard")</f>
        <v>Standard</v>
      </c>
    </row>
    <row r="10006" customFormat="false" ht="15" hidden="false" customHeight="true" outlineLevel="0" collapsed="false">
      <c r="A10006" s="10" t="n">
        <f aca="false">Einstellungen!$B$5+INT((ROW()-9)/24)</f>
        <v>46382</v>
      </c>
      <c r="B10006" s="11" t="n">
        <f aca="false">MOD(ROW()-9,24)</f>
        <v>13</v>
      </c>
      <c r="C10006" s="12"/>
      <c r="D10006" s="13" t="n">
        <f aca="false">IF(B10006&lt;5,Einstellungen!$B$3,Einstellungen!$B$4)</f>
        <v>29.13</v>
      </c>
      <c r="E10006" s="14" t="str">
        <f aca="false">IF(C10006="","",C10006*D10006/100)</f>
        <v/>
      </c>
      <c r="F10006" s="15" t="str">
        <f aca="false">IF(B10006&lt;5,"Go","Standard")</f>
        <v>Standard</v>
      </c>
    </row>
    <row r="10007" customFormat="false" ht="15" hidden="false" customHeight="true" outlineLevel="0" collapsed="false">
      <c r="A10007" s="10" t="n">
        <f aca="false">Einstellungen!$B$5+INT((ROW()-9)/24)</f>
        <v>46382</v>
      </c>
      <c r="B10007" s="11" t="n">
        <f aca="false">MOD(ROW()-9,24)</f>
        <v>14</v>
      </c>
      <c r="C10007" s="12"/>
      <c r="D10007" s="13" t="n">
        <f aca="false">IF(B10007&lt;5,Einstellungen!$B$3,Einstellungen!$B$4)</f>
        <v>29.13</v>
      </c>
      <c r="E10007" s="14" t="str">
        <f aca="false">IF(C10007="","",C10007*D10007/100)</f>
        <v/>
      </c>
      <c r="F10007" s="15" t="str">
        <f aca="false">IF(B10007&lt;5,"Go","Standard")</f>
        <v>Standard</v>
      </c>
    </row>
    <row r="10008" customFormat="false" ht="15" hidden="false" customHeight="true" outlineLevel="0" collapsed="false">
      <c r="A10008" s="10" t="n">
        <f aca="false">Einstellungen!$B$5+INT((ROW()-9)/24)</f>
        <v>46382</v>
      </c>
      <c r="B10008" s="11" t="n">
        <f aca="false">MOD(ROW()-9,24)</f>
        <v>15</v>
      </c>
      <c r="C10008" s="12"/>
      <c r="D10008" s="13" t="n">
        <f aca="false">IF(B10008&lt;5,Einstellungen!$B$3,Einstellungen!$B$4)</f>
        <v>29.13</v>
      </c>
      <c r="E10008" s="14" t="str">
        <f aca="false">IF(C10008="","",C10008*D10008/100)</f>
        <v/>
      </c>
      <c r="F10008" s="15" t="str">
        <f aca="false">IF(B10008&lt;5,"Go","Standard")</f>
        <v>Standard</v>
      </c>
    </row>
    <row r="10009" customFormat="false" ht="15" hidden="false" customHeight="true" outlineLevel="0" collapsed="false">
      <c r="A10009" s="10" t="n">
        <f aca="false">Einstellungen!$B$5+INT((ROW()-9)/24)</f>
        <v>46382</v>
      </c>
      <c r="B10009" s="11" t="n">
        <f aca="false">MOD(ROW()-9,24)</f>
        <v>16</v>
      </c>
      <c r="C10009" s="12"/>
      <c r="D10009" s="13" t="n">
        <f aca="false">IF(B10009&lt;5,Einstellungen!$B$3,Einstellungen!$B$4)</f>
        <v>29.13</v>
      </c>
      <c r="E10009" s="14" t="str">
        <f aca="false">IF(C10009="","",C10009*D10009/100)</f>
        <v/>
      </c>
      <c r="F10009" s="15" t="str">
        <f aca="false">IF(B10009&lt;5,"Go","Standard")</f>
        <v>Standard</v>
      </c>
    </row>
    <row r="10010" customFormat="false" ht="15" hidden="false" customHeight="true" outlineLevel="0" collapsed="false">
      <c r="A10010" s="10" t="n">
        <f aca="false">Einstellungen!$B$5+INT((ROW()-9)/24)</f>
        <v>46382</v>
      </c>
      <c r="B10010" s="11" t="n">
        <f aca="false">MOD(ROW()-9,24)</f>
        <v>17</v>
      </c>
      <c r="C10010" s="12"/>
      <c r="D10010" s="13" t="n">
        <f aca="false">IF(B10010&lt;5,Einstellungen!$B$3,Einstellungen!$B$4)</f>
        <v>29.13</v>
      </c>
      <c r="E10010" s="14" t="str">
        <f aca="false">IF(C10010="","",C10010*D10010/100)</f>
        <v/>
      </c>
      <c r="F10010" s="15" t="str">
        <f aca="false">IF(B10010&lt;5,"Go","Standard")</f>
        <v>Standard</v>
      </c>
    </row>
    <row r="10011" customFormat="false" ht="15" hidden="false" customHeight="true" outlineLevel="0" collapsed="false">
      <c r="A10011" s="10" t="n">
        <f aca="false">Einstellungen!$B$5+INT((ROW()-9)/24)</f>
        <v>46382</v>
      </c>
      <c r="B10011" s="11" t="n">
        <f aca="false">MOD(ROW()-9,24)</f>
        <v>18</v>
      </c>
      <c r="C10011" s="12"/>
      <c r="D10011" s="13" t="n">
        <f aca="false">IF(B10011&lt;5,Einstellungen!$B$3,Einstellungen!$B$4)</f>
        <v>29.13</v>
      </c>
      <c r="E10011" s="14" t="str">
        <f aca="false">IF(C10011="","",C10011*D10011/100)</f>
        <v/>
      </c>
      <c r="F10011" s="15" t="str">
        <f aca="false">IF(B10011&lt;5,"Go","Standard")</f>
        <v>Standard</v>
      </c>
    </row>
    <row r="10012" customFormat="false" ht="15" hidden="false" customHeight="true" outlineLevel="0" collapsed="false">
      <c r="A10012" s="10" t="n">
        <f aca="false">Einstellungen!$B$5+INT((ROW()-9)/24)</f>
        <v>46382</v>
      </c>
      <c r="B10012" s="11" t="n">
        <f aca="false">MOD(ROW()-9,24)</f>
        <v>19</v>
      </c>
      <c r="C10012" s="12"/>
      <c r="D10012" s="13" t="n">
        <f aca="false">IF(B10012&lt;5,Einstellungen!$B$3,Einstellungen!$B$4)</f>
        <v>29.13</v>
      </c>
      <c r="E10012" s="14" t="str">
        <f aca="false">IF(C10012="","",C10012*D10012/100)</f>
        <v/>
      </c>
      <c r="F10012" s="15" t="str">
        <f aca="false">IF(B10012&lt;5,"Go","Standard")</f>
        <v>Standard</v>
      </c>
    </row>
    <row r="10013" customFormat="false" ht="15" hidden="false" customHeight="true" outlineLevel="0" collapsed="false">
      <c r="A10013" s="10" t="n">
        <f aca="false">Einstellungen!$B$5+INT((ROW()-9)/24)</f>
        <v>46382</v>
      </c>
      <c r="B10013" s="11" t="n">
        <f aca="false">MOD(ROW()-9,24)</f>
        <v>20</v>
      </c>
      <c r="C10013" s="12"/>
      <c r="D10013" s="13" t="n">
        <f aca="false">IF(B10013&lt;5,Einstellungen!$B$3,Einstellungen!$B$4)</f>
        <v>29.13</v>
      </c>
      <c r="E10013" s="14" t="str">
        <f aca="false">IF(C10013="","",C10013*D10013/100)</f>
        <v/>
      </c>
      <c r="F10013" s="15" t="str">
        <f aca="false">IF(B10013&lt;5,"Go","Standard")</f>
        <v>Standard</v>
      </c>
    </row>
    <row r="10014" customFormat="false" ht="15" hidden="false" customHeight="true" outlineLevel="0" collapsed="false">
      <c r="A10014" s="10" t="n">
        <f aca="false">Einstellungen!$B$5+INT((ROW()-9)/24)</f>
        <v>46382</v>
      </c>
      <c r="B10014" s="11" t="n">
        <f aca="false">MOD(ROW()-9,24)</f>
        <v>21</v>
      </c>
      <c r="C10014" s="12"/>
      <c r="D10014" s="13" t="n">
        <f aca="false">IF(B10014&lt;5,Einstellungen!$B$3,Einstellungen!$B$4)</f>
        <v>29.13</v>
      </c>
      <c r="E10014" s="14" t="str">
        <f aca="false">IF(C10014="","",C10014*D10014/100)</f>
        <v/>
      </c>
      <c r="F10014" s="15" t="str">
        <f aca="false">IF(B10014&lt;5,"Go","Standard")</f>
        <v>Standard</v>
      </c>
    </row>
    <row r="10015" customFormat="false" ht="15" hidden="false" customHeight="true" outlineLevel="0" collapsed="false">
      <c r="A10015" s="10" t="n">
        <f aca="false">Einstellungen!$B$5+INT((ROW()-9)/24)</f>
        <v>46382</v>
      </c>
      <c r="B10015" s="11" t="n">
        <f aca="false">MOD(ROW()-9,24)</f>
        <v>22</v>
      </c>
      <c r="C10015" s="12"/>
      <c r="D10015" s="13" t="n">
        <f aca="false">IF(B10015&lt;5,Einstellungen!$B$3,Einstellungen!$B$4)</f>
        <v>29.13</v>
      </c>
      <c r="E10015" s="14" t="str">
        <f aca="false">IF(C10015="","",C10015*D10015/100)</f>
        <v/>
      </c>
      <c r="F10015" s="15" t="str">
        <f aca="false">IF(B10015&lt;5,"Go","Standard")</f>
        <v>Standard</v>
      </c>
    </row>
    <row r="10016" customFormat="false" ht="15" hidden="false" customHeight="true" outlineLevel="0" collapsed="false">
      <c r="A10016" s="10" t="n">
        <f aca="false">Einstellungen!$B$5+INT((ROW()-9)/24)</f>
        <v>46382</v>
      </c>
      <c r="B10016" s="11" t="n">
        <f aca="false">MOD(ROW()-9,24)</f>
        <v>23</v>
      </c>
      <c r="C10016" s="12"/>
      <c r="D10016" s="13" t="n">
        <f aca="false">IF(B10016&lt;5,Einstellungen!$B$3,Einstellungen!$B$4)</f>
        <v>29.13</v>
      </c>
      <c r="E10016" s="14" t="str">
        <f aca="false">IF(C10016="","",C10016*D10016/100)</f>
        <v/>
      </c>
      <c r="F10016" s="15" t="str">
        <f aca="false">IF(B10016&lt;5,"Go","Standard")</f>
        <v>Standard</v>
      </c>
    </row>
    <row r="10017" customFormat="false" ht="15" hidden="false" customHeight="true" outlineLevel="0" collapsed="false">
      <c r="A10017" s="10" t="n">
        <f aca="false">Einstellungen!$B$5+INT((ROW()-9)/24)</f>
        <v>46383</v>
      </c>
      <c r="B10017" s="11" t="n">
        <f aca="false">MOD(ROW()-9,24)</f>
        <v>0</v>
      </c>
      <c r="C10017" s="12"/>
      <c r="D10017" s="13" t="n">
        <f aca="false">IF(B10017&lt;5,Einstellungen!$B$3,Einstellungen!$B$4)</f>
        <v>15.92</v>
      </c>
      <c r="E10017" s="14" t="str">
        <f aca="false">IF(C10017="","",C10017*D10017/100)</f>
        <v/>
      </c>
      <c r="F10017" s="15" t="str">
        <f aca="false">IF(B10017&lt;5,"Go","Standard")</f>
        <v>Go</v>
      </c>
    </row>
    <row r="10018" customFormat="false" ht="15" hidden="false" customHeight="true" outlineLevel="0" collapsed="false">
      <c r="A10018" s="10" t="n">
        <f aca="false">Einstellungen!$B$5+INT((ROW()-9)/24)</f>
        <v>46383</v>
      </c>
      <c r="B10018" s="11" t="n">
        <f aca="false">MOD(ROW()-9,24)</f>
        <v>1</v>
      </c>
      <c r="C10018" s="12"/>
      <c r="D10018" s="13" t="n">
        <f aca="false">IF(B10018&lt;5,Einstellungen!$B$3,Einstellungen!$B$4)</f>
        <v>15.92</v>
      </c>
      <c r="E10018" s="14" t="str">
        <f aca="false">IF(C10018="","",C10018*D10018/100)</f>
        <v/>
      </c>
      <c r="F10018" s="15" t="str">
        <f aca="false">IF(B10018&lt;5,"Go","Standard")</f>
        <v>Go</v>
      </c>
    </row>
    <row r="10019" customFormat="false" ht="15" hidden="false" customHeight="true" outlineLevel="0" collapsed="false">
      <c r="A10019" s="10" t="n">
        <f aca="false">Einstellungen!$B$5+INT((ROW()-9)/24)</f>
        <v>46383</v>
      </c>
      <c r="B10019" s="11" t="n">
        <f aca="false">MOD(ROW()-9,24)</f>
        <v>2</v>
      </c>
      <c r="C10019" s="12"/>
      <c r="D10019" s="13" t="n">
        <f aca="false">IF(B10019&lt;5,Einstellungen!$B$3,Einstellungen!$B$4)</f>
        <v>15.92</v>
      </c>
      <c r="E10019" s="14" t="str">
        <f aca="false">IF(C10019="","",C10019*D10019/100)</f>
        <v/>
      </c>
      <c r="F10019" s="15" t="str">
        <f aca="false">IF(B10019&lt;5,"Go","Standard")</f>
        <v>Go</v>
      </c>
    </row>
    <row r="10020" customFormat="false" ht="15" hidden="false" customHeight="true" outlineLevel="0" collapsed="false">
      <c r="A10020" s="10" t="n">
        <f aca="false">Einstellungen!$B$5+INT((ROW()-9)/24)</f>
        <v>46383</v>
      </c>
      <c r="B10020" s="11" t="n">
        <f aca="false">MOD(ROW()-9,24)</f>
        <v>3</v>
      </c>
      <c r="C10020" s="12"/>
      <c r="D10020" s="13" t="n">
        <f aca="false">IF(B10020&lt;5,Einstellungen!$B$3,Einstellungen!$B$4)</f>
        <v>15.92</v>
      </c>
      <c r="E10020" s="14" t="str">
        <f aca="false">IF(C10020="","",C10020*D10020/100)</f>
        <v/>
      </c>
      <c r="F10020" s="15" t="str">
        <f aca="false">IF(B10020&lt;5,"Go","Standard")</f>
        <v>Go</v>
      </c>
    </row>
    <row r="10021" customFormat="false" ht="15" hidden="false" customHeight="true" outlineLevel="0" collapsed="false">
      <c r="A10021" s="10" t="n">
        <f aca="false">Einstellungen!$B$5+INT((ROW()-9)/24)</f>
        <v>46383</v>
      </c>
      <c r="B10021" s="11" t="n">
        <f aca="false">MOD(ROW()-9,24)</f>
        <v>4</v>
      </c>
      <c r="C10021" s="12"/>
      <c r="D10021" s="13" t="n">
        <f aca="false">IF(B10021&lt;5,Einstellungen!$B$3,Einstellungen!$B$4)</f>
        <v>15.92</v>
      </c>
      <c r="E10021" s="14" t="str">
        <f aca="false">IF(C10021="","",C10021*D10021/100)</f>
        <v/>
      </c>
      <c r="F10021" s="15" t="str">
        <f aca="false">IF(B10021&lt;5,"Go","Standard")</f>
        <v>Go</v>
      </c>
    </row>
    <row r="10022" customFormat="false" ht="15" hidden="false" customHeight="true" outlineLevel="0" collapsed="false">
      <c r="A10022" s="10" t="n">
        <f aca="false">Einstellungen!$B$5+INT((ROW()-9)/24)</f>
        <v>46383</v>
      </c>
      <c r="B10022" s="11" t="n">
        <f aca="false">MOD(ROW()-9,24)</f>
        <v>5</v>
      </c>
      <c r="C10022" s="12"/>
      <c r="D10022" s="13" t="n">
        <f aca="false">IF(B10022&lt;5,Einstellungen!$B$3,Einstellungen!$B$4)</f>
        <v>29.13</v>
      </c>
      <c r="E10022" s="14" t="str">
        <f aca="false">IF(C10022="","",C10022*D10022/100)</f>
        <v/>
      </c>
      <c r="F10022" s="15" t="str">
        <f aca="false">IF(B10022&lt;5,"Go","Standard")</f>
        <v>Standard</v>
      </c>
    </row>
    <row r="10023" customFormat="false" ht="15" hidden="false" customHeight="true" outlineLevel="0" collapsed="false">
      <c r="A10023" s="10" t="n">
        <f aca="false">Einstellungen!$B$5+INT((ROW()-9)/24)</f>
        <v>46383</v>
      </c>
      <c r="B10023" s="11" t="n">
        <f aca="false">MOD(ROW()-9,24)</f>
        <v>6</v>
      </c>
      <c r="C10023" s="12"/>
      <c r="D10023" s="13" t="n">
        <f aca="false">IF(B10023&lt;5,Einstellungen!$B$3,Einstellungen!$B$4)</f>
        <v>29.13</v>
      </c>
      <c r="E10023" s="14" t="str">
        <f aca="false">IF(C10023="","",C10023*D10023/100)</f>
        <v/>
      </c>
      <c r="F10023" s="15" t="str">
        <f aca="false">IF(B10023&lt;5,"Go","Standard")</f>
        <v>Standard</v>
      </c>
    </row>
    <row r="10024" customFormat="false" ht="15" hidden="false" customHeight="true" outlineLevel="0" collapsed="false">
      <c r="A10024" s="10" t="n">
        <f aca="false">Einstellungen!$B$5+INT((ROW()-9)/24)</f>
        <v>46383</v>
      </c>
      <c r="B10024" s="11" t="n">
        <f aca="false">MOD(ROW()-9,24)</f>
        <v>7</v>
      </c>
      <c r="C10024" s="12"/>
      <c r="D10024" s="13" t="n">
        <f aca="false">IF(B10024&lt;5,Einstellungen!$B$3,Einstellungen!$B$4)</f>
        <v>29.13</v>
      </c>
      <c r="E10024" s="14" t="str">
        <f aca="false">IF(C10024="","",C10024*D10024/100)</f>
        <v/>
      </c>
      <c r="F10024" s="15" t="str">
        <f aca="false">IF(B10024&lt;5,"Go","Standard")</f>
        <v>Standard</v>
      </c>
    </row>
    <row r="10025" customFormat="false" ht="15" hidden="false" customHeight="true" outlineLevel="0" collapsed="false">
      <c r="A10025" s="10" t="n">
        <f aca="false">Einstellungen!$B$5+INT((ROW()-9)/24)</f>
        <v>46383</v>
      </c>
      <c r="B10025" s="11" t="n">
        <f aca="false">MOD(ROW()-9,24)</f>
        <v>8</v>
      </c>
      <c r="C10025" s="12"/>
      <c r="D10025" s="13" t="n">
        <f aca="false">IF(B10025&lt;5,Einstellungen!$B$3,Einstellungen!$B$4)</f>
        <v>29.13</v>
      </c>
      <c r="E10025" s="14" t="str">
        <f aca="false">IF(C10025="","",C10025*D10025/100)</f>
        <v/>
      </c>
      <c r="F10025" s="15" t="str">
        <f aca="false">IF(B10025&lt;5,"Go","Standard")</f>
        <v>Standard</v>
      </c>
    </row>
    <row r="10026" customFormat="false" ht="15" hidden="false" customHeight="true" outlineLevel="0" collapsed="false">
      <c r="A10026" s="10" t="n">
        <f aca="false">Einstellungen!$B$5+INT((ROW()-9)/24)</f>
        <v>46383</v>
      </c>
      <c r="B10026" s="11" t="n">
        <f aca="false">MOD(ROW()-9,24)</f>
        <v>9</v>
      </c>
      <c r="C10026" s="12"/>
      <c r="D10026" s="13" t="n">
        <f aca="false">IF(B10026&lt;5,Einstellungen!$B$3,Einstellungen!$B$4)</f>
        <v>29.13</v>
      </c>
      <c r="E10026" s="14" t="str">
        <f aca="false">IF(C10026="","",C10026*D10026/100)</f>
        <v/>
      </c>
      <c r="F10026" s="15" t="str">
        <f aca="false">IF(B10026&lt;5,"Go","Standard")</f>
        <v>Standard</v>
      </c>
    </row>
    <row r="10027" customFormat="false" ht="15" hidden="false" customHeight="true" outlineLevel="0" collapsed="false">
      <c r="A10027" s="10" t="n">
        <f aca="false">Einstellungen!$B$5+INT((ROW()-9)/24)</f>
        <v>46383</v>
      </c>
      <c r="B10027" s="11" t="n">
        <f aca="false">MOD(ROW()-9,24)</f>
        <v>10</v>
      </c>
      <c r="C10027" s="12"/>
      <c r="D10027" s="13" t="n">
        <f aca="false">IF(B10027&lt;5,Einstellungen!$B$3,Einstellungen!$B$4)</f>
        <v>29.13</v>
      </c>
      <c r="E10027" s="14" t="str">
        <f aca="false">IF(C10027="","",C10027*D10027/100)</f>
        <v/>
      </c>
      <c r="F10027" s="15" t="str">
        <f aca="false">IF(B10027&lt;5,"Go","Standard")</f>
        <v>Standard</v>
      </c>
    </row>
    <row r="10028" customFormat="false" ht="15" hidden="false" customHeight="true" outlineLevel="0" collapsed="false">
      <c r="A10028" s="10" t="n">
        <f aca="false">Einstellungen!$B$5+INT((ROW()-9)/24)</f>
        <v>46383</v>
      </c>
      <c r="B10028" s="11" t="n">
        <f aca="false">MOD(ROW()-9,24)</f>
        <v>11</v>
      </c>
      <c r="C10028" s="12"/>
      <c r="D10028" s="13" t="n">
        <f aca="false">IF(B10028&lt;5,Einstellungen!$B$3,Einstellungen!$B$4)</f>
        <v>29.13</v>
      </c>
      <c r="E10028" s="14" t="str">
        <f aca="false">IF(C10028="","",C10028*D10028/100)</f>
        <v/>
      </c>
      <c r="F10028" s="15" t="str">
        <f aca="false">IF(B10028&lt;5,"Go","Standard")</f>
        <v>Standard</v>
      </c>
    </row>
    <row r="10029" customFormat="false" ht="15" hidden="false" customHeight="true" outlineLevel="0" collapsed="false">
      <c r="A10029" s="10" t="n">
        <f aca="false">Einstellungen!$B$5+INT((ROW()-9)/24)</f>
        <v>46383</v>
      </c>
      <c r="B10029" s="11" t="n">
        <f aca="false">MOD(ROW()-9,24)</f>
        <v>12</v>
      </c>
      <c r="C10029" s="12"/>
      <c r="D10029" s="13" t="n">
        <f aca="false">IF(B10029&lt;5,Einstellungen!$B$3,Einstellungen!$B$4)</f>
        <v>29.13</v>
      </c>
      <c r="E10029" s="14" t="str">
        <f aca="false">IF(C10029="","",C10029*D10029/100)</f>
        <v/>
      </c>
      <c r="F10029" s="15" t="str">
        <f aca="false">IF(B10029&lt;5,"Go","Standard")</f>
        <v>Standard</v>
      </c>
    </row>
    <row r="10030" customFormat="false" ht="15" hidden="false" customHeight="true" outlineLevel="0" collapsed="false">
      <c r="A10030" s="10" t="n">
        <f aca="false">Einstellungen!$B$5+INT((ROW()-9)/24)</f>
        <v>46383</v>
      </c>
      <c r="B10030" s="11" t="n">
        <f aca="false">MOD(ROW()-9,24)</f>
        <v>13</v>
      </c>
      <c r="C10030" s="12"/>
      <c r="D10030" s="13" t="n">
        <f aca="false">IF(B10030&lt;5,Einstellungen!$B$3,Einstellungen!$B$4)</f>
        <v>29.13</v>
      </c>
      <c r="E10030" s="14" t="str">
        <f aca="false">IF(C10030="","",C10030*D10030/100)</f>
        <v/>
      </c>
      <c r="F10030" s="15" t="str">
        <f aca="false">IF(B10030&lt;5,"Go","Standard")</f>
        <v>Standard</v>
      </c>
    </row>
    <row r="10031" customFormat="false" ht="15" hidden="false" customHeight="true" outlineLevel="0" collapsed="false">
      <c r="A10031" s="10" t="n">
        <f aca="false">Einstellungen!$B$5+INT((ROW()-9)/24)</f>
        <v>46383</v>
      </c>
      <c r="B10031" s="11" t="n">
        <f aca="false">MOD(ROW()-9,24)</f>
        <v>14</v>
      </c>
      <c r="C10031" s="12"/>
      <c r="D10031" s="13" t="n">
        <f aca="false">IF(B10031&lt;5,Einstellungen!$B$3,Einstellungen!$B$4)</f>
        <v>29.13</v>
      </c>
      <c r="E10031" s="14" t="str">
        <f aca="false">IF(C10031="","",C10031*D10031/100)</f>
        <v/>
      </c>
      <c r="F10031" s="15" t="str">
        <f aca="false">IF(B10031&lt;5,"Go","Standard")</f>
        <v>Standard</v>
      </c>
    </row>
    <row r="10032" customFormat="false" ht="15" hidden="false" customHeight="true" outlineLevel="0" collapsed="false">
      <c r="A10032" s="10" t="n">
        <f aca="false">Einstellungen!$B$5+INT((ROW()-9)/24)</f>
        <v>46383</v>
      </c>
      <c r="B10032" s="11" t="n">
        <f aca="false">MOD(ROW()-9,24)</f>
        <v>15</v>
      </c>
      <c r="C10032" s="12"/>
      <c r="D10032" s="13" t="n">
        <f aca="false">IF(B10032&lt;5,Einstellungen!$B$3,Einstellungen!$B$4)</f>
        <v>29.13</v>
      </c>
      <c r="E10032" s="14" t="str">
        <f aca="false">IF(C10032="","",C10032*D10032/100)</f>
        <v/>
      </c>
      <c r="F10032" s="15" t="str">
        <f aca="false">IF(B10032&lt;5,"Go","Standard")</f>
        <v>Standard</v>
      </c>
    </row>
    <row r="10033" customFormat="false" ht="15" hidden="false" customHeight="true" outlineLevel="0" collapsed="false">
      <c r="A10033" s="10" t="n">
        <f aca="false">Einstellungen!$B$5+INT((ROW()-9)/24)</f>
        <v>46383</v>
      </c>
      <c r="B10033" s="11" t="n">
        <f aca="false">MOD(ROW()-9,24)</f>
        <v>16</v>
      </c>
      <c r="C10033" s="12"/>
      <c r="D10033" s="13" t="n">
        <f aca="false">IF(B10033&lt;5,Einstellungen!$B$3,Einstellungen!$B$4)</f>
        <v>29.13</v>
      </c>
      <c r="E10033" s="14" t="str">
        <f aca="false">IF(C10033="","",C10033*D10033/100)</f>
        <v/>
      </c>
      <c r="F10033" s="15" t="str">
        <f aca="false">IF(B10033&lt;5,"Go","Standard")</f>
        <v>Standard</v>
      </c>
    </row>
    <row r="10034" customFormat="false" ht="15" hidden="false" customHeight="true" outlineLevel="0" collapsed="false">
      <c r="A10034" s="10" t="n">
        <f aca="false">Einstellungen!$B$5+INT((ROW()-9)/24)</f>
        <v>46383</v>
      </c>
      <c r="B10034" s="11" t="n">
        <f aca="false">MOD(ROW()-9,24)</f>
        <v>17</v>
      </c>
      <c r="C10034" s="12"/>
      <c r="D10034" s="13" t="n">
        <f aca="false">IF(B10034&lt;5,Einstellungen!$B$3,Einstellungen!$B$4)</f>
        <v>29.13</v>
      </c>
      <c r="E10034" s="14" t="str">
        <f aca="false">IF(C10034="","",C10034*D10034/100)</f>
        <v/>
      </c>
      <c r="F10034" s="15" t="str">
        <f aca="false">IF(B10034&lt;5,"Go","Standard")</f>
        <v>Standard</v>
      </c>
    </row>
    <row r="10035" customFormat="false" ht="15" hidden="false" customHeight="true" outlineLevel="0" collapsed="false">
      <c r="A10035" s="10" t="n">
        <f aca="false">Einstellungen!$B$5+INT((ROW()-9)/24)</f>
        <v>46383</v>
      </c>
      <c r="B10035" s="11" t="n">
        <f aca="false">MOD(ROW()-9,24)</f>
        <v>18</v>
      </c>
      <c r="C10035" s="12"/>
      <c r="D10035" s="13" t="n">
        <f aca="false">IF(B10035&lt;5,Einstellungen!$B$3,Einstellungen!$B$4)</f>
        <v>29.13</v>
      </c>
      <c r="E10035" s="14" t="str">
        <f aca="false">IF(C10035="","",C10035*D10035/100)</f>
        <v/>
      </c>
      <c r="F10035" s="15" t="str">
        <f aca="false">IF(B10035&lt;5,"Go","Standard")</f>
        <v>Standard</v>
      </c>
    </row>
    <row r="10036" customFormat="false" ht="15" hidden="false" customHeight="true" outlineLevel="0" collapsed="false">
      <c r="A10036" s="10" t="n">
        <f aca="false">Einstellungen!$B$5+INT((ROW()-9)/24)</f>
        <v>46383</v>
      </c>
      <c r="B10036" s="11" t="n">
        <f aca="false">MOD(ROW()-9,24)</f>
        <v>19</v>
      </c>
      <c r="C10036" s="12"/>
      <c r="D10036" s="13" t="n">
        <f aca="false">IF(B10036&lt;5,Einstellungen!$B$3,Einstellungen!$B$4)</f>
        <v>29.13</v>
      </c>
      <c r="E10036" s="14" t="str">
        <f aca="false">IF(C10036="","",C10036*D10036/100)</f>
        <v/>
      </c>
      <c r="F10036" s="15" t="str">
        <f aca="false">IF(B10036&lt;5,"Go","Standard")</f>
        <v>Standard</v>
      </c>
    </row>
    <row r="10037" customFormat="false" ht="15" hidden="false" customHeight="true" outlineLevel="0" collapsed="false">
      <c r="A10037" s="10" t="n">
        <f aca="false">Einstellungen!$B$5+INT((ROW()-9)/24)</f>
        <v>46383</v>
      </c>
      <c r="B10037" s="11" t="n">
        <f aca="false">MOD(ROW()-9,24)</f>
        <v>20</v>
      </c>
      <c r="C10037" s="12"/>
      <c r="D10037" s="13" t="n">
        <f aca="false">IF(B10037&lt;5,Einstellungen!$B$3,Einstellungen!$B$4)</f>
        <v>29.13</v>
      </c>
      <c r="E10037" s="14" t="str">
        <f aca="false">IF(C10037="","",C10037*D10037/100)</f>
        <v/>
      </c>
      <c r="F10037" s="15" t="str">
        <f aca="false">IF(B10037&lt;5,"Go","Standard")</f>
        <v>Standard</v>
      </c>
    </row>
    <row r="10038" customFormat="false" ht="15" hidden="false" customHeight="true" outlineLevel="0" collapsed="false">
      <c r="A10038" s="10" t="n">
        <f aca="false">Einstellungen!$B$5+INT((ROW()-9)/24)</f>
        <v>46383</v>
      </c>
      <c r="B10038" s="11" t="n">
        <f aca="false">MOD(ROW()-9,24)</f>
        <v>21</v>
      </c>
      <c r="C10038" s="12"/>
      <c r="D10038" s="13" t="n">
        <f aca="false">IF(B10038&lt;5,Einstellungen!$B$3,Einstellungen!$B$4)</f>
        <v>29.13</v>
      </c>
      <c r="E10038" s="14" t="str">
        <f aca="false">IF(C10038="","",C10038*D10038/100)</f>
        <v/>
      </c>
      <c r="F10038" s="15" t="str">
        <f aca="false">IF(B10038&lt;5,"Go","Standard")</f>
        <v>Standard</v>
      </c>
    </row>
    <row r="10039" customFormat="false" ht="15" hidden="false" customHeight="true" outlineLevel="0" collapsed="false">
      <c r="A10039" s="10" t="n">
        <f aca="false">Einstellungen!$B$5+INT((ROW()-9)/24)</f>
        <v>46383</v>
      </c>
      <c r="B10039" s="11" t="n">
        <f aca="false">MOD(ROW()-9,24)</f>
        <v>22</v>
      </c>
      <c r="C10039" s="12"/>
      <c r="D10039" s="13" t="n">
        <f aca="false">IF(B10039&lt;5,Einstellungen!$B$3,Einstellungen!$B$4)</f>
        <v>29.13</v>
      </c>
      <c r="E10039" s="14" t="str">
        <f aca="false">IF(C10039="","",C10039*D10039/100)</f>
        <v/>
      </c>
      <c r="F10039" s="15" t="str">
        <f aca="false">IF(B10039&lt;5,"Go","Standard")</f>
        <v>Standard</v>
      </c>
    </row>
    <row r="10040" customFormat="false" ht="15" hidden="false" customHeight="true" outlineLevel="0" collapsed="false">
      <c r="A10040" s="10" t="n">
        <f aca="false">Einstellungen!$B$5+INT((ROW()-9)/24)</f>
        <v>46383</v>
      </c>
      <c r="B10040" s="11" t="n">
        <f aca="false">MOD(ROW()-9,24)</f>
        <v>23</v>
      </c>
      <c r="C10040" s="12"/>
      <c r="D10040" s="13" t="n">
        <f aca="false">IF(B10040&lt;5,Einstellungen!$B$3,Einstellungen!$B$4)</f>
        <v>29.13</v>
      </c>
      <c r="E10040" s="14" t="str">
        <f aca="false">IF(C10040="","",C10040*D10040/100)</f>
        <v/>
      </c>
      <c r="F10040" s="15" t="str">
        <f aca="false">IF(B10040&lt;5,"Go","Standard")</f>
        <v>Standard</v>
      </c>
    </row>
    <row r="10041" customFormat="false" ht="15" hidden="false" customHeight="true" outlineLevel="0" collapsed="false">
      <c r="A10041" s="10" t="n">
        <f aca="false">Einstellungen!$B$5+INT((ROW()-9)/24)</f>
        <v>46384</v>
      </c>
      <c r="B10041" s="11" t="n">
        <f aca="false">MOD(ROW()-9,24)</f>
        <v>0</v>
      </c>
      <c r="C10041" s="12"/>
      <c r="D10041" s="13" t="n">
        <f aca="false">IF(B10041&lt;5,Einstellungen!$B$3,Einstellungen!$B$4)</f>
        <v>15.92</v>
      </c>
      <c r="E10041" s="14" t="str">
        <f aca="false">IF(C10041="","",C10041*D10041/100)</f>
        <v/>
      </c>
      <c r="F10041" s="15" t="str">
        <f aca="false">IF(B10041&lt;5,"Go","Standard")</f>
        <v>Go</v>
      </c>
    </row>
    <row r="10042" customFormat="false" ht="15" hidden="false" customHeight="true" outlineLevel="0" collapsed="false">
      <c r="A10042" s="10" t="n">
        <f aca="false">Einstellungen!$B$5+INT((ROW()-9)/24)</f>
        <v>46384</v>
      </c>
      <c r="B10042" s="11" t="n">
        <f aca="false">MOD(ROW()-9,24)</f>
        <v>1</v>
      </c>
      <c r="C10042" s="12"/>
      <c r="D10042" s="13" t="n">
        <f aca="false">IF(B10042&lt;5,Einstellungen!$B$3,Einstellungen!$B$4)</f>
        <v>15.92</v>
      </c>
      <c r="E10042" s="14" t="str">
        <f aca="false">IF(C10042="","",C10042*D10042/100)</f>
        <v/>
      </c>
      <c r="F10042" s="15" t="str">
        <f aca="false">IF(B10042&lt;5,"Go","Standard")</f>
        <v>Go</v>
      </c>
    </row>
    <row r="10043" customFormat="false" ht="15" hidden="false" customHeight="true" outlineLevel="0" collapsed="false">
      <c r="A10043" s="10" t="n">
        <f aca="false">Einstellungen!$B$5+INT((ROW()-9)/24)</f>
        <v>46384</v>
      </c>
      <c r="B10043" s="11" t="n">
        <f aca="false">MOD(ROW()-9,24)</f>
        <v>2</v>
      </c>
      <c r="C10043" s="12"/>
      <c r="D10043" s="13" t="n">
        <f aca="false">IF(B10043&lt;5,Einstellungen!$B$3,Einstellungen!$B$4)</f>
        <v>15.92</v>
      </c>
      <c r="E10043" s="14" t="str">
        <f aca="false">IF(C10043="","",C10043*D10043/100)</f>
        <v/>
      </c>
      <c r="F10043" s="15" t="str">
        <f aca="false">IF(B10043&lt;5,"Go","Standard")</f>
        <v>Go</v>
      </c>
    </row>
    <row r="10044" customFormat="false" ht="15" hidden="false" customHeight="true" outlineLevel="0" collapsed="false">
      <c r="A10044" s="10" t="n">
        <f aca="false">Einstellungen!$B$5+INT((ROW()-9)/24)</f>
        <v>46384</v>
      </c>
      <c r="B10044" s="11" t="n">
        <f aca="false">MOD(ROW()-9,24)</f>
        <v>3</v>
      </c>
      <c r="C10044" s="12"/>
      <c r="D10044" s="13" t="n">
        <f aca="false">IF(B10044&lt;5,Einstellungen!$B$3,Einstellungen!$B$4)</f>
        <v>15.92</v>
      </c>
      <c r="E10044" s="14" t="str">
        <f aca="false">IF(C10044="","",C10044*D10044/100)</f>
        <v/>
      </c>
      <c r="F10044" s="15" t="str">
        <f aca="false">IF(B10044&lt;5,"Go","Standard")</f>
        <v>Go</v>
      </c>
    </row>
    <row r="10045" customFormat="false" ht="15" hidden="false" customHeight="true" outlineLevel="0" collapsed="false">
      <c r="A10045" s="10" t="n">
        <f aca="false">Einstellungen!$B$5+INT((ROW()-9)/24)</f>
        <v>46384</v>
      </c>
      <c r="B10045" s="11" t="n">
        <f aca="false">MOD(ROW()-9,24)</f>
        <v>4</v>
      </c>
      <c r="C10045" s="12"/>
      <c r="D10045" s="13" t="n">
        <f aca="false">IF(B10045&lt;5,Einstellungen!$B$3,Einstellungen!$B$4)</f>
        <v>15.92</v>
      </c>
      <c r="E10045" s="14" t="str">
        <f aca="false">IF(C10045="","",C10045*D10045/100)</f>
        <v/>
      </c>
      <c r="F10045" s="15" t="str">
        <f aca="false">IF(B10045&lt;5,"Go","Standard")</f>
        <v>Go</v>
      </c>
    </row>
    <row r="10046" customFormat="false" ht="15" hidden="false" customHeight="true" outlineLevel="0" collapsed="false">
      <c r="A10046" s="10" t="n">
        <f aca="false">Einstellungen!$B$5+INT((ROW()-9)/24)</f>
        <v>46384</v>
      </c>
      <c r="B10046" s="11" t="n">
        <f aca="false">MOD(ROW()-9,24)</f>
        <v>5</v>
      </c>
      <c r="C10046" s="12"/>
      <c r="D10046" s="13" t="n">
        <f aca="false">IF(B10046&lt;5,Einstellungen!$B$3,Einstellungen!$B$4)</f>
        <v>29.13</v>
      </c>
      <c r="E10046" s="14" t="str">
        <f aca="false">IF(C10046="","",C10046*D10046/100)</f>
        <v/>
      </c>
      <c r="F10046" s="15" t="str">
        <f aca="false">IF(B10046&lt;5,"Go","Standard")</f>
        <v>Standard</v>
      </c>
    </row>
    <row r="10047" customFormat="false" ht="15" hidden="false" customHeight="true" outlineLevel="0" collapsed="false">
      <c r="A10047" s="10" t="n">
        <f aca="false">Einstellungen!$B$5+INT((ROW()-9)/24)</f>
        <v>46384</v>
      </c>
      <c r="B10047" s="11" t="n">
        <f aca="false">MOD(ROW()-9,24)</f>
        <v>6</v>
      </c>
      <c r="C10047" s="12"/>
      <c r="D10047" s="13" t="n">
        <f aca="false">IF(B10047&lt;5,Einstellungen!$B$3,Einstellungen!$B$4)</f>
        <v>29.13</v>
      </c>
      <c r="E10047" s="14" t="str">
        <f aca="false">IF(C10047="","",C10047*D10047/100)</f>
        <v/>
      </c>
      <c r="F10047" s="15" t="str">
        <f aca="false">IF(B10047&lt;5,"Go","Standard")</f>
        <v>Standard</v>
      </c>
    </row>
    <row r="10048" customFormat="false" ht="15" hidden="false" customHeight="true" outlineLevel="0" collapsed="false">
      <c r="A10048" s="10" t="n">
        <f aca="false">Einstellungen!$B$5+INT((ROW()-9)/24)</f>
        <v>46384</v>
      </c>
      <c r="B10048" s="11" t="n">
        <f aca="false">MOD(ROW()-9,24)</f>
        <v>7</v>
      </c>
      <c r="C10048" s="12"/>
      <c r="D10048" s="13" t="n">
        <f aca="false">IF(B10048&lt;5,Einstellungen!$B$3,Einstellungen!$B$4)</f>
        <v>29.13</v>
      </c>
      <c r="E10048" s="14" t="str">
        <f aca="false">IF(C10048="","",C10048*D10048/100)</f>
        <v/>
      </c>
      <c r="F10048" s="15" t="str">
        <f aca="false">IF(B10048&lt;5,"Go","Standard")</f>
        <v>Standard</v>
      </c>
    </row>
    <row r="10049" customFormat="false" ht="15" hidden="false" customHeight="true" outlineLevel="0" collapsed="false">
      <c r="A10049" s="10" t="n">
        <f aca="false">Einstellungen!$B$5+INT((ROW()-9)/24)</f>
        <v>46384</v>
      </c>
      <c r="B10049" s="11" t="n">
        <f aca="false">MOD(ROW()-9,24)</f>
        <v>8</v>
      </c>
      <c r="C10049" s="12"/>
      <c r="D10049" s="13" t="n">
        <f aca="false">IF(B10049&lt;5,Einstellungen!$B$3,Einstellungen!$B$4)</f>
        <v>29.13</v>
      </c>
      <c r="E10049" s="14" t="str">
        <f aca="false">IF(C10049="","",C10049*D10049/100)</f>
        <v/>
      </c>
      <c r="F10049" s="15" t="str">
        <f aca="false">IF(B10049&lt;5,"Go","Standard")</f>
        <v>Standard</v>
      </c>
    </row>
    <row r="10050" customFormat="false" ht="15" hidden="false" customHeight="true" outlineLevel="0" collapsed="false">
      <c r="A10050" s="10" t="n">
        <f aca="false">Einstellungen!$B$5+INT((ROW()-9)/24)</f>
        <v>46384</v>
      </c>
      <c r="B10050" s="11" t="n">
        <f aca="false">MOD(ROW()-9,24)</f>
        <v>9</v>
      </c>
      <c r="C10050" s="12"/>
      <c r="D10050" s="13" t="n">
        <f aca="false">IF(B10050&lt;5,Einstellungen!$B$3,Einstellungen!$B$4)</f>
        <v>29.13</v>
      </c>
      <c r="E10050" s="14" t="str">
        <f aca="false">IF(C10050="","",C10050*D10050/100)</f>
        <v/>
      </c>
      <c r="F10050" s="15" t="str">
        <f aca="false">IF(B10050&lt;5,"Go","Standard")</f>
        <v>Standard</v>
      </c>
    </row>
    <row r="10051" customFormat="false" ht="15" hidden="false" customHeight="true" outlineLevel="0" collapsed="false">
      <c r="A10051" s="10" t="n">
        <f aca="false">Einstellungen!$B$5+INT((ROW()-9)/24)</f>
        <v>46384</v>
      </c>
      <c r="B10051" s="11" t="n">
        <f aca="false">MOD(ROW()-9,24)</f>
        <v>10</v>
      </c>
      <c r="C10051" s="12"/>
      <c r="D10051" s="13" t="n">
        <f aca="false">IF(B10051&lt;5,Einstellungen!$B$3,Einstellungen!$B$4)</f>
        <v>29.13</v>
      </c>
      <c r="E10051" s="14" t="str">
        <f aca="false">IF(C10051="","",C10051*D10051/100)</f>
        <v/>
      </c>
      <c r="F10051" s="15" t="str">
        <f aca="false">IF(B10051&lt;5,"Go","Standard")</f>
        <v>Standard</v>
      </c>
    </row>
    <row r="10052" customFormat="false" ht="15" hidden="false" customHeight="true" outlineLevel="0" collapsed="false">
      <c r="A10052" s="10" t="n">
        <f aca="false">Einstellungen!$B$5+INT((ROW()-9)/24)</f>
        <v>46384</v>
      </c>
      <c r="B10052" s="11" t="n">
        <f aca="false">MOD(ROW()-9,24)</f>
        <v>11</v>
      </c>
      <c r="C10052" s="12"/>
      <c r="D10052" s="13" t="n">
        <f aca="false">IF(B10052&lt;5,Einstellungen!$B$3,Einstellungen!$B$4)</f>
        <v>29.13</v>
      </c>
      <c r="E10052" s="14" t="str">
        <f aca="false">IF(C10052="","",C10052*D10052/100)</f>
        <v/>
      </c>
      <c r="F10052" s="15" t="str">
        <f aca="false">IF(B10052&lt;5,"Go","Standard")</f>
        <v>Standard</v>
      </c>
    </row>
    <row r="10053" customFormat="false" ht="15" hidden="false" customHeight="true" outlineLevel="0" collapsed="false">
      <c r="A10053" s="10" t="n">
        <f aca="false">Einstellungen!$B$5+INT((ROW()-9)/24)</f>
        <v>46384</v>
      </c>
      <c r="B10053" s="11" t="n">
        <f aca="false">MOD(ROW()-9,24)</f>
        <v>12</v>
      </c>
      <c r="C10053" s="12"/>
      <c r="D10053" s="13" t="n">
        <f aca="false">IF(B10053&lt;5,Einstellungen!$B$3,Einstellungen!$B$4)</f>
        <v>29.13</v>
      </c>
      <c r="E10053" s="14" t="str">
        <f aca="false">IF(C10053="","",C10053*D10053/100)</f>
        <v/>
      </c>
      <c r="F10053" s="15" t="str">
        <f aca="false">IF(B10053&lt;5,"Go","Standard")</f>
        <v>Standard</v>
      </c>
    </row>
    <row r="10054" customFormat="false" ht="15" hidden="false" customHeight="true" outlineLevel="0" collapsed="false">
      <c r="A10054" s="10" t="n">
        <f aca="false">Einstellungen!$B$5+INT((ROW()-9)/24)</f>
        <v>46384</v>
      </c>
      <c r="B10054" s="11" t="n">
        <f aca="false">MOD(ROW()-9,24)</f>
        <v>13</v>
      </c>
      <c r="C10054" s="12"/>
      <c r="D10054" s="13" t="n">
        <f aca="false">IF(B10054&lt;5,Einstellungen!$B$3,Einstellungen!$B$4)</f>
        <v>29.13</v>
      </c>
      <c r="E10054" s="14" t="str">
        <f aca="false">IF(C10054="","",C10054*D10054/100)</f>
        <v/>
      </c>
      <c r="F10054" s="15" t="str">
        <f aca="false">IF(B10054&lt;5,"Go","Standard")</f>
        <v>Standard</v>
      </c>
    </row>
    <row r="10055" customFormat="false" ht="15" hidden="false" customHeight="true" outlineLevel="0" collapsed="false">
      <c r="A10055" s="10" t="n">
        <f aca="false">Einstellungen!$B$5+INT((ROW()-9)/24)</f>
        <v>46384</v>
      </c>
      <c r="B10055" s="11" t="n">
        <f aca="false">MOD(ROW()-9,24)</f>
        <v>14</v>
      </c>
      <c r="C10055" s="12"/>
      <c r="D10055" s="13" t="n">
        <f aca="false">IF(B10055&lt;5,Einstellungen!$B$3,Einstellungen!$B$4)</f>
        <v>29.13</v>
      </c>
      <c r="E10055" s="14" t="str">
        <f aca="false">IF(C10055="","",C10055*D10055/100)</f>
        <v/>
      </c>
      <c r="F10055" s="15" t="str">
        <f aca="false">IF(B10055&lt;5,"Go","Standard")</f>
        <v>Standard</v>
      </c>
    </row>
    <row r="10056" customFormat="false" ht="15" hidden="false" customHeight="true" outlineLevel="0" collapsed="false">
      <c r="A10056" s="10" t="n">
        <f aca="false">Einstellungen!$B$5+INT((ROW()-9)/24)</f>
        <v>46384</v>
      </c>
      <c r="B10056" s="11" t="n">
        <f aca="false">MOD(ROW()-9,24)</f>
        <v>15</v>
      </c>
      <c r="C10056" s="12"/>
      <c r="D10056" s="13" t="n">
        <f aca="false">IF(B10056&lt;5,Einstellungen!$B$3,Einstellungen!$B$4)</f>
        <v>29.13</v>
      </c>
      <c r="E10056" s="14" t="str">
        <f aca="false">IF(C10056="","",C10056*D10056/100)</f>
        <v/>
      </c>
      <c r="F10056" s="15" t="str">
        <f aca="false">IF(B10056&lt;5,"Go","Standard")</f>
        <v>Standard</v>
      </c>
    </row>
    <row r="10057" customFormat="false" ht="15" hidden="false" customHeight="true" outlineLevel="0" collapsed="false">
      <c r="A10057" s="10" t="n">
        <f aca="false">Einstellungen!$B$5+INT((ROW()-9)/24)</f>
        <v>46384</v>
      </c>
      <c r="B10057" s="11" t="n">
        <f aca="false">MOD(ROW()-9,24)</f>
        <v>16</v>
      </c>
      <c r="C10057" s="12"/>
      <c r="D10057" s="13" t="n">
        <f aca="false">IF(B10057&lt;5,Einstellungen!$B$3,Einstellungen!$B$4)</f>
        <v>29.13</v>
      </c>
      <c r="E10057" s="14" t="str">
        <f aca="false">IF(C10057="","",C10057*D10057/100)</f>
        <v/>
      </c>
      <c r="F10057" s="15" t="str">
        <f aca="false">IF(B10057&lt;5,"Go","Standard")</f>
        <v>Standard</v>
      </c>
    </row>
    <row r="10058" customFormat="false" ht="15" hidden="false" customHeight="true" outlineLevel="0" collapsed="false">
      <c r="A10058" s="10" t="n">
        <f aca="false">Einstellungen!$B$5+INT((ROW()-9)/24)</f>
        <v>46384</v>
      </c>
      <c r="B10058" s="11" t="n">
        <f aca="false">MOD(ROW()-9,24)</f>
        <v>17</v>
      </c>
      <c r="C10058" s="12"/>
      <c r="D10058" s="13" t="n">
        <f aca="false">IF(B10058&lt;5,Einstellungen!$B$3,Einstellungen!$B$4)</f>
        <v>29.13</v>
      </c>
      <c r="E10058" s="14" t="str">
        <f aca="false">IF(C10058="","",C10058*D10058/100)</f>
        <v/>
      </c>
      <c r="F10058" s="15" t="str">
        <f aca="false">IF(B10058&lt;5,"Go","Standard")</f>
        <v>Standard</v>
      </c>
    </row>
    <row r="10059" customFormat="false" ht="15" hidden="false" customHeight="true" outlineLevel="0" collapsed="false">
      <c r="A10059" s="10" t="n">
        <f aca="false">Einstellungen!$B$5+INT((ROW()-9)/24)</f>
        <v>46384</v>
      </c>
      <c r="B10059" s="11" t="n">
        <f aca="false">MOD(ROW()-9,24)</f>
        <v>18</v>
      </c>
      <c r="C10059" s="12"/>
      <c r="D10059" s="13" t="n">
        <f aca="false">IF(B10059&lt;5,Einstellungen!$B$3,Einstellungen!$B$4)</f>
        <v>29.13</v>
      </c>
      <c r="E10059" s="14" t="str">
        <f aca="false">IF(C10059="","",C10059*D10059/100)</f>
        <v/>
      </c>
      <c r="F10059" s="15" t="str">
        <f aca="false">IF(B10059&lt;5,"Go","Standard")</f>
        <v>Standard</v>
      </c>
    </row>
    <row r="10060" customFormat="false" ht="15" hidden="false" customHeight="true" outlineLevel="0" collapsed="false">
      <c r="A10060" s="10" t="n">
        <f aca="false">Einstellungen!$B$5+INT((ROW()-9)/24)</f>
        <v>46384</v>
      </c>
      <c r="B10060" s="11" t="n">
        <f aca="false">MOD(ROW()-9,24)</f>
        <v>19</v>
      </c>
      <c r="C10060" s="12"/>
      <c r="D10060" s="13" t="n">
        <f aca="false">IF(B10060&lt;5,Einstellungen!$B$3,Einstellungen!$B$4)</f>
        <v>29.13</v>
      </c>
      <c r="E10060" s="14" t="str">
        <f aca="false">IF(C10060="","",C10060*D10060/100)</f>
        <v/>
      </c>
      <c r="F10060" s="15" t="str">
        <f aca="false">IF(B10060&lt;5,"Go","Standard")</f>
        <v>Standard</v>
      </c>
    </row>
    <row r="10061" customFormat="false" ht="15" hidden="false" customHeight="true" outlineLevel="0" collapsed="false">
      <c r="A10061" s="10" t="n">
        <f aca="false">Einstellungen!$B$5+INT((ROW()-9)/24)</f>
        <v>46384</v>
      </c>
      <c r="B10061" s="11" t="n">
        <f aca="false">MOD(ROW()-9,24)</f>
        <v>20</v>
      </c>
      <c r="C10061" s="12"/>
      <c r="D10061" s="13" t="n">
        <f aca="false">IF(B10061&lt;5,Einstellungen!$B$3,Einstellungen!$B$4)</f>
        <v>29.13</v>
      </c>
      <c r="E10061" s="14" t="str">
        <f aca="false">IF(C10061="","",C10061*D10061/100)</f>
        <v/>
      </c>
      <c r="F10061" s="15" t="str">
        <f aca="false">IF(B10061&lt;5,"Go","Standard")</f>
        <v>Standard</v>
      </c>
    </row>
    <row r="10062" customFormat="false" ht="15" hidden="false" customHeight="true" outlineLevel="0" collapsed="false">
      <c r="A10062" s="10" t="n">
        <f aca="false">Einstellungen!$B$5+INT((ROW()-9)/24)</f>
        <v>46384</v>
      </c>
      <c r="B10062" s="11" t="n">
        <f aca="false">MOD(ROW()-9,24)</f>
        <v>21</v>
      </c>
      <c r="C10062" s="12"/>
      <c r="D10062" s="13" t="n">
        <f aca="false">IF(B10062&lt;5,Einstellungen!$B$3,Einstellungen!$B$4)</f>
        <v>29.13</v>
      </c>
      <c r="E10062" s="14" t="str">
        <f aca="false">IF(C10062="","",C10062*D10062/100)</f>
        <v/>
      </c>
      <c r="F10062" s="15" t="str">
        <f aca="false">IF(B10062&lt;5,"Go","Standard")</f>
        <v>Standard</v>
      </c>
    </row>
    <row r="10063" customFormat="false" ht="15" hidden="false" customHeight="true" outlineLevel="0" collapsed="false">
      <c r="A10063" s="10" t="n">
        <f aca="false">Einstellungen!$B$5+INT((ROW()-9)/24)</f>
        <v>46384</v>
      </c>
      <c r="B10063" s="11" t="n">
        <f aca="false">MOD(ROW()-9,24)</f>
        <v>22</v>
      </c>
      <c r="C10063" s="12"/>
      <c r="D10063" s="13" t="n">
        <f aca="false">IF(B10063&lt;5,Einstellungen!$B$3,Einstellungen!$B$4)</f>
        <v>29.13</v>
      </c>
      <c r="E10063" s="14" t="str">
        <f aca="false">IF(C10063="","",C10063*D10063/100)</f>
        <v/>
      </c>
      <c r="F10063" s="15" t="str">
        <f aca="false">IF(B10063&lt;5,"Go","Standard")</f>
        <v>Standard</v>
      </c>
    </row>
    <row r="10064" customFormat="false" ht="15" hidden="false" customHeight="true" outlineLevel="0" collapsed="false">
      <c r="A10064" s="10" t="n">
        <f aca="false">Einstellungen!$B$5+INT((ROW()-9)/24)</f>
        <v>46384</v>
      </c>
      <c r="B10064" s="11" t="n">
        <f aca="false">MOD(ROW()-9,24)</f>
        <v>23</v>
      </c>
      <c r="C10064" s="12"/>
      <c r="D10064" s="13" t="n">
        <f aca="false">IF(B10064&lt;5,Einstellungen!$B$3,Einstellungen!$B$4)</f>
        <v>29.13</v>
      </c>
      <c r="E10064" s="14" t="str">
        <f aca="false">IF(C10064="","",C10064*D10064/100)</f>
        <v/>
      </c>
      <c r="F10064" s="15" t="str">
        <f aca="false">IF(B10064&lt;5,"Go","Standard")</f>
        <v>Standard</v>
      </c>
    </row>
    <row r="10065" customFormat="false" ht="15" hidden="false" customHeight="true" outlineLevel="0" collapsed="false">
      <c r="A10065" s="10" t="n">
        <f aca="false">Einstellungen!$B$5+INT((ROW()-9)/24)</f>
        <v>46385</v>
      </c>
      <c r="B10065" s="11" t="n">
        <f aca="false">MOD(ROW()-9,24)</f>
        <v>0</v>
      </c>
      <c r="C10065" s="12"/>
      <c r="D10065" s="13" t="n">
        <f aca="false">IF(B10065&lt;5,Einstellungen!$B$3,Einstellungen!$B$4)</f>
        <v>15.92</v>
      </c>
      <c r="E10065" s="14" t="str">
        <f aca="false">IF(C10065="","",C10065*D10065/100)</f>
        <v/>
      </c>
      <c r="F10065" s="15" t="str">
        <f aca="false">IF(B10065&lt;5,"Go","Standard")</f>
        <v>Go</v>
      </c>
    </row>
    <row r="10066" customFormat="false" ht="15" hidden="false" customHeight="true" outlineLevel="0" collapsed="false">
      <c r="A10066" s="10" t="n">
        <f aca="false">Einstellungen!$B$5+INT((ROW()-9)/24)</f>
        <v>46385</v>
      </c>
      <c r="B10066" s="11" t="n">
        <f aca="false">MOD(ROW()-9,24)</f>
        <v>1</v>
      </c>
      <c r="C10066" s="12"/>
      <c r="D10066" s="13" t="n">
        <f aca="false">IF(B10066&lt;5,Einstellungen!$B$3,Einstellungen!$B$4)</f>
        <v>15.92</v>
      </c>
      <c r="E10066" s="14" t="str">
        <f aca="false">IF(C10066="","",C10066*D10066/100)</f>
        <v/>
      </c>
      <c r="F10066" s="15" t="str">
        <f aca="false">IF(B10066&lt;5,"Go","Standard")</f>
        <v>Go</v>
      </c>
    </row>
    <row r="10067" customFormat="false" ht="15" hidden="false" customHeight="true" outlineLevel="0" collapsed="false">
      <c r="A10067" s="10" t="n">
        <f aca="false">Einstellungen!$B$5+INT((ROW()-9)/24)</f>
        <v>46385</v>
      </c>
      <c r="B10067" s="11" t="n">
        <f aca="false">MOD(ROW()-9,24)</f>
        <v>2</v>
      </c>
      <c r="C10067" s="12"/>
      <c r="D10067" s="13" t="n">
        <f aca="false">IF(B10067&lt;5,Einstellungen!$B$3,Einstellungen!$B$4)</f>
        <v>15.92</v>
      </c>
      <c r="E10067" s="14" t="str">
        <f aca="false">IF(C10067="","",C10067*D10067/100)</f>
        <v/>
      </c>
      <c r="F10067" s="15" t="str">
        <f aca="false">IF(B10067&lt;5,"Go","Standard")</f>
        <v>Go</v>
      </c>
    </row>
    <row r="10068" customFormat="false" ht="15" hidden="false" customHeight="true" outlineLevel="0" collapsed="false">
      <c r="A10068" s="10" t="n">
        <f aca="false">Einstellungen!$B$5+INT((ROW()-9)/24)</f>
        <v>46385</v>
      </c>
      <c r="B10068" s="11" t="n">
        <f aca="false">MOD(ROW()-9,24)</f>
        <v>3</v>
      </c>
      <c r="C10068" s="12"/>
      <c r="D10068" s="13" t="n">
        <f aca="false">IF(B10068&lt;5,Einstellungen!$B$3,Einstellungen!$B$4)</f>
        <v>15.92</v>
      </c>
      <c r="E10068" s="14" t="str">
        <f aca="false">IF(C10068="","",C10068*D10068/100)</f>
        <v/>
      </c>
      <c r="F10068" s="15" t="str">
        <f aca="false">IF(B10068&lt;5,"Go","Standard")</f>
        <v>Go</v>
      </c>
    </row>
    <row r="10069" customFormat="false" ht="15" hidden="false" customHeight="true" outlineLevel="0" collapsed="false">
      <c r="A10069" s="10" t="n">
        <f aca="false">Einstellungen!$B$5+INT((ROW()-9)/24)</f>
        <v>46385</v>
      </c>
      <c r="B10069" s="11" t="n">
        <f aca="false">MOD(ROW()-9,24)</f>
        <v>4</v>
      </c>
      <c r="C10069" s="12"/>
      <c r="D10069" s="13" t="n">
        <f aca="false">IF(B10069&lt;5,Einstellungen!$B$3,Einstellungen!$B$4)</f>
        <v>15.92</v>
      </c>
      <c r="E10069" s="14" t="str">
        <f aca="false">IF(C10069="","",C10069*D10069/100)</f>
        <v/>
      </c>
      <c r="F10069" s="15" t="str">
        <f aca="false">IF(B10069&lt;5,"Go","Standard")</f>
        <v>Go</v>
      </c>
    </row>
    <row r="10070" customFormat="false" ht="15" hidden="false" customHeight="true" outlineLevel="0" collapsed="false">
      <c r="A10070" s="10" t="n">
        <f aca="false">Einstellungen!$B$5+INT((ROW()-9)/24)</f>
        <v>46385</v>
      </c>
      <c r="B10070" s="11" t="n">
        <f aca="false">MOD(ROW()-9,24)</f>
        <v>5</v>
      </c>
      <c r="C10070" s="12"/>
      <c r="D10070" s="13" t="n">
        <f aca="false">IF(B10070&lt;5,Einstellungen!$B$3,Einstellungen!$B$4)</f>
        <v>29.13</v>
      </c>
      <c r="E10070" s="14" t="str">
        <f aca="false">IF(C10070="","",C10070*D10070/100)</f>
        <v/>
      </c>
      <c r="F10070" s="15" t="str">
        <f aca="false">IF(B10070&lt;5,"Go","Standard")</f>
        <v>Standard</v>
      </c>
    </row>
    <row r="10071" customFormat="false" ht="15" hidden="false" customHeight="true" outlineLevel="0" collapsed="false">
      <c r="A10071" s="10" t="n">
        <f aca="false">Einstellungen!$B$5+INT((ROW()-9)/24)</f>
        <v>46385</v>
      </c>
      <c r="B10071" s="11" t="n">
        <f aca="false">MOD(ROW()-9,24)</f>
        <v>6</v>
      </c>
      <c r="C10071" s="12"/>
      <c r="D10071" s="13" t="n">
        <f aca="false">IF(B10071&lt;5,Einstellungen!$B$3,Einstellungen!$B$4)</f>
        <v>29.13</v>
      </c>
      <c r="E10071" s="14" t="str">
        <f aca="false">IF(C10071="","",C10071*D10071/100)</f>
        <v/>
      </c>
      <c r="F10071" s="15" t="str">
        <f aca="false">IF(B10071&lt;5,"Go","Standard")</f>
        <v>Standard</v>
      </c>
    </row>
    <row r="10072" customFormat="false" ht="15" hidden="false" customHeight="true" outlineLevel="0" collapsed="false">
      <c r="A10072" s="10" t="n">
        <f aca="false">Einstellungen!$B$5+INT((ROW()-9)/24)</f>
        <v>46385</v>
      </c>
      <c r="B10072" s="11" t="n">
        <f aca="false">MOD(ROW()-9,24)</f>
        <v>7</v>
      </c>
      <c r="C10072" s="12"/>
      <c r="D10072" s="13" t="n">
        <f aca="false">IF(B10072&lt;5,Einstellungen!$B$3,Einstellungen!$B$4)</f>
        <v>29.13</v>
      </c>
      <c r="E10072" s="14" t="str">
        <f aca="false">IF(C10072="","",C10072*D10072/100)</f>
        <v/>
      </c>
      <c r="F10072" s="15" t="str">
        <f aca="false">IF(B10072&lt;5,"Go","Standard")</f>
        <v>Standard</v>
      </c>
    </row>
    <row r="10073" customFormat="false" ht="15" hidden="false" customHeight="true" outlineLevel="0" collapsed="false">
      <c r="A10073" s="10" t="n">
        <f aca="false">Einstellungen!$B$5+INT((ROW()-9)/24)</f>
        <v>46385</v>
      </c>
      <c r="B10073" s="11" t="n">
        <f aca="false">MOD(ROW()-9,24)</f>
        <v>8</v>
      </c>
      <c r="C10073" s="12"/>
      <c r="D10073" s="13" t="n">
        <f aca="false">IF(B10073&lt;5,Einstellungen!$B$3,Einstellungen!$B$4)</f>
        <v>29.13</v>
      </c>
      <c r="E10073" s="14" t="str">
        <f aca="false">IF(C10073="","",C10073*D10073/100)</f>
        <v/>
      </c>
      <c r="F10073" s="15" t="str">
        <f aca="false">IF(B10073&lt;5,"Go","Standard")</f>
        <v>Standard</v>
      </c>
    </row>
    <row r="10074" customFormat="false" ht="15" hidden="false" customHeight="true" outlineLevel="0" collapsed="false">
      <c r="A10074" s="10" t="n">
        <f aca="false">Einstellungen!$B$5+INT((ROW()-9)/24)</f>
        <v>46385</v>
      </c>
      <c r="B10074" s="11" t="n">
        <f aca="false">MOD(ROW()-9,24)</f>
        <v>9</v>
      </c>
      <c r="C10074" s="12"/>
      <c r="D10074" s="13" t="n">
        <f aca="false">IF(B10074&lt;5,Einstellungen!$B$3,Einstellungen!$B$4)</f>
        <v>29.13</v>
      </c>
      <c r="E10074" s="14" t="str">
        <f aca="false">IF(C10074="","",C10074*D10074/100)</f>
        <v/>
      </c>
      <c r="F10074" s="15" t="str">
        <f aca="false">IF(B10074&lt;5,"Go","Standard")</f>
        <v>Standard</v>
      </c>
    </row>
    <row r="10075" customFormat="false" ht="15" hidden="false" customHeight="true" outlineLevel="0" collapsed="false">
      <c r="A10075" s="10" t="n">
        <f aca="false">Einstellungen!$B$5+INT((ROW()-9)/24)</f>
        <v>46385</v>
      </c>
      <c r="B10075" s="11" t="n">
        <f aca="false">MOD(ROW()-9,24)</f>
        <v>10</v>
      </c>
      <c r="C10075" s="12"/>
      <c r="D10075" s="13" t="n">
        <f aca="false">IF(B10075&lt;5,Einstellungen!$B$3,Einstellungen!$B$4)</f>
        <v>29.13</v>
      </c>
      <c r="E10075" s="14" t="str">
        <f aca="false">IF(C10075="","",C10075*D10075/100)</f>
        <v/>
      </c>
      <c r="F10075" s="15" t="str">
        <f aca="false">IF(B10075&lt;5,"Go","Standard")</f>
        <v>Standard</v>
      </c>
    </row>
    <row r="10076" customFormat="false" ht="15" hidden="false" customHeight="true" outlineLevel="0" collapsed="false">
      <c r="A10076" s="10" t="n">
        <f aca="false">Einstellungen!$B$5+INT((ROW()-9)/24)</f>
        <v>46385</v>
      </c>
      <c r="B10076" s="11" t="n">
        <f aca="false">MOD(ROW()-9,24)</f>
        <v>11</v>
      </c>
      <c r="C10076" s="12"/>
      <c r="D10076" s="13" t="n">
        <f aca="false">IF(B10076&lt;5,Einstellungen!$B$3,Einstellungen!$B$4)</f>
        <v>29.13</v>
      </c>
      <c r="E10076" s="14" t="str">
        <f aca="false">IF(C10076="","",C10076*D10076/100)</f>
        <v/>
      </c>
      <c r="F10076" s="15" t="str">
        <f aca="false">IF(B10076&lt;5,"Go","Standard")</f>
        <v>Standard</v>
      </c>
    </row>
    <row r="10077" customFormat="false" ht="15" hidden="false" customHeight="true" outlineLevel="0" collapsed="false">
      <c r="A10077" s="10" t="n">
        <f aca="false">Einstellungen!$B$5+INT((ROW()-9)/24)</f>
        <v>46385</v>
      </c>
      <c r="B10077" s="11" t="n">
        <f aca="false">MOD(ROW()-9,24)</f>
        <v>12</v>
      </c>
      <c r="C10077" s="12"/>
      <c r="D10077" s="13" t="n">
        <f aca="false">IF(B10077&lt;5,Einstellungen!$B$3,Einstellungen!$B$4)</f>
        <v>29.13</v>
      </c>
      <c r="E10077" s="14" t="str">
        <f aca="false">IF(C10077="","",C10077*D10077/100)</f>
        <v/>
      </c>
      <c r="F10077" s="15" t="str">
        <f aca="false">IF(B10077&lt;5,"Go","Standard")</f>
        <v>Standard</v>
      </c>
    </row>
    <row r="10078" customFormat="false" ht="15" hidden="false" customHeight="true" outlineLevel="0" collapsed="false">
      <c r="A10078" s="10" t="n">
        <f aca="false">Einstellungen!$B$5+INT((ROW()-9)/24)</f>
        <v>46385</v>
      </c>
      <c r="B10078" s="11" t="n">
        <f aca="false">MOD(ROW()-9,24)</f>
        <v>13</v>
      </c>
      <c r="C10078" s="12"/>
      <c r="D10078" s="13" t="n">
        <f aca="false">IF(B10078&lt;5,Einstellungen!$B$3,Einstellungen!$B$4)</f>
        <v>29.13</v>
      </c>
      <c r="E10078" s="14" t="str">
        <f aca="false">IF(C10078="","",C10078*D10078/100)</f>
        <v/>
      </c>
      <c r="F10078" s="15" t="str">
        <f aca="false">IF(B10078&lt;5,"Go","Standard")</f>
        <v>Standard</v>
      </c>
    </row>
    <row r="10079" customFormat="false" ht="15" hidden="false" customHeight="true" outlineLevel="0" collapsed="false">
      <c r="A10079" s="10" t="n">
        <f aca="false">Einstellungen!$B$5+INT((ROW()-9)/24)</f>
        <v>46385</v>
      </c>
      <c r="B10079" s="11" t="n">
        <f aca="false">MOD(ROW()-9,24)</f>
        <v>14</v>
      </c>
      <c r="C10079" s="12"/>
      <c r="D10079" s="13" t="n">
        <f aca="false">IF(B10079&lt;5,Einstellungen!$B$3,Einstellungen!$B$4)</f>
        <v>29.13</v>
      </c>
      <c r="E10079" s="14" t="str">
        <f aca="false">IF(C10079="","",C10079*D10079/100)</f>
        <v/>
      </c>
      <c r="F10079" s="15" t="str">
        <f aca="false">IF(B10079&lt;5,"Go","Standard")</f>
        <v>Standard</v>
      </c>
    </row>
    <row r="10080" customFormat="false" ht="15" hidden="false" customHeight="true" outlineLevel="0" collapsed="false">
      <c r="A10080" s="10" t="n">
        <f aca="false">Einstellungen!$B$5+INT((ROW()-9)/24)</f>
        <v>46385</v>
      </c>
      <c r="B10080" s="11" t="n">
        <f aca="false">MOD(ROW()-9,24)</f>
        <v>15</v>
      </c>
      <c r="C10080" s="12"/>
      <c r="D10080" s="13" t="n">
        <f aca="false">IF(B10080&lt;5,Einstellungen!$B$3,Einstellungen!$B$4)</f>
        <v>29.13</v>
      </c>
      <c r="E10080" s="14" t="str">
        <f aca="false">IF(C10080="","",C10080*D10080/100)</f>
        <v/>
      </c>
      <c r="F10080" s="15" t="str">
        <f aca="false">IF(B10080&lt;5,"Go","Standard")</f>
        <v>Standard</v>
      </c>
    </row>
    <row r="10081" customFormat="false" ht="15" hidden="false" customHeight="true" outlineLevel="0" collapsed="false">
      <c r="A10081" s="10" t="n">
        <f aca="false">Einstellungen!$B$5+INT((ROW()-9)/24)</f>
        <v>46385</v>
      </c>
      <c r="B10081" s="11" t="n">
        <f aca="false">MOD(ROW()-9,24)</f>
        <v>16</v>
      </c>
      <c r="C10081" s="12"/>
      <c r="D10081" s="13" t="n">
        <f aca="false">IF(B10081&lt;5,Einstellungen!$B$3,Einstellungen!$B$4)</f>
        <v>29.13</v>
      </c>
      <c r="E10081" s="14" t="str">
        <f aca="false">IF(C10081="","",C10081*D10081/100)</f>
        <v/>
      </c>
      <c r="F10081" s="15" t="str">
        <f aca="false">IF(B10081&lt;5,"Go","Standard")</f>
        <v>Standard</v>
      </c>
    </row>
    <row r="10082" customFormat="false" ht="15" hidden="false" customHeight="true" outlineLevel="0" collapsed="false">
      <c r="A10082" s="10" t="n">
        <f aca="false">Einstellungen!$B$5+INT((ROW()-9)/24)</f>
        <v>46385</v>
      </c>
      <c r="B10082" s="11" t="n">
        <f aca="false">MOD(ROW()-9,24)</f>
        <v>17</v>
      </c>
      <c r="C10082" s="12"/>
      <c r="D10082" s="13" t="n">
        <f aca="false">IF(B10082&lt;5,Einstellungen!$B$3,Einstellungen!$B$4)</f>
        <v>29.13</v>
      </c>
      <c r="E10082" s="14" t="str">
        <f aca="false">IF(C10082="","",C10082*D10082/100)</f>
        <v/>
      </c>
      <c r="F10082" s="15" t="str">
        <f aca="false">IF(B10082&lt;5,"Go","Standard")</f>
        <v>Standard</v>
      </c>
    </row>
    <row r="10083" customFormat="false" ht="15" hidden="false" customHeight="true" outlineLevel="0" collapsed="false">
      <c r="A10083" s="10" t="n">
        <f aca="false">Einstellungen!$B$5+INT((ROW()-9)/24)</f>
        <v>46385</v>
      </c>
      <c r="B10083" s="11" t="n">
        <f aca="false">MOD(ROW()-9,24)</f>
        <v>18</v>
      </c>
      <c r="C10083" s="12"/>
      <c r="D10083" s="13" t="n">
        <f aca="false">IF(B10083&lt;5,Einstellungen!$B$3,Einstellungen!$B$4)</f>
        <v>29.13</v>
      </c>
      <c r="E10083" s="14" t="str">
        <f aca="false">IF(C10083="","",C10083*D10083/100)</f>
        <v/>
      </c>
      <c r="F10083" s="15" t="str">
        <f aca="false">IF(B10083&lt;5,"Go","Standard")</f>
        <v>Standard</v>
      </c>
    </row>
    <row r="10084" customFormat="false" ht="15" hidden="false" customHeight="true" outlineLevel="0" collapsed="false">
      <c r="A10084" s="10" t="n">
        <f aca="false">Einstellungen!$B$5+INT((ROW()-9)/24)</f>
        <v>46385</v>
      </c>
      <c r="B10084" s="11" t="n">
        <f aca="false">MOD(ROW()-9,24)</f>
        <v>19</v>
      </c>
      <c r="C10084" s="12"/>
      <c r="D10084" s="13" t="n">
        <f aca="false">IF(B10084&lt;5,Einstellungen!$B$3,Einstellungen!$B$4)</f>
        <v>29.13</v>
      </c>
      <c r="E10084" s="14" t="str">
        <f aca="false">IF(C10084="","",C10084*D10084/100)</f>
        <v/>
      </c>
      <c r="F10084" s="15" t="str">
        <f aca="false">IF(B10084&lt;5,"Go","Standard")</f>
        <v>Standard</v>
      </c>
    </row>
    <row r="10085" customFormat="false" ht="15" hidden="false" customHeight="true" outlineLevel="0" collapsed="false">
      <c r="A10085" s="10" t="n">
        <f aca="false">Einstellungen!$B$5+INT((ROW()-9)/24)</f>
        <v>46385</v>
      </c>
      <c r="B10085" s="11" t="n">
        <f aca="false">MOD(ROW()-9,24)</f>
        <v>20</v>
      </c>
      <c r="C10085" s="12"/>
      <c r="D10085" s="13" t="n">
        <f aca="false">IF(B10085&lt;5,Einstellungen!$B$3,Einstellungen!$B$4)</f>
        <v>29.13</v>
      </c>
      <c r="E10085" s="14" t="str">
        <f aca="false">IF(C10085="","",C10085*D10085/100)</f>
        <v/>
      </c>
      <c r="F10085" s="15" t="str">
        <f aca="false">IF(B10085&lt;5,"Go","Standard")</f>
        <v>Standard</v>
      </c>
    </row>
    <row r="10086" customFormat="false" ht="15" hidden="false" customHeight="true" outlineLevel="0" collapsed="false">
      <c r="A10086" s="10" t="n">
        <f aca="false">Einstellungen!$B$5+INT((ROW()-9)/24)</f>
        <v>46385</v>
      </c>
      <c r="B10086" s="11" t="n">
        <f aca="false">MOD(ROW()-9,24)</f>
        <v>21</v>
      </c>
      <c r="C10086" s="12"/>
      <c r="D10086" s="13" t="n">
        <f aca="false">IF(B10086&lt;5,Einstellungen!$B$3,Einstellungen!$B$4)</f>
        <v>29.13</v>
      </c>
      <c r="E10086" s="14" t="str">
        <f aca="false">IF(C10086="","",C10086*D10086/100)</f>
        <v/>
      </c>
      <c r="F10086" s="15" t="str">
        <f aca="false">IF(B10086&lt;5,"Go","Standard")</f>
        <v>Standard</v>
      </c>
    </row>
    <row r="10087" customFormat="false" ht="15" hidden="false" customHeight="true" outlineLevel="0" collapsed="false">
      <c r="A10087" s="10" t="n">
        <f aca="false">Einstellungen!$B$5+INT((ROW()-9)/24)</f>
        <v>46385</v>
      </c>
      <c r="B10087" s="11" t="n">
        <f aca="false">MOD(ROW()-9,24)</f>
        <v>22</v>
      </c>
      <c r="C10087" s="12"/>
      <c r="D10087" s="13" t="n">
        <f aca="false">IF(B10087&lt;5,Einstellungen!$B$3,Einstellungen!$B$4)</f>
        <v>29.13</v>
      </c>
      <c r="E10087" s="14" t="str">
        <f aca="false">IF(C10087="","",C10087*D10087/100)</f>
        <v/>
      </c>
      <c r="F10087" s="15" t="str">
        <f aca="false">IF(B10087&lt;5,"Go","Standard")</f>
        <v>Standard</v>
      </c>
    </row>
    <row r="10088" customFormat="false" ht="15" hidden="false" customHeight="true" outlineLevel="0" collapsed="false">
      <c r="A10088" s="10" t="n">
        <f aca="false">Einstellungen!$B$5+INT((ROW()-9)/24)</f>
        <v>46385</v>
      </c>
      <c r="B10088" s="11" t="n">
        <f aca="false">MOD(ROW()-9,24)</f>
        <v>23</v>
      </c>
      <c r="C10088" s="12"/>
      <c r="D10088" s="13" t="n">
        <f aca="false">IF(B10088&lt;5,Einstellungen!$B$3,Einstellungen!$B$4)</f>
        <v>29.13</v>
      </c>
      <c r="E10088" s="14" t="str">
        <f aca="false">IF(C10088="","",C10088*D10088/100)</f>
        <v/>
      </c>
      <c r="F10088" s="15" t="str">
        <f aca="false">IF(B10088&lt;5,"Go","Standard")</f>
        <v>Standard</v>
      </c>
    </row>
    <row r="10089" customFormat="false" ht="15" hidden="false" customHeight="true" outlineLevel="0" collapsed="false">
      <c r="A10089" s="10" t="n">
        <f aca="false">Einstellungen!$B$5+INT((ROW()-9)/24)</f>
        <v>46386</v>
      </c>
      <c r="B10089" s="11" t="n">
        <f aca="false">MOD(ROW()-9,24)</f>
        <v>0</v>
      </c>
      <c r="C10089" s="12"/>
      <c r="D10089" s="13" t="n">
        <f aca="false">IF(B10089&lt;5,Einstellungen!$B$3,Einstellungen!$B$4)</f>
        <v>15.92</v>
      </c>
      <c r="E10089" s="14" t="str">
        <f aca="false">IF(C10089="","",C10089*D10089/100)</f>
        <v/>
      </c>
      <c r="F10089" s="15" t="str">
        <f aca="false">IF(B10089&lt;5,"Go","Standard")</f>
        <v>Go</v>
      </c>
    </row>
    <row r="10090" customFormat="false" ht="15" hidden="false" customHeight="true" outlineLevel="0" collapsed="false">
      <c r="A10090" s="10" t="n">
        <f aca="false">Einstellungen!$B$5+INT((ROW()-9)/24)</f>
        <v>46386</v>
      </c>
      <c r="B10090" s="11" t="n">
        <f aca="false">MOD(ROW()-9,24)</f>
        <v>1</v>
      </c>
      <c r="C10090" s="12"/>
      <c r="D10090" s="13" t="n">
        <f aca="false">IF(B10090&lt;5,Einstellungen!$B$3,Einstellungen!$B$4)</f>
        <v>15.92</v>
      </c>
      <c r="E10090" s="14" t="str">
        <f aca="false">IF(C10090="","",C10090*D10090/100)</f>
        <v/>
      </c>
      <c r="F10090" s="15" t="str">
        <f aca="false">IF(B10090&lt;5,"Go","Standard")</f>
        <v>Go</v>
      </c>
    </row>
    <row r="10091" customFormat="false" ht="15" hidden="false" customHeight="true" outlineLevel="0" collapsed="false">
      <c r="A10091" s="10" t="n">
        <f aca="false">Einstellungen!$B$5+INT((ROW()-9)/24)</f>
        <v>46386</v>
      </c>
      <c r="B10091" s="11" t="n">
        <f aca="false">MOD(ROW()-9,24)</f>
        <v>2</v>
      </c>
      <c r="C10091" s="12"/>
      <c r="D10091" s="13" t="n">
        <f aca="false">IF(B10091&lt;5,Einstellungen!$B$3,Einstellungen!$B$4)</f>
        <v>15.92</v>
      </c>
      <c r="E10091" s="14" t="str">
        <f aca="false">IF(C10091="","",C10091*D10091/100)</f>
        <v/>
      </c>
      <c r="F10091" s="15" t="str">
        <f aca="false">IF(B10091&lt;5,"Go","Standard")</f>
        <v>Go</v>
      </c>
    </row>
    <row r="10092" customFormat="false" ht="15" hidden="false" customHeight="true" outlineLevel="0" collapsed="false">
      <c r="A10092" s="10" t="n">
        <f aca="false">Einstellungen!$B$5+INT((ROW()-9)/24)</f>
        <v>46386</v>
      </c>
      <c r="B10092" s="11" t="n">
        <f aca="false">MOD(ROW()-9,24)</f>
        <v>3</v>
      </c>
      <c r="C10092" s="12"/>
      <c r="D10092" s="13" t="n">
        <f aca="false">IF(B10092&lt;5,Einstellungen!$B$3,Einstellungen!$B$4)</f>
        <v>15.92</v>
      </c>
      <c r="E10092" s="14" t="str">
        <f aca="false">IF(C10092="","",C10092*D10092/100)</f>
        <v/>
      </c>
      <c r="F10092" s="15" t="str">
        <f aca="false">IF(B10092&lt;5,"Go","Standard")</f>
        <v>Go</v>
      </c>
    </row>
    <row r="10093" customFormat="false" ht="15" hidden="false" customHeight="true" outlineLevel="0" collapsed="false">
      <c r="A10093" s="10" t="n">
        <f aca="false">Einstellungen!$B$5+INT((ROW()-9)/24)</f>
        <v>46386</v>
      </c>
      <c r="B10093" s="11" t="n">
        <f aca="false">MOD(ROW()-9,24)</f>
        <v>4</v>
      </c>
      <c r="C10093" s="12"/>
      <c r="D10093" s="13" t="n">
        <f aca="false">IF(B10093&lt;5,Einstellungen!$B$3,Einstellungen!$B$4)</f>
        <v>15.92</v>
      </c>
      <c r="E10093" s="14" t="str">
        <f aca="false">IF(C10093="","",C10093*D10093/100)</f>
        <v/>
      </c>
      <c r="F10093" s="15" t="str">
        <f aca="false">IF(B10093&lt;5,"Go","Standard")</f>
        <v>Go</v>
      </c>
    </row>
    <row r="10094" customFormat="false" ht="15" hidden="false" customHeight="true" outlineLevel="0" collapsed="false">
      <c r="A10094" s="10" t="n">
        <f aca="false">Einstellungen!$B$5+INT((ROW()-9)/24)</f>
        <v>46386</v>
      </c>
      <c r="B10094" s="11" t="n">
        <f aca="false">MOD(ROW()-9,24)</f>
        <v>5</v>
      </c>
      <c r="C10094" s="12"/>
      <c r="D10094" s="13" t="n">
        <f aca="false">IF(B10094&lt;5,Einstellungen!$B$3,Einstellungen!$B$4)</f>
        <v>29.13</v>
      </c>
      <c r="E10094" s="14" t="str">
        <f aca="false">IF(C10094="","",C10094*D10094/100)</f>
        <v/>
      </c>
      <c r="F10094" s="15" t="str">
        <f aca="false">IF(B10094&lt;5,"Go","Standard")</f>
        <v>Standard</v>
      </c>
    </row>
    <row r="10095" customFormat="false" ht="15" hidden="false" customHeight="true" outlineLevel="0" collapsed="false">
      <c r="A10095" s="10" t="n">
        <f aca="false">Einstellungen!$B$5+INT((ROW()-9)/24)</f>
        <v>46386</v>
      </c>
      <c r="B10095" s="11" t="n">
        <f aca="false">MOD(ROW()-9,24)</f>
        <v>6</v>
      </c>
      <c r="C10095" s="12"/>
      <c r="D10095" s="13" t="n">
        <f aca="false">IF(B10095&lt;5,Einstellungen!$B$3,Einstellungen!$B$4)</f>
        <v>29.13</v>
      </c>
      <c r="E10095" s="14" t="str">
        <f aca="false">IF(C10095="","",C10095*D10095/100)</f>
        <v/>
      </c>
      <c r="F10095" s="15" t="str">
        <f aca="false">IF(B10095&lt;5,"Go","Standard")</f>
        <v>Standard</v>
      </c>
    </row>
    <row r="10096" customFormat="false" ht="15" hidden="false" customHeight="true" outlineLevel="0" collapsed="false">
      <c r="A10096" s="10" t="n">
        <f aca="false">Einstellungen!$B$5+INT((ROW()-9)/24)</f>
        <v>46386</v>
      </c>
      <c r="B10096" s="11" t="n">
        <f aca="false">MOD(ROW()-9,24)</f>
        <v>7</v>
      </c>
      <c r="C10096" s="12"/>
      <c r="D10096" s="13" t="n">
        <f aca="false">IF(B10096&lt;5,Einstellungen!$B$3,Einstellungen!$B$4)</f>
        <v>29.13</v>
      </c>
      <c r="E10096" s="14" t="str">
        <f aca="false">IF(C10096="","",C10096*D10096/100)</f>
        <v/>
      </c>
      <c r="F10096" s="15" t="str">
        <f aca="false">IF(B10096&lt;5,"Go","Standard")</f>
        <v>Standard</v>
      </c>
    </row>
    <row r="10097" customFormat="false" ht="15" hidden="false" customHeight="true" outlineLevel="0" collapsed="false">
      <c r="A10097" s="10" t="n">
        <f aca="false">Einstellungen!$B$5+INT((ROW()-9)/24)</f>
        <v>46386</v>
      </c>
      <c r="B10097" s="11" t="n">
        <f aca="false">MOD(ROW()-9,24)</f>
        <v>8</v>
      </c>
      <c r="C10097" s="12"/>
      <c r="D10097" s="13" t="n">
        <f aca="false">IF(B10097&lt;5,Einstellungen!$B$3,Einstellungen!$B$4)</f>
        <v>29.13</v>
      </c>
      <c r="E10097" s="14" t="str">
        <f aca="false">IF(C10097="","",C10097*D10097/100)</f>
        <v/>
      </c>
      <c r="F10097" s="15" t="str">
        <f aca="false">IF(B10097&lt;5,"Go","Standard")</f>
        <v>Standard</v>
      </c>
    </row>
    <row r="10098" customFormat="false" ht="15" hidden="false" customHeight="true" outlineLevel="0" collapsed="false">
      <c r="A10098" s="10" t="n">
        <f aca="false">Einstellungen!$B$5+INT((ROW()-9)/24)</f>
        <v>46386</v>
      </c>
      <c r="B10098" s="11" t="n">
        <f aca="false">MOD(ROW()-9,24)</f>
        <v>9</v>
      </c>
      <c r="C10098" s="12"/>
      <c r="D10098" s="13" t="n">
        <f aca="false">IF(B10098&lt;5,Einstellungen!$B$3,Einstellungen!$B$4)</f>
        <v>29.13</v>
      </c>
      <c r="E10098" s="14" t="str">
        <f aca="false">IF(C10098="","",C10098*D10098/100)</f>
        <v/>
      </c>
      <c r="F10098" s="15" t="str">
        <f aca="false">IF(B10098&lt;5,"Go","Standard")</f>
        <v>Standard</v>
      </c>
    </row>
    <row r="10099" customFormat="false" ht="15" hidden="false" customHeight="true" outlineLevel="0" collapsed="false">
      <c r="A10099" s="10" t="n">
        <f aca="false">Einstellungen!$B$5+INT((ROW()-9)/24)</f>
        <v>46386</v>
      </c>
      <c r="B10099" s="11" t="n">
        <f aca="false">MOD(ROW()-9,24)</f>
        <v>10</v>
      </c>
      <c r="C10099" s="12"/>
      <c r="D10099" s="13" t="n">
        <f aca="false">IF(B10099&lt;5,Einstellungen!$B$3,Einstellungen!$B$4)</f>
        <v>29.13</v>
      </c>
      <c r="E10099" s="14" t="str">
        <f aca="false">IF(C10099="","",C10099*D10099/100)</f>
        <v/>
      </c>
      <c r="F10099" s="15" t="str">
        <f aca="false">IF(B10099&lt;5,"Go","Standard")</f>
        <v>Standard</v>
      </c>
    </row>
    <row r="10100" customFormat="false" ht="15" hidden="false" customHeight="true" outlineLevel="0" collapsed="false">
      <c r="A10100" s="10" t="n">
        <f aca="false">Einstellungen!$B$5+INT((ROW()-9)/24)</f>
        <v>46386</v>
      </c>
      <c r="B10100" s="11" t="n">
        <f aca="false">MOD(ROW()-9,24)</f>
        <v>11</v>
      </c>
      <c r="C10100" s="12"/>
      <c r="D10100" s="13" t="n">
        <f aca="false">IF(B10100&lt;5,Einstellungen!$B$3,Einstellungen!$B$4)</f>
        <v>29.13</v>
      </c>
      <c r="E10100" s="14" t="str">
        <f aca="false">IF(C10100="","",C10100*D10100/100)</f>
        <v/>
      </c>
      <c r="F10100" s="15" t="str">
        <f aca="false">IF(B10100&lt;5,"Go","Standard")</f>
        <v>Standard</v>
      </c>
    </row>
    <row r="10101" customFormat="false" ht="15" hidden="false" customHeight="true" outlineLevel="0" collapsed="false">
      <c r="A10101" s="10" t="n">
        <f aca="false">Einstellungen!$B$5+INT((ROW()-9)/24)</f>
        <v>46386</v>
      </c>
      <c r="B10101" s="11" t="n">
        <f aca="false">MOD(ROW()-9,24)</f>
        <v>12</v>
      </c>
      <c r="C10101" s="12"/>
      <c r="D10101" s="13" t="n">
        <f aca="false">IF(B10101&lt;5,Einstellungen!$B$3,Einstellungen!$B$4)</f>
        <v>29.13</v>
      </c>
      <c r="E10101" s="14" t="str">
        <f aca="false">IF(C10101="","",C10101*D10101/100)</f>
        <v/>
      </c>
      <c r="F10101" s="15" t="str">
        <f aca="false">IF(B10101&lt;5,"Go","Standard")</f>
        <v>Standard</v>
      </c>
    </row>
    <row r="10102" customFormat="false" ht="15" hidden="false" customHeight="true" outlineLevel="0" collapsed="false">
      <c r="A10102" s="10" t="n">
        <f aca="false">Einstellungen!$B$5+INT((ROW()-9)/24)</f>
        <v>46386</v>
      </c>
      <c r="B10102" s="11" t="n">
        <f aca="false">MOD(ROW()-9,24)</f>
        <v>13</v>
      </c>
      <c r="C10102" s="12"/>
      <c r="D10102" s="13" t="n">
        <f aca="false">IF(B10102&lt;5,Einstellungen!$B$3,Einstellungen!$B$4)</f>
        <v>29.13</v>
      </c>
      <c r="E10102" s="14" t="str">
        <f aca="false">IF(C10102="","",C10102*D10102/100)</f>
        <v/>
      </c>
      <c r="F10102" s="15" t="str">
        <f aca="false">IF(B10102&lt;5,"Go","Standard")</f>
        <v>Standard</v>
      </c>
    </row>
    <row r="10103" customFormat="false" ht="15" hidden="false" customHeight="true" outlineLevel="0" collapsed="false">
      <c r="A10103" s="10" t="n">
        <f aca="false">Einstellungen!$B$5+INT((ROW()-9)/24)</f>
        <v>46386</v>
      </c>
      <c r="B10103" s="11" t="n">
        <f aca="false">MOD(ROW()-9,24)</f>
        <v>14</v>
      </c>
      <c r="C10103" s="12"/>
      <c r="D10103" s="13" t="n">
        <f aca="false">IF(B10103&lt;5,Einstellungen!$B$3,Einstellungen!$B$4)</f>
        <v>29.13</v>
      </c>
      <c r="E10103" s="14" t="str">
        <f aca="false">IF(C10103="","",C10103*D10103/100)</f>
        <v/>
      </c>
      <c r="F10103" s="15" t="str">
        <f aca="false">IF(B10103&lt;5,"Go","Standard")</f>
        <v>Standard</v>
      </c>
    </row>
    <row r="10104" customFormat="false" ht="15" hidden="false" customHeight="true" outlineLevel="0" collapsed="false">
      <c r="A10104" s="10" t="n">
        <f aca="false">Einstellungen!$B$5+INT((ROW()-9)/24)</f>
        <v>46386</v>
      </c>
      <c r="B10104" s="11" t="n">
        <f aca="false">MOD(ROW()-9,24)</f>
        <v>15</v>
      </c>
      <c r="C10104" s="12"/>
      <c r="D10104" s="13" t="n">
        <f aca="false">IF(B10104&lt;5,Einstellungen!$B$3,Einstellungen!$B$4)</f>
        <v>29.13</v>
      </c>
      <c r="E10104" s="14" t="str">
        <f aca="false">IF(C10104="","",C10104*D10104/100)</f>
        <v/>
      </c>
      <c r="F10104" s="15" t="str">
        <f aca="false">IF(B10104&lt;5,"Go","Standard")</f>
        <v>Standard</v>
      </c>
    </row>
    <row r="10105" customFormat="false" ht="15" hidden="false" customHeight="true" outlineLevel="0" collapsed="false">
      <c r="A10105" s="10" t="n">
        <f aca="false">Einstellungen!$B$5+INT((ROW()-9)/24)</f>
        <v>46386</v>
      </c>
      <c r="B10105" s="11" t="n">
        <f aca="false">MOD(ROW()-9,24)</f>
        <v>16</v>
      </c>
      <c r="C10105" s="12"/>
      <c r="D10105" s="13" t="n">
        <f aca="false">IF(B10105&lt;5,Einstellungen!$B$3,Einstellungen!$B$4)</f>
        <v>29.13</v>
      </c>
      <c r="E10105" s="14" t="str">
        <f aca="false">IF(C10105="","",C10105*D10105/100)</f>
        <v/>
      </c>
      <c r="F10105" s="15" t="str">
        <f aca="false">IF(B10105&lt;5,"Go","Standard")</f>
        <v>Standard</v>
      </c>
    </row>
    <row r="10106" customFormat="false" ht="15" hidden="false" customHeight="true" outlineLevel="0" collapsed="false">
      <c r="A10106" s="10" t="n">
        <f aca="false">Einstellungen!$B$5+INT((ROW()-9)/24)</f>
        <v>46386</v>
      </c>
      <c r="B10106" s="11" t="n">
        <f aca="false">MOD(ROW()-9,24)</f>
        <v>17</v>
      </c>
      <c r="C10106" s="12"/>
      <c r="D10106" s="13" t="n">
        <f aca="false">IF(B10106&lt;5,Einstellungen!$B$3,Einstellungen!$B$4)</f>
        <v>29.13</v>
      </c>
      <c r="E10106" s="14" t="str">
        <f aca="false">IF(C10106="","",C10106*D10106/100)</f>
        <v/>
      </c>
      <c r="F10106" s="15" t="str">
        <f aca="false">IF(B10106&lt;5,"Go","Standard")</f>
        <v>Standard</v>
      </c>
    </row>
    <row r="10107" customFormat="false" ht="15" hidden="false" customHeight="true" outlineLevel="0" collapsed="false">
      <c r="A10107" s="10" t="n">
        <f aca="false">Einstellungen!$B$5+INT((ROW()-9)/24)</f>
        <v>46386</v>
      </c>
      <c r="B10107" s="11" t="n">
        <f aca="false">MOD(ROW()-9,24)</f>
        <v>18</v>
      </c>
      <c r="C10107" s="12"/>
      <c r="D10107" s="13" t="n">
        <f aca="false">IF(B10107&lt;5,Einstellungen!$B$3,Einstellungen!$B$4)</f>
        <v>29.13</v>
      </c>
      <c r="E10107" s="14" t="str">
        <f aca="false">IF(C10107="","",C10107*D10107/100)</f>
        <v/>
      </c>
      <c r="F10107" s="15" t="str">
        <f aca="false">IF(B10107&lt;5,"Go","Standard")</f>
        <v>Standard</v>
      </c>
    </row>
    <row r="10108" customFormat="false" ht="15" hidden="false" customHeight="true" outlineLevel="0" collapsed="false">
      <c r="A10108" s="10" t="n">
        <f aca="false">Einstellungen!$B$5+INT((ROW()-9)/24)</f>
        <v>46386</v>
      </c>
      <c r="B10108" s="11" t="n">
        <f aca="false">MOD(ROW()-9,24)</f>
        <v>19</v>
      </c>
      <c r="C10108" s="12"/>
      <c r="D10108" s="13" t="n">
        <f aca="false">IF(B10108&lt;5,Einstellungen!$B$3,Einstellungen!$B$4)</f>
        <v>29.13</v>
      </c>
      <c r="E10108" s="14" t="str">
        <f aca="false">IF(C10108="","",C10108*D10108/100)</f>
        <v/>
      </c>
      <c r="F10108" s="15" t="str">
        <f aca="false">IF(B10108&lt;5,"Go","Standard")</f>
        <v>Standard</v>
      </c>
    </row>
    <row r="10109" customFormat="false" ht="15" hidden="false" customHeight="true" outlineLevel="0" collapsed="false">
      <c r="A10109" s="10" t="n">
        <f aca="false">Einstellungen!$B$5+INT((ROW()-9)/24)</f>
        <v>46386</v>
      </c>
      <c r="B10109" s="11" t="n">
        <f aca="false">MOD(ROW()-9,24)</f>
        <v>20</v>
      </c>
      <c r="C10109" s="12"/>
      <c r="D10109" s="13" t="n">
        <f aca="false">IF(B10109&lt;5,Einstellungen!$B$3,Einstellungen!$B$4)</f>
        <v>29.13</v>
      </c>
      <c r="E10109" s="14" t="str">
        <f aca="false">IF(C10109="","",C10109*D10109/100)</f>
        <v/>
      </c>
      <c r="F10109" s="15" t="str">
        <f aca="false">IF(B10109&lt;5,"Go","Standard")</f>
        <v>Standard</v>
      </c>
    </row>
    <row r="10110" customFormat="false" ht="15" hidden="false" customHeight="true" outlineLevel="0" collapsed="false">
      <c r="A10110" s="10" t="n">
        <f aca="false">Einstellungen!$B$5+INT((ROW()-9)/24)</f>
        <v>46386</v>
      </c>
      <c r="B10110" s="11" t="n">
        <f aca="false">MOD(ROW()-9,24)</f>
        <v>21</v>
      </c>
      <c r="C10110" s="12"/>
      <c r="D10110" s="13" t="n">
        <f aca="false">IF(B10110&lt;5,Einstellungen!$B$3,Einstellungen!$B$4)</f>
        <v>29.13</v>
      </c>
      <c r="E10110" s="14" t="str">
        <f aca="false">IF(C10110="","",C10110*D10110/100)</f>
        <v/>
      </c>
      <c r="F10110" s="15" t="str">
        <f aca="false">IF(B10110&lt;5,"Go","Standard")</f>
        <v>Standard</v>
      </c>
    </row>
    <row r="10111" customFormat="false" ht="15" hidden="false" customHeight="true" outlineLevel="0" collapsed="false">
      <c r="A10111" s="10" t="n">
        <f aca="false">Einstellungen!$B$5+INT((ROW()-9)/24)</f>
        <v>46386</v>
      </c>
      <c r="B10111" s="11" t="n">
        <f aca="false">MOD(ROW()-9,24)</f>
        <v>22</v>
      </c>
      <c r="C10111" s="12"/>
      <c r="D10111" s="13" t="n">
        <f aca="false">IF(B10111&lt;5,Einstellungen!$B$3,Einstellungen!$B$4)</f>
        <v>29.13</v>
      </c>
      <c r="E10111" s="14" t="str">
        <f aca="false">IF(C10111="","",C10111*D10111/100)</f>
        <v/>
      </c>
      <c r="F10111" s="15" t="str">
        <f aca="false">IF(B10111&lt;5,"Go","Standard")</f>
        <v>Standard</v>
      </c>
    </row>
    <row r="10112" customFormat="false" ht="15" hidden="false" customHeight="true" outlineLevel="0" collapsed="false">
      <c r="A10112" s="10" t="n">
        <f aca="false">Einstellungen!$B$5+INT((ROW()-9)/24)</f>
        <v>46386</v>
      </c>
      <c r="B10112" s="11" t="n">
        <f aca="false">MOD(ROW()-9,24)</f>
        <v>23</v>
      </c>
      <c r="C10112" s="12"/>
      <c r="D10112" s="13" t="n">
        <f aca="false">IF(B10112&lt;5,Einstellungen!$B$3,Einstellungen!$B$4)</f>
        <v>29.13</v>
      </c>
      <c r="E10112" s="14" t="str">
        <f aca="false">IF(C10112="","",C10112*D10112/100)</f>
        <v/>
      </c>
      <c r="F10112" s="15" t="str">
        <f aca="false">IF(B10112&lt;5,"Go","Standard")</f>
        <v>Standard</v>
      </c>
    </row>
    <row r="10113" customFormat="false" ht="15" hidden="false" customHeight="true" outlineLevel="0" collapsed="false">
      <c r="A10113" s="10" t="n">
        <f aca="false">Einstellungen!$B$5+INT((ROW()-9)/24)</f>
        <v>46387</v>
      </c>
      <c r="B10113" s="11" t="n">
        <f aca="false">MOD(ROW()-9,24)</f>
        <v>0</v>
      </c>
      <c r="C10113" s="12"/>
      <c r="D10113" s="13" t="n">
        <f aca="false">IF(B10113&lt;5,Einstellungen!$B$3,Einstellungen!$B$4)</f>
        <v>15.92</v>
      </c>
      <c r="E10113" s="14" t="str">
        <f aca="false">IF(C10113="","",C10113*D10113/100)</f>
        <v/>
      </c>
      <c r="F10113" s="15" t="str">
        <f aca="false">IF(B10113&lt;5,"Go","Standard")</f>
        <v>Go</v>
      </c>
    </row>
    <row r="10114" customFormat="false" ht="15" hidden="false" customHeight="true" outlineLevel="0" collapsed="false">
      <c r="A10114" s="10" t="n">
        <f aca="false">Einstellungen!$B$5+INT((ROW()-9)/24)</f>
        <v>46387</v>
      </c>
      <c r="B10114" s="11" t="n">
        <f aca="false">MOD(ROW()-9,24)</f>
        <v>1</v>
      </c>
      <c r="C10114" s="12"/>
      <c r="D10114" s="13" t="n">
        <f aca="false">IF(B10114&lt;5,Einstellungen!$B$3,Einstellungen!$B$4)</f>
        <v>15.92</v>
      </c>
      <c r="E10114" s="14" t="str">
        <f aca="false">IF(C10114="","",C10114*D10114/100)</f>
        <v/>
      </c>
      <c r="F10114" s="15" t="str">
        <f aca="false">IF(B10114&lt;5,"Go","Standard")</f>
        <v>Go</v>
      </c>
    </row>
    <row r="10115" customFormat="false" ht="15" hidden="false" customHeight="true" outlineLevel="0" collapsed="false">
      <c r="A10115" s="10" t="n">
        <f aca="false">Einstellungen!$B$5+INT((ROW()-9)/24)</f>
        <v>46387</v>
      </c>
      <c r="B10115" s="11" t="n">
        <f aca="false">MOD(ROW()-9,24)</f>
        <v>2</v>
      </c>
      <c r="C10115" s="12"/>
      <c r="D10115" s="13" t="n">
        <f aca="false">IF(B10115&lt;5,Einstellungen!$B$3,Einstellungen!$B$4)</f>
        <v>15.92</v>
      </c>
      <c r="E10115" s="14" t="str">
        <f aca="false">IF(C10115="","",C10115*D10115/100)</f>
        <v/>
      </c>
      <c r="F10115" s="15" t="str">
        <f aca="false">IF(B10115&lt;5,"Go","Standard")</f>
        <v>Go</v>
      </c>
    </row>
    <row r="10116" customFormat="false" ht="15" hidden="false" customHeight="true" outlineLevel="0" collapsed="false">
      <c r="A10116" s="10" t="n">
        <f aca="false">Einstellungen!$B$5+INT((ROW()-9)/24)</f>
        <v>46387</v>
      </c>
      <c r="B10116" s="11" t="n">
        <f aca="false">MOD(ROW()-9,24)</f>
        <v>3</v>
      </c>
      <c r="C10116" s="12"/>
      <c r="D10116" s="13" t="n">
        <f aca="false">IF(B10116&lt;5,Einstellungen!$B$3,Einstellungen!$B$4)</f>
        <v>15.92</v>
      </c>
      <c r="E10116" s="14" t="str">
        <f aca="false">IF(C10116="","",C10116*D10116/100)</f>
        <v/>
      </c>
      <c r="F10116" s="15" t="str">
        <f aca="false">IF(B10116&lt;5,"Go","Standard")</f>
        <v>Go</v>
      </c>
    </row>
    <row r="10117" customFormat="false" ht="15" hidden="false" customHeight="true" outlineLevel="0" collapsed="false">
      <c r="A10117" s="10" t="n">
        <f aca="false">Einstellungen!$B$5+INT((ROW()-9)/24)</f>
        <v>46387</v>
      </c>
      <c r="B10117" s="11" t="n">
        <f aca="false">MOD(ROW()-9,24)</f>
        <v>4</v>
      </c>
      <c r="C10117" s="12"/>
      <c r="D10117" s="13" t="n">
        <f aca="false">IF(B10117&lt;5,Einstellungen!$B$3,Einstellungen!$B$4)</f>
        <v>15.92</v>
      </c>
      <c r="E10117" s="14" t="str">
        <f aca="false">IF(C10117="","",C10117*D10117/100)</f>
        <v/>
      </c>
      <c r="F10117" s="15" t="str">
        <f aca="false">IF(B10117&lt;5,"Go","Standard")</f>
        <v>Go</v>
      </c>
    </row>
    <row r="10118" customFormat="false" ht="15" hidden="false" customHeight="true" outlineLevel="0" collapsed="false">
      <c r="A10118" s="10" t="n">
        <f aca="false">Einstellungen!$B$5+INT((ROW()-9)/24)</f>
        <v>46387</v>
      </c>
      <c r="B10118" s="11" t="n">
        <f aca="false">MOD(ROW()-9,24)</f>
        <v>5</v>
      </c>
      <c r="C10118" s="12"/>
      <c r="D10118" s="13" t="n">
        <f aca="false">IF(B10118&lt;5,Einstellungen!$B$3,Einstellungen!$B$4)</f>
        <v>29.13</v>
      </c>
      <c r="E10118" s="14" t="str">
        <f aca="false">IF(C10118="","",C10118*D10118/100)</f>
        <v/>
      </c>
      <c r="F10118" s="15" t="str">
        <f aca="false">IF(B10118&lt;5,"Go","Standard")</f>
        <v>Standard</v>
      </c>
    </row>
    <row r="10119" customFormat="false" ht="15" hidden="false" customHeight="true" outlineLevel="0" collapsed="false">
      <c r="A10119" s="10" t="n">
        <f aca="false">Einstellungen!$B$5+INT((ROW()-9)/24)</f>
        <v>46387</v>
      </c>
      <c r="B10119" s="11" t="n">
        <f aca="false">MOD(ROW()-9,24)</f>
        <v>6</v>
      </c>
      <c r="C10119" s="12"/>
      <c r="D10119" s="13" t="n">
        <f aca="false">IF(B10119&lt;5,Einstellungen!$B$3,Einstellungen!$B$4)</f>
        <v>29.13</v>
      </c>
      <c r="E10119" s="14" t="str">
        <f aca="false">IF(C10119="","",C10119*D10119/100)</f>
        <v/>
      </c>
      <c r="F10119" s="15" t="str">
        <f aca="false">IF(B10119&lt;5,"Go","Standard")</f>
        <v>Standard</v>
      </c>
    </row>
    <row r="10120" customFormat="false" ht="15" hidden="false" customHeight="true" outlineLevel="0" collapsed="false">
      <c r="A10120" s="10" t="n">
        <f aca="false">Einstellungen!$B$5+INT((ROW()-9)/24)</f>
        <v>46387</v>
      </c>
      <c r="B10120" s="11" t="n">
        <f aca="false">MOD(ROW()-9,24)</f>
        <v>7</v>
      </c>
      <c r="C10120" s="12"/>
      <c r="D10120" s="13" t="n">
        <f aca="false">IF(B10120&lt;5,Einstellungen!$B$3,Einstellungen!$B$4)</f>
        <v>29.13</v>
      </c>
      <c r="E10120" s="14" t="str">
        <f aca="false">IF(C10120="","",C10120*D10120/100)</f>
        <v/>
      </c>
      <c r="F10120" s="15" t="str">
        <f aca="false">IF(B10120&lt;5,"Go","Standard")</f>
        <v>Standard</v>
      </c>
    </row>
    <row r="10121" customFormat="false" ht="15" hidden="false" customHeight="true" outlineLevel="0" collapsed="false">
      <c r="A10121" s="10" t="n">
        <f aca="false">Einstellungen!$B$5+INT((ROW()-9)/24)</f>
        <v>46387</v>
      </c>
      <c r="B10121" s="11" t="n">
        <f aca="false">MOD(ROW()-9,24)</f>
        <v>8</v>
      </c>
      <c r="C10121" s="12"/>
      <c r="D10121" s="13" t="n">
        <f aca="false">IF(B10121&lt;5,Einstellungen!$B$3,Einstellungen!$B$4)</f>
        <v>29.13</v>
      </c>
      <c r="E10121" s="14" t="str">
        <f aca="false">IF(C10121="","",C10121*D10121/100)</f>
        <v/>
      </c>
      <c r="F10121" s="15" t="str">
        <f aca="false">IF(B10121&lt;5,"Go","Standard")</f>
        <v>Standard</v>
      </c>
    </row>
    <row r="10122" customFormat="false" ht="15" hidden="false" customHeight="true" outlineLevel="0" collapsed="false">
      <c r="A10122" s="10" t="n">
        <f aca="false">Einstellungen!$B$5+INT((ROW()-9)/24)</f>
        <v>46387</v>
      </c>
      <c r="B10122" s="11" t="n">
        <f aca="false">MOD(ROW()-9,24)</f>
        <v>9</v>
      </c>
      <c r="C10122" s="12"/>
      <c r="D10122" s="13" t="n">
        <f aca="false">IF(B10122&lt;5,Einstellungen!$B$3,Einstellungen!$B$4)</f>
        <v>29.13</v>
      </c>
      <c r="E10122" s="14" t="str">
        <f aca="false">IF(C10122="","",C10122*D10122/100)</f>
        <v/>
      </c>
      <c r="F10122" s="15" t="str">
        <f aca="false">IF(B10122&lt;5,"Go","Standard")</f>
        <v>Standard</v>
      </c>
    </row>
    <row r="10123" customFormat="false" ht="15" hidden="false" customHeight="true" outlineLevel="0" collapsed="false">
      <c r="A10123" s="10" t="n">
        <f aca="false">Einstellungen!$B$5+INT((ROW()-9)/24)</f>
        <v>46387</v>
      </c>
      <c r="B10123" s="11" t="n">
        <f aca="false">MOD(ROW()-9,24)</f>
        <v>10</v>
      </c>
      <c r="C10123" s="12"/>
      <c r="D10123" s="13" t="n">
        <f aca="false">IF(B10123&lt;5,Einstellungen!$B$3,Einstellungen!$B$4)</f>
        <v>29.13</v>
      </c>
      <c r="E10123" s="14" t="str">
        <f aca="false">IF(C10123="","",C10123*D10123/100)</f>
        <v/>
      </c>
      <c r="F10123" s="15" t="str">
        <f aca="false">IF(B10123&lt;5,"Go","Standard")</f>
        <v>Standard</v>
      </c>
    </row>
    <row r="10124" customFormat="false" ht="15" hidden="false" customHeight="true" outlineLevel="0" collapsed="false">
      <c r="A10124" s="10" t="n">
        <f aca="false">Einstellungen!$B$5+INT((ROW()-9)/24)</f>
        <v>46387</v>
      </c>
      <c r="B10124" s="11" t="n">
        <f aca="false">MOD(ROW()-9,24)</f>
        <v>11</v>
      </c>
      <c r="C10124" s="12"/>
      <c r="D10124" s="13" t="n">
        <f aca="false">IF(B10124&lt;5,Einstellungen!$B$3,Einstellungen!$B$4)</f>
        <v>29.13</v>
      </c>
      <c r="E10124" s="14" t="str">
        <f aca="false">IF(C10124="","",C10124*D10124/100)</f>
        <v/>
      </c>
      <c r="F10124" s="15" t="str">
        <f aca="false">IF(B10124&lt;5,"Go","Standard")</f>
        <v>Standard</v>
      </c>
    </row>
    <row r="10125" customFormat="false" ht="15" hidden="false" customHeight="true" outlineLevel="0" collapsed="false">
      <c r="A10125" s="10" t="n">
        <f aca="false">Einstellungen!$B$5+INT((ROW()-9)/24)</f>
        <v>46387</v>
      </c>
      <c r="B10125" s="11" t="n">
        <f aca="false">MOD(ROW()-9,24)</f>
        <v>12</v>
      </c>
      <c r="C10125" s="12"/>
      <c r="D10125" s="13" t="n">
        <f aca="false">IF(B10125&lt;5,Einstellungen!$B$3,Einstellungen!$B$4)</f>
        <v>29.13</v>
      </c>
      <c r="E10125" s="14" t="str">
        <f aca="false">IF(C10125="","",C10125*D10125/100)</f>
        <v/>
      </c>
      <c r="F10125" s="15" t="str">
        <f aca="false">IF(B10125&lt;5,"Go","Standard")</f>
        <v>Standard</v>
      </c>
    </row>
    <row r="10126" customFormat="false" ht="15" hidden="false" customHeight="true" outlineLevel="0" collapsed="false">
      <c r="A10126" s="10" t="n">
        <f aca="false">Einstellungen!$B$5+INT((ROW()-9)/24)</f>
        <v>46387</v>
      </c>
      <c r="B10126" s="11" t="n">
        <f aca="false">MOD(ROW()-9,24)</f>
        <v>13</v>
      </c>
      <c r="C10126" s="12"/>
      <c r="D10126" s="13" t="n">
        <f aca="false">IF(B10126&lt;5,Einstellungen!$B$3,Einstellungen!$B$4)</f>
        <v>29.13</v>
      </c>
      <c r="E10126" s="14" t="str">
        <f aca="false">IF(C10126="","",C10126*D10126/100)</f>
        <v/>
      </c>
      <c r="F10126" s="15" t="str">
        <f aca="false">IF(B10126&lt;5,"Go","Standard")</f>
        <v>Standard</v>
      </c>
    </row>
    <row r="10127" customFormat="false" ht="15" hidden="false" customHeight="true" outlineLevel="0" collapsed="false">
      <c r="A10127" s="10" t="n">
        <f aca="false">Einstellungen!$B$5+INT((ROW()-9)/24)</f>
        <v>46387</v>
      </c>
      <c r="B10127" s="11" t="n">
        <f aca="false">MOD(ROW()-9,24)</f>
        <v>14</v>
      </c>
      <c r="C10127" s="12"/>
      <c r="D10127" s="13" t="n">
        <f aca="false">IF(B10127&lt;5,Einstellungen!$B$3,Einstellungen!$B$4)</f>
        <v>29.13</v>
      </c>
      <c r="E10127" s="14" t="str">
        <f aca="false">IF(C10127="","",C10127*D10127/100)</f>
        <v/>
      </c>
      <c r="F10127" s="15" t="str">
        <f aca="false">IF(B10127&lt;5,"Go","Standard")</f>
        <v>Standard</v>
      </c>
    </row>
    <row r="10128" customFormat="false" ht="15" hidden="false" customHeight="true" outlineLevel="0" collapsed="false">
      <c r="A10128" s="10" t="n">
        <f aca="false">Einstellungen!$B$5+INT((ROW()-9)/24)</f>
        <v>46387</v>
      </c>
      <c r="B10128" s="11" t="n">
        <f aca="false">MOD(ROW()-9,24)</f>
        <v>15</v>
      </c>
      <c r="C10128" s="12"/>
      <c r="D10128" s="13" t="n">
        <f aca="false">IF(B10128&lt;5,Einstellungen!$B$3,Einstellungen!$B$4)</f>
        <v>29.13</v>
      </c>
      <c r="E10128" s="14" t="str">
        <f aca="false">IF(C10128="","",C10128*D10128/100)</f>
        <v/>
      </c>
      <c r="F10128" s="15" t="str">
        <f aca="false">IF(B10128&lt;5,"Go","Standard")</f>
        <v>Standard</v>
      </c>
    </row>
    <row r="10129" customFormat="false" ht="15" hidden="false" customHeight="true" outlineLevel="0" collapsed="false">
      <c r="A10129" s="10" t="n">
        <f aca="false">Einstellungen!$B$5+INT((ROW()-9)/24)</f>
        <v>46387</v>
      </c>
      <c r="B10129" s="11" t="n">
        <f aca="false">MOD(ROW()-9,24)</f>
        <v>16</v>
      </c>
      <c r="C10129" s="12"/>
      <c r="D10129" s="13" t="n">
        <f aca="false">IF(B10129&lt;5,Einstellungen!$B$3,Einstellungen!$B$4)</f>
        <v>29.13</v>
      </c>
      <c r="E10129" s="14" t="str">
        <f aca="false">IF(C10129="","",C10129*D10129/100)</f>
        <v/>
      </c>
      <c r="F10129" s="15" t="str">
        <f aca="false">IF(B10129&lt;5,"Go","Standard")</f>
        <v>Standard</v>
      </c>
    </row>
    <row r="10130" customFormat="false" ht="15" hidden="false" customHeight="true" outlineLevel="0" collapsed="false">
      <c r="A10130" s="10" t="n">
        <f aca="false">Einstellungen!$B$5+INT((ROW()-9)/24)</f>
        <v>46387</v>
      </c>
      <c r="B10130" s="11" t="n">
        <f aca="false">MOD(ROW()-9,24)</f>
        <v>17</v>
      </c>
      <c r="C10130" s="12"/>
      <c r="D10130" s="13" t="n">
        <f aca="false">IF(B10130&lt;5,Einstellungen!$B$3,Einstellungen!$B$4)</f>
        <v>29.13</v>
      </c>
      <c r="E10130" s="14" t="str">
        <f aca="false">IF(C10130="","",C10130*D10130/100)</f>
        <v/>
      </c>
      <c r="F10130" s="15" t="str">
        <f aca="false">IF(B10130&lt;5,"Go","Standard")</f>
        <v>Standard</v>
      </c>
    </row>
    <row r="10131" customFormat="false" ht="15" hidden="false" customHeight="true" outlineLevel="0" collapsed="false">
      <c r="A10131" s="10" t="n">
        <f aca="false">Einstellungen!$B$5+INT((ROW()-9)/24)</f>
        <v>46387</v>
      </c>
      <c r="B10131" s="11" t="n">
        <f aca="false">MOD(ROW()-9,24)</f>
        <v>18</v>
      </c>
      <c r="C10131" s="12"/>
      <c r="D10131" s="13" t="n">
        <f aca="false">IF(B10131&lt;5,Einstellungen!$B$3,Einstellungen!$B$4)</f>
        <v>29.13</v>
      </c>
      <c r="E10131" s="14" t="str">
        <f aca="false">IF(C10131="","",C10131*D10131/100)</f>
        <v/>
      </c>
      <c r="F10131" s="15" t="str">
        <f aca="false">IF(B10131&lt;5,"Go","Standard")</f>
        <v>Standard</v>
      </c>
    </row>
    <row r="10132" customFormat="false" ht="15" hidden="false" customHeight="true" outlineLevel="0" collapsed="false">
      <c r="A10132" s="10" t="n">
        <f aca="false">Einstellungen!$B$5+INT((ROW()-9)/24)</f>
        <v>46387</v>
      </c>
      <c r="B10132" s="11" t="n">
        <f aca="false">MOD(ROW()-9,24)</f>
        <v>19</v>
      </c>
      <c r="C10132" s="12"/>
      <c r="D10132" s="13" t="n">
        <f aca="false">IF(B10132&lt;5,Einstellungen!$B$3,Einstellungen!$B$4)</f>
        <v>29.13</v>
      </c>
      <c r="E10132" s="14" t="str">
        <f aca="false">IF(C10132="","",C10132*D10132/100)</f>
        <v/>
      </c>
      <c r="F10132" s="15" t="str">
        <f aca="false">IF(B10132&lt;5,"Go","Standard")</f>
        <v>Standard</v>
      </c>
    </row>
    <row r="10133" customFormat="false" ht="15" hidden="false" customHeight="true" outlineLevel="0" collapsed="false">
      <c r="A10133" s="10" t="n">
        <f aca="false">Einstellungen!$B$5+INT((ROW()-9)/24)</f>
        <v>46387</v>
      </c>
      <c r="B10133" s="11" t="n">
        <f aca="false">MOD(ROW()-9,24)</f>
        <v>20</v>
      </c>
      <c r="C10133" s="12"/>
      <c r="D10133" s="13" t="n">
        <f aca="false">IF(B10133&lt;5,Einstellungen!$B$3,Einstellungen!$B$4)</f>
        <v>29.13</v>
      </c>
      <c r="E10133" s="14" t="str">
        <f aca="false">IF(C10133="","",C10133*D10133/100)</f>
        <v/>
      </c>
      <c r="F10133" s="15" t="str">
        <f aca="false">IF(B10133&lt;5,"Go","Standard")</f>
        <v>Standard</v>
      </c>
    </row>
    <row r="10134" customFormat="false" ht="15" hidden="false" customHeight="true" outlineLevel="0" collapsed="false">
      <c r="A10134" s="10" t="n">
        <f aca="false">Einstellungen!$B$5+INT((ROW()-9)/24)</f>
        <v>46387</v>
      </c>
      <c r="B10134" s="11" t="n">
        <f aca="false">MOD(ROW()-9,24)</f>
        <v>21</v>
      </c>
      <c r="C10134" s="12"/>
      <c r="D10134" s="13" t="n">
        <f aca="false">IF(B10134&lt;5,Einstellungen!$B$3,Einstellungen!$B$4)</f>
        <v>29.13</v>
      </c>
      <c r="E10134" s="14" t="str">
        <f aca="false">IF(C10134="","",C10134*D10134/100)</f>
        <v/>
      </c>
      <c r="F10134" s="15" t="str">
        <f aca="false">IF(B10134&lt;5,"Go","Standard")</f>
        <v>Standard</v>
      </c>
    </row>
    <row r="10135" customFormat="false" ht="15" hidden="false" customHeight="true" outlineLevel="0" collapsed="false">
      <c r="A10135" s="10" t="n">
        <f aca="false">Einstellungen!$B$5+INT((ROW()-9)/24)</f>
        <v>46387</v>
      </c>
      <c r="B10135" s="11" t="n">
        <f aca="false">MOD(ROW()-9,24)</f>
        <v>22</v>
      </c>
      <c r="C10135" s="12"/>
      <c r="D10135" s="13" t="n">
        <f aca="false">IF(B10135&lt;5,Einstellungen!$B$3,Einstellungen!$B$4)</f>
        <v>29.13</v>
      </c>
      <c r="E10135" s="14" t="str">
        <f aca="false">IF(C10135="","",C10135*D10135/100)</f>
        <v/>
      </c>
      <c r="F10135" s="15" t="str">
        <f aca="false">IF(B10135&lt;5,"Go","Standard")</f>
        <v>Standard</v>
      </c>
    </row>
    <row r="10136" customFormat="false" ht="15" hidden="false" customHeight="true" outlineLevel="0" collapsed="false">
      <c r="A10136" s="10" t="n">
        <f aca="false">Einstellungen!$B$5+INT((ROW()-9)/24)</f>
        <v>46387</v>
      </c>
      <c r="B10136" s="11" t="n">
        <f aca="false">MOD(ROW()-9,24)</f>
        <v>23</v>
      </c>
      <c r="C10136" s="12"/>
      <c r="D10136" s="13" t="n">
        <f aca="false">IF(B10136&lt;5,Einstellungen!$B$3,Einstellungen!$B$4)</f>
        <v>29.13</v>
      </c>
      <c r="E10136" s="14" t="str">
        <f aca="false">IF(C10136="","",C10136*D10136/100)</f>
        <v/>
      </c>
      <c r="F10136" s="15" t="str">
        <f aca="false">IF(B10136&lt;5,"Go","Standard")</f>
        <v>Standard</v>
      </c>
    </row>
    <row r="10137" customFormat="false" ht="15" hidden="false" customHeight="true" outlineLevel="0" collapsed="false">
      <c r="A10137" s="10" t="n">
        <f aca="false">Einstellungen!$B$5+INT((ROW()-9)/24)</f>
        <v>46388</v>
      </c>
      <c r="B10137" s="11" t="n">
        <f aca="false">MOD(ROW()-9,24)</f>
        <v>0</v>
      </c>
      <c r="C10137" s="12"/>
      <c r="D10137" s="13" t="n">
        <f aca="false">IF(B10137&lt;5,Einstellungen!$B$3,Einstellungen!$B$4)</f>
        <v>15.92</v>
      </c>
      <c r="E10137" s="14" t="str">
        <f aca="false">IF(C10137="","",C10137*D10137/100)</f>
        <v/>
      </c>
      <c r="F10137" s="15" t="str">
        <f aca="false">IF(B10137&lt;5,"Go","Standard")</f>
        <v>Go</v>
      </c>
    </row>
    <row r="10138" customFormat="false" ht="15" hidden="false" customHeight="true" outlineLevel="0" collapsed="false">
      <c r="A10138" s="10" t="n">
        <f aca="false">Einstellungen!$B$5+INT((ROW()-9)/24)</f>
        <v>46388</v>
      </c>
      <c r="B10138" s="11" t="n">
        <f aca="false">MOD(ROW()-9,24)</f>
        <v>1</v>
      </c>
      <c r="C10138" s="12"/>
      <c r="D10138" s="13" t="n">
        <f aca="false">IF(B10138&lt;5,Einstellungen!$B$3,Einstellungen!$B$4)</f>
        <v>15.92</v>
      </c>
      <c r="E10138" s="14" t="str">
        <f aca="false">IF(C10138="","",C10138*D10138/100)</f>
        <v/>
      </c>
      <c r="F10138" s="15" t="str">
        <f aca="false">IF(B10138&lt;5,"Go","Standard")</f>
        <v>Go</v>
      </c>
    </row>
    <row r="10139" customFormat="false" ht="15" hidden="false" customHeight="true" outlineLevel="0" collapsed="false">
      <c r="A10139" s="10" t="n">
        <f aca="false">Einstellungen!$B$5+INT((ROW()-9)/24)</f>
        <v>46388</v>
      </c>
      <c r="B10139" s="11" t="n">
        <f aca="false">MOD(ROW()-9,24)</f>
        <v>2</v>
      </c>
      <c r="C10139" s="12"/>
      <c r="D10139" s="13" t="n">
        <f aca="false">IF(B10139&lt;5,Einstellungen!$B$3,Einstellungen!$B$4)</f>
        <v>15.92</v>
      </c>
      <c r="E10139" s="14" t="str">
        <f aca="false">IF(C10139="","",C10139*D10139/100)</f>
        <v/>
      </c>
      <c r="F10139" s="15" t="str">
        <f aca="false">IF(B10139&lt;5,"Go","Standard")</f>
        <v>Go</v>
      </c>
    </row>
    <row r="10140" customFormat="false" ht="15" hidden="false" customHeight="true" outlineLevel="0" collapsed="false">
      <c r="A10140" s="10" t="n">
        <f aca="false">Einstellungen!$B$5+INT((ROW()-9)/24)</f>
        <v>46388</v>
      </c>
      <c r="B10140" s="11" t="n">
        <f aca="false">MOD(ROW()-9,24)</f>
        <v>3</v>
      </c>
      <c r="C10140" s="12"/>
      <c r="D10140" s="13" t="n">
        <f aca="false">IF(B10140&lt;5,Einstellungen!$B$3,Einstellungen!$B$4)</f>
        <v>15.92</v>
      </c>
      <c r="E10140" s="14" t="str">
        <f aca="false">IF(C10140="","",C10140*D10140/100)</f>
        <v/>
      </c>
      <c r="F10140" s="15" t="str">
        <f aca="false">IF(B10140&lt;5,"Go","Standard")</f>
        <v>Go</v>
      </c>
    </row>
    <row r="10141" customFormat="false" ht="15" hidden="false" customHeight="true" outlineLevel="0" collapsed="false">
      <c r="A10141" s="10" t="n">
        <f aca="false">Einstellungen!$B$5+INT((ROW()-9)/24)</f>
        <v>46388</v>
      </c>
      <c r="B10141" s="11" t="n">
        <f aca="false">MOD(ROW()-9,24)</f>
        <v>4</v>
      </c>
      <c r="C10141" s="12"/>
      <c r="D10141" s="13" t="n">
        <f aca="false">IF(B10141&lt;5,Einstellungen!$B$3,Einstellungen!$B$4)</f>
        <v>15.92</v>
      </c>
      <c r="E10141" s="14" t="str">
        <f aca="false">IF(C10141="","",C10141*D10141/100)</f>
        <v/>
      </c>
      <c r="F10141" s="15" t="str">
        <f aca="false">IF(B10141&lt;5,"Go","Standard")</f>
        <v>Go</v>
      </c>
    </row>
    <row r="10142" customFormat="false" ht="15" hidden="false" customHeight="true" outlineLevel="0" collapsed="false">
      <c r="A10142" s="10" t="n">
        <f aca="false">Einstellungen!$B$5+INT((ROW()-9)/24)</f>
        <v>46388</v>
      </c>
      <c r="B10142" s="11" t="n">
        <f aca="false">MOD(ROW()-9,24)</f>
        <v>5</v>
      </c>
      <c r="C10142" s="12"/>
      <c r="D10142" s="13" t="n">
        <f aca="false">IF(B10142&lt;5,Einstellungen!$B$3,Einstellungen!$B$4)</f>
        <v>29.13</v>
      </c>
      <c r="E10142" s="14" t="str">
        <f aca="false">IF(C10142="","",C10142*D10142/100)</f>
        <v/>
      </c>
      <c r="F10142" s="15" t="str">
        <f aca="false">IF(B10142&lt;5,"Go","Standard")</f>
        <v>Standard</v>
      </c>
    </row>
    <row r="10143" customFormat="false" ht="15" hidden="false" customHeight="true" outlineLevel="0" collapsed="false">
      <c r="A10143" s="10" t="n">
        <f aca="false">Einstellungen!$B$5+INT((ROW()-9)/24)</f>
        <v>46388</v>
      </c>
      <c r="B10143" s="11" t="n">
        <f aca="false">MOD(ROW()-9,24)</f>
        <v>6</v>
      </c>
      <c r="C10143" s="12"/>
      <c r="D10143" s="13" t="n">
        <f aca="false">IF(B10143&lt;5,Einstellungen!$B$3,Einstellungen!$B$4)</f>
        <v>29.13</v>
      </c>
      <c r="E10143" s="14" t="str">
        <f aca="false">IF(C10143="","",C10143*D10143/100)</f>
        <v/>
      </c>
      <c r="F10143" s="15" t="str">
        <f aca="false">IF(B10143&lt;5,"Go","Standard")</f>
        <v>Standard</v>
      </c>
    </row>
    <row r="10144" customFormat="false" ht="15" hidden="false" customHeight="true" outlineLevel="0" collapsed="false">
      <c r="A10144" s="10" t="n">
        <f aca="false">Einstellungen!$B$5+INT((ROW()-9)/24)</f>
        <v>46388</v>
      </c>
      <c r="B10144" s="11" t="n">
        <f aca="false">MOD(ROW()-9,24)</f>
        <v>7</v>
      </c>
      <c r="C10144" s="12"/>
      <c r="D10144" s="13" t="n">
        <f aca="false">IF(B10144&lt;5,Einstellungen!$B$3,Einstellungen!$B$4)</f>
        <v>29.13</v>
      </c>
      <c r="E10144" s="14" t="str">
        <f aca="false">IF(C10144="","",C10144*D10144/100)</f>
        <v/>
      </c>
      <c r="F10144" s="15" t="str">
        <f aca="false">IF(B10144&lt;5,"Go","Standard")</f>
        <v>Standard</v>
      </c>
    </row>
    <row r="10145" customFormat="false" ht="15" hidden="false" customHeight="true" outlineLevel="0" collapsed="false">
      <c r="A10145" s="10" t="n">
        <f aca="false">Einstellungen!$B$5+INT((ROW()-9)/24)</f>
        <v>46388</v>
      </c>
      <c r="B10145" s="11" t="n">
        <f aca="false">MOD(ROW()-9,24)</f>
        <v>8</v>
      </c>
      <c r="C10145" s="12"/>
      <c r="D10145" s="13" t="n">
        <f aca="false">IF(B10145&lt;5,Einstellungen!$B$3,Einstellungen!$B$4)</f>
        <v>29.13</v>
      </c>
      <c r="E10145" s="14" t="str">
        <f aca="false">IF(C10145="","",C10145*D10145/100)</f>
        <v/>
      </c>
      <c r="F10145" s="15" t="str">
        <f aca="false">IF(B10145&lt;5,"Go","Standard")</f>
        <v>Standard</v>
      </c>
    </row>
    <row r="10146" customFormat="false" ht="15" hidden="false" customHeight="true" outlineLevel="0" collapsed="false">
      <c r="A10146" s="10" t="n">
        <f aca="false">Einstellungen!$B$5+INT((ROW()-9)/24)</f>
        <v>46388</v>
      </c>
      <c r="B10146" s="11" t="n">
        <f aca="false">MOD(ROW()-9,24)</f>
        <v>9</v>
      </c>
      <c r="C10146" s="12"/>
      <c r="D10146" s="13" t="n">
        <f aca="false">IF(B10146&lt;5,Einstellungen!$B$3,Einstellungen!$B$4)</f>
        <v>29.13</v>
      </c>
      <c r="E10146" s="14" t="str">
        <f aca="false">IF(C10146="","",C10146*D10146/100)</f>
        <v/>
      </c>
      <c r="F10146" s="15" t="str">
        <f aca="false">IF(B10146&lt;5,"Go","Standard")</f>
        <v>Standard</v>
      </c>
    </row>
    <row r="10147" customFormat="false" ht="15" hidden="false" customHeight="true" outlineLevel="0" collapsed="false">
      <c r="A10147" s="10" t="n">
        <f aca="false">Einstellungen!$B$5+INT((ROW()-9)/24)</f>
        <v>46388</v>
      </c>
      <c r="B10147" s="11" t="n">
        <f aca="false">MOD(ROW()-9,24)</f>
        <v>10</v>
      </c>
      <c r="C10147" s="12"/>
      <c r="D10147" s="13" t="n">
        <f aca="false">IF(B10147&lt;5,Einstellungen!$B$3,Einstellungen!$B$4)</f>
        <v>29.13</v>
      </c>
      <c r="E10147" s="14" t="str">
        <f aca="false">IF(C10147="","",C10147*D10147/100)</f>
        <v/>
      </c>
      <c r="F10147" s="15" t="str">
        <f aca="false">IF(B10147&lt;5,"Go","Standard")</f>
        <v>Standard</v>
      </c>
    </row>
    <row r="10148" customFormat="false" ht="15" hidden="false" customHeight="true" outlineLevel="0" collapsed="false">
      <c r="A10148" s="10" t="n">
        <f aca="false">Einstellungen!$B$5+INT((ROW()-9)/24)</f>
        <v>46388</v>
      </c>
      <c r="B10148" s="11" t="n">
        <f aca="false">MOD(ROW()-9,24)</f>
        <v>11</v>
      </c>
      <c r="C10148" s="12"/>
      <c r="D10148" s="13" t="n">
        <f aca="false">IF(B10148&lt;5,Einstellungen!$B$3,Einstellungen!$B$4)</f>
        <v>29.13</v>
      </c>
      <c r="E10148" s="14" t="str">
        <f aca="false">IF(C10148="","",C10148*D10148/100)</f>
        <v/>
      </c>
      <c r="F10148" s="15" t="str">
        <f aca="false">IF(B10148&lt;5,"Go","Standard")</f>
        <v>Standard</v>
      </c>
    </row>
    <row r="10149" customFormat="false" ht="15" hidden="false" customHeight="true" outlineLevel="0" collapsed="false">
      <c r="A10149" s="10" t="n">
        <f aca="false">Einstellungen!$B$5+INT((ROW()-9)/24)</f>
        <v>46388</v>
      </c>
      <c r="B10149" s="11" t="n">
        <f aca="false">MOD(ROW()-9,24)</f>
        <v>12</v>
      </c>
      <c r="C10149" s="12"/>
      <c r="D10149" s="13" t="n">
        <f aca="false">IF(B10149&lt;5,Einstellungen!$B$3,Einstellungen!$B$4)</f>
        <v>29.13</v>
      </c>
      <c r="E10149" s="14" t="str">
        <f aca="false">IF(C10149="","",C10149*D10149/100)</f>
        <v/>
      </c>
      <c r="F10149" s="15" t="str">
        <f aca="false">IF(B10149&lt;5,"Go","Standard")</f>
        <v>Standard</v>
      </c>
    </row>
    <row r="10150" customFormat="false" ht="15" hidden="false" customHeight="true" outlineLevel="0" collapsed="false">
      <c r="A10150" s="10" t="n">
        <f aca="false">Einstellungen!$B$5+INT((ROW()-9)/24)</f>
        <v>46388</v>
      </c>
      <c r="B10150" s="11" t="n">
        <f aca="false">MOD(ROW()-9,24)</f>
        <v>13</v>
      </c>
      <c r="C10150" s="12"/>
      <c r="D10150" s="13" t="n">
        <f aca="false">IF(B10150&lt;5,Einstellungen!$B$3,Einstellungen!$B$4)</f>
        <v>29.13</v>
      </c>
      <c r="E10150" s="14" t="str">
        <f aca="false">IF(C10150="","",C10150*D10150/100)</f>
        <v/>
      </c>
      <c r="F10150" s="15" t="str">
        <f aca="false">IF(B10150&lt;5,"Go","Standard")</f>
        <v>Standard</v>
      </c>
    </row>
    <row r="10151" customFormat="false" ht="15" hidden="false" customHeight="true" outlineLevel="0" collapsed="false">
      <c r="A10151" s="10" t="n">
        <f aca="false">Einstellungen!$B$5+INT((ROW()-9)/24)</f>
        <v>46388</v>
      </c>
      <c r="B10151" s="11" t="n">
        <f aca="false">MOD(ROW()-9,24)</f>
        <v>14</v>
      </c>
      <c r="C10151" s="12"/>
      <c r="D10151" s="13" t="n">
        <f aca="false">IF(B10151&lt;5,Einstellungen!$B$3,Einstellungen!$B$4)</f>
        <v>29.13</v>
      </c>
      <c r="E10151" s="14" t="str">
        <f aca="false">IF(C10151="","",C10151*D10151/100)</f>
        <v/>
      </c>
      <c r="F10151" s="15" t="str">
        <f aca="false">IF(B10151&lt;5,"Go","Standard")</f>
        <v>Standard</v>
      </c>
    </row>
    <row r="10152" customFormat="false" ht="15" hidden="false" customHeight="true" outlineLevel="0" collapsed="false">
      <c r="A10152" s="10" t="n">
        <f aca="false">Einstellungen!$B$5+INT((ROW()-9)/24)</f>
        <v>46388</v>
      </c>
      <c r="B10152" s="11" t="n">
        <f aca="false">MOD(ROW()-9,24)</f>
        <v>15</v>
      </c>
      <c r="C10152" s="12"/>
      <c r="D10152" s="13" t="n">
        <f aca="false">IF(B10152&lt;5,Einstellungen!$B$3,Einstellungen!$B$4)</f>
        <v>29.13</v>
      </c>
      <c r="E10152" s="14" t="str">
        <f aca="false">IF(C10152="","",C10152*D10152/100)</f>
        <v/>
      </c>
      <c r="F10152" s="15" t="str">
        <f aca="false">IF(B10152&lt;5,"Go","Standard")</f>
        <v>Standard</v>
      </c>
    </row>
    <row r="10153" customFormat="false" ht="15" hidden="false" customHeight="true" outlineLevel="0" collapsed="false">
      <c r="A10153" s="10" t="n">
        <f aca="false">Einstellungen!$B$5+INT((ROW()-9)/24)</f>
        <v>46388</v>
      </c>
      <c r="B10153" s="11" t="n">
        <f aca="false">MOD(ROW()-9,24)</f>
        <v>16</v>
      </c>
      <c r="C10153" s="12"/>
      <c r="D10153" s="13" t="n">
        <f aca="false">IF(B10153&lt;5,Einstellungen!$B$3,Einstellungen!$B$4)</f>
        <v>29.13</v>
      </c>
      <c r="E10153" s="14" t="str">
        <f aca="false">IF(C10153="","",C10153*D10153/100)</f>
        <v/>
      </c>
      <c r="F10153" s="15" t="str">
        <f aca="false">IF(B10153&lt;5,"Go","Standard")</f>
        <v>Standard</v>
      </c>
    </row>
    <row r="10154" customFormat="false" ht="15" hidden="false" customHeight="true" outlineLevel="0" collapsed="false">
      <c r="A10154" s="10" t="n">
        <f aca="false">Einstellungen!$B$5+INT((ROW()-9)/24)</f>
        <v>46388</v>
      </c>
      <c r="B10154" s="11" t="n">
        <f aca="false">MOD(ROW()-9,24)</f>
        <v>17</v>
      </c>
      <c r="C10154" s="12"/>
      <c r="D10154" s="13" t="n">
        <f aca="false">IF(B10154&lt;5,Einstellungen!$B$3,Einstellungen!$B$4)</f>
        <v>29.13</v>
      </c>
      <c r="E10154" s="14" t="str">
        <f aca="false">IF(C10154="","",C10154*D10154/100)</f>
        <v/>
      </c>
      <c r="F10154" s="15" t="str">
        <f aca="false">IF(B10154&lt;5,"Go","Standard")</f>
        <v>Standard</v>
      </c>
    </row>
    <row r="10155" customFormat="false" ht="15" hidden="false" customHeight="true" outlineLevel="0" collapsed="false">
      <c r="A10155" s="10" t="n">
        <f aca="false">Einstellungen!$B$5+INT((ROW()-9)/24)</f>
        <v>46388</v>
      </c>
      <c r="B10155" s="11" t="n">
        <f aca="false">MOD(ROW()-9,24)</f>
        <v>18</v>
      </c>
      <c r="C10155" s="12"/>
      <c r="D10155" s="13" t="n">
        <f aca="false">IF(B10155&lt;5,Einstellungen!$B$3,Einstellungen!$B$4)</f>
        <v>29.13</v>
      </c>
      <c r="E10155" s="14" t="str">
        <f aca="false">IF(C10155="","",C10155*D10155/100)</f>
        <v/>
      </c>
      <c r="F10155" s="15" t="str">
        <f aca="false">IF(B10155&lt;5,"Go","Standard")</f>
        <v>Standard</v>
      </c>
    </row>
    <row r="10156" customFormat="false" ht="15" hidden="false" customHeight="true" outlineLevel="0" collapsed="false">
      <c r="A10156" s="10" t="n">
        <f aca="false">Einstellungen!$B$5+INT((ROW()-9)/24)</f>
        <v>46388</v>
      </c>
      <c r="B10156" s="11" t="n">
        <f aca="false">MOD(ROW()-9,24)</f>
        <v>19</v>
      </c>
      <c r="C10156" s="12"/>
      <c r="D10156" s="13" t="n">
        <f aca="false">IF(B10156&lt;5,Einstellungen!$B$3,Einstellungen!$B$4)</f>
        <v>29.13</v>
      </c>
      <c r="E10156" s="14" t="str">
        <f aca="false">IF(C10156="","",C10156*D10156/100)</f>
        <v/>
      </c>
      <c r="F10156" s="15" t="str">
        <f aca="false">IF(B10156&lt;5,"Go","Standard")</f>
        <v>Standard</v>
      </c>
    </row>
    <row r="10157" customFormat="false" ht="15" hidden="false" customHeight="true" outlineLevel="0" collapsed="false">
      <c r="A10157" s="10" t="n">
        <f aca="false">Einstellungen!$B$5+INT((ROW()-9)/24)</f>
        <v>46388</v>
      </c>
      <c r="B10157" s="11" t="n">
        <f aca="false">MOD(ROW()-9,24)</f>
        <v>20</v>
      </c>
      <c r="C10157" s="12"/>
      <c r="D10157" s="13" t="n">
        <f aca="false">IF(B10157&lt;5,Einstellungen!$B$3,Einstellungen!$B$4)</f>
        <v>29.13</v>
      </c>
      <c r="E10157" s="14" t="str">
        <f aca="false">IF(C10157="","",C10157*D10157/100)</f>
        <v/>
      </c>
      <c r="F10157" s="15" t="str">
        <f aca="false">IF(B10157&lt;5,"Go","Standard")</f>
        <v>Standard</v>
      </c>
    </row>
    <row r="10158" customFormat="false" ht="15" hidden="false" customHeight="true" outlineLevel="0" collapsed="false">
      <c r="A10158" s="10" t="n">
        <f aca="false">Einstellungen!$B$5+INT((ROW()-9)/24)</f>
        <v>46388</v>
      </c>
      <c r="B10158" s="11" t="n">
        <f aca="false">MOD(ROW()-9,24)</f>
        <v>21</v>
      </c>
      <c r="C10158" s="12"/>
      <c r="D10158" s="13" t="n">
        <f aca="false">IF(B10158&lt;5,Einstellungen!$B$3,Einstellungen!$B$4)</f>
        <v>29.13</v>
      </c>
      <c r="E10158" s="14" t="str">
        <f aca="false">IF(C10158="","",C10158*D10158/100)</f>
        <v/>
      </c>
      <c r="F10158" s="15" t="str">
        <f aca="false">IF(B10158&lt;5,"Go","Standard")</f>
        <v>Standard</v>
      </c>
    </row>
    <row r="10159" customFormat="false" ht="15" hidden="false" customHeight="true" outlineLevel="0" collapsed="false">
      <c r="A10159" s="10" t="n">
        <f aca="false">Einstellungen!$B$5+INT((ROW()-9)/24)</f>
        <v>46388</v>
      </c>
      <c r="B10159" s="11" t="n">
        <f aca="false">MOD(ROW()-9,24)</f>
        <v>22</v>
      </c>
      <c r="C10159" s="12"/>
      <c r="D10159" s="13" t="n">
        <f aca="false">IF(B10159&lt;5,Einstellungen!$B$3,Einstellungen!$B$4)</f>
        <v>29.13</v>
      </c>
      <c r="E10159" s="14" t="str">
        <f aca="false">IF(C10159="","",C10159*D10159/100)</f>
        <v/>
      </c>
      <c r="F10159" s="15" t="str">
        <f aca="false">IF(B10159&lt;5,"Go","Standard")</f>
        <v>Standard</v>
      </c>
    </row>
    <row r="10160" customFormat="false" ht="15" hidden="false" customHeight="true" outlineLevel="0" collapsed="false">
      <c r="A10160" s="10" t="n">
        <f aca="false">Einstellungen!$B$5+INT((ROW()-9)/24)</f>
        <v>46388</v>
      </c>
      <c r="B10160" s="11" t="n">
        <f aca="false">MOD(ROW()-9,24)</f>
        <v>23</v>
      </c>
      <c r="C10160" s="12"/>
      <c r="D10160" s="13" t="n">
        <f aca="false">IF(B10160&lt;5,Einstellungen!$B$3,Einstellungen!$B$4)</f>
        <v>29.13</v>
      </c>
      <c r="E10160" s="14" t="str">
        <f aca="false">IF(C10160="","",C10160*D10160/100)</f>
        <v/>
      </c>
      <c r="F10160" s="15" t="str">
        <f aca="false">IF(B10160&lt;5,"Go","Standard")</f>
        <v>Standard</v>
      </c>
    </row>
    <row r="10161" customFormat="false" ht="15" hidden="false" customHeight="true" outlineLevel="0" collapsed="false">
      <c r="A10161" s="10" t="n">
        <f aca="false">Einstellungen!$B$5+INT((ROW()-9)/24)</f>
        <v>46389</v>
      </c>
      <c r="B10161" s="11" t="n">
        <f aca="false">MOD(ROW()-9,24)</f>
        <v>0</v>
      </c>
      <c r="C10161" s="12"/>
      <c r="D10161" s="13" t="n">
        <f aca="false">IF(B10161&lt;5,Einstellungen!$B$3,Einstellungen!$B$4)</f>
        <v>15.92</v>
      </c>
      <c r="E10161" s="14" t="str">
        <f aca="false">IF(C10161="","",C10161*D10161/100)</f>
        <v/>
      </c>
      <c r="F10161" s="15" t="str">
        <f aca="false">IF(B10161&lt;5,"Go","Standard")</f>
        <v>Go</v>
      </c>
    </row>
    <row r="10162" customFormat="false" ht="15" hidden="false" customHeight="true" outlineLevel="0" collapsed="false">
      <c r="A10162" s="10" t="n">
        <f aca="false">Einstellungen!$B$5+INT((ROW()-9)/24)</f>
        <v>46389</v>
      </c>
      <c r="B10162" s="11" t="n">
        <f aca="false">MOD(ROW()-9,24)</f>
        <v>1</v>
      </c>
      <c r="C10162" s="12"/>
      <c r="D10162" s="13" t="n">
        <f aca="false">IF(B10162&lt;5,Einstellungen!$B$3,Einstellungen!$B$4)</f>
        <v>15.92</v>
      </c>
      <c r="E10162" s="14" t="str">
        <f aca="false">IF(C10162="","",C10162*D10162/100)</f>
        <v/>
      </c>
      <c r="F10162" s="15" t="str">
        <f aca="false">IF(B10162&lt;5,"Go","Standard")</f>
        <v>Go</v>
      </c>
    </row>
    <row r="10163" customFormat="false" ht="15" hidden="false" customHeight="true" outlineLevel="0" collapsed="false">
      <c r="A10163" s="10" t="n">
        <f aca="false">Einstellungen!$B$5+INT((ROW()-9)/24)</f>
        <v>46389</v>
      </c>
      <c r="B10163" s="11" t="n">
        <f aca="false">MOD(ROW()-9,24)</f>
        <v>2</v>
      </c>
      <c r="C10163" s="12"/>
      <c r="D10163" s="13" t="n">
        <f aca="false">IF(B10163&lt;5,Einstellungen!$B$3,Einstellungen!$B$4)</f>
        <v>15.92</v>
      </c>
      <c r="E10163" s="14" t="str">
        <f aca="false">IF(C10163="","",C10163*D10163/100)</f>
        <v/>
      </c>
      <c r="F10163" s="15" t="str">
        <f aca="false">IF(B10163&lt;5,"Go","Standard")</f>
        <v>Go</v>
      </c>
    </row>
    <row r="10164" customFormat="false" ht="15" hidden="false" customHeight="true" outlineLevel="0" collapsed="false">
      <c r="A10164" s="10" t="n">
        <f aca="false">Einstellungen!$B$5+INT((ROW()-9)/24)</f>
        <v>46389</v>
      </c>
      <c r="B10164" s="11" t="n">
        <f aca="false">MOD(ROW()-9,24)</f>
        <v>3</v>
      </c>
      <c r="C10164" s="12"/>
      <c r="D10164" s="13" t="n">
        <f aca="false">IF(B10164&lt;5,Einstellungen!$B$3,Einstellungen!$B$4)</f>
        <v>15.92</v>
      </c>
      <c r="E10164" s="14" t="str">
        <f aca="false">IF(C10164="","",C10164*D10164/100)</f>
        <v/>
      </c>
      <c r="F10164" s="15" t="str">
        <f aca="false">IF(B10164&lt;5,"Go","Standard")</f>
        <v>Go</v>
      </c>
    </row>
    <row r="10165" customFormat="false" ht="15" hidden="false" customHeight="true" outlineLevel="0" collapsed="false">
      <c r="A10165" s="10" t="n">
        <f aca="false">Einstellungen!$B$5+INT((ROW()-9)/24)</f>
        <v>46389</v>
      </c>
      <c r="B10165" s="11" t="n">
        <f aca="false">MOD(ROW()-9,24)</f>
        <v>4</v>
      </c>
      <c r="C10165" s="12"/>
      <c r="D10165" s="13" t="n">
        <f aca="false">IF(B10165&lt;5,Einstellungen!$B$3,Einstellungen!$B$4)</f>
        <v>15.92</v>
      </c>
      <c r="E10165" s="14" t="str">
        <f aca="false">IF(C10165="","",C10165*D10165/100)</f>
        <v/>
      </c>
      <c r="F10165" s="15" t="str">
        <f aca="false">IF(B10165&lt;5,"Go","Standard")</f>
        <v>Go</v>
      </c>
    </row>
    <row r="10166" customFormat="false" ht="15" hidden="false" customHeight="true" outlineLevel="0" collapsed="false">
      <c r="A10166" s="10" t="n">
        <f aca="false">Einstellungen!$B$5+INT((ROW()-9)/24)</f>
        <v>46389</v>
      </c>
      <c r="B10166" s="11" t="n">
        <f aca="false">MOD(ROW()-9,24)</f>
        <v>5</v>
      </c>
      <c r="C10166" s="12"/>
      <c r="D10166" s="13" t="n">
        <f aca="false">IF(B10166&lt;5,Einstellungen!$B$3,Einstellungen!$B$4)</f>
        <v>29.13</v>
      </c>
      <c r="E10166" s="14" t="str">
        <f aca="false">IF(C10166="","",C10166*D10166/100)</f>
        <v/>
      </c>
      <c r="F10166" s="15" t="str">
        <f aca="false">IF(B10166&lt;5,"Go","Standard")</f>
        <v>Standard</v>
      </c>
    </row>
    <row r="10167" customFormat="false" ht="15" hidden="false" customHeight="true" outlineLevel="0" collapsed="false">
      <c r="A10167" s="10" t="n">
        <f aca="false">Einstellungen!$B$5+INT((ROW()-9)/24)</f>
        <v>46389</v>
      </c>
      <c r="B10167" s="11" t="n">
        <f aca="false">MOD(ROW()-9,24)</f>
        <v>6</v>
      </c>
      <c r="C10167" s="12"/>
      <c r="D10167" s="13" t="n">
        <f aca="false">IF(B10167&lt;5,Einstellungen!$B$3,Einstellungen!$B$4)</f>
        <v>29.13</v>
      </c>
      <c r="E10167" s="14" t="str">
        <f aca="false">IF(C10167="","",C10167*D10167/100)</f>
        <v/>
      </c>
      <c r="F10167" s="15" t="str">
        <f aca="false">IF(B10167&lt;5,"Go","Standard")</f>
        <v>Standard</v>
      </c>
    </row>
    <row r="10168" customFormat="false" ht="15" hidden="false" customHeight="true" outlineLevel="0" collapsed="false">
      <c r="A10168" s="10" t="n">
        <f aca="false">Einstellungen!$B$5+INT((ROW()-9)/24)</f>
        <v>46389</v>
      </c>
      <c r="B10168" s="11" t="n">
        <f aca="false">MOD(ROW()-9,24)</f>
        <v>7</v>
      </c>
      <c r="C10168" s="12"/>
      <c r="D10168" s="13" t="n">
        <f aca="false">IF(B10168&lt;5,Einstellungen!$B$3,Einstellungen!$B$4)</f>
        <v>29.13</v>
      </c>
      <c r="E10168" s="14" t="str">
        <f aca="false">IF(C10168="","",C10168*D10168/100)</f>
        <v/>
      </c>
      <c r="F10168" s="15" t="str">
        <f aca="false">IF(B10168&lt;5,"Go","Standard")</f>
        <v>Standard</v>
      </c>
    </row>
    <row r="10169" customFormat="false" ht="15" hidden="false" customHeight="true" outlineLevel="0" collapsed="false">
      <c r="A10169" s="10" t="n">
        <f aca="false">Einstellungen!$B$5+INT((ROW()-9)/24)</f>
        <v>46389</v>
      </c>
      <c r="B10169" s="11" t="n">
        <f aca="false">MOD(ROW()-9,24)</f>
        <v>8</v>
      </c>
      <c r="C10169" s="12"/>
      <c r="D10169" s="13" t="n">
        <f aca="false">IF(B10169&lt;5,Einstellungen!$B$3,Einstellungen!$B$4)</f>
        <v>29.13</v>
      </c>
      <c r="E10169" s="14" t="str">
        <f aca="false">IF(C10169="","",C10169*D10169/100)</f>
        <v/>
      </c>
      <c r="F10169" s="15" t="str">
        <f aca="false">IF(B10169&lt;5,"Go","Standard")</f>
        <v>Standard</v>
      </c>
    </row>
    <row r="10170" customFormat="false" ht="15" hidden="false" customHeight="true" outlineLevel="0" collapsed="false">
      <c r="A10170" s="10" t="n">
        <f aca="false">Einstellungen!$B$5+INT((ROW()-9)/24)</f>
        <v>46389</v>
      </c>
      <c r="B10170" s="11" t="n">
        <f aca="false">MOD(ROW()-9,24)</f>
        <v>9</v>
      </c>
      <c r="C10170" s="12"/>
      <c r="D10170" s="13" t="n">
        <f aca="false">IF(B10170&lt;5,Einstellungen!$B$3,Einstellungen!$B$4)</f>
        <v>29.13</v>
      </c>
      <c r="E10170" s="14" t="str">
        <f aca="false">IF(C10170="","",C10170*D10170/100)</f>
        <v/>
      </c>
      <c r="F10170" s="15" t="str">
        <f aca="false">IF(B10170&lt;5,"Go","Standard")</f>
        <v>Standard</v>
      </c>
    </row>
    <row r="10171" customFormat="false" ht="15" hidden="false" customHeight="true" outlineLevel="0" collapsed="false">
      <c r="A10171" s="10" t="n">
        <f aca="false">Einstellungen!$B$5+INT((ROW()-9)/24)</f>
        <v>46389</v>
      </c>
      <c r="B10171" s="11" t="n">
        <f aca="false">MOD(ROW()-9,24)</f>
        <v>10</v>
      </c>
      <c r="C10171" s="12"/>
      <c r="D10171" s="13" t="n">
        <f aca="false">IF(B10171&lt;5,Einstellungen!$B$3,Einstellungen!$B$4)</f>
        <v>29.13</v>
      </c>
      <c r="E10171" s="14" t="str">
        <f aca="false">IF(C10171="","",C10171*D10171/100)</f>
        <v/>
      </c>
      <c r="F10171" s="15" t="str">
        <f aca="false">IF(B10171&lt;5,"Go","Standard")</f>
        <v>Standard</v>
      </c>
    </row>
    <row r="10172" customFormat="false" ht="15" hidden="false" customHeight="true" outlineLevel="0" collapsed="false">
      <c r="A10172" s="10" t="n">
        <f aca="false">Einstellungen!$B$5+INT((ROW()-9)/24)</f>
        <v>46389</v>
      </c>
      <c r="B10172" s="11" t="n">
        <f aca="false">MOD(ROW()-9,24)</f>
        <v>11</v>
      </c>
      <c r="C10172" s="12"/>
      <c r="D10172" s="13" t="n">
        <f aca="false">IF(B10172&lt;5,Einstellungen!$B$3,Einstellungen!$B$4)</f>
        <v>29.13</v>
      </c>
      <c r="E10172" s="14" t="str">
        <f aca="false">IF(C10172="","",C10172*D10172/100)</f>
        <v/>
      </c>
      <c r="F10172" s="15" t="str">
        <f aca="false">IF(B10172&lt;5,"Go","Standard")</f>
        <v>Standard</v>
      </c>
    </row>
    <row r="10173" customFormat="false" ht="15" hidden="false" customHeight="true" outlineLevel="0" collapsed="false">
      <c r="A10173" s="10" t="n">
        <f aca="false">Einstellungen!$B$5+INT((ROW()-9)/24)</f>
        <v>46389</v>
      </c>
      <c r="B10173" s="11" t="n">
        <f aca="false">MOD(ROW()-9,24)</f>
        <v>12</v>
      </c>
      <c r="C10173" s="12"/>
      <c r="D10173" s="13" t="n">
        <f aca="false">IF(B10173&lt;5,Einstellungen!$B$3,Einstellungen!$B$4)</f>
        <v>29.13</v>
      </c>
      <c r="E10173" s="14" t="str">
        <f aca="false">IF(C10173="","",C10173*D10173/100)</f>
        <v/>
      </c>
      <c r="F10173" s="15" t="str">
        <f aca="false">IF(B10173&lt;5,"Go","Standard")</f>
        <v>Standard</v>
      </c>
    </row>
    <row r="10174" customFormat="false" ht="15" hidden="false" customHeight="true" outlineLevel="0" collapsed="false">
      <c r="A10174" s="10" t="n">
        <f aca="false">Einstellungen!$B$5+INT((ROW()-9)/24)</f>
        <v>46389</v>
      </c>
      <c r="B10174" s="11" t="n">
        <f aca="false">MOD(ROW()-9,24)</f>
        <v>13</v>
      </c>
      <c r="C10174" s="12"/>
      <c r="D10174" s="13" t="n">
        <f aca="false">IF(B10174&lt;5,Einstellungen!$B$3,Einstellungen!$B$4)</f>
        <v>29.13</v>
      </c>
      <c r="E10174" s="14" t="str">
        <f aca="false">IF(C10174="","",C10174*D10174/100)</f>
        <v/>
      </c>
      <c r="F10174" s="15" t="str">
        <f aca="false">IF(B10174&lt;5,"Go","Standard")</f>
        <v>Standard</v>
      </c>
    </row>
    <row r="10175" customFormat="false" ht="15" hidden="false" customHeight="true" outlineLevel="0" collapsed="false">
      <c r="A10175" s="10" t="n">
        <f aca="false">Einstellungen!$B$5+INT((ROW()-9)/24)</f>
        <v>46389</v>
      </c>
      <c r="B10175" s="11" t="n">
        <f aca="false">MOD(ROW()-9,24)</f>
        <v>14</v>
      </c>
      <c r="C10175" s="12"/>
      <c r="D10175" s="13" t="n">
        <f aca="false">IF(B10175&lt;5,Einstellungen!$B$3,Einstellungen!$B$4)</f>
        <v>29.13</v>
      </c>
      <c r="E10175" s="14" t="str">
        <f aca="false">IF(C10175="","",C10175*D10175/100)</f>
        <v/>
      </c>
      <c r="F10175" s="15" t="str">
        <f aca="false">IF(B10175&lt;5,"Go","Standard")</f>
        <v>Standard</v>
      </c>
    </row>
    <row r="10176" customFormat="false" ht="15" hidden="false" customHeight="true" outlineLevel="0" collapsed="false">
      <c r="A10176" s="10" t="n">
        <f aca="false">Einstellungen!$B$5+INT((ROW()-9)/24)</f>
        <v>46389</v>
      </c>
      <c r="B10176" s="11" t="n">
        <f aca="false">MOD(ROW()-9,24)</f>
        <v>15</v>
      </c>
      <c r="C10176" s="12"/>
      <c r="D10176" s="13" t="n">
        <f aca="false">IF(B10176&lt;5,Einstellungen!$B$3,Einstellungen!$B$4)</f>
        <v>29.13</v>
      </c>
      <c r="E10176" s="14" t="str">
        <f aca="false">IF(C10176="","",C10176*D10176/100)</f>
        <v/>
      </c>
      <c r="F10176" s="15" t="str">
        <f aca="false">IF(B10176&lt;5,"Go","Standard")</f>
        <v>Standard</v>
      </c>
    </row>
    <row r="10177" customFormat="false" ht="15" hidden="false" customHeight="true" outlineLevel="0" collapsed="false">
      <c r="A10177" s="10" t="n">
        <f aca="false">Einstellungen!$B$5+INT((ROW()-9)/24)</f>
        <v>46389</v>
      </c>
      <c r="B10177" s="11" t="n">
        <f aca="false">MOD(ROW()-9,24)</f>
        <v>16</v>
      </c>
      <c r="C10177" s="12"/>
      <c r="D10177" s="13" t="n">
        <f aca="false">IF(B10177&lt;5,Einstellungen!$B$3,Einstellungen!$B$4)</f>
        <v>29.13</v>
      </c>
      <c r="E10177" s="14" t="str">
        <f aca="false">IF(C10177="","",C10177*D10177/100)</f>
        <v/>
      </c>
      <c r="F10177" s="15" t="str">
        <f aca="false">IF(B10177&lt;5,"Go","Standard")</f>
        <v>Standard</v>
      </c>
    </row>
    <row r="10178" customFormat="false" ht="15" hidden="false" customHeight="true" outlineLevel="0" collapsed="false">
      <c r="A10178" s="10" t="n">
        <f aca="false">Einstellungen!$B$5+INT((ROW()-9)/24)</f>
        <v>46389</v>
      </c>
      <c r="B10178" s="11" t="n">
        <f aca="false">MOD(ROW()-9,24)</f>
        <v>17</v>
      </c>
      <c r="C10178" s="12"/>
      <c r="D10178" s="13" t="n">
        <f aca="false">IF(B10178&lt;5,Einstellungen!$B$3,Einstellungen!$B$4)</f>
        <v>29.13</v>
      </c>
      <c r="E10178" s="14" t="str">
        <f aca="false">IF(C10178="","",C10178*D10178/100)</f>
        <v/>
      </c>
      <c r="F10178" s="15" t="str">
        <f aca="false">IF(B10178&lt;5,"Go","Standard")</f>
        <v>Standard</v>
      </c>
    </row>
    <row r="10179" customFormat="false" ht="15" hidden="false" customHeight="true" outlineLevel="0" collapsed="false">
      <c r="A10179" s="10" t="n">
        <f aca="false">Einstellungen!$B$5+INT((ROW()-9)/24)</f>
        <v>46389</v>
      </c>
      <c r="B10179" s="11" t="n">
        <f aca="false">MOD(ROW()-9,24)</f>
        <v>18</v>
      </c>
      <c r="C10179" s="12"/>
      <c r="D10179" s="13" t="n">
        <f aca="false">IF(B10179&lt;5,Einstellungen!$B$3,Einstellungen!$B$4)</f>
        <v>29.13</v>
      </c>
      <c r="E10179" s="14" t="str">
        <f aca="false">IF(C10179="","",C10179*D10179/100)</f>
        <v/>
      </c>
      <c r="F10179" s="15" t="str">
        <f aca="false">IF(B10179&lt;5,"Go","Standard")</f>
        <v>Standard</v>
      </c>
    </row>
    <row r="10180" customFormat="false" ht="15" hidden="false" customHeight="true" outlineLevel="0" collapsed="false">
      <c r="A10180" s="10" t="n">
        <f aca="false">Einstellungen!$B$5+INT((ROW()-9)/24)</f>
        <v>46389</v>
      </c>
      <c r="B10180" s="11" t="n">
        <f aca="false">MOD(ROW()-9,24)</f>
        <v>19</v>
      </c>
      <c r="C10180" s="12"/>
      <c r="D10180" s="13" t="n">
        <f aca="false">IF(B10180&lt;5,Einstellungen!$B$3,Einstellungen!$B$4)</f>
        <v>29.13</v>
      </c>
      <c r="E10180" s="14" t="str">
        <f aca="false">IF(C10180="","",C10180*D10180/100)</f>
        <v/>
      </c>
      <c r="F10180" s="15" t="str">
        <f aca="false">IF(B10180&lt;5,"Go","Standard")</f>
        <v>Standard</v>
      </c>
    </row>
    <row r="10181" customFormat="false" ht="15" hidden="false" customHeight="true" outlineLevel="0" collapsed="false">
      <c r="A10181" s="10" t="n">
        <f aca="false">Einstellungen!$B$5+INT((ROW()-9)/24)</f>
        <v>46389</v>
      </c>
      <c r="B10181" s="11" t="n">
        <f aca="false">MOD(ROW()-9,24)</f>
        <v>20</v>
      </c>
      <c r="C10181" s="12"/>
      <c r="D10181" s="13" t="n">
        <f aca="false">IF(B10181&lt;5,Einstellungen!$B$3,Einstellungen!$B$4)</f>
        <v>29.13</v>
      </c>
      <c r="E10181" s="14" t="str">
        <f aca="false">IF(C10181="","",C10181*D10181/100)</f>
        <v/>
      </c>
      <c r="F10181" s="15" t="str">
        <f aca="false">IF(B10181&lt;5,"Go","Standard")</f>
        <v>Standard</v>
      </c>
    </row>
    <row r="10182" customFormat="false" ht="15" hidden="false" customHeight="true" outlineLevel="0" collapsed="false">
      <c r="A10182" s="10" t="n">
        <f aca="false">Einstellungen!$B$5+INT((ROW()-9)/24)</f>
        <v>46389</v>
      </c>
      <c r="B10182" s="11" t="n">
        <f aca="false">MOD(ROW()-9,24)</f>
        <v>21</v>
      </c>
      <c r="C10182" s="12"/>
      <c r="D10182" s="13" t="n">
        <f aca="false">IF(B10182&lt;5,Einstellungen!$B$3,Einstellungen!$B$4)</f>
        <v>29.13</v>
      </c>
      <c r="E10182" s="14" t="str">
        <f aca="false">IF(C10182="","",C10182*D10182/100)</f>
        <v/>
      </c>
      <c r="F10182" s="15" t="str">
        <f aca="false">IF(B10182&lt;5,"Go","Standard")</f>
        <v>Standard</v>
      </c>
    </row>
    <row r="10183" customFormat="false" ht="15" hidden="false" customHeight="true" outlineLevel="0" collapsed="false">
      <c r="A10183" s="10" t="n">
        <f aca="false">Einstellungen!$B$5+INT((ROW()-9)/24)</f>
        <v>46389</v>
      </c>
      <c r="B10183" s="11" t="n">
        <f aca="false">MOD(ROW()-9,24)</f>
        <v>22</v>
      </c>
      <c r="C10183" s="12"/>
      <c r="D10183" s="13" t="n">
        <f aca="false">IF(B10183&lt;5,Einstellungen!$B$3,Einstellungen!$B$4)</f>
        <v>29.13</v>
      </c>
      <c r="E10183" s="14" t="str">
        <f aca="false">IF(C10183="","",C10183*D10183/100)</f>
        <v/>
      </c>
      <c r="F10183" s="15" t="str">
        <f aca="false">IF(B10183&lt;5,"Go","Standard")</f>
        <v>Standard</v>
      </c>
    </row>
    <row r="10184" customFormat="false" ht="15" hidden="false" customHeight="true" outlineLevel="0" collapsed="false">
      <c r="A10184" s="10" t="n">
        <f aca="false">Einstellungen!$B$5+INT((ROW()-9)/24)</f>
        <v>46389</v>
      </c>
      <c r="B10184" s="11" t="n">
        <f aca="false">MOD(ROW()-9,24)</f>
        <v>23</v>
      </c>
      <c r="C10184" s="12"/>
      <c r="D10184" s="13" t="n">
        <f aca="false">IF(B10184&lt;5,Einstellungen!$B$3,Einstellungen!$B$4)</f>
        <v>29.13</v>
      </c>
      <c r="E10184" s="14" t="str">
        <f aca="false">IF(C10184="","",C10184*D10184/100)</f>
        <v/>
      </c>
      <c r="F10184" s="15" t="str">
        <f aca="false">IF(B10184&lt;5,"Go","Standard")</f>
        <v>Standard</v>
      </c>
    </row>
    <row r="10185" customFormat="false" ht="15" hidden="false" customHeight="true" outlineLevel="0" collapsed="false">
      <c r="A10185" s="10" t="n">
        <f aca="false">Einstellungen!$B$5+INT((ROW()-9)/24)</f>
        <v>46390</v>
      </c>
      <c r="B10185" s="11" t="n">
        <f aca="false">MOD(ROW()-9,24)</f>
        <v>0</v>
      </c>
      <c r="C10185" s="12"/>
      <c r="D10185" s="13" t="n">
        <f aca="false">IF(B10185&lt;5,Einstellungen!$B$3,Einstellungen!$B$4)</f>
        <v>15.92</v>
      </c>
      <c r="E10185" s="14" t="str">
        <f aca="false">IF(C10185="","",C10185*D10185/100)</f>
        <v/>
      </c>
      <c r="F10185" s="15" t="str">
        <f aca="false">IF(B10185&lt;5,"Go","Standard")</f>
        <v>Go</v>
      </c>
    </row>
    <row r="10186" customFormat="false" ht="15" hidden="false" customHeight="true" outlineLevel="0" collapsed="false">
      <c r="A10186" s="10" t="n">
        <f aca="false">Einstellungen!$B$5+INT((ROW()-9)/24)</f>
        <v>46390</v>
      </c>
      <c r="B10186" s="11" t="n">
        <f aca="false">MOD(ROW()-9,24)</f>
        <v>1</v>
      </c>
      <c r="C10186" s="12"/>
      <c r="D10186" s="13" t="n">
        <f aca="false">IF(B10186&lt;5,Einstellungen!$B$3,Einstellungen!$B$4)</f>
        <v>15.92</v>
      </c>
      <c r="E10186" s="14" t="str">
        <f aca="false">IF(C10186="","",C10186*D10186/100)</f>
        <v/>
      </c>
      <c r="F10186" s="15" t="str">
        <f aca="false">IF(B10186&lt;5,"Go","Standard")</f>
        <v>Go</v>
      </c>
    </row>
    <row r="10187" customFormat="false" ht="15" hidden="false" customHeight="true" outlineLevel="0" collapsed="false">
      <c r="A10187" s="10" t="n">
        <f aca="false">Einstellungen!$B$5+INT((ROW()-9)/24)</f>
        <v>46390</v>
      </c>
      <c r="B10187" s="11" t="n">
        <f aca="false">MOD(ROW()-9,24)</f>
        <v>2</v>
      </c>
      <c r="C10187" s="12"/>
      <c r="D10187" s="13" t="n">
        <f aca="false">IF(B10187&lt;5,Einstellungen!$B$3,Einstellungen!$B$4)</f>
        <v>15.92</v>
      </c>
      <c r="E10187" s="14" t="str">
        <f aca="false">IF(C10187="","",C10187*D10187/100)</f>
        <v/>
      </c>
      <c r="F10187" s="15" t="str">
        <f aca="false">IF(B10187&lt;5,"Go","Standard")</f>
        <v>Go</v>
      </c>
    </row>
    <row r="10188" customFormat="false" ht="15" hidden="false" customHeight="true" outlineLevel="0" collapsed="false">
      <c r="A10188" s="10" t="n">
        <f aca="false">Einstellungen!$B$5+INT((ROW()-9)/24)</f>
        <v>46390</v>
      </c>
      <c r="B10188" s="11" t="n">
        <f aca="false">MOD(ROW()-9,24)</f>
        <v>3</v>
      </c>
      <c r="C10188" s="12"/>
      <c r="D10188" s="13" t="n">
        <f aca="false">IF(B10188&lt;5,Einstellungen!$B$3,Einstellungen!$B$4)</f>
        <v>15.92</v>
      </c>
      <c r="E10188" s="14" t="str">
        <f aca="false">IF(C10188="","",C10188*D10188/100)</f>
        <v/>
      </c>
      <c r="F10188" s="15" t="str">
        <f aca="false">IF(B10188&lt;5,"Go","Standard")</f>
        <v>Go</v>
      </c>
    </row>
    <row r="10189" customFormat="false" ht="15" hidden="false" customHeight="true" outlineLevel="0" collapsed="false">
      <c r="A10189" s="10" t="n">
        <f aca="false">Einstellungen!$B$5+INT((ROW()-9)/24)</f>
        <v>46390</v>
      </c>
      <c r="B10189" s="11" t="n">
        <f aca="false">MOD(ROW()-9,24)</f>
        <v>4</v>
      </c>
      <c r="C10189" s="12"/>
      <c r="D10189" s="13" t="n">
        <f aca="false">IF(B10189&lt;5,Einstellungen!$B$3,Einstellungen!$B$4)</f>
        <v>15.92</v>
      </c>
      <c r="E10189" s="14" t="str">
        <f aca="false">IF(C10189="","",C10189*D10189/100)</f>
        <v/>
      </c>
      <c r="F10189" s="15" t="str">
        <f aca="false">IF(B10189&lt;5,"Go","Standard")</f>
        <v>Go</v>
      </c>
    </row>
    <row r="10190" customFormat="false" ht="15" hidden="false" customHeight="true" outlineLevel="0" collapsed="false">
      <c r="A10190" s="10" t="n">
        <f aca="false">Einstellungen!$B$5+INT((ROW()-9)/24)</f>
        <v>46390</v>
      </c>
      <c r="B10190" s="11" t="n">
        <f aca="false">MOD(ROW()-9,24)</f>
        <v>5</v>
      </c>
      <c r="C10190" s="12"/>
      <c r="D10190" s="13" t="n">
        <f aca="false">IF(B10190&lt;5,Einstellungen!$B$3,Einstellungen!$B$4)</f>
        <v>29.13</v>
      </c>
      <c r="E10190" s="14" t="str">
        <f aca="false">IF(C10190="","",C10190*D10190/100)</f>
        <v/>
      </c>
      <c r="F10190" s="15" t="str">
        <f aca="false">IF(B10190&lt;5,"Go","Standard")</f>
        <v>Standard</v>
      </c>
    </row>
    <row r="10191" customFormat="false" ht="15" hidden="false" customHeight="true" outlineLevel="0" collapsed="false">
      <c r="A10191" s="10" t="n">
        <f aca="false">Einstellungen!$B$5+INT((ROW()-9)/24)</f>
        <v>46390</v>
      </c>
      <c r="B10191" s="11" t="n">
        <f aca="false">MOD(ROW()-9,24)</f>
        <v>6</v>
      </c>
      <c r="C10191" s="12"/>
      <c r="D10191" s="13" t="n">
        <f aca="false">IF(B10191&lt;5,Einstellungen!$B$3,Einstellungen!$B$4)</f>
        <v>29.13</v>
      </c>
      <c r="E10191" s="14" t="str">
        <f aca="false">IF(C10191="","",C10191*D10191/100)</f>
        <v/>
      </c>
      <c r="F10191" s="15" t="str">
        <f aca="false">IF(B10191&lt;5,"Go","Standard")</f>
        <v>Standard</v>
      </c>
    </row>
    <row r="10192" customFormat="false" ht="15" hidden="false" customHeight="true" outlineLevel="0" collapsed="false">
      <c r="A10192" s="10" t="n">
        <f aca="false">Einstellungen!$B$5+INT((ROW()-9)/24)</f>
        <v>46390</v>
      </c>
      <c r="B10192" s="11" t="n">
        <f aca="false">MOD(ROW()-9,24)</f>
        <v>7</v>
      </c>
      <c r="C10192" s="12"/>
      <c r="D10192" s="13" t="n">
        <f aca="false">IF(B10192&lt;5,Einstellungen!$B$3,Einstellungen!$B$4)</f>
        <v>29.13</v>
      </c>
      <c r="E10192" s="14" t="str">
        <f aca="false">IF(C10192="","",C10192*D10192/100)</f>
        <v/>
      </c>
      <c r="F10192" s="15" t="str">
        <f aca="false">IF(B10192&lt;5,"Go","Standard")</f>
        <v>Standard</v>
      </c>
    </row>
    <row r="10193" customFormat="false" ht="15" hidden="false" customHeight="true" outlineLevel="0" collapsed="false">
      <c r="A10193" s="10" t="n">
        <f aca="false">Einstellungen!$B$5+INT((ROW()-9)/24)</f>
        <v>46390</v>
      </c>
      <c r="B10193" s="11" t="n">
        <f aca="false">MOD(ROW()-9,24)</f>
        <v>8</v>
      </c>
      <c r="C10193" s="12"/>
      <c r="D10193" s="13" t="n">
        <f aca="false">IF(B10193&lt;5,Einstellungen!$B$3,Einstellungen!$B$4)</f>
        <v>29.13</v>
      </c>
      <c r="E10193" s="14" t="str">
        <f aca="false">IF(C10193="","",C10193*D10193/100)</f>
        <v/>
      </c>
      <c r="F10193" s="15" t="str">
        <f aca="false">IF(B10193&lt;5,"Go","Standard")</f>
        <v>Standard</v>
      </c>
    </row>
    <row r="10194" customFormat="false" ht="15" hidden="false" customHeight="true" outlineLevel="0" collapsed="false">
      <c r="A10194" s="10" t="n">
        <f aca="false">Einstellungen!$B$5+INT((ROW()-9)/24)</f>
        <v>46390</v>
      </c>
      <c r="B10194" s="11" t="n">
        <f aca="false">MOD(ROW()-9,24)</f>
        <v>9</v>
      </c>
      <c r="C10194" s="12"/>
      <c r="D10194" s="13" t="n">
        <f aca="false">IF(B10194&lt;5,Einstellungen!$B$3,Einstellungen!$B$4)</f>
        <v>29.13</v>
      </c>
      <c r="E10194" s="14" t="str">
        <f aca="false">IF(C10194="","",C10194*D10194/100)</f>
        <v/>
      </c>
      <c r="F10194" s="15" t="str">
        <f aca="false">IF(B10194&lt;5,"Go","Standard")</f>
        <v>Standard</v>
      </c>
    </row>
    <row r="10195" customFormat="false" ht="15" hidden="false" customHeight="true" outlineLevel="0" collapsed="false">
      <c r="A10195" s="10" t="n">
        <f aca="false">Einstellungen!$B$5+INT((ROW()-9)/24)</f>
        <v>46390</v>
      </c>
      <c r="B10195" s="11" t="n">
        <f aca="false">MOD(ROW()-9,24)</f>
        <v>10</v>
      </c>
      <c r="C10195" s="12"/>
      <c r="D10195" s="13" t="n">
        <f aca="false">IF(B10195&lt;5,Einstellungen!$B$3,Einstellungen!$B$4)</f>
        <v>29.13</v>
      </c>
      <c r="E10195" s="14" t="str">
        <f aca="false">IF(C10195="","",C10195*D10195/100)</f>
        <v/>
      </c>
      <c r="F10195" s="15" t="str">
        <f aca="false">IF(B10195&lt;5,"Go","Standard")</f>
        <v>Standard</v>
      </c>
    </row>
    <row r="10196" customFormat="false" ht="15" hidden="false" customHeight="true" outlineLevel="0" collapsed="false">
      <c r="A10196" s="10" t="n">
        <f aca="false">Einstellungen!$B$5+INT((ROW()-9)/24)</f>
        <v>46390</v>
      </c>
      <c r="B10196" s="11" t="n">
        <f aca="false">MOD(ROW()-9,24)</f>
        <v>11</v>
      </c>
      <c r="C10196" s="12"/>
      <c r="D10196" s="13" t="n">
        <f aca="false">IF(B10196&lt;5,Einstellungen!$B$3,Einstellungen!$B$4)</f>
        <v>29.13</v>
      </c>
      <c r="E10196" s="14" t="str">
        <f aca="false">IF(C10196="","",C10196*D10196/100)</f>
        <v/>
      </c>
      <c r="F10196" s="15" t="str">
        <f aca="false">IF(B10196&lt;5,"Go","Standard")</f>
        <v>Standard</v>
      </c>
    </row>
    <row r="10197" customFormat="false" ht="15" hidden="false" customHeight="true" outlineLevel="0" collapsed="false">
      <c r="A10197" s="10" t="n">
        <f aca="false">Einstellungen!$B$5+INT((ROW()-9)/24)</f>
        <v>46390</v>
      </c>
      <c r="B10197" s="11" t="n">
        <f aca="false">MOD(ROW()-9,24)</f>
        <v>12</v>
      </c>
      <c r="C10197" s="12"/>
      <c r="D10197" s="13" t="n">
        <f aca="false">IF(B10197&lt;5,Einstellungen!$B$3,Einstellungen!$B$4)</f>
        <v>29.13</v>
      </c>
      <c r="E10197" s="14" t="str">
        <f aca="false">IF(C10197="","",C10197*D10197/100)</f>
        <v/>
      </c>
      <c r="F10197" s="15" t="str">
        <f aca="false">IF(B10197&lt;5,"Go","Standard")</f>
        <v>Standard</v>
      </c>
    </row>
    <row r="10198" customFormat="false" ht="15" hidden="false" customHeight="true" outlineLevel="0" collapsed="false">
      <c r="A10198" s="10" t="n">
        <f aca="false">Einstellungen!$B$5+INT((ROW()-9)/24)</f>
        <v>46390</v>
      </c>
      <c r="B10198" s="11" t="n">
        <f aca="false">MOD(ROW()-9,24)</f>
        <v>13</v>
      </c>
      <c r="C10198" s="12"/>
      <c r="D10198" s="13" t="n">
        <f aca="false">IF(B10198&lt;5,Einstellungen!$B$3,Einstellungen!$B$4)</f>
        <v>29.13</v>
      </c>
      <c r="E10198" s="14" t="str">
        <f aca="false">IF(C10198="","",C10198*D10198/100)</f>
        <v/>
      </c>
      <c r="F10198" s="15" t="str">
        <f aca="false">IF(B10198&lt;5,"Go","Standard")</f>
        <v>Standard</v>
      </c>
    </row>
    <row r="10199" customFormat="false" ht="15" hidden="false" customHeight="true" outlineLevel="0" collapsed="false">
      <c r="A10199" s="10" t="n">
        <f aca="false">Einstellungen!$B$5+INT((ROW()-9)/24)</f>
        <v>46390</v>
      </c>
      <c r="B10199" s="11" t="n">
        <f aca="false">MOD(ROW()-9,24)</f>
        <v>14</v>
      </c>
      <c r="C10199" s="12"/>
      <c r="D10199" s="13" t="n">
        <f aca="false">IF(B10199&lt;5,Einstellungen!$B$3,Einstellungen!$B$4)</f>
        <v>29.13</v>
      </c>
      <c r="E10199" s="14" t="str">
        <f aca="false">IF(C10199="","",C10199*D10199/100)</f>
        <v/>
      </c>
      <c r="F10199" s="15" t="str">
        <f aca="false">IF(B10199&lt;5,"Go","Standard")</f>
        <v>Standard</v>
      </c>
    </row>
    <row r="10200" customFormat="false" ht="15" hidden="false" customHeight="true" outlineLevel="0" collapsed="false">
      <c r="A10200" s="10" t="n">
        <f aca="false">Einstellungen!$B$5+INT((ROW()-9)/24)</f>
        <v>46390</v>
      </c>
      <c r="B10200" s="11" t="n">
        <f aca="false">MOD(ROW()-9,24)</f>
        <v>15</v>
      </c>
      <c r="C10200" s="12"/>
      <c r="D10200" s="13" t="n">
        <f aca="false">IF(B10200&lt;5,Einstellungen!$B$3,Einstellungen!$B$4)</f>
        <v>29.13</v>
      </c>
      <c r="E10200" s="14" t="str">
        <f aca="false">IF(C10200="","",C10200*D10200/100)</f>
        <v/>
      </c>
      <c r="F10200" s="15" t="str">
        <f aca="false">IF(B10200&lt;5,"Go","Standard")</f>
        <v>Standard</v>
      </c>
    </row>
    <row r="10201" customFormat="false" ht="15" hidden="false" customHeight="true" outlineLevel="0" collapsed="false">
      <c r="A10201" s="10" t="n">
        <f aca="false">Einstellungen!$B$5+INT((ROW()-9)/24)</f>
        <v>46390</v>
      </c>
      <c r="B10201" s="11" t="n">
        <f aca="false">MOD(ROW()-9,24)</f>
        <v>16</v>
      </c>
      <c r="C10201" s="12"/>
      <c r="D10201" s="13" t="n">
        <f aca="false">IF(B10201&lt;5,Einstellungen!$B$3,Einstellungen!$B$4)</f>
        <v>29.13</v>
      </c>
      <c r="E10201" s="14" t="str">
        <f aca="false">IF(C10201="","",C10201*D10201/100)</f>
        <v/>
      </c>
      <c r="F10201" s="15" t="str">
        <f aca="false">IF(B10201&lt;5,"Go","Standard")</f>
        <v>Standard</v>
      </c>
    </row>
    <row r="10202" customFormat="false" ht="15" hidden="false" customHeight="true" outlineLevel="0" collapsed="false">
      <c r="A10202" s="10" t="n">
        <f aca="false">Einstellungen!$B$5+INT((ROW()-9)/24)</f>
        <v>46390</v>
      </c>
      <c r="B10202" s="11" t="n">
        <f aca="false">MOD(ROW()-9,24)</f>
        <v>17</v>
      </c>
      <c r="C10202" s="12"/>
      <c r="D10202" s="13" t="n">
        <f aca="false">IF(B10202&lt;5,Einstellungen!$B$3,Einstellungen!$B$4)</f>
        <v>29.13</v>
      </c>
      <c r="E10202" s="14" t="str">
        <f aca="false">IF(C10202="","",C10202*D10202/100)</f>
        <v/>
      </c>
      <c r="F10202" s="15" t="str">
        <f aca="false">IF(B10202&lt;5,"Go","Standard")</f>
        <v>Standard</v>
      </c>
    </row>
    <row r="10203" customFormat="false" ht="15" hidden="false" customHeight="true" outlineLevel="0" collapsed="false">
      <c r="A10203" s="10" t="n">
        <f aca="false">Einstellungen!$B$5+INT((ROW()-9)/24)</f>
        <v>46390</v>
      </c>
      <c r="B10203" s="11" t="n">
        <f aca="false">MOD(ROW()-9,24)</f>
        <v>18</v>
      </c>
      <c r="C10203" s="12"/>
      <c r="D10203" s="13" t="n">
        <f aca="false">IF(B10203&lt;5,Einstellungen!$B$3,Einstellungen!$B$4)</f>
        <v>29.13</v>
      </c>
      <c r="E10203" s="14" t="str">
        <f aca="false">IF(C10203="","",C10203*D10203/100)</f>
        <v/>
      </c>
      <c r="F10203" s="15" t="str">
        <f aca="false">IF(B10203&lt;5,"Go","Standard")</f>
        <v>Standard</v>
      </c>
    </row>
    <row r="10204" customFormat="false" ht="15" hidden="false" customHeight="true" outlineLevel="0" collapsed="false">
      <c r="A10204" s="10" t="n">
        <f aca="false">Einstellungen!$B$5+INT((ROW()-9)/24)</f>
        <v>46390</v>
      </c>
      <c r="B10204" s="11" t="n">
        <f aca="false">MOD(ROW()-9,24)</f>
        <v>19</v>
      </c>
      <c r="C10204" s="12"/>
      <c r="D10204" s="13" t="n">
        <f aca="false">IF(B10204&lt;5,Einstellungen!$B$3,Einstellungen!$B$4)</f>
        <v>29.13</v>
      </c>
      <c r="E10204" s="14" t="str">
        <f aca="false">IF(C10204="","",C10204*D10204/100)</f>
        <v/>
      </c>
      <c r="F10204" s="15" t="str">
        <f aca="false">IF(B10204&lt;5,"Go","Standard")</f>
        <v>Standard</v>
      </c>
    </row>
    <row r="10205" customFormat="false" ht="15" hidden="false" customHeight="true" outlineLevel="0" collapsed="false">
      <c r="A10205" s="10" t="n">
        <f aca="false">Einstellungen!$B$5+INT((ROW()-9)/24)</f>
        <v>46390</v>
      </c>
      <c r="B10205" s="11" t="n">
        <f aca="false">MOD(ROW()-9,24)</f>
        <v>20</v>
      </c>
      <c r="C10205" s="12"/>
      <c r="D10205" s="13" t="n">
        <f aca="false">IF(B10205&lt;5,Einstellungen!$B$3,Einstellungen!$B$4)</f>
        <v>29.13</v>
      </c>
      <c r="E10205" s="14" t="str">
        <f aca="false">IF(C10205="","",C10205*D10205/100)</f>
        <v/>
      </c>
      <c r="F10205" s="15" t="str">
        <f aca="false">IF(B10205&lt;5,"Go","Standard")</f>
        <v>Standard</v>
      </c>
    </row>
    <row r="10206" customFormat="false" ht="15" hidden="false" customHeight="true" outlineLevel="0" collapsed="false">
      <c r="A10206" s="10" t="n">
        <f aca="false">Einstellungen!$B$5+INT((ROW()-9)/24)</f>
        <v>46390</v>
      </c>
      <c r="B10206" s="11" t="n">
        <f aca="false">MOD(ROW()-9,24)</f>
        <v>21</v>
      </c>
      <c r="C10206" s="12"/>
      <c r="D10206" s="13" t="n">
        <f aca="false">IF(B10206&lt;5,Einstellungen!$B$3,Einstellungen!$B$4)</f>
        <v>29.13</v>
      </c>
      <c r="E10206" s="14" t="str">
        <f aca="false">IF(C10206="","",C10206*D10206/100)</f>
        <v/>
      </c>
      <c r="F10206" s="15" t="str">
        <f aca="false">IF(B10206&lt;5,"Go","Standard")</f>
        <v>Standard</v>
      </c>
    </row>
    <row r="10207" customFormat="false" ht="15" hidden="false" customHeight="true" outlineLevel="0" collapsed="false">
      <c r="A10207" s="10" t="n">
        <f aca="false">Einstellungen!$B$5+INT((ROW()-9)/24)</f>
        <v>46390</v>
      </c>
      <c r="B10207" s="11" t="n">
        <f aca="false">MOD(ROW()-9,24)</f>
        <v>22</v>
      </c>
      <c r="C10207" s="12"/>
      <c r="D10207" s="13" t="n">
        <f aca="false">IF(B10207&lt;5,Einstellungen!$B$3,Einstellungen!$B$4)</f>
        <v>29.13</v>
      </c>
      <c r="E10207" s="14" t="str">
        <f aca="false">IF(C10207="","",C10207*D10207/100)</f>
        <v/>
      </c>
      <c r="F10207" s="15" t="str">
        <f aca="false">IF(B10207&lt;5,"Go","Standard")</f>
        <v>Standard</v>
      </c>
    </row>
    <row r="10208" customFormat="false" ht="15" hidden="false" customHeight="true" outlineLevel="0" collapsed="false">
      <c r="A10208" s="10" t="n">
        <f aca="false">Einstellungen!$B$5+INT((ROW()-9)/24)</f>
        <v>46390</v>
      </c>
      <c r="B10208" s="11" t="n">
        <f aca="false">MOD(ROW()-9,24)</f>
        <v>23</v>
      </c>
      <c r="C10208" s="12"/>
      <c r="D10208" s="13" t="n">
        <f aca="false">IF(B10208&lt;5,Einstellungen!$B$3,Einstellungen!$B$4)</f>
        <v>29.13</v>
      </c>
      <c r="E10208" s="14" t="str">
        <f aca="false">IF(C10208="","",C10208*D10208/100)</f>
        <v/>
      </c>
      <c r="F10208" s="15" t="str">
        <f aca="false">IF(B10208&lt;5,"Go","Standard")</f>
        <v>Standard</v>
      </c>
    </row>
    <row r="10209" customFormat="false" ht="15" hidden="false" customHeight="true" outlineLevel="0" collapsed="false">
      <c r="A10209" s="10" t="n">
        <f aca="false">Einstellungen!$B$5+INT((ROW()-9)/24)</f>
        <v>46391</v>
      </c>
      <c r="B10209" s="11" t="n">
        <f aca="false">MOD(ROW()-9,24)</f>
        <v>0</v>
      </c>
      <c r="C10209" s="12"/>
      <c r="D10209" s="13" t="n">
        <f aca="false">IF(B10209&lt;5,Einstellungen!$B$3,Einstellungen!$B$4)</f>
        <v>15.92</v>
      </c>
      <c r="E10209" s="14" t="str">
        <f aca="false">IF(C10209="","",C10209*D10209/100)</f>
        <v/>
      </c>
      <c r="F10209" s="15" t="str">
        <f aca="false">IF(B10209&lt;5,"Go","Standard")</f>
        <v>Go</v>
      </c>
    </row>
    <row r="10210" customFormat="false" ht="15" hidden="false" customHeight="true" outlineLevel="0" collapsed="false">
      <c r="A10210" s="10" t="n">
        <f aca="false">Einstellungen!$B$5+INT((ROW()-9)/24)</f>
        <v>46391</v>
      </c>
      <c r="B10210" s="11" t="n">
        <f aca="false">MOD(ROW()-9,24)</f>
        <v>1</v>
      </c>
      <c r="C10210" s="12"/>
      <c r="D10210" s="13" t="n">
        <f aca="false">IF(B10210&lt;5,Einstellungen!$B$3,Einstellungen!$B$4)</f>
        <v>15.92</v>
      </c>
      <c r="E10210" s="14" t="str">
        <f aca="false">IF(C10210="","",C10210*D10210/100)</f>
        <v/>
      </c>
      <c r="F10210" s="15" t="str">
        <f aca="false">IF(B10210&lt;5,"Go","Standard")</f>
        <v>Go</v>
      </c>
    </row>
    <row r="10211" customFormat="false" ht="15" hidden="false" customHeight="true" outlineLevel="0" collapsed="false">
      <c r="A10211" s="10" t="n">
        <f aca="false">Einstellungen!$B$5+INT((ROW()-9)/24)</f>
        <v>46391</v>
      </c>
      <c r="B10211" s="11" t="n">
        <f aca="false">MOD(ROW()-9,24)</f>
        <v>2</v>
      </c>
      <c r="C10211" s="12"/>
      <c r="D10211" s="13" t="n">
        <f aca="false">IF(B10211&lt;5,Einstellungen!$B$3,Einstellungen!$B$4)</f>
        <v>15.92</v>
      </c>
      <c r="E10211" s="14" t="str">
        <f aca="false">IF(C10211="","",C10211*D10211/100)</f>
        <v/>
      </c>
      <c r="F10211" s="15" t="str">
        <f aca="false">IF(B10211&lt;5,"Go","Standard")</f>
        <v>Go</v>
      </c>
    </row>
    <row r="10212" customFormat="false" ht="15" hidden="false" customHeight="true" outlineLevel="0" collapsed="false">
      <c r="A10212" s="10" t="n">
        <f aca="false">Einstellungen!$B$5+INT((ROW()-9)/24)</f>
        <v>46391</v>
      </c>
      <c r="B10212" s="11" t="n">
        <f aca="false">MOD(ROW()-9,24)</f>
        <v>3</v>
      </c>
      <c r="C10212" s="12"/>
      <c r="D10212" s="13" t="n">
        <f aca="false">IF(B10212&lt;5,Einstellungen!$B$3,Einstellungen!$B$4)</f>
        <v>15.92</v>
      </c>
      <c r="E10212" s="14" t="str">
        <f aca="false">IF(C10212="","",C10212*D10212/100)</f>
        <v/>
      </c>
      <c r="F10212" s="15" t="str">
        <f aca="false">IF(B10212&lt;5,"Go","Standard")</f>
        <v>Go</v>
      </c>
    </row>
    <row r="10213" customFormat="false" ht="15" hidden="false" customHeight="true" outlineLevel="0" collapsed="false">
      <c r="A10213" s="10" t="n">
        <f aca="false">Einstellungen!$B$5+INT((ROW()-9)/24)</f>
        <v>46391</v>
      </c>
      <c r="B10213" s="11" t="n">
        <f aca="false">MOD(ROW()-9,24)</f>
        <v>4</v>
      </c>
      <c r="C10213" s="12"/>
      <c r="D10213" s="13" t="n">
        <f aca="false">IF(B10213&lt;5,Einstellungen!$B$3,Einstellungen!$B$4)</f>
        <v>15.92</v>
      </c>
      <c r="E10213" s="14" t="str">
        <f aca="false">IF(C10213="","",C10213*D10213/100)</f>
        <v/>
      </c>
      <c r="F10213" s="15" t="str">
        <f aca="false">IF(B10213&lt;5,"Go","Standard")</f>
        <v>Go</v>
      </c>
    </row>
    <row r="10214" customFormat="false" ht="15" hidden="false" customHeight="true" outlineLevel="0" collapsed="false">
      <c r="A10214" s="10" t="n">
        <f aca="false">Einstellungen!$B$5+INT((ROW()-9)/24)</f>
        <v>46391</v>
      </c>
      <c r="B10214" s="11" t="n">
        <f aca="false">MOD(ROW()-9,24)</f>
        <v>5</v>
      </c>
      <c r="C10214" s="12"/>
      <c r="D10214" s="13" t="n">
        <f aca="false">IF(B10214&lt;5,Einstellungen!$B$3,Einstellungen!$B$4)</f>
        <v>29.13</v>
      </c>
      <c r="E10214" s="14" t="str">
        <f aca="false">IF(C10214="","",C10214*D10214/100)</f>
        <v/>
      </c>
      <c r="F10214" s="15" t="str">
        <f aca="false">IF(B10214&lt;5,"Go","Standard")</f>
        <v>Standard</v>
      </c>
    </row>
    <row r="10215" customFormat="false" ht="15" hidden="false" customHeight="true" outlineLevel="0" collapsed="false">
      <c r="A10215" s="10" t="n">
        <f aca="false">Einstellungen!$B$5+INT((ROW()-9)/24)</f>
        <v>46391</v>
      </c>
      <c r="B10215" s="11" t="n">
        <f aca="false">MOD(ROW()-9,24)</f>
        <v>6</v>
      </c>
      <c r="C10215" s="12"/>
      <c r="D10215" s="13" t="n">
        <f aca="false">IF(B10215&lt;5,Einstellungen!$B$3,Einstellungen!$B$4)</f>
        <v>29.13</v>
      </c>
      <c r="E10215" s="14" t="str">
        <f aca="false">IF(C10215="","",C10215*D10215/100)</f>
        <v/>
      </c>
      <c r="F10215" s="15" t="str">
        <f aca="false">IF(B10215&lt;5,"Go","Standard")</f>
        <v>Standard</v>
      </c>
    </row>
    <row r="10216" customFormat="false" ht="15" hidden="false" customHeight="true" outlineLevel="0" collapsed="false">
      <c r="A10216" s="10" t="n">
        <f aca="false">Einstellungen!$B$5+INT((ROW()-9)/24)</f>
        <v>46391</v>
      </c>
      <c r="B10216" s="11" t="n">
        <f aca="false">MOD(ROW()-9,24)</f>
        <v>7</v>
      </c>
      <c r="C10216" s="12"/>
      <c r="D10216" s="13" t="n">
        <f aca="false">IF(B10216&lt;5,Einstellungen!$B$3,Einstellungen!$B$4)</f>
        <v>29.13</v>
      </c>
      <c r="E10216" s="14" t="str">
        <f aca="false">IF(C10216="","",C10216*D10216/100)</f>
        <v/>
      </c>
      <c r="F10216" s="15" t="str">
        <f aca="false">IF(B10216&lt;5,"Go","Standard")</f>
        <v>Standard</v>
      </c>
    </row>
    <row r="10217" customFormat="false" ht="15" hidden="false" customHeight="true" outlineLevel="0" collapsed="false">
      <c r="A10217" s="10" t="n">
        <f aca="false">Einstellungen!$B$5+INT((ROW()-9)/24)</f>
        <v>46391</v>
      </c>
      <c r="B10217" s="11" t="n">
        <f aca="false">MOD(ROW()-9,24)</f>
        <v>8</v>
      </c>
      <c r="C10217" s="12"/>
      <c r="D10217" s="13" t="n">
        <f aca="false">IF(B10217&lt;5,Einstellungen!$B$3,Einstellungen!$B$4)</f>
        <v>29.13</v>
      </c>
      <c r="E10217" s="14" t="str">
        <f aca="false">IF(C10217="","",C10217*D10217/100)</f>
        <v/>
      </c>
      <c r="F10217" s="15" t="str">
        <f aca="false">IF(B10217&lt;5,"Go","Standard")</f>
        <v>Standard</v>
      </c>
    </row>
    <row r="10218" customFormat="false" ht="15" hidden="false" customHeight="true" outlineLevel="0" collapsed="false">
      <c r="A10218" s="10" t="n">
        <f aca="false">Einstellungen!$B$5+INT((ROW()-9)/24)</f>
        <v>46391</v>
      </c>
      <c r="B10218" s="11" t="n">
        <f aca="false">MOD(ROW()-9,24)</f>
        <v>9</v>
      </c>
      <c r="C10218" s="12"/>
      <c r="D10218" s="13" t="n">
        <f aca="false">IF(B10218&lt;5,Einstellungen!$B$3,Einstellungen!$B$4)</f>
        <v>29.13</v>
      </c>
      <c r="E10218" s="14" t="str">
        <f aca="false">IF(C10218="","",C10218*D10218/100)</f>
        <v/>
      </c>
      <c r="F10218" s="15" t="str">
        <f aca="false">IF(B10218&lt;5,"Go","Standard")</f>
        <v>Standard</v>
      </c>
    </row>
    <row r="10219" customFormat="false" ht="15" hidden="false" customHeight="true" outlineLevel="0" collapsed="false">
      <c r="A10219" s="10" t="n">
        <f aca="false">Einstellungen!$B$5+INT((ROW()-9)/24)</f>
        <v>46391</v>
      </c>
      <c r="B10219" s="11" t="n">
        <f aca="false">MOD(ROW()-9,24)</f>
        <v>10</v>
      </c>
      <c r="C10219" s="12"/>
      <c r="D10219" s="13" t="n">
        <f aca="false">IF(B10219&lt;5,Einstellungen!$B$3,Einstellungen!$B$4)</f>
        <v>29.13</v>
      </c>
      <c r="E10219" s="14" t="str">
        <f aca="false">IF(C10219="","",C10219*D10219/100)</f>
        <v/>
      </c>
      <c r="F10219" s="15" t="str">
        <f aca="false">IF(B10219&lt;5,"Go","Standard")</f>
        <v>Standard</v>
      </c>
    </row>
    <row r="10220" customFormat="false" ht="15" hidden="false" customHeight="true" outlineLevel="0" collapsed="false">
      <c r="A10220" s="10" t="n">
        <f aca="false">Einstellungen!$B$5+INT((ROW()-9)/24)</f>
        <v>46391</v>
      </c>
      <c r="B10220" s="11" t="n">
        <f aca="false">MOD(ROW()-9,24)</f>
        <v>11</v>
      </c>
      <c r="C10220" s="12"/>
      <c r="D10220" s="13" t="n">
        <f aca="false">IF(B10220&lt;5,Einstellungen!$B$3,Einstellungen!$B$4)</f>
        <v>29.13</v>
      </c>
      <c r="E10220" s="14" t="str">
        <f aca="false">IF(C10220="","",C10220*D10220/100)</f>
        <v/>
      </c>
      <c r="F10220" s="15" t="str">
        <f aca="false">IF(B10220&lt;5,"Go","Standard")</f>
        <v>Standard</v>
      </c>
    </row>
    <row r="10221" customFormat="false" ht="15" hidden="false" customHeight="true" outlineLevel="0" collapsed="false">
      <c r="A10221" s="10" t="n">
        <f aca="false">Einstellungen!$B$5+INT((ROW()-9)/24)</f>
        <v>46391</v>
      </c>
      <c r="B10221" s="11" t="n">
        <f aca="false">MOD(ROW()-9,24)</f>
        <v>12</v>
      </c>
      <c r="C10221" s="12"/>
      <c r="D10221" s="13" t="n">
        <f aca="false">IF(B10221&lt;5,Einstellungen!$B$3,Einstellungen!$B$4)</f>
        <v>29.13</v>
      </c>
      <c r="E10221" s="14" t="str">
        <f aca="false">IF(C10221="","",C10221*D10221/100)</f>
        <v/>
      </c>
      <c r="F10221" s="15" t="str">
        <f aca="false">IF(B10221&lt;5,"Go","Standard")</f>
        <v>Standard</v>
      </c>
    </row>
    <row r="10222" customFormat="false" ht="15" hidden="false" customHeight="true" outlineLevel="0" collapsed="false">
      <c r="A10222" s="10" t="n">
        <f aca="false">Einstellungen!$B$5+INT((ROW()-9)/24)</f>
        <v>46391</v>
      </c>
      <c r="B10222" s="11" t="n">
        <f aca="false">MOD(ROW()-9,24)</f>
        <v>13</v>
      </c>
      <c r="C10222" s="12"/>
      <c r="D10222" s="13" t="n">
        <f aca="false">IF(B10222&lt;5,Einstellungen!$B$3,Einstellungen!$B$4)</f>
        <v>29.13</v>
      </c>
      <c r="E10222" s="14" t="str">
        <f aca="false">IF(C10222="","",C10222*D10222/100)</f>
        <v/>
      </c>
      <c r="F10222" s="15" t="str">
        <f aca="false">IF(B10222&lt;5,"Go","Standard")</f>
        <v>Standard</v>
      </c>
    </row>
    <row r="10223" customFormat="false" ht="15" hidden="false" customHeight="true" outlineLevel="0" collapsed="false">
      <c r="A10223" s="10" t="n">
        <f aca="false">Einstellungen!$B$5+INT((ROW()-9)/24)</f>
        <v>46391</v>
      </c>
      <c r="B10223" s="11" t="n">
        <f aca="false">MOD(ROW()-9,24)</f>
        <v>14</v>
      </c>
      <c r="C10223" s="12"/>
      <c r="D10223" s="13" t="n">
        <f aca="false">IF(B10223&lt;5,Einstellungen!$B$3,Einstellungen!$B$4)</f>
        <v>29.13</v>
      </c>
      <c r="E10223" s="14" t="str">
        <f aca="false">IF(C10223="","",C10223*D10223/100)</f>
        <v/>
      </c>
      <c r="F10223" s="15" t="str">
        <f aca="false">IF(B10223&lt;5,"Go","Standard")</f>
        <v>Standard</v>
      </c>
    </row>
    <row r="10224" customFormat="false" ht="15" hidden="false" customHeight="true" outlineLevel="0" collapsed="false">
      <c r="A10224" s="10" t="n">
        <f aca="false">Einstellungen!$B$5+INT((ROW()-9)/24)</f>
        <v>46391</v>
      </c>
      <c r="B10224" s="11" t="n">
        <f aca="false">MOD(ROW()-9,24)</f>
        <v>15</v>
      </c>
      <c r="C10224" s="12"/>
      <c r="D10224" s="13" t="n">
        <f aca="false">IF(B10224&lt;5,Einstellungen!$B$3,Einstellungen!$B$4)</f>
        <v>29.13</v>
      </c>
      <c r="E10224" s="14" t="str">
        <f aca="false">IF(C10224="","",C10224*D10224/100)</f>
        <v/>
      </c>
      <c r="F10224" s="15" t="str">
        <f aca="false">IF(B10224&lt;5,"Go","Standard")</f>
        <v>Standard</v>
      </c>
    </row>
    <row r="10225" customFormat="false" ht="15" hidden="false" customHeight="true" outlineLevel="0" collapsed="false">
      <c r="A10225" s="10" t="n">
        <f aca="false">Einstellungen!$B$5+INT((ROW()-9)/24)</f>
        <v>46391</v>
      </c>
      <c r="B10225" s="11" t="n">
        <f aca="false">MOD(ROW()-9,24)</f>
        <v>16</v>
      </c>
      <c r="C10225" s="12"/>
      <c r="D10225" s="13" t="n">
        <f aca="false">IF(B10225&lt;5,Einstellungen!$B$3,Einstellungen!$B$4)</f>
        <v>29.13</v>
      </c>
      <c r="E10225" s="14" t="str">
        <f aca="false">IF(C10225="","",C10225*D10225/100)</f>
        <v/>
      </c>
      <c r="F10225" s="15" t="str">
        <f aca="false">IF(B10225&lt;5,"Go","Standard")</f>
        <v>Standard</v>
      </c>
    </row>
    <row r="10226" customFormat="false" ht="15" hidden="false" customHeight="true" outlineLevel="0" collapsed="false">
      <c r="A10226" s="10" t="n">
        <f aca="false">Einstellungen!$B$5+INT((ROW()-9)/24)</f>
        <v>46391</v>
      </c>
      <c r="B10226" s="11" t="n">
        <f aca="false">MOD(ROW()-9,24)</f>
        <v>17</v>
      </c>
      <c r="C10226" s="12"/>
      <c r="D10226" s="13" t="n">
        <f aca="false">IF(B10226&lt;5,Einstellungen!$B$3,Einstellungen!$B$4)</f>
        <v>29.13</v>
      </c>
      <c r="E10226" s="14" t="str">
        <f aca="false">IF(C10226="","",C10226*D10226/100)</f>
        <v/>
      </c>
      <c r="F10226" s="15" t="str">
        <f aca="false">IF(B10226&lt;5,"Go","Standard")</f>
        <v>Standard</v>
      </c>
    </row>
    <row r="10227" customFormat="false" ht="15" hidden="false" customHeight="true" outlineLevel="0" collapsed="false">
      <c r="A10227" s="10" t="n">
        <f aca="false">Einstellungen!$B$5+INT((ROW()-9)/24)</f>
        <v>46391</v>
      </c>
      <c r="B10227" s="11" t="n">
        <f aca="false">MOD(ROW()-9,24)</f>
        <v>18</v>
      </c>
      <c r="C10227" s="12"/>
      <c r="D10227" s="13" t="n">
        <f aca="false">IF(B10227&lt;5,Einstellungen!$B$3,Einstellungen!$B$4)</f>
        <v>29.13</v>
      </c>
      <c r="E10227" s="14" t="str">
        <f aca="false">IF(C10227="","",C10227*D10227/100)</f>
        <v/>
      </c>
      <c r="F10227" s="15" t="str">
        <f aca="false">IF(B10227&lt;5,"Go","Standard")</f>
        <v>Standard</v>
      </c>
    </row>
    <row r="10228" customFormat="false" ht="15" hidden="false" customHeight="true" outlineLevel="0" collapsed="false">
      <c r="A10228" s="10" t="n">
        <f aca="false">Einstellungen!$B$5+INT((ROW()-9)/24)</f>
        <v>46391</v>
      </c>
      <c r="B10228" s="11" t="n">
        <f aca="false">MOD(ROW()-9,24)</f>
        <v>19</v>
      </c>
      <c r="C10228" s="12"/>
      <c r="D10228" s="13" t="n">
        <f aca="false">IF(B10228&lt;5,Einstellungen!$B$3,Einstellungen!$B$4)</f>
        <v>29.13</v>
      </c>
      <c r="E10228" s="14" t="str">
        <f aca="false">IF(C10228="","",C10228*D10228/100)</f>
        <v/>
      </c>
      <c r="F10228" s="15" t="str">
        <f aca="false">IF(B10228&lt;5,"Go","Standard")</f>
        <v>Standard</v>
      </c>
    </row>
    <row r="10229" customFormat="false" ht="15" hidden="false" customHeight="true" outlineLevel="0" collapsed="false">
      <c r="A10229" s="10" t="n">
        <f aca="false">Einstellungen!$B$5+INT((ROW()-9)/24)</f>
        <v>46391</v>
      </c>
      <c r="B10229" s="11" t="n">
        <f aca="false">MOD(ROW()-9,24)</f>
        <v>20</v>
      </c>
      <c r="C10229" s="12"/>
      <c r="D10229" s="13" t="n">
        <f aca="false">IF(B10229&lt;5,Einstellungen!$B$3,Einstellungen!$B$4)</f>
        <v>29.13</v>
      </c>
      <c r="E10229" s="14" t="str">
        <f aca="false">IF(C10229="","",C10229*D10229/100)</f>
        <v/>
      </c>
      <c r="F10229" s="15" t="str">
        <f aca="false">IF(B10229&lt;5,"Go","Standard")</f>
        <v>Standard</v>
      </c>
    </row>
    <row r="10230" customFormat="false" ht="15" hidden="false" customHeight="true" outlineLevel="0" collapsed="false">
      <c r="A10230" s="10" t="n">
        <f aca="false">Einstellungen!$B$5+INT((ROW()-9)/24)</f>
        <v>46391</v>
      </c>
      <c r="B10230" s="11" t="n">
        <f aca="false">MOD(ROW()-9,24)</f>
        <v>21</v>
      </c>
      <c r="C10230" s="12"/>
      <c r="D10230" s="13" t="n">
        <f aca="false">IF(B10230&lt;5,Einstellungen!$B$3,Einstellungen!$B$4)</f>
        <v>29.13</v>
      </c>
      <c r="E10230" s="14" t="str">
        <f aca="false">IF(C10230="","",C10230*D10230/100)</f>
        <v/>
      </c>
      <c r="F10230" s="15" t="str">
        <f aca="false">IF(B10230&lt;5,"Go","Standard")</f>
        <v>Standard</v>
      </c>
    </row>
    <row r="10231" customFormat="false" ht="15" hidden="false" customHeight="true" outlineLevel="0" collapsed="false">
      <c r="A10231" s="10" t="n">
        <f aca="false">Einstellungen!$B$5+INT((ROW()-9)/24)</f>
        <v>46391</v>
      </c>
      <c r="B10231" s="11" t="n">
        <f aca="false">MOD(ROW()-9,24)</f>
        <v>22</v>
      </c>
      <c r="C10231" s="12"/>
      <c r="D10231" s="13" t="n">
        <f aca="false">IF(B10231&lt;5,Einstellungen!$B$3,Einstellungen!$B$4)</f>
        <v>29.13</v>
      </c>
      <c r="E10231" s="14" t="str">
        <f aca="false">IF(C10231="","",C10231*D10231/100)</f>
        <v/>
      </c>
      <c r="F10231" s="15" t="str">
        <f aca="false">IF(B10231&lt;5,"Go","Standard")</f>
        <v>Standard</v>
      </c>
    </row>
    <row r="10232" customFormat="false" ht="15" hidden="false" customHeight="true" outlineLevel="0" collapsed="false">
      <c r="A10232" s="10" t="n">
        <f aca="false">Einstellungen!$B$5+INT((ROW()-9)/24)</f>
        <v>46391</v>
      </c>
      <c r="B10232" s="11" t="n">
        <f aca="false">MOD(ROW()-9,24)</f>
        <v>23</v>
      </c>
      <c r="C10232" s="12"/>
      <c r="D10232" s="13" t="n">
        <f aca="false">IF(B10232&lt;5,Einstellungen!$B$3,Einstellungen!$B$4)</f>
        <v>29.13</v>
      </c>
      <c r="E10232" s="14" t="str">
        <f aca="false">IF(C10232="","",C10232*D10232/100)</f>
        <v/>
      </c>
      <c r="F10232" s="15" t="str">
        <f aca="false">IF(B10232&lt;5,"Go","Standard")</f>
        <v>Standard</v>
      </c>
    </row>
    <row r="10233" customFormat="false" ht="15" hidden="false" customHeight="true" outlineLevel="0" collapsed="false">
      <c r="A10233" s="10" t="n">
        <f aca="false">Einstellungen!$B$5+INT((ROW()-9)/24)</f>
        <v>46392</v>
      </c>
      <c r="B10233" s="11" t="n">
        <f aca="false">MOD(ROW()-9,24)</f>
        <v>0</v>
      </c>
      <c r="C10233" s="12"/>
      <c r="D10233" s="13" t="n">
        <f aca="false">IF(B10233&lt;5,Einstellungen!$B$3,Einstellungen!$B$4)</f>
        <v>15.92</v>
      </c>
      <c r="E10233" s="14" t="str">
        <f aca="false">IF(C10233="","",C10233*D10233/100)</f>
        <v/>
      </c>
      <c r="F10233" s="15" t="str">
        <f aca="false">IF(B10233&lt;5,"Go","Standard")</f>
        <v>Go</v>
      </c>
    </row>
    <row r="10234" customFormat="false" ht="15" hidden="false" customHeight="true" outlineLevel="0" collapsed="false">
      <c r="A10234" s="10" t="n">
        <f aca="false">Einstellungen!$B$5+INT((ROW()-9)/24)</f>
        <v>46392</v>
      </c>
      <c r="B10234" s="11" t="n">
        <f aca="false">MOD(ROW()-9,24)</f>
        <v>1</v>
      </c>
      <c r="C10234" s="12"/>
      <c r="D10234" s="13" t="n">
        <f aca="false">IF(B10234&lt;5,Einstellungen!$B$3,Einstellungen!$B$4)</f>
        <v>15.92</v>
      </c>
      <c r="E10234" s="14" t="str">
        <f aca="false">IF(C10234="","",C10234*D10234/100)</f>
        <v/>
      </c>
      <c r="F10234" s="15" t="str">
        <f aca="false">IF(B10234&lt;5,"Go","Standard")</f>
        <v>Go</v>
      </c>
    </row>
    <row r="10235" customFormat="false" ht="15" hidden="false" customHeight="true" outlineLevel="0" collapsed="false">
      <c r="A10235" s="10" t="n">
        <f aca="false">Einstellungen!$B$5+INT((ROW()-9)/24)</f>
        <v>46392</v>
      </c>
      <c r="B10235" s="11" t="n">
        <f aca="false">MOD(ROW()-9,24)</f>
        <v>2</v>
      </c>
      <c r="C10235" s="12"/>
      <c r="D10235" s="13" t="n">
        <f aca="false">IF(B10235&lt;5,Einstellungen!$B$3,Einstellungen!$B$4)</f>
        <v>15.92</v>
      </c>
      <c r="E10235" s="14" t="str">
        <f aca="false">IF(C10235="","",C10235*D10235/100)</f>
        <v/>
      </c>
      <c r="F10235" s="15" t="str">
        <f aca="false">IF(B10235&lt;5,"Go","Standard")</f>
        <v>Go</v>
      </c>
    </row>
    <row r="10236" customFormat="false" ht="15" hidden="false" customHeight="true" outlineLevel="0" collapsed="false">
      <c r="A10236" s="10" t="n">
        <f aca="false">Einstellungen!$B$5+INT((ROW()-9)/24)</f>
        <v>46392</v>
      </c>
      <c r="B10236" s="11" t="n">
        <f aca="false">MOD(ROW()-9,24)</f>
        <v>3</v>
      </c>
      <c r="C10236" s="12"/>
      <c r="D10236" s="13" t="n">
        <f aca="false">IF(B10236&lt;5,Einstellungen!$B$3,Einstellungen!$B$4)</f>
        <v>15.92</v>
      </c>
      <c r="E10236" s="14" t="str">
        <f aca="false">IF(C10236="","",C10236*D10236/100)</f>
        <v/>
      </c>
      <c r="F10236" s="15" t="str">
        <f aca="false">IF(B10236&lt;5,"Go","Standard")</f>
        <v>Go</v>
      </c>
    </row>
    <row r="10237" customFormat="false" ht="15" hidden="false" customHeight="true" outlineLevel="0" collapsed="false">
      <c r="A10237" s="10" t="n">
        <f aca="false">Einstellungen!$B$5+INT((ROW()-9)/24)</f>
        <v>46392</v>
      </c>
      <c r="B10237" s="11" t="n">
        <f aca="false">MOD(ROW()-9,24)</f>
        <v>4</v>
      </c>
      <c r="C10237" s="12"/>
      <c r="D10237" s="13" t="n">
        <f aca="false">IF(B10237&lt;5,Einstellungen!$B$3,Einstellungen!$B$4)</f>
        <v>15.92</v>
      </c>
      <c r="E10237" s="14" t="str">
        <f aca="false">IF(C10237="","",C10237*D10237/100)</f>
        <v/>
      </c>
      <c r="F10237" s="15" t="str">
        <f aca="false">IF(B10237&lt;5,"Go","Standard")</f>
        <v>Go</v>
      </c>
    </row>
    <row r="10238" customFormat="false" ht="15" hidden="false" customHeight="true" outlineLevel="0" collapsed="false">
      <c r="A10238" s="10" t="n">
        <f aca="false">Einstellungen!$B$5+INT((ROW()-9)/24)</f>
        <v>46392</v>
      </c>
      <c r="B10238" s="11" t="n">
        <f aca="false">MOD(ROW()-9,24)</f>
        <v>5</v>
      </c>
      <c r="C10238" s="12"/>
      <c r="D10238" s="13" t="n">
        <f aca="false">IF(B10238&lt;5,Einstellungen!$B$3,Einstellungen!$B$4)</f>
        <v>29.13</v>
      </c>
      <c r="E10238" s="14" t="str">
        <f aca="false">IF(C10238="","",C10238*D10238/100)</f>
        <v/>
      </c>
      <c r="F10238" s="15" t="str">
        <f aca="false">IF(B10238&lt;5,"Go","Standard")</f>
        <v>Standard</v>
      </c>
    </row>
    <row r="10239" customFormat="false" ht="15" hidden="false" customHeight="true" outlineLevel="0" collapsed="false">
      <c r="A10239" s="10" t="n">
        <f aca="false">Einstellungen!$B$5+INT((ROW()-9)/24)</f>
        <v>46392</v>
      </c>
      <c r="B10239" s="11" t="n">
        <f aca="false">MOD(ROW()-9,24)</f>
        <v>6</v>
      </c>
      <c r="C10239" s="12"/>
      <c r="D10239" s="13" t="n">
        <f aca="false">IF(B10239&lt;5,Einstellungen!$B$3,Einstellungen!$B$4)</f>
        <v>29.13</v>
      </c>
      <c r="E10239" s="14" t="str">
        <f aca="false">IF(C10239="","",C10239*D10239/100)</f>
        <v/>
      </c>
      <c r="F10239" s="15" t="str">
        <f aca="false">IF(B10239&lt;5,"Go","Standard")</f>
        <v>Standard</v>
      </c>
    </row>
    <row r="10240" customFormat="false" ht="15" hidden="false" customHeight="true" outlineLevel="0" collapsed="false">
      <c r="A10240" s="10" t="n">
        <f aca="false">Einstellungen!$B$5+INT((ROW()-9)/24)</f>
        <v>46392</v>
      </c>
      <c r="B10240" s="11" t="n">
        <f aca="false">MOD(ROW()-9,24)</f>
        <v>7</v>
      </c>
      <c r="C10240" s="12"/>
      <c r="D10240" s="13" t="n">
        <f aca="false">IF(B10240&lt;5,Einstellungen!$B$3,Einstellungen!$B$4)</f>
        <v>29.13</v>
      </c>
      <c r="E10240" s="14" t="str">
        <f aca="false">IF(C10240="","",C10240*D10240/100)</f>
        <v/>
      </c>
      <c r="F10240" s="15" t="str">
        <f aca="false">IF(B10240&lt;5,"Go","Standard")</f>
        <v>Standard</v>
      </c>
    </row>
    <row r="10241" customFormat="false" ht="15" hidden="false" customHeight="true" outlineLevel="0" collapsed="false">
      <c r="A10241" s="10" t="n">
        <f aca="false">Einstellungen!$B$5+INT((ROW()-9)/24)</f>
        <v>46392</v>
      </c>
      <c r="B10241" s="11" t="n">
        <f aca="false">MOD(ROW()-9,24)</f>
        <v>8</v>
      </c>
      <c r="C10241" s="12"/>
      <c r="D10241" s="13" t="n">
        <f aca="false">IF(B10241&lt;5,Einstellungen!$B$3,Einstellungen!$B$4)</f>
        <v>29.13</v>
      </c>
      <c r="E10241" s="14" t="str">
        <f aca="false">IF(C10241="","",C10241*D10241/100)</f>
        <v/>
      </c>
      <c r="F10241" s="15" t="str">
        <f aca="false">IF(B10241&lt;5,"Go","Standard")</f>
        <v>Standard</v>
      </c>
    </row>
    <row r="10242" customFormat="false" ht="15" hidden="false" customHeight="true" outlineLevel="0" collapsed="false">
      <c r="A10242" s="10" t="n">
        <f aca="false">Einstellungen!$B$5+INT((ROW()-9)/24)</f>
        <v>46392</v>
      </c>
      <c r="B10242" s="11" t="n">
        <f aca="false">MOD(ROW()-9,24)</f>
        <v>9</v>
      </c>
      <c r="C10242" s="12"/>
      <c r="D10242" s="13" t="n">
        <f aca="false">IF(B10242&lt;5,Einstellungen!$B$3,Einstellungen!$B$4)</f>
        <v>29.13</v>
      </c>
      <c r="E10242" s="14" t="str">
        <f aca="false">IF(C10242="","",C10242*D10242/100)</f>
        <v/>
      </c>
      <c r="F10242" s="15" t="str">
        <f aca="false">IF(B10242&lt;5,"Go","Standard")</f>
        <v>Standard</v>
      </c>
    </row>
    <row r="10243" customFormat="false" ht="15" hidden="false" customHeight="true" outlineLevel="0" collapsed="false">
      <c r="A10243" s="10" t="n">
        <f aca="false">Einstellungen!$B$5+INT((ROW()-9)/24)</f>
        <v>46392</v>
      </c>
      <c r="B10243" s="11" t="n">
        <f aca="false">MOD(ROW()-9,24)</f>
        <v>10</v>
      </c>
      <c r="C10243" s="12"/>
      <c r="D10243" s="13" t="n">
        <f aca="false">IF(B10243&lt;5,Einstellungen!$B$3,Einstellungen!$B$4)</f>
        <v>29.13</v>
      </c>
      <c r="E10243" s="14" t="str">
        <f aca="false">IF(C10243="","",C10243*D10243/100)</f>
        <v/>
      </c>
      <c r="F10243" s="15" t="str">
        <f aca="false">IF(B10243&lt;5,"Go","Standard")</f>
        <v>Standard</v>
      </c>
    </row>
    <row r="10244" customFormat="false" ht="15" hidden="false" customHeight="true" outlineLevel="0" collapsed="false">
      <c r="A10244" s="10" t="n">
        <f aca="false">Einstellungen!$B$5+INT((ROW()-9)/24)</f>
        <v>46392</v>
      </c>
      <c r="B10244" s="11" t="n">
        <f aca="false">MOD(ROW()-9,24)</f>
        <v>11</v>
      </c>
      <c r="C10244" s="12"/>
      <c r="D10244" s="13" t="n">
        <f aca="false">IF(B10244&lt;5,Einstellungen!$B$3,Einstellungen!$B$4)</f>
        <v>29.13</v>
      </c>
      <c r="E10244" s="14" t="str">
        <f aca="false">IF(C10244="","",C10244*D10244/100)</f>
        <v/>
      </c>
      <c r="F10244" s="15" t="str">
        <f aca="false">IF(B10244&lt;5,"Go","Standard")</f>
        <v>Standard</v>
      </c>
    </row>
    <row r="10245" customFormat="false" ht="15" hidden="false" customHeight="true" outlineLevel="0" collapsed="false">
      <c r="A10245" s="10" t="n">
        <f aca="false">Einstellungen!$B$5+INT((ROW()-9)/24)</f>
        <v>46392</v>
      </c>
      <c r="B10245" s="11" t="n">
        <f aca="false">MOD(ROW()-9,24)</f>
        <v>12</v>
      </c>
      <c r="C10245" s="12"/>
      <c r="D10245" s="13" t="n">
        <f aca="false">IF(B10245&lt;5,Einstellungen!$B$3,Einstellungen!$B$4)</f>
        <v>29.13</v>
      </c>
      <c r="E10245" s="14" t="str">
        <f aca="false">IF(C10245="","",C10245*D10245/100)</f>
        <v/>
      </c>
      <c r="F10245" s="15" t="str">
        <f aca="false">IF(B10245&lt;5,"Go","Standard")</f>
        <v>Standard</v>
      </c>
    </row>
    <row r="10246" customFormat="false" ht="15" hidden="false" customHeight="true" outlineLevel="0" collapsed="false">
      <c r="A10246" s="10" t="n">
        <f aca="false">Einstellungen!$B$5+INT((ROW()-9)/24)</f>
        <v>46392</v>
      </c>
      <c r="B10246" s="11" t="n">
        <f aca="false">MOD(ROW()-9,24)</f>
        <v>13</v>
      </c>
      <c r="C10246" s="12"/>
      <c r="D10246" s="13" t="n">
        <f aca="false">IF(B10246&lt;5,Einstellungen!$B$3,Einstellungen!$B$4)</f>
        <v>29.13</v>
      </c>
      <c r="E10246" s="14" t="str">
        <f aca="false">IF(C10246="","",C10246*D10246/100)</f>
        <v/>
      </c>
      <c r="F10246" s="15" t="str">
        <f aca="false">IF(B10246&lt;5,"Go","Standard")</f>
        <v>Standard</v>
      </c>
    </row>
    <row r="10247" customFormat="false" ht="15" hidden="false" customHeight="true" outlineLevel="0" collapsed="false">
      <c r="A10247" s="10" t="n">
        <f aca="false">Einstellungen!$B$5+INT((ROW()-9)/24)</f>
        <v>46392</v>
      </c>
      <c r="B10247" s="11" t="n">
        <f aca="false">MOD(ROW()-9,24)</f>
        <v>14</v>
      </c>
      <c r="C10247" s="12"/>
      <c r="D10247" s="13" t="n">
        <f aca="false">IF(B10247&lt;5,Einstellungen!$B$3,Einstellungen!$B$4)</f>
        <v>29.13</v>
      </c>
      <c r="E10247" s="14" t="str">
        <f aca="false">IF(C10247="","",C10247*D10247/100)</f>
        <v/>
      </c>
      <c r="F10247" s="15" t="str">
        <f aca="false">IF(B10247&lt;5,"Go","Standard")</f>
        <v>Standard</v>
      </c>
    </row>
    <row r="10248" customFormat="false" ht="15" hidden="false" customHeight="true" outlineLevel="0" collapsed="false">
      <c r="A10248" s="10" t="n">
        <f aca="false">Einstellungen!$B$5+INT((ROW()-9)/24)</f>
        <v>46392</v>
      </c>
      <c r="B10248" s="11" t="n">
        <f aca="false">MOD(ROW()-9,24)</f>
        <v>15</v>
      </c>
      <c r="C10248" s="12"/>
      <c r="D10248" s="13" t="n">
        <f aca="false">IF(B10248&lt;5,Einstellungen!$B$3,Einstellungen!$B$4)</f>
        <v>29.13</v>
      </c>
      <c r="E10248" s="14" t="str">
        <f aca="false">IF(C10248="","",C10248*D10248/100)</f>
        <v/>
      </c>
      <c r="F10248" s="15" t="str">
        <f aca="false">IF(B10248&lt;5,"Go","Standard")</f>
        <v>Standard</v>
      </c>
    </row>
    <row r="10249" customFormat="false" ht="15" hidden="false" customHeight="true" outlineLevel="0" collapsed="false">
      <c r="A10249" s="10" t="n">
        <f aca="false">Einstellungen!$B$5+INT((ROW()-9)/24)</f>
        <v>46392</v>
      </c>
      <c r="B10249" s="11" t="n">
        <f aca="false">MOD(ROW()-9,24)</f>
        <v>16</v>
      </c>
      <c r="C10249" s="12"/>
      <c r="D10249" s="13" t="n">
        <f aca="false">IF(B10249&lt;5,Einstellungen!$B$3,Einstellungen!$B$4)</f>
        <v>29.13</v>
      </c>
      <c r="E10249" s="14" t="str">
        <f aca="false">IF(C10249="","",C10249*D10249/100)</f>
        <v/>
      </c>
      <c r="F10249" s="15" t="str">
        <f aca="false">IF(B10249&lt;5,"Go","Standard")</f>
        <v>Standard</v>
      </c>
    </row>
    <row r="10250" customFormat="false" ht="15" hidden="false" customHeight="true" outlineLevel="0" collapsed="false">
      <c r="A10250" s="10" t="n">
        <f aca="false">Einstellungen!$B$5+INT((ROW()-9)/24)</f>
        <v>46392</v>
      </c>
      <c r="B10250" s="11" t="n">
        <f aca="false">MOD(ROW()-9,24)</f>
        <v>17</v>
      </c>
      <c r="C10250" s="12"/>
      <c r="D10250" s="13" t="n">
        <f aca="false">IF(B10250&lt;5,Einstellungen!$B$3,Einstellungen!$B$4)</f>
        <v>29.13</v>
      </c>
      <c r="E10250" s="14" t="str">
        <f aca="false">IF(C10250="","",C10250*D10250/100)</f>
        <v/>
      </c>
      <c r="F10250" s="15" t="str">
        <f aca="false">IF(B10250&lt;5,"Go","Standard")</f>
        <v>Standard</v>
      </c>
    </row>
    <row r="10251" customFormat="false" ht="15" hidden="false" customHeight="true" outlineLevel="0" collapsed="false">
      <c r="A10251" s="10" t="n">
        <f aca="false">Einstellungen!$B$5+INT((ROW()-9)/24)</f>
        <v>46392</v>
      </c>
      <c r="B10251" s="11" t="n">
        <f aca="false">MOD(ROW()-9,24)</f>
        <v>18</v>
      </c>
      <c r="C10251" s="12"/>
      <c r="D10251" s="13" t="n">
        <f aca="false">IF(B10251&lt;5,Einstellungen!$B$3,Einstellungen!$B$4)</f>
        <v>29.13</v>
      </c>
      <c r="E10251" s="14" t="str">
        <f aca="false">IF(C10251="","",C10251*D10251/100)</f>
        <v/>
      </c>
      <c r="F10251" s="15" t="str">
        <f aca="false">IF(B10251&lt;5,"Go","Standard")</f>
        <v>Standard</v>
      </c>
    </row>
    <row r="10252" customFormat="false" ht="15" hidden="false" customHeight="true" outlineLevel="0" collapsed="false">
      <c r="A10252" s="10" t="n">
        <f aca="false">Einstellungen!$B$5+INT((ROW()-9)/24)</f>
        <v>46392</v>
      </c>
      <c r="B10252" s="11" t="n">
        <f aca="false">MOD(ROW()-9,24)</f>
        <v>19</v>
      </c>
      <c r="C10252" s="12"/>
      <c r="D10252" s="13" t="n">
        <f aca="false">IF(B10252&lt;5,Einstellungen!$B$3,Einstellungen!$B$4)</f>
        <v>29.13</v>
      </c>
      <c r="E10252" s="14" t="str">
        <f aca="false">IF(C10252="","",C10252*D10252/100)</f>
        <v/>
      </c>
      <c r="F10252" s="15" t="str">
        <f aca="false">IF(B10252&lt;5,"Go","Standard")</f>
        <v>Standard</v>
      </c>
    </row>
    <row r="10253" customFormat="false" ht="15" hidden="false" customHeight="true" outlineLevel="0" collapsed="false">
      <c r="A10253" s="10" t="n">
        <f aca="false">Einstellungen!$B$5+INT((ROW()-9)/24)</f>
        <v>46392</v>
      </c>
      <c r="B10253" s="11" t="n">
        <f aca="false">MOD(ROW()-9,24)</f>
        <v>20</v>
      </c>
      <c r="C10253" s="12"/>
      <c r="D10253" s="13" t="n">
        <f aca="false">IF(B10253&lt;5,Einstellungen!$B$3,Einstellungen!$B$4)</f>
        <v>29.13</v>
      </c>
      <c r="E10253" s="14" t="str">
        <f aca="false">IF(C10253="","",C10253*D10253/100)</f>
        <v/>
      </c>
      <c r="F10253" s="15" t="str">
        <f aca="false">IF(B10253&lt;5,"Go","Standard")</f>
        <v>Standard</v>
      </c>
    </row>
    <row r="10254" customFormat="false" ht="15" hidden="false" customHeight="true" outlineLevel="0" collapsed="false">
      <c r="A10254" s="10" t="n">
        <f aca="false">Einstellungen!$B$5+INT((ROW()-9)/24)</f>
        <v>46392</v>
      </c>
      <c r="B10254" s="11" t="n">
        <f aca="false">MOD(ROW()-9,24)</f>
        <v>21</v>
      </c>
      <c r="C10254" s="12"/>
      <c r="D10254" s="13" t="n">
        <f aca="false">IF(B10254&lt;5,Einstellungen!$B$3,Einstellungen!$B$4)</f>
        <v>29.13</v>
      </c>
      <c r="E10254" s="14" t="str">
        <f aca="false">IF(C10254="","",C10254*D10254/100)</f>
        <v/>
      </c>
      <c r="F10254" s="15" t="str">
        <f aca="false">IF(B10254&lt;5,"Go","Standard")</f>
        <v>Standard</v>
      </c>
    </row>
    <row r="10255" customFormat="false" ht="15" hidden="false" customHeight="true" outlineLevel="0" collapsed="false">
      <c r="A10255" s="10" t="n">
        <f aca="false">Einstellungen!$B$5+INT((ROW()-9)/24)</f>
        <v>46392</v>
      </c>
      <c r="B10255" s="11" t="n">
        <f aca="false">MOD(ROW()-9,24)</f>
        <v>22</v>
      </c>
      <c r="C10255" s="12"/>
      <c r="D10255" s="13" t="n">
        <f aca="false">IF(B10255&lt;5,Einstellungen!$B$3,Einstellungen!$B$4)</f>
        <v>29.13</v>
      </c>
      <c r="E10255" s="14" t="str">
        <f aca="false">IF(C10255="","",C10255*D10255/100)</f>
        <v/>
      </c>
      <c r="F10255" s="15" t="str">
        <f aca="false">IF(B10255&lt;5,"Go","Standard")</f>
        <v>Standard</v>
      </c>
    </row>
    <row r="10256" customFormat="false" ht="15" hidden="false" customHeight="true" outlineLevel="0" collapsed="false">
      <c r="A10256" s="10" t="n">
        <f aca="false">Einstellungen!$B$5+INT((ROW()-9)/24)</f>
        <v>46392</v>
      </c>
      <c r="B10256" s="11" t="n">
        <f aca="false">MOD(ROW()-9,24)</f>
        <v>23</v>
      </c>
      <c r="C10256" s="12"/>
      <c r="D10256" s="13" t="n">
        <f aca="false">IF(B10256&lt;5,Einstellungen!$B$3,Einstellungen!$B$4)</f>
        <v>29.13</v>
      </c>
      <c r="E10256" s="14" t="str">
        <f aca="false">IF(C10256="","",C10256*D10256/100)</f>
        <v/>
      </c>
      <c r="F10256" s="15" t="str">
        <f aca="false">IF(B10256&lt;5,"Go","Standard")</f>
        <v>Standard</v>
      </c>
    </row>
    <row r="10257" customFormat="false" ht="15" hidden="false" customHeight="true" outlineLevel="0" collapsed="false">
      <c r="A10257" s="10" t="n">
        <f aca="false">Einstellungen!$B$5+INT((ROW()-9)/24)</f>
        <v>46393</v>
      </c>
      <c r="B10257" s="11" t="n">
        <f aca="false">MOD(ROW()-9,24)</f>
        <v>0</v>
      </c>
      <c r="C10257" s="12"/>
      <c r="D10257" s="13" t="n">
        <f aca="false">IF(B10257&lt;5,Einstellungen!$B$3,Einstellungen!$B$4)</f>
        <v>15.92</v>
      </c>
      <c r="E10257" s="14" t="str">
        <f aca="false">IF(C10257="","",C10257*D10257/100)</f>
        <v/>
      </c>
      <c r="F10257" s="15" t="str">
        <f aca="false">IF(B10257&lt;5,"Go","Standard")</f>
        <v>Go</v>
      </c>
    </row>
    <row r="10258" customFormat="false" ht="15" hidden="false" customHeight="true" outlineLevel="0" collapsed="false">
      <c r="A10258" s="10" t="n">
        <f aca="false">Einstellungen!$B$5+INT((ROW()-9)/24)</f>
        <v>46393</v>
      </c>
      <c r="B10258" s="11" t="n">
        <f aca="false">MOD(ROW()-9,24)</f>
        <v>1</v>
      </c>
      <c r="C10258" s="12"/>
      <c r="D10258" s="13" t="n">
        <f aca="false">IF(B10258&lt;5,Einstellungen!$B$3,Einstellungen!$B$4)</f>
        <v>15.92</v>
      </c>
      <c r="E10258" s="14" t="str">
        <f aca="false">IF(C10258="","",C10258*D10258/100)</f>
        <v/>
      </c>
      <c r="F10258" s="15" t="str">
        <f aca="false">IF(B10258&lt;5,"Go","Standard")</f>
        <v>Go</v>
      </c>
    </row>
    <row r="10259" customFormat="false" ht="15" hidden="false" customHeight="true" outlineLevel="0" collapsed="false">
      <c r="A10259" s="10" t="n">
        <f aca="false">Einstellungen!$B$5+INT((ROW()-9)/24)</f>
        <v>46393</v>
      </c>
      <c r="B10259" s="11" t="n">
        <f aca="false">MOD(ROW()-9,24)</f>
        <v>2</v>
      </c>
      <c r="C10259" s="12"/>
      <c r="D10259" s="13" t="n">
        <f aca="false">IF(B10259&lt;5,Einstellungen!$B$3,Einstellungen!$B$4)</f>
        <v>15.92</v>
      </c>
      <c r="E10259" s="14" t="str">
        <f aca="false">IF(C10259="","",C10259*D10259/100)</f>
        <v/>
      </c>
      <c r="F10259" s="15" t="str">
        <f aca="false">IF(B10259&lt;5,"Go","Standard")</f>
        <v>Go</v>
      </c>
    </row>
    <row r="10260" customFormat="false" ht="15" hidden="false" customHeight="true" outlineLevel="0" collapsed="false">
      <c r="A10260" s="10" t="n">
        <f aca="false">Einstellungen!$B$5+INT((ROW()-9)/24)</f>
        <v>46393</v>
      </c>
      <c r="B10260" s="11" t="n">
        <f aca="false">MOD(ROW()-9,24)</f>
        <v>3</v>
      </c>
      <c r="C10260" s="12"/>
      <c r="D10260" s="13" t="n">
        <f aca="false">IF(B10260&lt;5,Einstellungen!$B$3,Einstellungen!$B$4)</f>
        <v>15.92</v>
      </c>
      <c r="E10260" s="14" t="str">
        <f aca="false">IF(C10260="","",C10260*D10260/100)</f>
        <v/>
      </c>
      <c r="F10260" s="15" t="str">
        <f aca="false">IF(B10260&lt;5,"Go","Standard")</f>
        <v>Go</v>
      </c>
    </row>
    <row r="10261" customFormat="false" ht="15" hidden="false" customHeight="true" outlineLevel="0" collapsed="false">
      <c r="A10261" s="10" t="n">
        <f aca="false">Einstellungen!$B$5+INT((ROW()-9)/24)</f>
        <v>46393</v>
      </c>
      <c r="B10261" s="11" t="n">
        <f aca="false">MOD(ROW()-9,24)</f>
        <v>4</v>
      </c>
      <c r="C10261" s="12"/>
      <c r="D10261" s="13" t="n">
        <f aca="false">IF(B10261&lt;5,Einstellungen!$B$3,Einstellungen!$B$4)</f>
        <v>15.92</v>
      </c>
      <c r="E10261" s="14" t="str">
        <f aca="false">IF(C10261="","",C10261*D10261/100)</f>
        <v/>
      </c>
      <c r="F10261" s="15" t="str">
        <f aca="false">IF(B10261&lt;5,"Go","Standard")</f>
        <v>Go</v>
      </c>
    </row>
    <row r="10262" customFormat="false" ht="15" hidden="false" customHeight="true" outlineLevel="0" collapsed="false">
      <c r="A10262" s="10" t="n">
        <f aca="false">Einstellungen!$B$5+INT((ROW()-9)/24)</f>
        <v>46393</v>
      </c>
      <c r="B10262" s="11" t="n">
        <f aca="false">MOD(ROW()-9,24)</f>
        <v>5</v>
      </c>
      <c r="C10262" s="12"/>
      <c r="D10262" s="13" t="n">
        <f aca="false">IF(B10262&lt;5,Einstellungen!$B$3,Einstellungen!$B$4)</f>
        <v>29.13</v>
      </c>
      <c r="E10262" s="14" t="str">
        <f aca="false">IF(C10262="","",C10262*D10262/100)</f>
        <v/>
      </c>
      <c r="F10262" s="15" t="str">
        <f aca="false">IF(B10262&lt;5,"Go","Standard")</f>
        <v>Standard</v>
      </c>
    </row>
    <row r="10263" customFormat="false" ht="15" hidden="false" customHeight="true" outlineLevel="0" collapsed="false">
      <c r="A10263" s="10" t="n">
        <f aca="false">Einstellungen!$B$5+INT((ROW()-9)/24)</f>
        <v>46393</v>
      </c>
      <c r="B10263" s="11" t="n">
        <f aca="false">MOD(ROW()-9,24)</f>
        <v>6</v>
      </c>
      <c r="C10263" s="12"/>
      <c r="D10263" s="13" t="n">
        <f aca="false">IF(B10263&lt;5,Einstellungen!$B$3,Einstellungen!$B$4)</f>
        <v>29.13</v>
      </c>
      <c r="E10263" s="14" t="str">
        <f aca="false">IF(C10263="","",C10263*D10263/100)</f>
        <v/>
      </c>
      <c r="F10263" s="15" t="str">
        <f aca="false">IF(B10263&lt;5,"Go","Standard")</f>
        <v>Standard</v>
      </c>
    </row>
    <row r="10264" customFormat="false" ht="15" hidden="false" customHeight="true" outlineLevel="0" collapsed="false">
      <c r="A10264" s="10" t="n">
        <f aca="false">Einstellungen!$B$5+INT((ROW()-9)/24)</f>
        <v>46393</v>
      </c>
      <c r="B10264" s="11" t="n">
        <f aca="false">MOD(ROW()-9,24)</f>
        <v>7</v>
      </c>
      <c r="C10264" s="12"/>
      <c r="D10264" s="13" t="n">
        <f aca="false">IF(B10264&lt;5,Einstellungen!$B$3,Einstellungen!$B$4)</f>
        <v>29.13</v>
      </c>
      <c r="E10264" s="14" t="str">
        <f aca="false">IF(C10264="","",C10264*D10264/100)</f>
        <v/>
      </c>
      <c r="F10264" s="15" t="str">
        <f aca="false">IF(B10264&lt;5,"Go","Standard")</f>
        <v>Standard</v>
      </c>
    </row>
    <row r="10265" customFormat="false" ht="15" hidden="false" customHeight="true" outlineLevel="0" collapsed="false">
      <c r="A10265" s="10" t="n">
        <f aca="false">Einstellungen!$B$5+INT((ROW()-9)/24)</f>
        <v>46393</v>
      </c>
      <c r="B10265" s="11" t="n">
        <f aca="false">MOD(ROW()-9,24)</f>
        <v>8</v>
      </c>
      <c r="C10265" s="12"/>
      <c r="D10265" s="13" t="n">
        <f aca="false">IF(B10265&lt;5,Einstellungen!$B$3,Einstellungen!$B$4)</f>
        <v>29.13</v>
      </c>
      <c r="E10265" s="14" t="str">
        <f aca="false">IF(C10265="","",C10265*D10265/100)</f>
        <v/>
      </c>
      <c r="F10265" s="15" t="str">
        <f aca="false">IF(B10265&lt;5,"Go","Standard")</f>
        <v>Standard</v>
      </c>
    </row>
    <row r="10266" customFormat="false" ht="15" hidden="false" customHeight="true" outlineLevel="0" collapsed="false">
      <c r="A10266" s="10" t="n">
        <f aca="false">Einstellungen!$B$5+INT((ROW()-9)/24)</f>
        <v>46393</v>
      </c>
      <c r="B10266" s="11" t="n">
        <f aca="false">MOD(ROW()-9,24)</f>
        <v>9</v>
      </c>
      <c r="C10266" s="12"/>
      <c r="D10266" s="13" t="n">
        <f aca="false">IF(B10266&lt;5,Einstellungen!$B$3,Einstellungen!$B$4)</f>
        <v>29.13</v>
      </c>
      <c r="E10266" s="14" t="str">
        <f aca="false">IF(C10266="","",C10266*D10266/100)</f>
        <v/>
      </c>
      <c r="F10266" s="15" t="str">
        <f aca="false">IF(B10266&lt;5,"Go","Standard")</f>
        <v>Standard</v>
      </c>
    </row>
    <row r="10267" customFormat="false" ht="15" hidden="false" customHeight="true" outlineLevel="0" collapsed="false">
      <c r="A10267" s="10" t="n">
        <f aca="false">Einstellungen!$B$5+INT((ROW()-9)/24)</f>
        <v>46393</v>
      </c>
      <c r="B10267" s="11" t="n">
        <f aca="false">MOD(ROW()-9,24)</f>
        <v>10</v>
      </c>
      <c r="C10267" s="12"/>
      <c r="D10267" s="13" t="n">
        <f aca="false">IF(B10267&lt;5,Einstellungen!$B$3,Einstellungen!$B$4)</f>
        <v>29.13</v>
      </c>
      <c r="E10267" s="14" t="str">
        <f aca="false">IF(C10267="","",C10267*D10267/100)</f>
        <v/>
      </c>
      <c r="F10267" s="15" t="str">
        <f aca="false">IF(B10267&lt;5,"Go","Standard")</f>
        <v>Standard</v>
      </c>
    </row>
    <row r="10268" customFormat="false" ht="15" hidden="false" customHeight="true" outlineLevel="0" collapsed="false">
      <c r="A10268" s="10" t="n">
        <f aca="false">Einstellungen!$B$5+INT((ROW()-9)/24)</f>
        <v>46393</v>
      </c>
      <c r="B10268" s="11" t="n">
        <f aca="false">MOD(ROW()-9,24)</f>
        <v>11</v>
      </c>
      <c r="C10268" s="12"/>
      <c r="D10268" s="13" t="n">
        <f aca="false">IF(B10268&lt;5,Einstellungen!$B$3,Einstellungen!$B$4)</f>
        <v>29.13</v>
      </c>
      <c r="E10268" s="14" t="str">
        <f aca="false">IF(C10268="","",C10268*D10268/100)</f>
        <v/>
      </c>
      <c r="F10268" s="15" t="str">
        <f aca="false">IF(B10268&lt;5,"Go","Standard")</f>
        <v>Standard</v>
      </c>
    </row>
    <row r="10269" customFormat="false" ht="15" hidden="false" customHeight="true" outlineLevel="0" collapsed="false">
      <c r="A10269" s="10" t="n">
        <f aca="false">Einstellungen!$B$5+INT((ROW()-9)/24)</f>
        <v>46393</v>
      </c>
      <c r="B10269" s="11" t="n">
        <f aca="false">MOD(ROW()-9,24)</f>
        <v>12</v>
      </c>
      <c r="C10269" s="12"/>
      <c r="D10269" s="13" t="n">
        <f aca="false">IF(B10269&lt;5,Einstellungen!$B$3,Einstellungen!$B$4)</f>
        <v>29.13</v>
      </c>
      <c r="E10269" s="14" t="str">
        <f aca="false">IF(C10269="","",C10269*D10269/100)</f>
        <v/>
      </c>
      <c r="F10269" s="15" t="str">
        <f aca="false">IF(B10269&lt;5,"Go","Standard")</f>
        <v>Standard</v>
      </c>
    </row>
    <row r="10270" customFormat="false" ht="15" hidden="false" customHeight="true" outlineLevel="0" collapsed="false">
      <c r="A10270" s="10" t="n">
        <f aca="false">Einstellungen!$B$5+INT((ROW()-9)/24)</f>
        <v>46393</v>
      </c>
      <c r="B10270" s="11" t="n">
        <f aca="false">MOD(ROW()-9,24)</f>
        <v>13</v>
      </c>
      <c r="C10270" s="12"/>
      <c r="D10270" s="13" t="n">
        <f aca="false">IF(B10270&lt;5,Einstellungen!$B$3,Einstellungen!$B$4)</f>
        <v>29.13</v>
      </c>
      <c r="E10270" s="14" t="str">
        <f aca="false">IF(C10270="","",C10270*D10270/100)</f>
        <v/>
      </c>
      <c r="F10270" s="15" t="str">
        <f aca="false">IF(B10270&lt;5,"Go","Standard")</f>
        <v>Standard</v>
      </c>
    </row>
    <row r="10271" customFormat="false" ht="15" hidden="false" customHeight="true" outlineLevel="0" collapsed="false">
      <c r="A10271" s="10" t="n">
        <f aca="false">Einstellungen!$B$5+INT((ROW()-9)/24)</f>
        <v>46393</v>
      </c>
      <c r="B10271" s="11" t="n">
        <f aca="false">MOD(ROW()-9,24)</f>
        <v>14</v>
      </c>
      <c r="C10271" s="12"/>
      <c r="D10271" s="13" t="n">
        <f aca="false">IF(B10271&lt;5,Einstellungen!$B$3,Einstellungen!$B$4)</f>
        <v>29.13</v>
      </c>
      <c r="E10271" s="14" t="str">
        <f aca="false">IF(C10271="","",C10271*D10271/100)</f>
        <v/>
      </c>
      <c r="F10271" s="15" t="str">
        <f aca="false">IF(B10271&lt;5,"Go","Standard")</f>
        <v>Standard</v>
      </c>
    </row>
    <row r="10272" customFormat="false" ht="15" hidden="false" customHeight="true" outlineLevel="0" collapsed="false">
      <c r="A10272" s="10" t="n">
        <f aca="false">Einstellungen!$B$5+INT((ROW()-9)/24)</f>
        <v>46393</v>
      </c>
      <c r="B10272" s="11" t="n">
        <f aca="false">MOD(ROW()-9,24)</f>
        <v>15</v>
      </c>
      <c r="C10272" s="12"/>
      <c r="D10272" s="13" t="n">
        <f aca="false">IF(B10272&lt;5,Einstellungen!$B$3,Einstellungen!$B$4)</f>
        <v>29.13</v>
      </c>
      <c r="E10272" s="14" t="str">
        <f aca="false">IF(C10272="","",C10272*D10272/100)</f>
        <v/>
      </c>
      <c r="F10272" s="15" t="str">
        <f aca="false">IF(B10272&lt;5,"Go","Standard")</f>
        <v>Standard</v>
      </c>
    </row>
    <row r="10273" customFormat="false" ht="15" hidden="false" customHeight="true" outlineLevel="0" collapsed="false">
      <c r="A10273" s="10" t="n">
        <f aca="false">Einstellungen!$B$5+INT((ROW()-9)/24)</f>
        <v>46393</v>
      </c>
      <c r="B10273" s="11" t="n">
        <f aca="false">MOD(ROW()-9,24)</f>
        <v>16</v>
      </c>
      <c r="C10273" s="12"/>
      <c r="D10273" s="13" t="n">
        <f aca="false">IF(B10273&lt;5,Einstellungen!$B$3,Einstellungen!$B$4)</f>
        <v>29.13</v>
      </c>
      <c r="E10273" s="14" t="str">
        <f aca="false">IF(C10273="","",C10273*D10273/100)</f>
        <v/>
      </c>
      <c r="F10273" s="15" t="str">
        <f aca="false">IF(B10273&lt;5,"Go","Standard")</f>
        <v>Standard</v>
      </c>
    </row>
    <row r="10274" customFormat="false" ht="15" hidden="false" customHeight="true" outlineLevel="0" collapsed="false">
      <c r="A10274" s="10" t="n">
        <f aca="false">Einstellungen!$B$5+INT((ROW()-9)/24)</f>
        <v>46393</v>
      </c>
      <c r="B10274" s="11" t="n">
        <f aca="false">MOD(ROW()-9,24)</f>
        <v>17</v>
      </c>
      <c r="C10274" s="12"/>
      <c r="D10274" s="13" t="n">
        <f aca="false">IF(B10274&lt;5,Einstellungen!$B$3,Einstellungen!$B$4)</f>
        <v>29.13</v>
      </c>
      <c r="E10274" s="14" t="str">
        <f aca="false">IF(C10274="","",C10274*D10274/100)</f>
        <v/>
      </c>
      <c r="F10274" s="15" t="str">
        <f aca="false">IF(B10274&lt;5,"Go","Standard")</f>
        <v>Standard</v>
      </c>
    </row>
    <row r="10275" customFormat="false" ht="15" hidden="false" customHeight="true" outlineLevel="0" collapsed="false">
      <c r="A10275" s="10" t="n">
        <f aca="false">Einstellungen!$B$5+INT((ROW()-9)/24)</f>
        <v>46393</v>
      </c>
      <c r="B10275" s="11" t="n">
        <f aca="false">MOD(ROW()-9,24)</f>
        <v>18</v>
      </c>
      <c r="C10275" s="12"/>
      <c r="D10275" s="13" t="n">
        <f aca="false">IF(B10275&lt;5,Einstellungen!$B$3,Einstellungen!$B$4)</f>
        <v>29.13</v>
      </c>
      <c r="E10275" s="14" t="str">
        <f aca="false">IF(C10275="","",C10275*D10275/100)</f>
        <v/>
      </c>
      <c r="F10275" s="15" t="str">
        <f aca="false">IF(B10275&lt;5,"Go","Standard")</f>
        <v>Standard</v>
      </c>
    </row>
    <row r="10276" customFormat="false" ht="15" hidden="false" customHeight="true" outlineLevel="0" collapsed="false">
      <c r="A10276" s="10" t="n">
        <f aca="false">Einstellungen!$B$5+INT((ROW()-9)/24)</f>
        <v>46393</v>
      </c>
      <c r="B10276" s="11" t="n">
        <f aca="false">MOD(ROW()-9,24)</f>
        <v>19</v>
      </c>
      <c r="C10276" s="12"/>
      <c r="D10276" s="13" t="n">
        <f aca="false">IF(B10276&lt;5,Einstellungen!$B$3,Einstellungen!$B$4)</f>
        <v>29.13</v>
      </c>
      <c r="E10276" s="14" t="str">
        <f aca="false">IF(C10276="","",C10276*D10276/100)</f>
        <v/>
      </c>
      <c r="F10276" s="15" t="str">
        <f aca="false">IF(B10276&lt;5,"Go","Standard")</f>
        <v>Standard</v>
      </c>
    </row>
    <row r="10277" customFormat="false" ht="15" hidden="false" customHeight="true" outlineLevel="0" collapsed="false">
      <c r="A10277" s="10" t="n">
        <f aca="false">Einstellungen!$B$5+INT((ROW()-9)/24)</f>
        <v>46393</v>
      </c>
      <c r="B10277" s="11" t="n">
        <f aca="false">MOD(ROW()-9,24)</f>
        <v>20</v>
      </c>
      <c r="C10277" s="12"/>
      <c r="D10277" s="13" t="n">
        <f aca="false">IF(B10277&lt;5,Einstellungen!$B$3,Einstellungen!$B$4)</f>
        <v>29.13</v>
      </c>
      <c r="E10277" s="14" t="str">
        <f aca="false">IF(C10277="","",C10277*D10277/100)</f>
        <v/>
      </c>
      <c r="F10277" s="15" t="str">
        <f aca="false">IF(B10277&lt;5,"Go","Standard")</f>
        <v>Standard</v>
      </c>
    </row>
    <row r="10278" customFormat="false" ht="15" hidden="false" customHeight="true" outlineLevel="0" collapsed="false">
      <c r="A10278" s="10" t="n">
        <f aca="false">Einstellungen!$B$5+INT((ROW()-9)/24)</f>
        <v>46393</v>
      </c>
      <c r="B10278" s="11" t="n">
        <f aca="false">MOD(ROW()-9,24)</f>
        <v>21</v>
      </c>
      <c r="C10278" s="12"/>
      <c r="D10278" s="13" t="n">
        <f aca="false">IF(B10278&lt;5,Einstellungen!$B$3,Einstellungen!$B$4)</f>
        <v>29.13</v>
      </c>
      <c r="E10278" s="14" t="str">
        <f aca="false">IF(C10278="","",C10278*D10278/100)</f>
        <v/>
      </c>
      <c r="F10278" s="15" t="str">
        <f aca="false">IF(B10278&lt;5,"Go","Standard")</f>
        <v>Standard</v>
      </c>
    </row>
    <row r="10279" customFormat="false" ht="15" hidden="false" customHeight="true" outlineLevel="0" collapsed="false">
      <c r="A10279" s="10" t="n">
        <f aca="false">Einstellungen!$B$5+INT((ROW()-9)/24)</f>
        <v>46393</v>
      </c>
      <c r="B10279" s="11" t="n">
        <f aca="false">MOD(ROW()-9,24)</f>
        <v>22</v>
      </c>
      <c r="C10279" s="12"/>
      <c r="D10279" s="13" t="n">
        <f aca="false">IF(B10279&lt;5,Einstellungen!$B$3,Einstellungen!$B$4)</f>
        <v>29.13</v>
      </c>
      <c r="E10279" s="14" t="str">
        <f aca="false">IF(C10279="","",C10279*D10279/100)</f>
        <v/>
      </c>
      <c r="F10279" s="15" t="str">
        <f aca="false">IF(B10279&lt;5,"Go","Standard")</f>
        <v>Standard</v>
      </c>
    </row>
    <row r="10280" customFormat="false" ht="15" hidden="false" customHeight="true" outlineLevel="0" collapsed="false">
      <c r="A10280" s="10" t="n">
        <f aca="false">Einstellungen!$B$5+INT((ROW()-9)/24)</f>
        <v>46393</v>
      </c>
      <c r="B10280" s="11" t="n">
        <f aca="false">MOD(ROW()-9,24)</f>
        <v>23</v>
      </c>
      <c r="C10280" s="12"/>
      <c r="D10280" s="13" t="n">
        <f aca="false">IF(B10280&lt;5,Einstellungen!$B$3,Einstellungen!$B$4)</f>
        <v>29.13</v>
      </c>
      <c r="E10280" s="14" t="str">
        <f aca="false">IF(C10280="","",C10280*D10280/100)</f>
        <v/>
      </c>
      <c r="F10280" s="15" t="str">
        <f aca="false">IF(B10280&lt;5,"Go","Standard")</f>
        <v>Standard</v>
      </c>
    </row>
    <row r="10281" customFormat="false" ht="15" hidden="false" customHeight="true" outlineLevel="0" collapsed="false">
      <c r="A10281" s="10" t="n">
        <f aca="false">Einstellungen!$B$5+INT((ROW()-9)/24)</f>
        <v>46394</v>
      </c>
      <c r="B10281" s="11" t="n">
        <f aca="false">MOD(ROW()-9,24)</f>
        <v>0</v>
      </c>
      <c r="C10281" s="12"/>
      <c r="D10281" s="13" t="n">
        <f aca="false">IF(B10281&lt;5,Einstellungen!$B$3,Einstellungen!$B$4)</f>
        <v>15.92</v>
      </c>
      <c r="E10281" s="14" t="str">
        <f aca="false">IF(C10281="","",C10281*D10281/100)</f>
        <v/>
      </c>
      <c r="F10281" s="15" t="str">
        <f aca="false">IF(B10281&lt;5,"Go","Standard")</f>
        <v>Go</v>
      </c>
    </row>
    <row r="10282" customFormat="false" ht="15" hidden="false" customHeight="true" outlineLevel="0" collapsed="false">
      <c r="A10282" s="10" t="n">
        <f aca="false">Einstellungen!$B$5+INT((ROW()-9)/24)</f>
        <v>46394</v>
      </c>
      <c r="B10282" s="11" t="n">
        <f aca="false">MOD(ROW()-9,24)</f>
        <v>1</v>
      </c>
      <c r="C10282" s="12"/>
      <c r="D10282" s="13" t="n">
        <f aca="false">IF(B10282&lt;5,Einstellungen!$B$3,Einstellungen!$B$4)</f>
        <v>15.92</v>
      </c>
      <c r="E10282" s="14" t="str">
        <f aca="false">IF(C10282="","",C10282*D10282/100)</f>
        <v/>
      </c>
      <c r="F10282" s="15" t="str">
        <f aca="false">IF(B10282&lt;5,"Go","Standard")</f>
        <v>Go</v>
      </c>
    </row>
    <row r="10283" customFormat="false" ht="15" hidden="false" customHeight="true" outlineLevel="0" collapsed="false">
      <c r="A10283" s="10" t="n">
        <f aca="false">Einstellungen!$B$5+INT((ROW()-9)/24)</f>
        <v>46394</v>
      </c>
      <c r="B10283" s="11" t="n">
        <f aca="false">MOD(ROW()-9,24)</f>
        <v>2</v>
      </c>
      <c r="C10283" s="12"/>
      <c r="D10283" s="13" t="n">
        <f aca="false">IF(B10283&lt;5,Einstellungen!$B$3,Einstellungen!$B$4)</f>
        <v>15.92</v>
      </c>
      <c r="E10283" s="14" t="str">
        <f aca="false">IF(C10283="","",C10283*D10283/100)</f>
        <v/>
      </c>
      <c r="F10283" s="15" t="str">
        <f aca="false">IF(B10283&lt;5,"Go","Standard")</f>
        <v>Go</v>
      </c>
    </row>
    <row r="10284" customFormat="false" ht="15" hidden="false" customHeight="true" outlineLevel="0" collapsed="false">
      <c r="A10284" s="10" t="n">
        <f aca="false">Einstellungen!$B$5+INT((ROW()-9)/24)</f>
        <v>46394</v>
      </c>
      <c r="B10284" s="11" t="n">
        <f aca="false">MOD(ROW()-9,24)</f>
        <v>3</v>
      </c>
      <c r="C10284" s="12"/>
      <c r="D10284" s="13" t="n">
        <f aca="false">IF(B10284&lt;5,Einstellungen!$B$3,Einstellungen!$B$4)</f>
        <v>15.92</v>
      </c>
      <c r="E10284" s="14" t="str">
        <f aca="false">IF(C10284="","",C10284*D10284/100)</f>
        <v/>
      </c>
      <c r="F10284" s="15" t="str">
        <f aca="false">IF(B10284&lt;5,"Go","Standard")</f>
        <v>Go</v>
      </c>
    </row>
    <row r="10285" customFormat="false" ht="15" hidden="false" customHeight="true" outlineLevel="0" collapsed="false">
      <c r="A10285" s="10" t="n">
        <f aca="false">Einstellungen!$B$5+INT((ROW()-9)/24)</f>
        <v>46394</v>
      </c>
      <c r="B10285" s="11" t="n">
        <f aca="false">MOD(ROW()-9,24)</f>
        <v>4</v>
      </c>
      <c r="C10285" s="12"/>
      <c r="D10285" s="13" t="n">
        <f aca="false">IF(B10285&lt;5,Einstellungen!$B$3,Einstellungen!$B$4)</f>
        <v>15.92</v>
      </c>
      <c r="E10285" s="14" t="str">
        <f aca="false">IF(C10285="","",C10285*D10285/100)</f>
        <v/>
      </c>
      <c r="F10285" s="15" t="str">
        <f aca="false">IF(B10285&lt;5,"Go","Standard")</f>
        <v>Go</v>
      </c>
    </row>
    <row r="10286" customFormat="false" ht="15" hidden="false" customHeight="true" outlineLevel="0" collapsed="false">
      <c r="A10286" s="10" t="n">
        <f aca="false">Einstellungen!$B$5+INT((ROW()-9)/24)</f>
        <v>46394</v>
      </c>
      <c r="B10286" s="11" t="n">
        <f aca="false">MOD(ROW()-9,24)</f>
        <v>5</v>
      </c>
      <c r="C10286" s="12"/>
      <c r="D10286" s="13" t="n">
        <f aca="false">IF(B10286&lt;5,Einstellungen!$B$3,Einstellungen!$B$4)</f>
        <v>29.13</v>
      </c>
      <c r="E10286" s="14" t="str">
        <f aca="false">IF(C10286="","",C10286*D10286/100)</f>
        <v/>
      </c>
      <c r="F10286" s="15" t="str">
        <f aca="false">IF(B10286&lt;5,"Go","Standard")</f>
        <v>Standard</v>
      </c>
    </row>
    <row r="10287" customFormat="false" ht="15" hidden="false" customHeight="true" outlineLevel="0" collapsed="false">
      <c r="A10287" s="10" t="n">
        <f aca="false">Einstellungen!$B$5+INT((ROW()-9)/24)</f>
        <v>46394</v>
      </c>
      <c r="B10287" s="11" t="n">
        <f aca="false">MOD(ROW()-9,24)</f>
        <v>6</v>
      </c>
      <c r="C10287" s="12"/>
      <c r="D10287" s="13" t="n">
        <f aca="false">IF(B10287&lt;5,Einstellungen!$B$3,Einstellungen!$B$4)</f>
        <v>29.13</v>
      </c>
      <c r="E10287" s="14" t="str">
        <f aca="false">IF(C10287="","",C10287*D10287/100)</f>
        <v/>
      </c>
      <c r="F10287" s="15" t="str">
        <f aca="false">IF(B10287&lt;5,"Go","Standard")</f>
        <v>Standard</v>
      </c>
    </row>
    <row r="10288" customFormat="false" ht="15" hidden="false" customHeight="true" outlineLevel="0" collapsed="false">
      <c r="A10288" s="10" t="n">
        <f aca="false">Einstellungen!$B$5+INT((ROW()-9)/24)</f>
        <v>46394</v>
      </c>
      <c r="B10288" s="11" t="n">
        <f aca="false">MOD(ROW()-9,24)</f>
        <v>7</v>
      </c>
      <c r="C10288" s="12"/>
      <c r="D10288" s="13" t="n">
        <f aca="false">IF(B10288&lt;5,Einstellungen!$B$3,Einstellungen!$B$4)</f>
        <v>29.13</v>
      </c>
      <c r="E10288" s="14" t="str">
        <f aca="false">IF(C10288="","",C10288*D10288/100)</f>
        <v/>
      </c>
      <c r="F10288" s="15" t="str">
        <f aca="false">IF(B10288&lt;5,"Go","Standard")</f>
        <v>Standard</v>
      </c>
    </row>
    <row r="10289" customFormat="false" ht="15" hidden="false" customHeight="true" outlineLevel="0" collapsed="false">
      <c r="A10289" s="10" t="n">
        <f aca="false">Einstellungen!$B$5+INT((ROW()-9)/24)</f>
        <v>46394</v>
      </c>
      <c r="B10289" s="11" t="n">
        <f aca="false">MOD(ROW()-9,24)</f>
        <v>8</v>
      </c>
      <c r="C10289" s="12"/>
      <c r="D10289" s="13" t="n">
        <f aca="false">IF(B10289&lt;5,Einstellungen!$B$3,Einstellungen!$B$4)</f>
        <v>29.13</v>
      </c>
      <c r="E10289" s="14" t="str">
        <f aca="false">IF(C10289="","",C10289*D10289/100)</f>
        <v/>
      </c>
      <c r="F10289" s="15" t="str">
        <f aca="false">IF(B10289&lt;5,"Go","Standard")</f>
        <v>Standard</v>
      </c>
    </row>
    <row r="10290" customFormat="false" ht="15" hidden="false" customHeight="true" outlineLevel="0" collapsed="false">
      <c r="A10290" s="10" t="n">
        <f aca="false">Einstellungen!$B$5+INT((ROW()-9)/24)</f>
        <v>46394</v>
      </c>
      <c r="B10290" s="11" t="n">
        <f aca="false">MOD(ROW()-9,24)</f>
        <v>9</v>
      </c>
      <c r="C10290" s="12"/>
      <c r="D10290" s="13" t="n">
        <f aca="false">IF(B10290&lt;5,Einstellungen!$B$3,Einstellungen!$B$4)</f>
        <v>29.13</v>
      </c>
      <c r="E10290" s="14" t="str">
        <f aca="false">IF(C10290="","",C10290*D10290/100)</f>
        <v/>
      </c>
      <c r="F10290" s="15" t="str">
        <f aca="false">IF(B10290&lt;5,"Go","Standard")</f>
        <v>Standard</v>
      </c>
    </row>
    <row r="10291" customFormat="false" ht="15" hidden="false" customHeight="true" outlineLevel="0" collapsed="false">
      <c r="A10291" s="10" t="n">
        <f aca="false">Einstellungen!$B$5+INT((ROW()-9)/24)</f>
        <v>46394</v>
      </c>
      <c r="B10291" s="11" t="n">
        <f aca="false">MOD(ROW()-9,24)</f>
        <v>10</v>
      </c>
      <c r="C10291" s="12"/>
      <c r="D10291" s="13" t="n">
        <f aca="false">IF(B10291&lt;5,Einstellungen!$B$3,Einstellungen!$B$4)</f>
        <v>29.13</v>
      </c>
      <c r="E10291" s="14" t="str">
        <f aca="false">IF(C10291="","",C10291*D10291/100)</f>
        <v/>
      </c>
      <c r="F10291" s="15" t="str">
        <f aca="false">IF(B10291&lt;5,"Go","Standard")</f>
        <v>Standard</v>
      </c>
    </row>
    <row r="10292" customFormat="false" ht="15" hidden="false" customHeight="true" outlineLevel="0" collapsed="false">
      <c r="A10292" s="10" t="n">
        <f aca="false">Einstellungen!$B$5+INT((ROW()-9)/24)</f>
        <v>46394</v>
      </c>
      <c r="B10292" s="11" t="n">
        <f aca="false">MOD(ROW()-9,24)</f>
        <v>11</v>
      </c>
      <c r="C10292" s="12"/>
      <c r="D10292" s="13" t="n">
        <f aca="false">IF(B10292&lt;5,Einstellungen!$B$3,Einstellungen!$B$4)</f>
        <v>29.13</v>
      </c>
      <c r="E10292" s="14" t="str">
        <f aca="false">IF(C10292="","",C10292*D10292/100)</f>
        <v/>
      </c>
      <c r="F10292" s="15" t="str">
        <f aca="false">IF(B10292&lt;5,"Go","Standard")</f>
        <v>Standard</v>
      </c>
    </row>
    <row r="10293" customFormat="false" ht="15" hidden="false" customHeight="true" outlineLevel="0" collapsed="false">
      <c r="A10293" s="10" t="n">
        <f aca="false">Einstellungen!$B$5+INT((ROW()-9)/24)</f>
        <v>46394</v>
      </c>
      <c r="B10293" s="11" t="n">
        <f aca="false">MOD(ROW()-9,24)</f>
        <v>12</v>
      </c>
      <c r="C10293" s="12"/>
      <c r="D10293" s="13" t="n">
        <f aca="false">IF(B10293&lt;5,Einstellungen!$B$3,Einstellungen!$B$4)</f>
        <v>29.13</v>
      </c>
      <c r="E10293" s="14" t="str">
        <f aca="false">IF(C10293="","",C10293*D10293/100)</f>
        <v/>
      </c>
      <c r="F10293" s="15" t="str">
        <f aca="false">IF(B10293&lt;5,"Go","Standard")</f>
        <v>Standard</v>
      </c>
    </row>
    <row r="10294" customFormat="false" ht="15" hidden="false" customHeight="true" outlineLevel="0" collapsed="false">
      <c r="A10294" s="10" t="n">
        <f aca="false">Einstellungen!$B$5+INT((ROW()-9)/24)</f>
        <v>46394</v>
      </c>
      <c r="B10294" s="11" t="n">
        <f aca="false">MOD(ROW()-9,24)</f>
        <v>13</v>
      </c>
      <c r="C10294" s="12"/>
      <c r="D10294" s="13" t="n">
        <f aca="false">IF(B10294&lt;5,Einstellungen!$B$3,Einstellungen!$B$4)</f>
        <v>29.13</v>
      </c>
      <c r="E10294" s="14" t="str">
        <f aca="false">IF(C10294="","",C10294*D10294/100)</f>
        <v/>
      </c>
      <c r="F10294" s="15" t="str">
        <f aca="false">IF(B10294&lt;5,"Go","Standard")</f>
        <v>Standard</v>
      </c>
    </row>
    <row r="10295" customFormat="false" ht="15" hidden="false" customHeight="true" outlineLevel="0" collapsed="false">
      <c r="A10295" s="10" t="n">
        <f aca="false">Einstellungen!$B$5+INT((ROW()-9)/24)</f>
        <v>46394</v>
      </c>
      <c r="B10295" s="11" t="n">
        <f aca="false">MOD(ROW()-9,24)</f>
        <v>14</v>
      </c>
      <c r="C10295" s="12"/>
      <c r="D10295" s="13" t="n">
        <f aca="false">IF(B10295&lt;5,Einstellungen!$B$3,Einstellungen!$B$4)</f>
        <v>29.13</v>
      </c>
      <c r="E10295" s="14" t="str">
        <f aca="false">IF(C10295="","",C10295*D10295/100)</f>
        <v/>
      </c>
      <c r="F10295" s="15" t="str">
        <f aca="false">IF(B10295&lt;5,"Go","Standard")</f>
        <v>Standard</v>
      </c>
    </row>
    <row r="10296" customFormat="false" ht="15" hidden="false" customHeight="true" outlineLevel="0" collapsed="false">
      <c r="A10296" s="10" t="n">
        <f aca="false">Einstellungen!$B$5+INT((ROW()-9)/24)</f>
        <v>46394</v>
      </c>
      <c r="B10296" s="11" t="n">
        <f aca="false">MOD(ROW()-9,24)</f>
        <v>15</v>
      </c>
      <c r="C10296" s="12"/>
      <c r="D10296" s="13" t="n">
        <f aca="false">IF(B10296&lt;5,Einstellungen!$B$3,Einstellungen!$B$4)</f>
        <v>29.13</v>
      </c>
      <c r="E10296" s="14" t="str">
        <f aca="false">IF(C10296="","",C10296*D10296/100)</f>
        <v/>
      </c>
      <c r="F10296" s="15" t="str">
        <f aca="false">IF(B10296&lt;5,"Go","Standard")</f>
        <v>Standard</v>
      </c>
    </row>
    <row r="10297" customFormat="false" ht="15" hidden="false" customHeight="true" outlineLevel="0" collapsed="false">
      <c r="A10297" s="10" t="n">
        <f aca="false">Einstellungen!$B$5+INT((ROW()-9)/24)</f>
        <v>46394</v>
      </c>
      <c r="B10297" s="11" t="n">
        <f aca="false">MOD(ROW()-9,24)</f>
        <v>16</v>
      </c>
      <c r="C10297" s="12"/>
      <c r="D10297" s="13" t="n">
        <f aca="false">IF(B10297&lt;5,Einstellungen!$B$3,Einstellungen!$B$4)</f>
        <v>29.13</v>
      </c>
      <c r="E10297" s="14" t="str">
        <f aca="false">IF(C10297="","",C10297*D10297/100)</f>
        <v/>
      </c>
      <c r="F10297" s="15" t="str">
        <f aca="false">IF(B10297&lt;5,"Go","Standard")</f>
        <v>Standard</v>
      </c>
    </row>
    <row r="10298" customFormat="false" ht="15" hidden="false" customHeight="true" outlineLevel="0" collapsed="false">
      <c r="A10298" s="10" t="n">
        <f aca="false">Einstellungen!$B$5+INT((ROW()-9)/24)</f>
        <v>46394</v>
      </c>
      <c r="B10298" s="11" t="n">
        <f aca="false">MOD(ROW()-9,24)</f>
        <v>17</v>
      </c>
      <c r="C10298" s="12"/>
      <c r="D10298" s="13" t="n">
        <f aca="false">IF(B10298&lt;5,Einstellungen!$B$3,Einstellungen!$B$4)</f>
        <v>29.13</v>
      </c>
      <c r="E10298" s="14" t="str">
        <f aca="false">IF(C10298="","",C10298*D10298/100)</f>
        <v/>
      </c>
      <c r="F10298" s="15" t="str">
        <f aca="false">IF(B10298&lt;5,"Go","Standard")</f>
        <v>Standard</v>
      </c>
    </row>
    <row r="10299" customFormat="false" ht="15" hidden="false" customHeight="true" outlineLevel="0" collapsed="false">
      <c r="A10299" s="10" t="n">
        <f aca="false">Einstellungen!$B$5+INT((ROW()-9)/24)</f>
        <v>46394</v>
      </c>
      <c r="B10299" s="11" t="n">
        <f aca="false">MOD(ROW()-9,24)</f>
        <v>18</v>
      </c>
      <c r="C10299" s="12"/>
      <c r="D10299" s="13" t="n">
        <f aca="false">IF(B10299&lt;5,Einstellungen!$B$3,Einstellungen!$B$4)</f>
        <v>29.13</v>
      </c>
      <c r="E10299" s="14" t="str">
        <f aca="false">IF(C10299="","",C10299*D10299/100)</f>
        <v/>
      </c>
      <c r="F10299" s="15" t="str">
        <f aca="false">IF(B10299&lt;5,"Go","Standard")</f>
        <v>Standard</v>
      </c>
    </row>
    <row r="10300" customFormat="false" ht="15" hidden="false" customHeight="true" outlineLevel="0" collapsed="false">
      <c r="A10300" s="10" t="n">
        <f aca="false">Einstellungen!$B$5+INT((ROW()-9)/24)</f>
        <v>46394</v>
      </c>
      <c r="B10300" s="11" t="n">
        <f aca="false">MOD(ROW()-9,24)</f>
        <v>19</v>
      </c>
      <c r="C10300" s="12"/>
      <c r="D10300" s="13" t="n">
        <f aca="false">IF(B10300&lt;5,Einstellungen!$B$3,Einstellungen!$B$4)</f>
        <v>29.13</v>
      </c>
      <c r="E10300" s="14" t="str">
        <f aca="false">IF(C10300="","",C10300*D10300/100)</f>
        <v/>
      </c>
      <c r="F10300" s="15" t="str">
        <f aca="false">IF(B10300&lt;5,"Go","Standard")</f>
        <v>Standard</v>
      </c>
    </row>
    <row r="10301" customFormat="false" ht="15" hidden="false" customHeight="true" outlineLevel="0" collapsed="false">
      <c r="A10301" s="10" t="n">
        <f aca="false">Einstellungen!$B$5+INT((ROW()-9)/24)</f>
        <v>46394</v>
      </c>
      <c r="B10301" s="11" t="n">
        <f aca="false">MOD(ROW()-9,24)</f>
        <v>20</v>
      </c>
      <c r="C10301" s="12"/>
      <c r="D10301" s="13" t="n">
        <f aca="false">IF(B10301&lt;5,Einstellungen!$B$3,Einstellungen!$B$4)</f>
        <v>29.13</v>
      </c>
      <c r="E10301" s="14" t="str">
        <f aca="false">IF(C10301="","",C10301*D10301/100)</f>
        <v/>
      </c>
      <c r="F10301" s="15" t="str">
        <f aca="false">IF(B10301&lt;5,"Go","Standard")</f>
        <v>Standard</v>
      </c>
    </row>
    <row r="10302" customFormat="false" ht="15" hidden="false" customHeight="true" outlineLevel="0" collapsed="false">
      <c r="A10302" s="10" t="n">
        <f aca="false">Einstellungen!$B$5+INT((ROW()-9)/24)</f>
        <v>46394</v>
      </c>
      <c r="B10302" s="11" t="n">
        <f aca="false">MOD(ROW()-9,24)</f>
        <v>21</v>
      </c>
      <c r="C10302" s="12"/>
      <c r="D10302" s="13" t="n">
        <f aca="false">IF(B10302&lt;5,Einstellungen!$B$3,Einstellungen!$B$4)</f>
        <v>29.13</v>
      </c>
      <c r="E10302" s="14" t="str">
        <f aca="false">IF(C10302="","",C10302*D10302/100)</f>
        <v/>
      </c>
      <c r="F10302" s="15" t="str">
        <f aca="false">IF(B10302&lt;5,"Go","Standard")</f>
        <v>Standard</v>
      </c>
    </row>
    <row r="10303" customFormat="false" ht="15" hidden="false" customHeight="true" outlineLevel="0" collapsed="false">
      <c r="A10303" s="10" t="n">
        <f aca="false">Einstellungen!$B$5+INT((ROW()-9)/24)</f>
        <v>46394</v>
      </c>
      <c r="B10303" s="11" t="n">
        <f aca="false">MOD(ROW()-9,24)</f>
        <v>22</v>
      </c>
      <c r="C10303" s="12"/>
      <c r="D10303" s="13" t="n">
        <f aca="false">IF(B10303&lt;5,Einstellungen!$B$3,Einstellungen!$B$4)</f>
        <v>29.13</v>
      </c>
      <c r="E10303" s="14" t="str">
        <f aca="false">IF(C10303="","",C10303*D10303/100)</f>
        <v/>
      </c>
      <c r="F10303" s="15" t="str">
        <f aca="false">IF(B10303&lt;5,"Go","Standard")</f>
        <v>Standard</v>
      </c>
    </row>
    <row r="10304" customFormat="false" ht="15" hidden="false" customHeight="true" outlineLevel="0" collapsed="false">
      <c r="A10304" s="10" t="n">
        <f aca="false">Einstellungen!$B$5+INT((ROW()-9)/24)</f>
        <v>46394</v>
      </c>
      <c r="B10304" s="11" t="n">
        <f aca="false">MOD(ROW()-9,24)</f>
        <v>23</v>
      </c>
      <c r="C10304" s="12"/>
      <c r="D10304" s="13" t="n">
        <f aca="false">IF(B10304&lt;5,Einstellungen!$B$3,Einstellungen!$B$4)</f>
        <v>29.13</v>
      </c>
      <c r="E10304" s="14" t="str">
        <f aca="false">IF(C10304="","",C10304*D10304/100)</f>
        <v/>
      </c>
      <c r="F10304" s="15" t="str">
        <f aca="false">IF(B10304&lt;5,"Go","Standard")</f>
        <v>Standard</v>
      </c>
    </row>
    <row r="10305" customFormat="false" ht="15" hidden="false" customHeight="true" outlineLevel="0" collapsed="false">
      <c r="A10305" s="10" t="n">
        <f aca="false">Einstellungen!$B$5+INT((ROW()-9)/24)</f>
        <v>46395</v>
      </c>
      <c r="B10305" s="11" t="n">
        <f aca="false">MOD(ROW()-9,24)</f>
        <v>0</v>
      </c>
      <c r="C10305" s="12"/>
      <c r="D10305" s="13" t="n">
        <f aca="false">IF(B10305&lt;5,Einstellungen!$B$3,Einstellungen!$B$4)</f>
        <v>15.92</v>
      </c>
      <c r="E10305" s="14" t="str">
        <f aca="false">IF(C10305="","",C10305*D10305/100)</f>
        <v/>
      </c>
      <c r="F10305" s="15" t="str">
        <f aca="false">IF(B10305&lt;5,"Go","Standard")</f>
        <v>Go</v>
      </c>
    </row>
    <row r="10306" customFormat="false" ht="15" hidden="false" customHeight="true" outlineLevel="0" collapsed="false">
      <c r="A10306" s="10" t="n">
        <f aca="false">Einstellungen!$B$5+INT((ROW()-9)/24)</f>
        <v>46395</v>
      </c>
      <c r="B10306" s="11" t="n">
        <f aca="false">MOD(ROW()-9,24)</f>
        <v>1</v>
      </c>
      <c r="C10306" s="12"/>
      <c r="D10306" s="13" t="n">
        <f aca="false">IF(B10306&lt;5,Einstellungen!$B$3,Einstellungen!$B$4)</f>
        <v>15.92</v>
      </c>
      <c r="E10306" s="14" t="str">
        <f aca="false">IF(C10306="","",C10306*D10306/100)</f>
        <v/>
      </c>
      <c r="F10306" s="15" t="str">
        <f aca="false">IF(B10306&lt;5,"Go","Standard")</f>
        <v>Go</v>
      </c>
    </row>
    <row r="10307" customFormat="false" ht="15" hidden="false" customHeight="true" outlineLevel="0" collapsed="false">
      <c r="A10307" s="10" t="n">
        <f aca="false">Einstellungen!$B$5+INT((ROW()-9)/24)</f>
        <v>46395</v>
      </c>
      <c r="B10307" s="11" t="n">
        <f aca="false">MOD(ROW()-9,24)</f>
        <v>2</v>
      </c>
      <c r="C10307" s="12"/>
      <c r="D10307" s="13" t="n">
        <f aca="false">IF(B10307&lt;5,Einstellungen!$B$3,Einstellungen!$B$4)</f>
        <v>15.92</v>
      </c>
      <c r="E10307" s="14" t="str">
        <f aca="false">IF(C10307="","",C10307*D10307/100)</f>
        <v/>
      </c>
      <c r="F10307" s="15" t="str">
        <f aca="false">IF(B10307&lt;5,"Go","Standard")</f>
        <v>Go</v>
      </c>
    </row>
    <row r="10308" customFormat="false" ht="15" hidden="false" customHeight="true" outlineLevel="0" collapsed="false">
      <c r="A10308" s="10" t="n">
        <f aca="false">Einstellungen!$B$5+INT((ROW()-9)/24)</f>
        <v>46395</v>
      </c>
      <c r="B10308" s="11" t="n">
        <f aca="false">MOD(ROW()-9,24)</f>
        <v>3</v>
      </c>
      <c r="C10308" s="12"/>
      <c r="D10308" s="13" t="n">
        <f aca="false">IF(B10308&lt;5,Einstellungen!$B$3,Einstellungen!$B$4)</f>
        <v>15.92</v>
      </c>
      <c r="E10308" s="14" t="str">
        <f aca="false">IF(C10308="","",C10308*D10308/100)</f>
        <v/>
      </c>
      <c r="F10308" s="15" t="str">
        <f aca="false">IF(B10308&lt;5,"Go","Standard")</f>
        <v>Go</v>
      </c>
    </row>
    <row r="10309" customFormat="false" ht="15" hidden="false" customHeight="true" outlineLevel="0" collapsed="false">
      <c r="A10309" s="10" t="n">
        <f aca="false">Einstellungen!$B$5+INT((ROW()-9)/24)</f>
        <v>46395</v>
      </c>
      <c r="B10309" s="11" t="n">
        <f aca="false">MOD(ROW()-9,24)</f>
        <v>4</v>
      </c>
      <c r="C10309" s="12"/>
      <c r="D10309" s="13" t="n">
        <f aca="false">IF(B10309&lt;5,Einstellungen!$B$3,Einstellungen!$B$4)</f>
        <v>15.92</v>
      </c>
      <c r="E10309" s="14" t="str">
        <f aca="false">IF(C10309="","",C10309*D10309/100)</f>
        <v/>
      </c>
      <c r="F10309" s="15" t="str">
        <f aca="false">IF(B10309&lt;5,"Go","Standard")</f>
        <v>Go</v>
      </c>
    </row>
    <row r="10310" customFormat="false" ht="15" hidden="false" customHeight="true" outlineLevel="0" collapsed="false">
      <c r="A10310" s="10" t="n">
        <f aca="false">Einstellungen!$B$5+INT((ROW()-9)/24)</f>
        <v>46395</v>
      </c>
      <c r="B10310" s="11" t="n">
        <f aca="false">MOD(ROW()-9,24)</f>
        <v>5</v>
      </c>
      <c r="C10310" s="12"/>
      <c r="D10310" s="13" t="n">
        <f aca="false">IF(B10310&lt;5,Einstellungen!$B$3,Einstellungen!$B$4)</f>
        <v>29.13</v>
      </c>
      <c r="E10310" s="14" t="str">
        <f aca="false">IF(C10310="","",C10310*D10310/100)</f>
        <v/>
      </c>
      <c r="F10310" s="15" t="str">
        <f aca="false">IF(B10310&lt;5,"Go","Standard")</f>
        <v>Standard</v>
      </c>
    </row>
    <row r="10311" customFormat="false" ht="15" hidden="false" customHeight="true" outlineLevel="0" collapsed="false">
      <c r="A10311" s="10" t="n">
        <f aca="false">Einstellungen!$B$5+INT((ROW()-9)/24)</f>
        <v>46395</v>
      </c>
      <c r="B10311" s="11" t="n">
        <f aca="false">MOD(ROW()-9,24)</f>
        <v>6</v>
      </c>
      <c r="C10311" s="12"/>
      <c r="D10311" s="13" t="n">
        <f aca="false">IF(B10311&lt;5,Einstellungen!$B$3,Einstellungen!$B$4)</f>
        <v>29.13</v>
      </c>
      <c r="E10311" s="14" t="str">
        <f aca="false">IF(C10311="","",C10311*D10311/100)</f>
        <v/>
      </c>
      <c r="F10311" s="15" t="str">
        <f aca="false">IF(B10311&lt;5,"Go","Standard")</f>
        <v>Standard</v>
      </c>
    </row>
    <row r="10312" customFormat="false" ht="15" hidden="false" customHeight="true" outlineLevel="0" collapsed="false">
      <c r="A10312" s="10" t="n">
        <f aca="false">Einstellungen!$B$5+INT((ROW()-9)/24)</f>
        <v>46395</v>
      </c>
      <c r="B10312" s="11" t="n">
        <f aca="false">MOD(ROW()-9,24)</f>
        <v>7</v>
      </c>
      <c r="C10312" s="12"/>
      <c r="D10312" s="13" t="n">
        <f aca="false">IF(B10312&lt;5,Einstellungen!$B$3,Einstellungen!$B$4)</f>
        <v>29.13</v>
      </c>
      <c r="E10312" s="14" t="str">
        <f aca="false">IF(C10312="","",C10312*D10312/100)</f>
        <v/>
      </c>
      <c r="F10312" s="15" t="str">
        <f aca="false">IF(B10312&lt;5,"Go","Standard")</f>
        <v>Standard</v>
      </c>
    </row>
    <row r="10313" customFormat="false" ht="15" hidden="false" customHeight="true" outlineLevel="0" collapsed="false">
      <c r="A10313" s="10" t="n">
        <f aca="false">Einstellungen!$B$5+INT((ROW()-9)/24)</f>
        <v>46395</v>
      </c>
      <c r="B10313" s="11" t="n">
        <f aca="false">MOD(ROW()-9,24)</f>
        <v>8</v>
      </c>
      <c r="C10313" s="12"/>
      <c r="D10313" s="13" t="n">
        <f aca="false">IF(B10313&lt;5,Einstellungen!$B$3,Einstellungen!$B$4)</f>
        <v>29.13</v>
      </c>
      <c r="E10313" s="14" t="str">
        <f aca="false">IF(C10313="","",C10313*D10313/100)</f>
        <v/>
      </c>
      <c r="F10313" s="15" t="str">
        <f aca="false">IF(B10313&lt;5,"Go","Standard")</f>
        <v>Standard</v>
      </c>
    </row>
    <row r="10314" customFormat="false" ht="15" hidden="false" customHeight="true" outlineLevel="0" collapsed="false">
      <c r="A10314" s="10" t="n">
        <f aca="false">Einstellungen!$B$5+INT((ROW()-9)/24)</f>
        <v>46395</v>
      </c>
      <c r="B10314" s="11" t="n">
        <f aca="false">MOD(ROW()-9,24)</f>
        <v>9</v>
      </c>
      <c r="C10314" s="12"/>
      <c r="D10314" s="13" t="n">
        <f aca="false">IF(B10314&lt;5,Einstellungen!$B$3,Einstellungen!$B$4)</f>
        <v>29.13</v>
      </c>
      <c r="E10314" s="14" t="str">
        <f aca="false">IF(C10314="","",C10314*D10314/100)</f>
        <v/>
      </c>
      <c r="F10314" s="15" t="str">
        <f aca="false">IF(B10314&lt;5,"Go","Standard")</f>
        <v>Standard</v>
      </c>
    </row>
    <row r="10315" customFormat="false" ht="15" hidden="false" customHeight="true" outlineLevel="0" collapsed="false">
      <c r="A10315" s="10" t="n">
        <f aca="false">Einstellungen!$B$5+INT((ROW()-9)/24)</f>
        <v>46395</v>
      </c>
      <c r="B10315" s="11" t="n">
        <f aca="false">MOD(ROW()-9,24)</f>
        <v>10</v>
      </c>
      <c r="C10315" s="12"/>
      <c r="D10315" s="13" t="n">
        <f aca="false">IF(B10315&lt;5,Einstellungen!$B$3,Einstellungen!$B$4)</f>
        <v>29.13</v>
      </c>
      <c r="E10315" s="14" t="str">
        <f aca="false">IF(C10315="","",C10315*D10315/100)</f>
        <v/>
      </c>
      <c r="F10315" s="15" t="str">
        <f aca="false">IF(B10315&lt;5,"Go","Standard")</f>
        <v>Standard</v>
      </c>
    </row>
    <row r="10316" customFormat="false" ht="15" hidden="false" customHeight="true" outlineLevel="0" collapsed="false">
      <c r="A10316" s="10" t="n">
        <f aca="false">Einstellungen!$B$5+INT((ROW()-9)/24)</f>
        <v>46395</v>
      </c>
      <c r="B10316" s="11" t="n">
        <f aca="false">MOD(ROW()-9,24)</f>
        <v>11</v>
      </c>
      <c r="C10316" s="12"/>
      <c r="D10316" s="13" t="n">
        <f aca="false">IF(B10316&lt;5,Einstellungen!$B$3,Einstellungen!$B$4)</f>
        <v>29.13</v>
      </c>
      <c r="E10316" s="14" t="str">
        <f aca="false">IF(C10316="","",C10316*D10316/100)</f>
        <v/>
      </c>
      <c r="F10316" s="15" t="str">
        <f aca="false">IF(B10316&lt;5,"Go","Standard")</f>
        <v>Standard</v>
      </c>
    </row>
    <row r="10317" customFormat="false" ht="15" hidden="false" customHeight="true" outlineLevel="0" collapsed="false">
      <c r="A10317" s="10" t="n">
        <f aca="false">Einstellungen!$B$5+INT((ROW()-9)/24)</f>
        <v>46395</v>
      </c>
      <c r="B10317" s="11" t="n">
        <f aca="false">MOD(ROW()-9,24)</f>
        <v>12</v>
      </c>
      <c r="C10317" s="12"/>
      <c r="D10317" s="13" t="n">
        <f aca="false">IF(B10317&lt;5,Einstellungen!$B$3,Einstellungen!$B$4)</f>
        <v>29.13</v>
      </c>
      <c r="E10317" s="14" t="str">
        <f aca="false">IF(C10317="","",C10317*D10317/100)</f>
        <v/>
      </c>
      <c r="F10317" s="15" t="str">
        <f aca="false">IF(B10317&lt;5,"Go","Standard")</f>
        <v>Standard</v>
      </c>
    </row>
    <row r="10318" customFormat="false" ht="15" hidden="false" customHeight="true" outlineLevel="0" collapsed="false">
      <c r="A10318" s="10" t="n">
        <f aca="false">Einstellungen!$B$5+INT((ROW()-9)/24)</f>
        <v>46395</v>
      </c>
      <c r="B10318" s="11" t="n">
        <f aca="false">MOD(ROW()-9,24)</f>
        <v>13</v>
      </c>
      <c r="C10318" s="12"/>
      <c r="D10318" s="13" t="n">
        <f aca="false">IF(B10318&lt;5,Einstellungen!$B$3,Einstellungen!$B$4)</f>
        <v>29.13</v>
      </c>
      <c r="E10318" s="14" t="str">
        <f aca="false">IF(C10318="","",C10318*D10318/100)</f>
        <v/>
      </c>
      <c r="F10318" s="15" t="str">
        <f aca="false">IF(B10318&lt;5,"Go","Standard")</f>
        <v>Standard</v>
      </c>
    </row>
    <row r="10319" customFormat="false" ht="15" hidden="false" customHeight="true" outlineLevel="0" collapsed="false">
      <c r="A10319" s="10" t="n">
        <f aca="false">Einstellungen!$B$5+INT((ROW()-9)/24)</f>
        <v>46395</v>
      </c>
      <c r="B10319" s="11" t="n">
        <f aca="false">MOD(ROW()-9,24)</f>
        <v>14</v>
      </c>
      <c r="C10319" s="12"/>
      <c r="D10319" s="13" t="n">
        <f aca="false">IF(B10319&lt;5,Einstellungen!$B$3,Einstellungen!$B$4)</f>
        <v>29.13</v>
      </c>
      <c r="E10319" s="14" t="str">
        <f aca="false">IF(C10319="","",C10319*D10319/100)</f>
        <v/>
      </c>
      <c r="F10319" s="15" t="str">
        <f aca="false">IF(B10319&lt;5,"Go","Standard")</f>
        <v>Standard</v>
      </c>
    </row>
    <row r="10320" customFormat="false" ht="15" hidden="false" customHeight="true" outlineLevel="0" collapsed="false">
      <c r="A10320" s="10" t="n">
        <f aca="false">Einstellungen!$B$5+INT((ROW()-9)/24)</f>
        <v>46395</v>
      </c>
      <c r="B10320" s="11" t="n">
        <f aca="false">MOD(ROW()-9,24)</f>
        <v>15</v>
      </c>
      <c r="C10320" s="12"/>
      <c r="D10320" s="13" t="n">
        <f aca="false">IF(B10320&lt;5,Einstellungen!$B$3,Einstellungen!$B$4)</f>
        <v>29.13</v>
      </c>
      <c r="E10320" s="14" t="str">
        <f aca="false">IF(C10320="","",C10320*D10320/100)</f>
        <v/>
      </c>
      <c r="F10320" s="15" t="str">
        <f aca="false">IF(B10320&lt;5,"Go","Standard")</f>
        <v>Standard</v>
      </c>
    </row>
    <row r="10321" customFormat="false" ht="15" hidden="false" customHeight="true" outlineLevel="0" collapsed="false">
      <c r="A10321" s="10" t="n">
        <f aca="false">Einstellungen!$B$5+INT((ROW()-9)/24)</f>
        <v>46395</v>
      </c>
      <c r="B10321" s="11" t="n">
        <f aca="false">MOD(ROW()-9,24)</f>
        <v>16</v>
      </c>
      <c r="C10321" s="12"/>
      <c r="D10321" s="13" t="n">
        <f aca="false">IF(B10321&lt;5,Einstellungen!$B$3,Einstellungen!$B$4)</f>
        <v>29.13</v>
      </c>
      <c r="E10321" s="14" t="str">
        <f aca="false">IF(C10321="","",C10321*D10321/100)</f>
        <v/>
      </c>
      <c r="F10321" s="15" t="str">
        <f aca="false">IF(B10321&lt;5,"Go","Standard")</f>
        <v>Standard</v>
      </c>
    </row>
    <row r="10322" customFormat="false" ht="15" hidden="false" customHeight="true" outlineLevel="0" collapsed="false">
      <c r="A10322" s="10" t="n">
        <f aca="false">Einstellungen!$B$5+INT((ROW()-9)/24)</f>
        <v>46395</v>
      </c>
      <c r="B10322" s="11" t="n">
        <f aca="false">MOD(ROW()-9,24)</f>
        <v>17</v>
      </c>
      <c r="C10322" s="12"/>
      <c r="D10322" s="13" t="n">
        <f aca="false">IF(B10322&lt;5,Einstellungen!$B$3,Einstellungen!$B$4)</f>
        <v>29.13</v>
      </c>
      <c r="E10322" s="14" t="str">
        <f aca="false">IF(C10322="","",C10322*D10322/100)</f>
        <v/>
      </c>
      <c r="F10322" s="15" t="str">
        <f aca="false">IF(B10322&lt;5,"Go","Standard")</f>
        <v>Standard</v>
      </c>
    </row>
    <row r="10323" customFormat="false" ht="15" hidden="false" customHeight="true" outlineLevel="0" collapsed="false">
      <c r="A10323" s="10" t="n">
        <f aca="false">Einstellungen!$B$5+INT((ROW()-9)/24)</f>
        <v>46395</v>
      </c>
      <c r="B10323" s="11" t="n">
        <f aca="false">MOD(ROW()-9,24)</f>
        <v>18</v>
      </c>
      <c r="C10323" s="12"/>
      <c r="D10323" s="13" t="n">
        <f aca="false">IF(B10323&lt;5,Einstellungen!$B$3,Einstellungen!$B$4)</f>
        <v>29.13</v>
      </c>
      <c r="E10323" s="14" t="str">
        <f aca="false">IF(C10323="","",C10323*D10323/100)</f>
        <v/>
      </c>
      <c r="F10323" s="15" t="str">
        <f aca="false">IF(B10323&lt;5,"Go","Standard")</f>
        <v>Standard</v>
      </c>
    </row>
    <row r="10324" customFormat="false" ht="15" hidden="false" customHeight="true" outlineLevel="0" collapsed="false">
      <c r="A10324" s="10" t="n">
        <f aca="false">Einstellungen!$B$5+INT((ROW()-9)/24)</f>
        <v>46395</v>
      </c>
      <c r="B10324" s="11" t="n">
        <f aca="false">MOD(ROW()-9,24)</f>
        <v>19</v>
      </c>
      <c r="C10324" s="12"/>
      <c r="D10324" s="13" t="n">
        <f aca="false">IF(B10324&lt;5,Einstellungen!$B$3,Einstellungen!$B$4)</f>
        <v>29.13</v>
      </c>
      <c r="E10324" s="14" t="str">
        <f aca="false">IF(C10324="","",C10324*D10324/100)</f>
        <v/>
      </c>
      <c r="F10324" s="15" t="str">
        <f aca="false">IF(B10324&lt;5,"Go","Standard")</f>
        <v>Standard</v>
      </c>
    </row>
    <row r="10325" customFormat="false" ht="15" hidden="false" customHeight="true" outlineLevel="0" collapsed="false">
      <c r="A10325" s="10" t="n">
        <f aca="false">Einstellungen!$B$5+INT((ROW()-9)/24)</f>
        <v>46395</v>
      </c>
      <c r="B10325" s="11" t="n">
        <f aca="false">MOD(ROW()-9,24)</f>
        <v>20</v>
      </c>
      <c r="C10325" s="12"/>
      <c r="D10325" s="13" t="n">
        <f aca="false">IF(B10325&lt;5,Einstellungen!$B$3,Einstellungen!$B$4)</f>
        <v>29.13</v>
      </c>
      <c r="E10325" s="14" t="str">
        <f aca="false">IF(C10325="","",C10325*D10325/100)</f>
        <v/>
      </c>
      <c r="F10325" s="15" t="str">
        <f aca="false">IF(B10325&lt;5,"Go","Standard")</f>
        <v>Standard</v>
      </c>
    </row>
    <row r="10326" customFormat="false" ht="15" hidden="false" customHeight="true" outlineLevel="0" collapsed="false">
      <c r="A10326" s="10" t="n">
        <f aca="false">Einstellungen!$B$5+INT((ROW()-9)/24)</f>
        <v>46395</v>
      </c>
      <c r="B10326" s="11" t="n">
        <f aca="false">MOD(ROW()-9,24)</f>
        <v>21</v>
      </c>
      <c r="C10326" s="12"/>
      <c r="D10326" s="13" t="n">
        <f aca="false">IF(B10326&lt;5,Einstellungen!$B$3,Einstellungen!$B$4)</f>
        <v>29.13</v>
      </c>
      <c r="E10326" s="14" t="str">
        <f aca="false">IF(C10326="","",C10326*D10326/100)</f>
        <v/>
      </c>
      <c r="F10326" s="15" t="str">
        <f aca="false">IF(B10326&lt;5,"Go","Standard")</f>
        <v>Standard</v>
      </c>
    </row>
    <row r="10327" customFormat="false" ht="15" hidden="false" customHeight="true" outlineLevel="0" collapsed="false">
      <c r="A10327" s="10" t="n">
        <f aca="false">Einstellungen!$B$5+INT((ROW()-9)/24)</f>
        <v>46395</v>
      </c>
      <c r="B10327" s="11" t="n">
        <f aca="false">MOD(ROW()-9,24)</f>
        <v>22</v>
      </c>
      <c r="C10327" s="12"/>
      <c r="D10327" s="13" t="n">
        <f aca="false">IF(B10327&lt;5,Einstellungen!$B$3,Einstellungen!$B$4)</f>
        <v>29.13</v>
      </c>
      <c r="E10327" s="14" t="str">
        <f aca="false">IF(C10327="","",C10327*D10327/100)</f>
        <v/>
      </c>
      <c r="F10327" s="15" t="str">
        <f aca="false">IF(B10327&lt;5,"Go","Standard")</f>
        <v>Standard</v>
      </c>
    </row>
    <row r="10328" customFormat="false" ht="15" hidden="false" customHeight="true" outlineLevel="0" collapsed="false">
      <c r="A10328" s="10" t="n">
        <f aca="false">Einstellungen!$B$5+INT((ROW()-9)/24)</f>
        <v>46395</v>
      </c>
      <c r="B10328" s="11" t="n">
        <f aca="false">MOD(ROW()-9,24)</f>
        <v>23</v>
      </c>
      <c r="C10328" s="12"/>
      <c r="D10328" s="13" t="n">
        <f aca="false">IF(B10328&lt;5,Einstellungen!$B$3,Einstellungen!$B$4)</f>
        <v>29.13</v>
      </c>
      <c r="E10328" s="14" t="str">
        <f aca="false">IF(C10328="","",C10328*D10328/100)</f>
        <v/>
      </c>
      <c r="F10328" s="15" t="str">
        <f aca="false">IF(B10328&lt;5,"Go","Standard")</f>
        <v>Standard</v>
      </c>
    </row>
    <row r="10329" customFormat="false" ht="15" hidden="false" customHeight="true" outlineLevel="0" collapsed="false">
      <c r="A10329" s="10" t="n">
        <f aca="false">Einstellungen!$B$5+INT((ROW()-9)/24)</f>
        <v>46396</v>
      </c>
      <c r="B10329" s="11" t="n">
        <f aca="false">MOD(ROW()-9,24)</f>
        <v>0</v>
      </c>
      <c r="C10329" s="12"/>
      <c r="D10329" s="13" t="n">
        <f aca="false">IF(B10329&lt;5,Einstellungen!$B$3,Einstellungen!$B$4)</f>
        <v>15.92</v>
      </c>
      <c r="E10329" s="14" t="str">
        <f aca="false">IF(C10329="","",C10329*D10329/100)</f>
        <v/>
      </c>
      <c r="F10329" s="15" t="str">
        <f aca="false">IF(B10329&lt;5,"Go","Standard")</f>
        <v>Go</v>
      </c>
    </row>
    <row r="10330" customFormat="false" ht="15" hidden="false" customHeight="true" outlineLevel="0" collapsed="false">
      <c r="A10330" s="10" t="n">
        <f aca="false">Einstellungen!$B$5+INT((ROW()-9)/24)</f>
        <v>46396</v>
      </c>
      <c r="B10330" s="11" t="n">
        <f aca="false">MOD(ROW()-9,24)</f>
        <v>1</v>
      </c>
      <c r="C10330" s="12"/>
      <c r="D10330" s="13" t="n">
        <f aca="false">IF(B10330&lt;5,Einstellungen!$B$3,Einstellungen!$B$4)</f>
        <v>15.92</v>
      </c>
      <c r="E10330" s="14" t="str">
        <f aca="false">IF(C10330="","",C10330*D10330/100)</f>
        <v/>
      </c>
      <c r="F10330" s="15" t="str">
        <f aca="false">IF(B10330&lt;5,"Go","Standard")</f>
        <v>Go</v>
      </c>
    </row>
    <row r="10331" customFormat="false" ht="15" hidden="false" customHeight="true" outlineLevel="0" collapsed="false">
      <c r="A10331" s="10" t="n">
        <f aca="false">Einstellungen!$B$5+INT((ROW()-9)/24)</f>
        <v>46396</v>
      </c>
      <c r="B10331" s="11" t="n">
        <f aca="false">MOD(ROW()-9,24)</f>
        <v>2</v>
      </c>
      <c r="C10331" s="12"/>
      <c r="D10331" s="13" t="n">
        <f aca="false">IF(B10331&lt;5,Einstellungen!$B$3,Einstellungen!$B$4)</f>
        <v>15.92</v>
      </c>
      <c r="E10331" s="14" t="str">
        <f aca="false">IF(C10331="","",C10331*D10331/100)</f>
        <v/>
      </c>
      <c r="F10331" s="15" t="str">
        <f aca="false">IF(B10331&lt;5,"Go","Standard")</f>
        <v>Go</v>
      </c>
    </row>
    <row r="10332" customFormat="false" ht="15" hidden="false" customHeight="true" outlineLevel="0" collapsed="false">
      <c r="A10332" s="10" t="n">
        <f aca="false">Einstellungen!$B$5+INT((ROW()-9)/24)</f>
        <v>46396</v>
      </c>
      <c r="B10332" s="11" t="n">
        <f aca="false">MOD(ROW()-9,24)</f>
        <v>3</v>
      </c>
      <c r="C10332" s="12"/>
      <c r="D10332" s="13" t="n">
        <f aca="false">IF(B10332&lt;5,Einstellungen!$B$3,Einstellungen!$B$4)</f>
        <v>15.92</v>
      </c>
      <c r="E10332" s="14" t="str">
        <f aca="false">IF(C10332="","",C10332*D10332/100)</f>
        <v/>
      </c>
      <c r="F10332" s="15" t="str">
        <f aca="false">IF(B10332&lt;5,"Go","Standard")</f>
        <v>Go</v>
      </c>
    </row>
    <row r="10333" customFormat="false" ht="15" hidden="false" customHeight="true" outlineLevel="0" collapsed="false">
      <c r="A10333" s="10" t="n">
        <f aca="false">Einstellungen!$B$5+INT((ROW()-9)/24)</f>
        <v>46396</v>
      </c>
      <c r="B10333" s="11" t="n">
        <f aca="false">MOD(ROW()-9,24)</f>
        <v>4</v>
      </c>
      <c r="C10333" s="12"/>
      <c r="D10333" s="13" t="n">
        <f aca="false">IF(B10333&lt;5,Einstellungen!$B$3,Einstellungen!$B$4)</f>
        <v>15.92</v>
      </c>
      <c r="E10333" s="14" t="str">
        <f aca="false">IF(C10333="","",C10333*D10333/100)</f>
        <v/>
      </c>
      <c r="F10333" s="15" t="str">
        <f aca="false">IF(B10333&lt;5,"Go","Standard")</f>
        <v>Go</v>
      </c>
    </row>
    <row r="10334" customFormat="false" ht="15" hidden="false" customHeight="true" outlineLevel="0" collapsed="false">
      <c r="A10334" s="10" t="n">
        <f aca="false">Einstellungen!$B$5+INT((ROW()-9)/24)</f>
        <v>46396</v>
      </c>
      <c r="B10334" s="11" t="n">
        <f aca="false">MOD(ROW()-9,24)</f>
        <v>5</v>
      </c>
      <c r="C10334" s="12"/>
      <c r="D10334" s="13" t="n">
        <f aca="false">IF(B10334&lt;5,Einstellungen!$B$3,Einstellungen!$B$4)</f>
        <v>29.13</v>
      </c>
      <c r="E10334" s="14" t="str">
        <f aca="false">IF(C10334="","",C10334*D10334/100)</f>
        <v/>
      </c>
      <c r="F10334" s="15" t="str">
        <f aca="false">IF(B10334&lt;5,"Go","Standard")</f>
        <v>Standard</v>
      </c>
    </row>
    <row r="10335" customFormat="false" ht="15" hidden="false" customHeight="true" outlineLevel="0" collapsed="false">
      <c r="A10335" s="10" t="n">
        <f aca="false">Einstellungen!$B$5+INT((ROW()-9)/24)</f>
        <v>46396</v>
      </c>
      <c r="B10335" s="11" t="n">
        <f aca="false">MOD(ROW()-9,24)</f>
        <v>6</v>
      </c>
      <c r="C10335" s="12"/>
      <c r="D10335" s="13" t="n">
        <f aca="false">IF(B10335&lt;5,Einstellungen!$B$3,Einstellungen!$B$4)</f>
        <v>29.13</v>
      </c>
      <c r="E10335" s="14" t="str">
        <f aca="false">IF(C10335="","",C10335*D10335/100)</f>
        <v/>
      </c>
      <c r="F10335" s="15" t="str">
        <f aca="false">IF(B10335&lt;5,"Go","Standard")</f>
        <v>Standard</v>
      </c>
    </row>
    <row r="10336" customFormat="false" ht="15" hidden="false" customHeight="true" outlineLevel="0" collapsed="false">
      <c r="A10336" s="10" t="n">
        <f aca="false">Einstellungen!$B$5+INT((ROW()-9)/24)</f>
        <v>46396</v>
      </c>
      <c r="B10336" s="11" t="n">
        <f aca="false">MOD(ROW()-9,24)</f>
        <v>7</v>
      </c>
      <c r="C10336" s="12"/>
      <c r="D10336" s="13" t="n">
        <f aca="false">IF(B10336&lt;5,Einstellungen!$B$3,Einstellungen!$B$4)</f>
        <v>29.13</v>
      </c>
      <c r="E10336" s="14" t="str">
        <f aca="false">IF(C10336="","",C10336*D10336/100)</f>
        <v/>
      </c>
      <c r="F10336" s="15" t="str">
        <f aca="false">IF(B10336&lt;5,"Go","Standard")</f>
        <v>Standard</v>
      </c>
    </row>
    <row r="10337" customFormat="false" ht="15" hidden="false" customHeight="true" outlineLevel="0" collapsed="false">
      <c r="A10337" s="10" t="n">
        <f aca="false">Einstellungen!$B$5+INT((ROW()-9)/24)</f>
        <v>46396</v>
      </c>
      <c r="B10337" s="11" t="n">
        <f aca="false">MOD(ROW()-9,24)</f>
        <v>8</v>
      </c>
      <c r="C10337" s="12"/>
      <c r="D10337" s="13" t="n">
        <f aca="false">IF(B10337&lt;5,Einstellungen!$B$3,Einstellungen!$B$4)</f>
        <v>29.13</v>
      </c>
      <c r="E10337" s="14" t="str">
        <f aca="false">IF(C10337="","",C10337*D10337/100)</f>
        <v/>
      </c>
      <c r="F10337" s="15" t="str">
        <f aca="false">IF(B10337&lt;5,"Go","Standard")</f>
        <v>Standard</v>
      </c>
    </row>
    <row r="10338" customFormat="false" ht="15" hidden="false" customHeight="true" outlineLevel="0" collapsed="false">
      <c r="A10338" s="10" t="n">
        <f aca="false">Einstellungen!$B$5+INT((ROW()-9)/24)</f>
        <v>46396</v>
      </c>
      <c r="B10338" s="11" t="n">
        <f aca="false">MOD(ROW()-9,24)</f>
        <v>9</v>
      </c>
      <c r="C10338" s="12"/>
      <c r="D10338" s="13" t="n">
        <f aca="false">IF(B10338&lt;5,Einstellungen!$B$3,Einstellungen!$B$4)</f>
        <v>29.13</v>
      </c>
      <c r="E10338" s="14" t="str">
        <f aca="false">IF(C10338="","",C10338*D10338/100)</f>
        <v/>
      </c>
      <c r="F10338" s="15" t="str">
        <f aca="false">IF(B10338&lt;5,"Go","Standard")</f>
        <v>Standard</v>
      </c>
    </row>
    <row r="10339" customFormat="false" ht="15" hidden="false" customHeight="true" outlineLevel="0" collapsed="false">
      <c r="A10339" s="10" t="n">
        <f aca="false">Einstellungen!$B$5+INT((ROW()-9)/24)</f>
        <v>46396</v>
      </c>
      <c r="B10339" s="11" t="n">
        <f aca="false">MOD(ROW()-9,24)</f>
        <v>10</v>
      </c>
      <c r="C10339" s="12"/>
      <c r="D10339" s="13" t="n">
        <f aca="false">IF(B10339&lt;5,Einstellungen!$B$3,Einstellungen!$B$4)</f>
        <v>29.13</v>
      </c>
      <c r="E10339" s="14" t="str">
        <f aca="false">IF(C10339="","",C10339*D10339/100)</f>
        <v/>
      </c>
      <c r="F10339" s="15" t="str">
        <f aca="false">IF(B10339&lt;5,"Go","Standard")</f>
        <v>Standard</v>
      </c>
    </row>
    <row r="10340" customFormat="false" ht="15" hidden="false" customHeight="true" outlineLevel="0" collapsed="false">
      <c r="A10340" s="10" t="n">
        <f aca="false">Einstellungen!$B$5+INT((ROW()-9)/24)</f>
        <v>46396</v>
      </c>
      <c r="B10340" s="11" t="n">
        <f aca="false">MOD(ROW()-9,24)</f>
        <v>11</v>
      </c>
      <c r="C10340" s="12"/>
      <c r="D10340" s="13" t="n">
        <f aca="false">IF(B10340&lt;5,Einstellungen!$B$3,Einstellungen!$B$4)</f>
        <v>29.13</v>
      </c>
      <c r="E10340" s="14" t="str">
        <f aca="false">IF(C10340="","",C10340*D10340/100)</f>
        <v/>
      </c>
      <c r="F10340" s="15" t="str">
        <f aca="false">IF(B10340&lt;5,"Go","Standard")</f>
        <v>Standard</v>
      </c>
    </row>
    <row r="10341" customFormat="false" ht="15" hidden="false" customHeight="true" outlineLevel="0" collapsed="false">
      <c r="A10341" s="10" t="n">
        <f aca="false">Einstellungen!$B$5+INT((ROW()-9)/24)</f>
        <v>46396</v>
      </c>
      <c r="B10341" s="11" t="n">
        <f aca="false">MOD(ROW()-9,24)</f>
        <v>12</v>
      </c>
      <c r="C10341" s="12"/>
      <c r="D10341" s="13" t="n">
        <f aca="false">IF(B10341&lt;5,Einstellungen!$B$3,Einstellungen!$B$4)</f>
        <v>29.13</v>
      </c>
      <c r="E10341" s="14" t="str">
        <f aca="false">IF(C10341="","",C10341*D10341/100)</f>
        <v/>
      </c>
      <c r="F10341" s="15" t="str">
        <f aca="false">IF(B10341&lt;5,"Go","Standard")</f>
        <v>Standard</v>
      </c>
    </row>
    <row r="10342" customFormat="false" ht="15" hidden="false" customHeight="true" outlineLevel="0" collapsed="false">
      <c r="A10342" s="10" t="n">
        <f aca="false">Einstellungen!$B$5+INT((ROW()-9)/24)</f>
        <v>46396</v>
      </c>
      <c r="B10342" s="11" t="n">
        <f aca="false">MOD(ROW()-9,24)</f>
        <v>13</v>
      </c>
      <c r="C10342" s="12"/>
      <c r="D10342" s="13" t="n">
        <f aca="false">IF(B10342&lt;5,Einstellungen!$B$3,Einstellungen!$B$4)</f>
        <v>29.13</v>
      </c>
      <c r="E10342" s="14" t="str">
        <f aca="false">IF(C10342="","",C10342*D10342/100)</f>
        <v/>
      </c>
      <c r="F10342" s="15" t="str">
        <f aca="false">IF(B10342&lt;5,"Go","Standard")</f>
        <v>Standard</v>
      </c>
    </row>
    <row r="10343" customFormat="false" ht="15" hidden="false" customHeight="true" outlineLevel="0" collapsed="false">
      <c r="A10343" s="10" t="n">
        <f aca="false">Einstellungen!$B$5+INT((ROW()-9)/24)</f>
        <v>46396</v>
      </c>
      <c r="B10343" s="11" t="n">
        <f aca="false">MOD(ROW()-9,24)</f>
        <v>14</v>
      </c>
      <c r="C10343" s="12"/>
      <c r="D10343" s="13" t="n">
        <f aca="false">IF(B10343&lt;5,Einstellungen!$B$3,Einstellungen!$B$4)</f>
        <v>29.13</v>
      </c>
      <c r="E10343" s="14" t="str">
        <f aca="false">IF(C10343="","",C10343*D10343/100)</f>
        <v/>
      </c>
      <c r="F10343" s="15" t="str">
        <f aca="false">IF(B10343&lt;5,"Go","Standard")</f>
        <v>Standard</v>
      </c>
    </row>
    <row r="10344" customFormat="false" ht="15" hidden="false" customHeight="true" outlineLevel="0" collapsed="false">
      <c r="A10344" s="10" t="n">
        <f aca="false">Einstellungen!$B$5+INT((ROW()-9)/24)</f>
        <v>46396</v>
      </c>
      <c r="B10344" s="11" t="n">
        <f aca="false">MOD(ROW()-9,24)</f>
        <v>15</v>
      </c>
      <c r="C10344" s="12"/>
      <c r="D10344" s="13" t="n">
        <f aca="false">IF(B10344&lt;5,Einstellungen!$B$3,Einstellungen!$B$4)</f>
        <v>29.13</v>
      </c>
      <c r="E10344" s="14" t="str">
        <f aca="false">IF(C10344="","",C10344*D10344/100)</f>
        <v/>
      </c>
      <c r="F10344" s="15" t="str">
        <f aca="false">IF(B10344&lt;5,"Go","Standard")</f>
        <v>Standard</v>
      </c>
    </row>
    <row r="10345" customFormat="false" ht="15" hidden="false" customHeight="true" outlineLevel="0" collapsed="false">
      <c r="A10345" s="10" t="n">
        <f aca="false">Einstellungen!$B$5+INT((ROW()-9)/24)</f>
        <v>46396</v>
      </c>
      <c r="B10345" s="11" t="n">
        <f aca="false">MOD(ROW()-9,24)</f>
        <v>16</v>
      </c>
      <c r="C10345" s="12"/>
      <c r="D10345" s="13" t="n">
        <f aca="false">IF(B10345&lt;5,Einstellungen!$B$3,Einstellungen!$B$4)</f>
        <v>29.13</v>
      </c>
      <c r="E10345" s="14" t="str">
        <f aca="false">IF(C10345="","",C10345*D10345/100)</f>
        <v/>
      </c>
      <c r="F10345" s="15" t="str">
        <f aca="false">IF(B10345&lt;5,"Go","Standard")</f>
        <v>Standard</v>
      </c>
    </row>
    <row r="10346" customFormat="false" ht="15" hidden="false" customHeight="true" outlineLevel="0" collapsed="false">
      <c r="A10346" s="10" t="n">
        <f aca="false">Einstellungen!$B$5+INT((ROW()-9)/24)</f>
        <v>46396</v>
      </c>
      <c r="B10346" s="11" t="n">
        <f aca="false">MOD(ROW()-9,24)</f>
        <v>17</v>
      </c>
      <c r="C10346" s="12"/>
      <c r="D10346" s="13" t="n">
        <f aca="false">IF(B10346&lt;5,Einstellungen!$B$3,Einstellungen!$B$4)</f>
        <v>29.13</v>
      </c>
      <c r="E10346" s="14" t="str">
        <f aca="false">IF(C10346="","",C10346*D10346/100)</f>
        <v/>
      </c>
      <c r="F10346" s="15" t="str">
        <f aca="false">IF(B10346&lt;5,"Go","Standard")</f>
        <v>Standard</v>
      </c>
    </row>
    <row r="10347" customFormat="false" ht="15" hidden="false" customHeight="true" outlineLevel="0" collapsed="false">
      <c r="A10347" s="10" t="n">
        <f aca="false">Einstellungen!$B$5+INT((ROW()-9)/24)</f>
        <v>46396</v>
      </c>
      <c r="B10347" s="11" t="n">
        <f aca="false">MOD(ROW()-9,24)</f>
        <v>18</v>
      </c>
      <c r="C10347" s="12"/>
      <c r="D10347" s="13" t="n">
        <f aca="false">IF(B10347&lt;5,Einstellungen!$B$3,Einstellungen!$B$4)</f>
        <v>29.13</v>
      </c>
      <c r="E10347" s="14" t="str">
        <f aca="false">IF(C10347="","",C10347*D10347/100)</f>
        <v/>
      </c>
      <c r="F10347" s="15" t="str">
        <f aca="false">IF(B10347&lt;5,"Go","Standard")</f>
        <v>Standard</v>
      </c>
    </row>
    <row r="10348" customFormat="false" ht="15" hidden="false" customHeight="true" outlineLevel="0" collapsed="false">
      <c r="A10348" s="10" t="n">
        <f aca="false">Einstellungen!$B$5+INT((ROW()-9)/24)</f>
        <v>46396</v>
      </c>
      <c r="B10348" s="11" t="n">
        <f aca="false">MOD(ROW()-9,24)</f>
        <v>19</v>
      </c>
      <c r="C10348" s="12"/>
      <c r="D10348" s="13" t="n">
        <f aca="false">IF(B10348&lt;5,Einstellungen!$B$3,Einstellungen!$B$4)</f>
        <v>29.13</v>
      </c>
      <c r="E10348" s="14" t="str">
        <f aca="false">IF(C10348="","",C10348*D10348/100)</f>
        <v/>
      </c>
      <c r="F10348" s="15" t="str">
        <f aca="false">IF(B10348&lt;5,"Go","Standard")</f>
        <v>Standard</v>
      </c>
    </row>
    <row r="10349" customFormat="false" ht="15" hidden="false" customHeight="true" outlineLevel="0" collapsed="false">
      <c r="A10349" s="10" t="n">
        <f aca="false">Einstellungen!$B$5+INT((ROW()-9)/24)</f>
        <v>46396</v>
      </c>
      <c r="B10349" s="11" t="n">
        <f aca="false">MOD(ROW()-9,24)</f>
        <v>20</v>
      </c>
      <c r="C10349" s="12"/>
      <c r="D10349" s="13" t="n">
        <f aca="false">IF(B10349&lt;5,Einstellungen!$B$3,Einstellungen!$B$4)</f>
        <v>29.13</v>
      </c>
      <c r="E10349" s="14" t="str">
        <f aca="false">IF(C10349="","",C10349*D10349/100)</f>
        <v/>
      </c>
      <c r="F10349" s="15" t="str">
        <f aca="false">IF(B10349&lt;5,"Go","Standard")</f>
        <v>Standard</v>
      </c>
    </row>
    <row r="10350" customFormat="false" ht="15" hidden="false" customHeight="true" outlineLevel="0" collapsed="false">
      <c r="A10350" s="10" t="n">
        <f aca="false">Einstellungen!$B$5+INT((ROW()-9)/24)</f>
        <v>46396</v>
      </c>
      <c r="B10350" s="11" t="n">
        <f aca="false">MOD(ROW()-9,24)</f>
        <v>21</v>
      </c>
      <c r="C10350" s="12"/>
      <c r="D10350" s="13" t="n">
        <f aca="false">IF(B10350&lt;5,Einstellungen!$B$3,Einstellungen!$B$4)</f>
        <v>29.13</v>
      </c>
      <c r="E10350" s="14" t="str">
        <f aca="false">IF(C10350="","",C10350*D10350/100)</f>
        <v/>
      </c>
      <c r="F10350" s="15" t="str">
        <f aca="false">IF(B10350&lt;5,"Go","Standard")</f>
        <v>Standard</v>
      </c>
    </row>
    <row r="10351" customFormat="false" ht="15" hidden="false" customHeight="true" outlineLevel="0" collapsed="false">
      <c r="A10351" s="10" t="n">
        <f aca="false">Einstellungen!$B$5+INT((ROW()-9)/24)</f>
        <v>46396</v>
      </c>
      <c r="B10351" s="11" t="n">
        <f aca="false">MOD(ROW()-9,24)</f>
        <v>22</v>
      </c>
      <c r="C10351" s="12"/>
      <c r="D10351" s="13" t="n">
        <f aca="false">IF(B10351&lt;5,Einstellungen!$B$3,Einstellungen!$B$4)</f>
        <v>29.13</v>
      </c>
      <c r="E10351" s="14" t="str">
        <f aca="false">IF(C10351="","",C10351*D10351/100)</f>
        <v/>
      </c>
      <c r="F10351" s="15" t="str">
        <f aca="false">IF(B10351&lt;5,"Go","Standard")</f>
        <v>Standard</v>
      </c>
    </row>
    <row r="10352" customFormat="false" ht="15" hidden="false" customHeight="true" outlineLevel="0" collapsed="false">
      <c r="A10352" s="10" t="n">
        <f aca="false">Einstellungen!$B$5+INT((ROW()-9)/24)</f>
        <v>46396</v>
      </c>
      <c r="B10352" s="11" t="n">
        <f aca="false">MOD(ROW()-9,24)</f>
        <v>23</v>
      </c>
      <c r="C10352" s="12"/>
      <c r="D10352" s="13" t="n">
        <f aca="false">IF(B10352&lt;5,Einstellungen!$B$3,Einstellungen!$B$4)</f>
        <v>29.13</v>
      </c>
      <c r="E10352" s="14" t="str">
        <f aca="false">IF(C10352="","",C10352*D10352/100)</f>
        <v/>
      </c>
      <c r="F10352" s="15" t="str">
        <f aca="false">IF(B10352&lt;5,"Go","Standard")</f>
        <v>Standard</v>
      </c>
    </row>
    <row r="10353" customFormat="false" ht="15" hidden="false" customHeight="true" outlineLevel="0" collapsed="false">
      <c r="A10353" s="10" t="n">
        <f aca="false">Einstellungen!$B$5+INT((ROW()-9)/24)</f>
        <v>46397</v>
      </c>
      <c r="B10353" s="11" t="n">
        <f aca="false">MOD(ROW()-9,24)</f>
        <v>0</v>
      </c>
      <c r="C10353" s="12"/>
      <c r="D10353" s="13" t="n">
        <f aca="false">IF(B10353&lt;5,Einstellungen!$B$3,Einstellungen!$B$4)</f>
        <v>15.92</v>
      </c>
      <c r="E10353" s="14" t="str">
        <f aca="false">IF(C10353="","",C10353*D10353/100)</f>
        <v/>
      </c>
      <c r="F10353" s="15" t="str">
        <f aca="false">IF(B10353&lt;5,"Go","Standard")</f>
        <v>Go</v>
      </c>
    </row>
    <row r="10354" customFormat="false" ht="15" hidden="false" customHeight="true" outlineLevel="0" collapsed="false">
      <c r="A10354" s="10" t="n">
        <f aca="false">Einstellungen!$B$5+INT((ROW()-9)/24)</f>
        <v>46397</v>
      </c>
      <c r="B10354" s="11" t="n">
        <f aca="false">MOD(ROW()-9,24)</f>
        <v>1</v>
      </c>
      <c r="C10354" s="12"/>
      <c r="D10354" s="13" t="n">
        <f aca="false">IF(B10354&lt;5,Einstellungen!$B$3,Einstellungen!$B$4)</f>
        <v>15.92</v>
      </c>
      <c r="E10354" s="14" t="str">
        <f aca="false">IF(C10354="","",C10354*D10354/100)</f>
        <v/>
      </c>
      <c r="F10354" s="15" t="str">
        <f aca="false">IF(B10354&lt;5,"Go","Standard")</f>
        <v>Go</v>
      </c>
    </row>
    <row r="10355" customFormat="false" ht="15" hidden="false" customHeight="true" outlineLevel="0" collapsed="false">
      <c r="A10355" s="10" t="n">
        <f aca="false">Einstellungen!$B$5+INT((ROW()-9)/24)</f>
        <v>46397</v>
      </c>
      <c r="B10355" s="11" t="n">
        <f aca="false">MOD(ROW()-9,24)</f>
        <v>2</v>
      </c>
      <c r="C10355" s="12"/>
      <c r="D10355" s="13" t="n">
        <f aca="false">IF(B10355&lt;5,Einstellungen!$B$3,Einstellungen!$B$4)</f>
        <v>15.92</v>
      </c>
      <c r="E10355" s="14" t="str">
        <f aca="false">IF(C10355="","",C10355*D10355/100)</f>
        <v/>
      </c>
      <c r="F10355" s="15" t="str">
        <f aca="false">IF(B10355&lt;5,"Go","Standard")</f>
        <v>Go</v>
      </c>
    </row>
    <row r="10356" customFormat="false" ht="15" hidden="false" customHeight="true" outlineLevel="0" collapsed="false">
      <c r="A10356" s="10" t="n">
        <f aca="false">Einstellungen!$B$5+INT((ROW()-9)/24)</f>
        <v>46397</v>
      </c>
      <c r="B10356" s="11" t="n">
        <f aca="false">MOD(ROW()-9,24)</f>
        <v>3</v>
      </c>
      <c r="C10356" s="12"/>
      <c r="D10356" s="13" t="n">
        <f aca="false">IF(B10356&lt;5,Einstellungen!$B$3,Einstellungen!$B$4)</f>
        <v>15.92</v>
      </c>
      <c r="E10356" s="14" t="str">
        <f aca="false">IF(C10356="","",C10356*D10356/100)</f>
        <v/>
      </c>
      <c r="F10356" s="15" t="str">
        <f aca="false">IF(B10356&lt;5,"Go","Standard")</f>
        <v>Go</v>
      </c>
    </row>
    <row r="10357" customFormat="false" ht="15" hidden="false" customHeight="true" outlineLevel="0" collapsed="false">
      <c r="A10357" s="10" t="n">
        <f aca="false">Einstellungen!$B$5+INT((ROW()-9)/24)</f>
        <v>46397</v>
      </c>
      <c r="B10357" s="11" t="n">
        <f aca="false">MOD(ROW()-9,24)</f>
        <v>4</v>
      </c>
      <c r="C10357" s="12"/>
      <c r="D10357" s="13" t="n">
        <f aca="false">IF(B10357&lt;5,Einstellungen!$B$3,Einstellungen!$B$4)</f>
        <v>15.92</v>
      </c>
      <c r="E10357" s="14" t="str">
        <f aca="false">IF(C10357="","",C10357*D10357/100)</f>
        <v/>
      </c>
      <c r="F10357" s="15" t="str">
        <f aca="false">IF(B10357&lt;5,"Go","Standard")</f>
        <v>Go</v>
      </c>
    </row>
    <row r="10358" customFormat="false" ht="15" hidden="false" customHeight="true" outlineLevel="0" collapsed="false">
      <c r="A10358" s="10" t="n">
        <f aca="false">Einstellungen!$B$5+INT((ROW()-9)/24)</f>
        <v>46397</v>
      </c>
      <c r="B10358" s="11" t="n">
        <f aca="false">MOD(ROW()-9,24)</f>
        <v>5</v>
      </c>
      <c r="C10358" s="12"/>
      <c r="D10358" s="13" t="n">
        <f aca="false">IF(B10358&lt;5,Einstellungen!$B$3,Einstellungen!$B$4)</f>
        <v>29.13</v>
      </c>
      <c r="E10358" s="14" t="str">
        <f aca="false">IF(C10358="","",C10358*D10358/100)</f>
        <v/>
      </c>
      <c r="F10358" s="15" t="str">
        <f aca="false">IF(B10358&lt;5,"Go","Standard")</f>
        <v>Standard</v>
      </c>
    </row>
    <row r="10359" customFormat="false" ht="15" hidden="false" customHeight="true" outlineLevel="0" collapsed="false">
      <c r="A10359" s="10" t="n">
        <f aca="false">Einstellungen!$B$5+INT((ROW()-9)/24)</f>
        <v>46397</v>
      </c>
      <c r="B10359" s="11" t="n">
        <f aca="false">MOD(ROW()-9,24)</f>
        <v>6</v>
      </c>
      <c r="C10359" s="12"/>
      <c r="D10359" s="13" t="n">
        <f aca="false">IF(B10359&lt;5,Einstellungen!$B$3,Einstellungen!$B$4)</f>
        <v>29.13</v>
      </c>
      <c r="E10359" s="14" t="str">
        <f aca="false">IF(C10359="","",C10359*D10359/100)</f>
        <v/>
      </c>
      <c r="F10359" s="15" t="str">
        <f aca="false">IF(B10359&lt;5,"Go","Standard")</f>
        <v>Standard</v>
      </c>
    </row>
    <row r="10360" customFormat="false" ht="15" hidden="false" customHeight="true" outlineLevel="0" collapsed="false">
      <c r="A10360" s="10" t="n">
        <f aca="false">Einstellungen!$B$5+INT((ROW()-9)/24)</f>
        <v>46397</v>
      </c>
      <c r="B10360" s="11" t="n">
        <f aca="false">MOD(ROW()-9,24)</f>
        <v>7</v>
      </c>
      <c r="C10360" s="12"/>
      <c r="D10360" s="13" t="n">
        <f aca="false">IF(B10360&lt;5,Einstellungen!$B$3,Einstellungen!$B$4)</f>
        <v>29.13</v>
      </c>
      <c r="E10360" s="14" t="str">
        <f aca="false">IF(C10360="","",C10360*D10360/100)</f>
        <v/>
      </c>
      <c r="F10360" s="15" t="str">
        <f aca="false">IF(B10360&lt;5,"Go","Standard")</f>
        <v>Standard</v>
      </c>
    </row>
    <row r="10361" customFormat="false" ht="15" hidden="false" customHeight="true" outlineLevel="0" collapsed="false">
      <c r="A10361" s="10" t="n">
        <f aca="false">Einstellungen!$B$5+INT((ROW()-9)/24)</f>
        <v>46397</v>
      </c>
      <c r="B10361" s="11" t="n">
        <f aca="false">MOD(ROW()-9,24)</f>
        <v>8</v>
      </c>
      <c r="C10361" s="12"/>
      <c r="D10361" s="13" t="n">
        <f aca="false">IF(B10361&lt;5,Einstellungen!$B$3,Einstellungen!$B$4)</f>
        <v>29.13</v>
      </c>
      <c r="E10361" s="14" t="str">
        <f aca="false">IF(C10361="","",C10361*D10361/100)</f>
        <v/>
      </c>
      <c r="F10361" s="15" t="str">
        <f aca="false">IF(B10361&lt;5,"Go","Standard")</f>
        <v>Standard</v>
      </c>
    </row>
    <row r="10362" customFormat="false" ht="15" hidden="false" customHeight="true" outlineLevel="0" collapsed="false">
      <c r="A10362" s="10" t="n">
        <f aca="false">Einstellungen!$B$5+INT((ROW()-9)/24)</f>
        <v>46397</v>
      </c>
      <c r="B10362" s="11" t="n">
        <f aca="false">MOD(ROW()-9,24)</f>
        <v>9</v>
      </c>
      <c r="C10362" s="12"/>
      <c r="D10362" s="13" t="n">
        <f aca="false">IF(B10362&lt;5,Einstellungen!$B$3,Einstellungen!$B$4)</f>
        <v>29.13</v>
      </c>
      <c r="E10362" s="14" t="str">
        <f aca="false">IF(C10362="","",C10362*D10362/100)</f>
        <v/>
      </c>
      <c r="F10362" s="15" t="str">
        <f aca="false">IF(B10362&lt;5,"Go","Standard")</f>
        <v>Standard</v>
      </c>
    </row>
    <row r="10363" customFormat="false" ht="15" hidden="false" customHeight="true" outlineLevel="0" collapsed="false">
      <c r="A10363" s="10" t="n">
        <f aca="false">Einstellungen!$B$5+INT((ROW()-9)/24)</f>
        <v>46397</v>
      </c>
      <c r="B10363" s="11" t="n">
        <f aca="false">MOD(ROW()-9,24)</f>
        <v>10</v>
      </c>
      <c r="C10363" s="12"/>
      <c r="D10363" s="13" t="n">
        <f aca="false">IF(B10363&lt;5,Einstellungen!$B$3,Einstellungen!$B$4)</f>
        <v>29.13</v>
      </c>
      <c r="E10363" s="14" t="str">
        <f aca="false">IF(C10363="","",C10363*D10363/100)</f>
        <v/>
      </c>
      <c r="F10363" s="15" t="str">
        <f aca="false">IF(B10363&lt;5,"Go","Standard")</f>
        <v>Standard</v>
      </c>
    </row>
    <row r="10364" customFormat="false" ht="15" hidden="false" customHeight="true" outlineLevel="0" collapsed="false">
      <c r="A10364" s="10" t="n">
        <f aca="false">Einstellungen!$B$5+INT((ROW()-9)/24)</f>
        <v>46397</v>
      </c>
      <c r="B10364" s="11" t="n">
        <f aca="false">MOD(ROW()-9,24)</f>
        <v>11</v>
      </c>
      <c r="C10364" s="12"/>
      <c r="D10364" s="13" t="n">
        <f aca="false">IF(B10364&lt;5,Einstellungen!$B$3,Einstellungen!$B$4)</f>
        <v>29.13</v>
      </c>
      <c r="E10364" s="14" t="str">
        <f aca="false">IF(C10364="","",C10364*D10364/100)</f>
        <v/>
      </c>
      <c r="F10364" s="15" t="str">
        <f aca="false">IF(B10364&lt;5,"Go","Standard")</f>
        <v>Standard</v>
      </c>
    </row>
    <row r="10365" customFormat="false" ht="15" hidden="false" customHeight="true" outlineLevel="0" collapsed="false">
      <c r="A10365" s="10" t="n">
        <f aca="false">Einstellungen!$B$5+INT((ROW()-9)/24)</f>
        <v>46397</v>
      </c>
      <c r="B10365" s="11" t="n">
        <f aca="false">MOD(ROW()-9,24)</f>
        <v>12</v>
      </c>
      <c r="C10365" s="12"/>
      <c r="D10365" s="13" t="n">
        <f aca="false">IF(B10365&lt;5,Einstellungen!$B$3,Einstellungen!$B$4)</f>
        <v>29.13</v>
      </c>
      <c r="E10365" s="14" t="str">
        <f aca="false">IF(C10365="","",C10365*D10365/100)</f>
        <v/>
      </c>
      <c r="F10365" s="15" t="str">
        <f aca="false">IF(B10365&lt;5,"Go","Standard")</f>
        <v>Standard</v>
      </c>
    </row>
    <row r="10366" customFormat="false" ht="15" hidden="false" customHeight="true" outlineLevel="0" collapsed="false">
      <c r="A10366" s="10" t="n">
        <f aca="false">Einstellungen!$B$5+INT((ROW()-9)/24)</f>
        <v>46397</v>
      </c>
      <c r="B10366" s="11" t="n">
        <f aca="false">MOD(ROW()-9,24)</f>
        <v>13</v>
      </c>
      <c r="C10366" s="12"/>
      <c r="D10366" s="13" t="n">
        <f aca="false">IF(B10366&lt;5,Einstellungen!$B$3,Einstellungen!$B$4)</f>
        <v>29.13</v>
      </c>
      <c r="E10366" s="14" t="str">
        <f aca="false">IF(C10366="","",C10366*D10366/100)</f>
        <v/>
      </c>
      <c r="F10366" s="15" t="str">
        <f aca="false">IF(B10366&lt;5,"Go","Standard")</f>
        <v>Standard</v>
      </c>
    </row>
    <row r="10367" customFormat="false" ht="15" hidden="false" customHeight="true" outlineLevel="0" collapsed="false">
      <c r="A10367" s="10" t="n">
        <f aca="false">Einstellungen!$B$5+INT((ROW()-9)/24)</f>
        <v>46397</v>
      </c>
      <c r="B10367" s="11" t="n">
        <f aca="false">MOD(ROW()-9,24)</f>
        <v>14</v>
      </c>
      <c r="C10367" s="12"/>
      <c r="D10367" s="13" t="n">
        <f aca="false">IF(B10367&lt;5,Einstellungen!$B$3,Einstellungen!$B$4)</f>
        <v>29.13</v>
      </c>
      <c r="E10367" s="14" t="str">
        <f aca="false">IF(C10367="","",C10367*D10367/100)</f>
        <v/>
      </c>
      <c r="F10367" s="15" t="str">
        <f aca="false">IF(B10367&lt;5,"Go","Standard")</f>
        <v>Standard</v>
      </c>
    </row>
    <row r="10368" customFormat="false" ht="15" hidden="false" customHeight="true" outlineLevel="0" collapsed="false">
      <c r="A10368" s="10" t="n">
        <f aca="false">Einstellungen!$B$5+INT((ROW()-9)/24)</f>
        <v>46397</v>
      </c>
      <c r="B10368" s="11" t="n">
        <f aca="false">MOD(ROW()-9,24)</f>
        <v>15</v>
      </c>
      <c r="C10368" s="12"/>
      <c r="D10368" s="13" t="n">
        <f aca="false">IF(B10368&lt;5,Einstellungen!$B$3,Einstellungen!$B$4)</f>
        <v>29.13</v>
      </c>
      <c r="E10368" s="14" t="str">
        <f aca="false">IF(C10368="","",C10368*D10368/100)</f>
        <v/>
      </c>
      <c r="F10368" s="15" t="str">
        <f aca="false">IF(B10368&lt;5,"Go","Standard")</f>
        <v>Standard</v>
      </c>
    </row>
    <row r="10369" customFormat="false" ht="15" hidden="false" customHeight="true" outlineLevel="0" collapsed="false">
      <c r="A10369" s="10" t="n">
        <f aca="false">Einstellungen!$B$5+INT((ROW()-9)/24)</f>
        <v>46397</v>
      </c>
      <c r="B10369" s="11" t="n">
        <f aca="false">MOD(ROW()-9,24)</f>
        <v>16</v>
      </c>
      <c r="C10369" s="12"/>
      <c r="D10369" s="13" t="n">
        <f aca="false">IF(B10369&lt;5,Einstellungen!$B$3,Einstellungen!$B$4)</f>
        <v>29.13</v>
      </c>
      <c r="E10369" s="14" t="str">
        <f aca="false">IF(C10369="","",C10369*D10369/100)</f>
        <v/>
      </c>
      <c r="F10369" s="15" t="str">
        <f aca="false">IF(B10369&lt;5,"Go","Standard")</f>
        <v>Standard</v>
      </c>
    </row>
    <row r="10370" customFormat="false" ht="15" hidden="false" customHeight="true" outlineLevel="0" collapsed="false">
      <c r="A10370" s="10" t="n">
        <f aca="false">Einstellungen!$B$5+INT((ROW()-9)/24)</f>
        <v>46397</v>
      </c>
      <c r="B10370" s="11" t="n">
        <f aca="false">MOD(ROW()-9,24)</f>
        <v>17</v>
      </c>
      <c r="C10370" s="12"/>
      <c r="D10370" s="13" t="n">
        <f aca="false">IF(B10370&lt;5,Einstellungen!$B$3,Einstellungen!$B$4)</f>
        <v>29.13</v>
      </c>
      <c r="E10370" s="14" t="str">
        <f aca="false">IF(C10370="","",C10370*D10370/100)</f>
        <v/>
      </c>
      <c r="F10370" s="15" t="str">
        <f aca="false">IF(B10370&lt;5,"Go","Standard")</f>
        <v>Standard</v>
      </c>
    </row>
    <row r="10371" customFormat="false" ht="15" hidden="false" customHeight="true" outlineLevel="0" collapsed="false">
      <c r="A10371" s="10" t="n">
        <f aca="false">Einstellungen!$B$5+INT((ROW()-9)/24)</f>
        <v>46397</v>
      </c>
      <c r="B10371" s="11" t="n">
        <f aca="false">MOD(ROW()-9,24)</f>
        <v>18</v>
      </c>
      <c r="C10371" s="12"/>
      <c r="D10371" s="13" t="n">
        <f aca="false">IF(B10371&lt;5,Einstellungen!$B$3,Einstellungen!$B$4)</f>
        <v>29.13</v>
      </c>
      <c r="E10371" s="14" t="str">
        <f aca="false">IF(C10371="","",C10371*D10371/100)</f>
        <v/>
      </c>
      <c r="F10371" s="15" t="str">
        <f aca="false">IF(B10371&lt;5,"Go","Standard")</f>
        <v>Standard</v>
      </c>
    </row>
    <row r="10372" customFormat="false" ht="15" hidden="false" customHeight="true" outlineLevel="0" collapsed="false">
      <c r="A10372" s="10" t="n">
        <f aca="false">Einstellungen!$B$5+INT((ROW()-9)/24)</f>
        <v>46397</v>
      </c>
      <c r="B10372" s="11" t="n">
        <f aca="false">MOD(ROW()-9,24)</f>
        <v>19</v>
      </c>
      <c r="C10372" s="12"/>
      <c r="D10372" s="13" t="n">
        <f aca="false">IF(B10372&lt;5,Einstellungen!$B$3,Einstellungen!$B$4)</f>
        <v>29.13</v>
      </c>
      <c r="E10372" s="14" t="str">
        <f aca="false">IF(C10372="","",C10372*D10372/100)</f>
        <v/>
      </c>
      <c r="F10372" s="15" t="str">
        <f aca="false">IF(B10372&lt;5,"Go","Standard")</f>
        <v>Standard</v>
      </c>
    </row>
    <row r="10373" customFormat="false" ht="15" hidden="false" customHeight="true" outlineLevel="0" collapsed="false">
      <c r="A10373" s="10" t="n">
        <f aca="false">Einstellungen!$B$5+INT((ROW()-9)/24)</f>
        <v>46397</v>
      </c>
      <c r="B10373" s="11" t="n">
        <f aca="false">MOD(ROW()-9,24)</f>
        <v>20</v>
      </c>
      <c r="C10373" s="12"/>
      <c r="D10373" s="13" t="n">
        <f aca="false">IF(B10373&lt;5,Einstellungen!$B$3,Einstellungen!$B$4)</f>
        <v>29.13</v>
      </c>
      <c r="E10373" s="14" t="str">
        <f aca="false">IF(C10373="","",C10373*D10373/100)</f>
        <v/>
      </c>
      <c r="F10373" s="15" t="str">
        <f aca="false">IF(B10373&lt;5,"Go","Standard")</f>
        <v>Standard</v>
      </c>
    </row>
    <row r="10374" customFormat="false" ht="15" hidden="false" customHeight="true" outlineLevel="0" collapsed="false">
      <c r="A10374" s="10" t="n">
        <f aca="false">Einstellungen!$B$5+INT((ROW()-9)/24)</f>
        <v>46397</v>
      </c>
      <c r="B10374" s="11" t="n">
        <f aca="false">MOD(ROW()-9,24)</f>
        <v>21</v>
      </c>
      <c r="C10374" s="12"/>
      <c r="D10374" s="13" t="n">
        <f aca="false">IF(B10374&lt;5,Einstellungen!$B$3,Einstellungen!$B$4)</f>
        <v>29.13</v>
      </c>
      <c r="E10374" s="14" t="str">
        <f aca="false">IF(C10374="","",C10374*D10374/100)</f>
        <v/>
      </c>
      <c r="F10374" s="15" t="str">
        <f aca="false">IF(B10374&lt;5,"Go","Standard")</f>
        <v>Standard</v>
      </c>
    </row>
    <row r="10375" customFormat="false" ht="15" hidden="false" customHeight="true" outlineLevel="0" collapsed="false">
      <c r="A10375" s="10" t="n">
        <f aca="false">Einstellungen!$B$5+INT((ROW()-9)/24)</f>
        <v>46397</v>
      </c>
      <c r="B10375" s="11" t="n">
        <f aca="false">MOD(ROW()-9,24)</f>
        <v>22</v>
      </c>
      <c r="C10375" s="12"/>
      <c r="D10375" s="13" t="n">
        <f aca="false">IF(B10375&lt;5,Einstellungen!$B$3,Einstellungen!$B$4)</f>
        <v>29.13</v>
      </c>
      <c r="E10375" s="14" t="str">
        <f aca="false">IF(C10375="","",C10375*D10375/100)</f>
        <v/>
      </c>
      <c r="F10375" s="15" t="str">
        <f aca="false">IF(B10375&lt;5,"Go","Standard")</f>
        <v>Standard</v>
      </c>
    </row>
    <row r="10376" customFormat="false" ht="15" hidden="false" customHeight="true" outlineLevel="0" collapsed="false">
      <c r="A10376" s="10" t="n">
        <f aca="false">Einstellungen!$B$5+INT((ROW()-9)/24)</f>
        <v>46397</v>
      </c>
      <c r="B10376" s="11" t="n">
        <f aca="false">MOD(ROW()-9,24)</f>
        <v>23</v>
      </c>
      <c r="C10376" s="12"/>
      <c r="D10376" s="13" t="n">
        <f aca="false">IF(B10376&lt;5,Einstellungen!$B$3,Einstellungen!$B$4)</f>
        <v>29.13</v>
      </c>
      <c r="E10376" s="14" t="str">
        <f aca="false">IF(C10376="","",C10376*D10376/100)</f>
        <v/>
      </c>
      <c r="F10376" s="15" t="str">
        <f aca="false">IF(B10376&lt;5,"Go","Standard")</f>
        <v>Standard</v>
      </c>
    </row>
    <row r="10377" customFormat="false" ht="15" hidden="false" customHeight="true" outlineLevel="0" collapsed="false">
      <c r="A10377" s="10" t="n">
        <f aca="false">Einstellungen!$B$5+INT((ROW()-9)/24)</f>
        <v>46398</v>
      </c>
      <c r="B10377" s="11" t="n">
        <f aca="false">MOD(ROW()-9,24)</f>
        <v>0</v>
      </c>
      <c r="C10377" s="12"/>
      <c r="D10377" s="13" t="n">
        <f aca="false">IF(B10377&lt;5,Einstellungen!$B$3,Einstellungen!$B$4)</f>
        <v>15.92</v>
      </c>
      <c r="E10377" s="14" t="str">
        <f aca="false">IF(C10377="","",C10377*D10377/100)</f>
        <v/>
      </c>
      <c r="F10377" s="15" t="str">
        <f aca="false">IF(B10377&lt;5,"Go","Standard")</f>
        <v>Go</v>
      </c>
    </row>
    <row r="10378" customFormat="false" ht="15" hidden="false" customHeight="true" outlineLevel="0" collapsed="false">
      <c r="A10378" s="10" t="n">
        <f aca="false">Einstellungen!$B$5+INT((ROW()-9)/24)</f>
        <v>46398</v>
      </c>
      <c r="B10378" s="11" t="n">
        <f aca="false">MOD(ROW()-9,24)</f>
        <v>1</v>
      </c>
      <c r="C10378" s="12"/>
      <c r="D10378" s="13" t="n">
        <f aca="false">IF(B10378&lt;5,Einstellungen!$B$3,Einstellungen!$B$4)</f>
        <v>15.92</v>
      </c>
      <c r="E10378" s="14" t="str">
        <f aca="false">IF(C10378="","",C10378*D10378/100)</f>
        <v/>
      </c>
      <c r="F10378" s="15" t="str">
        <f aca="false">IF(B10378&lt;5,"Go","Standard")</f>
        <v>Go</v>
      </c>
    </row>
    <row r="10379" customFormat="false" ht="15" hidden="false" customHeight="true" outlineLevel="0" collapsed="false">
      <c r="A10379" s="10" t="n">
        <f aca="false">Einstellungen!$B$5+INT((ROW()-9)/24)</f>
        <v>46398</v>
      </c>
      <c r="B10379" s="11" t="n">
        <f aca="false">MOD(ROW()-9,24)</f>
        <v>2</v>
      </c>
      <c r="C10379" s="12"/>
      <c r="D10379" s="13" t="n">
        <f aca="false">IF(B10379&lt;5,Einstellungen!$B$3,Einstellungen!$B$4)</f>
        <v>15.92</v>
      </c>
      <c r="E10379" s="14" t="str">
        <f aca="false">IF(C10379="","",C10379*D10379/100)</f>
        <v/>
      </c>
      <c r="F10379" s="15" t="str">
        <f aca="false">IF(B10379&lt;5,"Go","Standard")</f>
        <v>Go</v>
      </c>
    </row>
    <row r="10380" customFormat="false" ht="15" hidden="false" customHeight="true" outlineLevel="0" collapsed="false">
      <c r="A10380" s="10" t="n">
        <f aca="false">Einstellungen!$B$5+INT((ROW()-9)/24)</f>
        <v>46398</v>
      </c>
      <c r="B10380" s="11" t="n">
        <f aca="false">MOD(ROW()-9,24)</f>
        <v>3</v>
      </c>
      <c r="C10380" s="12"/>
      <c r="D10380" s="13" t="n">
        <f aca="false">IF(B10380&lt;5,Einstellungen!$B$3,Einstellungen!$B$4)</f>
        <v>15.92</v>
      </c>
      <c r="E10380" s="14" t="str">
        <f aca="false">IF(C10380="","",C10380*D10380/100)</f>
        <v/>
      </c>
      <c r="F10380" s="15" t="str">
        <f aca="false">IF(B10380&lt;5,"Go","Standard")</f>
        <v>Go</v>
      </c>
    </row>
    <row r="10381" customFormat="false" ht="15" hidden="false" customHeight="true" outlineLevel="0" collapsed="false">
      <c r="A10381" s="10" t="n">
        <f aca="false">Einstellungen!$B$5+INT((ROW()-9)/24)</f>
        <v>46398</v>
      </c>
      <c r="B10381" s="11" t="n">
        <f aca="false">MOD(ROW()-9,24)</f>
        <v>4</v>
      </c>
      <c r="C10381" s="12"/>
      <c r="D10381" s="13" t="n">
        <f aca="false">IF(B10381&lt;5,Einstellungen!$B$3,Einstellungen!$B$4)</f>
        <v>15.92</v>
      </c>
      <c r="E10381" s="14" t="str">
        <f aca="false">IF(C10381="","",C10381*D10381/100)</f>
        <v/>
      </c>
      <c r="F10381" s="15" t="str">
        <f aca="false">IF(B10381&lt;5,"Go","Standard")</f>
        <v>Go</v>
      </c>
    </row>
    <row r="10382" customFormat="false" ht="15" hidden="false" customHeight="true" outlineLevel="0" collapsed="false">
      <c r="A10382" s="10" t="n">
        <f aca="false">Einstellungen!$B$5+INT((ROW()-9)/24)</f>
        <v>46398</v>
      </c>
      <c r="B10382" s="11" t="n">
        <f aca="false">MOD(ROW()-9,24)</f>
        <v>5</v>
      </c>
      <c r="C10382" s="12"/>
      <c r="D10382" s="13" t="n">
        <f aca="false">IF(B10382&lt;5,Einstellungen!$B$3,Einstellungen!$B$4)</f>
        <v>29.13</v>
      </c>
      <c r="E10382" s="14" t="str">
        <f aca="false">IF(C10382="","",C10382*D10382/100)</f>
        <v/>
      </c>
      <c r="F10382" s="15" t="str">
        <f aca="false">IF(B10382&lt;5,"Go","Standard")</f>
        <v>Standard</v>
      </c>
    </row>
    <row r="10383" customFormat="false" ht="15" hidden="false" customHeight="true" outlineLevel="0" collapsed="false">
      <c r="A10383" s="10" t="n">
        <f aca="false">Einstellungen!$B$5+INT((ROW()-9)/24)</f>
        <v>46398</v>
      </c>
      <c r="B10383" s="11" t="n">
        <f aca="false">MOD(ROW()-9,24)</f>
        <v>6</v>
      </c>
      <c r="C10383" s="12"/>
      <c r="D10383" s="13" t="n">
        <f aca="false">IF(B10383&lt;5,Einstellungen!$B$3,Einstellungen!$B$4)</f>
        <v>29.13</v>
      </c>
      <c r="E10383" s="14" t="str">
        <f aca="false">IF(C10383="","",C10383*D10383/100)</f>
        <v/>
      </c>
      <c r="F10383" s="15" t="str">
        <f aca="false">IF(B10383&lt;5,"Go","Standard")</f>
        <v>Standard</v>
      </c>
    </row>
    <row r="10384" customFormat="false" ht="15" hidden="false" customHeight="true" outlineLevel="0" collapsed="false">
      <c r="A10384" s="10" t="n">
        <f aca="false">Einstellungen!$B$5+INT((ROW()-9)/24)</f>
        <v>46398</v>
      </c>
      <c r="B10384" s="11" t="n">
        <f aca="false">MOD(ROW()-9,24)</f>
        <v>7</v>
      </c>
      <c r="C10384" s="12"/>
      <c r="D10384" s="13" t="n">
        <f aca="false">IF(B10384&lt;5,Einstellungen!$B$3,Einstellungen!$B$4)</f>
        <v>29.13</v>
      </c>
      <c r="E10384" s="14" t="str">
        <f aca="false">IF(C10384="","",C10384*D10384/100)</f>
        <v/>
      </c>
      <c r="F10384" s="15" t="str">
        <f aca="false">IF(B10384&lt;5,"Go","Standard")</f>
        <v>Standard</v>
      </c>
    </row>
    <row r="10385" customFormat="false" ht="15" hidden="false" customHeight="true" outlineLevel="0" collapsed="false">
      <c r="A10385" s="10" t="n">
        <f aca="false">Einstellungen!$B$5+INT((ROW()-9)/24)</f>
        <v>46398</v>
      </c>
      <c r="B10385" s="11" t="n">
        <f aca="false">MOD(ROW()-9,24)</f>
        <v>8</v>
      </c>
      <c r="C10385" s="12"/>
      <c r="D10385" s="13" t="n">
        <f aca="false">IF(B10385&lt;5,Einstellungen!$B$3,Einstellungen!$B$4)</f>
        <v>29.13</v>
      </c>
      <c r="E10385" s="14" t="str">
        <f aca="false">IF(C10385="","",C10385*D10385/100)</f>
        <v/>
      </c>
      <c r="F10385" s="15" t="str">
        <f aca="false">IF(B10385&lt;5,"Go","Standard")</f>
        <v>Standard</v>
      </c>
    </row>
    <row r="10386" customFormat="false" ht="15" hidden="false" customHeight="true" outlineLevel="0" collapsed="false">
      <c r="A10386" s="10" t="n">
        <f aca="false">Einstellungen!$B$5+INT((ROW()-9)/24)</f>
        <v>46398</v>
      </c>
      <c r="B10386" s="11" t="n">
        <f aca="false">MOD(ROW()-9,24)</f>
        <v>9</v>
      </c>
      <c r="C10386" s="12"/>
      <c r="D10386" s="13" t="n">
        <f aca="false">IF(B10386&lt;5,Einstellungen!$B$3,Einstellungen!$B$4)</f>
        <v>29.13</v>
      </c>
      <c r="E10386" s="14" t="str">
        <f aca="false">IF(C10386="","",C10386*D10386/100)</f>
        <v/>
      </c>
      <c r="F10386" s="15" t="str">
        <f aca="false">IF(B10386&lt;5,"Go","Standard")</f>
        <v>Standard</v>
      </c>
    </row>
    <row r="10387" customFormat="false" ht="15" hidden="false" customHeight="true" outlineLevel="0" collapsed="false">
      <c r="A10387" s="10" t="n">
        <f aca="false">Einstellungen!$B$5+INT((ROW()-9)/24)</f>
        <v>46398</v>
      </c>
      <c r="B10387" s="11" t="n">
        <f aca="false">MOD(ROW()-9,24)</f>
        <v>10</v>
      </c>
      <c r="C10387" s="12"/>
      <c r="D10387" s="13" t="n">
        <f aca="false">IF(B10387&lt;5,Einstellungen!$B$3,Einstellungen!$B$4)</f>
        <v>29.13</v>
      </c>
      <c r="E10387" s="14" t="str">
        <f aca="false">IF(C10387="","",C10387*D10387/100)</f>
        <v/>
      </c>
      <c r="F10387" s="15" t="str">
        <f aca="false">IF(B10387&lt;5,"Go","Standard")</f>
        <v>Standard</v>
      </c>
    </row>
    <row r="10388" customFormat="false" ht="15" hidden="false" customHeight="true" outlineLevel="0" collapsed="false">
      <c r="A10388" s="10" t="n">
        <f aca="false">Einstellungen!$B$5+INT((ROW()-9)/24)</f>
        <v>46398</v>
      </c>
      <c r="B10388" s="11" t="n">
        <f aca="false">MOD(ROW()-9,24)</f>
        <v>11</v>
      </c>
      <c r="C10388" s="12"/>
      <c r="D10388" s="13" t="n">
        <f aca="false">IF(B10388&lt;5,Einstellungen!$B$3,Einstellungen!$B$4)</f>
        <v>29.13</v>
      </c>
      <c r="E10388" s="14" t="str">
        <f aca="false">IF(C10388="","",C10388*D10388/100)</f>
        <v/>
      </c>
      <c r="F10388" s="15" t="str">
        <f aca="false">IF(B10388&lt;5,"Go","Standard")</f>
        <v>Standard</v>
      </c>
    </row>
    <row r="10389" customFormat="false" ht="15" hidden="false" customHeight="true" outlineLevel="0" collapsed="false">
      <c r="A10389" s="10" t="n">
        <f aca="false">Einstellungen!$B$5+INT((ROW()-9)/24)</f>
        <v>46398</v>
      </c>
      <c r="B10389" s="11" t="n">
        <f aca="false">MOD(ROW()-9,24)</f>
        <v>12</v>
      </c>
      <c r="C10389" s="12"/>
      <c r="D10389" s="13" t="n">
        <f aca="false">IF(B10389&lt;5,Einstellungen!$B$3,Einstellungen!$B$4)</f>
        <v>29.13</v>
      </c>
      <c r="E10389" s="14" t="str">
        <f aca="false">IF(C10389="","",C10389*D10389/100)</f>
        <v/>
      </c>
      <c r="F10389" s="15" t="str">
        <f aca="false">IF(B10389&lt;5,"Go","Standard")</f>
        <v>Standard</v>
      </c>
    </row>
    <row r="10390" customFormat="false" ht="15" hidden="false" customHeight="true" outlineLevel="0" collapsed="false">
      <c r="A10390" s="10" t="n">
        <f aca="false">Einstellungen!$B$5+INT((ROW()-9)/24)</f>
        <v>46398</v>
      </c>
      <c r="B10390" s="11" t="n">
        <f aca="false">MOD(ROW()-9,24)</f>
        <v>13</v>
      </c>
      <c r="C10390" s="12"/>
      <c r="D10390" s="13" t="n">
        <f aca="false">IF(B10390&lt;5,Einstellungen!$B$3,Einstellungen!$B$4)</f>
        <v>29.13</v>
      </c>
      <c r="E10390" s="14" t="str">
        <f aca="false">IF(C10390="","",C10390*D10390/100)</f>
        <v/>
      </c>
      <c r="F10390" s="15" t="str">
        <f aca="false">IF(B10390&lt;5,"Go","Standard")</f>
        <v>Standard</v>
      </c>
    </row>
    <row r="10391" customFormat="false" ht="15" hidden="false" customHeight="true" outlineLevel="0" collapsed="false">
      <c r="A10391" s="10" t="n">
        <f aca="false">Einstellungen!$B$5+INT((ROW()-9)/24)</f>
        <v>46398</v>
      </c>
      <c r="B10391" s="11" t="n">
        <f aca="false">MOD(ROW()-9,24)</f>
        <v>14</v>
      </c>
      <c r="C10391" s="12"/>
      <c r="D10391" s="13" t="n">
        <f aca="false">IF(B10391&lt;5,Einstellungen!$B$3,Einstellungen!$B$4)</f>
        <v>29.13</v>
      </c>
      <c r="E10391" s="14" t="str">
        <f aca="false">IF(C10391="","",C10391*D10391/100)</f>
        <v/>
      </c>
      <c r="F10391" s="15" t="str">
        <f aca="false">IF(B10391&lt;5,"Go","Standard")</f>
        <v>Standard</v>
      </c>
    </row>
    <row r="10392" customFormat="false" ht="15" hidden="false" customHeight="true" outlineLevel="0" collapsed="false">
      <c r="A10392" s="10" t="n">
        <f aca="false">Einstellungen!$B$5+INT((ROW()-9)/24)</f>
        <v>46398</v>
      </c>
      <c r="B10392" s="11" t="n">
        <f aca="false">MOD(ROW()-9,24)</f>
        <v>15</v>
      </c>
      <c r="C10392" s="12"/>
      <c r="D10392" s="13" t="n">
        <f aca="false">IF(B10392&lt;5,Einstellungen!$B$3,Einstellungen!$B$4)</f>
        <v>29.13</v>
      </c>
      <c r="E10392" s="14" t="str">
        <f aca="false">IF(C10392="","",C10392*D10392/100)</f>
        <v/>
      </c>
      <c r="F10392" s="15" t="str">
        <f aca="false">IF(B10392&lt;5,"Go","Standard")</f>
        <v>Standard</v>
      </c>
    </row>
    <row r="10393" customFormat="false" ht="15" hidden="false" customHeight="true" outlineLevel="0" collapsed="false">
      <c r="A10393" s="10" t="n">
        <f aca="false">Einstellungen!$B$5+INT((ROW()-9)/24)</f>
        <v>46398</v>
      </c>
      <c r="B10393" s="11" t="n">
        <f aca="false">MOD(ROW()-9,24)</f>
        <v>16</v>
      </c>
      <c r="C10393" s="12"/>
      <c r="D10393" s="13" t="n">
        <f aca="false">IF(B10393&lt;5,Einstellungen!$B$3,Einstellungen!$B$4)</f>
        <v>29.13</v>
      </c>
      <c r="E10393" s="14" t="str">
        <f aca="false">IF(C10393="","",C10393*D10393/100)</f>
        <v/>
      </c>
      <c r="F10393" s="15" t="str">
        <f aca="false">IF(B10393&lt;5,"Go","Standard")</f>
        <v>Standard</v>
      </c>
    </row>
    <row r="10394" customFormat="false" ht="15" hidden="false" customHeight="true" outlineLevel="0" collapsed="false">
      <c r="A10394" s="10" t="n">
        <f aca="false">Einstellungen!$B$5+INT((ROW()-9)/24)</f>
        <v>46398</v>
      </c>
      <c r="B10394" s="11" t="n">
        <f aca="false">MOD(ROW()-9,24)</f>
        <v>17</v>
      </c>
      <c r="C10394" s="12"/>
      <c r="D10394" s="13" t="n">
        <f aca="false">IF(B10394&lt;5,Einstellungen!$B$3,Einstellungen!$B$4)</f>
        <v>29.13</v>
      </c>
      <c r="E10394" s="14" t="str">
        <f aca="false">IF(C10394="","",C10394*D10394/100)</f>
        <v/>
      </c>
      <c r="F10394" s="15" t="str">
        <f aca="false">IF(B10394&lt;5,"Go","Standard")</f>
        <v>Standard</v>
      </c>
    </row>
    <row r="10395" customFormat="false" ht="15" hidden="false" customHeight="true" outlineLevel="0" collapsed="false">
      <c r="A10395" s="10" t="n">
        <f aca="false">Einstellungen!$B$5+INT((ROW()-9)/24)</f>
        <v>46398</v>
      </c>
      <c r="B10395" s="11" t="n">
        <f aca="false">MOD(ROW()-9,24)</f>
        <v>18</v>
      </c>
      <c r="C10395" s="12"/>
      <c r="D10395" s="13" t="n">
        <f aca="false">IF(B10395&lt;5,Einstellungen!$B$3,Einstellungen!$B$4)</f>
        <v>29.13</v>
      </c>
      <c r="E10395" s="14" t="str">
        <f aca="false">IF(C10395="","",C10395*D10395/100)</f>
        <v/>
      </c>
      <c r="F10395" s="15" t="str">
        <f aca="false">IF(B10395&lt;5,"Go","Standard")</f>
        <v>Standard</v>
      </c>
    </row>
    <row r="10396" customFormat="false" ht="15" hidden="false" customHeight="true" outlineLevel="0" collapsed="false">
      <c r="A10396" s="10" t="n">
        <f aca="false">Einstellungen!$B$5+INT((ROW()-9)/24)</f>
        <v>46398</v>
      </c>
      <c r="B10396" s="11" t="n">
        <f aca="false">MOD(ROW()-9,24)</f>
        <v>19</v>
      </c>
      <c r="C10396" s="12"/>
      <c r="D10396" s="13" t="n">
        <f aca="false">IF(B10396&lt;5,Einstellungen!$B$3,Einstellungen!$B$4)</f>
        <v>29.13</v>
      </c>
      <c r="E10396" s="14" t="str">
        <f aca="false">IF(C10396="","",C10396*D10396/100)</f>
        <v/>
      </c>
      <c r="F10396" s="15" t="str">
        <f aca="false">IF(B10396&lt;5,"Go","Standard")</f>
        <v>Standard</v>
      </c>
    </row>
    <row r="10397" customFormat="false" ht="15" hidden="false" customHeight="true" outlineLevel="0" collapsed="false">
      <c r="A10397" s="10" t="n">
        <f aca="false">Einstellungen!$B$5+INT((ROW()-9)/24)</f>
        <v>46398</v>
      </c>
      <c r="B10397" s="11" t="n">
        <f aca="false">MOD(ROW()-9,24)</f>
        <v>20</v>
      </c>
      <c r="C10397" s="12"/>
      <c r="D10397" s="13" t="n">
        <f aca="false">IF(B10397&lt;5,Einstellungen!$B$3,Einstellungen!$B$4)</f>
        <v>29.13</v>
      </c>
      <c r="E10397" s="14" t="str">
        <f aca="false">IF(C10397="","",C10397*D10397/100)</f>
        <v/>
      </c>
      <c r="F10397" s="15" t="str">
        <f aca="false">IF(B10397&lt;5,"Go","Standard")</f>
        <v>Standard</v>
      </c>
    </row>
    <row r="10398" customFormat="false" ht="15" hidden="false" customHeight="true" outlineLevel="0" collapsed="false">
      <c r="A10398" s="10" t="n">
        <f aca="false">Einstellungen!$B$5+INT((ROW()-9)/24)</f>
        <v>46398</v>
      </c>
      <c r="B10398" s="11" t="n">
        <f aca="false">MOD(ROW()-9,24)</f>
        <v>21</v>
      </c>
      <c r="C10398" s="12"/>
      <c r="D10398" s="13" t="n">
        <f aca="false">IF(B10398&lt;5,Einstellungen!$B$3,Einstellungen!$B$4)</f>
        <v>29.13</v>
      </c>
      <c r="E10398" s="14" t="str">
        <f aca="false">IF(C10398="","",C10398*D10398/100)</f>
        <v/>
      </c>
      <c r="F10398" s="15" t="str">
        <f aca="false">IF(B10398&lt;5,"Go","Standard")</f>
        <v>Standard</v>
      </c>
    </row>
    <row r="10399" customFormat="false" ht="15" hidden="false" customHeight="true" outlineLevel="0" collapsed="false">
      <c r="A10399" s="10" t="n">
        <f aca="false">Einstellungen!$B$5+INT((ROW()-9)/24)</f>
        <v>46398</v>
      </c>
      <c r="B10399" s="11" t="n">
        <f aca="false">MOD(ROW()-9,24)</f>
        <v>22</v>
      </c>
      <c r="C10399" s="12"/>
      <c r="D10399" s="13" t="n">
        <f aca="false">IF(B10399&lt;5,Einstellungen!$B$3,Einstellungen!$B$4)</f>
        <v>29.13</v>
      </c>
      <c r="E10399" s="14" t="str">
        <f aca="false">IF(C10399="","",C10399*D10399/100)</f>
        <v/>
      </c>
      <c r="F10399" s="15" t="str">
        <f aca="false">IF(B10399&lt;5,"Go","Standard")</f>
        <v>Standard</v>
      </c>
    </row>
    <row r="10400" customFormat="false" ht="15" hidden="false" customHeight="true" outlineLevel="0" collapsed="false">
      <c r="A10400" s="10" t="n">
        <f aca="false">Einstellungen!$B$5+INT((ROW()-9)/24)</f>
        <v>46398</v>
      </c>
      <c r="B10400" s="11" t="n">
        <f aca="false">MOD(ROW()-9,24)</f>
        <v>23</v>
      </c>
      <c r="C10400" s="12"/>
      <c r="D10400" s="13" t="n">
        <f aca="false">IF(B10400&lt;5,Einstellungen!$B$3,Einstellungen!$B$4)</f>
        <v>29.13</v>
      </c>
      <c r="E10400" s="14" t="str">
        <f aca="false">IF(C10400="","",C10400*D10400/100)</f>
        <v/>
      </c>
      <c r="F10400" s="15" t="str">
        <f aca="false">IF(B10400&lt;5,"Go","Standard")</f>
        <v>Standard</v>
      </c>
    </row>
    <row r="10401" customFormat="false" ht="15" hidden="false" customHeight="true" outlineLevel="0" collapsed="false">
      <c r="A10401" s="10" t="n">
        <f aca="false">Einstellungen!$B$5+INT((ROW()-9)/24)</f>
        <v>46399</v>
      </c>
      <c r="B10401" s="11" t="n">
        <f aca="false">MOD(ROW()-9,24)</f>
        <v>0</v>
      </c>
      <c r="C10401" s="12"/>
      <c r="D10401" s="13" t="n">
        <f aca="false">IF(B10401&lt;5,Einstellungen!$B$3,Einstellungen!$B$4)</f>
        <v>15.92</v>
      </c>
      <c r="E10401" s="14" t="str">
        <f aca="false">IF(C10401="","",C10401*D10401/100)</f>
        <v/>
      </c>
      <c r="F10401" s="15" t="str">
        <f aca="false">IF(B10401&lt;5,"Go","Standard")</f>
        <v>Go</v>
      </c>
    </row>
    <row r="10402" customFormat="false" ht="15" hidden="false" customHeight="true" outlineLevel="0" collapsed="false">
      <c r="A10402" s="10" t="n">
        <f aca="false">Einstellungen!$B$5+INT((ROW()-9)/24)</f>
        <v>46399</v>
      </c>
      <c r="B10402" s="11" t="n">
        <f aca="false">MOD(ROW()-9,24)</f>
        <v>1</v>
      </c>
      <c r="C10402" s="12"/>
      <c r="D10402" s="13" t="n">
        <f aca="false">IF(B10402&lt;5,Einstellungen!$B$3,Einstellungen!$B$4)</f>
        <v>15.92</v>
      </c>
      <c r="E10402" s="14" t="str">
        <f aca="false">IF(C10402="","",C10402*D10402/100)</f>
        <v/>
      </c>
      <c r="F10402" s="15" t="str">
        <f aca="false">IF(B10402&lt;5,"Go","Standard")</f>
        <v>Go</v>
      </c>
    </row>
    <row r="10403" customFormat="false" ht="15" hidden="false" customHeight="true" outlineLevel="0" collapsed="false">
      <c r="A10403" s="10" t="n">
        <f aca="false">Einstellungen!$B$5+INT((ROW()-9)/24)</f>
        <v>46399</v>
      </c>
      <c r="B10403" s="11" t="n">
        <f aca="false">MOD(ROW()-9,24)</f>
        <v>2</v>
      </c>
      <c r="C10403" s="12"/>
      <c r="D10403" s="13" t="n">
        <f aca="false">IF(B10403&lt;5,Einstellungen!$B$3,Einstellungen!$B$4)</f>
        <v>15.92</v>
      </c>
      <c r="E10403" s="14" t="str">
        <f aca="false">IF(C10403="","",C10403*D10403/100)</f>
        <v/>
      </c>
      <c r="F10403" s="15" t="str">
        <f aca="false">IF(B10403&lt;5,"Go","Standard")</f>
        <v>Go</v>
      </c>
    </row>
    <row r="10404" customFormat="false" ht="15" hidden="false" customHeight="true" outlineLevel="0" collapsed="false">
      <c r="A10404" s="10" t="n">
        <f aca="false">Einstellungen!$B$5+INT((ROW()-9)/24)</f>
        <v>46399</v>
      </c>
      <c r="B10404" s="11" t="n">
        <f aca="false">MOD(ROW()-9,24)</f>
        <v>3</v>
      </c>
      <c r="C10404" s="12"/>
      <c r="D10404" s="13" t="n">
        <f aca="false">IF(B10404&lt;5,Einstellungen!$B$3,Einstellungen!$B$4)</f>
        <v>15.92</v>
      </c>
      <c r="E10404" s="14" t="str">
        <f aca="false">IF(C10404="","",C10404*D10404/100)</f>
        <v/>
      </c>
      <c r="F10404" s="15" t="str">
        <f aca="false">IF(B10404&lt;5,"Go","Standard")</f>
        <v>Go</v>
      </c>
    </row>
    <row r="10405" customFormat="false" ht="15" hidden="false" customHeight="true" outlineLevel="0" collapsed="false">
      <c r="A10405" s="10" t="n">
        <f aca="false">Einstellungen!$B$5+INT((ROW()-9)/24)</f>
        <v>46399</v>
      </c>
      <c r="B10405" s="11" t="n">
        <f aca="false">MOD(ROW()-9,24)</f>
        <v>4</v>
      </c>
      <c r="C10405" s="12"/>
      <c r="D10405" s="13" t="n">
        <f aca="false">IF(B10405&lt;5,Einstellungen!$B$3,Einstellungen!$B$4)</f>
        <v>15.92</v>
      </c>
      <c r="E10405" s="14" t="str">
        <f aca="false">IF(C10405="","",C10405*D10405/100)</f>
        <v/>
      </c>
      <c r="F10405" s="15" t="str">
        <f aca="false">IF(B10405&lt;5,"Go","Standard")</f>
        <v>Go</v>
      </c>
    </row>
    <row r="10406" customFormat="false" ht="15" hidden="false" customHeight="true" outlineLevel="0" collapsed="false">
      <c r="A10406" s="10" t="n">
        <f aca="false">Einstellungen!$B$5+INT((ROW()-9)/24)</f>
        <v>46399</v>
      </c>
      <c r="B10406" s="11" t="n">
        <f aca="false">MOD(ROW()-9,24)</f>
        <v>5</v>
      </c>
      <c r="C10406" s="12"/>
      <c r="D10406" s="13" t="n">
        <f aca="false">IF(B10406&lt;5,Einstellungen!$B$3,Einstellungen!$B$4)</f>
        <v>29.13</v>
      </c>
      <c r="E10406" s="14" t="str">
        <f aca="false">IF(C10406="","",C10406*D10406/100)</f>
        <v/>
      </c>
      <c r="F10406" s="15" t="str">
        <f aca="false">IF(B10406&lt;5,"Go","Standard")</f>
        <v>Standard</v>
      </c>
    </row>
    <row r="10407" customFormat="false" ht="15" hidden="false" customHeight="true" outlineLevel="0" collapsed="false">
      <c r="A10407" s="10" t="n">
        <f aca="false">Einstellungen!$B$5+INT((ROW()-9)/24)</f>
        <v>46399</v>
      </c>
      <c r="B10407" s="11" t="n">
        <f aca="false">MOD(ROW()-9,24)</f>
        <v>6</v>
      </c>
      <c r="C10407" s="12"/>
      <c r="D10407" s="13" t="n">
        <f aca="false">IF(B10407&lt;5,Einstellungen!$B$3,Einstellungen!$B$4)</f>
        <v>29.13</v>
      </c>
      <c r="E10407" s="14" t="str">
        <f aca="false">IF(C10407="","",C10407*D10407/100)</f>
        <v/>
      </c>
      <c r="F10407" s="15" t="str">
        <f aca="false">IF(B10407&lt;5,"Go","Standard")</f>
        <v>Standard</v>
      </c>
    </row>
    <row r="10408" customFormat="false" ht="15" hidden="false" customHeight="true" outlineLevel="0" collapsed="false">
      <c r="A10408" s="10" t="n">
        <f aca="false">Einstellungen!$B$5+INT((ROW()-9)/24)</f>
        <v>46399</v>
      </c>
      <c r="B10408" s="11" t="n">
        <f aca="false">MOD(ROW()-9,24)</f>
        <v>7</v>
      </c>
      <c r="C10408" s="12"/>
      <c r="D10408" s="13" t="n">
        <f aca="false">IF(B10408&lt;5,Einstellungen!$B$3,Einstellungen!$B$4)</f>
        <v>29.13</v>
      </c>
      <c r="E10408" s="14" t="str">
        <f aca="false">IF(C10408="","",C10408*D10408/100)</f>
        <v/>
      </c>
      <c r="F10408" s="15" t="str">
        <f aca="false">IF(B10408&lt;5,"Go","Standard")</f>
        <v>Standard</v>
      </c>
    </row>
    <row r="10409" customFormat="false" ht="15" hidden="false" customHeight="true" outlineLevel="0" collapsed="false">
      <c r="A10409" s="10" t="n">
        <f aca="false">Einstellungen!$B$5+INT((ROW()-9)/24)</f>
        <v>46399</v>
      </c>
      <c r="B10409" s="11" t="n">
        <f aca="false">MOD(ROW()-9,24)</f>
        <v>8</v>
      </c>
      <c r="C10409" s="12"/>
      <c r="D10409" s="13" t="n">
        <f aca="false">IF(B10409&lt;5,Einstellungen!$B$3,Einstellungen!$B$4)</f>
        <v>29.13</v>
      </c>
      <c r="E10409" s="14" t="str">
        <f aca="false">IF(C10409="","",C10409*D10409/100)</f>
        <v/>
      </c>
      <c r="F10409" s="15" t="str">
        <f aca="false">IF(B10409&lt;5,"Go","Standard")</f>
        <v>Standard</v>
      </c>
    </row>
    <row r="10410" customFormat="false" ht="15" hidden="false" customHeight="true" outlineLevel="0" collapsed="false">
      <c r="A10410" s="10" t="n">
        <f aca="false">Einstellungen!$B$5+INT((ROW()-9)/24)</f>
        <v>46399</v>
      </c>
      <c r="B10410" s="11" t="n">
        <f aca="false">MOD(ROW()-9,24)</f>
        <v>9</v>
      </c>
      <c r="C10410" s="12"/>
      <c r="D10410" s="13" t="n">
        <f aca="false">IF(B10410&lt;5,Einstellungen!$B$3,Einstellungen!$B$4)</f>
        <v>29.13</v>
      </c>
      <c r="E10410" s="14" t="str">
        <f aca="false">IF(C10410="","",C10410*D10410/100)</f>
        <v/>
      </c>
      <c r="F10410" s="15" t="str">
        <f aca="false">IF(B10410&lt;5,"Go","Standard")</f>
        <v>Standard</v>
      </c>
    </row>
    <row r="10411" customFormat="false" ht="15" hidden="false" customHeight="true" outlineLevel="0" collapsed="false">
      <c r="A10411" s="10" t="n">
        <f aca="false">Einstellungen!$B$5+INT((ROW()-9)/24)</f>
        <v>46399</v>
      </c>
      <c r="B10411" s="11" t="n">
        <f aca="false">MOD(ROW()-9,24)</f>
        <v>10</v>
      </c>
      <c r="C10411" s="12"/>
      <c r="D10411" s="13" t="n">
        <f aca="false">IF(B10411&lt;5,Einstellungen!$B$3,Einstellungen!$B$4)</f>
        <v>29.13</v>
      </c>
      <c r="E10411" s="14" t="str">
        <f aca="false">IF(C10411="","",C10411*D10411/100)</f>
        <v/>
      </c>
      <c r="F10411" s="15" t="str">
        <f aca="false">IF(B10411&lt;5,"Go","Standard")</f>
        <v>Standard</v>
      </c>
    </row>
    <row r="10412" customFormat="false" ht="15" hidden="false" customHeight="true" outlineLevel="0" collapsed="false">
      <c r="A10412" s="10" t="n">
        <f aca="false">Einstellungen!$B$5+INT((ROW()-9)/24)</f>
        <v>46399</v>
      </c>
      <c r="B10412" s="11" t="n">
        <f aca="false">MOD(ROW()-9,24)</f>
        <v>11</v>
      </c>
      <c r="C10412" s="12"/>
      <c r="D10412" s="13" t="n">
        <f aca="false">IF(B10412&lt;5,Einstellungen!$B$3,Einstellungen!$B$4)</f>
        <v>29.13</v>
      </c>
      <c r="E10412" s="14" t="str">
        <f aca="false">IF(C10412="","",C10412*D10412/100)</f>
        <v/>
      </c>
      <c r="F10412" s="15" t="str">
        <f aca="false">IF(B10412&lt;5,"Go","Standard")</f>
        <v>Standard</v>
      </c>
    </row>
    <row r="10413" customFormat="false" ht="15" hidden="false" customHeight="true" outlineLevel="0" collapsed="false">
      <c r="A10413" s="10" t="n">
        <f aca="false">Einstellungen!$B$5+INT((ROW()-9)/24)</f>
        <v>46399</v>
      </c>
      <c r="B10413" s="11" t="n">
        <f aca="false">MOD(ROW()-9,24)</f>
        <v>12</v>
      </c>
      <c r="C10413" s="12"/>
      <c r="D10413" s="13" t="n">
        <f aca="false">IF(B10413&lt;5,Einstellungen!$B$3,Einstellungen!$B$4)</f>
        <v>29.13</v>
      </c>
      <c r="E10413" s="14" t="str">
        <f aca="false">IF(C10413="","",C10413*D10413/100)</f>
        <v/>
      </c>
      <c r="F10413" s="15" t="str">
        <f aca="false">IF(B10413&lt;5,"Go","Standard")</f>
        <v>Standard</v>
      </c>
    </row>
    <row r="10414" customFormat="false" ht="15" hidden="false" customHeight="true" outlineLevel="0" collapsed="false">
      <c r="A10414" s="10" t="n">
        <f aca="false">Einstellungen!$B$5+INT((ROW()-9)/24)</f>
        <v>46399</v>
      </c>
      <c r="B10414" s="11" t="n">
        <f aca="false">MOD(ROW()-9,24)</f>
        <v>13</v>
      </c>
      <c r="C10414" s="12"/>
      <c r="D10414" s="13" t="n">
        <f aca="false">IF(B10414&lt;5,Einstellungen!$B$3,Einstellungen!$B$4)</f>
        <v>29.13</v>
      </c>
      <c r="E10414" s="14" t="str">
        <f aca="false">IF(C10414="","",C10414*D10414/100)</f>
        <v/>
      </c>
      <c r="F10414" s="15" t="str">
        <f aca="false">IF(B10414&lt;5,"Go","Standard")</f>
        <v>Standard</v>
      </c>
    </row>
    <row r="10415" customFormat="false" ht="15" hidden="false" customHeight="true" outlineLevel="0" collapsed="false">
      <c r="A10415" s="10" t="n">
        <f aca="false">Einstellungen!$B$5+INT((ROW()-9)/24)</f>
        <v>46399</v>
      </c>
      <c r="B10415" s="11" t="n">
        <f aca="false">MOD(ROW()-9,24)</f>
        <v>14</v>
      </c>
      <c r="C10415" s="12"/>
      <c r="D10415" s="13" t="n">
        <f aca="false">IF(B10415&lt;5,Einstellungen!$B$3,Einstellungen!$B$4)</f>
        <v>29.13</v>
      </c>
      <c r="E10415" s="14" t="str">
        <f aca="false">IF(C10415="","",C10415*D10415/100)</f>
        <v/>
      </c>
      <c r="F10415" s="15" t="str">
        <f aca="false">IF(B10415&lt;5,"Go","Standard")</f>
        <v>Standard</v>
      </c>
    </row>
    <row r="10416" customFormat="false" ht="15" hidden="false" customHeight="true" outlineLevel="0" collapsed="false">
      <c r="A10416" s="10" t="n">
        <f aca="false">Einstellungen!$B$5+INT((ROW()-9)/24)</f>
        <v>46399</v>
      </c>
      <c r="B10416" s="11" t="n">
        <f aca="false">MOD(ROW()-9,24)</f>
        <v>15</v>
      </c>
      <c r="C10416" s="12"/>
      <c r="D10416" s="13" t="n">
        <f aca="false">IF(B10416&lt;5,Einstellungen!$B$3,Einstellungen!$B$4)</f>
        <v>29.13</v>
      </c>
      <c r="E10416" s="14" t="str">
        <f aca="false">IF(C10416="","",C10416*D10416/100)</f>
        <v/>
      </c>
      <c r="F10416" s="15" t="str">
        <f aca="false">IF(B10416&lt;5,"Go","Standard")</f>
        <v>Standard</v>
      </c>
    </row>
    <row r="10417" customFormat="false" ht="15" hidden="false" customHeight="true" outlineLevel="0" collapsed="false">
      <c r="A10417" s="10" t="n">
        <f aca="false">Einstellungen!$B$5+INT((ROW()-9)/24)</f>
        <v>46399</v>
      </c>
      <c r="B10417" s="11" t="n">
        <f aca="false">MOD(ROW()-9,24)</f>
        <v>16</v>
      </c>
      <c r="C10417" s="12"/>
      <c r="D10417" s="13" t="n">
        <f aca="false">IF(B10417&lt;5,Einstellungen!$B$3,Einstellungen!$B$4)</f>
        <v>29.13</v>
      </c>
      <c r="E10417" s="14" t="str">
        <f aca="false">IF(C10417="","",C10417*D10417/100)</f>
        <v/>
      </c>
      <c r="F10417" s="15" t="str">
        <f aca="false">IF(B10417&lt;5,"Go","Standard")</f>
        <v>Standard</v>
      </c>
    </row>
    <row r="10418" customFormat="false" ht="15" hidden="false" customHeight="true" outlineLevel="0" collapsed="false">
      <c r="A10418" s="10" t="n">
        <f aca="false">Einstellungen!$B$5+INT((ROW()-9)/24)</f>
        <v>46399</v>
      </c>
      <c r="B10418" s="11" t="n">
        <f aca="false">MOD(ROW()-9,24)</f>
        <v>17</v>
      </c>
      <c r="C10418" s="12"/>
      <c r="D10418" s="13" t="n">
        <f aca="false">IF(B10418&lt;5,Einstellungen!$B$3,Einstellungen!$B$4)</f>
        <v>29.13</v>
      </c>
      <c r="E10418" s="14" t="str">
        <f aca="false">IF(C10418="","",C10418*D10418/100)</f>
        <v/>
      </c>
      <c r="F10418" s="15" t="str">
        <f aca="false">IF(B10418&lt;5,"Go","Standard")</f>
        <v>Standard</v>
      </c>
    </row>
    <row r="10419" customFormat="false" ht="15" hidden="false" customHeight="true" outlineLevel="0" collapsed="false">
      <c r="A10419" s="10" t="n">
        <f aca="false">Einstellungen!$B$5+INT((ROW()-9)/24)</f>
        <v>46399</v>
      </c>
      <c r="B10419" s="11" t="n">
        <f aca="false">MOD(ROW()-9,24)</f>
        <v>18</v>
      </c>
      <c r="C10419" s="12"/>
      <c r="D10419" s="13" t="n">
        <f aca="false">IF(B10419&lt;5,Einstellungen!$B$3,Einstellungen!$B$4)</f>
        <v>29.13</v>
      </c>
      <c r="E10419" s="14" t="str">
        <f aca="false">IF(C10419="","",C10419*D10419/100)</f>
        <v/>
      </c>
      <c r="F10419" s="15" t="str">
        <f aca="false">IF(B10419&lt;5,"Go","Standard")</f>
        <v>Standard</v>
      </c>
    </row>
    <row r="10420" customFormat="false" ht="15" hidden="false" customHeight="true" outlineLevel="0" collapsed="false">
      <c r="A10420" s="10" t="n">
        <f aca="false">Einstellungen!$B$5+INT((ROW()-9)/24)</f>
        <v>46399</v>
      </c>
      <c r="B10420" s="11" t="n">
        <f aca="false">MOD(ROW()-9,24)</f>
        <v>19</v>
      </c>
      <c r="C10420" s="12"/>
      <c r="D10420" s="13" t="n">
        <f aca="false">IF(B10420&lt;5,Einstellungen!$B$3,Einstellungen!$B$4)</f>
        <v>29.13</v>
      </c>
      <c r="E10420" s="14" t="str">
        <f aca="false">IF(C10420="","",C10420*D10420/100)</f>
        <v/>
      </c>
      <c r="F10420" s="15" t="str">
        <f aca="false">IF(B10420&lt;5,"Go","Standard")</f>
        <v>Standard</v>
      </c>
    </row>
    <row r="10421" customFormat="false" ht="15" hidden="false" customHeight="true" outlineLevel="0" collapsed="false">
      <c r="A10421" s="10" t="n">
        <f aca="false">Einstellungen!$B$5+INT((ROW()-9)/24)</f>
        <v>46399</v>
      </c>
      <c r="B10421" s="11" t="n">
        <f aca="false">MOD(ROW()-9,24)</f>
        <v>20</v>
      </c>
      <c r="C10421" s="12"/>
      <c r="D10421" s="13" t="n">
        <f aca="false">IF(B10421&lt;5,Einstellungen!$B$3,Einstellungen!$B$4)</f>
        <v>29.13</v>
      </c>
      <c r="E10421" s="14" t="str">
        <f aca="false">IF(C10421="","",C10421*D10421/100)</f>
        <v/>
      </c>
      <c r="F10421" s="15" t="str">
        <f aca="false">IF(B10421&lt;5,"Go","Standard")</f>
        <v>Standard</v>
      </c>
    </row>
    <row r="10422" customFormat="false" ht="15" hidden="false" customHeight="true" outlineLevel="0" collapsed="false">
      <c r="A10422" s="10" t="n">
        <f aca="false">Einstellungen!$B$5+INT((ROW()-9)/24)</f>
        <v>46399</v>
      </c>
      <c r="B10422" s="11" t="n">
        <f aca="false">MOD(ROW()-9,24)</f>
        <v>21</v>
      </c>
      <c r="C10422" s="12"/>
      <c r="D10422" s="13" t="n">
        <f aca="false">IF(B10422&lt;5,Einstellungen!$B$3,Einstellungen!$B$4)</f>
        <v>29.13</v>
      </c>
      <c r="E10422" s="14" t="str">
        <f aca="false">IF(C10422="","",C10422*D10422/100)</f>
        <v/>
      </c>
      <c r="F10422" s="15" t="str">
        <f aca="false">IF(B10422&lt;5,"Go","Standard")</f>
        <v>Standard</v>
      </c>
    </row>
    <row r="10423" customFormat="false" ht="15" hidden="false" customHeight="true" outlineLevel="0" collapsed="false">
      <c r="A10423" s="10" t="n">
        <f aca="false">Einstellungen!$B$5+INT((ROW()-9)/24)</f>
        <v>46399</v>
      </c>
      <c r="B10423" s="11" t="n">
        <f aca="false">MOD(ROW()-9,24)</f>
        <v>22</v>
      </c>
      <c r="C10423" s="12"/>
      <c r="D10423" s="13" t="n">
        <f aca="false">IF(B10423&lt;5,Einstellungen!$B$3,Einstellungen!$B$4)</f>
        <v>29.13</v>
      </c>
      <c r="E10423" s="14" t="str">
        <f aca="false">IF(C10423="","",C10423*D10423/100)</f>
        <v/>
      </c>
      <c r="F10423" s="15" t="str">
        <f aca="false">IF(B10423&lt;5,"Go","Standard")</f>
        <v>Standard</v>
      </c>
    </row>
    <row r="10424" customFormat="false" ht="15" hidden="false" customHeight="true" outlineLevel="0" collapsed="false">
      <c r="A10424" s="10" t="n">
        <f aca="false">Einstellungen!$B$5+INT((ROW()-9)/24)</f>
        <v>46399</v>
      </c>
      <c r="B10424" s="11" t="n">
        <f aca="false">MOD(ROW()-9,24)</f>
        <v>23</v>
      </c>
      <c r="C10424" s="12"/>
      <c r="D10424" s="13" t="n">
        <f aca="false">IF(B10424&lt;5,Einstellungen!$B$3,Einstellungen!$B$4)</f>
        <v>29.13</v>
      </c>
      <c r="E10424" s="14" t="str">
        <f aca="false">IF(C10424="","",C10424*D10424/100)</f>
        <v/>
      </c>
      <c r="F10424" s="15" t="str">
        <f aca="false">IF(B10424&lt;5,"Go","Standard")</f>
        <v>Standard</v>
      </c>
    </row>
    <row r="10425" customFormat="false" ht="15" hidden="false" customHeight="true" outlineLevel="0" collapsed="false">
      <c r="A10425" s="10" t="n">
        <f aca="false">Einstellungen!$B$5+INT((ROW()-9)/24)</f>
        <v>46400</v>
      </c>
      <c r="B10425" s="11" t="n">
        <f aca="false">MOD(ROW()-9,24)</f>
        <v>0</v>
      </c>
      <c r="C10425" s="12"/>
      <c r="D10425" s="13" t="n">
        <f aca="false">IF(B10425&lt;5,Einstellungen!$B$3,Einstellungen!$B$4)</f>
        <v>15.92</v>
      </c>
      <c r="E10425" s="14" t="str">
        <f aca="false">IF(C10425="","",C10425*D10425/100)</f>
        <v/>
      </c>
      <c r="F10425" s="15" t="str">
        <f aca="false">IF(B10425&lt;5,"Go","Standard")</f>
        <v>Go</v>
      </c>
    </row>
    <row r="10426" customFormat="false" ht="15" hidden="false" customHeight="true" outlineLevel="0" collapsed="false">
      <c r="A10426" s="10" t="n">
        <f aca="false">Einstellungen!$B$5+INT((ROW()-9)/24)</f>
        <v>46400</v>
      </c>
      <c r="B10426" s="11" t="n">
        <f aca="false">MOD(ROW()-9,24)</f>
        <v>1</v>
      </c>
      <c r="C10426" s="12"/>
      <c r="D10426" s="13" t="n">
        <f aca="false">IF(B10426&lt;5,Einstellungen!$B$3,Einstellungen!$B$4)</f>
        <v>15.92</v>
      </c>
      <c r="E10426" s="14" t="str">
        <f aca="false">IF(C10426="","",C10426*D10426/100)</f>
        <v/>
      </c>
      <c r="F10426" s="15" t="str">
        <f aca="false">IF(B10426&lt;5,"Go","Standard")</f>
        <v>Go</v>
      </c>
    </row>
    <row r="10427" customFormat="false" ht="15" hidden="false" customHeight="true" outlineLevel="0" collapsed="false">
      <c r="A10427" s="10" t="n">
        <f aca="false">Einstellungen!$B$5+INT((ROW()-9)/24)</f>
        <v>46400</v>
      </c>
      <c r="B10427" s="11" t="n">
        <f aca="false">MOD(ROW()-9,24)</f>
        <v>2</v>
      </c>
      <c r="C10427" s="12"/>
      <c r="D10427" s="13" t="n">
        <f aca="false">IF(B10427&lt;5,Einstellungen!$B$3,Einstellungen!$B$4)</f>
        <v>15.92</v>
      </c>
      <c r="E10427" s="14" t="str">
        <f aca="false">IF(C10427="","",C10427*D10427/100)</f>
        <v/>
      </c>
      <c r="F10427" s="15" t="str">
        <f aca="false">IF(B10427&lt;5,"Go","Standard")</f>
        <v>Go</v>
      </c>
    </row>
    <row r="10428" customFormat="false" ht="15" hidden="false" customHeight="true" outlineLevel="0" collapsed="false">
      <c r="A10428" s="10" t="n">
        <f aca="false">Einstellungen!$B$5+INT((ROW()-9)/24)</f>
        <v>46400</v>
      </c>
      <c r="B10428" s="11" t="n">
        <f aca="false">MOD(ROW()-9,24)</f>
        <v>3</v>
      </c>
      <c r="C10428" s="12"/>
      <c r="D10428" s="13" t="n">
        <f aca="false">IF(B10428&lt;5,Einstellungen!$B$3,Einstellungen!$B$4)</f>
        <v>15.92</v>
      </c>
      <c r="E10428" s="14" t="str">
        <f aca="false">IF(C10428="","",C10428*D10428/100)</f>
        <v/>
      </c>
      <c r="F10428" s="15" t="str">
        <f aca="false">IF(B10428&lt;5,"Go","Standard")</f>
        <v>Go</v>
      </c>
    </row>
    <row r="10429" customFormat="false" ht="15" hidden="false" customHeight="true" outlineLevel="0" collapsed="false">
      <c r="A10429" s="10" t="n">
        <f aca="false">Einstellungen!$B$5+INT((ROW()-9)/24)</f>
        <v>46400</v>
      </c>
      <c r="B10429" s="11" t="n">
        <f aca="false">MOD(ROW()-9,24)</f>
        <v>4</v>
      </c>
      <c r="C10429" s="12"/>
      <c r="D10429" s="13" t="n">
        <f aca="false">IF(B10429&lt;5,Einstellungen!$B$3,Einstellungen!$B$4)</f>
        <v>15.92</v>
      </c>
      <c r="E10429" s="14" t="str">
        <f aca="false">IF(C10429="","",C10429*D10429/100)</f>
        <v/>
      </c>
      <c r="F10429" s="15" t="str">
        <f aca="false">IF(B10429&lt;5,"Go","Standard")</f>
        <v>Go</v>
      </c>
    </row>
    <row r="10430" customFormat="false" ht="15" hidden="false" customHeight="true" outlineLevel="0" collapsed="false">
      <c r="A10430" s="10" t="n">
        <f aca="false">Einstellungen!$B$5+INT((ROW()-9)/24)</f>
        <v>46400</v>
      </c>
      <c r="B10430" s="11" t="n">
        <f aca="false">MOD(ROW()-9,24)</f>
        <v>5</v>
      </c>
      <c r="C10430" s="12"/>
      <c r="D10430" s="13" t="n">
        <f aca="false">IF(B10430&lt;5,Einstellungen!$B$3,Einstellungen!$B$4)</f>
        <v>29.13</v>
      </c>
      <c r="E10430" s="14" t="str">
        <f aca="false">IF(C10430="","",C10430*D10430/100)</f>
        <v/>
      </c>
      <c r="F10430" s="15" t="str">
        <f aca="false">IF(B10430&lt;5,"Go","Standard")</f>
        <v>Standard</v>
      </c>
    </row>
    <row r="10431" customFormat="false" ht="15" hidden="false" customHeight="true" outlineLevel="0" collapsed="false">
      <c r="A10431" s="10" t="n">
        <f aca="false">Einstellungen!$B$5+INT((ROW()-9)/24)</f>
        <v>46400</v>
      </c>
      <c r="B10431" s="11" t="n">
        <f aca="false">MOD(ROW()-9,24)</f>
        <v>6</v>
      </c>
      <c r="C10431" s="12"/>
      <c r="D10431" s="13" t="n">
        <f aca="false">IF(B10431&lt;5,Einstellungen!$B$3,Einstellungen!$B$4)</f>
        <v>29.13</v>
      </c>
      <c r="E10431" s="14" t="str">
        <f aca="false">IF(C10431="","",C10431*D10431/100)</f>
        <v/>
      </c>
      <c r="F10431" s="15" t="str">
        <f aca="false">IF(B10431&lt;5,"Go","Standard")</f>
        <v>Standard</v>
      </c>
    </row>
    <row r="10432" customFormat="false" ht="15" hidden="false" customHeight="true" outlineLevel="0" collapsed="false">
      <c r="A10432" s="10" t="n">
        <f aca="false">Einstellungen!$B$5+INT((ROW()-9)/24)</f>
        <v>46400</v>
      </c>
      <c r="B10432" s="11" t="n">
        <f aca="false">MOD(ROW()-9,24)</f>
        <v>7</v>
      </c>
      <c r="C10432" s="12"/>
      <c r="D10432" s="13" t="n">
        <f aca="false">IF(B10432&lt;5,Einstellungen!$B$3,Einstellungen!$B$4)</f>
        <v>29.13</v>
      </c>
      <c r="E10432" s="14" t="str">
        <f aca="false">IF(C10432="","",C10432*D10432/100)</f>
        <v/>
      </c>
      <c r="F10432" s="15" t="str">
        <f aca="false">IF(B10432&lt;5,"Go","Standard")</f>
        <v>Standard</v>
      </c>
    </row>
    <row r="10433" customFormat="false" ht="15" hidden="false" customHeight="true" outlineLevel="0" collapsed="false">
      <c r="A10433" s="10" t="n">
        <f aca="false">Einstellungen!$B$5+INT((ROW()-9)/24)</f>
        <v>46400</v>
      </c>
      <c r="B10433" s="11" t="n">
        <f aca="false">MOD(ROW()-9,24)</f>
        <v>8</v>
      </c>
      <c r="C10433" s="12"/>
      <c r="D10433" s="13" t="n">
        <f aca="false">IF(B10433&lt;5,Einstellungen!$B$3,Einstellungen!$B$4)</f>
        <v>29.13</v>
      </c>
      <c r="E10433" s="14" t="str">
        <f aca="false">IF(C10433="","",C10433*D10433/100)</f>
        <v/>
      </c>
      <c r="F10433" s="15" t="str">
        <f aca="false">IF(B10433&lt;5,"Go","Standard")</f>
        <v>Standard</v>
      </c>
    </row>
    <row r="10434" customFormat="false" ht="15" hidden="false" customHeight="true" outlineLevel="0" collapsed="false">
      <c r="A10434" s="10" t="n">
        <f aca="false">Einstellungen!$B$5+INT((ROW()-9)/24)</f>
        <v>46400</v>
      </c>
      <c r="B10434" s="11" t="n">
        <f aca="false">MOD(ROW()-9,24)</f>
        <v>9</v>
      </c>
      <c r="C10434" s="12"/>
      <c r="D10434" s="13" t="n">
        <f aca="false">IF(B10434&lt;5,Einstellungen!$B$3,Einstellungen!$B$4)</f>
        <v>29.13</v>
      </c>
      <c r="E10434" s="14" t="str">
        <f aca="false">IF(C10434="","",C10434*D10434/100)</f>
        <v/>
      </c>
      <c r="F10434" s="15" t="str">
        <f aca="false">IF(B10434&lt;5,"Go","Standard")</f>
        <v>Standard</v>
      </c>
    </row>
    <row r="10435" customFormat="false" ht="15" hidden="false" customHeight="true" outlineLevel="0" collapsed="false">
      <c r="A10435" s="10" t="n">
        <f aca="false">Einstellungen!$B$5+INT((ROW()-9)/24)</f>
        <v>46400</v>
      </c>
      <c r="B10435" s="11" t="n">
        <f aca="false">MOD(ROW()-9,24)</f>
        <v>10</v>
      </c>
      <c r="C10435" s="12"/>
      <c r="D10435" s="13" t="n">
        <f aca="false">IF(B10435&lt;5,Einstellungen!$B$3,Einstellungen!$B$4)</f>
        <v>29.13</v>
      </c>
      <c r="E10435" s="14" t="str">
        <f aca="false">IF(C10435="","",C10435*D10435/100)</f>
        <v/>
      </c>
      <c r="F10435" s="15" t="str">
        <f aca="false">IF(B10435&lt;5,"Go","Standard")</f>
        <v>Standard</v>
      </c>
    </row>
    <row r="10436" customFormat="false" ht="15" hidden="false" customHeight="true" outlineLevel="0" collapsed="false">
      <c r="A10436" s="10" t="n">
        <f aca="false">Einstellungen!$B$5+INT((ROW()-9)/24)</f>
        <v>46400</v>
      </c>
      <c r="B10436" s="11" t="n">
        <f aca="false">MOD(ROW()-9,24)</f>
        <v>11</v>
      </c>
      <c r="C10436" s="12"/>
      <c r="D10436" s="13" t="n">
        <f aca="false">IF(B10436&lt;5,Einstellungen!$B$3,Einstellungen!$B$4)</f>
        <v>29.13</v>
      </c>
      <c r="E10436" s="14" t="str">
        <f aca="false">IF(C10436="","",C10436*D10436/100)</f>
        <v/>
      </c>
      <c r="F10436" s="15" t="str">
        <f aca="false">IF(B10436&lt;5,"Go","Standard")</f>
        <v>Standard</v>
      </c>
    </row>
    <row r="10437" customFormat="false" ht="15" hidden="false" customHeight="true" outlineLevel="0" collapsed="false">
      <c r="A10437" s="10" t="n">
        <f aca="false">Einstellungen!$B$5+INT((ROW()-9)/24)</f>
        <v>46400</v>
      </c>
      <c r="B10437" s="11" t="n">
        <f aca="false">MOD(ROW()-9,24)</f>
        <v>12</v>
      </c>
      <c r="C10437" s="12"/>
      <c r="D10437" s="13" t="n">
        <f aca="false">IF(B10437&lt;5,Einstellungen!$B$3,Einstellungen!$B$4)</f>
        <v>29.13</v>
      </c>
      <c r="E10437" s="14" t="str">
        <f aca="false">IF(C10437="","",C10437*D10437/100)</f>
        <v/>
      </c>
      <c r="F10437" s="15" t="str">
        <f aca="false">IF(B10437&lt;5,"Go","Standard")</f>
        <v>Standard</v>
      </c>
    </row>
    <row r="10438" customFormat="false" ht="15" hidden="false" customHeight="true" outlineLevel="0" collapsed="false">
      <c r="A10438" s="10" t="n">
        <f aca="false">Einstellungen!$B$5+INT((ROW()-9)/24)</f>
        <v>46400</v>
      </c>
      <c r="B10438" s="11" t="n">
        <f aca="false">MOD(ROW()-9,24)</f>
        <v>13</v>
      </c>
      <c r="C10438" s="12"/>
      <c r="D10438" s="13" t="n">
        <f aca="false">IF(B10438&lt;5,Einstellungen!$B$3,Einstellungen!$B$4)</f>
        <v>29.13</v>
      </c>
      <c r="E10438" s="14" t="str">
        <f aca="false">IF(C10438="","",C10438*D10438/100)</f>
        <v/>
      </c>
      <c r="F10438" s="15" t="str">
        <f aca="false">IF(B10438&lt;5,"Go","Standard")</f>
        <v>Standard</v>
      </c>
    </row>
    <row r="10439" customFormat="false" ht="15" hidden="false" customHeight="true" outlineLevel="0" collapsed="false">
      <c r="A10439" s="10" t="n">
        <f aca="false">Einstellungen!$B$5+INT((ROW()-9)/24)</f>
        <v>46400</v>
      </c>
      <c r="B10439" s="11" t="n">
        <f aca="false">MOD(ROW()-9,24)</f>
        <v>14</v>
      </c>
      <c r="C10439" s="12"/>
      <c r="D10439" s="13" t="n">
        <f aca="false">IF(B10439&lt;5,Einstellungen!$B$3,Einstellungen!$B$4)</f>
        <v>29.13</v>
      </c>
      <c r="E10439" s="14" t="str">
        <f aca="false">IF(C10439="","",C10439*D10439/100)</f>
        <v/>
      </c>
      <c r="F10439" s="15" t="str">
        <f aca="false">IF(B10439&lt;5,"Go","Standard")</f>
        <v>Standard</v>
      </c>
    </row>
    <row r="10440" customFormat="false" ht="15" hidden="false" customHeight="true" outlineLevel="0" collapsed="false">
      <c r="A10440" s="10" t="n">
        <f aca="false">Einstellungen!$B$5+INT((ROW()-9)/24)</f>
        <v>46400</v>
      </c>
      <c r="B10440" s="11" t="n">
        <f aca="false">MOD(ROW()-9,24)</f>
        <v>15</v>
      </c>
      <c r="C10440" s="12"/>
      <c r="D10440" s="13" t="n">
        <f aca="false">IF(B10440&lt;5,Einstellungen!$B$3,Einstellungen!$B$4)</f>
        <v>29.13</v>
      </c>
      <c r="E10440" s="14" t="str">
        <f aca="false">IF(C10440="","",C10440*D10440/100)</f>
        <v/>
      </c>
      <c r="F10440" s="15" t="str">
        <f aca="false">IF(B10440&lt;5,"Go","Standard")</f>
        <v>Standard</v>
      </c>
    </row>
    <row r="10441" customFormat="false" ht="15" hidden="false" customHeight="true" outlineLevel="0" collapsed="false">
      <c r="A10441" s="10" t="n">
        <f aca="false">Einstellungen!$B$5+INT((ROW()-9)/24)</f>
        <v>46400</v>
      </c>
      <c r="B10441" s="11" t="n">
        <f aca="false">MOD(ROW()-9,24)</f>
        <v>16</v>
      </c>
      <c r="C10441" s="12"/>
      <c r="D10441" s="13" t="n">
        <f aca="false">IF(B10441&lt;5,Einstellungen!$B$3,Einstellungen!$B$4)</f>
        <v>29.13</v>
      </c>
      <c r="E10441" s="14" t="str">
        <f aca="false">IF(C10441="","",C10441*D10441/100)</f>
        <v/>
      </c>
      <c r="F10441" s="15" t="str">
        <f aca="false">IF(B10441&lt;5,"Go","Standard")</f>
        <v>Standard</v>
      </c>
    </row>
    <row r="10442" customFormat="false" ht="15" hidden="false" customHeight="true" outlineLevel="0" collapsed="false">
      <c r="A10442" s="10" t="n">
        <f aca="false">Einstellungen!$B$5+INT((ROW()-9)/24)</f>
        <v>46400</v>
      </c>
      <c r="B10442" s="11" t="n">
        <f aca="false">MOD(ROW()-9,24)</f>
        <v>17</v>
      </c>
      <c r="C10442" s="12"/>
      <c r="D10442" s="13" t="n">
        <f aca="false">IF(B10442&lt;5,Einstellungen!$B$3,Einstellungen!$B$4)</f>
        <v>29.13</v>
      </c>
      <c r="E10442" s="14" t="str">
        <f aca="false">IF(C10442="","",C10442*D10442/100)</f>
        <v/>
      </c>
      <c r="F10442" s="15" t="str">
        <f aca="false">IF(B10442&lt;5,"Go","Standard")</f>
        <v>Standard</v>
      </c>
    </row>
    <row r="10443" customFormat="false" ht="15" hidden="false" customHeight="true" outlineLevel="0" collapsed="false">
      <c r="A10443" s="10" t="n">
        <f aca="false">Einstellungen!$B$5+INT((ROW()-9)/24)</f>
        <v>46400</v>
      </c>
      <c r="B10443" s="11" t="n">
        <f aca="false">MOD(ROW()-9,24)</f>
        <v>18</v>
      </c>
      <c r="C10443" s="12"/>
      <c r="D10443" s="13" t="n">
        <f aca="false">IF(B10443&lt;5,Einstellungen!$B$3,Einstellungen!$B$4)</f>
        <v>29.13</v>
      </c>
      <c r="E10443" s="14" t="str">
        <f aca="false">IF(C10443="","",C10443*D10443/100)</f>
        <v/>
      </c>
      <c r="F10443" s="15" t="str">
        <f aca="false">IF(B10443&lt;5,"Go","Standard")</f>
        <v>Standard</v>
      </c>
    </row>
    <row r="10444" customFormat="false" ht="15" hidden="false" customHeight="true" outlineLevel="0" collapsed="false">
      <c r="A10444" s="10" t="n">
        <f aca="false">Einstellungen!$B$5+INT((ROW()-9)/24)</f>
        <v>46400</v>
      </c>
      <c r="B10444" s="11" t="n">
        <f aca="false">MOD(ROW()-9,24)</f>
        <v>19</v>
      </c>
      <c r="C10444" s="12"/>
      <c r="D10444" s="13" t="n">
        <f aca="false">IF(B10444&lt;5,Einstellungen!$B$3,Einstellungen!$B$4)</f>
        <v>29.13</v>
      </c>
      <c r="E10444" s="14" t="str">
        <f aca="false">IF(C10444="","",C10444*D10444/100)</f>
        <v/>
      </c>
      <c r="F10444" s="15" t="str">
        <f aca="false">IF(B10444&lt;5,"Go","Standard")</f>
        <v>Standard</v>
      </c>
    </row>
    <row r="10445" customFormat="false" ht="15" hidden="false" customHeight="true" outlineLevel="0" collapsed="false">
      <c r="A10445" s="10" t="n">
        <f aca="false">Einstellungen!$B$5+INT((ROW()-9)/24)</f>
        <v>46400</v>
      </c>
      <c r="B10445" s="11" t="n">
        <f aca="false">MOD(ROW()-9,24)</f>
        <v>20</v>
      </c>
      <c r="C10445" s="12"/>
      <c r="D10445" s="13" t="n">
        <f aca="false">IF(B10445&lt;5,Einstellungen!$B$3,Einstellungen!$B$4)</f>
        <v>29.13</v>
      </c>
      <c r="E10445" s="14" t="str">
        <f aca="false">IF(C10445="","",C10445*D10445/100)</f>
        <v/>
      </c>
      <c r="F10445" s="15" t="str">
        <f aca="false">IF(B10445&lt;5,"Go","Standard")</f>
        <v>Standard</v>
      </c>
    </row>
    <row r="10446" customFormat="false" ht="15" hidden="false" customHeight="true" outlineLevel="0" collapsed="false">
      <c r="A10446" s="10" t="n">
        <f aca="false">Einstellungen!$B$5+INT((ROW()-9)/24)</f>
        <v>46400</v>
      </c>
      <c r="B10446" s="11" t="n">
        <f aca="false">MOD(ROW()-9,24)</f>
        <v>21</v>
      </c>
      <c r="C10446" s="12"/>
      <c r="D10446" s="13" t="n">
        <f aca="false">IF(B10446&lt;5,Einstellungen!$B$3,Einstellungen!$B$4)</f>
        <v>29.13</v>
      </c>
      <c r="E10446" s="14" t="str">
        <f aca="false">IF(C10446="","",C10446*D10446/100)</f>
        <v/>
      </c>
      <c r="F10446" s="15" t="str">
        <f aca="false">IF(B10446&lt;5,"Go","Standard")</f>
        <v>Standard</v>
      </c>
    </row>
    <row r="10447" customFormat="false" ht="15" hidden="false" customHeight="true" outlineLevel="0" collapsed="false">
      <c r="A10447" s="10" t="n">
        <f aca="false">Einstellungen!$B$5+INT((ROW()-9)/24)</f>
        <v>46400</v>
      </c>
      <c r="B10447" s="11" t="n">
        <f aca="false">MOD(ROW()-9,24)</f>
        <v>22</v>
      </c>
      <c r="C10447" s="12"/>
      <c r="D10447" s="13" t="n">
        <f aca="false">IF(B10447&lt;5,Einstellungen!$B$3,Einstellungen!$B$4)</f>
        <v>29.13</v>
      </c>
      <c r="E10447" s="14" t="str">
        <f aca="false">IF(C10447="","",C10447*D10447/100)</f>
        <v/>
      </c>
      <c r="F10447" s="15" t="str">
        <f aca="false">IF(B10447&lt;5,"Go","Standard")</f>
        <v>Standard</v>
      </c>
    </row>
    <row r="10448" customFormat="false" ht="15" hidden="false" customHeight="true" outlineLevel="0" collapsed="false">
      <c r="A10448" s="10" t="n">
        <f aca="false">Einstellungen!$B$5+INT((ROW()-9)/24)</f>
        <v>46400</v>
      </c>
      <c r="B10448" s="11" t="n">
        <f aca="false">MOD(ROW()-9,24)</f>
        <v>23</v>
      </c>
      <c r="C10448" s="12"/>
      <c r="D10448" s="13" t="n">
        <f aca="false">IF(B10448&lt;5,Einstellungen!$B$3,Einstellungen!$B$4)</f>
        <v>29.13</v>
      </c>
      <c r="E10448" s="14" t="str">
        <f aca="false">IF(C10448="","",C10448*D10448/100)</f>
        <v/>
      </c>
      <c r="F10448" s="15" t="str">
        <f aca="false">IF(B10448&lt;5,"Go","Standard")</f>
        <v>Standard</v>
      </c>
    </row>
    <row r="10449" customFormat="false" ht="15" hidden="false" customHeight="true" outlineLevel="0" collapsed="false">
      <c r="A10449" s="10" t="n">
        <f aca="false">Einstellungen!$B$5+INT((ROW()-9)/24)</f>
        <v>46401</v>
      </c>
      <c r="B10449" s="11" t="n">
        <f aca="false">MOD(ROW()-9,24)</f>
        <v>0</v>
      </c>
      <c r="C10449" s="12"/>
      <c r="D10449" s="13" t="n">
        <f aca="false">IF(B10449&lt;5,Einstellungen!$B$3,Einstellungen!$B$4)</f>
        <v>15.92</v>
      </c>
      <c r="E10449" s="14" t="str">
        <f aca="false">IF(C10449="","",C10449*D10449/100)</f>
        <v/>
      </c>
      <c r="F10449" s="15" t="str">
        <f aca="false">IF(B10449&lt;5,"Go","Standard")</f>
        <v>Go</v>
      </c>
    </row>
    <row r="10450" customFormat="false" ht="15" hidden="false" customHeight="true" outlineLevel="0" collapsed="false">
      <c r="A10450" s="10" t="n">
        <f aca="false">Einstellungen!$B$5+INT((ROW()-9)/24)</f>
        <v>46401</v>
      </c>
      <c r="B10450" s="11" t="n">
        <f aca="false">MOD(ROW()-9,24)</f>
        <v>1</v>
      </c>
      <c r="C10450" s="12"/>
      <c r="D10450" s="13" t="n">
        <f aca="false">IF(B10450&lt;5,Einstellungen!$B$3,Einstellungen!$B$4)</f>
        <v>15.92</v>
      </c>
      <c r="E10450" s="14" t="str">
        <f aca="false">IF(C10450="","",C10450*D10450/100)</f>
        <v/>
      </c>
      <c r="F10450" s="15" t="str">
        <f aca="false">IF(B10450&lt;5,"Go","Standard")</f>
        <v>Go</v>
      </c>
    </row>
    <row r="10451" customFormat="false" ht="15" hidden="false" customHeight="true" outlineLevel="0" collapsed="false">
      <c r="A10451" s="10" t="n">
        <f aca="false">Einstellungen!$B$5+INT((ROW()-9)/24)</f>
        <v>46401</v>
      </c>
      <c r="B10451" s="11" t="n">
        <f aca="false">MOD(ROW()-9,24)</f>
        <v>2</v>
      </c>
      <c r="C10451" s="12"/>
      <c r="D10451" s="13" t="n">
        <f aca="false">IF(B10451&lt;5,Einstellungen!$B$3,Einstellungen!$B$4)</f>
        <v>15.92</v>
      </c>
      <c r="E10451" s="14" t="str">
        <f aca="false">IF(C10451="","",C10451*D10451/100)</f>
        <v/>
      </c>
      <c r="F10451" s="15" t="str">
        <f aca="false">IF(B10451&lt;5,"Go","Standard")</f>
        <v>Go</v>
      </c>
    </row>
    <row r="10452" customFormat="false" ht="15" hidden="false" customHeight="true" outlineLevel="0" collapsed="false">
      <c r="A10452" s="10" t="n">
        <f aca="false">Einstellungen!$B$5+INT((ROW()-9)/24)</f>
        <v>46401</v>
      </c>
      <c r="B10452" s="11" t="n">
        <f aca="false">MOD(ROW()-9,24)</f>
        <v>3</v>
      </c>
      <c r="C10452" s="12"/>
      <c r="D10452" s="13" t="n">
        <f aca="false">IF(B10452&lt;5,Einstellungen!$B$3,Einstellungen!$B$4)</f>
        <v>15.92</v>
      </c>
      <c r="E10452" s="14" t="str">
        <f aca="false">IF(C10452="","",C10452*D10452/100)</f>
        <v/>
      </c>
      <c r="F10452" s="15" t="str">
        <f aca="false">IF(B10452&lt;5,"Go","Standard")</f>
        <v>Go</v>
      </c>
    </row>
    <row r="10453" customFormat="false" ht="15" hidden="false" customHeight="true" outlineLevel="0" collapsed="false">
      <c r="A10453" s="10" t="n">
        <f aca="false">Einstellungen!$B$5+INT((ROW()-9)/24)</f>
        <v>46401</v>
      </c>
      <c r="B10453" s="11" t="n">
        <f aca="false">MOD(ROW()-9,24)</f>
        <v>4</v>
      </c>
      <c r="C10453" s="12"/>
      <c r="D10453" s="13" t="n">
        <f aca="false">IF(B10453&lt;5,Einstellungen!$B$3,Einstellungen!$B$4)</f>
        <v>15.92</v>
      </c>
      <c r="E10453" s="14" t="str">
        <f aca="false">IF(C10453="","",C10453*D10453/100)</f>
        <v/>
      </c>
      <c r="F10453" s="15" t="str">
        <f aca="false">IF(B10453&lt;5,"Go","Standard")</f>
        <v>Go</v>
      </c>
    </row>
    <row r="10454" customFormat="false" ht="15" hidden="false" customHeight="true" outlineLevel="0" collapsed="false">
      <c r="A10454" s="10" t="n">
        <f aca="false">Einstellungen!$B$5+INT((ROW()-9)/24)</f>
        <v>46401</v>
      </c>
      <c r="B10454" s="11" t="n">
        <f aca="false">MOD(ROW()-9,24)</f>
        <v>5</v>
      </c>
      <c r="C10454" s="12"/>
      <c r="D10454" s="13" t="n">
        <f aca="false">IF(B10454&lt;5,Einstellungen!$B$3,Einstellungen!$B$4)</f>
        <v>29.13</v>
      </c>
      <c r="E10454" s="14" t="str">
        <f aca="false">IF(C10454="","",C10454*D10454/100)</f>
        <v/>
      </c>
      <c r="F10454" s="15" t="str">
        <f aca="false">IF(B10454&lt;5,"Go","Standard")</f>
        <v>Standard</v>
      </c>
    </row>
    <row r="10455" customFormat="false" ht="15" hidden="false" customHeight="true" outlineLevel="0" collapsed="false">
      <c r="A10455" s="10" t="n">
        <f aca="false">Einstellungen!$B$5+INT((ROW()-9)/24)</f>
        <v>46401</v>
      </c>
      <c r="B10455" s="11" t="n">
        <f aca="false">MOD(ROW()-9,24)</f>
        <v>6</v>
      </c>
      <c r="C10455" s="12"/>
      <c r="D10455" s="13" t="n">
        <f aca="false">IF(B10455&lt;5,Einstellungen!$B$3,Einstellungen!$B$4)</f>
        <v>29.13</v>
      </c>
      <c r="E10455" s="14" t="str">
        <f aca="false">IF(C10455="","",C10455*D10455/100)</f>
        <v/>
      </c>
      <c r="F10455" s="15" t="str">
        <f aca="false">IF(B10455&lt;5,"Go","Standard")</f>
        <v>Standard</v>
      </c>
    </row>
    <row r="10456" customFormat="false" ht="15" hidden="false" customHeight="true" outlineLevel="0" collapsed="false">
      <c r="A10456" s="10" t="n">
        <f aca="false">Einstellungen!$B$5+INT((ROW()-9)/24)</f>
        <v>46401</v>
      </c>
      <c r="B10456" s="11" t="n">
        <f aca="false">MOD(ROW()-9,24)</f>
        <v>7</v>
      </c>
      <c r="C10456" s="12"/>
      <c r="D10456" s="13" t="n">
        <f aca="false">IF(B10456&lt;5,Einstellungen!$B$3,Einstellungen!$B$4)</f>
        <v>29.13</v>
      </c>
      <c r="E10456" s="14" t="str">
        <f aca="false">IF(C10456="","",C10456*D10456/100)</f>
        <v/>
      </c>
      <c r="F10456" s="15" t="str">
        <f aca="false">IF(B10456&lt;5,"Go","Standard")</f>
        <v>Standard</v>
      </c>
    </row>
    <row r="10457" customFormat="false" ht="15" hidden="false" customHeight="true" outlineLevel="0" collapsed="false">
      <c r="A10457" s="10" t="n">
        <f aca="false">Einstellungen!$B$5+INT((ROW()-9)/24)</f>
        <v>46401</v>
      </c>
      <c r="B10457" s="11" t="n">
        <f aca="false">MOD(ROW()-9,24)</f>
        <v>8</v>
      </c>
      <c r="C10457" s="12"/>
      <c r="D10457" s="13" t="n">
        <f aca="false">IF(B10457&lt;5,Einstellungen!$B$3,Einstellungen!$B$4)</f>
        <v>29.13</v>
      </c>
      <c r="E10457" s="14" t="str">
        <f aca="false">IF(C10457="","",C10457*D10457/100)</f>
        <v/>
      </c>
      <c r="F10457" s="15" t="str">
        <f aca="false">IF(B10457&lt;5,"Go","Standard")</f>
        <v>Standard</v>
      </c>
    </row>
    <row r="10458" customFormat="false" ht="15" hidden="false" customHeight="true" outlineLevel="0" collapsed="false">
      <c r="A10458" s="10" t="n">
        <f aca="false">Einstellungen!$B$5+INT((ROW()-9)/24)</f>
        <v>46401</v>
      </c>
      <c r="B10458" s="11" t="n">
        <f aca="false">MOD(ROW()-9,24)</f>
        <v>9</v>
      </c>
      <c r="C10458" s="12"/>
      <c r="D10458" s="13" t="n">
        <f aca="false">IF(B10458&lt;5,Einstellungen!$B$3,Einstellungen!$B$4)</f>
        <v>29.13</v>
      </c>
      <c r="E10458" s="14" t="str">
        <f aca="false">IF(C10458="","",C10458*D10458/100)</f>
        <v/>
      </c>
      <c r="F10458" s="15" t="str">
        <f aca="false">IF(B10458&lt;5,"Go","Standard")</f>
        <v>Standard</v>
      </c>
    </row>
    <row r="10459" customFormat="false" ht="15" hidden="false" customHeight="true" outlineLevel="0" collapsed="false">
      <c r="A10459" s="10" t="n">
        <f aca="false">Einstellungen!$B$5+INT((ROW()-9)/24)</f>
        <v>46401</v>
      </c>
      <c r="B10459" s="11" t="n">
        <f aca="false">MOD(ROW()-9,24)</f>
        <v>10</v>
      </c>
      <c r="C10459" s="12"/>
      <c r="D10459" s="13" t="n">
        <f aca="false">IF(B10459&lt;5,Einstellungen!$B$3,Einstellungen!$B$4)</f>
        <v>29.13</v>
      </c>
      <c r="E10459" s="14" t="str">
        <f aca="false">IF(C10459="","",C10459*D10459/100)</f>
        <v/>
      </c>
      <c r="F10459" s="15" t="str">
        <f aca="false">IF(B10459&lt;5,"Go","Standard")</f>
        <v>Standard</v>
      </c>
    </row>
    <row r="10460" customFormat="false" ht="15" hidden="false" customHeight="true" outlineLevel="0" collapsed="false">
      <c r="A10460" s="10" t="n">
        <f aca="false">Einstellungen!$B$5+INT((ROW()-9)/24)</f>
        <v>46401</v>
      </c>
      <c r="B10460" s="11" t="n">
        <f aca="false">MOD(ROW()-9,24)</f>
        <v>11</v>
      </c>
      <c r="C10460" s="12"/>
      <c r="D10460" s="13" t="n">
        <f aca="false">IF(B10460&lt;5,Einstellungen!$B$3,Einstellungen!$B$4)</f>
        <v>29.13</v>
      </c>
      <c r="E10460" s="14" t="str">
        <f aca="false">IF(C10460="","",C10460*D10460/100)</f>
        <v/>
      </c>
      <c r="F10460" s="15" t="str">
        <f aca="false">IF(B10460&lt;5,"Go","Standard")</f>
        <v>Standard</v>
      </c>
    </row>
    <row r="10461" customFormat="false" ht="15" hidden="false" customHeight="true" outlineLevel="0" collapsed="false">
      <c r="A10461" s="10" t="n">
        <f aca="false">Einstellungen!$B$5+INT((ROW()-9)/24)</f>
        <v>46401</v>
      </c>
      <c r="B10461" s="11" t="n">
        <f aca="false">MOD(ROW()-9,24)</f>
        <v>12</v>
      </c>
      <c r="C10461" s="12"/>
      <c r="D10461" s="13" t="n">
        <f aca="false">IF(B10461&lt;5,Einstellungen!$B$3,Einstellungen!$B$4)</f>
        <v>29.13</v>
      </c>
      <c r="E10461" s="14" t="str">
        <f aca="false">IF(C10461="","",C10461*D10461/100)</f>
        <v/>
      </c>
      <c r="F10461" s="15" t="str">
        <f aca="false">IF(B10461&lt;5,"Go","Standard")</f>
        <v>Standard</v>
      </c>
    </row>
    <row r="10462" customFormat="false" ht="15" hidden="false" customHeight="true" outlineLevel="0" collapsed="false">
      <c r="A10462" s="10" t="n">
        <f aca="false">Einstellungen!$B$5+INT((ROW()-9)/24)</f>
        <v>46401</v>
      </c>
      <c r="B10462" s="11" t="n">
        <f aca="false">MOD(ROW()-9,24)</f>
        <v>13</v>
      </c>
      <c r="C10462" s="12"/>
      <c r="D10462" s="13" t="n">
        <f aca="false">IF(B10462&lt;5,Einstellungen!$B$3,Einstellungen!$B$4)</f>
        <v>29.13</v>
      </c>
      <c r="E10462" s="14" t="str">
        <f aca="false">IF(C10462="","",C10462*D10462/100)</f>
        <v/>
      </c>
      <c r="F10462" s="15" t="str">
        <f aca="false">IF(B10462&lt;5,"Go","Standard")</f>
        <v>Standard</v>
      </c>
    </row>
    <row r="10463" customFormat="false" ht="15" hidden="false" customHeight="true" outlineLevel="0" collapsed="false">
      <c r="A10463" s="10" t="n">
        <f aca="false">Einstellungen!$B$5+INT((ROW()-9)/24)</f>
        <v>46401</v>
      </c>
      <c r="B10463" s="11" t="n">
        <f aca="false">MOD(ROW()-9,24)</f>
        <v>14</v>
      </c>
      <c r="C10463" s="12"/>
      <c r="D10463" s="13" t="n">
        <f aca="false">IF(B10463&lt;5,Einstellungen!$B$3,Einstellungen!$B$4)</f>
        <v>29.13</v>
      </c>
      <c r="E10463" s="14" t="str">
        <f aca="false">IF(C10463="","",C10463*D10463/100)</f>
        <v/>
      </c>
      <c r="F10463" s="15" t="str">
        <f aca="false">IF(B10463&lt;5,"Go","Standard")</f>
        <v>Standard</v>
      </c>
    </row>
    <row r="10464" customFormat="false" ht="15" hidden="false" customHeight="true" outlineLevel="0" collapsed="false">
      <c r="A10464" s="10" t="n">
        <f aca="false">Einstellungen!$B$5+INT((ROW()-9)/24)</f>
        <v>46401</v>
      </c>
      <c r="B10464" s="11" t="n">
        <f aca="false">MOD(ROW()-9,24)</f>
        <v>15</v>
      </c>
      <c r="C10464" s="12"/>
      <c r="D10464" s="13" t="n">
        <f aca="false">IF(B10464&lt;5,Einstellungen!$B$3,Einstellungen!$B$4)</f>
        <v>29.13</v>
      </c>
      <c r="E10464" s="14" t="str">
        <f aca="false">IF(C10464="","",C10464*D10464/100)</f>
        <v/>
      </c>
      <c r="F10464" s="15" t="str">
        <f aca="false">IF(B10464&lt;5,"Go","Standard")</f>
        <v>Standard</v>
      </c>
    </row>
    <row r="10465" customFormat="false" ht="15" hidden="false" customHeight="true" outlineLevel="0" collapsed="false">
      <c r="A10465" s="10" t="n">
        <f aca="false">Einstellungen!$B$5+INT((ROW()-9)/24)</f>
        <v>46401</v>
      </c>
      <c r="B10465" s="11" t="n">
        <f aca="false">MOD(ROW()-9,24)</f>
        <v>16</v>
      </c>
      <c r="C10465" s="12"/>
      <c r="D10465" s="13" t="n">
        <f aca="false">IF(B10465&lt;5,Einstellungen!$B$3,Einstellungen!$B$4)</f>
        <v>29.13</v>
      </c>
      <c r="E10465" s="14" t="str">
        <f aca="false">IF(C10465="","",C10465*D10465/100)</f>
        <v/>
      </c>
      <c r="F10465" s="15" t="str">
        <f aca="false">IF(B10465&lt;5,"Go","Standard")</f>
        <v>Standard</v>
      </c>
    </row>
    <row r="10466" customFormat="false" ht="15" hidden="false" customHeight="true" outlineLevel="0" collapsed="false">
      <c r="A10466" s="10" t="n">
        <f aca="false">Einstellungen!$B$5+INT((ROW()-9)/24)</f>
        <v>46401</v>
      </c>
      <c r="B10466" s="11" t="n">
        <f aca="false">MOD(ROW()-9,24)</f>
        <v>17</v>
      </c>
      <c r="C10466" s="12"/>
      <c r="D10466" s="13" t="n">
        <f aca="false">IF(B10466&lt;5,Einstellungen!$B$3,Einstellungen!$B$4)</f>
        <v>29.13</v>
      </c>
      <c r="E10466" s="14" t="str">
        <f aca="false">IF(C10466="","",C10466*D10466/100)</f>
        <v/>
      </c>
      <c r="F10466" s="15" t="str">
        <f aca="false">IF(B10466&lt;5,"Go","Standard")</f>
        <v>Standard</v>
      </c>
    </row>
    <row r="10467" customFormat="false" ht="15" hidden="false" customHeight="true" outlineLevel="0" collapsed="false">
      <c r="A10467" s="10" t="n">
        <f aca="false">Einstellungen!$B$5+INT((ROW()-9)/24)</f>
        <v>46401</v>
      </c>
      <c r="B10467" s="11" t="n">
        <f aca="false">MOD(ROW()-9,24)</f>
        <v>18</v>
      </c>
      <c r="C10467" s="12"/>
      <c r="D10467" s="13" t="n">
        <f aca="false">IF(B10467&lt;5,Einstellungen!$B$3,Einstellungen!$B$4)</f>
        <v>29.13</v>
      </c>
      <c r="E10467" s="14" t="str">
        <f aca="false">IF(C10467="","",C10467*D10467/100)</f>
        <v/>
      </c>
      <c r="F10467" s="15" t="str">
        <f aca="false">IF(B10467&lt;5,"Go","Standard")</f>
        <v>Standard</v>
      </c>
    </row>
    <row r="10468" customFormat="false" ht="15" hidden="false" customHeight="true" outlineLevel="0" collapsed="false">
      <c r="A10468" s="10" t="n">
        <f aca="false">Einstellungen!$B$5+INT((ROW()-9)/24)</f>
        <v>46401</v>
      </c>
      <c r="B10468" s="11" t="n">
        <f aca="false">MOD(ROW()-9,24)</f>
        <v>19</v>
      </c>
      <c r="C10468" s="12"/>
      <c r="D10468" s="13" t="n">
        <f aca="false">IF(B10468&lt;5,Einstellungen!$B$3,Einstellungen!$B$4)</f>
        <v>29.13</v>
      </c>
      <c r="E10468" s="14" t="str">
        <f aca="false">IF(C10468="","",C10468*D10468/100)</f>
        <v/>
      </c>
      <c r="F10468" s="15" t="str">
        <f aca="false">IF(B10468&lt;5,"Go","Standard")</f>
        <v>Standard</v>
      </c>
    </row>
    <row r="10469" customFormat="false" ht="15" hidden="false" customHeight="true" outlineLevel="0" collapsed="false">
      <c r="A10469" s="10" t="n">
        <f aca="false">Einstellungen!$B$5+INT((ROW()-9)/24)</f>
        <v>46401</v>
      </c>
      <c r="B10469" s="11" t="n">
        <f aca="false">MOD(ROW()-9,24)</f>
        <v>20</v>
      </c>
      <c r="C10469" s="12"/>
      <c r="D10469" s="13" t="n">
        <f aca="false">IF(B10469&lt;5,Einstellungen!$B$3,Einstellungen!$B$4)</f>
        <v>29.13</v>
      </c>
      <c r="E10469" s="14" t="str">
        <f aca="false">IF(C10469="","",C10469*D10469/100)</f>
        <v/>
      </c>
      <c r="F10469" s="15" t="str">
        <f aca="false">IF(B10469&lt;5,"Go","Standard")</f>
        <v>Standard</v>
      </c>
    </row>
    <row r="10470" customFormat="false" ht="15" hidden="false" customHeight="true" outlineLevel="0" collapsed="false">
      <c r="A10470" s="10" t="n">
        <f aca="false">Einstellungen!$B$5+INT((ROW()-9)/24)</f>
        <v>46401</v>
      </c>
      <c r="B10470" s="11" t="n">
        <f aca="false">MOD(ROW()-9,24)</f>
        <v>21</v>
      </c>
      <c r="C10470" s="12"/>
      <c r="D10470" s="13" t="n">
        <f aca="false">IF(B10470&lt;5,Einstellungen!$B$3,Einstellungen!$B$4)</f>
        <v>29.13</v>
      </c>
      <c r="E10470" s="14" t="str">
        <f aca="false">IF(C10470="","",C10470*D10470/100)</f>
        <v/>
      </c>
      <c r="F10470" s="15" t="str">
        <f aca="false">IF(B10470&lt;5,"Go","Standard")</f>
        <v>Standard</v>
      </c>
    </row>
    <row r="10471" customFormat="false" ht="15" hidden="false" customHeight="true" outlineLevel="0" collapsed="false">
      <c r="A10471" s="10" t="n">
        <f aca="false">Einstellungen!$B$5+INT((ROW()-9)/24)</f>
        <v>46401</v>
      </c>
      <c r="B10471" s="11" t="n">
        <f aca="false">MOD(ROW()-9,24)</f>
        <v>22</v>
      </c>
      <c r="C10471" s="12"/>
      <c r="D10471" s="13" t="n">
        <f aca="false">IF(B10471&lt;5,Einstellungen!$B$3,Einstellungen!$B$4)</f>
        <v>29.13</v>
      </c>
      <c r="E10471" s="14" t="str">
        <f aca="false">IF(C10471="","",C10471*D10471/100)</f>
        <v/>
      </c>
      <c r="F10471" s="15" t="str">
        <f aca="false">IF(B10471&lt;5,"Go","Standard")</f>
        <v>Standard</v>
      </c>
    </row>
    <row r="10472" customFormat="false" ht="15" hidden="false" customHeight="true" outlineLevel="0" collapsed="false">
      <c r="A10472" s="10" t="n">
        <f aca="false">Einstellungen!$B$5+INT((ROW()-9)/24)</f>
        <v>46401</v>
      </c>
      <c r="B10472" s="11" t="n">
        <f aca="false">MOD(ROW()-9,24)</f>
        <v>23</v>
      </c>
      <c r="C10472" s="12"/>
      <c r="D10472" s="13" t="n">
        <f aca="false">IF(B10472&lt;5,Einstellungen!$B$3,Einstellungen!$B$4)</f>
        <v>29.13</v>
      </c>
      <c r="E10472" s="14" t="str">
        <f aca="false">IF(C10472="","",C10472*D10472/100)</f>
        <v/>
      </c>
      <c r="F10472" s="15" t="str">
        <f aca="false">IF(B10472&lt;5,"Go","Standard")</f>
        <v>Standard</v>
      </c>
    </row>
    <row r="10473" customFormat="false" ht="15" hidden="false" customHeight="true" outlineLevel="0" collapsed="false">
      <c r="A10473" s="10" t="n">
        <f aca="false">Einstellungen!$B$5+INT((ROW()-9)/24)</f>
        <v>46402</v>
      </c>
      <c r="B10473" s="11" t="n">
        <f aca="false">MOD(ROW()-9,24)</f>
        <v>0</v>
      </c>
      <c r="C10473" s="12"/>
      <c r="D10473" s="13" t="n">
        <f aca="false">IF(B10473&lt;5,Einstellungen!$B$3,Einstellungen!$B$4)</f>
        <v>15.92</v>
      </c>
      <c r="E10473" s="14" t="str">
        <f aca="false">IF(C10473="","",C10473*D10473/100)</f>
        <v/>
      </c>
      <c r="F10473" s="15" t="str">
        <f aca="false">IF(B10473&lt;5,"Go","Standard")</f>
        <v>Go</v>
      </c>
    </row>
    <row r="10474" customFormat="false" ht="15" hidden="false" customHeight="true" outlineLevel="0" collapsed="false">
      <c r="A10474" s="10" t="n">
        <f aca="false">Einstellungen!$B$5+INT((ROW()-9)/24)</f>
        <v>46402</v>
      </c>
      <c r="B10474" s="11" t="n">
        <f aca="false">MOD(ROW()-9,24)</f>
        <v>1</v>
      </c>
      <c r="C10474" s="12"/>
      <c r="D10474" s="13" t="n">
        <f aca="false">IF(B10474&lt;5,Einstellungen!$B$3,Einstellungen!$B$4)</f>
        <v>15.92</v>
      </c>
      <c r="E10474" s="14" t="str">
        <f aca="false">IF(C10474="","",C10474*D10474/100)</f>
        <v/>
      </c>
      <c r="F10474" s="15" t="str">
        <f aca="false">IF(B10474&lt;5,"Go","Standard")</f>
        <v>Go</v>
      </c>
    </row>
    <row r="10475" customFormat="false" ht="15" hidden="false" customHeight="true" outlineLevel="0" collapsed="false">
      <c r="A10475" s="10" t="n">
        <f aca="false">Einstellungen!$B$5+INT((ROW()-9)/24)</f>
        <v>46402</v>
      </c>
      <c r="B10475" s="11" t="n">
        <f aca="false">MOD(ROW()-9,24)</f>
        <v>2</v>
      </c>
      <c r="C10475" s="12"/>
      <c r="D10475" s="13" t="n">
        <f aca="false">IF(B10475&lt;5,Einstellungen!$B$3,Einstellungen!$B$4)</f>
        <v>15.92</v>
      </c>
      <c r="E10475" s="14" t="str">
        <f aca="false">IF(C10475="","",C10475*D10475/100)</f>
        <v/>
      </c>
      <c r="F10475" s="15" t="str">
        <f aca="false">IF(B10475&lt;5,"Go","Standard")</f>
        <v>Go</v>
      </c>
    </row>
    <row r="10476" customFormat="false" ht="15" hidden="false" customHeight="true" outlineLevel="0" collapsed="false">
      <c r="A10476" s="10" t="n">
        <f aca="false">Einstellungen!$B$5+INT((ROW()-9)/24)</f>
        <v>46402</v>
      </c>
      <c r="B10476" s="11" t="n">
        <f aca="false">MOD(ROW()-9,24)</f>
        <v>3</v>
      </c>
      <c r="C10476" s="12"/>
      <c r="D10476" s="13" t="n">
        <f aca="false">IF(B10476&lt;5,Einstellungen!$B$3,Einstellungen!$B$4)</f>
        <v>15.92</v>
      </c>
      <c r="E10476" s="14" t="str">
        <f aca="false">IF(C10476="","",C10476*D10476/100)</f>
        <v/>
      </c>
      <c r="F10476" s="15" t="str">
        <f aca="false">IF(B10476&lt;5,"Go","Standard")</f>
        <v>Go</v>
      </c>
    </row>
    <row r="10477" customFormat="false" ht="15" hidden="false" customHeight="true" outlineLevel="0" collapsed="false">
      <c r="A10477" s="10" t="n">
        <f aca="false">Einstellungen!$B$5+INT((ROW()-9)/24)</f>
        <v>46402</v>
      </c>
      <c r="B10477" s="11" t="n">
        <f aca="false">MOD(ROW()-9,24)</f>
        <v>4</v>
      </c>
      <c r="C10477" s="12"/>
      <c r="D10477" s="13" t="n">
        <f aca="false">IF(B10477&lt;5,Einstellungen!$B$3,Einstellungen!$B$4)</f>
        <v>15.92</v>
      </c>
      <c r="E10477" s="14" t="str">
        <f aca="false">IF(C10477="","",C10477*D10477/100)</f>
        <v/>
      </c>
      <c r="F10477" s="15" t="str">
        <f aca="false">IF(B10477&lt;5,"Go","Standard")</f>
        <v>Go</v>
      </c>
    </row>
    <row r="10478" customFormat="false" ht="15" hidden="false" customHeight="true" outlineLevel="0" collapsed="false">
      <c r="A10478" s="10" t="n">
        <f aca="false">Einstellungen!$B$5+INT((ROW()-9)/24)</f>
        <v>46402</v>
      </c>
      <c r="B10478" s="11" t="n">
        <f aca="false">MOD(ROW()-9,24)</f>
        <v>5</v>
      </c>
      <c r="C10478" s="12"/>
      <c r="D10478" s="13" t="n">
        <f aca="false">IF(B10478&lt;5,Einstellungen!$B$3,Einstellungen!$B$4)</f>
        <v>29.13</v>
      </c>
      <c r="E10478" s="14" t="str">
        <f aca="false">IF(C10478="","",C10478*D10478/100)</f>
        <v/>
      </c>
      <c r="F10478" s="15" t="str">
        <f aca="false">IF(B10478&lt;5,"Go","Standard")</f>
        <v>Standard</v>
      </c>
    </row>
    <row r="10479" customFormat="false" ht="15" hidden="false" customHeight="true" outlineLevel="0" collapsed="false">
      <c r="A10479" s="10" t="n">
        <f aca="false">Einstellungen!$B$5+INT((ROW()-9)/24)</f>
        <v>46402</v>
      </c>
      <c r="B10479" s="11" t="n">
        <f aca="false">MOD(ROW()-9,24)</f>
        <v>6</v>
      </c>
      <c r="C10479" s="12"/>
      <c r="D10479" s="13" t="n">
        <f aca="false">IF(B10479&lt;5,Einstellungen!$B$3,Einstellungen!$B$4)</f>
        <v>29.13</v>
      </c>
      <c r="E10479" s="14" t="str">
        <f aca="false">IF(C10479="","",C10479*D10479/100)</f>
        <v/>
      </c>
      <c r="F10479" s="15" t="str">
        <f aca="false">IF(B10479&lt;5,"Go","Standard")</f>
        <v>Standard</v>
      </c>
    </row>
    <row r="10480" customFormat="false" ht="15" hidden="false" customHeight="true" outlineLevel="0" collapsed="false">
      <c r="A10480" s="10" t="n">
        <f aca="false">Einstellungen!$B$5+INT((ROW()-9)/24)</f>
        <v>46402</v>
      </c>
      <c r="B10480" s="11" t="n">
        <f aca="false">MOD(ROW()-9,24)</f>
        <v>7</v>
      </c>
      <c r="C10480" s="12"/>
      <c r="D10480" s="13" t="n">
        <f aca="false">IF(B10480&lt;5,Einstellungen!$B$3,Einstellungen!$B$4)</f>
        <v>29.13</v>
      </c>
      <c r="E10480" s="14" t="str">
        <f aca="false">IF(C10480="","",C10480*D10480/100)</f>
        <v/>
      </c>
      <c r="F10480" s="15" t="str">
        <f aca="false">IF(B10480&lt;5,"Go","Standard")</f>
        <v>Standard</v>
      </c>
    </row>
    <row r="10481" customFormat="false" ht="15" hidden="false" customHeight="true" outlineLevel="0" collapsed="false">
      <c r="A10481" s="10" t="n">
        <f aca="false">Einstellungen!$B$5+INT((ROW()-9)/24)</f>
        <v>46402</v>
      </c>
      <c r="B10481" s="11" t="n">
        <f aca="false">MOD(ROW()-9,24)</f>
        <v>8</v>
      </c>
      <c r="C10481" s="12"/>
      <c r="D10481" s="13" t="n">
        <f aca="false">IF(B10481&lt;5,Einstellungen!$B$3,Einstellungen!$B$4)</f>
        <v>29.13</v>
      </c>
      <c r="E10481" s="14" t="str">
        <f aca="false">IF(C10481="","",C10481*D10481/100)</f>
        <v/>
      </c>
      <c r="F10481" s="15" t="str">
        <f aca="false">IF(B10481&lt;5,"Go","Standard")</f>
        <v>Standard</v>
      </c>
    </row>
    <row r="10482" customFormat="false" ht="15" hidden="false" customHeight="true" outlineLevel="0" collapsed="false">
      <c r="A10482" s="10" t="n">
        <f aca="false">Einstellungen!$B$5+INT((ROW()-9)/24)</f>
        <v>46402</v>
      </c>
      <c r="B10482" s="11" t="n">
        <f aca="false">MOD(ROW()-9,24)</f>
        <v>9</v>
      </c>
      <c r="C10482" s="12"/>
      <c r="D10482" s="13" t="n">
        <f aca="false">IF(B10482&lt;5,Einstellungen!$B$3,Einstellungen!$B$4)</f>
        <v>29.13</v>
      </c>
      <c r="E10482" s="14" t="str">
        <f aca="false">IF(C10482="","",C10482*D10482/100)</f>
        <v/>
      </c>
      <c r="F10482" s="15" t="str">
        <f aca="false">IF(B10482&lt;5,"Go","Standard")</f>
        <v>Standard</v>
      </c>
    </row>
    <row r="10483" customFormat="false" ht="15" hidden="false" customHeight="true" outlineLevel="0" collapsed="false">
      <c r="A10483" s="10" t="n">
        <f aca="false">Einstellungen!$B$5+INT((ROW()-9)/24)</f>
        <v>46402</v>
      </c>
      <c r="B10483" s="11" t="n">
        <f aca="false">MOD(ROW()-9,24)</f>
        <v>10</v>
      </c>
      <c r="C10483" s="12"/>
      <c r="D10483" s="13" t="n">
        <f aca="false">IF(B10483&lt;5,Einstellungen!$B$3,Einstellungen!$B$4)</f>
        <v>29.13</v>
      </c>
      <c r="E10483" s="14" t="str">
        <f aca="false">IF(C10483="","",C10483*D10483/100)</f>
        <v/>
      </c>
      <c r="F10483" s="15" t="str">
        <f aca="false">IF(B10483&lt;5,"Go","Standard")</f>
        <v>Standard</v>
      </c>
    </row>
    <row r="10484" customFormat="false" ht="15" hidden="false" customHeight="true" outlineLevel="0" collapsed="false">
      <c r="A10484" s="10" t="n">
        <f aca="false">Einstellungen!$B$5+INT((ROW()-9)/24)</f>
        <v>46402</v>
      </c>
      <c r="B10484" s="11" t="n">
        <f aca="false">MOD(ROW()-9,24)</f>
        <v>11</v>
      </c>
      <c r="C10484" s="12"/>
      <c r="D10484" s="13" t="n">
        <f aca="false">IF(B10484&lt;5,Einstellungen!$B$3,Einstellungen!$B$4)</f>
        <v>29.13</v>
      </c>
      <c r="E10484" s="14" t="str">
        <f aca="false">IF(C10484="","",C10484*D10484/100)</f>
        <v/>
      </c>
      <c r="F10484" s="15" t="str">
        <f aca="false">IF(B10484&lt;5,"Go","Standard")</f>
        <v>Standard</v>
      </c>
    </row>
    <row r="10485" customFormat="false" ht="15" hidden="false" customHeight="true" outlineLevel="0" collapsed="false">
      <c r="A10485" s="10" t="n">
        <f aca="false">Einstellungen!$B$5+INT((ROW()-9)/24)</f>
        <v>46402</v>
      </c>
      <c r="B10485" s="11" t="n">
        <f aca="false">MOD(ROW()-9,24)</f>
        <v>12</v>
      </c>
      <c r="C10485" s="12"/>
      <c r="D10485" s="13" t="n">
        <f aca="false">IF(B10485&lt;5,Einstellungen!$B$3,Einstellungen!$B$4)</f>
        <v>29.13</v>
      </c>
      <c r="E10485" s="14" t="str">
        <f aca="false">IF(C10485="","",C10485*D10485/100)</f>
        <v/>
      </c>
      <c r="F10485" s="15" t="str">
        <f aca="false">IF(B10485&lt;5,"Go","Standard")</f>
        <v>Standard</v>
      </c>
    </row>
    <row r="10486" customFormat="false" ht="15" hidden="false" customHeight="true" outlineLevel="0" collapsed="false">
      <c r="A10486" s="10" t="n">
        <f aca="false">Einstellungen!$B$5+INT((ROW()-9)/24)</f>
        <v>46402</v>
      </c>
      <c r="B10486" s="11" t="n">
        <f aca="false">MOD(ROW()-9,24)</f>
        <v>13</v>
      </c>
      <c r="C10486" s="12"/>
      <c r="D10486" s="13" t="n">
        <f aca="false">IF(B10486&lt;5,Einstellungen!$B$3,Einstellungen!$B$4)</f>
        <v>29.13</v>
      </c>
      <c r="E10486" s="14" t="str">
        <f aca="false">IF(C10486="","",C10486*D10486/100)</f>
        <v/>
      </c>
      <c r="F10486" s="15" t="str">
        <f aca="false">IF(B10486&lt;5,"Go","Standard")</f>
        <v>Standard</v>
      </c>
    </row>
    <row r="10487" customFormat="false" ht="15" hidden="false" customHeight="true" outlineLevel="0" collapsed="false">
      <c r="A10487" s="10" t="n">
        <f aca="false">Einstellungen!$B$5+INT((ROW()-9)/24)</f>
        <v>46402</v>
      </c>
      <c r="B10487" s="11" t="n">
        <f aca="false">MOD(ROW()-9,24)</f>
        <v>14</v>
      </c>
      <c r="C10487" s="12"/>
      <c r="D10487" s="13" t="n">
        <f aca="false">IF(B10487&lt;5,Einstellungen!$B$3,Einstellungen!$B$4)</f>
        <v>29.13</v>
      </c>
      <c r="E10487" s="14" t="str">
        <f aca="false">IF(C10487="","",C10487*D10487/100)</f>
        <v/>
      </c>
      <c r="F10487" s="15" t="str">
        <f aca="false">IF(B10487&lt;5,"Go","Standard")</f>
        <v>Standard</v>
      </c>
    </row>
    <row r="10488" customFormat="false" ht="15" hidden="false" customHeight="true" outlineLevel="0" collapsed="false">
      <c r="A10488" s="10" t="n">
        <f aca="false">Einstellungen!$B$5+INT((ROW()-9)/24)</f>
        <v>46402</v>
      </c>
      <c r="B10488" s="11" t="n">
        <f aca="false">MOD(ROW()-9,24)</f>
        <v>15</v>
      </c>
      <c r="C10488" s="12"/>
      <c r="D10488" s="13" t="n">
        <f aca="false">IF(B10488&lt;5,Einstellungen!$B$3,Einstellungen!$B$4)</f>
        <v>29.13</v>
      </c>
      <c r="E10488" s="14" t="str">
        <f aca="false">IF(C10488="","",C10488*D10488/100)</f>
        <v/>
      </c>
      <c r="F10488" s="15" t="str">
        <f aca="false">IF(B10488&lt;5,"Go","Standard")</f>
        <v>Standard</v>
      </c>
    </row>
    <row r="10489" customFormat="false" ht="15" hidden="false" customHeight="true" outlineLevel="0" collapsed="false">
      <c r="A10489" s="10" t="n">
        <f aca="false">Einstellungen!$B$5+INT((ROW()-9)/24)</f>
        <v>46402</v>
      </c>
      <c r="B10489" s="11" t="n">
        <f aca="false">MOD(ROW()-9,24)</f>
        <v>16</v>
      </c>
      <c r="C10489" s="12"/>
      <c r="D10489" s="13" t="n">
        <f aca="false">IF(B10489&lt;5,Einstellungen!$B$3,Einstellungen!$B$4)</f>
        <v>29.13</v>
      </c>
      <c r="E10489" s="14" t="str">
        <f aca="false">IF(C10489="","",C10489*D10489/100)</f>
        <v/>
      </c>
      <c r="F10489" s="15" t="str">
        <f aca="false">IF(B10489&lt;5,"Go","Standard")</f>
        <v>Standard</v>
      </c>
    </row>
    <row r="10490" customFormat="false" ht="15" hidden="false" customHeight="true" outlineLevel="0" collapsed="false">
      <c r="A10490" s="10" t="n">
        <f aca="false">Einstellungen!$B$5+INT((ROW()-9)/24)</f>
        <v>46402</v>
      </c>
      <c r="B10490" s="11" t="n">
        <f aca="false">MOD(ROW()-9,24)</f>
        <v>17</v>
      </c>
      <c r="C10490" s="12"/>
      <c r="D10490" s="13" t="n">
        <f aca="false">IF(B10490&lt;5,Einstellungen!$B$3,Einstellungen!$B$4)</f>
        <v>29.13</v>
      </c>
      <c r="E10490" s="14" t="str">
        <f aca="false">IF(C10490="","",C10490*D10490/100)</f>
        <v/>
      </c>
      <c r="F10490" s="15" t="str">
        <f aca="false">IF(B10490&lt;5,"Go","Standard")</f>
        <v>Standard</v>
      </c>
    </row>
    <row r="10491" customFormat="false" ht="15" hidden="false" customHeight="true" outlineLevel="0" collapsed="false">
      <c r="A10491" s="10" t="n">
        <f aca="false">Einstellungen!$B$5+INT((ROW()-9)/24)</f>
        <v>46402</v>
      </c>
      <c r="B10491" s="11" t="n">
        <f aca="false">MOD(ROW()-9,24)</f>
        <v>18</v>
      </c>
      <c r="C10491" s="12"/>
      <c r="D10491" s="13" t="n">
        <f aca="false">IF(B10491&lt;5,Einstellungen!$B$3,Einstellungen!$B$4)</f>
        <v>29.13</v>
      </c>
      <c r="E10491" s="14" t="str">
        <f aca="false">IF(C10491="","",C10491*D10491/100)</f>
        <v/>
      </c>
      <c r="F10491" s="15" t="str">
        <f aca="false">IF(B10491&lt;5,"Go","Standard")</f>
        <v>Standard</v>
      </c>
    </row>
    <row r="10492" customFormat="false" ht="15" hidden="false" customHeight="true" outlineLevel="0" collapsed="false">
      <c r="A10492" s="10" t="n">
        <f aca="false">Einstellungen!$B$5+INT((ROW()-9)/24)</f>
        <v>46402</v>
      </c>
      <c r="B10492" s="11" t="n">
        <f aca="false">MOD(ROW()-9,24)</f>
        <v>19</v>
      </c>
      <c r="C10492" s="12"/>
      <c r="D10492" s="13" t="n">
        <f aca="false">IF(B10492&lt;5,Einstellungen!$B$3,Einstellungen!$B$4)</f>
        <v>29.13</v>
      </c>
      <c r="E10492" s="14" t="str">
        <f aca="false">IF(C10492="","",C10492*D10492/100)</f>
        <v/>
      </c>
      <c r="F10492" s="15" t="str">
        <f aca="false">IF(B10492&lt;5,"Go","Standard")</f>
        <v>Standard</v>
      </c>
    </row>
    <row r="10493" customFormat="false" ht="15" hidden="false" customHeight="true" outlineLevel="0" collapsed="false">
      <c r="A10493" s="10" t="n">
        <f aca="false">Einstellungen!$B$5+INT((ROW()-9)/24)</f>
        <v>46402</v>
      </c>
      <c r="B10493" s="11" t="n">
        <f aca="false">MOD(ROW()-9,24)</f>
        <v>20</v>
      </c>
      <c r="C10493" s="12"/>
      <c r="D10493" s="13" t="n">
        <f aca="false">IF(B10493&lt;5,Einstellungen!$B$3,Einstellungen!$B$4)</f>
        <v>29.13</v>
      </c>
      <c r="E10493" s="14" t="str">
        <f aca="false">IF(C10493="","",C10493*D10493/100)</f>
        <v/>
      </c>
      <c r="F10493" s="15" t="str">
        <f aca="false">IF(B10493&lt;5,"Go","Standard")</f>
        <v>Standard</v>
      </c>
    </row>
    <row r="10494" customFormat="false" ht="15" hidden="false" customHeight="true" outlineLevel="0" collapsed="false">
      <c r="A10494" s="10" t="n">
        <f aca="false">Einstellungen!$B$5+INT((ROW()-9)/24)</f>
        <v>46402</v>
      </c>
      <c r="B10494" s="11" t="n">
        <f aca="false">MOD(ROW()-9,24)</f>
        <v>21</v>
      </c>
      <c r="C10494" s="12"/>
      <c r="D10494" s="13" t="n">
        <f aca="false">IF(B10494&lt;5,Einstellungen!$B$3,Einstellungen!$B$4)</f>
        <v>29.13</v>
      </c>
      <c r="E10494" s="14" t="str">
        <f aca="false">IF(C10494="","",C10494*D10494/100)</f>
        <v/>
      </c>
      <c r="F10494" s="15" t="str">
        <f aca="false">IF(B10494&lt;5,"Go","Standard")</f>
        <v>Standard</v>
      </c>
    </row>
    <row r="10495" customFormat="false" ht="15" hidden="false" customHeight="true" outlineLevel="0" collapsed="false">
      <c r="A10495" s="10" t="n">
        <f aca="false">Einstellungen!$B$5+INT((ROW()-9)/24)</f>
        <v>46402</v>
      </c>
      <c r="B10495" s="11" t="n">
        <f aca="false">MOD(ROW()-9,24)</f>
        <v>22</v>
      </c>
      <c r="C10495" s="12"/>
      <c r="D10495" s="13" t="n">
        <f aca="false">IF(B10495&lt;5,Einstellungen!$B$3,Einstellungen!$B$4)</f>
        <v>29.13</v>
      </c>
      <c r="E10495" s="14" t="str">
        <f aca="false">IF(C10495="","",C10495*D10495/100)</f>
        <v/>
      </c>
      <c r="F10495" s="15" t="str">
        <f aca="false">IF(B10495&lt;5,"Go","Standard")</f>
        <v>Standard</v>
      </c>
    </row>
    <row r="10496" customFormat="false" ht="15" hidden="false" customHeight="true" outlineLevel="0" collapsed="false">
      <c r="A10496" s="10" t="n">
        <f aca="false">Einstellungen!$B$5+INT((ROW()-9)/24)</f>
        <v>46402</v>
      </c>
      <c r="B10496" s="11" t="n">
        <f aca="false">MOD(ROW()-9,24)</f>
        <v>23</v>
      </c>
      <c r="C10496" s="12"/>
      <c r="D10496" s="13" t="n">
        <f aca="false">IF(B10496&lt;5,Einstellungen!$B$3,Einstellungen!$B$4)</f>
        <v>29.13</v>
      </c>
      <c r="E10496" s="14" t="str">
        <f aca="false">IF(C10496="","",C10496*D10496/100)</f>
        <v/>
      </c>
      <c r="F10496" s="15" t="str">
        <f aca="false">IF(B10496&lt;5,"Go","Standard")</f>
        <v>Standard</v>
      </c>
    </row>
    <row r="10497" customFormat="false" ht="15" hidden="false" customHeight="true" outlineLevel="0" collapsed="false">
      <c r="A10497" s="10" t="n">
        <f aca="false">Einstellungen!$B$5+INT((ROW()-9)/24)</f>
        <v>46403</v>
      </c>
      <c r="B10497" s="11" t="n">
        <f aca="false">MOD(ROW()-9,24)</f>
        <v>0</v>
      </c>
      <c r="C10497" s="12"/>
      <c r="D10497" s="13" t="n">
        <f aca="false">IF(B10497&lt;5,Einstellungen!$B$3,Einstellungen!$B$4)</f>
        <v>15.92</v>
      </c>
      <c r="E10497" s="14" t="str">
        <f aca="false">IF(C10497="","",C10497*D10497/100)</f>
        <v/>
      </c>
      <c r="F10497" s="15" t="str">
        <f aca="false">IF(B10497&lt;5,"Go","Standard")</f>
        <v>Go</v>
      </c>
    </row>
    <row r="10498" customFormat="false" ht="15" hidden="false" customHeight="true" outlineLevel="0" collapsed="false">
      <c r="A10498" s="10" t="n">
        <f aca="false">Einstellungen!$B$5+INT((ROW()-9)/24)</f>
        <v>46403</v>
      </c>
      <c r="B10498" s="11" t="n">
        <f aca="false">MOD(ROW()-9,24)</f>
        <v>1</v>
      </c>
      <c r="C10498" s="12"/>
      <c r="D10498" s="13" t="n">
        <f aca="false">IF(B10498&lt;5,Einstellungen!$B$3,Einstellungen!$B$4)</f>
        <v>15.92</v>
      </c>
      <c r="E10498" s="14" t="str">
        <f aca="false">IF(C10498="","",C10498*D10498/100)</f>
        <v/>
      </c>
      <c r="F10498" s="15" t="str">
        <f aca="false">IF(B10498&lt;5,"Go","Standard")</f>
        <v>Go</v>
      </c>
    </row>
    <row r="10499" customFormat="false" ht="15" hidden="false" customHeight="true" outlineLevel="0" collapsed="false">
      <c r="A10499" s="10" t="n">
        <f aca="false">Einstellungen!$B$5+INT((ROW()-9)/24)</f>
        <v>46403</v>
      </c>
      <c r="B10499" s="11" t="n">
        <f aca="false">MOD(ROW()-9,24)</f>
        <v>2</v>
      </c>
      <c r="C10499" s="12"/>
      <c r="D10499" s="13" t="n">
        <f aca="false">IF(B10499&lt;5,Einstellungen!$B$3,Einstellungen!$B$4)</f>
        <v>15.92</v>
      </c>
      <c r="E10499" s="14" t="str">
        <f aca="false">IF(C10499="","",C10499*D10499/100)</f>
        <v/>
      </c>
      <c r="F10499" s="15" t="str">
        <f aca="false">IF(B10499&lt;5,"Go","Standard")</f>
        <v>Go</v>
      </c>
    </row>
    <row r="10500" customFormat="false" ht="15" hidden="false" customHeight="true" outlineLevel="0" collapsed="false">
      <c r="A10500" s="10" t="n">
        <f aca="false">Einstellungen!$B$5+INT((ROW()-9)/24)</f>
        <v>46403</v>
      </c>
      <c r="B10500" s="11" t="n">
        <f aca="false">MOD(ROW()-9,24)</f>
        <v>3</v>
      </c>
      <c r="C10500" s="12"/>
      <c r="D10500" s="13" t="n">
        <f aca="false">IF(B10500&lt;5,Einstellungen!$B$3,Einstellungen!$B$4)</f>
        <v>15.92</v>
      </c>
      <c r="E10500" s="14" t="str">
        <f aca="false">IF(C10500="","",C10500*D10500/100)</f>
        <v/>
      </c>
      <c r="F10500" s="15" t="str">
        <f aca="false">IF(B10500&lt;5,"Go","Standard")</f>
        <v>Go</v>
      </c>
    </row>
    <row r="10501" customFormat="false" ht="15" hidden="false" customHeight="true" outlineLevel="0" collapsed="false">
      <c r="A10501" s="10" t="n">
        <f aca="false">Einstellungen!$B$5+INT((ROW()-9)/24)</f>
        <v>46403</v>
      </c>
      <c r="B10501" s="11" t="n">
        <f aca="false">MOD(ROW()-9,24)</f>
        <v>4</v>
      </c>
      <c r="C10501" s="12"/>
      <c r="D10501" s="13" t="n">
        <f aca="false">IF(B10501&lt;5,Einstellungen!$B$3,Einstellungen!$B$4)</f>
        <v>15.92</v>
      </c>
      <c r="E10501" s="14" t="str">
        <f aca="false">IF(C10501="","",C10501*D10501/100)</f>
        <v/>
      </c>
      <c r="F10501" s="15" t="str">
        <f aca="false">IF(B10501&lt;5,"Go","Standard")</f>
        <v>Go</v>
      </c>
    </row>
    <row r="10502" customFormat="false" ht="15" hidden="false" customHeight="true" outlineLevel="0" collapsed="false">
      <c r="A10502" s="10" t="n">
        <f aca="false">Einstellungen!$B$5+INT((ROW()-9)/24)</f>
        <v>46403</v>
      </c>
      <c r="B10502" s="11" t="n">
        <f aca="false">MOD(ROW()-9,24)</f>
        <v>5</v>
      </c>
      <c r="C10502" s="12"/>
      <c r="D10502" s="13" t="n">
        <f aca="false">IF(B10502&lt;5,Einstellungen!$B$3,Einstellungen!$B$4)</f>
        <v>29.13</v>
      </c>
      <c r="E10502" s="14" t="str">
        <f aca="false">IF(C10502="","",C10502*D10502/100)</f>
        <v/>
      </c>
      <c r="F10502" s="15" t="str">
        <f aca="false">IF(B10502&lt;5,"Go","Standard")</f>
        <v>Standard</v>
      </c>
    </row>
    <row r="10503" customFormat="false" ht="15" hidden="false" customHeight="true" outlineLevel="0" collapsed="false">
      <c r="A10503" s="10" t="n">
        <f aca="false">Einstellungen!$B$5+INT((ROW()-9)/24)</f>
        <v>46403</v>
      </c>
      <c r="B10503" s="11" t="n">
        <f aca="false">MOD(ROW()-9,24)</f>
        <v>6</v>
      </c>
      <c r="C10503" s="12"/>
      <c r="D10503" s="13" t="n">
        <f aca="false">IF(B10503&lt;5,Einstellungen!$B$3,Einstellungen!$B$4)</f>
        <v>29.13</v>
      </c>
      <c r="E10503" s="14" t="str">
        <f aca="false">IF(C10503="","",C10503*D10503/100)</f>
        <v/>
      </c>
      <c r="F10503" s="15" t="str">
        <f aca="false">IF(B10503&lt;5,"Go","Standard")</f>
        <v>Standard</v>
      </c>
    </row>
    <row r="10504" customFormat="false" ht="15" hidden="false" customHeight="true" outlineLevel="0" collapsed="false">
      <c r="A10504" s="10" t="n">
        <f aca="false">Einstellungen!$B$5+INT((ROW()-9)/24)</f>
        <v>46403</v>
      </c>
      <c r="B10504" s="11" t="n">
        <f aca="false">MOD(ROW()-9,24)</f>
        <v>7</v>
      </c>
      <c r="C10504" s="12"/>
      <c r="D10504" s="13" t="n">
        <f aca="false">IF(B10504&lt;5,Einstellungen!$B$3,Einstellungen!$B$4)</f>
        <v>29.13</v>
      </c>
      <c r="E10504" s="14" t="str">
        <f aca="false">IF(C10504="","",C10504*D10504/100)</f>
        <v/>
      </c>
      <c r="F10504" s="15" t="str">
        <f aca="false">IF(B10504&lt;5,"Go","Standard")</f>
        <v>Standard</v>
      </c>
    </row>
    <row r="10505" customFormat="false" ht="15" hidden="false" customHeight="true" outlineLevel="0" collapsed="false">
      <c r="A10505" s="10" t="n">
        <f aca="false">Einstellungen!$B$5+INT((ROW()-9)/24)</f>
        <v>46403</v>
      </c>
      <c r="B10505" s="11" t="n">
        <f aca="false">MOD(ROW()-9,24)</f>
        <v>8</v>
      </c>
      <c r="C10505" s="12"/>
      <c r="D10505" s="13" t="n">
        <f aca="false">IF(B10505&lt;5,Einstellungen!$B$3,Einstellungen!$B$4)</f>
        <v>29.13</v>
      </c>
      <c r="E10505" s="14" t="str">
        <f aca="false">IF(C10505="","",C10505*D10505/100)</f>
        <v/>
      </c>
      <c r="F10505" s="15" t="str">
        <f aca="false">IF(B10505&lt;5,"Go","Standard")</f>
        <v>Standard</v>
      </c>
    </row>
    <row r="10506" customFormat="false" ht="15" hidden="false" customHeight="true" outlineLevel="0" collapsed="false">
      <c r="A10506" s="10" t="n">
        <f aca="false">Einstellungen!$B$5+INT((ROW()-9)/24)</f>
        <v>46403</v>
      </c>
      <c r="B10506" s="11" t="n">
        <f aca="false">MOD(ROW()-9,24)</f>
        <v>9</v>
      </c>
      <c r="C10506" s="12"/>
      <c r="D10506" s="13" t="n">
        <f aca="false">IF(B10506&lt;5,Einstellungen!$B$3,Einstellungen!$B$4)</f>
        <v>29.13</v>
      </c>
      <c r="E10506" s="14" t="str">
        <f aca="false">IF(C10506="","",C10506*D10506/100)</f>
        <v/>
      </c>
      <c r="F10506" s="15" t="str">
        <f aca="false">IF(B10506&lt;5,"Go","Standard")</f>
        <v>Standard</v>
      </c>
    </row>
    <row r="10507" customFormat="false" ht="15" hidden="false" customHeight="true" outlineLevel="0" collapsed="false">
      <c r="A10507" s="10" t="n">
        <f aca="false">Einstellungen!$B$5+INT((ROW()-9)/24)</f>
        <v>46403</v>
      </c>
      <c r="B10507" s="11" t="n">
        <f aca="false">MOD(ROW()-9,24)</f>
        <v>10</v>
      </c>
      <c r="C10507" s="12"/>
      <c r="D10507" s="13" t="n">
        <f aca="false">IF(B10507&lt;5,Einstellungen!$B$3,Einstellungen!$B$4)</f>
        <v>29.13</v>
      </c>
      <c r="E10507" s="14" t="str">
        <f aca="false">IF(C10507="","",C10507*D10507/100)</f>
        <v/>
      </c>
      <c r="F10507" s="15" t="str">
        <f aca="false">IF(B10507&lt;5,"Go","Standard")</f>
        <v>Standard</v>
      </c>
    </row>
    <row r="10508" customFormat="false" ht="15" hidden="false" customHeight="true" outlineLevel="0" collapsed="false">
      <c r="A10508" s="10" t="n">
        <f aca="false">Einstellungen!$B$5+INT((ROW()-9)/24)</f>
        <v>46403</v>
      </c>
      <c r="B10508" s="11" t="n">
        <f aca="false">MOD(ROW()-9,24)</f>
        <v>11</v>
      </c>
      <c r="C10508" s="12"/>
      <c r="D10508" s="13" t="n">
        <f aca="false">IF(B10508&lt;5,Einstellungen!$B$3,Einstellungen!$B$4)</f>
        <v>29.13</v>
      </c>
      <c r="E10508" s="14" t="str">
        <f aca="false">IF(C10508="","",C10508*D10508/100)</f>
        <v/>
      </c>
      <c r="F10508" s="15" t="str">
        <f aca="false">IF(B10508&lt;5,"Go","Standard")</f>
        <v>Standard</v>
      </c>
    </row>
    <row r="10509" customFormat="false" ht="15" hidden="false" customHeight="true" outlineLevel="0" collapsed="false">
      <c r="A10509" s="10" t="n">
        <f aca="false">Einstellungen!$B$5+INT((ROW()-9)/24)</f>
        <v>46403</v>
      </c>
      <c r="B10509" s="11" t="n">
        <f aca="false">MOD(ROW()-9,24)</f>
        <v>12</v>
      </c>
      <c r="C10509" s="12"/>
      <c r="D10509" s="13" t="n">
        <f aca="false">IF(B10509&lt;5,Einstellungen!$B$3,Einstellungen!$B$4)</f>
        <v>29.13</v>
      </c>
      <c r="E10509" s="14" t="str">
        <f aca="false">IF(C10509="","",C10509*D10509/100)</f>
        <v/>
      </c>
      <c r="F10509" s="15" t="str">
        <f aca="false">IF(B10509&lt;5,"Go","Standard")</f>
        <v>Standard</v>
      </c>
    </row>
    <row r="10510" customFormat="false" ht="15" hidden="false" customHeight="true" outlineLevel="0" collapsed="false">
      <c r="A10510" s="10" t="n">
        <f aca="false">Einstellungen!$B$5+INT((ROW()-9)/24)</f>
        <v>46403</v>
      </c>
      <c r="B10510" s="11" t="n">
        <f aca="false">MOD(ROW()-9,24)</f>
        <v>13</v>
      </c>
      <c r="C10510" s="12"/>
      <c r="D10510" s="13" t="n">
        <f aca="false">IF(B10510&lt;5,Einstellungen!$B$3,Einstellungen!$B$4)</f>
        <v>29.13</v>
      </c>
      <c r="E10510" s="14" t="str">
        <f aca="false">IF(C10510="","",C10510*D10510/100)</f>
        <v/>
      </c>
      <c r="F10510" s="15" t="str">
        <f aca="false">IF(B10510&lt;5,"Go","Standard")</f>
        <v>Standard</v>
      </c>
    </row>
    <row r="10511" customFormat="false" ht="15" hidden="false" customHeight="true" outlineLevel="0" collapsed="false">
      <c r="A10511" s="10" t="n">
        <f aca="false">Einstellungen!$B$5+INT((ROW()-9)/24)</f>
        <v>46403</v>
      </c>
      <c r="B10511" s="11" t="n">
        <f aca="false">MOD(ROW()-9,24)</f>
        <v>14</v>
      </c>
      <c r="C10511" s="12"/>
      <c r="D10511" s="13" t="n">
        <f aca="false">IF(B10511&lt;5,Einstellungen!$B$3,Einstellungen!$B$4)</f>
        <v>29.13</v>
      </c>
      <c r="E10511" s="14" t="str">
        <f aca="false">IF(C10511="","",C10511*D10511/100)</f>
        <v/>
      </c>
      <c r="F10511" s="15" t="str">
        <f aca="false">IF(B10511&lt;5,"Go","Standard")</f>
        <v>Standard</v>
      </c>
    </row>
    <row r="10512" customFormat="false" ht="15" hidden="false" customHeight="true" outlineLevel="0" collapsed="false">
      <c r="A10512" s="10" t="n">
        <f aca="false">Einstellungen!$B$5+INT((ROW()-9)/24)</f>
        <v>46403</v>
      </c>
      <c r="B10512" s="11" t="n">
        <f aca="false">MOD(ROW()-9,24)</f>
        <v>15</v>
      </c>
      <c r="C10512" s="12"/>
      <c r="D10512" s="13" t="n">
        <f aca="false">IF(B10512&lt;5,Einstellungen!$B$3,Einstellungen!$B$4)</f>
        <v>29.13</v>
      </c>
      <c r="E10512" s="14" t="str">
        <f aca="false">IF(C10512="","",C10512*D10512/100)</f>
        <v/>
      </c>
      <c r="F10512" s="15" t="str">
        <f aca="false">IF(B10512&lt;5,"Go","Standard")</f>
        <v>Standard</v>
      </c>
    </row>
    <row r="10513" customFormat="false" ht="15" hidden="false" customHeight="true" outlineLevel="0" collapsed="false">
      <c r="A10513" s="10" t="n">
        <f aca="false">Einstellungen!$B$5+INT((ROW()-9)/24)</f>
        <v>46403</v>
      </c>
      <c r="B10513" s="11" t="n">
        <f aca="false">MOD(ROW()-9,24)</f>
        <v>16</v>
      </c>
      <c r="C10513" s="12"/>
      <c r="D10513" s="13" t="n">
        <f aca="false">IF(B10513&lt;5,Einstellungen!$B$3,Einstellungen!$B$4)</f>
        <v>29.13</v>
      </c>
      <c r="E10513" s="14" t="str">
        <f aca="false">IF(C10513="","",C10513*D10513/100)</f>
        <v/>
      </c>
      <c r="F10513" s="15" t="str">
        <f aca="false">IF(B10513&lt;5,"Go","Standard")</f>
        <v>Standard</v>
      </c>
    </row>
    <row r="10514" customFormat="false" ht="15" hidden="false" customHeight="true" outlineLevel="0" collapsed="false">
      <c r="A10514" s="10" t="n">
        <f aca="false">Einstellungen!$B$5+INT((ROW()-9)/24)</f>
        <v>46403</v>
      </c>
      <c r="B10514" s="11" t="n">
        <f aca="false">MOD(ROW()-9,24)</f>
        <v>17</v>
      </c>
      <c r="C10514" s="12"/>
      <c r="D10514" s="13" t="n">
        <f aca="false">IF(B10514&lt;5,Einstellungen!$B$3,Einstellungen!$B$4)</f>
        <v>29.13</v>
      </c>
      <c r="E10514" s="14" t="str">
        <f aca="false">IF(C10514="","",C10514*D10514/100)</f>
        <v/>
      </c>
      <c r="F10514" s="15" t="str">
        <f aca="false">IF(B10514&lt;5,"Go","Standard")</f>
        <v>Standard</v>
      </c>
    </row>
    <row r="10515" customFormat="false" ht="15" hidden="false" customHeight="true" outlineLevel="0" collapsed="false">
      <c r="A10515" s="10" t="n">
        <f aca="false">Einstellungen!$B$5+INT((ROW()-9)/24)</f>
        <v>46403</v>
      </c>
      <c r="B10515" s="11" t="n">
        <f aca="false">MOD(ROW()-9,24)</f>
        <v>18</v>
      </c>
      <c r="C10515" s="12"/>
      <c r="D10515" s="13" t="n">
        <f aca="false">IF(B10515&lt;5,Einstellungen!$B$3,Einstellungen!$B$4)</f>
        <v>29.13</v>
      </c>
      <c r="E10515" s="14" t="str">
        <f aca="false">IF(C10515="","",C10515*D10515/100)</f>
        <v/>
      </c>
      <c r="F10515" s="15" t="str">
        <f aca="false">IF(B10515&lt;5,"Go","Standard")</f>
        <v>Standard</v>
      </c>
    </row>
    <row r="10516" customFormat="false" ht="15" hidden="false" customHeight="true" outlineLevel="0" collapsed="false">
      <c r="A10516" s="10" t="n">
        <f aca="false">Einstellungen!$B$5+INT((ROW()-9)/24)</f>
        <v>46403</v>
      </c>
      <c r="B10516" s="11" t="n">
        <f aca="false">MOD(ROW()-9,24)</f>
        <v>19</v>
      </c>
      <c r="C10516" s="12"/>
      <c r="D10516" s="13" t="n">
        <f aca="false">IF(B10516&lt;5,Einstellungen!$B$3,Einstellungen!$B$4)</f>
        <v>29.13</v>
      </c>
      <c r="E10516" s="14" t="str">
        <f aca="false">IF(C10516="","",C10516*D10516/100)</f>
        <v/>
      </c>
      <c r="F10516" s="15" t="str">
        <f aca="false">IF(B10516&lt;5,"Go","Standard")</f>
        <v>Standard</v>
      </c>
    </row>
    <row r="10517" customFormat="false" ht="15" hidden="false" customHeight="true" outlineLevel="0" collapsed="false">
      <c r="A10517" s="10" t="n">
        <f aca="false">Einstellungen!$B$5+INT((ROW()-9)/24)</f>
        <v>46403</v>
      </c>
      <c r="B10517" s="11" t="n">
        <f aca="false">MOD(ROW()-9,24)</f>
        <v>20</v>
      </c>
      <c r="C10517" s="12"/>
      <c r="D10517" s="13" t="n">
        <f aca="false">IF(B10517&lt;5,Einstellungen!$B$3,Einstellungen!$B$4)</f>
        <v>29.13</v>
      </c>
      <c r="E10517" s="14" t="str">
        <f aca="false">IF(C10517="","",C10517*D10517/100)</f>
        <v/>
      </c>
      <c r="F10517" s="15" t="str">
        <f aca="false">IF(B10517&lt;5,"Go","Standard")</f>
        <v>Standard</v>
      </c>
    </row>
    <row r="10518" customFormat="false" ht="15" hidden="false" customHeight="true" outlineLevel="0" collapsed="false">
      <c r="A10518" s="10" t="n">
        <f aca="false">Einstellungen!$B$5+INT((ROW()-9)/24)</f>
        <v>46403</v>
      </c>
      <c r="B10518" s="11" t="n">
        <f aca="false">MOD(ROW()-9,24)</f>
        <v>21</v>
      </c>
      <c r="C10518" s="12"/>
      <c r="D10518" s="13" t="n">
        <f aca="false">IF(B10518&lt;5,Einstellungen!$B$3,Einstellungen!$B$4)</f>
        <v>29.13</v>
      </c>
      <c r="E10518" s="14" t="str">
        <f aca="false">IF(C10518="","",C10518*D10518/100)</f>
        <v/>
      </c>
      <c r="F10518" s="15" t="str">
        <f aca="false">IF(B10518&lt;5,"Go","Standard")</f>
        <v>Standard</v>
      </c>
    </row>
    <row r="10519" customFormat="false" ht="15" hidden="false" customHeight="true" outlineLevel="0" collapsed="false">
      <c r="A10519" s="10" t="n">
        <f aca="false">Einstellungen!$B$5+INT((ROW()-9)/24)</f>
        <v>46403</v>
      </c>
      <c r="B10519" s="11" t="n">
        <f aca="false">MOD(ROW()-9,24)</f>
        <v>22</v>
      </c>
      <c r="C10519" s="12"/>
      <c r="D10519" s="13" t="n">
        <f aca="false">IF(B10519&lt;5,Einstellungen!$B$3,Einstellungen!$B$4)</f>
        <v>29.13</v>
      </c>
      <c r="E10519" s="14" t="str">
        <f aca="false">IF(C10519="","",C10519*D10519/100)</f>
        <v/>
      </c>
      <c r="F10519" s="15" t="str">
        <f aca="false">IF(B10519&lt;5,"Go","Standard")</f>
        <v>Standard</v>
      </c>
    </row>
    <row r="10520" customFormat="false" ht="15" hidden="false" customHeight="true" outlineLevel="0" collapsed="false">
      <c r="A10520" s="10" t="n">
        <f aca="false">Einstellungen!$B$5+INT((ROW()-9)/24)</f>
        <v>46403</v>
      </c>
      <c r="B10520" s="11" t="n">
        <f aca="false">MOD(ROW()-9,24)</f>
        <v>23</v>
      </c>
      <c r="C10520" s="12"/>
      <c r="D10520" s="13" t="n">
        <f aca="false">IF(B10520&lt;5,Einstellungen!$B$3,Einstellungen!$B$4)</f>
        <v>29.13</v>
      </c>
      <c r="E10520" s="14" t="str">
        <f aca="false">IF(C10520="","",C10520*D10520/100)</f>
        <v/>
      </c>
      <c r="F10520" s="15" t="str">
        <f aca="false">IF(B10520&lt;5,"Go","Standard")</f>
        <v>Standard</v>
      </c>
    </row>
    <row r="10521" customFormat="false" ht="15" hidden="false" customHeight="true" outlineLevel="0" collapsed="false">
      <c r="A10521" s="10" t="n">
        <f aca="false">Einstellungen!$B$5+INT((ROW()-9)/24)</f>
        <v>46404</v>
      </c>
      <c r="B10521" s="11" t="n">
        <f aca="false">MOD(ROW()-9,24)</f>
        <v>0</v>
      </c>
      <c r="C10521" s="12"/>
      <c r="D10521" s="13" t="n">
        <f aca="false">IF(B10521&lt;5,Einstellungen!$B$3,Einstellungen!$B$4)</f>
        <v>15.92</v>
      </c>
      <c r="E10521" s="14" t="str">
        <f aca="false">IF(C10521="","",C10521*D10521/100)</f>
        <v/>
      </c>
      <c r="F10521" s="15" t="str">
        <f aca="false">IF(B10521&lt;5,"Go","Standard")</f>
        <v>Go</v>
      </c>
    </row>
    <row r="10522" customFormat="false" ht="15" hidden="false" customHeight="true" outlineLevel="0" collapsed="false">
      <c r="A10522" s="10" t="n">
        <f aca="false">Einstellungen!$B$5+INT((ROW()-9)/24)</f>
        <v>46404</v>
      </c>
      <c r="B10522" s="11" t="n">
        <f aca="false">MOD(ROW()-9,24)</f>
        <v>1</v>
      </c>
      <c r="C10522" s="12"/>
      <c r="D10522" s="13" t="n">
        <f aca="false">IF(B10522&lt;5,Einstellungen!$B$3,Einstellungen!$B$4)</f>
        <v>15.92</v>
      </c>
      <c r="E10522" s="14" t="str">
        <f aca="false">IF(C10522="","",C10522*D10522/100)</f>
        <v/>
      </c>
      <c r="F10522" s="15" t="str">
        <f aca="false">IF(B10522&lt;5,"Go","Standard")</f>
        <v>Go</v>
      </c>
    </row>
    <row r="10523" customFormat="false" ht="15" hidden="false" customHeight="true" outlineLevel="0" collapsed="false">
      <c r="A10523" s="10" t="n">
        <f aca="false">Einstellungen!$B$5+INT((ROW()-9)/24)</f>
        <v>46404</v>
      </c>
      <c r="B10523" s="11" t="n">
        <f aca="false">MOD(ROW()-9,24)</f>
        <v>2</v>
      </c>
      <c r="C10523" s="12"/>
      <c r="D10523" s="13" t="n">
        <f aca="false">IF(B10523&lt;5,Einstellungen!$B$3,Einstellungen!$B$4)</f>
        <v>15.92</v>
      </c>
      <c r="E10523" s="14" t="str">
        <f aca="false">IF(C10523="","",C10523*D10523/100)</f>
        <v/>
      </c>
      <c r="F10523" s="15" t="str">
        <f aca="false">IF(B10523&lt;5,"Go","Standard")</f>
        <v>Go</v>
      </c>
    </row>
    <row r="10524" customFormat="false" ht="15" hidden="false" customHeight="true" outlineLevel="0" collapsed="false">
      <c r="A10524" s="10" t="n">
        <f aca="false">Einstellungen!$B$5+INT((ROW()-9)/24)</f>
        <v>46404</v>
      </c>
      <c r="B10524" s="11" t="n">
        <f aca="false">MOD(ROW()-9,24)</f>
        <v>3</v>
      </c>
      <c r="C10524" s="12"/>
      <c r="D10524" s="13" t="n">
        <f aca="false">IF(B10524&lt;5,Einstellungen!$B$3,Einstellungen!$B$4)</f>
        <v>15.92</v>
      </c>
      <c r="E10524" s="14" t="str">
        <f aca="false">IF(C10524="","",C10524*D10524/100)</f>
        <v/>
      </c>
      <c r="F10524" s="15" t="str">
        <f aca="false">IF(B10524&lt;5,"Go","Standard")</f>
        <v>Go</v>
      </c>
    </row>
    <row r="10525" customFormat="false" ht="15" hidden="false" customHeight="true" outlineLevel="0" collapsed="false">
      <c r="A10525" s="10" t="n">
        <f aca="false">Einstellungen!$B$5+INT((ROW()-9)/24)</f>
        <v>46404</v>
      </c>
      <c r="B10525" s="11" t="n">
        <f aca="false">MOD(ROW()-9,24)</f>
        <v>4</v>
      </c>
      <c r="C10525" s="12"/>
      <c r="D10525" s="13" t="n">
        <f aca="false">IF(B10525&lt;5,Einstellungen!$B$3,Einstellungen!$B$4)</f>
        <v>15.92</v>
      </c>
      <c r="E10525" s="14" t="str">
        <f aca="false">IF(C10525="","",C10525*D10525/100)</f>
        <v/>
      </c>
      <c r="F10525" s="15" t="str">
        <f aca="false">IF(B10525&lt;5,"Go","Standard")</f>
        <v>Go</v>
      </c>
    </row>
    <row r="10526" customFormat="false" ht="15" hidden="false" customHeight="true" outlineLevel="0" collapsed="false">
      <c r="A10526" s="10" t="n">
        <f aca="false">Einstellungen!$B$5+INT((ROW()-9)/24)</f>
        <v>46404</v>
      </c>
      <c r="B10526" s="11" t="n">
        <f aca="false">MOD(ROW()-9,24)</f>
        <v>5</v>
      </c>
      <c r="C10526" s="12"/>
      <c r="D10526" s="13" t="n">
        <f aca="false">IF(B10526&lt;5,Einstellungen!$B$3,Einstellungen!$B$4)</f>
        <v>29.13</v>
      </c>
      <c r="E10526" s="14" t="str">
        <f aca="false">IF(C10526="","",C10526*D10526/100)</f>
        <v/>
      </c>
      <c r="F10526" s="15" t="str">
        <f aca="false">IF(B10526&lt;5,"Go","Standard")</f>
        <v>Standard</v>
      </c>
    </row>
    <row r="10527" customFormat="false" ht="15" hidden="false" customHeight="true" outlineLevel="0" collapsed="false">
      <c r="A10527" s="10" t="n">
        <f aca="false">Einstellungen!$B$5+INT((ROW()-9)/24)</f>
        <v>46404</v>
      </c>
      <c r="B10527" s="11" t="n">
        <f aca="false">MOD(ROW()-9,24)</f>
        <v>6</v>
      </c>
      <c r="C10527" s="12"/>
      <c r="D10527" s="13" t="n">
        <f aca="false">IF(B10527&lt;5,Einstellungen!$B$3,Einstellungen!$B$4)</f>
        <v>29.13</v>
      </c>
      <c r="E10527" s="14" t="str">
        <f aca="false">IF(C10527="","",C10527*D10527/100)</f>
        <v/>
      </c>
      <c r="F10527" s="15" t="str">
        <f aca="false">IF(B10527&lt;5,"Go","Standard")</f>
        <v>Standard</v>
      </c>
    </row>
    <row r="10528" customFormat="false" ht="15" hidden="false" customHeight="true" outlineLevel="0" collapsed="false">
      <c r="A10528" s="10" t="n">
        <f aca="false">Einstellungen!$B$5+INT((ROW()-9)/24)</f>
        <v>46404</v>
      </c>
      <c r="B10528" s="11" t="n">
        <f aca="false">MOD(ROW()-9,24)</f>
        <v>7</v>
      </c>
      <c r="C10528" s="12"/>
      <c r="D10528" s="13" t="n">
        <f aca="false">IF(B10528&lt;5,Einstellungen!$B$3,Einstellungen!$B$4)</f>
        <v>29.13</v>
      </c>
      <c r="E10528" s="14" t="str">
        <f aca="false">IF(C10528="","",C10528*D10528/100)</f>
        <v/>
      </c>
      <c r="F10528" s="15" t="str">
        <f aca="false">IF(B10528&lt;5,"Go","Standard")</f>
        <v>Standard</v>
      </c>
    </row>
    <row r="10529" customFormat="false" ht="15" hidden="false" customHeight="true" outlineLevel="0" collapsed="false">
      <c r="A10529" s="10" t="n">
        <f aca="false">Einstellungen!$B$5+INT((ROW()-9)/24)</f>
        <v>46404</v>
      </c>
      <c r="B10529" s="11" t="n">
        <f aca="false">MOD(ROW()-9,24)</f>
        <v>8</v>
      </c>
      <c r="C10529" s="12"/>
      <c r="D10529" s="13" t="n">
        <f aca="false">IF(B10529&lt;5,Einstellungen!$B$3,Einstellungen!$B$4)</f>
        <v>29.13</v>
      </c>
      <c r="E10529" s="14" t="str">
        <f aca="false">IF(C10529="","",C10529*D10529/100)</f>
        <v/>
      </c>
      <c r="F10529" s="15" t="str">
        <f aca="false">IF(B10529&lt;5,"Go","Standard")</f>
        <v>Standard</v>
      </c>
    </row>
    <row r="10530" customFormat="false" ht="15" hidden="false" customHeight="true" outlineLevel="0" collapsed="false">
      <c r="A10530" s="10" t="n">
        <f aca="false">Einstellungen!$B$5+INT((ROW()-9)/24)</f>
        <v>46404</v>
      </c>
      <c r="B10530" s="11" t="n">
        <f aca="false">MOD(ROW()-9,24)</f>
        <v>9</v>
      </c>
      <c r="C10530" s="12"/>
      <c r="D10530" s="13" t="n">
        <f aca="false">IF(B10530&lt;5,Einstellungen!$B$3,Einstellungen!$B$4)</f>
        <v>29.13</v>
      </c>
      <c r="E10530" s="14" t="str">
        <f aca="false">IF(C10530="","",C10530*D10530/100)</f>
        <v/>
      </c>
      <c r="F10530" s="15" t="str">
        <f aca="false">IF(B10530&lt;5,"Go","Standard")</f>
        <v>Standard</v>
      </c>
    </row>
    <row r="10531" customFormat="false" ht="15" hidden="false" customHeight="true" outlineLevel="0" collapsed="false">
      <c r="A10531" s="10" t="n">
        <f aca="false">Einstellungen!$B$5+INT((ROW()-9)/24)</f>
        <v>46404</v>
      </c>
      <c r="B10531" s="11" t="n">
        <f aca="false">MOD(ROW()-9,24)</f>
        <v>10</v>
      </c>
      <c r="C10531" s="12"/>
      <c r="D10531" s="13" t="n">
        <f aca="false">IF(B10531&lt;5,Einstellungen!$B$3,Einstellungen!$B$4)</f>
        <v>29.13</v>
      </c>
      <c r="E10531" s="14" t="str">
        <f aca="false">IF(C10531="","",C10531*D10531/100)</f>
        <v/>
      </c>
      <c r="F10531" s="15" t="str">
        <f aca="false">IF(B10531&lt;5,"Go","Standard")</f>
        <v>Standard</v>
      </c>
    </row>
    <row r="10532" customFormat="false" ht="15" hidden="false" customHeight="true" outlineLevel="0" collapsed="false">
      <c r="A10532" s="10" t="n">
        <f aca="false">Einstellungen!$B$5+INT((ROW()-9)/24)</f>
        <v>46404</v>
      </c>
      <c r="B10532" s="11" t="n">
        <f aca="false">MOD(ROW()-9,24)</f>
        <v>11</v>
      </c>
      <c r="C10532" s="12"/>
      <c r="D10532" s="13" t="n">
        <f aca="false">IF(B10532&lt;5,Einstellungen!$B$3,Einstellungen!$B$4)</f>
        <v>29.13</v>
      </c>
      <c r="E10532" s="14" t="str">
        <f aca="false">IF(C10532="","",C10532*D10532/100)</f>
        <v/>
      </c>
      <c r="F10532" s="15" t="str">
        <f aca="false">IF(B10532&lt;5,"Go","Standard")</f>
        <v>Standard</v>
      </c>
    </row>
    <row r="10533" customFormat="false" ht="15" hidden="false" customHeight="true" outlineLevel="0" collapsed="false">
      <c r="A10533" s="10" t="n">
        <f aca="false">Einstellungen!$B$5+INT((ROW()-9)/24)</f>
        <v>46404</v>
      </c>
      <c r="B10533" s="11" t="n">
        <f aca="false">MOD(ROW()-9,24)</f>
        <v>12</v>
      </c>
      <c r="C10533" s="12"/>
      <c r="D10533" s="13" t="n">
        <f aca="false">IF(B10533&lt;5,Einstellungen!$B$3,Einstellungen!$B$4)</f>
        <v>29.13</v>
      </c>
      <c r="E10533" s="14" t="str">
        <f aca="false">IF(C10533="","",C10533*D10533/100)</f>
        <v/>
      </c>
      <c r="F10533" s="15" t="str">
        <f aca="false">IF(B10533&lt;5,"Go","Standard")</f>
        <v>Standard</v>
      </c>
    </row>
    <row r="10534" customFormat="false" ht="15" hidden="false" customHeight="true" outlineLevel="0" collapsed="false">
      <c r="A10534" s="10" t="n">
        <f aca="false">Einstellungen!$B$5+INT((ROW()-9)/24)</f>
        <v>46404</v>
      </c>
      <c r="B10534" s="11" t="n">
        <f aca="false">MOD(ROW()-9,24)</f>
        <v>13</v>
      </c>
      <c r="C10534" s="12"/>
      <c r="D10534" s="13" t="n">
        <f aca="false">IF(B10534&lt;5,Einstellungen!$B$3,Einstellungen!$B$4)</f>
        <v>29.13</v>
      </c>
      <c r="E10534" s="14" t="str">
        <f aca="false">IF(C10534="","",C10534*D10534/100)</f>
        <v/>
      </c>
      <c r="F10534" s="15" t="str">
        <f aca="false">IF(B10534&lt;5,"Go","Standard")</f>
        <v>Standard</v>
      </c>
    </row>
    <row r="10535" customFormat="false" ht="15" hidden="false" customHeight="true" outlineLevel="0" collapsed="false">
      <c r="A10535" s="10" t="n">
        <f aca="false">Einstellungen!$B$5+INT((ROW()-9)/24)</f>
        <v>46404</v>
      </c>
      <c r="B10535" s="11" t="n">
        <f aca="false">MOD(ROW()-9,24)</f>
        <v>14</v>
      </c>
      <c r="C10535" s="12"/>
      <c r="D10535" s="13" t="n">
        <f aca="false">IF(B10535&lt;5,Einstellungen!$B$3,Einstellungen!$B$4)</f>
        <v>29.13</v>
      </c>
      <c r="E10535" s="14" t="str">
        <f aca="false">IF(C10535="","",C10535*D10535/100)</f>
        <v/>
      </c>
      <c r="F10535" s="15" t="str">
        <f aca="false">IF(B10535&lt;5,"Go","Standard")</f>
        <v>Standard</v>
      </c>
    </row>
    <row r="10536" customFormat="false" ht="15" hidden="false" customHeight="true" outlineLevel="0" collapsed="false">
      <c r="A10536" s="10" t="n">
        <f aca="false">Einstellungen!$B$5+INT((ROW()-9)/24)</f>
        <v>46404</v>
      </c>
      <c r="B10536" s="11" t="n">
        <f aca="false">MOD(ROW()-9,24)</f>
        <v>15</v>
      </c>
      <c r="C10536" s="12"/>
      <c r="D10536" s="13" t="n">
        <f aca="false">IF(B10536&lt;5,Einstellungen!$B$3,Einstellungen!$B$4)</f>
        <v>29.13</v>
      </c>
      <c r="E10536" s="14" t="str">
        <f aca="false">IF(C10536="","",C10536*D10536/100)</f>
        <v/>
      </c>
      <c r="F10536" s="15" t="str">
        <f aca="false">IF(B10536&lt;5,"Go","Standard")</f>
        <v>Standard</v>
      </c>
    </row>
    <row r="10537" customFormat="false" ht="15" hidden="false" customHeight="true" outlineLevel="0" collapsed="false">
      <c r="A10537" s="10" t="n">
        <f aca="false">Einstellungen!$B$5+INT((ROW()-9)/24)</f>
        <v>46404</v>
      </c>
      <c r="B10537" s="11" t="n">
        <f aca="false">MOD(ROW()-9,24)</f>
        <v>16</v>
      </c>
      <c r="C10537" s="12"/>
      <c r="D10537" s="13" t="n">
        <f aca="false">IF(B10537&lt;5,Einstellungen!$B$3,Einstellungen!$B$4)</f>
        <v>29.13</v>
      </c>
      <c r="E10537" s="14" t="str">
        <f aca="false">IF(C10537="","",C10537*D10537/100)</f>
        <v/>
      </c>
      <c r="F10537" s="15" t="str">
        <f aca="false">IF(B10537&lt;5,"Go","Standard")</f>
        <v>Standard</v>
      </c>
    </row>
    <row r="10538" customFormat="false" ht="15" hidden="false" customHeight="true" outlineLevel="0" collapsed="false">
      <c r="A10538" s="10" t="n">
        <f aca="false">Einstellungen!$B$5+INT((ROW()-9)/24)</f>
        <v>46404</v>
      </c>
      <c r="B10538" s="11" t="n">
        <f aca="false">MOD(ROW()-9,24)</f>
        <v>17</v>
      </c>
      <c r="C10538" s="12"/>
      <c r="D10538" s="13" t="n">
        <f aca="false">IF(B10538&lt;5,Einstellungen!$B$3,Einstellungen!$B$4)</f>
        <v>29.13</v>
      </c>
      <c r="E10538" s="14" t="str">
        <f aca="false">IF(C10538="","",C10538*D10538/100)</f>
        <v/>
      </c>
      <c r="F10538" s="15" t="str">
        <f aca="false">IF(B10538&lt;5,"Go","Standard")</f>
        <v>Standard</v>
      </c>
    </row>
    <row r="10539" customFormat="false" ht="15" hidden="false" customHeight="true" outlineLevel="0" collapsed="false">
      <c r="A10539" s="10" t="n">
        <f aca="false">Einstellungen!$B$5+INT((ROW()-9)/24)</f>
        <v>46404</v>
      </c>
      <c r="B10539" s="11" t="n">
        <f aca="false">MOD(ROW()-9,24)</f>
        <v>18</v>
      </c>
      <c r="C10539" s="12"/>
      <c r="D10539" s="13" t="n">
        <f aca="false">IF(B10539&lt;5,Einstellungen!$B$3,Einstellungen!$B$4)</f>
        <v>29.13</v>
      </c>
      <c r="E10539" s="14" t="str">
        <f aca="false">IF(C10539="","",C10539*D10539/100)</f>
        <v/>
      </c>
      <c r="F10539" s="15" t="str">
        <f aca="false">IF(B10539&lt;5,"Go","Standard")</f>
        <v>Standard</v>
      </c>
    </row>
    <row r="10540" customFormat="false" ht="15" hidden="false" customHeight="true" outlineLevel="0" collapsed="false">
      <c r="A10540" s="10" t="n">
        <f aca="false">Einstellungen!$B$5+INT((ROW()-9)/24)</f>
        <v>46404</v>
      </c>
      <c r="B10540" s="11" t="n">
        <f aca="false">MOD(ROW()-9,24)</f>
        <v>19</v>
      </c>
      <c r="C10540" s="12"/>
      <c r="D10540" s="13" t="n">
        <f aca="false">IF(B10540&lt;5,Einstellungen!$B$3,Einstellungen!$B$4)</f>
        <v>29.13</v>
      </c>
      <c r="E10540" s="14" t="str">
        <f aca="false">IF(C10540="","",C10540*D10540/100)</f>
        <v/>
      </c>
      <c r="F10540" s="15" t="str">
        <f aca="false">IF(B10540&lt;5,"Go","Standard")</f>
        <v>Standard</v>
      </c>
    </row>
    <row r="10541" customFormat="false" ht="15" hidden="false" customHeight="true" outlineLevel="0" collapsed="false">
      <c r="A10541" s="10" t="n">
        <f aca="false">Einstellungen!$B$5+INT((ROW()-9)/24)</f>
        <v>46404</v>
      </c>
      <c r="B10541" s="11" t="n">
        <f aca="false">MOD(ROW()-9,24)</f>
        <v>20</v>
      </c>
      <c r="C10541" s="12"/>
      <c r="D10541" s="13" t="n">
        <f aca="false">IF(B10541&lt;5,Einstellungen!$B$3,Einstellungen!$B$4)</f>
        <v>29.13</v>
      </c>
      <c r="E10541" s="14" t="str">
        <f aca="false">IF(C10541="","",C10541*D10541/100)</f>
        <v/>
      </c>
      <c r="F10541" s="15" t="str">
        <f aca="false">IF(B10541&lt;5,"Go","Standard")</f>
        <v>Standard</v>
      </c>
    </row>
    <row r="10542" customFormat="false" ht="15" hidden="false" customHeight="true" outlineLevel="0" collapsed="false">
      <c r="A10542" s="10" t="n">
        <f aca="false">Einstellungen!$B$5+INT((ROW()-9)/24)</f>
        <v>46404</v>
      </c>
      <c r="B10542" s="11" t="n">
        <f aca="false">MOD(ROW()-9,24)</f>
        <v>21</v>
      </c>
      <c r="C10542" s="12"/>
      <c r="D10542" s="13" t="n">
        <f aca="false">IF(B10542&lt;5,Einstellungen!$B$3,Einstellungen!$B$4)</f>
        <v>29.13</v>
      </c>
      <c r="E10542" s="14" t="str">
        <f aca="false">IF(C10542="","",C10542*D10542/100)</f>
        <v/>
      </c>
      <c r="F10542" s="15" t="str">
        <f aca="false">IF(B10542&lt;5,"Go","Standard")</f>
        <v>Standard</v>
      </c>
    </row>
    <row r="10543" customFormat="false" ht="15" hidden="false" customHeight="true" outlineLevel="0" collapsed="false">
      <c r="A10543" s="10" t="n">
        <f aca="false">Einstellungen!$B$5+INT((ROW()-9)/24)</f>
        <v>46404</v>
      </c>
      <c r="B10543" s="11" t="n">
        <f aca="false">MOD(ROW()-9,24)</f>
        <v>22</v>
      </c>
      <c r="C10543" s="12"/>
      <c r="D10543" s="13" t="n">
        <f aca="false">IF(B10543&lt;5,Einstellungen!$B$3,Einstellungen!$B$4)</f>
        <v>29.13</v>
      </c>
      <c r="E10543" s="14" t="str">
        <f aca="false">IF(C10543="","",C10543*D10543/100)</f>
        <v/>
      </c>
      <c r="F10543" s="15" t="str">
        <f aca="false">IF(B10543&lt;5,"Go","Standard")</f>
        <v>Standard</v>
      </c>
    </row>
    <row r="10544" customFormat="false" ht="15" hidden="false" customHeight="true" outlineLevel="0" collapsed="false">
      <c r="A10544" s="10" t="n">
        <f aca="false">Einstellungen!$B$5+INT((ROW()-9)/24)</f>
        <v>46404</v>
      </c>
      <c r="B10544" s="11" t="n">
        <f aca="false">MOD(ROW()-9,24)</f>
        <v>23</v>
      </c>
      <c r="C10544" s="12"/>
      <c r="D10544" s="13" t="n">
        <f aca="false">IF(B10544&lt;5,Einstellungen!$B$3,Einstellungen!$B$4)</f>
        <v>29.13</v>
      </c>
      <c r="E10544" s="14" t="str">
        <f aca="false">IF(C10544="","",C10544*D10544/100)</f>
        <v/>
      </c>
      <c r="F10544" s="15" t="str">
        <f aca="false">IF(B10544&lt;5,"Go","Standard")</f>
        <v>Standard</v>
      </c>
    </row>
    <row r="10545" customFormat="false" ht="15" hidden="false" customHeight="true" outlineLevel="0" collapsed="false">
      <c r="A10545" s="10" t="n">
        <f aca="false">Einstellungen!$B$5+INT((ROW()-9)/24)</f>
        <v>46405</v>
      </c>
      <c r="B10545" s="11" t="n">
        <f aca="false">MOD(ROW()-9,24)</f>
        <v>0</v>
      </c>
      <c r="C10545" s="12"/>
      <c r="D10545" s="13" t="n">
        <f aca="false">IF(B10545&lt;5,Einstellungen!$B$3,Einstellungen!$B$4)</f>
        <v>15.92</v>
      </c>
      <c r="E10545" s="14" t="str">
        <f aca="false">IF(C10545="","",C10545*D10545/100)</f>
        <v/>
      </c>
      <c r="F10545" s="15" t="str">
        <f aca="false">IF(B10545&lt;5,"Go","Standard")</f>
        <v>Go</v>
      </c>
    </row>
    <row r="10546" customFormat="false" ht="15" hidden="false" customHeight="true" outlineLevel="0" collapsed="false">
      <c r="A10546" s="10" t="n">
        <f aca="false">Einstellungen!$B$5+INT((ROW()-9)/24)</f>
        <v>46405</v>
      </c>
      <c r="B10546" s="11" t="n">
        <f aca="false">MOD(ROW()-9,24)</f>
        <v>1</v>
      </c>
      <c r="C10546" s="12"/>
      <c r="D10546" s="13" t="n">
        <f aca="false">IF(B10546&lt;5,Einstellungen!$B$3,Einstellungen!$B$4)</f>
        <v>15.92</v>
      </c>
      <c r="E10546" s="14" t="str">
        <f aca="false">IF(C10546="","",C10546*D10546/100)</f>
        <v/>
      </c>
      <c r="F10546" s="15" t="str">
        <f aca="false">IF(B10546&lt;5,"Go","Standard")</f>
        <v>Go</v>
      </c>
    </row>
    <row r="10547" customFormat="false" ht="15" hidden="false" customHeight="true" outlineLevel="0" collapsed="false">
      <c r="A10547" s="10" t="n">
        <f aca="false">Einstellungen!$B$5+INT((ROW()-9)/24)</f>
        <v>46405</v>
      </c>
      <c r="B10547" s="11" t="n">
        <f aca="false">MOD(ROW()-9,24)</f>
        <v>2</v>
      </c>
      <c r="C10547" s="12"/>
      <c r="D10547" s="13" t="n">
        <f aca="false">IF(B10547&lt;5,Einstellungen!$B$3,Einstellungen!$B$4)</f>
        <v>15.92</v>
      </c>
      <c r="E10547" s="14" t="str">
        <f aca="false">IF(C10547="","",C10547*D10547/100)</f>
        <v/>
      </c>
      <c r="F10547" s="15" t="str">
        <f aca="false">IF(B10547&lt;5,"Go","Standard")</f>
        <v>Go</v>
      </c>
    </row>
    <row r="10548" customFormat="false" ht="15" hidden="false" customHeight="true" outlineLevel="0" collapsed="false">
      <c r="A10548" s="10" t="n">
        <f aca="false">Einstellungen!$B$5+INT((ROW()-9)/24)</f>
        <v>46405</v>
      </c>
      <c r="B10548" s="11" t="n">
        <f aca="false">MOD(ROW()-9,24)</f>
        <v>3</v>
      </c>
      <c r="C10548" s="12"/>
      <c r="D10548" s="13" t="n">
        <f aca="false">IF(B10548&lt;5,Einstellungen!$B$3,Einstellungen!$B$4)</f>
        <v>15.92</v>
      </c>
      <c r="E10548" s="14" t="str">
        <f aca="false">IF(C10548="","",C10548*D10548/100)</f>
        <v/>
      </c>
      <c r="F10548" s="15" t="str">
        <f aca="false">IF(B10548&lt;5,"Go","Standard")</f>
        <v>Go</v>
      </c>
    </row>
    <row r="10549" customFormat="false" ht="15" hidden="false" customHeight="true" outlineLevel="0" collapsed="false">
      <c r="A10549" s="10" t="n">
        <f aca="false">Einstellungen!$B$5+INT((ROW()-9)/24)</f>
        <v>46405</v>
      </c>
      <c r="B10549" s="11" t="n">
        <f aca="false">MOD(ROW()-9,24)</f>
        <v>4</v>
      </c>
      <c r="C10549" s="12"/>
      <c r="D10549" s="13" t="n">
        <f aca="false">IF(B10549&lt;5,Einstellungen!$B$3,Einstellungen!$B$4)</f>
        <v>15.92</v>
      </c>
      <c r="E10549" s="14" t="str">
        <f aca="false">IF(C10549="","",C10549*D10549/100)</f>
        <v/>
      </c>
      <c r="F10549" s="15" t="str">
        <f aca="false">IF(B10549&lt;5,"Go","Standard")</f>
        <v>Go</v>
      </c>
    </row>
    <row r="10550" customFormat="false" ht="15" hidden="false" customHeight="true" outlineLevel="0" collapsed="false">
      <c r="A10550" s="10" t="n">
        <f aca="false">Einstellungen!$B$5+INT((ROW()-9)/24)</f>
        <v>46405</v>
      </c>
      <c r="B10550" s="11" t="n">
        <f aca="false">MOD(ROW()-9,24)</f>
        <v>5</v>
      </c>
      <c r="C10550" s="12"/>
      <c r="D10550" s="13" t="n">
        <f aca="false">IF(B10550&lt;5,Einstellungen!$B$3,Einstellungen!$B$4)</f>
        <v>29.13</v>
      </c>
      <c r="E10550" s="14" t="str">
        <f aca="false">IF(C10550="","",C10550*D10550/100)</f>
        <v/>
      </c>
      <c r="F10550" s="15" t="str">
        <f aca="false">IF(B10550&lt;5,"Go","Standard")</f>
        <v>Standard</v>
      </c>
    </row>
    <row r="10551" customFormat="false" ht="15" hidden="false" customHeight="true" outlineLevel="0" collapsed="false">
      <c r="A10551" s="10" t="n">
        <f aca="false">Einstellungen!$B$5+INT((ROW()-9)/24)</f>
        <v>46405</v>
      </c>
      <c r="B10551" s="11" t="n">
        <f aca="false">MOD(ROW()-9,24)</f>
        <v>6</v>
      </c>
      <c r="C10551" s="12"/>
      <c r="D10551" s="13" t="n">
        <f aca="false">IF(B10551&lt;5,Einstellungen!$B$3,Einstellungen!$B$4)</f>
        <v>29.13</v>
      </c>
      <c r="E10551" s="14" t="str">
        <f aca="false">IF(C10551="","",C10551*D10551/100)</f>
        <v/>
      </c>
      <c r="F10551" s="15" t="str">
        <f aca="false">IF(B10551&lt;5,"Go","Standard")</f>
        <v>Standard</v>
      </c>
    </row>
    <row r="10552" customFormat="false" ht="15" hidden="false" customHeight="true" outlineLevel="0" collapsed="false">
      <c r="A10552" s="10" t="n">
        <f aca="false">Einstellungen!$B$5+INT((ROW()-9)/24)</f>
        <v>46405</v>
      </c>
      <c r="B10552" s="11" t="n">
        <f aca="false">MOD(ROW()-9,24)</f>
        <v>7</v>
      </c>
      <c r="C10552" s="12"/>
      <c r="D10552" s="13" t="n">
        <f aca="false">IF(B10552&lt;5,Einstellungen!$B$3,Einstellungen!$B$4)</f>
        <v>29.13</v>
      </c>
      <c r="E10552" s="14" t="str">
        <f aca="false">IF(C10552="","",C10552*D10552/100)</f>
        <v/>
      </c>
      <c r="F10552" s="15" t="str">
        <f aca="false">IF(B10552&lt;5,"Go","Standard")</f>
        <v>Standard</v>
      </c>
    </row>
    <row r="10553" customFormat="false" ht="15" hidden="false" customHeight="true" outlineLevel="0" collapsed="false">
      <c r="A10553" s="10" t="n">
        <f aca="false">Einstellungen!$B$5+INT((ROW()-9)/24)</f>
        <v>46405</v>
      </c>
      <c r="B10553" s="11" t="n">
        <f aca="false">MOD(ROW()-9,24)</f>
        <v>8</v>
      </c>
      <c r="C10553" s="12"/>
      <c r="D10553" s="13" t="n">
        <f aca="false">IF(B10553&lt;5,Einstellungen!$B$3,Einstellungen!$B$4)</f>
        <v>29.13</v>
      </c>
      <c r="E10553" s="14" t="str">
        <f aca="false">IF(C10553="","",C10553*D10553/100)</f>
        <v/>
      </c>
      <c r="F10553" s="15" t="str">
        <f aca="false">IF(B10553&lt;5,"Go","Standard")</f>
        <v>Standard</v>
      </c>
    </row>
    <row r="10554" customFormat="false" ht="15" hidden="false" customHeight="true" outlineLevel="0" collapsed="false">
      <c r="A10554" s="10" t="n">
        <f aca="false">Einstellungen!$B$5+INT((ROW()-9)/24)</f>
        <v>46405</v>
      </c>
      <c r="B10554" s="11" t="n">
        <f aca="false">MOD(ROW()-9,24)</f>
        <v>9</v>
      </c>
      <c r="C10554" s="12"/>
      <c r="D10554" s="13" t="n">
        <f aca="false">IF(B10554&lt;5,Einstellungen!$B$3,Einstellungen!$B$4)</f>
        <v>29.13</v>
      </c>
      <c r="E10554" s="14" t="str">
        <f aca="false">IF(C10554="","",C10554*D10554/100)</f>
        <v/>
      </c>
      <c r="F10554" s="15" t="str">
        <f aca="false">IF(B10554&lt;5,"Go","Standard")</f>
        <v>Standard</v>
      </c>
    </row>
    <row r="10555" customFormat="false" ht="15" hidden="false" customHeight="true" outlineLevel="0" collapsed="false">
      <c r="A10555" s="10" t="n">
        <f aca="false">Einstellungen!$B$5+INT((ROW()-9)/24)</f>
        <v>46405</v>
      </c>
      <c r="B10555" s="11" t="n">
        <f aca="false">MOD(ROW()-9,24)</f>
        <v>10</v>
      </c>
      <c r="C10555" s="12"/>
      <c r="D10555" s="13" t="n">
        <f aca="false">IF(B10555&lt;5,Einstellungen!$B$3,Einstellungen!$B$4)</f>
        <v>29.13</v>
      </c>
      <c r="E10555" s="14" t="str">
        <f aca="false">IF(C10555="","",C10555*D10555/100)</f>
        <v/>
      </c>
      <c r="F10555" s="15" t="str">
        <f aca="false">IF(B10555&lt;5,"Go","Standard")</f>
        <v>Standard</v>
      </c>
    </row>
    <row r="10556" customFormat="false" ht="15" hidden="false" customHeight="true" outlineLevel="0" collapsed="false">
      <c r="A10556" s="10" t="n">
        <f aca="false">Einstellungen!$B$5+INT((ROW()-9)/24)</f>
        <v>46405</v>
      </c>
      <c r="B10556" s="11" t="n">
        <f aca="false">MOD(ROW()-9,24)</f>
        <v>11</v>
      </c>
      <c r="C10556" s="12"/>
      <c r="D10556" s="13" t="n">
        <f aca="false">IF(B10556&lt;5,Einstellungen!$B$3,Einstellungen!$B$4)</f>
        <v>29.13</v>
      </c>
      <c r="E10556" s="14" t="str">
        <f aca="false">IF(C10556="","",C10556*D10556/100)</f>
        <v/>
      </c>
      <c r="F10556" s="15" t="str">
        <f aca="false">IF(B10556&lt;5,"Go","Standard")</f>
        <v>Standard</v>
      </c>
    </row>
    <row r="10557" customFormat="false" ht="15" hidden="false" customHeight="true" outlineLevel="0" collapsed="false">
      <c r="A10557" s="10" t="n">
        <f aca="false">Einstellungen!$B$5+INT((ROW()-9)/24)</f>
        <v>46405</v>
      </c>
      <c r="B10557" s="11" t="n">
        <f aca="false">MOD(ROW()-9,24)</f>
        <v>12</v>
      </c>
      <c r="C10557" s="12"/>
      <c r="D10557" s="13" t="n">
        <f aca="false">IF(B10557&lt;5,Einstellungen!$B$3,Einstellungen!$B$4)</f>
        <v>29.13</v>
      </c>
      <c r="E10557" s="14" t="str">
        <f aca="false">IF(C10557="","",C10557*D10557/100)</f>
        <v/>
      </c>
      <c r="F10557" s="15" t="str">
        <f aca="false">IF(B10557&lt;5,"Go","Standard")</f>
        <v>Standard</v>
      </c>
    </row>
    <row r="10558" customFormat="false" ht="15" hidden="false" customHeight="true" outlineLevel="0" collapsed="false">
      <c r="A10558" s="10" t="n">
        <f aca="false">Einstellungen!$B$5+INT((ROW()-9)/24)</f>
        <v>46405</v>
      </c>
      <c r="B10558" s="11" t="n">
        <f aca="false">MOD(ROW()-9,24)</f>
        <v>13</v>
      </c>
      <c r="C10558" s="12"/>
      <c r="D10558" s="13" t="n">
        <f aca="false">IF(B10558&lt;5,Einstellungen!$B$3,Einstellungen!$B$4)</f>
        <v>29.13</v>
      </c>
      <c r="E10558" s="14" t="str">
        <f aca="false">IF(C10558="","",C10558*D10558/100)</f>
        <v/>
      </c>
      <c r="F10558" s="15" t="str">
        <f aca="false">IF(B10558&lt;5,"Go","Standard")</f>
        <v>Standard</v>
      </c>
    </row>
    <row r="10559" customFormat="false" ht="15" hidden="false" customHeight="true" outlineLevel="0" collapsed="false">
      <c r="A10559" s="10" t="n">
        <f aca="false">Einstellungen!$B$5+INT((ROW()-9)/24)</f>
        <v>46405</v>
      </c>
      <c r="B10559" s="11" t="n">
        <f aca="false">MOD(ROW()-9,24)</f>
        <v>14</v>
      </c>
      <c r="C10559" s="12"/>
      <c r="D10559" s="13" t="n">
        <f aca="false">IF(B10559&lt;5,Einstellungen!$B$3,Einstellungen!$B$4)</f>
        <v>29.13</v>
      </c>
      <c r="E10559" s="14" t="str">
        <f aca="false">IF(C10559="","",C10559*D10559/100)</f>
        <v/>
      </c>
      <c r="F10559" s="15" t="str">
        <f aca="false">IF(B10559&lt;5,"Go","Standard")</f>
        <v>Standard</v>
      </c>
    </row>
    <row r="10560" customFormat="false" ht="15" hidden="false" customHeight="true" outlineLevel="0" collapsed="false">
      <c r="A10560" s="10" t="n">
        <f aca="false">Einstellungen!$B$5+INT((ROW()-9)/24)</f>
        <v>46405</v>
      </c>
      <c r="B10560" s="11" t="n">
        <f aca="false">MOD(ROW()-9,24)</f>
        <v>15</v>
      </c>
      <c r="C10560" s="12"/>
      <c r="D10560" s="13" t="n">
        <f aca="false">IF(B10560&lt;5,Einstellungen!$B$3,Einstellungen!$B$4)</f>
        <v>29.13</v>
      </c>
      <c r="E10560" s="14" t="str">
        <f aca="false">IF(C10560="","",C10560*D10560/100)</f>
        <v/>
      </c>
      <c r="F10560" s="15" t="str">
        <f aca="false">IF(B10560&lt;5,"Go","Standard")</f>
        <v>Standard</v>
      </c>
    </row>
    <row r="10561" customFormat="false" ht="15" hidden="false" customHeight="true" outlineLevel="0" collapsed="false">
      <c r="A10561" s="10" t="n">
        <f aca="false">Einstellungen!$B$5+INT((ROW()-9)/24)</f>
        <v>46405</v>
      </c>
      <c r="B10561" s="11" t="n">
        <f aca="false">MOD(ROW()-9,24)</f>
        <v>16</v>
      </c>
      <c r="C10561" s="12"/>
      <c r="D10561" s="13" t="n">
        <f aca="false">IF(B10561&lt;5,Einstellungen!$B$3,Einstellungen!$B$4)</f>
        <v>29.13</v>
      </c>
      <c r="E10561" s="14" t="str">
        <f aca="false">IF(C10561="","",C10561*D10561/100)</f>
        <v/>
      </c>
      <c r="F10561" s="15" t="str">
        <f aca="false">IF(B10561&lt;5,"Go","Standard")</f>
        <v>Standard</v>
      </c>
    </row>
    <row r="10562" customFormat="false" ht="15" hidden="false" customHeight="true" outlineLevel="0" collapsed="false">
      <c r="A10562" s="10" t="n">
        <f aca="false">Einstellungen!$B$5+INT((ROW()-9)/24)</f>
        <v>46405</v>
      </c>
      <c r="B10562" s="11" t="n">
        <f aca="false">MOD(ROW()-9,24)</f>
        <v>17</v>
      </c>
      <c r="C10562" s="12"/>
      <c r="D10562" s="13" t="n">
        <f aca="false">IF(B10562&lt;5,Einstellungen!$B$3,Einstellungen!$B$4)</f>
        <v>29.13</v>
      </c>
      <c r="E10562" s="14" t="str">
        <f aca="false">IF(C10562="","",C10562*D10562/100)</f>
        <v/>
      </c>
      <c r="F10562" s="15" t="str">
        <f aca="false">IF(B10562&lt;5,"Go","Standard")</f>
        <v>Standard</v>
      </c>
    </row>
    <row r="10563" customFormat="false" ht="15" hidden="false" customHeight="true" outlineLevel="0" collapsed="false">
      <c r="A10563" s="10" t="n">
        <f aca="false">Einstellungen!$B$5+INT((ROW()-9)/24)</f>
        <v>46405</v>
      </c>
      <c r="B10563" s="11" t="n">
        <f aca="false">MOD(ROW()-9,24)</f>
        <v>18</v>
      </c>
      <c r="C10563" s="12"/>
      <c r="D10563" s="13" t="n">
        <f aca="false">IF(B10563&lt;5,Einstellungen!$B$3,Einstellungen!$B$4)</f>
        <v>29.13</v>
      </c>
      <c r="E10563" s="14" t="str">
        <f aca="false">IF(C10563="","",C10563*D10563/100)</f>
        <v/>
      </c>
      <c r="F10563" s="15" t="str">
        <f aca="false">IF(B10563&lt;5,"Go","Standard")</f>
        <v>Standard</v>
      </c>
    </row>
    <row r="10564" customFormat="false" ht="15" hidden="false" customHeight="true" outlineLevel="0" collapsed="false">
      <c r="A10564" s="10" t="n">
        <f aca="false">Einstellungen!$B$5+INT((ROW()-9)/24)</f>
        <v>46405</v>
      </c>
      <c r="B10564" s="11" t="n">
        <f aca="false">MOD(ROW()-9,24)</f>
        <v>19</v>
      </c>
      <c r="C10564" s="12"/>
      <c r="D10564" s="13" t="n">
        <f aca="false">IF(B10564&lt;5,Einstellungen!$B$3,Einstellungen!$B$4)</f>
        <v>29.13</v>
      </c>
      <c r="E10564" s="14" t="str">
        <f aca="false">IF(C10564="","",C10564*D10564/100)</f>
        <v/>
      </c>
      <c r="F10564" s="15" t="str">
        <f aca="false">IF(B10564&lt;5,"Go","Standard")</f>
        <v>Standard</v>
      </c>
    </row>
    <row r="10565" customFormat="false" ht="15" hidden="false" customHeight="true" outlineLevel="0" collapsed="false">
      <c r="A10565" s="10" t="n">
        <f aca="false">Einstellungen!$B$5+INT((ROW()-9)/24)</f>
        <v>46405</v>
      </c>
      <c r="B10565" s="11" t="n">
        <f aca="false">MOD(ROW()-9,24)</f>
        <v>20</v>
      </c>
      <c r="C10565" s="12"/>
      <c r="D10565" s="13" t="n">
        <f aca="false">IF(B10565&lt;5,Einstellungen!$B$3,Einstellungen!$B$4)</f>
        <v>29.13</v>
      </c>
      <c r="E10565" s="14" t="str">
        <f aca="false">IF(C10565="","",C10565*D10565/100)</f>
        <v/>
      </c>
      <c r="F10565" s="15" t="str">
        <f aca="false">IF(B10565&lt;5,"Go","Standard")</f>
        <v>Standard</v>
      </c>
    </row>
    <row r="10566" customFormat="false" ht="15" hidden="false" customHeight="true" outlineLevel="0" collapsed="false">
      <c r="A10566" s="10" t="n">
        <f aca="false">Einstellungen!$B$5+INT((ROW()-9)/24)</f>
        <v>46405</v>
      </c>
      <c r="B10566" s="11" t="n">
        <f aca="false">MOD(ROW()-9,24)</f>
        <v>21</v>
      </c>
      <c r="C10566" s="12"/>
      <c r="D10566" s="13" t="n">
        <f aca="false">IF(B10566&lt;5,Einstellungen!$B$3,Einstellungen!$B$4)</f>
        <v>29.13</v>
      </c>
      <c r="E10566" s="14" t="str">
        <f aca="false">IF(C10566="","",C10566*D10566/100)</f>
        <v/>
      </c>
      <c r="F10566" s="15" t="str">
        <f aca="false">IF(B10566&lt;5,"Go","Standard")</f>
        <v>Standard</v>
      </c>
    </row>
    <row r="10567" customFormat="false" ht="15" hidden="false" customHeight="true" outlineLevel="0" collapsed="false">
      <c r="A10567" s="10" t="n">
        <f aca="false">Einstellungen!$B$5+INT((ROW()-9)/24)</f>
        <v>46405</v>
      </c>
      <c r="B10567" s="11" t="n">
        <f aca="false">MOD(ROW()-9,24)</f>
        <v>22</v>
      </c>
      <c r="C10567" s="12"/>
      <c r="D10567" s="13" t="n">
        <f aca="false">IF(B10567&lt;5,Einstellungen!$B$3,Einstellungen!$B$4)</f>
        <v>29.13</v>
      </c>
      <c r="E10567" s="14" t="str">
        <f aca="false">IF(C10567="","",C10567*D10567/100)</f>
        <v/>
      </c>
      <c r="F10567" s="15" t="str">
        <f aca="false">IF(B10567&lt;5,"Go","Standard")</f>
        <v>Standard</v>
      </c>
    </row>
    <row r="10568" customFormat="false" ht="15" hidden="false" customHeight="true" outlineLevel="0" collapsed="false">
      <c r="A10568" s="10" t="n">
        <f aca="false">Einstellungen!$B$5+INT((ROW()-9)/24)</f>
        <v>46405</v>
      </c>
      <c r="B10568" s="11" t="n">
        <f aca="false">MOD(ROW()-9,24)</f>
        <v>23</v>
      </c>
      <c r="C10568" s="12"/>
      <c r="D10568" s="13" t="n">
        <f aca="false">IF(B10568&lt;5,Einstellungen!$B$3,Einstellungen!$B$4)</f>
        <v>29.13</v>
      </c>
      <c r="E10568" s="14" t="str">
        <f aca="false">IF(C10568="","",C10568*D10568/100)</f>
        <v/>
      </c>
      <c r="F10568" s="15" t="str">
        <f aca="false">IF(B10568&lt;5,"Go","Standard")</f>
        <v>Standard</v>
      </c>
    </row>
    <row r="10569" customFormat="false" ht="15" hidden="false" customHeight="true" outlineLevel="0" collapsed="false">
      <c r="A10569" s="10" t="n">
        <f aca="false">Einstellungen!$B$5+INT((ROW()-9)/24)</f>
        <v>46406</v>
      </c>
      <c r="B10569" s="11" t="n">
        <f aca="false">MOD(ROW()-9,24)</f>
        <v>0</v>
      </c>
      <c r="C10569" s="12"/>
      <c r="D10569" s="13" t="n">
        <f aca="false">IF(B10569&lt;5,Einstellungen!$B$3,Einstellungen!$B$4)</f>
        <v>15.92</v>
      </c>
      <c r="E10569" s="14" t="str">
        <f aca="false">IF(C10569="","",C10569*D10569/100)</f>
        <v/>
      </c>
      <c r="F10569" s="15" t="str">
        <f aca="false">IF(B10569&lt;5,"Go","Standard")</f>
        <v>Go</v>
      </c>
    </row>
    <row r="10570" customFormat="false" ht="15" hidden="false" customHeight="true" outlineLevel="0" collapsed="false">
      <c r="A10570" s="10" t="n">
        <f aca="false">Einstellungen!$B$5+INT((ROW()-9)/24)</f>
        <v>46406</v>
      </c>
      <c r="B10570" s="11" t="n">
        <f aca="false">MOD(ROW()-9,24)</f>
        <v>1</v>
      </c>
      <c r="C10570" s="12"/>
      <c r="D10570" s="13" t="n">
        <f aca="false">IF(B10570&lt;5,Einstellungen!$B$3,Einstellungen!$B$4)</f>
        <v>15.92</v>
      </c>
      <c r="E10570" s="14" t="str">
        <f aca="false">IF(C10570="","",C10570*D10570/100)</f>
        <v/>
      </c>
      <c r="F10570" s="15" t="str">
        <f aca="false">IF(B10570&lt;5,"Go","Standard")</f>
        <v>Go</v>
      </c>
    </row>
    <row r="10571" customFormat="false" ht="15" hidden="false" customHeight="true" outlineLevel="0" collapsed="false">
      <c r="A10571" s="10" t="n">
        <f aca="false">Einstellungen!$B$5+INT((ROW()-9)/24)</f>
        <v>46406</v>
      </c>
      <c r="B10571" s="11" t="n">
        <f aca="false">MOD(ROW()-9,24)</f>
        <v>2</v>
      </c>
      <c r="C10571" s="12"/>
      <c r="D10571" s="13" t="n">
        <f aca="false">IF(B10571&lt;5,Einstellungen!$B$3,Einstellungen!$B$4)</f>
        <v>15.92</v>
      </c>
      <c r="E10571" s="14" t="str">
        <f aca="false">IF(C10571="","",C10571*D10571/100)</f>
        <v/>
      </c>
      <c r="F10571" s="15" t="str">
        <f aca="false">IF(B10571&lt;5,"Go","Standard")</f>
        <v>Go</v>
      </c>
    </row>
    <row r="10572" customFormat="false" ht="15" hidden="false" customHeight="true" outlineLevel="0" collapsed="false">
      <c r="A10572" s="10" t="n">
        <f aca="false">Einstellungen!$B$5+INT((ROW()-9)/24)</f>
        <v>46406</v>
      </c>
      <c r="B10572" s="11" t="n">
        <f aca="false">MOD(ROW()-9,24)</f>
        <v>3</v>
      </c>
      <c r="C10572" s="12"/>
      <c r="D10572" s="13" t="n">
        <f aca="false">IF(B10572&lt;5,Einstellungen!$B$3,Einstellungen!$B$4)</f>
        <v>15.92</v>
      </c>
      <c r="E10572" s="14" t="str">
        <f aca="false">IF(C10572="","",C10572*D10572/100)</f>
        <v/>
      </c>
      <c r="F10572" s="15" t="str">
        <f aca="false">IF(B10572&lt;5,"Go","Standard")</f>
        <v>Go</v>
      </c>
    </row>
    <row r="10573" customFormat="false" ht="15" hidden="false" customHeight="true" outlineLevel="0" collapsed="false">
      <c r="A10573" s="10" t="n">
        <f aca="false">Einstellungen!$B$5+INT((ROW()-9)/24)</f>
        <v>46406</v>
      </c>
      <c r="B10573" s="11" t="n">
        <f aca="false">MOD(ROW()-9,24)</f>
        <v>4</v>
      </c>
      <c r="C10573" s="12"/>
      <c r="D10573" s="13" t="n">
        <f aca="false">IF(B10573&lt;5,Einstellungen!$B$3,Einstellungen!$B$4)</f>
        <v>15.92</v>
      </c>
      <c r="E10573" s="14" t="str">
        <f aca="false">IF(C10573="","",C10573*D10573/100)</f>
        <v/>
      </c>
      <c r="F10573" s="15" t="str">
        <f aca="false">IF(B10573&lt;5,"Go","Standard")</f>
        <v>Go</v>
      </c>
    </row>
    <row r="10574" customFormat="false" ht="15" hidden="false" customHeight="true" outlineLevel="0" collapsed="false">
      <c r="A10574" s="10" t="n">
        <f aca="false">Einstellungen!$B$5+INT((ROW()-9)/24)</f>
        <v>46406</v>
      </c>
      <c r="B10574" s="11" t="n">
        <f aca="false">MOD(ROW()-9,24)</f>
        <v>5</v>
      </c>
      <c r="C10574" s="12"/>
      <c r="D10574" s="13" t="n">
        <f aca="false">IF(B10574&lt;5,Einstellungen!$B$3,Einstellungen!$B$4)</f>
        <v>29.13</v>
      </c>
      <c r="E10574" s="14" t="str">
        <f aca="false">IF(C10574="","",C10574*D10574/100)</f>
        <v/>
      </c>
      <c r="F10574" s="15" t="str">
        <f aca="false">IF(B10574&lt;5,"Go","Standard")</f>
        <v>Standard</v>
      </c>
    </row>
    <row r="10575" customFormat="false" ht="15" hidden="false" customHeight="true" outlineLevel="0" collapsed="false">
      <c r="A10575" s="10" t="n">
        <f aca="false">Einstellungen!$B$5+INT((ROW()-9)/24)</f>
        <v>46406</v>
      </c>
      <c r="B10575" s="11" t="n">
        <f aca="false">MOD(ROW()-9,24)</f>
        <v>6</v>
      </c>
      <c r="C10575" s="12"/>
      <c r="D10575" s="13" t="n">
        <f aca="false">IF(B10575&lt;5,Einstellungen!$B$3,Einstellungen!$B$4)</f>
        <v>29.13</v>
      </c>
      <c r="E10575" s="14" t="str">
        <f aca="false">IF(C10575="","",C10575*D10575/100)</f>
        <v/>
      </c>
      <c r="F10575" s="15" t="str">
        <f aca="false">IF(B10575&lt;5,"Go","Standard")</f>
        <v>Standard</v>
      </c>
    </row>
    <row r="10576" customFormat="false" ht="15" hidden="false" customHeight="true" outlineLevel="0" collapsed="false">
      <c r="A10576" s="10" t="n">
        <f aca="false">Einstellungen!$B$5+INT((ROW()-9)/24)</f>
        <v>46406</v>
      </c>
      <c r="B10576" s="11" t="n">
        <f aca="false">MOD(ROW()-9,24)</f>
        <v>7</v>
      </c>
      <c r="C10576" s="12"/>
      <c r="D10576" s="13" t="n">
        <f aca="false">IF(B10576&lt;5,Einstellungen!$B$3,Einstellungen!$B$4)</f>
        <v>29.13</v>
      </c>
      <c r="E10576" s="14" t="str">
        <f aca="false">IF(C10576="","",C10576*D10576/100)</f>
        <v/>
      </c>
      <c r="F10576" s="15" t="str">
        <f aca="false">IF(B10576&lt;5,"Go","Standard")</f>
        <v>Standard</v>
      </c>
    </row>
    <row r="10577" customFormat="false" ht="15" hidden="false" customHeight="true" outlineLevel="0" collapsed="false">
      <c r="A10577" s="10" t="n">
        <f aca="false">Einstellungen!$B$5+INT((ROW()-9)/24)</f>
        <v>46406</v>
      </c>
      <c r="B10577" s="11" t="n">
        <f aca="false">MOD(ROW()-9,24)</f>
        <v>8</v>
      </c>
      <c r="C10577" s="12"/>
      <c r="D10577" s="13" t="n">
        <f aca="false">IF(B10577&lt;5,Einstellungen!$B$3,Einstellungen!$B$4)</f>
        <v>29.13</v>
      </c>
      <c r="E10577" s="14" t="str">
        <f aca="false">IF(C10577="","",C10577*D10577/100)</f>
        <v/>
      </c>
      <c r="F10577" s="15" t="str">
        <f aca="false">IF(B10577&lt;5,"Go","Standard")</f>
        <v>Standard</v>
      </c>
    </row>
    <row r="10578" customFormat="false" ht="15" hidden="false" customHeight="true" outlineLevel="0" collapsed="false">
      <c r="A10578" s="10" t="n">
        <f aca="false">Einstellungen!$B$5+INT((ROW()-9)/24)</f>
        <v>46406</v>
      </c>
      <c r="B10578" s="11" t="n">
        <f aca="false">MOD(ROW()-9,24)</f>
        <v>9</v>
      </c>
      <c r="C10578" s="12"/>
      <c r="D10578" s="13" t="n">
        <f aca="false">IF(B10578&lt;5,Einstellungen!$B$3,Einstellungen!$B$4)</f>
        <v>29.13</v>
      </c>
      <c r="E10578" s="14" t="str">
        <f aca="false">IF(C10578="","",C10578*D10578/100)</f>
        <v/>
      </c>
      <c r="F10578" s="15" t="str">
        <f aca="false">IF(B10578&lt;5,"Go","Standard")</f>
        <v>Standard</v>
      </c>
    </row>
    <row r="10579" customFormat="false" ht="15" hidden="false" customHeight="true" outlineLevel="0" collapsed="false">
      <c r="A10579" s="10" t="n">
        <f aca="false">Einstellungen!$B$5+INT((ROW()-9)/24)</f>
        <v>46406</v>
      </c>
      <c r="B10579" s="11" t="n">
        <f aca="false">MOD(ROW()-9,24)</f>
        <v>10</v>
      </c>
      <c r="C10579" s="12"/>
      <c r="D10579" s="13" t="n">
        <f aca="false">IF(B10579&lt;5,Einstellungen!$B$3,Einstellungen!$B$4)</f>
        <v>29.13</v>
      </c>
      <c r="E10579" s="14" t="str">
        <f aca="false">IF(C10579="","",C10579*D10579/100)</f>
        <v/>
      </c>
      <c r="F10579" s="15" t="str">
        <f aca="false">IF(B10579&lt;5,"Go","Standard")</f>
        <v>Standard</v>
      </c>
    </row>
    <row r="10580" customFormat="false" ht="15" hidden="false" customHeight="true" outlineLevel="0" collapsed="false">
      <c r="A10580" s="10" t="n">
        <f aca="false">Einstellungen!$B$5+INT((ROW()-9)/24)</f>
        <v>46406</v>
      </c>
      <c r="B10580" s="11" t="n">
        <f aca="false">MOD(ROW()-9,24)</f>
        <v>11</v>
      </c>
      <c r="C10580" s="12"/>
      <c r="D10580" s="13" t="n">
        <f aca="false">IF(B10580&lt;5,Einstellungen!$B$3,Einstellungen!$B$4)</f>
        <v>29.13</v>
      </c>
      <c r="E10580" s="14" t="str">
        <f aca="false">IF(C10580="","",C10580*D10580/100)</f>
        <v/>
      </c>
      <c r="F10580" s="15" t="str">
        <f aca="false">IF(B10580&lt;5,"Go","Standard")</f>
        <v>Standard</v>
      </c>
    </row>
    <row r="10581" customFormat="false" ht="15" hidden="false" customHeight="true" outlineLevel="0" collapsed="false">
      <c r="A10581" s="10" t="n">
        <f aca="false">Einstellungen!$B$5+INT((ROW()-9)/24)</f>
        <v>46406</v>
      </c>
      <c r="B10581" s="11" t="n">
        <f aca="false">MOD(ROW()-9,24)</f>
        <v>12</v>
      </c>
      <c r="C10581" s="12"/>
      <c r="D10581" s="13" t="n">
        <f aca="false">IF(B10581&lt;5,Einstellungen!$B$3,Einstellungen!$B$4)</f>
        <v>29.13</v>
      </c>
      <c r="E10581" s="14" t="str">
        <f aca="false">IF(C10581="","",C10581*D10581/100)</f>
        <v/>
      </c>
      <c r="F10581" s="15" t="str">
        <f aca="false">IF(B10581&lt;5,"Go","Standard")</f>
        <v>Standard</v>
      </c>
    </row>
    <row r="10582" customFormat="false" ht="15" hidden="false" customHeight="true" outlineLevel="0" collapsed="false">
      <c r="A10582" s="10" t="n">
        <f aca="false">Einstellungen!$B$5+INT((ROW()-9)/24)</f>
        <v>46406</v>
      </c>
      <c r="B10582" s="11" t="n">
        <f aca="false">MOD(ROW()-9,24)</f>
        <v>13</v>
      </c>
      <c r="C10582" s="12"/>
      <c r="D10582" s="13" t="n">
        <f aca="false">IF(B10582&lt;5,Einstellungen!$B$3,Einstellungen!$B$4)</f>
        <v>29.13</v>
      </c>
      <c r="E10582" s="14" t="str">
        <f aca="false">IF(C10582="","",C10582*D10582/100)</f>
        <v/>
      </c>
      <c r="F10582" s="15" t="str">
        <f aca="false">IF(B10582&lt;5,"Go","Standard")</f>
        <v>Standard</v>
      </c>
    </row>
    <row r="10583" customFormat="false" ht="15" hidden="false" customHeight="true" outlineLevel="0" collapsed="false">
      <c r="A10583" s="10" t="n">
        <f aca="false">Einstellungen!$B$5+INT((ROW()-9)/24)</f>
        <v>46406</v>
      </c>
      <c r="B10583" s="11" t="n">
        <f aca="false">MOD(ROW()-9,24)</f>
        <v>14</v>
      </c>
      <c r="C10583" s="12"/>
      <c r="D10583" s="13" t="n">
        <f aca="false">IF(B10583&lt;5,Einstellungen!$B$3,Einstellungen!$B$4)</f>
        <v>29.13</v>
      </c>
      <c r="E10583" s="14" t="str">
        <f aca="false">IF(C10583="","",C10583*D10583/100)</f>
        <v/>
      </c>
      <c r="F10583" s="15" t="str">
        <f aca="false">IF(B10583&lt;5,"Go","Standard")</f>
        <v>Standard</v>
      </c>
    </row>
    <row r="10584" customFormat="false" ht="15" hidden="false" customHeight="true" outlineLevel="0" collapsed="false">
      <c r="A10584" s="10" t="n">
        <f aca="false">Einstellungen!$B$5+INT((ROW()-9)/24)</f>
        <v>46406</v>
      </c>
      <c r="B10584" s="11" t="n">
        <f aca="false">MOD(ROW()-9,24)</f>
        <v>15</v>
      </c>
      <c r="C10584" s="12"/>
      <c r="D10584" s="13" t="n">
        <f aca="false">IF(B10584&lt;5,Einstellungen!$B$3,Einstellungen!$B$4)</f>
        <v>29.13</v>
      </c>
      <c r="E10584" s="14" t="str">
        <f aca="false">IF(C10584="","",C10584*D10584/100)</f>
        <v/>
      </c>
      <c r="F10584" s="15" t="str">
        <f aca="false">IF(B10584&lt;5,"Go","Standard")</f>
        <v>Standard</v>
      </c>
    </row>
    <row r="10585" customFormat="false" ht="15" hidden="false" customHeight="true" outlineLevel="0" collapsed="false">
      <c r="A10585" s="10" t="n">
        <f aca="false">Einstellungen!$B$5+INT((ROW()-9)/24)</f>
        <v>46406</v>
      </c>
      <c r="B10585" s="11" t="n">
        <f aca="false">MOD(ROW()-9,24)</f>
        <v>16</v>
      </c>
      <c r="C10585" s="12"/>
      <c r="D10585" s="13" t="n">
        <f aca="false">IF(B10585&lt;5,Einstellungen!$B$3,Einstellungen!$B$4)</f>
        <v>29.13</v>
      </c>
      <c r="E10585" s="14" t="str">
        <f aca="false">IF(C10585="","",C10585*D10585/100)</f>
        <v/>
      </c>
      <c r="F10585" s="15" t="str">
        <f aca="false">IF(B10585&lt;5,"Go","Standard")</f>
        <v>Standard</v>
      </c>
    </row>
    <row r="10586" customFormat="false" ht="15" hidden="false" customHeight="true" outlineLevel="0" collapsed="false">
      <c r="A10586" s="10" t="n">
        <f aca="false">Einstellungen!$B$5+INT((ROW()-9)/24)</f>
        <v>46406</v>
      </c>
      <c r="B10586" s="11" t="n">
        <f aca="false">MOD(ROW()-9,24)</f>
        <v>17</v>
      </c>
      <c r="C10586" s="12"/>
      <c r="D10586" s="13" t="n">
        <f aca="false">IF(B10586&lt;5,Einstellungen!$B$3,Einstellungen!$B$4)</f>
        <v>29.13</v>
      </c>
      <c r="E10586" s="14" t="str">
        <f aca="false">IF(C10586="","",C10586*D10586/100)</f>
        <v/>
      </c>
      <c r="F10586" s="15" t="str">
        <f aca="false">IF(B10586&lt;5,"Go","Standard")</f>
        <v>Standard</v>
      </c>
    </row>
    <row r="10587" customFormat="false" ht="15" hidden="false" customHeight="true" outlineLevel="0" collapsed="false">
      <c r="A10587" s="10" t="n">
        <f aca="false">Einstellungen!$B$5+INT((ROW()-9)/24)</f>
        <v>46406</v>
      </c>
      <c r="B10587" s="11" t="n">
        <f aca="false">MOD(ROW()-9,24)</f>
        <v>18</v>
      </c>
      <c r="C10587" s="12"/>
      <c r="D10587" s="13" t="n">
        <f aca="false">IF(B10587&lt;5,Einstellungen!$B$3,Einstellungen!$B$4)</f>
        <v>29.13</v>
      </c>
      <c r="E10587" s="14" t="str">
        <f aca="false">IF(C10587="","",C10587*D10587/100)</f>
        <v/>
      </c>
      <c r="F10587" s="15" t="str">
        <f aca="false">IF(B10587&lt;5,"Go","Standard")</f>
        <v>Standard</v>
      </c>
    </row>
    <row r="10588" customFormat="false" ht="15" hidden="false" customHeight="true" outlineLevel="0" collapsed="false">
      <c r="A10588" s="10" t="n">
        <f aca="false">Einstellungen!$B$5+INT((ROW()-9)/24)</f>
        <v>46406</v>
      </c>
      <c r="B10588" s="11" t="n">
        <f aca="false">MOD(ROW()-9,24)</f>
        <v>19</v>
      </c>
      <c r="C10588" s="12"/>
      <c r="D10588" s="13" t="n">
        <f aca="false">IF(B10588&lt;5,Einstellungen!$B$3,Einstellungen!$B$4)</f>
        <v>29.13</v>
      </c>
      <c r="E10588" s="14" t="str">
        <f aca="false">IF(C10588="","",C10588*D10588/100)</f>
        <v/>
      </c>
      <c r="F10588" s="15" t="str">
        <f aca="false">IF(B10588&lt;5,"Go","Standard")</f>
        <v>Standard</v>
      </c>
    </row>
    <row r="10589" customFormat="false" ht="15" hidden="false" customHeight="true" outlineLevel="0" collapsed="false">
      <c r="A10589" s="10" t="n">
        <f aca="false">Einstellungen!$B$5+INT((ROW()-9)/24)</f>
        <v>46406</v>
      </c>
      <c r="B10589" s="11" t="n">
        <f aca="false">MOD(ROW()-9,24)</f>
        <v>20</v>
      </c>
      <c r="C10589" s="12"/>
      <c r="D10589" s="13" t="n">
        <f aca="false">IF(B10589&lt;5,Einstellungen!$B$3,Einstellungen!$B$4)</f>
        <v>29.13</v>
      </c>
      <c r="E10589" s="14" t="str">
        <f aca="false">IF(C10589="","",C10589*D10589/100)</f>
        <v/>
      </c>
      <c r="F10589" s="15" t="str">
        <f aca="false">IF(B10589&lt;5,"Go","Standard")</f>
        <v>Standard</v>
      </c>
    </row>
    <row r="10590" customFormat="false" ht="15" hidden="false" customHeight="true" outlineLevel="0" collapsed="false">
      <c r="A10590" s="10" t="n">
        <f aca="false">Einstellungen!$B$5+INT((ROW()-9)/24)</f>
        <v>46406</v>
      </c>
      <c r="B10590" s="11" t="n">
        <f aca="false">MOD(ROW()-9,24)</f>
        <v>21</v>
      </c>
      <c r="C10590" s="12"/>
      <c r="D10590" s="13" t="n">
        <f aca="false">IF(B10590&lt;5,Einstellungen!$B$3,Einstellungen!$B$4)</f>
        <v>29.13</v>
      </c>
      <c r="E10590" s="14" t="str">
        <f aca="false">IF(C10590="","",C10590*D10590/100)</f>
        <v/>
      </c>
      <c r="F10590" s="15" t="str">
        <f aca="false">IF(B10590&lt;5,"Go","Standard")</f>
        <v>Standard</v>
      </c>
    </row>
    <row r="10591" customFormat="false" ht="15" hidden="false" customHeight="true" outlineLevel="0" collapsed="false">
      <c r="A10591" s="10" t="n">
        <f aca="false">Einstellungen!$B$5+INT((ROW()-9)/24)</f>
        <v>46406</v>
      </c>
      <c r="B10591" s="11" t="n">
        <f aca="false">MOD(ROW()-9,24)</f>
        <v>22</v>
      </c>
      <c r="C10591" s="12"/>
      <c r="D10591" s="13" t="n">
        <f aca="false">IF(B10591&lt;5,Einstellungen!$B$3,Einstellungen!$B$4)</f>
        <v>29.13</v>
      </c>
      <c r="E10591" s="14" t="str">
        <f aca="false">IF(C10591="","",C10591*D10591/100)</f>
        <v/>
      </c>
      <c r="F10591" s="15" t="str">
        <f aca="false">IF(B10591&lt;5,"Go","Standard")</f>
        <v>Standard</v>
      </c>
    </row>
    <row r="10592" customFormat="false" ht="15" hidden="false" customHeight="true" outlineLevel="0" collapsed="false">
      <c r="A10592" s="10" t="n">
        <f aca="false">Einstellungen!$B$5+INT((ROW()-9)/24)</f>
        <v>46406</v>
      </c>
      <c r="B10592" s="11" t="n">
        <f aca="false">MOD(ROW()-9,24)</f>
        <v>23</v>
      </c>
      <c r="C10592" s="12"/>
      <c r="D10592" s="13" t="n">
        <f aca="false">IF(B10592&lt;5,Einstellungen!$B$3,Einstellungen!$B$4)</f>
        <v>29.13</v>
      </c>
      <c r="E10592" s="14" t="str">
        <f aca="false">IF(C10592="","",C10592*D10592/100)</f>
        <v/>
      </c>
      <c r="F10592" s="15" t="str">
        <f aca="false">IF(B10592&lt;5,"Go","Standard")</f>
        <v>Standard</v>
      </c>
    </row>
    <row r="10593" customFormat="false" ht="15" hidden="false" customHeight="true" outlineLevel="0" collapsed="false">
      <c r="A10593" s="10" t="n">
        <f aca="false">Einstellungen!$B$5+INT((ROW()-9)/24)</f>
        <v>46407</v>
      </c>
      <c r="B10593" s="11" t="n">
        <f aca="false">MOD(ROW()-9,24)</f>
        <v>0</v>
      </c>
      <c r="C10593" s="12"/>
      <c r="D10593" s="13" t="n">
        <f aca="false">IF(B10593&lt;5,Einstellungen!$B$3,Einstellungen!$B$4)</f>
        <v>15.92</v>
      </c>
      <c r="E10593" s="14" t="str">
        <f aca="false">IF(C10593="","",C10593*D10593/100)</f>
        <v/>
      </c>
      <c r="F10593" s="15" t="str">
        <f aca="false">IF(B10593&lt;5,"Go","Standard")</f>
        <v>Go</v>
      </c>
    </row>
    <row r="10594" customFormat="false" ht="15" hidden="false" customHeight="true" outlineLevel="0" collapsed="false">
      <c r="A10594" s="10" t="n">
        <f aca="false">Einstellungen!$B$5+INT((ROW()-9)/24)</f>
        <v>46407</v>
      </c>
      <c r="B10594" s="11" t="n">
        <f aca="false">MOD(ROW()-9,24)</f>
        <v>1</v>
      </c>
      <c r="C10594" s="12"/>
      <c r="D10594" s="13" t="n">
        <f aca="false">IF(B10594&lt;5,Einstellungen!$B$3,Einstellungen!$B$4)</f>
        <v>15.92</v>
      </c>
      <c r="E10594" s="14" t="str">
        <f aca="false">IF(C10594="","",C10594*D10594/100)</f>
        <v/>
      </c>
      <c r="F10594" s="15" t="str">
        <f aca="false">IF(B10594&lt;5,"Go","Standard")</f>
        <v>Go</v>
      </c>
    </row>
    <row r="10595" customFormat="false" ht="15" hidden="false" customHeight="true" outlineLevel="0" collapsed="false">
      <c r="A10595" s="10" t="n">
        <f aca="false">Einstellungen!$B$5+INT((ROW()-9)/24)</f>
        <v>46407</v>
      </c>
      <c r="B10595" s="11" t="n">
        <f aca="false">MOD(ROW()-9,24)</f>
        <v>2</v>
      </c>
      <c r="C10595" s="12"/>
      <c r="D10595" s="13" t="n">
        <f aca="false">IF(B10595&lt;5,Einstellungen!$B$3,Einstellungen!$B$4)</f>
        <v>15.92</v>
      </c>
      <c r="E10595" s="14" t="str">
        <f aca="false">IF(C10595="","",C10595*D10595/100)</f>
        <v/>
      </c>
      <c r="F10595" s="15" t="str">
        <f aca="false">IF(B10595&lt;5,"Go","Standard")</f>
        <v>Go</v>
      </c>
    </row>
    <row r="10596" customFormat="false" ht="15" hidden="false" customHeight="true" outlineLevel="0" collapsed="false">
      <c r="A10596" s="10" t="n">
        <f aca="false">Einstellungen!$B$5+INT((ROW()-9)/24)</f>
        <v>46407</v>
      </c>
      <c r="B10596" s="11" t="n">
        <f aca="false">MOD(ROW()-9,24)</f>
        <v>3</v>
      </c>
      <c r="C10596" s="12"/>
      <c r="D10596" s="13" t="n">
        <f aca="false">IF(B10596&lt;5,Einstellungen!$B$3,Einstellungen!$B$4)</f>
        <v>15.92</v>
      </c>
      <c r="E10596" s="14" t="str">
        <f aca="false">IF(C10596="","",C10596*D10596/100)</f>
        <v/>
      </c>
      <c r="F10596" s="15" t="str">
        <f aca="false">IF(B10596&lt;5,"Go","Standard")</f>
        <v>Go</v>
      </c>
    </row>
    <row r="10597" customFormat="false" ht="15" hidden="false" customHeight="true" outlineLevel="0" collapsed="false">
      <c r="A10597" s="10" t="n">
        <f aca="false">Einstellungen!$B$5+INT((ROW()-9)/24)</f>
        <v>46407</v>
      </c>
      <c r="B10597" s="11" t="n">
        <f aca="false">MOD(ROW()-9,24)</f>
        <v>4</v>
      </c>
      <c r="C10597" s="12"/>
      <c r="D10597" s="13" t="n">
        <f aca="false">IF(B10597&lt;5,Einstellungen!$B$3,Einstellungen!$B$4)</f>
        <v>15.92</v>
      </c>
      <c r="E10597" s="14" t="str">
        <f aca="false">IF(C10597="","",C10597*D10597/100)</f>
        <v/>
      </c>
      <c r="F10597" s="15" t="str">
        <f aca="false">IF(B10597&lt;5,"Go","Standard")</f>
        <v>Go</v>
      </c>
    </row>
    <row r="10598" customFormat="false" ht="15" hidden="false" customHeight="true" outlineLevel="0" collapsed="false">
      <c r="A10598" s="10" t="n">
        <f aca="false">Einstellungen!$B$5+INT((ROW()-9)/24)</f>
        <v>46407</v>
      </c>
      <c r="B10598" s="11" t="n">
        <f aca="false">MOD(ROW()-9,24)</f>
        <v>5</v>
      </c>
      <c r="C10598" s="12"/>
      <c r="D10598" s="13" t="n">
        <f aca="false">IF(B10598&lt;5,Einstellungen!$B$3,Einstellungen!$B$4)</f>
        <v>29.13</v>
      </c>
      <c r="E10598" s="14" t="str">
        <f aca="false">IF(C10598="","",C10598*D10598/100)</f>
        <v/>
      </c>
      <c r="F10598" s="15" t="str">
        <f aca="false">IF(B10598&lt;5,"Go","Standard")</f>
        <v>Standard</v>
      </c>
    </row>
    <row r="10599" customFormat="false" ht="15" hidden="false" customHeight="true" outlineLevel="0" collapsed="false">
      <c r="A10599" s="10" t="n">
        <f aca="false">Einstellungen!$B$5+INT((ROW()-9)/24)</f>
        <v>46407</v>
      </c>
      <c r="B10599" s="11" t="n">
        <f aca="false">MOD(ROW()-9,24)</f>
        <v>6</v>
      </c>
      <c r="C10599" s="12"/>
      <c r="D10599" s="13" t="n">
        <f aca="false">IF(B10599&lt;5,Einstellungen!$B$3,Einstellungen!$B$4)</f>
        <v>29.13</v>
      </c>
      <c r="E10599" s="14" t="str">
        <f aca="false">IF(C10599="","",C10599*D10599/100)</f>
        <v/>
      </c>
      <c r="F10599" s="15" t="str">
        <f aca="false">IF(B10599&lt;5,"Go","Standard")</f>
        <v>Standard</v>
      </c>
    </row>
    <row r="10600" customFormat="false" ht="15" hidden="false" customHeight="true" outlineLevel="0" collapsed="false">
      <c r="A10600" s="10" t="n">
        <f aca="false">Einstellungen!$B$5+INT((ROW()-9)/24)</f>
        <v>46407</v>
      </c>
      <c r="B10600" s="11" t="n">
        <f aca="false">MOD(ROW()-9,24)</f>
        <v>7</v>
      </c>
      <c r="C10600" s="12"/>
      <c r="D10600" s="13" t="n">
        <f aca="false">IF(B10600&lt;5,Einstellungen!$B$3,Einstellungen!$B$4)</f>
        <v>29.13</v>
      </c>
      <c r="E10600" s="14" t="str">
        <f aca="false">IF(C10600="","",C10600*D10600/100)</f>
        <v/>
      </c>
      <c r="F10600" s="15" t="str">
        <f aca="false">IF(B10600&lt;5,"Go","Standard")</f>
        <v>Standard</v>
      </c>
    </row>
    <row r="10601" customFormat="false" ht="15" hidden="false" customHeight="true" outlineLevel="0" collapsed="false">
      <c r="A10601" s="10" t="n">
        <f aca="false">Einstellungen!$B$5+INT((ROW()-9)/24)</f>
        <v>46407</v>
      </c>
      <c r="B10601" s="11" t="n">
        <f aca="false">MOD(ROW()-9,24)</f>
        <v>8</v>
      </c>
      <c r="C10601" s="12"/>
      <c r="D10601" s="13" t="n">
        <f aca="false">IF(B10601&lt;5,Einstellungen!$B$3,Einstellungen!$B$4)</f>
        <v>29.13</v>
      </c>
      <c r="E10601" s="14" t="str">
        <f aca="false">IF(C10601="","",C10601*D10601/100)</f>
        <v/>
      </c>
      <c r="F10601" s="15" t="str">
        <f aca="false">IF(B10601&lt;5,"Go","Standard")</f>
        <v>Standard</v>
      </c>
    </row>
    <row r="10602" customFormat="false" ht="15" hidden="false" customHeight="true" outlineLevel="0" collapsed="false">
      <c r="A10602" s="10" t="n">
        <f aca="false">Einstellungen!$B$5+INT((ROW()-9)/24)</f>
        <v>46407</v>
      </c>
      <c r="B10602" s="11" t="n">
        <f aca="false">MOD(ROW()-9,24)</f>
        <v>9</v>
      </c>
      <c r="C10602" s="12"/>
      <c r="D10602" s="13" t="n">
        <f aca="false">IF(B10602&lt;5,Einstellungen!$B$3,Einstellungen!$B$4)</f>
        <v>29.13</v>
      </c>
      <c r="E10602" s="14" t="str">
        <f aca="false">IF(C10602="","",C10602*D10602/100)</f>
        <v/>
      </c>
      <c r="F10602" s="15" t="str">
        <f aca="false">IF(B10602&lt;5,"Go","Standard")</f>
        <v>Standard</v>
      </c>
    </row>
    <row r="10603" customFormat="false" ht="15" hidden="false" customHeight="true" outlineLevel="0" collapsed="false">
      <c r="A10603" s="10" t="n">
        <f aca="false">Einstellungen!$B$5+INT((ROW()-9)/24)</f>
        <v>46407</v>
      </c>
      <c r="B10603" s="11" t="n">
        <f aca="false">MOD(ROW()-9,24)</f>
        <v>10</v>
      </c>
      <c r="C10603" s="12"/>
      <c r="D10603" s="13" t="n">
        <f aca="false">IF(B10603&lt;5,Einstellungen!$B$3,Einstellungen!$B$4)</f>
        <v>29.13</v>
      </c>
      <c r="E10603" s="14" t="str">
        <f aca="false">IF(C10603="","",C10603*D10603/100)</f>
        <v/>
      </c>
      <c r="F10603" s="15" t="str">
        <f aca="false">IF(B10603&lt;5,"Go","Standard")</f>
        <v>Standard</v>
      </c>
    </row>
    <row r="10604" customFormat="false" ht="15" hidden="false" customHeight="true" outlineLevel="0" collapsed="false">
      <c r="A10604" s="10" t="n">
        <f aca="false">Einstellungen!$B$5+INT((ROW()-9)/24)</f>
        <v>46407</v>
      </c>
      <c r="B10604" s="11" t="n">
        <f aca="false">MOD(ROW()-9,24)</f>
        <v>11</v>
      </c>
      <c r="C10604" s="12"/>
      <c r="D10604" s="13" t="n">
        <f aca="false">IF(B10604&lt;5,Einstellungen!$B$3,Einstellungen!$B$4)</f>
        <v>29.13</v>
      </c>
      <c r="E10604" s="14" t="str">
        <f aca="false">IF(C10604="","",C10604*D10604/100)</f>
        <v/>
      </c>
      <c r="F10604" s="15" t="str">
        <f aca="false">IF(B10604&lt;5,"Go","Standard")</f>
        <v>Standard</v>
      </c>
    </row>
    <row r="10605" customFormat="false" ht="15" hidden="false" customHeight="true" outlineLevel="0" collapsed="false">
      <c r="A10605" s="10" t="n">
        <f aca="false">Einstellungen!$B$5+INT((ROW()-9)/24)</f>
        <v>46407</v>
      </c>
      <c r="B10605" s="11" t="n">
        <f aca="false">MOD(ROW()-9,24)</f>
        <v>12</v>
      </c>
      <c r="C10605" s="12"/>
      <c r="D10605" s="13" t="n">
        <f aca="false">IF(B10605&lt;5,Einstellungen!$B$3,Einstellungen!$B$4)</f>
        <v>29.13</v>
      </c>
      <c r="E10605" s="14" t="str">
        <f aca="false">IF(C10605="","",C10605*D10605/100)</f>
        <v/>
      </c>
      <c r="F10605" s="15" t="str">
        <f aca="false">IF(B10605&lt;5,"Go","Standard")</f>
        <v>Standard</v>
      </c>
    </row>
    <row r="10606" customFormat="false" ht="15" hidden="false" customHeight="true" outlineLevel="0" collapsed="false">
      <c r="A10606" s="10" t="n">
        <f aca="false">Einstellungen!$B$5+INT((ROW()-9)/24)</f>
        <v>46407</v>
      </c>
      <c r="B10606" s="11" t="n">
        <f aca="false">MOD(ROW()-9,24)</f>
        <v>13</v>
      </c>
      <c r="C10606" s="12"/>
      <c r="D10606" s="13" t="n">
        <f aca="false">IF(B10606&lt;5,Einstellungen!$B$3,Einstellungen!$B$4)</f>
        <v>29.13</v>
      </c>
      <c r="E10606" s="14" t="str">
        <f aca="false">IF(C10606="","",C10606*D10606/100)</f>
        <v/>
      </c>
      <c r="F10606" s="15" t="str">
        <f aca="false">IF(B10606&lt;5,"Go","Standard")</f>
        <v>Standard</v>
      </c>
    </row>
    <row r="10607" customFormat="false" ht="15" hidden="false" customHeight="true" outlineLevel="0" collapsed="false">
      <c r="A10607" s="10" t="n">
        <f aca="false">Einstellungen!$B$5+INT((ROW()-9)/24)</f>
        <v>46407</v>
      </c>
      <c r="B10607" s="11" t="n">
        <f aca="false">MOD(ROW()-9,24)</f>
        <v>14</v>
      </c>
      <c r="C10607" s="12"/>
      <c r="D10607" s="13" t="n">
        <f aca="false">IF(B10607&lt;5,Einstellungen!$B$3,Einstellungen!$B$4)</f>
        <v>29.13</v>
      </c>
      <c r="E10607" s="14" t="str">
        <f aca="false">IF(C10607="","",C10607*D10607/100)</f>
        <v/>
      </c>
      <c r="F10607" s="15" t="str">
        <f aca="false">IF(B10607&lt;5,"Go","Standard")</f>
        <v>Standard</v>
      </c>
    </row>
    <row r="10608" customFormat="false" ht="15" hidden="false" customHeight="true" outlineLevel="0" collapsed="false">
      <c r="A10608" s="10" t="n">
        <f aca="false">Einstellungen!$B$5+INT((ROW()-9)/24)</f>
        <v>46407</v>
      </c>
      <c r="B10608" s="11" t="n">
        <f aca="false">MOD(ROW()-9,24)</f>
        <v>15</v>
      </c>
      <c r="C10608" s="12"/>
      <c r="D10608" s="13" t="n">
        <f aca="false">IF(B10608&lt;5,Einstellungen!$B$3,Einstellungen!$B$4)</f>
        <v>29.13</v>
      </c>
      <c r="E10608" s="14" t="str">
        <f aca="false">IF(C10608="","",C10608*D10608/100)</f>
        <v/>
      </c>
      <c r="F10608" s="15" t="str">
        <f aca="false">IF(B10608&lt;5,"Go","Standard")</f>
        <v>Standard</v>
      </c>
    </row>
    <row r="10609" customFormat="false" ht="15" hidden="false" customHeight="true" outlineLevel="0" collapsed="false">
      <c r="A10609" s="10" t="n">
        <f aca="false">Einstellungen!$B$5+INT((ROW()-9)/24)</f>
        <v>46407</v>
      </c>
      <c r="B10609" s="11" t="n">
        <f aca="false">MOD(ROW()-9,24)</f>
        <v>16</v>
      </c>
      <c r="C10609" s="12"/>
      <c r="D10609" s="13" t="n">
        <f aca="false">IF(B10609&lt;5,Einstellungen!$B$3,Einstellungen!$B$4)</f>
        <v>29.13</v>
      </c>
      <c r="E10609" s="14" t="str">
        <f aca="false">IF(C10609="","",C10609*D10609/100)</f>
        <v/>
      </c>
      <c r="F10609" s="15" t="str">
        <f aca="false">IF(B10609&lt;5,"Go","Standard")</f>
        <v>Standard</v>
      </c>
    </row>
    <row r="10610" customFormat="false" ht="15" hidden="false" customHeight="true" outlineLevel="0" collapsed="false">
      <c r="A10610" s="10" t="n">
        <f aca="false">Einstellungen!$B$5+INT((ROW()-9)/24)</f>
        <v>46407</v>
      </c>
      <c r="B10610" s="11" t="n">
        <f aca="false">MOD(ROW()-9,24)</f>
        <v>17</v>
      </c>
      <c r="C10610" s="12"/>
      <c r="D10610" s="13" t="n">
        <f aca="false">IF(B10610&lt;5,Einstellungen!$B$3,Einstellungen!$B$4)</f>
        <v>29.13</v>
      </c>
      <c r="E10610" s="14" t="str">
        <f aca="false">IF(C10610="","",C10610*D10610/100)</f>
        <v/>
      </c>
      <c r="F10610" s="15" t="str">
        <f aca="false">IF(B10610&lt;5,"Go","Standard")</f>
        <v>Standard</v>
      </c>
    </row>
    <row r="10611" customFormat="false" ht="15" hidden="false" customHeight="true" outlineLevel="0" collapsed="false">
      <c r="A10611" s="10" t="n">
        <f aca="false">Einstellungen!$B$5+INT((ROW()-9)/24)</f>
        <v>46407</v>
      </c>
      <c r="B10611" s="11" t="n">
        <f aca="false">MOD(ROW()-9,24)</f>
        <v>18</v>
      </c>
      <c r="C10611" s="12"/>
      <c r="D10611" s="13" t="n">
        <f aca="false">IF(B10611&lt;5,Einstellungen!$B$3,Einstellungen!$B$4)</f>
        <v>29.13</v>
      </c>
      <c r="E10611" s="14" t="str">
        <f aca="false">IF(C10611="","",C10611*D10611/100)</f>
        <v/>
      </c>
      <c r="F10611" s="15" t="str">
        <f aca="false">IF(B10611&lt;5,"Go","Standard")</f>
        <v>Standard</v>
      </c>
    </row>
    <row r="10612" customFormat="false" ht="15" hidden="false" customHeight="true" outlineLevel="0" collapsed="false">
      <c r="A10612" s="10" t="n">
        <f aca="false">Einstellungen!$B$5+INT((ROW()-9)/24)</f>
        <v>46407</v>
      </c>
      <c r="B10612" s="11" t="n">
        <f aca="false">MOD(ROW()-9,24)</f>
        <v>19</v>
      </c>
      <c r="C10612" s="12"/>
      <c r="D10612" s="13" t="n">
        <f aca="false">IF(B10612&lt;5,Einstellungen!$B$3,Einstellungen!$B$4)</f>
        <v>29.13</v>
      </c>
      <c r="E10612" s="14" t="str">
        <f aca="false">IF(C10612="","",C10612*D10612/100)</f>
        <v/>
      </c>
      <c r="F10612" s="15" t="str">
        <f aca="false">IF(B10612&lt;5,"Go","Standard")</f>
        <v>Standard</v>
      </c>
    </row>
    <row r="10613" customFormat="false" ht="15" hidden="false" customHeight="true" outlineLevel="0" collapsed="false">
      <c r="A10613" s="10" t="n">
        <f aca="false">Einstellungen!$B$5+INT((ROW()-9)/24)</f>
        <v>46407</v>
      </c>
      <c r="B10613" s="11" t="n">
        <f aca="false">MOD(ROW()-9,24)</f>
        <v>20</v>
      </c>
      <c r="C10613" s="12"/>
      <c r="D10613" s="13" t="n">
        <f aca="false">IF(B10613&lt;5,Einstellungen!$B$3,Einstellungen!$B$4)</f>
        <v>29.13</v>
      </c>
      <c r="E10613" s="14" t="str">
        <f aca="false">IF(C10613="","",C10613*D10613/100)</f>
        <v/>
      </c>
      <c r="F10613" s="15" t="str">
        <f aca="false">IF(B10613&lt;5,"Go","Standard")</f>
        <v>Standard</v>
      </c>
    </row>
    <row r="10614" customFormat="false" ht="15" hidden="false" customHeight="true" outlineLevel="0" collapsed="false">
      <c r="A10614" s="10" t="n">
        <f aca="false">Einstellungen!$B$5+INT((ROW()-9)/24)</f>
        <v>46407</v>
      </c>
      <c r="B10614" s="11" t="n">
        <f aca="false">MOD(ROW()-9,24)</f>
        <v>21</v>
      </c>
      <c r="C10614" s="12"/>
      <c r="D10614" s="13" t="n">
        <f aca="false">IF(B10614&lt;5,Einstellungen!$B$3,Einstellungen!$B$4)</f>
        <v>29.13</v>
      </c>
      <c r="E10614" s="14" t="str">
        <f aca="false">IF(C10614="","",C10614*D10614/100)</f>
        <v/>
      </c>
      <c r="F10614" s="15" t="str">
        <f aca="false">IF(B10614&lt;5,"Go","Standard")</f>
        <v>Standard</v>
      </c>
    </row>
    <row r="10615" customFormat="false" ht="15" hidden="false" customHeight="true" outlineLevel="0" collapsed="false">
      <c r="A10615" s="10" t="n">
        <f aca="false">Einstellungen!$B$5+INT((ROW()-9)/24)</f>
        <v>46407</v>
      </c>
      <c r="B10615" s="11" t="n">
        <f aca="false">MOD(ROW()-9,24)</f>
        <v>22</v>
      </c>
      <c r="C10615" s="12"/>
      <c r="D10615" s="13" t="n">
        <f aca="false">IF(B10615&lt;5,Einstellungen!$B$3,Einstellungen!$B$4)</f>
        <v>29.13</v>
      </c>
      <c r="E10615" s="14" t="str">
        <f aca="false">IF(C10615="","",C10615*D10615/100)</f>
        <v/>
      </c>
      <c r="F10615" s="15" t="str">
        <f aca="false">IF(B10615&lt;5,"Go","Standard")</f>
        <v>Standard</v>
      </c>
    </row>
    <row r="10616" customFormat="false" ht="15" hidden="false" customHeight="true" outlineLevel="0" collapsed="false">
      <c r="A10616" s="10" t="n">
        <f aca="false">Einstellungen!$B$5+INT((ROW()-9)/24)</f>
        <v>46407</v>
      </c>
      <c r="B10616" s="11" t="n">
        <f aca="false">MOD(ROW()-9,24)</f>
        <v>23</v>
      </c>
      <c r="C10616" s="12"/>
      <c r="D10616" s="13" t="n">
        <f aca="false">IF(B10616&lt;5,Einstellungen!$B$3,Einstellungen!$B$4)</f>
        <v>29.13</v>
      </c>
      <c r="E10616" s="14" t="str">
        <f aca="false">IF(C10616="","",C10616*D10616/100)</f>
        <v/>
      </c>
      <c r="F10616" s="15" t="str">
        <f aca="false">IF(B10616&lt;5,"Go","Standard")</f>
        <v>Standard</v>
      </c>
    </row>
    <row r="10617" customFormat="false" ht="15" hidden="false" customHeight="true" outlineLevel="0" collapsed="false">
      <c r="A10617" s="10" t="n">
        <f aca="false">Einstellungen!$B$5+INT((ROW()-9)/24)</f>
        <v>46408</v>
      </c>
      <c r="B10617" s="11" t="n">
        <f aca="false">MOD(ROW()-9,24)</f>
        <v>0</v>
      </c>
      <c r="C10617" s="12"/>
      <c r="D10617" s="13" t="n">
        <f aca="false">IF(B10617&lt;5,Einstellungen!$B$3,Einstellungen!$B$4)</f>
        <v>15.92</v>
      </c>
      <c r="E10617" s="14" t="str">
        <f aca="false">IF(C10617="","",C10617*D10617/100)</f>
        <v/>
      </c>
      <c r="F10617" s="15" t="str">
        <f aca="false">IF(B10617&lt;5,"Go","Standard")</f>
        <v>Go</v>
      </c>
    </row>
    <row r="10618" customFormat="false" ht="15" hidden="false" customHeight="true" outlineLevel="0" collapsed="false">
      <c r="A10618" s="10" t="n">
        <f aca="false">Einstellungen!$B$5+INT((ROW()-9)/24)</f>
        <v>46408</v>
      </c>
      <c r="B10618" s="11" t="n">
        <f aca="false">MOD(ROW()-9,24)</f>
        <v>1</v>
      </c>
      <c r="C10618" s="12"/>
      <c r="D10618" s="13" t="n">
        <f aca="false">IF(B10618&lt;5,Einstellungen!$B$3,Einstellungen!$B$4)</f>
        <v>15.92</v>
      </c>
      <c r="E10618" s="14" t="str">
        <f aca="false">IF(C10618="","",C10618*D10618/100)</f>
        <v/>
      </c>
      <c r="F10618" s="15" t="str">
        <f aca="false">IF(B10618&lt;5,"Go","Standard")</f>
        <v>Go</v>
      </c>
    </row>
    <row r="10619" customFormat="false" ht="15" hidden="false" customHeight="true" outlineLevel="0" collapsed="false">
      <c r="A10619" s="10" t="n">
        <f aca="false">Einstellungen!$B$5+INT((ROW()-9)/24)</f>
        <v>46408</v>
      </c>
      <c r="B10619" s="11" t="n">
        <f aca="false">MOD(ROW()-9,24)</f>
        <v>2</v>
      </c>
      <c r="C10619" s="12"/>
      <c r="D10619" s="13" t="n">
        <f aca="false">IF(B10619&lt;5,Einstellungen!$B$3,Einstellungen!$B$4)</f>
        <v>15.92</v>
      </c>
      <c r="E10619" s="14" t="str">
        <f aca="false">IF(C10619="","",C10619*D10619/100)</f>
        <v/>
      </c>
      <c r="F10619" s="15" t="str">
        <f aca="false">IF(B10619&lt;5,"Go","Standard")</f>
        <v>Go</v>
      </c>
    </row>
    <row r="10620" customFormat="false" ht="15" hidden="false" customHeight="true" outlineLevel="0" collapsed="false">
      <c r="A10620" s="10" t="n">
        <f aca="false">Einstellungen!$B$5+INT((ROW()-9)/24)</f>
        <v>46408</v>
      </c>
      <c r="B10620" s="11" t="n">
        <f aca="false">MOD(ROW()-9,24)</f>
        <v>3</v>
      </c>
      <c r="C10620" s="12"/>
      <c r="D10620" s="13" t="n">
        <f aca="false">IF(B10620&lt;5,Einstellungen!$B$3,Einstellungen!$B$4)</f>
        <v>15.92</v>
      </c>
      <c r="E10620" s="14" t="str">
        <f aca="false">IF(C10620="","",C10620*D10620/100)</f>
        <v/>
      </c>
      <c r="F10620" s="15" t="str">
        <f aca="false">IF(B10620&lt;5,"Go","Standard")</f>
        <v>Go</v>
      </c>
    </row>
    <row r="10621" customFormat="false" ht="15" hidden="false" customHeight="true" outlineLevel="0" collapsed="false">
      <c r="A10621" s="10" t="n">
        <f aca="false">Einstellungen!$B$5+INT((ROW()-9)/24)</f>
        <v>46408</v>
      </c>
      <c r="B10621" s="11" t="n">
        <f aca="false">MOD(ROW()-9,24)</f>
        <v>4</v>
      </c>
      <c r="C10621" s="12"/>
      <c r="D10621" s="13" t="n">
        <f aca="false">IF(B10621&lt;5,Einstellungen!$B$3,Einstellungen!$B$4)</f>
        <v>15.92</v>
      </c>
      <c r="E10621" s="14" t="str">
        <f aca="false">IF(C10621="","",C10621*D10621/100)</f>
        <v/>
      </c>
      <c r="F10621" s="15" t="str">
        <f aca="false">IF(B10621&lt;5,"Go","Standard")</f>
        <v>Go</v>
      </c>
    </row>
    <row r="10622" customFormat="false" ht="15" hidden="false" customHeight="true" outlineLevel="0" collapsed="false">
      <c r="A10622" s="10" t="n">
        <f aca="false">Einstellungen!$B$5+INT((ROW()-9)/24)</f>
        <v>46408</v>
      </c>
      <c r="B10622" s="11" t="n">
        <f aca="false">MOD(ROW()-9,24)</f>
        <v>5</v>
      </c>
      <c r="C10622" s="12"/>
      <c r="D10622" s="13" t="n">
        <f aca="false">IF(B10622&lt;5,Einstellungen!$B$3,Einstellungen!$B$4)</f>
        <v>29.13</v>
      </c>
      <c r="E10622" s="14" t="str">
        <f aca="false">IF(C10622="","",C10622*D10622/100)</f>
        <v/>
      </c>
      <c r="F10622" s="15" t="str">
        <f aca="false">IF(B10622&lt;5,"Go","Standard")</f>
        <v>Standard</v>
      </c>
    </row>
    <row r="10623" customFormat="false" ht="15" hidden="false" customHeight="true" outlineLevel="0" collapsed="false">
      <c r="A10623" s="10" t="n">
        <f aca="false">Einstellungen!$B$5+INT((ROW()-9)/24)</f>
        <v>46408</v>
      </c>
      <c r="B10623" s="11" t="n">
        <f aca="false">MOD(ROW()-9,24)</f>
        <v>6</v>
      </c>
      <c r="C10623" s="12"/>
      <c r="D10623" s="13" t="n">
        <f aca="false">IF(B10623&lt;5,Einstellungen!$B$3,Einstellungen!$B$4)</f>
        <v>29.13</v>
      </c>
      <c r="E10623" s="14" t="str">
        <f aca="false">IF(C10623="","",C10623*D10623/100)</f>
        <v/>
      </c>
      <c r="F10623" s="15" t="str">
        <f aca="false">IF(B10623&lt;5,"Go","Standard")</f>
        <v>Standard</v>
      </c>
    </row>
    <row r="10624" customFormat="false" ht="15" hidden="false" customHeight="true" outlineLevel="0" collapsed="false">
      <c r="A10624" s="10" t="n">
        <f aca="false">Einstellungen!$B$5+INT((ROW()-9)/24)</f>
        <v>46408</v>
      </c>
      <c r="B10624" s="11" t="n">
        <f aca="false">MOD(ROW()-9,24)</f>
        <v>7</v>
      </c>
      <c r="C10624" s="12"/>
      <c r="D10624" s="13" t="n">
        <f aca="false">IF(B10624&lt;5,Einstellungen!$B$3,Einstellungen!$B$4)</f>
        <v>29.13</v>
      </c>
      <c r="E10624" s="14" t="str">
        <f aca="false">IF(C10624="","",C10624*D10624/100)</f>
        <v/>
      </c>
      <c r="F10624" s="15" t="str">
        <f aca="false">IF(B10624&lt;5,"Go","Standard")</f>
        <v>Standard</v>
      </c>
    </row>
    <row r="10625" customFormat="false" ht="15" hidden="false" customHeight="true" outlineLevel="0" collapsed="false">
      <c r="A10625" s="10" t="n">
        <f aca="false">Einstellungen!$B$5+INT((ROW()-9)/24)</f>
        <v>46408</v>
      </c>
      <c r="B10625" s="11" t="n">
        <f aca="false">MOD(ROW()-9,24)</f>
        <v>8</v>
      </c>
      <c r="C10625" s="12"/>
      <c r="D10625" s="13" t="n">
        <f aca="false">IF(B10625&lt;5,Einstellungen!$B$3,Einstellungen!$B$4)</f>
        <v>29.13</v>
      </c>
      <c r="E10625" s="14" t="str">
        <f aca="false">IF(C10625="","",C10625*D10625/100)</f>
        <v/>
      </c>
      <c r="F10625" s="15" t="str">
        <f aca="false">IF(B10625&lt;5,"Go","Standard")</f>
        <v>Standard</v>
      </c>
    </row>
    <row r="10626" customFormat="false" ht="15" hidden="false" customHeight="true" outlineLevel="0" collapsed="false">
      <c r="A10626" s="10" t="n">
        <f aca="false">Einstellungen!$B$5+INT((ROW()-9)/24)</f>
        <v>46408</v>
      </c>
      <c r="B10626" s="11" t="n">
        <f aca="false">MOD(ROW()-9,24)</f>
        <v>9</v>
      </c>
      <c r="C10626" s="12"/>
      <c r="D10626" s="13" t="n">
        <f aca="false">IF(B10626&lt;5,Einstellungen!$B$3,Einstellungen!$B$4)</f>
        <v>29.13</v>
      </c>
      <c r="E10626" s="14" t="str">
        <f aca="false">IF(C10626="","",C10626*D10626/100)</f>
        <v/>
      </c>
      <c r="F10626" s="15" t="str">
        <f aca="false">IF(B10626&lt;5,"Go","Standard")</f>
        <v>Standard</v>
      </c>
    </row>
    <row r="10627" customFormat="false" ht="15" hidden="false" customHeight="true" outlineLevel="0" collapsed="false">
      <c r="A10627" s="10" t="n">
        <f aca="false">Einstellungen!$B$5+INT((ROW()-9)/24)</f>
        <v>46408</v>
      </c>
      <c r="B10627" s="11" t="n">
        <f aca="false">MOD(ROW()-9,24)</f>
        <v>10</v>
      </c>
      <c r="C10627" s="12"/>
      <c r="D10627" s="13" t="n">
        <f aca="false">IF(B10627&lt;5,Einstellungen!$B$3,Einstellungen!$B$4)</f>
        <v>29.13</v>
      </c>
      <c r="E10627" s="14" t="str">
        <f aca="false">IF(C10627="","",C10627*D10627/100)</f>
        <v/>
      </c>
      <c r="F10627" s="15" t="str">
        <f aca="false">IF(B10627&lt;5,"Go","Standard")</f>
        <v>Standard</v>
      </c>
    </row>
    <row r="10628" customFormat="false" ht="15" hidden="false" customHeight="true" outlineLevel="0" collapsed="false">
      <c r="A10628" s="10" t="n">
        <f aca="false">Einstellungen!$B$5+INT((ROW()-9)/24)</f>
        <v>46408</v>
      </c>
      <c r="B10628" s="11" t="n">
        <f aca="false">MOD(ROW()-9,24)</f>
        <v>11</v>
      </c>
      <c r="C10628" s="12"/>
      <c r="D10628" s="13" t="n">
        <f aca="false">IF(B10628&lt;5,Einstellungen!$B$3,Einstellungen!$B$4)</f>
        <v>29.13</v>
      </c>
      <c r="E10628" s="14" t="str">
        <f aca="false">IF(C10628="","",C10628*D10628/100)</f>
        <v/>
      </c>
      <c r="F10628" s="15" t="str">
        <f aca="false">IF(B10628&lt;5,"Go","Standard")</f>
        <v>Standard</v>
      </c>
    </row>
    <row r="10629" customFormat="false" ht="15" hidden="false" customHeight="true" outlineLevel="0" collapsed="false">
      <c r="A10629" s="10" t="n">
        <f aca="false">Einstellungen!$B$5+INT((ROW()-9)/24)</f>
        <v>46408</v>
      </c>
      <c r="B10629" s="11" t="n">
        <f aca="false">MOD(ROW()-9,24)</f>
        <v>12</v>
      </c>
      <c r="C10629" s="12"/>
      <c r="D10629" s="13" t="n">
        <f aca="false">IF(B10629&lt;5,Einstellungen!$B$3,Einstellungen!$B$4)</f>
        <v>29.13</v>
      </c>
      <c r="E10629" s="14" t="str">
        <f aca="false">IF(C10629="","",C10629*D10629/100)</f>
        <v/>
      </c>
      <c r="F10629" s="15" t="str">
        <f aca="false">IF(B10629&lt;5,"Go","Standard")</f>
        <v>Standard</v>
      </c>
    </row>
    <row r="10630" customFormat="false" ht="15" hidden="false" customHeight="true" outlineLevel="0" collapsed="false">
      <c r="A10630" s="10" t="n">
        <f aca="false">Einstellungen!$B$5+INT((ROW()-9)/24)</f>
        <v>46408</v>
      </c>
      <c r="B10630" s="11" t="n">
        <f aca="false">MOD(ROW()-9,24)</f>
        <v>13</v>
      </c>
      <c r="C10630" s="12"/>
      <c r="D10630" s="13" t="n">
        <f aca="false">IF(B10630&lt;5,Einstellungen!$B$3,Einstellungen!$B$4)</f>
        <v>29.13</v>
      </c>
      <c r="E10630" s="14" t="str">
        <f aca="false">IF(C10630="","",C10630*D10630/100)</f>
        <v/>
      </c>
      <c r="F10630" s="15" t="str">
        <f aca="false">IF(B10630&lt;5,"Go","Standard")</f>
        <v>Standard</v>
      </c>
    </row>
    <row r="10631" customFormat="false" ht="15" hidden="false" customHeight="true" outlineLevel="0" collapsed="false">
      <c r="A10631" s="10" t="n">
        <f aca="false">Einstellungen!$B$5+INT((ROW()-9)/24)</f>
        <v>46408</v>
      </c>
      <c r="B10631" s="11" t="n">
        <f aca="false">MOD(ROW()-9,24)</f>
        <v>14</v>
      </c>
      <c r="C10631" s="12"/>
      <c r="D10631" s="13" t="n">
        <f aca="false">IF(B10631&lt;5,Einstellungen!$B$3,Einstellungen!$B$4)</f>
        <v>29.13</v>
      </c>
      <c r="E10631" s="14" t="str">
        <f aca="false">IF(C10631="","",C10631*D10631/100)</f>
        <v/>
      </c>
      <c r="F10631" s="15" t="str">
        <f aca="false">IF(B10631&lt;5,"Go","Standard")</f>
        <v>Standard</v>
      </c>
    </row>
    <row r="10632" customFormat="false" ht="15" hidden="false" customHeight="true" outlineLevel="0" collapsed="false">
      <c r="A10632" s="10" t="n">
        <f aca="false">Einstellungen!$B$5+INT((ROW()-9)/24)</f>
        <v>46408</v>
      </c>
      <c r="B10632" s="11" t="n">
        <f aca="false">MOD(ROW()-9,24)</f>
        <v>15</v>
      </c>
      <c r="C10632" s="12"/>
      <c r="D10632" s="13" t="n">
        <f aca="false">IF(B10632&lt;5,Einstellungen!$B$3,Einstellungen!$B$4)</f>
        <v>29.13</v>
      </c>
      <c r="E10632" s="14" t="str">
        <f aca="false">IF(C10632="","",C10632*D10632/100)</f>
        <v/>
      </c>
      <c r="F10632" s="15" t="str">
        <f aca="false">IF(B10632&lt;5,"Go","Standard")</f>
        <v>Standard</v>
      </c>
    </row>
    <row r="10633" customFormat="false" ht="15" hidden="false" customHeight="true" outlineLevel="0" collapsed="false">
      <c r="A10633" s="10" t="n">
        <f aca="false">Einstellungen!$B$5+INT((ROW()-9)/24)</f>
        <v>46408</v>
      </c>
      <c r="B10633" s="11" t="n">
        <f aca="false">MOD(ROW()-9,24)</f>
        <v>16</v>
      </c>
      <c r="C10633" s="12"/>
      <c r="D10633" s="13" t="n">
        <f aca="false">IF(B10633&lt;5,Einstellungen!$B$3,Einstellungen!$B$4)</f>
        <v>29.13</v>
      </c>
      <c r="E10633" s="14" t="str">
        <f aca="false">IF(C10633="","",C10633*D10633/100)</f>
        <v/>
      </c>
      <c r="F10633" s="15" t="str">
        <f aca="false">IF(B10633&lt;5,"Go","Standard")</f>
        <v>Standard</v>
      </c>
    </row>
    <row r="10634" customFormat="false" ht="15" hidden="false" customHeight="true" outlineLevel="0" collapsed="false">
      <c r="A10634" s="10" t="n">
        <f aca="false">Einstellungen!$B$5+INT((ROW()-9)/24)</f>
        <v>46408</v>
      </c>
      <c r="B10634" s="11" t="n">
        <f aca="false">MOD(ROW()-9,24)</f>
        <v>17</v>
      </c>
      <c r="C10634" s="12"/>
      <c r="D10634" s="13" t="n">
        <f aca="false">IF(B10634&lt;5,Einstellungen!$B$3,Einstellungen!$B$4)</f>
        <v>29.13</v>
      </c>
      <c r="E10634" s="14" t="str">
        <f aca="false">IF(C10634="","",C10634*D10634/100)</f>
        <v/>
      </c>
      <c r="F10634" s="15" t="str">
        <f aca="false">IF(B10634&lt;5,"Go","Standard")</f>
        <v>Standard</v>
      </c>
    </row>
    <row r="10635" customFormat="false" ht="15" hidden="false" customHeight="true" outlineLevel="0" collapsed="false">
      <c r="A10635" s="10" t="n">
        <f aca="false">Einstellungen!$B$5+INT((ROW()-9)/24)</f>
        <v>46408</v>
      </c>
      <c r="B10635" s="11" t="n">
        <f aca="false">MOD(ROW()-9,24)</f>
        <v>18</v>
      </c>
      <c r="C10635" s="12"/>
      <c r="D10635" s="13" t="n">
        <f aca="false">IF(B10635&lt;5,Einstellungen!$B$3,Einstellungen!$B$4)</f>
        <v>29.13</v>
      </c>
      <c r="E10635" s="14" t="str">
        <f aca="false">IF(C10635="","",C10635*D10635/100)</f>
        <v/>
      </c>
      <c r="F10635" s="15" t="str">
        <f aca="false">IF(B10635&lt;5,"Go","Standard")</f>
        <v>Standard</v>
      </c>
    </row>
    <row r="10636" customFormat="false" ht="15" hidden="false" customHeight="true" outlineLevel="0" collapsed="false">
      <c r="A10636" s="10" t="n">
        <f aca="false">Einstellungen!$B$5+INT((ROW()-9)/24)</f>
        <v>46408</v>
      </c>
      <c r="B10636" s="11" t="n">
        <f aca="false">MOD(ROW()-9,24)</f>
        <v>19</v>
      </c>
      <c r="C10636" s="12"/>
      <c r="D10636" s="13" t="n">
        <f aca="false">IF(B10636&lt;5,Einstellungen!$B$3,Einstellungen!$B$4)</f>
        <v>29.13</v>
      </c>
      <c r="E10636" s="14" t="str">
        <f aca="false">IF(C10636="","",C10636*D10636/100)</f>
        <v/>
      </c>
      <c r="F10636" s="15" t="str">
        <f aca="false">IF(B10636&lt;5,"Go","Standard")</f>
        <v>Standard</v>
      </c>
    </row>
    <row r="10637" customFormat="false" ht="15" hidden="false" customHeight="true" outlineLevel="0" collapsed="false">
      <c r="A10637" s="10" t="n">
        <f aca="false">Einstellungen!$B$5+INT((ROW()-9)/24)</f>
        <v>46408</v>
      </c>
      <c r="B10637" s="11" t="n">
        <f aca="false">MOD(ROW()-9,24)</f>
        <v>20</v>
      </c>
      <c r="C10637" s="12"/>
      <c r="D10637" s="13" t="n">
        <f aca="false">IF(B10637&lt;5,Einstellungen!$B$3,Einstellungen!$B$4)</f>
        <v>29.13</v>
      </c>
      <c r="E10637" s="14" t="str">
        <f aca="false">IF(C10637="","",C10637*D10637/100)</f>
        <v/>
      </c>
      <c r="F10637" s="15" t="str">
        <f aca="false">IF(B10637&lt;5,"Go","Standard")</f>
        <v>Standard</v>
      </c>
    </row>
    <row r="10638" customFormat="false" ht="15" hidden="false" customHeight="true" outlineLevel="0" collapsed="false">
      <c r="A10638" s="10" t="n">
        <f aca="false">Einstellungen!$B$5+INT((ROW()-9)/24)</f>
        <v>46408</v>
      </c>
      <c r="B10638" s="11" t="n">
        <f aca="false">MOD(ROW()-9,24)</f>
        <v>21</v>
      </c>
      <c r="C10638" s="12"/>
      <c r="D10638" s="13" t="n">
        <f aca="false">IF(B10638&lt;5,Einstellungen!$B$3,Einstellungen!$B$4)</f>
        <v>29.13</v>
      </c>
      <c r="E10638" s="14" t="str">
        <f aca="false">IF(C10638="","",C10638*D10638/100)</f>
        <v/>
      </c>
      <c r="F10638" s="15" t="str">
        <f aca="false">IF(B10638&lt;5,"Go","Standard")</f>
        <v>Standard</v>
      </c>
    </row>
    <row r="10639" customFormat="false" ht="15" hidden="false" customHeight="true" outlineLevel="0" collapsed="false">
      <c r="A10639" s="10" t="n">
        <f aca="false">Einstellungen!$B$5+INT((ROW()-9)/24)</f>
        <v>46408</v>
      </c>
      <c r="B10639" s="11" t="n">
        <f aca="false">MOD(ROW()-9,24)</f>
        <v>22</v>
      </c>
      <c r="C10639" s="12"/>
      <c r="D10639" s="13" t="n">
        <f aca="false">IF(B10639&lt;5,Einstellungen!$B$3,Einstellungen!$B$4)</f>
        <v>29.13</v>
      </c>
      <c r="E10639" s="14" t="str">
        <f aca="false">IF(C10639="","",C10639*D10639/100)</f>
        <v/>
      </c>
      <c r="F10639" s="15" t="str">
        <f aca="false">IF(B10639&lt;5,"Go","Standard")</f>
        <v>Standard</v>
      </c>
    </row>
    <row r="10640" customFormat="false" ht="15" hidden="false" customHeight="true" outlineLevel="0" collapsed="false">
      <c r="A10640" s="10" t="n">
        <f aca="false">Einstellungen!$B$5+INT((ROW()-9)/24)</f>
        <v>46408</v>
      </c>
      <c r="B10640" s="11" t="n">
        <f aca="false">MOD(ROW()-9,24)</f>
        <v>23</v>
      </c>
      <c r="C10640" s="12"/>
      <c r="D10640" s="13" t="n">
        <f aca="false">IF(B10640&lt;5,Einstellungen!$B$3,Einstellungen!$B$4)</f>
        <v>29.13</v>
      </c>
      <c r="E10640" s="14" t="str">
        <f aca="false">IF(C10640="","",C10640*D10640/100)</f>
        <v/>
      </c>
      <c r="F10640" s="15" t="str">
        <f aca="false">IF(B10640&lt;5,"Go","Standard")</f>
        <v>Standard</v>
      </c>
    </row>
    <row r="10641" customFormat="false" ht="15" hidden="false" customHeight="true" outlineLevel="0" collapsed="false">
      <c r="A10641" s="10" t="n">
        <f aca="false">Einstellungen!$B$5+INT((ROW()-9)/24)</f>
        <v>46409</v>
      </c>
      <c r="B10641" s="11" t="n">
        <f aca="false">MOD(ROW()-9,24)</f>
        <v>0</v>
      </c>
      <c r="C10641" s="12"/>
      <c r="D10641" s="13" t="n">
        <f aca="false">IF(B10641&lt;5,Einstellungen!$B$3,Einstellungen!$B$4)</f>
        <v>15.92</v>
      </c>
      <c r="E10641" s="14" t="str">
        <f aca="false">IF(C10641="","",C10641*D10641/100)</f>
        <v/>
      </c>
      <c r="F10641" s="15" t="str">
        <f aca="false">IF(B10641&lt;5,"Go","Standard")</f>
        <v>Go</v>
      </c>
    </row>
    <row r="10642" customFormat="false" ht="15" hidden="false" customHeight="true" outlineLevel="0" collapsed="false">
      <c r="A10642" s="10" t="n">
        <f aca="false">Einstellungen!$B$5+INT((ROW()-9)/24)</f>
        <v>46409</v>
      </c>
      <c r="B10642" s="11" t="n">
        <f aca="false">MOD(ROW()-9,24)</f>
        <v>1</v>
      </c>
      <c r="C10642" s="12"/>
      <c r="D10642" s="13" t="n">
        <f aca="false">IF(B10642&lt;5,Einstellungen!$B$3,Einstellungen!$B$4)</f>
        <v>15.92</v>
      </c>
      <c r="E10642" s="14" t="str">
        <f aca="false">IF(C10642="","",C10642*D10642/100)</f>
        <v/>
      </c>
      <c r="F10642" s="15" t="str">
        <f aca="false">IF(B10642&lt;5,"Go","Standard")</f>
        <v>Go</v>
      </c>
    </row>
    <row r="10643" customFormat="false" ht="15" hidden="false" customHeight="true" outlineLevel="0" collapsed="false">
      <c r="A10643" s="10" t="n">
        <f aca="false">Einstellungen!$B$5+INT((ROW()-9)/24)</f>
        <v>46409</v>
      </c>
      <c r="B10643" s="11" t="n">
        <f aca="false">MOD(ROW()-9,24)</f>
        <v>2</v>
      </c>
      <c r="C10643" s="12"/>
      <c r="D10643" s="13" t="n">
        <f aca="false">IF(B10643&lt;5,Einstellungen!$B$3,Einstellungen!$B$4)</f>
        <v>15.92</v>
      </c>
      <c r="E10643" s="14" t="str">
        <f aca="false">IF(C10643="","",C10643*D10643/100)</f>
        <v/>
      </c>
      <c r="F10643" s="15" t="str">
        <f aca="false">IF(B10643&lt;5,"Go","Standard")</f>
        <v>Go</v>
      </c>
    </row>
    <row r="10644" customFormat="false" ht="15" hidden="false" customHeight="true" outlineLevel="0" collapsed="false">
      <c r="A10644" s="10" t="n">
        <f aca="false">Einstellungen!$B$5+INT((ROW()-9)/24)</f>
        <v>46409</v>
      </c>
      <c r="B10644" s="11" t="n">
        <f aca="false">MOD(ROW()-9,24)</f>
        <v>3</v>
      </c>
      <c r="C10644" s="12"/>
      <c r="D10644" s="13" t="n">
        <f aca="false">IF(B10644&lt;5,Einstellungen!$B$3,Einstellungen!$B$4)</f>
        <v>15.92</v>
      </c>
      <c r="E10644" s="14" t="str">
        <f aca="false">IF(C10644="","",C10644*D10644/100)</f>
        <v/>
      </c>
      <c r="F10644" s="15" t="str">
        <f aca="false">IF(B10644&lt;5,"Go","Standard")</f>
        <v>Go</v>
      </c>
    </row>
    <row r="10645" customFormat="false" ht="15" hidden="false" customHeight="true" outlineLevel="0" collapsed="false">
      <c r="A10645" s="10" t="n">
        <f aca="false">Einstellungen!$B$5+INT((ROW()-9)/24)</f>
        <v>46409</v>
      </c>
      <c r="B10645" s="11" t="n">
        <f aca="false">MOD(ROW()-9,24)</f>
        <v>4</v>
      </c>
      <c r="C10645" s="12"/>
      <c r="D10645" s="13" t="n">
        <f aca="false">IF(B10645&lt;5,Einstellungen!$B$3,Einstellungen!$B$4)</f>
        <v>15.92</v>
      </c>
      <c r="E10645" s="14" t="str">
        <f aca="false">IF(C10645="","",C10645*D10645/100)</f>
        <v/>
      </c>
      <c r="F10645" s="15" t="str">
        <f aca="false">IF(B10645&lt;5,"Go","Standard")</f>
        <v>Go</v>
      </c>
    </row>
    <row r="10646" customFormat="false" ht="15" hidden="false" customHeight="true" outlineLevel="0" collapsed="false">
      <c r="A10646" s="10" t="n">
        <f aca="false">Einstellungen!$B$5+INT((ROW()-9)/24)</f>
        <v>46409</v>
      </c>
      <c r="B10646" s="11" t="n">
        <f aca="false">MOD(ROW()-9,24)</f>
        <v>5</v>
      </c>
      <c r="C10646" s="12"/>
      <c r="D10646" s="13" t="n">
        <f aca="false">IF(B10646&lt;5,Einstellungen!$B$3,Einstellungen!$B$4)</f>
        <v>29.13</v>
      </c>
      <c r="E10646" s="14" t="str">
        <f aca="false">IF(C10646="","",C10646*D10646/100)</f>
        <v/>
      </c>
      <c r="F10646" s="15" t="str">
        <f aca="false">IF(B10646&lt;5,"Go","Standard")</f>
        <v>Standard</v>
      </c>
    </row>
    <row r="10647" customFormat="false" ht="15" hidden="false" customHeight="true" outlineLevel="0" collapsed="false">
      <c r="A10647" s="10" t="n">
        <f aca="false">Einstellungen!$B$5+INT((ROW()-9)/24)</f>
        <v>46409</v>
      </c>
      <c r="B10647" s="11" t="n">
        <f aca="false">MOD(ROW()-9,24)</f>
        <v>6</v>
      </c>
      <c r="C10647" s="12"/>
      <c r="D10647" s="13" t="n">
        <f aca="false">IF(B10647&lt;5,Einstellungen!$B$3,Einstellungen!$B$4)</f>
        <v>29.13</v>
      </c>
      <c r="E10647" s="14" t="str">
        <f aca="false">IF(C10647="","",C10647*D10647/100)</f>
        <v/>
      </c>
      <c r="F10647" s="15" t="str">
        <f aca="false">IF(B10647&lt;5,"Go","Standard")</f>
        <v>Standard</v>
      </c>
    </row>
    <row r="10648" customFormat="false" ht="15" hidden="false" customHeight="true" outlineLevel="0" collapsed="false">
      <c r="A10648" s="10" t="n">
        <f aca="false">Einstellungen!$B$5+INT((ROW()-9)/24)</f>
        <v>46409</v>
      </c>
      <c r="B10648" s="11" t="n">
        <f aca="false">MOD(ROW()-9,24)</f>
        <v>7</v>
      </c>
      <c r="C10648" s="12"/>
      <c r="D10648" s="13" t="n">
        <f aca="false">IF(B10648&lt;5,Einstellungen!$B$3,Einstellungen!$B$4)</f>
        <v>29.13</v>
      </c>
      <c r="E10648" s="14" t="str">
        <f aca="false">IF(C10648="","",C10648*D10648/100)</f>
        <v/>
      </c>
      <c r="F10648" s="15" t="str">
        <f aca="false">IF(B10648&lt;5,"Go","Standard")</f>
        <v>Standard</v>
      </c>
    </row>
    <row r="10649" customFormat="false" ht="15" hidden="false" customHeight="true" outlineLevel="0" collapsed="false">
      <c r="A10649" s="10" t="n">
        <f aca="false">Einstellungen!$B$5+INT((ROW()-9)/24)</f>
        <v>46409</v>
      </c>
      <c r="B10649" s="11" t="n">
        <f aca="false">MOD(ROW()-9,24)</f>
        <v>8</v>
      </c>
      <c r="C10649" s="12"/>
      <c r="D10649" s="13" t="n">
        <f aca="false">IF(B10649&lt;5,Einstellungen!$B$3,Einstellungen!$B$4)</f>
        <v>29.13</v>
      </c>
      <c r="E10649" s="14" t="str">
        <f aca="false">IF(C10649="","",C10649*D10649/100)</f>
        <v/>
      </c>
      <c r="F10649" s="15" t="str">
        <f aca="false">IF(B10649&lt;5,"Go","Standard")</f>
        <v>Standard</v>
      </c>
    </row>
    <row r="10650" customFormat="false" ht="15" hidden="false" customHeight="true" outlineLevel="0" collapsed="false">
      <c r="A10650" s="10" t="n">
        <f aca="false">Einstellungen!$B$5+INT((ROW()-9)/24)</f>
        <v>46409</v>
      </c>
      <c r="B10650" s="11" t="n">
        <f aca="false">MOD(ROW()-9,24)</f>
        <v>9</v>
      </c>
      <c r="C10650" s="12"/>
      <c r="D10650" s="13" t="n">
        <f aca="false">IF(B10650&lt;5,Einstellungen!$B$3,Einstellungen!$B$4)</f>
        <v>29.13</v>
      </c>
      <c r="E10650" s="14" t="str">
        <f aca="false">IF(C10650="","",C10650*D10650/100)</f>
        <v/>
      </c>
      <c r="F10650" s="15" t="str">
        <f aca="false">IF(B10650&lt;5,"Go","Standard")</f>
        <v>Standard</v>
      </c>
    </row>
    <row r="10651" customFormat="false" ht="15" hidden="false" customHeight="true" outlineLevel="0" collapsed="false">
      <c r="A10651" s="10" t="n">
        <f aca="false">Einstellungen!$B$5+INT((ROW()-9)/24)</f>
        <v>46409</v>
      </c>
      <c r="B10651" s="11" t="n">
        <f aca="false">MOD(ROW()-9,24)</f>
        <v>10</v>
      </c>
      <c r="C10651" s="12"/>
      <c r="D10651" s="13" t="n">
        <f aca="false">IF(B10651&lt;5,Einstellungen!$B$3,Einstellungen!$B$4)</f>
        <v>29.13</v>
      </c>
      <c r="E10651" s="14" t="str">
        <f aca="false">IF(C10651="","",C10651*D10651/100)</f>
        <v/>
      </c>
      <c r="F10651" s="15" t="str">
        <f aca="false">IF(B10651&lt;5,"Go","Standard")</f>
        <v>Standard</v>
      </c>
    </row>
    <row r="10652" customFormat="false" ht="15" hidden="false" customHeight="true" outlineLevel="0" collapsed="false">
      <c r="A10652" s="10" t="n">
        <f aca="false">Einstellungen!$B$5+INT((ROW()-9)/24)</f>
        <v>46409</v>
      </c>
      <c r="B10652" s="11" t="n">
        <f aca="false">MOD(ROW()-9,24)</f>
        <v>11</v>
      </c>
      <c r="C10652" s="12"/>
      <c r="D10652" s="13" t="n">
        <f aca="false">IF(B10652&lt;5,Einstellungen!$B$3,Einstellungen!$B$4)</f>
        <v>29.13</v>
      </c>
      <c r="E10652" s="14" t="str">
        <f aca="false">IF(C10652="","",C10652*D10652/100)</f>
        <v/>
      </c>
      <c r="F10652" s="15" t="str">
        <f aca="false">IF(B10652&lt;5,"Go","Standard")</f>
        <v>Standard</v>
      </c>
    </row>
    <row r="10653" customFormat="false" ht="15" hidden="false" customHeight="true" outlineLevel="0" collapsed="false">
      <c r="A10653" s="10" t="n">
        <f aca="false">Einstellungen!$B$5+INT((ROW()-9)/24)</f>
        <v>46409</v>
      </c>
      <c r="B10653" s="11" t="n">
        <f aca="false">MOD(ROW()-9,24)</f>
        <v>12</v>
      </c>
      <c r="C10653" s="12"/>
      <c r="D10653" s="13" t="n">
        <f aca="false">IF(B10653&lt;5,Einstellungen!$B$3,Einstellungen!$B$4)</f>
        <v>29.13</v>
      </c>
      <c r="E10653" s="14" t="str">
        <f aca="false">IF(C10653="","",C10653*D10653/100)</f>
        <v/>
      </c>
      <c r="F10653" s="15" t="str">
        <f aca="false">IF(B10653&lt;5,"Go","Standard")</f>
        <v>Standard</v>
      </c>
    </row>
    <row r="10654" customFormat="false" ht="15" hidden="false" customHeight="true" outlineLevel="0" collapsed="false">
      <c r="A10654" s="10" t="n">
        <f aca="false">Einstellungen!$B$5+INT((ROW()-9)/24)</f>
        <v>46409</v>
      </c>
      <c r="B10654" s="11" t="n">
        <f aca="false">MOD(ROW()-9,24)</f>
        <v>13</v>
      </c>
      <c r="C10654" s="12"/>
      <c r="D10654" s="13" t="n">
        <f aca="false">IF(B10654&lt;5,Einstellungen!$B$3,Einstellungen!$B$4)</f>
        <v>29.13</v>
      </c>
      <c r="E10654" s="14" t="str">
        <f aca="false">IF(C10654="","",C10654*D10654/100)</f>
        <v/>
      </c>
      <c r="F10654" s="15" t="str">
        <f aca="false">IF(B10654&lt;5,"Go","Standard")</f>
        <v>Standard</v>
      </c>
    </row>
    <row r="10655" customFormat="false" ht="15" hidden="false" customHeight="true" outlineLevel="0" collapsed="false">
      <c r="A10655" s="10" t="n">
        <f aca="false">Einstellungen!$B$5+INT((ROW()-9)/24)</f>
        <v>46409</v>
      </c>
      <c r="B10655" s="11" t="n">
        <f aca="false">MOD(ROW()-9,24)</f>
        <v>14</v>
      </c>
      <c r="C10655" s="12"/>
      <c r="D10655" s="13" t="n">
        <f aca="false">IF(B10655&lt;5,Einstellungen!$B$3,Einstellungen!$B$4)</f>
        <v>29.13</v>
      </c>
      <c r="E10655" s="14" t="str">
        <f aca="false">IF(C10655="","",C10655*D10655/100)</f>
        <v/>
      </c>
      <c r="F10655" s="15" t="str">
        <f aca="false">IF(B10655&lt;5,"Go","Standard")</f>
        <v>Standard</v>
      </c>
    </row>
    <row r="10656" customFormat="false" ht="15" hidden="false" customHeight="true" outlineLevel="0" collapsed="false">
      <c r="A10656" s="10" t="n">
        <f aca="false">Einstellungen!$B$5+INT((ROW()-9)/24)</f>
        <v>46409</v>
      </c>
      <c r="B10656" s="11" t="n">
        <f aca="false">MOD(ROW()-9,24)</f>
        <v>15</v>
      </c>
      <c r="C10656" s="12"/>
      <c r="D10656" s="13" t="n">
        <f aca="false">IF(B10656&lt;5,Einstellungen!$B$3,Einstellungen!$B$4)</f>
        <v>29.13</v>
      </c>
      <c r="E10656" s="14" t="str">
        <f aca="false">IF(C10656="","",C10656*D10656/100)</f>
        <v/>
      </c>
      <c r="F10656" s="15" t="str">
        <f aca="false">IF(B10656&lt;5,"Go","Standard")</f>
        <v>Standard</v>
      </c>
    </row>
    <row r="10657" customFormat="false" ht="15" hidden="false" customHeight="true" outlineLevel="0" collapsed="false">
      <c r="A10657" s="10" t="n">
        <f aca="false">Einstellungen!$B$5+INT((ROW()-9)/24)</f>
        <v>46409</v>
      </c>
      <c r="B10657" s="11" t="n">
        <f aca="false">MOD(ROW()-9,24)</f>
        <v>16</v>
      </c>
      <c r="C10657" s="12"/>
      <c r="D10657" s="13" t="n">
        <f aca="false">IF(B10657&lt;5,Einstellungen!$B$3,Einstellungen!$B$4)</f>
        <v>29.13</v>
      </c>
      <c r="E10657" s="14" t="str">
        <f aca="false">IF(C10657="","",C10657*D10657/100)</f>
        <v/>
      </c>
      <c r="F10657" s="15" t="str">
        <f aca="false">IF(B10657&lt;5,"Go","Standard")</f>
        <v>Standard</v>
      </c>
    </row>
    <row r="10658" customFormat="false" ht="15" hidden="false" customHeight="true" outlineLevel="0" collapsed="false">
      <c r="A10658" s="10" t="n">
        <f aca="false">Einstellungen!$B$5+INT((ROW()-9)/24)</f>
        <v>46409</v>
      </c>
      <c r="B10658" s="11" t="n">
        <f aca="false">MOD(ROW()-9,24)</f>
        <v>17</v>
      </c>
      <c r="C10658" s="12"/>
      <c r="D10658" s="13" t="n">
        <f aca="false">IF(B10658&lt;5,Einstellungen!$B$3,Einstellungen!$B$4)</f>
        <v>29.13</v>
      </c>
      <c r="E10658" s="14" t="str">
        <f aca="false">IF(C10658="","",C10658*D10658/100)</f>
        <v/>
      </c>
      <c r="F10658" s="15" t="str">
        <f aca="false">IF(B10658&lt;5,"Go","Standard")</f>
        <v>Standard</v>
      </c>
    </row>
    <row r="10659" customFormat="false" ht="15" hidden="false" customHeight="true" outlineLevel="0" collapsed="false">
      <c r="A10659" s="10" t="n">
        <f aca="false">Einstellungen!$B$5+INT((ROW()-9)/24)</f>
        <v>46409</v>
      </c>
      <c r="B10659" s="11" t="n">
        <f aca="false">MOD(ROW()-9,24)</f>
        <v>18</v>
      </c>
      <c r="C10659" s="12"/>
      <c r="D10659" s="13" t="n">
        <f aca="false">IF(B10659&lt;5,Einstellungen!$B$3,Einstellungen!$B$4)</f>
        <v>29.13</v>
      </c>
      <c r="E10659" s="14" t="str">
        <f aca="false">IF(C10659="","",C10659*D10659/100)</f>
        <v/>
      </c>
      <c r="F10659" s="15" t="str">
        <f aca="false">IF(B10659&lt;5,"Go","Standard")</f>
        <v>Standard</v>
      </c>
    </row>
    <row r="10660" customFormat="false" ht="15" hidden="false" customHeight="true" outlineLevel="0" collapsed="false">
      <c r="A10660" s="10" t="n">
        <f aca="false">Einstellungen!$B$5+INT((ROW()-9)/24)</f>
        <v>46409</v>
      </c>
      <c r="B10660" s="11" t="n">
        <f aca="false">MOD(ROW()-9,24)</f>
        <v>19</v>
      </c>
      <c r="C10660" s="12"/>
      <c r="D10660" s="13" t="n">
        <f aca="false">IF(B10660&lt;5,Einstellungen!$B$3,Einstellungen!$B$4)</f>
        <v>29.13</v>
      </c>
      <c r="E10660" s="14" t="str">
        <f aca="false">IF(C10660="","",C10660*D10660/100)</f>
        <v/>
      </c>
      <c r="F10660" s="15" t="str">
        <f aca="false">IF(B10660&lt;5,"Go","Standard")</f>
        <v>Standard</v>
      </c>
    </row>
    <row r="10661" customFormat="false" ht="15" hidden="false" customHeight="true" outlineLevel="0" collapsed="false">
      <c r="A10661" s="10" t="n">
        <f aca="false">Einstellungen!$B$5+INT((ROW()-9)/24)</f>
        <v>46409</v>
      </c>
      <c r="B10661" s="11" t="n">
        <f aca="false">MOD(ROW()-9,24)</f>
        <v>20</v>
      </c>
      <c r="C10661" s="12"/>
      <c r="D10661" s="13" t="n">
        <f aca="false">IF(B10661&lt;5,Einstellungen!$B$3,Einstellungen!$B$4)</f>
        <v>29.13</v>
      </c>
      <c r="E10661" s="14" t="str">
        <f aca="false">IF(C10661="","",C10661*D10661/100)</f>
        <v/>
      </c>
      <c r="F10661" s="15" t="str">
        <f aca="false">IF(B10661&lt;5,"Go","Standard")</f>
        <v>Standard</v>
      </c>
    </row>
    <row r="10662" customFormat="false" ht="15" hidden="false" customHeight="true" outlineLevel="0" collapsed="false">
      <c r="A10662" s="10" t="n">
        <f aca="false">Einstellungen!$B$5+INT((ROW()-9)/24)</f>
        <v>46409</v>
      </c>
      <c r="B10662" s="11" t="n">
        <f aca="false">MOD(ROW()-9,24)</f>
        <v>21</v>
      </c>
      <c r="C10662" s="12"/>
      <c r="D10662" s="13" t="n">
        <f aca="false">IF(B10662&lt;5,Einstellungen!$B$3,Einstellungen!$B$4)</f>
        <v>29.13</v>
      </c>
      <c r="E10662" s="14" t="str">
        <f aca="false">IF(C10662="","",C10662*D10662/100)</f>
        <v/>
      </c>
      <c r="F10662" s="15" t="str">
        <f aca="false">IF(B10662&lt;5,"Go","Standard")</f>
        <v>Standard</v>
      </c>
    </row>
    <row r="10663" customFormat="false" ht="15" hidden="false" customHeight="true" outlineLevel="0" collapsed="false">
      <c r="A10663" s="10" t="n">
        <f aca="false">Einstellungen!$B$5+INT((ROW()-9)/24)</f>
        <v>46409</v>
      </c>
      <c r="B10663" s="11" t="n">
        <f aca="false">MOD(ROW()-9,24)</f>
        <v>22</v>
      </c>
      <c r="C10663" s="12"/>
      <c r="D10663" s="13" t="n">
        <f aca="false">IF(B10663&lt;5,Einstellungen!$B$3,Einstellungen!$B$4)</f>
        <v>29.13</v>
      </c>
      <c r="E10663" s="14" t="str">
        <f aca="false">IF(C10663="","",C10663*D10663/100)</f>
        <v/>
      </c>
      <c r="F10663" s="15" t="str">
        <f aca="false">IF(B10663&lt;5,"Go","Standard")</f>
        <v>Standard</v>
      </c>
    </row>
    <row r="10664" customFormat="false" ht="15" hidden="false" customHeight="true" outlineLevel="0" collapsed="false">
      <c r="A10664" s="10" t="n">
        <f aca="false">Einstellungen!$B$5+INT((ROW()-9)/24)</f>
        <v>46409</v>
      </c>
      <c r="B10664" s="11" t="n">
        <f aca="false">MOD(ROW()-9,24)</f>
        <v>23</v>
      </c>
      <c r="C10664" s="12"/>
      <c r="D10664" s="13" t="n">
        <f aca="false">IF(B10664&lt;5,Einstellungen!$B$3,Einstellungen!$B$4)</f>
        <v>29.13</v>
      </c>
      <c r="E10664" s="14" t="str">
        <f aca="false">IF(C10664="","",C10664*D10664/100)</f>
        <v/>
      </c>
      <c r="F10664" s="15" t="str">
        <f aca="false">IF(B10664&lt;5,"Go","Standard")</f>
        <v>Standard</v>
      </c>
    </row>
    <row r="10665" customFormat="false" ht="15" hidden="false" customHeight="true" outlineLevel="0" collapsed="false">
      <c r="A10665" s="10" t="n">
        <f aca="false">Einstellungen!$B$5+INT((ROW()-9)/24)</f>
        <v>46410</v>
      </c>
      <c r="B10665" s="11" t="n">
        <f aca="false">MOD(ROW()-9,24)</f>
        <v>0</v>
      </c>
      <c r="C10665" s="12"/>
      <c r="D10665" s="13" t="n">
        <f aca="false">IF(B10665&lt;5,Einstellungen!$B$3,Einstellungen!$B$4)</f>
        <v>15.92</v>
      </c>
      <c r="E10665" s="14" t="str">
        <f aca="false">IF(C10665="","",C10665*D10665/100)</f>
        <v/>
      </c>
      <c r="F10665" s="15" t="str">
        <f aca="false">IF(B10665&lt;5,"Go","Standard")</f>
        <v>Go</v>
      </c>
    </row>
    <row r="10666" customFormat="false" ht="15" hidden="false" customHeight="true" outlineLevel="0" collapsed="false">
      <c r="A10666" s="10" t="n">
        <f aca="false">Einstellungen!$B$5+INT((ROW()-9)/24)</f>
        <v>46410</v>
      </c>
      <c r="B10666" s="11" t="n">
        <f aca="false">MOD(ROW()-9,24)</f>
        <v>1</v>
      </c>
      <c r="C10666" s="12"/>
      <c r="D10666" s="13" t="n">
        <f aca="false">IF(B10666&lt;5,Einstellungen!$B$3,Einstellungen!$B$4)</f>
        <v>15.92</v>
      </c>
      <c r="E10666" s="14" t="str">
        <f aca="false">IF(C10666="","",C10666*D10666/100)</f>
        <v/>
      </c>
      <c r="F10666" s="15" t="str">
        <f aca="false">IF(B10666&lt;5,"Go","Standard")</f>
        <v>Go</v>
      </c>
    </row>
    <row r="10667" customFormat="false" ht="15" hidden="false" customHeight="true" outlineLevel="0" collapsed="false">
      <c r="A10667" s="10" t="n">
        <f aca="false">Einstellungen!$B$5+INT((ROW()-9)/24)</f>
        <v>46410</v>
      </c>
      <c r="B10667" s="11" t="n">
        <f aca="false">MOD(ROW()-9,24)</f>
        <v>2</v>
      </c>
      <c r="C10667" s="12"/>
      <c r="D10667" s="13" t="n">
        <f aca="false">IF(B10667&lt;5,Einstellungen!$B$3,Einstellungen!$B$4)</f>
        <v>15.92</v>
      </c>
      <c r="E10667" s="14" t="str">
        <f aca="false">IF(C10667="","",C10667*D10667/100)</f>
        <v/>
      </c>
      <c r="F10667" s="15" t="str">
        <f aca="false">IF(B10667&lt;5,"Go","Standard")</f>
        <v>Go</v>
      </c>
    </row>
    <row r="10668" customFormat="false" ht="15" hidden="false" customHeight="true" outlineLevel="0" collapsed="false">
      <c r="A10668" s="10" t="n">
        <f aca="false">Einstellungen!$B$5+INT((ROW()-9)/24)</f>
        <v>46410</v>
      </c>
      <c r="B10668" s="11" t="n">
        <f aca="false">MOD(ROW()-9,24)</f>
        <v>3</v>
      </c>
      <c r="C10668" s="12"/>
      <c r="D10668" s="13" t="n">
        <f aca="false">IF(B10668&lt;5,Einstellungen!$B$3,Einstellungen!$B$4)</f>
        <v>15.92</v>
      </c>
      <c r="E10668" s="14" t="str">
        <f aca="false">IF(C10668="","",C10668*D10668/100)</f>
        <v/>
      </c>
      <c r="F10668" s="15" t="str">
        <f aca="false">IF(B10668&lt;5,"Go","Standard")</f>
        <v>Go</v>
      </c>
    </row>
    <row r="10669" customFormat="false" ht="15" hidden="false" customHeight="true" outlineLevel="0" collapsed="false">
      <c r="A10669" s="10" t="n">
        <f aca="false">Einstellungen!$B$5+INT((ROW()-9)/24)</f>
        <v>46410</v>
      </c>
      <c r="B10669" s="11" t="n">
        <f aca="false">MOD(ROW()-9,24)</f>
        <v>4</v>
      </c>
      <c r="C10669" s="12"/>
      <c r="D10669" s="13" t="n">
        <f aca="false">IF(B10669&lt;5,Einstellungen!$B$3,Einstellungen!$B$4)</f>
        <v>15.92</v>
      </c>
      <c r="E10669" s="14" t="str">
        <f aca="false">IF(C10669="","",C10669*D10669/100)</f>
        <v/>
      </c>
      <c r="F10669" s="15" t="str">
        <f aca="false">IF(B10669&lt;5,"Go","Standard")</f>
        <v>Go</v>
      </c>
    </row>
    <row r="10670" customFormat="false" ht="15" hidden="false" customHeight="true" outlineLevel="0" collapsed="false">
      <c r="A10670" s="10" t="n">
        <f aca="false">Einstellungen!$B$5+INT((ROW()-9)/24)</f>
        <v>46410</v>
      </c>
      <c r="B10670" s="11" t="n">
        <f aca="false">MOD(ROW()-9,24)</f>
        <v>5</v>
      </c>
      <c r="C10670" s="12"/>
      <c r="D10670" s="13" t="n">
        <f aca="false">IF(B10670&lt;5,Einstellungen!$B$3,Einstellungen!$B$4)</f>
        <v>29.13</v>
      </c>
      <c r="E10670" s="14" t="str">
        <f aca="false">IF(C10670="","",C10670*D10670/100)</f>
        <v/>
      </c>
      <c r="F10670" s="15" t="str">
        <f aca="false">IF(B10670&lt;5,"Go","Standard")</f>
        <v>Standard</v>
      </c>
    </row>
    <row r="10671" customFormat="false" ht="15" hidden="false" customHeight="true" outlineLevel="0" collapsed="false">
      <c r="A10671" s="10" t="n">
        <f aca="false">Einstellungen!$B$5+INT((ROW()-9)/24)</f>
        <v>46410</v>
      </c>
      <c r="B10671" s="11" t="n">
        <f aca="false">MOD(ROW()-9,24)</f>
        <v>6</v>
      </c>
      <c r="C10671" s="12"/>
      <c r="D10671" s="13" t="n">
        <f aca="false">IF(B10671&lt;5,Einstellungen!$B$3,Einstellungen!$B$4)</f>
        <v>29.13</v>
      </c>
      <c r="E10671" s="14" t="str">
        <f aca="false">IF(C10671="","",C10671*D10671/100)</f>
        <v/>
      </c>
      <c r="F10671" s="15" t="str">
        <f aca="false">IF(B10671&lt;5,"Go","Standard")</f>
        <v>Standard</v>
      </c>
    </row>
    <row r="10672" customFormat="false" ht="15" hidden="false" customHeight="true" outlineLevel="0" collapsed="false">
      <c r="A10672" s="10" t="n">
        <f aca="false">Einstellungen!$B$5+INT((ROW()-9)/24)</f>
        <v>46410</v>
      </c>
      <c r="B10672" s="11" t="n">
        <f aca="false">MOD(ROW()-9,24)</f>
        <v>7</v>
      </c>
      <c r="C10672" s="12"/>
      <c r="D10672" s="13" t="n">
        <f aca="false">IF(B10672&lt;5,Einstellungen!$B$3,Einstellungen!$B$4)</f>
        <v>29.13</v>
      </c>
      <c r="E10672" s="14" t="str">
        <f aca="false">IF(C10672="","",C10672*D10672/100)</f>
        <v/>
      </c>
      <c r="F10672" s="15" t="str">
        <f aca="false">IF(B10672&lt;5,"Go","Standard")</f>
        <v>Standard</v>
      </c>
    </row>
    <row r="10673" customFormat="false" ht="15" hidden="false" customHeight="true" outlineLevel="0" collapsed="false">
      <c r="A10673" s="10" t="n">
        <f aca="false">Einstellungen!$B$5+INT((ROW()-9)/24)</f>
        <v>46410</v>
      </c>
      <c r="B10673" s="11" t="n">
        <f aca="false">MOD(ROW()-9,24)</f>
        <v>8</v>
      </c>
      <c r="C10673" s="12"/>
      <c r="D10673" s="13" t="n">
        <f aca="false">IF(B10673&lt;5,Einstellungen!$B$3,Einstellungen!$B$4)</f>
        <v>29.13</v>
      </c>
      <c r="E10673" s="14" t="str">
        <f aca="false">IF(C10673="","",C10673*D10673/100)</f>
        <v/>
      </c>
      <c r="F10673" s="15" t="str">
        <f aca="false">IF(B10673&lt;5,"Go","Standard")</f>
        <v>Standard</v>
      </c>
    </row>
    <row r="10674" customFormat="false" ht="15" hidden="false" customHeight="true" outlineLevel="0" collapsed="false">
      <c r="A10674" s="10" t="n">
        <f aca="false">Einstellungen!$B$5+INT((ROW()-9)/24)</f>
        <v>46410</v>
      </c>
      <c r="B10674" s="11" t="n">
        <f aca="false">MOD(ROW()-9,24)</f>
        <v>9</v>
      </c>
      <c r="C10674" s="12"/>
      <c r="D10674" s="13" t="n">
        <f aca="false">IF(B10674&lt;5,Einstellungen!$B$3,Einstellungen!$B$4)</f>
        <v>29.13</v>
      </c>
      <c r="E10674" s="14" t="str">
        <f aca="false">IF(C10674="","",C10674*D10674/100)</f>
        <v/>
      </c>
      <c r="F10674" s="15" t="str">
        <f aca="false">IF(B10674&lt;5,"Go","Standard")</f>
        <v>Standard</v>
      </c>
    </row>
    <row r="10675" customFormat="false" ht="15" hidden="false" customHeight="true" outlineLevel="0" collapsed="false">
      <c r="A10675" s="10" t="n">
        <f aca="false">Einstellungen!$B$5+INT((ROW()-9)/24)</f>
        <v>46410</v>
      </c>
      <c r="B10675" s="11" t="n">
        <f aca="false">MOD(ROW()-9,24)</f>
        <v>10</v>
      </c>
      <c r="C10675" s="12"/>
      <c r="D10675" s="13" t="n">
        <f aca="false">IF(B10675&lt;5,Einstellungen!$B$3,Einstellungen!$B$4)</f>
        <v>29.13</v>
      </c>
      <c r="E10675" s="14" t="str">
        <f aca="false">IF(C10675="","",C10675*D10675/100)</f>
        <v/>
      </c>
      <c r="F10675" s="15" t="str">
        <f aca="false">IF(B10675&lt;5,"Go","Standard")</f>
        <v>Standard</v>
      </c>
    </row>
    <row r="10676" customFormat="false" ht="15" hidden="false" customHeight="true" outlineLevel="0" collapsed="false">
      <c r="A10676" s="10" t="n">
        <f aca="false">Einstellungen!$B$5+INT((ROW()-9)/24)</f>
        <v>46410</v>
      </c>
      <c r="B10676" s="11" t="n">
        <f aca="false">MOD(ROW()-9,24)</f>
        <v>11</v>
      </c>
      <c r="C10676" s="12"/>
      <c r="D10676" s="13" t="n">
        <f aca="false">IF(B10676&lt;5,Einstellungen!$B$3,Einstellungen!$B$4)</f>
        <v>29.13</v>
      </c>
      <c r="E10676" s="14" t="str">
        <f aca="false">IF(C10676="","",C10676*D10676/100)</f>
        <v/>
      </c>
      <c r="F10676" s="15" t="str">
        <f aca="false">IF(B10676&lt;5,"Go","Standard")</f>
        <v>Standard</v>
      </c>
    </row>
    <row r="10677" customFormat="false" ht="15" hidden="false" customHeight="true" outlineLevel="0" collapsed="false">
      <c r="A10677" s="10" t="n">
        <f aca="false">Einstellungen!$B$5+INT((ROW()-9)/24)</f>
        <v>46410</v>
      </c>
      <c r="B10677" s="11" t="n">
        <f aca="false">MOD(ROW()-9,24)</f>
        <v>12</v>
      </c>
      <c r="C10677" s="12"/>
      <c r="D10677" s="13" t="n">
        <f aca="false">IF(B10677&lt;5,Einstellungen!$B$3,Einstellungen!$B$4)</f>
        <v>29.13</v>
      </c>
      <c r="E10677" s="14" t="str">
        <f aca="false">IF(C10677="","",C10677*D10677/100)</f>
        <v/>
      </c>
      <c r="F10677" s="15" t="str">
        <f aca="false">IF(B10677&lt;5,"Go","Standard")</f>
        <v>Standard</v>
      </c>
    </row>
    <row r="10678" customFormat="false" ht="15" hidden="false" customHeight="true" outlineLevel="0" collapsed="false">
      <c r="A10678" s="10" t="n">
        <f aca="false">Einstellungen!$B$5+INT((ROW()-9)/24)</f>
        <v>46410</v>
      </c>
      <c r="B10678" s="11" t="n">
        <f aca="false">MOD(ROW()-9,24)</f>
        <v>13</v>
      </c>
      <c r="C10678" s="12"/>
      <c r="D10678" s="13" t="n">
        <f aca="false">IF(B10678&lt;5,Einstellungen!$B$3,Einstellungen!$B$4)</f>
        <v>29.13</v>
      </c>
      <c r="E10678" s="14" t="str">
        <f aca="false">IF(C10678="","",C10678*D10678/100)</f>
        <v/>
      </c>
      <c r="F10678" s="15" t="str">
        <f aca="false">IF(B10678&lt;5,"Go","Standard")</f>
        <v>Standard</v>
      </c>
    </row>
    <row r="10679" customFormat="false" ht="15" hidden="false" customHeight="true" outlineLevel="0" collapsed="false">
      <c r="A10679" s="10" t="n">
        <f aca="false">Einstellungen!$B$5+INT((ROW()-9)/24)</f>
        <v>46410</v>
      </c>
      <c r="B10679" s="11" t="n">
        <f aca="false">MOD(ROW()-9,24)</f>
        <v>14</v>
      </c>
      <c r="C10679" s="12"/>
      <c r="D10679" s="13" t="n">
        <f aca="false">IF(B10679&lt;5,Einstellungen!$B$3,Einstellungen!$B$4)</f>
        <v>29.13</v>
      </c>
      <c r="E10679" s="14" t="str">
        <f aca="false">IF(C10679="","",C10679*D10679/100)</f>
        <v/>
      </c>
      <c r="F10679" s="15" t="str">
        <f aca="false">IF(B10679&lt;5,"Go","Standard")</f>
        <v>Standard</v>
      </c>
    </row>
    <row r="10680" customFormat="false" ht="15" hidden="false" customHeight="true" outlineLevel="0" collapsed="false">
      <c r="A10680" s="10" t="n">
        <f aca="false">Einstellungen!$B$5+INT((ROW()-9)/24)</f>
        <v>46410</v>
      </c>
      <c r="B10680" s="11" t="n">
        <f aca="false">MOD(ROW()-9,24)</f>
        <v>15</v>
      </c>
      <c r="C10680" s="12"/>
      <c r="D10680" s="13" t="n">
        <f aca="false">IF(B10680&lt;5,Einstellungen!$B$3,Einstellungen!$B$4)</f>
        <v>29.13</v>
      </c>
      <c r="E10680" s="14" t="str">
        <f aca="false">IF(C10680="","",C10680*D10680/100)</f>
        <v/>
      </c>
      <c r="F10680" s="15" t="str">
        <f aca="false">IF(B10680&lt;5,"Go","Standard")</f>
        <v>Standard</v>
      </c>
    </row>
    <row r="10681" customFormat="false" ht="15" hidden="false" customHeight="true" outlineLevel="0" collapsed="false">
      <c r="A10681" s="10" t="n">
        <f aca="false">Einstellungen!$B$5+INT((ROW()-9)/24)</f>
        <v>46410</v>
      </c>
      <c r="B10681" s="11" t="n">
        <f aca="false">MOD(ROW()-9,24)</f>
        <v>16</v>
      </c>
      <c r="C10681" s="12"/>
      <c r="D10681" s="13" t="n">
        <f aca="false">IF(B10681&lt;5,Einstellungen!$B$3,Einstellungen!$B$4)</f>
        <v>29.13</v>
      </c>
      <c r="E10681" s="14" t="str">
        <f aca="false">IF(C10681="","",C10681*D10681/100)</f>
        <v/>
      </c>
      <c r="F10681" s="15" t="str">
        <f aca="false">IF(B10681&lt;5,"Go","Standard")</f>
        <v>Standard</v>
      </c>
    </row>
    <row r="10682" customFormat="false" ht="15" hidden="false" customHeight="true" outlineLevel="0" collapsed="false">
      <c r="A10682" s="10" t="n">
        <f aca="false">Einstellungen!$B$5+INT((ROW()-9)/24)</f>
        <v>46410</v>
      </c>
      <c r="B10682" s="11" t="n">
        <f aca="false">MOD(ROW()-9,24)</f>
        <v>17</v>
      </c>
      <c r="C10682" s="12"/>
      <c r="D10682" s="13" t="n">
        <f aca="false">IF(B10682&lt;5,Einstellungen!$B$3,Einstellungen!$B$4)</f>
        <v>29.13</v>
      </c>
      <c r="E10682" s="14" t="str">
        <f aca="false">IF(C10682="","",C10682*D10682/100)</f>
        <v/>
      </c>
      <c r="F10682" s="15" t="str">
        <f aca="false">IF(B10682&lt;5,"Go","Standard")</f>
        <v>Standard</v>
      </c>
    </row>
    <row r="10683" customFormat="false" ht="15" hidden="false" customHeight="true" outlineLevel="0" collapsed="false">
      <c r="A10683" s="10" t="n">
        <f aca="false">Einstellungen!$B$5+INT((ROW()-9)/24)</f>
        <v>46410</v>
      </c>
      <c r="B10683" s="11" t="n">
        <f aca="false">MOD(ROW()-9,24)</f>
        <v>18</v>
      </c>
      <c r="C10683" s="12"/>
      <c r="D10683" s="13" t="n">
        <f aca="false">IF(B10683&lt;5,Einstellungen!$B$3,Einstellungen!$B$4)</f>
        <v>29.13</v>
      </c>
      <c r="E10683" s="14" t="str">
        <f aca="false">IF(C10683="","",C10683*D10683/100)</f>
        <v/>
      </c>
      <c r="F10683" s="15" t="str">
        <f aca="false">IF(B10683&lt;5,"Go","Standard")</f>
        <v>Standard</v>
      </c>
    </row>
    <row r="10684" customFormat="false" ht="15" hidden="false" customHeight="true" outlineLevel="0" collapsed="false">
      <c r="A10684" s="10" t="n">
        <f aca="false">Einstellungen!$B$5+INT((ROW()-9)/24)</f>
        <v>46410</v>
      </c>
      <c r="B10684" s="11" t="n">
        <f aca="false">MOD(ROW()-9,24)</f>
        <v>19</v>
      </c>
      <c r="C10684" s="12"/>
      <c r="D10684" s="13" t="n">
        <f aca="false">IF(B10684&lt;5,Einstellungen!$B$3,Einstellungen!$B$4)</f>
        <v>29.13</v>
      </c>
      <c r="E10684" s="14" t="str">
        <f aca="false">IF(C10684="","",C10684*D10684/100)</f>
        <v/>
      </c>
      <c r="F10684" s="15" t="str">
        <f aca="false">IF(B10684&lt;5,"Go","Standard")</f>
        <v>Standard</v>
      </c>
    </row>
    <row r="10685" customFormat="false" ht="15" hidden="false" customHeight="true" outlineLevel="0" collapsed="false">
      <c r="A10685" s="10" t="n">
        <f aca="false">Einstellungen!$B$5+INT((ROW()-9)/24)</f>
        <v>46410</v>
      </c>
      <c r="B10685" s="11" t="n">
        <f aca="false">MOD(ROW()-9,24)</f>
        <v>20</v>
      </c>
      <c r="C10685" s="12"/>
      <c r="D10685" s="13" t="n">
        <f aca="false">IF(B10685&lt;5,Einstellungen!$B$3,Einstellungen!$B$4)</f>
        <v>29.13</v>
      </c>
      <c r="E10685" s="14" t="str">
        <f aca="false">IF(C10685="","",C10685*D10685/100)</f>
        <v/>
      </c>
      <c r="F10685" s="15" t="str">
        <f aca="false">IF(B10685&lt;5,"Go","Standard")</f>
        <v>Standard</v>
      </c>
    </row>
    <row r="10686" customFormat="false" ht="15" hidden="false" customHeight="true" outlineLevel="0" collapsed="false">
      <c r="A10686" s="10" t="n">
        <f aca="false">Einstellungen!$B$5+INT((ROW()-9)/24)</f>
        <v>46410</v>
      </c>
      <c r="B10686" s="11" t="n">
        <f aca="false">MOD(ROW()-9,24)</f>
        <v>21</v>
      </c>
      <c r="C10686" s="12"/>
      <c r="D10686" s="13" t="n">
        <f aca="false">IF(B10686&lt;5,Einstellungen!$B$3,Einstellungen!$B$4)</f>
        <v>29.13</v>
      </c>
      <c r="E10686" s="14" t="str">
        <f aca="false">IF(C10686="","",C10686*D10686/100)</f>
        <v/>
      </c>
      <c r="F10686" s="15" t="str">
        <f aca="false">IF(B10686&lt;5,"Go","Standard")</f>
        <v>Standard</v>
      </c>
    </row>
    <row r="10687" customFormat="false" ht="15" hidden="false" customHeight="true" outlineLevel="0" collapsed="false">
      <c r="A10687" s="10" t="n">
        <f aca="false">Einstellungen!$B$5+INT((ROW()-9)/24)</f>
        <v>46410</v>
      </c>
      <c r="B10687" s="11" t="n">
        <f aca="false">MOD(ROW()-9,24)</f>
        <v>22</v>
      </c>
      <c r="C10687" s="12"/>
      <c r="D10687" s="13" t="n">
        <f aca="false">IF(B10687&lt;5,Einstellungen!$B$3,Einstellungen!$B$4)</f>
        <v>29.13</v>
      </c>
      <c r="E10687" s="14" t="str">
        <f aca="false">IF(C10687="","",C10687*D10687/100)</f>
        <v/>
      </c>
      <c r="F10687" s="15" t="str">
        <f aca="false">IF(B10687&lt;5,"Go","Standard")</f>
        <v>Standard</v>
      </c>
    </row>
    <row r="10688" customFormat="false" ht="15" hidden="false" customHeight="true" outlineLevel="0" collapsed="false">
      <c r="A10688" s="10" t="n">
        <f aca="false">Einstellungen!$B$5+INT((ROW()-9)/24)</f>
        <v>46410</v>
      </c>
      <c r="B10688" s="11" t="n">
        <f aca="false">MOD(ROW()-9,24)</f>
        <v>23</v>
      </c>
      <c r="C10688" s="12"/>
      <c r="D10688" s="13" t="n">
        <f aca="false">IF(B10688&lt;5,Einstellungen!$B$3,Einstellungen!$B$4)</f>
        <v>29.13</v>
      </c>
      <c r="E10688" s="14" t="str">
        <f aca="false">IF(C10688="","",C10688*D10688/100)</f>
        <v/>
      </c>
      <c r="F10688" s="15" t="str">
        <f aca="false">IF(B10688&lt;5,"Go","Standard")</f>
        <v>Standard</v>
      </c>
    </row>
    <row r="10689" customFormat="false" ht="15" hidden="false" customHeight="true" outlineLevel="0" collapsed="false">
      <c r="A10689" s="10" t="n">
        <f aca="false">Einstellungen!$B$5+INT((ROW()-9)/24)</f>
        <v>46411</v>
      </c>
      <c r="B10689" s="11" t="n">
        <f aca="false">MOD(ROW()-9,24)</f>
        <v>0</v>
      </c>
      <c r="C10689" s="12"/>
      <c r="D10689" s="13" t="n">
        <f aca="false">IF(B10689&lt;5,Einstellungen!$B$3,Einstellungen!$B$4)</f>
        <v>15.92</v>
      </c>
      <c r="E10689" s="14" t="str">
        <f aca="false">IF(C10689="","",C10689*D10689/100)</f>
        <v/>
      </c>
      <c r="F10689" s="15" t="str">
        <f aca="false">IF(B10689&lt;5,"Go","Standard")</f>
        <v>Go</v>
      </c>
    </row>
    <row r="10690" customFormat="false" ht="15" hidden="false" customHeight="true" outlineLevel="0" collapsed="false">
      <c r="A10690" s="10" t="n">
        <f aca="false">Einstellungen!$B$5+INT((ROW()-9)/24)</f>
        <v>46411</v>
      </c>
      <c r="B10690" s="11" t="n">
        <f aca="false">MOD(ROW()-9,24)</f>
        <v>1</v>
      </c>
      <c r="C10690" s="12"/>
      <c r="D10690" s="13" t="n">
        <f aca="false">IF(B10690&lt;5,Einstellungen!$B$3,Einstellungen!$B$4)</f>
        <v>15.92</v>
      </c>
      <c r="E10690" s="14" t="str">
        <f aca="false">IF(C10690="","",C10690*D10690/100)</f>
        <v/>
      </c>
      <c r="F10690" s="15" t="str">
        <f aca="false">IF(B10690&lt;5,"Go","Standard")</f>
        <v>Go</v>
      </c>
    </row>
    <row r="10691" customFormat="false" ht="15" hidden="false" customHeight="true" outlineLevel="0" collapsed="false">
      <c r="A10691" s="10" t="n">
        <f aca="false">Einstellungen!$B$5+INT((ROW()-9)/24)</f>
        <v>46411</v>
      </c>
      <c r="B10691" s="11" t="n">
        <f aca="false">MOD(ROW()-9,24)</f>
        <v>2</v>
      </c>
      <c r="C10691" s="12"/>
      <c r="D10691" s="13" t="n">
        <f aca="false">IF(B10691&lt;5,Einstellungen!$B$3,Einstellungen!$B$4)</f>
        <v>15.92</v>
      </c>
      <c r="E10691" s="14" t="str">
        <f aca="false">IF(C10691="","",C10691*D10691/100)</f>
        <v/>
      </c>
      <c r="F10691" s="15" t="str">
        <f aca="false">IF(B10691&lt;5,"Go","Standard")</f>
        <v>Go</v>
      </c>
    </row>
    <row r="10692" customFormat="false" ht="15" hidden="false" customHeight="true" outlineLevel="0" collapsed="false">
      <c r="A10692" s="10" t="n">
        <f aca="false">Einstellungen!$B$5+INT((ROW()-9)/24)</f>
        <v>46411</v>
      </c>
      <c r="B10692" s="11" t="n">
        <f aca="false">MOD(ROW()-9,24)</f>
        <v>3</v>
      </c>
      <c r="C10692" s="12"/>
      <c r="D10692" s="13" t="n">
        <f aca="false">IF(B10692&lt;5,Einstellungen!$B$3,Einstellungen!$B$4)</f>
        <v>15.92</v>
      </c>
      <c r="E10692" s="14" t="str">
        <f aca="false">IF(C10692="","",C10692*D10692/100)</f>
        <v/>
      </c>
      <c r="F10692" s="15" t="str">
        <f aca="false">IF(B10692&lt;5,"Go","Standard")</f>
        <v>Go</v>
      </c>
    </row>
    <row r="10693" customFormat="false" ht="15" hidden="false" customHeight="true" outlineLevel="0" collapsed="false">
      <c r="A10693" s="10" t="n">
        <f aca="false">Einstellungen!$B$5+INT((ROW()-9)/24)</f>
        <v>46411</v>
      </c>
      <c r="B10693" s="11" t="n">
        <f aca="false">MOD(ROW()-9,24)</f>
        <v>4</v>
      </c>
      <c r="C10693" s="12"/>
      <c r="D10693" s="13" t="n">
        <f aca="false">IF(B10693&lt;5,Einstellungen!$B$3,Einstellungen!$B$4)</f>
        <v>15.92</v>
      </c>
      <c r="E10693" s="14" t="str">
        <f aca="false">IF(C10693="","",C10693*D10693/100)</f>
        <v/>
      </c>
      <c r="F10693" s="15" t="str">
        <f aca="false">IF(B10693&lt;5,"Go","Standard")</f>
        <v>Go</v>
      </c>
    </row>
    <row r="10694" customFormat="false" ht="15" hidden="false" customHeight="true" outlineLevel="0" collapsed="false">
      <c r="A10694" s="10" t="n">
        <f aca="false">Einstellungen!$B$5+INT((ROW()-9)/24)</f>
        <v>46411</v>
      </c>
      <c r="B10694" s="11" t="n">
        <f aca="false">MOD(ROW()-9,24)</f>
        <v>5</v>
      </c>
      <c r="C10694" s="12"/>
      <c r="D10694" s="13" t="n">
        <f aca="false">IF(B10694&lt;5,Einstellungen!$B$3,Einstellungen!$B$4)</f>
        <v>29.13</v>
      </c>
      <c r="E10694" s="14" t="str">
        <f aca="false">IF(C10694="","",C10694*D10694/100)</f>
        <v/>
      </c>
      <c r="F10694" s="15" t="str">
        <f aca="false">IF(B10694&lt;5,"Go","Standard")</f>
        <v>Standard</v>
      </c>
    </row>
    <row r="10695" customFormat="false" ht="15" hidden="false" customHeight="true" outlineLevel="0" collapsed="false">
      <c r="A10695" s="10" t="n">
        <f aca="false">Einstellungen!$B$5+INT((ROW()-9)/24)</f>
        <v>46411</v>
      </c>
      <c r="B10695" s="11" t="n">
        <f aca="false">MOD(ROW()-9,24)</f>
        <v>6</v>
      </c>
      <c r="C10695" s="12"/>
      <c r="D10695" s="13" t="n">
        <f aca="false">IF(B10695&lt;5,Einstellungen!$B$3,Einstellungen!$B$4)</f>
        <v>29.13</v>
      </c>
      <c r="E10695" s="14" t="str">
        <f aca="false">IF(C10695="","",C10695*D10695/100)</f>
        <v/>
      </c>
      <c r="F10695" s="15" t="str">
        <f aca="false">IF(B10695&lt;5,"Go","Standard")</f>
        <v>Standard</v>
      </c>
    </row>
    <row r="10696" customFormat="false" ht="15" hidden="false" customHeight="true" outlineLevel="0" collapsed="false">
      <c r="A10696" s="10" t="n">
        <f aca="false">Einstellungen!$B$5+INT((ROW()-9)/24)</f>
        <v>46411</v>
      </c>
      <c r="B10696" s="11" t="n">
        <f aca="false">MOD(ROW()-9,24)</f>
        <v>7</v>
      </c>
      <c r="C10696" s="12"/>
      <c r="D10696" s="13" t="n">
        <f aca="false">IF(B10696&lt;5,Einstellungen!$B$3,Einstellungen!$B$4)</f>
        <v>29.13</v>
      </c>
      <c r="E10696" s="14" t="str">
        <f aca="false">IF(C10696="","",C10696*D10696/100)</f>
        <v/>
      </c>
      <c r="F10696" s="15" t="str">
        <f aca="false">IF(B10696&lt;5,"Go","Standard")</f>
        <v>Standard</v>
      </c>
    </row>
    <row r="10697" customFormat="false" ht="15" hidden="false" customHeight="true" outlineLevel="0" collapsed="false">
      <c r="A10697" s="10" t="n">
        <f aca="false">Einstellungen!$B$5+INT((ROW()-9)/24)</f>
        <v>46411</v>
      </c>
      <c r="B10697" s="11" t="n">
        <f aca="false">MOD(ROW()-9,24)</f>
        <v>8</v>
      </c>
      <c r="C10697" s="12"/>
      <c r="D10697" s="13" t="n">
        <f aca="false">IF(B10697&lt;5,Einstellungen!$B$3,Einstellungen!$B$4)</f>
        <v>29.13</v>
      </c>
      <c r="E10697" s="14" t="str">
        <f aca="false">IF(C10697="","",C10697*D10697/100)</f>
        <v/>
      </c>
      <c r="F10697" s="15" t="str">
        <f aca="false">IF(B10697&lt;5,"Go","Standard")</f>
        <v>Standard</v>
      </c>
    </row>
    <row r="10698" customFormat="false" ht="15" hidden="false" customHeight="true" outlineLevel="0" collapsed="false">
      <c r="A10698" s="10" t="n">
        <f aca="false">Einstellungen!$B$5+INT((ROW()-9)/24)</f>
        <v>46411</v>
      </c>
      <c r="B10698" s="11" t="n">
        <f aca="false">MOD(ROW()-9,24)</f>
        <v>9</v>
      </c>
      <c r="C10698" s="12"/>
      <c r="D10698" s="13" t="n">
        <f aca="false">IF(B10698&lt;5,Einstellungen!$B$3,Einstellungen!$B$4)</f>
        <v>29.13</v>
      </c>
      <c r="E10698" s="14" t="str">
        <f aca="false">IF(C10698="","",C10698*D10698/100)</f>
        <v/>
      </c>
      <c r="F10698" s="15" t="str">
        <f aca="false">IF(B10698&lt;5,"Go","Standard")</f>
        <v>Standard</v>
      </c>
    </row>
    <row r="10699" customFormat="false" ht="15" hidden="false" customHeight="true" outlineLevel="0" collapsed="false">
      <c r="A10699" s="10" t="n">
        <f aca="false">Einstellungen!$B$5+INT((ROW()-9)/24)</f>
        <v>46411</v>
      </c>
      <c r="B10699" s="11" t="n">
        <f aca="false">MOD(ROW()-9,24)</f>
        <v>10</v>
      </c>
      <c r="C10699" s="12"/>
      <c r="D10699" s="13" t="n">
        <f aca="false">IF(B10699&lt;5,Einstellungen!$B$3,Einstellungen!$B$4)</f>
        <v>29.13</v>
      </c>
      <c r="E10699" s="14" t="str">
        <f aca="false">IF(C10699="","",C10699*D10699/100)</f>
        <v/>
      </c>
      <c r="F10699" s="15" t="str">
        <f aca="false">IF(B10699&lt;5,"Go","Standard")</f>
        <v>Standard</v>
      </c>
    </row>
    <row r="10700" customFormat="false" ht="15" hidden="false" customHeight="true" outlineLevel="0" collapsed="false">
      <c r="A10700" s="10" t="n">
        <f aca="false">Einstellungen!$B$5+INT((ROW()-9)/24)</f>
        <v>46411</v>
      </c>
      <c r="B10700" s="11" t="n">
        <f aca="false">MOD(ROW()-9,24)</f>
        <v>11</v>
      </c>
      <c r="C10700" s="12"/>
      <c r="D10700" s="13" t="n">
        <f aca="false">IF(B10700&lt;5,Einstellungen!$B$3,Einstellungen!$B$4)</f>
        <v>29.13</v>
      </c>
      <c r="E10700" s="14" t="str">
        <f aca="false">IF(C10700="","",C10700*D10700/100)</f>
        <v/>
      </c>
      <c r="F10700" s="15" t="str">
        <f aca="false">IF(B10700&lt;5,"Go","Standard")</f>
        <v>Standard</v>
      </c>
    </row>
    <row r="10701" customFormat="false" ht="15" hidden="false" customHeight="true" outlineLevel="0" collapsed="false">
      <c r="A10701" s="10" t="n">
        <f aca="false">Einstellungen!$B$5+INT((ROW()-9)/24)</f>
        <v>46411</v>
      </c>
      <c r="B10701" s="11" t="n">
        <f aca="false">MOD(ROW()-9,24)</f>
        <v>12</v>
      </c>
      <c r="C10701" s="12"/>
      <c r="D10701" s="13" t="n">
        <f aca="false">IF(B10701&lt;5,Einstellungen!$B$3,Einstellungen!$B$4)</f>
        <v>29.13</v>
      </c>
      <c r="E10701" s="14" t="str">
        <f aca="false">IF(C10701="","",C10701*D10701/100)</f>
        <v/>
      </c>
      <c r="F10701" s="15" t="str">
        <f aca="false">IF(B10701&lt;5,"Go","Standard")</f>
        <v>Standard</v>
      </c>
    </row>
    <row r="10702" customFormat="false" ht="15" hidden="false" customHeight="true" outlineLevel="0" collapsed="false">
      <c r="A10702" s="10" t="n">
        <f aca="false">Einstellungen!$B$5+INT((ROW()-9)/24)</f>
        <v>46411</v>
      </c>
      <c r="B10702" s="11" t="n">
        <f aca="false">MOD(ROW()-9,24)</f>
        <v>13</v>
      </c>
      <c r="C10702" s="12"/>
      <c r="D10702" s="13" t="n">
        <f aca="false">IF(B10702&lt;5,Einstellungen!$B$3,Einstellungen!$B$4)</f>
        <v>29.13</v>
      </c>
      <c r="E10702" s="14" t="str">
        <f aca="false">IF(C10702="","",C10702*D10702/100)</f>
        <v/>
      </c>
      <c r="F10702" s="15" t="str">
        <f aca="false">IF(B10702&lt;5,"Go","Standard")</f>
        <v>Standard</v>
      </c>
    </row>
    <row r="10703" customFormat="false" ht="15" hidden="false" customHeight="true" outlineLevel="0" collapsed="false">
      <c r="A10703" s="10" t="n">
        <f aca="false">Einstellungen!$B$5+INT((ROW()-9)/24)</f>
        <v>46411</v>
      </c>
      <c r="B10703" s="11" t="n">
        <f aca="false">MOD(ROW()-9,24)</f>
        <v>14</v>
      </c>
      <c r="C10703" s="12"/>
      <c r="D10703" s="13" t="n">
        <f aca="false">IF(B10703&lt;5,Einstellungen!$B$3,Einstellungen!$B$4)</f>
        <v>29.13</v>
      </c>
      <c r="E10703" s="14" t="str">
        <f aca="false">IF(C10703="","",C10703*D10703/100)</f>
        <v/>
      </c>
      <c r="F10703" s="15" t="str">
        <f aca="false">IF(B10703&lt;5,"Go","Standard")</f>
        <v>Standard</v>
      </c>
    </row>
    <row r="10704" customFormat="false" ht="15" hidden="false" customHeight="true" outlineLevel="0" collapsed="false">
      <c r="A10704" s="10" t="n">
        <f aca="false">Einstellungen!$B$5+INT((ROW()-9)/24)</f>
        <v>46411</v>
      </c>
      <c r="B10704" s="11" t="n">
        <f aca="false">MOD(ROW()-9,24)</f>
        <v>15</v>
      </c>
      <c r="C10704" s="12"/>
      <c r="D10704" s="13" t="n">
        <f aca="false">IF(B10704&lt;5,Einstellungen!$B$3,Einstellungen!$B$4)</f>
        <v>29.13</v>
      </c>
      <c r="E10704" s="14" t="str">
        <f aca="false">IF(C10704="","",C10704*D10704/100)</f>
        <v/>
      </c>
      <c r="F10704" s="15" t="str">
        <f aca="false">IF(B10704&lt;5,"Go","Standard")</f>
        <v>Standard</v>
      </c>
    </row>
    <row r="10705" customFormat="false" ht="15" hidden="false" customHeight="true" outlineLevel="0" collapsed="false">
      <c r="A10705" s="10" t="n">
        <f aca="false">Einstellungen!$B$5+INT((ROW()-9)/24)</f>
        <v>46411</v>
      </c>
      <c r="B10705" s="11" t="n">
        <f aca="false">MOD(ROW()-9,24)</f>
        <v>16</v>
      </c>
      <c r="C10705" s="12"/>
      <c r="D10705" s="13" t="n">
        <f aca="false">IF(B10705&lt;5,Einstellungen!$B$3,Einstellungen!$B$4)</f>
        <v>29.13</v>
      </c>
      <c r="E10705" s="14" t="str">
        <f aca="false">IF(C10705="","",C10705*D10705/100)</f>
        <v/>
      </c>
      <c r="F10705" s="15" t="str">
        <f aca="false">IF(B10705&lt;5,"Go","Standard")</f>
        <v>Standard</v>
      </c>
    </row>
    <row r="10706" customFormat="false" ht="15" hidden="false" customHeight="true" outlineLevel="0" collapsed="false">
      <c r="A10706" s="10" t="n">
        <f aca="false">Einstellungen!$B$5+INT((ROW()-9)/24)</f>
        <v>46411</v>
      </c>
      <c r="B10706" s="11" t="n">
        <f aca="false">MOD(ROW()-9,24)</f>
        <v>17</v>
      </c>
      <c r="C10706" s="12"/>
      <c r="D10706" s="13" t="n">
        <f aca="false">IF(B10706&lt;5,Einstellungen!$B$3,Einstellungen!$B$4)</f>
        <v>29.13</v>
      </c>
      <c r="E10706" s="14" t="str">
        <f aca="false">IF(C10706="","",C10706*D10706/100)</f>
        <v/>
      </c>
      <c r="F10706" s="15" t="str">
        <f aca="false">IF(B10706&lt;5,"Go","Standard")</f>
        <v>Standard</v>
      </c>
    </row>
    <row r="10707" customFormat="false" ht="15" hidden="false" customHeight="true" outlineLevel="0" collapsed="false">
      <c r="A10707" s="10" t="n">
        <f aca="false">Einstellungen!$B$5+INT((ROW()-9)/24)</f>
        <v>46411</v>
      </c>
      <c r="B10707" s="11" t="n">
        <f aca="false">MOD(ROW()-9,24)</f>
        <v>18</v>
      </c>
      <c r="C10707" s="12"/>
      <c r="D10707" s="13" t="n">
        <f aca="false">IF(B10707&lt;5,Einstellungen!$B$3,Einstellungen!$B$4)</f>
        <v>29.13</v>
      </c>
      <c r="E10707" s="14" t="str">
        <f aca="false">IF(C10707="","",C10707*D10707/100)</f>
        <v/>
      </c>
      <c r="F10707" s="15" t="str">
        <f aca="false">IF(B10707&lt;5,"Go","Standard")</f>
        <v>Standard</v>
      </c>
    </row>
    <row r="10708" customFormat="false" ht="15" hidden="false" customHeight="true" outlineLevel="0" collapsed="false">
      <c r="A10708" s="10" t="n">
        <f aca="false">Einstellungen!$B$5+INT((ROW()-9)/24)</f>
        <v>46411</v>
      </c>
      <c r="B10708" s="11" t="n">
        <f aca="false">MOD(ROW()-9,24)</f>
        <v>19</v>
      </c>
      <c r="C10708" s="12"/>
      <c r="D10708" s="13" t="n">
        <f aca="false">IF(B10708&lt;5,Einstellungen!$B$3,Einstellungen!$B$4)</f>
        <v>29.13</v>
      </c>
      <c r="E10708" s="14" t="str">
        <f aca="false">IF(C10708="","",C10708*D10708/100)</f>
        <v/>
      </c>
      <c r="F10708" s="15" t="str">
        <f aca="false">IF(B10708&lt;5,"Go","Standard")</f>
        <v>Standard</v>
      </c>
    </row>
    <row r="10709" customFormat="false" ht="15" hidden="false" customHeight="true" outlineLevel="0" collapsed="false">
      <c r="A10709" s="10" t="n">
        <f aca="false">Einstellungen!$B$5+INT((ROW()-9)/24)</f>
        <v>46411</v>
      </c>
      <c r="B10709" s="11" t="n">
        <f aca="false">MOD(ROW()-9,24)</f>
        <v>20</v>
      </c>
      <c r="C10709" s="12"/>
      <c r="D10709" s="13" t="n">
        <f aca="false">IF(B10709&lt;5,Einstellungen!$B$3,Einstellungen!$B$4)</f>
        <v>29.13</v>
      </c>
      <c r="E10709" s="14" t="str">
        <f aca="false">IF(C10709="","",C10709*D10709/100)</f>
        <v/>
      </c>
      <c r="F10709" s="15" t="str">
        <f aca="false">IF(B10709&lt;5,"Go","Standard")</f>
        <v>Standard</v>
      </c>
    </row>
    <row r="10710" customFormat="false" ht="15" hidden="false" customHeight="true" outlineLevel="0" collapsed="false">
      <c r="A10710" s="10" t="n">
        <f aca="false">Einstellungen!$B$5+INT((ROW()-9)/24)</f>
        <v>46411</v>
      </c>
      <c r="B10710" s="11" t="n">
        <f aca="false">MOD(ROW()-9,24)</f>
        <v>21</v>
      </c>
      <c r="C10710" s="12"/>
      <c r="D10710" s="13" t="n">
        <f aca="false">IF(B10710&lt;5,Einstellungen!$B$3,Einstellungen!$B$4)</f>
        <v>29.13</v>
      </c>
      <c r="E10710" s="14" t="str">
        <f aca="false">IF(C10710="","",C10710*D10710/100)</f>
        <v/>
      </c>
      <c r="F10710" s="15" t="str">
        <f aca="false">IF(B10710&lt;5,"Go","Standard")</f>
        <v>Standard</v>
      </c>
    </row>
    <row r="10711" customFormat="false" ht="15" hidden="false" customHeight="true" outlineLevel="0" collapsed="false">
      <c r="A10711" s="10" t="n">
        <f aca="false">Einstellungen!$B$5+INT((ROW()-9)/24)</f>
        <v>46411</v>
      </c>
      <c r="B10711" s="11" t="n">
        <f aca="false">MOD(ROW()-9,24)</f>
        <v>22</v>
      </c>
      <c r="C10711" s="12"/>
      <c r="D10711" s="13" t="n">
        <f aca="false">IF(B10711&lt;5,Einstellungen!$B$3,Einstellungen!$B$4)</f>
        <v>29.13</v>
      </c>
      <c r="E10711" s="14" t="str">
        <f aca="false">IF(C10711="","",C10711*D10711/100)</f>
        <v/>
      </c>
      <c r="F10711" s="15" t="str">
        <f aca="false">IF(B10711&lt;5,"Go","Standard")</f>
        <v>Standard</v>
      </c>
    </row>
    <row r="10712" customFormat="false" ht="15" hidden="false" customHeight="true" outlineLevel="0" collapsed="false">
      <c r="A10712" s="10" t="n">
        <f aca="false">Einstellungen!$B$5+INT((ROW()-9)/24)</f>
        <v>46411</v>
      </c>
      <c r="B10712" s="11" t="n">
        <f aca="false">MOD(ROW()-9,24)</f>
        <v>23</v>
      </c>
      <c r="C10712" s="12"/>
      <c r="D10712" s="13" t="n">
        <f aca="false">IF(B10712&lt;5,Einstellungen!$B$3,Einstellungen!$B$4)</f>
        <v>29.13</v>
      </c>
      <c r="E10712" s="14" t="str">
        <f aca="false">IF(C10712="","",C10712*D10712/100)</f>
        <v/>
      </c>
      <c r="F10712" s="15" t="str">
        <f aca="false">IF(B10712&lt;5,"Go","Standard")</f>
        <v>Standard</v>
      </c>
    </row>
    <row r="10713" customFormat="false" ht="15" hidden="false" customHeight="true" outlineLevel="0" collapsed="false">
      <c r="A10713" s="10" t="n">
        <f aca="false">Einstellungen!$B$5+INT((ROW()-9)/24)</f>
        <v>46412</v>
      </c>
      <c r="B10713" s="11" t="n">
        <f aca="false">MOD(ROW()-9,24)</f>
        <v>0</v>
      </c>
      <c r="C10713" s="12"/>
      <c r="D10713" s="13" t="n">
        <f aca="false">IF(B10713&lt;5,Einstellungen!$B$3,Einstellungen!$B$4)</f>
        <v>15.92</v>
      </c>
      <c r="E10713" s="14" t="str">
        <f aca="false">IF(C10713="","",C10713*D10713/100)</f>
        <v/>
      </c>
      <c r="F10713" s="15" t="str">
        <f aca="false">IF(B10713&lt;5,"Go","Standard")</f>
        <v>Go</v>
      </c>
    </row>
    <row r="10714" customFormat="false" ht="15" hidden="false" customHeight="true" outlineLevel="0" collapsed="false">
      <c r="A10714" s="10" t="n">
        <f aca="false">Einstellungen!$B$5+INT((ROW()-9)/24)</f>
        <v>46412</v>
      </c>
      <c r="B10714" s="11" t="n">
        <f aca="false">MOD(ROW()-9,24)</f>
        <v>1</v>
      </c>
      <c r="C10714" s="12"/>
      <c r="D10714" s="13" t="n">
        <f aca="false">IF(B10714&lt;5,Einstellungen!$B$3,Einstellungen!$B$4)</f>
        <v>15.92</v>
      </c>
      <c r="E10714" s="14" t="str">
        <f aca="false">IF(C10714="","",C10714*D10714/100)</f>
        <v/>
      </c>
      <c r="F10714" s="15" t="str">
        <f aca="false">IF(B10714&lt;5,"Go","Standard")</f>
        <v>Go</v>
      </c>
    </row>
    <row r="10715" customFormat="false" ht="15" hidden="false" customHeight="true" outlineLevel="0" collapsed="false">
      <c r="A10715" s="10" t="n">
        <f aca="false">Einstellungen!$B$5+INT((ROW()-9)/24)</f>
        <v>46412</v>
      </c>
      <c r="B10715" s="11" t="n">
        <f aca="false">MOD(ROW()-9,24)</f>
        <v>2</v>
      </c>
      <c r="C10715" s="12"/>
      <c r="D10715" s="13" t="n">
        <f aca="false">IF(B10715&lt;5,Einstellungen!$B$3,Einstellungen!$B$4)</f>
        <v>15.92</v>
      </c>
      <c r="E10715" s="14" t="str">
        <f aca="false">IF(C10715="","",C10715*D10715/100)</f>
        <v/>
      </c>
      <c r="F10715" s="15" t="str">
        <f aca="false">IF(B10715&lt;5,"Go","Standard")</f>
        <v>Go</v>
      </c>
    </row>
    <row r="10716" customFormat="false" ht="15" hidden="false" customHeight="true" outlineLevel="0" collapsed="false">
      <c r="A10716" s="10" t="n">
        <f aca="false">Einstellungen!$B$5+INT((ROW()-9)/24)</f>
        <v>46412</v>
      </c>
      <c r="B10716" s="11" t="n">
        <f aca="false">MOD(ROW()-9,24)</f>
        <v>3</v>
      </c>
      <c r="C10716" s="12"/>
      <c r="D10716" s="13" t="n">
        <f aca="false">IF(B10716&lt;5,Einstellungen!$B$3,Einstellungen!$B$4)</f>
        <v>15.92</v>
      </c>
      <c r="E10716" s="14" t="str">
        <f aca="false">IF(C10716="","",C10716*D10716/100)</f>
        <v/>
      </c>
      <c r="F10716" s="15" t="str">
        <f aca="false">IF(B10716&lt;5,"Go","Standard")</f>
        <v>Go</v>
      </c>
    </row>
    <row r="10717" customFormat="false" ht="15" hidden="false" customHeight="true" outlineLevel="0" collapsed="false">
      <c r="A10717" s="10" t="n">
        <f aca="false">Einstellungen!$B$5+INT((ROW()-9)/24)</f>
        <v>46412</v>
      </c>
      <c r="B10717" s="11" t="n">
        <f aca="false">MOD(ROW()-9,24)</f>
        <v>4</v>
      </c>
      <c r="C10717" s="12"/>
      <c r="D10717" s="13" t="n">
        <f aca="false">IF(B10717&lt;5,Einstellungen!$B$3,Einstellungen!$B$4)</f>
        <v>15.92</v>
      </c>
      <c r="E10717" s="14" t="str">
        <f aca="false">IF(C10717="","",C10717*D10717/100)</f>
        <v/>
      </c>
      <c r="F10717" s="15" t="str">
        <f aca="false">IF(B10717&lt;5,"Go","Standard")</f>
        <v>Go</v>
      </c>
    </row>
    <row r="10718" customFormat="false" ht="15" hidden="false" customHeight="true" outlineLevel="0" collapsed="false">
      <c r="A10718" s="10" t="n">
        <f aca="false">Einstellungen!$B$5+INT((ROW()-9)/24)</f>
        <v>46412</v>
      </c>
      <c r="B10718" s="11" t="n">
        <f aca="false">MOD(ROW()-9,24)</f>
        <v>5</v>
      </c>
      <c r="C10718" s="12"/>
      <c r="D10718" s="13" t="n">
        <f aca="false">IF(B10718&lt;5,Einstellungen!$B$3,Einstellungen!$B$4)</f>
        <v>29.13</v>
      </c>
      <c r="E10718" s="14" t="str">
        <f aca="false">IF(C10718="","",C10718*D10718/100)</f>
        <v/>
      </c>
      <c r="F10718" s="15" t="str">
        <f aca="false">IF(B10718&lt;5,"Go","Standard")</f>
        <v>Standard</v>
      </c>
    </row>
    <row r="10719" customFormat="false" ht="15" hidden="false" customHeight="true" outlineLevel="0" collapsed="false">
      <c r="A10719" s="10" t="n">
        <f aca="false">Einstellungen!$B$5+INT((ROW()-9)/24)</f>
        <v>46412</v>
      </c>
      <c r="B10719" s="11" t="n">
        <f aca="false">MOD(ROW()-9,24)</f>
        <v>6</v>
      </c>
      <c r="C10719" s="12"/>
      <c r="D10719" s="13" t="n">
        <f aca="false">IF(B10719&lt;5,Einstellungen!$B$3,Einstellungen!$B$4)</f>
        <v>29.13</v>
      </c>
      <c r="E10719" s="14" t="str">
        <f aca="false">IF(C10719="","",C10719*D10719/100)</f>
        <v/>
      </c>
      <c r="F10719" s="15" t="str">
        <f aca="false">IF(B10719&lt;5,"Go","Standard")</f>
        <v>Standard</v>
      </c>
    </row>
    <row r="10720" customFormat="false" ht="15" hidden="false" customHeight="true" outlineLevel="0" collapsed="false">
      <c r="A10720" s="10" t="n">
        <f aca="false">Einstellungen!$B$5+INT((ROW()-9)/24)</f>
        <v>46412</v>
      </c>
      <c r="B10720" s="11" t="n">
        <f aca="false">MOD(ROW()-9,24)</f>
        <v>7</v>
      </c>
      <c r="C10720" s="12"/>
      <c r="D10720" s="13" t="n">
        <f aca="false">IF(B10720&lt;5,Einstellungen!$B$3,Einstellungen!$B$4)</f>
        <v>29.13</v>
      </c>
      <c r="E10720" s="14" t="str">
        <f aca="false">IF(C10720="","",C10720*D10720/100)</f>
        <v/>
      </c>
      <c r="F10720" s="15" t="str">
        <f aca="false">IF(B10720&lt;5,"Go","Standard")</f>
        <v>Standard</v>
      </c>
    </row>
    <row r="10721" customFormat="false" ht="15" hidden="false" customHeight="true" outlineLevel="0" collapsed="false">
      <c r="A10721" s="10" t="n">
        <f aca="false">Einstellungen!$B$5+INT((ROW()-9)/24)</f>
        <v>46412</v>
      </c>
      <c r="B10721" s="11" t="n">
        <f aca="false">MOD(ROW()-9,24)</f>
        <v>8</v>
      </c>
      <c r="C10721" s="12"/>
      <c r="D10721" s="13" t="n">
        <f aca="false">IF(B10721&lt;5,Einstellungen!$B$3,Einstellungen!$B$4)</f>
        <v>29.13</v>
      </c>
      <c r="E10721" s="14" t="str">
        <f aca="false">IF(C10721="","",C10721*D10721/100)</f>
        <v/>
      </c>
      <c r="F10721" s="15" t="str">
        <f aca="false">IF(B10721&lt;5,"Go","Standard")</f>
        <v>Standard</v>
      </c>
    </row>
    <row r="10722" customFormat="false" ht="15" hidden="false" customHeight="true" outlineLevel="0" collapsed="false">
      <c r="A10722" s="10" t="n">
        <f aca="false">Einstellungen!$B$5+INT((ROW()-9)/24)</f>
        <v>46412</v>
      </c>
      <c r="B10722" s="11" t="n">
        <f aca="false">MOD(ROW()-9,24)</f>
        <v>9</v>
      </c>
      <c r="C10722" s="12"/>
      <c r="D10722" s="13" t="n">
        <f aca="false">IF(B10722&lt;5,Einstellungen!$B$3,Einstellungen!$B$4)</f>
        <v>29.13</v>
      </c>
      <c r="E10722" s="14" t="str">
        <f aca="false">IF(C10722="","",C10722*D10722/100)</f>
        <v/>
      </c>
      <c r="F10722" s="15" t="str">
        <f aca="false">IF(B10722&lt;5,"Go","Standard")</f>
        <v>Standard</v>
      </c>
    </row>
    <row r="10723" customFormat="false" ht="15" hidden="false" customHeight="true" outlineLevel="0" collapsed="false">
      <c r="A10723" s="10" t="n">
        <f aca="false">Einstellungen!$B$5+INT((ROW()-9)/24)</f>
        <v>46412</v>
      </c>
      <c r="B10723" s="11" t="n">
        <f aca="false">MOD(ROW()-9,24)</f>
        <v>10</v>
      </c>
      <c r="C10723" s="12"/>
      <c r="D10723" s="13" t="n">
        <f aca="false">IF(B10723&lt;5,Einstellungen!$B$3,Einstellungen!$B$4)</f>
        <v>29.13</v>
      </c>
      <c r="E10723" s="14" t="str">
        <f aca="false">IF(C10723="","",C10723*D10723/100)</f>
        <v/>
      </c>
      <c r="F10723" s="15" t="str">
        <f aca="false">IF(B10723&lt;5,"Go","Standard")</f>
        <v>Standard</v>
      </c>
    </row>
    <row r="10724" customFormat="false" ht="15" hidden="false" customHeight="true" outlineLevel="0" collapsed="false">
      <c r="A10724" s="10" t="n">
        <f aca="false">Einstellungen!$B$5+INT((ROW()-9)/24)</f>
        <v>46412</v>
      </c>
      <c r="B10724" s="11" t="n">
        <f aca="false">MOD(ROW()-9,24)</f>
        <v>11</v>
      </c>
      <c r="C10724" s="12"/>
      <c r="D10724" s="13" t="n">
        <f aca="false">IF(B10724&lt;5,Einstellungen!$B$3,Einstellungen!$B$4)</f>
        <v>29.13</v>
      </c>
      <c r="E10724" s="14" t="str">
        <f aca="false">IF(C10724="","",C10724*D10724/100)</f>
        <v/>
      </c>
      <c r="F10724" s="15" t="str">
        <f aca="false">IF(B10724&lt;5,"Go","Standard")</f>
        <v>Standard</v>
      </c>
    </row>
    <row r="10725" customFormat="false" ht="15" hidden="false" customHeight="true" outlineLevel="0" collapsed="false">
      <c r="A10725" s="10" t="n">
        <f aca="false">Einstellungen!$B$5+INT((ROW()-9)/24)</f>
        <v>46412</v>
      </c>
      <c r="B10725" s="11" t="n">
        <f aca="false">MOD(ROW()-9,24)</f>
        <v>12</v>
      </c>
      <c r="C10725" s="12"/>
      <c r="D10725" s="13" t="n">
        <f aca="false">IF(B10725&lt;5,Einstellungen!$B$3,Einstellungen!$B$4)</f>
        <v>29.13</v>
      </c>
      <c r="E10725" s="14" t="str">
        <f aca="false">IF(C10725="","",C10725*D10725/100)</f>
        <v/>
      </c>
      <c r="F10725" s="15" t="str">
        <f aca="false">IF(B10725&lt;5,"Go","Standard")</f>
        <v>Standard</v>
      </c>
    </row>
    <row r="10726" customFormat="false" ht="15" hidden="false" customHeight="true" outlineLevel="0" collapsed="false">
      <c r="A10726" s="10" t="n">
        <f aca="false">Einstellungen!$B$5+INT((ROW()-9)/24)</f>
        <v>46412</v>
      </c>
      <c r="B10726" s="11" t="n">
        <f aca="false">MOD(ROW()-9,24)</f>
        <v>13</v>
      </c>
      <c r="C10726" s="12"/>
      <c r="D10726" s="13" t="n">
        <f aca="false">IF(B10726&lt;5,Einstellungen!$B$3,Einstellungen!$B$4)</f>
        <v>29.13</v>
      </c>
      <c r="E10726" s="14" t="str">
        <f aca="false">IF(C10726="","",C10726*D10726/100)</f>
        <v/>
      </c>
      <c r="F10726" s="15" t="str">
        <f aca="false">IF(B10726&lt;5,"Go","Standard")</f>
        <v>Standard</v>
      </c>
    </row>
    <row r="10727" customFormat="false" ht="15" hidden="false" customHeight="true" outlineLevel="0" collapsed="false">
      <c r="A10727" s="10" t="n">
        <f aca="false">Einstellungen!$B$5+INT((ROW()-9)/24)</f>
        <v>46412</v>
      </c>
      <c r="B10727" s="11" t="n">
        <f aca="false">MOD(ROW()-9,24)</f>
        <v>14</v>
      </c>
      <c r="C10727" s="12"/>
      <c r="D10727" s="13" t="n">
        <f aca="false">IF(B10727&lt;5,Einstellungen!$B$3,Einstellungen!$B$4)</f>
        <v>29.13</v>
      </c>
      <c r="E10727" s="14" t="str">
        <f aca="false">IF(C10727="","",C10727*D10727/100)</f>
        <v/>
      </c>
      <c r="F10727" s="15" t="str">
        <f aca="false">IF(B10727&lt;5,"Go","Standard")</f>
        <v>Standard</v>
      </c>
    </row>
    <row r="10728" customFormat="false" ht="15" hidden="false" customHeight="true" outlineLevel="0" collapsed="false">
      <c r="A10728" s="10" t="n">
        <f aca="false">Einstellungen!$B$5+INT((ROW()-9)/24)</f>
        <v>46412</v>
      </c>
      <c r="B10728" s="11" t="n">
        <f aca="false">MOD(ROW()-9,24)</f>
        <v>15</v>
      </c>
      <c r="C10728" s="12"/>
      <c r="D10728" s="13" t="n">
        <f aca="false">IF(B10728&lt;5,Einstellungen!$B$3,Einstellungen!$B$4)</f>
        <v>29.13</v>
      </c>
      <c r="E10728" s="14" t="str">
        <f aca="false">IF(C10728="","",C10728*D10728/100)</f>
        <v/>
      </c>
      <c r="F10728" s="15" t="str">
        <f aca="false">IF(B10728&lt;5,"Go","Standard")</f>
        <v>Standard</v>
      </c>
    </row>
    <row r="10729" customFormat="false" ht="15" hidden="false" customHeight="true" outlineLevel="0" collapsed="false">
      <c r="A10729" s="10" t="n">
        <f aca="false">Einstellungen!$B$5+INT((ROW()-9)/24)</f>
        <v>46412</v>
      </c>
      <c r="B10729" s="11" t="n">
        <f aca="false">MOD(ROW()-9,24)</f>
        <v>16</v>
      </c>
      <c r="C10729" s="12"/>
      <c r="D10729" s="13" t="n">
        <f aca="false">IF(B10729&lt;5,Einstellungen!$B$3,Einstellungen!$B$4)</f>
        <v>29.13</v>
      </c>
      <c r="E10729" s="14" t="str">
        <f aca="false">IF(C10729="","",C10729*D10729/100)</f>
        <v/>
      </c>
      <c r="F10729" s="15" t="str">
        <f aca="false">IF(B10729&lt;5,"Go","Standard")</f>
        <v>Standard</v>
      </c>
    </row>
    <row r="10730" customFormat="false" ht="15" hidden="false" customHeight="true" outlineLevel="0" collapsed="false">
      <c r="A10730" s="10" t="n">
        <f aca="false">Einstellungen!$B$5+INT((ROW()-9)/24)</f>
        <v>46412</v>
      </c>
      <c r="B10730" s="11" t="n">
        <f aca="false">MOD(ROW()-9,24)</f>
        <v>17</v>
      </c>
      <c r="C10730" s="12"/>
      <c r="D10730" s="13" t="n">
        <f aca="false">IF(B10730&lt;5,Einstellungen!$B$3,Einstellungen!$B$4)</f>
        <v>29.13</v>
      </c>
      <c r="E10730" s="14" t="str">
        <f aca="false">IF(C10730="","",C10730*D10730/100)</f>
        <v/>
      </c>
      <c r="F10730" s="15" t="str">
        <f aca="false">IF(B10730&lt;5,"Go","Standard")</f>
        <v>Standard</v>
      </c>
    </row>
    <row r="10731" customFormat="false" ht="15" hidden="false" customHeight="true" outlineLevel="0" collapsed="false">
      <c r="A10731" s="10" t="n">
        <f aca="false">Einstellungen!$B$5+INT((ROW()-9)/24)</f>
        <v>46412</v>
      </c>
      <c r="B10731" s="11" t="n">
        <f aca="false">MOD(ROW()-9,24)</f>
        <v>18</v>
      </c>
      <c r="C10731" s="12"/>
      <c r="D10731" s="13" t="n">
        <f aca="false">IF(B10731&lt;5,Einstellungen!$B$3,Einstellungen!$B$4)</f>
        <v>29.13</v>
      </c>
      <c r="E10731" s="14" t="str">
        <f aca="false">IF(C10731="","",C10731*D10731/100)</f>
        <v/>
      </c>
      <c r="F10731" s="15" t="str">
        <f aca="false">IF(B10731&lt;5,"Go","Standard")</f>
        <v>Standard</v>
      </c>
    </row>
    <row r="10732" customFormat="false" ht="15" hidden="false" customHeight="true" outlineLevel="0" collapsed="false">
      <c r="A10732" s="10" t="n">
        <f aca="false">Einstellungen!$B$5+INT((ROW()-9)/24)</f>
        <v>46412</v>
      </c>
      <c r="B10732" s="11" t="n">
        <f aca="false">MOD(ROW()-9,24)</f>
        <v>19</v>
      </c>
      <c r="C10732" s="12"/>
      <c r="D10732" s="13" t="n">
        <f aca="false">IF(B10732&lt;5,Einstellungen!$B$3,Einstellungen!$B$4)</f>
        <v>29.13</v>
      </c>
      <c r="E10732" s="14" t="str">
        <f aca="false">IF(C10732="","",C10732*D10732/100)</f>
        <v/>
      </c>
      <c r="F10732" s="15" t="str">
        <f aca="false">IF(B10732&lt;5,"Go","Standard")</f>
        <v>Standard</v>
      </c>
    </row>
    <row r="10733" customFormat="false" ht="15" hidden="false" customHeight="true" outlineLevel="0" collapsed="false">
      <c r="A10733" s="10" t="n">
        <f aca="false">Einstellungen!$B$5+INT((ROW()-9)/24)</f>
        <v>46412</v>
      </c>
      <c r="B10733" s="11" t="n">
        <f aca="false">MOD(ROW()-9,24)</f>
        <v>20</v>
      </c>
      <c r="C10733" s="12"/>
      <c r="D10733" s="13" t="n">
        <f aca="false">IF(B10733&lt;5,Einstellungen!$B$3,Einstellungen!$B$4)</f>
        <v>29.13</v>
      </c>
      <c r="E10733" s="14" t="str">
        <f aca="false">IF(C10733="","",C10733*D10733/100)</f>
        <v/>
      </c>
      <c r="F10733" s="15" t="str">
        <f aca="false">IF(B10733&lt;5,"Go","Standard")</f>
        <v>Standard</v>
      </c>
    </row>
    <row r="10734" customFormat="false" ht="15" hidden="false" customHeight="true" outlineLevel="0" collapsed="false">
      <c r="A10734" s="10" t="n">
        <f aca="false">Einstellungen!$B$5+INT((ROW()-9)/24)</f>
        <v>46412</v>
      </c>
      <c r="B10734" s="11" t="n">
        <f aca="false">MOD(ROW()-9,24)</f>
        <v>21</v>
      </c>
      <c r="C10734" s="12"/>
      <c r="D10734" s="13" t="n">
        <f aca="false">IF(B10734&lt;5,Einstellungen!$B$3,Einstellungen!$B$4)</f>
        <v>29.13</v>
      </c>
      <c r="E10734" s="14" t="str">
        <f aca="false">IF(C10734="","",C10734*D10734/100)</f>
        <v/>
      </c>
      <c r="F10734" s="15" t="str">
        <f aca="false">IF(B10734&lt;5,"Go","Standard")</f>
        <v>Standard</v>
      </c>
    </row>
    <row r="10735" customFormat="false" ht="15" hidden="false" customHeight="true" outlineLevel="0" collapsed="false">
      <c r="A10735" s="10" t="n">
        <f aca="false">Einstellungen!$B$5+INT((ROW()-9)/24)</f>
        <v>46412</v>
      </c>
      <c r="B10735" s="11" t="n">
        <f aca="false">MOD(ROW()-9,24)</f>
        <v>22</v>
      </c>
      <c r="C10735" s="12"/>
      <c r="D10735" s="13" t="n">
        <f aca="false">IF(B10735&lt;5,Einstellungen!$B$3,Einstellungen!$B$4)</f>
        <v>29.13</v>
      </c>
      <c r="E10735" s="14" t="str">
        <f aca="false">IF(C10735="","",C10735*D10735/100)</f>
        <v/>
      </c>
      <c r="F10735" s="15" t="str">
        <f aca="false">IF(B10735&lt;5,"Go","Standard")</f>
        <v>Standard</v>
      </c>
    </row>
    <row r="10736" customFormat="false" ht="15" hidden="false" customHeight="true" outlineLevel="0" collapsed="false">
      <c r="A10736" s="10" t="n">
        <f aca="false">Einstellungen!$B$5+INT((ROW()-9)/24)</f>
        <v>46412</v>
      </c>
      <c r="B10736" s="11" t="n">
        <f aca="false">MOD(ROW()-9,24)</f>
        <v>23</v>
      </c>
      <c r="C10736" s="12"/>
      <c r="D10736" s="13" t="n">
        <f aca="false">IF(B10736&lt;5,Einstellungen!$B$3,Einstellungen!$B$4)</f>
        <v>29.13</v>
      </c>
      <c r="E10736" s="14" t="str">
        <f aca="false">IF(C10736="","",C10736*D10736/100)</f>
        <v/>
      </c>
      <c r="F10736" s="15" t="str">
        <f aca="false">IF(B10736&lt;5,"Go","Standard")</f>
        <v>Standard</v>
      </c>
    </row>
    <row r="10737" customFormat="false" ht="15" hidden="false" customHeight="true" outlineLevel="0" collapsed="false">
      <c r="A10737" s="10" t="n">
        <f aca="false">Einstellungen!$B$5+INT((ROW()-9)/24)</f>
        <v>46413</v>
      </c>
      <c r="B10737" s="11" t="n">
        <f aca="false">MOD(ROW()-9,24)</f>
        <v>0</v>
      </c>
      <c r="C10737" s="12"/>
      <c r="D10737" s="13" t="n">
        <f aca="false">IF(B10737&lt;5,Einstellungen!$B$3,Einstellungen!$B$4)</f>
        <v>15.92</v>
      </c>
      <c r="E10737" s="14" t="str">
        <f aca="false">IF(C10737="","",C10737*D10737/100)</f>
        <v/>
      </c>
      <c r="F10737" s="15" t="str">
        <f aca="false">IF(B10737&lt;5,"Go","Standard")</f>
        <v>Go</v>
      </c>
    </row>
    <row r="10738" customFormat="false" ht="15" hidden="false" customHeight="true" outlineLevel="0" collapsed="false">
      <c r="A10738" s="10" t="n">
        <f aca="false">Einstellungen!$B$5+INT((ROW()-9)/24)</f>
        <v>46413</v>
      </c>
      <c r="B10738" s="11" t="n">
        <f aca="false">MOD(ROW()-9,24)</f>
        <v>1</v>
      </c>
      <c r="C10738" s="12"/>
      <c r="D10738" s="13" t="n">
        <f aca="false">IF(B10738&lt;5,Einstellungen!$B$3,Einstellungen!$B$4)</f>
        <v>15.92</v>
      </c>
      <c r="E10738" s="14" t="str">
        <f aca="false">IF(C10738="","",C10738*D10738/100)</f>
        <v/>
      </c>
      <c r="F10738" s="15" t="str">
        <f aca="false">IF(B10738&lt;5,"Go","Standard")</f>
        <v>Go</v>
      </c>
    </row>
    <row r="10739" customFormat="false" ht="15" hidden="false" customHeight="true" outlineLevel="0" collapsed="false">
      <c r="A10739" s="10" t="n">
        <f aca="false">Einstellungen!$B$5+INT((ROW()-9)/24)</f>
        <v>46413</v>
      </c>
      <c r="B10739" s="11" t="n">
        <f aca="false">MOD(ROW()-9,24)</f>
        <v>2</v>
      </c>
      <c r="C10739" s="12"/>
      <c r="D10739" s="13" t="n">
        <f aca="false">IF(B10739&lt;5,Einstellungen!$B$3,Einstellungen!$B$4)</f>
        <v>15.92</v>
      </c>
      <c r="E10739" s="14" t="str">
        <f aca="false">IF(C10739="","",C10739*D10739/100)</f>
        <v/>
      </c>
      <c r="F10739" s="15" t="str">
        <f aca="false">IF(B10739&lt;5,"Go","Standard")</f>
        <v>Go</v>
      </c>
    </row>
    <row r="10740" customFormat="false" ht="15" hidden="false" customHeight="true" outlineLevel="0" collapsed="false">
      <c r="A10740" s="10" t="n">
        <f aca="false">Einstellungen!$B$5+INT((ROW()-9)/24)</f>
        <v>46413</v>
      </c>
      <c r="B10740" s="11" t="n">
        <f aca="false">MOD(ROW()-9,24)</f>
        <v>3</v>
      </c>
      <c r="C10740" s="12"/>
      <c r="D10740" s="13" t="n">
        <f aca="false">IF(B10740&lt;5,Einstellungen!$B$3,Einstellungen!$B$4)</f>
        <v>15.92</v>
      </c>
      <c r="E10740" s="14" t="str">
        <f aca="false">IF(C10740="","",C10740*D10740/100)</f>
        <v/>
      </c>
      <c r="F10740" s="15" t="str">
        <f aca="false">IF(B10740&lt;5,"Go","Standard")</f>
        <v>Go</v>
      </c>
    </row>
    <row r="10741" customFormat="false" ht="15" hidden="false" customHeight="true" outlineLevel="0" collapsed="false">
      <c r="A10741" s="10" t="n">
        <f aca="false">Einstellungen!$B$5+INT((ROW()-9)/24)</f>
        <v>46413</v>
      </c>
      <c r="B10741" s="11" t="n">
        <f aca="false">MOD(ROW()-9,24)</f>
        <v>4</v>
      </c>
      <c r="C10741" s="12"/>
      <c r="D10741" s="13" t="n">
        <f aca="false">IF(B10741&lt;5,Einstellungen!$B$3,Einstellungen!$B$4)</f>
        <v>15.92</v>
      </c>
      <c r="E10741" s="14" t="str">
        <f aca="false">IF(C10741="","",C10741*D10741/100)</f>
        <v/>
      </c>
      <c r="F10741" s="15" t="str">
        <f aca="false">IF(B10741&lt;5,"Go","Standard")</f>
        <v>Go</v>
      </c>
    </row>
    <row r="10742" customFormat="false" ht="15" hidden="false" customHeight="true" outlineLevel="0" collapsed="false">
      <c r="A10742" s="10" t="n">
        <f aca="false">Einstellungen!$B$5+INT((ROW()-9)/24)</f>
        <v>46413</v>
      </c>
      <c r="B10742" s="11" t="n">
        <f aca="false">MOD(ROW()-9,24)</f>
        <v>5</v>
      </c>
      <c r="C10742" s="12"/>
      <c r="D10742" s="13" t="n">
        <f aca="false">IF(B10742&lt;5,Einstellungen!$B$3,Einstellungen!$B$4)</f>
        <v>29.13</v>
      </c>
      <c r="E10742" s="14" t="str">
        <f aca="false">IF(C10742="","",C10742*D10742/100)</f>
        <v/>
      </c>
      <c r="F10742" s="15" t="str">
        <f aca="false">IF(B10742&lt;5,"Go","Standard")</f>
        <v>Standard</v>
      </c>
    </row>
    <row r="10743" customFormat="false" ht="15" hidden="false" customHeight="true" outlineLevel="0" collapsed="false">
      <c r="A10743" s="10" t="n">
        <f aca="false">Einstellungen!$B$5+INT((ROW()-9)/24)</f>
        <v>46413</v>
      </c>
      <c r="B10743" s="11" t="n">
        <f aca="false">MOD(ROW()-9,24)</f>
        <v>6</v>
      </c>
      <c r="C10743" s="12"/>
      <c r="D10743" s="13" t="n">
        <f aca="false">IF(B10743&lt;5,Einstellungen!$B$3,Einstellungen!$B$4)</f>
        <v>29.13</v>
      </c>
      <c r="E10743" s="14" t="str">
        <f aca="false">IF(C10743="","",C10743*D10743/100)</f>
        <v/>
      </c>
      <c r="F10743" s="15" t="str">
        <f aca="false">IF(B10743&lt;5,"Go","Standard")</f>
        <v>Standard</v>
      </c>
    </row>
    <row r="10744" customFormat="false" ht="15" hidden="false" customHeight="true" outlineLevel="0" collapsed="false">
      <c r="A10744" s="10" t="n">
        <f aca="false">Einstellungen!$B$5+INT((ROW()-9)/24)</f>
        <v>46413</v>
      </c>
      <c r="B10744" s="11" t="n">
        <f aca="false">MOD(ROW()-9,24)</f>
        <v>7</v>
      </c>
      <c r="C10744" s="12"/>
      <c r="D10744" s="13" t="n">
        <f aca="false">IF(B10744&lt;5,Einstellungen!$B$3,Einstellungen!$B$4)</f>
        <v>29.13</v>
      </c>
      <c r="E10744" s="14" t="str">
        <f aca="false">IF(C10744="","",C10744*D10744/100)</f>
        <v/>
      </c>
      <c r="F10744" s="15" t="str">
        <f aca="false">IF(B10744&lt;5,"Go","Standard")</f>
        <v>Standard</v>
      </c>
    </row>
    <row r="10745" customFormat="false" ht="15" hidden="false" customHeight="true" outlineLevel="0" collapsed="false">
      <c r="A10745" s="10" t="n">
        <f aca="false">Einstellungen!$B$5+INT((ROW()-9)/24)</f>
        <v>46413</v>
      </c>
      <c r="B10745" s="11" t="n">
        <f aca="false">MOD(ROW()-9,24)</f>
        <v>8</v>
      </c>
      <c r="C10745" s="12"/>
      <c r="D10745" s="13" t="n">
        <f aca="false">IF(B10745&lt;5,Einstellungen!$B$3,Einstellungen!$B$4)</f>
        <v>29.13</v>
      </c>
      <c r="E10745" s="14" t="str">
        <f aca="false">IF(C10745="","",C10745*D10745/100)</f>
        <v/>
      </c>
      <c r="F10745" s="15" t="str">
        <f aca="false">IF(B10745&lt;5,"Go","Standard")</f>
        <v>Standard</v>
      </c>
    </row>
    <row r="10746" customFormat="false" ht="15" hidden="false" customHeight="true" outlineLevel="0" collapsed="false">
      <c r="A10746" s="10" t="n">
        <f aca="false">Einstellungen!$B$5+INT((ROW()-9)/24)</f>
        <v>46413</v>
      </c>
      <c r="B10746" s="11" t="n">
        <f aca="false">MOD(ROW()-9,24)</f>
        <v>9</v>
      </c>
      <c r="C10746" s="12"/>
      <c r="D10746" s="13" t="n">
        <f aca="false">IF(B10746&lt;5,Einstellungen!$B$3,Einstellungen!$B$4)</f>
        <v>29.13</v>
      </c>
      <c r="E10746" s="14" t="str">
        <f aca="false">IF(C10746="","",C10746*D10746/100)</f>
        <v/>
      </c>
      <c r="F10746" s="15" t="str">
        <f aca="false">IF(B10746&lt;5,"Go","Standard")</f>
        <v>Standard</v>
      </c>
    </row>
    <row r="10747" customFormat="false" ht="15" hidden="false" customHeight="true" outlineLevel="0" collapsed="false">
      <c r="A10747" s="10" t="n">
        <f aca="false">Einstellungen!$B$5+INT((ROW()-9)/24)</f>
        <v>46413</v>
      </c>
      <c r="B10747" s="11" t="n">
        <f aca="false">MOD(ROW()-9,24)</f>
        <v>10</v>
      </c>
      <c r="C10747" s="12"/>
      <c r="D10747" s="13" t="n">
        <f aca="false">IF(B10747&lt;5,Einstellungen!$B$3,Einstellungen!$B$4)</f>
        <v>29.13</v>
      </c>
      <c r="E10747" s="14" t="str">
        <f aca="false">IF(C10747="","",C10747*D10747/100)</f>
        <v/>
      </c>
      <c r="F10747" s="15" t="str">
        <f aca="false">IF(B10747&lt;5,"Go","Standard")</f>
        <v>Standard</v>
      </c>
    </row>
    <row r="10748" customFormat="false" ht="15" hidden="false" customHeight="true" outlineLevel="0" collapsed="false">
      <c r="A10748" s="10" t="n">
        <f aca="false">Einstellungen!$B$5+INT((ROW()-9)/24)</f>
        <v>46413</v>
      </c>
      <c r="B10748" s="11" t="n">
        <f aca="false">MOD(ROW()-9,24)</f>
        <v>11</v>
      </c>
      <c r="C10748" s="12"/>
      <c r="D10748" s="13" t="n">
        <f aca="false">IF(B10748&lt;5,Einstellungen!$B$3,Einstellungen!$B$4)</f>
        <v>29.13</v>
      </c>
      <c r="E10748" s="14" t="str">
        <f aca="false">IF(C10748="","",C10748*D10748/100)</f>
        <v/>
      </c>
      <c r="F10748" s="15" t="str">
        <f aca="false">IF(B10748&lt;5,"Go","Standard")</f>
        <v>Standard</v>
      </c>
    </row>
    <row r="10749" customFormat="false" ht="15" hidden="false" customHeight="true" outlineLevel="0" collapsed="false">
      <c r="A10749" s="10" t="n">
        <f aca="false">Einstellungen!$B$5+INT((ROW()-9)/24)</f>
        <v>46413</v>
      </c>
      <c r="B10749" s="11" t="n">
        <f aca="false">MOD(ROW()-9,24)</f>
        <v>12</v>
      </c>
      <c r="C10749" s="12"/>
      <c r="D10749" s="13" t="n">
        <f aca="false">IF(B10749&lt;5,Einstellungen!$B$3,Einstellungen!$B$4)</f>
        <v>29.13</v>
      </c>
      <c r="E10749" s="14" t="str">
        <f aca="false">IF(C10749="","",C10749*D10749/100)</f>
        <v/>
      </c>
      <c r="F10749" s="15" t="str">
        <f aca="false">IF(B10749&lt;5,"Go","Standard")</f>
        <v>Standard</v>
      </c>
    </row>
    <row r="10750" customFormat="false" ht="15" hidden="false" customHeight="true" outlineLevel="0" collapsed="false">
      <c r="A10750" s="10" t="n">
        <f aca="false">Einstellungen!$B$5+INT((ROW()-9)/24)</f>
        <v>46413</v>
      </c>
      <c r="B10750" s="11" t="n">
        <f aca="false">MOD(ROW()-9,24)</f>
        <v>13</v>
      </c>
      <c r="C10750" s="12"/>
      <c r="D10750" s="13" t="n">
        <f aca="false">IF(B10750&lt;5,Einstellungen!$B$3,Einstellungen!$B$4)</f>
        <v>29.13</v>
      </c>
      <c r="E10750" s="14" t="str">
        <f aca="false">IF(C10750="","",C10750*D10750/100)</f>
        <v/>
      </c>
      <c r="F10750" s="15" t="str">
        <f aca="false">IF(B10750&lt;5,"Go","Standard")</f>
        <v>Standard</v>
      </c>
    </row>
    <row r="10751" customFormat="false" ht="15" hidden="false" customHeight="true" outlineLevel="0" collapsed="false">
      <c r="A10751" s="10" t="n">
        <f aca="false">Einstellungen!$B$5+INT((ROW()-9)/24)</f>
        <v>46413</v>
      </c>
      <c r="B10751" s="11" t="n">
        <f aca="false">MOD(ROW()-9,24)</f>
        <v>14</v>
      </c>
      <c r="C10751" s="12"/>
      <c r="D10751" s="13" t="n">
        <f aca="false">IF(B10751&lt;5,Einstellungen!$B$3,Einstellungen!$B$4)</f>
        <v>29.13</v>
      </c>
      <c r="E10751" s="14" t="str">
        <f aca="false">IF(C10751="","",C10751*D10751/100)</f>
        <v/>
      </c>
      <c r="F10751" s="15" t="str">
        <f aca="false">IF(B10751&lt;5,"Go","Standard")</f>
        <v>Standard</v>
      </c>
    </row>
    <row r="10752" customFormat="false" ht="15" hidden="false" customHeight="true" outlineLevel="0" collapsed="false">
      <c r="A10752" s="10" t="n">
        <f aca="false">Einstellungen!$B$5+INT((ROW()-9)/24)</f>
        <v>46413</v>
      </c>
      <c r="B10752" s="11" t="n">
        <f aca="false">MOD(ROW()-9,24)</f>
        <v>15</v>
      </c>
      <c r="C10752" s="12"/>
      <c r="D10752" s="13" t="n">
        <f aca="false">IF(B10752&lt;5,Einstellungen!$B$3,Einstellungen!$B$4)</f>
        <v>29.13</v>
      </c>
      <c r="E10752" s="14" t="str">
        <f aca="false">IF(C10752="","",C10752*D10752/100)</f>
        <v/>
      </c>
      <c r="F10752" s="15" t="str">
        <f aca="false">IF(B10752&lt;5,"Go","Standard")</f>
        <v>Standard</v>
      </c>
    </row>
    <row r="10753" customFormat="false" ht="15" hidden="false" customHeight="true" outlineLevel="0" collapsed="false">
      <c r="A10753" s="10" t="n">
        <f aca="false">Einstellungen!$B$5+INT((ROW()-9)/24)</f>
        <v>46413</v>
      </c>
      <c r="B10753" s="11" t="n">
        <f aca="false">MOD(ROW()-9,24)</f>
        <v>16</v>
      </c>
      <c r="C10753" s="12"/>
      <c r="D10753" s="13" t="n">
        <f aca="false">IF(B10753&lt;5,Einstellungen!$B$3,Einstellungen!$B$4)</f>
        <v>29.13</v>
      </c>
      <c r="E10753" s="14" t="str">
        <f aca="false">IF(C10753="","",C10753*D10753/100)</f>
        <v/>
      </c>
      <c r="F10753" s="15" t="str">
        <f aca="false">IF(B10753&lt;5,"Go","Standard")</f>
        <v>Standard</v>
      </c>
    </row>
    <row r="10754" customFormat="false" ht="15" hidden="false" customHeight="true" outlineLevel="0" collapsed="false">
      <c r="A10754" s="10" t="n">
        <f aca="false">Einstellungen!$B$5+INT((ROW()-9)/24)</f>
        <v>46413</v>
      </c>
      <c r="B10754" s="11" t="n">
        <f aca="false">MOD(ROW()-9,24)</f>
        <v>17</v>
      </c>
      <c r="C10754" s="12"/>
      <c r="D10754" s="13" t="n">
        <f aca="false">IF(B10754&lt;5,Einstellungen!$B$3,Einstellungen!$B$4)</f>
        <v>29.13</v>
      </c>
      <c r="E10754" s="14" t="str">
        <f aca="false">IF(C10754="","",C10754*D10754/100)</f>
        <v/>
      </c>
      <c r="F10754" s="15" t="str">
        <f aca="false">IF(B10754&lt;5,"Go","Standard")</f>
        <v>Standard</v>
      </c>
    </row>
    <row r="10755" customFormat="false" ht="15" hidden="false" customHeight="true" outlineLevel="0" collapsed="false">
      <c r="A10755" s="10" t="n">
        <f aca="false">Einstellungen!$B$5+INT((ROW()-9)/24)</f>
        <v>46413</v>
      </c>
      <c r="B10755" s="11" t="n">
        <f aca="false">MOD(ROW()-9,24)</f>
        <v>18</v>
      </c>
      <c r="C10755" s="12"/>
      <c r="D10755" s="13" t="n">
        <f aca="false">IF(B10755&lt;5,Einstellungen!$B$3,Einstellungen!$B$4)</f>
        <v>29.13</v>
      </c>
      <c r="E10755" s="14" t="str">
        <f aca="false">IF(C10755="","",C10755*D10755/100)</f>
        <v/>
      </c>
      <c r="F10755" s="15" t="str">
        <f aca="false">IF(B10755&lt;5,"Go","Standard")</f>
        <v>Standard</v>
      </c>
    </row>
    <row r="10756" customFormat="false" ht="15" hidden="false" customHeight="true" outlineLevel="0" collapsed="false">
      <c r="A10756" s="10" t="n">
        <f aca="false">Einstellungen!$B$5+INT((ROW()-9)/24)</f>
        <v>46413</v>
      </c>
      <c r="B10756" s="11" t="n">
        <f aca="false">MOD(ROW()-9,24)</f>
        <v>19</v>
      </c>
      <c r="C10756" s="12"/>
      <c r="D10756" s="13" t="n">
        <f aca="false">IF(B10756&lt;5,Einstellungen!$B$3,Einstellungen!$B$4)</f>
        <v>29.13</v>
      </c>
      <c r="E10756" s="14" t="str">
        <f aca="false">IF(C10756="","",C10756*D10756/100)</f>
        <v/>
      </c>
      <c r="F10756" s="15" t="str">
        <f aca="false">IF(B10756&lt;5,"Go","Standard")</f>
        <v>Standard</v>
      </c>
    </row>
    <row r="10757" customFormat="false" ht="15" hidden="false" customHeight="true" outlineLevel="0" collapsed="false">
      <c r="A10757" s="10" t="n">
        <f aca="false">Einstellungen!$B$5+INT((ROW()-9)/24)</f>
        <v>46413</v>
      </c>
      <c r="B10757" s="11" t="n">
        <f aca="false">MOD(ROW()-9,24)</f>
        <v>20</v>
      </c>
      <c r="C10757" s="12"/>
      <c r="D10757" s="13" t="n">
        <f aca="false">IF(B10757&lt;5,Einstellungen!$B$3,Einstellungen!$B$4)</f>
        <v>29.13</v>
      </c>
      <c r="E10757" s="14" t="str">
        <f aca="false">IF(C10757="","",C10757*D10757/100)</f>
        <v/>
      </c>
      <c r="F10757" s="15" t="str">
        <f aca="false">IF(B10757&lt;5,"Go","Standard")</f>
        <v>Standard</v>
      </c>
    </row>
    <row r="10758" customFormat="false" ht="15" hidden="false" customHeight="true" outlineLevel="0" collapsed="false">
      <c r="A10758" s="10" t="n">
        <f aca="false">Einstellungen!$B$5+INT((ROW()-9)/24)</f>
        <v>46413</v>
      </c>
      <c r="B10758" s="11" t="n">
        <f aca="false">MOD(ROW()-9,24)</f>
        <v>21</v>
      </c>
      <c r="C10758" s="12"/>
      <c r="D10758" s="13" t="n">
        <f aca="false">IF(B10758&lt;5,Einstellungen!$B$3,Einstellungen!$B$4)</f>
        <v>29.13</v>
      </c>
      <c r="E10758" s="14" t="str">
        <f aca="false">IF(C10758="","",C10758*D10758/100)</f>
        <v/>
      </c>
      <c r="F10758" s="15" t="str">
        <f aca="false">IF(B10758&lt;5,"Go","Standard")</f>
        <v>Standard</v>
      </c>
    </row>
    <row r="10759" customFormat="false" ht="15" hidden="false" customHeight="true" outlineLevel="0" collapsed="false">
      <c r="A10759" s="10" t="n">
        <f aca="false">Einstellungen!$B$5+INT((ROW()-9)/24)</f>
        <v>46413</v>
      </c>
      <c r="B10759" s="11" t="n">
        <f aca="false">MOD(ROW()-9,24)</f>
        <v>22</v>
      </c>
      <c r="C10759" s="12"/>
      <c r="D10759" s="13" t="n">
        <f aca="false">IF(B10759&lt;5,Einstellungen!$B$3,Einstellungen!$B$4)</f>
        <v>29.13</v>
      </c>
      <c r="E10759" s="14" t="str">
        <f aca="false">IF(C10759="","",C10759*D10759/100)</f>
        <v/>
      </c>
      <c r="F10759" s="15" t="str">
        <f aca="false">IF(B10759&lt;5,"Go","Standard")</f>
        <v>Standard</v>
      </c>
    </row>
    <row r="10760" customFormat="false" ht="15" hidden="false" customHeight="true" outlineLevel="0" collapsed="false">
      <c r="A10760" s="10" t="n">
        <f aca="false">Einstellungen!$B$5+INT((ROW()-9)/24)</f>
        <v>46413</v>
      </c>
      <c r="B10760" s="11" t="n">
        <f aca="false">MOD(ROW()-9,24)</f>
        <v>23</v>
      </c>
      <c r="C10760" s="12"/>
      <c r="D10760" s="13" t="n">
        <f aca="false">IF(B10760&lt;5,Einstellungen!$B$3,Einstellungen!$B$4)</f>
        <v>29.13</v>
      </c>
      <c r="E10760" s="14" t="str">
        <f aca="false">IF(C10760="","",C10760*D10760/100)</f>
        <v/>
      </c>
      <c r="F10760" s="15" t="str">
        <f aca="false">IF(B10760&lt;5,"Go","Standard")</f>
        <v>Standard</v>
      </c>
    </row>
    <row r="10761" customFormat="false" ht="15" hidden="false" customHeight="true" outlineLevel="0" collapsed="false">
      <c r="A10761" s="10" t="n">
        <f aca="false">Einstellungen!$B$5+INT((ROW()-9)/24)</f>
        <v>46414</v>
      </c>
      <c r="B10761" s="11" t="n">
        <f aca="false">MOD(ROW()-9,24)</f>
        <v>0</v>
      </c>
      <c r="C10761" s="12"/>
      <c r="D10761" s="13" t="n">
        <f aca="false">IF(B10761&lt;5,Einstellungen!$B$3,Einstellungen!$B$4)</f>
        <v>15.92</v>
      </c>
      <c r="E10761" s="14" t="str">
        <f aca="false">IF(C10761="","",C10761*D10761/100)</f>
        <v/>
      </c>
      <c r="F10761" s="15" t="str">
        <f aca="false">IF(B10761&lt;5,"Go","Standard")</f>
        <v>Go</v>
      </c>
    </row>
    <row r="10762" customFormat="false" ht="15" hidden="false" customHeight="true" outlineLevel="0" collapsed="false">
      <c r="A10762" s="10" t="n">
        <f aca="false">Einstellungen!$B$5+INT((ROW()-9)/24)</f>
        <v>46414</v>
      </c>
      <c r="B10762" s="11" t="n">
        <f aca="false">MOD(ROW()-9,24)</f>
        <v>1</v>
      </c>
      <c r="C10762" s="12"/>
      <c r="D10762" s="13" t="n">
        <f aca="false">IF(B10762&lt;5,Einstellungen!$B$3,Einstellungen!$B$4)</f>
        <v>15.92</v>
      </c>
      <c r="E10762" s="14" t="str">
        <f aca="false">IF(C10762="","",C10762*D10762/100)</f>
        <v/>
      </c>
      <c r="F10762" s="15" t="str">
        <f aca="false">IF(B10762&lt;5,"Go","Standard")</f>
        <v>Go</v>
      </c>
    </row>
    <row r="10763" customFormat="false" ht="15" hidden="false" customHeight="true" outlineLevel="0" collapsed="false">
      <c r="A10763" s="10" t="n">
        <f aca="false">Einstellungen!$B$5+INT((ROW()-9)/24)</f>
        <v>46414</v>
      </c>
      <c r="B10763" s="11" t="n">
        <f aca="false">MOD(ROW()-9,24)</f>
        <v>2</v>
      </c>
      <c r="C10763" s="12"/>
      <c r="D10763" s="13" t="n">
        <f aca="false">IF(B10763&lt;5,Einstellungen!$B$3,Einstellungen!$B$4)</f>
        <v>15.92</v>
      </c>
      <c r="E10763" s="14" t="str">
        <f aca="false">IF(C10763="","",C10763*D10763/100)</f>
        <v/>
      </c>
      <c r="F10763" s="15" t="str">
        <f aca="false">IF(B10763&lt;5,"Go","Standard")</f>
        <v>Go</v>
      </c>
    </row>
    <row r="10764" customFormat="false" ht="15" hidden="false" customHeight="true" outlineLevel="0" collapsed="false">
      <c r="A10764" s="10" t="n">
        <f aca="false">Einstellungen!$B$5+INT((ROW()-9)/24)</f>
        <v>46414</v>
      </c>
      <c r="B10764" s="11" t="n">
        <f aca="false">MOD(ROW()-9,24)</f>
        <v>3</v>
      </c>
      <c r="C10764" s="12"/>
      <c r="D10764" s="13" t="n">
        <f aca="false">IF(B10764&lt;5,Einstellungen!$B$3,Einstellungen!$B$4)</f>
        <v>15.92</v>
      </c>
      <c r="E10764" s="14" t="str">
        <f aca="false">IF(C10764="","",C10764*D10764/100)</f>
        <v/>
      </c>
      <c r="F10764" s="15" t="str">
        <f aca="false">IF(B10764&lt;5,"Go","Standard")</f>
        <v>Go</v>
      </c>
    </row>
    <row r="10765" customFormat="false" ht="15" hidden="false" customHeight="true" outlineLevel="0" collapsed="false">
      <c r="A10765" s="10" t="n">
        <f aca="false">Einstellungen!$B$5+INT((ROW()-9)/24)</f>
        <v>46414</v>
      </c>
      <c r="B10765" s="11" t="n">
        <f aca="false">MOD(ROW()-9,24)</f>
        <v>4</v>
      </c>
      <c r="C10765" s="12"/>
      <c r="D10765" s="13" t="n">
        <f aca="false">IF(B10765&lt;5,Einstellungen!$B$3,Einstellungen!$B$4)</f>
        <v>15.92</v>
      </c>
      <c r="E10765" s="14" t="str">
        <f aca="false">IF(C10765="","",C10765*D10765/100)</f>
        <v/>
      </c>
      <c r="F10765" s="15" t="str">
        <f aca="false">IF(B10765&lt;5,"Go","Standard")</f>
        <v>Go</v>
      </c>
    </row>
    <row r="10766" customFormat="false" ht="15" hidden="false" customHeight="true" outlineLevel="0" collapsed="false">
      <c r="A10766" s="10" t="n">
        <f aca="false">Einstellungen!$B$5+INT((ROW()-9)/24)</f>
        <v>46414</v>
      </c>
      <c r="B10766" s="11" t="n">
        <f aca="false">MOD(ROW()-9,24)</f>
        <v>5</v>
      </c>
      <c r="C10766" s="12"/>
      <c r="D10766" s="13" t="n">
        <f aca="false">IF(B10766&lt;5,Einstellungen!$B$3,Einstellungen!$B$4)</f>
        <v>29.13</v>
      </c>
      <c r="E10766" s="14" t="str">
        <f aca="false">IF(C10766="","",C10766*D10766/100)</f>
        <v/>
      </c>
      <c r="F10766" s="15" t="str">
        <f aca="false">IF(B10766&lt;5,"Go","Standard")</f>
        <v>Standard</v>
      </c>
    </row>
    <row r="10767" customFormat="false" ht="15" hidden="false" customHeight="true" outlineLevel="0" collapsed="false">
      <c r="A10767" s="10" t="n">
        <f aca="false">Einstellungen!$B$5+INT((ROW()-9)/24)</f>
        <v>46414</v>
      </c>
      <c r="B10767" s="11" t="n">
        <f aca="false">MOD(ROW()-9,24)</f>
        <v>6</v>
      </c>
      <c r="C10767" s="12"/>
      <c r="D10767" s="13" t="n">
        <f aca="false">IF(B10767&lt;5,Einstellungen!$B$3,Einstellungen!$B$4)</f>
        <v>29.13</v>
      </c>
      <c r="E10767" s="14" t="str">
        <f aca="false">IF(C10767="","",C10767*D10767/100)</f>
        <v/>
      </c>
      <c r="F10767" s="15" t="str">
        <f aca="false">IF(B10767&lt;5,"Go","Standard")</f>
        <v>Standard</v>
      </c>
    </row>
    <row r="10768" customFormat="false" ht="15" hidden="false" customHeight="true" outlineLevel="0" collapsed="false">
      <c r="A10768" s="10" t="n">
        <f aca="false">Einstellungen!$B$5+INT((ROW()-9)/24)</f>
        <v>46414</v>
      </c>
      <c r="B10768" s="11" t="n">
        <f aca="false">MOD(ROW()-9,24)</f>
        <v>7</v>
      </c>
      <c r="C10768" s="12"/>
      <c r="D10768" s="13" t="n">
        <f aca="false">IF(B10768&lt;5,Einstellungen!$B$3,Einstellungen!$B$4)</f>
        <v>29.13</v>
      </c>
      <c r="E10768" s="14" t="str">
        <f aca="false">IF(C10768="","",C10768*D10768/100)</f>
        <v/>
      </c>
      <c r="F10768" s="15" t="str">
        <f aca="false">IF(B10768&lt;5,"Go","Standard")</f>
        <v>Standard</v>
      </c>
    </row>
    <row r="10769" customFormat="false" ht="15" hidden="false" customHeight="true" outlineLevel="0" collapsed="false">
      <c r="A10769" s="10" t="n">
        <f aca="false">Einstellungen!$B$5+INT((ROW()-9)/24)</f>
        <v>46414</v>
      </c>
      <c r="B10769" s="11" t="n">
        <f aca="false">MOD(ROW()-9,24)</f>
        <v>8</v>
      </c>
      <c r="C10769" s="12"/>
      <c r="D10769" s="13" t="n">
        <f aca="false">IF(B10769&lt;5,Einstellungen!$B$3,Einstellungen!$B$4)</f>
        <v>29.13</v>
      </c>
      <c r="E10769" s="14" t="str">
        <f aca="false">IF(C10769="","",C10769*D10769/100)</f>
        <v/>
      </c>
      <c r="F10769" s="15" t="str">
        <f aca="false">IF(B10769&lt;5,"Go","Standard")</f>
        <v>Standard</v>
      </c>
    </row>
    <row r="10770" customFormat="false" ht="15" hidden="false" customHeight="true" outlineLevel="0" collapsed="false">
      <c r="A10770" s="10" t="n">
        <f aca="false">Einstellungen!$B$5+INT((ROW()-9)/24)</f>
        <v>46414</v>
      </c>
      <c r="B10770" s="11" t="n">
        <f aca="false">MOD(ROW()-9,24)</f>
        <v>9</v>
      </c>
      <c r="C10770" s="12"/>
      <c r="D10770" s="13" t="n">
        <f aca="false">IF(B10770&lt;5,Einstellungen!$B$3,Einstellungen!$B$4)</f>
        <v>29.13</v>
      </c>
      <c r="E10770" s="14" t="str">
        <f aca="false">IF(C10770="","",C10770*D10770/100)</f>
        <v/>
      </c>
      <c r="F10770" s="15" t="str">
        <f aca="false">IF(B10770&lt;5,"Go","Standard")</f>
        <v>Standard</v>
      </c>
    </row>
    <row r="10771" customFormat="false" ht="15" hidden="false" customHeight="true" outlineLevel="0" collapsed="false">
      <c r="A10771" s="10" t="n">
        <f aca="false">Einstellungen!$B$5+INT((ROW()-9)/24)</f>
        <v>46414</v>
      </c>
      <c r="B10771" s="11" t="n">
        <f aca="false">MOD(ROW()-9,24)</f>
        <v>10</v>
      </c>
      <c r="C10771" s="12"/>
      <c r="D10771" s="13" t="n">
        <f aca="false">IF(B10771&lt;5,Einstellungen!$B$3,Einstellungen!$B$4)</f>
        <v>29.13</v>
      </c>
      <c r="E10771" s="14" t="str">
        <f aca="false">IF(C10771="","",C10771*D10771/100)</f>
        <v/>
      </c>
      <c r="F10771" s="15" t="str">
        <f aca="false">IF(B10771&lt;5,"Go","Standard")</f>
        <v>Standard</v>
      </c>
    </row>
    <row r="10772" customFormat="false" ht="15" hidden="false" customHeight="true" outlineLevel="0" collapsed="false">
      <c r="A10772" s="10" t="n">
        <f aca="false">Einstellungen!$B$5+INT((ROW()-9)/24)</f>
        <v>46414</v>
      </c>
      <c r="B10772" s="11" t="n">
        <f aca="false">MOD(ROW()-9,24)</f>
        <v>11</v>
      </c>
      <c r="C10772" s="12"/>
      <c r="D10772" s="13" t="n">
        <f aca="false">IF(B10772&lt;5,Einstellungen!$B$3,Einstellungen!$B$4)</f>
        <v>29.13</v>
      </c>
      <c r="E10772" s="14" t="str">
        <f aca="false">IF(C10772="","",C10772*D10772/100)</f>
        <v/>
      </c>
      <c r="F10772" s="15" t="str">
        <f aca="false">IF(B10772&lt;5,"Go","Standard")</f>
        <v>Standard</v>
      </c>
    </row>
    <row r="10773" customFormat="false" ht="15" hidden="false" customHeight="true" outlineLevel="0" collapsed="false">
      <c r="A10773" s="10" t="n">
        <f aca="false">Einstellungen!$B$5+INT((ROW()-9)/24)</f>
        <v>46414</v>
      </c>
      <c r="B10773" s="11" t="n">
        <f aca="false">MOD(ROW()-9,24)</f>
        <v>12</v>
      </c>
      <c r="C10773" s="12"/>
      <c r="D10773" s="13" t="n">
        <f aca="false">IF(B10773&lt;5,Einstellungen!$B$3,Einstellungen!$B$4)</f>
        <v>29.13</v>
      </c>
      <c r="E10773" s="14" t="str">
        <f aca="false">IF(C10773="","",C10773*D10773/100)</f>
        <v/>
      </c>
      <c r="F10773" s="15" t="str">
        <f aca="false">IF(B10773&lt;5,"Go","Standard")</f>
        <v>Standard</v>
      </c>
    </row>
    <row r="10774" customFormat="false" ht="15" hidden="false" customHeight="true" outlineLevel="0" collapsed="false">
      <c r="A10774" s="10" t="n">
        <f aca="false">Einstellungen!$B$5+INT((ROW()-9)/24)</f>
        <v>46414</v>
      </c>
      <c r="B10774" s="11" t="n">
        <f aca="false">MOD(ROW()-9,24)</f>
        <v>13</v>
      </c>
      <c r="C10774" s="12"/>
      <c r="D10774" s="13" t="n">
        <f aca="false">IF(B10774&lt;5,Einstellungen!$B$3,Einstellungen!$B$4)</f>
        <v>29.13</v>
      </c>
      <c r="E10774" s="14" t="str">
        <f aca="false">IF(C10774="","",C10774*D10774/100)</f>
        <v/>
      </c>
      <c r="F10774" s="15" t="str">
        <f aca="false">IF(B10774&lt;5,"Go","Standard")</f>
        <v>Standard</v>
      </c>
    </row>
    <row r="10775" customFormat="false" ht="15" hidden="false" customHeight="true" outlineLevel="0" collapsed="false">
      <c r="A10775" s="10" t="n">
        <f aca="false">Einstellungen!$B$5+INT((ROW()-9)/24)</f>
        <v>46414</v>
      </c>
      <c r="B10775" s="11" t="n">
        <f aca="false">MOD(ROW()-9,24)</f>
        <v>14</v>
      </c>
      <c r="C10775" s="12"/>
      <c r="D10775" s="13" t="n">
        <f aca="false">IF(B10775&lt;5,Einstellungen!$B$3,Einstellungen!$B$4)</f>
        <v>29.13</v>
      </c>
      <c r="E10775" s="14" t="str">
        <f aca="false">IF(C10775="","",C10775*D10775/100)</f>
        <v/>
      </c>
      <c r="F10775" s="15" t="str">
        <f aca="false">IF(B10775&lt;5,"Go","Standard")</f>
        <v>Standard</v>
      </c>
    </row>
    <row r="10776" customFormat="false" ht="15" hidden="false" customHeight="true" outlineLevel="0" collapsed="false">
      <c r="A10776" s="10" t="n">
        <f aca="false">Einstellungen!$B$5+INT((ROW()-9)/24)</f>
        <v>46414</v>
      </c>
      <c r="B10776" s="11" t="n">
        <f aca="false">MOD(ROW()-9,24)</f>
        <v>15</v>
      </c>
      <c r="C10776" s="12"/>
      <c r="D10776" s="13" t="n">
        <f aca="false">IF(B10776&lt;5,Einstellungen!$B$3,Einstellungen!$B$4)</f>
        <v>29.13</v>
      </c>
      <c r="E10776" s="14" t="str">
        <f aca="false">IF(C10776="","",C10776*D10776/100)</f>
        <v/>
      </c>
      <c r="F10776" s="15" t="str">
        <f aca="false">IF(B10776&lt;5,"Go","Standard")</f>
        <v>Standard</v>
      </c>
    </row>
    <row r="10777" customFormat="false" ht="15" hidden="false" customHeight="true" outlineLevel="0" collapsed="false">
      <c r="A10777" s="10" t="n">
        <f aca="false">Einstellungen!$B$5+INT((ROW()-9)/24)</f>
        <v>46414</v>
      </c>
      <c r="B10777" s="11" t="n">
        <f aca="false">MOD(ROW()-9,24)</f>
        <v>16</v>
      </c>
      <c r="C10777" s="12"/>
      <c r="D10777" s="13" t="n">
        <f aca="false">IF(B10777&lt;5,Einstellungen!$B$3,Einstellungen!$B$4)</f>
        <v>29.13</v>
      </c>
      <c r="E10777" s="14" t="str">
        <f aca="false">IF(C10777="","",C10777*D10777/100)</f>
        <v/>
      </c>
      <c r="F10777" s="15" t="str">
        <f aca="false">IF(B10777&lt;5,"Go","Standard")</f>
        <v>Standard</v>
      </c>
    </row>
    <row r="10778" customFormat="false" ht="15" hidden="false" customHeight="true" outlineLevel="0" collapsed="false">
      <c r="A10778" s="10" t="n">
        <f aca="false">Einstellungen!$B$5+INT((ROW()-9)/24)</f>
        <v>46414</v>
      </c>
      <c r="B10778" s="11" t="n">
        <f aca="false">MOD(ROW()-9,24)</f>
        <v>17</v>
      </c>
      <c r="C10778" s="12"/>
      <c r="D10778" s="13" t="n">
        <f aca="false">IF(B10778&lt;5,Einstellungen!$B$3,Einstellungen!$B$4)</f>
        <v>29.13</v>
      </c>
      <c r="E10778" s="14" t="str">
        <f aca="false">IF(C10778="","",C10778*D10778/100)</f>
        <v/>
      </c>
      <c r="F10778" s="15" t="str">
        <f aca="false">IF(B10778&lt;5,"Go","Standard")</f>
        <v>Standard</v>
      </c>
    </row>
    <row r="10779" customFormat="false" ht="15" hidden="false" customHeight="true" outlineLevel="0" collapsed="false">
      <c r="A10779" s="10" t="n">
        <f aca="false">Einstellungen!$B$5+INT((ROW()-9)/24)</f>
        <v>46414</v>
      </c>
      <c r="B10779" s="11" t="n">
        <f aca="false">MOD(ROW()-9,24)</f>
        <v>18</v>
      </c>
      <c r="C10779" s="12"/>
      <c r="D10779" s="13" t="n">
        <f aca="false">IF(B10779&lt;5,Einstellungen!$B$3,Einstellungen!$B$4)</f>
        <v>29.13</v>
      </c>
      <c r="E10779" s="14" t="str">
        <f aca="false">IF(C10779="","",C10779*D10779/100)</f>
        <v/>
      </c>
      <c r="F10779" s="15" t="str">
        <f aca="false">IF(B10779&lt;5,"Go","Standard")</f>
        <v>Standard</v>
      </c>
    </row>
    <row r="10780" customFormat="false" ht="15" hidden="false" customHeight="true" outlineLevel="0" collapsed="false">
      <c r="A10780" s="10" t="n">
        <f aca="false">Einstellungen!$B$5+INT((ROW()-9)/24)</f>
        <v>46414</v>
      </c>
      <c r="B10780" s="11" t="n">
        <f aca="false">MOD(ROW()-9,24)</f>
        <v>19</v>
      </c>
      <c r="C10780" s="12"/>
      <c r="D10780" s="13" t="n">
        <f aca="false">IF(B10780&lt;5,Einstellungen!$B$3,Einstellungen!$B$4)</f>
        <v>29.13</v>
      </c>
      <c r="E10780" s="14" t="str">
        <f aca="false">IF(C10780="","",C10780*D10780/100)</f>
        <v/>
      </c>
      <c r="F10780" s="15" t="str">
        <f aca="false">IF(B10780&lt;5,"Go","Standard")</f>
        <v>Standard</v>
      </c>
    </row>
    <row r="10781" customFormat="false" ht="15" hidden="false" customHeight="true" outlineLevel="0" collapsed="false">
      <c r="A10781" s="10" t="n">
        <f aca="false">Einstellungen!$B$5+INT((ROW()-9)/24)</f>
        <v>46414</v>
      </c>
      <c r="B10781" s="11" t="n">
        <f aca="false">MOD(ROW()-9,24)</f>
        <v>20</v>
      </c>
      <c r="C10781" s="12"/>
      <c r="D10781" s="13" t="n">
        <f aca="false">IF(B10781&lt;5,Einstellungen!$B$3,Einstellungen!$B$4)</f>
        <v>29.13</v>
      </c>
      <c r="E10781" s="14" t="str">
        <f aca="false">IF(C10781="","",C10781*D10781/100)</f>
        <v/>
      </c>
      <c r="F10781" s="15" t="str">
        <f aca="false">IF(B10781&lt;5,"Go","Standard")</f>
        <v>Standard</v>
      </c>
    </row>
    <row r="10782" customFormat="false" ht="15" hidden="false" customHeight="true" outlineLevel="0" collapsed="false">
      <c r="A10782" s="10" t="n">
        <f aca="false">Einstellungen!$B$5+INT((ROW()-9)/24)</f>
        <v>46414</v>
      </c>
      <c r="B10782" s="11" t="n">
        <f aca="false">MOD(ROW()-9,24)</f>
        <v>21</v>
      </c>
      <c r="C10782" s="12"/>
      <c r="D10782" s="13" t="n">
        <f aca="false">IF(B10782&lt;5,Einstellungen!$B$3,Einstellungen!$B$4)</f>
        <v>29.13</v>
      </c>
      <c r="E10782" s="14" t="str">
        <f aca="false">IF(C10782="","",C10782*D10782/100)</f>
        <v/>
      </c>
      <c r="F10782" s="15" t="str">
        <f aca="false">IF(B10782&lt;5,"Go","Standard")</f>
        <v>Standard</v>
      </c>
    </row>
    <row r="10783" customFormat="false" ht="15" hidden="false" customHeight="true" outlineLevel="0" collapsed="false">
      <c r="A10783" s="10" t="n">
        <f aca="false">Einstellungen!$B$5+INT((ROW()-9)/24)</f>
        <v>46414</v>
      </c>
      <c r="B10783" s="11" t="n">
        <f aca="false">MOD(ROW()-9,24)</f>
        <v>22</v>
      </c>
      <c r="C10783" s="12"/>
      <c r="D10783" s="13" t="n">
        <f aca="false">IF(B10783&lt;5,Einstellungen!$B$3,Einstellungen!$B$4)</f>
        <v>29.13</v>
      </c>
      <c r="E10783" s="14" t="str">
        <f aca="false">IF(C10783="","",C10783*D10783/100)</f>
        <v/>
      </c>
      <c r="F10783" s="15" t="str">
        <f aca="false">IF(B10783&lt;5,"Go","Standard")</f>
        <v>Standard</v>
      </c>
    </row>
    <row r="10784" customFormat="false" ht="15" hidden="false" customHeight="true" outlineLevel="0" collapsed="false">
      <c r="A10784" s="10" t="n">
        <f aca="false">Einstellungen!$B$5+INT((ROW()-9)/24)</f>
        <v>46414</v>
      </c>
      <c r="B10784" s="11" t="n">
        <f aca="false">MOD(ROW()-9,24)</f>
        <v>23</v>
      </c>
      <c r="C10784" s="12"/>
      <c r="D10784" s="13" t="n">
        <f aca="false">IF(B10784&lt;5,Einstellungen!$B$3,Einstellungen!$B$4)</f>
        <v>29.13</v>
      </c>
      <c r="E10784" s="14" t="str">
        <f aca="false">IF(C10784="","",C10784*D10784/100)</f>
        <v/>
      </c>
      <c r="F10784" s="15" t="str">
        <f aca="false">IF(B10784&lt;5,"Go","Standard")</f>
        <v>Standard</v>
      </c>
    </row>
    <row r="10785" customFormat="false" ht="15" hidden="false" customHeight="true" outlineLevel="0" collapsed="false">
      <c r="A10785" s="10" t="n">
        <f aca="false">Einstellungen!$B$5+INT((ROW()-9)/24)</f>
        <v>46415</v>
      </c>
      <c r="B10785" s="11" t="n">
        <f aca="false">MOD(ROW()-9,24)</f>
        <v>0</v>
      </c>
      <c r="C10785" s="12"/>
      <c r="D10785" s="13" t="n">
        <f aca="false">IF(B10785&lt;5,Einstellungen!$B$3,Einstellungen!$B$4)</f>
        <v>15.92</v>
      </c>
      <c r="E10785" s="14" t="str">
        <f aca="false">IF(C10785="","",C10785*D10785/100)</f>
        <v/>
      </c>
      <c r="F10785" s="15" t="str">
        <f aca="false">IF(B10785&lt;5,"Go","Standard")</f>
        <v>Go</v>
      </c>
    </row>
    <row r="10786" customFormat="false" ht="15" hidden="false" customHeight="true" outlineLevel="0" collapsed="false">
      <c r="A10786" s="10" t="n">
        <f aca="false">Einstellungen!$B$5+INT((ROW()-9)/24)</f>
        <v>46415</v>
      </c>
      <c r="B10786" s="11" t="n">
        <f aca="false">MOD(ROW()-9,24)</f>
        <v>1</v>
      </c>
      <c r="C10786" s="12"/>
      <c r="D10786" s="13" t="n">
        <f aca="false">IF(B10786&lt;5,Einstellungen!$B$3,Einstellungen!$B$4)</f>
        <v>15.92</v>
      </c>
      <c r="E10786" s="14" t="str">
        <f aca="false">IF(C10786="","",C10786*D10786/100)</f>
        <v/>
      </c>
      <c r="F10786" s="15" t="str">
        <f aca="false">IF(B10786&lt;5,"Go","Standard")</f>
        <v>Go</v>
      </c>
    </row>
    <row r="10787" customFormat="false" ht="15" hidden="false" customHeight="true" outlineLevel="0" collapsed="false">
      <c r="A10787" s="10" t="n">
        <f aca="false">Einstellungen!$B$5+INT((ROW()-9)/24)</f>
        <v>46415</v>
      </c>
      <c r="B10787" s="11" t="n">
        <f aca="false">MOD(ROW()-9,24)</f>
        <v>2</v>
      </c>
      <c r="C10787" s="12"/>
      <c r="D10787" s="13" t="n">
        <f aca="false">IF(B10787&lt;5,Einstellungen!$B$3,Einstellungen!$B$4)</f>
        <v>15.92</v>
      </c>
      <c r="E10787" s="14" t="str">
        <f aca="false">IF(C10787="","",C10787*D10787/100)</f>
        <v/>
      </c>
      <c r="F10787" s="15" t="str">
        <f aca="false">IF(B10787&lt;5,"Go","Standard")</f>
        <v>Go</v>
      </c>
    </row>
    <row r="10788" customFormat="false" ht="15" hidden="false" customHeight="true" outlineLevel="0" collapsed="false">
      <c r="A10788" s="10" t="n">
        <f aca="false">Einstellungen!$B$5+INT((ROW()-9)/24)</f>
        <v>46415</v>
      </c>
      <c r="B10788" s="11" t="n">
        <f aca="false">MOD(ROW()-9,24)</f>
        <v>3</v>
      </c>
      <c r="C10788" s="12"/>
      <c r="D10788" s="13" t="n">
        <f aca="false">IF(B10788&lt;5,Einstellungen!$B$3,Einstellungen!$B$4)</f>
        <v>15.92</v>
      </c>
      <c r="E10788" s="14" t="str">
        <f aca="false">IF(C10788="","",C10788*D10788/100)</f>
        <v/>
      </c>
      <c r="F10788" s="15" t="str">
        <f aca="false">IF(B10788&lt;5,"Go","Standard")</f>
        <v>Go</v>
      </c>
    </row>
    <row r="10789" customFormat="false" ht="15" hidden="false" customHeight="true" outlineLevel="0" collapsed="false">
      <c r="A10789" s="10" t="n">
        <f aca="false">Einstellungen!$B$5+INT((ROW()-9)/24)</f>
        <v>46415</v>
      </c>
      <c r="B10789" s="11" t="n">
        <f aca="false">MOD(ROW()-9,24)</f>
        <v>4</v>
      </c>
      <c r="C10789" s="12"/>
      <c r="D10789" s="13" t="n">
        <f aca="false">IF(B10789&lt;5,Einstellungen!$B$3,Einstellungen!$B$4)</f>
        <v>15.92</v>
      </c>
      <c r="E10789" s="14" t="str">
        <f aca="false">IF(C10789="","",C10789*D10789/100)</f>
        <v/>
      </c>
      <c r="F10789" s="15" t="str">
        <f aca="false">IF(B10789&lt;5,"Go","Standard")</f>
        <v>Go</v>
      </c>
    </row>
    <row r="10790" customFormat="false" ht="15" hidden="false" customHeight="true" outlineLevel="0" collapsed="false">
      <c r="A10790" s="10" t="n">
        <f aca="false">Einstellungen!$B$5+INT((ROW()-9)/24)</f>
        <v>46415</v>
      </c>
      <c r="B10790" s="11" t="n">
        <f aca="false">MOD(ROW()-9,24)</f>
        <v>5</v>
      </c>
      <c r="C10790" s="12"/>
      <c r="D10790" s="13" t="n">
        <f aca="false">IF(B10790&lt;5,Einstellungen!$B$3,Einstellungen!$B$4)</f>
        <v>29.13</v>
      </c>
      <c r="E10790" s="14" t="str">
        <f aca="false">IF(C10790="","",C10790*D10790/100)</f>
        <v/>
      </c>
      <c r="F10790" s="15" t="str">
        <f aca="false">IF(B10790&lt;5,"Go","Standard")</f>
        <v>Standard</v>
      </c>
    </row>
    <row r="10791" customFormat="false" ht="15" hidden="false" customHeight="true" outlineLevel="0" collapsed="false">
      <c r="A10791" s="10" t="n">
        <f aca="false">Einstellungen!$B$5+INT((ROW()-9)/24)</f>
        <v>46415</v>
      </c>
      <c r="B10791" s="11" t="n">
        <f aca="false">MOD(ROW()-9,24)</f>
        <v>6</v>
      </c>
      <c r="C10791" s="12"/>
      <c r="D10791" s="13" t="n">
        <f aca="false">IF(B10791&lt;5,Einstellungen!$B$3,Einstellungen!$B$4)</f>
        <v>29.13</v>
      </c>
      <c r="E10791" s="14" t="str">
        <f aca="false">IF(C10791="","",C10791*D10791/100)</f>
        <v/>
      </c>
      <c r="F10791" s="15" t="str">
        <f aca="false">IF(B10791&lt;5,"Go","Standard")</f>
        <v>Standard</v>
      </c>
    </row>
    <row r="10792" customFormat="false" ht="15" hidden="false" customHeight="true" outlineLevel="0" collapsed="false">
      <c r="A10792" s="10" t="n">
        <f aca="false">Einstellungen!$B$5+INT((ROW()-9)/24)</f>
        <v>46415</v>
      </c>
      <c r="B10792" s="11" t="n">
        <f aca="false">MOD(ROW()-9,24)</f>
        <v>7</v>
      </c>
      <c r="C10792" s="12"/>
      <c r="D10792" s="13" t="n">
        <f aca="false">IF(B10792&lt;5,Einstellungen!$B$3,Einstellungen!$B$4)</f>
        <v>29.13</v>
      </c>
      <c r="E10792" s="14" t="str">
        <f aca="false">IF(C10792="","",C10792*D10792/100)</f>
        <v/>
      </c>
      <c r="F10792" s="15" t="str">
        <f aca="false">IF(B10792&lt;5,"Go","Standard")</f>
        <v>Standard</v>
      </c>
    </row>
    <row r="10793" customFormat="false" ht="15" hidden="false" customHeight="true" outlineLevel="0" collapsed="false">
      <c r="A10793" s="10" t="n">
        <f aca="false">Einstellungen!$B$5+INT((ROW()-9)/24)</f>
        <v>46415</v>
      </c>
      <c r="B10793" s="11" t="n">
        <f aca="false">MOD(ROW()-9,24)</f>
        <v>8</v>
      </c>
      <c r="C10793" s="12"/>
      <c r="D10793" s="13" t="n">
        <f aca="false">IF(B10793&lt;5,Einstellungen!$B$3,Einstellungen!$B$4)</f>
        <v>29.13</v>
      </c>
      <c r="E10793" s="14" t="str">
        <f aca="false">IF(C10793="","",C10793*D10793/100)</f>
        <v/>
      </c>
      <c r="F10793" s="15" t="str">
        <f aca="false">IF(B10793&lt;5,"Go","Standard")</f>
        <v>Standard</v>
      </c>
    </row>
    <row r="10794" customFormat="false" ht="15" hidden="false" customHeight="true" outlineLevel="0" collapsed="false">
      <c r="A10794" s="10" t="n">
        <f aca="false">Einstellungen!$B$5+INT((ROW()-9)/24)</f>
        <v>46415</v>
      </c>
      <c r="B10794" s="11" t="n">
        <f aca="false">MOD(ROW()-9,24)</f>
        <v>9</v>
      </c>
      <c r="C10794" s="12"/>
      <c r="D10794" s="13" t="n">
        <f aca="false">IF(B10794&lt;5,Einstellungen!$B$3,Einstellungen!$B$4)</f>
        <v>29.13</v>
      </c>
      <c r="E10794" s="14" t="str">
        <f aca="false">IF(C10794="","",C10794*D10794/100)</f>
        <v/>
      </c>
      <c r="F10794" s="15" t="str">
        <f aca="false">IF(B10794&lt;5,"Go","Standard")</f>
        <v>Standard</v>
      </c>
    </row>
    <row r="10795" customFormat="false" ht="15" hidden="false" customHeight="true" outlineLevel="0" collapsed="false">
      <c r="A10795" s="10" t="n">
        <f aca="false">Einstellungen!$B$5+INT((ROW()-9)/24)</f>
        <v>46415</v>
      </c>
      <c r="B10795" s="11" t="n">
        <f aca="false">MOD(ROW()-9,24)</f>
        <v>10</v>
      </c>
      <c r="C10795" s="12"/>
      <c r="D10795" s="13" t="n">
        <f aca="false">IF(B10795&lt;5,Einstellungen!$B$3,Einstellungen!$B$4)</f>
        <v>29.13</v>
      </c>
      <c r="E10795" s="14" t="str">
        <f aca="false">IF(C10795="","",C10795*D10795/100)</f>
        <v/>
      </c>
      <c r="F10795" s="15" t="str">
        <f aca="false">IF(B10795&lt;5,"Go","Standard")</f>
        <v>Standard</v>
      </c>
    </row>
    <row r="10796" customFormat="false" ht="15" hidden="false" customHeight="true" outlineLevel="0" collapsed="false">
      <c r="A10796" s="10" t="n">
        <f aca="false">Einstellungen!$B$5+INT((ROW()-9)/24)</f>
        <v>46415</v>
      </c>
      <c r="B10796" s="11" t="n">
        <f aca="false">MOD(ROW()-9,24)</f>
        <v>11</v>
      </c>
      <c r="C10796" s="12"/>
      <c r="D10796" s="13" t="n">
        <f aca="false">IF(B10796&lt;5,Einstellungen!$B$3,Einstellungen!$B$4)</f>
        <v>29.13</v>
      </c>
      <c r="E10796" s="14" t="str">
        <f aca="false">IF(C10796="","",C10796*D10796/100)</f>
        <v/>
      </c>
      <c r="F10796" s="15" t="str">
        <f aca="false">IF(B10796&lt;5,"Go","Standard")</f>
        <v>Standard</v>
      </c>
    </row>
    <row r="10797" customFormat="false" ht="15" hidden="false" customHeight="true" outlineLevel="0" collapsed="false">
      <c r="A10797" s="10" t="n">
        <f aca="false">Einstellungen!$B$5+INT((ROW()-9)/24)</f>
        <v>46415</v>
      </c>
      <c r="B10797" s="11" t="n">
        <f aca="false">MOD(ROW()-9,24)</f>
        <v>12</v>
      </c>
      <c r="C10797" s="12"/>
      <c r="D10797" s="13" t="n">
        <f aca="false">IF(B10797&lt;5,Einstellungen!$B$3,Einstellungen!$B$4)</f>
        <v>29.13</v>
      </c>
      <c r="E10797" s="14" t="str">
        <f aca="false">IF(C10797="","",C10797*D10797/100)</f>
        <v/>
      </c>
      <c r="F10797" s="15" t="str">
        <f aca="false">IF(B10797&lt;5,"Go","Standard")</f>
        <v>Standard</v>
      </c>
    </row>
    <row r="10798" customFormat="false" ht="15" hidden="false" customHeight="true" outlineLevel="0" collapsed="false">
      <c r="A10798" s="10" t="n">
        <f aca="false">Einstellungen!$B$5+INT((ROW()-9)/24)</f>
        <v>46415</v>
      </c>
      <c r="B10798" s="11" t="n">
        <f aca="false">MOD(ROW()-9,24)</f>
        <v>13</v>
      </c>
      <c r="C10798" s="12"/>
      <c r="D10798" s="13" t="n">
        <f aca="false">IF(B10798&lt;5,Einstellungen!$B$3,Einstellungen!$B$4)</f>
        <v>29.13</v>
      </c>
      <c r="E10798" s="14" t="str">
        <f aca="false">IF(C10798="","",C10798*D10798/100)</f>
        <v/>
      </c>
      <c r="F10798" s="15" t="str">
        <f aca="false">IF(B10798&lt;5,"Go","Standard")</f>
        <v>Standard</v>
      </c>
    </row>
    <row r="10799" customFormat="false" ht="15" hidden="false" customHeight="true" outlineLevel="0" collapsed="false">
      <c r="A10799" s="10" t="n">
        <f aca="false">Einstellungen!$B$5+INT((ROW()-9)/24)</f>
        <v>46415</v>
      </c>
      <c r="B10799" s="11" t="n">
        <f aca="false">MOD(ROW()-9,24)</f>
        <v>14</v>
      </c>
      <c r="C10799" s="12"/>
      <c r="D10799" s="13" t="n">
        <f aca="false">IF(B10799&lt;5,Einstellungen!$B$3,Einstellungen!$B$4)</f>
        <v>29.13</v>
      </c>
      <c r="E10799" s="14" t="str">
        <f aca="false">IF(C10799="","",C10799*D10799/100)</f>
        <v/>
      </c>
      <c r="F10799" s="15" t="str">
        <f aca="false">IF(B10799&lt;5,"Go","Standard")</f>
        <v>Standard</v>
      </c>
    </row>
    <row r="10800" customFormat="false" ht="15" hidden="false" customHeight="true" outlineLevel="0" collapsed="false">
      <c r="A10800" s="10" t="n">
        <f aca="false">Einstellungen!$B$5+INT((ROW()-9)/24)</f>
        <v>46415</v>
      </c>
      <c r="B10800" s="11" t="n">
        <f aca="false">MOD(ROW()-9,24)</f>
        <v>15</v>
      </c>
      <c r="C10800" s="12"/>
      <c r="D10800" s="13" t="n">
        <f aca="false">IF(B10800&lt;5,Einstellungen!$B$3,Einstellungen!$B$4)</f>
        <v>29.13</v>
      </c>
      <c r="E10800" s="14" t="str">
        <f aca="false">IF(C10800="","",C10800*D10800/100)</f>
        <v/>
      </c>
      <c r="F10800" s="15" t="str">
        <f aca="false">IF(B10800&lt;5,"Go","Standard")</f>
        <v>Standard</v>
      </c>
    </row>
    <row r="10801" customFormat="false" ht="15" hidden="false" customHeight="true" outlineLevel="0" collapsed="false">
      <c r="A10801" s="10" t="n">
        <f aca="false">Einstellungen!$B$5+INT((ROW()-9)/24)</f>
        <v>46415</v>
      </c>
      <c r="B10801" s="11" t="n">
        <f aca="false">MOD(ROW()-9,24)</f>
        <v>16</v>
      </c>
      <c r="C10801" s="12"/>
      <c r="D10801" s="13" t="n">
        <f aca="false">IF(B10801&lt;5,Einstellungen!$B$3,Einstellungen!$B$4)</f>
        <v>29.13</v>
      </c>
      <c r="E10801" s="14" t="str">
        <f aca="false">IF(C10801="","",C10801*D10801/100)</f>
        <v/>
      </c>
      <c r="F10801" s="15" t="str">
        <f aca="false">IF(B10801&lt;5,"Go","Standard")</f>
        <v>Standard</v>
      </c>
    </row>
    <row r="10802" customFormat="false" ht="15" hidden="false" customHeight="true" outlineLevel="0" collapsed="false">
      <c r="A10802" s="10" t="n">
        <f aca="false">Einstellungen!$B$5+INT((ROW()-9)/24)</f>
        <v>46415</v>
      </c>
      <c r="B10802" s="11" t="n">
        <f aca="false">MOD(ROW()-9,24)</f>
        <v>17</v>
      </c>
      <c r="C10802" s="12"/>
      <c r="D10802" s="13" t="n">
        <f aca="false">IF(B10802&lt;5,Einstellungen!$B$3,Einstellungen!$B$4)</f>
        <v>29.13</v>
      </c>
      <c r="E10802" s="14" t="str">
        <f aca="false">IF(C10802="","",C10802*D10802/100)</f>
        <v/>
      </c>
      <c r="F10802" s="15" t="str">
        <f aca="false">IF(B10802&lt;5,"Go","Standard")</f>
        <v>Standard</v>
      </c>
    </row>
    <row r="10803" customFormat="false" ht="15" hidden="false" customHeight="true" outlineLevel="0" collapsed="false">
      <c r="A10803" s="10" t="n">
        <f aca="false">Einstellungen!$B$5+INT((ROW()-9)/24)</f>
        <v>46415</v>
      </c>
      <c r="B10803" s="11" t="n">
        <f aca="false">MOD(ROW()-9,24)</f>
        <v>18</v>
      </c>
      <c r="C10803" s="12"/>
      <c r="D10803" s="13" t="n">
        <f aca="false">IF(B10803&lt;5,Einstellungen!$B$3,Einstellungen!$B$4)</f>
        <v>29.13</v>
      </c>
      <c r="E10803" s="14" t="str">
        <f aca="false">IF(C10803="","",C10803*D10803/100)</f>
        <v/>
      </c>
      <c r="F10803" s="15" t="str">
        <f aca="false">IF(B10803&lt;5,"Go","Standard")</f>
        <v>Standard</v>
      </c>
    </row>
    <row r="10804" customFormat="false" ht="15" hidden="false" customHeight="true" outlineLevel="0" collapsed="false">
      <c r="A10804" s="10" t="n">
        <f aca="false">Einstellungen!$B$5+INT((ROW()-9)/24)</f>
        <v>46415</v>
      </c>
      <c r="B10804" s="11" t="n">
        <f aca="false">MOD(ROW()-9,24)</f>
        <v>19</v>
      </c>
      <c r="C10804" s="12"/>
      <c r="D10804" s="13" t="n">
        <f aca="false">IF(B10804&lt;5,Einstellungen!$B$3,Einstellungen!$B$4)</f>
        <v>29.13</v>
      </c>
      <c r="E10804" s="14" t="str">
        <f aca="false">IF(C10804="","",C10804*D10804/100)</f>
        <v/>
      </c>
      <c r="F10804" s="15" t="str">
        <f aca="false">IF(B10804&lt;5,"Go","Standard")</f>
        <v>Standard</v>
      </c>
    </row>
    <row r="10805" customFormat="false" ht="15" hidden="false" customHeight="true" outlineLevel="0" collapsed="false">
      <c r="A10805" s="10" t="n">
        <f aca="false">Einstellungen!$B$5+INT((ROW()-9)/24)</f>
        <v>46415</v>
      </c>
      <c r="B10805" s="11" t="n">
        <f aca="false">MOD(ROW()-9,24)</f>
        <v>20</v>
      </c>
      <c r="C10805" s="12"/>
      <c r="D10805" s="13" t="n">
        <f aca="false">IF(B10805&lt;5,Einstellungen!$B$3,Einstellungen!$B$4)</f>
        <v>29.13</v>
      </c>
      <c r="E10805" s="14" t="str">
        <f aca="false">IF(C10805="","",C10805*D10805/100)</f>
        <v/>
      </c>
      <c r="F10805" s="15" t="str">
        <f aca="false">IF(B10805&lt;5,"Go","Standard")</f>
        <v>Standard</v>
      </c>
    </row>
    <row r="10806" customFormat="false" ht="15" hidden="false" customHeight="true" outlineLevel="0" collapsed="false">
      <c r="A10806" s="10" t="n">
        <f aca="false">Einstellungen!$B$5+INT((ROW()-9)/24)</f>
        <v>46415</v>
      </c>
      <c r="B10806" s="11" t="n">
        <f aca="false">MOD(ROW()-9,24)</f>
        <v>21</v>
      </c>
      <c r="C10806" s="12"/>
      <c r="D10806" s="13" t="n">
        <f aca="false">IF(B10806&lt;5,Einstellungen!$B$3,Einstellungen!$B$4)</f>
        <v>29.13</v>
      </c>
      <c r="E10806" s="14" t="str">
        <f aca="false">IF(C10806="","",C10806*D10806/100)</f>
        <v/>
      </c>
      <c r="F10806" s="15" t="str">
        <f aca="false">IF(B10806&lt;5,"Go","Standard")</f>
        <v>Standard</v>
      </c>
    </row>
    <row r="10807" customFormat="false" ht="15" hidden="false" customHeight="true" outlineLevel="0" collapsed="false">
      <c r="A10807" s="10" t="n">
        <f aca="false">Einstellungen!$B$5+INT((ROW()-9)/24)</f>
        <v>46415</v>
      </c>
      <c r="B10807" s="11" t="n">
        <f aca="false">MOD(ROW()-9,24)</f>
        <v>22</v>
      </c>
      <c r="C10807" s="12"/>
      <c r="D10807" s="13" t="n">
        <f aca="false">IF(B10807&lt;5,Einstellungen!$B$3,Einstellungen!$B$4)</f>
        <v>29.13</v>
      </c>
      <c r="E10807" s="14" t="str">
        <f aca="false">IF(C10807="","",C10807*D10807/100)</f>
        <v/>
      </c>
      <c r="F10807" s="15" t="str">
        <f aca="false">IF(B10807&lt;5,"Go","Standard")</f>
        <v>Standard</v>
      </c>
    </row>
    <row r="10808" customFormat="false" ht="15" hidden="false" customHeight="true" outlineLevel="0" collapsed="false">
      <c r="A10808" s="10" t="n">
        <f aca="false">Einstellungen!$B$5+INT((ROW()-9)/24)</f>
        <v>46415</v>
      </c>
      <c r="B10808" s="11" t="n">
        <f aca="false">MOD(ROW()-9,24)</f>
        <v>23</v>
      </c>
      <c r="C10808" s="12"/>
      <c r="D10808" s="13" t="n">
        <f aca="false">IF(B10808&lt;5,Einstellungen!$B$3,Einstellungen!$B$4)</f>
        <v>29.13</v>
      </c>
      <c r="E10808" s="14" t="str">
        <f aca="false">IF(C10808="","",C10808*D10808/100)</f>
        <v/>
      </c>
      <c r="F10808" s="15" t="str">
        <f aca="false">IF(B10808&lt;5,"Go","Standard")</f>
        <v>Standard</v>
      </c>
    </row>
    <row r="10809" customFormat="false" ht="15" hidden="false" customHeight="true" outlineLevel="0" collapsed="false">
      <c r="A10809" s="10" t="n">
        <f aca="false">Einstellungen!$B$5+INT((ROW()-9)/24)</f>
        <v>46416</v>
      </c>
      <c r="B10809" s="11" t="n">
        <f aca="false">MOD(ROW()-9,24)</f>
        <v>0</v>
      </c>
      <c r="C10809" s="12"/>
      <c r="D10809" s="13" t="n">
        <f aca="false">IF(B10809&lt;5,Einstellungen!$B$3,Einstellungen!$B$4)</f>
        <v>15.92</v>
      </c>
      <c r="E10809" s="14" t="str">
        <f aca="false">IF(C10809="","",C10809*D10809/100)</f>
        <v/>
      </c>
      <c r="F10809" s="15" t="str">
        <f aca="false">IF(B10809&lt;5,"Go","Standard")</f>
        <v>Go</v>
      </c>
    </row>
    <row r="10810" customFormat="false" ht="15" hidden="false" customHeight="true" outlineLevel="0" collapsed="false">
      <c r="A10810" s="10" t="n">
        <f aca="false">Einstellungen!$B$5+INT((ROW()-9)/24)</f>
        <v>46416</v>
      </c>
      <c r="B10810" s="11" t="n">
        <f aca="false">MOD(ROW()-9,24)</f>
        <v>1</v>
      </c>
      <c r="C10810" s="12"/>
      <c r="D10810" s="13" t="n">
        <f aca="false">IF(B10810&lt;5,Einstellungen!$B$3,Einstellungen!$B$4)</f>
        <v>15.92</v>
      </c>
      <c r="E10810" s="14" t="str">
        <f aca="false">IF(C10810="","",C10810*D10810/100)</f>
        <v/>
      </c>
      <c r="F10810" s="15" t="str">
        <f aca="false">IF(B10810&lt;5,"Go","Standard")</f>
        <v>Go</v>
      </c>
    </row>
    <row r="10811" customFormat="false" ht="15" hidden="false" customHeight="true" outlineLevel="0" collapsed="false">
      <c r="A10811" s="10" t="n">
        <f aca="false">Einstellungen!$B$5+INT((ROW()-9)/24)</f>
        <v>46416</v>
      </c>
      <c r="B10811" s="11" t="n">
        <f aca="false">MOD(ROW()-9,24)</f>
        <v>2</v>
      </c>
      <c r="C10811" s="12"/>
      <c r="D10811" s="13" t="n">
        <f aca="false">IF(B10811&lt;5,Einstellungen!$B$3,Einstellungen!$B$4)</f>
        <v>15.92</v>
      </c>
      <c r="E10811" s="14" t="str">
        <f aca="false">IF(C10811="","",C10811*D10811/100)</f>
        <v/>
      </c>
      <c r="F10811" s="15" t="str">
        <f aca="false">IF(B10811&lt;5,"Go","Standard")</f>
        <v>Go</v>
      </c>
    </row>
    <row r="10812" customFormat="false" ht="15" hidden="false" customHeight="true" outlineLevel="0" collapsed="false">
      <c r="A10812" s="10" t="n">
        <f aca="false">Einstellungen!$B$5+INT((ROW()-9)/24)</f>
        <v>46416</v>
      </c>
      <c r="B10812" s="11" t="n">
        <f aca="false">MOD(ROW()-9,24)</f>
        <v>3</v>
      </c>
      <c r="C10812" s="12"/>
      <c r="D10812" s="13" t="n">
        <f aca="false">IF(B10812&lt;5,Einstellungen!$B$3,Einstellungen!$B$4)</f>
        <v>15.92</v>
      </c>
      <c r="E10812" s="14" t="str">
        <f aca="false">IF(C10812="","",C10812*D10812/100)</f>
        <v/>
      </c>
      <c r="F10812" s="15" t="str">
        <f aca="false">IF(B10812&lt;5,"Go","Standard")</f>
        <v>Go</v>
      </c>
    </row>
    <row r="10813" customFormat="false" ht="15" hidden="false" customHeight="true" outlineLevel="0" collapsed="false">
      <c r="A10813" s="10" t="n">
        <f aca="false">Einstellungen!$B$5+INT((ROW()-9)/24)</f>
        <v>46416</v>
      </c>
      <c r="B10813" s="11" t="n">
        <f aca="false">MOD(ROW()-9,24)</f>
        <v>4</v>
      </c>
      <c r="C10813" s="12"/>
      <c r="D10813" s="13" t="n">
        <f aca="false">IF(B10813&lt;5,Einstellungen!$B$3,Einstellungen!$B$4)</f>
        <v>15.92</v>
      </c>
      <c r="E10813" s="14" t="str">
        <f aca="false">IF(C10813="","",C10813*D10813/100)</f>
        <v/>
      </c>
      <c r="F10813" s="15" t="str">
        <f aca="false">IF(B10813&lt;5,"Go","Standard")</f>
        <v>Go</v>
      </c>
    </row>
    <row r="10814" customFormat="false" ht="15" hidden="false" customHeight="true" outlineLevel="0" collapsed="false">
      <c r="A10814" s="10" t="n">
        <f aca="false">Einstellungen!$B$5+INT((ROW()-9)/24)</f>
        <v>46416</v>
      </c>
      <c r="B10814" s="11" t="n">
        <f aca="false">MOD(ROW()-9,24)</f>
        <v>5</v>
      </c>
      <c r="C10814" s="12"/>
      <c r="D10814" s="13" t="n">
        <f aca="false">IF(B10814&lt;5,Einstellungen!$B$3,Einstellungen!$B$4)</f>
        <v>29.13</v>
      </c>
      <c r="E10814" s="14" t="str">
        <f aca="false">IF(C10814="","",C10814*D10814/100)</f>
        <v/>
      </c>
      <c r="F10814" s="15" t="str">
        <f aca="false">IF(B10814&lt;5,"Go","Standard")</f>
        <v>Standard</v>
      </c>
    </row>
    <row r="10815" customFormat="false" ht="15" hidden="false" customHeight="true" outlineLevel="0" collapsed="false">
      <c r="A10815" s="10" t="n">
        <f aca="false">Einstellungen!$B$5+INT((ROW()-9)/24)</f>
        <v>46416</v>
      </c>
      <c r="B10815" s="11" t="n">
        <f aca="false">MOD(ROW()-9,24)</f>
        <v>6</v>
      </c>
      <c r="C10815" s="12"/>
      <c r="D10815" s="13" t="n">
        <f aca="false">IF(B10815&lt;5,Einstellungen!$B$3,Einstellungen!$B$4)</f>
        <v>29.13</v>
      </c>
      <c r="E10815" s="14" t="str">
        <f aca="false">IF(C10815="","",C10815*D10815/100)</f>
        <v/>
      </c>
      <c r="F10815" s="15" t="str">
        <f aca="false">IF(B10815&lt;5,"Go","Standard")</f>
        <v>Standard</v>
      </c>
    </row>
    <row r="10816" customFormat="false" ht="15" hidden="false" customHeight="true" outlineLevel="0" collapsed="false">
      <c r="A10816" s="10" t="n">
        <f aca="false">Einstellungen!$B$5+INT((ROW()-9)/24)</f>
        <v>46416</v>
      </c>
      <c r="B10816" s="11" t="n">
        <f aca="false">MOD(ROW()-9,24)</f>
        <v>7</v>
      </c>
      <c r="C10816" s="12"/>
      <c r="D10816" s="13" t="n">
        <f aca="false">IF(B10816&lt;5,Einstellungen!$B$3,Einstellungen!$B$4)</f>
        <v>29.13</v>
      </c>
      <c r="E10816" s="14" t="str">
        <f aca="false">IF(C10816="","",C10816*D10816/100)</f>
        <v/>
      </c>
      <c r="F10816" s="15" t="str">
        <f aca="false">IF(B10816&lt;5,"Go","Standard")</f>
        <v>Standard</v>
      </c>
    </row>
    <row r="10817" customFormat="false" ht="15" hidden="false" customHeight="true" outlineLevel="0" collapsed="false">
      <c r="A10817" s="10" t="n">
        <f aca="false">Einstellungen!$B$5+INT((ROW()-9)/24)</f>
        <v>46416</v>
      </c>
      <c r="B10817" s="11" t="n">
        <f aca="false">MOD(ROW()-9,24)</f>
        <v>8</v>
      </c>
      <c r="C10817" s="12"/>
      <c r="D10817" s="13" t="n">
        <f aca="false">IF(B10817&lt;5,Einstellungen!$B$3,Einstellungen!$B$4)</f>
        <v>29.13</v>
      </c>
      <c r="E10817" s="14" t="str">
        <f aca="false">IF(C10817="","",C10817*D10817/100)</f>
        <v/>
      </c>
      <c r="F10817" s="15" t="str">
        <f aca="false">IF(B10817&lt;5,"Go","Standard")</f>
        <v>Standard</v>
      </c>
    </row>
    <row r="10818" customFormat="false" ht="15" hidden="false" customHeight="true" outlineLevel="0" collapsed="false">
      <c r="A10818" s="10" t="n">
        <f aca="false">Einstellungen!$B$5+INT((ROW()-9)/24)</f>
        <v>46416</v>
      </c>
      <c r="B10818" s="11" t="n">
        <f aca="false">MOD(ROW()-9,24)</f>
        <v>9</v>
      </c>
      <c r="C10818" s="12"/>
      <c r="D10818" s="13" t="n">
        <f aca="false">IF(B10818&lt;5,Einstellungen!$B$3,Einstellungen!$B$4)</f>
        <v>29.13</v>
      </c>
      <c r="E10818" s="14" t="str">
        <f aca="false">IF(C10818="","",C10818*D10818/100)</f>
        <v/>
      </c>
      <c r="F10818" s="15" t="str">
        <f aca="false">IF(B10818&lt;5,"Go","Standard")</f>
        <v>Standard</v>
      </c>
    </row>
    <row r="10819" customFormat="false" ht="15" hidden="false" customHeight="true" outlineLevel="0" collapsed="false">
      <c r="A10819" s="10" t="n">
        <f aca="false">Einstellungen!$B$5+INT((ROW()-9)/24)</f>
        <v>46416</v>
      </c>
      <c r="B10819" s="11" t="n">
        <f aca="false">MOD(ROW()-9,24)</f>
        <v>10</v>
      </c>
      <c r="C10819" s="12"/>
      <c r="D10819" s="13" t="n">
        <f aca="false">IF(B10819&lt;5,Einstellungen!$B$3,Einstellungen!$B$4)</f>
        <v>29.13</v>
      </c>
      <c r="E10819" s="14" t="str">
        <f aca="false">IF(C10819="","",C10819*D10819/100)</f>
        <v/>
      </c>
      <c r="F10819" s="15" t="str">
        <f aca="false">IF(B10819&lt;5,"Go","Standard")</f>
        <v>Standard</v>
      </c>
    </row>
    <row r="10820" customFormat="false" ht="15" hidden="false" customHeight="true" outlineLevel="0" collapsed="false">
      <c r="A10820" s="10" t="n">
        <f aca="false">Einstellungen!$B$5+INT((ROW()-9)/24)</f>
        <v>46416</v>
      </c>
      <c r="B10820" s="11" t="n">
        <f aca="false">MOD(ROW()-9,24)</f>
        <v>11</v>
      </c>
      <c r="C10820" s="12"/>
      <c r="D10820" s="13" t="n">
        <f aca="false">IF(B10820&lt;5,Einstellungen!$B$3,Einstellungen!$B$4)</f>
        <v>29.13</v>
      </c>
      <c r="E10820" s="14" t="str">
        <f aca="false">IF(C10820="","",C10820*D10820/100)</f>
        <v/>
      </c>
      <c r="F10820" s="15" t="str">
        <f aca="false">IF(B10820&lt;5,"Go","Standard")</f>
        <v>Standard</v>
      </c>
    </row>
    <row r="10821" customFormat="false" ht="15" hidden="false" customHeight="true" outlineLevel="0" collapsed="false">
      <c r="A10821" s="10" t="n">
        <f aca="false">Einstellungen!$B$5+INT((ROW()-9)/24)</f>
        <v>46416</v>
      </c>
      <c r="B10821" s="11" t="n">
        <f aca="false">MOD(ROW()-9,24)</f>
        <v>12</v>
      </c>
      <c r="C10821" s="12"/>
      <c r="D10821" s="13" t="n">
        <f aca="false">IF(B10821&lt;5,Einstellungen!$B$3,Einstellungen!$B$4)</f>
        <v>29.13</v>
      </c>
      <c r="E10821" s="14" t="str">
        <f aca="false">IF(C10821="","",C10821*D10821/100)</f>
        <v/>
      </c>
      <c r="F10821" s="15" t="str">
        <f aca="false">IF(B10821&lt;5,"Go","Standard")</f>
        <v>Standard</v>
      </c>
    </row>
    <row r="10822" customFormat="false" ht="15" hidden="false" customHeight="true" outlineLevel="0" collapsed="false">
      <c r="A10822" s="10" t="n">
        <f aca="false">Einstellungen!$B$5+INT((ROW()-9)/24)</f>
        <v>46416</v>
      </c>
      <c r="B10822" s="11" t="n">
        <f aca="false">MOD(ROW()-9,24)</f>
        <v>13</v>
      </c>
      <c r="C10822" s="12"/>
      <c r="D10822" s="13" t="n">
        <f aca="false">IF(B10822&lt;5,Einstellungen!$B$3,Einstellungen!$B$4)</f>
        <v>29.13</v>
      </c>
      <c r="E10822" s="14" t="str">
        <f aca="false">IF(C10822="","",C10822*D10822/100)</f>
        <v/>
      </c>
      <c r="F10822" s="15" t="str">
        <f aca="false">IF(B10822&lt;5,"Go","Standard")</f>
        <v>Standard</v>
      </c>
    </row>
    <row r="10823" customFormat="false" ht="15" hidden="false" customHeight="true" outlineLevel="0" collapsed="false">
      <c r="A10823" s="10" t="n">
        <f aca="false">Einstellungen!$B$5+INT((ROW()-9)/24)</f>
        <v>46416</v>
      </c>
      <c r="B10823" s="11" t="n">
        <f aca="false">MOD(ROW()-9,24)</f>
        <v>14</v>
      </c>
      <c r="C10823" s="12"/>
      <c r="D10823" s="13" t="n">
        <f aca="false">IF(B10823&lt;5,Einstellungen!$B$3,Einstellungen!$B$4)</f>
        <v>29.13</v>
      </c>
      <c r="E10823" s="14" t="str">
        <f aca="false">IF(C10823="","",C10823*D10823/100)</f>
        <v/>
      </c>
      <c r="F10823" s="15" t="str">
        <f aca="false">IF(B10823&lt;5,"Go","Standard")</f>
        <v>Standard</v>
      </c>
    </row>
    <row r="10824" customFormat="false" ht="15" hidden="false" customHeight="true" outlineLevel="0" collapsed="false">
      <c r="A10824" s="10" t="n">
        <f aca="false">Einstellungen!$B$5+INT((ROW()-9)/24)</f>
        <v>46416</v>
      </c>
      <c r="B10824" s="11" t="n">
        <f aca="false">MOD(ROW()-9,24)</f>
        <v>15</v>
      </c>
      <c r="C10824" s="12"/>
      <c r="D10824" s="13" t="n">
        <f aca="false">IF(B10824&lt;5,Einstellungen!$B$3,Einstellungen!$B$4)</f>
        <v>29.13</v>
      </c>
      <c r="E10824" s="14" t="str">
        <f aca="false">IF(C10824="","",C10824*D10824/100)</f>
        <v/>
      </c>
      <c r="F10824" s="15" t="str">
        <f aca="false">IF(B10824&lt;5,"Go","Standard")</f>
        <v>Standard</v>
      </c>
    </row>
    <row r="10825" customFormat="false" ht="15" hidden="false" customHeight="true" outlineLevel="0" collapsed="false">
      <c r="A10825" s="10" t="n">
        <f aca="false">Einstellungen!$B$5+INT((ROW()-9)/24)</f>
        <v>46416</v>
      </c>
      <c r="B10825" s="11" t="n">
        <f aca="false">MOD(ROW()-9,24)</f>
        <v>16</v>
      </c>
      <c r="C10825" s="12"/>
      <c r="D10825" s="13" t="n">
        <f aca="false">IF(B10825&lt;5,Einstellungen!$B$3,Einstellungen!$B$4)</f>
        <v>29.13</v>
      </c>
      <c r="E10825" s="14" t="str">
        <f aca="false">IF(C10825="","",C10825*D10825/100)</f>
        <v/>
      </c>
      <c r="F10825" s="15" t="str">
        <f aca="false">IF(B10825&lt;5,"Go","Standard")</f>
        <v>Standard</v>
      </c>
    </row>
    <row r="10826" customFormat="false" ht="15" hidden="false" customHeight="true" outlineLevel="0" collapsed="false">
      <c r="A10826" s="10" t="n">
        <f aca="false">Einstellungen!$B$5+INT((ROW()-9)/24)</f>
        <v>46416</v>
      </c>
      <c r="B10826" s="11" t="n">
        <f aca="false">MOD(ROW()-9,24)</f>
        <v>17</v>
      </c>
      <c r="C10826" s="12"/>
      <c r="D10826" s="13" t="n">
        <f aca="false">IF(B10826&lt;5,Einstellungen!$B$3,Einstellungen!$B$4)</f>
        <v>29.13</v>
      </c>
      <c r="E10826" s="14" t="str">
        <f aca="false">IF(C10826="","",C10826*D10826/100)</f>
        <v/>
      </c>
      <c r="F10826" s="15" t="str">
        <f aca="false">IF(B10826&lt;5,"Go","Standard")</f>
        <v>Standard</v>
      </c>
    </row>
    <row r="10827" customFormat="false" ht="15" hidden="false" customHeight="true" outlineLevel="0" collapsed="false">
      <c r="A10827" s="10" t="n">
        <f aca="false">Einstellungen!$B$5+INT((ROW()-9)/24)</f>
        <v>46416</v>
      </c>
      <c r="B10827" s="11" t="n">
        <f aca="false">MOD(ROW()-9,24)</f>
        <v>18</v>
      </c>
      <c r="C10827" s="12"/>
      <c r="D10827" s="13" t="n">
        <f aca="false">IF(B10827&lt;5,Einstellungen!$B$3,Einstellungen!$B$4)</f>
        <v>29.13</v>
      </c>
      <c r="E10827" s="14" t="str">
        <f aca="false">IF(C10827="","",C10827*D10827/100)</f>
        <v/>
      </c>
      <c r="F10827" s="15" t="str">
        <f aca="false">IF(B10827&lt;5,"Go","Standard")</f>
        <v>Standard</v>
      </c>
    </row>
    <row r="10828" customFormat="false" ht="15" hidden="false" customHeight="true" outlineLevel="0" collapsed="false">
      <c r="A10828" s="10" t="n">
        <f aca="false">Einstellungen!$B$5+INT((ROW()-9)/24)</f>
        <v>46416</v>
      </c>
      <c r="B10828" s="11" t="n">
        <f aca="false">MOD(ROW()-9,24)</f>
        <v>19</v>
      </c>
      <c r="C10828" s="12"/>
      <c r="D10828" s="13" t="n">
        <f aca="false">IF(B10828&lt;5,Einstellungen!$B$3,Einstellungen!$B$4)</f>
        <v>29.13</v>
      </c>
      <c r="E10828" s="14" t="str">
        <f aca="false">IF(C10828="","",C10828*D10828/100)</f>
        <v/>
      </c>
      <c r="F10828" s="15" t="str">
        <f aca="false">IF(B10828&lt;5,"Go","Standard")</f>
        <v>Standard</v>
      </c>
    </row>
    <row r="10829" customFormat="false" ht="15" hidden="false" customHeight="true" outlineLevel="0" collapsed="false">
      <c r="A10829" s="10" t="n">
        <f aca="false">Einstellungen!$B$5+INT((ROW()-9)/24)</f>
        <v>46416</v>
      </c>
      <c r="B10829" s="11" t="n">
        <f aca="false">MOD(ROW()-9,24)</f>
        <v>20</v>
      </c>
      <c r="C10829" s="12"/>
      <c r="D10829" s="13" t="n">
        <f aca="false">IF(B10829&lt;5,Einstellungen!$B$3,Einstellungen!$B$4)</f>
        <v>29.13</v>
      </c>
      <c r="E10829" s="14" t="str">
        <f aca="false">IF(C10829="","",C10829*D10829/100)</f>
        <v/>
      </c>
      <c r="F10829" s="15" t="str">
        <f aca="false">IF(B10829&lt;5,"Go","Standard")</f>
        <v>Standard</v>
      </c>
    </row>
    <row r="10830" customFormat="false" ht="15" hidden="false" customHeight="true" outlineLevel="0" collapsed="false">
      <c r="A10830" s="10" t="n">
        <f aca="false">Einstellungen!$B$5+INT((ROW()-9)/24)</f>
        <v>46416</v>
      </c>
      <c r="B10830" s="11" t="n">
        <f aca="false">MOD(ROW()-9,24)</f>
        <v>21</v>
      </c>
      <c r="C10830" s="12"/>
      <c r="D10830" s="13" t="n">
        <f aca="false">IF(B10830&lt;5,Einstellungen!$B$3,Einstellungen!$B$4)</f>
        <v>29.13</v>
      </c>
      <c r="E10830" s="14" t="str">
        <f aca="false">IF(C10830="","",C10830*D10830/100)</f>
        <v/>
      </c>
      <c r="F10830" s="15" t="str">
        <f aca="false">IF(B10830&lt;5,"Go","Standard")</f>
        <v>Standard</v>
      </c>
    </row>
    <row r="10831" customFormat="false" ht="15" hidden="false" customHeight="true" outlineLevel="0" collapsed="false">
      <c r="A10831" s="10" t="n">
        <f aca="false">Einstellungen!$B$5+INT((ROW()-9)/24)</f>
        <v>46416</v>
      </c>
      <c r="B10831" s="11" t="n">
        <f aca="false">MOD(ROW()-9,24)</f>
        <v>22</v>
      </c>
      <c r="C10831" s="12"/>
      <c r="D10831" s="13" t="n">
        <f aca="false">IF(B10831&lt;5,Einstellungen!$B$3,Einstellungen!$B$4)</f>
        <v>29.13</v>
      </c>
      <c r="E10831" s="14" t="str">
        <f aca="false">IF(C10831="","",C10831*D10831/100)</f>
        <v/>
      </c>
      <c r="F10831" s="15" t="str">
        <f aca="false">IF(B10831&lt;5,"Go","Standard")</f>
        <v>Standard</v>
      </c>
    </row>
    <row r="10832" customFormat="false" ht="15" hidden="false" customHeight="true" outlineLevel="0" collapsed="false">
      <c r="A10832" s="10" t="n">
        <f aca="false">Einstellungen!$B$5+INT((ROW()-9)/24)</f>
        <v>46416</v>
      </c>
      <c r="B10832" s="11" t="n">
        <f aca="false">MOD(ROW()-9,24)</f>
        <v>23</v>
      </c>
      <c r="C10832" s="12"/>
      <c r="D10832" s="13" t="n">
        <f aca="false">IF(B10832&lt;5,Einstellungen!$B$3,Einstellungen!$B$4)</f>
        <v>29.13</v>
      </c>
      <c r="E10832" s="14" t="str">
        <f aca="false">IF(C10832="","",C10832*D10832/100)</f>
        <v/>
      </c>
      <c r="F10832" s="15" t="str">
        <f aca="false">IF(B10832&lt;5,"Go","Standard")</f>
        <v>Standard</v>
      </c>
    </row>
    <row r="10833" customFormat="false" ht="15" hidden="false" customHeight="true" outlineLevel="0" collapsed="false">
      <c r="A10833" s="10" t="n">
        <f aca="false">Einstellungen!$B$5+INT((ROW()-9)/24)</f>
        <v>46417</v>
      </c>
      <c r="B10833" s="11" t="n">
        <f aca="false">MOD(ROW()-9,24)</f>
        <v>0</v>
      </c>
      <c r="C10833" s="12"/>
      <c r="D10833" s="13" t="n">
        <f aca="false">IF(B10833&lt;5,Einstellungen!$B$3,Einstellungen!$B$4)</f>
        <v>15.92</v>
      </c>
      <c r="E10833" s="14" t="str">
        <f aca="false">IF(C10833="","",C10833*D10833/100)</f>
        <v/>
      </c>
      <c r="F10833" s="15" t="str">
        <f aca="false">IF(B10833&lt;5,"Go","Standard")</f>
        <v>Go</v>
      </c>
    </row>
    <row r="10834" customFormat="false" ht="15" hidden="false" customHeight="true" outlineLevel="0" collapsed="false">
      <c r="A10834" s="10" t="n">
        <f aca="false">Einstellungen!$B$5+INT((ROW()-9)/24)</f>
        <v>46417</v>
      </c>
      <c r="B10834" s="11" t="n">
        <f aca="false">MOD(ROW()-9,24)</f>
        <v>1</v>
      </c>
      <c r="C10834" s="12"/>
      <c r="D10834" s="13" t="n">
        <f aca="false">IF(B10834&lt;5,Einstellungen!$B$3,Einstellungen!$B$4)</f>
        <v>15.92</v>
      </c>
      <c r="E10834" s="14" t="str">
        <f aca="false">IF(C10834="","",C10834*D10834/100)</f>
        <v/>
      </c>
      <c r="F10834" s="15" t="str">
        <f aca="false">IF(B10834&lt;5,"Go","Standard")</f>
        <v>Go</v>
      </c>
    </row>
    <row r="10835" customFormat="false" ht="15" hidden="false" customHeight="true" outlineLevel="0" collapsed="false">
      <c r="A10835" s="10" t="n">
        <f aca="false">Einstellungen!$B$5+INT((ROW()-9)/24)</f>
        <v>46417</v>
      </c>
      <c r="B10835" s="11" t="n">
        <f aca="false">MOD(ROW()-9,24)</f>
        <v>2</v>
      </c>
      <c r="C10835" s="12"/>
      <c r="D10835" s="13" t="n">
        <f aca="false">IF(B10835&lt;5,Einstellungen!$B$3,Einstellungen!$B$4)</f>
        <v>15.92</v>
      </c>
      <c r="E10835" s="14" t="str">
        <f aca="false">IF(C10835="","",C10835*D10835/100)</f>
        <v/>
      </c>
      <c r="F10835" s="15" t="str">
        <f aca="false">IF(B10835&lt;5,"Go","Standard")</f>
        <v>Go</v>
      </c>
    </row>
    <row r="10836" customFormat="false" ht="15" hidden="false" customHeight="true" outlineLevel="0" collapsed="false">
      <c r="A10836" s="10" t="n">
        <f aca="false">Einstellungen!$B$5+INT((ROW()-9)/24)</f>
        <v>46417</v>
      </c>
      <c r="B10836" s="11" t="n">
        <f aca="false">MOD(ROW()-9,24)</f>
        <v>3</v>
      </c>
      <c r="C10836" s="12"/>
      <c r="D10836" s="13" t="n">
        <f aca="false">IF(B10836&lt;5,Einstellungen!$B$3,Einstellungen!$B$4)</f>
        <v>15.92</v>
      </c>
      <c r="E10836" s="14" t="str">
        <f aca="false">IF(C10836="","",C10836*D10836/100)</f>
        <v/>
      </c>
      <c r="F10836" s="15" t="str">
        <f aca="false">IF(B10836&lt;5,"Go","Standard")</f>
        <v>Go</v>
      </c>
    </row>
    <row r="10837" customFormat="false" ht="15" hidden="false" customHeight="true" outlineLevel="0" collapsed="false">
      <c r="A10837" s="10" t="n">
        <f aca="false">Einstellungen!$B$5+INT((ROW()-9)/24)</f>
        <v>46417</v>
      </c>
      <c r="B10837" s="11" t="n">
        <f aca="false">MOD(ROW()-9,24)</f>
        <v>4</v>
      </c>
      <c r="C10837" s="12"/>
      <c r="D10837" s="13" t="n">
        <f aca="false">IF(B10837&lt;5,Einstellungen!$B$3,Einstellungen!$B$4)</f>
        <v>15.92</v>
      </c>
      <c r="E10837" s="14" t="str">
        <f aca="false">IF(C10837="","",C10837*D10837/100)</f>
        <v/>
      </c>
      <c r="F10837" s="15" t="str">
        <f aca="false">IF(B10837&lt;5,"Go","Standard")</f>
        <v>Go</v>
      </c>
    </row>
    <row r="10838" customFormat="false" ht="15" hidden="false" customHeight="true" outlineLevel="0" collapsed="false">
      <c r="A10838" s="10" t="n">
        <f aca="false">Einstellungen!$B$5+INT((ROW()-9)/24)</f>
        <v>46417</v>
      </c>
      <c r="B10838" s="11" t="n">
        <f aca="false">MOD(ROW()-9,24)</f>
        <v>5</v>
      </c>
      <c r="C10838" s="12"/>
      <c r="D10838" s="13" t="n">
        <f aca="false">IF(B10838&lt;5,Einstellungen!$B$3,Einstellungen!$B$4)</f>
        <v>29.13</v>
      </c>
      <c r="E10838" s="14" t="str">
        <f aca="false">IF(C10838="","",C10838*D10838/100)</f>
        <v/>
      </c>
      <c r="F10838" s="15" t="str">
        <f aca="false">IF(B10838&lt;5,"Go","Standard")</f>
        <v>Standard</v>
      </c>
    </row>
    <row r="10839" customFormat="false" ht="15" hidden="false" customHeight="true" outlineLevel="0" collapsed="false">
      <c r="A10839" s="10" t="n">
        <f aca="false">Einstellungen!$B$5+INT((ROW()-9)/24)</f>
        <v>46417</v>
      </c>
      <c r="B10839" s="11" t="n">
        <f aca="false">MOD(ROW()-9,24)</f>
        <v>6</v>
      </c>
      <c r="C10839" s="12"/>
      <c r="D10839" s="13" t="n">
        <f aca="false">IF(B10839&lt;5,Einstellungen!$B$3,Einstellungen!$B$4)</f>
        <v>29.13</v>
      </c>
      <c r="E10839" s="14" t="str">
        <f aca="false">IF(C10839="","",C10839*D10839/100)</f>
        <v/>
      </c>
      <c r="F10839" s="15" t="str">
        <f aca="false">IF(B10839&lt;5,"Go","Standard")</f>
        <v>Standard</v>
      </c>
    </row>
    <row r="10840" customFormat="false" ht="15" hidden="false" customHeight="true" outlineLevel="0" collapsed="false">
      <c r="A10840" s="10" t="n">
        <f aca="false">Einstellungen!$B$5+INT((ROW()-9)/24)</f>
        <v>46417</v>
      </c>
      <c r="B10840" s="11" t="n">
        <f aca="false">MOD(ROW()-9,24)</f>
        <v>7</v>
      </c>
      <c r="C10840" s="12"/>
      <c r="D10840" s="13" t="n">
        <f aca="false">IF(B10840&lt;5,Einstellungen!$B$3,Einstellungen!$B$4)</f>
        <v>29.13</v>
      </c>
      <c r="E10840" s="14" t="str">
        <f aca="false">IF(C10840="","",C10840*D10840/100)</f>
        <v/>
      </c>
      <c r="F10840" s="15" t="str">
        <f aca="false">IF(B10840&lt;5,"Go","Standard")</f>
        <v>Standard</v>
      </c>
    </row>
    <row r="10841" customFormat="false" ht="15" hidden="false" customHeight="true" outlineLevel="0" collapsed="false">
      <c r="A10841" s="10" t="n">
        <f aca="false">Einstellungen!$B$5+INT((ROW()-9)/24)</f>
        <v>46417</v>
      </c>
      <c r="B10841" s="11" t="n">
        <f aca="false">MOD(ROW()-9,24)</f>
        <v>8</v>
      </c>
      <c r="C10841" s="12"/>
      <c r="D10841" s="13" t="n">
        <f aca="false">IF(B10841&lt;5,Einstellungen!$B$3,Einstellungen!$B$4)</f>
        <v>29.13</v>
      </c>
      <c r="E10841" s="14" t="str">
        <f aca="false">IF(C10841="","",C10841*D10841/100)</f>
        <v/>
      </c>
      <c r="F10841" s="15" t="str">
        <f aca="false">IF(B10841&lt;5,"Go","Standard")</f>
        <v>Standard</v>
      </c>
    </row>
    <row r="10842" customFormat="false" ht="15" hidden="false" customHeight="true" outlineLevel="0" collapsed="false">
      <c r="A10842" s="10" t="n">
        <f aca="false">Einstellungen!$B$5+INT((ROW()-9)/24)</f>
        <v>46417</v>
      </c>
      <c r="B10842" s="11" t="n">
        <f aca="false">MOD(ROW()-9,24)</f>
        <v>9</v>
      </c>
      <c r="C10842" s="12"/>
      <c r="D10842" s="13" t="n">
        <f aca="false">IF(B10842&lt;5,Einstellungen!$B$3,Einstellungen!$B$4)</f>
        <v>29.13</v>
      </c>
      <c r="E10842" s="14" t="str">
        <f aca="false">IF(C10842="","",C10842*D10842/100)</f>
        <v/>
      </c>
      <c r="F10842" s="15" t="str">
        <f aca="false">IF(B10842&lt;5,"Go","Standard")</f>
        <v>Standard</v>
      </c>
    </row>
    <row r="10843" customFormat="false" ht="15" hidden="false" customHeight="true" outlineLevel="0" collapsed="false">
      <c r="A10843" s="10" t="n">
        <f aca="false">Einstellungen!$B$5+INT((ROW()-9)/24)</f>
        <v>46417</v>
      </c>
      <c r="B10843" s="11" t="n">
        <f aca="false">MOD(ROW()-9,24)</f>
        <v>10</v>
      </c>
      <c r="C10843" s="12"/>
      <c r="D10843" s="13" t="n">
        <f aca="false">IF(B10843&lt;5,Einstellungen!$B$3,Einstellungen!$B$4)</f>
        <v>29.13</v>
      </c>
      <c r="E10843" s="14" t="str">
        <f aca="false">IF(C10843="","",C10843*D10843/100)</f>
        <v/>
      </c>
      <c r="F10843" s="15" t="str">
        <f aca="false">IF(B10843&lt;5,"Go","Standard")</f>
        <v>Standard</v>
      </c>
    </row>
    <row r="10844" customFormat="false" ht="15" hidden="false" customHeight="true" outlineLevel="0" collapsed="false">
      <c r="A10844" s="10" t="n">
        <f aca="false">Einstellungen!$B$5+INT((ROW()-9)/24)</f>
        <v>46417</v>
      </c>
      <c r="B10844" s="11" t="n">
        <f aca="false">MOD(ROW()-9,24)</f>
        <v>11</v>
      </c>
      <c r="C10844" s="12"/>
      <c r="D10844" s="13" t="n">
        <f aca="false">IF(B10844&lt;5,Einstellungen!$B$3,Einstellungen!$B$4)</f>
        <v>29.13</v>
      </c>
      <c r="E10844" s="14" t="str">
        <f aca="false">IF(C10844="","",C10844*D10844/100)</f>
        <v/>
      </c>
      <c r="F10844" s="15" t="str">
        <f aca="false">IF(B10844&lt;5,"Go","Standard")</f>
        <v>Standard</v>
      </c>
    </row>
    <row r="10845" customFormat="false" ht="15" hidden="false" customHeight="true" outlineLevel="0" collapsed="false">
      <c r="A10845" s="10" t="n">
        <f aca="false">Einstellungen!$B$5+INT((ROW()-9)/24)</f>
        <v>46417</v>
      </c>
      <c r="B10845" s="11" t="n">
        <f aca="false">MOD(ROW()-9,24)</f>
        <v>12</v>
      </c>
      <c r="C10845" s="12"/>
      <c r="D10845" s="13" t="n">
        <f aca="false">IF(B10845&lt;5,Einstellungen!$B$3,Einstellungen!$B$4)</f>
        <v>29.13</v>
      </c>
      <c r="E10845" s="14" t="str">
        <f aca="false">IF(C10845="","",C10845*D10845/100)</f>
        <v/>
      </c>
      <c r="F10845" s="15" t="str">
        <f aca="false">IF(B10845&lt;5,"Go","Standard")</f>
        <v>Standard</v>
      </c>
    </row>
    <row r="10846" customFormat="false" ht="15" hidden="false" customHeight="true" outlineLevel="0" collapsed="false">
      <c r="A10846" s="10" t="n">
        <f aca="false">Einstellungen!$B$5+INT((ROW()-9)/24)</f>
        <v>46417</v>
      </c>
      <c r="B10846" s="11" t="n">
        <f aca="false">MOD(ROW()-9,24)</f>
        <v>13</v>
      </c>
      <c r="C10846" s="12"/>
      <c r="D10846" s="13" t="n">
        <f aca="false">IF(B10846&lt;5,Einstellungen!$B$3,Einstellungen!$B$4)</f>
        <v>29.13</v>
      </c>
      <c r="E10846" s="14" t="str">
        <f aca="false">IF(C10846="","",C10846*D10846/100)</f>
        <v/>
      </c>
      <c r="F10846" s="15" t="str">
        <f aca="false">IF(B10846&lt;5,"Go","Standard")</f>
        <v>Standard</v>
      </c>
    </row>
    <row r="10847" customFormat="false" ht="15" hidden="false" customHeight="true" outlineLevel="0" collapsed="false">
      <c r="A10847" s="10" t="n">
        <f aca="false">Einstellungen!$B$5+INT((ROW()-9)/24)</f>
        <v>46417</v>
      </c>
      <c r="B10847" s="11" t="n">
        <f aca="false">MOD(ROW()-9,24)</f>
        <v>14</v>
      </c>
      <c r="C10847" s="12"/>
      <c r="D10847" s="13" t="n">
        <f aca="false">IF(B10847&lt;5,Einstellungen!$B$3,Einstellungen!$B$4)</f>
        <v>29.13</v>
      </c>
      <c r="E10847" s="14" t="str">
        <f aca="false">IF(C10847="","",C10847*D10847/100)</f>
        <v/>
      </c>
      <c r="F10847" s="15" t="str">
        <f aca="false">IF(B10847&lt;5,"Go","Standard")</f>
        <v>Standard</v>
      </c>
    </row>
    <row r="10848" customFormat="false" ht="15" hidden="false" customHeight="true" outlineLevel="0" collapsed="false">
      <c r="A10848" s="10" t="n">
        <f aca="false">Einstellungen!$B$5+INT((ROW()-9)/24)</f>
        <v>46417</v>
      </c>
      <c r="B10848" s="11" t="n">
        <f aca="false">MOD(ROW()-9,24)</f>
        <v>15</v>
      </c>
      <c r="C10848" s="12"/>
      <c r="D10848" s="13" t="n">
        <f aca="false">IF(B10848&lt;5,Einstellungen!$B$3,Einstellungen!$B$4)</f>
        <v>29.13</v>
      </c>
      <c r="E10848" s="14" t="str">
        <f aca="false">IF(C10848="","",C10848*D10848/100)</f>
        <v/>
      </c>
      <c r="F10848" s="15" t="str">
        <f aca="false">IF(B10848&lt;5,"Go","Standard")</f>
        <v>Standard</v>
      </c>
    </row>
    <row r="10849" customFormat="false" ht="15" hidden="false" customHeight="true" outlineLevel="0" collapsed="false">
      <c r="A10849" s="10" t="n">
        <f aca="false">Einstellungen!$B$5+INT((ROW()-9)/24)</f>
        <v>46417</v>
      </c>
      <c r="B10849" s="11" t="n">
        <f aca="false">MOD(ROW()-9,24)</f>
        <v>16</v>
      </c>
      <c r="C10849" s="12"/>
      <c r="D10849" s="13" t="n">
        <f aca="false">IF(B10849&lt;5,Einstellungen!$B$3,Einstellungen!$B$4)</f>
        <v>29.13</v>
      </c>
      <c r="E10849" s="14" t="str">
        <f aca="false">IF(C10849="","",C10849*D10849/100)</f>
        <v/>
      </c>
      <c r="F10849" s="15" t="str">
        <f aca="false">IF(B10849&lt;5,"Go","Standard")</f>
        <v>Standard</v>
      </c>
    </row>
    <row r="10850" customFormat="false" ht="15" hidden="false" customHeight="true" outlineLevel="0" collapsed="false">
      <c r="A10850" s="10" t="n">
        <f aca="false">Einstellungen!$B$5+INT((ROW()-9)/24)</f>
        <v>46417</v>
      </c>
      <c r="B10850" s="11" t="n">
        <f aca="false">MOD(ROW()-9,24)</f>
        <v>17</v>
      </c>
      <c r="C10850" s="12"/>
      <c r="D10850" s="13" t="n">
        <f aca="false">IF(B10850&lt;5,Einstellungen!$B$3,Einstellungen!$B$4)</f>
        <v>29.13</v>
      </c>
      <c r="E10850" s="14" t="str">
        <f aca="false">IF(C10850="","",C10850*D10850/100)</f>
        <v/>
      </c>
      <c r="F10850" s="15" t="str">
        <f aca="false">IF(B10850&lt;5,"Go","Standard")</f>
        <v>Standard</v>
      </c>
    </row>
    <row r="10851" customFormat="false" ht="15" hidden="false" customHeight="true" outlineLevel="0" collapsed="false">
      <c r="A10851" s="10" t="n">
        <f aca="false">Einstellungen!$B$5+INT((ROW()-9)/24)</f>
        <v>46417</v>
      </c>
      <c r="B10851" s="11" t="n">
        <f aca="false">MOD(ROW()-9,24)</f>
        <v>18</v>
      </c>
      <c r="C10851" s="12"/>
      <c r="D10851" s="13" t="n">
        <f aca="false">IF(B10851&lt;5,Einstellungen!$B$3,Einstellungen!$B$4)</f>
        <v>29.13</v>
      </c>
      <c r="E10851" s="14" t="str">
        <f aca="false">IF(C10851="","",C10851*D10851/100)</f>
        <v/>
      </c>
      <c r="F10851" s="15" t="str">
        <f aca="false">IF(B10851&lt;5,"Go","Standard")</f>
        <v>Standard</v>
      </c>
    </row>
    <row r="10852" customFormat="false" ht="15" hidden="false" customHeight="true" outlineLevel="0" collapsed="false">
      <c r="A10852" s="10" t="n">
        <f aca="false">Einstellungen!$B$5+INT((ROW()-9)/24)</f>
        <v>46417</v>
      </c>
      <c r="B10852" s="11" t="n">
        <f aca="false">MOD(ROW()-9,24)</f>
        <v>19</v>
      </c>
      <c r="C10852" s="12"/>
      <c r="D10852" s="13" t="n">
        <f aca="false">IF(B10852&lt;5,Einstellungen!$B$3,Einstellungen!$B$4)</f>
        <v>29.13</v>
      </c>
      <c r="E10852" s="14" t="str">
        <f aca="false">IF(C10852="","",C10852*D10852/100)</f>
        <v/>
      </c>
      <c r="F10852" s="15" t="str">
        <f aca="false">IF(B10852&lt;5,"Go","Standard")</f>
        <v>Standard</v>
      </c>
    </row>
    <row r="10853" customFormat="false" ht="15" hidden="false" customHeight="true" outlineLevel="0" collapsed="false">
      <c r="A10853" s="10" t="n">
        <f aca="false">Einstellungen!$B$5+INT((ROW()-9)/24)</f>
        <v>46417</v>
      </c>
      <c r="B10853" s="11" t="n">
        <f aca="false">MOD(ROW()-9,24)</f>
        <v>20</v>
      </c>
      <c r="C10853" s="12"/>
      <c r="D10853" s="13" t="n">
        <f aca="false">IF(B10853&lt;5,Einstellungen!$B$3,Einstellungen!$B$4)</f>
        <v>29.13</v>
      </c>
      <c r="E10853" s="14" t="str">
        <f aca="false">IF(C10853="","",C10853*D10853/100)</f>
        <v/>
      </c>
      <c r="F10853" s="15" t="str">
        <f aca="false">IF(B10853&lt;5,"Go","Standard")</f>
        <v>Standard</v>
      </c>
    </row>
    <row r="10854" customFormat="false" ht="15" hidden="false" customHeight="true" outlineLevel="0" collapsed="false">
      <c r="A10854" s="10" t="n">
        <f aca="false">Einstellungen!$B$5+INT((ROW()-9)/24)</f>
        <v>46417</v>
      </c>
      <c r="B10854" s="11" t="n">
        <f aca="false">MOD(ROW()-9,24)</f>
        <v>21</v>
      </c>
      <c r="C10854" s="12"/>
      <c r="D10854" s="13" t="n">
        <f aca="false">IF(B10854&lt;5,Einstellungen!$B$3,Einstellungen!$B$4)</f>
        <v>29.13</v>
      </c>
      <c r="E10854" s="14" t="str">
        <f aca="false">IF(C10854="","",C10854*D10854/100)</f>
        <v/>
      </c>
      <c r="F10854" s="15" t="str">
        <f aca="false">IF(B10854&lt;5,"Go","Standard")</f>
        <v>Standard</v>
      </c>
    </row>
    <row r="10855" customFormat="false" ht="15" hidden="false" customHeight="true" outlineLevel="0" collapsed="false">
      <c r="A10855" s="10" t="n">
        <f aca="false">Einstellungen!$B$5+INT((ROW()-9)/24)</f>
        <v>46417</v>
      </c>
      <c r="B10855" s="11" t="n">
        <f aca="false">MOD(ROW()-9,24)</f>
        <v>22</v>
      </c>
      <c r="C10855" s="12"/>
      <c r="D10855" s="13" t="n">
        <f aca="false">IF(B10855&lt;5,Einstellungen!$B$3,Einstellungen!$B$4)</f>
        <v>29.13</v>
      </c>
      <c r="E10855" s="14" t="str">
        <f aca="false">IF(C10855="","",C10855*D10855/100)</f>
        <v/>
      </c>
      <c r="F10855" s="15" t="str">
        <f aca="false">IF(B10855&lt;5,"Go","Standard")</f>
        <v>Standard</v>
      </c>
    </row>
    <row r="10856" customFormat="false" ht="15" hidden="false" customHeight="true" outlineLevel="0" collapsed="false">
      <c r="A10856" s="10" t="n">
        <f aca="false">Einstellungen!$B$5+INT((ROW()-9)/24)</f>
        <v>46417</v>
      </c>
      <c r="B10856" s="11" t="n">
        <f aca="false">MOD(ROW()-9,24)</f>
        <v>23</v>
      </c>
      <c r="C10856" s="12"/>
      <c r="D10856" s="13" t="n">
        <f aca="false">IF(B10856&lt;5,Einstellungen!$B$3,Einstellungen!$B$4)</f>
        <v>29.13</v>
      </c>
      <c r="E10856" s="14" t="str">
        <f aca="false">IF(C10856="","",C10856*D10856/100)</f>
        <v/>
      </c>
      <c r="F10856" s="15" t="str">
        <f aca="false">IF(B10856&lt;5,"Go","Standard")</f>
        <v>Standard</v>
      </c>
    </row>
    <row r="10857" customFormat="false" ht="15" hidden="false" customHeight="true" outlineLevel="0" collapsed="false">
      <c r="A10857" s="10" t="n">
        <f aca="false">Einstellungen!$B$5+INT((ROW()-9)/24)</f>
        <v>46418</v>
      </c>
      <c r="B10857" s="11" t="n">
        <f aca="false">MOD(ROW()-9,24)</f>
        <v>0</v>
      </c>
      <c r="C10857" s="12"/>
      <c r="D10857" s="13" t="n">
        <f aca="false">IF(B10857&lt;5,Einstellungen!$B$3,Einstellungen!$B$4)</f>
        <v>15.92</v>
      </c>
      <c r="E10857" s="14" t="str">
        <f aca="false">IF(C10857="","",C10857*D10857/100)</f>
        <v/>
      </c>
      <c r="F10857" s="15" t="str">
        <f aca="false">IF(B10857&lt;5,"Go","Standard")</f>
        <v>Go</v>
      </c>
    </row>
    <row r="10858" customFormat="false" ht="15" hidden="false" customHeight="true" outlineLevel="0" collapsed="false">
      <c r="A10858" s="10" t="n">
        <f aca="false">Einstellungen!$B$5+INT((ROW()-9)/24)</f>
        <v>46418</v>
      </c>
      <c r="B10858" s="11" t="n">
        <f aca="false">MOD(ROW()-9,24)</f>
        <v>1</v>
      </c>
      <c r="C10858" s="12"/>
      <c r="D10858" s="13" t="n">
        <f aca="false">IF(B10858&lt;5,Einstellungen!$B$3,Einstellungen!$B$4)</f>
        <v>15.92</v>
      </c>
      <c r="E10858" s="14" t="str">
        <f aca="false">IF(C10858="","",C10858*D10858/100)</f>
        <v/>
      </c>
      <c r="F10858" s="15" t="str">
        <f aca="false">IF(B10858&lt;5,"Go","Standard")</f>
        <v>Go</v>
      </c>
    </row>
    <row r="10859" customFormat="false" ht="15" hidden="false" customHeight="true" outlineLevel="0" collapsed="false">
      <c r="A10859" s="10" t="n">
        <f aca="false">Einstellungen!$B$5+INT((ROW()-9)/24)</f>
        <v>46418</v>
      </c>
      <c r="B10859" s="11" t="n">
        <f aca="false">MOD(ROW()-9,24)</f>
        <v>2</v>
      </c>
      <c r="C10859" s="12"/>
      <c r="D10859" s="13" t="n">
        <f aca="false">IF(B10859&lt;5,Einstellungen!$B$3,Einstellungen!$B$4)</f>
        <v>15.92</v>
      </c>
      <c r="E10859" s="14" t="str">
        <f aca="false">IF(C10859="","",C10859*D10859/100)</f>
        <v/>
      </c>
      <c r="F10859" s="15" t="str">
        <f aca="false">IF(B10859&lt;5,"Go","Standard")</f>
        <v>Go</v>
      </c>
    </row>
    <row r="10860" customFormat="false" ht="15" hidden="false" customHeight="true" outlineLevel="0" collapsed="false">
      <c r="A10860" s="10" t="n">
        <f aca="false">Einstellungen!$B$5+INT((ROW()-9)/24)</f>
        <v>46418</v>
      </c>
      <c r="B10860" s="11" t="n">
        <f aca="false">MOD(ROW()-9,24)</f>
        <v>3</v>
      </c>
      <c r="C10860" s="12"/>
      <c r="D10860" s="13" t="n">
        <f aca="false">IF(B10860&lt;5,Einstellungen!$B$3,Einstellungen!$B$4)</f>
        <v>15.92</v>
      </c>
      <c r="E10860" s="14" t="str">
        <f aca="false">IF(C10860="","",C10860*D10860/100)</f>
        <v/>
      </c>
      <c r="F10860" s="15" t="str">
        <f aca="false">IF(B10860&lt;5,"Go","Standard")</f>
        <v>Go</v>
      </c>
    </row>
    <row r="10861" customFormat="false" ht="15" hidden="false" customHeight="true" outlineLevel="0" collapsed="false">
      <c r="A10861" s="10" t="n">
        <f aca="false">Einstellungen!$B$5+INT((ROW()-9)/24)</f>
        <v>46418</v>
      </c>
      <c r="B10861" s="11" t="n">
        <f aca="false">MOD(ROW()-9,24)</f>
        <v>4</v>
      </c>
      <c r="C10861" s="12"/>
      <c r="D10861" s="13" t="n">
        <f aca="false">IF(B10861&lt;5,Einstellungen!$B$3,Einstellungen!$B$4)</f>
        <v>15.92</v>
      </c>
      <c r="E10861" s="14" t="str">
        <f aca="false">IF(C10861="","",C10861*D10861/100)</f>
        <v/>
      </c>
      <c r="F10861" s="15" t="str">
        <f aca="false">IF(B10861&lt;5,"Go","Standard")</f>
        <v>Go</v>
      </c>
    </row>
    <row r="10862" customFormat="false" ht="15" hidden="false" customHeight="true" outlineLevel="0" collapsed="false">
      <c r="A10862" s="10" t="n">
        <f aca="false">Einstellungen!$B$5+INT((ROW()-9)/24)</f>
        <v>46418</v>
      </c>
      <c r="B10862" s="11" t="n">
        <f aca="false">MOD(ROW()-9,24)</f>
        <v>5</v>
      </c>
      <c r="C10862" s="12"/>
      <c r="D10862" s="13" t="n">
        <f aca="false">IF(B10862&lt;5,Einstellungen!$B$3,Einstellungen!$B$4)</f>
        <v>29.13</v>
      </c>
      <c r="E10862" s="14" t="str">
        <f aca="false">IF(C10862="","",C10862*D10862/100)</f>
        <v/>
      </c>
      <c r="F10862" s="15" t="str">
        <f aca="false">IF(B10862&lt;5,"Go","Standard")</f>
        <v>Standard</v>
      </c>
    </row>
    <row r="10863" customFormat="false" ht="15" hidden="false" customHeight="true" outlineLevel="0" collapsed="false">
      <c r="A10863" s="10" t="n">
        <f aca="false">Einstellungen!$B$5+INT((ROW()-9)/24)</f>
        <v>46418</v>
      </c>
      <c r="B10863" s="11" t="n">
        <f aca="false">MOD(ROW()-9,24)</f>
        <v>6</v>
      </c>
      <c r="C10863" s="12"/>
      <c r="D10863" s="13" t="n">
        <f aca="false">IF(B10863&lt;5,Einstellungen!$B$3,Einstellungen!$B$4)</f>
        <v>29.13</v>
      </c>
      <c r="E10863" s="14" t="str">
        <f aca="false">IF(C10863="","",C10863*D10863/100)</f>
        <v/>
      </c>
      <c r="F10863" s="15" t="str">
        <f aca="false">IF(B10863&lt;5,"Go","Standard")</f>
        <v>Standard</v>
      </c>
    </row>
    <row r="10864" customFormat="false" ht="15" hidden="false" customHeight="true" outlineLevel="0" collapsed="false">
      <c r="A10864" s="10" t="n">
        <f aca="false">Einstellungen!$B$5+INT((ROW()-9)/24)</f>
        <v>46418</v>
      </c>
      <c r="B10864" s="11" t="n">
        <f aca="false">MOD(ROW()-9,24)</f>
        <v>7</v>
      </c>
      <c r="C10864" s="12"/>
      <c r="D10864" s="13" t="n">
        <f aca="false">IF(B10864&lt;5,Einstellungen!$B$3,Einstellungen!$B$4)</f>
        <v>29.13</v>
      </c>
      <c r="E10864" s="14" t="str">
        <f aca="false">IF(C10864="","",C10864*D10864/100)</f>
        <v/>
      </c>
      <c r="F10864" s="15" t="str">
        <f aca="false">IF(B10864&lt;5,"Go","Standard")</f>
        <v>Standard</v>
      </c>
    </row>
    <row r="10865" customFormat="false" ht="15" hidden="false" customHeight="true" outlineLevel="0" collapsed="false">
      <c r="A10865" s="10" t="n">
        <f aca="false">Einstellungen!$B$5+INT((ROW()-9)/24)</f>
        <v>46418</v>
      </c>
      <c r="B10865" s="11" t="n">
        <f aca="false">MOD(ROW()-9,24)</f>
        <v>8</v>
      </c>
      <c r="C10865" s="12"/>
      <c r="D10865" s="13" t="n">
        <f aca="false">IF(B10865&lt;5,Einstellungen!$B$3,Einstellungen!$B$4)</f>
        <v>29.13</v>
      </c>
      <c r="E10865" s="14" t="str">
        <f aca="false">IF(C10865="","",C10865*D10865/100)</f>
        <v/>
      </c>
      <c r="F10865" s="15" t="str">
        <f aca="false">IF(B10865&lt;5,"Go","Standard")</f>
        <v>Standard</v>
      </c>
    </row>
    <row r="10866" customFormat="false" ht="15" hidden="false" customHeight="true" outlineLevel="0" collapsed="false">
      <c r="A10866" s="10" t="n">
        <f aca="false">Einstellungen!$B$5+INT((ROW()-9)/24)</f>
        <v>46418</v>
      </c>
      <c r="B10866" s="11" t="n">
        <f aca="false">MOD(ROW()-9,24)</f>
        <v>9</v>
      </c>
      <c r="C10866" s="12"/>
      <c r="D10866" s="13" t="n">
        <f aca="false">IF(B10866&lt;5,Einstellungen!$B$3,Einstellungen!$B$4)</f>
        <v>29.13</v>
      </c>
      <c r="E10866" s="14" t="str">
        <f aca="false">IF(C10866="","",C10866*D10866/100)</f>
        <v/>
      </c>
      <c r="F10866" s="15" t="str">
        <f aca="false">IF(B10866&lt;5,"Go","Standard")</f>
        <v>Standard</v>
      </c>
    </row>
    <row r="10867" customFormat="false" ht="15" hidden="false" customHeight="true" outlineLevel="0" collapsed="false">
      <c r="A10867" s="10" t="n">
        <f aca="false">Einstellungen!$B$5+INT((ROW()-9)/24)</f>
        <v>46418</v>
      </c>
      <c r="B10867" s="11" t="n">
        <f aca="false">MOD(ROW()-9,24)</f>
        <v>10</v>
      </c>
      <c r="C10867" s="12"/>
      <c r="D10867" s="13" t="n">
        <f aca="false">IF(B10867&lt;5,Einstellungen!$B$3,Einstellungen!$B$4)</f>
        <v>29.13</v>
      </c>
      <c r="E10867" s="14" t="str">
        <f aca="false">IF(C10867="","",C10867*D10867/100)</f>
        <v/>
      </c>
      <c r="F10867" s="15" t="str">
        <f aca="false">IF(B10867&lt;5,"Go","Standard")</f>
        <v>Standard</v>
      </c>
    </row>
    <row r="10868" customFormat="false" ht="15" hidden="false" customHeight="true" outlineLevel="0" collapsed="false">
      <c r="A10868" s="10" t="n">
        <f aca="false">Einstellungen!$B$5+INT((ROW()-9)/24)</f>
        <v>46418</v>
      </c>
      <c r="B10868" s="11" t="n">
        <f aca="false">MOD(ROW()-9,24)</f>
        <v>11</v>
      </c>
      <c r="C10868" s="12"/>
      <c r="D10868" s="13" t="n">
        <f aca="false">IF(B10868&lt;5,Einstellungen!$B$3,Einstellungen!$B$4)</f>
        <v>29.13</v>
      </c>
      <c r="E10868" s="14" t="str">
        <f aca="false">IF(C10868="","",C10868*D10868/100)</f>
        <v/>
      </c>
      <c r="F10868" s="15" t="str">
        <f aca="false">IF(B10868&lt;5,"Go","Standard")</f>
        <v>Standard</v>
      </c>
    </row>
    <row r="10869" customFormat="false" ht="15" hidden="false" customHeight="true" outlineLevel="0" collapsed="false">
      <c r="A10869" s="10" t="n">
        <f aca="false">Einstellungen!$B$5+INT((ROW()-9)/24)</f>
        <v>46418</v>
      </c>
      <c r="B10869" s="11" t="n">
        <f aca="false">MOD(ROW()-9,24)</f>
        <v>12</v>
      </c>
      <c r="C10869" s="12"/>
      <c r="D10869" s="13" t="n">
        <f aca="false">IF(B10869&lt;5,Einstellungen!$B$3,Einstellungen!$B$4)</f>
        <v>29.13</v>
      </c>
      <c r="E10869" s="14" t="str">
        <f aca="false">IF(C10869="","",C10869*D10869/100)</f>
        <v/>
      </c>
      <c r="F10869" s="15" t="str">
        <f aca="false">IF(B10869&lt;5,"Go","Standard")</f>
        <v>Standard</v>
      </c>
    </row>
    <row r="10870" customFormat="false" ht="15" hidden="false" customHeight="true" outlineLevel="0" collapsed="false">
      <c r="A10870" s="10" t="n">
        <f aca="false">Einstellungen!$B$5+INT((ROW()-9)/24)</f>
        <v>46418</v>
      </c>
      <c r="B10870" s="11" t="n">
        <f aca="false">MOD(ROW()-9,24)</f>
        <v>13</v>
      </c>
      <c r="C10870" s="12"/>
      <c r="D10870" s="13" t="n">
        <f aca="false">IF(B10870&lt;5,Einstellungen!$B$3,Einstellungen!$B$4)</f>
        <v>29.13</v>
      </c>
      <c r="E10870" s="14" t="str">
        <f aca="false">IF(C10870="","",C10870*D10870/100)</f>
        <v/>
      </c>
      <c r="F10870" s="15" t="str">
        <f aca="false">IF(B10870&lt;5,"Go","Standard")</f>
        <v>Standard</v>
      </c>
    </row>
    <row r="10871" customFormat="false" ht="15" hidden="false" customHeight="true" outlineLevel="0" collapsed="false">
      <c r="A10871" s="10" t="n">
        <f aca="false">Einstellungen!$B$5+INT((ROW()-9)/24)</f>
        <v>46418</v>
      </c>
      <c r="B10871" s="11" t="n">
        <f aca="false">MOD(ROW()-9,24)</f>
        <v>14</v>
      </c>
      <c r="C10871" s="12"/>
      <c r="D10871" s="13" t="n">
        <f aca="false">IF(B10871&lt;5,Einstellungen!$B$3,Einstellungen!$B$4)</f>
        <v>29.13</v>
      </c>
      <c r="E10871" s="14" t="str">
        <f aca="false">IF(C10871="","",C10871*D10871/100)</f>
        <v/>
      </c>
      <c r="F10871" s="15" t="str">
        <f aca="false">IF(B10871&lt;5,"Go","Standard")</f>
        <v>Standard</v>
      </c>
    </row>
    <row r="10872" customFormat="false" ht="15" hidden="false" customHeight="true" outlineLevel="0" collapsed="false">
      <c r="A10872" s="10" t="n">
        <f aca="false">Einstellungen!$B$5+INT((ROW()-9)/24)</f>
        <v>46418</v>
      </c>
      <c r="B10872" s="11" t="n">
        <f aca="false">MOD(ROW()-9,24)</f>
        <v>15</v>
      </c>
      <c r="C10872" s="12"/>
      <c r="D10872" s="13" t="n">
        <f aca="false">IF(B10872&lt;5,Einstellungen!$B$3,Einstellungen!$B$4)</f>
        <v>29.13</v>
      </c>
      <c r="E10872" s="14" t="str">
        <f aca="false">IF(C10872="","",C10872*D10872/100)</f>
        <v/>
      </c>
      <c r="F10872" s="15" t="str">
        <f aca="false">IF(B10872&lt;5,"Go","Standard")</f>
        <v>Standard</v>
      </c>
    </row>
    <row r="10873" customFormat="false" ht="15" hidden="false" customHeight="true" outlineLevel="0" collapsed="false">
      <c r="A10873" s="10" t="n">
        <f aca="false">Einstellungen!$B$5+INT((ROW()-9)/24)</f>
        <v>46418</v>
      </c>
      <c r="B10873" s="11" t="n">
        <f aca="false">MOD(ROW()-9,24)</f>
        <v>16</v>
      </c>
      <c r="C10873" s="12"/>
      <c r="D10873" s="13" t="n">
        <f aca="false">IF(B10873&lt;5,Einstellungen!$B$3,Einstellungen!$B$4)</f>
        <v>29.13</v>
      </c>
      <c r="E10873" s="14" t="str">
        <f aca="false">IF(C10873="","",C10873*D10873/100)</f>
        <v/>
      </c>
      <c r="F10873" s="15" t="str">
        <f aca="false">IF(B10873&lt;5,"Go","Standard")</f>
        <v>Standard</v>
      </c>
    </row>
    <row r="10874" customFormat="false" ht="15" hidden="false" customHeight="true" outlineLevel="0" collapsed="false">
      <c r="A10874" s="10" t="n">
        <f aca="false">Einstellungen!$B$5+INT((ROW()-9)/24)</f>
        <v>46418</v>
      </c>
      <c r="B10874" s="11" t="n">
        <f aca="false">MOD(ROW()-9,24)</f>
        <v>17</v>
      </c>
      <c r="C10874" s="12"/>
      <c r="D10874" s="13" t="n">
        <f aca="false">IF(B10874&lt;5,Einstellungen!$B$3,Einstellungen!$B$4)</f>
        <v>29.13</v>
      </c>
      <c r="E10874" s="14" t="str">
        <f aca="false">IF(C10874="","",C10874*D10874/100)</f>
        <v/>
      </c>
      <c r="F10874" s="15" t="str">
        <f aca="false">IF(B10874&lt;5,"Go","Standard")</f>
        <v>Standard</v>
      </c>
    </row>
    <row r="10875" customFormat="false" ht="15" hidden="false" customHeight="true" outlineLevel="0" collapsed="false">
      <c r="A10875" s="10" t="n">
        <f aca="false">Einstellungen!$B$5+INT((ROW()-9)/24)</f>
        <v>46418</v>
      </c>
      <c r="B10875" s="11" t="n">
        <f aca="false">MOD(ROW()-9,24)</f>
        <v>18</v>
      </c>
      <c r="C10875" s="12"/>
      <c r="D10875" s="13" t="n">
        <f aca="false">IF(B10875&lt;5,Einstellungen!$B$3,Einstellungen!$B$4)</f>
        <v>29.13</v>
      </c>
      <c r="E10875" s="14" t="str">
        <f aca="false">IF(C10875="","",C10875*D10875/100)</f>
        <v/>
      </c>
      <c r="F10875" s="15" t="str">
        <f aca="false">IF(B10875&lt;5,"Go","Standard")</f>
        <v>Standard</v>
      </c>
    </row>
    <row r="10876" customFormat="false" ht="15" hidden="false" customHeight="true" outlineLevel="0" collapsed="false">
      <c r="A10876" s="10" t="n">
        <f aca="false">Einstellungen!$B$5+INT((ROW()-9)/24)</f>
        <v>46418</v>
      </c>
      <c r="B10876" s="11" t="n">
        <f aca="false">MOD(ROW()-9,24)</f>
        <v>19</v>
      </c>
      <c r="C10876" s="12"/>
      <c r="D10876" s="13" t="n">
        <f aca="false">IF(B10876&lt;5,Einstellungen!$B$3,Einstellungen!$B$4)</f>
        <v>29.13</v>
      </c>
      <c r="E10876" s="14" t="str">
        <f aca="false">IF(C10876="","",C10876*D10876/100)</f>
        <v/>
      </c>
      <c r="F10876" s="15" t="str">
        <f aca="false">IF(B10876&lt;5,"Go","Standard")</f>
        <v>Standard</v>
      </c>
    </row>
    <row r="10877" customFormat="false" ht="15" hidden="false" customHeight="true" outlineLevel="0" collapsed="false">
      <c r="A10877" s="10" t="n">
        <f aca="false">Einstellungen!$B$5+INT((ROW()-9)/24)</f>
        <v>46418</v>
      </c>
      <c r="B10877" s="11" t="n">
        <f aca="false">MOD(ROW()-9,24)</f>
        <v>20</v>
      </c>
      <c r="C10877" s="12"/>
      <c r="D10877" s="13" t="n">
        <f aca="false">IF(B10877&lt;5,Einstellungen!$B$3,Einstellungen!$B$4)</f>
        <v>29.13</v>
      </c>
      <c r="E10877" s="14" t="str">
        <f aca="false">IF(C10877="","",C10877*D10877/100)</f>
        <v/>
      </c>
      <c r="F10877" s="15" t="str">
        <f aca="false">IF(B10877&lt;5,"Go","Standard")</f>
        <v>Standard</v>
      </c>
    </row>
    <row r="10878" customFormat="false" ht="15" hidden="false" customHeight="true" outlineLevel="0" collapsed="false">
      <c r="A10878" s="10" t="n">
        <f aca="false">Einstellungen!$B$5+INT((ROW()-9)/24)</f>
        <v>46418</v>
      </c>
      <c r="B10878" s="11" t="n">
        <f aca="false">MOD(ROW()-9,24)</f>
        <v>21</v>
      </c>
      <c r="C10878" s="12"/>
      <c r="D10878" s="13" t="n">
        <f aca="false">IF(B10878&lt;5,Einstellungen!$B$3,Einstellungen!$B$4)</f>
        <v>29.13</v>
      </c>
      <c r="E10878" s="14" t="str">
        <f aca="false">IF(C10878="","",C10878*D10878/100)</f>
        <v/>
      </c>
      <c r="F10878" s="15" t="str">
        <f aca="false">IF(B10878&lt;5,"Go","Standard")</f>
        <v>Standard</v>
      </c>
    </row>
    <row r="10879" customFormat="false" ht="15" hidden="false" customHeight="true" outlineLevel="0" collapsed="false">
      <c r="A10879" s="10" t="n">
        <f aca="false">Einstellungen!$B$5+INT((ROW()-9)/24)</f>
        <v>46418</v>
      </c>
      <c r="B10879" s="11" t="n">
        <f aca="false">MOD(ROW()-9,24)</f>
        <v>22</v>
      </c>
      <c r="C10879" s="12"/>
      <c r="D10879" s="13" t="n">
        <f aca="false">IF(B10879&lt;5,Einstellungen!$B$3,Einstellungen!$B$4)</f>
        <v>29.13</v>
      </c>
      <c r="E10879" s="14" t="str">
        <f aca="false">IF(C10879="","",C10879*D10879/100)</f>
        <v/>
      </c>
      <c r="F10879" s="15" t="str">
        <f aca="false">IF(B10879&lt;5,"Go","Standard")</f>
        <v>Standard</v>
      </c>
    </row>
    <row r="10880" customFormat="false" ht="15" hidden="false" customHeight="true" outlineLevel="0" collapsed="false">
      <c r="A10880" s="10" t="n">
        <f aca="false">Einstellungen!$B$5+INT((ROW()-9)/24)</f>
        <v>46418</v>
      </c>
      <c r="B10880" s="11" t="n">
        <f aca="false">MOD(ROW()-9,24)</f>
        <v>23</v>
      </c>
      <c r="C10880" s="12"/>
      <c r="D10880" s="13" t="n">
        <f aca="false">IF(B10880&lt;5,Einstellungen!$B$3,Einstellungen!$B$4)</f>
        <v>29.13</v>
      </c>
      <c r="E10880" s="14" t="str">
        <f aca="false">IF(C10880="","",C10880*D10880/100)</f>
        <v/>
      </c>
      <c r="F10880" s="15" t="str">
        <f aca="false">IF(B10880&lt;5,"Go","Standard")</f>
        <v>Standard</v>
      </c>
    </row>
    <row r="10881" customFormat="false" ht="15" hidden="false" customHeight="true" outlineLevel="0" collapsed="false">
      <c r="A10881" s="10" t="n">
        <f aca="false">Einstellungen!$B$5+INT((ROW()-9)/24)</f>
        <v>46419</v>
      </c>
      <c r="B10881" s="11" t="n">
        <f aca="false">MOD(ROW()-9,24)</f>
        <v>0</v>
      </c>
      <c r="C10881" s="12"/>
      <c r="D10881" s="13" t="n">
        <f aca="false">IF(B10881&lt;5,Einstellungen!$B$3,Einstellungen!$B$4)</f>
        <v>15.92</v>
      </c>
      <c r="E10881" s="14" t="str">
        <f aca="false">IF(C10881="","",C10881*D10881/100)</f>
        <v/>
      </c>
      <c r="F10881" s="15" t="str">
        <f aca="false">IF(B10881&lt;5,"Go","Standard")</f>
        <v>Go</v>
      </c>
    </row>
    <row r="10882" customFormat="false" ht="15" hidden="false" customHeight="true" outlineLevel="0" collapsed="false">
      <c r="A10882" s="10" t="n">
        <f aca="false">Einstellungen!$B$5+INT((ROW()-9)/24)</f>
        <v>46419</v>
      </c>
      <c r="B10882" s="11" t="n">
        <f aca="false">MOD(ROW()-9,24)</f>
        <v>1</v>
      </c>
      <c r="C10882" s="12"/>
      <c r="D10882" s="13" t="n">
        <f aca="false">IF(B10882&lt;5,Einstellungen!$B$3,Einstellungen!$B$4)</f>
        <v>15.92</v>
      </c>
      <c r="E10882" s="14" t="str">
        <f aca="false">IF(C10882="","",C10882*D10882/100)</f>
        <v/>
      </c>
      <c r="F10882" s="15" t="str">
        <f aca="false">IF(B10882&lt;5,"Go","Standard")</f>
        <v>Go</v>
      </c>
    </row>
    <row r="10883" customFormat="false" ht="15" hidden="false" customHeight="true" outlineLevel="0" collapsed="false">
      <c r="A10883" s="10" t="n">
        <f aca="false">Einstellungen!$B$5+INT((ROW()-9)/24)</f>
        <v>46419</v>
      </c>
      <c r="B10883" s="11" t="n">
        <f aca="false">MOD(ROW()-9,24)</f>
        <v>2</v>
      </c>
      <c r="C10883" s="12"/>
      <c r="D10883" s="13" t="n">
        <f aca="false">IF(B10883&lt;5,Einstellungen!$B$3,Einstellungen!$B$4)</f>
        <v>15.92</v>
      </c>
      <c r="E10883" s="14" t="str">
        <f aca="false">IF(C10883="","",C10883*D10883/100)</f>
        <v/>
      </c>
      <c r="F10883" s="15" t="str">
        <f aca="false">IF(B10883&lt;5,"Go","Standard")</f>
        <v>Go</v>
      </c>
    </row>
    <row r="10884" customFormat="false" ht="15" hidden="false" customHeight="true" outlineLevel="0" collapsed="false">
      <c r="A10884" s="10" t="n">
        <f aca="false">Einstellungen!$B$5+INT((ROW()-9)/24)</f>
        <v>46419</v>
      </c>
      <c r="B10884" s="11" t="n">
        <f aca="false">MOD(ROW()-9,24)</f>
        <v>3</v>
      </c>
      <c r="C10884" s="12"/>
      <c r="D10884" s="13" t="n">
        <f aca="false">IF(B10884&lt;5,Einstellungen!$B$3,Einstellungen!$B$4)</f>
        <v>15.92</v>
      </c>
      <c r="E10884" s="14" t="str">
        <f aca="false">IF(C10884="","",C10884*D10884/100)</f>
        <v/>
      </c>
      <c r="F10884" s="15" t="str">
        <f aca="false">IF(B10884&lt;5,"Go","Standard")</f>
        <v>Go</v>
      </c>
    </row>
    <row r="10885" customFormat="false" ht="15" hidden="false" customHeight="true" outlineLevel="0" collapsed="false">
      <c r="A10885" s="10" t="n">
        <f aca="false">Einstellungen!$B$5+INT((ROW()-9)/24)</f>
        <v>46419</v>
      </c>
      <c r="B10885" s="11" t="n">
        <f aca="false">MOD(ROW()-9,24)</f>
        <v>4</v>
      </c>
      <c r="C10885" s="12"/>
      <c r="D10885" s="13" t="n">
        <f aca="false">IF(B10885&lt;5,Einstellungen!$B$3,Einstellungen!$B$4)</f>
        <v>15.92</v>
      </c>
      <c r="E10885" s="14" t="str">
        <f aca="false">IF(C10885="","",C10885*D10885/100)</f>
        <v/>
      </c>
      <c r="F10885" s="15" t="str">
        <f aca="false">IF(B10885&lt;5,"Go","Standard")</f>
        <v>Go</v>
      </c>
    </row>
    <row r="10886" customFormat="false" ht="15" hidden="false" customHeight="true" outlineLevel="0" collapsed="false">
      <c r="A10886" s="10" t="n">
        <f aca="false">Einstellungen!$B$5+INT((ROW()-9)/24)</f>
        <v>46419</v>
      </c>
      <c r="B10886" s="11" t="n">
        <f aca="false">MOD(ROW()-9,24)</f>
        <v>5</v>
      </c>
      <c r="C10886" s="12"/>
      <c r="D10886" s="13" t="n">
        <f aca="false">IF(B10886&lt;5,Einstellungen!$B$3,Einstellungen!$B$4)</f>
        <v>29.13</v>
      </c>
      <c r="E10886" s="14" t="str">
        <f aca="false">IF(C10886="","",C10886*D10886/100)</f>
        <v/>
      </c>
      <c r="F10886" s="15" t="str">
        <f aca="false">IF(B10886&lt;5,"Go","Standard")</f>
        <v>Standard</v>
      </c>
    </row>
    <row r="10887" customFormat="false" ht="15" hidden="false" customHeight="true" outlineLevel="0" collapsed="false">
      <c r="A10887" s="10" t="n">
        <f aca="false">Einstellungen!$B$5+INT((ROW()-9)/24)</f>
        <v>46419</v>
      </c>
      <c r="B10887" s="11" t="n">
        <f aca="false">MOD(ROW()-9,24)</f>
        <v>6</v>
      </c>
      <c r="C10887" s="12"/>
      <c r="D10887" s="13" t="n">
        <f aca="false">IF(B10887&lt;5,Einstellungen!$B$3,Einstellungen!$B$4)</f>
        <v>29.13</v>
      </c>
      <c r="E10887" s="14" t="str">
        <f aca="false">IF(C10887="","",C10887*D10887/100)</f>
        <v/>
      </c>
      <c r="F10887" s="15" t="str">
        <f aca="false">IF(B10887&lt;5,"Go","Standard")</f>
        <v>Standard</v>
      </c>
    </row>
    <row r="10888" customFormat="false" ht="15" hidden="false" customHeight="true" outlineLevel="0" collapsed="false">
      <c r="A10888" s="10" t="n">
        <f aca="false">Einstellungen!$B$5+INT((ROW()-9)/24)</f>
        <v>46419</v>
      </c>
      <c r="B10888" s="11" t="n">
        <f aca="false">MOD(ROW()-9,24)</f>
        <v>7</v>
      </c>
      <c r="C10888" s="12"/>
      <c r="D10888" s="13" t="n">
        <f aca="false">IF(B10888&lt;5,Einstellungen!$B$3,Einstellungen!$B$4)</f>
        <v>29.13</v>
      </c>
      <c r="E10888" s="14" t="str">
        <f aca="false">IF(C10888="","",C10888*D10888/100)</f>
        <v/>
      </c>
      <c r="F10888" s="15" t="str">
        <f aca="false">IF(B10888&lt;5,"Go","Standard")</f>
        <v>Standard</v>
      </c>
    </row>
    <row r="10889" customFormat="false" ht="15" hidden="false" customHeight="true" outlineLevel="0" collapsed="false">
      <c r="A10889" s="10" t="n">
        <f aca="false">Einstellungen!$B$5+INT((ROW()-9)/24)</f>
        <v>46419</v>
      </c>
      <c r="B10889" s="11" t="n">
        <f aca="false">MOD(ROW()-9,24)</f>
        <v>8</v>
      </c>
      <c r="C10889" s="12"/>
      <c r="D10889" s="13" t="n">
        <f aca="false">IF(B10889&lt;5,Einstellungen!$B$3,Einstellungen!$B$4)</f>
        <v>29.13</v>
      </c>
      <c r="E10889" s="14" t="str">
        <f aca="false">IF(C10889="","",C10889*D10889/100)</f>
        <v/>
      </c>
      <c r="F10889" s="15" t="str">
        <f aca="false">IF(B10889&lt;5,"Go","Standard")</f>
        <v>Standard</v>
      </c>
    </row>
    <row r="10890" customFormat="false" ht="15" hidden="false" customHeight="true" outlineLevel="0" collapsed="false">
      <c r="A10890" s="10" t="n">
        <f aca="false">Einstellungen!$B$5+INT((ROW()-9)/24)</f>
        <v>46419</v>
      </c>
      <c r="B10890" s="11" t="n">
        <f aca="false">MOD(ROW()-9,24)</f>
        <v>9</v>
      </c>
      <c r="C10890" s="12"/>
      <c r="D10890" s="13" t="n">
        <f aca="false">IF(B10890&lt;5,Einstellungen!$B$3,Einstellungen!$B$4)</f>
        <v>29.13</v>
      </c>
      <c r="E10890" s="14" t="str">
        <f aca="false">IF(C10890="","",C10890*D10890/100)</f>
        <v/>
      </c>
      <c r="F10890" s="15" t="str">
        <f aca="false">IF(B10890&lt;5,"Go","Standard")</f>
        <v>Standard</v>
      </c>
    </row>
    <row r="10891" customFormat="false" ht="15" hidden="false" customHeight="true" outlineLevel="0" collapsed="false">
      <c r="A10891" s="10" t="n">
        <f aca="false">Einstellungen!$B$5+INT((ROW()-9)/24)</f>
        <v>46419</v>
      </c>
      <c r="B10891" s="11" t="n">
        <f aca="false">MOD(ROW()-9,24)</f>
        <v>10</v>
      </c>
      <c r="C10891" s="12"/>
      <c r="D10891" s="13" t="n">
        <f aca="false">IF(B10891&lt;5,Einstellungen!$B$3,Einstellungen!$B$4)</f>
        <v>29.13</v>
      </c>
      <c r="E10891" s="14" t="str">
        <f aca="false">IF(C10891="","",C10891*D10891/100)</f>
        <v/>
      </c>
      <c r="F10891" s="15" t="str">
        <f aca="false">IF(B10891&lt;5,"Go","Standard")</f>
        <v>Standard</v>
      </c>
    </row>
    <row r="10892" customFormat="false" ht="15" hidden="false" customHeight="true" outlineLevel="0" collapsed="false">
      <c r="A10892" s="10" t="n">
        <f aca="false">Einstellungen!$B$5+INT((ROW()-9)/24)</f>
        <v>46419</v>
      </c>
      <c r="B10892" s="11" t="n">
        <f aca="false">MOD(ROW()-9,24)</f>
        <v>11</v>
      </c>
      <c r="C10892" s="12"/>
      <c r="D10892" s="13" t="n">
        <f aca="false">IF(B10892&lt;5,Einstellungen!$B$3,Einstellungen!$B$4)</f>
        <v>29.13</v>
      </c>
      <c r="E10892" s="14" t="str">
        <f aca="false">IF(C10892="","",C10892*D10892/100)</f>
        <v/>
      </c>
      <c r="F10892" s="15" t="str">
        <f aca="false">IF(B10892&lt;5,"Go","Standard")</f>
        <v>Standard</v>
      </c>
    </row>
    <row r="10893" customFormat="false" ht="15" hidden="false" customHeight="true" outlineLevel="0" collapsed="false">
      <c r="A10893" s="10" t="n">
        <f aca="false">Einstellungen!$B$5+INT((ROW()-9)/24)</f>
        <v>46419</v>
      </c>
      <c r="B10893" s="11" t="n">
        <f aca="false">MOD(ROW()-9,24)</f>
        <v>12</v>
      </c>
      <c r="C10893" s="12"/>
      <c r="D10893" s="13" t="n">
        <f aca="false">IF(B10893&lt;5,Einstellungen!$B$3,Einstellungen!$B$4)</f>
        <v>29.13</v>
      </c>
      <c r="E10893" s="14" t="str">
        <f aca="false">IF(C10893="","",C10893*D10893/100)</f>
        <v/>
      </c>
      <c r="F10893" s="15" t="str">
        <f aca="false">IF(B10893&lt;5,"Go","Standard")</f>
        <v>Standard</v>
      </c>
    </row>
    <row r="10894" customFormat="false" ht="15" hidden="false" customHeight="true" outlineLevel="0" collapsed="false">
      <c r="A10894" s="10" t="n">
        <f aca="false">Einstellungen!$B$5+INT((ROW()-9)/24)</f>
        <v>46419</v>
      </c>
      <c r="B10894" s="11" t="n">
        <f aca="false">MOD(ROW()-9,24)</f>
        <v>13</v>
      </c>
      <c r="C10894" s="12"/>
      <c r="D10894" s="13" t="n">
        <f aca="false">IF(B10894&lt;5,Einstellungen!$B$3,Einstellungen!$B$4)</f>
        <v>29.13</v>
      </c>
      <c r="E10894" s="14" t="str">
        <f aca="false">IF(C10894="","",C10894*D10894/100)</f>
        <v/>
      </c>
      <c r="F10894" s="15" t="str">
        <f aca="false">IF(B10894&lt;5,"Go","Standard")</f>
        <v>Standard</v>
      </c>
    </row>
    <row r="10895" customFormat="false" ht="15" hidden="false" customHeight="true" outlineLevel="0" collapsed="false">
      <c r="A10895" s="10" t="n">
        <f aca="false">Einstellungen!$B$5+INT((ROW()-9)/24)</f>
        <v>46419</v>
      </c>
      <c r="B10895" s="11" t="n">
        <f aca="false">MOD(ROW()-9,24)</f>
        <v>14</v>
      </c>
      <c r="C10895" s="12"/>
      <c r="D10895" s="13" t="n">
        <f aca="false">IF(B10895&lt;5,Einstellungen!$B$3,Einstellungen!$B$4)</f>
        <v>29.13</v>
      </c>
      <c r="E10895" s="14" t="str">
        <f aca="false">IF(C10895="","",C10895*D10895/100)</f>
        <v/>
      </c>
      <c r="F10895" s="15" t="str">
        <f aca="false">IF(B10895&lt;5,"Go","Standard")</f>
        <v>Standard</v>
      </c>
    </row>
    <row r="10896" customFormat="false" ht="15" hidden="false" customHeight="true" outlineLevel="0" collapsed="false">
      <c r="A10896" s="10" t="n">
        <f aca="false">Einstellungen!$B$5+INT((ROW()-9)/24)</f>
        <v>46419</v>
      </c>
      <c r="B10896" s="11" t="n">
        <f aca="false">MOD(ROW()-9,24)</f>
        <v>15</v>
      </c>
      <c r="C10896" s="12"/>
      <c r="D10896" s="13" t="n">
        <f aca="false">IF(B10896&lt;5,Einstellungen!$B$3,Einstellungen!$B$4)</f>
        <v>29.13</v>
      </c>
      <c r="E10896" s="14" t="str">
        <f aca="false">IF(C10896="","",C10896*D10896/100)</f>
        <v/>
      </c>
      <c r="F10896" s="15" t="str">
        <f aca="false">IF(B10896&lt;5,"Go","Standard")</f>
        <v>Standard</v>
      </c>
    </row>
    <row r="10897" customFormat="false" ht="15" hidden="false" customHeight="true" outlineLevel="0" collapsed="false">
      <c r="A10897" s="10" t="n">
        <f aca="false">Einstellungen!$B$5+INT((ROW()-9)/24)</f>
        <v>46419</v>
      </c>
      <c r="B10897" s="11" t="n">
        <f aca="false">MOD(ROW()-9,24)</f>
        <v>16</v>
      </c>
      <c r="C10897" s="12"/>
      <c r="D10897" s="13" t="n">
        <f aca="false">IF(B10897&lt;5,Einstellungen!$B$3,Einstellungen!$B$4)</f>
        <v>29.13</v>
      </c>
      <c r="E10897" s="14" t="str">
        <f aca="false">IF(C10897="","",C10897*D10897/100)</f>
        <v/>
      </c>
      <c r="F10897" s="15" t="str">
        <f aca="false">IF(B10897&lt;5,"Go","Standard")</f>
        <v>Standard</v>
      </c>
    </row>
    <row r="10898" customFormat="false" ht="15" hidden="false" customHeight="true" outlineLevel="0" collapsed="false">
      <c r="A10898" s="10" t="n">
        <f aca="false">Einstellungen!$B$5+INT((ROW()-9)/24)</f>
        <v>46419</v>
      </c>
      <c r="B10898" s="11" t="n">
        <f aca="false">MOD(ROW()-9,24)</f>
        <v>17</v>
      </c>
      <c r="C10898" s="12"/>
      <c r="D10898" s="13" t="n">
        <f aca="false">IF(B10898&lt;5,Einstellungen!$B$3,Einstellungen!$B$4)</f>
        <v>29.13</v>
      </c>
      <c r="E10898" s="14" t="str">
        <f aca="false">IF(C10898="","",C10898*D10898/100)</f>
        <v/>
      </c>
      <c r="F10898" s="15" t="str">
        <f aca="false">IF(B10898&lt;5,"Go","Standard")</f>
        <v>Standard</v>
      </c>
    </row>
    <row r="10899" customFormat="false" ht="15" hidden="false" customHeight="true" outlineLevel="0" collapsed="false">
      <c r="A10899" s="10" t="n">
        <f aca="false">Einstellungen!$B$5+INT((ROW()-9)/24)</f>
        <v>46419</v>
      </c>
      <c r="B10899" s="11" t="n">
        <f aca="false">MOD(ROW()-9,24)</f>
        <v>18</v>
      </c>
      <c r="C10899" s="12"/>
      <c r="D10899" s="13" t="n">
        <f aca="false">IF(B10899&lt;5,Einstellungen!$B$3,Einstellungen!$B$4)</f>
        <v>29.13</v>
      </c>
      <c r="E10899" s="14" t="str">
        <f aca="false">IF(C10899="","",C10899*D10899/100)</f>
        <v/>
      </c>
      <c r="F10899" s="15" t="str">
        <f aca="false">IF(B10899&lt;5,"Go","Standard")</f>
        <v>Standard</v>
      </c>
    </row>
    <row r="10900" customFormat="false" ht="15" hidden="false" customHeight="true" outlineLevel="0" collapsed="false">
      <c r="A10900" s="10" t="n">
        <f aca="false">Einstellungen!$B$5+INT((ROW()-9)/24)</f>
        <v>46419</v>
      </c>
      <c r="B10900" s="11" t="n">
        <f aca="false">MOD(ROW()-9,24)</f>
        <v>19</v>
      </c>
      <c r="C10900" s="12"/>
      <c r="D10900" s="13" t="n">
        <f aca="false">IF(B10900&lt;5,Einstellungen!$B$3,Einstellungen!$B$4)</f>
        <v>29.13</v>
      </c>
      <c r="E10900" s="14" t="str">
        <f aca="false">IF(C10900="","",C10900*D10900/100)</f>
        <v/>
      </c>
      <c r="F10900" s="15" t="str">
        <f aca="false">IF(B10900&lt;5,"Go","Standard")</f>
        <v>Standard</v>
      </c>
    </row>
    <row r="10901" customFormat="false" ht="15" hidden="false" customHeight="true" outlineLevel="0" collapsed="false">
      <c r="A10901" s="10" t="n">
        <f aca="false">Einstellungen!$B$5+INT((ROW()-9)/24)</f>
        <v>46419</v>
      </c>
      <c r="B10901" s="11" t="n">
        <f aca="false">MOD(ROW()-9,24)</f>
        <v>20</v>
      </c>
      <c r="C10901" s="12"/>
      <c r="D10901" s="13" t="n">
        <f aca="false">IF(B10901&lt;5,Einstellungen!$B$3,Einstellungen!$B$4)</f>
        <v>29.13</v>
      </c>
      <c r="E10901" s="14" t="str">
        <f aca="false">IF(C10901="","",C10901*D10901/100)</f>
        <v/>
      </c>
      <c r="F10901" s="15" t="str">
        <f aca="false">IF(B10901&lt;5,"Go","Standard")</f>
        <v>Standard</v>
      </c>
    </row>
    <row r="10902" customFormat="false" ht="15" hidden="false" customHeight="true" outlineLevel="0" collapsed="false">
      <c r="A10902" s="10" t="n">
        <f aca="false">Einstellungen!$B$5+INT((ROW()-9)/24)</f>
        <v>46419</v>
      </c>
      <c r="B10902" s="11" t="n">
        <f aca="false">MOD(ROW()-9,24)</f>
        <v>21</v>
      </c>
      <c r="C10902" s="12"/>
      <c r="D10902" s="13" t="n">
        <f aca="false">IF(B10902&lt;5,Einstellungen!$B$3,Einstellungen!$B$4)</f>
        <v>29.13</v>
      </c>
      <c r="E10902" s="14" t="str">
        <f aca="false">IF(C10902="","",C10902*D10902/100)</f>
        <v/>
      </c>
      <c r="F10902" s="15" t="str">
        <f aca="false">IF(B10902&lt;5,"Go","Standard")</f>
        <v>Standard</v>
      </c>
    </row>
    <row r="10903" customFormat="false" ht="15" hidden="false" customHeight="true" outlineLevel="0" collapsed="false">
      <c r="A10903" s="10" t="n">
        <f aca="false">Einstellungen!$B$5+INT((ROW()-9)/24)</f>
        <v>46419</v>
      </c>
      <c r="B10903" s="11" t="n">
        <f aca="false">MOD(ROW()-9,24)</f>
        <v>22</v>
      </c>
      <c r="C10903" s="12"/>
      <c r="D10903" s="13" t="n">
        <f aca="false">IF(B10903&lt;5,Einstellungen!$B$3,Einstellungen!$B$4)</f>
        <v>29.13</v>
      </c>
      <c r="E10903" s="14" t="str">
        <f aca="false">IF(C10903="","",C10903*D10903/100)</f>
        <v/>
      </c>
      <c r="F10903" s="15" t="str">
        <f aca="false">IF(B10903&lt;5,"Go","Standard")</f>
        <v>Standard</v>
      </c>
    </row>
    <row r="10904" customFormat="false" ht="15" hidden="false" customHeight="true" outlineLevel="0" collapsed="false">
      <c r="A10904" s="10" t="n">
        <f aca="false">Einstellungen!$B$5+INT((ROW()-9)/24)</f>
        <v>46419</v>
      </c>
      <c r="B10904" s="11" t="n">
        <f aca="false">MOD(ROW()-9,24)</f>
        <v>23</v>
      </c>
      <c r="C10904" s="12"/>
      <c r="D10904" s="13" t="n">
        <f aca="false">IF(B10904&lt;5,Einstellungen!$B$3,Einstellungen!$B$4)</f>
        <v>29.13</v>
      </c>
      <c r="E10904" s="14" t="str">
        <f aca="false">IF(C10904="","",C10904*D10904/100)</f>
        <v/>
      </c>
      <c r="F10904" s="15" t="str">
        <f aca="false">IF(B10904&lt;5,"Go","Standard")</f>
        <v>Standard</v>
      </c>
    </row>
    <row r="10905" customFormat="false" ht="15" hidden="false" customHeight="true" outlineLevel="0" collapsed="false">
      <c r="A10905" s="10" t="n">
        <f aca="false">Einstellungen!$B$5+INT((ROW()-9)/24)</f>
        <v>46420</v>
      </c>
      <c r="B10905" s="11" t="n">
        <f aca="false">MOD(ROW()-9,24)</f>
        <v>0</v>
      </c>
      <c r="C10905" s="12"/>
      <c r="D10905" s="13" t="n">
        <f aca="false">IF(B10905&lt;5,Einstellungen!$B$3,Einstellungen!$B$4)</f>
        <v>15.92</v>
      </c>
      <c r="E10905" s="14" t="str">
        <f aca="false">IF(C10905="","",C10905*D10905/100)</f>
        <v/>
      </c>
      <c r="F10905" s="15" t="str">
        <f aca="false">IF(B10905&lt;5,"Go","Standard")</f>
        <v>Go</v>
      </c>
    </row>
    <row r="10906" customFormat="false" ht="15" hidden="false" customHeight="true" outlineLevel="0" collapsed="false">
      <c r="A10906" s="10" t="n">
        <f aca="false">Einstellungen!$B$5+INT((ROW()-9)/24)</f>
        <v>46420</v>
      </c>
      <c r="B10906" s="11" t="n">
        <f aca="false">MOD(ROW()-9,24)</f>
        <v>1</v>
      </c>
      <c r="C10906" s="12"/>
      <c r="D10906" s="13" t="n">
        <f aca="false">IF(B10906&lt;5,Einstellungen!$B$3,Einstellungen!$B$4)</f>
        <v>15.92</v>
      </c>
      <c r="E10906" s="14" t="str">
        <f aca="false">IF(C10906="","",C10906*D10906/100)</f>
        <v/>
      </c>
      <c r="F10906" s="15" t="str">
        <f aca="false">IF(B10906&lt;5,"Go","Standard")</f>
        <v>Go</v>
      </c>
    </row>
    <row r="10907" customFormat="false" ht="15" hidden="false" customHeight="true" outlineLevel="0" collapsed="false">
      <c r="A10907" s="10" t="n">
        <f aca="false">Einstellungen!$B$5+INT((ROW()-9)/24)</f>
        <v>46420</v>
      </c>
      <c r="B10907" s="11" t="n">
        <f aca="false">MOD(ROW()-9,24)</f>
        <v>2</v>
      </c>
      <c r="C10907" s="12"/>
      <c r="D10907" s="13" t="n">
        <f aca="false">IF(B10907&lt;5,Einstellungen!$B$3,Einstellungen!$B$4)</f>
        <v>15.92</v>
      </c>
      <c r="E10907" s="14" t="str">
        <f aca="false">IF(C10907="","",C10907*D10907/100)</f>
        <v/>
      </c>
      <c r="F10907" s="15" t="str">
        <f aca="false">IF(B10907&lt;5,"Go","Standard")</f>
        <v>Go</v>
      </c>
    </row>
    <row r="10908" customFormat="false" ht="15" hidden="false" customHeight="true" outlineLevel="0" collapsed="false">
      <c r="A10908" s="10" t="n">
        <f aca="false">Einstellungen!$B$5+INT((ROW()-9)/24)</f>
        <v>46420</v>
      </c>
      <c r="B10908" s="11" t="n">
        <f aca="false">MOD(ROW()-9,24)</f>
        <v>3</v>
      </c>
      <c r="C10908" s="12"/>
      <c r="D10908" s="13" t="n">
        <f aca="false">IF(B10908&lt;5,Einstellungen!$B$3,Einstellungen!$B$4)</f>
        <v>15.92</v>
      </c>
      <c r="E10908" s="14" t="str">
        <f aca="false">IF(C10908="","",C10908*D10908/100)</f>
        <v/>
      </c>
      <c r="F10908" s="15" t="str">
        <f aca="false">IF(B10908&lt;5,"Go","Standard")</f>
        <v>Go</v>
      </c>
    </row>
    <row r="10909" customFormat="false" ht="15" hidden="false" customHeight="true" outlineLevel="0" collapsed="false">
      <c r="A10909" s="10" t="n">
        <f aca="false">Einstellungen!$B$5+INT((ROW()-9)/24)</f>
        <v>46420</v>
      </c>
      <c r="B10909" s="11" t="n">
        <f aca="false">MOD(ROW()-9,24)</f>
        <v>4</v>
      </c>
      <c r="C10909" s="12"/>
      <c r="D10909" s="13" t="n">
        <f aca="false">IF(B10909&lt;5,Einstellungen!$B$3,Einstellungen!$B$4)</f>
        <v>15.92</v>
      </c>
      <c r="E10909" s="14" t="str">
        <f aca="false">IF(C10909="","",C10909*D10909/100)</f>
        <v/>
      </c>
      <c r="F10909" s="15" t="str">
        <f aca="false">IF(B10909&lt;5,"Go","Standard")</f>
        <v>Go</v>
      </c>
    </row>
    <row r="10910" customFormat="false" ht="15" hidden="false" customHeight="true" outlineLevel="0" collapsed="false">
      <c r="A10910" s="10" t="n">
        <f aca="false">Einstellungen!$B$5+INT((ROW()-9)/24)</f>
        <v>46420</v>
      </c>
      <c r="B10910" s="11" t="n">
        <f aca="false">MOD(ROW()-9,24)</f>
        <v>5</v>
      </c>
      <c r="C10910" s="12"/>
      <c r="D10910" s="13" t="n">
        <f aca="false">IF(B10910&lt;5,Einstellungen!$B$3,Einstellungen!$B$4)</f>
        <v>29.13</v>
      </c>
      <c r="E10910" s="14" t="str">
        <f aca="false">IF(C10910="","",C10910*D10910/100)</f>
        <v/>
      </c>
      <c r="F10910" s="15" t="str">
        <f aca="false">IF(B10910&lt;5,"Go","Standard")</f>
        <v>Standard</v>
      </c>
    </row>
    <row r="10911" customFormat="false" ht="15" hidden="false" customHeight="true" outlineLevel="0" collapsed="false">
      <c r="A10911" s="10" t="n">
        <f aca="false">Einstellungen!$B$5+INT((ROW()-9)/24)</f>
        <v>46420</v>
      </c>
      <c r="B10911" s="11" t="n">
        <f aca="false">MOD(ROW()-9,24)</f>
        <v>6</v>
      </c>
      <c r="C10911" s="12"/>
      <c r="D10911" s="13" t="n">
        <f aca="false">IF(B10911&lt;5,Einstellungen!$B$3,Einstellungen!$B$4)</f>
        <v>29.13</v>
      </c>
      <c r="E10911" s="14" t="str">
        <f aca="false">IF(C10911="","",C10911*D10911/100)</f>
        <v/>
      </c>
      <c r="F10911" s="15" t="str">
        <f aca="false">IF(B10911&lt;5,"Go","Standard")</f>
        <v>Standard</v>
      </c>
    </row>
    <row r="10912" customFormat="false" ht="15" hidden="false" customHeight="true" outlineLevel="0" collapsed="false">
      <c r="A10912" s="10" t="n">
        <f aca="false">Einstellungen!$B$5+INT((ROW()-9)/24)</f>
        <v>46420</v>
      </c>
      <c r="B10912" s="11" t="n">
        <f aca="false">MOD(ROW()-9,24)</f>
        <v>7</v>
      </c>
      <c r="C10912" s="12"/>
      <c r="D10912" s="13" t="n">
        <f aca="false">IF(B10912&lt;5,Einstellungen!$B$3,Einstellungen!$B$4)</f>
        <v>29.13</v>
      </c>
      <c r="E10912" s="14" t="str">
        <f aca="false">IF(C10912="","",C10912*D10912/100)</f>
        <v/>
      </c>
      <c r="F10912" s="15" t="str">
        <f aca="false">IF(B10912&lt;5,"Go","Standard")</f>
        <v>Standard</v>
      </c>
    </row>
    <row r="10913" customFormat="false" ht="15" hidden="false" customHeight="true" outlineLevel="0" collapsed="false">
      <c r="A10913" s="10" t="n">
        <f aca="false">Einstellungen!$B$5+INT((ROW()-9)/24)</f>
        <v>46420</v>
      </c>
      <c r="B10913" s="11" t="n">
        <f aca="false">MOD(ROW()-9,24)</f>
        <v>8</v>
      </c>
      <c r="C10913" s="12"/>
      <c r="D10913" s="13" t="n">
        <f aca="false">IF(B10913&lt;5,Einstellungen!$B$3,Einstellungen!$B$4)</f>
        <v>29.13</v>
      </c>
      <c r="E10913" s="14" t="str">
        <f aca="false">IF(C10913="","",C10913*D10913/100)</f>
        <v/>
      </c>
      <c r="F10913" s="15" t="str">
        <f aca="false">IF(B10913&lt;5,"Go","Standard")</f>
        <v>Standard</v>
      </c>
    </row>
    <row r="10914" customFormat="false" ht="15" hidden="false" customHeight="true" outlineLevel="0" collapsed="false">
      <c r="A10914" s="10" t="n">
        <f aca="false">Einstellungen!$B$5+INT((ROW()-9)/24)</f>
        <v>46420</v>
      </c>
      <c r="B10914" s="11" t="n">
        <f aca="false">MOD(ROW()-9,24)</f>
        <v>9</v>
      </c>
      <c r="C10914" s="12"/>
      <c r="D10914" s="13" t="n">
        <f aca="false">IF(B10914&lt;5,Einstellungen!$B$3,Einstellungen!$B$4)</f>
        <v>29.13</v>
      </c>
      <c r="E10914" s="14" t="str">
        <f aca="false">IF(C10914="","",C10914*D10914/100)</f>
        <v/>
      </c>
      <c r="F10914" s="15" t="str">
        <f aca="false">IF(B10914&lt;5,"Go","Standard")</f>
        <v>Standard</v>
      </c>
    </row>
    <row r="10915" customFormat="false" ht="15" hidden="false" customHeight="true" outlineLevel="0" collapsed="false">
      <c r="A10915" s="10" t="n">
        <f aca="false">Einstellungen!$B$5+INT((ROW()-9)/24)</f>
        <v>46420</v>
      </c>
      <c r="B10915" s="11" t="n">
        <f aca="false">MOD(ROW()-9,24)</f>
        <v>10</v>
      </c>
      <c r="C10915" s="12"/>
      <c r="D10915" s="13" t="n">
        <f aca="false">IF(B10915&lt;5,Einstellungen!$B$3,Einstellungen!$B$4)</f>
        <v>29.13</v>
      </c>
      <c r="E10915" s="14" t="str">
        <f aca="false">IF(C10915="","",C10915*D10915/100)</f>
        <v/>
      </c>
      <c r="F10915" s="15" t="str">
        <f aca="false">IF(B10915&lt;5,"Go","Standard")</f>
        <v>Standard</v>
      </c>
    </row>
    <row r="10916" customFormat="false" ht="15" hidden="false" customHeight="true" outlineLevel="0" collapsed="false">
      <c r="A10916" s="10" t="n">
        <f aca="false">Einstellungen!$B$5+INT((ROW()-9)/24)</f>
        <v>46420</v>
      </c>
      <c r="B10916" s="11" t="n">
        <f aca="false">MOD(ROW()-9,24)</f>
        <v>11</v>
      </c>
      <c r="C10916" s="12"/>
      <c r="D10916" s="13" t="n">
        <f aca="false">IF(B10916&lt;5,Einstellungen!$B$3,Einstellungen!$B$4)</f>
        <v>29.13</v>
      </c>
      <c r="E10916" s="14" t="str">
        <f aca="false">IF(C10916="","",C10916*D10916/100)</f>
        <v/>
      </c>
      <c r="F10916" s="15" t="str">
        <f aca="false">IF(B10916&lt;5,"Go","Standard")</f>
        <v>Standard</v>
      </c>
    </row>
    <row r="10917" customFormat="false" ht="15" hidden="false" customHeight="true" outlineLevel="0" collapsed="false">
      <c r="A10917" s="10" t="n">
        <f aca="false">Einstellungen!$B$5+INT((ROW()-9)/24)</f>
        <v>46420</v>
      </c>
      <c r="B10917" s="11" t="n">
        <f aca="false">MOD(ROW()-9,24)</f>
        <v>12</v>
      </c>
      <c r="C10917" s="12"/>
      <c r="D10917" s="13" t="n">
        <f aca="false">IF(B10917&lt;5,Einstellungen!$B$3,Einstellungen!$B$4)</f>
        <v>29.13</v>
      </c>
      <c r="E10917" s="14" t="str">
        <f aca="false">IF(C10917="","",C10917*D10917/100)</f>
        <v/>
      </c>
      <c r="F10917" s="15" t="str">
        <f aca="false">IF(B10917&lt;5,"Go","Standard")</f>
        <v>Standard</v>
      </c>
    </row>
    <row r="10918" customFormat="false" ht="15" hidden="false" customHeight="true" outlineLevel="0" collapsed="false">
      <c r="A10918" s="10" t="n">
        <f aca="false">Einstellungen!$B$5+INT((ROW()-9)/24)</f>
        <v>46420</v>
      </c>
      <c r="B10918" s="11" t="n">
        <f aca="false">MOD(ROW()-9,24)</f>
        <v>13</v>
      </c>
      <c r="C10918" s="12"/>
      <c r="D10918" s="13" t="n">
        <f aca="false">IF(B10918&lt;5,Einstellungen!$B$3,Einstellungen!$B$4)</f>
        <v>29.13</v>
      </c>
      <c r="E10918" s="14" t="str">
        <f aca="false">IF(C10918="","",C10918*D10918/100)</f>
        <v/>
      </c>
      <c r="F10918" s="15" t="str">
        <f aca="false">IF(B10918&lt;5,"Go","Standard")</f>
        <v>Standard</v>
      </c>
    </row>
    <row r="10919" customFormat="false" ht="15" hidden="false" customHeight="true" outlineLevel="0" collapsed="false">
      <c r="A10919" s="10" t="n">
        <f aca="false">Einstellungen!$B$5+INT((ROW()-9)/24)</f>
        <v>46420</v>
      </c>
      <c r="B10919" s="11" t="n">
        <f aca="false">MOD(ROW()-9,24)</f>
        <v>14</v>
      </c>
      <c r="C10919" s="12"/>
      <c r="D10919" s="13" t="n">
        <f aca="false">IF(B10919&lt;5,Einstellungen!$B$3,Einstellungen!$B$4)</f>
        <v>29.13</v>
      </c>
      <c r="E10919" s="14" t="str">
        <f aca="false">IF(C10919="","",C10919*D10919/100)</f>
        <v/>
      </c>
      <c r="F10919" s="15" t="str">
        <f aca="false">IF(B10919&lt;5,"Go","Standard")</f>
        <v>Standard</v>
      </c>
    </row>
    <row r="10920" customFormat="false" ht="15" hidden="false" customHeight="true" outlineLevel="0" collapsed="false">
      <c r="A10920" s="10" t="n">
        <f aca="false">Einstellungen!$B$5+INT((ROW()-9)/24)</f>
        <v>46420</v>
      </c>
      <c r="B10920" s="11" t="n">
        <f aca="false">MOD(ROW()-9,24)</f>
        <v>15</v>
      </c>
      <c r="C10920" s="12"/>
      <c r="D10920" s="13" t="n">
        <f aca="false">IF(B10920&lt;5,Einstellungen!$B$3,Einstellungen!$B$4)</f>
        <v>29.13</v>
      </c>
      <c r="E10920" s="14" t="str">
        <f aca="false">IF(C10920="","",C10920*D10920/100)</f>
        <v/>
      </c>
      <c r="F10920" s="15" t="str">
        <f aca="false">IF(B10920&lt;5,"Go","Standard")</f>
        <v>Standard</v>
      </c>
    </row>
    <row r="10921" customFormat="false" ht="15" hidden="false" customHeight="true" outlineLevel="0" collapsed="false">
      <c r="A10921" s="10" t="n">
        <f aca="false">Einstellungen!$B$5+INT((ROW()-9)/24)</f>
        <v>46420</v>
      </c>
      <c r="B10921" s="11" t="n">
        <f aca="false">MOD(ROW()-9,24)</f>
        <v>16</v>
      </c>
      <c r="C10921" s="12"/>
      <c r="D10921" s="13" t="n">
        <f aca="false">IF(B10921&lt;5,Einstellungen!$B$3,Einstellungen!$B$4)</f>
        <v>29.13</v>
      </c>
      <c r="E10921" s="14" t="str">
        <f aca="false">IF(C10921="","",C10921*D10921/100)</f>
        <v/>
      </c>
      <c r="F10921" s="15" t="str">
        <f aca="false">IF(B10921&lt;5,"Go","Standard")</f>
        <v>Standard</v>
      </c>
    </row>
    <row r="10922" customFormat="false" ht="15" hidden="false" customHeight="true" outlineLevel="0" collapsed="false">
      <c r="A10922" s="10" t="n">
        <f aca="false">Einstellungen!$B$5+INT((ROW()-9)/24)</f>
        <v>46420</v>
      </c>
      <c r="B10922" s="11" t="n">
        <f aca="false">MOD(ROW()-9,24)</f>
        <v>17</v>
      </c>
      <c r="C10922" s="12"/>
      <c r="D10922" s="13" t="n">
        <f aca="false">IF(B10922&lt;5,Einstellungen!$B$3,Einstellungen!$B$4)</f>
        <v>29.13</v>
      </c>
      <c r="E10922" s="14" t="str">
        <f aca="false">IF(C10922="","",C10922*D10922/100)</f>
        <v/>
      </c>
      <c r="F10922" s="15" t="str">
        <f aca="false">IF(B10922&lt;5,"Go","Standard")</f>
        <v>Standard</v>
      </c>
    </row>
    <row r="10923" customFormat="false" ht="15" hidden="false" customHeight="true" outlineLevel="0" collapsed="false">
      <c r="A10923" s="10" t="n">
        <f aca="false">Einstellungen!$B$5+INT((ROW()-9)/24)</f>
        <v>46420</v>
      </c>
      <c r="B10923" s="11" t="n">
        <f aca="false">MOD(ROW()-9,24)</f>
        <v>18</v>
      </c>
      <c r="C10923" s="12"/>
      <c r="D10923" s="13" t="n">
        <f aca="false">IF(B10923&lt;5,Einstellungen!$B$3,Einstellungen!$B$4)</f>
        <v>29.13</v>
      </c>
      <c r="E10923" s="14" t="str">
        <f aca="false">IF(C10923="","",C10923*D10923/100)</f>
        <v/>
      </c>
      <c r="F10923" s="15" t="str">
        <f aca="false">IF(B10923&lt;5,"Go","Standard")</f>
        <v>Standard</v>
      </c>
    </row>
    <row r="10924" customFormat="false" ht="15" hidden="false" customHeight="true" outlineLevel="0" collapsed="false">
      <c r="A10924" s="10" t="n">
        <f aca="false">Einstellungen!$B$5+INT((ROW()-9)/24)</f>
        <v>46420</v>
      </c>
      <c r="B10924" s="11" t="n">
        <f aca="false">MOD(ROW()-9,24)</f>
        <v>19</v>
      </c>
      <c r="C10924" s="12"/>
      <c r="D10924" s="13" t="n">
        <f aca="false">IF(B10924&lt;5,Einstellungen!$B$3,Einstellungen!$B$4)</f>
        <v>29.13</v>
      </c>
      <c r="E10924" s="14" t="str">
        <f aca="false">IF(C10924="","",C10924*D10924/100)</f>
        <v/>
      </c>
      <c r="F10924" s="15" t="str">
        <f aca="false">IF(B10924&lt;5,"Go","Standard")</f>
        <v>Standard</v>
      </c>
    </row>
    <row r="10925" customFormat="false" ht="15" hidden="false" customHeight="true" outlineLevel="0" collapsed="false">
      <c r="A10925" s="10" t="n">
        <f aca="false">Einstellungen!$B$5+INT((ROW()-9)/24)</f>
        <v>46420</v>
      </c>
      <c r="B10925" s="11" t="n">
        <f aca="false">MOD(ROW()-9,24)</f>
        <v>20</v>
      </c>
      <c r="C10925" s="12"/>
      <c r="D10925" s="13" t="n">
        <f aca="false">IF(B10925&lt;5,Einstellungen!$B$3,Einstellungen!$B$4)</f>
        <v>29.13</v>
      </c>
      <c r="E10925" s="14" t="str">
        <f aca="false">IF(C10925="","",C10925*D10925/100)</f>
        <v/>
      </c>
      <c r="F10925" s="15" t="str">
        <f aca="false">IF(B10925&lt;5,"Go","Standard")</f>
        <v>Standard</v>
      </c>
    </row>
    <row r="10926" customFormat="false" ht="15" hidden="false" customHeight="true" outlineLevel="0" collapsed="false">
      <c r="A10926" s="10" t="n">
        <f aca="false">Einstellungen!$B$5+INT((ROW()-9)/24)</f>
        <v>46420</v>
      </c>
      <c r="B10926" s="11" t="n">
        <f aca="false">MOD(ROW()-9,24)</f>
        <v>21</v>
      </c>
      <c r="C10926" s="12"/>
      <c r="D10926" s="13" t="n">
        <f aca="false">IF(B10926&lt;5,Einstellungen!$B$3,Einstellungen!$B$4)</f>
        <v>29.13</v>
      </c>
      <c r="E10926" s="14" t="str">
        <f aca="false">IF(C10926="","",C10926*D10926/100)</f>
        <v/>
      </c>
      <c r="F10926" s="15" t="str">
        <f aca="false">IF(B10926&lt;5,"Go","Standard")</f>
        <v>Standard</v>
      </c>
    </row>
    <row r="10927" customFormat="false" ht="15" hidden="false" customHeight="true" outlineLevel="0" collapsed="false">
      <c r="A10927" s="10" t="n">
        <f aca="false">Einstellungen!$B$5+INT((ROW()-9)/24)</f>
        <v>46420</v>
      </c>
      <c r="B10927" s="11" t="n">
        <f aca="false">MOD(ROW()-9,24)</f>
        <v>22</v>
      </c>
      <c r="C10927" s="12"/>
      <c r="D10927" s="13" t="n">
        <f aca="false">IF(B10927&lt;5,Einstellungen!$B$3,Einstellungen!$B$4)</f>
        <v>29.13</v>
      </c>
      <c r="E10927" s="14" t="str">
        <f aca="false">IF(C10927="","",C10927*D10927/100)</f>
        <v/>
      </c>
      <c r="F10927" s="15" t="str">
        <f aca="false">IF(B10927&lt;5,"Go","Standard")</f>
        <v>Standard</v>
      </c>
    </row>
    <row r="10928" customFormat="false" ht="15" hidden="false" customHeight="true" outlineLevel="0" collapsed="false">
      <c r="A10928" s="10" t="n">
        <f aca="false">Einstellungen!$B$5+INT((ROW()-9)/24)</f>
        <v>46420</v>
      </c>
      <c r="B10928" s="11" t="n">
        <f aca="false">MOD(ROW()-9,24)</f>
        <v>23</v>
      </c>
      <c r="C10928" s="12"/>
      <c r="D10928" s="13" t="n">
        <f aca="false">IF(B10928&lt;5,Einstellungen!$B$3,Einstellungen!$B$4)</f>
        <v>29.13</v>
      </c>
      <c r="E10928" s="14" t="str">
        <f aca="false">IF(C10928="","",C10928*D10928/100)</f>
        <v/>
      </c>
      <c r="F10928" s="15" t="str">
        <f aca="false">IF(B10928&lt;5,"Go","Standard")</f>
        <v>Standard</v>
      </c>
    </row>
    <row r="10929" customFormat="false" ht="15" hidden="false" customHeight="true" outlineLevel="0" collapsed="false">
      <c r="A10929" s="10" t="n">
        <f aca="false">Einstellungen!$B$5+INT((ROW()-9)/24)</f>
        <v>46421</v>
      </c>
      <c r="B10929" s="11" t="n">
        <f aca="false">MOD(ROW()-9,24)</f>
        <v>0</v>
      </c>
      <c r="C10929" s="12"/>
      <c r="D10929" s="13" t="n">
        <f aca="false">IF(B10929&lt;5,Einstellungen!$B$3,Einstellungen!$B$4)</f>
        <v>15.92</v>
      </c>
      <c r="E10929" s="14" t="str">
        <f aca="false">IF(C10929="","",C10929*D10929/100)</f>
        <v/>
      </c>
      <c r="F10929" s="15" t="str">
        <f aca="false">IF(B10929&lt;5,"Go","Standard")</f>
        <v>Go</v>
      </c>
    </row>
    <row r="10930" customFormat="false" ht="15" hidden="false" customHeight="true" outlineLevel="0" collapsed="false">
      <c r="A10930" s="10" t="n">
        <f aca="false">Einstellungen!$B$5+INT((ROW()-9)/24)</f>
        <v>46421</v>
      </c>
      <c r="B10930" s="11" t="n">
        <f aca="false">MOD(ROW()-9,24)</f>
        <v>1</v>
      </c>
      <c r="C10930" s="12"/>
      <c r="D10930" s="13" t="n">
        <f aca="false">IF(B10930&lt;5,Einstellungen!$B$3,Einstellungen!$B$4)</f>
        <v>15.92</v>
      </c>
      <c r="E10930" s="14" t="str">
        <f aca="false">IF(C10930="","",C10930*D10930/100)</f>
        <v/>
      </c>
      <c r="F10930" s="15" t="str">
        <f aca="false">IF(B10930&lt;5,"Go","Standard")</f>
        <v>Go</v>
      </c>
    </row>
    <row r="10931" customFormat="false" ht="15" hidden="false" customHeight="true" outlineLevel="0" collapsed="false">
      <c r="A10931" s="10" t="n">
        <f aca="false">Einstellungen!$B$5+INT((ROW()-9)/24)</f>
        <v>46421</v>
      </c>
      <c r="B10931" s="11" t="n">
        <f aca="false">MOD(ROW()-9,24)</f>
        <v>2</v>
      </c>
      <c r="C10931" s="12"/>
      <c r="D10931" s="13" t="n">
        <f aca="false">IF(B10931&lt;5,Einstellungen!$B$3,Einstellungen!$B$4)</f>
        <v>15.92</v>
      </c>
      <c r="E10931" s="14" t="str">
        <f aca="false">IF(C10931="","",C10931*D10931/100)</f>
        <v/>
      </c>
      <c r="F10931" s="15" t="str">
        <f aca="false">IF(B10931&lt;5,"Go","Standard")</f>
        <v>Go</v>
      </c>
    </row>
    <row r="10932" customFormat="false" ht="15" hidden="false" customHeight="true" outlineLevel="0" collapsed="false">
      <c r="A10932" s="10" t="n">
        <f aca="false">Einstellungen!$B$5+INT((ROW()-9)/24)</f>
        <v>46421</v>
      </c>
      <c r="B10932" s="11" t="n">
        <f aca="false">MOD(ROW()-9,24)</f>
        <v>3</v>
      </c>
      <c r="C10932" s="12"/>
      <c r="D10932" s="13" t="n">
        <f aca="false">IF(B10932&lt;5,Einstellungen!$B$3,Einstellungen!$B$4)</f>
        <v>15.92</v>
      </c>
      <c r="E10932" s="14" t="str">
        <f aca="false">IF(C10932="","",C10932*D10932/100)</f>
        <v/>
      </c>
      <c r="F10932" s="15" t="str">
        <f aca="false">IF(B10932&lt;5,"Go","Standard")</f>
        <v>Go</v>
      </c>
    </row>
    <row r="10933" customFormat="false" ht="15" hidden="false" customHeight="true" outlineLevel="0" collapsed="false">
      <c r="A10933" s="10" t="n">
        <f aca="false">Einstellungen!$B$5+INT((ROW()-9)/24)</f>
        <v>46421</v>
      </c>
      <c r="B10933" s="11" t="n">
        <f aca="false">MOD(ROW()-9,24)</f>
        <v>4</v>
      </c>
      <c r="C10933" s="12"/>
      <c r="D10933" s="13" t="n">
        <f aca="false">IF(B10933&lt;5,Einstellungen!$B$3,Einstellungen!$B$4)</f>
        <v>15.92</v>
      </c>
      <c r="E10933" s="14" t="str">
        <f aca="false">IF(C10933="","",C10933*D10933/100)</f>
        <v/>
      </c>
      <c r="F10933" s="15" t="str">
        <f aca="false">IF(B10933&lt;5,"Go","Standard")</f>
        <v>Go</v>
      </c>
    </row>
    <row r="10934" customFormat="false" ht="15" hidden="false" customHeight="true" outlineLevel="0" collapsed="false">
      <c r="A10934" s="10" t="n">
        <f aca="false">Einstellungen!$B$5+INT((ROW()-9)/24)</f>
        <v>46421</v>
      </c>
      <c r="B10934" s="11" t="n">
        <f aca="false">MOD(ROW()-9,24)</f>
        <v>5</v>
      </c>
      <c r="C10934" s="12"/>
      <c r="D10934" s="13" t="n">
        <f aca="false">IF(B10934&lt;5,Einstellungen!$B$3,Einstellungen!$B$4)</f>
        <v>29.13</v>
      </c>
      <c r="E10934" s="14" t="str">
        <f aca="false">IF(C10934="","",C10934*D10934/100)</f>
        <v/>
      </c>
      <c r="F10934" s="15" t="str">
        <f aca="false">IF(B10934&lt;5,"Go","Standard")</f>
        <v>Standard</v>
      </c>
    </row>
    <row r="10935" customFormat="false" ht="15" hidden="false" customHeight="true" outlineLevel="0" collapsed="false">
      <c r="A10935" s="10" t="n">
        <f aca="false">Einstellungen!$B$5+INT((ROW()-9)/24)</f>
        <v>46421</v>
      </c>
      <c r="B10935" s="11" t="n">
        <f aca="false">MOD(ROW()-9,24)</f>
        <v>6</v>
      </c>
      <c r="C10935" s="12"/>
      <c r="D10935" s="13" t="n">
        <f aca="false">IF(B10935&lt;5,Einstellungen!$B$3,Einstellungen!$B$4)</f>
        <v>29.13</v>
      </c>
      <c r="E10935" s="14" t="str">
        <f aca="false">IF(C10935="","",C10935*D10935/100)</f>
        <v/>
      </c>
      <c r="F10935" s="15" t="str">
        <f aca="false">IF(B10935&lt;5,"Go","Standard")</f>
        <v>Standard</v>
      </c>
    </row>
    <row r="10936" customFormat="false" ht="15" hidden="false" customHeight="true" outlineLevel="0" collapsed="false">
      <c r="A10936" s="10" t="n">
        <f aca="false">Einstellungen!$B$5+INT((ROW()-9)/24)</f>
        <v>46421</v>
      </c>
      <c r="B10936" s="11" t="n">
        <f aca="false">MOD(ROW()-9,24)</f>
        <v>7</v>
      </c>
      <c r="C10936" s="12"/>
      <c r="D10936" s="13" t="n">
        <f aca="false">IF(B10936&lt;5,Einstellungen!$B$3,Einstellungen!$B$4)</f>
        <v>29.13</v>
      </c>
      <c r="E10936" s="14" t="str">
        <f aca="false">IF(C10936="","",C10936*D10936/100)</f>
        <v/>
      </c>
      <c r="F10936" s="15" t="str">
        <f aca="false">IF(B10936&lt;5,"Go","Standard")</f>
        <v>Standard</v>
      </c>
    </row>
    <row r="10937" customFormat="false" ht="15" hidden="false" customHeight="true" outlineLevel="0" collapsed="false">
      <c r="A10937" s="10" t="n">
        <f aca="false">Einstellungen!$B$5+INT((ROW()-9)/24)</f>
        <v>46421</v>
      </c>
      <c r="B10937" s="11" t="n">
        <f aca="false">MOD(ROW()-9,24)</f>
        <v>8</v>
      </c>
      <c r="C10937" s="12"/>
      <c r="D10937" s="13" t="n">
        <f aca="false">IF(B10937&lt;5,Einstellungen!$B$3,Einstellungen!$B$4)</f>
        <v>29.13</v>
      </c>
      <c r="E10937" s="14" t="str">
        <f aca="false">IF(C10937="","",C10937*D10937/100)</f>
        <v/>
      </c>
      <c r="F10937" s="15" t="str">
        <f aca="false">IF(B10937&lt;5,"Go","Standard")</f>
        <v>Standard</v>
      </c>
    </row>
    <row r="10938" customFormat="false" ht="15" hidden="false" customHeight="true" outlineLevel="0" collapsed="false">
      <c r="A10938" s="10" t="n">
        <f aca="false">Einstellungen!$B$5+INT((ROW()-9)/24)</f>
        <v>46421</v>
      </c>
      <c r="B10938" s="11" t="n">
        <f aca="false">MOD(ROW()-9,24)</f>
        <v>9</v>
      </c>
      <c r="C10938" s="12"/>
      <c r="D10938" s="13" t="n">
        <f aca="false">IF(B10938&lt;5,Einstellungen!$B$3,Einstellungen!$B$4)</f>
        <v>29.13</v>
      </c>
      <c r="E10938" s="14" t="str">
        <f aca="false">IF(C10938="","",C10938*D10938/100)</f>
        <v/>
      </c>
      <c r="F10938" s="15" t="str">
        <f aca="false">IF(B10938&lt;5,"Go","Standard")</f>
        <v>Standard</v>
      </c>
    </row>
    <row r="10939" customFormat="false" ht="15" hidden="false" customHeight="true" outlineLevel="0" collapsed="false">
      <c r="A10939" s="10" t="n">
        <f aca="false">Einstellungen!$B$5+INT((ROW()-9)/24)</f>
        <v>46421</v>
      </c>
      <c r="B10939" s="11" t="n">
        <f aca="false">MOD(ROW()-9,24)</f>
        <v>10</v>
      </c>
      <c r="C10939" s="12"/>
      <c r="D10939" s="13" t="n">
        <f aca="false">IF(B10939&lt;5,Einstellungen!$B$3,Einstellungen!$B$4)</f>
        <v>29.13</v>
      </c>
      <c r="E10939" s="14" t="str">
        <f aca="false">IF(C10939="","",C10939*D10939/100)</f>
        <v/>
      </c>
      <c r="F10939" s="15" t="str">
        <f aca="false">IF(B10939&lt;5,"Go","Standard")</f>
        <v>Standard</v>
      </c>
    </row>
    <row r="10940" customFormat="false" ht="15" hidden="false" customHeight="true" outlineLevel="0" collapsed="false">
      <c r="A10940" s="10" t="n">
        <f aca="false">Einstellungen!$B$5+INT((ROW()-9)/24)</f>
        <v>46421</v>
      </c>
      <c r="B10940" s="11" t="n">
        <f aca="false">MOD(ROW()-9,24)</f>
        <v>11</v>
      </c>
      <c r="C10940" s="12"/>
      <c r="D10940" s="13" t="n">
        <f aca="false">IF(B10940&lt;5,Einstellungen!$B$3,Einstellungen!$B$4)</f>
        <v>29.13</v>
      </c>
      <c r="E10940" s="14" t="str">
        <f aca="false">IF(C10940="","",C10940*D10940/100)</f>
        <v/>
      </c>
      <c r="F10940" s="15" t="str">
        <f aca="false">IF(B10940&lt;5,"Go","Standard")</f>
        <v>Standard</v>
      </c>
    </row>
    <row r="10941" customFormat="false" ht="15" hidden="false" customHeight="true" outlineLevel="0" collapsed="false">
      <c r="A10941" s="10" t="n">
        <f aca="false">Einstellungen!$B$5+INT((ROW()-9)/24)</f>
        <v>46421</v>
      </c>
      <c r="B10941" s="11" t="n">
        <f aca="false">MOD(ROW()-9,24)</f>
        <v>12</v>
      </c>
      <c r="C10941" s="12"/>
      <c r="D10941" s="13" t="n">
        <f aca="false">IF(B10941&lt;5,Einstellungen!$B$3,Einstellungen!$B$4)</f>
        <v>29.13</v>
      </c>
      <c r="E10941" s="14" t="str">
        <f aca="false">IF(C10941="","",C10941*D10941/100)</f>
        <v/>
      </c>
      <c r="F10941" s="15" t="str">
        <f aca="false">IF(B10941&lt;5,"Go","Standard")</f>
        <v>Standard</v>
      </c>
    </row>
    <row r="10942" customFormat="false" ht="15" hidden="false" customHeight="true" outlineLevel="0" collapsed="false">
      <c r="A10942" s="10" t="n">
        <f aca="false">Einstellungen!$B$5+INT((ROW()-9)/24)</f>
        <v>46421</v>
      </c>
      <c r="B10942" s="11" t="n">
        <f aca="false">MOD(ROW()-9,24)</f>
        <v>13</v>
      </c>
      <c r="C10942" s="12"/>
      <c r="D10942" s="13" t="n">
        <f aca="false">IF(B10942&lt;5,Einstellungen!$B$3,Einstellungen!$B$4)</f>
        <v>29.13</v>
      </c>
      <c r="E10942" s="14" t="str">
        <f aca="false">IF(C10942="","",C10942*D10942/100)</f>
        <v/>
      </c>
      <c r="F10942" s="15" t="str">
        <f aca="false">IF(B10942&lt;5,"Go","Standard")</f>
        <v>Standard</v>
      </c>
    </row>
    <row r="10943" customFormat="false" ht="15" hidden="false" customHeight="true" outlineLevel="0" collapsed="false">
      <c r="A10943" s="10" t="n">
        <f aca="false">Einstellungen!$B$5+INT((ROW()-9)/24)</f>
        <v>46421</v>
      </c>
      <c r="B10943" s="11" t="n">
        <f aca="false">MOD(ROW()-9,24)</f>
        <v>14</v>
      </c>
      <c r="C10943" s="12"/>
      <c r="D10943" s="13" t="n">
        <f aca="false">IF(B10943&lt;5,Einstellungen!$B$3,Einstellungen!$B$4)</f>
        <v>29.13</v>
      </c>
      <c r="E10943" s="14" t="str">
        <f aca="false">IF(C10943="","",C10943*D10943/100)</f>
        <v/>
      </c>
      <c r="F10943" s="15" t="str">
        <f aca="false">IF(B10943&lt;5,"Go","Standard")</f>
        <v>Standard</v>
      </c>
    </row>
    <row r="10944" customFormat="false" ht="15" hidden="false" customHeight="true" outlineLevel="0" collapsed="false">
      <c r="A10944" s="10" t="n">
        <f aca="false">Einstellungen!$B$5+INT((ROW()-9)/24)</f>
        <v>46421</v>
      </c>
      <c r="B10944" s="11" t="n">
        <f aca="false">MOD(ROW()-9,24)</f>
        <v>15</v>
      </c>
      <c r="C10944" s="12"/>
      <c r="D10944" s="13" t="n">
        <f aca="false">IF(B10944&lt;5,Einstellungen!$B$3,Einstellungen!$B$4)</f>
        <v>29.13</v>
      </c>
      <c r="E10944" s="14" t="str">
        <f aca="false">IF(C10944="","",C10944*D10944/100)</f>
        <v/>
      </c>
      <c r="F10944" s="15" t="str">
        <f aca="false">IF(B10944&lt;5,"Go","Standard")</f>
        <v>Standard</v>
      </c>
    </row>
    <row r="10945" customFormat="false" ht="15" hidden="false" customHeight="true" outlineLevel="0" collapsed="false">
      <c r="A10945" s="10" t="n">
        <f aca="false">Einstellungen!$B$5+INT((ROW()-9)/24)</f>
        <v>46421</v>
      </c>
      <c r="B10945" s="11" t="n">
        <f aca="false">MOD(ROW()-9,24)</f>
        <v>16</v>
      </c>
      <c r="C10945" s="12"/>
      <c r="D10945" s="13" t="n">
        <f aca="false">IF(B10945&lt;5,Einstellungen!$B$3,Einstellungen!$B$4)</f>
        <v>29.13</v>
      </c>
      <c r="E10945" s="14" t="str">
        <f aca="false">IF(C10945="","",C10945*D10945/100)</f>
        <v/>
      </c>
      <c r="F10945" s="15" t="str">
        <f aca="false">IF(B10945&lt;5,"Go","Standard")</f>
        <v>Standard</v>
      </c>
    </row>
    <row r="10946" customFormat="false" ht="15" hidden="false" customHeight="true" outlineLevel="0" collapsed="false">
      <c r="A10946" s="10" t="n">
        <f aca="false">Einstellungen!$B$5+INT((ROW()-9)/24)</f>
        <v>46421</v>
      </c>
      <c r="B10946" s="11" t="n">
        <f aca="false">MOD(ROW()-9,24)</f>
        <v>17</v>
      </c>
      <c r="C10946" s="12"/>
      <c r="D10946" s="13" t="n">
        <f aca="false">IF(B10946&lt;5,Einstellungen!$B$3,Einstellungen!$B$4)</f>
        <v>29.13</v>
      </c>
      <c r="E10946" s="14" t="str">
        <f aca="false">IF(C10946="","",C10946*D10946/100)</f>
        <v/>
      </c>
      <c r="F10946" s="15" t="str">
        <f aca="false">IF(B10946&lt;5,"Go","Standard")</f>
        <v>Standard</v>
      </c>
    </row>
    <row r="10947" customFormat="false" ht="15" hidden="false" customHeight="true" outlineLevel="0" collapsed="false">
      <c r="A10947" s="10" t="n">
        <f aca="false">Einstellungen!$B$5+INT((ROW()-9)/24)</f>
        <v>46421</v>
      </c>
      <c r="B10947" s="11" t="n">
        <f aca="false">MOD(ROW()-9,24)</f>
        <v>18</v>
      </c>
      <c r="C10947" s="12"/>
      <c r="D10947" s="13" t="n">
        <f aca="false">IF(B10947&lt;5,Einstellungen!$B$3,Einstellungen!$B$4)</f>
        <v>29.13</v>
      </c>
      <c r="E10947" s="14" t="str">
        <f aca="false">IF(C10947="","",C10947*D10947/100)</f>
        <v/>
      </c>
      <c r="F10947" s="15" t="str">
        <f aca="false">IF(B10947&lt;5,"Go","Standard")</f>
        <v>Standard</v>
      </c>
    </row>
    <row r="10948" customFormat="false" ht="15" hidden="false" customHeight="true" outlineLevel="0" collapsed="false">
      <c r="A10948" s="10" t="n">
        <f aca="false">Einstellungen!$B$5+INT((ROW()-9)/24)</f>
        <v>46421</v>
      </c>
      <c r="B10948" s="11" t="n">
        <f aca="false">MOD(ROW()-9,24)</f>
        <v>19</v>
      </c>
      <c r="C10948" s="12"/>
      <c r="D10948" s="13" t="n">
        <f aca="false">IF(B10948&lt;5,Einstellungen!$B$3,Einstellungen!$B$4)</f>
        <v>29.13</v>
      </c>
      <c r="E10948" s="14" t="str">
        <f aca="false">IF(C10948="","",C10948*D10948/100)</f>
        <v/>
      </c>
      <c r="F10948" s="15" t="str">
        <f aca="false">IF(B10948&lt;5,"Go","Standard")</f>
        <v>Standard</v>
      </c>
    </row>
    <row r="10949" customFormat="false" ht="15" hidden="false" customHeight="true" outlineLevel="0" collapsed="false">
      <c r="A10949" s="10" t="n">
        <f aca="false">Einstellungen!$B$5+INT((ROW()-9)/24)</f>
        <v>46421</v>
      </c>
      <c r="B10949" s="11" t="n">
        <f aca="false">MOD(ROW()-9,24)</f>
        <v>20</v>
      </c>
      <c r="C10949" s="12"/>
      <c r="D10949" s="13" t="n">
        <f aca="false">IF(B10949&lt;5,Einstellungen!$B$3,Einstellungen!$B$4)</f>
        <v>29.13</v>
      </c>
      <c r="E10949" s="14" t="str">
        <f aca="false">IF(C10949="","",C10949*D10949/100)</f>
        <v/>
      </c>
      <c r="F10949" s="15" t="str">
        <f aca="false">IF(B10949&lt;5,"Go","Standard")</f>
        <v>Standard</v>
      </c>
    </row>
    <row r="10950" customFormat="false" ht="15" hidden="false" customHeight="true" outlineLevel="0" collapsed="false">
      <c r="A10950" s="10" t="n">
        <f aca="false">Einstellungen!$B$5+INT((ROW()-9)/24)</f>
        <v>46421</v>
      </c>
      <c r="B10950" s="11" t="n">
        <f aca="false">MOD(ROW()-9,24)</f>
        <v>21</v>
      </c>
      <c r="C10950" s="12"/>
      <c r="D10950" s="13" t="n">
        <f aca="false">IF(B10950&lt;5,Einstellungen!$B$3,Einstellungen!$B$4)</f>
        <v>29.13</v>
      </c>
      <c r="E10950" s="14" t="str">
        <f aca="false">IF(C10950="","",C10950*D10950/100)</f>
        <v/>
      </c>
      <c r="F10950" s="15" t="str">
        <f aca="false">IF(B10950&lt;5,"Go","Standard")</f>
        <v>Standard</v>
      </c>
    </row>
    <row r="10951" customFormat="false" ht="15" hidden="false" customHeight="true" outlineLevel="0" collapsed="false">
      <c r="A10951" s="10" t="n">
        <f aca="false">Einstellungen!$B$5+INT((ROW()-9)/24)</f>
        <v>46421</v>
      </c>
      <c r="B10951" s="11" t="n">
        <f aca="false">MOD(ROW()-9,24)</f>
        <v>22</v>
      </c>
      <c r="C10951" s="12"/>
      <c r="D10951" s="13" t="n">
        <f aca="false">IF(B10951&lt;5,Einstellungen!$B$3,Einstellungen!$B$4)</f>
        <v>29.13</v>
      </c>
      <c r="E10951" s="14" t="str">
        <f aca="false">IF(C10951="","",C10951*D10951/100)</f>
        <v/>
      </c>
      <c r="F10951" s="15" t="str">
        <f aca="false">IF(B10951&lt;5,"Go","Standard")</f>
        <v>Standard</v>
      </c>
    </row>
    <row r="10952" customFormat="false" ht="15" hidden="false" customHeight="true" outlineLevel="0" collapsed="false">
      <c r="A10952" s="10" t="n">
        <f aca="false">Einstellungen!$B$5+INT((ROW()-9)/24)</f>
        <v>46421</v>
      </c>
      <c r="B10952" s="11" t="n">
        <f aca="false">MOD(ROW()-9,24)</f>
        <v>23</v>
      </c>
      <c r="C10952" s="12"/>
      <c r="D10952" s="13" t="n">
        <f aca="false">IF(B10952&lt;5,Einstellungen!$B$3,Einstellungen!$B$4)</f>
        <v>29.13</v>
      </c>
      <c r="E10952" s="14" t="str">
        <f aca="false">IF(C10952="","",C10952*D10952/100)</f>
        <v/>
      </c>
      <c r="F10952" s="15" t="str">
        <f aca="false">IF(B10952&lt;5,"Go","Standard")</f>
        <v>Standard</v>
      </c>
    </row>
    <row r="10953" customFormat="false" ht="15" hidden="false" customHeight="true" outlineLevel="0" collapsed="false">
      <c r="A10953" s="10" t="n">
        <f aca="false">Einstellungen!$B$5+INT((ROW()-9)/24)</f>
        <v>46422</v>
      </c>
      <c r="B10953" s="11" t="n">
        <f aca="false">MOD(ROW()-9,24)</f>
        <v>0</v>
      </c>
      <c r="C10953" s="12"/>
      <c r="D10953" s="13" t="n">
        <f aca="false">IF(B10953&lt;5,Einstellungen!$B$3,Einstellungen!$B$4)</f>
        <v>15.92</v>
      </c>
      <c r="E10953" s="14" t="str">
        <f aca="false">IF(C10953="","",C10953*D10953/100)</f>
        <v/>
      </c>
      <c r="F10953" s="15" t="str">
        <f aca="false">IF(B10953&lt;5,"Go","Standard")</f>
        <v>Go</v>
      </c>
    </row>
    <row r="10954" customFormat="false" ht="15" hidden="false" customHeight="true" outlineLevel="0" collapsed="false">
      <c r="A10954" s="10" t="n">
        <f aca="false">Einstellungen!$B$5+INT((ROW()-9)/24)</f>
        <v>46422</v>
      </c>
      <c r="B10954" s="11" t="n">
        <f aca="false">MOD(ROW()-9,24)</f>
        <v>1</v>
      </c>
      <c r="C10954" s="12"/>
      <c r="D10954" s="13" t="n">
        <f aca="false">IF(B10954&lt;5,Einstellungen!$B$3,Einstellungen!$B$4)</f>
        <v>15.92</v>
      </c>
      <c r="E10954" s="14" t="str">
        <f aca="false">IF(C10954="","",C10954*D10954/100)</f>
        <v/>
      </c>
      <c r="F10954" s="15" t="str">
        <f aca="false">IF(B10954&lt;5,"Go","Standard")</f>
        <v>Go</v>
      </c>
    </row>
    <row r="10955" customFormat="false" ht="15" hidden="false" customHeight="true" outlineLevel="0" collapsed="false">
      <c r="A10955" s="10" t="n">
        <f aca="false">Einstellungen!$B$5+INT((ROW()-9)/24)</f>
        <v>46422</v>
      </c>
      <c r="B10955" s="11" t="n">
        <f aca="false">MOD(ROW()-9,24)</f>
        <v>2</v>
      </c>
      <c r="C10955" s="12"/>
      <c r="D10955" s="13" t="n">
        <f aca="false">IF(B10955&lt;5,Einstellungen!$B$3,Einstellungen!$B$4)</f>
        <v>15.92</v>
      </c>
      <c r="E10955" s="14" t="str">
        <f aca="false">IF(C10955="","",C10955*D10955/100)</f>
        <v/>
      </c>
      <c r="F10955" s="15" t="str">
        <f aca="false">IF(B10955&lt;5,"Go","Standard")</f>
        <v>Go</v>
      </c>
    </row>
    <row r="10956" customFormat="false" ht="15" hidden="false" customHeight="true" outlineLevel="0" collapsed="false">
      <c r="A10956" s="10" t="n">
        <f aca="false">Einstellungen!$B$5+INT((ROW()-9)/24)</f>
        <v>46422</v>
      </c>
      <c r="B10956" s="11" t="n">
        <f aca="false">MOD(ROW()-9,24)</f>
        <v>3</v>
      </c>
      <c r="C10956" s="12"/>
      <c r="D10956" s="13" t="n">
        <f aca="false">IF(B10956&lt;5,Einstellungen!$B$3,Einstellungen!$B$4)</f>
        <v>15.92</v>
      </c>
      <c r="E10956" s="14" t="str">
        <f aca="false">IF(C10956="","",C10956*D10956/100)</f>
        <v/>
      </c>
      <c r="F10956" s="15" t="str">
        <f aca="false">IF(B10956&lt;5,"Go","Standard")</f>
        <v>Go</v>
      </c>
    </row>
    <row r="10957" customFormat="false" ht="15" hidden="false" customHeight="true" outlineLevel="0" collapsed="false">
      <c r="A10957" s="10" t="n">
        <f aca="false">Einstellungen!$B$5+INT((ROW()-9)/24)</f>
        <v>46422</v>
      </c>
      <c r="B10957" s="11" t="n">
        <f aca="false">MOD(ROW()-9,24)</f>
        <v>4</v>
      </c>
      <c r="C10957" s="12"/>
      <c r="D10957" s="13" t="n">
        <f aca="false">IF(B10957&lt;5,Einstellungen!$B$3,Einstellungen!$B$4)</f>
        <v>15.92</v>
      </c>
      <c r="E10957" s="14" t="str">
        <f aca="false">IF(C10957="","",C10957*D10957/100)</f>
        <v/>
      </c>
      <c r="F10957" s="15" t="str">
        <f aca="false">IF(B10957&lt;5,"Go","Standard")</f>
        <v>Go</v>
      </c>
    </row>
    <row r="10958" customFormat="false" ht="15" hidden="false" customHeight="true" outlineLevel="0" collapsed="false">
      <c r="A10958" s="10" t="n">
        <f aca="false">Einstellungen!$B$5+INT((ROW()-9)/24)</f>
        <v>46422</v>
      </c>
      <c r="B10958" s="11" t="n">
        <f aca="false">MOD(ROW()-9,24)</f>
        <v>5</v>
      </c>
      <c r="C10958" s="12"/>
      <c r="D10958" s="13" t="n">
        <f aca="false">IF(B10958&lt;5,Einstellungen!$B$3,Einstellungen!$B$4)</f>
        <v>29.13</v>
      </c>
      <c r="E10958" s="14" t="str">
        <f aca="false">IF(C10958="","",C10958*D10958/100)</f>
        <v/>
      </c>
      <c r="F10958" s="15" t="str">
        <f aca="false">IF(B10958&lt;5,"Go","Standard")</f>
        <v>Standard</v>
      </c>
    </row>
    <row r="10959" customFormat="false" ht="15" hidden="false" customHeight="true" outlineLevel="0" collapsed="false">
      <c r="A10959" s="10" t="n">
        <f aca="false">Einstellungen!$B$5+INT((ROW()-9)/24)</f>
        <v>46422</v>
      </c>
      <c r="B10959" s="11" t="n">
        <f aca="false">MOD(ROW()-9,24)</f>
        <v>6</v>
      </c>
      <c r="C10959" s="12"/>
      <c r="D10959" s="13" t="n">
        <f aca="false">IF(B10959&lt;5,Einstellungen!$B$3,Einstellungen!$B$4)</f>
        <v>29.13</v>
      </c>
      <c r="E10959" s="14" t="str">
        <f aca="false">IF(C10959="","",C10959*D10959/100)</f>
        <v/>
      </c>
      <c r="F10959" s="15" t="str">
        <f aca="false">IF(B10959&lt;5,"Go","Standard")</f>
        <v>Standard</v>
      </c>
    </row>
    <row r="10960" customFormat="false" ht="15" hidden="false" customHeight="true" outlineLevel="0" collapsed="false">
      <c r="A10960" s="10" t="n">
        <f aca="false">Einstellungen!$B$5+INT((ROW()-9)/24)</f>
        <v>46422</v>
      </c>
      <c r="B10960" s="11" t="n">
        <f aca="false">MOD(ROW()-9,24)</f>
        <v>7</v>
      </c>
      <c r="C10960" s="12"/>
      <c r="D10960" s="13" t="n">
        <f aca="false">IF(B10960&lt;5,Einstellungen!$B$3,Einstellungen!$B$4)</f>
        <v>29.13</v>
      </c>
      <c r="E10960" s="14" t="str">
        <f aca="false">IF(C10960="","",C10960*D10960/100)</f>
        <v/>
      </c>
      <c r="F10960" s="15" t="str">
        <f aca="false">IF(B10960&lt;5,"Go","Standard")</f>
        <v>Standard</v>
      </c>
    </row>
    <row r="10961" customFormat="false" ht="15" hidden="false" customHeight="true" outlineLevel="0" collapsed="false">
      <c r="A10961" s="10" t="n">
        <f aca="false">Einstellungen!$B$5+INT((ROW()-9)/24)</f>
        <v>46422</v>
      </c>
      <c r="B10961" s="11" t="n">
        <f aca="false">MOD(ROW()-9,24)</f>
        <v>8</v>
      </c>
      <c r="C10961" s="12"/>
      <c r="D10961" s="13" t="n">
        <f aca="false">IF(B10961&lt;5,Einstellungen!$B$3,Einstellungen!$B$4)</f>
        <v>29.13</v>
      </c>
      <c r="E10961" s="14" t="str">
        <f aca="false">IF(C10961="","",C10961*D10961/100)</f>
        <v/>
      </c>
      <c r="F10961" s="15" t="str">
        <f aca="false">IF(B10961&lt;5,"Go","Standard")</f>
        <v>Standard</v>
      </c>
    </row>
    <row r="10962" customFormat="false" ht="15" hidden="false" customHeight="true" outlineLevel="0" collapsed="false">
      <c r="A10962" s="10" t="n">
        <f aca="false">Einstellungen!$B$5+INT((ROW()-9)/24)</f>
        <v>46422</v>
      </c>
      <c r="B10962" s="11" t="n">
        <f aca="false">MOD(ROW()-9,24)</f>
        <v>9</v>
      </c>
      <c r="C10962" s="12"/>
      <c r="D10962" s="13" t="n">
        <f aca="false">IF(B10962&lt;5,Einstellungen!$B$3,Einstellungen!$B$4)</f>
        <v>29.13</v>
      </c>
      <c r="E10962" s="14" t="str">
        <f aca="false">IF(C10962="","",C10962*D10962/100)</f>
        <v/>
      </c>
      <c r="F10962" s="15" t="str">
        <f aca="false">IF(B10962&lt;5,"Go","Standard")</f>
        <v>Standard</v>
      </c>
    </row>
    <row r="10963" customFormat="false" ht="15" hidden="false" customHeight="true" outlineLevel="0" collapsed="false">
      <c r="A10963" s="10" t="n">
        <f aca="false">Einstellungen!$B$5+INT((ROW()-9)/24)</f>
        <v>46422</v>
      </c>
      <c r="B10963" s="11" t="n">
        <f aca="false">MOD(ROW()-9,24)</f>
        <v>10</v>
      </c>
      <c r="C10963" s="12"/>
      <c r="D10963" s="13" t="n">
        <f aca="false">IF(B10963&lt;5,Einstellungen!$B$3,Einstellungen!$B$4)</f>
        <v>29.13</v>
      </c>
      <c r="E10963" s="14" t="str">
        <f aca="false">IF(C10963="","",C10963*D10963/100)</f>
        <v/>
      </c>
      <c r="F10963" s="15" t="str">
        <f aca="false">IF(B10963&lt;5,"Go","Standard")</f>
        <v>Standard</v>
      </c>
    </row>
    <row r="10964" customFormat="false" ht="15" hidden="false" customHeight="true" outlineLevel="0" collapsed="false">
      <c r="A10964" s="10" t="n">
        <f aca="false">Einstellungen!$B$5+INT((ROW()-9)/24)</f>
        <v>46422</v>
      </c>
      <c r="B10964" s="11" t="n">
        <f aca="false">MOD(ROW()-9,24)</f>
        <v>11</v>
      </c>
      <c r="C10964" s="12"/>
      <c r="D10964" s="13" t="n">
        <f aca="false">IF(B10964&lt;5,Einstellungen!$B$3,Einstellungen!$B$4)</f>
        <v>29.13</v>
      </c>
      <c r="E10964" s="14" t="str">
        <f aca="false">IF(C10964="","",C10964*D10964/100)</f>
        <v/>
      </c>
      <c r="F10964" s="15" t="str">
        <f aca="false">IF(B10964&lt;5,"Go","Standard")</f>
        <v>Standard</v>
      </c>
    </row>
    <row r="10965" customFormat="false" ht="15" hidden="false" customHeight="true" outlineLevel="0" collapsed="false">
      <c r="A10965" s="10" t="n">
        <f aca="false">Einstellungen!$B$5+INT((ROW()-9)/24)</f>
        <v>46422</v>
      </c>
      <c r="B10965" s="11" t="n">
        <f aca="false">MOD(ROW()-9,24)</f>
        <v>12</v>
      </c>
      <c r="C10965" s="12"/>
      <c r="D10965" s="13" t="n">
        <f aca="false">IF(B10965&lt;5,Einstellungen!$B$3,Einstellungen!$B$4)</f>
        <v>29.13</v>
      </c>
      <c r="E10965" s="14" t="str">
        <f aca="false">IF(C10965="","",C10965*D10965/100)</f>
        <v/>
      </c>
      <c r="F10965" s="15" t="str">
        <f aca="false">IF(B10965&lt;5,"Go","Standard")</f>
        <v>Standard</v>
      </c>
    </row>
    <row r="10966" customFormat="false" ht="15" hidden="false" customHeight="true" outlineLevel="0" collapsed="false">
      <c r="A10966" s="10" t="n">
        <f aca="false">Einstellungen!$B$5+INT((ROW()-9)/24)</f>
        <v>46422</v>
      </c>
      <c r="B10966" s="11" t="n">
        <f aca="false">MOD(ROW()-9,24)</f>
        <v>13</v>
      </c>
      <c r="C10966" s="12"/>
      <c r="D10966" s="13" t="n">
        <f aca="false">IF(B10966&lt;5,Einstellungen!$B$3,Einstellungen!$B$4)</f>
        <v>29.13</v>
      </c>
      <c r="E10966" s="14" t="str">
        <f aca="false">IF(C10966="","",C10966*D10966/100)</f>
        <v/>
      </c>
      <c r="F10966" s="15" t="str">
        <f aca="false">IF(B10966&lt;5,"Go","Standard")</f>
        <v>Standard</v>
      </c>
    </row>
    <row r="10967" customFormat="false" ht="15" hidden="false" customHeight="true" outlineLevel="0" collapsed="false">
      <c r="A10967" s="10" t="n">
        <f aca="false">Einstellungen!$B$5+INT((ROW()-9)/24)</f>
        <v>46422</v>
      </c>
      <c r="B10967" s="11" t="n">
        <f aca="false">MOD(ROW()-9,24)</f>
        <v>14</v>
      </c>
      <c r="C10967" s="12"/>
      <c r="D10967" s="13" t="n">
        <f aca="false">IF(B10967&lt;5,Einstellungen!$B$3,Einstellungen!$B$4)</f>
        <v>29.13</v>
      </c>
      <c r="E10967" s="14" t="str">
        <f aca="false">IF(C10967="","",C10967*D10967/100)</f>
        <v/>
      </c>
      <c r="F10967" s="15" t="str">
        <f aca="false">IF(B10967&lt;5,"Go","Standard")</f>
        <v>Standard</v>
      </c>
    </row>
    <row r="10968" customFormat="false" ht="15" hidden="false" customHeight="true" outlineLevel="0" collapsed="false">
      <c r="A10968" s="10" t="n">
        <f aca="false">Einstellungen!$B$5+INT((ROW()-9)/24)</f>
        <v>46422</v>
      </c>
      <c r="B10968" s="11" t="n">
        <f aca="false">MOD(ROW()-9,24)</f>
        <v>15</v>
      </c>
      <c r="C10968" s="12"/>
      <c r="D10968" s="13" t="n">
        <f aca="false">IF(B10968&lt;5,Einstellungen!$B$3,Einstellungen!$B$4)</f>
        <v>29.13</v>
      </c>
      <c r="E10968" s="14" t="str">
        <f aca="false">IF(C10968="","",C10968*D10968/100)</f>
        <v/>
      </c>
      <c r="F10968" s="15" t="str">
        <f aca="false">IF(B10968&lt;5,"Go","Standard")</f>
        <v>Standard</v>
      </c>
    </row>
    <row r="10969" customFormat="false" ht="15" hidden="false" customHeight="true" outlineLevel="0" collapsed="false">
      <c r="A10969" s="10" t="n">
        <f aca="false">Einstellungen!$B$5+INT((ROW()-9)/24)</f>
        <v>46422</v>
      </c>
      <c r="B10969" s="11" t="n">
        <f aca="false">MOD(ROW()-9,24)</f>
        <v>16</v>
      </c>
      <c r="C10969" s="12"/>
      <c r="D10969" s="13" t="n">
        <f aca="false">IF(B10969&lt;5,Einstellungen!$B$3,Einstellungen!$B$4)</f>
        <v>29.13</v>
      </c>
      <c r="E10969" s="14" t="str">
        <f aca="false">IF(C10969="","",C10969*D10969/100)</f>
        <v/>
      </c>
      <c r="F10969" s="15" t="str">
        <f aca="false">IF(B10969&lt;5,"Go","Standard")</f>
        <v>Standard</v>
      </c>
    </row>
    <row r="10970" customFormat="false" ht="15" hidden="false" customHeight="true" outlineLevel="0" collapsed="false">
      <c r="A10970" s="10" t="n">
        <f aca="false">Einstellungen!$B$5+INT((ROW()-9)/24)</f>
        <v>46422</v>
      </c>
      <c r="B10970" s="11" t="n">
        <f aca="false">MOD(ROW()-9,24)</f>
        <v>17</v>
      </c>
      <c r="C10970" s="12"/>
      <c r="D10970" s="13" t="n">
        <f aca="false">IF(B10970&lt;5,Einstellungen!$B$3,Einstellungen!$B$4)</f>
        <v>29.13</v>
      </c>
      <c r="E10970" s="14" t="str">
        <f aca="false">IF(C10970="","",C10970*D10970/100)</f>
        <v/>
      </c>
      <c r="F10970" s="15" t="str">
        <f aca="false">IF(B10970&lt;5,"Go","Standard")</f>
        <v>Standard</v>
      </c>
    </row>
    <row r="10971" customFormat="false" ht="15" hidden="false" customHeight="true" outlineLevel="0" collapsed="false">
      <c r="A10971" s="10" t="n">
        <f aca="false">Einstellungen!$B$5+INT((ROW()-9)/24)</f>
        <v>46422</v>
      </c>
      <c r="B10971" s="11" t="n">
        <f aca="false">MOD(ROW()-9,24)</f>
        <v>18</v>
      </c>
      <c r="C10971" s="12"/>
      <c r="D10971" s="13" t="n">
        <f aca="false">IF(B10971&lt;5,Einstellungen!$B$3,Einstellungen!$B$4)</f>
        <v>29.13</v>
      </c>
      <c r="E10971" s="14" t="str">
        <f aca="false">IF(C10971="","",C10971*D10971/100)</f>
        <v/>
      </c>
      <c r="F10971" s="15" t="str">
        <f aca="false">IF(B10971&lt;5,"Go","Standard")</f>
        <v>Standard</v>
      </c>
    </row>
    <row r="10972" customFormat="false" ht="15" hidden="false" customHeight="true" outlineLevel="0" collapsed="false">
      <c r="A10972" s="10" t="n">
        <f aca="false">Einstellungen!$B$5+INT((ROW()-9)/24)</f>
        <v>46422</v>
      </c>
      <c r="B10972" s="11" t="n">
        <f aca="false">MOD(ROW()-9,24)</f>
        <v>19</v>
      </c>
      <c r="C10972" s="12"/>
      <c r="D10972" s="13" t="n">
        <f aca="false">IF(B10972&lt;5,Einstellungen!$B$3,Einstellungen!$B$4)</f>
        <v>29.13</v>
      </c>
      <c r="E10972" s="14" t="str">
        <f aca="false">IF(C10972="","",C10972*D10972/100)</f>
        <v/>
      </c>
      <c r="F10972" s="15" t="str">
        <f aca="false">IF(B10972&lt;5,"Go","Standard")</f>
        <v>Standard</v>
      </c>
    </row>
    <row r="10973" customFormat="false" ht="15" hidden="false" customHeight="true" outlineLevel="0" collapsed="false">
      <c r="A10973" s="10" t="n">
        <f aca="false">Einstellungen!$B$5+INT((ROW()-9)/24)</f>
        <v>46422</v>
      </c>
      <c r="B10973" s="11" t="n">
        <f aca="false">MOD(ROW()-9,24)</f>
        <v>20</v>
      </c>
      <c r="C10973" s="12"/>
      <c r="D10973" s="13" t="n">
        <f aca="false">IF(B10973&lt;5,Einstellungen!$B$3,Einstellungen!$B$4)</f>
        <v>29.13</v>
      </c>
      <c r="E10973" s="14" t="str">
        <f aca="false">IF(C10973="","",C10973*D10973/100)</f>
        <v/>
      </c>
      <c r="F10973" s="15" t="str">
        <f aca="false">IF(B10973&lt;5,"Go","Standard")</f>
        <v>Standard</v>
      </c>
    </row>
    <row r="10974" customFormat="false" ht="15" hidden="false" customHeight="true" outlineLevel="0" collapsed="false">
      <c r="A10974" s="10" t="n">
        <f aca="false">Einstellungen!$B$5+INT((ROW()-9)/24)</f>
        <v>46422</v>
      </c>
      <c r="B10974" s="11" t="n">
        <f aca="false">MOD(ROW()-9,24)</f>
        <v>21</v>
      </c>
      <c r="C10974" s="12"/>
      <c r="D10974" s="13" t="n">
        <f aca="false">IF(B10974&lt;5,Einstellungen!$B$3,Einstellungen!$B$4)</f>
        <v>29.13</v>
      </c>
      <c r="E10974" s="14" t="str">
        <f aca="false">IF(C10974="","",C10974*D10974/100)</f>
        <v/>
      </c>
      <c r="F10974" s="15" t="str">
        <f aca="false">IF(B10974&lt;5,"Go","Standard")</f>
        <v>Standard</v>
      </c>
    </row>
    <row r="10975" customFormat="false" ht="15" hidden="false" customHeight="true" outlineLevel="0" collapsed="false">
      <c r="A10975" s="10" t="n">
        <f aca="false">Einstellungen!$B$5+INT((ROW()-9)/24)</f>
        <v>46422</v>
      </c>
      <c r="B10975" s="11" t="n">
        <f aca="false">MOD(ROW()-9,24)</f>
        <v>22</v>
      </c>
      <c r="C10975" s="12"/>
      <c r="D10975" s="13" t="n">
        <f aca="false">IF(B10975&lt;5,Einstellungen!$B$3,Einstellungen!$B$4)</f>
        <v>29.13</v>
      </c>
      <c r="E10975" s="14" t="str">
        <f aca="false">IF(C10975="","",C10975*D10975/100)</f>
        <v/>
      </c>
      <c r="F10975" s="15" t="str">
        <f aca="false">IF(B10975&lt;5,"Go","Standard")</f>
        <v>Standard</v>
      </c>
    </row>
    <row r="10976" customFormat="false" ht="15" hidden="false" customHeight="true" outlineLevel="0" collapsed="false">
      <c r="A10976" s="10" t="n">
        <f aca="false">Einstellungen!$B$5+INT((ROW()-9)/24)</f>
        <v>46422</v>
      </c>
      <c r="B10976" s="11" t="n">
        <f aca="false">MOD(ROW()-9,24)</f>
        <v>23</v>
      </c>
      <c r="C10976" s="12"/>
      <c r="D10976" s="13" t="n">
        <f aca="false">IF(B10976&lt;5,Einstellungen!$B$3,Einstellungen!$B$4)</f>
        <v>29.13</v>
      </c>
      <c r="E10976" s="14" t="str">
        <f aca="false">IF(C10976="","",C10976*D10976/100)</f>
        <v/>
      </c>
      <c r="F10976" s="15" t="str">
        <f aca="false">IF(B10976&lt;5,"Go","Standard")</f>
        <v>Standard</v>
      </c>
    </row>
    <row r="10977" customFormat="false" ht="15" hidden="false" customHeight="true" outlineLevel="0" collapsed="false">
      <c r="A10977" s="10" t="n">
        <f aca="false">Einstellungen!$B$5+INT((ROW()-9)/24)</f>
        <v>46423</v>
      </c>
      <c r="B10977" s="11" t="n">
        <f aca="false">MOD(ROW()-9,24)</f>
        <v>0</v>
      </c>
      <c r="C10977" s="12"/>
      <c r="D10977" s="13" t="n">
        <f aca="false">IF(B10977&lt;5,Einstellungen!$B$3,Einstellungen!$B$4)</f>
        <v>15.92</v>
      </c>
      <c r="E10977" s="14" t="str">
        <f aca="false">IF(C10977="","",C10977*D10977/100)</f>
        <v/>
      </c>
      <c r="F10977" s="15" t="str">
        <f aca="false">IF(B10977&lt;5,"Go","Standard")</f>
        <v>Go</v>
      </c>
    </row>
    <row r="10978" customFormat="false" ht="15" hidden="false" customHeight="true" outlineLevel="0" collapsed="false">
      <c r="A10978" s="10" t="n">
        <f aca="false">Einstellungen!$B$5+INT((ROW()-9)/24)</f>
        <v>46423</v>
      </c>
      <c r="B10978" s="11" t="n">
        <f aca="false">MOD(ROW()-9,24)</f>
        <v>1</v>
      </c>
      <c r="C10978" s="12"/>
      <c r="D10978" s="13" t="n">
        <f aca="false">IF(B10978&lt;5,Einstellungen!$B$3,Einstellungen!$B$4)</f>
        <v>15.92</v>
      </c>
      <c r="E10978" s="14" t="str">
        <f aca="false">IF(C10978="","",C10978*D10978/100)</f>
        <v/>
      </c>
      <c r="F10978" s="15" t="str">
        <f aca="false">IF(B10978&lt;5,"Go","Standard")</f>
        <v>Go</v>
      </c>
    </row>
    <row r="10979" customFormat="false" ht="15" hidden="false" customHeight="true" outlineLevel="0" collapsed="false">
      <c r="A10979" s="10" t="n">
        <f aca="false">Einstellungen!$B$5+INT((ROW()-9)/24)</f>
        <v>46423</v>
      </c>
      <c r="B10979" s="11" t="n">
        <f aca="false">MOD(ROW()-9,24)</f>
        <v>2</v>
      </c>
      <c r="C10979" s="12"/>
      <c r="D10979" s="13" t="n">
        <f aca="false">IF(B10979&lt;5,Einstellungen!$B$3,Einstellungen!$B$4)</f>
        <v>15.92</v>
      </c>
      <c r="E10979" s="14" t="str">
        <f aca="false">IF(C10979="","",C10979*D10979/100)</f>
        <v/>
      </c>
      <c r="F10979" s="15" t="str">
        <f aca="false">IF(B10979&lt;5,"Go","Standard")</f>
        <v>Go</v>
      </c>
    </row>
    <row r="10980" customFormat="false" ht="15" hidden="false" customHeight="true" outlineLevel="0" collapsed="false">
      <c r="A10980" s="10" t="n">
        <f aca="false">Einstellungen!$B$5+INT((ROW()-9)/24)</f>
        <v>46423</v>
      </c>
      <c r="B10980" s="11" t="n">
        <f aca="false">MOD(ROW()-9,24)</f>
        <v>3</v>
      </c>
      <c r="C10980" s="12"/>
      <c r="D10980" s="13" t="n">
        <f aca="false">IF(B10980&lt;5,Einstellungen!$B$3,Einstellungen!$B$4)</f>
        <v>15.92</v>
      </c>
      <c r="E10980" s="14" t="str">
        <f aca="false">IF(C10980="","",C10980*D10980/100)</f>
        <v/>
      </c>
      <c r="F10980" s="15" t="str">
        <f aca="false">IF(B10980&lt;5,"Go","Standard")</f>
        <v>Go</v>
      </c>
    </row>
    <row r="10981" customFormat="false" ht="15" hidden="false" customHeight="true" outlineLevel="0" collapsed="false">
      <c r="A10981" s="10" t="n">
        <f aca="false">Einstellungen!$B$5+INT((ROW()-9)/24)</f>
        <v>46423</v>
      </c>
      <c r="B10981" s="11" t="n">
        <f aca="false">MOD(ROW()-9,24)</f>
        <v>4</v>
      </c>
      <c r="C10981" s="12"/>
      <c r="D10981" s="13" t="n">
        <f aca="false">IF(B10981&lt;5,Einstellungen!$B$3,Einstellungen!$B$4)</f>
        <v>15.92</v>
      </c>
      <c r="E10981" s="14" t="str">
        <f aca="false">IF(C10981="","",C10981*D10981/100)</f>
        <v/>
      </c>
      <c r="F10981" s="15" t="str">
        <f aca="false">IF(B10981&lt;5,"Go","Standard")</f>
        <v>Go</v>
      </c>
    </row>
    <row r="10982" customFormat="false" ht="15" hidden="false" customHeight="true" outlineLevel="0" collapsed="false">
      <c r="A10982" s="10" t="n">
        <f aca="false">Einstellungen!$B$5+INT((ROW()-9)/24)</f>
        <v>46423</v>
      </c>
      <c r="B10982" s="11" t="n">
        <f aca="false">MOD(ROW()-9,24)</f>
        <v>5</v>
      </c>
      <c r="C10982" s="12"/>
      <c r="D10982" s="13" t="n">
        <f aca="false">IF(B10982&lt;5,Einstellungen!$B$3,Einstellungen!$B$4)</f>
        <v>29.13</v>
      </c>
      <c r="E10982" s="14" t="str">
        <f aca="false">IF(C10982="","",C10982*D10982/100)</f>
        <v/>
      </c>
      <c r="F10982" s="15" t="str">
        <f aca="false">IF(B10982&lt;5,"Go","Standard")</f>
        <v>Standard</v>
      </c>
    </row>
    <row r="10983" customFormat="false" ht="15" hidden="false" customHeight="true" outlineLevel="0" collapsed="false">
      <c r="A10983" s="10" t="n">
        <f aca="false">Einstellungen!$B$5+INT((ROW()-9)/24)</f>
        <v>46423</v>
      </c>
      <c r="B10983" s="11" t="n">
        <f aca="false">MOD(ROW()-9,24)</f>
        <v>6</v>
      </c>
      <c r="C10983" s="12"/>
      <c r="D10983" s="13" t="n">
        <f aca="false">IF(B10983&lt;5,Einstellungen!$B$3,Einstellungen!$B$4)</f>
        <v>29.13</v>
      </c>
      <c r="E10983" s="14" t="str">
        <f aca="false">IF(C10983="","",C10983*D10983/100)</f>
        <v/>
      </c>
      <c r="F10983" s="15" t="str">
        <f aca="false">IF(B10983&lt;5,"Go","Standard")</f>
        <v>Standard</v>
      </c>
    </row>
    <row r="10984" customFormat="false" ht="15" hidden="false" customHeight="true" outlineLevel="0" collapsed="false">
      <c r="A10984" s="10" t="n">
        <f aca="false">Einstellungen!$B$5+INT((ROW()-9)/24)</f>
        <v>46423</v>
      </c>
      <c r="B10984" s="11" t="n">
        <f aca="false">MOD(ROW()-9,24)</f>
        <v>7</v>
      </c>
      <c r="C10984" s="12"/>
      <c r="D10984" s="13" t="n">
        <f aca="false">IF(B10984&lt;5,Einstellungen!$B$3,Einstellungen!$B$4)</f>
        <v>29.13</v>
      </c>
      <c r="E10984" s="14" t="str">
        <f aca="false">IF(C10984="","",C10984*D10984/100)</f>
        <v/>
      </c>
      <c r="F10984" s="15" t="str">
        <f aca="false">IF(B10984&lt;5,"Go","Standard")</f>
        <v>Standard</v>
      </c>
    </row>
    <row r="10985" customFormat="false" ht="15" hidden="false" customHeight="true" outlineLevel="0" collapsed="false">
      <c r="A10985" s="10" t="n">
        <f aca="false">Einstellungen!$B$5+INT((ROW()-9)/24)</f>
        <v>46423</v>
      </c>
      <c r="B10985" s="11" t="n">
        <f aca="false">MOD(ROW()-9,24)</f>
        <v>8</v>
      </c>
      <c r="C10985" s="12"/>
      <c r="D10985" s="13" t="n">
        <f aca="false">IF(B10985&lt;5,Einstellungen!$B$3,Einstellungen!$B$4)</f>
        <v>29.13</v>
      </c>
      <c r="E10985" s="14" t="str">
        <f aca="false">IF(C10985="","",C10985*D10985/100)</f>
        <v/>
      </c>
      <c r="F10985" s="15" t="str">
        <f aca="false">IF(B10985&lt;5,"Go","Standard")</f>
        <v>Standard</v>
      </c>
    </row>
    <row r="10986" customFormat="false" ht="15" hidden="false" customHeight="true" outlineLevel="0" collapsed="false">
      <c r="A10986" s="10" t="n">
        <f aca="false">Einstellungen!$B$5+INT((ROW()-9)/24)</f>
        <v>46423</v>
      </c>
      <c r="B10986" s="11" t="n">
        <f aca="false">MOD(ROW()-9,24)</f>
        <v>9</v>
      </c>
      <c r="C10986" s="12"/>
      <c r="D10986" s="13" t="n">
        <f aca="false">IF(B10986&lt;5,Einstellungen!$B$3,Einstellungen!$B$4)</f>
        <v>29.13</v>
      </c>
      <c r="E10986" s="14" t="str">
        <f aca="false">IF(C10986="","",C10986*D10986/100)</f>
        <v/>
      </c>
      <c r="F10986" s="15" t="str">
        <f aca="false">IF(B10986&lt;5,"Go","Standard")</f>
        <v>Standard</v>
      </c>
    </row>
    <row r="10987" customFormat="false" ht="15" hidden="false" customHeight="true" outlineLevel="0" collapsed="false">
      <c r="A10987" s="10" t="n">
        <f aca="false">Einstellungen!$B$5+INT((ROW()-9)/24)</f>
        <v>46423</v>
      </c>
      <c r="B10987" s="11" t="n">
        <f aca="false">MOD(ROW()-9,24)</f>
        <v>10</v>
      </c>
      <c r="C10987" s="12"/>
      <c r="D10987" s="13" t="n">
        <f aca="false">IF(B10987&lt;5,Einstellungen!$B$3,Einstellungen!$B$4)</f>
        <v>29.13</v>
      </c>
      <c r="E10987" s="14" t="str">
        <f aca="false">IF(C10987="","",C10987*D10987/100)</f>
        <v/>
      </c>
      <c r="F10987" s="15" t="str">
        <f aca="false">IF(B10987&lt;5,"Go","Standard")</f>
        <v>Standard</v>
      </c>
    </row>
    <row r="10988" customFormat="false" ht="15" hidden="false" customHeight="true" outlineLevel="0" collapsed="false">
      <c r="A10988" s="10" t="n">
        <f aca="false">Einstellungen!$B$5+INT((ROW()-9)/24)</f>
        <v>46423</v>
      </c>
      <c r="B10988" s="11" t="n">
        <f aca="false">MOD(ROW()-9,24)</f>
        <v>11</v>
      </c>
      <c r="C10988" s="12"/>
      <c r="D10988" s="13" t="n">
        <f aca="false">IF(B10988&lt;5,Einstellungen!$B$3,Einstellungen!$B$4)</f>
        <v>29.13</v>
      </c>
      <c r="E10988" s="14" t="str">
        <f aca="false">IF(C10988="","",C10988*D10988/100)</f>
        <v/>
      </c>
      <c r="F10988" s="15" t="str">
        <f aca="false">IF(B10988&lt;5,"Go","Standard")</f>
        <v>Standard</v>
      </c>
    </row>
    <row r="10989" customFormat="false" ht="15" hidden="false" customHeight="true" outlineLevel="0" collapsed="false">
      <c r="A10989" s="10" t="n">
        <f aca="false">Einstellungen!$B$5+INT((ROW()-9)/24)</f>
        <v>46423</v>
      </c>
      <c r="B10989" s="11" t="n">
        <f aca="false">MOD(ROW()-9,24)</f>
        <v>12</v>
      </c>
      <c r="C10989" s="12"/>
      <c r="D10989" s="13" t="n">
        <f aca="false">IF(B10989&lt;5,Einstellungen!$B$3,Einstellungen!$B$4)</f>
        <v>29.13</v>
      </c>
      <c r="E10989" s="14" t="str">
        <f aca="false">IF(C10989="","",C10989*D10989/100)</f>
        <v/>
      </c>
      <c r="F10989" s="15" t="str">
        <f aca="false">IF(B10989&lt;5,"Go","Standard")</f>
        <v>Standard</v>
      </c>
    </row>
    <row r="10990" customFormat="false" ht="15" hidden="false" customHeight="true" outlineLevel="0" collapsed="false">
      <c r="A10990" s="10" t="n">
        <f aca="false">Einstellungen!$B$5+INT((ROW()-9)/24)</f>
        <v>46423</v>
      </c>
      <c r="B10990" s="11" t="n">
        <f aca="false">MOD(ROW()-9,24)</f>
        <v>13</v>
      </c>
      <c r="C10990" s="12"/>
      <c r="D10990" s="13" t="n">
        <f aca="false">IF(B10990&lt;5,Einstellungen!$B$3,Einstellungen!$B$4)</f>
        <v>29.13</v>
      </c>
      <c r="E10990" s="14" t="str">
        <f aca="false">IF(C10990="","",C10990*D10990/100)</f>
        <v/>
      </c>
      <c r="F10990" s="15" t="str">
        <f aca="false">IF(B10990&lt;5,"Go","Standard")</f>
        <v>Standard</v>
      </c>
    </row>
    <row r="10991" customFormat="false" ht="15" hidden="false" customHeight="true" outlineLevel="0" collapsed="false">
      <c r="A10991" s="10" t="n">
        <f aca="false">Einstellungen!$B$5+INT((ROW()-9)/24)</f>
        <v>46423</v>
      </c>
      <c r="B10991" s="11" t="n">
        <f aca="false">MOD(ROW()-9,24)</f>
        <v>14</v>
      </c>
      <c r="C10991" s="12"/>
      <c r="D10991" s="13" t="n">
        <f aca="false">IF(B10991&lt;5,Einstellungen!$B$3,Einstellungen!$B$4)</f>
        <v>29.13</v>
      </c>
      <c r="E10991" s="14" t="str">
        <f aca="false">IF(C10991="","",C10991*D10991/100)</f>
        <v/>
      </c>
      <c r="F10991" s="15" t="str">
        <f aca="false">IF(B10991&lt;5,"Go","Standard")</f>
        <v>Standard</v>
      </c>
    </row>
    <row r="10992" customFormat="false" ht="15" hidden="false" customHeight="true" outlineLevel="0" collapsed="false">
      <c r="A10992" s="10" t="n">
        <f aca="false">Einstellungen!$B$5+INT((ROW()-9)/24)</f>
        <v>46423</v>
      </c>
      <c r="B10992" s="11" t="n">
        <f aca="false">MOD(ROW()-9,24)</f>
        <v>15</v>
      </c>
      <c r="C10992" s="12"/>
      <c r="D10992" s="13" t="n">
        <f aca="false">IF(B10992&lt;5,Einstellungen!$B$3,Einstellungen!$B$4)</f>
        <v>29.13</v>
      </c>
      <c r="E10992" s="14" t="str">
        <f aca="false">IF(C10992="","",C10992*D10992/100)</f>
        <v/>
      </c>
      <c r="F10992" s="15" t="str">
        <f aca="false">IF(B10992&lt;5,"Go","Standard")</f>
        <v>Standard</v>
      </c>
    </row>
    <row r="10993" customFormat="false" ht="15" hidden="false" customHeight="true" outlineLevel="0" collapsed="false">
      <c r="A10993" s="10" t="n">
        <f aca="false">Einstellungen!$B$5+INT((ROW()-9)/24)</f>
        <v>46423</v>
      </c>
      <c r="B10993" s="11" t="n">
        <f aca="false">MOD(ROW()-9,24)</f>
        <v>16</v>
      </c>
      <c r="C10993" s="12"/>
      <c r="D10993" s="13" t="n">
        <f aca="false">IF(B10993&lt;5,Einstellungen!$B$3,Einstellungen!$B$4)</f>
        <v>29.13</v>
      </c>
      <c r="E10993" s="14" t="str">
        <f aca="false">IF(C10993="","",C10993*D10993/100)</f>
        <v/>
      </c>
      <c r="F10993" s="15" t="str">
        <f aca="false">IF(B10993&lt;5,"Go","Standard")</f>
        <v>Standard</v>
      </c>
    </row>
    <row r="10994" customFormat="false" ht="15" hidden="false" customHeight="true" outlineLevel="0" collapsed="false">
      <c r="A10994" s="10" t="n">
        <f aca="false">Einstellungen!$B$5+INT((ROW()-9)/24)</f>
        <v>46423</v>
      </c>
      <c r="B10994" s="11" t="n">
        <f aca="false">MOD(ROW()-9,24)</f>
        <v>17</v>
      </c>
      <c r="C10994" s="12"/>
      <c r="D10994" s="13" t="n">
        <f aca="false">IF(B10994&lt;5,Einstellungen!$B$3,Einstellungen!$B$4)</f>
        <v>29.13</v>
      </c>
      <c r="E10994" s="14" t="str">
        <f aca="false">IF(C10994="","",C10994*D10994/100)</f>
        <v/>
      </c>
      <c r="F10994" s="15" t="str">
        <f aca="false">IF(B10994&lt;5,"Go","Standard")</f>
        <v>Standard</v>
      </c>
    </row>
    <row r="10995" customFormat="false" ht="15" hidden="false" customHeight="true" outlineLevel="0" collapsed="false">
      <c r="A10995" s="10" t="n">
        <f aca="false">Einstellungen!$B$5+INT((ROW()-9)/24)</f>
        <v>46423</v>
      </c>
      <c r="B10995" s="11" t="n">
        <f aca="false">MOD(ROW()-9,24)</f>
        <v>18</v>
      </c>
      <c r="C10995" s="12"/>
      <c r="D10995" s="13" t="n">
        <f aca="false">IF(B10995&lt;5,Einstellungen!$B$3,Einstellungen!$B$4)</f>
        <v>29.13</v>
      </c>
      <c r="E10995" s="14" t="str">
        <f aca="false">IF(C10995="","",C10995*D10995/100)</f>
        <v/>
      </c>
      <c r="F10995" s="15" t="str">
        <f aca="false">IF(B10995&lt;5,"Go","Standard")</f>
        <v>Standard</v>
      </c>
    </row>
    <row r="10996" customFormat="false" ht="15" hidden="false" customHeight="true" outlineLevel="0" collapsed="false">
      <c r="A10996" s="10" t="n">
        <f aca="false">Einstellungen!$B$5+INT((ROW()-9)/24)</f>
        <v>46423</v>
      </c>
      <c r="B10996" s="11" t="n">
        <f aca="false">MOD(ROW()-9,24)</f>
        <v>19</v>
      </c>
      <c r="C10996" s="12"/>
      <c r="D10996" s="13" t="n">
        <f aca="false">IF(B10996&lt;5,Einstellungen!$B$3,Einstellungen!$B$4)</f>
        <v>29.13</v>
      </c>
      <c r="E10996" s="14" t="str">
        <f aca="false">IF(C10996="","",C10996*D10996/100)</f>
        <v/>
      </c>
      <c r="F10996" s="15" t="str">
        <f aca="false">IF(B10996&lt;5,"Go","Standard")</f>
        <v>Standard</v>
      </c>
    </row>
    <row r="10997" customFormat="false" ht="15" hidden="false" customHeight="true" outlineLevel="0" collapsed="false">
      <c r="A10997" s="10" t="n">
        <f aca="false">Einstellungen!$B$5+INT((ROW()-9)/24)</f>
        <v>46423</v>
      </c>
      <c r="B10997" s="11" t="n">
        <f aca="false">MOD(ROW()-9,24)</f>
        <v>20</v>
      </c>
      <c r="C10997" s="12"/>
      <c r="D10997" s="13" t="n">
        <f aca="false">IF(B10997&lt;5,Einstellungen!$B$3,Einstellungen!$B$4)</f>
        <v>29.13</v>
      </c>
      <c r="E10997" s="14" t="str">
        <f aca="false">IF(C10997="","",C10997*D10997/100)</f>
        <v/>
      </c>
      <c r="F10997" s="15" t="str">
        <f aca="false">IF(B10997&lt;5,"Go","Standard")</f>
        <v>Standard</v>
      </c>
    </row>
    <row r="10998" customFormat="false" ht="15" hidden="false" customHeight="true" outlineLevel="0" collapsed="false">
      <c r="A10998" s="10" t="n">
        <f aca="false">Einstellungen!$B$5+INT((ROW()-9)/24)</f>
        <v>46423</v>
      </c>
      <c r="B10998" s="11" t="n">
        <f aca="false">MOD(ROW()-9,24)</f>
        <v>21</v>
      </c>
      <c r="C10998" s="12"/>
      <c r="D10998" s="13" t="n">
        <f aca="false">IF(B10998&lt;5,Einstellungen!$B$3,Einstellungen!$B$4)</f>
        <v>29.13</v>
      </c>
      <c r="E10998" s="14" t="str">
        <f aca="false">IF(C10998="","",C10998*D10998/100)</f>
        <v/>
      </c>
      <c r="F10998" s="15" t="str">
        <f aca="false">IF(B10998&lt;5,"Go","Standard")</f>
        <v>Standard</v>
      </c>
    </row>
    <row r="10999" customFormat="false" ht="15" hidden="false" customHeight="true" outlineLevel="0" collapsed="false">
      <c r="A10999" s="10" t="n">
        <f aca="false">Einstellungen!$B$5+INT((ROW()-9)/24)</f>
        <v>46423</v>
      </c>
      <c r="B10999" s="11" t="n">
        <f aca="false">MOD(ROW()-9,24)</f>
        <v>22</v>
      </c>
      <c r="C10999" s="12"/>
      <c r="D10999" s="13" t="n">
        <f aca="false">IF(B10999&lt;5,Einstellungen!$B$3,Einstellungen!$B$4)</f>
        <v>29.13</v>
      </c>
      <c r="E10999" s="14" t="str">
        <f aca="false">IF(C10999="","",C10999*D10999/100)</f>
        <v/>
      </c>
      <c r="F10999" s="15" t="str">
        <f aca="false">IF(B10999&lt;5,"Go","Standard")</f>
        <v>Standard</v>
      </c>
    </row>
    <row r="11000" customFormat="false" ht="15" hidden="false" customHeight="true" outlineLevel="0" collapsed="false">
      <c r="A11000" s="10" t="n">
        <f aca="false">Einstellungen!$B$5+INT((ROW()-9)/24)</f>
        <v>46423</v>
      </c>
      <c r="B11000" s="11" t="n">
        <f aca="false">MOD(ROW()-9,24)</f>
        <v>23</v>
      </c>
      <c r="C11000" s="12"/>
      <c r="D11000" s="13" t="n">
        <f aca="false">IF(B11000&lt;5,Einstellungen!$B$3,Einstellungen!$B$4)</f>
        <v>29.13</v>
      </c>
      <c r="E11000" s="14" t="str">
        <f aca="false">IF(C11000="","",C11000*D11000/100)</f>
        <v/>
      </c>
      <c r="F11000" s="15" t="str">
        <f aca="false">IF(B11000&lt;5,"Go","Standard")</f>
        <v>Standard</v>
      </c>
    </row>
    <row r="11001" customFormat="false" ht="15" hidden="false" customHeight="true" outlineLevel="0" collapsed="false">
      <c r="A11001" s="10" t="n">
        <f aca="false">Einstellungen!$B$5+INT((ROW()-9)/24)</f>
        <v>46424</v>
      </c>
      <c r="B11001" s="11" t="n">
        <f aca="false">MOD(ROW()-9,24)</f>
        <v>0</v>
      </c>
      <c r="C11001" s="12"/>
      <c r="D11001" s="13" t="n">
        <f aca="false">IF(B11001&lt;5,Einstellungen!$B$3,Einstellungen!$B$4)</f>
        <v>15.92</v>
      </c>
      <c r="E11001" s="14" t="str">
        <f aca="false">IF(C11001="","",C11001*D11001/100)</f>
        <v/>
      </c>
      <c r="F11001" s="15" t="str">
        <f aca="false">IF(B11001&lt;5,"Go","Standard")</f>
        <v>Go</v>
      </c>
    </row>
    <row r="11002" customFormat="false" ht="15" hidden="false" customHeight="true" outlineLevel="0" collapsed="false">
      <c r="A11002" s="10" t="n">
        <f aca="false">Einstellungen!$B$5+INT((ROW()-9)/24)</f>
        <v>46424</v>
      </c>
      <c r="B11002" s="11" t="n">
        <f aca="false">MOD(ROW()-9,24)</f>
        <v>1</v>
      </c>
      <c r="C11002" s="12"/>
      <c r="D11002" s="13" t="n">
        <f aca="false">IF(B11002&lt;5,Einstellungen!$B$3,Einstellungen!$B$4)</f>
        <v>15.92</v>
      </c>
      <c r="E11002" s="14" t="str">
        <f aca="false">IF(C11002="","",C11002*D11002/100)</f>
        <v/>
      </c>
      <c r="F11002" s="15" t="str">
        <f aca="false">IF(B11002&lt;5,"Go","Standard")</f>
        <v>Go</v>
      </c>
    </row>
    <row r="11003" customFormat="false" ht="15" hidden="false" customHeight="true" outlineLevel="0" collapsed="false">
      <c r="A11003" s="10" t="n">
        <f aca="false">Einstellungen!$B$5+INT((ROW()-9)/24)</f>
        <v>46424</v>
      </c>
      <c r="B11003" s="11" t="n">
        <f aca="false">MOD(ROW()-9,24)</f>
        <v>2</v>
      </c>
      <c r="C11003" s="12"/>
      <c r="D11003" s="13" t="n">
        <f aca="false">IF(B11003&lt;5,Einstellungen!$B$3,Einstellungen!$B$4)</f>
        <v>15.92</v>
      </c>
      <c r="E11003" s="14" t="str">
        <f aca="false">IF(C11003="","",C11003*D11003/100)</f>
        <v/>
      </c>
      <c r="F11003" s="15" t="str">
        <f aca="false">IF(B11003&lt;5,"Go","Standard")</f>
        <v>Go</v>
      </c>
    </row>
    <row r="11004" customFormat="false" ht="15" hidden="false" customHeight="true" outlineLevel="0" collapsed="false">
      <c r="A11004" s="10" t="n">
        <f aca="false">Einstellungen!$B$5+INT((ROW()-9)/24)</f>
        <v>46424</v>
      </c>
      <c r="B11004" s="11" t="n">
        <f aca="false">MOD(ROW()-9,24)</f>
        <v>3</v>
      </c>
      <c r="C11004" s="12"/>
      <c r="D11004" s="13" t="n">
        <f aca="false">IF(B11004&lt;5,Einstellungen!$B$3,Einstellungen!$B$4)</f>
        <v>15.92</v>
      </c>
      <c r="E11004" s="14" t="str">
        <f aca="false">IF(C11004="","",C11004*D11004/100)</f>
        <v/>
      </c>
      <c r="F11004" s="15" t="str">
        <f aca="false">IF(B11004&lt;5,"Go","Standard")</f>
        <v>Go</v>
      </c>
    </row>
    <row r="11005" customFormat="false" ht="15" hidden="false" customHeight="true" outlineLevel="0" collapsed="false">
      <c r="A11005" s="10" t="n">
        <f aca="false">Einstellungen!$B$5+INT((ROW()-9)/24)</f>
        <v>46424</v>
      </c>
      <c r="B11005" s="11" t="n">
        <f aca="false">MOD(ROW()-9,24)</f>
        <v>4</v>
      </c>
      <c r="C11005" s="12"/>
      <c r="D11005" s="13" t="n">
        <f aca="false">IF(B11005&lt;5,Einstellungen!$B$3,Einstellungen!$B$4)</f>
        <v>15.92</v>
      </c>
      <c r="E11005" s="14" t="str">
        <f aca="false">IF(C11005="","",C11005*D11005/100)</f>
        <v/>
      </c>
      <c r="F11005" s="15" t="str">
        <f aca="false">IF(B11005&lt;5,"Go","Standard")</f>
        <v>Go</v>
      </c>
    </row>
    <row r="11006" customFormat="false" ht="15" hidden="false" customHeight="true" outlineLevel="0" collapsed="false">
      <c r="A11006" s="10" t="n">
        <f aca="false">Einstellungen!$B$5+INT((ROW()-9)/24)</f>
        <v>46424</v>
      </c>
      <c r="B11006" s="11" t="n">
        <f aca="false">MOD(ROW()-9,24)</f>
        <v>5</v>
      </c>
      <c r="C11006" s="12"/>
      <c r="D11006" s="13" t="n">
        <f aca="false">IF(B11006&lt;5,Einstellungen!$B$3,Einstellungen!$B$4)</f>
        <v>29.13</v>
      </c>
      <c r="E11006" s="14" t="str">
        <f aca="false">IF(C11006="","",C11006*D11006/100)</f>
        <v/>
      </c>
      <c r="F11006" s="15" t="str">
        <f aca="false">IF(B11006&lt;5,"Go","Standard")</f>
        <v>Standard</v>
      </c>
    </row>
    <row r="11007" customFormat="false" ht="15" hidden="false" customHeight="true" outlineLevel="0" collapsed="false">
      <c r="A11007" s="10" t="n">
        <f aca="false">Einstellungen!$B$5+INT((ROW()-9)/24)</f>
        <v>46424</v>
      </c>
      <c r="B11007" s="11" t="n">
        <f aca="false">MOD(ROW()-9,24)</f>
        <v>6</v>
      </c>
      <c r="C11007" s="12"/>
      <c r="D11007" s="13" t="n">
        <f aca="false">IF(B11007&lt;5,Einstellungen!$B$3,Einstellungen!$B$4)</f>
        <v>29.13</v>
      </c>
      <c r="E11007" s="14" t="str">
        <f aca="false">IF(C11007="","",C11007*D11007/100)</f>
        <v/>
      </c>
      <c r="F11007" s="15" t="str">
        <f aca="false">IF(B11007&lt;5,"Go","Standard")</f>
        <v>Standard</v>
      </c>
    </row>
    <row r="11008" customFormat="false" ht="15" hidden="false" customHeight="true" outlineLevel="0" collapsed="false">
      <c r="A11008" s="10" t="n">
        <f aca="false">Einstellungen!$B$5+INT((ROW()-9)/24)</f>
        <v>46424</v>
      </c>
      <c r="B11008" s="11" t="n">
        <f aca="false">MOD(ROW()-9,24)</f>
        <v>7</v>
      </c>
      <c r="C11008" s="12"/>
      <c r="D11008" s="13" t="n">
        <f aca="false">IF(B11008&lt;5,Einstellungen!$B$3,Einstellungen!$B$4)</f>
        <v>29.13</v>
      </c>
      <c r="E11008" s="14" t="str">
        <f aca="false">IF(C11008="","",C11008*D11008/100)</f>
        <v/>
      </c>
      <c r="F11008" s="15" t="str">
        <f aca="false">IF(B11008&lt;5,"Go","Standard")</f>
        <v>Standard</v>
      </c>
    </row>
    <row r="11009" customFormat="false" ht="15" hidden="false" customHeight="true" outlineLevel="0" collapsed="false">
      <c r="A11009" s="10" t="n">
        <f aca="false">Einstellungen!$B$5+INT((ROW()-9)/24)</f>
        <v>46424</v>
      </c>
      <c r="B11009" s="11" t="n">
        <f aca="false">MOD(ROW()-9,24)</f>
        <v>8</v>
      </c>
      <c r="C11009" s="12"/>
      <c r="D11009" s="13" t="n">
        <f aca="false">IF(B11009&lt;5,Einstellungen!$B$3,Einstellungen!$B$4)</f>
        <v>29.13</v>
      </c>
      <c r="E11009" s="14" t="str">
        <f aca="false">IF(C11009="","",C11009*D11009/100)</f>
        <v/>
      </c>
      <c r="F11009" s="15" t="str">
        <f aca="false">IF(B11009&lt;5,"Go","Standard")</f>
        <v>Standard</v>
      </c>
    </row>
    <row r="11010" customFormat="false" ht="15" hidden="false" customHeight="true" outlineLevel="0" collapsed="false">
      <c r="A11010" s="10" t="n">
        <f aca="false">Einstellungen!$B$5+INT((ROW()-9)/24)</f>
        <v>46424</v>
      </c>
      <c r="B11010" s="11" t="n">
        <f aca="false">MOD(ROW()-9,24)</f>
        <v>9</v>
      </c>
      <c r="C11010" s="12"/>
      <c r="D11010" s="13" t="n">
        <f aca="false">IF(B11010&lt;5,Einstellungen!$B$3,Einstellungen!$B$4)</f>
        <v>29.13</v>
      </c>
      <c r="E11010" s="14" t="str">
        <f aca="false">IF(C11010="","",C11010*D11010/100)</f>
        <v/>
      </c>
      <c r="F11010" s="15" t="str">
        <f aca="false">IF(B11010&lt;5,"Go","Standard")</f>
        <v>Standard</v>
      </c>
    </row>
    <row r="11011" customFormat="false" ht="15" hidden="false" customHeight="true" outlineLevel="0" collapsed="false">
      <c r="A11011" s="10" t="n">
        <f aca="false">Einstellungen!$B$5+INT((ROW()-9)/24)</f>
        <v>46424</v>
      </c>
      <c r="B11011" s="11" t="n">
        <f aca="false">MOD(ROW()-9,24)</f>
        <v>10</v>
      </c>
      <c r="C11011" s="12"/>
      <c r="D11011" s="13" t="n">
        <f aca="false">IF(B11011&lt;5,Einstellungen!$B$3,Einstellungen!$B$4)</f>
        <v>29.13</v>
      </c>
      <c r="E11011" s="14" t="str">
        <f aca="false">IF(C11011="","",C11011*D11011/100)</f>
        <v/>
      </c>
      <c r="F11011" s="15" t="str">
        <f aca="false">IF(B11011&lt;5,"Go","Standard")</f>
        <v>Standard</v>
      </c>
    </row>
    <row r="11012" customFormat="false" ht="15" hidden="false" customHeight="true" outlineLevel="0" collapsed="false">
      <c r="A11012" s="10" t="n">
        <f aca="false">Einstellungen!$B$5+INT((ROW()-9)/24)</f>
        <v>46424</v>
      </c>
      <c r="B11012" s="11" t="n">
        <f aca="false">MOD(ROW()-9,24)</f>
        <v>11</v>
      </c>
      <c r="C11012" s="12"/>
      <c r="D11012" s="13" t="n">
        <f aca="false">IF(B11012&lt;5,Einstellungen!$B$3,Einstellungen!$B$4)</f>
        <v>29.13</v>
      </c>
      <c r="E11012" s="14" t="str">
        <f aca="false">IF(C11012="","",C11012*D11012/100)</f>
        <v/>
      </c>
      <c r="F11012" s="15" t="str">
        <f aca="false">IF(B11012&lt;5,"Go","Standard")</f>
        <v>Standard</v>
      </c>
    </row>
    <row r="11013" customFormat="false" ht="15" hidden="false" customHeight="true" outlineLevel="0" collapsed="false">
      <c r="A11013" s="10" t="n">
        <f aca="false">Einstellungen!$B$5+INT((ROW()-9)/24)</f>
        <v>46424</v>
      </c>
      <c r="B11013" s="11" t="n">
        <f aca="false">MOD(ROW()-9,24)</f>
        <v>12</v>
      </c>
      <c r="C11013" s="12"/>
      <c r="D11013" s="13" t="n">
        <f aca="false">IF(B11013&lt;5,Einstellungen!$B$3,Einstellungen!$B$4)</f>
        <v>29.13</v>
      </c>
      <c r="E11013" s="14" t="str">
        <f aca="false">IF(C11013="","",C11013*D11013/100)</f>
        <v/>
      </c>
      <c r="F11013" s="15" t="str">
        <f aca="false">IF(B11013&lt;5,"Go","Standard")</f>
        <v>Standard</v>
      </c>
    </row>
    <row r="11014" customFormat="false" ht="15" hidden="false" customHeight="true" outlineLevel="0" collapsed="false">
      <c r="A11014" s="10" t="n">
        <f aca="false">Einstellungen!$B$5+INT((ROW()-9)/24)</f>
        <v>46424</v>
      </c>
      <c r="B11014" s="11" t="n">
        <f aca="false">MOD(ROW()-9,24)</f>
        <v>13</v>
      </c>
      <c r="C11014" s="12"/>
      <c r="D11014" s="13" t="n">
        <f aca="false">IF(B11014&lt;5,Einstellungen!$B$3,Einstellungen!$B$4)</f>
        <v>29.13</v>
      </c>
      <c r="E11014" s="14" t="str">
        <f aca="false">IF(C11014="","",C11014*D11014/100)</f>
        <v/>
      </c>
      <c r="F11014" s="15" t="str">
        <f aca="false">IF(B11014&lt;5,"Go","Standard")</f>
        <v>Standard</v>
      </c>
    </row>
    <row r="11015" customFormat="false" ht="15" hidden="false" customHeight="true" outlineLevel="0" collapsed="false">
      <c r="A11015" s="10" t="n">
        <f aca="false">Einstellungen!$B$5+INT((ROW()-9)/24)</f>
        <v>46424</v>
      </c>
      <c r="B11015" s="11" t="n">
        <f aca="false">MOD(ROW()-9,24)</f>
        <v>14</v>
      </c>
      <c r="C11015" s="12"/>
      <c r="D11015" s="13" t="n">
        <f aca="false">IF(B11015&lt;5,Einstellungen!$B$3,Einstellungen!$B$4)</f>
        <v>29.13</v>
      </c>
      <c r="E11015" s="14" t="str">
        <f aca="false">IF(C11015="","",C11015*D11015/100)</f>
        <v/>
      </c>
      <c r="F11015" s="15" t="str">
        <f aca="false">IF(B11015&lt;5,"Go","Standard")</f>
        <v>Standard</v>
      </c>
    </row>
    <row r="11016" customFormat="false" ht="15" hidden="false" customHeight="true" outlineLevel="0" collapsed="false">
      <c r="A11016" s="10" t="n">
        <f aca="false">Einstellungen!$B$5+INT((ROW()-9)/24)</f>
        <v>46424</v>
      </c>
      <c r="B11016" s="11" t="n">
        <f aca="false">MOD(ROW()-9,24)</f>
        <v>15</v>
      </c>
      <c r="C11016" s="12"/>
      <c r="D11016" s="13" t="n">
        <f aca="false">IF(B11016&lt;5,Einstellungen!$B$3,Einstellungen!$B$4)</f>
        <v>29.13</v>
      </c>
      <c r="E11016" s="14" t="str">
        <f aca="false">IF(C11016="","",C11016*D11016/100)</f>
        <v/>
      </c>
      <c r="F11016" s="15" t="str">
        <f aca="false">IF(B11016&lt;5,"Go","Standard")</f>
        <v>Standard</v>
      </c>
    </row>
    <row r="11017" customFormat="false" ht="15" hidden="false" customHeight="true" outlineLevel="0" collapsed="false">
      <c r="A11017" s="10" t="n">
        <f aca="false">Einstellungen!$B$5+INT((ROW()-9)/24)</f>
        <v>46424</v>
      </c>
      <c r="B11017" s="11" t="n">
        <f aca="false">MOD(ROW()-9,24)</f>
        <v>16</v>
      </c>
      <c r="C11017" s="12"/>
      <c r="D11017" s="13" t="n">
        <f aca="false">IF(B11017&lt;5,Einstellungen!$B$3,Einstellungen!$B$4)</f>
        <v>29.13</v>
      </c>
      <c r="E11017" s="14" t="str">
        <f aca="false">IF(C11017="","",C11017*D11017/100)</f>
        <v/>
      </c>
      <c r="F11017" s="15" t="str">
        <f aca="false">IF(B11017&lt;5,"Go","Standard")</f>
        <v>Standard</v>
      </c>
    </row>
    <row r="11018" customFormat="false" ht="15" hidden="false" customHeight="true" outlineLevel="0" collapsed="false">
      <c r="A11018" s="10" t="n">
        <f aca="false">Einstellungen!$B$5+INT((ROW()-9)/24)</f>
        <v>46424</v>
      </c>
      <c r="B11018" s="11" t="n">
        <f aca="false">MOD(ROW()-9,24)</f>
        <v>17</v>
      </c>
      <c r="C11018" s="12"/>
      <c r="D11018" s="13" t="n">
        <f aca="false">IF(B11018&lt;5,Einstellungen!$B$3,Einstellungen!$B$4)</f>
        <v>29.13</v>
      </c>
      <c r="E11018" s="14" t="str">
        <f aca="false">IF(C11018="","",C11018*D11018/100)</f>
        <v/>
      </c>
      <c r="F11018" s="15" t="str">
        <f aca="false">IF(B11018&lt;5,"Go","Standard")</f>
        <v>Standard</v>
      </c>
    </row>
    <row r="11019" customFormat="false" ht="15" hidden="false" customHeight="true" outlineLevel="0" collapsed="false">
      <c r="A11019" s="10" t="n">
        <f aca="false">Einstellungen!$B$5+INT((ROW()-9)/24)</f>
        <v>46424</v>
      </c>
      <c r="B11019" s="11" t="n">
        <f aca="false">MOD(ROW()-9,24)</f>
        <v>18</v>
      </c>
      <c r="C11019" s="12"/>
      <c r="D11019" s="13" t="n">
        <f aca="false">IF(B11019&lt;5,Einstellungen!$B$3,Einstellungen!$B$4)</f>
        <v>29.13</v>
      </c>
      <c r="E11019" s="14" t="str">
        <f aca="false">IF(C11019="","",C11019*D11019/100)</f>
        <v/>
      </c>
      <c r="F11019" s="15" t="str">
        <f aca="false">IF(B11019&lt;5,"Go","Standard")</f>
        <v>Standard</v>
      </c>
    </row>
    <row r="11020" customFormat="false" ht="15" hidden="false" customHeight="true" outlineLevel="0" collapsed="false">
      <c r="A11020" s="10" t="n">
        <f aca="false">Einstellungen!$B$5+INT((ROW()-9)/24)</f>
        <v>46424</v>
      </c>
      <c r="B11020" s="11" t="n">
        <f aca="false">MOD(ROW()-9,24)</f>
        <v>19</v>
      </c>
      <c r="C11020" s="12"/>
      <c r="D11020" s="13" t="n">
        <f aca="false">IF(B11020&lt;5,Einstellungen!$B$3,Einstellungen!$B$4)</f>
        <v>29.13</v>
      </c>
      <c r="E11020" s="14" t="str">
        <f aca="false">IF(C11020="","",C11020*D11020/100)</f>
        <v/>
      </c>
      <c r="F11020" s="15" t="str">
        <f aca="false">IF(B11020&lt;5,"Go","Standard")</f>
        <v>Standard</v>
      </c>
    </row>
    <row r="11021" customFormat="false" ht="15" hidden="false" customHeight="true" outlineLevel="0" collapsed="false">
      <c r="A11021" s="10" t="n">
        <f aca="false">Einstellungen!$B$5+INT((ROW()-9)/24)</f>
        <v>46424</v>
      </c>
      <c r="B11021" s="11" t="n">
        <f aca="false">MOD(ROW()-9,24)</f>
        <v>20</v>
      </c>
      <c r="C11021" s="12"/>
      <c r="D11021" s="13" t="n">
        <f aca="false">IF(B11021&lt;5,Einstellungen!$B$3,Einstellungen!$B$4)</f>
        <v>29.13</v>
      </c>
      <c r="E11021" s="14" t="str">
        <f aca="false">IF(C11021="","",C11021*D11021/100)</f>
        <v/>
      </c>
      <c r="F11021" s="15" t="str">
        <f aca="false">IF(B11021&lt;5,"Go","Standard")</f>
        <v>Standard</v>
      </c>
    </row>
    <row r="11022" customFormat="false" ht="15" hidden="false" customHeight="true" outlineLevel="0" collapsed="false">
      <c r="A11022" s="10" t="n">
        <f aca="false">Einstellungen!$B$5+INT((ROW()-9)/24)</f>
        <v>46424</v>
      </c>
      <c r="B11022" s="11" t="n">
        <f aca="false">MOD(ROW()-9,24)</f>
        <v>21</v>
      </c>
      <c r="C11022" s="12"/>
      <c r="D11022" s="13" t="n">
        <f aca="false">IF(B11022&lt;5,Einstellungen!$B$3,Einstellungen!$B$4)</f>
        <v>29.13</v>
      </c>
      <c r="E11022" s="14" t="str">
        <f aca="false">IF(C11022="","",C11022*D11022/100)</f>
        <v/>
      </c>
      <c r="F11022" s="15" t="str">
        <f aca="false">IF(B11022&lt;5,"Go","Standard")</f>
        <v>Standard</v>
      </c>
    </row>
    <row r="11023" customFormat="false" ht="15" hidden="false" customHeight="true" outlineLevel="0" collapsed="false">
      <c r="A11023" s="10" t="n">
        <f aca="false">Einstellungen!$B$5+INT((ROW()-9)/24)</f>
        <v>46424</v>
      </c>
      <c r="B11023" s="11" t="n">
        <f aca="false">MOD(ROW()-9,24)</f>
        <v>22</v>
      </c>
      <c r="C11023" s="12"/>
      <c r="D11023" s="13" t="n">
        <f aca="false">IF(B11023&lt;5,Einstellungen!$B$3,Einstellungen!$B$4)</f>
        <v>29.13</v>
      </c>
      <c r="E11023" s="14" t="str">
        <f aca="false">IF(C11023="","",C11023*D11023/100)</f>
        <v/>
      </c>
      <c r="F11023" s="15" t="str">
        <f aca="false">IF(B11023&lt;5,"Go","Standard")</f>
        <v>Standard</v>
      </c>
    </row>
    <row r="11024" customFormat="false" ht="15" hidden="false" customHeight="true" outlineLevel="0" collapsed="false">
      <c r="A11024" s="10" t="n">
        <f aca="false">Einstellungen!$B$5+INT((ROW()-9)/24)</f>
        <v>46424</v>
      </c>
      <c r="B11024" s="11" t="n">
        <f aca="false">MOD(ROW()-9,24)</f>
        <v>23</v>
      </c>
      <c r="C11024" s="12"/>
      <c r="D11024" s="13" t="n">
        <f aca="false">IF(B11024&lt;5,Einstellungen!$B$3,Einstellungen!$B$4)</f>
        <v>29.13</v>
      </c>
      <c r="E11024" s="14" t="str">
        <f aca="false">IF(C11024="","",C11024*D11024/100)</f>
        <v/>
      </c>
      <c r="F11024" s="15" t="str">
        <f aca="false">IF(B11024&lt;5,"Go","Standard")</f>
        <v>Standard</v>
      </c>
    </row>
    <row r="11025" customFormat="false" ht="15" hidden="false" customHeight="true" outlineLevel="0" collapsed="false">
      <c r="A11025" s="10" t="n">
        <f aca="false">Einstellungen!$B$5+INT((ROW()-9)/24)</f>
        <v>46425</v>
      </c>
      <c r="B11025" s="11" t="n">
        <f aca="false">MOD(ROW()-9,24)</f>
        <v>0</v>
      </c>
      <c r="C11025" s="12"/>
      <c r="D11025" s="13" t="n">
        <f aca="false">IF(B11025&lt;5,Einstellungen!$B$3,Einstellungen!$B$4)</f>
        <v>15.92</v>
      </c>
      <c r="E11025" s="14" t="str">
        <f aca="false">IF(C11025="","",C11025*D11025/100)</f>
        <v/>
      </c>
      <c r="F11025" s="15" t="str">
        <f aca="false">IF(B11025&lt;5,"Go","Standard")</f>
        <v>Go</v>
      </c>
    </row>
    <row r="11026" customFormat="false" ht="15" hidden="false" customHeight="true" outlineLevel="0" collapsed="false">
      <c r="A11026" s="10" t="n">
        <f aca="false">Einstellungen!$B$5+INT((ROW()-9)/24)</f>
        <v>46425</v>
      </c>
      <c r="B11026" s="11" t="n">
        <f aca="false">MOD(ROW()-9,24)</f>
        <v>1</v>
      </c>
      <c r="C11026" s="12"/>
      <c r="D11026" s="13" t="n">
        <f aca="false">IF(B11026&lt;5,Einstellungen!$B$3,Einstellungen!$B$4)</f>
        <v>15.92</v>
      </c>
      <c r="E11026" s="14" t="str">
        <f aca="false">IF(C11026="","",C11026*D11026/100)</f>
        <v/>
      </c>
      <c r="F11026" s="15" t="str">
        <f aca="false">IF(B11026&lt;5,"Go","Standard")</f>
        <v>Go</v>
      </c>
    </row>
    <row r="11027" customFormat="false" ht="15" hidden="false" customHeight="true" outlineLevel="0" collapsed="false">
      <c r="A11027" s="10" t="n">
        <f aca="false">Einstellungen!$B$5+INT((ROW()-9)/24)</f>
        <v>46425</v>
      </c>
      <c r="B11027" s="11" t="n">
        <f aca="false">MOD(ROW()-9,24)</f>
        <v>2</v>
      </c>
      <c r="C11027" s="12"/>
      <c r="D11027" s="13" t="n">
        <f aca="false">IF(B11027&lt;5,Einstellungen!$B$3,Einstellungen!$B$4)</f>
        <v>15.92</v>
      </c>
      <c r="E11027" s="14" t="str">
        <f aca="false">IF(C11027="","",C11027*D11027/100)</f>
        <v/>
      </c>
      <c r="F11027" s="15" t="str">
        <f aca="false">IF(B11027&lt;5,"Go","Standard")</f>
        <v>Go</v>
      </c>
    </row>
    <row r="11028" customFormat="false" ht="15" hidden="false" customHeight="true" outlineLevel="0" collapsed="false">
      <c r="A11028" s="10" t="n">
        <f aca="false">Einstellungen!$B$5+INT((ROW()-9)/24)</f>
        <v>46425</v>
      </c>
      <c r="B11028" s="11" t="n">
        <f aca="false">MOD(ROW()-9,24)</f>
        <v>3</v>
      </c>
      <c r="C11028" s="12"/>
      <c r="D11028" s="13" t="n">
        <f aca="false">IF(B11028&lt;5,Einstellungen!$B$3,Einstellungen!$B$4)</f>
        <v>15.92</v>
      </c>
      <c r="E11028" s="14" t="str">
        <f aca="false">IF(C11028="","",C11028*D11028/100)</f>
        <v/>
      </c>
      <c r="F11028" s="15" t="str">
        <f aca="false">IF(B11028&lt;5,"Go","Standard")</f>
        <v>Go</v>
      </c>
    </row>
    <row r="11029" customFormat="false" ht="15" hidden="false" customHeight="true" outlineLevel="0" collapsed="false">
      <c r="A11029" s="10" t="n">
        <f aca="false">Einstellungen!$B$5+INT((ROW()-9)/24)</f>
        <v>46425</v>
      </c>
      <c r="B11029" s="11" t="n">
        <f aca="false">MOD(ROW()-9,24)</f>
        <v>4</v>
      </c>
      <c r="C11029" s="12"/>
      <c r="D11029" s="13" t="n">
        <f aca="false">IF(B11029&lt;5,Einstellungen!$B$3,Einstellungen!$B$4)</f>
        <v>15.92</v>
      </c>
      <c r="E11029" s="14" t="str">
        <f aca="false">IF(C11029="","",C11029*D11029/100)</f>
        <v/>
      </c>
      <c r="F11029" s="15" t="str">
        <f aca="false">IF(B11029&lt;5,"Go","Standard")</f>
        <v>Go</v>
      </c>
    </row>
    <row r="11030" customFormat="false" ht="15" hidden="false" customHeight="true" outlineLevel="0" collapsed="false">
      <c r="A11030" s="10" t="n">
        <f aca="false">Einstellungen!$B$5+INT((ROW()-9)/24)</f>
        <v>46425</v>
      </c>
      <c r="B11030" s="11" t="n">
        <f aca="false">MOD(ROW()-9,24)</f>
        <v>5</v>
      </c>
      <c r="C11030" s="12"/>
      <c r="D11030" s="13" t="n">
        <f aca="false">IF(B11030&lt;5,Einstellungen!$B$3,Einstellungen!$B$4)</f>
        <v>29.13</v>
      </c>
      <c r="E11030" s="14" t="str">
        <f aca="false">IF(C11030="","",C11030*D11030/100)</f>
        <v/>
      </c>
      <c r="F11030" s="15" t="str">
        <f aca="false">IF(B11030&lt;5,"Go","Standard")</f>
        <v>Standard</v>
      </c>
    </row>
    <row r="11031" customFormat="false" ht="15" hidden="false" customHeight="true" outlineLevel="0" collapsed="false">
      <c r="A11031" s="10" t="n">
        <f aca="false">Einstellungen!$B$5+INT((ROW()-9)/24)</f>
        <v>46425</v>
      </c>
      <c r="B11031" s="11" t="n">
        <f aca="false">MOD(ROW()-9,24)</f>
        <v>6</v>
      </c>
      <c r="C11031" s="12"/>
      <c r="D11031" s="13" t="n">
        <f aca="false">IF(B11031&lt;5,Einstellungen!$B$3,Einstellungen!$B$4)</f>
        <v>29.13</v>
      </c>
      <c r="E11031" s="14" t="str">
        <f aca="false">IF(C11031="","",C11031*D11031/100)</f>
        <v/>
      </c>
      <c r="F11031" s="15" t="str">
        <f aca="false">IF(B11031&lt;5,"Go","Standard")</f>
        <v>Standard</v>
      </c>
    </row>
    <row r="11032" customFormat="false" ht="15" hidden="false" customHeight="true" outlineLevel="0" collapsed="false">
      <c r="A11032" s="10" t="n">
        <f aca="false">Einstellungen!$B$5+INT((ROW()-9)/24)</f>
        <v>46425</v>
      </c>
      <c r="B11032" s="11" t="n">
        <f aca="false">MOD(ROW()-9,24)</f>
        <v>7</v>
      </c>
      <c r="C11032" s="12"/>
      <c r="D11032" s="13" t="n">
        <f aca="false">IF(B11032&lt;5,Einstellungen!$B$3,Einstellungen!$B$4)</f>
        <v>29.13</v>
      </c>
      <c r="E11032" s="14" t="str">
        <f aca="false">IF(C11032="","",C11032*D11032/100)</f>
        <v/>
      </c>
      <c r="F11032" s="15" t="str">
        <f aca="false">IF(B11032&lt;5,"Go","Standard")</f>
        <v>Standard</v>
      </c>
    </row>
    <row r="11033" customFormat="false" ht="15" hidden="false" customHeight="true" outlineLevel="0" collapsed="false">
      <c r="A11033" s="10" t="n">
        <f aca="false">Einstellungen!$B$5+INT((ROW()-9)/24)</f>
        <v>46425</v>
      </c>
      <c r="B11033" s="11" t="n">
        <f aca="false">MOD(ROW()-9,24)</f>
        <v>8</v>
      </c>
      <c r="C11033" s="12"/>
      <c r="D11033" s="13" t="n">
        <f aca="false">IF(B11033&lt;5,Einstellungen!$B$3,Einstellungen!$B$4)</f>
        <v>29.13</v>
      </c>
      <c r="E11033" s="14" t="str">
        <f aca="false">IF(C11033="","",C11033*D11033/100)</f>
        <v/>
      </c>
      <c r="F11033" s="15" t="str">
        <f aca="false">IF(B11033&lt;5,"Go","Standard")</f>
        <v>Standard</v>
      </c>
    </row>
    <row r="11034" customFormat="false" ht="15" hidden="false" customHeight="true" outlineLevel="0" collapsed="false">
      <c r="A11034" s="10" t="n">
        <f aca="false">Einstellungen!$B$5+INT((ROW()-9)/24)</f>
        <v>46425</v>
      </c>
      <c r="B11034" s="11" t="n">
        <f aca="false">MOD(ROW()-9,24)</f>
        <v>9</v>
      </c>
      <c r="C11034" s="12"/>
      <c r="D11034" s="13" t="n">
        <f aca="false">IF(B11034&lt;5,Einstellungen!$B$3,Einstellungen!$B$4)</f>
        <v>29.13</v>
      </c>
      <c r="E11034" s="14" t="str">
        <f aca="false">IF(C11034="","",C11034*D11034/100)</f>
        <v/>
      </c>
      <c r="F11034" s="15" t="str">
        <f aca="false">IF(B11034&lt;5,"Go","Standard")</f>
        <v>Standard</v>
      </c>
    </row>
    <row r="11035" customFormat="false" ht="15" hidden="false" customHeight="true" outlineLevel="0" collapsed="false">
      <c r="A11035" s="10" t="n">
        <f aca="false">Einstellungen!$B$5+INT((ROW()-9)/24)</f>
        <v>46425</v>
      </c>
      <c r="B11035" s="11" t="n">
        <f aca="false">MOD(ROW()-9,24)</f>
        <v>10</v>
      </c>
      <c r="C11035" s="12"/>
      <c r="D11035" s="13" t="n">
        <f aca="false">IF(B11035&lt;5,Einstellungen!$B$3,Einstellungen!$B$4)</f>
        <v>29.13</v>
      </c>
      <c r="E11035" s="14" t="str">
        <f aca="false">IF(C11035="","",C11035*D11035/100)</f>
        <v/>
      </c>
      <c r="F11035" s="15" t="str">
        <f aca="false">IF(B11035&lt;5,"Go","Standard")</f>
        <v>Standard</v>
      </c>
    </row>
    <row r="11036" customFormat="false" ht="15" hidden="false" customHeight="true" outlineLevel="0" collapsed="false">
      <c r="A11036" s="10" t="n">
        <f aca="false">Einstellungen!$B$5+INT((ROW()-9)/24)</f>
        <v>46425</v>
      </c>
      <c r="B11036" s="11" t="n">
        <f aca="false">MOD(ROW()-9,24)</f>
        <v>11</v>
      </c>
      <c r="C11036" s="12"/>
      <c r="D11036" s="13" t="n">
        <f aca="false">IF(B11036&lt;5,Einstellungen!$B$3,Einstellungen!$B$4)</f>
        <v>29.13</v>
      </c>
      <c r="E11036" s="14" t="str">
        <f aca="false">IF(C11036="","",C11036*D11036/100)</f>
        <v/>
      </c>
      <c r="F11036" s="15" t="str">
        <f aca="false">IF(B11036&lt;5,"Go","Standard")</f>
        <v>Standard</v>
      </c>
    </row>
    <row r="11037" customFormat="false" ht="15" hidden="false" customHeight="true" outlineLevel="0" collapsed="false">
      <c r="A11037" s="10" t="n">
        <f aca="false">Einstellungen!$B$5+INT((ROW()-9)/24)</f>
        <v>46425</v>
      </c>
      <c r="B11037" s="11" t="n">
        <f aca="false">MOD(ROW()-9,24)</f>
        <v>12</v>
      </c>
      <c r="C11037" s="12"/>
      <c r="D11037" s="13" t="n">
        <f aca="false">IF(B11037&lt;5,Einstellungen!$B$3,Einstellungen!$B$4)</f>
        <v>29.13</v>
      </c>
      <c r="E11037" s="14" t="str">
        <f aca="false">IF(C11037="","",C11037*D11037/100)</f>
        <v/>
      </c>
      <c r="F11037" s="15" t="str">
        <f aca="false">IF(B11037&lt;5,"Go","Standard")</f>
        <v>Standard</v>
      </c>
    </row>
    <row r="11038" customFormat="false" ht="15" hidden="false" customHeight="true" outlineLevel="0" collapsed="false">
      <c r="A11038" s="10" t="n">
        <f aca="false">Einstellungen!$B$5+INT((ROW()-9)/24)</f>
        <v>46425</v>
      </c>
      <c r="B11038" s="11" t="n">
        <f aca="false">MOD(ROW()-9,24)</f>
        <v>13</v>
      </c>
      <c r="C11038" s="12"/>
      <c r="D11038" s="13" t="n">
        <f aca="false">IF(B11038&lt;5,Einstellungen!$B$3,Einstellungen!$B$4)</f>
        <v>29.13</v>
      </c>
      <c r="E11038" s="14" t="str">
        <f aca="false">IF(C11038="","",C11038*D11038/100)</f>
        <v/>
      </c>
      <c r="F11038" s="15" t="str">
        <f aca="false">IF(B11038&lt;5,"Go","Standard")</f>
        <v>Standard</v>
      </c>
    </row>
    <row r="11039" customFormat="false" ht="15" hidden="false" customHeight="true" outlineLevel="0" collapsed="false">
      <c r="A11039" s="10" t="n">
        <f aca="false">Einstellungen!$B$5+INT((ROW()-9)/24)</f>
        <v>46425</v>
      </c>
      <c r="B11039" s="11" t="n">
        <f aca="false">MOD(ROW()-9,24)</f>
        <v>14</v>
      </c>
      <c r="C11039" s="12"/>
      <c r="D11039" s="13" t="n">
        <f aca="false">IF(B11039&lt;5,Einstellungen!$B$3,Einstellungen!$B$4)</f>
        <v>29.13</v>
      </c>
      <c r="E11039" s="14" t="str">
        <f aca="false">IF(C11039="","",C11039*D11039/100)</f>
        <v/>
      </c>
      <c r="F11039" s="15" t="str">
        <f aca="false">IF(B11039&lt;5,"Go","Standard")</f>
        <v>Standard</v>
      </c>
    </row>
    <row r="11040" customFormat="false" ht="15" hidden="false" customHeight="true" outlineLevel="0" collapsed="false">
      <c r="A11040" s="10" t="n">
        <f aca="false">Einstellungen!$B$5+INT((ROW()-9)/24)</f>
        <v>46425</v>
      </c>
      <c r="B11040" s="11" t="n">
        <f aca="false">MOD(ROW()-9,24)</f>
        <v>15</v>
      </c>
      <c r="C11040" s="12"/>
      <c r="D11040" s="13" t="n">
        <f aca="false">IF(B11040&lt;5,Einstellungen!$B$3,Einstellungen!$B$4)</f>
        <v>29.13</v>
      </c>
      <c r="E11040" s="14" t="str">
        <f aca="false">IF(C11040="","",C11040*D11040/100)</f>
        <v/>
      </c>
      <c r="F11040" s="15" t="str">
        <f aca="false">IF(B11040&lt;5,"Go","Standard")</f>
        <v>Standard</v>
      </c>
    </row>
    <row r="11041" customFormat="false" ht="15" hidden="false" customHeight="true" outlineLevel="0" collapsed="false">
      <c r="A11041" s="10" t="n">
        <f aca="false">Einstellungen!$B$5+INT((ROW()-9)/24)</f>
        <v>46425</v>
      </c>
      <c r="B11041" s="11" t="n">
        <f aca="false">MOD(ROW()-9,24)</f>
        <v>16</v>
      </c>
      <c r="C11041" s="12"/>
      <c r="D11041" s="13" t="n">
        <f aca="false">IF(B11041&lt;5,Einstellungen!$B$3,Einstellungen!$B$4)</f>
        <v>29.13</v>
      </c>
      <c r="E11041" s="14" t="str">
        <f aca="false">IF(C11041="","",C11041*D11041/100)</f>
        <v/>
      </c>
      <c r="F11041" s="15" t="str">
        <f aca="false">IF(B11041&lt;5,"Go","Standard")</f>
        <v>Standard</v>
      </c>
    </row>
    <row r="11042" customFormat="false" ht="15" hidden="false" customHeight="true" outlineLevel="0" collapsed="false">
      <c r="A11042" s="10" t="n">
        <f aca="false">Einstellungen!$B$5+INT((ROW()-9)/24)</f>
        <v>46425</v>
      </c>
      <c r="B11042" s="11" t="n">
        <f aca="false">MOD(ROW()-9,24)</f>
        <v>17</v>
      </c>
      <c r="C11042" s="12"/>
      <c r="D11042" s="13" t="n">
        <f aca="false">IF(B11042&lt;5,Einstellungen!$B$3,Einstellungen!$B$4)</f>
        <v>29.13</v>
      </c>
      <c r="E11042" s="14" t="str">
        <f aca="false">IF(C11042="","",C11042*D11042/100)</f>
        <v/>
      </c>
      <c r="F11042" s="15" t="str">
        <f aca="false">IF(B11042&lt;5,"Go","Standard")</f>
        <v>Standard</v>
      </c>
    </row>
    <row r="11043" customFormat="false" ht="15" hidden="false" customHeight="true" outlineLevel="0" collapsed="false">
      <c r="A11043" s="10" t="n">
        <f aca="false">Einstellungen!$B$5+INT((ROW()-9)/24)</f>
        <v>46425</v>
      </c>
      <c r="B11043" s="11" t="n">
        <f aca="false">MOD(ROW()-9,24)</f>
        <v>18</v>
      </c>
      <c r="C11043" s="12"/>
      <c r="D11043" s="13" t="n">
        <f aca="false">IF(B11043&lt;5,Einstellungen!$B$3,Einstellungen!$B$4)</f>
        <v>29.13</v>
      </c>
      <c r="E11043" s="14" t="str">
        <f aca="false">IF(C11043="","",C11043*D11043/100)</f>
        <v/>
      </c>
      <c r="F11043" s="15" t="str">
        <f aca="false">IF(B11043&lt;5,"Go","Standard")</f>
        <v>Standard</v>
      </c>
    </row>
    <row r="11044" customFormat="false" ht="15" hidden="false" customHeight="true" outlineLevel="0" collapsed="false">
      <c r="A11044" s="10" t="n">
        <f aca="false">Einstellungen!$B$5+INT((ROW()-9)/24)</f>
        <v>46425</v>
      </c>
      <c r="B11044" s="11" t="n">
        <f aca="false">MOD(ROW()-9,24)</f>
        <v>19</v>
      </c>
      <c r="C11044" s="12"/>
      <c r="D11044" s="13" t="n">
        <f aca="false">IF(B11044&lt;5,Einstellungen!$B$3,Einstellungen!$B$4)</f>
        <v>29.13</v>
      </c>
      <c r="E11044" s="14" t="str">
        <f aca="false">IF(C11044="","",C11044*D11044/100)</f>
        <v/>
      </c>
      <c r="F11044" s="15" t="str">
        <f aca="false">IF(B11044&lt;5,"Go","Standard")</f>
        <v>Standard</v>
      </c>
    </row>
    <row r="11045" customFormat="false" ht="15" hidden="false" customHeight="true" outlineLevel="0" collapsed="false">
      <c r="A11045" s="10" t="n">
        <f aca="false">Einstellungen!$B$5+INT((ROW()-9)/24)</f>
        <v>46425</v>
      </c>
      <c r="B11045" s="11" t="n">
        <f aca="false">MOD(ROW()-9,24)</f>
        <v>20</v>
      </c>
      <c r="C11045" s="12"/>
      <c r="D11045" s="13" t="n">
        <f aca="false">IF(B11045&lt;5,Einstellungen!$B$3,Einstellungen!$B$4)</f>
        <v>29.13</v>
      </c>
      <c r="E11045" s="14" t="str">
        <f aca="false">IF(C11045="","",C11045*D11045/100)</f>
        <v/>
      </c>
      <c r="F11045" s="15" t="str">
        <f aca="false">IF(B11045&lt;5,"Go","Standard")</f>
        <v>Standard</v>
      </c>
    </row>
    <row r="11046" customFormat="false" ht="15" hidden="false" customHeight="true" outlineLevel="0" collapsed="false">
      <c r="A11046" s="10" t="n">
        <f aca="false">Einstellungen!$B$5+INT((ROW()-9)/24)</f>
        <v>46425</v>
      </c>
      <c r="B11046" s="11" t="n">
        <f aca="false">MOD(ROW()-9,24)</f>
        <v>21</v>
      </c>
      <c r="C11046" s="12"/>
      <c r="D11046" s="13" t="n">
        <f aca="false">IF(B11046&lt;5,Einstellungen!$B$3,Einstellungen!$B$4)</f>
        <v>29.13</v>
      </c>
      <c r="E11046" s="14" t="str">
        <f aca="false">IF(C11046="","",C11046*D11046/100)</f>
        <v/>
      </c>
      <c r="F11046" s="15" t="str">
        <f aca="false">IF(B11046&lt;5,"Go","Standard")</f>
        <v>Standard</v>
      </c>
    </row>
    <row r="11047" customFormat="false" ht="15" hidden="false" customHeight="true" outlineLevel="0" collapsed="false">
      <c r="A11047" s="10" t="n">
        <f aca="false">Einstellungen!$B$5+INT((ROW()-9)/24)</f>
        <v>46425</v>
      </c>
      <c r="B11047" s="11" t="n">
        <f aca="false">MOD(ROW()-9,24)</f>
        <v>22</v>
      </c>
      <c r="C11047" s="12"/>
      <c r="D11047" s="13" t="n">
        <f aca="false">IF(B11047&lt;5,Einstellungen!$B$3,Einstellungen!$B$4)</f>
        <v>29.13</v>
      </c>
      <c r="E11047" s="14" t="str">
        <f aca="false">IF(C11047="","",C11047*D11047/100)</f>
        <v/>
      </c>
      <c r="F11047" s="15" t="str">
        <f aca="false">IF(B11047&lt;5,"Go","Standard")</f>
        <v>Standard</v>
      </c>
    </row>
    <row r="11048" customFormat="false" ht="15" hidden="false" customHeight="true" outlineLevel="0" collapsed="false">
      <c r="A11048" s="10" t="n">
        <f aca="false">Einstellungen!$B$5+INT((ROW()-9)/24)</f>
        <v>46425</v>
      </c>
      <c r="B11048" s="11" t="n">
        <f aca="false">MOD(ROW()-9,24)</f>
        <v>23</v>
      </c>
      <c r="C11048" s="12"/>
      <c r="D11048" s="13" t="n">
        <f aca="false">IF(B11048&lt;5,Einstellungen!$B$3,Einstellungen!$B$4)</f>
        <v>29.13</v>
      </c>
      <c r="E11048" s="14" t="str">
        <f aca="false">IF(C11048="","",C11048*D11048/100)</f>
        <v/>
      </c>
      <c r="F11048" s="15" t="str">
        <f aca="false">IF(B11048&lt;5,"Go","Standard")</f>
        <v>Standard</v>
      </c>
    </row>
    <row r="11049" customFormat="false" ht="15" hidden="false" customHeight="true" outlineLevel="0" collapsed="false">
      <c r="A11049" s="10" t="n">
        <f aca="false">Einstellungen!$B$5+INT((ROW()-9)/24)</f>
        <v>46426</v>
      </c>
      <c r="B11049" s="11" t="n">
        <f aca="false">MOD(ROW()-9,24)</f>
        <v>0</v>
      </c>
      <c r="C11049" s="12"/>
      <c r="D11049" s="13" t="n">
        <f aca="false">IF(B11049&lt;5,Einstellungen!$B$3,Einstellungen!$B$4)</f>
        <v>15.92</v>
      </c>
      <c r="E11049" s="14" t="str">
        <f aca="false">IF(C11049="","",C11049*D11049/100)</f>
        <v/>
      </c>
      <c r="F11049" s="15" t="str">
        <f aca="false">IF(B11049&lt;5,"Go","Standard")</f>
        <v>Go</v>
      </c>
    </row>
    <row r="11050" customFormat="false" ht="15" hidden="false" customHeight="true" outlineLevel="0" collapsed="false">
      <c r="A11050" s="10" t="n">
        <f aca="false">Einstellungen!$B$5+INT((ROW()-9)/24)</f>
        <v>46426</v>
      </c>
      <c r="B11050" s="11" t="n">
        <f aca="false">MOD(ROW()-9,24)</f>
        <v>1</v>
      </c>
      <c r="C11050" s="12"/>
      <c r="D11050" s="13" t="n">
        <f aca="false">IF(B11050&lt;5,Einstellungen!$B$3,Einstellungen!$B$4)</f>
        <v>15.92</v>
      </c>
      <c r="E11050" s="14" t="str">
        <f aca="false">IF(C11050="","",C11050*D11050/100)</f>
        <v/>
      </c>
      <c r="F11050" s="15" t="str">
        <f aca="false">IF(B11050&lt;5,"Go","Standard")</f>
        <v>Go</v>
      </c>
    </row>
    <row r="11051" customFormat="false" ht="15" hidden="false" customHeight="true" outlineLevel="0" collapsed="false">
      <c r="A11051" s="10" t="n">
        <f aca="false">Einstellungen!$B$5+INT((ROW()-9)/24)</f>
        <v>46426</v>
      </c>
      <c r="B11051" s="11" t="n">
        <f aca="false">MOD(ROW()-9,24)</f>
        <v>2</v>
      </c>
      <c r="C11051" s="12"/>
      <c r="D11051" s="13" t="n">
        <f aca="false">IF(B11051&lt;5,Einstellungen!$B$3,Einstellungen!$B$4)</f>
        <v>15.92</v>
      </c>
      <c r="E11051" s="14" t="str">
        <f aca="false">IF(C11051="","",C11051*D11051/100)</f>
        <v/>
      </c>
      <c r="F11051" s="15" t="str">
        <f aca="false">IF(B11051&lt;5,"Go","Standard")</f>
        <v>Go</v>
      </c>
    </row>
    <row r="11052" customFormat="false" ht="15" hidden="false" customHeight="true" outlineLevel="0" collapsed="false">
      <c r="A11052" s="10" t="n">
        <f aca="false">Einstellungen!$B$5+INT((ROW()-9)/24)</f>
        <v>46426</v>
      </c>
      <c r="B11052" s="11" t="n">
        <f aca="false">MOD(ROW()-9,24)</f>
        <v>3</v>
      </c>
      <c r="C11052" s="12"/>
      <c r="D11052" s="13" t="n">
        <f aca="false">IF(B11052&lt;5,Einstellungen!$B$3,Einstellungen!$B$4)</f>
        <v>15.92</v>
      </c>
      <c r="E11052" s="14" t="str">
        <f aca="false">IF(C11052="","",C11052*D11052/100)</f>
        <v/>
      </c>
      <c r="F11052" s="15" t="str">
        <f aca="false">IF(B11052&lt;5,"Go","Standard")</f>
        <v>Go</v>
      </c>
    </row>
    <row r="11053" customFormat="false" ht="15" hidden="false" customHeight="true" outlineLevel="0" collapsed="false">
      <c r="A11053" s="10" t="n">
        <f aca="false">Einstellungen!$B$5+INT((ROW()-9)/24)</f>
        <v>46426</v>
      </c>
      <c r="B11053" s="11" t="n">
        <f aca="false">MOD(ROW()-9,24)</f>
        <v>4</v>
      </c>
      <c r="C11053" s="12"/>
      <c r="D11053" s="13" t="n">
        <f aca="false">IF(B11053&lt;5,Einstellungen!$B$3,Einstellungen!$B$4)</f>
        <v>15.92</v>
      </c>
      <c r="E11053" s="14" t="str">
        <f aca="false">IF(C11053="","",C11053*D11053/100)</f>
        <v/>
      </c>
      <c r="F11053" s="15" t="str">
        <f aca="false">IF(B11053&lt;5,"Go","Standard")</f>
        <v>Go</v>
      </c>
    </row>
    <row r="11054" customFormat="false" ht="15" hidden="false" customHeight="true" outlineLevel="0" collapsed="false">
      <c r="A11054" s="10" t="n">
        <f aca="false">Einstellungen!$B$5+INT((ROW()-9)/24)</f>
        <v>46426</v>
      </c>
      <c r="B11054" s="11" t="n">
        <f aca="false">MOD(ROW()-9,24)</f>
        <v>5</v>
      </c>
      <c r="C11054" s="12"/>
      <c r="D11054" s="13" t="n">
        <f aca="false">IF(B11054&lt;5,Einstellungen!$B$3,Einstellungen!$B$4)</f>
        <v>29.13</v>
      </c>
      <c r="E11054" s="14" t="str">
        <f aca="false">IF(C11054="","",C11054*D11054/100)</f>
        <v/>
      </c>
      <c r="F11054" s="15" t="str">
        <f aca="false">IF(B11054&lt;5,"Go","Standard")</f>
        <v>Standard</v>
      </c>
    </row>
    <row r="11055" customFormat="false" ht="15" hidden="false" customHeight="true" outlineLevel="0" collapsed="false">
      <c r="A11055" s="10" t="n">
        <f aca="false">Einstellungen!$B$5+INT((ROW()-9)/24)</f>
        <v>46426</v>
      </c>
      <c r="B11055" s="11" t="n">
        <f aca="false">MOD(ROW()-9,24)</f>
        <v>6</v>
      </c>
      <c r="C11055" s="12"/>
      <c r="D11055" s="13" t="n">
        <f aca="false">IF(B11055&lt;5,Einstellungen!$B$3,Einstellungen!$B$4)</f>
        <v>29.13</v>
      </c>
      <c r="E11055" s="14" t="str">
        <f aca="false">IF(C11055="","",C11055*D11055/100)</f>
        <v/>
      </c>
      <c r="F11055" s="15" t="str">
        <f aca="false">IF(B11055&lt;5,"Go","Standard")</f>
        <v>Standard</v>
      </c>
    </row>
    <row r="11056" customFormat="false" ht="15" hidden="false" customHeight="true" outlineLevel="0" collapsed="false">
      <c r="A11056" s="10" t="n">
        <f aca="false">Einstellungen!$B$5+INT((ROW()-9)/24)</f>
        <v>46426</v>
      </c>
      <c r="B11056" s="11" t="n">
        <f aca="false">MOD(ROW()-9,24)</f>
        <v>7</v>
      </c>
      <c r="C11056" s="12"/>
      <c r="D11056" s="13" t="n">
        <f aca="false">IF(B11056&lt;5,Einstellungen!$B$3,Einstellungen!$B$4)</f>
        <v>29.13</v>
      </c>
      <c r="E11056" s="14" t="str">
        <f aca="false">IF(C11056="","",C11056*D11056/100)</f>
        <v/>
      </c>
      <c r="F11056" s="15" t="str">
        <f aca="false">IF(B11056&lt;5,"Go","Standard")</f>
        <v>Standard</v>
      </c>
    </row>
    <row r="11057" customFormat="false" ht="15" hidden="false" customHeight="true" outlineLevel="0" collapsed="false">
      <c r="A11057" s="10" t="n">
        <f aca="false">Einstellungen!$B$5+INT((ROW()-9)/24)</f>
        <v>46426</v>
      </c>
      <c r="B11057" s="11" t="n">
        <f aca="false">MOD(ROW()-9,24)</f>
        <v>8</v>
      </c>
      <c r="C11057" s="12"/>
      <c r="D11057" s="13" t="n">
        <f aca="false">IF(B11057&lt;5,Einstellungen!$B$3,Einstellungen!$B$4)</f>
        <v>29.13</v>
      </c>
      <c r="E11057" s="14" t="str">
        <f aca="false">IF(C11057="","",C11057*D11057/100)</f>
        <v/>
      </c>
      <c r="F11057" s="15" t="str">
        <f aca="false">IF(B11057&lt;5,"Go","Standard")</f>
        <v>Standard</v>
      </c>
    </row>
    <row r="11058" customFormat="false" ht="15" hidden="false" customHeight="true" outlineLevel="0" collapsed="false">
      <c r="A11058" s="10" t="n">
        <f aca="false">Einstellungen!$B$5+INT((ROW()-9)/24)</f>
        <v>46426</v>
      </c>
      <c r="B11058" s="11" t="n">
        <f aca="false">MOD(ROW()-9,24)</f>
        <v>9</v>
      </c>
      <c r="C11058" s="12"/>
      <c r="D11058" s="13" t="n">
        <f aca="false">IF(B11058&lt;5,Einstellungen!$B$3,Einstellungen!$B$4)</f>
        <v>29.13</v>
      </c>
      <c r="E11058" s="14" t="str">
        <f aca="false">IF(C11058="","",C11058*D11058/100)</f>
        <v/>
      </c>
      <c r="F11058" s="15" t="str">
        <f aca="false">IF(B11058&lt;5,"Go","Standard")</f>
        <v>Standard</v>
      </c>
    </row>
    <row r="11059" customFormat="false" ht="15" hidden="false" customHeight="true" outlineLevel="0" collapsed="false">
      <c r="A11059" s="10" t="n">
        <f aca="false">Einstellungen!$B$5+INT((ROW()-9)/24)</f>
        <v>46426</v>
      </c>
      <c r="B11059" s="11" t="n">
        <f aca="false">MOD(ROW()-9,24)</f>
        <v>10</v>
      </c>
      <c r="C11059" s="12"/>
      <c r="D11059" s="13" t="n">
        <f aca="false">IF(B11059&lt;5,Einstellungen!$B$3,Einstellungen!$B$4)</f>
        <v>29.13</v>
      </c>
      <c r="E11059" s="14" t="str">
        <f aca="false">IF(C11059="","",C11059*D11059/100)</f>
        <v/>
      </c>
      <c r="F11059" s="15" t="str">
        <f aca="false">IF(B11059&lt;5,"Go","Standard")</f>
        <v>Standard</v>
      </c>
    </row>
    <row r="11060" customFormat="false" ht="15" hidden="false" customHeight="true" outlineLevel="0" collapsed="false">
      <c r="A11060" s="10" t="n">
        <f aca="false">Einstellungen!$B$5+INT((ROW()-9)/24)</f>
        <v>46426</v>
      </c>
      <c r="B11060" s="11" t="n">
        <f aca="false">MOD(ROW()-9,24)</f>
        <v>11</v>
      </c>
      <c r="C11060" s="12"/>
      <c r="D11060" s="13" t="n">
        <f aca="false">IF(B11060&lt;5,Einstellungen!$B$3,Einstellungen!$B$4)</f>
        <v>29.13</v>
      </c>
      <c r="E11060" s="14" t="str">
        <f aca="false">IF(C11060="","",C11060*D11060/100)</f>
        <v/>
      </c>
      <c r="F11060" s="15" t="str">
        <f aca="false">IF(B11060&lt;5,"Go","Standard")</f>
        <v>Standard</v>
      </c>
    </row>
    <row r="11061" customFormat="false" ht="15" hidden="false" customHeight="true" outlineLevel="0" collapsed="false">
      <c r="A11061" s="10" t="n">
        <f aca="false">Einstellungen!$B$5+INT((ROW()-9)/24)</f>
        <v>46426</v>
      </c>
      <c r="B11061" s="11" t="n">
        <f aca="false">MOD(ROW()-9,24)</f>
        <v>12</v>
      </c>
      <c r="C11061" s="12"/>
      <c r="D11061" s="13" t="n">
        <f aca="false">IF(B11061&lt;5,Einstellungen!$B$3,Einstellungen!$B$4)</f>
        <v>29.13</v>
      </c>
      <c r="E11061" s="14" t="str">
        <f aca="false">IF(C11061="","",C11061*D11061/100)</f>
        <v/>
      </c>
      <c r="F11061" s="15" t="str">
        <f aca="false">IF(B11061&lt;5,"Go","Standard")</f>
        <v>Standard</v>
      </c>
    </row>
    <row r="11062" customFormat="false" ht="15" hidden="false" customHeight="true" outlineLevel="0" collapsed="false">
      <c r="A11062" s="10" t="n">
        <f aca="false">Einstellungen!$B$5+INT((ROW()-9)/24)</f>
        <v>46426</v>
      </c>
      <c r="B11062" s="11" t="n">
        <f aca="false">MOD(ROW()-9,24)</f>
        <v>13</v>
      </c>
      <c r="C11062" s="12"/>
      <c r="D11062" s="13" t="n">
        <f aca="false">IF(B11062&lt;5,Einstellungen!$B$3,Einstellungen!$B$4)</f>
        <v>29.13</v>
      </c>
      <c r="E11062" s="14" t="str">
        <f aca="false">IF(C11062="","",C11062*D11062/100)</f>
        <v/>
      </c>
      <c r="F11062" s="15" t="str">
        <f aca="false">IF(B11062&lt;5,"Go","Standard")</f>
        <v>Standard</v>
      </c>
    </row>
    <row r="11063" customFormat="false" ht="15" hidden="false" customHeight="true" outlineLevel="0" collapsed="false">
      <c r="A11063" s="10" t="n">
        <f aca="false">Einstellungen!$B$5+INT((ROW()-9)/24)</f>
        <v>46426</v>
      </c>
      <c r="B11063" s="11" t="n">
        <f aca="false">MOD(ROW()-9,24)</f>
        <v>14</v>
      </c>
      <c r="C11063" s="12"/>
      <c r="D11063" s="13" t="n">
        <f aca="false">IF(B11063&lt;5,Einstellungen!$B$3,Einstellungen!$B$4)</f>
        <v>29.13</v>
      </c>
      <c r="E11063" s="14" t="str">
        <f aca="false">IF(C11063="","",C11063*D11063/100)</f>
        <v/>
      </c>
      <c r="F11063" s="15" t="str">
        <f aca="false">IF(B11063&lt;5,"Go","Standard")</f>
        <v>Standard</v>
      </c>
    </row>
    <row r="11064" customFormat="false" ht="15" hidden="false" customHeight="true" outlineLevel="0" collapsed="false">
      <c r="A11064" s="10" t="n">
        <f aca="false">Einstellungen!$B$5+INT((ROW()-9)/24)</f>
        <v>46426</v>
      </c>
      <c r="B11064" s="11" t="n">
        <f aca="false">MOD(ROW()-9,24)</f>
        <v>15</v>
      </c>
      <c r="C11064" s="12"/>
      <c r="D11064" s="13" t="n">
        <f aca="false">IF(B11064&lt;5,Einstellungen!$B$3,Einstellungen!$B$4)</f>
        <v>29.13</v>
      </c>
      <c r="E11064" s="14" t="str">
        <f aca="false">IF(C11064="","",C11064*D11064/100)</f>
        <v/>
      </c>
      <c r="F11064" s="15" t="str">
        <f aca="false">IF(B11064&lt;5,"Go","Standard")</f>
        <v>Standard</v>
      </c>
    </row>
    <row r="11065" customFormat="false" ht="15" hidden="false" customHeight="true" outlineLevel="0" collapsed="false">
      <c r="A11065" s="10" t="n">
        <f aca="false">Einstellungen!$B$5+INT((ROW()-9)/24)</f>
        <v>46426</v>
      </c>
      <c r="B11065" s="11" t="n">
        <f aca="false">MOD(ROW()-9,24)</f>
        <v>16</v>
      </c>
      <c r="C11065" s="12"/>
      <c r="D11065" s="13" t="n">
        <f aca="false">IF(B11065&lt;5,Einstellungen!$B$3,Einstellungen!$B$4)</f>
        <v>29.13</v>
      </c>
      <c r="E11065" s="14" t="str">
        <f aca="false">IF(C11065="","",C11065*D11065/100)</f>
        <v/>
      </c>
      <c r="F11065" s="15" t="str">
        <f aca="false">IF(B11065&lt;5,"Go","Standard")</f>
        <v>Standard</v>
      </c>
    </row>
    <row r="11066" customFormat="false" ht="15" hidden="false" customHeight="true" outlineLevel="0" collapsed="false">
      <c r="A11066" s="10" t="n">
        <f aca="false">Einstellungen!$B$5+INT((ROW()-9)/24)</f>
        <v>46426</v>
      </c>
      <c r="B11066" s="11" t="n">
        <f aca="false">MOD(ROW()-9,24)</f>
        <v>17</v>
      </c>
      <c r="C11066" s="12"/>
      <c r="D11066" s="13" t="n">
        <f aca="false">IF(B11066&lt;5,Einstellungen!$B$3,Einstellungen!$B$4)</f>
        <v>29.13</v>
      </c>
      <c r="E11066" s="14" t="str">
        <f aca="false">IF(C11066="","",C11066*D11066/100)</f>
        <v/>
      </c>
      <c r="F11066" s="15" t="str">
        <f aca="false">IF(B11066&lt;5,"Go","Standard")</f>
        <v>Standard</v>
      </c>
    </row>
    <row r="11067" customFormat="false" ht="15" hidden="false" customHeight="true" outlineLevel="0" collapsed="false">
      <c r="A11067" s="10" t="n">
        <f aca="false">Einstellungen!$B$5+INT((ROW()-9)/24)</f>
        <v>46426</v>
      </c>
      <c r="B11067" s="11" t="n">
        <f aca="false">MOD(ROW()-9,24)</f>
        <v>18</v>
      </c>
      <c r="C11067" s="12"/>
      <c r="D11067" s="13" t="n">
        <f aca="false">IF(B11067&lt;5,Einstellungen!$B$3,Einstellungen!$B$4)</f>
        <v>29.13</v>
      </c>
      <c r="E11067" s="14" t="str">
        <f aca="false">IF(C11067="","",C11067*D11067/100)</f>
        <v/>
      </c>
      <c r="F11067" s="15" t="str">
        <f aca="false">IF(B11067&lt;5,"Go","Standard")</f>
        <v>Standard</v>
      </c>
    </row>
    <row r="11068" customFormat="false" ht="15" hidden="false" customHeight="true" outlineLevel="0" collapsed="false">
      <c r="A11068" s="10" t="n">
        <f aca="false">Einstellungen!$B$5+INT((ROW()-9)/24)</f>
        <v>46426</v>
      </c>
      <c r="B11068" s="11" t="n">
        <f aca="false">MOD(ROW()-9,24)</f>
        <v>19</v>
      </c>
      <c r="C11068" s="12"/>
      <c r="D11068" s="13" t="n">
        <f aca="false">IF(B11068&lt;5,Einstellungen!$B$3,Einstellungen!$B$4)</f>
        <v>29.13</v>
      </c>
      <c r="E11068" s="14" t="str">
        <f aca="false">IF(C11068="","",C11068*D11068/100)</f>
        <v/>
      </c>
      <c r="F11068" s="15" t="str">
        <f aca="false">IF(B11068&lt;5,"Go","Standard")</f>
        <v>Standard</v>
      </c>
    </row>
    <row r="11069" customFormat="false" ht="15" hidden="false" customHeight="true" outlineLevel="0" collapsed="false">
      <c r="A11069" s="10" t="n">
        <f aca="false">Einstellungen!$B$5+INT((ROW()-9)/24)</f>
        <v>46426</v>
      </c>
      <c r="B11069" s="11" t="n">
        <f aca="false">MOD(ROW()-9,24)</f>
        <v>20</v>
      </c>
      <c r="C11069" s="12"/>
      <c r="D11069" s="13" t="n">
        <f aca="false">IF(B11069&lt;5,Einstellungen!$B$3,Einstellungen!$B$4)</f>
        <v>29.13</v>
      </c>
      <c r="E11069" s="14" t="str">
        <f aca="false">IF(C11069="","",C11069*D11069/100)</f>
        <v/>
      </c>
      <c r="F11069" s="15" t="str">
        <f aca="false">IF(B11069&lt;5,"Go","Standard")</f>
        <v>Standard</v>
      </c>
    </row>
    <row r="11070" customFormat="false" ht="15" hidden="false" customHeight="true" outlineLevel="0" collapsed="false">
      <c r="A11070" s="10" t="n">
        <f aca="false">Einstellungen!$B$5+INT((ROW()-9)/24)</f>
        <v>46426</v>
      </c>
      <c r="B11070" s="11" t="n">
        <f aca="false">MOD(ROW()-9,24)</f>
        <v>21</v>
      </c>
      <c r="C11070" s="12"/>
      <c r="D11070" s="13" t="n">
        <f aca="false">IF(B11070&lt;5,Einstellungen!$B$3,Einstellungen!$B$4)</f>
        <v>29.13</v>
      </c>
      <c r="E11070" s="14" t="str">
        <f aca="false">IF(C11070="","",C11070*D11070/100)</f>
        <v/>
      </c>
      <c r="F11070" s="15" t="str">
        <f aca="false">IF(B11070&lt;5,"Go","Standard")</f>
        <v>Standard</v>
      </c>
    </row>
    <row r="11071" customFormat="false" ht="15" hidden="false" customHeight="true" outlineLevel="0" collapsed="false">
      <c r="A11071" s="10" t="n">
        <f aca="false">Einstellungen!$B$5+INT((ROW()-9)/24)</f>
        <v>46426</v>
      </c>
      <c r="B11071" s="11" t="n">
        <f aca="false">MOD(ROW()-9,24)</f>
        <v>22</v>
      </c>
      <c r="C11071" s="12"/>
      <c r="D11071" s="13" t="n">
        <f aca="false">IF(B11071&lt;5,Einstellungen!$B$3,Einstellungen!$B$4)</f>
        <v>29.13</v>
      </c>
      <c r="E11071" s="14" t="str">
        <f aca="false">IF(C11071="","",C11071*D11071/100)</f>
        <v/>
      </c>
      <c r="F11071" s="15" t="str">
        <f aca="false">IF(B11071&lt;5,"Go","Standard")</f>
        <v>Standard</v>
      </c>
    </row>
    <row r="11072" customFormat="false" ht="15" hidden="false" customHeight="true" outlineLevel="0" collapsed="false">
      <c r="A11072" s="10" t="n">
        <f aca="false">Einstellungen!$B$5+INT((ROW()-9)/24)</f>
        <v>46426</v>
      </c>
      <c r="B11072" s="11" t="n">
        <f aca="false">MOD(ROW()-9,24)</f>
        <v>23</v>
      </c>
      <c r="C11072" s="12"/>
      <c r="D11072" s="13" t="n">
        <f aca="false">IF(B11072&lt;5,Einstellungen!$B$3,Einstellungen!$B$4)</f>
        <v>29.13</v>
      </c>
      <c r="E11072" s="14" t="str">
        <f aca="false">IF(C11072="","",C11072*D11072/100)</f>
        <v/>
      </c>
      <c r="F11072" s="15" t="str">
        <f aca="false">IF(B11072&lt;5,"Go","Standard")</f>
        <v>Standard</v>
      </c>
    </row>
    <row r="11073" customFormat="false" ht="15" hidden="false" customHeight="true" outlineLevel="0" collapsed="false">
      <c r="A11073" s="10" t="n">
        <f aca="false">Einstellungen!$B$5+INT((ROW()-9)/24)</f>
        <v>46427</v>
      </c>
      <c r="B11073" s="11" t="n">
        <f aca="false">MOD(ROW()-9,24)</f>
        <v>0</v>
      </c>
      <c r="C11073" s="12"/>
      <c r="D11073" s="13" t="n">
        <f aca="false">IF(B11073&lt;5,Einstellungen!$B$3,Einstellungen!$B$4)</f>
        <v>15.92</v>
      </c>
      <c r="E11073" s="14" t="str">
        <f aca="false">IF(C11073="","",C11073*D11073/100)</f>
        <v/>
      </c>
      <c r="F11073" s="15" t="str">
        <f aca="false">IF(B11073&lt;5,"Go","Standard")</f>
        <v>Go</v>
      </c>
    </row>
    <row r="11074" customFormat="false" ht="15" hidden="false" customHeight="true" outlineLevel="0" collapsed="false">
      <c r="A11074" s="10" t="n">
        <f aca="false">Einstellungen!$B$5+INT((ROW()-9)/24)</f>
        <v>46427</v>
      </c>
      <c r="B11074" s="11" t="n">
        <f aca="false">MOD(ROW()-9,24)</f>
        <v>1</v>
      </c>
      <c r="C11074" s="12"/>
      <c r="D11074" s="13" t="n">
        <f aca="false">IF(B11074&lt;5,Einstellungen!$B$3,Einstellungen!$B$4)</f>
        <v>15.92</v>
      </c>
      <c r="E11074" s="14" t="str">
        <f aca="false">IF(C11074="","",C11074*D11074/100)</f>
        <v/>
      </c>
      <c r="F11074" s="15" t="str">
        <f aca="false">IF(B11074&lt;5,"Go","Standard")</f>
        <v>Go</v>
      </c>
    </row>
    <row r="11075" customFormat="false" ht="15" hidden="false" customHeight="true" outlineLevel="0" collapsed="false">
      <c r="A11075" s="10" t="n">
        <f aca="false">Einstellungen!$B$5+INT((ROW()-9)/24)</f>
        <v>46427</v>
      </c>
      <c r="B11075" s="11" t="n">
        <f aca="false">MOD(ROW()-9,24)</f>
        <v>2</v>
      </c>
      <c r="C11075" s="12"/>
      <c r="D11075" s="13" t="n">
        <f aca="false">IF(B11075&lt;5,Einstellungen!$B$3,Einstellungen!$B$4)</f>
        <v>15.92</v>
      </c>
      <c r="E11075" s="14" t="str">
        <f aca="false">IF(C11075="","",C11075*D11075/100)</f>
        <v/>
      </c>
      <c r="F11075" s="15" t="str">
        <f aca="false">IF(B11075&lt;5,"Go","Standard")</f>
        <v>Go</v>
      </c>
    </row>
    <row r="11076" customFormat="false" ht="15" hidden="false" customHeight="true" outlineLevel="0" collapsed="false">
      <c r="A11076" s="10" t="n">
        <f aca="false">Einstellungen!$B$5+INT((ROW()-9)/24)</f>
        <v>46427</v>
      </c>
      <c r="B11076" s="11" t="n">
        <f aca="false">MOD(ROW()-9,24)</f>
        <v>3</v>
      </c>
      <c r="C11076" s="12"/>
      <c r="D11076" s="13" t="n">
        <f aca="false">IF(B11076&lt;5,Einstellungen!$B$3,Einstellungen!$B$4)</f>
        <v>15.92</v>
      </c>
      <c r="E11076" s="14" t="str">
        <f aca="false">IF(C11076="","",C11076*D11076/100)</f>
        <v/>
      </c>
      <c r="F11076" s="15" t="str">
        <f aca="false">IF(B11076&lt;5,"Go","Standard")</f>
        <v>Go</v>
      </c>
    </row>
    <row r="11077" customFormat="false" ht="15" hidden="false" customHeight="true" outlineLevel="0" collapsed="false">
      <c r="A11077" s="10" t="n">
        <f aca="false">Einstellungen!$B$5+INT((ROW()-9)/24)</f>
        <v>46427</v>
      </c>
      <c r="B11077" s="11" t="n">
        <f aca="false">MOD(ROW()-9,24)</f>
        <v>4</v>
      </c>
      <c r="C11077" s="12"/>
      <c r="D11077" s="13" t="n">
        <f aca="false">IF(B11077&lt;5,Einstellungen!$B$3,Einstellungen!$B$4)</f>
        <v>15.92</v>
      </c>
      <c r="E11077" s="14" t="str">
        <f aca="false">IF(C11077="","",C11077*D11077/100)</f>
        <v/>
      </c>
      <c r="F11077" s="15" t="str">
        <f aca="false">IF(B11077&lt;5,"Go","Standard")</f>
        <v>Go</v>
      </c>
    </row>
    <row r="11078" customFormat="false" ht="15" hidden="false" customHeight="true" outlineLevel="0" collapsed="false">
      <c r="A11078" s="10" t="n">
        <f aca="false">Einstellungen!$B$5+INT((ROW()-9)/24)</f>
        <v>46427</v>
      </c>
      <c r="B11078" s="11" t="n">
        <f aca="false">MOD(ROW()-9,24)</f>
        <v>5</v>
      </c>
      <c r="C11078" s="12"/>
      <c r="D11078" s="13" t="n">
        <f aca="false">IF(B11078&lt;5,Einstellungen!$B$3,Einstellungen!$B$4)</f>
        <v>29.13</v>
      </c>
      <c r="E11078" s="14" t="str">
        <f aca="false">IF(C11078="","",C11078*D11078/100)</f>
        <v/>
      </c>
      <c r="F11078" s="15" t="str">
        <f aca="false">IF(B11078&lt;5,"Go","Standard")</f>
        <v>Standard</v>
      </c>
    </row>
    <row r="11079" customFormat="false" ht="15" hidden="false" customHeight="true" outlineLevel="0" collapsed="false">
      <c r="A11079" s="10" t="n">
        <f aca="false">Einstellungen!$B$5+INT((ROW()-9)/24)</f>
        <v>46427</v>
      </c>
      <c r="B11079" s="11" t="n">
        <f aca="false">MOD(ROW()-9,24)</f>
        <v>6</v>
      </c>
      <c r="C11079" s="12"/>
      <c r="D11079" s="13" t="n">
        <f aca="false">IF(B11079&lt;5,Einstellungen!$B$3,Einstellungen!$B$4)</f>
        <v>29.13</v>
      </c>
      <c r="E11079" s="14" t="str">
        <f aca="false">IF(C11079="","",C11079*D11079/100)</f>
        <v/>
      </c>
      <c r="F11079" s="15" t="str">
        <f aca="false">IF(B11079&lt;5,"Go","Standard")</f>
        <v>Standard</v>
      </c>
    </row>
    <row r="11080" customFormat="false" ht="15" hidden="false" customHeight="true" outlineLevel="0" collapsed="false">
      <c r="A11080" s="10" t="n">
        <f aca="false">Einstellungen!$B$5+INT((ROW()-9)/24)</f>
        <v>46427</v>
      </c>
      <c r="B11080" s="11" t="n">
        <f aca="false">MOD(ROW()-9,24)</f>
        <v>7</v>
      </c>
      <c r="C11080" s="12"/>
      <c r="D11080" s="13" t="n">
        <f aca="false">IF(B11080&lt;5,Einstellungen!$B$3,Einstellungen!$B$4)</f>
        <v>29.13</v>
      </c>
      <c r="E11080" s="14" t="str">
        <f aca="false">IF(C11080="","",C11080*D11080/100)</f>
        <v/>
      </c>
      <c r="F11080" s="15" t="str">
        <f aca="false">IF(B11080&lt;5,"Go","Standard")</f>
        <v>Standard</v>
      </c>
    </row>
    <row r="11081" customFormat="false" ht="15" hidden="false" customHeight="true" outlineLevel="0" collapsed="false">
      <c r="A11081" s="10" t="n">
        <f aca="false">Einstellungen!$B$5+INT((ROW()-9)/24)</f>
        <v>46427</v>
      </c>
      <c r="B11081" s="11" t="n">
        <f aca="false">MOD(ROW()-9,24)</f>
        <v>8</v>
      </c>
      <c r="C11081" s="12"/>
      <c r="D11081" s="13" t="n">
        <f aca="false">IF(B11081&lt;5,Einstellungen!$B$3,Einstellungen!$B$4)</f>
        <v>29.13</v>
      </c>
      <c r="E11081" s="14" t="str">
        <f aca="false">IF(C11081="","",C11081*D11081/100)</f>
        <v/>
      </c>
      <c r="F11081" s="15" t="str">
        <f aca="false">IF(B11081&lt;5,"Go","Standard")</f>
        <v>Standard</v>
      </c>
    </row>
    <row r="11082" customFormat="false" ht="15" hidden="false" customHeight="true" outlineLevel="0" collapsed="false">
      <c r="A11082" s="10" t="n">
        <f aca="false">Einstellungen!$B$5+INT((ROW()-9)/24)</f>
        <v>46427</v>
      </c>
      <c r="B11082" s="11" t="n">
        <f aca="false">MOD(ROW()-9,24)</f>
        <v>9</v>
      </c>
      <c r="C11082" s="12"/>
      <c r="D11082" s="13" t="n">
        <f aca="false">IF(B11082&lt;5,Einstellungen!$B$3,Einstellungen!$B$4)</f>
        <v>29.13</v>
      </c>
      <c r="E11082" s="14" t="str">
        <f aca="false">IF(C11082="","",C11082*D11082/100)</f>
        <v/>
      </c>
      <c r="F11082" s="15" t="str">
        <f aca="false">IF(B11082&lt;5,"Go","Standard")</f>
        <v>Standard</v>
      </c>
    </row>
    <row r="11083" customFormat="false" ht="15" hidden="false" customHeight="true" outlineLevel="0" collapsed="false">
      <c r="A11083" s="10" t="n">
        <f aca="false">Einstellungen!$B$5+INT((ROW()-9)/24)</f>
        <v>46427</v>
      </c>
      <c r="B11083" s="11" t="n">
        <f aca="false">MOD(ROW()-9,24)</f>
        <v>10</v>
      </c>
      <c r="C11083" s="12"/>
      <c r="D11083" s="13" t="n">
        <f aca="false">IF(B11083&lt;5,Einstellungen!$B$3,Einstellungen!$B$4)</f>
        <v>29.13</v>
      </c>
      <c r="E11083" s="14" t="str">
        <f aca="false">IF(C11083="","",C11083*D11083/100)</f>
        <v/>
      </c>
      <c r="F11083" s="15" t="str">
        <f aca="false">IF(B11083&lt;5,"Go","Standard")</f>
        <v>Standard</v>
      </c>
    </row>
    <row r="11084" customFormat="false" ht="15" hidden="false" customHeight="true" outlineLevel="0" collapsed="false">
      <c r="A11084" s="10" t="n">
        <f aca="false">Einstellungen!$B$5+INT((ROW()-9)/24)</f>
        <v>46427</v>
      </c>
      <c r="B11084" s="11" t="n">
        <f aca="false">MOD(ROW()-9,24)</f>
        <v>11</v>
      </c>
      <c r="C11084" s="12"/>
      <c r="D11084" s="13" t="n">
        <f aca="false">IF(B11084&lt;5,Einstellungen!$B$3,Einstellungen!$B$4)</f>
        <v>29.13</v>
      </c>
      <c r="E11084" s="14" t="str">
        <f aca="false">IF(C11084="","",C11084*D11084/100)</f>
        <v/>
      </c>
      <c r="F11084" s="15" t="str">
        <f aca="false">IF(B11084&lt;5,"Go","Standard")</f>
        <v>Standard</v>
      </c>
    </row>
    <row r="11085" customFormat="false" ht="15" hidden="false" customHeight="true" outlineLevel="0" collapsed="false">
      <c r="A11085" s="10" t="n">
        <f aca="false">Einstellungen!$B$5+INT((ROW()-9)/24)</f>
        <v>46427</v>
      </c>
      <c r="B11085" s="11" t="n">
        <f aca="false">MOD(ROW()-9,24)</f>
        <v>12</v>
      </c>
      <c r="C11085" s="12"/>
      <c r="D11085" s="13" t="n">
        <f aca="false">IF(B11085&lt;5,Einstellungen!$B$3,Einstellungen!$B$4)</f>
        <v>29.13</v>
      </c>
      <c r="E11085" s="14" t="str">
        <f aca="false">IF(C11085="","",C11085*D11085/100)</f>
        <v/>
      </c>
      <c r="F11085" s="15" t="str">
        <f aca="false">IF(B11085&lt;5,"Go","Standard")</f>
        <v>Standard</v>
      </c>
    </row>
    <row r="11086" customFormat="false" ht="15" hidden="false" customHeight="true" outlineLevel="0" collapsed="false">
      <c r="A11086" s="10" t="n">
        <f aca="false">Einstellungen!$B$5+INT((ROW()-9)/24)</f>
        <v>46427</v>
      </c>
      <c r="B11086" s="11" t="n">
        <f aca="false">MOD(ROW()-9,24)</f>
        <v>13</v>
      </c>
      <c r="C11086" s="12"/>
      <c r="D11086" s="13" t="n">
        <f aca="false">IF(B11086&lt;5,Einstellungen!$B$3,Einstellungen!$B$4)</f>
        <v>29.13</v>
      </c>
      <c r="E11086" s="14" t="str">
        <f aca="false">IF(C11086="","",C11086*D11086/100)</f>
        <v/>
      </c>
      <c r="F11086" s="15" t="str">
        <f aca="false">IF(B11086&lt;5,"Go","Standard")</f>
        <v>Standard</v>
      </c>
    </row>
    <row r="11087" customFormat="false" ht="15" hidden="false" customHeight="true" outlineLevel="0" collapsed="false">
      <c r="A11087" s="10" t="n">
        <f aca="false">Einstellungen!$B$5+INT((ROW()-9)/24)</f>
        <v>46427</v>
      </c>
      <c r="B11087" s="11" t="n">
        <f aca="false">MOD(ROW()-9,24)</f>
        <v>14</v>
      </c>
      <c r="C11087" s="12"/>
      <c r="D11087" s="13" t="n">
        <f aca="false">IF(B11087&lt;5,Einstellungen!$B$3,Einstellungen!$B$4)</f>
        <v>29.13</v>
      </c>
      <c r="E11087" s="14" t="str">
        <f aca="false">IF(C11087="","",C11087*D11087/100)</f>
        <v/>
      </c>
      <c r="F11087" s="15" t="str">
        <f aca="false">IF(B11087&lt;5,"Go","Standard")</f>
        <v>Standard</v>
      </c>
    </row>
    <row r="11088" customFormat="false" ht="15" hidden="false" customHeight="true" outlineLevel="0" collapsed="false">
      <c r="A11088" s="10" t="n">
        <f aca="false">Einstellungen!$B$5+INT((ROW()-9)/24)</f>
        <v>46427</v>
      </c>
      <c r="B11088" s="11" t="n">
        <f aca="false">MOD(ROW()-9,24)</f>
        <v>15</v>
      </c>
      <c r="C11088" s="12"/>
      <c r="D11088" s="13" t="n">
        <f aca="false">IF(B11088&lt;5,Einstellungen!$B$3,Einstellungen!$B$4)</f>
        <v>29.13</v>
      </c>
      <c r="E11088" s="14" t="str">
        <f aca="false">IF(C11088="","",C11088*D11088/100)</f>
        <v/>
      </c>
      <c r="F11088" s="15" t="str">
        <f aca="false">IF(B11088&lt;5,"Go","Standard")</f>
        <v>Standard</v>
      </c>
    </row>
    <row r="11089" customFormat="false" ht="15" hidden="false" customHeight="true" outlineLevel="0" collapsed="false">
      <c r="A11089" s="10" t="n">
        <f aca="false">Einstellungen!$B$5+INT((ROW()-9)/24)</f>
        <v>46427</v>
      </c>
      <c r="B11089" s="11" t="n">
        <f aca="false">MOD(ROW()-9,24)</f>
        <v>16</v>
      </c>
      <c r="C11089" s="12"/>
      <c r="D11089" s="13" t="n">
        <f aca="false">IF(B11089&lt;5,Einstellungen!$B$3,Einstellungen!$B$4)</f>
        <v>29.13</v>
      </c>
      <c r="E11089" s="14" t="str">
        <f aca="false">IF(C11089="","",C11089*D11089/100)</f>
        <v/>
      </c>
      <c r="F11089" s="15" t="str">
        <f aca="false">IF(B11089&lt;5,"Go","Standard")</f>
        <v>Standard</v>
      </c>
    </row>
    <row r="11090" customFormat="false" ht="15" hidden="false" customHeight="true" outlineLevel="0" collapsed="false">
      <c r="A11090" s="10" t="n">
        <f aca="false">Einstellungen!$B$5+INT((ROW()-9)/24)</f>
        <v>46427</v>
      </c>
      <c r="B11090" s="11" t="n">
        <f aca="false">MOD(ROW()-9,24)</f>
        <v>17</v>
      </c>
      <c r="C11090" s="12"/>
      <c r="D11090" s="13" t="n">
        <f aca="false">IF(B11090&lt;5,Einstellungen!$B$3,Einstellungen!$B$4)</f>
        <v>29.13</v>
      </c>
      <c r="E11090" s="14" t="str">
        <f aca="false">IF(C11090="","",C11090*D11090/100)</f>
        <v/>
      </c>
      <c r="F11090" s="15" t="str">
        <f aca="false">IF(B11090&lt;5,"Go","Standard")</f>
        <v>Standard</v>
      </c>
    </row>
    <row r="11091" customFormat="false" ht="15" hidden="false" customHeight="true" outlineLevel="0" collapsed="false">
      <c r="A11091" s="10" t="n">
        <f aca="false">Einstellungen!$B$5+INT((ROW()-9)/24)</f>
        <v>46427</v>
      </c>
      <c r="B11091" s="11" t="n">
        <f aca="false">MOD(ROW()-9,24)</f>
        <v>18</v>
      </c>
      <c r="C11091" s="12"/>
      <c r="D11091" s="13" t="n">
        <f aca="false">IF(B11091&lt;5,Einstellungen!$B$3,Einstellungen!$B$4)</f>
        <v>29.13</v>
      </c>
      <c r="E11091" s="14" t="str">
        <f aca="false">IF(C11091="","",C11091*D11091/100)</f>
        <v/>
      </c>
      <c r="F11091" s="15" t="str">
        <f aca="false">IF(B11091&lt;5,"Go","Standard")</f>
        <v>Standard</v>
      </c>
    </row>
    <row r="11092" customFormat="false" ht="15" hidden="false" customHeight="true" outlineLevel="0" collapsed="false">
      <c r="A11092" s="10" t="n">
        <f aca="false">Einstellungen!$B$5+INT((ROW()-9)/24)</f>
        <v>46427</v>
      </c>
      <c r="B11092" s="11" t="n">
        <f aca="false">MOD(ROW()-9,24)</f>
        <v>19</v>
      </c>
      <c r="C11092" s="12"/>
      <c r="D11092" s="13" t="n">
        <f aca="false">IF(B11092&lt;5,Einstellungen!$B$3,Einstellungen!$B$4)</f>
        <v>29.13</v>
      </c>
      <c r="E11092" s="14" t="str">
        <f aca="false">IF(C11092="","",C11092*D11092/100)</f>
        <v/>
      </c>
      <c r="F11092" s="15" t="str">
        <f aca="false">IF(B11092&lt;5,"Go","Standard")</f>
        <v>Standard</v>
      </c>
    </row>
    <row r="11093" customFormat="false" ht="15" hidden="false" customHeight="true" outlineLevel="0" collapsed="false">
      <c r="A11093" s="10" t="n">
        <f aca="false">Einstellungen!$B$5+INT((ROW()-9)/24)</f>
        <v>46427</v>
      </c>
      <c r="B11093" s="11" t="n">
        <f aca="false">MOD(ROW()-9,24)</f>
        <v>20</v>
      </c>
      <c r="C11093" s="12"/>
      <c r="D11093" s="13" t="n">
        <f aca="false">IF(B11093&lt;5,Einstellungen!$B$3,Einstellungen!$B$4)</f>
        <v>29.13</v>
      </c>
      <c r="E11093" s="14" t="str">
        <f aca="false">IF(C11093="","",C11093*D11093/100)</f>
        <v/>
      </c>
      <c r="F11093" s="15" t="str">
        <f aca="false">IF(B11093&lt;5,"Go","Standard")</f>
        <v>Standard</v>
      </c>
    </row>
    <row r="11094" customFormat="false" ht="15" hidden="false" customHeight="true" outlineLevel="0" collapsed="false">
      <c r="A11094" s="10" t="n">
        <f aca="false">Einstellungen!$B$5+INT((ROW()-9)/24)</f>
        <v>46427</v>
      </c>
      <c r="B11094" s="11" t="n">
        <f aca="false">MOD(ROW()-9,24)</f>
        <v>21</v>
      </c>
      <c r="C11094" s="12"/>
      <c r="D11094" s="13" t="n">
        <f aca="false">IF(B11094&lt;5,Einstellungen!$B$3,Einstellungen!$B$4)</f>
        <v>29.13</v>
      </c>
      <c r="E11094" s="14" t="str">
        <f aca="false">IF(C11094="","",C11094*D11094/100)</f>
        <v/>
      </c>
      <c r="F11094" s="15" t="str">
        <f aca="false">IF(B11094&lt;5,"Go","Standard")</f>
        <v>Standard</v>
      </c>
    </row>
    <row r="11095" customFormat="false" ht="15" hidden="false" customHeight="true" outlineLevel="0" collapsed="false">
      <c r="A11095" s="10" t="n">
        <f aca="false">Einstellungen!$B$5+INT((ROW()-9)/24)</f>
        <v>46427</v>
      </c>
      <c r="B11095" s="11" t="n">
        <f aca="false">MOD(ROW()-9,24)</f>
        <v>22</v>
      </c>
      <c r="C11095" s="12"/>
      <c r="D11095" s="13" t="n">
        <f aca="false">IF(B11095&lt;5,Einstellungen!$B$3,Einstellungen!$B$4)</f>
        <v>29.13</v>
      </c>
      <c r="E11095" s="14" t="str">
        <f aca="false">IF(C11095="","",C11095*D11095/100)</f>
        <v/>
      </c>
      <c r="F11095" s="15" t="str">
        <f aca="false">IF(B11095&lt;5,"Go","Standard")</f>
        <v>Standard</v>
      </c>
    </row>
    <row r="11096" customFormat="false" ht="15" hidden="false" customHeight="true" outlineLevel="0" collapsed="false">
      <c r="A11096" s="10" t="n">
        <f aca="false">Einstellungen!$B$5+INT((ROW()-9)/24)</f>
        <v>46427</v>
      </c>
      <c r="B11096" s="11" t="n">
        <f aca="false">MOD(ROW()-9,24)</f>
        <v>23</v>
      </c>
      <c r="C11096" s="12"/>
      <c r="D11096" s="13" t="n">
        <f aca="false">IF(B11096&lt;5,Einstellungen!$B$3,Einstellungen!$B$4)</f>
        <v>29.13</v>
      </c>
      <c r="E11096" s="14" t="str">
        <f aca="false">IF(C11096="","",C11096*D11096/100)</f>
        <v/>
      </c>
      <c r="F11096" s="15" t="str">
        <f aca="false">IF(B11096&lt;5,"Go","Standard")</f>
        <v>Standard</v>
      </c>
    </row>
    <row r="11097" customFormat="false" ht="15" hidden="false" customHeight="true" outlineLevel="0" collapsed="false">
      <c r="A11097" s="10" t="n">
        <f aca="false">Einstellungen!$B$5+INT((ROW()-9)/24)</f>
        <v>46428</v>
      </c>
      <c r="B11097" s="11" t="n">
        <f aca="false">MOD(ROW()-9,24)</f>
        <v>0</v>
      </c>
      <c r="C11097" s="12"/>
      <c r="D11097" s="13" t="n">
        <f aca="false">IF(B11097&lt;5,Einstellungen!$B$3,Einstellungen!$B$4)</f>
        <v>15.92</v>
      </c>
      <c r="E11097" s="14" t="str">
        <f aca="false">IF(C11097="","",C11097*D11097/100)</f>
        <v/>
      </c>
      <c r="F11097" s="15" t="str">
        <f aca="false">IF(B11097&lt;5,"Go","Standard")</f>
        <v>Go</v>
      </c>
    </row>
    <row r="11098" customFormat="false" ht="15" hidden="false" customHeight="true" outlineLevel="0" collapsed="false">
      <c r="A11098" s="10" t="n">
        <f aca="false">Einstellungen!$B$5+INT((ROW()-9)/24)</f>
        <v>46428</v>
      </c>
      <c r="B11098" s="11" t="n">
        <f aca="false">MOD(ROW()-9,24)</f>
        <v>1</v>
      </c>
      <c r="C11098" s="12"/>
      <c r="D11098" s="13" t="n">
        <f aca="false">IF(B11098&lt;5,Einstellungen!$B$3,Einstellungen!$B$4)</f>
        <v>15.92</v>
      </c>
      <c r="E11098" s="14" t="str">
        <f aca="false">IF(C11098="","",C11098*D11098/100)</f>
        <v/>
      </c>
      <c r="F11098" s="15" t="str">
        <f aca="false">IF(B11098&lt;5,"Go","Standard")</f>
        <v>Go</v>
      </c>
    </row>
    <row r="11099" customFormat="false" ht="15" hidden="false" customHeight="true" outlineLevel="0" collapsed="false">
      <c r="A11099" s="10" t="n">
        <f aca="false">Einstellungen!$B$5+INT((ROW()-9)/24)</f>
        <v>46428</v>
      </c>
      <c r="B11099" s="11" t="n">
        <f aca="false">MOD(ROW()-9,24)</f>
        <v>2</v>
      </c>
      <c r="C11099" s="12"/>
      <c r="D11099" s="13" t="n">
        <f aca="false">IF(B11099&lt;5,Einstellungen!$B$3,Einstellungen!$B$4)</f>
        <v>15.92</v>
      </c>
      <c r="E11099" s="14" t="str">
        <f aca="false">IF(C11099="","",C11099*D11099/100)</f>
        <v/>
      </c>
      <c r="F11099" s="15" t="str">
        <f aca="false">IF(B11099&lt;5,"Go","Standard")</f>
        <v>Go</v>
      </c>
    </row>
    <row r="11100" customFormat="false" ht="15" hidden="false" customHeight="true" outlineLevel="0" collapsed="false">
      <c r="A11100" s="10" t="n">
        <f aca="false">Einstellungen!$B$5+INT((ROW()-9)/24)</f>
        <v>46428</v>
      </c>
      <c r="B11100" s="11" t="n">
        <f aca="false">MOD(ROW()-9,24)</f>
        <v>3</v>
      </c>
      <c r="C11100" s="12"/>
      <c r="D11100" s="13" t="n">
        <f aca="false">IF(B11100&lt;5,Einstellungen!$B$3,Einstellungen!$B$4)</f>
        <v>15.92</v>
      </c>
      <c r="E11100" s="14" t="str">
        <f aca="false">IF(C11100="","",C11100*D11100/100)</f>
        <v/>
      </c>
      <c r="F11100" s="15" t="str">
        <f aca="false">IF(B11100&lt;5,"Go","Standard")</f>
        <v>Go</v>
      </c>
    </row>
    <row r="11101" customFormat="false" ht="15" hidden="false" customHeight="true" outlineLevel="0" collapsed="false">
      <c r="A11101" s="10" t="n">
        <f aca="false">Einstellungen!$B$5+INT((ROW()-9)/24)</f>
        <v>46428</v>
      </c>
      <c r="B11101" s="11" t="n">
        <f aca="false">MOD(ROW()-9,24)</f>
        <v>4</v>
      </c>
      <c r="C11101" s="12"/>
      <c r="D11101" s="13" t="n">
        <f aca="false">IF(B11101&lt;5,Einstellungen!$B$3,Einstellungen!$B$4)</f>
        <v>15.92</v>
      </c>
      <c r="E11101" s="14" t="str">
        <f aca="false">IF(C11101="","",C11101*D11101/100)</f>
        <v/>
      </c>
      <c r="F11101" s="15" t="str">
        <f aca="false">IF(B11101&lt;5,"Go","Standard")</f>
        <v>Go</v>
      </c>
    </row>
    <row r="11102" customFormat="false" ht="15" hidden="false" customHeight="true" outlineLevel="0" collapsed="false">
      <c r="A11102" s="10" t="n">
        <f aca="false">Einstellungen!$B$5+INT((ROW()-9)/24)</f>
        <v>46428</v>
      </c>
      <c r="B11102" s="11" t="n">
        <f aca="false">MOD(ROW()-9,24)</f>
        <v>5</v>
      </c>
      <c r="C11102" s="12"/>
      <c r="D11102" s="13" t="n">
        <f aca="false">IF(B11102&lt;5,Einstellungen!$B$3,Einstellungen!$B$4)</f>
        <v>29.13</v>
      </c>
      <c r="E11102" s="14" t="str">
        <f aca="false">IF(C11102="","",C11102*D11102/100)</f>
        <v/>
      </c>
      <c r="F11102" s="15" t="str">
        <f aca="false">IF(B11102&lt;5,"Go","Standard")</f>
        <v>Standard</v>
      </c>
    </row>
    <row r="11103" customFormat="false" ht="15" hidden="false" customHeight="true" outlineLevel="0" collapsed="false">
      <c r="A11103" s="10" t="n">
        <f aca="false">Einstellungen!$B$5+INT((ROW()-9)/24)</f>
        <v>46428</v>
      </c>
      <c r="B11103" s="11" t="n">
        <f aca="false">MOD(ROW()-9,24)</f>
        <v>6</v>
      </c>
      <c r="C11103" s="12"/>
      <c r="D11103" s="13" t="n">
        <f aca="false">IF(B11103&lt;5,Einstellungen!$B$3,Einstellungen!$B$4)</f>
        <v>29.13</v>
      </c>
      <c r="E11103" s="14" t="str">
        <f aca="false">IF(C11103="","",C11103*D11103/100)</f>
        <v/>
      </c>
      <c r="F11103" s="15" t="str">
        <f aca="false">IF(B11103&lt;5,"Go","Standard")</f>
        <v>Standard</v>
      </c>
    </row>
    <row r="11104" customFormat="false" ht="15" hidden="false" customHeight="true" outlineLevel="0" collapsed="false">
      <c r="A11104" s="10" t="n">
        <f aca="false">Einstellungen!$B$5+INT((ROW()-9)/24)</f>
        <v>46428</v>
      </c>
      <c r="B11104" s="11" t="n">
        <f aca="false">MOD(ROW()-9,24)</f>
        <v>7</v>
      </c>
      <c r="C11104" s="12"/>
      <c r="D11104" s="13" t="n">
        <f aca="false">IF(B11104&lt;5,Einstellungen!$B$3,Einstellungen!$B$4)</f>
        <v>29.13</v>
      </c>
      <c r="E11104" s="14" t="str">
        <f aca="false">IF(C11104="","",C11104*D11104/100)</f>
        <v/>
      </c>
      <c r="F11104" s="15" t="str">
        <f aca="false">IF(B11104&lt;5,"Go","Standard")</f>
        <v>Standard</v>
      </c>
    </row>
    <row r="11105" customFormat="false" ht="15" hidden="false" customHeight="true" outlineLevel="0" collapsed="false">
      <c r="A11105" s="10" t="n">
        <f aca="false">Einstellungen!$B$5+INT((ROW()-9)/24)</f>
        <v>46428</v>
      </c>
      <c r="B11105" s="11" t="n">
        <f aca="false">MOD(ROW()-9,24)</f>
        <v>8</v>
      </c>
      <c r="C11105" s="12"/>
      <c r="D11105" s="13" t="n">
        <f aca="false">IF(B11105&lt;5,Einstellungen!$B$3,Einstellungen!$B$4)</f>
        <v>29.13</v>
      </c>
      <c r="E11105" s="14" t="str">
        <f aca="false">IF(C11105="","",C11105*D11105/100)</f>
        <v/>
      </c>
      <c r="F11105" s="15" t="str">
        <f aca="false">IF(B11105&lt;5,"Go","Standard")</f>
        <v>Standard</v>
      </c>
    </row>
    <row r="11106" customFormat="false" ht="15" hidden="false" customHeight="true" outlineLevel="0" collapsed="false">
      <c r="A11106" s="10" t="n">
        <f aca="false">Einstellungen!$B$5+INT((ROW()-9)/24)</f>
        <v>46428</v>
      </c>
      <c r="B11106" s="11" t="n">
        <f aca="false">MOD(ROW()-9,24)</f>
        <v>9</v>
      </c>
      <c r="C11106" s="12"/>
      <c r="D11106" s="13" t="n">
        <f aca="false">IF(B11106&lt;5,Einstellungen!$B$3,Einstellungen!$B$4)</f>
        <v>29.13</v>
      </c>
      <c r="E11106" s="14" t="str">
        <f aca="false">IF(C11106="","",C11106*D11106/100)</f>
        <v/>
      </c>
      <c r="F11106" s="15" t="str">
        <f aca="false">IF(B11106&lt;5,"Go","Standard")</f>
        <v>Standard</v>
      </c>
    </row>
    <row r="11107" customFormat="false" ht="15" hidden="false" customHeight="true" outlineLevel="0" collapsed="false">
      <c r="A11107" s="10" t="n">
        <f aca="false">Einstellungen!$B$5+INT((ROW()-9)/24)</f>
        <v>46428</v>
      </c>
      <c r="B11107" s="11" t="n">
        <f aca="false">MOD(ROW()-9,24)</f>
        <v>10</v>
      </c>
      <c r="C11107" s="12"/>
      <c r="D11107" s="13" t="n">
        <f aca="false">IF(B11107&lt;5,Einstellungen!$B$3,Einstellungen!$B$4)</f>
        <v>29.13</v>
      </c>
      <c r="E11107" s="14" t="str">
        <f aca="false">IF(C11107="","",C11107*D11107/100)</f>
        <v/>
      </c>
      <c r="F11107" s="15" t="str">
        <f aca="false">IF(B11107&lt;5,"Go","Standard")</f>
        <v>Standard</v>
      </c>
    </row>
    <row r="11108" customFormat="false" ht="15" hidden="false" customHeight="true" outlineLevel="0" collapsed="false">
      <c r="A11108" s="10" t="n">
        <f aca="false">Einstellungen!$B$5+INT((ROW()-9)/24)</f>
        <v>46428</v>
      </c>
      <c r="B11108" s="11" t="n">
        <f aca="false">MOD(ROW()-9,24)</f>
        <v>11</v>
      </c>
      <c r="C11108" s="12"/>
      <c r="D11108" s="13" t="n">
        <f aca="false">IF(B11108&lt;5,Einstellungen!$B$3,Einstellungen!$B$4)</f>
        <v>29.13</v>
      </c>
      <c r="E11108" s="14" t="str">
        <f aca="false">IF(C11108="","",C11108*D11108/100)</f>
        <v/>
      </c>
      <c r="F11108" s="15" t="str">
        <f aca="false">IF(B11108&lt;5,"Go","Standard")</f>
        <v>Standard</v>
      </c>
    </row>
    <row r="11109" customFormat="false" ht="15" hidden="false" customHeight="true" outlineLevel="0" collapsed="false">
      <c r="A11109" s="10" t="n">
        <f aca="false">Einstellungen!$B$5+INT((ROW()-9)/24)</f>
        <v>46428</v>
      </c>
      <c r="B11109" s="11" t="n">
        <f aca="false">MOD(ROW()-9,24)</f>
        <v>12</v>
      </c>
      <c r="C11109" s="12"/>
      <c r="D11109" s="13" t="n">
        <f aca="false">IF(B11109&lt;5,Einstellungen!$B$3,Einstellungen!$B$4)</f>
        <v>29.13</v>
      </c>
      <c r="E11109" s="14" t="str">
        <f aca="false">IF(C11109="","",C11109*D11109/100)</f>
        <v/>
      </c>
      <c r="F11109" s="15" t="str">
        <f aca="false">IF(B11109&lt;5,"Go","Standard")</f>
        <v>Standard</v>
      </c>
    </row>
    <row r="11110" customFormat="false" ht="15" hidden="false" customHeight="true" outlineLevel="0" collapsed="false">
      <c r="A11110" s="10" t="n">
        <f aca="false">Einstellungen!$B$5+INT((ROW()-9)/24)</f>
        <v>46428</v>
      </c>
      <c r="B11110" s="11" t="n">
        <f aca="false">MOD(ROW()-9,24)</f>
        <v>13</v>
      </c>
      <c r="C11110" s="12"/>
      <c r="D11110" s="13" t="n">
        <f aca="false">IF(B11110&lt;5,Einstellungen!$B$3,Einstellungen!$B$4)</f>
        <v>29.13</v>
      </c>
      <c r="E11110" s="14" t="str">
        <f aca="false">IF(C11110="","",C11110*D11110/100)</f>
        <v/>
      </c>
      <c r="F11110" s="15" t="str">
        <f aca="false">IF(B11110&lt;5,"Go","Standard")</f>
        <v>Standard</v>
      </c>
    </row>
    <row r="11111" customFormat="false" ht="15" hidden="false" customHeight="true" outlineLevel="0" collapsed="false">
      <c r="A11111" s="10" t="n">
        <f aca="false">Einstellungen!$B$5+INT((ROW()-9)/24)</f>
        <v>46428</v>
      </c>
      <c r="B11111" s="11" t="n">
        <f aca="false">MOD(ROW()-9,24)</f>
        <v>14</v>
      </c>
      <c r="C11111" s="12"/>
      <c r="D11111" s="13" t="n">
        <f aca="false">IF(B11111&lt;5,Einstellungen!$B$3,Einstellungen!$B$4)</f>
        <v>29.13</v>
      </c>
      <c r="E11111" s="14" t="str">
        <f aca="false">IF(C11111="","",C11111*D11111/100)</f>
        <v/>
      </c>
      <c r="F11111" s="15" t="str">
        <f aca="false">IF(B11111&lt;5,"Go","Standard")</f>
        <v>Standard</v>
      </c>
    </row>
    <row r="11112" customFormat="false" ht="15" hidden="false" customHeight="true" outlineLevel="0" collapsed="false">
      <c r="A11112" s="10" t="n">
        <f aca="false">Einstellungen!$B$5+INT((ROW()-9)/24)</f>
        <v>46428</v>
      </c>
      <c r="B11112" s="11" t="n">
        <f aca="false">MOD(ROW()-9,24)</f>
        <v>15</v>
      </c>
      <c r="C11112" s="12"/>
      <c r="D11112" s="13" t="n">
        <f aca="false">IF(B11112&lt;5,Einstellungen!$B$3,Einstellungen!$B$4)</f>
        <v>29.13</v>
      </c>
      <c r="E11112" s="14" t="str">
        <f aca="false">IF(C11112="","",C11112*D11112/100)</f>
        <v/>
      </c>
      <c r="F11112" s="15" t="str">
        <f aca="false">IF(B11112&lt;5,"Go","Standard")</f>
        <v>Standard</v>
      </c>
    </row>
    <row r="11113" customFormat="false" ht="15" hidden="false" customHeight="true" outlineLevel="0" collapsed="false">
      <c r="A11113" s="10" t="n">
        <f aca="false">Einstellungen!$B$5+INT((ROW()-9)/24)</f>
        <v>46428</v>
      </c>
      <c r="B11113" s="11" t="n">
        <f aca="false">MOD(ROW()-9,24)</f>
        <v>16</v>
      </c>
      <c r="C11113" s="12"/>
      <c r="D11113" s="13" t="n">
        <f aca="false">IF(B11113&lt;5,Einstellungen!$B$3,Einstellungen!$B$4)</f>
        <v>29.13</v>
      </c>
      <c r="E11113" s="14" t="str">
        <f aca="false">IF(C11113="","",C11113*D11113/100)</f>
        <v/>
      </c>
      <c r="F11113" s="15" t="str">
        <f aca="false">IF(B11113&lt;5,"Go","Standard")</f>
        <v>Standard</v>
      </c>
    </row>
    <row r="11114" customFormat="false" ht="15" hidden="false" customHeight="true" outlineLevel="0" collapsed="false">
      <c r="A11114" s="10" t="n">
        <f aca="false">Einstellungen!$B$5+INT((ROW()-9)/24)</f>
        <v>46428</v>
      </c>
      <c r="B11114" s="11" t="n">
        <f aca="false">MOD(ROW()-9,24)</f>
        <v>17</v>
      </c>
      <c r="C11114" s="12"/>
      <c r="D11114" s="13" t="n">
        <f aca="false">IF(B11114&lt;5,Einstellungen!$B$3,Einstellungen!$B$4)</f>
        <v>29.13</v>
      </c>
      <c r="E11114" s="14" t="str">
        <f aca="false">IF(C11114="","",C11114*D11114/100)</f>
        <v/>
      </c>
      <c r="F11114" s="15" t="str">
        <f aca="false">IF(B11114&lt;5,"Go","Standard")</f>
        <v>Standard</v>
      </c>
    </row>
    <row r="11115" customFormat="false" ht="15" hidden="false" customHeight="true" outlineLevel="0" collapsed="false">
      <c r="A11115" s="10" t="n">
        <f aca="false">Einstellungen!$B$5+INT((ROW()-9)/24)</f>
        <v>46428</v>
      </c>
      <c r="B11115" s="11" t="n">
        <f aca="false">MOD(ROW()-9,24)</f>
        <v>18</v>
      </c>
      <c r="C11115" s="12"/>
      <c r="D11115" s="13" t="n">
        <f aca="false">IF(B11115&lt;5,Einstellungen!$B$3,Einstellungen!$B$4)</f>
        <v>29.13</v>
      </c>
      <c r="E11115" s="14" t="str">
        <f aca="false">IF(C11115="","",C11115*D11115/100)</f>
        <v/>
      </c>
      <c r="F11115" s="15" t="str">
        <f aca="false">IF(B11115&lt;5,"Go","Standard")</f>
        <v>Standard</v>
      </c>
    </row>
    <row r="11116" customFormat="false" ht="15" hidden="false" customHeight="true" outlineLevel="0" collapsed="false">
      <c r="A11116" s="10" t="n">
        <f aca="false">Einstellungen!$B$5+INT((ROW()-9)/24)</f>
        <v>46428</v>
      </c>
      <c r="B11116" s="11" t="n">
        <f aca="false">MOD(ROW()-9,24)</f>
        <v>19</v>
      </c>
      <c r="C11116" s="12"/>
      <c r="D11116" s="13" t="n">
        <f aca="false">IF(B11116&lt;5,Einstellungen!$B$3,Einstellungen!$B$4)</f>
        <v>29.13</v>
      </c>
      <c r="E11116" s="14" t="str">
        <f aca="false">IF(C11116="","",C11116*D11116/100)</f>
        <v/>
      </c>
      <c r="F11116" s="15" t="str">
        <f aca="false">IF(B11116&lt;5,"Go","Standard")</f>
        <v>Standard</v>
      </c>
    </row>
    <row r="11117" customFormat="false" ht="15" hidden="false" customHeight="true" outlineLevel="0" collapsed="false">
      <c r="A11117" s="10" t="n">
        <f aca="false">Einstellungen!$B$5+INT((ROW()-9)/24)</f>
        <v>46428</v>
      </c>
      <c r="B11117" s="11" t="n">
        <f aca="false">MOD(ROW()-9,24)</f>
        <v>20</v>
      </c>
      <c r="C11117" s="12"/>
      <c r="D11117" s="13" t="n">
        <f aca="false">IF(B11117&lt;5,Einstellungen!$B$3,Einstellungen!$B$4)</f>
        <v>29.13</v>
      </c>
      <c r="E11117" s="14" t="str">
        <f aca="false">IF(C11117="","",C11117*D11117/100)</f>
        <v/>
      </c>
      <c r="F11117" s="15" t="str">
        <f aca="false">IF(B11117&lt;5,"Go","Standard")</f>
        <v>Standard</v>
      </c>
    </row>
    <row r="11118" customFormat="false" ht="15" hidden="false" customHeight="true" outlineLevel="0" collapsed="false">
      <c r="A11118" s="10" t="n">
        <f aca="false">Einstellungen!$B$5+INT((ROW()-9)/24)</f>
        <v>46428</v>
      </c>
      <c r="B11118" s="11" t="n">
        <f aca="false">MOD(ROW()-9,24)</f>
        <v>21</v>
      </c>
      <c r="C11118" s="12"/>
      <c r="D11118" s="13" t="n">
        <f aca="false">IF(B11118&lt;5,Einstellungen!$B$3,Einstellungen!$B$4)</f>
        <v>29.13</v>
      </c>
      <c r="E11118" s="14" t="str">
        <f aca="false">IF(C11118="","",C11118*D11118/100)</f>
        <v/>
      </c>
      <c r="F11118" s="15" t="str">
        <f aca="false">IF(B11118&lt;5,"Go","Standard")</f>
        <v>Standard</v>
      </c>
    </row>
    <row r="11119" customFormat="false" ht="15" hidden="false" customHeight="true" outlineLevel="0" collapsed="false">
      <c r="A11119" s="10" t="n">
        <f aca="false">Einstellungen!$B$5+INT((ROW()-9)/24)</f>
        <v>46428</v>
      </c>
      <c r="B11119" s="11" t="n">
        <f aca="false">MOD(ROW()-9,24)</f>
        <v>22</v>
      </c>
      <c r="C11119" s="12"/>
      <c r="D11119" s="13" t="n">
        <f aca="false">IF(B11119&lt;5,Einstellungen!$B$3,Einstellungen!$B$4)</f>
        <v>29.13</v>
      </c>
      <c r="E11119" s="14" t="str">
        <f aca="false">IF(C11119="","",C11119*D11119/100)</f>
        <v/>
      </c>
      <c r="F11119" s="15" t="str">
        <f aca="false">IF(B11119&lt;5,"Go","Standard")</f>
        <v>Standard</v>
      </c>
    </row>
    <row r="11120" customFormat="false" ht="15" hidden="false" customHeight="true" outlineLevel="0" collapsed="false">
      <c r="A11120" s="10" t="n">
        <f aca="false">Einstellungen!$B$5+INT((ROW()-9)/24)</f>
        <v>46428</v>
      </c>
      <c r="B11120" s="11" t="n">
        <f aca="false">MOD(ROW()-9,24)</f>
        <v>23</v>
      </c>
      <c r="C11120" s="12"/>
      <c r="D11120" s="13" t="n">
        <f aca="false">IF(B11120&lt;5,Einstellungen!$B$3,Einstellungen!$B$4)</f>
        <v>29.13</v>
      </c>
      <c r="E11120" s="14" t="str">
        <f aca="false">IF(C11120="","",C11120*D11120/100)</f>
        <v/>
      </c>
      <c r="F11120" s="15" t="str">
        <f aca="false">IF(B11120&lt;5,"Go","Standard")</f>
        <v>Standard</v>
      </c>
    </row>
    <row r="11121" customFormat="false" ht="15" hidden="false" customHeight="true" outlineLevel="0" collapsed="false">
      <c r="A11121" s="10" t="n">
        <f aca="false">Einstellungen!$B$5+INT((ROW()-9)/24)</f>
        <v>46429</v>
      </c>
      <c r="B11121" s="11" t="n">
        <f aca="false">MOD(ROW()-9,24)</f>
        <v>0</v>
      </c>
      <c r="C11121" s="12"/>
      <c r="D11121" s="13" t="n">
        <f aca="false">IF(B11121&lt;5,Einstellungen!$B$3,Einstellungen!$B$4)</f>
        <v>15.92</v>
      </c>
      <c r="E11121" s="14" t="str">
        <f aca="false">IF(C11121="","",C11121*D11121/100)</f>
        <v/>
      </c>
      <c r="F11121" s="15" t="str">
        <f aca="false">IF(B11121&lt;5,"Go","Standard")</f>
        <v>Go</v>
      </c>
    </row>
    <row r="11122" customFormat="false" ht="15" hidden="false" customHeight="true" outlineLevel="0" collapsed="false">
      <c r="A11122" s="10" t="n">
        <f aca="false">Einstellungen!$B$5+INT((ROW()-9)/24)</f>
        <v>46429</v>
      </c>
      <c r="B11122" s="11" t="n">
        <f aca="false">MOD(ROW()-9,24)</f>
        <v>1</v>
      </c>
      <c r="C11122" s="12"/>
      <c r="D11122" s="13" t="n">
        <f aca="false">IF(B11122&lt;5,Einstellungen!$B$3,Einstellungen!$B$4)</f>
        <v>15.92</v>
      </c>
      <c r="E11122" s="14" t="str">
        <f aca="false">IF(C11122="","",C11122*D11122/100)</f>
        <v/>
      </c>
      <c r="F11122" s="15" t="str">
        <f aca="false">IF(B11122&lt;5,"Go","Standard")</f>
        <v>Go</v>
      </c>
    </row>
    <row r="11123" customFormat="false" ht="15" hidden="false" customHeight="true" outlineLevel="0" collapsed="false">
      <c r="A11123" s="10" t="n">
        <f aca="false">Einstellungen!$B$5+INT((ROW()-9)/24)</f>
        <v>46429</v>
      </c>
      <c r="B11123" s="11" t="n">
        <f aca="false">MOD(ROW()-9,24)</f>
        <v>2</v>
      </c>
      <c r="C11123" s="12"/>
      <c r="D11123" s="13" t="n">
        <f aca="false">IF(B11123&lt;5,Einstellungen!$B$3,Einstellungen!$B$4)</f>
        <v>15.92</v>
      </c>
      <c r="E11123" s="14" t="str">
        <f aca="false">IF(C11123="","",C11123*D11123/100)</f>
        <v/>
      </c>
      <c r="F11123" s="15" t="str">
        <f aca="false">IF(B11123&lt;5,"Go","Standard")</f>
        <v>Go</v>
      </c>
    </row>
    <row r="11124" customFormat="false" ht="15" hidden="false" customHeight="true" outlineLevel="0" collapsed="false">
      <c r="A11124" s="10" t="n">
        <f aca="false">Einstellungen!$B$5+INT((ROW()-9)/24)</f>
        <v>46429</v>
      </c>
      <c r="B11124" s="11" t="n">
        <f aca="false">MOD(ROW()-9,24)</f>
        <v>3</v>
      </c>
      <c r="C11124" s="12"/>
      <c r="D11124" s="13" t="n">
        <f aca="false">IF(B11124&lt;5,Einstellungen!$B$3,Einstellungen!$B$4)</f>
        <v>15.92</v>
      </c>
      <c r="E11124" s="14" t="str">
        <f aca="false">IF(C11124="","",C11124*D11124/100)</f>
        <v/>
      </c>
      <c r="F11124" s="15" t="str">
        <f aca="false">IF(B11124&lt;5,"Go","Standard")</f>
        <v>Go</v>
      </c>
    </row>
    <row r="11125" customFormat="false" ht="15" hidden="false" customHeight="true" outlineLevel="0" collapsed="false">
      <c r="A11125" s="10" t="n">
        <f aca="false">Einstellungen!$B$5+INT((ROW()-9)/24)</f>
        <v>46429</v>
      </c>
      <c r="B11125" s="11" t="n">
        <f aca="false">MOD(ROW()-9,24)</f>
        <v>4</v>
      </c>
      <c r="C11125" s="12"/>
      <c r="D11125" s="13" t="n">
        <f aca="false">IF(B11125&lt;5,Einstellungen!$B$3,Einstellungen!$B$4)</f>
        <v>15.92</v>
      </c>
      <c r="E11125" s="14" t="str">
        <f aca="false">IF(C11125="","",C11125*D11125/100)</f>
        <v/>
      </c>
      <c r="F11125" s="15" t="str">
        <f aca="false">IF(B11125&lt;5,"Go","Standard")</f>
        <v>Go</v>
      </c>
    </row>
    <row r="11126" customFormat="false" ht="15" hidden="false" customHeight="true" outlineLevel="0" collapsed="false">
      <c r="A11126" s="10" t="n">
        <f aca="false">Einstellungen!$B$5+INT((ROW()-9)/24)</f>
        <v>46429</v>
      </c>
      <c r="B11126" s="11" t="n">
        <f aca="false">MOD(ROW()-9,24)</f>
        <v>5</v>
      </c>
      <c r="C11126" s="12"/>
      <c r="D11126" s="13" t="n">
        <f aca="false">IF(B11126&lt;5,Einstellungen!$B$3,Einstellungen!$B$4)</f>
        <v>29.13</v>
      </c>
      <c r="E11126" s="14" t="str">
        <f aca="false">IF(C11126="","",C11126*D11126/100)</f>
        <v/>
      </c>
      <c r="F11126" s="15" t="str">
        <f aca="false">IF(B11126&lt;5,"Go","Standard")</f>
        <v>Standard</v>
      </c>
    </row>
    <row r="11127" customFormat="false" ht="15" hidden="false" customHeight="true" outlineLevel="0" collapsed="false">
      <c r="A11127" s="10" t="n">
        <f aca="false">Einstellungen!$B$5+INT((ROW()-9)/24)</f>
        <v>46429</v>
      </c>
      <c r="B11127" s="11" t="n">
        <f aca="false">MOD(ROW()-9,24)</f>
        <v>6</v>
      </c>
      <c r="C11127" s="12"/>
      <c r="D11127" s="13" t="n">
        <f aca="false">IF(B11127&lt;5,Einstellungen!$B$3,Einstellungen!$B$4)</f>
        <v>29.13</v>
      </c>
      <c r="E11127" s="14" t="str">
        <f aca="false">IF(C11127="","",C11127*D11127/100)</f>
        <v/>
      </c>
      <c r="F11127" s="15" t="str">
        <f aca="false">IF(B11127&lt;5,"Go","Standard")</f>
        <v>Standard</v>
      </c>
    </row>
    <row r="11128" customFormat="false" ht="15" hidden="false" customHeight="true" outlineLevel="0" collapsed="false">
      <c r="A11128" s="10" t="n">
        <f aca="false">Einstellungen!$B$5+INT((ROW()-9)/24)</f>
        <v>46429</v>
      </c>
      <c r="B11128" s="11" t="n">
        <f aca="false">MOD(ROW()-9,24)</f>
        <v>7</v>
      </c>
      <c r="C11128" s="12"/>
      <c r="D11128" s="13" t="n">
        <f aca="false">IF(B11128&lt;5,Einstellungen!$B$3,Einstellungen!$B$4)</f>
        <v>29.13</v>
      </c>
      <c r="E11128" s="14" t="str">
        <f aca="false">IF(C11128="","",C11128*D11128/100)</f>
        <v/>
      </c>
      <c r="F11128" s="15" t="str">
        <f aca="false">IF(B11128&lt;5,"Go","Standard")</f>
        <v>Standard</v>
      </c>
    </row>
    <row r="11129" customFormat="false" ht="15" hidden="false" customHeight="true" outlineLevel="0" collapsed="false">
      <c r="A11129" s="10" t="n">
        <f aca="false">Einstellungen!$B$5+INT((ROW()-9)/24)</f>
        <v>46429</v>
      </c>
      <c r="B11129" s="11" t="n">
        <f aca="false">MOD(ROW()-9,24)</f>
        <v>8</v>
      </c>
      <c r="C11129" s="12"/>
      <c r="D11129" s="13" t="n">
        <f aca="false">IF(B11129&lt;5,Einstellungen!$B$3,Einstellungen!$B$4)</f>
        <v>29.13</v>
      </c>
      <c r="E11129" s="14" t="str">
        <f aca="false">IF(C11129="","",C11129*D11129/100)</f>
        <v/>
      </c>
      <c r="F11129" s="15" t="str">
        <f aca="false">IF(B11129&lt;5,"Go","Standard")</f>
        <v>Standard</v>
      </c>
    </row>
    <row r="11130" customFormat="false" ht="15" hidden="false" customHeight="true" outlineLevel="0" collapsed="false">
      <c r="A11130" s="10" t="n">
        <f aca="false">Einstellungen!$B$5+INT((ROW()-9)/24)</f>
        <v>46429</v>
      </c>
      <c r="B11130" s="11" t="n">
        <f aca="false">MOD(ROW()-9,24)</f>
        <v>9</v>
      </c>
      <c r="C11130" s="12"/>
      <c r="D11130" s="13" t="n">
        <f aca="false">IF(B11130&lt;5,Einstellungen!$B$3,Einstellungen!$B$4)</f>
        <v>29.13</v>
      </c>
      <c r="E11130" s="14" t="str">
        <f aca="false">IF(C11130="","",C11130*D11130/100)</f>
        <v/>
      </c>
      <c r="F11130" s="15" t="str">
        <f aca="false">IF(B11130&lt;5,"Go","Standard")</f>
        <v>Standard</v>
      </c>
    </row>
    <row r="11131" customFormat="false" ht="15" hidden="false" customHeight="true" outlineLevel="0" collapsed="false">
      <c r="A11131" s="10" t="n">
        <f aca="false">Einstellungen!$B$5+INT((ROW()-9)/24)</f>
        <v>46429</v>
      </c>
      <c r="B11131" s="11" t="n">
        <f aca="false">MOD(ROW()-9,24)</f>
        <v>10</v>
      </c>
      <c r="C11131" s="12"/>
      <c r="D11131" s="13" t="n">
        <f aca="false">IF(B11131&lt;5,Einstellungen!$B$3,Einstellungen!$B$4)</f>
        <v>29.13</v>
      </c>
      <c r="E11131" s="14" t="str">
        <f aca="false">IF(C11131="","",C11131*D11131/100)</f>
        <v/>
      </c>
      <c r="F11131" s="15" t="str">
        <f aca="false">IF(B11131&lt;5,"Go","Standard")</f>
        <v>Standard</v>
      </c>
    </row>
    <row r="11132" customFormat="false" ht="15" hidden="false" customHeight="true" outlineLevel="0" collapsed="false">
      <c r="A11132" s="10" t="n">
        <f aca="false">Einstellungen!$B$5+INT((ROW()-9)/24)</f>
        <v>46429</v>
      </c>
      <c r="B11132" s="11" t="n">
        <f aca="false">MOD(ROW()-9,24)</f>
        <v>11</v>
      </c>
      <c r="C11132" s="12"/>
      <c r="D11132" s="13" t="n">
        <f aca="false">IF(B11132&lt;5,Einstellungen!$B$3,Einstellungen!$B$4)</f>
        <v>29.13</v>
      </c>
      <c r="E11132" s="14" t="str">
        <f aca="false">IF(C11132="","",C11132*D11132/100)</f>
        <v/>
      </c>
      <c r="F11132" s="15" t="str">
        <f aca="false">IF(B11132&lt;5,"Go","Standard")</f>
        <v>Standard</v>
      </c>
    </row>
    <row r="11133" customFormat="false" ht="15" hidden="false" customHeight="true" outlineLevel="0" collapsed="false">
      <c r="A11133" s="10" t="n">
        <f aca="false">Einstellungen!$B$5+INT((ROW()-9)/24)</f>
        <v>46429</v>
      </c>
      <c r="B11133" s="11" t="n">
        <f aca="false">MOD(ROW()-9,24)</f>
        <v>12</v>
      </c>
      <c r="C11133" s="12"/>
      <c r="D11133" s="13" t="n">
        <f aca="false">IF(B11133&lt;5,Einstellungen!$B$3,Einstellungen!$B$4)</f>
        <v>29.13</v>
      </c>
      <c r="E11133" s="14" t="str">
        <f aca="false">IF(C11133="","",C11133*D11133/100)</f>
        <v/>
      </c>
      <c r="F11133" s="15" t="str">
        <f aca="false">IF(B11133&lt;5,"Go","Standard")</f>
        <v>Standard</v>
      </c>
    </row>
    <row r="11134" customFormat="false" ht="15" hidden="false" customHeight="true" outlineLevel="0" collapsed="false">
      <c r="A11134" s="10" t="n">
        <f aca="false">Einstellungen!$B$5+INT((ROW()-9)/24)</f>
        <v>46429</v>
      </c>
      <c r="B11134" s="11" t="n">
        <f aca="false">MOD(ROW()-9,24)</f>
        <v>13</v>
      </c>
      <c r="C11134" s="12"/>
      <c r="D11134" s="13" t="n">
        <f aca="false">IF(B11134&lt;5,Einstellungen!$B$3,Einstellungen!$B$4)</f>
        <v>29.13</v>
      </c>
      <c r="E11134" s="14" t="str">
        <f aca="false">IF(C11134="","",C11134*D11134/100)</f>
        <v/>
      </c>
      <c r="F11134" s="15" t="str">
        <f aca="false">IF(B11134&lt;5,"Go","Standard")</f>
        <v>Standard</v>
      </c>
    </row>
    <row r="11135" customFormat="false" ht="15" hidden="false" customHeight="true" outlineLevel="0" collapsed="false">
      <c r="A11135" s="10" t="n">
        <f aca="false">Einstellungen!$B$5+INT((ROW()-9)/24)</f>
        <v>46429</v>
      </c>
      <c r="B11135" s="11" t="n">
        <f aca="false">MOD(ROW()-9,24)</f>
        <v>14</v>
      </c>
      <c r="C11135" s="12"/>
      <c r="D11135" s="13" t="n">
        <f aca="false">IF(B11135&lt;5,Einstellungen!$B$3,Einstellungen!$B$4)</f>
        <v>29.13</v>
      </c>
      <c r="E11135" s="14" t="str">
        <f aca="false">IF(C11135="","",C11135*D11135/100)</f>
        <v/>
      </c>
      <c r="F11135" s="15" t="str">
        <f aca="false">IF(B11135&lt;5,"Go","Standard")</f>
        <v>Standard</v>
      </c>
    </row>
    <row r="11136" customFormat="false" ht="15" hidden="false" customHeight="true" outlineLevel="0" collapsed="false">
      <c r="A11136" s="10" t="n">
        <f aca="false">Einstellungen!$B$5+INT((ROW()-9)/24)</f>
        <v>46429</v>
      </c>
      <c r="B11136" s="11" t="n">
        <f aca="false">MOD(ROW()-9,24)</f>
        <v>15</v>
      </c>
      <c r="C11136" s="12"/>
      <c r="D11136" s="13" t="n">
        <f aca="false">IF(B11136&lt;5,Einstellungen!$B$3,Einstellungen!$B$4)</f>
        <v>29.13</v>
      </c>
      <c r="E11136" s="14" t="str">
        <f aca="false">IF(C11136="","",C11136*D11136/100)</f>
        <v/>
      </c>
      <c r="F11136" s="15" t="str">
        <f aca="false">IF(B11136&lt;5,"Go","Standard")</f>
        <v>Standard</v>
      </c>
    </row>
    <row r="11137" customFormat="false" ht="15" hidden="false" customHeight="true" outlineLevel="0" collapsed="false">
      <c r="A11137" s="10" t="n">
        <f aca="false">Einstellungen!$B$5+INT((ROW()-9)/24)</f>
        <v>46429</v>
      </c>
      <c r="B11137" s="11" t="n">
        <f aca="false">MOD(ROW()-9,24)</f>
        <v>16</v>
      </c>
      <c r="C11137" s="12"/>
      <c r="D11137" s="13" t="n">
        <f aca="false">IF(B11137&lt;5,Einstellungen!$B$3,Einstellungen!$B$4)</f>
        <v>29.13</v>
      </c>
      <c r="E11137" s="14" t="str">
        <f aca="false">IF(C11137="","",C11137*D11137/100)</f>
        <v/>
      </c>
      <c r="F11137" s="15" t="str">
        <f aca="false">IF(B11137&lt;5,"Go","Standard")</f>
        <v>Standard</v>
      </c>
    </row>
    <row r="11138" customFormat="false" ht="15" hidden="false" customHeight="true" outlineLevel="0" collapsed="false">
      <c r="A11138" s="10" t="n">
        <f aca="false">Einstellungen!$B$5+INT((ROW()-9)/24)</f>
        <v>46429</v>
      </c>
      <c r="B11138" s="11" t="n">
        <f aca="false">MOD(ROW()-9,24)</f>
        <v>17</v>
      </c>
      <c r="C11138" s="12"/>
      <c r="D11138" s="13" t="n">
        <f aca="false">IF(B11138&lt;5,Einstellungen!$B$3,Einstellungen!$B$4)</f>
        <v>29.13</v>
      </c>
      <c r="E11138" s="14" t="str">
        <f aca="false">IF(C11138="","",C11138*D11138/100)</f>
        <v/>
      </c>
      <c r="F11138" s="15" t="str">
        <f aca="false">IF(B11138&lt;5,"Go","Standard")</f>
        <v>Standard</v>
      </c>
    </row>
    <row r="11139" customFormat="false" ht="15" hidden="false" customHeight="true" outlineLevel="0" collapsed="false">
      <c r="A11139" s="10" t="n">
        <f aca="false">Einstellungen!$B$5+INT((ROW()-9)/24)</f>
        <v>46429</v>
      </c>
      <c r="B11139" s="11" t="n">
        <f aca="false">MOD(ROW()-9,24)</f>
        <v>18</v>
      </c>
      <c r="C11139" s="12"/>
      <c r="D11139" s="13" t="n">
        <f aca="false">IF(B11139&lt;5,Einstellungen!$B$3,Einstellungen!$B$4)</f>
        <v>29.13</v>
      </c>
      <c r="E11139" s="14" t="str">
        <f aca="false">IF(C11139="","",C11139*D11139/100)</f>
        <v/>
      </c>
      <c r="F11139" s="15" t="str">
        <f aca="false">IF(B11139&lt;5,"Go","Standard")</f>
        <v>Standard</v>
      </c>
    </row>
    <row r="11140" customFormat="false" ht="15" hidden="false" customHeight="true" outlineLevel="0" collapsed="false">
      <c r="A11140" s="10" t="n">
        <f aca="false">Einstellungen!$B$5+INT((ROW()-9)/24)</f>
        <v>46429</v>
      </c>
      <c r="B11140" s="11" t="n">
        <f aca="false">MOD(ROW()-9,24)</f>
        <v>19</v>
      </c>
      <c r="C11140" s="12"/>
      <c r="D11140" s="13" t="n">
        <f aca="false">IF(B11140&lt;5,Einstellungen!$B$3,Einstellungen!$B$4)</f>
        <v>29.13</v>
      </c>
      <c r="E11140" s="14" t="str">
        <f aca="false">IF(C11140="","",C11140*D11140/100)</f>
        <v/>
      </c>
      <c r="F11140" s="15" t="str">
        <f aca="false">IF(B11140&lt;5,"Go","Standard")</f>
        <v>Standard</v>
      </c>
    </row>
    <row r="11141" customFormat="false" ht="15" hidden="false" customHeight="true" outlineLevel="0" collapsed="false">
      <c r="A11141" s="10" t="n">
        <f aca="false">Einstellungen!$B$5+INT((ROW()-9)/24)</f>
        <v>46429</v>
      </c>
      <c r="B11141" s="11" t="n">
        <f aca="false">MOD(ROW()-9,24)</f>
        <v>20</v>
      </c>
      <c r="C11141" s="12"/>
      <c r="D11141" s="13" t="n">
        <f aca="false">IF(B11141&lt;5,Einstellungen!$B$3,Einstellungen!$B$4)</f>
        <v>29.13</v>
      </c>
      <c r="E11141" s="14" t="str">
        <f aca="false">IF(C11141="","",C11141*D11141/100)</f>
        <v/>
      </c>
      <c r="F11141" s="15" t="str">
        <f aca="false">IF(B11141&lt;5,"Go","Standard")</f>
        <v>Standard</v>
      </c>
    </row>
    <row r="11142" customFormat="false" ht="15" hidden="false" customHeight="true" outlineLevel="0" collapsed="false">
      <c r="A11142" s="10" t="n">
        <f aca="false">Einstellungen!$B$5+INT((ROW()-9)/24)</f>
        <v>46429</v>
      </c>
      <c r="B11142" s="11" t="n">
        <f aca="false">MOD(ROW()-9,24)</f>
        <v>21</v>
      </c>
      <c r="C11142" s="12"/>
      <c r="D11142" s="13" t="n">
        <f aca="false">IF(B11142&lt;5,Einstellungen!$B$3,Einstellungen!$B$4)</f>
        <v>29.13</v>
      </c>
      <c r="E11142" s="14" t="str">
        <f aca="false">IF(C11142="","",C11142*D11142/100)</f>
        <v/>
      </c>
      <c r="F11142" s="15" t="str">
        <f aca="false">IF(B11142&lt;5,"Go","Standard")</f>
        <v>Standard</v>
      </c>
    </row>
    <row r="11143" customFormat="false" ht="15" hidden="false" customHeight="true" outlineLevel="0" collapsed="false">
      <c r="A11143" s="10" t="n">
        <f aca="false">Einstellungen!$B$5+INT((ROW()-9)/24)</f>
        <v>46429</v>
      </c>
      <c r="B11143" s="11" t="n">
        <f aca="false">MOD(ROW()-9,24)</f>
        <v>22</v>
      </c>
      <c r="C11143" s="12"/>
      <c r="D11143" s="13" t="n">
        <f aca="false">IF(B11143&lt;5,Einstellungen!$B$3,Einstellungen!$B$4)</f>
        <v>29.13</v>
      </c>
      <c r="E11143" s="14" t="str">
        <f aca="false">IF(C11143="","",C11143*D11143/100)</f>
        <v/>
      </c>
      <c r="F11143" s="15" t="str">
        <f aca="false">IF(B11143&lt;5,"Go","Standard")</f>
        <v>Standard</v>
      </c>
    </row>
    <row r="11144" customFormat="false" ht="15" hidden="false" customHeight="true" outlineLevel="0" collapsed="false">
      <c r="A11144" s="10" t="n">
        <f aca="false">Einstellungen!$B$5+INT((ROW()-9)/24)</f>
        <v>46429</v>
      </c>
      <c r="B11144" s="11" t="n">
        <f aca="false">MOD(ROW()-9,24)</f>
        <v>23</v>
      </c>
      <c r="C11144" s="12"/>
      <c r="D11144" s="13" t="n">
        <f aca="false">IF(B11144&lt;5,Einstellungen!$B$3,Einstellungen!$B$4)</f>
        <v>29.13</v>
      </c>
      <c r="E11144" s="14" t="str">
        <f aca="false">IF(C11144="","",C11144*D11144/100)</f>
        <v/>
      </c>
      <c r="F11144" s="15" t="str">
        <f aca="false">IF(B11144&lt;5,"Go","Standard")</f>
        <v>Standard</v>
      </c>
    </row>
    <row r="11145" customFormat="false" ht="15" hidden="false" customHeight="true" outlineLevel="0" collapsed="false">
      <c r="A11145" s="10" t="n">
        <f aca="false">Einstellungen!$B$5+INT((ROW()-9)/24)</f>
        <v>46430</v>
      </c>
      <c r="B11145" s="11" t="n">
        <f aca="false">MOD(ROW()-9,24)</f>
        <v>0</v>
      </c>
      <c r="C11145" s="12"/>
      <c r="D11145" s="13" t="n">
        <f aca="false">IF(B11145&lt;5,Einstellungen!$B$3,Einstellungen!$B$4)</f>
        <v>15.92</v>
      </c>
      <c r="E11145" s="14" t="str">
        <f aca="false">IF(C11145="","",C11145*D11145/100)</f>
        <v/>
      </c>
      <c r="F11145" s="15" t="str">
        <f aca="false">IF(B11145&lt;5,"Go","Standard")</f>
        <v>Go</v>
      </c>
    </row>
    <row r="11146" customFormat="false" ht="15" hidden="false" customHeight="true" outlineLevel="0" collapsed="false">
      <c r="A11146" s="10" t="n">
        <f aca="false">Einstellungen!$B$5+INT((ROW()-9)/24)</f>
        <v>46430</v>
      </c>
      <c r="B11146" s="11" t="n">
        <f aca="false">MOD(ROW()-9,24)</f>
        <v>1</v>
      </c>
      <c r="C11146" s="12"/>
      <c r="D11146" s="13" t="n">
        <f aca="false">IF(B11146&lt;5,Einstellungen!$B$3,Einstellungen!$B$4)</f>
        <v>15.92</v>
      </c>
      <c r="E11146" s="14" t="str">
        <f aca="false">IF(C11146="","",C11146*D11146/100)</f>
        <v/>
      </c>
      <c r="F11146" s="15" t="str">
        <f aca="false">IF(B11146&lt;5,"Go","Standard")</f>
        <v>Go</v>
      </c>
    </row>
    <row r="11147" customFormat="false" ht="15" hidden="false" customHeight="true" outlineLevel="0" collapsed="false">
      <c r="A11147" s="10" t="n">
        <f aca="false">Einstellungen!$B$5+INT((ROW()-9)/24)</f>
        <v>46430</v>
      </c>
      <c r="B11147" s="11" t="n">
        <f aca="false">MOD(ROW()-9,24)</f>
        <v>2</v>
      </c>
      <c r="C11147" s="12"/>
      <c r="D11147" s="13" t="n">
        <f aca="false">IF(B11147&lt;5,Einstellungen!$B$3,Einstellungen!$B$4)</f>
        <v>15.92</v>
      </c>
      <c r="E11147" s="14" t="str">
        <f aca="false">IF(C11147="","",C11147*D11147/100)</f>
        <v/>
      </c>
      <c r="F11147" s="15" t="str">
        <f aca="false">IF(B11147&lt;5,"Go","Standard")</f>
        <v>Go</v>
      </c>
    </row>
    <row r="11148" customFormat="false" ht="15" hidden="false" customHeight="true" outlineLevel="0" collapsed="false">
      <c r="A11148" s="10" t="n">
        <f aca="false">Einstellungen!$B$5+INT((ROW()-9)/24)</f>
        <v>46430</v>
      </c>
      <c r="B11148" s="11" t="n">
        <f aca="false">MOD(ROW()-9,24)</f>
        <v>3</v>
      </c>
      <c r="C11148" s="12"/>
      <c r="D11148" s="13" t="n">
        <f aca="false">IF(B11148&lt;5,Einstellungen!$B$3,Einstellungen!$B$4)</f>
        <v>15.92</v>
      </c>
      <c r="E11148" s="14" t="str">
        <f aca="false">IF(C11148="","",C11148*D11148/100)</f>
        <v/>
      </c>
      <c r="F11148" s="15" t="str">
        <f aca="false">IF(B11148&lt;5,"Go","Standard")</f>
        <v>Go</v>
      </c>
    </row>
    <row r="11149" customFormat="false" ht="15" hidden="false" customHeight="true" outlineLevel="0" collapsed="false">
      <c r="A11149" s="10" t="n">
        <f aca="false">Einstellungen!$B$5+INT((ROW()-9)/24)</f>
        <v>46430</v>
      </c>
      <c r="B11149" s="11" t="n">
        <f aca="false">MOD(ROW()-9,24)</f>
        <v>4</v>
      </c>
      <c r="C11149" s="12"/>
      <c r="D11149" s="13" t="n">
        <f aca="false">IF(B11149&lt;5,Einstellungen!$B$3,Einstellungen!$B$4)</f>
        <v>15.92</v>
      </c>
      <c r="E11149" s="14" t="str">
        <f aca="false">IF(C11149="","",C11149*D11149/100)</f>
        <v/>
      </c>
      <c r="F11149" s="15" t="str">
        <f aca="false">IF(B11149&lt;5,"Go","Standard")</f>
        <v>Go</v>
      </c>
    </row>
    <row r="11150" customFormat="false" ht="15" hidden="false" customHeight="true" outlineLevel="0" collapsed="false">
      <c r="A11150" s="10" t="n">
        <f aca="false">Einstellungen!$B$5+INT((ROW()-9)/24)</f>
        <v>46430</v>
      </c>
      <c r="B11150" s="11" t="n">
        <f aca="false">MOD(ROW()-9,24)</f>
        <v>5</v>
      </c>
      <c r="C11150" s="12"/>
      <c r="D11150" s="13" t="n">
        <f aca="false">IF(B11150&lt;5,Einstellungen!$B$3,Einstellungen!$B$4)</f>
        <v>29.13</v>
      </c>
      <c r="E11150" s="14" t="str">
        <f aca="false">IF(C11150="","",C11150*D11150/100)</f>
        <v/>
      </c>
      <c r="F11150" s="15" t="str">
        <f aca="false">IF(B11150&lt;5,"Go","Standard")</f>
        <v>Standard</v>
      </c>
    </row>
    <row r="11151" customFormat="false" ht="15" hidden="false" customHeight="true" outlineLevel="0" collapsed="false">
      <c r="A11151" s="10" t="n">
        <f aca="false">Einstellungen!$B$5+INT((ROW()-9)/24)</f>
        <v>46430</v>
      </c>
      <c r="B11151" s="11" t="n">
        <f aca="false">MOD(ROW()-9,24)</f>
        <v>6</v>
      </c>
      <c r="C11151" s="12"/>
      <c r="D11151" s="13" t="n">
        <f aca="false">IF(B11151&lt;5,Einstellungen!$B$3,Einstellungen!$B$4)</f>
        <v>29.13</v>
      </c>
      <c r="E11151" s="14" t="str">
        <f aca="false">IF(C11151="","",C11151*D11151/100)</f>
        <v/>
      </c>
      <c r="F11151" s="15" t="str">
        <f aca="false">IF(B11151&lt;5,"Go","Standard")</f>
        <v>Standard</v>
      </c>
    </row>
    <row r="11152" customFormat="false" ht="15" hidden="false" customHeight="true" outlineLevel="0" collapsed="false">
      <c r="A11152" s="10" t="n">
        <f aca="false">Einstellungen!$B$5+INT((ROW()-9)/24)</f>
        <v>46430</v>
      </c>
      <c r="B11152" s="11" t="n">
        <f aca="false">MOD(ROW()-9,24)</f>
        <v>7</v>
      </c>
      <c r="C11152" s="12"/>
      <c r="D11152" s="13" t="n">
        <f aca="false">IF(B11152&lt;5,Einstellungen!$B$3,Einstellungen!$B$4)</f>
        <v>29.13</v>
      </c>
      <c r="E11152" s="14" t="str">
        <f aca="false">IF(C11152="","",C11152*D11152/100)</f>
        <v/>
      </c>
      <c r="F11152" s="15" t="str">
        <f aca="false">IF(B11152&lt;5,"Go","Standard")</f>
        <v>Standard</v>
      </c>
    </row>
    <row r="11153" customFormat="false" ht="15" hidden="false" customHeight="true" outlineLevel="0" collapsed="false">
      <c r="A11153" s="10" t="n">
        <f aca="false">Einstellungen!$B$5+INT((ROW()-9)/24)</f>
        <v>46430</v>
      </c>
      <c r="B11153" s="11" t="n">
        <f aca="false">MOD(ROW()-9,24)</f>
        <v>8</v>
      </c>
      <c r="C11153" s="12"/>
      <c r="D11153" s="13" t="n">
        <f aca="false">IF(B11153&lt;5,Einstellungen!$B$3,Einstellungen!$B$4)</f>
        <v>29.13</v>
      </c>
      <c r="E11153" s="14" t="str">
        <f aca="false">IF(C11153="","",C11153*D11153/100)</f>
        <v/>
      </c>
      <c r="F11153" s="15" t="str">
        <f aca="false">IF(B11153&lt;5,"Go","Standard")</f>
        <v>Standard</v>
      </c>
    </row>
    <row r="11154" customFormat="false" ht="15" hidden="false" customHeight="true" outlineLevel="0" collapsed="false">
      <c r="A11154" s="10" t="n">
        <f aca="false">Einstellungen!$B$5+INT((ROW()-9)/24)</f>
        <v>46430</v>
      </c>
      <c r="B11154" s="11" t="n">
        <f aca="false">MOD(ROW()-9,24)</f>
        <v>9</v>
      </c>
      <c r="C11154" s="12"/>
      <c r="D11154" s="13" t="n">
        <f aca="false">IF(B11154&lt;5,Einstellungen!$B$3,Einstellungen!$B$4)</f>
        <v>29.13</v>
      </c>
      <c r="E11154" s="14" t="str">
        <f aca="false">IF(C11154="","",C11154*D11154/100)</f>
        <v/>
      </c>
      <c r="F11154" s="15" t="str">
        <f aca="false">IF(B11154&lt;5,"Go","Standard")</f>
        <v>Standard</v>
      </c>
    </row>
    <row r="11155" customFormat="false" ht="15" hidden="false" customHeight="true" outlineLevel="0" collapsed="false">
      <c r="A11155" s="10" t="n">
        <f aca="false">Einstellungen!$B$5+INT((ROW()-9)/24)</f>
        <v>46430</v>
      </c>
      <c r="B11155" s="11" t="n">
        <f aca="false">MOD(ROW()-9,24)</f>
        <v>10</v>
      </c>
      <c r="C11155" s="12"/>
      <c r="D11155" s="13" t="n">
        <f aca="false">IF(B11155&lt;5,Einstellungen!$B$3,Einstellungen!$B$4)</f>
        <v>29.13</v>
      </c>
      <c r="E11155" s="14" t="str">
        <f aca="false">IF(C11155="","",C11155*D11155/100)</f>
        <v/>
      </c>
      <c r="F11155" s="15" t="str">
        <f aca="false">IF(B11155&lt;5,"Go","Standard")</f>
        <v>Standard</v>
      </c>
    </row>
    <row r="11156" customFormat="false" ht="15" hidden="false" customHeight="true" outlineLevel="0" collapsed="false">
      <c r="A11156" s="10" t="n">
        <f aca="false">Einstellungen!$B$5+INT((ROW()-9)/24)</f>
        <v>46430</v>
      </c>
      <c r="B11156" s="11" t="n">
        <f aca="false">MOD(ROW()-9,24)</f>
        <v>11</v>
      </c>
      <c r="C11156" s="12"/>
      <c r="D11156" s="13" t="n">
        <f aca="false">IF(B11156&lt;5,Einstellungen!$B$3,Einstellungen!$B$4)</f>
        <v>29.13</v>
      </c>
      <c r="E11156" s="14" t="str">
        <f aca="false">IF(C11156="","",C11156*D11156/100)</f>
        <v/>
      </c>
      <c r="F11156" s="15" t="str">
        <f aca="false">IF(B11156&lt;5,"Go","Standard")</f>
        <v>Standard</v>
      </c>
    </row>
    <row r="11157" customFormat="false" ht="15" hidden="false" customHeight="true" outlineLevel="0" collapsed="false">
      <c r="A11157" s="10" t="n">
        <f aca="false">Einstellungen!$B$5+INT((ROW()-9)/24)</f>
        <v>46430</v>
      </c>
      <c r="B11157" s="11" t="n">
        <f aca="false">MOD(ROW()-9,24)</f>
        <v>12</v>
      </c>
      <c r="C11157" s="12"/>
      <c r="D11157" s="13" t="n">
        <f aca="false">IF(B11157&lt;5,Einstellungen!$B$3,Einstellungen!$B$4)</f>
        <v>29.13</v>
      </c>
      <c r="E11157" s="14" t="str">
        <f aca="false">IF(C11157="","",C11157*D11157/100)</f>
        <v/>
      </c>
      <c r="F11157" s="15" t="str">
        <f aca="false">IF(B11157&lt;5,"Go","Standard")</f>
        <v>Standard</v>
      </c>
    </row>
    <row r="11158" customFormat="false" ht="15" hidden="false" customHeight="true" outlineLevel="0" collapsed="false">
      <c r="A11158" s="10" t="n">
        <f aca="false">Einstellungen!$B$5+INT((ROW()-9)/24)</f>
        <v>46430</v>
      </c>
      <c r="B11158" s="11" t="n">
        <f aca="false">MOD(ROW()-9,24)</f>
        <v>13</v>
      </c>
      <c r="C11158" s="12"/>
      <c r="D11158" s="13" t="n">
        <f aca="false">IF(B11158&lt;5,Einstellungen!$B$3,Einstellungen!$B$4)</f>
        <v>29.13</v>
      </c>
      <c r="E11158" s="14" t="str">
        <f aca="false">IF(C11158="","",C11158*D11158/100)</f>
        <v/>
      </c>
      <c r="F11158" s="15" t="str">
        <f aca="false">IF(B11158&lt;5,"Go","Standard")</f>
        <v>Standard</v>
      </c>
    </row>
    <row r="11159" customFormat="false" ht="15" hidden="false" customHeight="true" outlineLevel="0" collapsed="false">
      <c r="A11159" s="10" t="n">
        <f aca="false">Einstellungen!$B$5+INT((ROW()-9)/24)</f>
        <v>46430</v>
      </c>
      <c r="B11159" s="11" t="n">
        <f aca="false">MOD(ROW()-9,24)</f>
        <v>14</v>
      </c>
      <c r="C11159" s="12"/>
      <c r="D11159" s="13" t="n">
        <f aca="false">IF(B11159&lt;5,Einstellungen!$B$3,Einstellungen!$B$4)</f>
        <v>29.13</v>
      </c>
      <c r="E11159" s="14" t="str">
        <f aca="false">IF(C11159="","",C11159*D11159/100)</f>
        <v/>
      </c>
      <c r="F11159" s="15" t="str">
        <f aca="false">IF(B11159&lt;5,"Go","Standard")</f>
        <v>Standard</v>
      </c>
    </row>
    <row r="11160" customFormat="false" ht="15" hidden="false" customHeight="true" outlineLevel="0" collapsed="false">
      <c r="A11160" s="10" t="n">
        <f aca="false">Einstellungen!$B$5+INT((ROW()-9)/24)</f>
        <v>46430</v>
      </c>
      <c r="B11160" s="11" t="n">
        <f aca="false">MOD(ROW()-9,24)</f>
        <v>15</v>
      </c>
      <c r="C11160" s="12"/>
      <c r="D11160" s="13" t="n">
        <f aca="false">IF(B11160&lt;5,Einstellungen!$B$3,Einstellungen!$B$4)</f>
        <v>29.13</v>
      </c>
      <c r="E11160" s="14" t="str">
        <f aca="false">IF(C11160="","",C11160*D11160/100)</f>
        <v/>
      </c>
      <c r="F11160" s="15" t="str">
        <f aca="false">IF(B11160&lt;5,"Go","Standard")</f>
        <v>Standard</v>
      </c>
    </row>
    <row r="11161" customFormat="false" ht="15" hidden="false" customHeight="true" outlineLevel="0" collapsed="false">
      <c r="A11161" s="10" t="n">
        <f aca="false">Einstellungen!$B$5+INT((ROW()-9)/24)</f>
        <v>46430</v>
      </c>
      <c r="B11161" s="11" t="n">
        <f aca="false">MOD(ROW()-9,24)</f>
        <v>16</v>
      </c>
      <c r="C11161" s="12"/>
      <c r="D11161" s="13" t="n">
        <f aca="false">IF(B11161&lt;5,Einstellungen!$B$3,Einstellungen!$B$4)</f>
        <v>29.13</v>
      </c>
      <c r="E11161" s="14" t="str">
        <f aca="false">IF(C11161="","",C11161*D11161/100)</f>
        <v/>
      </c>
      <c r="F11161" s="15" t="str">
        <f aca="false">IF(B11161&lt;5,"Go","Standard")</f>
        <v>Standard</v>
      </c>
    </row>
    <row r="11162" customFormat="false" ht="15" hidden="false" customHeight="true" outlineLevel="0" collapsed="false">
      <c r="A11162" s="10" t="n">
        <f aca="false">Einstellungen!$B$5+INT((ROW()-9)/24)</f>
        <v>46430</v>
      </c>
      <c r="B11162" s="11" t="n">
        <f aca="false">MOD(ROW()-9,24)</f>
        <v>17</v>
      </c>
      <c r="C11162" s="12"/>
      <c r="D11162" s="13" t="n">
        <f aca="false">IF(B11162&lt;5,Einstellungen!$B$3,Einstellungen!$B$4)</f>
        <v>29.13</v>
      </c>
      <c r="E11162" s="14" t="str">
        <f aca="false">IF(C11162="","",C11162*D11162/100)</f>
        <v/>
      </c>
      <c r="F11162" s="15" t="str">
        <f aca="false">IF(B11162&lt;5,"Go","Standard")</f>
        <v>Standard</v>
      </c>
    </row>
    <row r="11163" customFormat="false" ht="15" hidden="false" customHeight="true" outlineLevel="0" collapsed="false">
      <c r="A11163" s="10" t="n">
        <f aca="false">Einstellungen!$B$5+INT((ROW()-9)/24)</f>
        <v>46430</v>
      </c>
      <c r="B11163" s="11" t="n">
        <f aca="false">MOD(ROW()-9,24)</f>
        <v>18</v>
      </c>
      <c r="C11163" s="12"/>
      <c r="D11163" s="13" t="n">
        <f aca="false">IF(B11163&lt;5,Einstellungen!$B$3,Einstellungen!$B$4)</f>
        <v>29.13</v>
      </c>
      <c r="E11163" s="14" t="str">
        <f aca="false">IF(C11163="","",C11163*D11163/100)</f>
        <v/>
      </c>
      <c r="F11163" s="15" t="str">
        <f aca="false">IF(B11163&lt;5,"Go","Standard")</f>
        <v>Standard</v>
      </c>
    </row>
    <row r="11164" customFormat="false" ht="15" hidden="false" customHeight="true" outlineLevel="0" collapsed="false">
      <c r="A11164" s="10" t="n">
        <f aca="false">Einstellungen!$B$5+INT((ROW()-9)/24)</f>
        <v>46430</v>
      </c>
      <c r="B11164" s="11" t="n">
        <f aca="false">MOD(ROW()-9,24)</f>
        <v>19</v>
      </c>
      <c r="C11164" s="12"/>
      <c r="D11164" s="13" t="n">
        <f aca="false">IF(B11164&lt;5,Einstellungen!$B$3,Einstellungen!$B$4)</f>
        <v>29.13</v>
      </c>
      <c r="E11164" s="14" t="str">
        <f aca="false">IF(C11164="","",C11164*D11164/100)</f>
        <v/>
      </c>
      <c r="F11164" s="15" t="str">
        <f aca="false">IF(B11164&lt;5,"Go","Standard")</f>
        <v>Standard</v>
      </c>
    </row>
    <row r="11165" customFormat="false" ht="15" hidden="false" customHeight="true" outlineLevel="0" collapsed="false">
      <c r="A11165" s="10" t="n">
        <f aca="false">Einstellungen!$B$5+INT((ROW()-9)/24)</f>
        <v>46430</v>
      </c>
      <c r="B11165" s="11" t="n">
        <f aca="false">MOD(ROW()-9,24)</f>
        <v>20</v>
      </c>
      <c r="C11165" s="12"/>
      <c r="D11165" s="13" t="n">
        <f aca="false">IF(B11165&lt;5,Einstellungen!$B$3,Einstellungen!$B$4)</f>
        <v>29.13</v>
      </c>
      <c r="E11165" s="14" t="str">
        <f aca="false">IF(C11165="","",C11165*D11165/100)</f>
        <v/>
      </c>
      <c r="F11165" s="15" t="str">
        <f aca="false">IF(B11165&lt;5,"Go","Standard")</f>
        <v>Standard</v>
      </c>
    </row>
    <row r="11166" customFormat="false" ht="15" hidden="false" customHeight="true" outlineLevel="0" collapsed="false">
      <c r="A11166" s="10" t="n">
        <f aca="false">Einstellungen!$B$5+INT((ROW()-9)/24)</f>
        <v>46430</v>
      </c>
      <c r="B11166" s="11" t="n">
        <f aca="false">MOD(ROW()-9,24)</f>
        <v>21</v>
      </c>
      <c r="C11166" s="12"/>
      <c r="D11166" s="13" t="n">
        <f aca="false">IF(B11166&lt;5,Einstellungen!$B$3,Einstellungen!$B$4)</f>
        <v>29.13</v>
      </c>
      <c r="E11166" s="14" t="str">
        <f aca="false">IF(C11166="","",C11166*D11166/100)</f>
        <v/>
      </c>
      <c r="F11166" s="15" t="str">
        <f aca="false">IF(B11166&lt;5,"Go","Standard")</f>
        <v>Standard</v>
      </c>
    </row>
    <row r="11167" customFormat="false" ht="15" hidden="false" customHeight="true" outlineLevel="0" collapsed="false">
      <c r="A11167" s="10" t="n">
        <f aca="false">Einstellungen!$B$5+INT((ROW()-9)/24)</f>
        <v>46430</v>
      </c>
      <c r="B11167" s="11" t="n">
        <f aca="false">MOD(ROW()-9,24)</f>
        <v>22</v>
      </c>
      <c r="C11167" s="12"/>
      <c r="D11167" s="13" t="n">
        <f aca="false">IF(B11167&lt;5,Einstellungen!$B$3,Einstellungen!$B$4)</f>
        <v>29.13</v>
      </c>
      <c r="E11167" s="14" t="str">
        <f aca="false">IF(C11167="","",C11167*D11167/100)</f>
        <v/>
      </c>
      <c r="F11167" s="15" t="str">
        <f aca="false">IF(B11167&lt;5,"Go","Standard")</f>
        <v>Standard</v>
      </c>
    </row>
    <row r="11168" customFormat="false" ht="15" hidden="false" customHeight="true" outlineLevel="0" collapsed="false">
      <c r="A11168" s="10" t="n">
        <f aca="false">Einstellungen!$B$5+INT((ROW()-9)/24)</f>
        <v>46430</v>
      </c>
      <c r="B11168" s="11" t="n">
        <f aca="false">MOD(ROW()-9,24)</f>
        <v>23</v>
      </c>
      <c r="C11168" s="12"/>
      <c r="D11168" s="13" t="n">
        <f aca="false">IF(B11168&lt;5,Einstellungen!$B$3,Einstellungen!$B$4)</f>
        <v>29.13</v>
      </c>
      <c r="E11168" s="14" t="str">
        <f aca="false">IF(C11168="","",C11168*D11168/100)</f>
        <v/>
      </c>
      <c r="F11168" s="15" t="str">
        <f aca="false">IF(B11168&lt;5,"Go","Standard")</f>
        <v>Standard</v>
      </c>
    </row>
    <row r="11169" customFormat="false" ht="15" hidden="false" customHeight="true" outlineLevel="0" collapsed="false">
      <c r="A11169" s="10" t="n">
        <f aca="false">Einstellungen!$B$5+INT((ROW()-9)/24)</f>
        <v>46431</v>
      </c>
      <c r="B11169" s="11" t="n">
        <f aca="false">MOD(ROW()-9,24)</f>
        <v>0</v>
      </c>
      <c r="C11169" s="12"/>
      <c r="D11169" s="13" t="n">
        <f aca="false">IF(B11169&lt;5,Einstellungen!$B$3,Einstellungen!$B$4)</f>
        <v>15.92</v>
      </c>
      <c r="E11169" s="14" t="str">
        <f aca="false">IF(C11169="","",C11169*D11169/100)</f>
        <v/>
      </c>
      <c r="F11169" s="15" t="str">
        <f aca="false">IF(B11169&lt;5,"Go","Standard")</f>
        <v>Go</v>
      </c>
    </row>
    <row r="11170" customFormat="false" ht="15" hidden="false" customHeight="true" outlineLevel="0" collapsed="false">
      <c r="A11170" s="10" t="n">
        <f aca="false">Einstellungen!$B$5+INT((ROW()-9)/24)</f>
        <v>46431</v>
      </c>
      <c r="B11170" s="11" t="n">
        <f aca="false">MOD(ROW()-9,24)</f>
        <v>1</v>
      </c>
      <c r="C11170" s="12"/>
      <c r="D11170" s="13" t="n">
        <f aca="false">IF(B11170&lt;5,Einstellungen!$B$3,Einstellungen!$B$4)</f>
        <v>15.92</v>
      </c>
      <c r="E11170" s="14" t="str">
        <f aca="false">IF(C11170="","",C11170*D11170/100)</f>
        <v/>
      </c>
      <c r="F11170" s="15" t="str">
        <f aca="false">IF(B11170&lt;5,"Go","Standard")</f>
        <v>Go</v>
      </c>
    </row>
    <row r="11171" customFormat="false" ht="15" hidden="false" customHeight="true" outlineLevel="0" collapsed="false">
      <c r="A11171" s="10" t="n">
        <f aca="false">Einstellungen!$B$5+INT((ROW()-9)/24)</f>
        <v>46431</v>
      </c>
      <c r="B11171" s="11" t="n">
        <f aca="false">MOD(ROW()-9,24)</f>
        <v>2</v>
      </c>
      <c r="C11171" s="12"/>
      <c r="D11171" s="13" t="n">
        <f aca="false">IF(B11171&lt;5,Einstellungen!$B$3,Einstellungen!$B$4)</f>
        <v>15.92</v>
      </c>
      <c r="E11171" s="14" t="str">
        <f aca="false">IF(C11171="","",C11171*D11171/100)</f>
        <v/>
      </c>
      <c r="F11171" s="15" t="str">
        <f aca="false">IF(B11171&lt;5,"Go","Standard")</f>
        <v>Go</v>
      </c>
    </row>
    <row r="11172" customFormat="false" ht="15" hidden="false" customHeight="true" outlineLevel="0" collapsed="false">
      <c r="A11172" s="10" t="n">
        <f aca="false">Einstellungen!$B$5+INT((ROW()-9)/24)</f>
        <v>46431</v>
      </c>
      <c r="B11172" s="11" t="n">
        <f aca="false">MOD(ROW()-9,24)</f>
        <v>3</v>
      </c>
      <c r="C11172" s="12"/>
      <c r="D11172" s="13" t="n">
        <f aca="false">IF(B11172&lt;5,Einstellungen!$B$3,Einstellungen!$B$4)</f>
        <v>15.92</v>
      </c>
      <c r="E11172" s="14" t="str">
        <f aca="false">IF(C11172="","",C11172*D11172/100)</f>
        <v/>
      </c>
      <c r="F11172" s="15" t="str">
        <f aca="false">IF(B11172&lt;5,"Go","Standard")</f>
        <v>Go</v>
      </c>
    </row>
    <row r="11173" customFormat="false" ht="15" hidden="false" customHeight="true" outlineLevel="0" collapsed="false">
      <c r="A11173" s="10" t="n">
        <f aca="false">Einstellungen!$B$5+INT((ROW()-9)/24)</f>
        <v>46431</v>
      </c>
      <c r="B11173" s="11" t="n">
        <f aca="false">MOD(ROW()-9,24)</f>
        <v>4</v>
      </c>
      <c r="C11173" s="12"/>
      <c r="D11173" s="13" t="n">
        <f aca="false">IF(B11173&lt;5,Einstellungen!$B$3,Einstellungen!$B$4)</f>
        <v>15.92</v>
      </c>
      <c r="E11173" s="14" t="str">
        <f aca="false">IF(C11173="","",C11173*D11173/100)</f>
        <v/>
      </c>
      <c r="F11173" s="15" t="str">
        <f aca="false">IF(B11173&lt;5,"Go","Standard")</f>
        <v>Go</v>
      </c>
    </row>
    <row r="11174" customFormat="false" ht="15" hidden="false" customHeight="true" outlineLevel="0" collapsed="false">
      <c r="A11174" s="10" t="n">
        <f aca="false">Einstellungen!$B$5+INT((ROW()-9)/24)</f>
        <v>46431</v>
      </c>
      <c r="B11174" s="11" t="n">
        <f aca="false">MOD(ROW()-9,24)</f>
        <v>5</v>
      </c>
      <c r="C11174" s="12"/>
      <c r="D11174" s="13" t="n">
        <f aca="false">IF(B11174&lt;5,Einstellungen!$B$3,Einstellungen!$B$4)</f>
        <v>29.13</v>
      </c>
      <c r="E11174" s="14" t="str">
        <f aca="false">IF(C11174="","",C11174*D11174/100)</f>
        <v/>
      </c>
      <c r="F11174" s="15" t="str">
        <f aca="false">IF(B11174&lt;5,"Go","Standard")</f>
        <v>Standard</v>
      </c>
    </row>
    <row r="11175" customFormat="false" ht="15" hidden="false" customHeight="true" outlineLevel="0" collapsed="false">
      <c r="A11175" s="10" t="n">
        <f aca="false">Einstellungen!$B$5+INT((ROW()-9)/24)</f>
        <v>46431</v>
      </c>
      <c r="B11175" s="11" t="n">
        <f aca="false">MOD(ROW()-9,24)</f>
        <v>6</v>
      </c>
      <c r="C11175" s="12"/>
      <c r="D11175" s="13" t="n">
        <f aca="false">IF(B11175&lt;5,Einstellungen!$B$3,Einstellungen!$B$4)</f>
        <v>29.13</v>
      </c>
      <c r="E11175" s="14" t="str">
        <f aca="false">IF(C11175="","",C11175*D11175/100)</f>
        <v/>
      </c>
      <c r="F11175" s="15" t="str">
        <f aca="false">IF(B11175&lt;5,"Go","Standard")</f>
        <v>Standard</v>
      </c>
    </row>
    <row r="11176" customFormat="false" ht="15" hidden="false" customHeight="true" outlineLevel="0" collapsed="false">
      <c r="A11176" s="10" t="n">
        <f aca="false">Einstellungen!$B$5+INT((ROW()-9)/24)</f>
        <v>46431</v>
      </c>
      <c r="B11176" s="11" t="n">
        <f aca="false">MOD(ROW()-9,24)</f>
        <v>7</v>
      </c>
      <c r="C11176" s="12"/>
      <c r="D11176" s="13" t="n">
        <f aca="false">IF(B11176&lt;5,Einstellungen!$B$3,Einstellungen!$B$4)</f>
        <v>29.13</v>
      </c>
      <c r="E11176" s="14" t="str">
        <f aca="false">IF(C11176="","",C11176*D11176/100)</f>
        <v/>
      </c>
      <c r="F11176" s="15" t="str">
        <f aca="false">IF(B11176&lt;5,"Go","Standard")</f>
        <v>Standard</v>
      </c>
    </row>
    <row r="11177" customFormat="false" ht="15" hidden="false" customHeight="true" outlineLevel="0" collapsed="false">
      <c r="A11177" s="10" t="n">
        <f aca="false">Einstellungen!$B$5+INT((ROW()-9)/24)</f>
        <v>46431</v>
      </c>
      <c r="B11177" s="11" t="n">
        <f aca="false">MOD(ROW()-9,24)</f>
        <v>8</v>
      </c>
      <c r="C11177" s="12"/>
      <c r="D11177" s="13" t="n">
        <f aca="false">IF(B11177&lt;5,Einstellungen!$B$3,Einstellungen!$B$4)</f>
        <v>29.13</v>
      </c>
      <c r="E11177" s="14" t="str">
        <f aca="false">IF(C11177="","",C11177*D11177/100)</f>
        <v/>
      </c>
      <c r="F11177" s="15" t="str">
        <f aca="false">IF(B11177&lt;5,"Go","Standard")</f>
        <v>Standard</v>
      </c>
    </row>
    <row r="11178" customFormat="false" ht="15" hidden="false" customHeight="true" outlineLevel="0" collapsed="false">
      <c r="A11178" s="10" t="n">
        <f aca="false">Einstellungen!$B$5+INT((ROW()-9)/24)</f>
        <v>46431</v>
      </c>
      <c r="B11178" s="11" t="n">
        <f aca="false">MOD(ROW()-9,24)</f>
        <v>9</v>
      </c>
      <c r="C11178" s="12"/>
      <c r="D11178" s="13" t="n">
        <f aca="false">IF(B11178&lt;5,Einstellungen!$B$3,Einstellungen!$B$4)</f>
        <v>29.13</v>
      </c>
      <c r="E11178" s="14" t="str">
        <f aca="false">IF(C11178="","",C11178*D11178/100)</f>
        <v/>
      </c>
      <c r="F11178" s="15" t="str">
        <f aca="false">IF(B11178&lt;5,"Go","Standard")</f>
        <v>Standard</v>
      </c>
    </row>
    <row r="11179" customFormat="false" ht="15" hidden="false" customHeight="true" outlineLevel="0" collapsed="false">
      <c r="A11179" s="10" t="n">
        <f aca="false">Einstellungen!$B$5+INT((ROW()-9)/24)</f>
        <v>46431</v>
      </c>
      <c r="B11179" s="11" t="n">
        <f aca="false">MOD(ROW()-9,24)</f>
        <v>10</v>
      </c>
      <c r="C11179" s="12"/>
      <c r="D11179" s="13" t="n">
        <f aca="false">IF(B11179&lt;5,Einstellungen!$B$3,Einstellungen!$B$4)</f>
        <v>29.13</v>
      </c>
      <c r="E11179" s="14" t="str">
        <f aca="false">IF(C11179="","",C11179*D11179/100)</f>
        <v/>
      </c>
      <c r="F11179" s="15" t="str">
        <f aca="false">IF(B11179&lt;5,"Go","Standard")</f>
        <v>Standard</v>
      </c>
    </row>
    <row r="11180" customFormat="false" ht="15" hidden="false" customHeight="true" outlineLevel="0" collapsed="false">
      <c r="A11180" s="10" t="n">
        <f aca="false">Einstellungen!$B$5+INT((ROW()-9)/24)</f>
        <v>46431</v>
      </c>
      <c r="B11180" s="11" t="n">
        <f aca="false">MOD(ROW()-9,24)</f>
        <v>11</v>
      </c>
      <c r="C11180" s="12"/>
      <c r="D11180" s="13" t="n">
        <f aca="false">IF(B11180&lt;5,Einstellungen!$B$3,Einstellungen!$B$4)</f>
        <v>29.13</v>
      </c>
      <c r="E11180" s="14" t="str">
        <f aca="false">IF(C11180="","",C11180*D11180/100)</f>
        <v/>
      </c>
      <c r="F11180" s="15" t="str">
        <f aca="false">IF(B11180&lt;5,"Go","Standard")</f>
        <v>Standard</v>
      </c>
    </row>
    <row r="11181" customFormat="false" ht="15" hidden="false" customHeight="true" outlineLevel="0" collapsed="false">
      <c r="A11181" s="10" t="n">
        <f aca="false">Einstellungen!$B$5+INT((ROW()-9)/24)</f>
        <v>46431</v>
      </c>
      <c r="B11181" s="11" t="n">
        <f aca="false">MOD(ROW()-9,24)</f>
        <v>12</v>
      </c>
      <c r="C11181" s="12"/>
      <c r="D11181" s="13" t="n">
        <f aca="false">IF(B11181&lt;5,Einstellungen!$B$3,Einstellungen!$B$4)</f>
        <v>29.13</v>
      </c>
      <c r="E11181" s="14" t="str">
        <f aca="false">IF(C11181="","",C11181*D11181/100)</f>
        <v/>
      </c>
      <c r="F11181" s="15" t="str">
        <f aca="false">IF(B11181&lt;5,"Go","Standard")</f>
        <v>Standard</v>
      </c>
    </row>
    <row r="11182" customFormat="false" ht="15" hidden="false" customHeight="true" outlineLevel="0" collapsed="false">
      <c r="A11182" s="10" t="n">
        <f aca="false">Einstellungen!$B$5+INT((ROW()-9)/24)</f>
        <v>46431</v>
      </c>
      <c r="B11182" s="11" t="n">
        <f aca="false">MOD(ROW()-9,24)</f>
        <v>13</v>
      </c>
      <c r="C11182" s="12"/>
      <c r="D11182" s="13" t="n">
        <f aca="false">IF(B11182&lt;5,Einstellungen!$B$3,Einstellungen!$B$4)</f>
        <v>29.13</v>
      </c>
      <c r="E11182" s="14" t="str">
        <f aca="false">IF(C11182="","",C11182*D11182/100)</f>
        <v/>
      </c>
      <c r="F11182" s="15" t="str">
        <f aca="false">IF(B11182&lt;5,"Go","Standard")</f>
        <v>Standard</v>
      </c>
    </row>
    <row r="11183" customFormat="false" ht="15" hidden="false" customHeight="true" outlineLevel="0" collapsed="false">
      <c r="A11183" s="10" t="n">
        <f aca="false">Einstellungen!$B$5+INT((ROW()-9)/24)</f>
        <v>46431</v>
      </c>
      <c r="B11183" s="11" t="n">
        <f aca="false">MOD(ROW()-9,24)</f>
        <v>14</v>
      </c>
      <c r="C11183" s="12"/>
      <c r="D11183" s="13" t="n">
        <f aca="false">IF(B11183&lt;5,Einstellungen!$B$3,Einstellungen!$B$4)</f>
        <v>29.13</v>
      </c>
      <c r="E11183" s="14" t="str">
        <f aca="false">IF(C11183="","",C11183*D11183/100)</f>
        <v/>
      </c>
      <c r="F11183" s="15" t="str">
        <f aca="false">IF(B11183&lt;5,"Go","Standard")</f>
        <v>Standard</v>
      </c>
    </row>
    <row r="11184" customFormat="false" ht="15" hidden="false" customHeight="true" outlineLevel="0" collapsed="false">
      <c r="A11184" s="10" t="n">
        <f aca="false">Einstellungen!$B$5+INT((ROW()-9)/24)</f>
        <v>46431</v>
      </c>
      <c r="B11184" s="11" t="n">
        <f aca="false">MOD(ROW()-9,24)</f>
        <v>15</v>
      </c>
      <c r="C11184" s="12"/>
      <c r="D11184" s="13" t="n">
        <f aca="false">IF(B11184&lt;5,Einstellungen!$B$3,Einstellungen!$B$4)</f>
        <v>29.13</v>
      </c>
      <c r="E11184" s="14" t="str">
        <f aca="false">IF(C11184="","",C11184*D11184/100)</f>
        <v/>
      </c>
      <c r="F11184" s="15" t="str">
        <f aca="false">IF(B11184&lt;5,"Go","Standard")</f>
        <v>Standard</v>
      </c>
    </row>
    <row r="11185" customFormat="false" ht="15" hidden="false" customHeight="true" outlineLevel="0" collapsed="false">
      <c r="A11185" s="10" t="n">
        <f aca="false">Einstellungen!$B$5+INT((ROW()-9)/24)</f>
        <v>46431</v>
      </c>
      <c r="B11185" s="11" t="n">
        <f aca="false">MOD(ROW()-9,24)</f>
        <v>16</v>
      </c>
      <c r="C11185" s="12"/>
      <c r="D11185" s="13" t="n">
        <f aca="false">IF(B11185&lt;5,Einstellungen!$B$3,Einstellungen!$B$4)</f>
        <v>29.13</v>
      </c>
      <c r="E11185" s="14" t="str">
        <f aca="false">IF(C11185="","",C11185*D11185/100)</f>
        <v/>
      </c>
      <c r="F11185" s="15" t="str">
        <f aca="false">IF(B11185&lt;5,"Go","Standard")</f>
        <v>Standard</v>
      </c>
    </row>
    <row r="11186" customFormat="false" ht="15" hidden="false" customHeight="true" outlineLevel="0" collapsed="false">
      <c r="A11186" s="10" t="n">
        <f aca="false">Einstellungen!$B$5+INT((ROW()-9)/24)</f>
        <v>46431</v>
      </c>
      <c r="B11186" s="11" t="n">
        <f aca="false">MOD(ROW()-9,24)</f>
        <v>17</v>
      </c>
      <c r="C11186" s="12"/>
      <c r="D11186" s="13" t="n">
        <f aca="false">IF(B11186&lt;5,Einstellungen!$B$3,Einstellungen!$B$4)</f>
        <v>29.13</v>
      </c>
      <c r="E11186" s="14" t="str">
        <f aca="false">IF(C11186="","",C11186*D11186/100)</f>
        <v/>
      </c>
      <c r="F11186" s="15" t="str">
        <f aca="false">IF(B11186&lt;5,"Go","Standard")</f>
        <v>Standard</v>
      </c>
    </row>
    <row r="11187" customFormat="false" ht="15" hidden="false" customHeight="true" outlineLevel="0" collapsed="false">
      <c r="A11187" s="10" t="n">
        <f aca="false">Einstellungen!$B$5+INT((ROW()-9)/24)</f>
        <v>46431</v>
      </c>
      <c r="B11187" s="11" t="n">
        <f aca="false">MOD(ROW()-9,24)</f>
        <v>18</v>
      </c>
      <c r="C11187" s="12"/>
      <c r="D11187" s="13" t="n">
        <f aca="false">IF(B11187&lt;5,Einstellungen!$B$3,Einstellungen!$B$4)</f>
        <v>29.13</v>
      </c>
      <c r="E11187" s="14" t="str">
        <f aca="false">IF(C11187="","",C11187*D11187/100)</f>
        <v/>
      </c>
      <c r="F11187" s="15" t="str">
        <f aca="false">IF(B11187&lt;5,"Go","Standard")</f>
        <v>Standard</v>
      </c>
    </row>
    <row r="11188" customFormat="false" ht="15" hidden="false" customHeight="true" outlineLevel="0" collapsed="false">
      <c r="A11188" s="10" t="n">
        <f aca="false">Einstellungen!$B$5+INT((ROW()-9)/24)</f>
        <v>46431</v>
      </c>
      <c r="B11188" s="11" t="n">
        <f aca="false">MOD(ROW()-9,24)</f>
        <v>19</v>
      </c>
      <c r="C11188" s="12"/>
      <c r="D11188" s="13" t="n">
        <f aca="false">IF(B11188&lt;5,Einstellungen!$B$3,Einstellungen!$B$4)</f>
        <v>29.13</v>
      </c>
      <c r="E11188" s="14" t="str">
        <f aca="false">IF(C11188="","",C11188*D11188/100)</f>
        <v/>
      </c>
      <c r="F11188" s="15" t="str">
        <f aca="false">IF(B11188&lt;5,"Go","Standard")</f>
        <v>Standard</v>
      </c>
    </row>
    <row r="11189" customFormat="false" ht="15" hidden="false" customHeight="true" outlineLevel="0" collapsed="false">
      <c r="A11189" s="10" t="n">
        <f aca="false">Einstellungen!$B$5+INT((ROW()-9)/24)</f>
        <v>46431</v>
      </c>
      <c r="B11189" s="11" t="n">
        <f aca="false">MOD(ROW()-9,24)</f>
        <v>20</v>
      </c>
      <c r="C11189" s="12"/>
      <c r="D11189" s="13" t="n">
        <f aca="false">IF(B11189&lt;5,Einstellungen!$B$3,Einstellungen!$B$4)</f>
        <v>29.13</v>
      </c>
      <c r="E11189" s="14" t="str">
        <f aca="false">IF(C11189="","",C11189*D11189/100)</f>
        <v/>
      </c>
      <c r="F11189" s="15" t="str">
        <f aca="false">IF(B11189&lt;5,"Go","Standard")</f>
        <v>Standard</v>
      </c>
    </row>
    <row r="11190" customFormat="false" ht="15" hidden="false" customHeight="true" outlineLevel="0" collapsed="false">
      <c r="A11190" s="10" t="n">
        <f aca="false">Einstellungen!$B$5+INT((ROW()-9)/24)</f>
        <v>46431</v>
      </c>
      <c r="B11190" s="11" t="n">
        <f aca="false">MOD(ROW()-9,24)</f>
        <v>21</v>
      </c>
      <c r="C11190" s="12"/>
      <c r="D11190" s="13" t="n">
        <f aca="false">IF(B11190&lt;5,Einstellungen!$B$3,Einstellungen!$B$4)</f>
        <v>29.13</v>
      </c>
      <c r="E11190" s="14" t="str">
        <f aca="false">IF(C11190="","",C11190*D11190/100)</f>
        <v/>
      </c>
      <c r="F11190" s="15" t="str">
        <f aca="false">IF(B11190&lt;5,"Go","Standard")</f>
        <v>Standard</v>
      </c>
    </row>
    <row r="11191" customFormat="false" ht="15" hidden="false" customHeight="true" outlineLevel="0" collapsed="false">
      <c r="A11191" s="10" t="n">
        <f aca="false">Einstellungen!$B$5+INT((ROW()-9)/24)</f>
        <v>46431</v>
      </c>
      <c r="B11191" s="11" t="n">
        <f aca="false">MOD(ROW()-9,24)</f>
        <v>22</v>
      </c>
      <c r="C11191" s="12"/>
      <c r="D11191" s="13" t="n">
        <f aca="false">IF(B11191&lt;5,Einstellungen!$B$3,Einstellungen!$B$4)</f>
        <v>29.13</v>
      </c>
      <c r="E11191" s="14" t="str">
        <f aca="false">IF(C11191="","",C11191*D11191/100)</f>
        <v/>
      </c>
      <c r="F11191" s="15" t="str">
        <f aca="false">IF(B11191&lt;5,"Go","Standard")</f>
        <v>Standard</v>
      </c>
    </row>
    <row r="11192" customFormat="false" ht="15" hidden="false" customHeight="true" outlineLevel="0" collapsed="false">
      <c r="A11192" s="10" t="n">
        <f aca="false">Einstellungen!$B$5+INT((ROW()-9)/24)</f>
        <v>46431</v>
      </c>
      <c r="B11192" s="11" t="n">
        <f aca="false">MOD(ROW()-9,24)</f>
        <v>23</v>
      </c>
      <c r="C11192" s="12"/>
      <c r="D11192" s="13" t="n">
        <f aca="false">IF(B11192&lt;5,Einstellungen!$B$3,Einstellungen!$B$4)</f>
        <v>29.13</v>
      </c>
      <c r="E11192" s="14" t="str">
        <f aca="false">IF(C11192="","",C11192*D11192/100)</f>
        <v/>
      </c>
      <c r="F11192" s="15" t="str">
        <f aca="false">IF(B11192&lt;5,"Go","Standard")</f>
        <v>Standard</v>
      </c>
    </row>
    <row r="11193" customFormat="false" ht="15" hidden="false" customHeight="true" outlineLevel="0" collapsed="false">
      <c r="A11193" s="10" t="n">
        <f aca="false">Einstellungen!$B$5+INT((ROW()-9)/24)</f>
        <v>46432</v>
      </c>
      <c r="B11193" s="11" t="n">
        <f aca="false">MOD(ROW()-9,24)</f>
        <v>0</v>
      </c>
      <c r="C11193" s="12"/>
      <c r="D11193" s="13" t="n">
        <f aca="false">IF(B11193&lt;5,Einstellungen!$B$3,Einstellungen!$B$4)</f>
        <v>15.92</v>
      </c>
      <c r="E11193" s="14" t="str">
        <f aca="false">IF(C11193="","",C11193*D11193/100)</f>
        <v/>
      </c>
      <c r="F11193" s="15" t="str">
        <f aca="false">IF(B11193&lt;5,"Go","Standard")</f>
        <v>Go</v>
      </c>
    </row>
    <row r="11194" customFormat="false" ht="15" hidden="false" customHeight="true" outlineLevel="0" collapsed="false">
      <c r="A11194" s="10" t="n">
        <f aca="false">Einstellungen!$B$5+INT((ROW()-9)/24)</f>
        <v>46432</v>
      </c>
      <c r="B11194" s="11" t="n">
        <f aca="false">MOD(ROW()-9,24)</f>
        <v>1</v>
      </c>
      <c r="C11194" s="12"/>
      <c r="D11194" s="13" t="n">
        <f aca="false">IF(B11194&lt;5,Einstellungen!$B$3,Einstellungen!$B$4)</f>
        <v>15.92</v>
      </c>
      <c r="E11194" s="14" t="str">
        <f aca="false">IF(C11194="","",C11194*D11194/100)</f>
        <v/>
      </c>
      <c r="F11194" s="15" t="str">
        <f aca="false">IF(B11194&lt;5,"Go","Standard")</f>
        <v>Go</v>
      </c>
    </row>
    <row r="11195" customFormat="false" ht="15" hidden="false" customHeight="true" outlineLevel="0" collapsed="false">
      <c r="A11195" s="10" t="n">
        <f aca="false">Einstellungen!$B$5+INT((ROW()-9)/24)</f>
        <v>46432</v>
      </c>
      <c r="B11195" s="11" t="n">
        <f aca="false">MOD(ROW()-9,24)</f>
        <v>2</v>
      </c>
      <c r="C11195" s="12"/>
      <c r="D11195" s="13" t="n">
        <f aca="false">IF(B11195&lt;5,Einstellungen!$B$3,Einstellungen!$B$4)</f>
        <v>15.92</v>
      </c>
      <c r="E11195" s="14" t="str">
        <f aca="false">IF(C11195="","",C11195*D11195/100)</f>
        <v/>
      </c>
      <c r="F11195" s="15" t="str">
        <f aca="false">IF(B11195&lt;5,"Go","Standard")</f>
        <v>Go</v>
      </c>
    </row>
    <row r="11196" customFormat="false" ht="15" hidden="false" customHeight="true" outlineLevel="0" collapsed="false">
      <c r="A11196" s="10" t="n">
        <f aca="false">Einstellungen!$B$5+INT((ROW()-9)/24)</f>
        <v>46432</v>
      </c>
      <c r="B11196" s="11" t="n">
        <f aca="false">MOD(ROW()-9,24)</f>
        <v>3</v>
      </c>
      <c r="C11196" s="12"/>
      <c r="D11196" s="13" t="n">
        <f aca="false">IF(B11196&lt;5,Einstellungen!$B$3,Einstellungen!$B$4)</f>
        <v>15.92</v>
      </c>
      <c r="E11196" s="14" t="str">
        <f aca="false">IF(C11196="","",C11196*D11196/100)</f>
        <v/>
      </c>
      <c r="F11196" s="15" t="str">
        <f aca="false">IF(B11196&lt;5,"Go","Standard")</f>
        <v>Go</v>
      </c>
    </row>
    <row r="11197" customFormat="false" ht="15" hidden="false" customHeight="true" outlineLevel="0" collapsed="false">
      <c r="A11197" s="10" t="n">
        <f aca="false">Einstellungen!$B$5+INT((ROW()-9)/24)</f>
        <v>46432</v>
      </c>
      <c r="B11197" s="11" t="n">
        <f aca="false">MOD(ROW()-9,24)</f>
        <v>4</v>
      </c>
      <c r="C11197" s="12"/>
      <c r="D11197" s="13" t="n">
        <f aca="false">IF(B11197&lt;5,Einstellungen!$B$3,Einstellungen!$B$4)</f>
        <v>15.92</v>
      </c>
      <c r="E11197" s="14" t="str">
        <f aca="false">IF(C11197="","",C11197*D11197/100)</f>
        <v/>
      </c>
      <c r="F11197" s="15" t="str">
        <f aca="false">IF(B11197&lt;5,"Go","Standard")</f>
        <v>Go</v>
      </c>
    </row>
    <row r="11198" customFormat="false" ht="15" hidden="false" customHeight="true" outlineLevel="0" collapsed="false">
      <c r="A11198" s="10" t="n">
        <f aca="false">Einstellungen!$B$5+INT((ROW()-9)/24)</f>
        <v>46432</v>
      </c>
      <c r="B11198" s="11" t="n">
        <f aca="false">MOD(ROW()-9,24)</f>
        <v>5</v>
      </c>
      <c r="C11198" s="12"/>
      <c r="D11198" s="13" t="n">
        <f aca="false">IF(B11198&lt;5,Einstellungen!$B$3,Einstellungen!$B$4)</f>
        <v>29.13</v>
      </c>
      <c r="E11198" s="14" t="str">
        <f aca="false">IF(C11198="","",C11198*D11198/100)</f>
        <v/>
      </c>
      <c r="F11198" s="15" t="str">
        <f aca="false">IF(B11198&lt;5,"Go","Standard")</f>
        <v>Standard</v>
      </c>
    </row>
    <row r="11199" customFormat="false" ht="15" hidden="false" customHeight="true" outlineLevel="0" collapsed="false">
      <c r="A11199" s="10" t="n">
        <f aca="false">Einstellungen!$B$5+INT((ROW()-9)/24)</f>
        <v>46432</v>
      </c>
      <c r="B11199" s="11" t="n">
        <f aca="false">MOD(ROW()-9,24)</f>
        <v>6</v>
      </c>
      <c r="C11199" s="12"/>
      <c r="D11199" s="13" t="n">
        <f aca="false">IF(B11199&lt;5,Einstellungen!$B$3,Einstellungen!$B$4)</f>
        <v>29.13</v>
      </c>
      <c r="E11199" s="14" t="str">
        <f aca="false">IF(C11199="","",C11199*D11199/100)</f>
        <v/>
      </c>
      <c r="F11199" s="15" t="str">
        <f aca="false">IF(B11199&lt;5,"Go","Standard")</f>
        <v>Standard</v>
      </c>
    </row>
    <row r="11200" customFormat="false" ht="15" hidden="false" customHeight="true" outlineLevel="0" collapsed="false">
      <c r="A11200" s="10" t="n">
        <f aca="false">Einstellungen!$B$5+INT((ROW()-9)/24)</f>
        <v>46432</v>
      </c>
      <c r="B11200" s="11" t="n">
        <f aca="false">MOD(ROW()-9,24)</f>
        <v>7</v>
      </c>
      <c r="C11200" s="12"/>
      <c r="D11200" s="13" t="n">
        <f aca="false">IF(B11200&lt;5,Einstellungen!$B$3,Einstellungen!$B$4)</f>
        <v>29.13</v>
      </c>
      <c r="E11200" s="14" t="str">
        <f aca="false">IF(C11200="","",C11200*D11200/100)</f>
        <v/>
      </c>
      <c r="F11200" s="15" t="str">
        <f aca="false">IF(B11200&lt;5,"Go","Standard")</f>
        <v>Standard</v>
      </c>
    </row>
    <row r="11201" customFormat="false" ht="15" hidden="false" customHeight="true" outlineLevel="0" collapsed="false">
      <c r="A11201" s="10" t="n">
        <f aca="false">Einstellungen!$B$5+INT((ROW()-9)/24)</f>
        <v>46432</v>
      </c>
      <c r="B11201" s="11" t="n">
        <f aca="false">MOD(ROW()-9,24)</f>
        <v>8</v>
      </c>
      <c r="C11201" s="12"/>
      <c r="D11201" s="13" t="n">
        <f aca="false">IF(B11201&lt;5,Einstellungen!$B$3,Einstellungen!$B$4)</f>
        <v>29.13</v>
      </c>
      <c r="E11201" s="14" t="str">
        <f aca="false">IF(C11201="","",C11201*D11201/100)</f>
        <v/>
      </c>
      <c r="F11201" s="15" t="str">
        <f aca="false">IF(B11201&lt;5,"Go","Standard")</f>
        <v>Standard</v>
      </c>
    </row>
    <row r="11202" customFormat="false" ht="15" hidden="false" customHeight="true" outlineLevel="0" collapsed="false">
      <c r="A11202" s="10" t="n">
        <f aca="false">Einstellungen!$B$5+INT((ROW()-9)/24)</f>
        <v>46432</v>
      </c>
      <c r="B11202" s="11" t="n">
        <f aca="false">MOD(ROW()-9,24)</f>
        <v>9</v>
      </c>
      <c r="C11202" s="12"/>
      <c r="D11202" s="13" t="n">
        <f aca="false">IF(B11202&lt;5,Einstellungen!$B$3,Einstellungen!$B$4)</f>
        <v>29.13</v>
      </c>
      <c r="E11202" s="14" t="str">
        <f aca="false">IF(C11202="","",C11202*D11202/100)</f>
        <v/>
      </c>
      <c r="F11202" s="15" t="str">
        <f aca="false">IF(B11202&lt;5,"Go","Standard")</f>
        <v>Standard</v>
      </c>
    </row>
    <row r="11203" customFormat="false" ht="15" hidden="false" customHeight="true" outlineLevel="0" collapsed="false">
      <c r="A11203" s="10" t="n">
        <f aca="false">Einstellungen!$B$5+INT((ROW()-9)/24)</f>
        <v>46432</v>
      </c>
      <c r="B11203" s="11" t="n">
        <f aca="false">MOD(ROW()-9,24)</f>
        <v>10</v>
      </c>
      <c r="C11203" s="12"/>
      <c r="D11203" s="13" t="n">
        <f aca="false">IF(B11203&lt;5,Einstellungen!$B$3,Einstellungen!$B$4)</f>
        <v>29.13</v>
      </c>
      <c r="E11203" s="14" t="str">
        <f aca="false">IF(C11203="","",C11203*D11203/100)</f>
        <v/>
      </c>
      <c r="F11203" s="15" t="str">
        <f aca="false">IF(B11203&lt;5,"Go","Standard")</f>
        <v>Standard</v>
      </c>
    </row>
    <row r="11204" customFormat="false" ht="15" hidden="false" customHeight="true" outlineLevel="0" collapsed="false">
      <c r="A11204" s="10" t="n">
        <f aca="false">Einstellungen!$B$5+INT((ROW()-9)/24)</f>
        <v>46432</v>
      </c>
      <c r="B11204" s="11" t="n">
        <f aca="false">MOD(ROW()-9,24)</f>
        <v>11</v>
      </c>
      <c r="C11204" s="12"/>
      <c r="D11204" s="13" t="n">
        <f aca="false">IF(B11204&lt;5,Einstellungen!$B$3,Einstellungen!$B$4)</f>
        <v>29.13</v>
      </c>
      <c r="E11204" s="14" t="str">
        <f aca="false">IF(C11204="","",C11204*D11204/100)</f>
        <v/>
      </c>
      <c r="F11204" s="15" t="str">
        <f aca="false">IF(B11204&lt;5,"Go","Standard")</f>
        <v>Standard</v>
      </c>
    </row>
    <row r="11205" customFormat="false" ht="15" hidden="false" customHeight="true" outlineLevel="0" collapsed="false">
      <c r="A11205" s="10" t="n">
        <f aca="false">Einstellungen!$B$5+INT((ROW()-9)/24)</f>
        <v>46432</v>
      </c>
      <c r="B11205" s="11" t="n">
        <f aca="false">MOD(ROW()-9,24)</f>
        <v>12</v>
      </c>
      <c r="C11205" s="12"/>
      <c r="D11205" s="13" t="n">
        <f aca="false">IF(B11205&lt;5,Einstellungen!$B$3,Einstellungen!$B$4)</f>
        <v>29.13</v>
      </c>
      <c r="E11205" s="14" t="str">
        <f aca="false">IF(C11205="","",C11205*D11205/100)</f>
        <v/>
      </c>
      <c r="F11205" s="15" t="str">
        <f aca="false">IF(B11205&lt;5,"Go","Standard")</f>
        <v>Standard</v>
      </c>
    </row>
    <row r="11206" customFormat="false" ht="15" hidden="false" customHeight="true" outlineLevel="0" collapsed="false">
      <c r="A11206" s="10" t="n">
        <f aca="false">Einstellungen!$B$5+INT((ROW()-9)/24)</f>
        <v>46432</v>
      </c>
      <c r="B11206" s="11" t="n">
        <f aca="false">MOD(ROW()-9,24)</f>
        <v>13</v>
      </c>
      <c r="C11206" s="12"/>
      <c r="D11206" s="13" t="n">
        <f aca="false">IF(B11206&lt;5,Einstellungen!$B$3,Einstellungen!$B$4)</f>
        <v>29.13</v>
      </c>
      <c r="E11206" s="14" t="str">
        <f aca="false">IF(C11206="","",C11206*D11206/100)</f>
        <v/>
      </c>
      <c r="F11206" s="15" t="str">
        <f aca="false">IF(B11206&lt;5,"Go","Standard")</f>
        <v>Standard</v>
      </c>
    </row>
    <row r="11207" customFormat="false" ht="15" hidden="false" customHeight="true" outlineLevel="0" collapsed="false">
      <c r="A11207" s="10" t="n">
        <f aca="false">Einstellungen!$B$5+INT((ROW()-9)/24)</f>
        <v>46432</v>
      </c>
      <c r="B11207" s="11" t="n">
        <f aca="false">MOD(ROW()-9,24)</f>
        <v>14</v>
      </c>
      <c r="C11207" s="12"/>
      <c r="D11207" s="13" t="n">
        <f aca="false">IF(B11207&lt;5,Einstellungen!$B$3,Einstellungen!$B$4)</f>
        <v>29.13</v>
      </c>
      <c r="E11207" s="14" t="str">
        <f aca="false">IF(C11207="","",C11207*D11207/100)</f>
        <v/>
      </c>
      <c r="F11207" s="15" t="str">
        <f aca="false">IF(B11207&lt;5,"Go","Standard")</f>
        <v>Standard</v>
      </c>
    </row>
    <row r="11208" customFormat="false" ht="15" hidden="false" customHeight="true" outlineLevel="0" collapsed="false">
      <c r="A11208" s="10" t="n">
        <f aca="false">Einstellungen!$B$5+INT((ROW()-9)/24)</f>
        <v>46432</v>
      </c>
      <c r="B11208" s="11" t="n">
        <f aca="false">MOD(ROW()-9,24)</f>
        <v>15</v>
      </c>
      <c r="C11208" s="12"/>
      <c r="D11208" s="13" t="n">
        <f aca="false">IF(B11208&lt;5,Einstellungen!$B$3,Einstellungen!$B$4)</f>
        <v>29.13</v>
      </c>
      <c r="E11208" s="14" t="str">
        <f aca="false">IF(C11208="","",C11208*D11208/100)</f>
        <v/>
      </c>
      <c r="F11208" s="15" t="str">
        <f aca="false">IF(B11208&lt;5,"Go","Standard")</f>
        <v>Standard</v>
      </c>
    </row>
    <row r="11209" customFormat="false" ht="15" hidden="false" customHeight="true" outlineLevel="0" collapsed="false">
      <c r="A11209" s="10" t="n">
        <f aca="false">Einstellungen!$B$5+INT((ROW()-9)/24)</f>
        <v>46432</v>
      </c>
      <c r="B11209" s="11" t="n">
        <f aca="false">MOD(ROW()-9,24)</f>
        <v>16</v>
      </c>
      <c r="C11209" s="12"/>
      <c r="D11209" s="13" t="n">
        <f aca="false">IF(B11209&lt;5,Einstellungen!$B$3,Einstellungen!$B$4)</f>
        <v>29.13</v>
      </c>
      <c r="E11209" s="14" t="str">
        <f aca="false">IF(C11209="","",C11209*D11209/100)</f>
        <v/>
      </c>
      <c r="F11209" s="15" t="str">
        <f aca="false">IF(B11209&lt;5,"Go","Standard")</f>
        <v>Standard</v>
      </c>
    </row>
    <row r="11210" customFormat="false" ht="15" hidden="false" customHeight="true" outlineLevel="0" collapsed="false">
      <c r="A11210" s="10" t="n">
        <f aca="false">Einstellungen!$B$5+INT((ROW()-9)/24)</f>
        <v>46432</v>
      </c>
      <c r="B11210" s="11" t="n">
        <f aca="false">MOD(ROW()-9,24)</f>
        <v>17</v>
      </c>
      <c r="C11210" s="12"/>
      <c r="D11210" s="13" t="n">
        <f aca="false">IF(B11210&lt;5,Einstellungen!$B$3,Einstellungen!$B$4)</f>
        <v>29.13</v>
      </c>
      <c r="E11210" s="14" t="str">
        <f aca="false">IF(C11210="","",C11210*D11210/100)</f>
        <v/>
      </c>
      <c r="F11210" s="15" t="str">
        <f aca="false">IF(B11210&lt;5,"Go","Standard")</f>
        <v>Standard</v>
      </c>
    </row>
    <row r="11211" customFormat="false" ht="15" hidden="false" customHeight="true" outlineLevel="0" collapsed="false">
      <c r="A11211" s="10" t="n">
        <f aca="false">Einstellungen!$B$5+INT((ROW()-9)/24)</f>
        <v>46432</v>
      </c>
      <c r="B11211" s="11" t="n">
        <f aca="false">MOD(ROW()-9,24)</f>
        <v>18</v>
      </c>
      <c r="C11211" s="12"/>
      <c r="D11211" s="13" t="n">
        <f aca="false">IF(B11211&lt;5,Einstellungen!$B$3,Einstellungen!$B$4)</f>
        <v>29.13</v>
      </c>
      <c r="E11211" s="14" t="str">
        <f aca="false">IF(C11211="","",C11211*D11211/100)</f>
        <v/>
      </c>
      <c r="F11211" s="15" t="str">
        <f aca="false">IF(B11211&lt;5,"Go","Standard")</f>
        <v>Standard</v>
      </c>
    </row>
    <row r="11212" customFormat="false" ht="15" hidden="false" customHeight="true" outlineLevel="0" collapsed="false">
      <c r="A11212" s="10" t="n">
        <f aca="false">Einstellungen!$B$5+INT((ROW()-9)/24)</f>
        <v>46432</v>
      </c>
      <c r="B11212" s="11" t="n">
        <f aca="false">MOD(ROW()-9,24)</f>
        <v>19</v>
      </c>
      <c r="C11212" s="12"/>
      <c r="D11212" s="13" t="n">
        <f aca="false">IF(B11212&lt;5,Einstellungen!$B$3,Einstellungen!$B$4)</f>
        <v>29.13</v>
      </c>
      <c r="E11212" s="14" t="str">
        <f aca="false">IF(C11212="","",C11212*D11212/100)</f>
        <v/>
      </c>
      <c r="F11212" s="15" t="str">
        <f aca="false">IF(B11212&lt;5,"Go","Standard")</f>
        <v>Standard</v>
      </c>
    </row>
    <row r="11213" customFormat="false" ht="15" hidden="false" customHeight="true" outlineLevel="0" collapsed="false">
      <c r="A11213" s="10" t="n">
        <f aca="false">Einstellungen!$B$5+INT((ROW()-9)/24)</f>
        <v>46432</v>
      </c>
      <c r="B11213" s="11" t="n">
        <f aca="false">MOD(ROW()-9,24)</f>
        <v>20</v>
      </c>
      <c r="C11213" s="12"/>
      <c r="D11213" s="13" t="n">
        <f aca="false">IF(B11213&lt;5,Einstellungen!$B$3,Einstellungen!$B$4)</f>
        <v>29.13</v>
      </c>
      <c r="E11213" s="14" t="str">
        <f aca="false">IF(C11213="","",C11213*D11213/100)</f>
        <v/>
      </c>
      <c r="F11213" s="15" t="str">
        <f aca="false">IF(B11213&lt;5,"Go","Standard")</f>
        <v>Standard</v>
      </c>
    </row>
    <row r="11214" customFormat="false" ht="15" hidden="false" customHeight="true" outlineLevel="0" collapsed="false">
      <c r="A11214" s="10" t="n">
        <f aca="false">Einstellungen!$B$5+INT((ROW()-9)/24)</f>
        <v>46432</v>
      </c>
      <c r="B11214" s="11" t="n">
        <f aca="false">MOD(ROW()-9,24)</f>
        <v>21</v>
      </c>
      <c r="C11214" s="12"/>
      <c r="D11214" s="13" t="n">
        <f aca="false">IF(B11214&lt;5,Einstellungen!$B$3,Einstellungen!$B$4)</f>
        <v>29.13</v>
      </c>
      <c r="E11214" s="14" t="str">
        <f aca="false">IF(C11214="","",C11214*D11214/100)</f>
        <v/>
      </c>
      <c r="F11214" s="15" t="str">
        <f aca="false">IF(B11214&lt;5,"Go","Standard")</f>
        <v>Standard</v>
      </c>
    </row>
    <row r="11215" customFormat="false" ht="15" hidden="false" customHeight="true" outlineLevel="0" collapsed="false">
      <c r="A11215" s="10" t="n">
        <f aca="false">Einstellungen!$B$5+INT((ROW()-9)/24)</f>
        <v>46432</v>
      </c>
      <c r="B11215" s="11" t="n">
        <f aca="false">MOD(ROW()-9,24)</f>
        <v>22</v>
      </c>
      <c r="C11215" s="12"/>
      <c r="D11215" s="13" t="n">
        <f aca="false">IF(B11215&lt;5,Einstellungen!$B$3,Einstellungen!$B$4)</f>
        <v>29.13</v>
      </c>
      <c r="E11215" s="14" t="str">
        <f aca="false">IF(C11215="","",C11215*D11215/100)</f>
        <v/>
      </c>
      <c r="F11215" s="15" t="str">
        <f aca="false">IF(B11215&lt;5,"Go","Standard")</f>
        <v>Standard</v>
      </c>
    </row>
    <row r="11216" customFormat="false" ht="15" hidden="false" customHeight="true" outlineLevel="0" collapsed="false">
      <c r="A11216" s="10" t="n">
        <f aca="false">Einstellungen!$B$5+INT((ROW()-9)/24)</f>
        <v>46432</v>
      </c>
      <c r="B11216" s="11" t="n">
        <f aca="false">MOD(ROW()-9,24)</f>
        <v>23</v>
      </c>
      <c r="C11216" s="12"/>
      <c r="D11216" s="13" t="n">
        <f aca="false">IF(B11216&lt;5,Einstellungen!$B$3,Einstellungen!$B$4)</f>
        <v>29.13</v>
      </c>
      <c r="E11216" s="14" t="str">
        <f aca="false">IF(C11216="","",C11216*D11216/100)</f>
        <v/>
      </c>
      <c r="F11216" s="15" t="str">
        <f aca="false">IF(B11216&lt;5,"Go","Standard")</f>
        <v>Standard</v>
      </c>
    </row>
    <row r="11217" customFormat="false" ht="15" hidden="false" customHeight="true" outlineLevel="0" collapsed="false">
      <c r="A11217" s="10" t="n">
        <f aca="false">Einstellungen!$B$5+INT((ROW()-9)/24)</f>
        <v>46433</v>
      </c>
      <c r="B11217" s="11" t="n">
        <f aca="false">MOD(ROW()-9,24)</f>
        <v>0</v>
      </c>
      <c r="C11217" s="12"/>
      <c r="D11217" s="13" t="n">
        <f aca="false">IF(B11217&lt;5,Einstellungen!$B$3,Einstellungen!$B$4)</f>
        <v>15.92</v>
      </c>
      <c r="E11217" s="14" t="str">
        <f aca="false">IF(C11217="","",C11217*D11217/100)</f>
        <v/>
      </c>
      <c r="F11217" s="15" t="str">
        <f aca="false">IF(B11217&lt;5,"Go","Standard")</f>
        <v>Go</v>
      </c>
    </row>
    <row r="11218" customFormat="false" ht="15" hidden="false" customHeight="true" outlineLevel="0" collapsed="false">
      <c r="A11218" s="10" t="n">
        <f aca="false">Einstellungen!$B$5+INT((ROW()-9)/24)</f>
        <v>46433</v>
      </c>
      <c r="B11218" s="11" t="n">
        <f aca="false">MOD(ROW()-9,24)</f>
        <v>1</v>
      </c>
      <c r="C11218" s="12"/>
      <c r="D11218" s="13" t="n">
        <f aca="false">IF(B11218&lt;5,Einstellungen!$B$3,Einstellungen!$B$4)</f>
        <v>15.92</v>
      </c>
      <c r="E11218" s="14" t="str">
        <f aca="false">IF(C11218="","",C11218*D11218/100)</f>
        <v/>
      </c>
      <c r="F11218" s="15" t="str">
        <f aca="false">IF(B11218&lt;5,"Go","Standard")</f>
        <v>Go</v>
      </c>
    </row>
    <row r="11219" customFormat="false" ht="15" hidden="false" customHeight="true" outlineLevel="0" collapsed="false">
      <c r="A11219" s="10" t="n">
        <f aca="false">Einstellungen!$B$5+INT((ROW()-9)/24)</f>
        <v>46433</v>
      </c>
      <c r="B11219" s="11" t="n">
        <f aca="false">MOD(ROW()-9,24)</f>
        <v>2</v>
      </c>
      <c r="C11219" s="12"/>
      <c r="D11219" s="13" t="n">
        <f aca="false">IF(B11219&lt;5,Einstellungen!$B$3,Einstellungen!$B$4)</f>
        <v>15.92</v>
      </c>
      <c r="E11219" s="14" t="str">
        <f aca="false">IF(C11219="","",C11219*D11219/100)</f>
        <v/>
      </c>
      <c r="F11219" s="15" t="str">
        <f aca="false">IF(B11219&lt;5,"Go","Standard")</f>
        <v>Go</v>
      </c>
    </row>
    <row r="11220" customFormat="false" ht="15" hidden="false" customHeight="true" outlineLevel="0" collapsed="false">
      <c r="A11220" s="10" t="n">
        <f aca="false">Einstellungen!$B$5+INT((ROW()-9)/24)</f>
        <v>46433</v>
      </c>
      <c r="B11220" s="11" t="n">
        <f aca="false">MOD(ROW()-9,24)</f>
        <v>3</v>
      </c>
      <c r="C11220" s="12"/>
      <c r="D11220" s="13" t="n">
        <f aca="false">IF(B11220&lt;5,Einstellungen!$B$3,Einstellungen!$B$4)</f>
        <v>15.92</v>
      </c>
      <c r="E11220" s="14" t="str">
        <f aca="false">IF(C11220="","",C11220*D11220/100)</f>
        <v/>
      </c>
      <c r="F11220" s="15" t="str">
        <f aca="false">IF(B11220&lt;5,"Go","Standard")</f>
        <v>Go</v>
      </c>
    </row>
    <row r="11221" customFormat="false" ht="15" hidden="false" customHeight="true" outlineLevel="0" collapsed="false">
      <c r="A11221" s="10" t="n">
        <f aca="false">Einstellungen!$B$5+INT((ROW()-9)/24)</f>
        <v>46433</v>
      </c>
      <c r="B11221" s="11" t="n">
        <f aca="false">MOD(ROW()-9,24)</f>
        <v>4</v>
      </c>
      <c r="C11221" s="12"/>
      <c r="D11221" s="13" t="n">
        <f aca="false">IF(B11221&lt;5,Einstellungen!$B$3,Einstellungen!$B$4)</f>
        <v>15.92</v>
      </c>
      <c r="E11221" s="14" t="str">
        <f aca="false">IF(C11221="","",C11221*D11221/100)</f>
        <v/>
      </c>
      <c r="F11221" s="15" t="str">
        <f aca="false">IF(B11221&lt;5,"Go","Standard")</f>
        <v>Go</v>
      </c>
    </row>
    <row r="11222" customFormat="false" ht="15" hidden="false" customHeight="true" outlineLevel="0" collapsed="false">
      <c r="A11222" s="10" t="n">
        <f aca="false">Einstellungen!$B$5+INT((ROW()-9)/24)</f>
        <v>46433</v>
      </c>
      <c r="B11222" s="11" t="n">
        <f aca="false">MOD(ROW()-9,24)</f>
        <v>5</v>
      </c>
      <c r="C11222" s="12"/>
      <c r="D11222" s="13" t="n">
        <f aca="false">IF(B11222&lt;5,Einstellungen!$B$3,Einstellungen!$B$4)</f>
        <v>29.13</v>
      </c>
      <c r="E11222" s="14" t="str">
        <f aca="false">IF(C11222="","",C11222*D11222/100)</f>
        <v/>
      </c>
      <c r="F11222" s="15" t="str">
        <f aca="false">IF(B11222&lt;5,"Go","Standard")</f>
        <v>Standard</v>
      </c>
    </row>
    <row r="11223" customFormat="false" ht="15" hidden="false" customHeight="true" outlineLevel="0" collapsed="false">
      <c r="A11223" s="10" t="n">
        <f aca="false">Einstellungen!$B$5+INT((ROW()-9)/24)</f>
        <v>46433</v>
      </c>
      <c r="B11223" s="11" t="n">
        <f aca="false">MOD(ROW()-9,24)</f>
        <v>6</v>
      </c>
      <c r="C11223" s="12"/>
      <c r="D11223" s="13" t="n">
        <f aca="false">IF(B11223&lt;5,Einstellungen!$B$3,Einstellungen!$B$4)</f>
        <v>29.13</v>
      </c>
      <c r="E11223" s="14" t="str">
        <f aca="false">IF(C11223="","",C11223*D11223/100)</f>
        <v/>
      </c>
      <c r="F11223" s="15" t="str">
        <f aca="false">IF(B11223&lt;5,"Go","Standard")</f>
        <v>Standard</v>
      </c>
    </row>
    <row r="11224" customFormat="false" ht="15" hidden="false" customHeight="true" outlineLevel="0" collapsed="false">
      <c r="A11224" s="10" t="n">
        <f aca="false">Einstellungen!$B$5+INT((ROW()-9)/24)</f>
        <v>46433</v>
      </c>
      <c r="B11224" s="11" t="n">
        <f aca="false">MOD(ROW()-9,24)</f>
        <v>7</v>
      </c>
      <c r="C11224" s="12"/>
      <c r="D11224" s="13" t="n">
        <f aca="false">IF(B11224&lt;5,Einstellungen!$B$3,Einstellungen!$B$4)</f>
        <v>29.13</v>
      </c>
      <c r="E11224" s="14" t="str">
        <f aca="false">IF(C11224="","",C11224*D11224/100)</f>
        <v/>
      </c>
      <c r="F11224" s="15" t="str">
        <f aca="false">IF(B11224&lt;5,"Go","Standard")</f>
        <v>Standard</v>
      </c>
    </row>
    <row r="11225" customFormat="false" ht="15" hidden="false" customHeight="true" outlineLevel="0" collapsed="false">
      <c r="A11225" s="10" t="n">
        <f aca="false">Einstellungen!$B$5+INT((ROW()-9)/24)</f>
        <v>46433</v>
      </c>
      <c r="B11225" s="11" t="n">
        <f aca="false">MOD(ROW()-9,24)</f>
        <v>8</v>
      </c>
      <c r="C11225" s="12"/>
      <c r="D11225" s="13" t="n">
        <f aca="false">IF(B11225&lt;5,Einstellungen!$B$3,Einstellungen!$B$4)</f>
        <v>29.13</v>
      </c>
      <c r="E11225" s="14" t="str">
        <f aca="false">IF(C11225="","",C11225*D11225/100)</f>
        <v/>
      </c>
      <c r="F11225" s="15" t="str">
        <f aca="false">IF(B11225&lt;5,"Go","Standard")</f>
        <v>Standard</v>
      </c>
    </row>
    <row r="11226" customFormat="false" ht="15" hidden="false" customHeight="true" outlineLevel="0" collapsed="false">
      <c r="A11226" s="10" t="n">
        <f aca="false">Einstellungen!$B$5+INT((ROW()-9)/24)</f>
        <v>46433</v>
      </c>
      <c r="B11226" s="11" t="n">
        <f aca="false">MOD(ROW()-9,24)</f>
        <v>9</v>
      </c>
      <c r="C11226" s="12"/>
      <c r="D11226" s="13" t="n">
        <f aca="false">IF(B11226&lt;5,Einstellungen!$B$3,Einstellungen!$B$4)</f>
        <v>29.13</v>
      </c>
      <c r="E11226" s="14" t="str">
        <f aca="false">IF(C11226="","",C11226*D11226/100)</f>
        <v/>
      </c>
      <c r="F11226" s="15" t="str">
        <f aca="false">IF(B11226&lt;5,"Go","Standard")</f>
        <v>Standard</v>
      </c>
    </row>
    <row r="11227" customFormat="false" ht="15" hidden="false" customHeight="true" outlineLevel="0" collapsed="false">
      <c r="A11227" s="10" t="n">
        <f aca="false">Einstellungen!$B$5+INT((ROW()-9)/24)</f>
        <v>46433</v>
      </c>
      <c r="B11227" s="11" t="n">
        <f aca="false">MOD(ROW()-9,24)</f>
        <v>10</v>
      </c>
      <c r="C11227" s="12"/>
      <c r="D11227" s="13" t="n">
        <f aca="false">IF(B11227&lt;5,Einstellungen!$B$3,Einstellungen!$B$4)</f>
        <v>29.13</v>
      </c>
      <c r="E11227" s="14" t="str">
        <f aca="false">IF(C11227="","",C11227*D11227/100)</f>
        <v/>
      </c>
      <c r="F11227" s="15" t="str">
        <f aca="false">IF(B11227&lt;5,"Go","Standard")</f>
        <v>Standard</v>
      </c>
    </row>
    <row r="11228" customFormat="false" ht="15" hidden="false" customHeight="true" outlineLevel="0" collapsed="false">
      <c r="A11228" s="10" t="n">
        <f aca="false">Einstellungen!$B$5+INT((ROW()-9)/24)</f>
        <v>46433</v>
      </c>
      <c r="B11228" s="11" t="n">
        <f aca="false">MOD(ROW()-9,24)</f>
        <v>11</v>
      </c>
      <c r="C11228" s="12"/>
      <c r="D11228" s="13" t="n">
        <f aca="false">IF(B11228&lt;5,Einstellungen!$B$3,Einstellungen!$B$4)</f>
        <v>29.13</v>
      </c>
      <c r="E11228" s="14" t="str">
        <f aca="false">IF(C11228="","",C11228*D11228/100)</f>
        <v/>
      </c>
      <c r="F11228" s="15" t="str">
        <f aca="false">IF(B11228&lt;5,"Go","Standard")</f>
        <v>Standard</v>
      </c>
    </row>
    <row r="11229" customFormat="false" ht="15" hidden="false" customHeight="true" outlineLevel="0" collapsed="false">
      <c r="A11229" s="10" t="n">
        <f aca="false">Einstellungen!$B$5+INT((ROW()-9)/24)</f>
        <v>46433</v>
      </c>
      <c r="B11229" s="11" t="n">
        <f aca="false">MOD(ROW()-9,24)</f>
        <v>12</v>
      </c>
      <c r="C11229" s="12"/>
      <c r="D11229" s="13" t="n">
        <f aca="false">IF(B11229&lt;5,Einstellungen!$B$3,Einstellungen!$B$4)</f>
        <v>29.13</v>
      </c>
      <c r="E11229" s="14" t="str">
        <f aca="false">IF(C11229="","",C11229*D11229/100)</f>
        <v/>
      </c>
      <c r="F11229" s="15" t="str">
        <f aca="false">IF(B11229&lt;5,"Go","Standard")</f>
        <v>Standard</v>
      </c>
    </row>
    <row r="11230" customFormat="false" ht="15" hidden="false" customHeight="true" outlineLevel="0" collapsed="false">
      <c r="A11230" s="10" t="n">
        <f aca="false">Einstellungen!$B$5+INT((ROW()-9)/24)</f>
        <v>46433</v>
      </c>
      <c r="B11230" s="11" t="n">
        <f aca="false">MOD(ROW()-9,24)</f>
        <v>13</v>
      </c>
      <c r="C11230" s="12"/>
      <c r="D11230" s="13" t="n">
        <f aca="false">IF(B11230&lt;5,Einstellungen!$B$3,Einstellungen!$B$4)</f>
        <v>29.13</v>
      </c>
      <c r="E11230" s="14" t="str">
        <f aca="false">IF(C11230="","",C11230*D11230/100)</f>
        <v/>
      </c>
      <c r="F11230" s="15" t="str">
        <f aca="false">IF(B11230&lt;5,"Go","Standard")</f>
        <v>Standard</v>
      </c>
    </row>
    <row r="11231" customFormat="false" ht="15" hidden="false" customHeight="true" outlineLevel="0" collapsed="false">
      <c r="A11231" s="10" t="n">
        <f aca="false">Einstellungen!$B$5+INT((ROW()-9)/24)</f>
        <v>46433</v>
      </c>
      <c r="B11231" s="11" t="n">
        <f aca="false">MOD(ROW()-9,24)</f>
        <v>14</v>
      </c>
      <c r="C11231" s="12"/>
      <c r="D11231" s="13" t="n">
        <f aca="false">IF(B11231&lt;5,Einstellungen!$B$3,Einstellungen!$B$4)</f>
        <v>29.13</v>
      </c>
      <c r="E11231" s="14" t="str">
        <f aca="false">IF(C11231="","",C11231*D11231/100)</f>
        <v/>
      </c>
      <c r="F11231" s="15" t="str">
        <f aca="false">IF(B11231&lt;5,"Go","Standard")</f>
        <v>Standard</v>
      </c>
    </row>
    <row r="11232" customFormat="false" ht="15" hidden="false" customHeight="true" outlineLevel="0" collapsed="false">
      <c r="A11232" s="10" t="n">
        <f aca="false">Einstellungen!$B$5+INT((ROW()-9)/24)</f>
        <v>46433</v>
      </c>
      <c r="B11232" s="11" t="n">
        <f aca="false">MOD(ROW()-9,24)</f>
        <v>15</v>
      </c>
      <c r="C11232" s="12"/>
      <c r="D11232" s="13" t="n">
        <f aca="false">IF(B11232&lt;5,Einstellungen!$B$3,Einstellungen!$B$4)</f>
        <v>29.13</v>
      </c>
      <c r="E11232" s="14" t="str">
        <f aca="false">IF(C11232="","",C11232*D11232/100)</f>
        <v/>
      </c>
      <c r="F11232" s="15" t="str">
        <f aca="false">IF(B11232&lt;5,"Go","Standard")</f>
        <v>Standard</v>
      </c>
    </row>
    <row r="11233" customFormat="false" ht="15" hidden="false" customHeight="true" outlineLevel="0" collapsed="false">
      <c r="A11233" s="10" t="n">
        <f aca="false">Einstellungen!$B$5+INT((ROW()-9)/24)</f>
        <v>46433</v>
      </c>
      <c r="B11233" s="11" t="n">
        <f aca="false">MOD(ROW()-9,24)</f>
        <v>16</v>
      </c>
      <c r="C11233" s="12"/>
      <c r="D11233" s="13" t="n">
        <f aca="false">IF(B11233&lt;5,Einstellungen!$B$3,Einstellungen!$B$4)</f>
        <v>29.13</v>
      </c>
      <c r="E11233" s="14" t="str">
        <f aca="false">IF(C11233="","",C11233*D11233/100)</f>
        <v/>
      </c>
      <c r="F11233" s="15" t="str">
        <f aca="false">IF(B11233&lt;5,"Go","Standard")</f>
        <v>Standard</v>
      </c>
    </row>
    <row r="11234" customFormat="false" ht="15" hidden="false" customHeight="true" outlineLevel="0" collapsed="false">
      <c r="A11234" s="10" t="n">
        <f aca="false">Einstellungen!$B$5+INT((ROW()-9)/24)</f>
        <v>46433</v>
      </c>
      <c r="B11234" s="11" t="n">
        <f aca="false">MOD(ROW()-9,24)</f>
        <v>17</v>
      </c>
      <c r="C11234" s="12"/>
      <c r="D11234" s="13" t="n">
        <f aca="false">IF(B11234&lt;5,Einstellungen!$B$3,Einstellungen!$B$4)</f>
        <v>29.13</v>
      </c>
      <c r="E11234" s="14" t="str">
        <f aca="false">IF(C11234="","",C11234*D11234/100)</f>
        <v/>
      </c>
      <c r="F11234" s="15" t="str">
        <f aca="false">IF(B11234&lt;5,"Go","Standard")</f>
        <v>Standard</v>
      </c>
    </row>
    <row r="11235" customFormat="false" ht="15" hidden="false" customHeight="true" outlineLevel="0" collapsed="false">
      <c r="A11235" s="10" t="n">
        <f aca="false">Einstellungen!$B$5+INT((ROW()-9)/24)</f>
        <v>46433</v>
      </c>
      <c r="B11235" s="11" t="n">
        <f aca="false">MOD(ROW()-9,24)</f>
        <v>18</v>
      </c>
      <c r="C11235" s="12"/>
      <c r="D11235" s="13" t="n">
        <f aca="false">IF(B11235&lt;5,Einstellungen!$B$3,Einstellungen!$B$4)</f>
        <v>29.13</v>
      </c>
      <c r="E11235" s="14" t="str">
        <f aca="false">IF(C11235="","",C11235*D11235/100)</f>
        <v/>
      </c>
      <c r="F11235" s="15" t="str">
        <f aca="false">IF(B11235&lt;5,"Go","Standard")</f>
        <v>Standard</v>
      </c>
    </row>
    <row r="11236" customFormat="false" ht="15" hidden="false" customHeight="true" outlineLevel="0" collapsed="false">
      <c r="A11236" s="10" t="n">
        <f aca="false">Einstellungen!$B$5+INT((ROW()-9)/24)</f>
        <v>46433</v>
      </c>
      <c r="B11236" s="11" t="n">
        <f aca="false">MOD(ROW()-9,24)</f>
        <v>19</v>
      </c>
      <c r="C11236" s="12"/>
      <c r="D11236" s="13" t="n">
        <f aca="false">IF(B11236&lt;5,Einstellungen!$B$3,Einstellungen!$B$4)</f>
        <v>29.13</v>
      </c>
      <c r="E11236" s="14" t="str">
        <f aca="false">IF(C11236="","",C11236*D11236/100)</f>
        <v/>
      </c>
      <c r="F11236" s="15" t="str">
        <f aca="false">IF(B11236&lt;5,"Go","Standard")</f>
        <v>Standard</v>
      </c>
    </row>
    <row r="11237" customFormat="false" ht="15" hidden="false" customHeight="true" outlineLevel="0" collapsed="false">
      <c r="A11237" s="10" t="n">
        <f aca="false">Einstellungen!$B$5+INT((ROW()-9)/24)</f>
        <v>46433</v>
      </c>
      <c r="B11237" s="11" t="n">
        <f aca="false">MOD(ROW()-9,24)</f>
        <v>20</v>
      </c>
      <c r="C11237" s="12"/>
      <c r="D11237" s="13" t="n">
        <f aca="false">IF(B11237&lt;5,Einstellungen!$B$3,Einstellungen!$B$4)</f>
        <v>29.13</v>
      </c>
      <c r="E11237" s="14" t="str">
        <f aca="false">IF(C11237="","",C11237*D11237/100)</f>
        <v/>
      </c>
      <c r="F11237" s="15" t="str">
        <f aca="false">IF(B11237&lt;5,"Go","Standard")</f>
        <v>Standard</v>
      </c>
    </row>
    <row r="11238" customFormat="false" ht="15" hidden="false" customHeight="true" outlineLevel="0" collapsed="false">
      <c r="A11238" s="10" t="n">
        <f aca="false">Einstellungen!$B$5+INT((ROW()-9)/24)</f>
        <v>46433</v>
      </c>
      <c r="B11238" s="11" t="n">
        <f aca="false">MOD(ROW()-9,24)</f>
        <v>21</v>
      </c>
      <c r="C11238" s="12"/>
      <c r="D11238" s="13" t="n">
        <f aca="false">IF(B11238&lt;5,Einstellungen!$B$3,Einstellungen!$B$4)</f>
        <v>29.13</v>
      </c>
      <c r="E11238" s="14" t="str">
        <f aca="false">IF(C11238="","",C11238*D11238/100)</f>
        <v/>
      </c>
      <c r="F11238" s="15" t="str">
        <f aca="false">IF(B11238&lt;5,"Go","Standard")</f>
        <v>Standard</v>
      </c>
    </row>
    <row r="11239" customFormat="false" ht="15" hidden="false" customHeight="true" outlineLevel="0" collapsed="false">
      <c r="A11239" s="10" t="n">
        <f aca="false">Einstellungen!$B$5+INT((ROW()-9)/24)</f>
        <v>46433</v>
      </c>
      <c r="B11239" s="11" t="n">
        <f aca="false">MOD(ROW()-9,24)</f>
        <v>22</v>
      </c>
      <c r="C11239" s="12"/>
      <c r="D11239" s="13" t="n">
        <f aca="false">IF(B11239&lt;5,Einstellungen!$B$3,Einstellungen!$B$4)</f>
        <v>29.13</v>
      </c>
      <c r="E11239" s="14" t="str">
        <f aca="false">IF(C11239="","",C11239*D11239/100)</f>
        <v/>
      </c>
      <c r="F11239" s="15" t="str">
        <f aca="false">IF(B11239&lt;5,"Go","Standard")</f>
        <v>Standard</v>
      </c>
    </row>
    <row r="11240" customFormat="false" ht="15" hidden="false" customHeight="true" outlineLevel="0" collapsed="false">
      <c r="A11240" s="10" t="n">
        <f aca="false">Einstellungen!$B$5+INT((ROW()-9)/24)</f>
        <v>46433</v>
      </c>
      <c r="B11240" s="11" t="n">
        <f aca="false">MOD(ROW()-9,24)</f>
        <v>23</v>
      </c>
      <c r="C11240" s="12"/>
      <c r="D11240" s="13" t="n">
        <f aca="false">IF(B11240&lt;5,Einstellungen!$B$3,Einstellungen!$B$4)</f>
        <v>29.13</v>
      </c>
      <c r="E11240" s="14" t="str">
        <f aca="false">IF(C11240="","",C11240*D11240/100)</f>
        <v/>
      </c>
      <c r="F11240" s="15" t="str">
        <f aca="false">IF(B11240&lt;5,"Go","Standard")</f>
        <v>Standard</v>
      </c>
    </row>
    <row r="11241" customFormat="false" ht="15" hidden="false" customHeight="true" outlineLevel="0" collapsed="false">
      <c r="A11241" s="10" t="n">
        <f aca="false">Einstellungen!$B$5+INT((ROW()-9)/24)</f>
        <v>46434</v>
      </c>
      <c r="B11241" s="11" t="n">
        <f aca="false">MOD(ROW()-9,24)</f>
        <v>0</v>
      </c>
      <c r="C11241" s="12"/>
      <c r="D11241" s="13" t="n">
        <f aca="false">IF(B11241&lt;5,Einstellungen!$B$3,Einstellungen!$B$4)</f>
        <v>15.92</v>
      </c>
      <c r="E11241" s="14" t="str">
        <f aca="false">IF(C11241="","",C11241*D11241/100)</f>
        <v/>
      </c>
      <c r="F11241" s="15" t="str">
        <f aca="false">IF(B11241&lt;5,"Go","Standard")</f>
        <v>Go</v>
      </c>
    </row>
    <row r="11242" customFormat="false" ht="15" hidden="false" customHeight="true" outlineLevel="0" collapsed="false">
      <c r="A11242" s="10" t="n">
        <f aca="false">Einstellungen!$B$5+INT((ROW()-9)/24)</f>
        <v>46434</v>
      </c>
      <c r="B11242" s="11" t="n">
        <f aca="false">MOD(ROW()-9,24)</f>
        <v>1</v>
      </c>
      <c r="C11242" s="12"/>
      <c r="D11242" s="13" t="n">
        <f aca="false">IF(B11242&lt;5,Einstellungen!$B$3,Einstellungen!$B$4)</f>
        <v>15.92</v>
      </c>
      <c r="E11242" s="14" t="str">
        <f aca="false">IF(C11242="","",C11242*D11242/100)</f>
        <v/>
      </c>
      <c r="F11242" s="15" t="str">
        <f aca="false">IF(B11242&lt;5,"Go","Standard")</f>
        <v>Go</v>
      </c>
    </row>
    <row r="11243" customFormat="false" ht="15" hidden="false" customHeight="true" outlineLevel="0" collapsed="false">
      <c r="A11243" s="10" t="n">
        <f aca="false">Einstellungen!$B$5+INT((ROW()-9)/24)</f>
        <v>46434</v>
      </c>
      <c r="B11243" s="11" t="n">
        <f aca="false">MOD(ROW()-9,24)</f>
        <v>2</v>
      </c>
      <c r="C11243" s="12"/>
      <c r="D11243" s="13" t="n">
        <f aca="false">IF(B11243&lt;5,Einstellungen!$B$3,Einstellungen!$B$4)</f>
        <v>15.92</v>
      </c>
      <c r="E11243" s="14" t="str">
        <f aca="false">IF(C11243="","",C11243*D11243/100)</f>
        <v/>
      </c>
      <c r="F11243" s="15" t="str">
        <f aca="false">IF(B11243&lt;5,"Go","Standard")</f>
        <v>Go</v>
      </c>
    </row>
    <row r="11244" customFormat="false" ht="15" hidden="false" customHeight="true" outlineLevel="0" collapsed="false">
      <c r="A11244" s="10" t="n">
        <f aca="false">Einstellungen!$B$5+INT((ROW()-9)/24)</f>
        <v>46434</v>
      </c>
      <c r="B11244" s="11" t="n">
        <f aca="false">MOD(ROW()-9,24)</f>
        <v>3</v>
      </c>
      <c r="C11244" s="12"/>
      <c r="D11244" s="13" t="n">
        <f aca="false">IF(B11244&lt;5,Einstellungen!$B$3,Einstellungen!$B$4)</f>
        <v>15.92</v>
      </c>
      <c r="E11244" s="14" t="str">
        <f aca="false">IF(C11244="","",C11244*D11244/100)</f>
        <v/>
      </c>
      <c r="F11244" s="15" t="str">
        <f aca="false">IF(B11244&lt;5,"Go","Standard")</f>
        <v>Go</v>
      </c>
    </row>
    <row r="11245" customFormat="false" ht="15" hidden="false" customHeight="true" outlineLevel="0" collapsed="false">
      <c r="A11245" s="10" t="n">
        <f aca="false">Einstellungen!$B$5+INT((ROW()-9)/24)</f>
        <v>46434</v>
      </c>
      <c r="B11245" s="11" t="n">
        <f aca="false">MOD(ROW()-9,24)</f>
        <v>4</v>
      </c>
      <c r="C11245" s="12"/>
      <c r="D11245" s="13" t="n">
        <f aca="false">IF(B11245&lt;5,Einstellungen!$B$3,Einstellungen!$B$4)</f>
        <v>15.92</v>
      </c>
      <c r="E11245" s="14" t="str">
        <f aca="false">IF(C11245="","",C11245*D11245/100)</f>
        <v/>
      </c>
      <c r="F11245" s="15" t="str">
        <f aca="false">IF(B11245&lt;5,"Go","Standard")</f>
        <v>Go</v>
      </c>
    </row>
    <row r="11246" customFormat="false" ht="15" hidden="false" customHeight="true" outlineLevel="0" collapsed="false">
      <c r="A11246" s="10" t="n">
        <f aca="false">Einstellungen!$B$5+INT((ROW()-9)/24)</f>
        <v>46434</v>
      </c>
      <c r="B11246" s="11" t="n">
        <f aca="false">MOD(ROW()-9,24)</f>
        <v>5</v>
      </c>
      <c r="C11246" s="12"/>
      <c r="D11246" s="13" t="n">
        <f aca="false">IF(B11246&lt;5,Einstellungen!$B$3,Einstellungen!$B$4)</f>
        <v>29.13</v>
      </c>
      <c r="E11246" s="14" t="str">
        <f aca="false">IF(C11246="","",C11246*D11246/100)</f>
        <v/>
      </c>
      <c r="F11246" s="15" t="str">
        <f aca="false">IF(B11246&lt;5,"Go","Standard")</f>
        <v>Standard</v>
      </c>
    </row>
    <row r="11247" customFormat="false" ht="15" hidden="false" customHeight="true" outlineLevel="0" collapsed="false">
      <c r="A11247" s="10" t="n">
        <f aca="false">Einstellungen!$B$5+INT((ROW()-9)/24)</f>
        <v>46434</v>
      </c>
      <c r="B11247" s="11" t="n">
        <f aca="false">MOD(ROW()-9,24)</f>
        <v>6</v>
      </c>
      <c r="C11247" s="12"/>
      <c r="D11247" s="13" t="n">
        <f aca="false">IF(B11247&lt;5,Einstellungen!$B$3,Einstellungen!$B$4)</f>
        <v>29.13</v>
      </c>
      <c r="E11247" s="14" t="str">
        <f aca="false">IF(C11247="","",C11247*D11247/100)</f>
        <v/>
      </c>
      <c r="F11247" s="15" t="str">
        <f aca="false">IF(B11247&lt;5,"Go","Standard")</f>
        <v>Standard</v>
      </c>
    </row>
    <row r="11248" customFormat="false" ht="15" hidden="false" customHeight="true" outlineLevel="0" collapsed="false">
      <c r="A11248" s="10" t="n">
        <f aca="false">Einstellungen!$B$5+INT((ROW()-9)/24)</f>
        <v>46434</v>
      </c>
      <c r="B11248" s="11" t="n">
        <f aca="false">MOD(ROW()-9,24)</f>
        <v>7</v>
      </c>
      <c r="C11248" s="12"/>
      <c r="D11248" s="13" t="n">
        <f aca="false">IF(B11248&lt;5,Einstellungen!$B$3,Einstellungen!$B$4)</f>
        <v>29.13</v>
      </c>
      <c r="E11248" s="14" t="str">
        <f aca="false">IF(C11248="","",C11248*D11248/100)</f>
        <v/>
      </c>
      <c r="F11248" s="15" t="str">
        <f aca="false">IF(B11248&lt;5,"Go","Standard")</f>
        <v>Standard</v>
      </c>
    </row>
    <row r="11249" customFormat="false" ht="15" hidden="false" customHeight="true" outlineLevel="0" collapsed="false">
      <c r="A11249" s="10" t="n">
        <f aca="false">Einstellungen!$B$5+INT((ROW()-9)/24)</f>
        <v>46434</v>
      </c>
      <c r="B11249" s="11" t="n">
        <f aca="false">MOD(ROW()-9,24)</f>
        <v>8</v>
      </c>
      <c r="C11249" s="12"/>
      <c r="D11249" s="13" t="n">
        <f aca="false">IF(B11249&lt;5,Einstellungen!$B$3,Einstellungen!$B$4)</f>
        <v>29.13</v>
      </c>
      <c r="E11249" s="14" t="str">
        <f aca="false">IF(C11249="","",C11249*D11249/100)</f>
        <v/>
      </c>
      <c r="F11249" s="15" t="str">
        <f aca="false">IF(B11249&lt;5,"Go","Standard")</f>
        <v>Standard</v>
      </c>
    </row>
    <row r="11250" customFormat="false" ht="15" hidden="false" customHeight="true" outlineLevel="0" collapsed="false">
      <c r="A11250" s="10" t="n">
        <f aca="false">Einstellungen!$B$5+INT((ROW()-9)/24)</f>
        <v>46434</v>
      </c>
      <c r="B11250" s="11" t="n">
        <f aca="false">MOD(ROW()-9,24)</f>
        <v>9</v>
      </c>
      <c r="C11250" s="12"/>
      <c r="D11250" s="13" t="n">
        <f aca="false">IF(B11250&lt;5,Einstellungen!$B$3,Einstellungen!$B$4)</f>
        <v>29.13</v>
      </c>
      <c r="E11250" s="14" t="str">
        <f aca="false">IF(C11250="","",C11250*D11250/100)</f>
        <v/>
      </c>
      <c r="F11250" s="15" t="str">
        <f aca="false">IF(B11250&lt;5,"Go","Standard")</f>
        <v>Standard</v>
      </c>
    </row>
    <row r="11251" customFormat="false" ht="15" hidden="false" customHeight="true" outlineLevel="0" collapsed="false">
      <c r="A11251" s="10" t="n">
        <f aca="false">Einstellungen!$B$5+INT((ROW()-9)/24)</f>
        <v>46434</v>
      </c>
      <c r="B11251" s="11" t="n">
        <f aca="false">MOD(ROW()-9,24)</f>
        <v>10</v>
      </c>
      <c r="C11251" s="12"/>
      <c r="D11251" s="13" t="n">
        <f aca="false">IF(B11251&lt;5,Einstellungen!$B$3,Einstellungen!$B$4)</f>
        <v>29.13</v>
      </c>
      <c r="E11251" s="14" t="str">
        <f aca="false">IF(C11251="","",C11251*D11251/100)</f>
        <v/>
      </c>
      <c r="F11251" s="15" t="str">
        <f aca="false">IF(B11251&lt;5,"Go","Standard")</f>
        <v>Standard</v>
      </c>
    </row>
    <row r="11252" customFormat="false" ht="15" hidden="false" customHeight="true" outlineLevel="0" collapsed="false">
      <c r="A11252" s="10" t="n">
        <f aca="false">Einstellungen!$B$5+INT((ROW()-9)/24)</f>
        <v>46434</v>
      </c>
      <c r="B11252" s="11" t="n">
        <f aca="false">MOD(ROW()-9,24)</f>
        <v>11</v>
      </c>
      <c r="C11252" s="12"/>
      <c r="D11252" s="13" t="n">
        <f aca="false">IF(B11252&lt;5,Einstellungen!$B$3,Einstellungen!$B$4)</f>
        <v>29.13</v>
      </c>
      <c r="E11252" s="14" t="str">
        <f aca="false">IF(C11252="","",C11252*D11252/100)</f>
        <v/>
      </c>
      <c r="F11252" s="15" t="str">
        <f aca="false">IF(B11252&lt;5,"Go","Standard")</f>
        <v>Standard</v>
      </c>
    </row>
    <row r="11253" customFormat="false" ht="15" hidden="false" customHeight="true" outlineLevel="0" collapsed="false">
      <c r="A11253" s="10" t="n">
        <f aca="false">Einstellungen!$B$5+INT((ROW()-9)/24)</f>
        <v>46434</v>
      </c>
      <c r="B11253" s="11" t="n">
        <f aca="false">MOD(ROW()-9,24)</f>
        <v>12</v>
      </c>
      <c r="C11253" s="12"/>
      <c r="D11253" s="13" t="n">
        <f aca="false">IF(B11253&lt;5,Einstellungen!$B$3,Einstellungen!$B$4)</f>
        <v>29.13</v>
      </c>
      <c r="E11253" s="14" t="str">
        <f aca="false">IF(C11253="","",C11253*D11253/100)</f>
        <v/>
      </c>
      <c r="F11253" s="15" t="str">
        <f aca="false">IF(B11253&lt;5,"Go","Standard")</f>
        <v>Standard</v>
      </c>
    </row>
    <row r="11254" customFormat="false" ht="15" hidden="false" customHeight="true" outlineLevel="0" collapsed="false">
      <c r="A11254" s="10" t="n">
        <f aca="false">Einstellungen!$B$5+INT((ROW()-9)/24)</f>
        <v>46434</v>
      </c>
      <c r="B11254" s="11" t="n">
        <f aca="false">MOD(ROW()-9,24)</f>
        <v>13</v>
      </c>
      <c r="C11254" s="12"/>
      <c r="D11254" s="13" t="n">
        <f aca="false">IF(B11254&lt;5,Einstellungen!$B$3,Einstellungen!$B$4)</f>
        <v>29.13</v>
      </c>
      <c r="E11254" s="14" t="str">
        <f aca="false">IF(C11254="","",C11254*D11254/100)</f>
        <v/>
      </c>
      <c r="F11254" s="15" t="str">
        <f aca="false">IF(B11254&lt;5,"Go","Standard")</f>
        <v>Standard</v>
      </c>
    </row>
    <row r="11255" customFormat="false" ht="15" hidden="false" customHeight="true" outlineLevel="0" collapsed="false">
      <c r="A11255" s="10" t="n">
        <f aca="false">Einstellungen!$B$5+INT((ROW()-9)/24)</f>
        <v>46434</v>
      </c>
      <c r="B11255" s="11" t="n">
        <f aca="false">MOD(ROW()-9,24)</f>
        <v>14</v>
      </c>
      <c r="C11255" s="12"/>
      <c r="D11255" s="13" t="n">
        <f aca="false">IF(B11255&lt;5,Einstellungen!$B$3,Einstellungen!$B$4)</f>
        <v>29.13</v>
      </c>
      <c r="E11255" s="14" t="str">
        <f aca="false">IF(C11255="","",C11255*D11255/100)</f>
        <v/>
      </c>
      <c r="F11255" s="15" t="str">
        <f aca="false">IF(B11255&lt;5,"Go","Standard")</f>
        <v>Standard</v>
      </c>
    </row>
    <row r="11256" customFormat="false" ht="15" hidden="false" customHeight="true" outlineLevel="0" collapsed="false">
      <c r="A11256" s="10" t="n">
        <f aca="false">Einstellungen!$B$5+INT((ROW()-9)/24)</f>
        <v>46434</v>
      </c>
      <c r="B11256" s="11" t="n">
        <f aca="false">MOD(ROW()-9,24)</f>
        <v>15</v>
      </c>
      <c r="C11256" s="12"/>
      <c r="D11256" s="13" t="n">
        <f aca="false">IF(B11256&lt;5,Einstellungen!$B$3,Einstellungen!$B$4)</f>
        <v>29.13</v>
      </c>
      <c r="E11256" s="14" t="str">
        <f aca="false">IF(C11256="","",C11256*D11256/100)</f>
        <v/>
      </c>
      <c r="F11256" s="15" t="str">
        <f aca="false">IF(B11256&lt;5,"Go","Standard")</f>
        <v>Standard</v>
      </c>
    </row>
    <row r="11257" customFormat="false" ht="15" hidden="false" customHeight="true" outlineLevel="0" collapsed="false">
      <c r="A11257" s="10" t="n">
        <f aca="false">Einstellungen!$B$5+INT((ROW()-9)/24)</f>
        <v>46434</v>
      </c>
      <c r="B11257" s="11" t="n">
        <f aca="false">MOD(ROW()-9,24)</f>
        <v>16</v>
      </c>
      <c r="C11257" s="12"/>
      <c r="D11257" s="13" t="n">
        <f aca="false">IF(B11257&lt;5,Einstellungen!$B$3,Einstellungen!$B$4)</f>
        <v>29.13</v>
      </c>
      <c r="E11257" s="14" t="str">
        <f aca="false">IF(C11257="","",C11257*D11257/100)</f>
        <v/>
      </c>
      <c r="F11257" s="15" t="str">
        <f aca="false">IF(B11257&lt;5,"Go","Standard")</f>
        <v>Standard</v>
      </c>
    </row>
    <row r="11258" customFormat="false" ht="15" hidden="false" customHeight="true" outlineLevel="0" collapsed="false">
      <c r="A11258" s="10" t="n">
        <f aca="false">Einstellungen!$B$5+INT((ROW()-9)/24)</f>
        <v>46434</v>
      </c>
      <c r="B11258" s="11" t="n">
        <f aca="false">MOD(ROW()-9,24)</f>
        <v>17</v>
      </c>
      <c r="C11258" s="12"/>
      <c r="D11258" s="13" t="n">
        <f aca="false">IF(B11258&lt;5,Einstellungen!$B$3,Einstellungen!$B$4)</f>
        <v>29.13</v>
      </c>
      <c r="E11258" s="14" t="str">
        <f aca="false">IF(C11258="","",C11258*D11258/100)</f>
        <v/>
      </c>
      <c r="F11258" s="15" t="str">
        <f aca="false">IF(B11258&lt;5,"Go","Standard")</f>
        <v>Standard</v>
      </c>
    </row>
    <row r="11259" customFormat="false" ht="15" hidden="false" customHeight="true" outlineLevel="0" collapsed="false">
      <c r="A11259" s="10" t="n">
        <f aca="false">Einstellungen!$B$5+INT((ROW()-9)/24)</f>
        <v>46434</v>
      </c>
      <c r="B11259" s="11" t="n">
        <f aca="false">MOD(ROW()-9,24)</f>
        <v>18</v>
      </c>
      <c r="C11259" s="12"/>
      <c r="D11259" s="13" t="n">
        <f aca="false">IF(B11259&lt;5,Einstellungen!$B$3,Einstellungen!$B$4)</f>
        <v>29.13</v>
      </c>
      <c r="E11259" s="14" t="str">
        <f aca="false">IF(C11259="","",C11259*D11259/100)</f>
        <v/>
      </c>
      <c r="F11259" s="15" t="str">
        <f aca="false">IF(B11259&lt;5,"Go","Standard")</f>
        <v>Standard</v>
      </c>
    </row>
    <row r="11260" customFormat="false" ht="15" hidden="false" customHeight="true" outlineLevel="0" collapsed="false">
      <c r="A11260" s="10" t="n">
        <f aca="false">Einstellungen!$B$5+INT((ROW()-9)/24)</f>
        <v>46434</v>
      </c>
      <c r="B11260" s="11" t="n">
        <f aca="false">MOD(ROW()-9,24)</f>
        <v>19</v>
      </c>
      <c r="C11260" s="12"/>
      <c r="D11260" s="13" t="n">
        <f aca="false">IF(B11260&lt;5,Einstellungen!$B$3,Einstellungen!$B$4)</f>
        <v>29.13</v>
      </c>
      <c r="E11260" s="14" t="str">
        <f aca="false">IF(C11260="","",C11260*D11260/100)</f>
        <v/>
      </c>
      <c r="F11260" s="15" t="str">
        <f aca="false">IF(B11260&lt;5,"Go","Standard")</f>
        <v>Standard</v>
      </c>
    </row>
    <row r="11261" customFormat="false" ht="15" hidden="false" customHeight="true" outlineLevel="0" collapsed="false">
      <c r="A11261" s="10" t="n">
        <f aca="false">Einstellungen!$B$5+INT((ROW()-9)/24)</f>
        <v>46434</v>
      </c>
      <c r="B11261" s="11" t="n">
        <f aca="false">MOD(ROW()-9,24)</f>
        <v>20</v>
      </c>
      <c r="C11261" s="12"/>
      <c r="D11261" s="13" t="n">
        <f aca="false">IF(B11261&lt;5,Einstellungen!$B$3,Einstellungen!$B$4)</f>
        <v>29.13</v>
      </c>
      <c r="E11261" s="14" t="str">
        <f aca="false">IF(C11261="","",C11261*D11261/100)</f>
        <v/>
      </c>
      <c r="F11261" s="15" t="str">
        <f aca="false">IF(B11261&lt;5,"Go","Standard")</f>
        <v>Standard</v>
      </c>
    </row>
    <row r="11262" customFormat="false" ht="15" hidden="false" customHeight="true" outlineLevel="0" collapsed="false">
      <c r="A11262" s="10" t="n">
        <f aca="false">Einstellungen!$B$5+INT((ROW()-9)/24)</f>
        <v>46434</v>
      </c>
      <c r="B11262" s="11" t="n">
        <f aca="false">MOD(ROW()-9,24)</f>
        <v>21</v>
      </c>
      <c r="C11262" s="12"/>
      <c r="D11262" s="13" t="n">
        <f aca="false">IF(B11262&lt;5,Einstellungen!$B$3,Einstellungen!$B$4)</f>
        <v>29.13</v>
      </c>
      <c r="E11262" s="14" t="str">
        <f aca="false">IF(C11262="","",C11262*D11262/100)</f>
        <v/>
      </c>
      <c r="F11262" s="15" t="str">
        <f aca="false">IF(B11262&lt;5,"Go","Standard")</f>
        <v>Standard</v>
      </c>
    </row>
    <row r="11263" customFormat="false" ht="15" hidden="false" customHeight="true" outlineLevel="0" collapsed="false">
      <c r="A11263" s="10" t="n">
        <f aca="false">Einstellungen!$B$5+INT((ROW()-9)/24)</f>
        <v>46434</v>
      </c>
      <c r="B11263" s="11" t="n">
        <f aca="false">MOD(ROW()-9,24)</f>
        <v>22</v>
      </c>
      <c r="C11263" s="12"/>
      <c r="D11263" s="13" t="n">
        <f aca="false">IF(B11263&lt;5,Einstellungen!$B$3,Einstellungen!$B$4)</f>
        <v>29.13</v>
      </c>
      <c r="E11263" s="14" t="str">
        <f aca="false">IF(C11263="","",C11263*D11263/100)</f>
        <v/>
      </c>
      <c r="F11263" s="15" t="str">
        <f aca="false">IF(B11263&lt;5,"Go","Standard")</f>
        <v>Standard</v>
      </c>
    </row>
    <row r="11264" customFormat="false" ht="15" hidden="false" customHeight="true" outlineLevel="0" collapsed="false">
      <c r="A11264" s="10" t="n">
        <f aca="false">Einstellungen!$B$5+INT((ROW()-9)/24)</f>
        <v>46434</v>
      </c>
      <c r="B11264" s="11" t="n">
        <f aca="false">MOD(ROW()-9,24)</f>
        <v>23</v>
      </c>
      <c r="C11264" s="12"/>
      <c r="D11264" s="13" t="n">
        <f aca="false">IF(B11264&lt;5,Einstellungen!$B$3,Einstellungen!$B$4)</f>
        <v>29.13</v>
      </c>
      <c r="E11264" s="14" t="str">
        <f aca="false">IF(C11264="","",C11264*D11264/100)</f>
        <v/>
      </c>
      <c r="F11264" s="15" t="str">
        <f aca="false">IF(B11264&lt;5,"Go","Standard")</f>
        <v>Standard</v>
      </c>
    </row>
    <row r="11265" customFormat="false" ht="15" hidden="false" customHeight="true" outlineLevel="0" collapsed="false">
      <c r="A11265" s="10" t="n">
        <f aca="false">Einstellungen!$B$5+INT((ROW()-9)/24)</f>
        <v>46435</v>
      </c>
      <c r="B11265" s="11" t="n">
        <f aca="false">MOD(ROW()-9,24)</f>
        <v>0</v>
      </c>
      <c r="C11265" s="12"/>
      <c r="D11265" s="13" t="n">
        <f aca="false">IF(B11265&lt;5,Einstellungen!$B$3,Einstellungen!$B$4)</f>
        <v>15.92</v>
      </c>
      <c r="E11265" s="14" t="str">
        <f aca="false">IF(C11265="","",C11265*D11265/100)</f>
        <v/>
      </c>
      <c r="F11265" s="15" t="str">
        <f aca="false">IF(B11265&lt;5,"Go","Standard")</f>
        <v>Go</v>
      </c>
    </row>
    <row r="11266" customFormat="false" ht="15" hidden="false" customHeight="true" outlineLevel="0" collapsed="false">
      <c r="A11266" s="10" t="n">
        <f aca="false">Einstellungen!$B$5+INT((ROW()-9)/24)</f>
        <v>46435</v>
      </c>
      <c r="B11266" s="11" t="n">
        <f aca="false">MOD(ROW()-9,24)</f>
        <v>1</v>
      </c>
      <c r="C11266" s="12"/>
      <c r="D11266" s="13" t="n">
        <f aca="false">IF(B11266&lt;5,Einstellungen!$B$3,Einstellungen!$B$4)</f>
        <v>15.92</v>
      </c>
      <c r="E11266" s="14" t="str">
        <f aca="false">IF(C11266="","",C11266*D11266/100)</f>
        <v/>
      </c>
      <c r="F11266" s="15" t="str">
        <f aca="false">IF(B11266&lt;5,"Go","Standard")</f>
        <v>Go</v>
      </c>
    </row>
    <row r="11267" customFormat="false" ht="15" hidden="false" customHeight="true" outlineLevel="0" collapsed="false">
      <c r="A11267" s="10" t="n">
        <f aca="false">Einstellungen!$B$5+INT((ROW()-9)/24)</f>
        <v>46435</v>
      </c>
      <c r="B11267" s="11" t="n">
        <f aca="false">MOD(ROW()-9,24)</f>
        <v>2</v>
      </c>
      <c r="C11267" s="12"/>
      <c r="D11267" s="13" t="n">
        <f aca="false">IF(B11267&lt;5,Einstellungen!$B$3,Einstellungen!$B$4)</f>
        <v>15.92</v>
      </c>
      <c r="E11267" s="14" t="str">
        <f aca="false">IF(C11267="","",C11267*D11267/100)</f>
        <v/>
      </c>
      <c r="F11267" s="15" t="str">
        <f aca="false">IF(B11267&lt;5,"Go","Standard")</f>
        <v>Go</v>
      </c>
    </row>
    <row r="11268" customFormat="false" ht="15" hidden="false" customHeight="true" outlineLevel="0" collapsed="false">
      <c r="A11268" s="10" t="n">
        <f aca="false">Einstellungen!$B$5+INT((ROW()-9)/24)</f>
        <v>46435</v>
      </c>
      <c r="B11268" s="11" t="n">
        <f aca="false">MOD(ROW()-9,24)</f>
        <v>3</v>
      </c>
      <c r="C11268" s="12"/>
      <c r="D11268" s="13" t="n">
        <f aca="false">IF(B11268&lt;5,Einstellungen!$B$3,Einstellungen!$B$4)</f>
        <v>15.92</v>
      </c>
      <c r="E11268" s="14" t="str">
        <f aca="false">IF(C11268="","",C11268*D11268/100)</f>
        <v/>
      </c>
      <c r="F11268" s="15" t="str">
        <f aca="false">IF(B11268&lt;5,"Go","Standard")</f>
        <v>Go</v>
      </c>
    </row>
    <row r="11269" customFormat="false" ht="15" hidden="false" customHeight="true" outlineLevel="0" collapsed="false">
      <c r="A11269" s="10" t="n">
        <f aca="false">Einstellungen!$B$5+INT((ROW()-9)/24)</f>
        <v>46435</v>
      </c>
      <c r="B11269" s="11" t="n">
        <f aca="false">MOD(ROW()-9,24)</f>
        <v>4</v>
      </c>
      <c r="C11269" s="12"/>
      <c r="D11269" s="13" t="n">
        <f aca="false">IF(B11269&lt;5,Einstellungen!$B$3,Einstellungen!$B$4)</f>
        <v>15.92</v>
      </c>
      <c r="E11269" s="14" t="str">
        <f aca="false">IF(C11269="","",C11269*D11269/100)</f>
        <v/>
      </c>
      <c r="F11269" s="15" t="str">
        <f aca="false">IF(B11269&lt;5,"Go","Standard")</f>
        <v>Go</v>
      </c>
    </row>
    <row r="11270" customFormat="false" ht="15" hidden="false" customHeight="true" outlineLevel="0" collapsed="false">
      <c r="A11270" s="10" t="n">
        <f aca="false">Einstellungen!$B$5+INT((ROW()-9)/24)</f>
        <v>46435</v>
      </c>
      <c r="B11270" s="11" t="n">
        <f aca="false">MOD(ROW()-9,24)</f>
        <v>5</v>
      </c>
      <c r="C11270" s="12"/>
      <c r="D11270" s="13" t="n">
        <f aca="false">IF(B11270&lt;5,Einstellungen!$B$3,Einstellungen!$B$4)</f>
        <v>29.13</v>
      </c>
      <c r="E11270" s="14" t="str">
        <f aca="false">IF(C11270="","",C11270*D11270/100)</f>
        <v/>
      </c>
      <c r="F11270" s="15" t="str">
        <f aca="false">IF(B11270&lt;5,"Go","Standard")</f>
        <v>Standard</v>
      </c>
    </row>
    <row r="11271" customFormat="false" ht="15" hidden="false" customHeight="true" outlineLevel="0" collapsed="false">
      <c r="A11271" s="10" t="n">
        <f aca="false">Einstellungen!$B$5+INT((ROW()-9)/24)</f>
        <v>46435</v>
      </c>
      <c r="B11271" s="11" t="n">
        <f aca="false">MOD(ROW()-9,24)</f>
        <v>6</v>
      </c>
      <c r="C11271" s="12"/>
      <c r="D11271" s="13" t="n">
        <f aca="false">IF(B11271&lt;5,Einstellungen!$B$3,Einstellungen!$B$4)</f>
        <v>29.13</v>
      </c>
      <c r="E11271" s="14" t="str">
        <f aca="false">IF(C11271="","",C11271*D11271/100)</f>
        <v/>
      </c>
      <c r="F11271" s="15" t="str">
        <f aca="false">IF(B11271&lt;5,"Go","Standard")</f>
        <v>Standard</v>
      </c>
    </row>
    <row r="11272" customFormat="false" ht="15" hidden="false" customHeight="true" outlineLevel="0" collapsed="false">
      <c r="A11272" s="10" t="n">
        <f aca="false">Einstellungen!$B$5+INT((ROW()-9)/24)</f>
        <v>46435</v>
      </c>
      <c r="B11272" s="11" t="n">
        <f aca="false">MOD(ROW()-9,24)</f>
        <v>7</v>
      </c>
      <c r="C11272" s="12"/>
      <c r="D11272" s="13" t="n">
        <f aca="false">IF(B11272&lt;5,Einstellungen!$B$3,Einstellungen!$B$4)</f>
        <v>29.13</v>
      </c>
      <c r="E11272" s="14" t="str">
        <f aca="false">IF(C11272="","",C11272*D11272/100)</f>
        <v/>
      </c>
      <c r="F11272" s="15" t="str">
        <f aca="false">IF(B11272&lt;5,"Go","Standard")</f>
        <v>Standard</v>
      </c>
    </row>
    <row r="11273" customFormat="false" ht="15" hidden="false" customHeight="true" outlineLevel="0" collapsed="false">
      <c r="A11273" s="10" t="n">
        <f aca="false">Einstellungen!$B$5+INT((ROW()-9)/24)</f>
        <v>46435</v>
      </c>
      <c r="B11273" s="11" t="n">
        <f aca="false">MOD(ROW()-9,24)</f>
        <v>8</v>
      </c>
      <c r="C11273" s="12"/>
      <c r="D11273" s="13" t="n">
        <f aca="false">IF(B11273&lt;5,Einstellungen!$B$3,Einstellungen!$B$4)</f>
        <v>29.13</v>
      </c>
      <c r="E11273" s="14" t="str">
        <f aca="false">IF(C11273="","",C11273*D11273/100)</f>
        <v/>
      </c>
      <c r="F11273" s="15" t="str">
        <f aca="false">IF(B11273&lt;5,"Go","Standard")</f>
        <v>Standard</v>
      </c>
    </row>
    <row r="11274" customFormat="false" ht="15" hidden="false" customHeight="true" outlineLevel="0" collapsed="false">
      <c r="A11274" s="10" t="n">
        <f aca="false">Einstellungen!$B$5+INT((ROW()-9)/24)</f>
        <v>46435</v>
      </c>
      <c r="B11274" s="11" t="n">
        <f aca="false">MOD(ROW()-9,24)</f>
        <v>9</v>
      </c>
      <c r="C11274" s="12"/>
      <c r="D11274" s="13" t="n">
        <f aca="false">IF(B11274&lt;5,Einstellungen!$B$3,Einstellungen!$B$4)</f>
        <v>29.13</v>
      </c>
      <c r="E11274" s="14" t="str">
        <f aca="false">IF(C11274="","",C11274*D11274/100)</f>
        <v/>
      </c>
      <c r="F11274" s="15" t="str">
        <f aca="false">IF(B11274&lt;5,"Go","Standard")</f>
        <v>Standard</v>
      </c>
    </row>
    <row r="11275" customFormat="false" ht="15" hidden="false" customHeight="true" outlineLevel="0" collapsed="false">
      <c r="A11275" s="10" t="n">
        <f aca="false">Einstellungen!$B$5+INT((ROW()-9)/24)</f>
        <v>46435</v>
      </c>
      <c r="B11275" s="11" t="n">
        <f aca="false">MOD(ROW()-9,24)</f>
        <v>10</v>
      </c>
      <c r="C11275" s="12"/>
      <c r="D11275" s="13" t="n">
        <f aca="false">IF(B11275&lt;5,Einstellungen!$B$3,Einstellungen!$B$4)</f>
        <v>29.13</v>
      </c>
      <c r="E11275" s="14" t="str">
        <f aca="false">IF(C11275="","",C11275*D11275/100)</f>
        <v/>
      </c>
      <c r="F11275" s="15" t="str">
        <f aca="false">IF(B11275&lt;5,"Go","Standard")</f>
        <v>Standard</v>
      </c>
    </row>
    <row r="11276" customFormat="false" ht="15" hidden="false" customHeight="true" outlineLevel="0" collapsed="false">
      <c r="A11276" s="10" t="n">
        <f aca="false">Einstellungen!$B$5+INT((ROW()-9)/24)</f>
        <v>46435</v>
      </c>
      <c r="B11276" s="11" t="n">
        <f aca="false">MOD(ROW()-9,24)</f>
        <v>11</v>
      </c>
      <c r="C11276" s="12"/>
      <c r="D11276" s="13" t="n">
        <f aca="false">IF(B11276&lt;5,Einstellungen!$B$3,Einstellungen!$B$4)</f>
        <v>29.13</v>
      </c>
      <c r="E11276" s="14" t="str">
        <f aca="false">IF(C11276="","",C11276*D11276/100)</f>
        <v/>
      </c>
      <c r="F11276" s="15" t="str">
        <f aca="false">IF(B11276&lt;5,"Go","Standard")</f>
        <v>Standard</v>
      </c>
    </row>
    <row r="11277" customFormat="false" ht="15" hidden="false" customHeight="true" outlineLevel="0" collapsed="false">
      <c r="A11277" s="10" t="n">
        <f aca="false">Einstellungen!$B$5+INT((ROW()-9)/24)</f>
        <v>46435</v>
      </c>
      <c r="B11277" s="11" t="n">
        <f aca="false">MOD(ROW()-9,24)</f>
        <v>12</v>
      </c>
      <c r="C11277" s="12"/>
      <c r="D11277" s="13" t="n">
        <f aca="false">IF(B11277&lt;5,Einstellungen!$B$3,Einstellungen!$B$4)</f>
        <v>29.13</v>
      </c>
      <c r="E11277" s="14" t="str">
        <f aca="false">IF(C11277="","",C11277*D11277/100)</f>
        <v/>
      </c>
      <c r="F11277" s="15" t="str">
        <f aca="false">IF(B11277&lt;5,"Go","Standard")</f>
        <v>Standard</v>
      </c>
    </row>
    <row r="11278" customFormat="false" ht="15" hidden="false" customHeight="true" outlineLevel="0" collapsed="false">
      <c r="A11278" s="10" t="n">
        <f aca="false">Einstellungen!$B$5+INT((ROW()-9)/24)</f>
        <v>46435</v>
      </c>
      <c r="B11278" s="11" t="n">
        <f aca="false">MOD(ROW()-9,24)</f>
        <v>13</v>
      </c>
      <c r="C11278" s="12"/>
      <c r="D11278" s="13" t="n">
        <f aca="false">IF(B11278&lt;5,Einstellungen!$B$3,Einstellungen!$B$4)</f>
        <v>29.13</v>
      </c>
      <c r="E11278" s="14" t="str">
        <f aca="false">IF(C11278="","",C11278*D11278/100)</f>
        <v/>
      </c>
      <c r="F11278" s="15" t="str">
        <f aca="false">IF(B11278&lt;5,"Go","Standard")</f>
        <v>Standard</v>
      </c>
    </row>
    <row r="11279" customFormat="false" ht="15" hidden="false" customHeight="true" outlineLevel="0" collapsed="false">
      <c r="A11279" s="10" t="n">
        <f aca="false">Einstellungen!$B$5+INT((ROW()-9)/24)</f>
        <v>46435</v>
      </c>
      <c r="B11279" s="11" t="n">
        <f aca="false">MOD(ROW()-9,24)</f>
        <v>14</v>
      </c>
      <c r="C11279" s="12"/>
      <c r="D11279" s="13" t="n">
        <f aca="false">IF(B11279&lt;5,Einstellungen!$B$3,Einstellungen!$B$4)</f>
        <v>29.13</v>
      </c>
      <c r="E11279" s="14" t="str">
        <f aca="false">IF(C11279="","",C11279*D11279/100)</f>
        <v/>
      </c>
      <c r="F11279" s="15" t="str">
        <f aca="false">IF(B11279&lt;5,"Go","Standard")</f>
        <v>Standard</v>
      </c>
    </row>
    <row r="11280" customFormat="false" ht="15" hidden="false" customHeight="true" outlineLevel="0" collapsed="false">
      <c r="A11280" s="10" t="n">
        <f aca="false">Einstellungen!$B$5+INT((ROW()-9)/24)</f>
        <v>46435</v>
      </c>
      <c r="B11280" s="11" t="n">
        <f aca="false">MOD(ROW()-9,24)</f>
        <v>15</v>
      </c>
      <c r="C11280" s="12"/>
      <c r="D11280" s="13" t="n">
        <f aca="false">IF(B11280&lt;5,Einstellungen!$B$3,Einstellungen!$B$4)</f>
        <v>29.13</v>
      </c>
      <c r="E11280" s="14" t="str">
        <f aca="false">IF(C11280="","",C11280*D11280/100)</f>
        <v/>
      </c>
      <c r="F11280" s="15" t="str">
        <f aca="false">IF(B11280&lt;5,"Go","Standard")</f>
        <v>Standard</v>
      </c>
    </row>
    <row r="11281" customFormat="false" ht="15" hidden="false" customHeight="true" outlineLevel="0" collapsed="false">
      <c r="A11281" s="10" t="n">
        <f aca="false">Einstellungen!$B$5+INT((ROW()-9)/24)</f>
        <v>46435</v>
      </c>
      <c r="B11281" s="11" t="n">
        <f aca="false">MOD(ROW()-9,24)</f>
        <v>16</v>
      </c>
      <c r="C11281" s="12"/>
      <c r="D11281" s="13" t="n">
        <f aca="false">IF(B11281&lt;5,Einstellungen!$B$3,Einstellungen!$B$4)</f>
        <v>29.13</v>
      </c>
      <c r="E11281" s="14" t="str">
        <f aca="false">IF(C11281="","",C11281*D11281/100)</f>
        <v/>
      </c>
      <c r="F11281" s="15" t="str">
        <f aca="false">IF(B11281&lt;5,"Go","Standard")</f>
        <v>Standard</v>
      </c>
    </row>
    <row r="11282" customFormat="false" ht="15" hidden="false" customHeight="true" outlineLevel="0" collapsed="false">
      <c r="A11282" s="10" t="n">
        <f aca="false">Einstellungen!$B$5+INT((ROW()-9)/24)</f>
        <v>46435</v>
      </c>
      <c r="B11282" s="11" t="n">
        <f aca="false">MOD(ROW()-9,24)</f>
        <v>17</v>
      </c>
      <c r="C11282" s="12"/>
      <c r="D11282" s="13" t="n">
        <f aca="false">IF(B11282&lt;5,Einstellungen!$B$3,Einstellungen!$B$4)</f>
        <v>29.13</v>
      </c>
      <c r="E11282" s="14" t="str">
        <f aca="false">IF(C11282="","",C11282*D11282/100)</f>
        <v/>
      </c>
      <c r="F11282" s="15" t="str">
        <f aca="false">IF(B11282&lt;5,"Go","Standard")</f>
        <v>Standard</v>
      </c>
    </row>
    <row r="11283" customFormat="false" ht="15" hidden="false" customHeight="true" outlineLevel="0" collapsed="false">
      <c r="A11283" s="10" t="n">
        <f aca="false">Einstellungen!$B$5+INT((ROW()-9)/24)</f>
        <v>46435</v>
      </c>
      <c r="B11283" s="11" t="n">
        <f aca="false">MOD(ROW()-9,24)</f>
        <v>18</v>
      </c>
      <c r="C11283" s="12"/>
      <c r="D11283" s="13" t="n">
        <f aca="false">IF(B11283&lt;5,Einstellungen!$B$3,Einstellungen!$B$4)</f>
        <v>29.13</v>
      </c>
      <c r="E11283" s="14" t="str">
        <f aca="false">IF(C11283="","",C11283*D11283/100)</f>
        <v/>
      </c>
      <c r="F11283" s="15" t="str">
        <f aca="false">IF(B11283&lt;5,"Go","Standard")</f>
        <v>Standard</v>
      </c>
    </row>
    <row r="11284" customFormat="false" ht="15" hidden="false" customHeight="true" outlineLevel="0" collapsed="false">
      <c r="A11284" s="10" t="n">
        <f aca="false">Einstellungen!$B$5+INT((ROW()-9)/24)</f>
        <v>46435</v>
      </c>
      <c r="B11284" s="11" t="n">
        <f aca="false">MOD(ROW()-9,24)</f>
        <v>19</v>
      </c>
      <c r="C11284" s="12"/>
      <c r="D11284" s="13" t="n">
        <f aca="false">IF(B11284&lt;5,Einstellungen!$B$3,Einstellungen!$B$4)</f>
        <v>29.13</v>
      </c>
      <c r="E11284" s="14" t="str">
        <f aca="false">IF(C11284="","",C11284*D11284/100)</f>
        <v/>
      </c>
      <c r="F11284" s="15" t="str">
        <f aca="false">IF(B11284&lt;5,"Go","Standard")</f>
        <v>Standard</v>
      </c>
    </row>
    <row r="11285" customFormat="false" ht="15" hidden="false" customHeight="true" outlineLevel="0" collapsed="false">
      <c r="A11285" s="10" t="n">
        <f aca="false">Einstellungen!$B$5+INT((ROW()-9)/24)</f>
        <v>46435</v>
      </c>
      <c r="B11285" s="11" t="n">
        <f aca="false">MOD(ROW()-9,24)</f>
        <v>20</v>
      </c>
      <c r="C11285" s="12"/>
      <c r="D11285" s="13" t="n">
        <f aca="false">IF(B11285&lt;5,Einstellungen!$B$3,Einstellungen!$B$4)</f>
        <v>29.13</v>
      </c>
      <c r="E11285" s="14" t="str">
        <f aca="false">IF(C11285="","",C11285*D11285/100)</f>
        <v/>
      </c>
      <c r="F11285" s="15" t="str">
        <f aca="false">IF(B11285&lt;5,"Go","Standard")</f>
        <v>Standard</v>
      </c>
    </row>
    <row r="11286" customFormat="false" ht="15" hidden="false" customHeight="true" outlineLevel="0" collapsed="false">
      <c r="A11286" s="10" t="n">
        <f aca="false">Einstellungen!$B$5+INT((ROW()-9)/24)</f>
        <v>46435</v>
      </c>
      <c r="B11286" s="11" t="n">
        <f aca="false">MOD(ROW()-9,24)</f>
        <v>21</v>
      </c>
      <c r="C11286" s="12"/>
      <c r="D11286" s="13" t="n">
        <f aca="false">IF(B11286&lt;5,Einstellungen!$B$3,Einstellungen!$B$4)</f>
        <v>29.13</v>
      </c>
      <c r="E11286" s="14" t="str">
        <f aca="false">IF(C11286="","",C11286*D11286/100)</f>
        <v/>
      </c>
      <c r="F11286" s="15" t="str">
        <f aca="false">IF(B11286&lt;5,"Go","Standard")</f>
        <v>Standard</v>
      </c>
    </row>
    <row r="11287" customFormat="false" ht="15" hidden="false" customHeight="true" outlineLevel="0" collapsed="false">
      <c r="A11287" s="10" t="n">
        <f aca="false">Einstellungen!$B$5+INT((ROW()-9)/24)</f>
        <v>46435</v>
      </c>
      <c r="B11287" s="11" t="n">
        <f aca="false">MOD(ROW()-9,24)</f>
        <v>22</v>
      </c>
      <c r="C11287" s="12"/>
      <c r="D11287" s="13" t="n">
        <f aca="false">IF(B11287&lt;5,Einstellungen!$B$3,Einstellungen!$B$4)</f>
        <v>29.13</v>
      </c>
      <c r="E11287" s="14" t="str">
        <f aca="false">IF(C11287="","",C11287*D11287/100)</f>
        <v/>
      </c>
      <c r="F11287" s="15" t="str">
        <f aca="false">IF(B11287&lt;5,"Go","Standard")</f>
        <v>Standard</v>
      </c>
    </row>
    <row r="11288" customFormat="false" ht="15" hidden="false" customHeight="true" outlineLevel="0" collapsed="false">
      <c r="A11288" s="10" t="n">
        <f aca="false">Einstellungen!$B$5+INT((ROW()-9)/24)</f>
        <v>46435</v>
      </c>
      <c r="B11288" s="11" t="n">
        <f aca="false">MOD(ROW()-9,24)</f>
        <v>23</v>
      </c>
      <c r="C11288" s="12"/>
      <c r="D11288" s="13" t="n">
        <f aca="false">IF(B11288&lt;5,Einstellungen!$B$3,Einstellungen!$B$4)</f>
        <v>29.13</v>
      </c>
      <c r="E11288" s="14" t="str">
        <f aca="false">IF(C11288="","",C11288*D11288/100)</f>
        <v/>
      </c>
      <c r="F11288" s="15" t="str">
        <f aca="false">IF(B11288&lt;5,"Go","Standard")</f>
        <v>Standard</v>
      </c>
    </row>
    <row r="11289" customFormat="false" ht="15" hidden="false" customHeight="true" outlineLevel="0" collapsed="false">
      <c r="A11289" s="10" t="n">
        <f aca="false">Einstellungen!$B$5+INT((ROW()-9)/24)</f>
        <v>46436</v>
      </c>
      <c r="B11289" s="11" t="n">
        <f aca="false">MOD(ROW()-9,24)</f>
        <v>0</v>
      </c>
      <c r="C11289" s="12"/>
      <c r="D11289" s="13" t="n">
        <f aca="false">IF(B11289&lt;5,Einstellungen!$B$3,Einstellungen!$B$4)</f>
        <v>15.92</v>
      </c>
      <c r="E11289" s="14" t="str">
        <f aca="false">IF(C11289="","",C11289*D11289/100)</f>
        <v/>
      </c>
      <c r="F11289" s="15" t="str">
        <f aca="false">IF(B11289&lt;5,"Go","Standard")</f>
        <v>Go</v>
      </c>
    </row>
    <row r="11290" customFormat="false" ht="15" hidden="false" customHeight="true" outlineLevel="0" collapsed="false">
      <c r="A11290" s="10" t="n">
        <f aca="false">Einstellungen!$B$5+INT((ROW()-9)/24)</f>
        <v>46436</v>
      </c>
      <c r="B11290" s="11" t="n">
        <f aca="false">MOD(ROW()-9,24)</f>
        <v>1</v>
      </c>
      <c r="C11290" s="12"/>
      <c r="D11290" s="13" t="n">
        <f aca="false">IF(B11290&lt;5,Einstellungen!$B$3,Einstellungen!$B$4)</f>
        <v>15.92</v>
      </c>
      <c r="E11290" s="14" t="str">
        <f aca="false">IF(C11290="","",C11290*D11290/100)</f>
        <v/>
      </c>
      <c r="F11290" s="15" t="str">
        <f aca="false">IF(B11290&lt;5,"Go","Standard")</f>
        <v>Go</v>
      </c>
    </row>
    <row r="11291" customFormat="false" ht="15" hidden="false" customHeight="true" outlineLevel="0" collapsed="false">
      <c r="A11291" s="10" t="n">
        <f aca="false">Einstellungen!$B$5+INT((ROW()-9)/24)</f>
        <v>46436</v>
      </c>
      <c r="B11291" s="11" t="n">
        <f aca="false">MOD(ROW()-9,24)</f>
        <v>2</v>
      </c>
      <c r="C11291" s="12"/>
      <c r="D11291" s="13" t="n">
        <f aca="false">IF(B11291&lt;5,Einstellungen!$B$3,Einstellungen!$B$4)</f>
        <v>15.92</v>
      </c>
      <c r="E11291" s="14" t="str">
        <f aca="false">IF(C11291="","",C11291*D11291/100)</f>
        <v/>
      </c>
      <c r="F11291" s="15" t="str">
        <f aca="false">IF(B11291&lt;5,"Go","Standard")</f>
        <v>Go</v>
      </c>
    </row>
    <row r="11292" customFormat="false" ht="15" hidden="false" customHeight="true" outlineLevel="0" collapsed="false">
      <c r="A11292" s="10" t="n">
        <f aca="false">Einstellungen!$B$5+INT((ROW()-9)/24)</f>
        <v>46436</v>
      </c>
      <c r="B11292" s="11" t="n">
        <f aca="false">MOD(ROW()-9,24)</f>
        <v>3</v>
      </c>
      <c r="C11292" s="12"/>
      <c r="D11292" s="13" t="n">
        <f aca="false">IF(B11292&lt;5,Einstellungen!$B$3,Einstellungen!$B$4)</f>
        <v>15.92</v>
      </c>
      <c r="E11292" s="14" t="str">
        <f aca="false">IF(C11292="","",C11292*D11292/100)</f>
        <v/>
      </c>
      <c r="F11292" s="15" t="str">
        <f aca="false">IF(B11292&lt;5,"Go","Standard")</f>
        <v>Go</v>
      </c>
    </row>
    <row r="11293" customFormat="false" ht="15" hidden="false" customHeight="true" outlineLevel="0" collapsed="false">
      <c r="A11293" s="10" t="n">
        <f aca="false">Einstellungen!$B$5+INT((ROW()-9)/24)</f>
        <v>46436</v>
      </c>
      <c r="B11293" s="11" t="n">
        <f aca="false">MOD(ROW()-9,24)</f>
        <v>4</v>
      </c>
      <c r="C11293" s="12"/>
      <c r="D11293" s="13" t="n">
        <f aca="false">IF(B11293&lt;5,Einstellungen!$B$3,Einstellungen!$B$4)</f>
        <v>15.92</v>
      </c>
      <c r="E11293" s="14" t="str">
        <f aca="false">IF(C11293="","",C11293*D11293/100)</f>
        <v/>
      </c>
      <c r="F11293" s="15" t="str">
        <f aca="false">IF(B11293&lt;5,"Go","Standard")</f>
        <v>Go</v>
      </c>
    </row>
    <row r="11294" customFormat="false" ht="15" hidden="false" customHeight="true" outlineLevel="0" collapsed="false">
      <c r="A11294" s="10" t="n">
        <f aca="false">Einstellungen!$B$5+INT((ROW()-9)/24)</f>
        <v>46436</v>
      </c>
      <c r="B11294" s="11" t="n">
        <f aca="false">MOD(ROW()-9,24)</f>
        <v>5</v>
      </c>
      <c r="C11294" s="12"/>
      <c r="D11294" s="13" t="n">
        <f aca="false">IF(B11294&lt;5,Einstellungen!$B$3,Einstellungen!$B$4)</f>
        <v>29.13</v>
      </c>
      <c r="E11294" s="14" t="str">
        <f aca="false">IF(C11294="","",C11294*D11294/100)</f>
        <v/>
      </c>
      <c r="F11294" s="15" t="str">
        <f aca="false">IF(B11294&lt;5,"Go","Standard")</f>
        <v>Standard</v>
      </c>
    </row>
    <row r="11295" customFormat="false" ht="15" hidden="false" customHeight="true" outlineLevel="0" collapsed="false">
      <c r="A11295" s="10" t="n">
        <f aca="false">Einstellungen!$B$5+INT((ROW()-9)/24)</f>
        <v>46436</v>
      </c>
      <c r="B11295" s="11" t="n">
        <f aca="false">MOD(ROW()-9,24)</f>
        <v>6</v>
      </c>
      <c r="C11295" s="12"/>
      <c r="D11295" s="13" t="n">
        <f aca="false">IF(B11295&lt;5,Einstellungen!$B$3,Einstellungen!$B$4)</f>
        <v>29.13</v>
      </c>
      <c r="E11295" s="14" t="str">
        <f aca="false">IF(C11295="","",C11295*D11295/100)</f>
        <v/>
      </c>
      <c r="F11295" s="15" t="str">
        <f aca="false">IF(B11295&lt;5,"Go","Standard")</f>
        <v>Standard</v>
      </c>
    </row>
    <row r="11296" customFormat="false" ht="15" hidden="false" customHeight="true" outlineLevel="0" collapsed="false">
      <c r="A11296" s="10" t="n">
        <f aca="false">Einstellungen!$B$5+INT((ROW()-9)/24)</f>
        <v>46436</v>
      </c>
      <c r="B11296" s="11" t="n">
        <f aca="false">MOD(ROW()-9,24)</f>
        <v>7</v>
      </c>
      <c r="C11296" s="12"/>
      <c r="D11296" s="13" t="n">
        <f aca="false">IF(B11296&lt;5,Einstellungen!$B$3,Einstellungen!$B$4)</f>
        <v>29.13</v>
      </c>
      <c r="E11296" s="14" t="str">
        <f aca="false">IF(C11296="","",C11296*D11296/100)</f>
        <v/>
      </c>
      <c r="F11296" s="15" t="str">
        <f aca="false">IF(B11296&lt;5,"Go","Standard")</f>
        <v>Standard</v>
      </c>
    </row>
    <row r="11297" customFormat="false" ht="15" hidden="false" customHeight="true" outlineLevel="0" collapsed="false">
      <c r="A11297" s="10" t="n">
        <f aca="false">Einstellungen!$B$5+INT((ROW()-9)/24)</f>
        <v>46436</v>
      </c>
      <c r="B11297" s="11" t="n">
        <f aca="false">MOD(ROW()-9,24)</f>
        <v>8</v>
      </c>
      <c r="C11297" s="12"/>
      <c r="D11297" s="13" t="n">
        <f aca="false">IF(B11297&lt;5,Einstellungen!$B$3,Einstellungen!$B$4)</f>
        <v>29.13</v>
      </c>
      <c r="E11297" s="14" t="str">
        <f aca="false">IF(C11297="","",C11297*D11297/100)</f>
        <v/>
      </c>
      <c r="F11297" s="15" t="str">
        <f aca="false">IF(B11297&lt;5,"Go","Standard")</f>
        <v>Standard</v>
      </c>
    </row>
    <row r="11298" customFormat="false" ht="15" hidden="false" customHeight="true" outlineLevel="0" collapsed="false">
      <c r="A11298" s="10" t="n">
        <f aca="false">Einstellungen!$B$5+INT((ROW()-9)/24)</f>
        <v>46436</v>
      </c>
      <c r="B11298" s="11" t="n">
        <f aca="false">MOD(ROW()-9,24)</f>
        <v>9</v>
      </c>
      <c r="C11298" s="12"/>
      <c r="D11298" s="13" t="n">
        <f aca="false">IF(B11298&lt;5,Einstellungen!$B$3,Einstellungen!$B$4)</f>
        <v>29.13</v>
      </c>
      <c r="E11298" s="14" t="str">
        <f aca="false">IF(C11298="","",C11298*D11298/100)</f>
        <v/>
      </c>
      <c r="F11298" s="15" t="str">
        <f aca="false">IF(B11298&lt;5,"Go","Standard")</f>
        <v>Standard</v>
      </c>
    </row>
    <row r="11299" customFormat="false" ht="15" hidden="false" customHeight="true" outlineLevel="0" collapsed="false">
      <c r="A11299" s="10" t="n">
        <f aca="false">Einstellungen!$B$5+INT((ROW()-9)/24)</f>
        <v>46436</v>
      </c>
      <c r="B11299" s="11" t="n">
        <f aca="false">MOD(ROW()-9,24)</f>
        <v>10</v>
      </c>
      <c r="C11299" s="12"/>
      <c r="D11299" s="13" t="n">
        <f aca="false">IF(B11299&lt;5,Einstellungen!$B$3,Einstellungen!$B$4)</f>
        <v>29.13</v>
      </c>
      <c r="E11299" s="14" t="str">
        <f aca="false">IF(C11299="","",C11299*D11299/100)</f>
        <v/>
      </c>
      <c r="F11299" s="15" t="str">
        <f aca="false">IF(B11299&lt;5,"Go","Standard")</f>
        <v>Standard</v>
      </c>
    </row>
    <row r="11300" customFormat="false" ht="15" hidden="false" customHeight="true" outlineLevel="0" collapsed="false">
      <c r="A11300" s="10" t="n">
        <f aca="false">Einstellungen!$B$5+INT((ROW()-9)/24)</f>
        <v>46436</v>
      </c>
      <c r="B11300" s="11" t="n">
        <f aca="false">MOD(ROW()-9,24)</f>
        <v>11</v>
      </c>
      <c r="C11300" s="12"/>
      <c r="D11300" s="13" t="n">
        <f aca="false">IF(B11300&lt;5,Einstellungen!$B$3,Einstellungen!$B$4)</f>
        <v>29.13</v>
      </c>
      <c r="E11300" s="14" t="str">
        <f aca="false">IF(C11300="","",C11300*D11300/100)</f>
        <v/>
      </c>
      <c r="F11300" s="15" t="str">
        <f aca="false">IF(B11300&lt;5,"Go","Standard")</f>
        <v>Standard</v>
      </c>
    </row>
    <row r="11301" customFormat="false" ht="15" hidden="false" customHeight="true" outlineLevel="0" collapsed="false">
      <c r="A11301" s="10" t="n">
        <f aca="false">Einstellungen!$B$5+INT((ROW()-9)/24)</f>
        <v>46436</v>
      </c>
      <c r="B11301" s="11" t="n">
        <f aca="false">MOD(ROW()-9,24)</f>
        <v>12</v>
      </c>
      <c r="C11301" s="12"/>
      <c r="D11301" s="13" t="n">
        <f aca="false">IF(B11301&lt;5,Einstellungen!$B$3,Einstellungen!$B$4)</f>
        <v>29.13</v>
      </c>
      <c r="E11301" s="14" t="str">
        <f aca="false">IF(C11301="","",C11301*D11301/100)</f>
        <v/>
      </c>
      <c r="F11301" s="15" t="str">
        <f aca="false">IF(B11301&lt;5,"Go","Standard")</f>
        <v>Standard</v>
      </c>
    </row>
    <row r="11302" customFormat="false" ht="15" hidden="false" customHeight="true" outlineLevel="0" collapsed="false">
      <c r="A11302" s="10" t="n">
        <f aca="false">Einstellungen!$B$5+INT((ROW()-9)/24)</f>
        <v>46436</v>
      </c>
      <c r="B11302" s="11" t="n">
        <f aca="false">MOD(ROW()-9,24)</f>
        <v>13</v>
      </c>
      <c r="C11302" s="12"/>
      <c r="D11302" s="13" t="n">
        <f aca="false">IF(B11302&lt;5,Einstellungen!$B$3,Einstellungen!$B$4)</f>
        <v>29.13</v>
      </c>
      <c r="E11302" s="14" t="str">
        <f aca="false">IF(C11302="","",C11302*D11302/100)</f>
        <v/>
      </c>
      <c r="F11302" s="15" t="str">
        <f aca="false">IF(B11302&lt;5,"Go","Standard")</f>
        <v>Standard</v>
      </c>
    </row>
    <row r="11303" customFormat="false" ht="15" hidden="false" customHeight="true" outlineLevel="0" collapsed="false">
      <c r="A11303" s="10" t="n">
        <f aca="false">Einstellungen!$B$5+INT((ROW()-9)/24)</f>
        <v>46436</v>
      </c>
      <c r="B11303" s="11" t="n">
        <f aca="false">MOD(ROW()-9,24)</f>
        <v>14</v>
      </c>
      <c r="C11303" s="12"/>
      <c r="D11303" s="13" t="n">
        <f aca="false">IF(B11303&lt;5,Einstellungen!$B$3,Einstellungen!$B$4)</f>
        <v>29.13</v>
      </c>
      <c r="E11303" s="14" t="str">
        <f aca="false">IF(C11303="","",C11303*D11303/100)</f>
        <v/>
      </c>
      <c r="F11303" s="15" t="str">
        <f aca="false">IF(B11303&lt;5,"Go","Standard")</f>
        <v>Standard</v>
      </c>
    </row>
    <row r="11304" customFormat="false" ht="15" hidden="false" customHeight="true" outlineLevel="0" collapsed="false">
      <c r="A11304" s="10" t="n">
        <f aca="false">Einstellungen!$B$5+INT((ROW()-9)/24)</f>
        <v>46436</v>
      </c>
      <c r="B11304" s="11" t="n">
        <f aca="false">MOD(ROW()-9,24)</f>
        <v>15</v>
      </c>
      <c r="C11304" s="12"/>
      <c r="D11304" s="13" t="n">
        <f aca="false">IF(B11304&lt;5,Einstellungen!$B$3,Einstellungen!$B$4)</f>
        <v>29.13</v>
      </c>
      <c r="E11304" s="14" t="str">
        <f aca="false">IF(C11304="","",C11304*D11304/100)</f>
        <v/>
      </c>
      <c r="F11304" s="15" t="str">
        <f aca="false">IF(B11304&lt;5,"Go","Standard")</f>
        <v>Standard</v>
      </c>
    </row>
    <row r="11305" customFormat="false" ht="15" hidden="false" customHeight="true" outlineLevel="0" collapsed="false">
      <c r="A11305" s="10" t="n">
        <f aca="false">Einstellungen!$B$5+INT((ROW()-9)/24)</f>
        <v>46436</v>
      </c>
      <c r="B11305" s="11" t="n">
        <f aca="false">MOD(ROW()-9,24)</f>
        <v>16</v>
      </c>
      <c r="C11305" s="12"/>
      <c r="D11305" s="13" t="n">
        <f aca="false">IF(B11305&lt;5,Einstellungen!$B$3,Einstellungen!$B$4)</f>
        <v>29.13</v>
      </c>
      <c r="E11305" s="14" t="str">
        <f aca="false">IF(C11305="","",C11305*D11305/100)</f>
        <v/>
      </c>
      <c r="F11305" s="15" t="str">
        <f aca="false">IF(B11305&lt;5,"Go","Standard")</f>
        <v>Standard</v>
      </c>
    </row>
    <row r="11306" customFormat="false" ht="15" hidden="false" customHeight="true" outlineLevel="0" collapsed="false">
      <c r="A11306" s="10" t="n">
        <f aca="false">Einstellungen!$B$5+INT((ROW()-9)/24)</f>
        <v>46436</v>
      </c>
      <c r="B11306" s="11" t="n">
        <f aca="false">MOD(ROW()-9,24)</f>
        <v>17</v>
      </c>
      <c r="C11306" s="12"/>
      <c r="D11306" s="13" t="n">
        <f aca="false">IF(B11306&lt;5,Einstellungen!$B$3,Einstellungen!$B$4)</f>
        <v>29.13</v>
      </c>
      <c r="E11306" s="14" t="str">
        <f aca="false">IF(C11306="","",C11306*D11306/100)</f>
        <v/>
      </c>
      <c r="F11306" s="15" t="str">
        <f aca="false">IF(B11306&lt;5,"Go","Standard")</f>
        <v>Standard</v>
      </c>
    </row>
    <row r="11307" customFormat="false" ht="15" hidden="false" customHeight="true" outlineLevel="0" collapsed="false">
      <c r="A11307" s="10" t="n">
        <f aca="false">Einstellungen!$B$5+INT((ROW()-9)/24)</f>
        <v>46436</v>
      </c>
      <c r="B11307" s="11" t="n">
        <f aca="false">MOD(ROW()-9,24)</f>
        <v>18</v>
      </c>
      <c r="C11307" s="12"/>
      <c r="D11307" s="13" t="n">
        <f aca="false">IF(B11307&lt;5,Einstellungen!$B$3,Einstellungen!$B$4)</f>
        <v>29.13</v>
      </c>
      <c r="E11307" s="14" t="str">
        <f aca="false">IF(C11307="","",C11307*D11307/100)</f>
        <v/>
      </c>
      <c r="F11307" s="15" t="str">
        <f aca="false">IF(B11307&lt;5,"Go","Standard")</f>
        <v>Standard</v>
      </c>
    </row>
    <row r="11308" customFormat="false" ht="15" hidden="false" customHeight="true" outlineLevel="0" collapsed="false">
      <c r="A11308" s="10" t="n">
        <f aca="false">Einstellungen!$B$5+INT((ROW()-9)/24)</f>
        <v>46436</v>
      </c>
      <c r="B11308" s="11" t="n">
        <f aca="false">MOD(ROW()-9,24)</f>
        <v>19</v>
      </c>
      <c r="C11308" s="12"/>
      <c r="D11308" s="13" t="n">
        <f aca="false">IF(B11308&lt;5,Einstellungen!$B$3,Einstellungen!$B$4)</f>
        <v>29.13</v>
      </c>
      <c r="E11308" s="14" t="str">
        <f aca="false">IF(C11308="","",C11308*D11308/100)</f>
        <v/>
      </c>
      <c r="F11308" s="15" t="str">
        <f aca="false">IF(B11308&lt;5,"Go","Standard")</f>
        <v>Standard</v>
      </c>
    </row>
    <row r="11309" customFormat="false" ht="15" hidden="false" customHeight="true" outlineLevel="0" collapsed="false">
      <c r="A11309" s="10" t="n">
        <f aca="false">Einstellungen!$B$5+INT((ROW()-9)/24)</f>
        <v>46436</v>
      </c>
      <c r="B11309" s="11" t="n">
        <f aca="false">MOD(ROW()-9,24)</f>
        <v>20</v>
      </c>
      <c r="C11309" s="12"/>
      <c r="D11309" s="13" t="n">
        <f aca="false">IF(B11309&lt;5,Einstellungen!$B$3,Einstellungen!$B$4)</f>
        <v>29.13</v>
      </c>
      <c r="E11309" s="14" t="str">
        <f aca="false">IF(C11309="","",C11309*D11309/100)</f>
        <v/>
      </c>
      <c r="F11309" s="15" t="str">
        <f aca="false">IF(B11309&lt;5,"Go","Standard")</f>
        <v>Standard</v>
      </c>
    </row>
    <row r="11310" customFormat="false" ht="15" hidden="false" customHeight="true" outlineLevel="0" collapsed="false">
      <c r="A11310" s="10" t="n">
        <f aca="false">Einstellungen!$B$5+INT((ROW()-9)/24)</f>
        <v>46436</v>
      </c>
      <c r="B11310" s="11" t="n">
        <f aca="false">MOD(ROW()-9,24)</f>
        <v>21</v>
      </c>
      <c r="C11310" s="12"/>
      <c r="D11310" s="13" t="n">
        <f aca="false">IF(B11310&lt;5,Einstellungen!$B$3,Einstellungen!$B$4)</f>
        <v>29.13</v>
      </c>
      <c r="E11310" s="14" t="str">
        <f aca="false">IF(C11310="","",C11310*D11310/100)</f>
        <v/>
      </c>
      <c r="F11310" s="15" t="str">
        <f aca="false">IF(B11310&lt;5,"Go","Standard")</f>
        <v>Standard</v>
      </c>
    </row>
    <row r="11311" customFormat="false" ht="15" hidden="false" customHeight="true" outlineLevel="0" collapsed="false">
      <c r="A11311" s="10" t="n">
        <f aca="false">Einstellungen!$B$5+INT((ROW()-9)/24)</f>
        <v>46436</v>
      </c>
      <c r="B11311" s="11" t="n">
        <f aca="false">MOD(ROW()-9,24)</f>
        <v>22</v>
      </c>
      <c r="C11311" s="12"/>
      <c r="D11311" s="13" t="n">
        <f aca="false">IF(B11311&lt;5,Einstellungen!$B$3,Einstellungen!$B$4)</f>
        <v>29.13</v>
      </c>
      <c r="E11311" s="14" t="str">
        <f aca="false">IF(C11311="","",C11311*D11311/100)</f>
        <v/>
      </c>
      <c r="F11311" s="15" t="str">
        <f aca="false">IF(B11311&lt;5,"Go","Standard")</f>
        <v>Standard</v>
      </c>
    </row>
    <row r="11312" customFormat="false" ht="15" hidden="false" customHeight="true" outlineLevel="0" collapsed="false">
      <c r="A11312" s="10" t="n">
        <f aca="false">Einstellungen!$B$5+INT((ROW()-9)/24)</f>
        <v>46436</v>
      </c>
      <c r="B11312" s="11" t="n">
        <f aca="false">MOD(ROW()-9,24)</f>
        <v>23</v>
      </c>
      <c r="C11312" s="12"/>
      <c r="D11312" s="13" t="n">
        <f aca="false">IF(B11312&lt;5,Einstellungen!$B$3,Einstellungen!$B$4)</f>
        <v>29.13</v>
      </c>
      <c r="E11312" s="14" t="str">
        <f aca="false">IF(C11312="","",C11312*D11312/100)</f>
        <v/>
      </c>
      <c r="F11312" s="15" t="str">
        <f aca="false">IF(B11312&lt;5,"Go","Standard")</f>
        <v>Standard</v>
      </c>
    </row>
    <row r="11313" customFormat="false" ht="15" hidden="false" customHeight="true" outlineLevel="0" collapsed="false">
      <c r="A11313" s="10" t="n">
        <f aca="false">Einstellungen!$B$5+INT((ROW()-9)/24)</f>
        <v>46437</v>
      </c>
      <c r="B11313" s="11" t="n">
        <f aca="false">MOD(ROW()-9,24)</f>
        <v>0</v>
      </c>
      <c r="C11313" s="12"/>
      <c r="D11313" s="13" t="n">
        <f aca="false">IF(B11313&lt;5,Einstellungen!$B$3,Einstellungen!$B$4)</f>
        <v>15.92</v>
      </c>
      <c r="E11313" s="14" t="str">
        <f aca="false">IF(C11313="","",C11313*D11313/100)</f>
        <v/>
      </c>
      <c r="F11313" s="15" t="str">
        <f aca="false">IF(B11313&lt;5,"Go","Standard")</f>
        <v>Go</v>
      </c>
    </row>
    <row r="11314" customFormat="false" ht="15" hidden="false" customHeight="true" outlineLevel="0" collapsed="false">
      <c r="A11314" s="10" t="n">
        <f aca="false">Einstellungen!$B$5+INT((ROW()-9)/24)</f>
        <v>46437</v>
      </c>
      <c r="B11314" s="11" t="n">
        <f aca="false">MOD(ROW()-9,24)</f>
        <v>1</v>
      </c>
      <c r="C11314" s="12"/>
      <c r="D11314" s="13" t="n">
        <f aca="false">IF(B11314&lt;5,Einstellungen!$B$3,Einstellungen!$B$4)</f>
        <v>15.92</v>
      </c>
      <c r="E11314" s="14" t="str">
        <f aca="false">IF(C11314="","",C11314*D11314/100)</f>
        <v/>
      </c>
      <c r="F11314" s="15" t="str">
        <f aca="false">IF(B11314&lt;5,"Go","Standard")</f>
        <v>Go</v>
      </c>
    </row>
    <row r="11315" customFormat="false" ht="15" hidden="false" customHeight="true" outlineLevel="0" collapsed="false">
      <c r="A11315" s="10" t="n">
        <f aca="false">Einstellungen!$B$5+INT((ROW()-9)/24)</f>
        <v>46437</v>
      </c>
      <c r="B11315" s="11" t="n">
        <f aca="false">MOD(ROW()-9,24)</f>
        <v>2</v>
      </c>
      <c r="C11315" s="12"/>
      <c r="D11315" s="13" t="n">
        <f aca="false">IF(B11315&lt;5,Einstellungen!$B$3,Einstellungen!$B$4)</f>
        <v>15.92</v>
      </c>
      <c r="E11315" s="14" t="str">
        <f aca="false">IF(C11315="","",C11315*D11315/100)</f>
        <v/>
      </c>
      <c r="F11315" s="15" t="str">
        <f aca="false">IF(B11315&lt;5,"Go","Standard")</f>
        <v>Go</v>
      </c>
    </row>
    <row r="11316" customFormat="false" ht="15" hidden="false" customHeight="true" outlineLevel="0" collapsed="false">
      <c r="A11316" s="10" t="n">
        <f aca="false">Einstellungen!$B$5+INT((ROW()-9)/24)</f>
        <v>46437</v>
      </c>
      <c r="B11316" s="11" t="n">
        <f aca="false">MOD(ROW()-9,24)</f>
        <v>3</v>
      </c>
      <c r="C11316" s="12"/>
      <c r="D11316" s="13" t="n">
        <f aca="false">IF(B11316&lt;5,Einstellungen!$B$3,Einstellungen!$B$4)</f>
        <v>15.92</v>
      </c>
      <c r="E11316" s="14" t="str">
        <f aca="false">IF(C11316="","",C11316*D11316/100)</f>
        <v/>
      </c>
      <c r="F11316" s="15" t="str">
        <f aca="false">IF(B11316&lt;5,"Go","Standard")</f>
        <v>Go</v>
      </c>
    </row>
    <row r="11317" customFormat="false" ht="15" hidden="false" customHeight="true" outlineLevel="0" collapsed="false">
      <c r="A11317" s="10" t="n">
        <f aca="false">Einstellungen!$B$5+INT((ROW()-9)/24)</f>
        <v>46437</v>
      </c>
      <c r="B11317" s="11" t="n">
        <f aca="false">MOD(ROW()-9,24)</f>
        <v>4</v>
      </c>
      <c r="C11317" s="12"/>
      <c r="D11317" s="13" t="n">
        <f aca="false">IF(B11317&lt;5,Einstellungen!$B$3,Einstellungen!$B$4)</f>
        <v>15.92</v>
      </c>
      <c r="E11317" s="14" t="str">
        <f aca="false">IF(C11317="","",C11317*D11317/100)</f>
        <v/>
      </c>
      <c r="F11317" s="15" t="str">
        <f aca="false">IF(B11317&lt;5,"Go","Standard")</f>
        <v>Go</v>
      </c>
    </row>
    <row r="11318" customFormat="false" ht="15" hidden="false" customHeight="true" outlineLevel="0" collapsed="false">
      <c r="A11318" s="10" t="n">
        <f aca="false">Einstellungen!$B$5+INT((ROW()-9)/24)</f>
        <v>46437</v>
      </c>
      <c r="B11318" s="11" t="n">
        <f aca="false">MOD(ROW()-9,24)</f>
        <v>5</v>
      </c>
      <c r="C11318" s="12"/>
      <c r="D11318" s="13" t="n">
        <f aca="false">IF(B11318&lt;5,Einstellungen!$B$3,Einstellungen!$B$4)</f>
        <v>29.13</v>
      </c>
      <c r="E11318" s="14" t="str">
        <f aca="false">IF(C11318="","",C11318*D11318/100)</f>
        <v/>
      </c>
      <c r="F11318" s="15" t="str">
        <f aca="false">IF(B11318&lt;5,"Go","Standard")</f>
        <v>Standard</v>
      </c>
    </row>
    <row r="11319" customFormat="false" ht="15" hidden="false" customHeight="true" outlineLevel="0" collapsed="false">
      <c r="A11319" s="10" t="n">
        <f aca="false">Einstellungen!$B$5+INT((ROW()-9)/24)</f>
        <v>46437</v>
      </c>
      <c r="B11319" s="11" t="n">
        <f aca="false">MOD(ROW()-9,24)</f>
        <v>6</v>
      </c>
      <c r="C11319" s="12"/>
      <c r="D11319" s="13" t="n">
        <f aca="false">IF(B11319&lt;5,Einstellungen!$B$3,Einstellungen!$B$4)</f>
        <v>29.13</v>
      </c>
      <c r="E11319" s="14" t="str">
        <f aca="false">IF(C11319="","",C11319*D11319/100)</f>
        <v/>
      </c>
      <c r="F11319" s="15" t="str">
        <f aca="false">IF(B11319&lt;5,"Go","Standard")</f>
        <v>Standard</v>
      </c>
    </row>
    <row r="11320" customFormat="false" ht="15" hidden="false" customHeight="true" outlineLevel="0" collapsed="false">
      <c r="A11320" s="10" t="n">
        <f aca="false">Einstellungen!$B$5+INT((ROW()-9)/24)</f>
        <v>46437</v>
      </c>
      <c r="B11320" s="11" t="n">
        <f aca="false">MOD(ROW()-9,24)</f>
        <v>7</v>
      </c>
      <c r="C11320" s="12"/>
      <c r="D11320" s="13" t="n">
        <f aca="false">IF(B11320&lt;5,Einstellungen!$B$3,Einstellungen!$B$4)</f>
        <v>29.13</v>
      </c>
      <c r="E11320" s="14" t="str">
        <f aca="false">IF(C11320="","",C11320*D11320/100)</f>
        <v/>
      </c>
      <c r="F11320" s="15" t="str">
        <f aca="false">IF(B11320&lt;5,"Go","Standard")</f>
        <v>Standard</v>
      </c>
    </row>
    <row r="11321" customFormat="false" ht="15" hidden="false" customHeight="true" outlineLevel="0" collapsed="false">
      <c r="A11321" s="10" t="n">
        <f aca="false">Einstellungen!$B$5+INT((ROW()-9)/24)</f>
        <v>46437</v>
      </c>
      <c r="B11321" s="11" t="n">
        <f aca="false">MOD(ROW()-9,24)</f>
        <v>8</v>
      </c>
      <c r="C11321" s="12"/>
      <c r="D11321" s="13" t="n">
        <f aca="false">IF(B11321&lt;5,Einstellungen!$B$3,Einstellungen!$B$4)</f>
        <v>29.13</v>
      </c>
      <c r="E11321" s="14" t="str">
        <f aca="false">IF(C11321="","",C11321*D11321/100)</f>
        <v/>
      </c>
      <c r="F11321" s="15" t="str">
        <f aca="false">IF(B11321&lt;5,"Go","Standard")</f>
        <v>Standard</v>
      </c>
    </row>
    <row r="11322" customFormat="false" ht="15" hidden="false" customHeight="true" outlineLevel="0" collapsed="false">
      <c r="A11322" s="10" t="n">
        <f aca="false">Einstellungen!$B$5+INT((ROW()-9)/24)</f>
        <v>46437</v>
      </c>
      <c r="B11322" s="11" t="n">
        <f aca="false">MOD(ROW()-9,24)</f>
        <v>9</v>
      </c>
      <c r="C11322" s="12"/>
      <c r="D11322" s="13" t="n">
        <f aca="false">IF(B11322&lt;5,Einstellungen!$B$3,Einstellungen!$B$4)</f>
        <v>29.13</v>
      </c>
      <c r="E11322" s="14" t="str">
        <f aca="false">IF(C11322="","",C11322*D11322/100)</f>
        <v/>
      </c>
      <c r="F11322" s="15" t="str">
        <f aca="false">IF(B11322&lt;5,"Go","Standard")</f>
        <v>Standard</v>
      </c>
    </row>
    <row r="11323" customFormat="false" ht="15" hidden="false" customHeight="true" outlineLevel="0" collapsed="false">
      <c r="A11323" s="10" t="n">
        <f aca="false">Einstellungen!$B$5+INT((ROW()-9)/24)</f>
        <v>46437</v>
      </c>
      <c r="B11323" s="11" t="n">
        <f aca="false">MOD(ROW()-9,24)</f>
        <v>10</v>
      </c>
      <c r="C11323" s="12"/>
      <c r="D11323" s="13" t="n">
        <f aca="false">IF(B11323&lt;5,Einstellungen!$B$3,Einstellungen!$B$4)</f>
        <v>29.13</v>
      </c>
      <c r="E11323" s="14" t="str">
        <f aca="false">IF(C11323="","",C11323*D11323/100)</f>
        <v/>
      </c>
      <c r="F11323" s="15" t="str">
        <f aca="false">IF(B11323&lt;5,"Go","Standard")</f>
        <v>Standard</v>
      </c>
    </row>
    <row r="11324" customFormat="false" ht="15" hidden="false" customHeight="true" outlineLevel="0" collapsed="false">
      <c r="A11324" s="10" t="n">
        <f aca="false">Einstellungen!$B$5+INT((ROW()-9)/24)</f>
        <v>46437</v>
      </c>
      <c r="B11324" s="11" t="n">
        <f aca="false">MOD(ROW()-9,24)</f>
        <v>11</v>
      </c>
      <c r="C11324" s="12"/>
      <c r="D11324" s="13" t="n">
        <f aca="false">IF(B11324&lt;5,Einstellungen!$B$3,Einstellungen!$B$4)</f>
        <v>29.13</v>
      </c>
      <c r="E11324" s="14" t="str">
        <f aca="false">IF(C11324="","",C11324*D11324/100)</f>
        <v/>
      </c>
      <c r="F11324" s="15" t="str">
        <f aca="false">IF(B11324&lt;5,"Go","Standard")</f>
        <v>Standard</v>
      </c>
    </row>
    <row r="11325" customFormat="false" ht="15" hidden="false" customHeight="true" outlineLevel="0" collapsed="false">
      <c r="A11325" s="10" t="n">
        <f aca="false">Einstellungen!$B$5+INT((ROW()-9)/24)</f>
        <v>46437</v>
      </c>
      <c r="B11325" s="11" t="n">
        <f aca="false">MOD(ROW()-9,24)</f>
        <v>12</v>
      </c>
      <c r="C11325" s="12"/>
      <c r="D11325" s="13" t="n">
        <f aca="false">IF(B11325&lt;5,Einstellungen!$B$3,Einstellungen!$B$4)</f>
        <v>29.13</v>
      </c>
      <c r="E11325" s="14" t="str">
        <f aca="false">IF(C11325="","",C11325*D11325/100)</f>
        <v/>
      </c>
      <c r="F11325" s="15" t="str">
        <f aca="false">IF(B11325&lt;5,"Go","Standard")</f>
        <v>Standard</v>
      </c>
    </row>
    <row r="11326" customFormat="false" ht="15" hidden="false" customHeight="true" outlineLevel="0" collapsed="false">
      <c r="A11326" s="10" t="n">
        <f aca="false">Einstellungen!$B$5+INT((ROW()-9)/24)</f>
        <v>46437</v>
      </c>
      <c r="B11326" s="11" t="n">
        <f aca="false">MOD(ROW()-9,24)</f>
        <v>13</v>
      </c>
      <c r="C11326" s="12"/>
      <c r="D11326" s="13" t="n">
        <f aca="false">IF(B11326&lt;5,Einstellungen!$B$3,Einstellungen!$B$4)</f>
        <v>29.13</v>
      </c>
      <c r="E11326" s="14" t="str">
        <f aca="false">IF(C11326="","",C11326*D11326/100)</f>
        <v/>
      </c>
      <c r="F11326" s="15" t="str">
        <f aca="false">IF(B11326&lt;5,"Go","Standard")</f>
        <v>Standard</v>
      </c>
    </row>
    <row r="11327" customFormat="false" ht="15" hidden="false" customHeight="true" outlineLevel="0" collapsed="false">
      <c r="A11327" s="10" t="n">
        <f aca="false">Einstellungen!$B$5+INT((ROW()-9)/24)</f>
        <v>46437</v>
      </c>
      <c r="B11327" s="11" t="n">
        <f aca="false">MOD(ROW()-9,24)</f>
        <v>14</v>
      </c>
      <c r="C11327" s="12"/>
      <c r="D11327" s="13" t="n">
        <f aca="false">IF(B11327&lt;5,Einstellungen!$B$3,Einstellungen!$B$4)</f>
        <v>29.13</v>
      </c>
      <c r="E11327" s="14" t="str">
        <f aca="false">IF(C11327="","",C11327*D11327/100)</f>
        <v/>
      </c>
      <c r="F11327" s="15" t="str">
        <f aca="false">IF(B11327&lt;5,"Go","Standard")</f>
        <v>Standard</v>
      </c>
    </row>
    <row r="11328" customFormat="false" ht="15" hidden="false" customHeight="true" outlineLevel="0" collapsed="false">
      <c r="A11328" s="10" t="n">
        <f aca="false">Einstellungen!$B$5+INT((ROW()-9)/24)</f>
        <v>46437</v>
      </c>
      <c r="B11328" s="11" t="n">
        <f aca="false">MOD(ROW()-9,24)</f>
        <v>15</v>
      </c>
      <c r="C11328" s="12"/>
      <c r="D11328" s="13" t="n">
        <f aca="false">IF(B11328&lt;5,Einstellungen!$B$3,Einstellungen!$B$4)</f>
        <v>29.13</v>
      </c>
      <c r="E11328" s="14" t="str">
        <f aca="false">IF(C11328="","",C11328*D11328/100)</f>
        <v/>
      </c>
      <c r="F11328" s="15" t="str">
        <f aca="false">IF(B11328&lt;5,"Go","Standard")</f>
        <v>Standard</v>
      </c>
    </row>
    <row r="11329" customFormat="false" ht="15" hidden="false" customHeight="true" outlineLevel="0" collapsed="false">
      <c r="A11329" s="10" t="n">
        <f aca="false">Einstellungen!$B$5+INT((ROW()-9)/24)</f>
        <v>46437</v>
      </c>
      <c r="B11329" s="11" t="n">
        <f aca="false">MOD(ROW()-9,24)</f>
        <v>16</v>
      </c>
      <c r="C11329" s="12"/>
      <c r="D11329" s="13" t="n">
        <f aca="false">IF(B11329&lt;5,Einstellungen!$B$3,Einstellungen!$B$4)</f>
        <v>29.13</v>
      </c>
      <c r="E11329" s="14" t="str">
        <f aca="false">IF(C11329="","",C11329*D11329/100)</f>
        <v/>
      </c>
      <c r="F11329" s="15" t="str">
        <f aca="false">IF(B11329&lt;5,"Go","Standard")</f>
        <v>Standard</v>
      </c>
    </row>
    <row r="11330" customFormat="false" ht="15" hidden="false" customHeight="true" outlineLevel="0" collapsed="false">
      <c r="A11330" s="10" t="n">
        <f aca="false">Einstellungen!$B$5+INT((ROW()-9)/24)</f>
        <v>46437</v>
      </c>
      <c r="B11330" s="11" t="n">
        <f aca="false">MOD(ROW()-9,24)</f>
        <v>17</v>
      </c>
      <c r="C11330" s="12"/>
      <c r="D11330" s="13" t="n">
        <f aca="false">IF(B11330&lt;5,Einstellungen!$B$3,Einstellungen!$B$4)</f>
        <v>29.13</v>
      </c>
      <c r="E11330" s="14" t="str">
        <f aca="false">IF(C11330="","",C11330*D11330/100)</f>
        <v/>
      </c>
      <c r="F11330" s="15" t="str">
        <f aca="false">IF(B11330&lt;5,"Go","Standard")</f>
        <v>Standard</v>
      </c>
    </row>
    <row r="11331" customFormat="false" ht="15" hidden="false" customHeight="true" outlineLevel="0" collapsed="false">
      <c r="A11331" s="10" t="n">
        <f aca="false">Einstellungen!$B$5+INT((ROW()-9)/24)</f>
        <v>46437</v>
      </c>
      <c r="B11331" s="11" t="n">
        <f aca="false">MOD(ROW()-9,24)</f>
        <v>18</v>
      </c>
      <c r="C11331" s="12"/>
      <c r="D11331" s="13" t="n">
        <f aca="false">IF(B11331&lt;5,Einstellungen!$B$3,Einstellungen!$B$4)</f>
        <v>29.13</v>
      </c>
      <c r="E11331" s="14" t="str">
        <f aca="false">IF(C11331="","",C11331*D11331/100)</f>
        <v/>
      </c>
      <c r="F11331" s="15" t="str">
        <f aca="false">IF(B11331&lt;5,"Go","Standard")</f>
        <v>Standard</v>
      </c>
    </row>
    <row r="11332" customFormat="false" ht="15" hidden="false" customHeight="true" outlineLevel="0" collapsed="false">
      <c r="A11332" s="10" t="n">
        <f aca="false">Einstellungen!$B$5+INT((ROW()-9)/24)</f>
        <v>46437</v>
      </c>
      <c r="B11332" s="11" t="n">
        <f aca="false">MOD(ROW()-9,24)</f>
        <v>19</v>
      </c>
      <c r="C11332" s="12"/>
      <c r="D11332" s="13" t="n">
        <f aca="false">IF(B11332&lt;5,Einstellungen!$B$3,Einstellungen!$B$4)</f>
        <v>29.13</v>
      </c>
      <c r="E11332" s="14" t="str">
        <f aca="false">IF(C11332="","",C11332*D11332/100)</f>
        <v/>
      </c>
      <c r="F11332" s="15" t="str">
        <f aca="false">IF(B11332&lt;5,"Go","Standard")</f>
        <v>Standard</v>
      </c>
    </row>
    <row r="11333" customFormat="false" ht="15" hidden="false" customHeight="true" outlineLevel="0" collapsed="false">
      <c r="A11333" s="10" t="n">
        <f aca="false">Einstellungen!$B$5+INT((ROW()-9)/24)</f>
        <v>46437</v>
      </c>
      <c r="B11333" s="11" t="n">
        <f aca="false">MOD(ROW()-9,24)</f>
        <v>20</v>
      </c>
      <c r="C11333" s="12"/>
      <c r="D11333" s="13" t="n">
        <f aca="false">IF(B11333&lt;5,Einstellungen!$B$3,Einstellungen!$B$4)</f>
        <v>29.13</v>
      </c>
      <c r="E11333" s="14" t="str">
        <f aca="false">IF(C11333="","",C11333*D11333/100)</f>
        <v/>
      </c>
      <c r="F11333" s="15" t="str">
        <f aca="false">IF(B11333&lt;5,"Go","Standard")</f>
        <v>Standard</v>
      </c>
    </row>
    <row r="11334" customFormat="false" ht="15" hidden="false" customHeight="true" outlineLevel="0" collapsed="false">
      <c r="A11334" s="10" t="n">
        <f aca="false">Einstellungen!$B$5+INT((ROW()-9)/24)</f>
        <v>46437</v>
      </c>
      <c r="B11334" s="11" t="n">
        <f aca="false">MOD(ROW()-9,24)</f>
        <v>21</v>
      </c>
      <c r="C11334" s="12"/>
      <c r="D11334" s="13" t="n">
        <f aca="false">IF(B11334&lt;5,Einstellungen!$B$3,Einstellungen!$B$4)</f>
        <v>29.13</v>
      </c>
      <c r="E11334" s="14" t="str">
        <f aca="false">IF(C11334="","",C11334*D11334/100)</f>
        <v/>
      </c>
      <c r="F11334" s="15" t="str">
        <f aca="false">IF(B11334&lt;5,"Go","Standard")</f>
        <v>Standard</v>
      </c>
    </row>
    <row r="11335" customFormat="false" ht="15" hidden="false" customHeight="true" outlineLevel="0" collapsed="false">
      <c r="A11335" s="10" t="n">
        <f aca="false">Einstellungen!$B$5+INT((ROW()-9)/24)</f>
        <v>46437</v>
      </c>
      <c r="B11335" s="11" t="n">
        <f aca="false">MOD(ROW()-9,24)</f>
        <v>22</v>
      </c>
      <c r="C11335" s="12"/>
      <c r="D11335" s="13" t="n">
        <f aca="false">IF(B11335&lt;5,Einstellungen!$B$3,Einstellungen!$B$4)</f>
        <v>29.13</v>
      </c>
      <c r="E11335" s="14" t="str">
        <f aca="false">IF(C11335="","",C11335*D11335/100)</f>
        <v/>
      </c>
      <c r="F11335" s="15" t="str">
        <f aca="false">IF(B11335&lt;5,"Go","Standard")</f>
        <v>Standard</v>
      </c>
    </row>
    <row r="11336" customFormat="false" ht="15" hidden="false" customHeight="true" outlineLevel="0" collapsed="false">
      <c r="A11336" s="10" t="n">
        <f aca="false">Einstellungen!$B$5+INT((ROW()-9)/24)</f>
        <v>46437</v>
      </c>
      <c r="B11336" s="11" t="n">
        <f aca="false">MOD(ROW()-9,24)</f>
        <v>23</v>
      </c>
      <c r="C11336" s="12"/>
      <c r="D11336" s="13" t="n">
        <f aca="false">IF(B11336&lt;5,Einstellungen!$B$3,Einstellungen!$B$4)</f>
        <v>29.13</v>
      </c>
      <c r="E11336" s="14" t="str">
        <f aca="false">IF(C11336="","",C11336*D11336/100)</f>
        <v/>
      </c>
      <c r="F11336" s="15" t="str">
        <f aca="false">IF(B11336&lt;5,"Go","Standard")</f>
        <v>Standard</v>
      </c>
    </row>
    <row r="11337" customFormat="false" ht="15" hidden="false" customHeight="true" outlineLevel="0" collapsed="false">
      <c r="A11337" s="10" t="n">
        <f aca="false">Einstellungen!$B$5+INT((ROW()-9)/24)</f>
        <v>46438</v>
      </c>
      <c r="B11337" s="11" t="n">
        <f aca="false">MOD(ROW()-9,24)</f>
        <v>0</v>
      </c>
      <c r="C11337" s="12"/>
      <c r="D11337" s="13" t="n">
        <f aca="false">IF(B11337&lt;5,Einstellungen!$B$3,Einstellungen!$B$4)</f>
        <v>15.92</v>
      </c>
      <c r="E11337" s="14" t="str">
        <f aca="false">IF(C11337="","",C11337*D11337/100)</f>
        <v/>
      </c>
      <c r="F11337" s="15" t="str">
        <f aca="false">IF(B11337&lt;5,"Go","Standard")</f>
        <v>Go</v>
      </c>
    </row>
    <row r="11338" customFormat="false" ht="15" hidden="false" customHeight="true" outlineLevel="0" collapsed="false">
      <c r="A11338" s="10" t="n">
        <f aca="false">Einstellungen!$B$5+INT((ROW()-9)/24)</f>
        <v>46438</v>
      </c>
      <c r="B11338" s="11" t="n">
        <f aca="false">MOD(ROW()-9,24)</f>
        <v>1</v>
      </c>
      <c r="C11338" s="12"/>
      <c r="D11338" s="13" t="n">
        <f aca="false">IF(B11338&lt;5,Einstellungen!$B$3,Einstellungen!$B$4)</f>
        <v>15.92</v>
      </c>
      <c r="E11338" s="14" t="str">
        <f aca="false">IF(C11338="","",C11338*D11338/100)</f>
        <v/>
      </c>
      <c r="F11338" s="15" t="str">
        <f aca="false">IF(B11338&lt;5,"Go","Standard")</f>
        <v>Go</v>
      </c>
    </row>
    <row r="11339" customFormat="false" ht="15" hidden="false" customHeight="true" outlineLevel="0" collapsed="false">
      <c r="A11339" s="10" t="n">
        <f aca="false">Einstellungen!$B$5+INT((ROW()-9)/24)</f>
        <v>46438</v>
      </c>
      <c r="B11339" s="11" t="n">
        <f aca="false">MOD(ROW()-9,24)</f>
        <v>2</v>
      </c>
      <c r="C11339" s="12"/>
      <c r="D11339" s="13" t="n">
        <f aca="false">IF(B11339&lt;5,Einstellungen!$B$3,Einstellungen!$B$4)</f>
        <v>15.92</v>
      </c>
      <c r="E11339" s="14" t="str">
        <f aca="false">IF(C11339="","",C11339*D11339/100)</f>
        <v/>
      </c>
      <c r="F11339" s="15" t="str">
        <f aca="false">IF(B11339&lt;5,"Go","Standard")</f>
        <v>Go</v>
      </c>
    </row>
    <row r="11340" customFormat="false" ht="15" hidden="false" customHeight="true" outlineLevel="0" collapsed="false">
      <c r="A11340" s="10" t="n">
        <f aca="false">Einstellungen!$B$5+INT((ROW()-9)/24)</f>
        <v>46438</v>
      </c>
      <c r="B11340" s="11" t="n">
        <f aca="false">MOD(ROW()-9,24)</f>
        <v>3</v>
      </c>
      <c r="C11340" s="12"/>
      <c r="D11340" s="13" t="n">
        <f aca="false">IF(B11340&lt;5,Einstellungen!$B$3,Einstellungen!$B$4)</f>
        <v>15.92</v>
      </c>
      <c r="E11340" s="14" t="str">
        <f aca="false">IF(C11340="","",C11340*D11340/100)</f>
        <v/>
      </c>
      <c r="F11340" s="15" t="str">
        <f aca="false">IF(B11340&lt;5,"Go","Standard")</f>
        <v>Go</v>
      </c>
    </row>
    <row r="11341" customFormat="false" ht="15" hidden="false" customHeight="true" outlineLevel="0" collapsed="false">
      <c r="A11341" s="10" t="n">
        <f aca="false">Einstellungen!$B$5+INT((ROW()-9)/24)</f>
        <v>46438</v>
      </c>
      <c r="B11341" s="11" t="n">
        <f aca="false">MOD(ROW()-9,24)</f>
        <v>4</v>
      </c>
      <c r="C11341" s="12"/>
      <c r="D11341" s="13" t="n">
        <f aca="false">IF(B11341&lt;5,Einstellungen!$B$3,Einstellungen!$B$4)</f>
        <v>15.92</v>
      </c>
      <c r="E11341" s="14" t="str">
        <f aca="false">IF(C11341="","",C11341*D11341/100)</f>
        <v/>
      </c>
      <c r="F11341" s="15" t="str">
        <f aca="false">IF(B11341&lt;5,"Go","Standard")</f>
        <v>Go</v>
      </c>
    </row>
    <row r="11342" customFormat="false" ht="15" hidden="false" customHeight="true" outlineLevel="0" collapsed="false">
      <c r="A11342" s="10" t="n">
        <f aca="false">Einstellungen!$B$5+INT((ROW()-9)/24)</f>
        <v>46438</v>
      </c>
      <c r="B11342" s="11" t="n">
        <f aca="false">MOD(ROW()-9,24)</f>
        <v>5</v>
      </c>
      <c r="C11342" s="12"/>
      <c r="D11342" s="13" t="n">
        <f aca="false">IF(B11342&lt;5,Einstellungen!$B$3,Einstellungen!$B$4)</f>
        <v>29.13</v>
      </c>
      <c r="E11342" s="14" t="str">
        <f aca="false">IF(C11342="","",C11342*D11342/100)</f>
        <v/>
      </c>
      <c r="F11342" s="15" t="str">
        <f aca="false">IF(B11342&lt;5,"Go","Standard")</f>
        <v>Standard</v>
      </c>
    </row>
    <row r="11343" customFormat="false" ht="15" hidden="false" customHeight="true" outlineLevel="0" collapsed="false">
      <c r="A11343" s="10" t="n">
        <f aca="false">Einstellungen!$B$5+INT((ROW()-9)/24)</f>
        <v>46438</v>
      </c>
      <c r="B11343" s="11" t="n">
        <f aca="false">MOD(ROW()-9,24)</f>
        <v>6</v>
      </c>
      <c r="C11343" s="12"/>
      <c r="D11343" s="13" t="n">
        <f aca="false">IF(B11343&lt;5,Einstellungen!$B$3,Einstellungen!$B$4)</f>
        <v>29.13</v>
      </c>
      <c r="E11343" s="14" t="str">
        <f aca="false">IF(C11343="","",C11343*D11343/100)</f>
        <v/>
      </c>
      <c r="F11343" s="15" t="str">
        <f aca="false">IF(B11343&lt;5,"Go","Standard")</f>
        <v>Standard</v>
      </c>
    </row>
    <row r="11344" customFormat="false" ht="15" hidden="false" customHeight="true" outlineLevel="0" collapsed="false">
      <c r="A11344" s="10" t="n">
        <f aca="false">Einstellungen!$B$5+INT((ROW()-9)/24)</f>
        <v>46438</v>
      </c>
      <c r="B11344" s="11" t="n">
        <f aca="false">MOD(ROW()-9,24)</f>
        <v>7</v>
      </c>
      <c r="C11344" s="12"/>
      <c r="D11344" s="13" t="n">
        <f aca="false">IF(B11344&lt;5,Einstellungen!$B$3,Einstellungen!$B$4)</f>
        <v>29.13</v>
      </c>
      <c r="E11344" s="14" t="str">
        <f aca="false">IF(C11344="","",C11344*D11344/100)</f>
        <v/>
      </c>
      <c r="F11344" s="15" t="str">
        <f aca="false">IF(B11344&lt;5,"Go","Standard")</f>
        <v>Standard</v>
      </c>
    </row>
    <row r="11345" customFormat="false" ht="15" hidden="false" customHeight="true" outlineLevel="0" collapsed="false">
      <c r="A11345" s="10" t="n">
        <f aca="false">Einstellungen!$B$5+INT((ROW()-9)/24)</f>
        <v>46438</v>
      </c>
      <c r="B11345" s="11" t="n">
        <f aca="false">MOD(ROW()-9,24)</f>
        <v>8</v>
      </c>
      <c r="C11345" s="12"/>
      <c r="D11345" s="13" t="n">
        <f aca="false">IF(B11345&lt;5,Einstellungen!$B$3,Einstellungen!$B$4)</f>
        <v>29.13</v>
      </c>
      <c r="E11345" s="14" t="str">
        <f aca="false">IF(C11345="","",C11345*D11345/100)</f>
        <v/>
      </c>
      <c r="F11345" s="15" t="str">
        <f aca="false">IF(B11345&lt;5,"Go","Standard")</f>
        <v>Standard</v>
      </c>
    </row>
    <row r="11346" customFormat="false" ht="15" hidden="false" customHeight="true" outlineLevel="0" collapsed="false">
      <c r="A11346" s="10" t="n">
        <f aca="false">Einstellungen!$B$5+INT((ROW()-9)/24)</f>
        <v>46438</v>
      </c>
      <c r="B11346" s="11" t="n">
        <f aca="false">MOD(ROW()-9,24)</f>
        <v>9</v>
      </c>
      <c r="C11346" s="12"/>
      <c r="D11346" s="13" t="n">
        <f aca="false">IF(B11346&lt;5,Einstellungen!$B$3,Einstellungen!$B$4)</f>
        <v>29.13</v>
      </c>
      <c r="E11346" s="14" t="str">
        <f aca="false">IF(C11346="","",C11346*D11346/100)</f>
        <v/>
      </c>
      <c r="F11346" s="15" t="str">
        <f aca="false">IF(B11346&lt;5,"Go","Standard")</f>
        <v>Standard</v>
      </c>
    </row>
    <row r="11347" customFormat="false" ht="15" hidden="false" customHeight="true" outlineLevel="0" collapsed="false">
      <c r="A11347" s="10" t="n">
        <f aca="false">Einstellungen!$B$5+INT((ROW()-9)/24)</f>
        <v>46438</v>
      </c>
      <c r="B11347" s="11" t="n">
        <f aca="false">MOD(ROW()-9,24)</f>
        <v>10</v>
      </c>
      <c r="C11347" s="12"/>
      <c r="D11347" s="13" t="n">
        <f aca="false">IF(B11347&lt;5,Einstellungen!$B$3,Einstellungen!$B$4)</f>
        <v>29.13</v>
      </c>
      <c r="E11347" s="14" t="str">
        <f aca="false">IF(C11347="","",C11347*D11347/100)</f>
        <v/>
      </c>
      <c r="F11347" s="15" t="str">
        <f aca="false">IF(B11347&lt;5,"Go","Standard")</f>
        <v>Standard</v>
      </c>
    </row>
    <row r="11348" customFormat="false" ht="15" hidden="false" customHeight="true" outlineLevel="0" collapsed="false">
      <c r="A11348" s="10" t="n">
        <f aca="false">Einstellungen!$B$5+INT((ROW()-9)/24)</f>
        <v>46438</v>
      </c>
      <c r="B11348" s="11" t="n">
        <f aca="false">MOD(ROW()-9,24)</f>
        <v>11</v>
      </c>
      <c r="C11348" s="12"/>
      <c r="D11348" s="13" t="n">
        <f aca="false">IF(B11348&lt;5,Einstellungen!$B$3,Einstellungen!$B$4)</f>
        <v>29.13</v>
      </c>
      <c r="E11348" s="14" t="str">
        <f aca="false">IF(C11348="","",C11348*D11348/100)</f>
        <v/>
      </c>
      <c r="F11348" s="15" t="str">
        <f aca="false">IF(B11348&lt;5,"Go","Standard")</f>
        <v>Standard</v>
      </c>
    </row>
    <row r="11349" customFormat="false" ht="15" hidden="false" customHeight="true" outlineLevel="0" collapsed="false">
      <c r="A11349" s="10" t="n">
        <f aca="false">Einstellungen!$B$5+INT((ROW()-9)/24)</f>
        <v>46438</v>
      </c>
      <c r="B11349" s="11" t="n">
        <f aca="false">MOD(ROW()-9,24)</f>
        <v>12</v>
      </c>
      <c r="C11349" s="12"/>
      <c r="D11349" s="13" t="n">
        <f aca="false">IF(B11349&lt;5,Einstellungen!$B$3,Einstellungen!$B$4)</f>
        <v>29.13</v>
      </c>
      <c r="E11349" s="14" t="str">
        <f aca="false">IF(C11349="","",C11349*D11349/100)</f>
        <v/>
      </c>
      <c r="F11349" s="15" t="str">
        <f aca="false">IF(B11349&lt;5,"Go","Standard")</f>
        <v>Standard</v>
      </c>
    </row>
    <row r="11350" customFormat="false" ht="15" hidden="false" customHeight="true" outlineLevel="0" collapsed="false">
      <c r="A11350" s="10" t="n">
        <f aca="false">Einstellungen!$B$5+INT((ROW()-9)/24)</f>
        <v>46438</v>
      </c>
      <c r="B11350" s="11" t="n">
        <f aca="false">MOD(ROW()-9,24)</f>
        <v>13</v>
      </c>
      <c r="C11350" s="12"/>
      <c r="D11350" s="13" t="n">
        <f aca="false">IF(B11350&lt;5,Einstellungen!$B$3,Einstellungen!$B$4)</f>
        <v>29.13</v>
      </c>
      <c r="E11350" s="14" t="str">
        <f aca="false">IF(C11350="","",C11350*D11350/100)</f>
        <v/>
      </c>
      <c r="F11350" s="15" t="str">
        <f aca="false">IF(B11350&lt;5,"Go","Standard")</f>
        <v>Standard</v>
      </c>
    </row>
    <row r="11351" customFormat="false" ht="15" hidden="false" customHeight="true" outlineLevel="0" collapsed="false">
      <c r="A11351" s="10" t="n">
        <f aca="false">Einstellungen!$B$5+INT((ROW()-9)/24)</f>
        <v>46438</v>
      </c>
      <c r="B11351" s="11" t="n">
        <f aca="false">MOD(ROW()-9,24)</f>
        <v>14</v>
      </c>
      <c r="C11351" s="12"/>
      <c r="D11351" s="13" t="n">
        <f aca="false">IF(B11351&lt;5,Einstellungen!$B$3,Einstellungen!$B$4)</f>
        <v>29.13</v>
      </c>
      <c r="E11351" s="14" t="str">
        <f aca="false">IF(C11351="","",C11351*D11351/100)</f>
        <v/>
      </c>
      <c r="F11351" s="15" t="str">
        <f aca="false">IF(B11351&lt;5,"Go","Standard")</f>
        <v>Standard</v>
      </c>
    </row>
    <row r="11352" customFormat="false" ht="15" hidden="false" customHeight="true" outlineLevel="0" collapsed="false">
      <c r="A11352" s="10" t="n">
        <f aca="false">Einstellungen!$B$5+INT((ROW()-9)/24)</f>
        <v>46438</v>
      </c>
      <c r="B11352" s="11" t="n">
        <f aca="false">MOD(ROW()-9,24)</f>
        <v>15</v>
      </c>
      <c r="C11352" s="12"/>
      <c r="D11352" s="13" t="n">
        <f aca="false">IF(B11352&lt;5,Einstellungen!$B$3,Einstellungen!$B$4)</f>
        <v>29.13</v>
      </c>
      <c r="E11352" s="14" t="str">
        <f aca="false">IF(C11352="","",C11352*D11352/100)</f>
        <v/>
      </c>
      <c r="F11352" s="15" t="str">
        <f aca="false">IF(B11352&lt;5,"Go","Standard")</f>
        <v>Standard</v>
      </c>
    </row>
    <row r="11353" customFormat="false" ht="15" hidden="false" customHeight="true" outlineLevel="0" collapsed="false">
      <c r="A11353" s="10" t="n">
        <f aca="false">Einstellungen!$B$5+INT((ROW()-9)/24)</f>
        <v>46438</v>
      </c>
      <c r="B11353" s="11" t="n">
        <f aca="false">MOD(ROW()-9,24)</f>
        <v>16</v>
      </c>
      <c r="C11353" s="12"/>
      <c r="D11353" s="13" t="n">
        <f aca="false">IF(B11353&lt;5,Einstellungen!$B$3,Einstellungen!$B$4)</f>
        <v>29.13</v>
      </c>
      <c r="E11353" s="14" t="str">
        <f aca="false">IF(C11353="","",C11353*D11353/100)</f>
        <v/>
      </c>
      <c r="F11353" s="15" t="str">
        <f aca="false">IF(B11353&lt;5,"Go","Standard")</f>
        <v>Standard</v>
      </c>
    </row>
    <row r="11354" customFormat="false" ht="15" hidden="false" customHeight="true" outlineLevel="0" collapsed="false">
      <c r="A11354" s="10" t="n">
        <f aca="false">Einstellungen!$B$5+INT((ROW()-9)/24)</f>
        <v>46438</v>
      </c>
      <c r="B11354" s="11" t="n">
        <f aca="false">MOD(ROW()-9,24)</f>
        <v>17</v>
      </c>
      <c r="C11354" s="12"/>
      <c r="D11354" s="13" t="n">
        <f aca="false">IF(B11354&lt;5,Einstellungen!$B$3,Einstellungen!$B$4)</f>
        <v>29.13</v>
      </c>
      <c r="E11354" s="14" t="str">
        <f aca="false">IF(C11354="","",C11354*D11354/100)</f>
        <v/>
      </c>
      <c r="F11354" s="15" t="str">
        <f aca="false">IF(B11354&lt;5,"Go","Standard")</f>
        <v>Standard</v>
      </c>
    </row>
    <row r="11355" customFormat="false" ht="15" hidden="false" customHeight="true" outlineLevel="0" collapsed="false">
      <c r="A11355" s="10" t="n">
        <f aca="false">Einstellungen!$B$5+INT((ROW()-9)/24)</f>
        <v>46438</v>
      </c>
      <c r="B11355" s="11" t="n">
        <f aca="false">MOD(ROW()-9,24)</f>
        <v>18</v>
      </c>
      <c r="C11355" s="12"/>
      <c r="D11355" s="13" t="n">
        <f aca="false">IF(B11355&lt;5,Einstellungen!$B$3,Einstellungen!$B$4)</f>
        <v>29.13</v>
      </c>
      <c r="E11355" s="14" t="str">
        <f aca="false">IF(C11355="","",C11355*D11355/100)</f>
        <v/>
      </c>
      <c r="F11355" s="15" t="str">
        <f aca="false">IF(B11355&lt;5,"Go","Standard")</f>
        <v>Standard</v>
      </c>
    </row>
    <row r="11356" customFormat="false" ht="15" hidden="false" customHeight="true" outlineLevel="0" collapsed="false">
      <c r="A11356" s="10" t="n">
        <f aca="false">Einstellungen!$B$5+INT((ROW()-9)/24)</f>
        <v>46438</v>
      </c>
      <c r="B11356" s="11" t="n">
        <f aca="false">MOD(ROW()-9,24)</f>
        <v>19</v>
      </c>
      <c r="C11356" s="12"/>
      <c r="D11356" s="13" t="n">
        <f aca="false">IF(B11356&lt;5,Einstellungen!$B$3,Einstellungen!$B$4)</f>
        <v>29.13</v>
      </c>
      <c r="E11356" s="14" t="str">
        <f aca="false">IF(C11356="","",C11356*D11356/100)</f>
        <v/>
      </c>
      <c r="F11356" s="15" t="str">
        <f aca="false">IF(B11356&lt;5,"Go","Standard")</f>
        <v>Standard</v>
      </c>
    </row>
    <row r="11357" customFormat="false" ht="15" hidden="false" customHeight="true" outlineLevel="0" collapsed="false">
      <c r="A11357" s="10" t="n">
        <f aca="false">Einstellungen!$B$5+INT((ROW()-9)/24)</f>
        <v>46438</v>
      </c>
      <c r="B11357" s="11" t="n">
        <f aca="false">MOD(ROW()-9,24)</f>
        <v>20</v>
      </c>
      <c r="C11357" s="12"/>
      <c r="D11357" s="13" t="n">
        <f aca="false">IF(B11357&lt;5,Einstellungen!$B$3,Einstellungen!$B$4)</f>
        <v>29.13</v>
      </c>
      <c r="E11357" s="14" t="str">
        <f aca="false">IF(C11357="","",C11357*D11357/100)</f>
        <v/>
      </c>
      <c r="F11357" s="15" t="str">
        <f aca="false">IF(B11357&lt;5,"Go","Standard")</f>
        <v>Standard</v>
      </c>
    </row>
    <row r="11358" customFormat="false" ht="15" hidden="false" customHeight="true" outlineLevel="0" collapsed="false">
      <c r="A11358" s="10" t="n">
        <f aca="false">Einstellungen!$B$5+INT((ROW()-9)/24)</f>
        <v>46438</v>
      </c>
      <c r="B11358" s="11" t="n">
        <f aca="false">MOD(ROW()-9,24)</f>
        <v>21</v>
      </c>
      <c r="C11358" s="12"/>
      <c r="D11358" s="13" t="n">
        <f aca="false">IF(B11358&lt;5,Einstellungen!$B$3,Einstellungen!$B$4)</f>
        <v>29.13</v>
      </c>
      <c r="E11358" s="14" t="str">
        <f aca="false">IF(C11358="","",C11358*D11358/100)</f>
        <v/>
      </c>
      <c r="F11358" s="15" t="str">
        <f aca="false">IF(B11358&lt;5,"Go","Standard")</f>
        <v>Standard</v>
      </c>
    </row>
    <row r="11359" customFormat="false" ht="15" hidden="false" customHeight="true" outlineLevel="0" collapsed="false">
      <c r="A11359" s="10" t="n">
        <f aca="false">Einstellungen!$B$5+INT((ROW()-9)/24)</f>
        <v>46438</v>
      </c>
      <c r="B11359" s="11" t="n">
        <f aca="false">MOD(ROW()-9,24)</f>
        <v>22</v>
      </c>
      <c r="C11359" s="12"/>
      <c r="D11359" s="13" t="n">
        <f aca="false">IF(B11359&lt;5,Einstellungen!$B$3,Einstellungen!$B$4)</f>
        <v>29.13</v>
      </c>
      <c r="E11359" s="14" t="str">
        <f aca="false">IF(C11359="","",C11359*D11359/100)</f>
        <v/>
      </c>
      <c r="F11359" s="15" t="str">
        <f aca="false">IF(B11359&lt;5,"Go","Standard")</f>
        <v>Standard</v>
      </c>
    </row>
    <row r="11360" customFormat="false" ht="15" hidden="false" customHeight="true" outlineLevel="0" collapsed="false">
      <c r="A11360" s="10" t="n">
        <f aca="false">Einstellungen!$B$5+INT((ROW()-9)/24)</f>
        <v>46438</v>
      </c>
      <c r="B11360" s="11" t="n">
        <f aca="false">MOD(ROW()-9,24)</f>
        <v>23</v>
      </c>
      <c r="C11360" s="12"/>
      <c r="D11360" s="13" t="n">
        <f aca="false">IF(B11360&lt;5,Einstellungen!$B$3,Einstellungen!$B$4)</f>
        <v>29.13</v>
      </c>
      <c r="E11360" s="14" t="str">
        <f aca="false">IF(C11360="","",C11360*D11360/100)</f>
        <v/>
      </c>
      <c r="F11360" s="15" t="str">
        <f aca="false">IF(B11360&lt;5,"Go","Standard")</f>
        <v>Standard</v>
      </c>
    </row>
    <row r="11361" customFormat="false" ht="15" hidden="false" customHeight="true" outlineLevel="0" collapsed="false">
      <c r="A11361" s="10" t="n">
        <f aca="false">Einstellungen!$B$5+INT((ROW()-9)/24)</f>
        <v>46439</v>
      </c>
      <c r="B11361" s="11" t="n">
        <f aca="false">MOD(ROW()-9,24)</f>
        <v>0</v>
      </c>
      <c r="C11361" s="12"/>
      <c r="D11361" s="13" t="n">
        <f aca="false">IF(B11361&lt;5,Einstellungen!$B$3,Einstellungen!$B$4)</f>
        <v>15.92</v>
      </c>
      <c r="E11361" s="14" t="str">
        <f aca="false">IF(C11361="","",C11361*D11361/100)</f>
        <v/>
      </c>
      <c r="F11361" s="15" t="str">
        <f aca="false">IF(B11361&lt;5,"Go","Standard")</f>
        <v>Go</v>
      </c>
    </row>
    <row r="11362" customFormat="false" ht="15" hidden="false" customHeight="true" outlineLevel="0" collapsed="false">
      <c r="A11362" s="10" t="n">
        <f aca="false">Einstellungen!$B$5+INT((ROW()-9)/24)</f>
        <v>46439</v>
      </c>
      <c r="B11362" s="11" t="n">
        <f aca="false">MOD(ROW()-9,24)</f>
        <v>1</v>
      </c>
      <c r="C11362" s="12"/>
      <c r="D11362" s="13" t="n">
        <f aca="false">IF(B11362&lt;5,Einstellungen!$B$3,Einstellungen!$B$4)</f>
        <v>15.92</v>
      </c>
      <c r="E11362" s="14" t="str">
        <f aca="false">IF(C11362="","",C11362*D11362/100)</f>
        <v/>
      </c>
      <c r="F11362" s="15" t="str">
        <f aca="false">IF(B11362&lt;5,"Go","Standard")</f>
        <v>Go</v>
      </c>
    </row>
    <row r="11363" customFormat="false" ht="15" hidden="false" customHeight="true" outlineLevel="0" collapsed="false">
      <c r="A11363" s="10" t="n">
        <f aca="false">Einstellungen!$B$5+INT((ROW()-9)/24)</f>
        <v>46439</v>
      </c>
      <c r="B11363" s="11" t="n">
        <f aca="false">MOD(ROW()-9,24)</f>
        <v>2</v>
      </c>
      <c r="C11363" s="12"/>
      <c r="D11363" s="13" t="n">
        <f aca="false">IF(B11363&lt;5,Einstellungen!$B$3,Einstellungen!$B$4)</f>
        <v>15.92</v>
      </c>
      <c r="E11363" s="14" t="str">
        <f aca="false">IF(C11363="","",C11363*D11363/100)</f>
        <v/>
      </c>
      <c r="F11363" s="15" t="str">
        <f aca="false">IF(B11363&lt;5,"Go","Standard")</f>
        <v>Go</v>
      </c>
    </row>
    <row r="11364" customFormat="false" ht="15" hidden="false" customHeight="true" outlineLevel="0" collapsed="false">
      <c r="A11364" s="10" t="n">
        <f aca="false">Einstellungen!$B$5+INT((ROW()-9)/24)</f>
        <v>46439</v>
      </c>
      <c r="B11364" s="11" t="n">
        <f aca="false">MOD(ROW()-9,24)</f>
        <v>3</v>
      </c>
      <c r="C11364" s="12"/>
      <c r="D11364" s="13" t="n">
        <f aca="false">IF(B11364&lt;5,Einstellungen!$B$3,Einstellungen!$B$4)</f>
        <v>15.92</v>
      </c>
      <c r="E11364" s="14" t="str">
        <f aca="false">IF(C11364="","",C11364*D11364/100)</f>
        <v/>
      </c>
      <c r="F11364" s="15" t="str">
        <f aca="false">IF(B11364&lt;5,"Go","Standard")</f>
        <v>Go</v>
      </c>
    </row>
    <row r="11365" customFormat="false" ht="15" hidden="false" customHeight="true" outlineLevel="0" collapsed="false">
      <c r="A11365" s="10" t="n">
        <f aca="false">Einstellungen!$B$5+INT((ROW()-9)/24)</f>
        <v>46439</v>
      </c>
      <c r="B11365" s="11" t="n">
        <f aca="false">MOD(ROW()-9,24)</f>
        <v>4</v>
      </c>
      <c r="C11365" s="12"/>
      <c r="D11365" s="13" t="n">
        <f aca="false">IF(B11365&lt;5,Einstellungen!$B$3,Einstellungen!$B$4)</f>
        <v>15.92</v>
      </c>
      <c r="E11365" s="14" t="str">
        <f aca="false">IF(C11365="","",C11365*D11365/100)</f>
        <v/>
      </c>
      <c r="F11365" s="15" t="str">
        <f aca="false">IF(B11365&lt;5,"Go","Standard")</f>
        <v>Go</v>
      </c>
    </row>
    <row r="11366" customFormat="false" ht="15" hidden="false" customHeight="true" outlineLevel="0" collapsed="false">
      <c r="A11366" s="10" t="n">
        <f aca="false">Einstellungen!$B$5+INT((ROW()-9)/24)</f>
        <v>46439</v>
      </c>
      <c r="B11366" s="11" t="n">
        <f aca="false">MOD(ROW()-9,24)</f>
        <v>5</v>
      </c>
      <c r="C11366" s="12"/>
      <c r="D11366" s="13" t="n">
        <f aca="false">IF(B11366&lt;5,Einstellungen!$B$3,Einstellungen!$B$4)</f>
        <v>29.13</v>
      </c>
      <c r="E11366" s="14" t="str">
        <f aca="false">IF(C11366="","",C11366*D11366/100)</f>
        <v/>
      </c>
      <c r="F11366" s="15" t="str">
        <f aca="false">IF(B11366&lt;5,"Go","Standard")</f>
        <v>Standard</v>
      </c>
    </row>
    <row r="11367" customFormat="false" ht="15" hidden="false" customHeight="true" outlineLevel="0" collapsed="false">
      <c r="A11367" s="10" t="n">
        <f aca="false">Einstellungen!$B$5+INT((ROW()-9)/24)</f>
        <v>46439</v>
      </c>
      <c r="B11367" s="11" t="n">
        <f aca="false">MOD(ROW()-9,24)</f>
        <v>6</v>
      </c>
      <c r="C11367" s="12"/>
      <c r="D11367" s="13" t="n">
        <f aca="false">IF(B11367&lt;5,Einstellungen!$B$3,Einstellungen!$B$4)</f>
        <v>29.13</v>
      </c>
      <c r="E11367" s="14" t="str">
        <f aca="false">IF(C11367="","",C11367*D11367/100)</f>
        <v/>
      </c>
      <c r="F11367" s="15" t="str">
        <f aca="false">IF(B11367&lt;5,"Go","Standard")</f>
        <v>Standard</v>
      </c>
    </row>
    <row r="11368" customFormat="false" ht="15" hidden="false" customHeight="true" outlineLevel="0" collapsed="false">
      <c r="A11368" s="10" t="n">
        <f aca="false">Einstellungen!$B$5+INT((ROW()-9)/24)</f>
        <v>46439</v>
      </c>
      <c r="B11368" s="11" t="n">
        <f aca="false">MOD(ROW()-9,24)</f>
        <v>7</v>
      </c>
      <c r="C11368" s="12"/>
      <c r="D11368" s="13" t="n">
        <f aca="false">IF(B11368&lt;5,Einstellungen!$B$3,Einstellungen!$B$4)</f>
        <v>29.13</v>
      </c>
      <c r="E11368" s="14" t="str">
        <f aca="false">IF(C11368="","",C11368*D11368/100)</f>
        <v/>
      </c>
      <c r="F11368" s="15" t="str">
        <f aca="false">IF(B11368&lt;5,"Go","Standard")</f>
        <v>Standard</v>
      </c>
    </row>
    <row r="11369" customFormat="false" ht="15" hidden="false" customHeight="true" outlineLevel="0" collapsed="false">
      <c r="A11369" s="10" t="n">
        <f aca="false">Einstellungen!$B$5+INT((ROW()-9)/24)</f>
        <v>46439</v>
      </c>
      <c r="B11369" s="11" t="n">
        <f aca="false">MOD(ROW()-9,24)</f>
        <v>8</v>
      </c>
      <c r="C11369" s="12"/>
      <c r="D11369" s="13" t="n">
        <f aca="false">IF(B11369&lt;5,Einstellungen!$B$3,Einstellungen!$B$4)</f>
        <v>29.13</v>
      </c>
      <c r="E11369" s="14" t="str">
        <f aca="false">IF(C11369="","",C11369*D11369/100)</f>
        <v/>
      </c>
      <c r="F11369" s="15" t="str">
        <f aca="false">IF(B11369&lt;5,"Go","Standard")</f>
        <v>Standard</v>
      </c>
    </row>
    <row r="11370" customFormat="false" ht="15" hidden="false" customHeight="true" outlineLevel="0" collapsed="false">
      <c r="A11370" s="10" t="n">
        <f aca="false">Einstellungen!$B$5+INT((ROW()-9)/24)</f>
        <v>46439</v>
      </c>
      <c r="B11370" s="11" t="n">
        <f aca="false">MOD(ROW()-9,24)</f>
        <v>9</v>
      </c>
      <c r="C11370" s="12"/>
      <c r="D11370" s="13" t="n">
        <f aca="false">IF(B11370&lt;5,Einstellungen!$B$3,Einstellungen!$B$4)</f>
        <v>29.13</v>
      </c>
      <c r="E11370" s="14" t="str">
        <f aca="false">IF(C11370="","",C11370*D11370/100)</f>
        <v/>
      </c>
      <c r="F11370" s="15" t="str">
        <f aca="false">IF(B11370&lt;5,"Go","Standard")</f>
        <v>Standard</v>
      </c>
    </row>
    <row r="11371" customFormat="false" ht="15" hidden="false" customHeight="true" outlineLevel="0" collapsed="false">
      <c r="A11371" s="10" t="n">
        <f aca="false">Einstellungen!$B$5+INT((ROW()-9)/24)</f>
        <v>46439</v>
      </c>
      <c r="B11371" s="11" t="n">
        <f aca="false">MOD(ROW()-9,24)</f>
        <v>10</v>
      </c>
      <c r="C11371" s="12"/>
      <c r="D11371" s="13" t="n">
        <f aca="false">IF(B11371&lt;5,Einstellungen!$B$3,Einstellungen!$B$4)</f>
        <v>29.13</v>
      </c>
      <c r="E11371" s="14" t="str">
        <f aca="false">IF(C11371="","",C11371*D11371/100)</f>
        <v/>
      </c>
      <c r="F11371" s="15" t="str">
        <f aca="false">IF(B11371&lt;5,"Go","Standard")</f>
        <v>Standard</v>
      </c>
    </row>
    <row r="11372" customFormat="false" ht="15" hidden="false" customHeight="true" outlineLevel="0" collapsed="false">
      <c r="A11372" s="10" t="n">
        <f aca="false">Einstellungen!$B$5+INT((ROW()-9)/24)</f>
        <v>46439</v>
      </c>
      <c r="B11372" s="11" t="n">
        <f aca="false">MOD(ROW()-9,24)</f>
        <v>11</v>
      </c>
      <c r="C11372" s="12"/>
      <c r="D11372" s="13" t="n">
        <f aca="false">IF(B11372&lt;5,Einstellungen!$B$3,Einstellungen!$B$4)</f>
        <v>29.13</v>
      </c>
      <c r="E11372" s="14" t="str">
        <f aca="false">IF(C11372="","",C11372*D11372/100)</f>
        <v/>
      </c>
      <c r="F11372" s="15" t="str">
        <f aca="false">IF(B11372&lt;5,"Go","Standard")</f>
        <v>Standard</v>
      </c>
    </row>
    <row r="11373" customFormat="false" ht="15" hidden="false" customHeight="true" outlineLevel="0" collapsed="false">
      <c r="A11373" s="10" t="n">
        <f aca="false">Einstellungen!$B$5+INT((ROW()-9)/24)</f>
        <v>46439</v>
      </c>
      <c r="B11373" s="11" t="n">
        <f aca="false">MOD(ROW()-9,24)</f>
        <v>12</v>
      </c>
      <c r="C11373" s="12"/>
      <c r="D11373" s="13" t="n">
        <f aca="false">IF(B11373&lt;5,Einstellungen!$B$3,Einstellungen!$B$4)</f>
        <v>29.13</v>
      </c>
      <c r="E11373" s="14" t="str">
        <f aca="false">IF(C11373="","",C11373*D11373/100)</f>
        <v/>
      </c>
      <c r="F11373" s="15" t="str">
        <f aca="false">IF(B11373&lt;5,"Go","Standard")</f>
        <v>Standard</v>
      </c>
    </row>
    <row r="11374" customFormat="false" ht="15" hidden="false" customHeight="true" outlineLevel="0" collapsed="false">
      <c r="A11374" s="10" t="n">
        <f aca="false">Einstellungen!$B$5+INT((ROW()-9)/24)</f>
        <v>46439</v>
      </c>
      <c r="B11374" s="11" t="n">
        <f aca="false">MOD(ROW()-9,24)</f>
        <v>13</v>
      </c>
      <c r="C11374" s="12"/>
      <c r="D11374" s="13" t="n">
        <f aca="false">IF(B11374&lt;5,Einstellungen!$B$3,Einstellungen!$B$4)</f>
        <v>29.13</v>
      </c>
      <c r="E11374" s="14" t="str">
        <f aca="false">IF(C11374="","",C11374*D11374/100)</f>
        <v/>
      </c>
      <c r="F11374" s="15" t="str">
        <f aca="false">IF(B11374&lt;5,"Go","Standard")</f>
        <v>Standard</v>
      </c>
    </row>
    <row r="11375" customFormat="false" ht="15" hidden="false" customHeight="true" outlineLevel="0" collapsed="false">
      <c r="A11375" s="10" t="n">
        <f aca="false">Einstellungen!$B$5+INT((ROW()-9)/24)</f>
        <v>46439</v>
      </c>
      <c r="B11375" s="11" t="n">
        <f aca="false">MOD(ROW()-9,24)</f>
        <v>14</v>
      </c>
      <c r="C11375" s="12"/>
      <c r="D11375" s="13" t="n">
        <f aca="false">IF(B11375&lt;5,Einstellungen!$B$3,Einstellungen!$B$4)</f>
        <v>29.13</v>
      </c>
      <c r="E11375" s="14" t="str">
        <f aca="false">IF(C11375="","",C11375*D11375/100)</f>
        <v/>
      </c>
      <c r="F11375" s="15" t="str">
        <f aca="false">IF(B11375&lt;5,"Go","Standard")</f>
        <v>Standard</v>
      </c>
    </row>
    <row r="11376" customFormat="false" ht="15" hidden="false" customHeight="true" outlineLevel="0" collapsed="false">
      <c r="A11376" s="10" t="n">
        <f aca="false">Einstellungen!$B$5+INT((ROW()-9)/24)</f>
        <v>46439</v>
      </c>
      <c r="B11376" s="11" t="n">
        <f aca="false">MOD(ROW()-9,24)</f>
        <v>15</v>
      </c>
      <c r="C11376" s="12"/>
      <c r="D11376" s="13" t="n">
        <f aca="false">IF(B11376&lt;5,Einstellungen!$B$3,Einstellungen!$B$4)</f>
        <v>29.13</v>
      </c>
      <c r="E11376" s="14" t="str">
        <f aca="false">IF(C11376="","",C11376*D11376/100)</f>
        <v/>
      </c>
      <c r="F11376" s="15" t="str">
        <f aca="false">IF(B11376&lt;5,"Go","Standard")</f>
        <v>Standard</v>
      </c>
    </row>
    <row r="11377" customFormat="false" ht="15" hidden="false" customHeight="true" outlineLevel="0" collapsed="false">
      <c r="A11377" s="10" t="n">
        <f aca="false">Einstellungen!$B$5+INT((ROW()-9)/24)</f>
        <v>46439</v>
      </c>
      <c r="B11377" s="11" t="n">
        <f aca="false">MOD(ROW()-9,24)</f>
        <v>16</v>
      </c>
      <c r="C11377" s="12"/>
      <c r="D11377" s="13" t="n">
        <f aca="false">IF(B11377&lt;5,Einstellungen!$B$3,Einstellungen!$B$4)</f>
        <v>29.13</v>
      </c>
      <c r="E11377" s="14" t="str">
        <f aca="false">IF(C11377="","",C11377*D11377/100)</f>
        <v/>
      </c>
      <c r="F11377" s="15" t="str">
        <f aca="false">IF(B11377&lt;5,"Go","Standard")</f>
        <v>Standard</v>
      </c>
    </row>
    <row r="11378" customFormat="false" ht="15" hidden="false" customHeight="true" outlineLevel="0" collapsed="false">
      <c r="A11378" s="10" t="n">
        <f aca="false">Einstellungen!$B$5+INT((ROW()-9)/24)</f>
        <v>46439</v>
      </c>
      <c r="B11378" s="11" t="n">
        <f aca="false">MOD(ROW()-9,24)</f>
        <v>17</v>
      </c>
      <c r="C11378" s="12"/>
      <c r="D11378" s="13" t="n">
        <f aca="false">IF(B11378&lt;5,Einstellungen!$B$3,Einstellungen!$B$4)</f>
        <v>29.13</v>
      </c>
      <c r="E11378" s="14" t="str">
        <f aca="false">IF(C11378="","",C11378*D11378/100)</f>
        <v/>
      </c>
      <c r="F11378" s="15" t="str">
        <f aca="false">IF(B11378&lt;5,"Go","Standard")</f>
        <v>Standard</v>
      </c>
    </row>
    <row r="11379" customFormat="false" ht="15" hidden="false" customHeight="true" outlineLevel="0" collapsed="false">
      <c r="A11379" s="10" t="n">
        <f aca="false">Einstellungen!$B$5+INT((ROW()-9)/24)</f>
        <v>46439</v>
      </c>
      <c r="B11379" s="11" t="n">
        <f aca="false">MOD(ROW()-9,24)</f>
        <v>18</v>
      </c>
      <c r="C11379" s="12"/>
      <c r="D11379" s="13" t="n">
        <f aca="false">IF(B11379&lt;5,Einstellungen!$B$3,Einstellungen!$B$4)</f>
        <v>29.13</v>
      </c>
      <c r="E11379" s="14" t="str">
        <f aca="false">IF(C11379="","",C11379*D11379/100)</f>
        <v/>
      </c>
      <c r="F11379" s="15" t="str">
        <f aca="false">IF(B11379&lt;5,"Go","Standard")</f>
        <v>Standard</v>
      </c>
    </row>
    <row r="11380" customFormat="false" ht="15" hidden="false" customHeight="true" outlineLevel="0" collapsed="false">
      <c r="A11380" s="10" t="n">
        <f aca="false">Einstellungen!$B$5+INT((ROW()-9)/24)</f>
        <v>46439</v>
      </c>
      <c r="B11380" s="11" t="n">
        <f aca="false">MOD(ROW()-9,24)</f>
        <v>19</v>
      </c>
      <c r="C11380" s="12"/>
      <c r="D11380" s="13" t="n">
        <f aca="false">IF(B11380&lt;5,Einstellungen!$B$3,Einstellungen!$B$4)</f>
        <v>29.13</v>
      </c>
      <c r="E11380" s="14" t="str">
        <f aca="false">IF(C11380="","",C11380*D11380/100)</f>
        <v/>
      </c>
      <c r="F11380" s="15" t="str">
        <f aca="false">IF(B11380&lt;5,"Go","Standard")</f>
        <v>Standard</v>
      </c>
    </row>
    <row r="11381" customFormat="false" ht="15" hidden="false" customHeight="true" outlineLevel="0" collapsed="false">
      <c r="A11381" s="10" t="n">
        <f aca="false">Einstellungen!$B$5+INT((ROW()-9)/24)</f>
        <v>46439</v>
      </c>
      <c r="B11381" s="11" t="n">
        <f aca="false">MOD(ROW()-9,24)</f>
        <v>20</v>
      </c>
      <c r="C11381" s="12"/>
      <c r="D11381" s="13" t="n">
        <f aca="false">IF(B11381&lt;5,Einstellungen!$B$3,Einstellungen!$B$4)</f>
        <v>29.13</v>
      </c>
      <c r="E11381" s="14" t="str">
        <f aca="false">IF(C11381="","",C11381*D11381/100)</f>
        <v/>
      </c>
      <c r="F11381" s="15" t="str">
        <f aca="false">IF(B11381&lt;5,"Go","Standard")</f>
        <v>Standard</v>
      </c>
    </row>
    <row r="11382" customFormat="false" ht="15" hidden="false" customHeight="true" outlineLevel="0" collapsed="false">
      <c r="A11382" s="10" t="n">
        <f aca="false">Einstellungen!$B$5+INT((ROW()-9)/24)</f>
        <v>46439</v>
      </c>
      <c r="B11382" s="11" t="n">
        <f aca="false">MOD(ROW()-9,24)</f>
        <v>21</v>
      </c>
      <c r="C11382" s="12"/>
      <c r="D11382" s="13" t="n">
        <f aca="false">IF(B11382&lt;5,Einstellungen!$B$3,Einstellungen!$B$4)</f>
        <v>29.13</v>
      </c>
      <c r="E11382" s="14" t="str">
        <f aca="false">IF(C11382="","",C11382*D11382/100)</f>
        <v/>
      </c>
      <c r="F11382" s="15" t="str">
        <f aca="false">IF(B11382&lt;5,"Go","Standard")</f>
        <v>Standard</v>
      </c>
    </row>
    <row r="11383" customFormat="false" ht="15" hidden="false" customHeight="true" outlineLevel="0" collapsed="false">
      <c r="A11383" s="10" t="n">
        <f aca="false">Einstellungen!$B$5+INT((ROW()-9)/24)</f>
        <v>46439</v>
      </c>
      <c r="B11383" s="11" t="n">
        <f aca="false">MOD(ROW()-9,24)</f>
        <v>22</v>
      </c>
      <c r="C11383" s="12"/>
      <c r="D11383" s="13" t="n">
        <f aca="false">IF(B11383&lt;5,Einstellungen!$B$3,Einstellungen!$B$4)</f>
        <v>29.13</v>
      </c>
      <c r="E11383" s="14" t="str">
        <f aca="false">IF(C11383="","",C11383*D11383/100)</f>
        <v/>
      </c>
      <c r="F11383" s="15" t="str">
        <f aca="false">IF(B11383&lt;5,"Go","Standard")</f>
        <v>Standard</v>
      </c>
    </row>
    <row r="11384" customFormat="false" ht="15" hidden="false" customHeight="true" outlineLevel="0" collapsed="false">
      <c r="A11384" s="10" t="n">
        <f aca="false">Einstellungen!$B$5+INT((ROW()-9)/24)</f>
        <v>46439</v>
      </c>
      <c r="B11384" s="11" t="n">
        <f aca="false">MOD(ROW()-9,24)</f>
        <v>23</v>
      </c>
      <c r="C11384" s="12"/>
      <c r="D11384" s="13" t="n">
        <f aca="false">IF(B11384&lt;5,Einstellungen!$B$3,Einstellungen!$B$4)</f>
        <v>29.13</v>
      </c>
      <c r="E11384" s="14" t="str">
        <f aca="false">IF(C11384="","",C11384*D11384/100)</f>
        <v/>
      </c>
      <c r="F11384" s="15" t="str">
        <f aca="false">IF(B11384&lt;5,"Go","Standard")</f>
        <v>Standard</v>
      </c>
    </row>
    <row r="11385" customFormat="false" ht="15" hidden="false" customHeight="true" outlineLevel="0" collapsed="false">
      <c r="A11385" s="10" t="n">
        <f aca="false">Einstellungen!$B$5+INT((ROW()-9)/24)</f>
        <v>46440</v>
      </c>
      <c r="B11385" s="11" t="n">
        <f aca="false">MOD(ROW()-9,24)</f>
        <v>0</v>
      </c>
      <c r="C11385" s="12"/>
      <c r="D11385" s="13" t="n">
        <f aca="false">IF(B11385&lt;5,Einstellungen!$B$3,Einstellungen!$B$4)</f>
        <v>15.92</v>
      </c>
      <c r="E11385" s="14" t="str">
        <f aca="false">IF(C11385="","",C11385*D11385/100)</f>
        <v/>
      </c>
      <c r="F11385" s="15" t="str">
        <f aca="false">IF(B11385&lt;5,"Go","Standard")</f>
        <v>Go</v>
      </c>
    </row>
    <row r="11386" customFormat="false" ht="15" hidden="false" customHeight="true" outlineLevel="0" collapsed="false">
      <c r="A11386" s="10" t="n">
        <f aca="false">Einstellungen!$B$5+INT((ROW()-9)/24)</f>
        <v>46440</v>
      </c>
      <c r="B11386" s="11" t="n">
        <f aca="false">MOD(ROW()-9,24)</f>
        <v>1</v>
      </c>
      <c r="C11386" s="12"/>
      <c r="D11386" s="13" t="n">
        <f aca="false">IF(B11386&lt;5,Einstellungen!$B$3,Einstellungen!$B$4)</f>
        <v>15.92</v>
      </c>
      <c r="E11386" s="14" t="str">
        <f aca="false">IF(C11386="","",C11386*D11386/100)</f>
        <v/>
      </c>
      <c r="F11386" s="15" t="str">
        <f aca="false">IF(B11386&lt;5,"Go","Standard")</f>
        <v>Go</v>
      </c>
    </row>
    <row r="11387" customFormat="false" ht="15" hidden="false" customHeight="true" outlineLevel="0" collapsed="false">
      <c r="A11387" s="10" t="n">
        <f aca="false">Einstellungen!$B$5+INT((ROW()-9)/24)</f>
        <v>46440</v>
      </c>
      <c r="B11387" s="11" t="n">
        <f aca="false">MOD(ROW()-9,24)</f>
        <v>2</v>
      </c>
      <c r="C11387" s="12"/>
      <c r="D11387" s="13" t="n">
        <f aca="false">IF(B11387&lt;5,Einstellungen!$B$3,Einstellungen!$B$4)</f>
        <v>15.92</v>
      </c>
      <c r="E11387" s="14" t="str">
        <f aca="false">IF(C11387="","",C11387*D11387/100)</f>
        <v/>
      </c>
      <c r="F11387" s="15" t="str">
        <f aca="false">IF(B11387&lt;5,"Go","Standard")</f>
        <v>Go</v>
      </c>
    </row>
    <row r="11388" customFormat="false" ht="15" hidden="false" customHeight="true" outlineLevel="0" collapsed="false">
      <c r="A11388" s="10" t="n">
        <f aca="false">Einstellungen!$B$5+INT((ROW()-9)/24)</f>
        <v>46440</v>
      </c>
      <c r="B11388" s="11" t="n">
        <f aca="false">MOD(ROW()-9,24)</f>
        <v>3</v>
      </c>
      <c r="C11388" s="12"/>
      <c r="D11388" s="13" t="n">
        <f aca="false">IF(B11388&lt;5,Einstellungen!$B$3,Einstellungen!$B$4)</f>
        <v>15.92</v>
      </c>
      <c r="E11388" s="14" t="str">
        <f aca="false">IF(C11388="","",C11388*D11388/100)</f>
        <v/>
      </c>
      <c r="F11388" s="15" t="str">
        <f aca="false">IF(B11388&lt;5,"Go","Standard")</f>
        <v>Go</v>
      </c>
    </row>
    <row r="11389" customFormat="false" ht="15" hidden="false" customHeight="true" outlineLevel="0" collapsed="false">
      <c r="A11389" s="10" t="n">
        <f aca="false">Einstellungen!$B$5+INT((ROW()-9)/24)</f>
        <v>46440</v>
      </c>
      <c r="B11389" s="11" t="n">
        <f aca="false">MOD(ROW()-9,24)</f>
        <v>4</v>
      </c>
      <c r="C11389" s="12"/>
      <c r="D11389" s="13" t="n">
        <f aca="false">IF(B11389&lt;5,Einstellungen!$B$3,Einstellungen!$B$4)</f>
        <v>15.92</v>
      </c>
      <c r="E11389" s="14" t="str">
        <f aca="false">IF(C11389="","",C11389*D11389/100)</f>
        <v/>
      </c>
      <c r="F11389" s="15" t="str">
        <f aca="false">IF(B11389&lt;5,"Go","Standard")</f>
        <v>Go</v>
      </c>
    </row>
    <row r="11390" customFormat="false" ht="15" hidden="false" customHeight="true" outlineLevel="0" collapsed="false">
      <c r="A11390" s="10" t="n">
        <f aca="false">Einstellungen!$B$5+INT((ROW()-9)/24)</f>
        <v>46440</v>
      </c>
      <c r="B11390" s="11" t="n">
        <f aca="false">MOD(ROW()-9,24)</f>
        <v>5</v>
      </c>
      <c r="C11390" s="12"/>
      <c r="D11390" s="13" t="n">
        <f aca="false">IF(B11390&lt;5,Einstellungen!$B$3,Einstellungen!$B$4)</f>
        <v>29.13</v>
      </c>
      <c r="E11390" s="14" t="str">
        <f aca="false">IF(C11390="","",C11390*D11390/100)</f>
        <v/>
      </c>
      <c r="F11390" s="15" t="str">
        <f aca="false">IF(B11390&lt;5,"Go","Standard")</f>
        <v>Standard</v>
      </c>
    </row>
    <row r="11391" customFormat="false" ht="15" hidden="false" customHeight="true" outlineLevel="0" collapsed="false">
      <c r="A11391" s="10" t="n">
        <f aca="false">Einstellungen!$B$5+INT((ROW()-9)/24)</f>
        <v>46440</v>
      </c>
      <c r="B11391" s="11" t="n">
        <f aca="false">MOD(ROW()-9,24)</f>
        <v>6</v>
      </c>
      <c r="C11391" s="12"/>
      <c r="D11391" s="13" t="n">
        <f aca="false">IF(B11391&lt;5,Einstellungen!$B$3,Einstellungen!$B$4)</f>
        <v>29.13</v>
      </c>
      <c r="E11391" s="14" t="str">
        <f aca="false">IF(C11391="","",C11391*D11391/100)</f>
        <v/>
      </c>
      <c r="F11391" s="15" t="str">
        <f aca="false">IF(B11391&lt;5,"Go","Standard")</f>
        <v>Standard</v>
      </c>
    </row>
    <row r="11392" customFormat="false" ht="15" hidden="false" customHeight="true" outlineLevel="0" collapsed="false">
      <c r="A11392" s="10" t="n">
        <f aca="false">Einstellungen!$B$5+INT((ROW()-9)/24)</f>
        <v>46440</v>
      </c>
      <c r="B11392" s="11" t="n">
        <f aca="false">MOD(ROW()-9,24)</f>
        <v>7</v>
      </c>
      <c r="C11392" s="12"/>
      <c r="D11392" s="13" t="n">
        <f aca="false">IF(B11392&lt;5,Einstellungen!$B$3,Einstellungen!$B$4)</f>
        <v>29.13</v>
      </c>
      <c r="E11392" s="14" t="str">
        <f aca="false">IF(C11392="","",C11392*D11392/100)</f>
        <v/>
      </c>
      <c r="F11392" s="15" t="str">
        <f aca="false">IF(B11392&lt;5,"Go","Standard")</f>
        <v>Standard</v>
      </c>
    </row>
    <row r="11393" customFormat="false" ht="15" hidden="false" customHeight="true" outlineLevel="0" collapsed="false">
      <c r="A11393" s="10" t="n">
        <f aca="false">Einstellungen!$B$5+INT((ROW()-9)/24)</f>
        <v>46440</v>
      </c>
      <c r="B11393" s="11" t="n">
        <f aca="false">MOD(ROW()-9,24)</f>
        <v>8</v>
      </c>
      <c r="C11393" s="12"/>
      <c r="D11393" s="13" t="n">
        <f aca="false">IF(B11393&lt;5,Einstellungen!$B$3,Einstellungen!$B$4)</f>
        <v>29.13</v>
      </c>
      <c r="E11393" s="14" t="str">
        <f aca="false">IF(C11393="","",C11393*D11393/100)</f>
        <v/>
      </c>
      <c r="F11393" s="15" t="str">
        <f aca="false">IF(B11393&lt;5,"Go","Standard")</f>
        <v>Standard</v>
      </c>
    </row>
    <row r="11394" customFormat="false" ht="15" hidden="false" customHeight="true" outlineLevel="0" collapsed="false">
      <c r="A11394" s="10" t="n">
        <f aca="false">Einstellungen!$B$5+INT((ROW()-9)/24)</f>
        <v>46440</v>
      </c>
      <c r="B11394" s="11" t="n">
        <f aca="false">MOD(ROW()-9,24)</f>
        <v>9</v>
      </c>
      <c r="C11394" s="12"/>
      <c r="D11394" s="13" t="n">
        <f aca="false">IF(B11394&lt;5,Einstellungen!$B$3,Einstellungen!$B$4)</f>
        <v>29.13</v>
      </c>
      <c r="E11394" s="14" t="str">
        <f aca="false">IF(C11394="","",C11394*D11394/100)</f>
        <v/>
      </c>
      <c r="F11394" s="15" t="str">
        <f aca="false">IF(B11394&lt;5,"Go","Standard")</f>
        <v>Standard</v>
      </c>
    </row>
    <row r="11395" customFormat="false" ht="15" hidden="false" customHeight="true" outlineLevel="0" collapsed="false">
      <c r="A11395" s="10" t="n">
        <f aca="false">Einstellungen!$B$5+INT((ROW()-9)/24)</f>
        <v>46440</v>
      </c>
      <c r="B11395" s="11" t="n">
        <f aca="false">MOD(ROW()-9,24)</f>
        <v>10</v>
      </c>
      <c r="C11395" s="12"/>
      <c r="D11395" s="13" t="n">
        <f aca="false">IF(B11395&lt;5,Einstellungen!$B$3,Einstellungen!$B$4)</f>
        <v>29.13</v>
      </c>
      <c r="E11395" s="14" t="str">
        <f aca="false">IF(C11395="","",C11395*D11395/100)</f>
        <v/>
      </c>
      <c r="F11395" s="15" t="str">
        <f aca="false">IF(B11395&lt;5,"Go","Standard")</f>
        <v>Standard</v>
      </c>
    </row>
    <row r="11396" customFormat="false" ht="15" hidden="false" customHeight="true" outlineLevel="0" collapsed="false">
      <c r="A11396" s="10" t="n">
        <f aca="false">Einstellungen!$B$5+INT((ROW()-9)/24)</f>
        <v>46440</v>
      </c>
      <c r="B11396" s="11" t="n">
        <f aca="false">MOD(ROW()-9,24)</f>
        <v>11</v>
      </c>
      <c r="C11396" s="12"/>
      <c r="D11396" s="13" t="n">
        <f aca="false">IF(B11396&lt;5,Einstellungen!$B$3,Einstellungen!$B$4)</f>
        <v>29.13</v>
      </c>
      <c r="E11396" s="14" t="str">
        <f aca="false">IF(C11396="","",C11396*D11396/100)</f>
        <v/>
      </c>
      <c r="F11396" s="15" t="str">
        <f aca="false">IF(B11396&lt;5,"Go","Standard")</f>
        <v>Standard</v>
      </c>
    </row>
    <row r="11397" customFormat="false" ht="15" hidden="false" customHeight="true" outlineLevel="0" collapsed="false">
      <c r="A11397" s="10" t="n">
        <f aca="false">Einstellungen!$B$5+INT((ROW()-9)/24)</f>
        <v>46440</v>
      </c>
      <c r="B11397" s="11" t="n">
        <f aca="false">MOD(ROW()-9,24)</f>
        <v>12</v>
      </c>
      <c r="C11397" s="12"/>
      <c r="D11397" s="13" t="n">
        <f aca="false">IF(B11397&lt;5,Einstellungen!$B$3,Einstellungen!$B$4)</f>
        <v>29.13</v>
      </c>
      <c r="E11397" s="14" t="str">
        <f aca="false">IF(C11397="","",C11397*D11397/100)</f>
        <v/>
      </c>
      <c r="F11397" s="15" t="str">
        <f aca="false">IF(B11397&lt;5,"Go","Standard")</f>
        <v>Standard</v>
      </c>
    </row>
    <row r="11398" customFormat="false" ht="15" hidden="false" customHeight="true" outlineLevel="0" collapsed="false">
      <c r="A11398" s="10" t="n">
        <f aca="false">Einstellungen!$B$5+INT((ROW()-9)/24)</f>
        <v>46440</v>
      </c>
      <c r="B11398" s="11" t="n">
        <f aca="false">MOD(ROW()-9,24)</f>
        <v>13</v>
      </c>
      <c r="C11398" s="12"/>
      <c r="D11398" s="13" t="n">
        <f aca="false">IF(B11398&lt;5,Einstellungen!$B$3,Einstellungen!$B$4)</f>
        <v>29.13</v>
      </c>
      <c r="E11398" s="14" t="str">
        <f aca="false">IF(C11398="","",C11398*D11398/100)</f>
        <v/>
      </c>
      <c r="F11398" s="15" t="str">
        <f aca="false">IF(B11398&lt;5,"Go","Standard")</f>
        <v>Standard</v>
      </c>
    </row>
    <row r="11399" customFormat="false" ht="15" hidden="false" customHeight="true" outlineLevel="0" collapsed="false">
      <c r="A11399" s="10" t="n">
        <f aca="false">Einstellungen!$B$5+INT((ROW()-9)/24)</f>
        <v>46440</v>
      </c>
      <c r="B11399" s="11" t="n">
        <f aca="false">MOD(ROW()-9,24)</f>
        <v>14</v>
      </c>
      <c r="C11399" s="12"/>
      <c r="D11399" s="13" t="n">
        <f aca="false">IF(B11399&lt;5,Einstellungen!$B$3,Einstellungen!$B$4)</f>
        <v>29.13</v>
      </c>
      <c r="E11399" s="14" t="str">
        <f aca="false">IF(C11399="","",C11399*D11399/100)</f>
        <v/>
      </c>
      <c r="F11399" s="15" t="str">
        <f aca="false">IF(B11399&lt;5,"Go","Standard")</f>
        <v>Standard</v>
      </c>
    </row>
    <row r="11400" customFormat="false" ht="15" hidden="false" customHeight="true" outlineLevel="0" collapsed="false">
      <c r="A11400" s="10" t="n">
        <f aca="false">Einstellungen!$B$5+INT((ROW()-9)/24)</f>
        <v>46440</v>
      </c>
      <c r="B11400" s="11" t="n">
        <f aca="false">MOD(ROW()-9,24)</f>
        <v>15</v>
      </c>
      <c r="C11400" s="12"/>
      <c r="D11400" s="13" t="n">
        <f aca="false">IF(B11400&lt;5,Einstellungen!$B$3,Einstellungen!$B$4)</f>
        <v>29.13</v>
      </c>
      <c r="E11400" s="14" t="str">
        <f aca="false">IF(C11400="","",C11400*D11400/100)</f>
        <v/>
      </c>
      <c r="F11400" s="15" t="str">
        <f aca="false">IF(B11400&lt;5,"Go","Standard")</f>
        <v>Standard</v>
      </c>
    </row>
    <row r="11401" customFormat="false" ht="15" hidden="false" customHeight="true" outlineLevel="0" collapsed="false">
      <c r="A11401" s="10" t="n">
        <f aca="false">Einstellungen!$B$5+INT((ROW()-9)/24)</f>
        <v>46440</v>
      </c>
      <c r="B11401" s="11" t="n">
        <f aca="false">MOD(ROW()-9,24)</f>
        <v>16</v>
      </c>
      <c r="C11401" s="12"/>
      <c r="D11401" s="13" t="n">
        <f aca="false">IF(B11401&lt;5,Einstellungen!$B$3,Einstellungen!$B$4)</f>
        <v>29.13</v>
      </c>
      <c r="E11401" s="14" t="str">
        <f aca="false">IF(C11401="","",C11401*D11401/100)</f>
        <v/>
      </c>
      <c r="F11401" s="15" t="str">
        <f aca="false">IF(B11401&lt;5,"Go","Standard")</f>
        <v>Standard</v>
      </c>
    </row>
    <row r="11402" customFormat="false" ht="15" hidden="false" customHeight="true" outlineLevel="0" collapsed="false">
      <c r="A11402" s="10" t="n">
        <f aca="false">Einstellungen!$B$5+INT((ROW()-9)/24)</f>
        <v>46440</v>
      </c>
      <c r="B11402" s="11" t="n">
        <f aca="false">MOD(ROW()-9,24)</f>
        <v>17</v>
      </c>
      <c r="C11402" s="12"/>
      <c r="D11402" s="13" t="n">
        <f aca="false">IF(B11402&lt;5,Einstellungen!$B$3,Einstellungen!$B$4)</f>
        <v>29.13</v>
      </c>
      <c r="E11402" s="14" t="str">
        <f aca="false">IF(C11402="","",C11402*D11402/100)</f>
        <v/>
      </c>
      <c r="F11402" s="15" t="str">
        <f aca="false">IF(B11402&lt;5,"Go","Standard")</f>
        <v>Standard</v>
      </c>
    </row>
    <row r="11403" customFormat="false" ht="15" hidden="false" customHeight="true" outlineLevel="0" collapsed="false">
      <c r="A11403" s="10" t="n">
        <f aca="false">Einstellungen!$B$5+INT((ROW()-9)/24)</f>
        <v>46440</v>
      </c>
      <c r="B11403" s="11" t="n">
        <f aca="false">MOD(ROW()-9,24)</f>
        <v>18</v>
      </c>
      <c r="C11403" s="12"/>
      <c r="D11403" s="13" t="n">
        <f aca="false">IF(B11403&lt;5,Einstellungen!$B$3,Einstellungen!$B$4)</f>
        <v>29.13</v>
      </c>
      <c r="E11403" s="14" t="str">
        <f aca="false">IF(C11403="","",C11403*D11403/100)</f>
        <v/>
      </c>
      <c r="F11403" s="15" t="str">
        <f aca="false">IF(B11403&lt;5,"Go","Standard")</f>
        <v>Standard</v>
      </c>
    </row>
    <row r="11404" customFormat="false" ht="15" hidden="false" customHeight="true" outlineLevel="0" collapsed="false">
      <c r="A11404" s="10" t="n">
        <f aca="false">Einstellungen!$B$5+INT((ROW()-9)/24)</f>
        <v>46440</v>
      </c>
      <c r="B11404" s="11" t="n">
        <f aca="false">MOD(ROW()-9,24)</f>
        <v>19</v>
      </c>
      <c r="C11404" s="12"/>
      <c r="D11404" s="13" t="n">
        <f aca="false">IF(B11404&lt;5,Einstellungen!$B$3,Einstellungen!$B$4)</f>
        <v>29.13</v>
      </c>
      <c r="E11404" s="14" t="str">
        <f aca="false">IF(C11404="","",C11404*D11404/100)</f>
        <v/>
      </c>
      <c r="F11404" s="15" t="str">
        <f aca="false">IF(B11404&lt;5,"Go","Standard")</f>
        <v>Standard</v>
      </c>
    </row>
    <row r="11405" customFormat="false" ht="15" hidden="false" customHeight="true" outlineLevel="0" collapsed="false">
      <c r="A11405" s="10" t="n">
        <f aca="false">Einstellungen!$B$5+INT((ROW()-9)/24)</f>
        <v>46440</v>
      </c>
      <c r="B11405" s="11" t="n">
        <f aca="false">MOD(ROW()-9,24)</f>
        <v>20</v>
      </c>
      <c r="C11405" s="12"/>
      <c r="D11405" s="13" t="n">
        <f aca="false">IF(B11405&lt;5,Einstellungen!$B$3,Einstellungen!$B$4)</f>
        <v>29.13</v>
      </c>
      <c r="E11405" s="14" t="str">
        <f aca="false">IF(C11405="","",C11405*D11405/100)</f>
        <v/>
      </c>
      <c r="F11405" s="15" t="str">
        <f aca="false">IF(B11405&lt;5,"Go","Standard")</f>
        <v>Standard</v>
      </c>
    </row>
    <row r="11406" customFormat="false" ht="15" hidden="false" customHeight="true" outlineLevel="0" collapsed="false">
      <c r="A11406" s="10" t="n">
        <f aca="false">Einstellungen!$B$5+INT((ROW()-9)/24)</f>
        <v>46440</v>
      </c>
      <c r="B11406" s="11" t="n">
        <f aca="false">MOD(ROW()-9,24)</f>
        <v>21</v>
      </c>
      <c r="C11406" s="12"/>
      <c r="D11406" s="13" t="n">
        <f aca="false">IF(B11406&lt;5,Einstellungen!$B$3,Einstellungen!$B$4)</f>
        <v>29.13</v>
      </c>
      <c r="E11406" s="14" t="str">
        <f aca="false">IF(C11406="","",C11406*D11406/100)</f>
        <v/>
      </c>
      <c r="F11406" s="15" t="str">
        <f aca="false">IF(B11406&lt;5,"Go","Standard")</f>
        <v>Standard</v>
      </c>
    </row>
    <row r="11407" customFormat="false" ht="15" hidden="false" customHeight="true" outlineLevel="0" collapsed="false">
      <c r="A11407" s="10" t="n">
        <f aca="false">Einstellungen!$B$5+INT((ROW()-9)/24)</f>
        <v>46440</v>
      </c>
      <c r="B11407" s="11" t="n">
        <f aca="false">MOD(ROW()-9,24)</f>
        <v>22</v>
      </c>
      <c r="C11407" s="12"/>
      <c r="D11407" s="13" t="n">
        <f aca="false">IF(B11407&lt;5,Einstellungen!$B$3,Einstellungen!$B$4)</f>
        <v>29.13</v>
      </c>
      <c r="E11407" s="14" t="str">
        <f aca="false">IF(C11407="","",C11407*D11407/100)</f>
        <v/>
      </c>
      <c r="F11407" s="15" t="str">
        <f aca="false">IF(B11407&lt;5,"Go","Standard")</f>
        <v>Standard</v>
      </c>
    </row>
    <row r="11408" customFormat="false" ht="15" hidden="false" customHeight="true" outlineLevel="0" collapsed="false">
      <c r="A11408" s="10" t="n">
        <f aca="false">Einstellungen!$B$5+INT((ROW()-9)/24)</f>
        <v>46440</v>
      </c>
      <c r="B11408" s="11" t="n">
        <f aca="false">MOD(ROW()-9,24)</f>
        <v>23</v>
      </c>
      <c r="C11408" s="12"/>
      <c r="D11408" s="13" t="n">
        <f aca="false">IF(B11408&lt;5,Einstellungen!$B$3,Einstellungen!$B$4)</f>
        <v>29.13</v>
      </c>
      <c r="E11408" s="14" t="str">
        <f aca="false">IF(C11408="","",C11408*D11408/100)</f>
        <v/>
      </c>
      <c r="F11408" s="15" t="str">
        <f aca="false">IF(B11408&lt;5,"Go","Standard")</f>
        <v>Standard</v>
      </c>
    </row>
    <row r="11409" customFormat="false" ht="15" hidden="false" customHeight="true" outlineLevel="0" collapsed="false">
      <c r="A11409" s="10" t="n">
        <f aca="false">Einstellungen!$B$5+INT((ROW()-9)/24)</f>
        <v>46441</v>
      </c>
      <c r="B11409" s="11" t="n">
        <f aca="false">MOD(ROW()-9,24)</f>
        <v>0</v>
      </c>
      <c r="C11409" s="12"/>
      <c r="D11409" s="13" t="n">
        <f aca="false">IF(B11409&lt;5,Einstellungen!$B$3,Einstellungen!$B$4)</f>
        <v>15.92</v>
      </c>
      <c r="E11409" s="14" t="str">
        <f aca="false">IF(C11409="","",C11409*D11409/100)</f>
        <v/>
      </c>
      <c r="F11409" s="15" t="str">
        <f aca="false">IF(B11409&lt;5,"Go","Standard")</f>
        <v>Go</v>
      </c>
    </row>
    <row r="11410" customFormat="false" ht="15" hidden="false" customHeight="true" outlineLevel="0" collapsed="false">
      <c r="A11410" s="10" t="n">
        <f aca="false">Einstellungen!$B$5+INT((ROW()-9)/24)</f>
        <v>46441</v>
      </c>
      <c r="B11410" s="11" t="n">
        <f aca="false">MOD(ROW()-9,24)</f>
        <v>1</v>
      </c>
      <c r="C11410" s="12"/>
      <c r="D11410" s="13" t="n">
        <f aca="false">IF(B11410&lt;5,Einstellungen!$B$3,Einstellungen!$B$4)</f>
        <v>15.92</v>
      </c>
      <c r="E11410" s="14" t="str">
        <f aca="false">IF(C11410="","",C11410*D11410/100)</f>
        <v/>
      </c>
      <c r="F11410" s="15" t="str">
        <f aca="false">IF(B11410&lt;5,"Go","Standard")</f>
        <v>Go</v>
      </c>
    </row>
    <row r="11411" customFormat="false" ht="15" hidden="false" customHeight="true" outlineLevel="0" collapsed="false">
      <c r="A11411" s="10" t="n">
        <f aca="false">Einstellungen!$B$5+INT((ROW()-9)/24)</f>
        <v>46441</v>
      </c>
      <c r="B11411" s="11" t="n">
        <f aca="false">MOD(ROW()-9,24)</f>
        <v>2</v>
      </c>
      <c r="C11411" s="12"/>
      <c r="D11411" s="13" t="n">
        <f aca="false">IF(B11411&lt;5,Einstellungen!$B$3,Einstellungen!$B$4)</f>
        <v>15.92</v>
      </c>
      <c r="E11411" s="14" t="str">
        <f aca="false">IF(C11411="","",C11411*D11411/100)</f>
        <v/>
      </c>
      <c r="F11411" s="15" t="str">
        <f aca="false">IF(B11411&lt;5,"Go","Standard")</f>
        <v>Go</v>
      </c>
    </row>
    <row r="11412" customFormat="false" ht="15" hidden="false" customHeight="true" outlineLevel="0" collapsed="false">
      <c r="A11412" s="10" t="n">
        <f aca="false">Einstellungen!$B$5+INT((ROW()-9)/24)</f>
        <v>46441</v>
      </c>
      <c r="B11412" s="11" t="n">
        <f aca="false">MOD(ROW()-9,24)</f>
        <v>3</v>
      </c>
      <c r="C11412" s="12"/>
      <c r="D11412" s="13" t="n">
        <f aca="false">IF(B11412&lt;5,Einstellungen!$B$3,Einstellungen!$B$4)</f>
        <v>15.92</v>
      </c>
      <c r="E11412" s="14" t="str">
        <f aca="false">IF(C11412="","",C11412*D11412/100)</f>
        <v/>
      </c>
      <c r="F11412" s="15" t="str">
        <f aca="false">IF(B11412&lt;5,"Go","Standard")</f>
        <v>Go</v>
      </c>
    </row>
    <row r="11413" customFormat="false" ht="15" hidden="false" customHeight="true" outlineLevel="0" collapsed="false">
      <c r="A11413" s="10" t="n">
        <f aca="false">Einstellungen!$B$5+INT((ROW()-9)/24)</f>
        <v>46441</v>
      </c>
      <c r="B11413" s="11" t="n">
        <f aca="false">MOD(ROW()-9,24)</f>
        <v>4</v>
      </c>
      <c r="C11413" s="12"/>
      <c r="D11413" s="13" t="n">
        <f aca="false">IF(B11413&lt;5,Einstellungen!$B$3,Einstellungen!$B$4)</f>
        <v>15.92</v>
      </c>
      <c r="E11413" s="14" t="str">
        <f aca="false">IF(C11413="","",C11413*D11413/100)</f>
        <v/>
      </c>
      <c r="F11413" s="15" t="str">
        <f aca="false">IF(B11413&lt;5,"Go","Standard")</f>
        <v>Go</v>
      </c>
    </row>
    <row r="11414" customFormat="false" ht="15" hidden="false" customHeight="true" outlineLevel="0" collapsed="false">
      <c r="A11414" s="10" t="n">
        <f aca="false">Einstellungen!$B$5+INT((ROW()-9)/24)</f>
        <v>46441</v>
      </c>
      <c r="B11414" s="11" t="n">
        <f aca="false">MOD(ROW()-9,24)</f>
        <v>5</v>
      </c>
      <c r="C11414" s="12"/>
      <c r="D11414" s="13" t="n">
        <f aca="false">IF(B11414&lt;5,Einstellungen!$B$3,Einstellungen!$B$4)</f>
        <v>29.13</v>
      </c>
      <c r="E11414" s="14" t="str">
        <f aca="false">IF(C11414="","",C11414*D11414/100)</f>
        <v/>
      </c>
      <c r="F11414" s="15" t="str">
        <f aca="false">IF(B11414&lt;5,"Go","Standard")</f>
        <v>Standard</v>
      </c>
    </row>
    <row r="11415" customFormat="false" ht="15" hidden="false" customHeight="true" outlineLevel="0" collapsed="false">
      <c r="A11415" s="10" t="n">
        <f aca="false">Einstellungen!$B$5+INT((ROW()-9)/24)</f>
        <v>46441</v>
      </c>
      <c r="B11415" s="11" t="n">
        <f aca="false">MOD(ROW()-9,24)</f>
        <v>6</v>
      </c>
      <c r="C11415" s="12"/>
      <c r="D11415" s="13" t="n">
        <f aca="false">IF(B11415&lt;5,Einstellungen!$B$3,Einstellungen!$B$4)</f>
        <v>29.13</v>
      </c>
      <c r="E11415" s="14" t="str">
        <f aca="false">IF(C11415="","",C11415*D11415/100)</f>
        <v/>
      </c>
      <c r="F11415" s="15" t="str">
        <f aca="false">IF(B11415&lt;5,"Go","Standard")</f>
        <v>Standard</v>
      </c>
    </row>
    <row r="11416" customFormat="false" ht="15" hidden="false" customHeight="true" outlineLevel="0" collapsed="false">
      <c r="A11416" s="10" t="n">
        <f aca="false">Einstellungen!$B$5+INT((ROW()-9)/24)</f>
        <v>46441</v>
      </c>
      <c r="B11416" s="11" t="n">
        <f aca="false">MOD(ROW()-9,24)</f>
        <v>7</v>
      </c>
      <c r="C11416" s="12"/>
      <c r="D11416" s="13" t="n">
        <f aca="false">IF(B11416&lt;5,Einstellungen!$B$3,Einstellungen!$B$4)</f>
        <v>29.13</v>
      </c>
      <c r="E11416" s="14" t="str">
        <f aca="false">IF(C11416="","",C11416*D11416/100)</f>
        <v/>
      </c>
      <c r="F11416" s="15" t="str">
        <f aca="false">IF(B11416&lt;5,"Go","Standard")</f>
        <v>Standard</v>
      </c>
    </row>
    <row r="11417" customFormat="false" ht="15" hidden="false" customHeight="true" outlineLevel="0" collapsed="false">
      <c r="A11417" s="10" t="n">
        <f aca="false">Einstellungen!$B$5+INT((ROW()-9)/24)</f>
        <v>46441</v>
      </c>
      <c r="B11417" s="11" t="n">
        <f aca="false">MOD(ROW()-9,24)</f>
        <v>8</v>
      </c>
      <c r="C11417" s="12"/>
      <c r="D11417" s="13" t="n">
        <f aca="false">IF(B11417&lt;5,Einstellungen!$B$3,Einstellungen!$B$4)</f>
        <v>29.13</v>
      </c>
      <c r="E11417" s="14" t="str">
        <f aca="false">IF(C11417="","",C11417*D11417/100)</f>
        <v/>
      </c>
      <c r="F11417" s="15" t="str">
        <f aca="false">IF(B11417&lt;5,"Go","Standard")</f>
        <v>Standard</v>
      </c>
    </row>
    <row r="11418" customFormat="false" ht="15" hidden="false" customHeight="true" outlineLevel="0" collapsed="false">
      <c r="A11418" s="10" t="n">
        <f aca="false">Einstellungen!$B$5+INT((ROW()-9)/24)</f>
        <v>46441</v>
      </c>
      <c r="B11418" s="11" t="n">
        <f aca="false">MOD(ROW()-9,24)</f>
        <v>9</v>
      </c>
      <c r="C11418" s="12"/>
      <c r="D11418" s="13" t="n">
        <f aca="false">IF(B11418&lt;5,Einstellungen!$B$3,Einstellungen!$B$4)</f>
        <v>29.13</v>
      </c>
      <c r="E11418" s="14" t="str">
        <f aca="false">IF(C11418="","",C11418*D11418/100)</f>
        <v/>
      </c>
      <c r="F11418" s="15" t="str">
        <f aca="false">IF(B11418&lt;5,"Go","Standard")</f>
        <v>Standard</v>
      </c>
    </row>
    <row r="11419" customFormat="false" ht="15" hidden="false" customHeight="true" outlineLevel="0" collapsed="false">
      <c r="A11419" s="10" t="n">
        <f aca="false">Einstellungen!$B$5+INT((ROW()-9)/24)</f>
        <v>46441</v>
      </c>
      <c r="B11419" s="11" t="n">
        <f aca="false">MOD(ROW()-9,24)</f>
        <v>10</v>
      </c>
      <c r="C11419" s="12"/>
      <c r="D11419" s="13" t="n">
        <f aca="false">IF(B11419&lt;5,Einstellungen!$B$3,Einstellungen!$B$4)</f>
        <v>29.13</v>
      </c>
      <c r="E11419" s="14" t="str">
        <f aca="false">IF(C11419="","",C11419*D11419/100)</f>
        <v/>
      </c>
      <c r="F11419" s="15" t="str">
        <f aca="false">IF(B11419&lt;5,"Go","Standard")</f>
        <v>Standard</v>
      </c>
    </row>
    <row r="11420" customFormat="false" ht="15" hidden="false" customHeight="true" outlineLevel="0" collapsed="false">
      <c r="A11420" s="10" t="n">
        <f aca="false">Einstellungen!$B$5+INT((ROW()-9)/24)</f>
        <v>46441</v>
      </c>
      <c r="B11420" s="11" t="n">
        <f aca="false">MOD(ROW()-9,24)</f>
        <v>11</v>
      </c>
      <c r="C11420" s="12"/>
      <c r="D11420" s="13" t="n">
        <f aca="false">IF(B11420&lt;5,Einstellungen!$B$3,Einstellungen!$B$4)</f>
        <v>29.13</v>
      </c>
      <c r="E11420" s="14" t="str">
        <f aca="false">IF(C11420="","",C11420*D11420/100)</f>
        <v/>
      </c>
      <c r="F11420" s="15" t="str">
        <f aca="false">IF(B11420&lt;5,"Go","Standard")</f>
        <v>Standard</v>
      </c>
    </row>
    <row r="11421" customFormat="false" ht="15" hidden="false" customHeight="true" outlineLevel="0" collapsed="false">
      <c r="A11421" s="10" t="n">
        <f aca="false">Einstellungen!$B$5+INT((ROW()-9)/24)</f>
        <v>46441</v>
      </c>
      <c r="B11421" s="11" t="n">
        <f aca="false">MOD(ROW()-9,24)</f>
        <v>12</v>
      </c>
      <c r="C11421" s="12"/>
      <c r="D11421" s="13" t="n">
        <f aca="false">IF(B11421&lt;5,Einstellungen!$B$3,Einstellungen!$B$4)</f>
        <v>29.13</v>
      </c>
      <c r="E11421" s="14" t="str">
        <f aca="false">IF(C11421="","",C11421*D11421/100)</f>
        <v/>
      </c>
      <c r="F11421" s="15" t="str">
        <f aca="false">IF(B11421&lt;5,"Go","Standard")</f>
        <v>Standard</v>
      </c>
    </row>
    <row r="11422" customFormat="false" ht="15" hidden="false" customHeight="true" outlineLevel="0" collapsed="false">
      <c r="A11422" s="10" t="n">
        <f aca="false">Einstellungen!$B$5+INT((ROW()-9)/24)</f>
        <v>46441</v>
      </c>
      <c r="B11422" s="11" t="n">
        <f aca="false">MOD(ROW()-9,24)</f>
        <v>13</v>
      </c>
      <c r="C11422" s="12"/>
      <c r="D11422" s="13" t="n">
        <f aca="false">IF(B11422&lt;5,Einstellungen!$B$3,Einstellungen!$B$4)</f>
        <v>29.13</v>
      </c>
      <c r="E11422" s="14" t="str">
        <f aca="false">IF(C11422="","",C11422*D11422/100)</f>
        <v/>
      </c>
      <c r="F11422" s="15" t="str">
        <f aca="false">IF(B11422&lt;5,"Go","Standard")</f>
        <v>Standard</v>
      </c>
    </row>
    <row r="11423" customFormat="false" ht="15" hidden="false" customHeight="true" outlineLevel="0" collapsed="false">
      <c r="A11423" s="10" t="n">
        <f aca="false">Einstellungen!$B$5+INT((ROW()-9)/24)</f>
        <v>46441</v>
      </c>
      <c r="B11423" s="11" t="n">
        <f aca="false">MOD(ROW()-9,24)</f>
        <v>14</v>
      </c>
      <c r="C11423" s="12"/>
      <c r="D11423" s="13" t="n">
        <f aca="false">IF(B11423&lt;5,Einstellungen!$B$3,Einstellungen!$B$4)</f>
        <v>29.13</v>
      </c>
      <c r="E11423" s="14" t="str">
        <f aca="false">IF(C11423="","",C11423*D11423/100)</f>
        <v/>
      </c>
      <c r="F11423" s="15" t="str">
        <f aca="false">IF(B11423&lt;5,"Go","Standard")</f>
        <v>Standard</v>
      </c>
    </row>
    <row r="11424" customFormat="false" ht="15" hidden="false" customHeight="true" outlineLevel="0" collapsed="false">
      <c r="A11424" s="10" t="n">
        <f aca="false">Einstellungen!$B$5+INT((ROW()-9)/24)</f>
        <v>46441</v>
      </c>
      <c r="B11424" s="11" t="n">
        <f aca="false">MOD(ROW()-9,24)</f>
        <v>15</v>
      </c>
      <c r="C11424" s="12"/>
      <c r="D11424" s="13" t="n">
        <f aca="false">IF(B11424&lt;5,Einstellungen!$B$3,Einstellungen!$B$4)</f>
        <v>29.13</v>
      </c>
      <c r="E11424" s="14" t="str">
        <f aca="false">IF(C11424="","",C11424*D11424/100)</f>
        <v/>
      </c>
      <c r="F11424" s="15" t="str">
        <f aca="false">IF(B11424&lt;5,"Go","Standard")</f>
        <v>Standard</v>
      </c>
    </row>
    <row r="11425" customFormat="false" ht="15" hidden="false" customHeight="true" outlineLevel="0" collapsed="false">
      <c r="A11425" s="10" t="n">
        <f aca="false">Einstellungen!$B$5+INT((ROW()-9)/24)</f>
        <v>46441</v>
      </c>
      <c r="B11425" s="11" t="n">
        <f aca="false">MOD(ROW()-9,24)</f>
        <v>16</v>
      </c>
      <c r="C11425" s="12"/>
      <c r="D11425" s="13" t="n">
        <f aca="false">IF(B11425&lt;5,Einstellungen!$B$3,Einstellungen!$B$4)</f>
        <v>29.13</v>
      </c>
      <c r="E11425" s="14" t="str">
        <f aca="false">IF(C11425="","",C11425*D11425/100)</f>
        <v/>
      </c>
      <c r="F11425" s="15" t="str">
        <f aca="false">IF(B11425&lt;5,"Go","Standard")</f>
        <v>Standard</v>
      </c>
    </row>
    <row r="11426" customFormat="false" ht="15" hidden="false" customHeight="true" outlineLevel="0" collapsed="false">
      <c r="A11426" s="10" t="n">
        <f aca="false">Einstellungen!$B$5+INT((ROW()-9)/24)</f>
        <v>46441</v>
      </c>
      <c r="B11426" s="11" t="n">
        <f aca="false">MOD(ROW()-9,24)</f>
        <v>17</v>
      </c>
      <c r="C11426" s="12"/>
      <c r="D11426" s="13" t="n">
        <f aca="false">IF(B11426&lt;5,Einstellungen!$B$3,Einstellungen!$B$4)</f>
        <v>29.13</v>
      </c>
      <c r="E11426" s="14" t="str">
        <f aca="false">IF(C11426="","",C11426*D11426/100)</f>
        <v/>
      </c>
      <c r="F11426" s="15" t="str">
        <f aca="false">IF(B11426&lt;5,"Go","Standard")</f>
        <v>Standard</v>
      </c>
    </row>
    <row r="11427" customFormat="false" ht="15" hidden="false" customHeight="true" outlineLevel="0" collapsed="false">
      <c r="A11427" s="10" t="n">
        <f aca="false">Einstellungen!$B$5+INT((ROW()-9)/24)</f>
        <v>46441</v>
      </c>
      <c r="B11427" s="11" t="n">
        <f aca="false">MOD(ROW()-9,24)</f>
        <v>18</v>
      </c>
      <c r="C11427" s="12"/>
      <c r="D11427" s="13" t="n">
        <f aca="false">IF(B11427&lt;5,Einstellungen!$B$3,Einstellungen!$B$4)</f>
        <v>29.13</v>
      </c>
      <c r="E11427" s="14" t="str">
        <f aca="false">IF(C11427="","",C11427*D11427/100)</f>
        <v/>
      </c>
      <c r="F11427" s="15" t="str">
        <f aca="false">IF(B11427&lt;5,"Go","Standard")</f>
        <v>Standard</v>
      </c>
    </row>
    <row r="11428" customFormat="false" ht="15" hidden="false" customHeight="true" outlineLevel="0" collapsed="false">
      <c r="A11428" s="10" t="n">
        <f aca="false">Einstellungen!$B$5+INT((ROW()-9)/24)</f>
        <v>46441</v>
      </c>
      <c r="B11428" s="11" t="n">
        <f aca="false">MOD(ROW()-9,24)</f>
        <v>19</v>
      </c>
      <c r="C11428" s="12"/>
      <c r="D11428" s="13" t="n">
        <f aca="false">IF(B11428&lt;5,Einstellungen!$B$3,Einstellungen!$B$4)</f>
        <v>29.13</v>
      </c>
      <c r="E11428" s="14" t="str">
        <f aca="false">IF(C11428="","",C11428*D11428/100)</f>
        <v/>
      </c>
      <c r="F11428" s="15" t="str">
        <f aca="false">IF(B11428&lt;5,"Go","Standard")</f>
        <v>Standard</v>
      </c>
    </row>
    <row r="11429" customFormat="false" ht="15" hidden="false" customHeight="true" outlineLevel="0" collapsed="false">
      <c r="A11429" s="10" t="n">
        <f aca="false">Einstellungen!$B$5+INT((ROW()-9)/24)</f>
        <v>46441</v>
      </c>
      <c r="B11429" s="11" t="n">
        <f aca="false">MOD(ROW()-9,24)</f>
        <v>20</v>
      </c>
      <c r="C11429" s="12"/>
      <c r="D11429" s="13" t="n">
        <f aca="false">IF(B11429&lt;5,Einstellungen!$B$3,Einstellungen!$B$4)</f>
        <v>29.13</v>
      </c>
      <c r="E11429" s="14" t="str">
        <f aca="false">IF(C11429="","",C11429*D11429/100)</f>
        <v/>
      </c>
      <c r="F11429" s="15" t="str">
        <f aca="false">IF(B11429&lt;5,"Go","Standard")</f>
        <v>Standard</v>
      </c>
    </row>
    <row r="11430" customFormat="false" ht="15" hidden="false" customHeight="true" outlineLevel="0" collapsed="false">
      <c r="A11430" s="10" t="n">
        <f aca="false">Einstellungen!$B$5+INT((ROW()-9)/24)</f>
        <v>46441</v>
      </c>
      <c r="B11430" s="11" t="n">
        <f aca="false">MOD(ROW()-9,24)</f>
        <v>21</v>
      </c>
      <c r="C11430" s="12"/>
      <c r="D11430" s="13" t="n">
        <f aca="false">IF(B11430&lt;5,Einstellungen!$B$3,Einstellungen!$B$4)</f>
        <v>29.13</v>
      </c>
      <c r="E11430" s="14" t="str">
        <f aca="false">IF(C11430="","",C11430*D11430/100)</f>
        <v/>
      </c>
      <c r="F11430" s="15" t="str">
        <f aca="false">IF(B11430&lt;5,"Go","Standard")</f>
        <v>Standard</v>
      </c>
    </row>
    <row r="11431" customFormat="false" ht="15" hidden="false" customHeight="true" outlineLevel="0" collapsed="false">
      <c r="A11431" s="10" t="n">
        <f aca="false">Einstellungen!$B$5+INT((ROW()-9)/24)</f>
        <v>46441</v>
      </c>
      <c r="B11431" s="11" t="n">
        <f aca="false">MOD(ROW()-9,24)</f>
        <v>22</v>
      </c>
      <c r="C11431" s="12"/>
      <c r="D11431" s="13" t="n">
        <f aca="false">IF(B11431&lt;5,Einstellungen!$B$3,Einstellungen!$B$4)</f>
        <v>29.13</v>
      </c>
      <c r="E11431" s="14" t="str">
        <f aca="false">IF(C11431="","",C11431*D11431/100)</f>
        <v/>
      </c>
      <c r="F11431" s="15" t="str">
        <f aca="false">IF(B11431&lt;5,"Go","Standard")</f>
        <v>Standard</v>
      </c>
    </row>
    <row r="11432" customFormat="false" ht="15" hidden="false" customHeight="true" outlineLevel="0" collapsed="false">
      <c r="A11432" s="10" t="n">
        <f aca="false">Einstellungen!$B$5+INT((ROW()-9)/24)</f>
        <v>46441</v>
      </c>
      <c r="B11432" s="11" t="n">
        <f aca="false">MOD(ROW()-9,24)</f>
        <v>23</v>
      </c>
      <c r="C11432" s="12"/>
      <c r="D11432" s="13" t="n">
        <f aca="false">IF(B11432&lt;5,Einstellungen!$B$3,Einstellungen!$B$4)</f>
        <v>29.13</v>
      </c>
      <c r="E11432" s="14" t="str">
        <f aca="false">IF(C11432="","",C11432*D11432/100)</f>
        <v/>
      </c>
      <c r="F11432" s="15" t="str">
        <f aca="false">IF(B11432&lt;5,"Go","Standard")</f>
        <v>Standard</v>
      </c>
    </row>
    <row r="11433" customFormat="false" ht="15" hidden="false" customHeight="true" outlineLevel="0" collapsed="false">
      <c r="A11433" s="10" t="n">
        <f aca="false">Einstellungen!$B$5+INT((ROW()-9)/24)</f>
        <v>46442</v>
      </c>
      <c r="B11433" s="11" t="n">
        <f aca="false">MOD(ROW()-9,24)</f>
        <v>0</v>
      </c>
      <c r="C11433" s="12"/>
      <c r="D11433" s="13" t="n">
        <f aca="false">IF(B11433&lt;5,Einstellungen!$B$3,Einstellungen!$B$4)</f>
        <v>15.92</v>
      </c>
      <c r="E11433" s="14" t="str">
        <f aca="false">IF(C11433="","",C11433*D11433/100)</f>
        <v/>
      </c>
      <c r="F11433" s="15" t="str">
        <f aca="false">IF(B11433&lt;5,"Go","Standard")</f>
        <v>Go</v>
      </c>
    </row>
    <row r="11434" customFormat="false" ht="15" hidden="false" customHeight="true" outlineLevel="0" collapsed="false">
      <c r="A11434" s="10" t="n">
        <f aca="false">Einstellungen!$B$5+INT((ROW()-9)/24)</f>
        <v>46442</v>
      </c>
      <c r="B11434" s="11" t="n">
        <f aca="false">MOD(ROW()-9,24)</f>
        <v>1</v>
      </c>
      <c r="C11434" s="12"/>
      <c r="D11434" s="13" t="n">
        <f aca="false">IF(B11434&lt;5,Einstellungen!$B$3,Einstellungen!$B$4)</f>
        <v>15.92</v>
      </c>
      <c r="E11434" s="14" t="str">
        <f aca="false">IF(C11434="","",C11434*D11434/100)</f>
        <v/>
      </c>
      <c r="F11434" s="15" t="str">
        <f aca="false">IF(B11434&lt;5,"Go","Standard")</f>
        <v>Go</v>
      </c>
    </row>
    <row r="11435" customFormat="false" ht="15" hidden="false" customHeight="true" outlineLevel="0" collapsed="false">
      <c r="A11435" s="10" t="n">
        <f aca="false">Einstellungen!$B$5+INT((ROW()-9)/24)</f>
        <v>46442</v>
      </c>
      <c r="B11435" s="11" t="n">
        <f aca="false">MOD(ROW()-9,24)</f>
        <v>2</v>
      </c>
      <c r="C11435" s="12"/>
      <c r="D11435" s="13" t="n">
        <f aca="false">IF(B11435&lt;5,Einstellungen!$B$3,Einstellungen!$B$4)</f>
        <v>15.92</v>
      </c>
      <c r="E11435" s="14" t="str">
        <f aca="false">IF(C11435="","",C11435*D11435/100)</f>
        <v/>
      </c>
      <c r="F11435" s="15" t="str">
        <f aca="false">IF(B11435&lt;5,"Go","Standard")</f>
        <v>Go</v>
      </c>
    </row>
    <row r="11436" customFormat="false" ht="15" hidden="false" customHeight="true" outlineLevel="0" collapsed="false">
      <c r="A11436" s="10" t="n">
        <f aca="false">Einstellungen!$B$5+INT((ROW()-9)/24)</f>
        <v>46442</v>
      </c>
      <c r="B11436" s="11" t="n">
        <f aca="false">MOD(ROW()-9,24)</f>
        <v>3</v>
      </c>
      <c r="C11436" s="12"/>
      <c r="D11436" s="13" t="n">
        <f aca="false">IF(B11436&lt;5,Einstellungen!$B$3,Einstellungen!$B$4)</f>
        <v>15.92</v>
      </c>
      <c r="E11436" s="14" t="str">
        <f aca="false">IF(C11436="","",C11436*D11436/100)</f>
        <v/>
      </c>
      <c r="F11436" s="15" t="str">
        <f aca="false">IF(B11436&lt;5,"Go","Standard")</f>
        <v>Go</v>
      </c>
    </row>
    <row r="11437" customFormat="false" ht="15" hidden="false" customHeight="true" outlineLevel="0" collapsed="false">
      <c r="A11437" s="10" t="n">
        <f aca="false">Einstellungen!$B$5+INT((ROW()-9)/24)</f>
        <v>46442</v>
      </c>
      <c r="B11437" s="11" t="n">
        <f aca="false">MOD(ROW()-9,24)</f>
        <v>4</v>
      </c>
      <c r="C11437" s="12"/>
      <c r="D11437" s="13" t="n">
        <f aca="false">IF(B11437&lt;5,Einstellungen!$B$3,Einstellungen!$B$4)</f>
        <v>15.92</v>
      </c>
      <c r="E11437" s="14" t="str">
        <f aca="false">IF(C11437="","",C11437*D11437/100)</f>
        <v/>
      </c>
      <c r="F11437" s="15" t="str">
        <f aca="false">IF(B11437&lt;5,"Go","Standard")</f>
        <v>Go</v>
      </c>
    </row>
    <row r="11438" customFormat="false" ht="15" hidden="false" customHeight="true" outlineLevel="0" collapsed="false">
      <c r="A11438" s="10" t="n">
        <f aca="false">Einstellungen!$B$5+INT((ROW()-9)/24)</f>
        <v>46442</v>
      </c>
      <c r="B11438" s="11" t="n">
        <f aca="false">MOD(ROW()-9,24)</f>
        <v>5</v>
      </c>
      <c r="C11438" s="12"/>
      <c r="D11438" s="13" t="n">
        <f aca="false">IF(B11438&lt;5,Einstellungen!$B$3,Einstellungen!$B$4)</f>
        <v>29.13</v>
      </c>
      <c r="E11438" s="14" t="str">
        <f aca="false">IF(C11438="","",C11438*D11438/100)</f>
        <v/>
      </c>
      <c r="F11438" s="15" t="str">
        <f aca="false">IF(B11438&lt;5,"Go","Standard")</f>
        <v>Standard</v>
      </c>
    </row>
    <row r="11439" customFormat="false" ht="15" hidden="false" customHeight="true" outlineLevel="0" collapsed="false">
      <c r="A11439" s="10" t="n">
        <f aca="false">Einstellungen!$B$5+INT((ROW()-9)/24)</f>
        <v>46442</v>
      </c>
      <c r="B11439" s="11" t="n">
        <f aca="false">MOD(ROW()-9,24)</f>
        <v>6</v>
      </c>
      <c r="C11439" s="12"/>
      <c r="D11439" s="13" t="n">
        <f aca="false">IF(B11439&lt;5,Einstellungen!$B$3,Einstellungen!$B$4)</f>
        <v>29.13</v>
      </c>
      <c r="E11439" s="14" t="str">
        <f aca="false">IF(C11439="","",C11439*D11439/100)</f>
        <v/>
      </c>
      <c r="F11439" s="15" t="str">
        <f aca="false">IF(B11439&lt;5,"Go","Standard")</f>
        <v>Standard</v>
      </c>
    </row>
    <row r="11440" customFormat="false" ht="15" hidden="false" customHeight="true" outlineLevel="0" collapsed="false">
      <c r="A11440" s="10" t="n">
        <f aca="false">Einstellungen!$B$5+INT((ROW()-9)/24)</f>
        <v>46442</v>
      </c>
      <c r="B11440" s="11" t="n">
        <f aca="false">MOD(ROW()-9,24)</f>
        <v>7</v>
      </c>
      <c r="C11440" s="12"/>
      <c r="D11440" s="13" t="n">
        <f aca="false">IF(B11440&lt;5,Einstellungen!$B$3,Einstellungen!$B$4)</f>
        <v>29.13</v>
      </c>
      <c r="E11440" s="14" t="str">
        <f aca="false">IF(C11440="","",C11440*D11440/100)</f>
        <v/>
      </c>
      <c r="F11440" s="15" t="str">
        <f aca="false">IF(B11440&lt;5,"Go","Standard")</f>
        <v>Standard</v>
      </c>
    </row>
    <row r="11441" customFormat="false" ht="15" hidden="false" customHeight="true" outlineLevel="0" collapsed="false">
      <c r="A11441" s="10" t="n">
        <f aca="false">Einstellungen!$B$5+INT((ROW()-9)/24)</f>
        <v>46442</v>
      </c>
      <c r="B11441" s="11" t="n">
        <f aca="false">MOD(ROW()-9,24)</f>
        <v>8</v>
      </c>
      <c r="C11441" s="12"/>
      <c r="D11441" s="13" t="n">
        <f aca="false">IF(B11441&lt;5,Einstellungen!$B$3,Einstellungen!$B$4)</f>
        <v>29.13</v>
      </c>
      <c r="E11441" s="14" t="str">
        <f aca="false">IF(C11441="","",C11441*D11441/100)</f>
        <v/>
      </c>
      <c r="F11441" s="15" t="str">
        <f aca="false">IF(B11441&lt;5,"Go","Standard")</f>
        <v>Standard</v>
      </c>
    </row>
    <row r="11442" customFormat="false" ht="15" hidden="false" customHeight="true" outlineLevel="0" collapsed="false">
      <c r="A11442" s="10" t="n">
        <f aca="false">Einstellungen!$B$5+INT((ROW()-9)/24)</f>
        <v>46442</v>
      </c>
      <c r="B11442" s="11" t="n">
        <f aca="false">MOD(ROW()-9,24)</f>
        <v>9</v>
      </c>
      <c r="C11442" s="12"/>
      <c r="D11442" s="13" t="n">
        <f aca="false">IF(B11442&lt;5,Einstellungen!$B$3,Einstellungen!$B$4)</f>
        <v>29.13</v>
      </c>
      <c r="E11442" s="14" t="str">
        <f aca="false">IF(C11442="","",C11442*D11442/100)</f>
        <v/>
      </c>
      <c r="F11442" s="15" t="str">
        <f aca="false">IF(B11442&lt;5,"Go","Standard")</f>
        <v>Standard</v>
      </c>
    </row>
    <row r="11443" customFormat="false" ht="15" hidden="false" customHeight="true" outlineLevel="0" collapsed="false">
      <c r="A11443" s="10" t="n">
        <f aca="false">Einstellungen!$B$5+INT((ROW()-9)/24)</f>
        <v>46442</v>
      </c>
      <c r="B11443" s="11" t="n">
        <f aca="false">MOD(ROW()-9,24)</f>
        <v>10</v>
      </c>
      <c r="C11443" s="12"/>
      <c r="D11443" s="13" t="n">
        <f aca="false">IF(B11443&lt;5,Einstellungen!$B$3,Einstellungen!$B$4)</f>
        <v>29.13</v>
      </c>
      <c r="E11443" s="14" t="str">
        <f aca="false">IF(C11443="","",C11443*D11443/100)</f>
        <v/>
      </c>
      <c r="F11443" s="15" t="str">
        <f aca="false">IF(B11443&lt;5,"Go","Standard")</f>
        <v>Standard</v>
      </c>
    </row>
    <row r="11444" customFormat="false" ht="15" hidden="false" customHeight="true" outlineLevel="0" collapsed="false">
      <c r="A11444" s="10" t="n">
        <f aca="false">Einstellungen!$B$5+INT((ROW()-9)/24)</f>
        <v>46442</v>
      </c>
      <c r="B11444" s="11" t="n">
        <f aca="false">MOD(ROW()-9,24)</f>
        <v>11</v>
      </c>
      <c r="C11444" s="12"/>
      <c r="D11444" s="13" t="n">
        <f aca="false">IF(B11444&lt;5,Einstellungen!$B$3,Einstellungen!$B$4)</f>
        <v>29.13</v>
      </c>
      <c r="E11444" s="14" t="str">
        <f aca="false">IF(C11444="","",C11444*D11444/100)</f>
        <v/>
      </c>
      <c r="F11444" s="15" t="str">
        <f aca="false">IF(B11444&lt;5,"Go","Standard")</f>
        <v>Standard</v>
      </c>
    </row>
    <row r="11445" customFormat="false" ht="15" hidden="false" customHeight="true" outlineLevel="0" collapsed="false">
      <c r="A11445" s="10" t="n">
        <f aca="false">Einstellungen!$B$5+INT((ROW()-9)/24)</f>
        <v>46442</v>
      </c>
      <c r="B11445" s="11" t="n">
        <f aca="false">MOD(ROW()-9,24)</f>
        <v>12</v>
      </c>
      <c r="C11445" s="12"/>
      <c r="D11445" s="13" t="n">
        <f aca="false">IF(B11445&lt;5,Einstellungen!$B$3,Einstellungen!$B$4)</f>
        <v>29.13</v>
      </c>
      <c r="E11445" s="14" t="str">
        <f aca="false">IF(C11445="","",C11445*D11445/100)</f>
        <v/>
      </c>
      <c r="F11445" s="15" t="str">
        <f aca="false">IF(B11445&lt;5,"Go","Standard")</f>
        <v>Standard</v>
      </c>
    </row>
    <row r="11446" customFormat="false" ht="15" hidden="false" customHeight="true" outlineLevel="0" collapsed="false">
      <c r="A11446" s="10" t="n">
        <f aca="false">Einstellungen!$B$5+INT((ROW()-9)/24)</f>
        <v>46442</v>
      </c>
      <c r="B11446" s="11" t="n">
        <f aca="false">MOD(ROW()-9,24)</f>
        <v>13</v>
      </c>
      <c r="C11446" s="12"/>
      <c r="D11446" s="13" t="n">
        <f aca="false">IF(B11446&lt;5,Einstellungen!$B$3,Einstellungen!$B$4)</f>
        <v>29.13</v>
      </c>
      <c r="E11446" s="14" t="str">
        <f aca="false">IF(C11446="","",C11446*D11446/100)</f>
        <v/>
      </c>
      <c r="F11446" s="15" t="str">
        <f aca="false">IF(B11446&lt;5,"Go","Standard")</f>
        <v>Standard</v>
      </c>
    </row>
    <row r="11447" customFormat="false" ht="15" hidden="false" customHeight="true" outlineLevel="0" collapsed="false">
      <c r="A11447" s="10" t="n">
        <f aca="false">Einstellungen!$B$5+INT((ROW()-9)/24)</f>
        <v>46442</v>
      </c>
      <c r="B11447" s="11" t="n">
        <f aca="false">MOD(ROW()-9,24)</f>
        <v>14</v>
      </c>
      <c r="C11447" s="12"/>
      <c r="D11447" s="13" t="n">
        <f aca="false">IF(B11447&lt;5,Einstellungen!$B$3,Einstellungen!$B$4)</f>
        <v>29.13</v>
      </c>
      <c r="E11447" s="14" t="str">
        <f aca="false">IF(C11447="","",C11447*D11447/100)</f>
        <v/>
      </c>
      <c r="F11447" s="15" t="str">
        <f aca="false">IF(B11447&lt;5,"Go","Standard")</f>
        <v>Standard</v>
      </c>
    </row>
    <row r="11448" customFormat="false" ht="15" hidden="false" customHeight="true" outlineLevel="0" collapsed="false">
      <c r="A11448" s="10" t="n">
        <f aca="false">Einstellungen!$B$5+INT((ROW()-9)/24)</f>
        <v>46442</v>
      </c>
      <c r="B11448" s="11" t="n">
        <f aca="false">MOD(ROW()-9,24)</f>
        <v>15</v>
      </c>
      <c r="C11448" s="12"/>
      <c r="D11448" s="13" t="n">
        <f aca="false">IF(B11448&lt;5,Einstellungen!$B$3,Einstellungen!$B$4)</f>
        <v>29.13</v>
      </c>
      <c r="E11448" s="14" t="str">
        <f aca="false">IF(C11448="","",C11448*D11448/100)</f>
        <v/>
      </c>
      <c r="F11448" s="15" t="str">
        <f aca="false">IF(B11448&lt;5,"Go","Standard")</f>
        <v>Standard</v>
      </c>
    </row>
    <row r="11449" customFormat="false" ht="15" hidden="false" customHeight="true" outlineLevel="0" collapsed="false">
      <c r="A11449" s="10" t="n">
        <f aca="false">Einstellungen!$B$5+INT((ROW()-9)/24)</f>
        <v>46442</v>
      </c>
      <c r="B11449" s="11" t="n">
        <f aca="false">MOD(ROW()-9,24)</f>
        <v>16</v>
      </c>
      <c r="C11449" s="12"/>
      <c r="D11449" s="13" t="n">
        <f aca="false">IF(B11449&lt;5,Einstellungen!$B$3,Einstellungen!$B$4)</f>
        <v>29.13</v>
      </c>
      <c r="E11449" s="14" t="str">
        <f aca="false">IF(C11449="","",C11449*D11449/100)</f>
        <v/>
      </c>
      <c r="F11449" s="15" t="str">
        <f aca="false">IF(B11449&lt;5,"Go","Standard")</f>
        <v>Standard</v>
      </c>
    </row>
    <row r="11450" customFormat="false" ht="15" hidden="false" customHeight="true" outlineLevel="0" collapsed="false">
      <c r="A11450" s="10" t="n">
        <f aca="false">Einstellungen!$B$5+INT((ROW()-9)/24)</f>
        <v>46442</v>
      </c>
      <c r="B11450" s="11" t="n">
        <f aca="false">MOD(ROW()-9,24)</f>
        <v>17</v>
      </c>
      <c r="C11450" s="12"/>
      <c r="D11450" s="13" t="n">
        <f aca="false">IF(B11450&lt;5,Einstellungen!$B$3,Einstellungen!$B$4)</f>
        <v>29.13</v>
      </c>
      <c r="E11450" s="14" t="str">
        <f aca="false">IF(C11450="","",C11450*D11450/100)</f>
        <v/>
      </c>
      <c r="F11450" s="15" t="str">
        <f aca="false">IF(B11450&lt;5,"Go","Standard")</f>
        <v>Standard</v>
      </c>
    </row>
    <row r="11451" customFormat="false" ht="15" hidden="false" customHeight="true" outlineLevel="0" collapsed="false">
      <c r="A11451" s="10" t="n">
        <f aca="false">Einstellungen!$B$5+INT((ROW()-9)/24)</f>
        <v>46442</v>
      </c>
      <c r="B11451" s="11" t="n">
        <f aca="false">MOD(ROW()-9,24)</f>
        <v>18</v>
      </c>
      <c r="C11451" s="12"/>
      <c r="D11451" s="13" t="n">
        <f aca="false">IF(B11451&lt;5,Einstellungen!$B$3,Einstellungen!$B$4)</f>
        <v>29.13</v>
      </c>
      <c r="E11451" s="14" t="str">
        <f aca="false">IF(C11451="","",C11451*D11451/100)</f>
        <v/>
      </c>
      <c r="F11451" s="15" t="str">
        <f aca="false">IF(B11451&lt;5,"Go","Standard")</f>
        <v>Standard</v>
      </c>
    </row>
    <row r="11452" customFormat="false" ht="15" hidden="false" customHeight="true" outlineLevel="0" collapsed="false">
      <c r="A11452" s="10" t="n">
        <f aca="false">Einstellungen!$B$5+INT((ROW()-9)/24)</f>
        <v>46442</v>
      </c>
      <c r="B11452" s="11" t="n">
        <f aca="false">MOD(ROW()-9,24)</f>
        <v>19</v>
      </c>
      <c r="C11452" s="12"/>
      <c r="D11452" s="13" t="n">
        <f aca="false">IF(B11452&lt;5,Einstellungen!$B$3,Einstellungen!$B$4)</f>
        <v>29.13</v>
      </c>
      <c r="E11452" s="14" t="str">
        <f aca="false">IF(C11452="","",C11452*D11452/100)</f>
        <v/>
      </c>
      <c r="F11452" s="15" t="str">
        <f aca="false">IF(B11452&lt;5,"Go","Standard")</f>
        <v>Standard</v>
      </c>
    </row>
    <row r="11453" customFormat="false" ht="15" hidden="false" customHeight="true" outlineLevel="0" collapsed="false">
      <c r="A11453" s="10" t="n">
        <f aca="false">Einstellungen!$B$5+INT((ROW()-9)/24)</f>
        <v>46442</v>
      </c>
      <c r="B11453" s="11" t="n">
        <f aca="false">MOD(ROW()-9,24)</f>
        <v>20</v>
      </c>
      <c r="C11453" s="12"/>
      <c r="D11453" s="13" t="n">
        <f aca="false">IF(B11453&lt;5,Einstellungen!$B$3,Einstellungen!$B$4)</f>
        <v>29.13</v>
      </c>
      <c r="E11453" s="14" t="str">
        <f aca="false">IF(C11453="","",C11453*D11453/100)</f>
        <v/>
      </c>
      <c r="F11453" s="15" t="str">
        <f aca="false">IF(B11453&lt;5,"Go","Standard")</f>
        <v>Standard</v>
      </c>
    </row>
    <row r="11454" customFormat="false" ht="15" hidden="false" customHeight="true" outlineLevel="0" collapsed="false">
      <c r="A11454" s="10" t="n">
        <f aca="false">Einstellungen!$B$5+INT((ROW()-9)/24)</f>
        <v>46442</v>
      </c>
      <c r="B11454" s="11" t="n">
        <f aca="false">MOD(ROW()-9,24)</f>
        <v>21</v>
      </c>
      <c r="C11454" s="12"/>
      <c r="D11454" s="13" t="n">
        <f aca="false">IF(B11454&lt;5,Einstellungen!$B$3,Einstellungen!$B$4)</f>
        <v>29.13</v>
      </c>
      <c r="E11454" s="14" t="str">
        <f aca="false">IF(C11454="","",C11454*D11454/100)</f>
        <v/>
      </c>
      <c r="F11454" s="15" t="str">
        <f aca="false">IF(B11454&lt;5,"Go","Standard")</f>
        <v>Standard</v>
      </c>
    </row>
    <row r="11455" customFormat="false" ht="15" hidden="false" customHeight="true" outlineLevel="0" collapsed="false">
      <c r="A11455" s="10" t="n">
        <f aca="false">Einstellungen!$B$5+INT((ROW()-9)/24)</f>
        <v>46442</v>
      </c>
      <c r="B11455" s="11" t="n">
        <f aca="false">MOD(ROW()-9,24)</f>
        <v>22</v>
      </c>
      <c r="C11455" s="12"/>
      <c r="D11455" s="13" t="n">
        <f aca="false">IF(B11455&lt;5,Einstellungen!$B$3,Einstellungen!$B$4)</f>
        <v>29.13</v>
      </c>
      <c r="E11455" s="14" t="str">
        <f aca="false">IF(C11455="","",C11455*D11455/100)</f>
        <v/>
      </c>
      <c r="F11455" s="15" t="str">
        <f aca="false">IF(B11455&lt;5,"Go","Standard")</f>
        <v>Standard</v>
      </c>
    </row>
    <row r="11456" customFormat="false" ht="15" hidden="false" customHeight="true" outlineLevel="0" collapsed="false">
      <c r="A11456" s="10" t="n">
        <f aca="false">Einstellungen!$B$5+INT((ROW()-9)/24)</f>
        <v>46442</v>
      </c>
      <c r="B11456" s="11" t="n">
        <f aca="false">MOD(ROW()-9,24)</f>
        <v>23</v>
      </c>
      <c r="C11456" s="12"/>
      <c r="D11456" s="13" t="n">
        <f aca="false">IF(B11456&lt;5,Einstellungen!$B$3,Einstellungen!$B$4)</f>
        <v>29.13</v>
      </c>
      <c r="E11456" s="14" t="str">
        <f aca="false">IF(C11456="","",C11456*D11456/100)</f>
        <v/>
      </c>
      <c r="F11456" s="15" t="str">
        <f aca="false">IF(B11456&lt;5,"Go","Standard")</f>
        <v>Standard</v>
      </c>
    </row>
    <row r="11457" customFormat="false" ht="15" hidden="false" customHeight="true" outlineLevel="0" collapsed="false">
      <c r="A11457" s="10" t="n">
        <f aca="false">Einstellungen!$B$5+INT((ROW()-9)/24)</f>
        <v>46443</v>
      </c>
      <c r="B11457" s="11" t="n">
        <f aca="false">MOD(ROW()-9,24)</f>
        <v>0</v>
      </c>
      <c r="C11457" s="12"/>
      <c r="D11457" s="13" t="n">
        <f aca="false">IF(B11457&lt;5,Einstellungen!$B$3,Einstellungen!$B$4)</f>
        <v>15.92</v>
      </c>
      <c r="E11457" s="14" t="str">
        <f aca="false">IF(C11457="","",C11457*D11457/100)</f>
        <v/>
      </c>
      <c r="F11457" s="15" t="str">
        <f aca="false">IF(B11457&lt;5,"Go","Standard")</f>
        <v>Go</v>
      </c>
    </row>
    <row r="11458" customFormat="false" ht="15" hidden="false" customHeight="true" outlineLevel="0" collapsed="false">
      <c r="A11458" s="10" t="n">
        <f aca="false">Einstellungen!$B$5+INT((ROW()-9)/24)</f>
        <v>46443</v>
      </c>
      <c r="B11458" s="11" t="n">
        <f aca="false">MOD(ROW()-9,24)</f>
        <v>1</v>
      </c>
      <c r="C11458" s="12"/>
      <c r="D11458" s="13" t="n">
        <f aca="false">IF(B11458&lt;5,Einstellungen!$B$3,Einstellungen!$B$4)</f>
        <v>15.92</v>
      </c>
      <c r="E11458" s="14" t="str">
        <f aca="false">IF(C11458="","",C11458*D11458/100)</f>
        <v/>
      </c>
      <c r="F11458" s="15" t="str">
        <f aca="false">IF(B11458&lt;5,"Go","Standard")</f>
        <v>Go</v>
      </c>
    </row>
    <row r="11459" customFormat="false" ht="15" hidden="false" customHeight="true" outlineLevel="0" collapsed="false">
      <c r="A11459" s="10" t="n">
        <f aca="false">Einstellungen!$B$5+INT((ROW()-9)/24)</f>
        <v>46443</v>
      </c>
      <c r="B11459" s="11" t="n">
        <f aca="false">MOD(ROW()-9,24)</f>
        <v>2</v>
      </c>
      <c r="C11459" s="12"/>
      <c r="D11459" s="13" t="n">
        <f aca="false">IF(B11459&lt;5,Einstellungen!$B$3,Einstellungen!$B$4)</f>
        <v>15.92</v>
      </c>
      <c r="E11459" s="14" t="str">
        <f aca="false">IF(C11459="","",C11459*D11459/100)</f>
        <v/>
      </c>
      <c r="F11459" s="15" t="str">
        <f aca="false">IF(B11459&lt;5,"Go","Standard")</f>
        <v>Go</v>
      </c>
    </row>
    <row r="11460" customFormat="false" ht="15" hidden="false" customHeight="true" outlineLevel="0" collapsed="false">
      <c r="A11460" s="10" t="n">
        <f aca="false">Einstellungen!$B$5+INT((ROW()-9)/24)</f>
        <v>46443</v>
      </c>
      <c r="B11460" s="11" t="n">
        <f aca="false">MOD(ROW()-9,24)</f>
        <v>3</v>
      </c>
      <c r="C11460" s="12"/>
      <c r="D11460" s="13" t="n">
        <f aca="false">IF(B11460&lt;5,Einstellungen!$B$3,Einstellungen!$B$4)</f>
        <v>15.92</v>
      </c>
      <c r="E11460" s="14" t="str">
        <f aca="false">IF(C11460="","",C11460*D11460/100)</f>
        <v/>
      </c>
      <c r="F11460" s="15" t="str">
        <f aca="false">IF(B11460&lt;5,"Go","Standard")</f>
        <v>Go</v>
      </c>
    </row>
    <row r="11461" customFormat="false" ht="15" hidden="false" customHeight="true" outlineLevel="0" collapsed="false">
      <c r="A11461" s="10" t="n">
        <f aca="false">Einstellungen!$B$5+INT((ROW()-9)/24)</f>
        <v>46443</v>
      </c>
      <c r="B11461" s="11" t="n">
        <f aca="false">MOD(ROW()-9,24)</f>
        <v>4</v>
      </c>
      <c r="C11461" s="12"/>
      <c r="D11461" s="13" t="n">
        <f aca="false">IF(B11461&lt;5,Einstellungen!$B$3,Einstellungen!$B$4)</f>
        <v>15.92</v>
      </c>
      <c r="E11461" s="14" t="str">
        <f aca="false">IF(C11461="","",C11461*D11461/100)</f>
        <v/>
      </c>
      <c r="F11461" s="15" t="str">
        <f aca="false">IF(B11461&lt;5,"Go","Standard")</f>
        <v>Go</v>
      </c>
    </row>
    <row r="11462" customFormat="false" ht="15" hidden="false" customHeight="true" outlineLevel="0" collapsed="false">
      <c r="A11462" s="10" t="n">
        <f aca="false">Einstellungen!$B$5+INT((ROW()-9)/24)</f>
        <v>46443</v>
      </c>
      <c r="B11462" s="11" t="n">
        <f aca="false">MOD(ROW()-9,24)</f>
        <v>5</v>
      </c>
      <c r="C11462" s="12"/>
      <c r="D11462" s="13" t="n">
        <f aca="false">IF(B11462&lt;5,Einstellungen!$B$3,Einstellungen!$B$4)</f>
        <v>29.13</v>
      </c>
      <c r="E11462" s="14" t="str">
        <f aca="false">IF(C11462="","",C11462*D11462/100)</f>
        <v/>
      </c>
      <c r="F11462" s="15" t="str">
        <f aca="false">IF(B11462&lt;5,"Go","Standard")</f>
        <v>Standard</v>
      </c>
    </row>
    <row r="11463" customFormat="false" ht="15" hidden="false" customHeight="true" outlineLevel="0" collapsed="false">
      <c r="A11463" s="10" t="n">
        <f aca="false">Einstellungen!$B$5+INT((ROW()-9)/24)</f>
        <v>46443</v>
      </c>
      <c r="B11463" s="11" t="n">
        <f aca="false">MOD(ROW()-9,24)</f>
        <v>6</v>
      </c>
      <c r="C11463" s="12"/>
      <c r="D11463" s="13" t="n">
        <f aca="false">IF(B11463&lt;5,Einstellungen!$B$3,Einstellungen!$B$4)</f>
        <v>29.13</v>
      </c>
      <c r="E11463" s="14" t="str">
        <f aca="false">IF(C11463="","",C11463*D11463/100)</f>
        <v/>
      </c>
      <c r="F11463" s="15" t="str">
        <f aca="false">IF(B11463&lt;5,"Go","Standard")</f>
        <v>Standard</v>
      </c>
    </row>
    <row r="11464" customFormat="false" ht="15" hidden="false" customHeight="true" outlineLevel="0" collapsed="false">
      <c r="A11464" s="10" t="n">
        <f aca="false">Einstellungen!$B$5+INT((ROW()-9)/24)</f>
        <v>46443</v>
      </c>
      <c r="B11464" s="11" t="n">
        <f aca="false">MOD(ROW()-9,24)</f>
        <v>7</v>
      </c>
      <c r="C11464" s="12"/>
      <c r="D11464" s="13" t="n">
        <f aca="false">IF(B11464&lt;5,Einstellungen!$B$3,Einstellungen!$B$4)</f>
        <v>29.13</v>
      </c>
      <c r="E11464" s="14" t="str">
        <f aca="false">IF(C11464="","",C11464*D11464/100)</f>
        <v/>
      </c>
      <c r="F11464" s="15" t="str">
        <f aca="false">IF(B11464&lt;5,"Go","Standard")</f>
        <v>Standard</v>
      </c>
    </row>
    <row r="11465" customFormat="false" ht="15" hidden="false" customHeight="true" outlineLevel="0" collapsed="false">
      <c r="A11465" s="10" t="n">
        <f aca="false">Einstellungen!$B$5+INT((ROW()-9)/24)</f>
        <v>46443</v>
      </c>
      <c r="B11465" s="11" t="n">
        <f aca="false">MOD(ROW()-9,24)</f>
        <v>8</v>
      </c>
      <c r="C11465" s="12"/>
      <c r="D11465" s="13" t="n">
        <f aca="false">IF(B11465&lt;5,Einstellungen!$B$3,Einstellungen!$B$4)</f>
        <v>29.13</v>
      </c>
      <c r="E11465" s="14" t="str">
        <f aca="false">IF(C11465="","",C11465*D11465/100)</f>
        <v/>
      </c>
      <c r="F11465" s="15" t="str">
        <f aca="false">IF(B11465&lt;5,"Go","Standard")</f>
        <v>Standard</v>
      </c>
    </row>
    <row r="11466" customFormat="false" ht="15" hidden="false" customHeight="true" outlineLevel="0" collapsed="false">
      <c r="A11466" s="10" t="n">
        <f aca="false">Einstellungen!$B$5+INT((ROW()-9)/24)</f>
        <v>46443</v>
      </c>
      <c r="B11466" s="11" t="n">
        <f aca="false">MOD(ROW()-9,24)</f>
        <v>9</v>
      </c>
      <c r="C11466" s="12"/>
      <c r="D11466" s="13" t="n">
        <f aca="false">IF(B11466&lt;5,Einstellungen!$B$3,Einstellungen!$B$4)</f>
        <v>29.13</v>
      </c>
      <c r="E11466" s="14" t="str">
        <f aca="false">IF(C11466="","",C11466*D11466/100)</f>
        <v/>
      </c>
      <c r="F11466" s="15" t="str">
        <f aca="false">IF(B11466&lt;5,"Go","Standard")</f>
        <v>Standard</v>
      </c>
    </row>
    <row r="11467" customFormat="false" ht="15" hidden="false" customHeight="true" outlineLevel="0" collapsed="false">
      <c r="A11467" s="10" t="n">
        <f aca="false">Einstellungen!$B$5+INT((ROW()-9)/24)</f>
        <v>46443</v>
      </c>
      <c r="B11467" s="11" t="n">
        <f aca="false">MOD(ROW()-9,24)</f>
        <v>10</v>
      </c>
      <c r="C11467" s="12"/>
      <c r="D11467" s="13" t="n">
        <f aca="false">IF(B11467&lt;5,Einstellungen!$B$3,Einstellungen!$B$4)</f>
        <v>29.13</v>
      </c>
      <c r="E11467" s="14" t="str">
        <f aca="false">IF(C11467="","",C11467*D11467/100)</f>
        <v/>
      </c>
      <c r="F11467" s="15" t="str">
        <f aca="false">IF(B11467&lt;5,"Go","Standard")</f>
        <v>Standard</v>
      </c>
    </row>
    <row r="11468" customFormat="false" ht="15" hidden="false" customHeight="true" outlineLevel="0" collapsed="false">
      <c r="A11468" s="10" t="n">
        <f aca="false">Einstellungen!$B$5+INT((ROW()-9)/24)</f>
        <v>46443</v>
      </c>
      <c r="B11468" s="11" t="n">
        <f aca="false">MOD(ROW()-9,24)</f>
        <v>11</v>
      </c>
      <c r="C11468" s="12"/>
      <c r="D11468" s="13" t="n">
        <f aca="false">IF(B11468&lt;5,Einstellungen!$B$3,Einstellungen!$B$4)</f>
        <v>29.13</v>
      </c>
      <c r="E11468" s="14" t="str">
        <f aca="false">IF(C11468="","",C11468*D11468/100)</f>
        <v/>
      </c>
      <c r="F11468" s="15" t="str">
        <f aca="false">IF(B11468&lt;5,"Go","Standard")</f>
        <v>Standard</v>
      </c>
    </row>
    <row r="11469" customFormat="false" ht="15" hidden="false" customHeight="true" outlineLevel="0" collapsed="false">
      <c r="A11469" s="10" t="n">
        <f aca="false">Einstellungen!$B$5+INT((ROW()-9)/24)</f>
        <v>46443</v>
      </c>
      <c r="B11469" s="11" t="n">
        <f aca="false">MOD(ROW()-9,24)</f>
        <v>12</v>
      </c>
      <c r="C11469" s="12"/>
      <c r="D11469" s="13" t="n">
        <f aca="false">IF(B11469&lt;5,Einstellungen!$B$3,Einstellungen!$B$4)</f>
        <v>29.13</v>
      </c>
      <c r="E11469" s="14" t="str">
        <f aca="false">IF(C11469="","",C11469*D11469/100)</f>
        <v/>
      </c>
      <c r="F11469" s="15" t="str">
        <f aca="false">IF(B11469&lt;5,"Go","Standard")</f>
        <v>Standard</v>
      </c>
    </row>
    <row r="11470" customFormat="false" ht="15" hidden="false" customHeight="true" outlineLevel="0" collapsed="false">
      <c r="A11470" s="10" t="n">
        <f aca="false">Einstellungen!$B$5+INT((ROW()-9)/24)</f>
        <v>46443</v>
      </c>
      <c r="B11470" s="11" t="n">
        <f aca="false">MOD(ROW()-9,24)</f>
        <v>13</v>
      </c>
      <c r="C11470" s="12"/>
      <c r="D11470" s="13" t="n">
        <f aca="false">IF(B11470&lt;5,Einstellungen!$B$3,Einstellungen!$B$4)</f>
        <v>29.13</v>
      </c>
      <c r="E11470" s="14" t="str">
        <f aca="false">IF(C11470="","",C11470*D11470/100)</f>
        <v/>
      </c>
      <c r="F11470" s="15" t="str">
        <f aca="false">IF(B11470&lt;5,"Go","Standard")</f>
        <v>Standard</v>
      </c>
    </row>
    <row r="11471" customFormat="false" ht="15" hidden="false" customHeight="true" outlineLevel="0" collapsed="false">
      <c r="A11471" s="10" t="n">
        <f aca="false">Einstellungen!$B$5+INT((ROW()-9)/24)</f>
        <v>46443</v>
      </c>
      <c r="B11471" s="11" t="n">
        <f aca="false">MOD(ROW()-9,24)</f>
        <v>14</v>
      </c>
      <c r="C11471" s="12"/>
      <c r="D11471" s="13" t="n">
        <f aca="false">IF(B11471&lt;5,Einstellungen!$B$3,Einstellungen!$B$4)</f>
        <v>29.13</v>
      </c>
      <c r="E11471" s="14" t="str">
        <f aca="false">IF(C11471="","",C11471*D11471/100)</f>
        <v/>
      </c>
      <c r="F11471" s="15" t="str">
        <f aca="false">IF(B11471&lt;5,"Go","Standard")</f>
        <v>Standard</v>
      </c>
    </row>
    <row r="11472" customFormat="false" ht="15" hidden="false" customHeight="true" outlineLevel="0" collapsed="false">
      <c r="A11472" s="10" t="n">
        <f aca="false">Einstellungen!$B$5+INT((ROW()-9)/24)</f>
        <v>46443</v>
      </c>
      <c r="B11472" s="11" t="n">
        <f aca="false">MOD(ROW()-9,24)</f>
        <v>15</v>
      </c>
      <c r="C11472" s="12"/>
      <c r="D11472" s="13" t="n">
        <f aca="false">IF(B11472&lt;5,Einstellungen!$B$3,Einstellungen!$B$4)</f>
        <v>29.13</v>
      </c>
      <c r="E11472" s="14" t="str">
        <f aca="false">IF(C11472="","",C11472*D11472/100)</f>
        <v/>
      </c>
      <c r="F11472" s="15" t="str">
        <f aca="false">IF(B11472&lt;5,"Go","Standard")</f>
        <v>Standard</v>
      </c>
    </row>
    <row r="11473" customFormat="false" ht="15" hidden="false" customHeight="true" outlineLevel="0" collapsed="false">
      <c r="A11473" s="10" t="n">
        <f aca="false">Einstellungen!$B$5+INT((ROW()-9)/24)</f>
        <v>46443</v>
      </c>
      <c r="B11473" s="11" t="n">
        <f aca="false">MOD(ROW()-9,24)</f>
        <v>16</v>
      </c>
      <c r="C11473" s="12"/>
      <c r="D11473" s="13" t="n">
        <f aca="false">IF(B11473&lt;5,Einstellungen!$B$3,Einstellungen!$B$4)</f>
        <v>29.13</v>
      </c>
      <c r="E11473" s="14" t="str">
        <f aca="false">IF(C11473="","",C11473*D11473/100)</f>
        <v/>
      </c>
      <c r="F11473" s="15" t="str">
        <f aca="false">IF(B11473&lt;5,"Go","Standard")</f>
        <v>Standard</v>
      </c>
    </row>
    <row r="11474" customFormat="false" ht="15" hidden="false" customHeight="true" outlineLevel="0" collapsed="false">
      <c r="A11474" s="10" t="n">
        <f aca="false">Einstellungen!$B$5+INT((ROW()-9)/24)</f>
        <v>46443</v>
      </c>
      <c r="B11474" s="11" t="n">
        <f aca="false">MOD(ROW()-9,24)</f>
        <v>17</v>
      </c>
      <c r="C11474" s="12"/>
      <c r="D11474" s="13" t="n">
        <f aca="false">IF(B11474&lt;5,Einstellungen!$B$3,Einstellungen!$B$4)</f>
        <v>29.13</v>
      </c>
      <c r="E11474" s="14" t="str">
        <f aca="false">IF(C11474="","",C11474*D11474/100)</f>
        <v/>
      </c>
      <c r="F11474" s="15" t="str">
        <f aca="false">IF(B11474&lt;5,"Go","Standard")</f>
        <v>Standard</v>
      </c>
    </row>
    <row r="11475" customFormat="false" ht="15" hidden="false" customHeight="true" outlineLevel="0" collapsed="false">
      <c r="A11475" s="10" t="n">
        <f aca="false">Einstellungen!$B$5+INT((ROW()-9)/24)</f>
        <v>46443</v>
      </c>
      <c r="B11475" s="11" t="n">
        <f aca="false">MOD(ROW()-9,24)</f>
        <v>18</v>
      </c>
      <c r="C11475" s="12"/>
      <c r="D11475" s="13" t="n">
        <f aca="false">IF(B11475&lt;5,Einstellungen!$B$3,Einstellungen!$B$4)</f>
        <v>29.13</v>
      </c>
      <c r="E11475" s="14" t="str">
        <f aca="false">IF(C11475="","",C11475*D11475/100)</f>
        <v/>
      </c>
      <c r="F11475" s="15" t="str">
        <f aca="false">IF(B11475&lt;5,"Go","Standard")</f>
        <v>Standard</v>
      </c>
    </row>
    <row r="11476" customFormat="false" ht="15" hidden="false" customHeight="true" outlineLevel="0" collapsed="false">
      <c r="A11476" s="10" t="n">
        <f aca="false">Einstellungen!$B$5+INT((ROW()-9)/24)</f>
        <v>46443</v>
      </c>
      <c r="B11476" s="11" t="n">
        <f aca="false">MOD(ROW()-9,24)</f>
        <v>19</v>
      </c>
      <c r="C11476" s="12"/>
      <c r="D11476" s="13" t="n">
        <f aca="false">IF(B11476&lt;5,Einstellungen!$B$3,Einstellungen!$B$4)</f>
        <v>29.13</v>
      </c>
      <c r="E11476" s="14" t="str">
        <f aca="false">IF(C11476="","",C11476*D11476/100)</f>
        <v/>
      </c>
      <c r="F11476" s="15" t="str">
        <f aca="false">IF(B11476&lt;5,"Go","Standard")</f>
        <v>Standard</v>
      </c>
    </row>
    <row r="11477" customFormat="false" ht="15" hidden="false" customHeight="true" outlineLevel="0" collapsed="false">
      <c r="A11477" s="10" t="n">
        <f aca="false">Einstellungen!$B$5+INT((ROW()-9)/24)</f>
        <v>46443</v>
      </c>
      <c r="B11477" s="11" t="n">
        <f aca="false">MOD(ROW()-9,24)</f>
        <v>20</v>
      </c>
      <c r="C11477" s="12"/>
      <c r="D11477" s="13" t="n">
        <f aca="false">IF(B11477&lt;5,Einstellungen!$B$3,Einstellungen!$B$4)</f>
        <v>29.13</v>
      </c>
      <c r="E11477" s="14" t="str">
        <f aca="false">IF(C11477="","",C11477*D11477/100)</f>
        <v/>
      </c>
      <c r="F11477" s="15" t="str">
        <f aca="false">IF(B11477&lt;5,"Go","Standard")</f>
        <v>Standard</v>
      </c>
    </row>
    <row r="11478" customFormat="false" ht="15" hidden="false" customHeight="true" outlineLevel="0" collapsed="false">
      <c r="A11478" s="10" t="n">
        <f aca="false">Einstellungen!$B$5+INT((ROW()-9)/24)</f>
        <v>46443</v>
      </c>
      <c r="B11478" s="11" t="n">
        <f aca="false">MOD(ROW()-9,24)</f>
        <v>21</v>
      </c>
      <c r="C11478" s="12"/>
      <c r="D11478" s="13" t="n">
        <f aca="false">IF(B11478&lt;5,Einstellungen!$B$3,Einstellungen!$B$4)</f>
        <v>29.13</v>
      </c>
      <c r="E11478" s="14" t="str">
        <f aca="false">IF(C11478="","",C11478*D11478/100)</f>
        <v/>
      </c>
      <c r="F11478" s="15" t="str">
        <f aca="false">IF(B11478&lt;5,"Go","Standard")</f>
        <v>Standard</v>
      </c>
    </row>
    <row r="11479" customFormat="false" ht="15" hidden="false" customHeight="true" outlineLevel="0" collapsed="false">
      <c r="A11479" s="10" t="n">
        <f aca="false">Einstellungen!$B$5+INT((ROW()-9)/24)</f>
        <v>46443</v>
      </c>
      <c r="B11479" s="11" t="n">
        <f aca="false">MOD(ROW()-9,24)</f>
        <v>22</v>
      </c>
      <c r="C11479" s="12"/>
      <c r="D11479" s="13" t="n">
        <f aca="false">IF(B11479&lt;5,Einstellungen!$B$3,Einstellungen!$B$4)</f>
        <v>29.13</v>
      </c>
      <c r="E11479" s="14" t="str">
        <f aca="false">IF(C11479="","",C11479*D11479/100)</f>
        <v/>
      </c>
      <c r="F11479" s="15" t="str">
        <f aca="false">IF(B11479&lt;5,"Go","Standard")</f>
        <v>Standard</v>
      </c>
    </row>
    <row r="11480" customFormat="false" ht="15" hidden="false" customHeight="true" outlineLevel="0" collapsed="false">
      <c r="A11480" s="10" t="n">
        <f aca="false">Einstellungen!$B$5+INT((ROW()-9)/24)</f>
        <v>46443</v>
      </c>
      <c r="B11480" s="11" t="n">
        <f aca="false">MOD(ROW()-9,24)</f>
        <v>23</v>
      </c>
      <c r="C11480" s="12"/>
      <c r="D11480" s="13" t="n">
        <f aca="false">IF(B11480&lt;5,Einstellungen!$B$3,Einstellungen!$B$4)</f>
        <v>29.13</v>
      </c>
      <c r="E11480" s="14" t="str">
        <f aca="false">IF(C11480="","",C11480*D11480/100)</f>
        <v/>
      </c>
      <c r="F11480" s="15" t="str">
        <f aca="false">IF(B11480&lt;5,"Go","Standard")</f>
        <v>Standard</v>
      </c>
    </row>
    <row r="11481" customFormat="false" ht="15" hidden="false" customHeight="true" outlineLevel="0" collapsed="false">
      <c r="A11481" s="10" t="n">
        <f aca="false">Einstellungen!$B$5+INT((ROW()-9)/24)</f>
        <v>46444</v>
      </c>
      <c r="B11481" s="11" t="n">
        <f aca="false">MOD(ROW()-9,24)</f>
        <v>0</v>
      </c>
      <c r="C11481" s="12"/>
      <c r="D11481" s="13" t="n">
        <f aca="false">IF(B11481&lt;5,Einstellungen!$B$3,Einstellungen!$B$4)</f>
        <v>15.92</v>
      </c>
      <c r="E11481" s="14" t="str">
        <f aca="false">IF(C11481="","",C11481*D11481/100)</f>
        <v/>
      </c>
      <c r="F11481" s="15" t="str">
        <f aca="false">IF(B11481&lt;5,"Go","Standard")</f>
        <v>Go</v>
      </c>
    </row>
    <row r="11482" customFormat="false" ht="15" hidden="false" customHeight="true" outlineLevel="0" collapsed="false">
      <c r="A11482" s="10" t="n">
        <f aca="false">Einstellungen!$B$5+INT((ROW()-9)/24)</f>
        <v>46444</v>
      </c>
      <c r="B11482" s="11" t="n">
        <f aca="false">MOD(ROW()-9,24)</f>
        <v>1</v>
      </c>
      <c r="C11482" s="12"/>
      <c r="D11482" s="13" t="n">
        <f aca="false">IF(B11482&lt;5,Einstellungen!$B$3,Einstellungen!$B$4)</f>
        <v>15.92</v>
      </c>
      <c r="E11482" s="14" t="str">
        <f aca="false">IF(C11482="","",C11482*D11482/100)</f>
        <v/>
      </c>
      <c r="F11482" s="15" t="str">
        <f aca="false">IF(B11482&lt;5,"Go","Standard")</f>
        <v>Go</v>
      </c>
    </row>
    <row r="11483" customFormat="false" ht="15" hidden="false" customHeight="true" outlineLevel="0" collapsed="false">
      <c r="A11483" s="10" t="n">
        <f aca="false">Einstellungen!$B$5+INT((ROW()-9)/24)</f>
        <v>46444</v>
      </c>
      <c r="B11483" s="11" t="n">
        <f aca="false">MOD(ROW()-9,24)</f>
        <v>2</v>
      </c>
      <c r="C11483" s="12"/>
      <c r="D11483" s="13" t="n">
        <f aca="false">IF(B11483&lt;5,Einstellungen!$B$3,Einstellungen!$B$4)</f>
        <v>15.92</v>
      </c>
      <c r="E11483" s="14" t="str">
        <f aca="false">IF(C11483="","",C11483*D11483/100)</f>
        <v/>
      </c>
      <c r="F11483" s="15" t="str">
        <f aca="false">IF(B11483&lt;5,"Go","Standard")</f>
        <v>Go</v>
      </c>
    </row>
    <row r="11484" customFormat="false" ht="15" hidden="false" customHeight="true" outlineLevel="0" collapsed="false">
      <c r="A11484" s="10" t="n">
        <f aca="false">Einstellungen!$B$5+INT((ROW()-9)/24)</f>
        <v>46444</v>
      </c>
      <c r="B11484" s="11" t="n">
        <f aca="false">MOD(ROW()-9,24)</f>
        <v>3</v>
      </c>
      <c r="C11484" s="12"/>
      <c r="D11484" s="13" t="n">
        <f aca="false">IF(B11484&lt;5,Einstellungen!$B$3,Einstellungen!$B$4)</f>
        <v>15.92</v>
      </c>
      <c r="E11484" s="14" t="str">
        <f aca="false">IF(C11484="","",C11484*D11484/100)</f>
        <v/>
      </c>
      <c r="F11484" s="15" t="str">
        <f aca="false">IF(B11484&lt;5,"Go","Standard")</f>
        <v>Go</v>
      </c>
    </row>
    <row r="11485" customFormat="false" ht="15" hidden="false" customHeight="true" outlineLevel="0" collapsed="false">
      <c r="A11485" s="10" t="n">
        <f aca="false">Einstellungen!$B$5+INT((ROW()-9)/24)</f>
        <v>46444</v>
      </c>
      <c r="B11485" s="11" t="n">
        <f aca="false">MOD(ROW()-9,24)</f>
        <v>4</v>
      </c>
      <c r="C11485" s="12"/>
      <c r="D11485" s="13" t="n">
        <f aca="false">IF(B11485&lt;5,Einstellungen!$B$3,Einstellungen!$B$4)</f>
        <v>15.92</v>
      </c>
      <c r="E11485" s="14" t="str">
        <f aca="false">IF(C11485="","",C11485*D11485/100)</f>
        <v/>
      </c>
      <c r="F11485" s="15" t="str">
        <f aca="false">IF(B11485&lt;5,"Go","Standard")</f>
        <v>Go</v>
      </c>
    </row>
    <row r="11486" customFormat="false" ht="15" hidden="false" customHeight="true" outlineLevel="0" collapsed="false">
      <c r="A11486" s="10" t="n">
        <f aca="false">Einstellungen!$B$5+INT((ROW()-9)/24)</f>
        <v>46444</v>
      </c>
      <c r="B11486" s="11" t="n">
        <f aca="false">MOD(ROW()-9,24)</f>
        <v>5</v>
      </c>
      <c r="C11486" s="12"/>
      <c r="D11486" s="13" t="n">
        <f aca="false">IF(B11486&lt;5,Einstellungen!$B$3,Einstellungen!$B$4)</f>
        <v>29.13</v>
      </c>
      <c r="E11486" s="14" t="str">
        <f aca="false">IF(C11486="","",C11486*D11486/100)</f>
        <v/>
      </c>
      <c r="F11486" s="15" t="str">
        <f aca="false">IF(B11486&lt;5,"Go","Standard")</f>
        <v>Standard</v>
      </c>
    </row>
    <row r="11487" customFormat="false" ht="15" hidden="false" customHeight="true" outlineLevel="0" collapsed="false">
      <c r="A11487" s="10" t="n">
        <f aca="false">Einstellungen!$B$5+INT((ROW()-9)/24)</f>
        <v>46444</v>
      </c>
      <c r="B11487" s="11" t="n">
        <f aca="false">MOD(ROW()-9,24)</f>
        <v>6</v>
      </c>
      <c r="C11487" s="12"/>
      <c r="D11487" s="13" t="n">
        <f aca="false">IF(B11487&lt;5,Einstellungen!$B$3,Einstellungen!$B$4)</f>
        <v>29.13</v>
      </c>
      <c r="E11487" s="14" t="str">
        <f aca="false">IF(C11487="","",C11487*D11487/100)</f>
        <v/>
      </c>
      <c r="F11487" s="15" t="str">
        <f aca="false">IF(B11487&lt;5,"Go","Standard")</f>
        <v>Standard</v>
      </c>
    </row>
    <row r="11488" customFormat="false" ht="15" hidden="false" customHeight="true" outlineLevel="0" collapsed="false">
      <c r="A11488" s="10" t="n">
        <f aca="false">Einstellungen!$B$5+INT((ROW()-9)/24)</f>
        <v>46444</v>
      </c>
      <c r="B11488" s="11" t="n">
        <f aca="false">MOD(ROW()-9,24)</f>
        <v>7</v>
      </c>
      <c r="C11488" s="12"/>
      <c r="D11488" s="13" t="n">
        <f aca="false">IF(B11488&lt;5,Einstellungen!$B$3,Einstellungen!$B$4)</f>
        <v>29.13</v>
      </c>
      <c r="E11488" s="14" t="str">
        <f aca="false">IF(C11488="","",C11488*D11488/100)</f>
        <v/>
      </c>
      <c r="F11488" s="15" t="str">
        <f aca="false">IF(B11488&lt;5,"Go","Standard")</f>
        <v>Standard</v>
      </c>
    </row>
    <row r="11489" customFormat="false" ht="15" hidden="false" customHeight="true" outlineLevel="0" collapsed="false">
      <c r="A11489" s="10" t="n">
        <f aca="false">Einstellungen!$B$5+INT((ROW()-9)/24)</f>
        <v>46444</v>
      </c>
      <c r="B11489" s="11" t="n">
        <f aca="false">MOD(ROW()-9,24)</f>
        <v>8</v>
      </c>
      <c r="C11489" s="12"/>
      <c r="D11489" s="13" t="n">
        <f aca="false">IF(B11489&lt;5,Einstellungen!$B$3,Einstellungen!$B$4)</f>
        <v>29.13</v>
      </c>
      <c r="E11489" s="14" t="str">
        <f aca="false">IF(C11489="","",C11489*D11489/100)</f>
        <v/>
      </c>
      <c r="F11489" s="15" t="str">
        <f aca="false">IF(B11489&lt;5,"Go","Standard")</f>
        <v>Standard</v>
      </c>
    </row>
    <row r="11490" customFormat="false" ht="15" hidden="false" customHeight="true" outlineLevel="0" collapsed="false">
      <c r="A11490" s="10" t="n">
        <f aca="false">Einstellungen!$B$5+INT((ROW()-9)/24)</f>
        <v>46444</v>
      </c>
      <c r="B11490" s="11" t="n">
        <f aca="false">MOD(ROW()-9,24)</f>
        <v>9</v>
      </c>
      <c r="C11490" s="12"/>
      <c r="D11490" s="13" t="n">
        <f aca="false">IF(B11490&lt;5,Einstellungen!$B$3,Einstellungen!$B$4)</f>
        <v>29.13</v>
      </c>
      <c r="E11490" s="14" t="str">
        <f aca="false">IF(C11490="","",C11490*D11490/100)</f>
        <v/>
      </c>
      <c r="F11490" s="15" t="str">
        <f aca="false">IF(B11490&lt;5,"Go","Standard")</f>
        <v>Standard</v>
      </c>
    </row>
    <row r="11491" customFormat="false" ht="15" hidden="false" customHeight="true" outlineLevel="0" collapsed="false">
      <c r="A11491" s="10" t="n">
        <f aca="false">Einstellungen!$B$5+INT((ROW()-9)/24)</f>
        <v>46444</v>
      </c>
      <c r="B11491" s="11" t="n">
        <f aca="false">MOD(ROW()-9,24)</f>
        <v>10</v>
      </c>
      <c r="C11491" s="12"/>
      <c r="D11491" s="13" t="n">
        <f aca="false">IF(B11491&lt;5,Einstellungen!$B$3,Einstellungen!$B$4)</f>
        <v>29.13</v>
      </c>
      <c r="E11491" s="14" t="str">
        <f aca="false">IF(C11491="","",C11491*D11491/100)</f>
        <v/>
      </c>
      <c r="F11491" s="15" t="str">
        <f aca="false">IF(B11491&lt;5,"Go","Standard")</f>
        <v>Standard</v>
      </c>
    </row>
    <row r="11492" customFormat="false" ht="15" hidden="false" customHeight="true" outlineLevel="0" collapsed="false">
      <c r="A11492" s="10" t="n">
        <f aca="false">Einstellungen!$B$5+INT((ROW()-9)/24)</f>
        <v>46444</v>
      </c>
      <c r="B11492" s="11" t="n">
        <f aca="false">MOD(ROW()-9,24)</f>
        <v>11</v>
      </c>
      <c r="C11492" s="12"/>
      <c r="D11492" s="13" t="n">
        <f aca="false">IF(B11492&lt;5,Einstellungen!$B$3,Einstellungen!$B$4)</f>
        <v>29.13</v>
      </c>
      <c r="E11492" s="14" t="str">
        <f aca="false">IF(C11492="","",C11492*D11492/100)</f>
        <v/>
      </c>
      <c r="F11492" s="15" t="str">
        <f aca="false">IF(B11492&lt;5,"Go","Standard")</f>
        <v>Standard</v>
      </c>
    </row>
    <row r="11493" customFormat="false" ht="15" hidden="false" customHeight="true" outlineLevel="0" collapsed="false">
      <c r="A11493" s="10" t="n">
        <f aca="false">Einstellungen!$B$5+INT((ROW()-9)/24)</f>
        <v>46444</v>
      </c>
      <c r="B11493" s="11" t="n">
        <f aca="false">MOD(ROW()-9,24)</f>
        <v>12</v>
      </c>
      <c r="C11493" s="12"/>
      <c r="D11493" s="13" t="n">
        <f aca="false">IF(B11493&lt;5,Einstellungen!$B$3,Einstellungen!$B$4)</f>
        <v>29.13</v>
      </c>
      <c r="E11493" s="14" t="str">
        <f aca="false">IF(C11493="","",C11493*D11493/100)</f>
        <v/>
      </c>
      <c r="F11493" s="15" t="str">
        <f aca="false">IF(B11493&lt;5,"Go","Standard")</f>
        <v>Standard</v>
      </c>
    </row>
    <row r="11494" customFormat="false" ht="15" hidden="false" customHeight="true" outlineLevel="0" collapsed="false">
      <c r="A11494" s="10" t="n">
        <f aca="false">Einstellungen!$B$5+INT((ROW()-9)/24)</f>
        <v>46444</v>
      </c>
      <c r="B11494" s="11" t="n">
        <f aca="false">MOD(ROW()-9,24)</f>
        <v>13</v>
      </c>
      <c r="C11494" s="12"/>
      <c r="D11494" s="13" t="n">
        <f aca="false">IF(B11494&lt;5,Einstellungen!$B$3,Einstellungen!$B$4)</f>
        <v>29.13</v>
      </c>
      <c r="E11494" s="14" t="str">
        <f aca="false">IF(C11494="","",C11494*D11494/100)</f>
        <v/>
      </c>
      <c r="F11494" s="15" t="str">
        <f aca="false">IF(B11494&lt;5,"Go","Standard")</f>
        <v>Standard</v>
      </c>
    </row>
    <row r="11495" customFormat="false" ht="15" hidden="false" customHeight="true" outlineLevel="0" collapsed="false">
      <c r="A11495" s="10" t="n">
        <f aca="false">Einstellungen!$B$5+INT((ROW()-9)/24)</f>
        <v>46444</v>
      </c>
      <c r="B11495" s="11" t="n">
        <f aca="false">MOD(ROW()-9,24)</f>
        <v>14</v>
      </c>
      <c r="C11495" s="12"/>
      <c r="D11495" s="13" t="n">
        <f aca="false">IF(B11495&lt;5,Einstellungen!$B$3,Einstellungen!$B$4)</f>
        <v>29.13</v>
      </c>
      <c r="E11495" s="14" t="str">
        <f aca="false">IF(C11495="","",C11495*D11495/100)</f>
        <v/>
      </c>
      <c r="F11495" s="15" t="str">
        <f aca="false">IF(B11495&lt;5,"Go","Standard")</f>
        <v>Standard</v>
      </c>
    </row>
    <row r="11496" customFormat="false" ht="15" hidden="false" customHeight="true" outlineLevel="0" collapsed="false">
      <c r="A11496" s="10" t="n">
        <f aca="false">Einstellungen!$B$5+INT((ROW()-9)/24)</f>
        <v>46444</v>
      </c>
      <c r="B11496" s="11" t="n">
        <f aca="false">MOD(ROW()-9,24)</f>
        <v>15</v>
      </c>
      <c r="C11496" s="12"/>
      <c r="D11496" s="13" t="n">
        <f aca="false">IF(B11496&lt;5,Einstellungen!$B$3,Einstellungen!$B$4)</f>
        <v>29.13</v>
      </c>
      <c r="E11496" s="14" t="str">
        <f aca="false">IF(C11496="","",C11496*D11496/100)</f>
        <v/>
      </c>
      <c r="F11496" s="15" t="str">
        <f aca="false">IF(B11496&lt;5,"Go","Standard")</f>
        <v>Standard</v>
      </c>
    </row>
    <row r="11497" customFormat="false" ht="15" hidden="false" customHeight="true" outlineLevel="0" collapsed="false">
      <c r="A11497" s="10" t="n">
        <f aca="false">Einstellungen!$B$5+INT((ROW()-9)/24)</f>
        <v>46444</v>
      </c>
      <c r="B11497" s="11" t="n">
        <f aca="false">MOD(ROW()-9,24)</f>
        <v>16</v>
      </c>
      <c r="C11497" s="12"/>
      <c r="D11497" s="13" t="n">
        <f aca="false">IF(B11497&lt;5,Einstellungen!$B$3,Einstellungen!$B$4)</f>
        <v>29.13</v>
      </c>
      <c r="E11497" s="14" t="str">
        <f aca="false">IF(C11497="","",C11497*D11497/100)</f>
        <v/>
      </c>
      <c r="F11497" s="15" t="str">
        <f aca="false">IF(B11497&lt;5,"Go","Standard")</f>
        <v>Standard</v>
      </c>
    </row>
    <row r="11498" customFormat="false" ht="15" hidden="false" customHeight="true" outlineLevel="0" collapsed="false">
      <c r="A11498" s="10" t="n">
        <f aca="false">Einstellungen!$B$5+INT((ROW()-9)/24)</f>
        <v>46444</v>
      </c>
      <c r="B11498" s="11" t="n">
        <f aca="false">MOD(ROW()-9,24)</f>
        <v>17</v>
      </c>
      <c r="C11498" s="12"/>
      <c r="D11498" s="13" t="n">
        <f aca="false">IF(B11498&lt;5,Einstellungen!$B$3,Einstellungen!$B$4)</f>
        <v>29.13</v>
      </c>
      <c r="E11498" s="14" t="str">
        <f aca="false">IF(C11498="","",C11498*D11498/100)</f>
        <v/>
      </c>
      <c r="F11498" s="15" t="str">
        <f aca="false">IF(B11498&lt;5,"Go","Standard")</f>
        <v>Standard</v>
      </c>
    </row>
    <row r="11499" customFormat="false" ht="15" hidden="false" customHeight="true" outlineLevel="0" collapsed="false">
      <c r="A11499" s="10" t="n">
        <f aca="false">Einstellungen!$B$5+INT((ROW()-9)/24)</f>
        <v>46444</v>
      </c>
      <c r="B11499" s="11" t="n">
        <f aca="false">MOD(ROW()-9,24)</f>
        <v>18</v>
      </c>
      <c r="C11499" s="12"/>
      <c r="D11499" s="13" t="n">
        <f aca="false">IF(B11499&lt;5,Einstellungen!$B$3,Einstellungen!$B$4)</f>
        <v>29.13</v>
      </c>
      <c r="E11499" s="14" t="str">
        <f aca="false">IF(C11499="","",C11499*D11499/100)</f>
        <v/>
      </c>
      <c r="F11499" s="15" t="str">
        <f aca="false">IF(B11499&lt;5,"Go","Standard")</f>
        <v>Standard</v>
      </c>
    </row>
    <row r="11500" customFormat="false" ht="15" hidden="false" customHeight="true" outlineLevel="0" collapsed="false">
      <c r="A11500" s="10" t="n">
        <f aca="false">Einstellungen!$B$5+INT((ROW()-9)/24)</f>
        <v>46444</v>
      </c>
      <c r="B11500" s="11" t="n">
        <f aca="false">MOD(ROW()-9,24)</f>
        <v>19</v>
      </c>
      <c r="C11500" s="12"/>
      <c r="D11500" s="13" t="n">
        <f aca="false">IF(B11500&lt;5,Einstellungen!$B$3,Einstellungen!$B$4)</f>
        <v>29.13</v>
      </c>
      <c r="E11500" s="14" t="str">
        <f aca="false">IF(C11500="","",C11500*D11500/100)</f>
        <v/>
      </c>
      <c r="F11500" s="15" t="str">
        <f aca="false">IF(B11500&lt;5,"Go","Standard")</f>
        <v>Standard</v>
      </c>
    </row>
    <row r="11501" customFormat="false" ht="15" hidden="false" customHeight="true" outlineLevel="0" collapsed="false">
      <c r="A11501" s="10" t="n">
        <f aca="false">Einstellungen!$B$5+INT((ROW()-9)/24)</f>
        <v>46444</v>
      </c>
      <c r="B11501" s="11" t="n">
        <f aca="false">MOD(ROW()-9,24)</f>
        <v>20</v>
      </c>
      <c r="C11501" s="12"/>
      <c r="D11501" s="13" t="n">
        <f aca="false">IF(B11501&lt;5,Einstellungen!$B$3,Einstellungen!$B$4)</f>
        <v>29.13</v>
      </c>
      <c r="E11501" s="14" t="str">
        <f aca="false">IF(C11501="","",C11501*D11501/100)</f>
        <v/>
      </c>
      <c r="F11501" s="15" t="str">
        <f aca="false">IF(B11501&lt;5,"Go","Standard")</f>
        <v>Standard</v>
      </c>
    </row>
    <row r="11502" customFormat="false" ht="15" hidden="false" customHeight="true" outlineLevel="0" collapsed="false">
      <c r="A11502" s="10" t="n">
        <f aca="false">Einstellungen!$B$5+INT((ROW()-9)/24)</f>
        <v>46444</v>
      </c>
      <c r="B11502" s="11" t="n">
        <f aca="false">MOD(ROW()-9,24)</f>
        <v>21</v>
      </c>
      <c r="C11502" s="12"/>
      <c r="D11502" s="13" t="n">
        <f aca="false">IF(B11502&lt;5,Einstellungen!$B$3,Einstellungen!$B$4)</f>
        <v>29.13</v>
      </c>
      <c r="E11502" s="14" t="str">
        <f aca="false">IF(C11502="","",C11502*D11502/100)</f>
        <v/>
      </c>
      <c r="F11502" s="15" t="str">
        <f aca="false">IF(B11502&lt;5,"Go","Standard")</f>
        <v>Standard</v>
      </c>
    </row>
    <row r="11503" customFormat="false" ht="15" hidden="false" customHeight="true" outlineLevel="0" collapsed="false">
      <c r="A11503" s="10" t="n">
        <f aca="false">Einstellungen!$B$5+INT((ROW()-9)/24)</f>
        <v>46444</v>
      </c>
      <c r="B11503" s="11" t="n">
        <f aca="false">MOD(ROW()-9,24)</f>
        <v>22</v>
      </c>
      <c r="C11503" s="12"/>
      <c r="D11503" s="13" t="n">
        <f aca="false">IF(B11503&lt;5,Einstellungen!$B$3,Einstellungen!$B$4)</f>
        <v>29.13</v>
      </c>
      <c r="E11503" s="14" t="str">
        <f aca="false">IF(C11503="","",C11503*D11503/100)</f>
        <v/>
      </c>
      <c r="F11503" s="15" t="str">
        <f aca="false">IF(B11503&lt;5,"Go","Standard")</f>
        <v>Standard</v>
      </c>
    </row>
    <row r="11504" customFormat="false" ht="15" hidden="false" customHeight="true" outlineLevel="0" collapsed="false">
      <c r="A11504" s="10" t="n">
        <f aca="false">Einstellungen!$B$5+INT((ROW()-9)/24)</f>
        <v>46444</v>
      </c>
      <c r="B11504" s="11" t="n">
        <f aca="false">MOD(ROW()-9,24)</f>
        <v>23</v>
      </c>
      <c r="C11504" s="12"/>
      <c r="D11504" s="13" t="n">
        <f aca="false">IF(B11504&lt;5,Einstellungen!$B$3,Einstellungen!$B$4)</f>
        <v>29.13</v>
      </c>
      <c r="E11504" s="14" t="str">
        <f aca="false">IF(C11504="","",C11504*D11504/100)</f>
        <v/>
      </c>
      <c r="F11504" s="15" t="str">
        <f aca="false">IF(B11504&lt;5,"Go","Standard")</f>
        <v>Standard</v>
      </c>
    </row>
    <row r="11505" customFormat="false" ht="15" hidden="false" customHeight="true" outlineLevel="0" collapsed="false">
      <c r="A11505" s="10" t="n">
        <f aca="false">Einstellungen!$B$5+INT((ROW()-9)/24)</f>
        <v>46445</v>
      </c>
      <c r="B11505" s="11" t="n">
        <f aca="false">MOD(ROW()-9,24)</f>
        <v>0</v>
      </c>
      <c r="C11505" s="12"/>
      <c r="D11505" s="13" t="n">
        <f aca="false">IF(B11505&lt;5,Einstellungen!$B$3,Einstellungen!$B$4)</f>
        <v>15.92</v>
      </c>
      <c r="E11505" s="14" t="str">
        <f aca="false">IF(C11505="","",C11505*D11505/100)</f>
        <v/>
      </c>
      <c r="F11505" s="15" t="str">
        <f aca="false">IF(B11505&lt;5,"Go","Standard")</f>
        <v>Go</v>
      </c>
    </row>
    <row r="11506" customFormat="false" ht="15" hidden="false" customHeight="true" outlineLevel="0" collapsed="false">
      <c r="A11506" s="10" t="n">
        <f aca="false">Einstellungen!$B$5+INT((ROW()-9)/24)</f>
        <v>46445</v>
      </c>
      <c r="B11506" s="11" t="n">
        <f aca="false">MOD(ROW()-9,24)</f>
        <v>1</v>
      </c>
      <c r="C11506" s="12"/>
      <c r="D11506" s="13" t="n">
        <f aca="false">IF(B11506&lt;5,Einstellungen!$B$3,Einstellungen!$B$4)</f>
        <v>15.92</v>
      </c>
      <c r="E11506" s="14" t="str">
        <f aca="false">IF(C11506="","",C11506*D11506/100)</f>
        <v/>
      </c>
      <c r="F11506" s="15" t="str">
        <f aca="false">IF(B11506&lt;5,"Go","Standard")</f>
        <v>Go</v>
      </c>
    </row>
    <row r="11507" customFormat="false" ht="15" hidden="false" customHeight="true" outlineLevel="0" collapsed="false">
      <c r="A11507" s="10" t="n">
        <f aca="false">Einstellungen!$B$5+INT((ROW()-9)/24)</f>
        <v>46445</v>
      </c>
      <c r="B11507" s="11" t="n">
        <f aca="false">MOD(ROW()-9,24)</f>
        <v>2</v>
      </c>
      <c r="C11507" s="12"/>
      <c r="D11507" s="13" t="n">
        <f aca="false">IF(B11507&lt;5,Einstellungen!$B$3,Einstellungen!$B$4)</f>
        <v>15.92</v>
      </c>
      <c r="E11507" s="14" t="str">
        <f aca="false">IF(C11507="","",C11507*D11507/100)</f>
        <v/>
      </c>
      <c r="F11507" s="15" t="str">
        <f aca="false">IF(B11507&lt;5,"Go","Standard")</f>
        <v>Go</v>
      </c>
    </row>
    <row r="11508" customFormat="false" ht="15" hidden="false" customHeight="true" outlineLevel="0" collapsed="false">
      <c r="A11508" s="10" t="n">
        <f aca="false">Einstellungen!$B$5+INT((ROW()-9)/24)</f>
        <v>46445</v>
      </c>
      <c r="B11508" s="11" t="n">
        <f aca="false">MOD(ROW()-9,24)</f>
        <v>3</v>
      </c>
      <c r="C11508" s="12"/>
      <c r="D11508" s="13" t="n">
        <f aca="false">IF(B11508&lt;5,Einstellungen!$B$3,Einstellungen!$B$4)</f>
        <v>15.92</v>
      </c>
      <c r="E11508" s="14" t="str">
        <f aca="false">IF(C11508="","",C11508*D11508/100)</f>
        <v/>
      </c>
      <c r="F11508" s="15" t="str">
        <f aca="false">IF(B11508&lt;5,"Go","Standard")</f>
        <v>Go</v>
      </c>
    </row>
    <row r="11509" customFormat="false" ht="15" hidden="false" customHeight="true" outlineLevel="0" collapsed="false">
      <c r="A11509" s="10" t="n">
        <f aca="false">Einstellungen!$B$5+INT((ROW()-9)/24)</f>
        <v>46445</v>
      </c>
      <c r="B11509" s="11" t="n">
        <f aca="false">MOD(ROW()-9,24)</f>
        <v>4</v>
      </c>
      <c r="C11509" s="12"/>
      <c r="D11509" s="13" t="n">
        <f aca="false">IF(B11509&lt;5,Einstellungen!$B$3,Einstellungen!$B$4)</f>
        <v>15.92</v>
      </c>
      <c r="E11509" s="14" t="str">
        <f aca="false">IF(C11509="","",C11509*D11509/100)</f>
        <v/>
      </c>
      <c r="F11509" s="15" t="str">
        <f aca="false">IF(B11509&lt;5,"Go","Standard")</f>
        <v>Go</v>
      </c>
    </row>
    <row r="11510" customFormat="false" ht="15" hidden="false" customHeight="true" outlineLevel="0" collapsed="false">
      <c r="A11510" s="10" t="n">
        <f aca="false">Einstellungen!$B$5+INT((ROW()-9)/24)</f>
        <v>46445</v>
      </c>
      <c r="B11510" s="11" t="n">
        <f aca="false">MOD(ROW()-9,24)</f>
        <v>5</v>
      </c>
      <c r="C11510" s="12"/>
      <c r="D11510" s="13" t="n">
        <f aca="false">IF(B11510&lt;5,Einstellungen!$B$3,Einstellungen!$B$4)</f>
        <v>29.13</v>
      </c>
      <c r="E11510" s="14" t="str">
        <f aca="false">IF(C11510="","",C11510*D11510/100)</f>
        <v/>
      </c>
      <c r="F11510" s="15" t="str">
        <f aca="false">IF(B11510&lt;5,"Go","Standard")</f>
        <v>Standard</v>
      </c>
    </row>
    <row r="11511" customFormat="false" ht="15" hidden="false" customHeight="true" outlineLevel="0" collapsed="false">
      <c r="A11511" s="10" t="n">
        <f aca="false">Einstellungen!$B$5+INT((ROW()-9)/24)</f>
        <v>46445</v>
      </c>
      <c r="B11511" s="11" t="n">
        <f aca="false">MOD(ROW()-9,24)</f>
        <v>6</v>
      </c>
      <c r="C11511" s="12"/>
      <c r="D11511" s="13" t="n">
        <f aca="false">IF(B11511&lt;5,Einstellungen!$B$3,Einstellungen!$B$4)</f>
        <v>29.13</v>
      </c>
      <c r="E11511" s="14" t="str">
        <f aca="false">IF(C11511="","",C11511*D11511/100)</f>
        <v/>
      </c>
      <c r="F11511" s="15" t="str">
        <f aca="false">IF(B11511&lt;5,"Go","Standard")</f>
        <v>Standard</v>
      </c>
    </row>
    <row r="11512" customFormat="false" ht="15" hidden="false" customHeight="true" outlineLevel="0" collapsed="false">
      <c r="A11512" s="10" t="n">
        <f aca="false">Einstellungen!$B$5+INT((ROW()-9)/24)</f>
        <v>46445</v>
      </c>
      <c r="B11512" s="11" t="n">
        <f aca="false">MOD(ROW()-9,24)</f>
        <v>7</v>
      </c>
      <c r="C11512" s="12"/>
      <c r="D11512" s="13" t="n">
        <f aca="false">IF(B11512&lt;5,Einstellungen!$B$3,Einstellungen!$B$4)</f>
        <v>29.13</v>
      </c>
      <c r="E11512" s="14" t="str">
        <f aca="false">IF(C11512="","",C11512*D11512/100)</f>
        <v/>
      </c>
      <c r="F11512" s="15" t="str">
        <f aca="false">IF(B11512&lt;5,"Go","Standard")</f>
        <v>Standard</v>
      </c>
    </row>
    <row r="11513" customFormat="false" ht="15" hidden="false" customHeight="true" outlineLevel="0" collapsed="false">
      <c r="A11513" s="10" t="n">
        <f aca="false">Einstellungen!$B$5+INT((ROW()-9)/24)</f>
        <v>46445</v>
      </c>
      <c r="B11513" s="11" t="n">
        <f aca="false">MOD(ROW()-9,24)</f>
        <v>8</v>
      </c>
      <c r="C11513" s="12"/>
      <c r="D11513" s="13" t="n">
        <f aca="false">IF(B11513&lt;5,Einstellungen!$B$3,Einstellungen!$B$4)</f>
        <v>29.13</v>
      </c>
      <c r="E11513" s="14" t="str">
        <f aca="false">IF(C11513="","",C11513*D11513/100)</f>
        <v/>
      </c>
      <c r="F11513" s="15" t="str">
        <f aca="false">IF(B11513&lt;5,"Go","Standard")</f>
        <v>Standard</v>
      </c>
    </row>
    <row r="11514" customFormat="false" ht="15" hidden="false" customHeight="true" outlineLevel="0" collapsed="false">
      <c r="A11514" s="10" t="n">
        <f aca="false">Einstellungen!$B$5+INT((ROW()-9)/24)</f>
        <v>46445</v>
      </c>
      <c r="B11514" s="11" t="n">
        <f aca="false">MOD(ROW()-9,24)</f>
        <v>9</v>
      </c>
      <c r="C11514" s="12"/>
      <c r="D11514" s="13" t="n">
        <f aca="false">IF(B11514&lt;5,Einstellungen!$B$3,Einstellungen!$B$4)</f>
        <v>29.13</v>
      </c>
      <c r="E11514" s="14" t="str">
        <f aca="false">IF(C11514="","",C11514*D11514/100)</f>
        <v/>
      </c>
      <c r="F11514" s="15" t="str">
        <f aca="false">IF(B11514&lt;5,"Go","Standard")</f>
        <v>Standard</v>
      </c>
    </row>
    <row r="11515" customFormat="false" ht="15" hidden="false" customHeight="true" outlineLevel="0" collapsed="false">
      <c r="A11515" s="10" t="n">
        <f aca="false">Einstellungen!$B$5+INT((ROW()-9)/24)</f>
        <v>46445</v>
      </c>
      <c r="B11515" s="11" t="n">
        <f aca="false">MOD(ROW()-9,24)</f>
        <v>10</v>
      </c>
      <c r="C11515" s="12"/>
      <c r="D11515" s="13" t="n">
        <f aca="false">IF(B11515&lt;5,Einstellungen!$B$3,Einstellungen!$B$4)</f>
        <v>29.13</v>
      </c>
      <c r="E11515" s="14" t="str">
        <f aca="false">IF(C11515="","",C11515*D11515/100)</f>
        <v/>
      </c>
      <c r="F11515" s="15" t="str">
        <f aca="false">IF(B11515&lt;5,"Go","Standard")</f>
        <v>Standard</v>
      </c>
    </row>
    <row r="11516" customFormat="false" ht="15" hidden="false" customHeight="true" outlineLevel="0" collapsed="false">
      <c r="A11516" s="10" t="n">
        <f aca="false">Einstellungen!$B$5+INT((ROW()-9)/24)</f>
        <v>46445</v>
      </c>
      <c r="B11516" s="11" t="n">
        <f aca="false">MOD(ROW()-9,24)</f>
        <v>11</v>
      </c>
      <c r="C11516" s="12"/>
      <c r="D11516" s="13" t="n">
        <f aca="false">IF(B11516&lt;5,Einstellungen!$B$3,Einstellungen!$B$4)</f>
        <v>29.13</v>
      </c>
      <c r="E11516" s="14" t="str">
        <f aca="false">IF(C11516="","",C11516*D11516/100)</f>
        <v/>
      </c>
      <c r="F11516" s="15" t="str">
        <f aca="false">IF(B11516&lt;5,"Go","Standard")</f>
        <v>Standard</v>
      </c>
    </row>
    <row r="11517" customFormat="false" ht="15" hidden="false" customHeight="true" outlineLevel="0" collapsed="false">
      <c r="A11517" s="10" t="n">
        <f aca="false">Einstellungen!$B$5+INT((ROW()-9)/24)</f>
        <v>46445</v>
      </c>
      <c r="B11517" s="11" t="n">
        <f aca="false">MOD(ROW()-9,24)</f>
        <v>12</v>
      </c>
      <c r="C11517" s="12"/>
      <c r="D11517" s="13" t="n">
        <f aca="false">IF(B11517&lt;5,Einstellungen!$B$3,Einstellungen!$B$4)</f>
        <v>29.13</v>
      </c>
      <c r="E11517" s="14" t="str">
        <f aca="false">IF(C11517="","",C11517*D11517/100)</f>
        <v/>
      </c>
      <c r="F11517" s="15" t="str">
        <f aca="false">IF(B11517&lt;5,"Go","Standard")</f>
        <v>Standard</v>
      </c>
    </row>
    <row r="11518" customFormat="false" ht="15" hidden="false" customHeight="true" outlineLevel="0" collapsed="false">
      <c r="A11518" s="10" t="n">
        <f aca="false">Einstellungen!$B$5+INT((ROW()-9)/24)</f>
        <v>46445</v>
      </c>
      <c r="B11518" s="11" t="n">
        <f aca="false">MOD(ROW()-9,24)</f>
        <v>13</v>
      </c>
      <c r="C11518" s="12"/>
      <c r="D11518" s="13" t="n">
        <f aca="false">IF(B11518&lt;5,Einstellungen!$B$3,Einstellungen!$B$4)</f>
        <v>29.13</v>
      </c>
      <c r="E11518" s="14" t="str">
        <f aca="false">IF(C11518="","",C11518*D11518/100)</f>
        <v/>
      </c>
      <c r="F11518" s="15" t="str">
        <f aca="false">IF(B11518&lt;5,"Go","Standard")</f>
        <v>Standard</v>
      </c>
    </row>
    <row r="11519" customFormat="false" ht="15" hidden="false" customHeight="true" outlineLevel="0" collapsed="false">
      <c r="A11519" s="10" t="n">
        <f aca="false">Einstellungen!$B$5+INT((ROW()-9)/24)</f>
        <v>46445</v>
      </c>
      <c r="B11519" s="11" t="n">
        <f aca="false">MOD(ROW()-9,24)</f>
        <v>14</v>
      </c>
      <c r="C11519" s="12"/>
      <c r="D11519" s="13" t="n">
        <f aca="false">IF(B11519&lt;5,Einstellungen!$B$3,Einstellungen!$B$4)</f>
        <v>29.13</v>
      </c>
      <c r="E11519" s="14" t="str">
        <f aca="false">IF(C11519="","",C11519*D11519/100)</f>
        <v/>
      </c>
      <c r="F11519" s="15" t="str">
        <f aca="false">IF(B11519&lt;5,"Go","Standard")</f>
        <v>Standard</v>
      </c>
    </row>
    <row r="11520" customFormat="false" ht="15" hidden="false" customHeight="true" outlineLevel="0" collapsed="false">
      <c r="A11520" s="10" t="n">
        <f aca="false">Einstellungen!$B$5+INT((ROW()-9)/24)</f>
        <v>46445</v>
      </c>
      <c r="B11520" s="11" t="n">
        <f aca="false">MOD(ROW()-9,24)</f>
        <v>15</v>
      </c>
      <c r="C11520" s="12"/>
      <c r="D11520" s="13" t="n">
        <f aca="false">IF(B11520&lt;5,Einstellungen!$B$3,Einstellungen!$B$4)</f>
        <v>29.13</v>
      </c>
      <c r="E11520" s="14" t="str">
        <f aca="false">IF(C11520="","",C11520*D11520/100)</f>
        <v/>
      </c>
      <c r="F11520" s="15" t="str">
        <f aca="false">IF(B11520&lt;5,"Go","Standard")</f>
        <v>Standard</v>
      </c>
    </row>
    <row r="11521" customFormat="false" ht="15" hidden="false" customHeight="true" outlineLevel="0" collapsed="false">
      <c r="A11521" s="10" t="n">
        <f aca="false">Einstellungen!$B$5+INT((ROW()-9)/24)</f>
        <v>46445</v>
      </c>
      <c r="B11521" s="11" t="n">
        <f aca="false">MOD(ROW()-9,24)</f>
        <v>16</v>
      </c>
      <c r="C11521" s="12"/>
      <c r="D11521" s="13" t="n">
        <f aca="false">IF(B11521&lt;5,Einstellungen!$B$3,Einstellungen!$B$4)</f>
        <v>29.13</v>
      </c>
      <c r="E11521" s="14" t="str">
        <f aca="false">IF(C11521="","",C11521*D11521/100)</f>
        <v/>
      </c>
      <c r="F11521" s="15" t="str">
        <f aca="false">IF(B11521&lt;5,"Go","Standard")</f>
        <v>Standard</v>
      </c>
    </row>
    <row r="11522" customFormat="false" ht="15" hidden="false" customHeight="true" outlineLevel="0" collapsed="false">
      <c r="A11522" s="10" t="n">
        <f aca="false">Einstellungen!$B$5+INT((ROW()-9)/24)</f>
        <v>46445</v>
      </c>
      <c r="B11522" s="11" t="n">
        <f aca="false">MOD(ROW()-9,24)</f>
        <v>17</v>
      </c>
      <c r="C11522" s="12"/>
      <c r="D11522" s="13" t="n">
        <f aca="false">IF(B11522&lt;5,Einstellungen!$B$3,Einstellungen!$B$4)</f>
        <v>29.13</v>
      </c>
      <c r="E11522" s="14" t="str">
        <f aca="false">IF(C11522="","",C11522*D11522/100)</f>
        <v/>
      </c>
      <c r="F11522" s="15" t="str">
        <f aca="false">IF(B11522&lt;5,"Go","Standard")</f>
        <v>Standard</v>
      </c>
    </row>
    <row r="11523" customFormat="false" ht="15" hidden="false" customHeight="true" outlineLevel="0" collapsed="false">
      <c r="A11523" s="10" t="n">
        <f aca="false">Einstellungen!$B$5+INT((ROW()-9)/24)</f>
        <v>46445</v>
      </c>
      <c r="B11523" s="11" t="n">
        <f aca="false">MOD(ROW()-9,24)</f>
        <v>18</v>
      </c>
      <c r="C11523" s="12"/>
      <c r="D11523" s="13" t="n">
        <f aca="false">IF(B11523&lt;5,Einstellungen!$B$3,Einstellungen!$B$4)</f>
        <v>29.13</v>
      </c>
      <c r="E11523" s="14" t="str">
        <f aca="false">IF(C11523="","",C11523*D11523/100)</f>
        <v/>
      </c>
      <c r="F11523" s="15" t="str">
        <f aca="false">IF(B11523&lt;5,"Go","Standard")</f>
        <v>Standard</v>
      </c>
    </row>
    <row r="11524" customFormat="false" ht="15" hidden="false" customHeight="true" outlineLevel="0" collapsed="false">
      <c r="A11524" s="10" t="n">
        <f aca="false">Einstellungen!$B$5+INT((ROW()-9)/24)</f>
        <v>46445</v>
      </c>
      <c r="B11524" s="11" t="n">
        <f aca="false">MOD(ROW()-9,24)</f>
        <v>19</v>
      </c>
      <c r="C11524" s="12"/>
      <c r="D11524" s="13" t="n">
        <f aca="false">IF(B11524&lt;5,Einstellungen!$B$3,Einstellungen!$B$4)</f>
        <v>29.13</v>
      </c>
      <c r="E11524" s="14" t="str">
        <f aca="false">IF(C11524="","",C11524*D11524/100)</f>
        <v/>
      </c>
      <c r="F11524" s="15" t="str">
        <f aca="false">IF(B11524&lt;5,"Go","Standard")</f>
        <v>Standard</v>
      </c>
    </row>
    <row r="11525" customFormat="false" ht="15" hidden="false" customHeight="true" outlineLevel="0" collapsed="false">
      <c r="A11525" s="10" t="n">
        <f aca="false">Einstellungen!$B$5+INT((ROW()-9)/24)</f>
        <v>46445</v>
      </c>
      <c r="B11525" s="11" t="n">
        <f aca="false">MOD(ROW()-9,24)</f>
        <v>20</v>
      </c>
      <c r="C11525" s="12"/>
      <c r="D11525" s="13" t="n">
        <f aca="false">IF(B11525&lt;5,Einstellungen!$B$3,Einstellungen!$B$4)</f>
        <v>29.13</v>
      </c>
      <c r="E11525" s="14" t="str">
        <f aca="false">IF(C11525="","",C11525*D11525/100)</f>
        <v/>
      </c>
      <c r="F11525" s="15" t="str">
        <f aca="false">IF(B11525&lt;5,"Go","Standard")</f>
        <v>Standard</v>
      </c>
    </row>
    <row r="11526" customFormat="false" ht="15" hidden="false" customHeight="true" outlineLevel="0" collapsed="false">
      <c r="A11526" s="10" t="n">
        <f aca="false">Einstellungen!$B$5+INT((ROW()-9)/24)</f>
        <v>46445</v>
      </c>
      <c r="B11526" s="11" t="n">
        <f aca="false">MOD(ROW()-9,24)</f>
        <v>21</v>
      </c>
      <c r="C11526" s="12"/>
      <c r="D11526" s="13" t="n">
        <f aca="false">IF(B11526&lt;5,Einstellungen!$B$3,Einstellungen!$B$4)</f>
        <v>29.13</v>
      </c>
      <c r="E11526" s="14" t="str">
        <f aca="false">IF(C11526="","",C11526*D11526/100)</f>
        <v/>
      </c>
      <c r="F11526" s="15" t="str">
        <f aca="false">IF(B11526&lt;5,"Go","Standard")</f>
        <v>Standard</v>
      </c>
    </row>
    <row r="11527" customFormat="false" ht="15" hidden="false" customHeight="true" outlineLevel="0" collapsed="false">
      <c r="A11527" s="10" t="n">
        <f aca="false">Einstellungen!$B$5+INT((ROW()-9)/24)</f>
        <v>46445</v>
      </c>
      <c r="B11527" s="11" t="n">
        <f aca="false">MOD(ROW()-9,24)</f>
        <v>22</v>
      </c>
      <c r="C11527" s="12"/>
      <c r="D11527" s="13" t="n">
        <f aca="false">IF(B11527&lt;5,Einstellungen!$B$3,Einstellungen!$B$4)</f>
        <v>29.13</v>
      </c>
      <c r="E11527" s="14" t="str">
        <f aca="false">IF(C11527="","",C11527*D11527/100)</f>
        <v/>
      </c>
      <c r="F11527" s="15" t="str">
        <f aca="false">IF(B11527&lt;5,"Go","Standard")</f>
        <v>Standard</v>
      </c>
    </row>
    <row r="11528" customFormat="false" ht="15" hidden="false" customHeight="true" outlineLevel="0" collapsed="false">
      <c r="A11528" s="10" t="n">
        <f aca="false">Einstellungen!$B$5+INT((ROW()-9)/24)</f>
        <v>46445</v>
      </c>
      <c r="B11528" s="11" t="n">
        <f aca="false">MOD(ROW()-9,24)</f>
        <v>23</v>
      </c>
      <c r="C11528" s="12"/>
      <c r="D11528" s="13" t="n">
        <f aca="false">IF(B11528&lt;5,Einstellungen!$B$3,Einstellungen!$B$4)</f>
        <v>29.13</v>
      </c>
      <c r="E11528" s="14" t="str">
        <f aca="false">IF(C11528="","",C11528*D11528/100)</f>
        <v/>
      </c>
      <c r="F11528" s="15" t="str">
        <f aca="false">IF(B11528&lt;5,"Go","Standard")</f>
        <v>Standard</v>
      </c>
    </row>
    <row r="11529" customFormat="false" ht="15" hidden="false" customHeight="true" outlineLevel="0" collapsed="false">
      <c r="A11529" s="10" t="n">
        <f aca="false">Einstellungen!$B$5+INT((ROW()-9)/24)</f>
        <v>46446</v>
      </c>
      <c r="B11529" s="11" t="n">
        <f aca="false">MOD(ROW()-9,24)</f>
        <v>0</v>
      </c>
      <c r="C11529" s="12"/>
      <c r="D11529" s="13" t="n">
        <f aca="false">IF(B11529&lt;5,Einstellungen!$B$3,Einstellungen!$B$4)</f>
        <v>15.92</v>
      </c>
      <c r="E11529" s="14" t="str">
        <f aca="false">IF(C11529="","",C11529*D11529/100)</f>
        <v/>
      </c>
      <c r="F11529" s="15" t="str">
        <f aca="false">IF(B11529&lt;5,"Go","Standard")</f>
        <v>Go</v>
      </c>
    </row>
    <row r="11530" customFormat="false" ht="15" hidden="false" customHeight="true" outlineLevel="0" collapsed="false">
      <c r="A11530" s="10" t="n">
        <f aca="false">Einstellungen!$B$5+INT((ROW()-9)/24)</f>
        <v>46446</v>
      </c>
      <c r="B11530" s="11" t="n">
        <f aca="false">MOD(ROW()-9,24)</f>
        <v>1</v>
      </c>
      <c r="C11530" s="12"/>
      <c r="D11530" s="13" t="n">
        <f aca="false">IF(B11530&lt;5,Einstellungen!$B$3,Einstellungen!$B$4)</f>
        <v>15.92</v>
      </c>
      <c r="E11530" s="14" t="str">
        <f aca="false">IF(C11530="","",C11530*D11530/100)</f>
        <v/>
      </c>
      <c r="F11530" s="15" t="str">
        <f aca="false">IF(B11530&lt;5,"Go","Standard")</f>
        <v>Go</v>
      </c>
    </row>
    <row r="11531" customFormat="false" ht="15" hidden="false" customHeight="true" outlineLevel="0" collapsed="false">
      <c r="A11531" s="10" t="n">
        <f aca="false">Einstellungen!$B$5+INT((ROW()-9)/24)</f>
        <v>46446</v>
      </c>
      <c r="B11531" s="11" t="n">
        <f aca="false">MOD(ROW()-9,24)</f>
        <v>2</v>
      </c>
      <c r="C11531" s="12"/>
      <c r="D11531" s="13" t="n">
        <f aca="false">IF(B11531&lt;5,Einstellungen!$B$3,Einstellungen!$B$4)</f>
        <v>15.92</v>
      </c>
      <c r="E11531" s="14" t="str">
        <f aca="false">IF(C11531="","",C11531*D11531/100)</f>
        <v/>
      </c>
      <c r="F11531" s="15" t="str">
        <f aca="false">IF(B11531&lt;5,"Go","Standard")</f>
        <v>Go</v>
      </c>
    </row>
    <row r="11532" customFormat="false" ht="15" hidden="false" customHeight="true" outlineLevel="0" collapsed="false">
      <c r="A11532" s="10" t="n">
        <f aca="false">Einstellungen!$B$5+INT((ROW()-9)/24)</f>
        <v>46446</v>
      </c>
      <c r="B11532" s="11" t="n">
        <f aca="false">MOD(ROW()-9,24)</f>
        <v>3</v>
      </c>
      <c r="C11532" s="12"/>
      <c r="D11532" s="13" t="n">
        <f aca="false">IF(B11532&lt;5,Einstellungen!$B$3,Einstellungen!$B$4)</f>
        <v>15.92</v>
      </c>
      <c r="E11532" s="14" t="str">
        <f aca="false">IF(C11532="","",C11532*D11532/100)</f>
        <v/>
      </c>
      <c r="F11532" s="15" t="str">
        <f aca="false">IF(B11532&lt;5,"Go","Standard")</f>
        <v>Go</v>
      </c>
    </row>
    <row r="11533" customFormat="false" ht="15" hidden="false" customHeight="true" outlineLevel="0" collapsed="false">
      <c r="A11533" s="10" t="n">
        <f aca="false">Einstellungen!$B$5+INT((ROW()-9)/24)</f>
        <v>46446</v>
      </c>
      <c r="B11533" s="11" t="n">
        <f aca="false">MOD(ROW()-9,24)</f>
        <v>4</v>
      </c>
      <c r="C11533" s="12"/>
      <c r="D11533" s="13" t="n">
        <f aca="false">IF(B11533&lt;5,Einstellungen!$B$3,Einstellungen!$B$4)</f>
        <v>15.92</v>
      </c>
      <c r="E11533" s="14" t="str">
        <f aca="false">IF(C11533="","",C11533*D11533/100)</f>
        <v/>
      </c>
      <c r="F11533" s="15" t="str">
        <f aca="false">IF(B11533&lt;5,"Go","Standard")</f>
        <v>Go</v>
      </c>
    </row>
    <row r="11534" customFormat="false" ht="15" hidden="false" customHeight="true" outlineLevel="0" collapsed="false">
      <c r="A11534" s="10" t="n">
        <f aca="false">Einstellungen!$B$5+INT((ROW()-9)/24)</f>
        <v>46446</v>
      </c>
      <c r="B11534" s="11" t="n">
        <f aca="false">MOD(ROW()-9,24)</f>
        <v>5</v>
      </c>
      <c r="C11534" s="12"/>
      <c r="D11534" s="13" t="n">
        <f aca="false">IF(B11534&lt;5,Einstellungen!$B$3,Einstellungen!$B$4)</f>
        <v>29.13</v>
      </c>
      <c r="E11534" s="14" t="str">
        <f aca="false">IF(C11534="","",C11534*D11534/100)</f>
        <v/>
      </c>
      <c r="F11534" s="15" t="str">
        <f aca="false">IF(B11534&lt;5,"Go","Standard")</f>
        <v>Standard</v>
      </c>
    </row>
    <row r="11535" customFormat="false" ht="15" hidden="false" customHeight="true" outlineLevel="0" collapsed="false">
      <c r="A11535" s="10" t="n">
        <f aca="false">Einstellungen!$B$5+INT((ROW()-9)/24)</f>
        <v>46446</v>
      </c>
      <c r="B11535" s="11" t="n">
        <f aca="false">MOD(ROW()-9,24)</f>
        <v>6</v>
      </c>
      <c r="C11535" s="12"/>
      <c r="D11535" s="13" t="n">
        <f aca="false">IF(B11535&lt;5,Einstellungen!$B$3,Einstellungen!$B$4)</f>
        <v>29.13</v>
      </c>
      <c r="E11535" s="14" t="str">
        <f aca="false">IF(C11535="","",C11535*D11535/100)</f>
        <v/>
      </c>
      <c r="F11535" s="15" t="str">
        <f aca="false">IF(B11535&lt;5,"Go","Standard")</f>
        <v>Standard</v>
      </c>
    </row>
    <row r="11536" customFormat="false" ht="15" hidden="false" customHeight="true" outlineLevel="0" collapsed="false">
      <c r="A11536" s="10" t="n">
        <f aca="false">Einstellungen!$B$5+INT((ROW()-9)/24)</f>
        <v>46446</v>
      </c>
      <c r="B11536" s="11" t="n">
        <f aca="false">MOD(ROW()-9,24)</f>
        <v>7</v>
      </c>
      <c r="C11536" s="12"/>
      <c r="D11536" s="13" t="n">
        <f aca="false">IF(B11536&lt;5,Einstellungen!$B$3,Einstellungen!$B$4)</f>
        <v>29.13</v>
      </c>
      <c r="E11536" s="14" t="str">
        <f aca="false">IF(C11536="","",C11536*D11536/100)</f>
        <v/>
      </c>
      <c r="F11536" s="15" t="str">
        <f aca="false">IF(B11536&lt;5,"Go","Standard")</f>
        <v>Standard</v>
      </c>
    </row>
    <row r="11537" customFormat="false" ht="15" hidden="false" customHeight="true" outlineLevel="0" collapsed="false">
      <c r="A11537" s="10" t="n">
        <f aca="false">Einstellungen!$B$5+INT((ROW()-9)/24)</f>
        <v>46446</v>
      </c>
      <c r="B11537" s="11" t="n">
        <f aca="false">MOD(ROW()-9,24)</f>
        <v>8</v>
      </c>
      <c r="C11537" s="12"/>
      <c r="D11537" s="13" t="n">
        <f aca="false">IF(B11537&lt;5,Einstellungen!$B$3,Einstellungen!$B$4)</f>
        <v>29.13</v>
      </c>
      <c r="E11537" s="14" t="str">
        <f aca="false">IF(C11537="","",C11537*D11537/100)</f>
        <v/>
      </c>
      <c r="F11537" s="15" t="str">
        <f aca="false">IF(B11537&lt;5,"Go","Standard")</f>
        <v>Standard</v>
      </c>
    </row>
    <row r="11538" customFormat="false" ht="15" hidden="false" customHeight="true" outlineLevel="0" collapsed="false">
      <c r="A11538" s="10" t="n">
        <f aca="false">Einstellungen!$B$5+INT((ROW()-9)/24)</f>
        <v>46446</v>
      </c>
      <c r="B11538" s="11" t="n">
        <f aca="false">MOD(ROW()-9,24)</f>
        <v>9</v>
      </c>
      <c r="C11538" s="12"/>
      <c r="D11538" s="13" t="n">
        <f aca="false">IF(B11538&lt;5,Einstellungen!$B$3,Einstellungen!$B$4)</f>
        <v>29.13</v>
      </c>
      <c r="E11538" s="14" t="str">
        <f aca="false">IF(C11538="","",C11538*D11538/100)</f>
        <v/>
      </c>
      <c r="F11538" s="15" t="str">
        <f aca="false">IF(B11538&lt;5,"Go","Standard")</f>
        <v>Standard</v>
      </c>
    </row>
    <row r="11539" customFormat="false" ht="15" hidden="false" customHeight="true" outlineLevel="0" collapsed="false">
      <c r="A11539" s="10" t="n">
        <f aca="false">Einstellungen!$B$5+INT((ROW()-9)/24)</f>
        <v>46446</v>
      </c>
      <c r="B11539" s="11" t="n">
        <f aca="false">MOD(ROW()-9,24)</f>
        <v>10</v>
      </c>
      <c r="C11539" s="12"/>
      <c r="D11539" s="13" t="n">
        <f aca="false">IF(B11539&lt;5,Einstellungen!$B$3,Einstellungen!$B$4)</f>
        <v>29.13</v>
      </c>
      <c r="E11539" s="14" t="str">
        <f aca="false">IF(C11539="","",C11539*D11539/100)</f>
        <v/>
      </c>
      <c r="F11539" s="15" t="str">
        <f aca="false">IF(B11539&lt;5,"Go","Standard")</f>
        <v>Standard</v>
      </c>
    </row>
    <row r="11540" customFormat="false" ht="15" hidden="false" customHeight="true" outlineLevel="0" collapsed="false">
      <c r="A11540" s="10" t="n">
        <f aca="false">Einstellungen!$B$5+INT((ROW()-9)/24)</f>
        <v>46446</v>
      </c>
      <c r="B11540" s="11" t="n">
        <f aca="false">MOD(ROW()-9,24)</f>
        <v>11</v>
      </c>
      <c r="C11540" s="12"/>
      <c r="D11540" s="13" t="n">
        <f aca="false">IF(B11540&lt;5,Einstellungen!$B$3,Einstellungen!$B$4)</f>
        <v>29.13</v>
      </c>
      <c r="E11540" s="14" t="str">
        <f aca="false">IF(C11540="","",C11540*D11540/100)</f>
        <v/>
      </c>
      <c r="F11540" s="15" t="str">
        <f aca="false">IF(B11540&lt;5,"Go","Standard")</f>
        <v>Standard</v>
      </c>
    </row>
    <row r="11541" customFormat="false" ht="15" hidden="false" customHeight="true" outlineLevel="0" collapsed="false">
      <c r="A11541" s="10" t="n">
        <f aca="false">Einstellungen!$B$5+INT((ROW()-9)/24)</f>
        <v>46446</v>
      </c>
      <c r="B11541" s="11" t="n">
        <f aca="false">MOD(ROW()-9,24)</f>
        <v>12</v>
      </c>
      <c r="C11541" s="12"/>
      <c r="D11541" s="13" t="n">
        <f aca="false">IF(B11541&lt;5,Einstellungen!$B$3,Einstellungen!$B$4)</f>
        <v>29.13</v>
      </c>
      <c r="E11541" s="14" t="str">
        <f aca="false">IF(C11541="","",C11541*D11541/100)</f>
        <v/>
      </c>
      <c r="F11541" s="15" t="str">
        <f aca="false">IF(B11541&lt;5,"Go","Standard")</f>
        <v>Standard</v>
      </c>
    </row>
    <row r="11542" customFormat="false" ht="15" hidden="false" customHeight="true" outlineLevel="0" collapsed="false">
      <c r="A11542" s="10" t="n">
        <f aca="false">Einstellungen!$B$5+INT((ROW()-9)/24)</f>
        <v>46446</v>
      </c>
      <c r="B11542" s="11" t="n">
        <f aca="false">MOD(ROW()-9,24)</f>
        <v>13</v>
      </c>
      <c r="C11542" s="12"/>
      <c r="D11542" s="13" t="n">
        <f aca="false">IF(B11542&lt;5,Einstellungen!$B$3,Einstellungen!$B$4)</f>
        <v>29.13</v>
      </c>
      <c r="E11542" s="14" t="str">
        <f aca="false">IF(C11542="","",C11542*D11542/100)</f>
        <v/>
      </c>
      <c r="F11542" s="15" t="str">
        <f aca="false">IF(B11542&lt;5,"Go","Standard")</f>
        <v>Standard</v>
      </c>
    </row>
    <row r="11543" customFormat="false" ht="15" hidden="false" customHeight="true" outlineLevel="0" collapsed="false">
      <c r="A11543" s="10" t="n">
        <f aca="false">Einstellungen!$B$5+INT((ROW()-9)/24)</f>
        <v>46446</v>
      </c>
      <c r="B11543" s="11" t="n">
        <f aca="false">MOD(ROW()-9,24)</f>
        <v>14</v>
      </c>
      <c r="C11543" s="12"/>
      <c r="D11543" s="13" t="n">
        <f aca="false">IF(B11543&lt;5,Einstellungen!$B$3,Einstellungen!$B$4)</f>
        <v>29.13</v>
      </c>
      <c r="E11543" s="14" t="str">
        <f aca="false">IF(C11543="","",C11543*D11543/100)</f>
        <v/>
      </c>
      <c r="F11543" s="15" t="str">
        <f aca="false">IF(B11543&lt;5,"Go","Standard")</f>
        <v>Standard</v>
      </c>
    </row>
    <row r="11544" customFormat="false" ht="15" hidden="false" customHeight="true" outlineLevel="0" collapsed="false">
      <c r="A11544" s="10" t="n">
        <f aca="false">Einstellungen!$B$5+INT((ROW()-9)/24)</f>
        <v>46446</v>
      </c>
      <c r="B11544" s="11" t="n">
        <f aca="false">MOD(ROW()-9,24)</f>
        <v>15</v>
      </c>
      <c r="C11544" s="12"/>
      <c r="D11544" s="13" t="n">
        <f aca="false">IF(B11544&lt;5,Einstellungen!$B$3,Einstellungen!$B$4)</f>
        <v>29.13</v>
      </c>
      <c r="E11544" s="14" t="str">
        <f aca="false">IF(C11544="","",C11544*D11544/100)</f>
        <v/>
      </c>
      <c r="F11544" s="15" t="str">
        <f aca="false">IF(B11544&lt;5,"Go","Standard")</f>
        <v>Standard</v>
      </c>
    </row>
    <row r="11545" customFormat="false" ht="15" hidden="false" customHeight="true" outlineLevel="0" collapsed="false">
      <c r="A11545" s="10" t="n">
        <f aca="false">Einstellungen!$B$5+INT((ROW()-9)/24)</f>
        <v>46446</v>
      </c>
      <c r="B11545" s="11" t="n">
        <f aca="false">MOD(ROW()-9,24)</f>
        <v>16</v>
      </c>
      <c r="C11545" s="12"/>
      <c r="D11545" s="13" t="n">
        <f aca="false">IF(B11545&lt;5,Einstellungen!$B$3,Einstellungen!$B$4)</f>
        <v>29.13</v>
      </c>
      <c r="E11545" s="14" t="str">
        <f aca="false">IF(C11545="","",C11545*D11545/100)</f>
        <v/>
      </c>
      <c r="F11545" s="15" t="str">
        <f aca="false">IF(B11545&lt;5,"Go","Standard")</f>
        <v>Standard</v>
      </c>
    </row>
    <row r="11546" customFormat="false" ht="15" hidden="false" customHeight="true" outlineLevel="0" collapsed="false">
      <c r="A11546" s="10" t="n">
        <f aca="false">Einstellungen!$B$5+INT((ROW()-9)/24)</f>
        <v>46446</v>
      </c>
      <c r="B11546" s="11" t="n">
        <f aca="false">MOD(ROW()-9,24)</f>
        <v>17</v>
      </c>
      <c r="C11546" s="12"/>
      <c r="D11546" s="13" t="n">
        <f aca="false">IF(B11546&lt;5,Einstellungen!$B$3,Einstellungen!$B$4)</f>
        <v>29.13</v>
      </c>
      <c r="E11546" s="14" t="str">
        <f aca="false">IF(C11546="","",C11546*D11546/100)</f>
        <v/>
      </c>
      <c r="F11546" s="15" t="str">
        <f aca="false">IF(B11546&lt;5,"Go","Standard")</f>
        <v>Standard</v>
      </c>
    </row>
    <row r="11547" customFormat="false" ht="15" hidden="false" customHeight="true" outlineLevel="0" collapsed="false">
      <c r="A11547" s="10" t="n">
        <f aca="false">Einstellungen!$B$5+INT((ROW()-9)/24)</f>
        <v>46446</v>
      </c>
      <c r="B11547" s="11" t="n">
        <f aca="false">MOD(ROW()-9,24)</f>
        <v>18</v>
      </c>
      <c r="C11547" s="12"/>
      <c r="D11547" s="13" t="n">
        <f aca="false">IF(B11547&lt;5,Einstellungen!$B$3,Einstellungen!$B$4)</f>
        <v>29.13</v>
      </c>
      <c r="E11547" s="14" t="str">
        <f aca="false">IF(C11547="","",C11547*D11547/100)</f>
        <v/>
      </c>
      <c r="F11547" s="15" t="str">
        <f aca="false">IF(B11547&lt;5,"Go","Standard")</f>
        <v>Standard</v>
      </c>
    </row>
    <row r="11548" customFormat="false" ht="15" hidden="false" customHeight="true" outlineLevel="0" collapsed="false">
      <c r="A11548" s="10" t="n">
        <f aca="false">Einstellungen!$B$5+INT((ROW()-9)/24)</f>
        <v>46446</v>
      </c>
      <c r="B11548" s="11" t="n">
        <f aca="false">MOD(ROW()-9,24)</f>
        <v>19</v>
      </c>
      <c r="C11548" s="12"/>
      <c r="D11548" s="13" t="n">
        <f aca="false">IF(B11548&lt;5,Einstellungen!$B$3,Einstellungen!$B$4)</f>
        <v>29.13</v>
      </c>
      <c r="E11548" s="14" t="str">
        <f aca="false">IF(C11548="","",C11548*D11548/100)</f>
        <v/>
      </c>
      <c r="F11548" s="15" t="str">
        <f aca="false">IF(B11548&lt;5,"Go","Standard")</f>
        <v>Standard</v>
      </c>
    </row>
    <row r="11549" customFormat="false" ht="15" hidden="false" customHeight="true" outlineLevel="0" collapsed="false">
      <c r="A11549" s="10" t="n">
        <f aca="false">Einstellungen!$B$5+INT((ROW()-9)/24)</f>
        <v>46446</v>
      </c>
      <c r="B11549" s="11" t="n">
        <f aca="false">MOD(ROW()-9,24)</f>
        <v>20</v>
      </c>
      <c r="C11549" s="12"/>
      <c r="D11549" s="13" t="n">
        <f aca="false">IF(B11549&lt;5,Einstellungen!$B$3,Einstellungen!$B$4)</f>
        <v>29.13</v>
      </c>
      <c r="E11549" s="14" t="str">
        <f aca="false">IF(C11549="","",C11549*D11549/100)</f>
        <v/>
      </c>
      <c r="F11549" s="15" t="str">
        <f aca="false">IF(B11549&lt;5,"Go","Standard")</f>
        <v>Standard</v>
      </c>
    </row>
    <row r="11550" customFormat="false" ht="15" hidden="false" customHeight="true" outlineLevel="0" collapsed="false">
      <c r="A11550" s="10" t="n">
        <f aca="false">Einstellungen!$B$5+INT((ROW()-9)/24)</f>
        <v>46446</v>
      </c>
      <c r="B11550" s="11" t="n">
        <f aca="false">MOD(ROW()-9,24)</f>
        <v>21</v>
      </c>
      <c r="C11550" s="12"/>
      <c r="D11550" s="13" t="n">
        <f aca="false">IF(B11550&lt;5,Einstellungen!$B$3,Einstellungen!$B$4)</f>
        <v>29.13</v>
      </c>
      <c r="E11550" s="14" t="str">
        <f aca="false">IF(C11550="","",C11550*D11550/100)</f>
        <v/>
      </c>
      <c r="F11550" s="15" t="str">
        <f aca="false">IF(B11550&lt;5,"Go","Standard")</f>
        <v>Standard</v>
      </c>
    </row>
    <row r="11551" customFormat="false" ht="15" hidden="false" customHeight="true" outlineLevel="0" collapsed="false">
      <c r="A11551" s="10" t="n">
        <f aca="false">Einstellungen!$B$5+INT((ROW()-9)/24)</f>
        <v>46446</v>
      </c>
      <c r="B11551" s="11" t="n">
        <f aca="false">MOD(ROW()-9,24)</f>
        <v>22</v>
      </c>
      <c r="C11551" s="12"/>
      <c r="D11551" s="13" t="n">
        <f aca="false">IF(B11551&lt;5,Einstellungen!$B$3,Einstellungen!$B$4)</f>
        <v>29.13</v>
      </c>
      <c r="E11551" s="14" t="str">
        <f aca="false">IF(C11551="","",C11551*D11551/100)</f>
        <v/>
      </c>
      <c r="F11551" s="15" t="str">
        <f aca="false">IF(B11551&lt;5,"Go","Standard")</f>
        <v>Standard</v>
      </c>
    </row>
    <row r="11552" customFormat="false" ht="15" hidden="false" customHeight="true" outlineLevel="0" collapsed="false">
      <c r="A11552" s="10" t="n">
        <f aca="false">Einstellungen!$B$5+INT((ROW()-9)/24)</f>
        <v>46446</v>
      </c>
      <c r="B11552" s="11" t="n">
        <f aca="false">MOD(ROW()-9,24)</f>
        <v>23</v>
      </c>
      <c r="C11552" s="12"/>
      <c r="D11552" s="13" t="n">
        <f aca="false">IF(B11552&lt;5,Einstellungen!$B$3,Einstellungen!$B$4)</f>
        <v>29.13</v>
      </c>
      <c r="E11552" s="14" t="str">
        <f aca="false">IF(C11552="","",C11552*D11552/100)</f>
        <v/>
      </c>
      <c r="F11552" s="15" t="str">
        <f aca="false">IF(B11552&lt;5,"Go","Standard")</f>
        <v>Standard</v>
      </c>
    </row>
    <row r="11553" customFormat="false" ht="15" hidden="false" customHeight="true" outlineLevel="0" collapsed="false">
      <c r="A11553" s="10" t="n">
        <f aca="false">Einstellungen!$B$5+INT((ROW()-9)/24)</f>
        <v>46447</v>
      </c>
      <c r="B11553" s="11" t="n">
        <f aca="false">MOD(ROW()-9,24)</f>
        <v>0</v>
      </c>
      <c r="C11553" s="12"/>
      <c r="D11553" s="13" t="n">
        <f aca="false">IF(B11553&lt;5,Einstellungen!$B$3,Einstellungen!$B$4)</f>
        <v>15.92</v>
      </c>
      <c r="E11553" s="14" t="str">
        <f aca="false">IF(C11553="","",C11553*D11553/100)</f>
        <v/>
      </c>
      <c r="F11553" s="15" t="str">
        <f aca="false">IF(B11553&lt;5,"Go","Standard")</f>
        <v>Go</v>
      </c>
    </row>
    <row r="11554" customFormat="false" ht="15" hidden="false" customHeight="true" outlineLevel="0" collapsed="false">
      <c r="A11554" s="10" t="n">
        <f aca="false">Einstellungen!$B$5+INT((ROW()-9)/24)</f>
        <v>46447</v>
      </c>
      <c r="B11554" s="11" t="n">
        <f aca="false">MOD(ROW()-9,24)</f>
        <v>1</v>
      </c>
      <c r="C11554" s="12"/>
      <c r="D11554" s="13" t="n">
        <f aca="false">IF(B11554&lt;5,Einstellungen!$B$3,Einstellungen!$B$4)</f>
        <v>15.92</v>
      </c>
      <c r="E11554" s="14" t="str">
        <f aca="false">IF(C11554="","",C11554*D11554/100)</f>
        <v/>
      </c>
      <c r="F11554" s="15" t="str">
        <f aca="false">IF(B11554&lt;5,"Go","Standard")</f>
        <v>Go</v>
      </c>
    </row>
    <row r="11555" customFormat="false" ht="15" hidden="false" customHeight="true" outlineLevel="0" collapsed="false">
      <c r="A11555" s="10" t="n">
        <f aca="false">Einstellungen!$B$5+INT((ROW()-9)/24)</f>
        <v>46447</v>
      </c>
      <c r="B11555" s="11" t="n">
        <f aca="false">MOD(ROW()-9,24)</f>
        <v>2</v>
      </c>
      <c r="C11555" s="12"/>
      <c r="D11555" s="13" t="n">
        <f aca="false">IF(B11555&lt;5,Einstellungen!$B$3,Einstellungen!$B$4)</f>
        <v>15.92</v>
      </c>
      <c r="E11555" s="14" t="str">
        <f aca="false">IF(C11555="","",C11555*D11555/100)</f>
        <v/>
      </c>
      <c r="F11555" s="15" t="str">
        <f aca="false">IF(B11555&lt;5,"Go","Standard")</f>
        <v>Go</v>
      </c>
    </row>
    <row r="11556" customFormat="false" ht="15" hidden="false" customHeight="true" outlineLevel="0" collapsed="false">
      <c r="A11556" s="10" t="n">
        <f aca="false">Einstellungen!$B$5+INT((ROW()-9)/24)</f>
        <v>46447</v>
      </c>
      <c r="B11556" s="11" t="n">
        <f aca="false">MOD(ROW()-9,24)</f>
        <v>3</v>
      </c>
      <c r="C11556" s="12"/>
      <c r="D11556" s="13" t="n">
        <f aca="false">IF(B11556&lt;5,Einstellungen!$B$3,Einstellungen!$B$4)</f>
        <v>15.92</v>
      </c>
      <c r="E11556" s="14" t="str">
        <f aca="false">IF(C11556="","",C11556*D11556/100)</f>
        <v/>
      </c>
      <c r="F11556" s="15" t="str">
        <f aca="false">IF(B11556&lt;5,"Go","Standard")</f>
        <v>Go</v>
      </c>
    </row>
    <row r="11557" customFormat="false" ht="15" hidden="false" customHeight="true" outlineLevel="0" collapsed="false">
      <c r="A11557" s="10" t="n">
        <f aca="false">Einstellungen!$B$5+INT((ROW()-9)/24)</f>
        <v>46447</v>
      </c>
      <c r="B11557" s="11" t="n">
        <f aca="false">MOD(ROW()-9,24)</f>
        <v>4</v>
      </c>
      <c r="C11557" s="12"/>
      <c r="D11557" s="13" t="n">
        <f aca="false">IF(B11557&lt;5,Einstellungen!$B$3,Einstellungen!$B$4)</f>
        <v>15.92</v>
      </c>
      <c r="E11557" s="14" t="str">
        <f aca="false">IF(C11557="","",C11557*D11557/100)</f>
        <v/>
      </c>
      <c r="F11557" s="15" t="str">
        <f aca="false">IF(B11557&lt;5,"Go","Standard")</f>
        <v>Go</v>
      </c>
    </row>
    <row r="11558" customFormat="false" ht="15" hidden="false" customHeight="true" outlineLevel="0" collapsed="false">
      <c r="A11558" s="10" t="n">
        <f aca="false">Einstellungen!$B$5+INT((ROW()-9)/24)</f>
        <v>46447</v>
      </c>
      <c r="B11558" s="11" t="n">
        <f aca="false">MOD(ROW()-9,24)</f>
        <v>5</v>
      </c>
      <c r="C11558" s="12"/>
      <c r="D11558" s="13" t="n">
        <f aca="false">IF(B11558&lt;5,Einstellungen!$B$3,Einstellungen!$B$4)</f>
        <v>29.13</v>
      </c>
      <c r="E11558" s="14" t="str">
        <f aca="false">IF(C11558="","",C11558*D11558/100)</f>
        <v/>
      </c>
      <c r="F11558" s="15" t="str">
        <f aca="false">IF(B11558&lt;5,"Go","Standard")</f>
        <v>Standard</v>
      </c>
    </row>
    <row r="11559" customFormat="false" ht="15" hidden="false" customHeight="true" outlineLevel="0" collapsed="false">
      <c r="A11559" s="10" t="n">
        <f aca="false">Einstellungen!$B$5+INT((ROW()-9)/24)</f>
        <v>46447</v>
      </c>
      <c r="B11559" s="11" t="n">
        <f aca="false">MOD(ROW()-9,24)</f>
        <v>6</v>
      </c>
      <c r="C11559" s="12"/>
      <c r="D11559" s="13" t="n">
        <f aca="false">IF(B11559&lt;5,Einstellungen!$B$3,Einstellungen!$B$4)</f>
        <v>29.13</v>
      </c>
      <c r="E11559" s="14" t="str">
        <f aca="false">IF(C11559="","",C11559*D11559/100)</f>
        <v/>
      </c>
      <c r="F11559" s="15" t="str">
        <f aca="false">IF(B11559&lt;5,"Go","Standard")</f>
        <v>Standard</v>
      </c>
    </row>
    <row r="11560" customFormat="false" ht="15" hidden="false" customHeight="true" outlineLevel="0" collapsed="false">
      <c r="A11560" s="10" t="n">
        <f aca="false">Einstellungen!$B$5+INT((ROW()-9)/24)</f>
        <v>46447</v>
      </c>
      <c r="B11560" s="11" t="n">
        <f aca="false">MOD(ROW()-9,24)</f>
        <v>7</v>
      </c>
      <c r="C11560" s="12"/>
      <c r="D11560" s="13" t="n">
        <f aca="false">IF(B11560&lt;5,Einstellungen!$B$3,Einstellungen!$B$4)</f>
        <v>29.13</v>
      </c>
      <c r="E11560" s="14" t="str">
        <f aca="false">IF(C11560="","",C11560*D11560/100)</f>
        <v/>
      </c>
      <c r="F11560" s="15" t="str">
        <f aca="false">IF(B11560&lt;5,"Go","Standard")</f>
        <v>Standard</v>
      </c>
    </row>
    <row r="11561" customFormat="false" ht="15" hidden="false" customHeight="true" outlineLevel="0" collapsed="false">
      <c r="A11561" s="10" t="n">
        <f aca="false">Einstellungen!$B$5+INT((ROW()-9)/24)</f>
        <v>46447</v>
      </c>
      <c r="B11561" s="11" t="n">
        <f aca="false">MOD(ROW()-9,24)</f>
        <v>8</v>
      </c>
      <c r="C11561" s="12"/>
      <c r="D11561" s="13" t="n">
        <f aca="false">IF(B11561&lt;5,Einstellungen!$B$3,Einstellungen!$B$4)</f>
        <v>29.13</v>
      </c>
      <c r="E11561" s="14" t="str">
        <f aca="false">IF(C11561="","",C11561*D11561/100)</f>
        <v/>
      </c>
      <c r="F11561" s="15" t="str">
        <f aca="false">IF(B11561&lt;5,"Go","Standard")</f>
        <v>Standard</v>
      </c>
    </row>
    <row r="11562" customFormat="false" ht="15" hidden="false" customHeight="true" outlineLevel="0" collapsed="false">
      <c r="A11562" s="10" t="n">
        <f aca="false">Einstellungen!$B$5+INT((ROW()-9)/24)</f>
        <v>46447</v>
      </c>
      <c r="B11562" s="11" t="n">
        <f aca="false">MOD(ROW()-9,24)</f>
        <v>9</v>
      </c>
      <c r="C11562" s="12"/>
      <c r="D11562" s="13" t="n">
        <f aca="false">IF(B11562&lt;5,Einstellungen!$B$3,Einstellungen!$B$4)</f>
        <v>29.13</v>
      </c>
      <c r="E11562" s="14" t="str">
        <f aca="false">IF(C11562="","",C11562*D11562/100)</f>
        <v/>
      </c>
      <c r="F11562" s="15" t="str">
        <f aca="false">IF(B11562&lt;5,"Go","Standard")</f>
        <v>Standard</v>
      </c>
    </row>
    <row r="11563" customFormat="false" ht="15" hidden="false" customHeight="true" outlineLevel="0" collapsed="false">
      <c r="A11563" s="10" t="n">
        <f aca="false">Einstellungen!$B$5+INT((ROW()-9)/24)</f>
        <v>46447</v>
      </c>
      <c r="B11563" s="11" t="n">
        <f aca="false">MOD(ROW()-9,24)</f>
        <v>10</v>
      </c>
      <c r="C11563" s="12"/>
      <c r="D11563" s="13" t="n">
        <f aca="false">IF(B11563&lt;5,Einstellungen!$B$3,Einstellungen!$B$4)</f>
        <v>29.13</v>
      </c>
      <c r="E11563" s="14" t="str">
        <f aca="false">IF(C11563="","",C11563*D11563/100)</f>
        <v/>
      </c>
      <c r="F11563" s="15" t="str">
        <f aca="false">IF(B11563&lt;5,"Go","Standard")</f>
        <v>Standard</v>
      </c>
    </row>
    <row r="11564" customFormat="false" ht="15" hidden="false" customHeight="true" outlineLevel="0" collapsed="false">
      <c r="A11564" s="10" t="n">
        <f aca="false">Einstellungen!$B$5+INT((ROW()-9)/24)</f>
        <v>46447</v>
      </c>
      <c r="B11564" s="11" t="n">
        <f aca="false">MOD(ROW()-9,24)</f>
        <v>11</v>
      </c>
      <c r="C11564" s="12"/>
      <c r="D11564" s="13" t="n">
        <f aca="false">IF(B11564&lt;5,Einstellungen!$B$3,Einstellungen!$B$4)</f>
        <v>29.13</v>
      </c>
      <c r="E11564" s="14" t="str">
        <f aca="false">IF(C11564="","",C11564*D11564/100)</f>
        <v/>
      </c>
      <c r="F11564" s="15" t="str">
        <f aca="false">IF(B11564&lt;5,"Go","Standard")</f>
        <v>Standard</v>
      </c>
    </row>
    <row r="11565" customFormat="false" ht="15" hidden="false" customHeight="true" outlineLevel="0" collapsed="false">
      <c r="A11565" s="10" t="n">
        <f aca="false">Einstellungen!$B$5+INT((ROW()-9)/24)</f>
        <v>46447</v>
      </c>
      <c r="B11565" s="11" t="n">
        <f aca="false">MOD(ROW()-9,24)</f>
        <v>12</v>
      </c>
      <c r="C11565" s="12"/>
      <c r="D11565" s="13" t="n">
        <f aca="false">IF(B11565&lt;5,Einstellungen!$B$3,Einstellungen!$B$4)</f>
        <v>29.13</v>
      </c>
      <c r="E11565" s="14" t="str">
        <f aca="false">IF(C11565="","",C11565*D11565/100)</f>
        <v/>
      </c>
      <c r="F11565" s="15" t="str">
        <f aca="false">IF(B11565&lt;5,"Go","Standard")</f>
        <v>Standard</v>
      </c>
    </row>
    <row r="11566" customFormat="false" ht="15" hidden="false" customHeight="true" outlineLevel="0" collapsed="false">
      <c r="A11566" s="10" t="n">
        <f aca="false">Einstellungen!$B$5+INT((ROW()-9)/24)</f>
        <v>46447</v>
      </c>
      <c r="B11566" s="11" t="n">
        <f aca="false">MOD(ROW()-9,24)</f>
        <v>13</v>
      </c>
      <c r="C11566" s="12"/>
      <c r="D11566" s="13" t="n">
        <f aca="false">IF(B11566&lt;5,Einstellungen!$B$3,Einstellungen!$B$4)</f>
        <v>29.13</v>
      </c>
      <c r="E11566" s="14" t="str">
        <f aca="false">IF(C11566="","",C11566*D11566/100)</f>
        <v/>
      </c>
      <c r="F11566" s="15" t="str">
        <f aca="false">IF(B11566&lt;5,"Go","Standard")</f>
        <v>Standard</v>
      </c>
    </row>
    <row r="11567" customFormat="false" ht="15" hidden="false" customHeight="true" outlineLevel="0" collapsed="false">
      <c r="A11567" s="10" t="n">
        <f aca="false">Einstellungen!$B$5+INT((ROW()-9)/24)</f>
        <v>46447</v>
      </c>
      <c r="B11567" s="11" t="n">
        <f aca="false">MOD(ROW()-9,24)</f>
        <v>14</v>
      </c>
      <c r="C11567" s="12"/>
      <c r="D11567" s="13" t="n">
        <f aca="false">IF(B11567&lt;5,Einstellungen!$B$3,Einstellungen!$B$4)</f>
        <v>29.13</v>
      </c>
      <c r="E11567" s="14" t="str">
        <f aca="false">IF(C11567="","",C11567*D11567/100)</f>
        <v/>
      </c>
      <c r="F11567" s="15" t="str">
        <f aca="false">IF(B11567&lt;5,"Go","Standard")</f>
        <v>Standard</v>
      </c>
    </row>
    <row r="11568" customFormat="false" ht="15" hidden="false" customHeight="true" outlineLevel="0" collapsed="false">
      <c r="A11568" s="10" t="n">
        <f aca="false">Einstellungen!$B$5+INT((ROW()-9)/24)</f>
        <v>46447</v>
      </c>
      <c r="B11568" s="11" t="n">
        <f aca="false">MOD(ROW()-9,24)</f>
        <v>15</v>
      </c>
      <c r="C11568" s="12"/>
      <c r="D11568" s="13" t="n">
        <f aca="false">IF(B11568&lt;5,Einstellungen!$B$3,Einstellungen!$B$4)</f>
        <v>29.13</v>
      </c>
      <c r="E11568" s="14" t="str">
        <f aca="false">IF(C11568="","",C11568*D11568/100)</f>
        <v/>
      </c>
      <c r="F11568" s="15" t="str">
        <f aca="false">IF(B11568&lt;5,"Go","Standard")</f>
        <v>Standard</v>
      </c>
    </row>
    <row r="11569" customFormat="false" ht="15" hidden="false" customHeight="true" outlineLevel="0" collapsed="false">
      <c r="A11569" s="10" t="n">
        <f aca="false">Einstellungen!$B$5+INT((ROW()-9)/24)</f>
        <v>46447</v>
      </c>
      <c r="B11569" s="11" t="n">
        <f aca="false">MOD(ROW()-9,24)</f>
        <v>16</v>
      </c>
      <c r="C11569" s="12"/>
      <c r="D11569" s="13" t="n">
        <f aca="false">IF(B11569&lt;5,Einstellungen!$B$3,Einstellungen!$B$4)</f>
        <v>29.13</v>
      </c>
      <c r="E11569" s="14" t="str">
        <f aca="false">IF(C11569="","",C11569*D11569/100)</f>
        <v/>
      </c>
      <c r="F11569" s="15" t="str">
        <f aca="false">IF(B11569&lt;5,"Go","Standard")</f>
        <v>Standard</v>
      </c>
    </row>
    <row r="11570" customFormat="false" ht="15" hidden="false" customHeight="true" outlineLevel="0" collapsed="false">
      <c r="A11570" s="10" t="n">
        <f aca="false">Einstellungen!$B$5+INT((ROW()-9)/24)</f>
        <v>46447</v>
      </c>
      <c r="B11570" s="11" t="n">
        <f aca="false">MOD(ROW()-9,24)</f>
        <v>17</v>
      </c>
      <c r="C11570" s="12"/>
      <c r="D11570" s="13" t="n">
        <f aca="false">IF(B11570&lt;5,Einstellungen!$B$3,Einstellungen!$B$4)</f>
        <v>29.13</v>
      </c>
      <c r="E11570" s="14" t="str">
        <f aca="false">IF(C11570="","",C11570*D11570/100)</f>
        <v/>
      </c>
      <c r="F11570" s="15" t="str">
        <f aca="false">IF(B11570&lt;5,"Go","Standard")</f>
        <v>Standard</v>
      </c>
    </row>
    <row r="11571" customFormat="false" ht="15" hidden="false" customHeight="true" outlineLevel="0" collapsed="false">
      <c r="A11571" s="10" t="n">
        <f aca="false">Einstellungen!$B$5+INT((ROW()-9)/24)</f>
        <v>46447</v>
      </c>
      <c r="B11571" s="11" t="n">
        <f aca="false">MOD(ROW()-9,24)</f>
        <v>18</v>
      </c>
      <c r="C11571" s="12"/>
      <c r="D11571" s="13" t="n">
        <f aca="false">IF(B11571&lt;5,Einstellungen!$B$3,Einstellungen!$B$4)</f>
        <v>29.13</v>
      </c>
      <c r="E11571" s="14" t="str">
        <f aca="false">IF(C11571="","",C11571*D11571/100)</f>
        <v/>
      </c>
      <c r="F11571" s="15" t="str">
        <f aca="false">IF(B11571&lt;5,"Go","Standard")</f>
        <v>Standard</v>
      </c>
    </row>
    <row r="11572" customFormat="false" ht="15" hidden="false" customHeight="true" outlineLevel="0" collapsed="false">
      <c r="A11572" s="10" t="n">
        <f aca="false">Einstellungen!$B$5+INT((ROW()-9)/24)</f>
        <v>46447</v>
      </c>
      <c r="B11572" s="11" t="n">
        <f aca="false">MOD(ROW()-9,24)</f>
        <v>19</v>
      </c>
      <c r="C11572" s="12"/>
      <c r="D11572" s="13" t="n">
        <f aca="false">IF(B11572&lt;5,Einstellungen!$B$3,Einstellungen!$B$4)</f>
        <v>29.13</v>
      </c>
      <c r="E11572" s="14" t="str">
        <f aca="false">IF(C11572="","",C11572*D11572/100)</f>
        <v/>
      </c>
      <c r="F11572" s="15" t="str">
        <f aca="false">IF(B11572&lt;5,"Go","Standard")</f>
        <v>Standard</v>
      </c>
    </row>
    <row r="11573" customFormat="false" ht="15" hidden="false" customHeight="true" outlineLevel="0" collapsed="false">
      <c r="A11573" s="10" t="n">
        <f aca="false">Einstellungen!$B$5+INT((ROW()-9)/24)</f>
        <v>46447</v>
      </c>
      <c r="B11573" s="11" t="n">
        <f aca="false">MOD(ROW()-9,24)</f>
        <v>20</v>
      </c>
      <c r="C11573" s="12"/>
      <c r="D11573" s="13" t="n">
        <f aca="false">IF(B11573&lt;5,Einstellungen!$B$3,Einstellungen!$B$4)</f>
        <v>29.13</v>
      </c>
      <c r="E11573" s="14" t="str">
        <f aca="false">IF(C11573="","",C11573*D11573/100)</f>
        <v/>
      </c>
      <c r="F11573" s="15" t="str">
        <f aca="false">IF(B11573&lt;5,"Go","Standard")</f>
        <v>Standard</v>
      </c>
    </row>
    <row r="11574" customFormat="false" ht="15" hidden="false" customHeight="true" outlineLevel="0" collapsed="false">
      <c r="A11574" s="10" t="n">
        <f aca="false">Einstellungen!$B$5+INT((ROW()-9)/24)</f>
        <v>46447</v>
      </c>
      <c r="B11574" s="11" t="n">
        <f aca="false">MOD(ROW()-9,24)</f>
        <v>21</v>
      </c>
      <c r="C11574" s="12"/>
      <c r="D11574" s="13" t="n">
        <f aca="false">IF(B11574&lt;5,Einstellungen!$B$3,Einstellungen!$B$4)</f>
        <v>29.13</v>
      </c>
      <c r="E11574" s="14" t="str">
        <f aca="false">IF(C11574="","",C11574*D11574/100)</f>
        <v/>
      </c>
      <c r="F11574" s="15" t="str">
        <f aca="false">IF(B11574&lt;5,"Go","Standard")</f>
        <v>Standard</v>
      </c>
    </row>
    <row r="11575" customFormat="false" ht="15" hidden="false" customHeight="true" outlineLevel="0" collapsed="false">
      <c r="A11575" s="10" t="n">
        <f aca="false">Einstellungen!$B$5+INT((ROW()-9)/24)</f>
        <v>46447</v>
      </c>
      <c r="B11575" s="11" t="n">
        <f aca="false">MOD(ROW()-9,24)</f>
        <v>22</v>
      </c>
      <c r="C11575" s="12"/>
      <c r="D11575" s="13" t="n">
        <f aca="false">IF(B11575&lt;5,Einstellungen!$B$3,Einstellungen!$B$4)</f>
        <v>29.13</v>
      </c>
      <c r="E11575" s="14" t="str">
        <f aca="false">IF(C11575="","",C11575*D11575/100)</f>
        <v/>
      </c>
      <c r="F11575" s="15" t="str">
        <f aca="false">IF(B11575&lt;5,"Go","Standard")</f>
        <v>Standard</v>
      </c>
    </row>
    <row r="11576" customFormat="false" ht="15" hidden="false" customHeight="true" outlineLevel="0" collapsed="false">
      <c r="A11576" s="10" t="n">
        <f aca="false">Einstellungen!$B$5+INT((ROW()-9)/24)</f>
        <v>46447</v>
      </c>
      <c r="B11576" s="11" t="n">
        <f aca="false">MOD(ROW()-9,24)</f>
        <v>23</v>
      </c>
      <c r="C11576" s="12"/>
      <c r="D11576" s="13" t="n">
        <f aca="false">IF(B11576&lt;5,Einstellungen!$B$3,Einstellungen!$B$4)</f>
        <v>29.13</v>
      </c>
      <c r="E11576" s="14" t="str">
        <f aca="false">IF(C11576="","",C11576*D11576/100)</f>
        <v/>
      </c>
      <c r="F11576" s="15" t="str">
        <f aca="false">IF(B11576&lt;5,"Go","Standard")</f>
        <v>Standard</v>
      </c>
    </row>
    <row r="11577" customFormat="false" ht="15" hidden="false" customHeight="true" outlineLevel="0" collapsed="false">
      <c r="A11577" s="10" t="n">
        <f aca="false">Einstellungen!$B$5+INT((ROW()-9)/24)</f>
        <v>46448</v>
      </c>
      <c r="B11577" s="11" t="n">
        <f aca="false">MOD(ROW()-9,24)</f>
        <v>0</v>
      </c>
      <c r="C11577" s="12"/>
      <c r="D11577" s="13" t="n">
        <f aca="false">IF(B11577&lt;5,Einstellungen!$B$3,Einstellungen!$B$4)</f>
        <v>15.92</v>
      </c>
      <c r="E11577" s="14" t="str">
        <f aca="false">IF(C11577="","",C11577*D11577/100)</f>
        <v/>
      </c>
      <c r="F11577" s="15" t="str">
        <f aca="false">IF(B11577&lt;5,"Go","Standard")</f>
        <v>Go</v>
      </c>
    </row>
    <row r="11578" customFormat="false" ht="15" hidden="false" customHeight="true" outlineLevel="0" collapsed="false">
      <c r="A11578" s="10" t="n">
        <f aca="false">Einstellungen!$B$5+INT((ROW()-9)/24)</f>
        <v>46448</v>
      </c>
      <c r="B11578" s="11" t="n">
        <f aca="false">MOD(ROW()-9,24)</f>
        <v>1</v>
      </c>
      <c r="C11578" s="12"/>
      <c r="D11578" s="13" t="n">
        <f aca="false">IF(B11578&lt;5,Einstellungen!$B$3,Einstellungen!$B$4)</f>
        <v>15.92</v>
      </c>
      <c r="E11578" s="14" t="str">
        <f aca="false">IF(C11578="","",C11578*D11578/100)</f>
        <v/>
      </c>
      <c r="F11578" s="15" t="str">
        <f aca="false">IF(B11578&lt;5,"Go","Standard")</f>
        <v>Go</v>
      </c>
    </row>
    <row r="11579" customFormat="false" ht="15" hidden="false" customHeight="true" outlineLevel="0" collapsed="false">
      <c r="A11579" s="10" t="n">
        <f aca="false">Einstellungen!$B$5+INT((ROW()-9)/24)</f>
        <v>46448</v>
      </c>
      <c r="B11579" s="11" t="n">
        <f aca="false">MOD(ROW()-9,24)</f>
        <v>2</v>
      </c>
      <c r="C11579" s="12"/>
      <c r="D11579" s="13" t="n">
        <f aca="false">IF(B11579&lt;5,Einstellungen!$B$3,Einstellungen!$B$4)</f>
        <v>15.92</v>
      </c>
      <c r="E11579" s="14" t="str">
        <f aca="false">IF(C11579="","",C11579*D11579/100)</f>
        <v/>
      </c>
      <c r="F11579" s="15" t="str">
        <f aca="false">IF(B11579&lt;5,"Go","Standard")</f>
        <v>Go</v>
      </c>
    </row>
    <row r="11580" customFormat="false" ht="15" hidden="false" customHeight="true" outlineLevel="0" collapsed="false">
      <c r="A11580" s="10" t="n">
        <f aca="false">Einstellungen!$B$5+INT((ROW()-9)/24)</f>
        <v>46448</v>
      </c>
      <c r="B11580" s="11" t="n">
        <f aca="false">MOD(ROW()-9,24)</f>
        <v>3</v>
      </c>
      <c r="C11580" s="12"/>
      <c r="D11580" s="13" t="n">
        <f aca="false">IF(B11580&lt;5,Einstellungen!$B$3,Einstellungen!$B$4)</f>
        <v>15.92</v>
      </c>
      <c r="E11580" s="14" t="str">
        <f aca="false">IF(C11580="","",C11580*D11580/100)</f>
        <v/>
      </c>
      <c r="F11580" s="15" t="str">
        <f aca="false">IF(B11580&lt;5,"Go","Standard")</f>
        <v>Go</v>
      </c>
    </row>
    <row r="11581" customFormat="false" ht="15" hidden="false" customHeight="true" outlineLevel="0" collapsed="false">
      <c r="A11581" s="10" t="n">
        <f aca="false">Einstellungen!$B$5+INT((ROW()-9)/24)</f>
        <v>46448</v>
      </c>
      <c r="B11581" s="11" t="n">
        <f aca="false">MOD(ROW()-9,24)</f>
        <v>4</v>
      </c>
      <c r="C11581" s="12"/>
      <c r="D11581" s="13" t="n">
        <f aca="false">IF(B11581&lt;5,Einstellungen!$B$3,Einstellungen!$B$4)</f>
        <v>15.92</v>
      </c>
      <c r="E11581" s="14" t="str">
        <f aca="false">IF(C11581="","",C11581*D11581/100)</f>
        <v/>
      </c>
      <c r="F11581" s="15" t="str">
        <f aca="false">IF(B11581&lt;5,"Go","Standard")</f>
        <v>Go</v>
      </c>
    </row>
    <row r="11582" customFormat="false" ht="15" hidden="false" customHeight="true" outlineLevel="0" collapsed="false">
      <c r="A11582" s="10" t="n">
        <f aca="false">Einstellungen!$B$5+INT((ROW()-9)/24)</f>
        <v>46448</v>
      </c>
      <c r="B11582" s="11" t="n">
        <f aca="false">MOD(ROW()-9,24)</f>
        <v>5</v>
      </c>
      <c r="C11582" s="12"/>
      <c r="D11582" s="13" t="n">
        <f aca="false">IF(B11582&lt;5,Einstellungen!$B$3,Einstellungen!$B$4)</f>
        <v>29.13</v>
      </c>
      <c r="E11582" s="14" t="str">
        <f aca="false">IF(C11582="","",C11582*D11582/100)</f>
        <v/>
      </c>
      <c r="F11582" s="15" t="str">
        <f aca="false">IF(B11582&lt;5,"Go","Standard")</f>
        <v>Standard</v>
      </c>
    </row>
    <row r="11583" customFormat="false" ht="15" hidden="false" customHeight="true" outlineLevel="0" collapsed="false">
      <c r="A11583" s="10" t="n">
        <f aca="false">Einstellungen!$B$5+INT((ROW()-9)/24)</f>
        <v>46448</v>
      </c>
      <c r="B11583" s="11" t="n">
        <f aca="false">MOD(ROW()-9,24)</f>
        <v>6</v>
      </c>
      <c r="C11583" s="12"/>
      <c r="D11583" s="13" t="n">
        <f aca="false">IF(B11583&lt;5,Einstellungen!$B$3,Einstellungen!$B$4)</f>
        <v>29.13</v>
      </c>
      <c r="E11583" s="14" t="str">
        <f aca="false">IF(C11583="","",C11583*D11583/100)</f>
        <v/>
      </c>
      <c r="F11583" s="15" t="str">
        <f aca="false">IF(B11583&lt;5,"Go","Standard")</f>
        <v>Standard</v>
      </c>
    </row>
    <row r="11584" customFormat="false" ht="15" hidden="false" customHeight="true" outlineLevel="0" collapsed="false">
      <c r="A11584" s="10" t="n">
        <f aca="false">Einstellungen!$B$5+INT((ROW()-9)/24)</f>
        <v>46448</v>
      </c>
      <c r="B11584" s="11" t="n">
        <f aca="false">MOD(ROW()-9,24)</f>
        <v>7</v>
      </c>
      <c r="C11584" s="12"/>
      <c r="D11584" s="13" t="n">
        <f aca="false">IF(B11584&lt;5,Einstellungen!$B$3,Einstellungen!$B$4)</f>
        <v>29.13</v>
      </c>
      <c r="E11584" s="14" t="str">
        <f aca="false">IF(C11584="","",C11584*D11584/100)</f>
        <v/>
      </c>
      <c r="F11584" s="15" t="str">
        <f aca="false">IF(B11584&lt;5,"Go","Standard")</f>
        <v>Standard</v>
      </c>
    </row>
    <row r="11585" customFormat="false" ht="15" hidden="false" customHeight="true" outlineLevel="0" collapsed="false">
      <c r="A11585" s="10" t="n">
        <f aca="false">Einstellungen!$B$5+INT((ROW()-9)/24)</f>
        <v>46448</v>
      </c>
      <c r="B11585" s="11" t="n">
        <f aca="false">MOD(ROW()-9,24)</f>
        <v>8</v>
      </c>
      <c r="C11585" s="12"/>
      <c r="D11585" s="13" t="n">
        <f aca="false">IF(B11585&lt;5,Einstellungen!$B$3,Einstellungen!$B$4)</f>
        <v>29.13</v>
      </c>
      <c r="E11585" s="14" t="str">
        <f aca="false">IF(C11585="","",C11585*D11585/100)</f>
        <v/>
      </c>
      <c r="F11585" s="15" t="str">
        <f aca="false">IF(B11585&lt;5,"Go","Standard")</f>
        <v>Standard</v>
      </c>
    </row>
    <row r="11586" customFormat="false" ht="15" hidden="false" customHeight="true" outlineLevel="0" collapsed="false">
      <c r="A11586" s="10" t="n">
        <f aca="false">Einstellungen!$B$5+INT((ROW()-9)/24)</f>
        <v>46448</v>
      </c>
      <c r="B11586" s="11" t="n">
        <f aca="false">MOD(ROW()-9,24)</f>
        <v>9</v>
      </c>
      <c r="C11586" s="12"/>
      <c r="D11586" s="13" t="n">
        <f aca="false">IF(B11586&lt;5,Einstellungen!$B$3,Einstellungen!$B$4)</f>
        <v>29.13</v>
      </c>
      <c r="E11586" s="14" t="str">
        <f aca="false">IF(C11586="","",C11586*D11586/100)</f>
        <v/>
      </c>
      <c r="F11586" s="15" t="str">
        <f aca="false">IF(B11586&lt;5,"Go","Standard")</f>
        <v>Standard</v>
      </c>
    </row>
    <row r="11587" customFormat="false" ht="15" hidden="false" customHeight="true" outlineLevel="0" collapsed="false">
      <c r="A11587" s="10" t="n">
        <f aca="false">Einstellungen!$B$5+INT((ROW()-9)/24)</f>
        <v>46448</v>
      </c>
      <c r="B11587" s="11" t="n">
        <f aca="false">MOD(ROW()-9,24)</f>
        <v>10</v>
      </c>
      <c r="C11587" s="12"/>
      <c r="D11587" s="13" t="n">
        <f aca="false">IF(B11587&lt;5,Einstellungen!$B$3,Einstellungen!$B$4)</f>
        <v>29.13</v>
      </c>
      <c r="E11587" s="14" t="str">
        <f aca="false">IF(C11587="","",C11587*D11587/100)</f>
        <v/>
      </c>
      <c r="F11587" s="15" t="str">
        <f aca="false">IF(B11587&lt;5,"Go","Standard")</f>
        <v>Standard</v>
      </c>
    </row>
    <row r="11588" customFormat="false" ht="15" hidden="false" customHeight="true" outlineLevel="0" collapsed="false">
      <c r="A11588" s="10" t="n">
        <f aca="false">Einstellungen!$B$5+INT((ROW()-9)/24)</f>
        <v>46448</v>
      </c>
      <c r="B11588" s="11" t="n">
        <f aca="false">MOD(ROW()-9,24)</f>
        <v>11</v>
      </c>
      <c r="C11588" s="12"/>
      <c r="D11588" s="13" t="n">
        <f aca="false">IF(B11588&lt;5,Einstellungen!$B$3,Einstellungen!$B$4)</f>
        <v>29.13</v>
      </c>
      <c r="E11588" s="14" t="str">
        <f aca="false">IF(C11588="","",C11588*D11588/100)</f>
        <v/>
      </c>
      <c r="F11588" s="15" t="str">
        <f aca="false">IF(B11588&lt;5,"Go","Standard")</f>
        <v>Standard</v>
      </c>
    </row>
    <row r="11589" customFormat="false" ht="15" hidden="false" customHeight="true" outlineLevel="0" collapsed="false">
      <c r="A11589" s="10" t="n">
        <f aca="false">Einstellungen!$B$5+INT((ROW()-9)/24)</f>
        <v>46448</v>
      </c>
      <c r="B11589" s="11" t="n">
        <f aca="false">MOD(ROW()-9,24)</f>
        <v>12</v>
      </c>
      <c r="C11589" s="12"/>
      <c r="D11589" s="13" t="n">
        <f aca="false">IF(B11589&lt;5,Einstellungen!$B$3,Einstellungen!$B$4)</f>
        <v>29.13</v>
      </c>
      <c r="E11589" s="14" t="str">
        <f aca="false">IF(C11589="","",C11589*D11589/100)</f>
        <v/>
      </c>
      <c r="F11589" s="15" t="str">
        <f aca="false">IF(B11589&lt;5,"Go","Standard")</f>
        <v>Standard</v>
      </c>
    </row>
    <row r="11590" customFormat="false" ht="15" hidden="false" customHeight="true" outlineLevel="0" collapsed="false">
      <c r="A11590" s="10" t="n">
        <f aca="false">Einstellungen!$B$5+INT((ROW()-9)/24)</f>
        <v>46448</v>
      </c>
      <c r="B11590" s="11" t="n">
        <f aca="false">MOD(ROW()-9,24)</f>
        <v>13</v>
      </c>
      <c r="C11590" s="12"/>
      <c r="D11590" s="13" t="n">
        <f aca="false">IF(B11590&lt;5,Einstellungen!$B$3,Einstellungen!$B$4)</f>
        <v>29.13</v>
      </c>
      <c r="E11590" s="14" t="str">
        <f aca="false">IF(C11590="","",C11590*D11590/100)</f>
        <v/>
      </c>
      <c r="F11590" s="15" t="str">
        <f aca="false">IF(B11590&lt;5,"Go","Standard")</f>
        <v>Standard</v>
      </c>
    </row>
    <row r="11591" customFormat="false" ht="15" hidden="false" customHeight="true" outlineLevel="0" collapsed="false">
      <c r="A11591" s="10" t="n">
        <f aca="false">Einstellungen!$B$5+INT((ROW()-9)/24)</f>
        <v>46448</v>
      </c>
      <c r="B11591" s="11" t="n">
        <f aca="false">MOD(ROW()-9,24)</f>
        <v>14</v>
      </c>
      <c r="C11591" s="12"/>
      <c r="D11591" s="13" t="n">
        <f aca="false">IF(B11591&lt;5,Einstellungen!$B$3,Einstellungen!$B$4)</f>
        <v>29.13</v>
      </c>
      <c r="E11591" s="14" t="str">
        <f aca="false">IF(C11591="","",C11591*D11591/100)</f>
        <v/>
      </c>
      <c r="F11591" s="15" t="str">
        <f aca="false">IF(B11591&lt;5,"Go","Standard")</f>
        <v>Standard</v>
      </c>
    </row>
    <row r="11592" customFormat="false" ht="15" hidden="false" customHeight="true" outlineLevel="0" collapsed="false">
      <c r="A11592" s="10" t="n">
        <f aca="false">Einstellungen!$B$5+INT((ROW()-9)/24)</f>
        <v>46448</v>
      </c>
      <c r="B11592" s="11" t="n">
        <f aca="false">MOD(ROW()-9,24)</f>
        <v>15</v>
      </c>
      <c r="C11592" s="12"/>
      <c r="D11592" s="13" t="n">
        <f aca="false">IF(B11592&lt;5,Einstellungen!$B$3,Einstellungen!$B$4)</f>
        <v>29.13</v>
      </c>
      <c r="E11592" s="14" t="str">
        <f aca="false">IF(C11592="","",C11592*D11592/100)</f>
        <v/>
      </c>
      <c r="F11592" s="15" t="str">
        <f aca="false">IF(B11592&lt;5,"Go","Standard")</f>
        <v>Standard</v>
      </c>
    </row>
    <row r="11593" customFormat="false" ht="15" hidden="false" customHeight="true" outlineLevel="0" collapsed="false">
      <c r="A11593" s="10" t="n">
        <f aca="false">Einstellungen!$B$5+INT((ROW()-9)/24)</f>
        <v>46448</v>
      </c>
      <c r="B11593" s="11" t="n">
        <f aca="false">MOD(ROW()-9,24)</f>
        <v>16</v>
      </c>
      <c r="C11593" s="12"/>
      <c r="D11593" s="13" t="n">
        <f aca="false">IF(B11593&lt;5,Einstellungen!$B$3,Einstellungen!$B$4)</f>
        <v>29.13</v>
      </c>
      <c r="E11593" s="14" t="str">
        <f aca="false">IF(C11593="","",C11593*D11593/100)</f>
        <v/>
      </c>
      <c r="F11593" s="15" t="str">
        <f aca="false">IF(B11593&lt;5,"Go","Standard")</f>
        <v>Standard</v>
      </c>
    </row>
    <row r="11594" customFormat="false" ht="15" hidden="false" customHeight="true" outlineLevel="0" collapsed="false">
      <c r="A11594" s="10" t="n">
        <f aca="false">Einstellungen!$B$5+INT((ROW()-9)/24)</f>
        <v>46448</v>
      </c>
      <c r="B11594" s="11" t="n">
        <f aca="false">MOD(ROW()-9,24)</f>
        <v>17</v>
      </c>
      <c r="C11594" s="12"/>
      <c r="D11594" s="13" t="n">
        <f aca="false">IF(B11594&lt;5,Einstellungen!$B$3,Einstellungen!$B$4)</f>
        <v>29.13</v>
      </c>
      <c r="E11594" s="14" t="str">
        <f aca="false">IF(C11594="","",C11594*D11594/100)</f>
        <v/>
      </c>
      <c r="F11594" s="15" t="str">
        <f aca="false">IF(B11594&lt;5,"Go","Standard")</f>
        <v>Standard</v>
      </c>
    </row>
    <row r="11595" customFormat="false" ht="15" hidden="false" customHeight="true" outlineLevel="0" collapsed="false">
      <c r="A11595" s="10" t="n">
        <f aca="false">Einstellungen!$B$5+INT((ROW()-9)/24)</f>
        <v>46448</v>
      </c>
      <c r="B11595" s="11" t="n">
        <f aca="false">MOD(ROW()-9,24)</f>
        <v>18</v>
      </c>
      <c r="C11595" s="12"/>
      <c r="D11595" s="13" t="n">
        <f aca="false">IF(B11595&lt;5,Einstellungen!$B$3,Einstellungen!$B$4)</f>
        <v>29.13</v>
      </c>
      <c r="E11595" s="14" t="str">
        <f aca="false">IF(C11595="","",C11595*D11595/100)</f>
        <v/>
      </c>
      <c r="F11595" s="15" t="str">
        <f aca="false">IF(B11595&lt;5,"Go","Standard")</f>
        <v>Standard</v>
      </c>
    </row>
    <row r="11596" customFormat="false" ht="15" hidden="false" customHeight="true" outlineLevel="0" collapsed="false">
      <c r="A11596" s="10" t="n">
        <f aca="false">Einstellungen!$B$5+INT((ROW()-9)/24)</f>
        <v>46448</v>
      </c>
      <c r="B11596" s="11" t="n">
        <f aca="false">MOD(ROW()-9,24)</f>
        <v>19</v>
      </c>
      <c r="C11596" s="12"/>
      <c r="D11596" s="13" t="n">
        <f aca="false">IF(B11596&lt;5,Einstellungen!$B$3,Einstellungen!$B$4)</f>
        <v>29.13</v>
      </c>
      <c r="E11596" s="14" t="str">
        <f aca="false">IF(C11596="","",C11596*D11596/100)</f>
        <v/>
      </c>
      <c r="F11596" s="15" t="str">
        <f aca="false">IF(B11596&lt;5,"Go","Standard")</f>
        <v>Standard</v>
      </c>
    </row>
    <row r="11597" customFormat="false" ht="15" hidden="false" customHeight="true" outlineLevel="0" collapsed="false">
      <c r="A11597" s="10" t="n">
        <f aca="false">Einstellungen!$B$5+INT((ROW()-9)/24)</f>
        <v>46448</v>
      </c>
      <c r="B11597" s="11" t="n">
        <f aca="false">MOD(ROW()-9,24)</f>
        <v>20</v>
      </c>
      <c r="C11597" s="12"/>
      <c r="D11597" s="13" t="n">
        <f aca="false">IF(B11597&lt;5,Einstellungen!$B$3,Einstellungen!$B$4)</f>
        <v>29.13</v>
      </c>
      <c r="E11597" s="14" t="str">
        <f aca="false">IF(C11597="","",C11597*D11597/100)</f>
        <v/>
      </c>
      <c r="F11597" s="15" t="str">
        <f aca="false">IF(B11597&lt;5,"Go","Standard")</f>
        <v>Standard</v>
      </c>
    </row>
    <row r="11598" customFormat="false" ht="15" hidden="false" customHeight="true" outlineLevel="0" collapsed="false">
      <c r="A11598" s="10" t="n">
        <f aca="false">Einstellungen!$B$5+INT((ROW()-9)/24)</f>
        <v>46448</v>
      </c>
      <c r="B11598" s="11" t="n">
        <f aca="false">MOD(ROW()-9,24)</f>
        <v>21</v>
      </c>
      <c r="C11598" s="12"/>
      <c r="D11598" s="13" t="n">
        <f aca="false">IF(B11598&lt;5,Einstellungen!$B$3,Einstellungen!$B$4)</f>
        <v>29.13</v>
      </c>
      <c r="E11598" s="14" t="str">
        <f aca="false">IF(C11598="","",C11598*D11598/100)</f>
        <v/>
      </c>
      <c r="F11598" s="15" t="str">
        <f aca="false">IF(B11598&lt;5,"Go","Standard")</f>
        <v>Standard</v>
      </c>
    </row>
    <row r="11599" customFormat="false" ht="15" hidden="false" customHeight="true" outlineLevel="0" collapsed="false">
      <c r="A11599" s="10" t="n">
        <f aca="false">Einstellungen!$B$5+INT((ROW()-9)/24)</f>
        <v>46448</v>
      </c>
      <c r="B11599" s="11" t="n">
        <f aca="false">MOD(ROW()-9,24)</f>
        <v>22</v>
      </c>
      <c r="C11599" s="12"/>
      <c r="D11599" s="13" t="n">
        <f aca="false">IF(B11599&lt;5,Einstellungen!$B$3,Einstellungen!$B$4)</f>
        <v>29.13</v>
      </c>
      <c r="E11599" s="14" t="str">
        <f aca="false">IF(C11599="","",C11599*D11599/100)</f>
        <v/>
      </c>
      <c r="F11599" s="15" t="str">
        <f aca="false">IF(B11599&lt;5,"Go","Standard")</f>
        <v>Standard</v>
      </c>
    </row>
    <row r="11600" customFormat="false" ht="15" hidden="false" customHeight="true" outlineLevel="0" collapsed="false">
      <c r="A11600" s="10" t="n">
        <f aca="false">Einstellungen!$B$5+INT((ROW()-9)/24)</f>
        <v>46448</v>
      </c>
      <c r="B11600" s="11" t="n">
        <f aca="false">MOD(ROW()-9,24)</f>
        <v>23</v>
      </c>
      <c r="C11600" s="12"/>
      <c r="D11600" s="13" t="n">
        <f aca="false">IF(B11600&lt;5,Einstellungen!$B$3,Einstellungen!$B$4)</f>
        <v>29.13</v>
      </c>
      <c r="E11600" s="14" t="str">
        <f aca="false">IF(C11600="","",C11600*D11600/100)</f>
        <v/>
      </c>
      <c r="F11600" s="15" t="str">
        <f aca="false">IF(B11600&lt;5,"Go","Standard")</f>
        <v>Standard</v>
      </c>
    </row>
    <row r="11601" customFormat="false" ht="15" hidden="false" customHeight="true" outlineLevel="0" collapsed="false">
      <c r="A11601" s="10" t="n">
        <f aca="false">Einstellungen!$B$5+INT((ROW()-9)/24)</f>
        <v>46449</v>
      </c>
      <c r="B11601" s="11" t="n">
        <f aca="false">MOD(ROW()-9,24)</f>
        <v>0</v>
      </c>
      <c r="C11601" s="12"/>
      <c r="D11601" s="13" t="n">
        <f aca="false">IF(B11601&lt;5,Einstellungen!$B$3,Einstellungen!$B$4)</f>
        <v>15.92</v>
      </c>
      <c r="E11601" s="14" t="str">
        <f aca="false">IF(C11601="","",C11601*D11601/100)</f>
        <v/>
      </c>
      <c r="F11601" s="15" t="str">
        <f aca="false">IF(B11601&lt;5,"Go","Standard")</f>
        <v>Go</v>
      </c>
    </row>
    <row r="11602" customFormat="false" ht="15" hidden="false" customHeight="true" outlineLevel="0" collapsed="false">
      <c r="A11602" s="10" t="n">
        <f aca="false">Einstellungen!$B$5+INT((ROW()-9)/24)</f>
        <v>46449</v>
      </c>
      <c r="B11602" s="11" t="n">
        <f aca="false">MOD(ROW()-9,24)</f>
        <v>1</v>
      </c>
      <c r="C11602" s="12"/>
      <c r="D11602" s="13" t="n">
        <f aca="false">IF(B11602&lt;5,Einstellungen!$B$3,Einstellungen!$B$4)</f>
        <v>15.92</v>
      </c>
      <c r="E11602" s="14" t="str">
        <f aca="false">IF(C11602="","",C11602*D11602/100)</f>
        <v/>
      </c>
      <c r="F11602" s="15" t="str">
        <f aca="false">IF(B11602&lt;5,"Go","Standard")</f>
        <v>Go</v>
      </c>
    </row>
    <row r="11603" customFormat="false" ht="15" hidden="false" customHeight="true" outlineLevel="0" collapsed="false">
      <c r="A11603" s="10" t="n">
        <f aca="false">Einstellungen!$B$5+INT((ROW()-9)/24)</f>
        <v>46449</v>
      </c>
      <c r="B11603" s="11" t="n">
        <f aca="false">MOD(ROW()-9,24)</f>
        <v>2</v>
      </c>
      <c r="C11603" s="12"/>
      <c r="D11603" s="13" t="n">
        <f aca="false">IF(B11603&lt;5,Einstellungen!$B$3,Einstellungen!$B$4)</f>
        <v>15.92</v>
      </c>
      <c r="E11603" s="14" t="str">
        <f aca="false">IF(C11603="","",C11603*D11603/100)</f>
        <v/>
      </c>
      <c r="F11603" s="15" t="str">
        <f aca="false">IF(B11603&lt;5,"Go","Standard")</f>
        <v>Go</v>
      </c>
    </row>
    <row r="11604" customFormat="false" ht="15" hidden="false" customHeight="true" outlineLevel="0" collapsed="false">
      <c r="A11604" s="10" t="n">
        <f aca="false">Einstellungen!$B$5+INT((ROW()-9)/24)</f>
        <v>46449</v>
      </c>
      <c r="B11604" s="11" t="n">
        <f aca="false">MOD(ROW()-9,24)</f>
        <v>3</v>
      </c>
      <c r="C11604" s="12"/>
      <c r="D11604" s="13" t="n">
        <f aca="false">IF(B11604&lt;5,Einstellungen!$B$3,Einstellungen!$B$4)</f>
        <v>15.92</v>
      </c>
      <c r="E11604" s="14" t="str">
        <f aca="false">IF(C11604="","",C11604*D11604/100)</f>
        <v/>
      </c>
      <c r="F11604" s="15" t="str">
        <f aca="false">IF(B11604&lt;5,"Go","Standard")</f>
        <v>Go</v>
      </c>
    </row>
    <row r="11605" customFormat="false" ht="15" hidden="false" customHeight="true" outlineLevel="0" collapsed="false">
      <c r="A11605" s="10" t="n">
        <f aca="false">Einstellungen!$B$5+INT((ROW()-9)/24)</f>
        <v>46449</v>
      </c>
      <c r="B11605" s="11" t="n">
        <f aca="false">MOD(ROW()-9,24)</f>
        <v>4</v>
      </c>
      <c r="C11605" s="12"/>
      <c r="D11605" s="13" t="n">
        <f aca="false">IF(B11605&lt;5,Einstellungen!$B$3,Einstellungen!$B$4)</f>
        <v>15.92</v>
      </c>
      <c r="E11605" s="14" t="str">
        <f aca="false">IF(C11605="","",C11605*D11605/100)</f>
        <v/>
      </c>
      <c r="F11605" s="15" t="str">
        <f aca="false">IF(B11605&lt;5,"Go","Standard")</f>
        <v>Go</v>
      </c>
    </row>
    <row r="11606" customFormat="false" ht="15" hidden="false" customHeight="true" outlineLevel="0" collapsed="false">
      <c r="A11606" s="10" t="n">
        <f aca="false">Einstellungen!$B$5+INT((ROW()-9)/24)</f>
        <v>46449</v>
      </c>
      <c r="B11606" s="11" t="n">
        <f aca="false">MOD(ROW()-9,24)</f>
        <v>5</v>
      </c>
      <c r="C11606" s="12"/>
      <c r="D11606" s="13" t="n">
        <f aca="false">IF(B11606&lt;5,Einstellungen!$B$3,Einstellungen!$B$4)</f>
        <v>29.13</v>
      </c>
      <c r="E11606" s="14" t="str">
        <f aca="false">IF(C11606="","",C11606*D11606/100)</f>
        <v/>
      </c>
      <c r="F11606" s="15" t="str">
        <f aca="false">IF(B11606&lt;5,"Go","Standard")</f>
        <v>Standard</v>
      </c>
    </row>
    <row r="11607" customFormat="false" ht="15" hidden="false" customHeight="true" outlineLevel="0" collapsed="false">
      <c r="A11607" s="10" t="n">
        <f aca="false">Einstellungen!$B$5+INT((ROW()-9)/24)</f>
        <v>46449</v>
      </c>
      <c r="B11607" s="11" t="n">
        <f aca="false">MOD(ROW()-9,24)</f>
        <v>6</v>
      </c>
      <c r="C11607" s="12"/>
      <c r="D11607" s="13" t="n">
        <f aca="false">IF(B11607&lt;5,Einstellungen!$B$3,Einstellungen!$B$4)</f>
        <v>29.13</v>
      </c>
      <c r="E11607" s="14" t="str">
        <f aca="false">IF(C11607="","",C11607*D11607/100)</f>
        <v/>
      </c>
      <c r="F11607" s="15" t="str">
        <f aca="false">IF(B11607&lt;5,"Go","Standard")</f>
        <v>Standard</v>
      </c>
    </row>
    <row r="11608" customFormat="false" ht="15" hidden="false" customHeight="true" outlineLevel="0" collapsed="false">
      <c r="A11608" s="10" t="n">
        <f aca="false">Einstellungen!$B$5+INT((ROW()-9)/24)</f>
        <v>46449</v>
      </c>
      <c r="B11608" s="11" t="n">
        <f aca="false">MOD(ROW()-9,24)</f>
        <v>7</v>
      </c>
      <c r="C11608" s="12"/>
      <c r="D11608" s="13" t="n">
        <f aca="false">IF(B11608&lt;5,Einstellungen!$B$3,Einstellungen!$B$4)</f>
        <v>29.13</v>
      </c>
      <c r="E11608" s="14" t="str">
        <f aca="false">IF(C11608="","",C11608*D11608/100)</f>
        <v/>
      </c>
      <c r="F11608" s="15" t="str">
        <f aca="false">IF(B11608&lt;5,"Go","Standard")</f>
        <v>Standard</v>
      </c>
    </row>
    <row r="11609" customFormat="false" ht="15" hidden="false" customHeight="true" outlineLevel="0" collapsed="false">
      <c r="A11609" s="10" t="n">
        <f aca="false">Einstellungen!$B$5+INT((ROW()-9)/24)</f>
        <v>46449</v>
      </c>
      <c r="B11609" s="11" t="n">
        <f aca="false">MOD(ROW()-9,24)</f>
        <v>8</v>
      </c>
      <c r="C11609" s="12"/>
      <c r="D11609" s="13" t="n">
        <f aca="false">IF(B11609&lt;5,Einstellungen!$B$3,Einstellungen!$B$4)</f>
        <v>29.13</v>
      </c>
      <c r="E11609" s="14" t="str">
        <f aca="false">IF(C11609="","",C11609*D11609/100)</f>
        <v/>
      </c>
      <c r="F11609" s="15" t="str">
        <f aca="false">IF(B11609&lt;5,"Go","Standard")</f>
        <v>Standard</v>
      </c>
    </row>
    <row r="11610" customFormat="false" ht="15" hidden="false" customHeight="true" outlineLevel="0" collapsed="false">
      <c r="A11610" s="10" t="n">
        <f aca="false">Einstellungen!$B$5+INT((ROW()-9)/24)</f>
        <v>46449</v>
      </c>
      <c r="B11610" s="11" t="n">
        <f aca="false">MOD(ROW()-9,24)</f>
        <v>9</v>
      </c>
      <c r="C11610" s="12"/>
      <c r="D11610" s="13" t="n">
        <f aca="false">IF(B11610&lt;5,Einstellungen!$B$3,Einstellungen!$B$4)</f>
        <v>29.13</v>
      </c>
      <c r="E11610" s="14" t="str">
        <f aca="false">IF(C11610="","",C11610*D11610/100)</f>
        <v/>
      </c>
      <c r="F11610" s="15" t="str">
        <f aca="false">IF(B11610&lt;5,"Go","Standard")</f>
        <v>Standard</v>
      </c>
    </row>
    <row r="11611" customFormat="false" ht="15" hidden="false" customHeight="true" outlineLevel="0" collapsed="false">
      <c r="A11611" s="10" t="n">
        <f aca="false">Einstellungen!$B$5+INT((ROW()-9)/24)</f>
        <v>46449</v>
      </c>
      <c r="B11611" s="11" t="n">
        <f aca="false">MOD(ROW()-9,24)</f>
        <v>10</v>
      </c>
      <c r="C11611" s="12"/>
      <c r="D11611" s="13" t="n">
        <f aca="false">IF(B11611&lt;5,Einstellungen!$B$3,Einstellungen!$B$4)</f>
        <v>29.13</v>
      </c>
      <c r="E11611" s="14" t="str">
        <f aca="false">IF(C11611="","",C11611*D11611/100)</f>
        <v/>
      </c>
      <c r="F11611" s="15" t="str">
        <f aca="false">IF(B11611&lt;5,"Go","Standard")</f>
        <v>Standard</v>
      </c>
    </row>
    <row r="11612" customFormat="false" ht="15" hidden="false" customHeight="true" outlineLevel="0" collapsed="false">
      <c r="A11612" s="10" t="n">
        <f aca="false">Einstellungen!$B$5+INT((ROW()-9)/24)</f>
        <v>46449</v>
      </c>
      <c r="B11612" s="11" t="n">
        <f aca="false">MOD(ROW()-9,24)</f>
        <v>11</v>
      </c>
      <c r="C11612" s="12"/>
      <c r="D11612" s="13" t="n">
        <f aca="false">IF(B11612&lt;5,Einstellungen!$B$3,Einstellungen!$B$4)</f>
        <v>29.13</v>
      </c>
      <c r="E11612" s="14" t="str">
        <f aca="false">IF(C11612="","",C11612*D11612/100)</f>
        <v/>
      </c>
      <c r="F11612" s="15" t="str">
        <f aca="false">IF(B11612&lt;5,"Go","Standard")</f>
        <v>Standard</v>
      </c>
    </row>
    <row r="11613" customFormat="false" ht="15" hidden="false" customHeight="true" outlineLevel="0" collapsed="false">
      <c r="A11613" s="10" t="n">
        <f aca="false">Einstellungen!$B$5+INT((ROW()-9)/24)</f>
        <v>46449</v>
      </c>
      <c r="B11613" s="11" t="n">
        <f aca="false">MOD(ROW()-9,24)</f>
        <v>12</v>
      </c>
      <c r="C11613" s="12"/>
      <c r="D11613" s="13" t="n">
        <f aca="false">IF(B11613&lt;5,Einstellungen!$B$3,Einstellungen!$B$4)</f>
        <v>29.13</v>
      </c>
      <c r="E11613" s="14" t="str">
        <f aca="false">IF(C11613="","",C11613*D11613/100)</f>
        <v/>
      </c>
      <c r="F11613" s="15" t="str">
        <f aca="false">IF(B11613&lt;5,"Go","Standard")</f>
        <v>Standard</v>
      </c>
    </row>
    <row r="11614" customFormat="false" ht="15" hidden="false" customHeight="true" outlineLevel="0" collapsed="false">
      <c r="A11614" s="10" t="n">
        <f aca="false">Einstellungen!$B$5+INT((ROW()-9)/24)</f>
        <v>46449</v>
      </c>
      <c r="B11614" s="11" t="n">
        <f aca="false">MOD(ROW()-9,24)</f>
        <v>13</v>
      </c>
      <c r="C11614" s="12"/>
      <c r="D11614" s="13" t="n">
        <f aca="false">IF(B11614&lt;5,Einstellungen!$B$3,Einstellungen!$B$4)</f>
        <v>29.13</v>
      </c>
      <c r="E11614" s="14" t="str">
        <f aca="false">IF(C11614="","",C11614*D11614/100)</f>
        <v/>
      </c>
      <c r="F11614" s="15" t="str">
        <f aca="false">IF(B11614&lt;5,"Go","Standard")</f>
        <v>Standard</v>
      </c>
    </row>
    <row r="11615" customFormat="false" ht="15" hidden="false" customHeight="true" outlineLevel="0" collapsed="false">
      <c r="A11615" s="10" t="n">
        <f aca="false">Einstellungen!$B$5+INT((ROW()-9)/24)</f>
        <v>46449</v>
      </c>
      <c r="B11615" s="11" t="n">
        <f aca="false">MOD(ROW()-9,24)</f>
        <v>14</v>
      </c>
      <c r="C11615" s="12"/>
      <c r="D11615" s="13" t="n">
        <f aca="false">IF(B11615&lt;5,Einstellungen!$B$3,Einstellungen!$B$4)</f>
        <v>29.13</v>
      </c>
      <c r="E11615" s="14" t="str">
        <f aca="false">IF(C11615="","",C11615*D11615/100)</f>
        <v/>
      </c>
      <c r="F11615" s="15" t="str">
        <f aca="false">IF(B11615&lt;5,"Go","Standard")</f>
        <v>Standard</v>
      </c>
    </row>
    <row r="11616" customFormat="false" ht="15" hidden="false" customHeight="true" outlineLevel="0" collapsed="false">
      <c r="A11616" s="10" t="n">
        <f aca="false">Einstellungen!$B$5+INT((ROW()-9)/24)</f>
        <v>46449</v>
      </c>
      <c r="B11616" s="11" t="n">
        <f aca="false">MOD(ROW()-9,24)</f>
        <v>15</v>
      </c>
      <c r="C11616" s="12"/>
      <c r="D11616" s="13" t="n">
        <f aca="false">IF(B11616&lt;5,Einstellungen!$B$3,Einstellungen!$B$4)</f>
        <v>29.13</v>
      </c>
      <c r="E11616" s="14" t="str">
        <f aca="false">IF(C11616="","",C11616*D11616/100)</f>
        <v/>
      </c>
      <c r="F11616" s="15" t="str">
        <f aca="false">IF(B11616&lt;5,"Go","Standard")</f>
        <v>Standard</v>
      </c>
    </row>
    <row r="11617" customFormat="false" ht="15" hidden="false" customHeight="true" outlineLevel="0" collapsed="false">
      <c r="A11617" s="10" t="n">
        <f aca="false">Einstellungen!$B$5+INT((ROW()-9)/24)</f>
        <v>46449</v>
      </c>
      <c r="B11617" s="11" t="n">
        <f aca="false">MOD(ROW()-9,24)</f>
        <v>16</v>
      </c>
      <c r="C11617" s="12"/>
      <c r="D11617" s="13" t="n">
        <f aca="false">IF(B11617&lt;5,Einstellungen!$B$3,Einstellungen!$B$4)</f>
        <v>29.13</v>
      </c>
      <c r="E11617" s="14" t="str">
        <f aca="false">IF(C11617="","",C11617*D11617/100)</f>
        <v/>
      </c>
      <c r="F11617" s="15" t="str">
        <f aca="false">IF(B11617&lt;5,"Go","Standard")</f>
        <v>Standard</v>
      </c>
    </row>
    <row r="11618" customFormat="false" ht="15" hidden="false" customHeight="true" outlineLevel="0" collapsed="false">
      <c r="A11618" s="10" t="n">
        <f aca="false">Einstellungen!$B$5+INT((ROW()-9)/24)</f>
        <v>46449</v>
      </c>
      <c r="B11618" s="11" t="n">
        <f aca="false">MOD(ROW()-9,24)</f>
        <v>17</v>
      </c>
      <c r="C11618" s="12"/>
      <c r="D11618" s="13" t="n">
        <f aca="false">IF(B11618&lt;5,Einstellungen!$B$3,Einstellungen!$B$4)</f>
        <v>29.13</v>
      </c>
      <c r="E11618" s="14" t="str">
        <f aca="false">IF(C11618="","",C11618*D11618/100)</f>
        <v/>
      </c>
      <c r="F11618" s="15" t="str">
        <f aca="false">IF(B11618&lt;5,"Go","Standard")</f>
        <v>Standard</v>
      </c>
    </row>
    <row r="11619" customFormat="false" ht="15" hidden="false" customHeight="true" outlineLevel="0" collapsed="false">
      <c r="A11619" s="10" t="n">
        <f aca="false">Einstellungen!$B$5+INT((ROW()-9)/24)</f>
        <v>46449</v>
      </c>
      <c r="B11619" s="11" t="n">
        <f aca="false">MOD(ROW()-9,24)</f>
        <v>18</v>
      </c>
      <c r="C11619" s="12"/>
      <c r="D11619" s="13" t="n">
        <f aca="false">IF(B11619&lt;5,Einstellungen!$B$3,Einstellungen!$B$4)</f>
        <v>29.13</v>
      </c>
      <c r="E11619" s="14" t="str">
        <f aca="false">IF(C11619="","",C11619*D11619/100)</f>
        <v/>
      </c>
      <c r="F11619" s="15" t="str">
        <f aca="false">IF(B11619&lt;5,"Go","Standard")</f>
        <v>Standard</v>
      </c>
    </row>
    <row r="11620" customFormat="false" ht="15" hidden="false" customHeight="true" outlineLevel="0" collapsed="false">
      <c r="A11620" s="10" t="n">
        <f aca="false">Einstellungen!$B$5+INT((ROW()-9)/24)</f>
        <v>46449</v>
      </c>
      <c r="B11620" s="11" t="n">
        <f aca="false">MOD(ROW()-9,24)</f>
        <v>19</v>
      </c>
      <c r="C11620" s="12"/>
      <c r="D11620" s="13" t="n">
        <f aca="false">IF(B11620&lt;5,Einstellungen!$B$3,Einstellungen!$B$4)</f>
        <v>29.13</v>
      </c>
      <c r="E11620" s="14" t="str">
        <f aca="false">IF(C11620="","",C11620*D11620/100)</f>
        <v/>
      </c>
      <c r="F11620" s="15" t="str">
        <f aca="false">IF(B11620&lt;5,"Go","Standard")</f>
        <v>Standard</v>
      </c>
    </row>
    <row r="11621" customFormat="false" ht="15" hidden="false" customHeight="true" outlineLevel="0" collapsed="false">
      <c r="A11621" s="10" t="n">
        <f aca="false">Einstellungen!$B$5+INT((ROW()-9)/24)</f>
        <v>46449</v>
      </c>
      <c r="B11621" s="11" t="n">
        <f aca="false">MOD(ROW()-9,24)</f>
        <v>20</v>
      </c>
      <c r="C11621" s="12"/>
      <c r="D11621" s="13" t="n">
        <f aca="false">IF(B11621&lt;5,Einstellungen!$B$3,Einstellungen!$B$4)</f>
        <v>29.13</v>
      </c>
      <c r="E11621" s="14" t="str">
        <f aca="false">IF(C11621="","",C11621*D11621/100)</f>
        <v/>
      </c>
      <c r="F11621" s="15" t="str">
        <f aca="false">IF(B11621&lt;5,"Go","Standard")</f>
        <v>Standard</v>
      </c>
    </row>
    <row r="11622" customFormat="false" ht="15" hidden="false" customHeight="true" outlineLevel="0" collapsed="false">
      <c r="A11622" s="10" t="n">
        <f aca="false">Einstellungen!$B$5+INT((ROW()-9)/24)</f>
        <v>46449</v>
      </c>
      <c r="B11622" s="11" t="n">
        <f aca="false">MOD(ROW()-9,24)</f>
        <v>21</v>
      </c>
      <c r="C11622" s="12"/>
      <c r="D11622" s="13" t="n">
        <f aca="false">IF(B11622&lt;5,Einstellungen!$B$3,Einstellungen!$B$4)</f>
        <v>29.13</v>
      </c>
      <c r="E11622" s="14" t="str">
        <f aca="false">IF(C11622="","",C11622*D11622/100)</f>
        <v/>
      </c>
      <c r="F11622" s="15" t="str">
        <f aca="false">IF(B11622&lt;5,"Go","Standard")</f>
        <v>Standard</v>
      </c>
    </row>
    <row r="11623" customFormat="false" ht="15" hidden="false" customHeight="true" outlineLevel="0" collapsed="false">
      <c r="A11623" s="10" t="n">
        <f aca="false">Einstellungen!$B$5+INT((ROW()-9)/24)</f>
        <v>46449</v>
      </c>
      <c r="B11623" s="11" t="n">
        <f aca="false">MOD(ROW()-9,24)</f>
        <v>22</v>
      </c>
      <c r="C11623" s="12"/>
      <c r="D11623" s="13" t="n">
        <f aca="false">IF(B11623&lt;5,Einstellungen!$B$3,Einstellungen!$B$4)</f>
        <v>29.13</v>
      </c>
      <c r="E11623" s="14" t="str">
        <f aca="false">IF(C11623="","",C11623*D11623/100)</f>
        <v/>
      </c>
      <c r="F11623" s="15" t="str">
        <f aca="false">IF(B11623&lt;5,"Go","Standard")</f>
        <v>Standard</v>
      </c>
    </row>
    <row r="11624" customFormat="false" ht="15" hidden="false" customHeight="true" outlineLevel="0" collapsed="false">
      <c r="A11624" s="10" t="n">
        <f aca="false">Einstellungen!$B$5+INT((ROW()-9)/24)</f>
        <v>46449</v>
      </c>
      <c r="B11624" s="11" t="n">
        <f aca="false">MOD(ROW()-9,24)</f>
        <v>23</v>
      </c>
      <c r="C11624" s="12"/>
      <c r="D11624" s="13" t="n">
        <f aca="false">IF(B11624&lt;5,Einstellungen!$B$3,Einstellungen!$B$4)</f>
        <v>29.13</v>
      </c>
      <c r="E11624" s="14" t="str">
        <f aca="false">IF(C11624="","",C11624*D11624/100)</f>
        <v/>
      </c>
      <c r="F11624" s="15" t="str">
        <f aca="false">IF(B11624&lt;5,"Go","Standard")</f>
        <v>Standard</v>
      </c>
    </row>
    <row r="11625" customFormat="false" ht="15" hidden="false" customHeight="true" outlineLevel="0" collapsed="false">
      <c r="A11625" s="10" t="n">
        <f aca="false">Einstellungen!$B$5+INT((ROW()-9)/24)</f>
        <v>46450</v>
      </c>
      <c r="B11625" s="11" t="n">
        <f aca="false">MOD(ROW()-9,24)</f>
        <v>0</v>
      </c>
      <c r="C11625" s="12"/>
      <c r="D11625" s="13" t="n">
        <f aca="false">IF(B11625&lt;5,Einstellungen!$B$3,Einstellungen!$B$4)</f>
        <v>15.92</v>
      </c>
      <c r="E11625" s="14" t="str">
        <f aca="false">IF(C11625="","",C11625*D11625/100)</f>
        <v/>
      </c>
      <c r="F11625" s="15" t="str">
        <f aca="false">IF(B11625&lt;5,"Go","Standard")</f>
        <v>Go</v>
      </c>
    </row>
    <row r="11626" customFormat="false" ht="15" hidden="false" customHeight="true" outlineLevel="0" collapsed="false">
      <c r="A11626" s="10" t="n">
        <f aca="false">Einstellungen!$B$5+INT((ROW()-9)/24)</f>
        <v>46450</v>
      </c>
      <c r="B11626" s="11" t="n">
        <f aca="false">MOD(ROW()-9,24)</f>
        <v>1</v>
      </c>
      <c r="C11626" s="12"/>
      <c r="D11626" s="13" t="n">
        <f aca="false">IF(B11626&lt;5,Einstellungen!$B$3,Einstellungen!$B$4)</f>
        <v>15.92</v>
      </c>
      <c r="E11626" s="14" t="str">
        <f aca="false">IF(C11626="","",C11626*D11626/100)</f>
        <v/>
      </c>
      <c r="F11626" s="15" t="str">
        <f aca="false">IF(B11626&lt;5,"Go","Standard")</f>
        <v>Go</v>
      </c>
    </row>
    <row r="11627" customFormat="false" ht="15" hidden="false" customHeight="true" outlineLevel="0" collapsed="false">
      <c r="A11627" s="10" t="n">
        <f aca="false">Einstellungen!$B$5+INT((ROW()-9)/24)</f>
        <v>46450</v>
      </c>
      <c r="B11627" s="11" t="n">
        <f aca="false">MOD(ROW()-9,24)</f>
        <v>2</v>
      </c>
      <c r="C11627" s="12"/>
      <c r="D11627" s="13" t="n">
        <f aca="false">IF(B11627&lt;5,Einstellungen!$B$3,Einstellungen!$B$4)</f>
        <v>15.92</v>
      </c>
      <c r="E11627" s="14" t="str">
        <f aca="false">IF(C11627="","",C11627*D11627/100)</f>
        <v/>
      </c>
      <c r="F11627" s="15" t="str">
        <f aca="false">IF(B11627&lt;5,"Go","Standard")</f>
        <v>Go</v>
      </c>
    </row>
    <row r="11628" customFormat="false" ht="15" hidden="false" customHeight="true" outlineLevel="0" collapsed="false">
      <c r="A11628" s="10" t="n">
        <f aca="false">Einstellungen!$B$5+INT((ROW()-9)/24)</f>
        <v>46450</v>
      </c>
      <c r="B11628" s="11" t="n">
        <f aca="false">MOD(ROW()-9,24)</f>
        <v>3</v>
      </c>
      <c r="C11628" s="12"/>
      <c r="D11628" s="13" t="n">
        <f aca="false">IF(B11628&lt;5,Einstellungen!$B$3,Einstellungen!$B$4)</f>
        <v>15.92</v>
      </c>
      <c r="E11628" s="14" t="str">
        <f aca="false">IF(C11628="","",C11628*D11628/100)</f>
        <v/>
      </c>
      <c r="F11628" s="15" t="str">
        <f aca="false">IF(B11628&lt;5,"Go","Standard")</f>
        <v>Go</v>
      </c>
    </row>
    <row r="11629" customFormat="false" ht="15" hidden="false" customHeight="true" outlineLevel="0" collapsed="false">
      <c r="A11629" s="10" t="n">
        <f aca="false">Einstellungen!$B$5+INT((ROW()-9)/24)</f>
        <v>46450</v>
      </c>
      <c r="B11629" s="11" t="n">
        <f aca="false">MOD(ROW()-9,24)</f>
        <v>4</v>
      </c>
      <c r="C11629" s="12"/>
      <c r="D11629" s="13" t="n">
        <f aca="false">IF(B11629&lt;5,Einstellungen!$B$3,Einstellungen!$B$4)</f>
        <v>15.92</v>
      </c>
      <c r="E11629" s="14" t="str">
        <f aca="false">IF(C11629="","",C11629*D11629/100)</f>
        <v/>
      </c>
      <c r="F11629" s="15" t="str">
        <f aca="false">IF(B11629&lt;5,"Go","Standard")</f>
        <v>Go</v>
      </c>
    </row>
    <row r="11630" customFormat="false" ht="15" hidden="false" customHeight="true" outlineLevel="0" collapsed="false">
      <c r="A11630" s="10" t="n">
        <f aca="false">Einstellungen!$B$5+INT((ROW()-9)/24)</f>
        <v>46450</v>
      </c>
      <c r="B11630" s="11" t="n">
        <f aca="false">MOD(ROW()-9,24)</f>
        <v>5</v>
      </c>
      <c r="C11630" s="12"/>
      <c r="D11630" s="13" t="n">
        <f aca="false">IF(B11630&lt;5,Einstellungen!$B$3,Einstellungen!$B$4)</f>
        <v>29.13</v>
      </c>
      <c r="E11630" s="14" t="str">
        <f aca="false">IF(C11630="","",C11630*D11630/100)</f>
        <v/>
      </c>
      <c r="F11630" s="15" t="str">
        <f aca="false">IF(B11630&lt;5,"Go","Standard")</f>
        <v>Standard</v>
      </c>
    </row>
    <row r="11631" customFormat="false" ht="15" hidden="false" customHeight="true" outlineLevel="0" collapsed="false">
      <c r="A11631" s="10" t="n">
        <f aca="false">Einstellungen!$B$5+INT((ROW()-9)/24)</f>
        <v>46450</v>
      </c>
      <c r="B11631" s="11" t="n">
        <f aca="false">MOD(ROW()-9,24)</f>
        <v>6</v>
      </c>
      <c r="C11631" s="12"/>
      <c r="D11631" s="13" t="n">
        <f aca="false">IF(B11631&lt;5,Einstellungen!$B$3,Einstellungen!$B$4)</f>
        <v>29.13</v>
      </c>
      <c r="E11631" s="14" t="str">
        <f aca="false">IF(C11631="","",C11631*D11631/100)</f>
        <v/>
      </c>
      <c r="F11631" s="15" t="str">
        <f aca="false">IF(B11631&lt;5,"Go","Standard")</f>
        <v>Standard</v>
      </c>
    </row>
    <row r="11632" customFormat="false" ht="15" hidden="false" customHeight="true" outlineLevel="0" collapsed="false">
      <c r="A11632" s="10" t="n">
        <f aca="false">Einstellungen!$B$5+INT((ROW()-9)/24)</f>
        <v>46450</v>
      </c>
      <c r="B11632" s="11" t="n">
        <f aca="false">MOD(ROW()-9,24)</f>
        <v>7</v>
      </c>
      <c r="C11632" s="12"/>
      <c r="D11632" s="13" t="n">
        <f aca="false">IF(B11632&lt;5,Einstellungen!$B$3,Einstellungen!$B$4)</f>
        <v>29.13</v>
      </c>
      <c r="E11632" s="14" t="str">
        <f aca="false">IF(C11632="","",C11632*D11632/100)</f>
        <v/>
      </c>
      <c r="F11632" s="15" t="str">
        <f aca="false">IF(B11632&lt;5,"Go","Standard")</f>
        <v>Standard</v>
      </c>
    </row>
    <row r="11633" customFormat="false" ht="15" hidden="false" customHeight="true" outlineLevel="0" collapsed="false">
      <c r="A11633" s="10" t="n">
        <f aca="false">Einstellungen!$B$5+INT((ROW()-9)/24)</f>
        <v>46450</v>
      </c>
      <c r="B11633" s="11" t="n">
        <f aca="false">MOD(ROW()-9,24)</f>
        <v>8</v>
      </c>
      <c r="C11633" s="12"/>
      <c r="D11633" s="13" t="n">
        <f aca="false">IF(B11633&lt;5,Einstellungen!$B$3,Einstellungen!$B$4)</f>
        <v>29.13</v>
      </c>
      <c r="E11633" s="14" t="str">
        <f aca="false">IF(C11633="","",C11633*D11633/100)</f>
        <v/>
      </c>
      <c r="F11633" s="15" t="str">
        <f aca="false">IF(B11633&lt;5,"Go","Standard")</f>
        <v>Standard</v>
      </c>
    </row>
    <row r="11634" customFormat="false" ht="15" hidden="false" customHeight="true" outlineLevel="0" collapsed="false">
      <c r="A11634" s="10" t="n">
        <f aca="false">Einstellungen!$B$5+INT((ROW()-9)/24)</f>
        <v>46450</v>
      </c>
      <c r="B11634" s="11" t="n">
        <f aca="false">MOD(ROW()-9,24)</f>
        <v>9</v>
      </c>
      <c r="C11634" s="12"/>
      <c r="D11634" s="13" t="n">
        <f aca="false">IF(B11634&lt;5,Einstellungen!$B$3,Einstellungen!$B$4)</f>
        <v>29.13</v>
      </c>
      <c r="E11634" s="14" t="str">
        <f aca="false">IF(C11634="","",C11634*D11634/100)</f>
        <v/>
      </c>
      <c r="F11634" s="15" t="str">
        <f aca="false">IF(B11634&lt;5,"Go","Standard")</f>
        <v>Standard</v>
      </c>
    </row>
    <row r="11635" customFormat="false" ht="15" hidden="false" customHeight="true" outlineLevel="0" collapsed="false">
      <c r="A11635" s="10" t="n">
        <f aca="false">Einstellungen!$B$5+INT((ROW()-9)/24)</f>
        <v>46450</v>
      </c>
      <c r="B11635" s="11" t="n">
        <f aca="false">MOD(ROW()-9,24)</f>
        <v>10</v>
      </c>
      <c r="C11635" s="12"/>
      <c r="D11635" s="13" t="n">
        <f aca="false">IF(B11635&lt;5,Einstellungen!$B$3,Einstellungen!$B$4)</f>
        <v>29.13</v>
      </c>
      <c r="E11635" s="14" t="str">
        <f aca="false">IF(C11635="","",C11635*D11635/100)</f>
        <v/>
      </c>
      <c r="F11635" s="15" t="str">
        <f aca="false">IF(B11635&lt;5,"Go","Standard")</f>
        <v>Standard</v>
      </c>
    </row>
    <row r="11636" customFormat="false" ht="15" hidden="false" customHeight="true" outlineLevel="0" collapsed="false">
      <c r="A11636" s="10" t="n">
        <f aca="false">Einstellungen!$B$5+INT((ROW()-9)/24)</f>
        <v>46450</v>
      </c>
      <c r="B11636" s="11" t="n">
        <f aca="false">MOD(ROW()-9,24)</f>
        <v>11</v>
      </c>
      <c r="C11636" s="12"/>
      <c r="D11636" s="13" t="n">
        <f aca="false">IF(B11636&lt;5,Einstellungen!$B$3,Einstellungen!$B$4)</f>
        <v>29.13</v>
      </c>
      <c r="E11636" s="14" t="str">
        <f aca="false">IF(C11636="","",C11636*D11636/100)</f>
        <v/>
      </c>
      <c r="F11636" s="15" t="str">
        <f aca="false">IF(B11636&lt;5,"Go","Standard")</f>
        <v>Standard</v>
      </c>
    </row>
    <row r="11637" customFormat="false" ht="15" hidden="false" customHeight="true" outlineLevel="0" collapsed="false">
      <c r="A11637" s="10" t="n">
        <f aca="false">Einstellungen!$B$5+INT((ROW()-9)/24)</f>
        <v>46450</v>
      </c>
      <c r="B11637" s="11" t="n">
        <f aca="false">MOD(ROW()-9,24)</f>
        <v>12</v>
      </c>
      <c r="C11637" s="12"/>
      <c r="D11637" s="13" t="n">
        <f aca="false">IF(B11637&lt;5,Einstellungen!$B$3,Einstellungen!$B$4)</f>
        <v>29.13</v>
      </c>
      <c r="E11637" s="14" t="str">
        <f aca="false">IF(C11637="","",C11637*D11637/100)</f>
        <v/>
      </c>
      <c r="F11637" s="15" t="str">
        <f aca="false">IF(B11637&lt;5,"Go","Standard")</f>
        <v>Standard</v>
      </c>
    </row>
    <row r="11638" customFormat="false" ht="15" hidden="false" customHeight="true" outlineLevel="0" collapsed="false">
      <c r="A11638" s="10" t="n">
        <f aca="false">Einstellungen!$B$5+INT((ROW()-9)/24)</f>
        <v>46450</v>
      </c>
      <c r="B11638" s="11" t="n">
        <f aca="false">MOD(ROW()-9,24)</f>
        <v>13</v>
      </c>
      <c r="C11638" s="12"/>
      <c r="D11638" s="13" t="n">
        <f aca="false">IF(B11638&lt;5,Einstellungen!$B$3,Einstellungen!$B$4)</f>
        <v>29.13</v>
      </c>
      <c r="E11638" s="14" t="str">
        <f aca="false">IF(C11638="","",C11638*D11638/100)</f>
        <v/>
      </c>
      <c r="F11638" s="15" t="str">
        <f aca="false">IF(B11638&lt;5,"Go","Standard")</f>
        <v>Standard</v>
      </c>
    </row>
    <row r="11639" customFormat="false" ht="15" hidden="false" customHeight="true" outlineLevel="0" collapsed="false">
      <c r="A11639" s="10" t="n">
        <f aca="false">Einstellungen!$B$5+INT((ROW()-9)/24)</f>
        <v>46450</v>
      </c>
      <c r="B11639" s="11" t="n">
        <f aca="false">MOD(ROW()-9,24)</f>
        <v>14</v>
      </c>
      <c r="C11639" s="12"/>
      <c r="D11639" s="13" t="n">
        <f aca="false">IF(B11639&lt;5,Einstellungen!$B$3,Einstellungen!$B$4)</f>
        <v>29.13</v>
      </c>
      <c r="E11639" s="14" t="str">
        <f aca="false">IF(C11639="","",C11639*D11639/100)</f>
        <v/>
      </c>
      <c r="F11639" s="15" t="str">
        <f aca="false">IF(B11639&lt;5,"Go","Standard")</f>
        <v>Standard</v>
      </c>
    </row>
    <row r="11640" customFormat="false" ht="15" hidden="false" customHeight="true" outlineLevel="0" collapsed="false">
      <c r="A11640" s="10" t="n">
        <f aca="false">Einstellungen!$B$5+INT((ROW()-9)/24)</f>
        <v>46450</v>
      </c>
      <c r="B11640" s="11" t="n">
        <f aca="false">MOD(ROW()-9,24)</f>
        <v>15</v>
      </c>
      <c r="C11640" s="12"/>
      <c r="D11640" s="13" t="n">
        <f aca="false">IF(B11640&lt;5,Einstellungen!$B$3,Einstellungen!$B$4)</f>
        <v>29.13</v>
      </c>
      <c r="E11640" s="14" t="str">
        <f aca="false">IF(C11640="","",C11640*D11640/100)</f>
        <v/>
      </c>
      <c r="F11640" s="15" t="str">
        <f aca="false">IF(B11640&lt;5,"Go","Standard")</f>
        <v>Standard</v>
      </c>
    </row>
    <row r="11641" customFormat="false" ht="15" hidden="false" customHeight="true" outlineLevel="0" collapsed="false">
      <c r="A11641" s="10" t="n">
        <f aca="false">Einstellungen!$B$5+INT((ROW()-9)/24)</f>
        <v>46450</v>
      </c>
      <c r="B11641" s="11" t="n">
        <f aca="false">MOD(ROW()-9,24)</f>
        <v>16</v>
      </c>
      <c r="C11641" s="12"/>
      <c r="D11641" s="13" t="n">
        <f aca="false">IF(B11641&lt;5,Einstellungen!$B$3,Einstellungen!$B$4)</f>
        <v>29.13</v>
      </c>
      <c r="E11641" s="14" t="str">
        <f aca="false">IF(C11641="","",C11641*D11641/100)</f>
        <v/>
      </c>
      <c r="F11641" s="15" t="str">
        <f aca="false">IF(B11641&lt;5,"Go","Standard")</f>
        <v>Standard</v>
      </c>
    </row>
    <row r="11642" customFormat="false" ht="15" hidden="false" customHeight="true" outlineLevel="0" collapsed="false">
      <c r="A11642" s="10" t="n">
        <f aca="false">Einstellungen!$B$5+INT((ROW()-9)/24)</f>
        <v>46450</v>
      </c>
      <c r="B11642" s="11" t="n">
        <f aca="false">MOD(ROW()-9,24)</f>
        <v>17</v>
      </c>
      <c r="C11642" s="12"/>
      <c r="D11642" s="13" t="n">
        <f aca="false">IF(B11642&lt;5,Einstellungen!$B$3,Einstellungen!$B$4)</f>
        <v>29.13</v>
      </c>
      <c r="E11642" s="14" t="str">
        <f aca="false">IF(C11642="","",C11642*D11642/100)</f>
        <v/>
      </c>
      <c r="F11642" s="15" t="str">
        <f aca="false">IF(B11642&lt;5,"Go","Standard")</f>
        <v>Standard</v>
      </c>
    </row>
    <row r="11643" customFormat="false" ht="15" hidden="false" customHeight="true" outlineLevel="0" collapsed="false">
      <c r="A11643" s="10" t="n">
        <f aca="false">Einstellungen!$B$5+INT((ROW()-9)/24)</f>
        <v>46450</v>
      </c>
      <c r="B11643" s="11" t="n">
        <f aca="false">MOD(ROW()-9,24)</f>
        <v>18</v>
      </c>
      <c r="C11643" s="12"/>
      <c r="D11643" s="13" t="n">
        <f aca="false">IF(B11643&lt;5,Einstellungen!$B$3,Einstellungen!$B$4)</f>
        <v>29.13</v>
      </c>
      <c r="E11643" s="14" t="str">
        <f aca="false">IF(C11643="","",C11643*D11643/100)</f>
        <v/>
      </c>
      <c r="F11643" s="15" t="str">
        <f aca="false">IF(B11643&lt;5,"Go","Standard")</f>
        <v>Standard</v>
      </c>
    </row>
    <row r="11644" customFormat="false" ht="15" hidden="false" customHeight="true" outlineLevel="0" collapsed="false">
      <c r="A11644" s="10" t="n">
        <f aca="false">Einstellungen!$B$5+INT((ROW()-9)/24)</f>
        <v>46450</v>
      </c>
      <c r="B11644" s="11" t="n">
        <f aca="false">MOD(ROW()-9,24)</f>
        <v>19</v>
      </c>
      <c r="C11644" s="12"/>
      <c r="D11644" s="13" t="n">
        <f aca="false">IF(B11644&lt;5,Einstellungen!$B$3,Einstellungen!$B$4)</f>
        <v>29.13</v>
      </c>
      <c r="E11644" s="14" t="str">
        <f aca="false">IF(C11644="","",C11644*D11644/100)</f>
        <v/>
      </c>
      <c r="F11644" s="15" t="str">
        <f aca="false">IF(B11644&lt;5,"Go","Standard")</f>
        <v>Standard</v>
      </c>
    </row>
    <row r="11645" customFormat="false" ht="15" hidden="false" customHeight="true" outlineLevel="0" collapsed="false">
      <c r="A11645" s="10" t="n">
        <f aca="false">Einstellungen!$B$5+INT((ROW()-9)/24)</f>
        <v>46450</v>
      </c>
      <c r="B11645" s="11" t="n">
        <f aca="false">MOD(ROW()-9,24)</f>
        <v>20</v>
      </c>
      <c r="C11645" s="12"/>
      <c r="D11645" s="13" t="n">
        <f aca="false">IF(B11645&lt;5,Einstellungen!$B$3,Einstellungen!$B$4)</f>
        <v>29.13</v>
      </c>
      <c r="E11645" s="14" t="str">
        <f aca="false">IF(C11645="","",C11645*D11645/100)</f>
        <v/>
      </c>
      <c r="F11645" s="15" t="str">
        <f aca="false">IF(B11645&lt;5,"Go","Standard")</f>
        <v>Standard</v>
      </c>
    </row>
    <row r="11646" customFormat="false" ht="15" hidden="false" customHeight="true" outlineLevel="0" collapsed="false">
      <c r="A11646" s="10" t="n">
        <f aca="false">Einstellungen!$B$5+INT((ROW()-9)/24)</f>
        <v>46450</v>
      </c>
      <c r="B11646" s="11" t="n">
        <f aca="false">MOD(ROW()-9,24)</f>
        <v>21</v>
      </c>
      <c r="C11646" s="12"/>
      <c r="D11646" s="13" t="n">
        <f aca="false">IF(B11646&lt;5,Einstellungen!$B$3,Einstellungen!$B$4)</f>
        <v>29.13</v>
      </c>
      <c r="E11646" s="14" t="str">
        <f aca="false">IF(C11646="","",C11646*D11646/100)</f>
        <v/>
      </c>
      <c r="F11646" s="15" t="str">
        <f aca="false">IF(B11646&lt;5,"Go","Standard")</f>
        <v>Standard</v>
      </c>
    </row>
    <row r="11647" customFormat="false" ht="15" hidden="false" customHeight="true" outlineLevel="0" collapsed="false">
      <c r="A11647" s="10" t="n">
        <f aca="false">Einstellungen!$B$5+INT((ROW()-9)/24)</f>
        <v>46450</v>
      </c>
      <c r="B11647" s="11" t="n">
        <f aca="false">MOD(ROW()-9,24)</f>
        <v>22</v>
      </c>
      <c r="C11647" s="12"/>
      <c r="D11647" s="13" t="n">
        <f aca="false">IF(B11647&lt;5,Einstellungen!$B$3,Einstellungen!$B$4)</f>
        <v>29.13</v>
      </c>
      <c r="E11647" s="14" t="str">
        <f aca="false">IF(C11647="","",C11647*D11647/100)</f>
        <v/>
      </c>
      <c r="F11647" s="15" t="str">
        <f aca="false">IF(B11647&lt;5,"Go","Standard")</f>
        <v>Standard</v>
      </c>
    </row>
    <row r="11648" customFormat="false" ht="15" hidden="false" customHeight="true" outlineLevel="0" collapsed="false">
      <c r="A11648" s="10" t="n">
        <f aca="false">Einstellungen!$B$5+INT((ROW()-9)/24)</f>
        <v>46450</v>
      </c>
      <c r="B11648" s="11" t="n">
        <f aca="false">MOD(ROW()-9,24)</f>
        <v>23</v>
      </c>
      <c r="C11648" s="12"/>
      <c r="D11648" s="13" t="n">
        <f aca="false">IF(B11648&lt;5,Einstellungen!$B$3,Einstellungen!$B$4)</f>
        <v>29.13</v>
      </c>
      <c r="E11648" s="14" t="str">
        <f aca="false">IF(C11648="","",C11648*D11648/100)</f>
        <v/>
      </c>
      <c r="F11648" s="15" t="str">
        <f aca="false">IF(B11648&lt;5,"Go","Standard")</f>
        <v>Standard</v>
      </c>
    </row>
    <row r="11649" customFormat="false" ht="15" hidden="false" customHeight="true" outlineLevel="0" collapsed="false">
      <c r="A11649" s="10" t="n">
        <f aca="false">Einstellungen!$B$5+INT((ROW()-9)/24)</f>
        <v>46451</v>
      </c>
      <c r="B11649" s="11" t="n">
        <f aca="false">MOD(ROW()-9,24)</f>
        <v>0</v>
      </c>
      <c r="C11649" s="12"/>
      <c r="D11649" s="13" t="n">
        <f aca="false">IF(B11649&lt;5,Einstellungen!$B$3,Einstellungen!$B$4)</f>
        <v>15.92</v>
      </c>
      <c r="E11649" s="14" t="str">
        <f aca="false">IF(C11649="","",C11649*D11649/100)</f>
        <v/>
      </c>
      <c r="F11649" s="15" t="str">
        <f aca="false">IF(B11649&lt;5,"Go","Standard")</f>
        <v>Go</v>
      </c>
    </row>
    <row r="11650" customFormat="false" ht="15" hidden="false" customHeight="true" outlineLevel="0" collapsed="false">
      <c r="A11650" s="10" t="n">
        <f aca="false">Einstellungen!$B$5+INT((ROW()-9)/24)</f>
        <v>46451</v>
      </c>
      <c r="B11650" s="11" t="n">
        <f aca="false">MOD(ROW()-9,24)</f>
        <v>1</v>
      </c>
      <c r="C11650" s="12"/>
      <c r="D11650" s="13" t="n">
        <f aca="false">IF(B11650&lt;5,Einstellungen!$B$3,Einstellungen!$B$4)</f>
        <v>15.92</v>
      </c>
      <c r="E11650" s="14" t="str">
        <f aca="false">IF(C11650="","",C11650*D11650/100)</f>
        <v/>
      </c>
      <c r="F11650" s="15" t="str">
        <f aca="false">IF(B11650&lt;5,"Go","Standard")</f>
        <v>Go</v>
      </c>
    </row>
    <row r="11651" customFormat="false" ht="15" hidden="false" customHeight="true" outlineLevel="0" collapsed="false">
      <c r="A11651" s="10" t="n">
        <f aca="false">Einstellungen!$B$5+INT((ROW()-9)/24)</f>
        <v>46451</v>
      </c>
      <c r="B11651" s="11" t="n">
        <f aca="false">MOD(ROW()-9,24)</f>
        <v>2</v>
      </c>
      <c r="C11651" s="12"/>
      <c r="D11651" s="13" t="n">
        <f aca="false">IF(B11651&lt;5,Einstellungen!$B$3,Einstellungen!$B$4)</f>
        <v>15.92</v>
      </c>
      <c r="E11651" s="14" t="str">
        <f aca="false">IF(C11651="","",C11651*D11651/100)</f>
        <v/>
      </c>
      <c r="F11651" s="15" t="str">
        <f aca="false">IF(B11651&lt;5,"Go","Standard")</f>
        <v>Go</v>
      </c>
    </row>
    <row r="11652" customFormat="false" ht="15" hidden="false" customHeight="true" outlineLevel="0" collapsed="false">
      <c r="A11652" s="10" t="n">
        <f aca="false">Einstellungen!$B$5+INT((ROW()-9)/24)</f>
        <v>46451</v>
      </c>
      <c r="B11652" s="11" t="n">
        <f aca="false">MOD(ROW()-9,24)</f>
        <v>3</v>
      </c>
      <c r="C11652" s="12"/>
      <c r="D11652" s="13" t="n">
        <f aca="false">IF(B11652&lt;5,Einstellungen!$B$3,Einstellungen!$B$4)</f>
        <v>15.92</v>
      </c>
      <c r="E11652" s="14" t="str">
        <f aca="false">IF(C11652="","",C11652*D11652/100)</f>
        <v/>
      </c>
      <c r="F11652" s="15" t="str">
        <f aca="false">IF(B11652&lt;5,"Go","Standard")</f>
        <v>Go</v>
      </c>
    </row>
    <row r="11653" customFormat="false" ht="15" hidden="false" customHeight="true" outlineLevel="0" collapsed="false">
      <c r="A11653" s="10" t="n">
        <f aca="false">Einstellungen!$B$5+INT((ROW()-9)/24)</f>
        <v>46451</v>
      </c>
      <c r="B11653" s="11" t="n">
        <f aca="false">MOD(ROW()-9,24)</f>
        <v>4</v>
      </c>
      <c r="C11653" s="12"/>
      <c r="D11653" s="13" t="n">
        <f aca="false">IF(B11653&lt;5,Einstellungen!$B$3,Einstellungen!$B$4)</f>
        <v>15.92</v>
      </c>
      <c r="E11653" s="14" t="str">
        <f aca="false">IF(C11653="","",C11653*D11653/100)</f>
        <v/>
      </c>
      <c r="F11653" s="15" t="str">
        <f aca="false">IF(B11653&lt;5,"Go","Standard")</f>
        <v>Go</v>
      </c>
    </row>
    <row r="11654" customFormat="false" ht="15" hidden="false" customHeight="true" outlineLevel="0" collapsed="false">
      <c r="A11654" s="10" t="n">
        <f aca="false">Einstellungen!$B$5+INT((ROW()-9)/24)</f>
        <v>46451</v>
      </c>
      <c r="B11654" s="11" t="n">
        <f aca="false">MOD(ROW()-9,24)</f>
        <v>5</v>
      </c>
      <c r="C11654" s="12"/>
      <c r="D11654" s="13" t="n">
        <f aca="false">IF(B11654&lt;5,Einstellungen!$B$3,Einstellungen!$B$4)</f>
        <v>29.13</v>
      </c>
      <c r="E11654" s="14" t="str">
        <f aca="false">IF(C11654="","",C11654*D11654/100)</f>
        <v/>
      </c>
      <c r="F11654" s="15" t="str">
        <f aca="false">IF(B11654&lt;5,"Go","Standard")</f>
        <v>Standard</v>
      </c>
    </row>
    <row r="11655" customFormat="false" ht="15" hidden="false" customHeight="true" outlineLevel="0" collapsed="false">
      <c r="A11655" s="10" t="n">
        <f aca="false">Einstellungen!$B$5+INT((ROW()-9)/24)</f>
        <v>46451</v>
      </c>
      <c r="B11655" s="11" t="n">
        <f aca="false">MOD(ROW()-9,24)</f>
        <v>6</v>
      </c>
      <c r="C11655" s="12"/>
      <c r="D11655" s="13" t="n">
        <f aca="false">IF(B11655&lt;5,Einstellungen!$B$3,Einstellungen!$B$4)</f>
        <v>29.13</v>
      </c>
      <c r="E11655" s="14" t="str">
        <f aca="false">IF(C11655="","",C11655*D11655/100)</f>
        <v/>
      </c>
      <c r="F11655" s="15" t="str">
        <f aca="false">IF(B11655&lt;5,"Go","Standard")</f>
        <v>Standard</v>
      </c>
    </row>
    <row r="11656" customFormat="false" ht="15" hidden="false" customHeight="true" outlineLevel="0" collapsed="false">
      <c r="A11656" s="10" t="n">
        <f aca="false">Einstellungen!$B$5+INT((ROW()-9)/24)</f>
        <v>46451</v>
      </c>
      <c r="B11656" s="11" t="n">
        <f aca="false">MOD(ROW()-9,24)</f>
        <v>7</v>
      </c>
      <c r="C11656" s="12"/>
      <c r="D11656" s="13" t="n">
        <f aca="false">IF(B11656&lt;5,Einstellungen!$B$3,Einstellungen!$B$4)</f>
        <v>29.13</v>
      </c>
      <c r="E11656" s="14" t="str">
        <f aca="false">IF(C11656="","",C11656*D11656/100)</f>
        <v/>
      </c>
      <c r="F11656" s="15" t="str">
        <f aca="false">IF(B11656&lt;5,"Go","Standard")</f>
        <v>Standard</v>
      </c>
    </row>
    <row r="11657" customFormat="false" ht="15" hidden="false" customHeight="true" outlineLevel="0" collapsed="false">
      <c r="A11657" s="10" t="n">
        <f aca="false">Einstellungen!$B$5+INT((ROW()-9)/24)</f>
        <v>46451</v>
      </c>
      <c r="B11657" s="11" t="n">
        <f aca="false">MOD(ROW()-9,24)</f>
        <v>8</v>
      </c>
      <c r="C11657" s="12"/>
      <c r="D11657" s="13" t="n">
        <f aca="false">IF(B11657&lt;5,Einstellungen!$B$3,Einstellungen!$B$4)</f>
        <v>29.13</v>
      </c>
      <c r="E11657" s="14" t="str">
        <f aca="false">IF(C11657="","",C11657*D11657/100)</f>
        <v/>
      </c>
      <c r="F11657" s="15" t="str">
        <f aca="false">IF(B11657&lt;5,"Go","Standard")</f>
        <v>Standard</v>
      </c>
    </row>
    <row r="11658" customFormat="false" ht="15" hidden="false" customHeight="true" outlineLevel="0" collapsed="false">
      <c r="A11658" s="10" t="n">
        <f aca="false">Einstellungen!$B$5+INT((ROW()-9)/24)</f>
        <v>46451</v>
      </c>
      <c r="B11658" s="11" t="n">
        <f aca="false">MOD(ROW()-9,24)</f>
        <v>9</v>
      </c>
      <c r="C11658" s="12"/>
      <c r="D11658" s="13" t="n">
        <f aca="false">IF(B11658&lt;5,Einstellungen!$B$3,Einstellungen!$B$4)</f>
        <v>29.13</v>
      </c>
      <c r="E11658" s="14" t="str">
        <f aca="false">IF(C11658="","",C11658*D11658/100)</f>
        <v/>
      </c>
      <c r="F11658" s="15" t="str">
        <f aca="false">IF(B11658&lt;5,"Go","Standard")</f>
        <v>Standard</v>
      </c>
    </row>
    <row r="11659" customFormat="false" ht="15" hidden="false" customHeight="true" outlineLevel="0" collapsed="false">
      <c r="A11659" s="10" t="n">
        <f aca="false">Einstellungen!$B$5+INT((ROW()-9)/24)</f>
        <v>46451</v>
      </c>
      <c r="B11659" s="11" t="n">
        <f aca="false">MOD(ROW()-9,24)</f>
        <v>10</v>
      </c>
      <c r="C11659" s="12"/>
      <c r="D11659" s="13" t="n">
        <f aca="false">IF(B11659&lt;5,Einstellungen!$B$3,Einstellungen!$B$4)</f>
        <v>29.13</v>
      </c>
      <c r="E11659" s="14" t="str">
        <f aca="false">IF(C11659="","",C11659*D11659/100)</f>
        <v/>
      </c>
      <c r="F11659" s="15" t="str">
        <f aca="false">IF(B11659&lt;5,"Go","Standard")</f>
        <v>Standard</v>
      </c>
    </row>
    <row r="11660" customFormat="false" ht="15" hidden="false" customHeight="true" outlineLevel="0" collapsed="false">
      <c r="A11660" s="10" t="n">
        <f aca="false">Einstellungen!$B$5+INT((ROW()-9)/24)</f>
        <v>46451</v>
      </c>
      <c r="B11660" s="11" t="n">
        <f aca="false">MOD(ROW()-9,24)</f>
        <v>11</v>
      </c>
      <c r="C11660" s="12"/>
      <c r="D11660" s="13" t="n">
        <f aca="false">IF(B11660&lt;5,Einstellungen!$B$3,Einstellungen!$B$4)</f>
        <v>29.13</v>
      </c>
      <c r="E11660" s="14" t="str">
        <f aca="false">IF(C11660="","",C11660*D11660/100)</f>
        <v/>
      </c>
      <c r="F11660" s="15" t="str">
        <f aca="false">IF(B11660&lt;5,"Go","Standard")</f>
        <v>Standard</v>
      </c>
    </row>
    <row r="11661" customFormat="false" ht="15" hidden="false" customHeight="true" outlineLevel="0" collapsed="false">
      <c r="A11661" s="10" t="n">
        <f aca="false">Einstellungen!$B$5+INT((ROW()-9)/24)</f>
        <v>46451</v>
      </c>
      <c r="B11661" s="11" t="n">
        <f aca="false">MOD(ROW()-9,24)</f>
        <v>12</v>
      </c>
      <c r="C11661" s="12"/>
      <c r="D11661" s="13" t="n">
        <f aca="false">IF(B11661&lt;5,Einstellungen!$B$3,Einstellungen!$B$4)</f>
        <v>29.13</v>
      </c>
      <c r="E11661" s="14" t="str">
        <f aca="false">IF(C11661="","",C11661*D11661/100)</f>
        <v/>
      </c>
      <c r="F11661" s="15" t="str">
        <f aca="false">IF(B11661&lt;5,"Go","Standard")</f>
        <v>Standard</v>
      </c>
    </row>
    <row r="11662" customFormat="false" ht="15" hidden="false" customHeight="true" outlineLevel="0" collapsed="false">
      <c r="A11662" s="10" t="n">
        <f aca="false">Einstellungen!$B$5+INT((ROW()-9)/24)</f>
        <v>46451</v>
      </c>
      <c r="B11662" s="11" t="n">
        <f aca="false">MOD(ROW()-9,24)</f>
        <v>13</v>
      </c>
      <c r="C11662" s="12"/>
      <c r="D11662" s="13" t="n">
        <f aca="false">IF(B11662&lt;5,Einstellungen!$B$3,Einstellungen!$B$4)</f>
        <v>29.13</v>
      </c>
      <c r="E11662" s="14" t="str">
        <f aca="false">IF(C11662="","",C11662*D11662/100)</f>
        <v/>
      </c>
      <c r="F11662" s="15" t="str">
        <f aca="false">IF(B11662&lt;5,"Go","Standard")</f>
        <v>Standard</v>
      </c>
    </row>
    <row r="11663" customFormat="false" ht="15" hidden="false" customHeight="true" outlineLevel="0" collapsed="false">
      <c r="A11663" s="10" t="n">
        <f aca="false">Einstellungen!$B$5+INT((ROW()-9)/24)</f>
        <v>46451</v>
      </c>
      <c r="B11663" s="11" t="n">
        <f aca="false">MOD(ROW()-9,24)</f>
        <v>14</v>
      </c>
      <c r="C11663" s="12"/>
      <c r="D11663" s="13" t="n">
        <f aca="false">IF(B11663&lt;5,Einstellungen!$B$3,Einstellungen!$B$4)</f>
        <v>29.13</v>
      </c>
      <c r="E11663" s="14" t="str">
        <f aca="false">IF(C11663="","",C11663*D11663/100)</f>
        <v/>
      </c>
      <c r="F11663" s="15" t="str">
        <f aca="false">IF(B11663&lt;5,"Go","Standard")</f>
        <v>Standard</v>
      </c>
    </row>
    <row r="11664" customFormat="false" ht="15" hidden="false" customHeight="true" outlineLevel="0" collapsed="false">
      <c r="A11664" s="10" t="n">
        <f aca="false">Einstellungen!$B$5+INT((ROW()-9)/24)</f>
        <v>46451</v>
      </c>
      <c r="B11664" s="11" t="n">
        <f aca="false">MOD(ROW()-9,24)</f>
        <v>15</v>
      </c>
      <c r="C11664" s="12"/>
      <c r="D11664" s="13" t="n">
        <f aca="false">IF(B11664&lt;5,Einstellungen!$B$3,Einstellungen!$B$4)</f>
        <v>29.13</v>
      </c>
      <c r="E11664" s="14" t="str">
        <f aca="false">IF(C11664="","",C11664*D11664/100)</f>
        <v/>
      </c>
      <c r="F11664" s="15" t="str">
        <f aca="false">IF(B11664&lt;5,"Go","Standard")</f>
        <v>Standard</v>
      </c>
    </row>
    <row r="11665" customFormat="false" ht="15" hidden="false" customHeight="true" outlineLevel="0" collapsed="false">
      <c r="A11665" s="10" t="n">
        <f aca="false">Einstellungen!$B$5+INT((ROW()-9)/24)</f>
        <v>46451</v>
      </c>
      <c r="B11665" s="11" t="n">
        <f aca="false">MOD(ROW()-9,24)</f>
        <v>16</v>
      </c>
      <c r="C11665" s="12"/>
      <c r="D11665" s="13" t="n">
        <f aca="false">IF(B11665&lt;5,Einstellungen!$B$3,Einstellungen!$B$4)</f>
        <v>29.13</v>
      </c>
      <c r="E11665" s="14" t="str">
        <f aca="false">IF(C11665="","",C11665*D11665/100)</f>
        <v/>
      </c>
      <c r="F11665" s="15" t="str">
        <f aca="false">IF(B11665&lt;5,"Go","Standard")</f>
        <v>Standard</v>
      </c>
    </row>
    <row r="11666" customFormat="false" ht="15" hidden="false" customHeight="true" outlineLevel="0" collapsed="false">
      <c r="A11666" s="10" t="n">
        <f aca="false">Einstellungen!$B$5+INT((ROW()-9)/24)</f>
        <v>46451</v>
      </c>
      <c r="B11666" s="11" t="n">
        <f aca="false">MOD(ROW()-9,24)</f>
        <v>17</v>
      </c>
      <c r="C11666" s="12"/>
      <c r="D11666" s="13" t="n">
        <f aca="false">IF(B11666&lt;5,Einstellungen!$B$3,Einstellungen!$B$4)</f>
        <v>29.13</v>
      </c>
      <c r="E11666" s="14" t="str">
        <f aca="false">IF(C11666="","",C11666*D11666/100)</f>
        <v/>
      </c>
      <c r="F11666" s="15" t="str">
        <f aca="false">IF(B11666&lt;5,"Go","Standard")</f>
        <v>Standard</v>
      </c>
    </row>
    <row r="11667" customFormat="false" ht="15" hidden="false" customHeight="true" outlineLevel="0" collapsed="false">
      <c r="A11667" s="10" t="n">
        <f aca="false">Einstellungen!$B$5+INT((ROW()-9)/24)</f>
        <v>46451</v>
      </c>
      <c r="B11667" s="11" t="n">
        <f aca="false">MOD(ROW()-9,24)</f>
        <v>18</v>
      </c>
      <c r="C11667" s="12"/>
      <c r="D11667" s="13" t="n">
        <f aca="false">IF(B11667&lt;5,Einstellungen!$B$3,Einstellungen!$B$4)</f>
        <v>29.13</v>
      </c>
      <c r="E11667" s="14" t="str">
        <f aca="false">IF(C11667="","",C11667*D11667/100)</f>
        <v/>
      </c>
      <c r="F11667" s="15" t="str">
        <f aca="false">IF(B11667&lt;5,"Go","Standard")</f>
        <v>Standard</v>
      </c>
    </row>
    <row r="11668" customFormat="false" ht="15" hidden="false" customHeight="true" outlineLevel="0" collapsed="false">
      <c r="A11668" s="10" t="n">
        <f aca="false">Einstellungen!$B$5+INT((ROW()-9)/24)</f>
        <v>46451</v>
      </c>
      <c r="B11668" s="11" t="n">
        <f aca="false">MOD(ROW()-9,24)</f>
        <v>19</v>
      </c>
      <c r="C11668" s="12"/>
      <c r="D11668" s="13" t="n">
        <f aca="false">IF(B11668&lt;5,Einstellungen!$B$3,Einstellungen!$B$4)</f>
        <v>29.13</v>
      </c>
      <c r="E11668" s="14" t="str">
        <f aca="false">IF(C11668="","",C11668*D11668/100)</f>
        <v/>
      </c>
      <c r="F11668" s="15" t="str">
        <f aca="false">IF(B11668&lt;5,"Go","Standard")</f>
        <v>Standard</v>
      </c>
    </row>
    <row r="11669" customFormat="false" ht="15" hidden="false" customHeight="true" outlineLevel="0" collapsed="false">
      <c r="A11669" s="10" t="n">
        <f aca="false">Einstellungen!$B$5+INT((ROW()-9)/24)</f>
        <v>46451</v>
      </c>
      <c r="B11669" s="11" t="n">
        <f aca="false">MOD(ROW()-9,24)</f>
        <v>20</v>
      </c>
      <c r="C11669" s="12"/>
      <c r="D11669" s="13" t="n">
        <f aca="false">IF(B11669&lt;5,Einstellungen!$B$3,Einstellungen!$B$4)</f>
        <v>29.13</v>
      </c>
      <c r="E11669" s="14" t="str">
        <f aca="false">IF(C11669="","",C11669*D11669/100)</f>
        <v/>
      </c>
      <c r="F11669" s="15" t="str">
        <f aca="false">IF(B11669&lt;5,"Go","Standard")</f>
        <v>Standard</v>
      </c>
    </row>
    <row r="11670" customFormat="false" ht="15" hidden="false" customHeight="true" outlineLevel="0" collapsed="false">
      <c r="A11670" s="10" t="n">
        <f aca="false">Einstellungen!$B$5+INT((ROW()-9)/24)</f>
        <v>46451</v>
      </c>
      <c r="B11670" s="11" t="n">
        <f aca="false">MOD(ROW()-9,24)</f>
        <v>21</v>
      </c>
      <c r="C11670" s="12"/>
      <c r="D11670" s="13" t="n">
        <f aca="false">IF(B11670&lt;5,Einstellungen!$B$3,Einstellungen!$B$4)</f>
        <v>29.13</v>
      </c>
      <c r="E11670" s="14" t="str">
        <f aca="false">IF(C11670="","",C11670*D11670/100)</f>
        <v/>
      </c>
      <c r="F11670" s="15" t="str">
        <f aca="false">IF(B11670&lt;5,"Go","Standard")</f>
        <v>Standard</v>
      </c>
    </row>
    <row r="11671" customFormat="false" ht="15" hidden="false" customHeight="true" outlineLevel="0" collapsed="false">
      <c r="A11671" s="10" t="n">
        <f aca="false">Einstellungen!$B$5+INT((ROW()-9)/24)</f>
        <v>46451</v>
      </c>
      <c r="B11671" s="11" t="n">
        <f aca="false">MOD(ROW()-9,24)</f>
        <v>22</v>
      </c>
      <c r="C11671" s="12"/>
      <c r="D11671" s="13" t="n">
        <f aca="false">IF(B11671&lt;5,Einstellungen!$B$3,Einstellungen!$B$4)</f>
        <v>29.13</v>
      </c>
      <c r="E11671" s="14" t="str">
        <f aca="false">IF(C11671="","",C11671*D11671/100)</f>
        <v/>
      </c>
      <c r="F11671" s="15" t="str">
        <f aca="false">IF(B11671&lt;5,"Go","Standard")</f>
        <v>Standard</v>
      </c>
    </row>
    <row r="11672" customFormat="false" ht="15" hidden="false" customHeight="true" outlineLevel="0" collapsed="false">
      <c r="A11672" s="10" t="n">
        <f aca="false">Einstellungen!$B$5+INT((ROW()-9)/24)</f>
        <v>46451</v>
      </c>
      <c r="B11672" s="11" t="n">
        <f aca="false">MOD(ROW()-9,24)</f>
        <v>23</v>
      </c>
      <c r="C11672" s="12"/>
      <c r="D11672" s="13" t="n">
        <f aca="false">IF(B11672&lt;5,Einstellungen!$B$3,Einstellungen!$B$4)</f>
        <v>29.13</v>
      </c>
      <c r="E11672" s="14" t="str">
        <f aca="false">IF(C11672="","",C11672*D11672/100)</f>
        <v/>
      </c>
      <c r="F11672" s="15" t="str">
        <f aca="false">IF(B11672&lt;5,"Go","Standard")</f>
        <v>Standard</v>
      </c>
    </row>
    <row r="11673" customFormat="false" ht="15" hidden="false" customHeight="true" outlineLevel="0" collapsed="false">
      <c r="A11673" s="10" t="n">
        <f aca="false">Einstellungen!$B$5+INT((ROW()-9)/24)</f>
        <v>46452</v>
      </c>
      <c r="B11673" s="11" t="n">
        <f aca="false">MOD(ROW()-9,24)</f>
        <v>0</v>
      </c>
      <c r="C11673" s="12"/>
      <c r="D11673" s="13" t="n">
        <f aca="false">IF(B11673&lt;5,Einstellungen!$B$3,Einstellungen!$B$4)</f>
        <v>15.92</v>
      </c>
      <c r="E11673" s="14" t="str">
        <f aca="false">IF(C11673="","",C11673*D11673/100)</f>
        <v/>
      </c>
      <c r="F11673" s="15" t="str">
        <f aca="false">IF(B11673&lt;5,"Go","Standard")</f>
        <v>Go</v>
      </c>
    </row>
    <row r="11674" customFormat="false" ht="15" hidden="false" customHeight="true" outlineLevel="0" collapsed="false">
      <c r="A11674" s="10" t="n">
        <f aca="false">Einstellungen!$B$5+INT((ROW()-9)/24)</f>
        <v>46452</v>
      </c>
      <c r="B11674" s="11" t="n">
        <f aca="false">MOD(ROW()-9,24)</f>
        <v>1</v>
      </c>
      <c r="C11674" s="12"/>
      <c r="D11674" s="13" t="n">
        <f aca="false">IF(B11674&lt;5,Einstellungen!$B$3,Einstellungen!$B$4)</f>
        <v>15.92</v>
      </c>
      <c r="E11674" s="14" t="str">
        <f aca="false">IF(C11674="","",C11674*D11674/100)</f>
        <v/>
      </c>
      <c r="F11674" s="15" t="str">
        <f aca="false">IF(B11674&lt;5,"Go","Standard")</f>
        <v>Go</v>
      </c>
    </row>
    <row r="11675" customFormat="false" ht="15" hidden="false" customHeight="true" outlineLevel="0" collapsed="false">
      <c r="A11675" s="10" t="n">
        <f aca="false">Einstellungen!$B$5+INT((ROW()-9)/24)</f>
        <v>46452</v>
      </c>
      <c r="B11675" s="11" t="n">
        <f aca="false">MOD(ROW()-9,24)</f>
        <v>2</v>
      </c>
      <c r="C11675" s="12"/>
      <c r="D11675" s="13" t="n">
        <f aca="false">IF(B11675&lt;5,Einstellungen!$B$3,Einstellungen!$B$4)</f>
        <v>15.92</v>
      </c>
      <c r="E11675" s="14" t="str">
        <f aca="false">IF(C11675="","",C11675*D11675/100)</f>
        <v/>
      </c>
      <c r="F11675" s="15" t="str">
        <f aca="false">IF(B11675&lt;5,"Go","Standard")</f>
        <v>Go</v>
      </c>
    </row>
    <row r="11676" customFormat="false" ht="15" hidden="false" customHeight="true" outlineLevel="0" collapsed="false">
      <c r="A11676" s="10" t="n">
        <f aca="false">Einstellungen!$B$5+INT((ROW()-9)/24)</f>
        <v>46452</v>
      </c>
      <c r="B11676" s="11" t="n">
        <f aca="false">MOD(ROW()-9,24)</f>
        <v>3</v>
      </c>
      <c r="C11676" s="12"/>
      <c r="D11676" s="13" t="n">
        <f aca="false">IF(B11676&lt;5,Einstellungen!$B$3,Einstellungen!$B$4)</f>
        <v>15.92</v>
      </c>
      <c r="E11676" s="14" t="str">
        <f aca="false">IF(C11676="","",C11676*D11676/100)</f>
        <v/>
      </c>
      <c r="F11676" s="15" t="str">
        <f aca="false">IF(B11676&lt;5,"Go","Standard")</f>
        <v>Go</v>
      </c>
    </row>
    <row r="11677" customFormat="false" ht="15" hidden="false" customHeight="true" outlineLevel="0" collapsed="false">
      <c r="A11677" s="10" t="n">
        <f aca="false">Einstellungen!$B$5+INT((ROW()-9)/24)</f>
        <v>46452</v>
      </c>
      <c r="B11677" s="11" t="n">
        <f aca="false">MOD(ROW()-9,24)</f>
        <v>4</v>
      </c>
      <c r="C11677" s="12"/>
      <c r="D11677" s="13" t="n">
        <f aca="false">IF(B11677&lt;5,Einstellungen!$B$3,Einstellungen!$B$4)</f>
        <v>15.92</v>
      </c>
      <c r="E11677" s="14" t="str">
        <f aca="false">IF(C11677="","",C11677*D11677/100)</f>
        <v/>
      </c>
      <c r="F11677" s="15" t="str">
        <f aca="false">IF(B11677&lt;5,"Go","Standard")</f>
        <v>Go</v>
      </c>
    </row>
    <row r="11678" customFormat="false" ht="15" hidden="false" customHeight="true" outlineLevel="0" collapsed="false">
      <c r="A11678" s="10" t="n">
        <f aca="false">Einstellungen!$B$5+INT((ROW()-9)/24)</f>
        <v>46452</v>
      </c>
      <c r="B11678" s="11" t="n">
        <f aca="false">MOD(ROW()-9,24)</f>
        <v>5</v>
      </c>
      <c r="C11678" s="12"/>
      <c r="D11678" s="13" t="n">
        <f aca="false">IF(B11678&lt;5,Einstellungen!$B$3,Einstellungen!$B$4)</f>
        <v>29.13</v>
      </c>
      <c r="E11678" s="14" t="str">
        <f aca="false">IF(C11678="","",C11678*D11678/100)</f>
        <v/>
      </c>
      <c r="F11678" s="15" t="str">
        <f aca="false">IF(B11678&lt;5,"Go","Standard")</f>
        <v>Standard</v>
      </c>
    </row>
    <row r="11679" customFormat="false" ht="15" hidden="false" customHeight="true" outlineLevel="0" collapsed="false">
      <c r="A11679" s="10" t="n">
        <f aca="false">Einstellungen!$B$5+INT((ROW()-9)/24)</f>
        <v>46452</v>
      </c>
      <c r="B11679" s="11" t="n">
        <f aca="false">MOD(ROW()-9,24)</f>
        <v>6</v>
      </c>
      <c r="C11679" s="12"/>
      <c r="D11679" s="13" t="n">
        <f aca="false">IF(B11679&lt;5,Einstellungen!$B$3,Einstellungen!$B$4)</f>
        <v>29.13</v>
      </c>
      <c r="E11679" s="14" t="str">
        <f aca="false">IF(C11679="","",C11679*D11679/100)</f>
        <v/>
      </c>
      <c r="F11679" s="15" t="str">
        <f aca="false">IF(B11679&lt;5,"Go","Standard")</f>
        <v>Standard</v>
      </c>
    </row>
    <row r="11680" customFormat="false" ht="15" hidden="false" customHeight="true" outlineLevel="0" collapsed="false">
      <c r="A11680" s="10" t="n">
        <f aca="false">Einstellungen!$B$5+INT((ROW()-9)/24)</f>
        <v>46452</v>
      </c>
      <c r="B11680" s="11" t="n">
        <f aca="false">MOD(ROW()-9,24)</f>
        <v>7</v>
      </c>
      <c r="C11680" s="12"/>
      <c r="D11680" s="13" t="n">
        <f aca="false">IF(B11680&lt;5,Einstellungen!$B$3,Einstellungen!$B$4)</f>
        <v>29.13</v>
      </c>
      <c r="E11680" s="14" t="str">
        <f aca="false">IF(C11680="","",C11680*D11680/100)</f>
        <v/>
      </c>
      <c r="F11680" s="15" t="str">
        <f aca="false">IF(B11680&lt;5,"Go","Standard")</f>
        <v>Standard</v>
      </c>
    </row>
    <row r="11681" customFormat="false" ht="15" hidden="false" customHeight="true" outlineLevel="0" collapsed="false">
      <c r="A11681" s="10" t="n">
        <f aca="false">Einstellungen!$B$5+INT((ROW()-9)/24)</f>
        <v>46452</v>
      </c>
      <c r="B11681" s="11" t="n">
        <f aca="false">MOD(ROW()-9,24)</f>
        <v>8</v>
      </c>
      <c r="C11681" s="12"/>
      <c r="D11681" s="13" t="n">
        <f aca="false">IF(B11681&lt;5,Einstellungen!$B$3,Einstellungen!$B$4)</f>
        <v>29.13</v>
      </c>
      <c r="E11681" s="14" t="str">
        <f aca="false">IF(C11681="","",C11681*D11681/100)</f>
        <v/>
      </c>
      <c r="F11681" s="15" t="str">
        <f aca="false">IF(B11681&lt;5,"Go","Standard")</f>
        <v>Standard</v>
      </c>
    </row>
    <row r="11682" customFormat="false" ht="15" hidden="false" customHeight="true" outlineLevel="0" collapsed="false">
      <c r="A11682" s="10" t="n">
        <f aca="false">Einstellungen!$B$5+INT((ROW()-9)/24)</f>
        <v>46452</v>
      </c>
      <c r="B11682" s="11" t="n">
        <f aca="false">MOD(ROW()-9,24)</f>
        <v>9</v>
      </c>
      <c r="C11682" s="12"/>
      <c r="D11682" s="13" t="n">
        <f aca="false">IF(B11682&lt;5,Einstellungen!$B$3,Einstellungen!$B$4)</f>
        <v>29.13</v>
      </c>
      <c r="E11682" s="14" t="str">
        <f aca="false">IF(C11682="","",C11682*D11682/100)</f>
        <v/>
      </c>
      <c r="F11682" s="15" t="str">
        <f aca="false">IF(B11682&lt;5,"Go","Standard")</f>
        <v>Standard</v>
      </c>
    </row>
    <row r="11683" customFormat="false" ht="15" hidden="false" customHeight="true" outlineLevel="0" collapsed="false">
      <c r="A11683" s="10" t="n">
        <f aca="false">Einstellungen!$B$5+INT((ROW()-9)/24)</f>
        <v>46452</v>
      </c>
      <c r="B11683" s="11" t="n">
        <f aca="false">MOD(ROW()-9,24)</f>
        <v>10</v>
      </c>
      <c r="C11683" s="12"/>
      <c r="D11683" s="13" t="n">
        <f aca="false">IF(B11683&lt;5,Einstellungen!$B$3,Einstellungen!$B$4)</f>
        <v>29.13</v>
      </c>
      <c r="E11683" s="14" t="str">
        <f aca="false">IF(C11683="","",C11683*D11683/100)</f>
        <v/>
      </c>
      <c r="F11683" s="15" t="str">
        <f aca="false">IF(B11683&lt;5,"Go","Standard")</f>
        <v>Standard</v>
      </c>
    </row>
    <row r="11684" customFormat="false" ht="15" hidden="false" customHeight="true" outlineLevel="0" collapsed="false">
      <c r="A11684" s="10" t="n">
        <f aca="false">Einstellungen!$B$5+INT((ROW()-9)/24)</f>
        <v>46452</v>
      </c>
      <c r="B11684" s="11" t="n">
        <f aca="false">MOD(ROW()-9,24)</f>
        <v>11</v>
      </c>
      <c r="C11684" s="12"/>
      <c r="D11684" s="13" t="n">
        <f aca="false">IF(B11684&lt;5,Einstellungen!$B$3,Einstellungen!$B$4)</f>
        <v>29.13</v>
      </c>
      <c r="E11684" s="14" t="str">
        <f aca="false">IF(C11684="","",C11684*D11684/100)</f>
        <v/>
      </c>
      <c r="F11684" s="15" t="str">
        <f aca="false">IF(B11684&lt;5,"Go","Standard")</f>
        <v>Standard</v>
      </c>
    </row>
    <row r="11685" customFormat="false" ht="15" hidden="false" customHeight="true" outlineLevel="0" collapsed="false">
      <c r="A11685" s="10" t="n">
        <f aca="false">Einstellungen!$B$5+INT((ROW()-9)/24)</f>
        <v>46452</v>
      </c>
      <c r="B11685" s="11" t="n">
        <f aca="false">MOD(ROW()-9,24)</f>
        <v>12</v>
      </c>
      <c r="C11685" s="12"/>
      <c r="D11685" s="13" t="n">
        <f aca="false">IF(B11685&lt;5,Einstellungen!$B$3,Einstellungen!$B$4)</f>
        <v>29.13</v>
      </c>
      <c r="E11685" s="14" t="str">
        <f aca="false">IF(C11685="","",C11685*D11685/100)</f>
        <v/>
      </c>
      <c r="F11685" s="15" t="str">
        <f aca="false">IF(B11685&lt;5,"Go","Standard")</f>
        <v>Standard</v>
      </c>
    </row>
    <row r="11686" customFormat="false" ht="15" hidden="false" customHeight="true" outlineLevel="0" collapsed="false">
      <c r="A11686" s="10" t="n">
        <f aca="false">Einstellungen!$B$5+INT((ROW()-9)/24)</f>
        <v>46452</v>
      </c>
      <c r="B11686" s="11" t="n">
        <f aca="false">MOD(ROW()-9,24)</f>
        <v>13</v>
      </c>
      <c r="C11686" s="12"/>
      <c r="D11686" s="13" t="n">
        <f aca="false">IF(B11686&lt;5,Einstellungen!$B$3,Einstellungen!$B$4)</f>
        <v>29.13</v>
      </c>
      <c r="E11686" s="14" t="str">
        <f aca="false">IF(C11686="","",C11686*D11686/100)</f>
        <v/>
      </c>
      <c r="F11686" s="15" t="str">
        <f aca="false">IF(B11686&lt;5,"Go","Standard")</f>
        <v>Standard</v>
      </c>
    </row>
    <row r="11687" customFormat="false" ht="15" hidden="false" customHeight="true" outlineLevel="0" collapsed="false">
      <c r="A11687" s="10" t="n">
        <f aca="false">Einstellungen!$B$5+INT((ROW()-9)/24)</f>
        <v>46452</v>
      </c>
      <c r="B11687" s="11" t="n">
        <f aca="false">MOD(ROW()-9,24)</f>
        <v>14</v>
      </c>
      <c r="C11687" s="12"/>
      <c r="D11687" s="13" t="n">
        <f aca="false">IF(B11687&lt;5,Einstellungen!$B$3,Einstellungen!$B$4)</f>
        <v>29.13</v>
      </c>
      <c r="E11687" s="14" t="str">
        <f aca="false">IF(C11687="","",C11687*D11687/100)</f>
        <v/>
      </c>
      <c r="F11687" s="15" t="str">
        <f aca="false">IF(B11687&lt;5,"Go","Standard")</f>
        <v>Standard</v>
      </c>
    </row>
    <row r="11688" customFormat="false" ht="15" hidden="false" customHeight="true" outlineLevel="0" collapsed="false">
      <c r="A11688" s="10" t="n">
        <f aca="false">Einstellungen!$B$5+INT((ROW()-9)/24)</f>
        <v>46452</v>
      </c>
      <c r="B11688" s="11" t="n">
        <f aca="false">MOD(ROW()-9,24)</f>
        <v>15</v>
      </c>
      <c r="C11688" s="12"/>
      <c r="D11688" s="13" t="n">
        <f aca="false">IF(B11688&lt;5,Einstellungen!$B$3,Einstellungen!$B$4)</f>
        <v>29.13</v>
      </c>
      <c r="E11688" s="14" t="str">
        <f aca="false">IF(C11688="","",C11688*D11688/100)</f>
        <v/>
      </c>
      <c r="F11688" s="15" t="str">
        <f aca="false">IF(B11688&lt;5,"Go","Standard")</f>
        <v>Standard</v>
      </c>
    </row>
    <row r="11689" customFormat="false" ht="15" hidden="false" customHeight="true" outlineLevel="0" collapsed="false">
      <c r="A11689" s="10" t="n">
        <f aca="false">Einstellungen!$B$5+INT((ROW()-9)/24)</f>
        <v>46452</v>
      </c>
      <c r="B11689" s="11" t="n">
        <f aca="false">MOD(ROW()-9,24)</f>
        <v>16</v>
      </c>
      <c r="C11689" s="12"/>
      <c r="D11689" s="13" t="n">
        <f aca="false">IF(B11689&lt;5,Einstellungen!$B$3,Einstellungen!$B$4)</f>
        <v>29.13</v>
      </c>
      <c r="E11689" s="14" t="str">
        <f aca="false">IF(C11689="","",C11689*D11689/100)</f>
        <v/>
      </c>
      <c r="F11689" s="15" t="str">
        <f aca="false">IF(B11689&lt;5,"Go","Standard")</f>
        <v>Standard</v>
      </c>
    </row>
    <row r="11690" customFormat="false" ht="15" hidden="false" customHeight="true" outlineLevel="0" collapsed="false">
      <c r="A11690" s="10" t="n">
        <f aca="false">Einstellungen!$B$5+INT((ROW()-9)/24)</f>
        <v>46452</v>
      </c>
      <c r="B11690" s="11" t="n">
        <f aca="false">MOD(ROW()-9,24)</f>
        <v>17</v>
      </c>
      <c r="C11690" s="12"/>
      <c r="D11690" s="13" t="n">
        <f aca="false">IF(B11690&lt;5,Einstellungen!$B$3,Einstellungen!$B$4)</f>
        <v>29.13</v>
      </c>
      <c r="E11690" s="14" t="str">
        <f aca="false">IF(C11690="","",C11690*D11690/100)</f>
        <v/>
      </c>
      <c r="F11690" s="15" t="str">
        <f aca="false">IF(B11690&lt;5,"Go","Standard")</f>
        <v>Standard</v>
      </c>
    </row>
    <row r="11691" customFormat="false" ht="15" hidden="false" customHeight="true" outlineLevel="0" collapsed="false">
      <c r="A11691" s="10" t="n">
        <f aca="false">Einstellungen!$B$5+INT((ROW()-9)/24)</f>
        <v>46452</v>
      </c>
      <c r="B11691" s="11" t="n">
        <f aca="false">MOD(ROW()-9,24)</f>
        <v>18</v>
      </c>
      <c r="C11691" s="12"/>
      <c r="D11691" s="13" t="n">
        <f aca="false">IF(B11691&lt;5,Einstellungen!$B$3,Einstellungen!$B$4)</f>
        <v>29.13</v>
      </c>
      <c r="E11691" s="14" t="str">
        <f aca="false">IF(C11691="","",C11691*D11691/100)</f>
        <v/>
      </c>
      <c r="F11691" s="15" t="str">
        <f aca="false">IF(B11691&lt;5,"Go","Standard")</f>
        <v>Standard</v>
      </c>
    </row>
    <row r="11692" customFormat="false" ht="15" hidden="false" customHeight="true" outlineLevel="0" collapsed="false">
      <c r="A11692" s="10" t="n">
        <f aca="false">Einstellungen!$B$5+INT((ROW()-9)/24)</f>
        <v>46452</v>
      </c>
      <c r="B11692" s="11" t="n">
        <f aca="false">MOD(ROW()-9,24)</f>
        <v>19</v>
      </c>
      <c r="C11692" s="12"/>
      <c r="D11692" s="13" t="n">
        <f aca="false">IF(B11692&lt;5,Einstellungen!$B$3,Einstellungen!$B$4)</f>
        <v>29.13</v>
      </c>
      <c r="E11692" s="14" t="str">
        <f aca="false">IF(C11692="","",C11692*D11692/100)</f>
        <v/>
      </c>
      <c r="F11692" s="15" t="str">
        <f aca="false">IF(B11692&lt;5,"Go","Standard")</f>
        <v>Standard</v>
      </c>
    </row>
    <row r="11693" customFormat="false" ht="15" hidden="false" customHeight="true" outlineLevel="0" collapsed="false">
      <c r="A11693" s="10" t="n">
        <f aca="false">Einstellungen!$B$5+INT((ROW()-9)/24)</f>
        <v>46452</v>
      </c>
      <c r="B11693" s="11" t="n">
        <f aca="false">MOD(ROW()-9,24)</f>
        <v>20</v>
      </c>
      <c r="C11693" s="12"/>
      <c r="D11693" s="13" t="n">
        <f aca="false">IF(B11693&lt;5,Einstellungen!$B$3,Einstellungen!$B$4)</f>
        <v>29.13</v>
      </c>
      <c r="E11693" s="14" t="str">
        <f aca="false">IF(C11693="","",C11693*D11693/100)</f>
        <v/>
      </c>
      <c r="F11693" s="15" t="str">
        <f aca="false">IF(B11693&lt;5,"Go","Standard")</f>
        <v>Standard</v>
      </c>
    </row>
    <row r="11694" customFormat="false" ht="15" hidden="false" customHeight="true" outlineLevel="0" collapsed="false">
      <c r="A11694" s="10" t="n">
        <f aca="false">Einstellungen!$B$5+INT((ROW()-9)/24)</f>
        <v>46452</v>
      </c>
      <c r="B11694" s="11" t="n">
        <f aca="false">MOD(ROW()-9,24)</f>
        <v>21</v>
      </c>
      <c r="C11694" s="12"/>
      <c r="D11694" s="13" t="n">
        <f aca="false">IF(B11694&lt;5,Einstellungen!$B$3,Einstellungen!$B$4)</f>
        <v>29.13</v>
      </c>
      <c r="E11694" s="14" t="str">
        <f aca="false">IF(C11694="","",C11694*D11694/100)</f>
        <v/>
      </c>
      <c r="F11694" s="15" t="str">
        <f aca="false">IF(B11694&lt;5,"Go","Standard")</f>
        <v>Standard</v>
      </c>
    </row>
    <row r="11695" customFormat="false" ht="15" hidden="false" customHeight="true" outlineLevel="0" collapsed="false">
      <c r="A11695" s="10" t="n">
        <f aca="false">Einstellungen!$B$5+INT((ROW()-9)/24)</f>
        <v>46452</v>
      </c>
      <c r="B11695" s="11" t="n">
        <f aca="false">MOD(ROW()-9,24)</f>
        <v>22</v>
      </c>
      <c r="C11695" s="12"/>
      <c r="D11695" s="13" t="n">
        <f aca="false">IF(B11695&lt;5,Einstellungen!$B$3,Einstellungen!$B$4)</f>
        <v>29.13</v>
      </c>
      <c r="E11695" s="14" t="str">
        <f aca="false">IF(C11695="","",C11695*D11695/100)</f>
        <v/>
      </c>
      <c r="F11695" s="15" t="str">
        <f aca="false">IF(B11695&lt;5,"Go","Standard")</f>
        <v>Standard</v>
      </c>
    </row>
    <row r="11696" customFormat="false" ht="15" hidden="false" customHeight="true" outlineLevel="0" collapsed="false">
      <c r="A11696" s="10" t="n">
        <f aca="false">Einstellungen!$B$5+INT((ROW()-9)/24)</f>
        <v>46452</v>
      </c>
      <c r="B11696" s="11" t="n">
        <f aca="false">MOD(ROW()-9,24)</f>
        <v>23</v>
      </c>
      <c r="C11696" s="12"/>
      <c r="D11696" s="13" t="n">
        <f aca="false">IF(B11696&lt;5,Einstellungen!$B$3,Einstellungen!$B$4)</f>
        <v>29.13</v>
      </c>
      <c r="E11696" s="14" t="str">
        <f aca="false">IF(C11696="","",C11696*D11696/100)</f>
        <v/>
      </c>
      <c r="F11696" s="15" t="str">
        <f aca="false">IF(B11696&lt;5,"Go","Standard")</f>
        <v>Standard</v>
      </c>
    </row>
    <row r="11697" customFormat="false" ht="15" hidden="false" customHeight="true" outlineLevel="0" collapsed="false">
      <c r="A11697" s="10" t="n">
        <f aca="false">Einstellungen!$B$5+INT((ROW()-9)/24)</f>
        <v>46453</v>
      </c>
      <c r="B11697" s="11" t="n">
        <f aca="false">MOD(ROW()-9,24)</f>
        <v>0</v>
      </c>
      <c r="C11697" s="12"/>
      <c r="D11697" s="13" t="n">
        <f aca="false">IF(B11697&lt;5,Einstellungen!$B$3,Einstellungen!$B$4)</f>
        <v>15.92</v>
      </c>
      <c r="E11697" s="14" t="str">
        <f aca="false">IF(C11697="","",C11697*D11697/100)</f>
        <v/>
      </c>
      <c r="F11697" s="15" t="str">
        <f aca="false">IF(B11697&lt;5,"Go","Standard")</f>
        <v>Go</v>
      </c>
    </row>
    <row r="11698" customFormat="false" ht="15" hidden="false" customHeight="true" outlineLevel="0" collapsed="false">
      <c r="A11698" s="10" t="n">
        <f aca="false">Einstellungen!$B$5+INT((ROW()-9)/24)</f>
        <v>46453</v>
      </c>
      <c r="B11698" s="11" t="n">
        <f aca="false">MOD(ROW()-9,24)</f>
        <v>1</v>
      </c>
      <c r="C11698" s="12"/>
      <c r="D11698" s="13" t="n">
        <f aca="false">IF(B11698&lt;5,Einstellungen!$B$3,Einstellungen!$B$4)</f>
        <v>15.92</v>
      </c>
      <c r="E11698" s="14" t="str">
        <f aca="false">IF(C11698="","",C11698*D11698/100)</f>
        <v/>
      </c>
      <c r="F11698" s="15" t="str">
        <f aca="false">IF(B11698&lt;5,"Go","Standard")</f>
        <v>Go</v>
      </c>
    </row>
    <row r="11699" customFormat="false" ht="15" hidden="false" customHeight="true" outlineLevel="0" collapsed="false">
      <c r="A11699" s="10" t="n">
        <f aca="false">Einstellungen!$B$5+INT((ROW()-9)/24)</f>
        <v>46453</v>
      </c>
      <c r="B11699" s="11" t="n">
        <f aca="false">MOD(ROW()-9,24)</f>
        <v>2</v>
      </c>
      <c r="C11699" s="12"/>
      <c r="D11699" s="13" t="n">
        <f aca="false">IF(B11699&lt;5,Einstellungen!$B$3,Einstellungen!$B$4)</f>
        <v>15.92</v>
      </c>
      <c r="E11699" s="14" t="str">
        <f aca="false">IF(C11699="","",C11699*D11699/100)</f>
        <v/>
      </c>
      <c r="F11699" s="15" t="str">
        <f aca="false">IF(B11699&lt;5,"Go","Standard")</f>
        <v>Go</v>
      </c>
    </row>
    <row r="11700" customFormat="false" ht="15" hidden="false" customHeight="true" outlineLevel="0" collapsed="false">
      <c r="A11700" s="10" t="n">
        <f aca="false">Einstellungen!$B$5+INT((ROW()-9)/24)</f>
        <v>46453</v>
      </c>
      <c r="B11700" s="11" t="n">
        <f aca="false">MOD(ROW()-9,24)</f>
        <v>3</v>
      </c>
      <c r="C11700" s="12"/>
      <c r="D11700" s="13" t="n">
        <f aca="false">IF(B11700&lt;5,Einstellungen!$B$3,Einstellungen!$B$4)</f>
        <v>15.92</v>
      </c>
      <c r="E11700" s="14" t="str">
        <f aca="false">IF(C11700="","",C11700*D11700/100)</f>
        <v/>
      </c>
      <c r="F11700" s="15" t="str">
        <f aca="false">IF(B11700&lt;5,"Go","Standard")</f>
        <v>Go</v>
      </c>
    </row>
    <row r="11701" customFormat="false" ht="15" hidden="false" customHeight="true" outlineLevel="0" collapsed="false">
      <c r="A11701" s="10" t="n">
        <f aca="false">Einstellungen!$B$5+INT((ROW()-9)/24)</f>
        <v>46453</v>
      </c>
      <c r="B11701" s="11" t="n">
        <f aca="false">MOD(ROW()-9,24)</f>
        <v>4</v>
      </c>
      <c r="C11701" s="12"/>
      <c r="D11701" s="13" t="n">
        <f aca="false">IF(B11701&lt;5,Einstellungen!$B$3,Einstellungen!$B$4)</f>
        <v>15.92</v>
      </c>
      <c r="E11701" s="14" t="str">
        <f aca="false">IF(C11701="","",C11701*D11701/100)</f>
        <v/>
      </c>
      <c r="F11701" s="15" t="str">
        <f aca="false">IF(B11701&lt;5,"Go","Standard")</f>
        <v>Go</v>
      </c>
    </row>
    <row r="11702" customFormat="false" ht="15" hidden="false" customHeight="true" outlineLevel="0" collapsed="false">
      <c r="A11702" s="10" t="n">
        <f aca="false">Einstellungen!$B$5+INT((ROW()-9)/24)</f>
        <v>46453</v>
      </c>
      <c r="B11702" s="11" t="n">
        <f aca="false">MOD(ROW()-9,24)</f>
        <v>5</v>
      </c>
      <c r="C11702" s="12"/>
      <c r="D11702" s="13" t="n">
        <f aca="false">IF(B11702&lt;5,Einstellungen!$B$3,Einstellungen!$B$4)</f>
        <v>29.13</v>
      </c>
      <c r="E11702" s="14" t="str">
        <f aca="false">IF(C11702="","",C11702*D11702/100)</f>
        <v/>
      </c>
      <c r="F11702" s="15" t="str">
        <f aca="false">IF(B11702&lt;5,"Go","Standard")</f>
        <v>Standard</v>
      </c>
    </row>
    <row r="11703" customFormat="false" ht="15" hidden="false" customHeight="true" outlineLevel="0" collapsed="false">
      <c r="A11703" s="10" t="n">
        <f aca="false">Einstellungen!$B$5+INT((ROW()-9)/24)</f>
        <v>46453</v>
      </c>
      <c r="B11703" s="11" t="n">
        <f aca="false">MOD(ROW()-9,24)</f>
        <v>6</v>
      </c>
      <c r="C11703" s="12"/>
      <c r="D11703" s="13" t="n">
        <f aca="false">IF(B11703&lt;5,Einstellungen!$B$3,Einstellungen!$B$4)</f>
        <v>29.13</v>
      </c>
      <c r="E11703" s="14" t="str">
        <f aca="false">IF(C11703="","",C11703*D11703/100)</f>
        <v/>
      </c>
      <c r="F11703" s="15" t="str">
        <f aca="false">IF(B11703&lt;5,"Go","Standard")</f>
        <v>Standard</v>
      </c>
    </row>
    <row r="11704" customFormat="false" ht="15" hidden="false" customHeight="true" outlineLevel="0" collapsed="false">
      <c r="A11704" s="10" t="n">
        <f aca="false">Einstellungen!$B$5+INT((ROW()-9)/24)</f>
        <v>46453</v>
      </c>
      <c r="B11704" s="11" t="n">
        <f aca="false">MOD(ROW()-9,24)</f>
        <v>7</v>
      </c>
      <c r="C11704" s="12"/>
      <c r="D11704" s="13" t="n">
        <f aca="false">IF(B11704&lt;5,Einstellungen!$B$3,Einstellungen!$B$4)</f>
        <v>29.13</v>
      </c>
      <c r="E11704" s="14" t="str">
        <f aca="false">IF(C11704="","",C11704*D11704/100)</f>
        <v/>
      </c>
      <c r="F11704" s="15" t="str">
        <f aca="false">IF(B11704&lt;5,"Go","Standard")</f>
        <v>Standard</v>
      </c>
    </row>
    <row r="11705" customFormat="false" ht="15" hidden="false" customHeight="true" outlineLevel="0" collapsed="false">
      <c r="A11705" s="10" t="n">
        <f aca="false">Einstellungen!$B$5+INT((ROW()-9)/24)</f>
        <v>46453</v>
      </c>
      <c r="B11705" s="11" t="n">
        <f aca="false">MOD(ROW()-9,24)</f>
        <v>8</v>
      </c>
      <c r="C11705" s="12"/>
      <c r="D11705" s="13" t="n">
        <f aca="false">IF(B11705&lt;5,Einstellungen!$B$3,Einstellungen!$B$4)</f>
        <v>29.13</v>
      </c>
      <c r="E11705" s="14" t="str">
        <f aca="false">IF(C11705="","",C11705*D11705/100)</f>
        <v/>
      </c>
      <c r="F11705" s="15" t="str">
        <f aca="false">IF(B11705&lt;5,"Go","Standard")</f>
        <v>Standard</v>
      </c>
    </row>
    <row r="11706" customFormat="false" ht="15" hidden="false" customHeight="true" outlineLevel="0" collapsed="false">
      <c r="A11706" s="10" t="n">
        <f aca="false">Einstellungen!$B$5+INT((ROW()-9)/24)</f>
        <v>46453</v>
      </c>
      <c r="B11706" s="11" t="n">
        <f aca="false">MOD(ROW()-9,24)</f>
        <v>9</v>
      </c>
      <c r="C11706" s="12"/>
      <c r="D11706" s="13" t="n">
        <f aca="false">IF(B11706&lt;5,Einstellungen!$B$3,Einstellungen!$B$4)</f>
        <v>29.13</v>
      </c>
      <c r="E11706" s="14" t="str">
        <f aca="false">IF(C11706="","",C11706*D11706/100)</f>
        <v/>
      </c>
      <c r="F11706" s="15" t="str">
        <f aca="false">IF(B11706&lt;5,"Go","Standard")</f>
        <v>Standard</v>
      </c>
    </row>
    <row r="11707" customFormat="false" ht="15" hidden="false" customHeight="true" outlineLevel="0" collapsed="false">
      <c r="A11707" s="10" t="n">
        <f aca="false">Einstellungen!$B$5+INT((ROW()-9)/24)</f>
        <v>46453</v>
      </c>
      <c r="B11707" s="11" t="n">
        <f aca="false">MOD(ROW()-9,24)</f>
        <v>10</v>
      </c>
      <c r="C11707" s="12"/>
      <c r="D11707" s="13" t="n">
        <f aca="false">IF(B11707&lt;5,Einstellungen!$B$3,Einstellungen!$B$4)</f>
        <v>29.13</v>
      </c>
      <c r="E11707" s="14" t="str">
        <f aca="false">IF(C11707="","",C11707*D11707/100)</f>
        <v/>
      </c>
      <c r="F11707" s="15" t="str">
        <f aca="false">IF(B11707&lt;5,"Go","Standard")</f>
        <v>Standard</v>
      </c>
    </row>
    <row r="11708" customFormat="false" ht="15" hidden="false" customHeight="true" outlineLevel="0" collapsed="false">
      <c r="A11708" s="10" t="n">
        <f aca="false">Einstellungen!$B$5+INT((ROW()-9)/24)</f>
        <v>46453</v>
      </c>
      <c r="B11708" s="11" t="n">
        <f aca="false">MOD(ROW()-9,24)</f>
        <v>11</v>
      </c>
      <c r="C11708" s="12"/>
      <c r="D11708" s="13" t="n">
        <f aca="false">IF(B11708&lt;5,Einstellungen!$B$3,Einstellungen!$B$4)</f>
        <v>29.13</v>
      </c>
      <c r="E11708" s="14" t="str">
        <f aca="false">IF(C11708="","",C11708*D11708/100)</f>
        <v/>
      </c>
      <c r="F11708" s="15" t="str">
        <f aca="false">IF(B11708&lt;5,"Go","Standard")</f>
        <v>Standard</v>
      </c>
    </row>
    <row r="11709" customFormat="false" ht="15" hidden="false" customHeight="true" outlineLevel="0" collapsed="false">
      <c r="A11709" s="10" t="n">
        <f aca="false">Einstellungen!$B$5+INT((ROW()-9)/24)</f>
        <v>46453</v>
      </c>
      <c r="B11709" s="11" t="n">
        <f aca="false">MOD(ROW()-9,24)</f>
        <v>12</v>
      </c>
      <c r="C11709" s="12"/>
      <c r="D11709" s="13" t="n">
        <f aca="false">IF(B11709&lt;5,Einstellungen!$B$3,Einstellungen!$B$4)</f>
        <v>29.13</v>
      </c>
      <c r="E11709" s="14" t="str">
        <f aca="false">IF(C11709="","",C11709*D11709/100)</f>
        <v/>
      </c>
      <c r="F11709" s="15" t="str">
        <f aca="false">IF(B11709&lt;5,"Go","Standard")</f>
        <v>Standard</v>
      </c>
    </row>
    <row r="11710" customFormat="false" ht="15" hidden="false" customHeight="true" outlineLevel="0" collapsed="false">
      <c r="A11710" s="10" t="n">
        <f aca="false">Einstellungen!$B$5+INT((ROW()-9)/24)</f>
        <v>46453</v>
      </c>
      <c r="B11710" s="11" t="n">
        <f aca="false">MOD(ROW()-9,24)</f>
        <v>13</v>
      </c>
      <c r="C11710" s="12"/>
      <c r="D11710" s="13" t="n">
        <f aca="false">IF(B11710&lt;5,Einstellungen!$B$3,Einstellungen!$B$4)</f>
        <v>29.13</v>
      </c>
      <c r="E11710" s="14" t="str">
        <f aca="false">IF(C11710="","",C11710*D11710/100)</f>
        <v/>
      </c>
      <c r="F11710" s="15" t="str">
        <f aca="false">IF(B11710&lt;5,"Go","Standard")</f>
        <v>Standard</v>
      </c>
    </row>
    <row r="11711" customFormat="false" ht="15" hidden="false" customHeight="true" outlineLevel="0" collapsed="false">
      <c r="A11711" s="10" t="n">
        <f aca="false">Einstellungen!$B$5+INT((ROW()-9)/24)</f>
        <v>46453</v>
      </c>
      <c r="B11711" s="11" t="n">
        <f aca="false">MOD(ROW()-9,24)</f>
        <v>14</v>
      </c>
      <c r="C11711" s="12"/>
      <c r="D11711" s="13" t="n">
        <f aca="false">IF(B11711&lt;5,Einstellungen!$B$3,Einstellungen!$B$4)</f>
        <v>29.13</v>
      </c>
      <c r="E11711" s="14" t="str">
        <f aca="false">IF(C11711="","",C11711*D11711/100)</f>
        <v/>
      </c>
      <c r="F11711" s="15" t="str">
        <f aca="false">IF(B11711&lt;5,"Go","Standard")</f>
        <v>Standard</v>
      </c>
    </row>
    <row r="11712" customFormat="false" ht="15" hidden="false" customHeight="true" outlineLevel="0" collapsed="false">
      <c r="A11712" s="10" t="n">
        <f aca="false">Einstellungen!$B$5+INT((ROW()-9)/24)</f>
        <v>46453</v>
      </c>
      <c r="B11712" s="11" t="n">
        <f aca="false">MOD(ROW()-9,24)</f>
        <v>15</v>
      </c>
      <c r="C11712" s="12"/>
      <c r="D11712" s="13" t="n">
        <f aca="false">IF(B11712&lt;5,Einstellungen!$B$3,Einstellungen!$B$4)</f>
        <v>29.13</v>
      </c>
      <c r="E11712" s="14" t="str">
        <f aca="false">IF(C11712="","",C11712*D11712/100)</f>
        <v/>
      </c>
      <c r="F11712" s="15" t="str">
        <f aca="false">IF(B11712&lt;5,"Go","Standard")</f>
        <v>Standard</v>
      </c>
    </row>
    <row r="11713" customFormat="false" ht="15" hidden="false" customHeight="true" outlineLevel="0" collapsed="false">
      <c r="A11713" s="10" t="n">
        <f aca="false">Einstellungen!$B$5+INT((ROW()-9)/24)</f>
        <v>46453</v>
      </c>
      <c r="B11713" s="11" t="n">
        <f aca="false">MOD(ROW()-9,24)</f>
        <v>16</v>
      </c>
      <c r="C11713" s="12"/>
      <c r="D11713" s="13" t="n">
        <f aca="false">IF(B11713&lt;5,Einstellungen!$B$3,Einstellungen!$B$4)</f>
        <v>29.13</v>
      </c>
      <c r="E11713" s="14" t="str">
        <f aca="false">IF(C11713="","",C11713*D11713/100)</f>
        <v/>
      </c>
      <c r="F11713" s="15" t="str">
        <f aca="false">IF(B11713&lt;5,"Go","Standard")</f>
        <v>Standard</v>
      </c>
    </row>
    <row r="11714" customFormat="false" ht="15" hidden="false" customHeight="true" outlineLevel="0" collapsed="false">
      <c r="A11714" s="10" t="n">
        <f aca="false">Einstellungen!$B$5+INT((ROW()-9)/24)</f>
        <v>46453</v>
      </c>
      <c r="B11714" s="11" t="n">
        <f aca="false">MOD(ROW()-9,24)</f>
        <v>17</v>
      </c>
      <c r="C11714" s="12"/>
      <c r="D11714" s="13" t="n">
        <f aca="false">IF(B11714&lt;5,Einstellungen!$B$3,Einstellungen!$B$4)</f>
        <v>29.13</v>
      </c>
      <c r="E11714" s="14" t="str">
        <f aca="false">IF(C11714="","",C11714*D11714/100)</f>
        <v/>
      </c>
      <c r="F11714" s="15" t="str">
        <f aca="false">IF(B11714&lt;5,"Go","Standard")</f>
        <v>Standard</v>
      </c>
    </row>
    <row r="11715" customFormat="false" ht="15" hidden="false" customHeight="true" outlineLevel="0" collapsed="false">
      <c r="A11715" s="10" t="n">
        <f aca="false">Einstellungen!$B$5+INT((ROW()-9)/24)</f>
        <v>46453</v>
      </c>
      <c r="B11715" s="11" t="n">
        <f aca="false">MOD(ROW()-9,24)</f>
        <v>18</v>
      </c>
      <c r="C11715" s="12"/>
      <c r="D11715" s="13" t="n">
        <f aca="false">IF(B11715&lt;5,Einstellungen!$B$3,Einstellungen!$B$4)</f>
        <v>29.13</v>
      </c>
      <c r="E11715" s="14" t="str">
        <f aca="false">IF(C11715="","",C11715*D11715/100)</f>
        <v/>
      </c>
      <c r="F11715" s="15" t="str">
        <f aca="false">IF(B11715&lt;5,"Go","Standard")</f>
        <v>Standard</v>
      </c>
    </row>
    <row r="11716" customFormat="false" ht="15" hidden="false" customHeight="true" outlineLevel="0" collapsed="false">
      <c r="A11716" s="10" t="n">
        <f aca="false">Einstellungen!$B$5+INT((ROW()-9)/24)</f>
        <v>46453</v>
      </c>
      <c r="B11716" s="11" t="n">
        <f aca="false">MOD(ROW()-9,24)</f>
        <v>19</v>
      </c>
      <c r="C11716" s="12"/>
      <c r="D11716" s="13" t="n">
        <f aca="false">IF(B11716&lt;5,Einstellungen!$B$3,Einstellungen!$B$4)</f>
        <v>29.13</v>
      </c>
      <c r="E11716" s="14" t="str">
        <f aca="false">IF(C11716="","",C11716*D11716/100)</f>
        <v/>
      </c>
      <c r="F11716" s="15" t="str">
        <f aca="false">IF(B11716&lt;5,"Go","Standard")</f>
        <v>Standard</v>
      </c>
    </row>
    <row r="11717" customFormat="false" ht="15" hidden="false" customHeight="true" outlineLevel="0" collapsed="false">
      <c r="A11717" s="10" t="n">
        <f aca="false">Einstellungen!$B$5+INT((ROW()-9)/24)</f>
        <v>46453</v>
      </c>
      <c r="B11717" s="11" t="n">
        <f aca="false">MOD(ROW()-9,24)</f>
        <v>20</v>
      </c>
      <c r="C11717" s="12"/>
      <c r="D11717" s="13" t="n">
        <f aca="false">IF(B11717&lt;5,Einstellungen!$B$3,Einstellungen!$B$4)</f>
        <v>29.13</v>
      </c>
      <c r="E11717" s="14" t="str">
        <f aca="false">IF(C11717="","",C11717*D11717/100)</f>
        <v/>
      </c>
      <c r="F11717" s="15" t="str">
        <f aca="false">IF(B11717&lt;5,"Go","Standard")</f>
        <v>Standard</v>
      </c>
    </row>
    <row r="11718" customFormat="false" ht="15" hidden="false" customHeight="true" outlineLevel="0" collapsed="false">
      <c r="A11718" s="10" t="n">
        <f aca="false">Einstellungen!$B$5+INT((ROW()-9)/24)</f>
        <v>46453</v>
      </c>
      <c r="B11718" s="11" t="n">
        <f aca="false">MOD(ROW()-9,24)</f>
        <v>21</v>
      </c>
      <c r="C11718" s="12"/>
      <c r="D11718" s="13" t="n">
        <f aca="false">IF(B11718&lt;5,Einstellungen!$B$3,Einstellungen!$B$4)</f>
        <v>29.13</v>
      </c>
      <c r="E11718" s="14" t="str">
        <f aca="false">IF(C11718="","",C11718*D11718/100)</f>
        <v/>
      </c>
      <c r="F11718" s="15" t="str">
        <f aca="false">IF(B11718&lt;5,"Go","Standard")</f>
        <v>Standard</v>
      </c>
    </row>
    <row r="11719" customFormat="false" ht="15" hidden="false" customHeight="true" outlineLevel="0" collapsed="false">
      <c r="A11719" s="10" t="n">
        <f aca="false">Einstellungen!$B$5+INT((ROW()-9)/24)</f>
        <v>46453</v>
      </c>
      <c r="B11719" s="11" t="n">
        <f aca="false">MOD(ROW()-9,24)</f>
        <v>22</v>
      </c>
      <c r="C11719" s="12"/>
      <c r="D11719" s="13" t="n">
        <f aca="false">IF(B11719&lt;5,Einstellungen!$B$3,Einstellungen!$B$4)</f>
        <v>29.13</v>
      </c>
      <c r="E11719" s="14" t="str">
        <f aca="false">IF(C11719="","",C11719*D11719/100)</f>
        <v/>
      </c>
      <c r="F11719" s="15" t="str">
        <f aca="false">IF(B11719&lt;5,"Go","Standard")</f>
        <v>Standard</v>
      </c>
    </row>
    <row r="11720" customFormat="false" ht="15" hidden="false" customHeight="true" outlineLevel="0" collapsed="false">
      <c r="A11720" s="10" t="n">
        <f aca="false">Einstellungen!$B$5+INT((ROW()-9)/24)</f>
        <v>46453</v>
      </c>
      <c r="B11720" s="11" t="n">
        <f aca="false">MOD(ROW()-9,24)</f>
        <v>23</v>
      </c>
      <c r="C11720" s="12"/>
      <c r="D11720" s="13" t="n">
        <f aca="false">IF(B11720&lt;5,Einstellungen!$B$3,Einstellungen!$B$4)</f>
        <v>29.13</v>
      </c>
      <c r="E11720" s="14" t="str">
        <f aca="false">IF(C11720="","",C11720*D11720/100)</f>
        <v/>
      </c>
      <c r="F11720" s="15" t="str">
        <f aca="false">IF(B11720&lt;5,"Go","Standard")</f>
        <v>Standard</v>
      </c>
    </row>
    <row r="11721" customFormat="false" ht="15" hidden="false" customHeight="true" outlineLevel="0" collapsed="false">
      <c r="A11721" s="10" t="n">
        <f aca="false">Einstellungen!$B$5+INT((ROW()-9)/24)</f>
        <v>46454</v>
      </c>
      <c r="B11721" s="11" t="n">
        <f aca="false">MOD(ROW()-9,24)</f>
        <v>0</v>
      </c>
      <c r="C11721" s="12"/>
      <c r="D11721" s="13" t="n">
        <f aca="false">IF(B11721&lt;5,Einstellungen!$B$3,Einstellungen!$B$4)</f>
        <v>15.92</v>
      </c>
      <c r="E11721" s="14" t="str">
        <f aca="false">IF(C11721="","",C11721*D11721/100)</f>
        <v/>
      </c>
      <c r="F11721" s="15" t="str">
        <f aca="false">IF(B11721&lt;5,"Go","Standard")</f>
        <v>Go</v>
      </c>
    </row>
    <row r="11722" customFormat="false" ht="15" hidden="false" customHeight="true" outlineLevel="0" collapsed="false">
      <c r="A11722" s="10" t="n">
        <f aca="false">Einstellungen!$B$5+INT((ROW()-9)/24)</f>
        <v>46454</v>
      </c>
      <c r="B11722" s="11" t="n">
        <f aca="false">MOD(ROW()-9,24)</f>
        <v>1</v>
      </c>
      <c r="C11722" s="12"/>
      <c r="D11722" s="13" t="n">
        <f aca="false">IF(B11722&lt;5,Einstellungen!$B$3,Einstellungen!$B$4)</f>
        <v>15.92</v>
      </c>
      <c r="E11722" s="14" t="str">
        <f aca="false">IF(C11722="","",C11722*D11722/100)</f>
        <v/>
      </c>
      <c r="F11722" s="15" t="str">
        <f aca="false">IF(B11722&lt;5,"Go","Standard")</f>
        <v>Go</v>
      </c>
    </row>
    <row r="11723" customFormat="false" ht="15" hidden="false" customHeight="true" outlineLevel="0" collapsed="false">
      <c r="A11723" s="10" t="n">
        <f aca="false">Einstellungen!$B$5+INT((ROW()-9)/24)</f>
        <v>46454</v>
      </c>
      <c r="B11723" s="11" t="n">
        <f aca="false">MOD(ROW()-9,24)</f>
        <v>2</v>
      </c>
      <c r="C11723" s="12"/>
      <c r="D11723" s="13" t="n">
        <f aca="false">IF(B11723&lt;5,Einstellungen!$B$3,Einstellungen!$B$4)</f>
        <v>15.92</v>
      </c>
      <c r="E11723" s="14" t="str">
        <f aca="false">IF(C11723="","",C11723*D11723/100)</f>
        <v/>
      </c>
      <c r="F11723" s="15" t="str">
        <f aca="false">IF(B11723&lt;5,"Go","Standard")</f>
        <v>Go</v>
      </c>
    </row>
    <row r="11724" customFormat="false" ht="15" hidden="false" customHeight="true" outlineLevel="0" collapsed="false">
      <c r="A11724" s="10" t="n">
        <f aca="false">Einstellungen!$B$5+INT((ROW()-9)/24)</f>
        <v>46454</v>
      </c>
      <c r="B11724" s="11" t="n">
        <f aca="false">MOD(ROW()-9,24)</f>
        <v>3</v>
      </c>
      <c r="C11724" s="12"/>
      <c r="D11724" s="13" t="n">
        <f aca="false">IF(B11724&lt;5,Einstellungen!$B$3,Einstellungen!$B$4)</f>
        <v>15.92</v>
      </c>
      <c r="E11724" s="14" t="str">
        <f aca="false">IF(C11724="","",C11724*D11724/100)</f>
        <v/>
      </c>
      <c r="F11724" s="15" t="str">
        <f aca="false">IF(B11724&lt;5,"Go","Standard")</f>
        <v>Go</v>
      </c>
    </row>
    <row r="11725" customFormat="false" ht="15" hidden="false" customHeight="true" outlineLevel="0" collapsed="false">
      <c r="A11725" s="10" t="n">
        <f aca="false">Einstellungen!$B$5+INT((ROW()-9)/24)</f>
        <v>46454</v>
      </c>
      <c r="B11725" s="11" t="n">
        <f aca="false">MOD(ROW()-9,24)</f>
        <v>4</v>
      </c>
      <c r="C11725" s="12"/>
      <c r="D11725" s="13" t="n">
        <f aca="false">IF(B11725&lt;5,Einstellungen!$B$3,Einstellungen!$B$4)</f>
        <v>15.92</v>
      </c>
      <c r="E11725" s="14" t="str">
        <f aca="false">IF(C11725="","",C11725*D11725/100)</f>
        <v/>
      </c>
      <c r="F11725" s="15" t="str">
        <f aca="false">IF(B11725&lt;5,"Go","Standard")</f>
        <v>Go</v>
      </c>
    </row>
    <row r="11726" customFormat="false" ht="15" hidden="false" customHeight="true" outlineLevel="0" collapsed="false">
      <c r="A11726" s="10" t="n">
        <f aca="false">Einstellungen!$B$5+INT((ROW()-9)/24)</f>
        <v>46454</v>
      </c>
      <c r="B11726" s="11" t="n">
        <f aca="false">MOD(ROW()-9,24)</f>
        <v>5</v>
      </c>
      <c r="C11726" s="12"/>
      <c r="D11726" s="13" t="n">
        <f aca="false">IF(B11726&lt;5,Einstellungen!$B$3,Einstellungen!$B$4)</f>
        <v>29.13</v>
      </c>
      <c r="E11726" s="14" t="str">
        <f aca="false">IF(C11726="","",C11726*D11726/100)</f>
        <v/>
      </c>
      <c r="F11726" s="15" t="str">
        <f aca="false">IF(B11726&lt;5,"Go","Standard")</f>
        <v>Standard</v>
      </c>
    </row>
    <row r="11727" customFormat="false" ht="15" hidden="false" customHeight="true" outlineLevel="0" collapsed="false">
      <c r="A11727" s="10" t="n">
        <f aca="false">Einstellungen!$B$5+INT((ROW()-9)/24)</f>
        <v>46454</v>
      </c>
      <c r="B11727" s="11" t="n">
        <f aca="false">MOD(ROW()-9,24)</f>
        <v>6</v>
      </c>
      <c r="C11727" s="12"/>
      <c r="D11727" s="13" t="n">
        <f aca="false">IF(B11727&lt;5,Einstellungen!$B$3,Einstellungen!$B$4)</f>
        <v>29.13</v>
      </c>
      <c r="E11727" s="14" t="str">
        <f aca="false">IF(C11727="","",C11727*D11727/100)</f>
        <v/>
      </c>
      <c r="F11727" s="15" t="str">
        <f aca="false">IF(B11727&lt;5,"Go","Standard")</f>
        <v>Standard</v>
      </c>
    </row>
    <row r="11728" customFormat="false" ht="15" hidden="false" customHeight="true" outlineLevel="0" collapsed="false">
      <c r="A11728" s="10" t="n">
        <f aca="false">Einstellungen!$B$5+INT((ROW()-9)/24)</f>
        <v>46454</v>
      </c>
      <c r="B11728" s="11" t="n">
        <f aca="false">MOD(ROW()-9,24)</f>
        <v>7</v>
      </c>
      <c r="C11728" s="12"/>
      <c r="D11728" s="13" t="n">
        <f aca="false">IF(B11728&lt;5,Einstellungen!$B$3,Einstellungen!$B$4)</f>
        <v>29.13</v>
      </c>
      <c r="E11728" s="14" t="str">
        <f aca="false">IF(C11728="","",C11728*D11728/100)</f>
        <v/>
      </c>
      <c r="F11728" s="15" t="str">
        <f aca="false">IF(B11728&lt;5,"Go","Standard")</f>
        <v>Standard</v>
      </c>
    </row>
    <row r="11729" customFormat="false" ht="15" hidden="false" customHeight="true" outlineLevel="0" collapsed="false">
      <c r="A11729" s="10" t="n">
        <f aca="false">Einstellungen!$B$5+INT((ROW()-9)/24)</f>
        <v>46454</v>
      </c>
      <c r="B11729" s="11" t="n">
        <f aca="false">MOD(ROW()-9,24)</f>
        <v>8</v>
      </c>
      <c r="C11729" s="12"/>
      <c r="D11729" s="13" t="n">
        <f aca="false">IF(B11729&lt;5,Einstellungen!$B$3,Einstellungen!$B$4)</f>
        <v>29.13</v>
      </c>
      <c r="E11729" s="14" t="str">
        <f aca="false">IF(C11729="","",C11729*D11729/100)</f>
        <v/>
      </c>
      <c r="F11729" s="15" t="str">
        <f aca="false">IF(B11729&lt;5,"Go","Standard")</f>
        <v>Standard</v>
      </c>
    </row>
    <row r="11730" customFormat="false" ht="15" hidden="false" customHeight="true" outlineLevel="0" collapsed="false">
      <c r="A11730" s="10" t="n">
        <f aca="false">Einstellungen!$B$5+INT((ROW()-9)/24)</f>
        <v>46454</v>
      </c>
      <c r="B11730" s="11" t="n">
        <f aca="false">MOD(ROW()-9,24)</f>
        <v>9</v>
      </c>
      <c r="C11730" s="12"/>
      <c r="D11730" s="13" t="n">
        <f aca="false">IF(B11730&lt;5,Einstellungen!$B$3,Einstellungen!$B$4)</f>
        <v>29.13</v>
      </c>
      <c r="E11730" s="14" t="str">
        <f aca="false">IF(C11730="","",C11730*D11730/100)</f>
        <v/>
      </c>
      <c r="F11730" s="15" t="str">
        <f aca="false">IF(B11730&lt;5,"Go","Standard")</f>
        <v>Standard</v>
      </c>
    </row>
    <row r="11731" customFormat="false" ht="15" hidden="false" customHeight="true" outlineLevel="0" collapsed="false">
      <c r="A11731" s="10" t="n">
        <f aca="false">Einstellungen!$B$5+INT((ROW()-9)/24)</f>
        <v>46454</v>
      </c>
      <c r="B11731" s="11" t="n">
        <f aca="false">MOD(ROW()-9,24)</f>
        <v>10</v>
      </c>
      <c r="C11731" s="12"/>
      <c r="D11731" s="13" t="n">
        <f aca="false">IF(B11731&lt;5,Einstellungen!$B$3,Einstellungen!$B$4)</f>
        <v>29.13</v>
      </c>
      <c r="E11731" s="14" t="str">
        <f aca="false">IF(C11731="","",C11731*D11731/100)</f>
        <v/>
      </c>
      <c r="F11731" s="15" t="str">
        <f aca="false">IF(B11731&lt;5,"Go","Standard")</f>
        <v>Standard</v>
      </c>
    </row>
    <row r="11732" customFormat="false" ht="15" hidden="false" customHeight="true" outlineLevel="0" collapsed="false">
      <c r="A11732" s="10" t="n">
        <f aca="false">Einstellungen!$B$5+INT((ROW()-9)/24)</f>
        <v>46454</v>
      </c>
      <c r="B11732" s="11" t="n">
        <f aca="false">MOD(ROW()-9,24)</f>
        <v>11</v>
      </c>
      <c r="C11732" s="12"/>
      <c r="D11732" s="13" t="n">
        <f aca="false">IF(B11732&lt;5,Einstellungen!$B$3,Einstellungen!$B$4)</f>
        <v>29.13</v>
      </c>
      <c r="E11732" s="14" t="str">
        <f aca="false">IF(C11732="","",C11732*D11732/100)</f>
        <v/>
      </c>
      <c r="F11732" s="15" t="str">
        <f aca="false">IF(B11732&lt;5,"Go","Standard")</f>
        <v>Standard</v>
      </c>
    </row>
    <row r="11733" customFormat="false" ht="15" hidden="false" customHeight="true" outlineLevel="0" collapsed="false">
      <c r="A11733" s="10" t="n">
        <f aca="false">Einstellungen!$B$5+INT((ROW()-9)/24)</f>
        <v>46454</v>
      </c>
      <c r="B11733" s="11" t="n">
        <f aca="false">MOD(ROW()-9,24)</f>
        <v>12</v>
      </c>
      <c r="C11733" s="12"/>
      <c r="D11733" s="13" t="n">
        <f aca="false">IF(B11733&lt;5,Einstellungen!$B$3,Einstellungen!$B$4)</f>
        <v>29.13</v>
      </c>
      <c r="E11733" s="14" t="str">
        <f aca="false">IF(C11733="","",C11733*D11733/100)</f>
        <v/>
      </c>
      <c r="F11733" s="15" t="str">
        <f aca="false">IF(B11733&lt;5,"Go","Standard")</f>
        <v>Standard</v>
      </c>
    </row>
    <row r="11734" customFormat="false" ht="15" hidden="false" customHeight="true" outlineLevel="0" collapsed="false">
      <c r="A11734" s="10" t="n">
        <f aca="false">Einstellungen!$B$5+INT((ROW()-9)/24)</f>
        <v>46454</v>
      </c>
      <c r="B11734" s="11" t="n">
        <f aca="false">MOD(ROW()-9,24)</f>
        <v>13</v>
      </c>
      <c r="C11734" s="12"/>
      <c r="D11734" s="13" t="n">
        <f aca="false">IF(B11734&lt;5,Einstellungen!$B$3,Einstellungen!$B$4)</f>
        <v>29.13</v>
      </c>
      <c r="E11734" s="14" t="str">
        <f aca="false">IF(C11734="","",C11734*D11734/100)</f>
        <v/>
      </c>
      <c r="F11734" s="15" t="str">
        <f aca="false">IF(B11734&lt;5,"Go","Standard")</f>
        <v>Standard</v>
      </c>
    </row>
    <row r="11735" customFormat="false" ht="15" hidden="false" customHeight="true" outlineLevel="0" collapsed="false">
      <c r="A11735" s="10" t="n">
        <f aca="false">Einstellungen!$B$5+INT((ROW()-9)/24)</f>
        <v>46454</v>
      </c>
      <c r="B11735" s="11" t="n">
        <f aca="false">MOD(ROW()-9,24)</f>
        <v>14</v>
      </c>
      <c r="C11735" s="12"/>
      <c r="D11735" s="13" t="n">
        <f aca="false">IF(B11735&lt;5,Einstellungen!$B$3,Einstellungen!$B$4)</f>
        <v>29.13</v>
      </c>
      <c r="E11735" s="14" t="str">
        <f aca="false">IF(C11735="","",C11735*D11735/100)</f>
        <v/>
      </c>
      <c r="F11735" s="15" t="str">
        <f aca="false">IF(B11735&lt;5,"Go","Standard")</f>
        <v>Standard</v>
      </c>
    </row>
    <row r="11736" customFormat="false" ht="15" hidden="false" customHeight="true" outlineLevel="0" collapsed="false">
      <c r="A11736" s="10" t="n">
        <f aca="false">Einstellungen!$B$5+INT((ROW()-9)/24)</f>
        <v>46454</v>
      </c>
      <c r="B11736" s="11" t="n">
        <f aca="false">MOD(ROW()-9,24)</f>
        <v>15</v>
      </c>
      <c r="C11736" s="12"/>
      <c r="D11736" s="13" t="n">
        <f aca="false">IF(B11736&lt;5,Einstellungen!$B$3,Einstellungen!$B$4)</f>
        <v>29.13</v>
      </c>
      <c r="E11736" s="14" t="str">
        <f aca="false">IF(C11736="","",C11736*D11736/100)</f>
        <v/>
      </c>
      <c r="F11736" s="15" t="str">
        <f aca="false">IF(B11736&lt;5,"Go","Standard")</f>
        <v>Standard</v>
      </c>
    </row>
    <row r="11737" customFormat="false" ht="15" hidden="false" customHeight="true" outlineLevel="0" collapsed="false">
      <c r="A11737" s="10" t="n">
        <f aca="false">Einstellungen!$B$5+INT((ROW()-9)/24)</f>
        <v>46454</v>
      </c>
      <c r="B11737" s="11" t="n">
        <f aca="false">MOD(ROW()-9,24)</f>
        <v>16</v>
      </c>
      <c r="C11737" s="12"/>
      <c r="D11737" s="13" t="n">
        <f aca="false">IF(B11737&lt;5,Einstellungen!$B$3,Einstellungen!$B$4)</f>
        <v>29.13</v>
      </c>
      <c r="E11737" s="14" t="str">
        <f aca="false">IF(C11737="","",C11737*D11737/100)</f>
        <v/>
      </c>
      <c r="F11737" s="15" t="str">
        <f aca="false">IF(B11737&lt;5,"Go","Standard")</f>
        <v>Standard</v>
      </c>
    </row>
    <row r="11738" customFormat="false" ht="15" hidden="false" customHeight="true" outlineLevel="0" collapsed="false">
      <c r="A11738" s="10" t="n">
        <f aca="false">Einstellungen!$B$5+INT((ROW()-9)/24)</f>
        <v>46454</v>
      </c>
      <c r="B11738" s="11" t="n">
        <f aca="false">MOD(ROW()-9,24)</f>
        <v>17</v>
      </c>
      <c r="C11738" s="12"/>
      <c r="D11738" s="13" t="n">
        <f aca="false">IF(B11738&lt;5,Einstellungen!$B$3,Einstellungen!$B$4)</f>
        <v>29.13</v>
      </c>
      <c r="E11738" s="14" t="str">
        <f aca="false">IF(C11738="","",C11738*D11738/100)</f>
        <v/>
      </c>
      <c r="F11738" s="15" t="str">
        <f aca="false">IF(B11738&lt;5,"Go","Standard")</f>
        <v>Standard</v>
      </c>
    </row>
    <row r="11739" customFormat="false" ht="15" hidden="false" customHeight="true" outlineLevel="0" collapsed="false">
      <c r="A11739" s="10" t="n">
        <f aca="false">Einstellungen!$B$5+INT((ROW()-9)/24)</f>
        <v>46454</v>
      </c>
      <c r="B11739" s="11" t="n">
        <f aca="false">MOD(ROW()-9,24)</f>
        <v>18</v>
      </c>
      <c r="C11739" s="12"/>
      <c r="D11739" s="13" t="n">
        <f aca="false">IF(B11739&lt;5,Einstellungen!$B$3,Einstellungen!$B$4)</f>
        <v>29.13</v>
      </c>
      <c r="E11739" s="14" t="str">
        <f aca="false">IF(C11739="","",C11739*D11739/100)</f>
        <v/>
      </c>
      <c r="F11739" s="15" t="str">
        <f aca="false">IF(B11739&lt;5,"Go","Standard")</f>
        <v>Standard</v>
      </c>
    </row>
    <row r="11740" customFormat="false" ht="15" hidden="false" customHeight="true" outlineLevel="0" collapsed="false">
      <c r="A11740" s="10" t="n">
        <f aca="false">Einstellungen!$B$5+INT((ROW()-9)/24)</f>
        <v>46454</v>
      </c>
      <c r="B11740" s="11" t="n">
        <f aca="false">MOD(ROW()-9,24)</f>
        <v>19</v>
      </c>
      <c r="C11740" s="12"/>
      <c r="D11740" s="13" t="n">
        <f aca="false">IF(B11740&lt;5,Einstellungen!$B$3,Einstellungen!$B$4)</f>
        <v>29.13</v>
      </c>
      <c r="E11740" s="14" t="str">
        <f aca="false">IF(C11740="","",C11740*D11740/100)</f>
        <v/>
      </c>
      <c r="F11740" s="15" t="str">
        <f aca="false">IF(B11740&lt;5,"Go","Standard")</f>
        <v>Standard</v>
      </c>
    </row>
    <row r="11741" customFormat="false" ht="15" hidden="false" customHeight="true" outlineLevel="0" collapsed="false">
      <c r="A11741" s="10" t="n">
        <f aca="false">Einstellungen!$B$5+INT((ROW()-9)/24)</f>
        <v>46454</v>
      </c>
      <c r="B11741" s="11" t="n">
        <f aca="false">MOD(ROW()-9,24)</f>
        <v>20</v>
      </c>
      <c r="C11741" s="12"/>
      <c r="D11741" s="13" t="n">
        <f aca="false">IF(B11741&lt;5,Einstellungen!$B$3,Einstellungen!$B$4)</f>
        <v>29.13</v>
      </c>
      <c r="E11741" s="14" t="str">
        <f aca="false">IF(C11741="","",C11741*D11741/100)</f>
        <v/>
      </c>
      <c r="F11741" s="15" t="str">
        <f aca="false">IF(B11741&lt;5,"Go","Standard")</f>
        <v>Standard</v>
      </c>
    </row>
    <row r="11742" customFormat="false" ht="15" hidden="false" customHeight="true" outlineLevel="0" collapsed="false">
      <c r="A11742" s="10" t="n">
        <f aca="false">Einstellungen!$B$5+INT((ROW()-9)/24)</f>
        <v>46454</v>
      </c>
      <c r="B11742" s="11" t="n">
        <f aca="false">MOD(ROW()-9,24)</f>
        <v>21</v>
      </c>
      <c r="C11742" s="12"/>
      <c r="D11742" s="13" t="n">
        <f aca="false">IF(B11742&lt;5,Einstellungen!$B$3,Einstellungen!$B$4)</f>
        <v>29.13</v>
      </c>
      <c r="E11742" s="14" t="str">
        <f aca="false">IF(C11742="","",C11742*D11742/100)</f>
        <v/>
      </c>
      <c r="F11742" s="15" t="str">
        <f aca="false">IF(B11742&lt;5,"Go","Standard")</f>
        <v>Standard</v>
      </c>
    </row>
    <row r="11743" customFormat="false" ht="15" hidden="false" customHeight="true" outlineLevel="0" collapsed="false">
      <c r="A11743" s="10" t="n">
        <f aca="false">Einstellungen!$B$5+INT((ROW()-9)/24)</f>
        <v>46454</v>
      </c>
      <c r="B11743" s="11" t="n">
        <f aca="false">MOD(ROW()-9,24)</f>
        <v>22</v>
      </c>
      <c r="C11743" s="12"/>
      <c r="D11743" s="13" t="n">
        <f aca="false">IF(B11743&lt;5,Einstellungen!$B$3,Einstellungen!$B$4)</f>
        <v>29.13</v>
      </c>
      <c r="E11743" s="14" t="str">
        <f aca="false">IF(C11743="","",C11743*D11743/100)</f>
        <v/>
      </c>
      <c r="F11743" s="15" t="str">
        <f aca="false">IF(B11743&lt;5,"Go","Standard")</f>
        <v>Standard</v>
      </c>
    </row>
    <row r="11744" customFormat="false" ht="15" hidden="false" customHeight="true" outlineLevel="0" collapsed="false">
      <c r="A11744" s="10" t="n">
        <f aca="false">Einstellungen!$B$5+INT((ROW()-9)/24)</f>
        <v>46454</v>
      </c>
      <c r="B11744" s="11" t="n">
        <f aca="false">MOD(ROW()-9,24)</f>
        <v>23</v>
      </c>
      <c r="C11744" s="12"/>
      <c r="D11744" s="13" t="n">
        <f aca="false">IF(B11744&lt;5,Einstellungen!$B$3,Einstellungen!$B$4)</f>
        <v>29.13</v>
      </c>
      <c r="E11744" s="14" t="str">
        <f aca="false">IF(C11744="","",C11744*D11744/100)</f>
        <v/>
      </c>
      <c r="F11744" s="15" t="str">
        <f aca="false">IF(B11744&lt;5,"Go","Standard")</f>
        <v>Standard</v>
      </c>
    </row>
    <row r="11745" customFormat="false" ht="15" hidden="false" customHeight="true" outlineLevel="0" collapsed="false">
      <c r="A11745" s="10" t="n">
        <f aca="false">Einstellungen!$B$5+INT((ROW()-9)/24)</f>
        <v>46455</v>
      </c>
      <c r="B11745" s="11" t="n">
        <f aca="false">MOD(ROW()-9,24)</f>
        <v>0</v>
      </c>
      <c r="C11745" s="12"/>
      <c r="D11745" s="13" t="n">
        <f aca="false">IF(B11745&lt;5,Einstellungen!$B$3,Einstellungen!$B$4)</f>
        <v>15.92</v>
      </c>
      <c r="E11745" s="14" t="str">
        <f aca="false">IF(C11745="","",C11745*D11745/100)</f>
        <v/>
      </c>
      <c r="F11745" s="15" t="str">
        <f aca="false">IF(B11745&lt;5,"Go","Standard")</f>
        <v>Go</v>
      </c>
    </row>
    <row r="11746" customFormat="false" ht="15" hidden="false" customHeight="true" outlineLevel="0" collapsed="false">
      <c r="A11746" s="10" t="n">
        <f aca="false">Einstellungen!$B$5+INT((ROW()-9)/24)</f>
        <v>46455</v>
      </c>
      <c r="B11746" s="11" t="n">
        <f aca="false">MOD(ROW()-9,24)</f>
        <v>1</v>
      </c>
      <c r="C11746" s="12"/>
      <c r="D11746" s="13" t="n">
        <f aca="false">IF(B11746&lt;5,Einstellungen!$B$3,Einstellungen!$B$4)</f>
        <v>15.92</v>
      </c>
      <c r="E11746" s="14" t="str">
        <f aca="false">IF(C11746="","",C11746*D11746/100)</f>
        <v/>
      </c>
      <c r="F11746" s="15" t="str">
        <f aca="false">IF(B11746&lt;5,"Go","Standard")</f>
        <v>Go</v>
      </c>
    </row>
    <row r="11747" customFormat="false" ht="15" hidden="false" customHeight="true" outlineLevel="0" collapsed="false">
      <c r="A11747" s="10" t="n">
        <f aca="false">Einstellungen!$B$5+INT((ROW()-9)/24)</f>
        <v>46455</v>
      </c>
      <c r="B11747" s="11" t="n">
        <f aca="false">MOD(ROW()-9,24)</f>
        <v>2</v>
      </c>
      <c r="C11747" s="12"/>
      <c r="D11747" s="13" t="n">
        <f aca="false">IF(B11747&lt;5,Einstellungen!$B$3,Einstellungen!$B$4)</f>
        <v>15.92</v>
      </c>
      <c r="E11747" s="14" t="str">
        <f aca="false">IF(C11747="","",C11747*D11747/100)</f>
        <v/>
      </c>
      <c r="F11747" s="15" t="str">
        <f aca="false">IF(B11747&lt;5,"Go","Standard")</f>
        <v>Go</v>
      </c>
    </row>
    <row r="11748" customFormat="false" ht="15" hidden="false" customHeight="true" outlineLevel="0" collapsed="false">
      <c r="A11748" s="10" t="n">
        <f aca="false">Einstellungen!$B$5+INT((ROW()-9)/24)</f>
        <v>46455</v>
      </c>
      <c r="B11748" s="11" t="n">
        <f aca="false">MOD(ROW()-9,24)</f>
        <v>3</v>
      </c>
      <c r="C11748" s="12"/>
      <c r="D11748" s="13" t="n">
        <f aca="false">IF(B11748&lt;5,Einstellungen!$B$3,Einstellungen!$B$4)</f>
        <v>15.92</v>
      </c>
      <c r="E11748" s="14" t="str">
        <f aca="false">IF(C11748="","",C11748*D11748/100)</f>
        <v/>
      </c>
      <c r="F11748" s="15" t="str">
        <f aca="false">IF(B11748&lt;5,"Go","Standard")</f>
        <v>Go</v>
      </c>
    </row>
    <row r="11749" customFormat="false" ht="15" hidden="false" customHeight="true" outlineLevel="0" collapsed="false">
      <c r="A11749" s="10" t="n">
        <f aca="false">Einstellungen!$B$5+INT((ROW()-9)/24)</f>
        <v>46455</v>
      </c>
      <c r="B11749" s="11" t="n">
        <f aca="false">MOD(ROW()-9,24)</f>
        <v>4</v>
      </c>
      <c r="C11749" s="12"/>
      <c r="D11749" s="13" t="n">
        <f aca="false">IF(B11749&lt;5,Einstellungen!$B$3,Einstellungen!$B$4)</f>
        <v>15.92</v>
      </c>
      <c r="E11749" s="14" t="str">
        <f aca="false">IF(C11749="","",C11749*D11749/100)</f>
        <v/>
      </c>
      <c r="F11749" s="15" t="str">
        <f aca="false">IF(B11749&lt;5,"Go","Standard")</f>
        <v>Go</v>
      </c>
    </row>
    <row r="11750" customFormat="false" ht="15" hidden="false" customHeight="true" outlineLevel="0" collapsed="false">
      <c r="A11750" s="10" t="n">
        <f aca="false">Einstellungen!$B$5+INT((ROW()-9)/24)</f>
        <v>46455</v>
      </c>
      <c r="B11750" s="11" t="n">
        <f aca="false">MOD(ROW()-9,24)</f>
        <v>5</v>
      </c>
      <c r="C11750" s="12"/>
      <c r="D11750" s="13" t="n">
        <f aca="false">IF(B11750&lt;5,Einstellungen!$B$3,Einstellungen!$B$4)</f>
        <v>29.13</v>
      </c>
      <c r="E11750" s="14" t="str">
        <f aca="false">IF(C11750="","",C11750*D11750/100)</f>
        <v/>
      </c>
      <c r="F11750" s="15" t="str">
        <f aca="false">IF(B11750&lt;5,"Go","Standard")</f>
        <v>Standard</v>
      </c>
    </row>
    <row r="11751" customFormat="false" ht="15" hidden="false" customHeight="true" outlineLevel="0" collapsed="false">
      <c r="A11751" s="10" t="n">
        <f aca="false">Einstellungen!$B$5+INT((ROW()-9)/24)</f>
        <v>46455</v>
      </c>
      <c r="B11751" s="11" t="n">
        <f aca="false">MOD(ROW()-9,24)</f>
        <v>6</v>
      </c>
      <c r="C11751" s="12"/>
      <c r="D11751" s="13" t="n">
        <f aca="false">IF(B11751&lt;5,Einstellungen!$B$3,Einstellungen!$B$4)</f>
        <v>29.13</v>
      </c>
      <c r="E11751" s="14" t="str">
        <f aca="false">IF(C11751="","",C11751*D11751/100)</f>
        <v/>
      </c>
      <c r="F11751" s="15" t="str">
        <f aca="false">IF(B11751&lt;5,"Go","Standard")</f>
        <v>Standard</v>
      </c>
    </row>
    <row r="11752" customFormat="false" ht="15" hidden="false" customHeight="true" outlineLevel="0" collapsed="false">
      <c r="A11752" s="10" t="n">
        <f aca="false">Einstellungen!$B$5+INT((ROW()-9)/24)</f>
        <v>46455</v>
      </c>
      <c r="B11752" s="11" t="n">
        <f aca="false">MOD(ROW()-9,24)</f>
        <v>7</v>
      </c>
      <c r="C11752" s="12"/>
      <c r="D11752" s="13" t="n">
        <f aca="false">IF(B11752&lt;5,Einstellungen!$B$3,Einstellungen!$B$4)</f>
        <v>29.13</v>
      </c>
      <c r="E11752" s="14" t="str">
        <f aca="false">IF(C11752="","",C11752*D11752/100)</f>
        <v/>
      </c>
      <c r="F11752" s="15" t="str">
        <f aca="false">IF(B11752&lt;5,"Go","Standard")</f>
        <v>Standard</v>
      </c>
    </row>
    <row r="11753" customFormat="false" ht="15" hidden="false" customHeight="true" outlineLevel="0" collapsed="false">
      <c r="A11753" s="10" t="n">
        <f aca="false">Einstellungen!$B$5+INT((ROW()-9)/24)</f>
        <v>46455</v>
      </c>
      <c r="B11753" s="11" t="n">
        <f aca="false">MOD(ROW()-9,24)</f>
        <v>8</v>
      </c>
      <c r="C11753" s="12"/>
      <c r="D11753" s="13" t="n">
        <f aca="false">IF(B11753&lt;5,Einstellungen!$B$3,Einstellungen!$B$4)</f>
        <v>29.13</v>
      </c>
      <c r="E11753" s="14" t="str">
        <f aca="false">IF(C11753="","",C11753*D11753/100)</f>
        <v/>
      </c>
      <c r="F11753" s="15" t="str">
        <f aca="false">IF(B11753&lt;5,"Go","Standard")</f>
        <v>Standard</v>
      </c>
    </row>
    <row r="11754" customFormat="false" ht="15" hidden="false" customHeight="true" outlineLevel="0" collapsed="false">
      <c r="A11754" s="10" t="n">
        <f aca="false">Einstellungen!$B$5+INT((ROW()-9)/24)</f>
        <v>46455</v>
      </c>
      <c r="B11754" s="11" t="n">
        <f aca="false">MOD(ROW()-9,24)</f>
        <v>9</v>
      </c>
      <c r="C11754" s="12"/>
      <c r="D11754" s="13" t="n">
        <f aca="false">IF(B11754&lt;5,Einstellungen!$B$3,Einstellungen!$B$4)</f>
        <v>29.13</v>
      </c>
      <c r="E11754" s="14" t="str">
        <f aca="false">IF(C11754="","",C11754*D11754/100)</f>
        <v/>
      </c>
      <c r="F11754" s="15" t="str">
        <f aca="false">IF(B11754&lt;5,"Go","Standard")</f>
        <v>Standard</v>
      </c>
    </row>
    <row r="11755" customFormat="false" ht="15" hidden="false" customHeight="true" outlineLevel="0" collapsed="false">
      <c r="A11755" s="10" t="n">
        <f aca="false">Einstellungen!$B$5+INT((ROW()-9)/24)</f>
        <v>46455</v>
      </c>
      <c r="B11755" s="11" t="n">
        <f aca="false">MOD(ROW()-9,24)</f>
        <v>10</v>
      </c>
      <c r="C11755" s="12"/>
      <c r="D11755" s="13" t="n">
        <f aca="false">IF(B11755&lt;5,Einstellungen!$B$3,Einstellungen!$B$4)</f>
        <v>29.13</v>
      </c>
      <c r="E11755" s="14" t="str">
        <f aca="false">IF(C11755="","",C11755*D11755/100)</f>
        <v/>
      </c>
      <c r="F11755" s="15" t="str">
        <f aca="false">IF(B11755&lt;5,"Go","Standard")</f>
        <v>Standard</v>
      </c>
    </row>
    <row r="11756" customFormat="false" ht="15" hidden="false" customHeight="true" outlineLevel="0" collapsed="false">
      <c r="A11756" s="10" t="n">
        <f aca="false">Einstellungen!$B$5+INT((ROW()-9)/24)</f>
        <v>46455</v>
      </c>
      <c r="B11756" s="11" t="n">
        <f aca="false">MOD(ROW()-9,24)</f>
        <v>11</v>
      </c>
      <c r="C11756" s="12"/>
      <c r="D11756" s="13" t="n">
        <f aca="false">IF(B11756&lt;5,Einstellungen!$B$3,Einstellungen!$B$4)</f>
        <v>29.13</v>
      </c>
      <c r="E11756" s="14" t="str">
        <f aca="false">IF(C11756="","",C11756*D11756/100)</f>
        <v/>
      </c>
      <c r="F11756" s="15" t="str">
        <f aca="false">IF(B11756&lt;5,"Go","Standard")</f>
        <v>Standard</v>
      </c>
    </row>
    <row r="11757" customFormat="false" ht="15" hidden="false" customHeight="true" outlineLevel="0" collapsed="false">
      <c r="A11757" s="10" t="n">
        <f aca="false">Einstellungen!$B$5+INT((ROW()-9)/24)</f>
        <v>46455</v>
      </c>
      <c r="B11757" s="11" t="n">
        <f aca="false">MOD(ROW()-9,24)</f>
        <v>12</v>
      </c>
      <c r="C11757" s="12"/>
      <c r="D11757" s="13" t="n">
        <f aca="false">IF(B11757&lt;5,Einstellungen!$B$3,Einstellungen!$B$4)</f>
        <v>29.13</v>
      </c>
      <c r="E11757" s="14" t="str">
        <f aca="false">IF(C11757="","",C11757*D11757/100)</f>
        <v/>
      </c>
      <c r="F11757" s="15" t="str">
        <f aca="false">IF(B11757&lt;5,"Go","Standard")</f>
        <v>Standard</v>
      </c>
    </row>
    <row r="11758" customFormat="false" ht="15" hidden="false" customHeight="true" outlineLevel="0" collapsed="false">
      <c r="A11758" s="10" t="n">
        <f aca="false">Einstellungen!$B$5+INT((ROW()-9)/24)</f>
        <v>46455</v>
      </c>
      <c r="B11758" s="11" t="n">
        <f aca="false">MOD(ROW()-9,24)</f>
        <v>13</v>
      </c>
      <c r="C11758" s="12"/>
      <c r="D11758" s="13" t="n">
        <f aca="false">IF(B11758&lt;5,Einstellungen!$B$3,Einstellungen!$B$4)</f>
        <v>29.13</v>
      </c>
      <c r="E11758" s="14" t="str">
        <f aca="false">IF(C11758="","",C11758*D11758/100)</f>
        <v/>
      </c>
      <c r="F11758" s="15" t="str">
        <f aca="false">IF(B11758&lt;5,"Go","Standard")</f>
        <v>Standard</v>
      </c>
    </row>
    <row r="11759" customFormat="false" ht="15" hidden="false" customHeight="true" outlineLevel="0" collapsed="false">
      <c r="A11759" s="10" t="n">
        <f aca="false">Einstellungen!$B$5+INT((ROW()-9)/24)</f>
        <v>46455</v>
      </c>
      <c r="B11759" s="11" t="n">
        <f aca="false">MOD(ROW()-9,24)</f>
        <v>14</v>
      </c>
      <c r="C11759" s="12"/>
      <c r="D11759" s="13" t="n">
        <f aca="false">IF(B11759&lt;5,Einstellungen!$B$3,Einstellungen!$B$4)</f>
        <v>29.13</v>
      </c>
      <c r="E11759" s="14" t="str">
        <f aca="false">IF(C11759="","",C11759*D11759/100)</f>
        <v/>
      </c>
      <c r="F11759" s="15" t="str">
        <f aca="false">IF(B11759&lt;5,"Go","Standard")</f>
        <v>Standard</v>
      </c>
    </row>
    <row r="11760" customFormat="false" ht="15" hidden="false" customHeight="true" outlineLevel="0" collapsed="false">
      <c r="A11760" s="10" t="n">
        <f aca="false">Einstellungen!$B$5+INT((ROW()-9)/24)</f>
        <v>46455</v>
      </c>
      <c r="B11760" s="11" t="n">
        <f aca="false">MOD(ROW()-9,24)</f>
        <v>15</v>
      </c>
      <c r="C11760" s="12"/>
      <c r="D11760" s="13" t="n">
        <f aca="false">IF(B11760&lt;5,Einstellungen!$B$3,Einstellungen!$B$4)</f>
        <v>29.13</v>
      </c>
      <c r="E11760" s="14" t="str">
        <f aca="false">IF(C11760="","",C11760*D11760/100)</f>
        <v/>
      </c>
      <c r="F11760" s="15" t="str">
        <f aca="false">IF(B11760&lt;5,"Go","Standard")</f>
        <v>Standard</v>
      </c>
    </row>
    <row r="11761" customFormat="false" ht="15" hidden="false" customHeight="true" outlineLevel="0" collapsed="false">
      <c r="A11761" s="10" t="n">
        <f aca="false">Einstellungen!$B$5+INT((ROW()-9)/24)</f>
        <v>46455</v>
      </c>
      <c r="B11761" s="11" t="n">
        <f aca="false">MOD(ROW()-9,24)</f>
        <v>16</v>
      </c>
      <c r="C11761" s="12"/>
      <c r="D11761" s="13" t="n">
        <f aca="false">IF(B11761&lt;5,Einstellungen!$B$3,Einstellungen!$B$4)</f>
        <v>29.13</v>
      </c>
      <c r="E11761" s="14" t="str">
        <f aca="false">IF(C11761="","",C11761*D11761/100)</f>
        <v/>
      </c>
      <c r="F11761" s="15" t="str">
        <f aca="false">IF(B11761&lt;5,"Go","Standard")</f>
        <v>Standard</v>
      </c>
    </row>
    <row r="11762" customFormat="false" ht="15" hidden="false" customHeight="true" outlineLevel="0" collapsed="false">
      <c r="A11762" s="10" t="n">
        <f aca="false">Einstellungen!$B$5+INT((ROW()-9)/24)</f>
        <v>46455</v>
      </c>
      <c r="B11762" s="11" t="n">
        <f aca="false">MOD(ROW()-9,24)</f>
        <v>17</v>
      </c>
      <c r="C11762" s="12"/>
      <c r="D11762" s="13" t="n">
        <f aca="false">IF(B11762&lt;5,Einstellungen!$B$3,Einstellungen!$B$4)</f>
        <v>29.13</v>
      </c>
      <c r="E11762" s="14" t="str">
        <f aca="false">IF(C11762="","",C11762*D11762/100)</f>
        <v/>
      </c>
      <c r="F11762" s="15" t="str">
        <f aca="false">IF(B11762&lt;5,"Go","Standard")</f>
        <v>Standard</v>
      </c>
    </row>
    <row r="11763" customFormat="false" ht="15" hidden="false" customHeight="true" outlineLevel="0" collapsed="false">
      <c r="A11763" s="10" t="n">
        <f aca="false">Einstellungen!$B$5+INT((ROW()-9)/24)</f>
        <v>46455</v>
      </c>
      <c r="B11763" s="11" t="n">
        <f aca="false">MOD(ROW()-9,24)</f>
        <v>18</v>
      </c>
      <c r="C11763" s="12"/>
      <c r="D11763" s="13" t="n">
        <f aca="false">IF(B11763&lt;5,Einstellungen!$B$3,Einstellungen!$B$4)</f>
        <v>29.13</v>
      </c>
      <c r="E11763" s="14" t="str">
        <f aca="false">IF(C11763="","",C11763*D11763/100)</f>
        <v/>
      </c>
      <c r="F11763" s="15" t="str">
        <f aca="false">IF(B11763&lt;5,"Go","Standard")</f>
        <v>Standard</v>
      </c>
    </row>
    <row r="11764" customFormat="false" ht="15" hidden="false" customHeight="true" outlineLevel="0" collapsed="false">
      <c r="A11764" s="10" t="n">
        <f aca="false">Einstellungen!$B$5+INT((ROW()-9)/24)</f>
        <v>46455</v>
      </c>
      <c r="B11764" s="11" t="n">
        <f aca="false">MOD(ROW()-9,24)</f>
        <v>19</v>
      </c>
      <c r="C11764" s="12"/>
      <c r="D11764" s="13" t="n">
        <f aca="false">IF(B11764&lt;5,Einstellungen!$B$3,Einstellungen!$B$4)</f>
        <v>29.13</v>
      </c>
      <c r="E11764" s="14" t="str">
        <f aca="false">IF(C11764="","",C11764*D11764/100)</f>
        <v/>
      </c>
      <c r="F11764" s="15" t="str">
        <f aca="false">IF(B11764&lt;5,"Go","Standard")</f>
        <v>Standard</v>
      </c>
    </row>
    <row r="11765" customFormat="false" ht="15" hidden="false" customHeight="true" outlineLevel="0" collapsed="false">
      <c r="A11765" s="10" t="n">
        <f aca="false">Einstellungen!$B$5+INT((ROW()-9)/24)</f>
        <v>46455</v>
      </c>
      <c r="B11765" s="11" t="n">
        <f aca="false">MOD(ROW()-9,24)</f>
        <v>20</v>
      </c>
      <c r="C11765" s="12"/>
      <c r="D11765" s="13" t="n">
        <f aca="false">IF(B11765&lt;5,Einstellungen!$B$3,Einstellungen!$B$4)</f>
        <v>29.13</v>
      </c>
      <c r="E11765" s="14" t="str">
        <f aca="false">IF(C11765="","",C11765*D11765/100)</f>
        <v/>
      </c>
      <c r="F11765" s="15" t="str">
        <f aca="false">IF(B11765&lt;5,"Go","Standard")</f>
        <v>Standard</v>
      </c>
    </row>
    <row r="11766" customFormat="false" ht="15" hidden="false" customHeight="true" outlineLevel="0" collapsed="false">
      <c r="A11766" s="10" t="n">
        <f aca="false">Einstellungen!$B$5+INT((ROW()-9)/24)</f>
        <v>46455</v>
      </c>
      <c r="B11766" s="11" t="n">
        <f aca="false">MOD(ROW()-9,24)</f>
        <v>21</v>
      </c>
      <c r="C11766" s="12"/>
      <c r="D11766" s="13" t="n">
        <f aca="false">IF(B11766&lt;5,Einstellungen!$B$3,Einstellungen!$B$4)</f>
        <v>29.13</v>
      </c>
      <c r="E11766" s="14" t="str">
        <f aca="false">IF(C11766="","",C11766*D11766/100)</f>
        <v/>
      </c>
      <c r="F11766" s="15" t="str">
        <f aca="false">IF(B11766&lt;5,"Go","Standard")</f>
        <v>Standard</v>
      </c>
    </row>
    <row r="11767" customFormat="false" ht="15" hidden="false" customHeight="true" outlineLevel="0" collapsed="false">
      <c r="A11767" s="10" t="n">
        <f aca="false">Einstellungen!$B$5+INT((ROW()-9)/24)</f>
        <v>46455</v>
      </c>
      <c r="B11767" s="11" t="n">
        <f aca="false">MOD(ROW()-9,24)</f>
        <v>22</v>
      </c>
      <c r="C11767" s="12"/>
      <c r="D11767" s="13" t="n">
        <f aca="false">IF(B11767&lt;5,Einstellungen!$B$3,Einstellungen!$B$4)</f>
        <v>29.13</v>
      </c>
      <c r="E11767" s="14" t="str">
        <f aca="false">IF(C11767="","",C11767*D11767/100)</f>
        <v/>
      </c>
      <c r="F11767" s="15" t="str">
        <f aca="false">IF(B11767&lt;5,"Go","Standard")</f>
        <v>Standard</v>
      </c>
    </row>
    <row r="11768" customFormat="false" ht="15" hidden="false" customHeight="true" outlineLevel="0" collapsed="false">
      <c r="A11768" s="10" t="n">
        <f aca="false">Einstellungen!$B$5+INT((ROW()-9)/24)</f>
        <v>46455</v>
      </c>
      <c r="B11768" s="11" t="n">
        <f aca="false">MOD(ROW()-9,24)</f>
        <v>23</v>
      </c>
      <c r="C11768" s="12"/>
      <c r="D11768" s="13" t="n">
        <f aca="false">IF(B11768&lt;5,Einstellungen!$B$3,Einstellungen!$B$4)</f>
        <v>29.13</v>
      </c>
      <c r="E11768" s="14" t="str">
        <f aca="false">IF(C11768="","",C11768*D11768/100)</f>
        <v/>
      </c>
      <c r="F11768" s="15" t="str">
        <f aca="false">IF(B11768&lt;5,"Go","Standard")</f>
        <v>Standard</v>
      </c>
    </row>
    <row r="11769" customFormat="false" ht="15" hidden="false" customHeight="true" outlineLevel="0" collapsed="false">
      <c r="A11769" s="10" t="n">
        <f aca="false">Einstellungen!$B$5+INT((ROW()-9)/24)</f>
        <v>46456</v>
      </c>
      <c r="B11769" s="11" t="n">
        <f aca="false">MOD(ROW()-9,24)</f>
        <v>0</v>
      </c>
      <c r="C11769" s="12"/>
      <c r="D11769" s="13" t="n">
        <f aca="false">IF(B11769&lt;5,Einstellungen!$B$3,Einstellungen!$B$4)</f>
        <v>15.92</v>
      </c>
      <c r="E11769" s="14" t="str">
        <f aca="false">IF(C11769="","",C11769*D11769/100)</f>
        <v/>
      </c>
      <c r="F11769" s="15" t="str">
        <f aca="false">IF(B11769&lt;5,"Go","Standard")</f>
        <v>Go</v>
      </c>
    </row>
    <row r="11770" customFormat="false" ht="15" hidden="false" customHeight="true" outlineLevel="0" collapsed="false">
      <c r="A11770" s="10" t="n">
        <f aca="false">Einstellungen!$B$5+INT((ROW()-9)/24)</f>
        <v>46456</v>
      </c>
      <c r="B11770" s="11" t="n">
        <f aca="false">MOD(ROW()-9,24)</f>
        <v>1</v>
      </c>
      <c r="C11770" s="12"/>
      <c r="D11770" s="13" t="n">
        <f aca="false">IF(B11770&lt;5,Einstellungen!$B$3,Einstellungen!$B$4)</f>
        <v>15.92</v>
      </c>
      <c r="E11770" s="14" t="str">
        <f aca="false">IF(C11770="","",C11770*D11770/100)</f>
        <v/>
      </c>
      <c r="F11770" s="15" t="str">
        <f aca="false">IF(B11770&lt;5,"Go","Standard")</f>
        <v>Go</v>
      </c>
    </row>
    <row r="11771" customFormat="false" ht="15" hidden="false" customHeight="true" outlineLevel="0" collapsed="false">
      <c r="A11771" s="10" t="n">
        <f aca="false">Einstellungen!$B$5+INT((ROW()-9)/24)</f>
        <v>46456</v>
      </c>
      <c r="B11771" s="11" t="n">
        <f aca="false">MOD(ROW()-9,24)</f>
        <v>2</v>
      </c>
      <c r="C11771" s="12"/>
      <c r="D11771" s="13" t="n">
        <f aca="false">IF(B11771&lt;5,Einstellungen!$B$3,Einstellungen!$B$4)</f>
        <v>15.92</v>
      </c>
      <c r="E11771" s="14" t="str">
        <f aca="false">IF(C11771="","",C11771*D11771/100)</f>
        <v/>
      </c>
      <c r="F11771" s="15" t="str">
        <f aca="false">IF(B11771&lt;5,"Go","Standard")</f>
        <v>Go</v>
      </c>
    </row>
    <row r="11772" customFormat="false" ht="15" hidden="false" customHeight="true" outlineLevel="0" collapsed="false">
      <c r="A11772" s="10" t="n">
        <f aca="false">Einstellungen!$B$5+INT((ROW()-9)/24)</f>
        <v>46456</v>
      </c>
      <c r="B11772" s="11" t="n">
        <f aca="false">MOD(ROW()-9,24)</f>
        <v>3</v>
      </c>
      <c r="C11772" s="12"/>
      <c r="D11772" s="13" t="n">
        <f aca="false">IF(B11772&lt;5,Einstellungen!$B$3,Einstellungen!$B$4)</f>
        <v>15.92</v>
      </c>
      <c r="E11772" s="14" t="str">
        <f aca="false">IF(C11772="","",C11772*D11772/100)</f>
        <v/>
      </c>
      <c r="F11772" s="15" t="str">
        <f aca="false">IF(B11772&lt;5,"Go","Standard")</f>
        <v>Go</v>
      </c>
    </row>
    <row r="11773" customFormat="false" ht="15" hidden="false" customHeight="true" outlineLevel="0" collapsed="false">
      <c r="A11773" s="10" t="n">
        <f aca="false">Einstellungen!$B$5+INT((ROW()-9)/24)</f>
        <v>46456</v>
      </c>
      <c r="B11773" s="11" t="n">
        <f aca="false">MOD(ROW()-9,24)</f>
        <v>4</v>
      </c>
      <c r="C11773" s="12"/>
      <c r="D11773" s="13" t="n">
        <f aca="false">IF(B11773&lt;5,Einstellungen!$B$3,Einstellungen!$B$4)</f>
        <v>15.92</v>
      </c>
      <c r="E11773" s="14" t="str">
        <f aca="false">IF(C11773="","",C11773*D11773/100)</f>
        <v/>
      </c>
      <c r="F11773" s="15" t="str">
        <f aca="false">IF(B11773&lt;5,"Go","Standard")</f>
        <v>Go</v>
      </c>
    </row>
    <row r="11774" customFormat="false" ht="15" hidden="false" customHeight="true" outlineLevel="0" collapsed="false">
      <c r="A11774" s="10" t="n">
        <f aca="false">Einstellungen!$B$5+INT((ROW()-9)/24)</f>
        <v>46456</v>
      </c>
      <c r="B11774" s="11" t="n">
        <f aca="false">MOD(ROW()-9,24)</f>
        <v>5</v>
      </c>
      <c r="C11774" s="12"/>
      <c r="D11774" s="13" t="n">
        <f aca="false">IF(B11774&lt;5,Einstellungen!$B$3,Einstellungen!$B$4)</f>
        <v>29.13</v>
      </c>
      <c r="E11774" s="14" t="str">
        <f aca="false">IF(C11774="","",C11774*D11774/100)</f>
        <v/>
      </c>
      <c r="F11774" s="15" t="str">
        <f aca="false">IF(B11774&lt;5,"Go","Standard")</f>
        <v>Standard</v>
      </c>
    </row>
    <row r="11775" customFormat="false" ht="15" hidden="false" customHeight="true" outlineLevel="0" collapsed="false">
      <c r="A11775" s="10" t="n">
        <f aca="false">Einstellungen!$B$5+INT((ROW()-9)/24)</f>
        <v>46456</v>
      </c>
      <c r="B11775" s="11" t="n">
        <f aca="false">MOD(ROW()-9,24)</f>
        <v>6</v>
      </c>
      <c r="C11775" s="12"/>
      <c r="D11775" s="13" t="n">
        <f aca="false">IF(B11775&lt;5,Einstellungen!$B$3,Einstellungen!$B$4)</f>
        <v>29.13</v>
      </c>
      <c r="E11775" s="14" t="str">
        <f aca="false">IF(C11775="","",C11775*D11775/100)</f>
        <v/>
      </c>
      <c r="F11775" s="15" t="str">
        <f aca="false">IF(B11775&lt;5,"Go","Standard")</f>
        <v>Standard</v>
      </c>
    </row>
    <row r="11776" customFormat="false" ht="15" hidden="false" customHeight="true" outlineLevel="0" collapsed="false">
      <c r="A11776" s="10" t="n">
        <f aca="false">Einstellungen!$B$5+INT((ROW()-9)/24)</f>
        <v>46456</v>
      </c>
      <c r="B11776" s="11" t="n">
        <f aca="false">MOD(ROW()-9,24)</f>
        <v>7</v>
      </c>
      <c r="C11776" s="12"/>
      <c r="D11776" s="13" t="n">
        <f aca="false">IF(B11776&lt;5,Einstellungen!$B$3,Einstellungen!$B$4)</f>
        <v>29.13</v>
      </c>
      <c r="E11776" s="14" t="str">
        <f aca="false">IF(C11776="","",C11776*D11776/100)</f>
        <v/>
      </c>
      <c r="F11776" s="15" t="str">
        <f aca="false">IF(B11776&lt;5,"Go","Standard")</f>
        <v>Standard</v>
      </c>
    </row>
    <row r="11777" customFormat="false" ht="15" hidden="false" customHeight="true" outlineLevel="0" collapsed="false">
      <c r="A11777" s="10" t="n">
        <f aca="false">Einstellungen!$B$5+INT((ROW()-9)/24)</f>
        <v>46456</v>
      </c>
      <c r="B11777" s="11" t="n">
        <f aca="false">MOD(ROW()-9,24)</f>
        <v>8</v>
      </c>
      <c r="C11777" s="12"/>
      <c r="D11777" s="13" t="n">
        <f aca="false">IF(B11777&lt;5,Einstellungen!$B$3,Einstellungen!$B$4)</f>
        <v>29.13</v>
      </c>
      <c r="E11777" s="14" t="str">
        <f aca="false">IF(C11777="","",C11777*D11777/100)</f>
        <v/>
      </c>
      <c r="F11777" s="15" t="str">
        <f aca="false">IF(B11777&lt;5,"Go","Standard")</f>
        <v>Standard</v>
      </c>
    </row>
    <row r="11778" customFormat="false" ht="15" hidden="false" customHeight="true" outlineLevel="0" collapsed="false">
      <c r="A11778" s="10" t="n">
        <f aca="false">Einstellungen!$B$5+INT((ROW()-9)/24)</f>
        <v>46456</v>
      </c>
      <c r="B11778" s="11" t="n">
        <f aca="false">MOD(ROW()-9,24)</f>
        <v>9</v>
      </c>
      <c r="C11778" s="12"/>
      <c r="D11778" s="13" t="n">
        <f aca="false">IF(B11778&lt;5,Einstellungen!$B$3,Einstellungen!$B$4)</f>
        <v>29.13</v>
      </c>
      <c r="E11778" s="14" t="str">
        <f aca="false">IF(C11778="","",C11778*D11778/100)</f>
        <v/>
      </c>
      <c r="F11778" s="15" t="str">
        <f aca="false">IF(B11778&lt;5,"Go","Standard")</f>
        <v>Standard</v>
      </c>
    </row>
    <row r="11779" customFormat="false" ht="15" hidden="false" customHeight="true" outlineLevel="0" collapsed="false">
      <c r="A11779" s="10" t="n">
        <f aca="false">Einstellungen!$B$5+INT((ROW()-9)/24)</f>
        <v>46456</v>
      </c>
      <c r="B11779" s="11" t="n">
        <f aca="false">MOD(ROW()-9,24)</f>
        <v>10</v>
      </c>
      <c r="C11779" s="12"/>
      <c r="D11779" s="13" t="n">
        <f aca="false">IF(B11779&lt;5,Einstellungen!$B$3,Einstellungen!$B$4)</f>
        <v>29.13</v>
      </c>
      <c r="E11779" s="14" t="str">
        <f aca="false">IF(C11779="","",C11779*D11779/100)</f>
        <v/>
      </c>
      <c r="F11779" s="15" t="str">
        <f aca="false">IF(B11779&lt;5,"Go","Standard")</f>
        <v>Standard</v>
      </c>
    </row>
    <row r="11780" customFormat="false" ht="15" hidden="false" customHeight="true" outlineLevel="0" collapsed="false">
      <c r="A11780" s="10" t="n">
        <f aca="false">Einstellungen!$B$5+INT((ROW()-9)/24)</f>
        <v>46456</v>
      </c>
      <c r="B11780" s="11" t="n">
        <f aca="false">MOD(ROW()-9,24)</f>
        <v>11</v>
      </c>
      <c r="C11780" s="12"/>
      <c r="D11780" s="13" t="n">
        <f aca="false">IF(B11780&lt;5,Einstellungen!$B$3,Einstellungen!$B$4)</f>
        <v>29.13</v>
      </c>
      <c r="E11780" s="14" t="str">
        <f aca="false">IF(C11780="","",C11780*D11780/100)</f>
        <v/>
      </c>
      <c r="F11780" s="15" t="str">
        <f aca="false">IF(B11780&lt;5,"Go","Standard")</f>
        <v>Standard</v>
      </c>
    </row>
    <row r="11781" customFormat="false" ht="15" hidden="false" customHeight="true" outlineLevel="0" collapsed="false">
      <c r="A11781" s="10" t="n">
        <f aca="false">Einstellungen!$B$5+INT((ROW()-9)/24)</f>
        <v>46456</v>
      </c>
      <c r="B11781" s="11" t="n">
        <f aca="false">MOD(ROW()-9,24)</f>
        <v>12</v>
      </c>
      <c r="C11781" s="12"/>
      <c r="D11781" s="13" t="n">
        <f aca="false">IF(B11781&lt;5,Einstellungen!$B$3,Einstellungen!$B$4)</f>
        <v>29.13</v>
      </c>
      <c r="E11781" s="14" t="str">
        <f aca="false">IF(C11781="","",C11781*D11781/100)</f>
        <v/>
      </c>
      <c r="F11781" s="15" t="str">
        <f aca="false">IF(B11781&lt;5,"Go","Standard")</f>
        <v>Standard</v>
      </c>
    </row>
    <row r="11782" customFormat="false" ht="15" hidden="false" customHeight="true" outlineLevel="0" collapsed="false">
      <c r="A11782" s="10" t="n">
        <f aca="false">Einstellungen!$B$5+INT((ROW()-9)/24)</f>
        <v>46456</v>
      </c>
      <c r="B11782" s="11" t="n">
        <f aca="false">MOD(ROW()-9,24)</f>
        <v>13</v>
      </c>
      <c r="C11782" s="12"/>
      <c r="D11782" s="13" t="n">
        <f aca="false">IF(B11782&lt;5,Einstellungen!$B$3,Einstellungen!$B$4)</f>
        <v>29.13</v>
      </c>
      <c r="E11782" s="14" t="str">
        <f aca="false">IF(C11782="","",C11782*D11782/100)</f>
        <v/>
      </c>
      <c r="F11782" s="15" t="str">
        <f aca="false">IF(B11782&lt;5,"Go","Standard")</f>
        <v>Standard</v>
      </c>
    </row>
    <row r="11783" customFormat="false" ht="15" hidden="false" customHeight="true" outlineLevel="0" collapsed="false">
      <c r="A11783" s="10" t="n">
        <f aca="false">Einstellungen!$B$5+INT((ROW()-9)/24)</f>
        <v>46456</v>
      </c>
      <c r="B11783" s="11" t="n">
        <f aca="false">MOD(ROW()-9,24)</f>
        <v>14</v>
      </c>
      <c r="C11783" s="12"/>
      <c r="D11783" s="13" t="n">
        <f aca="false">IF(B11783&lt;5,Einstellungen!$B$3,Einstellungen!$B$4)</f>
        <v>29.13</v>
      </c>
      <c r="E11783" s="14" t="str">
        <f aca="false">IF(C11783="","",C11783*D11783/100)</f>
        <v/>
      </c>
      <c r="F11783" s="15" t="str">
        <f aca="false">IF(B11783&lt;5,"Go","Standard")</f>
        <v>Standard</v>
      </c>
    </row>
    <row r="11784" customFormat="false" ht="15" hidden="false" customHeight="true" outlineLevel="0" collapsed="false">
      <c r="A11784" s="10" t="n">
        <f aca="false">Einstellungen!$B$5+INT((ROW()-9)/24)</f>
        <v>46456</v>
      </c>
      <c r="B11784" s="11" t="n">
        <f aca="false">MOD(ROW()-9,24)</f>
        <v>15</v>
      </c>
      <c r="C11784" s="12"/>
      <c r="D11784" s="13" t="n">
        <f aca="false">IF(B11784&lt;5,Einstellungen!$B$3,Einstellungen!$B$4)</f>
        <v>29.13</v>
      </c>
      <c r="E11784" s="14" t="str">
        <f aca="false">IF(C11784="","",C11784*D11784/100)</f>
        <v/>
      </c>
      <c r="F11784" s="15" t="str">
        <f aca="false">IF(B11784&lt;5,"Go","Standard")</f>
        <v>Standard</v>
      </c>
    </row>
    <row r="11785" customFormat="false" ht="15" hidden="false" customHeight="true" outlineLevel="0" collapsed="false">
      <c r="A11785" s="10" t="n">
        <f aca="false">Einstellungen!$B$5+INT((ROW()-9)/24)</f>
        <v>46456</v>
      </c>
      <c r="B11785" s="11" t="n">
        <f aca="false">MOD(ROW()-9,24)</f>
        <v>16</v>
      </c>
      <c r="C11785" s="12"/>
      <c r="D11785" s="13" t="n">
        <f aca="false">IF(B11785&lt;5,Einstellungen!$B$3,Einstellungen!$B$4)</f>
        <v>29.13</v>
      </c>
      <c r="E11785" s="14" t="str">
        <f aca="false">IF(C11785="","",C11785*D11785/100)</f>
        <v/>
      </c>
      <c r="F11785" s="15" t="str">
        <f aca="false">IF(B11785&lt;5,"Go","Standard")</f>
        <v>Standard</v>
      </c>
    </row>
    <row r="11786" customFormat="false" ht="15" hidden="false" customHeight="true" outlineLevel="0" collapsed="false">
      <c r="A11786" s="10" t="n">
        <f aca="false">Einstellungen!$B$5+INT((ROW()-9)/24)</f>
        <v>46456</v>
      </c>
      <c r="B11786" s="11" t="n">
        <f aca="false">MOD(ROW()-9,24)</f>
        <v>17</v>
      </c>
      <c r="C11786" s="12"/>
      <c r="D11786" s="13" t="n">
        <f aca="false">IF(B11786&lt;5,Einstellungen!$B$3,Einstellungen!$B$4)</f>
        <v>29.13</v>
      </c>
      <c r="E11786" s="14" t="str">
        <f aca="false">IF(C11786="","",C11786*D11786/100)</f>
        <v/>
      </c>
      <c r="F11786" s="15" t="str">
        <f aca="false">IF(B11786&lt;5,"Go","Standard")</f>
        <v>Standard</v>
      </c>
    </row>
    <row r="11787" customFormat="false" ht="15" hidden="false" customHeight="true" outlineLevel="0" collapsed="false">
      <c r="A11787" s="10" t="n">
        <f aca="false">Einstellungen!$B$5+INT((ROW()-9)/24)</f>
        <v>46456</v>
      </c>
      <c r="B11787" s="11" t="n">
        <f aca="false">MOD(ROW()-9,24)</f>
        <v>18</v>
      </c>
      <c r="C11787" s="12"/>
      <c r="D11787" s="13" t="n">
        <f aca="false">IF(B11787&lt;5,Einstellungen!$B$3,Einstellungen!$B$4)</f>
        <v>29.13</v>
      </c>
      <c r="E11787" s="14" t="str">
        <f aca="false">IF(C11787="","",C11787*D11787/100)</f>
        <v/>
      </c>
      <c r="F11787" s="15" t="str">
        <f aca="false">IF(B11787&lt;5,"Go","Standard")</f>
        <v>Standard</v>
      </c>
    </row>
    <row r="11788" customFormat="false" ht="15" hidden="false" customHeight="true" outlineLevel="0" collapsed="false">
      <c r="A11788" s="10" t="n">
        <f aca="false">Einstellungen!$B$5+INT((ROW()-9)/24)</f>
        <v>46456</v>
      </c>
      <c r="B11788" s="11" t="n">
        <f aca="false">MOD(ROW()-9,24)</f>
        <v>19</v>
      </c>
      <c r="C11788" s="12"/>
      <c r="D11788" s="13" t="n">
        <f aca="false">IF(B11788&lt;5,Einstellungen!$B$3,Einstellungen!$B$4)</f>
        <v>29.13</v>
      </c>
      <c r="E11788" s="14" t="str">
        <f aca="false">IF(C11788="","",C11788*D11788/100)</f>
        <v/>
      </c>
      <c r="F11788" s="15" t="str">
        <f aca="false">IF(B11788&lt;5,"Go","Standard")</f>
        <v>Standard</v>
      </c>
    </row>
    <row r="11789" customFormat="false" ht="15" hidden="false" customHeight="true" outlineLevel="0" collapsed="false">
      <c r="A11789" s="10" t="n">
        <f aca="false">Einstellungen!$B$5+INT((ROW()-9)/24)</f>
        <v>46456</v>
      </c>
      <c r="B11789" s="11" t="n">
        <f aca="false">MOD(ROW()-9,24)</f>
        <v>20</v>
      </c>
      <c r="C11789" s="12"/>
      <c r="D11789" s="13" t="n">
        <f aca="false">IF(B11789&lt;5,Einstellungen!$B$3,Einstellungen!$B$4)</f>
        <v>29.13</v>
      </c>
      <c r="E11789" s="14" t="str">
        <f aca="false">IF(C11789="","",C11789*D11789/100)</f>
        <v/>
      </c>
      <c r="F11789" s="15" t="str">
        <f aca="false">IF(B11789&lt;5,"Go","Standard")</f>
        <v>Standard</v>
      </c>
    </row>
    <row r="11790" customFormat="false" ht="15" hidden="false" customHeight="true" outlineLevel="0" collapsed="false">
      <c r="A11790" s="10" t="n">
        <f aca="false">Einstellungen!$B$5+INT((ROW()-9)/24)</f>
        <v>46456</v>
      </c>
      <c r="B11790" s="11" t="n">
        <f aca="false">MOD(ROW()-9,24)</f>
        <v>21</v>
      </c>
      <c r="C11790" s="12"/>
      <c r="D11790" s="13" t="n">
        <f aca="false">IF(B11790&lt;5,Einstellungen!$B$3,Einstellungen!$B$4)</f>
        <v>29.13</v>
      </c>
      <c r="E11790" s="14" t="str">
        <f aca="false">IF(C11790="","",C11790*D11790/100)</f>
        <v/>
      </c>
      <c r="F11790" s="15" t="str">
        <f aca="false">IF(B11790&lt;5,"Go","Standard")</f>
        <v>Standard</v>
      </c>
    </row>
    <row r="11791" customFormat="false" ht="15" hidden="false" customHeight="true" outlineLevel="0" collapsed="false">
      <c r="A11791" s="10" t="n">
        <f aca="false">Einstellungen!$B$5+INT((ROW()-9)/24)</f>
        <v>46456</v>
      </c>
      <c r="B11791" s="11" t="n">
        <f aca="false">MOD(ROW()-9,24)</f>
        <v>22</v>
      </c>
      <c r="C11791" s="12"/>
      <c r="D11791" s="13" t="n">
        <f aca="false">IF(B11791&lt;5,Einstellungen!$B$3,Einstellungen!$B$4)</f>
        <v>29.13</v>
      </c>
      <c r="E11791" s="14" t="str">
        <f aca="false">IF(C11791="","",C11791*D11791/100)</f>
        <v/>
      </c>
      <c r="F11791" s="15" t="str">
        <f aca="false">IF(B11791&lt;5,"Go","Standard")</f>
        <v>Standard</v>
      </c>
    </row>
    <row r="11792" customFormat="false" ht="15" hidden="false" customHeight="true" outlineLevel="0" collapsed="false">
      <c r="A11792" s="10" t="n">
        <f aca="false">Einstellungen!$B$5+INT((ROW()-9)/24)</f>
        <v>46456</v>
      </c>
      <c r="B11792" s="11" t="n">
        <f aca="false">MOD(ROW()-9,24)</f>
        <v>23</v>
      </c>
      <c r="C11792" s="12"/>
      <c r="D11792" s="13" t="n">
        <f aca="false">IF(B11792&lt;5,Einstellungen!$B$3,Einstellungen!$B$4)</f>
        <v>29.13</v>
      </c>
      <c r="E11792" s="14" t="str">
        <f aca="false">IF(C11792="","",C11792*D11792/100)</f>
        <v/>
      </c>
      <c r="F11792" s="15" t="str">
        <f aca="false">IF(B11792&lt;5,"Go","Standard")</f>
        <v>Standard</v>
      </c>
    </row>
    <row r="11793" customFormat="false" ht="15" hidden="false" customHeight="true" outlineLevel="0" collapsed="false">
      <c r="A11793" s="10" t="n">
        <f aca="false">Einstellungen!$B$5+INT((ROW()-9)/24)</f>
        <v>46457</v>
      </c>
      <c r="B11793" s="11" t="n">
        <f aca="false">MOD(ROW()-9,24)</f>
        <v>0</v>
      </c>
      <c r="C11793" s="12"/>
      <c r="D11793" s="13" t="n">
        <f aca="false">IF(B11793&lt;5,Einstellungen!$B$3,Einstellungen!$B$4)</f>
        <v>15.92</v>
      </c>
      <c r="E11793" s="14" t="str">
        <f aca="false">IF(C11793="","",C11793*D11793/100)</f>
        <v/>
      </c>
      <c r="F11793" s="15" t="str">
        <f aca="false">IF(B11793&lt;5,"Go","Standard")</f>
        <v>Go</v>
      </c>
    </row>
    <row r="11794" customFormat="false" ht="15" hidden="false" customHeight="true" outlineLevel="0" collapsed="false">
      <c r="A11794" s="10" t="n">
        <f aca="false">Einstellungen!$B$5+INT((ROW()-9)/24)</f>
        <v>46457</v>
      </c>
      <c r="B11794" s="11" t="n">
        <f aca="false">MOD(ROW()-9,24)</f>
        <v>1</v>
      </c>
      <c r="C11794" s="12"/>
      <c r="D11794" s="13" t="n">
        <f aca="false">IF(B11794&lt;5,Einstellungen!$B$3,Einstellungen!$B$4)</f>
        <v>15.92</v>
      </c>
      <c r="E11794" s="14" t="str">
        <f aca="false">IF(C11794="","",C11794*D11794/100)</f>
        <v/>
      </c>
      <c r="F11794" s="15" t="str">
        <f aca="false">IF(B11794&lt;5,"Go","Standard")</f>
        <v>Go</v>
      </c>
    </row>
    <row r="11795" customFormat="false" ht="15" hidden="false" customHeight="true" outlineLevel="0" collapsed="false">
      <c r="A11795" s="10" t="n">
        <f aca="false">Einstellungen!$B$5+INT((ROW()-9)/24)</f>
        <v>46457</v>
      </c>
      <c r="B11795" s="11" t="n">
        <f aca="false">MOD(ROW()-9,24)</f>
        <v>2</v>
      </c>
      <c r="C11795" s="12"/>
      <c r="D11795" s="13" t="n">
        <f aca="false">IF(B11795&lt;5,Einstellungen!$B$3,Einstellungen!$B$4)</f>
        <v>15.92</v>
      </c>
      <c r="E11795" s="14" t="str">
        <f aca="false">IF(C11795="","",C11795*D11795/100)</f>
        <v/>
      </c>
      <c r="F11795" s="15" t="str">
        <f aca="false">IF(B11795&lt;5,"Go","Standard")</f>
        <v>Go</v>
      </c>
    </row>
    <row r="11796" customFormat="false" ht="15" hidden="false" customHeight="true" outlineLevel="0" collapsed="false">
      <c r="A11796" s="10" t="n">
        <f aca="false">Einstellungen!$B$5+INT((ROW()-9)/24)</f>
        <v>46457</v>
      </c>
      <c r="B11796" s="11" t="n">
        <f aca="false">MOD(ROW()-9,24)</f>
        <v>3</v>
      </c>
      <c r="C11796" s="12"/>
      <c r="D11796" s="13" t="n">
        <f aca="false">IF(B11796&lt;5,Einstellungen!$B$3,Einstellungen!$B$4)</f>
        <v>15.92</v>
      </c>
      <c r="E11796" s="14" t="str">
        <f aca="false">IF(C11796="","",C11796*D11796/100)</f>
        <v/>
      </c>
      <c r="F11796" s="15" t="str">
        <f aca="false">IF(B11796&lt;5,"Go","Standard")</f>
        <v>Go</v>
      </c>
    </row>
    <row r="11797" customFormat="false" ht="15" hidden="false" customHeight="true" outlineLevel="0" collapsed="false">
      <c r="A11797" s="10" t="n">
        <f aca="false">Einstellungen!$B$5+INT((ROW()-9)/24)</f>
        <v>46457</v>
      </c>
      <c r="B11797" s="11" t="n">
        <f aca="false">MOD(ROW()-9,24)</f>
        <v>4</v>
      </c>
      <c r="C11797" s="12"/>
      <c r="D11797" s="13" t="n">
        <f aca="false">IF(B11797&lt;5,Einstellungen!$B$3,Einstellungen!$B$4)</f>
        <v>15.92</v>
      </c>
      <c r="E11797" s="14" t="str">
        <f aca="false">IF(C11797="","",C11797*D11797/100)</f>
        <v/>
      </c>
      <c r="F11797" s="15" t="str">
        <f aca="false">IF(B11797&lt;5,"Go","Standard")</f>
        <v>Go</v>
      </c>
    </row>
    <row r="11798" customFormat="false" ht="15" hidden="false" customHeight="true" outlineLevel="0" collapsed="false">
      <c r="A11798" s="10" t="n">
        <f aca="false">Einstellungen!$B$5+INT((ROW()-9)/24)</f>
        <v>46457</v>
      </c>
      <c r="B11798" s="11" t="n">
        <f aca="false">MOD(ROW()-9,24)</f>
        <v>5</v>
      </c>
      <c r="C11798" s="12"/>
      <c r="D11798" s="13" t="n">
        <f aca="false">IF(B11798&lt;5,Einstellungen!$B$3,Einstellungen!$B$4)</f>
        <v>29.13</v>
      </c>
      <c r="E11798" s="14" t="str">
        <f aca="false">IF(C11798="","",C11798*D11798/100)</f>
        <v/>
      </c>
      <c r="F11798" s="15" t="str">
        <f aca="false">IF(B11798&lt;5,"Go","Standard")</f>
        <v>Standard</v>
      </c>
    </row>
    <row r="11799" customFormat="false" ht="15" hidden="false" customHeight="true" outlineLevel="0" collapsed="false">
      <c r="A11799" s="10" t="n">
        <f aca="false">Einstellungen!$B$5+INT((ROW()-9)/24)</f>
        <v>46457</v>
      </c>
      <c r="B11799" s="11" t="n">
        <f aca="false">MOD(ROW()-9,24)</f>
        <v>6</v>
      </c>
      <c r="C11799" s="12"/>
      <c r="D11799" s="13" t="n">
        <f aca="false">IF(B11799&lt;5,Einstellungen!$B$3,Einstellungen!$B$4)</f>
        <v>29.13</v>
      </c>
      <c r="E11799" s="14" t="str">
        <f aca="false">IF(C11799="","",C11799*D11799/100)</f>
        <v/>
      </c>
      <c r="F11799" s="15" t="str">
        <f aca="false">IF(B11799&lt;5,"Go","Standard")</f>
        <v>Standard</v>
      </c>
    </row>
    <row r="11800" customFormat="false" ht="15" hidden="false" customHeight="true" outlineLevel="0" collapsed="false">
      <c r="A11800" s="10" t="n">
        <f aca="false">Einstellungen!$B$5+INT((ROW()-9)/24)</f>
        <v>46457</v>
      </c>
      <c r="B11800" s="11" t="n">
        <f aca="false">MOD(ROW()-9,24)</f>
        <v>7</v>
      </c>
      <c r="C11800" s="12"/>
      <c r="D11800" s="13" t="n">
        <f aca="false">IF(B11800&lt;5,Einstellungen!$B$3,Einstellungen!$B$4)</f>
        <v>29.13</v>
      </c>
      <c r="E11800" s="14" t="str">
        <f aca="false">IF(C11800="","",C11800*D11800/100)</f>
        <v/>
      </c>
      <c r="F11800" s="15" t="str">
        <f aca="false">IF(B11800&lt;5,"Go","Standard")</f>
        <v>Standard</v>
      </c>
    </row>
    <row r="11801" customFormat="false" ht="15" hidden="false" customHeight="true" outlineLevel="0" collapsed="false">
      <c r="A11801" s="10" t="n">
        <f aca="false">Einstellungen!$B$5+INT((ROW()-9)/24)</f>
        <v>46457</v>
      </c>
      <c r="B11801" s="11" t="n">
        <f aca="false">MOD(ROW()-9,24)</f>
        <v>8</v>
      </c>
      <c r="C11801" s="12"/>
      <c r="D11801" s="13" t="n">
        <f aca="false">IF(B11801&lt;5,Einstellungen!$B$3,Einstellungen!$B$4)</f>
        <v>29.13</v>
      </c>
      <c r="E11801" s="14" t="str">
        <f aca="false">IF(C11801="","",C11801*D11801/100)</f>
        <v/>
      </c>
      <c r="F11801" s="15" t="str">
        <f aca="false">IF(B11801&lt;5,"Go","Standard")</f>
        <v>Standard</v>
      </c>
    </row>
    <row r="11802" customFormat="false" ht="15" hidden="false" customHeight="true" outlineLevel="0" collapsed="false">
      <c r="A11802" s="10" t="n">
        <f aca="false">Einstellungen!$B$5+INT((ROW()-9)/24)</f>
        <v>46457</v>
      </c>
      <c r="B11802" s="11" t="n">
        <f aca="false">MOD(ROW()-9,24)</f>
        <v>9</v>
      </c>
      <c r="C11802" s="12"/>
      <c r="D11802" s="13" t="n">
        <f aca="false">IF(B11802&lt;5,Einstellungen!$B$3,Einstellungen!$B$4)</f>
        <v>29.13</v>
      </c>
      <c r="E11802" s="14" t="str">
        <f aca="false">IF(C11802="","",C11802*D11802/100)</f>
        <v/>
      </c>
      <c r="F11802" s="15" t="str">
        <f aca="false">IF(B11802&lt;5,"Go","Standard")</f>
        <v>Standard</v>
      </c>
    </row>
    <row r="11803" customFormat="false" ht="15" hidden="false" customHeight="true" outlineLevel="0" collapsed="false">
      <c r="A11803" s="10" t="n">
        <f aca="false">Einstellungen!$B$5+INT((ROW()-9)/24)</f>
        <v>46457</v>
      </c>
      <c r="B11803" s="11" t="n">
        <f aca="false">MOD(ROW()-9,24)</f>
        <v>10</v>
      </c>
      <c r="C11803" s="12"/>
      <c r="D11803" s="13" t="n">
        <f aca="false">IF(B11803&lt;5,Einstellungen!$B$3,Einstellungen!$B$4)</f>
        <v>29.13</v>
      </c>
      <c r="E11803" s="14" t="str">
        <f aca="false">IF(C11803="","",C11803*D11803/100)</f>
        <v/>
      </c>
      <c r="F11803" s="15" t="str">
        <f aca="false">IF(B11803&lt;5,"Go","Standard")</f>
        <v>Standard</v>
      </c>
    </row>
    <row r="11804" customFormat="false" ht="15" hidden="false" customHeight="true" outlineLevel="0" collapsed="false">
      <c r="A11804" s="10" t="n">
        <f aca="false">Einstellungen!$B$5+INT((ROW()-9)/24)</f>
        <v>46457</v>
      </c>
      <c r="B11804" s="11" t="n">
        <f aca="false">MOD(ROW()-9,24)</f>
        <v>11</v>
      </c>
      <c r="C11804" s="12"/>
      <c r="D11804" s="13" t="n">
        <f aca="false">IF(B11804&lt;5,Einstellungen!$B$3,Einstellungen!$B$4)</f>
        <v>29.13</v>
      </c>
      <c r="E11804" s="14" t="str">
        <f aca="false">IF(C11804="","",C11804*D11804/100)</f>
        <v/>
      </c>
      <c r="F11804" s="15" t="str">
        <f aca="false">IF(B11804&lt;5,"Go","Standard")</f>
        <v>Standard</v>
      </c>
    </row>
    <row r="11805" customFormat="false" ht="15" hidden="false" customHeight="true" outlineLevel="0" collapsed="false">
      <c r="A11805" s="10" t="n">
        <f aca="false">Einstellungen!$B$5+INT((ROW()-9)/24)</f>
        <v>46457</v>
      </c>
      <c r="B11805" s="11" t="n">
        <f aca="false">MOD(ROW()-9,24)</f>
        <v>12</v>
      </c>
      <c r="C11805" s="12"/>
      <c r="D11805" s="13" t="n">
        <f aca="false">IF(B11805&lt;5,Einstellungen!$B$3,Einstellungen!$B$4)</f>
        <v>29.13</v>
      </c>
      <c r="E11805" s="14" t="str">
        <f aca="false">IF(C11805="","",C11805*D11805/100)</f>
        <v/>
      </c>
      <c r="F11805" s="15" t="str">
        <f aca="false">IF(B11805&lt;5,"Go","Standard")</f>
        <v>Standard</v>
      </c>
    </row>
    <row r="11806" customFormat="false" ht="15" hidden="false" customHeight="true" outlineLevel="0" collapsed="false">
      <c r="A11806" s="10" t="n">
        <f aca="false">Einstellungen!$B$5+INT((ROW()-9)/24)</f>
        <v>46457</v>
      </c>
      <c r="B11806" s="11" t="n">
        <f aca="false">MOD(ROW()-9,24)</f>
        <v>13</v>
      </c>
      <c r="C11806" s="12"/>
      <c r="D11806" s="13" t="n">
        <f aca="false">IF(B11806&lt;5,Einstellungen!$B$3,Einstellungen!$B$4)</f>
        <v>29.13</v>
      </c>
      <c r="E11806" s="14" t="str">
        <f aca="false">IF(C11806="","",C11806*D11806/100)</f>
        <v/>
      </c>
      <c r="F11806" s="15" t="str">
        <f aca="false">IF(B11806&lt;5,"Go","Standard")</f>
        <v>Standard</v>
      </c>
    </row>
    <row r="11807" customFormat="false" ht="15" hidden="false" customHeight="true" outlineLevel="0" collapsed="false">
      <c r="A11807" s="10" t="n">
        <f aca="false">Einstellungen!$B$5+INT((ROW()-9)/24)</f>
        <v>46457</v>
      </c>
      <c r="B11807" s="11" t="n">
        <f aca="false">MOD(ROW()-9,24)</f>
        <v>14</v>
      </c>
      <c r="C11807" s="12"/>
      <c r="D11807" s="13" t="n">
        <f aca="false">IF(B11807&lt;5,Einstellungen!$B$3,Einstellungen!$B$4)</f>
        <v>29.13</v>
      </c>
      <c r="E11807" s="14" t="str">
        <f aca="false">IF(C11807="","",C11807*D11807/100)</f>
        <v/>
      </c>
      <c r="F11807" s="15" t="str">
        <f aca="false">IF(B11807&lt;5,"Go","Standard")</f>
        <v>Standard</v>
      </c>
    </row>
    <row r="11808" customFormat="false" ht="15" hidden="false" customHeight="true" outlineLevel="0" collapsed="false">
      <c r="A11808" s="10" t="n">
        <f aca="false">Einstellungen!$B$5+INT((ROW()-9)/24)</f>
        <v>46457</v>
      </c>
      <c r="B11808" s="11" t="n">
        <f aca="false">MOD(ROW()-9,24)</f>
        <v>15</v>
      </c>
      <c r="C11808" s="12"/>
      <c r="D11808" s="13" t="n">
        <f aca="false">IF(B11808&lt;5,Einstellungen!$B$3,Einstellungen!$B$4)</f>
        <v>29.13</v>
      </c>
      <c r="E11808" s="14" t="str">
        <f aca="false">IF(C11808="","",C11808*D11808/100)</f>
        <v/>
      </c>
      <c r="F11808" s="15" t="str">
        <f aca="false">IF(B11808&lt;5,"Go","Standard")</f>
        <v>Standard</v>
      </c>
    </row>
    <row r="11809" customFormat="false" ht="15" hidden="false" customHeight="true" outlineLevel="0" collapsed="false">
      <c r="A11809" s="10" t="n">
        <f aca="false">Einstellungen!$B$5+INT((ROW()-9)/24)</f>
        <v>46457</v>
      </c>
      <c r="B11809" s="11" t="n">
        <f aca="false">MOD(ROW()-9,24)</f>
        <v>16</v>
      </c>
      <c r="C11809" s="12"/>
      <c r="D11809" s="13" t="n">
        <f aca="false">IF(B11809&lt;5,Einstellungen!$B$3,Einstellungen!$B$4)</f>
        <v>29.13</v>
      </c>
      <c r="E11809" s="14" t="str">
        <f aca="false">IF(C11809="","",C11809*D11809/100)</f>
        <v/>
      </c>
      <c r="F11809" s="15" t="str">
        <f aca="false">IF(B11809&lt;5,"Go","Standard")</f>
        <v>Standard</v>
      </c>
    </row>
    <row r="11810" customFormat="false" ht="15" hidden="false" customHeight="true" outlineLevel="0" collapsed="false">
      <c r="A11810" s="10" t="n">
        <f aca="false">Einstellungen!$B$5+INT((ROW()-9)/24)</f>
        <v>46457</v>
      </c>
      <c r="B11810" s="11" t="n">
        <f aca="false">MOD(ROW()-9,24)</f>
        <v>17</v>
      </c>
      <c r="C11810" s="12"/>
      <c r="D11810" s="13" t="n">
        <f aca="false">IF(B11810&lt;5,Einstellungen!$B$3,Einstellungen!$B$4)</f>
        <v>29.13</v>
      </c>
      <c r="E11810" s="14" t="str">
        <f aca="false">IF(C11810="","",C11810*D11810/100)</f>
        <v/>
      </c>
      <c r="F11810" s="15" t="str">
        <f aca="false">IF(B11810&lt;5,"Go","Standard")</f>
        <v>Standard</v>
      </c>
    </row>
    <row r="11811" customFormat="false" ht="15" hidden="false" customHeight="true" outlineLevel="0" collapsed="false">
      <c r="A11811" s="10" t="n">
        <f aca="false">Einstellungen!$B$5+INT((ROW()-9)/24)</f>
        <v>46457</v>
      </c>
      <c r="B11811" s="11" t="n">
        <f aca="false">MOD(ROW()-9,24)</f>
        <v>18</v>
      </c>
      <c r="C11811" s="12"/>
      <c r="D11811" s="13" t="n">
        <f aca="false">IF(B11811&lt;5,Einstellungen!$B$3,Einstellungen!$B$4)</f>
        <v>29.13</v>
      </c>
      <c r="E11811" s="14" t="str">
        <f aca="false">IF(C11811="","",C11811*D11811/100)</f>
        <v/>
      </c>
      <c r="F11811" s="15" t="str">
        <f aca="false">IF(B11811&lt;5,"Go","Standard")</f>
        <v>Standard</v>
      </c>
    </row>
    <row r="11812" customFormat="false" ht="15" hidden="false" customHeight="true" outlineLevel="0" collapsed="false">
      <c r="A11812" s="10" t="n">
        <f aca="false">Einstellungen!$B$5+INT((ROW()-9)/24)</f>
        <v>46457</v>
      </c>
      <c r="B11812" s="11" t="n">
        <f aca="false">MOD(ROW()-9,24)</f>
        <v>19</v>
      </c>
      <c r="C11812" s="12"/>
      <c r="D11812" s="13" t="n">
        <f aca="false">IF(B11812&lt;5,Einstellungen!$B$3,Einstellungen!$B$4)</f>
        <v>29.13</v>
      </c>
      <c r="E11812" s="14" t="str">
        <f aca="false">IF(C11812="","",C11812*D11812/100)</f>
        <v/>
      </c>
      <c r="F11812" s="15" t="str">
        <f aca="false">IF(B11812&lt;5,"Go","Standard")</f>
        <v>Standard</v>
      </c>
    </row>
    <row r="11813" customFormat="false" ht="15" hidden="false" customHeight="true" outlineLevel="0" collapsed="false">
      <c r="A11813" s="10" t="n">
        <f aca="false">Einstellungen!$B$5+INT((ROW()-9)/24)</f>
        <v>46457</v>
      </c>
      <c r="B11813" s="11" t="n">
        <f aca="false">MOD(ROW()-9,24)</f>
        <v>20</v>
      </c>
      <c r="C11813" s="12"/>
      <c r="D11813" s="13" t="n">
        <f aca="false">IF(B11813&lt;5,Einstellungen!$B$3,Einstellungen!$B$4)</f>
        <v>29.13</v>
      </c>
      <c r="E11813" s="14" t="str">
        <f aca="false">IF(C11813="","",C11813*D11813/100)</f>
        <v/>
      </c>
      <c r="F11813" s="15" t="str">
        <f aca="false">IF(B11813&lt;5,"Go","Standard")</f>
        <v>Standard</v>
      </c>
    </row>
    <row r="11814" customFormat="false" ht="15" hidden="false" customHeight="true" outlineLevel="0" collapsed="false">
      <c r="A11814" s="10" t="n">
        <f aca="false">Einstellungen!$B$5+INT((ROW()-9)/24)</f>
        <v>46457</v>
      </c>
      <c r="B11814" s="11" t="n">
        <f aca="false">MOD(ROW()-9,24)</f>
        <v>21</v>
      </c>
      <c r="C11814" s="12"/>
      <c r="D11814" s="13" t="n">
        <f aca="false">IF(B11814&lt;5,Einstellungen!$B$3,Einstellungen!$B$4)</f>
        <v>29.13</v>
      </c>
      <c r="E11814" s="14" t="str">
        <f aca="false">IF(C11814="","",C11814*D11814/100)</f>
        <v/>
      </c>
      <c r="F11814" s="15" t="str">
        <f aca="false">IF(B11814&lt;5,"Go","Standard")</f>
        <v>Standard</v>
      </c>
    </row>
    <row r="11815" customFormat="false" ht="15" hidden="false" customHeight="true" outlineLevel="0" collapsed="false">
      <c r="A11815" s="10" t="n">
        <f aca="false">Einstellungen!$B$5+INT((ROW()-9)/24)</f>
        <v>46457</v>
      </c>
      <c r="B11815" s="11" t="n">
        <f aca="false">MOD(ROW()-9,24)</f>
        <v>22</v>
      </c>
      <c r="C11815" s="12"/>
      <c r="D11815" s="13" t="n">
        <f aca="false">IF(B11815&lt;5,Einstellungen!$B$3,Einstellungen!$B$4)</f>
        <v>29.13</v>
      </c>
      <c r="E11815" s="14" t="str">
        <f aca="false">IF(C11815="","",C11815*D11815/100)</f>
        <v/>
      </c>
      <c r="F11815" s="15" t="str">
        <f aca="false">IF(B11815&lt;5,"Go","Standard")</f>
        <v>Standard</v>
      </c>
    </row>
    <row r="11816" customFormat="false" ht="15" hidden="false" customHeight="true" outlineLevel="0" collapsed="false">
      <c r="A11816" s="10" t="n">
        <f aca="false">Einstellungen!$B$5+INT((ROW()-9)/24)</f>
        <v>46457</v>
      </c>
      <c r="B11816" s="11" t="n">
        <f aca="false">MOD(ROW()-9,24)</f>
        <v>23</v>
      </c>
      <c r="C11816" s="12"/>
      <c r="D11816" s="13" t="n">
        <f aca="false">IF(B11816&lt;5,Einstellungen!$B$3,Einstellungen!$B$4)</f>
        <v>29.13</v>
      </c>
      <c r="E11816" s="14" t="str">
        <f aca="false">IF(C11816="","",C11816*D11816/100)</f>
        <v/>
      </c>
      <c r="F11816" s="15" t="str">
        <f aca="false">IF(B11816&lt;5,"Go","Standard")</f>
        <v>Standard</v>
      </c>
    </row>
    <row r="11817" customFormat="false" ht="15" hidden="false" customHeight="true" outlineLevel="0" collapsed="false">
      <c r="A11817" s="10" t="n">
        <f aca="false">Einstellungen!$B$5+INT((ROW()-9)/24)</f>
        <v>46458</v>
      </c>
      <c r="B11817" s="11" t="n">
        <f aca="false">MOD(ROW()-9,24)</f>
        <v>0</v>
      </c>
      <c r="C11817" s="12"/>
      <c r="D11817" s="13" t="n">
        <f aca="false">IF(B11817&lt;5,Einstellungen!$B$3,Einstellungen!$B$4)</f>
        <v>15.92</v>
      </c>
      <c r="E11817" s="14" t="str">
        <f aca="false">IF(C11817="","",C11817*D11817/100)</f>
        <v/>
      </c>
      <c r="F11817" s="15" t="str">
        <f aca="false">IF(B11817&lt;5,"Go","Standard")</f>
        <v>Go</v>
      </c>
    </row>
    <row r="11818" customFormat="false" ht="15" hidden="false" customHeight="true" outlineLevel="0" collapsed="false">
      <c r="A11818" s="10" t="n">
        <f aca="false">Einstellungen!$B$5+INT((ROW()-9)/24)</f>
        <v>46458</v>
      </c>
      <c r="B11818" s="11" t="n">
        <f aca="false">MOD(ROW()-9,24)</f>
        <v>1</v>
      </c>
      <c r="C11818" s="12"/>
      <c r="D11818" s="13" t="n">
        <f aca="false">IF(B11818&lt;5,Einstellungen!$B$3,Einstellungen!$B$4)</f>
        <v>15.92</v>
      </c>
      <c r="E11818" s="14" t="str">
        <f aca="false">IF(C11818="","",C11818*D11818/100)</f>
        <v/>
      </c>
      <c r="F11818" s="15" t="str">
        <f aca="false">IF(B11818&lt;5,"Go","Standard")</f>
        <v>Go</v>
      </c>
    </row>
    <row r="11819" customFormat="false" ht="15" hidden="false" customHeight="true" outlineLevel="0" collapsed="false">
      <c r="A11819" s="10" t="n">
        <f aca="false">Einstellungen!$B$5+INT((ROW()-9)/24)</f>
        <v>46458</v>
      </c>
      <c r="B11819" s="11" t="n">
        <f aca="false">MOD(ROW()-9,24)</f>
        <v>2</v>
      </c>
      <c r="C11819" s="12"/>
      <c r="D11819" s="13" t="n">
        <f aca="false">IF(B11819&lt;5,Einstellungen!$B$3,Einstellungen!$B$4)</f>
        <v>15.92</v>
      </c>
      <c r="E11819" s="14" t="str">
        <f aca="false">IF(C11819="","",C11819*D11819/100)</f>
        <v/>
      </c>
      <c r="F11819" s="15" t="str">
        <f aca="false">IF(B11819&lt;5,"Go","Standard")</f>
        <v>Go</v>
      </c>
    </row>
    <row r="11820" customFormat="false" ht="15" hidden="false" customHeight="true" outlineLevel="0" collapsed="false">
      <c r="A11820" s="10" t="n">
        <f aca="false">Einstellungen!$B$5+INT((ROW()-9)/24)</f>
        <v>46458</v>
      </c>
      <c r="B11820" s="11" t="n">
        <f aca="false">MOD(ROW()-9,24)</f>
        <v>3</v>
      </c>
      <c r="C11820" s="12"/>
      <c r="D11820" s="13" t="n">
        <f aca="false">IF(B11820&lt;5,Einstellungen!$B$3,Einstellungen!$B$4)</f>
        <v>15.92</v>
      </c>
      <c r="E11820" s="14" t="str">
        <f aca="false">IF(C11820="","",C11820*D11820/100)</f>
        <v/>
      </c>
      <c r="F11820" s="15" t="str">
        <f aca="false">IF(B11820&lt;5,"Go","Standard")</f>
        <v>Go</v>
      </c>
    </row>
    <row r="11821" customFormat="false" ht="15" hidden="false" customHeight="true" outlineLevel="0" collapsed="false">
      <c r="A11821" s="10" t="n">
        <f aca="false">Einstellungen!$B$5+INT((ROW()-9)/24)</f>
        <v>46458</v>
      </c>
      <c r="B11821" s="11" t="n">
        <f aca="false">MOD(ROW()-9,24)</f>
        <v>4</v>
      </c>
      <c r="C11821" s="12"/>
      <c r="D11821" s="13" t="n">
        <f aca="false">IF(B11821&lt;5,Einstellungen!$B$3,Einstellungen!$B$4)</f>
        <v>15.92</v>
      </c>
      <c r="E11821" s="14" t="str">
        <f aca="false">IF(C11821="","",C11821*D11821/100)</f>
        <v/>
      </c>
      <c r="F11821" s="15" t="str">
        <f aca="false">IF(B11821&lt;5,"Go","Standard")</f>
        <v>Go</v>
      </c>
    </row>
    <row r="11822" customFormat="false" ht="15" hidden="false" customHeight="true" outlineLevel="0" collapsed="false">
      <c r="A11822" s="10" t="n">
        <f aca="false">Einstellungen!$B$5+INT((ROW()-9)/24)</f>
        <v>46458</v>
      </c>
      <c r="B11822" s="11" t="n">
        <f aca="false">MOD(ROW()-9,24)</f>
        <v>5</v>
      </c>
      <c r="C11822" s="12"/>
      <c r="D11822" s="13" t="n">
        <f aca="false">IF(B11822&lt;5,Einstellungen!$B$3,Einstellungen!$B$4)</f>
        <v>29.13</v>
      </c>
      <c r="E11822" s="14" t="str">
        <f aca="false">IF(C11822="","",C11822*D11822/100)</f>
        <v/>
      </c>
      <c r="F11822" s="15" t="str">
        <f aca="false">IF(B11822&lt;5,"Go","Standard")</f>
        <v>Standard</v>
      </c>
    </row>
    <row r="11823" customFormat="false" ht="15" hidden="false" customHeight="true" outlineLevel="0" collapsed="false">
      <c r="A11823" s="10" t="n">
        <f aca="false">Einstellungen!$B$5+INT((ROW()-9)/24)</f>
        <v>46458</v>
      </c>
      <c r="B11823" s="11" t="n">
        <f aca="false">MOD(ROW()-9,24)</f>
        <v>6</v>
      </c>
      <c r="C11823" s="12"/>
      <c r="D11823" s="13" t="n">
        <f aca="false">IF(B11823&lt;5,Einstellungen!$B$3,Einstellungen!$B$4)</f>
        <v>29.13</v>
      </c>
      <c r="E11823" s="14" t="str">
        <f aca="false">IF(C11823="","",C11823*D11823/100)</f>
        <v/>
      </c>
      <c r="F11823" s="15" t="str">
        <f aca="false">IF(B11823&lt;5,"Go","Standard")</f>
        <v>Standard</v>
      </c>
    </row>
    <row r="11824" customFormat="false" ht="15" hidden="false" customHeight="true" outlineLevel="0" collapsed="false">
      <c r="A11824" s="10" t="n">
        <f aca="false">Einstellungen!$B$5+INT((ROW()-9)/24)</f>
        <v>46458</v>
      </c>
      <c r="B11824" s="11" t="n">
        <f aca="false">MOD(ROW()-9,24)</f>
        <v>7</v>
      </c>
      <c r="C11824" s="12"/>
      <c r="D11824" s="13" t="n">
        <f aca="false">IF(B11824&lt;5,Einstellungen!$B$3,Einstellungen!$B$4)</f>
        <v>29.13</v>
      </c>
      <c r="E11824" s="14" t="str">
        <f aca="false">IF(C11824="","",C11824*D11824/100)</f>
        <v/>
      </c>
      <c r="F11824" s="15" t="str">
        <f aca="false">IF(B11824&lt;5,"Go","Standard")</f>
        <v>Standard</v>
      </c>
    </row>
    <row r="11825" customFormat="false" ht="15" hidden="false" customHeight="true" outlineLevel="0" collapsed="false">
      <c r="A11825" s="10" t="n">
        <f aca="false">Einstellungen!$B$5+INT((ROW()-9)/24)</f>
        <v>46458</v>
      </c>
      <c r="B11825" s="11" t="n">
        <f aca="false">MOD(ROW()-9,24)</f>
        <v>8</v>
      </c>
      <c r="C11825" s="12"/>
      <c r="D11825" s="13" t="n">
        <f aca="false">IF(B11825&lt;5,Einstellungen!$B$3,Einstellungen!$B$4)</f>
        <v>29.13</v>
      </c>
      <c r="E11825" s="14" t="str">
        <f aca="false">IF(C11825="","",C11825*D11825/100)</f>
        <v/>
      </c>
      <c r="F11825" s="15" t="str">
        <f aca="false">IF(B11825&lt;5,"Go","Standard")</f>
        <v>Standard</v>
      </c>
    </row>
    <row r="11826" customFormat="false" ht="15" hidden="false" customHeight="true" outlineLevel="0" collapsed="false">
      <c r="A11826" s="10" t="n">
        <f aca="false">Einstellungen!$B$5+INT((ROW()-9)/24)</f>
        <v>46458</v>
      </c>
      <c r="B11826" s="11" t="n">
        <f aca="false">MOD(ROW()-9,24)</f>
        <v>9</v>
      </c>
      <c r="C11826" s="12"/>
      <c r="D11826" s="13" t="n">
        <f aca="false">IF(B11826&lt;5,Einstellungen!$B$3,Einstellungen!$B$4)</f>
        <v>29.13</v>
      </c>
      <c r="E11826" s="14" t="str">
        <f aca="false">IF(C11826="","",C11826*D11826/100)</f>
        <v/>
      </c>
      <c r="F11826" s="15" t="str">
        <f aca="false">IF(B11826&lt;5,"Go","Standard")</f>
        <v>Standard</v>
      </c>
    </row>
    <row r="11827" customFormat="false" ht="15" hidden="false" customHeight="true" outlineLevel="0" collapsed="false">
      <c r="A11827" s="10" t="n">
        <f aca="false">Einstellungen!$B$5+INT((ROW()-9)/24)</f>
        <v>46458</v>
      </c>
      <c r="B11827" s="11" t="n">
        <f aca="false">MOD(ROW()-9,24)</f>
        <v>10</v>
      </c>
      <c r="C11827" s="12"/>
      <c r="D11827" s="13" t="n">
        <f aca="false">IF(B11827&lt;5,Einstellungen!$B$3,Einstellungen!$B$4)</f>
        <v>29.13</v>
      </c>
      <c r="E11827" s="14" t="str">
        <f aca="false">IF(C11827="","",C11827*D11827/100)</f>
        <v/>
      </c>
      <c r="F11827" s="15" t="str">
        <f aca="false">IF(B11827&lt;5,"Go","Standard")</f>
        <v>Standard</v>
      </c>
    </row>
    <row r="11828" customFormat="false" ht="15" hidden="false" customHeight="true" outlineLevel="0" collapsed="false">
      <c r="A11828" s="10" t="n">
        <f aca="false">Einstellungen!$B$5+INT((ROW()-9)/24)</f>
        <v>46458</v>
      </c>
      <c r="B11828" s="11" t="n">
        <f aca="false">MOD(ROW()-9,24)</f>
        <v>11</v>
      </c>
      <c r="C11828" s="12"/>
      <c r="D11828" s="13" t="n">
        <f aca="false">IF(B11828&lt;5,Einstellungen!$B$3,Einstellungen!$B$4)</f>
        <v>29.13</v>
      </c>
      <c r="E11828" s="14" t="str">
        <f aca="false">IF(C11828="","",C11828*D11828/100)</f>
        <v/>
      </c>
      <c r="F11828" s="15" t="str">
        <f aca="false">IF(B11828&lt;5,"Go","Standard")</f>
        <v>Standard</v>
      </c>
    </row>
    <row r="11829" customFormat="false" ht="15" hidden="false" customHeight="true" outlineLevel="0" collapsed="false">
      <c r="A11829" s="10" t="n">
        <f aca="false">Einstellungen!$B$5+INT((ROW()-9)/24)</f>
        <v>46458</v>
      </c>
      <c r="B11829" s="11" t="n">
        <f aca="false">MOD(ROW()-9,24)</f>
        <v>12</v>
      </c>
      <c r="C11829" s="12"/>
      <c r="D11829" s="13" t="n">
        <f aca="false">IF(B11829&lt;5,Einstellungen!$B$3,Einstellungen!$B$4)</f>
        <v>29.13</v>
      </c>
      <c r="E11829" s="14" t="str">
        <f aca="false">IF(C11829="","",C11829*D11829/100)</f>
        <v/>
      </c>
      <c r="F11829" s="15" t="str">
        <f aca="false">IF(B11829&lt;5,"Go","Standard")</f>
        <v>Standard</v>
      </c>
    </row>
    <row r="11830" customFormat="false" ht="15" hidden="false" customHeight="true" outlineLevel="0" collapsed="false">
      <c r="A11830" s="10" t="n">
        <f aca="false">Einstellungen!$B$5+INT((ROW()-9)/24)</f>
        <v>46458</v>
      </c>
      <c r="B11830" s="11" t="n">
        <f aca="false">MOD(ROW()-9,24)</f>
        <v>13</v>
      </c>
      <c r="C11830" s="12"/>
      <c r="D11830" s="13" t="n">
        <f aca="false">IF(B11830&lt;5,Einstellungen!$B$3,Einstellungen!$B$4)</f>
        <v>29.13</v>
      </c>
      <c r="E11830" s="14" t="str">
        <f aca="false">IF(C11830="","",C11830*D11830/100)</f>
        <v/>
      </c>
      <c r="F11830" s="15" t="str">
        <f aca="false">IF(B11830&lt;5,"Go","Standard")</f>
        <v>Standard</v>
      </c>
    </row>
    <row r="11831" customFormat="false" ht="15" hidden="false" customHeight="true" outlineLevel="0" collapsed="false">
      <c r="A11831" s="10" t="n">
        <f aca="false">Einstellungen!$B$5+INT((ROW()-9)/24)</f>
        <v>46458</v>
      </c>
      <c r="B11831" s="11" t="n">
        <f aca="false">MOD(ROW()-9,24)</f>
        <v>14</v>
      </c>
      <c r="C11831" s="12"/>
      <c r="D11831" s="13" t="n">
        <f aca="false">IF(B11831&lt;5,Einstellungen!$B$3,Einstellungen!$B$4)</f>
        <v>29.13</v>
      </c>
      <c r="E11831" s="14" t="str">
        <f aca="false">IF(C11831="","",C11831*D11831/100)</f>
        <v/>
      </c>
      <c r="F11831" s="15" t="str">
        <f aca="false">IF(B11831&lt;5,"Go","Standard")</f>
        <v>Standard</v>
      </c>
    </row>
    <row r="11832" customFormat="false" ht="15" hidden="false" customHeight="true" outlineLevel="0" collapsed="false">
      <c r="A11832" s="10" t="n">
        <f aca="false">Einstellungen!$B$5+INT((ROW()-9)/24)</f>
        <v>46458</v>
      </c>
      <c r="B11832" s="11" t="n">
        <f aca="false">MOD(ROW()-9,24)</f>
        <v>15</v>
      </c>
      <c r="C11832" s="12"/>
      <c r="D11832" s="13" t="n">
        <f aca="false">IF(B11832&lt;5,Einstellungen!$B$3,Einstellungen!$B$4)</f>
        <v>29.13</v>
      </c>
      <c r="E11832" s="14" t="str">
        <f aca="false">IF(C11832="","",C11832*D11832/100)</f>
        <v/>
      </c>
      <c r="F11832" s="15" t="str">
        <f aca="false">IF(B11832&lt;5,"Go","Standard")</f>
        <v>Standard</v>
      </c>
    </row>
    <row r="11833" customFormat="false" ht="15" hidden="false" customHeight="true" outlineLevel="0" collapsed="false">
      <c r="A11833" s="10" t="n">
        <f aca="false">Einstellungen!$B$5+INT((ROW()-9)/24)</f>
        <v>46458</v>
      </c>
      <c r="B11833" s="11" t="n">
        <f aca="false">MOD(ROW()-9,24)</f>
        <v>16</v>
      </c>
      <c r="C11833" s="12"/>
      <c r="D11833" s="13" t="n">
        <f aca="false">IF(B11833&lt;5,Einstellungen!$B$3,Einstellungen!$B$4)</f>
        <v>29.13</v>
      </c>
      <c r="E11833" s="14" t="str">
        <f aca="false">IF(C11833="","",C11833*D11833/100)</f>
        <v/>
      </c>
      <c r="F11833" s="15" t="str">
        <f aca="false">IF(B11833&lt;5,"Go","Standard")</f>
        <v>Standard</v>
      </c>
    </row>
    <row r="11834" customFormat="false" ht="15" hidden="false" customHeight="true" outlineLevel="0" collapsed="false">
      <c r="A11834" s="10" t="n">
        <f aca="false">Einstellungen!$B$5+INT((ROW()-9)/24)</f>
        <v>46458</v>
      </c>
      <c r="B11834" s="11" t="n">
        <f aca="false">MOD(ROW()-9,24)</f>
        <v>17</v>
      </c>
      <c r="C11834" s="12"/>
      <c r="D11834" s="13" t="n">
        <f aca="false">IF(B11834&lt;5,Einstellungen!$B$3,Einstellungen!$B$4)</f>
        <v>29.13</v>
      </c>
      <c r="E11834" s="14" t="str">
        <f aca="false">IF(C11834="","",C11834*D11834/100)</f>
        <v/>
      </c>
      <c r="F11834" s="15" t="str">
        <f aca="false">IF(B11834&lt;5,"Go","Standard")</f>
        <v>Standard</v>
      </c>
    </row>
    <row r="11835" customFormat="false" ht="15" hidden="false" customHeight="true" outlineLevel="0" collapsed="false">
      <c r="A11835" s="10" t="n">
        <f aca="false">Einstellungen!$B$5+INT((ROW()-9)/24)</f>
        <v>46458</v>
      </c>
      <c r="B11835" s="11" t="n">
        <f aca="false">MOD(ROW()-9,24)</f>
        <v>18</v>
      </c>
      <c r="C11835" s="12"/>
      <c r="D11835" s="13" t="n">
        <f aca="false">IF(B11835&lt;5,Einstellungen!$B$3,Einstellungen!$B$4)</f>
        <v>29.13</v>
      </c>
      <c r="E11835" s="14" t="str">
        <f aca="false">IF(C11835="","",C11835*D11835/100)</f>
        <v/>
      </c>
      <c r="F11835" s="15" t="str">
        <f aca="false">IF(B11835&lt;5,"Go","Standard")</f>
        <v>Standard</v>
      </c>
    </row>
    <row r="11836" customFormat="false" ht="15" hidden="false" customHeight="true" outlineLevel="0" collapsed="false">
      <c r="A11836" s="10" t="n">
        <f aca="false">Einstellungen!$B$5+INT((ROW()-9)/24)</f>
        <v>46458</v>
      </c>
      <c r="B11836" s="11" t="n">
        <f aca="false">MOD(ROW()-9,24)</f>
        <v>19</v>
      </c>
      <c r="C11836" s="12"/>
      <c r="D11836" s="13" t="n">
        <f aca="false">IF(B11836&lt;5,Einstellungen!$B$3,Einstellungen!$B$4)</f>
        <v>29.13</v>
      </c>
      <c r="E11836" s="14" t="str">
        <f aca="false">IF(C11836="","",C11836*D11836/100)</f>
        <v/>
      </c>
      <c r="F11836" s="15" t="str">
        <f aca="false">IF(B11836&lt;5,"Go","Standard")</f>
        <v>Standard</v>
      </c>
    </row>
    <row r="11837" customFormat="false" ht="15" hidden="false" customHeight="true" outlineLevel="0" collapsed="false">
      <c r="A11837" s="10" t="n">
        <f aca="false">Einstellungen!$B$5+INT((ROW()-9)/24)</f>
        <v>46458</v>
      </c>
      <c r="B11837" s="11" t="n">
        <f aca="false">MOD(ROW()-9,24)</f>
        <v>20</v>
      </c>
      <c r="C11837" s="12"/>
      <c r="D11837" s="13" t="n">
        <f aca="false">IF(B11837&lt;5,Einstellungen!$B$3,Einstellungen!$B$4)</f>
        <v>29.13</v>
      </c>
      <c r="E11837" s="14" t="str">
        <f aca="false">IF(C11837="","",C11837*D11837/100)</f>
        <v/>
      </c>
      <c r="F11837" s="15" t="str">
        <f aca="false">IF(B11837&lt;5,"Go","Standard")</f>
        <v>Standard</v>
      </c>
    </row>
    <row r="11838" customFormat="false" ht="15" hidden="false" customHeight="true" outlineLevel="0" collapsed="false">
      <c r="A11838" s="10" t="n">
        <f aca="false">Einstellungen!$B$5+INT((ROW()-9)/24)</f>
        <v>46458</v>
      </c>
      <c r="B11838" s="11" t="n">
        <f aca="false">MOD(ROW()-9,24)</f>
        <v>21</v>
      </c>
      <c r="C11838" s="12"/>
      <c r="D11838" s="13" t="n">
        <f aca="false">IF(B11838&lt;5,Einstellungen!$B$3,Einstellungen!$B$4)</f>
        <v>29.13</v>
      </c>
      <c r="E11838" s="14" t="str">
        <f aca="false">IF(C11838="","",C11838*D11838/100)</f>
        <v/>
      </c>
      <c r="F11838" s="15" t="str">
        <f aca="false">IF(B11838&lt;5,"Go","Standard")</f>
        <v>Standard</v>
      </c>
    </row>
    <row r="11839" customFormat="false" ht="15" hidden="false" customHeight="true" outlineLevel="0" collapsed="false">
      <c r="A11839" s="10" t="n">
        <f aca="false">Einstellungen!$B$5+INT((ROW()-9)/24)</f>
        <v>46458</v>
      </c>
      <c r="B11839" s="11" t="n">
        <f aca="false">MOD(ROW()-9,24)</f>
        <v>22</v>
      </c>
      <c r="C11839" s="12"/>
      <c r="D11839" s="13" t="n">
        <f aca="false">IF(B11839&lt;5,Einstellungen!$B$3,Einstellungen!$B$4)</f>
        <v>29.13</v>
      </c>
      <c r="E11839" s="14" t="str">
        <f aca="false">IF(C11839="","",C11839*D11839/100)</f>
        <v/>
      </c>
      <c r="F11839" s="15" t="str">
        <f aca="false">IF(B11839&lt;5,"Go","Standard")</f>
        <v>Standard</v>
      </c>
    </row>
    <row r="11840" customFormat="false" ht="15" hidden="false" customHeight="true" outlineLevel="0" collapsed="false">
      <c r="A11840" s="10" t="n">
        <f aca="false">Einstellungen!$B$5+INT((ROW()-9)/24)</f>
        <v>46458</v>
      </c>
      <c r="B11840" s="11" t="n">
        <f aca="false">MOD(ROW()-9,24)</f>
        <v>23</v>
      </c>
      <c r="C11840" s="12"/>
      <c r="D11840" s="13" t="n">
        <f aca="false">IF(B11840&lt;5,Einstellungen!$B$3,Einstellungen!$B$4)</f>
        <v>29.13</v>
      </c>
      <c r="E11840" s="14" t="str">
        <f aca="false">IF(C11840="","",C11840*D11840/100)</f>
        <v/>
      </c>
      <c r="F11840" s="15" t="str">
        <f aca="false">IF(B11840&lt;5,"Go","Standard")</f>
        <v>Standard</v>
      </c>
    </row>
    <row r="11841" customFormat="false" ht="15" hidden="false" customHeight="true" outlineLevel="0" collapsed="false">
      <c r="A11841" s="10" t="n">
        <f aca="false">Einstellungen!$B$5+INT((ROW()-9)/24)</f>
        <v>46459</v>
      </c>
      <c r="B11841" s="11" t="n">
        <f aca="false">MOD(ROW()-9,24)</f>
        <v>0</v>
      </c>
      <c r="C11841" s="12"/>
      <c r="D11841" s="13" t="n">
        <f aca="false">IF(B11841&lt;5,Einstellungen!$B$3,Einstellungen!$B$4)</f>
        <v>15.92</v>
      </c>
      <c r="E11841" s="14" t="str">
        <f aca="false">IF(C11841="","",C11841*D11841/100)</f>
        <v/>
      </c>
      <c r="F11841" s="15" t="str">
        <f aca="false">IF(B11841&lt;5,"Go","Standard")</f>
        <v>Go</v>
      </c>
    </row>
    <row r="11842" customFormat="false" ht="15" hidden="false" customHeight="true" outlineLevel="0" collapsed="false">
      <c r="A11842" s="10" t="n">
        <f aca="false">Einstellungen!$B$5+INT((ROW()-9)/24)</f>
        <v>46459</v>
      </c>
      <c r="B11842" s="11" t="n">
        <f aca="false">MOD(ROW()-9,24)</f>
        <v>1</v>
      </c>
      <c r="C11842" s="12"/>
      <c r="D11842" s="13" t="n">
        <f aca="false">IF(B11842&lt;5,Einstellungen!$B$3,Einstellungen!$B$4)</f>
        <v>15.92</v>
      </c>
      <c r="E11842" s="14" t="str">
        <f aca="false">IF(C11842="","",C11842*D11842/100)</f>
        <v/>
      </c>
      <c r="F11842" s="15" t="str">
        <f aca="false">IF(B11842&lt;5,"Go","Standard")</f>
        <v>Go</v>
      </c>
    </row>
    <row r="11843" customFormat="false" ht="15" hidden="false" customHeight="true" outlineLevel="0" collapsed="false">
      <c r="A11843" s="10" t="n">
        <f aca="false">Einstellungen!$B$5+INT((ROW()-9)/24)</f>
        <v>46459</v>
      </c>
      <c r="B11843" s="11" t="n">
        <f aca="false">MOD(ROW()-9,24)</f>
        <v>2</v>
      </c>
      <c r="C11843" s="12"/>
      <c r="D11843" s="13" t="n">
        <f aca="false">IF(B11843&lt;5,Einstellungen!$B$3,Einstellungen!$B$4)</f>
        <v>15.92</v>
      </c>
      <c r="E11843" s="14" t="str">
        <f aca="false">IF(C11843="","",C11843*D11843/100)</f>
        <v/>
      </c>
      <c r="F11843" s="15" t="str">
        <f aca="false">IF(B11843&lt;5,"Go","Standard")</f>
        <v>Go</v>
      </c>
    </row>
    <row r="11844" customFormat="false" ht="15" hidden="false" customHeight="true" outlineLevel="0" collapsed="false">
      <c r="A11844" s="10" t="n">
        <f aca="false">Einstellungen!$B$5+INT((ROW()-9)/24)</f>
        <v>46459</v>
      </c>
      <c r="B11844" s="11" t="n">
        <f aca="false">MOD(ROW()-9,24)</f>
        <v>3</v>
      </c>
      <c r="C11844" s="12"/>
      <c r="D11844" s="13" t="n">
        <f aca="false">IF(B11844&lt;5,Einstellungen!$B$3,Einstellungen!$B$4)</f>
        <v>15.92</v>
      </c>
      <c r="E11844" s="14" t="str">
        <f aca="false">IF(C11844="","",C11844*D11844/100)</f>
        <v/>
      </c>
      <c r="F11844" s="15" t="str">
        <f aca="false">IF(B11844&lt;5,"Go","Standard")</f>
        <v>Go</v>
      </c>
    </row>
    <row r="11845" customFormat="false" ht="15" hidden="false" customHeight="true" outlineLevel="0" collapsed="false">
      <c r="A11845" s="10" t="n">
        <f aca="false">Einstellungen!$B$5+INT((ROW()-9)/24)</f>
        <v>46459</v>
      </c>
      <c r="B11845" s="11" t="n">
        <f aca="false">MOD(ROW()-9,24)</f>
        <v>4</v>
      </c>
      <c r="C11845" s="12"/>
      <c r="D11845" s="13" t="n">
        <f aca="false">IF(B11845&lt;5,Einstellungen!$B$3,Einstellungen!$B$4)</f>
        <v>15.92</v>
      </c>
      <c r="E11845" s="14" t="str">
        <f aca="false">IF(C11845="","",C11845*D11845/100)</f>
        <v/>
      </c>
      <c r="F11845" s="15" t="str">
        <f aca="false">IF(B11845&lt;5,"Go","Standard")</f>
        <v>Go</v>
      </c>
    </row>
    <row r="11846" customFormat="false" ht="15" hidden="false" customHeight="true" outlineLevel="0" collapsed="false">
      <c r="A11846" s="10" t="n">
        <f aca="false">Einstellungen!$B$5+INT((ROW()-9)/24)</f>
        <v>46459</v>
      </c>
      <c r="B11846" s="11" t="n">
        <f aca="false">MOD(ROW()-9,24)</f>
        <v>5</v>
      </c>
      <c r="C11846" s="12"/>
      <c r="D11846" s="13" t="n">
        <f aca="false">IF(B11846&lt;5,Einstellungen!$B$3,Einstellungen!$B$4)</f>
        <v>29.13</v>
      </c>
      <c r="E11846" s="14" t="str">
        <f aca="false">IF(C11846="","",C11846*D11846/100)</f>
        <v/>
      </c>
      <c r="F11846" s="15" t="str">
        <f aca="false">IF(B11846&lt;5,"Go","Standard")</f>
        <v>Standard</v>
      </c>
    </row>
    <row r="11847" customFormat="false" ht="15" hidden="false" customHeight="true" outlineLevel="0" collapsed="false">
      <c r="A11847" s="10" t="n">
        <f aca="false">Einstellungen!$B$5+INT((ROW()-9)/24)</f>
        <v>46459</v>
      </c>
      <c r="B11847" s="11" t="n">
        <f aca="false">MOD(ROW()-9,24)</f>
        <v>6</v>
      </c>
      <c r="C11847" s="12"/>
      <c r="D11847" s="13" t="n">
        <f aca="false">IF(B11847&lt;5,Einstellungen!$B$3,Einstellungen!$B$4)</f>
        <v>29.13</v>
      </c>
      <c r="E11847" s="14" t="str">
        <f aca="false">IF(C11847="","",C11847*D11847/100)</f>
        <v/>
      </c>
      <c r="F11847" s="15" t="str">
        <f aca="false">IF(B11847&lt;5,"Go","Standard")</f>
        <v>Standard</v>
      </c>
    </row>
    <row r="11848" customFormat="false" ht="15" hidden="false" customHeight="true" outlineLevel="0" collapsed="false">
      <c r="A11848" s="10" t="n">
        <f aca="false">Einstellungen!$B$5+INT((ROW()-9)/24)</f>
        <v>46459</v>
      </c>
      <c r="B11848" s="11" t="n">
        <f aca="false">MOD(ROW()-9,24)</f>
        <v>7</v>
      </c>
      <c r="C11848" s="12"/>
      <c r="D11848" s="13" t="n">
        <f aca="false">IF(B11848&lt;5,Einstellungen!$B$3,Einstellungen!$B$4)</f>
        <v>29.13</v>
      </c>
      <c r="E11848" s="14" t="str">
        <f aca="false">IF(C11848="","",C11848*D11848/100)</f>
        <v/>
      </c>
      <c r="F11848" s="15" t="str">
        <f aca="false">IF(B11848&lt;5,"Go","Standard")</f>
        <v>Standard</v>
      </c>
    </row>
    <row r="11849" customFormat="false" ht="15" hidden="false" customHeight="true" outlineLevel="0" collapsed="false">
      <c r="A11849" s="10" t="n">
        <f aca="false">Einstellungen!$B$5+INT((ROW()-9)/24)</f>
        <v>46459</v>
      </c>
      <c r="B11849" s="11" t="n">
        <f aca="false">MOD(ROW()-9,24)</f>
        <v>8</v>
      </c>
      <c r="C11849" s="12"/>
      <c r="D11849" s="13" t="n">
        <f aca="false">IF(B11849&lt;5,Einstellungen!$B$3,Einstellungen!$B$4)</f>
        <v>29.13</v>
      </c>
      <c r="E11849" s="14" t="str">
        <f aca="false">IF(C11849="","",C11849*D11849/100)</f>
        <v/>
      </c>
      <c r="F11849" s="15" t="str">
        <f aca="false">IF(B11849&lt;5,"Go","Standard")</f>
        <v>Standard</v>
      </c>
    </row>
    <row r="11850" customFormat="false" ht="15" hidden="false" customHeight="true" outlineLevel="0" collapsed="false">
      <c r="A11850" s="10" t="n">
        <f aca="false">Einstellungen!$B$5+INT((ROW()-9)/24)</f>
        <v>46459</v>
      </c>
      <c r="B11850" s="11" t="n">
        <f aca="false">MOD(ROW()-9,24)</f>
        <v>9</v>
      </c>
      <c r="C11850" s="12"/>
      <c r="D11850" s="13" t="n">
        <f aca="false">IF(B11850&lt;5,Einstellungen!$B$3,Einstellungen!$B$4)</f>
        <v>29.13</v>
      </c>
      <c r="E11850" s="14" t="str">
        <f aca="false">IF(C11850="","",C11850*D11850/100)</f>
        <v/>
      </c>
      <c r="F11850" s="15" t="str">
        <f aca="false">IF(B11850&lt;5,"Go","Standard")</f>
        <v>Standard</v>
      </c>
    </row>
    <row r="11851" customFormat="false" ht="15" hidden="false" customHeight="true" outlineLevel="0" collapsed="false">
      <c r="A11851" s="10" t="n">
        <f aca="false">Einstellungen!$B$5+INT((ROW()-9)/24)</f>
        <v>46459</v>
      </c>
      <c r="B11851" s="11" t="n">
        <f aca="false">MOD(ROW()-9,24)</f>
        <v>10</v>
      </c>
      <c r="C11851" s="12"/>
      <c r="D11851" s="13" t="n">
        <f aca="false">IF(B11851&lt;5,Einstellungen!$B$3,Einstellungen!$B$4)</f>
        <v>29.13</v>
      </c>
      <c r="E11851" s="14" t="str">
        <f aca="false">IF(C11851="","",C11851*D11851/100)</f>
        <v/>
      </c>
      <c r="F11851" s="15" t="str">
        <f aca="false">IF(B11851&lt;5,"Go","Standard")</f>
        <v>Standard</v>
      </c>
    </row>
    <row r="11852" customFormat="false" ht="15" hidden="false" customHeight="true" outlineLevel="0" collapsed="false">
      <c r="A11852" s="10" t="n">
        <f aca="false">Einstellungen!$B$5+INT((ROW()-9)/24)</f>
        <v>46459</v>
      </c>
      <c r="B11852" s="11" t="n">
        <f aca="false">MOD(ROW()-9,24)</f>
        <v>11</v>
      </c>
      <c r="C11852" s="12"/>
      <c r="D11852" s="13" t="n">
        <f aca="false">IF(B11852&lt;5,Einstellungen!$B$3,Einstellungen!$B$4)</f>
        <v>29.13</v>
      </c>
      <c r="E11852" s="14" t="str">
        <f aca="false">IF(C11852="","",C11852*D11852/100)</f>
        <v/>
      </c>
      <c r="F11852" s="15" t="str">
        <f aca="false">IF(B11852&lt;5,"Go","Standard")</f>
        <v>Standard</v>
      </c>
    </row>
    <row r="11853" customFormat="false" ht="15" hidden="false" customHeight="true" outlineLevel="0" collapsed="false">
      <c r="A11853" s="10" t="n">
        <f aca="false">Einstellungen!$B$5+INT((ROW()-9)/24)</f>
        <v>46459</v>
      </c>
      <c r="B11853" s="11" t="n">
        <f aca="false">MOD(ROW()-9,24)</f>
        <v>12</v>
      </c>
      <c r="C11853" s="12"/>
      <c r="D11853" s="13" t="n">
        <f aca="false">IF(B11853&lt;5,Einstellungen!$B$3,Einstellungen!$B$4)</f>
        <v>29.13</v>
      </c>
      <c r="E11853" s="14" t="str">
        <f aca="false">IF(C11853="","",C11853*D11853/100)</f>
        <v/>
      </c>
      <c r="F11853" s="15" t="str">
        <f aca="false">IF(B11853&lt;5,"Go","Standard")</f>
        <v>Standard</v>
      </c>
    </row>
    <row r="11854" customFormat="false" ht="15" hidden="false" customHeight="true" outlineLevel="0" collapsed="false">
      <c r="A11854" s="10" t="n">
        <f aca="false">Einstellungen!$B$5+INT((ROW()-9)/24)</f>
        <v>46459</v>
      </c>
      <c r="B11854" s="11" t="n">
        <f aca="false">MOD(ROW()-9,24)</f>
        <v>13</v>
      </c>
      <c r="C11854" s="12"/>
      <c r="D11854" s="13" t="n">
        <f aca="false">IF(B11854&lt;5,Einstellungen!$B$3,Einstellungen!$B$4)</f>
        <v>29.13</v>
      </c>
      <c r="E11854" s="14" t="str">
        <f aca="false">IF(C11854="","",C11854*D11854/100)</f>
        <v/>
      </c>
      <c r="F11854" s="15" t="str">
        <f aca="false">IF(B11854&lt;5,"Go","Standard")</f>
        <v>Standard</v>
      </c>
    </row>
    <row r="11855" customFormat="false" ht="15" hidden="false" customHeight="true" outlineLevel="0" collapsed="false">
      <c r="A11855" s="10" t="n">
        <f aca="false">Einstellungen!$B$5+INT((ROW()-9)/24)</f>
        <v>46459</v>
      </c>
      <c r="B11855" s="11" t="n">
        <f aca="false">MOD(ROW()-9,24)</f>
        <v>14</v>
      </c>
      <c r="C11855" s="12"/>
      <c r="D11855" s="13" t="n">
        <f aca="false">IF(B11855&lt;5,Einstellungen!$B$3,Einstellungen!$B$4)</f>
        <v>29.13</v>
      </c>
      <c r="E11855" s="14" t="str">
        <f aca="false">IF(C11855="","",C11855*D11855/100)</f>
        <v/>
      </c>
      <c r="F11855" s="15" t="str">
        <f aca="false">IF(B11855&lt;5,"Go","Standard")</f>
        <v>Standard</v>
      </c>
    </row>
    <row r="11856" customFormat="false" ht="15" hidden="false" customHeight="true" outlineLevel="0" collapsed="false">
      <c r="A11856" s="10" t="n">
        <f aca="false">Einstellungen!$B$5+INT((ROW()-9)/24)</f>
        <v>46459</v>
      </c>
      <c r="B11856" s="11" t="n">
        <f aca="false">MOD(ROW()-9,24)</f>
        <v>15</v>
      </c>
      <c r="C11856" s="12"/>
      <c r="D11856" s="13" t="n">
        <f aca="false">IF(B11856&lt;5,Einstellungen!$B$3,Einstellungen!$B$4)</f>
        <v>29.13</v>
      </c>
      <c r="E11856" s="14" t="str">
        <f aca="false">IF(C11856="","",C11856*D11856/100)</f>
        <v/>
      </c>
      <c r="F11856" s="15" t="str">
        <f aca="false">IF(B11856&lt;5,"Go","Standard")</f>
        <v>Standard</v>
      </c>
    </row>
    <row r="11857" customFormat="false" ht="15" hidden="false" customHeight="true" outlineLevel="0" collapsed="false">
      <c r="A11857" s="10" t="n">
        <f aca="false">Einstellungen!$B$5+INT((ROW()-9)/24)</f>
        <v>46459</v>
      </c>
      <c r="B11857" s="11" t="n">
        <f aca="false">MOD(ROW()-9,24)</f>
        <v>16</v>
      </c>
      <c r="C11857" s="12"/>
      <c r="D11857" s="13" t="n">
        <f aca="false">IF(B11857&lt;5,Einstellungen!$B$3,Einstellungen!$B$4)</f>
        <v>29.13</v>
      </c>
      <c r="E11857" s="14" t="str">
        <f aca="false">IF(C11857="","",C11857*D11857/100)</f>
        <v/>
      </c>
      <c r="F11857" s="15" t="str">
        <f aca="false">IF(B11857&lt;5,"Go","Standard")</f>
        <v>Standard</v>
      </c>
    </row>
    <row r="11858" customFormat="false" ht="15" hidden="false" customHeight="true" outlineLevel="0" collapsed="false">
      <c r="A11858" s="10" t="n">
        <f aca="false">Einstellungen!$B$5+INT((ROW()-9)/24)</f>
        <v>46459</v>
      </c>
      <c r="B11858" s="11" t="n">
        <f aca="false">MOD(ROW()-9,24)</f>
        <v>17</v>
      </c>
      <c r="C11858" s="12"/>
      <c r="D11858" s="13" t="n">
        <f aca="false">IF(B11858&lt;5,Einstellungen!$B$3,Einstellungen!$B$4)</f>
        <v>29.13</v>
      </c>
      <c r="E11858" s="14" t="str">
        <f aca="false">IF(C11858="","",C11858*D11858/100)</f>
        <v/>
      </c>
      <c r="F11858" s="15" t="str">
        <f aca="false">IF(B11858&lt;5,"Go","Standard")</f>
        <v>Standard</v>
      </c>
    </row>
    <row r="11859" customFormat="false" ht="15" hidden="false" customHeight="true" outlineLevel="0" collapsed="false">
      <c r="A11859" s="10" t="n">
        <f aca="false">Einstellungen!$B$5+INT((ROW()-9)/24)</f>
        <v>46459</v>
      </c>
      <c r="B11859" s="11" t="n">
        <f aca="false">MOD(ROW()-9,24)</f>
        <v>18</v>
      </c>
      <c r="C11859" s="12"/>
      <c r="D11859" s="13" t="n">
        <f aca="false">IF(B11859&lt;5,Einstellungen!$B$3,Einstellungen!$B$4)</f>
        <v>29.13</v>
      </c>
      <c r="E11859" s="14" t="str">
        <f aca="false">IF(C11859="","",C11859*D11859/100)</f>
        <v/>
      </c>
      <c r="F11859" s="15" t="str">
        <f aca="false">IF(B11859&lt;5,"Go","Standard")</f>
        <v>Standard</v>
      </c>
    </row>
    <row r="11860" customFormat="false" ht="15" hidden="false" customHeight="true" outlineLevel="0" collapsed="false">
      <c r="A11860" s="10" t="n">
        <f aca="false">Einstellungen!$B$5+INT((ROW()-9)/24)</f>
        <v>46459</v>
      </c>
      <c r="B11860" s="11" t="n">
        <f aca="false">MOD(ROW()-9,24)</f>
        <v>19</v>
      </c>
      <c r="C11860" s="12"/>
      <c r="D11860" s="13" t="n">
        <f aca="false">IF(B11860&lt;5,Einstellungen!$B$3,Einstellungen!$B$4)</f>
        <v>29.13</v>
      </c>
      <c r="E11860" s="14" t="str">
        <f aca="false">IF(C11860="","",C11860*D11860/100)</f>
        <v/>
      </c>
      <c r="F11860" s="15" t="str">
        <f aca="false">IF(B11860&lt;5,"Go","Standard")</f>
        <v>Standard</v>
      </c>
    </row>
    <row r="11861" customFormat="false" ht="15" hidden="false" customHeight="true" outlineLevel="0" collapsed="false">
      <c r="A11861" s="10" t="n">
        <f aca="false">Einstellungen!$B$5+INT((ROW()-9)/24)</f>
        <v>46459</v>
      </c>
      <c r="B11861" s="11" t="n">
        <f aca="false">MOD(ROW()-9,24)</f>
        <v>20</v>
      </c>
      <c r="C11861" s="12"/>
      <c r="D11861" s="13" t="n">
        <f aca="false">IF(B11861&lt;5,Einstellungen!$B$3,Einstellungen!$B$4)</f>
        <v>29.13</v>
      </c>
      <c r="E11861" s="14" t="str">
        <f aca="false">IF(C11861="","",C11861*D11861/100)</f>
        <v/>
      </c>
      <c r="F11861" s="15" t="str">
        <f aca="false">IF(B11861&lt;5,"Go","Standard")</f>
        <v>Standard</v>
      </c>
    </row>
    <row r="11862" customFormat="false" ht="15" hidden="false" customHeight="true" outlineLevel="0" collapsed="false">
      <c r="A11862" s="10" t="n">
        <f aca="false">Einstellungen!$B$5+INT((ROW()-9)/24)</f>
        <v>46459</v>
      </c>
      <c r="B11862" s="11" t="n">
        <f aca="false">MOD(ROW()-9,24)</f>
        <v>21</v>
      </c>
      <c r="C11862" s="12"/>
      <c r="D11862" s="13" t="n">
        <f aca="false">IF(B11862&lt;5,Einstellungen!$B$3,Einstellungen!$B$4)</f>
        <v>29.13</v>
      </c>
      <c r="E11862" s="14" t="str">
        <f aca="false">IF(C11862="","",C11862*D11862/100)</f>
        <v/>
      </c>
      <c r="F11862" s="15" t="str">
        <f aca="false">IF(B11862&lt;5,"Go","Standard")</f>
        <v>Standard</v>
      </c>
    </row>
    <row r="11863" customFormat="false" ht="15" hidden="false" customHeight="true" outlineLevel="0" collapsed="false">
      <c r="A11863" s="10" t="n">
        <f aca="false">Einstellungen!$B$5+INT((ROW()-9)/24)</f>
        <v>46459</v>
      </c>
      <c r="B11863" s="11" t="n">
        <f aca="false">MOD(ROW()-9,24)</f>
        <v>22</v>
      </c>
      <c r="C11863" s="12"/>
      <c r="D11863" s="13" t="n">
        <f aca="false">IF(B11863&lt;5,Einstellungen!$B$3,Einstellungen!$B$4)</f>
        <v>29.13</v>
      </c>
      <c r="E11863" s="14" t="str">
        <f aca="false">IF(C11863="","",C11863*D11863/100)</f>
        <v/>
      </c>
      <c r="F11863" s="15" t="str">
        <f aca="false">IF(B11863&lt;5,"Go","Standard")</f>
        <v>Standard</v>
      </c>
    </row>
    <row r="11864" customFormat="false" ht="15" hidden="false" customHeight="true" outlineLevel="0" collapsed="false">
      <c r="A11864" s="10" t="n">
        <f aca="false">Einstellungen!$B$5+INT((ROW()-9)/24)</f>
        <v>46459</v>
      </c>
      <c r="B11864" s="11" t="n">
        <f aca="false">MOD(ROW()-9,24)</f>
        <v>23</v>
      </c>
      <c r="C11864" s="12"/>
      <c r="D11864" s="13" t="n">
        <f aca="false">IF(B11864&lt;5,Einstellungen!$B$3,Einstellungen!$B$4)</f>
        <v>29.13</v>
      </c>
      <c r="E11864" s="14" t="str">
        <f aca="false">IF(C11864="","",C11864*D11864/100)</f>
        <v/>
      </c>
      <c r="F11864" s="15" t="str">
        <f aca="false">IF(B11864&lt;5,"Go","Standard")</f>
        <v>Standard</v>
      </c>
    </row>
    <row r="11865" customFormat="false" ht="15" hidden="false" customHeight="true" outlineLevel="0" collapsed="false">
      <c r="A11865" s="10" t="n">
        <f aca="false">Einstellungen!$B$5+INT((ROW()-9)/24)</f>
        <v>46460</v>
      </c>
      <c r="B11865" s="11" t="n">
        <f aca="false">MOD(ROW()-9,24)</f>
        <v>0</v>
      </c>
      <c r="C11865" s="12"/>
      <c r="D11865" s="13" t="n">
        <f aca="false">IF(B11865&lt;5,Einstellungen!$B$3,Einstellungen!$B$4)</f>
        <v>15.92</v>
      </c>
      <c r="E11865" s="14" t="str">
        <f aca="false">IF(C11865="","",C11865*D11865/100)</f>
        <v/>
      </c>
      <c r="F11865" s="15" t="str">
        <f aca="false">IF(B11865&lt;5,"Go","Standard")</f>
        <v>Go</v>
      </c>
    </row>
    <row r="11866" customFormat="false" ht="15" hidden="false" customHeight="true" outlineLevel="0" collapsed="false">
      <c r="A11866" s="10" t="n">
        <f aca="false">Einstellungen!$B$5+INT((ROW()-9)/24)</f>
        <v>46460</v>
      </c>
      <c r="B11866" s="11" t="n">
        <f aca="false">MOD(ROW()-9,24)</f>
        <v>1</v>
      </c>
      <c r="C11866" s="12"/>
      <c r="D11866" s="13" t="n">
        <f aca="false">IF(B11866&lt;5,Einstellungen!$B$3,Einstellungen!$B$4)</f>
        <v>15.92</v>
      </c>
      <c r="E11866" s="14" t="str">
        <f aca="false">IF(C11866="","",C11866*D11866/100)</f>
        <v/>
      </c>
      <c r="F11866" s="15" t="str">
        <f aca="false">IF(B11866&lt;5,"Go","Standard")</f>
        <v>Go</v>
      </c>
    </row>
    <row r="11867" customFormat="false" ht="15" hidden="false" customHeight="true" outlineLevel="0" collapsed="false">
      <c r="A11867" s="10" t="n">
        <f aca="false">Einstellungen!$B$5+INT((ROW()-9)/24)</f>
        <v>46460</v>
      </c>
      <c r="B11867" s="11" t="n">
        <f aca="false">MOD(ROW()-9,24)</f>
        <v>2</v>
      </c>
      <c r="C11867" s="12"/>
      <c r="D11867" s="13" t="n">
        <f aca="false">IF(B11867&lt;5,Einstellungen!$B$3,Einstellungen!$B$4)</f>
        <v>15.92</v>
      </c>
      <c r="E11867" s="14" t="str">
        <f aca="false">IF(C11867="","",C11867*D11867/100)</f>
        <v/>
      </c>
      <c r="F11867" s="15" t="str">
        <f aca="false">IF(B11867&lt;5,"Go","Standard")</f>
        <v>Go</v>
      </c>
    </row>
    <row r="11868" customFormat="false" ht="15" hidden="false" customHeight="true" outlineLevel="0" collapsed="false">
      <c r="A11868" s="10" t="n">
        <f aca="false">Einstellungen!$B$5+INT((ROW()-9)/24)</f>
        <v>46460</v>
      </c>
      <c r="B11868" s="11" t="n">
        <f aca="false">MOD(ROW()-9,24)</f>
        <v>3</v>
      </c>
      <c r="C11868" s="12"/>
      <c r="D11868" s="13" t="n">
        <f aca="false">IF(B11868&lt;5,Einstellungen!$B$3,Einstellungen!$B$4)</f>
        <v>15.92</v>
      </c>
      <c r="E11868" s="14" t="str">
        <f aca="false">IF(C11868="","",C11868*D11868/100)</f>
        <v/>
      </c>
      <c r="F11868" s="15" t="str">
        <f aca="false">IF(B11868&lt;5,"Go","Standard")</f>
        <v>Go</v>
      </c>
    </row>
    <row r="11869" customFormat="false" ht="15" hidden="false" customHeight="true" outlineLevel="0" collapsed="false">
      <c r="A11869" s="10" t="n">
        <f aca="false">Einstellungen!$B$5+INT((ROW()-9)/24)</f>
        <v>46460</v>
      </c>
      <c r="B11869" s="11" t="n">
        <f aca="false">MOD(ROW()-9,24)</f>
        <v>4</v>
      </c>
      <c r="C11869" s="12"/>
      <c r="D11869" s="13" t="n">
        <f aca="false">IF(B11869&lt;5,Einstellungen!$B$3,Einstellungen!$B$4)</f>
        <v>15.92</v>
      </c>
      <c r="E11869" s="14" t="str">
        <f aca="false">IF(C11869="","",C11869*D11869/100)</f>
        <v/>
      </c>
      <c r="F11869" s="15" t="str">
        <f aca="false">IF(B11869&lt;5,"Go","Standard")</f>
        <v>Go</v>
      </c>
    </row>
    <row r="11870" customFormat="false" ht="15" hidden="false" customHeight="true" outlineLevel="0" collapsed="false">
      <c r="A11870" s="10" t="n">
        <f aca="false">Einstellungen!$B$5+INT((ROW()-9)/24)</f>
        <v>46460</v>
      </c>
      <c r="B11870" s="11" t="n">
        <f aca="false">MOD(ROW()-9,24)</f>
        <v>5</v>
      </c>
      <c r="C11870" s="12"/>
      <c r="D11870" s="13" t="n">
        <f aca="false">IF(B11870&lt;5,Einstellungen!$B$3,Einstellungen!$B$4)</f>
        <v>29.13</v>
      </c>
      <c r="E11870" s="14" t="str">
        <f aca="false">IF(C11870="","",C11870*D11870/100)</f>
        <v/>
      </c>
      <c r="F11870" s="15" t="str">
        <f aca="false">IF(B11870&lt;5,"Go","Standard")</f>
        <v>Standard</v>
      </c>
    </row>
    <row r="11871" customFormat="false" ht="15" hidden="false" customHeight="true" outlineLevel="0" collapsed="false">
      <c r="A11871" s="10" t="n">
        <f aca="false">Einstellungen!$B$5+INT((ROW()-9)/24)</f>
        <v>46460</v>
      </c>
      <c r="B11871" s="11" t="n">
        <f aca="false">MOD(ROW()-9,24)</f>
        <v>6</v>
      </c>
      <c r="C11871" s="12"/>
      <c r="D11871" s="13" t="n">
        <f aca="false">IF(B11871&lt;5,Einstellungen!$B$3,Einstellungen!$B$4)</f>
        <v>29.13</v>
      </c>
      <c r="E11871" s="14" t="str">
        <f aca="false">IF(C11871="","",C11871*D11871/100)</f>
        <v/>
      </c>
      <c r="F11871" s="15" t="str">
        <f aca="false">IF(B11871&lt;5,"Go","Standard")</f>
        <v>Standard</v>
      </c>
    </row>
    <row r="11872" customFormat="false" ht="15" hidden="false" customHeight="true" outlineLevel="0" collapsed="false">
      <c r="A11872" s="10" t="n">
        <f aca="false">Einstellungen!$B$5+INT((ROW()-9)/24)</f>
        <v>46460</v>
      </c>
      <c r="B11872" s="11" t="n">
        <f aca="false">MOD(ROW()-9,24)</f>
        <v>7</v>
      </c>
      <c r="C11872" s="12"/>
      <c r="D11872" s="13" t="n">
        <f aca="false">IF(B11872&lt;5,Einstellungen!$B$3,Einstellungen!$B$4)</f>
        <v>29.13</v>
      </c>
      <c r="E11872" s="14" t="str">
        <f aca="false">IF(C11872="","",C11872*D11872/100)</f>
        <v/>
      </c>
      <c r="F11872" s="15" t="str">
        <f aca="false">IF(B11872&lt;5,"Go","Standard")</f>
        <v>Standard</v>
      </c>
    </row>
    <row r="11873" customFormat="false" ht="15" hidden="false" customHeight="true" outlineLevel="0" collapsed="false">
      <c r="A11873" s="10" t="n">
        <f aca="false">Einstellungen!$B$5+INT((ROW()-9)/24)</f>
        <v>46460</v>
      </c>
      <c r="B11873" s="11" t="n">
        <f aca="false">MOD(ROW()-9,24)</f>
        <v>8</v>
      </c>
      <c r="C11873" s="12"/>
      <c r="D11873" s="13" t="n">
        <f aca="false">IF(B11873&lt;5,Einstellungen!$B$3,Einstellungen!$B$4)</f>
        <v>29.13</v>
      </c>
      <c r="E11873" s="14" t="str">
        <f aca="false">IF(C11873="","",C11873*D11873/100)</f>
        <v/>
      </c>
      <c r="F11873" s="15" t="str">
        <f aca="false">IF(B11873&lt;5,"Go","Standard")</f>
        <v>Standard</v>
      </c>
    </row>
    <row r="11874" customFormat="false" ht="15" hidden="false" customHeight="true" outlineLevel="0" collapsed="false">
      <c r="A11874" s="10" t="n">
        <f aca="false">Einstellungen!$B$5+INT((ROW()-9)/24)</f>
        <v>46460</v>
      </c>
      <c r="B11874" s="11" t="n">
        <f aca="false">MOD(ROW()-9,24)</f>
        <v>9</v>
      </c>
      <c r="C11874" s="12"/>
      <c r="D11874" s="13" t="n">
        <f aca="false">IF(B11874&lt;5,Einstellungen!$B$3,Einstellungen!$B$4)</f>
        <v>29.13</v>
      </c>
      <c r="E11874" s="14" t="str">
        <f aca="false">IF(C11874="","",C11874*D11874/100)</f>
        <v/>
      </c>
      <c r="F11874" s="15" t="str">
        <f aca="false">IF(B11874&lt;5,"Go","Standard")</f>
        <v>Standard</v>
      </c>
    </row>
    <row r="11875" customFormat="false" ht="15" hidden="false" customHeight="true" outlineLevel="0" collapsed="false">
      <c r="A11875" s="10" t="n">
        <f aca="false">Einstellungen!$B$5+INT((ROW()-9)/24)</f>
        <v>46460</v>
      </c>
      <c r="B11875" s="11" t="n">
        <f aca="false">MOD(ROW()-9,24)</f>
        <v>10</v>
      </c>
      <c r="C11875" s="12"/>
      <c r="D11875" s="13" t="n">
        <f aca="false">IF(B11875&lt;5,Einstellungen!$B$3,Einstellungen!$B$4)</f>
        <v>29.13</v>
      </c>
      <c r="E11875" s="14" t="str">
        <f aca="false">IF(C11875="","",C11875*D11875/100)</f>
        <v/>
      </c>
      <c r="F11875" s="15" t="str">
        <f aca="false">IF(B11875&lt;5,"Go","Standard")</f>
        <v>Standard</v>
      </c>
    </row>
    <row r="11876" customFormat="false" ht="15" hidden="false" customHeight="true" outlineLevel="0" collapsed="false">
      <c r="A11876" s="10" t="n">
        <f aca="false">Einstellungen!$B$5+INT((ROW()-9)/24)</f>
        <v>46460</v>
      </c>
      <c r="B11876" s="11" t="n">
        <f aca="false">MOD(ROW()-9,24)</f>
        <v>11</v>
      </c>
      <c r="C11876" s="12"/>
      <c r="D11876" s="13" t="n">
        <f aca="false">IF(B11876&lt;5,Einstellungen!$B$3,Einstellungen!$B$4)</f>
        <v>29.13</v>
      </c>
      <c r="E11876" s="14" t="str">
        <f aca="false">IF(C11876="","",C11876*D11876/100)</f>
        <v/>
      </c>
      <c r="F11876" s="15" t="str">
        <f aca="false">IF(B11876&lt;5,"Go","Standard")</f>
        <v>Standard</v>
      </c>
    </row>
    <row r="11877" customFormat="false" ht="15" hidden="false" customHeight="true" outlineLevel="0" collapsed="false">
      <c r="A11877" s="10" t="n">
        <f aca="false">Einstellungen!$B$5+INT((ROW()-9)/24)</f>
        <v>46460</v>
      </c>
      <c r="B11877" s="11" t="n">
        <f aca="false">MOD(ROW()-9,24)</f>
        <v>12</v>
      </c>
      <c r="C11877" s="12"/>
      <c r="D11877" s="13" t="n">
        <f aca="false">IF(B11877&lt;5,Einstellungen!$B$3,Einstellungen!$B$4)</f>
        <v>29.13</v>
      </c>
      <c r="E11877" s="14" t="str">
        <f aca="false">IF(C11877="","",C11877*D11877/100)</f>
        <v/>
      </c>
      <c r="F11877" s="15" t="str">
        <f aca="false">IF(B11877&lt;5,"Go","Standard")</f>
        <v>Standard</v>
      </c>
    </row>
    <row r="11878" customFormat="false" ht="15" hidden="false" customHeight="true" outlineLevel="0" collapsed="false">
      <c r="A11878" s="10" t="n">
        <f aca="false">Einstellungen!$B$5+INT((ROW()-9)/24)</f>
        <v>46460</v>
      </c>
      <c r="B11878" s="11" t="n">
        <f aca="false">MOD(ROW()-9,24)</f>
        <v>13</v>
      </c>
      <c r="C11878" s="12"/>
      <c r="D11878" s="13" t="n">
        <f aca="false">IF(B11878&lt;5,Einstellungen!$B$3,Einstellungen!$B$4)</f>
        <v>29.13</v>
      </c>
      <c r="E11878" s="14" t="str">
        <f aca="false">IF(C11878="","",C11878*D11878/100)</f>
        <v/>
      </c>
      <c r="F11878" s="15" t="str">
        <f aca="false">IF(B11878&lt;5,"Go","Standard")</f>
        <v>Standard</v>
      </c>
    </row>
    <row r="11879" customFormat="false" ht="15" hidden="false" customHeight="true" outlineLevel="0" collapsed="false">
      <c r="A11879" s="10" t="n">
        <f aca="false">Einstellungen!$B$5+INT((ROW()-9)/24)</f>
        <v>46460</v>
      </c>
      <c r="B11879" s="11" t="n">
        <f aca="false">MOD(ROW()-9,24)</f>
        <v>14</v>
      </c>
      <c r="C11879" s="12"/>
      <c r="D11879" s="13" t="n">
        <f aca="false">IF(B11879&lt;5,Einstellungen!$B$3,Einstellungen!$B$4)</f>
        <v>29.13</v>
      </c>
      <c r="E11879" s="14" t="str">
        <f aca="false">IF(C11879="","",C11879*D11879/100)</f>
        <v/>
      </c>
      <c r="F11879" s="15" t="str">
        <f aca="false">IF(B11879&lt;5,"Go","Standard")</f>
        <v>Standard</v>
      </c>
    </row>
    <row r="11880" customFormat="false" ht="15" hidden="false" customHeight="true" outlineLevel="0" collapsed="false">
      <c r="A11880" s="10" t="n">
        <f aca="false">Einstellungen!$B$5+INT((ROW()-9)/24)</f>
        <v>46460</v>
      </c>
      <c r="B11880" s="11" t="n">
        <f aca="false">MOD(ROW()-9,24)</f>
        <v>15</v>
      </c>
      <c r="C11880" s="12"/>
      <c r="D11880" s="13" t="n">
        <f aca="false">IF(B11880&lt;5,Einstellungen!$B$3,Einstellungen!$B$4)</f>
        <v>29.13</v>
      </c>
      <c r="E11880" s="14" t="str">
        <f aca="false">IF(C11880="","",C11880*D11880/100)</f>
        <v/>
      </c>
      <c r="F11880" s="15" t="str">
        <f aca="false">IF(B11880&lt;5,"Go","Standard")</f>
        <v>Standard</v>
      </c>
    </row>
    <row r="11881" customFormat="false" ht="15" hidden="false" customHeight="true" outlineLevel="0" collapsed="false">
      <c r="A11881" s="10" t="n">
        <f aca="false">Einstellungen!$B$5+INT((ROW()-9)/24)</f>
        <v>46460</v>
      </c>
      <c r="B11881" s="11" t="n">
        <f aca="false">MOD(ROW()-9,24)</f>
        <v>16</v>
      </c>
      <c r="C11881" s="12"/>
      <c r="D11881" s="13" t="n">
        <f aca="false">IF(B11881&lt;5,Einstellungen!$B$3,Einstellungen!$B$4)</f>
        <v>29.13</v>
      </c>
      <c r="E11881" s="14" t="str">
        <f aca="false">IF(C11881="","",C11881*D11881/100)</f>
        <v/>
      </c>
      <c r="F11881" s="15" t="str">
        <f aca="false">IF(B11881&lt;5,"Go","Standard")</f>
        <v>Standard</v>
      </c>
    </row>
    <row r="11882" customFormat="false" ht="15" hidden="false" customHeight="true" outlineLevel="0" collapsed="false">
      <c r="A11882" s="10" t="n">
        <f aca="false">Einstellungen!$B$5+INT((ROW()-9)/24)</f>
        <v>46460</v>
      </c>
      <c r="B11882" s="11" t="n">
        <f aca="false">MOD(ROW()-9,24)</f>
        <v>17</v>
      </c>
      <c r="C11882" s="12"/>
      <c r="D11882" s="13" t="n">
        <f aca="false">IF(B11882&lt;5,Einstellungen!$B$3,Einstellungen!$B$4)</f>
        <v>29.13</v>
      </c>
      <c r="E11882" s="14" t="str">
        <f aca="false">IF(C11882="","",C11882*D11882/100)</f>
        <v/>
      </c>
      <c r="F11882" s="15" t="str">
        <f aca="false">IF(B11882&lt;5,"Go","Standard")</f>
        <v>Standard</v>
      </c>
    </row>
    <row r="11883" customFormat="false" ht="15" hidden="false" customHeight="true" outlineLevel="0" collapsed="false">
      <c r="A11883" s="10" t="n">
        <f aca="false">Einstellungen!$B$5+INT((ROW()-9)/24)</f>
        <v>46460</v>
      </c>
      <c r="B11883" s="11" t="n">
        <f aca="false">MOD(ROW()-9,24)</f>
        <v>18</v>
      </c>
      <c r="C11883" s="12"/>
      <c r="D11883" s="13" t="n">
        <f aca="false">IF(B11883&lt;5,Einstellungen!$B$3,Einstellungen!$B$4)</f>
        <v>29.13</v>
      </c>
      <c r="E11883" s="14" t="str">
        <f aca="false">IF(C11883="","",C11883*D11883/100)</f>
        <v/>
      </c>
      <c r="F11883" s="15" t="str">
        <f aca="false">IF(B11883&lt;5,"Go","Standard")</f>
        <v>Standard</v>
      </c>
    </row>
    <row r="11884" customFormat="false" ht="15" hidden="false" customHeight="true" outlineLevel="0" collapsed="false">
      <c r="A11884" s="10" t="n">
        <f aca="false">Einstellungen!$B$5+INT((ROW()-9)/24)</f>
        <v>46460</v>
      </c>
      <c r="B11884" s="11" t="n">
        <f aca="false">MOD(ROW()-9,24)</f>
        <v>19</v>
      </c>
      <c r="C11884" s="12"/>
      <c r="D11884" s="13" t="n">
        <f aca="false">IF(B11884&lt;5,Einstellungen!$B$3,Einstellungen!$B$4)</f>
        <v>29.13</v>
      </c>
      <c r="E11884" s="14" t="str">
        <f aca="false">IF(C11884="","",C11884*D11884/100)</f>
        <v/>
      </c>
      <c r="F11884" s="15" t="str">
        <f aca="false">IF(B11884&lt;5,"Go","Standard")</f>
        <v>Standard</v>
      </c>
    </row>
    <row r="11885" customFormat="false" ht="15" hidden="false" customHeight="true" outlineLevel="0" collapsed="false">
      <c r="A11885" s="10" t="n">
        <f aca="false">Einstellungen!$B$5+INT((ROW()-9)/24)</f>
        <v>46460</v>
      </c>
      <c r="B11885" s="11" t="n">
        <f aca="false">MOD(ROW()-9,24)</f>
        <v>20</v>
      </c>
      <c r="C11885" s="12"/>
      <c r="D11885" s="13" t="n">
        <f aca="false">IF(B11885&lt;5,Einstellungen!$B$3,Einstellungen!$B$4)</f>
        <v>29.13</v>
      </c>
      <c r="E11885" s="14" t="str">
        <f aca="false">IF(C11885="","",C11885*D11885/100)</f>
        <v/>
      </c>
      <c r="F11885" s="15" t="str">
        <f aca="false">IF(B11885&lt;5,"Go","Standard")</f>
        <v>Standard</v>
      </c>
    </row>
    <row r="11886" customFormat="false" ht="15" hidden="false" customHeight="true" outlineLevel="0" collapsed="false">
      <c r="A11886" s="10" t="n">
        <f aca="false">Einstellungen!$B$5+INT((ROW()-9)/24)</f>
        <v>46460</v>
      </c>
      <c r="B11886" s="11" t="n">
        <f aca="false">MOD(ROW()-9,24)</f>
        <v>21</v>
      </c>
      <c r="C11886" s="12"/>
      <c r="D11886" s="13" t="n">
        <f aca="false">IF(B11886&lt;5,Einstellungen!$B$3,Einstellungen!$B$4)</f>
        <v>29.13</v>
      </c>
      <c r="E11886" s="14" t="str">
        <f aca="false">IF(C11886="","",C11886*D11886/100)</f>
        <v/>
      </c>
      <c r="F11886" s="15" t="str">
        <f aca="false">IF(B11886&lt;5,"Go","Standard")</f>
        <v>Standard</v>
      </c>
    </row>
    <row r="11887" customFormat="false" ht="15" hidden="false" customHeight="true" outlineLevel="0" collapsed="false">
      <c r="A11887" s="10" t="n">
        <f aca="false">Einstellungen!$B$5+INT((ROW()-9)/24)</f>
        <v>46460</v>
      </c>
      <c r="B11887" s="11" t="n">
        <f aca="false">MOD(ROW()-9,24)</f>
        <v>22</v>
      </c>
      <c r="C11887" s="12"/>
      <c r="D11887" s="13" t="n">
        <f aca="false">IF(B11887&lt;5,Einstellungen!$B$3,Einstellungen!$B$4)</f>
        <v>29.13</v>
      </c>
      <c r="E11887" s="14" t="str">
        <f aca="false">IF(C11887="","",C11887*D11887/100)</f>
        <v/>
      </c>
      <c r="F11887" s="15" t="str">
        <f aca="false">IF(B11887&lt;5,"Go","Standard")</f>
        <v>Standard</v>
      </c>
    </row>
    <row r="11888" customFormat="false" ht="15" hidden="false" customHeight="true" outlineLevel="0" collapsed="false">
      <c r="A11888" s="10" t="n">
        <f aca="false">Einstellungen!$B$5+INT((ROW()-9)/24)</f>
        <v>46460</v>
      </c>
      <c r="B11888" s="11" t="n">
        <f aca="false">MOD(ROW()-9,24)</f>
        <v>23</v>
      </c>
      <c r="C11888" s="12"/>
      <c r="D11888" s="13" t="n">
        <f aca="false">IF(B11888&lt;5,Einstellungen!$B$3,Einstellungen!$B$4)</f>
        <v>29.13</v>
      </c>
      <c r="E11888" s="14" t="str">
        <f aca="false">IF(C11888="","",C11888*D11888/100)</f>
        <v/>
      </c>
      <c r="F11888" s="15" t="str">
        <f aca="false">IF(B11888&lt;5,"Go","Standard")</f>
        <v>Standard</v>
      </c>
    </row>
    <row r="11889" customFormat="false" ht="15" hidden="false" customHeight="true" outlineLevel="0" collapsed="false">
      <c r="A11889" s="10" t="n">
        <f aca="false">Einstellungen!$B$5+INT((ROW()-9)/24)</f>
        <v>46461</v>
      </c>
      <c r="B11889" s="11" t="n">
        <f aca="false">MOD(ROW()-9,24)</f>
        <v>0</v>
      </c>
      <c r="C11889" s="12"/>
      <c r="D11889" s="13" t="n">
        <f aca="false">IF(B11889&lt;5,Einstellungen!$B$3,Einstellungen!$B$4)</f>
        <v>15.92</v>
      </c>
      <c r="E11889" s="14" t="str">
        <f aca="false">IF(C11889="","",C11889*D11889/100)</f>
        <v/>
      </c>
      <c r="F11889" s="15" t="str">
        <f aca="false">IF(B11889&lt;5,"Go","Standard")</f>
        <v>Go</v>
      </c>
    </row>
    <row r="11890" customFormat="false" ht="15" hidden="false" customHeight="true" outlineLevel="0" collapsed="false">
      <c r="A11890" s="10" t="n">
        <f aca="false">Einstellungen!$B$5+INT((ROW()-9)/24)</f>
        <v>46461</v>
      </c>
      <c r="B11890" s="11" t="n">
        <f aca="false">MOD(ROW()-9,24)</f>
        <v>1</v>
      </c>
      <c r="C11890" s="12"/>
      <c r="D11890" s="13" t="n">
        <f aca="false">IF(B11890&lt;5,Einstellungen!$B$3,Einstellungen!$B$4)</f>
        <v>15.92</v>
      </c>
      <c r="E11890" s="14" t="str">
        <f aca="false">IF(C11890="","",C11890*D11890/100)</f>
        <v/>
      </c>
      <c r="F11890" s="15" t="str">
        <f aca="false">IF(B11890&lt;5,"Go","Standard")</f>
        <v>Go</v>
      </c>
    </row>
    <row r="11891" customFormat="false" ht="15" hidden="false" customHeight="true" outlineLevel="0" collapsed="false">
      <c r="A11891" s="10" t="n">
        <f aca="false">Einstellungen!$B$5+INT((ROW()-9)/24)</f>
        <v>46461</v>
      </c>
      <c r="B11891" s="11" t="n">
        <f aca="false">MOD(ROW()-9,24)</f>
        <v>2</v>
      </c>
      <c r="C11891" s="12"/>
      <c r="D11891" s="13" t="n">
        <f aca="false">IF(B11891&lt;5,Einstellungen!$B$3,Einstellungen!$B$4)</f>
        <v>15.92</v>
      </c>
      <c r="E11891" s="14" t="str">
        <f aca="false">IF(C11891="","",C11891*D11891/100)</f>
        <v/>
      </c>
      <c r="F11891" s="15" t="str">
        <f aca="false">IF(B11891&lt;5,"Go","Standard")</f>
        <v>Go</v>
      </c>
    </row>
    <row r="11892" customFormat="false" ht="15" hidden="false" customHeight="true" outlineLevel="0" collapsed="false">
      <c r="A11892" s="10" t="n">
        <f aca="false">Einstellungen!$B$5+INT((ROW()-9)/24)</f>
        <v>46461</v>
      </c>
      <c r="B11892" s="11" t="n">
        <f aca="false">MOD(ROW()-9,24)</f>
        <v>3</v>
      </c>
      <c r="C11892" s="12"/>
      <c r="D11892" s="13" t="n">
        <f aca="false">IF(B11892&lt;5,Einstellungen!$B$3,Einstellungen!$B$4)</f>
        <v>15.92</v>
      </c>
      <c r="E11892" s="14" t="str">
        <f aca="false">IF(C11892="","",C11892*D11892/100)</f>
        <v/>
      </c>
      <c r="F11892" s="15" t="str">
        <f aca="false">IF(B11892&lt;5,"Go","Standard")</f>
        <v>Go</v>
      </c>
    </row>
    <row r="11893" customFormat="false" ht="15" hidden="false" customHeight="true" outlineLevel="0" collapsed="false">
      <c r="A11893" s="10" t="n">
        <f aca="false">Einstellungen!$B$5+INT((ROW()-9)/24)</f>
        <v>46461</v>
      </c>
      <c r="B11893" s="11" t="n">
        <f aca="false">MOD(ROW()-9,24)</f>
        <v>4</v>
      </c>
      <c r="C11893" s="12"/>
      <c r="D11893" s="13" t="n">
        <f aca="false">IF(B11893&lt;5,Einstellungen!$B$3,Einstellungen!$B$4)</f>
        <v>15.92</v>
      </c>
      <c r="E11893" s="14" t="str">
        <f aca="false">IF(C11893="","",C11893*D11893/100)</f>
        <v/>
      </c>
      <c r="F11893" s="15" t="str">
        <f aca="false">IF(B11893&lt;5,"Go","Standard")</f>
        <v>Go</v>
      </c>
    </row>
    <row r="11894" customFormat="false" ht="15" hidden="false" customHeight="true" outlineLevel="0" collapsed="false">
      <c r="A11894" s="10" t="n">
        <f aca="false">Einstellungen!$B$5+INT((ROW()-9)/24)</f>
        <v>46461</v>
      </c>
      <c r="B11894" s="11" t="n">
        <f aca="false">MOD(ROW()-9,24)</f>
        <v>5</v>
      </c>
      <c r="C11894" s="12"/>
      <c r="D11894" s="13" t="n">
        <f aca="false">IF(B11894&lt;5,Einstellungen!$B$3,Einstellungen!$B$4)</f>
        <v>29.13</v>
      </c>
      <c r="E11894" s="14" t="str">
        <f aca="false">IF(C11894="","",C11894*D11894/100)</f>
        <v/>
      </c>
      <c r="F11894" s="15" t="str">
        <f aca="false">IF(B11894&lt;5,"Go","Standard")</f>
        <v>Standard</v>
      </c>
    </row>
    <row r="11895" customFormat="false" ht="15" hidden="false" customHeight="true" outlineLevel="0" collapsed="false">
      <c r="A11895" s="10" t="n">
        <f aca="false">Einstellungen!$B$5+INT((ROW()-9)/24)</f>
        <v>46461</v>
      </c>
      <c r="B11895" s="11" t="n">
        <f aca="false">MOD(ROW()-9,24)</f>
        <v>6</v>
      </c>
      <c r="C11895" s="12"/>
      <c r="D11895" s="13" t="n">
        <f aca="false">IF(B11895&lt;5,Einstellungen!$B$3,Einstellungen!$B$4)</f>
        <v>29.13</v>
      </c>
      <c r="E11895" s="14" t="str">
        <f aca="false">IF(C11895="","",C11895*D11895/100)</f>
        <v/>
      </c>
      <c r="F11895" s="15" t="str">
        <f aca="false">IF(B11895&lt;5,"Go","Standard")</f>
        <v>Standard</v>
      </c>
    </row>
    <row r="11896" customFormat="false" ht="15" hidden="false" customHeight="true" outlineLevel="0" collapsed="false">
      <c r="A11896" s="10" t="n">
        <f aca="false">Einstellungen!$B$5+INT((ROW()-9)/24)</f>
        <v>46461</v>
      </c>
      <c r="B11896" s="11" t="n">
        <f aca="false">MOD(ROW()-9,24)</f>
        <v>7</v>
      </c>
      <c r="C11896" s="12"/>
      <c r="D11896" s="13" t="n">
        <f aca="false">IF(B11896&lt;5,Einstellungen!$B$3,Einstellungen!$B$4)</f>
        <v>29.13</v>
      </c>
      <c r="E11896" s="14" t="str">
        <f aca="false">IF(C11896="","",C11896*D11896/100)</f>
        <v/>
      </c>
      <c r="F11896" s="15" t="str">
        <f aca="false">IF(B11896&lt;5,"Go","Standard")</f>
        <v>Standard</v>
      </c>
    </row>
    <row r="11897" customFormat="false" ht="15" hidden="false" customHeight="true" outlineLevel="0" collapsed="false">
      <c r="A11897" s="10" t="n">
        <f aca="false">Einstellungen!$B$5+INT((ROW()-9)/24)</f>
        <v>46461</v>
      </c>
      <c r="B11897" s="11" t="n">
        <f aca="false">MOD(ROW()-9,24)</f>
        <v>8</v>
      </c>
      <c r="C11897" s="12"/>
      <c r="D11897" s="13" t="n">
        <f aca="false">IF(B11897&lt;5,Einstellungen!$B$3,Einstellungen!$B$4)</f>
        <v>29.13</v>
      </c>
      <c r="E11897" s="14" t="str">
        <f aca="false">IF(C11897="","",C11897*D11897/100)</f>
        <v/>
      </c>
      <c r="F11897" s="15" t="str">
        <f aca="false">IF(B11897&lt;5,"Go","Standard")</f>
        <v>Standard</v>
      </c>
    </row>
    <row r="11898" customFormat="false" ht="15" hidden="false" customHeight="true" outlineLevel="0" collapsed="false">
      <c r="A11898" s="10" t="n">
        <f aca="false">Einstellungen!$B$5+INT((ROW()-9)/24)</f>
        <v>46461</v>
      </c>
      <c r="B11898" s="11" t="n">
        <f aca="false">MOD(ROW()-9,24)</f>
        <v>9</v>
      </c>
      <c r="C11898" s="12"/>
      <c r="D11898" s="13" t="n">
        <f aca="false">IF(B11898&lt;5,Einstellungen!$B$3,Einstellungen!$B$4)</f>
        <v>29.13</v>
      </c>
      <c r="E11898" s="14" t="str">
        <f aca="false">IF(C11898="","",C11898*D11898/100)</f>
        <v/>
      </c>
      <c r="F11898" s="15" t="str">
        <f aca="false">IF(B11898&lt;5,"Go","Standard")</f>
        <v>Standard</v>
      </c>
    </row>
    <row r="11899" customFormat="false" ht="15" hidden="false" customHeight="true" outlineLevel="0" collapsed="false">
      <c r="A11899" s="10" t="n">
        <f aca="false">Einstellungen!$B$5+INT((ROW()-9)/24)</f>
        <v>46461</v>
      </c>
      <c r="B11899" s="11" t="n">
        <f aca="false">MOD(ROW()-9,24)</f>
        <v>10</v>
      </c>
      <c r="C11899" s="12"/>
      <c r="D11899" s="13" t="n">
        <f aca="false">IF(B11899&lt;5,Einstellungen!$B$3,Einstellungen!$B$4)</f>
        <v>29.13</v>
      </c>
      <c r="E11899" s="14" t="str">
        <f aca="false">IF(C11899="","",C11899*D11899/100)</f>
        <v/>
      </c>
      <c r="F11899" s="15" t="str">
        <f aca="false">IF(B11899&lt;5,"Go","Standard")</f>
        <v>Standard</v>
      </c>
    </row>
    <row r="11900" customFormat="false" ht="15" hidden="false" customHeight="true" outlineLevel="0" collapsed="false">
      <c r="A11900" s="10" t="n">
        <f aca="false">Einstellungen!$B$5+INT((ROW()-9)/24)</f>
        <v>46461</v>
      </c>
      <c r="B11900" s="11" t="n">
        <f aca="false">MOD(ROW()-9,24)</f>
        <v>11</v>
      </c>
      <c r="C11900" s="12"/>
      <c r="D11900" s="13" t="n">
        <f aca="false">IF(B11900&lt;5,Einstellungen!$B$3,Einstellungen!$B$4)</f>
        <v>29.13</v>
      </c>
      <c r="E11900" s="14" t="str">
        <f aca="false">IF(C11900="","",C11900*D11900/100)</f>
        <v/>
      </c>
      <c r="F11900" s="15" t="str">
        <f aca="false">IF(B11900&lt;5,"Go","Standard")</f>
        <v>Standard</v>
      </c>
    </row>
    <row r="11901" customFormat="false" ht="15" hidden="false" customHeight="true" outlineLevel="0" collapsed="false">
      <c r="A11901" s="10" t="n">
        <f aca="false">Einstellungen!$B$5+INT((ROW()-9)/24)</f>
        <v>46461</v>
      </c>
      <c r="B11901" s="11" t="n">
        <f aca="false">MOD(ROW()-9,24)</f>
        <v>12</v>
      </c>
      <c r="C11901" s="12"/>
      <c r="D11901" s="13" t="n">
        <f aca="false">IF(B11901&lt;5,Einstellungen!$B$3,Einstellungen!$B$4)</f>
        <v>29.13</v>
      </c>
      <c r="E11901" s="14" t="str">
        <f aca="false">IF(C11901="","",C11901*D11901/100)</f>
        <v/>
      </c>
      <c r="F11901" s="15" t="str">
        <f aca="false">IF(B11901&lt;5,"Go","Standard")</f>
        <v>Standard</v>
      </c>
    </row>
    <row r="11902" customFormat="false" ht="15" hidden="false" customHeight="true" outlineLevel="0" collapsed="false">
      <c r="A11902" s="10" t="n">
        <f aca="false">Einstellungen!$B$5+INT((ROW()-9)/24)</f>
        <v>46461</v>
      </c>
      <c r="B11902" s="11" t="n">
        <f aca="false">MOD(ROW()-9,24)</f>
        <v>13</v>
      </c>
      <c r="C11902" s="12"/>
      <c r="D11902" s="13" t="n">
        <f aca="false">IF(B11902&lt;5,Einstellungen!$B$3,Einstellungen!$B$4)</f>
        <v>29.13</v>
      </c>
      <c r="E11902" s="14" t="str">
        <f aca="false">IF(C11902="","",C11902*D11902/100)</f>
        <v/>
      </c>
      <c r="F11902" s="15" t="str">
        <f aca="false">IF(B11902&lt;5,"Go","Standard")</f>
        <v>Standard</v>
      </c>
    </row>
    <row r="11903" customFormat="false" ht="15" hidden="false" customHeight="true" outlineLevel="0" collapsed="false">
      <c r="A11903" s="10" t="n">
        <f aca="false">Einstellungen!$B$5+INT((ROW()-9)/24)</f>
        <v>46461</v>
      </c>
      <c r="B11903" s="11" t="n">
        <f aca="false">MOD(ROW()-9,24)</f>
        <v>14</v>
      </c>
      <c r="C11903" s="12"/>
      <c r="D11903" s="13" t="n">
        <f aca="false">IF(B11903&lt;5,Einstellungen!$B$3,Einstellungen!$B$4)</f>
        <v>29.13</v>
      </c>
      <c r="E11903" s="14" t="str">
        <f aca="false">IF(C11903="","",C11903*D11903/100)</f>
        <v/>
      </c>
      <c r="F11903" s="15" t="str">
        <f aca="false">IF(B11903&lt;5,"Go","Standard")</f>
        <v>Standard</v>
      </c>
    </row>
    <row r="11904" customFormat="false" ht="15" hidden="false" customHeight="true" outlineLevel="0" collapsed="false">
      <c r="A11904" s="10" t="n">
        <f aca="false">Einstellungen!$B$5+INT((ROW()-9)/24)</f>
        <v>46461</v>
      </c>
      <c r="B11904" s="11" t="n">
        <f aca="false">MOD(ROW()-9,24)</f>
        <v>15</v>
      </c>
      <c r="C11904" s="12"/>
      <c r="D11904" s="13" t="n">
        <f aca="false">IF(B11904&lt;5,Einstellungen!$B$3,Einstellungen!$B$4)</f>
        <v>29.13</v>
      </c>
      <c r="E11904" s="14" t="str">
        <f aca="false">IF(C11904="","",C11904*D11904/100)</f>
        <v/>
      </c>
      <c r="F11904" s="15" t="str">
        <f aca="false">IF(B11904&lt;5,"Go","Standard")</f>
        <v>Standard</v>
      </c>
    </row>
    <row r="11905" customFormat="false" ht="15" hidden="false" customHeight="true" outlineLevel="0" collapsed="false">
      <c r="A11905" s="10" t="n">
        <f aca="false">Einstellungen!$B$5+INT((ROW()-9)/24)</f>
        <v>46461</v>
      </c>
      <c r="B11905" s="11" t="n">
        <f aca="false">MOD(ROW()-9,24)</f>
        <v>16</v>
      </c>
      <c r="C11905" s="12"/>
      <c r="D11905" s="13" t="n">
        <f aca="false">IF(B11905&lt;5,Einstellungen!$B$3,Einstellungen!$B$4)</f>
        <v>29.13</v>
      </c>
      <c r="E11905" s="14" t="str">
        <f aca="false">IF(C11905="","",C11905*D11905/100)</f>
        <v/>
      </c>
      <c r="F11905" s="15" t="str">
        <f aca="false">IF(B11905&lt;5,"Go","Standard")</f>
        <v>Standard</v>
      </c>
    </row>
    <row r="11906" customFormat="false" ht="15" hidden="false" customHeight="true" outlineLevel="0" collapsed="false">
      <c r="A11906" s="10" t="n">
        <f aca="false">Einstellungen!$B$5+INT((ROW()-9)/24)</f>
        <v>46461</v>
      </c>
      <c r="B11906" s="11" t="n">
        <f aca="false">MOD(ROW()-9,24)</f>
        <v>17</v>
      </c>
      <c r="C11906" s="12"/>
      <c r="D11906" s="13" t="n">
        <f aca="false">IF(B11906&lt;5,Einstellungen!$B$3,Einstellungen!$B$4)</f>
        <v>29.13</v>
      </c>
      <c r="E11906" s="14" t="str">
        <f aca="false">IF(C11906="","",C11906*D11906/100)</f>
        <v/>
      </c>
      <c r="F11906" s="15" t="str">
        <f aca="false">IF(B11906&lt;5,"Go","Standard")</f>
        <v>Standard</v>
      </c>
    </row>
    <row r="11907" customFormat="false" ht="15" hidden="false" customHeight="true" outlineLevel="0" collapsed="false">
      <c r="A11907" s="10" t="n">
        <f aca="false">Einstellungen!$B$5+INT((ROW()-9)/24)</f>
        <v>46461</v>
      </c>
      <c r="B11907" s="11" t="n">
        <f aca="false">MOD(ROW()-9,24)</f>
        <v>18</v>
      </c>
      <c r="C11907" s="12"/>
      <c r="D11907" s="13" t="n">
        <f aca="false">IF(B11907&lt;5,Einstellungen!$B$3,Einstellungen!$B$4)</f>
        <v>29.13</v>
      </c>
      <c r="E11907" s="14" t="str">
        <f aca="false">IF(C11907="","",C11907*D11907/100)</f>
        <v/>
      </c>
      <c r="F11907" s="15" t="str">
        <f aca="false">IF(B11907&lt;5,"Go","Standard")</f>
        <v>Standard</v>
      </c>
    </row>
    <row r="11908" customFormat="false" ht="15" hidden="false" customHeight="true" outlineLevel="0" collapsed="false">
      <c r="A11908" s="10" t="n">
        <f aca="false">Einstellungen!$B$5+INT((ROW()-9)/24)</f>
        <v>46461</v>
      </c>
      <c r="B11908" s="11" t="n">
        <f aca="false">MOD(ROW()-9,24)</f>
        <v>19</v>
      </c>
      <c r="C11908" s="12"/>
      <c r="D11908" s="13" t="n">
        <f aca="false">IF(B11908&lt;5,Einstellungen!$B$3,Einstellungen!$B$4)</f>
        <v>29.13</v>
      </c>
      <c r="E11908" s="14" t="str">
        <f aca="false">IF(C11908="","",C11908*D11908/100)</f>
        <v/>
      </c>
      <c r="F11908" s="15" t="str">
        <f aca="false">IF(B11908&lt;5,"Go","Standard")</f>
        <v>Standard</v>
      </c>
    </row>
    <row r="11909" customFormat="false" ht="15" hidden="false" customHeight="true" outlineLevel="0" collapsed="false">
      <c r="A11909" s="10" t="n">
        <f aca="false">Einstellungen!$B$5+INT((ROW()-9)/24)</f>
        <v>46461</v>
      </c>
      <c r="B11909" s="11" t="n">
        <f aca="false">MOD(ROW()-9,24)</f>
        <v>20</v>
      </c>
      <c r="C11909" s="12"/>
      <c r="D11909" s="13" t="n">
        <f aca="false">IF(B11909&lt;5,Einstellungen!$B$3,Einstellungen!$B$4)</f>
        <v>29.13</v>
      </c>
      <c r="E11909" s="14" t="str">
        <f aca="false">IF(C11909="","",C11909*D11909/100)</f>
        <v/>
      </c>
      <c r="F11909" s="15" t="str">
        <f aca="false">IF(B11909&lt;5,"Go","Standard")</f>
        <v>Standard</v>
      </c>
    </row>
    <row r="11910" customFormat="false" ht="15" hidden="false" customHeight="true" outlineLevel="0" collapsed="false">
      <c r="A11910" s="10" t="n">
        <f aca="false">Einstellungen!$B$5+INT((ROW()-9)/24)</f>
        <v>46461</v>
      </c>
      <c r="B11910" s="11" t="n">
        <f aca="false">MOD(ROW()-9,24)</f>
        <v>21</v>
      </c>
      <c r="C11910" s="12"/>
      <c r="D11910" s="13" t="n">
        <f aca="false">IF(B11910&lt;5,Einstellungen!$B$3,Einstellungen!$B$4)</f>
        <v>29.13</v>
      </c>
      <c r="E11910" s="14" t="str">
        <f aca="false">IF(C11910="","",C11910*D11910/100)</f>
        <v/>
      </c>
      <c r="F11910" s="15" t="str">
        <f aca="false">IF(B11910&lt;5,"Go","Standard")</f>
        <v>Standard</v>
      </c>
    </row>
    <row r="11911" customFormat="false" ht="15" hidden="false" customHeight="true" outlineLevel="0" collapsed="false">
      <c r="A11911" s="10" t="n">
        <f aca="false">Einstellungen!$B$5+INT((ROW()-9)/24)</f>
        <v>46461</v>
      </c>
      <c r="B11911" s="11" t="n">
        <f aca="false">MOD(ROW()-9,24)</f>
        <v>22</v>
      </c>
      <c r="C11911" s="12"/>
      <c r="D11911" s="13" t="n">
        <f aca="false">IF(B11911&lt;5,Einstellungen!$B$3,Einstellungen!$B$4)</f>
        <v>29.13</v>
      </c>
      <c r="E11911" s="14" t="str">
        <f aca="false">IF(C11911="","",C11911*D11911/100)</f>
        <v/>
      </c>
      <c r="F11911" s="15" t="str">
        <f aca="false">IF(B11911&lt;5,"Go","Standard")</f>
        <v>Standard</v>
      </c>
    </row>
    <row r="11912" customFormat="false" ht="15" hidden="false" customHeight="true" outlineLevel="0" collapsed="false">
      <c r="A11912" s="10" t="n">
        <f aca="false">Einstellungen!$B$5+INT((ROW()-9)/24)</f>
        <v>46461</v>
      </c>
      <c r="B11912" s="11" t="n">
        <f aca="false">MOD(ROW()-9,24)</f>
        <v>23</v>
      </c>
      <c r="C11912" s="12"/>
      <c r="D11912" s="13" t="n">
        <f aca="false">IF(B11912&lt;5,Einstellungen!$B$3,Einstellungen!$B$4)</f>
        <v>29.13</v>
      </c>
      <c r="E11912" s="14" t="str">
        <f aca="false">IF(C11912="","",C11912*D11912/100)</f>
        <v/>
      </c>
      <c r="F11912" s="15" t="str">
        <f aca="false">IF(B11912&lt;5,"Go","Standard")</f>
        <v>Standard</v>
      </c>
    </row>
    <row r="11913" customFormat="false" ht="15" hidden="false" customHeight="true" outlineLevel="0" collapsed="false">
      <c r="A11913" s="10" t="n">
        <f aca="false">Einstellungen!$B$5+INT((ROW()-9)/24)</f>
        <v>46462</v>
      </c>
      <c r="B11913" s="11" t="n">
        <f aca="false">MOD(ROW()-9,24)</f>
        <v>0</v>
      </c>
      <c r="C11913" s="12"/>
      <c r="D11913" s="13" t="n">
        <f aca="false">IF(B11913&lt;5,Einstellungen!$B$3,Einstellungen!$B$4)</f>
        <v>15.92</v>
      </c>
      <c r="E11913" s="14" t="str">
        <f aca="false">IF(C11913="","",C11913*D11913/100)</f>
        <v/>
      </c>
      <c r="F11913" s="15" t="str">
        <f aca="false">IF(B11913&lt;5,"Go","Standard")</f>
        <v>Go</v>
      </c>
    </row>
    <row r="11914" customFormat="false" ht="15" hidden="false" customHeight="true" outlineLevel="0" collapsed="false">
      <c r="A11914" s="10" t="n">
        <f aca="false">Einstellungen!$B$5+INT((ROW()-9)/24)</f>
        <v>46462</v>
      </c>
      <c r="B11914" s="11" t="n">
        <f aca="false">MOD(ROW()-9,24)</f>
        <v>1</v>
      </c>
      <c r="C11914" s="12"/>
      <c r="D11914" s="13" t="n">
        <f aca="false">IF(B11914&lt;5,Einstellungen!$B$3,Einstellungen!$B$4)</f>
        <v>15.92</v>
      </c>
      <c r="E11914" s="14" t="str">
        <f aca="false">IF(C11914="","",C11914*D11914/100)</f>
        <v/>
      </c>
      <c r="F11914" s="15" t="str">
        <f aca="false">IF(B11914&lt;5,"Go","Standard")</f>
        <v>Go</v>
      </c>
    </row>
    <row r="11915" customFormat="false" ht="15" hidden="false" customHeight="true" outlineLevel="0" collapsed="false">
      <c r="A11915" s="10" t="n">
        <f aca="false">Einstellungen!$B$5+INT((ROW()-9)/24)</f>
        <v>46462</v>
      </c>
      <c r="B11915" s="11" t="n">
        <f aca="false">MOD(ROW()-9,24)</f>
        <v>2</v>
      </c>
      <c r="C11915" s="12"/>
      <c r="D11915" s="13" t="n">
        <f aca="false">IF(B11915&lt;5,Einstellungen!$B$3,Einstellungen!$B$4)</f>
        <v>15.92</v>
      </c>
      <c r="E11915" s="14" t="str">
        <f aca="false">IF(C11915="","",C11915*D11915/100)</f>
        <v/>
      </c>
      <c r="F11915" s="15" t="str">
        <f aca="false">IF(B11915&lt;5,"Go","Standard")</f>
        <v>Go</v>
      </c>
    </row>
    <row r="11916" customFormat="false" ht="15" hidden="false" customHeight="true" outlineLevel="0" collapsed="false">
      <c r="A11916" s="10" t="n">
        <f aca="false">Einstellungen!$B$5+INT((ROW()-9)/24)</f>
        <v>46462</v>
      </c>
      <c r="B11916" s="11" t="n">
        <f aca="false">MOD(ROW()-9,24)</f>
        <v>3</v>
      </c>
      <c r="C11916" s="12"/>
      <c r="D11916" s="13" t="n">
        <f aca="false">IF(B11916&lt;5,Einstellungen!$B$3,Einstellungen!$B$4)</f>
        <v>15.92</v>
      </c>
      <c r="E11916" s="14" t="str">
        <f aca="false">IF(C11916="","",C11916*D11916/100)</f>
        <v/>
      </c>
      <c r="F11916" s="15" t="str">
        <f aca="false">IF(B11916&lt;5,"Go","Standard")</f>
        <v>Go</v>
      </c>
    </row>
    <row r="11917" customFormat="false" ht="15" hidden="false" customHeight="true" outlineLevel="0" collapsed="false">
      <c r="A11917" s="10" t="n">
        <f aca="false">Einstellungen!$B$5+INT((ROW()-9)/24)</f>
        <v>46462</v>
      </c>
      <c r="B11917" s="11" t="n">
        <f aca="false">MOD(ROW()-9,24)</f>
        <v>4</v>
      </c>
      <c r="C11917" s="12"/>
      <c r="D11917" s="13" t="n">
        <f aca="false">IF(B11917&lt;5,Einstellungen!$B$3,Einstellungen!$B$4)</f>
        <v>15.92</v>
      </c>
      <c r="E11917" s="14" t="str">
        <f aca="false">IF(C11917="","",C11917*D11917/100)</f>
        <v/>
      </c>
      <c r="F11917" s="15" t="str">
        <f aca="false">IF(B11917&lt;5,"Go","Standard")</f>
        <v>Go</v>
      </c>
    </row>
    <row r="11918" customFormat="false" ht="15" hidden="false" customHeight="true" outlineLevel="0" collapsed="false">
      <c r="A11918" s="10" t="n">
        <f aca="false">Einstellungen!$B$5+INT((ROW()-9)/24)</f>
        <v>46462</v>
      </c>
      <c r="B11918" s="11" t="n">
        <f aca="false">MOD(ROW()-9,24)</f>
        <v>5</v>
      </c>
      <c r="C11918" s="12"/>
      <c r="D11918" s="13" t="n">
        <f aca="false">IF(B11918&lt;5,Einstellungen!$B$3,Einstellungen!$B$4)</f>
        <v>29.13</v>
      </c>
      <c r="E11918" s="14" t="str">
        <f aca="false">IF(C11918="","",C11918*D11918/100)</f>
        <v/>
      </c>
      <c r="F11918" s="15" t="str">
        <f aca="false">IF(B11918&lt;5,"Go","Standard")</f>
        <v>Standard</v>
      </c>
    </row>
    <row r="11919" customFormat="false" ht="15" hidden="false" customHeight="true" outlineLevel="0" collapsed="false">
      <c r="A11919" s="10" t="n">
        <f aca="false">Einstellungen!$B$5+INT((ROW()-9)/24)</f>
        <v>46462</v>
      </c>
      <c r="B11919" s="11" t="n">
        <f aca="false">MOD(ROW()-9,24)</f>
        <v>6</v>
      </c>
      <c r="C11919" s="12"/>
      <c r="D11919" s="13" t="n">
        <f aca="false">IF(B11919&lt;5,Einstellungen!$B$3,Einstellungen!$B$4)</f>
        <v>29.13</v>
      </c>
      <c r="E11919" s="14" t="str">
        <f aca="false">IF(C11919="","",C11919*D11919/100)</f>
        <v/>
      </c>
      <c r="F11919" s="15" t="str">
        <f aca="false">IF(B11919&lt;5,"Go","Standard")</f>
        <v>Standard</v>
      </c>
    </row>
    <row r="11920" customFormat="false" ht="15" hidden="false" customHeight="true" outlineLevel="0" collapsed="false">
      <c r="A11920" s="10" t="n">
        <f aca="false">Einstellungen!$B$5+INT((ROW()-9)/24)</f>
        <v>46462</v>
      </c>
      <c r="B11920" s="11" t="n">
        <f aca="false">MOD(ROW()-9,24)</f>
        <v>7</v>
      </c>
      <c r="C11920" s="12"/>
      <c r="D11920" s="13" t="n">
        <f aca="false">IF(B11920&lt;5,Einstellungen!$B$3,Einstellungen!$B$4)</f>
        <v>29.13</v>
      </c>
      <c r="E11920" s="14" t="str">
        <f aca="false">IF(C11920="","",C11920*D11920/100)</f>
        <v/>
      </c>
      <c r="F11920" s="15" t="str">
        <f aca="false">IF(B11920&lt;5,"Go","Standard")</f>
        <v>Standard</v>
      </c>
    </row>
    <row r="11921" customFormat="false" ht="15" hidden="false" customHeight="true" outlineLevel="0" collapsed="false">
      <c r="A11921" s="10" t="n">
        <f aca="false">Einstellungen!$B$5+INT((ROW()-9)/24)</f>
        <v>46462</v>
      </c>
      <c r="B11921" s="11" t="n">
        <f aca="false">MOD(ROW()-9,24)</f>
        <v>8</v>
      </c>
      <c r="C11921" s="12"/>
      <c r="D11921" s="13" t="n">
        <f aca="false">IF(B11921&lt;5,Einstellungen!$B$3,Einstellungen!$B$4)</f>
        <v>29.13</v>
      </c>
      <c r="E11921" s="14" t="str">
        <f aca="false">IF(C11921="","",C11921*D11921/100)</f>
        <v/>
      </c>
      <c r="F11921" s="15" t="str">
        <f aca="false">IF(B11921&lt;5,"Go","Standard")</f>
        <v>Standard</v>
      </c>
    </row>
    <row r="11922" customFormat="false" ht="15" hidden="false" customHeight="true" outlineLevel="0" collapsed="false">
      <c r="A11922" s="10" t="n">
        <f aca="false">Einstellungen!$B$5+INT((ROW()-9)/24)</f>
        <v>46462</v>
      </c>
      <c r="B11922" s="11" t="n">
        <f aca="false">MOD(ROW()-9,24)</f>
        <v>9</v>
      </c>
      <c r="C11922" s="12"/>
      <c r="D11922" s="13" t="n">
        <f aca="false">IF(B11922&lt;5,Einstellungen!$B$3,Einstellungen!$B$4)</f>
        <v>29.13</v>
      </c>
      <c r="E11922" s="14" t="str">
        <f aca="false">IF(C11922="","",C11922*D11922/100)</f>
        <v/>
      </c>
      <c r="F11922" s="15" t="str">
        <f aca="false">IF(B11922&lt;5,"Go","Standard")</f>
        <v>Standard</v>
      </c>
    </row>
    <row r="11923" customFormat="false" ht="15" hidden="false" customHeight="true" outlineLevel="0" collapsed="false">
      <c r="A11923" s="10" t="n">
        <f aca="false">Einstellungen!$B$5+INT((ROW()-9)/24)</f>
        <v>46462</v>
      </c>
      <c r="B11923" s="11" t="n">
        <f aca="false">MOD(ROW()-9,24)</f>
        <v>10</v>
      </c>
      <c r="C11923" s="12"/>
      <c r="D11923" s="13" t="n">
        <f aca="false">IF(B11923&lt;5,Einstellungen!$B$3,Einstellungen!$B$4)</f>
        <v>29.13</v>
      </c>
      <c r="E11923" s="14" t="str">
        <f aca="false">IF(C11923="","",C11923*D11923/100)</f>
        <v/>
      </c>
      <c r="F11923" s="15" t="str">
        <f aca="false">IF(B11923&lt;5,"Go","Standard")</f>
        <v>Standard</v>
      </c>
    </row>
    <row r="11924" customFormat="false" ht="15" hidden="false" customHeight="true" outlineLevel="0" collapsed="false">
      <c r="A11924" s="10" t="n">
        <f aca="false">Einstellungen!$B$5+INT((ROW()-9)/24)</f>
        <v>46462</v>
      </c>
      <c r="B11924" s="11" t="n">
        <f aca="false">MOD(ROW()-9,24)</f>
        <v>11</v>
      </c>
      <c r="C11924" s="12"/>
      <c r="D11924" s="13" t="n">
        <f aca="false">IF(B11924&lt;5,Einstellungen!$B$3,Einstellungen!$B$4)</f>
        <v>29.13</v>
      </c>
      <c r="E11924" s="14" t="str">
        <f aca="false">IF(C11924="","",C11924*D11924/100)</f>
        <v/>
      </c>
      <c r="F11924" s="15" t="str">
        <f aca="false">IF(B11924&lt;5,"Go","Standard")</f>
        <v>Standard</v>
      </c>
    </row>
    <row r="11925" customFormat="false" ht="15" hidden="false" customHeight="true" outlineLevel="0" collapsed="false">
      <c r="A11925" s="10" t="n">
        <f aca="false">Einstellungen!$B$5+INT((ROW()-9)/24)</f>
        <v>46462</v>
      </c>
      <c r="B11925" s="11" t="n">
        <f aca="false">MOD(ROW()-9,24)</f>
        <v>12</v>
      </c>
      <c r="C11925" s="12"/>
      <c r="D11925" s="13" t="n">
        <f aca="false">IF(B11925&lt;5,Einstellungen!$B$3,Einstellungen!$B$4)</f>
        <v>29.13</v>
      </c>
      <c r="E11925" s="14" t="str">
        <f aca="false">IF(C11925="","",C11925*D11925/100)</f>
        <v/>
      </c>
      <c r="F11925" s="15" t="str">
        <f aca="false">IF(B11925&lt;5,"Go","Standard")</f>
        <v>Standard</v>
      </c>
    </row>
    <row r="11926" customFormat="false" ht="15" hidden="false" customHeight="true" outlineLevel="0" collapsed="false">
      <c r="A11926" s="10" t="n">
        <f aca="false">Einstellungen!$B$5+INT((ROW()-9)/24)</f>
        <v>46462</v>
      </c>
      <c r="B11926" s="11" t="n">
        <f aca="false">MOD(ROW()-9,24)</f>
        <v>13</v>
      </c>
      <c r="C11926" s="12"/>
      <c r="D11926" s="13" t="n">
        <f aca="false">IF(B11926&lt;5,Einstellungen!$B$3,Einstellungen!$B$4)</f>
        <v>29.13</v>
      </c>
      <c r="E11926" s="14" t="str">
        <f aca="false">IF(C11926="","",C11926*D11926/100)</f>
        <v/>
      </c>
      <c r="F11926" s="15" t="str">
        <f aca="false">IF(B11926&lt;5,"Go","Standard")</f>
        <v>Standard</v>
      </c>
    </row>
    <row r="11927" customFormat="false" ht="15" hidden="false" customHeight="true" outlineLevel="0" collapsed="false">
      <c r="A11927" s="10" t="n">
        <f aca="false">Einstellungen!$B$5+INT((ROW()-9)/24)</f>
        <v>46462</v>
      </c>
      <c r="B11927" s="11" t="n">
        <f aca="false">MOD(ROW()-9,24)</f>
        <v>14</v>
      </c>
      <c r="C11927" s="12"/>
      <c r="D11927" s="13" t="n">
        <f aca="false">IF(B11927&lt;5,Einstellungen!$B$3,Einstellungen!$B$4)</f>
        <v>29.13</v>
      </c>
      <c r="E11927" s="14" t="str">
        <f aca="false">IF(C11927="","",C11927*D11927/100)</f>
        <v/>
      </c>
      <c r="F11927" s="15" t="str">
        <f aca="false">IF(B11927&lt;5,"Go","Standard")</f>
        <v>Standard</v>
      </c>
    </row>
    <row r="11928" customFormat="false" ht="15" hidden="false" customHeight="true" outlineLevel="0" collapsed="false">
      <c r="A11928" s="10" t="n">
        <f aca="false">Einstellungen!$B$5+INT((ROW()-9)/24)</f>
        <v>46462</v>
      </c>
      <c r="B11928" s="11" t="n">
        <f aca="false">MOD(ROW()-9,24)</f>
        <v>15</v>
      </c>
      <c r="C11928" s="12"/>
      <c r="D11928" s="13" t="n">
        <f aca="false">IF(B11928&lt;5,Einstellungen!$B$3,Einstellungen!$B$4)</f>
        <v>29.13</v>
      </c>
      <c r="E11928" s="14" t="str">
        <f aca="false">IF(C11928="","",C11928*D11928/100)</f>
        <v/>
      </c>
      <c r="F11928" s="15" t="str">
        <f aca="false">IF(B11928&lt;5,"Go","Standard")</f>
        <v>Standard</v>
      </c>
    </row>
    <row r="11929" customFormat="false" ht="15" hidden="false" customHeight="true" outlineLevel="0" collapsed="false">
      <c r="A11929" s="10" t="n">
        <f aca="false">Einstellungen!$B$5+INT((ROW()-9)/24)</f>
        <v>46462</v>
      </c>
      <c r="B11929" s="11" t="n">
        <f aca="false">MOD(ROW()-9,24)</f>
        <v>16</v>
      </c>
      <c r="C11929" s="12"/>
      <c r="D11929" s="13" t="n">
        <f aca="false">IF(B11929&lt;5,Einstellungen!$B$3,Einstellungen!$B$4)</f>
        <v>29.13</v>
      </c>
      <c r="E11929" s="14" t="str">
        <f aca="false">IF(C11929="","",C11929*D11929/100)</f>
        <v/>
      </c>
      <c r="F11929" s="15" t="str">
        <f aca="false">IF(B11929&lt;5,"Go","Standard")</f>
        <v>Standard</v>
      </c>
    </row>
    <row r="11930" customFormat="false" ht="15" hidden="false" customHeight="true" outlineLevel="0" collapsed="false">
      <c r="A11930" s="10" t="n">
        <f aca="false">Einstellungen!$B$5+INT((ROW()-9)/24)</f>
        <v>46462</v>
      </c>
      <c r="B11930" s="11" t="n">
        <f aca="false">MOD(ROW()-9,24)</f>
        <v>17</v>
      </c>
      <c r="C11930" s="12"/>
      <c r="D11930" s="13" t="n">
        <f aca="false">IF(B11930&lt;5,Einstellungen!$B$3,Einstellungen!$B$4)</f>
        <v>29.13</v>
      </c>
      <c r="E11930" s="14" t="str">
        <f aca="false">IF(C11930="","",C11930*D11930/100)</f>
        <v/>
      </c>
      <c r="F11930" s="15" t="str">
        <f aca="false">IF(B11930&lt;5,"Go","Standard")</f>
        <v>Standard</v>
      </c>
    </row>
    <row r="11931" customFormat="false" ht="15" hidden="false" customHeight="true" outlineLevel="0" collapsed="false">
      <c r="A11931" s="10" t="n">
        <f aca="false">Einstellungen!$B$5+INT((ROW()-9)/24)</f>
        <v>46462</v>
      </c>
      <c r="B11931" s="11" t="n">
        <f aca="false">MOD(ROW()-9,24)</f>
        <v>18</v>
      </c>
      <c r="C11931" s="12"/>
      <c r="D11931" s="13" t="n">
        <f aca="false">IF(B11931&lt;5,Einstellungen!$B$3,Einstellungen!$B$4)</f>
        <v>29.13</v>
      </c>
      <c r="E11931" s="14" t="str">
        <f aca="false">IF(C11931="","",C11931*D11931/100)</f>
        <v/>
      </c>
      <c r="F11931" s="15" t="str">
        <f aca="false">IF(B11931&lt;5,"Go","Standard")</f>
        <v>Standard</v>
      </c>
    </row>
    <row r="11932" customFormat="false" ht="15" hidden="false" customHeight="true" outlineLevel="0" collapsed="false">
      <c r="A11932" s="10" t="n">
        <f aca="false">Einstellungen!$B$5+INT((ROW()-9)/24)</f>
        <v>46462</v>
      </c>
      <c r="B11932" s="11" t="n">
        <f aca="false">MOD(ROW()-9,24)</f>
        <v>19</v>
      </c>
      <c r="C11932" s="12"/>
      <c r="D11932" s="13" t="n">
        <f aca="false">IF(B11932&lt;5,Einstellungen!$B$3,Einstellungen!$B$4)</f>
        <v>29.13</v>
      </c>
      <c r="E11932" s="14" t="str">
        <f aca="false">IF(C11932="","",C11932*D11932/100)</f>
        <v/>
      </c>
      <c r="F11932" s="15" t="str">
        <f aca="false">IF(B11932&lt;5,"Go","Standard")</f>
        <v>Standard</v>
      </c>
    </row>
    <row r="11933" customFormat="false" ht="15" hidden="false" customHeight="true" outlineLevel="0" collapsed="false">
      <c r="A11933" s="10" t="n">
        <f aca="false">Einstellungen!$B$5+INT((ROW()-9)/24)</f>
        <v>46462</v>
      </c>
      <c r="B11933" s="11" t="n">
        <f aca="false">MOD(ROW()-9,24)</f>
        <v>20</v>
      </c>
      <c r="C11933" s="12"/>
      <c r="D11933" s="13" t="n">
        <f aca="false">IF(B11933&lt;5,Einstellungen!$B$3,Einstellungen!$B$4)</f>
        <v>29.13</v>
      </c>
      <c r="E11933" s="14" t="str">
        <f aca="false">IF(C11933="","",C11933*D11933/100)</f>
        <v/>
      </c>
      <c r="F11933" s="15" t="str">
        <f aca="false">IF(B11933&lt;5,"Go","Standard")</f>
        <v>Standard</v>
      </c>
    </row>
    <row r="11934" customFormat="false" ht="15" hidden="false" customHeight="true" outlineLevel="0" collapsed="false">
      <c r="A11934" s="10" t="n">
        <f aca="false">Einstellungen!$B$5+INT((ROW()-9)/24)</f>
        <v>46462</v>
      </c>
      <c r="B11934" s="11" t="n">
        <f aca="false">MOD(ROW()-9,24)</f>
        <v>21</v>
      </c>
      <c r="C11934" s="12"/>
      <c r="D11934" s="13" t="n">
        <f aca="false">IF(B11934&lt;5,Einstellungen!$B$3,Einstellungen!$B$4)</f>
        <v>29.13</v>
      </c>
      <c r="E11934" s="14" t="str">
        <f aca="false">IF(C11934="","",C11934*D11934/100)</f>
        <v/>
      </c>
      <c r="F11934" s="15" t="str">
        <f aca="false">IF(B11934&lt;5,"Go","Standard")</f>
        <v>Standard</v>
      </c>
    </row>
    <row r="11935" customFormat="false" ht="15" hidden="false" customHeight="true" outlineLevel="0" collapsed="false">
      <c r="A11935" s="10" t="n">
        <f aca="false">Einstellungen!$B$5+INT((ROW()-9)/24)</f>
        <v>46462</v>
      </c>
      <c r="B11935" s="11" t="n">
        <f aca="false">MOD(ROW()-9,24)</f>
        <v>22</v>
      </c>
      <c r="C11935" s="12"/>
      <c r="D11935" s="13" t="n">
        <f aca="false">IF(B11935&lt;5,Einstellungen!$B$3,Einstellungen!$B$4)</f>
        <v>29.13</v>
      </c>
      <c r="E11935" s="14" t="str">
        <f aca="false">IF(C11935="","",C11935*D11935/100)</f>
        <v/>
      </c>
      <c r="F11935" s="15" t="str">
        <f aca="false">IF(B11935&lt;5,"Go","Standard")</f>
        <v>Standard</v>
      </c>
    </row>
    <row r="11936" customFormat="false" ht="15" hidden="false" customHeight="true" outlineLevel="0" collapsed="false">
      <c r="A11936" s="10" t="n">
        <f aca="false">Einstellungen!$B$5+INT((ROW()-9)/24)</f>
        <v>46462</v>
      </c>
      <c r="B11936" s="11" t="n">
        <f aca="false">MOD(ROW()-9,24)</f>
        <v>23</v>
      </c>
      <c r="C11936" s="12"/>
      <c r="D11936" s="13" t="n">
        <f aca="false">IF(B11936&lt;5,Einstellungen!$B$3,Einstellungen!$B$4)</f>
        <v>29.13</v>
      </c>
      <c r="E11936" s="14" t="str">
        <f aca="false">IF(C11936="","",C11936*D11936/100)</f>
        <v/>
      </c>
      <c r="F11936" s="15" t="str">
        <f aca="false">IF(B11936&lt;5,"Go","Standard")</f>
        <v>Standard</v>
      </c>
    </row>
    <row r="11937" customFormat="false" ht="15" hidden="false" customHeight="true" outlineLevel="0" collapsed="false">
      <c r="A11937" s="10" t="n">
        <f aca="false">Einstellungen!$B$5+INT((ROW()-9)/24)</f>
        <v>46463</v>
      </c>
      <c r="B11937" s="11" t="n">
        <f aca="false">MOD(ROW()-9,24)</f>
        <v>0</v>
      </c>
      <c r="C11937" s="12"/>
      <c r="D11937" s="13" t="n">
        <f aca="false">IF(B11937&lt;5,Einstellungen!$B$3,Einstellungen!$B$4)</f>
        <v>15.92</v>
      </c>
      <c r="E11937" s="14" t="str">
        <f aca="false">IF(C11937="","",C11937*D11937/100)</f>
        <v/>
      </c>
      <c r="F11937" s="15" t="str">
        <f aca="false">IF(B11937&lt;5,"Go","Standard")</f>
        <v>Go</v>
      </c>
    </row>
    <row r="11938" customFormat="false" ht="15" hidden="false" customHeight="true" outlineLevel="0" collapsed="false">
      <c r="A11938" s="10" t="n">
        <f aca="false">Einstellungen!$B$5+INT((ROW()-9)/24)</f>
        <v>46463</v>
      </c>
      <c r="B11938" s="11" t="n">
        <f aca="false">MOD(ROW()-9,24)</f>
        <v>1</v>
      </c>
      <c r="C11938" s="12"/>
      <c r="D11938" s="13" t="n">
        <f aca="false">IF(B11938&lt;5,Einstellungen!$B$3,Einstellungen!$B$4)</f>
        <v>15.92</v>
      </c>
      <c r="E11938" s="14" t="str">
        <f aca="false">IF(C11938="","",C11938*D11938/100)</f>
        <v/>
      </c>
      <c r="F11938" s="15" t="str">
        <f aca="false">IF(B11938&lt;5,"Go","Standard")</f>
        <v>Go</v>
      </c>
    </row>
    <row r="11939" customFormat="false" ht="15" hidden="false" customHeight="true" outlineLevel="0" collapsed="false">
      <c r="A11939" s="10" t="n">
        <f aca="false">Einstellungen!$B$5+INT((ROW()-9)/24)</f>
        <v>46463</v>
      </c>
      <c r="B11939" s="11" t="n">
        <f aca="false">MOD(ROW()-9,24)</f>
        <v>2</v>
      </c>
      <c r="C11939" s="12"/>
      <c r="D11939" s="13" t="n">
        <f aca="false">IF(B11939&lt;5,Einstellungen!$B$3,Einstellungen!$B$4)</f>
        <v>15.92</v>
      </c>
      <c r="E11939" s="14" t="str">
        <f aca="false">IF(C11939="","",C11939*D11939/100)</f>
        <v/>
      </c>
      <c r="F11939" s="15" t="str">
        <f aca="false">IF(B11939&lt;5,"Go","Standard")</f>
        <v>Go</v>
      </c>
    </row>
    <row r="11940" customFormat="false" ht="15" hidden="false" customHeight="true" outlineLevel="0" collapsed="false">
      <c r="A11940" s="10" t="n">
        <f aca="false">Einstellungen!$B$5+INT((ROW()-9)/24)</f>
        <v>46463</v>
      </c>
      <c r="B11940" s="11" t="n">
        <f aca="false">MOD(ROW()-9,24)</f>
        <v>3</v>
      </c>
      <c r="C11940" s="12"/>
      <c r="D11940" s="13" t="n">
        <f aca="false">IF(B11940&lt;5,Einstellungen!$B$3,Einstellungen!$B$4)</f>
        <v>15.92</v>
      </c>
      <c r="E11940" s="14" t="str">
        <f aca="false">IF(C11940="","",C11940*D11940/100)</f>
        <v/>
      </c>
      <c r="F11940" s="15" t="str">
        <f aca="false">IF(B11940&lt;5,"Go","Standard")</f>
        <v>Go</v>
      </c>
    </row>
    <row r="11941" customFormat="false" ht="15" hidden="false" customHeight="true" outlineLevel="0" collapsed="false">
      <c r="A11941" s="10" t="n">
        <f aca="false">Einstellungen!$B$5+INT((ROW()-9)/24)</f>
        <v>46463</v>
      </c>
      <c r="B11941" s="11" t="n">
        <f aca="false">MOD(ROW()-9,24)</f>
        <v>4</v>
      </c>
      <c r="C11941" s="12"/>
      <c r="D11941" s="13" t="n">
        <f aca="false">IF(B11941&lt;5,Einstellungen!$B$3,Einstellungen!$B$4)</f>
        <v>15.92</v>
      </c>
      <c r="E11941" s="14" t="str">
        <f aca="false">IF(C11941="","",C11941*D11941/100)</f>
        <v/>
      </c>
      <c r="F11941" s="15" t="str">
        <f aca="false">IF(B11941&lt;5,"Go","Standard")</f>
        <v>Go</v>
      </c>
    </row>
    <row r="11942" customFormat="false" ht="15" hidden="false" customHeight="true" outlineLevel="0" collapsed="false">
      <c r="A11942" s="10" t="n">
        <f aca="false">Einstellungen!$B$5+INT((ROW()-9)/24)</f>
        <v>46463</v>
      </c>
      <c r="B11942" s="11" t="n">
        <f aca="false">MOD(ROW()-9,24)</f>
        <v>5</v>
      </c>
      <c r="C11942" s="12"/>
      <c r="D11942" s="13" t="n">
        <f aca="false">IF(B11942&lt;5,Einstellungen!$B$3,Einstellungen!$B$4)</f>
        <v>29.13</v>
      </c>
      <c r="E11942" s="14" t="str">
        <f aca="false">IF(C11942="","",C11942*D11942/100)</f>
        <v/>
      </c>
      <c r="F11942" s="15" t="str">
        <f aca="false">IF(B11942&lt;5,"Go","Standard")</f>
        <v>Standard</v>
      </c>
    </row>
    <row r="11943" customFormat="false" ht="15" hidden="false" customHeight="true" outlineLevel="0" collapsed="false">
      <c r="A11943" s="10" t="n">
        <f aca="false">Einstellungen!$B$5+INT((ROW()-9)/24)</f>
        <v>46463</v>
      </c>
      <c r="B11943" s="11" t="n">
        <f aca="false">MOD(ROW()-9,24)</f>
        <v>6</v>
      </c>
      <c r="C11943" s="12"/>
      <c r="D11943" s="13" t="n">
        <f aca="false">IF(B11943&lt;5,Einstellungen!$B$3,Einstellungen!$B$4)</f>
        <v>29.13</v>
      </c>
      <c r="E11943" s="14" t="str">
        <f aca="false">IF(C11943="","",C11943*D11943/100)</f>
        <v/>
      </c>
      <c r="F11943" s="15" t="str">
        <f aca="false">IF(B11943&lt;5,"Go","Standard")</f>
        <v>Standard</v>
      </c>
    </row>
    <row r="11944" customFormat="false" ht="15" hidden="false" customHeight="true" outlineLevel="0" collapsed="false">
      <c r="A11944" s="10" t="n">
        <f aca="false">Einstellungen!$B$5+INT((ROW()-9)/24)</f>
        <v>46463</v>
      </c>
      <c r="B11944" s="11" t="n">
        <f aca="false">MOD(ROW()-9,24)</f>
        <v>7</v>
      </c>
      <c r="C11944" s="12"/>
      <c r="D11944" s="13" t="n">
        <f aca="false">IF(B11944&lt;5,Einstellungen!$B$3,Einstellungen!$B$4)</f>
        <v>29.13</v>
      </c>
      <c r="E11944" s="14" t="str">
        <f aca="false">IF(C11944="","",C11944*D11944/100)</f>
        <v/>
      </c>
      <c r="F11944" s="15" t="str">
        <f aca="false">IF(B11944&lt;5,"Go","Standard")</f>
        <v>Standard</v>
      </c>
    </row>
    <row r="11945" customFormat="false" ht="15" hidden="false" customHeight="true" outlineLevel="0" collapsed="false">
      <c r="A11945" s="10" t="n">
        <f aca="false">Einstellungen!$B$5+INT((ROW()-9)/24)</f>
        <v>46463</v>
      </c>
      <c r="B11945" s="11" t="n">
        <f aca="false">MOD(ROW()-9,24)</f>
        <v>8</v>
      </c>
      <c r="C11945" s="12"/>
      <c r="D11945" s="13" t="n">
        <f aca="false">IF(B11945&lt;5,Einstellungen!$B$3,Einstellungen!$B$4)</f>
        <v>29.13</v>
      </c>
      <c r="E11945" s="14" t="str">
        <f aca="false">IF(C11945="","",C11945*D11945/100)</f>
        <v/>
      </c>
      <c r="F11945" s="15" t="str">
        <f aca="false">IF(B11945&lt;5,"Go","Standard")</f>
        <v>Standard</v>
      </c>
    </row>
    <row r="11946" customFormat="false" ht="15" hidden="false" customHeight="true" outlineLevel="0" collapsed="false">
      <c r="A11946" s="10" t="n">
        <f aca="false">Einstellungen!$B$5+INT((ROW()-9)/24)</f>
        <v>46463</v>
      </c>
      <c r="B11946" s="11" t="n">
        <f aca="false">MOD(ROW()-9,24)</f>
        <v>9</v>
      </c>
      <c r="C11946" s="12"/>
      <c r="D11946" s="13" t="n">
        <f aca="false">IF(B11946&lt;5,Einstellungen!$B$3,Einstellungen!$B$4)</f>
        <v>29.13</v>
      </c>
      <c r="E11946" s="14" t="str">
        <f aca="false">IF(C11946="","",C11946*D11946/100)</f>
        <v/>
      </c>
      <c r="F11946" s="15" t="str">
        <f aca="false">IF(B11946&lt;5,"Go","Standard")</f>
        <v>Standard</v>
      </c>
    </row>
    <row r="11947" customFormat="false" ht="15" hidden="false" customHeight="true" outlineLevel="0" collapsed="false">
      <c r="A11947" s="10" t="n">
        <f aca="false">Einstellungen!$B$5+INT((ROW()-9)/24)</f>
        <v>46463</v>
      </c>
      <c r="B11947" s="11" t="n">
        <f aca="false">MOD(ROW()-9,24)</f>
        <v>10</v>
      </c>
      <c r="C11947" s="12"/>
      <c r="D11947" s="13" t="n">
        <f aca="false">IF(B11947&lt;5,Einstellungen!$B$3,Einstellungen!$B$4)</f>
        <v>29.13</v>
      </c>
      <c r="E11947" s="14" t="str">
        <f aca="false">IF(C11947="","",C11947*D11947/100)</f>
        <v/>
      </c>
      <c r="F11947" s="15" t="str">
        <f aca="false">IF(B11947&lt;5,"Go","Standard")</f>
        <v>Standard</v>
      </c>
    </row>
    <row r="11948" customFormat="false" ht="15" hidden="false" customHeight="true" outlineLevel="0" collapsed="false">
      <c r="A11948" s="10" t="n">
        <f aca="false">Einstellungen!$B$5+INT((ROW()-9)/24)</f>
        <v>46463</v>
      </c>
      <c r="B11948" s="11" t="n">
        <f aca="false">MOD(ROW()-9,24)</f>
        <v>11</v>
      </c>
      <c r="C11948" s="12"/>
      <c r="D11948" s="13" t="n">
        <f aca="false">IF(B11948&lt;5,Einstellungen!$B$3,Einstellungen!$B$4)</f>
        <v>29.13</v>
      </c>
      <c r="E11948" s="14" t="str">
        <f aca="false">IF(C11948="","",C11948*D11948/100)</f>
        <v/>
      </c>
      <c r="F11948" s="15" t="str">
        <f aca="false">IF(B11948&lt;5,"Go","Standard")</f>
        <v>Standard</v>
      </c>
    </row>
    <row r="11949" customFormat="false" ht="15" hidden="false" customHeight="true" outlineLevel="0" collapsed="false">
      <c r="A11949" s="10" t="n">
        <f aca="false">Einstellungen!$B$5+INT((ROW()-9)/24)</f>
        <v>46463</v>
      </c>
      <c r="B11949" s="11" t="n">
        <f aca="false">MOD(ROW()-9,24)</f>
        <v>12</v>
      </c>
      <c r="C11949" s="12"/>
      <c r="D11949" s="13" t="n">
        <f aca="false">IF(B11949&lt;5,Einstellungen!$B$3,Einstellungen!$B$4)</f>
        <v>29.13</v>
      </c>
      <c r="E11949" s="14" t="str">
        <f aca="false">IF(C11949="","",C11949*D11949/100)</f>
        <v/>
      </c>
      <c r="F11949" s="15" t="str">
        <f aca="false">IF(B11949&lt;5,"Go","Standard")</f>
        <v>Standard</v>
      </c>
    </row>
    <row r="11950" customFormat="false" ht="15" hidden="false" customHeight="true" outlineLevel="0" collapsed="false">
      <c r="A11950" s="10" t="n">
        <f aca="false">Einstellungen!$B$5+INT((ROW()-9)/24)</f>
        <v>46463</v>
      </c>
      <c r="B11950" s="11" t="n">
        <f aca="false">MOD(ROW()-9,24)</f>
        <v>13</v>
      </c>
      <c r="C11950" s="12"/>
      <c r="D11950" s="13" t="n">
        <f aca="false">IF(B11950&lt;5,Einstellungen!$B$3,Einstellungen!$B$4)</f>
        <v>29.13</v>
      </c>
      <c r="E11950" s="14" t="str">
        <f aca="false">IF(C11950="","",C11950*D11950/100)</f>
        <v/>
      </c>
      <c r="F11950" s="15" t="str">
        <f aca="false">IF(B11950&lt;5,"Go","Standard")</f>
        <v>Standard</v>
      </c>
    </row>
    <row r="11951" customFormat="false" ht="15" hidden="false" customHeight="true" outlineLevel="0" collapsed="false">
      <c r="A11951" s="10" t="n">
        <f aca="false">Einstellungen!$B$5+INT((ROW()-9)/24)</f>
        <v>46463</v>
      </c>
      <c r="B11951" s="11" t="n">
        <f aca="false">MOD(ROW()-9,24)</f>
        <v>14</v>
      </c>
      <c r="C11951" s="12"/>
      <c r="D11951" s="13" t="n">
        <f aca="false">IF(B11951&lt;5,Einstellungen!$B$3,Einstellungen!$B$4)</f>
        <v>29.13</v>
      </c>
      <c r="E11951" s="14" t="str">
        <f aca="false">IF(C11951="","",C11951*D11951/100)</f>
        <v/>
      </c>
      <c r="F11951" s="15" t="str">
        <f aca="false">IF(B11951&lt;5,"Go","Standard")</f>
        <v>Standard</v>
      </c>
    </row>
    <row r="11952" customFormat="false" ht="15" hidden="false" customHeight="true" outlineLevel="0" collapsed="false">
      <c r="A11952" s="10" t="n">
        <f aca="false">Einstellungen!$B$5+INT((ROW()-9)/24)</f>
        <v>46463</v>
      </c>
      <c r="B11952" s="11" t="n">
        <f aca="false">MOD(ROW()-9,24)</f>
        <v>15</v>
      </c>
      <c r="C11952" s="12"/>
      <c r="D11952" s="13" t="n">
        <f aca="false">IF(B11952&lt;5,Einstellungen!$B$3,Einstellungen!$B$4)</f>
        <v>29.13</v>
      </c>
      <c r="E11952" s="14" t="str">
        <f aca="false">IF(C11952="","",C11952*D11952/100)</f>
        <v/>
      </c>
      <c r="F11952" s="15" t="str">
        <f aca="false">IF(B11952&lt;5,"Go","Standard")</f>
        <v>Standard</v>
      </c>
    </row>
    <row r="11953" customFormat="false" ht="15" hidden="false" customHeight="true" outlineLevel="0" collapsed="false">
      <c r="A11953" s="10" t="n">
        <f aca="false">Einstellungen!$B$5+INT((ROW()-9)/24)</f>
        <v>46463</v>
      </c>
      <c r="B11953" s="11" t="n">
        <f aca="false">MOD(ROW()-9,24)</f>
        <v>16</v>
      </c>
      <c r="C11953" s="12"/>
      <c r="D11953" s="13" t="n">
        <f aca="false">IF(B11953&lt;5,Einstellungen!$B$3,Einstellungen!$B$4)</f>
        <v>29.13</v>
      </c>
      <c r="E11953" s="14" t="str">
        <f aca="false">IF(C11953="","",C11953*D11953/100)</f>
        <v/>
      </c>
      <c r="F11953" s="15" t="str">
        <f aca="false">IF(B11953&lt;5,"Go","Standard")</f>
        <v>Standard</v>
      </c>
    </row>
    <row r="11954" customFormat="false" ht="15" hidden="false" customHeight="true" outlineLevel="0" collapsed="false">
      <c r="A11954" s="10" t="n">
        <f aca="false">Einstellungen!$B$5+INT((ROW()-9)/24)</f>
        <v>46463</v>
      </c>
      <c r="B11954" s="11" t="n">
        <f aca="false">MOD(ROW()-9,24)</f>
        <v>17</v>
      </c>
      <c r="C11954" s="12"/>
      <c r="D11954" s="13" t="n">
        <f aca="false">IF(B11954&lt;5,Einstellungen!$B$3,Einstellungen!$B$4)</f>
        <v>29.13</v>
      </c>
      <c r="E11954" s="14" t="str">
        <f aca="false">IF(C11954="","",C11954*D11954/100)</f>
        <v/>
      </c>
      <c r="F11954" s="15" t="str">
        <f aca="false">IF(B11954&lt;5,"Go","Standard")</f>
        <v>Standard</v>
      </c>
    </row>
    <row r="11955" customFormat="false" ht="15" hidden="false" customHeight="true" outlineLevel="0" collapsed="false">
      <c r="A11955" s="10" t="n">
        <f aca="false">Einstellungen!$B$5+INT((ROW()-9)/24)</f>
        <v>46463</v>
      </c>
      <c r="B11955" s="11" t="n">
        <f aca="false">MOD(ROW()-9,24)</f>
        <v>18</v>
      </c>
      <c r="C11955" s="12"/>
      <c r="D11955" s="13" t="n">
        <f aca="false">IF(B11955&lt;5,Einstellungen!$B$3,Einstellungen!$B$4)</f>
        <v>29.13</v>
      </c>
      <c r="E11955" s="14" t="str">
        <f aca="false">IF(C11955="","",C11955*D11955/100)</f>
        <v/>
      </c>
      <c r="F11955" s="15" t="str">
        <f aca="false">IF(B11955&lt;5,"Go","Standard")</f>
        <v>Standard</v>
      </c>
    </row>
    <row r="11956" customFormat="false" ht="15" hidden="false" customHeight="true" outlineLevel="0" collapsed="false">
      <c r="A11956" s="10" t="n">
        <f aca="false">Einstellungen!$B$5+INT((ROW()-9)/24)</f>
        <v>46463</v>
      </c>
      <c r="B11956" s="11" t="n">
        <f aca="false">MOD(ROW()-9,24)</f>
        <v>19</v>
      </c>
      <c r="C11956" s="12"/>
      <c r="D11956" s="13" t="n">
        <f aca="false">IF(B11956&lt;5,Einstellungen!$B$3,Einstellungen!$B$4)</f>
        <v>29.13</v>
      </c>
      <c r="E11956" s="14" t="str">
        <f aca="false">IF(C11956="","",C11956*D11956/100)</f>
        <v/>
      </c>
      <c r="F11956" s="15" t="str">
        <f aca="false">IF(B11956&lt;5,"Go","Standard")</f>
        <v>Standard</v>
      </c>
    </row>
    <row r="11957" customFormat="false" ht="15" hidden="false" customHeight="true" outlineLevel="0" collapsed="false">
      <c r="A11957" s="10" t="n">
        <f aca="false">Einstellungen!$B$5+INT((ROW()-9)/24)</f>
        <v>46463</v>
      </c>
      <c r="B11957" s="11" t="n">
        <f aca="false">MOD(ROW()-9,24)</f>
        <v>20</v>
      </c>
      <c r="C11957" s="12"/>
      <c r="D11957" s="13" t="n">
        <f aca="false">IF(B11957&lt;5,Einstellungen!$B$3,Einstellungen!$B$4)</f>
        <v>29.13</v>
      </c>
      <c r="E11957" s="14" t="str">
        <f aca="false">IF(C11957="","",C11957*D11957/100)</f>
        <v/>
      </c>
      <c r="F11957" s="15" t="str">
        <f aca="false">IF(B11957&lt;5,"Go","Standard")</f>
        <v>Standard</v>
      </c>
    </row>
    <row r="11958" customFormat="false" ht="15" hidden="false" customHeight="true" outlineLevel="0" collapsed="false">
      <c r="A11958" s="10" t="n">
        <f aca="false">Einstellungen!$B$5+INT((ROW()-9)/24)</f>
        <v>46463</v>
      </c>
      <c r="B11958" s="11" t="n">
        <f aca="false">MOD(ROW()-9,24)</f>
        <v>21</v>
      </c>
      <c r="C11958" s="12"/>
      <c r="D11958" s="13" t="n">
        <f aca="false">IF(B11958&lt;5,Einstellungen!$B$3,Einstellungen!$B$4)</f>
        <v>29.13</v>
      </c>
      <c r="E11958" s="14" t="str">
        <f aca="false">IF(C11958="","",C11958*D11958/100)</f>
        <v/>
      </c>
      <c r="F11958" s="15" t="str">
        <f aca="false">IF(B11958&lt;5,"Go","Standard")</f>
        <v>Standard</v>
      </c>
    </row>
    <row r="11959" customFormat="false" ht="15" hidden="false" customHeight="true" outlineLevel="0" collapsed="false">
      <c r="A11959" s="10" t="n">
        <f aca="false">Einstellungen!$B$5+INT((ROW()-9)/24)</f>
        <v>46463</v>
      </c>
      <c r="B11959" s="11" t="n">
        <f aca="false">MOD(ROW()-9,24)</f>
        <v>22</v>
      </c>
      <c r="C11959" s="12"/>
      <c r="D11959" s="13" t="n">
        <f aca="false">IF(B11959&lt;5,Einstellungen!$B$3,Einstellungen!$B$4)</f>
        <v>29.13</v>
      </c>
      <c r="E11959" s="14" t="str">
        <f aca="false">IF(C11959="","",C11959*D11959/100)</f>
        <v/>
      </c>
      <c r="F11959" s="15" t="str">
        <f aca="false">IF(B11959&lt;5,"Go","Standard")</f>
        <v>Standard</v>
      </c>
    </row>
    <row r="11960" customFormat="false" ht="15" hidden="false" customHeight="true" outlineLevel="0" collapsed="false">
      <c r="A11960" s="10" t="n">
        <f aca="false">Einstellungen!$B$5+INT((ROW()-9)/24)</f>
        <v>46463</v>
      </c>
      <c r="B11960" s="11" t="n">
        <f aca="false">MOD(ROW()-9,24)</f>
        <v>23</v>
      </c>
      <c r="C11960" s="12"/>
      <c r="D11960" s="13" t="n">
        <f aca="false">IF(B11960&lt;5,Einstellungen!$B$3,Einstellungen!$B$4)</f>
        <v>29.13</v>
      </c>
      <c r="E11960" s="14" t="str">
        <f aca="false">IF(C11960="","",C11960*D11960/100)</f>
        <v/>
      </c>
      <c r="F11960" s="15" t="str">
        <f aca="false">IF(B11960&lt;5,"Go","Standard")</f>
        <v>Standard</v>
      </c>
    </row>
    <row r="11961" customFormat="false" ht="15" hidden="false" customHeight="true" outlineLevel="0" collapsed="false">
      <c r="A11961" s="10" t="n">
        <f aca="false">Einstellungen!$B$5+INT((ROW()-9)/24)</f>
        <v>46464</v>
      </c>
      <c r="B11961" s="11" t="n">
        <f aca="false">MOD(ROW()-9,24)</f>
        <v>0</v>
      </c>
      <c r="C11961" s="12"/>
      <c r="D11961" s="13" t="n">
        <f aca="false">IF(B11961&lt;5,Einstellungen!$B$3,Einstellungen!$B$4)</f>
        <v>15.92</v>
      </c>
      <c r="E11961" s="14" t="str">
        <f aca="false">IF(C11961="","",C11961*D11961/100)</f>
        <v/>
      </c>
      <c r="F11961" s="15" t="str">
        <f aca="false">IF(B11961&lt;5,"Go","Standard")</f>
        <v>Go</v>
      </c>
    </row>
    <row r="11962" customFormat="false" ht="15" hidden="false" customHeight="true" outlineLevel="0" collapsed="false">
      <c r="A11962" s="10" t="n">
        <f aca="false">Einstellungen!$B$5+INT((ROW()-9)/24)</f>
        <v>46464</v>
      </c>
      <c r="B11962" s="11" t="n">
        <f aca="false">MOD(ROW()-9,24)</f>
        <v>1</v>
      </c>
      <c r="C11962" s="12"/>
      <c r="D11962" s="13" t="n">
        <f aca="false">IF(B11962&lt;5,Einstellungen!$B$3,Einstellungen!$B$4)</f>
        <v>15.92</v>
      </c>
      <c r="E11962" s="14" t="str">
        <f aca="false">IF(C11962="","",C11962*D11962/100)</f>
        <v/>
      </c>
      <c r="F11962" s="15" t="str">
        <f aca="false">IF(B11962&lt;5,"Go","Standard")</f>
        <v>Go</v>
      </c>
    </row>
    <row r="11963" customFormat="false" ht="15" hidden="false" customHeight="true" outlineLevel="0" collapsed="false">
      <c r="A11963" s="10" t="n">
        <f aca="false">Einstellungen!$B$5+INT((ROW()-9)/24)</f>
        <v>46464</v>
      </c>
      <c r="B11963" s="11" t="n">
        <f aca="false">MOD(ROW()-9,24)</f>
        <v>2</v>
      </c>
      <c r="C11963" s="12"/>
      <c r="D11963" s="13" t="n">
        <f aca="false">IF(B11963&lt;5,Einstellungen!$B$3,Einstellungen!$B$4)</f>
        <v>15.92</v>
      </c>
      <c r="E11963" s="14" t="str">
        <f aca="false">IF(C11963="","",C11963*D11963/100)</f>
        <v/>
      </c>
      <c r="F11963" s="15" t="str">
        <f aca="false">IF(B11963&lt;5,"Go","Standard")</f>
        <v>Go</v>
      </c>
    </row>
    <row r="11964" customFormat="false" ht="15" hidden="false" customHeight="true" outlineLevel="0" collapsed="false">
      <c r="A11964" s="10" t="n">
        <f aca="false">Einstellungen!$B$5+INT((ROW()-9)/24)</f>
        <v>46464</v>
      </c>
      <c r="B11964" s="11" t="n">
        <f aca="false">MOD(ROW()-9,24)</f>
        <v>3</v>
      </c>
      <c r="C11964" s="12"/>
      <c r="D11964" s="13" t="n">
        <f aca="false">IF(B11964&lt;5,Einstellungen!$B$3,Einstellungen!$B$4)</f>
        <v>15.92</v>
      </c>
      <c r="E11964" s="14" t="str">
        <f aca="false">IF(C11964="","",C11964*D11964/100)</f>
        <v/>
      </c>
      <c r="F11964" s="15" t="str">
        <f aca="false">IF(B11964&lt;5,"Go","Standard")</f>
        <v>Go</v>
      </c>
    </row>
    <row r="11965" customFormat="false" ht="15" hidden="false" customHeight="true" outlineLevel="0" collapsed="false">
      <c r="A11965" s="10" t="n">
        <f aca="false">Einstellungen!$B$5+INT((ROW()-9)/24)</f>
        <v>46464</v>
      </c>
      <c r="B11965" s="11" t="n">
        <f aca="false">MOD(ROW()-9,24)</f>
        <v>4</v>
      </c>
      <c r="C11965" s="12"/>
      <c r="D11965" s="13" t="n">
        <f aca="false">IF(B11965&lt;5,Einstellungen!$B$3,Einstellungen!$B$4)</f>
        <v>15.92</v>
      </c>
      <c r="E11965" s="14" t="str">
        <f aca="false">IF(C11965="","",C11965*D11965/100)</f>
        <v/>
      </c>
      <c r="F11965" s="15" t="str">
        <f aca="false">IF(B11965&lt;5,"Go","Standard")</f>
        <v>Go</v>
      </c>
    </row>
    <row r="11966" customFormat="false" ht="15" hidden="false" customHeight="true" outlineLevel="0" collapsed="false">
      <c r="A11966" s="10" t="n">
        <f aca="false">Einstellungen!$B$5+INT((ROW()-9)/24)</f>
        <v>46464</v>
      </c>
      <c r="B11966" s="11" t="n">
        <f aca="false">MOD(ROW()-9,24)</f>
        <v>5</v>
      </c>
      <c r="C11966" s="12"/>
      <c r="D11966" s="13" t="n">
        <f aca="false">IF(B11966&lt;5,Einstellungen!$B$3,Einstellungen!$B$4)</f>
        <v>29.13</v>
      </c>
      <c r="E11966" s="14" t="str">
        <f aca="false">IF(C11966="","",C11966*D11966/100)</f>
        <v/>
      </c>
      <c r="F11966" s="15" t="str">
        <f aca="false">IF(B11966&lt;5,"Go","Standard")</f>
        <v>Standard</v>
      </c>
    </row>
    <row r="11967" customFormat="false" ht="15" hidden="false" customHeight="true" outlineLevel="0" collapsed="false">
      <c r="A11967" s="10" t="n">
        <f aca="false">Einstellungen!$B$5+INT((ROW()-9)/24)</f>
        <v>46464</v>
      </c>
      <c r="B11967" s="11" t="n">
        <f aca="false">MOD(ROW()-9,24)</f>
        <v>6</v>
      </c>
      <c r="C11967" s="12"/>
      <c r="D11967" s="13" t="n">
        <f aca="false">IF(B11967&lt;5,Einstellungen!$B$3,Einstellungen!$B$4)</f>
        <v>29.13</v>
      </c>
      <c r="E11967" s="14" t="str">
        <f aca="false">IF(C11967="","",C11967*D11967/100)</f>
        <v/>
      </c>
      <c r="F11967" s="15" t="str">
        <f aca="false">IF(B11967&lt;5,"Go","Standard")</f>
        <v>Standard</v>
      </c>
    </row>
    <row r="11968" customFormat="false" ht="15" hidden="false" customHeight="true" outlineLevel="0" collapsed="false">
      <c r="A11968" s="10" t="n">
        <f aca="false">Einstellungen!$B$5+INT((ROW()-9)/24)</f>
        <v>46464</v>
      </c>
      <c r="B11968" s="11" t="n">
        <f aca="false">MOD(ROW()-9,24)</f>
        <v>7</v>
      </c>
      <c r="C11968" s="12"/>
      <c r="D11968" s="13" t="n">
        <f aca="false">IF(B11968&lt;5,Einstellungen!$B$3,Einstellungen!$B$4)</f>
        <v>29.13</v>
      </c>
      <c r="E11968" s="14" t="str">
        <f aca="false">IF(C11968="","",C11968*D11968/100)</f>
        <v/>
      </c>
      <c r="F11968" s="15" t="str">
        <f aca="false">IF(B11968&lt;5,"Go","Standard")</f>
        <v>Standard</v>
      </c>
    </row>
    <row r="11969" customFormat="false" ht="15" hidden="false" customHeight="true" outlineLevel="0" collapsed="false">
      <c r="A11969" s="10" t="n">
        <f aca="false">Einstellungen!$B$5+INT((ROW()-9)/24)</f>
        <v>46464</v>
      </c>
      <c r="B11969" s="11" t="n">
        <f aca="false">MOD(ROW()-9,24)</f>
        <v>8</v>
      </c>
      <c r="C11969" s="12"/>
      <c r="D11969" s="13" t="n">
        <f aca="false">IF(B11969&lt;5,Einstellungen!$B$3,Einstellungen!$B$4)</f>
        <v>29.13</v>
      </c>
      <c r="E11969" s="14" t="str">
        <f aca="false">IF(C11969="","",C11969*D11969/100)</f>
        <v/>
      </c>
      <c r="F11969" s="15" t="str">
        <f aca="false">IF(B11969&lt;5,"Go","Standard")</f>
        <v>Standard</v>
      </c>
    </row>
    <row r="11970" customFormat="false" ht="15" hidden="false" customHeight="true" outlineLevel="0" collapsed="false">
      <c r="A11970" s="10" t="n">
        <f aca="false">Einstellungen!$B$5+INT((ROW()-9)/24)</f>
        <v>46464</v>
      </c>
      <c r="B11970" s="11" t="n">
        <f aca="false">MOD(ROW()-9,24)</f>
        <v>9</v>
      </c>
      <c r="C11970" s="12"/>
      <c r="D11970" s="13" t="n">
        <f aca="false">IF(B11970&lt;5,Einstellungen!$B$3,Einstellungen!$B$4)</f>
        <v>29.13</v>
      </c>
      <c r="E11970" s="14" t="str">
        <f aca="false">IF(C11970="","",C11970*D11970/100)</f>
        <v/>
      </c>
      <c r="F11970" s="15" t="str">
        <f aca="false">IF(B11970&lt;5,"Go","Standard")</f>
        <v>Standard</v>
      </c>
    </row>
    <row r="11971" customFormat="false" ht="15" hidden="false" customHeight="true" outlineLevel="0" collapsed="false">
      <c r="A11971" s="10" t="n">
        <f aca="false">Einstellungen!$B$5+INT((ROW()-9)/24)</f>
        <v>46464</v>
      </c>
      <c r="B11971" s="11" t="n">
        <f aca="false">MOD(ROW()-9,24)</f>
        <v>10</v>
      </c>
      <c r="C11971" s="12"/>
      <c r="D11971" s="13" t="n">
        <f aca="false">IF(B11971&lt;5,Einstellungen!$B$3,Einstellungen!$B$4)</f>
        <v>29.13</v>
      </c>
      <c r="E11971" s="14" t="str">
        <f aca="false">IF(C11971="","",C11971*D11971/100)</f>
        <v/>
      </c>
      <c r="F11971" s="15" t="str">
        <f aca="false">IF(B11971&lt;5,"Go","Standard")</f>
        <v>Standard</v>
      </c>
    </row>
    <row r="11972" customFormat="false" ht="15" hidden="false" customHeight="true" outlineLevel="0" collapsed="false">
      <c r="A11972" s="10" t="n">
        <f aca="false">Einstellungen!$B$5+INT((ROW()-9)/24)</f>
        <v>46464</v>
      </c>
      <c r="B11972" s="11" t="n">
        <f aca="false">MOD(ROW()-9,24)</f>
        <v>11</v>
      </c>
      <c r="C11972" s="12"/>
      <c r="D11972" s="13" t="n">
        <f aca="false">IF(B11972&lt;5,Einstellungen!$B$3,Einstellungen!$B$4)</f>
        <v>29.13</v>
      </c>
      <c r="E11972" s="14" t="str">
        <f aca="false">IF(C11972="","",C11972*D11972/100)</f>
        <v/>
      </c>
      <c r="F11972" s="15" t="str">
        <f aca="false">IF(B11972&lt;5,"Go","Standard")</f>
        <v>Standard</v>
      </c>
    </row>
    <row r="11973" customFormat="false" ht="15" hidden="false" customHeight="true" outlineLevel="0" collapsed="false">
      <c r="A11973" s="10" t="n">
        <f aca="false">Einstellungen!$B$5+INT((ROW()-9)/24)</f>
        <v>46464</v>
      </c>
      <c r="B11973" s="11" t="n">
        <f aca="false">MOD(ROW()-9,24)</f>
        <v>12</v>
      </c>
      <c r="C11973" s="12"/>
      <c r="D11973" s="13" t="n">
        <f aca="false">IF(B11973&lt;5,Einstellungen!$B$3,Einstellungen!$B$4)</f>
        <v>29.13</v>
      </c>
      <c r="E11973" s="14" t="str">
        <f aca="false">IF(C11973="","",C11973*D11973/100)</f>
        <v/>
      </c>
      <c r="F11973" s="15" t="str">
        <f aca="false">IF(B11973&lt;5,"Go","Standard")</f>
        <v>Standard</v>
      </c>
    </row>
    <row r="11974" customFormat="false" ht="15" hidden="false" customHeight="true" outlineLevel="0" collapsed="false">
      <c r="A11974" s="10" t="n">
        <f aca="false">Einstellungen!$B$5+INT((ROW()-9)/24)</f>
        <v>46464</v>
      </c>
      <c r="B11974" s="11" t="n">
        <f aca="false">MOD(ROW()-9,24)</f>
        <v>13</v>
      </c>
      <c r="C11974" s="12"/>
      <c r="D11974" s="13" t="n">
        <f aca="false">IF(B11974&lt;5,Einstellungen!$B$3,Einstellungen!$B$4)</f>
        <v>29.13</v>
      </c>
      <c r="E11974" s="14" t="str">
        <f aca="false">IF(C11974="","",C11974*D11974/100)</f>
        <v/>
      </c>
      <c r="F11974" s="15" t="str">
        <f aca="false">IF(B11974&lt;5,"Go","Standard")</f>
        <v>Standard</v>
      </c>
    </row>
    <row r="11975" customFormat="false" ht="15" hidden="false" customHeight="true" outlineLevel="0" collapsed="false">
      <c r="A11975" s="10" t="n">
        <f aca="false">Einstellungen!$B$5+INT((ROW()-9)/24)</f>
        <v>46464</v>
      </c>
      <c r="B11975" s="11" t="n">
        <f aca="false">MOD(ROW()-9,24)</f>
        <v>14</v>
      </c>
      <c r="C11975" s="12"/>
      <c r="D11975" s="13" t="n">
        <f aca="false">IF(B11975&lt;5,Einstellungen!$B$3,Einstellungen!$B$4)</f>
        <v>29.13</v>
      </c>
      <c r="E11975" s="14" t="str">
        <f aca="false">IF(C11975="","",C11975*D11975/100)</f>
        <v/>
      </c>
      <c r="F11975" s="15" t="str">
        <f aca="false">IF(B11975&lt;5,"Go","Standard")</f>
        <v>Standard</v>
      </c>
    </row>
    <row r="11976" customFormat="false" ht="15" hidden="false" customHeight="true" outlineLevel="0" collapsed="false">
      <c r="A11976" s="10" t="n">
        <f aca="false">Einstellungen!$B$5+INT((ROW()-9)/24)</f>
        <v>46464</v>
      </c>
      <c r="B11976" s="11" t="n">
        <f aca="false">MOD(ROW()-9,24)</f>
        <v>15</v>
      </c>
      <c r="C11976" s="12"/>
      <c r="D11976" s="13" t="n">
        <f aca="false">IF(B11976&lt;5,Einstellungen!$B$3,Einstellungen!$B$4)</f>
        <v>29.13</v>
      </c>
      <c r="E11976" s="14" t="str">
        <f aca="false">IF(C11976="","",C11976*D11976/100)</f>
        <v/>
      </c>
      <c r="F11976" s="15" t="str">
        <f aca="false">IF(B11976&lt;5,"Go","Standard")</f>
        <v>Standard</v>
      </c>
    </row>
    <row r="11977" customFormat="false" ht="15" hidden="false" customHeight="true" outlineLevel="0" collapsed="false">
      <c r="A11977" s="10" t="n">
        <f aca="false">Einstellungen!$B$5+INT((ROW()-9)/24)</f>
        <v>46464</v>
      </c>
      <c r="B11977" s="11" t="n">
        <f aca="false">MOD(ROW()-9,24)</f>
        <v>16</v>
      </c>
      <c r="C11977" s="12"/>
      <c r="D11977" s="13" t="n">
        <f aca="false">IF(B11977&lt;5,Einstellungen!$B$3,Einstellungen!$B$4)</f>
        <v>29.13</v>
      </c>
      <c r="E11977" s="14" t="str">
        <f aca="false">IF(C11977="","",C11977*D11977/100)</f>
        <v/>
      </c>
      <c r="F11977" s="15" t="str">
        <f aca="false">IF(B11977&lt;5,"Go","Standard")</f>
        <v>Standard</v>
      </c>
    </row>
    <row r="11978" customFormat="false" ht="15" hidden="false" customHeight="true" outlineLevel="0" collapsed="false">
      <c r="A11978" s="10" t="n">
        <f aca="false">Einstellungen!$B$5+INT((ROW()-9)/24)</f>
        <v>46464</v>
      </c>
      <c r="B11978" s="11" t="n">
        <f aca="false">MOD(ROW()-9,24)</f>
        <v>17</v>
      </c>
      <c r="C11978" s="12"/>
      <c r="D11978" s="13" t="n">
        <f aca="false">IF(B11978&lt;5,Einstellungen!$B$3,Einstellungen!$B$4)</f>
        <v>29.13</v>
      </c>
      <c r="E11978" s="14" t="str">
        <f aca="false">IF(C11978="","",C11978*D11978/100)</f>
        <v/>
      </c>
      <c r="F11978" s="15" t="str">
        <f aca="false">IF(B11978&lt;5,"Go","Standard")</f>
        <v>Standard</v>
      </c>
    </row>
    <row r="11979" customFormat="false" ht="15" hidden="false" customHeight="true" outlineLevel="0" collapsed="false">
      <c r="A11979" s="10" t="n">
        <f aca="false">Einstellungen!$B$5+INT((ROW()-9)/24)</f>
        <v>46464</v>
      </c>
      <c r="B11979" s="11" t="n">
        <f aca="false">MOD(ROW()-9,24)</f>
        <v>18</v>
      </c>
      <c r="C11979" s="12"/>
      <c r="D11979" s="13" t="n">
        <f aca="false">IF(B11979&lt;5,Einstellungen!$B$3,Einstellungen!$B$4)</f>
        <v>29.13</v>
      </c>
      <c r="E11979" s="14" t="str">
        <f aca="false">IF(C11979="","",C11979*D11979/100)</f>
        <v/>
      </c>
      <c r="F11979" s="15" t="str">
        <f aca="false">IF(B11979&lt;5,"Go","Standard")</f>
        <v>Standard</v>
      </c>
    </row>
    <row r="11980" customFormat="false" ht="15" hidden="false" customHeight="true" outlineLevel="0" collapsed="false">
      <c r="A11980" s="10" t="n">
        <f aca="false">Einstellungen!$B$5+INT((ROW()-9)/24)</f>
        <v>46464</v>
      </c>
      <c r="B11980" s="11" t="n">
        <f aca="false">MOD(ROW()-9,24)</f>
        <v>19</v>
      </c>
      <c r="C11980" s="12"/>
      <c r="D11980" s="13" t="n">
        <f aca="false">IF(B11980&lt;5,Einstellungen!$B$3,Einstellungen!$B$4)</f>
        <v>29.13</v>
      </c>
      <c r="E11980" s="14" t="str">
        <f aca="false">IF(C11980="","",C11980*D11980/100)</f>
        <v/>
      </c>
      <c r="F11980" s="15" t="str">
        <f aca="false">IF(B11980&lt;5,"Go","Standard")</f>
        <v>Standard</v>
      </c>
    </row>
    <row r="11981" customFormat="false" ht="15" hidden="false" customHeight="true" outlineLevel="0" collapsed="false">
      <c r="A11981" s="10" t="n">
        <f aca="false">Einstellungen!$B$5+INT((ROW()-9)/24)</f>
        <v>46464</v>
      </c>
      <c r="B11981" s="11" t="n">
        <f aca="false">MOD(ROW()-9,24)</f>
        <v>20</v>
      </c>
      <c r="C11981" s="12"/>
      <c r="D11981" s="13" t="n">
        <f aca="false">IF(B11981&lt;5,Einstellungen!$B$3,Einstellungen!$B$4)</f>
        <v>29.13</v>
      </c>
      <c r="E11981" s="14" t="str">
        <f aca="false">IF(C11981="","",C11981*D11981/100)</f>
        <v/>
      </c>
      <c r="F11981" s="15" t="str">
        <f aca="false">IF(B11981&lt;5,"Go","Standard")</f>
        <v>Standard</v>
      </c>
    </row>
    <row r="11982" customFormat="false" ht="15" hidden="false" customHeight="true" outlineLevel="0" collapsed="false">
      <c r="A11982" s="10" t="n">
        <f aca="false">Einstellungen!$B$5+INT((ROW()-9)/24)</f>
        <v>46464</v>
      </c>
      <c r="B11982" s="11" t="n">
        <f aca="false">MOD(ROW()-9,24)</f>
        <v>21</v>
      </c>
      <c r="C11982" s="12"/>
      <c r="D11982" s="13" t="n">
        <f aca="false">IF(B11982&lt;5,Einstellungen!$B$3,Einstellungen!$B$4)</f>
        <v>29.13</v>
      </c>
      <c r="E11982" s="14" t="str">
        <f aca="false">IF(C11982="","",C11982*D11982/100)</f>
        <v/>
      </c>
      <c r="F11982" s="15" t="str">
        <f aca="false">IF(B11982&lt;5,"Go","Standard")</f>
        <v>Standard</v>
      </c>
    </row>
    <row r="11983" customFormat="false" ht="15" hidden="false" customHeight="true" outlineLevel="0" collapsed="false">
      <c r="A11983" s="10" t="n">
        <f aca="false">Einstellungen!$B$5+INT((ROW()-9)/24)</f>
        <v>46464</v>
      </c>
      <c r="B11983" s="11" t="n">
        <f aca="false">MOD(ROW()-9,24)</f>
        <v>22</v>
      </c>
      <c r="C11983" s="12"/>
      <c r="D11983" s="13" t="n">
        <f aca="false">IF(B11983&lt;5,Einstellungen!$B$3,Einstellungen!$B$4)</f>
        <v>29.13</v>
      </c>
      <c r="E11983" s="14" t="str">
        <f aca="false">IF(C11983="","",C11983*D11983/100)</f>
        <v/>
      </c>
      <c r="F11983" s="15" t="str">
        <f aca="false">IF(B11983&lt;5,"Go","Standard")</f>
        <v>Standard</v>
      </c>
    </row>
    <row r="11984" customFormat="false" ht="15" hidden="false" customHeight="true" outlineLevel="0" collapsed="false">
      <c r="A11984" s="10" t="n">
        <f aca="false">Einstellungen!$B$5+INT((ROW()-9)/24)</f>
        <v>46464</v>
      </c>
      <c r="B11984" s="11" t="n">
        <f aca="false">MOD(ROW()-9,24)</f>
        <v>23</v>
      </c>
      <c r="C11984" s="12"/>
      <c r="D11984" s="13" t="n">
        <f aca="false">IF(B11984&lt;5,Einstellungen!$B$3,Einstellungen!$B$4)</f>
        <v>29.13</v>
      </c>
      <c r="E11984" s="14" t="str">
        <f aca="false">IF(C11984="","",C11984*D11984/100)</f>
        <v/>
      </c>
      <c r="F11984" s="15" t="str">
        <f aca="false">IF(B11984&lt;5,"Go","Standard")</f>
        <v>Standard</v>
      </c>
    </row>
    <row r="11985" customFormat="false" ht="15" hidden="false" customHeight="true" outlineLevel="0" collapsed="false">
      <c r="A11985" s="10" t="n">
        <f aca="false">Einstellungen!$B$5+INT((ROW()-9)/24)</f>
        <v>46465</v>
      </c>
      <c r="B11985" s="11" t="n">
        <f aca="false">MOD(ROW()-9,24)</f>
        <v>0</v>
      </c>
      <c r="C11985" s="12"/>
      <c r="D11985" s="13" t="n">
        <f aca="false">IF(B11985&lt;5,Einstellungen!$B$3,Einstellungen!$B$4)</f>
        <v>15.92</v>
      </c>
      <c r="E11985" s="14" t="str">
        <f aca="false">IF(C11985="","",C11985*D11985/100)</f>
        <v/>
      </c>
      <c r="F11985" s="15" t="str">
        <f aca="false">IF(B11985&lt;5,"Go","Standard")</f>
        <v>Go</v>
      </c>
    </row>
    <row r="11986" customFormat="false" ht="15" hidden="false" customHeight="true" outlineLevel="0" collapsed="false">
      <c r="A11986" s="10" t="n">
        <f aca="false">Einstellungen!$B$5+INT((ROW()-9)/24)</f>
        <v>46465</v>
      </c>
      <c r="B11986" s="11" t="n">
        <f aca="false">MOD(ROW()-9,24)</f>
        <v>1</v>
      </c>
      <c r="C11986" s="12"/>
      <c r="D11986" s="13" t="n">
        <f aca="false">IF(B11986&lt;5,Einstellungen!$B$3,Einstellungen!$B$4)</f>
        <v>15.92</v>
      </c>
      <c r="E11986" s="14" t="str">
        <f aca="false">IF(C11986="","",C11986*D11986/100)</f>
        <v/>
      </c>
      <c r="F11986" s="15" t="str">
        <f aca="false">IF(B11986&lt;5,"Go","Standard")</f>
        <v>Go</v>
      </c>
    </row>
    <row r="11987" customFormat="false" ht="15" hidden="false" customHeight="true" outlineLevel="0" collapsed="false">
      <c r="A11987" s="10" t="n">
        <f aca="false">Einstellungen!$B$5+INT((ROW()-9)/24)</f>
        <v>46465</v>
      </c>
      <c r="B11987" s="11" t="n">
        <f aca="false">MOD(ROW()-9,24)</f>
        <v>2</v>
      </c>
      <c r="C11987" s="12"/>
      <c r="D11987" s="13" t="n">
        <f aca="false">IF(B11987&lt;5,Einstellungen!$B$3,Einstellungen!$B$4)</f>
        <v>15.92</v>
      </c>
      <c r="E11987" s="14" t="str">
        <f aca="false">IF(C11987="","",C11987*D11987/100)</f>
        <v/>
      </c>
      <c r="F11987" s="15" t="str">
        <f aca="false">IF(B11987&lt;5,"Go","Standard")</f>
        <v>Go</v>
      </c>
    </row>
    <row r="11988" customFormat="false" ht="15" hidden="false" customHeight="true" outlineLevel="0" collapsed="false">
      <c r="A11988" s="10" t="n">
        <f aca="false">Einstellungen!$B$5+INT((ROW()-9)/24)</f>
        <v>46465</v>
      </c>
      <c r="B11988" s="11" t="n">
        <f aca="false">MOD(ROW()-9,24)</f>
        <v>3</v>
      </c>
      <c r="C11988" s="12"/>
      <c r="D11988" s="13" t="n">
        <f aca="false">IF(B11988&lt;5,Einstellungen!$B$3,Einstellungen!$B$4)</f>
        <v>15.92</v>
      </c>
      <c r="E11988" s="14" t="str">
        <f aca="false">IF(C11988="","",C11988*D11988/100)</f>
        <v/>
      </c>
      <c r="F11988" s="15" t="str">
        <f aca="false">IF(B11988&lt;5,"Go","Standard")</f>
        <v>Go</v>
      </c>
    </row>
    <row r="11989" customFormat="false" ht="15" hidden="false" customHeight="true" outlineLevel="0" collapsed="false">
      <c r="A11989" s="10" t="n">
        <f aca="false">Einstellungen!$B$5+INT((ROW()-9)/24)</f>
        <v>46465</v>
      </c>
      <c r="B11989" s="11" t="n">
        <f aca="false">MOD(ROW()-9,24)</f>
        <v>4</v>
      </c>
      <c r="C11989" s="12"/>
      <c r="D11989" s="13" t="n">
        <f aca="false">IF(B11989&lt;5,Einstellungen!$B$3,Einstellungen!$B$4)</f>
        <v>15.92</v>
      </c>
      <c r="E11989" s="14" t="str">
        <f aca="false">IF(C11989="","",C11989*D11989/100)</f>
        <v/>
      </c>
      <c r="F11989" s="15" t="str">
        <f aca="false">IF(B11989&lt;5,"Go","Standard")</f>
        <v>Go</v>
      </c>
    </row>
    <row r="11990" customFormat="false" ht="15" hidden="false" customHeight="true" outlineLevel="0" collapsed="false">
      <c r="A11990" s="10" t="n">
        <f aca="false">Einstellungen!$B$5+INT((ROW()-9)/24)</f>
        <v>46465</v>
      </c>
      <c r="B11990" s="11" t="n">
        <f aca="false">MOD(ROW()-9,24)</f>
        <v>5</v>
      </c>
      <c r="C11990" s="12"/>
      <c r="D11990" s="13" t="n">
        <f aca="false">IF(B11990&lt;5,Einstellungen!$B$3,Einstellungen!$B$4)</f>
        <v>29.13</v>
      </c>
      <c r="E11990" s="14" t="str">
        <f aca="false">IF(C11990="","",C11990*D11990/100)</f>
        <v/>
      </c>
      <c r="F11990" s="15" t="str">
        <f aca="false">IF(B11990&lt;5,"Go","Standard")</f>
        <v>Standard</v>
      </c>
    </row>
    <row r="11991" customFormat="false" ht="15" hidden="false" customHeight="true" outlineLevel="0" collapsed="false">
      <c r="A11991" s="10" t="n">
        <f aca="false">Einstellungen!$B$5+INT((ROW()-9)/24)</f>
        <v>46465</v>
      </c>
      <c r="B11991" s="11" t="n">
        <f aca="false">MOD(ROW()-9,24)</f>
        <v>6</v>
      </c>
      <c r="C11991" s="12"/>
      <c r="D11991" s="13" t="n">
        <f aca="false">IF(B11991&lt;5,Einstellungen!$B$3,Einstellungen!$B$4)</f>
        <v>29.13</v>
      </c>
      <c r="E11991" s="14" t="str">
        <f aca="false">IF(C11991="","",C11991*D11991/100)</f>
        <v/>
      </c>
      <c r="F11991" s="15" t="str">
        <f aca="false">IF(B11991&lt;5,"Go","Standard")</f>
        <v>Standard</v>
      </c>
    </row>
    <row r="11992" customFormat="false" ht="15" hidden="false" customHeight="true" outlineLevel="0" collapsed="false">
      <c r="A11992" s="10" t="n">
        <f aca="false">Einstellungen!$B$5+INT((ROW()-9)/24)</f>
        <v>46465</v>
      </c>
      <c r="B11992" s="11" t="n">
        <f aca="false">MOD(ROW()-9,24)</f>
        <v>7</v>
      </c>
      <c r="C11992" s="12"/>
      <c r="D11992" s="13" t="n">
        <f aca="false">IF(B11992&lt;5,Einstellungen!$B$3,Einstellungen!$B$4)</f>
        <v>29.13</v>
      </c>
      <c r="E11992" s="14" t="str">
        <f aca="false">IF(C11992="","",C11992*D11992/100)</f>
        <v/>
      </c>
      <c r="F11992" s="15" t="str">
        <f aca="false">IF(B11992&lt;5,"Go","Standard")</f>
        <v>Standard</v>
      </c>
    </row>
    <row r="11993" customFormat="false" ht="15" hidden="false" customHeight="true" outlineLevel="0" collapsed="false">
      <c r="A11993" s="10" t="n">
        <f aca="false">Einstellungen!$B$5+INT((ROW()-9)/24)</f>
        <v>46465</v>
      </c>
      <c r="B11993" s="11" t="n">
        <f aca="false">MOD(ROW()-9,24)</f>
        <v>8</v>
      </c>
      <c r="C11993" s="12"/>
      <c r="D11993" s="13" t="n">
        <f aca="false">IF(B11993&lt;5,Einstellungen!$B$3,Einstellungen!$B$4)</f>
        <v>29.13</v>
      </c>
      <c r="E11993" s="14" t="str">
        <f aca="false">IF(C11993="","",C11993*D11993/100)</f>
        <v/>
      </c>
      <c r="F11993" s="15" t="str">
        <f aca="false">IF(B11993&lt;5,"Go","Standard")</f>
        <v>Standard</v>
      </c>
    </row>
    <row r="11994" customFormat="false" ht="15" hidden="false" customHeight="true" outlineLevel="0" collapsed="false">
      <c r="A11994" s="10" t="n">
        <f aca="false">Einstellungen!$B$5+INT((ROW()-9)/24)</f>
        <v>46465</v>
      </c>
      <c r="B11994" s="11" t="n">
        <f aca="false">MOD(ROW()-9,24)</f>
        <v>9</v>
      </c>
      <c r="C11994" s="12"/>
      <c r="D11994" s="13" t="n">
        <f aca="false">IF(B11994&lt;5,Einstellungen!$B$3,Einstellungen!$B$4)</f>
        <v>29.13</v>
      </c>
      <c r="E11994" s="14" t="str">
        <f aca="false">IF(C11994="","",C11994*D11994/100)</f>
        <v/>
      </c>
      <c r="F11994" s="15" t="str">
        <f aca="false">IF(B11994&lt;5,"Go","Standard")</f>
        <v>Standard</v>
      </c>
    </row>
    <row r="11995" customFormat="false" ht="15" hidden="false" customHeight="true" outlineLevel="0" collapsed="false">
      <c r="A11995" s="10" t="n">
        <f aca="false">Einstellungen!$B$5+INT((ROW()-9)/24)</f>
        <v>46465</v>
      </c>
      <c r="B11995" s="11" t="n">
        <f aca="false">MOD(ROW()-9,24)</f>
        <v>10</v>
      </c>
      <c r="C11995" s="12"/>
      <c r="D11995" s="13" t="n">
        <f aca="false">IF(B11995&lt;5,Einstellungen!$B$3,Einstellungen!$B$4)</f>
        <v>29.13</v>
      </c>
      <c r="E11995" s="14" t="str">
        <f aca="false">IF(C11995="","",C11995*D11995/100)</f>
        <v/>
      </c>
      <c r="F11995" s="15" t="str">
        <f aca="false">IF(B11995&lt;5,"Go","Standard")</f>
        <v>Standard</v>
      </c>
    </row>
    <row r="11996" customFormat="false" ht="15" hidden="false" customHeight="true" outlineLevel="0" collapsed="false">
      <c r="A11996" s="10" t="n">
        <f aca="false">Einstellungen!$B$5+INT((ROW()-9)/24)</f>
        <v>46465</v>
      </c>
      <c r="B11996" s="11" t="n">
        <f aca="false">MOD(ROW()-9,24)</f>
        <v>11</v>
      </c>
      <c r="C11996" s="12"/>
      <c r="D11996" s="13" t="n">
        <f aca="false">IF(B11996&lt;5,Einstellungen!$B$3,Einstellungen!$B$4)</f>
        <v>29.13</v>
      </c>
      <c r="E11996" s="14" t="str">
        <f aca="false">IF(C11996="","",C11996*D11996/100)</f>
        <v/>
      </c>
      <c r="F11996" s="15" t="str">
        <f aca="false">IF(B11996&lt;5,"Go","Standard")</f>
        <v>Standard</v>
      </c>
    </row>
    <row r="11997" customFormat="false" ht="15" hidden="false" customHeight="true" outlineLevel="0" collapsed="false">
      <c r="A11997" s="10" t="n">
        <f aca="false">Einstellungen!$B$5+INT((ROW()-9)/24)</f>
        <v>46465</v>
      </c>
      <c r="B11997" s="11" t="n">
        <f aca="false">MOD(ROW()-9,24)</f>
        <v>12</v>
      </c>
      <c r="C11997" s="12"/>
      <c r="D11997" s="13" t="n">
        <f aca="false">IF(B11997&lt;5,Einstellungen!$B$3,Einstellungen!$B$4)</f>
        <v>29.13</v>
      </c>
      <c r="E11997" s="14" t="str">
        <f aca="false">IF(C11997="","",C11997*D11997/100)</f>
        <v/>
      </c>
      <c r="F11997" s="15" t="str">
        <f aca="false">IF(B11997&lt;5,"Go","Standard")</f>
        <v>Standard</v>
      </c>
    </row>
    <row r="11998" customFormat="false" ht="15" hidden="false" customHeight="true" outlineLevel="0" collapsed="false">
      <c r="A11998" s="10" t="n">
        <f aca="false">Einstellungen!$B$5+INT((ROW()-9)/24)</f>
        <v>46465</v>
      </c>
      <c r="B11998" s="11" t="n">
        <f aca="false">MOD(ROW()-9,24)</f>
        <v>13</v>
      </c>
      <c r="C11998" s="12"/>
      <c r="D11998" s="13" t="n">
        <f aca="false">IF(B11998&lt;5,Einstellungen!$B$3,Einstellungen!$B$4)</f>
        <v>29.13</v>
      </c>
      <c r="E11998" s="14" t="str">
        <f aca="false">IF(C11998="","",C11998*D11998/100)</f>
        <v/>
      </c>
      <c r="F11998" s="15" t="str">
        <f aca="false">IF(B11998&lt;5,"Go","Standard")</f>
        <v>Standard</v>
      </c>
    </row>
    <row r="11999" customFormat="false" ht="15" hidden="false" customHeight="true" outlineLevel="0" collapsed="false">
      <c r="A11999" s="10" t="n">
        <f aca="false">Einstellungen!$B$5+INT((ROW()-9)/24)</f>
        <v>46465</v>
      </c>
      <c r="B11999" s="11" t="n">
        <f aca="false">MOD(ROW()-9,24)</f>
        <v>14</v>
      </c>
      <c r="C11999" s="12"/>
      <c r="D11999" s="13" t="n">
        <f aca="false">IF(B11999&lt;5,Einstellungen!$B$3,Einstellungen!$B$4)</f>
        <v>29.13</v>
      </c>
      <c r="E11999" s="14" t="str">
        <f aca="false">IF(C11999="","",C11999*D11999/100)</f>
        <v/>
      </c>
      <c r="F11999" s="15" t="str">
        <f aca="false">IF(B11999&lt;5,"Go","Standard")</f>
        <v>Standard</v>
      </c>
    </row>
    <row r="12000" customFormat="false" ht="15" hidden="false" customHeight="true" outlineLevel="0" collapsed="false">
      <c r="A12000" s="10" t="n">
        <f aca="false">Einstellungen!$B$5+INT((ROW()-9)/24)</f>
        <v>46465</v>
      </c>
      <c r="B12000" s="11" t="n">
        <f aca="false">MOD(ROW()-9,24)</f>
        <v>15</v>
      </c>
      <c r="C12000" s="12"/>
      <c r="D12000" s="13" t="n">
        <f aca="false">IF(B12000&lt;5,Einstellungen!$B$3,Einstellungen!$B$4)</f>
        <v>29.13</v>
      </c>
      <c r="E12000" s="14" t="str">
        <f aca="false">IF(C12000="","",C12000*D12000/100)</f>
        <v/>
      </c>
      <c r="F12000" s="15" t="str">
        <f aca="false">IF(B12000&lt;5,"Go","Standard")</f>
        <v>Standard</v>
      </c>
    </row>
    <row r="12001" customFormat="false" ht="15" hidden="false" customHeight="true" outlineLevel="0" collapsed="false">
      <c r="A12001" s="10" t="n">
        <f aca="false">Einstellungen!$B$5+INT((ROW()-9)/24)</f>
        <v>46465</v>
      </c>
      <c r="B12001" s="11" t="n">
        <f aca="false">MOD(ROW()-9,24)</f>
        <v>16</v>
      </c>
      <c r="C12001" s="12"/>
      <c r="D12001" s="13" t="n">
        <f aca="false">IF(B12001&lt;5,Einstellungen!$B$3,Einstellungen!$B$4)</f>
        <v>29.13</v>
      </c>
      <c r="E12001" s="14" t="str">
        <f aca="false">IF(C12001="","",C12001*D12001/100)</f>
        <v/>
      </c>
      <c r="F12001" s="15" t="str">
        <f aca="false">IF(B12001&lt;5,"Go","Standard")</f>
        <v>Standard</v>
      </c>
    </row>
    <row r="12002" customFormat="false" ht="15" hidden="false" customHeight="true" outlineLevel="0" collapsed="false">
      <c r="A12002" s="10" t="n">
        <f aca="false">Einstellungen!$B$5+INT((ROW()-9)/24)</f>
        <v>46465</v>
      </c>
      <c r="B12002" s="11" t="n">
        <f aca="false">MOD(ROW()-9,24)</f>
        <v>17</v>
      </c>
      <c r="C12002" s="12"/>
      <c r="D12002" s="13" t="n">
        <f aca="false">IF(B12002&lt;5,Einstellungen!$B$3,Einstellungen!$B$4)</f>
        <v>29.13</v>
      </c>
      <c r="E12002" s="14" t="str">
        <f aca="false">IF(C12002="","",C12002*D12002/100)</f>
        <v/>
      </c>
      <c r="F12002" s="15" t="str">
        <f aca="false">IF(B12002&lt;5,"Go","Standard")</f>
        <v>Standard</v>
      </c>
    </row>
    <row r="12003" customFormat="false" ht="15" hidden="false" customHeight="true" outlineLevel="0" collapsed="false">
      <c r="A12003" s="10" t="n">
        <f aca="false">Einstellungen!$B$5+INT((ROW()-9)/24)</f>
        <v>46465</v>
      </c>
      <c r="B12003" s="11" t="n">
        <f aca="false">MOD(ROW()-9,24)</f>
        <v>18</v>
      </c>
      <c r="C12003" s="12"/>
      <c r="D12003" s="13" t="n">
        <f aca="false">IF(B12003&lt;5,Einstellungen!$B$3,Einstellungen!$B$4)</f>
        <v>29.13</v>
      </c>
      <c r="E12003" s="14" t="str">
        <f aca="false">IF(C12003="","",C12003*D12003/100)</f>
        <v/>
      </c>
      <c r="F12003" s="15" t="str">
        <f aca="false">IF(B12003&lt;5,"Go","Standard")</f>
        <v>Standard</v>
      </c>
    </row>
    <row r="12004" customFormat="false" ht="15" hidden="false" customHeight="true" outlineLevel="0" collapsed="false">
      <c r="A12004" s="10" t="n">
        <f aca="false">Einstellungen!$B$5+INT((ROW()-9)/24)</f>
        <v>46465</v>
      </c>
      <c r="B12004" s="11" t="n">
        <f aca="false">MOD(ROW()-9,24)</f>
        <v>19</v>
      </c>
      <c r="C12004" s="12"/>
      <c r="D12004" s="13" t="n">
        <f aca="false">IF(B12004&lt;5,Einstellungen!$B$3,Einstellungen!$B$4)</f>
        <v>29.13</v>
      </c>
      <c r="E12004" s="14" t="str">
        <f aca="false">IF(C12004="","",C12004*D12004/100)</f>
        <v/>
      </c>
      <c r="F12004" s="15" t="str">
        <f aca="false">IF(B12004&lt;5,"Go","Standard")</f>
        <v>Standard</v>
      </c>
    </row>
    <row r="12005" customFormat="false" ht="15" hidden="false" customHeight="true" outlineLevel="0" collapsed="false">
      <c r="A12005" s="10" t="n">
        <f aca="false">Einstellungen!$B$5+INT((ROW()-9)/24)</f>
        <v>46465</v>
      </c>
      <c r="B12005" s="11" t="n">
        <f aca="false">MOD(ROW()-9,24)</f>
        <v>20</v>
      </c>
      <c r="C12005" s="12"/>
      <c r="D12005" s="13" t="n">
        <f aca="false">IF(B12005&lt;5,Einstellungen!$B$3,Einstellungen!$B$4)</f>
        <v>29.13</v>
      </c>
      <c r="E12005" s="14" t="str">
        <f aca="false">IF(C12005="","",C12005*D12005/100)</f>
        <v/>
      </c>
      <c r="F12005" s="15" t="str">
        <f aca="false">IF(B12005&lt;5,"Go","Standard")</f>
        <v>Standard</v>
      </c>
    </row>
    <row r="12006" customFormat="false" ht="15" hidden="false" customHeight="true" outlineLevel="0" collapsed="false">
      <c r="A12006" s="10" t="n">
        <f aca="false">Einstellungen!$B$5+INT((ROW()-9)/24)</f>
        <v>46465</v>
      </c>
      <c r="B12006" s="11" t="n">
        <f aca="false">MOD(ROW()-9,24)</f>
        <v>21</v>
      </c>
      <c r="C12006" s="12"/>
      <c r="D12006" s="13" t="n">
        <f aca="false">IF(B12006&lt;5,Einstellungen!$B$3,Einstellungen!$B$4)</f>
        <v>29.13</v>
      </c>
      <c r="E12006" s="14" t="str">
        <f aca="false">IF(C12006="","",C12006*D12006/100)</f>
        <v/>
      </c>
      <c r="F12006" s="15" t="str">
        <f aca="false">IF(B12006&lt;5,"Go","Standard")</f>
        <v>Standard</v>
      </c>
    </row>
    <row r="12007" customFormat="false" ht="15" hidden="false" customHeight="true" outlineLevel="0" collapsed="false">
      <c r="A12007" s="10" t="n">
        <f aca="false">Einstellungen!$B$5+INT((ROW()-9)/24)</f>
        <v>46465</v>
      </c>
      <c r="B12007" s="11" t="n">
        <f aca="false">MOD(ROW()-9,24)</f>
        <v>22</v>
      </c>
      <c r="C12007" s="12"/>
      <c r="D12007" s="13" t="n">
        <f aca="false">IF(B12007&lt;5,Einstellungen!$B$3,Einstellungen!$B$4)</f>
        <v>29.13</v>
      </c>
      <c r="E12007" s="14" t="str">
        <f aca="false">IF(C12007="","",C12007*D12007/100)</f>
        <v/>
      </c>
      <c r="F12007" s="15" t="str">
        <f aca="false">IF(B12007&lt;5,"Go","Standard")</f>
        <v>Standard</v>
      </c>
    </row>
    <row r="12008" customFormat="false" ht="15" hidden="false" customHeight="true" outlineLevel="0" collapsed="false">
      <c r="A12008" s="10" t="n">
        <f aca="false">Einstellungen!$B$5+INT((ROW()-9)/24)</f>
        <v>46465</v>
      </c>
      <c r="B12008" s="11" t="n">
        <f aca="false">MOD(ROW()-9,24)</f>
        <v>23</v>
      </c>
      <c r="C12008" s="12"/>
      <c r="D12008" s="13" t="n">
        <f aca="false">IF(B12008&lt;5,Einstellungen!$B$3,Einstellungen!$B$4)</f>
        <v>29.13</v>
      </c>
      <c r="E12008" s="14" t="str">
        <f aca="false">IF(C12008="","",C12008*D12008/100)</f>
        <v/>
      </c>
      <c r="F12008" s="15" t="str">
        <f aca="false">IF(B12008&lt;5,"Go","Standard")</f>
        <v>Standard</v>
      </c>
    </row>
    <row r="12009" customFormat="false" ht="15" hidden="false" customHeight="true" outlineLevel="0" collapsed="false">
      <c r="A12009" s="10" t="n">
        <f aca="false">Einstellungen!$B$5+INT((ROW()-9)/24)</f>
        <v>46466</v>
      </c>
      <c r="B12009" s="11" t="n">
        <f aca="false">MOD(ROW()-9,24)</f>
        <v>0</v>
      </c>
      <c r="C12009" s="12"/>
      <c r="D12009" s="13" t="n">
        <f aca="false">IF(B12009&lt;5,Einstellungen!$B$3,Einstellungen!$B$4)</f>
        <v>15.92</v>
      </c>
      <c r="E12009" s="14" t="str">
        <f aca="false">IF(C12009="","",C12009*D12009/100)</f>
        <v/>
      </c>
      <c r="F12009" s="15" t="str">
        <f aca="false">IF(B12009&lt;5,"Go","Standard")</f>
        <v>Go</v>
      </c>
    </row>
    <row r="12010" customFormat="false" ht="15" hidden="false" customHeight="true" outlineLevel="0" collapsed="false">
      <c r="A12010" s="10" t="n">
        <f aca="false">Einstellungen!$B$5+INT((ROW()-9)/24)</f>
        <v>46466</v>
      </c>
      <c r="B12010" s="11" t="n">
        <f aca="false">MOD(ROW()-9,24)</f>
        <v>1</v>
      </c>
      <c r="C12010" s="12"/>
      <c r="D12010" s="13" t="n">
        <f aca="false">IF(B12010&lt;5,Einstellungen!$B$3,Einstellungen!$B$4)</f>
        <v>15.92</v>
      </c>
      <c r="E12010" s="14" t="str">
        <f aca="false">IF(C12010="","",C12010*D12010/100)</f>
        <v/>
      </c>
      <c r="F12010" s="15" t="str">
        <f aca="false">IF(B12010&lt;5,"Go","Standard")</f>
        <v>Go</v>
      </c>
    </row>
    <row r="12011" customFormat="false" ht="15" hidden="false" customHeight="true" outlineLevel="0" collapsed="false">
      <c r="A12011" s="10" t="n">
        <f aca="false">Einstellungen!$B$5+INT((ROW()-9)/24)</f>
        <v>46466</v>
      </c>
      <c r="B12011" s="11" t="n">
        <f aca="false">MOD(ROW()-9,24)</f>
        <v>2</v>
      </c>
      <c r="C12011" s="12"/>
      <c r="D12011" s="13" t="n">
        <f aca="false">IF(B12011&lt;5,Einstellungen!$B$3,Einstellungen!$B$4)</f>
        <v>15.92</v>
      </c>
      <c r="E12011" s="14" t="str">
        <f aca="false">IF(C12011="","",C12011*D12011/100)</f>
        <v/>
      </c>
      <c r="F12011" s="15" t="str">
        <f aca="false">IF(B12011&lt;5,"Go","Standard")</f>
        <v>Go</v>
      </c>
    </row>
    <row r="12012" customFormat="false" ht="15" hidden="false" customHeight="true" outlineLevel="0" collapsed="false">
      <c r="A12012" s="10" t="n">
        <f aca="false">Einstellungen!$B$5+INT((ROW()-9)/24)</f>
        <v>46466</v>
      </c>
      <c r="B12012" s="11" t="n">
        <f aca="false">MOD(ROW()-9,24)</f>
        <v>3</v>
      </c>
      <c r="C12012" s="12"/>
      <c r="D12012" s="13" t="n">
        <f aca="false">IF(B12012&lt;5,Einstellungen!$B$3,Einstellungen!$B$4)</f>
        <v>15.92</v>
      </c>
      <c r="E12012" s="14" t="str">
        <f aca="false">IF(C12012="","",C12012*D12012/100)</f>
        <v/>
      </c>
      <c r="F12012" s="15" t="str">
        <f aca="false">IF(B12012&lt;5,"Go","Standard")</f>
        <v>Go</v>
      </c>
    </row>
    <row r="12013" customFormat="false" ht="15" hidden="false" customHeight="true" outlineLevel="0" collapsed="false">
      <c r="A12013" s="10" t="n">
        <f aca="false">Einstellungen!$B$5+INT((ROW()-9)/24)</f>
        <v>46466</v>
      </c>
      <c r="B12013" s="11" t="n">
        <f aca="false">MOD(ROW()-9,24)</f>
        <v>4</v>
      </c>
      <c r="C12013" s="12"/>
      <c r="D12013" s="13" t="n">
        <f aca="false">IF(B12013&lt;5,Einstellungen!$B$3,Einstellungen!$B$4)</f>
        <v>15.92</v>
      </c>
      <c r="E12013" s="14" t="str">
        <f aca="false">IF(C12013="","",C12013*D12013/100)</f>
        <v/>
      </c>
      <c r="F12013" s="15" t="str">
        <f aca="false">IF(B12013&lt;5,"Go","Standard")</f>
        <v>Go</v>
      </c>
    </row>
    <row r="12014" customFormat="false" ht="15" hidden="false" customHeight="true" outlineLevel="0" collapsed="false">
      <c r="A12014" s="10" t="n">
        <f aca="false">Einstellungen!$B$5+INT((ROW()-9)/24)</f>
        <v>46466</v>
      </c>
      <c r="B12014" s="11" t="n">
        <f aca="false">MOD(ROW()-9,24)</f>
        <v>5</v>
      </c>
      <c r="C12014" s="12"/>
      <c r="D12014" s="13" t="n">
        <f aca="false">IF(B12014&lt;5,Einstellungen!$B$3,Einstellungen!$B$4)</f>
        <v>29.13</v>
      </c>
      <c r="E12014" s="14" t="str">
        <f aca="false">IF(C12014="","",C12014*D12014/100)</f>
        <v/>
      </c>
      <c r="F12014" s="15" t="str">
        <f aca="false">IF(B12014&lt;5,"Go","Standard")</f>
        <v>Standard</v>
      </c>
    </row>
    <row r="12015" customFormat="false" ht="15" hidden="false" customHeight="true" outlineLevel="0" collapsed="false">
      <c r="A12015" s="10" t="n">
        <f aca="false">Einstellungen!$B$5+INT((ROW()-9)/24)</f>
        <v>46466</v>
      </c>
      <c r="B12015" s="11" t="n">
        <f aca="false">MOD(ROW()-9,24)</f>
        <v>6</v>
      </c>
      <c r="C12015" s="12"/>
      <c r="D12015" s="13" t="n">
        <f aca="false">IF(B12015&lt;5,Einstellungen!$B$3,Einstellungen!$B$4)</f>
        <v>29.13</v>
      </c>
      <c r="E12015" s="14" t="str">
        <f aca="false">IF(C12015="","",C12015*D12015/100)</f>
        <v/>
      </c>
      <c r="F12015" s="15" t="str">
        <f aca="false">IF(B12015&lt;5,"Go","Standard")</f>
        <v>Standard</v>
      </c>
    </row>
    <row r="12016" customFormat="false" ht="15" hidden="false" customHeight="true" outlineLevel="0" collapsed="false">
      <c r="A12016" s="10" t="n">
        <f aca="false">Einstellungen!$B$5+INT((ROW()-9)/24)</f>
        <v>46466</v>
      </c>
      <c r="B12016" s="11" t="n">
        <f aca="false">MOD(ROW()-9,24)</f>
        <v>7</v>
      </c>
      <c r="C12016" s="12"/>
      <c r="D12016" s="13" t="n">
        <f aca="false">IF(B12016&lt;5,Einstellungen!$B$3,Einstellungen!$B$4)</f>
        <v>29.13</v>
      </c>
      <c r="E12016" s="14" t="str">
        <f aca="false">IF(C12016="","",C12016*D12016/100)</f>
        <v/>
      </c>
      <c r="F12016" s="15" t="str">
        <f aca="false">IF(B12016&lt;5,"Go","Standard")</f>
        <v>Standard</v>
      </c>
    </row>
    <row r="12017" customFormat="false" ht="15" hidden="false" customHeight="true" outlineLevel="0" collapsed="false">
      <c r="A12017" s="10" t="n">
        <f aca="false">Einstellungen!$B$5+INT((ROW()-9)/24)</f>
        <v>46466</v>
      </c>
      <c r="B12017" s="11" t="n">
        <f aca="false">MOD(ROW()-9,24)</f>
        <v>8</v>
      </c>
      <c r="C12017" s="12"/>
      <c r="D12017" s="13" t="n">
        <f aca="false">IF(B12017&lt;5,Einstellungen!$B$3,Einstellungen!$B$4)</f>
        <v>29.13</v>
      </c>
      <c r="E12017" s="14" t="str">
        <f aca="false">IF(C12017="","",C12017*D12017/100)</f>
        <v/>
      </c>
      <c r="F12017" s="15" t="str">
        <f aca="false">IF(B12017&lt;5,"Go","Standard")</f>
        <v>Standard</v>
      </c>
    </row>
    <row r="12018" customFormat="false" ht="15" hidden="false" customHeight="true" outlineLevel="0" collapsed="false">
      <c r="A12018" s="10" t="n">
        <f aca="false">Einstellungen!$B$5+INT((ROW()-9)/24)</f>
        <v>46466</v>
      </c>
      <c r="B12018" s="11" t="n">
        <f aca="false">MOD(ROW()-9,24)</f>
        <v>9</v>
      </c>
      <c r="C12018" s="12"/>
      <c r="D12018" s="13" t="n">
        <f aca="false">IF(B12018&lt;5,Einstellungen!$B$3,Einstellungen!$B$4)</f>
        <v>29.13</v>
      </c>
      <c r="E12018" s="14" t="str">
        <f aca="false">IF(C12018="","",C12018*D12018/100)</f>
        <v/>
      </c>
      <c r="F12018" s="15" t="str">
        <f aca="false">IF(B12018&lt;5,"Go","Standard")</f>
        <v>Standard</v>
      </c>
    </row>
    <row r="12019" customFormat="false" ht="15" hidden="false" customHeight="true" outlineLevel="0" collapsed="false">
      <c r="A12019" s="10" t="n">
        <f aca="false">Einstellungen!$B$5+INT((ROW()-9)/24)</f>
        <v>46466</v>
      </c>
      <c r="B12019" s="11" t="n">
        <f aca="false">MOD(ROW()-9,24)</f>
        <v>10</v>
      </c>
      <c r="C12019" s="12"/>
      <c r="D12019" s="13" t="n">
        <f aca="false">IF(B12019&lt;5,Einstellungen!$B$3,Einstellungen!$B$4)</f>
        <v>29.13</v>
      </c>
      <c r="E12019" s="14" t="str">
        <f aca="false">IF(C12019="","",C12019*D12019/100)</f>
        <v/>
      </c>
      <c r="F12019" s="15" t="str">
        <f aca="false">IF(B12019&lt;5,"Go","Standard")</f>
        <v>Standard</v>
      </c>
    </row>
    <row r="12020" customFormat="false" ht="15" hidden="false" customHeight="true" outlineLevel="0" collapsed="false">
      <c r="A12020" s="10" t="n">
        <f aca="false">Einstellungen!$B$5+INT((ROW()-9)/24)</f>
        <v>46466</v>
      </c>
      <c r="B12020" s="11" t="n">
        <f aca="false">MOD(ROW()-9,24)</f>
        <v>11</v>
      </c>
      <c r="C12020" s="12"/>
      <c r="D12020" s="13" t="n">
        <f aca="false">IF(B12020&lt;5,Einstellungen!$B$3,Einstellungen!$B$4)</f>
        <v>29.13</v>
      </c>
      <c r="E12020" s="14" t="str">
        <f aca="false">IF(C12020="","",C12020*D12020/100)</f>
        <v/>
      </c>
      <c r="F12020" s="15" t="str">
        <f aca="false">IF(B12020&lt;5,"Go","Standard")</f>
        <v>Standard</v>
      </c>
    </row>
    <row r="12021" customFormat="false" ht="15" hidden="false" customHeight="true" outlineLevel="0" collapsed="false">
      <c r="A12021" s="10" t="n">
        <f aca="false">Einstellungen!$B$5+INT((ROW()-9)/24)</f>
        <v>46466</v>
      </c>
      <c r="B12021" s="11" t="n">
        <f aca="false">MOD(ROW()-9,24)</f>
        <v>12</v>
      </c>
      <c r="C12021" s="12"/>
      <c r="D12021" s="13" t="n">
        <f aca="false">IF(B12021&lt;5,Einstellungen!$B$3,Einstellungen!$B$4)</f>
        <v>29.13</v>
      </c>
      <c r="E12021" s="14" t="str">
        <f aca="false">IF(C12021="","",C12021*D12021/100)</f>
        <v/>
      </c>
      <c r="F12021" s="15" t="str">
        <f aca="false">IF(B12021&lt;5,"Go","Standard")</f>
        <v>Standard</v>
      </c>
    </row>
    <row r="12022" customFormat="false" ht="15" hidden="false" customHeight="true" outlineLevel="0" collapsed="false">
      <c r="A12022" s="10" t="n">
        <f aca="false">Einstellungen!$B$5+INT((ROW()-9)/24)</f>
        <v>46466</v>
      </c>
      <c r="B12022" s="11" t="n">
        <f aca="false">MOD(ROW()-9,24)</f>
        <v>13</v>
      </c>
      <c r="C12022" s="12"/>
      <c r="D12022" s="13" t="n">
        <f aca="false">IF(B12022&lt;5,Einstellungen!$B$3,Einstellungen!$B$4)</f>
        <v>29.13</v>
      </c>
      <c r="E12022" s="14" t="str">
        <f aca="false">IF(C12022="","",C12022*D12022/100)</f>
        <v/>
      </c>
      <c r="F12022" s="15" t="str">
        <f aca="false">IF(B12022&lt;5,"Go","Standard")</f>
        <v>Standard</v>
      </c>
    </row>
    <row r="12023" customFormat="false" ht="15" hidden="false" customHeight="true" outlineLevel="0" collapsed="false">
      <c r="A12023" s="10" t="n">
        <f aca="false">Einstellungen!$B$5+INT((ROW()-9)/24)</f>
        <v>46466</v>
      </c>
      <c r="B12023" s="11" t="n">
        <f aca="false">MOD(ROW()-9,24)</f>
        <v>14</v>
      </c>
      <c r="C12023" s="12"/>
      <c r="D12023" s="13" t="n">
        <f aca="false">IF(B12023&lt;5,Einstellungen!$B$3,Einstellungen!$B$4)</f>
        <v>29.13</v>
      </c>
      <c r="E12023" s="14" t="str">
        <f aca="false">IF(C12023="","",C12023*D12023/100)</f>
        <v/>
      </c>
      <c r="F12023" s="15" t="str">
        <f aca="false">IF(B12023&lt;5,"Go","Standard")</f>
        <v>Standard</v>
      </c>
    </row>
    <row r="12024" customFormat="false" ht="15" hidden="false" customHeight="true" outlineLevel="0" collapsed="false">
      <c r="A12024" s="10" t="n">
        <f aca="false">Einstellungen!$B$5+INT((ROW()-9)/24)</f>
        <v>46466</v>
      </c>
      <c r="B12024" s="11" t="n">
        <f aca="false">MOD(ROW()-9,24)</f>
        <v>15</v>
      </c>
      <c r="C12024" s="12"/>
      <c r="D12024" s="13" t="n">
        <f aca="false">IF(B12024&lt;5,Einstellungen!$B$3,Einstellungen!$B$4)</f>
        <v>29.13</v>
      </c>
      <c r="E12024" s="14" t="str">
        <f aca="false">IF(C12024="","",C12024*D12024/100)</f>
        <v/>
      </c>
      <c r="F12024" s="15" t="str">
        <f aca="false">IF(B12024&lt;5,"Go","Standard")</f>
        <v>Standard</v>
      </c>
    </row>
    <row r="12025" customFormat="false" ht="15" hidden="false" customHeight="true" outlineLevel="0" collapsed="false">
      <c r="A12025" s="10" t="n">
        <f aca="false">Einstellungen!$B$5+INT((ROW()-9)/24)</f>
        <v>46466</v>
      </c>
      <c r="B12025" s="11" t="n">
        <f aca="false">MOD(ROW()-9,24)</f>
        <v>16</v>
      </c>
      <c r="C12025" s="12"/>
      <c r="D12025" s="13" t="n">
        <f aca="false">IF(B12025&lt;5,Einstellungen!$B$3,Einstellungen!$B$4)</f>
        <v>29.13</v>
      </c>
      <c r="E12025" s="14" t="str">
        <f aca="false">IF(C12025="","",C12025*D12025/100)</f>
        <v/>
      </c>
      <c r="F12025" s="15" t="str">
        <f aca="false">IF(B12025&lt;5,"Go","Standard")</f>
        <v>Standard</v>
      </c>
    </row>
    <row r="12026" customFormat="false" ht="15" hidden="false" customHeight="true" outlineLevel="0" collapsed="false">
      <c r="A12026" s="10" t="n">
        <f aca="false">Einstellungen!$B$5+INT((ROW()-9)/24)</f>
        <v>46466</v>
      </c>
      <c r="B12026" s="11" t="n">
        <f aca="false">MOD(ROW()-9,24)</f>
        <v>17</v>
      </c>
      <c r="C12026" s="12"/>
      <c r="D12026" s="13" t="n">
        <f aca="false">IF(B12026&lt;5,Einstellungen!$B$3,Einstellungen!$B$4)</f>
        <v>29.13</v>
      </c>
      <c r="E12026" s="14" t="str">
        <f aca="false">IF(C12026="","",C12026*D12026/100)</f>
        <v/>
      </c>
      <c r="F12026" s="15" t="str">
        <f aca="false">IF(B12026&lt;5,"Go","Standard")</f>
        <v>Standard</v>
      </c>
    </row>
    <row r="12027" customFormat="false" ht="15" hidden="false" customHeight="true" outlineLevel="0" collapsed="false">
      <c r="A12027" s="10" t="n">
        <f aca="false">Einstellungen!$B$5+INT((ROW()-9)/24)</f>
        <v>46466</v>
      </c>
      <c r="B12027" s="11" t="n">
        <f aca="false">MOD(ROW()-9,24)</f>
        <v>18</v>
      </c>
      <c r="C12027" s="12"/>
      <c r="D12027" s="13" t="n">
        <f aca="false">IF(B12027&lt;5,Einstellungen!$B$3,Einstellungen!$B$4)</f>
        <v>29.13</v>
      </c>
      <c r="E12027" s="14" t="str">
        <f aca="false">IF(C12027="","",C12027*D12027/100)</f>
        <v/>
      </c>
      <c r="F12027" s="15" t="str">
        <f aca="false">IF(B12027&lt;5,"Go","Standard")</f>
        <v>Standard</v>
      </c>
    </row>
    <row r="12028" customFormat="false" ht="15" hidden="false" customHeight="true" outlineLevel="0" collapsed="false">
      <c r="A12028" s="10" t="n">
        <f aca="false">Einstellungen!$B$5+INT((ROW()-9)/24)</f>
        <v>46466</v>
      </c>
      <c r="B12028" s="11" t="n">
        <f aca="false">MOD(ROW()-9,24)</f>
        <v>19</v>
      </c>
      <c r="C12028" s="12"/>
      <c r="D12028" s="13" t="n">
        <f aca="false">IF(B12028&lt;5,Einstellungen!$B$3,Einstellungen!$B$4)</f>
        <v>29.13</v>
      </c>
      <c r="E12028" s="14" t="str">
        <f aca="false">IF(C12028="","",C12028*D12028/100)</f>
        <v/>
      </c>
      <c r="F12028" s="15" t="str">
        <f aca="false">IF(B12028&lt;5,"Go","Standard")</f>
        <v>Standard</v>
      </c>
    </row>
    <row r="12029" customFormat="false" ht="15" hidden="false" customHeight="true" outlineLevel="0" collapsed="false">
      <c r="A12029" s="10" t="n">
        <f aca="false">Einstellungen!$B$5+INT((ROW()-9)/24)</f>
        <v>46466</v>
      </c>
      <c r="B12029" s="11" t="n">
        <f aca="false">MOD(ROW()-9,24)</f>
        <v>20</v>
      </c>
      <c r="C12029" s="12"/>
      <c r="D12029" s="13" t="n">
        <f aca="false">IF(B12029&lt;5,Einstellungen!$B$3,Einstellungen!$B$4)</f>
        <v>29.13</v>
      </c>
      <c r="E12029" s="14" t="str">
        <f aca="false">IF(C12029="","",C12029*D12029/100)</f>
        <v/>
      </c>
      <c r="F12029" s="15" t="str">
        <f aca="false">IF(B12029&lt;5,"Go","Standard")</f>
        <v>Standard</v>
      </c>
    </row>
    <row r="12030" customFormat="false" ht="15" hidden="false" customHeight="true" outlineLevel="0" collapsed="false">
      <c r="A12030" s="10" t="n">
        <f aca="false">Einstellungen!$B$5+INT((ROW()-9)/24)</f>
        <v>46466</v>
      </c>
      <c r="B12030" s="11" t="n">
        <f aca="false">MOD(ROW()-9,24)</f>
        <v>21</v>
      </c>
      <c r="C12030" s="12"/>
      <c r="D12030" s="13" t="n">
        <f aca="false">IF(B12030&lt;5,Einstellungen!$B$3,Einstellungen!$B$4)</f>
        <v>29.13</v>
      </c>
      <c r="E12030" s="14" t="str">
        <f aca="false">IF(C12030="","",C12030*D12030/100)</f>
        <v/>
      </c>
      <c r="F12030" s="15" t="str">
        <f aca="false">IF(B12030&lt;5,"Go","Standard")</f>
        <v>Standard</v>
      </c>
    </row>
    <row r="12031" customFormat="false" ht="15" hidden="false" customHeight="true" outlineLevel="0" collapsed="false">
      <c r="A12031" s="10" t="n">
        <f aca="false">Einstellungen!$B$5+INT((ROW()-9)/24)</f>
        <v>46466</v>
      </c>
      <c r="B12031" s="11" t="n">
        <f aca="false">MOD(ROW()-9,24)</f>
        <v>22</v>
      </c>
      <c r="C12031" s="12"/>
      <c r="D12031" s="13" t="n">
        <f aca="false">IF(B12031&lt;5,Einstellungen!$B$3,Einstellungen!$B$4)</f>
        <v>29.13</v>
      </c>
      <c r="E12031" s="14" t="str">
        <f aca="false">IF(C12031="","",C12031*D12031/100)</f>
        <v/>
      </c>
      <c r="F12031" s="15" t="str">
        <f aca="false">IF(B12031&lt;5,"Go","Standard")</f>
        <v>Standard</v>
      </c>
    </row>
    <row r="12032" customFormat="false" ht="15" hidden="false" customHeight="true" outlineLevel="0" collapsed="false">
      <c r="A12032" s="10" t="n">
        <f aca="false">Einstellungen!$B$5+INT((ROW()-9)/24)</f>
        <v>46466</v>
      </c>
      <c r="B12032" s="11" t="n">
        <f aca="false">MOD(ROW()-9,24)</f>
        <v>23</v>
      </c>
      <c r="C12032" s="12"/>
      <c r="D12032" s="13" t="n">
        <f aca="false">IF(B12032&lt;5,Einstellungen!$B$3,Einstellungen!$B$4)</f>
        <v>29.13</v>
      </c>
      <c r="E12032" s="14" t="str">
        <f aca="false">IF(C12032="","",C12032*D12032/100)</f>
        <v/>
      </c>
      <c r="F12032" s="15" t="str">
        <f aca="false">IF(B12032&lt;5,"Go","Standard")</f>
        <v>Standard</v>
      </c>
    </row>
    <row r="12033" customFormat="false" ht="15" hidden="false" customHeight="true" outlineLevel="0" collapsed="false">
      <c r="A12033" s="10" t="n">
        <f aca="false">Einstellungen!$B$5+INT((ROW()-9)/24)</f>
        <v>46467</v>
      </c>
      <c r="B12033" s="11" t="n">
        <f aca="false">MOD(ROW()-9,24)</f>
        <v>0</v>
      </c>
      <c r="C12033" s="12"/>
      <c r="D12033" s="13" t="n">
        <f aca="false">IF(B12033&lt;5,Einstellungen!$B$3,Einstellungen!$B$4)</f>
        <v>15.92</v>
      </c>
      <c r="E12033" s="14" t="str">
        <f aca="false">IF(C12033="","",C12033*D12033/100)</f>
        <v/>
      </c>
      <c r="F12033" s="15" t="str">
        <f aca="false">IF(B12033&lt;5,"Go","Standard")</f>
        <v>Go</v>
      </c>
    </row>
    <row r="12034" customFormat="false" ht="15" hidden="false" customHeight="true" outlineLevel="0" collapsed="false">
      <c r="A12034" s="10" t="n">
        <f aca="false">Einstellungen!$B$5+INT((ROW()-9)/24)</f>
        <v>46467</v>
      </c>
      <c r="B12034" s="11" t="n">
        <f aca="false">MOD(ROW()-9,24)</f>
        <v>1</v>
      </c>
      <c r="C12034" s="12"/>
      <c r="D12034" s="13" t="n">
        <f aca="false">IF(B12034&lt;5,Einstellungen!$B$3,Einstellungen!$B$4)</f>
        <v>15.92</v>
      </c>
      <c r="E12034" s="14" t="str">
        <f aca="false">IF(C12034="","",C12034*D12034/100)</f>
        <v/>
      </c>
      <c r="F12034" s="15" t="str">
        <f aca="false">IF(B12034&lt;5,"Go","Standard")</f>
        <v>Go</v>
      </c>
    </row>
    <row r="12035" customFormat="false" ht="15" hidden="false" customHeight="true" outlineLevel="0" collapsed="false">
      <c r="A12035" s="10" t="n">
        <f aca="false">Einstellungen!$B$5+INT((ROW()-9)/24)</f>
        <v>46467</v>
      </c>
      <c r="B12035" s="11" t="n">
        <f aca="false">MOD(ROW()-9,24)</f>
        <v>2</v>
      </c>
      <c r="C12035" s="12"/>
      <c r="D12035" s="13" t="n">
        <f aca="false">IF(B12035&lt;5,Einstellungen!$B$3,Einstellungen!$B$4)</f>
        <v>15.92</v>
      </c>
      <c r="E12035" s="14" t="str">
        <f aca="false">IF(C12035="","",C12035*D12035/100)</f>
        <v/>
      </c>
      <c r="F12035" s="15" t="str">
        <f aca="false">IF(B12035&lt;5,"Go","Standard")</f>
        <v>Go</v>
      </c>
    </row>
    <row r="12036" customFormat="false" ht="15" hidden="false" customHeight="true" outlineLevel="0" collapsed="false">
      <c r="A12036" s="10" t="n">
        <f aca="false">Einstellungen!$B$5+INT((ROW()-9)/24)</f>
        <v>46467</v>
      </c>
      <c r="B12036" s="11" t="n">
        <f aca="false">MOD(ROW()-9,24)</f>
        <v>3</v>
      </c>
      <c r="C12036" s="12"/>
      <c r="D12036" s="13" t="n">
        <f aca="false">IF(B12036&lt;5,Einstellungen!$B$3,Einstellungen!$B$4)</f>
        <v>15.92</v>
      </c>
      <c r="E12036" s="14" t="str">
        <f aca="false">IF(C12036="","",C12036*D12036/100)</f>
        <v/>
      </c>
      <c r="F12036" s="15" t="str">
        <f aca="false">IF(B12036&lt;5,"Go","Standard")</f>
        <v>Go</v>
      </c>
    </row>
    <row r="12037" customFormat="false" ht="15" hidden="false" customHeight="true" outlineLevel="0" collapsed="false">
      <c r="A12037" s="10" t="n">
        <f aca="false">Einstellungen!$B$5+INT((ROW()-9)/24)</f>
        <v>46467</v>
      </c>
      <c r="B12037" s="11" t="n">
        <f aca="false">MOD(ROW()-9,24)</f>
        <v>4</v>
      </c>
      <c r="C12037" s="12"/>
      <c r="D12037" s="13" t="n">
        <f aca="false">IF(B12037&lt;5,Einstellungen!$B$3,Einstellungen!$B$4)</f>
        <v>15.92</v>
      </c>
      <c r="E12037" s="14" t="str">
        <f aca="false">IF(C12037="","",C12037*D12037/100)</f>
        <v/>
      </c>
      <c r="F12037" s="15" t="str">
        <f aca="false">IF(B12037&lt;5,"Go","Standard")</f>
        <v>Go</v>
      </c>
    </row>
    <row r="12038" customFormat="false" ht="15" hidden="false" customHeight="true" outlineLevel="0" collapsed="false">
      <c r="A12038" s="10" t="n">
        <f aca="false">Einstellungen!$B$5+INT((ROW()-9)/24)</f>
        <v>46467</v>
      </c>
      <c r="B12038" s="11" t="n">
        <f aca="false">MOD(ROW()-9,24)</f>
        <v>5</v>
      </c>
      <c r="C12038" s="12"/>
      <c r="D12038" s="13" t="n">
        <f aca="false">IF(B12038&lt;5,Einstellungen!$B$3,Einstellungen!$B$4)</f>
        <v>29.13</v>
      </c>
      <c r="E12038" s="14" t="str">
        <f aca="false">IF(C12038="","",C12038*D12038/100)</f>
        <v/>
      </c>
      <c r="F12038" s="15" t="str">
        <f aca="false">IF(B12038&lt;5,"Go","Standard")</f>
        <v>Standard</v>
      </c>
    </row>
    <row r="12039" customFormat="false" ht="15" hidden="false" customHeight="true" outlineLevel="0" collapsed="false">
      <c r="A12039" s="10" t="n">
        <f aca="false">Einstellungen!$B$5+INT((ROW()-9)/24)</f>
        <v>46467</v>
      </c>
      <c r="B12039" s="11" t="n">
        <f aca="false">MOD(ROW()-9,24)</f>
        <v>6</v>
      </c>
      <c r="C12039" s="12"/>
      <c r="D12039" s="13" t="n">
        <f aca="false">IF(B12039&lt;5,Einstellungen!$B$3,Einstellungen!$B$4)</f>
        <v>29.13</v>
      </c>
      <c r="E12039" s="14" t="str">
        <f aca="false">IF(C12039="","",C12039*D12039/100)</f>
        <v/>
      </c>
      <c r="F12039" s="15" t="str">
        <f aca="false">IF(B12039&lt;5,"Go","Standard")</f>
        <v>Standard</v>
      </c>
    </row>
    <row r="12040" customFormat="false" ht="15" hidden="false" customHeight="true" outlineLevel="0" collapsed="false">
      <c r="A12040" s="10" t="n">
        <f aca="false">Einstellungen!$B$5+INT((ROW()-9)/24)</f>
        <v>46467</v>
      </c>
      <c r="B12040" s="11" t="n">
        <f aca="false">MOD(ROW()-9,24)</f>
        <v>7</v>
      </c>
      <c r="C12040" s="12"/>
      <c r="D12040" s="13" t="n">
        <f aca="false">IF(B12040&lt;5,Einstellungen!$B$3,Einstellungen!$B$4)</f>
        <v>29.13</v>
      </c>
      <c r="E12040" s="14" t="str">
        <f aca="false">IF(C12040="","",C12040*D12040/100)</f>
        <v/>
      </c>
      <c r="F12040" s="15" t="str">
        <f aca="false">IF(B12040&lt;5,"Go","Standard")</f>
        <v>Standard</v>
      </c>
    </row>
    <row r="12041" customFormat="false" ht="15" hidden="false" customHeight="true" outlineLevel="0" collapsed="false">
      <c r="A12041" s="10" t="n">
        <f aca="false">Einstellungen!$B$5+INT((ROW()-9)/24)</f>
        <v>46467</v>
      </c>
      <c r="B12041" s="11" t="n">
        <f aca="false">MOD(ROW()-9,24)</f>
        <v>8</v>
      </c>
      <c r="C12041" s="12"/>
      <c r="D12041" s="13" t="n">
        <f aca="false">IF(B12041&lt;5,Einstellungen!$B$3,Einstellungen!$B$4)</f>
        <v>29.13</v>
      </c>
      <c r="E12041" s="14" t="str">
        <f aca="false">IF(C12041="","",C12041*D12041/100)</f>
        <v/>
      </c>
      <c r="F12041" s="15" t="str">
        <f aca="false">IF(B12041&lt;5,"Go","Standard")</f>
        <v>Standard</v>
      </c>
    </row>
    <row r="12042" customFormat="false" ht="15" hidden="false" customHeight="true" outlineLevel="0" collapsed="false">
      <c r="A12042" s="10" t="n">
        <f aca="false">Einstellungen!$B$5+INT((ROW()-9)/24)</f>
        <v>46467</v>
      </c>
      <c r="B12042" s="11" t="n">
        <f aca="false">MOD(ROW()-9,24)</f>
        <v>9</v>
      </c>
      <c r="C12042" s="12"/>
      <c r="D12042" s="13" t="n">
        <f aca="false">IF(B12042&lt;5,Einstellungen!$B$3,Einstellungen!$B$4)</f>
        <v>29.13</v>
      </c>
      <c r="E12042" s="14" t="str">
        <f aca="false">IF(C12042="","",C12042*D12042/100)</f>
        <v/>
      </c>
      <c r="F12042" s="15" t="str">
        <f aca="false">IF(B12042&lt;5,"Go","Standard")</f>
        <v>Standard</v>
      </c>
    </row>
    <row r="12043" customFormat="false" ht="15" hidden="false" customHeight="true" outlineLevel="0" collapsed="false">
      <c r="A12043" s="10" t="n">
        <f aca="false">Einstellungen!$B$5+INT((ROW()-9)/24)</f>
        <v>46467</v>
      </c>
      <c r="B12043" s="11" t="n">
        <f aca="false">MOD(ROW()-9,24)</f>
        <v>10</v>
      </c>
      <c r="C12043" s="12"/>
      <c r="D12043" s="13" t="n">
        <f aca="false">IF(B12043&lt;5,Einstellungen!$B$3,Einstellungen!$B$4)</f>
        <v>29.13</v>
      </c>
      <c r="E12043" s="14" t="str">
        <f aca="false">IF(C12043="","",C12043*D12043/100)</f>
        <v/>
      </c>
      <c r="F12043" s="15" t="str">
        <f aca="false">IF(B12043&lt;5,"Go","Standard")</f>
        <v>Standard</v>
      </c>
    </row>
    <row r="12044" customFormat="false" ht="15" hidden="false" customHeight="true" outlineLevel="0" collapsed="false">
      <c r="A12044" s="10" t="n">
        <f aca="false">Einstellungen!$B$5+INT((ROW()-9)/24)</f>
        <v>46467</v>
      </c>
      <c r="B12044" s="11" t="n">
        <f aca="false">MOD(ROW()-9,24)</f>
        <v>11</v>
      </c>
      <c r="C12044" s="12"/>
      <c r="D12044" s="13" t="n">
        <f aca="false">IF(B12044&lt;5,Einstellungen!$B$3,Einstellungen!$B$4)</f>
        <v>29.13</v>
      </c>
      <c r="E12044" s="14" t="str">
        <f aca="false">IF(C12044="","",C12044*D12044/100)</f>
        <v/>
      </c>
      <c r="F12044" s="15" t="str">
        <f aca="false">IF(B12044&lt;5,"Go","Standard")</f>
        <v>Standard</v>
      </c>
    </row>
    <row r="12045" customFormat="false" ht="15" hidden="false" customHeight="true" outlineLevel="0" collapsed="false">
      <c r="A12045" s="10" t="n">
        <f aca="false">Einstellungen!$B$5+INT((ROW()-9)/24)</f>
        <v>46467</v>
      </c>
      <c r="B12045" s="11" t="n">
        <f aca="false">MOD(ROW()-9,24)</f>
        <v>12</v>
      </c>
      <c r="C12045" s="12"/>
      <c r="D12045" s="13" t="n">
        <f aca="false">IF(B12045&lt;5,Einstellungen!$B$3,Einstellungen!$B$4)</f>
        <v>29.13</v>
      </c>
      <c r="E12045" s="14" t="str">
        <f aca="false">IF(C12045="","",C12045*D12045/100)</f>
        <v/>
      </c>
      <c r="F12045" s="15" t="str">
        <f aca="false">IF(B12045&lt;5,"Go","Standard")</f>
        <v>Standard</v>
      </c>
    </row>
    <row r="12046" customFormat="false" ht="15" hidden="false" customHeight="true" outlineLevel="0" collapsed="false">
      <c r="A12046" s="10" t="n">
        <f aca="false">Einstellungen!$B$5+INT((ROW()-9)/24)</f>
        <v>46467</v>
      </c>
      <c r="B12046" s="11" t="n">
        <f aca="false">MOD(ROW()-9,24)</f>
        <v>13</v>
      </c>
      <c r="C12046" s="12"/>
      <c r="D12046" s="13" t="n">
        <f aca="false">IF(B12046&lt;5,Einstellungen!$B$3,Einstellungen!$B$4)</f>
        <v>29.13</v>
      </c>
      <c r="E12046" s="14" t="str">
        <f aca="false">IF(C12046="","",C12046*D12046/100)</f>
        <v/>
      </c>
      <c r="F12046" s="15" t="str">
        <f aca="false">IF(B12046&lt;5,"Go","Standard")</f>
        <v>Standard</v>
      </c>
    </row>
    <row r="12047" customFormat="false" ht="15" hidden="false" customHeight="true" outlineLevel="0" collapsed="false">
      <c r="A12047" s="10" t="n">
        <f aca="false">Einstellungen!$B$5+INT((ROW()-9)/24)</f>
        <v>46467</v>
      </c>
      <c r="B12047" s="11" t="n">
        <f aca="false">MOD(ROW()-9,24)</f>
        <v>14</v>
      </c>
      <c r="C12047" s="12"/>
      <c r="D12047" s="13" t="n">
        <f aca="false">IF(B12047&lt;5,Einstellungen!$B$3,Einstellungen!$B$4)</f>
        <v>29.13</v>
      </c>
      <c r="E12047" s="14" t="str">
        <f aca="false">IF(C12047="","",C12047*D12047/100)</f>
        <v/>
      </c>
      <c r="F12047" s="15" t="str">
        <f aca="false">IF(B12047&lt;5,"Go","Standard")</f>
        <v>Standard</v>
      </c>
    </row>
    <row r="12048" customFormat="false" ht="15" hidden="false" customHeight="true" outlineLevel="0" collapsed="false">
      <c r="A12048" s="10" t="n">
        <f aca="false">Einstellungen!$B$5+INT((ROW()-9)/24)</f>
        <v>46467</v>
      </c>
      <c r="B12048" s="11" t="n">
        <f aca="false">MOD(ROW()-9,24)</f>
        <v>15</v>
      </c>
      <c r="C12048" s="12"/>
      <c r="D12048" s="13" t="n">
        <f aca="false">IF(B12048&lt;5,Einstellungen!$B$3,Einstellungen!$B$4)</f>
        <v>29.13</v>
      </c>
      <c r="E12048" s="14" t="str">
        <f aca="false">IF(C12048="","",C12048*D12048/100)</f>
        <v/>
      </c>
      <c r="F12048" s="15" t="str">
        <f aca="false">IF(B12048&lt;5,"Go","Standard")</f>
        <v>Standard</v>
      </c>
    </row>
    <row r="12049" customFormat="false" ht="15" hidden="false" customHeight="true" outlineLevel="0" collapsed="false">
      <c r="A12049" s="10" t="n">
        <f aca="false">Einstellungen!$B$5+INT((ROW()-9)/24)</f>
        <v>46467</v>
      </c>
      <c r="B12049" s="11" t="n">
        <f aca="false">MOD(ROW()-9,24)</f>
        <v>16</v>
      </c>
      <c r="C12049" s="12"/>
      <c r="D12049" s="13" t="n">
        <f aca="false">IF(B12049&lt;5,Einstellungen!$B$3,Einstellungen!$B$4)</f>
        <v>29.13</v>
      </c>
      <c r="E12049" s="14" t="str">
        <f aca="false">IF(C12049="","",C12049*D12049/100)</f>
        <v/>
      </c>
      <c r="F12049" s="15" t="str">
        <f aca="false">IF(B12049&lt;5,"Go","Standard")</f>
        <v>Standard</v>
      </c>
    </row>
    <row r="12050" customFormat="false" ht="15" hidden="false" customHeight="true" outlineLevel="0" collapsed="false">
      <c r="A12050" s="10" t="n">
        <f aca="false">Einstellungen!$B$5+INT((ROW()-9)/24)</f>
        <v>46467</v>
      </c>
      <c r="B12050" s="11" t="n">
        <f aca="false">MOD(ROW()-9,24)</f>
        <v>17</v>
      </c>
      <c r="C12050" s="12"/>
      <c r="D12050" s="13" t="n">
        <f aca="false">IF(B12050&lt;5,Einstellungen!$B$3,Einstellungen!$B$4)</f>
        <v>29.13</v>
      </c>
      <c r="E12050" s="14" t="str">
        <f aca="false">IF(C12050="","",C12050*D12050/100)</f>
        <v/>
      </c>
      <c r="F12050" s="15" t="str">
        <f aca="false">IF(B12050&lt;5,"Go","Standard")</f>
        <v>Standard</v>
      </c>
    </row>
    <row r="12051" customFormat="false" ht="15" hidden="false" customHeight="true" outlineLevel="0" collapsed="false">
      <c r="A12051" s="10" t="n">
        <f aca="false">Einstellungen!$B$5+INT((ROW()-9)/24)</f>
        <v>46467</v>
      </c>
      <c r="B12051" s="11" t="n">
        <f aca="false">MOD(ROW()-9,24)</f>
        <v>18</v>
      </c>
      <c r="C12051" s="12"/>
      <c r="D12051" s="13" t="n">
        <f aca="false">IF(B12051&lt;5,Einstellungen!$B$3,Einstellungen!$B$4)</f>
        <v>29.13</v>
      </c>
      <c r="E12051" s="14" t="str">
        <f aca="false">IF(C12051="","",C12051*D12051/100)</f>
        <v/>
      </c>
      <c r="F12051" s="15" t="str">
        <f aca="false">IF(B12051&lt;5,"Go","Standard")</f>
        <v>Standard</v>
      </c>
    </row>
    <row r="12052" customFormat="false" ht="15" hidden="false" customHeight="true" outlineLevel="0" collapsed="false">
      <c r="A12052" s="10" t="n">
        <f aca="false">Einstellungen!$B$5+INT((ROW()-9)/24)</f>
        <v>46467</v>
      </c>
      <c r="B12052" s="11" t="n">
        <f aca="false">MOD(ROW()-9,24)</f>
        <v>19</v>
      </c>
      <c r="C12052" s="12"/>
      <c r="D12052" s="13" t="n">
        <f aca="false">IF(B12052&lt;5,Einstellungen!$B$3,Einstellungen!$B$4)</f>
        <v>29.13</v>
      </c>
      <c r="E12052" s="14" t="str">
        <f aca="false">IF(C12052="","",C12052*D12052/100)</f>
        <v/>
      </c>
      <c r="F12052" s="15" t="str">
        <f aca="false">IF(B12052&lt;5,"Go","Standard")</f>
        <v>Standard</v>
      </c>
    </row>
    <row r="12053" customFormat="false" ht="15" hidden="false" customHeight="true" outlineLevel="0" collapsed="false">
      <c r="A12053" s="10" t="n">
        <f aca="false">Einstellungen!$B$5+INT((ROW()-9)/24)</f>
        <v>46467</v>
      </c>
      <c r="B12053" s="11" t="n">
        <f aca="false">MOD(ROW()-9,24)</f>
        <v>20</v>
      </c>
      <c r="C12053" s="12"/>
      <c r="D12053" s="13" t="n">
        <f aca="false">IF(B12053&lt;5,Einstellungen!$B$3,Einstellungen!$B$4)</f>
        <v>29.13</v>
      </c>
      <c r="E12053" s="14" t="str">
        <f aca="false">IF(C12053="","",C12053*D12053/100)</f>
        <v/>
      </c>
      <c r="F12053" s="15" t="str">
        <f aca="false">IF(B12053&lt;5,"Go","Standard")</f>
        <v>Standard</v>
      </c>
    </row>
    <row r="12054" customFormat="false" ht="15" hidden="false" customHeight="true" outlineLevel="0" collapsed="false">
      <c r="A12054" s="10" t="n">
        <f aca="false">Einstellungen!$B$5+INT((ROW()-9)/24)</f>
        <v>46467</v>
      </c>
      <c r="B12054" s="11" t="n">
        <f aca="false">MOD(ROW()-9,24)</f>
        <v>21</v>
      </c>
      <c r="C12054" s="12"/>
      <c r="D12054" s="13" t="n">
        <f aca="false">IF(B12054&lt;5,Einstellungen!$B$3,Einstellungen!$B$4)</f>
        <v>29.13</v>
      </c>
      <c r="E12054" s="14" t="str">
        <f aca="false">IF(C12054="","",C12054*D12054/100)</f>
        <v/>
      </c>
      <c r="F12054" s="15" t="str">
        <f aca="false">IF(B12054&lt;5,"Go","Standard")</f>
        <v>Standard</v>
      </c>
    </row>
    <row r="12055" customFormat="false" ht="15" hidden="false" customHeight="true" outlineLevel="0" collapsed="false">
      <c r="A12055" s="10" t="n">
        <f aca="false">Einstellungen!$B$5+INT((ROW()-9)/24)</f>
        <v>46467</v>
      </c>
      <c r="B12055" s="11" t="n">
        <f aca="false">MOD(ROW()-9,24)</f>
        <v>22</v>
      </c>
      <c r="C12055" s="12"/>
      <c r="D12055" s="13" t="n">
        <f aca="false">IF(B12055&lt;5,Einstellungen!$B$3,Einstellungen!$B$4)</f>
        <v>29.13</v>
      </c>
      <c r="E12055" s="14" t="str">
        <f aca="false">IF(C12055="","",C12055*D12055/100)</f>
        <v/>
      </c>
      <c r="F12055" s="15" t="str">
        <f aca="false">IF(B12055&lt;5,"Go","Standard")</f>
        <v>Standard</v>
      </c>
    </row>
    <row r="12056" customFormat="false" ht="15" hidden="false" customHeight="true" outlineLevel="0" collapsed="false">
      <c r="A12056" s="10" t="n">
        <f aca="false">Einstellungen!$B$5+INT((ROW()-9)/24)</f>
        <v>46467</v>
      </c>
      <c r="B12056" s="11" t="n">
        <f aca="false">MOD(ROW()-9,24)</f>
        <v>23</v>
      </c>
      <c r="C12056" s="12"/>
      <c r="D12056" s="13" t="n">
        <f aca="false">IF(B12056&lt;5,Einstellungen!$B$3,Einstellungen!$B$4)</f>
        <v>29.13</v>
      </c>
      <c r="E12056" s="14" t="str">
        <f aca="false">IF(C12056="","",C12056*D12056/100)</f>
        <v/>
      </c>
      <c r="F12056" s="15" t="str">
        <f aca="false">IF(B12056&lt;5,"Go","Standard")</f>
        <v>Standard</v>
      </c>
    </row>
    <row r="12057" customFormat="false" ht="15" hidden="false" customHeight="true" outlineLevel="0" collapsed="false">
      <c r="A12057" s="10" t="n">
        <f aca="false">Einstellungen!$B$5+INT((ROW()-9)/24)</f>
        <v>46468</v>
      </c>
      <c r="B12057" s="11" t="n">
        <f aca="false">MOD(ROW()-9,24)</f>
        <v>0</v>
      </c>
      <c r="C12057" s="12"/>
      <c r="D12057" s="13" t="n">
        <f aca="false">IF(B12057&lt;5,Einstellungen!$B$3,Einstellungen!$B$4)</f>
        <v>15.92</v>
      </c>
      <c r="E12057" s="14" t="str">
        <f aca="false">IF(C12057="","",C12057*D12057/100)</f>
        <v/>
      </c>
      <c r="F12057" s="15" t="str">
        <f aca="false">IF(B12057&lt;5,"Go","Standard")</f>
        <v>Go</v>
      </c>
    </row>
    <row r="12058" customFormat="false" ht="15" hidden="false" customHeight="true" outlineLevel="0" collapsed="false">
      <c r="A12058" s="10" t="n">
        <f aca="false">Einstellungen!$B$5+INT((ROW()-9)/24)</f>
        <v>46468</v>
      </c>
      <c r="B12058" s="11" t="n">
        <f aca="false">MOD(ROW()-9,24)</f>
        <v>1</v>
      </c>
      <c r="C12058" s="12"/>
      <c r="D12058" s="13" t="n">
        <f aca="false">IF(B12058&lt;5,Einstellungen!$B$3,Einstellungen!$B$4)</f>
        <v>15.92</v>
      </c>
      <c r="E12058" s="14" t="str">
        <f aca="false">IF(C12058="","",C12058*D12058/100)</f>
        <v/>
      </c>
      <c r="F12058" s="15" t="str">
        <f aca="false">IF(B12058&lt;5,"Go","Standard")</f>
        <v>Go</v>
      </c>
    </row>
    <row r="12059" customFormat="false" ht="15" hidden="false" customHeight="true" outlineLevel="0" collapsed="false">
      <c r="A12059" s="10" t="n">
        <f aca="false">Einstellungen!$B$5+INT((ROW()-9)/24)</f>
        <v>46468</v>
      </c>
      <c r="B12059" s="11" t="n">
        <f aca="false">MOD(ROW()-9,24)</f>
        <v>2</v>
      </c>
      <c r="C12059" s="12"/>
      <c r="D12059" s="13" t="n">
        <f aca="false">IF(B12059&lt;5,Einstellungen!$B$3,Einstellungen!$B$4)</f>
        <v>15.92</v>
      </c>
      <c r="E12059" s="14" t="str">
        <f aca="false">IF(C12059="","",C12059*D12059/100)</f>
        <v/>
      </c>
      <c r="F12059" s="15" t="str">
        <f aca="false">IF(B12059&lt;5,"Go","Standard")</f>
        <v>Go</v>
      </c>
    </row>
    <row r="12060" customFormat="false" ht="15" hidden="false" customHeight="true" outlineLevel="0" collapsed="false">
      <c r="A12060" s="10" t="n">
        <f aca="false">Einstellungen!$B$5+INT((ROW()-9)/24)</f>
        <v>46468</v>
      </c>
      <c r="B12060" s="11" t="n">
        <f aca="false">MOD(ROW()-9,24)</f>
        <v>3</v>
      </c>
      <c r="C12060" s="12"/>
      <c r="D12060" s="13" t="n">
        <f aca="false">IF(B12060&lt;5,Einstellungen!$B$3,Einstellungen!$B$4)</f>
        <v>15.92</v>
      </c>
      <c r="E12060" s="14" t="str">
        <f aca="false">IF(C12060="","",C12060*D12060/100)</f>
        <v/>
      </c>
      <c r="F12060" s="15" t="str">
        <f aca="false">IF(B12060&lt;5,"Go","Standard")</f>
        <v>Go</v>
      </c>
    </row>
    <row r="12061" customFormat="false" ht="15" hidden="false" customHeight="true" outlineLevel="0" collapsed="false">
      <c r="A12061" s="10" t="n">
        <f aca="false">Einstellungen!$B$5+INT((ROW()-9)/24)</f>
        <v>46468</v>
      </c>
      <c r="B12061" s="11" t="n">
        <f aca="false">MOD(ROW()-9,24)</f>
        <v>4</v>
      </c>
      <c r="C12061" s="12"/>
      <c r="D12061" s="13" t="n">
        <f aca="false">IF(B12061&lt;5,Einstellungen!$B$3,Einstellungen!$B$4)</f>
        <v>15.92</v>
      </c>
      <c r="E12061" s="14" t="str">
        <f aca="false">IF(C12061="","",C12061*D12061/100)</f>
        <v/>
      </c>
      <c r="F12061" s="15" t="str">
        <f aca="false">IF(B12061&lt;5,"Go","Standard")</f>
        <v>Go</v>
      </c>
    </row>
    <row r="12062" customFormat="false" ht="15" hidden="false" customHeight="true" outlineLevel="0" collapsed="false">
      <c r="A12062" s="10" t="n">
        <f aca="false">Einstellungen!$B$5+INT((ROW()-9)/24)</f>
        <v>46468</v>
      </c>
      <c r="B12062" s="11" t="n">
        <f aca="false">MOD(ROW()-9,24)</f>
        <v>5</v>
      </c>
      <c r="C12062" s="12"/>
      <c r="D12062" s="13" t="n">
        <f aca="false">IF(B12062&lt;5,Einstellungen!$B$3,Einstellungen!$B$4)</f>
        <v>29.13</v>
      </c>
      <c r="E12062" s="14" t="str">
        <f aca="false">IF(C12062="","",C12062*D12062/100)</f>
        <v/>
      </c>
      <c r="F12062" s="15" t="str">
        <f aca="false">IF(B12062&lt;5,"Go","Standard")</f>
        <v>Standard</v>
      </c>
    </row>
    <row r="12063" customFormat="false" ht="15" hidden="false" customHeight="true" outlineLevel="0" collapsed="false">
      <c r="A12063" s="10" t="n">
        <f aca="false">Einstellungen!$B$5+INT((ROW()-9)/24)</f>
        <v>46468</v>
      </c>
      <c r="B12063" s="11" t="n">
        <f aca="false">MOD(ROW()-9,24)</f>
        <v>6</v>
      </c>
      <c r="C12063" s="12"/>
      <c r="D12063" s="13" t="n">
        <f aca="false">IF(B12063&lt;5,Einstellungen!$B$3,Einstellungen!$B$4)</f>
        <v>29.13</v>
      </c>
      <c r="E12063" s="14" t="str">
        <f aca="false">IF(C12063="","",C12063*D12063/100)</f>
        <v/>
      </c>
      <c r="F12063" s="15" t="str">
        <f aca="false">IF(B12063&lt;5,"Go","Standard")</f>
        <v>Standard</v>
      </c>
    </row>
    <row r="12064" customFormat="false" ht="15" hidden="false" customHeight="true" outlineLevel="0" collapsed="false">
      <c r="A12064" s="10" t="n">
        <f aca="false">Einstellungen!$B$5+INT((ROW()-9)/24)</f>
        <v>46468</v>
      </c>
      <c r="B12064" s="11" t="n">
        <f aca="false">MOD(ROW()-9,24)</f>
        <v>7</v>
      </c>
      <c r="C12064" s="12"/>
      <c r="D12064" s="13" t="n">
        <f aca="false">IF(B12064&lt;5,Einstellungen!$B$3,Einstellungen!$B$4)</f>
        <v>29.13</v>
      </c>
      <c r="E12064" s="14" t="str">
        <f aca="false">IF(C12064="","",C12064*D12064/100)</f>
        <v/>
      </c>
      <c r="F12064" s="15" t="str">
        <f aca="false">IF(B12064&lt;5,"Go","Standard")</f>
        <v>Standard</v>
      </c>
    </row>
    <row r="12065" customFormat="false" ht="15" hidden="false" customHeight="true" outlineLevel="0" collapsed="false">
      <c r="A12065" s="10" t="n">
        <f aca="false">Einstellungen!$B$5+INT((ROW()-9)/24)</f>
        <v>46468</v>
      </c>
      <c r="B12065" s="11" t="n">
        <f aca="false">MOD(ROW()-9,24)</f>
        <v>8</v>
      </c>
      <c r="C12065" s="12"/>
      <c r="D12065" s="13" t="n">
        <f aca="false">IF(B12065&lt;5,Einstellungen!$B$3,Einstellungen!$B$4)</f>
        <v>29.13</v>
      </c>
      <c r="E12065" s="14" t="str">
        <f aca="false">IF(C12065="","",C12065*D12065/100)</f>
        <v/>
      </c>
      <c r="F12065" s="15" t="str">
        <f aca="false">IF(B12065&lt;5,"Go","Standard")</f>
        <v>Standard</v>
      </c>
    </row>
    <row r="12066" customFormat="false" ht="15" hidden="false" customHeight="true" outlineLevel="0" collapsed="false">
      <c r="A12066" s="10" t="n">
        <f aca="false">Einstellungen!$B$5+INT((ROW()-9)/24)</f>
        <v>46468</v>
      </c>
      <c r="B12066" s="11" t="n">
        <f aca="false">MOD(ROW()-9,24)</f>
        <v>9</v>
      </c>
      <c r="C12066" s="12"/>
      <c r="D12066" s="13" t="n">
        <f aca="false">IF(B12066&lt;5,Einstellungen!$B$3,Einstellungen!$B$4)</f>
        <v>29.13</v>
      </c>
      <c r="E12066" s="14" t="str">
        <f aca="false">IF(C12066="","",C12066*D12066/100)</f>
        <v/>
      </c>
      <c r="F12066" s="15" t="str">
        <f aca="false">IF(B12066&lt;5,"Go","Standard")</f>
        <v>Standard</v>
      </c>
    </row>
    <row r="12067" customFormat="false" ht="15" hidden="false" customHeight="true" outlineLevel="0" collapsed="false">
      <c r="A12067" s="10" t="n">
        <f aca="false">Einstellungen!$B$5+INT((ROW()-9)/24)</f>
        <v>46468</v>
      </c>
      <c r="B12067" s="11" t="n">
        <f aca="false">MOD(ROW()-9,24)</f>
        <v>10</v>
      </c>
      <c r="C12067" s="12"/>
      <c r="D12067" s="13" t="n">
        <f aca="false">IF(B12067&lt;5,Einstellungen!$B$3,Einstellungen!$B$4)</f>
        <v>29.13</v>
      </c>
      <c r="E12067" s="14" t="str">
        <f aca="false">IF(C12067="","",C12067*D12067/100)</f>
        <v/>
      </c>
      <c r="F12067" s="15" t="str">
        <f aca="false">IF(B12067&lt;5,"Go","Standard")</f>
        <v>Standard</v>
      </c>
    </row>
    <row r="12068" customFormat="false" ht="15" hidden="false" customHeight="true" outlineLevel="0" collapsed="false">
      <c r="A12068" s="10" t="n">
        <f aca="false">Einstellungen!$B$5+INT((ROW()-9)/24)</f>
        <v>46468</v>
      </c>
      <c r="B12068" s="11" t="n">
        <f aca="false">MOD(ROW()-9,24)</f>
        <v>11</v>
      </c>
      <c r="C12068" s="12"/>
      <c r="D12068" s="13" t="n">
        <f aca="false">IF(B12068&lt;5,Einstellungen!$B$3,Einstellungen!$B$4)</f>
        <v>29.13</v>
      </c>
      <c r="E12068" s="14" t="str">
        <f aca="false">IF(C12068="","",C12068*D12068/100)</f>
        <v/>
      </c>
      <c r="F12068" s="15" t="str">
        <f aca="false">IF(B12068&lt;5,"Go","Standard")</f>
        <v>Standard</v>
      </c>
    </row>
    <row r="12069" customFormat="false" ht="15" hidden="false" customHeight="true" outlineLevel="0" collapsed="false">
      <c r="A12069" s="10" t="n">
        <f aca="false">Einstellungen!$B$5+INT((ROW()-9)/24)</f>
        <v>46468</v>
      </c>
      <c r="B12069" s="11" t="n">
        <f aca="false">MOD(ROW()-9,24)</f>
        <v>12</v>
      </c>
      <c r="C12069" s="12"/>
      <c r="D12069" s="13" t="n">
        <f aca="false">IF(B12069&lt;5,Einstellungen!$B$3,Einstellungen!$B$4)</f>
        <v>29.13</v>
      </c>
      <c r="E12069" s="14" t="str">
        <f aca="false">IF(C12069="","",C12069*D12069/100)</f>
        <v/>
      </c>
      <c r="F12069" s="15" t="str">
        <f aca="false">IF(B12069&lt;5,"Go","Standard")</f>
        <v>Standard</v>
      </c>
    </row>
    <row r="12070" customFormat="false" ht="15" hidden="false" customHeight="true" outlineLevel="0" collapsed="false">
      <c r="A12070" s="10" t="n">
        <f aca="false">Einstellungen!$B$5+INT((ROW()-9)/24)</f>
        <v>46468</v>
      </c>
      <c r="B12070" s="11" t="n">
        <f aca="false">MOD(ROW()-9,24)</f>
        <v>13</v>
      </c>
      <c r="C12070" s="12"/>
      <c r="D12070" s="13" t="n">
        <f aca="false">IF(B12070&lt;5,Einstellungen!$B$3,Einstellungen!$B$4)</f>
        <v>29.13</v>
      </c>
      <c r="E12070" s="14" t="str">
        <f aca="false">IF(C12070="","",C12070*D12070/100)</f>
        <v/>
      </c>
      <c r="F12070" s="15" t="str">
        <f aca="false">IF(B12070&lt;5,"Go","Standard")</f>
        <v>Standard</v>
      </c>
    </row>
    <row r="12071" customFormat="false" ht="15" hidden="false" customHeight="true" outlineLevel="0" collapsed="false">
      <c r="A12071" s="10" t="n">
        <f aca="false">Einstellungen!$B$5+INT((ROW()-9)/24)</f>
        <v>46468</v>
      </c>
      <c r="B12071" s="11" t="n">
        <f aca="false">MOD(ROW()-9,24)</f>
        <v>14</v>
      </c>
      <c r="C12071" s="12"/>
      <c r="D12071" s="13" t="n">
        <f aca="false">IF(B12071&lt;5,Einstellungen!$B$3,Einstellungen!$B$4)</f>
        <v>29.13</v>
      </c>
      <c r="E12071" s="14" t="str">
        <f aca="false">IF(C12071="","",C12071*D12071/100)</f>
        <v/>
      </c>
      <c r="F12071" s="15" t="str">
        <f aca="false">IF(B12071&lt;5,"Go","Standard")</f>
        <v>Standard</v>
      </c>
    </row>
    <row r="12072" customFormat="false" ht="15" hidden="false" customHeight="true" outlineLevel="0" collapsed="false">
      <c r="A12072" s="10" t="n">
        <f aca="false">Einstellungen!$B$5+INT((ROW()-9)/24)</f>
        <v>46468</v>
      </c>
      <c r="B12072" s="11" t="n">
        <f aca="false">MOD(ROW()-9,24)</f>
        <v>15</v>
      </c>
      <c r="C12072" s="12"/>
      <c r="D12072" s="13" t="n">
        <f aca="false">IF(B12072&lt;5,Einstellungen!$B$3,Einstellungen!$B$4)</f>
        <v>29.13</v>
      </c>
      <c r="E12072" s="14" t="str">
        <f aca="false">IF(C12072="","",C12072*D12072/100)</f>
        <v/>
      </c>
      <c r="F12072" s="15" t="str">
        <f aca="false">IF(B12072&lt;5,"Go","Standard")</f>
        <v>Standard</v>
      </c>
    </row>
    <row r="12073" customFormat="false" ht="15" hidden="false" customHeight="true" outlineLevel="0" collapsed="false">
      <c r="A12073" s="10" t="n">
        <f aca="false">Einstellungen!$B$5+INT((ROW()-9)/24)</f>
        <v>46468</v>
      </c>
      <c r="B12073" s="11" t="n">
        <f aca="false">MOD(ROW()-9,24)</f>
        <v>16</v>
      </c>
      <c r="C12073" s="12"/>
      <c r="D12073" s="13" t="n">
        <f aca="false">IF(B12073&lt;5,Einstellungen!$B$3,Einstellungen!$B$4)</f>
        <v>29.13</v>
      </c>
      <c r="E12073" s="14" t="str">
        <f aca="false">IF(C12073="","",C12073*D12073/100)</f>
        <v/>
      </c>
      <c r="F12073" s="15" t="str">
        <f aca="false">IF(B12073&lt;5,"Go","Standard")</f>
        <v>Standard</v>
      </c>
    </row>
    <row r="12074" customFormat="false" ht="15" hidden="false" customHeight="true" outlineLevel="0" collapsed="false">
      <c r="A12074" s="10" t="n">
        <f aca="false">Einstellungen!$B$5+INT((ROW()-9)/24)</f>
        <v>46468</v>
      </c>
      <c r="B12074" s="11" t="n">
        <f aca="false">MOD(ROW()-9,24)</f>
        <v>17</v>
      </c>
      <c r="C12074" s="12"/>
      <c r="D12074" s="13" t="n">
        <f aca="false">IF(B12074&lt;5,Einstellungen!$B$3,Einstellungen!$B$4)</f>
        <v>29.13</v>
      </c>
      <c r="E12074" s="14" t="str">
        <f aca="false">IF(C12074="","",C12074*D12074/100)</f>
        <v/>
      </c>
      <c r="F12074" s="15" t="str">
        <f aca="false">IF(B12074&lt;5,"Go","Standard")</f>
        <v>Standard</v>
      </c>
    </row>
    <row r="12075" customFormat="false" ht="15" hidden="false" customHeight="true" outlineLevel="0" collapsed="false">
      <c r="A12075" s="10" t="n">
        <f aca="false">Einstellungen!$B$5+INT((ROW()-9)/24)</f>
        <v>46468</v>
      </c>
      <c r="B12075" s="11" t="n">
        <f aca="false">MOD(ROW()-9,24)</f>
        <v>18</v>
      </c>
      <c r="C12075" s="12"/>
      <c r="D12075" s="13" t="n">
        <f aca="false">IF(B12075&lt;5,Einstellungen!$B$3,Einstellungen!$B$4)</f>
        <v>29.13</v>
      </c>
      <c r="E12075" s="14" t="str">
        <f aca="false">IF(C12075="","",C12075*D12075/100)</f>
        <v/>
      </c>
      <c r="F12075" s="15" t="str">
        <f aca="false">IF(B12075&lt;5,"Go","Standard")</f>
        <v>Standard</v>
      </c>
    </row>
    <row r="12076" customFormat="false" ht="15" hidden="false" customHeight="true" outlineLevel="0" collapsed="false">
      <c r="A12076" s="10" t="n">
        <f aca="false">Einstellungen!$B$5+INT((ROW()-9)/24)</f>
        <v>46468</v>
      </c>
      <c r="B12076" s="11" t="n">
        <f aca="false">MOD(ROW()-9,24)</f>
        <v>19</v>
      </c>
      <c r="C12076" s="12"/>
      <c r="D12076" s="13" t="n">
        <f aca="false">IF(B12076&lt;5,Einstellungen!$B$3,Einstellungen!$B$4)</f>
        <v>29.13</v>
      </c>
      <c r="E12076" s="14" t="str">
        <f aca="false">IF(C12076="","",C12076*D12076/100)</f>
        <v/>
      </c>
      <c r="F12076" s="15" t="str">
        <f aca="false">IF(B12076&lt;5,"Go","Standard")</f>
        <v>Standard</v>
      </c>
    </row>
    <row r="12077" customFormat="false" ht="15" hidden="false" customHeight="true" outlineLevel="0" collapsed="false">
      <c r="A12077" s="10" t="n">
        <f aca="false">Einstellungen!$B$5+INT((ROW()-9)/24)</f>
        <v>46468</v>
      </c>
      <c r="B12077" s="11" t="n">
        <f aca="false">MOD(ROW()-9,24)</f>
        <v>20</v>
      </c>
      <c r="C12077" s="12"/>
      <c r="D12077" s="13" t="n">
        <f aca="false">IF(B12077&lt;5,Einstellungen!$B$3,Einstellungen!$B$4)</f>
        <v>29.13</v>
      </c>
      <c r="E12077" s="14" t="str">
        <f aca="false">IF(C12077="","",C12077*D12077/100)</f>
        <v/>
      </c>
      <c r="F12077" s="15" t="str">
        <f aca="false">IF(B12077&lt;5,"Go","Standard")</f>
        <v>Standard</v>
      </c>
    </row>
    <row r="12078" customFormat="false" ht="15" hidden="false" customHeight="true" outlineLevel="0" collapsed="false">
      <c r="A12078" s="10" t="n">
        <f aca="false">Einstellungen!$B$5+INT((ROW()-9)/24)</f>
        <v>46468</v>
      </c>
      <c r="B12078" s="11" t="n">
        <f aca="false">MOD(ROW()-9,24)</f>
        <v>21</v>
      </c>
      <c r="C12078" s="12"/>
      <c r="D12078" s="13" t="n">
        <f aca="false">IF(B12078&lt;5,Einstellungen!$B$3,Einstellungen!$B$4)</f>
        <v>29.13</v>
      </c>
      <c r="E12078" s="14" t="str">
        <f aca="false">IF(C12078="","",C12078*D12078/100)</f>
        <v/>
      </c>
      <c r="F12078" s="15" t="str">
        <f aca="false">IF(B12078&lt;5,"Go","Standard")</f>
        <v>Standard</v>
      </c>
    </row>
    <row r="12079" customFormat="false" ht="15" hidden="false" customHeight="true" outlineLevel="0" collapsed="false">
      <c r="A12079" s="10" t="n">
        <f aca="false">Einstellungen!$B$5+INT((ROW()-9)/24)</f>
        <v>46468</v>
      </c>
      <c r="B12079" s="11" t="n">
        <f aca="false">MOD(ROW()-9,24)</f>
        <v>22</v>
      </c>
      <c r="C12079" s="12"/>
      <c r="D12079" s="13" t="n">
        <f aca="false">IF(B12079&lt;5,Einstellungen!$B$3,Einstellungen!$B$4)</f>
        <v>29.13</v>
      </c>
      <c r="E12079" s="14" t="str">
        <f aca="false">IF(C12079="","",C12079*D12079/100)</f>
        <v/>
      </c>
      <c r="F12079" s="15" t="str">
        <f aca="false">IF(B12079&lt;5,"Go","Standard")</f>
        <v>Standard</v>
      </c>
    </row>
    <row r="12080" customFormat="false" ht="15" hidden="false" customHeight="true" outlineLevel="0" collapsed="false">
      <c r="A12080" s="10" t="n">
        <f aca="false">Einstellungen!$B$5+INT((ROW()-9)/24)</f>
        <v>46468</v>
      </c>
      <c r="B12080" s="11" t="n">
        <f aca="false">MOD(ROW()-9,24)</f>
        <v>23</v>
      </c>
      <c r="C12080" s="12"/>
      <c r="D12080" s="13" t="n">
        <f aca="false">IF(B12080&lt;5,Einstellungen!$B$3,Einstellungen!$B$4)</f>
        <v>29.13</v>
      </c>
      <c r="E12080" s="14" t="str">
        <f aca="false">IF(C12080="","",C12080*D12080/100)</f>
        <v/>
      </c>
      <c r="F12080" s="15" t="str">
        <f aca="false">IF(B12080&lt;5,"Go","Standard")</f>
        <v>Standard</v>
      </c>
    </row>
    <row r="12081" customFormat="false" ht="15" hidden="false" customHeight="true" outlineLevel="0" collapsed="false">
      <c r="A12081" s="10" t="n">
        <f aca="false">Einstellungen!$B$5+INT((ROW()-9)/24)</f>
        <v>46469</v>
      </c>
      <c r="B12081" s="11" t="n">
        <f aca="false">MOD(ROW()-9,24)</f>
        <v>0</v>
      </c>
      <c r="C12081" s="12"/>
      <c r="D12081" s="13" t="n">
        <f aca="false">IF(B12081&lt;5,Einstellungen!$B$3,Einstellungen!$B$4)</f>
        <v>15.92</v>
      </c>
      <c r="E12081" s="14" t="str">
        <f aca="false">IF(C12081="","",C12081*D12081/100)</f>
        <v/>
      </c>
      <c r="F12081" s="15" t="str">
        <f aca="false">IF(B12081&lt;5,"Go","Standard")</f>
        <v>Go</v>
      </c>
    </row>
    <row r="12082" customFormat="false" ht="15" hidden="false" customHeight="true" outlineLevel="0" collapsed="false">
      <c r="A12082" s="10" t="n">
        <f aca="false">Einstellungen!$B$5+INT((ROW()-9)/24)</f>
        <v>46469</v>
      </c>
      <c r="B12082" s="11" t="n">
        <f aca="false">MOD(ROW()-9,24)</f>
        <v>1</v>
      </c>
      <c r="C12082" s="12"/>
      <c r="D12082" s="13" t="n">
        <f aca="false">IF(B12082&lt;5,Einstellungen!$B$3,Einstellungen!$B$4)</f>
        <v>15.92</v>
      </c>
      <c r="E12082" s="14" t="str">
        <f aca="false">IF(C12082="","",C12082*D12082/100)</f>
        <v/>
      </c>
      <c r="F12082" s="15" t="str">
        <f aca="false">IF(B12082&lt;5,"Go","Standard")</f>
        <v>Go</v>
      </c>
    </row>
    <row r="12083" customFormat="false" ht="15" hidden="false" customHeight="true" outlineLevel="0" collapsed="false">
      <c r="A12083" s="10" t="n">
        <f aca="false">Einstellungen!$B$5+INT((ROW()-9)/24)</f>
        <v>46469</v>
      </c>
      <c r="B12083" s="11" t="n">
        <f aca="false">MOD(ROW()-9,24)</f>
        <v>2</v>
      </c>
      <c r="C12083" s="12"/>
      <c r="D12083" s="13" t="n">
        <f aca="false">IF(B12083&lt;5,Einstellungen!$B$3,Einstellungen!$B$4)</f>
        <v>15.92</v>
      </c>
      <c r="E12083" s="14" t="str">
        <f aca="false">IF(C12083="","",C12083*D12083/100)</f>
        <v/>
      </c>
      <c r="F12083" s="15" t="str">
        <f aca="false">IF(B12083&lt;5,"Go","Standard")</f>
        <v>Go</v>
      </c>
    </row>
    <row r="12084" customFormat="false" ht="15" hidden="false" customHeight="true" outlineLevel="0" collapsed="false">
      <c r="A12084" s="10" t="n">
        <f aca="false">Einstellungen!$B$5+INT((ROW()-9)/24)</f>
        <v>46469</v>
      </c>
      <c r="B12084" s="11" t="n">
        <f aca="false">MOD(ROW()-9,24)</f>
        <v>3</v>
      </c>
      <c r="C12084" s="12"/>
      <c r="D12084" s="13" t="n">
        <f aca="false">IF(B12084&lt;5,Einstellungen!$B$3,Einstellungen!$B$4)</f>
        <v>15.92</v>
      </c>
      <c r="E12084" s="14" t="str">
        <f aca="false">IF(C12084="","",C12084*D12084/100)</f>
        <v/>
      </c>
      <c r="F12084" s="15" t="str">
        <f aca="false">IF(B12084&lt;5,"Go","Standard")</f>
        <v>Go</v>
      </c>
    </row>
    <row r="12085" customFormat="false" ht="15" hidden="false" customHeight="true" outlineLevel="0" collapsed="false">
      <c r="A12085" s="10" t="n">
        <f aca="false">Einstellungen!$B$5+INT((ROW()-9)/24)</f>
        <v>46469</v>
      </c>
      <c r="B12085" s="11" t="n">
        <f aca="false">MOD(ROW()-9,24)</f>
        <v>4</v>
      </c>
      <c r="C12085" s="12"/>
      <c r="D12085" s="13" t="n">
        <f aca="false">IF(B12085&lt;5,Einstellungen!$B$3,Einstellungen!$B$4)</f>
        <v>15.92</v>
      </c>
      <c r="E12085" s="14" t="str">
        <f aca="false">IF(C12085="","",C12085*D12085/100)</f>
        <v/>
      </c>
      <c r="F12085" s="15" t="str">
        <f aca="false">IF(B12085&lt;5,"Go","Standard")</f>
        <v>Go</v>
      </c>
    </row>
    <row r="12086" customFormat="false" ht="15" hidden="false" customHeight="true" outlineLevel="0" collapsed="false">
      <c r="A12086" s="10" t="n">
        <f aca="false">Einstellungen!$B$5+INT((ROW()-9)/24)</f>
        <v>46469</v>
      </c>
      <c r="B12086" s="11" t="n">
        <f aca="false">MOD(ROW()-9,24)</f>
        <v>5</v>
      </c>
      <c r="C12086" s="12"/>
      <c r="D12086" s="13" t="n">
        <f aca="false">IF(B12086&lt;5,Einstellungen!$B$3,Einstellungen!$B$4)</f>
        <v>29.13</v>
      </c>
      <c r="E12086" s="14" t="str">
        <f aca="false">IF(C12086="","",C12086*D12086/100)</f>
        <v/>
      </c>
      <c r="F12086" s="15" t="str">
        <f aca="false">IF(B12086&lt;5,"Go","Standard")</f>
        <v>Standard</v>
      </c>
    </row>
    <row r="12087" customFormat="false" ht="15" hidden="false" customHeight="true" outlineLevel="0" collapsed="false">
      <c r="A12087" s="10" t="n">
        <f aca="false">Einstellungen!$B$5+INT((ROW()-9)/24)</f>
        <v>46469</v>
      </c>
      <c r="B12087" s="11" t="n">
        <f aca="false">MOD(ROW()-9,24)</f>
        <v>6</v>
      </c>
      <c r="C12087" s="12"/>
      <c r="D12087" s="13" t="n">
        <f aca="false">IF(B12087&lt;5,Einstellungen!$B$3,Einstellungen!$B$4)</f>
        <v>29.13</v>
      </c>
      <c r="E12087" s="14" t="str">
        <f aca="false">IF(C12087="","",C12087*D12087/100)</f>
        <v/>
      </c>
      <c r="F12087" s="15" t="str">
        <f aca="false">IF(B12087&lt;5,"Go","Standard")</f>
        <v>Standard</v>
      </c>
    </row>
    <row r="12088" customFormat="false" ht="15" hidden="false" customHeight="true" outlineLevel="0" collapsed="false">
      <c r="A12088" s="10" t="n">
        <f aca="false">Einstellungen!$B$5+INT((ROW()-9)/24)</f>
        <v>46469</v>
      </c>
      <c r="B12088" s="11" t="n">
        <f aca="false">MOD(ROW()-9,24)</f>
        <v>7</v>
      </c>
      <c r="C12088" s="12"/>
      <c r="D12088" s="13" t="n">
        <f aca="false">IF(B12088&lt;5,Einstellungen!$B$3,Einstellungen!$B$4)</f>
        <v>29.13</v>
      </c>
      <c r="E12088" s="14" t="str">
        <f aca="false">IF(C12088="","",C12088*D12088/100)</f>
        <v/>
      </c>
      <c r="F12088" s="15" t="str">
        <f aca="false">IF(B12088&lt;5,"Go","Standard")</f>
        <v>Standard</v>
      </c>
    </row>
    <row r="12089" customFormat="false" ht="15" hidden="false" customHeight="true" outlineLevel="0" collapsed="false">
      <c r="A12089" s="10" t="n">
        <f aca="false">Einstellungen!$B$5+INT((ROW()-9)/24)</f>
        <v>46469</v>
      </c>
      <c r="B12089" s="11" t="n">
        <f aca="false">MOD(ROW()-9,24)</f>
        <v>8</v>
      </c>
      <c r="C12089" s="12"/>
      <c r="D12089" s="13" t="n">
        <f aca="false">IF(B12089&lt;5,Einstellungen!$B$3,Einstellungen!$B$4)</f>
        <v>29.13</v>
      </c>
      <c r="E12089" s="14" t="str">
        <f aca="false">IF(C12089="","",C12089*D12089/100)</f>
        <v/>
      </c>
      <c r="F12089" s="15" t="str">
        <f aca="false">IF(B12089&lt;5,"Go","Standard")</f>
        <v>Standard</v>
      </c>
    </row>
    <row r="12090" customFormat="false" ht="15" hidden="false" customHeight="true" outlineLevel="0" collapsed="false">
      <c r="A12090" s="10" t="n">
        <f aca="false">Einstellungen!$B$5+INT((ROW()-9)/24)</f>
        <v>46469</v>
      </c>
      <c r="B12090" s="11" t="n">
        <f aca="false">MOD(ROW()-9,24)</f>
        <v>9</v>
      </c>
      <c r="C12090" s="12"/>
      <c r="D12090" s="13" t="n">
        <f aca="false">IF(B12090&lt;5,Einstellungen!$B$3,Einstellungen!$B$4)</f>
        <v>29.13</v>
      </c>
      <c r="E12090" s="14" t="str">
        <f aca="false">IF(C12090="","",C12090*D12090/100)</f>
        <v/>
      </c>
      <c r="F12090" s="15" t="str">
        <f aca="false">IF(B12090&lt;5,"Go","Standard")</f>
        <v>Standard</v>
      </c>
    </row>
    <row r="12091" customFormat="false" ht="15" hidden="false" customHeight="true" outlineLevel="0" collapsed="false">
      <c r="A12091" s="10" t="n">
        <f aca="false">Einstellungen!$B$5+INT((ROW()-9)/24)</f>
        <v>46469</v>
      </c>
      <c r="B12091" s="11" t="n">
        <f aca="false">MOD(ROW()-9,24)</f>
        <v>10</v>
      </c>
      <c r="C12091" s="12"/>
      <c r="D12091" s="13" t="n">
        <f aca="false">IF(B12091&lt;5,Einstellungen!$B$3,Einstellungen!$B$4)</f>
        <v>29.13</v>
      </c>
      <c r="E12091" s="14" t="str">
        <f aca="false">IF(C12091="","",C12091*D12091/100)</f>
        <v/>
      </c>
      <c r="F12091" s="15" t="str">
        <f aca="false">IF(B12091&lt;5,"Go","Standard")</f>
        <v>Standard</v>
      </c>
    </row>
    <row r="12092" customFormat="false" ht="15" hidden="false" customHeight="true" outlineLevel="0" collapsed="false">
      <c r="A12092" s="10" t="n">
        <f aca="false">Einstellungen!$B$5+INT((ROW()-9)/24)</f>
        <v>46469</v>
      </c>
      <c r="B12092" s="11" t="n">
        <f aca="false">MOD(ROW()-9,24)</f>
        <v>11</v>
      </c>
      <c r="C12092" s="12"/>
      <c r="D12092" s="13" t="n">
        <f aca="false">IF(B12092&lt;5,Einstellungen!$B$3,Einstellungen!$B$4)</f>
        <v>29.13</v>
      </c>
      <c r="E12092" s="14" t="str">
        <f aca="false">IF(C12092="","",C12092*D12092/100)</f>
        <v/>
      </c>
      <c r="F12092" s="15" t="str">
        <f aca="false">IF(B12092&lt;5,"Go","Standard")</f>
        <v>Standard</v>
      </c>
    </row>
    <row r="12093" customFormat="false" ht="15" hidden="false" customHeight="true" outlineLevel="0" collapsed="false">
      <c r="A12093" s="10" t="n">
        <f aca="false">Einstellungen!$B$5+INT((ROW()-9)/24)</f>
        <v>46469</v>
      </c>
      <c r="B12093" s="11" t="n">
        <f aca="false">MOD(ROW()-9,24)</f>
        <v>12</v>
      </c>
      <c r="C12093" s="12"/>
      <c r="D12093" s="13" t="n">
        <f aca="false">IF(B12093&lt;5,Einstellungen!$B$3,Einstellungen!$B$4)</f>
        <v>29.13</v>
      </c>
      <c r="E12093" s="14" t="str">
        <f aca="false">IF(C12093="","",C12093*D12093/100)</f>
        <v/>
      </c>
      <c r="F12093" s="15" t="str">
        <f aca="false">IF(B12093&lt;5,"Go","Standard")</f>
        <v>Standard</v>
      </c>
    </row>
    <row r="12094" customFormat="false" ht="15" hidden="false" customHeight="true" outlineLevel="0" collapsed="false">
      <c r="A12094" s="10" t="n">
        <f aca="false">Einstellungen!$B$5+INT((ROW()-9)/24)</f>
        <v>46469</v>
      </c>
      <c r="B12094" s="11" t="n">
        <f aca="false">MOD(ROW()-9,24)</f>
        <v>13</v>
      </c>
      <c r="C12094" s="12"/>
      <c r="D12094" s="13" t="n">
        <f aca="false">IF(B12094&lt;5,Einstellungen!$B$3,Einstellungen!$B$4)</f>
        <v>29.13</v>
      </c>
      <c r="E12094" s="14" t="str">
        <f aca="false">IF(C12094="","",C12094*D12094/100)</f>
        <v/>
      </c>
      <c r="F12094" s="15" t="str">
        <f aca="false">IF(B12094&lt;5,"Go","Standard")</f>
        <v>Standard</v>
      </c>
    </row>
    <row r="12095" customFormat="false" ht="15" hidden="false" customHeight="true" outlineLevel="0" collapsed="false">
      <c r="A12095" s="10" t="n">
        <f aca="false">Einstellungen!$B$5+INT((ROW()-9)/24)</f>
        <v>46469</v>
      </c>
      <c r="B12095" s="11" t="n">
        <f aca="false">MOD(ROW()-9,24)</f>
        <v>14</v>
      </c>
      <c r="C12095" s="12"/>
      <c r="D12095" s="13" t="n">
        <f aca="false">IF(B12095&lt;5,Einstellungen!$B$3,Einstellungen!$B$4)</f>
        <v>29.13</v>
      </c>
      <c r="E12095" s="14" t="str">
        <f aca="false">IF(C12095="","",C12095*D12095/100)</f>
        <v/>
      </c>
      <c r="F12095" s="15" t="str">
        <f aca="false">IF(B12095&lt;5,"Go","Standard")</f>
        <v>Standard</v>
      </c>
    </row>
    <row r="12096" customFormat="false" ht="15" hidden="false" customHeight="true" outlineLevel="0" collapsed="false">
      <c r="A12096" s="10" t="n">
        <f aca="false">Einstellungen!$B$5+INT((ROW()-9)/24)</f>
        <v>46469</v>
      </c>
      <c r="B12096" s="11" t="n">
        <f aca="false">MOD(ROW()-9,24)</f>
        <v>15</v>
      </c>
      <c r="C12096" s="12"/>
      <c r="D12096" s="13" t="n">
        <f aca="false">IF(B12096&lt;5,Einstellungen!$B$3,Einstellungen!$B$4)</f>
        <v>29.13</v>
      </c>
      <c r="E12096" s="14" t="str">
        <f aca="false">IF(C12096="","",C12096*D12096/100)</f>
        <v/>
      </c>
      <c r="F12096" s="15" t="str">
        <f aca="false">IF(B12096&lt;5,"Go","Standard")</f>
        <v>Standard</v>
      </c>
    </row>
    <row r="12097" customFormat="false" ht="15" hidden="false" customHeight="true" outlineLevel="0" collapsed="false">
      <c r="A12097" s="10" t="n">
        <f aca="false">Einstellungen!$B$5+INT((ROW()-9)/24)</f>
        <v>46469</v>
      </c>
      <c r="B12097" s="11" t="n">
        <f aca="false">MOD(ROW()-9,24)</f>
        <v>16</v>
      </c>
      <c r="C12097" s="12"/>
      <c r="D12097" s="13" t="n">
        <f aca="false">IF(B12097&lt;5,Einstellungen!$B$3,Einstellungen!$B$4)</f>
        <v>29.13</v>
      </c>
      <c r="E12097" s="14" t="str">
        <f aca="false">IF(C12097="","",C12097*D12097/100)</f>
        <v/>
      </c>
      <c r="F12097" s="15" t="str">
        <f aca="false">IF(B12097&lt;5,"Go","Standard")</f>
        <v>Standard</v>
      </c>
    </row>
    <row r="12098" customFormat="false" ht="15" hidden="false" customHeight="true" outlineLevel="0" collapsed="false">
      <c r="A12098" s="10" t="n">
        <f aca="false">Einstellungen!$B$5+INT((ROW()-9)/24)</f>
        <v>46469</v>
      </c>
      <c r="B12098" s="11" t="n">
        <f aca="false">MOD(ROW()-9,24)</f>
        <v>17</v>
      </c>
      <c r="C12098" s="12"/>
      <c r="D12098" s="13" t="n">
        <f aca="false">IF(B12098&lt;5,Einstellungen!$B$3,Einstellungen!$B$4)</f>
        <v>29.13</v>
      </c>
      <c r="E12098" s="14" t="str">
        <f aca="false">IF(C12098="","",C12098*D12098/100)</f>
        <v/>
      </c>
      <c r="F12098" s="15" t="str">
        <f aca="false">IF(B12098&lt;5,"Go","Standard")</f>
        <v>Standard</v>
      </c>
    </row>
    <row r="12099" customFormat="false" ht="15" hidden="false" customHeight="true" outlineLevel="0" collapsed="false">
      <c r="A12099" s="10" t="n">
        <f aca="false">Einstellungen!$B$5+INT((ROW()-9)/24)</f>
        <v>46469</v>
      </c>
      <c r="B12099" s="11" t="n">
        <f aca="false">MOD(ROW()-9,24)</f>
        <v>18</v>
      </c>
      <c r="C12099" s="12"/>
      <c r="D12099" s="13" t="n">
        <f aca="false">IF(B12099&lt;5,Einstellungen!$B$3,Einstellungen!$B$4)</f>
        <v>29.13</v>
      </c>
      <c r="E12099" s="14" t="str">
        <f aca="false">IF(C12099="","",C12099*D12099/100)</f>
        <v/>
      </c>
      <c r="F12099" s="15" t="str">
        <f aca="false">IF(B12099&lt;5,"Go","Standard")</f>
        <v>Standard</v>
      </c>
    </row>
    <row r="12100" customFormat="false" ht="15" hidden="false" customHeight="true" outlineLevel="0" collapsed="false">
      <c r="A12100" s="10" t="n">
        <f aca="false">Einstellungen!$B$5+INT((ROW()-9)/24)</f>
        <v>46469</v>
      </c>
      <c r="B12100" s="11" t="n">
        <f aca="false">MOD(ROW()-9,24)</f>
        <v>19</v>
      </c>
      <c r="C12100" s="12"/>
      <c r="D12100" s="13" t="n">
        <f aca="false">IF(B12100&lt;5,Einstellungen!$B$3,Einstellungen!$B$4)</f>
        <v>29.13</v>
      </c>
      <c r="E12100" s="14" t="str">
        <f aca="false">IF(C12100="","",C12100*D12100/100)</f>
        <v/>
      </c>
      <c r="F12100" s="15" t="str">
        <f aca="false">IF(B12100&lt;5,"Go","Standard")</f>
        <v>Standard</v>
      </c>
    </row>
    <row r="12101" customFormat="false" ht="15" hidden="false" customHeight="true" outlineLevel="0" collapsed="false">
      <c r="A12101" s="10" t="n">
        <f aca="false">Einstellungen!$B$5+INT((ROW()-9)/24)</f>
        <v>46469</v>
      </c>
      <c r="B12101" s="11" t="n">
        <f aca="false">MOD(ROW()-9,24)</f>
        <v>20</v>
      </c>
      <c r="C12101" s="12"/>
      <c r="D12101" s="13" t="n">
        <f aca="false">IF(B12101&lt;5,Einstellungen!$B$3,Einstellungen!$B$4)</f>
        <v>29.13</v>
      </c>
      <c r="E12101" s="14" t="str">
        <f aca="false">IF(C12101="","",C12101*D12101/100)</f>
        <v/>
      </c>
      <c r="F12101" s="15" t="str">
        <f aca="false">IF(B12101&lt;5,"Go","Standard")</f>
        <v>Standard</v>
      </c>
    </row>
    <row r="12102" customFormat="false" ht="15" hidden="false" customHeight="true" outlineLevel="0" collapsed="false">
      <c r="A12102" s="10" t="n">
        <f aca="false">Einstellungen!$B$5+INT((ROW()-9)/24)</f>
        <v>46469</v>
      </c>
      <c r="B12102" s="11" t="n">
        <f aca="false">MOD(ROW()-9,24)</f>
        <v>21</v>
      </c>
      <c r="C12102" s="12"/>
      <c r="D12102" s="13" t="n">
        <f aca="false">IF(B12102&lt;5,Einstellungen!$B$3,Einstellungen!$B$4)</f>
        <v>29.13</v>
      </c>
      <c r="E12102" s="14" t="str">
        <f aca="false">IF(C12102="","",C12102*D12102/100)</f>
        <v/>
      </c>
      <c r="F12102" s="15" t="str">
        <f aca="false">IF(B12102&lt;5,"Go","Standard")</f>
        <v>Standard</v>
      </c>
    </row>
    <row r="12103" customFormat="false" ht="15" hidden="false" customHeight="true" outlineLevel="0" collapsed="false">
      <c r="A12103" s="10" t="n">
        <f aca="false">Einstellungen!$B$5+INT((ROW()-9)/24)</f>
        <v>46469</v>
      </c>
      <c r="B12103" s="11" t="n">
        <f aca="false">MOD(ROW()-9,24)</f>
        <v>22</v>
      </c>
      <c r="C12103" s="12"/>
      <c r="D12103" s="13" t="n">
        <f aca="false">IF(B12103&lt;5,Einstellungen!$B$3,Einstellungen!$B$4)</f>
        <v>29.13</v>
      </c>
      <c r="E12103" s="14" t="str">
        <f aca="false">IF(C12103="","",C12103*D12103/100)</f>
        <v/>
      </c>
      <c r="F12103" s="15" t="str">
        <f aca="false">IF(B12103&lt;5,"Go","Standard")</f>
        <v>Standard</v>
      </c>
    </row>
    <row r="12104" customFormat="false" ht="15" hidden="false" customHeight="true" outlineLevel="0" collapsed="false">
      <c r="A12104" s="10" t="n">
        <f aca="false">Einstellungen!$B$5+INT((ROW()-9)/24)</f>
        <v>46469</v>
      </c>
      <c r="B12104" s="11" t="n">
        <f aca="false">MOD(ROW()-9,24)</f>
        <v>23</v>
      </c>
      <c r="C12104" s="12"/>
      <c r="D12104" s="13" t="n">
        <f aca="false">IF(B12104&lt;5,Einstellungen!$B$3,Einstellungen!$B$4)</f>
        <v>29.13</v>
      </c>
      <c r="E12104" s="14" t="str">
        <f aca="false">IF(C12104="","",C12104*D12104/100)</f>
        <v/>
      </c>
      <c r="F12104" s="15" t="str">
        <f aca="false">IF(B12104&lt;5,"Go","Standard")</f>
        <v>Standard</v>
      </c>
    </row>
    <row r="12105" customFormat="false" ht="15" hidden="false" customHeight="true" outlineLevel="0" collapsed="false">
      <c r="A12105" s="10" t="n">
        <f aca="false">Einstellungen!$B$5+INT((ROW()-9)/24)</f>
        <v>46470</v>
      </c>
      <c r="B12105" s="11" t="n">
        <f aca="false">MOD(ROW()-9,24)</f>
        <v>0</v>
      </c>
      <c r="C12105" s="12"/>
      <c r="D12105" s="13" t="n">
        <f aca="false">IF(B12105&lt;5,Einstellungen!$B$3,Einstellungen!$B$4)</f>
        <v>15.92</v>
      </c>
      <c r="E12105" s="14" t="str">
        <f aca="false">IF(C12105="","",C12105*D12105/100)</f>
        <v/>
      </c>
      <c r="F12105" s="15" t="str">
        <f aca="false">IF(B12105&lt;5,"Go","Standard")</f>
        <v>Go</v>
      </c>
    </row>
    <row r="12106" customFormat="false" ht="15" hidden="false" customHeight="true" outlineLevel="0" collapsed="false">
      <c r="A12106" s="10" t="n">
        <f aca="false">Einstellungen!$B$5+INT((ROW()-9)/24)</f>
        <v>46470</v>
      </c>
      <c r="B12106" s="11" t="n">
        <f aca="false">MOD(ROW()-9,24)</f>
        <v>1</v>
      </c>
      <c r="C12106" s="12"/>
      <c r="D12106" s="13" t="n">
        <f aca="false">IF(B12106&lt;5,Einstellungen!$B$3,Einstellungen!$B$4)</f>
        <v>15.92</v>
      </c>
      <c r="E12106" s="14" t="str">
        <f aca="false">IF(C12106="","",C12106*D12106/100)</f>
        <v/>
      </c>
      <c r="F12106" s="15" t="str">
        <f aca="false">IF(B12106&lt;5,"Go","Standard")</f>
        <v>Go</v>
      </c>
    </row>
    <row r="12107" customFormat="false" ht="15" hidden="false" customHeight="true" outlineLevel="0" collapsed="false">
      <c r="A12107" s="10" t="n">
        <f aca="false">Einstellungen!$B$5+INT((ROW()-9)/24)</f>
        <v>46470</v>
      </c>
      <c r="B12107" s="11" t="n">
        <f aca="false">MOD(ROW()-9,24)</f>
        <v>2</v>
      </c>
      <c r="C12107" s="12"/>
      <c r="D12107" s="13" t="n">
        <f aca="false">IF(B12107&lt;5,Einstellungen!$B$3,Einstellungen!$B$4)</f>
        <v>15.92</v>
      </c>
      <c r="E12107" s="14" t="str">
        <f aca="false">IF(C12107="","",C12107*D12107/100)</f>
        <v/>
      </c>
      <c r="F12107" s="15" t="str">
        <f aca="false">IF(B12107&lt;5,"Go","Standard")</f>
        <v>Go</v>
      </c>
    </row>
    <row r="12108" customFormat="false" ht="15" hidden="false" customHeight="true" outlineLevel="0" collapsed="false">
      <c r="A12108" s="10" t="n">
        <f aca="false">Einstellungen!$B$5+INT((ROW()-9)/24)</f>
        <v>46470</v>
      </c>
      <c r="B12108" s="11" t="n">
        <f aca="false">MOD(ROW()-9,24)</f>
        <v>3</v>
      </c>
      <c r="C12108" s="12"/>
      <c r="D12108" s="13" t="n">
        <f aca="false">IF(B12108&lt;5,Einstellungen!$B$3,Einstellungen!$B$4)</f>
        <v>15.92</v>
      </c>
      <c r="E12108" s="14" t="str">
        <f aca="false">IF(C12108="","",C12108*D12108/100)</f>
        <v/>
      </c>
      <c r="F12108" s="15" t="str">
        <f aca="false">IF(B12108&lt;5,"Go","Standard")</f>
        <v>Go</v>
      </c>
    </row>
    <row r="12109" customFormat="false" ht="15" hidden="false" customHeight="true" outlineLevel="0" collapsed="false">
      <c r="A12109" s="10" t="n">
        <f aca="false">Einstellungen!$B$5+INT((ROW()-9)/24)</f>
        <v>46470</v>
      </c>
      <c r="B12109" s="11" t="n">
        <f aca="false">MOD(ROW()-9,24)</f>
        <v>4</v>
      </c>
      <c r="C12109" s="12"/>
      <c r="D12109" s="13" t="n">
        <f aca="false">IF(B12109&lt;5,Einstellungen!$B$3,Einstellungen!$B$4)</f>
        <v>15.92</v>
      </c>
      <c r="E12109" s="14" t="str">
        <f aca="false">IF(C12109="","",C12109*D12109/100)</f>
        <v/>
      </c>
      <c r="F12109" s="15" t="str">
        <f aca="false">IF(B12109&lt;5,"Go","Standard")</f>
        <v>Go</v>
      </c>
    </row>
    <row r="12110" customFormat="false" ht="15" hidden="false" customHeight="true" outlineLevel="0" collapsed="false">
      <c r="A12110" s="10" t="n">
        <f aca="false">Einstellungen!$B$5+INT((ROW()-9)/24)</f>
        <v>46470</v>
      </c>
      <c r="B12110" s="11" t="n">
        <f aca="false">MOD(ROW()-9,24)</f>
        <v>5</v>
      </c>
      <c r="C12110" s="12"/>
      <c r="D12110" s="13" t="n">
        <f aca="false">IF(B12110&lt;5,Einstellungen!$B$3,Einstellungen!$B$4)</f>
        <v>29.13</v>
      </c>
      <c r="E12110" s="14" t="str">
        <f aca="false">IF(C12110="","",C12110*D12110/100)</f>
        <v/>
      </c>
      <c r="F12110" s="15" t="str">
        <f aca="false">IF(B12110&lt;5,"Go","Standard")</f>
        <v>Standard</v>
      </c>
    </row>
    <row r="12111" customFormat="false" ht="15" hidden="false" customHeight="true" outlineLevel="0" collapsed="false">
      <c r="A12111" s="10" t="n">
        <f aca="false">Einstellungen!$B$5+INT((ROW()-9)/24)</f>
        <v>46470</v>
      </c>
      <c r="B12111" s="11" t="n">
        <f aca="false">MOD(ROW()-9,24)</f>
        <v>6</v>
      </c>
      <c r="C12111" s="12"/>
      <c r="D12111" s="13" t="n">
        <f aca="false">IF(B12111&lt;5,Einstellungen!$B$3,Einstellungen!$B$4)</f>
        <v>29.13</v>
      </c>
      <c r="E12111" s="14" t="str">
        <f aca="false">IF(C12111="","",C12111*D12111/100)</f>
        <v/>
      </c>
      <c r="F12111" s="15" t="str">
        <f aca="false">IF(B12111&lt;5,"Go","Standard")</f>
        <v>Standard</v>
      </c>
    </row>
    <row r="12112" customFormat="false" ht="15" hidden="false" customHeight="true" outlineLevel="0" collapsed="false">
      <c r="A12112" s="10" t="n">
        <f aca="false">Einstellungen!$B$5+INT((ROW()-9)/24)</f>
        <v>46470</v>
      </c>
      <c r="B12112" s="11" t="n">
        <f aca="false">MOD(ROW()-9,24)</f>
        <v>7</v>
      </c>
      <c r="C12112" s="12"/>
      <c r="D12112" s="13" t="n">
        <f aca="false">IF(B12112&lt;5,Einstellungen!$B$3,Einstellungen!$B$4)</f>
        <v>29.13</v>
      </c>
      <c r="E12112" s="14" t="str">
        <f aca="false">IF(C12112="","",C12112*D12112/100)</f>
        <v/>
      </c>
      <c r="F12112" s="15" t="str">
        <f aca="false">IF(B12112&lt;5,"Go","Standard")</f>
        <v>Standard</v>
      </c>
    </row>
    <row r="12113" customFormat="false" ht="15" hidden="false" customHeight="true" outlineLevel="0" collapsed="false">
      <c r="A12113" s="10" t="n">
        <f aca="false">Einstellungen!$B$5+INT((ROW()-9)/24)</f>
        <v>46470</v>
      </c>
      <c r="B12113" s="11" t="n">
        <f aca="false">MOD(ROW()-9,24)</f>
        <v>8</v>
      </c>
      <c r="C12113" s="12"/>
      <c r="D12113" s="13" t="n">
        <f aca="false">IF(B12113&lt;5,Einstellungen!$B$3,Einstellungen!$B$4)</f>
        <v>29.13</v>
      </c>
      <c r="E12113" s="14" t="str">
        <f aca="false">IF(C12113="","",C12113*D12113/100)</f>
        <v/>
      </c>
      <c r="F12113" s="15" t="str">
        <f aca="false">IF(B12113&lt;5,"Go","Standard")</f>
        <v>Standard</v>
      </c>
    </row>
    <row r="12114" customFormat="false" ht="15" hidden="false" customHeight="true" outlineLevel="0" collapsed="false">
      <c r="A12114" s="10" t="n">
        <f aca="false">Einstellungen!$B$5+INT((ROW()-9)/24)</f>
        <v>46470</v>
      </c>
      <c r="B12114" s="11" t="n">
        <f aca="false">MOD(ROW()-9,24)</f>
        <v>9</v>
      </c>
      <c r="C12114" s="12"/>
      <c r="D12114" s="13" t="n">
        <f aca="false">IF(B12114&lt;5,Einstellungen!$B$3,Einstellungen!$B$4)</f>
        <v>29.13</v>
      </c>
      <c r="E12114" s="14" t="str">
        <f aca="false">IF(C12114="","",C12114*D12114/100)</f>
        <v/>
      </c>
      <c r="F12114" s="15" t="str">
        <f aca="false">IF(B12114&lt;5,"Go","Standard")</f>
        <v>Standard</v>
      </c>
    </row>
    <row r="12115" customFormat="false" ht="15" hidden="false" customHeight="true" outlineLevel="0" collapsed="false">
      <c r="A12115" s="10" t="n">
        <f aca="false">Einstellungen!$B$5+INT((ROW()-9)/24)</f>
        <v>46470</v>
      </c>
      <c r="B12115" s="11" t="n">
        <f aca="false">MOD(ROW()-9,24)</f>
        <v>10</v>
      </c>
      <c r="C12115" s="12"/>
      <c r="D12115" s="13" t="n">
        <f aca="false">IF(B12115&lt;5,Einstellungen!$B$3,Einstellungen!$B$4)</f>
        <v>29.13</v>
      </c>
      <c r="E12115" s="14" t="str">
        <f aca="false">IF(C12115="","",C12115*D12115/100)</f>
        <v/>
      </c>
      <c r="F12115" s="15" t="str">
        <f aca="false">IF(B12115&lt;5,"Go","Standard")</f>
        <v>Standard</v>
      </c>
    </row>
    <row r="12116" customFormat="false" ht="15" hidden="false" customHeight="true" outlineLevel="0" collapsed="false">
      <c r="A12116" s="10" t="n">
        <f aca="false">Einstellungen!$B$5+INT((ROW()-9)/24)</f>
        <v>46470</v>
      </c>
      <c r="B12116" s="11" t="n">
        <f aca="false">MOD(ROW()-9,24)</f>
        <v>11</v>
      </c>
      <c r="C12116" s="12"/>
      <c r="D12116" s="13" t="n">
        <f aca="false">IF(B12116&lt;5,Einstellungen!$B$3,Einstellungen!$B$4)</f>
        <v>29.13</v>
      </c>
      <c r="E12116" s="14" t="str">
        <f aca="false">IF(C12116="","",C12116*D12116/100)</f>
        <v/>
      </c>
      <c r="F12116" s="15" t="str">
        <f aca="false">IF(B12116&lt;5,"Go","Standard")</f>
        <v>Standard</v>
      </c>
    </row>
    <row r="12117" customFormat="false" ht="15" hidden="false" customHeight="true" outlineLevel="0" collapsed="false">
      <c r="A12117" s="10" t="n">
        <f aca="false">Einstellungen!$B$5+INT((ROW()-9)/24)</f>
        <v>46470</v>
      </c>
      <c r="B12117" s="11" t="n">
        <f aca="false">MOD(ROW()-9,24)</f>
        <v>12</v>
      </c>
      <c r="C12117" s="12"/>
      <c r="D12117" s="13" t="n">
        <f aca="false">IF(B12117&lt;5,Einstellungen!$B$3,Einstellungen!$B$4)</f>
        <v>29.13</v>
      </c>
      <c r="E12117" s="14" t="str">
        <f aca="false">IF(C12117="","",C12117*D12117/100)</f>
        <v/>
      </c>
      <c r="F12117" s="15" t="str">
        <f aca="false">IF(B12117&lt;5,"Go","Standard")</f>
        <v>Standard</v>
      </c>
    </row>
    <row r="12118" customFormat="false" ht="15" hidden="false" customHeight="true" outlineLevel="0" collapsed="false">
      <c r="A12118" s="10" t="n">
        <f aca="false">Einstellungen!$B$5+INT((ROW()-9)/24)</f>
        <v>46470</v>
      </c>
      <c r="B12118" s="11" t="n">
        <f aca="false">MOD(ROW()-9,24)</f>
        <v>13</v>
      </c>
      <c r="C12118" s="12"/>
      <c r="D12118" s="13" t="n">
        <f aca="false">IF(B12118&lt;5,Einstellungen!$B$3,Einstellungen!$B$4)</f>
        <v>29.13</v>
      </c>
      <c r="E12118" s="14" t="str">
        <f aca="false">IF(C12118="","",C12118*D12118/100)</f>
        <v/>
      </c>
      <c r="F12118" s="15" t="str">
        <f aca="false">IF(B12118&lt;5,"Go","Standard")</f>
        <v>Standard</v>
      </c>
    </row>
    <row r="12119" customFormat="false" ht="15" hidden="false" customHeight="true" outlineLevel="0" collapsed="false">
      <c r="A12119" s="10" t="n">
        <f aca="false">Einstellungen!$B$5+INT((ROW()-9)/24)</f>
        <v>46470</v>
      </c>
      <c r="B12119" s="11" t="n">
        <f aca="false">MOD(ROW()-9,24)</f>
        <v>14</v>
      </c>
      <c r="C12119" s="12"/>
      <c r="D12119" s="13" t="n">
        <f aca="false">IF(B12119&lt;5,Einstellungen!$B$3,Einstellungen!$B$4)</f>
        <v>29.13</v>
      </c>
      <c r="E12119" s="14" t="str">
        <f aca="false">IF(C12119="","",C12119*D12119/100)</f>
        <v/>
      </c>
      <c r="F12119" s="15" t="str">
        <f aca="false">IF(B12119&lt;5,"Go","Standard")</f>
        <v>Standard</v>
      </c>
    </row>
    <row r="12120" customFormat="false" ht="15" hidden="false" customHeight="true" outlineLevel="0" collapsed="false">
      <c r="A12120" s="10" t="n">
        <f aca="false">Einstellungen!$B$5+INT((ROW()-9)/24)</f>
        <v>46470</v>
      </c>
      <c r="B12120" s="11" t="n">
        <f aca="false">MOD(ROW()-9,24)</f>
        <v>15</v>
      </c>
      <c r="C12120" s="12"/>
      <c r="D12120" s="13" t="n">
        <f aca="false">IF(B12120&lt;5,Einstellungen!$B$3,Einstellungen!$B$4)</f>
        <v>29.13</v>
      </c>
      <c r="E12120" s="14" t="str">
        <f aca="false">IF(C12120="","",C12120*D12120/100)</f>
        <v/>
      </c>
      <c r="F12120" s="15" t="str">
        <f aca="false">IF(B12120&lt;5,"Go","Standard")</f>
        <v>Standard</v>
      </c>
    </row>
    <row r="12121" customFormat="false" ht="15" hidden="false" customHeight="true" outlineLevel="0" collapsed="false">
      <c r="A12121" s="10" t="n">
        <f aca="false">Einstellungen!$B$5+INT((ROW()-9)/24)</f>
        <v>46470</v>
      </c>
      <c r="B12121" s="11" t="n">
        <f aca="false">MOD(ROW()-9,24)</f>
        <v>16</v>
      </c>
      <c r="C12121" s="12"/>
      <c r="D12121" s="13" t="n">
        <f aca="false">IF(B12121&lt;5,Einstellungen!$B$3,Einstellungen!$B$4)</f>
        <v>29.13</v>
      </c>
      <c r="E12121" s="14" t="str">
        <f aca="false">IF(C12121="","",C12121*D12121/100)</f>
        <v/>
      </c>
      <c r="F12121" s="15" t="str">
        <f aca="false">IF(B12121&lt;5,"Go","Standard")</f>
        <v>Standard</v>
      </c>
    </row>
    <row r="12122" customFormat="false" ht="15" hidden="false" customHeight="true" outlineLevel="0" collapsed="false">
      <c r="A12122" s="10" t="n">
        <f aca="false">Einstellungen!$B$5+INT((ROW()-9)/24)</f>
        <v>46470</v>
      </c>
      <c r="B12122" s="11" t="n">
        <f aca="false">MOD(ROW()-9,24)</f>
        <v>17</v>
      </c>
      <c r="C12122" s="12"/>
      <c r="D12122" s="13" t="n">
        <f aca="false">IF(B12122&lt;5,Einstellungen!$B$3,Einstellungen!$B$4)</f>
        <v>29.13</v>
      </c>
      <c r="E12122" s="14" t="str">
        <f aca="false">IF(C12122="","",C12122*D12122/100)</f>
        <v/>
      </c>
      <c r="F12122" s="15" t="str">
        <f aca="false">IF(B12122&lt;5,"Go","Standard")</f>
        <v>Standard</v>
      </c>
    </row>
    <row r="12123" customFormat="false" ht="15" hidden="false" customHeight="true" outlineLevel="0" collapsed="false">
      <c r="A12123" s="10" t="n">
        <f aca="false">Einstellungen!$B$5+INT((ROW()-9)/24)</f>
        <v>46470</v>
      </c>
      <c r="B12123" s="11" t="n">
        <f aca="false">MOD(ROW()-9,24)</f>
        <v>18</v>
      </c>
      <c r="C12123" s="12"/>
      <c r="D12123" s="13" t="n">
        <f aca="false">IF(B12123&lt;5,Einstellungen!$B$3,Einstellungen!$B$4)</f>
        <v>29.13</v>
      </c>
      <c r="E12123" s="14" t="str">
        <f aca="false">IF(C12123="","",C12123*D12123/100)</f>
        <v/>
      </c>
      <c r="F12123" s="15" t="str">
        <f aca="false">IF(B12123&lt;5,"Go","Standard")</f>
        <v>Standard</v>
      </c>
    </row>
    <row r="12124" customFormat="false" ht="15" hidden="false" customHeight="true" outlineLevel="0" collapsed="false">
      <c r="A12124" s="10" t="n">
        <f aca="false">Einstellungen!$B$5+INT((ROW()-9)/24)</f>
        <v>46470</v>
      </c>
      <c r="B12124" s="11" t="n">
        <f aca="false">MOD(ROW()-9,24)</f>
        <v>19</v>
      </c>
      <c r="C12124" s="12"/>
      <c r="D12124" s="13" t="n">
        <f aca="false">IF(B12124&lt;5,Einstellungen!$B$3,Einstellungen!$B$4)</f>
        <v>29.13</v>
      </c>
      <c r="E12124" s="14" t="str">
        <f aca="false">IF(C12124="","",C12124*D12124/100)</f>
        <v/>
      </c>
      <c r="F12124" s="15" t="str">
        <f aca="false">IF(B12124&lt;5,"Go","Standard")</f>
        <v>Standard</v>
      </c>
    </row>
    <row r="12125" customFormat="false" ht="15" hidden="false" customHeight="true" outlineLevel="0" collapsed="false">
      <c r="A12125" s="10" t="n">
        <f aca="false">Einstellungen!$B$5+INT((ROW()-9)/24)</f>
        <v>46470</v>
      </c>
      <c r="B12125" s="11" t="n">
        <f aca="false">MOD(ROW()-9,24)</f>
        <v>20</v>
      </c>
      <c r="C12125" s="12"/>
      <c r="D12125" s="13" t="n">
        <f aca="false">IF(B12125&lt;5,Einstellungen!$B$3,Einstellungen!$B$4)</f>
        <v>29.13</v>
      </c>
      <c r="E12125" s="14" t="str">
        <f aca="false">IF(C12125="","",C12125*D12125/100)</f>
        <v/>
      </c>
      <c r="F12125" s="15" t="str">
        <f aca="false">IF(B12125&lt;5,"Go","Standard")</f>
        <v>Standard</v>
      </c>
    </row>
    <row r="12126" customFormat="false" ht="15" hidden="false" customHeight="true" outlineLevel="0" collapsed="false">
      <c r="A12126" s="10" t="n">
        <f aca="false">Einstellungen!$B$5+INT((ROW()-9)/24)</f>
        <v>46470</v>
      </c>
      <c r="B12126" s="11" t="n">
        <f aca="false">MOD(ROW()-9,24)</f>
        <v>21</v>
      </c>
      <c r="C12126" s="12"/>
      <c r="D12126" s="13" t="n">
        <f aca="false">IF(B12126&lt;5,Einstellungen!$B$3,Einstellungen!$B$4)</f>
        <v>29.13</v>
      </c>
      <c r="E12126" s="14" t="str">
        <f aca="false">IF(C12126="","",C12126*D12126/100)</f>
        <v/>
      </c>
      <c r="F12126" s="15" t="str">
        <f aca="false">IF(B12126&lt;5,"Go","Standard")</f>
        <v>Standard</v>
      </c>
    </row>
    <row r="12127" customFormat="false" ht="15" hidden="false" customHeight="true" outlineLevel="0" collapsed="false">
      <c r="A12127" s="10" t="n">
        <f aca="false">Einstellungen!$B$5+INT((ROW()-9)/24)</f>
        <v>46470</v>
      </c>
      <c r="B12127" s="11" t="n">
        <f aca="false">MOD(ROW()-9,24)</f>
        <v>22</v>
      </c>
      <c r="C12127" s="12"/>
      <c r="D12127" s="13" t="n">
        <f aca="false">IF(B12127&lt;5,Einstellungen!$B$3,Einstellungen!$B$4)</f>
        <v>29.13</v>
      </c>
      <c r="E12127" s="14" t="str">
        <f aca="false">IF(C12127="","",C12127*D12127/100)</f>
        <v/>
      </c>
      <c r="F12127" s="15" t="str">
        <f aca="false">IF(B12127&lt;5,"Go","Standard")</f>
        <v>Standard</v>
      </c>
    </row>
    <row r="12128" customFormat="false" ht="15" hidden="false" customHeight="true" outlineLevel="0" collapsed="false">
      <c r="A12128" s="10" t="n">
        <f aca="false">Einstellungen!$B$5+INT((ROW()-9)/24)</f>
        <v>46470</v>
      </c>
      <c r="B12128" s="11" t="n">
        <f aca="false">MOD(ROW()-9,24)</f>
        <v>23</v>
      </c>
      <c r="C12128" s="12"/>
      <c r="D12128" s="13" t="n">
        <f aca="false">IF(B12128&lt;5,Einstellungen!$B$3,Einstellungen!$B$4)</f>
        <v>29.13</v>
      </c>
      <c r="E12128" s="14" t="str">
        <f aca="false">IF(C12128="","",C12128*D12128/100)</f>
        <v/>
      </c>
      <c r="F12128" s="15" t="str">
        <f aca="false">IF(B12128&lt;5,"Go","Standard")</f>
        <v>Standard</v>
      </c>
    </row>
    <row r="12129" customFormat="false" ht="15" hidden="false" customHeight="true" outlineLevel="0" collapsed="false">
      <c r="A12129" s="10" t="n">
        <f aca="false">Einstellungen!$B$5+INT((ROW()-9)/24)</f>
        <v>46471</v>
      </c>
      <c r="B12129" s="11" t="n">
        <f aca="false">MOD(ROW()-9,24)</f>
        <v>0</v>
      </c>
      <c r="C12129" s="12"/>
      <c r="D12129" s="13" t="n">
        <f aca="false">IF(B12129&lt;5,Einstellungen!$B$3,Einstellungen!$B$4)</f>
        <v>15.92</v>
      </c>
      <c r="E12129" s="14" t="str">
        <f aca="false">IF(C12129="","",C12129*D12129/100)</f>
        <v/>
      </c>
      <c r="F12129" s="15" t="str">
        <f aca="false">IF(B12129&lt;5,"Go","Standard")</f>
        <v>Go</v>
      </c>
    </row>
    <row r="12130" customFormat="false" ht="15" hidden="false" customHeight="true" outlineLevel="0" collapsed="false">
      <c r="A12130" s="10" t="n">
        <f aca="false">Einstellungen!$B$5+INT((ROW()-9)/24)</f>
        <v>46471</v>
      </c>
      <c r="B12130" s="11" t="n">
        <f aca="false">MOD(ROW()-9,24)</f>
        <v>1</v>
      </c>
      <c r="C12130" s="12"/>
      <c r="D12130" s="13" t="n">
        <f aca="false">IF(B12130&lt;5,Einstellungen!$B$3,Einstellungen!$B$4)</f>
        <v>15.92</v>
      </c>
      <c r="E12130" s="14" t="str">
        <f aca="false">IF(C12130="","",C12130*D12130/100)</f>
        <v/>
      </c>
      <c r="F12130" s="15" t="str">
        <f aca="false">IF(B12130&lt;5,"Go","Standard")</f>
        <v>Go</v>
      </c>
    </row>
    <row r="12131" customFormat="false" ht="15" hidden="false" customHeight="true" outlineLevel="0" collapsed="false">
      <c r="A12131" s="10" t="n">
        <f aca="false">Einstellungen!$B$5+INT((ROW()-9)/24)</f>
        <v>46471</v>
      </c>
      <c r="B12131" s="11" t="n">
        <f aca="false">MOD(ROW()-9,24)</f>
        <v>2</v>
      </c>
      <c r="C12131" s="12"/>
      <c r="D12131" s="13" t="n">
        <f aca="false">IF(B12131&lt;5,Einstellungen!$B$3,Einstellungen!$B$4)</f>
        <v>15.92</v>
      </c>
      <c r="E12131" s="14" t="str">
        <f aca="false">IF(C12131="","",C12131*D12131/100)</f>
        <v/>
      </c>
      <c r="F12131" s="15" t="str">
        <f aca="false">IF(B12131&lt;5,"Go","Standard")</f>
        <v>Go</v>
      </c>
    </row>
    <row r="12132" customFormat="false" ht="15" hidden="false" customHeight="true" outlineLevel="0" collapsed="false">
      <c r="A12132" s="10" t="n">
        <f aca="false">Einstellungen!$B$5+INT((ROW()-9)/24)</f>
        <v>46471</v>
      </c>
      <c r="B12132" s="11" t="n">
        <f aca="false">MOD(ROW()-9,24)</f>
        <v>3</v>
      </c>
      <c r="C12132" s="12"/>
      <c r="D12132" s="13" t="n">
        <f aca="false">IF(B12132&lt;5,Einstellungen!$B$3,Einstellungen!$B$4)</f>
        <v>15.92</v>
      </c>
      <c r="E12132" s="14" t="str">
        <f aca="false">IF(C12132="","",C12132*D12132/100)</f>
        <v/>
      </c>
      <c r="F12132" s="15" t="str">
        <f aca="false">IF(B12132&lt;5,"Go","Standard")</f>
        <v>Go</v>
      </c>
    </row>
    <row r="12133" customFormat="false" ht="15" hidden="false" customHeight="true" outlineLevel="0" collapsed="false">
      <c r="A12133" s="10" t="n">
        <f aca="false">Einstellungen!$B$5+INT((ROW()-9)/24)</f>
        <v>46471</v>
      </c>
      <c r="B12133" s="11" t="n">
        <f aca="false">MOD(ROW()-9,24)</f>
        <v>4</v>
      </c>
      <c r="C12133" s="12"/>
      <c r="D12133" s="13" t="n">
        <f aca="false">IF(B12133&lt;5,Einstellungen!$B$3,Einstellungen!$B$4)</f>
        <v>15.92</v>
      </c>
      <c r="E12133" s="14" t="str">
        <f aca="false">IF(C12133="","",C12133*D12133/100)</f>
        <v/>
      </c>
      <c r="F12133" s="15" t="str">
        <f aca="false">IF(B12133&lt;5,"Go","Standard")</f>
        <v>Go</v>
      </c>
    </row>
    <row r="12134" customFormat="false" ht="15" hidden="false" customHeight="true" outlineLevel="0" collapsed="false">
      <c r="A12134" s="10" t="n">
        <f aca="false">Einstellungen!$B$5+INT((ROW()-9)/24)</f>
        <v>46471</v>
      </c>
      <c r="B12134" s="11" t="n">
        <f aca="false">MOD(ROW()-9,24)</f>
        <v>5</v>
      </c>
      <c r="C12134" s="12"/>
      <c r="D12134" s="13" t="n">
        <f aca="false">IF(B12134&lt;5,Einstellungen!$B$3,Einstellungen!$B$4)</f>
        <v>29.13</v>
      </c>
      <c r="E12134" s="14" t="str">
        <f aca="false">IF(C12134="","",C12134*D12134/100)</f>
        <v/>
      </c>
      <c r="F12134" s="15" t="str">
        <f aca="false">IF(B12134&lt;5,"Go","Standard")</f>
        <v>Standard</v>
      </c>
    </row>
    <row r="12135" customFormat="false" ht="15" hidden="false" customHeight="true" outlineLevel="0" collapsed="false">
      <c r="A12135" s="10" t="n">
        <f aca="false">Einstellungen!$B$5+INT((ROW()-9)/24)</f>
        <v>46471</v>
      </c>
      <c r="B12135" s="11" t="n">
        <f aca="false">MOD(ROW()-9,24)</f>
        <v>6</v>
      </c>
      <c r="C12135" s="12"/>
      <c r="D12135" s="13" t="n">
        <f aca="false">IF(B12135&lt;5,Einstellungen!$B$3,Einstellungen!$B$4)</f>
        <v>29.13</v>
      </c>
      <c r="E12135" s="14" t="str">
        <f aca="false">IF(C12135="","",C12135*D12135/100)</f>
        <v/>
      </c>
      <c r="F12135" s="15" t="str">
        <f aca="false">IF(B12135&lt;5,"Go","Standard")</f>
        <v>Standard</v>
      </c>
    </row>
    <row r="12136" customFormat="false" ht="15" hidden="false" customHeight="true" outlineLevel="0" collapsed="false">
      <c r="A12136" s="10" t="n">
        <f aca="false">Einstellungen!$B$5+INT((ROW()-9)/24)</f>
        <v>46471</v>
      </c>
      <c r="B12136" s="11" t="n">
        <f aca="false">MOD(ROW()-9,24)</f>
        <v>7</v>
      </c>
      <c r="C12136" s="12"/>
      <c r="D12136" s="13" t="n">
        <f aca="false">IF(B12136&lt;5,Einstellungen!$B$3,Einstellungen!$B$4)</f>
        <v>29.13</v>
      </c>
      <c r="E12136" s="14" t="str">
        <f aca="false">IF(C12136="","",C12136*D12136/100)</f>
        <v/>
      </c>
      <c r="F12136" s="15" t="str">
        <f aca="false">IF(B12136&lt;5,"Go","Standard")</f>
        <v>Standard</v>
      </c>
    </row>
    <row r="12137" customFormat="false" ht="15" hidden="false" customHeight="true" outlineLevel="0" collapsed="false">
      <c r="A12137" s="10" t="n">
        <f aca="false">Einstellungen!$B$5+INT((ROW()-9)/24)</f>
        <v>46471</v>
      </c>
      <c r="B12137" s="11" t="n">
        <f aca="false">MOD(ROW()-9,24)</f>
        <v>8</v>
      </c>
      <c r="C12137" s="12"/>
      <c r="D12137" s="13" t="n">
        <f aca="false">IF(B12137&lt;5,Einstellungen!$B$3,Einstellungen!$B$4)</f>
        <v>29.13</v>
      </c>
      <c r="E12137" s="14" t="str">
        <f aca="false">IF(C12137="","",C12137*D12137/100)</f>
        <v/>
      </c>
      <c r="F12137" s="15" t="str">
        <f aca="false">IF(B12137&lt;5,"Go","Standard")</f>
        <v>Standard</v>
      </c>
    </row>
    <row r="12138" customFormat="false" ht="15" hidden="false" customHeight="true" outlineLevel="0" collapsed="false">
      <c r="A12138" s="10" t="n">
        <f aca="false">Einstellungen!$B$5+INT((ROW()-9)/24)</f>
        <v>46471</v>
      </c>
      <c r="B12138" s="11" t="n">
        <f aca="false">MOD(ROW()-9,24)</f>
        <v>9</v>
      </c>
      <c r="C12138" s="12"/>
      <c r="D12138" s="13" t="n">
        <f aca="false">IF(B12138&lt;5,Einstellungen!$B$3,Einstellungen!$B$4)</f>
        <v>29.13</v>
      </c>
      <c r="E12138" s="14" t="str">
        <f aca="false">IF(C12138="","",C12138*D12138/100)</f>
        <v/>
      </c>
      <c r="F12138" s="15" t="str">
        <f aca="false">IF(B12138&lt;5,"Go","Standard")</f>
        <v>Standard</v>
      </c>
    </row>
    <row r="12139" customFormat="false" ht="15" hidden="false" customHeight="true" outlineLevel="0" collapsed="false">
      <c r="A12139" s="10" t="n">
        <f aca="false">Einstellungen!$B$5+INT((ROW()-9)/24)</f>
        <v>46471</v>
      </c>
      <c r="B12139" s="11" t="n">
        <f aca="false">MOD(ROW()-9,24)</f>
        <v>10</v>
      </c>
      <c r="C12139" s="12"/>
      <c r="D12139" s="13" t="n">
        <f aca="false">IF(B12139&lt;5,Einstellungen!$B$3,Einstellungen!$B$4)</f>
        <v>29.13</v>
      </c>
      <c r="E12139" s="14" t="str">
        <f aca="false">IF(C12139="","",C12139*D12139/100)</f>
        <v/>
      </c>
      <c r="F12139" s="15" t="str">
        <f aca="false">IF(B12139&lt;5,"Go","Standard")</f>
        <v>Standard</v>
      </c>
    </row>
    <row r="12140" customFormat="false" ht="15" hidden="false" customHeight="true" outlineLevel="0" collapsed="false">
      <c r="A12140" s="10" t="n">
        <f aca="false">Einstellungen!$B$5+INT((ROW()-9)/24)</f>
        <v>46471</v>
      </c>
      <c r="B12140" s="11" t="n">
        <f aca="false">MOD(ROW()-9,24)</f>
        <v>11</v>
      </c>
      <c r="C12140" s="12"/>
      <c r="D12140" s="13" t="n">
        <f aca="false">IF(B12140&lt;5,Einstellungen!$B$3,Einstellungen!$B$4)</f>
        <v>29.13</v>
      </c>
      <c r="E12140" s="14" t="str">
        <f aca="false">IF(C12140="","",C12140*D12140/100)</f>
        <v/>
      </c>
      <c r="F12140" s="15" t="str">
        <f aca="false">IF(B12140&lt;5,"Go","Standard")</f>
        <v>Standard</v>
      </c>
    </row>
    <row r="12141" customFormat="false" ht="15" hidden="false" customHeight="true" outlineLevel="0" collapsed="false">
      <c r="A12141" s="10" t="n">
        <f aca="false">Einstellungen!$B$5+INT((ROW()-9)/24)</f>
        <v>46471</v>
      </c>
      <c r="B12141" s="11" t="n">
        <f aca="false">MOD(ROW()-9,24)</f>
        <v>12</v>
      </c>
      <c r="C12141" s="12"/>
      <c r="D12141" s="13" t="n">
        <f aca="false">IF(B12141&lt;5,Einstellungen!$B$3,Einstellungen!$B$4)</f>
        <v>29.13</v>
      </c>
      <c r="E12141" s="14" t="str">
        <f aca="false">IF(C12141="","",C12141*D12141/100)</f>
        <v/>
      </c>
      <c r="F12141" s="15" t="str">
        <f aca="false">IF(B12141&lt;5,"Go","Standard")</f>
        <v>Standard</v>
      </c>
    </row>
    <row r="12142" customFormat="false" ht="15" hidden="false" customHeight="true" outlineLevel="0" collapsed="false">
      <c r="A12142" s="10" t="n">
        <f aca="false">Einstellungen!$B$5+INT((ROW()-9)/24)</f>
        <v>46471</v>
      </c>
      <c r="B12142" s="11" t="n">
        <f aca="false">MOD(ROW()-9,24)</f>
        <v>13</v>
      </c>
      <c r="C12142" s="12"/>
      <c r="D12142" s="13" t="n">
        <f aca="false">IF(B12142&lt;5,Einstellungen!$B$3,Einstellungen!$B$4)</f>
        <v>29.13</v>
      </c>
      <c r="E12142" s="14" t="str">
        <f aca="false">IF(C12142="","",C12142*D12142/100)</f>
        <v/>
      </c>
      <c r="F12142" s="15" t="str">
        <f aca="false">IF(B12142&lt;5,"Go","Standard")</f>
        <v>Standard</v>
      </c>
    </row>
    <row r="12143" customFormat="false" ht="15" hidden="false" customHeight="true" outlineLevel="0" collapsed="false">
      <c r="A12143" s="10" t="n">
        <f aca="false">Einstellungen!$B$5+INT((ROW()-9)/24)</f>
        <v>46471</v>
      </c>
      <c r="B12143" s="11" t="n">
        <f aca="false">MOD(ROW()-9,24)</f>
        <v>14</v>
      </c>
      <c r="C12143" s="12"/>
      <c r="D12143" s="13" t="n">
        <f aca="false">IF(B12143&lt;5,Einstellungen!$B$3,Einstellungen!$B$4)</f>
        <v>29.13</v>
      </c>
      <c r="E12143" s="14" t="str">
        <f aca="false">IF(C12143="","",C12143*D12143/100)</f>
        <v/>
      </c>
      <c r="F12143" s="15" t="str">
        <f aca="false">IF(B12143&lt;5,"Go","Standard")</f>
        <v>Standard</v>
      </c>
    </row>
    <row r="12144" customFormat="false" ht="15" hidden="false" customHeight="true" outlineLevel="0" collapsed="false">
      <c r="A12144" s="10" t="n">
        <f aca="false">Einstellungen!$B$5+INT((ROW()-9)/24)</f>
        <v>46471</v>
      </c>
      <c r="B12144" s="11" t="n">
        <f aca="false">MOD(ROW()-9,24)</f>
        <v>15</v>
      </c>
      <c r="C12144" s="12"/>
      <c r="D12144" s="13" t="n">
        <f aca="false">IF(B12144&lt;5,Einstellungen!$B$3,Einstellungen!$B$4)</f>
        <v>29.13</v>
      </c>
      <c r="E12144" s="14" t="str">
        <f aca="false">IF(C12144="","",C12144*D12144/100)</f>
        <v/>
      </c>
      <c r="F12144" s="15" t="str">
        <f aca="false">IF(B12144&lt;5,"Go","Standard")</f>
        <v>Standard</v>
      </c>
    </row>
    <row r="12145" customFormat="false" ht="15" hidden="false" customHeight="true" outlineLevel="0" collapsed="false">
      <c r="A12145" s="10" t="n">
        <f aca="false">Einstellungen!$B$5+INT((ROW()-9)/24)</f>
        <v>46471</v>
      </c>
      <c r="B12145" s="11" t="n">
        <f aca="false">MOD(ROW()-9,24)</f>
        <v>16</v>
      </c>
      <c r="C12145" s="12"/>
      <c r="D12145" s="13" t="n">
        <f aca="false">IF(B12145&lt;5,Einstellungen!$B$3,Einstellungen!$B$4)</f>
        <v>29.13</v>
      </c>
      <c r="E12145" s="14" t="str">
        <f aca="false">IF(C12145="","",C12145*D12145/100)</f>
        <v/>
      </c>
      <c r="F12145" s="15" t="str">
        <f aca="false">IF(B12145&lt;5,"Go","Standard")</f>
        <v>Standard</v>
      </c>
    </row>
    <row r="12146" customFormat="false" ht="15" hidden="false" customHeight="true" outlineLevel="0" collapsed="false">
      <c r="A12146" s="10" t="n">
        <f aca="false">Einstellungen!$B$5+INT((ROW()-9)/24)</f>
        <v>46471</v>
      </c>
      <c r="B12146" s="11" t="n">
        <f aca="false">MOD(ROW()-9,24)</f>
        <v>17</v>
      </c>
      <c r="C12146" s="12"/>
      <c r="D12146" s="13" t="n">
        <f aca="false">IF(B12146&lt;5,Einstellungen!$B$3,Einstellungen!$B$4)</f>
        <v>29.13</v>
      </c>
      <c r="E12146" s="14" t="str">
        <f aca="false">IF(C12146="","",C12146*D12146/100)</f>
        <v/>
      </c>
      <c r="F12146" s="15" t="str">
        <f aca="false">IF(B12146&lt;5,"Go","Standard")</f>
        <v>Standard</v>
      </c>
    </row>
    <row r="12147" customFormat="false" ht="15" hidden="false" customHeight="true" outlineLevel="0" collapsed="false">
      <c r="A12147" s="10" t="n">
        <f aca="false">Einstellungen!$B$5+INT((ROW()-9)/24)</f>
        <v>46471</v>
      </c>
      <c r="B12147" s="11" t="n">
        <f aca="false">MOD(ROW()-9,24)</f>
        <v>18</v>
      </c>
      <c r="C12147" s="12"/>
      <c r="D12147" s="13" t="n">
        <f aca="false">IF(B12147&lt;5,Einstellungen!$B$3,Einstellungen!$B$4)</f>
        <v>29.13</v>
      </c>
      <c r="E12147" s="14" t="str">
        <f aca="false">IF(C12147="","",C12147*D12147/100)</f>
        <v/>
      </c>
      <c r="F12147" s="15" t="str">
        <f aca="false">IF(B12147&lt;5,"Go","Standard")</f>
        <v>Standard</v>
      </c>
    </row>
    <row r="12148" customFormat="false" ht="15" hidden="false" customHeight="true" outlineLevel="0" collapsed="false">
      <c r="A12148" s="10" t="n">
        <f aca="false">Einstellungen!$B$5+INT((ROW()-9)/24)</f>
        <v>46471</v>
      </c>
      <c r="B12148" s="11" t="n">
        <f aca="false">MOD(ROW()-9,24)</f>
        <v>19</v>
      </c>
      <c r="C12148" s="12"/>
      <c r="D12148" s="13" t="n">
        <f aca="false">IF(B12148&lt;5,Einstellungen!$B$3,Einstellungen!$B$4)</f>
        <v>29.13</v>
      </c>
      <c r="E12148" s="14" t="str">
        <f aca="false">IF(C12148="","",C12148*D12148/100)</f>
        <v/>
      </c>
      <c r="F12148" s="15" t="str">
        <f aca="false">IF(B12148&lt;5,"Go","Standard")</f>
        <v>Standard</v>
      </c>
    </row>
    <row r="12149" customFormat="false" ht="15" hidden="false" customHeight="true" outlineLevel="0" collapsed="false">
      <c r="A12149" s="10" t="n">
        <f aca="false">Einstellungen!$B$5+INT((ROW()-9)/24)</f>
        <v>46471</v>
      </c>
      <c r="B12149" s="11" t="n">
        <f aca="false">MOD(ROW()-9,24)</f>
        <v>20</v>
      </c>
      <c r="C12149" s="12"/>
      <c r="D12149" s="13" t="n">
        <f aca="false">IF(B12149&lt;5,Einstellungen!$B$3,Einstellungen!$B$4)</f>
        <v>29.13</v>
      </c>
      <c r="E12149" s="14" t="str">
        <f aca="false">IF(C12149="","",C12149*D12149/100)</f>
        <v/>
      </c>
      <c r="F12149" s="15" t="str">
        <f aca="false">IF(B12149&lt;5,"Go","Standard")</f>
        <v>Standard</v>
      </c>
    </row>
    <row r="12150" customFormat="false" ht="15" hidden="false" customHeight="true" outlineLevel="0" collapsed="false">
      <c r="A12150" s="10" t="n">
        <f aca="false">Einstellungen!$B$5+INT((ROW()-9)/24)</f>
        <v>46471</v>
      </c>
      <c r="B12150" s="11" t="n">
        <f aca="false">MOD(ROW()-9,24)</f>
        <v>21</v>
      </c>
      <c r="C12150" s="12"/>
      <c r="D12150" s="13" t="n">
        <f aca="false">IF(B12150&lt;5,Einstellungen!$B$3,Einstellungen!$B$4)</f>
        <v>29.13</v>
      </c>
      <c r="E12150" s="14" t="str">
        <f aca="false">IF(C12150="","",C12150*D12150/100)</f>
        <v/>
      </c>
      <c r="F12150" s="15" t="str">
        <f aca="false">IF(B12150&lt;5,"Go","Standard")</f>
        <v>Standard</v>
      </c>
    </row>
    <row r="12151" customFormat="false" ht="15" hidden="false" customHeight="true" outlineLevel="0" collapsed="false">
      <c r="A12151" s="10" t="n">
        <f aca="false">Einstellungen!$B$5+INT((ROW()-9)/24)</f>
        <v>46471</v>
      </c>
      <c r="B12151" s="11" t="n">
        <f aca="false">MOD(ROW()-9,24)</f>
        <v>22</v>
      </c>
      <c r="C12151" s="12"/>
      <c r="D12151" s="13" t="n">
        <f aca="false">IF(B12151&lt;5,Einstellungen!$B$3,Einstellungen!$B$4)</f>
        <v>29.13</v>
      </c>
      <c r="E12151" s="14" t="str">
        <f aca="false">IF(C12151="","",C12151*D12151/100)</f>
        <v/>
      </c>
      <c r="F12151" s="15" t="str">
        <f aca="false">IF(B12151&lt;5,"Go","Standard")</f>
        <v>Standard</v>
      </c>
    </row>
    <row r="12152" customFormat="false" ht="15" hidden="false" customHeight="true" outlineLevel="0" collapsed="false">
      <c r="A12152" s="10" t="n">
        <f aca="false">Einstellungen!$B$5+INT((ROW()-9)/24)</f>
        <v>46471</v>
      </c>
      <c r="B12152" s="11" t="n">
        <f aca="false">MOD(ROW()-9,24)</f>
        <v>23</v>
      </c>
      <c r="C12152" s="12"/>
      <c r="D12152" s="13" t="n">
        <f aca="false">IF(B12152&lt;5,Einstellungen!$B$3,Einstellungen!$B$4)</f>
        <v>29.13</v>
      </c>
      <c r="E12152" s="14" t="str">
        <f aca="false">IF(C12152="","",C12152*D12152/100)</f>
        <v/>
      </c>
      <c r="F12152" s="15" t="str">
        <f aca="false">IF(B12152&lt;5,"Go","Standard")</f>
        <v>Standard</v>
      </c>
    </row>
    <row r="12153" customFormat="false" ht="15" hidden="false" customHeight="true" outlineLevel="0" collapsed="false">
      <c r="A12153" s="10" t="n">
        <f aca="false">Einstellungen!$B$5+INT((ROW()-9)/24)</f>
        <v>46472</v>
      </c>
      <c r="B12153" s="11" t="n">
        <f aca="false">MOD(ROW()-9,24)</f>
        <v>0</v>
      </c>
      <c r="C12153" s="12"/>
      <c r="D12153" s="13" t="n">
        <f aca="false">IF(B12153&lt;5,Einstellungen!$B$3,Einstellungen!$B$4)</f>
        <v>15.92</v>
      </c>
      <c r="E12153" s="14" t="str">
        <f aca="false">IF(C12153="","",C12153*D12153/100)</f>
        <v/>
      </c>
      <c r="F12153" s="15" t="str">
        <f aca="false">IF(B12153&lt;5,"Go","Standard")</f>
        <v>Go</v>
      </c>
    </row>
    <row r="12154" customFormat="false" ht="15" hidden="false" customHeight="true" outlineLevel="0" collapsed="false">
      <c r="A12154" s="10" t="n">
        <f aca="false">Einstellungen!$B$5+INT((ROW()-9)/24)</f>
        <v>46472</v>
      </c>
      <c r="B12154" s="11" t="n">
        <f aca="false">MOD(ROW()-9,24)</f>
        <v>1</v>
      </c>
      <c r="C12154" s="12"/>
      <c r="D12154" s="13" t="n">
        <f aca="false">IF(B12154&lt;5,Einstellungen!$B$3,Einstellungen!$B$4)</f>
        <v>15.92</v>
      </c>
      <c r="E12154" s="14" t="str">
        <f aca="false">IF(C12154="","",C12154*D12154/100)</f>
        <v/>
      </c>
      <c r="F12154" s="15" t="str">
        <f aca="false">IF(B12154&lt;5,"Go","Standard")</f>
        <v>Go</v>
      </c>
    </row>
    <row r="12155" customFormat="false" ht="15" hidden="false" customHeight="true" outlineLevel="0" collapsed="false">
      <c r="A12155" s="10" t="n">
        <f aca="false">Einstellungen!$B$5+INT((ROW()-9)/24)</f>
        <v>46472</v>
      </c>
      <c r="B12155" s="11" t="n">
        <f aca="false">MOD(ROW()-9,24)</f>
        <v>2</v>
      </c>
      <c r="C12155" s="12"/>
      <c r="D12155" s="13" t="n">
        <f aca="false">IF(B12155&lt;5,Einstellungen!$B$3,Einstellungen!$B$4)</f>
        <v>15.92</v>
      </c>
      <c r="E12155" s="14" t="str">
        <f aca="false">IF(C12155="","",C12155*D12155/100)</f>
        <v/>
      </c>
      <c r="F12155" s="15" t="str">
        <f aca="false">IF(B12155&lt;5,"Go","Standard")</f>
        <v>Go</v>
      </c>
    </row>
    <row r="12156" customFormat="false" ht="15" hidden="false" customHeight="true" outlineLevel="0" collapsed="false">
      <c r="A12156" s="10" t="n">
        <f aca="false">Einstellungen!$B$5+INT((ROW()-9)/24)</f>
        <v>46472</v>
      </c>
      <c r="B12156" s="11" t="n">
        <f aca="false">MOD(ROW()-9,24)</f>
        <v>3</v>
      </c>
      <c r="C12156" s="12"/>
      <c r="D12156" s="13" t="n">
        <f aca="false">IF(B12156&lt;5,Einstellungen!$B$3,Einstellungen!$B$4)</f>
        <v>15.92</v>
      </c>
      <c r="E12156" s="14" t="str">
        <f aca="false">IF(C12156="","",C12156*D12156/100)</f>
        <v/>
      </c>
      <c r="F12156" s="15" t="str">
        <f aca="false">IF(B12156&lt;5,"Go","Standard")</f>
        <v>Go</v>
      </c>
    </row>
    <row r="12157" customFormat="false" ht="15" hidden="false" customHeight="true" outlineLevel="0" collapsed="false">
      <c r="A12157" s="10" t="n">
        <f aca="false">Einstellungen!$B$5+INT((ROW()-9)/24)</f>
        <v>46472</v>
      </c>
      <c r="B12157" s="11" t="n">
        <f aca="false">MOD(ROW()-9,24)</f>
        <v>4</v>
      </c>
      <c r="C12157" s="12"/>
      <c r="D12157" s="13" t="n">
        <f aca="false">IF(B12157&lt;5,Einstellungen!$B$3,Einstellungen!$B$4)</f>
        <v>15.92</v>
      </c>
      <c r="E12157" s="14" t="str">
        <f aca="false">IF(C12157="","",C12157*D12157/100)</f>
        <v/>
      </c>
      <c r="F12157" s="15" t="str">
        <f aca="false">IF(B12157&lt;5,"Go","Standard")</f>
        <v>Go</v>
      </c>
    </row>
    <row r="12158" customFormat="false" ht="15" hidden="false" customHeight="true" outlineLevel="0" collapsed="false">
      <c r="A12158" s="10" t="n">
        <f aca="false">Einstellungen!$B$5+INT((ROW()-9)/24)</f>
        <v>46472</v>
      </c>
      <c r="B12158" s="11" t="n">
        <f aca="false">MOD(ROW()-9,24)</f>
        <v>5</v>
      </c>
      <c r="C12158" s="12"/>
      <c r="D12158" s="13" t="n">
        <f aca="false">IF(B12158&lt;5,Einstellungen!$B$3,Einstellungen!$B$4)</f>
        <v>29.13</v>
      </c>
      <c r="E12158" s="14" t="str">
        <f aca="false">IF(C12158="","",C12158*D12158/100)</f>
        <v/>
      </c>
      <c r="F12158" s="15" t="str">
        <f aca="false">IF(B12158&lt;5,"Go","Standard")</f>
        <v>Standard</v>
      </c>
    </row>
    <row r="12159" customFormat="false" ht="15" hidden="false" customHeight="true" outlineLevel="0" collapsed="false">
      <c r="A12159" s="10" t="n">
        <f aca="false">Einstellungen!$B$5+INT((ROW()-9)/24)</f>
        <v>46472</v>
      </c>
      <c r="B12159" s="11" t="n">
        <f aca="false">MOD(ROW()-9,24)</f>
        <v>6</v>
      </c>
      <c r="C12159" s="12"/>
      <c r="D12159" s="13" t="n">
        <f aca="false">IF(B12159&lt;5,Einstellungen!$B$3,Einstellungen!$B$4)</f>
        <v>29.13</v>
      </c>
      <c r="E12159" s="14" t="str">
        <f aca="false">IF(C12159="","",C12159*D12159/100)</f>
        <v/>
      </c>
      <c r="F12159" s="15" t="str">
        <f aca="false">IF(B12159&lt;5,"Go","Standard")</f>
        <v>Standard</v>
      </c>
    </row>
    <row r="12160" customFormat="false" ht="15" hidden="false" customHeight="true" outlineLevel="0" collapsed="false">
      <c r="A12160" s="10" t="n">
        <f aca="false">Einstellungen!$B$5+INT((ROW()-9)/24)</f>
        <v>46472</v>
      </c>
      <c r="B12160" s="11" t="n">
        <f aca="false">MOD(ROW()-9,24)</f>
        <v>7</v>
      </c>
      <c r="C12160" s="12"/>
      <c r="D12160" s="13" t="n">
        <f aca="false">IF(B12160&lt;5,Einstellungen!$B$3,Einstellungen!$B$4)</f>
        <v>29.13</v>
      </c>
      <c r="E12160" s="14" t="str">
        <f aca="false">IF(C12160="","",C12160*D12160/100)</f>
        <v/>
      </c>
      <c r="F12160" s="15" t="str">
        <f aca="false">IF(B12160&lt;5,"Go","Standard")</f>
        <v>Standard</v>
      </c>
    </row>
    <row r="12161" customFormat="false" ht="15" hidden="false" customHeight="true" outlineLevel="0" collapsed="false">
      <c r="A12161" s="10" t="n">
        <f aca="false">Einstellungen!$B$5+INT((ROW()-9)/24)</f>
        <v>46472</v>
      </c>
      <c r="B12161" s="11" t="n">
        <f aca="false">MOD(ROW()-9,24)</f>
        <v>8</v>
      </c>
      <c r="C12161" s="12"/>
      <c r="D12161" s="13" t="n">
        <f aca="false">IF(B12161&lt;5,Einstellungen!$B$3,Einstellungen!$B$4)</f>
        <v>29.13</v>
      </c>
      <c r="E12161" s="14" t="str">
        <f aca="false">IF(C12161="","",C12161*D12161/100)</f>
        <v/>
      </c>
      <c r="F12161" s="15" t="str">
        <f aca="false">IF(B12161&lt;5,"Go","Standard")</f>
        <v>Standard</v>
      </c>
    </row>
    <row r="12162" customFormat="false" ht="15" hidden="false" customHeight="true" outlineLevel="0" collapsed="false">
      <c r="A12162" s="10" t="n">
        <f aca="false">Einstellungen!$B$5+INT((ROW()-9)/24)</f>
        <v>46472</v>
      </c>
      <c r="B12162" s="11" t="n">
        <f aca="false">MOD(ROW()-9,24)</f>
        <v>9</v>
      </c>
      <c r="C12162" s="12"/>
      <c r="D12162" s="13" t="n">
        <f aca="false">IF(B12162&lt;5,Einstellungen!$B$3,Einstellungen!$B$4)</f>
        <v>29.13</v>
      </c>
      <c r="E12162" s="14" t="str">
        <f aca="false">IF(C12162="","",C12162*D12162/100)</f>
        <v/>
      </c>
      <c r="F12162" s="15" t="str">
        <f aca="false">IF(B12162&lt;5,"Go","Standard")</f>
        <v>Standard</v>
      </c>
    </row>
    <row r="12163" customFormat="false" ht="15" hidden="false" customHeight="true" outlineLevel="0" collapsed="false">
      <c r="A12163" s="10" t="n">
        <f aca="false">Einstellungen!$B$5+INT((ROW()-9)/24)</f>
        <v>46472</v>
      </c>
      <c r="B12163" s="11" t="n">
        <f aca="false">MOD(ROW()-9,24)</f>
        <v>10</v>
      </c>
      <c r="C12163" s="12"/>
      <c r="D12163" s="13" t="n">
        <f aca="false">IF(B12163&lt;5,Einstellungen!$B$3,Einstellungen!$B$4)</f>
        <v>29.13</v>
      </c>
      <c r="E12163" s="14" t="str">
        <f aca="false">IF(C12163="","",C12163*D12163/100)</f>
        <v/>
      </c>
      <c r="F12163" s="15" t="str">
        <f aca="false">IF(B12163&lt;5,"Go","Standard")</f>
        <v>Standard</v>
      </c>
    </row>
    <row r="12164" customFormat="false" ht="15" hidden="false" customHeight="true" outlineLevel="0" collapsed="false">
      <c r="A12164" s="10" t="n">
        <f aca="false">Einstellungen!$B$5+INT((ROW()-9)/24)</f>
        <v>46472</v>
      </c>
      <c r="B12164" s="11" t="n">
        <f aca="false">MOD(ROW()-9,24)</f>
        <v>11</v>
      </c>
      <c r="C12164" s="12"/>
      <c r="D12164" s="13" t="n">
        <f aca="false">IF(B12164&lt;5,Einstellungen!$B$3,Einstellungen!$B$4)</f>
        <v>29.13</v>
      </c>
      <c r="E12164" s="14" t="str">
        <f aca="false">IF(C12164="","",C12164*D12164/100)</f>
        <v/>
      </c>
      <c r="F12164" s="15" t="str">
        <f aca="false">IF(B12164&lt;5,"Go","Standard")</f>
        <v>Standard</v>
      </c>
    </row>
    <row r="12165" customFormat="false" ht="15" hidden="false" customHeight="true" outlineLevel="0" collapsed="false">
      <c r="A12165" s="10" t="n">
        <f aca="false">Einstellungen!$B$5+INT((ROW()-9)/24)</f>
        <v>46472</v>
      </c>
      <c r="B12165" s="11" t="n">
        <f aca="false">MOD(ROW()-9,24)</f>
        <v>12</v>
      </c>
      <c r="C12165" s="12"/>
      <c r="D12165" s="13" t="n">
        <f aca="false">IF(B12165&lt;5,Einstellungen!$B$3,Einstellungen!$B$4)</f>
        <v>29.13</v>
      </c>
      <c r="E12165" s="14" t="str">
        <f aca="false">IF(C12165="","",C12165*D12165/100)</f>
        <v/>
      </c>
      <c r="F12165" s="15" t="str">
        <f aca="false">IF(B12165&lt;5,"Go","Standard")</f>
        <v>Standard</v>
      </c>
    </row>
    <row r="12166" customFormat="false" ht="15" hidden="false" customHeight="true" outlineLevel="0" collapsed="false">
      <c r="A12166" s="10" t="n">
        <f aca="false">Einstellungen!$B$5+INT((ROW()-9)/24)</f>
        <v>46472</v>
      </c>
      <c r="B12166" s="11" t="n">
        <f aca="false">MOD(ROW()-9,24)</f>
        <v>13</v>
      </c>
      <c r="C12166" s="12"/>
      <c r="D12166" s="13" t="n">
        <f aca="false">IF(B12166&lt;5,Einstellungen!$B$3,Einstellungen!$B$4)</f>
        <v>29.13</v>
      </c>
      <c r="E12166" s="14" t="str">
        <f aca="false">IF(C12166="","",C12166*D12166/100)</f>
        <v/>
      </c>
      <c r="F12166" s="15" t="str">
        <f aca="false">IF(B12166&lt;5,"Go","Standard")</f>
        <v>Standard</v>
      </c>
    </row>
    <row r="12167" customFormat="false" ht="15" hidden="false" customHeight="true" outlineLevel="0" collapsed="false">
      <c r="A12167" s="10" t="n">
        <f aca="false">Einstellungen!$B$5+INT((ROW()-9)/24)</f>
        <v>46472</v>
      </c>
      <c r="B12167" s="11" t="n">
        <f aca="false">MOD(ROW()-9,24)</f>
        <v>14</v>
      </c>
      <c r="C12167" s="12"/>
      <c r="D12167" s="13" t="n">
        <f aca="false">IF(B12167&lt;5,Einstellungen!$B$3,Einstellungen!$B$4)</f>
        <v>29.13</v>
      </c>
      <c r="E12167" s="14" t="str">
        <f aca="false">IF(C12167="","",C12167*D12167/100)</f>
        <v/>
      </c>
      <c r="F12167" s="15" t="str">
        <f aca="false">IF(B12167&lt;5,"Go","Standard")</f>
        <v>Standard</v>
      </c>
    </row>
    <row r="12168" customFormat="false" ht="15" hidden="false" customHeight="true" outlineLevel="0" collapsed="false">
      <c r="A12168" s="10" t="n">
        <f aca="false">Einstellungen!$B$5+INT((ROW()-9)/24)</f>
        <v>46472</v>
      </c>
      <c r="B12168" s="11" t="n">
        <f aca="false">MOD(ROW()-9,24)</f>
        <v>15</v>
      </c>
      <c r="C12168" s="12"/>
      <c r="D12168" s="13" t="n">
        <f aca="false">IF(B12168&lt;5,Einstellungen!$B$3,Einstellungen!$B$4)</f>
        <v>29.13</v>
      </c>
      <c r="E12168" s="14" t="str">
        <f aca="false">IF(C12168="","",C12168*D12168/100)</f>
        <v/>
      </c>
      <c r="F12168" s="15" t="str">
        <f aca="false">IF(B12168&lt;5,"Go","Standard")</f>
        <v>Standard</v>
      </c>
    </row>
    <row r="12169" customFormat="false" ht="15" hidden="false" customHeight="true" outlineLevel="0" collapsed="false">
      <c r="A12169" s="10" t="n">
        <f aca="false">Einstellungen!$B$5+INT((ROW()-9)/24)</f>
        <v>46472</v>
      </c>
      <c r="B12169" s="11" t="n">
        <f aca="false">MOD(ROW()-9,24)</f>
        <v>16</v>
      </c>
      <c r="C12169" s="12"/>
      <c r="D12169" s="13" t="n">
        <f aca="false">IF(B12169&lt;5,Einstellungen!$B$3,Einstellungen!$B$4)</f>
        <v>29.13</v>
      </c>
      <c r="E12169" s="14" t="str">
        <f aca="false">IF(C12169="","",C12169*D12169/100)</f>
        <v/>
      </c>
      <c r="F12169" s="15" t="str">
        <f aca="false">IF(B12169&lt;5,"Go","Standard")</f>
        <v>Standard</v>
      </c>
    </row>
    <row r="12170" customFormat="false" ht="15" hidden="false" customHeight="true" outlineLevel="0" collapsed="false">
      <c r="A12170" s="10" t="n">
        <f aca="false">Einstellungen!$B$5+INT((ROW()-9)/24)</f>
        <v>46472</v>
      </c>
      <c r="B12170" s="11" t="n">
        <f aca="false">MOD(ROW()-9,24)</f>
        <v>17</v>
      </c>
      <c r="C12170" s="12"/>
      <c r="D12170" s="13" t="n">
        <f aca="false">IF(B12170&lt;5,Einstellungen!$B$3,Einstellungen!$B$4)</f>
        <v>29.13</v>
      </c>
      <c r="E12170" s="14" t="str">
        <f aca="false">IF(C12170="","",C12170*D12170/100)</f>
        <v/>
      </c>
      <c r="F12170" s="15" t="str">
        <f aca="false">IF(B12170&lt;5,"Go","Standard")</f>
        <v>Standard</v>
      </c>
    </row>
    <row r="12171" customFormat="false" ht="15" hidden="false" customHeight="true" outlineLevel="0" collapsed="false">
      <c r="A12171" s="10" t="n">
        <f aca="false">Einstellungen!$B$5+INT((ROW()-9)/24)</f>
        <v>46472</v>
      </c>
      <c r="B12171" s="11" t="n">
        <f aca="false">MOD(ROW()-9,24)</f>
        <v>18</v>
      </c>
      <c r="C12171" s="12"/>
      <c r="D12171" s="13" t="n">
        <f aca="false">IF(B12171&lt;5,Einstellungen!$B$3,Einstellungen!$B$4)</f>
        <v>29.13</v>
      </c>
      <c r="E12171" s="14" t="str">
        <f aca="false">IF(C12171="","",C12171*D12171/100)</f>
        <v/>
      </c>
      <c r="F12171" s="15" t="str">
        <f aca="false">IF(B12171&lt;5,"Go","Standard")</f>
        <v>Standard</v>
      </c>
    </row>
    <row r="12172" customFormat="false" ht="15" hidden="false" customHeight="true" outlineLevel="0" collapsed="false">
      <c r="A12172" s="10" t="n">
        <f aca="false">Einstellungen!$B$5+INT((ROW()-9)/24)</f>
        <v>46472</v>
      </c>
      <c r="B12172" s="11" t="n">
        <f aca="false">MOD(ROW()-9,24)</f>
        <v>19</v>
      </c>
      <c r="C12172" s="12"/>
      <c r="D12172" s="13" t="n">
        <f aca="false">IF(B12172&lt;5,Einstellungen!$B$3,Einstellungen!$B$4)</f>
        <v>29.13</v>
      </c>
      <c r="E12172" s="14" t="str">
        <f aca="false">IF(C12172="","",C12172*D12172/100)</f>
        <v/>
      </c>
      <c r="F12172" s="15" t="str">
        <f aca="false">IF(B12172&lt;5,"Go","Standard")</f>
        <v>Standard</v>
      </c>
    </row>
    <row r="12173" customFormat="false" ht="15" hidden="false" customHeight="true" outlineLevel="0" collapsed="false">
      <c r="A12173" s="10" t="n">
        <f aca="false">Einstellungen!$B$5+INT((ROW()-9)/24)</f>
        <v>46472</v>
      </c>
      <c r="B12173" s="11" t="n">
        <f aca="false">MOD(ROW()-9,24)</f>
        <v>20</v>
      </c>
      <c r="C12173" s="12"/>
      <c r="D12173" s="13" t="n">
        <f aca="false">IF(B12173&lt;5,Einstellungen!$B$3,Einstellungen!$B$4)</f>
        <v>29.13</v>
      </c>
      <c r="E12173" s="14" t="str">
        <f aca="false">IF(C12173="","",C12173*D12173/100)</f>
        <v/>
      </c>
      <c r="F12173" s="15" t="str">
        <f aca="false">IF(B12173&lt;5,"Go","Standard")</f>
        <v>Standard</v>
      </c>
    </row>
    <row r="12174" customFormat="false" ht="15" hidden="false" customHeight="true" outlineLevel="0" collapsed="false">
      <c r="A12174" s="10" t="n">
        <f aca="false">Einstellungen!$B$5+INT((ROW()-9)/24)</f>
        <v>46472</v>
      </c>
      <c r="B12174" s="11" t="n">
        <f aca="false">MOD(ROW()-9,24)</f>
        <v>21</v>
      </c>
      <c r="C12174" s="12"/>
      <c r="D12174" s="13" t="n">
        <f aca="false">IF(B12174&lt;5,Einstellungen!$B$3,Einstellungen!$B$4)</f>
        <v>29.13</v>
      </c>
      <c r="E12174" s="14" t="str">
        <f aca="false">IF(C12174="","",C12174*D12174/100)</f>
        <v/>
      </c>
      <c r="F12174" s="15" t="str">
        <f aca="false">IF(B12174&lt;5,"Go","Standard")</f>
        <v>Standard</v>
      </c>
    </row>
    <row r="12175" customFormat="false" ht="15" hidden="false" customHeight="true" outlineLevel="0" collapsed="false">
      <c r="A12175" s="10" t="n">
        <f aca="false">Einstellungen!$B$5+INT((ROW()-9)/24)</f>
        <v>46472</v>
      </c>
      <c r="B12175" s="11" t="n">
        <f aca="false">MOD(ROW()-9,24)</f>
        <v>22</v>
      </c>
      <c r="C12175" s="12"/>
      <c r="D12175" s="13" t="n">
        <f aca="false">IF(B12175&lt;5,Einstellungen!$B$3,Einstellungen!$B$4)</f>
        <v>29.13</v>
      </c>
      <c r="E12175" s="14" t="str">
        <f aca="false">IF(C12175="","",C12175*D12175/100)</f>
        <v/>
      </c>
      <c r="F12175" s="15" t="str">
        <f aca="false">IF(B12175&lt;5,"Go","Standard")</f>
        <v>Standard</v>
      </c>
    </row>
    <row r="12176" customFormat="false" ht="15" hidden="false" customHeight="true" outlineLevel="0" collapsed="false">
      <c r="A12176" s="10" t="n">
        <f aca="false">Einstellungen!$B$5+INT((ROW()-9)/24)</f>
        <v>46472</v>
      </c>
      <c r="B12176" s="11" t="n">
        <f aca="false">MOD(ROW()-9,24)</f>
        <v>23</v>
      </c>
      <c r="C12176" s="12"/>
      <c r="D12176" s="13" t="n">
        <f aca="false">IF(B12176&lt;5,Einstellungen!$B$3,Einstellungen!$B$4)</f>
        <v>29.13</v>
      </c>
      <c r="E12176" s="14" t="str">
        <f aca="false">IF(C12176="","",C12176*D12176/100)</f>
        <v/>
      </c>
      <c r="F12176" s="15" t="str">
        <f aca="false">IF(B12176&lt;5,"Go","Standard")</f>
        <v>Standard</v>
      </c>
    </row>
    <row r="12177" customFormat="false" ht="15" hidden="false" customHeight="true" outlineLevel="0" collapsed="false">
      <c r="A12177" s="10" t="n">
        <f aca="false">Einstellungen!$B$5+INT((ROW()-9)/24)</f>
        <v>46473</v>
      </c>
      <c r="B12177" s="11" t="n">
        <f aca="false">MOD(ROW()-9,24)</f>
        <v>0</v>
      </c>
      <c r="C12177" s="12"/>
      <c r="D12177" s="13" t="n">
        <f aca="false">IF(B12177&lt;5,Einstellungen!$B$3,Einstellungen!$B$4)</f>
        <v>15.92</v>
      </c>
      <c r="E12177" s="14" t="str">
        <f aca="false">IF(C12177="","",C12177*D12177/100)</f>
        <v/>
      </c>
      <c r="F12177" s="15" t="str">
        <f aca="false">IF(B12177&lt;5,"Go","Standard")</f>
        <v>Go</v>
      </c>
    </row>
    <row r="12178" customFormat="false" ht="15" hidden="false" customHeight="true" outlineLevel="0" collapsed="false">
      <c r="A12178" s="10" t="n">
        <f aca="false">Einstellungen!$B$5+INT((ROW()-9)/24)</f>
        <v>46473</v>
      </c>
      <c r="B12178" s="11" t="n">
        <f aca="false">MOD(ROW()-9,24)</f>
        <v>1</v>
      </c>
      <c r="C12178" s="12"/>
      <c r="D12178" s="13" t="n">
        <f aca="false">IF(B12178&lt;5,Einstellungen!$B$3,Einstellungen!$B$4)</f>
        <v>15.92</v>
      </c>
      <c r="E12178" s="14" t="str">
        <f aca="false">IF(C12178="","",C12178*D12178/100)</f>
        <v/>
      </c>
      <c r="F12178" s="15" t="str">
        <f aca="false">IF(B12178&lt;5,"Go","Standard")</f>
        <v>Go</v>
      </c>
    </row>
    <row r="12179" customFormat="false" ht="15" hidden="false" customHeight="true" outlineLevel="0" collapsed="false">
      <c r="A12179" s="10" t="n">
        <f aca="false">Einstellungen!$B$5+INT((ROW()-9)/24)</f>
        <v>46473</v>
      </c>
      <c r="B12179" s="11" t="n">
        <f aca="false">MOD(ROW()-9,24)</f>
        <v>2</v>
      </c>
      <c r="C12179" s="12"/>
      <c r="D12179" s="13" t="n">
        <f aca="false">IF(B12179&lt;5,Einstellungen!$B$3,Einstellungen!$B$4)</f>
        <v>15.92</v>
      </c>
      <c r="E12179" s="14" t="str">
        <f aca="false">IF(C12179="","",C12179*D12179/100)</f>
        <v/>
      </c>
      <c r="F12179" s="15" t="str">
        <f aca="false">IF(B12179&lt;5,"Go","Standard")</f>
        <v>Go</v>
      </c>
    </row>
    <row r="12180" customFormat="false" ht="15" hidden="false" customHeight="true" outlineLevel="0" collapsed="false">
      <c r="A12180" s="10" t="n">
        <f aca="false">Einstellungen!$B$5+INT((ROW()-9)/24)</f>
        <v>46473</v>
      </c>
      <c r="B12180" s="11" t="n">
        <f aca="false">MOD(ROW()-9,24)</f>
        <v>3</v>
      </c>
      <c r="C12180" s="12"/>
      <c r="D12180" s="13" t="n">
        <f aca="false">IF(B12180&lt;5,Einstellungen!$B$3,Einstellungen!$B$4)</f>
        <v>15.92</v>
      </c>
      <c r="E12180" s="14" t="str">
        <f aca="false">IF(C12180="","",C12180*D12180/100)</f>
        <v/>
      </c>
      <c r="F12180" s="15" t="str">
        <f aca="false">IF(B12180&lt;5,"Go","Standard")</f>
        <v>Go</v>
      </c>
    </row>
    <row r="12181" customFormat="false" ht="15" hidden="false" customHeight="true" outlineLevel="0" collapsed="false">
      <c r="A12181" s="10" t="n">
        <f aca="false">Einstellungen!$B$5+INT((ROW()-9)/24)</f>
        <v>46473</v>
      </c>
      <c r="B12181" s="11" t="n">
        <f aca="false">MOD(ROW()-9,24)</f>
        <v>4</v>
      </c>
      <c r="C12181" s="12"/>
      <c r="D12181" s="13" t="n">
        <f aca="false">IF(B12181&lt;5,Einstellungen!$B$3,Einstellungen!$B$4)</f>
        <v>15.92</v>
      </c>
      <c r="E12181" s="14" t="str">
        <f aca="false">IF(C12181="","",C12181*D12181/100)</f>
        <v/>
      </c>
      <c r="F12181" s="15" t="str">
        <f aca="false">IF(B12181&lt;5,"Go","Standard")</f>
        <v>Go</v>
      </c>
    </row>
    <row r="12182" customFormat="false" ht="15" hidden="false" customHeight="true" outlineLevel="0" collapsed="false">
      <c r="A12182" s="10" t="n">
        <f aca="false">Einstellungen!$B$5+INT((ROW()-9)/24)</f>
        <v>46473</v>
      </c>
      <c r="B12182" s="11" t="n">
        <f aca="false">MOD(ROW()-9,24)</f>
        <v>5</v>
      </c>
      <c r="C12182" s="12"/>
      <c r="D12182" s="13" t="n">
        <f aca="false">IF(B12182&lt;5,Einstellungen!$B$3,Einstellungen!$B$4)</f>
        <v>29.13</v>
      </c>
      <c r="E12182" s="14" t="str">
        <f aca="false">IF(C12182="","",C12182*D12182/100)</f>
        <v/>
      </c>
      <c r="F12182" s="15" t="str">
        <f aca="false">IF(B12182&lt;5,"Go","Standard")</f>
        <v>Standard</v>
      </c>
    </row>
    <row r="12183" customFormat="false" ht="15" hidden="false" customHeight="true" outlineLevel="0" collapsed="false">
      <c r="A12183" s="10" t="n">
        <f aca="false">Einstellungen!$B$5+INT((ROW()-9)/24)</f>
        <v>46473</v>
      </c>
      <c r="B12183" s="11" t="n">
        <f aca="false">MOD(ROW()-9,24)</f>
        <v>6</v>
      </c>
      <c r="C12183" s="12"/>
      <c r="D12183" s="13" t="n">
        <f aca="false">IF(B12183&lt;5,Einstellungen!$B$3,Einstellungen!$B$4)</f>
        <v>29.13</v>
      </c>
      <c r="E12183" s="14" t="str">
        <f aca="false">IF(C12183="","",C12183*D12183/100)</f>
        <v/>
      </c>
      <c r="F12183" s="15" t="str">
        <f aca="false">IF(B12183&lt;5,"Go","Standard")</f>
        <v>Standard</v>
      </c>
    </row>
    <row r="12184" customFormat="false" ht="15" hidden="false" customHeight="true" outlineLevel="0" collapsed="false">
      <c r="A12184" s="10" t="n">
        <f aca="false">Einstellungen!$B$5+INT((ROW()-9)/24)</f>
        <v>46473</v>
      </c>
      <c r="B12184" s="11" t="n">
        <f aca="false">MOD(ROW()-9,24)</f>
        <v>7</v>
      </c>
      <c r="C12184" s="12"/>
      <c r="D12184" s="13" t="n">
        <f aca="false">IF(B12184&lt;5,Einstellungen!$B$3,Einstellungen!$B$4)</f>
        <v>29.13</v>
      </c>
      <c r="E12184" s="14" t="str">
        <f aca="false">IF(C12184="","",C12184*D12184/100)</f>
        <v/>
      </c>
      <c r="F12184" s="15" t="str">
        <f aca="false">IF(B12184&lt;5,"Go","Standard")</f>
        <v>Standard</v>
      </c>
    </row>
    <row r="12185" customFormat="false" ht="15" hidden="false" customHeight="true" outlineLevel="0" collapsed="false">
      <c r="A12185" s="10" t="n">
        <f aca="false">Einstellungen!$B$5+INT((ROW()-9)/24)</f>
        <v>46473</v>
      </c>
      <c r="B12185" s="11" t="n">
        <f aca="false">MOD(ROW()-9,24)</f>
        <v>8</v>
      </c>
      <c r="C12185" s="12"/>
      <c r="D12185" s="13" t="n">
        <f aca="false">IF(B12185&lt;5,Einstellungen!$B$3,Einstellungen!$B$4)</f>
        <v>29.13</v>
      </c>
      <c r="E12185" s="14" t="str">
        <f aca="false">IF(C12185="","",C12185*D12185/100)</f>
        <v/>
      </c>
      <c r="F12185" s="15" t="str">
        <f aca="false">IF(B12185&lt;5,"Go","Standard")</f>
        <v>Standard</v>
      </c>
    </row>
    <row r="12186" customFormat="false" ht="15" hidden="false" customHeight="true" outlineLevel="0" collapsed="false">
      <c r="A12186" s="10" t="n">
        <f aca="false">Einstellungen!$B$5+INT((ROW()-9)/24)</f>
        <v>46473</v>
      </c>
      <c r="B12186" s="11" t="n">
        <f aca="false">MOD(ROW()-9,24)</f>
        <v>9</v>
      </c>
      <c r="C12186" s="12"/>
      <c r="D12186" s="13" t="n">
        <f aca="false">IF(B12186&lt;5,Einstellungen!$B$3,Einstellungen!$B$4)</f>
        <v>29.13</v>
      </c>
      <c r="E12186" s="14" t="str">
        <f aca="false">IF(C12186="","",C12186*D12186/100)</f>
        <v/>
      </c>
      <c r="F12186" s="15" t="str">
        <f aca="false">IF(B12186&lt;5,"Go","Standard")</f>
        <v>Standard</v>
      </c>
    </row>
    <row r="12187" customFormat="false" ht="15" hidden="false" customHeight="true" outlineLevel="0" collapsed="false">
      <c r="A12187" s="10" t="n">
        <f aca="false">Einstellungen!$B$5+INT((ROW()-9)/24)</f>
        <v>46473</v>
      </c>
      <c r="B12187" s="11" t="n">
        <f aca="false">MOD(ROW()-9,24)</f>
        <v>10</v>
      </c>
      <c r="C12187" s="12"/>
      <c r="D12187" s="13" t="n">
        <f aca="false">IF(B12187&lt;5,Einstellungen!$B$3,Einstellungen!$B$4)</f>
        <v>29.13</v>
      </c>
      <c r="E12187" s="14" t="str">
        <f aca="false">IF(C12187="","",C12187*D12187/100)</f>
        <v/>
      </c>
      <c r="F12187" s="15" t="str">
        <f aca="false">IF(B12187&lt;5,"Go","Standard")</f>
        <v>Standard</v>
      </c>
    </row>
    <row r="12188" customFormat="false" ht="15" hidden="false" customHeight="true" outlineLevel="0" collapsed="false">
      <c r="A12188" s="10" t="n">
        <f aca="false">Einstellungen!$B$5+INT((ROW()-9)/24)</f>
        <v>46473</v>
      </c>
      <c r="B12188" s="11" t="n">
        <f aca="false">MOD(ROW()-9,24)</f>
        <v>11</v>
      </c>
      <c r="C12188" s="12"/>
      <c r="D12188" s="13" t="n">
        <f aca="false">IF(B12188&lt;5,Einstellungen!$B$3,Einstellungen!$B$4)</f>
        <v>29.13</v>
      </c>
      <c r="E12188" s="14" t="str">
        <f aca="false">IF(C12188="","",C12188*D12188/100)</f>
        <v/>
      </c>
      <c r="F12188" s="15" t="str">
        <f aca="false">IF(B12188&lt;5,"Go","Standard")</f>
        <v>Standard</v>
      </c>
    </row>
    <row r="12189" customFormat="false" ht="15" hidden="false" customHeight="true" outlineLevel="0" collapsed="false">
      <c r="A12189" s="10" t="n">
        <f aca="false">Einstellungen!$B$5+INT((ROW()-9)/24)</f>
        <v>46473</v>
      </c>
      <c r="B12189" s="11" t="n">
        <f aca="false">MOD(ROW()-9,24)</f>
        <v>12</v>
      </c>
      <c r="C12189" s="12"/>
      <c r="D12189" s="13" t="n">
        <f aca="false">IF(B12189&lt;5,Einstellungen!$B$3,Einstellungen!$B$4)</f>
        <v>29.13</v>
      </c>
      <c r="E12189" s="14" t="str">
        <f aca="false">IF(C12189="","",C12189*D12189/100)</f>
        <v/>
      </c>
      <c r="F12189" s="15" t="str">
        <f aca="false">IF(B12189&lt;5,"Go","Standard")</f>
        <v>Standard</v>
      </c>
    </row>
    <row r="12190" customFormat="false" ht="15" hidden="false" customHeight="true" outlineLevel="0" collapsed="false">
      <c r="A12190" s="10" t="n">
        <f aca="false">Einstellungen!$B$5+INT((ROW()-9)/24)</f>
        <v>46473</v>
      </c>
      <c r="B12190" s="11" t="n">
        <f aca="false">MOD(ROW()-9,24)</f>
        <v>13</v>
      </c>
      <c r="C12190" s="12"/>
      <c r="D12190" s="13" t="n">
        <f aca="false">IF(B12190&lt;5,Einstellungen!$B$3,Einstellungen!$B$4)</f>
        <v>29.13</v>
      </c>
      <c r="E12190" s="14" t="str">
        <f aca="false">IF(C12190="","",C12190*D12190/100)</f>
        <v/>
      </c>
      <c r="F12190" s="15" t="str">
        <f aca="false">IF(B12190&lt;5,"Go","Standard")</f>
        <v>Standard</v>
      </c>
    </row>
    <row r="12191" customFormat="false" ht="15" hidden="false" customHeight="true" outlineLevel="0" collapsed="false">
      <c r="A12191" s="10" t="n">
        <f aca="false">Einstellungen!$B$5+INT((ROW()-9)/24)</f>
        <v>46473</v>
      </c>
      <c r="B12191" s="11" t="n">
        <f aca="false">MOD(ROW()-9,24)</f>
        <v>14</v>
      </c>
      <c r="C12191" s="12"/>
      <c r="D12191" s="13" t="n">
        <f aca="false">IF(B12191&lt;5,Einstellungen!$B$3,Einstellungen!$B$4)</f>
        <v>29.13</v>
      </c>
      <c r="E12191" s="14" t="str">
        <f aca="false">IF(C12191="","",C12191*D12191/100)</f>
        <v/>
      </c>
      <c r="F12191" s="15" t="str">
        <f aca="false">IF(B12191&lt;5,"Go","Standard")</f>
        <v>Standard</v>
      </c>
    </row>
    <row r="12192" customFormat="false" ht="15" hidden="false" customHeight="true" outlineLevel="0" collapsed="false">
      <c r="A12192" s="10" t="n">
        <f aca="false">Einstellungen!$B$5+INT((ROW()-9)/24)</f>
        <v>46473</v>
      </c>
      <c r="B12192" s="11" t="n">
        <f aca="false">MOD(ROW()-9,24)</f>
        <v>15</v>
      </c>
      <c r="C12192" s="12"/>
      <c r="D12192" s="13" t="n">
        <f aca="false">IF(B12192&lt;5,Einstellungen!$B$3,Einstellungen!$B$4)</f>
        <v>29.13</v>
      </c>
      <c r="E12192" s="14" t="str">
        <f aca="false">IF(C12192="","",C12192*D12192/100)</f>
        <v/>
      </c>
      <c r="F12192" s="15" t="str">
        <f aca="false">IF(B12192&lt;5,"Go","Standard")</f>
        <v>Standard</v>
      </c>
    </row>
    <row r="12193" customFormat="false" ht="15" hidden="false" customHeight="true" outlineLevel="0" collapsed="false">
      <c r="A12193" s="10" t="n">
        <f aca="false">Einstellungen!$B$5+INT((ROW()-9)/24)</f>
        <v>46473</v>
      </c>
      <c r="B12193" s="11" t="n">
        <f aca="false">MOD(ROW()-9,24)</f>
        <v>16</v>
      </c>
      <c r="C12193" s="12"/>
      <c r="D12193" s="13" t="n">
        <f aca="false">IF(B12193&lt;5,Einstellungen!$B$3,Einstellungen!$B$4)</f>
        <v>29.13</v>
      </c>
      <c r="E12193" s="14" t="str">
        <f aca="false">IF(C12193="","",C12193*D12193/100)</f>
        <v/>
      </c>
      <c r="F12193" s="15" t="str">
        <f aca="false">IF(B12193&lt;5,"Go","Standard")</f>
        <v>Standard</v>
      </c>
    </row>
    <row r="12194" customFormat="false" ht="15" hidden="false" customHeight="true" outlineLevel="0" collapsed="false">
      <c r="A12194" s="10" t="n">
        <f aca="false">Einstellungen!$B$5+INT((ROW()-9)/24)</f>
        <v>46473</v>
      </c>
      <c r="B12194" s="11" t="n">
        <f aca="false">MOD(ROW()-9,24)</f>
        <v>17</v>
      </c>
      <c r="C12194" s="12"/>
      <c r="D12194" s="13" t="n">
        <f aca="false">IF(B12194&lt;5,Einstellungen!$B$3,Einstellungen!$B$4)</f>
        <v>29.13</v>
      </c>
      <c r="E12194" s="14" t="str">
        <f aca="false">IF(C12194="","",C12194*D12194/100)</f>
        <v/>
      </c>
      <c r="F12194" s="15" t="str">
        <f aca="false">IF(B12194&lt;5,"Go","Standard")</f>
        <v>Standard</v>
      </c>
    </row>
    <row r="12195" customFormat="false" ht="15" hidden="false" customHeight="true" outlineLevel="0" collapsed="false">
      <c r="A12195" s="10" t="n">
        <f aca="false">Einstellungen!$B$5+INT((ROW()-9)/24)</f>
        <v>46473</v>
      </c>
      <c r="B12195" s="11" t="n">
        <f aca="false">MOD(ROW()-9,24)</f>
        <v>18</v>
      </c>
      <c r="C12195" s="12"/>
      <c r="D12195" s="13" t="n">
        <f aca="false">IF(B12195&lt;5,Einstellungen!$B$3,Einstellungen!$B$4)</f>
        <v>29.13</v>
      </c>
      <c r="E12195" s="14" t="str">
        <f aca="false">IF(C12195="","",C12195*D12195/100)</f>
        <v/>
      </c>
      <c r="F12195" s="15" t="str">
        <f aca="false">IF(B12195&lt;5,"Go","Standard")</f>
        <v>Standard</v>
      </c>
    </row>
    <row r="12196" customFormat="false" ht="15" hidden="false" customHeight="true" outlineLevel="0" collapsed="false">
      <c r="A12196" s="10" t="n">
        <f aca="false">Einstellungen!$B$5+INT((ROW()-9)/24)</f>
        <v>46473</v>
      </c>
      <c r="B12196" s="11" t="n">
        <f aca="false">MOD(ROW()-9,24)</f>
        <v>19</v>
      </c>
      <c r="C12196" s="12"/>
      <c r="D12196" s="13" t="n">
        <f aca="false">IF(B12196&lt;5,Einstellungen!$B$3,Einstellungen!$B$4)</f>
        <v>29.13</v>
      </c>
      <c r="E12196" s="14" t="str">
        <f aca="false">IF(C12196="","",C12196*D12196/100)</f>
        <v/>
      </c>
      <c r="F12196" s="15" t="str">
        <f aca="false">IF(B12196&lt;5,"Go","Standard")</f>
        <v>Standard</v>
      </c>
    </row>
    <row r="12197" customFormat="false" ht="15" hidden="false" customHeight="true" outlineLevel="0" collapsed="false">
      <c r="A12197" s="10" t="n">
        <f aca="false">Einstellungen!$B$5+INT((ROW()-9)/24)</f>
        <v>46473</v>
      </c>
      <c r="B12197" s="11" t="n">
        <f aca="false">MOD(ROW()-9,24)</f>
        <v>20</v>
      </c>
      <c r="C12197" s="12"/>
      <c r="D12197" s="13" t="n">
        <f aca="false">IF(B12197&lt;5,Einstellungen!$B$3,Einstellungen!$B$4)</f>
        <v>29.13</v>
      </c>
      <c r="E12197" s="14" t="str">
        <f aca="false">IF(C12197="","",C12197*D12197/100)</f>
        <v/>
      </c>
      <c r="F12197" s="15" t="str">
        <f aca="false">IF(B12197&lt;5,"Go","Standard")</f>
        <v>Standard</v>
      </c>
    </row>
    <row r="12198" customFormat="false" ht="15" hidden="false" customHeight="true" outlineLevel="0" collapsed="false">
      <c r="A12198" s="10" t="n">
        <f aca="false">Einstellungen!$B$5+INT((ROW()-9)/24)</f>
        <v>46473</v>
      </c>
      <c r="B12198" s="11" t="n">
        <f aca="false">MOD(ROW()-9,24)</f>
        <v>21</v>
      </c>
      <c r="C12198" s="12"/>
      <c r="D12198" s="13" t="n">
        <f aca="false">IF(B12198&lt;5,Einstellungen!$B$3,Einstellungen!$B$4)</f>
        <v>29.13</v>
      </c>
      <c r="E12198" s="14" t="str">
        <f aca="false">IF(C12198="","",C12198*D12198/100)</f>
        <v/>
      </c>
      <c r="F12198" s="15" t="str">
        <f aca="false">IF(B12198&lt;5,"Go","Standard")</f>
        <v>Standard</v>
      </c>
    </row>
    <row r="12199" customFormat="false" ht="15" hidden="false" customHeight="true" outlineLevel="0" collapsed="false">
      <c r="A12199" s="10" t="n">
        <f aca="false">Einstellungen!$B$5+INT((ROW()-9)/24)</f>
        <v>46473</v>
      </c>
      <c r="B12199" s="11" t="n">
        <f aca="false">MOD(ROW()-9,24)</f>
        <v>22</v>
      </c>
      <c r="C12199" s="12"/>
      <c r="D12199" s="13" t="n">
        <f aca="false">IF(B12199&lt;5,Einstellungen!$B$3,Einstellungen!$B$4)</f>
        <v>29.13</v>
      </c>
      <c r="E12199" s="14" t="str">
        <f aca="false">IF(C12199="","",C12199*D12199/100)</f>
        <v/>
      </c>
      <c r="F12199" s="15" t="str">
        <f aca="false">IF(B12199&lt;5,"Go","Standard")</f>
        <v>Standard</v>
      </c>
    </row>
    <row r="12200" customFormat="false" ht="15" hidden="false" customHeight="true" outlineLevel="0" collapsed="false">
      <c r="A12200" s="10" t="n">
        <f aca="false">Einstellungen!$B$5+INT((ROW()-9)/24)</f>
        <v>46473</v>
      </c>
      <c r="B12200" s="11" t="n">
        <f aca="false">MOD(ROW()-9,24)</f>
        <v>23</v>
      </c>
      <c r="C12200" s="12"/>
      <c r="D12200" s="13" t="n">
        <f aca="false">IF(B12200&lt;5,Einstellungen!$B$3,Einstellungen!$B$4)</f>
        <v>29.13</v>
      </c>
      <c r="E12200" s="14" t="str">
        <f aca="false">IF(C12200="","",C12200*D12200/100)</f>
        <v/>
      </c>
      <c r="F12200" s="15" t="str">
        <f aca="false">IF(B12200&lt;5,"Go","Standard")</f>
        <v>Standard</v>
      </c>
    </row>
    <row r="12201" customFormat="false" ht="15" hidden="false" customHeight="true" outlineLevel="0" collapsed="false">
      <c r="A12201" s="10" t="n">
        <f aca="false">Einstellungen!$B$5+INT((ROW()-9)/24)</f>
        <v>46474</v>
      </c>
      <c r="B12201" s="11" t="n">
        <f aca="false">MOD(ROW()-9,24)</f>
        <v>0</v>
      </c>
      <c r="C12201" s="12"/>
      <c r="D12201" s="13" t="n">
        <f aca="false">IF(B12201&lt;5,Einstellungen!$B$3,Einstellungen!$B$4)</f>
        <v>15.92</v>
      </c>
      <c r="E12201" s="14" t="str">
        <f aca="false">IF(C12201="","",C12201*D12201/100)</f>
        <v/>
      </c>
      <c r="F12201" s="15" t="str">
        <f aca="false">IF(B12201&lt;5,"Go","Standard")</f>
        <v>Go</v>
      </c>
    </row>
    <row r="12202" customFormat="false" ht="15" hidden="false" customHeight="true" outlineLevel="0" collapsed="false">
      <c r="A12202" s="10" t="n">
        <f aca="false">Einstellungen!$B$5+INT((ROW()-9)/24)</f>
        <v>46474</v>
      </c>
      <c r="B12202" s="11" t="n">
        <f aca="false">MOD(ROW()-9,24)</f>
        <v>1</v>
      </c>
      <c r="C12202" s="12"/>
      <c r="D12202" s="13" t="n">
        <f aca="false">IF(B12202&lt;5,Einstellungen!$B$3,Einstellungen!$B$4)</f>
        <v>15.92</v>
      </c>
      <c r="E12202" s="14" t="str">
        <f aca="false">IF(C12202="","",C12202*D12202/100)</f>
        <v/>
      </c>
      <c r="F12202" s="15" t="str">
        <f aca="false">IF(B12202&lt;5,"Go","Standard")</f>
        <v>Go</v>
      </c>
    </row>
    <row r="12203" customFormat="false" ht="15" hidden="false" customHeight="true" outlineLevel="0" collapsed="false">
      <c r="A12203" s="10" t="n">
        <f aca="false">Einstellungen!$B$5+INT((ROW()-9)/24)</f>
        <v>46474</v>
      </c>
      <c r="B12203" s="11" t="n">
        <f aca="false">MOD(ROW()-9,24)</f>
        <v>2</v>
      </c>
      <c r="C12203" s="12"/>
      <c r="D12203" s="13" t="n">
        <f aca="false">IF(B12203&lt;5,Einstellungen!$B$3,Einstellungen!$B$4)</f>
        <v>15.92</v>
      </c>
      <c r="E12203" s="14" t="str">
        <f aca="false">IF(C12203="","",C12203*D12203/100)</f>
        <v/>
      </c>
      <c r="F12203" s="15" t="str">
        <f aca="false">IF(B12203&lt;5,"Go","Standard")</f>
        <v>Go</v>
      </c>
    </row>
    <row r="12204" customFormat="false" ht="15" hidden="false" customHeight="true" outlineLevel="0" collapsed="false">
      <c r="A12204" s="10" t="n">
        <f aca="false">Einstellungen!$B$5+INT((ROW()-9)/24)</f>
        <v>46474</v>
      </c>
      <c r="B12204" s="11" t="n">
        <f aca="false">MOD(ROW()-9,24)</f>
        <v>3</v>
      </c>
      <c r="C12204" s="12"/>
      <c r="D12204" s="13" t="n">
        <f aca="false">IF(B12204&lt;5,Einstellungen!$B$3,Einstellungen!$B$4)</f>
        <v>15.92</v>
      </c>
      <c r="E12204" s="14" t="str">
        <f aca="false">IF(C12204="","",C12204*D12204/100)</f>
        <v/>
      </c>
      <c r="F12204" s="15" t="str">
        <f aca="false">IF(B12204&lt;5,"Go","Standard")</f>
        <v>Go</v>
      </c>
    </row>
    <row r="12205" customFormat="false" ht="15" hidden="false" customHeight="true" outlineLevel="0" collapsed="false">
      <c r="A12205" s="10" t="n">
        <f aca="false">Einstellungen!$B$5+INT((ROW()-9)/24)</f>
        <v>46474</v>
      </c>
      <c r="B12205" s="11" t="n">
        <f aca="false">MOD(ROW()-9,24)</f>
        <v>4</v>
      </c>
      <c r="C12205" s="12"/>
      <c r="D12205" s="13" t="n">
        <f aca="false">IF(B12205&lt;5,Einstellungen!$B$3,Einstellungen!$B$4)</f>
        <v>15.92</v>
      </c>
      <c r="E12205" s="14" t="str">
        <f aca="false">IF(C12205="","",C12205*D12205/100)</f>
        <v/>
      </c>
      <c r="F12205" s="15" t="str">
        <f aca="false">IF(B12205&lt;5,"Go","Standard")</f>
        <v>Go</v>
      </c>
    </row>
    <row r="12206" customFormat="false" ht="15" hidden="false" customHeight="true" outlineLevel="0" collapsed="false">
      <c r="A12206" s="10" t="n">
        <f aca="false">Einstellungen!$B$5+INT((ROW()-9)/24)</f>
        <v>46474</v>
      </c>
      <c r="B12206" s="11" t="n">
        <f aca="false">MOD(ROW()-9,24)</f>
        <v>5</v>
      </c>
      <c r="C12206" s="12"/>
      <c r="D12206" s="13" t="n">
        <f aca="false">IF(B12206&lt;5,Einstellungen!$B$3,Einstellungen!$B$4)</f>
        <v>29.13</v>
      </c>
      <c r="E12206" s="14" t="str">
        <f aca="false">IF(C12206="","",C12206*D12206/100)</f>
        <v/>
      </c>
      <c r="F12206" s="15" t="str">
        <f aca="false">IF(B12206&lt;5,"Go","Standard")</f>
        <v>Standard</v>
      </c>
    </row>
    <row r="12207" customFormat="false" ht="15" hidden="false" customHeight="true" outlineLevel="0" collapsed="false">
      <c r="A12207" s="10" t="n">
        <f aca="false">Einstellungen!$B$5+INT((ROW()-9)/24)</f>
        <v>46474</v>
      </c>
      <c r="B12207" s="11" t="n">
        <f aca="false">MOD(ROW()-9,24)</f>
        <v>6</v>
      </c>
      <c r="C12207" s="12"/>
      <c r="D12207" s="13" t="n">
        <f aca="false">IF(B12207&lt;5,Einstellungen!$B$3,Einstellungen!$B$4)</f>
        <v>29.13</v>
      </c>
      <c r="E12207" s="14" t="str">
        <f aca="false">IF(C12207="","",C12207*D12207/100)</f>
        <v/>
      </c>
      <c r="F12207" s="15" t="str">
        <f aca="false">IF(B12207&lt;5,"Go","Standard")</f>
        <v>Standard</v>
      </c>
    </row>
    <row r="12208" customFormat="false" ht="15" hidden="false" customHeight="true" outlineLevel="0" collapsed="false">
      <c r="A12208" s="10" t="n">
        <f aca="false">Einstellungen!$B$5+INT((ROW()-9)/24)</f>
        <v>46474</v>
      </c>
      <c r="B12208" s="11" t="n">
        <f aca="false">MOD(ROW()-9,24)</f>
        <v>7</v>
      </c>
      <c r="C12208" s="12"/>
      <c r="D12208" s="13" t="n">
        <f aca="false">IF(B12208&lt;5,Einstellungen!$B$3,Einstellungen!$B$4)</f>
        <v>29.13</v>
      </c>
      <c r="E12208" s="14" t="str">
        <f aca="false">IF(C12208="","",C12208*D12208/100)</f>
        <v/>
      </c>
      <c r="F12208" s="15" t="str">
        <f aca="false">IF(B12208&lt;5,"Go","Standard")</f>
        <v>Standard</v>
      </c>
    </row>
    <row r="12209" customFormat="false" ht="15" hidden="false" customHeight="true" outlineLevel="0" collapsed="false">
      <c r="A12209" s="10" t="n">
        <f aca="false">Einstellungen!$B$5+INT((ROW()-9)/24)</f>
        <v>46474</v>
      </c>
      <c r="B12209" s="11" t="n">
        <f aca="false">MOD(ROW()-9,24)</f>
        <v>8</v>
      </c>
      <c r="C12209" s="12"/>
      <c r="D12209" s="13" t="n">
        <f aca="false">IF(B12209&lt;5,Einstellungen!$B$3,Einstellungen!$B$4)</f>
        <v>29.13</v>
      </c>
      <c r="E12209" s="14" t="str">
        <f aca="false">IF(C12209="","",C12209*D12209/100)</f>
        <v/>
      </c>
      <c r="F12209" s="15" t="str">
        <f aca="false">IF(B12209&lt;5,"Go","Standard")</f>
        <v>Standard</v>
      </c>
    </row>
    <row r="12210" customFormat="false" ht="15" hidden="false" customHeight="true" outlineLevel="0" collapsed="false">
      <c r="A12210" s="10" t="n">
        <f aca="false">Einstellungen!$B$5+INT((ROW()-9)/24)</f>
        <v>46474</v>
      </c>
      <c r="B12210" s="11" t="n">
        <f aca="false">MOD(ROW()-9,24)</f>
        <v>9</v>
      </c>
      <c r="C12210" s="12"/>
      <c r="D12210" s="13" t="n">
        <f aca="false">IF(B12210&lt;5,Einstellungen!$B$3,Einstellungen!$B$4)</f>
        <v>29.13</v>
      </c>
      <c r="E12210" s="14" t="str">
        <f aca="false">IF(C12210="","",C12210*D12210/100)</f>
        <v/>
      </c>
      <c r="F12210" s="15" t="str">
        <f aca="false">IF(B12210&lt;5,"Go","Standard")</f>
        <v>Standard</v>
      </c>
    </row>
    <row r="12211" customFormat="false" ht="15" hidden="false" customHeight="true" outlineLevel="0" collapsed="false">
      <c r="A12211" s="10" t="n">
        <f aca="false">Einstellungen!$B$5+INT((ROW()-9)/24)</f>
        <v>46474</v>
      </c>
      <c r="B12211" s="11" t="n">
        <f aca="false">MOD(ROW()-9,24)</f>
        <v>10</v>
      </c>
      <c r="C12211" s="12"/>
      <c r="D12211" s="13" t="n">
        <f aca="false">IF(B12211&lt;5,Einstellungen!$B$3,Einstellungen!$B$4)</f>
        <v>29.13</v>
      </c>
      <c r="E12211" s="14" t="str">
        <f aca="false">IF(C12211="","",C12211*D12211/100)</f>
        <v/>
      </c>
      <c r="F12211" s="15" t="str">
        <f aca="false">IF(B12211&lt;5,"Go","Standard")</f>
        <v>Standard</v>
      </c>
    </row>
    <row r="12212" customFormat="false" ht="15" hidden="false" customHeight="true" outlineLevel="0" collapsed="false">
      <c r="A12212" s="10" t="n">
        <f aca="false">Einstellungen!$B$5+INT((ROW()-9)/24)</f>
        <v>46474</v>
      </c>
      <c r="B12212" s="11" t="n">
        <f aca="false">MOD(ROW()-9,24)</f>
        <v>11</v>
      </c>
      <c r="C12212" s="12"/>
      <c r="D12212" s="13" t="n">
        <f aca="false">IF(B12212&lt;5,Einstellungen!$B$3,Einstellungen!$B$4)</f>
        <v>29.13</v>
      </c>
      <c r="E12212" s="14" t="str">
        <f aca="false">IF(C12212="","",C12212*D12212/100)</f>
        <v/>
      </c>
      <c r="F12212" s="15" t="str">
        <f aca="false">IF(B12212&lt;5,"Go","Standard")</f>
        <v>Standard</v>
      </c>
    </row>
    <row r="12213" customFormat="false" ht="15" hidden="false" customHeight="true" outlineLevel="0" collapsed="false">
      <c r="A12213" s="10" t="n">
        <f aca="false">Einstellungen!$B$5+INT((ROW()-9)/24)</f>
        <v>46474</v>
      </c>
      <c r="B12213" s="11" t="n">
        <f aca="false">MOD(ROW()-9,24)</f>
        <v>12</v>
      </c>
      <c r="C12213" s="12"/>
      <c r="D12213" s="13" t="n">
        <f aca="false">IF(B12213&lt;5,Einstellungen!$B$3,Einstellungen!$B$4)</f>
        <v>29.13</v>
      </c>
      <c r="E12213" s="14" t="str">
        <f aca="false">IF(C12213="","",C12213*D12213/100)</f>
        <v/>
      </c>
      <c r="F12213" s="15" t="str">
        <f aca="false">IF(B12213&lt;5,"Go","Standard")</f>
        <v>Standard</v>
      </c>
    </row>
    <row r="12214" customFormat="false" ht="15" hidden="false" customHeight="true" outlineLevel="0" collapsed="false">
      <c r="A12214" s="10" t="n">
        <f aca="false">Einstellungen!$B$5+INT((ROW()-9)/24)</f>
        <v>46474</v>
      </c>
      <c r="B12214" s="11" t="n">
        <f aca="false">MOD(ROW()-9,24)</f>
        <v>13</v>
      </c>
      <c r="C12214" s="12"/>
      <c r="D12214" s="13" t="n">
        <f aca="false">IF(B12214&lt;5,Einstellungen!$B$3,Einstellungen!$B$4)</f>
        <v>29.13</v>
      </c>
      <c r="E12214" s="14" t="str">
        <f aca="false">IF(C12214="","",C12214*D12214/100)</f>
        <v/>
      </c>
      <c r="F12214" s="15" t="str">
        <f aca="false">IF(B12214&lt;5,"Go","Standard")</f>
        <v>Standard</v>
      </c>
    </row>
    <row r="12215" customFormat="false" ht="15" hidden="false" customHeight="true" outlineLevel="0" collapsed="false">
      <c r="A12215" s="10" t="n">
        <f aca="false">Einstellungen!$B$5+INT((ROW()-9)/24)</f>
        <v>46474</v>
      </c>
      <c r="B12215" s="11" t="n">
        <f aca="false">MOD(ROW()-9,24)</f>
        <v>14</v>
      </c>
      <c r="C12215" s="12"/>
      <c r="D12215" s="13" t="n">
        <f aca="false">IF(B12215&lt;5,Einstellungen!$B$3,Einstellungen!$B$4)</f>
        <v>29.13</v>
      </c>
      <c r="E12215" s="14" t="str">
        <f aca="false">IF(C12215="","",C12215*D12215/100)</f>
        <v/>
      </c>
      <c r="F12215" s="15" t="str">
        <f aca="false">IF(B12215&lt;5,"Go","Standard")</f>
        <v>Standard</v>
      </c>
    </row>
    <row r="12216" customFormat="false" ht="15" hidden="false" customHeight="true" outlineLevel="0" collapsed="false">
      <c r="A12216" s="10" t="n">
        <f aca="false">Einstellungen!$B$5+INT((ROW()-9)/24)</f>
        <v>46474</v>
      </c>
      <c r="B12216" s="11" t="n">
        <f aca="false">MOD(ROW()-9,24)</f>
        <v>15</v>
      </c>
      <c r="C12216" s="12"/>
      <c r="D12216" s="13" t="n">
        <f aca="false">IF(B12216&lt;5,Einstellungen!$B$3,Einstellungen!$B$4)</f>
        <v>29.13</v>
      </c>
      <c r="E12216" s="14" t="str">
        <f aca="false">IF(C12216="","",C12216*D12216/100)</f>
        <v/>
      </c>
      <c r="F12216" s="15" t="str">
        <f aca="false">IF(B12216&lt;5,"Go","Standard")</f>
        <v>Standard</v>
      </c>
    </row>
    <row r="12217" customFormat="false" ht="15" hidden="false" customHeight="true" outlineLevel="0" collapsed="false">
      <c r="A12217" s="10" t="n">
        <f aca="false">Einstellungen!$B$5+INT((ROW()-9)/24)</f>
        <v>46474</v>
      </c>
      <c r="B12217" s="11" t="n">
        <f aca="false">MOD(ROW()-9,24)</f>
        <v>16</v>
      </c>
      <c r="C12217" s="12"/>
      <c r="D12217" s="13" t="n">
        <f aca="false">IF(B12217&lt;5,Einstellungen!$B$3,Einstellungen!$B$4)</f>
        <v>29.13</v>
      </c>
      <c r="E12217" s="14" t="str">
        <f aca="false">IF(C12217="","",C12217*D12217/100)</f>
        <v/>
      </c>
      <c r="F12217" s="15" t="str">
        <f aca="false">IF(B12217&lt;5,"Go","Standard")</f>
        <v>Standard</v>
      </c>
    </row>
    <row r="12218" customFormat="false" ht="15" hidden="false" customHeight="true" outlineLevel="0" collapsed="false">
      <c r="A12218" s="10" t="n">
        <f aca="false">Einstellungen!$B$5+INT((ROW()-9)/24)</f>
        <v>46474</v>
      </c>
      <c r="B12218" s="11" t="n">
        <f aca="false">MOD(ROW()-9,24)</f>
        <v>17</v>
      </c>
      <c r="C12218" s="12"/>
      <c r="D12218" s="13" t="n">
        <f aca="false">IF(B12218&lt;5,Einstellungen!$B$3,Einstellungen!$B$4)</f>
        <v>29.13</v>
      </c>
      <c r="E12218" s="14" t="str">
        <f aca="false">IF(C12218="","",C12218*D12218/100)</f>
        <v/>
      </c>
      <c r="F12218" s="15" t="str">
        <f aca="false">IF(B12218&lt;5,"Go","Standard")</f>
        <v>Standard</v>
      </c>
    </row>
    <row r="12219" customFormat="false" ht="15" hidden="false" customHeight="true" outlineLevel="0" collapsed="false">
      <c r="A12219" s="10" t="n">
        <f aca="false">Einstellungen!$B$5+INT((ROW()-9)/24)</f>
        <v>46474</v>
      </c>
      <c r="B12219" s="11" t="n">
        <f aca="false">MOD(ROW()-9,24)</f>
        <v>18</v>
      </c>
      <c r="C12219" s="12"/>
      <c r="D12219" s="13" t="n">
        <f aca="false">IF(B12219&lt;5,Einstellungen!$B$3,Einstellungen!$B$4)</f>
        <v>29.13</v>
      </c>
      <c r="E12219" s="14" t="str">
        <f aca="false">IF(C12219="","",C12219*D12219/100)</f>
        <v/>
      </c>
      <c r="F12219" s="15" t="str">
        <f aca="false">IF(B12219&lt;5,"Go","Standard")</f>
        <v>Standard</v>
      </c>
    </row>
    <row r="12220" customFormat="false" ht="15" hidden="false" customHeight="true" outlineLevel="0" collapsed="false">
      <c r="A12220" s="10" t="n">
        <f aca="false">Einstellungen!$B$5+INT((ROW()-9)/24)</f>
        <v>46474</v>
      </c>
      <c r="B12220" s="11" t="n">
        <f aca="false">MOD(ROW()-9,24)</f>
        <v>19</v>
      </c>
      <c r="C12220" s="12"/>
      <c r="D12220" s="13" t="n">
        <f aca="false">IF(B12220&lt;5,Einstellungen!$B$3,Einstellungen!$B$4)</f>
        <v>29.13</v>
      </c>
      <c r="E12220" s="14" t="str">
        <f aca="false">IF(C12220="","",C12220*D12220/100)</f>
        <v/>
      </c>
      <c r="F12220" s="15" t="str">
        <f aca="false">IF(B12220&lt;5,"Go","Standard")</f>
        <v>Standard</v>
      </c>
    </row>
    <row r="12221" customFormat="false" ht="15" hidden="false" customHeight="true" outlineLevel="0" collapsed="false">
      <c r="A12221" s="10" t="n">
        <f aca="false">Einstellungen!$B$5+INT((ROW()-9)/24)</f>
        <v>46474</v>
      </c>
      <c r="B12221" s="11" t="n">
        <f aca="false">MOD(ROW()-9,24)</f>
        <v>20</v>
      </c>
      <c r="C12221" s="12"/>
      <c r="D12221" s="13" t="n">
        <f aca="false">IF(B12221&lt;5,Einstellungen!$B$3,Einstellungen!$B$4)</f>
        <v>29.13</v>
      </c>
      <c r="E12221" s="14" t="str">
        <f aca="false">IF(C12221="","",C12221*D12221/100)</f>
        <v/>
      </c>
      <c r="F12221" s="15" t="str">
        <f aca="false">IF(B12221&lt;5,"Go","Standard")</f>
        <v>Standard</v>
      </c>
    </row>
    <row r="12222" customFormat="false" ht="15" hidden="false" customHeight="true" outlineLevel="0" collapsed="false">
      <c r="A12222" s="10" t="n">
        <f aca="false">Einstellungen!$B$5+INT((ROW()-9)/24)</f>
        <v>46474</v>
      </c>
      <c r="B12222" s="11" t="n">
        <f aca="false">MOD(ROW()-9,24)</f>
        <v>21</v>
      </c>
      <c r="C12222" s="12"/>
      <c r="D12222" s="13" t="n">
        <f aca="false">IF(B12222&lt;5,Einstellungen!$B$3,Einstellungen!$B$4)</f>
        <v>29.13</v>
      </c>
      <c r="E12222" s="14" t="str">
        <f aca="false">IF(C12222="","",C12222*D12222/100)</f>
        <v/>
      </c>
      <c r="F12222" s="15" t="str">
        <f aca="false">IF(B12222&lt;5,"Go","Standard")</f>
        <v>Standard</v>
      </c>
    </row>
    <row r="12223" customFormat="false" ht="15" hidden="false" customHeight="true" outlineLevel="0" collapsed="false">
      <c r="A12223" s="10" t="n">
        <f aca="false">Einstellungen!$B$5+INT((ROW()-9)/24)</f>
        <v>46474</v>
      </c>
      <c r="B12223" s="11" t="n">
        <f aca="false">MOD(ROW()-9,24)</f>
        <v>22</v>
      </c>
      <c r="C12223" s="12"/>
      <c r="D12223" s="13" t="n">
        <f aca="false">IF(B12223&lt;5,Einstellungen!$B$3,Einstellungen!$B$4)</f>
        <v>29.13</v>
      </c>
      <c r="E12223" s="14" t="str">
        <f aca="false">IF(C12223="","",C12223*D12223/100)</f>
        <v/>
      </c>
      <c r="F12223" s="15" t="str">
        <f aca="false">IF(B12223&lt;5,"Go","Standard")</f>
        <v>Standard</v>
      </c>
    </row>
    <row r="12224" customFormat="false" ht="15" hidden="false" customHeight="true" outlineLevel="0" collapsed="false">
      <c r="A12224" s="10" t="n">
        <f aca="false">Einstellungen!$B$5+INT((ROW()-9)/24)</f>
        <v>46474</v>
      </c>
      <c r="B12224" s="11" t="n">
        <f aca="false">MOD(ROW()-9,24)</f>
        <v>23</v>
      </c>
      <c r="C12224" s="12"/>
      <c r="D12224" s="13" t="n">
        <f aca="false">IF(B12224&lt;5,Einstellungen!$B$3,Einstellungen!$B$4)</f>
        <v>29.13</v>
      </c>
      <c r="E12224" s="14" t="str">
        <f aca="false">IF(C12224="","",C12224*D12224/100)</f>
        <v/>
      </c>
      <c r="F12224" s="15" t="str">
        <f aca="false">IF(B12224&lt;5,"Go","Standard")</f>
        <v>Standard</v>
      </c>
    </row>
    <row r="12225" customFormat="false" ht="15" hidden="false" customHeight="true" outlineLevel="0" collapsed="false">
      <c r="A12225" s="10" t="n">
        <f aca="false">Einstellungen!$B$5+INT((ROW()-9)/24)</f>
        <v>46475</v>
      </c>
      <c r="B12225" s="11" t="n">
        <f aca="false">MOD(ROW()-9,24)</f>
        <v>0</v>
      </c>
      <c r="C12225" s="12"/>
      <c r="D12225" s="13" t="n">
        <f aca="false">IF(B12225&lt;5,Einstellungen!$B$3,Einstellungen!$B$4)</f>
        <v>15.92</v>
      </c>
      <c r="E12225" s="14" t="str">
        <f aca="false">IF(C12225="","",C12225*D12225/100)</f>
        <v/>
      </c>
      <c r="F12225" s="15" t="str">
        <f aca="false">IF(B12225&lt;5,"Go","Standard")</f>
        <v>Go</v>
      </c>
    </row>
    <row r="12226" customFormat="false" ht="15" hidden="false" customHeight="true" outlineLevel="0" collapsed="false">
      <c r="A12226" s="10" t="n">
        <f aca="false">Einstellungen!$B$5+INT((ROW()-9)/24)</f>
        <v>46475</v>
      </c>
      <c r="B12226" s="11" t="n">
        <f aca="false">MOD(ROW()-9,24)</f>
        <v>1</v>
      </c>
      <c r="C12226" s="12"/>
      <c r="D12226" s="13" t="n">
        <f aca="false">IF(B12226&lt;5,Einstellungen!$B$3,Einstellungen!$B$4)</f>
        <v>15.92</v>
      </c>
      <c r="E12226" s="14" t="str">
        <f aca="false">IF(C12226="","",C12226*D12226/100)</f>
        <v/>
      </c>
      <c r="F12226" s="15" t="str">
        <f aca="false">IF(B12226&lt;5,"Go","Standard")</f>
        <v>Go</v>
      </c>
    </row>
    <row r="12227" customFormat="false" ht="15" hidden="false" customHeight="true" outlineLevel="0" collapsed="false">
      <c r="A12227" s="10" t="n">
        <f aca="false">Einstellungen!$B$5+INT((ROW()-9)/24)</f>
        <v>46475</v>
      </c>
      <c r="B12227" s="11" t="n">
        <f aca="false">MOD(ROW()-9,24)</f>
        <v>2</v>
      </c>
      <c r="C12227" s="12"/>
      <c r="D12227" s="13" t="n">
        <f aca="false">IF(B12227&lt;5,Einstellungen!$B$3,Einstellungen!$B$4)</f>
        <v>15.92</v>
      </c>
      <c r="E12227" s="14" t="str">
        <f aca="false">IF(C12227="","",C12227*D12227/100)</f>
        <v/>
      </c>
      <c r="F12227" s="15" t="str">
        <f aca="false">IF(B12227&lt;5,"Go","Standard")</f>
        <v>Go</v>
      </c>
    </row>
    <row r="12228" customFormat="false" ht="15" hidden="false" customHeight="true" outlineLevel="0" collapsed="false">
      <c r="A12228" s="10" t="n">
        <f aca="false">Einstellungen!$B$5+INT((ROW()-9)/24)</f>
        <v>46475</v>
      </c>
      <c r="B12228" s="11" t="n">
        <f aca="false">MOD(ROW()-9,24)</f>
        <v>3</v>
      </c>
      <c r="C12228" s="12"/>
      <c r="D12228" s="13" t="n">
        <f aca="false">IF(B12228&lt;5,Einstellungen!$B$3,Einstellungen!$B$4)</f>
        <v>15.92</v>
      </c>
      <c r="E12228" s="14" t="str">
        <f aca="false">IF(C12228="","",C12228*D12228/100)</f>
        <v/>
      </c>
      <c r="F12228" s="15" t="str">
        <f aca="false">IF(B12228&lt;5,"Go","Standard")</f>
        <v>Go</v>
      </c>
    </row>
    <row r="12229" customFormat="false" ht="15" hidden="false" customHeight="true" outlineLevel="0" collapsed="false">
      <c r="A12229" s="10" t="n">
        <f aca="false">Einstellungen!$B$5+INT((ROW()-9)/24)</f>
        <v>46475</v>
      </c>
      <c r="B12229" s="11" t="n">
        <f aca="false">MOD(ROW()-9,24)</f>
        <v>4</v>
      </c>
      <c r="C12229" s="12"/>
      <c r="D12229" s="13" t="n">
        <f aca="false">IF(B12229&lt;5,Einstellungen!$B$3,Einstellungen!$B$4)</f>
        <v>15.92</v>
      </c>
      <c r="E12229" s="14" t="str">
        <f aca="false">IF(C12229="","",C12229*D12229/100)</f>
        <v/>
      </c>
      <c r="F12229" s="15" t="str">
        <f aca="false">IF(B12229&lt;5,"Go","Standard")</f>
        <v>Go</v>
      </c>
    </row>
    <row r="12230" customFormat="false" ht="15" hidden="false" customHeight="true" outlineLevel="0" collapsed="false">
      <c r="A12230" s="10" t="n">
        <f aca="false">Einstellungen!$B$5+INT((ROW()-9)/24)</f>
        <v>46475</v>
      </c>
      <c r="B12230" s="11" t="n">
        <f aca="false">MOD(ROW()-9,24)</f>
        <v>5</v>
      </c>
      <c r="C12230" s="12"/>
      <c r="D12230" s="13" t="n">
        <f aca="false">IF(B12230&lt;5,Einstellungen!$B$3,Einstellungen!$B$4)</f>
        <v>29.13</v>
      </c>
      <c r="E12230" s="14" t="str">
        <f aca="false">IF(C12230="","",C12230*D12230/100)</f>
        <v/>
      </c>
      <c r="F12230" s="15" t="str">
        <f aca="false">IF(B12230&lt;5,"Go","Standard")</f>
        <v>Standard</v>
      </c>
    </row>
    <row r="12231" customFormat="false" ht="15" hidden="false" customHeight="true" outlineLevel="0" collapsed="false">
      <c r="A12231" s="10" t="n">
        <f aca="false">Einstellungen!$B$5+INT((ROW()-9)/24)</f>
        <v>46475</v>
      </c>
      <c r="B12231" s="11" t="n">
        <f aca="false">MOD(ROW()-9,24)</f>
        <v>6</v>
      </c>
      <c r="C12231" s="12"/>
      <c r="D12231" s="13" t="n">
        <f aca="false">IF(B12231&lt;5,Einstellungen!$B$3,Einstellungen!$B$4)</f>
        <v>29.13</v>
      </c>
      <c r="E12231" s="14" t="str">
        <f aca="false">IF(C12231="","",C12231*D12231/100)</f>
        <v/>
      </c>
      <c r="F12231" s="15" t="str">
        <f aca="false">IF(B12231&lt;5,"Go","Standard")</f>
        <v>Standard</v>
      </c>
    </row>
    <row r="12232" customFormat="false" ht="15" hidden="false" customHeight="true" outlineLevel="0" collapsed="false">
      <c r="A12232" s="10" t="n">
        <f aca="false">Einstellungen!$B$5+INT((ROW()-9)/24)</f>
        <v>46475</v>
      </c>
      <c r="B12232" s="11" t="n">
        <f aca="false">MOD(ROW()-9,24)</f>
        <v>7</v>
      </c>
      <c r="C12232" s="12"/>
      <c r="D12232" s="13" t="n">
        <f aca="false">IF(B12232&lt;5,Einstellungen!$B$3,Einstellungen!$B$4)</f>
        <v>29.13</v>
      </c>
      <c r="E12232" s="14" t="str">
        <f aca="false">IF(C12232="","",C12232*D12232/100)</f>
        <v/>
      </c>
      <c r="F12232" s="15" t="str">
        <f aca="false">IF(B12232&lt;5,"Go","Standard")</f>
        <v>Standard</v>
      </c>
    </row>
    <row r="12233" customFormat="false" ht="15" hidden="false" customHeight="true" outlineLevel="0" collapsed="false">
      <c r="A12233" s="10" t="n">
        <f aca="false">Einstellungen!$B$5+INT((ROW()-9)/24)</f>
        <v>46475</v>
      </c>
      <c r="B12233" s="11" t="n">
        <f aca="false">MOD(ROW()-9,24)</f>
        <v>8</v>
      </c>
      <c r="C12233" s="12"/>
      <c r="D12233" s="13" t="n">
        <f aca="false">IF(B12233&lt;5,Einstellungen!$B$3,Einstellungen!$B$4)</f>
        <v>29.13</v>
      </c>
      <c r="E12233" s="14" t="str">
        <f aca="false">IF(C12233="","",C12233*D12233/100)</f>
        <v/>
      </c>
      <c r="F12233" s="15" t="str">
        <f aca="false">IF(B12233&lt;5,"Go","Standard")</f>
        <v>Standard</v>
      </c>
    </row>
    <row r="12234" customFormat="false" ht="15" hidden="false" customHeight="true" outlineLevel="0" collapsed="false">
      <c r="A12234" s="10" t="n">
        <f aca="false">Einstellungen!$B$5+INT((ROW()-9)/24)</f>
        <v>46475</v>
      </c>
      <c r="B12234" s="11" t="n">
        <f aca="false">MOD(ROW()-9,24)</f>
        <v>9</v>
      </c>
      <c r="C12234" s="12"/>
      <c r="D12234" s="13" t="n">
        <f aca="false">IF(B12234&lt;5,Einstellungen!$B$3,Einstellungen!$B$4)</f>
        <v>29.13</v>
      </c>
      <c r="E12234" s="14" t="str">
        <f aca="false">IF(C12234="","",C12234*D12234/100)</f>
        <v/>
      </c>
      <c r="F12234" s="15" t="str">
        <f aca="false">IF(B12234&lt;5,"Go","Standard")</f>
        <v>Standard</v>
      </c>
    </row>
    <row r="12235" customFormat="false" ht="15" hidden="false" customHeight="true" outlineLevel="0" collapsed="false">
      <c r="A12235" s="10" t="n">
        <f aca="false">Einstellungen!$B$5+INT((ROW()-9)/24)</f>
        <v>46475</v>
      </c>
      <c r="B12235" s="11" t="n">
        <f aca="false">MOD(ROW()-9,24)</f>
        <v>10</v>
      </c>
      <c r="C12235" s="12"/>
      <c r="D12235" s="13" t="n">
        <f aca="false">IF(B12235&lt;5,Einstellungen!$B$3,Einstellungen!$B$4)</f>
        <v>29.13</v>
      </c>
      <c r="E12235" s="14" t="str">
        <f aca="false">IF(C12235="","",C12235*D12235/100)</f>
        <v/>
      </c>
      <c r="F12235" s="15" t="str">
        <f aca="false">IF(B12235&lt;5,"Go","Standard")</f>
        <v>Standard</v>
      </c>
    </row>
    <row r="12236" customFormat="false" ht="15" hidden="false" customHeight="true" outlineLevel="0" collapsed="false">
      <c r="A12236" s="10" t="n">
        <f aca="false">Einstellungen!$B$5+INT((ROW()-9)/24)</f>
        <v>46475</v>
      </c>
      <c r="B12236" s="11" t="n">
        <f aca="false">MOD(ROW()-9,24)</f>
        <v>11</v>
      </c>
      <c r="C12236" s="12"/>
      <c r="D12236" s="13" t="n">
        <f aca="false">IF(B12236&lt;5,Einstellungen!$B$3,Einstellungen!$B$4)</f>
        <v>29.13</v>
      </c>
      <c r="E12236" s="14" t="str">
        <f aca="false">IF(C12236="","",C12236*D12236/100)</f>
        <v/>
      </c>
      <c r="F12236" s="15" t="str">
        <f aca="false">IF(B12236&lt;5,"Go","Standard")</f>
        <v>Standard</v>
      </c>
    </row>
    <row r="12237" customFormat="false" ht="15" hidden="false" customHeight="true" outlineLevel="0" collapsed="false">
      <c r="A12237" s="10" t="n">
        <f aca="false">Einstellungen!$B$5+INT((ROW()-9)/24)</f>
        <v>46475</v>
      </c>
      <c r="B12237" s="11" t="n">
        <f aca="false">MOD(ROW()-9,24)</f>
        <v>12</v>
      </c>
      <c r="C12237" s="12"/>
      <c r="D12237" s="13" t="n">
        <f aca="false">IF(B12237&lt;5,Einstellungen!$B$3,Einstellungen!$B$4)</f>
        <v>29.13</v>
      </c>
      <c r="E12237" s="14" t="str">
        <f aca="false">IF(C12237="","",C12237*D12237/100)</f>
        <v/>
      </c>
      <c r="F12237" s="15" t="str">
        <f aca="false">IF(B12237&lt;5,"Go","Standard")</f>
        <v>Standard</v>
      </c>
    </row>
    <row r="12238" customFormat="false" ht="15" hidden="false" customHeight="true" outlineLevel="0" collapsed="false">
      <c r="A12238" s="10" t="n">
        <f aca="false">Einstellungen!$B$5+INT((ROW()-9)/24)</f>
        <v>46475</v>
      </c>
      <c r="B12238" s="11" t="n">
        <f aca="false">MOD(ROW()-9,24)</f>
        <v>13</v>
      </c>
      <c r="C12238" s="12"/>
      <c r="D12238" s="13" t="n">
        <f aca="false">IF(B12238&lt;5,Einstellungen!$B$3,Einstellungen!$B$4)</f>
        <v>29.13</v>
      </c>
      <c r="E12238" s="14" t="str">
        <f aca="false">IF(C12238="","",C12238*D12238/100)</f>
        <v/>
      </c>
      <c r="F12238" s="15" t="str">
        <f aca="false">IF(B12238&lt;5,"Go","Standard")</f>
        <v>Standard</v>
      </c>
    </row>
    <row r="12239" customFormat="false" ht="15" hidden="false" customHeight="true" outlineLevel="0" collapsed="false">
      <c r="A12239" s="10" t="n">
        <f aca="false">Einstellungen!$B$5+INT((ROW()-9)/24)</f>
        <v>46475</v>
      </c>
      <c r="B12239" s="11" t="n">
        <f aca="false">MOD(ROW()-9,24)</f>
        <v>14</v>
      </c>
      <c r="C12239" s="12"/>
      <c r="D12239" s="13" t="n">
        <f aca="false">IF(B12239&lt;5,Einstellungen!$B$3,Einstellungen!$B$4)</f>
        <v>29.13</v>
      </c>
      <c r="E12239" s="14" t="str">
        <f aca="false">IF(C12239="","",C12239*D12239/100)</f>
        <v/>
      </c>
      <c r="F12239" s="15" t="str">
        <f aca="false">IF(B12239&lt;5,"Go","Standard")</f>
        <v>Standard</v>
      </c>
    </row>
    <row r="12240" customFormat="false" ht="15" hidden="false" customHeight="true" outlineLevel="0" collapsed="false">
      <c r="A12240" s="10" t="n">
        <f aca="false">Einstellungen!$B$5+INT((ROW()-9)/24)</f>
        <v>46475</v>
      </c>
      <c r="B12240" s="11" t="n">
        <f aca="false">MOD(ROW()-9,24)</f>
        <v>15</v>
      </c>
      <c r="C12240" s="12"/>
      <c r="D12240" s="13" t="n">
        <f aca="false">IF(B12240&lt;5,Einstellungen!$B$3,Einstellungen!$B$4)</f>
        <v>29.13</v>
      </c>
      <c r="E12240" s="14" t="str">
        <f aca="false">IF(C12240="","",C12240*D12240/100)</f>
        <v/>
      </c>
      <c r="F12240" s="15" t="str">
        <f aca="false">IF(B12240&lt;5,"Go","Standard")</f>
        <v>Standard</v>
      </c>
    </row>
    <row r="12241" customFormat="false" ht="15" hidden="false" customHeight="true" outlineLevel="0" collapsed="false">
      <c r="A12241" s="10" t="n">
        <f aca="false">Einstellungen!$B$5+INT((ROW()-9)/24)</f>
        <v>46475</v>
      </c>
      <c r="B12241" s="11" t="n">
        <f aca="false">MOD(ROW()-9,24)</f>
        <v>16</v>
      </c>
      <c r="C12241" s="12"/>
      <c r="D12241" s="13" t="n">
        <f aca="false">IF(B12241&lt;5,Einstellungen!$B$3,Einstellungen!$B$4)</f>
        <v>29.13</v>
      </c>
      <c r="E12241" s="14" t="str">
        <f aca="false">IF(C12241="","",C12241*D12241/100)</f>
        <v/>
      </c>
      <c r="F12241" s="15" t="str">
        <f aca="false">IF(B12241&lt;5,"Go","Standard")</f>
        <v>Standard</v>
      </c>
    </row>
    <row r="12242" customFormat="false" ht="15" hidden="false" customHeight="true" outlineLevel="0" collapsed="false">
      <c r="A12242" s="10" t="n">
        <f aca="false">Einstellungen!$B$5+INT((ROW()-9)/24)</f>
        <v>46475</v>
      </c>
      <c r="B12242" s="11" t="n">
        <f aca="false">MOD(ROW()-9,24)</f>
        <v>17</v>
      </c>
      <c r="C12242" s="12"/>
      <c r="D12242" s="13" t="n">
        <f aca="false">IF(B12242&lt;5,Einstellungen!$B$3,Einstellungen!$B$4)</f>
        <v>29.13</v>
      </c>
      <c r="E12242" s="14" t="str">
        <f aca="false">IF(C12242="","",C12242*D12242/100)</f>
        <v/>
      </c>
      <c r="F12242" s="15" t="str">
        <f aca="false">IF(B12242&lt;5,"Go","Standard")</f>
        <v>Standard</v>
      </c>
    </row>
    <row r="12243" customFormat="false" ht="15" hidden="false" customHeight="true" outlineLevel="0" collapsed="false">
      <c r="A12243" s="10" t="n">
        <f aca="false">Einstellungen!$B$5+INT((ROW()-9)/24)</f>
        <v>46475</v>
      </c>
      <c r="B12243" s="11" t="n">
        <f aca="false">MOD(ROW()-9,24)</f>
        <v>18</v>
      </c>
      <c r="C12243" s="12"/>
      <c r="D12243" s="13" t="n">
        <f aca="false">IF(B12243&lt;5,Einstellungen!$B$3,Einstellungen!$B$4)</f>
        <v>29.13</v>
      </c>
      <c r="E12243" s="14" t="str">
        <f aca="false">IF(C12243="","",C12243*D12243/100)</f>
        <v/>
      </c>
      <c r="F12243" s="15" t="str">
        <f aca="false">IF(B12243&lt;5,"Go","Standard")</f>
        <v>Standard</v>
      </c>
    </row>
    <row r="12244" customFormat="false" ht="15" hidden="false" customHeight="true" outlineLevel="0" collapsed="false">
      <c r="A12244" s="10" t="n">
        <f aca="false">Einstellungen!$B$5+INT((ROW()-9)/24)</f>
        <v>46475</v>
      </c>
      <c r="B12244" s="11" t="n">
        <f aca="false">MOD(ROW()-9,24)</f>
        <v>19</v>
      </c>
      <c r="C12244" s="12"/>
      <c r="D12244" s="13" t="n">
        <f aca="false">IF(B12244&lt;5,Einstellungen!$B$3,Einstellungen!$B$4)</f>
        <v>29.13</v>
      </c>
      <c r="E12244" s="14" t="str">
        <f aca="false">IF(C12244="","",C12244*D12244/100)</f>
        <v/>
      </c>
      <c r="F12244" s="15" t="str">
        <f aca="false">IF(B12244&lt;5,"Go","Standard")</f>
        <v>Standard</v>
      </c>
    </row>
    <row r="12245" customFormat="false" ht="15" hidden="false" customHeight="true" outlineLevel="0" collapsed="false">
      <c r="A12245" s="10" t="n">
        <f aca="false">Einstellungen!$B$5+INT((ROW()-9)/24)</f>
        <v>46475</v>
      </c>
      <c r="B12245" s="11" t="n">
        <f aca="false">MOD(ROW()-9,24)</f>
        <v>20</v>
      </c>
      <c r="C12245" s="12"/>
      <c r="D12245" s="13" t="n">
        <f aca="false">IF(B12245&lt;5,Einstellungen!$B$3,Einstellungen!$B$4)</f>
        <v>29.13</v>
      </c>
      <c r="E12245" s="14" t="str">
        <f aca="false">IF(C12245="","",C12245*D12245/100)</f>
        <v/>
      </c>
      <c r="F12245" s="15" t="str">
        <f aca="false">IF(B12245&lt;5,"Go","Standard")</f>
        <v>Standard</v>
      </c>
    </row>
    <row r="12246" customFormat="false" ht="15" hidden="false" customHeight="true" outlineLevel="0" collapsed="false">
      <c r="A12246" s="10" t="n">
        <f aca="false">Einstellungen!$B$5+INT((ROW()-9)/24)</f>
        <v>46475</v>
      </c>
      <c r="B12246" s="11" t="n">
        <f aca="false">MOD(ROW()-9,24)</f>
        <v>21</v>
      </c>
      <c r="C12246" s="12"/>
      <c r="D12246" s="13" t="n">
        <f aca="false">IF(B12246&lt;5,Einstellungen!$B$3,Einstellungen!$B$4)</f>
        <v>29.13</v>
      </c>
      <c r="E12246" s="14" t="str">
        <f aca="false">IF(C12246="","",C12246*D12246/100)</f>
        <v/>
      </c>
      <c r="F12246" s="15" t="str">
        <f aca="false">IF(B12246&lt;5,"Go","Standard")</f>
        <v>Standard</v>
      </c>
    </row>
    <row r="12247" customFormat="false" ht="15" hidden="false" customHeight="true" outlineLevel="0" collapsed="false">
      <c r="A12247" s="10" t="n">
        <f aca="false">Einstellungen!$B$5+INT((ROW()-9)/24)</f>
        <v>46475</v>
      </c>
      <c r="B12247" s="11" t="n">
        <f aca="false">MOD(ROW()-9,24)</f>
        <v>22</v>
      </c>
      <c r="C12247" s="12"/>
      <c r="D12247" s="13" t="n">
        <f aca="false">IF(B12247&lt;5,Einstellungen!$B$3,Einstellungen!$B$4)</f>
        <v>29.13</v>
      </c>
      <c r="E12247" s="14" t="str">
        <f aca="false">IF(C12247="","",C12247*D12247/100)</f>
        <v/>
      </c>
      <c r="F12247" s="15" t="str">
        <f aca="false">IF(B12247&lt;5,"Go","Standard")</f>
        <v>Standard</v>
      </c>
    </row>
    <row r="12248" customFormat="false" ht="15" hidden="false" customHeight="true" outlineLevel="0" collapsed="false">
      <c r="A12248" s="10" t="n">
        <f aca="false">Einstellungen!$B$5+INT((ROW()-9)/24)</f>
        <v>46475</v>
      </c>
      <c r="B12248" s="11" t="n">
        <f aca="false">MOD(ROW()-9,24)</f>
        <v>23</v>
      </c>
      <c r="C12248" s="12"/>
      <c r="D12248" s="13" t="n">
        <f aca="false">IF(B12248&lt;5,Einstellungen!$B$3,Einstellungen!$B$4)</f>
        <v>29.13</v>
      </c>
      <c r="E12248" s="14" t="str">
        <f aca="false">IF(C12248="","",C12248*D12248/100)</f>
        <v/>
      </c>
      <c r="F12248" s="15" t="str">
        <f aca="false">IF(B12248&lt;5,"Go","Standard")</f>
        <v>Standard</v>
      </c>
    </row>
    <row r="12249" customFormat="false" ht="15" hidden="false" customHeight="true" outlineLevel="0" collapsed="false">
      <c r="A12249" s="10" t="n">
        <f aca="false">Einstellungen!$B$5+INT((ROW()-9)/24)</f>
        <v>46476</v>
      </c>
      <c r="B12249" s="11" t="n">
        <f aca="false">MOD(ROW()-9,24)</f>
        <v>0</v>
      </c>
      <c r="C12249" s="12"/>
      <c r="D12249" s="13" t="n">
        <f aca="false">IF(B12249&lt;5,Einstellungen!$B$3,Einstellungen!$B$4)</f>
        <v>15.92</v>
      </c>
      <c r="E12249" s="14" t="str">
        <f aca="false">IF(C12249="","",C12249*D12249/100)</f>
        <v/>
      </c>
      <c r="F12249" s="15" t="str">
        <f aca="false">IF(B12249&lt;5,"Go","Standard")</f>
        <v>Go</v>
      </c>
    </row>
    <row r="12250" customFormat="false" ht="15" hidden="false" customHeight="true" outlineLevel="0" collapsed="false">
      <c r="A12250" s="10" t="n">
        <f aca="false">Einstellungen!$B$5+INT((ROW()-9)/24)</f>
        <v>46476</v>
      </c>
      <c r="B12250" s="11" t="n">
        <f aca="false">MOD(ROW()-9,24)</f>
        <v>1</v>
      </c>
      <c r="C12250" s="12"/>
      <c r="D12250" s="13" t="n">
        <f aca="false">IF(B12250&lt;5,Einstellungen!$B$3,Einstellungen!$B$4)</f>
        <v>15.92</v>
      </c>
      <c r="E12250" s="14" t="str">
        <f aca="false">IF(C12250="","",C12250*D12250/100)</f>
        <v/>
      </c>
      <c r="F12250" s="15" t="str">
        <f aca="false">IF(B12250&lt;5,"Go","Standard")</f>
        <v>Go</v>
      </c>
    </row>
    <row r="12251" customFormat="false" ht="15" hidden="false" customHeight="true" outlineLevel="0" collapsed="false">
      <c r="A12251" s="10" t="n">
        <f aca="false">Einstellungen!$B$5+INT((ROW()-9)/24)</f>
        <v>46476</v>
      </c>
      <c r="B12251" s="11" t="n">
        <f aca="false">MOD(ROW()-9,24)</f>
        <v>2</v>
      </c>
      <c r="C12251" s="12"/>
      <c r="D12251" s="13" t="n">
        <f aca="false">IF(B12251&lt;5,Einstellungen!$B$3,Einstellungen!$B$4)</f>
        <v>15.92</v>
      </c>
      <c r="E12251" s="14" t="str">
        <f aca="false">IF(C12251="","",C12251*D12251/100)</f>
        <v/>
      </c>
      <c r="F12251" s="15" t="str">
        <f aca="false">IF(B12251&lt;5,"Go","Standard")</f>
        <v>Go</v>
      </c>
    </row>
    <row r="12252" customFormat="false" ht="15" hidden="false" customHeight="true" outlineLevel="0" collapsed="false">
      <c r="A12252" s="10" t="n">
        <f aca="false">Einstellungen!$B$5+INT((ROW()-9)/24)</f>
        <v>46476</v>
      </c>
      <c r="B12252" s="11" t="n">
        <f aca="false">MOD(ROW()-9,24)</f>
        <v>3</v>
      </c>
      <c r="C12252" s="12"/>
      <c r="D12252" s="13" t="n">
        <f aca="false">IF(B12252&lt;5,Einstellungen!$B$3,Einstellungen!$B$4)</f>
        <v>15.92</v>
      </c>
      <c r="E12252" s="14" t="str">
        <f aca="false">IF(C12252="","",C12252*D12252/100)</f>
        <v/>
      </c>
      <c r="F12252" s="15" t="str">
        <f aca="false">IF(B12252&lt;5,"Go","Standard")</f>
        <v>Go</v>
      </c>
    </row>
    <row r="12253" customFormat="false" ht="15" hidden="false" customHeight="true" outlineLevel="0" collapsed="false">
      <c r="A12253" s="10" t="n">
        <f aca="false">Einstellungen!$B$5+INT((ROW()-9)/24)</f>
        <v>46476</v>
      </c>
      <c r="B12253" s="11" t="n">
        <f aca="false">MOD(ROW()-9,24)</f>
        <v>4</v>
      </c>
      <c r="C12253" s="12"/>
      <c r="D12253" s="13" t="n">
        <f aca="false">IF(B12253&lt;5,Einstellungen!$B$3,Einstellungen!$B$4)</f>
        <v>15.92</v>
      </c>
      <c r="E12253" s="14" t="str">
        <f aca="false">IF(C12253="","",C12253*D12253/100)</f>
        <v/>
      </c>
      <c r="F12253" s="15" t="str">
        <f aca="false">IF(B12253&lt;5,"Go","Standard")</f>
        <v>Go</v>
      </c>
    </row>
    <row r="12254" customFormat="false" ht="15" hidden="false" customHeight="true" outlineLevel="0" collapsed="false">
      <c r="A12254" s="10" t="n">
        <f aca="false">Einstellungen!$B$5+INT((ROW()-9)/24)</f>
        <v>46476</v>
      </c>
      <c r="B12254" s="11" t="n">
        <f aca="false">MOD(ROW()-9,24)</f>
        <v>5</v>
      </c>
      <c r="C12254" s="12"/>
      <c r="D12254" s="13" t="n">
        <f aca="false">IF(B12254&lt;5,Einstellungen!$B$3,Einstellungen!$B$4)</f>
        <v>29.13</v>
      </c>
      <c r="E12254" s="14" t="str">
        <f aca="false">IF(C12254="","",C12254*D12254/100)</f>
        <v/>
      </c>
      <c r="F12254" s="15" t="str">
        <f aca="false">IF(B12254&lt;5,"Go","Standard")</f>
        <v>Standard</v>
      </c>
    </row>
    <row r="12255" customFormat="false" ht="15" hidden="false" customHeight="true" outlineLevel="0" collapsed="false">
      <c r="A12255" s="10" t="n">
        <f aca="false">Einstellungen!$B$5+INT((ROW()-9)/24)</f>
        <v>46476</v>
      </c>
      <c r="B12255" s="11" t="n">
        <f aca="false">MOD(ROW()-9,24)</f>
        <v>6</v>
      </c>
      <c r="C12255" s="12"/>
      <c r="D12255" s="13" t="n">
        <f aca="false">IF(B12255&lt;5,Einstellungen!$B$3,Einstellungen!$B$4)</f>
        <v>29.13</v>
      </c>
      <c r="E12255" s="14" t="str">
        <f aca="false">IF(C12255="","",C12255*D12255/100)</f>
        <v/>
      </c>
      <c r="F12255" s="15" t="str">
        <f aca="false">IF(B12255&lt;5,"Go","Standard")</f>
        <v>Standard</v>
      </c>
    </row>
    <row r="12256" customFormat="false" ht="15" hidden="false" customHeight="true" outlineLevel="0" collapsed="false">
      <c r="A12256" s="10" t="n">
        <f aca="false">Einstellungen!$B$5+INT((ROW()-9)/24)</f>
        <v>46476</v>
      </c>
      <c r="B12256" s="11" t="n">
        <f aca="false">MOD(ROW()-9,24)</f>
        <v>7</v>
      </c>
      <c r="C12256" s="12"/>
      <c r="D12256" s="13" t="n">
        <f aca="false">IF(B12256&lt;5,Einstellungen!$B$3,Einstellungen!$B$4)</f>
        <v>29.13</v>
      </c>
      <c r="E12256" s="14" t="str">
        <f aca="false">IF(C12256="","",C12256*D12256/100)</f>
        <v/>
      </c>
      <c r="F12256" s="15" t="str">
        <f aca="false">IF(B12256&lt;5,"Go","Standard")</f>
        <v>Standard</v>
      </c>
    </row>
    <row r="12257" customFormat="false" ht="15" hidden="false" customHeight="true" outlineLevel="0" collapsed="false">
      <c r="A12257" s="10" t="n">
        <f aca="false">Einstellungen!$B$5+INT((ROW()-9)/24)</f>
        <v>46476</v>
      </c>
      <c r="B12257" s="11" t="n">
        <f aca="false">MOD(ROW()-9,24)</f>
        <v>8</v>
      </c>
      <c r="C12257" s="12"/>
      <c r="D12257" s="13" t="n">
        <f aca="false">IF(B12257&lt;5,Einstellungen!$B$3,Einstellungen!$B$4)</f>
        <v>29.13</v>
      </c>
      <c r="E12257" s="14" t="str">
        <f aca="false">IF(C12257="","",C12257*D12257/100)</f>
        <v/>
      </c>
      <c r="F12257" s="15" t="str">
        <f aca="false">IF(B12257&lt;5,"Go","Standard")</f>
        <v>Standard</v>
      </c>
    </row>
    <row r="12258" customFormat="false" ht="15" hidden="false" customHeight="true" outlineLevel="0" collapsed="false">
      <c r="A12258" s="10" t="n">
        <f aca="false">Einstellungen!$B$5+INT((ROW()-9)/24)</f>
        <v>46476</v>
      </c>
      <c r="B12258" s="11" t="n">
        <f aca="false">MOD(ROW()-9,24)</f>
        <v>9</v>
      </c>
      <c r="C12258" s="12"/>
      <c r="D12258" s="13" t="n">
        <f aca="false">IF(B12258&lt;5,Einstellungen!$B$3,Einstellungen!$B$4)</f>
        <v>29.13</v>
      </c>
      <c r="E12258" s="14" t="str">
        <f aca="false">IF(C12258="","",C12258*D12258/100)</f>
        <v/>
      </c>
      <c r="F12258" s="15" t="str">
        <f aca="false">IF(B12258&lt;5,"Go","Standard")</f>
        <v>Standard</v>
      </c>
    </row>
    <row r="12259" customFormat="false" ht="15" hidden="false" customHeight="true" outlineLevel="0" collapsed="false">
      <c r="A12259" s="10" t="n">
        <f aca="false">Einstellungen!$B$5+INT((ROW()-9)/24)</f>
        <v>46476</v>
      </c>
      <c r="B12259" s="11" t="n">
        <f aca="false">MOD(ROW()-9,24)</f>
        <v>10</v>
      </c>
      <c r="C12259" s="12"/>
      <c r="D12259" s="13" t="n">
        <f aca="false">IF(B12259&lt;5,Einstellungen!$B$3,Einstellungen!$B$4)</f>
        <v>29.13</v>
      </c>
      <c r="E12259" s="14" t="str">
        <f aca="false">IF(C12259="","",C12259*D12259/100)</f>
        <v/>
      </c>
      <c r="F12259" s="15" t="str">
        <f aca="false">IF(B12259&lt;5,"Go","Standard")</f>
        <v>Standard</v>
      </c>
    </row>
    <row r="12260" customFormat="false" ht="15" hidden="false" customHeight="true" outlineLevel="0" collapsed="false">
      <c r="A12260" s="10" t="n">
        <f aca="false">Einstellungen!$B$5+INT((ROW()-9)/24)</f>
        <v>46476</v>
      </c>
      <c r="B12260" s="11" t="n">
        <f aca="false">MOD(ROW()-9,24)</f>
        <v>11</v>
      </c>
      <c r="C12260" s="12"/>
      <c r="D12260" s="13" t="n">
        <f aca="false">IF(B12260&lt;5,Einstellungen!$B$3,Einstellungen!$B$4)</f>
        <v>29.13</v>
      </c>
      <c r="E12260" s="14" t="str">
        <f aca="false">IF(C12260="","",C12260*D12260/100)</f>
        <v/>
      </c>
      <c r="F12260" s="15" t="str">
        <f aca="false">IF(B12260&lt;5,"Go","Standard")</f>
        <v>Standard</v>
      </c>
    </row>
    <row r="12261" customFormat="false" ht="15" hidden="false" customHeight="true" outlineLevel="0" collapsed="false">
      <c r="A12261" s="10" t="n">
        <f aca="false">Einstellungen!$B$5+INT((ROW()-9)/24)</f>
        <v>46476</v>
      </c>
      <c r="B12261" s="11" t="n">
        <f aca="false">MOD(ROW()-9,24)</f>
        <v>12</v>
      </c>
      <c r="C12261" s="12"/>
      <c r="D12261" s="13" t="n">
        <f aca="false">IF(B12261&lt;5,Einstellungen!$B$3,Einstellungen!$B$4)</f>
        <v>29.13</v>
      </c>
      <c r="E12261" s="14" t="str">
        <f aca="false">IF(C12261="","",C12261*D12261/100)</f>
        <v/>
      </c>
      <c r="F12261" s="15" t="str">
        <f aca="false">IF(B12261&lt;5,"Go","Standard")</f>
        <v>Standard</v>
      </c>
    </row>
    <row r="12262" customFormat="false" ht="15" hidden="false" customHeight="true" outlineLevel="0" collapsed="false">
      <c r="A12262" s="10" t="n">
        <f aca="false">Einstellungen!$B$5+INT((ROW()-9)/24)</f>
        <v>46476</v>
      </c>
      <c r="B12262" s="11" t="n">
        <f aca="false">MOD(ROW()-9,24)</f>
        <v>13</v>
      </c>
      <c r="C12262" s="12"/>
      <c r="D12262" s="13" t="n">
        <f aca="false">IF(B12262&lt;5,Einstellungen!$B$3,Einstellungen!$B$4)</f>
        <v>29.13</v>
      </c>
      <c r="E12262" s="14" t="str">
        <f aca="false">IF(C12262="","",C12262*D12262/100)</f>
        <v/>
      </c>
      <c r="F12262" s="15" t="str">
        <f aca="false">IF(B12262&lt;5,"Go","Standard")</f>
        <v>Standard</v>
      </c>
    </row>
    <row r="12263" customFormat="false" ht="15" hidden="false" customHeight="true" outlineLevel="0" collapsed="false">
      <c r="A12263" s="10" t="n">
        <f aca="false">Einstellungen!$B$5+INT((ROW()-9)/24)</f>
        <v>46476</v>
      </c>
      <c r="B12263" s="11" t="n">
        <f aca="false">MOD(ROW()-9,24)</f>
        <v>14</v>
      </c>
      <c r="C12263" s="12"/>
      <c r="D12263" s="13" t="n">
        <f aca="false">IF(B12263&lt;5,Einstellungen!$B$3,Einstellungen!$B$4)</f>
        <v>29.13</v>
      </c>
      <c r="E12263" s="14" t="str">
        <f aca="false">IF(C12263="","",C12263*D12263/100)</f>
        <v/>
      </c>
      <c r="F12263" s="15" t="str">
        <f aca="false">IF(B12263&lt;5,"Go","Standard")</f>
        <v>Standard</v>
      </c>
    </row>
    <row r="12264" customFormat="false" ht="15" hidden="false" customHeight="true" outlineLevel="0" collapsed="false">
      <c r="A12264" s="10" t="n">
        <f aca="false">Einstellungen!$B$5+INT((ROW()-9)/24)</f>
        <v>46476</v>
      </c>
      <c r="B12264" s="11" t="n">
        <f aca="false">MOD(ROW()-9,24)</f>
        <v>15</v>
      </c>
      <c r="C12264" s="12"/>
      <c r="D12264" s="13" t="n">
        <f aca="false">IF(B12264&lt;5,Einstellungen!$B$3,Einstellungen!$B$4)</f>
        <v>29.13</v>
      </c>
      <c r="E12264" s="14" t="str">
        <f aca="false">IF(C12264="","",C12264*D12264/100)</f>
        <v/>
      </c>
      <c r="F12264" s="15" t="str">
        <f aca="false">IF(B12264&lt;5,"Go","Standard")</f>
        <v>Standard</v>
      </c>
    </row>
    <row r="12265" customFormat="false" ht="15" hidden="false" customHeight="true" outlineLevel="0" collapsed="false">
      <c r="A12265" s="10" t="n">
        <f aca="false">Einstellungen!$B$5+INT((ROW()-9)/24)</f>
        <v>46476</v>
      </c>
      <c r="B12265" s="11" t="n">
        <f aca="false">MOD(ROW()-9,24)</f>
        <v>16</v>
      </c>
      <c r="C12265" s="12"/>
      <c r="D12265" s="13" t="n">
        <f aca="false">IF(B12265&lt;5,Einstellungen!$B$3,Einstellungen!$B$4)</f>
        <v>29.13</v>
      </c>
      <c r="E12265" s="14" t="str">
        <f aca="false">IF(C12265="","",C12265*D12265/100)</f>
        <v/>
      </c>
      <c r="F12265" s="15" t="str">
        <f aca="false">IF(B12265&lt;5,"Go","Standard")</f>
        <v>Standard</v>
      </c>
    </row>
    <row r="12266" customFormat="false" ht="15" hidden="false" customHeight="true" outlineLevel="0" collapsed="false">
      <c r="A12266" s="10" t="n">
        <f aca="false">Einstellungen!$B$5+INT((ROW()-9)/24)</f>
        <v>46476</v>
      </c>
      <c r="B12266" s="11" t="n">
        <f aca="false">MOD(ROW()-9,24)</f>
        <v>17</v>
      </c>
      <c r="C12266" s="12"/>
      <c r="D12266" s="13" t="n">
        <f aca="false">IF(B12266&lt;5,Einstellungen!$B$3,Einstellungen!$B$4)</f>
        <v>29.13</v>
      </c>
      <c r="E12266" s="14" t="str">
        <f aca="false">IF(C12266="","",C12266*D12266/100)</f>
        <v/>
      </c>
      <c r="F12266" s="15" t="str">
        <f aca="false">IF(B12266&lt;5,"Go","Standard")</f>
        <v>Standard</v>
      </c>
    </row>
    <row r="12267" customFormat="false" ht="15" hidden="false" customHeight="true" outlineLevel="0" collapsed="false">
      <c r="A12267" s="10" t="n">
        <f aca="false">Einstellungen!$B$5+INT((ROW()-9)/24)</f>
        <v>46476</v>
      </c>
      <c r="B12267" s="11" t="n">
        <f aca="false">MOD(ROW()-9,24)</f>
        <v>18</v>
      </c>
      <c r="C12267" s="12"/>
      <c r="D12267" s="13" t="n">
        <f aca="false">IF(B12267&lt;5,Einstellungen!$B$3,Einstellungen!$B$4)</f>
        <v>29.13</v>
      </c>
      <c r="E12267" s="14" t="str">
        <f aca="false">IF(C12267="","",C12267*D12267/100)</f>
        <v/>
      </c>
      <c r="F12267" s="15" t="str">
        <f aca="false">IF(B12267&lt;5,"Go","Standard")</f>
        <v>Standard</v>
      </c>
    </row>
    <row r="12268" customFormat="false" ht="15" hidden="false" customHeight="true" outlineLevel="0" collapsed="false">
      <c r="A12268" s="10" t="n">
        <f aca="false">Einstellungen!$B$5+INT((ROW()-9)/24)</f>
        <v>46476</v>
      </c>
      <c r="B12268" s="11" t="n">
        <f aca="false">MOD(ROW()-9,24)</f>
        <v>19</v>
      </c>
      <c r="C12268" s="12"/>
      <c r="D12268" s="13" t="n">
        <f aca="false">IF(B12268&lt;5,Einstellungen!$B$3,Einstellungen!$B$4)</f>
        <v>29.13</v>
      </c>
      <c r="E12268" s="14" t="str">
        <f aca="false">IF(C12268="","",C12268*D12268/100)</f>
        <v/>
      </c>
      <c r="F12268" s="15" t="str">
        <f aca="false">IF(B12268&lt;5,"Go","Standard")</f>
        <v>Standard</v>
      </c>
    </row>
    <row r="12269" customFormat="false" ht="15" hidden="false" customHeight="true" outlineLevel="0" collapsed="false">
      <c r="A12269" s="10" t="n">
        <f aca="false">Einstellungen!$B$5+INT((ROW()-9)/24)</f>
        <v>46476</v>
      </c>
      <c r="B12269" s="11" t="n">
        <f aca="false">MOD(ROW()-9,24)</f>
        <v>20</v>
      </c>
      <c r="C12269" s="12"/>
      <c r="D12269" s="13" t="n">
        <f aca="false">IF(B12269&lt;5,Einstellungen!$B$3,Einstellungen!$B$4)</f>
        <v>29.13</v>
      </c>
      <c r="E12269" s="14" t="str">
        <f aca="false">IF(C12269="","",C12269*D12269/100)</f>
        <v/>
      </c>
      <c r="F12269" s="15" t="str">
        <f aca="false">IF(B12269&lt;5,"Go","Standard")</f>
        <v>Standard</v>
      </c>
    </row>
    <row r="12270" customFormat="false" ht="15" hidden="false" customHeight="true" outlineLevel="0" collapsed="false">
      <c r="A12270" s="10" t="n">
        <f aca="false">Einstellungen!$B$5+INT((ROW()-9)/24)</f>
        <v>46476</v>
      </c>
      <c r="B12270" s="11" t="n">
        <f aca="false">MOD(ROW()-9,24)</f>
        <v>21</v>
      </c>
      <c r="C12270" s="12"/>
      <c r="D12270" s="13" t="n">
        <f aca="false">IF(B12270&lt;5,Einstellungen!$B$3,Einstellungen!$B$4)</f>
        <v>29.13</v>
      </c>
      <c r="E12270" s="14" t="str">
        <f aca="false">IF(C12270="","",C12270*D12270/100)</f>
        <v/>
      </c>
      <c r="F12270" s="15" t="str">
        <f aca="false">IF(B12270&lt;5,"Go","Standard")</f>
        <v>Standard</v>
      </c>
    </row>
    <row r="12271" customFormat="false" ht="15" hidden="false" customHeight="true" outlineLevel="0" collapsed="false">
      <c r="A12271" s="10" t="n">
        <f aca="false">Einstellungen!$B$5+INT((ROW()-9)/24)</f>
        <v>46476</v>
      </c>
      <c r="B12271" s="11" t="n">
        <f aca="false">MOD(ROW()-9,24)</f>
        <v>22</v>
      </c>
      <c r="C12271" s="12"/>
      <c r="D12271" s="13" t="n">
        <f aca="false">IF(B12271&lt;5,Einstellungen!$B$3,Einstellungen!$B$4)</f>
        <v>29.13</v>
      </c>
      <c r="E12271" s="14" t="str">
        <f aca="false">IF(C12271="","",C12271*D12271/100)</f>
        <v/>
      </c>
      <c r="F12271" s="15" t="str">
        <f aca="false">IF(B12271&lt;5,"Go","Standard")</f>
        <v>Standard</v>
      </c>
    </row>
    <row r="12272" customFormat="false" ht="15" hidden="false" customHeight="true" outlineLevel="0" collapsed="false">
      <c r="A12272" s="10" t="n">
        <f aca="false">Einstellungen!$B$5+INT((ROW()-9)/24)</f>
        <v>46476</v>
      </c>
      <c r="B12272" s="11" t="n">
        <f aca="false">MOD(ROW()-9,24)</f>
        <v>23</v>
      </c>
      <c r="C12272" s="12"/>
      <c r="D12272" s="13" t="n">
        <f aca="false">IF(B12272&lt;5,Einstellungen!$B$3,Einstellungen!$B$4)</f>
        <v>29.13</v>
      </c>
      <c r="E12272" s="14" t="str">
        <f aca="false">IF(C12272="","",C12272*D12272/100)</f>
        <v/>
      </c>
      <c r="F12272" s="15" t="str">
        <f aca="false">IF(B12272&lt;5,"Go","Standard")</f>
        <v>Standard</v>
      </c>
    </row>
    <row r="12273" customFormat="false" ht="15" hidden="false" customHeight="true" outlineLevel="0" collapsed="false">
      <c r="A12273" s="10" t="n">
        <f aca="false">Einstellungen!$B$5+INT((ROW()-9)/24)</f>
        <v>46477</v>
      </c>
      <c r="B12273" s="11" t="n">
        <f aca="false">MOD(ROW()-9,24)</f>
        <v>0</v>
      </c>
      <c r="C12273" s="12"/>
      <c r="D12273" s="13" t="n">
        <f aca="false">IF(B12273&lt;5,Einstellungen!$B$3,Einstellungen!$B$4)</f>
        <v>15.92</v>
      </c>
      <c r="E12273" s="14" t="str">
        <f aca="false">IF(C12273="","",C12273*D12273/100)</f>
        <v/>
      </c>
      <c r="F12273" s="15" t="str">
        <f aca="false">IF(B12273&lt;5,"Go","Standard")</f>
        <v>Go</v>
      </c>
    </row>
    <row r="12274" customFormat="false" ht="15" hidden="false" customHeight="true" outlineLevel="0" collapsed="false">
      <c r="A12274" s="10" t="n">
        <f aca="false">Einstellungen!$B$5+INT((ROW()-9)/24)</f>
        <v>46477</v>
      </c>
      <c r="B12274" s="11" t="n">
        <f aca="false">MOD(ROW()-9,24)</f>
        <v>1</v>
      </c>
      <c r="C12274" s="12"/>
      <c r="D12274" s="13" t="n">
        <f aca="false">IF(B12274&lt;5,Einstellungen!$B$3,Einstellungen!$B$4)</f>
        <v>15.92</v>
      </c>
      <c r="E12274" s="14" t="str">
        <f aca="false">IF(C12274="","",C12274*D12274/100)</f>
        <v/>
      </c>
      <c r="F12274" s="15" t="str">
        <f aca="false">IF(B12274&lt;5,"Go","Standard")</f>
        <v>Go</v>
      </c>
    </row>
    <row r="12275" customFormat="false" ht="15" hidden="false" customHeight="true" outlineLevel="0" collapsed="false">
      <c r="A12275" s="10" t="n">
        <f aca="false">Einstellungen!$B$5+INT((ROW()-9)/24)</f>
        <v>46477</v>
      </c>
      <c r="B12275" s="11" t="n">
        <f aca="false">MOD(ROW()-9,24)</f>
        <v>2</v>
      </c>
      <c r="C12275" s="12"/>
      <c r="D12275" s="13" t="n">
        <f aca="false">IF(B12275&lt;5,Einstellungen!$B$3,Einstellungen!$B$4)</f>
        <v>15.92</v>
      </c>
      <c r="E12275" s="14" t="str">
        <f aca="false">IF(C12275="","",C12275*D12275/100)</f>
        <v/>
      </c>
      <c r="F12275" s="15" t="str">
        <f aca="false">IF(B12275&lt;5,"Go","Standard")</f>
        <v>Go</v>
      </c>
    </row>
    <row r="12276" customFormat="false" ht="15" hidden="false" customHeight="true" outlineLevel="0" collapsed="false">
      <c r="A12276" s="10" t="n">
        <f aca="false">Einstellungen!$B$5+INT((ROW()-9)/24)</f>
        <v>46477</v>
      </c>
      <c r="B12276" s="11" t="n">
        <f aca="false">MOD(ROW()-9,24)</f>
        <v>3</v>
      </c>
      <c r="C12276" s="12"/>
      <c r="D12276" s="13" t="n">
        <f aca="false">IF(B12276&lt;5,Einstellungen!$B$3,Einstellungen!$B$4)</f>
        <v>15.92</v>
      </c>
      <c r="E12276" s="14" t="str">
        <f aca="false">IF(C12276="","",C12276*D12276/100)</f>
        <v/>
      </c>
      <c r="F12276" s="15" t="str">
        <f aca="false">IF(B12276&lt;5,"Go","Standard")</f>
        <v>Go</v>
      </c>
    </row>
    <row r="12277" customFormat="false" ht="15" hidden="false" customHeight="true" outlineLevel="0" collapsed="false">
      <c r="A12277" s="10" t="n">
        <f aca="false">Einstellungen!$B$5+INT((ROW()-9)/24)</f>
        <v>46477</v>
      </c>
      <c r="B12277" s="11" t="n">
        <f aca="false">MOD(ROW()-9,24)</f>
        <v>4</v>
      </c>
      <c r="C12277" s="12"/>
      <c r="D12277" s="13" t="n">
        <f aca="false">IF(B12277&lt;5,Einstellungen!$B$3,Einstellungen!$B$4)</f>
        <v>15.92</v>
      </c>
      <c r="E12277" s="14" t="str">
        <f aca="false">IF(C12277="","",C12277*D12277/100)</f>
        <v/>
      </c>
      <c r="F12277" s="15" t="str">
        <f aca="false">IF(B12277&lt;5,"Go","Standard")</f>
        <v>Go</v>
      </c>
    </row>
    <row r="12278" customFormat="false" ht="15" hidden="false" customHeight="true" outlineLevel="0" collapsed="false">
      <c r="A12278" s="10" t="n">
        <f aca="false">Einstellungen!$B$5+INT((ROW()-9)/24)</f>
        <v>46477</v>
      </c>
      <c r="B12278" s="11" t="n">
        <f aca="false">MOD(ROW()-9,24)</f>
        <v>5</v>
      </c>
      <c r="C12278" s="12"/>
      <c r="D12278" s="13" t="n">
        <f aca="false">IF(B12278&lt;5,Einstellungen!$B$3,Einstellungen!$B$4)</f>
        <v>29.13</v>
      </c>
      <c r="E12278" s="14" t="str">
        <f aca="false">IF(C12278="","",C12278*D12278/100)</f>
        <v/>
      </c>
      <c r="F12278" s="15" t="str">
        <f aca="false">IF(B12278&lt;5,"Go","Standard")</f>
        <v>Standard</v>
      </c>
    </row>
    <row r="12279" customFormat="false" ht="15" hidden="false" customHeight="true" outlineLevel="0" collapsed="false">
      <c r="A12279" s="10" t="n">
        <f aca="false">Einstellungen!$B$5+INT((ROW()-9)/24)</f>
        <v>46477</v>
      </c>
      <c r="B12279" s="11" t="n">
        <f aca="false">MOD(ROW()-9,24)</f>
        <v>6</v>
      </c>
      <c r="C12279" s="12"/>
      <c r="D12279" s="13" t="n">
        <f aca="false">IF(B12279&lt;5,Einstellungen!$B$3,Einstellungen!$B$4)</f>
        <v>29.13</v>
      </c>
      <c r="E12279" s="14" t="str">
        <f aca="false">IF(C12279="","",C12279*D12279/100)</f>
        <v/>
      </c>
      <c r="F12279" s="15" t="str">
        <f aca="false">IF(B12279&lt;5,"Go","Standard")</f>
        <v>Standard</v>
      </c>
    </row>
    <row r="12280" customFormat="false" ht="15" hidden="false" customHeight="true" outlineLevel="0" collapsed="false">
      <c r="A12280" s="10" t="n">
        <f aca="false">Einstellungen!$B$5+INT((ROW()-9)/24)</f>
        <v>46477</v>
      </c>
      <c r="B12280" s="11" t="n">
        <f aca="false">MOD(ROW()-9,24)</f>
        <v>7</v>
      </c>
      <c r="C12280" s="12"/>
      <c r="D12280" s="13" t="n">
        <f aca="false">IF(B12280&lt;5,Einstellungen!$B$3,Einstellungen!$B$4)</f>
        <v>29.13</v>
      </c>
      <c r="E12280" s="14" t="str">
        <f aca="false">IF(C12280="","",C12280*D12280/100)</f>
        <v/>
      </c>
      <c r="F12280" s="15" t="str">
        <f aca="false">IF(B12280&lt;5,"Go","Standard")</f>
        <v>Standard</v>
      </c>
    </row>
    <row r="12281" customFormat="false" ht="15" hidden="false" customHeight="true" outlineLevel="0" collapsed="false">
      <c r="A12281" s="10" t="n">
        <f aca="false">Einstellungen!$B$5+INT((ROW()-9)/24)</f>
        <v>46477</v>
      </c>
      <c r="B12281" s="11" t="n">
        <f aca="false">MOD(ROW()-9,24)</f>
        <v>8</v>
      </c>
      <c r="C12281" s="12"/>
      <c r="D12281" s="13" t="n">
        <f aca="false">IF(B12281&lt;5,Einstellungen!$B$3,Einstellungen!$B$4)</f>
        <v>29.13</v>
      </c>
      <c r="E12281" s="14" t="str">
        <f aca="false">IF(C12281="","",C12281*D12281/100)</f>
        <v/>
      </c>
      <c r="F12281" s="15" t="str">
        <f aca="false">IF(B12281&lt;5,"Go","Standard")</f>
        <v>Standard</v>
      </c>
    </row>
    <row r="12282" customFormat="false" ht="15" hidden="false" customHeight="true" outlineLevel="0" collapsed="false">
      <c r="A12282" s="10" t="n">
        <f aca="false">Einstellungen!$B$5+INT((ROW()-9)/24)</f>
        <v>46477</v>
      </c>
      <c r="B12282" s="11" t="n">
        <f aca="false">MOD(ROW()-9,24)</f>
        <v>9</v>
      </c>
      <c r="C12282" s="12"/>
      <c r="D12282" s="13" t="n">
        <f aca="false">IF(B12282&lt;5,Einstellungen!$B$3,Einstellungen!$B$4)</f>
        <v>29.13</v>
      </c>
      <c r="E12282" s="14" t="str">
        <f aca="false">IF(C12282="","",C12282*D12282/100)</f>
        <v/>
      </c>
      <c r="F12282" s="15" t="str">
        <f aca="false">IF(B12282&lt;5,"Go","Standard")</f>
        <v>Standard</v>
      </c>
    </row>
    <row r="12283" customFormat="false" ht="15" hidden="false" customHeight="true" outlineLevel="0" collapsed="false">
      <c r="A12283" s="10" t="n">
        <f aca="false">Einstellungen!$B$5+INT((ROW()-9)/24)</f>
        <v>46477</v>
      </c>
      <c r="B12283" s="11" t="n">
        <f aca="false">MOD(ROW()-9,24)</f>
        <v>10</v>
      </c>
      <c r="C12283" s="12"/>
      <c r="D12283" s="13" t="n">
        <f aca="false">IF(B12283&lt;5,Einstellungen!$B$3,Einstellungen!$B$4)</f>
        <v>29.13</v>
      </c>
      <c r="E12283" s="14" t="str">
        <f aca="false">IF(C12283="","",C12283*D12283/100)</f>
        <v/>
      </c>
      <c r="F12283" s="15" t="str">
        <f aca="false">IF(B12283&lt;5,"Go","Standard")</f>
        <v>Standard</v>
      </c>
    </row>
    <row r="12284" customFormat="false" ht="15" hidden="false" customHeight="true" outlineLevel="0" collapsed="false">
      <c r="A12284" s="10" t="n">
        <f aca="false">Einstellungen!$B$5+INT((ROW()-9)/24)</f>
        <v>46477</v>
      </c>
      <c r="B12284" s="11" t="n">
        <f aca="false">MOD(ROW()-9,24)</f>
        <v>11</v>
      </c>
      <c r="C12284" s="12"/>
      <c r="D12284" s="13" t="n">
        <f aca="false">IF(B12284&lt;5,Einstellungen!$B$3,Einstellungen!$B$4)</f>
        <v>29.13</v>
      </c>
      <c r="E12284" s="14" t="str">
        <f aca="false">IF(C12284="","",C12284*D12284/100)</f>
        <v/>
      </c>
      <c r="F12284" s="15" t="str">
        <f aca="false">IF(B12284&lt;5,"Go","Standard")</f>
        <v>Standard</v>
      </c>
    </row>
    <row r="12285" customFormat="false" ht="15" hidden="false" customHeight="true" outlineLevel="0" collapsed="false">
      <c r="A12285" s="10" t="n">
        <f aca="false">Einstellungen!$B$5+INT((ROW()-9)/24)</f>
        <v>46477</v>
      </c>
      <c r="B12285" s="11" t="n">
        <f aca="false">MOD(ROW()-9,24)</f>
        <v>12</v>
      </c>
      <c r="C12285" s="12"/>
      <c r="D12285" s="13" t="n">
        <f aca="false">IF(B12285&lt;5,Einstellungen!$B$3,Einstellungen!$B$4)</f>
        <v>29.13</v>
      </c>
      <c r="E12285" s="14" t="str">
        <f aca="false">IF(C12285="","",C12285*D12285/100)</f>
        <v/>
      </c>
      <c r="F12285" s="15" t="str">
        <f aca="false">IF(B12285&lt;5,"Go","Standard")</f>
        <v>Standard</v>
      </c>
    </row>
    <row r="12286" customFormat="false" ht="15" hidden="false" customHeight="true" outlineLevel="0" collapsed="false">
      <c r="A12286" s="10" t="n">
        <f aca="false">Einstellungen!$B$5+INT((ROW()-9)/24)</f>
        <v>46477</v>
      </c>
      <c r="B12286" s="11" t="n">
        <f aca="false">MOD(ROW()-9,24)</f>
        <v>13</v>
      </c>
      <c r="C12286" s="12"/>
      <c r="D12286" s="13" t="n">
        <f aca="false">IF(B12286&lt;5,Einstellungen!$B$3,Einstellungen!$B$4)</f>
        <v>29.13</v>
      </c>
      <c r="E12286" s="14" t="str">
        <f aca="false">IF(C12286="","",C12286*D12286/100)</f>
        <v/>
      </c>
      <c r="F12286" s="15" t="str">
        <f aca="false">IF(B12286&lt;5,"Go","Standard")</f>
        <v>Standard</v>
      </c>
    </row>
    <row r="12287" customFormat="false" ht="15" hidden="false" customHeight="true" outlineLevel="0" collapsed="false">
      <c r="A12287" s="10" t="n">
        <f aca="false">Einstellungen!$B$5+INT((ROW()-9)/24)</f>
        <v>46477</v>
      </c>
      <c r="B12287" s="11" t="n">
        <f aca="false">MOD(ROW()-9,24)</f>
        <v>14</v>
      </c>
      <c r="C12287" s="12"/>
      <c r="D12287" s="13" t="n">
        <f aca="false">IF(B12287&lt;5,Einstellungen!$B$3,Einstellungen!$B$4)</f>
        <v>29.13</v>
      </c>
      <c r="E12287" s="14" t="str">
        <f aca="false">IF(C12287="","",C12287*D12287/100)</f>
        <v/>
      </c>
      <c r="F12287" s="15" t="str">
        <f aca="false">IF(B12287&lt;5,"Go","Standard")</f>
        <v>Standard</v>
      </c>
    </row>
    <row r="12288" customFormat="false" ht="15" hidden="false" customHeight="true" outlineLevel="0" collapsed="false">
      <c r="A12288" s="10" t="n">
        <f aca="false">Einstellungen!$B$5+INT((ROW()-9)/24)</f>
        <v>46477</v>
      </c>
      <c r="B12288" s="11" t="n">
        <f aca="false">MOD(ROW()-9,24)</f>
        <v>15</v>
      </c>
      <c r="C12288" s="12"/>
      <c r="D12288" s="13" t="n">
        <f aca="false">IF(B12288&lt;5,Einstellungen!$B$3,Einstellungen!$B$4)</f>
        <v>29.13</v>
      </c>
      <c r="E12288" s="14" t="str">
        <f aca="false">IF(C12288="","",C12288*D12288/100)</f>
        <v/>
      </c>
      <c r="F12288" s="15" t="str">
        <f aca="false">IF(B12288&lt;5,"Go","Standard")</f>
        <v>Standard</v>
      </c>
    </row>
    <row r="12289" customFormat="false" ht="15" hidden="false" customHeight="true" outlineLevel="0" collapsed="false">
      <c r="A12289" s="10" t="n">
        <f aca="false">Einstellungen!$B$5+INT((ROW()-9)/24)</f>
        <v>46477</v>
      </c>
      <c r="B12289" s="11" t="n">
        <f aca="false">MOD(ROW()-9,24)</f>
        <v>16</v>
      </c>
      <c r="C12289" s="12"/>
      <c r="D12289" s="13" t="n">
        <f aca="false">IF(B12289&lt;5,Einstellungen!$B$3,Einstellungen!$B$4)</f>
        <v>29.13</v>
      </c>
      <c r="E12289" s="14" t="str">
        <f aca="false">IF(C12289="","",C12289*D12289/100)</f>
        <v/>
      </c>
      <c r="F12289" s="15" t="str">
        <f aca="false">IF(B12289&lt;5,"Go","Standard")</f>
        <v>Standard</v>
      </c>
    </row>
    <row r="12290" customFormat="false" ht="15" hidden="false" customHeight="true" outlineLevel="0" collapsed="false">
      <c r="A12290" s="10" t="n">
        <f aca="false">Einstellungen!$B$5+INT((ROW()-9)/24)</f>
        <v>46477</v>
      </c>
      <c r="B12290" s="11" t="n">
        <f aca="false">MOD(ROW()-9,24)</f>
        <v>17</v>
      </c>
      <c r="C12290" s="12"/>
      <c r="D12290" s="13" t="n">
        <f aca="false">IF(B12290&lt;5,Einstellungen!$B$3,Einstellungen!$B$4)</f>
        <v>29.13</v>
      </c>
      <c r="E12290" s="14" t="str">
        <f aca="false">IF(C12290="","",C12290*D12290/100)</f>
        <v/>
      </c>
      <c r="F12290" s="15" t="str">
        <f aca="false">IF(B12290&lt;5,"Go","Standard")</f>
        <v>Standard</v>
      </c>
    </row>
    <row r="12291" customFormat="false" ht="15" hidden="false" customHeight="true" outlineLevel="0" collapsed="false">
      <c r="A12291" s="10" t="n">
        <f aca="false">Einstellungen!$B$5+INT((ROW()-9)/24)</f>
        <v>46477</v>
      </c>
      <c r="B12291" s="11" t="n">
        <f aca="false">MOD(ROW()-9,24)</f>
        <v>18</v>
      </c>
      <c r="C12291" s="12"/>
      <c r="D12291" s="13" t="n">
        <f aca="false">IF(B12291&lt;5,Einstellungen!$B$3,Einstellungen!$B$4)</f>
        <v>29.13</v>
      </c>
      <c r="E12291" s="14" t="str">
        <f aca="false">IF(C12291="","",C12291*D12291/100)</f>
        <v/>
      </c>
      <c r="F12291" s="15" t="str">
        <f aca="false">IF(B12291&lt;5,"Go","Standard")</f>
        <v>Standard</v>
      </c>
    </row>
    <row r="12292" customFormat="false" ht="15" hidden="false" customHeight="true" outlineLevel="0" collapsed="false">
      <c r="A12292" s="10" t="n">
        <f aca="false">Einstellungen!$B$5+INT((ROW()-9)/24)</f>
        <v>46477</v>
      </c>
      <c r="B12292" s="11" t="n">
        <f aca="false">MOD(ROW()-9,24)</f>
        <v>19</v>
      </c>
      <c r="C12292" s="12"/>
      <c r="D12292" s="13" t="n">
        <f aca="false">IF(B12292&lt;5,Einstellungen!$B$3,Einstellungen!$B$4)</f>
        <v>29.13</v>
      </c>
      <c r="E12292" s="14" t="str">
        <f aca="false">IF(C12292="","",C12292*D12292/100)</f>
        <v/>
      </c>
      <c r="F12292" s="15" t="str">
        <f aca="false">IF(B12292&lt;5,"Go","Standard")</f>
        <v>Standard</v>
      </c>
    </row>
    <row r="12293" customFormat="false" ht="15" hidden="false" customHeight="true" outlineLevel="0" collapsed="false">
      <c r="A12293" s="10" t="n">
        <f aca="false">Einstellungen!$B$5+INT((ROW()-9)/24)</f>
        <v>46477</v>
      </c>
      <c r="B12293" s="11" t="n">
        <f aca="false">MOD(ROW()-9,24)</f>
        <v>20</v>
      </c>
      <c r="C12293" s="12"/>
      <c r="D12293" s="13" t="n">
        <f aca="false">IF(B12293&lt;5,Einstellungen!$B$3,Einstellungen!$B$4)</f>
        <v>29.13</v>
      </c>
      <c r="E12293" s="14" t="str">
        <f aca="false">IF(C12293="","",C12293*D12293/100)</f>
        <v/>
      </c>
      <c r="F12293" s="15" t="str">
        <f aca="false">IF(B12293&lt;5,"Go","Standard")</f>
        <v>Standard</v>
      </c>
    </row>
    <row r="12294" customFormat="false" ht="15" hidden="false" customHeight="true" outlineLevel="0" collapsed="false">
      <c r="A12294" s="10" t="n">
        <f aca="false">Einstellungen!$B$5+INT((ROW()-9)/24)</f>
        <v>46477</v>
      </c>
      <c r="B12294" s="11" t="n">
        <f aca="false">MOD(ROW()-9,24)</f>
        <v>21</v>
      </c>
      <c r="C12294" s="12"/>
      <c r="D12294" s="13" t="n">
        <f aca="false">IF(B12294&lt;5,Einstellungen!$B$3,Einstellungen!$B$4)</f>
        <v>29.13</v>
      </c>
      <c r="E12294" s="14" t="str">
        <f aca="false">IF(C12294="","",C12294*D12294/100)</f>
        <v/>
      </c>
      <c r="F12294" s="15" t="str">
        <f aca="false">IF(B12294&lt;5,"Go","Standard")</f>
        <v>Standard</v>
      </c>
    </row>
    <row r="12295" customFormat="false" ht="15" hidden="false" customHeight="true" outlineLevel="0" collapsed="false">
      <c r="A12295" s="10" t="n">
        <f aca="false">Einstellungen!$B$5+INT((ROW()-9)/24)</f>
        <v>46477</v>
      </c>
      <c r="B12295" s="11" t="n">
        <f aca="false">MOD(ROW()-9,24)</f>
        <v>22</v>
      </c>
      <c r="C12295" s="12"/>
      <c r="D12295" s="13" t="n">
        <f aca="false">IF(B12295&lt;5,Einstellungen!$B$3,Einstellungen!$B$4)</f>
        <v>29.13</v>
      </c>
      <c r="E12295" s="14" t="str">
        <f aca="false">IF(C12295="","",C12295*D12295/100)</f>
        <v/>
      </c>
      <c r="F12295" s="15" t="str">
        <f aca="false">IF(B12295&lt;5,"Go","Standard")</f>
        <v>Standard</v>
      </c>
    </row>
    <row r="12296" customFormat="false" ht="15" hidden="false" customHeight="true" outlineLevel="0" collapsed="false">
      <c r="A12296" s="10" t="n">
        <f aca="false">Einstellungen!$B$5+INT((ROW()-9)/24)</f>
        <v>46477</v>
      </c>
      <c r="B12296" s="11" t="n">
        <f aca="false">MOD(ROW()-9,24)</f>
        <v>23</v>
      </c>
      <c r="C12296" s="12"/>
      <c r="D12296" s="13" t="n">
        <f aca="false">IF(B12296&lt;5,Einstellungen!$B$3,Einstellungen!$B$4)</f>
        <v>29.13</v>
      </c>
      <c r="E12296" s="14" t="str">
        <f aca="false">IF(C12296="","",C12296*D12296/100)</f>
        <v/>
      </c>
      <c r="F12296" s="15" t="str">
        <f aca="false">IF(B12296&lt;5,"Go","Standard")</f>
        <v>Standard</v>
      </c>
    </row>
    <row r="12297" customFormat="false" ht="15" hidden="false" customHeight="true" outlineLevel="0" collapsed="false">
      <c r="A12297" s="10" t="n">
        <f aca="false">Einstellungen!$B$5+INT((ROW()-9)/24)</f>
        <v>46478</v>
      </c>
      <c r="B12297" s="11" t="n">
        <f aca="false">MOD(ROW()-9,24)</f>
        <v>0</v>
      </c>
      <c r="C12297" s="12"/>
      <c r="D12297" s="13" t="n">
        <f aca="false">IF(B12297&lt;5,Einstellungen!$B$3,Einstellungen!$B$4)</f>
        <v>15.92</v>
      </c>
      <c r="E12297" s="14" t="str">
        <f aca="false">IF(C12297="","",C12297*D12297/100)</f>
        <v/>
      </c>
      <c r="F12297" s="15" t="str">
        <f aca="false">IF(B12297&lt;5,"Go","Standard")</f>
        <v>Go</v>
      </c>
    </row>
    <row r="12298" customFormat="false" ht="15" hidden="false" customHeight="true" outlineLevel="0" collapsed="false">
      <c r="A12298" s="10" t="n">
        <f aca="false">Einstellungen!$B$5+INT((ROW()-9)/24)</f>
        <v>46478</v>
      </c>
      <c r="B12298" s="11" t="n">
        <f aca="false">MOD(ROW()-9,24)</f>
        <v>1</v>
      </c>
      <c r="C12298" s="12"/>
      <c r="D12298" s="13" t="n">
        <f aca="false">IF(B12298&lt;5,Einstellungen!$B$3,Einstellungen!$B$4)</f>
        <v>15.92</v>
      </c>
      <c r="E12298" s="14" t="str">
        <f aca="false">IF(C12298="","",C12298*D12298/100)</f>
        <v/>
      </c>
      <c r="F12298" s="15" t="str">
        <f aca="false">IF(B12298&lt;5,"Go","Standard")</f>
        <v>Go</v>
      </c>
    </row>
    <row r="12299" customFormat="false" ht="15" hidden="false" customHeight="true" outlineLevel="0" collapsed="false">
      <c r="A12299" s="10" t="n">
        <f aca="false">Einstellungen!$B$5+INT((ROW()-9)/24)</f>
        <v>46478</v>
      </c>
      <c r="B12299" s="11" t="n">
        <f aca="false">MOD(ROW()-9,24)</f>
        <v>2</v>
      </c>
      <c r="C12299" s="12"/>
      <c r="D12299" s="13" t="n">
        <f aca="false">IF(B12299&lt;5,Einstellungen!$B$3,Einstellungen!$B$4)</f>
        <v>15.92</v>
      </c>
      <c r="E12299" s="14" t="str">
        <f aca="false">IF(C12299="","",C12299*D12299/100)</f>
        <v/>
      </c>
      <c r="F12299" s="15" t="str">
        <f aca="false">IF(B12299&lt;5,"Go","Standard")</f>
        <v>Go</v>
      </c>
    </row>
    <row r="12300" customFormat="false" ht="15" hidden="false" customHeight="true" outlineLevel="0" collapsed="false">
      <c r="A12300" s="10" t="n">
        <f aca="false">Einstellungen!$B$5+INT((ROW()-9)/24)</f>
        <v>46478</v>
      </c>
      <c r="B12300" s="11" t="n">
        <f aca="false">MOD(ROW()-9,24)</f>
        <v>3</v>
      </c>
      <c r="C12300" s="12"/>
      <c r="D12300" s="13" t="n">
        <f aca="false">IF(B12300&lt;5,Einstellungen!$B$3,Einstellungen!$B$4)</f>
        <v>15.92</v>
      </c>
      <c r="E12300" s="14" t="str">
        <f aca="false">IF(C12300="","",C12300*D12300/100)</f>
        <v/>
      </c>
      <c r="F12300" s="15" t="str">
        <f aca="false">IF(B12300&lt;5,"Go","Standard")</f>
        <v>Go</v>
      </c>
    </row>
    <row r="12301" customFormat="false" ht="15" hidden="false" customHeight="true" outlineLevel="0" collapsed="false">
      <c r="A12301" s="10" t="n">
        <f aca="false">Einstellungen!$B$5+INT((ROW()-9)/24)</f>
        <v>46478</v>
      </c>
      <c r="B12301" s="11" t="n">
        <f aca="false">MOD(ROW()-9,24)</f>
        <v>4</v>
      </c>
      <c r="C12301" s="12"/>
      <c r="D12301" s="13" t="n">
        <f aca="false">IF(B12301&lt;5,Einstellungen!$B$3,Einstellungen!$B$4)</f>
        <v>15.92</v>
      </c>
      <c r="E12301" s="14" t="str">
        <f aca="false">IF(C12301="","",C12301*D12301/100)</f>
        <v/>
      </c>
      <c r="F12301" s="15" t="str">
        <f aca="false">IF(B12301&lt;5,"Go","Standard")</f>
        <v>Go</v>
      </c>
    </row>
    <row r="12302" customFormat="false" ht="15" hidden="false" customHeight="true" outlineLevel="0" collapsed="false">
      <c r="A12302" s="10" t="n">
        <f aca="false">Einstellungen!$B$5+INT((ROW()-9)/24)</f>
        <v>46478</v>
      </c>
      <c r="B12302" s="11" t="n">
        <f aca="false">MOD(ROW()-9,24)</f>
        <v>5</v>
      </c>
      <c r="C12302" s="12"/>
      <c r="D12302" s="13" t="n">
        <f aca="false">IF(B12302&lt;5,Einstellungen!$B$3,Einstellungen!$B$4)</f>
        <v>29.13</v>
      </c>
      <c r="E12302" s="14" t="str">
        <f aca="false">IF(C12302="","",C12302*D12302/100)</f>
        <v/>
      </c>
      <c r="F12302" s="15" t="str">
        <f aca="false">IF(B12302&lt;5,"Go","Standard")</f>
        <v>Standard</v>
      </c>
    </row>
    <row r="12303" customFormat="false" ht="15" hidden="false" customHeight="true" outlineLevel="0" collapsed="false">
      <c r="A12303" s="10" t="n">
        <f aca="false">Einstellungen!$B$5+INT((ROW()-9)/24)</f>
        <v>46478</v>
      </c>
      <c r="B12303" s="11" t="n">
        <f aca="false">MOD(ROW()-9,24)</f>
        <v>6</v>
      </c>
      <c r="C12303" s="12"/>
      <c r="D12303" s="13" t="n">
        <f aca="false">IF(B12303&lt;5,Einstellungen!$B$3,Einstellungen!$B$4)</f>
        <v>29.13</v>
      </c>
      <c r="E12303" s="14" t="str">
        <f aca="false">IF(C12303="","",C12303*D12303/100)</f>
        <v/>
      </c>
      <c r="F12303" s="15" t="str">
        <f aca="false">IF(B12303&lt;5,"Go","Standard")</f>
        <v>Standard</v>
      </c>
    </row>
    <row r="12304" customFormat="false" ht="15" hidden="false" customHeight="true" outlineLevel="0" collapsed="false">
      <c r="A12304" s="10" t="n">
        <f aca="false">Einstellungen!$B$5+INT((ROW()-9)/24)</f>
        <v>46478</v>
      </c>
      <c r="B12304" s="11" t="n">
        <f aca="false">MOD(ROW()-9,24)</f>
        <v>7</v>
      </c>
      <c r="C12304" s="12"/>
      <c r="D12304" s="13" t="n">
        <f aca="false">IF(B12304&lt;5,Einstellungen!$B$3,Einstellungen!$B$4)</f>
        <v>29.13</v>
      </c>
      <c r="E12304" s="14" t="str">
        <f aca="false">IF(C12304="","",C12304*D12304/100)</f>
        <v/>
      </c>
      <c r="F12304" s="15" t="str">
        <f aca="false">IF(B12304&lt;5,"Go","Standard")</f>
        <v>Standard</v>
      </c>
    </row>
    <row r="12305" customFormat="false" ht="15" hidden="false" customHeight="true" outlineLevel="0" collapsed="false">
      <c r="A12305" s="10" t="n">
        <f aca="false">Einstellungen!$B$5+INT((ROW()-9)/24)</f>
        <v>46478</v>
      </c>
      <c r="B12305" s="11" t="n">
        <f aca="false">MOD(ROW()-9,24)</f>
        <v>8</v>
      </c>
      <c r="C12305" s="12"/>
      <c r="D12305" s="13" t="n">
        <f aca="false">IF(B12305&lt;5,Einstellungen!$B$3,Einstellungen!$B$4)</f>
        <v>29.13</v>
      </c>
      <c r="E12305" s="14" t="str">
        <f aca="false">IF(C12305="","",C12305*D12305/100)</f>
        <v/>
      </c>
      <c r="F12305" s="15" t="str">
        <f aca="false">IF(B12305&lt;5,"Go","Standard")</f>
        <v>Standard</v>
      </c>
    </row>
    <row r="12306" customFormat="false" ht="15" hidden="false" customHeight="true" outlineLevel="0" collapsed="false">
      <c r="A12306" s="10" t="n">
        <f aca="false">Einstellungen!$B$5+INT((ROW()-9)/24)</f>
        <v>46478</v>
      </c>
      <c r="B12306" s="11" t="n">
        <f aca="false">MOD(ROW()-9,24)</f>
        <v>9</v>
      </c>
      <c r="C12306" s="12"/>
      <c r="D12306" s="13" t="n">
        <f aca="false">IF(B12306&lt;5,Einstellungen!$B$3,Einstellungen!$B$4)</f>
        <v>29.13</v>
      </c>
      <c r="E12306" s="14" t="str">
        <f aca="false">IF(C12306="","",C12306*D12306/100)</f>
        <v/>
      </c>
      <c r="F12306" s="15" t="str">
        <f aca="false">IF(B12306&lt;5,"Go","Standard")</f>
        <v>Standard</v>
      </c>
    </row>
    <row r="12307" customFormat="false" ht="15" hidden="false" customHeight="true" outlineLevel="0" collapsed="false">
      <c r="A12307" s="10" t="n">
        <f aca="false">Einstellungen!$B$5+INT((ROW()-9)/24)</f>
        <v>46478</v>
      </c>
      <c r="B12307" s="11" t="n">
        <f aca="false">MOD(ROW()-9,24)</f>
        <v>10</v>
      </c>
      <c r="C12307" s="12"/>
      <c r="D12307" s="13" t="n">
        <f aca="false">IF(B12307&lt;5,Einstellungen!$B$3,Einstellungen!$B$4)</f>
        <v>29.13</v>
      </c>
      <c r="E12307" s="14" t="str">
        <f aca="false">IF(C12307="","",C12307*D12307/100)</f>
        <v/>
      </c>
      <c r="F12307" s="15" t="str">
        <f aca="false">IF(B12307&lt;5,"Go","Standard")</f>
        <v>Standard</v>
      </c>
    </row>
    <row r="12308" customFormat="false" ht="15" hidden="false" customHeight="true" outlineLevel="0" collapsed="false">
      <c r="A12308" s="10" t="n">
        <f aca="false">Einstellungen!$B$5+INT((ROW()-9)/24)</f>
        <v>46478</v>
      </c>
      <c r="B12308" s="11" t="n">
        <f aca="false">MOD(ROW()-9,24)</f>
        <v>11</v>
      </c>
      <c r="C12308" s="12"/>
      <c r="D12308" s="13" t="n">
        <f aca="false">IF(B12308&lt;5,Einstellungen!$B$3,Einstellungen!$B$4)</f>
        <v>29.13</v>
      </c>
      <c r="E12308" s="14" t="str">
        <f aca="false">IF(C12308="","",C12308*D12308/100)</f>
        <v/>
      </c>
      <c r="F12308" s="15" t="str">
        <f aca="false">IF(B12308&lt;5,"Go","Standard")</f>
        <v>Standard</v>
      </c>
    </row>
    <row r="12309" customFormat="false" ht="15" hidden="false" customHeight="true" outlineLevel="0" collapsed="false">
      <c r="A12309" s="10" t="n">
        <f aca="false">Einstellungen!$B$5+INT((ROW()-9)/24)</f>
        <v>46478</v>
      </c>
      <c r="B12309" s="11" t="n">
        <f aca="false">MOD(ROW()-9,24)</f>
        <v>12</v>
      </c>
      <c r="C12309" s="12"/>
      <c r="D12309" s="13" t="n">
        <f aca="false">IF(B12309&lt;5,Einstellungen!$B$3,Einstellungen!$B$4)</f>
        <v>29.13</v>
      </c>
      <c r="E12309" s="14" t="str">
        <f aca="false">IF(C12309="","",C12309*D12309/100)</f>
        <v/>
      </c>
      <c r="F12309" s="15" t="str">
        <f aca="false">IF(B12309&lt;5,"Go","Standard")</f>
        <v>Standard</v>
      </c>
    </row>
    <row r="12310" customFormat="false" ht="15" hidden="false" customHeight="true" outlineLevel="0" collapsed="false">
      <c r="A12310" s="10" t="n">
        <f aca="false">Einstellungen!$B$5+INT((ROW()-9)/24)</f>
        <v>46478</v>
      </c>
      <c r="B12310" s="11" t="n">
        <f aca="false">MOD(ROW()-9,24)</f>
        <v>13</v>
      </c>
      <c r="C12310" s="12"/>
      <c r="D12310" s="13" t="n">
        <f aca="false">IF(B12310&lt;5,Einstellungen!$B$3,Einstellungen!$B$4)</f>
        <v>29.13</v>
      </c>
      <c r="E12310" s="14" t="str">
        <f aca="false">IF(C12310="","",C12310*D12310/100)</f>
        <v/>
      </c>
      <c r="F12310" s="15" t="str">
        <f aca="false">IF(B12310&lt;5,"Go","Standard")</f>
        <v>Standard</v>
      </c>
    </row>
    <row r="12311" customFormat="false" ht="15" hidden="false" customHeight="true" outlineLevel="0" collapsed="false">
      <c r="A12311" s="10" t="n">
        <f aca="false">Einstellungen!$B$5+INT((ROW()-9)/24)</f>
        <v>46478</v>
      </c>
      <c r="B12311" s="11" t="n">
        <f aca="false">MOD(ROW()-9,24)</f>
        <v>14</v>
      </c>
      <c r="C12311" s="12"/>
      <c r="D12311" s="13" t="n">
        <f aca="false">IF(B12311&lt;5,Einstellungen!$B$3,Einstellungen!$B$4)</f>
        <v>29.13</v>
      </c>
      <c r="E12311" s="14" t="str">
        <f aca="false">IF(C12311="","",C12311*D12311/100)</f>
        <v/>
      </c>
      <c r="F12311" s="15" t="str">
        <f aca="false">IF(B12311&lt;5,"Go","Standard")</f>
        <v>Standard</v>
      </c>
    </row>
    <row r="12312" customFormat="false" ht="15" hidden="false" customHeight="true" outlineLevel="0" collapsed="false">
      <c r="A12312" s="10" t="n">
        <f aca="false">Einstellungen!$B$5+INT((ROW()-9)/24)</f>
        <v>46478</v>
      </c>
      <c r="B12312" s="11" t="n">
        <f aca="false">MOD(ROW()-9,24)</f>
        <v>15</v>
      </c>
      <c r="C12312" s="12"/>
      <c r="D12312" s="13" t="n">
        <f aca="false">IF(B12312&lt;5,Einstellungen!$B$3,Einstellungen!$B$4)</f>
        <v>29.13</v>
      </c>
      <c r="E12312" s="14" t="str">
        <f aca="false">IF(C12312="","",C12312*D12312/100)</f>
        <v/>
      </c>
      <c r="F12312" s="15" t="str">
        <f aca="false">IF(B12312&lt;5,"Go","Standard")</f>
        <v>Standard</v>
      </c>
    </row>
    <row r="12313" customFormat="false" ht="15" hidden="false" customHeight="true" outlineLevel="0" collapsed="false">
      <c r="A12313" s="10" t="n">
        <f aca="false">Einstellungen!$B$5+INT((ROW()-9)/24)</f>
        <v>46478</v>
      </c>
      <c r="B12313" s="11" t="n">
        <f aca="false">MOD(ROW()-9,24)</f>
        <v>16</v>
      </c>
      <c r="C12313" s="12"/>
      <c r="D12313" s="13" t="n">
        <f aca="false">IF(B12313&lt;5,Einstellungen!$B$3,Einstellungen!$B$4)</f>
        <v>29.13</v>
      </c>
      <c r="E12313" s="14" t="str">
        <f aca="false">IF(C12313="","",C12313*D12313/100)</f>
        <v/>
      </c>
      <c r="F12313" s="15" t="str">
        <f aca="false">IF(B12313&lt;5,"Go","Standard")</f>
        <v>Standard</v>
      </c>
    </row>
    <row r="12314" customFormat="false" ht="15" hidden="false" customHeight="true" outlineLevel="0" collapsed="false">
      <c r="A12314" s="10" t="n">
        <f aca="false">Einstellungen!$B$5+INT((ROW()-9)/24)</f>
        <v>46478</v>
      </c>
      <c r="B12314" s="11" t="n">
        <f aca="false">MOD(ROW()-9,24)</f>
        <v>17</v>
      </c>
      <c r="C12314" s="12"/>
      <c r="D12314" s="13" t="n">
        <f aca="false">IF(B12314&lt;5,Einstellungen!$B$3,Einstellungen!$B$4)</f>
        <v>29.13</v>
      </c>
      <c r="E12314" s="14" t="str">
        <f aca="false">IF(C12314="","",C12314*D12314/100)</f>
        <v/>
      </c>
      <c r="F12314" s="15" t="str">
        <f aca="false">IF(B12314&lt;5,"Go","Standard")</f>
        <v>Standard</v>
      </c>
    </row>
    <row r="12315" customFormat="false" ht="15" hidden="false" customHeight="true" outlineLevel="0" collapsed="false">
      <c r="A12315" s="10" t="n">
        <f aca="false">Einstellungen!$B$5+INT((ROW()-9)/24)</f>
        <v>46478</v>
      </c>
      <c r="B12315" s="11" t="n">
        <f aca="false">MOD(ROW()-9,24)</f>
        <v>18</v>
      </c>
      <c r="C12315" s="12"/>
      <c r="D12315" s="13" t="n">
        <f aca="false">IF(B12315&lt;5,Einstellungen!$B$3,Einstellungen!$B$4)</f>
        <v>29.13</v>
      </c>
      <c r="E12315" s="14" t="str">
        <f aca="false">IF(C12315="","",C12315*D12315/100)</f>
        <v/>
      </c>
      <c r="F12315" s="15" t="str">
        <f aca="false">IF(B12315&lt;5,"Go","Standard")</f>
        <v>Standard</v>
      </c>
    </row>
    <row r="12316" customFormat="false" ht="15" hidden="false" customHeight="true" outlineLevel="0" collapsed="false">
      <c r="A12316" s="10" t="n">
        <f aca="false">Einstellungen!$B$5+INT((ROW()-9)/24)</f>
        <v>46478</v>
      </c>
      <c r="B12316" s="11" t="n">
        <f aca="false">MOD(ROW()-9,24)</f>
        <v>19</v>
      </c>
      <c r="C12316" s="12"/>
      <c r="D12316" s="13" t="n">
        <f aca="false">IF(B12316&lt;5,Einstellungen!$B$3,Einstellungen!$B$4)</f>
        <v>29.13</v>
      </c>
      <c r="E12316" s="14" t="str">
        <f aca="false">IF(C12316="","",C12316*D12316/100)</f>
        <v/>
      </c>
      <c r="F12316" s="15" t="str">
        <f aca="false">IF(B12316&lt;5,"Go","Standard")</f>
        <v>Standard</v>
      </c>
    </row>
    <row r="12317" customFormat="false" ht="15" hidden="false" customHeight="true" outlineLevel="0" collapsed="false">
      <c r="A12317" s="10" t="n">
        <f aca="false">Einstellungen!$B$5+INT((ROW()-9)/24)</f>
        <v>46478</v>
      </c>
      <c r="B12317" s="11" t="n">
        <f aca="false">MOD(ROW()-9,24)</f>
        <v>20</v>
      </c>
      <c r="C12317" s="12"/>
      <c r="D12317" s="13" t="n">
        <f aca="false">IF(B12317&lt;5,Einstellungen!$B$3,Einstellungen!$B$4)</f>
        <v>29.13</v>
      </c>
      <c r="E12317" s="14" t="str">
        <f aca="false">IF(C12317="","",C12317*D12317/100)</f>
        <v/>
      </c>
      <c r="F12317" s="15" t="str">
        <f aca="false">IF(B12317&lt;5,"Go","Standard")</f>
        <v>Standard</v>
      </c>
    </row>
    <row r="12318" customFormat="false" ht="15" hidden="false" customHeight="true" outlineLevel="0" collapsed="false">
      <c r="A12318" s="10" t="n">
        <f aca="false">Einstellungen!$B$5+INT((ROW()-9)/24)</f>
        <v>46478</v>
      </c>
      <c r="B12318" s="11" t="n">
        <f aca="false">MOD(ROW()-9,24)</f>
        <v>21</v>
      </c>
      <c r="C12318" s="12"/>
      <c r="D12318" s="13" t="n">
        <f aca="false">IF(B12318&lt;5,Einstellungen!$B$3,Einstellungen!$B$4)</f>
        <v>29.13</v>
      </c>
      <c r="E12318" s="14" t="str">
        <f aca="false">IF(C12318="","",C12318*D12318/100)</f>
        <v/>
      </c>
      <c r="F12318" s="15" t="str">
        <f aca="false">IF(B12318&lt;5,"Go","Standard")</f>
        <v>Standard</v>
      </c>
    </row>
    <row r="12319" customFormat="false" ht="15" hidden="false" customHeight="true" outlineLevel="0" collapsed="false">
      <c r="A12319" s="10" t="n">
        <f aca="false">Einstellungen!$B$5+INT((ROW()-9)/24)</f>
        <v>46478</v>
      </c>
      <c r="B12319" s="11" t="n">
        <f aca="false">MOD(ROW()-9,24)</f>
        <v>22</v>
      </c>
      <c r="C12319" s="12"/>
      <c r="D12319" s="13" t="n">
        <f aca="false">IF(B12319&lt;5,Einstellungen!$B$3,Einstellungen!$B$4)</f>
        <v>29.13</v>
      </c>
      <c r="E12319" s="14" t="str">
        <f aca="false">IF(C12319="","",C12319*D12319/100)</f>
        <v/>
      </c>
      <c r="F12319" s="15" t="str">
        <f aca="false">IF(B12319&lt;5,"Go","Standard")</f>
        <v>Standard</v>
      </c>
    </row>
    <row r="12320" customFormat="false" ht="15" hidden="false" customHeight="true" outlineLevel="0" collapsed="false">
      <c r="A12320" s="10" t="n">
        <f aca="false">Einstellungen!$B$5+INT((ROW()-9)/24)</f>
        <v>46478</v>
      </c>
      <c r="B12320" s="11" t="n">
        <f aca="false">MOD(ROW()-9,24)</f>
        <v>23</v>
      </c>
      <c r="C12320" s="12"/>
      <c r="D12320" s="13" t="n">
        <f aca="false">IF(B12320&lt;5,Einstellungen!$B$3,Einstellungen!$B$4)</f>
        <v>29.13</v>
      </c>
      <c r="E12320" s="14" t="str">
        <f aca="false">IF(C12320="","",C12320*D12320/100)</f>
        <v/>
      </c>
      <c r="F12320" s="15" t="str">
        <f aca="false">IF(B12320&lt;5,"Go","Standard")</f>
        <v>Standard</v>
      </c>
    </row>
    <row r="12321" customFormat="false" ht="15" hidden="false" customHeight="true" outlineLevel="0" collapsed="false">
      <c r="A12321" s="10" t="n">
        <f aca="false">Einstellungen!$B$5+INT((ROW()-9)/24)</f>
        <v>46479</v>
      </c>
      <c r="B12321" s="11" t="n">
        <f aca="false">MOD(ROW()-9,24)</f>
        <v>0</v>
      </c>
      <c r="C12321" s="12"/>
      <c r="D12321" s="13" t="n">
        <f aca="false">IF(B12321&lt;5,Einstellungen!$B$3,Einstellungen!$B$4)</f>
        <v>15.92</v>
      </c>
      <c r="E12321" s="14" t="str">
        <f aca="false">IF(C12321="","",C12321*D12321/100)</f>
        <v/>
      </c>
      <c r="F12321" s="15" t="str">
        <f aca="false">IF(B12321&lt;5,"Go","Standard")</f>
        <v>Go</v>
      </c>
    </row>
    <row r="12322" customFormat="false" ht="15" hidden="false" customHeight="true" outlineLevel="0" collapsed="false">
      <c r="A12322" s="10" t="n">
        <f aca="false">Einstellungen!$B$5+INT((ROW()-9)/24)</f>
        <v>46479</v>
      </c>
      <c r="B12322" s="11" t="n">
        <f aca="false">MOD(ROW()-9,24)</f>
        <v>1</v>
      </c>
      <c r="C12322" s="12"/>
      <c r="D12322" s="13" t="n">
        <f aca="false">IF(B12322&lt;5,Einstellungen!$B$3,Einstellungen!$B$4)</f>
        <v>15.92</v>
      </c>
      <c r="E12322" s="14" t="str">
        <f aca="false">IF(C12322="","",C12322*D12322/100)</f>
        <v/>
      </c>
      <c r="F12322" s="15" t="str">
        <f aca="false">IF(B12322&lt;5,"Go","Standard")</f>
        <v>Go</v>
      </c>
    </row>
    <row r="12323" customFormat="false" ht="15" hidden="false" customHeight="true" outlineLevel="0" collapsed="false">
      <c r="A12323" s="10" t="n">
        <f aca="false">Einstellungen!$B$5+INT((ROW()-9)/24)</f>
        <v>46479</v>
      </c>
      <c r="B12323" s="11" t="n">
        <f aca="false">MOD(ROW()-9,24)</f>
        <v>2</v>
      </c>
      <c r="C12323" s="12"/>
      <c r="D12323" s="13" t="n">
        <f aca="false">IF(B12323&lt;5,Einstellungen!$B$3,Einstellungen!$B$4)</f>
        <v>15.92</v>
      </c>
      <c r="E12323" s="14" t="str">
        <f aca="false">IF(C12323="","",C12323*D12323/100)</f>
        <v/>
      </c>
      <c r="F12323" s="15" t="str">
        <f aca="false">IF(B12323&lt;5,"Go","Standard")</f>
        <v>Go</v>
      </c>
    </row>
    <row r="12324" customFormat="false" ht="15" hidden="false" customHeight="true" outlineLevel="0" collapsed="false">
      <c r="A12324" s="10" t="n">
        <f aca="false">Einstellungen!$B$5+INT((ROW()-9)/24)</f>
        <v>46479</v>
      </c>
      <c r="B12324" s="11" t="n">
        <f aca="false">MOD(ROW()-9,24)</f>
        <v>3</v>
      </c>
      <c r="C12324" s="12"/>
      <c r="D12324" s="13" t="n">
        <f aca="false">IF(B12324&lt;5,Einstellungen!$B$3,Einstellungen!$B$4)</f>
        <v>15.92</v>
      </c>
      <c r="E12324" s="14" t="str">
        <f aca="false">IF(C12324="","",C12324*D12324/100)</f>
        <v/>
      </c>
      <c r="F12324" s="15" t="str">
        <f aca="false">IF(B12324&lt;5,"Go","Standard")</f>
        <v>Go</v>
      </c>
    </row>
    <row r="12325" customFormat="false" ht="15" hidden="false" customHeight="true" outlineLevel="0" collapsed="false">
      <c r="A12325" s="10" t="n">
        <f aca="false">Einstellungen!$B$5+INT((ROW()-9)/24)</f>
        <v>46479</v>
      </c>
      <c r="B12325" s="11" t="n">
        <f aca="false">MOD(ROW()-9,24)</f>
        <v>4</v>
      </c>
      <c r="C12325" s="12"/>
      <c r="D12325" s="13" t="n">
        <f aca="false">IF(B12325&lt;5,Einstellungen!$B$3,Einstellungen!$B$4)</f>
        <v>15.92</v>
      </c>
      <c r="E12325" s="14" t="str">
        <f aca="false">IF(C12325="","",C12325*D12325/100)</f>
        <v/>
      </c>
      <c r="F12325" s="15" t="str">
        <f aca="false">IF(B12325&lt;5,"Go","Standard")</f>
        <v>Go</v>
      </c>
    </row>
    <row r="12326" customFormat="false" ht="15" hidden="false" customHeight="true" outlineLevel="0" collapsed="false">
      <c r="A12326" s="10" t="n">
        <f aca="false">Einstellungen!$B$5+INT((ROW()-9)/24)</f>
        <v>46479</v>
      </c>
      <c r="B12326" s="11" t="n">
        <f aca="false">MOD(ROW()-9,24)</f>
        <v>5</v>
      </c>
      <c r="C12326" s="12"/>
      <c r="D12326" s="13" t="n">
        <f aca="false">IF(B12326&lt;5,Einstellungen!$B$3,Einstellungen!$B$4)</f>
        <v>29.13</v>
      </c>
      <c r="E12326" s="14" t="str">
        <f aca="false">IF(C12326="","",C12326*D12326/100)</f>
        <v/>
      </c>
      <c r="F12326" s="15" t="str">
        <f aca="false">IF(B12326&lt;5,"Go","Standard")</f>
        <v>Standard</v>
      </c>
    </row>
    <row r="12327" customFormat="false" ht="15" hidden="false" customHeight="true" outlineLevel="0" collapsed="false">
      <c r="A12327" s="10" t="n">
        <f aca="false">Einstellungen!$B$5+INT((ROW()-9)/24)</f>
        <v>46479</v>
      </c>
      <c r="B12327" s="11" t="n">
        <f aca="false">MOD(ROW()-9,24)</f>
        <v>6</v>
      </c>
      <c r="C12327" s="12"/>
      <c r="D12327" s="13" t="n">
        <f aca="false">IF(B12327&lt;5,Einstellungen!$B$3,Einstellungen!$B$4)</f>
        <v>29.13</v>
      </c>
      <c r="E12327" s="14" t="str">
        <f aca="false">IF(C12327="","",C12327*D12327/100)</f>
        <v/>
      </c>
      <c r="F12327" s="15" t="str">
        <f aca="false">IF(B12327&lt;5,"Go","Standard")</f>
        <v>Standard</v>
      </c>
    </row>
    <row r="12328" customFormat="false" ht="15" hidden="false" customHeight="true" outlineLevel="0" collapsed="false">
      <c r="A12328" s="10" t="n">
        <f aca="false">Einstellungen!$B$5+INT((ROW()-9)/24)</f>
        <v>46479</v>
      </c>
      <c r="B12328" s="11" t="n">
        <f aca="false">MOD(ROW()-9,24)</f>
        <v>7</v>
      </c>
      <c r="C12328" s="12"/>
      <c r="D12328" s="13" t="n">
        <f aca="false">IF(B12328&lt;5,Einstellungen!$B$3,Einstellungen!$B$4)</f>
        <v>29.13</v>
      </c>
      <c r="E12328" s="14" t="str">
        <f aca="false">IF(C12328="","",C12328*D12328/100)</f>
        <v/>
      </c>
      <c r="F12328" s="15" t="str">
        <f aca="false">IF(B12328&lt;5,"Go","Standard")</f>
        <v>Standard</v>
      </c>
    </row>
    <row r="12329" customFormat="false" ht="15" hidden="false" customHeight="true" outlineLevel="0" collapsed="false">
      <c r="A12329" s="10" t="n">
        <f aca="false">Einstellungen!$B$5+INT((ROW()-9)/24)</f>
        <v>46479</v>
      </c>
      <c r="B12329" s="11" t="n">
        <f aca="false">MOD(ROW()-9,24)</f>
        <v>8</v>
      </c>
      <c r="C12329" s="12"/>
      <c r="D12329" s="13" t="n">
        <f aca="false">IF(B12329&lt;5,Einstellungen!$B$3,Einstellungen!$B$4)</f>
        <v>29.13</v>
      </c>
      <c r="E12329" s="14" t="str">
        <f aca="false">IF(C12329="","",C12329*D12329/100)</f>
        <v/>
      </c>
      <c r="F12329" s="15" t="str">
        <f aca="false">IF(B12329&lt;5,"Go","Standard")</f>
        <v>Standard</v>
      </c>
    </row>
    <row r="12330" customFormat="false" ht="15" hidden="false" customHeight="true" outlineLevel="0" collapsed="false">
      <c r="A12330" s="10" t="n">
        <f aca="false">Einstellungen!$B$5+INT((ROW()-9)/24)</f>
        <v>46479</v>
      </c>
      <c r="B12330" s="11" t="n">
        <f aca="false">MOD(ROW()-9,24)</f>
        <v>9</v>
      </c>
      <c r="C12330" s="12"/>
      <c r="D12330" s="13" t="n">
        <f aca="false">IF(B12330&lt;5,Einstellungen!$B$3,Einstellungen!$B$4)</f>
        <v>29.13</v>
      </c>
      <c r="E12330" s="14" t="str">
        <f aca="false">IF(C12330="","",C12330*D12330/100)</f>
        <v/>
      </c>
      <c r="F12330" s="15" t="str">
        <f aca="false">IF(B12330&lt;5,"Go","Standard")</f>
        <v>Standard</v>
      </c>
    </row>
    <row r="12331" customFormat="false" ht="15" hidden="false" customHeight="true" outlineLevel="0" collapsed="false">
      <c r="A12331" s="10" t="n">
        <f aca="false">Einstellungen!$B$5+INT((ROW()-9)/24)</f>
        <v>46479</v>
      </c>
      <c r="B12331" s="11" t="n">
        <f aca="false">MOD(ROW()-9,24)</f>
        <v>10</v>
      </c>
      <c r="C12331" s="12"/>
      <c r="D12331" s="13" t="n">
        <f aca="false">IF(B12331&lt;5,Einstellungen!$B$3,Einstellungen!$B$4)</f>
        <v>29.13</v>
      </c>
      <c r="E12331" s="14" t="str">
        <f aca="false">IF(C12331="","",C12331*D12331/100)</f>
        <v/>
      </c>
      <c r="F12331" s="15" t="str">
        <f aca="false">IF(B12331&lt;5,"Go","Standard")</f>
        <v>Standard</v>
      </c>
    </row>
    <row r="12332" customFormat="false" ht="15" hidden="false" customHeight="true" outlineLevel="0" collapsed="false">
      <c r="A12332" s="10" t="n">
        <f aca="false">Einstellungen!$B$5+INT((ROW()-9)/24)</f>
        <v>46479</v>
      </c>
      <c r="B12332" s="11" t="n">
        <f aca="false">MOD(ROW()-9,24)</f>
        <v>11</v>
      </c>
      <c r="C12332" s="12"/>
      <c r="D12332" s="13" t="n">
        <f aca="false">IF(B12332&lt;5,Einstellungen!$B$3,Einstellungen!$B$4)</f>
        <v>29.13</v>
      </c>
      <c r="E12332" s="14" t="str">
        <f aca="false">IF(C12332="","",C12332*D12332/100)</f>
        <v/>
      </c>
      <c r="F12332" s="15" t="str">
        <f aca="false">IF(B12332&lt;5,"Go","Standard")</f>
        <v>Standard</v>
      </c>
    </row>
    <row r="12333" customFormat="false" ht="15" hidden="false" customHeight="true" outlineLevel="0" collapsed="false">
      <c r="A12333" s="10" t="n">
        <f aca="false">Einstellungen!$B$5+INT((ROW()-9)/24)</f>
        <v>46479</v>
      </c>
      <c r="B12333" s="11" t="n">
        <f aca="false">MOD(ROW()-9,24)</f>
        <v>12</v>
      </c>
      <c r="C12333" s="12"/>
      <c r="D12333" s="13" t="n">
        <f aca="false">IF(B12333&lt;5,Einstellungen!$B$3,Einstellungen!$B$4)</f>
        <v>29.13</v>
      </c>
      <c r="E12333" s="14" t="str">
        <f aca="false">IF(C12333="","",C12333*D12333/100)</f>
        <v/>
      </c>
      <c r="F12333" s="15" t="str">
        <f aca="false">IF(B12333&lt;5,"Go","Standard")</f>
        <v>Standard</v>
      </c>
    </row>
    <row r="12334" customFormat="false" ht="15" hidden="false" customHeight="true" outlineLevel="0" collapsed="false">
      <c r="A12334" s="10" t="n">
        <f aca="false">Einstellungen!$B$5+INT((ROW()-9)/24)</f>
        <v>46479</v>
      </c>
      <c r="B12334" s="11" t="n">
        <f aca="false">MOD(ROW()-9,24)</f>
        <v>13</v>
      </c>
      <c r="C12334" s="12"/>
      <c r="D12334" s="13" t="n">
        <f aca="false">IF(B12334&lt;5,Einstellungen!$B$3,Einstellungen!$B$4)</f>
        <v>29.13</v>
      </c>
      <c r="E12334" s="14" t="str">
        <f aca="false">IF(C12334="","",C12334*D12334/100)</f>
        <v/>
      </c>
      <c r="F12334" s="15" t="str">
        <f aca="false">IF(B12334&lt;5,"Go","Standard")</f>
        <v>Standard</v>
      </c>
    </row>
    <row r="12335" customFormat="false" ht="15" hidden="false" customHeight="true" outlineLevel="0" collapsed="false">
      <c r="A12335" s="10" t="n">
        <f aca="false">Einstellungen!$B$5+INT((ROW()-9)/24)</f>
        <v>46479</v>
      </c>
      <c r="B12335" s="11" t="n">
        <f aca="false">MOD(ROW()-9,24)</f>
        <v>14</v>
      </c>
      <c r="C12335" s="12"/>
      <c r="D12335" s="13" t="n">
        <f aca="false">IF(B12335&lt;5,Einstellungen!$B$3,Einstellungen!$B$4)</f>
        <v>29.13</v>
      </c>
      <c r="E12335" s="14" t="str">
        <f aca="false">IF(C12335="","",C12335*D12335/100)</f>
        <v/>
      </c>
      <c r="F12335" s="15" t="str">
        <f aca="false">IF(B12335&lt;5,"Go","Standard")</f>
        <v>Standard</v>
      </c>
    </row>
    <row r="12336" customFormat="false" ht="15" hidden="false" customHeight="true" outlineLevel="0" collapsed="false">
      <c r="A12336" s="10" t="n">
        <f aca="false">Einstellungen!$B$5+INT((ROW()-9)/24)</f>
        <v>46479</v>
      </c>
      <c r="B12336" s="11" t="n">
        <f aca="false">MOD(ROW()-9,24)</f>
        <v>15</v>
      </c>
      <c r="C12336" s="12"/>
      <c r="D12336" s="13" t="n">
        <f aca="false">IF(B12336&lt;5,Einstellungen!$B$3,Einstellungen!$B$4)</f>
        <v>29.13</v>
      </c>
      <c r="E12336" s="14" t="str">
        <f aca="false">IF(C12336="","",C12336*D12336/100)</f>
        <v/>
      </c>
      <c r="F12336" s="15" t="str">
        <f aca="false">IF(B12336&lt;5,"Go","Standard")</f>
        <v>Standard</v>
      </c>
    </row>
    <row r="12337" customFormat="false" ht="15" hidden="false" customHeight="true" outlineLevel="0" collapsed="false">
      <c r="A12337" s="10" t="n">
        <f aca="false">Einstellungen!$B$5+INT((ROW()-9)/24)</f>
        <v>46479</v>
      </c>
      <c r="B12337" s="11" t="n">
        <f aca="false">MOD(ROW()-9,24)</f>
        <v>16</v>
      </c>
      <c r="C12337" s="12"/>
      <c r="D12337" s="13" t="n">
        <f aca="false">IF(B12337&lt;5,Einstellungen!$B$3,Einstellungen!$B$4)</f>
        <v>29.13</v>
      </c>
      <c r="E12337" s="14" t="str">
        <f aca="false">IF(C12337="","",C12337*D12337/100)</f>
        <v/>
      </c>
      <c r="F12337" s="15" t="str">
        <f aca="false">IF(B12337&lt;5,"Go","Standard")</f>
        <v>Standard</v>
      </c>
    </row>
    <row r="12338" customFormat="false" ht="15" hidden="false" customHeight="true" outlineLevel="0" collapsed="false">
      <c r="A12338" s="10" t="n">
        <f aca="false">Einstellungen!$B$5+INT((ROW()-9)/24)</f>
        <v>46479</v>
      </c>
      <c r="B12338" s="11" t="n">
        <f aca="false">MOD(ROW()-9,24)</f>
        <v>17</v>
      </c>
      <c r="C12338" s="12"/>
      <c r="D12338" s="13" t="n">
        <f aca="false">IF(B12338&lt;5,Einstellungen!$B$3,Einstellungen!$B$4)</f>
        <v>29.13</v>
      </c>
      <c r="E12338" s="14" t="str">
        <f aca="false">IF(C12338="","",C12338*D12338/100)</f>
        <v/>
      </c>
      <c r="F12338" s="15" t="str">
        <f aca="false">IF(B12338&lt;5,"Go","Standard")</f>
        <v>Standard</v>
      </c>
    </row>
    <row r="12339" customFormat="false" ht="15" hidden="false" customHeight="true" outlineLevel="0" collapsed="false">
      <c r="A12339" s="10" t="n">
        <f aca="false">Einstellungen!$B$5+INT((ROW()-9)/24)</f>
        <v>46479</v>
      </c>
      <c r="B12339" s="11" t="n">
        <f aca="false">MOD(ROW()-9,24)</f>
        <v>18</v>
      </c>
      <c r="C12339" s="12"/>
      <c r="D12339" s="13" t="n">
        <f aca="false">IF(B12339&lt;5,Einstellungen!$B$3,Einstellungen!$B$4)</f>
        <v>29.13</v>
      </c>
      <c r="E12339" s="14" t="str">
        <f aca="false">IF(C12339="","",C12339*D12339/100)</f>
        <v/>
      </c>
      <c r="F12339" s="15" t="str">
        <f aca="false">IF(B12339&lt;5,"Go","Standard")</f>
        <v>Standard</v>
      </c>
    </row>
    <row r="12340" customFormat="false" ht="15" hidden="false" customHeight="true" outlineLevel="0" collapsed="false">
      <c r="A12340" s="10" t="n">
        <f aca="false">Einstellungen!$B$5+INT((ROW()-9)/24)</f>
        <v>46479</v>
      </c>
      <c r="B12340" s="11" t="n">
        <f aca="false">MOD(ROW()-9,24)</f>
        <v>19</v>
      </c>
      <c r="C12340" s="12"/>
      <c r="D12340" s="13" t="n">
        <f aca="false">IF(B12340&lt;5,Einstellungen!$B$3,Einstellungen!$B$4)</f>
        <v>29.13</v>
      </c>
      <c r="E12340" s="14" t="str">
        <f aca="false">IF(C12340="","",C12340*D12340/100)</f>
        <v/>
      </c>
      <c r="F12340" s="15" t="str">
        <f aca="false">IF(B12340&lt;5,"Go","Standard")</f>
        <v>Standard</v>
      </c>
    </row>
    <row r="12341" customFormat="false" ht="15" hidden="false" customHeight="true" outlineLevel="0" collapsed="false">
      <c r="A12341" s="10" t="n">
        <f aca="false">Einstellungen!$B$5+INT((ROW()-9)/24)</f>
        <v>46479</v>
      </c>
      <c r="B12341" s="11" t="n">
        <f aca="false">MOD(ROW()-9,24)</f>
        <v>20</v>
      </c>
      <c r="C12341" s="12"/>
      <c r="D12341" s="13" t="n">
        <f aca="false">IF(B12341&lt;5,Einstellungen!$B$3,Einstellungen!$B$4)</f>
        <v>29.13</v>
      </c>
      <c r="E12341" s="14" t="str">
        <f aca="false">IF(C12341="","",C12341*D12341/100)</f>
        <v/>
      </c>
      <c r="F12341" s="15" t="str">
        <f aca="false">IF(B12341&lt;5,"Go","Standard")</f>
        <v>Standard</v>
      </c>
    </row>
    <row r="12342" customFormat="false" ht="15" hidden="false" customHeight="true" outlineLevel="0" collapsed="false">
      <c r="A12342" s="10" t="n">
        <f aca="false">Einstellungen!$B$5+INT((ROW()-9)/24)</f>
        <v>46479</v>
      </c>
      <c r="B12342" s="11" t="n">
        <f aca="false">MOD(ROW()-9,24)</f>
        <v>21</v>
      </c>
      <c r="C12342" s="12"/>
      <c r="D12342" s="13" t="n">
        <f aca="false">IF(B12342&lt;5,Einstellungen!$B$3,Einstellungen!$B$4)</f>
        <v>29.13</v>
      </c>
      <c r="E12342" s="14" t="str">
        <f aca="false">IF(C12342="","",C12342*D12342/100)</f>
        <v/>
      </c>
      <c r="F12342" s="15" t="str">
        <f aca="false">IF(B12342&lt;5,"Go","Standard")</f>
        <v>Standard</v>
      </c>
    </row>
    <row r="12343" customFormat="false" ht="15" hidden="false" customHeight="true" outlineLevel="0" collapsed="false">
      <c r="A12343" s="10" t="n">
        <f aca="false">Einstellungen!$B$5+INT((ROW()-9)/24)</f>
        <v>46479</v>
      </c>
      <c r="B12343" s="11" t="n">
        <f aca="false">MOD(ROW()-9,24)</f>
        <v>22</v>
      </c>
      <c r="C12343" s="12"/>
      <c r="D12343" s="13" t="n">
        <f aca="false">IF(B12343&lt;5,Einstellungen!$B$3,Einstellungen!$B$4)</f>
        <v>29.13</v>
      </c>
      <c r="E12343" s="14" t="str">
        <f aca="false">IF(C12343="","",C12343*D12343/100)</f>
        <v/>
      </c>
      <c r="F12343" s="15" t="str">
        <f aca="false">IF(B12343&lt;5,"Go","Standard")</f>
        <v>Standard</v>
      </c>
    </row>
    <row r="12344" customFormat="false" ht="15" hidden="false" customHeight="true" outlineLevel="0" collapsed="false">
      <c r="A12344" s="10" t="n">
        <f aca="false">Einstellungen!$B$5+INT((ROW()-9)/24)</f>
        <v>46479</v>
      </c>
      <c r="B12344" s="11" t="n">
        <f aca="false">MOD(ROW()-9,24)</f>
        <v>23</v>
      </c>
      <c r="C12344" s="12"/>
      <c r="D12344" s="13" t="n">
        <f aca="false">IF(B12344&lt;5,Einstellungen!$B$3,Einstellungen!$B$4)</f>
        <v>29.13</v>
      </c>
      <c r="E12344" s="14" t="str">
        <f aca="false">IF(C12344="","",C12344*D12344/100)</f>
        <v/>
      </c>
      <c r="F12344" s="15" t="str">
        <f aca="false">IF(B12344&lt;5,"Go","Standard")</f>
        <v>Standard</v>
      </c>
    </row>
    <row r="12345" customFormat="false" ht="15" hidden="false" customHeight="true" outlineLevel="0" collapsed="false">
      <c r="A12345" s="10" t="n">
        <f aca="false">Einstellungen!$B$5+INT((ROW()-9)/24)</f>
        <v>46480</v>
      </c>
      <c r="B12345" s="11" t="n">
        <f aca="false">MOD(ROW()-9,24)</f>
        <v>0</v>
      </c>
      <c r="C12345" s="12"/>
      <c r="D12345" s="13" t="n">
        <f aca="false">IF(B12345&lt;5,Einstellungen!$B$3,Einstellungen!$B$4)</f>
        <v>15.92</v>
      </c>
      <c r="E12345" s="14" t="str">
        <f aca="false">IF(C12345="","",C12345*D12345/100)</f>
        <v/>
      </c>
      <c r="F12345" s="15" t="str">
        <f aca="false">IF(B12345&lt;5,"Go","Standard")</f>
        <v>Go</v>
      </c>
    </row>
    <row r="12346" customFormat="false" ht="15" hidden="false" customHeight="true" outlineLevel="0" collapsed="false">
      <c r="A12346" s="10" t="n">
        <f aca="false">Einstellungen!$B$5+INT((ROW()-9)/24)</f>
        <v>46480</v>
      </c>
      <c r="B12346" s="11" t="n">
        <f aca="false">MOD(ROW()-9,24)</f>
        <v>1</v>
      </c>
      <c r="C12346" s="12"/>
      <c r="D12346" s="13" t="n">
        <f aca="false">IF(B12346&lt;5,Einstellungen!$B$3,Einstellungen!$B$4)</f>
        <v>15.92</v>
      </c>
      <c r="E12346" s="14" t="str">
        <f aca="false">IF(C12346="","",C12346*D12346/100)</f>
        <v/>
      </c>
      <c r="F12346" s="15" t="str">
        <f aca="false">IF(B12346&lt;5,"Go","Standard")</f>
        <v>Go</v>
      </c>
    </row>
    <row r="12347" customFormat="false" ht="15" hidden="false" customHeight="true" outlineLevel="0" collapsed="false">
      <c r="A12347" s="10" t="n">
        <f aca="false">Einstellungen!$B$5+INT((ROW()-9)/24)</f>
        <v>46480</v>
      </c>
      <c r="B12347" s="11" t="n">
        <f aca="false">MOD(ROW()-9,24)</f>
        <v>2</v>
      </c>
      <c r="C12347" s="12"/>
      <c r="D12347" s="13" t="n">
        <f aca="false">IF(B12347&lt;5,Einstellungen!$B$3,Einstellungen!$B$4)</f>
        <v>15.92</v>
      </c>
      <c r="E12347" s="14" t="str">
        <f aca="false">IF(C12347="","",C12347*D12347/100)</f>
        <v/>
      </c>
      <c r="F12347" s="15" t="str">
        <f aca="false">IF(B12347&lt;5,"Go","Standard")</f>
        <v>Go</v>
      </c>
    </row>
    <row r="12348" customFormat="false" ht="15" hidden="false" customHeight="true" outlineLevel="0" collapsed="false">
      <c r="A12348" s="10" t="n">
        <f aca="false">Einstellungen!$B$5+INT((ROW()-9)/24)</f>
        <v>46480</v>
      </c>
      <c r="B12348" s="11" t="n">
        <f aca="false">MOD(ROW()-9,24)</f>
        <v>3</v>
      </c>
      <c r="C12348" s="12"/>
      <c r="D12348" s="13" t="n">
        <f aca="false">IF(B12348&lt;5,Einstellungen!$B$3,Einstellungen!$B$4)</f>
        <v>15.92</v>
      </c>
      <c r="E12348" s="14" t="str">
        <f aca="false">IF(C12348="","",C12348*D12348/100)</f>
        <v/>
      </c>
      <c r="F12348" s="15" t="str">
        <f aca="false">IF(B12348&lt;5,"Go","Standard")</f>
        <v>Go</v>
      </c>
    </row>
    <row r="12349" customFormat="false" ht="15" hidden="false" customHeight="true" outlineLevel="0" collapsed="false">
      <c r="A12349" s="10" t="n">
        <f aca="false">Einstellungen!$B$5+INT((ROW()-9)/24)</f>
        <v>46480</v>
      </c>
      <c r="B12349" s="11" t="n">
        <f aca="false">MOD(ROW()-9,24)</f>
        <v>4</v>
      </c>
      <c r="C12349" s="12"/>
      <c r="D12349" s="13" t="n">
        <f aca="false">IF(B12349&lt;5,Einstellungen!$B$3,Einstellungen!$B$4)</f>
        <v>15.92</v>
      </c>
      <c r="E12349" s="14" t="str">
        <f aca="false">IF(C12349="","",C12349*D12349/100)</f>
        <v/>
      </c>
      <c r="F12349" s="15" t="str">
        <f aca="false">IF(B12349&lt;5,"Go","Standard")</f>
        <v>Go</v>
      </c>
    </row>
    <row r="12350" customFormat="false" ht="15" hidden="false" customHeight="true" outlineLevel="0" collapsed="false">
      <c r="A12350" s="10" t="n">
        <f aca="false">Einstellungen!$B$5+INT((ROW()-9)/24)</f>
        <v>46480</v>
      </c>
      <c r="B12350" s="11" t="n">
        <f aca="false">MOD(ROW()-9,24)</f>
        <v>5</v>
      </c>
      <c r="C12350" s="12"/>
      <c r="D12350" s="13" t="n">
        <f aca="false">IF(B12350&lt;5,Einstellungen!$B$3,Einstellungen!$B$4)</f>
        <v>29.13</v>
      </c>
      <c r="E12350" s="14" t="str">
        <f aca="false">IF(C12350="","",C12350*D12350/100)</f>
        <v/>
      </c>
      <c r="F12350" s="15" t="str">
        <f aca="false">IF(B12350&lt;5,"Go","Standard")</f>
        <v>Standard</v>
      </c>
    </row>
    <row r="12351" customFormat="false" ht="15" hidden="false" customHeight="true" outlineLevel="0" collapsed="false">
      <c r="A12351" s="10" t="n">
        <f aca="false">Einstellungen!$B$5+INT((ROW()-9)/24)</f>
        <v>46480</v>
      </c>
      <c r="B12351" s="11" t="n">
        <f aca="false">MOD(ROW()-9,24)</f>
        <v>6</v>
      </c>
      <c r="C12351" s="12"/>
      <c r="D12351" s="13" t="n">
        <f aca="false">IF(B12351&lt;5,Einstellungen!$B$3,Einstellungen!$B$4)</f>
        <v>29.13</v>
      </c>
      <c r="E12351" s="14" t="str">
        <f aca="false">IF(C12351="","",C12351*D12351/100)</f>
        <v/>
      </c>
      <c r="F12351" s="15" t="str">
        <f aca="false">IF(B12351&lt;5,"Go","Standard")</f>
        <v>Standard</v>
      </c>
    </row>
    <row r="12352" customFormat="false" ht="15" hidden="false" customHeight="true" outlineLevel="0" collapsed="false">
      <c r="A12352" s="10" t="n">
        <f aca="false">Einstellungen!$B$5+INT((ROW()-9)/24)</f>
        <v>46480</v>
      </c>
      <c r="B12352" s="11" t="n">
        <f aca="false">MOD(ROW()-9,24)</f>
        <v>7</v>
      </c>
      <c r="C12352" s="12"/>
      <c r="D12352" s="13" t="n">
        <f aca="false">IF(B12352&lt;5,Einstellungen!$B$3,Einstellungen!$B$4)</f>
        <v>29.13</v>
      </c>
      <c r="E12352" s="14" t="str">
        <f aca="false">IF(C12352="","",C12352*D12352/100)</f>
        <v/>
      </c>
      <c r="F12352" s="15" t="str">
        <f aca="false">IF(B12352&lt;5,"Go","Standard")</f>
        <v>Standard</v>
      </c>
    </row>
    <row r="12353" customFormat="false" ht="15" hidden="false" customHeight="true" outlineLevel="0" collapsed="false">
      <c r="A12353" s="10" t="n">
        <f aca="false">Einstellungen!$B$5+INT((ROW()-9)/24)</f>
        <v>46480</v>
      </c>
      <c r="B12353" s="11" t="n">
        <f aca="false">MOD(ROW()-9,24)</f>
        <v>8</v>
      </c>
      <c r="C12353" s="12"/>
      <c r="D12353" s="13" t="n">
        <f aca="false">IF(B12353&lt;5,Einstellungen!$B$3,Einstellungen!$B$4)</f>
        <v>29.13</v>
      </c>
      <c r="E12353" s="14" t="str">
        <f aca="false">IF(C12353="","",C12353*D12353/100)</f>
        <v/>
      </c>
      <c r="F12353" s="15" t="str">
        <f aca="false">IF(B12353&lt;5,"Go","Standard")</f>
        <v>Standard</v>
      </c>
    </row>
    <row r="12354" customFormat="false" ht="15" hidden="false" customHeight="true" outlineLevel="0" collapsed="false">
      <c r="A12354" s="10" t="n">
        <f aca="false">Einstellungen!$B$5+INT((ROW()-9)/24)</f>
        <v>46480</v>
      </c>
      <c r="B12354" s="11" t="n">
        <f aca="false">MOD(ROW()-9,24)</f>
        <v>9</v>
      </c>
      <c r="C12354" s="12"/>
      <c r="D12354" s="13" t="n">
        <f aca="false">IF(B12354&lt;5,Einstellungen!$B$3,Einstellungen!$B$4)</f>
        <v>29.13</v>
      </c>
      <c r="E12354" s="14" t="str">
        <f aca="false">IF(C12354="","",C12354*D12354/100)</f>
        <v/>
      </c>
      <c r="F12354" s="15" t="str">
        <f aca="false">IF(B12354&lt;5,"Go","Standard")</f>
        <v>Standard</v>
      </c>
    </row>
    <row r="12355" customFormat="false" ht="15" hidden="false" customHeight="true" outlineLevel="0" collapsed="false">
      <c r="A12355" s="10" t="n">
        <f aca="false">Einstellungen!$B$5+INT((ROW()-9)/24)</f>
        <v>46480</v>
      </c>
      <c r="B12355" s="11" t="n">
        <f aca="false">MOD(ROW()-9,24)</f>
        <v>10</v>
      </c>
      <c r="C12355" s="12"/>
      <c r="D12355" s="13" t="n">
        <f aca="false">IF(B12355&lt;5,Einstellungen!$B$3,Einstellungen!$B$4)</f>
        <v>29.13</v>
      </c>
      <c r="E12355" s="14" t="str">
        <f aca="false">IF(C12355="","",C12355*D12355/100)</f>
        <v/>
      </c>
      <c r="F12355" s="15" t="str">
        <f aca="false">IF(B12355&lt;5,"Go","Standard")</f>
        <v>Standard</v>
      </c>
    </row>
    <row r="12356" customFormat="false" ht="15" hidden="false" customHeight="true" outlineLevel="0" collapsed="false">
      <c r="A12356" s="10" t="n">
        <f aca="false">Einstellungen!$B$5+INT((ROW()-9)/24)</f>
        <v>46480</v>
      </c>
      <c r="B12356" s="11" t="n">
        <f aca="false">MOD(ROW()-9,24)</f>
        <v>11</v>
      </c>
      <c r="C12356" s="12"/>
      <c r="D12356" s="13" t="n">
        <f aca="false">IF(B12356&lt;5,Einstellungen!$B$3,Einstellungen!$B$4)</f>
        <v>29.13</v>
      </c>
      <c r="E12356" s="14" t="str">
        <f aca="false">IF(C12356="","",C12356*D12356/100)</f>
        <v/>
      </c>
      <c r="F12356" s="15" t="str">
        <f aca="false">IF(B12356&lt;5,"Go","Standard")</f>
        <v>Standard</v>
      </c>
    </row>
    <row r="12357" customFormat="false" ht="15" hidden="false" customHeight="true" outlineLevel="0" collapsed="false">
      <c r="A12357" s="10" t="n">
        <f aca="false">Einstellungen!$B$5+INT((ROW()-9)/24)</f>
        <v>46480</v>
      </c>
      <c r="B12357" s="11" t="n">
        <f aca="false">MOD(ROW()-9,24)</f>
        <v>12</v>
      </c>
      <c r="C12357" s="12"/>
      <c r="D12357" s="13" t="n">
        <f aca="false">IF(B12357&lt;5,Einstellungen!$B$3,Einstellungen!$B$4)</f>
        <v>29.13</v>
      </c>
      <c r="E12357" s="14" t="str">
        <f aca="false">IF(C12357="","",C12357*D12357/100)</f>
        <v/>
      </c>
      <c r="F12357" s="15" t="str">
        <f aca="false">IF(B12357&lt;5,"Go","Standard")</f>
        <v>Standard</v>
      </c>
    </row>
    <row r="12358" customFormat="false" ht="15" hidden="false" customHeight="true" outlineLevel="0" collapsed="false">
      <c r="A12358" s="10" t="n">
        <f aca="false">Einstellungen!$B$5+INT((ROW()-9)/24)</f>
        <v>46480</v>
      </c>
      <c r="B12358" s="11" t="n">
        <f aca="false">MOD(ROW()-9,24)</f>
        <v>13</v>
      </c>
      <c r="C12358" s="12"/>
      <c r="D12358" s="13" t="n">
        <f aca="false">IF(B12358&lt;5,Einstellungen!$B$3,Einstellungen!$B$4)</f>
        <v>29.13</v>
      </c>
      <c r="E12358" s="14" t="str">
        <f aca="false">IF(C12358="","",C12358*D12358/100)</f>
        <v/>
      </c>
      <c r="F12358" s="15" t="str">
        <f aca="false">IF(B12358&lt;5,"Go","Standard")</f>
        <v>Standard</v>
      </c>
    </row>
    <row r="12359" customFormat="false" ht="15" hidden="false" customHeight="true" outlineLevel="0" collapsed="false">
      <c r="A12359" s="10" t="n">
        <f aca="false">Einstellungen!$B$5+INT((ROW()-9)/24)</f>
        <v>46480</v>
      </c>
      <c r="B12359" s="11" t="n">
        <f aca="false">MOD(ROW()-9,24)</f>
        <v>14</v>
      </c>
      <c r="C12359" s="12"/>
      <c r="D12359" s="13" t="n">
        <f aca="false">IF(B12359&lt;5,Einstellungen!$B$3,Einstellungen!$B$4)</f>
        <v>29.13</v>
      </c>
      <c r="E12359" s="14" t="str">
        <f aca="false">IF(C12359="","",C12359*D12359/100)</f>
        <v/>
      </c>
      <c r="F12359" s="15" t="str">
        <f aca="false">IF(B12359&lt;5,"Go","Standard")</f>
        <v>Standard</v>
      </c>
    </row>
    <row r="12360" customFormat="false" ht="15" hidden="false" customHeight="true" outlineLevel="0" collapsed="false">
      <c r="A12360" s="10" t="n">
        <f aca="false">Einstellungen!$B$5+INT((ROW()-9)/24)</f>
        <v>46480</v>
      </c>
      <c r="B12360" s="11" t="n">
        <f aca="false">MOD(ROW()-9,24)</f>
        <v>15</v>
      </c>
      <c r="C12360" s="12"/>
      <c r="D12360" s="13" t="n">
        <f aca="false">IF(B12360&lt;5,Einstellungen!$B$3,Einstellungen!$B$4)</f>
        <v>29.13</v>
      </c>
      <c r="E12360" s="14" t="str">
        <f aca="false">IF(C12360="","",C12360*D12360/100)</f>
        <v/>
      </c>
      <c r="F12360" s="15" t="str">
        <f aca="false">IF(B12360&lt;5,"Go","Standard")</f>
        <v>Standard</v>
      </c>
    </row>
    <row r="12361" customFormat="false" ht="15" hidden="false" customHeight="true" outlineLevel="0" collapsed="false">
      <c r="A12361" s="10" t="n">
        <f aca="false">Einstellungen!$B$5+INT((ROW()-9)/24)</f>
        <v>46480</v>
      </c>
      <c r="B12361" s="11" t="n">
        <f aca="false">MOD(ROW()-9,24)</f>
        <v>16</v>
      </c>
      <c r="C12361" s="12"/>
      <c r="D12361" s="13" t="n">
        <f aca="false">IF(B12361&lt;5,Einstellungen!$B$3,Einstellungen!$B$4)</f>
        <v>29.13</v>
      </c>
      <c r="E12361" s="14" t="str">
        <f aca="false">IF(C12361="","",C12361*D12361/100)</f>
        <v/>
      </c>
      <c r="F12361" s="15" t="str">
        <f aca="false">IF(B12361&lt;5,"Go","Standard")</f>
        <v>Standard</v>
      </c>
    </row>
    <row r="12362" customFormat="false" ht="15" hidden="false" customHeight="true" outlineLevel="0" collapsed="false">
      <c r="A12362" s="10" t="n">
        <f aca="false">Einstellungen!$B$5+INT((ROW()-9)/24)</f>
        <v>46480</v>
      </c>
      <c r="B12362" s="11" t="n">
        <f aca="false">MOD(ROW()-9,24)</f>
        <v>17</v>
      </c>
      <c r="C12362" s="12"/>
      <c r="D12362" s="13" t="n">
        <f aca="false">IF(B12362&lt;5,Einstellungen!$B$3,Einstellungen!$B$4)</f>
        <v>29.13</v>
      </c>
      <c r="E12362" s="14" t="str">
        <f aca="false">IF(C12362="","",C12362*D12362/100)</f>
        <v/>
      </c>
      <c r="F12362" s="15" t="str">
        <f aca="false">IF(B12362&lt;5,"Go","Standard")</f>
        <v>Standard</v>
      </c>
    </row>
    <row r="12363" customFormat="false" ht="15" hidden="false" customHeight="true" outlineLevel="0" collapsed="false">
      <c r="A12363" s="10" t="n">
        <f aca="false">Einstellungen!$B$5+INT((ROW()-9)/24)</f>
        <v>46480</v>
      </c>
      <c r="B12363" s="11" t="n">
        <f aca="false">MOD(ROW()-9,24)</f>
        <v>18</v>
      </c>
      <c r="C12363" s="12"/>
      <c r="D12363" s="13" t="n">
        <f aca="false">IF(B12363&lt;5,Einstellungen!$B$3,Einstellungen!$B$4)</f>
        <v>29.13</v>
      </c>
      <c r="E12363" s="14" t="str">
        <f aca="false">IF(C12363="","",C12363*D12363/100)</f>
        <v/>
      </c>
      <c r="F12363" s="15" t="str">
        <f aca="false">IF(B12363&lt;5,"Go","Standard")</f>
        <v>Standard</v>
      </c>
    </row>
    <row r="12364" customFormat="false" ht="15" hidden="false" customHeight="true" outlineLevel="0" collapsed="false">
      <c r="A12364" s="10" t="n">
        <f aca="false">Einstellungen!$B$5+INT((ROW()-9)/24)</f>
        <v>46480</v>
      </c>
      <c r="B12364" s="11" t="n">
        <f aca="false">MOD(ROW()-9,24)</f>
        <v>19</v>
      </c>
      <c r="C12364" s="12"/>
      <c r="D12364" s="13" t="n">
        <f aca="false">IF(B12364&lt;5,Einstellungen!$B$3,Einstellungen!$B$4)</f>
        <v>29.13</v>
      </c>
      <c r="E12364" s="14" t="str">
        <f aca="false">IF(C12364="","",C12364*D12364/100)</f>
        <v/>
      </c>
      <c r="F12364" s="15" t="str">
        <f aca="false">IF(B12364&lt;5,"Go","Standard")</f>
        <v>Standard</v>
      </c>
    </row>
    <row r="12365" customFormat="false" ht="15" hidden="false" customHeight="true" outlineLevel="0" collapsed="false">
      <c r="A12365" s="10" t="n">
        <f aca="false">Einstellungen!$B$5+INT((ROW()-9)/24)</f>
        <v>46480</v>
      </c>
      <c r="B12365" s="11" t="n">
        <f aca="false">MOD(ROW()-9,24)</f>
        <v>20</v>
      </c>
      <c r="C12365" s="12"/>
      <c r="D12365" s="13" t="n">
        <f aca="false">IF(B12365&lt;5,Einstellungen!$B$3,Einstellungen!$B$4)</f>
        <v>29.13</v>
      </c>
      <c r="E12365" s="14" t="str">
        <f aca="false">IF(C12365="","",C12365*D12365/100)</f>
        <v/>
      </c>
      <c r="F12365" s="15" t="str">
        <f aca="false">IF(B12365&lt;5,"Go","Standard")</f>
        <v>Standard</v>
      </c>
    </row>
    <row r="12366" customFormat="false" ht="15" hidden="false" customHeight="true" outlineLevel="0" collapsed="false">
      <c r="A12366" s="10" t="n">
        <f aca="false">Einstellungen!$B$5+INT((ROW()-9)/24)</f>
        <v>46480</v>
      </c>
      <c r="B12366" s="11" t="n">
        <f aca="false">MOD(ROW()-9,24)</f>
        <v>21</v>
      </c>
      <c r="C12366" s="12"/>
      <c r="D12366" s="13" t="n">
        <f aca="false">IF(B12366&lt;5,Einstellungen!$B$3,Einstellungen!$B$4)</f>
        <v>29.13</v>
      </c>
      <c r="E12366" s="14" t="str">
        <f aca="false">IF(C12366="","",C12366*D12366/100)</f>
        <v/>
      </c>
      <c r="F12366" s="15" t="str">
        <f aca="false">IF(B12366&lt;5,"Go","Standard")</f>
        <v>Standard</v>
      </c>
    </row>
    <row r="12367" customFormat="false" ht="15" hidden="false" customHeight="true" outlineLevel="0" collapsed="false">
      <c r="A12367" s="10" t="n">
        <f aca="false">Einstellungen!$B$5+INT((ROW()-9)/24)</f>
        <v>46480</v>
      </c>
      <c r="B12367" s="11" t="n">
        <f aca="false">MOD(ROW()-9,24)</f>
        <v>22</v>
      </c>
      <c r="C12367" s="12"/>
      <c r="D12367" s="13" t="n">
        <f aca="false">IF(B12367&lt;5,Einstellungen!$B$3,Einstellungen!$B$4)</f>
        <v>29.13</v>
      </c>
      <c r="E12367" s="14" t="str">
        <f aca="false">IF(C12367="","",C12367*D12367/100)</f>
        <v/>
      </c>
      <c r="F12367" s="15" t="str">
        <f aca="false">IF(B12367&lt;5,"Go","Standard")</f>
        <v>Standard</v>
      </c>
    </row>
    <row r="12368" customFormat="false" ht="15" hidden="false" customHeight="true" outlineLevel="0" collapsed="false">
      <c r="A12368" s="10" t="n">
        <f aca="false">Einstellungen!$B$5+INT((ROW()-9)/24)</f>
        <v>46480</v>
      </c>
      <c r="B12368" s="11" t="n">
        <f aca="false">MOD(ROW()-9,24)</f>
        <v>23</v>
      </c>
      <c r="C12368" s="12"/>
      <c r="D12368" s="13" t="n">
        <f aca="false">IF(B12368&lt;5,Einstellungen!$B$3,Einstellungen!$B$4)</f>
        <v>29.13</v>
      </c>
      <c r="E12368" s="14" t="str">
        <f aca="false">IF(C12368="","",C12368*D12368/100)</f>
        <v/>
      </c>
      <c r="F12368" s="15" t="str">
        <f aca="false">IF(B12368&lt;5,"Go","Standard")</f>
        <v>Standard</v>
      </c>
    </row>
    <row r="12369" customFormat="false" ht="15" hidden="false" customHeight="true" outlineLevel="0" collapsed="false">
      <c r="A12369" s="10" t="n">
        <f aca="false">Einstellungen!$B$5+INT((ROW()-9)/24)</f>
        <v>46481</v>
      </c>
      <c r="B12369" s="11" t="n">
        <f aca="false">MOD(ROW()-9,24)</f>
        <v>0</v>
      </c>
      <c r="C12369" s="12"/>
      <c r="D12369" s="13" t="n">
        <f aca="false">IF(B12369&lt;5,Einstellungen!$B$3,Einstellungen!$B$4)</f>
        <v>15.92</v>
      </c>
      <c r="E12369" s="14" t="str">
        <f aca="false">IF(C12369="","",C12369*D12369/100)</f>
        <v/>
      </c>
      <c r="F12369" s="15" t="str">
        <f aca="false">IF(B12369&lt;5,"Go","Standard")</f>
        <v>Go</v>
      </c>
    </row>
    <row r="12370" customFormat="false" ht="15" hidden="false" customHeight="true" outlineLevel="0" collapsed="false">
      <c r="A12370" s="10" t="n">
        <f aca="false">Einstellungen!$B$5+INT((ROW()-9)/24)</f>
        <v>46481</v>
      </c>
      <c r="B12370" s="11" t="n">
        <f aca="false">MOD(ROW()-9,24)</f>
        <v>1</v>
      </c>
      <c r="C12370" s="12"/>
      <c r="D12370" s="13" t="n">
        <f aca="false">IF(B12370&lt;5,Einstellungen!$B$3,Einstellungen!$B$4)</f>
        <v>15.92</v>
      </c>
      <c r="E12370" s="14" t="str">
        <f aca="false">IF(C12370="","",C12370*D12370/100)</f>
        <v/>
      </c>
      <c r="F12370" s="15" t="str">
        <f aca="false">IF(B12370&lt;5,"Go","Standard")</f>
        <v>Go</v>
      </c>
    </row>
    <row r="12371" customFormat="false" ht="15" hidden="false" customHeight="true" outlineLevel="0" collapsed="false">
      <c r="A12371" s="10" t="n">
        <f aca="false">Einstellungen!$B$5+INT((ROW()-9)/24)</f>
        <v>46481</v>
      </c>
      <c r="B12371" s="11" t="n">
        <f aca="false">MOD(ROW()-9,24)</f>
        <v>2</v>
      </c>
      <c r="C12371" s="12"/>
      <c r="D12371" s="13" t="n">
        <f aca="false">IF(B12371&lt;5,Einstellungen!$B$3,Einstellungen!$B$4)</f>
        <v>15.92</v>
      </c>
      <c r="E12371" s="14" t="str">
        <f aca="false">IF(C12371="","",C12371*D12371/100)</f>
        <v/>
      </c>
      <c r="F12371" s="15" t="str">
        <f aca="false">IF(B12371&lt;5,"Go","Standard")</f>
        <v>Go</v>
      </c>
    </row>
    <row r="12372" customFormat="false" ht="15" hidden="false" customHeight="true" outlineLevel="0" collapsed="false">
      <c r="A12372" s="10" t="n">
        <f aca="false">Einstellungen!$B$5+INT((ROW()-9)/24)</f>
        <v>46481</v>
      </c>
      <c r="B12372" s="11" t="n">
        <f aca="false">MOD(ROW()-9,24)</f>
        <v>3</v>
      </c>
      <c r="C12372" s="12"/>
      <c r="D12372" s="13" t="n">
        <f aca="false">IF(B12372&lt;5,Einstellungen!$B$3,Einstellungen!$B$4)</f>
        <v>15.92</v>
      </c>
      <c r="E12372" s="14" t="str">
        <f aca="false">IF(C12372="","",C12372*D12372/100)</f>
        <v/>
      </c>
      <c r="F12372" s="15" t="str">
        <f aca="false">IF(B12372&lt;5,"Go","Standard")</f>
        <v>Go</v>
      </c>
    </row>
    <row r="12373" customFormat="false" ht="15" hidden="false" customHeight="true" outlineLevel="0" collapsed="false">
      <c r="A12373" s="10" t="n">
        <f aca="false">Einstellungen!$B$5+INT((ROW()-9)/24)</f>
        <v>46481</v>
      </c>
      <c r="B12373" s="11" t="n">
        <f aca="false">MOD(ROW()-9,24)</f>
        <v>4</v>
      </c>
      <c r="C12373" s="12"/>
      <c r="D12373" s="13" t="n">
        <f aca="false">IF(B12373&lt;5,Einstellungen!$B$3,Einstellungen!$B$4)</f>
        <v>15.92</v>
      </c>
      <c r="E12373" s="14" t="str">
        <f aca="false">IF(C12373="","",C12373*D12373/100)</f>
        <v/>
      </c>
      <c r="F12373" s="15" t="str">
        <f aca="false">IF(B12373&lt;5,"Go","Standard")</f>
        <v>Go</v>
      </c>
    </row>
    <row r="12374" customFormat="false" ht="15" hidden="false" customHeight="true" outlineLevel="0" collapsed="false">
      <c r="A12374" s="10" t="n">
        <f aca="false">Einstellungen!$B$5+INT((ROW()-9)/24)</f>
        <v>46481</v>
      </c>
      <c r="B12374" s="11" t="n">
        <f aca="false">MOD(ROW()-9,24)</f>
        <v>5</v>
      </c>
      <c r="C12374" s="12"/>
      <c r="D12374" s="13" t="n">
        <f aca="false">IF(B12374&lt;5,Einstellungen!$B$3,Einstellungen!$B$4)</f>
        <v>29.13</v>
      </c>
      <c r="E12374" s="14" t="str">
        <f aca="false">IF(C12374="","",C12374*D12374/100)</f>
        <v/>
      </c>
      <c r="F12374" s="15" t="str">
        <f aca="false">IF(B12374&lt;5,"Go","Standard")</f>
        <v>Standard</v>
      </c>
    </row>
    <row r="12375" customFormat="false" ht="15" hidden="false" customHeight="true" outlineLevel="0" collapsed="false">
      <c r="A12375" s="10" t="n">
        <f aca="false">Einstellungen!$B$5+INT((ROW()-9)/24)</f>
        <v>46481</v>
      </c>
      <c r="B12375" s="11" t="n">
        <f aca="false">MOD(ROW()-9,24)</f>
        <v>6</v>
      </c>
      <c r="C12375" s="12"/>
      <c r="D12375" s="13" t="n">
        <f aca="false">IF(B12375&lt;5,Einstellungen!$B$3,Einstellungen!$B$4)</f>
        <v>29.13</v>
      </c>
      <c r="E12375" s="14" t="str">
        <f aca="false">IF(C12375="","",C12375*D12375/100)</f>
        <v/>
      </c>
      <c r="F12375" s="15" t="str">
        <f aca="false">IF(B12375&lt;5,"Go","Standard")</f>
        <v>Standard</v>
      </c>
    </row>
    <row r="12376" customFormat="false" ht="15" hidden="false" customHeight="true" outlineLevel="0" collapsed="false">
      <c r="A12376" s="10" t="n">
        <f aca="false">Einstellungen!$B$5+INT((ROW()-9)/24)</f>
        <v>46481</v>
      </c>
      <c r="B12376" s="11" t="n">
        <f aca="false">MOD(ROW()-9,24)</f>
        <v>7</v>
      </c>
      <c r="C12376" s="12"/>
      <c r="D12376" s="13" t="n">
        <f aca="false">IF(B12376&lt;5,Einstellungen!$B$3,Einstellungen!$B$4)</f>
        <v>29.13</v>
      </c>
      <c r="E12376" s="14" t="str">
        <f aca="false">IF(C12376="","",C12376*D12376/100)</f>
        <v/>
      </c>
      <c r="F12376" s="15" t="str">
        <f aca="false">IF(B12376&lt;5,"Go","Standard")</f>
        <v>Standard</v>
      </c>
    </row>
    <row r="12377" customFormat="false" ht="15" hidden="false" customHeight="true" outlineLevel="0" collapsed="false">
      <c r="A12377" s="10" t="n">
        <f aca="false">Einstellungen!$B$5+INT((ROW()-9)/24)</f>
        <v>46481</v>
      </c>
      <c r="B12377" s="11" t="n">
        <f aca="false">MOD(ROW()-9,24)</f>
        <v>8</v>
      </c>
      <c r="C12377" s="12"/>
      <c r="D12377" s="13" t="n">
        <f aca="false">IF(B12377&lt;5,Einstellungen!$B$3,Einstellungen!$B$4)</f>
        <v>29.13</v>
      </c>
      <c r="E12377" s="14" t="str">
        <f aca="false">IF(C12377="","",C12377*D12377/100)</f>
        <v/>
      </c>
      <c r="F12377" s="15" t="str">
        <f aca="false">IF(B12377&lt;5,"Go","Standard")</f>
        <v>Standard</v>
      </c>
    </row>
    <row r="12378" customFormat="false" ht="15" hidden="false" customHeight="true" outlineLevel="0" collapsed="false">
      <c r="A12378" s="10" t="n">
        <f aca="false">Einstellungen!$B$5+INT((ROW()-9)/24)</f>
        <v>46481</v>
      </c>
      <c r="B12378" s="11" t="n">
        <f aca="false">MOD(ROW()-9,24)</f>
        <v>9</v>
      </c>
      <c r="C12378" s="12"/>
      <c r="D12378" s="13" t="n">
        <f aca="false">IF(B12378&lt;5,Einstellungen!$B$3,Einstellungen!$B$4)</f>
        <v>29.13</v>
      </c>
      <c r="E12378" s="14" t="str">
        <f aca="false">IF(C12378="","",C12378*D12378/100)</f>
        <v/>
      </c>
      <c r="F12378" s="15" t="str">
        <f aca="false">IF(B12378&lt;5,"Go","Standard")</f>
        <v>Standard</v>
      </c>
    </row>
    <row r="12379" customFormat="false" ht="15" hidden="false" customHeight="true" outlineLevel="0" collapsed="false">
      <c r="A12379" s="10" t="n">
        <f aca="false">Einstellungen!$B$5+INT((ROW()-9)/24)</f>
        <v>46481</v>
      </c>
      <c r="B12379" s="11" t="n">
        <f aca="false">MOD(ROW()-9,24)</f>
        <v>10</v>
      </c>
      <c r="C12379" s="12"/>
      <c r="D12379" s="13" t="n">
        <f aca="false">IF(B12379&lt;5,Einstellungen!$B$3,Einstellungen!$B$4)</f>
        <v>29.13</v>
      </c>
      <c r="E12379" s="14" t="str">
        <f aca="false">IF(C12379="","",C12379*D12379/100)</f>
        <v/>
      </c>
      <c r="F12379" s="15" t="str">
        <f aca="false">IF(B12379&lt;5,"Go","Standard")</f>
        <v>Standard</v>
      </c>
    </row>
    <row r="12380" customFormat="false" ht="15" hidden="false" customHeight="true" outlineLevel="0" collapsed="false">
      <c r="A12380" s="10" t="n">
        <f aca="false">Einstellungen!$B$5+INT((ROW()-9)/24)</f>
        <v>46481</v>
      </c>
      <c r="B12380" s="11" t="n">
        <f aca="false">MOD(ROW()-9,24)</f>
        <v>11</v>
      </c>
      <c r="C12380" s="12"/>
      <c r="D12380" s="13" t="n">
        <f aca="false">IF(B12380&lt;5,Einstellungen!$B$3,Einstellungen!$B$4)</f>
        <v>29.13</v>
      </c>
      <c r="E12380" s="14" t="str">
        <f aca="false">IF(C12380="","",C12380*D12380/100)</f>
        <v/>
      </c>
      <c r="F12380" s="15" t="str">
        <f aca="false">IF(B12380&lt;5,"Go","Standard")</f>
        <v>Standard</v>
      </c>
    </row>
    <row r="12381" customFormat="false" ht="15" hidden="false" customHeight="true" outlineLevel="0" collapsed="false">
      <c r="A12381" s="10" t="n">
        <f aca="false">Einstellungen!$B$5+INT((ROW()-9)/24)</f>
        <v>46481</v>
      </c>
      <c r="B12381" s="11" t="n">
        <f aca="false">MOD(ROW()-9,24)</f>
        <v>12</v>
      </c>
      <c r="C12381" s="12"/>
      <c r="D12381" s="13" t="n">
        <f aca="false">IF(B12381&lt;5,Einstellungen!$B$3,Einstellungen!$B$4)</f>
        <v>29.13</v>
      </c>
      <c r="E12381" s="14" t="str">
        <f aca="false">IF(C12381="","",C12381*D12381/100)</f>
        <v/>
      </c>
      <c r="F12381" s="15" t="str">
        <f aca="false">IF(B12381&lt;5,"Go","Standard")</f>
        <v>Standard</v>
      </c>
    </row>
    <row r="12382" customFormat="false" ht="15" hidden="false" customHeight="true" outlineLevel="0" collapsed="false">
      <c r="A12382" s="10" t="n">
        <f aca="false">Einstellungen!$B$5+INT((ROW()-9)/24)</f>
        <v>46481</v>
      </c>
      <c r="B12382" s="11" t="n">
        <f aca="false">MOD(ROW()-9,24)</f>
        <v>13</v>
      </c>
      <c r="C12382" s="12"/>
      <c r="D12382" s="13" t="n">
        <f aca="false">IF(B12382&lt;5,Einstellungen!$B$3,Einstellungen!$B$4)</f>
        <v>29.13</v>
      </c>
      <c r="E12382" s="14" t="str">
        <f aca="false">IF(C12382="","",C12382*D12382/100)</f>
        <v/>
      </c>
      <c r="F12382" s="15" t="str">
        <f aca="false">IF(B12382&lt;5,"Go","Standard")</f>
        <v>Standard</v>
      </c>
    </row>
    <row r="12383" customFormat="false" ht="15" hidden="false" customHeight="true" outlineLevel="0" collapsed="false">
      <c r="A12383" s="10" t="n">
        <f aca="false">Einstellungen!$B$5+INT((ROW()-9)/24)</f>
        <v>46481</v>
      </c>
      <c r="B12383" s="11" t="n">
        <f aca="false">MOD(ROW()-9,24)</f>
        <v>14</v>
      </c>
      <c r="C12383" s="12"/>
      <c r="D12383" s="13" t="n">
        <f aca="false">IF(B12383&lt;5,Einstellungen!$B$3,Einstellungen!$B$4)</f>
        <v>29.13</v>
      </c>
      <c r="E12383" s="14" t="str">
        <f aca="false">IF(C12383="","",C12383*D12383/100)</f>
        <v/>
      </c>
      <c r="F12383" s="15" t="str">
        <f aca="false">IF(B12383&lt;5,"Go","Standard")</f>
        <v>Standard</v>
      </c>
    </row>
    <row r="12384" customFormat="false" ht="15" hidden="false" customHeight="true" outlineLevel="0" collapsed="false">
      <c r="A12384" s="10" t="n">
        <f aca="false">Einstellungen!$B$5+INT((ROW()-9)/24)</f>
        <v>46481</v>
      </c>
      <c r="B12384" s="11" t="n">
        <f aca="false">MOD(ROW()-9,24)</f>
        <v>15</v>
      </c>
      <c r="C12384" s="12"/>
      <c r="D12384" s="13" t="n">
        <f aca="false">IF(B12384&lt;5,Einstellungen!$B$3,Einstellungen!$B$4)</f>
        <v>29.13</v>
      </c>
      <c r="E12384" s="14" t="str">
        <f aca="false">IF(C12384="","",C12384*D12384/100)</f>
        <v/>
      </c>
      <c r="F12384" s="15" t="str">
        <f aca="false">IF(B12384&lt;5,"Go","Standard")</f>
        <v>Standard</v>
      </c>
    </row>
    <row r="12385" customFormat="false" ht="15" hidden="false" customHeight="true" outlineLevel="0" collapsed="false">
      <c r="A12385" s="10" t="n">
        <f aca="false">Einstellungen!$B$5+INT((ROW()-9)/24)</f>
        <v>46481</v>
      </c>
      <c r="B12385" s="11" t="n">
        <f aca="false">MOD(ROW()-9,24)</f>
        <v>16</v>
      </c>
      <c r="C12385" s="12"/>
      <c r="D12385" s="13" t="n">
        <f aca="false">IF(B12385&lt;5,Einstellungen!$B$3,Einstellungen!$B$4)</f>
        <v>29.13</v>
      </c>
      <c r="E12385" s="14" t="str">
        <f aca="false">IF(C12385="","",C12385*D12385/100)</f>
        <v/>
      </c>
      <c r="F12385" s="15" t="str">
        <f aca="false">IF(B12385&lt;5,"Go","Standard")</f>
        <v>Standard</v>
      </c>
    </row>
    <row r="12386" customFormat="false" ht="15" hidden="false" customHeight="true" outlineLevel="0" collapsed="false">
      <c r="A12386" s="10" t="n">
        <f aca="false">Einstellungen!$B$5+INT((ROW()-9)/24)</f>
        <v>46481</v>
      </c>
      <c r="B12386" s="11" t="n">
        <f aca="false">MOD(ROW()-9,24)</f>
        <v>17</v>
      </c>
      <c r="C12386" s="12"/>
      <c r="D12386" s="13" t="n">
        <f aca="false">IF(B12386&lt;5,Einstellungen!$B$3,Einstellungen!$B$4)</f>
        <v>29.13</v>
      </c>
      <c r="E12386" s="14" t="str">
        <f aca="false">IF(C12386="","",C12386*D12386/100)</f>
        <v/>
      </c>
      <c r="F12386" s="15" t="str">
        <f aca="false">IF(B12386&lt;5,"Go","Standard")</f>
        <v>Standard</v>
      </c>
    </row>
    <row r="12387" customFormat="false" ht="15" hidden="false" customHeight="true" outlineLevel="0" collapsed="false">
      <c r="A12387" s="10" t="n">
        <f aca="false">Einstellungen!$B$5+INT((ROW()-9)/24)</f>
        <v>46481</v>
      </c>
      <c r="B12387" s="11" t="n">
        <f aca="false">MOD(ROW()-9,24)</f>
        <v>18</v>
      </c>
      <c r="C12387" s="12"/>
      <c r="D12387" s="13" t="n">
        <f aca="false">IF(B12387&lt;5,Einstellungen!$B$3,Einstellungen!$B$4)</f>
        <v>29.13</v>
      </c>
      <c r="E12387" s="14" t="str">
        <f aca="false">IF(C12387="","",C12387*D12387/100)</f>
        <v/>
      </c>
      <c r="F12387" s="15" t="str">
        <f aca="false">IF(B12387&lt;5,"Go","Standard")</f>
        <v>Standard</v>
      </c>
    </row>
    <row r="12388" customFormat="false" ht="15" hidden="false" customHeight="true" outlineLevel="0" collapsed="false">
      <c r="A12388" s="10" t="n">
        <f aca="false">Einstellungen!$B$5+INT((ROW()-9)/24)</f>
        <v>46481</v>
      </c>
      <c r="B12388" s="11" t="n">
        <f aca="false">MOD(ROW()-9,24)</f>
        <v>19</v>
      </c>
      <c r="C12388" s="12"/>
      <c r="D12388" s="13" t="n">
        <f aca="false">IF(B12388&lt;5,Einstellungen!$B$3,Einstellungen!$B$4)</f>
        <v>29.13</v>
      </c>
      <c r="E12388" s="14" t="str">
        <f aca="false">IF(C12388="","",C12388*D12388/100)</f>
        <v/>
      </c>
      <c r="F12388" s="15" t="str">
        <f aca="false">IF(B12388&lt;5,"Go","Standard")</f>
        <v>Standard</v>
      </c>
    </row>
    <row r="12389" customFormat="false" ht="15" hidden="false" customHeight="true" outlineLevel="0" collapsed="false">
      <c r="A12389" s="10" t="n">
        <f aca="false">Einstellungen!$B$5+INT((ROW()-9)/24)</f>
        <v>46481</v>
      </c>
      <c r="B12389" s="11" t="n">
        <f aca="false">MOD(ROW()-9,24)</f>
        <v>20</v>
      </c>
      <c r="C12389" s="12"/>
      <c r="D12389" s="13" t="n">
        <f aca="false">IF(B12389&lt;5,Einstellungen!$B$3,Einstellungen!$B$4)</f>
        <v>29.13</v>
      </c>
      <c r="E12389" s="14" t="str">
        <f aca="false">IF(C12389="","",C12389*D12389/100)</f>
        <v/>
      </c>
      <c r="F12389" s="15" t="str">
        <f aca="false">IF(B12389&lt;5,"Go","Standard")</f>
        <v>Standard</v>
      </c>
    </row>
    <row r="12390" customFormat="false" ht="15" hidden="false" customHeight="true" outlineLevel="0" collapsed="false">
      <c r="A12390" s="10" t="n">
        <f aca="false">Einstellungen!$B$5+INT((ROW()-9)/24)</f>
        <v>46481</v>
      </c>
      <c r="B12390" s="11" t="n">
        <f aca="false">MOD(ROW()-9,24)</f>
        <v>21</v>
      </c>
      <c r="C12390" s="12"/>
      <c r="D12390" s="13" t="n">
        <f aca="false">IF(B12390&lt;5,Einstellungen!$B$3,Einstellungen!$B$4)</f>
        <v>29.13</v>
      </c>
      <c r="E12390" s="14" t="str">
        <f aca="false">IF(C12390="","",C12390*D12390/100)</f>
        <v/>
      </c>
      <c r="F12390" s="15" t="str">
        <f aca="false">IF(B12390&lt;5,"Go","Standard")</f>
        <v>Standard</v>
      </c>
    </row>
    <row r="12391" customFormat="false" ht="15" hidden="false" customHeight="true" outlineLevel="0" collapsed="false">
      <c r="A12391" s="10" t="n">
        <f aca="false">Einstellungen!$B$5+INT((ROW()-9)/24)</f>
        <v>46481</v>
      </c>
      <c r="B12391" s="11" t="n">
        <f aca="false">MOD(ROW()-9,24)</f>
        <v>22</v>
      </c>
      <c r="C12391" s="12"/>
      <c r="D12391" s="13" t="n">
        <f aca="false">IF(B12391&lt;5,Einstellungen!$B$3,Einstellungen!$B$4)</f>
        <v>29.13</v>
      </c>
      <c r="E12391" s="14" t="str">
        <f aca="false">IF(C12391="","",C12391*D12391/100)</f>
        <v/>
      </c>
      <c r="F12391" s="15" t="str">
        <f aca="false">IF(B12391&lt;5,"Go","Standard")</f>
        <v>Standard</v>
      </c>
    </row>
    <row r="12392" customFormat="false" ht="15" hidden="false" customHeight="true" outlineLevel="0" collapsed="false">
      <c r="A12392" s="10" t="n">
        <f aca="false">Einstellungen!$B$5+INT((ROW()-9)/24)</f>
        <v>46481</v>
      </c>
      <c r="B12392" s="11" t="n">
        <f aca="false">MOD(ROW()-9,24)</f>
        <v>23</v>
      </c>
      <c r="C12392" s="12"/>
      <c r="D12392" s="13" t="n">
        <f aca="false">IF(B12392&lt;5,Einstellungen!$B$3,Einstellungen!$B$4)</f>
        <v>29.13</v>
      </c>
      <c r="E12392" s="14" t="str">
        <f aca="false">IF(C12392="","",C12392*D12392/100)</f>
        <v/>
      </c>
      <c r="F12392" s="15" t="str">
        <f aca="false">IF(B12392&lt;5,"Go","Standard")</f>
        <v>Standard</v>
      </c>
    </row>
    <row r="12393" customFormat="false" ht="15" hidden="false" customHeight="true" outlineLevel="0" collapsed="false">
      <c r="A12393" s="10" t="n">
        <f aca="false">Einstellungen!$B$5+INT((ROW()-9)/24)</f>
        <v>46482</v>
      </c>
      <c r="B12393" s="11" t="n">
        <f aca="false">MOD(ROW()-9,24)</f>
        <v>0</v>
      </c>
      <c r="C12393" s="12"/>
      <c r="D12393" s="13" t="n">
        <f aca="false">IF(B12393&lt;5,Einstellungen!$B$3,Einstellungen!$B$4)</f>
        <v>15.92</v>
      </c>
      <c r="E12393" s="14" t="str">
        <f aca="false">IF(C12393="","",C12393*D12393/100)</f>
        <v/>
      </c>
      <c r="F12393" s="15" t="str">
        <f aca="false">IF(B12393&lt;5,"Go","Standard")</f>
        <v>Go</v>
      </c>
    </row>
    <row r="12394" customFormat="false" ht="15" hidden="false" customHeight="true" outlineLevel="0" collapsed="false">
      <c r="A12394" s="10" t="n">
        <f aca="false">Einstellungen!$B$5+INT((ROW()-9)/24)</f>
        <v>46482</v>
      </c>
      <c r="B12394" s="11" t="n">
        <f aca="false">MOD(ROW()-9,24)</f>
        <v>1</v>
      </c>
      <c r="C12394" s="12"/>
      <c r="D12394" s="13" t="n">
        <f aca="false">IF(B12394&lt;5,Einstellungen!$B$3,Einstellungen!$B$4)</f>
        <v>15.92</v>
      </c>
      <c r="E12394" s="14" t="str">
        <f aca="false">IF(C12394="","",C12394*D12394/100)</f>
        <v/>
      </c>
      <c r="F12394" s="15" t="str">
        <f aca="false">IF(B12394&lt;5,"Go","Standard")</f>
        <v>Go</v>
      </c>
    </row>
    <row r="12395" customFormat="false" ht="15" hidden="false" customHeight="true" outlineLevel="0" collapsed="false">
      <c r="A12395" s="10" t="n">
        <f aca="false">Einstellungen!$B$5+INT((ROW()-9)/24)</f>
        <v>46482</v>
      </c>
      <c r="B12395" s="11" t="n">
        <f aca="false">MOD(ROW()-9,24)</f>
        <v>2</v>
      </c>
      <c r="C12395" s="12"/>
      <c r="D12395" s="13" t="n">
        <f aca="false">IF(B12395&lt;5,Einstellungen!$B$3,Einstellungen!$B$4)</f>
        <v>15.92</v>
      </c>
      <c r="E12395" s="14" t="str">
        <f aca="false">IF(C12395="","",C12395*D12395/100)</f>
        <v/>
      </c>
      <c r="F12395" s="15" t="str">
        <f aca="false">IF(B12395&lt;5,"Go","Standard")</f>
        <v>Go</v>
      </c>
    </row>
    <row r="12396" customFormat="false" ht="15" hidden="false" customHeight="true" outlineLevel="0" collapsed="false">
      <c r="A12396" s="10" t="n">
        <f aca="false">Einstellungen!$B$5+INT((ROW()-9)/24)</f>
        <v>46482</v>
      </c>
      <c r="B12396" s="11" t="n">
        <f aca="false">MOD(ROW()-9,24)</f>
        <v>3</v>
      </c>
      <c r="C12396" s="12"/>
      <c r="D12396" s="13" t="n">
        <f aca="false">IF(B12396&lt;5,Einstellungen!$B$3,Einstellungen!$B$4)</f>
        <v>15.92</v>
      </c>
      <c r="E12396" s="14" t="str">
        <f aca="false">IF(C12396="","",C12396*D12396/100)</f>
        <v/>
      </c>
      <c r="F12396" s="15" t="str">
        <f aca="false">IF(B12396&lt;5,"Go","Standard")</f>
        <v>Go</v>
      </c>
    </row>
    <row r="12397" customFormat="false" ht="15" hidden="false" customHeight="true" outlineLevel="0" collapsed="false">
      <c r="A12397" s="10" t="n">
        <f aca="false">Einstellungen!$B$5+INT((ROW()-9)/24)</f>
        <v>46482</v>
      </c>
      <c r="B12397" s="11" t="n">
        <f aca="false">MOD(ROW()-9,24)</f>
        <v>4</v>
      </c>
      <c r="C12397" s="12"/>
      <c r="D12397" s="13" t="n">
        <f aca="false">IF(B12397&lt;5,Einstellungen!$B$3,Einstellungen!$B$4)</f>
        <v>15.92</v>
      </c>
      <c r="E12397" s="14" t="str">
        <f aca="false">IF(C12397="","",C12397*D12397/100)</f>
        <v/>
      </c>
      <c r="F12397" s="15" t="str">
        <f aca="false">IF(B12397&lt;5,"Go","Standard")</f>
        <v>Go</v>
      </c>
    </row>
    <row r="12398" customFormat="false" ht="15" hidden="false" customHeight="true" outlineLevel="0" collapsed="false">
      <c r="A12398" s="10" t="n">
        <f aca="false">Einstellungen!$B$5+INT((ROW()-9)/24)</f>
        <v>46482</v>
      </c>
      <c r="B12398" s="11" t="n">
        <f aca="false">MOD(ROW()-9,24)</f>
        <v>5</v>
      </c>
      <c r="C12398" s="12"/>
      <c r="D12398" s="13" t="n">
        <f aca="false">IF(B12398&lt;5,Einstellungen!$B$3,Einstellungen!$B$4)</f>
        <v>29.13</v>
      </c>
      <c r="E12398" s="14" t="str">
        <f aca="false">IF(C12398="","",C12398*D12398/100)</f>
        <v/>
      </c>
      <c r="F12398" s="15" t="str">
        <f aca="false">IF(B12398&lt;5,"Go","Standard")</f>
        <v>Standard</v>
      </c>
    </row>
    <row r="12399" customFormat="false" ht="15" hidden="false" customHeight="true" outlineLevel="0" collapsed="false">
      <c r="A12399" s="10" t="n">
        <f aca="false">Einstellungen!$B$5+INT((ROW()-9)/24)</f>
        <v>46482</v>
      </c>
      <c r="B12399" s="11" t="n">
        <f aca="false">MOD(ROW()-9,24)</f>
        <v>6</v>
      </c>
      <c r="C12399" s="12"/>
      <c r="D12399" s="13" t="n">
        <f aca="false">IF(B12399&lt;5,Einstellungen!$B$3,Einstellungen!$B$4)</f>
        <v>29.13</v>
      </c>
      <c r="E12399" s="14" t="str">
        <f aca="false">IF(C12399="","",C12399*D12399/100)</f>
        <v/>
      </c>
      <c r="F12399" s="15" t="str">
        <f aca="false">IF(B12399&lt;5,"Go","Standard")</f>
        <v>Standard</v>
      </c>
    </row>
    <row r="12400" customFormat="false" ht="15" hidden="false" customHeight="true" outlineLevel="0" collapsed="false">
      <c r="A12400" s="10" t="n">
        <f aca="false">Einstellungen!$B$5+INT((ROW()-9)/24)</f>
        <v>46482</v>
      </c>
      <c r="B12400" s="11" t="n">
        <f aca="false">MOD(ROW()-9,24)</f>
        <v>7</v>
      </c>
      <c r="C12400" s="12"/>
      <c r="D12400" s="13" t="n">
        <f aca="false">IF(B12400&lt;5,Einstellungen!$B$3,Einstellungen!$B$4)</f>
        <v>29.13</v>
      </c>
      <c r="E12400" s="14" t="str">
        <f aca="false">IF(C12400="","",C12400*D12400/100)</f>
        <v/>
      </c>
      <c r="F12400" s="15" t="str">
        <f aca="false">IF(B12400&lt;5,"Go","Standard")</f>
        <v>Standard</v>
      </c>
    </row>
    <row r="12401" customFormat="false" ht="15" hidden="false" customHeight="true" outlineLevel="0" collapsed="false">
      <c r="A12401" s="10" t="n">
        <f aca="false">Einstellungen!$B$5+INT((ROW()-9)/24)</f>
        <v>46482</v>
      </c>
      <c r="B12401" s="11" t="n">
        <f aca="false">MOD(ROW()-9,24)</f>
        <v>8</v>
      </c>
      <c r="C12401" s="12"/>
      <c r="D12401" s="13" t="n">
        <f aca="false">IF(B12401&lt;5,Einstellungen!$B$3,Einstellungen!$B$4)</f>
        <v>29.13</v>
      </c>
      <c r="E12401" s="14" t="str">
        <f aca="false">IF(C12401="","",C12401*D12401/100)</f>
        <v/>
      </c>
      <c r="F12401" s="15" t="str">
        <f aca="false">IF(B12401&lt;5,"Go","Standard")</f>
        <v>Standard</v>
      </c>
    </row>
    <row r="12402" customFormat="false" ht="15" hidden="false" customHeight="true" outlineLevel="0" collapsed="false">
      <c r="A12402" s="10" t="n">
        <f aca="false">Einstellungen!$B$5+INT((ROW()-9)/24)</f>
        <v>46482</v>
      </c>
      <c r="B12402" s="11" t="n">
        <f aca="false">MOD(ROW()-9,24)</f>
        <v>9</v>
      </c>
      <c r="C12402" s="12"/>
      <c r="D12402" s="13" t="n">
        <f aca="false">IF(B12402&lt;5,Einstellungen!$B$3,Einstellungen!$B$4)</f>
        <v>29.13</v>
      </c>
      <c r="E12402" s="14" t="str">
        <f aca="false">IF(C12402="","",C12402*D12402/100)</f>
        <v/>
      </c>
      <c r="F12402" s="15" t="str">
        <f aca="false">IF(B12402&lt;5,"Go","Standard")</f>
        <v>Standard</v>
      </c>
    </row>
    <row r="12403" customFormat="false" ht="15" hidden="false" customHeight="true" outlineLevel="0" collapsed="false">
      <c r="A12403" s="10" t="n">
        <f aca="false">Einstellungen!$B$5+INT((ROW()-9)/24)</f>
        <v>46482</v>
      </c>
      <c r="B12403" s="11" t="n">
        <f aca="false">MOD(ROW()-9,24)</f>
        <v>10</v>
      </c>
      <c r="C12403" s="12"/>
      <c r="D12403" s="13" t="n">
        <f aca="false">IF(B12403&lt;5,Einstellungen!$B$3,Einstellungen!$B$4)</f>
        <v>29.13</v>
      </c>
      <c r="E12403" s="14" t="str">
        <f aca="false">IF(C12403="","",C12403*D12403/100)</f>
        <v/>
      </c>
      <c r="F12403" s="15" t="str">
        <f aca="false">IF(B12403&lt;5,"Go","Standard")</f>
        <v>Standard</v>
      </c>
    </row>
    <row r="12404" customFormat="false" ht="15" hidden="false" customHeight="true" outlineLevel="0" collapsed="false">
      <c r="A12404" s="10" t="n">
        <f aca="false">Einstellungen!$B$5+INT((ROW()-9)/24)</f>
        <v>46482</v>
      </c>
      <c r="B12404" s="11" t="n">
        <f aca="false">MOD(ROW()-9,24)</f>
        <v>11</v>
      </c>
      <c r="C12404" s="12"/>
      <c r="D12404" s="13" t="n">
        <f aca="false">IF(B12404&lt;5,Einstellungen!$B$3,Einstellungen!$B$4)</f>
        <v>29.13</v>
      </c>
      <c r="E12404" s="14" t="str">
        <f aca="false">IF(C12404="","",C12404*D12404/100)</f>
        <v/>
      </c>
      <c r="F12404" s="15" t="str">
        <f aca="false">IF(B12404&lt;5,"Go","Standard")</f>
        <v>Standard</v>
      </c>
    </row>
    <row r="12405" customFormat="false" ht="15" hidden="false" customHeight="true" outlineLevel="0" collapsed="false">
      <c r="A12405" s="10" t="n">
        <f aca="false">Einstellungen!$B$5+INT((ROW()-9)/24)</f>
        <v>46482</v>
      </c>
      <c r="B12405" s="11" t="n">
        <f aca="false">MOD(ROW()-9,24)</f>
        <v>12</v>
      </c>
      <c r="C12405" s="12"/>
      <c r="D12405" s="13" t="n">
        <f aca="false">IF(B12405&lt;5,Einstellungen!$B$3,Einstellungen!$B$4)</f>
        <v>29.13</v>
      </c>
      <c r="E12405" s="14" t="str">
        <f aca="false">IF(C12405="","",C12405*D12405/100)</f>
        <v/>
      </c>
      <c r="F12405" s="15" t="str">
        <f aca="false">IF(B12405&lt;5,"Go","Standard")</f>
        <v>Standard</v>
      </c>
    </row>
    <row r="12406" customFormat="false" ht="15" hidden="false" customHeight="true" outlineLevel="0" collapsed="false">
      <c r="A12406" s="10" t="n">
        <f aca="false">Einstellungen!$B$5+INT((ROW()-9)/24)</f>
        <v>46482</v>
      </c>
      <c r="B12406" s="11" t="n">
        <f aca="false">MOD(ROW()-9,24)</f>
        <v>13</v>
      </c>
      <c r="C12406" s="12"/>
      <c r="D12406" s="13" t="n">
        <f aca="false">IF(B12406&lt;5,Einstellungen!$B$3,Einstellungen!$B$4)</f>
        <v>29.13</v>
      </c>
      <c r="E12406" s="14" t="str">
        <f aca="false">IF(C12406="","",C12406*D12406/100)</f>
        <v/>
      </c>
      <c r="F12406" s="15" t="str">
        <f aca="false">IF(B12406&lt;5,"Go","Standard")</f>
        <v>Standard</v>
      </c>
    </row>
    <row r="12407" customFormat="false" ht="15" hidden="false" customHeight="true" outlineLevel="0" collapsed="false">
      <c r="A12407" s="10" t="n">
        <f aca="false">Einstellungen!$B$5+INT((ROW()-9)/24)</f>
        <v>46482</v>
      </c>
      <c r="B12407" s="11" t="n">
        <f aca="false">MOD(ROW()-9,24)</f>
        <v>14</v>
      </c>
      <c r="C12407" s="12"/>
      <c r="D12407" s="13" t="n">
        <f aca="false">IF(B12407&lt;5,Einstellungen!$B$3,Einstellungen!$B$4)</f>
        <v>29.13</v>
      </c>
      <c r="E12407" s="14" t="str">
        <f aca="false">IF(C12407="","",C12407*D12407/100)</f>
        <v/>
      </c>
      <c r="F12407" s="15" t="str">
        <f aca="false">IF(B12407&lt;5,"Go","Standard")</f>
        <v>Standard</v>
      </c>
    </row>
    <row r="12408" customFormat="false" ht="15" hidden="false" customHeight="true" outlineLevel="0" collapsed="false">
      <c r="A12408" s="10" t="n">
        <f aca="false">Einstellungen!$B$5+INT((ROW()-9)/24)</f>
        <v>46482</v>
      </c>
      <c r="B12408" s="11" t="n">
        <f aca="false">MOD(ROW()-9,24)</f>
        <v>15</v>
      </c>
      <c r="C12408" s="12"/>
      <c r="D12408" s="13" t="n">
        <f aca="false">IF(B12408&lt;5,Einstellungen!$B$3,Einstellungen!$B$4)</f>
        <v>29.13</v>
      </c>
      <c r="E12408" s="14" t="str">
        <f aca="false">IF(C12408="","",C12408*D12408/100)</f>
        <v/>
      </c>
      <c r="F12408" s="15" t="str">
        <f aca="false">IF(B12408&lt;5,"Go","Standard")</f>
        <v>Standard</v>
      </c>
    </row>
    <row r="12409" customFormat="false" ht="15" hidden="false" customHeight="true" outlineLevel="0" collapsed="false">
      <c r="A12409" s="10" t="n">
        <f aca="false">Einstellungen!$B$5+INT((ROW()-9)/24)</f>
        <v>46482</v>
      </c>
      <c r="B12409" s="11" t="n">
        <f aca="false">MOD(ROW()-9,24)</f>
        <v>16</v>
      </c>
      <c r="C12409" s="12"/>
      <c r="D12409" s="13" t="n">
        <f aca="false">IF(B12409&lt;5,Einstellungen!$B$3,Einstellungen!$B$4)</f>
        <v>29.13</v>
      </c>
      <c r="E12409" s="14" t="str">
        <f aca="false">IF(C12409="","",C12409*D12409/100)</f>
        <v/>
      </c>
      <c r="F12409" s="15" t="str">
        <f aca="false">IF(B12409&lt;5,"Go","Standard")</f>
        <v>Standard</v>
      </c>
    </row>
    <row r="12410" customFormat="false" ht="15" hidden="false" customHeight="true" outlineLevel="0" collapsed="false">
      <c r="A12410" s="10" t="n">
        <f aca="false">Einstellungen!$B$5+INT((ROW()-9)/24)</f>
        <v>46482</v>
      </c>
      <c r="B12410" s="11" t="n">
        <f aca="false">MOD(ROW()-9,24)</f>
        <v>17</v>
      </c>
      <c r="C12410" s="12"/>
      <c r="D12410" s="13" t="n">
        <f aca="false">IF(B12410&lt;5,Einstellungen!$B$3,Einstellungen!$B$4)</f>
        <v>29.13</v>
      </c>
      <c r="E12410" s="14" t="str">
        <f aca="false">IF(C12410="","",C12410*D12410/100)</f>
        <v/>
      </c>
      <c r="F12410" s="15" t="str">
        <f aca="false">IF(B12410&lt;5,"Go","Standard")</f>
        <v>Standard</v>
      </c>
    </row>
    <row r="12411" customFormat="false" ht="15" hidden="false" customHeight="true" outlineLevel="0" collapsed="false">
      <c r="A12411" s="10" t="n">
        <f aca="false">Einstellungen!$B$5+INT((ROW()-9)/24)</f>
        <v>46482</v>
      </c>
      <c r="B12411" s="11" t="n">
        <f aca="false">MOD(ROW()-9,24)</f>
        <v>18</v>
      </c>
      <c r="C12411" s="12"/>
      <c r="D12411" s="13" t="n">
        <f aca="false">IF(B12411&lt;5,Einstellungen!$B$3,Einstellungen!$B$4)</f>
        <v>29.13</v>
      </c>
      <c r="E12411" s="14" t="str">
        <f aca="false">IF(C12411="","",C12411*D12411/100)</f>
        <v/>
      </c>
      <c r="F12411" s="15" t="str">
        <f aca="false">IF(B12411&lt;5,"Go","Standard")</f>
        <v>Standard</v>
      </c>
    </row>
    <row r="12412" customFormat="false" ht="15" hidden="false" customHeight="true" outlineLevel="0" collapsed="false">
      <c r="A12412" s="10" t="n">
        <f aca="false">Einstellungen!$B$5+INT((ROW()-9)/24)</f>
        <v>46482</v>
      </c>
      <c r="B12412" s="11" t="n">
        <f aca="false">MOD(ROW()-9,24)</f>
        <v>19</v>
      </c>
      <c r="C12412" s="12"/>
      <c r="D12412" s="13" t="n">
        <f aca="false">IF(B12412&lt;5,Einstellungen!$B$3,Einstellungen!$B$4)</f>
        <v>29.13</v>
      </c>
      <c r="E12412" s="14" t="str">
        <f aca="false">IF(C12412="","",C12412*D12412/100)</f>
        <v/>
      </c>
      <c r="F12412" s="15" t="str">
        <f aca="false">IF(B12412&lt;5,"Go","Standard")</f>
        <v>Standard</v>
      </c>
    </row>
    <row r="12413" customFormat="false" ht="15" hidden="false" customHeight="true" outlineLevel="0" collapsed="false">
      <c r="A12413" s="10" t="n">
        <f aca="false">Einstellungen!$B$5+INT((ROW()-9)/24)</f>
        <v>46482</v>
      </c>
      <c r="B12413" s="11" t="n">
        <f aca="false">MOD(ROW()-9,24)</f>
        <v>20</v>
      </c>
      <c r="C12413" s="12"/>
      <c r="D12413" s="13" t="n">
        <f aca="false">IF(B12413&lt;5,Einstellungen!$B$3,Einstellungen!$B$4)</f>
        <v>29.13</v>
      </c>
      <c r="E12413" s="14" t="str">
        <f aca="false">IF(C12413="","",C12413*D12413/100)</f>
        <v/>
      </c>
      <c r="F12413" s="15" t="str">
        <f aca="false">IF(B12413&lt;5,"Go","Standard")</f>
        <v>Standard</v>
      </c>
    </row>
    <row r="12414" customFormat="false" ht="15" hidden="false" customHeight="true" outlineLevel="0" collapsed="false">
      <c r="A12414" s="10" t="n">
        <f aca="false">Einstellungen!$B$5+INT((ROW()-9)/24)</f>
        <v>46482</v>
      </c>
      <c r="B12414" s="11" t="n">
        <f aca="false">MOD(ROW()-9,24)</f>
        <v>21</v>
      </c>
      <c r="C12414" s="12"/>
      <c r="D12414" s="13" t="n">
        <f aca="false">IF(B12414&lt;5,Einstellungen!$B$3,Einstellungen!$B$4)</f>
        <v>29.13</v>
      </c>
      <c r="E12414" s="14" t="str">
        <f aca="false">IF(C12414="","",C12414*D12414/100)</f>
        <v/>
      </c>
      <c r="F12414" s="15" t="str">
        <f aca="false">IF(B12414&lt;5,"Go","Standard")</f>
        <v>Standard</v>
      </c>
    </row>
    <row r="12415" customFormat="false" ht="15" hidden="false" customHeight="true" outlineLevel="0" collapsed="false">
      <c r="A12415" s="10" t="n">
        <f aca="false">Einstellungen!$B$5+INT((ROW()-9)/24)</f>
        <v>46482</v>
      </c>
      <c r="B12415" s="11" t="n">
        <f aca="false">MOD(ROW()-9,24)</f>
        <v>22</v>
      </c>
      <c r="C12415" s="12"/>
      <c r="D12415" s="13" t="n">
        <f aca="false">IF(B12415&lt;5,Einstellungen!$B$3,Einstellungen!$B$4)</f>
        <v>29.13</v>
      </c>
      <c r="E12415" s="14" t="str">
        <f aca="false">IF(C12415="","",C12415*D12415/100)</f>
        <v/>
      </c>
      <c r="F12415" s="15" t="str">
        <f aca="false">IF(B12415&lt;5,"Go","Standard")</f>
        <v>Standard</v>
      </c>
    </row>
    <row r="12416" customFormat="false" ht="15" hidden="false" customHeight="true" outlineLevel="0" collapsed="false">
      <c r="A12416" s="10" t="n">
        <f aca="false">Einstellungen!$B$5+INT((ROW()-9)/24)</f>
        <v>46482</v>
      </c>
      <c r="B12416" s="11" t="n">
        <f aca="false">MOD(ROW()-9,24)</f>
        <v>23</v>
      </c>
      <c r="C12416" s="12"/>
      <c r="D12416" s="13" t="n">
        <f aca="false">IF(B12416&lt;5,Einstellungen!$B$3,Einstellungen!$B$4)</f>
        <v>29.13</v>
      </c>
      <c r="E12416" s="14" t="str">
        <f aca="false">IF(C12416="","",C12416*D12416/100)</f>
        <v/>
      </c>
      <c r="F12416" s="15" t="str">
        <f aca="false">IF(B12416&lt;5,"Go","Standard")</f>
        <v>Standard</v>
      </c>
    </row>
    <row r="12417" customFormat="false" ht="15" hidden="false" customHeight="true" outlineLevel="0" collapsed="false">
      <c r="A12417" s="10" t="n">
        <f aca="false">Einstellungen!$B$5+INT((ROW()-9)/24)</f>
        <v>46483</v>
      </c>
      <c r="B12417" s="11" t="n">
        <f aca="false">MOD(ROW()-9,24)</f>
        <v>0</v>
      </c>
      <c r="C12417" s="12"/>
      <c r="D12417" s="13" t="n">
        <f aca="false">IF(B12417&lt;5,Einstellungen!$B$3,Einstellungen!$B$4)</f>
        <v>15.92</v>
      </c>
      <c r="E12417" s="14" t="str">
        <f aca="false">IF(C12417="","",C12417*D12417/100)</f>
        <v/>
      </c>
      <c r="F12417" s="15" t="str">
        <f aca="false">IF(B12417&lt;5,"Go","Standard")</f>
        <v>Go</v>
      </c>
    </row>
    <row r="12418" customFormat="false" ht="15" hidden="false" customHeight="true" outlineLevel="0" collapsed="false">
      <c r="A12418" s="10" t="n">
        <f aca="false">Einstellungen!$B$5+INT((ROW()-9)/24)</f>
        <v>46483</v>
      </c>
      <c r="B12418" s="11" t="n">
        <f aca="false">MOD(ROW()-9,24)</f>
        <v>1</v>
      </c>
      <c r="C12418" s="12"/>
      <c r="D12418" s="13" t="n">
        <f aca="false">IF(B12418&lt;5,Einstellungen!$B$3,Einstellungen!$B$4)</f>
        <v>15.92</v>
      </c>
      <c r="E12418" s="14" t="str">
        <f aca="false">IF(C12418="","",C12418*D12418/100)</f>
        <v/>
      </c>
      <c r="F12418" s="15" t="str">
        <f aca="false">IF(B12418&lt;5,"Go","Standard")</f>
        <v>Go</v>
      </c>
    </row>
    <row r="12419" customFormat="false" ht="15" hidden="false" customHeight="true" outlineLevel="0" collapsed="false">
      <c r="A12419" s="10" t="n">
        <f aca="false">Einstellungen!$B$5+INT((ROW()-9)/24)</f>
        <v>46483</v>
      </c>
      <c r="B12419" s="11" t="n">
        <f aca="false">MOD(ROW()-9,24)</f>
        <v>2</v>
      </c>
      <c r="C12419" s="12"/>
      <c r="D12419" s="13" t="n">
        <f aca="false">IF(B12419&lt;5,Einstellungen!$B$3,Einstellungen!$B$4)</f>
        <v>15.92</v>
      </c>
      <c r="E12419" s="14" t="str">
        <f aca="false">IF(C12419="","",C12419*D12419/100)</f>
        <v/>
      </c>
      <c r="F12419" s="15" t="str">
        <f aca="false">IF(B12419&lt;5,"Go","Standard")</f>
        <v>Go</v>
      </c>
    </row>
    <row r="12420" customFormat="false" ht="15" hidden="false" customHeight="true" outlineLevel="0" collapsed="false">
      <c r="A12420" s="10" t="n">
        <f aca="false">Einstellungen!$B$5+INT((ROW()-9)/24)</f>
        <v>46483</v>
      </c>
      <c r="B12420" s="11" t="n">
        <f aca="false">MOD(ROW()-9,24)</f>
        <v>3</v>
      </c>
      <c r="C12420" s="12"/>
      <c r="D12420" s="13" t="n">
        <f aca="false">IF(B12420&lt;5,Einstellungen!$B$3,Einstellungen!$B$4)</f>
        <v>15.92</v>
      </c>
      <c r="E12420" s="14" t="str">
        <f aca="false">IF(C12420="","",C12420*D12420/100)</f>
        <v/>
      </c>
      <c r="F12420" s="15" t="str">
        <f aca="false">IF(B12420&lt;5,"Go","Standard")</f>
        <v>Go</v>
      </c>
    </row>
    <row r="12421" customFormat="false" ht="15" hidden="false" customHeight="true" outlineLevel="0" collapsed="false">
      <c r="A12421" s="10" t="n">
        <f aca="false">Einstellungen!$B$5+INT((ROW()-9)/24)</f>
        <v>46483</v>
      </c>
      <c r="B12421" s="11" t="n">
        <f aca="false">MOD(ROW()-9,24)</f>
        <v>4</v>
      </c>
      <c r="C12421" s="12"/>
      <c r="D12421" s="13" t="n">
        <f aca="false">IF(B12421&lt;5,Einstellungen!$B$3,Einstellungen!$B$4)</f>
        <v>15.92</v>
      </c>
      <c r="E12421" s="14" t="str">
        <f aca="false">IF(C12421="","",C12421*D12421/100)</f>
        <v/>
      </c>
      <c r="F12421" s="15" t="str">
        <f aca="false">IF(B12421&lt;5,"Go","Standard")</f>
        <v>Go</v>
      </c>
    </row>
    <row r="12422" customFormat="false" ht="15" hidden="false" customHeight="true" outlineLevel="0" collapsed="false">
      <c r="A12422" s="10" t="n">
        <f aca="false">Einstellungen!$B$5+INT((ROW()-9)/24)</f>
        <v>46483</v>
      </c>
      <c r="B12422" s="11" t="n">
        <f aca="false">MOD(ROW()-9,24)</f>
        <v>5</v>
      </c>
      <c r="C12422" s="12"/>
      <c r="D12422" s="13" t="n">
        <f aca="false">IF(B12422&lt;5,Einstellungen!$B$3,Einstellungen!$B$4)</f>
        <v>29.13</v>
      </c>
      <c r="E12422" s="14" t="str">
        <f aca="false">IF(C12422="","",C12422*D12422/100)</f>
        <v/>
      </c>
      <c r="F12422" s="15" t="str">
        <f aca="false">IF(B12422&lt;5,"Go","Standard")</f>
        <v>Standard</v>
      </c>
    </row>
    <row r="12423" customFormat="false" ht="15" hidden="false" customHeight="true" outlineLevel="0" collapsed="false">
      <c r="A12423" s="10" t="n">
        <f aca="false">Einstellungen!$B$5+INT((ROW()-9)/24)</f>
        <v>46483</v>
      </c>
      <c r="B12423" s="11" t="n">
        <f aca="false">MOD(ROW()-9,24)</f>
        <v>6</v>
      </c>
      <c r="C12423" s="12"/>
      <c r="D12423" s="13" t="n">
        <f aca="false">IF(B12423&lt;5,Einstellungen!$B$3,Einstellungen!$B$4)</f>
        <v>29.13</v>
      </c>
      <c r="E12423" s="14" t="str">
        <f aca="false">IF(C12423="","",C12423*D12423/100)</f>
        <v/>
      </c>
      <c r="F12423" s="15" t="str">
        <f aca="false">IF(B12423&lt;5,"Go","Standard")</f>
        <v>Standard</v>
      </c>
    </row>
    <row r="12424" customFormat="false" ht="15" hidden="false" customHeight="true" outlineLevel="0" collapsed="false">
      <c r="A12424" s="10" t="n">
        <f aca="false">Einstellungen!$B$5+INT((ROW()-9)/24)</f>
        <v>46483</v>
      </c>
      <c r="B12424" s="11" t="n">
        <f aca="false">MOD(ROW()-9,24)</f>
        <v>7</v>
      </c>
      <c r="C12424" s="12"/>
      <c r="D12424" s="13" t="n">
        <f aca="false">IF(B12424&lt;5,Einstellungen!$B$3,Einstellungen!$B$4)</f>
        <v>29.13</v>
      </c>
      <c r="E12424" s="14" t="str">
        <f aca="false">IF(C12424="","",C12424*D12424/100)</f>
        <v/>
      </c>
      <c r="F12424" s="15" t="str">
        <f aca="false">IF(B12424&lt;5,"Go","Standard")</f>
        <v>Standard</v>
      </c>
    </row>
    <row r="12425" customFormat="false" ht="15" hidden="false" customHeight="true" outlineLevel="0" collapsed="false">
      <c r="A12425" s="10" t="n">
        <f aca="false">Einstellungen!$B$5+INT((ROW()-9)/24)</f>
        <v>46483</v>
      </c>
      <c r="B12425" s="11" t="n">
        <f aca="false">MOD(ROW()-9,24)</f>
        <v>8</v>
      </c>
      <c r="C12425" s="12"/>
      <c r="D12425" s="13" t="n">
        <f aca="false">IF(B12425&lt;5,Einstellungen!$B$3,Einstellungen!$B$4)</f>
        <v>29.13</v>
      </c>
      <c r="E12425" s="14" t="str">
        <f aca="false">IF(C12425="","",C12425*D12425/100)</f>
        <v/>
      </c>
      <c r="F12425" s="15" t="str">
        <f aca="false">IF(B12425&lt;5,"Go","Standard")</f>
        <v>Standard</v>
      </c>
    </row>
    <row r="12426" customFormat="false" ht="15" hidden="false" customHeight="true" outlineLevel="0" collapsed="false">
      <c r="A12426" s="10" t="n">
        <f aca="false">Einstellungen!$B$5+INT((ROW()-9)/24)</f>
        <v>46483</v>
      </c>
      <c r="B12426" s="11" t="n">
        <f aca="false">MOD(ROW()-9,24)</f>
        <v>9</v>
      </c>
      <c r="C12426" s="12"/>
      <c r="D12426" s="13" t="n">
        <f aca="false">IF(B12426&lt;5,Einstellungen!$B$3,Einstellungen!$B$4)</f>
        <v>29.13</v>
      </c>
      <c r="E12426" s="14" t="str">
        <f aca="false">IF(C12426="","",C12426*D12426/100)</f>
        <v/>
      </c>
      <c r="F12426" s="15" t="str">
        <f aca="false">IF(B12426&lt;5,"Go","Standard")</f>
        <v>Standard</v>
      </c>
    </row>
    <row r="12427" customFormat="false" ht="15" hidden="false" customHeight="true" outlineLevel="0" collapsed="false">
      <c r="A12427" s="10" t="n">
        <f aca="false">Einstellungen!$B$5+INT((ROW()-9)/24)</f>
        <v>46483</v>
      </c>
      <c r="B12427" s="11" t="n">
        <f aca="false">MOD(ROW()-9,24)</f>
        <v>10</v>
      </c>
      <c r="C12427" s="12"/>
      <c r="D12427" s="13" t="n">
        <f aca="false">IF(B12427&lt;5,Einstellungen!$B$3,Einstellungen!$B$4)</f>
        <v>29.13</v>
      </c>
      <c r="E12427" s="14" t="str">
        <f aca="false">IF(C12427="","",C12427*D12427/100)</f>
        <v/>
      </c>
      <c r="F12427" s="15" t="str">
        <f aca="false">IF(B12427&lt;5,"Go","Standard")</f>
        <v>Standard</v>
      </c>
    </row>
    <row r="12428" customFormat="false" ht="15" hidden="false" customHeight="true" outlineLevel="0" collapsed="false">
      <c r="A12428" s="10" t="n">
        <f aca="false">Einstellungen!$B$5+INT((ROW()-9)/24)</f>
        <v>46483</v>
      </c>
      <c r="B12428" s="11" t="n">
        <f aca="false">MOD(ROW()-9,24)</f>
        <v>11</v>
      </c>
      <c r="C12428" s="12"/>
      <c r="D12428" s="13" t="n">
        <f aca="false">IF(B12428&lt;5,Einstellungen!$B$3,Einstellungen!$B$4)</f>
        <v>29.13</v>
      </c>
      <c r="E12428" s="14" t="str">
        <f aca="false">IF(C12428="","",C12428*D12428/100)</f>
        <v/>
      </c>
      <c r="F12428" s="15" t="str">
        <f aca="false">IF(B12428&lt;5,"Go","Standard")</f>
        <v>Standard</v>
      </c>
    </row>
    <row r="12429" customFormat="false" ht="15" hidden="false" customHeight="true" outlineLevel="0" collapsed="false">
      <c r="A12429" s="10" t="n">
        <f aca="false">Einstellungen!$B$5+INT((ROW()-9)/24)</f>
        <v>46483</v>
      </c>
      <c r="B12429" s="11" t="n">
        <f aca="false">MOD(ROW()-9,24)</f>
        <v>12</v>
      </c>
      <c r="C12429" s="12"/>
      <c r="D12429" s="13" t="n">
        <f aca="false">IF(B12429&lt;5,Einstellungen!$B$3,Einstellungen!$B$4)</f>
        <v>29.13</v>
      </c>
      <c r="E12429" s="14" t="str">
        <f aca="false">IF(C12429="","",C12429*D12429/100)</f>
        <v/>
      </c>
      <c r="F12429" s="15" t="str">
        <f aca="false">IF(B12429&lt;5,"Go","Standard")</f>
        <v>Standard</v>
      </c>
    </row>
    <row r="12430" customFormat="false" ht="15" hidden="false" customHeight="true" outlineLevel="0" collapsed="false">
      <c r="A12430" s="10" t="n">
        <f aca="false">Einstellungen!$B$5+INT((ROW()-9)/24)</f>
        <v>46483</v>
      </c>
      <c r="B12430" s="11" t="n">
        <f aca="false">MOD(ROW()-9,24)</f>
        <v>13</v>
      </c>
      <c r="C12430" s="12"/>
      <c r="D12430" s="13" t="n">
        <f aca="false">IF(B12430&lt;5,Einstellungen!$B$3,Einstellungen!$B$4)</f>
        <v>29.13</v>
      </c>
      <c r="E12430" s="14" t="str">
        <f aca="false">IF(C12430="","",C12430*D12430/100)</f>
        <v/>
      </c>
      <c r="F12430" s="15" t="str">
        <f aca="false">IF(B12430&lt;5,"Go","Standard")</f>
        <v>Standard</v>
      </c>
    </row>
    <row r="12431" customFormat="false" ht="15" hidden="false" customHeight="true" outlineLevel="0" collapsed="false">
      <c r="A12431" s="10" t="n">
        <f aca="false">Einstellungen!$B$5+INT((ROW()-9)/24)</f>
        <v>46483</v>
      </c>
      <c r="B12431" s="11" t="n">
        <f aca="false">MOD(ROW()-9,24)</f>
        <v>14</v>
      </c>
      <c r="C12431" s="12"/>
      <c r="D12431" s="13" t="n">
        <f aca="false">IF(B12431&lt;5,Einstellungen!$B$3,Einstellungen!$B$4)</f>
        <v>29.13</v>
      </c>
      <c r="E12431" s="14" t="str">
        <f aca="false">IF(C12431="","",C12431*D12431/100)</f>
        <v/>
      </c>
      <c r="F12431" s="15" t="str">
        <f aca="false">IF(B12431&lt;5,"Go","Standard")</f>
        <v>Standard</v>
      </c>
    </row>
    <row r="12432" customFormat="false" ht="15" hidden="false" customHeight="true" outlineLevel="0" collapsed="false">
      <c r="A12432" s="10" t="n">
        <f aca="false">Einstellungen!$B$5+INT((ROW()-9)/24)</f>
        <v>46483</v>
      </c>
      <c r="B12432" s="11" t="n">
        <f aca="false">MOD(ROW()-9,24)</f>
        <v>15</v>
      </c>
      <c r="C12432" s="12"/>
      <c r="D12432" s="13" t="n">
        <f aca="false">IF(B12432&lt;5,Einstellungen!$B$3,Einstellungen!$B$4)</f>
        <v>29.13</v>
      </c>
      <c r="E12432" s="14" t="str">
        <f aca="false">IF(C12432="","",C12432*D12432/100)</f>
        <v/>
      </c>
      <c r="F12432" s="15" t="str">
        <f aca="false">IF(B12432&lt;5,"Go","Standard")</f>
        <v>Standard</v>
      </c>
    </row>
    <row r="12433" customFormat="false" ht="15" hidden="false" customHeight="true" outlineLevel="0" collapsed="false">
      <c r="A12433" s="10" t="n">
        <f aca="false">Einstellungen!$B$5+INT((ROW()-9)/24)</f>
        <v>46483</v>
      </c>
      <c r="B12433" s="11" t="n">
        <f aca="false">MOD(ROW()-9,24)</f>
        <v>16</v>
      </c>
      <c r="C12433" s="12"/>
      <c r="D12433" s="13" t="n">
        <f aca="false">IF(B12433&lt;5,Einstellungen!$B$3,Einstellungen!$B$4)</f>
        <v>29.13</v>
      </c>
      <c r="E12433" s="14" t="str">
        <f aca="false">IF(C12433="","",C12433*D12433/100)</f>
        <v/>
      </c>
      <c r="F12433" s="15" t="str">
        <f aca="false">IF(B12433&lt;5,"Go","Standard")</f>
        <v>Standard</v>
      </c>
    </row>
    <row r="12434" customFormat="false" ht="15" hidden="false" customHeight="true" outlineLevel="0" collapsed="false">
      <c r="A12434" s="10" t="n">
        <f aca="false">Einstellungen!$B$5+INT((ROW()-9)/24)</f>
        <v>46483</v>
      </c>
      <c r="B12434" s="11" t="n">
        <f aca="false">MOD(ROW()-9,24)</f>
        <v>17</v>
      </c>
      <c r="C12434" s="12"/>
      <c r="D12434" s="13" t="n">
        <f aca="false">IF(B12434&lt;5,Einstellungen!$B$3,Einstellungen!$B$4)</f>
        <v>29.13</v>
      </c>
      <c r="E12434" s="14" t="str">
        <f aca="false">IF(C12434="","",C12434*D12434/100)</f>
        <v/>
      </c>
      <c r="F12434" s="15" t="str">
        <f aca="false">IF(B12434&lt;5,"Go","Standard")</f>
        <v>Standard</v>
      </c>
    </row>
    <row r="12435" customFormat="false" ht="15" hidden="false" customHeight="true" outlineLevel="0" collapsed="false">
      <c r="A12435" s="10" t="n">
        <f aca="false">Einstellungen!$B$5+INT((ROW()-9)/24)</f>
        <v>46483</v>
      </c>
      <c r="B12435" s="11" t="n">
        <f aca="false">MOD(ROW()-9,24)</f>
        <v>18</v>
      </c>
      <c r="C12435" s="12"/>
      <c r="D12435" s="13" t="n">
        <f aca="false">IF(B12435&lt;5,Einstellungen!$B$3,Einstellungen!$B$4)</f>
        <v>29.13</v>
      </c>
      <c r="E12435" s="14" t="str">
        <f aca="false">IF(C12435="","",C12435*D12435/100)</f>
        <v/>
      </c>
      <c r="F12435" s="15" t="str">
        <f aca="false">IF(B12435&lt;5,"Go","Standard")</f>
        <v>Standard</v>
      </c>
    </row>
    <row r="12436" customFormat="false" ht="15" hidden="false" customHeight="true" outlineLevel="0" collapsed="false">
      <c r="A12436" s="10" t="n">
        <f aca="false">Einstellungen!$B$5+INT((ROW()-9)/24)</f>
        <v>46483</v>
      </c>
      <c r="B12436" s="11" t="n">
        <f aca="false">MOD(ROW()-9,24)</f>
        <v>19</v>
      </c>
      <c r="C12436" s="12"/>
      <c r="D12436" s="13" t="n">
        <f aca="false">IF(B12436&lt;5,Einstellungen!$B$3,Einstellungen!$B$4)</f>
        <v>29.13</v>
      </c>
      <c r="E12436" s="14" t="str">
        <f aca="false">IF(C12436="","",C12436*D12436/100)</f>
        <v/>
      </c>
      <c r="F12436" s="15" t="str">
        <f aca="false">IF(B12436&lt;5,"Go","Standard")</f>
        <v>Standard</v>
      </c>
    </row>
    <row r="12437" customFormat="false" ht="15" hidden="false" customHeight="true" outlineLevel="0" collapsed="false">
      <c r="A12437" s="10" t="n">
        <f aca="false">Einstellungen!$B$5+INT((ROW()-9)/24)</f>
        <v>46483</v>
      </c>
      <c r="B12437" s="11" t="n">
        <f aca="false">MOD(ROW()-9,24)</f>
        <v>20</v>
      </c>
      <c r="C12437" s="12"/>
      <c r="D12437" s="13" t="n">
        <f aca="false">IF(B12437&lt;5,Einstellungen!$B$3,Einstellungen!$B$4)</f>
        <v>29.13</v>
      </c>
      <c r="E12437" s="14" t="str">
        <f aca="false">IF(C12437="","",C12437*D12437/100)</f>
        <v/>
      </c>
      <c r="F12437" s="15" t="str">
        <f aca="false">IF(B12437&lt;5,"Go","Standard")</f>
        <v>Standard</v>
      </c>
    </row>
    <row r="12438" customFormat="false" ht="15" hidden="false" customHeight="true" outlineLevel="0" collapsed="false">
      <c r="A12438" s="10" t="n">
        <f aca="false">Einstellungen!$B$5+INT((ROW()-9)/24)</f>
        <v>46483</v>
      </c>
      <c r="B12438" s="11" t="n">
        <f aca="false">MOD(ROW()-9,24)</f>
        <v>21</v>
      </c>
      <c r="C12438" s="12"/>
      <c r="D12438" s="13" t="n">
        <f aca="false">IF(B12438&lt;5,Einstellungen!$B$3,Einstellungen!$B$4)</f>
        <v>29.13</v>
      </c>
      <c r="E12438" s="14" t="str">
        <f aca="false">IF(C12438="","",C12438*D12438/100)</f>
        <v/>
      </c>
      <c r="F12438" s="15" t="str">
        <f aca="false">IF(B12438&lt;5,"Go","Standard")</f>
        <v>Standard</v>
      </c>
    </row>
    <row r="12439" customFormat="false" ht="15" hidden="false" customHeight="true" outlineLevel="0" collapsed="false">
      <c r="A12439" s="10" t="n">
        <f aca="false">Einstellungen!$B$5+INT((ROW()-9)/24)</f>
        <v>46483</v>
      </c>
      <c r="B12439" s="11" t="n">
        <f aca="false">MOD(ROW()-9,24)</f>
        <v>22</v>
      </c>
      <c r="C12439" s="12"/>
      <c r="D12439" s="13" t="n">
        <f aca="false">IF(B12439&lt;5,Einstellungen!$B$3,Einstellungen!$B$4)</f>
        <v>29.13</v>
      </c>
      <c r="E12439" s="14" t="str">
        <f aca="false">IF(C12439="","",C12439*D12439/100)</f>
        <v/>
      </c>
      <c r="F12439" s="15" t="str">
        <f aca="false">IF(B12439&lt;5,"Go","Standard")</f>
        <v>Standard</v>
      </c>
    </row>
    <row r="12440" customFormat="false" ht="15" hidden="false" customHeight="true" outlineLevel="0" collapsed="false">
      <c r="A12440" s="10" t="n">
        <f aca="false">Einstellungen!$B$5+INT((ROW()-9)/24)</f>
        <v>46483</v>
      </c>
      <c r="B12440" s="11" t="n">
        <f aca="false">MOD(ROW()-9,24)</f>
        <v>23</v>
      </c>
      <c r="C12440" s="12"/>
      <c r="D12440" s="13" t="n">
        <f aca="false">IF(B12440&lt;5,Einstellungen!$B$3,Einstellungen!$B$4)</f>
        <v>29.13</v>
      </c>
      <c r="E12440" s="14" t="str">
        <f aca="false">IF(C12440="","",C12440*D12440/100)</f>
        <v/>
      </c>
      <c r="F12440" s="15" t="str">
        <f aca="false">IF(B12440&lt;5,"Go","Standard")</f>
        <v>Standard</v>
      </c>
    </row>
    <row r="12441" customFormat="false" ht="15" hidden="false" customHeight="true" outlineLevel="0" collapsed="false">
      <c r="A12441" s="10" t="n">
        <f aca="false">Einstellungen!$B$5+INT((ROW()-9)/24)</f>
        <v>46484</v>
      </c>
      <c r="B12441" s="11" t="n">
        <f aca="false">MOD(ROW()-9,24)</f>
        <v>0</v>
      </c>
      <c r="C12441" s="12"/>
      <c r="D12441" s="13" t="n">
        <f aca="false">IF(B12441&lt;5,Einstellungen!$B$3,Einstellungen!$B$4)</f>
        <v>15.92</v>
      </c>
      <c r="E12441" s="14" t="str">
        <f aca="false">IF(C12441="","",C12441*D12441/100)</f>
        <v/>
      </c>
      <c r="F12441" s="15" t="str">
        <f aca="false">IF(B12441&lt;5,"Go","Standard")</f>
        <v>Go</v>
      </c>
    </row>
    <row r="12442" customFormat="false" ht="15" hidden="false" customHeight="true" outlineLevel="0" collapsed="false">
      <c r="A12442" s="10" t="n">
        <f aca="false">Einstellungen!$B$5+INT((ROW()-9)/24)</f>
        <v>46484</v>
      </c>
      <c r="B12442" s="11" t="n">
        <f aca="false">MOD(ROW()-9,24)</f>
        <v>1</v>
      </c>
      <c r="C12442" s="12"/>
      <c r="D12442" s="13" t="n">
        <f aca="false">IF(B12442&lt;5,Einstellungen!$B$3,Einstellungen!$B$4)</f>
        <v>15.92</v>
      </c>
      <c r="E12442" s="14" t="str">
        <f aca="false">IF(C12442="","",C12442*D12442/100)</f>
        <v/>
      </c>
      <c r="F12442" s="15" t="str">
        <f aca="false">IF(B12442&lt;5,"Go","Standard")</f>
        <v>Go</v>
      </c>
    </row>
    <row r="12443" customFormat="false" ht="15" hidden="false" customHeight="true" outlineLevel="0" collapsed="false">
      <c r="A12443" s="10" t="n">
        <f aca="false">Einstellungen!$B$5+INT((ROW()-9)/24)</f>
        <v>46484</v>
      </c>
      <c r="B12443" s="11" t="n">
        <f aca="false">MOD(ROW()-9,24)</f>
        <v>2</v>
      </c>
      <c r="C12443" s="12"/>
      <c r="D12443" s="13" t="n">
        <f aca="false">IF(B12443&lt;5,Einstellungen!$B$3,Einstellungen!$B$4)</f>
        <v>15.92</v>
      </c>
      <c r="E12443" s="14" t="str">
        <f aca="false">IF(C12443="","",C12443*D12443/100)</f>
        <v/>
      </c>
      <c r="F12443" s="15" t="str">
        <f aca="false">IF(B12443&lt;5,"Go","Standard")</f>
        <v>Go</v>
      </c>
    </row>
    <row r="12444" customFormat="false" ht="15" hidden="false" customHeight="true" outlineLevel="0" collapsed="false">
      <c r="A12444" s="10" t="n">
        <f aca="false">Einstellungen!$B$5+INT((ROW()-9)/24)</f>
        <v>46484</v>
      </c>
      <c r="B12444" s="11" t="n">
        <f aca="false">MOD(ROW()-9,24)</f>
        <v>3</v>
      </c>
      <c r="C12444" s="12"/>
      <c r="D12444" s="13" t="n">
        <f aca="false">IF(B12444&lt;5,Einstellungen!$B$3,Einstellungen!$B$4)</f>
        <v>15.92</v>
      </c>
      <c r="E12444" s="14" t="str">
        <f aca="false">IF(C12444="","",C12444*D12444/100)</f>
        <v/>
      </c>
      <c r="F12444" s="15" t="str">
        <f aca="false">IF(B12444&lt;5,"Go","Standard")</f>
        <v>Go</v>
      </c>
    </row>
    <row r="12445" customFormat="false" ht="15" hidden="false" customHeight="true" outlineLevel="0" collapsed="false">
      <c r="A12445" s="10" t="n">
        <f aca="false">Einstellungen!$B$5+INT((ROW()-9)/24)</f>
        <v>46484</v>
      </c>
      <c r="B12445" s="11" t="n">
        <f aca="false">MOD(ROW()-9,24)</f>
        <v>4</v>
      </c>
      <c r="C12445" s="12"/>
      <c r="D12445" s="13" t="n">
        <f aca="false">IF(B12445&lt;5,Einstellungen!$B$3,Einstellungen!$B$4)</f>
        <v>15.92</v>
      </c>
      <c r="E12445" s="14" t="str">
        <f aca="false">IF(C12445="","",C12445*D12445/100)</f>
        <v/>
      </c>
      <c r="F12445" s="15" t="str">
        <f aca="false">IF(B12445&lt;5,"Go","Standard")</f>
        <v>Go</v>
      </c>
    </row>
    <row r="12446" customFormat="false" ht="15" hidden="false" customHeight="true" outlineLevel="0" collapsed="false">
      <c r="A12446" s="10" t="n">
        <f aca="false">Einstellungen!$B$5+INT((ROW()-9)/24)</f>
        <v>46484</v>
      </c>
      <c r="B12446" s="11" t="n">
        <f aca="false">MOD(ROW()-9,24)</f>
        <v>5</v>
      </c>
      <c r="C12446" s="12"/>
      <c r="D12446" s="13" t="n">
        <f aca="false">IF(B12446&lt;5,Einstellungen!$B$3,Einstellungen!$B$4)</f>
        <v>29.13</v>
      </c>
      <c r="E12446" s="14" t="str">
        <f aca="false">IF(C12446="","",C12446*D12446/100)</f>
        <v/>
      </c>
      <c r="F12446" s="15" t="str">
        <f aca="false">IF(B12446&lt;5,"Go","Standard")</f>
        <v>Standard</v>
      </c>
    </row>
    <row r="12447" customFormat="false" ht="15" hidden="false" customHeight="true" outlineLevel="0" collapsed="false">
      <c r="A12447" s="10" t="n">
        <f aca="false">Einstellungen!$B$5+INT((ROW()-9)/24)</f>
        <v>46484</v>
      </c>
      <c r="B12447" s="11" t="n">
        <f aca="false">MOD(ROW()-9,24)</f>
        <v>6</v>
      </c>
      <c r="C12447" s="12"/>
      <c r="D12447" s="13" t="n">
        <f aca="false">IF(B12447&lt;5,Einstellungen!$B$3,Einstellungen!$B$4)</f>
        <v>29.13</v>
      </c>
      <c r="E12447" s="14" t="str">
        <f aca="false">IF(C12447="","",C12447*D12447/100)</f>
        <v/>
      </c>
      <c r="F12447" s="15" t="str">
        <f aca="false">IF(B12447&lt;5,"Go","Standard")</f>
        <v>Standard</v>
      </c>
    </row>
    <row r="12448" customFormat="false" ht="15" hidden="false" customHeight="true" outlineLevel="0" collapsed="false">
      <c r="A12448" s="10" t="n">
        <f aca="false">Einstellungen!$B$5+INT((ROW()-9)/24)</f>
        <v>46484</v>
      </c>
      <c r="B12448" s="11" t="n">
        <f aca="false">MOD(ROW()-9,24)</f>
        <v>7</v>
      </c>
      <c r="C12448" s="12"/>
      <c r="D12448" s="13" t="n">
        <f aca="false">IF(B12448&lt;5,Einstellungen!$B$3,Einstellungen!$B$4)</f>
        <v>29.13</v>
      </c>
      <c r="E12448" s="14" t="str">
        <f aca="false">IF(C12448="","",C12448*D12448/100)</f>
        <v/>
      </c>
      <c r="F12448" s="15" t="str">
        <f aca="false">IF(B12448&lt;5,"Go","Standard")</f>
        <v>Standard</v>
      </c>
    </row>
    <row r="12449" customFormat="false" ht="15" hidden="false" customHeight="true" outlineLevel="0" collapsed="false">
      <c r="A12449" s="10" t="n">
        <f aca="false">Einstellungen!$B$5+INT((ROW()-9)/24)</f>
        <v>46484</v>
      </c>
      <c r="B12449" s="11" t="n">
        <f aca="false">MOD(ROW()-9,24)</f>
        <v>8</v>
      </c>
      <c r="C12449" s="12"/>
      <c r="D12449" s="13" t="n">
        <f aca="false">IF(B12449&lt;5,Einstellungen!$B$3,Einstellungen!$B$4)</f>
        <v>29.13</v>
      </c>
      <c r="E12449" s="14" t="str">
        <f aca="false">IF(C12449="","",C12449*D12449/100)</f>
        <v/>
      </c>
      <c r="F12449" s="15" t="str">
        <f aca="false">IF(B12449&lt;5,"Go","Standard")</f>
        <v>Standard</v>
      </c>
    </row>
    <row r="12450" customFormat="false" ht="15" hidden="false" customHeight="true" outlineLevel="0" collapsed="false">
      <c r="A12450" s="10" t="n">
        <f aca="false">Einstellungen!$B$5+INT((ROW()-9)/24)</f>
        <v>46484</v>
      </c>
      <c r="B12450" s="11" t="n">
        <f aca="false">MOD(ROW()-9,24)</f>
        <v>9</v>
      </c>
      <c r="C12450" s="12"/>
      <c r="D12450" s="13" t="n">
        <f aca="false">IF(B12450&lt;5,Einstellungen!$B$3,Einstellungen!$B$4)</f>
        <v>29.13</v>
      </c>
      <c r="E12450" s="14" t="str">
        <f aca="false">IF(C12450="","",C12450*D12450/100)</f>
        <v/>
      </c>
      <c r="F12450" s="15" t="str">
        <f aca="false">IF(B12450&lt;5,"Go","Standard")</f>
        <v>Standard</v>
      </c>
    </row>
    <row r="12451" customFormat="false" ht="15" hidden="false" customHeight="true" outlineLevel="0" collapsed="false">
      <c r="A12451" s="10" t="n">
        <f aca="false">Einstellungen!$B$5+INT((ROW()-9)/24)</f>
        <v>46484</v>
      </c>
      <c r="B12451" s="11" t="n">
        <f aca="false">MOD(ROW()-9,24)</f>
        <v>10</v>
      </c>
      <c r="C12451" s="12"/>
      <c r="D12451" s="13" t="n">
        <f aca="false">IF(B12451&lt;5,Einstellungen!$B$3,Einstellungen!$B$4)</f>
        <v>29.13</v>
      </c>
      <c r="E12451" s="14" t="str">
        <f aca="false">IF(C12451="","",C12451*D12451/100)</f>
        <v/>
      </c>
      <c r="F12451" s="15" t="str">
        <f aca="false">IF(B12451&lt;5,"Go","Standard")</f>
        <v>Standard</v>
      </c>
    </row>
    <row r="12452" customFormat="false" ht="15" hidden="false" customHeight="true" outlineLevel="0" collapsed="false">
      <c r="A12452" s="10" t="n">
        <f aca="false">Einstellungen!$B$5+INT((ROW()-9)/24)</f>
        <v>46484</v>
      </c>
      <c r="B12452" s="11" t="n">
        <f aca="false">MOD(ROW()-9,24)</f>
        <v>11</v>
      </c>
      <c r="C12452" s="12"/>
      <c r="D12452" s="13" t="n">
        <f aca="false">IF(B12452&lt;5,Einstellungen!$B$3,Einstellungen!$B$4)</f>
        <v>29.13</v>
      </c>
      <c r="E12452" s="14" t="str">
        <f aca="false">IF(C12452="","",C12452*D12452/100)</f>
        <v/>
      </c>
      <c r="F12452" s="15" t="str">
        <f aca="false">IF(B12452&lt;5,"Go","Standard")</f>
        <v>Standard</v>
      </c>
    </row>
    <row r="12453" customFormat="false" ht="15" hidden="false" customHeight="true" outlineLevel="0" collapsed="false">
      <c r="A12453" s="10" t="n">
        <f aca="false">Einstellungen!$B$5+INT((ROW()-9)/24)</f>
        <v>46484</v>
      </c>
      <c r="B12453" s="11" t="n">
        <f aca="false">MOD(ROW()-9,24)</f>
        <v>12</v>
      </c>
      <c r="C12453" s="12"/>
      <c r="D12453" s="13" t="n">
        <f aca="false">IF(B12453&lt;5,Einstellungen!$B$3,Einstellungen!$B$4)</f>
        <v>29.13</v>
      </c>
      <c r="E12453" s="14" t="str">
        <f aca="false">IF(C12453="","",C12453*D12453/100)</f>
        <v/>
      </c>
      <c r="F12453" s="15" t="str">
        <f aca="false">IF(B12453&lt;5,"Go","Standard")</f>
        <v>Standard</v>
      </c>
    </row>
    <row r="12454" customFormat="false" ht="15" hidden="false" customHeight="true" outlineLevel="0" collapsed="false">
      <c r="A12454" s="10" t="n">
        <f aca="false">Einstellungen!$B$5+INT((ROW()-9)/24)</f>
        <v>46484</v>
      </c>
      <c r="B12454" s="11" t="n">
        <f aca="false">MOD(ROW()-9,24)</f>
        <v>13</v>
      </c>
      <c r="C12454" s="12"/>
      <c r="D12454" s="13" t="n">
        <f aca="false">IF(B12454&lt;5,Einstellungen!$B$3,Einstellungen!$B$4)</f>
        <v>29.13</v>
      </c>
      <c r="E12454" s="14" t="str">
        <f aca="false">IF(C12454="","",C12454*D12454/100)</f>
        <v/>
      </c>
      <c r="F12454" s="15" t="str">
        <f aca="false">IF(B12454&lt;5,"Go","Standard")</f>
        <v>Standard</v>
      </c>
    </row>
    <row r="12455" customFormat="false" ht="15" hidden="false" customHeight="true" outlineLevel="0" collapsed="false">
      <c r="A12455" s="10" t="n">
        <f aca="false">Einstellungen!$B$5+INT((ROW()-9)/24)</f>
        <v>46484</v>
      </c>
      <c r="B12455" s="11" t="n">
        <f aca="false">MOD(ROW()-9,24)</f>
        <v>14</v>
      </c>
      <c r="C12455" s="12"/>
      <c r="D12455" s="13" t="n">
        <f aca="false">IF(B12455&lt;5,Einstellungen!$B$3,Einstellungen!$B$4)</f>
        <v>29.13</v>
      </c>
      <c r="E12455" s="14" t="str">
        <f aca="false">IF(C12455="","",C12455*D12455/100)</f>
        <v/>
      </c>
      <c r="F12455" s="15" t="str">
        <f aca="false">IF(B12455&lt;5,"Go","Standard")</f>
        <v>Standard</v>
      </c>
    </row>
    <row r="12456" customFormat="false" ht="15" hidden="false" customHeight="true" outlineLevel="0" collapsed="false">
      <c r="A12456" s="10" t="n">
        <f aca="false">Einstellungen!$B$5+INT((ROW()-9)/24)</f>
        <v>46484</v>
      </c>
      <c r="B12456" s="11" t="n">
        <f aca="false">MOD(ROW()-9,24)</f>
        <v>15</v>
      </c>
      <c r="C12456" s="12"/>
      <c r="D12456" s="13" t="n">
        <f aca="false">IF(B12456&lt;5,Einstellungen!$B$3,Einstellungen!$B$4)</f>
        <v>29.13</v>
      </c>
      <c r="E12456" s="14" t="str">
        <f aca="false">IF(C12456="","",C12456*D12456/100)</f>
        <v/>
      </c>
      <c r="F12456" s="15" t="str">
        <f aca="false">IF(B12456&lt;5,"Go","Standard")</f>
        <v>Standard</v>
      </c>
    </row>
    <row r="12457" customFormat="false" ht="15" hidden="false" customHeight="true" outlineLevel="0" collapsed="false">
      <c r="A12457" s="10" t="n">
        <f aca="false">Einstellungen!$B$5+INT((ROW()-9)/24)</f>
        <v>46484</v>
      </c>
      <c r="B12457" s="11" t="n">
        <f aca="false">MOD(ROW()-9,24)</f>
        <v>16</v>
      </c>
      <c r="C12457" s="12"/>
      <c r="D12457" s="13" t="n">
        <f aca="false">IF(B12457&lt;5,Einstellungen!$B$3,Einstellungen!$B$4)</f>
        <v>29.13</v>
      </c>
      <c r="E12457" s="14" t="str">
        <f aca="false">IF(C12457="","",C12457*D12457/100)</f>
        <v/>
      </c>
      <c r="F12457" s="15" t="str">
        <f aca="false">IF(B12457&lt;5,"Go","Standard")</f>
        <v>Standard</v>
      </c>
    </row>
    <row r="12458" customFormat="false" ht="15" hidden="false" customHeight="true" outlineLevel="0" collapsed="false">
      <c r="A12458" s="10" t="n">
        <f aca="false">Einstellungen!$B$5+INT((ROW()-9)/24)</f>
        <v>46484</v>
      </c>
      <c r="B12458" s="11" t="n">
        <f aca="false">MOD(ROW()-9,24)</f>
        <v>17</v>
      </c>
      <c r="C12458" s="12"/>
      <c r="D12458" s="13" t="n">
        <f aca="false">IF(B12458&lt;5,Einstellungen!$B$3,Einstellungen!$B$4)</f>
        <v>29.13</v>
      </c>
      <c r="E12458" s="14" t="str">
        <f aca="false">IF(C12458="","",C12458*D12458/100)</f>
        <v/>
      </c>
      <c r="F12458" s="15" t="str">
        <f aca="false">IF(B12458&lt;5,"Go","Standard")</f>
        <v>Standard</v>
      </c>
    </row>
    <row r="12459" customFormat="false" ht="15" hidden="false" customHeight="true" outlineLevel="0" collapsed="false">
      <c r="A12459" s="10" t="n">
        <f aca="false">Einstellungen!$B$5+INT((ROW()-9)/24)</f>
        <v>46484</v>
      </c>
      <c r="B12459" s="11" t="n">
        <f aca="false">MOD(ROW()-9,24)</f>
        <v>18</v>
      </c>
      <c r="C12459" s="12"/>
      <c r="D12459" s="13" t="n">
        <f aca="false">IF(B12459&lt;5,Einstellungen!$B$3,Einstellungen!$B$4)</f>
        <v>29.13</v>
      </c>
      <c r="E12459" s="14" t="str">
        <f aca="false">IF(C12459="","",C12459*D12459/100)</f>
        <v/>
      </c>
      <c r="F12459" s="15" t="str">
        <f aca="false">IF(B12459&lt;5,"Go","Standard")</f>
        <v>Standard</v>
      </c>
    </row>
    <row r="12460" customFormat="false" ht="15" hidden="false" customHeight="true" outlineLevel="0" collapsed="false">
      <c r="A12460" s="10" t="n">
        <f aca="false">Einstellungen!$B$5+INT((ROW()-9)/24)</f>
        <v>46484</v>
      </c>
      <c r="B12460" s="11" t="n">
        <f aca="false">MOD(ROW()-9,24)</f>
        <v>19</v>
      </c>
      <c r="C12460" s="12"/>
      <c r="D12460" s="13" t="n">
        <f aca="false">IF(B12460&lt;5,Einstellungen!$B$3,Einstellungen!$B$4)</f>
        <v>29.13</v>
      </c>
      <c r="E12460" s="14" t="str">
        <f aca="false">IF(C12460="","",C12460*D12460/100)</f>
        <v/>
      </c>
      <c r="F12460" s="15" t="str">
        <f aca="false">IF(B12460&lt;5,"Go","Standard")</f>
        <v>Standard</v>
      </c>
    </row>
    <row r="12461" customFormat="false" ht="15" hidden="false" customHeight="true" outlineLevel="0" collapsed="false">
      <c r="A12461" s="10" t="n">
        <f aca="false">Einstellungen!$B$5+INT((ROW()-9)/24)</f>
        <v>46484</v>
      </c>
      <c r="B12461" s="11" t="n">
        <f aca="false">MOD(ROW()-9,24)</f>
        <v>20</v>
      </c>
      <c r="C12461" s="12"/>
      <c r="D12461" s="13" t="n">
        <f aca="false">IF(B12461&lt;5,Einstellungen!$B$3,Einstellungen!$B$4)</f>
        <v>29.13</v>
      </c>
      <c r="E12461" s="14" t="str">
        <f aca="false">IF(C12461="","",C12461*D12461/100)</f>
        <v/>
      </c>
      <c r="F12461" s="15" t="str">
        <f aca="false">IF(B12461&lt;5,"Go","Standard")</f>
        <v>Standard</v>
      </c>
    </row>
    <row r="12462" customFormat="false" ht="15" hidden="false" customHeight="true" outlineLevel="0" collapsed="false">
      <c r="A12462" s="10" t="n">
        <f aca="false">Einstellungen!$B$5+INT((ROW()-9)/24)</f>
        <v>46484</v>
      </c>
      <c r="B12462" s="11" t="n">
        <f aca="false">MOD(ROW()-9,24)</f>
        <v>21</v>
      </c>
      <c r="C12462" s="12"/>
      <c r="D12462" s="13" t="n">
        <f aca="false">IF(B12462&lt;5,Einstellungen!$B$3,Einstellungen!$B$4)</f>
        <v>29.13</v>
      </c>
      <c r="E12462" s="14" t="str">
        <f aca="false">IF(C12462="","",C12462*D12462/100)</f>
        <v/>
      </c>
      <c r="F12462" s="15" t="str">
        <f aca="false">IF(B12462&lt;5,"Go","Standard")</f>
        <v>Standard</v>
      </c>
    </row>
    <row r="12463" customFormat="false" ht="15" hidden="false" customHeight="true" outlineLevel="0" collapsed="false">
      <c r="A12463" s="10" t="n">
        <f aca="false">Einstellungen!$B$5+INT((ROW()-9)/24)</f>
        <v>46484</v>
      </c>
      <c r="B12463" s="11" t="n">
        <f aca="false">MOD(ROW()-9,24)</f>
        <v>22</v>
      </c>
      <c r="C12463" s="12"/>
      <c r="D12463" s="13" t="n">
        <f aca="false">IF(B12463&lt;5,Einstellungen!$B$3,Einstellungen!$B$4)</f>
        <v>29.13</v>
      </c>
      <c r="E12463" s="14" t="str">
        <f aca="false">IF(C12463="","",C12463*D12463/100)</f>
        <v/>
      </c>
      <c r="F12463" s="15" t="str">
        <f aca="false">IF(B12463&lt;5,"Go","Standard")</f>
        <v>Standard</v>
      </c>
    </row>
    <row r="12464" customFormat="false" ht="15" hidden="false" customHeight="true" outlineLevel="0" collapsed="false">
      <c r="A12464" s="10" t="n">
        <f aca="false">Einstellungen!$B$5+INT((ROW()-9)/24)</f>
        <v>46484</v>
      </c>
      <c r="B12464" s="11" t="n">
        <f aca="false">MOD(ROW()-9,24)</f>
        <v>23</v>
      </c>
      <c r="C12464" s="12"/>
      <c r="D12464" s="13" t="n">
        <f aca="false">IF(B12464&lt;5,Einstellungen!$B$3,Einstellungen!$B$4)</f>
        <v>29.13</v>
      </c>
      <c r="E12464" s="14" t="str">
        <f aca="false">IF(C12464="","",C12464*D12464/100)</f>
        <v/>
      </c>
      <c r="F12464" s="15" t="str">
        <f aca="false">IF(B12464&lt;5,"Go","Standard")</f>
        <v>Standard</v>
      </c>
    </row>
    <row r="12465" customFormat="false" ht="15" hidden="false" customHeight="true" outlineLevel="0" collapsed="false">
      <c r="A12465" s="10" t="n">
        <f aca="false">Einstellungen!$B$5+INT((ROW()-9)/24)</f>
        <v>46485</v>
      </c>
      <c r="B12465" s="11" t="n">
        <f aca="false">MOD(ROW()-9,24)</f>
        <v>0</v>
      </c>
      <c r="C12465" s="12"/>
      <c r="D12465" s="13" t="n">
        <f aca="false">IF(B12465&lt;5,Einstellungen!$B$3,Einstellungen!$B$4)</f>
        <v>15.92</v>
      </c>
      <c r="E12465" s="14" t="str">
        <f aca="false">IF(C12465="","",C12465*D12465/100)</f>
        <v/>
      </c>
      <c r="F12465" s="15" t="str">
        <f aca="false">IF(B12465&lt;5,"Go","Standard")</f>
        <v>Go</v>
      </c>
    </row>
    <row r="12466" customFormat="false" ht="15" hidden="false" customHeight="true" outlineLevel="0" collapsed="false">
      <c r="A12466" s="10" t="n">
        <f aca="false">Einstellungen!$B$5+INT((ROW()-9)/24)</f>
        <v>46485</v>
      </c>
      <c r="B12466" s="11" t="n">
        <f aca="false">MOD(ROW()-9,24)</f>
        <v>1</v>
      </c>
      <c r="C12466" s="12"/>
      <c r="D12466" s="13" t="n">
        <f aca="false">IF(B12466&lt;5,Einstellungen!$B$3,Einstellungen!$B$4)</f>
        <v>15.92</v>
      </c>
      <c r="E12466" s="14" t="str">
        <f aca="false">IF(C12466="","",C12466*D12466/100)</f>
        <v/>
      </c>
      <c r="F12466" s="15" t="str">
        <f aca="false">IF(B12466&lt;5,"Go","Standard")</f>
        <v>Go</v>
      </c>
    </row>
    <row r="12467" customFormat="false" ht="15" hidden="false" customHeight="true" outlineLevel="0" collapsed="false">
      <c r="A12467" s="10" t="n">
        <f aca="false">Einstellungen!$B$5+INT((ROW()-9)/24)</f>
        <v>46485</v>
      </c>
      <c r="B12467" s="11" t="n">
        <f aca="false">MOD(ROW()-9,24)</f>
        <v>2</v>
      </c>
      <c r="C12467" s="12"/>
      <c r="D12467" s="13" t="n">
        <f aca="false">IF(B12467&lt;5,Einstellungen!$B$3,Einstellungen!$B$4)</f>
        <v>15.92</v>
      </c>
      <c r="E12467" s="14" t="str">
        <f aca="false">IF(C12467="","",C12467*D12467/100)</f>
        <v/>
      </c>
      <c r="F12467" s="15" t="str">
        <f aca="false">IF(B12467&lt;5,"Go","Standard")</f>
        <v>Go</v>
      </c>
    </row>
    <row r="12468" customFormat="false" ht="15" hidden="false" customHeight="true" outlineLevel="0" collapsed="false">
      <c r="A12468" s="10" t="n">
        <f aca="false">Einstellungen!$B$5+INT((ROW()-9)/24)</f>
        <v>46485</v>
      </c>
      <c r="B12468" s="11" t="n">
        <f aca="false">MOD(ROW()-9,24)</f>
        <v>3</v>
      </c>
      <c r="C12468" s="12"/>
      <c r="D12468" s="13" t="n">
        <f aca="false">IF(B12468&lt;5,Einstellungen!$B$3,Einstellungen!$B$4)</f>
        <v>15.92</v>
      </c>
      <c r="E12468" s="14" t="str">
        <f aca="false">IF(C12468="","",C12468*D12468/100)</f>
        <v/>
      </c>
      <c r="F12468" s="15" t="str">
        <f aca="false">IF(B12468&lt;5,"Go","Standard")</f>
        <v>Go</v>
      </c>
    </row>
    <row r="12469" customFormat="false" ht="15" hidden="false" customHeight="true" outlineLevel="0" collapsed="false">
      <c r="A12469" s="10" t="n">
        <f aca="false">Einstellungen!$B$5+INT((ROW()-9)/24)</f>
        <v>46485</v>
      </c>
      <c r="B12469" s="11" t="n">
        <f aca="false">MOD(ROW()-9,24)</f>
        <v>4</v>
      </c>
      <c r="C12469" s="12"/>
      <c r="D12469" s="13" t="n">
        <f aca="false">IF(B12469&lt;5,Einstellungen!$B$3,Einstellungen!$B$4)</f>
        <v>15.92</v>
      </c>
      <c r="E12469" s="14" t="str">
        <f aca="false">IF(C12469="","",C12469*D12469/100)</f>
        <v/>
      </c>
      <c r="F12469" s="15" t="str">
        <f aca="false">IF(B12469&lt;5,"Go","Standard")</f>
        <v>Go</v>
      </c>
    </row>
    <row r="12470" customFormat="false" ht="15" hidden="false" customHeight="true" outlineLevel="0" collapsed="false">
      <c r="A12470" s="10" t="n">
        <f aca="false">Einstellungen!$B$5+INT((ROW()-9)/24)</f>
        <v>46485</v>
      </c>
      <c r="B12470" s="11" t="n">
        <f aca="false">MOD(ROW()-9,24)</f>
        <v>5</v>
      </c>
      <c r="C12470" s="12"/>
      <c r="D12470" s="13" t="n">
        <f aca="false">IF(B12470&lt;5,Einstellungen!$B$3,Einstellungen!$B$4)</f>
        <v>29.13</v>
      </c>
      <c r="E12470" s="14" t="str">
        <f aca="false">IF(C12470="","",C12470*D12470/100)</f>
        <v/>
      </c>
      <c r="F12470" s="15" t="str">
        <f aca="false">IF(B12470&lt;5,"Go","Standard")</f>
        <v>Standard</v>
      </c>
    </row>
    <row r="12471" customFormat="false" ht="15" hidden="false" customHeight="true" outlineLevel="0" collapsed="false">
      <c r="A12471" s="10" t="n">
        <f aca="false">Einstellungen!$B$5+INT((ROW()-9)/24)</f>
        <v>46485</v>
      </c>
      <c r="B12471" s="11" t="n">
        <f aca="false">MOD(ROW()-9,24)</f>
        <v>6</v>
      </c>
      <c r="C12471" s="12"/>
      <c r="D12471" s="13" t="n">
        <f aca="false">IF(B12471&lt;5,Einstellungen!$B$3,Einstellungen!$B$4)</f>
        <v>29.13</v>
      </c>
      <c r="E12471" s="14" t="str">
        <f aca="false">IF(C12471="","",C12471*D12471/100)</f>
        <v/>
      </c>
      <c r="F12471" s="15" t="str">
        <f aca="false">IF(B12471&lt;5,"Go","Standard")</f>
        <v>Standard</v>
      </c>
    </row>
    <row r="12472" customFormat="false" ht="15" hidden="false" customHeight="true" outlineLevel="0" collapsed="false">
      <c r="A12472" s="10" t="n">
        <f aca="false">Einstellungen!$B$5+INT((ROW()-9)/24)</f>
        <v>46485</v>
      </c>
      <c r="B12472" s="11" t="n">
        <f aca="false">MOD(ROW()-9,24)</f>
        <v>7</v>
      </c>
      <c r="C12472" s="12"/>
      <c r="D12472" s="13" t="n">
        <f aca="false">IF(B12472&lt;5,Einstellungen!$B$3,Einstellungen!$B$4)</f>
        <v>29.13</v>
      </c>
      <c r="E12472" s="14" t="str">
        <f aca="false">IF(C12472="","",C12472*D12472/100)</f>
        <v/>
      </c>
      <c r="F12472" s="15" t="str">
        <f aca="false">IF(B12472&lt;5,"Go","Standard")</f>
        <v>Standard</v>
      </c>
    </row>
    <row r="12473" customFormat="false" ht="15" hidden="false" customHeight="true" outlineLevel="0" collapsed="false">
      <c r="A12473" s="10" t="n">
        <f aca="false">Einstellungen!$B$5+INT((ROW()-9)/24)</f>
        <v>46485</v>
      </c>
      <c r="B12473" s="11" t="n">
        <f aca="false">MOD(ROW()-9,24)</f>
        <v>8</v>
      </c>
      <c r="C12473" s="12"/>
      <c r="D12473" s="13" t="n">
        <f aca="false">IF(B12473&lt;5,Einstellungen!$B$3,Einstellungen!$B$4)</f>
        <v>29.13</v>
      </c>
      <c r="E12473" s="14" t="str">
        <f aca="false">IF(C12473="","",C12473*D12473/100)</f>
        <v/>
      </c>
      <c r="F12473" s="15" t="str">
        <f aca="false">IF(B12473&lt;5,"Go","Standard")</f>
        <v>Standard</v>
      </c>
    </row>
    <row r="12474" customFormat="false" ht="15" hidden="false" customHeight="true" outlineLevel="0" collapsed="false">
      <c r="A12474" s="10" t="n">
        <f aca="false">Einstellungen!$B$5+INT((ROW()-9)/24)</f>
        <v>46485</v>
      </c>
      <c r="B12474" s="11" t="n">
        <f aca="false">MOD(ROW()-9,24)</f>
        <v>9</v>
      </c>
      <c r="C12474" s="12"/>
      <c r="D12474" s="13" t="n">
        <f aca="false">IF(B12474&lt;5,Einstellungen!$B$3,Einstellungen!$B$4)</f>
        <v>29.13</v>
      </c>
      <c r="E12474" s="14" t="str">
        <f aca="false">IF(C12474="","",C12474*D12474/100)</f>
        <v/>
      </c>
      <c r="F12474" s="15" t="str">
        <f aca="false">IF(B12474&lt;5,"Go","Standard")</f>
        <v>Standard</v>
      </c>
    </row>
    <row r="12475" customFormat="false" ht="15" hidden="false" customHeight="true" outlineLevel="0" collapsed="false">
      <c r="A12475" s="10" t="n">
        <f aca="false">Einstellungen!$B$5+INT((ROW()-9)/24)</f>
        <v>46485</v>
      </c>
      <c r="B12475" s="11" t="n">
        <f aca="false">MOD(ROW()-9,24)</f>
        <v>10</v>
      </c>
      <c r="C12475" s="12"/>
      <c r="D12475" s="13" t="n">
        <f aca="false">IF(B12475&lt;5,Einstellungen!$B$3,Einstellungen!$B$4)</f>
        <v>29.13</v>
      </c>
      <c r="E12475" s="14" t="str">
        <f aca="false">IF(C12475="","",C12475*D12475/100)</f>
        <v/>
      </c>
      <c r="F12475" s="15" t="str">
        <f aca="false">IF(B12475&lt;5,"Go","Standard")</f>
        <v>Standard</v>
      </c>
    </row>
    <row r="12476" customFormat="false" ht="15" hidden="false" customHeight="true" outlineLevel="0" collapsed="false">
      <c r="A12476" s="10" t="n">
        <f aca="false">Einstellungen!$B$5+INT((ROW()-9)/24)</f>
        <v>46485</v>
      </c>
      <c r="B12476" s="11" t="n">
        <f aca="false">MOD(ROW()-9,24)</f>
        <v>11</v>
      </c>
      <c r="C12476" s="12"/>
      <c r="D12476" s="13" t="n">
        <f aca="false">IF(B12476&lt;5,Einstellungen!$B$3,Einstellungen!$B$4)</f>
        <v>29.13</v>
      </c>
      <c r="E12476" s="14" t="str">
        <f aca="false">IF(C12476="","",C12476*D12476/100)</f>
        <v/>
      </c>
      <c r="F12476" s="15" t="str">
        <f aca="false">IF(B12476&lt;5,"Go","Standard")</f>
        <v>Standard</v>
      </c>
    </row>
    <row r="12477" customFormat="false" ht="15" hidden="false" customHeight="true" outlineLevel="0" collapsed="false">
      <c r="A12477" s="10" t="n">
        <f aca="false">Einstellungen!$B$5+INT((ROW()-9)/24)</f>
        <v>46485</v>
      </c>
      <c r="B12477" s="11" t="n">
        <f aca="false">MOD(ROW()-9,24)</f>
        <v>12</v>
      </c>
      <c r="C12477" s="12"/>
      <c r="D12477" s="13" t="n">
        <f aca="false">IF(B12477&lt;5,Einstellungen!$B$3,Einstellungen!$B$4)</f>
        <v>29.13</v>
      </c>
      <c r="E12477" s="14" t="str">
        <f aca="false">IF(C12477="","",C12477*D12477/100)</f>
        <v/>
      </c>
      <c r="F12477" s="15" t="str">
        <f aca="false">IF(B12477&lt;5,"Go","Standard")</f>
        <v>Standard</v>
      </c>
    </row>
    <row r="12478" customFormat="false" ht="15" hidden="false" customHeight="true" outlineLevel="0" collapsed="false">
      <c r="A12478" s="10" t="n">
        <f aca="false">Einstellungen!$B$5+INT((ROW()-9)/24)</f>
        <v>46485</v>
      </c>
      <c r="B12478" s="11" t="n">
        <f aca="false">MOD(ROW()-9,24)</f>
        <v>13</v>
      </c>
      <c r="C12478" s="12"/>
      <c r="D12478" s="13" t="n">
        <f aca="false">IF(B12478&lt;5,Einstellungen!$B$3,Einstellungen!$B$4)</f>
        <v>29.13</v>
      </c>
      <c r="E12478" s="14" t="str">
        <f aca="false">IF(C12478="","",C12478*D12478/100)</f>
        <v/>
      </c>
      <c r="F12478" s="15" t="str">
        <f aca="false">IF(B12478&lt;5,"Go","Standard")</f>
        <v>Standard</v>
      </c>
    </row>
    <row r="12479" customFormat="false" ht="15" hidden="false" customHeight="true" outlineLevel="0" collapsed="false">
      <c r="A12479" s="10" t="n">
        <f aca="false">Einstellungen!$B$5+INT((ROW()-9)/24)</f>
        <v>46485</v>
      </c>
      <c r="B12479" s="11" t="n">
        <f aca="false">MOD(ROW()-9,24)</f>
        <v>14</v>
      </c>
      <c r="C12479" s="12"/>
      <c r="D12479" s="13" t="n">
        <f aca="false">IF(B12479&lt;5,Einstellungen!$B$3,Einstellungen!$B$4)</f>
        <v>29.13</v>
      </c>
      <c r="E12479" s="14" t="str">
        <f aca="false">IF(C12479="","",C12479*D12479/100)</f>
        <v/>
      </c>
      <c r="F12479" s="15" t="str">
        <f aca="false">IF(B12479&lt;5,"Go","Standard")</f>
        <v>Standard</v>
      </c>
    </row>
    <row r="12480" customFormat="false" ht="15" hidden="false" customHeight="true" outlineLevel="0" collapsed="false">
      <c r="A12480" s="10" t="n">
        <f aca="false">Einstellungen!$B$5+INT((ROW()-9)/24)</f>
        <v>46485</v>
      </c>
      <c r="B12480" s="11" t="n">
        <f aca="false">MOD(ROW()-9,24)</f>
        <v>15</v>
      </c>
      <c r="C12480" s="12"/>
      <c r="D12480" s="13" t="n">
        <f aca="false">IF(B12480&lt;5,Einstellungen!$B$3,Einstellungen!$B$4)</f>
        <v>29.13</v>
      </c>
      <c r="E12480" s="14" t="str">
        <f aca="false">IF(C12480="","",C12480*D12480/100)</f>
        <v/>
      </c>
      <c r="F12480" s="15" t="str">
        <f aca="false">IF(B12480&lt;5,"Go","Standard")</f>
        <v>Standard</v>
      </c>
    </row>
    <row r="12481" customFormat="false" ht="15" hidden="false" customHeight="true" outlineLevel="0" collapsed="false">
      <c r="A12481" s="10" t="n">
        <f aca="false">Einstellungen!$B$5+INT((ROW()-9)/24)</f>
        <v>46485</v>
      </c>
      <c r="B12481" s="11" t="n">
        <f aca="false">MOD(ROW()-9,24)</f>
        <v>16</v>
      </c>
      <c r="C12481" s="12"/>
      <c r="D12481" s="13" t="n">
        <f aca="false">IF(B12481&lt;5,Einstellungen!$B$3,Einstellungen!$B$4)</f>
        <v>29.13</v>
      </c>
      <c r="E12481" s="14" t="str">
        <f aca="false">IF(C12481="","",C12481*D12481/100)</f>
        <v/>
      </c>
      <c r="F12481" s="15" t="str">
        <f aca="false">IF(B12481&lt;5,"Go","Standard")</f>
        <v>Standard</v>
      </c>
    </row>
    <row r="12482" customFormat="false" ht="15" hidden="false" customHeight="true" outlineLevel="0" collapsed="false">
      <c r="A12482" s="10" t="n">
        <f aca="false">Einstellungen!$B$5+INT((ROW()-9)/24)</f>
        <v>46485</v>
      </c>
      <c r="B12482" s="11" t="n">
        <f aca="false">MOD(ROW()-9,24)</f>
        <v>17</v>
      </c>
      <c r="C12482" s="12"/>
      <c r="D12482" s="13" t="n">
        <f aca="false">IF(B12482&lt;5,Einstellungen!$B$3,Einstellungen!$B$4)</f>
        <v>29.13</v>
      </c>
      <c r="E12482" s="14" t="str">
        <f aca="false">IF(C12482="","",C12482*D12482/100)</f>
        <v/>
      </c>
      <c r="F12482" s="15" t="str">
        <f aca="false">IF(B12482&lt;5,"Go","Standard")</f>
        <v>Standard</v>
      </c>
    </row>
    <row r="12483" customFormat="false" ht="15" hidden="false" customHeight="true" outlineLevel="0" collapsed="false">
      <c r="A12483" s="10" t="n">
        <f aca="false">Einstellungen!$B$5+INT((ROW()-9)/24)</f>
        <v>46485</v>
      </c>
      <c r="B12483" s="11" t="n">
        <f aca="false">MOD(ROW()-9,24)</f>
        <v>18</v>
      </c>
      <c r="C12483" s="12"/>
      <c r="D12483" s="13" t="n">
        <f aca="false">IF(B12483&lt;5,Einstellungen!$B$3,Einstellungen!$B$4)</f>
        <v>29.13</v>
      </c>
      <c r="E12483" s="14" t="str">
        <f aca="false">IF(C12483="","",C12483*D12483/100)</f>
        <v/>
      </c>
      <c r="F12483" s="15" t="str">
        <f aca="false">IF(B12483&lt;5,"Go","Standard")</f>
        <v>Standard</v>
      </c>
    </row>
    <row r="12484" customFormat="false" ht="15" hidden="false" customHeight="true" outlineLevel="0" collapsed="false">
      <c r="A12484" s="10" t="n">
        <f aca="false">Einstellungen!$B$5+INT((ROW()-9)/24)</f>
        <v>46485</v>
      </c>
      <c r="B12484" s="11" t="n">
        <f aca="false">MOD(ROW()-9,24)</f>
        <v>19</v>
      </c>
      <c r="C12484" s="12"/>
      <c r="D12484" s="13" t="n">
        <f aca="false">IF(B12484&lt;5,Einstellungen!$B$3,Einstellungen!$B$4)</f>
        <v>29.13</v>
      </c>
      <c r="E12484" s="14" t="str">
        <f aca="false">IF(C12484="","",C12484*D12484/100)</f>
        <v/>
      </c>
      <c r="F12484" s="15" t="str">
        <f aca="false">IF(B12484&lt;5,"Go","Standard")</f>
        <v>Standard</v>
      </c>
    </row>
    <row r="12485" customFormat="false" ht="15" hidden="false" customHeight="true" outlineLevel="0" collapsed="false">
      <c r="A12485" s="10" t="n">
        <f aca="false">Einstellungen!$B$5+INT((ROW()-9)/24)</f>
        <v>46485</v>
      </c>
      <c r="B12485" s="11" t="n">
        <f aca="false">MOD(ROW()-9,24)</f>
        <v>20</v>
      </c>
      <c r="C12485" s="12"/>
      <c r="D12485" s="13" t="n">
        <f aca="false">IF(B12485&lt;5,Einstellungen!$B$3,Einstellungen!$B$4)</f>
        <v>29.13</v>
      </c>
      <c r="E12485" s="14" t="str">
        <f aca="false">IF(C12485="","",C12485*D12485/100)</f>
        <v/>
      </c>
      <c r="F12485" s="15" t="str">
        <f aca="false">IF(B12485&lt;5,"Go","Standard")</f>
        <v>Standard</v>
      </c>
    </row>
    <row r="12486" customFormat="false" ht="15" hidden="false" customHeight="true" outlineLevel="0" collapsed="false">
      <c r="A12486" s="10" t="n">
        <f aca="false">Einstellungen!$B$5+INT((ROW()-9)/24)</f>
        <v>46485</v>
      </c>
      <c r="B12486" s="11" t="n">
        <f aca="false">MOD(ROW()-9,24)</f>
        <v>21</v>
      </c>
      <c r="C12486" s="12"/>
      <c r="D12486" s="13" t="n">
        <f aca="false">IF(B12486&lt;5,Einstellungen!$B$3,Einstellungen!$B$4)</f>
        <v>29.13</v>
      </c>
      <c r="E12486" s="14" t="str">
        <f aca="false">IF(C12486="","",C12486*D12486/100)</f>
        <v/>
      </c>
      <c r="F12486" s="15" t="str">
        <f aca="false">IF(B12486&lt;5,"Go","Standard")</f>
        <v>Standard</v>
      </c>
    </row>
    <row r="12487" customFormat="false" ht="15" hidden="false" customHeight="true" outlineLevel="0" collapsed="false">
      <c r="A12487" s="10" t="n">
        <f aca="false">Einstellungen!$B$5+INT((ROW()-9)/24)</f>
        <v>46485</v>
      </c>
      <c r="B12487" s="11" t="n">
        <f aca="false">MOD(ROW()-9,24)</f>
        <v>22</v>
      </c>
      <c r="C12487" s="12"/>
      <c r="D12487" s="13" t="n">
        <f aca="false">IF(B12487&lt;5,Einstellungen!$B$3,Einstellungen!$B$4)</f>
        <v>29.13</v>
      </c>
      <c r="E12487" s="14" t="str">
        <f aca="false">IF(C12487="","",C12487*D12487/100)</f>
        <v/>
      </c>
      <c r="F12487" s="15" t="str">
        <f aca="false">IF(B12487&lt;5,"Go","Standard")</f>
        <v>Standard</v>
      </c>
    </row>
    <row r="12488" customFormat="false" ht="15" hidden="false" customHeight="true" outlineLevel="0" collapsed="false">
      <c r="A12488" s="10" t="n">
        <f aca="false">Einstellungen!$B$5+INT((ROW()-9)/24)</f>
        <v>46485</v>
      </c>
      <c r="B12488" s="11" t="n">
        <f aca="false">MOD(ROW()-9,24)</f>
        <v>23</v>
      </c>
      <c r="C12488" s="12"/>
      <c r="D12488" s="13" t="n">
        <f aca="false">IF(B12488&lt;5,Einstellungen!$B$3,Einstellungen!$B$4)</f>
        <v>29.13</v>
      </c>
      <c r="E12488" s="14" t="str">
        <f aca="false">IF(C12488="","",C12488*D12488/100)</f>
        <v/>
      </c>
      <c r="F12488" s="15" t="str">
        <f aca="false">IF(B12488&lt;5,"Go","Standard")</f>
        <v>Standard</v>
      </c>
    </row>
    <row r="12489" customFormat="false" ht="15" hidden="false" customHeight="true" outlineLevel="0" collapsed="false">
      <c r="A12489" s="10" t="n">
        <f aca="false">Einstellungen!$B$5+INT((ROW()-9)/24)</f>
        <v>46486</v>
      </c>
      <c r="B12489" s="11" t="n">
        <f aca="false">MOD(ROW()-9,24)</f>
        <v>0</v>
      </c>
      <c r="C12489" s="12"/>
      <c r="D12489" s="13" t="n">
        <f aca="false">IF(B12489&lt;5,Einstellungen!$B$3,Einstellungen!$B$4)</f>
        <v>15.92</v>
      </c>
      <c r="E12489" s="14" t="str">
        <f aca="false">IF(C12489="","",C12489*D12489/100)</f>
        <v/>
      </c>
      <c r="F12489" s="15" t="str">
        <f aca="false">IF(B12489&lt;5,"Go","Standard")</f>
        <v>Go</v>
      </c>
    </row>
    <row r="12490" customFormat="false" ht="15" hidden="false" customHeight="true" outlineLevel="0" collapsed="false">
      <c r="A12490" s="10" t="n">
        <f aca="false">Einstellungen!$B$5+INT((ROW()-9)/24)</f>
        <v>46486</v>
      </c>
      <c r="B12490" s="11" t="n">
        <f aca="false">MOD(ROW()-9,24)</f>
        <v>1</v>
      </c>
      <c r="C12490" s="12"/>
      <c r="D12490" s="13" t="n">
        <f aca="false">IF(B12490&lt;5,Einstellungen!$B$3,Einstellungen!$B$4)</f>
        <v>15.92</v>
      </c>
      <c r="E12490" s="14" t="str">
        <f aca="false">IF(C12490="","",C12490*D12490/100)</f>
        <v/>
      </c>
      <c r="F12490" s="15" t="str">
        <f aca="false">IF(B12490&lt;5,"Go","Standard")</f>
        <v>Go</v>
      </c>
    </row>
    <row r="12491" customFormat="false" ht="15" hidden="false" customHeight="true" outlineLevel="0" collapsed="false">
      <c r="A12491" s="10" t="n">
        <f aca="false">Einstellungen!$B$5+INT((ROW()-9)/24)</f>
        <v>46486</v>
      </c>
      <c r="B12491" s="11" t="n">
        <f aca="false">MOD(ROW()-9,24)</f>
        <v>2</v>
      </c>
      <c r="C12491" s="12"/>
      <c r="D12491" s="13" t="n">
        <f aca="false">IF(B12491&lt;5,Einstellungen!$B$3,Einstellungen!$B$4)</f>
        <v>15.92</v>
      </c>
      <c r="E12491" s="14" t="str">
        <f aca="false">IF(C12491="","",C12491*D12491/100)</f>
        <v/>
      </c>
      <c r="F12491" s="15" t="str">
        <f aca="false">IF(B12491&lt;5,"Go","Standard")</f>
        <v>Go</v>
      </c>
    </row>
    <row r="12492" customFormat="false" ht="15" hidden="false" customHeight="true" outlineLevel="0" collapsed="false">
      <c r="A12492" s="10" t="n">
        <f aca="false">Einstellungen!$B$5+INT((ROW()-9)/24)</f>
        <v>46486</v>
      </c>
      <c r="B12492" s="11" t="n">
        <f aca="false">MOD(ROW()-9,24)</f>
        <v>3</v>
      </c>
      <c r="C12492" s="12"/>
      <c r="D12492" s="13" t="n">
        <f aca="false">IF(B12492&lt;5,Einstellungen!$B$3,Einstellungen!$B$4)</f>
        <v>15.92</v>
      </c>
      <c r="E12492" s="14" t="str">
        <f aca="false">IF(C12492="","",C12492*D12492/100)</f>
        <v/>
      </c>
      <c r="F12492" s="15" t="str">
        <f aca="false">IF(B12492&lt;5,"Go","Standard")</f>
        <v>Go</v>
      </c>
    </row>
    <row r="12493" customFormat="false" ht="15" hidden="false" customHeight="true" outlineLevel="0" collapsed="false">
      <c r="A12493" s="10" t="n">
        <f aca="false">Einstellungen!$B$5+INT((ROW()-9)/24)</f>
        <v>46486</v>
      </c>
      <c r="B12493" s="11" t="n">
        <f aca="false">MOD(ROW()-9,24)</f>
        <v>4</v>
      </c>
      <c r="C12493" s="12"/>
      <c r="D12493" s="13" t="n">
        <f aca="false">IF(B12493&lt;5,Einstellungen!$B$3,Einstellungen!$B$4)</f>
        <v>15.92</v>
      </c>
      <c r="E12493" s="14" t="str">
        <f aca="false">IF(C12493="","",C12493*D12493/100)</f>
        <v/>
      </c>
      <c r="F12493" s="15" t="str">
        <f aca="false">IF(B12493&lt;5,"Go","Standard")</f>
        <v>Go</v>
      </c>
    </row>
    <row r="12494" customFormat="false" ht="15" hidden="false" customHeight="true" outlineLevel="0" collapsed="false">
      <c r="A12494" s="10" t="n">
        <f aca="false">Einstellungen!$B$5+INT((ROW()-9)/24)</f>
        <v>46486</v>
      </c>
      <c r="B12494" s="11" t="n">
        <f aca="false">MOD(ROW()-9,24)</f>
        <v>5</v>
      </c>
      <c r="C12494" s="12"/>
      <c r="D12494" s="13" t="n">
        <f aca="false">IF(B12494&lt;5,Einstellungen!$B$3,Einstellungen!$B$4)</f>
        <v>29.13</v>
      </c>
      <c r="E12494" s="14" t="str">
        <f aca="false">IF(C12494="","",C12494*D12494/100)</f>
        <v/>
      </c>
      <c r="F12494" s="15" t="str">
        <f aca="false">IF(B12494&lt;5,"Go","Standard")</f>
        <v>Standard</v>
      </c>
    </row>
    <row r="12495" customFormat="false" ht="15" hidden="false" customHeight="true" outlineLevel="0" collapsed="false">
      <c r="A12495" s="10" t="n">
        <f aca="false">Einstellungen!$B$5+INT((ROW()-9)/24)</f>
        <v>46486</v>
      </c>
      <c r="B12495" s="11" t="n">
        <f aca="false">MOD(ROW()-9,24)</f>
        <v>6</v>
      </c>
      <c r="C12495" s="12"/>
      <c r="D12495" s="13" t="n">
        <f aca="false">IF(B12495&lt;5,Einstellungen!$B$3,Einstellungen!$B$4)</f>
        <v>29.13</v>
      </c>
      <c r="E12495" s="14" t="str">
        <f aca="false">IF(C12495="","",C12495*D12495/100)</f>
        <v/>
      </c>
      <c r="F12495" s="15" t="str">
        <f aca="false">IF(B12495&lt;5,"Go","Standard")</f>
        <v>Standard</v>
      </c>
    </row>
    <row r="12496" customFormat="false" ht="15" hidden="false" customHeight="true" outlineLevel="0" collapsed="false">
      <c r="A12496" s="10" t="n">
        <f aca="false">Einstellungen!$B$5+INT((ROW()-9)/24)</f>
        <v>46486</v>
      </c>
      <c r="B12496" s="11" t="n">
        <f aca="false">MOD(ROW()-9,24)</f>
        <v>7</v>
      </c>
      <c r="C12496" s="12"/>
      <c r="D12496" s="13" t="n">
        <f aca="false">IF(B12496&lt;5,Einstellungen!$B$3,Einstellungen!$B$4)</f>
        <v>29.13</v>
      </c>
      <c r="E12496" s="14" t="str">
        <f aca="false">IF(C12496="","",C12496*D12496/100)</f>
        <v/>
      </c>
      <c r="F12496" s="15" t="str">
        <f aca="false">IF(B12496&lt;5,"Go","Standard")</f>
        <v>Standard</v>
      </c>
    </row>
    <row r="12497" customFormat="false" ht="15" hidden="false" customHeight="true" outlineLevel="0" collapsed="false">
      <c r="A12497" s="10" t="n">
        <f aca="false">Einstellungen!$B$5+INT((ROW()-9)/24)</f>
        <v>46486</v>
      </c>
      <c r="B12497" s="11" t="n">
        <f aca="false">MOD(ROW()-9,24)</f>
        <v>8</v>
      </c>
      <c r="C12497" s="12"/>
      <c r="D12497" s="13" t="n">
        <f aca="false">IF(B12497&lt;5,Einstellungen!$B$3,Einstellungen!$B$4)</f>
        <v>29.13</v>
      </c>
      <c r="E12497" s="14" t="str">
        <f aca="false">IF(C12497="","",C12497*D12497/100)</f>
        <v/>
      </c>
      <c r="F12497" s="15" t="str">
        <f aca="false">IF(B12497&lt;5,"Go","Standard")</f>
        <v>Standard</v>
      </c>
    </row>
    <row r="12498" customFormat="false" ht="15" hidden="false" customHeight="true" outlineLevel="0" collapsed="false">
      <c r="A12498" s="10" t="n">
        <f aca="false">Einstellungen!$B$5+INT((ROW()-9)/24)</f>
        <v>46486</v>
      </c>
      <c r="B12498" s="11" t="n">
        <f aca="false">MOD(ROW()-9,24)</f>
        <v>9</v>
      </c>
      <c r="C12498" s="12"/>
      <c r="D12498" s="13" t="n">
        <f aca="false">IF(B12498&lt;5,Einstellungen!$B$3,Einstellungen!$B$4)</f>
        <v>29.13</v>
      </c>
      <c r="E12498" s="14" t="str">
        <f aca="false">IF(C12498="","",C12498*D12498/100)</f>
        <v/>
      </c>
      <c r="F12498" s="15" t="str">
        <f aca="false">IF(B12498&lt;5,"Go","Standard")</f>
        <v>Standard</v>
      </c>
    </row>
    <row r="12499" customFormat="false" ht="15" hidden="false" customHeight="true" outlineLevel="0" collapsed="false">
      <c r="A12499" s="10" t="n">
        <f aca="false">Einstellungen!$B$5+INT((ROW()-9)/24)</f>
        <v>46486</v>
      </c>
      <c r="B12499" s="11" t="n">
        <f aca="false">MOD(ROW()-9,24)</f>
        <v>10</v>
      </c>
      <c r="C12499" s="12"/>
      <c r="D12499" s="13" t="n">
        <f aca="false">IF(B12499&lt;5,Einstellungen!$B$3,Einstellungen!$B$4)</f>
        <v>29.13</v>
      </c>
      <c r="E12499" s="14" t="str">
        <f aca="false">IF(C12499="","",C12499*D12499/100)</f>
        <v/>
      </c>
      <c r="F12499" s="15" t="str">
        <f aca="false">IF(B12499&lt;5,"Go","Standard")</f>
        <v>Standard</v>
      </c>
    </row>
    <row r="12500" customFormat="false" ht="15" hidden="false" customHeight="true" outlineLevel="0" collapsed="false">
      <c r="A12500" s="10" t="n">
        <f aca="false">Einstellungen!$B$5+INT((ROW()-9)/24)</f>
        <v>46486</v>
      </c>
      <c r="B12500" s="11" t="n">
        <f aca="false">MOD(ROW()-9,24)</f>
        <v>11</v>
      </c>
      <c r="C12500" s="12"/>
      <c r="D12500" s="13" t="n">
        <f aca="false">IF(B12500&lt;5,Einstellungen!$B$3,Einstellungen!$B$4)</f>
        <v>29.13</v>
      </c>
      <c r="E12500" s="14" t="str">
        <f aca="false">IF(C12500="","",C12500*D12500/100)</f>
        <v/>
      </c>
      <c r="F12500" s="15" t="str">
        <f aca="false">IF(B12500&lt;5,"Go","Standard")</f>
        <v>Standard</v>
      </c>
    </row>
    <row r="12501" customFormat="false" ht="15" hidden="false" customHeight="true" outlineLevel="0" collapsed="false">
      <c r="A12501" s="10" t="n">
        <f aca="false">Einstellungen!$B$5+INT((ROW()-9)/24)</f>
        <v>46486</v>
      </c>
      <c r="B12501" s="11" t="n">
        <f aca="false">MOD(ROW()-9,24)</f>
        <v>12</v>
      </c>
      <c r="C12501" s="12"/>
      <c r="D12501" s="13" t="n">
        <f aca="false">IF(B12501&lt;5,Einstellungen!$B$3,Einstellungen!$B$4)</f>
        <v>29.13</v>
      </c>
      <c r="E12501" s="14" t="str">
        <f aca="false">IF(C12501="","",C12501*D12501/100)</f>
        <v/>
      </c>
      <c r="F12501" s="15" t="str">
        <f aca="false">IF(B12501&lt;5,"Go","Standard")</f>
        <v>Standard</v>
      </c>
    </row>
    <row r="12502" customFormat="false" ht="15" hidden="false" customHeight="true" outlineLevel="0" collapsed="false">
      <c r="A12502" s="10" t="n">
        <f aca="false">Einstellungen!$B$5+INT((ROW()-9)/24)</f>
        <v>46486</v>
      </c>
      <c r="B12502" s="11" t="n">
        <f aca="false">MOD(ROW()-9,24)</f>
        <v>13</v>
      </c>
      <c r="C12502" s="12"/>
      <c r="D12502" s="13" t="n">
        <f aca="false">IF(B12502&lt;5,Einstellungen!$B$3,Einstellungen!$B$4)</f>
        <v>29.13</v>
      </c>
      <c r="E12502" s="14" t="str">
        <f aca="false">IF(C12502="","",C12502*D12502/100)</f>
        <v/>
      </c>
      <c r="F12502" s="15" t="str">
        <f aca="false">IF(B12502&lt;5,"Go","Standard")</f>
        <v>Standard</v>
      </c>
    </row>
    <row r="12503" customFormat="false" ht="15" hidden="false" customHeight="true" outlineLevel="0" collapsed="false">
      <c r="A12503" s="10" t="n">
        <f aca="false">Einstellungen!$B$5+INT((ROW()-9)/24)</f>
        <v>46486</v>
      </c>
      <c r="B12503" s="11" t="n">
        <f aca="false">MOD(ROW()-9,24)</f>
        <v>14</v>
      </c>
      <c r="C12503" s="12"/>
      <c r="D12503" s="13" t="n">
        <f aca="false">IF(B12503&lt;5,Einstellungen!$B$3,Einstellungen!$B$4)</f>
        <v>29.13</v>
      </c>
      <c r="E12503" s="14" t="str">
        <f aca="false">IF(C12503="","",C12503*D12503/100)</f>
        <v/>
      </c>
      <c r="F12503" s="15" t="str">
        <f aca="false">IF(B12503&lt;5,"Go","Standard")</f>
        <v>Standard</v>
      </c>
    </row>
    <row r="12504" customFormat="false" ht="15" hidden="false" customHeight="true" outlineLevel="0" collapsed="false">
      <c r="A12504" s="10" t="n">
        <f aca="false">Einstellungen!$B$5+INT((ROW()-9)/24)</f>
        <v>46486</v>
      </c>
      <c r="B12504" s="11" t="n">
        <f aca="false">MOD(ROW()-9,24)</f>
        <v>15</v>
      </c>
      <c r="C12504" s="12"/>
      <c r="D12504" s="13" t="n">
        <f aca="false">IF(B12504&lt;5,Einstellungen!$B$3,Einstellungen!$B$4)</f>
        <v>29.13</v>
      </c>
      <c r="E12504" s="14" t="str">
        <f aca="false">IF(C12504="","",C12504*D12504/100)</f>
        <v/>
      </c>
      <c r="F12504" s="15" t="str">
        <f aca="false">IF(B12504&lt;5,"Go","Standard")</f>
        <v>Standard</v>
      </c>
    </row>
    <row r="12505" customFormat="false" ht="15" hidden="false" customHeight="true" outlineLevel="0" collapsed="false">
      <c r="A12505" s="10" t="n">
        <f aca="false">Einstellungen!$B$5+INT((ROW()-9)/24)</f>
        <v>46486</v>
      </c>
      <c r="B12505" s="11" t="n">
        <f aca="false">MOD(ROW()-9,24)</f>
        <v>16</v>
      </c>
      <c r="C12505" s="12"/>
      <c r="D12505" s="13" t="n">
        <f aca="false">IF(B12505&lt;5,Einstellungen!$B$3,Einstellungen!$B$4)</f>
        <v>29.13</v>
      </c>
      <c r="E12505" s="14" t="str">
        <f aca="false">IF(C12505="","",C12505*D12505/100)</f>
        <v/>
      </c>
      <c r="F12505" s="15" t="str">
        <f aca="false">IF(B12505&lt;5,"Go","Standard")</f>
        <v>Standard</v>
      </c>
    </row>
    <row r="12506" customFormat="false" ht="15" hidden="false" customHeight="true" outlineLevel="0" collapsed="false">
      <c r="A12506" s="10" t="n">
        <f aca="false">Einstellungen!$B$5+INT((ROW()-9)/24)</f>
        <v>46486</v>
      </c>
      <c r="B12506" s="11" t="n">
        <f aca="false">MOD(ROW()-9,24)</f>
        <v>17</v>
      </c>
      <c r="C12506" s="12"/>
      <c r="D12506" s="13" t="n">
        <f aca="false">IF(B12506&lt;5,Einstellungen!$B$3,Einstellungen!$B$4)</f>
        <v>29.13</v>
      </c>
      <c r="E12506" s="14" t="str">
        <f aca="false">IF(C12506="","",C12506*D12506/100)</f>
        <v/>
      </c>
      <c r="F12506" s="15" t="str">
        <f aca="false">IF(B12506&lt;5,"Go","Standard")</f>
        <v>Standard</v>
      </c>
    </row>
    <row r="12507" customFormat="false" ht="15" hidden="false" customHeight="true" outlineLevel="0" collapsed="false">
      <c r="A12507" s="10" t="n">
        <f aca="false">Einstellungen!$B$5+INT((ROW()-9)/24)</f>
        <v>46486</v>
      </c>
      <c r="B12507" s="11" t="n">
        <f aca="false">MOD(ROW()-9,24)</f>
        <v>18</v>
      </c>
      <c r="C12507" s="12"/>
      <c r="D12507" s="13" t="n">
        <f aca="false">IF(B12507&lt;5,Einstellungen!$B$3,Einstellungen!$B$4)</f>
        <v>29.13</v>
      </c>
      <c r="E12507" s="14" t="str">
        <f aca="false">IF(C12507="","",C12507*D12507/100)</f>
        <v/>
      </c>
      <c r="F12507" s="15" t="str">
        <f aca="false">IF(B12507&lt;5,"Go","Standard")</f>
        <v>Standard</v>
      </c>
    </row>
    <row r="12508" customFormat="false" ht="15" hidden="false" customHeight="true" outlineLevel="0" collapsed="false">
      <c r="A12508" s="10" t="n">
        <f aca="false">Einstellungen!$B$5+INT((ROW()-9)/24)</f>
        <v>46486</v>
      </c>
      <c r="B12508" s="11" t="n">
        <f aca="false">MOD(ROW()-9,24)</f>
        <v>19</v>
      </c>
      <c r="C12508" s="12"/>
      <c r="D12508" s="13" t="n">
        <f aca="false">IF(B12508&lt;5,Einstellungen!$B$3,Einstellungen!$B$4)</f>
        <v>29.13</v>
      </c>
      <c r="E12508" s="14" t="str">
        <f aca="false">IF(C12508="","",C12508*D12508/100)</f>
        <v/>
      </c>
      <c r="F12508" s="15" t="str">
        <f aca="false">IF(B12508&lt;5,"Go","Standard")</f>
        <v>Standard</v>
      </c>
    </row>
    <row r="12509" customFormat="false" ht="15" hidden="false" customHeight="true" outlineLevel="0" collapsed="false">
      <c r="A12509" s="10" t="n">
        <f aca="false">Einstellungen!$B$5+INT((ROW()-9)/24)</f>
        <v>46486</v>
      </c>
      <c r="B12509" s="11" t="n">
        <f aca="false">MOD(ROW()-9,24)</f>
        <v>20</v>
      </c>
      <c r="C12509" s="12"/>
      <c r="D12509" s="13" t="n">
        <f aca="false">IF(B12509&lt;5,Einstellungen!$B$3,Einstellungen!$B$4)</f>
        <v>29.13</v>
      </c>
      <c r="E12509" s="14" t="str">
        <f aca="false">IF(C12509="","",C12509*D12509/100)</f>
        <v/>
      </c>
      <c r="F12509" s="15" t="str">
        <f aca="false">IF(B12509&lt;5,"Go","Standard")</f>
        <v>Standard</v>
      </c>
    </row>
    <row r="12510" customFormat="false" ht="15" hidden="false" customHeight="true" outlineLevel="0" collapsed="false">
      <c r="A12510" s="10" t="n">
        <f aca="false">Einstellungen!$B$5+INT((ROW()-9)/24)</f>
        <v>46486</v>
      </c>
      <c r="B12510" s="11" t="n">
        <f aca="false">MOD(ROW()-9,24)</f>
        <v>21</v>
      </c>
      <c r="C12510" s="12"/>
      <c r="D12510" s="13" t="n">
        <f aca="false">IF(B12510&lt;5,Einstellungen!$B$3,Einstellungen!$B$4)</f>
        <v>29.13</v>
      </c>
      <c r="E12510" s="14" t="str">
        <f aca="false">IF(C12510="","",C12510*D12510/100)</f>
        <v/>
      </c>
      <c r="F12510" s="15" t="str">
        <f aca="false">IF(B12510&lt;5,"Go","Standard")</f>
        <v>Standard</v>
      </c>
    </row>
    <row r="12511" customFormat="false" ht="15" hidden="false" customHeight="true" outlineLevel="0" collapsed="false">
      <c r="A12511" s="10" t="n">
        <f aca="false">Einstellungen!$B$5+INT((ROW()-9)/24)</f>
        <v>46486</v>
      </c>
      <c r="B12511" s="11" t="n">
        <f aca="false">MOD(ROW()-9,24)</f>
        <v>22</v>
      </c>
      <c r="C12511" s="12"/>
      <c r="D12511" s="13" t="n">
        <f aca="false">IF(B12511&lt;5,Einstellungen!$B$3,Einstellungen!$B$4)</f>
        <v>29.13</v>
      </c>
      <c r="E12511" s="14" t="str">
        <f aca="false">IF(C12511="","",C12511*D12511/100)</f>
        <v/>
      </c>
      <c r="F12511" s="15" t="str">
        <f aca="false">IF(B12511&lt;5,"Go","Standard")</f>
        <v>Standard</v>
      </c>
    </row>
    <row r="12512" customFormat="false" ht="15" hidden="false" customHeight="true" outlineLevel="0" collapsed="false">
      <c r="A12512" s="10" t="n">
        <f aca="false">Einstellungen!$B$5+INT((ROW()-9)/24)</f>
        <v>46486</v>
      </c>
      <c r="B12512" s="11" t="n">
        <f aca="false">MOD(ROW()-9,24)</f>
        <v>23</v>
      </c>
      <c r="C12512" s="12"/>
      <c r="D12512" s="13" t="n">
        <f aca="false">IF(B12512&lt;5,Einstellungen!$B$3,Einstellungen!$B$4)</f>
        <v>29.13</v>
      </c>
      <c r="E12512" s="14" t="str">
        <f aca="false">IF(C12512="","",C12512*D12512/100)</f>
        <v/>
      </c>
      <c r="F12512" s="15" t="str">
        <f aca="false">IF(B12512&lt;5,"Go","Standard")</f>
        <v>Standard</v>
      </c>
    </row>
    <row r="12513" customFormat="false" ht="15" hidden="false" customHeight="true" outlineLevel="0" collapsed="false">
      <c r="A12513" s="10" t="n">
        <f aca="false">Einstellungen!$B$5+INT((ROW()-9)/24)</f>
        <v>46487</v>
      </c>
      <c r="B12513" s="11" t="n">
        <f aca="false">MOD(ROW()-9,24)</f>
        <v>0</v>
      </c>
      <c r="C12513" s="12"/>
      <c r="D12513" s="13" t="n">
        <f aca="false">IF(B12513&lt;5,Einstellungen!$B$3,Einstellungen!$B$4)</f>
        <v>15.92</v>
      </c>
      <c r="E12513" s="14" t="str">
        <f aca="false">IF(C12513="","",C12513*D12513/100)</f>
        <v/>
      </c>
      <c r="F12513" s="15" t="str">
        <f aca="false">IF(B12513&lt;5,"Go","Standard")</f>
        <v>Go</v>
      </c>
    </row>
    <row r="12514" customFormat="false" ht="15" hidden="false" customHeight="true" outlineLevel="0" collapsed="false">
      <c r="A12514" s="10" t="n">
        <f aca="false">Einstellungen!$B$5+INT((ROW()-9)/24)</f>
        <v>46487</v>
      </c>
      <c r="B12514" s="11" t="n">
        <f aca="false">MOD(ROW()-9,24)</f>
        <v>1</v>
      </c>
      <c r="C12514" s="12"/>
      <c r="D12514" s="13" t="n">
        <f aca="false">IF(B12514&lt;5,Einstellungen!$B$3,Einstellungen!$B$4)</f>
        <v>15.92</v>
      </c>
      <c r="E12514" s="14" t="str">
        <f aca="false">IF(C12514="","",C12514*D12514/100)</f>
        <v/>
      </c>
      <c r="F12514" s="15" t="str">
        <f aca="false">IF(B12514&lt;5,"Go","Standard")</f>
        <v>Go</v>
      </c>
    </row>
    <row r="12515" customFormat="false" ht="15" hidden="false" customHeight="true" outlineLevel="0" collapsed="false">
      <c r="A12515" s="10" t="n">
        <f aca="false">Einstellungen!$B$5+INT((ROW()-9)/24)</f>
        <v>46487</v>
      </c>
      <c r="B12515" s="11" t="n">
        <f aca="false">MOD(ROW()-9,24)</f>
        <v>2</v>
      </c>
      <c r="C12515" s="12"/>
      <c r="D12515" s="13" t="n">
        <f aca="false">IF(B12515&lt;5,Einstellungen!$B$3,Einstellungen!$B$4)</f>
        <v>15.92</v>
      </c>
      <c r="E12515" s="14" t="str">
        <f aca="false">IF(C12515="","",C12515*D12515/100)</f>
        <v/>
      </c>
      <c r="F12515" s="15" t="str">
        <f aca="false">IF(B12515&lt;5,"Go","Standard")</f>
        <v>Go</v>
      </c>
    </row>
    <row r="12516" customFormat="false" ht="15" hidden="false" customHeight="true" outlineLevel="0" collapsed="false">
      <c r="A12516" s="10" t="n">
        <f aca="false">Einstellungen!$B$5+INT((ROW()-9)/24)</f>
        <v>46487</v>
      </c>
      <c r="B12516" s="11" t="n">
        <f aca="false">MOD(ROW()-9,24)</f>
        <v>3</v>
      </c>
      <c r="C12516" s="12"/>
      <c r="D12516" s="13" t="n">
        <f aca="false">IF(B12516&lt;5,Einstellungen!$B$3,Einstellungen!$B$4)</f>
        <v>15.92</v>
      </c>
      <c r="E12516" s="14" t="str">
        <f aca="false">IF(C12516="","",C12516*D12516/100)</f>
        <v/>
      </c>
      <c r="F12516" s="15" t="str">
        <f aca="false">IF(B12516&lt;5,"Go","Standard")</f>
        <v>Go</v>
      </c>
    </row>
    <row r="12517" customFormat="false" ht="15" hidden="false" customHeight="true" outlineLevel="0" collapsed="false">
      <c r="A12517" s="10" t="n">
        <f aca="false">Einstellungen!$B$5+INT((ROW()-9)/24)</f>
        <v>46487</v>
      </c>
      <c r="B12517" s="11" t="n">
        <f aca="false">MOD(ROW()-9,24)</f>
        <v>4</v>
      </c>
      <c r="C12517" s="12"/>
      <c r="D12517" s="13" t="n">
        <f aca="false">IF(B12517&lt;5,Einstellungen!$B$3,Einstellungen!$B$4)</f>
        <v>15.92</v>
      </c>
      <c r="E12517" s="14" t="str">
        <f aca="false">IF(C12517="","",C12517*D12517/100)</f>
        <v/>
      </c>
      <c r="F12517" s="15" t="str">
        <f aca="false">IF(B12517&lt;5,"Go","Standard")</f>
        <v>Go</v>
      </c>
    </row>
    <row r="12518" customFormat="false" ht="15" hidden="false" customHeight="true" outlineLevel="0" collapsed="false">
      <c r="A12518" s="10" t="n">
        <f aca="false">Einstellungen!$B$5+INT((ROW()-9)/24)</f>
        <v>46487</v>
      </c>
      <c r="B12518" s="11" t="n">
        <f aca="false">MOD(ROW()-9,24)</f>
        <v>5</v>
      </c>
      <c r="C12518" s="12"/>
      <c r="D12518" s="13" t="n">
        <f aca="false">IF(B12518&lt;5,Einstellungen!$B$3,Einstellungen!$B$4)</f>
        <v>29.13</v>
      </c>
      <c r="E12518" s="14" t="str">
        <f aca="false">IF(C12518="","",C12518*D12518/100)</f>
        <v/>
      </c>
      <c r="F12518" s="15" t="str">
        <f aca="false">IF(B12518&lt;5,"Go","Standard")</f>
        <v>Standard</v>
      </c>
    </row>
    <row r="12519" customFormat="false" ht="15" hidden="false" customHeight="true" outlineLevel="0" collapsed="false">
      <c r="A12519" s="10" t="n">
        <f aca="false">Einstellungen!$B$5+INT((ROW()-9)/24)</f>
        <v>46487</v>
      </c>
      <c r="B12519" s="11" t="n">
        <f aca="false">MOD(ROW()-9,24)</f>
        <v>6</v>
      </c>
      <c r="C12519" s="12"/>
      <c r="D12519" s="13" t="n">
        <f aca="false">IF(B12519&lt;5,Einstellungen!$B$3,Einstellungen!$B$4)</f>
        <v>29.13</v>
      </c>
      <c r="E12519" s="14" t="str">
        <f aca="false">IF(C12519="","",C12519*D12519/100)</f>
        <v/>
      </c>
      <c r="F12519" s="15" t="str">
        <f aca="false">IF(B12519&lt;5,"Go","Standard")</f>
        <v>Standard</v>
      </c>
    </row>
    <row r="12520" customFormat="false" ht="15" hidden="false" customHeight="true" outlineLevel="0" collapsed="false">
      <c r="A12520" s="10" t="n">
        <f aca="false">Einstellungen!$B$5+INT((ROW()-9)/24)</f>
        <v>46487</v>
      </c>
      <c r="B12520" s="11" t="n">
        <f aca="false">MOD(ROW()-9,24)</f>
        <v>7</v>
      </c>
      <c r="C12520" s="12"/>
      <c r="D12520" s="13" t="n">
        <f aca="false">IF(B12520&lt;5,Einstellungen!$B$3,Einstellungen!$B$4)</f>
        <v>29.13</v>
      </c>
      <c r="E12520" s="14" t="str">
        <f aca="false">IF(C12520="","",C12520*D12520/100)</f>
        <v/>
      </c>
      <c r="F12520" s="15" t="str">
        <f aca="false">IF(B12520&lt;5,"Go","Standard")</f>
        <v>Standard</v>
      </c>
    </row>
    <row r="12521" customFormat="false" ht="15" hidden="false" customHeight="true" outlineLevel="0" collapsed="false">
      <c r="A12521" s="10" t="n">
        <f aca="false">Einstellungen!$B$5+INT((ROW()-9)/24)</f>
        <v>46487</v>
      </c>
      <c r="B12521" s="11" t="n">
        <f aca="false">MOD(ROW()-9,24)</f>
        <v>8</v>
      </c>
      <c r="C12521" s="12"/>
      <c r="D12521" s="13" t="n">
        <f aca="false">IF(B12521&lt;5,Einstellungen!$B$3,Einstellungen!$B$4)</f>
        <v>29.13</v>
      </c>
      <c r="E12521" s="14" t="str">
        <f aca="false">IF(C12521="","",C12521*D12521/100)</f>
        <v/>
      </c>
      <c r="F12521" s="15" t="str">
        <f aca="false">IF(B12521&lt;5,"Go","Standard")</f>
        <v>Standard</v>
      </c>
    </row>
    <row r="12522" customFormat="false" ht="15" hidden="false" customHeight="true" outlineLevel="0" collapsed="false">
      <c r="A12522" s="10" t="n">
        <f aca="false">Einstellungen!$B$5+INT((ROW()-9)/24)</f>
        <v>46487</v>
      </c>
      <c r="B12522" s="11" t="n">
        <f aca="false">MOD(ROW()-9,24)</f>
        <v>9</v>
      </c>
      <c r="C12522" s="12"/>
      <c r="D12522" s="13" t="n">
        <f aca="false">IF(B12522&lt;5,Einstellungen!$B$3,Einstellungen!$B$4)</f>
        <v>29.13</v>
      </c>
      <c r="E12522" s="14" t="str">
        <f aca="false">IF(C12522="","",C12522*D12522/100)</f>
        <v/>
      </c>
      <c r="F12522" s="15" t="str">
        <f aca="false">IF(B12522&lt;5,"Go","Standard")</f>
        <v>Standard</v>
      </c>
    </row>
    <row r="12523" customFormat="false" ht="15" hidden="false" customHeight="true" outlineLevel="0" collapsed="false">
      <c r="A12523" s="10" t="n">
        <f aca="false">Einstellungen!$B$5+INT((ROW()-9)/24)</f>
        <v>46487</v>
      </c>
      <c r="B12523" s="11" t="n">
        <f aca="false">MOD(ROW()-9,24)</f>
        <v>10</v>
      </c>
      <c r="C12523" s="12"/>
      <c r="D12523" s="13" t="n">
        <f aca="false">IF(B12523&lt;5,Einstellungen!$B$3,Einstellungen!$B$4)</f>
        <v>29.13</v>
      </c>
      <c r="E12523" s="14" t="str">
        <f aca="false">IF(C12523="","",C12523*D12523/100)</f>
        <v/>
      </c>
      <c r="F12523" s="15" t="str">
        <f aca="false">IF(B12523&lt;5,"Go","Standard")</f>
        <v>Standard</v>
      </c>
    </row>
    <row r="12524" customFormat="false" ht="15" hidden="false" customHeight="true" outlineLevel="0" collapsed="false">
      <c r="A12524" s="10" t="n">
        <f aca="false">Einstellungen!$B$5+INT((ROW()-9)/24)</f>
        <v>46487</v>
      </c>
      <c r="B12524" s="11" t="n">
        <f aca="false">MOD(ROW()-9,24)</f>
        <v>11</v>
      </c>
      <c r="C12524" s="12"/>
      <c r="D12524" s="13" t="n">
        <f aca="false">IF(B12524&lt;5,Einstellungen!$B$3,Einstellungen!$B$4)</f>
        <v>29.13</v>
      </c>
      <c r="E12524" s="14" t="str">
        <f aca="false">IF(C12524="","",C12524*D12524/100)</f>
        <v/>
      </c>
      <c r="F12524" s="15" t="str">
        <f aca="false">IF(B12524&lt;5,"Go","Standard")</f>
        <v>Standard</v>
      </c>
    </row>
    <row r="12525" customFormat="false" ht="15" hidden="false" customHeight="true" outlineLevel="0" collapsed="false">
      <c r="A12525" s="10" t="n">
        <f aca="false">Einstellungen!$B$5+INT((ROW()-9)/24)</f>
        <v>46487</v>
      </c>
      <c r="B12525" s="11" t="n">
        <f aca="false">MOD(ROW()-9,24)</f>
        <v>12</v>
      </c>
      <c r="C12525" s="12"/>
      <c r="D12525" s="13" t="n">
        <f aca="false">IF(B12525&lt;5,Einstellungen!$B$3,Einstellungen!$B$4)</f>
        <v>29.13</v>
      </c>
      <c r="E12525" s="14" t="str">
        <f aca="false">IF(C12525="","",C12525*D12525/100)</f>
        <v/>
      </c>
      <c r="F12525" s="15" t="str">
        <f aca="false">IF(B12525&lt;5,"Go","Standard")</f>
        <v>Standard</v>
      </c>
    </row>
    <row r="12526" customFormat="false" ht="15" hidden="false" customHeight="true" outlineLevel="0" collapsed="false">
      <c r="A12526" s="10" t="n">
        <f aca="false">Einstellungen!$B$5+INT((ROW()-9)/24)</f>
        <v>46487</v>
      </c>
      <c r="B12526" s="11" t="n">
        <f aca="false">MOD(ROW()-9,24)</f>
        <v>13</v>
      </c>
      <c r="C12526" s="12"/>
      <c r="D12526" s="13" t="n">
        <f aca="false">IF(B12526&lt;5,Einstellungen!$B$3,Einstellungen!$B$4)</f>
        <v>29.13</v>
      </c>
      <c r="E12526" s="14" t="str">
        <f aca="false">IF(C12526="","",C12526*D12526/100)</f>
        <v/>
      </c>
      <c r="F12526" s="15" t="str">
        <f aca="false">IF(B12526&lt;5,"Go","Standard")</f>
        <v>Standard</v>
      </c>
    </row>
    <row r="12527" customFormat="false" ht="15" hidden="false" customHeight="true" outlineLevel="0" collapsed="false">
      <c r="A12527" s="10" t="n">
        <f aca="false">Einstellungen!$B$5+INT((ROW()-9)/24)</f>
        <v>46487</v>
      </c>
      <c r="B12527" s="11" t="n">
        <f aca="false">MOD(ROW()-9,24)</f>
        <v>14</v>
      </c>
      <c r="C12527" s="12"/>
      <c r="D12527" s="13" t="n">
        <f aca="false">IF(B12527&lt;5,Einstellungen!$B$3,Einstellungen!$B$4)</f>
        <v>29.13</v>
      </c>
      <c r="E12527" s="14" t="str">
        <f aca="false">IF(C12527="","",C12527*D12527/100)</f>
        <v/>
      </c>
      <c r="F12527" s="15" t="str">
        <f aca="false">IF(B12527&lt;5,"Go","Standard")</f>
        <v>Standard</v>
      </c>
    </row>
    <row r="12528" customFormat="false" ht="15" hidden="false" customHeight="true" outlineLevel="0" collapsed="false">
      <c r="A12528" s="10" t="n">
        <f aca="false">Einstellungen!$B$5+INT((ROW()-9)/24)</f>
        <v>46487</v>
      </c>
      <c r="B12528" s="11" t="n">
        <f aca="false">MOD(ROW()-9,24)</f>
        <v>15</v>
      </c>
      <c r="C12528" s="12"/>
      <c r="D12528" s="13" t="n">
        <f aca="false">IF(B12528&lt;5,Einstellungen!$B$3,Einstellungen!$B$4)</f>
        <v>29.13</v>
      </c>
      <c r="E12528" s="14" t="str">
        <f aca="false">IF(C12528="","",C12528*D12528/100)</f>
        <v/>
      </c>
      <c r="F12528" s="15" t="str">
        <f aca="false">IF(B12528&lt;5,"Go","Standard")</f>
        <v>Standard</v>
      </c>
    </row>
    <row r="12529" customFormat="false" ht="15" hidden="false" customHeight="true" outlineLevel="0" collapsed="false">
      <c r="A12529" s="10" t="n">
        <f aca="false">Einstellungen!$B$5+INT((ROW()-9)/24)</f>
        <v>46487</v>
      </c>
      <c r="B12529" s="11" t="n">
        <f aca="false">MOD(ROW()-9,24)</f>
        <v>16</v>
      </c>
      <c r="C12529" s="12"/>
      <c r="D12529" s="13" t="n">
        <f aca="false">IF(B12529&lt;5,Einstellungen!$B$3,Einstellungen!$B$4)</f>
        <v>29.13</v>
      </c>
      <c r="E12529" s="14" t="str">
        <f aca="false">IF(C12529="","",C12529*D12529/100)</f>
        <v/>
      </c>
      <c r="F12529" s="15" t="str">
        <f aca="false">IF(B12529&lt;5,"Go","Standard")</f>
        <v>Standard</v>
      </c>
    </row>
    <row r="12530" customFormat="false" ht="15" hidden="false" customHeight="true" outlineLevel="0" collapsed="false">
      <c r="A12530" s="10" t="n">
        <f aca="false">Einstellungen!$B$5+INT((ROW()-9)/24)</f>
        <v>46487</v>
      </c>
      <c r="B12530" s="11" t="n">
        <f aca="false">MOD(ROW()-9,24)</f>
        <v>17</v>
      </c>
      <c r="C12530" s="12"/>
      <c r="D12530" s="13" t="n">
        <f aca="false">IF(B12530&lt;5,Einstellungen!$B$3,Einstellungen!$B$4)</f>
        <v>29.13</v>
      </c>
      <c r="E12530" s="14" t="str">
        <f aca="false">IF(C12530="","",C12530*D12530/100)</f>
        <v/>
      </c>
      <c r="F12530" s="15" t="str">
        <f aca="false">IF(B12530&lt;5,"Go","Standard")</f>
        <v>Standard</v>
      </c>
    </row>
    <row r="12531" customFormat="false" ht="15" hidden="false" customHeight="true" outlineLevel="0" collapsed="false">
      <c r="A12531" s="10" t="n">
        <f aca="false">Einstellungen!$B$5+INT((ROW()-9)/24)</f>
        <v>46487</v>
      </c>
      <c r="B12531" s="11" t="n">
        <f aca="false">MOD(ROW()-9,24)</f>
        <v>18</v>
      </c>
      <c r="C12531" s="12"/>
      <c r="D12531" s="13" t="n">
        <f aca="false">IF(B12531&lt;5,Einstellungen!$B$3,Einstellungen!$B$4)</f>
        <v>29.13</v>
      </c>
      <c r="E12531" s="14" t="str">
        <f aca="false">IF(C12531="","",C12531*D12531/100)</f>
        <v/>
      </c>
      <c r="F12531" s="15" t="str">
        <f aca="false">IF(B12531&lt;5,"Go","Standard")</f>
        <v>Standard</v>
      </c>
    </row>
    <row r="12532" customFormat="false" ht="15" hidden="false" customHeight="true" outlineLevel="0" collapsed="false">
      <c r="A12532" s="10" t="n">
        <f aca="false">Einstellungen!$B$5+INT((ROW()-9)/24)</f>
        <v>46487</v>
      </c>
      <c r="B12532" s="11" t="n">
        <f aca="false">MOD(ROW()-9,24)</f>
        <v>19</v>
      </c>
      <c r="C12532" s="12"/>
      <c r="D12532" s="13" t="n">
        <f aca="false">IF(B12532&lt;5,Einstellungen!$B$3,Einstellungen!$B$4)</f>
        <v>29.13</v>
      </c>
      <c r="E12532" s="14" t="str">
        <f aca="false">IF(C12532="","",C12532*D12532/100)</f>
        <v/>
      </c>
      <c r="F12532" s="15" t="str">
        <f aca="false">IF(B12532&lt;5,"Go","Standard")</f>
        <v>Standard</v>
      </c>
    </row>
    <row r="12533" customFormat="false" ht="15" hidden="false" customHeight="true" outlineLevel="0" collapsed="false">
      <c r="A12533" s="10" t="n">
        <f aca="false">Einstellungen!$B$5+INT((ROW()-9)/24)</f>
        <v>46487</v>
      </c>
      <c r="B12533" s="11" t="n">
        <f aca="false">MOD(ROW()-9,24)</f>
        <v>20</v>
      </c>
      <c r="C12533" s="12"/>
      <c r="D12533" s="13" t="n">
        <f aca="false">IF(B12533&lt;5,Einstellungen!$B$3,Einstellungen!$B$4)</f>
        <v>29.13</v>
      </c>
      <c r="E12533" s="14" t="str">
        <f aca="false">IF(C12533="","",C12533*D12533/100)</f>
        <v/>
      </c>
      <c r="F12533" s="15" t="str">
        <f aca="false">IF(B12533&lt;5,"Go","Standard")</f>
        <v>Standard</v>
      </c>
    </row>
    <row r="12534" customFormat="false" ht="15" hidden="false" customHeight="true" outlineLevel="0" collapsed="false">
      <c r="A12534" s="10" t="n">
        <f aca="false">Einstellungen!$B$5+INT((ROW()-9)/24)</f>
        <v>46487</v>
      </c>
      <c r="B12534" s="11" t="n">
        <f aca="false">MOD(ROW()-9,24)</f>
        <v>21</v>
      </c>
      <c r="C12534" s="12"/>
      <c r="D12534" s="13" t="n">
        <f aca="false">IF(B12534&lt;5,Einstellungen!$B$3,Einstellungen!$B$4)</f>
        <v>29.13</v>
      </c>
      <c r="E12534" s="14" t="str">
        <f aca="false">IF(C12534="","",C12534*D12534/100)</f>
        <v/>
      </c>
      <c r="F12534" s="15" t="str">
        <f aca="false">IF(B12534&lt;5,"Go","Standard")</f>
        <v>Standard</v>
      </c>
    </row>
    <row r="12535" customFormat="false" ht="15" hidden="false" customHeight="true" outlineLevel="0" collapsed="false">
      <c r="A12535" s="10" t="n">
        <f aca="false">Einstellungen!$B$5+INT((ROW()-9)/24)</f>
        <v>46487</v>
      </c>
      <c r="B12535" s="11" t="n">
        <f aca="false">MOD(ROW()-9,24)</f>
        <v>22</v>
      </c>
      <c r="C12535" s="12"/>
      <c r="D12535" s="13" t="n">
        <f aca="false">IF(B12535&lt;5,Einstellungen!$B$3,Einstellungen!$B$4)</f>
        <v>29.13</v>
      </c>
      <c r="E12535" s="14" t="str">
        <f aca="false">IF(C12535="","",C12535*D12535/100)</f>
        <v/>
      </c>
      <c r="F12535" s="15" t="str">
        <f aca="false">IF(B12535&lt;5,"Go","Standard")</f>
        <v>Standard</v>
      </c>
    </row>
    <row r="12536" customFormat="false" ht="15" hidden="false" customHeight="true" outlineLevel="0" collapsed="false">
      <c r="A12536" s="10" t="n">
        <f aca="false">Einstellungen!$B$5+INT((ROW()-9)/24)</f>
        <v>46487</v>
      </c>
      <c r="B12536" s="11" t="n">
        <f aca="false">MOD(ROW()-9,24)</f>
        <v>23</v>
      </c>
      <c r="C12536" s="12"/>
      <c r="D12536" s="13" t="n">
        <f aca="false">IF(B12536&lt;5,Einstellungen!$B$3,Einstellungen!$B$4)</f>
        <v>29.13</v>
      </c>
      <c r="E12536" s="14" t="str">
        <f aca="false">IF(C12536="","",C12536*D12536/100)</f>
        <v/>
      </c>
      <c r="F12536" s="15" t="str">
        <f aca="false">IF(B12536&lt;5,"Go","Standard")</f>
        <v>Standard</v>
      </c>
    </row>
    <row r="12537" customFormat="false" ht="15" hidden="false" customHeight="true" outlineLevel="0" collapsed="false">
      <c r="A12537" s="10" t="n">
        <f aca="false">Einstellungen!$B$5+INT((ROW()-9)/24)</f>
        <v>46488</v>
      </c>
      <c r="B12537" s="11" t="n">
        <f aca="false">MOD(ROW()-9,24)</f>
        <v>0</v>
      </c>
      <c r="C12537" s="12"/>
      <c r="D12537" s="13" t="n">
        <f aca="false">IF(B12537&lt;5,Einstellungen!$B$3,Einstellungen!$B$4)</f>
        <v>15.92</v>
      </c>
      <c r="E12537" s="14" t="str">
        <f aca="false">IF(C12537="","",C12537*D12537/100)</f>
        <v/>
      </c>
      <c r="F12537" s="15" t="str">
        <f aca="false">IF(B12537&lt;5,"Go","Standard")</f>
        <v>Go</v>
      </c>
    </row>
    <row r="12538" customFormat="false" ht="15" hidden="false" customHeight="true" outlineLevel="0" collapsed="false">
      <c r="A12538" s="10" t="n">
        <f aca="false">Einstellungen!$B$5+INT((ROW()-9)/24)</f>
        <v>46488</v>
      </c>
      <c r="B12538" s="11" t="n">
        <f aca="false">MOD(ROW()-9,24)</f>
        <v>1</v>
      </c>
      <c r="C12538" s="12"/>
      <c r="D12538" s="13" t="n">
        <f aca="false">IF(B12538&lt;5,Einstellungen!$B$3,Einstellungen!$B$4)</f>
        <v>15.92</v>
      </c>
      <c r="E12538" s="14" t="str">
        <f aca="false">IF(C12538="","",C12538*D12538/100)</f>
        <v/>
      </c>
      <c r="F12538" s="15" t="str">
        <f aca="false">IF(B12538&lt;5,"Go","Standard")</f>
        <v>Go</v>
      </c>
    </row>
    <row r="12539" customFormat="false" ht="15" hidden="false" customHeight="true" outlineLevel="0" collapsed="false">
      <c r="A12539" s="10" t="n">
        <f aca="false">Einstellungen!$B$5+INT((ROW()-9)/24)</f>
        <v>46488</v>
      </c>
      <c r="B12539" s="11" t="n">
        <f aca="false">MOD(ROW()-9,24)</f>
        <v>2</v>
      </c>
      <c r="C12539" s="12"/>
      <c r="D12539" s="13" t="n">
        <f aca="false">IF(B12539&lt;5,Einstellungen!$B$3,Einstellungen!$B$4)</f>
        <v>15.92</v>
      </c>
      <c r="E12539" s="14" t="str">
        <f aca="false">IF(C12539="","",C12539*D12539/100)</f>
        <v/>
      </c>
      <c r="F12539" s="15" t="str">
        <f aca="false">IF(B12539&lt;5,"Go","Standard")</f>
        <v>Go</v>
      </c>
    </row>
    <row r="12540" customFormat="false" ht="15" hidden="false" customHeight="true" outlineLevel="0" collapsed="false">
      <c r="A12540" s="10" t="n">
        <f aca="false">Einstellungen!$B$5+INT((ROW()-9)/24)</f>
        <v>46488</v>
      </c>
      <c r="B12540" s="11" t="n">
        <f aca="false">MOD(ROW()-9,24)</f>
        <v>3</v>
      </c>
      <c r="C12540" s="12"/>
      <c r="D12540" s="13" t="n">
        <f aca="false">IF(B12540&lt;5,Einstellungen!$B$3,Einstellungen!$B$4)</f>
        <v>15.92</v>
      </c>
      <c r="E12540" s="14" t="str">
        <f aca="false">IF(C12540="","",C12540*D12540/100)</f>
        <v/>
      </c>
      <c r="F12540" s="15" t="str">
        <f aca="false">IF(B12540&lt;5,"Go","Standard")</f>
        <v>Go</v>
      </c>
    </row>
    <row r="12541" customFormat="false" ht="15" hidden="false" customHeight="true" outlineLevel="0" collapsed="false">
      <c r="A12541" s="10" t="n">
        <f aca="false">Einstellungen!$B$5+INT((ROW()-9)/24)</f>
        <v>46488</v>
      </c>
      <c r="B12541" s="11" t="n">
        <f aca="false">MOD(ROW()-9,24)</f>
        <v>4</v>
      </c>
      <c r="C12541" s="12"/>
      <c r="D12541" s="13" t="n">
        <f aca="false">IF(B12541&lt;5,Einstellungen!$B$3,Einstellungen!$B$4)</f>
        <v>15.92</v>
      </c>
      <c r="E12541" s="14" t="str">
        <f aca="false">IF(C12541="","",C12541*D12541/100)</f>
        <v/>
      </c>
      <c r="F12541" s="15" t="str">
        <f aca="false">IF(B12541&lt;5,"Go","Standard")</f>
        <v>Go</v>
      </c>
    </row>
    <row r="12542" customFormat="false" ht="15" hidden="false" customHeight="true" outlineLevel="0" collapsed="false">
      <c r="A12542" s="10" t="n">
        <f aca="false">Einstellungen!$B$5+INT((ROW()-9)/24)</f>
        <v>46488</v>
      </c>
      <c r="B12542" s="11" t="n">
        <f aca="false">MOD(ROW()-9,24)</f>
        <v>5</v>
      </c>
      <c r="C12542" s="12"/>
      <c r="D12542" s="13" t="n">
        <f aca="false">IF(B12542&lt;5,Einstellungen!$B$3,Einstellungen!$B$4)</f>
        <v>29.13</v>
      </c>
      <c r="E12542" s="14" t="str">
        <f aca="false">IF(C12542="","",C12542*D12542/100)</f>
        <v/>
      </c>
      <c r="F12542" s="15" t="str">
        <f aca="false">IF(B12542&lt;5,"Go","Standard")</f>
        <v>Standard</v>
      </c>
    </row>
    <row r="12543" customFormat="false" ht="15" hidden="false" customHeight="true" outlineLevel="0" collapsed="false">
      <c r="A12543" s="10" t="n">
        <f aca="false">Einstellungen!$B$5+INT((ROW()-9)/24)</f>
        <v>46488</v>
      </c>
      <c r="B12543" s="11" t="n">
        <f aca="false">MOD(ROW()-9,24)</f>
        <v>6</v>
      </c>
      <c r="C12543" s="12"/>
      <c r="D12543" s="13" t="n">
        <f aca="false">IF(B12543&lt;5,Einstellungen!$B$3,Einstellungen!$B$4)</f>
        <v>29.13</v>
      </c>
      <c r="E12543" s="14" t="str">
        <f aca="false">IF(C12543="","",C12543*D12543/100)</f>
        <v/>
      </c>
      <c r="F12543" s="15" t="str">
        <f aca="false">IF(B12543&lt;5,"Go","Standard")</f>
        <v>Standard</v>
      </c>
    </row>
    <row r="12544" customFormat="false" ht="15" hidden="false" customHeight="true" outlineLevel="0" collapsed="false">
      <c r="A12544" s="10" t="n">
        <f aca="false">Einstellungen!$B$5+INT((ROW()-9)/24)</f>
        <v>46488</v>
      </c>
      <c r="B12544" s="11" t="n">
        <f aca="false">MOD(ROW()-9,24)</f>
        <v>7</v>
      </c>
      <c r="C12544" s="12"/>
      <c r="D12544" s="13" t="n">
        <f aca="false">IF(B12544&lt;5,Einstellungen!$B$3,Einstellungen!$B$4)</f>
        <v>29.13</v>
      </c>
      <c r="E12544" s="14" t="str">
        <f aca="false">IF(C12544="","",C12544*D12544/100)</f>
        <v/>
      </c>
      <c r="F12544" s="15" t="str">
        <f aca="false">IF(B12544&lt;5,"Go","Standard")</f>
        <v>Standard</v>
      </c>
    </row>
    <row r="12545" customFormat="false" ht="15" hidden="false" customHeight="true" outlineLevel="0" collapsed="false">
      <c r="A12545" s="10" t="n">
        <f aca="false">Einstellungen!$B$5+INT((ROW()-9)/24)</f>
        <v>46488</v>
      </c>
      <c r="B12545" s="11" t="n">
        <f aca="false">MOD(ROW()-9,24)</f>
        <v>8</v>
      </c>
      <c r="C12545" s="12"/>
      <c r="D12545" s="13" t="n">
        <f aca="false">IF(B12545&lt;5,Einstellungen!$B$3,Einstellungen!$B$4)</f>
        <v>29.13</v>
      </c>
      <c r="E12545" s="14" t="str">
        <f aca="false">IF(C12545="","",C12545*D12545/100)</f>
        <v/>
      </c>
      <c r="F12545" s="15" t="str">
        <f aca="false">IF(B12545&lt;5,"Go","Standard")</f>
        <v>Standard</v>
      </c>
    </row>
    <row r="12546" customFormat="false" ht="15" hidden="false" customHeight="true" outlineLevel="0" collapsed="false">
      <c r="A12546" s="10" t="n">
        <f aca="false">Einstellungen!$B$5+INT((ROW()-9)/24)</f>
        <v>46488</v>
      </c>
      <c r="B12546" s="11" t="n">
        <f aca="false">MOD(ROW()-9,24)</f>
        <v>9</v>
      </c>
      <c r="C12546" s="12"/>
      <c r="D12546" s="13" t="n">
        <f aca="false">IF(B12546&lt;5,Einstellungen!$B$3,Einstellungen!$B$4)</f>
        <v>29.13</v>
      </c>
      <c r="E12546" s="14" t="str">
        <f aca="false">IF(C12546="","",C12546*D12546/100)</f>
        <v/>
      </c>
      <c r="F12546" s="15" t="str">
        <f aca="false">IF(B12546&lt;5,"Go","Standard")</f>
        <v>Standard</v>
      </c>
    </row>
    <row r="12547" customFormat="false" ht="15" hidden="false" customHeight="true" outlineLevel="0" collapsed="false">
      <c r="A12547" s="10" t="n">
        <f aca="false">Einstellungen!$B$5+INT((ROW()-9)/24)</f>
        <v>46488</v>
      </c>
      <c r="B12547" s="11" t="n">
        <f aca="false">MOD(ROW()-9,24)</f>
        <v>10</v>
      </c>
      <c r="C12547" s="12"/>
      <c r="D12547" s="13" t="n">
        <f aca="false">IF(B12547&lt;5,Einstellungen!$B$3,Einstellungen!$B$4)</f>
        <v>29.13</v>
      </c>
      <c r="E12547" s="14" t="str">
        <f aca="false">IF(C12547="","",C12547*D12547/100)</f>
        <v/>
      </c>
      <c r="F12547" s="15" t="str">
        <f aca="false">IF(B12547&lt;5,"Go","Standard")</f>
        <v>Standard</v>
      </c>
    </row>
    <row r="12548" customFormat="false" ht="15" hidden="false" customHeight="true" outlineLevel="0" collapsed="false">
      <c r="A12548" s="10" t="n">
        <f aca="false">Einstellungen!$B$5+INT((ROW()-9)/24)</f>
        <v>46488</v>
      </c>
      <c r="B12548" s="11" t="n">
        <f aca="false">MOD(ROW()-9,24)</f>
        <v>11</v>
      </c>
      <c r="C12548" s="12"/>
      <c r="D12548" s="13" t="n">
        <f aca="false">IF(B12548&lt;5,Einstellungen!$B$3,Einstellungen!$B$4)</f>
        <v>29.13</v>
      </c>
      <c r="E12548" s="14" t="str">
        <f aca="false">IF(C12548="","",C12548*D12548/100)</f>
        <v/>
      </c>
      <c r="F12548" s="15" t="str">
        <f aca="false">IF(B12548&lt;5,"Go","Standard")</f>
        <v>Standard</v>
      </c>
    </row>
    <row r="12549" customFormat="false" ht="15" hidden="false" customHeight="true" outlineLevel="0" collapsed="false">
      <c r="A12549" s="10" t="n">
        <f aca="false">Einstellungen!$B$5+INT((ROW()-9)/24)</f>
        <v>46488</v>
      </c>
      <c r="B12549" s="11" t="n">
        <f aca="false">MOD(ROW()-9,24)</f>
        <v>12</v>
      </c>
      <c r="C12549" s="12"/>
      <c r="D12549" s="13" t="n">
        <f aca="false">IF(B12549&lt;5,Einstellungen!$B$3,Einstellungen!$B$4)</f>
        <v>29.13</v>
      </c>
      <c r="E12549" s="14" t="str">
        <f aca="false">IF(C12549="","",C12549*D12549/100)</f>
        <v/>
      </c>
      <c r="F12549" s="15" t="str">
        <f aca="false">IF(B12549&lt;5,"Go","Standard")</f>
        <v>Standard</v>
      </c>
    </row>
    <row r="12550" customFormat="false" ht="15" hidden="false" customHeight="true" outlineLevel="0" collapsed="false">
      <c r="A12550" s="10" t="n">
        <f aca="false">Einstellungen!$B$5+INT((ROW()-9)/24)</f>
        <v>46488</v>
      </c>
      <c r="B12550" s="11" t="n">
        <f aca="false">MOD(ROW()-9,24)</f>
        <v>13</v>
      </c>
      <c r="C12550" s="12"/>
      <c r="D12550" s="13" t="n">
        <f aca="false">IF(B12550&lt;5,Einstellungen!$B$3,Einstellungen!$B$4)</f>
        <v>29.13</v>
      </c>
      <c r="E12550" s="14" t="str">
        <f aca="false">IF(C12550="","",C12550*D12550/100)</f>
        <v/>
      </c>
      <c r="F12550" s="15" t="str">
        <f aca="false">IF(B12550&lt;5,"Go","Standard")</f>
        <v>Standard</v>
      </c>
    </row>
    <row r="12551" customFormat="false" ht="15" hidden="false" customHeight="true" outlineLevel="0" collapsed="false">
      <c r="A12551" s="10" t="n">
        <f aca="false">Einstellungen!$B$5+INT((ROW()-9)/24)</f>
        <v>46488</v>
      </c>
      <c r="B12551" s="11" t="n">
        <f aca="false">MOD(ROW()-9,24)</f>
        <v>14</v>
      </c>
      <c r="C12551" s="12"/>
      <c r="D12551" s="13" t="n">
        <f aca="false">IF(B12551&lt;5,Einstellungen!$B$3,Einstellungen!$B$4)</f>
        <v>29.13</v>
      </c>
      <c r="E12551" s="14" t="str">
        <f aca="false">IF(C12551="","",C12551*D12551/100)</f>
        <v/>
      </c>
      <c r="F12551" s="15" t="str">
        <f aca="false">IF(B12551&lt;5,"Go","Standard")</f>
        <v>Standard</v>
      </c>
    </row>
    <row r="12552" customFormat="false" ht="15" hidden="false" customHeight="true" outlineLevel="0" collapsed="false">
      <c r="A12552" s="10" t="n">
        <f aca="false">Einstellungen!$B$5+INT((ROW()-9)/24)</f>
        <v>46488</v>
      </c>
      <c r="B12552" s="11" t="n">
        <f aca="false">MOD(ROW()-9,24)</f>
        <v>15</v>
      </c>
      <c r="C12552" s="12"/>
      <c r="D12552" s="13" t="n">
        <f aca="false">IF(B12552&lt;5,Einstellungen!$B$3,Einstellungen!$B$4)</f>
        <v>29.13</v>
      </c>
      <c r="E12552" s="14" t="str">
        <f aca="false">IF(C12552="","",C12552*D12552/100)</f>
        <v/>
      </c>
      <c r="F12552" s="15" t="str">
        <f aca="false">IF(B12552&lt;5,"Go","Standard")</f>
        <v>Standard</v>
      </c>
    </row>
    <row r="12553" customFormat="false" ht="15" hidden="false" customHeight="true" outlineLevel="0" collapsed="false">
      <c r="A12553" s="10" t="n">
        <f aca="false">Einstellungen!$B$5+INT((ROW()-9)/24)</f>
        <v>46488</v>
      </c>
      <c r="B12553" s="11" t="n">
        <f aca="false">MOD(ROW()-9,24)</f>
        <v>16</v>
      </c>
      <c r="C12553" s="12"/>
      <c r="D12553" s="13" t="n">
        <f aca="false">IF(B12553&lt;5,Einstellungen!$B$3,Einstellungen!$B$4)</f>
        <v>29.13</v>
      </c>
      <c r="E12553" s="14" t="str">
        <f aca="false">IF(C12553="","",C12553*D12553/100)</f>
        <v/>
      </c>
      <c r="F12553" s="15" t="str">
        <f aca="false">IF(B12553&lt;5,"Go","Standard")</f>
        <v>Standard</v>
      </c>
    </row>
    <row r="12554" customFormat="false" ht="15" hidden="false" customHeight="true" outlineLevel="0" collapsed="false">
      <c r="A12554" s="10" t="n">
        <f aca="false">Einstellungen!$B$5+INT((ROW()-9)/24)</f>
        <v>46488</v>
      </c>
      <c r="B12554" s="11" t="n">
        <f aca="false">MOD(ROW()-9,24)</f>
        <v>17</v>
      </c>
      <c r="C12554" s="12"/>
      <c r="D12554" s="13" t="n">
        <f aca="false">IF(B12554&lt;5,Einstellungen!$B$3,Einstellungen!$B$4)</f>
        <v>29.13</v>
      </c>
      <c r="E12554" s="14" t="str">
        <f aca="false">IF(C12554="","",C12554*D12554/100)</f>
        <v/>
      </c>
      <c r="F12554" s="15" t="str">
        <f aca="false">IF(B12554&lt;5,"Go","Standard")</f>
        <v>Standard</v>
      </c>
    </row>
    <row r="12555" customFormat="false" ht="15" hidden="false" customHeight="true" outlineLevel="0" collapsed="false">
      <c r="A12555" s="10" t="n">
        <f aca="false">Einstellungen!$B$5+INT((ROW()-9)/24)</f>
        <v>46488</v>
      </c>
      <c r="B12555" s="11" t="n">
        <f aca="false">MOD(ROW()-9,24)</f>
        <v>18</v>
      </c>
      <c r="C12555" s="12"/>
      <c r="D12555" s="13" t="n">
        <f aca="false">IF(B12555&lt;5,Einstellungen!$B$3,Einstellungen!$B$4)</f>
        <v>29.13</v>
      </c>
      <c r="E12555" s="14" t="str">
        <f aca="false">IF(C12555="","",C12555*D12555/100)</f>
        <v/>
      </c>
      <c r="F12555" s="15" t="str">
        <f aca="false">IF(B12555&lt;5,"Go","Standard")</f>
        <v>Standard</v>
      </c>
    </row>
    <row r="12556" customFormat="false" ht="15" hidden="false" customHeight="true" outlineLevel="0" collapsed="false">
      <c r="A12556" s="10" t="n">
        <f aca="false">Einstellungen!$B$5+INT((ROW()-9)/24)</f>
        <v>46488</v>
      </c>
      <c r="B12556" s="11" t="n">
        <f aca="false">MOD(ROW()-9,24)</f>
        <v>19</v>
      </c>
      <c r="C12556" s="12"/>
      <c r="D12556" s="13" t="n">
        <f aca="false">IF(B12556&lt;5,Einstellungen!$B$3,Einstellungen!$B$4)</f>
        <v>29.13</v>
      </c>
      <c r="E12556" s="14" t="str">
        <f aca="false">IF(C12556="","",C12556*D12556/100)</f>
        <v/>
      </c>
      <c r="F12556" s="15" t="str">
        <f aca="false">IF(B12556&lt;5,"Go","Standard")</f>
        <v>Standard</v>
      </c>
    </row>
    <row r="12557" customFormat="false" ht="15" hidden="false" customHeight="true" outlineLevel="0" collapsed="false">
      <c r="A12557" s="10" t="n">
        <f aca="false">Einstellungen!$B$5+INT((ROW()-9)/24)</f>
        <v>46488</v>
      </c>
      <c r="B12557" s="11" t="n">
        <f aca="false">MOD(ROW()-9,24)</f>
        <v>20</v>
      </c>
      <c r="C12557" s="12"/>
      <c r="D12557" s="13" t="n">
        <f aca="false">IF(B12557&lt;5,Einstellungen!$B$3,Einstellungen!$B$4)</f>
        <v>29.13</v>
      </c>
      <c r="E12557" s="14" t="str">
        <f aca="false">IF(C12557="","",C12557*D12557/100)</f>
        <v/>
      </c>
      <c r="F12557" s="15" t="str">
        <f aca="false">IF(B12557&lt;5,"Go","Standard")</f>
        <v>Standard</v>
      </c>
    </row>
    <row r="12558" customFormat="false" ht="15" hidden="false" customHeight="true" outlineLevel="0" collapsed="false">
      <c r="A12558" s="10" t="n">
        <f aca="false">Einstellungen!$B$5+INT((ROW()-9)/24)</f>
        <v>46488</v>
      </c>
      <c r="B12558" s="11" t="n">
        <f aca="false">MOD(ROW()-9,24)</f>
        <v>21</v>
      </c>
      <c r="C12558" s="12"/>
      <c r="D12558" s="13" t="n">
        <f aca="false">IF(B12558&lt;5,Einstellungen!$B$3,Einstellungen!$B$4)</f>
        <v>29.13</v>
      </c>
      <c r="E12558" s="14" t="str">
        <f aca="false">IF(C12558="","",C12558*D12558/100)</f>
        <v/>
      </c>
      <c r="F12558" s="15" t="str">
        <f aca="false">IF(B12558&lt;5,"Go","Standard")</f>
        <v>Standard</v>
      </c>
    </row>
    <row r="12559" customFormat="false" ht="15" hidden="false" customHeight="true" outlineLevel="0" collapsed="false">
      <c r="A12559" s="10" t="n">
        <f aca="false">Einstellungen!$B$5+INT((ROW()-9)/24)</f>
        <v>46488</v>
      </c>
      <c r="B12559" s="11" t="n">
        <f aca="false">MOD(ROW()-9,24)</f>
        <v>22</v>
      </c>
      <c r="C12559" s="12"/>
      <c r="D12559" s="13" t="n">
        <f aca="false">IF(B12559&lt;5,Einstellungen!$B$3,Einstellungen!$B$4)</f>
        <v>29.13</v>
      </c>
      <c r="E12559" s="14" t="str">
        <f aca="false">IF(C12559="","",C12559*D12559/100)</f>
        <v/>
      </c>
      <c r="F12559" s="15" t="str">
        <f aca="false">IF(B12559&lt;5,"Go","Standard")</f>
        <v>Standard</v>
      </c>
    </row>
    <row r="12560" customFormat="false" ht="15" hidden="false" customHeight="true" outlineLevel="0" collapsed="false">
      <c r="A12560" s="10" t="n">
        <f aca="false">Einstellungen!$B$5+INT((ROW()-9)/24)</f>
        <v>46488</v>
      </c>
      <c r="B12560" s="11" t="n">
        <f aca="false">MOD(ROW()-9,24)</f>
        <v>23</v>
      </c>
      <c r="C12560" s="12"/>
      <c r="D12560" s="13" t="n">
        <f aca="false">IF(B12560&lt;5,Einstellungen!$B$3,Einstellungen!$B$4)</f>
        <v>29.13</v>
      </c>
      <c r="E12560" s="14" t="str">
        <f aca="false">IF(C12560="","",C12560*D12560/100)</f>
        <v/>
      </c>
      <c r="F12560" s="15" t="str">
        <f aca="false">IF(B12560&lt;5,"Go","Standard")</f>
        <v>Standard</v>
      </c>
    </row>
    <row r="12561" customFormat="false" ht="15" hidden="false" customHeight="true" outlineLevel="0" collapsed="false">
      <c r="A12561" s="10" t="n">
        <f aca="false">Einstellungen!$B$5+INT((ROW()-9)/24)</f>
        <v>46489</v>
      </c>
      <c r="B12561" s="11" t="n">
        <f aca="false">MOD(ROW()-9,24)</f>
        <v>0</v>
      </c>
      <c r="C12561" s="12"/>
      <c r="D12561" s="13" t="n">
        <f aca="false">IF(B12561&lt;5,Einstellungen!$B$3,Einstellungen!$B$4)</f>
        <v>15.92</v>
      </c>
      <c r="E12561" s="14" t="str">
        <f aca="false">IF(C12561="","",C12561*D12561/100)</f>
        <v/>
      </c>
      <c r="F12561" s="15" t="str">
        <f aca="false">IF(B12561&lt;5,"Go","Standard")</f>
        <v>Go</v>
      </c>
    </row>
    <row r="12562" customFormat="false" ht="15" hidden="false" customHeight="true" outlineLevel="0" collapsed="false">
      <c r="A12562" s="10" t="n">
        <f aca="false">Einstellungen!$B$5+INT((ROW()-9)/24)</f>
        <v>46489</v>
      </c>
      <c r="B12562" s="11" t="n">
        <f aca="false">MOD(ROW()-9,24)</f>
        <v>1</v>
      </c>
      <c r="C12562" s="12"/>
      <c r="D12562" s="13" t="n">
        <f aca="false">IF(B12562&lt;5,Einstellungen!$B$3,Einstellungen!$B$4)</f>
        <v>15.92</v>
      </c>
      <c r="E12562" s="14" t="str">
        <f aca="false">IF(C12562="","",C12562*D12562/100)</f>
        <v/>
      </c>
      <c r="F12562" s="15" t="str">
        <f aca="false">IF(B12562&lt;5,"Go","Standard")</f>
        <v>Go</v>
      </c>
    </row>
    <row r="12563" customFormat="false" ht="15" hidden="false" customHeight="true" outlineLevel="0" collapsed="false">
      <c r="A12563" s="10" t="n">
        <f aca="false">Einstellungen!$B$5+INT((ROW()-9)/24)</f>
        <v>46489</v>
      </c>
      <c r="B12563" s="11" t="n">
        <f aca="false">MOD(ROW()-9,24)</f>
        <v>2</v>
      </c>
      <c r="C12563" s="12"/>
      <c r="D12563" s="13" t="n">
        <f aca="false">IF(B12563&lt;5,Einstellungen!$B$3,Einstellungen!$B$4)</f>
        <v>15.92</v>
      </c>
      <c r="E12563" s="14" t="str">
        <f aca="false">IF(C12563="","",C12563*D12563/100)</f>
        <v/>
      </c>
      <c r="F12563" s="15" t="str">
        <f aca="false">IF(B12563&lt;5,"Go","Standard")</f>
        <v>Go</v>
      </c>
    </row>
    <row r="12564" customFormat="false" ht="15" hidden="false" customHeight="true" outlineLevel="0" collapsed="false">
      <c r="A12564" s="10" t="n">
        <f aca="false">Einstellungen!$B$5+INT((ROW()-9)/24)</f>
        <v>46489</v>
      </c>
      <c r="B12564" s="11" t="n">
        <f aca="false">MOD(ROW()-9,24)</f>
        <v>3</v>
      </c>
      <c r="C12564" s="12"/>
      <c r="D12564" s="13" t="n">
        <f aca="false">IF(B12564&lt;5,Einstellungen!$B$3,Einstellungen!$B$4)</f>
        <v>15.92</v>
      </c>
      <c r="E12564" s="14" t="str">
        <f aca="false">IF(C12564="","",C12564*D12564/100)</f>
        <v/>
      </c>
      <c r="F12564" s="15" t="str">
        <f aca="false">IF(B12564&lt;5,"Go","Standard")</f>
        <v>Go</v>
      </c>
    </row>
    <row r="12565" customFormat="false" ht="15" hidden="false" customHeight="true" outlineLevel="0" collapsed="false">
      <c r="A12565" s="10" t="n">
        <f aca="false">Einstellungen!$B$5+INT((ROW()-9)/24)</f>
        <v>46489</v>
      </c>
      <c r="B12565" s="11" t="n">
        <f aca="false">MOD(ROW()-9,24)</f>
        <v>4</v>
      </c>
      <c r="C12565" s="12"/>
      <c r="D12565" s="13" t="n">
        <f aca="false">IF(B12565&lt;5,Einstellungen!$B$3,Einstellungen!$B$4)</f>
        <v>15.92</v>
      </c>
      <c r="E12565" s="14" t="str">
        <f aca="false">IF(C12565="","",C12565*D12565/100)</f>
        <v/>
      </c>
      <c r="F12565" s="15" t="str">
        <f aca="false">IF(B12565&lt;5,"Go","Standard")</f>
        <v>Go</v>
      </c>
    </row>
    <row r="12566" customFormat="false" ht="15" hidden="false" customHeight="true" outlineLevel="0" collapsed="false">
      <c r="A12566" s="10" t="n">
        <f aca="false">Einstellungen!$B$5+INT((ROW()-9)/24)</f>
        <v>46489</v>
      </c>
      <c r="B12566" s="11" t="n">
        <f aca="false">MOD(ROW()-9,24)</f>
        <v>5</v>
      </c>
      <c r="C12566" s="12"/>
      <c r="D12566" s="13" t="n">
        <f aca="false">IF(B12566&lt;5,Einstellungen!$B$3,Einstellungen!$B$4)</f>
        <v>29.13</v>
      </c>
      <c r="E12566" s="14" t="str">
        <f aca="false">IF(C12566="","",C12566*D12566/100)</f>
        <v/>
      </c>
      <c r="F12566" s="15" t="str">
        <f aca="false">IF(B12566&lt;5,"Go","Standard")</f>
        <v>Standard</v>
      </c>
    </row>
    <row r="12567" customFormat="false" ht="15" hidden="false" customHeight="true" outlineLevel="0" collapsed="false">
      <c r="A12567" s="10" t="n">
        <f aca="false">Einstellungen!$B$5+INT((ROW()-9)/24)</f>
        <v>46489</v>
      </c>
      <c r="B12567" s="11" t="n">
        <f aca="false">MOD(ROW()-9,24)</f>
        <v>6</v>
      </c>
      <c r="C12567" s="12"/>
      <c r="D12567" s="13" t="n">
        <f aca="false">IF(B12567&lt;5,Einstellungen!$B$3,Einstellungen!$B$4)</f>
        <v>29.13</v>
      </c>
      <c r="E12567" s="14" t="str">
        <f aca="false">IF(C12567="","",C12567*D12567/100)</f>
        <v/>
      </c>
      <c r="F12567" s="15" t="str">
        <f aca="false">IF(B12567&lt;5,"Go","Standard")</f>
        <v>Standard</v>
      </c>
    </row>
    <row r="12568" customFormat="false" ht="15" hidden="false" customHeight="true" outlineLevel="0" collapsed="false">
      <c r="A12568" s="10" t="n">
        <f aca="false">Einstellungen!$B$5+INT((ROW()-9)/24)</f>
        <v>46489</v>
      </c>
      <c r="B12568" s="11" t="n">
        <f aca="false">MOD(ROW()-9,24)</f>
        <v>7</v>
      </c>
      <c r="C12568" s="12"/>
      <c r="D12568" s="13" t="n">
        <f aca="false">IF(B12568&lt;5,Einstellungen!$B$3,Einstellungen!$B$4)</f>
        <v>29.13</v>
      </c>
      <c r="E12568" s="14" t="str">
        <f aca="false">IF(C12568="","",C12568*D12568/100)</f>
        <v/>
      </c>
      <c r="F12568" s="15" t="str">
        <f aca="false">IF(B12568&lt;5,"Go","Standard")</f>
        <v>Standard</v>
      </c>
    </row>
    <row r="12569" customFormat="false" ht="15" hidden="false" customHeight="true" outlineLevel="0" collapsed="false">
      <c r="A12569" s="10" t="n">
        <f aca="false">Einstellungen!$B$5+INT((ROW()-9)/24)</f>
        <v>46489</v>
      </c>
      <c r="B12569" s="11" t="n">
        <f aca="false">MOD(ROW()-9,24)</f>
        <v>8</v>
      </c>
      <c r="C12569" s="12"/>
      <c r="D12569" s="13" t="n">
        <f aca="false">IF(B12569&lt;5,Einstellungen!$B$3,Einstellungen!$B$4)</f>
        <v>29.13</v>
      </c>
      <c r="E12569" s="14" t="str">
        <f aca="false">IF(C12569="","",C12569*D12569/100)</f>
        <v/>
      </c>
      <c r="F12569" s="15" t="str">
        <f aca="false">IF(B12569&lt;5,"Go","Standard")</f>
        <v>Standard</v>
      </c>
    </row>
    <row r="12570" customFormat="false" ht="15" hidden="false" customHeight="true" outlineLevel="0" collapsed="false">
      <c r="A12570" s="10" t="n">
        <f aca="false">Einstellungen!$B$5+INT((ROW()-9)/24)</f>
        <v>46489</v>
      </c>
      <c r="B12570" s="11" t="n">
        <f aca="false">MOD(ROW()-9,24)</f>
        <v>9</v>
      </c>
      <c r="C12570" s="12"/>
      <c r="D12570" s="13" t="n">
        <f aca="false">IF(B12570&lt;5,Einstellungen!$B$3,Einstellungen!$B$4)</f>
        <v>29.13</v>
      </c>
      <c r="E12570" s="14" t="str">
        <f aca="false">IF(C12570="","",C12570*D12570/100)</f>
        <v/>
      </c>
      <c r="F12570" s="15" t="str">
        <f aca="false">IF(B12570&lt;5,"Go","Standard")</f>
        <v>Standard</v>
      </c>
    </row>
    <row r="12571" customFormat="false" ht="15" hidden="false" customHeight="true" outlineLevel="0" collapsed="false">
      <c r="A12571" s="10" t="n">
        <f aca="false">Einstellungen!$B$5+INT((ROW()-9)/24)</f>
        <v>46489</v>
      </c>
      <c r="B12571" s="11" t="n">
        <f aca="false">MOD(ROW()-9,24)</f>
        <v>10</v>
      </c>
      <c r="C12571" s="12"/>
      <c r="D12571" s="13" t="n">
        <f aca="false">IF(B12571&lt;5,Einstellungen!$B$3,Einstellungen!$B$4)</f>
        <v>29.13</v>
      </c>
      <c r="E12571" s="14" t="str">
        <f aca="false">IF(C12571="","",C12571*D12571/100)</f>
        <v/>
      </c>
      <c r="F12571" s="15" t="str">
        <f aca="false">IF(B12571&lt;5,"Go","Standard")</f>
        <v>Standard</v>
      </c>
    </row>
    <row r="12572" customFormat="false" ht="15" hidden="false" customHeight="true" outlineLevel="0" collapsed="false">
      <c r="A12572" s="10" t="n">
        <f aca="false">Einstellungen!$B$5+INT((ROW()-9)/24)</f>
        <v>46489</v>
      </c>
      <c r="B12572" s="11" t="n">
        <f aca="false">MOD(ROW()-9,24)</f>
        <v>11</v>
      </c>
      <c r="C12572" s="12"/>
      <c r="D12572" s="13" t="n">
        <f aca="false">IF(B12572&lt;5,Einstellungen!$B$3,Einstellungen!$B$4)</f>
        <v>29.13</v>
      </c>
      <c r="E12572" s="14" t="str">
        <f aca="false">IF(C12572="","",C12572*D12572/100)</f>
        <v/>
      </c>
      <c r="F12572" s="15" t="str">
        <f aca="false">IF(B12572&lt;5,"Go","Standard")</f>
        <v>Standard</v>
      </c>
    </row>
    <row r="12573" customFormat="false" ht="15" hidden="false" customHeight="true" outlineLevel="0" collapsed="false">
      <c r="A12573" s="10" t="n">
        <f aca="false">Einstellungen!$B$5+INT((ROW()-9)/24)</f>
        <v>46489</v>
      </c>
      <c r="B12573" s="11" t="n">
        <f aca="false">MOD(ROW()-9,24)</f>
        <v>12</v>
      </c>
      <c r="C12573" s="12"/>
      <c r="D12573" s="13" t="n">
        <f aca="false">IF(B12573&lt;5,Einstellungen!$B$3,Einstellungen!$B$4)</f>
        <v>29.13</v>
      </c>
      <c r="E12573" s="14" t="str">
        <f aca="false">IF(C12573="","",C12573*D12573/100)</f>
        <v/>
      </c>
      <c r="F12573" s="15" t="str">
        <f aca="false">IF(B12573&lt;5,"Go","Standard")</f>
        <v>Standard</v>
      </c>
    </row>
    <row r="12574" customFormat="false" ht="15" hidden="false" customHeight="true" outlineLevel="0" collapsed="false">
      <c r="A12574" s="10" t="n">
        <f aca="false">Einstellungen!$B$5+INT((ROW()-9)/24)</f>
        <v>46489</v>
      </c>
      <c r="B12574" s="11" t="n">
        <f aca="false">MOD(ROW()-9,24)</f>
        <v>13</v>
      </c>
      <c r="C12574" s="12"/>
      <c r="D12574" s="13" t="n">
        <f aca="false">IF(B12574&lt;5,Einstellungen!$B$3,Einstellungen!$B$4)</f>
        <v>29.13</v>
      </c>
      <c r="E12574" s="14" t="str">
        <f aca="false">IF(C12574="","",C12574*D12574/100)</f>
        <v/>
      </c>
      <c r="F12574" s="15" t="str">
        <f aca="false">IF(B12574&lt;5,"Go","Standard")</f>
        <v>Standard</v>
      </c>
    </row>
    <row r="12575" customFormat="false" ht="15" hidden="false" customHeight="true" outlineLevel="0" collapsed="false">
      <c r="A12575" s="10" t="n">
        <f aca="false">Einstellungen!$B$5+INT((ROW()-9)/24)</f>
        <v>46489</v>
      </c>
      <c r="B12575" s="11" t="n">
        <f aca="false">MOD(ROW()-9,24)</f>
        <v>14</v>
      </c>
      <c r="C12575" s="12"/>
      <c r="D12575" s="13" t="n">
        <f aca="false">IF(B12575&lt;5,Einstellungen!$B$3,Einstellungen!$B$4)</f>
        <v>29.13</v>
      </c>
      <c r="E12575" s="14" t="str">
        <f aca="false">IF(C12575="","",C12575*D12575/100)</f>
        <v/>
      </c>
      <c r="F12575" s="15" t="str">
        <f aca="false">IF(B12575&lt;5,"Go","Standard")</f>
        <v>Standard</v>
      </c>
    </row>
    <row r="12576" customFormat="false" ht="15" hidden="false" customHeight="true" outlineLevel="0" collapsed="false">
      <c r="A12576" s="10" t="n">
        <f aca="false">Einstellungen!$B$5+INT((ROW()-9)/24)</f>
        <v>46489</v>
      </c>
      <c r="B12576" s="11" t="n">
        <f aca="false">MOD(ROW()-9,24)</f>
        <v>15</v>
      </c>
      <c r="C12576" s="12"/>
      <c r="D12576" s="13" t="n">
        <f aca="false">IF(B12576&lt;5,Einstellungen!$B$3,Einstellungen!$B$4)</f>
        <v>29.13</v>
      </c>
      <c r="E12576" s="14" t="str">
        <f aca="false">IF(C12576="","",C12576*D12576/100)</f>
        <v/>
      </c>
      <c r="F12576" s="15" t="str">
        <f aca="false">IF(B12576&lt;5,"Go","Standard")</f>
        <v>Standard</v>
      </c>
    </row>
    <row r="12577" customFormat="false" ht="15" hidden="false" customHeight="true" outlineLevel="0" collapsed="false">
      <c r="A12577" s="10" t="n">
        <f aca="false">Einstellungen!$B$5+INT((ROW()-9)/24)</f>
        <v>46489</v>
      </c>
      <c r="B12577" s="11" t="n">
        <f aca="false">MOD(ROW()-9,24)</f>
        <v>16</v>
      </c>
      <c r="C12577" s="12"/>
      <c r="D12577" s="13" t="n">
        <f aca="false">IF(B12577&lt;5,Einstellungen!$B$3,Einstellungen!$B$4)</f>
        <v>29.13</v>
      </c>
      <c r="E12577" s="14" t="str">
        <f aca="false">IF(C12577="","",C12577*D12577/100)</f>
        <v/>
      </c>
      <c r="F12577" s="15" t="str">
        <f aca="false">IF(B12577&lt;5,"Go","Standard")</f>
        <v>Standard</v>
      </c>
    </row>
    <row r="12578" customFormat="false" ht="15" hidden="false" customHeight="true" outlineLevel="0" collapsed="false">
      <c r="A12578" s="10" t="n">
        <f aca="false">Einstellungen!$B$5+INT((ROW()-9)/24)</f>
        <v>46489</v>
      </c>
      <c r="B12578" s="11" t="n">
        <f aca="false">MOD(ROW()-9,24)</f>
        <v>17</v>
      </c>
      <c r="C12578" s="12"/>
      <c r="D12578" s="13" t="n">
        <f aca="false">IF(B12578&lt;5,Einstellungen!$B$3,Einstellungen!$B$4)</f>
        <v>29.13</v>
      </c>
      <c r="E12578" s="14" t="str">
        <f aca="false">IF(C12578="","",C12578*D12578/100)</f>
        <v/>
      </c>
      <c r="F12578" s="15" t="str">
        <f aca="false">IF(B12578&lt;5,"Go","Standard")</f>
        <v>Standard</v>
      </c>
    </row>
    <row r="12579" customFormat="false" ht="15" hidden="false" customHeight="true" outlineLevel="0" collapsed="false">
      <c r="A12579" s="10" t="n">
        <f aca="false">Einstellungen!$B$5+INT((ROW()-9)/24)</f>
        <v>46489</v>
      </c>
      <c r="B12579" s="11" t="n">
        <f aca="false">MOD(ROW()-9,24)</f>
        <v>18</v>
      </c>
      <c r="C12579" s="12"/>
      <c r="D12579" s="13" t="n">
        <f aca="false">IF(B12579&lt;5,Einstellungen!$B$3,Einstellungen!$B$4)</f>
        <v>29.13</v>
      </c>
      <c r="E12579" s="14" t="str">
        <f aca="false">IF(C12579="","",C12579*D12579/100)</f>
        <v/>
      </c>
      <c r="F12579" s="15" t="str">
        <f aca="false">IF(B12579&lt;5,"Go","Standard")</f>
        <v>Standard</v>
      </c>
    </row>
    <row r="12580" customFormat="false" ht="15" hidden="false" customHeight="true" outlineLevel="0" collapsed="false">
      <c r="A12580" s="10" t="n">
        <f aca="false">Einstellungen!$B$5+INT((ROW()-9)/24)</f>
        <v>46489</v>
      </c>
      <c r="B12580" s="11" t="n">
        <f aca="false">MOD(ROW()-9,24)</f>
        <v>19</v>
      </c>
      <c r="C12580" s="12"/>
      <c r="D12580" s="13" t="n">
        <f aca="false">IF(B12580&lt;5,Einstellungen!$B$3,Einstellungen!$B$4)</f>
        <v>29.13</v>
      </c>
      <c r="E12580" s="14" t="str">
        <f aca="false">IF(C12580="","",C12580*D12580/100)</f>
        <v/>
      </c>
      <c r="F12580" s="15" t="str">
        <f aca="false">IF(B12580&lt;5,"Go","Standard")</f>
        <v>Standard</v>
      </c>
    </row>
    <row r="12581" customFormat="false" ht="15" hidden="false" customHeight="true" outlineLevel="0" collapsed="false">
      <c r="A12581" s="10" t="n">
        <f aca="false">Einstellungen!$B$5+INT((ROW()-9)/24)</f>
        <v>46489</v>
      </c>
      <c r="B12581" s="11" t="n">
        <f aca="false">MOD(ROW()-9,24)</f>
        <v>20</v>
      </c>
      <c r="C12581" s="12"/>
      <c r="D12581" s="13" t="n">
        <f aca="false">IF(B12581&lt;5,Einstellungen!$B$3,Einstellungen!$B$4)</f>
        <v>29.13</v>
      </c>
      <c r="E12581" s="14" t="str">
        <f aca="false">IF(C12581="","",C12581*D12581/100)</f>
        <v/>
      </c>
      <c r="F12581" s="15" t="str">
        <f aca="false">IF(B12581&lt;5,"Go","Standard")</f>
        <v>Standard</v>
      </c>
    </row>
    <row r="12582" customFormat="false" ht="15" hidden="false" customHeight="true" outlineLevel="0" collapsed="false">
      <c r="A12582" s="10" t="n">
        <f aca="false">Einstellungen!$B$5+INT((ROW()-9)/24)</f>
        <v>46489</v>
      </c>
      <c r="B12582" s="11" t="n">
        <f aca="false">MOD(ROW()-9,24)</f>
        <v>21</v>
      </c>
      <c r="C12582" s="12"/>
      <c r="D12582" s="13" t="n">
        <f aca="false">IF(B12582&lt;5,Einstellungen!$B$3,Einstellungen!$B$4)</f>
        <v>29.13</v>
      </c>
      <c r="E12582" s="14" t="str">
        <f aca="false">IF(C12582="","",C12582*D12582/100)</f>
        <v/>
      </c>
      <c r="F12582" s="15" t="str">
        <f aca="false">IF(B12582&lt;5,"Go","Standard")</f>
        <v>Standard</v>
      </c>
    </row>
    <row r="12583" customFormat="false" ht="15" hidden="false" customHeight="true" outlineLevel="0" collapsed="false">
      <c r="A12583" s="10" t="n">
        <f aca="false">Einstellungen!$B$5+INT((ROW()-9)/24)</f>
        <v>46489</v>
      </c>
      <c r="B12583" s="11" t="n">
        <f aca="false">MOD(ROW()-9,24)</f>
        <v>22</v>
      </c>
      <c r="C12583" s="12"/>
      <c r="D12583" s="13" t="n">
        <f aca="false">IF(B12583&lt;5,Einstellungen!$B$3,Einstellungen!$B$4)</f>
        <v>29.13</v>
      </c>
      <c r="E12583" s="14" t="str">
        <f aca="false">IF(C12583="","",C12583*D12583/100)</f>
        <v/>
      </c>
      <c r="F12583" s="15" t="str">
        <f aca="false">IF(B12583&lt;5,"Go","Standard")</f>
        <v>Standard</v>
      </c>
    </row>
    <row r="12584" customFormat="false" ht="15" hidden="false" customHeight="true" outlineLevel="0" collapsed="false">
      <c r="A12584" s="10" t="n">
        <f aca="false">Einstellungen!$B$5+INT((ROW()-9)/24)</f>
        <v>46489</v>
      </c>
      <c r="B12584" s="11" t="n">
        <f aca="false">MOD(ROW()-9,24)</f>
        <v>23</v>
      </c>
      <c r="C12584" s="12"/>
      <c r="D12584" s="13" t="n">
        <f aca="false">IF(B12584&lt;5,Einstellungen!$B$3,Einstellungen!$B$4)</f>
        <v>29.13</v>
      </c>
      <c r="E12584" s="14" t="str">
        <f aca="false">IF(C12584="","",C12584*D12584/100)</f>
        <v/>
      </c>
      <c r="F12584" s="15" t="str">
        <f aca="false">IF(B12584&lt;5,"Go","Standard")</f>
        <v>Standard</v>
      </c>
    </row>
    <row r="12585" customFormat="false" ht="15" hidden="false" customHeight="true" outlineLevel="0" collapsed="false">
      <c r="A12585" s="10" t="n">
        <f aca="false">Einstellungen!$B$5+INT((ROW()-9)/24)</f>
        <v>46490</v>
      </c>
      <c r="B12585" s="11" t="n">
        <f aca="false">MOD(ROW()-9,24)</f>
        <v>0</v>
      </c>
      <c r="C12585" s="12"/>
      <c r="D12585" s="13" t="n">
        <f aca="false">IF(B12585&lt;5,Einstellungen!$B$3,Einstellungen!$B$4)</f>
        <v>15.92</v>
      </c>
      <c r="E12585" s="14" t="str">
        <f aca="false">IF(C12585="","",C12585*D12585/100)</f>
        <v/>
      </c>
      <c r="F12585" s="15" t="str">
        <f aca="false">IF(B12585&lt;5,"Go","Standard")</f>
        <v>Go</v>
      </c>
    </row>
    <row r="12586" customFormat="false" ht="15" hidden="false" customHeight="true" outlineLevel="0" collapsed="false">
      <c r="A12586" s="10" t="n">
        <f aca="false">Einstellungen!$B$5+INT((ROW()-9)/24)</f>
        <v>46490</v>
      </c>
      <c r="B12586" s="11" t="n">
        <f aca="false">MOD(ROW()-9,24)</f>
        <v>1</v>
      </c>
      <c r="C12586" s="12"/>
      <c r="D12586" s="13" t="n">
        <f aca="false">IF(B12586&lt;5,Einstellungen!$B$3,Einstellungen!$B$4)</f>
        <v>15.92</v>
      </c>
      <c r="E12586" s="14" t="str">
        <f aca="false">IF(C12586="","",C12586*D12586/100)</f>
        <v/>
      </c>
      <c r="F12586" s="15" t="str">
        <f aca="false">IF(B12586&lt;5,"Go","Standard")</f>
        <v>Go</v>
      </c>
    </row>
    <row r="12587" customFormat="false" ht="15" hidden="false" customHeight="true" outlineLevel="0" collapsed="false">
      <c r="A12587" s="10" t="n">
        <f aca="false">Einstellungen!$B$5+INT((ROW()-9)/24)</f>
        <v>46490</v>
      </c>
      <c r="B12587" s="11" t="n">
        <f aca="false">MOD(ROW()-9,24)</f>
        <v>2</v>
      </c>
      <c r="C12587" s="12"/>
      <c r="D12587" s="13" t="n">
        <f aca="false">IF(B12587&lt;5,Einstellungen!$B$3,Einstellungen!$B$4)</f>
        <v>15.92</v>
      </c>
      <c r="E12587" s="14" t="str">
        <f aca="false">IF(C12587="","",C12587*D12587/100)</f>
        <v/>
      </c>
      <c r="F12587" s="15" t="str">
        <f aca="false">IF(B12587&lt;5,"Go","Standard")</f>
        <v>Go</v>
      </c>
    </row>
    <row r="12588" customFormat="false" ht="15" hidden="false" customHeight="true" outlineLevel="0" collapsed="false">
      <c r="A12588" s="10" t="n">
        <f aca="false">Einstellungen!$B$5+INT((ROW()-9)/24)</f>
        <v>46490</v>
      </c>
      <c r="B12588" s="11" t="n">
        <f aca="false">MOD(ROW()-9,24)</f>
        <v>3</v>
      </c>
      <c r="C12588" s="12"/>
      <c r="D12588" s="13" t="n">
        <f aca="false">IF(B12588&lt;5,Einstellungen!$B$3,Einstellungen!$B$4)</f>
        <v>15.92</v>
      </c>
      <c r="E12588" s="14" t="str">
        <f aca="false">IF(C12588="","",C12588*D12588/100)</f>
        <v/>
      </c>
      <c r="F12588" s="15" t="str">
        <f aca="false">IF(B12588&lt;5,"Go","Standard")</f>
        <v>Go</v>
      </c>
    </row>
    <row r="12589" customFormat="false" ht="15" hidden="false" customHeight="true" outlineLevel="0" collapsed="false">
      <c r="A12589" s="10" t="n">
        <f aca="false">Einstellungen!$B$5+INT((ROW()-9)/24)</f>
        <v>46490</v>
      </c>
      <c r="B12589" s="11" t="n">
        <f aca="false">MOD(ROW()-9,24)</f>
        <v>4</v>
      </c>
      <c r="C12589" s="12"/>
      <c r="D12589" s="13" t="n">
        <f aca="false">IF(B12589&lt;5,Einstellungen!$B$3,Einstellungen!$B$4)</f>
        <v>15.92</v>
      </c>
      <c r="E12589" s="14" t="str">
        <f aca="false">IF(C12589="","",C12589*D12589/100)</f>
        <v/>
      </c>
      <c r="F12589" s="15" t="str">
        <f aca="false">IF(B12589&lt;5,"Go","Standard")</f>
        <v>Go</v>
      </c>
    </row>
    <row r="12590" customFormat="false" ht="15" hidden="false" customHeight="true" outlineLevel="0" collapsed="false">
      <c r="A12590" s="10" t="n">
        <f aca="false">Einstellungen!$B$5+INT((ROW()-9)/24)</f>
        <v>46490</v>
      </c>
      <c r="B12590" s="11" t="n">
        <f aca="false">MOD(ROW()-9,24)</f>
        <v>5</v>
      </c>
      <c r="C12590" s="12"/>
      <c r="D12590" s="13" t="n">
        <f aca="false">IF(B12590&lt;5,Einstellungen!$B$3,Einstellungen!$B$4)</f>
        <v>29.13</v>
      </c>
      <c r="E12590" s="14" t="str">
        <f aca="false">IF(C12590="","",C12590*D12590/100)</f>
        <v/>
      </c>
      <c r="F12590" s="15" t="str">
        <f aca="false">IF(B12590&lt;5,"Go","Standard")</f>
        <v>Standard</v>
      </c>
    </row>
    <row r="12591" customFormat="false" ht="15" hidden="false" customHeight="true" outlineLevel="0" collapsed="false">
      <c r="A12591" s="10" t="n">
        <f aca="false">Einstellungen!$B$5+INT((ROW()-9)/24)</f>
        <v>46490</v>
      </c>
      <c r="B12591" s="11" t="n">
        <f aca="false">MOD(ROW()-9,24)</f>
        <v>6</v>
      </c>
      <c r="C12591" s="12"/>
      <c r="D12591" s="13" t="n">
        <f aca="false">IF(B12591&lt;5,Einstellungen!$B$3,Einstellungen!$B$4)</f>
        <v>29.13</v>
      </c>
      <c r="E12591" s="14" t="str">
        <f aca="false">IF(C12591="","",C12591*D12591/100)</f>
        <v/>
      </c>
      <c r="F12591" s="15" t="str">
        <f aca="false">IF(B12591&lt;5,"Go","Standard")</f>
        <v>Standard</v>
      </c>
    </row>
    <row r="12592" customFormat="false" ht="15" hidden="false" customHeight="true" outlineLevel="0" collapsed="false">
      <c r="A12592" s="10" t="n">
        <f aca="false">Einstellungen!$B$5+INT((ROW()-9)/24)</f>
        <v>46490</v>
      </c>
      <c r="B12592" s="11" t="n">
        <f aca="false">MOD(ROW()-9,24)</f>
        <v>7</v>
      </c>
      <c r="C12592" s="12"/>
      <c r="D12592" s="13" t="n">
        <f aca="false">IF(B12592&lt;5,Einstellungen!$B$3,Einstellungen!$B$4)</f>
        <v>29.13</v>
      </c>
      <c r="E12592" s="14" t="str">
        <f aca="false">IF(C12592="","",C12592*D12592/100)</f>
        <v/>
      </c>
      <c r="F12592" s="15" t="str">
        <f aca="false">IF(B12592&lt;5,"Go","Standard")</f>
        <v>Standard</v>
      </c>
    </row>
    <row r="12593" customFormat="false" ht="15" hidden="false" customHeight="true" outlineLevel="0" collapsed="false">
      <c r="A12593" s="10" t="n">
        <f aca="false">Einstellungen!$B$5+INT((ROW()-9)/24)</f>
        <v>46490</v>
      </c>
      <c r="B12593" s="11" t="n">
        <f aca="false">MOD(ROW()-9,24)</f>
        <v>8</v>
      </c>
      <c r="C12593" s="12"/>
      <c r="D12593" s="13" t="n">
        <f aca="false">IF(B12593&lt;5,Einstellungen!$B$3,Einstellungen!$B$4)</f>
        <v>29.13</v>
      </c>
      <c r="E12593" s="14" t="str">
        <f aca="false">IF(C12593="","",C12593*D12593/100)</f>
        <v/>
      </c>
      <c r="F12593" s="15" t="str">
        <f aca="false">IF(B12593&lt;5,"Go","Standard")</f>
        <v>Standard</v>
      </c>
    </row>
    <row r="12594" customFormat="false" ht="15" hidden="false" customHeight="true" outlineLevel="0" collapsed="false">
      <c r="A12594" s="10" t="n">
        <f aca="false">Einstellungen!$B$5+INT((ROW()-9)/24)</f>
        <v>46490</v>
      </c>
      <c r="B12594" s="11" t="n">
        <f aca="false">MOD(ROW()-9,24)</f>
        <v>9</v>
      </c>
      <c r="C12594" s="12"/>
      <c r="D12594" s="13" t="n">
        <f aca="false">IF(B12594&lt;5,Einstellungen!$B$3,Einstellungen!$B$4)</f>
        <v>29.13</v>
      </c>
      <c r="E12594" s="14" t="str">
        <f aca="false">IF(C12594="","",C12594*D12594/100)</f>
        <v/>
      </c>
      <c r="F12594" s="15" t="str">
        <f aca="false">IF(B12594&lt;5,"Go","Standard")</f>
        <v>Standard</v>
      </c>
    </row>
    <row r="12595" customFormat="false" ht="15" hidden="false" customHeight="true" outlineLevel="0" collapsed="false">
      <c r="A12595" s="10" t="n">
        <f aca="false">Einstellungen!$B$5+INT((ROW()-9)/24)</f>
        <v>46490</v>
      </c>
      <c r="B12595" s="11" t="n">
        <f aca="false">MOD(ROW()-9,24)</f>
        <v>10</v>
      </c>
      <c r="C12595" s="12"/>
      <c r="D12595" s="13" t="n">
        <f aca="false">IF(B12595&lt;5,Einstellungen!$B$3,Einstellungen!$B$4)</f>
        <v>29.13</v>
      </c>
      <c r="E12595" s="14" t="str">
        <f aca="false">IF(C12595="","",C12595*D12595/100)</f>
        <v/>
      </c>
      <c r="F12595" s="15" t="str">
        <f aca="false">IF(B12595&lt;5,"Go","Standard")</f>
        <v>Standard</v>
      </c>
    </row>
    <row r="12596" customFormat="false" ht="15" hidden="false" customHeight="true" outlineLevel="0" collapsed="false">
      <c r="A12596" s="10" t="n">
        <f aca="false">Einstellungen!$B$5+INT((ROW()-9)/24)</f>
        <v>46490</v>
      </c>
      <c r="B12596" s="11" t="n">
        <f aca="false">MOD(ROW()-9,24)</f>
        <v>11</v>
      </c>
      <c r="C12596" s="12"/>
      <c r="D12596" s="13" t="n">
        <f aca="false">IF(B12596&lt;5,Einstellungen!$B$3,Einstellungen!$B$4)</f>
        <v>29.13</v>
      </c>
      <c r="E12596" s="14" t="str">
        <f aca="false">IF(C12596="","",C12596*D12596/100)</f>
        <v/>
      </c>
      <c r="F12596" s="15" t="str">
        <f aca="false">IF(B12596&lt;5,"Go","Standard")</f>
        <v>Standard</v>
      </c>
    </row>
    <row r="12597" customFormat="false" ht="15" hidden="false" customHeight="true" outlineLevel="0" collapsed="false">
      <c r="A12597" s="10" t="n">
        <f aca="false">Einstellungen!$B$5+INT((ROW()-9)/24)</f>
        <v>46490</v>
      </c>
      <c r="B12597" s="11" t="n">
        <f aca="false">MOD(ROW()-9,24)</f>
        <v>12</v>
      </c>
      <c r="C12597" s="12"/>
      <c r="D12597" s="13" t="n">
        <f aca="false">IF(B12597&lt;5,Einstellungen!$B$3,Einstellungen!$B$4)</f>
        <v>29.13</v>
      </c>
      <c r="E12597" s="14" t="str">
        <f aca="false">IF(C12597="","",C12597*D12597/100)</f>
        <v/>
      </c>
      <c r="F12597" s="15" t="str">
        <f aca="false">IF(B12597&lt;5,"Go","Standard")</f>
        <v>Standard</v>
      </c>
    </row>
    <row r="12598" customFormat="false" ht="15" hidden="false" customHeight="true" outlineLevel="0" collapsed="false">
      <c r="A12598" s="10" t="n">
        <f aca="false">Einstellungen!$B$5+INT((ROW()-9)/24)</f>
        <v>46490</v>
      </c>
      <c r="B12598" s="11" t="n">
        <f aca="false">MOD(ROW()-9,24)</f>
        <v>13</v>
      </c>
      <c r="C12598" s="12"/>
      <c r="D12598" s="13" t="n">
        <f aca="false">IF(B12598&lt;5,Einstellungen!$B$3,Einstellungen!$B$4)</f>
        <v>29.13</v>
      </c>
      <c r="E12598" s="14" t="str">
        <f aca="false">IF(C12598="","",C12598*D12598/100)</f>
        <v/>
      </c>
      <c r="F12598" s="15" t="str">
        <f aca="false">IF(B12598&lt;5,"Go","Standard")</f>
        <v>Standard</v>
      </c>
    </row>
    <row r="12599" customFormat="false" ht="15" hidden="false" customHeight="true" outlineLevel="0" collapsed="false">
      <c r="A12599" s="10" t="n">
        <f aca="false">Einstellungen!$B$5+INT((ROW()-9)/24)</f>
        <v>46490</v>
      </c>
      <c r="B12599" s="11" t="n">
        <f aca="false">MOD(ROW()-9,24)</f>
        <v>14</v>
      </c>
      <c r="C12599" s="12"/>
      <c r="D12599" s="13" t="n">
        <f aca="false">IF(B12599&lt;5,Einstellungen!$B$3,Einstellungen!$B$4)</f>
        <v>29.13</v>
      </c>
      <c r="E12599" s="14" t="str">
        <f aca="false">IF(C12599="","",C12599*D12599/100)</f>
        <v/>
      </c>
      <c r="F12599" s="15" t="str">
        <f aca="false">IF(B12599&lt;5,"Go","Standard")</f>
        <v>Standard</v>
      </c>
    </row>
    <row r="12600" customFormat="false" ht="15" hidden="false" customHeight="true" outlineLevel="0" collapsed="false">
      <c r="A12600" s="10" t="n">
        <f aca="false">Einstellungen!$B$5+INT((ROW()-9)/24)</f>
        <v>46490</v>
      </c>
      <c r="B12600" s="11" t="n">
        <f aca="false">MOD(ROW()-9,24)</f>
        <v>15</v>
      </c>
      <c r="C12600" s="12"/>
      <c r="D12600" s="13" t="n">
        <f aca="false">IF(B12600&lt;5,Einstellungen!$B$3,Einstellungen!$B$4)</f>
        <v>29.13</v>
      </c>
      <c r="E12600" s="14" t="str">
        <f aca="false">IF(C12600="","",C12600*D12600/100)</f>
        <v/>
      </c>
      <c r="F12600" s="15" t="str">
        <f aca="false">IF(B12600&lt;5,"Go","Standard")</f>
        <v>Standard</v>
      </c>
    </row>
    <row r="12601" customFormat="false" ht="15" hidden="false" customHeight="true" outlineLevel="0" collapsed="false">
      <c r="A12601" s="10" t="n">
        <f aca="false">Einstellungen!$B$5+INT((ROW()-9)/24)</f>
        <v>46490</v>
      </c>
      <c r="B12601" s="11" t="n">
        <f aca="false">MOD(ROW()-9,24)</f>
        <v>16</v>
      </c>
      <c r="C12601" s="12"/>
      <c r="D12601" s="13" t="n">
        <f aca="false">IF(B12601&lt;5,Einstellungen!$B$3,Einstellungen!$B$4)</f>
        <v>29.13</v>
      </c>
      <c r="E12601" s="14" t="str">
        <f aca="false">IF(C12601="","",C12601*D12601/100)</f>
        <v/>
      </c>
      <c r="F12601" s="15" t="str">
        <f aca="false">IF(B12601&lt;5,"Go","Standard")</f>
        <v>Standard</v>
      </c>
    </row>
    <row r="12602" customFormat="false" ht="15" hidden="false" customHeight="true" outlineLevel="0" collapsed="false">
      <c r="A12602" s="10" t="n">
        <f aca="false">Einstellungen!$B$5+INT((ROW()-9)/24)</f>
        <v>46490</v>
      </c>
      <c r="B12602" s="11" t="n">
        <f aca="false">MOD(ROW()-9,24)</f>
        <v>17</v>
      </c>
      <c r="C12602" s="12"/>
      <c r="D12602" s="13" t="n">
        <f aca="false">IF(B12602&lt;5,Einstellungen!$B$3,Einstellungen!$B$4)</f>
        <v>29.13</v>
      </c>
      <c r="E12602" s="14" t="str">
        <f aca="false">IF(C12602="","",C12602*D12602/100)</f>
        <v/>
      </c>
      <c r="F12602" s="15" t="str">
        <f aca="false">IF(B12602&lt;5,"Go","Standard")</f>
        <v>Standard</v>
      </c>
    </row>
    <row r="12603" customFormat="false" ht="15" hidden="false" customHeight="true" outlineLevel="0" collapsed="false">
      <c r="A12603" s="10" t="n">
        <f aca="false">Einstellungen!$B$5+INT((ROW()-9)/24)</f>
        <v>46490</v>
      </c>
      <c r="B12603" s="11" t="n">
        <f aca="false">MOD(ROW()-9,24)</f>
        <v>18</v>
      </c>
      <c r="C12603" s="12"/>
      <c r="D12603" s="13" t="n">
        <f aca="false">IF(B12603&lt;5,Einstellungen!$B$3,Einstellungen!$B$4)</f>
        <v>29.13</v>
      </c>
      <c r="E12603" s="14" t="str">
        <f aca="false">IF(C12603="","",C12603*D12603/100)</f>
        <v/>
      </c>
      <c r="F12603" s="15" t="str">
        <f aca="false">IF(B12603&lt;5,"Go","Standard")</f>
        <v>Standard</v>
      </c>
    </row>
    <row r="12604" customFormat="false" ht="15" hidden="false" customHeight="true" outlineLevel="0" collapsed="false">
      <c r="A12604" s="10" t="n">
        <f aca="false">Einstellungen!$B$5+INT((ROW()-9)/24)</f>
        <v>46490</v>
      </c>
      <c r="B12604" s="11" t="n">
        <f aca="false">MOD(ROW()-9,24)</f>
        <v>19</v>
      </c>
      <c r="C12604" s="12"/>
      <c r="D12604" s="13" t="n">
        <f aca="false">IF(B12604&lt;5,Einstellungen!$B$3,Einstellungen!$B$4)</f>
        <v>29.13</v>
      </c>
      <c r="E12604" s="14" t="str">
        <f aca="false">IF(C12604="","",C12604*D12604/100)</f>
        <v/>
      </c>
      <c r="F12604" s="15" t="str">
        <f aca="false">IF(B12604&lt;5,"Go","Standard")</f>
        <v>Standard</v>
      </c>
    </row>
    <row r="12605" customFormat="false" ht="15" hidden="false" customHeight="true" outlineLevel="0" collapsed="false">
      <c r="A12605" s="10" t="n">
        <f aca="false">Einstellungen!$B$5+INT((ROW()-9)/24)</f>
        <v>46490</v>
      </c>
      <c r="B12605" s="11" t="n">
        <f aca="false">MOD(ROW()-9,24)</f>
        <v>20</v>
      </c>
      <c r="C12605" s="12"/>
      <c r="D12605" s="13" t="n">
        <f aca="false">IF(B12605&lt;5,Einstellungen!$B$3,Einstellungen!$B$4)</f>
        <v>29.13</v>
      </c>
      <c r="E12605" s="14" t="str">
        <f aca="false">IF(C12605="","",C12605*D12605/100)</f>
        <v/>
      </c>
      <c r="F12605" s="15" t="str">
        <f aca="false">IF(B12605&lt;5,"Go","Standard")</f>
        <v>Standard</v>
      </c>
    </row>
    <row r="12606" customFormat="false" ht="15" hidden="false" customHeight="true" outlineLevel="0" collapsed="false">
      <c r="A12606" s="10" t="n">
        <f aca="false">Einstellungen!$B$5+INT((ROW()-9)/24)</f>
        <v>46490</v>
      </c>
      <c r="B12606" s="11" t="n">
        <f aca="false">MOD(ROW()-9,24)</f>
        <v>21</v>
      </c>
      <c r="C12606" s="12"/>
      <c r="D12606" s="13" t="n">
        <f aca="false">IF(B12606&lt;5,Einstellungen!$B$3,Einstellungen!$B$4)</f>
        <v>29.13</v>
      </c>
      <c r="E12606" s="14" t="str">
        <f aca="false">IF(C12606="","",C12606*D12606/100)</f>
        <v/>
      </c>
      <c r="F12606" s="15" t="str">
        <f aca="false">IF(B12606&lt;5,"Go","Standard")</f>
        <v>Standard</v>
      </c>
    </row>
    <row r="12607" customFormat="false" ht="15" hidden="false" customHeight="true" outlineLevel="0" collapsed="false">
      <c r="A12607" s="10" t="n">
        <f aca="false">Einstellungen!$B$5+INT((ROW()-9)/24)</f>
        <v>46490</v>
      </c>
      <c r="B12607" s="11" t="n">
        <f aca="false">MOD(ROW()-9,24)</f>
        <v>22</v>
      </c>
      <c r="C12607" s="12"/>
      <c r="D12607" s="13" t="n">
        <f aca="false">IF(B12607&lt;5,Einstellungen!$B$3,Einstellungen!$B$4)</f>
        <v>29.13</v>
      </c>
      <c r="E12607" s="14" t="str">
        <f aca="false">IF(C12607="","",C12607*D12607/100)</f>
        <v/>
      </c>
      <c r="F12607" s="15" t="str">
        <f aca="false">IF(B12607&lt;5,"Go","Standard")</f>
        <v>Standard</v>
      </c>
    </row>
    <row r="12608" customFormat="false" ht="15" hidden="false" customHeight="true" outlineLevel="0" collapsed="false">
      <c r="A12608" s="10" t="n">
        <f aca="false">Einstellungen!$B$5+INT((ROW()-9)/24)</f>
        <v>46490</v>
      </c>
      <c r="B12608" s="11" t="n">
        <f aca="false">MOD(ROW()-9,24)</f>
        <v>23</v>
      </c>
      <c r="C12608" s="12"/>
      <c r="D12608" s="13" t="n">
        <f aca="false">IF(B12608&lt;5,Einstellungen!$B$3,Einstellungen!$B$4)</f>
        <v>29.13</v>
      </c>
      <c r="E12608" s="14" t="str">
        <f aca="false">IF(C12608="","",C12608*D12608/100)</f>
        <v/>
      </c>
      <c r="F12608" s="15" t="str">
        <f aca="false">IF(B12608&lt;5,"Go","Standard")</f>
        <v>Standard</v>
      </c>
    </row>
    <row r="12609" customFormat="false" ht="15" hidden="false" customHeight="true" outlineLevel="0" collapsed="false">
      <c r="A12609" s="10" t="n">
        <f aca="false">Einstellungen!$B$5+INT((ROW()-9)/24)</f>
        <v>46491</v>
      </c>
      <c r="B12609" s="11" t="n">
        <f aca="false">MOD(ROW()-9,24)</f>
        <v>0</v>
      </c>
      <c r="C12609" s="12"/>
      <c r="D12609" s="13" t="n">
        <f aca="false">IF(B12609&lt;5,Einstellungen!$B$3,Einstellungen!$B$4)</f>
        <v>15.92</v>
      </c>
      <c r="E12609" s="14" t="str">
        <f aca="false">IF(C12609="","",C12609*D12609/100)</f>
        <v/>
      </c>
      <c r="F12609" s="15" t="str">
        <f aca="false">IF(B12609&lt;5,"Go","Standard")</f>
        <v>Go</v>
      </c>
    </row>
    <row r="12610" customFormat="false" ht="15" hidden="false" customHeight="true" outlineLevel="0" collapsed="false">
      <c r="A12610" s="10" t="n">
        <f aca="false">Einstellungen!$B$5+INT((ROW()-9)/24)</f>
        <v>46491</v>
      </c>
      <c r="B12610" s="11" t="n">
        <f aca="false">MOD(ROW()-9,24)</f>
        <v>1</v>
      </c>
      <c r="C12610" s="12"/>
      <c r="D12610" s="13" t="n">
        <f aca="false">IF(B12610&lt;5,Einstellungen!$B$3,Einstellungen!$B$4)</f>
        <v>15.92</v>
      </c>
      <c r="E12610" s="14" t="str">
        <f aca="false">IF(C12610="","",C12610*D12610/100)</f>
        <v/>
      </c>
      <c r="F12610" s="15" t="str">
        <f aca="false">IF(B12610&lt;5,"Go","Standard")</f>
        <v>Go</v>
      </c>
    </row>
    <row r="12611" customFormat="false" ht="15" hidden="false" customHeight="true" outlineLevel="0" collapsed="false">
      <c r="A12611" s="10" t="n">
        <f aca="false">Einstellungen!$B$5+INT((ROW()-9)/24)</f>
        <v>46491</v>
      </c>
      <c r="B12611" s="11" t="n">
        <f aca="false">MOD(ROW()-9,24)</f>
        <v>2</v>
      </c>
      <c r="C12611" s="12"/>
      <c r="D12611" s="13" t="n">
        <f aca="false">IF(B12611&lt;5,Einstellungen!$B$3,Einstellungen!$B$4)</f>
        <v>15.92</v>
      </c>
      <c r="E12611" s="14" t="str">
        <f aca="false">IF(C12611="","",C12611*D12611/100)</f>
        <v/>
      </c>
      <c r="F12611" s="15" t="str">
        <f aca="false">IF(B12611&lt;5,"Go","Standard")</f>
        <v>Go</v>
      </c>
    </row>
    <row r="12612" customFormat="false" ht="15" hidden="false" customHeight="true" outlineLevel="0" collapsed="false">
      <c r="A12612" s="10" t="n">
        <f aca="false">Einstellungen!$B$5+INT((ROW()-9)/24)</f>
        <v>46491</v>
      </c>
      <c r="B12612" s="11" t="n">
        <f aca="false">MOD(ROW()-9,24)</f>
        <v>3</v>
      </c>
      <c r="C12612" s="12"/>
      <c r="D12612" s="13" t="n">
        <f aca="false">IF(B12612&lt;5,Einstellungen!$B$3,Einstellungen!$B$4)</f>
        <v>15.92</v>
      </c>
      <c r="E12612" s="14" t="str">
        <f aca="false">IF(C12612="","",C12612*D12612/100)</f>
        <v/>
      </c>
      <c r="F12612" s="15" t="str">
        <f aca="false">IF(B12612&lt;5,"Go","Standard")</f>
        <v>Go</v>
      </c>
    </row>
    <row r="12613" customFormat="false" ht="15" hidden="false" customHeight="true" outlineLevel="0" collapsed="false">
      <c r="A12613" s="10" t="n">
        <f aca="false">Einstellungen!$B$5+INT((ROW()-9)/24)</f>
        <v>46491</v>
      </c>
      <c r="B12613" s="11" t="n">
        <f aca="false">MOD(ROW()-9,24)</f>
        <v>4</v>
      </c>
      <c r="C12613" s="12"/>
      <c r="D12613" s="13" t="n">
        <f aca="false">IF(B12613&lt;5,Einstellungen!$B$3,Einstellungen!$B$4)</f>
        <v>15.92</v>
      </c>
      <c r="E12613" s="14" t="str">
        <f aca="false">IF(C12613="","",C12613*D12613/100)</f>
        <v/>
      </c>
      <c r="F12613" s="15" t="str">
        <f aca="false">IF(B12613&lt;5,"Go","Standard")</f>
        <v>Go</v>
      </c>
    </row>
    <row r="12614" customFormat="false" ht="15" hidden="false" customHeight="true" outlineLevel="0" collapsed="false">
      <c r="A12614" s="10" t="n">
        <f aca="false">Einstellungen!$B$5+INT((ROW()-9)/24)</f>
        <v>46491</v>
      </c>
      <c r="B12614" s="11" t="n">
        <f aca="false">MOD(ROW()-9,24)</f>
        <v>5</v>
      </c>
      <c r="C12614" s="12"/>
      <c r="D12614" s="13" t="n">
        <f aca="false">IF(B12614&lt;5,Einstellungen!$B$3,Einstellungen!$B$4)</f>
        <v>29.13</v>
      </c>
      <c r="E12614" s="14" t="str">
        <f aca="false">IF(C12614="","",C12614*D12614/100)</f>
        <v/>
      </c>
      <c r="F12614" s="15" t="str">
        <f aca="false">IF(B12614&lt;5,"Go","Standard")</f>
        <v>Standard</v>
      </c>
    </row>
    <row r="12615" customFormat="false" ht="15" hidden="false" customHeight="true" outlineLevel="0" collapsed="false">
      <c r="A12615" s="10" t="n">
        <f aca="false">Einstellungen!$B$5+INT((ROW()-9)/24)</f>
        <v>46491</v>
      </c>
      <c r="B12615" s="11" t="n">
        <f aca="false">MOD(ROW()-9,24)</f>
        <v>6</v>
      </c>
      <c r="C12615" s="12"/>
      <c r="D12615" s="13" t="n">
        <f aca="false">IF(B12615&lt;5,Einstellungen!$B$3,Einstellungen!$B$4)</f>
        <v>29.13</v>
      </c>
      <c r="E12615" s="14" t="str">
        <f aca="false">IF(C12615="","",C12615*D12615/100)</f>
        <v/>
      </c>
      <c r="F12615" s="15" t="str">
        <f aca="false">IF(B12615&lt;5,"Go","Standard")</f>
        <v>Standard</v>
      </c>
    </row>
    <row r="12616" customFormat="false" ht="15" hidden="false" customHeight="true" outlineLevel="0" collapsed="false">
      <c r="A12616" s="10" t="n">
        <f aca="false">Einstellungen!$B$5+INT((ROW()-9)/24)</f>
        <v>46491</v>
      </c>
      <c r="B12616" s="11" t="n">
        <f aca="false">MOD(ROW()-9,24)</f>
        <v>7</v>
      </c>
      <c r="C12616" s="12"/>
      <c r="D12616" s="13" t="n">
        <f aca="false">IF(B12616&lt;5,Einstellungen!$B$3,Einstellungen!$B$4)</f>
        <v>29.13</v>
      </c>
      <c r="E12616" s="14" t="str">
        <f aca="false">IF(C12616="","",C12616*D12616/100)</f>
        <v/>
      </c>
      <c r="F12616" s="15" t="str">
        <f aca="false">IF(B12616&lt;5,"Go","Standard")</f>
        <v>Standard</v>
      </c>
    </row>
    <row r="12617" customFormat="false" ht="15" hidden="false" customHeight="true" outlineLevel="0" collapsed="false">
      <c r="A12617" s="10" t="n">
        <f aca="false">Einstellungen!$B$5+INT((ROW()-9)/24)</f>
        <v>46491</v>
      </c>
      <c r="B12617" s="11" t="n">
        <f aca="false">MOD(ROW()-9,24)</f>
        <v>8</v>
      </c>
      <c r="C12617" s="12"/>
      <c r="D12617" s="13" t="n">
        <f aca="false">IF(B12617&lt;5,Einstellungen!$B$3,Einstellungen!$B$4)</f>
        <v>29.13</v>
      </c>
      <c r="E12617" s="14" t="str">
        <f aca="false">IF(C12617="","",C12617*D12617/100)</f>
        <v/>
      </c>
      <c r="F12617" s="15" t="str">
        <f aca="false">IF(B12617&lt;5,"Go","Standard")</f>
        <v>Standard</v>
      </c>
    </row>
    <row r="12618" customFormat="false" ht="15" hidden="false" customHeight="true" outlineLevel="0" collapsed="false">
      <c r="A12618" s="10" t="n">
        <f aca="false">Einstellungen!$B$5+INT((ROW()-9)/24)</f>
        <v>46491</v>
      </c>
      <c r="B12618" s="11" t="n">
        <f aca="false">MOD(ROW()-9,24)</f>
        <v>9</v>
      </c>
      <c r="C12618" s="12"/>
      <c r="D12618" s="13" t="n">
        <f aca="false">IF(B12618&lt;5,Einstellungen!$B$3,Einstellungen!$B$4)</f>
        <v>29.13</v>
      </c>
      <c r="E12618" s="14" t="str">
        <f aca="false">IF(C12618="","",C12618*D12618/100)</f>
        <v/>
      </c>
      <c r="F12618" s="15" t="str">
        <f aca="false">IF(B12618&lt;5,"Go","Standard")</f>
        <v>Standard</v>
      </c>
    </row>
    <row r="12619" customFormat="false" ht="15" hidden="false" customHeight="true" outlineLevel="0" collapsed="false">
      <c r="A12619" s="10" t="n">
        <f aca="false">Einstellungen!$B$5+INT((ROW()-9)/24)</f>
        <v>46491</v>
      </c>
      <c r="B12619" s="11" t="n">
        <f aca="false">MOD(ROW()-9,24)</f>
        <v>10</v>
      </c>
      <c r="C12619" s="12"/>
      <c r="D12619" s="13" t="n">
        <f aca="false">IF(B12619&lt;5,Einstellungen!$B$3,Einstellungen!$B$4)</f>
        <v>29.13</v>
      </c>
      <c r="E12619" s="14" t="str">
        <f aca="false">IF(C12619="","",C12619*D12619/100)</f>
        <v/>
      </c>
      <c r="F12619" s="15" t="str">
        <f aca="false">IF(B12619&lt;5,"Go","Standard")</f>
        <v>Standard</v>
      </c>
    </row>
    <row r="12620" customFormat="false" ht="15" hidden="false" customHeight="true" outlineLevel="0" collapsed="false">
      <c r="A12620" s="10" t="n">
        <f aca="false">Einstellungen!$B$5+INT((ROW()-9)/24)</f>
        <v>46491</v>
      </c>
      <c r="B12620" s="11" t="n">
        <f aca="false">MOD(ROW()-9,24)</f>
        <v>11</v>
      </c>
      <c r="C12620" s="12"/>
      <c r="D12620" s="13" t="n">
        <f aca="false">IF(B12620&lt;5,Einstellungen!$B$3,Einstellungen!$B$4)</f>
        <v>29.13</v>
      </c>
      <c r="E12620" s="14" t="str">
        <f aca="false">IF(C12620="","",C12620*D12620/100)</f>
        <v/>
      </c>
      <c r="F12620" s="15" t="str">
        <f aca="false">IF(B12620&lt;5,"Go","Standard")</f>
        <v>Standard</v>
      </c>
    </row>
    <row r="12621" customFormat="false" ht="15" hidden="false" customHeight="true" outlineLevel="0" collapsed="false">
      <c r="A12621" s="10" t="n">
        <f aca="false">Einstellungen!$B$5+INT((ROW()-9)/24)</f>
        <v>46491</v>
      </c>
      <c r="B12621" s="11" t="n">
        <f aca="false">MOD(ROW()-9,24)</f>
        <v>12</v>
      </c>
      <c r="C12621" s="12"/>
      <c r="D12621" s="13" t="n">
        <f aca="false">IF(B12621&lt;5,Einstellungen!$B$3,Einstellungen!$B$4)</f>
        <v>29.13</v>
      </c>
      <c r="E12621" s="14" t="str">
        <f aca="false">IF(C12621="","",C12621*D12621/100)</f>
        <v/>
      </c>
      <c r="F12621" s="15" t="str">
        <f aca="false">IF(B12621&lt;5,"Go","Standard")</f>
        <v>Standard</v>
      </c>
    </row>
    <row r="12622" customFormat="false" ht="15" hidden="false" customHeight="true" outlineLevel="0" collapsed="false">
      <c r="A12622" s="10" t="n">
        <f aca="false">Einstellungen!$B$5+INT((ROW()-9)/24)</f>
        <v>46491</v>
      </c>
      <c r="B12622" s="11" t="n">
        <f aca="false">MOD(ROW()-9,24)</f>
        <v>13</v>
      </c>
      <c r="C12622" s="12"/>
      <c r="D12622" s="13" t="n">
        <f aca="false">IF(B12622&lt;5,Einstellungen!$B$3,Einstellungen!$B$4)</f>
        <v>29.13</v>
      </c>
      <c r="E12622" s="14" t="str">
        <f aca="false">IF(C12622="","",C12622*D12622/100)</f>
        <v/>
      </c>
      <c r="F12622" s="15" t="str">
        <f aca="false">IF(B12622&lt;5,"Go","Standard")</f>
        <v>Standard</v>
      </c>
    </row>
    <row r="12623" customFormat="false" ht="15" hidden="false" customHeight="true" outlineLevel="0" collapsed="false">
      <c r="A12623" s="10" t="n">
        <f aca="false">Einstellungen!$B$5+INT((ROW()-9)/24)</f>
        <v>46491</v>
      </c>
      <c r="B12623" s="11" t="n">
        <f aca="false">MOD(ROW()-9,24)</f>
        <v>14</v>
      </c>
      <c r="C12623" s="12"/>
      <c r="D12623" s="13" t="n">
        <f aca="false">IF(B12623&lt;5,Einstellungen!$B$3,Einstellungen!$B$4)</f>
        <v>29.13</v>
      </c>
      <c r="E12623" s="14" t="str">
        <f aca="false">IF(C12623="","",C12623*D12623/100)</f>
        <v/>
      </c>
      <c r="F12623" s="15" t="str">
        <f aca="false">IF(B12623&lt;5,"Go","Standard")</f>
        <v>Standard</v>
      </c>
    </row>
    <row r="12624" customFormat="false" ht="15" hidden="false" customHeight="true" outlineLevel="0" collapsed="false">
      <c r="A12624" s="10" t="n">
        <f aca="false">Einstellungen!$B$5+INT((ROW()-9)/24)</f>
        <v>46491</v>
      </c>
      <c r="B12624" s="11" t="n">
        <f aca="false">MOD(ROW()-9,24)</f>
        <v>15</v>
      </c>
      <c r="C12624" s="12"/>
      <c r="D12624" s="13" t="n">
        <f aca="false">IF(B12624&lt;5,Einstellungen!$B$3,Einstellungen!$B$4)</f>
        <v>29.13</v>
      </c>
      <c r="E12624" s="14" t="str">
        <f aca="false">IF(C12624="","",C12624*D12624/100)</f>
        <v/>
      </c>
      <c r="F12624" s="15" t="str">
        <f aca="false">IF(B12624&lt;5,"Go","Standard")</f>
        <v>Standard</v>
      </c>
    </row>
    <row r="12625" customFormat="false" ht="15" hidden="false" customHeight="true" outlineLevel="0" collapsed="false">
      <c r="A12625" s="10" t="n">
        <f aca="false">Einstellungen!$B$5+INT((ROW()-9)/24)</f>
        <v>46491</v>
      </c>
      <c r="B12625" s="11" t="n">
        <f aca="false">MOD(ROW()-9,24)</f>
        <v>16</v>
      </c>
      <c r="C12625" s="12"/>
      <c r="D12625" s="13" t="n">
        <f aca="false">IF(B12625&lt;5,Einstellungen!$B$3,Einstellungen!$B$4)</f>
        <v>29.13</v>
      </c>
      <c r="E12625" s="14" t="str">
        <f aca="false">IF(C12625="","",C12625*D12625/100)</f>
        <v/>
      </c>
      <c r="F12625" s="15" t="str">
        <f aca="false">IF(B12625&lt;5,"Go","Standard")</f>
        <v>Standard</v>
      </c>
    </row>
    <row r="12626" customFormat="false" ht="15" hidden="false" customHeight="true" outlineLevel="0" collapsed="false">
      <c r="A12626" s="10" t="n">
        <f aca="false">Einstellungen!$B$5+INT((ROW()-9)/24)</f>
        <v>46491</v>
      </c>
      <c r="B12626" s="11" t="n">
        <f aca="false">MOD(ROW()-9,24)</f>
        <v>17</v>
      </c>
      <c r="C12626" s="12"/>
      <c r="D12626" s="13" t="n">
        <f aca="false">IF(B12626&lt;5,Einstellungen!$B$3,Einstellungen!$B$4)</f>
        <v>29.13</v>
      </c>
      <c r="E12626" s="14" t="str">
        <f aca="false">IF(C12626="","",C12626*D12626/100)</f>
        <v/>
      </c>
      <c r="F12626" s="15" t="str">
        <f aca="false">IF(B12626&lt;5,"Go","Standard")</f>
        <v>Standard</v>
      </c>
    </row>
    <row r="12627" customFormat="false" ht="15" hidden="false" customHeight="true" outlineLevel="0" collapsed="false">
      <c r="A12627" s="10" t="n">
        <f aca="false">Einstellungen!$B$5+INT((ROW()-9)/24)</f>
        <v>46491</v>
      </c>
      <c r="B12627" s="11" t="n">
        <f aca="false">MOD(ROW()-9,24)</f>
        <v>18</v>
      </c>
      <c r="C12627" s="12"/>
      <c r="D12627" s="13" t="n">
        <f aca="false">IF(B12627&lt;5,Einstellungen!$B$3,Einstellungen!$B$4)</f>
        <v>29.13</v>
      </c>
      <c r="E12627" s="14" t="str">
        <f aca="false">IF(C12627="","",C12627*D12627/100)</f>
        <v/>
      </c>
      <c r="F12627" s="15" t="str">
        <f aca="false">IF(B12627&lt;5,"Go","Standard")</f>
        <v>Standard</v>
      </c>
    </row>
    <row r="12628" customFormat="false" ht="15" hidden="false" customHeight="true" outlineLevel="0" collapsed="false">
      <c r="A12628" s="10" t="n">
        <f aca="false">Einstellungen!$B$5+INT((ROW()-9)/24)</f>
        <v>46491</v>
      </c>
      <c r="B12628" s="11" t="n">
        <f aca="false">MOD(ROW()-9,24)</f>
        <v>19</v>
      </c>
      <c r="C12628" s="12"/>
      <c r="D12628" s="13" t="n">
        <f aca="false">IF(B12628&lt;5,Einstellungen!$B$3,Einstellungen!$B$4)</f>
        <v>29.13</v>
      </c>
      <c r="E12628" s="14" t="str">
        <f aca="false">IF(C12628="","",C12628*D12628/100)</f>
        <v/>
      </c>
      <c r="F12628" s="15" t="str">
        <f aca="false">IF(B12628&lt;5,"Go","Standard")</f>
        <v>Standard</v>
      </c>
    </row>
    <row r="12629" customFormat="false" ht="15" hidden="false" customHeight="true" outlineLevel="0" collapsed="false">
      <c r="A12629" s="10" t="n">
        <f aca="false">Einstellungen!$B$5+INT((ROW()-9)/24)</f>
        <v>46491</v>
      </c>
      <c r="B12629" s="11" t="n">
        <f aca="false">MOD(ROW()-9,24)</f>
        <v>20</v>
      </c>
      <c r="C12629" s="12"/>
      <c r="D12629" s="13" t="n">
        <f aca="false">IF(B12629&lt;5,Einstellungen!$B$3,Einstellungen!$B$4)</f>
        <v>29.13</v>
      </c>
      <c r="E12629" s="14" t="str">
        <f aca="false">IF(C12629="","",C12629*D12629/100)</f>
        <v/>
      </c>
      <c r="F12629" s="15" t="str">
        <f aca="false">IF(B12629&lt;5,"Go","Standard")</f>
        <v>Standard</v>
      </c>
    </row>
    <row r="12630" customFormat="false" ht="15" hidden="false" customHeight="true" outlineLevel="0" collapsed="false">
      <c r="A12630" s="10" t="n">
        <f aca="false">Einstellungen!$B$5+INT((ROW()-9)/24)</f>
        <v>46491</v>
      </c>
      <c r="B12630" s="11" t="n">
        <f aca="false">MOD(ROW()-9,24)</f>
        <v>21</v>
      </c>
      <c r="C12630" s="12"/>
      <c r="D12630" s="13" t="n">
        <f aca="false">IF(B12630&lt;5,Einstellungen!$B$3,Einstellungen!$B$4)</f>
        <v>29.13</v>
      </c>
      <c r="E12630" s="14" t="str">
        <f aca="false">IF(C12630="","",C12630*D12630/100)</f>
        <v/>
      </c>
      <c r="F12630" s="15" t="str">
        <f aca="false">IF(B12630&lt;5,"Go","Standard")</f>
        <v>Standard</v>
      </c>
    </row>
    <row r="12631" customFormat="false" ht="15" hidden="false" customHeight="true" outlineLevel="0" collapsed="false">
      <c r="A12631" s="10" t="n">
        <f aca="false">Einstellungen!$B$5+INT((ROW()-9)/24)</f>
        <v>46491</v>
      </c>
      <c r="B12631" s="11" t="n">
        <f aca="false">MOD(ROW()-9,24)</f>
        <v>22</v>
      </c>
      <c r="C12631" s="12"/>
      <c r="D12631" s="13" t="n">
        <f aca="false">IF(B12631&lt;5,Einstellungen!$B$3,Einstellungen!$B$4)</f>
        <v>29.13</v>
      </c>
      <c r="E12631" s="14" t="str">
        <f aca="false">IF(C12631="","",C12631*D12631/100)</f>
        <v/>
      </c>
      <c r="F12631" s="15" t="str">
        <f aca="false">IF(B12631&lt;5,"Go","Standard")</f>
        <v>Standard</v>
      </c>
    </row>
    <row r="12632" customFormat="false" ht="15" hidden="false" customHeight="true" outlineLevel="0" collapsed="false">
      <c r="A12632" s="10" t="n">
        <f aca="false">Einstellungen!$B$5+INT((ROW()-9)/24)</f>
        <v>46491</v>
      </c>
      <c r="B12632" s="11" t="n">
        <f aca="false">MOD(ROW()-9,24)</f>
        <v>23</v>
      </c>
      <c r="C12632" s="12"/>
      <c r="D12632" s="13" t="n">
        <f aca="false">IF(B12632&lt;5,Einstellungen!$B$3,Einstellungen!$B$4)</f>
        <v>29.13</v>
      </c>
      <c r="E12632" s="14" t="str">
        <f aca="false">IF(C12632="","",C12632*D12632/100)</f>
        <v/>
      </c>
      <c r="F12632" s="15" t="str">
        <f aca="false">IF(B12632&lt;5,"Go","Standard")</f>
        <v>Standard</v>
      </c>
    </row>
    <row r="12633" customFormat="false" ht="15" hidden="false" customHeight="true" outlineLevel="0" collapsed="false">
      <c r="A12633" s="10" t="n">
        <f aca="false">Einstellungen!$B$5+INT((ROW()-9)/24)</f>
        <v>46492</v>
      </c>
      <c r="B12633" s="11" t="n">
        <f aca="false">MOD(ROW()-9,24)</f>
        <v>0</v>
      </c>
      <c r="C12633" s="12"/>
      <c r="D12633" s="13" t="n">
        <f aca="false">IF(B12633&lt;5,Einstellungen!$B$3,Einstellungen!$B$4)</f>
        <v>15.92</v>
      </c>
      <c r="E12633" s="14" t="str">
        <f aca="false">IF(C12633="","",C12633*D12633/100)</f>
        <v/>
      </c>
      <c r="F12633" s="15" t="str">
        <f aca="false">IF(B12633&lt;5,"Go","Standard")</f>
        <v>Go</v>
      </c>
    </row>
    <row r="12634" customFormat="false" ht="15" hidden="false" customHeight="true" outlineLevel="0" collapsed="false">
      <c r="A12634" s="10" t="n">
        <f aca="false">Einstellungen!$B$5+INT((ROW()-9)/24)</f>
        <v>46492</v>
      </c>
      <c r="B12634" s="11" t="n">
        <f aca="false">MOD(ROW()-9,24)</f>
        <v>1</v>
      </c>
      <c r="C12634" s="12"/>
      <c r="D12634" s="13" t="n">
        <f aca="false">IF(B12634&lt;5,Einstellungen!$B$3,Einstellungen!$B$4)</f>
        <v>15.92</v>
      </c>
      <c r="E12634" s="14" t="str">
        <f aca="false">IF(C12634="","",C12634*D12634/100)</f>
        <v/>
      </c>
      <c r="F12634" s="15" t="str">
        <f aca="false">IF(B12634&lt;5,"Go","Standard")</f>
        <v>Go</v>
      </c>
    </row>
    <row r="12635" customFormat="false" ht="15" hidden="false" customHeight="true" outlineLevel="0" collapsed="false">
      <c r="A12635" s="10" t="n">
        <f aca="false">Einstellungen!$B$5+INT((ROW()-9)/24)</f>
        <v>46492</v>
      </c>
      <c r="B12635" s="11" t="n">
        <f aca="false">MOD(ROW()-9,24)</f>
        <v>2</v>
      </c>
      <c r="C12635" s="12"/>
      <c r="D12635" s="13" t="n">
        <f aca="false">IF(B12635&lt;5,Einstellungen!$B$3,Einstellungen!$B$4)</f>
        <v>15.92</v>
      </c>
      <c r="E12635" s="14" t="str">
        <f aca="false">IF(C12635="","",C12635*D12635/100)</f>
        <v/>
      </c>
      <c r="F12635" s="15" t="str">
        <f aca="false">IF(B12635&lt;5,"Go","Standard")</f>
        <v>Go</v>
      </c>
    </row>
    <row r="12636" customFormat="false" ht="15" hidden="false" customHeight="true" outlineLevel="0" collapsed="false">
      <c r="A12636" s="10" t="n">
        <f aca="false">Einstellungen!$B$5+INT((ROW()-9)/24)</f>
        <v>46492</v>
      </c>
      <c r="B12636" s="11" t="n">
        <f aca="false">MOD(ROW()-9,24)</f>
        <v>3</v>
      </c>
      <c r="C12636" s="12"/>
      <c r="D12636" s="13" t="n">
        <f aca="false">IF(B12636&lt;5,Einstellungen!$B$3,Einstellungen!$B$4)</f>
        <v>15.92</v>
      </c>
      <c r="E12636" s="14" t="str">
        <f aca="false">IF(C12636="","",C12636*D12636/100)</f>
        <v/>
      </c>
      <c r="F12636" s="15" t="str">
        <f aca="false">IF(B12636&lt;5,"Go","Standard")</f>
        <v>Go</v>
      </c>
    </row>
    <row r="12637" customFormat="false" ht="15" hidden="false" customHeight="true" outlineLevel="0" collapsed="false">
      <c r="A12637" s="10" t="n">
        <f aca="false">Einstellungen!$B$5+INT((ROW()-9)/24)</f>
        <v>46492</v>
      </c>
      <c r="B12637" s="11" t="n">
        <f aca="false">MOD(ROW()-9,24)</f>
        <v>4</v>
      </c>
      <c r="C12637" s="12"/>
      <c r="D12637" s="13" t="n">
        <f aca="false">IF(B12637&lt;5,Einstellungen!$B$3,Einstellungen!$B$4)</f>
        <v>15.92</v>
      </c>
      <c r="E12637" s="14" t="str">
        <f aca="false">IF(C12637="","",C12637*D12637/100)</f>
        <v/>
      </c>
      <c r="F12637" s="15" t="str">
        <f aca="false">IF(B12637&lt;5,"Go","Standard")</f>
        <v>Go</v>
      </c>
    </row>
    <row r="12638" customFormat="false" ht="15" hidden="false" customHeight="true" outlineLevel="0" collapsed="false">
      <c r="A12638" s="10" t="n">
        <f aca="false">Einstellungen!$B$5+INT((ROW()-9)/24)</f>
        <v>46492</v>
      </c>
      <c r="B12638" s="11" t="n">
        <f aca="false">MOD(ROW()-9,24)</f>
        <v>5</v>
      </c>
      <c r="C12638" s="12"/>
      <c r="D12638" s="13" t="n">
        <f aca="false">IF(B12638&lt;5,Einstellungen!$B$3,Einstellungen!$B$4)</f>
        <v>29.13</v>
      </c>
      <c r="E12638" s="14" t="str">
        <f aca="false">IF(C12638="","",C12638*D12638/100)</f>
        <v/>
      </c>
      <c r="F12638" s="15" t="str">
        <f aca="false">IF(B12638&lt;5,"Go","Standard")</f>
        <v>Standard</v>
      </c>
    </row>
    <row r="12639" customFormat="false" ht="15" hidden="false" customHeight="true" outlineLevel="0" collapsed="false">
      <c r="A12639" s="10" t="n">
        <f aca="false">Einstellungen!$B$5+INT((ROW()-9)/24)</f>
        <v>46492</v>
      </c>
      <c r="B12639" s="11" t="n">
        <f aca="false">MOD(ROW()-9,24)</f>
        <v>6</v>
      </c>
      <c r="C12639" s="12"/>
      <c r="D12639" s="13" t="n">
        <f aca="false">IF(B12639&lt;5,Einstellungen!$B$3,Einstellungen!$B$4)</f>
        <v>29.13</v>
      </c>
      <c r="E12639" s="14" t="str">
        <f aca="false">IF(C12639="","",C12639*D12639/100)</f>
        <v/>
      </c>
      <c r="F12639" s="15" t="str">
        <f aca="false">IF(B12639&lt;5,"Go","Standard")</f>
        <v>Standard</v>
      </c>
    </row>
    <row r="12640" customFormat="false" ht="15" hidden="false" customHeight="true" outlineLevel="0" collapsed="false">
      <c r="A12640" s="10" t="n">
        <f aca="false">Einstellungen!$B$5+INT((ROW()-9)/24)</f>
        <v>46492</v>
      </c>
      <c r="B12640" s="11" t="n">
        <f aca="false">MOD(ROW()-9,24)</f>
        <v>7</v>
      </c>
      <c r="C12640" s="12"/>
      <c r="D12640" s="13" t="n">
        <f aca="false">IF(B12640&lt;5,Einstellungen!$B$3,Einstellungen!$B$4)</f>
        <v>29.13</v>
      </c>
      <c r="E12640" s="14" t="str">
        <f aca="false">IF(C12640="","",C12640*D12640/100)</f>
        <v/>
      </c>
      <c r="F12640" s="15" t="str">
        <f aca="false">IF(B12640&lt;5,"Go","Standard")</f>
        <v>Standard</v>
      </c>
    </row>
    <row r="12641" customFormat="false" ht="15" hidden="false" customHeight="true" outlineLevel="0" collapsed="false">
      <c r="A12641" s="10" t="n">
        <f aca="false">Einstellungen!$B$5+INT((ROW()-9)/24)</f>
        <v>46492</v>
      </c>
      <c r="B12641" s="11" t="n">
        <f aca="false">MOD(ROW()-9,24)</f>
        <v>8</v>
      </c>
      <c r="C12641" s="12"/>
      <c r="D12641" s="13" t="n">
        <f aca="false">IF(B12641&lt;5,Einstellungen!$B$3,Einstellungen!$B$4)</f>
        <v>29.13</v>
      </c>
      <c r="E12641" s="14" t="str">
        <f aca="false">IF(C12641="","",C12641*D12641/100)</f>
        <v/>
      </c>
      <c r="F12641" s="15" t="str">
        <f aca="false">IF(B12641&lt;5,"Go","Standard")</f>
        <v>Standard</v>
      </c>
    </row>
    <row r="12642" customFormat="false" ht="15" hidden="false" customHeight="true" outlineLevel="0" collapsed="false">
      <c r="A12642" s="10" t="n">
        <f aca="false">Einstellungen!$B$5+INT((ROW()-9)/24)</f>
        <v>46492</v>
      </c>
      <c r="B12642" s="11" t="n">
        <f aca="false">MOD(ROW()-9,24)</f>
        <v>9</v>
      </c>
      <c r="C12642" s="12"/>
      <c r="D12642" s="13" t="n">
        <f aca="false">IF(B12642&lt;5,Einstellungen!$B$3,Einstellungen!$B$4)</f>
        <v>29.13</v>
      </c>
      <c r="E12642" s="14" t="str">
        <f aca="false">IF(C12642="","",C12642*D12642/100)</f>
        <v/>
      </c>
      <c r="F12642" s="15" t="str">
        <f aca="false">IF(B12642&lt;5,"Go","Standard")</f>
        <v>Standard</v>
      </c>
    </row>
    <row r="12643" customFormat="false" ht="15" hidden="false" customHeight="true" outlineLevel="0" collapsed="false">
      <c r="A12643" s="10" t="n">
        <f aca="false">Einstellungen!$B$5+INT((ROW()-9)/24)</f>
        <v>46492</v>
      </c>
      <c r="B12643" s="11" t="n">
        <f aca="false">MOD(ROW()-9,24)</f>
        <v>10</v>
      </c>
      <c r="C12643" s="12"/>
      <c r="D12643" s="13" t="n">
        <f aca="false">IF(B12643&lt;5,Einstellungen!$B$3,Einstellungen!$B$4)</f>
        <v>29.13</v>
      </c>
      <c r="E12643" s="14" t="str">
        <f aca="false">IF(C12643="","",C12643*D12643/100)</f>
        <v/>
      </c>
      <c r="F12643" s="15" t="str">
        <f aca="false">IF(B12643&lt;5,"Go","Standard")</f>
        <v>Standard</v>
      </c>
    </row>
    <row r="12644" customFormat="false" ht="15" hidden="false" customHeight="true" outlineLevel="0" collapsed="false">
      <c r="A12644" s="10" t="n">
        <f aca="false">Einstellungen!$B$5+INT((ROW()-9)/24)</f>
        <v>46492</v>
      </c>
      <c r="B12644" s="11" t="n">
        <f aca="false">MOD(ROW()-9,24)</f>
        <v>11</v>
      </c>
      <c r="C12644" s="12"/>
      <c r="D12644" s="13" t="n">
        <f aca="false">IF(B12644&lt;5,Einstellungen!$B$3,Einstellungen!$B$4)</f>
        <v>29.13</v>
      </c>
      <c r="E12644" s="14" t="str">
        <f aca="false">IF(C12644="","",C12644*D12644/100)</f>
        <v/>
      </c>
      <c r="F12644" s="15" t="str">
        <f aca="false">IF(B12644&lt;5,"Go","Standard")</f>
        <v>Standard</v>
      </c>
    </row>
    <row r="12645" customFormat="false" ht="15" hidden="false" customHeight="true" outlineLevel="0" collapsed="false">
      <c r="A12645" s="10" t="n">
        <f aca="false">Einstellungen!$B$5+INT((ROW()-9)/24)</f>
        <v>46492</v>
      </c>
      <c r="B12645" s="11" t="n">
        <f aca="false">MOD(ROW()-9,24)</f>
        <v>12</v>
      </c>
      <c r="C12645" s="12"/>
      <c r="D12645" s="13" t="n">
        <f aca="false">IF(B12645&lt;5,Einstellungen!$B$3,Einstellungen!$B$4)</f>
        <v>29.13</v>
      </c>
      <c r="E12645" s="14" t="str">
        <f aca="false">IF(C12645="","",C12645*D12645/100)</f>
        <v/>
      </c>
      <c r="F12645" s="15" t="str">
        <f aca="false">IF(B12645&lt;5,"Go","Standard")</f>
        <v>Standard</v>
      </c>
    </row>
    <row r="12646" customFormat="false" ht="15" hidden="false" customHeight="true" outlineLevel="0" collapsed="false">
      <c r="A12646" s="10" t="n">
        <f aca="false">Einstellungen!$B$5+INT((ROW()-9)/24)</f>
        <v>46492</v>
      </c>
      <c r="B12646" s="11" t="n">
        <f aca="false">MOD(ROW()-9,24)</f>
        <v>13</v>
      </c>
      <c r="C12646" s="12"/>
      <c r="D12646" s="13" t="n">
        <f aca="false">IF(B12646&lt;5,Einstellungen!$B$3,Einstellungen!$B$4)</f>
        <v>29.13</v>
      </c>
      <c r="E12646" s="14" t="str">
        <f aca="false">IF(C12646="","",C12646*D12646/100)</f>
        <v/>
      </c>
      <c r="F12646" s="15" t="str">
        <f aca="false">IF(B12646&lt;5,"Go","Standard")</f>
        <v>Standard</v>
      </c>
    </row>
    <row r="12647" customFormat="false" ht="15" hidden="false" customHeight="true" outlineLevel="0" collapsed="false">
      <c r="A12647" s="10" t="n">
        <f aca="false">Einstellungen!$B$5+INT((ROW()-9)/24)</f>
        <v>46492</v>
      </c>
      <c r="B12647" s="11" t="n">
        <f aca="false">MOD(ROW()-9,24)</f>
        <v>14</v>
      </c>
      <c r="C12647" s="12"/>
      <c r="D12647" s="13" t="n">
        <f aca="false">IF(B12647&lt;5,Einstellungen!$B$3,Einstellungen!$B$4)</f>
        <v>29.13</v>
      </c>
      <c r="E12647" s="14" t="str">
        <f aca="false">IF(C12647="","",C12647*D12647/100)</f>
        <v/>
      </c>
      <c r="F12647" s="15" t="str">
        <f aca="false">IF(B12647&lt;5,"Go","Standard")</f>
        <v>Standard</v>
      </c>
    </row>
    <row r="12648" customFormat="false" ht="15" hidden="false" customHeight="true" outlineLevel="0" collapsed="false">
      <c r="A12648" s="10" t="n">
        <f aca="false">Einstellungen!$B$5+INT((ROW()-9)/24)</f>
        <v>46492</v>
      </c>
      <c r="B12648" s="11" t="n">
        <f aca="false">MOD(ROW()-9,24)</f>
        <v>15</v>
      </c>
      <c r="C12648" s="12"/>
      <c r="D12648" s="13" t="n">
        <f aca="false">IF(B12648&lt;5,Einstellungen!$B$3,Einstellungen!$B$4)</f>
        <v>29.13</v>
      </c>
      <c r="E12648" s="14" t="str">
        <f aca="false">IF(C12648="","",C12648*D12648/100)</f>
        <v/>
      </c>
      <c r="F12648" s="15" t="str">
        <f aca="false">IF(B12648&lt;5,"Go","Standard")</f>
        <v>Standard</v>
      </c>
    </row>
    <row r="12649" customFormat="false" ht="15" hidden="false" customHeight="true" outlineLevel="0" collapsed="false">
      <c r="A12649" s="10" t="n">
        <f aca="false">Einstellungen!$B$5+INT((ROW()-9)/24)</f>
        <v>46492</v>
      </c>
      <c r="B12649" s="11" t="n">
        <f aca="false">MOD(ROW()-9,24)</f>
        <v>16</v>
      </c>
      <c r="C12649" s="12"/>
      <c r="D12649" s="13" t="n">
        <f aca="false">IF(B12649&lt;5,Einstellungen!$B$3,Einstellungen!$B$4)</f>
        <v>29.13</v>
      </c>
      <c r="E12649" s="14" t="str">
        <f aca="false">IF(C12649="","",C12649*D12649/100)</f>
        <v/>
      </c>
      <c r="F12649" s="15" t="str">
        <f aca="false">IF(B12649&lt;5,"Go","Standard")</f>
        <v>Standard</v>
      </c>
    </row>
    <row r="12650" customFormat="false" ht="15" hidden="false" customHeight="true" outlineLevel="0" collapsed="false">
      <c r="A12650" s="10" t="n">
        <f aca="false">Einstellungen!$B$5+INT((ROW()-9)/24)</f>
        <v>46492</v>
      </c>
      <c r="B12650" s="11" t="n">
        <f aca="false">MOD(ROW()-9,24)</f>
        <v>17</v>
      </c>
      <c r="C12650" s="12"/>
      <c r="D12650" s="13" t="n">
        <f aca="false">IF(B12650&lt;5,Einstellungen!$B$3,Einstellungen!$B$4)</f>
        <v>29.13</v>
      </c>
      <c r="E12650" s="14" t="str">
        <f aca="false">IF(C12650="","",C12650*D12650/100)</f>
        <v/>
      </c>
      <c r="F12650" s="15" t="str">
        <f aca="false">IF(B12650&lt;5,"Go","Standard")</f>
        <v>Standard</v>
      </c>
    </row>
    <row r="12651" customFormat="false" ht="15" hidden="false" customHeight="true" outlineLevel="0" collapsed="false">
      <c r="A12651" s="10" t="n">
        <f aca="false">Einstellungen!$B$5+INT((ROW()-9)/24)</f>
        <v>46492</v>
      </c>
      <c r="B12651" s="11" t="n">
        <f aca="false">MOD(ROW()-9,24)</f>
        <v>18</v>
      </c>
      <c r="C12651" s="12"/>
      <c r="D12651" s="13" t="n">
        <f aca="false">IF(B12651&lt;5,Einstellungen!$B$3,Einstellungen!$B$4)</f>
        <v>29.13</v>
      </c>
      <c r="E12651" s="14" t="str">
        <f aca="false">IF(C12651="","",C12651*D12651/100)</f>
        <v/>
      </c>
      <c r="F12651" s="15" t="str">
        <f aca="false">IF(B12651&lt;5,"Go","Standard")</f>
        <v>Standard</v>
      </c>
    </row>
    <row r="12652" customFormat="false" ht="15" hidden="false" customHeight="true" outlineLevel="0" collapsed="false">
      <c r="A12652" s="10" t="n">
        <f aca="false">Einstellungen!$B$5+INT((ROW()-9)/24)</f>
        <v>46492</v>
      </c>
      <c r="B12652" s="11" t="n">
        <f aca="false">MOD(ROW()-9,24)</f>
        <v>19</v>
      </c>
      <c r="C12652" s="12"/>
      <c r="D12652" s="13" t="n">
        <f aca="false">IF(B12652&lt;5,Einstellungen!$B$3,Einstellungen!$B$4)</f>
        <v>29.13</v>
      </c>
      <c r="E12652" s="14" t="str">
        <f aca="false">IF(C12652="","",C12652*D12652/100)</f>
        <v/>
      </c>
      <c r="F12652" s="15" t="str">
        <f aca="false">IF(B12652&lt;5,"Go","Standard")</f>
        <v>Standard</v>
      </c>
    </row>
    <row r="12653" customFormat="false" ht="15" hidden="false" customHeight="true" outlineLevel="0" collapsed="false">
      <c r="A12653" s="10" t="n">
        <f aca="false">Einstellungen!$B$5+INT((ROW()-9)/24)</f>
        <v>46492</v>
      </c>
      <c r="B12653" s="11" t="n">
        <f aca="false">MOD(ROW()-9,24)</f>
        <v>20</v>
      </c>
      <c r="C12653" s="12"/>
      <c r="D12653" s="13" t="n">
        <f aca="false">IF(B12653&lt;5,Einstellungen!$B$3,Einstellungen!$B$4)</f>
        <v>29.13</v>
      </c>
      <c r="E12653" s="14" t="str">
        <f aca="false">IF(C12653="","",C12653*D12653/100)</f>
        <v/>
      </c>
      <c r="F12653" s="15" t="str">
        <f aca="false">IF(B12653&lt;5,"Go","Standard")</f>
        <v>Standard</v>
      </c>
    </row>
    <row r="12654" customFormat="false" ht="15" hidden="false" customHeight="true" outlineLevel="0" collapsed="false">
      <c r="A12654" s="10" t="n">
        <f aca="false">Einstellungen!$B$5+INT((ROW()-9)/24)</f>
        <v>46492</v>
      </c>
      <c r="B12654" s="11" t="n">
        <f aca="false">MOD(ROW()-9,24)</f>
        <v>21</v>
      </c>
      <c r="C12654" s="12"/>
      <c r="D12654" s="13" t="n">
        <f aca="false">IF(B12654&lt;5,Einstellungen!$B$3,Einstellungen!$B$4)</f>
        <v>29.13</v>
      </c>
      <c r="E12654" s="14" t="str">
        <f aca="false">IF(C12654="","",C12654*D12654/100)</f>
        <v/>
      </c>
      <c r="F12654" s="15" t="str">
        <f aca="false">IF(B12654&lt;5,"Go","Standard")</f>
        <v>Standard</v>
      </c>
    </row>
    <row r="12655" customFormat="false" ht="15" hidden="false" customHeight="true" outlineLevel="0" collapsed="false">
      <c r="A12655" s="10" t="n">
        <f aca="false">Einstellungen!$B$5+INT((ROW()-9)/24)</f>
        <v>46492</v>
      </c>
      <c r="B12655" s="11" t="n">
        <f aca="false">MOD(ROW()-9,24)</f>
        <v>22</v>
      </c>
      <c r="C12655" s="12"/>
      <c r="D12655" s="13" t="n">
        <f aca="false">IF(B12655&lt;5,Einstellungen!$B$3,Einstellungen!$B$4)</f>
        <v>29.13</v>
      </c>
      <c r="E12655" s="14" t="str">
        <f aca="false">IF(C12655="","",C12655*D12655/100)</f>
        <v/>
      </c>
      <c r="F12655" s="15" t="str">
        <f aca="false">IF(B12655&lt;5,"Go","Standard")</f>
        <v>Standard</v>
      </c>
    </row>
    <row r="12656" customFormat="false" ht="15" hidden="false" customHeight="true" outlineLevel="0" collapsed="false">
      <c r="A12656" s="10" t="n">
        <f aca="false">Einstellungen!$B$5+INT((ROW()-9)/24)</f>
        <v>46492</v>
      </c>
      <c r="B12656" s="11" t="n">
        <f aca="false">MOD(ROW()-9,24)</f>
        <v>23</v>
      </c>
      <c r="C12656" s="12"/>
      <c r="D12656" s="13" t="n">
        <f aca="false">IF(B12656&lt;5,Einstellungen!$B$3,Einstellungen!$B$4)</f>
        <v>29.13</v>
      </c>
      <c r="E12656" s="14" t="str">
        <f aca="false">IF(C12656="","",C12656*D12656/100)</f>
        <v/>
      </c>
      <c r="F12656" s="15" t="str">
        <f aca="false">IF(B12656&lt;5,"Go","Standard")</f>
        <v>Standard</v>
      </c>
    </row>
    <row r="12657" customFormat="false" ht="15" hidden="false" customHeight="true" outlineLevel="0" collapsed="false">
      <c r="A12657" s="10" t="n">
        <f aca="false">Einstellungen!$B$5+INT((ROW()-9)/24)</f>
        <v>46493</v>
      </c>
      <c r="B12657" s="11" t="n">
        <f aca="false">MOD(ROW()-9,24)</f>
        <v>0</v>
      </c>
      <c r="C12657" s="12"/>
      <c r="D12657" s="13" t="n">
        <f aca="false">IF(B12657&lt;5,Einstellungen!$B$3,Einstellungen!$B$4)</f>
        <v>15.92</v>
      </c>
      <c r="E12657" s="14" t="str">
        <f aca="false">IF(C12657="","",C12657*D12657/100)</f>
        <v/>
      </c>
      <c r="F12657" s="15" t="str">
        <f aca="false">IF(B12657&lt;5,"Go","Standard")</f>
        <v>Go</v>
      </c>
    </row>
    <row r="12658" customFormat="false" ht="15" hidden="false" customHeight="true" outlineLevel="0" collapsed="false">
      <c r="A12658" s="10" t="n">
        <f aca="false">Einstellungen!$B$5+INT((ROW()-9)/24)</f>
        <v>46493</v>
      </c>
      <c r="B12658" s="11" t="n">
        <f aca="false">MOD(ROW()-9,24)</f>
        <v>1</v>
      </c>
      <c r="C12658" s="12"/>
      <c r="D12658" s="13" t="n">
        <f aca="false">IF(B12658&lt;5,Einstellungen!$B$3,Einstellungen!$B$4)</f>
        <v>15.92</v>
      </c>
      <c r="E12658" s="14" t="str">
        <f aca="false">IF(C12658="","",C12658*D12658/100)</f>
        <v/>
      </c>
      <c r="F12658" s="15" t="str">
        <f aca="false">IF(B12658&lt;5,"Go","Standard")</f>
        <v>Go</v>
      </c>
    </row>
    <row r="12659" customFormat="false" ht="15" hidden="false" customHeight="true" outlineLevel="0" collapsed="false">
      <c r="A12659" s="10" t="n">
        <f aca="false">Einstellungen!$B$5+INT((ROW()-9)/24)</f>
        <v>46493</v>
      </c>
      <c r="B12659" s="11" t="n">
        <f aca="false">MOD(ROW()-9,24)</f>
        <v>2</v>
      </c>
      <c r="C12659" s="12"/>
      <c r="D12659" s="13" t="n">
        <f aca="false">IF(B12659&lt;5,Einstellungen!$B$3,Einstellungen!$B$4)</f>
        <v>15.92</v>
      </c>
      <c r="E12659" s="14" t="str">
        <f aca="false">IF(C12659="","",C12659*D12659/100)</f>
        <v/>
      </c>
      <c r="F12659" s="15" t="str">
        <f aca="false">IF(B12659&lt;5,"Go","Standard")</f>
        <v>Go</v>
      </c>
    </row>
    <row r="12660" customFormat="false" ht="15" hidden="false" customHeight="true" outlineLevel="0" collapsed="false">
      <c r="A12660" s="10" t="n">
        <f aca="false">Einstellungen!$B$5+INT((ROW()-9)/24)</f>
        <v>46493</v>
      </c>
      <c r="B12660" s="11" t="n">
        <f aca="false">MOD(ROW()-9,24)</f>
        <v>3</v>
      </c>
      <c r="C12660" s="12"/>
      <c r="D12660" s="13" t="n">
        <f aca="false">IF(B12660&lt;5,Einstellungen!$B$3,Einstellungen!$B$4)</f>
        <v>15.92</v>
      </c>
      <c r="E12660" s="14" t="str">
        <f aca="false">IF(C12660="","",C12660*D12660/100)</f>
        <v/>
      </c>
      <c r="F12660" s="15" t="str">
        <f aca="false">IF(B12660&lt;5,"Go","Standard")</f>
        <v>Go</v>
      </c>
    </row>
    <row r="12661" customFormat="false" ht="15" hidden="false" customHeight="true" outlineLevel="0" collapsed="false">
      <c r="A12661" s="10" t="n">
        <f aca="false">Einstellungen!$B$5+INT((ROW()-9)/24)</f>
        <v>46493</v>
      </c>
      <c r="B12661" s="11" t="n">
        <f aca="false">MOD(ROW()-9,24)</f>
        <v>4</v>
      </c>
      <c r="C12661" s="12"/>
      <c r="D12661" s="13" t="n">
        <f aca="false">IF(B12661&lt;5,Einstellungen!$B$3,Einstellungen!$B$4)</f>
        <v>15.92</v>
      </c>
      <c r="E12661" s="14" t="str">
        <f aca="false">IF(C12661="","",C12661*D12661/100)</f>
        <v/>
      </c>
      <c r="F12661" s="15" t="str">
        <f aca="false">IF(B12661&lt;5,"Go","Standard")</f>
        <v>Go</v>
      </c>
    </row>
    <row r="12662" customFormat="false" ht="15" hidden="false" customHeight="true" outlineLevel="0" collapsed="false">
      <c r="A12662" s="10" t="n">
        <f aca="false">Einstellungen!$B$5+INT((ROW()-9)/24)</f>
        <v>46493</v>
      </c>
      <c r="B12662" s="11" t="n">
        <f aca="false">MOD(ROW()-9,24)</f>
        <v>5</v>
      </c>
      <c r="C12662" s="12"/>
      <c r="D12662" s="13" t="n">
        <f aca="false">IF(B12662&lt;5,Einstellungen!$B$3,Einstellungen!$B$4)</f>
        <v>29.13</v>
      </c>
      <c r="E12662" s="14" t="str">
        <f aca="false">IF(C12662="","",C12662*D12662/100)</f>
        <v/>
      </c>
      <c r="F12662" s="15" t="str">
        <f aca="false">IF(B12662&lt;5,"Go","Standard")</f>
        <v>Standard</v>
      </c>
    </row>
    <row r="12663" customFormat="false" ht="15" hidden="false" customHeight="true" outlineLevel="0" collapsed="false">
      <c r="A12663" s="10" t="n">
        <f aca="false">Einstellungen!$B$5+INT((ROW()-9)/24)</f>
        <v>46493</v>
      </c>
      <c r="B12663" s="11" t="n">
        <f aca="false">MOD(ROW()-9,24)</f>
        <v>6</v>
      </c>
      <c r="C12663" s="12"/>
      <c r="D12663" s="13" t="n">
        <f aca="false">IF(B12663&lt;5,Einstellungen!$B$3,Einstellungen!$B$4)</f>
        <v>29.13</v>
      </c>
      <c r="E12663" s="14" t="str">
        <f aca="false">IF(C12663="","",C12663*D12663/100)</f>
        <v/>
      </c>
      <c r="F12663" s="15" t="str">
        <f aca="false">IF(B12663&lt;5,"Go","Standard")</f>
        <v>Standard</v>
      </c>
    </row>
    <row r="12664" customFormat="false" ht="15" hidden="false" customHeight="true" outlineLevel="0" collapsed="false">
      <c r="A12664" s="10" t="n">
        <f aca="false">Einstellungen!$B$5+INT((ROW()-9)/24)</f>
        <v>46493</v>
      </c>
      <c r="B12664" s="11" t="n">
        <f aca="false">MOD(ROW()-9,24)</f>
        <v>7</v>
      </c>
      <c r="C12664" s="12"/>
      <c r="D12664" s="13" t="n">
        <f aca="false">IF(B12664&lt;5,Einstellungen!$B$3,Einstellungen!$B$4)</f>
        <v>29.13</v>
      </c>
      <c r="E12664" s="14" t="str">
        <f aca="false">IF(C12664="","",C12664*D12664/100)</f>
        <v/>
      </c>
      <c r="F12664" s="15" t="str">
        <f aca="false">IF(B12664&lt;5,"Go","Standard")</f>
        <v>Standard</v>
      </c>
    </row>
    <row r="12665" customFormat="false" ht="15" hidden="false" customHeight="true" outlineLevel="0" collapsed="false">
      <c r="A12665" s="10" t="n">
        <f aca="false">Einstellungen!$B$5+INT((ROW()-9)/24)</f>
        <v>46493</v>
      </c>
      <c r="B12665" s="11" t="n">
        <f aca="false">MOD(ROW()-9,24)</f>
        <v>8</v>
      </c>
      <c r="C12665" s="12"/>
      <c r="D12665" s="13" t="n">
        <f aca="false">IF(B12665&lt;5,Einstellungen!$B$3,Einstellungen!$B$4)</f>
        <v>29.13</v>
      </c>
      <c r="E12665" s="14" t="str">
        <f aca="false">IF(C12665="","",C12665*D12665/100)</f>
        <v/>
      </c>
      <c r="F12665" s="15" t="str">
        <f aca="false">IF(B12665&lt;5,"Go","Standard")</f>
        <v>Standard</v>
      </c>
    </row>
    <row r="12666" customFormat="false" ht="15" hidden="false" customHeight="true" outlineLevel="0" collapsed="false">
      <c r="A12666" s="10" t="n">
        <f aca="false">Einstellungen!$B$5+INT((ROW()-9)/24)</f>
        <v>46493</v>
      </c>
      <c r="B12666" s="11" t="n">
        <f aca="false">MOD(ROW()-9,24)</f>
        <v>9</v>
      </c>
      <c r="C12666" s="12"/>
      <c r="D12666" s="13" t="n">
        <f aca="false">IF(B12666&lt;5,Einstellungen!$B$3,Einstellungen!$B$4)</f>
        <v>29.13</v>
      </c>
      <c r="E12666" s="14" t="str">
        <f aca="false">IF(C12666="","",C12666*D12666/100)</f>
        <v/>
      </c>
      <c r="F12666" s="15" t="str">
        <f aca="false">IF(B12666&lt;5,"Go","Standard")</f>
        <v>Standard</v>
      </c>
    </row>
    <row r="12667" customFormat="false" ht="15" hidden="false" customHeight="true" outlineLevel="0" collapsed="false">
      <c r="A12667" s="10" t="n">
        <f aca="false">Einstellungen!$B$5+INT((ROW()-9)/24)</f>
        <v>46493</v>
      </c>
      <c r="B12667" s="11" t="n">
        <f aca="false">MOD(ROW()-9,24)</f>
        <v>10</v>
      </c>
      <c r="C12667" s="12"/>
      <c r="D12667" s="13" t="n">
        <f aca="false">IF(B12667&lt;5,Einstellungen!$B$3,Einstellungen!$B$4)</f>
        <v>29.13</v>
      </c>
      <c r="E12667" s="14" t="str">
        <f aca="false">IF(C12667="","",C12667*D12667/100)</f>
        <v/>
      </c>
      <c r="F12667" s="15" t="str">
        <f aca="false">IF(B12667&lt;5,"Go","Standard")</f>
        <v>Standard</v>
      </c>
    </row>
    <row r="12668" customFormat="false" ht="15" hidden="false" customHeight="true" outlineLevel="0" collapsed="false">
      <c r="A12668" s="10" t="n">
        <f aca="false">Einstellungen!$B$5+INT((ROW()-9)/24)</f>
        <v>46493</v>
      </c>
      <c r="B12668" s="11" t="n">
        <f aca="false">MOD(ROW()-9,24)</f>
        <v>11</v>
      </c>
      <c r="C12668" s="12"/>
      <c r="D12668" s="13" t="n">
        <f aca="false">IF(B12668&lt;5,Einstellungen!$B$3,Einstellungen!$B$4)</f>
        <v>29.13</v>
      </c>
      <c r="E12668" s="14" t="str">
        <f aca="false">IF(C12668="","",C12668*D12668/100)</f>
        <v/>
      </c>
      <c r="F12668" s="15" t="str">
        <f aca="false">IF(B12668&lt;5,"Go","Standard")</f>
        <v>Standard</v>
      </c>
    </row>
    <row r="12669" customFormat="false" ht="15" hidden="false" customHeight="true" outlineLevel="0" collapsed="false">
      <c r="A12669" s="10" t="n">
        <f aca="false">Einstellungen!$B$5+INT((ROW()-9)/24)</f>
        <v>46493</v>
      </c>
      <c r="B12669" s="11" t="n">
        <f aca="false">MOD(ROW()-9,24)</f>
        <v>12</v>
      </c>
      <c r="C12669" s="12"/>
      <c r="D12669" s="13" t="n">
        <f aca="false">IF(B12669&lt;5,Einstellungen!$B$3,Einstellungen!$B$4)</f>
        <v>29.13</v>
      </c>
      <c r="E12669" s="14" t="str">
        <f aca="false">IF(C12669="","",C12669*D12669/100)</f>
        <v/>
      </c>
      <c r="F12669" s="15" t="str">
        <f aca="false">IF(B12669&lt;5,"Go","Standard")</f>
        <v>Standard</v>
      </c>
    </row>
    <row r="12670" customFormat="false" ht="15" hidden="false" customHeight="true" outlineLevel="0" collapsed="false">
      <c r="A12670" s="10" t="n">
        <f aca="false">Einstellungen!$B$5+INT((ROW()-9)/24)</f>
        <v>46493</v>
      </c>
      <c r="B12670" s="11" t="n">
        <f aca="false">MOD(ROW()-9,24)</f>
        <v>13</v>
      </c>
      <c r="C12670" s="12"/>
      <c r="D12670" s="13" t="n">
        <f aca="false">IF(B12670&lt;5,Einstellungen!$B$3,Einstellungen!$B$4)</f>
        <v>29.13</v>
      </c>
      <c r="E12670" s="14" t="str">
        <f aca="false">IF(C12670="","",C12670*D12670/100)</f>
        <v/>
      </c>
      <c r="F12670" s="15" t="str">
        <f aca="false">IF(B12670&lt;5,"Go","Standard")</f>
        <v>Standard</v>
      </c>
    </row>
    <row r="12671" customFormat="false" ht="15" hidden="false" customHeight="true" outlineLevel="0" collapsed="false">
      <c r="A12671" s="10" t="n">
        <f aca="false">Einstellungen!$B$5+INT((ROW()-9)/24)</f>
        <v>46493</v>
      </c>
      <c r="B12671" s="11" t="n">
        <f aca="false">MOD(ROW()-9,24)</f>
        <v>14</v>
      </c>
      <c r="C12671" s="12"/>
      <c r="D12671" s="13" t="n">
        <f aca="false">IF(B12671&lt;5,Einstellungen!$B$3,Einstellungen!$B$4)</f>
        <v>29.13</v>
      </c>
      <c r="E12671" s="14" t="str">
        <f aca="false">IF(C12671="","",C12671*D12671/100)</f>
        <v/>
      </c>
      <c r="F12671" s="15" t="str">
        <f aca="false">IF(B12671&lt;5,"Go","Standard")</f>
        <v>Standard</v>
      </c>
    </row>
    <row r="12672" customFormat="false" ht="15" hidden="false" customHeight="true" outlineLevel="0" collapsed="false">
      <c r="A12672" s="10" t="n">
        <f aca="false">Einstellungen!$B$5+INT((ROW()-9)/24)</f>
        <v>46493</v>
      </c>
      <c r="B12672" s="11" t="n">
        <f aca="false">MOD(ROW()-9,24)</f>
        <v>15</v>
      </c>
      <c r="C12672" s="12"/>
      <c r="D12672" s="13" t="n">
        <f aca="false">IF(B12672&lt;5,Einstellungen!$B$3,Einstellungen!$B$4)</f>
        <v>29.13</v>
      </c>
      <c r="E12672" s="14" t="str">
        <f aca="false">IF(C12672="","",C12672*D12672/100)</f>
        <v/>
      </c>
      <c r="F12672" s="15" t="str">
        <f aca="false">IF(B12672&lt;5,"Go","Standard")</f>
        <v>Standard</v>
      </c>
    </row>
    <row r="12673" customFormat="false" ht="15" hidden="false" customHeight="true" outlineLevel="0" collapsed="false">
      <c r="A12673" s="10" t="n">
        <f aca="false">Einstellungen!$B$5+INT((ROW()-9)/24)</f>
        <v>46493</v>
      </c>
      <c r="B12673" s="11" t="n">
        <f aca="false">MOD(ROW()-9,24)</f>
        <v>16</v>
      </c>
      <c r="C12673" s="12"/>
      <c r="D12673" s="13" t="n">
        <f aca="false">IF(B12673&lt;5,Einstellungen!$B$3,Einstellungen!$B$4)</f>
        <v>29.13</v>
      </c>
      <c r="E12673" s="14" t="str">
        <f aca="false">IF(C12673="","",C12673*D12673/100)</f>
        <v/>
      </c>
      <c r="F12673" s="15" t="str">
        <f aca="false">IF(B12673&lt;5,"Go","Standard")</f>
        <v>Standard</v>
      </c>
    </row>
    <row r="12674" customFormat="false" ht="15" hidden="false" customHeight="true" outlineLevel="0" collapsed="false">
      <c r="A12674" s="10" t="n">
        <f aca="false">Einstellungen!$B$5+INT((ROW()-9)/24)</f>
        <v>46493</v>
      </c>
      <c r="B12674" s="11" t="n">
        <f aca="false">MOD(ROW()-9,24)</f>
        <v>17</v>
      </c>
      <c r="C12674" s="12"/>
      <c r="D12674" s="13" t="n">
        <f aca="false">IF(B12674&lt;5,Einstellungen!$B$3,Einstellungen!$B$4)</f>
        <v>29.13</v>
      </c>
      <c r="E12674" s="14" t="str">
        <f aca="false">IF(C12674="","",C12674*D12674/100)</f>
        <v/>
      </c>
      <c r="F12674" s="15" t="str">
        <f aca="false">IF(B12674&lt;5,"Go","Standard")</f>
        <v>Standard</v>
      </c>
    </row>
    <row r="12675" customFormat="false" ht="15" hidden="false" customHeight="true" outlineLevel="0" collapsed="false">
      <c r="A12675" s="10" t="n">
        <f aca="false">Einstellungen!$B$5+INT((ROW()-9)/24)</f>
        <v>46493</v>
      </c>
      <c r="B12675" s="11" t="n">
        <f aca="false">MOD(ROW()-9,24)</f>
        <v>18</v>
      </c>
      <c r="C12675" s="12"/>
      <c r="D12675" s="13" t="n">
        <f aca="false">IF(B12675&lt;5,Einstellungen!$B$3,Einstellungen!$B$4)</f>
        <v>29.13</v>
      </c>
      <c r="E12675" s="14" t="str">
        <f aca="false">IF(C12675="","",C12675*D12675/100)</f>
        <v/>
      </c>
      <c r="F12675" s="15" t="str">
        <f aca="false">IF(B12675&lt;5,"Go","Standard")</f>
        <v>Standard</v>
      </c>
    </row>
    <row r="12676" customFormat="false" ht="15" hidden="false" customHeight="true" outlineLevel="0" collapsed="false">
      <c r="A12676" s="10" t="n">
        <f aca="false">Einstellungen!$B$5+INT((ROW()-9)/24)</f>
        <v>46493</v>
      </c>
      <c r="B12676" s="11" t="n">
        <f aca="false">MOD(ROW()-9,24)</f>
        <v>19</v>
      </c>
      <c r="C12676" s="12"/>
      <c r="D12676" s="13" t="n">
        <f aca="false">IF(B12676&lt;5,Einstellungen!$B$3,Einstellungen!$B$4)</f>
        <v>29.13</v>
      </c>
      <c r="E12676" s="14" t="str">
        <f aca="false">IF(C12676="","",C12676*D12676/100)</f>
        <v/>
      </c>
      <c r="F12676" s="15" t="str">
        <f aca="false">IF(B12676&lt;5,"Go","Standard")</f>
        <v>Standard</v>
      </c>
    </row>
    <row r="12677" customFormat="false" ht="15" hidden="false" customHeight="true" outlineLevel="0" collapsed="false">
      <c r="A12677" s="10" t="n">
        <f aca="false">Einstellungen!$B$5+INT((ROW()-9)/24)</f>
        <v>46493</v>
      </c>
      <c r="B12677" s="11" t="n">
        <f aca="false">MOD(ROW()-9,24)</f>
        <v>20</v>
      </c>
      <c r="C12677" s="12"/>
      <c r="D12677" s="13" t="n">
        <f aca="false">IF(B12677&lt;5,Einstellungen!$B$3,Einstellungen!$B$4)</f>
        <v>29.13</v>
      </c>
      <c r="E12677" s="14" t="str">
        <f aca="false">IF(C12677="","",C12677*D12677/100)</f>
        <v/>
      </c>
      <c r="F12677" s="15" t="str">
        <f aca="false">IF(B12677&lt;5,"Go","Standard")</f>
        <v>Standard</v>
      </c>
    </row>
    <row r="12678" customFormat="false" ht="15" hidden="false" customHeight="true" outlineLevel="0" collapsed="false">
      <c r="A12678" s="10" t="n">
        <f aca="false">Einstellungen!$B$5+INT((ROW()-9)/24)</f>
        <v>46493</v>
      </c>
      <c r="B12678" s="11" t="n">
        <f aca="false">MOD(ROW()-9,24)</f>
        <v>21</v>
      </c>
      <c r="C12678" s="12"/>
      <c r="D12678" s="13" t="n">
        <f aca="false">IF(B12678&lt;5,Einstellungen!$B$3,Einstellungen!$B$4)</f>
        <v>29.13</v>
      </c>
      <c r="E12678" s="14" t="str">
        <f aca="false">IF(C12678="","",C12678*D12678/100)</f>
        <v/>
      </c>
      <c r="F12678" s="15" t="str">
        <f aca="false">IF(B12678&lt;5,"Go","Standard")</f>
        <v>Standard</v>
      </c>
    </row>
    <row r="12679" customFormat="false" ht="15" hidden="false" customHeight="true" outlineLevel="0" collapsed="false">
      <c r="A12679" s="10" t="n">
        <f aca="false">Einstellungen!$B$5+INT((ROW()-9)/24)</f>
        <v>46493</v>
      </c>
      <c r="B12679" s="11" t="n">
        <f aca="false">MOD(ROW()-9,24)</f>
        <v>22</v>
      </c>
      <c r="C12679" s="12"/>
      <c r="D12679" s="13" t="n">
        <f aca="false">IF(B12679&lt;5,Einstellungen!$B$3,Einstellungen!$B$4)</f>
        <v>29.13</v>
      </c>
      <c r="E12679" s="14" t="str">
        <f aca="false">IF(C12679="","",C12679*D12679/100)</f>
        <v/>
      </c>
      <c r="F12679" s="15" t="str">
        <f aca="false">IF(B12679&lt;5,"Go","Standard")</f>
        <v>Standard</v>
      </c>
    </row>
    <row r="12680" customFormat="false" ht="15" hidden="false" customHeight="true" outlineLevel="0" collapsed="false">
      <c r="A12680" s="10" t="n">
        <f aca="false">Einstellungen!$B$5+INT((ROW()-9)/24)</f>
        <v>46493</v>
      </c>
      <c r="B12680" s="11" t="n">
        <f aca="false">MOD(ROW()-9,24)</f>
        <v>23</v>
      </c>
      <c r="C12680" s="12"/>
      <c r="D12680" s="13" t="n">
        <f aca="false">IF(B12680&lt;5,Einstellungen!$B$3,Einstellungen!$B$4)</f>
        <v>29.13</v>
      </c>
      <c r="E12680" s="14" t="str">
        <f aca="false">IF(C12680="","",C12680*D12680/100)</f>
        <v/>
      </c>
      <c r="F12680" s="15" t="str">
        <f aca="false">IF(B12680&lt;5,"Go","Standard")</f>
        <v>Standard</v>
      </c>
    </row>
    <row r="12681" customFormat="false" ht="15" hidden="false" customHeight="true" outlineLevel="0" collapsed="false">
      <c r="A12681" s="10" t="n">
        <f aca="false">Einstellungen!$B$5+INT((ROW()-9)/24)</f>
        <v>46494</v>
      </c>
      <c r="B12681" s="11" t="n">
        <f aca="false">MOD(ROW()-9,24)</f>
        <v>0</v>
      </c>
      <c r="C12681" s="12"/>
      <c r="D12681" s="13" t="n">
        <f aca="false">IF(B12681&lt;5,Einstellungen!$B$3,Einstellungen!$B$4)</f>
        <v>15.92</v>
      </c>
      <c r="E12681" s="14" t="str">
        <f aca="false">IF(C12681="","",C12681*D12681/100)</f>
        <v/>
      </c>
      <c r="F12681" s="15" t="str">
        <f aca="false">IF(B12681&lt;5,"Go","Standard")</f>
        <v>Go</v>
      </c>
    </row>
    <row r="12682" customFormat="false" ht="15" hidden="false" customHeight="true" outlineLevel="0" collapsed="false">
      <c r="A12682" s="10" t="n">
        <f aca="false">Einstellungen!$B$5+INT((ROW()-9)/24)</f>
        <v>46494</v>
      </c>
      <c r="B12682" s="11" t="n">
        <f aca="false">MOD(ROW()-9,24)</f>
        <v>1</v>
      </c>
      <c r="C12682" s="12"/>
      <c r="D12682" s="13" t="n">
        <f aca="false">IF(B12682&lt;5,Einstellungen!$B$3,Einstellungen!$B$4)</f>
        <v>15.92</v>
      </c>
      <c r="E12682" s="14" t="str">
        <f aca="false">IF(C12682="","",C12682*D12682/100)</f>
        <v/>
      </c>
      <c r="F12682" s="15" t="str">
        <f aca="false">IF(B12682&lt;5,"Go","Standard")</f>
        <v>Go</v>
      </c>
    </row>
    <row r="12683" customFormat="false" ht="15" hidden="false" customHeight="true" outlineLevel="0" collapsed="false">
      <c r="A12683" s="10" t="n">
        <f aca="false">Einstellungen!$B$5+INT((ROW()-9)/24)</f>
        <v>46494</v>
      </c>
      <c r="B12683" s="11" t="n">
        <f aca="false">MOD(ROW()-9,24)</f>
        <v>2</v>
      </c>
      <c r="C12683" s="12"/>
      <c r="D12683" s="13" t="n">
        <f aca="false">IF(B12683&lt;5,Einstellungen!$B$3,Einstellungen!$B$4)</f>
        <v>15.92</v>
      </c>
      <c r="E12683" s="14" t="str">
        <f aca="false">IF(C12683="","",C12683*D12683/100)</f>
        <v/>
      </c>
      <c r="F12683" s="15" t="str">
        <f aca="false">IF(B12683&lt;5,"Go","Standard")</f>
        <v>Go</v>
      </c>
    </row>
    <row r="12684" customFormat="false" ht="15" hidden="false" customHeight="true" outlineLevel="0" collapsed="false">
      <c r="A12684" s="10" t="n">
        <f aca="false">Einstellungen!$B$5+INT((ROW()-9)/24)</f>
        <v>46494</v>
      </c>
      <c r="B12684" s="11" t="n">
        <f aca="false">MOD(ROW()-9,24)</f>
        <v>3</v>
      </c>
      <c r="C12684" s="12"/>
      <c r="D12684" s="13" t="n">
        <f aca="false">IF(B12684&lt;5,Einstellungen!$B$3,Einstellungen!$B$4)</f>
        <v>15.92</v>
      </c>
      <c r="E12684" s="14" t="str">
        <f aca="false">IF(C12684="","",C12684*D12684/100)</f>
        <v/>
      </c>
      <c r="F12684" s="15" t="str">
        <f aca="false">IF(B12684&lt;5,"Go","Standard")</f>
        <v>Go</v>
      </c>
    </row>
    <row r="12685" customFormat="false" ht="15" hidden="false" customHeight="true" outlineLevel="0" collapsed="false">
      <c r="A12685" s="10" t="n">
        <f aca="false">Einstellungen!$B$5+INT((ROW()-9)/24)</f>
        <v>46494</v>
      </c>
      <c r="B12685" s="11" t="n">
        <f aca="false">MOD(ROW()-9,24)</f>
        <v>4</v>
      </c>
      <c r="C12685" s="12"/>
      <c r="D12685" s="13" t="n">
        <f aca="false">IF(B12685&lt;5,Einstellungen!$B$3,Einstellungen!$B$4)</f>
        <v>15.92</v>
      </c>
      <c r="E12685" s="14" t="str">
        <f aca="false">IF(C12685="","",C12685*D12685/100)</f>
        <v/>
      </c>
      <c r="F12685" s="15" t="str">
        <f aca="false">IF(B12685&lt;5,"Go","Standard")</f>
        <v>Go</v>
      </c>
    </row>
    <row r="12686" customFormat="false" ht="15" hidden="false" customHeight="true" outlineLevel="0" collapsed="false">
      <c r="A12686" s="10" t="n">
        <f aca="false">Einstellungen!$B$5+INT((ROW()-9)/24)</f>
        <v>46494</v>
      </c>
      <c r="B12686" s="11" t="n">
        <f aca="false">MOD(ROW()-9,24)</f>
        <v>5</v>
      </c>
      <c r="C12686" s="12"/>
      <c r="D12686" s="13" t="n">
        <f aca="false">IF(B12686&lt;5,Einstellungen!$B$3,Einstellungen!$B$4)</f>
        <v>29.13</v>
      </c>
      <c r="E12686" s="14" t="str">
        <f aca="false">IF(C12686="","",C12686*D12686/100)</f>
        <v/>
      </c>
      <c r="F12686" s="15" t="str">
        <f aca="false">IF(B12686&lt;5,"Go","Standard")</f>
        <v>Standard</v>
      </c>
    </row>
    <row r="12687" customFormat="false" ht="15" hidden="false" customHeight="true" outlineLevel="0" collapsed="false">
      <c r="A12687" s="10" t="n">
        <f aca="false">Einstellungen!$B$5+INT((ROW()-9)/24)</f>
        <v>46494</v>
      </c>
      <c r="B12687" s="11" t="n">
        <f aca="false">MOD(ROW()-9,24)</f>
        <v>6</v>
      </c>
      <c r="C12687" s="12"/>
      <c r="D12687" s="13" t="n">
        <f aca="false">IF(B12687&lt;5,Einstellungen!$B$3,Einstellungen!$B$4)</f>
        <v>29.13</v>
      </c>
      <c r="E12687" s="14" t="str">
        <f aca="false">IF(C12687="","",C12687*D12687/100)</f>
        <v/>
      </c>
      <c r="F12687" s="15" t="str">
        <f aca="false">IF(B12687&lt;5,"Go","Standard")</f>
        <v>Standard</v>
      </c>
    </row>
    <row r="12688" customFormat="false" ht="15" hidden="false" customHeight="true" outlineLevel="0" collapsed="false">
      <c r="A12688" s="10" t="n">
        <f aca="false">Einstellungen!$B$5+INT((ROW()-9)/24)</f>
        <v>46494</v>
      </c>
      <c r="B12688" s="11" t="n">
        <f aca="false">MOD(ROW()-9,24)</f>
        <v>7</v>
      </c>
      <c r="C12688" s="12"/>
      <c r="D12688" s="13" t="n">
        <f aca="false">IF(B12688&lt;5,Einstellungen!$B$3,Einstellungen!$B$4)</f>
        <v>29.13</v>
      </c>
      <c r="E12688" s="14" t="str">
        <f aca="false">IF(C12688="","",C12688*D12688/100)</f>
        <v/>
      </c>
      <c r="F12688" s="15" t="str">
        <f aca="false">IF(B12688&lt;5,"Go","Standard")</f>
        <v>Standard</v>
      </c>
    </row>
    <row r="12689" customFormat="false" ht="15" hidden="false" customHeight="true" outlineLevel="0" collapsed="false">
      <c r="A12689" s="10" t="n">
        <f aca="false">Einstellungen!$B$5+INT((ROW()-9)/24)</f>
        <v>46494</v>
      </c>
      <c r="B12689" s="11" t="n">
        <f aca="false">MOD(ROW()-9,24)</f>
        <v>8</v>
      </c>
      <c r="C12689" s="12"/>
      <c r="D12689" s="13" t="n">
        <f aca="false">IF(B12689&lt;5,Einstellungen!$B$3,Einstellungen!$B$4)</f>
        <v>29.13</v>
      </c>
      <c r="E12689" s="14" t="str">
        <f aca="false">IF(C12689="","",C12689*D12689/100)</f>
        <v/>
      </c>
      <c r="F12689" s="15" t="str">
        <f aca="false">IF(B12689&lt;5,"Go","Standard")</f>
        <v>Standard</v>
      </c>
    </row>
    <row r="12690" customFormat="false" ht="15" hidden="false" customHeight="true" outlineLevel="0" collapsed="false">
      <c r="A12690" s="10" t="n">
        <f aca="false">Einstellungen!$B$5+INT((ROW()-9)/24)</f>
        <v>46494</v>
      </c>
      <c r="B12690" s="11" t="n">
        <f aca="false">MOD(ROW()-9,24)</f>
        <v>9</v>
      </c>
      <c r="C12690" s="12"/>
      <c r="D12690" s="13" t="n">
        <f aca="false">IF(B12690&lt;5,Einstellungen!$B$3,Einstellungen!$B$4)</f>
        <v>29.13</v>
      </c>
      <c r="E12690" s="14" t="str">
        <f aca="false">IF(C12690="","",C12690*D12690/100)</f>
        <v/>
      </c>
      <c r="F12690" s="15" t="str">
        <f aca="false">IF(B12690&lt;5,"Go","Standard")</f>
        <v>Standard</v>
      </c>
    </row>
    <row r="12691" customFormat="false" ht="15" hidden="false" customHeight="true" outlineLevel="0" collapsed="false">
      <c r="A12691" s="10" t="n">
        <f aca="false">Einstellungen!$B$5+INT((ROW()-9)/24)</f>
        <v>46494</v>
      </c>
      <c r="B12691" s="11" t="n">
        <f aca="false">MOD(ROW()-9,24)</f>
        <v>10</v>
      </c>
      <c r="C12691" s="12"/>
      <c r="D12691" s="13" t="n">
        <f aca="false">IF(B12691&lt;5,Einstellungen!$B$3,Einstellungen!$B$4)</f>
        <v>29.13</v>
      </c>
      <c r="E12691" s="14" t="str">
        <f aca="false">IF(C12691="","",C12691*D12691/100)</f>
        <v/>
      </c>
      <c r="F12691" s="15" t="str">
        <f aca="false">IF(B12691&lt;5,"Go","Standard")</f>
        <v>Standard</v>
      </c>
    </row>
    <row r="12692" customFormat="false" ht="15" hidden="false" customHeight="true" outlineLevel="0" collapsed="false">
      <c r="A12692" s="10" t="n">
        <f aca="false">Einstellungen!$B$5+INT((ROW()-9)/24)</f>
        <v>46494</v>
      </c>
      <c r="B12692" s="11" t="n">
        <f aca="false">MOD(ROW()-9,24)</f>
        <v>11</v>
      </c>
      <c r="C12692" s="12"/>
      <c r="D12692" s="13" t="n">
        <f aca="false">IF(B12692&lt;5,Einstellungen!$B$3,Einstellungen!$B$4)</f>
        <v>29.13</v>
      </c>
      <c r="E12692" s="14" t="str">
        <f aca="false">IF(C12692="","",C12692*D12692/100)</f>
        <v/>
      </c>
      <c r="F12692" s="15" t="str">
        <f aca="false">IF(B12692&lt;5,"Go","Standard")</f>
        <v>Standard</v>
      </c>
    </row>
    <row r="12693" customFormat="false" ht="15" hidden="false" customHeight="true" outlineLevel="0" collapsed="false">
      <c r="A12693" s="10" t="n">
        <f aca="false">Einstellungen!$B$5+INT((ROW()-9)/24)</f>
        <v>46494</v>
      </c>
      <c r="B12693" s="11" t="n">
        <f aca="false">MOD(ROW()-9,24)</f>
        <v>12</v>
      </c>
      <c r="C12693" s="12"/>
      <c r="D12693" s="13" t="n">
        <f aca="false">IF(B12693&lt;5,Einstellungen!$B$3,Einstellungen!$B$4)</f>
        <v>29.13</v>
      </c>
      <c r="E12693" s="14" t="str">
        <f aca="false">IF(C12693="","",C12693*D12693/100)</f>
        <v/>
      </c>
      <c r="F12693" s="15" t="str">
        <f aca="false">IF(B12693&lt;5,"Go","Standard")</f>
        <v>Standard</v>
      </c>
    </row>
    <row r="12694" customFormat="false" ht="15" hidden="false" customHeight="true" outlineLevel="0" collapsed="false">
      <c r="A12694" s="10" t="n">
        <f aca="false">Einstellungen!$B$5+INT((ROW()-9)/24)</f>
        <v>46494</v>
      </c>
      <c r="B12694" s="11" t="n">
        <f aca="false">MOD(ROW()-9,24)</f>
        <v>13</v>
      </c>
      <c r="C12694" s="12"/>
      <c r="D12694" s="13" t="n">
        <f aca="false">IF(B12694&lt;5,Einstellungen!$B$3,Einstellungen!$B$4)</f>
        <v>29.13</v>
      </c>
      <c r="E12694" s="14" t="str">
        <f aca="false">IF(C12694="","",C12694*D12694/100)</f>
        <v/>
      </c>
      <c r="F12694" s="15" t="str">
        <f aca="false">IF(B12694&lt;5,"Go","Standard")</f>
        <v>Standard</v>
      </c>
    </row>
    <row r="12695" customFormat="false" ht="15" hidden="false" customHeight="true" outlineLevel="0" collapsed="false">
      <c r="A12695" s="10" t="n">
        <f aca="false">Einstellungen!$B$5+INT((ROW()-9)/24)</f>
        <v>46494</v>
      </c>
      <c r="B12695" s="11" t="n">
        <f aca="false">MOD(ROW()-9,24)</f>
        <v>14</v>
      </c>
      <c r="C12695" s="12"/>
      <c r="D12695" s="13" t="n">
        <f aca="false">IF(B12695&lt;5,Einstellungen!$B$3,Einstellungen!$B$4)</f>
        <v>29.13</v>
      </c>
      <c r="E12695" s="14" t="str">
        <f aca="false">IF(C12695="","",C12695*D12695/100)</f>
        <v/>
      </c>
      <c r="F12695" s="15" t="str">
        <f aca="false">IF(B12695&lt;5,"Go","Standard")</f>
        <v>Standard</v>
      </c>
    </row>
    <row r="12696" customFormat="false" ht="15" hidden="false" customHeight="true" outlineLevel="0" collapsed="false">
      <c r="A12696" s="10" t="n">
        <f aca="false">Einstellungen!$B$5+INT((ROW()-9)/24)</f>
        <v>46494</v>
      </c>
      <c r="B12696" s="11" t="n">
        <f aca="false">MOD(ROW()-9,24)</f>
        <v>15</v>
      </c>
      <c r="C12696" s="12"/>
      <c r="D12696" s="13" t="n">
        <f aca="false">IF(B12696&lt;5,Einstellungen!$B$3,Einstellungen!$B$4)</f>
        <v>29.13</v>
      </c>
      <c r="E12696" s="14" t="str">
        <f aca="false">IF(C12696="","",C12696*D12696/100)</f>
        <v/>
      </c>
      <c r="F12696" s="15" t="str">
        <f aca="false">IF(B12696&lt;5,"Go","Standard")</f>
        <v>Standard</v>
      </c>
    </row>
    <row r="12697" customFormat="false" ht="15" hidden="false" customHeight="true" outlineLevel="0" collapsed="false">
      <c r="A12697" s="10" t="n">
        <f aca="false">Einstellungen!$B$5+INT((ROW()-9)/24)</f>
        <v>46494</v>
      </c>
      <c r="B12697" s="11" t="n">
        <f aca="false">MOD(ROW()-9,24)</f>
        <v>16</v>
      </c>
      <c r="C12697" s="12"/>
      <c r="D12697" s="13" t="n">
        <f aca="false">IF(B12697&lt;5,Einstellungen!$B$3,Einstellungen!$B$4)</f>
        <v>29.13</v>
      </c>
      <c r="E12697" s="14" t="str">
        <f aca="false">IF(C12697="","",C12697*D12697/100)</f>
        <v/>
      </c>
      <c r="F12697" s="15" t="str">
        <f aca="false">IF(B12697&lt;5,"Go","Standard")</f>
        <v>Standard</v>
      </c>
    </row>
    <row r="12698" customFormat="false" ht="15" hidden="false" customHeight="true" outlineLevel="0" collapsed="false">
      <c r="A12698" s="10" t="n">
        <f aca="false">Einstellungen!$B$5+INT((ROW()-9)/24)</f>
        <v>46494</v>
      </c>
      <c r="B12698" s="11" t="n">
        <f aca="false">MOD(ROW()-9,24)</f>
        <v>17</v>
      </c>
      <c r="C12698" s="12"/>
      <c r="D12698" s="13" t="n">
        <f aca="false">IF(B12698&lt;5,Einstellungen!$B$3,Einstellungen!$B$4)</f>
        <v>29.13</v>
      </c>
      <c r="E12698" s="14" t="str">
        <f aca="false">IF(C12698="","",C12698*D12698/100)</f>
        <v/>
      </c>
      <c r="F12698" s="15" t="str">
        <f aca="false">IF(B12698&lt;5,"Go","Standard")</f>
        <v>Standard</v>
      </c>
    </row>
    <row r="12699" customFormat="false" ht="15" hidden="false" customHeight="true" outlineLevel="0" collapsed="false">
      <c r="A12699" s="10" t="n">
        <f aca="false">Einstellungen!$B$5+INT((ROW()-9)/24)</f>
        <v>46494</v>
      </c>
      <c r="B12699" s="11" t="n">
        <f aca="false">MOD(ROW()-9,24)</f>
        <v>18</v>
      </c>
      <c r="C12699" s="12"/>
      <c r="D12699" s="13" t="n">
        <f aca="false">IF(B12699&lt;5,Einstellungen!$B$3,Einstellungen!$B$4)</f>
        <v>29.13</v>
      </c>
      <c r="E12699" s="14" t="str">
        <f aca="false">IF(C12699="","",C12699*D12699/100)</f>
        <v/>
      </c>
      <c r="F12699" s="15" t="str">
        <f aca="false">IF(B12699&lt;5,"Go","Standard")</f>
        <v>Standard</v>
      </c>
    </row>
    <row r="12700" customFormat="false" ht="15" hidden="false" customHeight="true" outlineLevel="0" collapsed="false">
      <c r="A12700" s="10" t="n">
        <f aca="false">Einstellungen!$B$5+INT((ROW()-9)/24)</f>
        <v>46494</v>
      </c>
      <c r="B12700" s="11" t="n">
        <f aca="false">MOD(ROW()-9,24)</f>
        <v>19</v>
      </c>
      <c r="C12700" s="12"/>
      <c r="D12700" s="13" t="n">
        <f aca="false">IF(B12700&lt;5,Einstellungen!$B$3,Einstellungen!$B$4)</f>
        <v>29.13</v>
      </c>
      <c r="E12700" s="14" t="str">
        <f aca="false">IF(C12700="","",C12700*D12700/100)</f>
        <v/>
      </c>
      <c r="F12700" s="15" t="str">
        <f aca="false">IF(B12700&lt;5,"Go","Standard")</f>
        <v>Standard</v>
      </c>
    </row>
    <row r="12701" customFormat="false" ht="15" hidden="false" customHeight="true" outlineLevel="0" collapsed="false">
      <c r="A12701" s="10" t="n">
        <f aca="false">Einstellungen!$B$5+INT((ROW()-9)/24)</f>
        <v>46494</v>
      </c>
      <c r="B12701" s="11" t="n">
        <f aca="false">MOD(ROW()-9,24)</f>
        <v>20</v>
      </c>
      <c r="C12701" s="12"/>
      <c r="D12701" s="13" t="n">
        <f aca="false">IF(B12701&lt;5,Einstellungen!$B$3,Einstellungen!$B$4)</f>
        <v>29.13</v>
      </c>
      <c r="E12701" s="14" t="str">
        <f aca="false">IF(C12701="","",C12701*D12701/100)</f>
        <v/>
      </c>
      <c r="F12701" s="15" t="str">
        <f aca="false">IF(B12701&lt;5,"Go","Standard")</f>
        <v>Standard</v>
      </c>
    </row>
    <row r="12702" customFormat="false" ht="15" hidden="false" customHeight="true" outlineLevel="0" collapsed="false">
      <c r="A12702" s="10" t="n">
        <f aca="false">Einstellungen!$B$5+INT((ROW()-9)/24)</f>
        <v>46494</v>
      </c>
      <c r="B12702" s="11" t="n">
        <f aca="false">MOD(ROW()-9,24)</f>
        <v>21</v>
      </c>
      <c r="C12702" s="12"/>
      <c r="D12702" s="13" t="n">
        <f aca="false">IF(B12702&lt;5,Einstellungen!$B$3,Einstellungen!$B$4)</f>
        <v>29.13</v>
      </c>
      <c r="E12702" s="14" t="str">
        <f aca="false">IF(C12702="","",C12702*D12702/100)</f>
        <v/>
      </c>
      <c r="F12702" s="15" t="str">
        <f aca="false">IF(B12702&lt;5,"Go","Standard")</f>
        <v>Standard</v>
      </c>
    </row>
    <row r="12703" customFormat="false" ht="15" hidden="false" customHeight="true" outlineLevel="0" collapsed="false">
      <c r="A12703" s="10" t="n">
        <f aca="false">Einstellungen!$B$5+INT((ROW()-9)/24)</f>
        <v>46494</v>
      </c>
      <c r="B12703" s="11" t="n">
        <f aca="false">MOD(ROW()-9,24)</f>
        <v>22</v>
      </c>
      <c r="C12703" s="12"/>
      <c r="D12703" s="13" t="n">
        <f aca="false">IF(B12703&lt;5,Einstellungen!$B$3,Einstellungen!$B$4)</f>
        <v>29.13</v>
      </c>
      <c r="E12703" s="14" t="str">
        <f aca="false">IF(C12703="","",C12703*D12703/100)</f>
        <v/>
      </c>
      <c r="F12703" s="15" t="str">
        <f aca="false">IF(B12703&lt;5,"Go","Standard")</f>
        <v>Standard</v>
      </c>
    </row>
    <row r="12704" customFormat="false" ht="15" hidden="false" customHeight="true" outlineLevel="0" collapsed="false">
      <c r="A12704" s="10" t="n">
        <f aca="false">Einstellungen!$B$5+INT((ROW()-9)/24)</f>
        <v>46494</v>
      </c>
      <c r="B12704" s="11" t="n">
        <f aca="false">MOD(ROW()-9,24)</f>
        <v>23</v>
      </c>
      <c r="C12704" s="12"/>
      <c r="D12704" s="13" t="n">
        <f aca="false">IF(B12704&lt;5,Einstellungen!$B$3,Einstellungen!$B$4)</f>
        <v>29.13</v>
      </c>
      <c r="E12704" s="14" t="str">
        <f aca="false">IF(C12704="","",C12704*D12704/100)</f>
        <v/>
      </c>
      <c r="F12704" s="15" t="str">
        <f aca="false">IF(B12704&lt;5,"Go","Standard")</f>
        <v>Standard</v>
      </c>
    </row>
    <row r="12705" customFormat="false" ht="15" hidden="false" customHeight="true" outlineLevel="0" collapsed="false">
      <c r="A12705" s="10" t="n">
        <f aca="false">Einstellungen!$B$5+INT((ROW()-9)/24)</f>
        <v>46495</v>
      </c>
      <c r="B12705" s="11" t="n">
        <f aca="false">MOD(ROW()-9,24)</f>
        <v>0</v>
      </c>
      <c r="C12705" s="12"/>
      <c r="D12705" s="13" t="n">
        <f aca="false">IF(B12705&lt;5,Einstellungen!$B$3,Einstellungen!$B$4)</f>
        <v>15.92</v>
      </c>
      <c r="E12705" s="14" t="str">
        <f aca="false">IF(C12705="","",C12705*D12705/100)</f>
        <v/>
      </c>
      <c r="F12705" s="15" t="str">
        <f aca="false">IF(B12705&lt;5,"Go","Standard")</f>
        <v>Go</v>
      </c>
    </row>
    <row r="12706" customFormat="false" ht="15" hidden="false" customHeight="true" outlineLevel="0" collapsed="false">
      <c r="A12706" s="10" t="n">
        <f aca="false">Einstellungen!$B$5+INT((ROW()-9)/24)</f>
        <v>46495</v>
      </c>
      <c r="B12706" s="11" t="n">
        <f aca="false">MOD(ROW()-9,24)</f>
        <v>1</v>
      </c>
      <c r="C12706" s="12"/>
      <c r="D12706" s="13" t="n">
        <f aca="false">IF(B12706&lt;5,Einstellungen!$B$3,Einstellungen!$B$4)</f>
        <v>15.92</v>
      </c>
      <c r="E12706" s="14" t="str">
        <f aca="false">IF(C12706="","",C12706*D12706/100)</f>
        <v/>
      </c>
      <c r="F12706" s="15" t="str">
        <f aca="false">IF(B12706&lt;5,"Go","Standard")</f>
        <v>Go</v>
      </c>
    </row>
    <row r="12707" customFormat="false" ht="15" hidden="false" customHeight="true" outlineLevel="0" collapsed="false">
      <c r="A12707" s="10" t="n">
        <f aca="false">Einstellungen!$B$5+INT((ROW()-9)/24)</f>
        <v>46495</v>
      </c>
      <c r="B12707" s="11" t="n">
        <f aca="false">MOD(ROW()-9,24)</f>
        <v>2</v>
      </c>
      <c r="C12707" s="12"/>
      <c r="D12707" s="13" t="n">
        <f aca="false">IF(B12707&lt;5,Einstellungen!$B$3,Einstellungen!$B$4)</f>
        <v>15.92</v>
      </c>
      <c r="E12707" s="14" t="str">
        <f aca="false">IF(C12707="","",C12707*D12707/100)</f>
        <v/>
      </c>
      <c r="F12707" s="15" t="str">
        <f aca="false">IF(B12707&lt;5,"Go","Standard")</f>
        <v>Go</v>
      </c>
    </row>
    <row r="12708" customFormat="false" ht="15" hidden="false" customHeight="true" outlineLevel="0" collapsed="false">
      <c r="A12708" s="10" t="n">
        <f aca="false">Einstellungen!$B$5+INT((ROW()-9)/24)</f>
        <v>46495</v>
      </c>
      <c r="B12708" s="11" t="n">
        <f aca="false">MOD(ROW()-9,24)</f>
        <v>3</v>
      </c>
      <c r="C12708" s="12"/>
      <c r="D12708" s="13" t="n">
        <f aca="false">IF(B12708&lt;5,Einstellungen!$B$3,Einstellungen!$B$4)</f>
        <v>15.92</v>
      </c>
      <c r="E12708" s="14" t="str">
        <f aca="false">IF(C12708="","",C12708*D12708/100)</f>
        <v/>
      </c>
      <c r="F12708" s="15" t="str">
        <f aca="false">IF(B12708&lt;5,"Go","Standard")</f>
        <v>Go</v>
      </c>
    </row>
    <row r="12709" customFormat="false" ht="15" hidden="false" customHeight="true" outlineLevel="0" collapsed="false">
      <c r="A12709" s="10" t="n">
        <f aca="false">Einstellungen!$B$5+INT((ROW()-9)/24)</f>
        <v>46495</v>
      </c>
      <c r="B12709" s="11" t="n">
        <f aca="false">MOD(ROW()-9,24)</f>
        <v>4</v>
      </c>
      <c r="C12709" s="12"/>
      <c r="D12709" s="13" t="n">
        <f aca="false">IF(B12709&lt;5,Einstellungen!$B$3,Einstellungen!$B$4)</f>
        <v>15.92</v>
      </c>
      <c r="E12709" s="14" t="str">
        <f aca="false">IF(C12709="","",C12709*D12709/100)</f>
        <v/>
      </c>
      <c r="F12709" s="15" t="str">
        <f aca="false">IF(B12709&lt;5,"Go","Standard")</f>
        <v>Go</v>
      </c>
    </row>
    <row r="12710" customFormat="false" ht="15" hidden="false" customHeight="true" outlineLevel="0" collapsed="false">
      <c r="A12710" s="10" t="n">
        <f aca="false">Einstellungen!$B$5+INT((ROW()-9)/24)</f>
        <v>46495</v>
      </c>
      <c r="B12710" s="11" t="n">
        <f aca="false">MOD(ROW()-9,24)</f>
        <v>5</v>
      </c>
      <c r="C12710" s="12"/>
      <c r="D12710" s="13" t="n">
        <f aca="false">IF(B12710&lt;5,Einstellungen!$B$3,Einstellungen!$B$4)</f>
        <v>29.13</v>
      </c>
      <c r="E12710" s="14" t="str">
        <f aca="false">IF(C12710="","",C12710*D12710/100)</f>
        <v/>
      </c>
      <c r="F12710" s="15" t="str">
        <f aca="false">IF(B12710&lt;5,"Go","Standard")</f>
        <v>Standard</v>
      </c>
    </row>
    <row r="12711" customFormat="false" ht="15" hidden="false" customHeight="true" outlineLevel="0" collapsed="false">
      <c r="A12711" s="10" t="n">
        <f aca="false">Einstellungen!$B$5+INT((ROW()-9)/24)</f>
        <v>46495</v>
      </c>
      <c r="B12711" s="11" t="n">
        <f aca="false">MOD(ROW()-9,24)</f>
        <v>6</v>
      </c>
      <c r="C12711" s="12"/>
      <c r="D12711" s="13" t="n">
        <f aca="false">IF(B12711&lt;5,Einstellungen!$B$3,Einstellungen!$B$4)</f>
        <v>29.13</v>
      </c>
      <c r="E12711" s="14" t="str">
        <f aca="false">IF(C12711="","",C12711*D12711/100)</f>
        <v/>
      </c>
      <c r="F12711" s="15" t="str">
        <f aca="false">IF(B12711&lt;5,"Go","Standard")</f>
        <v>Standard</v>
      </c>
    </row>
    <row r="12712" customFormat="false" ht="15" hidden="false" customHeight="true" outlineLevel="0" collapsed="false">
      <c r="A12712" s="10" t="n">
        <f aca="false">Einstellungen!$B$5+INT((ROW()-9)/24)</f>
        <v>46495</v>
      </c>
      <c r="B12712" s="11" t="n">
        <f aca="false">MOD(ROW()-9,24)</f>
        <v>7</v>
      </c>
      <c r="C12712" s="12"/>
      <c r="D12712" s="13" t="n">
        <f aca="false">IF(B12712&lt;5,Einstellungen!$B$3,Einstellungen!$B$4)</f>
        <v>29.13</v>
      </c>
      <c r="E12712" s="14" t="str">
        <f aca="false">IF(C12712="","",C12712*D12712/100)</f>
        <v/>
      </c>
      <c r="F12712" s="15" t="str">
        <f aca="false">IF(B12712&lt;5,"Go","Standard")</f>
        <v>Standard</v>
      </c>
    </row>
    <row r="12713" customFormat="false" ht="15" hidden="false" customHeight="true" outlineLevel="0" collapsed="false">
      <c r="A12713" s="10" t="n">
        <f aca="false">Einstellungen!$B$5+INT((ROW()-9)/24)</f>
        <v>46495</v>
      </c>
      <c r="B12713" s="11" t="n">
        <f aca="false">MOD(ROW()-9,24)</f>
        <v>8</v>
      </c>
      <c r="C12713" s="12"/>
      <c r="D12713" s="13" t="n">
        <f aca="false">IF(B12713&lt;5,Einstellungen!$B$3,Einstellungen!$B$4)</f>
        <v>29.13</v>
      </c>
      <c r="E12713" s="14" t="str">
        <f aca="false">IF(C12713="","",C12713*D12713/100)</f>
        <v/>
      </c>
      <c r="F12713" s="15" t="str">
        <f aca="false">IF(B12713&lt;5,"Go","Standard")</f>
        <v>Standard</v>
      </c>
    </row>
    <row r="12714" customFormat="false" ht="15" hidden="false" customHeight="true" outlineLevel="0" collapsed="false">
      <c r="A12714" s="10" t="n">
        <f aca="false">Einstellungen!$B$5+INT((ROW()-9)/24)</f>
        <v>46495</v>
      </c>
      <c r="B12714" s="11" t="n">
        <f aca="false">MOD(ROW()-9,24)</f>
        <v>9</v>
      </c>
      <c r="C12714" s="12"/>
      <c r="D12714" s="13" t="n">
        <f aca="false">IF(B12714&lt;5,Einstellungen!$B$3,Einstellungen!$B$4)</f>
        <v>29.13</v>
      </c>
      <c r="E12714" s="14" t="str">
        <f aca="false">IF(C12714="","",C12714*D12714/100)</f>
        <v/>
      </c>
      <c r="F12714" s="15" t="str">
        <f aca="false">IF(B12714&lt;5,"Go","Standard")</f>
        <v>Standard</v>
      </c>
    </row>
    <row r="12715" customFormat="false" ht="15" hidden="false" customHeight="true" outlineLevel="0" collapsed="false">
      <c r="A12715" s="10" t="n">
        <f aca="false">Einstellungen!$B$5+INT((ROW()-9)/24)</f>
        <v>46495</v>
      </c>
      <c r="B12715" s="11" t="n">
        <f aca="false">MOD(ROW()-9,24)</f>
        <v>10</v>
      </c>
      <c r="C12715" s="12"/>
      <c r="D12715" s="13" t="n">
        <f aca="false">IF(B12715&lt;5,Einstellungen!$B$3,Einstellungen!$B$4)</f>
        <v>29.13</v>
      </c>
      <c r="E12715" s="14" t="str">
        <f aca="false">IF(C12715="","",C12715*D12715/100)</f>
        <v/>
      </c>
      <c r="F12715" s="15" t="str">
        <f aca="false">IF(B12715&lt;5,"Go","Standard")</f>
        <v>Standard</v>
      </c>
    </row>
    <row r="12716" customFormat="false" ht="15" hidden="false" customHeight="true" outlineLevel="0" collapsed="false">
      <c r="A12716" s="10" t="n">
        <f aca="false">Einstellungen!$B$5+INT((ROW()-9)/24)</f>
        <v>46495</v>
      </c>
      <c r="B12716" s="11" t="n">
        <f aca="false">MOD(ROW()-9,24)</f>
        <v>11</v>
      </c>
      <c r="C12716" s="12"/>
      <c r="D12716" s="13" t="n">
        <f aca="false">IF(B12716&lt;5,Einstellungen!$B$3,Einstellungen!$B$4)</f>
        <v>29.13</v>
      </c>
      <c r="E12716" s="14" t="str">
        <f aca="false">IF(C12716="","",C12716*D12716/100)</f>
        <v/>
      </c>
      <c r="F12716" s="15" t="str">
        <f aca="false">IF(B12716&lt;5,"Go","Standard")</f>
        <v>Standard</v>
      </c>
    </row>
    <row r="12717" customFormat="false" ht="15" hidden="false" customHeight="true" outlineLevel="0" collapsed="false">
      <c r="A12717" s="10" t="n">
        <f aca="false">Einstellungen!$B$5+INT((ROW()-9)/24)</f>
        <v>46495</v>
      </c>
      <c r="B12717" s="11" t="n">
        <f aca="false">MOD(ROW()-9,24)</f>
        <v>12</v>
      </c>
      <c r="C12717" s="12"/>
      <c r="D12717" s="13" t="n">
        <f aca="false">IF(B12717&lt;5,Einstellungen!$B$3,Einstellungen!$B$4)</f>
        <v>29.13</v>
      </c>
      <c r="E12717" s="14" t="str">
        <f aca="false">IF(C12717="","",C12717*D12717/100)</f>
        <v/>
      </c>
      <c r="F12717" s="15" t="str">
        <f aca="false">IF(B12717&lt;5,"Go","Standard")</f>
        <v>Standard</v>
      </c>
    </row>
    <row r="12718" customFormat="false" ht="15" hidden="false" customHeight="true" outlineLevel="0" collapsed="false">
      <c r="A12718" s="10" t="n">
        <f aca="false">Einstellungen!$B$5+INT((ROW()-9)/24)</f>
        <v>46495</v>
      </c>
      <c r="B12718" s="11" t="n">
        <f aca="false">MOD(ROW()-9,24)</f>
        <v>13</v>
      </c>
      <c r="C12718" s="12"/>
      <c r="D12718" s="13" t="n">
        <f aca="false">IF(B12718&lt;5,Einstellungen!$B$3,Einstellungen!$B$4)</f>
        <v>29.13</v>
      </c>
      <c r="E12718" s="14" t="str">
        <f aca="false">IF(C12718="","",C12718*D12718/100)</f>
        <v/>
      </c>
      <c r="F12718" s="15" t="str">
        <f aca="false">IF(B12718&lt;5,"Go","Standard")</f>
        <v>Standard</v>
      </c>
    </row>
    <row r="12719" customFormat="false" ht="15" hidden="false" customHeight="true" outlineLevel="0" collapsed="false">
      <c r="A12719" s="10" t="n">
        <f aca="false">Einstellungen!$B$5+INT((ROW()-9)/24)</f>
        <v>46495</v>
      </c>
      <c r="B12719" s="11" t="n">
        <f aca="false">MOD(ROW()-9,24)</f>
        <v>14</v>
      </c>
      <c r="C12719" s="12"/>
      <c r="D12719" s="13" t="n">
        <f aca="false">IF(B12719&lt;5,Einstellungen!$B$3,Einstellungen!$B$4)</f>
        <v>29.13</v>
      </c>
      <c r="E12719" s="14" t="str">
        <f aca="false">IF(C12719="","",C12719*D12719/100)</f>
        <v/>
      </c>
      <c r="F12719" s="15" t="str">
        <f aca="false">IF(B12719&lt;5,"Go","Standard")</f>
        <v>Standard</v>
      </c>
    </row>
    <row r="12720" customFormat="false" ht="15" hidden="false" customHeight="true" outlineLevel="0" collapsed="false">
      <c r="A12720" s="10" t="n">
        <f aca="false">Einstellungen!$B$5+INT((ROW()-9)/24)</f>
        <v>46495</v>
      </c>
      <c r="B12720" s="11" t="n">
        <f aca="false">MOD(ROW()-9,24)</f>
        <v>15</v>
      </c>
      <c r="C12720" s="12"/>
      <c r="D12720" s="13" t="n">
        <f aca="false">IF(B12720&lt;5,Einstellungen!$B$3,Einstellungen!$B$4)</f>
        <v>29.13</v>
      </c>
      <c r="E12720" s="14" t="str">
        <f aca="false">IF(C12720="","",C12720*D12720/100)</f>
        <v/>
      </c>
      <c r="F12720" s="15" t="str">
        <f aca="false">IF(B12720&lt;5,"Go","Standard")</f>
        <v>Standard</v>
      </c>
    </row>
    <row r="12721" customFormat="false" ht="15" hidden="false" customHeight="true" outlineLevel="0" collapsed="false">
      <c r="A12721" s="10" t="n">
        <f aca="false">Einstellungen!$B$5+INT((ROW()-9)/24)</f>
        <v>46495</v>
      </c>
      <c r="B12721" s="11" t="n">
        <f aca="false">MOD(ROW()-9,24)</f>
        <v>16</v>
      </c>
      <c r="C12721" s="12"/>
      <c r="D12721" s="13" t="n">
        <f aca="false">IF(B12721&lt;5,Einstellungen!$B$3,Einstellungen!$B$4)</f>
        <v>29.13</v>
      </c>
      <c r="E12721" s="14" t="str">
        <f aca="false">IF(C12721="","",C12721*D12721/100)</f>
        <v/>
      </c>
      <c r="F12721" s="15" t="str">
        <f aca="false">IF(B12721&lt;5,"Go","Standard")</f>
        <v>Standard</v>
      </c>
    </row>
    <row r="12722" customFormat="false" ht="15" hidden="false" customHeight="true" outlineLevel="0" collapsed="false">
      <c r="A12722" s="10" t="n">
        <f aca="false">Einstellungen!$B$5+INT((ROW()-9)/24)</f>
        <v>46495</v>
      </c>
      <c r="B12722" s="11" t="n">
        <f aca="false">MOD(ROW()-9,24)</f>
        <v>17</v>
      </c>
      <c r="C12722" s="12"/>
      <c r="D12722" s="13" t="n">
        <f aca="false">IF(B12722&lt;5,Einstellungen!$B$3,Einstellungen!$B$4)</f>
        <v>29.13</v>
      </c>
      <c r="E12722" s="14" t="str">
        <f aca="false">IF(C12722="","",C12722*D12722/100)</f>
        <v/>
      </c>
      <c r="F12722" s="15" t="str">
        <f aca="false">IF(B12722&lt;5,"Go","Standard")</f>
        <v>Standard</v>
      </c>
    </row>
    <row r="12723" customFormat="false" ht="15" hidden="false" customHeight="true" outlineLevel="0" collapsed="false">
      <c r="A12723" s="10" t="n">
        <f aca="false">Einstellungen!$B$5+INT((ROW()-9)/24)</f>
        <v>46495</v>
      </c>
      <c r="B12723" s="11" t="n">
        <f aca="false">MOD(ROW()-9,24)</f>
        <v>18</v>
      </c>
      <c r="C12723" s="12"/>
      <c r="D12723" s="13" t="n">
        <f aca="false">IF(B12723&lt;5,Einstellungen!$B$3,Einstellungen!$B$4)</f>
        <v>29.13</v>
      </c>
      <c r="E12723" s="14" t="str">
        <f aca="false">IF(C12723="","",C12723*D12723/100)</f>
        <v/>
      </c>
      <c r="F12723" s="15" t="str">
        <f aca="false">IF(B12723&lt;5,"Go","Standard")</f>
        <v>Standard</v>
      </c>
    </row>
    <row r="12724" customFormat="false" ht="15" hidden="false" customHeight="true" outlineLevel="0" collapsed="false">
      <c r="A12724" s="10" t="n">
        <f aca="false">Einstellungen!$B$5+INT((ROW()-9)/24)</f>
        <v>46495</v>
      </c>
      <c r="B12724" s="11" t="n">
        <f aca="false">MOD(ROW()-9,24)</f>
        <v>19</v>
      </c>
      <c r="C12724" s="12"/>
      <c r="D12724" s="13" t="n">
        <f aca="false">IF(B12724&lt;5,Einstellungen!$B$3,Einstellungen!$B$4)</f>
        <v>29.13</v>
      </c>
      <c r="E12724" s="14" t="str">
        <f aca="false">IF(C12724="","",C12724*D12724/100)</f>
        <v/>
      </c>
      <c r="F12724" s="15" t="str">
        <f aca="false">IF(B12724&lt;5,"Go","Standard")</f>
        <v>Standard</v>
      </c>
    </row>
    <row r="12725" customFormat="false" ht="15" hidden="false" customHeight="true" outlineLevel="0" collapsed="false">
      <c r="A12725" s="10" t="n">
        <f aca="false">Einstellungen!$B$5+INT((ROW()-9)/24)</f>
        <v>46495</v>
      </c>
      <c r="B12725" s="11" t="n">
        <f aca="false">MOD(ROW()-9,24)</f>
        <v>20</v>
      </c>
      <c r="C12725" s="12"/>
      <c r="D12725" s="13" t="n">
        <f aca="false">IF(B12725&lt;5,Einstellungen!$B$3,Einstellungen!$B$4)</f>
        <v>29.13</v>
      </c>
      <c r="E12725" s="14" t="str">
        <f aca="false">IF(C12725="","",C12725*D12725/100)</f>
        <v/>
      </c>
      <c r="F12725" s="15" t="str">
        <f aca="false">IF(B12725&lt;5,"Go","Standard")</f>
        <v>Standard</v>
      </c>
    </row>
    <row r="12726" customFormat="false" ht="15" hidden="false" customHeight="true" outlineLevel="0" collapsed="false">
      <c r="A12726" s="10" t="n">
        <f aca="false">Einstellungen!$B$5+INT((ROW()-9)/24)</f>
        <v>46495</v>
      </c>
      <c r="B12726" s="11" t="n">
        <f aca="false">MOD(ROW()-9,24)</f>
        <v>21</v>
      </c>
      <c r="C12726" s="12"/>
      <c r="D12726" s="13" t="n">
        <f aca="false">IF(B12726&lt;5,Einstellungen!$B$3,Einstellungen!$B$4)</f>
        <v>29.13</v>
      </c>
      <c r="E12726" s="14" t="str">
        <f aca="false">IF(C12726="","",C12726*D12726/100)</f>
        <v/>
      </c>
      <c r="F12726" s="15" t="str">
        <f aca="false">IF(B12726&lt;5,"Go","Standard")</f>
        <v>Standard</v>
      </c>
    </row>
    <row r="12727" customFormat="false" ht="15" hidden="false" customHeight="true" outlineLevel="0" collapsed="false">
      <c r="A12727" s="10" t="n">
        <f aca="false">Einstellungen!$B$5+INT((ROW()-9)/24)</f>
        <v>46495</v>
      </c>
      <c r="B12727" s="11" t="n">
        <f aca="false">MOD(ROW()-9,24)</f>
        <v>22</v>
      </c>
      <c r="C12727" s="12"/>
      <c r="D12727" s="13" t="n">
        <f aca="false">IF(B12727&lt;5,Einstellungen!$B$3,Einstellungen!$B$4)</f>
        <v>29.13</v>
      </c>
      <c r="E12727" s="14" t="str">
        <f aca="false">IF(C12727="","",C12727*D12727/100)</f>
        <v/>
      </c>
      <c r="F12727" s="15" t="str">
        <f aca="false">IF(B12727&lt;5,"Go","Standard")</f>
        <v>Standard</v>
      </c>
    </row>
    <row r="12728" customFormat="false" ht="15" hidden="false" customHeight="true" outlineLevel="0" collapsed="false">
      <c r="A12728" s="10" t="n">
        <f aca="false">Einstellungen!$B$5+INT((ROW()-9)/24)</f>
        <v>46495</v>
      </c>
      <c r="B12728" s="11" t="n">
        <f aca="false">MOD(ROW()-9,24)</f>
        <v>23</v>
      </c>
      <c r="C12728" s="12"/>
      <c r="D12728" s="13" t="n">
        <f aca="false">IF(B12728&lt;5,Einstellungen!$B$3,Einstellungen!$B$4)</f>
        <v>29.13</v>
      </c>
      <c r="E12728" s="14" t="str">
        <f aca="false">IF(C12728="","",C12728*D12728/100)</f>
        <v/>
      </c>
      <c r="F12728" s="15" t="str">
        <f aca="false">IF(B12728&lt;5,"Go","Standard")</f>
        <v>Standard</v>
      </c>
    </row>
    <row r="12729" customFormat="false" ht="15" hidden="false" customHeight="true" outlineLevel="0" collapsed="false">
      <c r="A12729" s="10" t="n">
        <f aca="false">Einstellungen!$B$5+INT((ROW()-9)/24)</f>
        <v>46496</v>
      </c>
      <c r="B12729" s="11" t="n">
        <f aca="false">MOD(ROW()-9,24)</f>
        <v>0</v>
      </c>
      <c r="C12729" s="12"/>
      <c r="D12729" s="13" t="n">
        <f aca="false">IF(B12729&lt;5,Einstellungen!$B$3,Einstellungen!$B$4)</f>
        <v>15.92</v>
      </c>
      <c r="E12729" s="14" t="str">
        <f aca="false">IF(C12729="","",C12729*D12729/100)</f>
        <v/>
      </c>
      <c r="F12729" s="15" t="str">
        <f aca="false">IF(B12729&lt;5,"Go","Standard")</f>
        <v>Go</v>
      </c>
    </row>
    <row r="12730" customFormat="false" ht="15" hidden="false" customHeight="true" outlineLevel="0" collapsed="false">
      <c r="A12730" s="10" t="n">
        <f aca="false">Einstellungen!$B$5+INT((ROW()-9)/24)</f>
        <v>46496</v>
      </c>
      <c r="B12730" s="11" t="n">
        <f aca="false">MOD(ROW()-9,24)</f>
        <v>1</v>
      </c>
      <c r="C12730" s="12"/>
      <c r="D12730" s="13" t="n">
        <f aca="false">IF(B12730&lt;5,Einstellungen!$B$3,Einstellungen!$B$4)</f>
        <v>15.92</v>
      </c>
      <c r="E12730" s="14" t="str">
        <f aca="false">IF(C12730="","",C12730*D12730/100)</f>
        <v/>
      </c>
      <c r="F12730" s="15" t="str">
        <f aca="false">IF(B12730&lt;5,"Go","Standard")</f>
        <v>Go</v>
      </c>
    </row>
    <row r="12731" customFormat="false" ht="15" hidden="false" customHeight="true" outlineLevel="0" collapsed="false">
      <c r="A12731" s="10" t="n">
        <f aca="false">Einstellungen!$B$5+INT((ROW()-9)/24)</f>
        <v>46496</v>
      </c>
      <c r="B12731" s="11" t="n">
        <f aca="false">MOD(ROW()-9,24)</f>
        <v>2</v>
      </c>
      <c r="C12731" s="12"/>
      <c r="D12731" s="13" t="n">
        <f aca="false">IF(B12731&lt;5,Einstellungen!$B$3,Einstellungen!$B$4)</f>
        <v>15.92</v>
      </c>
      <c r="E12731" s="14" t="str">
        <f aca="false">IF(C12731="","",C12731*D12731/100)</f>
        <v/>
      </c>
      <c r="F12731" s="15" t="str">
        <f aca="false">IF(B12731&lt;5,"Go","Standard")</f>
        <v>Go</v>
      </c>
    </row>
    <row r="12732" customFormat="false" ht="15" hidden="false" customHeight="true" outlineLevel="0" collapsed="false">
      <c r="A12732" s="10" t="n">
        <f aca="false">Einstellungen!$B$5+INT((ROW()-9)/24)</f>
        <v>46496</v>
      </c>
      <c r="B12732" s="11" t="n">
        <f aca="false">MOD(ROW()-9,24)</f>
        <v>3</v>
      </c>
      <c r="C12732" s="12"/>
      <c r="D12732" s="13" t="n">
        <f aca="false">IF(B12732&lt;5,Einstellungen!$B$3,Einstellungen!$B$4)</f>
        <v>15.92</v>
      </c>
      <c r="E12732" s="14" t="str">
        <f aca="false">IF(C12732="","",C12732*D12732/100)</f>
        <v/>
      </c>
      <c r="F12732" s="15" t="str">
        <f aca="false">IF(B12732&lt;5,"Go","Standard")</f>
        <v>Go</v>
      </c>
    </row>
    <row r="12733" customFormat="false" ht="15" hidden="false" customHeight="true" outlineLevel="0" collapsed="false">
      <c r="A12733" s="10" t="n">
        <f aca="false">Einstellungen!$B$5+INT((ROW()-9)/24)</f>
        <v>46496</v>
      </c>
      <c r="B12733" s="11" t="n">
        <f aca="false">MOD(ROW()-9,24)</f>
        <v>4</v>
      </c>
      <c r="C12733" s="12"/>
      <c r="D12733" s="13" t="n">
        <f aca="false">IF(B12733&lt;5,Einstellungen!$B$3,Einstellungen!$B$4)</f>
        <v>15.92</v>
      </c>
      <c r="E12733" s="14" t="str">
        <f aca="false">IF(C12733="","",C12733*D12733/100)</f>
        <v/>
      </c>
      <c r="F12733" s="15" t="str">
        <f aca="false">IF(B12733&lt;5,"Go","Standard")</f>
        <v>Go</v>
      </c>
    </row>
    <row r="12734" customFormat="false" ht="15" hidden="false" customHeight="true" outlineLevel="0" collapsed="false">
      <c r="A12734" s="10" t="n">
        <f aca="false">Einstellungen!$B$5+INT((ROW()-9)/24)</f>
        <v>46496</v>
      </c>
      <c r="B12734" s="11" t="n">
        <f aca="false">MOD(ROW()-9,24)</f>
        <v>5</v>
      </c>
      <c r="C12734" s="12"/>
      <c r="D12734" s="13" t="n">
        <f aca="false">IF(B12734&lt;5,Einstellungen!$B$3,Einstellungen!$B$4)</f>
        <v>29.13</v>
      </c>
      <c r="E12734" s="14" t="str">
        <f aca="false">IF(C12734="","",C12734*D12734/100)</f>
        <v/>
      </c>
      <c r="F12734" s="15" t="str">
        <f aca="false">IF(B12734&lt;5,"Go","Standard")</f>
        <v>Standard</v>
      </c>
    </row>
    <row r="12735" customFormat="false" ht="15" hidden="false" customHeight="true" outlineLevel="0" collapsed="false">
      <c r="A12735" s="10" t="n">
        <f aca="false">Einstellungen!$B$5+INT((ROW()-9)/24)</f>
        <v>46496</v>
      </c>
      <c r="B12735" s="11" t="n">
        <f aca="false">MOD(ROW()-9,24)</f>
        <v>6</v>
      </c>
      <c r="C12735" s="12"/>
      <c r="D12735" s="13" t="n">
        <f aca="false">IF(B12735&lt;5,Einstellungen!$B$3,Einstellungen!$B$4)</f>
        <v>29.13</v>
      </c>
      <c r="E12735" s="14" t="str">
        <f aca="false">IF(C12735="","",C12735*D12735/100)</f>
        <v/>
      </c>
      <c r="F12735" s="15" t="str">
        <f aca="false">IF(B12735&lt;5,"Go","Standard")</f>
        <v>Standard</v>
      </c>
    </row>
    <row r="12736" customFormat="false" ht="15" hidden="false" customHeight="true" outlineLevel="0" collapsed="false">
      <c r="A12736" s="10" t="n">
        <f aca="false">Einstellungen!$B$5+INT((ROW()-9)/24)</f>
        <v>46496</v>
      </c>
      <c r="B12736" s="11" t="n">
        <f aca="false">MOD(ROW()-9,24)</f>
        <v>7</v>
      </c>
      <c r="C12736" s="12"/>
      <c r="D12736" s="13" t="n">
        <f aca="false">IF(B12736&lt;5,Einstellungen!$B$3,Einstellungen!$B$4)</f>
        <v>29.13</v>
      </c>
      <c r="E12736" s="14" t="str">
        <f aca="false">IF(C12736="","",C12736*D12736/100)</f>
        <v/>
      </c>
      <c r="F12736" s="15" t="str">
        <f aca="false">IF(B12736&lt;5,"Go","Standard")</f>
        <v>Standard</v>
      </c>
    </row>
    <row r="12737" customFormat="false" ht="15" hidden="false" customHeight="true" outlineLevel="0" collapsed="false">
      <c r="A12737" s="10" t="n">
        <f aca="false">Einstellungen!$B$5+INT((ROW()-9)/24)</f>
        <v>46496</v>
      </c>
      <c r="B12737" s="11" t="n">
        <f aca="false">MOD(ROW()-9,24)</f>
        <v>8</v>
      </c>
      <c r="C12737" s="12"/>
      <c r="D12737" s="13" t="n">
        <f aca="false">IF(B12737&lt;5,Einstellungen!$B$3,Einstellungen!$B$4)</f>
        <v>29.13</v>
      </c>
      <c r="E12737" s="14" t="str">
        <f aca="false">IF(C12737="","",C12737*D12737/100)</f>
        <v/>
      </c>
      <c r="F12737" s="15" t="str">
        <f aca="false">IF(B12737&lt;5,"Go","Standard")</f>
        <v>Standard</v>
      </c>
    </row>
    <row r="12738" customFormat="false" ht="15" hidden="false" customHeight="true" outlineLevel="0" collapsed="false">
      <c r="A12738" s="10" t="n">
        <f aca="false">Einstellungen!$B$5+INT((ROW()-9)/24)</f>
        <v>46496</v>
      </c>
      <c r="B12738" s="11" t="n">
        <f aca="false">MOD(ROW()-9,24)</f>
        <v>9</v>
      </c>
      <c r="C12738" s="12"/>
      <c r="D12738" s="13" t="n">
        <f aca="false">IF(B12738&lt;5,Einstellungen!$B$3,Einstellungen!$B$4)</f>
        <v>29.13</v>
      </c>
      <c r="E12738" s="14" t="str">
        <f aca="false">IF(C12738="","",C12738*D12738/100)</f>
        <v/>
      </c>
      <c r="F12738" s="15" t="str">
        <f aca="false">IF(B12738&lt;5,"Go","Standard")</f>
        <v>Standard</v>
      </c>
    </row>
    <row r="12739" customFormat="false" ht="15" hidden="false" customHeight="true" outlineLevel="0" collapsed="false">
      <c r="A12739" s="10" t="n">
        <f aca="false">Einstellungen!$B$5+INT((ROW()-9)/24)</f>
        <v>46496</v>
      </c>
      <c r="B12739" s="11" t="n">
        <f aca="false">MOD(ROW()-9,24)</f>
        <v>10</v>
      </c>
      <c r="C12739" s="12"/>
      <c r="D12739" s="13" t="n">
        <f aca="false">IF(B12739&lt;5,Einstellungen!$B$3,Einstellungen!$B$4)</f>
        <v>29.13</v>
      </c>
      <c r="E12739" s="14" t="str">
        <f aca="false">IF(C12739="","",C12739*D12739/100)</f>
        <v/>
      </c>
      <c r="F12739" s="15" t="str">
        <f aca="false">IF(B12739&lt;5,"Go","Standard")</f>
        <v>Standard</v>
      </c>
    </row>
    <row r="12740" customFormat="false" ht="15" hidden="false" customHeight="true" outlineLevel="0" collapsed="false">
      <c r="A12740" s="10" t="n">
        <f aca="false">Einstellungen!$B$5+INT((ROW()-9)/24)</f>
        <v>46496</v>
      </c>
      <c r="B12740" s="11" t="n">
        <f aca="false">MOD(ROW()-9,24)</f>
        <v>11</v>
      </c>
      <c r="C12740" s="12"/>
      <c r="D12740" s="13" t="n">
        <f aca="false">IF(B12740&lt;5,Einstellungen!$B$3,Einstellungen!$B$4)</f>
        <v>29.13</v>
      </c>
      <c r="E12740" s="14" t="str">
        <f aca="false">IF(C12740="","",C12740*D12740/100)</f>
        <v/>
      </c>
      <c r="F12740" s="15" t="str">
        <f aca="false">IF(B12740&lt;5,"Go","Standard")</f>
        <v>Standard</v>
      </c>
    </row>
    <row r="12741" customFormat="false" ht="15" hidden="false" customHeight="true" outlineLevel="0" collapsed="false">
      <c r="A12741" s="10" t="n">
        <f aca="false">Einstellungen!$B$5+INT((ROW()-9)/24)</f>
        <v>46496</v>
      </c>
      <c r="B12741" s="11" t="n">
        <f aca="false">MOD(ROW()-9,24)</f>
        <v>12</v>
      </c>
      <c r="C12741" s="12"/>
      <c r="D12741" s="13" t="n">
        <f aca="false">IF(B12741&lt;5,Einstellungen!$B$3,Einstellungen!$B$4)</f>
        <v>29.13</v>
      </c>
      <c r="E12741" s="14" t="str">
        <f aca="false">IF(C12741="","",C12741*D12741/100)</f>
        <v/>
      </c>
      <c r="F12741" s="15" t="str">
        <f aca="false">IF(B12741&lt;5,"Go","Standard")</f>
        <v>Standard</v>
      </c>
    </row>
    <row r="12742" customFormat="false" ht="15" hidden="false" customHeight="true" outlineLevel="0" collapsed="false">
      <c r="A12742" s="10" t="n">
        <f aca="false">Einstellungen!$B$5+INT((ROW()-9)/24)</f>
        <v>46496</v>
      </c>
      <c r="B12742" s="11" t="n">
        <f aca="false">MOD(ROW()-9,24)</f>
        <v>13</v>
      </c>
      <c r="C12742" s="12"/>
      <c r="D12742" s="13" t="n">
        <f aca="false">IF(B12742&lt;5,Einstellungen!$B$3,Einstellungen!$B$4)</f>
        <v>29.13</v>
      </c>
      <c r="E12742" s="14" t="str">
        <f aca="false">IF(C12742="","",C12742*D12742/100)</f>
        <v/>
      </c>
      <c r="F12742" s="15" t="str">
        <f aca="false">IF(B12742&lt;5,"Go","Standard")</f>
        <v>Standard</v>
      </c>
    </row>
    <row r="12743" customFormat="false" ht="15" hidden="false" customHeight="true" outlineLevel="0" collapsed="false">
      <c r="A12743" s="10" t="n">
        <f aca="false">Einstellungen!$B$5+INT((ROW()-9)/24)</f>
        <v>46496</v>
      </c>
      <c r="B12743" s="11" t="n">
        <f aca="false">MOD(ROW()-9,24)</f>
        <v>14</v>
      </c>
      <c r="C12743" s="12"/>
      <c r="D12743" s="13" t="n">
        <f aca="false">IF(B12743&lt;5,Einstellungen!$B$3,Einstellungen!$B$4)</f>
        <v>29.13</v>
      </c>
      <c r="E12743" s="14" t="str">
        <f aca="false">IF(C12743="","",C12743*D12743/100)</f>
        <v/>
      </c>
      <c r="F12743" s="15" t="str">
        <f aca="false">IF(B12743&lt;5,"Go","Standard")</f>
        <v>Standard</v>
      </c>
    </row>
    <row r="12744" customFormat="false" ht="15" hidden="false" customHeight="true" outlineLevel="0" collapsed="false">
      <c r="A12744" s="10" t="n">
        <f aca="false">Einstellungen!$B$5+INT((ROW()-9)/24)</f>
        <v>46496</v>
      </c>
      <c r="B12744" s="11" t="n">
        <f aca="false">MOD(ROW()-9,24)</f>
        <v>15</v>
      </c>
      <c r="C12744" s="12"/>
      <c r="D12744" s="13" t="n">
        <f aca="false">IF(B12744&lt;5,Einstellungen!$B$3,Einstellungen!$B$4)</f>
        <v>29.13</v>
      </c>
      <c r="E12744" s="14" t="str">
        <f aca="false">IF(C12744="","",C12744*D12744/100)</f>
        <v/>
      </c>
      <c r="F12744" s="15" t="str">
        <f aca="false">IF(B12744&lt;5,"Go","Standard")</f>
        <v>Standard</v>
      </c>
    </row>
    <row r="12745" customFormat="false" ht="15" hidden="false" customHeight="true" outlineLevel="0" collapsed="false">
      <c r="A12745" s="10" t="n">
        <f aca="false">Einstellungen!$B$5+INT((ROW()-9)/24)</f>
        <v>46496</v>
      </c>
      <c r="B12745" s="11" t="n">
        <f aca="false">MOD(ROW()-9,24)</f>
        <v>16</v>
      </c>
      <c r="C12745" s="12"/>
      <c r="D12745" s="13" t="n">
        <f aca="false">IF(B12745&lt;5,Einstellungen!$B$3,Einstellungen!$B$4)</f>
        <v>29.13</v>
      </c>
      <c r="E12745" s="14" t="str">
        <f aca="false">IF(C12745="","",C12745*D12745/100)</f>
        <v/>
      </c>
      <c r="F12745" s="15" t="str">
        <f aca="false">IF(B12745&lt;5,"Go","Standard")</f>
        <v>Standard</v>
      </c>
    </row>
    <row r="12746" customFormat="false" ht="15" hidden="false" customHeight="true" outlineLevel="0" collapsed="false">
      <c r="A12746" s="10" t="n">
        <f aca="false">Einstellungen!$B$5+INT((ROW()-9)/24)</f>
        <v>46496</v>
      </c>
      <c r="B12746" s="11" t="n">
        <f aca="false">MOD(ROW()-9,24)</f>
        <v>17</v>
      </c>
      <c r="C12746" s="12"/>
      <c r="D12746" s="13" t="n">
        <f aca="false">IF(B12746&lt;5,Einstellungen!$B$3,Einstellungen!$B$4)</f>
        <v>29.13</v>
      </c>
      <c r="E12746" s="14" t="str">
        <f aca="false">IF(C12746="","",C12746*D12746/100)</f>
        <v/>
      </c>
      <c r="F12746" s="15" t="str">
        <f aca="false">IF(B12746&lt;5,"Go","Standard")</f>
        <v>Standard</v>
      </c>
    </row>
    <row r="12747" customFormat="false" ht="15" hidden="false" customHeight="true" outlineLevel="0" collapsed="false">
      <c r="A12747" s="10" t="n">
        <f aca="false">Einstellungen!$B$5+INT((ROW()-9)/24)</f>
        <v>46496</v>
      </c>
      <c r="B12747" s="11" t="n">
        <f aca="false">MOD(ROW()-9,24)</f>
        <v>18</v>
      </c>
      <c r="C12747" s="12"/>
      <c r="D12747" s="13" t="n">
        <f aca="false">IF(B12747&lt;5,Einstellungen!$B$3,Einstellungen!$B$4)</f>
        <v>29.13</v>
      </c>
      <c r="E12747" s="14" t="str">
        <f aca="false">IF(C12747="","",C12747*D12747/100)</f>
        <v/>
      </c>
      <c r="F12747" s="15" t="str">
        <f aca="false">IF(B12747&lt;5,"Go","Standard")</f>
        <v>Standard</v>
      </c>
    </row>
    <row r="12748" customFormat="false" ht="15" hidden="false" customHeight="true" outlineLevel="0" collapsed="false">
      <c r="A12748" s="10" t="n">
        <f aca="false">Einstellungen!$B$5+INT((ROW()-9)/24)</f>
        <v>46496</v>
      </c>
      <c r="B12748" s="11" t="n">
        <f aca="false">MOD(ROW()-9,24)</f>
        <v>19</v>
      </c>
      <c r="C12748" s="12"/>
      <c r="D12748" s="13" t="n">
        <f aca="false">IF(B12748&lt;5,Einstellungen!$B$3,Einstellungen!$B$4)</f>
        <v>29.13</v>
      </c>
      <c r="E12748" s="14" t="str">
        <f aca="false">IF(C12748="","",C12748*D12748/100)</f>
        <v/>
      </c>
      <c r="F12748" s="15" t="str">
        <f aca="false">IF(B12748&lt;5,"Go","Standard")</f>
        <v>Standard</v>
      </c>
    </row>
    <row r="12749" customFormat="false" ht="15" hidden="false" customHeight="true" outlineLevel="0" collapsed="false">
      <c r="A12749" s="10" t="n">
        <f aca="false">Einstellungen!$B$5+INT((ROW()-9)/24)</f>
        <v>46496</v>
      </c>
      <c r="B12749" s="11" t="n">
        <f aca="false">MOD(ROW()-9,24)</f>
        <v>20</v>
      </c>
      <c r="C12749" s="12"/>
      <c r="D12749" s="13" t="n">
        <f aca="false">IF(B12749&lt;5,Einstellungen!$B$3,Einstellungen!$B$4)</f>
        <v>29.13</v>
      </c>
      <c r="E12749" s="14" t="str">
        <f aca="false">IF(C12749="","",C12749*D12749/100)</f>
        <v/>
      </c>
      <c r="F12749" s="15" t="str">
        <f aca="false">IF(B12749&lt;5,"Go","Standard")</f>
        <v>Standard</v>
      </c>
    </row>
    <row r="12750" customFormat="false" ht="15" hidden="false" customHeight="true" outlineLevel="0" collapsed="false">
      <c r="A12750" s="10" t="n">
        <f aca="false">Einstellungen!$B$5+INT((ROW()-9)/24)</f>
        <v>46496</v>
      </c>
      <c r="B12750" s="11" t="n">
        <f aca="false">MOD(ROW()-9,24)</f>
        <v>21</v>
      </c>
      <c r="C12750" s="12"/>
      <c r="D12750" s="13" t="n">
        <f aca="false">IF(B12750&lt;5,Einstellungen!$B$3,Einstellungen!$B$4)</f>
        <v>29.13</v>
      </c>
      <c r="E12750" s="14" t="str">
        <f aca="false">IF(C12750="","",C12750*D12750/100)</f>
        <v/>
      </c>
      <c r="F12750" s="15" t="str">
        <f aca="false">IF(B12750&lt;5,"Go","Standard")</f>
        <v>Standard</v>
      </c>
    </row>
    <row r="12751" customFormat="false" ht="15" hidden="false" customHeight="true" outlineLevel="0" collapsed="false">
      <c r="A12751" s="10" t="n">
        <f aca="false">Einstellungen!$B$5+INT((ROW()-9)/24)</f>
        <v>46496</v>
      </c>
      <c r="B12751" s="11" t="n">
        <f aca="false">MOD(ROW()-9,24)</f>
        <v>22</v>
      </c>
      <c r="C12751" s="12"/>
      <c r="D12751" s="13" t="n">
        <f aca="false">IF(B12751&lt;5,Einstellungen!$B$3,Einstellungen!$B$4)</f>
        <v>29.13</v>
      </c>
      <c r="E12751" s="14" t="str">
        <f aca="false">IF(C12751="","",C12751*D12751/100)</f>
        <v/>
      </c>
      <c r="F12751" s="15" t="str">
        <f aca="false">IF(B12751&lt;5,"Go","Standard")</f>
        <v>Standard</v>
      </c>
    </row>
    <row r="12752" customFormat="false" ht="15" hidden="false" customHeight="true" outlineLevel="0" collapsed="false">
      <c r="A12752" s="10" t="n">
        <f aca="false">Einstellungen!$B$5+INT((ROW()-9)/24)</f>
        <v>46496</v>
      </c>
      <c r="B12752" s="11" t="n">
        <f aca="false">MOD(ROW()-9,24)</f>
        <v>23</v>
      </c>
      <c r="C12752" s="12"/>
      <c r="D12752" s="13" t="n">
        <f aca="false">IF(B12752&lt;5,Einstellungen!$B$3,Einstellungen!$B$4)</f>
        <v>29.13</v>
      </c>
      <c r="E12752" s="14" t="str">
        <f aca="false">IF(C12752="","",C12752*D12752/100)</f>
        <v/>
      </c>
      <c r="F12752" s="15" t="str">
        <f aca="false">IF(B12752&lt;5,"Go","Standard")</f>
        <v>Standard</v>
      </c>
    </row>
    <row r="12753" customFormat="false" ht="15" hidden="false" customHeight="true" outlineLevel="0" collapsed="false">
      <c r="A12753" s="10" t="n">
        <f aca="false">Einstellungen!$B$5+INT((ROW()-9)/24)</f>
        <v>46497</v>
      </c>
      <c r="B12753" s="11" t="n">
        <f aca="false">MOD(ROW()-9,24)</f>
        <v>0</v>
      </c>
      <c r="C12753" s="12"/>
      <c r="D12753" s="13" t="n">
        <f aca="false">IF(B12753&lt;5,Einstellungen!$B$3,Einstellungen!$B$4)</f>
        <v>15.92</v>
      </c>
      <c r="E12753" s="14" t="str">
        <f aca="false">IF(C12753="","",C12753*D12753/100)</f>
        <v/>
      </c>
      <c r="F12753" s="15" t="str">
        <f aca="false">IF(B12753&lt;5,"Go","Standard")</f>
        <v>Go</v>
      </c>
    </row>
    <row r="12754" customFormat="false" ht="15" hidden="false" customHeight="true" outlineLevel="0" collapsed="false">
      <c r="A12754" s="10" t="n">
        <f aca="false">Einstellungen!$B$5+INT((ROW()-9)/24)</f>
        <v>46497</v>
      </c>
      <c r="B12754" s="11" t="n">
        <f aca="false">MOD(ROW()-9,24)</f>
        <v>1</v>
      </c>
      <c r="C12754" s="12"/>
      <c r="D12754" s="13" t="n">
        <f aca="false">IF(B12754&lt;5,Einstellungen!$B$3,Einstellungen!$B$4)</f>
        <v>15.92</v>
      </c>
      <c r="E12754" s="14" t="str">
        <f aca="false">IF(C12754="","",C12754*D12754/100)</f>
        <v/>
      </c>
      <c r="F12754" s="15" t="str">
        <f aca="false">IF(B12754&lt;5,"Go","Standard")</f>
        <v>Go</v>
      </c>
    </row>
    <row r="12755" customFormat="false" ht="15" hidden="false" customHeight="true" outlineLevel="0" collapsed="false">
      <c r="A12755" s="10" t="n">
        <f aca="false">Einstellungen!$B$5+INT((ROW()-9)/24)</f>
        <v>46497</v>
      </c>
      <c r="B12755" s="11" t="n">
        <f aca="false">MOD(ROW()-9,24)</f>
        <v>2</v>
      </c>
      <c r="C12755" s="12"/>
      <c r="D12755" s="13" t="n">
        <f aca="false">IF(B12755&lt;5,Einstellungen!$B$3,Einstellungen!$B$4)</f>
        <v>15.92</v>
      </c>
      <c r="E12755" s="14" t="str">
        <f aca="false">IF(C12755="","",C12755*D12755/100)</f>
        <v/>
      </c>
      <c r="F12755" s="15" t="str">
        <f aca="false">IF(B12755&lt;5,"Go","Standard")</f>
        <v>Go</v>
      </c>
    </row>
    <row r="12756" customFormat="false" ht="15" hidden="false" customHeight="true" outlineLevel="0" collapsed="false">
      <c r="A12756" s="10" t="n">
        <f aca="false">Einstellungen!$B$5+INT((ROW()-9)/24)</f>
        <v>46497</v>
      </c>
      <c r="B12756" s="11" t="n">
        <f aca="false">MOD(ROW()-9,24)</f>
        <v>3</v>
      </c>
      <c r="C12756" s="12"/>
      <c r="D12756" s="13" t="n">
        <f aca="false">IF(B12756&lt;5,Einstellungen!$B$3,Einstellungen!$B$4)</f>
        <v>15.92</v>
      </c>
      <c r="E12756" s="14" t="str">
        <f aca="false">IF(C12756="","",C12756*D12756/100)</f>
        <v/>
      </c>
      <c r="F12756" s="15" t="str">
        <f aca="false">IF(B12756&lt;5,"Go","Standard")</f>
        <v>Go</v>
      </c>
    </row>
    <row r="12757" customFormat="false" ht="15" hidden="false" customHeight="true" outlineLevel="0" collapsed="false">
      <c r="A12757" s="10" t="n">
        <f aca="false">Einstellungen!$B$5+INT((ROW()-9)/24)</f>
        <v>46497</v>
      </c>
      <c r="B12757" s="11" t="n">
        <f aca="false">MOD(ROW()-9,24)</f>
        <v>4</v>
      </c>
      <c r="C12757" s="12"/>
      <c r="D12757" s="13" t="n">
        <f aca="false">IF(B12757&lt;5,Einstellungen!$B$3,Einstellungen!$B$4)</f>
        <v>15.92</v>
      </c>
      <c r="E12757" s="14" t="str">
        <f aca="false">IF(C12757="","",C12757*D12757/100)</f>
        <v/>
      </c>
      <c r="F12757" s="15" t="str">
        <f aca="false">IF(B12757&lt;5,"Go","Standard")</f>
        <v>Go</v>
      </c>
    </row>
    <row r="12758" customFormat="false" ht="15" hidden="false" customHeight="true" outlineLevel="0" collapsed="false">
      <c r="A12758" s="10" t="n">
        <f aca="false">Einstellungen!$B$5+INT((ROW()-9)/24)</f>
        <v>46497</v>
      </c>
      <c r="B12758" s="11" t="n">
        <f aca="false">MOD(ROW()-9,24)</f>
        <v>5</v>
      </c>
      <c r="C12758" s="12"/>
      <c r="D12758" s="13" t="n">
        <f aca="false">IF(B12758&lt;5,Einstellungen!$B$3,Einstellungen!$B$4)</f>
        <v>29.13</v>
      </c>
      <c r="E12758" s="14" t="str">
        <f aca="false">IF(C12758="","",C12758*D12758/100)</f>
        <v/>
      </c>
      <c r="F12758" s="15" t="str">
        <f aca="false">IF(B12758&lt;5,"Go","Standard")</f>
        <v>Standard</v>
      </c>
    </row>
    <row r="12759" customFormat="false" ht="15" hidden="false" customHeight="true" outlineLevel="0" collapsed="false">
      <c r="A12759" s="10" t="n">
        <f aca="false">Einstellungen!$B$5+INT((ROW()-9)/24)</f>
        <v>46497</v>
      </c>
      <c r="B12759" s="11" t="n">
        <f aca="false">MOD(ROW()-9,24)</f>
        <v>6</v>
      </c>
      <c r="C12759" s="12"/>
      <c r="D12759" s="13" t="n">
        <f aca="false">IF(B12759&lt;5,Einstellungen!$B$3,Einstellungen!$B$4)</f>
        <v>29.13</v>
      </c>
      <c r="E12759" s="14" t="str">
        <f aca="false">IF(C12759="","",C12759*D12759/100)</f>
        <v/>
      </c>
      <c r="F12759" s="15" t="str">
        <f aca="false">IF(B12759&lt;5,"Go","Standard")</f>
        <v>Standard</v>
      </c>
    </row>
    <row r="12760" customFormat="false" ht="15" hidden="false" customHeight="true" outlineLevel="0" collapsed="false">
      <c r="A12760" s="10" t="n">
        <f aca="false">Einstellungen!$B$5+INT((ROW()-9)/24)</f>
        <v>46497</v>
      </c>
      <c r="B12760" s="11" t="n">
        <f aca="false">MOD(ROW()-9,24)</f>
        <v>7</v>
      </c>
      <c r="C12760" s="12"/>
      <c r="D12760" s="13" t="n">
        <f aca="false">IF(B12760&lt;5,Einstellungen!$B$3,Einstellungen!$B$4)</f>
        <v>29.13</v>
      </c>
      <c r="E12760" s="14" t="str">
        <f aca="false">IF(C12760="","",C12760*D12760/100)</f>
        <v/>
      </c>
      <c r="F12760" s="15" t="str">
        <f aca="false">IF(B12760&lt;5,"Go","Standard")</f>
        <v>Standard</v>
      </c>
    </row>
    <row r="12761" customFormat="false" ht="15" hidden="false" customHeight="true" outlineLevel="0" collapsed="false">
      <c r="A12761" s="10" t="n">
        <f aca="false">Einstellungen!$B$5+INT((ROW()-9)/24)</f>
        <v>46497</v>
      </c>
      <c r="B12761" s="11" t="n">
        <f aca="false">MOD(ROW()-9,24)</f>
        <v>8</v>
      </c>
      <c r="C12761" s="12"/>
      <c r="D12761" s="13" t="n">
        <f aca="false">IF(B12761&lt;5,Einstellungen!$B$3,Einstellungen!$B$4)</f>
        <v>29.13</v>
      </c>
      <c r="E12761" s="14" t="str">
        <f aca="false">IF(C12761="","",C12761*D12761/100)</f>
        <v/>
      </c>
      <c r="F12761" s="15" t="str">
        <f aca="false">IF(B12761&lt;5,"Go","Standard")</f>
        <v>Standard</v>
      </c>
    </row>
    <row r="12762" customFormat="false" ht="15" hidden="false" customHeight="true" outlineLevel="0" collapsed="false">
      <c r="A12762" s="10" t="n">
        <f aca="false">Einstellungen!$B$5+INT((ROW()-9)/24)</f>
        <v>46497</v>
      </c>
      <c r="B12762" s="11" t="n">
        <f aca="false">MOD(ROW()-9,24)</f>
        <v>9</v>
      </c>
      <c r="C12762" s="12"/>
      <c r="D12762" s="13" t="n">
        <f aca="false">IF(B12762&lt;5,Einstellungen!$B$3,Einstellungen!$B$4)</f>
        <v>29.13</v>
      </c>
      <c r="E12762" s="14" t="str">
        <f aca="false">IF(C12762="","",C12762*D12762/100)</f>
        <v/>
      </c>
      <c r="F12762" s="15" t="str">
        <f aca="false">IF(B12762&lt;5,"Go","Standard")</f>
        <v>Standard</v>
      </c>
    </row>
    <row r="12763" customFormat="false" ht="15" hidden="false" customHeight="true" outlineLevel="0" collapsed="false">
      <c r="A12763" s="10" t="n">
        <f aca="false">Einstellungen!$B$5+INT((ROW()-9)/24)</f>
        <v>46497</v>
      </c>
      <c r="B12763" s="11" t="n">
        <f aca="false">MOD(ROW()-9,24)</f>
        <v>10</v>
      </c>
      <c r="C12763" s="12"/>
      <c r="D12763" s="13" t="n">
        <f aca="false">IF(B12763&lt;5,Einstellungen!$B$3,Einstellungen!$B$4)</f>
        <v>29.13</v>
      </c>
      <c r="E12763" s="14" t="str">
        <f aca="false">IF(C12763="","",C12763*D12763/100)</f>
        <v/>
      </c>
      <c r="F12763" s="15" t="str">
        <f aca="false">IF(B12763&lt;5,"Go","Standard")</f>
        <v>Standard</v>
      </c>
    </row>
    <row r="12764" customFormat="false" ht="15" hidden="false" customHeight="true" outlineLevel="0" collapsed="false">
      <c r="A12764" s="10" t="n">
        <f aca="false">Einstellungen!$B$5+INT((ROW()-9)/24)</f>
        <v>46497</v>
      </c>
      <c r="B12764" s="11" t="n">
        <f aca="false">MOD(ROW()-9,24)</f>
        <v>11</v>
      </c>
      <c r="C12764" s="12"/>
      <c r="D12764" s="13" t="n">
        <f aca="false">IF(B12764&lt;5,Einstellungen!$B$3,Einstellungen!$B$4)</f>
        <v>29.13</v>
      </c>
      <c r="E12764" s="14" t="str">
        <f aca="false">IF(C12764="","",C12764*D12764/100)</f>
        <v/>
      </c>
      <c r="F12764" s="15" t="str">
        <f aca="false">IF(B12764&lt;5,"Go","Standard")</f>
        <v>Standard</v>
      </c>
    </row>
    <row r="12765" customFormat="false" ht="15" hidden="false" customHeight="true" outlineLevel="0" collapsed="false">
      <c r="A12765" s="10" t="n">
        <f aca="false">Einstellungen!$B$5+INT((ROW()-9)/24)</f>
        <v>46497</v>
      </c>
      <c r="B12765" s="11" t="n">
        <f aca="false">MOD(ROW()-9,24)</f>
        <v>12</v>
      </c>
      <c r="C12765" s="12"/>
      <c r="D12765" s="13" t="n">
        <f aca="false">IF(B12765&lt;5,Einstellungen!$B$3,Einstellungen!$B$4)</f>
        <v>29.13</v>
      </c>
      <c r="E12765" s="14" t="str">
        <f aca="false">IF(C12765="","",C12765*D12765/100)</f>
        <v/>
      </c>
      <c r="F12765" s="15" t="str">
        <f aca="false">IF(B12765&lt;5,"Go","Standard")</f>
        <v>Standard</v>
      </c>
    </row>
    <row r="12766" customFormat="false" ht="15" hidden="false" customHeight="true" outlineLevel="0" collapsed="false">
      <c r="A12766" s="10" t="n">
        <f aca="false">Einstellungen!$B$5+INT((ROW()-9)/24)</f>
        <v>46497</v>
      </c>
      <c r="B12766" s="11" t="n">
        <f aca="false">MOD(ROW()-9,24)</f>
        <v>13</v>
      </c>
      <c r="C12766" s="12"/>
      <c r="D12766" s="13" t="n">
        <f aca="false">IF(B12766&lt;5,Einstellungen!$B$3,Einstellungen!$B$4)</f>
        <v>29.13</v>
      </c>
      <c r="E12766" s="14" t="str">
        <f aca="false">IF(C12766="","",C12766*D12766/100)</f>
        <v/>
      </c>
      <c r="F12766" s="15" t="str">
        <f aca="false">IF(B12766&lt;5,"Go","Standard")</f>
        <v>Standard</v>
      </c>
    </row>
    <row r="12767" customFormat="false" ht="15" hidden="false" customHeight="true" outlineLevel="0" collapsed="false">
      <c r="A12767" s="10" t="n">
        <f aca="false">Einstellungen!$B$5+INT((ROW()-9)/24)</f>
        <v>46497</v>
      </c>
      <c r="B12767" s="11" t="n">
        <f aca="false">MOD(ROW()-9,24)</f>
        <v>14</v>
      </c>
      <c r="C12767" s="12"/>
      <c r="D12767" s="13" t="n">
        <f aca="false">IF(B12767&lt;5,Einstellungen!$B$3,Einstellungen!$B$4)</f>
        <v>29.13</v>
      </c>
      <c r="E12767" s="14" t="str">
        <f aca="false">IF(C12767="","",C12767*D12767/100)</f>
        <v/>
      </c>
      <c r="F12767" s="15" t="str">
        <f aca="false">IF(B12767&lt;5,"Go","Standard")</f>
        <v>Standard</v>
      </c>
    </row>
    <row r="12768" customFormat="false" ht="15" hidden="false" customHeight="true" outlineLevel="0" collapsed="false">
      <c r="A12768" s="10" t="n">
        <f aca="false">Einstellungen!$B$5+INT((ROW()-9)/24)</f>
        <v>46497</v>
      </c>
      <c r="B12768" s="11" t="n">
        <f aca="false">MOD(ROW()-9,24)</f>
        <v>15</v>
      </c>
      <c r="C12768" s="12"/>
      <c r="D12768" s="13" t="n">
        <f aca="false">IF(B12768&lt;5,Einstellungen!$B$3,Einstellungen!$B$4)</f>
        <v>29.13</v>
      </c>
      <c r="E12768" s="14" t="str">
        <f aca="false">IF(C12768="","",C12768*D12768/100)</f>
        <v/>
      </c>
      <c r="F12768" s="15" t="str">
        <f aca="false">IF(B12768&lt;5,"Go","Standard")</f>
        <v>Standard</v>
      </c>
    </row>
    <row r="12769" customFormat="false" ht="15" hidden="false" customHeight="true" outlineLevel="0" collapsed="false">
      <c r="A12769" s="10" t="n">
        <f aca="false">Einstellungen!$B$5+INT((ROW()-9)/24)</f>
        <v>46497</v>
      </c>
      <c r="B12769" s="11" t="n">
        <f aca="false">MOD(ROW()-9,24)</f>
        <v>16</v>
      </c>
      <c r="C12769" s="12"/>
      <c r="D12769" s="13" t="n">
        <f aca="false">IF(B12769&lt;5,Einstellungen!$B$3,Einstellungen!$B$4)</f>
        <v>29.13</v>
      </c>
      <c r="E12769" s="14" t="str">
        <f aca="false">IF(C12769="","",C12769*D12769/100)</f>
        <v/>
      </c>
      <c r="F12769" s="15" t="str">
        <f aca="false">IF(B12769&lt;5,"Go","Standard")</f>
        <v>Standard</v>
      </c>
    </row>
    <row r="12770" customFormat="false" ht="15" hidden="false" customHeight="true" outlineLevel="0" collapsed="false">
      <c r="A12770" s="10" t="n">
        <f aca="false">Einstellungen!$B$5+INT((ROW()-9)/24)</f>
        <v>46497</v>
      </c>
      <c r="B12770" s="11" t="n">
        <f aca="false">MOD(ROW()-9,24)</f>
        <v>17</v>
      </c>
      <c r="C12770" s="12"/>
      <c r="D12770" s="13" t="n">
        <f aca="false">IF(B12770&lt;5,Einstellungen!$B$3,Einstellungen!$B$4)</f>
        <v>29.13</v>
      </c>
      <c r="E12770" s="14" t="str">
        <f aca="false">IF(C12770="","",C12770*D12770/100)</f>
        <v/>
      </c>
      <c r="F12770" s="15" t="str">
        <f aca="false">IF(B12770&lt;5,"Go","Standard")</f>
        <v>Standard</v>
      </c>
    </row>
    <row r="12771" customFormat="false" ht="15" hidden="false" customHeight="true" outlineLevel="0" collapsed="false">
      <c r="A12771" s="10" t="n">
        <f aca="false">Einstellungen!$B$5+INT((ROW()-9)/24)</f>
        <v>46497</v>
      </c>
      <c r="B12771" s="11" t="n">
        <f aca="false">MOD(ROW()-9,24)</f>
        <v>18</v>
      </c>
      <c r="C12771" s="12"/>
      <c r="D12771" s="13" t="n">
        <f aca="false">IF(B12771&lt;5,Einstellungen!$B$3,Einstellungen!$B$4)</f>
        <v>29.13</v>
      </c>
      <c r="E12771" s="14" t="str">
        <f aca="false">IF(C12771="","",C12771*D12771/100)</f>
        <v/>
      </c>
      <c r="F12771" s="15" t="str">
        <f aca="false">IF(B12771&lt;5,"Go","Standard")</f>
        <v>Standard</v>
      </c>
    </row>
    <row r="12772" customFormat="false" ht="15" hidden="false" customHeight="true" outlineLevel="0" collapsed="false">
      <c r="A12772" s="10" t="n">
        <f aca="false">Einstellungen!$B$5+INT((ROW()-9)/24)</f>
        <v>46497</v>
      </c>
      <c r="B12772" s="11" t="n">
        <f aca="false">MOD(ROW()-9,24)</f>
        <v>19</v>
      </c>
      <c r="C12772" s="12"/>
      <c r="D12772" s="13" t="n">
        <f aca="false">IF(B12772&lt;5,Einstellungen!$B$3,Einstellungen!$B$4)</f>
        <v>29.13</v>
      </c>
      <c r="E12772" s="14" t="str">
        <f aca="false">IF(C12772="","",C12772*D12772/100)</f>
        <v/>
      </c>
      <c r="F12772" s="15" t="str">
        <f aca="false">IF(B12772&lt;5,"Go","Standard")</f>
        <v>Standard</v>
      </c>
    </row>
    <row r="12773" customFormat="false" ht="15" hidden="false" customHeight="true" outlineLevel="0" collapsed="false">
      <c r="A12773" s="10" t="n">
        <f aca="false">Einstellungen!$B$5+INT((ROW()-9)/24)</f>
        <v>46497</v>
      </c>
      <c r="B12773" s="11" t="n">
        <f aca="false">MOD(ROW()-9,24)</f>
        <v>20</v>
      </c>
      <c r="C12773" s="12"/>
      <c r="D12773" s="13" t="n">
        <f aca="false">IF(B12773&lt;5,Einstellungen!$B$3,Einstellungen!$B$4)</f>
        <v>29.13</v>
      </c>
      <c r="E12773" s="14" t="str">
        <f aca="false">IF(C12773="","",C12773*D12773/100)</f>
        <v/>
      </c>
      <c r="F12773" s="15" t="str">
        <f aca="false">IF(B12773&lt;5,"Go","Standard")</f>
        <v>Standard</v>
      </c>
    </row>
    <row r="12774" customFormat="false" ht="15" hidden="false" customHeight="true" outlineLevel="0" collapsed="false">
      <c r="A12774" s="10" t="n">
        <f aca="false">Einstellungen!$B$5+INT((ROW()-9)/24)</f>
        <v>46497</v>
      </c>
      <c r="B12774" s="11" t="n">
        <f aca="false">MOD(ROW()-9,24)</f>
        <v>21</v>
      </c>
      <c r="C12774" s="12"/>
      <c r="D12774" s="13" t="n">
        <f aca="false">IF(B12774&lt;5,Einstellungen!$B$3,Einstellungen!$B$4)</f>
        <v>29.13</v>
      </c>
      <c r="E12774" s="14" t="str">
        <f aca="false">IF(C12774="","",C12774*D12774/100)</f>
        <v/>
      </c>
      <c r="F12774" s="15" t="str">
        <f aca="false">IF(B12774&lt;5,"Go","Standard")</f>
        <v>Standard</v>
      </c>
    </row>
    <row r="12775" customFormat="false" ht="15" hidden="false" customHeight="true" outlineLevel="0" collapsed="false">
      <c r="A12775" s="10" t="n">
        <f aca="false">Einstellungen!$B$5+INT((ROW()-9)/24)</f>
        <v>46497</v>
      </c>
      <c r="B12775" s="11" t="n">
        <f aca="false">MOD(ROW()-9,24)</f>
        <v>22</v>
      </c>
      <c r="C12775" s="12"/>
      <c r="D12775" s="13" t="n">
        <f aca="false">IF(B12775&lt;5,Einstellungen!$B$3,Einstellungen!$B$4)</f>
        <v>29.13</v>
      </c>
      <c r="E12775" s="14" t="str">
        <f aca="false">IF(C12775="","",C12775*D12775/100)</f>
        <v/>
      </c>
      <c r="F12775" s="15" t="str">
        <f aca="false">IF(B12775&lt;5,"Go","Standard")</f>
        <v>Standard</v>
      </c>
    </row>
    <row r="12776" customFormat="false" ht="15" hidden="false" customHeight="true" outlineLevel="0" collapsed="false">
      <c r="A12776" s="10" t="n">
        <f aca="false">Einstellungen!$B$5+INT((ROW()-9)/24)</f>
        <v>46497</v>
      </c>
      <c r="B12776" s="11" t="n">
        <f aca="false">MOD(ROW()-9,24)</f>
        <v>23</v>
      </c>
      <c r="C12776" s="12"/>
      <c r="D12776" s="13" t="n">
        <f aca="false">IF(B12776&lt;5,Einstellungen!$B$3,Einstellungen!$B$4)</f>
        <v>29.13</v>
      </c>
      <c r="E12776" s="14" t="str">
        <f aca="false">IF(C12776="","",C12776*D12776/100)</f>
        <v/>
      </c>
      <c r="F12776" s="15" t="str">
        <f aca="false">IF(B12776&lt;5,"Go","Standard")</f>
        <v>Standard</v>
      </c>
    </row>
    <row r="12777" customFormat="false" ht="15" hidden="false" customHeight="true" outlineLevel="0" collapsed="false">
      <c r="A12777" s="10" t="n">
        <f aca="false">Einstellungen!$B$5+INT((ROW()-9)/24)</f>
        <v>46498</v>
      </c>
      <c r="B12777" s="11" t="n">
        <f aca="false">MOD(ROW()-9,24)</f>
        <v>0</v>
      </c>
      <c r="C12777" s="12"/>
      <c r="D12777" s="13" t="n">
        <f aca="false">IF(B12777&lt;5,Einstellungen!$B$3,Einstellungen!$B$4)</f>
        <v>15.92</v>
      </c>
      <c r="E12777" s="14" t="str">
        <f aca="false">IF(C12777="","",C12777*D12777/100)</f>
        <v/>
      </c>
      <c r="F12777" s="15" t="str">
        <f aca="false">IF(B12777&lt;5,"Go","Standard")</f>
        <v>Go</v>
      </c>
    </row>
    <row r="12778" customFormat="false" ht="15" hidden="false" customHeight="true" outlineLevel="0" collapsed="false">
      <c r="A12778" s="10" t="n">
        <f aca="false">Einstellungen!$B$5+INT((ROW()-9)/24)</f>
        <v>46498</v>
      </c>
      <c r="B12778" s="11" t="n">
        <f aca="false">MOD(ROW()-9,24)</f>
        <v>1</v>
      </c>
      <c r="C12778" s="12"/>
      <c r="D12778" s="13" t="n">
        <f aca="false">IF(B12778&lt;5,Einstellungen!$B$3,Einstellungen!$B$4)</f>
        <v>15.92</v>
      </c>
      <c r="E12778" s="14" t="str">
        <f aca="false">IF(C12778="","",C12778*D12778/100)</f>
        <v/>
      </c>
      <c r="F12778" s="15" t="str">
        <f aca="false">IF(B12778&lt;5,"Go","Standard")</f>
        <v>Go</v>
      </c>
    </row>
    <row r="12779" customFormat="false" ht="15" hidden="false" customHeight="true" outlineLevel="0" collapsed="false">
      <c r="A12779" s="10" t="n">
        <f aca="false">Einstellungen!$B$5+INT((ROW()-9)/24)</f>
        <v>46498</v>
      </c>
      <c r="B12779" s="11" t="n">
        <f aca="false">MOD(ROW()-9,24)</f>
        <v>2</v>
      </c>
      <c r="C12779" s="12"/>
      <c r="D12779" s="13" t="n">
        <f aca="false">IF(B12779&lt;5,Einstellungen!$B$3,Einstellungen!$B$4)</f>
        <v>15.92</v>
      </c>
      <c r="E12779" s="14" t="str">
        <f aca="false">IF(C12779="","",C12779*D12779/100)</f>
        <v/>
      </c>
      <c r="F12779" s="15" t="str">
        <f aca="false">IF(B12779&lt;5,"Go","Standard")</f>
        <v>Go</v>
      </c>
    </row>
    <row r="12780" customFormat="false" ht="15" hidden="false" customHeight="true" outlineLevel="0" collapsed="false">
      <c r="A12780" s="10" t="n">
        <f aca="false">Einstellungen!$B$5+INT((ROW()-9)/24)</f>
        <v>46498</v>
      </c>
      <c r="B12780" s="11" t="n">
        <f aca="false">MOD(ROW()-9,24)</f>
        <v>3</v>
      </c>
      <c r="C12780" s="12"/>
      <c r="D12780" s="13" t="n">
        <f aca="false">IF(B12780&lt;5,Einstellungen!$B$3,Einstellungen!$B$4)</f>
        <v>15.92</v>
      </c>
      <c r="E12780" s="14" t="str">
        <f aca="false">IF(C12780="","",C12780*D12780/100)</f>
        <v/>
      </c>
      <c r="F12780" s="15" t="str">
        <f aca="false">IF(B12780&lt;5,"Go","Standard")</f>
        <v>Go</v>
      </c>
    </row>
    <row r="12781" customFormat="false" ht="15" hidden="false" customHeight="true" outlineLevel="0" collapsed="false">
      <c r="A12781" s="10" t="n">
        <f aca="false">Einstellungen!$B$5+INT((ROW()-9)/24)</f>
        <v>46498</v>
      </c>
      <c r="B12781" s="11" t="n">
        <f aca="false">MOD(ROW()-9,24)</f>
        <v>4</v>
      </c>
      <c r="C12781" s="12"/>
      <c r="D12781" s="13" t="n">
        <f aca="false">IF(B12781&lt;5,Einstellungen!$B$3,Einstellungen!$B$4)</f>
        <v>15.92</v>
      </c>
      <c r="E12781" s="14" t="str">
        <f aca="false">IF(C12781="","",C12781*D12781/100)</f>
        <v/>
      </c>
      <c r="F12781" s="15" t="str">
        <f aca="false">IF(B12781&lt;5,"Go","Standard")</f>
        <v>Go</v>
      </c>
    </row>
    <row r="12782" customFormat="false" ht="15" hidden="false" customHeight="true" outlineLevel="0" collapsed="false">
      <c r="A12782" s="10" t="n">
        <f aca="false">Einstellungen!$B$5+INT((ROW()-9)/24)</f>
        <v>46498</v>
      </c>
      <c r="B12782" s="11" t="n">
        <f aca="false">MOD(ROW()-9,24)</f>
        <v>5</v>
      </c>
      <c r="C12782" s="12"/>
      <c r="D12782" s="13" t="n">
        <f aca="false">IF(B12782&lt;5,Einstellungen!$B$3,Einstellungen!$B$4)</f>
        <v>29.13</v>
      </c>
      <c r="E12782" s="14" t="str">
        <f aca="false">IF(C12782="","",C12782*D12782/100)</f>
        <v/>
      </c>
      <c r="F12782" s="15" t="str">
        <f aca="false">IF(B12782&lt;5,"Go","Standard")</f>
        <v>Standard</v>
      </c>
    </row>
    <row r="12783" customFormat="false" ht="15" hidden="false" customHeight="true" outlineLevel="0" collapsed="false">
      <c r="A12783" s="10" t="n">
        <f aca="false">Einstellungen!$B$5+INT((ROW()-9)/24)</f>
        <v>46498</v>
      </c>
      <c r="B12783" s="11" t="n">
        <f aca="false">MOD(ROW()-9,24)</f>
        <v>6</v>
      </c>
      <c r="C12783" s="12"/>
      <c r="D12783" s="13" t="n">
        <f aca="false">IF(B12783&lt;5,Einstellungen!$B$3,Einstellungen!$B$4)</f>
        <v>29.13</v>
      </c>
      <c r="E12783" s="14" t="str">
        <f aca="false">IF(C12783="","",C12783*D12783/100)</f>
        <v/>
      </c>
      <c r="F12783" s="15" t="str">
        <f aca="false">IF(B12783&lt;5,"Go","Standard")</f>
        <v>Standard</v>
      </c>
    </row>
    <row r="12784" customFormat="false" ht="15" hidden="false" customHeight="true" outlineLevel="0" collapsed="false">
      <c r="A12784" s="10" t="n">
        <f aca="false">Einstellungen!$B$5+INT((ROW()-9)/24)</f>
        <v>46498</v>
      </c>
      <c r="B12784" s="11" t="n">
        <f aca="false">MOD(ROW()-9,24)</f>
        <v>7</v>
      </c>
      <c r="C12784" s="12"/>
      <c r="D12784" s="13" t="n">
        <f aca="false">IF(B12784&lt;5,Einstellungen!$B$3,Einstellungen!$B$4)</f>
        <v>29.13</v>
      </c>
      <c r="E12784" s="14" t="str">
        <f aca="false">IF(C12784="","",C12784*D12784/100)</f>
        <v/>
      </c>
      <c r="F12784" s="15" t="str">
        <f aca="false">IF(B12784&lt;5,"Go","Standard")</f>
        <v>Standard</v>
      </c>
    </row>
    <row r="12785" customFormat="false" ht="15" hidden="false" customHeight="true" outlineLevel="0" collapsed="false">
      <c r="A12785" s="10" t="n">
        <f aca="false">Einstellungen!$B$5+INT((ROW()-9)/24)</f>
        <v>46498</v>
      </c>
      <c r="B12785" s="11" t="n">
        <f aca="false">MOD(ROW()-9,24)</f>
        <v>8</v>
      </c>
      <c r="C12785" s="12"/>
      <c r="D12785" s="13" t="n">
        <f aca="false">IF(B12785&lt;5,Einstellungen!$B$3,Einstellungen!$B$4)</f>
        <v>29.13</v>
      </c>
      <c r="E12785" s="14" t="str">
        <f aca="false">IF(C12785="","",C12785*D12785/100)</f>
        <v/>
      </c>
      <c r="F12785" s="15" t="str">
        <f aca="false">IF(B12785&lt;5,"Go","Standard")</f>
        <v>Standard</v>
      </c>
    </row>
    <row r="12786" customFormat="false" ht="15" hidden="false" customHeight="true" outlineLevel="0" collapsed="false">
      <c r="A12786" s="10" t="n">
        <f aca="false">Einstellungen!$B$5+INT((ROW()-9)/24)</f>
        <v>46498</v>
      </c>
      <c r="B12786" s="11" t="n">
        <f aca="false">MOD(ROW()-9,24)</f>
        <v>9</v>
      </c>
      <c r="C12786" s="12"/>
      <c r="D12786" s="13" t="n">
        <f aca="false">IF(B12786&lt;5,Einstellungen!$B$3,Einstellungen!$B$4)</f>
        <v>29.13</v>
      </c>
      <c r="E12786" s="14" t="str">
        <f aca="false">IF(C12786="","",C12786*D12786/100)</f>
        <v/>
      </c>
      <c r="F12786" s="15" t="str">
        <f aca="false">IF(B12786&lt;5,"Go","Standard")</f>
        <v>Standard</v>
      </c>
    </row>
    <row r="12787" customFormat="false" ht="15" hidden="false" customHeight="true" outlineLevel="0" collapsed="false">
      <c r="A12787" s="10" t="n">
        <f aca="false">Einstellungen!$B$5+INT((ROW()-9)/24)</f>
        <v>46498</v>
      </c>
      <c r="B12787" s="11" t="n">
        <f aca="false">MOD(ROW()-9,24)</f>
        <v>10</v>
      </c>
      <c r="C12787" s="12"/>
      <c r="D12787" s="13" t="n">
        <f aca="false">IF(B12787&lt;5,Einstellungen!$B$3,Einstellungen!$B$4)</f>
        <v>29.13</v>
      </c>
      <c r="E12787" s="14" t="str">
        <f aca="false">IF(C12787="","",C12787*D12787/100)</f>
        <v/>
      </c>
      <c r="F12787" s="15" t="str">
        <f aca="false">IF(B12787&lt;5,"Go","Standard")</f>
        <v>Standard</v>
      </c>
    </row>
    <row r="12788" customFormat="false" ht="15" hidden="false" customHeight="true" outlineLevel="0" collapsed="false">
      <c r="A12788" s="10" t="n">
        <f aca="false">Einstellungen!$B$5+INT((ROW()-9)/24)</f>
        <v>46498</v>
      </c>
      <c r="B12788" s="11" t="n">
        <f aca="false">MOD(ROW()-9,24)</f>
        <v>11</v>
      </c>
      <c r="C12788" s="12"/>
      <c r="D12788" s="13" t="n">
        <f aca="false">IF(B12788&lt;5,Einstellungen!$B$3,Einstellungen!$B$4)</f>
        <v>29.13</v>
      </c>
      <c r="E12788" s="14" t="str">
        <f aca="false">IF(C12788="","",C12788*D12788/100)</f>
        <v/>
      </c>
      <c r="F12788" s="15" t="str">
        <f aca="false">IF(B12788&lt;5,"Go","Standard")</f>
        <v>Standard</v>
      </c>
    </row>
    <row r="12789" customFormat="false" ht="15" hidden="false" customHeight="true" outlineLevel="0" collapsed="false">
      <c r="A12789" s="10" t="n">
        <f aca="false">Einstellungen!$B$5+INT((ROW()-9)/24)</f>
        <v>46498</v>
      </c>
      <c r="B12789" s="11" t="n">
        <f aca="false">MOD(ROW()-9,24)</f>
        <v>12</v>
      </c>
      <c r="C12789" s="12"/>
      <c r="D12789" s="13" t="n">
        <f aca="false">IF(B12789&lt;5,Einstellungen!$B$3,Einstellungen!$B$4)</f>
        <v>29.13</v>
      </c>
      <c r="E12789" s="14" t="str">
        <f aca="false">IF(C12789="","",C12789*D12789/100)</f>
        <v/>
      </c>
      <c r="F12789" s="15" t="str">
        <f aca="false">IF(B12789&lt;5,"Go","Standard")</f>
        <v>Standard</v>
      </c>
    </row>
    <row r="12790" customFormat="false" ht="15" hidden="false" customHeight="true" outlineLevel="0" collapsed="false">
      <c r="A12790" s="10" t="n">
        <f aca="false">Einstellungen!$B$5+INT((ROW()-9)/24)</f>
        <v>46498</v>
      </c>
      <c r="B12790" s="11" t="n">
        <f aca="false">MOD(ROW()-9,24)</f>
        <v>13</v>
      </c>
      <c r="C12790" s="12"/>
      <c r="D12790" s="13" t="n">
        <f aca="false">IF(B12790&lt;5,Einstellungen!$B$3,Einstellungen!$B$4)</f>
        <v>29.13</v>
      </c>
      <c r="E12790" s="14" t="str">
        <f aca="false">IF(C12790="","",C12790*D12790/100)</f>
        <v/>
      </c>
      <c r="F12790" s="15" t="str">
        <f aca="false">IF(B12790&lt;5,"Go","Standard")</f>
        <v>Standard</v>
      </c>
    </row>
    <row r="12791" customFormat="false" ht="15" hidden="false" customHeight="true" outlineLevel="0" collapsed="false">
      <c r="A12791" s="10" t="n">
        <f aca="false">Einstellungen!$B$5+INT((ROW()-9)/24)</f>
        <v>46498</v>
      </c>
      <c r="B12791" s="11" t="n">
        <f aca="false">MOD(ROW()-9,24)</f>
        <v>14</v>
      </c>
      <c r="C12791" s="12"/>
      <c r="D12791" s="13" t="n">
        <f aca="false">IF(B12791&lt;5,Einstellungen!$B$3,Einstellungen!$B$4)</f>
        <v>29.13</v>
      </c>
      <c r="E12791" s="14" t="str">
        <f aca="false">IF(C12791="","",C12791*D12791/100)</f>
        <v/>
      </c>
      <c r="F12791" s="15" t="str">
        <f aca="false">IF(B12791&lt;5,"Go","Standard")</f>
        <v>Standard</v>
      </c>
    </row>
    <row r="12792" customFormat="false" ht="15" hidden="false" customHeight="true" outlineLevel="0" collapsed="false">
      <c r="A12792" s="10" t="n">
        <f aca="false">Einstellungen!$B$5+INT((ROW()-9)/24)</f>
        <v>46498</v>
      </c>
      <c r="B12792" s="11" t="n">
        <f aca="false">MOD(ROW()-9,24)</f>
        <v>15</v>
      </c>
      <c r="C12792" s="12"/>
      <c r="D12792" s="13" t="n">
        <f aca="false">IF(B12792&lt;5,Einstellungen!$B$3,Einstellungen!$B$4)</f>
        <v>29.13</v>
      </c>
      <c r="E12792" s="14" t="str">
        <f aca="false">IF(C12792="","",C12792*D12792/100)</f>
        <v/>
      </c>
      <c r="F12792" s="15" t="str">
        <f aca="false">IF(B12792&lt;5,"Go","Standard")</f>
        <v>Standard</v>
      </c>
    </row>
    <row r="12793" customFormat="false" ht="15" hidden="false" customHeight="true" outlineLevel="0" collapsed="false">
      <c r="A12793" s="10" t="n">
        <f aca="false">Einstellungen!$B$5+INT((ROW()-9)/24)</f>
        <v>46498</v>
      </c>
      <c r="B12793" s="11" t="n">
        <f aca="false">MOD(ROW()-9,24)</f>
        <v>16</v>
      </c>
      <c r="C12793" s="12"/>
      <c r="D12793" s="13" t="n">
        <f aca="false">IF(B12793&lt;5,Einstellungen!$B$3,Einstellungen!$B$4)</f>
        <v>29.13</v>
      </c>
      <c r="E12793" s="14" t="str">
        <f aca="false">IF(C12793="","",C12793*D12793/100)</f>
        <v/>
      </c>
      <c r="F12793" s="15" t="str">
        <f aca="false">IF(B12793&lt;5,"Go","Standard")</f>
        <v>Standard</v>
      </c>
    </row>
    <row r="12794" customFormat="false" ht="15" hidden="false" customHeight="true" outlineLevel="0" collapsed="false">
      <c r="A12794" s="10" t="n">
        <f aca="false">Einstellungen!$B$5+INT((ROW()-9)/24)</f>
        <v>46498</v>
      </c>
      <c r="B12794" s="11" t="n">
        <f aca="false">MOD(ROW()-9,24)</f>
        <v>17</v>
      </c>
      <c r="C12794" s="12"/>
      <c r="D12794" s="13" t="n">
        <f aca="false">IF(B12794&lt;5,Einstellungen!$B$3,Einstellungen!$B$4)</f>
        <v>29.13</v>
      </c>
      <c r="E12794" s="14" t="str">
        <f aca="false">IF(C12794="","",C12794*D12794/100)</f>
        <v/>
      </c>
      <c r="F12794" s="15" t="str">
        <f aca="false">IF(B12794&lt;5,"Go","Standard")</f>
        <v>Standard</v>
      </c>
    </row>
    <row r="12795" customFormat="false" ht="15" hidden="false" customHeight="true" outlineLevel="0" collapsed="false">
      <c r="A12795" s="10" t="n">
        <f aca="false">Einstellungen!$B$5+INT((ROW()-9)/24)</f>
        <v>46498</v>
      </c>
      <c r="B12795" s="11" t="n">
        <f aca="false">MOD(ROW()-9,24)</f>
        <v>18</v>
      </c>
      <c r="C12795" s="12"/>
      <c r="D12795" s="13" t="n">
        <f aca="false">IF(B12795&lt;5,Einstellungen!$B$3,Einstellungen!$B$4)</f>
        <v>29.13</v>
      </c>
      <c r="E12795" s="14" t="str">
        <f aca="false">IF(C12795="","",C12795*D12795/100)</f>
        <v/>
      </c>
      <c r="F12795" s="15" t="str">
        <f aca="false">IF(B12795&lt;5,"Go","Standard")</f>
        <v>Standard</v>
      </c>
    </row>
    <row r="12796" customFormat="false" ht="15" hidden="false" customHeight="true" outlineLevel="0" collapsed="false">
      <c r="A12796" s="10" t="n">
        <f aca="false">Einstellungen!$B$5+INT((ROW()-9)/24)</f>
        <v>46498</v>
      </c>
      <c r="B12796" s="11" t="n">
        <f aca="false">MOD(ROW()-9,24)</f>
        <v>19</v>
      </c>
      <c r="C12796" s="12"/>
      <c r="D12796" s="13" t="n">
        <f aca="false">IF(B12796&lt;5,Einstellungen!$B$3,Einstellungen!$B$4)</f>
        <v>29.13</v>
      </c>
      <c r="E12796" s="14" t="str">
        <f aca="false">IF(C12796="","",C12796*D12796/100)</f>
        <v/>
      </c>
      <c r="F12796" s="15" t="str">
        <f aca="false">IF(B12796&lt;5,"Go","Standard")</f>
        <v>Standard</v>
      </c>
    </row>
    <row r="12797" customFormat="false" ht="15" hidden="false" customHeight="true" outlineLevel="0" collapsed="false">
      <c r="A12797" s="10" t="n">
        <f aca="false">Einstellungen!$B$5+INT((ROW()-9)/24)</f>
        <v>46498</v>
      </c>
      <c r="B12797" s="11" t="n">
        <f aca="false">MOD(ROW()-9,24)</f>
        <v>20</v>
      </c>
      <c r="C12797" s="12"/>
      <c r="D12797" s="13" t="n">
        <f aca="false">IF(B12797&lt;5,Einstellungen!$B$3,Einstellungen!$B$4)</f>
        <v>29.13</v>
      </c>
      <c r="E12797" s="14" t="str">
        <f aca="false">IF(C12797="","",C12797*D12797/100)</f>
        <v/>
      </c>
      <c r="F12797" s="15" t="str">
        <f aca="false">IF(B12797&lt;5,"Go","Standard")</f>
        <v>Standard</v>
      </c>
    </row>
    <row r="12798" customFormat="false" ht="15" hidden="false" customHeight="true" outlineLevel="0" collapsed="false">
      <c r="A12798" s="10" t="n">
        <f aca="false">Einstellungen!$B$5+INT((ROW()-9)/24)</f>
        <v>46498</v>
      </c>
      <c r="B12798" s="11" t="n">
        <f aca="false">MOD(ROW()-9,24)</f>
        <v>21</v>
      </c>
      <c r="C12798" s="12"/>
      <c r="D12798" s="13" t="n">
        <f aca="false">IF(B12798&lt;5,Einstellungen!$B$3,Einstellungen!$B$4)</f>
        <v>29.13</v>
      </c>
      <c r="E12798" s="14" t="str">
        <f aca="false">IF(C12798="","",C12798*D12798/100)</f>
        <v/>
      </c>
      <c r="F12798" s="15" t="str">
        <f aca="false">IF(B12798&lt;5,"Go","Standard")</f>
        <v>Standard</v>
      </c>
    </row>
    <row r="12799" customFormat="false" ht="15" hidden="false" customHeight="true" outlineLevel="0" collapsed="false">
      <c r="A12799" s="10" t="n">
        <f aca="false">Einstellungen!$B$5+INT((ROW()-9)/24)</f>
        <v>46498</v>
      </c>
      <c r="B12799" s="11" t="n">
        <f aca="false">MOD(ROW()-9,24)</f>
        <v>22</v>
      </c>
      <c r="C12799" s="12"/>
      <c r="D12799" s="13" t="n">
        <f aca="false">IF(B12799&lt;5,Einstellungen!$B$3,Einstellungen!$B$4)</f>
        <v>29.13</v>
      </c>
      <c r="E12799" s="14" t="str">
        <f aca="false">IF(C12799="","",C12799*D12799/100)</f>
        <v/>
      </c>
      <c r="F12799" s="15" t="str">
        <f aca="false">IF(B12799&lt;5,"Go","Standard")</f>
        <v>Standard</v>
      </c>
    </row>
    <row r="12800" customFormat="false" ht="15" hidden="false" customHeight="true" outlineLevel="0" collapsed="false">
      <c r="A12800" s="10" t="n">
        <f aca="false">Einstellungen!$B$5+INT((ROW()-9)/24)</f>
        <v>46498</v>
      </c>
      <c r="B12800" s="11" t="n">
        <f aca="false">MOD(ROW()-9,24)</f>
        <v>23</v>
      </c>
      <c r="C12800" s="12"/>
      <c r="D12800" s="13" t="n">
        <f aca="false">IF(B12800&lt;5,Einstellungen!$B$3,Einstellungen!$B$4)</f>
        <v>29.13</v>
      </c>
      <c r="E12800" s="14" t="str">
        <f aca="false">IF(C12800="","",C12800*D12800/100)</f>
        <v/>
      </c>
      <c r="F12800" s="15" t="str">
        <f aca="false">IF(B12800&lt;5,"Go","Standard")</f>
        <v>Standard</v>
      </c>
    </row>
    <row r="12801" customFormat="false" ht="15" hidden="false" customHeight="true" outlineLevel="0" collapsed="false">
      <c r="A12801" s="10" t="n">
        <f aca="false">Einstellungen!$B$5+INT((ROW()-9)/24)</f>
        <v>46499</v>
      </c>
      <c r="B12801" s="11" t="n">
        <f aca="false">MOD(ROW()-9,24)</f>
        <v>0</v>
      </c>
      <c r="C12801" s="12"/>
      <c r="D12801" s="13" t="n">
        <f aca="false">IF(B12801&lt;5,Einstellungen!$B$3,Einstellungen!$B$4)</f>
        <v>15.92</v>
      </c>
      <c r="E12801" s="14" t="str">
        <f aca="false">IF(C12801="","",C12801*D12801/100)</f>
        <v/>
      </c>
      <c r="F12801" s="15" t="str">
        <f aca="false">IF(B12801&lt;5,"Go","Standard")</f>
        <v>Go</v>
      </c>
    </row>
    <row r="12802" customFormat="false" ht="15" hidden="false" customHeight="true" outlineLevel="0" collapsed="false">
      <c r="A12802" s="10" t="n">
        <f aca="false">Einstellungen!$B$5+INT((ROW()-9)/24)</f>
        <v>46499</v>
      </c>
      <c r="B12802" s="11" t="n">
        <f aca="false">MOD(ROW()-9,24)</f>
        <v>1</v>
      </c>
      <c r="C12802" s="12"/>
      <c r="D12802" s="13" t="n">
        <f aca="false">IF(B12802&lt;5,Einstellungen!$B$3,Einstellungen!$B$4)</f>
        <v>15.92</v>
      </c>
      <c r="E12802" s="14" t="str">
        <f aca="false">IF(C12802="","",C12802*D12802/100)</f>
        <v/>
      </c>
      <c r="F12802" s="15" t="str">
        <f aca="false">IF(B12802&lt;5,"Go","Standard")</f>
        <v>Go</v>
      </c>
    </row>
    <row r="12803" customFormat="false" ht="15" hidden="false" customHeight="true" outlineLevel="0" collapsed="false">
      <c r="A12803" s="10" t="n">
        <f aca="false">Einstellungen!$B$5+INT((ROW()-9)/24)</f>
        <v>46499</v>
      </c>
      <c r="B12803" s="11" t="n">
        <f aca="false">MOD(ROW()-9,24)</f>
        <v>2</v>
      </c>
      <c r="C12803" s="12"/>
      <c r="D12803" s="13" t="n">
        <f aca="false">IF(B12803&lt;5,Einstellungen!$B$3,Einstellungen!$B$4)</f>
        <v>15.92</v>
      </c>
      <c r="E12803" s="14" t="str">
        <f aca="false">IF(C12803="","",C12803*D12803/100)</f>
        <v/>
      </c>
      <c r="F12803" s="15" t="str">
        <f aca="false">IF(B12803&lt;5,"Go","Standard")</f>
        <v>Go</v>
      </c>
    </row>
    <row r="12804" customFormat="false" ht="15" hidden="false" customHeight="true" outlineLevel="0" collapsed="false">
      <c r="A12804" s="10" t="n">
        <f aca="false">Einstellungen!$B$5+INT((ROW()-9)/24)</f>
        <v>46499</v>
      </c>
      <c r="B12804" s="11" t="n">
        <f aca="false">MOD(ROW()-9,24)</f>
        <v>3</v>
      </c>
      <c r="C12804" s="12"/>
      <c r="D12804" s="13" t="n">
        <f aca="false">IF(B12804&lt;5,Einstellungen!$B$3,Einstellungen!$B$4)</f>
        <v>15.92</v>
      </c>
      <c r="E12804" s="14" t="str">
        <f aca="false">IF(C12804="","",C12804*D12804/100)</f>
        <v/>
      </c>
      <c r="F12804" s="15" t="str">
        <f aca="false">IF(B12804&lt;5,"Go","Standard")</f>
        <v>Go</v>
      </c>
    </row>
    <row r="12805" customFormat="false" ht="15" hidden="false" customHeight="true" outlineLevel="0" collapsed="false">
      <c r="A12805" s="10" t="n">
        <f aca="false">Einstellungen!$B$5+INT((ROW()-9)/24)</f>
        <v>46499</v>
      </c>
      <c r="B12805" s="11" t="n">
        <f aca="false">MOD(ROW()-9,24)</f>
        <v>4</v>
      </c>
      <c r="C12805" s="12"/>
      <c r="D12805" s="13" t="n">
        <f aca="false">IF(B12805&lt;5,Einstellungen!$B$3,Einstellungen!$B$4)</f>
        <v>15.92</v>
      </c>
      <c r="E12805" s="14" t="str">
        <f aca="false">IF(C12805="","",C12805*D12805/100)</f>
        <v/>
      </c>
      <c r="F12805" s="15" t="str">
        <f aca="false">IF(B12805&lt;5,"Go","Standard")</f>
        <v>Go</v>
      </c>
    </row>
    <row r="12806" customFormat="false" ht="15" hidden="false" customHeight="true" outlineLevel="0" collapsed="false">
      <c r="A12806" s="10" t="n">
        <f aca="false">Einstellungen!$B$5+INT((ROW()-9)/24)</f>
        <v>46499</v>
      </c>
      <c r="B12806" s="11" t="n">
        <f aca="false">MOD(ROW()-9,24)</f>
        <v>5</v>
      </c>
      <c r="C12806" s="12"/>
      <c r="D12806" s="13" t="n">
        <f aca="false">IF(B12806&lt;5,Einstellungen!$B$3,Einstellungen!$B$4)</f>
        <v>29.13</v>
      </c>
      <c r="E12806" s="14" t="str">
        <f aca="false">IF(C12806="","",C12806*D12806/100)</f>
        <v/>
      </c>
      <c r="F12806" s="15" t="str">
        <f aca="false">IF(B12806&lt;5,"Go","Standard")</f>
        <v>Standard</v>
      </c>
    </row>
    <row r="12807" customFormat="false" ht="15" hidden="false" customHeight="true" outlineLevel="0" collapsed="false">
      <c r="A12807" s="10" t="n">
        <f aca="false">Einstellungen!$B$5+INT((ROW()-9)/24)</f>
        <v>46499</v>
      </c>
      <c r="B12807" s="11" t="n">
        <f aca="false">MOD(ROW()-9,24)</f>
        <v>6</v>
      </c>
      <c r="C12807" s="12"/>
      <c r="D12807" s="13" t="n">
        <f aca="false">IF(B12807&lt;5,Einstellungen!$B$3,Einstellungen!$B$4)</f>
        <v>29.13</v>
      </c>
      <c r="E12807" s="14" t="str">
        <f aca="false">IF(C12807="","",C12807*D12807/100)</f>
        <v/>
      </c>
      <c r="F12807" s="15" t="str">
        <f aca="false">IF(B12807&lt;5,"Go","Standard")</f>
        <v>Standard</v>
      </c>
    </row>
    <row r="12808" customFormat="false" ht="15" hidden="false" customHeight="true" outlineLevel="0" collapsed="false">
      <c r="A12808" s="10" t="n">
        <f aca="false">Einstellungen!$B$5+INT((ROW()-9)/24)</f>
        <v>46499</v>
      </c>
      <c r="B12808" s="11" t="n">
        <f aca="false">MOD(ROW()-9,24)</f>
        <v>7</v>
      </c>
      <c r="C12808" s="12"/>
      <c r="D12808" s="13" t="n">
        <f aca="false">IF(B12808&lt;5,Einstellungen!$B$3,Einstellungen!$B$4)</f>
        <v>29.13</v>
      </c>
      <c r="E12808" s="14" t="str">
        <f aca="false">IF(C12808="","",C12808*D12808/100)</f>
        <v/>
      </c>
      <c r="F12808" s="15" t="str">
        <f aca="false">IF(B12808&lt;5,"Go","Standard")</f>
        <v>Standard</v>
      </c>
    </row>
    <row r="12809" customFormat="false" ht="15" hidden="false" customHeight="true" outlineLevel="0" collapsed="false">
      <c r="A12809" s="10" t="n">
        <f aca="false">Einstellungen!$B$5+INT((ROW()-9)/24)</f>
        <v>46499</v>
      </c>
      <c r="B12809" s="11" t="n">
        <f aca="false">MOD(ROW()-9,24)</f>
        <v>8</v>
      </c>
      <c r="C12809" s="12"/>
      <c r="D12809" s="13" t="n">
        <f aca="false">IF(B12809&lt;5,Einstellungen!$B$3,Einstellungen!$B$4)</f>
        <v>29.13</v>
      </c>
      <c r="E12809" s="14" t="str">
        <f aca="false">IF(C12809="","",C12809*D12809/100)</f>
        <v/>
      </c>
      <c r="F12809" s="15" t="str">
        <f aca="false">IF(B12809&lt;5,"Go","Standard")</f>
        <v>Standard</v>
      </c>
    </row>
    <row r="12810" customFormat="false" ht="15" hidden="false" customHeight="true" outlineLevel="0" collapsed="false">
      <c r="A12810" s="10" t="n">
        <f aca="false">Einstellungen!$B$5+INT((ROW()-9)/24)</f>
        <v>46499</v>
      </c>
      <c r="B12810" s="11" t="n">
        <f aca="false">MOD(ROW()-9,24)</f>
        <v>9</v>
      </c>
      <c r="C12810" s="12"/>
      <c r="D12810" s="13" t="n">
        <f aca="false">IF(B12810&lt;5,Einstellungen!$B$3,Einstellungen!$B$4)</f>
        <v>29.13</v>
      </c>
      <c r="E12810" s="14" t="str">
        <f aca="false">IF(C12810="","",C12810*D12810/100)</f>
        <v/>
      </c>
      <c r="F12810" s="15" t="str">
        <f aca="false">IF(B12810&lt;5,"Go","Standard")</f>
        <v>Standard</v>
      </c>
    </row>
    <row r="12811" customFormat="false" ht="15" hidden="false" customHeight="true" outlineLevel="0" collapsed="false">
      <c r="A12811" s="10" t="n">
        <f aca="false">Einstellungen!$B$5+INT((ROW()-9)/24)</f>
        <v>46499</v>
      </c>
      <c r="B12811" s="11" t="n">
        <f aca="false">MOD(ROW()-9,24)</f>
        <v>10</v>
      </c>
      <c r="C12811" s="12"/>
      <c r="D12811" s="13" t="n">
        <f aca="false">IF(B12811&lt;5,Einstellungen!$B$3,Einstellungen!$B$4)</f>
        <v>29.13</v>
      </c>
      <c r="E12811" s="14" t="str">
        <f aca="false">IF(C12811="","",C12811*D12811/100)</f>
        <v/>
      </c>
      <c r="F12811" s="15" t="str">
        <f aca="false">IF(B12811&lt;5,"Go","Standard")</f>
        <v>Standard</v>
      </c>
    </row>
    <row r="12812" customFormat="false" ht="15" hidden="false" customHeight="true" outlineLevel="0" collapsed="false">
      <c r="A12812" s="10" t="n">
        <f aca="false">Einstellungen!$B$5+INT((ROW()-9)/24)</f>
        <v>46499</v>
      </c>
      <c r="B12812" s="11" t="n">
        <f aca="false">MOD(ROW()-9,24)</f>
        <v>11</v>
      </c>
      <c r="C12812" s="12"/>
      <c r="D12812" s="13" t="n">
        <f aca="false">IF(B12812&lt;5,Einstellungen!$B$3,Einstellungen!$B$4)</f>
        <v>29.13</v>
      </c>
      <c r="E12812" s="14" t="str">
        <f aca="false">IF(C12812="","",C12812*D12812/100)</f>
        <v/>
      </c>
      <c r="F12812" s="15" t="str">
        <f aca="false">IF(B12812&lt;5,"Go","Standard")</f>
        <v>Standard</v>
      </c>
    </row>
    <row r="12813" customFormat="false" ht="15" hidden="false" customHeight="true" outlineLevel="0" collapsed="false">
      <c r="A12813" s="10" t="n">
        <f aca="false">Einstellungen!$B$5+INT((ROW()-9)/24)</f>
        <v>46499</v>
      </c>
      <c r="B12813" s="11" t="n">
        <f aca="false">MOD(ROW()-9,24)</f>
        <v>12</v>
      </c>
      <c r="C12813" s="12"/>
      <c r="D12813" s="13" t="n">
        <f aca="false">IF(B12813&lt;5,Einstellungen!$B$3,Einstellungen!$B$4)</f>
        <v>29.13</v>
      </c>
      <c r="E12813" s="14" t="str">
        <f aca="false">IF(C12813="","",C12813*D12813/100)</f>
        <v/>
      </c>
      <c r="F12813" s="15" t="str">
        <f aca="false">IF(B12813&lt;5,"Go","Standard")</f>
        <v>Standard</v>
      </c>
    </row>
    <row r="12814" customFormat="false" ht="15" hidden="false" customHeight="true" outlineLevel="0" collapsed="false">
      <c r="A12814" s="10" t="n">
        <f aca="false">Einstellungen!$B$5+INT((ROW()-9)/24)</f>
        <v>46499</v>
      </c>
      <c r="B12814" s="11" t="n">
        <f aca="false">MOD(ROW()-9,24)</f>
        <v>13</v>
      </c>
      <c r="C12814" s="12"/>
      <c r="D12814" s="13" t="n">
        <f aca="false">IF(B12814&lt;5,Einstellungen!$B$3,Einstellungen!$B$4)</f>
        <v>29.13</v>
      </c>
      <c r="E12814" s="14" t="str">
        <f aca="false">IF(C12814="","",C12814*D12814/100)</f>
        <v/>
      </c>
      <c r="F12814" s="15" t="str">
        <f aca="false">IF(B12814&lt;5,"Go","Standard")</f>
        <v>Standard</v>
      </c>
    </row>
    <row r="12815" customFormat="false" ht="15" hidden="false" customHeight="true" outlineLevel="0" collapsed="false">
      <c r="A12815" s="10" t="n">
        <f aca="false">Einstellungen!$B$5+INT((ROW()-9)/24)</f>
        <v>46499</v>
      </c>
      <c r="B12815" s="11" t="n">
        <f aca="false">MOD(ROW()-9,24)</f>
        <v>14</v>
      </c>
      <c r="C12815" s="12"/>
      <c r="D12815" s="13" t="n">
        <f aca="false">IF(B12815&lt;5,Einstellungen!$B$3,Einstellungen!$B$4)</f>
        <v>29.13</v>
      </c>
      <c r="E12815" s="14" t="str">
        <f aca="false">IF(C12815="","",C12815*D12815/100)</f>
        <v/>
      </c>
      <c r="F12815" s="15" t="str">
        <f aca="false">IF(B12815&lt;5,"Go","Standard")</f>
        <v>Standard</v>
      </c>
    </row>
    <row r="12816" customFormat="false" ht="15" hidden="false" customHeight="true" outlineLevel="0" collapsed="false">
      <c r="A12816" s="10" t="n">
        <f aca="false">Einstellungen!$B$5+INT((ROW()-9)/24)</f>
        <v>46499</v>
      </c>
      <c r="B12816" s="11" t="n">
        <f aca="false">MOD(ROW()-9,24)</f>
        <v>15</v>
      </c>
      <c r="C12816" s="12"/>
      <c r="D12816" s="13" t="n">
        <f aca="false">IF(B12816&lt;5,Einstellungen!$B$3,Einstellungen!$B$4)</f>
        <v>29.13</v>
      </c>
      <c r="E12816" s="14" t="str">
        <f aca="false">IF(C12816="","",C12816*D12816/100)</f>
        <v/>
      </c>
      <c r="F12816" s="15" t="str">
        <f aca="false">IF(B12816&lt;5,"Go","Standard")</f>
        <v>Standard</v>
      </c>
    </row>
    <row r="12817" customFormat="false" ht="15" hidden="false" customHeight="true" outlineLevel="0" collapsed="false">
      <c r="A12817" s="10" t="n">
        <f aca="false">Einstellungen!$B$5+INT((ROW()-9)/24)</f>
        <v>46499</v>
      </c>
      <c r="B12817" s="11" t="n">
        <f aca="false">MOD(ROW()-9,24)</f>
        <v>16</v>
      </c>
      <c r="C12817" s="12"/>
      <c r="D12817" s="13" t="n">
        <f aca="false">IF(B12817&lt;5,Einstellungen!$B$3,Einstellungen!$B$4)</f>
        <v>29.13</v>
      </c>
      <c r="E12817" s="14" t="str">
        <f aca="false">IF(C12817="","",C12817*D12817/100)</f>
        <v/>
      </c>
      <c r="F12817" s="15" t="str">
        <f aca="false">IF(B12817&lt;5,"Go","Standard")</f>
        <v>Standard</v>
      </c>
    </row>
    <row r="12818" customFormat="false" ht="15" hidden="false" customHeight="true" outlineLevel="0" collapsed="false">
      <c r="A12818" s="10" t="n">
        <f aca="false">Einstellungen!$B$5+INT((ROW()-9)/24)</f>
        <v>46499</v>
      </c>
      <c r="B12818" s="11" t="n">
        <f aca="false">MOD(ROW()-9,24)</f>
        <v>17</v>
      </c>
      <c r="C12818" s="12"/>
      <c r="D12818" s="13" t="n">
        <f aca="false">IF(B12818&lt;5,Einstellungen!$B$3,Einstellungen!$B$4)</f>
        <v>29.13</v>
      </c>
      <c r="E12818" s="14" t="str">
        <f aca="false">IF(C12818="","",C12818*D12818/100)</f>
        <v/>
      </c>
      <c r="F12818" s="15" t="str">
        <f aca="false">IF(B12818&lt;5,"Go","Standard")</f>
        <v>Standard</v>
      </c>
    </row>
    <row r="12819" customFormat="false" ht="15" hidden="false" customHeight="true" outlineLevel="0" collapsed="false">
      <c r="A12819" s="10" t="n">
        <f aca="false">Einstellungen!$B$5+INT((ROW()-9)/24)</f>
        <v>46499</v>
      </c>
      <c r="B12819" s="11" t="n">
        <f aca="false">MOD(ROW()-9,24)</f>
        <v>18</v>
      </c>
      <c r="C12819" s="12"/>
      <c r="D12819" s="13" t="n">
        <f aca="false">IF(B12819&lt;5,Einstellungen!$B$3,Einstellungen!$B$4)</f>
        <v>29.13</v>
      </c>
      <c r="E12819" s="14" t="str">
        <f aca="false">IF(C12819="","",C12819*D12819/100)</f>
        <v/>
      </c>
      <c r="F12819" s="15" t="str">
        <f aca="false">IF(B12819&lt;5,"Go","Standard")</f>
        <v>Standard</v>
      </c>
    </row>
    <row r="12820" customFormat="false" ht="15" hidden="false" customHeight="true" outlineLevel="0" collapsed="false">
      <c r="A12820" s="10" t="n">
        <f aca="false">Einstellungen!$B$5+INT((ROW()-9)/24)</f>
        <v>46499</v>
      </c>
      <c r="B12820" s="11" t="n">
        <f aca="false">MOD(ROW()-9,24)</f>
        <v>19</v>
      </c>
      <c r="C12820" s="12"/>
      <c r="D12820" s="13" t="n">
        <f aca="false">IF(B12820&lt;5,Einstellungen!$B$3,Einstellungen!$B$4)</f>
        <v>29.13</v>
      </c>
      <c r="E12820" s="14" t="str">
        <f aca="false">IF(C12820="","",C12820*D12820/100)</f>
        <v/>
      </c>
      <c r="F12820" s="15" t="str">
        <f aca="false">IF(B12820&lt;5,"Go","Standard")</f>
        <v>Standard</v>
      </c>
    </row>
    <row r="12821" customFormat="false" ht="15" hidden="false" customHeight="true" outlineLevel="0" collapsed="false">
      <c r="A12821" s="10" t="n">
        <f aca="false">Einstellungen!$B$5+INT((ROW()-9)/24)</f>
        <v>46499</v>
      </c>
      <c r="B12821" s="11" t="n">
        <f aca="false">MOD(ROW()-9,24)</f>
        <v>20</v>
      </c>
      <c r="C12821" s="12"/>
      <c r="D12821" s="13" t="n">
        <f aca="false">IF(B12821&lt;5,Einstellungen!$B$3,Einstellungen!$B$4)</f>
        <v>29.13</v>
      </c>
      <c r="E12821" s="14" t="str">
        <f aca="false">IF(C12821="","",C12821*D12821/100)</f>
        <v/>
      </c>
      <c r="F12821" s="15" t="str">
        <f aca="false">IF(B12821&lt;5,"Go","Standard")</f>
        <v>Standard</v>
      </c>
    </row>
    <row r="12822" customFormat="false" ht="15" hidden="false" customHeight="true" outlineLevel="0" collapsed="false">
      <c r="A12822" s="10" t="n">
        <f aca="false">Einstellungen!$B$5+INT((ROW()-9)/24)</f>
        <v>46499</v>
      </c>
      <c r="B12822" s="11" t="n">
        <f aca="false">MOD(ROW()-9,24)</f>
        <v>21</v>
      </c>
      <c r="C12822" s="12"/>
      <c r="D12822" s="13" t="n">
        <f aca="false">IF(B12822&lt;5,Einstellungen!$B$3,Einstellungen!$B$4)</f>
        <v>29.13</v>
      </c>
      <c r="E12822" s="14" t="str">
        <f aca="false">IF(C12822="","",C12822*D12822/100)</f>
        <v/>
      </c>
      <c r="F12822" s="15" t="str">
        <f aca="false">IF(B12822&lt;5,"Go","Standard")</f>
        <v>Standard</v>
      </c>
    </row>
    <row r="12823" customFormat="false" ht="15" hidden="false" customHeight="true" outlineLevel="0" collapsed="false">
      <c r="A12823" s="10" t="n">
        <f aca="false">Einstellungen!$B$5+INT((ROW()-9)/24)</f>
        <v>46499</v>
      </c>
      <c r="B12823" s="11" t="n">
        <f aca="false">MOD(ROW()-9,24)</f>
        <v>22</v>
      </c>
      <c r="C12823" s="12"/>
      <c r="D12823" s="13" t="n">
        <f aca="false">IF(B12823&lt;5,Einstellungen!$B$3,Einstellungen!$B$4)</f>
        <v>29.13</v>
      </c>
      <c r="E12823" s="14" t="str">
        <f aca="false">IF(C12823="","",C12823*D12823/100)</f>
        <v/>
      </c>
      <c r="F12823" s="15" t="str">
        <f aca="false">IF(B12823&lt;5,"Go","Standard")</f>
        <v>Standard</v>
      </c>
    </row>
    <row r="12824" customFormat="false" ht="15" hidden="false" customHeight="true" outlineLevel="0" collapsed="false">
      <c r="A12824" s="10" t="n">
        <f aca="false">Einstellungen!$B$5+INT((ROW()-9)/24)</f>
        <v>46499</v>
      </c>
      <c r="B12824" s="11" t="n">
        <f aca="false">MOD(ROW()-9,24)</f>
        <v>23</v>
      </c>
      <c r="C12824" s="12"/>
      <c r="D12824" s="13" t="n">
        <f aca="false">IF(B12824&lt;5,Einstellungen!$B$3,Einstellungen!$B$4)</f>
        <v>29.13</v>
      </c>
      <c r="E12824" s="14" t="str">
        <f aca="false">IF(C12824="","",C12824*D12824/100)</f>
        <v/>
      </c>
      <c r="F12824" s="15" t="str">
        <f aca="false">IF(B12824&lt;5,"Go","Standard")</f>
        <v>Standard</v>
      </c>
    </row>
    <row r="12825" customFormat="false" ht="15" hidden="false" customHeight="true" outlineLevel="0" collapsed="false">
      <c r="A12825" s="10" t="n">
        <f aca="false">Einstellungen!$B$5+INT((ROW()-9)/24)</f>
        <v>46500</v>
      </c>
      <c r="B12825" s="11" t="n">
        <f aca="false">MOD(ROW()-9,24)</f>
        <v>0</v>
      </c>
      <c r="C12825" s="12"/>
      <c r="D12825" s="13" t="n">
        <f aca="false">IF(B12825&lt;5,Einstellungen!$B$3,Einstellungen!$B$4)</f>
        <v>15.92</v>
      </c>
      <c r="E12825" s="14" t="str">
        <f aca="false">IF(C12825="","",C12825*D12825/100)</f>
        <v/>
      </c>
      <c r="F12825" s="15" t="str">
        <f aca="false">IF(B12825&lt;5,"Go","Standard")</f>
        <v>Go</v>
      </c>
    </row>
    <row r="12826" customFormat="false" ht="15" hidden="false" customHeight="true" outlineLevel="0" collapsed="false">
      <c r="A12826" s="10" t="n">
        <f aca="false">Einstellungen!$B$5+INT((ROW()-9)/24)</f>
        <v>46500</v>
      </c>
      <c r="B12826" s="11" t="n">
        <f aca="false">MOD(ROW()-9,24)</f>
        <v>1</v>
      </c>
      <c r="C12826" s="12"/>
      <c r="D12826" s="13" t="n">
        <f aca="false">IF(B12826&lt;5,Einstellungen!$B$3,Einstellungen!$B$4)</f>
        <v>15.92</v>
      </c>
      <c r="E12826" s="14" t="str">
        <f aca="false">IF(C12826="","",C12826*D12826/100)</f>
        <v/>
      </c>
      <c r="F12826" s="15" t="str">
        <f aca="false">IF(B12826&lt;5,"Go","Standard")</f>
        <v>Go</v>
      </c>
    </row>
    <row r="12827" customFormat="false" ht="15" hidden="false" customHeight="true" outlineLevel="0" collapsed="false">
      <c r="A12827" s="10" t="n">
        <f aca="false">Einstellungen!$B$5+INT((ROW()-9)/24)</f>
        <v>46500</v>
      </c>
      <c r="B12827" s="11" t="n">
        <f aca="false">MOD(ROW()-9,24)</f>
        <v>2</v>
      </c>
      <c r="C12827" s="12"/>
      <c r="D12827" s="13" t="n">
        <f aca="false">IF(B12827&lt;5,Einstellungen!$B$3,Einstellungen!$B$4)</f>
        <v>15.92</v>
      </c>
      <c r="E12827" s="14" t="str">
        <f aca="false">IF(C12827="","",C12827*D12827/100)</f>
        <v/>
      </c>
      <c r="F12827" s="15" t="str">
        <f aca="false">IF(B12827&lt;5,"Go","Standard")</f>
        <v>Go</v>
      </c>
    </row>
    <row r="12828" customFormat="false" ht="15" hidden="false" customHeight="true" outlineLevel="0" collapsed="false">
      <c r="A12828" s="10" t="n">
        <f aca="false">Einstellungen!$B$5+INT((ROW()-9)/24)</f>
        <v>46500</v>
      </c>
      <c r="B12828" s="11" t="n">
        <f aca="false">MOD(ROW()-9,24)</f>
        <v>3</v>
      </c>
      <c r="C12828" s="12"/>
      <c r="D12828" s="13" t="n">
        <f aca="false">IF(B12828&lt;5,Einstellungen!$B$3,Einstellungen!$B$4)</f>
        <v>15.92</v>
      </c>
      <c r="E12828" s="14" t="str">
        <f aca="false">IF(C12828="","",C12828*D12828/100)</f>
        <v/>
      </c>
      <c r="F12828" s="15" t="str">
        <f aca="false">IF(B12828&lt;5,"Go","Standard")</f>
        <v>Go</v>
      </c>
    </row>
    <row r="12829" customFormat="false" ht="15" hidden="false" customHeight="true" outlineLevel="0" collapsed="false">
      <c r="A12829" s="10" t="n">
        <f aca="false">Einstellungen!$B$5+INT((ROW()-9)/24)</f>
        <v>46500</v>
      </c>
      <c r="B12829" s="11" t="n">
        <f aca="false">MOD(ROW()-9,24)</f>
        <v>4</v>
      </c>
      <c r="C12829" s="12"/>
      <c r="D12829" s="13" t="n">
        <f aca="false">IF(B12829&lt;5,Einstellungen!$B$3,Einstellungen!$B$4)</f>
        <v>15.92</v>
      </c>
      <c r="E12829" s="14" t="str">
        <f aca="false">IF(C12829="","",C12829*D12829/100)</f>
        <v/>
      </c>
      <c r="F12829" s="15" t="str">
        <f aca="false">IF(B12829&lt;5,"Go","Standard")</f>
        <v>Go</v>
      </c>
    </row>
    <row r="12830" customFormat="false" ht="15" hidden="false" customHeight="true" outlineLevel="0" collapsed="false">
      <c r="A12830" s="10" t="n">
        <f aca="false">Einstellungen!$B$5+INT((ROW()-9)/24)</f>
        <v>46500</v>
      </c>
      <c r="B12830" s="11" t="n">
        <f aca="false">MOD(ROW()-9,24)</f>
        <v>5</v>
      </c>
      <c r="C12830" s="12"/>
      <c r="D12830" s="13" t="n">
        <f aca="false">IF(B12830&lt;5,Einstellungen!$B$3,Einstellungen!$B$4)</f>
        <v>29.13</v>
      </c>
      <c r="E12830" s="14" t="str">
        <f aca="false">IF(C12830="","",C12830*D12830/100)</f>
        <v/>
      </c>
      <c r="F12830" s="15" t="str">
        <f aca="false">IF(B12830&lt;5,"Go","Standard")</f>
        <v>Standard</v>
      </c>
    </row>
    <row r="12831" customFormat="false" ht="15" hidden="false" customHeight="true" outlineLevel="0" collapsed="false">
      <c r="A12831" s="10" t="n">
        <f aca="false">Einstellungen!$B$5+INT((ROW()-9)/24)</f>
        <v>46500</v>
      </c>
      <c r="B12831" s="11" t="n">
        <f aca="false">MOD(ROW()-9,24)</f>
        <v>6</v>
      </c>
      <c r="C12831" s="12"/>
      <c r="D12831" s="13" t="n">
        <f aca="false">IF(B12831&lt;5,Einstellungen!$B$3,Einstellungen!$B$4)</f>
        <v>29.13</v>
      </c>
      <c r="E12831" s="14" t="str">
        <f aca="false">IF(C12831="","",C12831*D12831/100)</f>
        <v/>
      </c>
      <c r="F12831" s="15" t="str">
        <f aca="false">IF(B12831&lt;5,"Go","Standard")</f>
        <v>Standard</v>
      </c>
    </row>
    <row r="12832" customFormat="false" ht="15" hidden="false" customHeight="true" outlineLevel="0" collapsed="false">
      <c r="A12832" s="10" t="n">
        <f aca="false">Einstellungen!$B$5+INT((ROW()-9)/24)</f>
        <v>46500</v>
      </c>
      <c r="B12832" s="11" t="n">
        <f aca="false">MOD(ROW()-9,24)</f>
        <v>7</v>
      </c>
      <c r="C12832" s="12"/>
      <c r="D12832" s="13" t="n">
        <f aca="false">IF(B12832&lt;5,Einstellungen!$B$3,Einstellungen!$B$4)</f>
        <v>29.13</v>
      </c>
      <c r="E12832" s="14" t="str">
        <f aca="false">IF(C12832="","",C12832*D12832/100)</f>
        <v/>
      </c>
      <c r="F12832" s="15" t="str">
        <f aca="false">IF(B12832&lt;5,"Go","Standard")</f>
        <v>Standard</v>
      </c>
    </row>
    <row r="12833" customFormat="false" ht="15" hidden="false" customHeight="true" outlineLevel="0" collapsed="false">
      <c r="A12833" s="10" t="n">
        <f aca="false">Einstellungen!$B$5+INT((ROW()-9)/24)</f>
        <v>46500</v>
      </c>
      <c r="B12833" s="11" t="n">
        <f aca="false">MOD(ROW()-9,24)</f>
        <v>8</v>
      </c>
      <c r="C12833" s="12"/>
      <c r="D12833" s="13" t="n">
        <f aca="false">IF(B12833&lt;5,Einstellungen!$B$3,Einstellungen!$B$4)</f>
        <v>29.13</v>
      </c>
      <c r="E12833" s="14" t="str">
        <f aca="false">IF(C12833="","",C12833*D12833/100)</f>
        <v/>
      </c>
      <c r="F12833" s="15" t="str">
        <f aca="false">IF(B12833&lt;5,"Go","Standard")</f>
        <v>Standard</v>
      </c>
    </row>
    <row r="12834" customFormat="false" ht="15" hidden="false" customHeight="true" outlineLevel="0" collapsed="false">
      <c r="A12834" s="10" t="n">
        <f aca="false">Einstellungen!$B$5+INT((ROW()-9)/24)</f>
        <v>46500</v>
      </c>
      <c r="B12834" s="11" t="n">
        <f aca="false">MOD(ROW()-9,24)</f>
        <v>9</v>
      </c>
      <c r="C12834" s="12"/>
      <c r="D12834" s="13" t="n">
        <f aca="false">IF(B12834&lt;5,Einstellungen!$B$3,Einstellungen!$B$4)</f>
        <v>29.13</v>
      </c>
      <c r="E12834" s="14" t="str">
        <f aca="false">IF(C12834="","",C12834*D12834/100)</f>
        <v/>
      </c>
      <c r="F12834" s="15" t="str">
        <f aca="false">IF(B12834&lt;5,"Go","Standard")</f>
        <v>Standard</v>
      </c>
    </row>
    <row r="12835" customFormat="false" ht="15" hidden="false" customHeight="true" outlineLevel="0" collapsed="false">
      <c r="A12835" s="10" t="n">
        <f aca="false">Einstellungen!$B$5+INT((ROW()-9)/24)</f>
        <v>46500</v>
      </c>
      <c r="B12835" s="11" t="n">
        <f aca="false">MOD(ROW()-9,24)</f>
        <v>10</v>
      </c>
      <c r="C12835" s="12"/>
      <c r="D12835" s="13" t="n">
        <f aca="false">IF(B12835&lt;5,Einstellungen!$B$3,Einstellungen!$B$4)</f>
        <v>29.13</v>
      </c>
      <c r="E12835" s="14" t="str">
        <f aca="false">IF(C12835="","",C12835*D12835/100)</f>
        <v/>
      </c>
      <c r="F12835" s="15" t="str">
        <f aca="false">IF(B12835&lt;5,"Go","Standard")</f>
        <v>Standard</v>
      </c>
    </row>
    <row r="12836" customFormat="false" ht="15" hidden="false" customHeight="true" outlineLevel="0" collapsed="false">
      <c r="A12836" s="10" t="n">
        <f aca="false">Einstellungen!$B$5+INT((ROW()-9)/24)</f>
        <v>46500</v>
      </c>
      <c r="B12836" s="11" t="n">
        <f aca="false">MOD(ROW()-9,24)</f>
        <v>11</v>
      </c>
      <c r="C12836" s="12"/>
      <c r="D12836" s="13" t="n">
        <f aca="false">IF(B12836&lt;5,Einstellungen!$B$3,Einstellungen!$B$4)</f>
        <v>29.13</v>
      </c>
      <c r="E12836" s="14" t="str">
        <f aca="false">IF(C12836="","",C12836*D12836/100)</f>
        <v/>
      </c>
      <c r="F12836" s="15" t="str">
        <f aca="false">IF(B12836&lt;5,"Go","Standard")</f>
        <v>Standard</v>
      </c>
    </row>
    <row r="12837" customFormat="false" ht="15" hidden="false" customHeight="true" outlineLevel="0" collapsed="false">
      <c r="A12837" s="10" t="n">
        <f aca="false">Einstellungen!$B$5+INT((ROW()-9)/24)</f>
        <v>46500</v>
      </c>
      <c r="B12837" s="11" t="n">
        <f aca="false">MOD(ROW()-9,24)</f>
        <v>12</v>
      </c>
      <c r="C12837" s="12"/>
      <c r="D12837" s="13" t="n">
        <f aca="false">IF(B12837&lt;5,Einstellungen!$B$3,Einstellungen!$B$4)</f>
        <v>29.13</v>
      </c>
      <c r="E12837" s="14" t="str">
        <f aca="false">IF(C12837="","",C12837*D12837/100)</f>
        <v/>
      </c>
      <c r="F12837" s="15" t="str">
        <f aca="false">IF(B12837&lt;5,"Go","Standard")</f>
        <v>Standard</v>
      </c>
    </row>
    <row r="12838" customFormat="false" ht="15" hidden="false" customHeight="true" outlineLevel="0" collapsed="false">
      <c r="A12838" s="10" t="n">
        <f aca="false">Einstellungen!$B$5+INT((ROW()-9)/24)</f>
        <v>46500</v>
      </c>
      <c r="B12838" s="11" t="n">
        <f aca="false">MOD(ROW()-9,24)</f>
        <v>13</v>
      </c>
      <c r="C12838" s="12"/>
      <c r="D12838" s="13" t="n">
        <f aca="false">IF(B12838&lt;5,Einstellungen!$B$3,Einstellungen!$B$4)</f>
        <v>29.13</v>
      </c>
      <c r="E12838" s="14" t="str">
        <f aca="false">IF(C12838="","",C12838*D12838/100)</f>
        <v/>
      </c>
      <c r="F12838" s="15" t="str">
        <f aca="false">IF(B12838&lt;5,"Go","Standard")</f>
        <v>Standard</v>
      </c>
    </row>
    <row r="12839" customFormat="false" ht="15" hidden="false" customHeight="true" outlineLevel="0" collapsed="false">
      <c r="A12839" s="10" t="n">
        <f aca="false">Einstellungen!$B$5+INT((ROW()-9)/24)</f>
        <v>46500</v>
      </c>
      <c r="B12839" s="11" t="n">
        <f aca="false">MOD(ROW()-9,24)</f>
        <v>14</v>
      </c>
      <c r="C12839" s="12"/>
      <c r="D12839" s="13" t="n">
        <f aca="false">IF(B12839&lt;5,Einstellungen!$B$3,Einstellungen!$B$4)</f>
        <v>29.13</v>
      </c>
      <c r="E12839" s="14" t="str">
        <f aca="false">IF(C12839="","",C12839*D12839/100)</f>
        <v/>
      </c>
      <c r="F12839" s="15" t="str">
        <f aca="false">IF(B12839&lt;5,"Go","Standard")</f>
        <v>Standard</v>
      </c>
    </row>
    <row r="12840" customFormat="false" ht="15" hidden="false" customHeight="true" outlineLevel="0" collapsed="false">
      <c r="A12840" s="10" t="n">
        <f aca="false">Einstellungen!$B$5+INT((ROW()-9)/24)</f>
        <v>46500</v>
      </c>
      <c r="B12840" s="11" t="n">
        <f aca="false">MOD(ROW()-9,24)</f>
        <v>15</v>
      </c>
      <c r="C12840" s="12"/>
      <c r="D12840" s="13" t="n">
        <f aca="false">IF(B12840&lt;5,Einstellungen!$B$3,Einstellungen!$B$4)</f>
        <v>29.13</v>
      </c>
      <c r="E12840" s="14" t="str">
        <f aca="false">IF(C12840="","",C12840*D12840/100)</f>
        <v/>
      </c>
      <c r="F12840" s="15" t="str">
        <f aca="false">IF(B12840&lt;5,"Go","Standard")</f>
        <v>Standard</v>
      </c>
    </row>
    <row r="12841" customFormat="false" ht="15" hidden="false" customHeight="true" outlineLevel="0" collapsed="false">
      <c r="A12841" s="10" t="n">
        <f aca="false">Einstellungen!$B$5+INT((ROW()-9)/24)</f>
        <v>46500</v>
      </c>
      <c r="B12841" s="11" t="n">
        <f aca="false">MOD(ROW()-9,24)</f>
        <v>16</v>
      </c>
      <c r="C12841" s="12"/>
      <c r="D12841" s="13" t="n">
        <f aca="false">IF(B12841&lt;5,Einstellungen!$B$3,Einstellungen!$B$4)</f>
        <v>29.13</v>
      </c>
      <c r="E12841" s="14" t="str">
        <f aca="false">IF(C12841="","",C12841*D12841/100)</f>
        <v/>
      </c>
      <c r="F12841" s="15" t="str">
        <f aca="false">IF(B12841&lt;5,"Go","Standard")</f>
        <v>Standard</v>
      </c>
    </row>
    <row r="12842" customFormat="false" ht="15" hidden="false" customHeight="true" outlineLevel="0" collapsed="false">
      <c r="A12842" s="10" t="n">
        <f aca="false">Einstellungen!$B$5+INT((ROW()-9)/24)</f>
        <v>46500</v>
      </c>
      <c r="B12842" s="11" t="n">
        <f aca="false">MOD(ROW()-9,24)</f>
        <v>17</v>
      </c>
      <c r="C12842" s="12"/>
      <c r="D12842" s="13" t="n">
        <f aca="false">IF(B12842&lt;5,Einstellungen!$B$3,Einstellungen!$B$4)</f>
        <v>29.13</v>
      </c>
      <c r="E12842" s="14" t="str">
        <f aca="false">IF(C12842="","",C12842*D12842/100)</f>
        <v/>
      </c>
      <c r="F12842" s="15" t="str">
        <f aca="false">IF(B12842&lt;5,"Go","Standard")</f>
        <v>Standard</v>
      </c>
    </row>
    <row r="12843" customFormat="false" ht="15" hidden="false" customHeight="true" outlineLevel="0" collapsed="false">
      <c r="A12843" s="10" t="n">
        <f aca="false">Einstellungen!$B$5+INT((ROW()-9)/24)</f>
        <v>46500</v>
      </c>
      <c r="B12843" s="11" t="n">
        <f aca="false">MOD(ROW()-9,24)</f>
        <v>18</v>
      </c>
      <c r="C12843" s="12"/>
      <c r="D12843" s="13" t="n">
        <f aca="false">IF(B12843&lt;5,Einstellungen!$B$3,Einstellungen!$B$4)</f>
        <v>29.13</v>
      </c>
      <c r="E12843" s="14" t="str">
        <f aca="false">IF(C12843="","",C12843*D12843/100)</f>
        <v/>
      </c>
      <c r="F12843" s="15" t="str">
        <f aca="false">IF(B12843&lt;5,"Go","Standard")</f>
        <v>Standard</v>
      </c>
    </row>
    <row r="12844" customFormat="false" ht="15" hidden="false" customHeight="true" outlineLevel="0" collapsed="false">
      <c r="A12844" s="10" t="n">
        <f aca="false">Einstellungen!$B$5+INT((ROW()-9)/24)</f>
        <v>46500</v>
      </c>
      <c r="B12844" s="11" t="n">
        <f aca="false">MOD(ROW()-9,24)</f>
        <v>19</v>
      </c>
      <c r="C12844" s="12"/>
      <c r="D12844" s="13" t="n">
        <f aca="false">IF(B12844&lt;5,Einstellungen!$B$3,Einstellungen!$B$4)</f>
        <v>29.13</v>
      </c>
      <c r="E12844" s="14" t="str">
        <f aca="false">IF(C12844="","",C12844*D12844/100)</f>
        <v/>
      </c>
      <c r="F12844" s="15" t="str">
        <f aca="false">IF(B12844&lt;5,"Go","Standard")</f>
        <v>Standard</v>
      </c>
    </row>
    <row r="12845" customFormat="false" ht="15" hidden="false" customHeight="true" outlineLevel="0" collapsed="false">
      <c r="A12845" s="10" t="n">
        <f aca="false">Einstellungen!$B$5+INT((ROW()-9)/24)</f>
        <v>46500</v>
      </c>
      <c r="B12845" s="11" t="n">
        <f aca="false">MOD(ROW()-9,24)</f>
        <v>20</v>
      </c>
      <c r="C12845" s="12"/>
      <c r="D12845" s="13" t="n">
        <f aca="false">IF(B12845&lt;5,Einstellungen!$B$3,Einstellungen!$B$4)</f>
        <v>29.13</v>
      </c>
      <c r="E12845" s="14" t="str">
        <f aca="false">IF(C12845="","",C12845*D12845/100)</f>
        <v/>
      </c>
      <c r="F12845" s="15" t="str">
        <f aca="false">IF(B12845&lt;5,"Go","Standard")</f>
        <v>Standard</v>
      </c>
    </row>
    <row r="12846" customFormat="false" ht="15" hidden="false" customHeight="true" outlineLevel="0" collapsed="false">
      <c r="A12846" s="10" t="n">
        <f aca="false">Einstellungen!$B$5+INT((ROW()-9)/24)</f>
        <v>46500</v>
      </c>
      <c r="B12846" s="11" t="n">
        <f aca="false">MOD(ROW()-9,24)</f>
        <v>21</v>
      </c>
      <c r="C12846" s="12"/>
      <c r="D12846" s="13" t="n">
        <f aca="false">IF(B12846&lt;5,Einstellungen!$B$3,Einstellungen!$B$4)</f>
        <v>29.13</v>
      </c>
      <c r="E12846" s="14" t="str">
        <f aca="false">IF(C12846="","",C12846*D12846/100)</f>
        <v/>
      </c>
      <c r="F12846" s="15" t="str">
        <f aca="false">IF(B12846&lt;5,"Go","Standard")</f>
        <v>Standard</v>
      </c>
    </row>
    <row r="12847" customFormat="false" ht="15" hidden="false" customHeight="true" outlineLevel="0" collapsed="false">
      <c r="A12847" s="10" t="n">
        <f aca="false">Einstellungen!$B$5+INT((ROW()-9)/24)</f>
        <v>46500</v>
      </c>
      <c r="B12847" s="11" t="n">
        <f aca="false">MOD(ROW()-9,24)</f>
        <v>22</v>
      </c>
      <c r="C12847" s="12"/>
      <c r="D12847" s="13" t="n">
        <f aca="false">IF(B12847&lt;5,Einstellungen!$B$3,Einstellungen!$B$4)</f>
        <v>29.13</v>
      </c>
      <c r="E12847" s="14" t="str">
        <f aca="false">IF(C12847="","",C12847*D12847/100)</f>
        <v/>
      </c>
      <c r="F12847" s="15" t="str">
        <f aca="false">IF(B12847&lt;5,"Go","Standard")</f>
        <v>Standard</v>
      </c>
    </row>
    <row r="12848" customFormat="false" ht="15" hidden="false" customHeight="true" outlineLevel="0" collapsed="false">
      <c r="A12848" s="10" t="n">
        <f aca="false">Einstellungen!$B$5+INT((ROW()-9)/24)</f>
        <v>46500</v>
      </c>
      <c r="B12848" s="11" t="n">
        <f aca="false">MOD(ROW()-9,24)</f>
        <v>23</v>
      </c>
      <c r="C12848" s="12"/>
      <c r="D12848" s="13" t="n">
        <f aca="false">IF(B12848&lt;5,Einstellungen!$B$3,Einstellungen!$B$4)</f>
        <v>29.13</v>
      </c>
      <c r="E12848" s="14" t="str">
        <f aca="false">IF(C12848="","",C12848*D12848/100)</f>
        <v/>
      </c>
      <c r="F12848" s="15" t="str">
        <f aca="false">IF(B12848&lt;5,"Go","Standard")</f>
        <v>Standard</v>
      </c>
    </row>
    <row r="12849" customFormat="false" ht="15" hidden="false" customHeight="true" outlineLevel="0" collapsed="false">
      <c r="A12849" s="10" t="n">
        <f aca="false">Einstellungen!$B$5+INT((ROW()-9)/24)</f>
        <v>46501</v>
      </c>
      <c r="B12849" s="11" t="n">
        <f aca="false">MOD(ROW()-9,24)</f>
        <v>0</v>
      </c>
      <c r="C12849" s="12"/>
      <c r="D12849" s="13" t="n">
        <f aca="false">IF(B12849&lt;5,Einstellungen!$B$3,Einstellungen!$B$4)</f>
        <v>15.92</v>
      </c>
      <c r="E12849" s="14" t="str">
        <f aca="false">IF(C12849="","",C12849*D12849/100)</f>
        <v/>
      </c>
      <c r="F12849" s="15" t="str">
        <f aca="false">IF(B12849&lt;5,"Go","Standard")</f>
        <v>Go</v>
      </c>
    </row>
    <row r="12850" customFormat="false" ht="15" hidden="false" customHeight="true" outlineLevel="0" collapsed="false">
      <c r="A12850" s="10" t="n">
        <f aca="false">Einstellungen!$B$5+INT((ROW()-9)/24)</f>
        <v>46501</v>
      </c>
      <c r="B12850" s="11" t="n">
        <f aca="false">MOD(ROW()-9,24)</f>
        <v>1</v>
      </c>
      <c r="C12850" s="12"/>
      <c r="D12850" s="13" t="n">
        <f aca="false">IF(B12850&lt;5,Einstellungen!$B$3,Einstellungen!$B$4)</f>
        <v>15.92</v>
      </c>
      <c r="E12850" s="14" t="str">
        <f aca="false">IF(C12850="","",C12850*D12850/100)</f>
        <v/>
      </c>
      <c r="F12850" s="15" t="str">
        <f aca="false">IF(B12850&lt;5,"Go","Standard")</f>
        <v>Go</v>
      </c>
    </row>
    <row r="12851" customFormat="false" ht="15" hidden="false" customHeight="true" outlineLevel="0" collapsed="false">
      <c r="A12851" s="10" t="n">
        <f aca="false">Einstellungen!$B$5+INT((ROW()-9)/24)</f>
        <v>46501</v>
      </c>
      <c r="B12851" s="11" t="n">
        <f aca="false">MOD(ROW()-9,24)</f>
        <v>2</v>
      </c>
      <c r="C12851" s="12"/>
      <c r="D12851" s="13" t="n">
        <f aca="false">IF(B12851&lt;5,Einstellungen!$B$3,Einstellungen!$B$4)</f>
        <v>15.92</v>
      </c>
      <c r="E12851" s="14" t="str">
        <f aca="false">IF(C12851="","",C12851*D12851/100)</f>
        <v/>
      </c>
      <c r="F12851" s="15" t="str">
        <f aca="false">IF(B12851&lt;5,"Go","Standard")</f>
        <v>Go</v>
      </c>
    </row>
    <row r="12852" customFormat="false" ht="15" hidden="false" customHeight="true" outlineLevel="0" collapsed="false">
      <c r="A12852" s="10" t="n">
        <f aca="false">Einstellungen!$B$5+INT((ROW()-9)/24)</f>
        <v>46501</v>
      </c>
      <c r="B12852" s="11" t="n">
        <f aca="false">MOD(ROW()-9,24)</f>
        <v>3</v>
      </c>
      <c r="C12852" s="12"/>
      <c r="D12852" s="13" t="n">
        <f aca="false">IF(B12852&lt;5,Einstellungen!$B$3,Einstellungen!$B$4)</f>
        <v>15.92</v>
      </c>
      <c r="E12852" s="14" t="str">
        <f aca="false">IF(C12852="","",C12852*D12852/100)</f>
        <v/>
      </c>
      <c r="F12852" s="15" t="str">
        <f aca="false">IF(B12852&lt;5,"Go","Standard")</f>
        <v>Go</v>
      </c>
    </row>
    <row r="12853" customFormat="false" ht="15" hidden="false" customHeight="true" outlineLevel="0" collapsed="false">
      <c r="A12853" s="10" t="n">
        <f aca="false">Einstellungen!$B$5+INT((ROW()-9)/24)</f>
        <v>46501</v>
      </c>
      <c r="B12853" s="11" t="n">
        <f aca="false">MOD(ROW()-9,24)</f>
        <v>4</v>
      </c>
      <c r="C12853" s="12"/>
      <c r="D12853" s="13" t="n">
        <f aca="false">IF(B12853&lt;5,Einstellungen!$B$3,Einstellungen!$B$4)</f>
        <v>15.92</v>
      </c>
      <c r="E12853" s="14" t="str">
        <f aca="false">IF(C12853="","",C12853*D12853/100)</f>
        <v/>
      </c>
      <c r="F12853" s="15" t="str">
        <f aca="false">IF(B12853&lt;5,"Go","Standard")</f>
        <v>Go</v>
      </c>
    </row>
    <row r="12854" customFormat="false" ht="15" hidden="false" customHeight="true" outlineLevel="0" collapsed="false">
      <c r="A12854" s="10" t="n">
        <f aca="false">Einstellungen!$B$5+INT((ROW()-9)/24)</f>
        <v>46501</v>
      </c>
      <c r="B12854" s="11" t="n">
        <f aca="false">MOD(ROW()-9,24)</f>
        <v>5</v>
      </c>
      <c r="C12854" s="12"/>
      <c r="D12854" s="13" t="n">
        <f aca="false">IF(B12854&lt;5,Einstellungen!$B$3,Einstellungen!$B$4)</f>
        <v>29.13</v>
      </c>
      <c r="E12854" s="14" t="str">
        <f aca="false">IF(C12854="","",C12854*D12854/100)</f>
        <v/>
      </c>
      <c r="F12854" s="15" t="str">
        <f aca="false">IF(B12854&lt;5,"Go","Standard")</f>
        <v>Standard</v>
      </c>
    </row>
    <row r="12855" customFormat="false" ht="15" hidden="false" customHeight="true" outlineLevel="0" collapsed="false">
      <c r="A12855" s="10" t="n">
        <f aca="false">Einstellungen!$B$5+INT((ROW()-9)/24)</f>
        <v>46501</v>
      </c>
      <c r="B12855" s="11" t="n">
        <f aca="false">MOD(ROW()-9,24)</f>
        <v>6</v>
      </c>
      <c r="C12855" s="12"/>
      <c r="D12855" s="13" t="n">
        <f aca="false">IF(B12855&lt;5,Einstellungen!$B$3,Einstellungen!$B$4)</f>
        <v>29.13</v>
      </c>
      <c r="E12855" s="14" t="str">
        <f aca="false">IF(C12855="","",C12855*D12855/100)</f>
        <v/>
      </c>
      <c r="F12855" s="15" t="str">
        <f aca="false">IF(B12855&lt;5,"Go","Standard")</f>
        <v>Standard</v>
      </c>
    </row>
    <row r="12856" customFormat="false" ht="15" hidden="false" customHeight="true" outlineLevel="0" collapsed="false">
      <c r="A12856" s="10" t="n">
        <f aca="false">Einstellungen!$B$5+INT((ROW()-9)/24)</f>
        <v>46501</v>
      </c>
      <c r="B12856" s="11" t="n">
        <f aca="false">MOD(ROW()-9,24)</f>
        <v>7</v>
      </c>
      <c r="C12856" s="12"/>
      <c r="D12856" s="13" t="n">
        <f aca="false">IF(B12856&lt;5,Einstellungen!$B$3,Einstellungen!$B$4)</f>
        <v>29.13</v>
      </c>
      <c r="E12856" s="14" t="str">
        <f aca="false">IF(C12856="","",C12856*D12856/100)</f>
        <v/>
      </c>
      <c r="F12856" s="15" t="str">
        <f aca="false">IF(B12856&lt;5,"Go","Standard")</f>
        <v>Standard</v>
      </c>
    </row>
    <row r="12857" customFormat="false" ht="15" hidden="false" customHeight="true" outlineLevel="0" collapsed="false">
      <c r="A12857" s="10" t="n">
        <f aca="false">Einstellungen!$B$5+INT((ROW()-9)/24)</f>
        <v>46501</v>
      </c>
      <c r="B12857" s="11" t="n">
        <f aca="false">MOD(ROW()-9,24)</f>
        <v>8</v>
      </c>
      <c r="C12857" s="12"/>
      <c r="D12857" s="13" t="n">
        <f aca="false">IF(B12857&lt;5,Einstellungen!$B$3,Einstellungen!$B$4)</f>
        <v>29.13</v>
      </c>
      <c r="E12857" s="14" t="str">
        <f aca="false">IF(C12857="","",C12857*D12857/100)</f>
        <v/>
      </c>
      <c r="F12857" s="15" t="str">
        <f aca="false">IF(B12857&lt;5,"Go","Standard")</f>
        <v>Standard</v>
      </c>
    </row>
    <row r="12858" customFormat="false" ht="15" hidden="false" customHeight="true" outlineLevel="0" collapsed="false">
      <c r="A12858" s="10" t="n">
        <f aca="false">Einstellungen!$B$5+INT((ROW()-9)/24)</f>
        <v>46501</v>
      </c>
      <c r="B12858" s="11" t="n">
        <f aca="false">MOD(ROW()-9,24)</f>
        <v>9</v>
      </c>
      <c r="C12858" s="12"/>
      <c r="D12858" s="13" t="n">
        <f aca="false">IF(B12858&lt;5,Einstellungen!$B$3,Einstellungen!$B$4)</f>
        <v>29.13</v>
      </c>
      <c r="E12858" s="14" t="str">
        <f aca="false">IF(C12858="","",C12858*D12858/100)</f>
        <v/>
      </c>
      <c r="F12858" s="15" t="str">
        <f aca="false">IF(B12858&lt;5,"Go","Standard")</f>
        <v>Standard</v>
      </c>
    </row>
    <row r="12859" customFormat="false" ht="15" hidden="false" customHeight="true" outlineLevel="0" collapsed="false">
      <c r="A12859" s="10" t="n">
        <f aca="false">Einstellungen!$B$5+INT((ROW()-9)/24)</f>
        <v>46501</v>
      </c>
      <c r="B12859" s="11" t="n">
        <f aca="false">MOD(ROW()-9,24)</f>
        <v>10</v>
      </c>
      <c r="C12859" s="12"/>
      <c r="D12859" s="13" t="n">
        <f aca="false">IF(B12859&lt;5,Einstellungen!$B$3,Einstellungen!$B$4)</f>
        <v>29.13</v>
      </c>
      <c r="E12859" s="14" t="str">
        <f aca="false">IF(C12859="","",C12859*D12859/100)</f>
        <v/>
      </c>
      <c r="F12859" s="15" t="str">
        <f aca="false">IF(B12859&lt;5,"Go","Standard")</f>
        <v>Standard</v>
      </c>
    </row>
    <row r="12860" customFormat="false" ht="15" hidden="false" customHeight="true" outlineLevel="0" collapsed="false">
      <c r="A12860" s="10" t="n">
        <f aca="false">Einstellungen!$B$5+INT((ROW()-9)/24)</f>
        <v>46501</v>
      </c>
      <c r="B12860" s="11" t="n">
        <f aca="false">MOD(ROW()-9,24)</f>
        <v>11</v>
      </c>
      <c r="C12860" s="12"/>
      <c r="D12860" s="13" t="n">
        <f aca="false">IF(B12860&lt;5,Einstellungen!$B$3,Einstellungen!$B$4)</f>
        <v>29.13</v>
      </c>
      <c r="E12860" s="14" t="str">
        <f aca="false">IF(C12860="","",C12860*D12860/100)</f>
        <v/>
      </c>
      <c r="F12860" s="15" t="str">
        <f aca="false">IF(B12860&lt;5,"Go","Standard")</f>
        <v>Standard</v>
      </c>
    </row>
    <row r="12861" customFormat="false" ht="15" hidden="false" customHeight="true" outlineLevel="0" collapsed="false">
      <c r="A12861" s="10" t="n">
        <f aca="false">Einstellungen!$B$5+INT((ROW()-9)/24)</f>
        <v>46501</v>
      </c>
      <c r="B12861" s="11" t="n">
        <f aca="false">MOD(ROW()-9,24)</f>
        <v>12</v>
      </c>
      <c r="C12861" s="12"/>
      <c r="D12861" s="13" t="n">
        <f aca="false">IF(B12861&lt;5,Einstellungen!$B$3,Einstellungen!$B$4)</f>
        <v>29.13</v>
      </c>
      <c r="E12861" s="14" t="str">
        <f aca="false">IF(C12861="","",C12861*D12861/100)</f>
        <v/>
      </c>
      <c r="F12861" s="15" t="str">
        <f aca="false">IF(B12861&lt;5,"Go","Standard")</f>
        <v>Standard</v>
      </c>
    </row>
    <row r="12862" customFormat="false" ht="15" hidden="false" customHeight="true" outlineLevel="0" collapsed="false">
      <c r="A12862" s="10" t="n">
        <f aca="false">Einstellungen!$B$5+INT((ROW()-9)/24)</f>
        <v>46501</v>
      </c>
      <c r="B12862" s="11" t="n">
        <f aca="false">MOD(ROW()-9,24)</f>
        <v>13</v>
      </c>
      <c r="C12862" s="12"/>
      <c r="D12862" s="13" t="n">
        <f aca="false">IF(B12862&lt;5,Einstellungen!$B$3,Einstellungen!$B$4)</f>
        <v>29.13</v>
      </c>
      <c r="E12862" s="14" t="str">
        <f aca="false">IF(C12862="","",C12862*D12862/100)</f>
        <v/>
      </c>
      <c r="F12862" s="15" t="str">
        <f aca="false">IF(B12862&lt;5,"Go","Standard")</f>
        <v>Standard</v>
      </c>
    </row>
    <row r="12863" customFormat="false" ht="15" hidden="false" customHeight="true" outlineLevel="0" collapsed="false">
      <c r="A12863" s="10" t="n">
        <f aca="false">Einstellungen!$B$5+INT((ROW()-9)/24)</f>
        <v>46501</v>
      </c>
      <c r="B12863" s="11" t="n">
        <f aca="false">MOD(ROW()-9,24)</f>
        <v>14</v>
      </c>
      <c r="C12863" s="12"/>
      <c r="D12863" s="13" t="n">
        <f aca="false">IF(B12863&lt;5,Einstellungen!$B$3,Einstellungen!$B$4)</f>
        <v>29.13</v>
      </c>
      <c r="E12863" s="14" t="str">
        <f aca="false">IF(C12863="","",C12863*D12863/100)</f>
        <v/>
      </c>
      <c r="F12863" s="15" t="str">
        <f aca="false">IF(B12863&lt;5,"Go","Standard")</f>
        <v>Standard</v>
      </c>
    </row>
    <row r="12864" customFormat="false" ht="15" hidden="false" customHeight="true" outlineLevel="0" collapsed="false">
      <c r="A12864" s="10" t="n">
        <f aca="false">Einstellungen!$B$5+INT((ROW()-9)/24)</f>
        <v>46501</v>
      </c>
      <c r="B12864" s="11" t="n">
        <f aca="false">MOD(ROW()-9,24)</f>
        <v>15</v>
      </c>
      <c r="C12864" s="12"/>
      <c r="D12864" s="13" t="n">
        <f aca="false">IF(B12864&lt;5,Einstellungen!$B$3,Einstellungen!$B$4)</f>
        <v>29.13</v>
      </c>
      <c r="E12864" s="14" t="str">
        <f aca="false">IF(C12864="","",C12864*D12864/100)</f>
        <v/>
      </c>
      <c r="F12864" s="15" t="str">
        <f aca="false">IF(B12864&lt;5,"Go","Standard")</f>
        <v>Standard</v>
      </c>
    </row>
    <row r="12865" customFormat="false" ht="15" hidden="false" customHeight="true" outlineLevel="0" collapsed="false">
      <c r="A12865" s="10" t="n">
        <f aca="false">Einstellungen!$B$5+INT((ROW()-9)/24)</f>
        <v>46501</v>
      </c>
      <c r="B12865" s="11" t="n">
        <f aca="false">MOD(ROW()-9,24)</f>
        <v>16</v>
      </c>
      <c r="C12865" s="12"/>
      <c r="D12865" s="13" t="n">
        <f aca="false">IF(B12865&lt;5,Einstellungen!$B$3,Einstellungen!$B$4)</f>
        <v>29.13</v>
      </c>
      <c r="E12865" s="14" t="str">
        <f aca="false">IF(C12865="","",C12865*D12865/100)</f>
        <v/>
      </c>
      <c r="F12865" s="15" t="str">
        <f aca="false">IF(B12865&lt;5,"Go","Standard")</f>
        <v>Standard</v>
      </c>
    </row>
    <row r="12866" customFormat="false" ht="15" hidden="false" customHeight="true" outlineLevel="0" collapsed="false">
      <c r="A12866" s="10" t="n">
        <f aca="false">Einstellungen!$B$5+INT((ROW()-9)/24)</f>
        <v>46501</v>
      </c>
      <c r="B12866" s="11" t="n">
        <f aca="false">MOD(ROW()-9,24)</f>
        <v>17</v>
      </c>
      <c r="C12866" s="12"/>
      <c r="D12866" s="13" t="n">
        <f aca="false">IF(B12866&lt;5,Einstellungen!$B$3,Einstellungen!$B$4)</f>
        <v>29.13</v>
      </c>
      <c r="E12866" s="14" t="str">
        <f aca="false">IF(C12866="","",C12866*D12866/100)</f>
        <v/>
      </c>
      <c r="F12866" s="15" t="str">
        <f aca="false">IF(B12866&lt;5,"Go","Standard")</f>
        <v>Standard</v>
      </c>
    </row>
    <row r="12867" customFormat="false" ht="15" hidden="false" customHeight="true" outlineLevel="0" collapsed="false">
      <c r="A12867" s="10" t="n">
        <f aca="false">Einstellungen!$B$5+INT((ROW()-9)/24)</f>
        <v>46501</v>
      </c>
      <c r="B12867" s="11" t="n">
        <f aca="false">MOD(ROW()-9,24)</f>
        <v>18</v>
      </c>
      <c r="C12867" s="12"/>
      <c r="D12867" s="13" t="n">
        <f aca="false">IF(B12867&lt;5,Einstellungen!$B$3,Einstellungen!$B$4)</f>
        <v>29.13</v>
      </c>
      <c r="E12867" s="14" t="str">
        <f aca="false">IF(C12867="","",C12867*D12867/100)</f>
        <v/>
      </c>
      <c r="F12867" s="15" t="str">
        <f aca="false">IF(B12867&lt;5,"Go","Standard")</f>
        <v>Standard</v>
      </c>
    </row>
    <row r="12868" customFormat="false" ht="15" hidden="false" customHeight="true" outlineLevel="0" collapsed="false">
      <c r="A12868" s="10" t="n">
        <f aca="false">Einstellungen!$B$5+INT((ROW()-9)/24)</f>
        <v>46501</v>
      </c>
      <c r="B12868" s="11" t="n">
        <f aca="false">MOD(ROW()-9,24)</f>
        <v>19</v>
      </c>
      <c r="C12868" s="12"/>
      <c r="D12868" s="13" t="n">
        <f aca="false">IF(B12868&lt;5,Einstellungen!$B$3,Einstellungen!$B$4)</f>
        <v>29.13</v>
      </c>
      <c r="E12868" s="14" t="str">
        <f aca="false">IF(C12868="","",C12868*D12868/100)</f>
        <v/>
      </c>
      <c r="F12868" s="15" t="str">
        <f aca="false">IF(B12868&lt;5,"Go","Standard")</f>
        <v>Standard</v>
      </c>
    </row>
    <row r="12869" customFormat="false" ht="15" hidden="false" customHeight="true" outlineLevel="0" collapsed="false">
      <c r="A12869" s="10" t="n">
        <f aca="false">Einstellungen!$B$5+INT((ROW()-9)/24)</f>
        <v>46501</v>
      </c>
      <c r="B12869" s="11" t="n">
        <f aca="false">MOD(ROW()-9,24)</f>
        <v>20</v>
      </c>
      <c r="C12869" s="12"/>
      <c r="D12869" s="13" t="n">
        <f aca="false">IF(B12869&lt;5,Einstellungen!$B$3,Einstellungen!$B$4)</f>
        <v>29.13</v>
      </c>
      <c r="E12869" s="14" t="str">
        <f aca="false">IF(C12869="","",C12869*D12869/100)</f>
        <v/>
      </c>
      <c r="F12869" s="15" t="str">
        <f aca="false">IF(B12869&lt;5,"Go","Standard")</f>
        <v>Standard</v>
      </c>
    </row>
    <row r="12870" customFormat="false" ht="15" hidden="false" customHeight="true" outlineLevel="0" collapsed="false">
      <c r="A12870" s="10" t="n">
        <f aca="false">Einstellungen!$B$5+INT((ROW()-9)/24)</f>
        <v>46501</v>
      </c>
      <c r="B12870" s="11" t="n">
        <f aca="false">MOD(ROW()-9,24)</f>
        <v>21</v>
      </c>
      <c r="C12870" s="12"/>
      <c r="D12870" s="13" t="n">
        <f aca="false">IF(B12870&lt;5,Einstellungen!$B$3,Einstellungen!$B$4)</f>
        <v>29.13</v>
      </c>
      <c r="E12870" s="14" t="str">
        <f aca="false">IF(C12870="","",C12870*D12870/100)</f>
        <v/>
      </c>
      <c r="F12870" s="15" t="str">
        <f aca="false">IF(B12870&lt;5,"Go","Standard")</f>
        <v>Standard</v>
      </c>
    </row>
    <row r="12871" customFormat="false" ht="15" hidden="false" customHeight="true" outlineLevel="0" collapsed="false">
      <c r="A12871" s="10" t="n">
        <f aca="false">Einstellungen!$B$5+INT((ROW()-9)/24)</f>
        <v>46501</v>
      </c>
      <c r="B12871" s="11" t="n">
        <f aca="false">MOD(ROW()-9,24)</f>
        <v>22</v>
      </c>
      <c r="C12871" s="12"/>
      <c r="D12871" s="13" t="n">
        <f aca="false">IF(B12871&lt;5,Einstellungen!$B$3,Einstellungen!$B$4)</f>
        <v>29.13</v>
      </c>
      <c r="E12871" s="14" t="str">
        <f aca="false">IF(C12871="","",C12871*D12871/100)</f>
        <v/>
      </c>
      <c r="F12871" s="15" t="str">
        <f aca="false">IF(B12871&lt;5,"Go","Standard")</f>
        <v>Standard</v>
      </c>
    </row>
    <row r="12872" customFormat="false" ht="15" hidden="false" customHeight="true" outlineLevel="0" collapsed="false">
      <c r="A12872" s="10" t="n">
        <f aca="false">Einstellungen!$B$5+INT((ROW()-9)/24)</f>
        <v>46501</v>
      </c>
      <c r="B12872" s="11" t="n">
        <f aca="false">MOD(ROW()-9,24)</f>
        <v>23</v>
      </c>
      <c r="C12872" s="12"/>
      <c r="D12872" s="13" t="n">
        <f aca="false">IF(B12872&lt;5,Einstellungen!$B$3,Einstellungen!$B$4)</f>
        <v>29.13</v>
      </c>
      <c r="E12872" s="14" t="str">
        <f aca="false">IF(C12872="","",C12872*D12872/100)</f>
        <v/>
      </c>
      <c r="F12872" s="15" t="str">
        <f aca="false">IF(B12872&lt;5,"Go","Standard")</f>
        <v>Standard</v>
      </c>
    </row>
    <row r="12873" customFormat="false" ht="15" hidden="false" customHeight="true" outlineLevel="0" collapsed="false">
      <c r="A12873" s="10" t="n">
        <f aca="false">Einstellungen!$B$5+INT((ROW()-9)/24)</f>
        <v>46502</v>
      </c>
      <c r="B12873" s="11" t="n">
        <f aca="false">MOD(ROW()-9,24)</f>
        <v>0</v>
      </c>
      <c r="C12873" s="12"/>
      <c r="D12873" s="13" t="n">
        <f aca="false">IF(B12873&lt;5,Einstellungen!$B$3,Einstellungen!$B$4)</f>
        <v>15.92</v>
      </c>
      <c r="E12873" s="14" t="str">
        <f aca="false">IF(C12873="","",C12873*D12873/100)</f>
        <v/>
      </c>
      <c r="F12873" s="15" t="str">
        <f aca="false">IF(B12873&lt;5,"Go","Standard")</f>
        <v>Go</v>
      </c>
    </row>
    <row r="12874" customFormat="false" ht="15" hidden="false" customHeight="true" outlineLevel="0" collapsed="false">
      <c r="A12874" s="10" t="n">
        <f aca="false">Einstellungen!$B$5+INT((ROW()-9)/24)</f>
        <v>46502</v>
      </c>
      <c r="B12874" s="11" t="n">
        <f aca="false">MOD(ROW()-9,24)</f>
        <v>1</v>
      </c>
      <c r="C12874" s="12"/>
      <c r="D12874" s="13" t="n">
        <f aca="false">IF(B12874&lt;5,Einstellungen!$B$3,Einstellungen!$B$4)</f>
        <v>15.92</v>
      </c>
      <c r="E12874" s="14" t="str">
        <f aca="false">IF(C12874="","",C12874*D12874/100)</f>
        <v/>
      </c>
      <c r="F12874" s="15" t="str">
        <f aca="false">IF(B12874&lt;5,"Go","Standard")</f>
        <v>Go</v>
      </c>
    </row>
    <row r="12875" customFormat="false" ht="15" hidden="false" customHeight="true" outlineLevel="0" collapsed="false">
      <c r="A12875" s="10" t="n">
        <f aca="false">Einstellungen!$B$5+INT((ROW()-9)/24)</f>
        <v>46502</v>
      </c>
      <c r="B12875" s="11" t="n">
        <f aca="false">MOD(ROW()-9,24)</f>
        <v>2</v>
      </c>
      <c r="C12875" s="12"/>
      <c r="D12875" s="13" t="n">
        <f aca="false">IF(B12875&lt;5,Einstellungen!$B$3,Einstellungen!$B$4)</f>
        <v>15.92</v>
      </c>
      <c r="E12875" s="14" t="str">
        <f aca="false">IF(C12875="","",C12875*D12875/100)</f>
        <v/>
      </c>
      <c r="F12875" s="15" t="str">
        <f aca="false">IF(B12875&lt;5,"Go","Standard")</f>
        <v>Go</v>
      </c>
    </row>
    <row r="12876" customFormat="false" ht="15" hidden="false" customHeight="true" outlineLevel="0" collapsed="false">
      <c r="A12876" s="10" t="n">
        <f aca="false">Einstellungen!$B$5+INT((ROW()-9)/24)</f>
        <v>46502</v>
      </c>
      <c r="B12876" s="11" t="n">
        <f aca="false">MOD(ROW()-9,24)</f>
        <v>3</v>
      </c>
      <c r="C12876" s="12"/>
      <c r="D12876" s="13" t="n">
        <f aca="false">IF(B12876&lt;5,Einstellungen!$B$3,Einstellungen!$B$4)</f>
        <v>15.92</v>
      </c>
      <c r="E12876" s="14" t="str">
        <f aca="false">IF(C12876="","",C12876*D12876/100)</f>
        <v/>
      </c>
      <c r="F12876" s="15" t="str">
        <f aca="false">IF(B12876&lt;5,"Go","Standard")</f>
        <v>Go</v>
      </c>
    </row>
    <row r="12877" customFormat="false" ht="15" hidden="false" customHeight="true" outlineLevel="0" collapsed="false">
      <c r="A12877" s="10" t="n">
        <f aca="false">Einstellungen!$B$5+INT((ROW()-9)/24)</f>
        <v>46502</v>
      </c>
      <c r="B12877" s="11" t="n">
        <f aca="false">MOD(ROW()-9,24)</f>
        <v>4</v>
      </c>
      <c r="C12877" s="12"/>
      <c r="D12877" s="13" t="n">
        <f aca="false">IF(B12877&lt;5,Einstellungen!$B$3,Einstellungen!$B$4)</f>
        <v>15.92</v>
      </c>
      <c r="E12877" s="14" t="str">
        <f aca="false">IF(C12877="","",C12877*D12877/100)</f>
        <v/>
      </c>
      <c r="F12877" s="15" t="str">
        <f aca="false">IF(B12877&lt;5,"Go","Standard")</f>
        <v>Go</v>
      </c>
    </row>
    <row r="12878" customFormat="false" ht="15" hidden="false" customHeight="true" outlineLevel="0" collapsed="false">
      <c r="A12878" s="10" t="n">
        <f aca="false">Einstellungen!$B$5+INT((ROW()-9)/24)</f>
        <v>46502</v>
      </c>
      <c r="B12878" s="11" t="n">
        <f aca="false">MOD(ROW()-9,24)</f>
        <v>5</v>
      </c>
      <c r="C12878" s="12"/>
      <c r="D12878" s="13" t="n">
        <f aca="false">IF(B12878&lt;5,Einstellungen!$B$3,Einstellungen!$B$4)</f>
        <v>29.13</v>
      </c>
      <c r="E12878" s="14" t="str">
        <f aca="false">IF(C12878="","",C12878*D12878/100)</f>
        <v/>
      </c>
      <c r="F12878" s="15" t="str">
        <f aca="false">IF(B12878&lt;5,"Go","Standard")</f>
        <v>Standard</v>
      </c>
    </row>
    <row r="12879" customFormat="false" ht="15" hidden="false" customHeight="true" outlineLevel="0" collapsed="false">
      <c r="A12879" s="10" t="n">
        <f aca="false">Einstellungen!$B$5+INT((ROW()-9)/24)</f>
        <v>46502</v>
      </c>
      <c r="B12879" s="11" t="n">
        <f aca="false">MOD(ROW()-9,24)</f>
        <v>6</v>
      </c>
      <c r="C12879" s="12"/>
      <c r="D12879" s="13" t="n">
        <f aca="false">IF(B12879&lt;5,Einstellungen!$B$3,Einstellungen!$B$4)</f>
        <v>29.13</v>
      </c>
      <c r="E12879" s="14" t="str">
        <f aca="false">IF(C12879="","",C12879*D12879/100)</f>
        <v/>
      </c>
      <c r="F12879" s="15" t="str">
        <f aca="false">IF(B12879&lt;5,"Go","Standard")</f>
        <v>Standard</v>
      </c>
    </row>
    <row r="12880" customFormat="false" ht="15" hidden="false" customHeight="true" outlineLevel="0" collapsed="false">
      <c r="A12880" s="10" t="n">
        <f aca="false">Einstellungen!$B$5+INT((ROW()-9)/24)</f>
        <v>46502</v>
      </c>
      <c r="B12880" s="11" t="n">
        <f aca="false">MOD(ROW()-9,24)</f>
        <v>7</v>
      </c>
      <c r="C12880" s="12"/>
      <c r="D12880" s="13" t="n">
        <f aca="false">IF(B12880&lt;5,Einstellungen!$B$3,Einstellungen!$B$4)</f>
        <v>29.13</v>
      </c>
      <c r="E12880" s="14" t="str">
        <f aca="false">IF(C12880="","",C12880*D12880/100)</f>
        <v/>
      </c>
      <c r="F12880" s="15" t="str">
        <f aca="false">IF(B12880&lt;5,"Go","Standard")</f>
        <v>Standard</v>
      </c>
    </row>
    <row r="12881" customFormat="false" ht="15" hidden="false" customHeight="true" outlineLevel="0" collapsed="false">
      <c r="A12881" s="10" t="n">
        <f aca="false">Einstellungen!$B$5+INT((ROW()-9)/24)</f>
        <v>46502</v>
      </c>
      <c r="B12881" s="11" t="n">
        <f aca="false">MOD(ROW()-9,24)</f>
        <v>8</v>
      </c>
      <c r="C12881" s="12"/>
      <c r="D12881" s="13" t="n">
        <f aca="false">IF(B12881&lt;5,Einstellungen!$B$3,Einstellungen!$B$4)</f>
        <v>29.13</v>
      </c>
      <c r="E12881" s="14" t="str">
        <f aca="false">IF(C12881="","",C12881*D12881/100)</f>
        <v/>
      </c>
      <c r="F12881" s="15" t="str">
        <f aca="false">IF(B12881&lt;5,"Go","Standard")</f>
        <v>Standard</v>
      </c>
    </row>
    <row r="12882" customFormat="false" ht="15" hidden="false" customHeight="true" outlineLevel="0" collapsed="false">
      <c r="A12882" s="10" t="n">
        <f aca="false">Einstellungen!$B$5+INT((ROW()-9)/24)</f>
        <v>46502</v>
      </c>
      <c r="B12882" s="11" t="n">
        <f aca="false">MOD(ROW()-9,24)</f>
        <v>9</v>
      </c>
      <c r="C12882" s="12"/>
      <c r="D12882" s="13" t="n">
        <f aca="false">IF(B12882&lt;5,Einstellungen!$B$3,Einstellungen!$B$4)</f>
        <v>29.13</v>
      </c>
      <c r="E12882" s="14" t="str">
        <f aca="false">IF(C12882="","",C12882*D12882/100)</f>
        <v/>
      </c>
      <c r="F12882" s="15" t="str">
        <f aca="false">IF(B12882&lt;5,"Go","Standard")</f>
        <v>Standard</v>
      </c>
    </row>
    <row r="12883" customFormat="false" ht="15" hidden="false" customHeight="true" outlineLevel="0" collapsed="false">
      <c r="A12883" s="10" t="n">
        <f aca="false">Einstellungen!$B$5+INT((ROW()-9)/24)</f>
        <v>46502</v>
      </c>
      <c r="B12883" s="11" t="n">
        <f aca="false">MOD(ROW()-9,24)</f>
        <v>10</v>
      </c>
      <c r="C12883" s="12"/>
      <c r="D12883" s="13" t="n">
        <f aca="false">IF(B12883&lt;5,Einstellungen!$B$3,Einstellungen!$B$4)</f>
        <v>29.13</v>
      </c>
      <c r="E12883" s="14" t="str">
        <f aca="false">IF(C12883="","",C12883*D12883/100)</f>
        <v/>
      </c>
      <c r="F12883" s="15" t="str">
        <f aca="false">IF(B12883&lt;5,"Go","Standard")</f>
        <v>Standard</v>
      </c>
    </row>
    <row r="12884" customFormat="false" ht="15" hidden="false" customHeight="true" outlineLevel="0" collapsed="false">
      <c r="A12884" s="10" t="n">
        <f aca="false">Einstellungen!$B$5+INT((ROW()-9)/24)</f>
        <v>46502</v>
      </c>
      <c r="B12884" s="11" t="n">
        <f aca="false">MOD(ROW()-9,24)</f>
        <v>11</v>
      </c>
      <c r="C12884" s="12"/>
      <c r="D12884" s="13" t="n">
        <f aca="false">IF(B12884&lt;5,Einstellungen!$B$3,Einstellungen!$B$4)</f>
        <v>29.13</v>
      </c>
      <c r="E12884" s="14" t="str">
        <f aca="false">IF(C12884="","",C12884*D12884/100)</f>
        <v/>
      </c>
      <c r="F12884" s="15" t="str">
        <f aca="false">IF(B12884&lt;5,"Go","Standard")</f>
        <v>Standard</v>
      </c>
    </row>
    <row r="12885" customFormat="false" ht="15" hidden="false" customHeight="true" outlineLevel="0" collapsed="false">
      <c r="A12885" s="10" t="n">
        <f aca="false">Einstellungen!$B$5+INT((ROW()-9)/24)</f>
        <v>46502</v>
      </c>
      <c r="B12885" s="11" t="n">
        <f aca="false">MOD(ROW()-9,24)</f>
        <v>12</v>
      </c>
      <c r="C12885" s="12"/>
      <c r="D12885" s="13" t="n">
        <f aca="false">IF(B12885&lt;5,Einstellungen!$B$3,Einstellungen!$B$4)</f>
        <v>29.13</v>
      </c>
      <c r="E12885" s="14" t="str">
        <f aca="false">IF(C12885="","",C12885*D12885/100)</f>
        <v/>
      </c>
      <c r="F12885" s="15" t="str">
        <f aca="false">IF(B12885&lt;5,"Go","Standard")</f>
        <v>Standard</v>
      </c>
    </row>
    <row r="12886" customFormat="false" ht="15" hidden="false" customHeight="true" outlineLevel="0" collapsed="false">
      <c r="A12886" s="10" t="n">
        <f aca="false">Einstellungen!$B$5+INT((ROW()-9)/24)</f>
        <v>46502</v>
      </c>
      <c r="B12886" s="11" t="n">
        <f aca="false">MOD(ROW()-9,24)</f>
        <v>13</v>
      </c>
      <c r="C12886" s="12"/>
      <c r="D12886" s="13" t="n">
        <f aca="false">IF(B12886&lt;5,Einstellungen!$B$3,Einstellungen!$B$4)</f>
        <v>29.13</v>
      </c>
      <c r="E12886" s="14" t="str">
        <f aca="false">IF(C12886="","",C12886*D12886/100)</f>
        <v/>
      </c>
      <c r="F12886" s="15" t="str">
        <f aca="false">IF(B12886&lt;5,"Go","Standard")</f>
        <v>Standard</v>
      </c>
    </row>
    <row r="12887" customFormat="false" ht="15" hidden="false" customHeight="true" outlineLevel="0" collapsed="false">
      <c r="A12887" s="10" t="n">
        <f aca="false">Einstellungen!$B$5+INT((ROW()-9)/24)</f>
        <v>46502</v>
      </c>
      <c r="B12887" s="11" t="n">
        <f aca="false">MOD(ROW()-9,24)</f>
        <v>14</v>
      </c>
      <c r="C12887" s="12"/>
      <c r="D12887" s="13" t="n">
        <f aca="false">IF(B12887&lt;5,Einstellungen!$B$3,Einstellungen!$B$4)</f>
        <v>29.13</v>
      </c>
      <c r="E12887" s="14" t="str">
        <f aca="false">IF(C12887="","",C12887*D12887/100)</f>
        <v/>
      </c>
      <c r="F12887" s="15" t="str">
        <f aca="false">IF(B12887&lt;5,"Go","Standard")</f>
        <v>Standard</v>
      </c>
    </row>
    <row r="12888" customFormat="false" ht="15" hidden="false" customHeight="true" outlineLevel="0" collapsed="false">
      <c r="A12888" s="10" t="n">
        <f aca="false">Einstellungen!$B$5+INT((ROW()-9)/24)</f>
        <v>46502</v>
      </c>
      <c r="B12888" s="11" t="n">
        <f aca="false">MOD(ROW()-9,24)</f>
        <v>15</v>
      </c>
      <c r="C12888" s="12"/>
      <c r="D12888" s="13" t="n">
        <f aca="false">IF(B12888&lt;5,Einstellungen!$B$3,Einstellungen!$B$4)</f>
        <v>29.13</v>
      </c>
      <c r="E12888" s="14" t="str">
        <f aca="false">IF(C12888="","",C12888*D12888/100)</f>
        <v/>
      </c>
      <c r="F12888" s="15" t="str">
        <f aca="false">IF(B12888&lt;5,"Go","Standard")</f>
        <v>Standard</v>
      </c>
    </row>
    <row r="12889" customFormat="false" ht="15" hidden="false" customHeight="true" outlineLevel="0" collapsed="false">
      <c r="A12889" s="10" t="n">
        <f aca="false">Einstellungen!$B$5+INT((ROW()-9)/24)</f>
        <v>46502</v>
      </c>
      <c r="B12889" s="11" t="n">
        <f aca="false">MOD(ROW()-9,24)</f>
        <v>16</v>
      </c>
      <c r="C12889" s="12"/>
      <c r="D12889" s="13" t="n">
        <f aca="false">IF(B12889&lt;5,Einstellungen!$B$3,Einstellungen!$B$4)</f>
        <v>29.13</v>
      </c>
      <c r="E12889" s="14" t="str">
        <f aca="false">IF(C12889="","",C12889*D12889/100)</f>
        <v/>
      </c>
      <c r="F12889" s="15" t="str">
        <f aca="false">IF(B12889&lt;5,"Go","Standard")</f>
        <v>Standard</v>
      </c>
    </row>
    <row r="12890" customFormat="false" ht="15" hidden="false" customHeight="true" outlineLevel="0" collapsed="false">
      <c r="A12890" s="10" t="n">
        <f aca="false">Einstellungen!$B$5+INT((ROW()-9)/24)</f>
        <v>46502</v>
      </c>
      <c r="B12890" s="11" t="n">
        <f aca="false">MOD(ROW()-9,24)</f>
        <v>17</v>
      </c>
      <c r="C12890" s="12"/>
      <c r="D12890" s="13" t="n">
        <f aca="false">IF(B12890&lt;5,Einstellungen!$B$3,Einstellungen!$B$4)</f>
        <v>29.13</v>
      </c>
      <c r="E12890" s="14" t="str">
        <f aca="false">IF(C12890="","",C12890*D12890/100)</f>
        <v/>
      </c>
      <c r="F12890" s="15" t="str">
        <f aca="false">IF(B12890&lt;5,"Go","Standard")</f>
        <v>Standard</v>
      </c>
    </row>
    <row r="12891" customFormat="false" ht="15" hidden="false" customHeight="true" outlineLevel="0" collapsed="false">
      <c r="A12891" s="10" t="n">
        <f aca="false">Einstellungen!$B$5+INT((ROW()-9)/24)</f>
        <v>46502</v>
      </c>
      <c r="B12891" s="11" t="n">
        <f aca="false">MOD(ROW()-9,24)</f>
        <v>18</v>
      </c>
      <c r="C12891" s="12"/>
      <c r="D12891" s="13" t="n">
        <f aca="false">IF(B12891&lt;5,Einstellungen!$B$3,Einstellungen!$B$4)</f>
        <v>29.13</v>
      </c>
      <c r="E12891" s="14" t="str">
        <f aca="false">IF(C12891="","",C12891*D12891/100)</f>
        <v/>
      </c>
      <c r="F12891" s="15" t="str">
        <f aca="false">IF(B12891&lt;5,"Go","Standard")</f>
        <v>Standard</v>
      </c>
    </row>
    <row r="12892" customFormat="false" ht="15" hidden="false" customHeight="true" outlineLevel="0" collapsed="false">
      <c r="A12892" s="10" t="n">
        <f aca="false">Einstellungen!$B$5+INT((ROW()-9)/24)</f>
        <v>46502</v>
      </c>
      <c r="B12892" s="11" t="n">
        <f aca="false">MOD(ROW()-9,24)</f>
        <v>19</v>
      </c>
      <c r="C12892" s="12"/>
      <c r="D12892" s="13" t="n">
        <f aca="false">IF(B12892&lt;5,Einstellungen!$B$3,Einstellungen!$B$4)</f>
        <v>29.13</v>
      </c>
      <c r="E12892" s="14" t="str">
        <f aca="false">IF(C12892="","",C12892*D12892/100)</f>
        <v/>
      </c>
      <c r="F12892" s="15" t="str">
        <f aca="false">IF(B12892&lt;5,"Go","Standard")</f>
        <v>Standard</v>
      </c>
    </row>
    <row r="12893" customFormat="false" ht="15" hidden="false" customHeight="true" outlineLevel="0" collapsed="false">
      <c r="A12893" s="10" t="n">
        <f aca="false">Einstellungen!$B$5+INT((ROW()-9)/24)</f>
        <v>46502</v>
      </c>
      <c r="B12893" s="11" t="n">
        <f aca="false">MOD(ROW()-9,24)</f>
        <v>20</v>
      </c>
      <c r="C12893" s="12"/>
      <c r="D12893" s="13" t="n">
        <f aca="false">IF(B12893&lt;5,Einstellungen!$B$3,Einstellungen!$B$4)</f>
        <v>29.13</v>
      </c>
      <c r="E12893" s="14" t="str">
        <f aca="false">IF(C12893="","",C12893*D12893/100)</f>
        <v/>
      </c>
      <c r="F12893" s="15" t="str">
        <f aca="false">IF(B12893&lt;5,"Go","Standard")</f>
        <v>Standard</v>
      </c>
    </row>
    <row r="12894" customFormat="false" ht="15" hidden="false" customHeight="true" outlineLevel="0" collapsed="false">
      <c r="A12894" s="10" t="n">
        <f aca="false">Einstellungen!$B$5+INT((ROW()-9)/24)</f>
        <v>46502</v>
      </c>
      <c r="B12894" s="11" t="n">
        <f aca="false">MOD(ROW()-9,24)</f>
        <v>21</v>
      </c>
      <c r="C12894" s="12"/>
      <c r="D12894" s="13" t="n">
        <f aca="false">IF(B12894&lt;5,Einstellungen!$B$3,Einstellungen!$B$4)</f>
        <v>29.13</v>
      </c>
      <c r="E12894" s="14" t="str">
        <f aca="false">IF(C12894="","",C12894*D12894/100)</f>
        <v/>
      </c>
      <c r="F12894" s="15" t="str">
        <f aca="false">IF(B12894&lt;5,"Go","Standard")</f>
        <v>Standard</v>
      </c>
    </row>
    <row r="12895" customFormat="false" ht="15" hidden="false" customHeight="true" outlineLevel="0" collapsed="false">
      <c r="A12895" s="10" t="n">
        <f aca="false">Einstellungen!$B$5+INT((ROW()-9)/24)</f>
        <v>46502</v>
      </c>
      <c r="B12895" s="11" t="n">
        <f aca="false">MOD(ROW()-9,24)</f>
        <v>22</v>
      </c>
      <c r="C12895" s="12"/>
      <c r="D12895" s="13" t="n">
        <f aca="false">IF(B12895&lt;5,Einstellungen!$B$3,Einstellungen!$B$4)</f>
        <v>29.13</v>
      </c>
      <c r="E12895" s="14" t="str">
        <f aca="false">IF(C12895="","",C12895*D12895/100)</f>
        <v/>
      </c>
      <c r="F12895" s="15" t="str">
        <f aca="false">IF(B12895&lt;5,"Go","Standard")</f>
        <v>Standard</v>
      </c>
    </row>
    <row r="12896" customFormat="false" ht="15" hidden="false" customHeight="true" outlineLevel="0" collapsed="false">
      <c r="A12896" s="10" t="n">
        <f aca="false">Einstellungen!$B$5+INT((ROW()-9)/24)</f>
        <v>46502</v>
      </c>
      <c r="B12896" s="11" t="n">
        <f aca="false">MOD(ROW()-9,24)</f>
        <v>23</v>
      </c>
      <c r="C12896" s="12"/>
      <c r="D12896" s="13" t="n">
        <f aca="false">IF(B12896&lt;5,Einstellungen!$B$3,Einstellungen!$B$4)</f>
        <v>29.13</v>
      </c>
      <c r="E12896" s="14" t="str">
        <f aca="false">IF(C12896="","",C12896*D12896/100)</f>
        <v/>
      </c>
      <c r="F12896" s="15" t="str">
        <f aca="false">IF(B12896&lt;5,"Go","Standard")</f>
        <v>Standard</v>
      </c>
    </row>
    <row r="12897" customFormat="false" ht="15" hidden="false" customHeight="true" outlineLevel="0" collapsed="false">
      <c r="A12897" s="10" t="n">
        <f aca="false">Einstellungen!$B$5+INT((ROW()-9)/24)</f>
        <v>46503</v>
      </c>
      <c r="B12897" s="11" t="n">
        <f aca="false">MOD(ROW()-9,24)</f>
        <v>0</v>
      </c>
      <c r="C12897" s="12"/>
      <c r="D12897" s="13" t="n">
        <f aca="false">IF(B12897&lt;5,Einstellungen!$B$3,Einstellungen!$B$4)</f>
        <v>15.92</v>
      </c>
      <c r="E12897" s="14" t="str">
        <f aca="false">IF(C12897="","",C12897*D12897/100)</f>
        <v/>
      </c>
      <c r="F12897" s="15" t="str">
        <f aca="false">IF(B12897&lt;5,"Go","Standard")</f>
        <v>Go</v>
      </c>
    </row>
    <row r="12898" customFormat="false" ht="15" hidden="false" customHeight="true" outlineLevel="0" collapsed="false">
      <c r="A12898" s="10" t="n">
        <f aca="false">Einstellungen!$B$5+INT((ROW()-9)/24)</f>
        <v>46503</v>
      </c>
      <c r="B12898" s="11" t="n">
        <f aca="false">MOD(ROW()-9,24)</f>
        <v>1</v>
      </c>
      <c r="C12898" s="12"/>
      <c r="D12898" s="13" t="n">
        <f aca="false">IF(B12898&lt;5,Einstellungen!$B$3,Einstellungen!$B$4)</f>
        <v>15.92</v>
      </c>
      <c r="E12898" s="14" t="str">
        <f aca="false">IF(C12898="","",C12898*D12898/100)</f>
        <v/>
      </c>
      <c r="F12898" s="15" t="str">
        <f aca="false">IF(B12898&lt;5,"Go","Standard")</f>
        <v>Go</v>
      </c>
    </row>
    <row r="12899" customFormat="false" ht="15" hidden="false" customHeight="true" outlineLevel="0" collapsed="false">
      <c r="A12899" s="10" t="n">
        <f aca="false">Einstellungen!$B$5+INT((ROW()-9)/24)</f>
        <v>46503</v>
      </c>
      <c r="B12899" s="11" t="n">
        <f aca="false">MOD(ROW()-9,24)</f>
        <v>2</v>
      </c>
      <c r="C12899" s="12"/>
      <c r="D12899" s="13" t="n">
        <f aca="false">IF(B12899&lt;5,Einstellungen!$B$3,Einstellungen!$B$4)</f>
        <v>15.92</v>
      </c>
      <c r="E12899" s="14" t="str">
        <f aca="false">IF(C12899="","",C12899*D12899/100)</f>
        <v/>
      </c>
      <c r="F12899" s="15" t="str">
        <f aca="false">IF(B12899&lt;5,"Go","Standard")</f>
        <v>Go</v>
      </c>
    </row>
    <row r="12900" customFormat="false" ht="15" hidden="false" customHeight="true" outlineLevel="0" collapsed="false">
      <c r="A12900" s="10" t="n">
        <f aca="false">Einstellungen!$B$5+INT((ROW()-9)/24)</f>
        <v>46503</v>
      </c>
      <c r="B12900" s="11" t="n">
        <f aca="false">MOD(ROW()-9,24)</f>
        <v>3</v>
      </c>
      <c r="C12900" s="12"/>
      <c r="D12900" s="13" t="n">
        <f aca="false">IF(B12900&lt;5,Einstellungen!$B$3,Einstellungen!$B$4)</f>
        <v>15.92</v>
      </c>
      <c r="E12900" s="14" t="str">
        <f aca="false">IF(C12900="","",C12900*D12900/100)</f>
        <v/>
      </c>
      <c r="F12900" s="15" t="str">
        <f aca="false">IF(B12900&lt;5,"Go","Standard")</f>
        <v>Go</v>
      </c>
    </row>
    <row r="12901" customFormat="false" ht="15" hidden="false" customHeight="true" outlineLevel="0" collapsed="false">
      <c r="A12901" s="10" t="n">
        <f aca="false">Einstellungen!$B$5+INT((ROW()-9)/24)</f>
        <v>46503</v>
      </c>
      <c r="B12901" s="11" t="n">
        <f aca="false">MOD(ROW()-9,24)</f>
        <v>4</v>
      </c>
      <c r="C12901" s="12"/>
      <c r="D12901" s="13" t="n">
        <f aca="false">IF(B12901&lt;5,Einstellungen!$B$3,Einstellungen!$B$4)</f>
        <v>15.92</v>
      </c>
      <c r="E12901" s="14" t="str">
        <f aca="false">IF(C12901="","",C12901*D12901/100)</f>
        <v/>
      </c>
      <c r="F12901" s="15" t="str">
        <f aca="false">IF(B12901&lt;5,"Go","Standard")</f>
        <v>Go</v>
      </c>
    </row>
    <row r="12902" customFormat="false" ht="15" hidden="false" customHeight="true" outlineLevel="0" collapsed="false">
      <c r="A12902" s="10" t="n">
        <f aca="false">Einstellungen!$B$5+INT((ROW()-9)/24)</f>
        <v>46503</v>
      </c>
      <c r="B12902" s="11" t="n">
        <f aca="false">MOD(ROW()-9,24)</f>
        <v>5</v>
      </c>
      <c r="C12902" s="12"/>
      <c r="D12902" s="13" t="n">
        <f aca="false">IF(B12902&lt;5,Einstellungen!$B$3,Einstellungen!$B$4)</f>
        <v>29.13</v>
      </c>
      <c r="E12902" s="14" t="str">
        <f aca="false">IF(C12902="","",C12902*D12902/100)</f>
        <v/>
      </c>
      <c r="F12902" s="15" t="str">
        <f aca="false">IF(B12902&lt;5,"Go","Standard")</f>
        <v>Standard</v>
      </c>
    </row>
    <row r="12903" customFormat="false" ht="15" hidden="false" customHeight="true" outlineLevel="0" collapsed="false">
      <c r="A12903" s="10" t="n">
        <f aca="false">Einstellungen!$B$5+INT((ROW()-9)/24)</f>
        <v>46503</v>
      </c>
      <c r="B12903" s="11" t="n">
        <f aca="false">MOD(ROW()-9,24)</f>
        <v>6</v>
      </c>
      <c r="C12903" s="12"/>
      <c r="D12903" s="13" t="n">
        <f aca="false">IF(B12903&lt;5,Einstellungen!$B$3,Einstellungen!$B$4)</f>
        <v>29.13</v>
      </c>
      <c r="E12903" s="14" t="str">
        <f aca="false">IF(C12903="","",C12903*D12903/100)</f>
        <v/>
      </c>
      <c r="F12903" s="15" t="str">
        <f aca="false">IF(B12903&lt;5,"Go","Standard")</f>
        <v>Standard</v>
      </c>
    </row>
    <row r="12904" customFormat="false" ht="15" hidden="false" customHeight="true" outlineLevel="0" collapsed="false">
      <c r="A12904" s="10" t="n">
        <f aca="false">Einstellungen!$B$5+INT((ROW()-9)/24)</f>
        <v>46503</v>
      </c>
      <c r="B12904" s="11" t="n">
        <f aca="false">MOD(ROW()-9,24)</f>
        <v>7</v>
      </c>
      <c r="C12904" s="12"/>
      <c r="D12904" s="13" t="n">
        <f aca="false">IF(B12904&lt;5,Einstellungen!$B$3,Einstellungen!$B$4)</f>
        <v>29.13</v>
      </c>
      <c r="E12904" s="14" t="str">
        <f aca="false">IF(C12904="","",C12904*D12904/100)</f>
        <v/>
      </c>
      <c r="F12904" s="15" t="str">
        <f aca="false">IF(B12904&lt;5,"Go","Standard")</f>
        <v>Standard</v>
      </c>
    </row>
    <row r="12905" customFormat="false" ht="15" hidden="false" customHeight="true" outlineLevel="0" collapsed="false">
      <c r="A12905" s="10" t="n">
        <f aca="false">Einstellungen!$B$5+INT((ROW()-9)/24)</f>
        <v>46503</v>
      </c>
      <c r="B12905" s="11" t="n">
        <f aca="false">MOD(ROW()-9,24)</f>
        <v>8</v>
      </c>
      <c r="C12905" s="12"/>
      <c r="D12905" s="13" t="n">
        <f aca="false">IF(B12905&lt;5,Einstellungen!$B$3,Einstellungen!$B$4)</f>
        <v>29.13</v>
      </c>
      <c r="E12905" s="14" t="str">
        <f aca="false">IF(C12905="","",C12905*D12905/100)</f>
        <v/>
      </c>
      <c r="F12905" s="15" t="str">
        <f aca="false">IF(B12905&lt;5,"Go","Standard")</f>
        <v>Standard</v>
      </c>
    </row>
    <row r="12906" customFormat="false" ht="15" hidden="false" customHeight="true" outlineLevel="0" collapsed="false">
      <c r="A12906" s="10" t="n">
        <f aca="false">Einstellungen!$B$5+INT((ROW()-9)/24)</f>
        <v>46503</v>
      </c>
      <c r="B12906" s="11" t="n">
        <f aca="false">MOD(ROW()-9,24)</f>
        <v>9</v>
      </c>
      <c r="C12906" s="12"/>
      <c r="D12906" s="13" t="n">
        <f aca="false">IF(B12906&lt;5,Einstellungen!$B$3,Einstellungen!$B$4)</f>
        <v>29.13</v>
      </c>
      <c r="E12906" s="14" t="str">
        <f aca="false">IF(C12906="","",C12906*D12906/100)</f>
        <v/>
      </c>
      <c r="F12906" s="15" t="str">
        <f aca="false">IF(B12906&lt;5,"Go","Standard")</f>
        <v>Standard</v>
      </c>
    </row>
    <row r="12907" customFormat="false" ht="15" hidden="false" customHeight="true" outlineLevel="0" collapsed="false">
      <c r="A12907" s="10" t="n">
        <f aca="false">Einstellungen!$B$5+INT((ROW()-9)/24)</f>
        <v>46503</v>
      </c>
      <c r="B12907" s="11" t="n">
        <f aca="false">MOD(ROW()-9,24)</f>
        <v>10</v>
      </c>
      <c r="C12907" s="12"/>
      <c r="D12907" s="13" t="n">
        <f aca="false">IF(B12907&lt;5,Einstellungen!$B$3,Einstellungen!$B$4)</f>
        <v>29.13</v>
      </c>
      <c r="E12907" s="14" t="str">
        <f aca="false">IF(C12907="","",C12907*D12907/100)</f>
        <v/>
      </c>
      <c r="F12907" s="15" t="str">
        <f aca="false">IF(B12907&lt;5,"Go","Standard")</f>
        <v>Standard</v>
      </c>
    </row>
    <row r="12908" customFormat="false" ht="15" hidden="false" customHeight="true" outlineLevel="0" collapsed="false">
      <c r="A12908" s="10" t="n">
        <f aca="false">Einstellungen!$B$5+INT((ROW()-9)/24)</f>
        <v>46503</v>
      </c>
      <c r="B12908" s="11" t="n">
        <f aca="false">MOD(ROW()-9,24)</f>
        <v>11</v>
      </c>
      <c r="C12908" s="12"/>
      <c r="D12908" s="13" t="n">
        <f aca="false">IF(B12908&lt;5,Einstellungen!$B$3,Einstellungen!$B$4)</f>
        <v>29.13</v>
      </c>
      <c r="E12908" s="14" t="str">
        <f aca="false">IF(C12908="","",C12908*D12908/100)</f>
        <v/>
      </c>
      <c r="F12908" s="15" t="str">
        <f aca="false">IF(B12908&lt;5,"Go","Standard")</f>
        <v>Standard</v>
      </c>
    </row>
    <row r="12909" customFormat="false" ht="15" hidden="false" customHeight="true" outlineLevel="0" collapsed="false">
      <c r="A12909" s="10" t="n">
        <f aca="false">Einstellungen!$B$5+INT((ROW()-9)/24)</f>
        <v>46503</v>
      </c>
      <c r="B12909" s="11" t="n">
        <f aca="false">MOD(ROW()-9,24)</f>
        <v>12</v>
      </c>
      <c r="C12909" s="12"/>
      <c r="D12909" s="13" t="n">
        <f aca="false">IF(B12909&lt;5,Einstellungen!$B$3,Einstellungen!$B$4)</f>
        <v>29.13</v>
      </c>
      <c r="E12909" s="14" t="str">
        <f aca="false">IF(C12909="","",C12909*D12909/100)</f>
        <v/>
      </c>
      <c r="F12909" s="15" t="str">
        <f aca="false">IF(B12909&lt;5,"Go","Standard")</f>
        <v>Standard</v>
      </c>
    </row>
    <row r="12910" customFormat="false" ht="15" hidden="false" customHeight="true" outlineLevel="0" collapsed="false">
      <c r="A12910" s="10" t="n">
        <f aca="false">Einstellungen!$B$5+INT((ROW()-9)/24)</f>
        <v>46503</v>
      </c>
      <c r="B12910" s="11" t="n">
        <f aca="false">MOD(ROW()-9,24)</f>
        <v>13</v>
      </c>
      <c r="C12910" s="12"/>
      <c r="D12910" s="13" t="n">
        <f aca="false">IF(B12910&lt;5,Einstellungen!$B$3,Einstellungen!$B$4)</f>
        <v>29.13</v>
      </c>
      <c r="E12910" s="14" t="str">
        <f aca="false">IF(C12910="","",C12910*D12910/100)</f>
        <v/>
      </c>
      <c r="F12910" s="15" t="str">
        <f aca="false">IF(B12910&lt;5,"Go","Standard")</f>
        <v>Standard</v>
      </c>
    </row>
    <row r="12911" customFormat="false" ht="15" hidden="false" customHeight="true" outlineLevel="0" collapsed="false">
      <c r="A12911" s="10" t="n">
        <f aca="false">Einstellungen!$B$5+INT((ROW()-9)/24)</f>
        <v>46503</v>
      </c>
      <c r="B12911" s="11" t="n">
        <f aca="false">MOD(ROW()-9,24)</f>
        <v>14</v>
      </c>
      <c r="C12911" s="12"/>
      <c r="D12911" s="13" t="n">
        <f aca="false">IF(B12911&lt;5,Einstellungen!$B$3,Einstellungen!$B$4)</f>
        <v>29.13</v>
      </c>
      <c r="E12911" s="14" t="str">
        <f aca="false">IF(C12911="","",C12911*D12911/100)</f>
        <v/>
      </c>
      <c r="F12911" s="15" t="str">
        <f aca="false">IF(B12911&lt;5,"Go","Standard")</f>
        <v>Standard</v>
      </c>
    </row>
    <row r="12912" customFormat="false" ht="15" hidden="false" customHeight="true" outlineLevel="0" collapsed="false">
      <c r="A12912" s="10" t="n">
        <f aca="false">Einstellungen!$B$5+INT((ROW()-9)/24)</f>
        <v>46503</v>
      </c>
      <c r="B12912" s="11" t="n">
        <f aca="false">MOD(ROW()-9,24)</f>
        <v>15</v>
      </c>
      <c r="C12912" s="12"/>
      <c r="D12912" s="13" t="n">
        <f aca="false">IF(B12912&lt;5,Einstellungen!$B$3,Einstellungen!$B$4)</f>
        <v>29.13</v>
      </c>
      <c r="E12912" s="14" t="str">
        <f aca="false">IF(C12912="","",C12912*D12912/100)</f>
        <v/>
      </c>
      <c r="F12912" s="15" t="str">
        <f aca="false">IF(B12912&lt;5,"Go","Standard")</f>
        <v>Standard</v>
      </c>
    </row>
    <row r="12913" customFormat="false" ht="15" hidden="false" customHeight="true" outlineLevel="0" collapsed="false">
      <c r="A12913" s="10" t="n">
        <f aca="false">Einstellungen!$B$5+INT((ROW()-9)/24)</f>
        <v>46503</v>
      </c>
      <c r="B12913" s="11" t="n">
        <f aca="false">MOD(ROW()-9,24)</f>
        <v>16</v>
      </c>
      <c r="C12913" s="12"/>
      <c r="D12913" s="13" t="n">
        <f aca="false">IF(B12913&lt;5,Einstellungen!$B$3,Einstellungen!$B$4)</f>
        <v>29.13</v>
      </c>
      <c r="E12913" s="14" t="str">
        <f aca="false">IF(C12913="","",C12913*D12913/100)</f>
        <v/>
      </c>
      <c r="F12913" s="15" t="str">
        <f aca="false">IF(B12913&lt;5,"Go","Standard")</f>
        <v>Standard</v>
      </c>
    </row>
    <row r="12914" customFormat="false" ht="15" hidden="false" customHeight="true" outlineLevel="0" collapsed="false">
      <c r="A12914" s="10" t="n">
        <f aca="false">Einstellungen!$B$5+INT((ROW()-9)/24)</f>
        <v>46503</v>
      </c>
      <c r="B12914" s="11" t="n">
        <f aca="false">MOD(ROW()-9,24)</f>
        <v>17</v>
      </c>
      <c r="C12914" s="12"/>
      <c r="D12914" s="13" t="n">
        <f aca="false">IF(B12914&lt;5,Einstellungen!$B$3,Einstellungen!$B$4)</f>
        <v>29.13</v>
      </c>
      <c r="E12914" s="14" t="str">
        <f aca="false">IF(C12914="","",C12914*D12914/100)</f>
        <v/>
      </c>
      <c r="F12914" s="15" t="str">
        <f aca="false">IF(B12914&lt;5,"Go","Standard")</f>
        <v>Standard</v>
      </c>
    </row>
    <row r="12915" customFormat="false" ht="15" hidden="false" customHeight="true" outlineLevel="0" collapsed="false">
      <c r="A12915" s="10" t="n">
        <f aca="false">Einstellungen!$B$5+INT((ROW()-9)/24)</f>
        <v>46503</v>
      </c>
      <c r="B12915" s="11" t="n">
        <f aca="false">MOD(ROW()-9,24)</f>
        <v>18</v>
      </c>
      <c r="C12915" s="12"/>
      <c r="D12915" s="13" t="n">
        <f aca="false">IF(B12915&lt;5,Einstellungen!$B$3,Einstellungen!$B$4)</f>
        <v>29.13</v>
      </c>
      <c r="E12915" s="14" t="str">
        <f aca="false">IF(C12915="","",C12915*D12915/100)</f>
        <v/>
      </c>
      <c r="F12915" s="15" t="str">
        <f aca="false">IF(B12915&lt;5,"Go","Standard")</f>
        <v>Standard</v>
      </c>
    </row>
    <row r="12916" customFormat="false" ht="15" hidden="false" customHeight="true" outlineLevel="0" collapsed="false">
      <c r="A12916" s="10" t="n">
        <f aca="false">Einstellungen!$B$5+INT((ROW()-9)/24)</f>
        <v>46503</v>
      </c>
      <c r="B12916" s="11" t="n">
        <f aca="false">MOD(ROW()-9,24)</f>
        <v>19</v>
      </c>
      <c r="C12916" s="12"/>
      <c r="D12916" s="13" t="n">
        <f aca="false">IF(B12916&lt;5,Einstellungen!$B$3,Einstellungen!$B$4)</f>
        <v>29.13</v>
      </c>
      <c r="E12916" s="14" t="str">
        <f aca="false">IF(C12916="","",C12916*D12916/100)</f>
        <v/>
      </c>
      <c r="F12916" s="15" t="str">
        <f aca="false">IF(B12916&lt;5,"Go","Standard")</f>
        <v>Standard</v>
      </c>
    </row>
    <row r="12917" customFormat="false" ht="15" hidden="false" customHeight="true" outlineLevel="0" collapsed="false">
      <c r="A12917" s="10" t="n">
        <f aca="false">Einstellungen!$B$5+INT((ROW()-9)/24)</f>
        <v>46503</v>
      </c>
      <c r="B12917" s="11" t="n">
        <f aca="false">MOD(ROW()-9,24)</f>
        <v>20</v>
      </c>
      <c r="C12917" s="12"/>
      <c r="D12917" s="13" t="n">
        <f aca="false">IF(B12917&lt;5,Einstellungen!$B$3,Einstellungen!$B$4)</f>
        <v>29.13</v>
      </c>
      <c r="E12917" s="14" t="str">
        <f aca="false">IF(C12917="","",C12917*D12917/100)</f>
        <v/>
      </c>
      <c r="F12917" s="15" t="str">
        <f aca="false">IF(B12917&lt;5,"Go","Standard")</f>
        <v>Standard</v>
      </c>
    </row>
    <row r="12918" customFormat="false" ht="15" hidden="false" customHeight="true" outlineLevel="0" collapsed="false">
      <c r="A12918" s="10" t="n">
        <f aca="false">Einstellungen!$B$5+INT((ROW()-9)/24)</f>
        <v>46503</v>
      </c>
      <c r="B12918" s="11" t="n">
        <f aca="false">MOD(ROW()-9,24)</f>
        <v>21</v>
      </c>
      <c r="C12918" s="12"/>
      <c r="D12918" s="13" t="n">
        <f aca="false">IF(B12918&lt;5,Einstellungen!$B$3,Einstellungen!$B$4)</f>
        <v>29.13</v>
      </c>
      <c r="E12918" s="14" t="str">
        <f aca="false">IF(C12918="","",C12918*D12918/100)</f>
        <v/>
      </c>
      <c r="F12918" s="15" t="str">
        <f aca="false">IF(B12918&lt;5,"Go","Standard")</f>
        <v>Standard</v>
      </c>
    </row>
    <row r="12919" customFormat="false" ht="15" hidden="false" customHeight="true" outlineLevel="0" collapsed="false">
      <c r="A12919" s="10" t="n">
        <f aca="false">Einstellungen!$B$5+INT((ROW()-9)/24)</f>
        <v>46503</v>
      </c>
      <c r="B12919" s="11" t="n">
        <f aca="false">MOD(ROW()-9,24)</f>
        <v>22</v>
      </c>
      <c r="C12919" s="12"/>
      <c r="D12919" s="13" t="n">
        <f aca="false">IF(B12919&lt;5,Einstellungen!$B$3,Einstellungen!$B$4)</f>
        <v>29.13</v>
      </c>
      <c r="E12919" s="14" t="str">
        <f aca="false">IF(C12919="","",C12919*D12919/100)</f>
        <v/>
      </c>
      <c r="F12919" s="15" t="str">
        <f aca="false">IF(B12919&lt;5,"Go","Standard")</f>
        <v>Standard</v>
      </c>
    </row>
    <row r="12920" customFormat="false" ht="15" hidden="false" customHeight="true" outlineLevel="0" collapsed="false">
      <c r="A12920" s="10" t="n">
        <f aca="false">Einstellungen!$B$5+INT((ROW()-9)/24)</f>
        <v>46503</v>
      </c>
      <c r="B12920" s="11" t="n">
        <f aca="false">MOD(ROW()-9,24)</f>
        <v>23</v>
      </c>
      <c r="C12920" s="12"/>
      <c r="D12920" s="13" t="n">
        <f aca="false">IF(B12920&lt;5,Einstellungen!$B$3,Einstellungen!$B$4)</f>
        <v>29.13</v>
      </c>
      <c r="E12920" s="14" t="str">
        <f aca="false">IF(C12920="","",C12920*D12920/100)</f>
        <v/>
      </c>
      <c r="F12920" s="15" t="str">
        <f aca="false">IF(B12920&lt;5,"Go","Standard")</f>
        <v>Standard</v>
      </c>
    </row>
    <row r="12921" customFormat="false" ht="15" hidden="false" customHeight="true" outlineLevel="0" collapsed="false">
      <c r="A12921" s="10" t="n">
        <f aca="false">Einstellungen!$B$5+INT((ROW()-9)/24)</f>
        <v>46504</v>
      </c>
      <c r="B12921" s="11" t="n">
        <f aca="false">MOD(ROW()-9,24)</f>
        <v>0</v>
      </c>
      <c r="C12921" s="12"/>
      <c r="D12921" s="13" t="n">
        <f aca="false">IF(B12921&lt;5,Einstellungen!$B$3,Einstellungen!$B$4)</f>
        <v>15.92</v>
      </c>
      <c r="E12921" s="14" t="str">
        <f aca="false">IF(C12921="","",C12921*D12921/100)</f>
        <v/>
      </c>
      <c r="F12921" s="15" t="str">
        <f aca="false">IF(B12921&lt;5,"Go","Standard")</f>
        <v>Go</v>
      </c>
    </row>
    <row r="12922" customFormat="false" ht="15" hidden="false" customHeight="true" outlineLevel="0" collapsed="false">
      <c r="A12922" s="10" t="n">
        <f aca="false">Einstellungen!$B$5+INT((ROW()-9)/24)</f>
        <v>46504</v>
      </c>
      <c r="B12922" s="11" t="n">
        <f aca="false">MOD(ROW()-9,24)</f>
        <v>1</v>
      </c>
      <c r="C12922" s="12"/>
      <c r="D12922" s="13" t="n">
        <f aca="false">IF(B12922&lt;5,Einstellungen!$B$3,Einstellungen!$B$4)</f>
        <v>15.92</v>
      </c>
      <c r="E12922" s="14" t="str">
        <f aca="false">IF(C12922="","",C12922*D12922/100)</f>
        <v/>
      </c>
      <c r="F12922" s="15" t="str">
        <f aca="false">IF(B12922&lt;5,"Go","Standard")</f>
        <v>Go</v>
      </c>
    </row>
    <row r="12923" customFormat="false" ht="15" hidden="false" customHeight="true" outlineLevel="0" collapsed="false">
      <c r="A12923" s="10" t="n">
        <f aca="false">Einstellungen!$B$5+INT((ROW()-9)/24)</f>
        <v>46504</v>
      </c>
      <c r="B12923" s="11" t="n">
        <f aca="false">MOD(ROW()-9,24)</f>
        <v>2</v>
      </c>
      <c r="C12923" s="12"/>
      <c r="D12923" s="13" t="n">
        <f aca="false">IF(B12923&lt;5,Einstellungen!$B$3,Einstellungen!$B$4)</f>
        <v>15.92</v>
      </c>
      <c r="E12923" s="14" t="str">
        <f aca="false">IF(C12923="","",C12923*D12923/100)</f>
        <v/>
      </c>
      <c r="F12923" s="15" t="str">
        <f aca="false">IF(B12923&lt;5,"Go","Standard")</f>
        <v>Go</v>
      </c>
    </row>
    <row r="12924" customFormat="false" ht="15" hidden="false" customHeight="true" outlineLevel="0" collapsed="false">
      <c r="A12924" s="10" t="n">
        <f aca="false">Einstellungen!$B$5+INT((ROW()-9)/24)</f>
        <v>46504</v>
      </c>
      <c r="B12924" s="11" t="n">
        <f aca="false">MOD(ROW()-9,24)</f>
        <v>3</v>
      </c>
      <c r="C12924" s="12"/>
      <c r="D12924" s="13" t="n">
        <f aca="false">IF(B12924&lt;5,Einstellungen!$B$3,Einstellungen!$B$4)</f>
        <v>15.92</v>
      </c>
      <c r="E12924" s="14" t="str">
        <f aca="false">IF(C12924="","",C12924*D12924/100)</f>
        <v/>
      </c>
      <c r="F12924" s="15" t="str">
        <f aca="false">IF(B12924&lt;5,"Go","Standard")</f>
        <v>Go</v>
      </c>
    </row>
    <row r="12925" customFormat="false" ht="15" hidden="false" customHeight="true" outlineLevel="0" collapsed="false">
      <c r="A12925" s="10" t="n">
        <f aca="false">Einstellungen!$B$5+INT((ROW()-9)/24)</f>
        <v>46504</v>
      </c>
      <c r="B12925" s="11" t="n">
        <f aca="false">MOD(ROW()-9,24)</f>
        <v>4</v>
      </c>
      <c r="C12925" s="12"/>
      <c r="D12925" s="13" t="n">
        <f aca="false">IF(B12925&lt;5,Einstellungen!$B$3,Einstellungen!$B$4)</f>
        <v>15.92</v>
      </c>
      <c r="E12925" s="14" t="str">
        <f aca="false">IF(C12925="","",C12925*D12925/100)</f>
        <v/>
      </c>
      <c r="F12925" s="15" t="str">
        <f aca="false">IF(B12925&lt;5,"Go","Standard")</f>
        <v>Go</v>
      </c>
    </row>
    <row r="12926" customFormat="false" ht="15" hidden="false" customHeight="true" outlineLevel="0" collapsed="false">
      <c r="A12926" s="10" t="n">
        <f aca="false">Einstellungen!$B$5+INT((ROW()-9)/24)</f>
        <v>46504</v>
      </c>
      <c r="B12926" s="11" t="n">
        <f aca="false">MOD(ROW()-9,24)</f>
        <v>5</v>
      </c>
      <c r="C12926" s="12"/>
      <c r="D12926" s="13" t="n">
        <f aca="false">IF(B12926&lt;5,Einstellungen!$B$3,Einstellungen!$B$4)</f>
        <v>29.13</v>
      </c>
      <c r="E12926" s="14" t="str">
        <f aca="false">IF(C12926="","",C12926*D12926/100)</f>
        <v/>
      </c>
      <c r="F12926" s="15" t="str">
        <f aca="false">IF(B12926&lt;5,"Go","Standard")</f>
        <v>Standard</v>
      </c>
    </row>
    <row r="12927" customFormat="false" ht="15" hidden="false" customHeight="true" outlineLevel="0" collapsed="false">
      <c r="A12927" s="10" t="n">
        <f aca="false">Einstellungen!$B$5+INT((ROW()-9)/24)</f>
        <v>46504</v>
      </c>
      <c r="B12927" s="11" t="n">
        <f aca="false">MOD(ROW()-9,24)</f>
        <v>6</v>
      </c>
      <c r="C12927" s="12"/>
      <c r="D12927" s="13" t="n">
        <f aca="false">IF(B12927&lt;5,Einstellungen!$B$3,Einstellungen!$B$4)</f>
        <v>29.13</v>
      </c>
      <c r="E12927" s="14" t="str">
        <f aca="false">IF(C12927="","",C12927*D12927/100)</f>
        <v/>
      </c>
      <c r="F12927" s="15" t="str">
        <f aca="false">IF(B12927&lt;5,"Go","Standard")</f>
        <v>Standard</v>
      </c>
    </row>
    <row r="12928" customFormat="false" ht="15" hidden="false" customHeight="true" outlineLevel="0" collapsed="false">
      <c r="A12928" s="10" t="n">
        <f aca="false">Einstellungen!$B$5+INT((ROW()-9)/24)</f>
        <v>46504</v>
      </c>
      <c r="B12928" s="11" t="n">
        <f aca="false">MOD(ROW()-9,24)</f>
        <v>7</v>
      </c>
      <c r="C12928" s="12"/>
      <c r="D12928" s="13" t="n">
        <f aca="false">IF(B12928&lt;5,Einstellungen!$B$3,Einstellungen!$B$4)</f>
        <v>29.13</v>
      </c>
      <c r="E12928" s="14" t="str">
        <f aca="false">IF(C12928="","",C12928*D12928/100)</f>
        <v/>
      </c>
      <c r="F12928" s="15" t="str">
        <f aca="false">IF(B12928&lt;5,"Go","Standard")</f>
        <v>Standard</v>
      </c>
    </row>
    <row r="12929" customFormat="false" ht="15" hidden="false" customHeight="true" outlineLevel="0" collapsed="false">
      <c r="A12929" s="10" t="n">
        <f aca="false">Einstellungen!$B$5+INT((ROW()-9)/24)</f>
        <v>46504</v>
      </c>
      <c r="B12929" s="11" t="n">
        <f aca="false">MOD(ROW()-9,24)</f>
        <v>8</v>
      </c>
      <c r="C12929" s="12"/>
      <c r="D12929" s="13" t="n">
        <f aca="false">IF(B12929&lt;5,Einstellungen!$B$3,Einstellungen!$B$4)</f>
        <v>29.13</v>
      </c>
      <c r="E12929" s="14" t="str">
        <f aca="false">IF(C12929="","",C12929*D12929/100)</f>
        <v/>
      </c>
      <c r="F12929" s="15" t="str">
        <f aca="false">IF(B12929&lt;5,"Go","Standard")</f>
        <v>Standard</v>
      </c>
    </row>
    <row r="12930" customFormat="false" ht="15" hidden="false" customHeight="true" outlineLevel="0" collapsed="false">
      <c r="A12930" s="10" t="n">
        <f aca="false">Einstellungen!$B$5+INT((ROW()-9)/24)</f>
        <v>46504</v>
      </c>
      <c r="B12930" s="11" t="n">
        <f aca="false">MOD(ROW()-9,24)</f>
        <v>9</v>
      </c>
      <c r="C12930" s="12"/>
      <c r="D12930" s="13" t="n">
        <f aca="false">IF(B12930&lt;5,Einstellungen!$B$3,Einstellungen!$B$4)</f>
        <v>29.13</v>
      </c>
      <c r="E12930" s="14" t="str">
        <f aca="false">IF(C12930="","",C12930*D12930/100)</f>
        <v/>
      </c>
      <c r="F12930" s="15" t="str">
        <f aca="false">IF(B12930&lt;5,"Go","Standard")</f>
        <v>Standard</v>
      </c>
    </row>
    <row r="12931" customFormat="false" ht="15" hidden="false" customHeight="true" outlineLevel="0" collapsed="false">
      <c r="A12931" s="10" t="n">
        <f aca="false">Einstellungen!$B$5+INT((ROW()-9)/24)</f>
        <v>46504</v>
      </c>
      <c r="B12931" s="11" t="n">
        <f aca="false">MOD(ROW()-9,24)</f>
        <v>10</v>
      </c>
      <c r="C12931" s="12"/>
      <c r="D12931" s="13" t="n">
        <f aca="false">IF(B12931&lt;5,Einstellungen!$B$3,Einstellungen!$B$4)</f>
        <v>29.13</v>
      </c>
      <c r="E12931" s="14" t="str">
        <f aca="false">IF(C12931="","",C12931*D12931/100)</f>
        <v/>
      </c>
      <c r="F12931" s="15" t="str">
        <f aca="false">IF(B12931&lt;5,"Go","Standard")</f>
        <v>Standard</v>
      </c>
    </row>
    <row r="12932" customFormat="false" ht="15" hidden="false" customHeight="true" outlineLevel="0" collapsed="false">
      <c r="A12932" s="10" t="n">
        <f aca="false">Einstellungen!$B$5+INT((ROW()-9)/24)</f>
        <v>46504</v>
      </c>
      <c r="B12932" s="11" t="n">
        <f aca="false">MOD(ROW()-9,24)</f>
        <v>11</v>
      </c>
      <c r="C12932" s="12"/>
      <c r="D12932" s="13" t="n">
        <f aca="false">IF(B12932&lt;5,Einstellungen!$B$3,Einstellungen!$B$4)</f>
        <v>29.13</v>
      </c>
      <c r="E12932" s="14" t="str">
        <f aca="false">IF(C12932="","",C12932*D12932/100)</f>
        <v/>
      </c>
      <c r="F12932" s="15" t="str">
        <f aca="false">IF(B12932&lt;5,"Go","Standard")</f>
        <v>Standard</v>
      </c>
    </row>
    <row r="12933" customFormat="false" ht="15" hidden="false" customHeight="true" outlineLevel="0" collapsed="false">
      <c r="A12933" s="10" t="n">
        <f aca="false">Einstellungen!$B$5+INT((ROW()-9)/24)</f>
        <v>46504</v>
      </c>
      <c r="B12933" s="11" t="n">
        <f aca="false">MOD(ROW()-9,24)</f>
        <v>12</v>
      </c>
      <c r="C12933" s="12"/>
      <c r="D12933" s="13" t="n">
        <f aca="false">IF(B12933&lt;5,Einstellungen!$B$3,Einstellungen!$B$4)</f>
        <v>29.13</v>
      </c>
      <c r="E12933" s="14" t="str">
        <f aca="false">IF(C12933="","",C12933*D12933/100)</f>
        <v/>
      </c>
      <c r="F12933" s="15" t="str">
        <f aca="false">IF(B12933&lt;5,"Go","Standard")</f>
        <v>Standard</v>
      </c>
    </row>
    <row r="12934" customFormat="false" ht="15" hidden="false" customHeight="true" outlineLevel="0" collapsed="false">
      <c r="A12934" s="10" t="n">
        <f aca="false">Einstellungen!$B$5+INT((ROW()-9)/24)</f>
        <v>46504</v>
      </c>
      <c r="B12934" s="11" t="n">
        <f aca="false">MOD(ROW()-9,24)</f>
        <v>13</v>
      </c>
      <c r="C12934" s="12"/>
      <c r="D12934" s="13" t="n">
        <f aca="false">IF(B12934&lt;5,Einstellungen!$B$3,Einstellungen!$B$4)</f>
        <v>29.13</v>
      </c>
      <c r="E12934" s="14" t="str">
        <f aca="false">IF(C12934="","",C12934*D12934/100)</f>
        <v/>
      </c>
      <c r="F12934" s="15" t="str">
        <f aca="false">IF(B12934&lt;5,"Go","Standard")</f>
        <v>Standard</v>
      </c>
    </row>
    <row r="12935" customFormat="false" ht="15" hidden="false" customHeight="true" outlineLevel="0" collapsed="false">
      <c r="A12935" s="10" t="n">
        <f aca="false">Einstellungen!$B$5+INT((ROW()-9)/24)</f>
        <v>46504</v>
      </c>
      <c r="B12935" s="11" t="n">
        <f aca="false">MOD(ROW()-9,24)</f>
        <v>14</v>
      </c>
      <c r="C12935" s="12"/>
      <c r="D12935" s="13" t="n">
        <f aca="false">IF(B12935&lt;5,Einstellungen!$B$3,Einstellungen!$B$4)</f>
        <v>29.13</v>
      </c>
      <c r="E12935" s="14" t="str">
        <f aca="false">IF(C12935="","",C12935*D12935/100)</f>
        <v/>
      </c>
      <c r="F12935" s="15" t="str">
        <f aca="false">IF(B12935&lt;5,"Go","Standard")</f>
        <v>Standard</v>
      </c>
    </row>
    <row r="12936" customFormat="false" ht="15" hidden="false" customHeight="true" outlineLevel="0" collapsed="false">
      <c r="A12936" s="10" t="n">
        <f aca="false">Einstellungen!$B$5+INT((ROW()-9)/24)</f>
        <v>46504</v>
      </c>
      <c r="B12936" s="11" t="n">
        <f aca="false">MOD(ROW()-9,24)</f>
        <v>15</v>
      </c>
      <c r="C12936" s="12"/>
      <c r="D12936" s="13" t="n">
        <f aca="false">IF(B12936&lt;5,Einstellungen!$B$3,Einstellungen!$B$4)</f>
        <v>29.13</v>
      </c>
      <c r="E12936" s="14" t="str">
        <f aca="false">IF(C12936="","",C12936*D12936/100)</f>
        <v/>
      </c>
      <c r="F12936" s="15" t="str">
        <f aca="false">IF(B12936&lt;5,"Go","Standard")</f>
        <v>Standard</v>
      </c>
    </row>
    <row r="12937" customFormat="false" ht="15" hidden="false" customHeight="true" outlineLevel="0" collapsed="false">
      <c r="A12937" s="10" t="n">
        <f aca="false">Einstellungen!$B$5+INT((ROW()-9)/24)</f>
        <v>46504</v>
      </c>
      <c r="B12937" s="11" t="n">
        <f aca="false">MOD(ROW()-9,24)</f>
        <v>16</v>
      </c>
      <c r="C12937" s="12"/>
      <c r="D12937" s="13" t="n">
        <f aca="false">IF(B12937&lt;5,Einstellungen!$B$3,Einstellungen!$B$4)</f>
        <v>29.13</v>
      </c>
      <c r="E12937" s="14" t="str">
        <f aca="false">IF(C12937="","",C12937*D12937/100)</f>
        <v/>
      </c>
      <c r="F12937" s="15" t="str">
        <f aca="false">IF(B12937&lt;5,"Go","Standard")</f>
        <v>Standard</v>
      </c>
    </row>
    <row r="12938" customFormat="false" ht="15" hidden="false" customHeight="true" outlineLevel="0" collapsed="false">
      <c r="A12938" s="10" t="n">
        <f aca="false">Einstellungen!$B$5+INT((ROW()-9)/24)</f>
        <v>46504</v>
      </c>
      <c r="B12938" s="11" t="n">
        <f aca="false">MOD(ROW()-9,24)</f>
        <v>17</v>
      </c>
      <c r="C12938" s="12"/>
      <c r="D12938" s="13" t="n">
        <f aca="false">IF(B12938&lt;5,Einstellungen!$B$3,Einstellungen!$B$4)</f>
        <v>29.13</v>
      </c>
      <c r="E12938" s="14" t="str">
        <f aca="false">IF(C12938="","",C12938*D12938/100)</f>
        <v/>
      </c>
      <c r="F12938" s="15" t="str">
        <f aca="false">IF(B12938&lt;5,"Go","Standard")</f>
        <v>Standard</v>
      </c>
    </row>
    <row r="12939" customFormat="false" ht="15" hidden="false" customHeight="true" outlineLevel="0" collapsed="false">
      <c r="A12939" s="10" t="n">
        <f aca="false">Einstellungen!$B$5+INT((ROW()-9)/24)</f>
        <v>46504</v>
      </c>
      <c r="B12939" s="11" t="n">
        <f aca="false">MOD(ROW()-9,24)</f>
        <v>18</v>
      </c>
      <c r="C12939" s="12"/>
      <c r="D12939" s="13" t="n">
        <f aca="false">IF(B12939&lt;5,Einstellungen!$B$3,Einstellungen!$B$4)</f>
        <v>29.13</v>
      </c>
      <c r="E12939" s="14" t="str">
        <f aca="false">IF(C12939="","",C12939*D12939/100)</f>
        <v/>
      </c>
      <c r="F12939" s="15" t="str">
        <f aca="false">IF(B12939&lt;5,"Go","Standard")</f>
        <v>Standard</v>
      </c>
    </row>
    <row r="12940" customFormat="false" ht="15" hidden="false" customHeight="true" outlineLevel="0" collapsed="false">
      <c r="A12940" s="10" t="n">
        <f aca="false">Einstellungen!$B$5+INT((ROW()-9)/24)</f>
        <v>46504</v>
      </c>
      <c r="B12940" s="11" t="n">
        <f aca="false">MOD(ROW()-9,24)</f>
        <v>19</v>
      </c>
      <c r="C12940" s="12"/>
      <c r="D12940" s="13" t="n">
        <f aca="false">IF(B12940&lt;5,Einstellungen!$B$3,Einstellungen!$B$4)</f>
        <v>29.13</v>
      </c>
      <c r="E12940" s="14" t="str">
        <f aca="false">IF(C12940="","",C12940*D12940/100)</f>
        <v/>
      </c>
      <c r="F12940" s="15" t="str">
        <f aca="false">IF(B12940&lt;5,"Go","Standard")</f>
        <v>Standard</v>
      </c>
    </row>
    <row r="12941" customFormat="false" ht="15" hidden="false" customHeight="true" outlineLevel="0" collapsed="false">
      <c r="A12941" s="10" t="n">
        <f aca="false">Einstellungen!$B$5+INT((ROW()-9)/24)</f>
        <v>46504</v>
      </c>
      <c r="B12941" s="11" t="n">
        <f aca="false">MOD(ROW()-9,24)</f>
        <v>20</v>
      </c>
      <c r="C12941" s="12"/>
      <c r="D12941" s="13" t="n">
        <f aca="false">IF(B12941&lt;5,Einstellungen!$B$3,Einstellungen!$B$4)</f>
        <v>29.13</v>
      </c>
      <c r="E12941" s="14" t="str">
        <f aca="false">IF(C12941="","",C12941*D12941/100)</f>
        <v/>
      </c>
      <c r="F12941" s="15" t="str">
        <f aca="false">IF(B12941&lt;5,"Go","Standard")</f>
        <v>Standard</v>
      </c>
    </row>
    <row r="12942" customFormat="false" ht="15" hidden="false" customHeight="true" outlineLevel="0" collapsed="false">
      <c r="A12942" s="10" t="n">
        <f aca="false">Einstellungen!$B$5+INT((ROW()-9)/24)</f>
        <v>46504</v>
      </c>
      <c r="B12942" s="11" t="n">
        <f aca="false">MOD(ROW()-9,24)</f>
        <v>21</v>
      </c>
      <c r="C12942" s="12"/>
      <c r="D12942" s="13" t="n">
        <f aca="false">IF(B12942&lt;5,Einstellungen!$B$3,Einstellungen!$B$4)</f>
        <v>29.13</v>
      </c>
      <c r="E12942" s="14" t="str">
        <f aca="false">IF(C12942="","",C12942*D12942/100)</f>
        <v/>
      </c>
      <c r="F12942" s="15" t="str">
        <f aca="false">IF(B12942&lt;5,"Go","Standard")</f>
        <v>Standard</v>
      </c>
    </row>
    <row r="12943" customFormat="false" ht="15" hidden="false" customHeight="true" outlineLevel="0" collapsed="false">
      <c r="A12943" s="10" t="n">
        <f aca="false">Einstellungen!$B$5+INT((ROW()-9)/24)</f>
        <v>46504</v>
      </c>
      <c r="B12943" s="11" t="n">
        <f aca="false">MOD(ROW()-9,24)</f>
        <v>22</v>
      </c>
      <c r="C12943" s="12"/>
      <c r="D12943" s="13" t="n">
        <f aca="false">IF(B12943&lt;5,Einstellungen!$B$3,Einstellungen!$B$4)</f>
        <v>29.13</v>
      </c>
      <c r="E12943" s="14" t="str">
        <f aca="false">IF(C12943="","",C12943*D12943/100)</f>
        <v/>
      </c>
      <c r="F12943" s="15" t="str">
        <f aca="false">IF(B12943&lt;5,"Go","Standard")</f>
        <v>Standard</v>
      </c>
    </row>
    <row r="12944" customFormat="false" ht="15" hidden="false" customHeight="true" outlineLevel="0" collapsed="false">
      <c r="A12944" s="10" t="n">
        <f aca="false">Einstellungen!$B$5+INT((ROW()-9)/24)</f>
        <v>46504</v>
      </c>
      <c r="B12944" s="11" t="n">
        <f aca="false">MOD(ROW()-9,24)</f>
        <v>23</v>
      </c>
      <c r="C12944" s="12"/>
      <c r="D12944" s="13" t="n">
        <f aca="false">IF(B12944&lt;5,Einstellungen!$B$3,Einstellungen!$B$4)</f>
        <v>29.13</v>
      </c>
      <c r="E12944" s="14" t="str">
        <f aca="false">IF(C12944="","",C12944*D12944/100)</f>
        <v/>
      </c>
      <c r="F12944" s="15" t="str">
        <f aca="false">IF(B12944&lt;5,"Go","Standard")</f>
        <v>Standard</v>
      </c>
    </row>
    <row r="12945" customFormat="false" ht="15" hidden="false" customHeight="true" outlineLevel="0" collapsed="false">
      <c r="A12945" s="10" t="n">
        <f aca="false">Einstellungen!$B$5+INT((ROW()-9)/24)</f>
        <v>46505</v>
      </c>
      <c r="B12945" s="11" t="n">
        <f aca="false">MOD(ROW()-9,24)</f>
        <v>0</v>
      </c>
      <c r="C12945" s="12"/>
      <c r="D12945" s="13" t="n">
        <f aca="false">IF(B12945&lt;5,Einstellungen!$B$3,Einstellungen!$B$4)</f>
        <v>15.92</v>
      </c>
      <c r="E12945" s="14" t="str">
        <f aca="false">IF(C12945="","",C12945*D12945/100)</f>
        <v/>
      </c>
      <c r="F12945" s="15" t="str">
        <f aca="false">IF(B12945&lt;5,"Go","Standard")</f>
        <v>Go</v>
      </c>
    </row>
    <row r="12946" customFormat="false" ht="15" hidden="false" customHeight="true" outlineLevel="0" collapsed="false">
      <c r="A12946" s="10" t="n">
        <f aca="false">Einstellungen!$B$5+INT((ROW()-9)/24)</f>
        <v>46505</v>
      </c>
      <c r="B12946" s="11" t="n">
        <f aca="false">MOD(ROW()-9,24)</f>
        <v>1</v>
      </c>
      <c r="C12946" s="12"/>
      <c r="D12946" s="13" t="n">
        <f aca="false">IF(B12946&lt;5,Einstellungen!$B$3,Einstellungen!$B$4)</f>
        <v>15.92</v>
      </c>
      <c r="E12946" s="14" t="str">
        <f aca="false">IF(C12946="","",C12946*D12946/100)</f>
        <v/>
      </c>
      <c r="F12946" s="15" t="str">
        <f aca="false">IF(B12946&lt;5,"Go","Standard")</f>
        <v>Go</v>
      </c>
    </row>
    <row r="12947" customFormat="false" ht="15" hidden="false" customHeight="true" outlineLevel="0" collapsed="false">
      <c r="A12947" s="10" t="n">
        <f aca="false">Einstellungen!$B$5+INT((ROW()-9)/24)</f>
        <v>46505</v>
      </c>
      <c r="B12947" s="11" t="n">
        <f aca="false">MOD(ROW()-9,24)</f>
        <v>2</v>
      </c>
      <c r="C12947" s="12"/>
      <c r="D12947" s="13" t="n">
        <f aca="false">IF(B12947&lt;5,Einstellungen!$B$3,Einstellungen!$B$4)</f>
        <v>15.92</v>
      </c>
      <c r="E12947" s="14" t="str">
        <f aca="false">IF(C12947="","",C12947*D12947/100)</f>
        <v/>
      </c>
      <c r="F12947" s="15" t="str">
        <f aca="false">IF(B12947&lt;5,"Go","Standard")</f>
        <v>Go</v>
      </c>
    </row>
    <row r="12948" customFormat="false" ht="15" hidden="false" customHeight="true" outlineLevel="0" collapsed="false">
      <c r="A12948" s="10" t="n">
        <f aca="false">Einstellungen!$B$5+INT((ROW()-9)/24)</f>
        <v>46505</v>
      </c>
      <c r="B12948" s="11" t="n">
        <f aca="false">MOD(ROW()-9,24)</f>
        <v>3</v>
      </c>
      <c r="C12948" s="12"/>
      <c r="D12948" s="13" t="n">
        <f aca="false">IF(B12948&lt;5,Einstellungen!$B$3,Einstellungen!$B$4)</f>
        <v>15.92</v>
      </c>
      <c r="E12948" s="14" t="str">
        <f aca="false">IF(C12948="","",C12948*D12948/100)</f>
        <v/>
      </c>
      <c r="F12948" s="15" t="str">
        <f aca="false">IF(B12948&lt;5,"Go","Standard")</f>
        <v>Go</v>
      </c>
    </row>
    <row r="12949" customFormat="false" ht="15" hidden="false" customHeight="true" outlineLevel="0" collapsed="false">
      <c r="A12949" s="10" t="n">
        <f aca="false">Einstellungen!$B$5+INT((ROW()-9)/24)</f>
        <v>46505</v>
      </c>
      <c r="B12949" s="11" t="n">
        <f aca="false">MOD(ROW()-9,24)</f>
        <v>4</v>
      </c>
      <c r="C12949" s="12"/>
      <c r="D12949" s="13" t="n">
        <f aca="false">IF(B12949&lt;5,Einstellungen!$B$3,Einstellungen!$B$4)</f>
        <v>15.92</v>
      </c>
      <c r="E12949" s="14" t="str">
        <f aca="false">IF(C12949="","",C12949*D12949/100)</f>
        <v/>
      </c>
      <c r="F12949" s="15" t="str">
        <f aca="false">IF(B12949&lt;5,"Go","Standard")</f>
        <v>Go</v>
      </c>
    </row>
    <row r="12950" customFormat="false" ht="15" hidden="false" customHeight="true" outlineLevel="0" collapsed="false">
      <c r="A12950" s="10" t="n">
        <f aca="false">Einstellungen!$B$5+INT((ROW()-9)/24)</f>
        <v>46505</v>
      </c>
      <c r="B12950" s="11" t="n">
        <f aca="false">MOD(ROW()-9,24)</f>
        <v>5</v>
      </c>
      <c r="C12950" s="12"/>
      <c r="D12950" s="13" t="n">
        <f aca="false">IF(B12950&lt;5,Einstellungen!$B$3,Einstellungen!$B$4)</f>
        <v>29.13</v>
      </c>
      <c r="E12950" s="14" t="str">
        <f aca="false">IF(C12950="","",C12950*D12950/100)</f>
        <v/>
      </c>
      <c r="F12950" s="15" t="str">
        <f aca="false">IF(B12950&lt;5,"Go","Standard")</f>
        <v>Standard</v>
      </c>
    </row>
    <row r="12951" customFormat="false" ht="15" hidden="false" customHeight="true" outlineLevel="0" collapsed="false">
      <c r="A12951" s="10" t="n">
        <f aca="false">Einstellungen!$B$5+INT((ROW()-9)/24)</f>
        <v>46505</v>
      </c>
      <c r="B12951" s="11" t="n">
        <f aca="false">MOD(ROW()-9,24)</f>
        <v>6</v>
      </c>
      <c r="C12951" s="12"/>
      <c r="D12951" s="13" t="n">
        <f aca="false">IF(B12951&lt;5,Einstellungen!$B$3,Einstellungen!$B$4)</f>
        <v>29.13</v>
      </c>
      <c r="E12951" s="14" t="str">
        <f aca="false">IF(C12951="","",C12951*D12951/100)</f>
        <v/>
      </c>
      <c r="F12951" s="15" t="str">
        <f aca="false">IF(B12951&lt;5,"Go","Standard")</f>
        <v>Standard</v>
      </c>
    </row>
    <row r="12952" customFormat="false" ht="15" hidden="false" customHeight="true" outlineLevel="0" collapsed="false">
      <c r="A12952" s="10" t="n">
        <f aca="false">Einstellungen!$B$5+INT((ROW()-9)/24)</f>
        <v>46505</v>
      </c>
      <c r="B12952" s="11" t="n">
        <f aca="false">MOD(ROW()-9,24)</f>
        <v>7</v>
      </c>
      <c r="C12952" s="12"/>
      <c r="D12952" s="13" t="n">
        <f aca="false">IF(B12952&lt;5,Einstellungen!$B$3,Einstellungen!$B$4)</f>
        <v>29.13</v>
      </c>
      <c r="E12952" s="14" t="str">
        <f aca="false">IF(C12952="","",C12952*D12952/100)</f>
        <v/>
      </c>
      <c r="F12952" s="15" t="str">
        <f aca="false">IF(B12952&lt;5,"Go","Standard")</f>
        <v>Standard</v>
      </c>
    </row>
    <row r="12953" customFormat="false" ht="15" hidden="false" customHeight="true" outlineLevel="0" collapsed="false">
      <c r="A12953" s="10" t="n">
        <f aca="false">Einstellungen!$B$5+INT((ROW()-9)/24)</f>
        <v>46505</v>
      </c>
      <c r="B12953" s="11" t="n">
        <f aca="false">MOD(ROW()-9,24)</f>
        <v>8</v>
      </c>
      <c r="C12953" s="12"/>
      <c r="D12953" s="13" t="n">
        <f aca="false">IF(B12953&lt;5,Einstellungen!$B$3,Einstellungen!$B$4)</f>
        <v>29.13</v>
      </c>
      <c r="E12953" s="14" t="str">
        <f aca="false">IF(C12953="","",C12953*D12953/100)</f>
        <v/>
      </c>
      <c r="F12953" s="15" t="str">
        <f aca="false">IF(B12953&lt;5,"Go","Standard")</f>
        <v>Standard</v>
      </c>
    </row>
    <row r="12954" customFormat="false" ht="15" hidden="false" customHeight="true" outlineLevel="0" collapsed="false">
      <c r="A12954" s="10" t="n">
        <f aca="false">Einstellungen!$B$5+INT((ROW()-9)/24)</f>
        <v>46505</v>
      </c>
      <c r="B12954" s="11" t="n">
        <f aca="false">MOD(ROW()-9,24)</f>
        <v>9</v>
      </c>
      <c r="C12954" s="12"/>
      <c r="D12954" s="13" t="n">
        <f aca="false">IF(B12954&lt;5,Einstellungen!$B$3,Einstellungen!$B$4)</f>
        <v>29.13</v>
      </c>
      <c r="E12954" s="14" t="str">
        <f aca="false">IF(C12954="","",C12954*D12954/100)</f>
        <v/>
      </c>
      <c r="F12954" s="15" t="str">
        <f aca="false">IF(B12954&lt;5,"Go","Standard")</f>
        <v>Standard</v>
      </c>
    </row>
    <row r="12955" customFormat="false" ht="15" hidden="false" customHeight="true" outlineLevel="0" collapsed="false">
      <c r="A12955" s="10" t="n">
        <f aca="false">Einstellungen!$B$5+INT((ROW()-9)/24)</f>
        <v>46505</v>
      </c>
      <c r="B12955" s="11" t="n">
        <f aca="false">MOD(ROW()-9,24)</f>
        <v>10</v>
      </c>
      <c r="C12955" s="12"/>
      <c r="D12955" s="13" t="n">
        <f aca="false">IF(B12955&lt;5,Einstellungen!$B$3,Einstellungen!$B$4)</f>
        <v>29.13</v>
      </c>
      <c r="E12955" s="14" t="str">
        <f aca="false">IF(C12955="","",C12955*D12955/100)</f>
        <v/>
      </c>
      <c r="F12955" s="15" t="str">
        <f aca="false">IF(B12955&lt;5,"Go","Standard")</f>
        <v>Standard</v>
      </c>
    </row>
    <row r="12956" customFormat="false" ht="15" hidden="false" customHeight="true" outlineLevel="0" collapsed="false">
      <c r="A12956" s="10" t="n">
        <f aca="false">Einstellungen!$B$5+INT((ROW()-9)/24)</f>
        <v>46505</v>
      </c>
      <c r="B12956" s="11" t="n">
        <f aca="false">MOD(ROW()-9,24)</f>
        <v>11</v>
      </c>
      <c r="C12956" s="12"/>
      <c r="D12956" s="13" t="n">
        <f aca="false">IF(B12956&lt;5,Einstellungen!$B$3,Einstellungen!$B$4)</f>
        <v>29.13</v>
      </c>
      <c r="E12956" s="14" t="str">
        <f aca="false">IF(C12956="","",C12956*D12956/100)</f>
        <v/>
      </c>
      <c r="F12956" s="15" t="str">
        <f aca="false">IF(B12956&lt;5,"Go","Standard")</f>
        <v>Standard</v>
      </c>
    </row>
    <row r="12957" customFormat="false" ht="15" hidden="false" customHeight="true" outlineLevel="0" collapsed="false">
      <c r="A12957" s="10" t="n">
        <f aca="false">Einstellungen!$B$5+INT((ROW()-9)/24)</f>
        <v>46505</v>
      </c>
      <c r="B12957" s="11" t="n">
        <f aca="false">MOD(ROW()-9,24)</f>
        <v>12</v>
      </c>
      <c r="C12957" s="12"/>
      <c r="D12957" s="13" t="n">
        <f aca="false">IF(B12957&lt;5,Einstellungen!$B$3,Einstellungen!$B$4)</f>
        <v>29.13</v>
      </c>
      <c r="E12957" s="14" t="str">
        <f aca="false">IF(C12957="","",C12957*D12957/100)</f>
        <v/>
      </c>
      <c r="F12957" s="15" t="str">
        <f aca="false">IF(B12957&lt;5,"Go","Standard")</f>
        <v>Standard</v>
      </c>
    </row>
    <row r="12958" customFormat="false" ht="15" hidden="false" customHeight="true" outlineLevel="0" collapsed="false">
      <c r="A12958" s="10" t="n">
        <f aca="false">Einstellungen!$B$5+INT((ROW()-9)/24)</f>
        <v>46505</v>
      </c>
      <c r="B12958" s="11" t="n">
        <f aca="false">MOD(ROW()-9,24)</f>
        <v>13</v>
      </c>
      <c r="C12958" s="12"/>
      <c r="D12958" s="13" t="n">
        <f aca="false">IF(B12958&lt;5,Einstellungen!$B$3,Einstellungen!$B$4)</f>
        <v>29.13</v>
      </c>
      <c r="E12958" s="14" t="str">
        <f aca="false">IF(C12958="","",C12958*D12958/100)</f>
        <v/>
      </c>
      <c r="F12958" s="15" t="str">
        <f aca="false">IF(B12958&lt;5,"Go","Standard")</f>
        <v>Standard</v>
      </c>
    </row>
    <row r="12959" customFormat="false" ht="15" hidden="false" customHeight="true" outlineLevel="0" collapsed="false">
      <c r="A12959" s="10" t="n">
        <f aca="false">Einstellungen!$B$5+INT((ROW()-9)/24)</f>
        <v>46505</v>
      </c>
      <c r="B12959" s="11" t="n">
        <f aca="false">MOD(ROW()-9,24)</f>
        <v>14</v>
      </c>
      <c r="C12959" s="12"/>
      <c r="D12959" s="13" t="n">
        <f aca="false">IF(B12959&lt;5,Einstellungen!$B$3,Einstellungen!$B$4)</f>
        <v>29.13</v>
      </c>
      <c r="E12959" s="14" t="str">
        <f aca="false">IF(C12959="","",C12959*D12959/100)</f>
        <v/>
      </c>
      <c r="F12959" s="15" t="str">
        <f aca="false">IF(B12959&lt;5,"Go","Standard")</f>
        <v>Standard</v>
      </c>
    </row>
    <row r="12960" customFormat="false" ht="15" hidden="false" customHeight="true" outlineLevel="0" collapsed="false">
      <c r="A12960" s="10" t="n">
        <f aca="false">Einstellungen!$B$5+INT((ROW()-9)/24)</f>
        <v>46505</v>
      </c>
      <c r="B12960" s="11" t="n">
        <f aca="false">MOD(ROW()-9,24)</f>
        <v>15</v>
      </c>
      <c r="C12960" s="12"/>
      <c r="D12960" s="13" t="n">
        <f aca="false">IF(B12960&lt;5,Einstellungen!$B$3,Einstellungen!$B$4)</f>
        <v>29.13</v>
      </c>
      <c r="E12960" s="14" t="str">
        <f aca="false">IF(C12960="","",C12960*D12960/100)</f>
        <v/>
      </c>
      <c r="F12960" s="15" t="str">
        <f aca="false">IF(B12960&lt;5,"Go","Standard")</f>
        <v>Standard</v>
      </c>
    </row>
    <row r="12961" customFormat="false" ht="15" hidden="false" customHeight="true" outlineLevel="0" collapsed="false">
      <c r="A12961" s="10" t="n">
        <f aca="false">Einstellungen!$B$5+INT((ROW()-9)/24)</f>
        <v>46505</v>
      </c>
      <c r="B12961" s="11" t="n">
        <f aca="false">MOD(ROW()-9,24)</f>
        <v>16</v>
      </c>
      <c r="C12961" s="12"/>
      <c r="D12961" s="13" t="n">
        <f aca="false">IF(B12961&lt;5,Einstellungen!$B$3,Einstellungen!$B$4)</f>
        <v>29.13</v>
      </c>
      <c r="E12961" s="14" t="str">
        <f aca="false">IF(C12961="","",C12961*D12961/100)</f>
        <v/>
      </c>
      <c r="F12961" s="15" t="str">
        <f aca="false">IF(B12961&lt;5,"Go","Standard")</f>
        <v>Standard</v>
      </c>
    </row>
    <row r="12962" customFormat="false" ht="15" hidden="false" customHeight="true" outlineLevel="0" collapsed="false">
      <c r="A12962" s="10" t="n">
        <f aca="false">Einstellungen!$B$5+INT((ROW()-9)/24)</f>
        <v>46505</v>
      </c>
      <c r="B12962" s="11" t="n">
        <f aca="false">MOD(ROW()-9,24)</f>
        <v>17</v>
      </c>
      <c r="C12962" s="12"/>
      <c r="D12962" s="13" t="n">
        <f aca="false">IF(B12962&lt;5,Einstellungen!$B$3,Einstellungen!$B$4)</f>
        <v>29.13</v>
      </c>
      <c r="E12962" s="14" t="str">
        <f aca="false">IF(C12962="","",C12962*D12962/100)</f>
        <v/>
      </c>
      <c r="F12962" s="15" t="str">
        <f aca="false">IF(B12962&lt;5,"Go","Standard")</f>
        <v>Standard</v>
      </c>
    </row>
    <row r="12963" customFormat="false" ht="15" hidden="false" customHeight="true" outlineLevel="0" collapsed="false">
      <c r="A12963" s="10" t="n">
        <f aca="false">Einstellungen!$B$5+INT((ROW()-9)/24)</f>
        <v>46505</v>
      </c>
      <c r="B12963" s="11" t="n">
        <f aca="false">MOD(ROW()-9,24)</f>
        <v>18</v>
      </c>
      <c r="C12963" s="12"/>
      <c r="D12963" s="13" t="n">
        <f aca="false">IF(B12963&lt;5,Einstellungen!$B$3,Einstellungen!$B$4)</f>
        <v>29.13</v>
      </c>
      <c r="E12963" s="14" t="str">
        <f aca="false">IF(C12963="","",C12963*D12963/100)</f>
        <v/>
      </c>
      <c r="F12963" s="15" t="str">
        <f aca="false">IF(B12963&lt;5,"Go","Standard")</f>
        <v>Standard</v>
      </c>
    </row>
    <row r="12964" customFormat="false" ht="15" hidden="false" customHeight="true" outlineLevel="0" collapsed="false">
      <c r="A12964" s="10" t="n">
        <f aca="false">Einstellungen!$B$5+INT((ROW()-9)/24)</f>
        <v>46505</v>
      </c>
      <c r="B12964" s="11" t="n">
        <f aca="false">MOD(ROW()-9,24)</f>
        <v>19</v>
      </c>
      <c r="C12964" s="12"/>
      <c r="D12964" s="13" t="n">
        <f aca="false">IF(B12964&lt;5,Einstellungen!$B$3,Einstellungen!$B$4)</f>
        <v>29.13</v>
      </c>
      <c r="E12964" s="14" t="str">
        <f aca="false">IF(C12964="","",C12964*D12964/100)</f>
        <v/>
      </c>
      <c r="F12964" s="15" t="str">
        <f aca="false">IF(B12964&lt;5,"Go","Standard")</f>
        <v>Standard</v>
      </c>
    </row>
    <row r="12965" customFormat="false" ht="15" hidden="false" customHeight="true" outlineLevel="0" collapsed="false">
      <c r="A12965" s="10" t="n">
        <f aca="false">Einstellungen!$B$5+INT((ROW()-9)/24)</f>
        <v>46505</v>
      </c>
      <c r="B12965" s="11" t="n">
        <f aca="false">MOD(ROW()-9,24)</f>
        <v>20</v>
      </c>
      <c r="C12965" s="12"/>
      <c r="D12965" s="13" t="n">
        <f aca="false">IF(B12965&lt;5,Einstellungen!$B$3,Einstellungen!$B$4)</f>
        <v>29.13</v>
      </c>
      <c r="E12965" s="14" t="str">
        <f aca="false">IF(C12965="","",C12965*D12965/100)</f>
        <v/>
      </c>
      <c r="F12965" s="15" t="str">
        <f aca="false">IF(B12965&lt;5,"Go","Standard")</f>
        <v>Standard</v>
      </c>
    </row>
    <row r="12966" customFormat="false" ht="15" hidden="false" customHeight="true" outlineLevel="0" collapsed="false">
      <c r="A12966" s="10" t="n">
        <f aca="false">Einstellungen!$B$5+INT((ROW()-9)/24)</f>
        <v>46505</v>
      </c>
      <c r="B12966" s="11" t="n">
        <f aca="false">MOD(ROW()-9,24)</f>
        <v>21</v>
      </c>
      <c r="C12966" s="12"/>
      <c r="D12966" s="13" t="n">
        <f aca="false">IF(B12966&lt;5,Einstellungen!$B$3,Einstellungen!$B$4)</f>
        <v>29.13</v>
      </c>
      <c r="E12966" s="14" t="str">
        <f aca="false">IF(C12966="","",C12966*D12966/100)</f>
        <v/>
      </c>
      <c r="F12966" s="15" t="str">
        <f aca="false">IF(B12966&lt;5,"Go","Standard")</f>
        <v>Standard</v>
      </c>
    </row>
    <row r="12967" customFormat="false" ht="15" hidden="false" customHeight="true" outlineLevel="0" collapsed="false">
      <c r="A12967" s="10" t="n">
        <f aca="false">Einstellungen!$B$5+INT((ROW()-9)/24)</f>
        <v>46505</v>
      </c>
      <c r="B12967" s="11" t="n">
        <f aca="false">MOD(ROW()-9,24)</f>
        <v>22</v>
      </c>
      <c r="C12967" s="12"/>
      <c r="D12967" s="13" t="n">
        <f aca="false">IF(B12967&lt;5,Einstellungen!$B$3,Einstellungen!$B$4)</f>
        <v>29.13</v>
      </c>
      <c r="E12967" s="14" t="str">
        <f aca="false">IF(C12967="","",C12967*D12967/100)</f>
        <v/>
      </c>
      <c r="F12967" s="15" t="str">
        <f aca="false">IF(B12967&lt;5,"Go","Standard")</f>
        <v>Standard</v>
      </c>
    </row>
    <row r="12968" customFormat="false" ht="15" hidden="false" customHeight="true" outlineLevel="0" collapsed="false">
      <c r="A12968" s="10" t="n">
        <f aca="false">Einstellungen!$B$5+INT((ROW()-9)/24)</f>
        <v>46505</v>
      </c>
      <c r="B12968" s="11" t="n">
        <f aca="false">MOD(ROW()-9,24)</f>
        <v>23</v>
      </c>
      <c r="C12968" s="12"/>
      <c r="D12968" s="13" t="n">
        <f aca="false">IF(B12968&lt;5,Einstellungen!$B$3,Einstellungen!$B$4)</f>
        <v>29.13</v>
      </c>
      <c r="E12968" s="14" t="str">
        <f aca="false">IF(C12968="","",C12968*D12968/100)</f>
        <v/>
      </c>
      <c r="F12968" s="15" t="str">
        <f aca="false">IF(B12968&lt;5,"Go","Standard")</f>
        <v>Standard</v>
      </c>
    </row>
    <row r="12969" customFormat="false" ht="15" hidden="false" customHeight="true" outlineLevel="0" collapsed="false">
      <c r="A12969" s="10" t="n">
        <f aca="false">Einstellungen!$B$5+INT((ROW()-9)/24)</f>
        <v>46506</v>
      </c>
      <c r="B12969" s="11" t="n">
        <f aca="false">MOD(ROW()-9,24)</f>
        <v>0</v>
      </c>
      <c r="C12969" s="12"/>
      <c r="D12969" s="13" t="n">
        <f aca="false">IF(B12969&lt;5,Einstellungen!$B$3,Einstellungen!$B$4)</f>
        <v>15.92</v>
      </c>
      <c r="E12969" s="14" t="str">
        <f aca="false">IF(C12969="","",C12969*D12969/100)</f>
        <v/>
      </c>
      <c r="F12969" s="15" t="str">
        <f aca="false">IF(B12969&lt;5,"Go","Standard")</f>
        <v>Go</v>
      </c>
    </row>
    <row r="12970" customFormat="false" ht="15" hidden="false" customHeight="true" outlineLevel="0" collapsed="false">
      <c r="A12970" s="10" t="n">
        <f aca="false">Einstellungen!$B$5+INT((ROW()-9)/24)</f>
        <v>46506</v>
      </c>
      <c r="B12970" s="11" t="n">
        <f aca="false">MOD(ROW()-9,24)</f>
        <v>1</v>
      </c>
      <c r="C12970" s="12"/>
      <c r="D12970" s="13" t="n">
        <f aca="false">IF(B12970&lt;5,Einstellungen!$B$3,Einstellungen!$B$4)</f>
        <v>15.92</v>
      </c>
      <c r="E12970" s="14" t="str">
        <f aca="false">IF(C12970="","",C12970*D12970/100)</f>
        <v/>
      </c>
      <c r="F12970" s="15" t="str">
        <f aca="false">IF(B12970&lt;5,"Go","Standard")</f>
        <v>Go</v>
      </c>
    </row>
    <row r="12971" customFormat="false" ht="15" hidden="false" customHeight="true" outlineLevel="0" collapsed="false">
      <c r="A12971" s="10" t="n">
        <f aca="false">Einstellungen!$B$5+INT((ROW()-9)/24)</f>
        <v>46506</v>
      </c>
      <c r="B12971" s="11" t="n">
        <f aca="false">MOD(ROW()-9,24)</f>
        <v>2</v>
      </c>
      <c r="C12971" s="12"/>
      <c r="D12971" s="13" t="n">
        <f aca="false">IF(B12971&lt;5,Einstellungen!$B$3,Einstellungen!$B$4)</f>
        <v>15.92</v>
      </c>
      <c r="E12971" s="14" t="str">
        <f aca="false">IF(C12971="","",C12971*D12971/100)</f>
        <v/>
      </c>
      <c r="F12971" s="15" t="str">
        <f aca="false">IF(B12971&lt;5,"Go","Standard")</f>
        <v>Go</v>
      </c>
    </row>
    <row r="12972" customFormat="false" ht="15" hidden="false" customHeight="true" outlineLevel="0" collapsed="false">
      <c r="A12972" s="10" t="n">
        <f aca="false">Einstellungen!$B$5+INT((ROW()-9)/24)</f>
        <v>46506</v>
      </c>
      <c r="B12972" s="11" t="n">
        <f aca="false">MOD(ROW()-9,24)</f>
        <v>3</v>
      </c>
      <c r="C12972" s="12"/>
      <c r="D12972" s="13" t="n">
        <f aca="false">IF(B12972&lt;5,Einstellungen!$B$3,Einstellungen!$B$4)</f>
        <v>15.92</v>
      </c>
      <c r="E12972" s="14" t="str">
        <f aca="false">IF(C12972="","",C12972*D12972/100)</f>
        <v/>
      </c>
      <c r="F12972" s="15" t="str">
        <f aca="false">IF(B12972&lt;5,"Go","Standard")</f>
        <v>Go</v>
      </c>
    </row>
    <row r="12973" customFormat="false" ht="15" hidden="false" customHeight="true" outlineLevel="0" collapsed="false">
      <c r="A12973" s="10" t="n">
        <f aca="false">Einstellungen!$B$5+INT((ROW()-9)/24)</f>
        <v>46506</v>
      </c>
      <c r="B12973" s="11" t="n">
        <f aca="false">MOD(ROW()-9,24)</f>
        <v>4</v>
      </c>
      <c r="C12973" s="12"/>
      <c r="D12973" s="13" t="n">
        <f aca="false">IF(B12973&lt;5,Einstellungen!$B$3,Einstellungen!$B$4)</f>
        <v>15.92</v>
      </c>
      <c r="E12973" s="14" t="str">
        <f aca="false">IF(C12973="","",C12973*D12973/100)</f>
        <v/>
      </c>
      <c r="F12973" s="15" t="str">
        <f aca="false">IF(B12973&lt;5,"Go","Standard")</f>
        <v>Go</v>
      </c>
    </row>
    <row r="12974" customFormat="false" ht="15" hidden="false" customHeight="true" outlineLevel="0" collapsed="false">
      <c r="A12974" s="10" t="n">
        <f aca="false">Einstellungen!$B$5+INT((ROW()-9)/24)</f>
        <v>46506</v>
      </c>
      <c r="B12974" s="11" t="n">
        <f aca="false">MOD(ROW()-9,24)</f>
        <v>5</v>
      </c>
      <c r="C12974" s="12"/>
      <c r="D12974" s="13" t="n">
        <f aca="false">IF(B12974&lt;5,Einstellungen!$B$3,Einstellungen!$B$4)</f>
        <v>29.13</v>
      </c>
      <c r="E12974" s="14" t="str">
        <f aca="false">IF(C12974="","",C12974*D12974/100)</f>
        <v/>
      </c>
      <c r="F12974" s="15" t="str">
        <f aca="false">IF(B12974&lt;5,"Go","Standard")</f>
        <v>Standard</v>
      </c>
    </row>
    <row r="12975" customFormat="false" ht="15" hidden="false" customHeight="true" outlineLevel="0" collapsed="false">
      <c r="A12975" s="10" t="n">
        <f aca="false">Einstellungen!$B$5+INT((ROW()-9)/24)</f>
        <v>46506</v>
      </c>
      <c r="B12975" s="11" t="n">
        <f aca="false">MOD(ROW()-9,24)</f>
        <v>6</v>
      </c>
      <c r="C12975" s="12"/>
      <c r="D12975" s="13" t="n">
        <f aca="false">IF(B12975&lt;5,Einstellungen!$B$3,Einstellungen!$B$4)</f>
        <v>29.13</v>
      </c>
      <c r="E12975" s="14" t="str">
        <f aca="false">IF(C12975="","",C12975*D12975/100)</f>
        <v/>
      </c>
      <c r="F12975" s="15" t="str">
        <f aca="false">IF(B12975&lt;5,"Go","Standard")</f>
        <v>Standard</v>
      </c>
    </row>
    <row r="12976" customFormat="false" ht="15" hidden="false" customHeight="true" outlineLevel="0" collapsed="false">
      <c r="A12976" s="10" t="n">
        <f aca="false">Einstellungen!$B$5+INT((ROW()-9)/24)</f>
        <v>46506</v>
      </c>
      <c r="B12976" s="11" t="n">
        <f aca="false">MOD(ROW()-9,24)</f>
        <v>7</v>
      </c>
      <c r="C12976" s="12"/>
      <c r="D12976" s="13" t="n">
        <f aca="false">IF(B12976&lt;5,Einstellungen!$B$3,Einstellungen!$B$4)</f>
        <v>29.13</v>
      </c>
      <c r="E12976" s="14" t="str">
        <f aca="false">IF(C12976="","",C12976*D12976/100)</f>
        <v/>
      </c>
      <c r="F12976" s="15" t="str">
        <f aca="false">IF(B12976&lt;5,"Go","Standard")</f>
        <v>Standard</v>
      </c>
    </row>
    <row r="12977" customFormat="false" ht="15" hidden="false" customHeight="true" outlineLevel="0" collapsed="false">
      <c r="A12977" s="10" t="n">
        <f aca="false">Einstellungen!$B$5+INT((ROW()-9)/24)</f>
        <v>46506</v>
      </c>
      <c r="B12977" s="11" t="n">
        <f aca="false">MOD(ROW()-9,24)</f>
        <v>8</v>
      </c>
      <c r="C12977" s="12"/>
      <c r="D12977" s="13" t="n">
        <f aca="false">IF(B12977&lt;5,Einstellungen!$B$3,Einstellungen!$B$4)</f>
        <v>29.13</v>
      </c>
      <c r="E12977" s="14" t="str">
        <f aca="false">IF(C12977="","",C12977*D12977/100)</f>
        <v/>
      </c>
      <c r="F12977" s="15" t="str">
        <f aca="false">IF(B12977&lt;5,"Go","Standard")</f>
        <v>Standard</v>
      </c>
    </row>
    <row r="12978" customFormat="false" ht="15" hidden="false" customHeight="true" outlineLevel="0" collapsed="false">
      <c r="A12978" s="10" t="n">
        <f aca="false">Einstellungen!$B$5+INT((ROW()-9)/24)</f>
        <v>46506</v>
      </c>
      <c r="B12978" s="11" t="n">
        <f aca="false">MOD(ROW()-9,24)</f>
        <v>9</v>
      </c>
      <c r="C12978" s="12"/>
      <c r="D12978" s="13" t="n">
        <f aca="false">IF(B12978&lt;5,Einstellungen!$B$3,Einstellungen!$B$4)</f>
        <v>29.13</v>
      </c>
      <c r="E12978" s="14" t="str">
        <f aca="false">IF(C12978="","",C12978*D12978/100)</f>
        <v/>
      </c>
      <c r="F12978" s="15" t="str">
        <f aca="false">IF(B12978&lt;5,"Go","Standard")</f>
        <v>Standard</v>
      </c>
    </row>
    <row r="12979" customFormat="false" ht="15" hidden="false" customHeight="true" outlineLevel="0" collapsed="false">
      <c r="A12979" s="10" t="n">
        <f aca="false">Einstellungen!$B$5+INT((ROW()-9)/24)</f>
        <v>46506</v>
      </c>
      <c r="B12979" s="11" t="n">
        <f aca="false">MOD(ROW()-9,24)</f>
        <v>10</v>
      </c>
      <c r="C12979" s="12"/>
      <c r="D12979" s="13" t="n">
        <f aca="false">IF(B12979&lt;5,Einstellungen!$B$3,Einstellungen!$B$4)</f>
        <v>29.13</v>
      </c>
      <c r="E12979" s="14" t="str">
        <f aca="false">IF(C12979="","",C12979*D12979/100)</f>
        <v/>
      </c>
      <c r="F12979" s="15" t="str">
        <f aca="false">IF(B12979&lt;5,"Go","Standard")</f>
        <v>Standard</v>
      </c>
    </row>
    <row r="12980" customFormat="false" ht="15" hidden="false" customHeight="true" outlineLevel="0" collapsed="false">
      <c r="A12980" s="10" t="n">
        <f aca="false">Einstellungen!$B$5+INT((ROW()-9)/24)</f>
        <v>46506</v>
      </c>
      <c r="B12980" s="11" t="n">
        <f aca="false">MOD(ROW()-9,24)</f>
        <v>11</v>
      </c>
      <c r="C12980" s="12"/>
      <c r="D12980" s="13" t="n">
        <f aca="false">IF(B12980&lt;5,Einstellungen!$B$3,Einstellungen!$B$4)</f>
        <v>29.13</v>
      </c>
      <c r="E12980" s="14" t="str">
        <f aca="false">IF(C12980="","",C12980*D12980/100)</f>
        <v/>
      </c>
      <c r="F12980" s="15" t="str">
        <f aca="false">IF(B12980&lt;5,"Go","Standard")</f>
        <v>Standard</v>
      </c>
    </row>
    <row r="12981" customFormat="false" ht="15" hidden="false" customHeight="true" outlineLevel="0" collapsed="false">
      <c r="A12981" s="10" t="n">
        <f aca="false">Einstellungen!$B$5+INT((ROW()-9)/24)</f>
        <v>46506</v>
      </c>
      <c r="B12981" s="11" t="n">
        <f aca="false">MOD(ROW()-9,24)</f>
        <v>12</v>
      </c>
      <c r="C12981" s="12"/>
      <c r="D12981" s="13" t="n">
        <f aca="false">IF(B12981&lt;5,Einstellungen!$B$3,Einstellungen!$B$4)</f>
        <v>29.13</v>
      </c>
      <c r="E12981" s="14" t="str">
        <f aca="false">IF(C12981="","",C12981*D12981/100)</f>
        <v/>
      </c>
      <c r="F12981" s="15" t="str">
        <f aca="false">IF(B12981&lt;5,"Go","Standard")</f>
        <v>Standard</v>
      </c>
    </row>
    <row r="12982" customFormat="false" ht="15" hidden="false" customHeight="true" outlineLevel="0" collapsed="false">
      <c r="A12982" s="10" t="n">
        <f aca="false">Einstellungen!$B$5+INT((ROW()-9)/24)</f>
        <v>46506</v>
      </c>
      <c r="B12982" s="11" t="n">
        <f aca="false">MOD(ROW()-9,24)</f>
        <v>13</v>
      </c>
      <c r="C12982" s="12"/>
      <c r="D12982" s="13" t="n">
        <f aca="false">IF(B12982&lt;5,Einstellungen!$B$3,Einstellungen!$B$4)</f>
        <v>29.13</v>
      </c>
      <c r="E12982" s="14" t="str">
        <f aca="false">IF(C12982="","",C12982*D12982/100)</f>
        <v/>
      </c>
      <c r="F12982" s="15" t="str">
        <f aca="false">IF(B12982&lt;5,"Go","Standard")</f>
        <v>Standard</v>
      </c>
    </row>
    <row r="12983" customFormat="false" ht="15" hidden="false" customHeight="true" outlineLevel="0" collapsed="false">
      <c r="A12983" s="10" t="n">
        <f aca="false">Einstellungen!$B$5+INT((ROW()-9)/24)</f>
        <v>46506</v>
      </c>
      <c r="B12983" s="11" t="n">
        <f aca="false">MOD(ROW()-9,24)</f>
        <v>14</v>
      </c>
      <c r="C12983" s="12"/>
      <c r="D12983" s="13" t="n">
        <f aca="false">IF(B12983&lt;5,Einstellungen!$B$3,Einstellungen!$B$4)</f>
        <v>29.13</v>
      </c>
      <c r="E12983" s="14" t="str">
        <f aca="false">IF(C12983="","",C12983*D12983/100)</f>
        <v/>
      </c>
      <c r="F12983" s="15" t="str">
        <f aca="false">IF(B12983&lt;5,"Go","Standard")</f>
        <v>Standard</v>
      </c>
    </row>
    <row r="12984" customFormat="false" ht="15" hidden="false" customHeight="true" outlineLevel="0" collapsed="false">
      <c r="A12984" s="10" t="n">
        <f aca="false">Einstellungen!$B$5+INT((ROW()-9)/24)</f>
        <v>46506</v>
      </c>
      <c r="B12984" s="11" t="n">
        <f aca="false">MOD(ROW()-9,24)</f>
        <v>15</v>
      </c>
      <c r="C12984" s="12"/>
      <c r="D12984" s="13" t="n">
        <f aca="false">IF(B12984&lt;5,Einstellungen!$B$3,Einstellungen!$B$4)</f>
        <v>29.13</v>
      </c>
      <c r="E12984" s="14" t="str">
        <f aca="false">IF(C12984="","",C12984*D12984/100)</f>
        <v/>
      </c>
      <c r="F12984" s="15" t="str">
        <f aca="false">IF(B12984&lt;5,"Go","Standard")</f>
        <v>Standard</v>
      </c>
    </row>
    <row r="12985" customFormat="false" ht="15" hidden="false" customHeight="true" outlineLevel="0" collapsed="false">
      <c r="A12985" s="10" t="n">
        <f aca="false">Einstellungen!$B$5+INT((ROW()-9)/24)</f>
        <v>46506</v>
      </c>
      <c r="B12985" s="11" t="n">
        <f aca="false">MOD(ROW()-9,24)</f>
        <v>16</v>
      </c>
      <c r="C12985" s="12"/>
      <c r="D12985" s="13" t="n">
        <f aca="false">IF(B12985&lt;5,Einstellungen!$B$3,Einstellungen!$B$4)</f>
        <v>29.13</v>
      </c>
      <c r="E12985" s="14" t="str">
        <f aca="false">IF(C12985="","",C12985*D12985/100)</f>
        <v/>
      </c>
      <c r="F12985" s="15" t="str">
        <f aca="false">IF(B12985&lt;5,"Go","Standard")</f>
        <v>Standard</v>
      </c>
    </row>
    <row r="12986" customFormat="false" ht="15" hidden="false" customHeight="true" outlineLevel="0" collapsed="false">
      <c r="A12986" s="10" t="n">
        <f aca="false">Einstellungen!$B$5+INT((ROW()-9)/24)</f>
        <v>46506</v>
      </c>
      <c r="B12986" s="11" t="n">
        <f aca="false">MOD(ROW()-9,24)</f>
        <v>17</v>
      </c>
      <c r="C12986" s="12"/>
      <c r="D12986" s="13" t="n">
        <f aca="false">IF(B12986&lt;5,Einstellungen!$B$3,Einstellungen!$B$4)</f>
        <v>29.13</v>
      </c>
      <c r="E12986" s="14" t="str">
        <f aca="false">IF(C12986="","",C12986*D12986/100)</f>
        <v/>
      </c>
      <c r="F12986" s="15" t="str">
        <f aca="false">IF(B12986&lt;5,"Go","Standard")</f>
        <v>Standard</v>
      </c>
    </row>
    <row r="12987" customFormat="false" ht="15" hidden="false" customHeight="true" outlineLevel="0" collapsed="false">
      <c r="A12987" s="10" t="n">
        <f aca="false">Einstellungen!$B$5+INT((ROW()-9)/24)</f>
        <v>46506</v>
      </c>
      <c r="B12987" s="11" t="n">
        <f aca="false">MOD(ROW()-9,24)</f>
        <v>18</v>
      </c>
      <c r="C12987" s="12"/>
      <c r="D12987" s="13" t="n">
        <f aca="false">IF(B12987&lt;5,Einstellungen!$B$3,Einstellungen!$B$4)</f>
        <v>29.13</v>
      </c>
      <c r="E12987" s="14" t="str">
        <f aca="false">IF(C12987="","",C12987*D12987/100)</f>
        <v/>
      </c>
      <c r="F12987" s="15" t="str">
        <f aca="false">IF(B12987&lt;5,"Go","Standard")</f>
        <v>Standard</v>
      </c>
    </row>
    <row r="12988" customFormat="false" ht="15" hidden="false" customHeight="true" outlineLevel="0" collapsed="false">
      <c r="A12988" s="10" t="n">
        <f aca="false">Einstellungen!$B$5+INT((ROW()-9)/24)</f>
        <v>46506</v>
      </c>
      <c r="B12988" s="11" t="n">
        <f aca="false">MOD(ROW()-9,24)</f>
        <v>19</v>
      </c>
      <c r="C12988" s="12"/>
      <c r="D12988" s="13" t="n">
        <f aca="false">IF(B12988&lt;5,Einstellungen!$B$3,Einstellungen!$B$4)</f>
        <v>29.13</v>
      </c>
      <c r="E12988" s="14" t="str">
        <f aca="false">IF(C12988="","",C12988*D12988/100)</f>
        <v/>
      </c>
      <c r="F12988" s="15" t="str">
        <f aca="false">IF(B12988&lt;5,"Go","Standard")</f>
        <v>Standard</v>
      </c>
    </row>
    <row r="12989" customFormat="false" ht="15" hidden="false" customHeight="true" outlineLevel="0" collapsed="false">
      <c r="A12989" s="10" t="n">
        <f aca="false">Einstellungen!$B$5+INT((ROW()-9)/24)</f>
        <v>46506</v>
      </c>
      <c r="B12989" s="11" t="n">
        <f aca="false">MOD(ROW()-9,24)</f>
        <v>20</v>
      </c>
      <c r="C12989" s="12"/>
      <c r="D12989" s="13" t="n">
        <f aca="false">IF(B12989&lt;5,Einstellungen!$B$3,Einstellungen!$B$4)</f>
        <v>29.13</v>
      </c>
      <c r="E12989" s="14" t="str">
        <f aca="false">IF(C12989="","",C12989*D12989/100)</f>
        <v/>
      </c>
      <c r="F12989" s="15" t="str">
        <f aca="false">IF(B12989&lt;5,"Go","Standard")</f>
        <v>Standard</v>
      </c>
    </row>
    <row r="12990" customFormat="false" ht="15" hidden="false" customHeight="true" outlineLevel="0" collapsed="false">
      <c r="A12990" s="10" t="n">
        <f aca="false">Einstellungen!$B$5+INT((ROW()-9)/24)</f>
        <v>46506</v>
      </c>
      <c r="B12990" s="11" t="n">
        <f aca="false">MOD(ROW()-9,24)</f>
        <v>21</v>
      </c>
      <c r="C12990" s="12"/>
      <c r="D12990" s="13" t="n">
        <f aca="false">IF(B12990&lt;5,Einstellungen!$B$3,Einstellungen!$B$4)</f>
        <v>29.13</v>
      </c>
      <c r="E12990" s="14" t="str">
        <f aca="false">IF(C12990="","",C12990*D12990/100)</f>
        <v/>
      </c>
      <c r="F12990" s="15" t="str">
        <f aca="false">IF(B12990&lt;5,"Go","Standard")</f>
        <v>Standard</v>
      </c>
    </row>
    <row r="12991" customFormat="false" ht="15" hidden="false" customHeight="true" outlineLevel="0" collapsed="false">
      <c r="A12991" s="10" t="n">
        <f aca="false">Einstellungen!$B$5+INT((ROW()-9)/24)</f>
        <v>46506</v>
      </c>
      <c r="B12991" s="11" t="n">
        <f aca="false">MOD(ROW()-9,24)</f>
        <v>22</v>
      </c>
      <c r="C12991" s="12"/>
      <c r="D12991" s="13" t="n">
        <f aca="false">IF(B12991&lt;5,Einstellungen!$B$3,Einstellungen!$B$4)</f>
        <v>29.13</v>
      </c>
      <c r="E12991" s="14" t="str">
        <f aca="false">IF(C12991="","",C12991*D12991/100)</f>
        <v/>
      </c>
      <c r="F12991" s="15" t="str">
        <f aca="false">IF(B12991&lt;5,"Go","Standard")</f>
        <v>Standard</v>
      </c>
    </row>
    <row r="12992" customFormat="false" ht="15" hidden="false" customHeight="true" outlineLevel="0" collapsed="false">
      <c r="A12992" s="10" t="n">
        <f aca="false">Einstellungen!$B$5+INT((ROW()-9)/24)</f>
        <v>46506</v>
      </c>
      <c r="B12992" s="11" t="n">
        <f aca="false">MOD(ROW()-9,24)</f>
        <v>23</v>
      </c>
      <c r="C12992" s="12"/>
      <c r="D12992" s="13" t="n">
        <f aca="false">IF(B12992&lt;5,Einstellungen!$B$3,Einstellungen!$B$4)</f>
        <v>29.13</v>
      </c>
      <c r="E12992" s="14" t="str">
        <f aca="false">IF(C12992="","",C12992*D12992/100)</f>
        <v/>
      </c>
      <c r="F12992" s="15" t="str">
        <f aca="false">IF(B12992&lt;5,"Go","Standard")</f>
        <v>Standard</v>
      </c>
    </row>
    <row r="12993" customFormat="false" ht="15" hidden="false" customHeight="true" outlineLevel="0" collapsed="false">
      <c r="A12993" s="10" t="n">
        <f aca="false">Einstellungen!$B$5+INT((ROW()-9)/24)</f>
        <v>46507</v>
      </c>
      <c r="B12993" s="11" t="n">
        <f aca="false">MOD(ROW()-9,24)</f>
        <v>0</v>
      </c>
      <c r="C12993" s="12"/>
      <c r="D12993" s="13" t="n">
        <f aca="false">IF(B12993&lt;5,Einstellungen!$B$3,Einstellungen!$B$4)</f>
        <v>15.92</v>
      </c>
      <c r="E12993" s="14" t="str">
        <f aca="false">IF(C12993="","",C12993*D12993/100)</f>
        <v/>
      </c>
      <c r="F12993" s="15" t="str">
        <f aca="false">IF(B12993&lt;5,"Go","Standard")</f>
        <v>Go</v>
      </c>
    </row>
    <row r="12994" customFormat="false" ht="15" hidden="false" customHeight="true" outlineLevel="0" collapsed="false">
      <c r="A12994" s="10" t="n">
        <f aca="false">Einstellungen!$B$5+INT((ROW()-9)/24)</f>
        <v>46507</v>
      </c>
      <c r="B12994" s="11" t="n">
        <f aca="false">MOD(ROW()-9,24)</f>
        <v>1</v>
      </c>
      <c r="C12994" s="12"/>
      <c r="D12994" s="13" t="n">
        <f aca="false">IF(B12994&lt;5,Einstellungen!$B$3,Einstellungen!$B$4)</f>
        <v>15.92</v>
      </c>
      <c r="E12994" s="14" t="str">
        <f aca="false">IF(C12994="","",C12994*D12994/100)</f>
        <v/>
      </c>
      <c r="F12994" s="15" t="str">
        <f aca="false">IF(B12994&lt;5,"Go","Standard")</f>
        <v>Go</v>
      </c>
    </row>
    <row r="12995" customFormat="false" ht="15" hidden="false" customHeight="true" outlineLevel="0" collapsed="false">
      <c r="A12995" s="10" t="n">
        <f aca="false">Einstellungen!$B$5+INT((ROW()-9)/24)</f>
        <v>46507</v>
      </c>
      <c r="B12995" s="11" t="n">
        <f aca="false">MOD(ROW()-9,24)</f>
        <v>2</v>
      </c>
      <c r="C12995" s="12"/>
      <c r="D12995" s="13" t="n">
        <f aca="false">IF(B12995&lt;5,Einstellungen!$B$3,Einstellungen!$B$4)</f>
        <v>15.92</v>
      </c>
      <c r="E12995" s="14" t="str">
        <f aca="false">IF(C12995="","",C12995*D12995/100)</f>
        <v/>
      </c>
      <c r="F12995" s="15" t="str">
        <f aca="false">IF(B12995&lt;5,"Go","Standard")</f>
        <v>Go</v>
      </c>
    </row>
    <row r="12996" customFormat="false" ht="15" hidden="false" customHeight="true" outlineLevel="0" collapsed="false">
      <c r="A12996" s="10" t="n">
        <f aca="false">Einstellungen!$B$5+INT((ROW()-9)/24)</f>
        <v>46507</v>
      </c>
      <c r="B12996" s="11" t="n">
        <f aca="false">MOD(ROW()-9,24)</f>
        <v>3</v>
      </c>
      <c r="C12996" s="12"/>
      <c r="D12996" s="13" t="n">
        <f aca="false">IF(B12996&lt;5,Einstellungen!$B$3,Einstellungen!$B$4)</f>
        <v>15.92</v>
      </c>
      <c r="E12996" s="14" t="str">
        <f aca="false">IF(C12996="","",C12996*D12996/100)</f>
        <v/>
      </c>
      <c r="F12996" s="15" t="str">
        <f aca="false">IF(B12996&lt;5,"Go","Standard")</f>
        <v>Go</v>
      </c>
    </row>
    <row r="12997" customFormat="false" ht="15" hidden="false" customHeight="true" outlineLevel="0" collapsed="false">
      <c r="A12997" s="10" t="n">
        <f aca="false">Einstellungen!$B$5+INT((ROW()-9)/24)</f>
        <v>46507</v>
      </c>
      <c r="B12997" s="11" t="n">
        <f aca="false">MOD(ROW()-9,24)</f>
        <v>4</v>
      </c>
      <c r="C12997" s="12"/>
      <c r="D12997" s="13" t="n">
        <f aca="false">IF(B12997&lt;5,Einstellungen!$B$3,Einstellungen!$B$4)</f>
        <v>15.92</v>
      </c>
      <c r="E12997" s="14" t="str">
        <f aca="false">IF(C12997="","",C12997*D12997/100)</f>
        <v/>
      </c>
      <c r="F12997" s="15" t="str">
        <f aca="false">IF(B12997&lt;5,"Go","Standard")</f>
        <v>Go</v>
      </c>
    </row>
    <row r="12998" customFormat="false" ht="15" hidden="false" customHeight="true" outlineLevel="0" collapsed="false">
      <c r="A12998" s="10" t="n">
        <f aca="false">Einstellungen!$B$5+INT((ROW()-9)/24)</f>
        <v>46507</v>
      </c>
      <c r="B12998" s="11" t="n">
        <f aca="false">MOD(ROW()-9,24)</f>
        <v>5</v>
      </c>
      <c r="C12998" s="12"/>
      <c r="D12998" s="13" t="n">
        <f aca="false">IF(B12998&lt;5,Einstellungen!$B$3,Einstellungen!$B$4)</f>
        <v>29.13</v>
      </c>
      <c r="E12998" s="14" t="str">
        <f aca="false">IF(C12998="","",C12998*D12998/100)</f>
        <v/>
      </c>
      <c r="F12998" s="15" t="str">
        <f aca="false">IF(B12998&lt;5,"Go","Standard")</f>
        <v>Standard</v>
      </c>
    </row>
    <row r="12999" customFormat="false" ht="15" hidden="false" customHeight="true" outlineLevel="0" collapsed="false">
      <c r="A12999" s="10" t="n">
        <f aca="false">Einstellungen!$B$5+INT((ROW()-9)/24)</f>
        <v>46507</v>
      </c>
      <c r="B12999" s="11" t="n">
        <f aca="false">MOD(ROW()-9,24)</f>
        <v>6</v>
      </c>
      <c r="C12999" s="12"/>
      <c r="D12999" s="13" t="n">
        <f aca="false">IF(B12999&lt;5,Einstellungen!$B$3,Einstellungen!$B$4)</f>
        <v>29.13</v>
      </c>
      <c r="E12999" s="14" t="str">
        <f aca="false">IF(C12999="","",C12999*D12999/100)</f>
        <v/>
      </c>
      <c r="F12999" s="15" t="str">
        <f aca="false">IF(B12999&lt;5,"Go","Standard")</f>
        <v>Standard</v>
      </c>
    </row>
    <row r="13000" customFormat="false" ht="15" hidden="false" customHeight="true" outlineLevel="0" collapsed="false">
      <c r="A13000" s="10" t="n">
        <f aca="false">Einstellungen!$B$5+INT((ROW()-9)/24)</f>
        <v>46507</v>
      </c>
      <c r="B13000" s="11" t="n">
        <f aca="false">MOD(ROW()-9,24)</f>
        <v>7</v>
      </c>
      <c r="C13000" s="12"/>
      <c r="D13000" s="13" t="n">
        <f aca="false">IF(B13000&lt;5,Einstellungen!$B$3,Einstellungen!$B$4)</f>
        <v>29.13</v>
      </c>
      <c r="E13000" s="14" t="str">
        <f aca="false">IF(C13000="","",C13000*D13000/100)</f>
        <v/>
      </c>
      <c r="F13000" s="15" t="str">
        <f aca="false">IF(B13000&lt;5,"Go","Standard")</f>
        <v>Standard</v>
      </c>
    </row>
    <row r="13001" customFormat="false" ht="15" hidden="false" customHeight="true" outlineLevel="0" collapsed="false">
      <c r="A13001" s="10" t="n">
        <f aca="false">Einstellungen!$B$5+INT((ROW()-9)/24)</f>
        <v>46507</v>
      </c>
      <c r="B13001" s="11" t="n">
        <f aca="false">MOD(ROW()-9,24)</f>
        <v>8</v>
      </c>
      <c r="C13001" s="12"/>
      <c r="D13001" s="13" t="n">
        <f aca="false">IF(B13001&lt;5,Einstellungen!$B$3,Einstellungen!$B$4)</f>
        <v>29.13</v>
      </c>
      <c r="E13001" s="14" t="str">
        <f aca="false">IF(C13001="","",C13001*D13001/100)</f>
        <v/>
      </c>
      <c r="F13001" s="15" t="str">
        <f aca="false">IF(B13001&lt;5,"Go","Standard")</f>
        <v>Standard</v>
      </c>
    </row>
    <row r="13002" customFormat="false" ht="15" hidden="false" customHeight="true" outlineLevel="0" collapsed="false">
      <c r="A13002" s="10" t="n">
        <f aca="false">Einstellungen!$B$5+INT((ROW()-9)/24)</f>
        <v>46507</v>
      </c>
      <c r="B13002" s="11" t="n">
        <f aca="false">MOD(ROW()-9,24)</f>
        <v>9</v>
      </c>
      <c r="C13002" s="12"/>
      <c r="D13002" s="13" t="n">
        <f aca="false">IF(B13002&lt;5,Einstellungen!$B$3,Einstellungen!$B$4)</f>
        <v>29.13</v>
      </c>
      <c r="E13002" s="14" t="str">
        <f aca="false">IF(C13002="","",C13002*D13002/100)</f>
        <v/>
      </c>
      <c r="F13002" s="15" t="str">
        <f aca="false">IF(B13002&lt;5,"Go","Standard")</f>
        <v>Standard</v>
      </c>
    </row>
    <row r="13003" customFormat="false" ht="15" hidden="false" customHeight="true" outlineLevel="0" collapsed="false">
      <c r="A13003" s="10" t="n">
        <f aca="false">Einstellungen!$B$5+INT((ROW()-9)/24)</f>
        <v>46507</v>
      </c>
      <c r="B13003" s="11" t="n">
        <f aca="false">MOD(ROW()-9,24)</f>
        <v>10</v>
      </c>
      <c r="C13003" s="12"/>
      <c r="D13003" s="13" t="n">
        <f aca="false">IF(B13003&lt;5,Einstellungen!$B$3,Einstellungen!$B$4)</f>
        <v>29.13</v>
      </c>
      <c r="E13003" s="14" t="str">
        <f aca="false">IF(C13003="","",C13003*D13003/100)</f>
        <v/>
      </c>
      <c r="F13003" s="15" t="str">
        <f aca="false">IF(B13003&lt;5,"Go","Standard")</f>
        <v>Standard</v>
      </c>
    </row>
    <row r="13004" customFormat="false" ht="15" hidden="false" customHeight="true" outlineLevel="0" collapsed="false">
      <c r="A13004" s="10" t="n">
        <f aca="false">Einstellungen!$B$5+INT((ROW()-9)/24)</f>
        <v>46507</v>
      </c>
      <c r="B13004" s="11" t="n">
        <f aca="false">MOD(ROW()-9,24)</f>
        <v>11</v>
      </c>
      <c r="C13004" s="12"/>
      <c r="D13004" s="13" t="n">
        <f aca="false">IF(B13004&lt;5,Einstellungen!$B$3,Einstellungen!$B$4)</f>
        <v>29.13</v>
      </c>
      <c r="E13004" s="14" t="str">
        <f aca="false">IF(C13004="","",C13004*D13004/100)</f>
        <v/>
      </c>
      <c r="F13004" s="15" t="str">
        <f aca="false">IF(B13004&lt;5,"Go","Standard")</f>
        <v>Standard</v>
      </c>
    </row>
    <row r="13005" customFormat="false" ht="15" hidden="false" customHeight="true" outlineLevel="0" collapsed="false">
      <c r="A13005" s="10" t="n">
        <f aca="false">Einstellungen!$B$5+INT((ROW()-9)/24)</f>
        <v>46507</v>
      </c>
      <c r="B13005" s="11" t="n">
        <f aca="false">MOD(ROW()-9,24)</f>
        <v>12</v>
      </c>
      <c r="C13005" s="12"/>
      <c r="D13005" s="13" t="n">
        <f aca="false">IF(B13005&lt;5,Einstellungen!$B$3,Einstellungen!$B$4)</f>
        <v>29.13</v>
      </c>
      <c r="E13005" s="14" t="str">
        <f aca="false">IF(C13005="","",C13005*D13005/100)</f>
        <v/>
      </c>
      <c r="F13005" s="15" t="str">
        <f aca="false">IF(B13005&lt;5,"Go","Standard")</f>
        <v>Standard</v>
      </c>
    </row>
    <row r="13006" customFormat="false" ht="15" hidden="false" customHeight="true" outlineLevel="0" collapsed="false">
      <c r="A13006" s="10" t="n">
        <f aca="false">Einstellungen!$B$5+INT((ROW()-9)/24)</f>
        <v>46507</v>
      </c>
      <c r="B13006" s="11" t="n">
        <f aca="false">MOD(ROW()-9,24)</f>
        <v>13</v>
      </c>
      <c r="C13006" s="12"/>
      <c r="D13006" s="13" t="n">
        <f aca="false">IF(B13006&lt;5,Einstellungen!$B$3,Einstellungen!$B$4)</f>
        <v>29.13</v>
      </c>
      <c r="E13006" s="14" t="str">
        <f aca="false">IF(C13006="","",C13006*D13006/100)</f>
        <v/>
      </c>
      <c r="F13006" s="15" t="str">
        <f aca="false">IF(B13006&lt;5,"Go","Standard")</f>
        <v>Standard</v>
      </c>
    </row>
    <row r="13007" customFormat="false" ht="15" hidden="false" customHeight="true" outlineLevel="0" collapsed="false">
      <c r="A13007" s="10" t="n">
        <f aca="false">Einstellungen!$B$5+INT((ROW()-9)/24)</f>
        <v>46507</v>
      </c>
      <c r="B13007" s="11" t="n">
        <f aca="false">MOD(ROW()-9,24)</f>
        <v>14</v>
      </c>
      <c r="C13007" s="12"/>
      <c r="D13007" s="13" t="n">
        <f aca="false">IF(B13007&lt;5,Einstellungen!$B$3,Einstellungen!$B$4)</f>
        <v>29.13</v>
      </c>
      <c r="E13007" s="14" t="str">
        <f aca="false">IF(C13007="","",C13007*D13007/100)</f>
        <v/>
      </c>
      <c r="F13007" s="15" t="str">
        <f aca="false">IF(B13007&lt;5,"Go","Standard")</f>
        <v>Standard</v>
      </c>
    </row>
    <row r="13008" customFormat="false" ht="15" hidden="false" customHeight="true" outlineLevel="0" collapsed="false">
      <c r="A13008" s="10" t="n">
        <f aca="false">Einstellungen!$B$5+INT((ROW()-9)/24)</f>
        <v>46507</v>
      </c>
      <c r="B13008" s="11" t="n">
        <f aca="false">MOD(ROW()-9,24)</f>
        <v>15</v>
      </c>
      <c r="C13008" s="12"/>
      <c r="D13008" s="13" t="n">
        <f aca="false">IF(B13008&lt;5,Einstellungen!$B$3,Einstellungen!$B$4)</f>
        <v>29.13</v>
      </c>
      <c r="E13008" s="14" t="str">
        <f aca="false">IF(C13008="","",C13008*D13008/100)</f>
        <v/>
      </c>
      <c r="F13008" s="15" t="str">
        <f aca="false">IF(B13008&lt;5,"Go","Standard")</f>
        <v>Standard</v>
      </c>
    </row>
    <row r="13009" customFormat="false" ht="15" hidden="false" customHeight="true" outlineLevel="0" collapsed="false">
      <c r="A13009" s="10" t="n">
        <f aca="false">Einstellungen!$B$5+INT((ROW()-9)/24)</f>
        <v>46507</v>
      </c>
      <c r="B13009" s="11" t="n">
        <f aca="false">MOD(ROW()-9,24)</f>
        <v>16</v>
      </c>
      <c r="C13009" s="12"/>
      <c r="D13009" s="13" t="n">
        <f aca="false">IF(B13009&lt;5,Einstellungen!$B$3,Einstellungen!$B$4)</f>
        <v>29.13</v>
      </c>
      <c r="E13009" s="14" t="str">
        <f aca="false">IF(C13009="","",C13009*D13009/100)</f>
        <v/>
      </c>
      <c r="F13009" s="15" t="str">
        <f aca="false">IF(B13009&lt;5,"Go","Standard")</f>
        <v>Standard</v>
      </c>
    </row>
    <row r="13010" customFormat="false" ht="15" hidden="false" customHeight="true" outlineLevel="0" collapsed="false">
      <c r="A13010" s="10" t="n">
        <f aca="false">Einstellungen!$B$5+INT((ROW()-9)/24)</f>
        <v>46507</v>
      </c>
      <c r="B13010" s="11" t="n">
        <f aca="false">MOD(ROW()-9,24)</f>
        <v>17</v>
      </c>
      <c r="C13010" s="12"/>
      <c r="D13010" s="13" t="n">
        <f aca="false">IF(B13010&lt;5,Einstellungen!$B$3,Einstellungen!$B$4)</f>
        <v>29.13</v>
      </c>
      <c r="E13010" s="14" t="str">
        <f aca="false">IF(C13010="","",C13010*D13010/100)</f>
        <v/>
      </c>
      <c r="F13010" s="15" t="str">
        <f aca="false">IF(B13010&lt;5,"Go","Standard")</f>
        <v>Standard</v>
      </c>
    </row>
    <row r="13011" customFormat="false" ht="15" hidden="false" customHeight="true" outlineLevel="0" collapsed="false">
      <c r="A13011" s="10" t="n">
        <f aca="false">Einstellungen!$B$5+INT((ROW()-9)/24)</f>
        <v>46507</v>
      </c>
      <c r="B13011" s="11" t="n">
        <f aca="false">MOD(ROW()-9,24)</f>
        <v>18</v>
      </c>
      <c r="C13011" s="12"/>
      <c r="D13011" s="13" t="n">
        <f aca="false">IF(B13011&lt;5,Einstellungen!$B$3,Einstellungen!$B$4)</f>
        <v>29.13</v>
      </c>
      <c r="E13011" s="14" t="str">
        <f aca="false">IF(C13011="","",C13011*D13011/100)</f>
        <v/>
      </c>
      <c r="F13011" s="15" t="str">
        <f aca="false">IF(B13011&lt;5,"Go","Standard")</f>
        <v>Standard</v>
      </c>
    </row>
    <row r="13012" customFormat="false" ht="15" hidden="false" customHeight="true" outlineLevel="0" collapsed="false">
      <c r="A13012" s="10" t="n">
        <f aca="false">Einstellungen!$B$5+INT((ROW()-9)/24)</f>
        <v>46507</v>
      </c>
      <c r="B13012" s="11" t="n">
        <f aca="false">MOD(ROW()-9,24)</f>
        <v>19</v>
      </c>
      <c r="C13012" s="12"/>
      <c r="D13012" s="13" t="n">
        <f aca="false">IF(B13012&lt;5,Einstellungen!$B$3,Einstellungen!$B$4)</f>
        <v>29.13</v>
      </c>
      <c r="E13012" s="14" t="str">
        <f aca="false">IF(C13012="","",C13012*D13012/100)</f>
        <v/>
      </c>
      <c r="F13012" s="15" t="str">
        <f aca="false">IF(B13012&lt;5,"Go","Standard")</f>
        <v>Standard</v>
      </c>
    </row>
    <row r="13013" customFormat="false" ht="15" hidden="false" customHeight="true" outlineLevel="0" collapsed="false">
      <c r="A13013" s="10" t="n">
        <f aca="false">Einstellungen!$B$5+INT((ROW()-9)/24)</f>
        <v>46507</v>
      </c>
      <c r="B13013" s="11" t="n">
        <f aca="false">MOD(ROW()-9,24)</f>
        <v>20</v>
      </c>
      <c r="C13013" s="12"/>
      <c r="D13013" s="13" t="n">
        <f aca="false">IF(B13013&lt;5,Einstellungen!$B$3,Einstellungen!$B$4)</f>
        <v>29.13</v>
      </c>
      <c r="E13013" s="14" t="str">
        <f aca="false">IF(C13013="","",C13013*D13013/100)</f>
        <v/>
      </c>
      <c r="F13013" s="15" t="str">
        <f aca="false">IF(B13013&lt;5,"Go","Standard")</f>
        <v>Standard</v>
      </c>
    </row>
    <row r="13014" customFormat="false" ht="15" hidden="false" customHeight="true" outlineLevel="0" collapsed="false">
      <c r="A13014" s="10" t="n">
        <f aca="false">Einstellungen!$B$5+INT((ROW()-9)/24)</f>
        <v>46507</v>
      </c>
      <c r="B13014" s="11" t="n">
        <f aca="false">MOD(ROW()-9,24)</f>
        <v>21</v>
      </c>
      <c r="C13014" s="12"/>
      <c r="D13014" s="13" t="n">
        <f aca="false">IF(B13014&lt;5,Einstellungen!$B$3,Einstellungen!$B$4)</f>
        <v>29.13</v>
      </c>
      <c r="E13014" s="14" t="str">
        <f aca="false">IF(C13014="","",C13014*D13014/100)</f>
        <v/>
      </c>
      <c r="F13014" s="15" t="str">
        <f aca="false">IF(B13014&lt;5,"Go","Standard")</f>
        <v>Standard</v>
      </c>
    </row>
    <row r="13015" customFormat="false" ht="15" hidden="false" customHeight="true" outlineLevel="0" collapsed="false">
      <c r="A13015" s="10" t="n">
        <f aca="false">Einstellungen!$B$5+INT((ROW()-9)/24)</f>
        <v>46507</v>
      </c>
      <c r="B13015" s="11" t="n">
        <f aca="false">MOD(ROW()-9,24)</f>
        <v>22</v>
      </c>
      <c r="C13015" s="12"/>
      <c r="D13015" s="13" t="n">
        <f aca="false">IF(B13015&lt;5,Einstellungen!$B$3,Einstellungen!$B$4)</f>
        <v>29.13</v>
      </c>
      <c r="E13015" s="14" t="str">
        <f aca="false">IF(C13015="","",C13015*D13015/100)</f>
        <v/>
      </c>
      <c r="F13015" s="15" t="str">
        <f aca="false">IF(B13015&lt;5,"Go","Standard")</f>
        <v>Standard</v>
      </c>
    </row>
    <row r="13016" customFormat="false" ht="15" hidden="false" customHeight="true" outlineLevel="0" collapsed="false">
      <c r="A13016" s="10" t="n">
        <f aca="false">Einstellungen!$B$5+INT((ROW()-9)/24)</f>
        <v>46507</v>
      </c>
      <c r="B13016" s="11" t="n">
        <f aca="false">MOD(ROW()-9,24)</f>
        <v>23</v>
      </c>
      <c r="C13016" s="12"/>
      <c r="D13016" s="13" t="n">
        <f aca="false">IF(B13016&lt;5,Einstellungen!$B$3,Einstellungen!$B$4)</f>
        <v>29.13</v>
      </c>
      <c r="E13016" s="14" t="str">
        <f aca="false">IF(C13016="","",C13016*D13016/100)</f>
        <v/>
      </c>
      <c r="F13016" s="15" t="str">
        <f aca="false">IF(B13016&lt;5,"Go","Standard")</f>
        <v>Standard</v>
      </c>
    </row>
    <row r="13017" customFormat="false" ht="15" hidden="false" customHeight="true" outlineLevel="0" collapsed="false">
      <c r="A13017" s="10" t="n">
        <f aca="false">Einstellungen!$B$5+INT((ROW()-9)/24)</f>
        <v>46508</v>
      </c>
      <c r="B13017" s="11" t="n">
        <f aca="false">MOD(ROW()-9,24)</f>
        <v>0</v>
      </c>
      <c r="C13017" s="12"/>
      <c r="D13017" s="13" t="n">
        <f aca="false">IF(B13017&lt;5,Einstellungen!$B$3,Einstellungen!$B$4)</f>
        <v>15.92</v>
      </c>
      <c r="E13017" s="14" t="str">
        <f aca="false">IF(C13017="","",C13017*D13017/100)</f>
        <v/>
      </c>
      <c r="F13017" s="15" t="str">
        <f aca="false">IF(B13017&lt;5,"Go","Standard")</f>
        <v>Go</v>
      </c>
    </row>
    <row r="13018" customFormat="false" ht="15" hidden="false" customHeight="true" outlineLevel="0" collapsed="false">
      <c r="A13018" s="10" t="n">
        <f aca="false">Einstellungen!$B$5+INT((ROW()-9)/24)</f>
        <v>46508</v>
      </c>
      <c r="B13018" s="11" t="n">
        <f aca="false">MOD(ROW()-9,24)</f>
        <v>1</v>
      </c>
      <c r="C13018" s="12"/>
      <c r="D13018" s="13" t="n">
        <f aca="false">IF(B13018&lt;5,Einstellungen!$B$3,Einstellungen!$B$4)</f>
        <v>15.92</v>
      </c>
      <c r="E13018" s="14" t="str">
        <f aca="false">IF(C13018="","",C13018*D13018/100)</f>
        <v/>
      </c>
      <c r="F13018" s="15" t="str">
        <f aca="false">IF(B13018&lt;5,"Go","Standard")</f>
        <v>Go</v>
      </c>
    </row>
    <row r="13019" customFormat="false" ht="15" hidden="false" customHeight="true" outlineLevel="0" collapsed="false">
      <c r="A13019" s="10" t="n">
        <f aca="false">Einstellungen!$B$5+INT((ROW()-9)/24)</f>
        <v>46508</v>
      </c>
      <c r="B13019" s="11" t="n">
        <f aca="false">MOD(ROW()-9,24)</f>
        <v>2</v>
      </c>
      <c r="C13019" s="12"/>
      <c r="D13019" s="13" t="n">
        <f aca="false">IF(B13019&lt;5,Einstellungen!$B$3,Einstellungen!$B$4)</f>
        <v>15.92</v>
      </c>
      <c r="E13019" s="14" t="str">
        <f aca="false">IF(C13019="","",C13019*D13019/100)</f>
        <v/>
      </c>
      <c r="F13019" s="15" t="str">
        <f aca="false">IF(B13019&lt;5,"Go","Standard")</f>
        <v>Go</v>
      </c>
    </row>
    <row r="13020" customFormat="false" ht="15" hidden="false" customHeight="true" outlineLevel="0" collapsed="false">
      <c r="A13020" s="10" t="n">
        <f aca="false">Einstellungen!$B$5+INT((ROW()-9)/24)</f>
        <v>46508</v>
      </c>
      <c r="B13020" s="11" t="n">
        <f aca="false">MOD(ROW()-9,24)</f>
        <v>3</v>
      </c>
      <c r="C13020" s="12"/>
      <c r="D13020" s="13" t="n">
        <f aca="false">IF(B13020&lt;5,Einstellungen!$B$3,Einstellungen!$B$4)</f>
        <v>15.92</v>
      </c>
      <c r="E13020" s="14" t="str">
        <f aca="false">IF(C13020="","",C13020*D13020/100)</f>
        <v/>
      </c>
      <c r="F13020" s="15" t="str">
        <f aca="false">IF(B13020&lt;5,"Go","Standard")</f>
        <v>Go</v>
      </c>
    </row>
    <row r="13021" customFormat="false" ht="15" hidden="false" customHeight="true" outlineLevel="0" collapsed="false">
      <c r="A13021" s="10" t="n">
        <f aca="false">Einstellungen!$B$5+INT((ROW()-9)/24)</f>
        <v>46508</v>
      </c>
      <c r="B13021" s="11" t="n">
        <f aca="false">MOD(ROW()-9,24)</f>
        <v>4</v>
      </c>
      <c r="C13021" s="12"/>
      <c r="D13021" s="13" t="n">
        <f aca="false">IF(B13021&lt;5,Einstellungen!$B$3,Einstellungen!$B$4)</f>
        <v>15.92</v>
      </c>
      <c r="E13021" s="14" t="str">
        <f aca="false">IF(C13021="","",C13021*D13021/100)</f>
        <v/>
      </c>
      <c r="F13021" s="15" t="str">
        <f aca="false">IF(B13021&lt;5,"Go","Standard")</f>
        <v>Go</v>
      </c>
    </row>
    <row r="13022" customFormat="false" ht="15" hidden="false" customHeight="true" outlineLevel="0" collapsed="false">
      <c r="A13022" s="10" t="n">
        <f aca="false">Einstellungen!$B$5+INT((ROW()-9)/24)</f>
        <v>46508</v>
      </c>
      <c r="B13022" s="11" t="n">
        <f aca="false">MOD(ROW()-9,24)</f>
        <v>5</v>
      </c>
      <c r="C13022" s="12"/>
      <c r="D13022" s="13" t="n">
        <f aca="false">IF(B13022&lt;5,Einstellungen!$B$3,Einstellungen!$B$4)</f>
        <v>29.13</v>
      </c>
      <c r="E13022" s="14" t="str">
        <f aca="false">IF(C13022="","",C13022*D13022/100)</f>
        <v/>
      </c>
      <c r="F13022" s="15" t="str">
        <f aca="false">IF(B13022&lt;5,"Go","Standard")</f>
        <v>Standard</v>
      </c>
    </row>
    <row r="13023" customFormat="false" ht="15" hidden="false" customHeight="true" outlineLevel="0" collapsed="false">
      <c r="A13023" s="10" t="n">
        <f aca="false">Einstellungen!$B$5+INT((ROW()-9)/24)</f>
        <v>46508</v>
      </c>
      <c r="B13023" s="11" t="n">
        <f aca="false">MOD(ROW()-9,24)</f>
        <v>6</v>
      </c>
      <c r="C13023" s="12"/>
      <c r="D13023" s="13" t="n">
        <f aca="false">IF(B13023&lt;5,Einstellungen!$B$3,Einstellungen!$B$4)</f>
        <v>29.13</v>
      </c>
      <c r="E13023" s="14" t="str">
        <f aca="false">IF(C13023="","",C13023*D13023/100)</f>
        <v/>
      </c>
      <c r="F13023" s="15" t="str">
        <f aca="false">IF(B13023&lt;5,"Go","Standard")</f>
        <v>Standard</v>
      </c>
    </row>
    <row r="13024" customFormat="false" ht="15" hidden="false" customHeight="true" outlineLevel="0" collapsed="false">
      <c r="A13024" s="10" t="n">
        <f aca="false">Einstellungen!$B$5+INT((ROW()-9)/24)</f>
        <v>46508</v>
      </c>
      <c r="B13024" s="11" t="n">
        <f aca="false">MOD(ROW()-9,24)</f>
        <v>7</v>
      </c>
      <c r="C13024" s="12"/>
      <c r="D13024" s="13" t="n">
        <f aca="false">IF(B13024&lt;5,Einstellungen!$B$3,Einstellungen!$B$4)</f>
        <v>29.13</v>
      </c>
      <c r="E13024" s="14" t="str">
        <f aca="false">IF(C13024="","",C13024*D13024/100)</f>
        <v/>
      </c>
      <c r="F13024" s="15" t="str">
        <f aca="false">IF(B13024&lt;5,"Go","Standard")</f>
        <v>Standard</v>
      </c>
    </row>
    <row r="13025" customFormat="false" ht="15" hidden="false" customHeight="true" outlineLevel="0" collapsed="false">
      <c r="A13025" s="10" t="n">
        <f aca="false">Einstellungen!$B$5+INT((ROW()-9)/24)</f>
        <v>46508</v>
      </c>
      <c r="B13025" s="11" t="n">
        <f aca="false">MOD(ROW()-9,24)</f>
        <v>8</v>
      </c>
      <c r="C13025" s="12"/>
      <c r="D13025" s="13" t="n">
        <f aca="false">IF(B13025&lt;5,Einstellungen!$B$3,Einstellungen!$B$4)</f>
        <v>29.13</v>
      </c>
      <c r="E13025" s="14" t="str">
        <f aca="false">IF(C13025="","",C13025*D13025/100)</f>
        <v/>
      </c>
      <c r="F13025" s="15" t="str">
        <f aca="false">IF(B13025&lt;5,"Go","Standard")</f>
        <v>Standard</v>
      </c>
    </row>
    <row r="13026" customFormat="false" ht="15" hidden="false" customHeight="true" outlineLevel="0" collapsed="false">
      <c r="A13026" s="10" t="n">
        <f aca="false">Einstellungen!$B$5+INT((ROW()-9)/24)</f>
        <v>46508</v>
      </c>
      <c r="B13026" s="11" t="n">
        <f aca="false">MOD(ROW()-9,24)</f>
        <v>9</v>
      </c>
      <c r="C13026" s="12"/>
      <c r="D13026" s="13" t="n">
        <f aca="false">IF(B13026&lt;5,Einstellungen!$B$3,Einstellungen!$B$4)</f>
        <v>29.13</v>
      </c>
      <c r="E13026" s="14" t="str">
        <f aca="false">IF(C13026="","",C13026*D13026/100)</f>
        <v/>
      </c>
      <c r="F13026" s="15" t="str">
        <f aca="false">IF(B13026&lt;5,"Go","Standard")</f>
        <v>Standard</v>
      </c>
    </row>
    <row r="13027" customFormat="false" ht="15" hidden="false" customHeight="true" outlineLevel="0" collapsed="false">
      <c r="A13027" s="10" t="n">
        <f aca="false">Einstellungen!$B$5+INT((ROW()-9)/24)</f>
        <v>46508</v>
      </c>
      <c r="B13027" s="11" t="n">
        <f aca="false">MOD(ROW()-9,24)</f>
        <v>10</v>
      </c>
      <c r="C13027" s="12"/>
      <c r="D13027" s="13" t="n">
        <f aca="false">IF(B13027&lt;5,Einstellungen!$B$3,Einstellungen!$B$4)</f>
        <v>29.13</v>
      </c>
      <c r="E13027" s="14" t="str">
        <f aca="false">IF(C13027="","",C13027*D13027/100)</f>
        <v/>
      </c>
      <c r="F13027" s="15" t="str">
        <f aca="false">IF(B13027&lt;5,"Go","Standard")</f>
        <v>Standard</v>
      </c>
    </row>
    <row r="13028" customFormat="false" ht="15" hidden="false" customHeight="true" outlineLevel="0" collapsed="false">
      <c r="A13028" s="10" t="n">
        <f aca="false">Einstellungen!$B$5+INT((ROW()-9)/24)</f>
        <v>46508</v>
      </c>
      <c r="B13028" s="11" t="n">
        <f aca="false">MOD(ROW()-9,24)</f>
        <v>11</v>
      </c>
      <c r="C13028" s="12"/>
      <c r="D13028" s="13" t="n">
        <f aca="false">IF(B13028&lt;5,Einstellungen!$B$3,Einstellungen!$B$4)</f>
        <v>29.13</v>
      </c>
      <c r="E13028" s="14" t="str">
        <f aca="false">IF(C13028="","",C13028*D13028/100)</f>
        <v/>
      </c>
      <c r="F13028" s="15" t="str">
        <f aca="false">IF(B13028&lt;5,"Go","Standard")</f>
        <v>Standard</v>
      </c>
    </row>
    <row r="13029" customFormat="false" ht="15" hidden="false" customHeight="true" outlineLevel="0" collapsed="false">
      <c r="A13029" s="10" t="n">
        <f aca="false">Einstellungen!$B$5+INT((ROW()-9)/24)</f>
        <v>46508</v>
      </c>
      <c r="B13029" s="11" t="n">
        <f aca="false">MOD(ROW()-9,24)</f>
        <v>12</v>
      </c>
      <c r="C13029" s="12"/>
      <c r="D13029" s="13" t="n">
        <f aca="false">IF(B13029&lt;5,Einstellungen!$B$3,Einstellungen!$B$4)</f>
        <v>29.13</v>
      </c>
      <c r="E13029" s="14" t="str">
        <f aca="false">IF(C13029="","",C13029*D13029/100)</f>
        <v/>
      </c>
      <c r="F13029" s="15" t="str">
        <f aca="false">IF(B13029&lt;5,"Go","Standard")</f>
        <v>Standard</v>
      </c>
    </row>
    <row r="13030" customFormat="false" ht="15" hidden="false" customHeight="true" outlineLevel="0" collapsed="false">
      <c r="A13030" s="10" t="n">
        <f aca="false">Einstellungen!$B$5+INT((ROW()-9)/24)</f>
        <v>46508</v>
      </c>
      <c r="B13030" s="11" t="n">
        <f aca="false">MOD(ROW()-9,24)</f>
        <v>13</v>
      </c>
      <c r="C13030" s="12"/>
      <c r="D13030" s="13" t="n">
        <f aca="false">IF(B13030&lt;5,Einstellungen!$B$3,Einstellungen!$B$4)</f>
        <v>29.13</v>
      </c>
      <c r="E13030" s="14" t="str">
        <f aca="false">IF(C13030="","",C13030*D13030/100)</f>
        <v/>
      </c>
      <c r="F13030" s="15" t="str">
        <f aca="false">IF(B13030&lt;5,"Go","Standard")</f>
        <v>Standard</v>
      </c>
    </row>
    <row r="13031" customFormat="false" ht="15" hidden="false" customHeight="true" outlineLevel="0" collapsed="false">
      <c r="A13031" s="10" t="n">
        <f aca="false">Einstellungen!$B$5+INT((ROW()-9)/24)</f>
        <v>46508</v>
      </c>
      <c r="B13031" s="11" t="n">
        <f aca="false">MOD(ROW()-9,24)</f>
        <v>14</v>
      </c>
      <c r="C13031" s="12"/>
      <c r="D13031" s="13" t="n">
        <f aca="false">IF(B13031&lt;5,Einstellungen!$B$3,Einstellungen!$B$4)</f>
        <v>29.13</v>
      </c>
      <c r="E13031" s="14" t="str">
        <f aca="false">IF(C13031="","",C13031*D13031/100)</f>
        <v/>
      </c>
      <c r="F13031" s="15" t="str">
        <f aca="false">IF(B13031&lt;5,"Go","Standard")</f>
        <v>Standard</v>
      </c>
    </row>
    <row r="13032" customFormat="false" ht="15" hidden="false" customHeight="true" outlineLevel="0" collapsed="false">
      <c r="A13032" s="10" t="n">
        <f aca="false">Einstellungen!$B$5+INT((ROW()-9)/24)</f>
        <v>46508</v>
      </c>
      <c r="B13032" s="11" t="n">
        <f aca="false">MOD(ROW()-9,24)</f>
        <v>15</v>
      </c>
      <c r="C13032" s="12"/>
      <c r="D13032" s="13" t="n">
        <f aca="false">IF(B13032&lt;5,Einstellungen!$B$3,Einstellungen!$B$4)</f>
        <v>29.13</v>
      </c>
      <c r="E13032" s="14" t="str">
        <f aca="false">IF(C13032="","",C13032*D13032/100)</f>
        <v/>
      </c>
      <c r="F13032" s="15" t="str">
        <f aca="false">IF(B13032&lt;5,"Go","Standard")</f>
        <v>Standard</v>
      </c>
    </row>
    <row r="13033" customFormat="false" ht="15" hidden="false" customHeight="true" outlineLevel="0" collapsed="false">
      <c r="A13033" s="10" t="n">
        <f aca="false">Einstellungen!$B$5+INT((ROW()-9)/24)</f>
        <v>46508</v>
      </c>
      <c r="B13033" s="11" t="n">
        <f aca="false">MOD(ROW()-9,24)</f>
        <v>16</v>
      </c>
      <c r="C13033" s="12"/>
      <c r="D13033" s="13" t="n">
        <f aca="false">IF(B13033&lt;5,Einstellungen!$B$3,Einstellungen!$B$4)</f>
        <v>29.13</v>
      </c>
      <c r="E13033" s="14" t="str">
        <f aca="false">IF(C13033="","",C13033*D13033/100)</f>
        <v/>
      </c>
      <c r="F13033" s="15" t="str">
        <f aca="false">IF(B13033&lt;5,"Go","Standard")</f>
        <v>Standard</v>
      </c>
    </row>
    <row r="13034" customFormat="false" ht="15" hidden="false" customHeight="true" outlineLevel="0" collapsed="false">
      <c r="A13034" s="10" t="n">
        <f aca="false">Einstellungen!$B$5+INT((ROW()-9)/24)</f>
        <v>46508</v>
      </c>
      <c r="B13034" s="11" t="n">
        <f aca="false">MOD(ROW()-9,24)</f>
        <v>17</v>
      </c>
      <c r="C13034" s="12"/>
      <c r="D13034" s="13" t="n">
        <f aca="false">IF(B13034&lt;5,Einstellungen!$B$3,Einstellungen!$B$4)</f>
        <v>29.13</v>
      </c>
      <c r="E13034" s="14" t="str">
        <f aca="false">IF(C13034="","",C13034*D13034/100)</f>
        <v/>
      </c>
      <c r="F13034" s="15" t="str">
        <f aca="false">IF(B13034&lt;5,"Go","Standard")</f>
        <v>Standard</v>
      </c>
    </row>
    <row r="13035" customFormat="false" ht="15" hidden="false" customHeight="true" outlineLevel="0" collapsed="false">
      <c r="A13035" s="10" t="n">
        <f aca="false">Einstellungen!$B$5+INT((ROW()-9)/24)</f>
        <v>46508</v>
      </c>
      <c r="B13035" s="11" t="n">
        <f aca="false">MOD(ROW()-9,24)</f>
        <v>18</v>
      </c>
      <c r="C13035" s="12"/>
      <c r="D13035" s="13" t="n">
        <f aca="false">IF(B13035&lt;5,Einstellungen!$B$3,Einstellungen!$B$4)</f>
        <v>29.13</v>
      </c>
      <c r="E13035" s="14" t="str">
        <f aca="false">IF(C13035="","",C13035*D13035/100)</f>
        <v/>
      </c>
      <c r="F13035" s="15" t="str">
        <f aca="false">IF(B13035&lt;5,"Go","Standard")</f>
        <v>Standard</v>
      </c>
    </row>
    <row r="13036" customFormat="false" ht="15" hidden="false" customHeight="true" outlineLevel="0" collapsed="false">
      <c r="A13036" s="10" t="n">
        <f aca="false">Einstellungen!$B$5+INT((ROW()-9)/24)</f>
        <v>46508</v>
      </c>
      <c r="B13036" s="11" t="n">
        <f aca="false">MOD(ROW()-9,24)</f>
        <v>19</v>
      </c>
      <c r="C13036" s="12"/>
      <c r="D13036" s="13" t="n">
        <f aca="false">IF(B13036&lt;5,Einstellungen!$B$3,Einstellungen!$B$4)</f>
        <v>29.13</v>
      </c>
      <c r="E13036" s="14" t="str">
        <f aca="false">IF(C13036="","",C13036*D13036/100)</f>
        <v/>
      </c>
      <c r="F13036" s="15" t="str">
        <f aca="false">IF(B13036&lt;5,"Go","Standard")</f>
        <v>Standard</v>
      </c>
    </row>
    <row r="13037" customFormat="false" ht="15" hidden="false" customHeight="true" outlineLevel="0" collapsed="false">
      <c r="A13037" s="10" t="n">
        <f aca="false">Einstellungen!$B$5+INT((ROW()-9)/24)</f>
        <v>46508</v>
      </c>
      <c r="B13037" s="11" t="n">
        <f aca="false">MOD(ROW()-9,24)</f>
        <v>20</v>
      </c>
      <c r="C13037" s="12"/>
      <c r="D13037" s="13" t="n">
        <f aca="false">IF(B13037&lt;5,Einstellungen!$B$3,Einstellungen!$B$4)</f>
        <v>29.13</v>
      </c>
      <c r="E13037" s="14" t="str">
        <f aca="false">IF(C13037="","",C13037*D13037/100)</f>
        <v/>
      </c>
      <c r="F13037" s="15" t="str">
        <f aca="false">IF(B13037&lt;5,"Go","Standard")</f>
        <v>Standard</v>
      </c>
    </row>
    <row r="13038" customFormat="false" ht="15" hidden="false" customHeight="true" outlineLevel="0" collapsed="false">
      <c r="A13038" s="10" t="n">
        <f aca="false">Einstellungen!$B$5+INT((ROW()-9)/24)</f>
        <v>46508</v>
      </c>
      <c r="B13038" s="11" t="n">
        <f aca="false">MOD(ROW()-9,24)</f>
        <v>21</v>
      </c>
      <c r="C13038" s="12"/>
      <c r="D13038" s="13" t="n">
        <f aca="false">IF(B13038&lt;5,Einstellungen!$B$3,Einstellungen!$B$4)</f>
        <v>29.13</v>
      </c>
      <c r="E13038" s="14" t="str">
        <f aca="false">IF(C13038="","",C13038*D13038/100)</f>
        <v/>
      </c>
      <c r="F13038" s="15" t="str">
        <f aca="false">IF(B13038&lt;5,"Go","Standard")</f>
        <v>Standard</v>
      </c>
    </row>
    <row r="13039" customFormat="false" ht="15" hidden="false" customHeight="true" outlineLevel="0" collapsed="false">
      <c r="A13039" s="10" t="n">
        <f aca="false">Einstellungen!$B$5+INT((ROW()-9)/24)</f>
        <v>46508</v>
      </c>
      <c r="B13039" s="11" t="n">
        <f aca="false">MOD(ROW()-9,24)</f>
        <v>22</v>
      </c>
      <c r="C13039" s="12"/>
      <c r="D13039" s="13" t="n">
        <f aca="false">IF(B13039&lt;5,Einstellungen!$B$3,Einstellungen!$B$4)</f>
        <v>29.13</v>
      </c>
      <c r="E13039" s="14" t="str">
        <f aca="false">IF(C13039="","",C13039*D13039/100)</f>
        <v/>
      </c>
      <c r="F13039" s="15" t="str">
        <f aca="false">IF(B13039&lt;5,"Go","Standard")</f>
        <v>Standard</v>
      </c>
    </row>
    <row r="13040" customFormat="false" ht="15" hidden="false" customHeight="true" outlineLevel="0" collapsed="false">
      <c r="A13040" s="10" t="n">
        <f aca="false">Einstellungen!$B$5+INT((ROW()-9)/24)</f>
        <v>46508</v>
      </c>
      <c r="B13040" s="11" t="n">
        <f aca="false">MOD(ROW()-9,24)</f>
        <v>23</v>
      </c>
      <c r="C13040" s="12"/>
      <c r="D13040" s="13" t="n">
        <f aca="false">IF(B13040&lt;5,Einstellungen!$B$3,Einstellungen!$B$4)</f>
        <v>29.13</v>
      </c>
      <c r="E13040" s="14" t="str">
        <f aca="false">IF(C13040="","",C13040*D13040/100)</f>
        <v/>
      </c>
      <c r="F13040" s="15" t="str">
        <f aca="false">IF(B13040&lt;5,"Go","Standard")</f>
        <v>Standard</v>
      </c>
    </row>
    <row r="13041" customFormat="false" ht="15" hidden="false" customHeight="true" outlineLevel="0" collapsed="false">
      <c r="A13041" s="10" t="n">
        <f aca="false">Einstellungen!$B$5+INT((ROW()-9)/24)</f>
        <v>46509</v>
      </c>
      <c r="B13041" s="11" t="n">
        <f aca="false">MOD(ROW()-9,24)</f>
        <v>0</v>
      </c>
      <c r="C13041" s="12"/>
      <c r="D13041" s="13" t="n">
        <f aca="false">IF(B13041&lt;5,Einstellungen!$B$3,Einstellungen!$B$4)</f>
        <v>15.92</v>
      </c>
      <c r="E13041" s="14" t="str">
        <f aca="false">IF(C13041="","",C13041*D13041/100)</f>
        <v/>
      </c>
      <c r="F13041" s="15" t="str">
        <f aca="false">IF(B13041&lt;5,"Go","Standard")</f>
        <v>Go</v>
      </c>
    </row>
    <row r="13042" customFormat="false" ht="15" hidden="false" customHeight="true" outlineLevel="0" collapsed="false">
      <c r="A13042" s="10" t="n">
        <f aca="false">Einstellungen!$B$5+INT((ROW()-9)/24)</f>
        <v>46509</v>
      </c>
      <c r="B13042" s="11" t="n">
        <f aca="false">MOD(ROW()-9,24)</f>
        <v>1</v>
      </c>
      <c r="C13042" s="12"/>
      <c r="D13042" s="13" t="n">
        <f aca="false">IF(B13042&lt;5,Einstellungen!$B$3,Einstellungen!$B$4)</f>
        <v>15.92</v>
      </c>
      <c r="E13042" s="14" t="str">
        <f aca="false">IF(C13042="","",C13042*D13042/100)</f>
        <v/>
      </c>
      <c r="F13042" s="15" t="str">
        <f aca="false">IF(B13042&lt;5,"Go","Standard")</f>
        <v>Go</v>
      </c>
    </row>
    <row r="13043" customFormat="false" ht="15" hidden="false" customHeight="true" outlineLevel="0" collapsed="false">
      <c r="A13043" s="10" t="n">
        <f aca="false">Einstellungen!$B$5+INT((ROW()-9)/24)</f>
        <v>46509</v>
      </c>
      <c r="B13043" s="11" t="n">
        <f aca="false">MOD(ROW()-9,24)</f>
        <v>2</v>
      </c>
      <c r="C13043" s="12"/>
      <c r="D13043" s="13" t="n">
        <f aca="false">IF(B13043&lt;5,Einstellungen!$B$3,Einstellungen!$B$4)</f>
        <v>15.92</v>
      </c>
      <c r="E13043" s="14" t="str">
        <f aca="false">IF(C13043="","",C13043*D13043/100)</f>
        <v/>
      </c>
      <c r="F13043" s="15" t="str">
        <f aca="false">IF(B13043&lt;5,"Go","Standard")</f>
        <v>Go</v>
      </c>
    </row>
    <row r="13044" customFormat="false" ht="15" hidden="false" customHeight="true" outlineLevel="0" collapsed="false">
      <c r="A13044" s="10" t="n">
        <f aca="false">Einstellungen!$B$5+INT((ROW()-9)/24)</f>
        <v>46509</v>
      </c>
      <c r="B13044" s="11" t="n">
        <f aca="false">MOD(ROW()-9,24)</f>
        <v>3</v>
      </c>
      <c r="C13044" s="12"/>
      <c r="D13044" s="13" t="n">
        <f aca="false">IF(B13044&lt;5,Einstellungen!$B$3,Einstellungen!$B$4)</f>
        <v>15.92</v>
      </c>
      <c r="E13044" s="14" t="str">
        <f aca="false">IF(C13044="","",C13044*D13044/100)</f>
        <v/>
      </c>
      <c r="F13044" s="15" t="str">
        <f aca="false">IF(B13044&lt;5,"Go","Standard")</f>
        <v>Go</v>
      </c>
    </row>
    <row r="13045" customFormat="false" ht="15" hidden="false" customHeight="true" outlineLevel="0" collapsed="false">
      <c r="A13045" s="10" t="n">
        <f aca="false">Einstellungen!$B$5+INT((ROW()-9)/24)</f>
        <v>46509</v>
      </c>
      <c r="B13045" s="11" t="n">
        <f aca="false">MOD(ROW()-9,24)</f>
        <v>4</v>
      </c>
      <c r="C13045" s="12"/>
      <c r="D13045" s="13" t="n">
        <f aca="false">IF(B13045&lt;5,Einstellungen!$B$3,Einstellungen!$B$4)</f>
        <v>15.92</v>
      </c>
      <c r="E13045" s="14" t="str">
        <f aca="false">IF(C13045="","",C13045*D13045/100)</f>
        <v/>
      </c>
      <c r="F13045" s="15" t="str">
        <f aca="false">IF(B13045&lt;5,"Go","Standard")</f>
        <v>Go</v>
      </c>
    </row>
    <row r="13046" customFormat="false" ht="15" hidden="false" customHeight="true" outlineLevel="0" collapsed="false">
      <c r="A13046" s="10" t="n">
        <f aca="false">Einstellungen!$B$5+INT((ROW()-9)/24)</f>
        <v>46509</v>
      </c>
      <c r="B13046" s="11" t="n">
        <f aca="false">MOD(ROW()-9,24)</f>
        <v>5</v>
      </c>
      <c r="C13046" s="12"/>
      <c r="D13046" s="13" t="n">
        <f aca="false">IF(B13046&lt;5,Einstellungen!$B$3,Einstellungen!$B$4)</f>
        <v>29.13</v>
      </c>
      <c r="E13046" s="14" t="str">
        <f aca="false">IF(C13046="","",C13046*D13046/100)</f>
        <v/>
      </c>
      <c r="F13046" s="15" t="str">
        <f aca="false">IF(B13046&lt;5,"Go","Standard")</f>
        <v>Standard</v>
      </c>
    </row>
    <row r="13047" customFormat="false" ht="15" hidden="false" customHeight="true" outlineLevel="0" collapsed="false">
      <c r="A13047" s="10" t="n">
        <f aca="false">Einstellungen!$B$5+INT((ROW()-9)/24)</f>
        <v>46509</v>
      </c>
      <c r="B13047" s="11" t="n">
        <f aca="false">MOD(ROW()-9,24)</f>
        <v>6</v>
      </c>
      <c r="C13047" s="12"/>
      <c r="D13047" s="13" t="n">
        <f aca="false">IF(B13047&lt;5,Einstellungen!$B$3,Einstellungen!$B$4)</f>
        <v>29.13</v>
      </c>
      <c r="E13047" s="14" t="str">
        <f aca="false">IF(C13047="","",C13047*D13047/100)</f>
        <v/>
      </c>
      <c r="F13047" s="15" t="str">
        <f aca="false">IF(B13047&lt;5,"Go","Standard")</f>
        <v>Standard</v>
      </c>
    </row>
    <row r="13048" customFormat="false" ht="15" hidden="false" customHeight="true" outlineLevel="0" collapsed="false">
      <c r="A13048" s="10" t="n">
        <f aca="false">Einstellungen!$B$5+INT((ROW()-9)/24)</f>
        <v>46509</v>
      </c>
      <c r="B13048" s="11" t="n">
        <f aca="false">MOD(ROW()-9,24)</f>
        <v>7</v>
      </c>
      <c r="C13048" s="12"/>
      <c r="D13048" s="13" t="n">
        <f aca="false">IF(B13048&lt;5,Einstellungen!$B$3,Einstellungen!$B$4)</f>
        <v>29.13</v>
      </c>
      <c r="E13048" s="14" t="str">
        <f aca="false">IF(C13048="","",C13048*D13048/100)</f>
        <v/>
      </c>
      <c r="F13048" s="15" t="str">
        <f aca="false">IF(B13048&lt;5,"Go","Standard")</f>
        <v>Standard</v>
      </c>
    </row>
    <row r="13049" customFormat="false" ht="15" hidden="false" customHeight="true" outlineLevel="0" collapsed="false">
      <c r="A13049" s="10" t="n">
        <f aca="false">Einstellungen!$B$5+INT((ROW()-9)/24)</f>
        <v>46509</v>
      </c>
      <c r="B13049" s="11" t="n">
        <f aca="false">MOD(ROW()-9,24)</f>
        <v>8</v>
      </c>
      <c r="C13049" s="12"/>
      <c r="D13049" s="13" t="n">
        <f aca="false">IF(B13049&lt;5,Einstellungen!$B$3,Einstellungen!$B$4)</f>
        <v>29.13</v>
      </c>
      <c r="E13049" s="14" t="str">
        <f aca="false">IF(C13049="","",C13049*D13049/100)</f>
        <v/>
      </c>
      <c r="F13049" s="15" t="str">
        <f aca="false">IF(B13049&lt;5,"Go","Standard")</f>
        <v>Standard</v>
      </c>
    </row>
    <row r="13050" customFormat="false" ht="15" hidden="false" customHeight="true" outlineLevel="0" collapsed="false">
      <c r="A13050" s="10" t="n">
        <f aca="false">Einstellungen!$B$5+INT((ROW()-9)/24)</f>
        <v>46509</v>
      </c>
      <c r="B13050" s="11" t="n">
        <f aca="false">MOD(ROW()-9,24)</f>
        <v>9</v>
      </c>
      <c r="C13050" s="12"/>
      <c r="D13050" s="13" t="n">
        <f aca="false">IF(B13050&lt;5,Einstellungen!$B$3,Einstellungen!$B$4)</f>
        <v>29.13</v>
      </c>
      <c r="E13050" s="14" t="str">
        <f aca="false">IF(C13050="","",C13050*D13050/100)</f>
        <v/>
      </c>
      <c r="F13050" s="15" t="str">
        <f aca="false">IF(B13050&lt;5,"Go","Standard")</f>
        <v>Standard</v>
      </c>
    </row>
    <row r="13051" customFormat="false" ht="15" hidden="false" customHeight="true" outlineLevel="0" collapsed="false">
      <c r="A13051" s="10" t="n">
        <f aca="false">Einstellungen!$B$5+INT((ROW()-9)/24)</f>
        <v>46509</v>
      </c>
      <c r="B13051" s="11" t="n">
        <f aca="false">MOD(ROW()-9,24)</f>
        <v>10</v>
      </c>
      <c r="C13051" s="12"/>
      <c r="D13051" s="13" t="n">
        <f aca="false">IF(B13051&lt;5,Einstellungen!$B$3,Einstellungen!$B$4)</f>
        <v>29.13</v>
      </c>
      <c r="E13051" s="14" t="str">
        <f aca="false">IF(C13051="","",C13051*D13051/100)</f>
        <v/>
      </c>
      <c r="F13051" s="15" t="str">
        <f aca="false">IF(B13051&lt;5,"Go","Standard")</f>
        <v>Standard</v>
      </c>
    </row>
    <row r="13052" customFormat="false" ht="15" hidden="false" customHeight="true" outlineLevel="0" collapsed="false">
      <c r="A13052" s="10" t="n">
        <f aca="false">Einstellungen!$B$5+INT((ROW()-9)/24)</f>
        <v>46509</v>
      </c>
      <c r="B13052" s="11" t="n">
        <f aca="false">MOD(ROW()-9,24)</f>
        <v>11</v>
      </c>
      <c r="C13052" s="12"/>
      <c r="D13052" s="13" t="n">
        <f aca="false">IF(B13052&lt;5,Einstellungen!$B$3,Einstellungen!$B$4)</f>
        <v>29.13</v>
      </c>
      <c r="E13052" s="14" t="str">
        <f aca="false">IF(C13052="","",C13052*D13052/100)</f>
        <v/>
      </c>
      <c r="F13052" s="15" t="str">
        <f aca="false">IF(B13052&lt;5,"Go","Standard")</f>
        <v>Standard</v>
      </c>
    </row>
    <row r="13053" customFormat="false" ht="15" hidden="false" customHeight="true" outlineLevel="0" collapsed="false">
      <c r="A13053" s="10" t="n">
        <f aca="false">Einstellungen!$B$5+INT((ROW()-9)/24)</f>
        <v>46509</v>
      </c>
      <c r="B13053" s="11" t="n">
        <f aca="false">MOD(ROW()-9,24)</f>
        <v>12</v>
      </c>
      <c r="C13053" s="12"/>
      <c r="D13053" s="13" t="n">
        <f aca="false">IF(B13053&lt;5,Einstellungen!$B$3,Einstellungen!$B$4)</f>
        <v>29.13</v>
      </c>
      <c r="E13053" s="14" t="str">
        <f aca="false">IF(C13053="","",C13053*D13053/100)</f>
        <v/>
      </c>
      <c r="F13053" s="15" t="str">
        <f aca="false">IF(B13053&lt;5,"Go","Standard")</f>
        <v>Standard</v>
      </c>
    </row>
    <row r="13054" customFormat="false" ht="15" hidden="false" customHeight="true" outlineLevel="0" collapsed="false">
      <c r="A13054" s="10" t="n">
        <f aca="false">Einstellungen!$B$5+INT((ROW()-9)/24)</f>
        <v>46509</v>
      </c>
      <c r="B13054" s="11" t="n">
        <f aca="false">MOD(ROW()-9,24)</f>
        <v>13</v>
      </c>
      <c r="C13054" s="12"/>
      <c r="D13054" s="13" t="n">
        <f aca="false">IF(B13054&lt;5,Einstellungen!$B$3,Einstellungen!$B$4)</f>
        <v>29.13</v>
      </c>
      <c r="E13054" s="14" t="str">
        <f aca="false">IF(C13054="","",C13054*D13054/100)</f>
        <v/>
      </c>
      <c r="F13054" s="15" t="str">
        <f aca="false">IF(B13054&lt;5,"Go","Standard")</f>
        <v>Standard</v>
      </c>
    </row>
    <row r="13055" customFormat="false" ht="15" hidden="false" customHeight="true" outlineLevel="0" collapsed="false">
      <c r="A13055" s="10" t="n">
        <f aca="false">Einstellungen!$B$5+INT((ROW()-9)/24)</f>
        <v>46509</v>
      </c>
      <c r="B13055" s="11" t="n">
        <f aca="false">MOD(ROW()-9,24)</f>
        <v>14</v>
      </c>
      <c r="C13055" s="12"/>
      <c r="D13055" s="13" t="n">
        <f aca="false">IF(B13055&lt;5,Einstellungen!$B$3,Einstellungen!$B$4)</f>
        <v>29.13</v>
      </c>
      <c r="E13055" s="14" t="str">
        <f aca="false">IF(C13055="","",C13055*D13055/100)</f>
        <v/>
      </c>
      <c r="F13055" s="15" t="str">
        <f aca="false">IF(B13055&lt;5,"Go","Standard")</f>
        <v>Standard</v>
      </c>
    </row>
    <row r="13056" customFormat="false" ht="15" hidden="false" customHeight="true" outlineLevel="0" collapsed="false">
      <c r="A13056" s="10" t="n">
        <f aca="false">Einstellungen!$B$5+INT((ROW()-9)/24)</f>
        <v>46509</v>
      </c>
      <c r="B13056" s="11" t="n">
        <f aca="false">MOD(ROW()-9,24)</f>
        <v>15</v>
      </c>
      <c r="C13056" s="12"/>
      <c r="D13056" s="13" t="n">
        <f aca="false">IF(B13056&lt;5,Einstellungen!$B$3,Einstellungen!$B$4)</f>
        <v>29.13</v>
      </c>
      <c r="E13056" s="14" t="str">
        <f aca="false">IF(C13056="","",C13056*D13056/100)</f>
        <v/>
      </c>
      <c r="F13056" s="15" t="str">
        <f aca="false">IF(B13056&lt;5,"Go","Standard")</f>
        <v>Standard</v>
      </c>
    </row>
    <row r="13057" customFormat="false" ht="15" hidden="false" customHeight="true" outlineLevel="0" collapsed="false">
      <c r="A13057" s="10" t="n">
        <f aca="false">Einstellungen!$B$5+INT((ROW()-9)/24)</f>
        <v>46509</v>
      </c>
      <c r="B13057" s="11" t="n">
        <f aca="false">MOD(ROW()-9,24)</f>
        <v>16</v>
      </c>
      <c r="C13057" s="12"/>
      <c r="D13057" s="13" t="n">
        <f aca="false">IF(B13057&lt;5,Einstellungen!$B$3,Einstellungen!$B$4)</f>
        <v>29.13</v>
      </c>
      <c r="E13057" s="14" t="str">
        <f aca="false">IF(C13057="","",C13057*D13057/100)</f>
        <v/>
      </c>
      <c r="F13057" s="15" t="str">
        <f aca="false">IF(B13057&lt;5,"Go","Standard")</f>
        <v>Standard</v>
      </c>
    </row>
    <row r="13058" customFormat="false" ht="15" hidden="false" customHeight="true" outlineLevel="0" collapsed="false">
      <c r="A13058" s="10" t="n">
        <f aca="false">Einstellungen!$B$5+INT((ROW()-9)/24)</f>
        <v>46509</v>
      </c>
      <c r="B13058" s="11" t="n">
        <f aca="false">MOD(ROW()-9,24)</f>
        <v>17</v>
      </c>
      <c r="C13058" s="12"/>
      <c r="D13058" s="13" t="n">
        <f aca="false">IF(B13058&lt;5,Einstellungen!$B$3,Einstellungen!$B$4)</f>
        <v>29.13</v>
      </c>
      <c r="E13058" s="14" t="str">
        <f aca="false">IF(C13058="","",C13058*D13058/100)</f>
        <v/>
      </c>
      <c r="F13058" s="15" t="str">
        <f aca="false">IF(B13058&lt;5,"Go","Standard")</f>
        <v>Standard</v>
      </c>
    </row>
    <row r="13059" customFormat="false" ht="15" hidden="false" customHeight="true" outlineLevel="0" collapsed="false">
      <c r="A13059" s="10" t="n">
        <f aca="false">Einstellungen!$B$5+INT((ROW()-9)/24)</f>
        <v>46509</v>
      </c>
      <c r="B13059" s="11" t="n">
        <f aca="false">MOD(ROW()-9,24)</f>
        <v>18</v>
      </c>
      <c r="C13059" s="12"/>
      <c r="D13059" s="13" t="n">
        <f aca="false">IF(B13059&lt;5,Einstellungen!$B$3,Einstellungen!$B$4)</f>
        <v>29.13</v>
      </c>
      <c r="E13059" s="14" t="str">
        <f aca="false">IF(C13059="","",C13059*D13059/100)</f>
        <v/>
      </c>
      <c r="F13059" s="15" t="str">
        <f aca="false">IF(B13059&lt;5,"Go","Standard")</f>
        <v>Standard</v>
      </c>
    </row>
    <row r="13060" customFormat="false" ht="15" hidden="false" customHeight="true" outlineLevel="0" collapsed="false">
      <c r="A13060" s="10" t="n">
        <f aca="false">Einstellungen!$B$5+INT((ROW()-9)/24)</f>
        <v>46509</v>
      </c>
      <c r="B13060" s="11" t="n">
        <f aca="false">MOD(ROW()-9,24)</f>
        <v>19</v>
      </c>
      <c r="C13060" s="12"/>
      <c r="D13060" s="13" t="n">
        <f aca="false">IF(B13060&lt;5,Einstellungen!$B$3,Einstellungen!$B$4)</f>
        <v>29.13</v>
      </c>
      <c r="E13060" s="14" t="str">
        <f aca="false">IF(C13060="","",C13060*D13060/100)</f>
        <v/>
      </c>
      <c r="F13060" s="15" t="str">
        <f aca="false">IF(B13060&lt;5,"Go","Standard")</f>
        <v>Standard</v>
      </c>
    </row>
    <row r="13061" customFormat="false" ht="15" hidden="false" customHeight="true" outlineLevel="0" collapsed="false">
      <c r="A13061" s="10" t="n">
        <f aca="false">Einstellungen!$B$5+INT((ROW()-9)/24)</f>
        <v>46509</v>
      </c>
      <c r="B13061" s="11" t="n">
        <f aca="false">MOD(ROW()-9,24)</f>
        <v>20</v>
      </c>
      <c r="C13061" s="12"/>
      <c r="D13061" s="13" t="n">
        <f aca="false">IF(B13061&lt;5,Einstellungen!$B$3,Einstellungen!$B$4)</f>
        <v>29.13</v>
      </c>
      <c r="E13061" s="14" t="str">
        <f aca="false">IF(C13061="","",C13061*D13061/100)</f>
        <v/>
      </c>
      <c r="F13061" s="15" t="str">
        <f aca="false">IF(B13061&lt;5,"Go","Standard")</f>
        <v>Standard</v>
      </c>
    </row>
    <row r="13062" customFormat="false" ht="15" hidden="false" customHeight="true" outlineLevel="0" collapsed="false">
      <c r="A13062" s="10" t="n">
        <f aca="false">Einstellungen!$B$5+INT((ROW()-9)/24)</f>
        <v>46509</v>
      </c>
      <c r="B13062" s="11" t="n">
        <f aca="false">MOD(ROW()-9,24)</f>
        <v>21</v>
      </c>
      <c r="C13062" s="12"/>
      <c r="D13062" s="13" t="n">
        <f aca="false">IF(B13062&lt;5,Einstellungen!$B$3,Einstellungen!$B$4)</f>
        <v>29.13</v>
      </c>
      <c r="E13062" s="14" t="str">
        <f aca="false">IF(C13062="","",C13062*D13062/100)</f>
        <v/>
      </c>
      <c r="F13062" s="15" t="str">
        <f aca="false">IF(B13062&lt;5,"Go","Standard")</f>
        <v>Standard</v>
      </c>
    </row>
    <row r="13063" customFormat="false" ht="15" hidden="false" customHeight="true" outlineLevel="0" collapsed="false">
      <c r="A13063" s="10" t="n">
        <f aca="false">Einstellungen!$B$5+INT((ROW()-9)/24)</f>
        <v>46509</v>
      </c>
      <c r="B13063" s="11" t="n">
        <f aca="false">MOD(ROW()-9,24)</f>
        <v>22</v>
      </c>
      <c r="C13063" s="12"/>
      <c r="D13063" s="13" t="n">
        <f aca="false">IF(B13063&lt;5,Einstellungen!$B$3,Einstellungen!$B$4)</f>
        <v>29.13</v>
      </c>
      <c r="E13063" s="14" t="str">
        <f aca="false">IF(C13063="","",C13063*D13063/100)</f>
        <v/>
      </c>
      <c r="F13063" s="15" t="str">
        <f aca="false">IF(B13063&lt;5,"Go","Standard")</f>
        <v>Standard</v>
      </c>
    </row>
    <row r="13064" customFormat="false" ht="15" hidden="false" customHeight="true" outlineLevel="0" collapsed="false">
      <c r="A13064" s="10" t="n">
        <f aca="false">Einstellungen!$B$5+INT((ROW()-9)/24)</f>
        <v>46509</v>
      </c>
      <c r="B13064" s="11" t="n">
        <f aca="false">MOD(ROW()-9,24)</f>
        <v>23</v>
      </c>
      <c r="C13064" s="12"/>
      <c r="D13064" s="13" t="n">
        <f aca="false">IF(B13064&lt;5,Einstellungen!$B$3,Einstellungen!$B$4)</f>
        <v>29.13</v>
      </c>
      <c r="E13064" s="14" t="str">
        <f aca="false">IF(C13064="","",C13064*D13064/100)</f>
        <v/>
      </c>
      <c r="F13064" s="15" t="str">
        <f aca="false">IF(B13064&lt;5,"Go","Standard")</f>
        <v>Standard</v>
      </c>
    </row>
    <row r="13065" customFormat="false" ht="15" hidden="false" customHeight="true" outlineLevel="0" collapsed="false">
      <c r="A13065" s="10" t="n">
        <f aca="false">Einstellungen!$B$5+INT((ROW()-9)/24)</f>
        <v>46510</v>
      </c>
      <c r="B13065" s="11" t="n">
        <f aca="false">MOD(ROW()-9,24)</f>
        <v>0</v>
      </c>
      <c r="C13065" s="12"/>
      <c r="D13065" s="13" t="n">
        <f aca="false">IF(B13065&lt;5,Einstellungen!$B$3,Einstellungen!$B$4)</f>
        <v>15.92</v>
      </c>
      <c r="E13065" s="14" t="str">
        <f aca="false">IF(C13065="","",C13065*D13065/100)</f>
        <v/>
      </c>
      <c r="F13065" s="15" t="str">
        <f aca="false">IF(B13065&lt;5,"Go","Standard")</f>
        <v>Go</v>
      </c>
    </row>
    <row r="13066" customFormat="false" ht="15" hidden="false" customHeight="true" outlineLevel="0" collapsed="false">
      <c r="A13066" s="10" t="n">
        <f aca="false">Einstellungen!$B$5+INT((ROW()-9)/24)</f>
        <v>46510</v>
      </c>
      <c r="B13066" s="11" t="n">
        <f aca="false">MOD(ROW()-9,24)</f>
        <v>1</v>
      </c>
      <c r="C13066" s="12"/>
      <c r="D13066" s="13" t="n">
        <f aca="false">IF(B13066&lt;5,Einstellungen!$B$3,Einstellungen!$B$4)</f>
        <v>15.92</v>
      </c>
      <c r="E13066" s="14" t="str">
        <f aca="false">IF(C13066="","",C13066*D13066/100)</f>
        <v/>
      </c>
      <c r="F13066" s="15" t="str">
        <f aca="false">IF(B13066&lt;5,"Go","Standard")</f>
        <v>Go</v>
      </c>
    </row>
    <row r="13067" customFormat="false" ht="15" hidden="false" customHeight="true" outlineLevel="0" collapsed="false">
      <c r="A13067" s="10" t="n">
        <f aca="false">Einstellungen!$B$5+INT((ROW()-9)/24)</f>
        <v>46510</v>
      </c>
      <c r="B13067" s="11" t="n">
        <f aca="false">MOD(ROW()-9,24)</f>
        <v>2</v>
      </c>
      <c r="C13067" s="12"/>
      <c r="D13067" s="13" t="n">
        <f aca="false">IF(B13067&lt;5,Einstellungen!$B$3,Einstellungen!$B$4)</f>
        <v>15.92</v>
      </c>
      <c r="E13067" s="14" t="str">
        <f aca="false">IF(C13067="","",C13067*D13067/100)</f>
        <v/>
      </c>
      <c r="F13067" s="15" t="str">
        <f aca="false">IF(B13067&lt;5,"Go","Standard")</f>
        <v>Go</v>
      </c>
    </row>
    <row r="13068" customFormat="false" ht="15" hidden="false" customHeight="true" outlineLevel="0" collapsed="false">
      <c r="A13068" s="10" t="n">
        <f aca="false">Einstellungen!$B$5+INT((ROW()-9)/24)</f>
        <v>46510</v>
      </c>
      <c r="B13068" s="11" t="n">
        <f aca="false">MOD(ROW()-9,24)</f>
        <v>3</v>
      </c>
      <c r="C13068" s="12"/>
      <c r="D13068" s="13" t="n">
        <f aca="false">IF(B13068&lt;5,Einstellungen!$B$3,Einstellungen!$B$4)</f>
        <v>15.92</v>
      </c>
      <c r="E13068" s="14" t="str">
        <f aca="false">IF(C13068="","",C13068*D13068/100)</f>
        <v/>
      </c>
      <c r="F13068" s="15" t="str">
        <f aca="false">IF(B13068&lt;5,"Go","Standard")</f>
        <v>Go</v>
      </c>
    </row>
    <row r="13069" customFormat="false" ht="15" hidden="false" customHeight="true" outlineLevel="0" collapsed="false">
      <c r="A13069" s="10" t="n">
        <f aca="false">Einstellungen!$B$5+INT((ROW()-9)/24)</f>
        <v>46510</v>
      </c>
      <c r="B13069" s="11" t="n">
        <f aca="false">MOD(ROW()-9,24)</f>
        <v>4</v>
      </c>
      <c r="C13069" s="12"/>
      <c r="D13069" s="13" t="n">
        <f aca="false">IF(B13069&lt;5,Einstellungen!$B$3,Einstellungen!$B$4)</f>
        <v>15.92</v>
      </c>
      <c r="E13069" s="14" t="str">
        <f aca="false">IF(C13069="","",C13069*D13069/100)</f>
        <v/>
      </c>
      <c r="F13069" s="15" t="str">
        <f aca="false">IF(B13069&lt;5,"Go","Standard")</f>
        <v>Go</v>
      </c>
    </row>
    <row r="13070" customFormat="false" ht="15" hidden="false" customHeight="true" outlineLevel="0" collapsed="false">
      <c r="A13070" s="10" t="n">
        <f aca="false">Einstellungen!$B$5+INT((ROW()-9)/24)</f>
        <v>46510</v>
      </c>
      <c r="B13070" s="11" t="n">
        <f aca="false">MOD(ROW()-9,24)</f>
        <v>5</v>
      </c>
      <c r="C13070" s="12"/>
      <c r="D13070" s="13" t="n">
        <f aca="false">IF(B13070&lt;5,Einstellungen!$B$3,Einstellungen!$B$4)</f>
        <v>29.13</v>
      </c>
      <c r="E13070" s="14" t="str">
        <f aca="false">IF(C13070="","",C13070*D13070/100)</f>
        <v/>
      </c>
      <c r="F13070" s="15" t="str">
        <f aca="false">IF(B13070&lt;5,"Go","Standard")</f>
        <v>Standard</v>
      </c>
    </row>
    <row r="13071" customFormat="false" ht="15" hidden="false" customHeight="true" outlineLevel="0" collapsed="false">
      <c r="A13071" s="10" t="n">
        <f aca="false">Einstellungen!$B$5+INT((ROW()-9)/24)</f>
        <v>46510</v>
      </c>
      <c r="B13071" s="11" t="n">
        <f aca="false">MOD(ROW()-9,24)</f>
        <v>6</v>
      </c>
      <c r="C13071" s="12"/>
      <c r="D13071" s="13" t="n">
        <f aca="false">IF(B13071&lt;5,Einstellungen!$B$3,Einstellungen!$B$4)</f>
        <v>29.13</v>
      </c>
      <c r="E13071" s="14" t="str">
        <f aca="false">IF(C13071="","",C13071*D13071/100)</f>
        <v/>
      </c>
      <c r="F13071" s="15" t="str">
        <f aca="false">IF(B13071&lt;5,"Go","Standard")</f>
        <v>Standard</v>
      </c>
    </row>
    <row r="13072" customFormat="false" ht="15" hidden="false" customHeight="true" outlineLevel="0" collapsed="false">
      <c r="A13072" s="10" t="n">
        <f aca="false">Einstellungen!$B$5+INT((ROW()-9)/24)</f>
        <v>46510</v>
      </c>
      <c r="B13072" s="11" t="n">
        <f aca="false">MOD(ROW()-9,24)</f>
        <v>7</v>
      </c>
      <c r="C13072" s="12"/>
      <c r="D13072" s="13" t="n">
        <f aca="false">IF(B13072&lt;5,Einstellungen!$B$3,Einstellungen!$B$4)</f>
        <v>29.13</v>
      </c>
      <c r="E13072" s="14" t="str">
        <f aca="false">IF(C13072="","",C13072*D13072/100)</f>
        <v/>
      </c>
      <c r="F13072" s="15" t="str">
        <f aca="false">IF(B13072&lt;5,"Go","Standard")</f>
        <v>Standard</v>
      </c>
    </row>
    <row r="13073" customFormat="false" ht="15" hidden="false" customHeight="true" outlineLevel="0" collapsed="false">
      <c r="A13073" s="10" t="n">
        <f aca="false">Einstellungen!$B$5+INT((ROW()-9)/24)</f>
        <v>46510</v>
      </c>
      <c r="B13073" s="11" t="n">
        <f aca="false">MOD(ROW()-9,24)</f>
        <v>8</v>
      </c>
      <c r="C13073" s="12"/>
      <c r="D13073" s="13" t="n">
        <f aca="false">IF(B13073&lt;5,Einstellungen!$B$3,Einstellungen!$B$4)</f>
        <v>29.13</v>
      </c>
      <c r="E13073" s="14" t="str">
        <f aca="false">IF(C13073="","",C13073*D13073/100)</f>
        <v/>
      </c>
      <c r="F13073" s="15" t="str">
        <f aca="false">IF(B13073&lt;5,"Go","Standard")</f>
        <v>Standard</v>
      </c>
    </row>
    <row r="13074" customFormat="false" ht="15" hidden="false" customHeight="true" outlineLevel="0" collapsed="false">
      <c r="A13074" s="10" t="n">
        <f aca="false">Einstellungen!$B$5+INT((ROW()-9)/24)</f>
        <v>46510</v>
      </c>
      <c r="B13074" s="11" t="n">
        <f aca="false">MOD(ROW()-9,24)</f>
        <v>9</v>
      </c>
      <c r="C13074" s="12"/>
      <c r="D13074" s="13" t="n">
        <f aca="false">IF(B13074&lt;5,Einstellungen!$B$3,Einstellungen!$B$4)</f>
        <v>29.13</v>
      </c>
      <c r="E13074" s="14" t="str">
        <f aca="false">IF(C13074="","",C13074*D13074/100)</f>
        <v/>
      </c>
      <c r="F13074" s="15" t="str">
        <f aca="false">IF(B13074&lt;5,"Go","Standard")</f>
        <v>Standard</v>
      </c>
    </row>
    <row r="13075" customFormat="false" ht="15" hidden="false" customHeight="true" outlineLevel="0" collapsed="false">
      <c r="A13075" s="10" t="n">
        <f aca="false">Einstellungen!$B$5+INT((ROW()-9)/24)</f>
        <v>46510</v>
      </c>
      <c r="B13075" s="11" t="n">
        <f aca="false">MOD(ROW()-9,24)</f>
        <v>10</v>
      </c>
      <c r="C13075" s="12"/>
      <c r="D13075" s="13" t="n">
        <f aca="false">IF(B13075&lt;5,Einstellungen!$B$3,Einstellungen!$B$4)</f>
        <v>29.13</v>
      </c>
      <c r="E13075" s="14" t="str">
        <f aca="false">IF(C13075="","",C13075*D13075/100)</f>
        <v/>
      </c>
      <c r="F13075" s="15" t="str">
        <f aca="false">IF(B13075&lt;5,"Go","Standard")</f>
        <v>Standard</v>
      </c>
    </row>
    <row r="13076" customFormat="false" ht="15" hidden="false" customHeight="true" outlineLevel="0" collapsed="false">
      <c r="A13076" s="10" t="n">
        <f aca="false">Einstellungen!$B$5+INT((ROW()-9)/24)</f>
        <v>46510</v>
      </c>
      <c r="B13076" s="11" t="n">
        <f aca="false">MOD(ROW()-9,24)</f>
        <v>11</v>
      </c>
      <c r="C13076" s="12"/>
      <c r="D13076" s="13" t="n">
        <f aca="false">IF(B13076&lt;5,Einstellungen!$B$3,Einstellungen!$B$4)</f>
        <v>29.13</v>
      </c>
      <c r="E13076" s="14" t="str">
        <f aca="false">IF(C13076="","",C13076*D13076/100)</f>
        <v/>
      </c>
      <c r="F13076" s="15" t="str">
        <f aca="false">IF(B13076&lt;5,"Go","Standard")</f>
        <v>Standard</v>
      </c>
    </row>
    <row r="13077" customFormat="false" ht="15" hidden="false" customHeight="true" outlineLevel="0" collapsed="false">
      <c r="A13077" s="10" t="n">
        <f aca="false">Einstellungen!$B$5+INT((ROW()-9)/24)</f>
        <v>46510</v>
      </c>
      <c r="B13077" s="11" t="n">
        <f aca="false">MOD(ROW()-9,24)</f>
        <v>12</v>
      </c>
      <c r="C13077" s="12"/>
      <c r="D13077" s="13" t="n">
        <f aca="false">IF(B13077&lt;5,Einstellungen!$B$3,Einstellungen!$B$4)</f>
        <v>29.13</v>
      </c>
      <c r="E13077" s="14" t="str">
        <f aca="false">IF(C13077="","",C13077*D13077/100)</f>
        <v/>
      </c>
      <c r="F13077" s="15" t="str">
        <f aca="false">IF(B13077&lt;5,"Go","Standard")</f>
        <v>Standard</v>
      </c>
    </row>
    <row r="13078" customFormat="false" ht="15" hidden="false" customHeight="true" outlineLevel="0" collapsed="false">
      <c r="A13078" s="10" t="n">
        <f aca="false">Einstellungen!$B$5+INT((ROW()-9)/24)</f>
        <v>46510</v>
      </c>
      <c r="B13078" s="11" t="n">
        <f aca="false">MOD(ROW()-9,24)</f>
        <v>13</v>
      </c>
      <c r="C13078" s="12"/>
      <c r="D13078" s="13" t="n">
        <f aca="false">IF(B13078&lt;5,Einstellungen!$B$3,Einstellungen!$B$4)</f>
        <v>29.13</v>
      </c>
      <c r="E13078" s="14" t="str">
        <f aca="false">IF(C13078="","",C13078*D13078/100)</f>
        <v/>
      </c>
      <c r="F13078" s="15" t="str">
        <f aca="false">IF(B13078&lt;5,"Go","Standard")</f>
        <v>Standard</v>
      </c>
    </row>
    <row r="13079" customFormat="false" ht="15" hidden="false" customHeight="true" outlineLevel="0" collapsed="false">
      <c r="A13079" s="10" t="n">
        <f aca="false">Einstellungen!$B$5+INT((ROW()-9)/24)</f>
        <v>46510</v>
      </c>
      <c r="B13079" s="11" t="n">
        <f aca="false">MOD(ROW()-9,24)</f>
        <v>14</v>
      </c>
      <c r="C13079" s="12"/>
      <c r="D13079" s="13" t="n">
        <f aca="false">IF(B13079&lt;5,Einstellungen!$B$3,Einstellungen!$B$4)</f>
        <v>29.13</v>
      </c>
      <c r="E13079" s="14" t="str">
        <f aca="false">IF(C13079="","",C13079*D13079/100)</f>
        <v/>
      </c>
      <c r="F13079" s="15" t="str">
        <f aca="false">IF(B13079&lt;5,"Go","Standard")</f>
        <v>Standard</v>
      </c>
    </row>
    <row r="13080" customFormat="false" ht="15" hidden="false" customHeight="true" outlineLevel="0" collapsed="false">
      <c r="A13080" s="10" t="n">
        <f aca="false">Einstellungen!$B$5+INT((ROW()-9)/24)</f>
        <v>46510</v>
      </c>
      <c r="B13080" s="11" t="n">
        <f aca="false">MOD(ROW()-9,24)</f>
        <v>15</v>
      </c>
      <c r="C13080" s="12"/>
      <c r="D13080" s="13" t="n">
        <f aca="false">IF(B13080&lt;5,Einstellungen!$B$3,Einstellungen!$B$4)</f>
        <v>29.13</v>
      </c>
      <c r="E13080" s="14" t="str">
        <f aca="false">IF(C13080="","",C13080*D13080/100)</f>
        <v/>
      </c>
      <c r="F13080" s="15" t="str">
        <f aca="false">IF(B13080&lt;5,"Go","Standard")</f>
        <v>Standard</v>
      </c>
    </row>
    <row r="13081" customFormat="false" ht="15" hidden="false" customHeight="true" outlineLevel="0" collapsed="false">
      <c r="A13081" s="10" t="n">
        <f aca="false">Einstellungen!$B$5+INT((ROW()-9)/24)</f>
        <v>46510</v>
      </c>
      <c r="B13081" s="11" t="n">
        <f aca="false">MOD(ROW()-9,24)</f>
        <v>16</v>
      </c>
      <c r="C13081" s="12"/>
      <c r="D13081" s="13" t="n">
        <f aca="false">IF(B13081&lt;5,Einstellungen!$B$3,Einstellungen!$B$4)</f>
        <v>29.13</v>
      </c>
      <c r="E13081" s="14" t="str">
        <f aca="false">IF(C13081="","",C13081*D13081/100)</f>
        <v/>
      </c>
      <c r="F13081" s="15" t="str">
        <f aca="false">IF(B13081&lt;5,"Go","Standard")</f>
        <v>Standard</v>
      </c>
    </row>
    <row r="13082" customFormat="false" ht="15" hidden="false" customHeight="true" outlineLevel="0" collapsed="false">
      <c r="A13082" s="10" t="n">
        <f aca="false">Einstellungen!$B$5+INT((ROW()-9)/24)</f>
        <v>46510</v>
      </c>
      <c r="B13082" s="11" t="n">
        <f aca="false">MOD(ROW()-9,24)</f>
        <v>17</v>
      </c>
      <c r="C13082" s="12"/>
      <c r="D13082" s="13" t="n">
        <f aca="false">IF(B13082&lt;5,Einstellungen!$B$3,Einstellungen!$B$4)</f>
        <v>29.13</v>
      </c>
      <c r="E13082" s="14" t="str">
        <f aca="false">IF(C13082="","",C13082*D13082/100)</f>
        <v/>
      </c>
      <c r="F13082" s="15" t="str">
        <f aca="false">IF(B13082&lt;5,"Go","Standard")</f>
        <v>Standard</v>
      </c>
    </row>
    <row r="13083" customFormat="false" ht="15" hidden="false" customHeight="true" outlineLevel="0" collapsed="false">
      <c r="A13083" s="10" t="n">
        <f aca="false">Einstellungen!$B$5+INT((ROW()-9)/24)</f>
        <v>46510</v>
      </c>
      <c r="B13083" s="11" t="n">
        <f aca="false">MOD(ROW()-9,24)</f>
        <v>18</v>
      </c>
      <c r="C13083" s="12"/>
      <c r="D13083" s="13" t="n">
        <f aca="false">IF(B13083&lt;5,Einstellungen!$B$3,Einstellungen!$B$4)</f>
        <v>29.13</v>
      </c>
      <c r="E13083" s="14" t="str">
        <f aca="false">IF(C13083="","",C13083*D13083/100)</f>
        <v/>
      </c>
      <c r="F13083" s="15" t="str">
        <f aca="false">IF(B13083&lt;5,"Go","Standard")</f>
        <v>Standard</v>
      </c>
    </row>
    <row r="13084" customFormat="false" ht="15" hidden="false" customHeight="true" outlineLevel="0" collapsed="false">
      <c r="A13084" s="10" t="n">
        <f aca="false">Einstellungen!$B$5+INT((ROW()-9)/24)</f>
        <v>46510</v>
      </c>
      <c r="B13084" s="11" t="n">
        <f aca="false">MOD(ROW()-9,24)</f>
        <v>19</v>
      </c>
      <c r="C13084" s="12"/>
      <c r="D13084" s="13" t="n">
        <f aca="false">IF(B13084&lt;5,Einstellungen!$B$3,Einstellungen!$B$4)</f>
        <v>29.13</v>
      </c>
      <c r="E13084" s="14" t="str">
        <f aca="false">IF(C13084="","",C13084*D13084/100)</f>
        <v/>
      </c>
      <c r="F13084" s="15" t="str">
        <f aca="false">IF(B13084&lt;5,"Go","Standard")</f>
        <v>Standard</v>
      </c>
    </row>
    <row r="13085" customFormat="false" ht="15" hidden="false" customHeight="true" outlineLevel="0" collapsed="false">
      <c r="A13085" s="10" t="n">
        <f aca="false">Einstellungen!$B$5+INT((ROW()-9)/24)</f>
        <v>46510</v>
      </c>
      <c r="B13085" s="11" t="n">
        <f aca="false">MOD(ROW()-9,24)</f>
        <v>20</v>
      </c>
      <c r="C13085" s="12"/>
      <c r="D13085" s="13" t="n">
        <f aca="false">IF(B13085&lt;5,Einstellungen!$B$3,Einstellungen!$B$4)</f>
        <v>29.13</v>
      </c>
      <c r="E13085" s="14" t="str">
        <f aca="false">IF(C13085="","",C13085*D13085/100)</f>
        <v/>
      </c>
      <c r="F13085" s="15" t="str">
        <f aca="false">IF(B13085&lt;5,"Go","Standard")</f>
        <v>Standard</v>
      </c>
    </row>
    <row r="13086" customFormat="false" ht="15" hidden="false" customHeight="true" outlineLevel="0" collapsed="false">
      <c r="A13086" s="10" t="n">
        <f aca="false">Einstellungen!$B$5+INT((ROW()-9)/24)</f>
        <v>46510</v>
      </c>
      <c r="B13086" s="11" t="n">
        <f aca="false">MOD(ROW()-9,24)</f>
        <v>21</v>
      </c>
      <c r="C13086" s="12"/>
      <c r="D13086" s="13" t="n">
        <f aca="false">IF(B13086&lt;5,Einstellungen!$B$3,Einstellungen!$B$4)</f>
        <v>29.13</v>
      </c>
      <c r="E13086" s="14" t="str">
        <f aca="false">IF(C13086="","",C13086*D13086/100)</f>
        <v/>
      </c>
      <c r="F13086" s="15" t="str">
        <f aca="false">IF(B13086&lt;5,"Go","Standard")</f>
        <v>Standard</v>
      </c>
    </row>
    <row r="13087" customFormat="false" ht="15" hidden="false" customHeight="true" outlineLevel="0" collapsed="false">
      <c r="A13087" s="10" t="n">
        <f aca="false">Einstellungen!$B$5+INT((ROW()-9)/24)</f>
        <v>46510</v>
      </c>
      <c r="B13087" s="11" t="n">
        <f aca="false">MOD(ROW()-9,24)</f>
        <v>22</v>
      </c>
      <c r="C13087" s="12"/>
      <c r="D13087" s="13" t="n">
        <f aca="false">IF(B13087&lt;5,Einstellungen!$B$3,Einstellungen!$B$4)</f>
        <v>29.13</v>
      </c>
      <c r="E13087" s="14" t="str">
        <f aca="false">IF(C13087="","",C13087*D13087/100)</f>
        <v/>
      </c>
      <c r="F13087" s="15" t="str">
        <f aca="false">IF(B13087&lt;5,"Go","Standard")</f>
        <v>Standard</v>
      </c>
    </row>
    <row r="13088" customFormat="false" ht="15" hidden="false" customHeight="true" outlineLevel="0" collapsed="false">
      <c r="A13088" s="10" t="n">
        <f aca="false">Einstellungen!$B$5+INT((ROW()-9)/24)</f>
        <v>46510</v>
      </c>
      <c r="B13088" s="11" t="n">
        <f aca="false">MOD(ROW()-9,24)</f>
        <v>23</v>
      </c>
      <c r="C13088" s="12"/>
      <c r="D13088" s="13" t="n">
        <f aca="false">IF(B13088&lt;5,Einstellungen!$B$3,Einstellungen!$B$4)</f>
        <v>29.13</v>
      </c>
      <c r="E13088" s="14" t="str">
        <f aca="false">IF(C13088="","",C13088*D13088/100)</f>
        <v/>
      </c>
      <c r="F13088" s="15" t="str">
        <f aca="false">IF(B13088&lt;5,"Go","Standard")</f>
        <v>Standard</v>
      </c>
    </row>
    <row r="13089" customFormat="false" ht="15" hidden="false" customHeight="true" outlineLevel="0" collapsed="false">
      <c r="A13089" s="10" t="n">
        <f aca="false">Einstellungen!$B$5+INT((ROW()-9)/24)</f>
        <v>46511</v>
      </c>
      <c r="B13089" s="11" t="n">
        <f aca="false">MOD(ROW()-9,24)</f>
        <v>0</v>
      </c>
      <c r="C13089" s="12"/>
      <c r="D13089" s="13" t="n">
        <f aca="false">IF(B13089&lt;5,Einstellungen!$B$3,Einstellungen!$B$4)</f>
        <v>15.92</v>
      </c>
      <c r="E13089" s="14" t="str">
        <f aca="false">IF(C13089="","",C13089*D13089/100)</f>
        <v/>
      </c>
      <c r="F13089" s="15" t="str">
        <f aca="false">IF(B13089&lt;5,"Go","Standard")</f>
        <v>Go</v>
      </c>
    </row>
    <row r="13090" customFormat="false" ht="15" hidden="false" customHeight="true" outlineLevel="0" collapsed="false">
      <c r="A13090" s="10" t="n">
        <f aca="false">Einstellungen!$B$5+INT((ROW()-9)/24)</f>
        <v>46511</v>
      </c>
      <c r="B13090" s="11" t="n">
        <f aca="false">MOD(ROW()-9,24)</f>
        <v>1</v>
      </c>
      <c r="C13090" s="12"/>
      <c r="D13090" s="13" t="n">
        <f aca="false">IF(B13090&lt;5,Einstellungen!$B$3,Einstellungen!$B$4)</f>
        <v>15.92</v>
      </c>
      <c r="E13090" s="14" t="str">
        <f aca="false">IF(C13090="","",C13090*D13090/100)</f>
        <v/>
      </c>
      <c r="F13090" s="15" t="str">
        <f aca="false">IF(B13090&lt;5,"Go","Standard")</f>
        <v>Go</v>
      </c>
    </row>
    <row r="13091" customFormat="false" ht="15" hidden="false" customHeight="true" outlineLevel="0" collapsed="false">
      <c r="A13091" s="10" t="n">
        <f aca="false">Einstellungen!$B$5+INT((ROW()-9)/24)</f>
        <v>46511</v>
      </c>
      <c r="B13091" s="11" t="n">
        <f aca="false">MOD(ROW()-9,24)</f>
        <v>2</v>
      </c>
      <c r="C13091" s="12"/>
      <c r="D13091" s="13" t="n">
        <f aca="false">IF(B13091&lt;5,Einstellungen!$B$3,Einstellungen!$B$4)</f>
        <v>15.92</v>
      </c>
      <c r="E13091" s="14" t="str">
        <f aca="false">IF(C13091="","",C13091*D13091/100)</f>
        <v/>
      </c>
      <c r="F13091" s="15" t="str">
        <f aca="false">IF(B13091&lt;5,"Go","Standard")</f>
        <v>Go</v>
      </c>
    </row>
    <row r="13092" customFormat="false" ht="15" hidden="false" customHeight="true" outlineLevel="0" collapsed="false">
      <c r="A13092" s="10" t="n">
        <f aca="false">Einstellungen!$B$5+INT((ROW()-9)/24)</f>
        <v>46511</v>
      </c>
      <c r="B13092" s="11" t="n">
        <f aca="false">MOD(ROW()-9,24)</f>
        <v>3</v>
      </c>
      <c r="C13092" s="12"/>
      <c r="D13092" s="13" t="n">
        <f aca="false">IF(B13092&lt;5,Einstellungen!$B$3,Einstellungen!$B$4)</f>
        <v>15.92</v>
      </c>
      <c r="E13092" s="14" t="str">
        <f aca="false">IF(C13092="","",C13092*D13092/100)</f>
        <v/>
      </c>
      <c r="F13092" s="15" t="str">
        <f aca="false">IF(B13092&lt;5,"Go","Standard")</f>
        <v>Go</v>
      </c>
    </row>
    <row r="13093" customFormat="false" ht="15" hidden="false" customHeight="true" outlineLevel="0" collapsed="false">
      <c r="A13093" s="10" t="n">
        <f aca="false">Einstellungen!$B$5+INT((ROW()-9)/24)</f>
        <v>46511</v>
      </c>
      <c r="B13093" s="11" t="n">
        <f aca="false">MOD(ROW()-9,24)</f>
        <v>4</v>
      </c>
      <c r="C13093" s="12"/>
      <c r="D13093" s="13" t="n">
        <f aca="false">IF(B13093&lt;5,Einstellungen!$B$3,Einstellungen!$B$4)</f>
        <v>15.92</v>
      </c>
      <c r="E13093" s="14" t="str">
        <f aca="false">IF(C13093="","",C13093*D13093/100)</f>
        <v/>
      </c>
      <c r="F13093" s="15" t="str">
        <f aca="false">IF(B13093&lt;5,"Go","Standard")</f>
        <v>Go</v>
      </c>
    </row>
    <row r="13094" customFormat="false" ht="15" hidden="false" customHeight="true" outlineLevel="0" collapsed="false">
      <c r="A13094" s="10" t="n">
        <f aca="false">Einstellungen!$B$5+INT((ROW()-9)/24)</f>
        <v>46511</v>
      </c>
      <c r="B13094" s="11" t="n">
        <f aca="false">MOD(ROW()-9,24)</f>
        <v>5</v>
      </c>
      <c r="C13094" s="12"/>
      <c r="D13094" s="13" t="n">
        <f aca="false">IF(B13094&lt;5,Einstellungen!$B$3,Einstellungen!$B$4)</f>
        <v>29.13</v>
      </c>
      <c r="E13094" s="14" t="str">
        <f aca="false">IF(C13094="","",C13094*D13094/100)</f>
        <v/>
      </c>
      <c r="F13094" s="15" t="str">
        <f aca="false">IF(B13094&lt;5,"Go","Standard")</f>
        <v>Standard</v>
      </c>
    </row>
    <row r="13095" customFormat="false" ht="15" hidden="false" customHeight="true" outlineLevel="0" collapsed="false">
      <c r="A13095" s="10" t="n">
        <f aca="false">Einstellungen!$B$5+INT((ROW()-9)/24)</f>
        <v>46511</v>
      </c>
      <c r="B13095" s="11" t="n">
        <f aca="false">MOD(ROW()-9,24)</f>
        <v>6</v>
      </c>
      <c r="C13095" s="12"/>
      <c r="D13095" s="13" t="n">
        <f aca="false">IF(B13095&lt;5,Einstellungen!$B$3,Einstellungen!$B$4)</f>
        <v>29.13</v>
      </c>
      <c r="E13095" s="14" t="str">
        <f aca="false">IF(C13095="","",C13095*D13095/100)</f>
        <v/>
      </c>
      <c r="F13095" s="15" t="str">
        <f aca="false">IF(B13095&lt;5,"Go","Standard")</f>
        <v>Standard</v>
      </c>
    </row>
    <row r="13096" customFormat="false" ht="15" hidden="false" customHeight="true" outlineLevel="0" collapsed="false">
      <c r="A13096" s="10" t="n">
        <f aca="false">Einstellungen!$B$5+INT((ROW()-9)/24)</f>
        <v>46511</v>
      </c>
      <c r="B13096" s="11" t="n">
        <f aca="false">MOD(ROW()-9,24)</f>
        <v>7</v>
      </c>
      <c r="C13096" s="12"/>
      <c r="D13096" s="13" t="n">
        <f aca="false">IF(B13096&lt;5,Einstellungen!$B$3,Einstellungen!$B$4)</f>
        <v>29.13</v>
      </c>
      <c r="E13096" s="14" t="str">
        <f aca="false">IF(C13096="","",C13096*D13096/100)</f>
        <v/>
      </c>
      <c r="F13096" s="15" t="str">
        <f aca="false">IF(B13096&lt;5,"Go","Standard")</f>
        <v>Standard</v>
      </c>
    </row>
    <row r="13097" customFormat="false" ht="15" hidden="false" customHeight="true" outlineLevel="0" collapsed="false">
      <c r="A13097" s="10" t="n">
        <f aca="false">Einstellungen!$B$5+INT((ROW()-9)/24)</f>
        <v>46511</v>
      </c>
      <c r="B13097" s="11" t="n">
        <f aca="false">MOD(ROW()-9,24)</f>
        <v>8</v>
      </c>
      <c r="C13097" s="12"/>
      <c r="D13097" s="13" t="n">
        <f aca="false">IF(B13097&lt;5,Einstellungen!$B$3,Einstellungen!$B$4)</f>
        <v>29.13</v>
      </c>
      <c r="E13097" s="14" t="str">
        <f aca="false">IF(C13097="","",C13097*D13097/100)</f>
        <v/>
      </c>
      <c r="F13097" s="15" t="str">
        <f aca="false">IF(B13097&lt;5,"Go","Standard")</f>
        <v>Standard</v>
      </c>
    </row>
    <row r="13098" customFormat="false" ht="15" hidden="false" customHeight="true" outlineLevel="0" collapsed="false">
      <c r="A13098" s="10" t="n">
        <f aca="false">Einstellungen!$B$5+INT((ROW()-9)/24)</f>
        <v>46511</v>
      </c>
      <c r="B13098" s="11" t="n">
        <f aca="false">MOD(ROW()-9,24)</f>
        <v>9</v>
      </c>
      <c r="C13098" s="12"/>
      <c r="D13098" s="13" t="n">
        <f aca="false">IF(B13098&lt;5,Einstellungen!$B$3,Einstellungen!$B$4)</f>
        <v>29.13</v>
      </c>
      <c r="E13098" s="14" t="str">
        <f aca="false">IF(C13098="","",C13098*D13098/100)</f>
        <v/>
      </c>
      <c r="F13098" s="15" t="str">
        <f aca="false">IF(B13098&lt;5,"Go","Standard")</f>
        <v>Standard</v>
      </c>
    </row>
    <row r="13099" customFormat="false" ht="15" hidden="false" customHeight="true" outlineLevel="0" collapsed="false">
      <c r="A13099" s="10" t="n">
        <f aca="false">Einstellungen!$B$5+INT((ROW()-9)/24)</f>
        <v>46511</v>
      </c>
      <c r="B13099" s="11" t="n">
        <f aca="false">MOD(ROW()-9,24)</f>
        <v>10</v>
      </c>
      <c r="C13099" s="12"/>
      <c r="D13099" s="13" t="n">
        <f aca="false">IF(B13099&lt;5,Einstellungen!$B$3,Einstellungen!$B$4)</f>
        <v>29.13</v>
      </c>
      <c r="E13099" s="14" t="str">
        <f aca="false">IF(C13099="","",C13099*D13099/100)</f>
        <v/>
      </c>
      <c r="F13099" s="15" t="str">
        <f aca="false">IF(B13099&lt;5,"Go","Standard")</f>
        <v>Standard</v>
      </c>
    </row>
    <row r="13100" customFormat="false" ht="15" hidden="false" customHeight="true" outlineLevel="0" collapsed="false">
      <c r="A13100" s="10" t="n">
        <f aca="false">Einstellungen!$B$5+INT((ROW()-9)/24)</f>
        <v>46511</v>
      </c>
      <c r="B13100" s="11" t="n">
        <f aca="false">MOD(ROW()-9,24)</f>
        <v>11</v>
      </c>
      <c r="C13100" s="12"/>
      <c r="D13100" s="13" t="n">
        <f aca="false">IF(B13100&lt;5,Einstellungen!$B$3,Einstellungen!$B$4)</f>
        <v>29.13</v>
      </c>
      <c r="E13100" s="14" t="str">
        <f aca="false">IF(C13100="","",C13100*D13100/100)</f>
        <v/>
      </c>
      <c r="F13100" s="15" t="str">
        <f aca="false">IF(B13100&lt;5,"Go","Standard")</f>
        <v>Standard</v>
      </c>
    </row>
    <row r="13101" customFormat="false" ht="15" hidden="false" customHeight="true" outlineLevel="0" collapsed="false">
      <c r="A13101" s="10" t="n">
        <f aca="false">Einstellungen!$B$5+INT((ROW()-9)/24)</f>
        <v>46511</v>
      </c>
      <c r="B13101" s="11" t="n">
        <f aca="false">MOD(ROW()-9,24)</f>
        <v>12</v>
      </c>
      <c r="C13101" s="12"/>
      <c r="D13101" s="13" t="n">
        <f aca="false">IF(B13101&lt;5,Einstellungen!$B$3,Einstellungen!$B$4)</f>
        <v>29.13</v>
      </c>
      <c r="E13101" s="14" t="str">
        <f aca="false">IF(C13101="","",C13101*D13101/100)</f>
        <v/>
      </c>
      <c r="F13101" s="15" t="str">
        <f aca="false">IF(B13101&lt;5,"Go","Standard")</f>
        <v>Standard</v>
      </c>
    </row>
    <row r="13102" customFormat="false" ht="15" hidden="false" customHeight="true" outlineLevel="0" collapsed="false">
      <c r="A13102" s="10" t="n">
        <f aca="false">Einstellungen!$B$5+INT((ROW()-9)/24)</f>
        <v>46511</v>
      </c>
      <c r="B13102" s="11" t="n">
        <f aca="false">MOD(ROW()-9,24)</f>
        <v>13</v>
      </c>
      <c r="C13102" s="12"/>
      <c r="D13102" s="13" t="n">
        <f aca="false">IF(B13102&lt;5,Einstellungen!$B$3,Einstellungen!$B$4)</f>
        <v>29.13</v>
      </c>
      <c r="E13102" s="14" t="str">
        <f aca="false">IF(C13102="","",C13102*D13102/100)</f>
        <v/>
      </c>
      <c r="F13102" s="15" t="str">
        <f aca="false">IF(B13102&lt;5,"Go","Standard")</f>
        <v>Standard</v>
      </c>
    </row>
    <row r="13103" customFormat="false" ht="15" hidden="false" customHeight="true" outlineLevel="0" collapsed="false">
      <c r="A13103" s="10" t="n">
        <f aca="false">Einstellungen!$B$5+INT((ROW()-9)/24)</f>
        <v>46511</v>
      </c>
      <c r="B13103" s="11" t="n">
        <f aca="false">MOD(ROW()-9,24)</f>
        <v>14</v>
      </c>
      <c r="C13103" s="12"/>
      <c r="D13103" s="13" t="n">
        <f aca="false">IF(B13103&lt;5,Einstellungen!$B$3,Einstellungen!$B$4)</f>
        <v>29.13</v>
      </c>
      <c r="E13103" s="14" t="str">
        <f aca="false">IF(C13103="","",C13103*D13103/100)</f>
        <v/>
      </c>
      <c r="F13103" s="15" t="str">
        <f aca="false">IF(B13103&lt;5,"Go","Standard")</f>
        <v>Standard</v>
      </c>
    </row>
    <row r="13104" customFormat="false" ht="15" hidden="false" customHeight="true" outlineLevel="0" collapsed="false">
      <c r="A13104" s="10" t="n">
        <f aca="false">Einstellungen!$B$5+INT((ROW()-9)/24)</f>
        <v>46511</v>
      </c>
      <c r="B13104" s="11" t="n">
        <f aca="false">MOD(ROW()-9,24)</f>
        <v>15</v>
      </c>
      <c r="C13104" s="12"/>
      <c r="D13104" s="13" t="n">
        <f aca="false">IF(B13104&lt;5,Einstellungen!$B$3,Einstellungen!$B$4)</f>
        <v>29.13</v>
      </c>
      <c r="E13104" s="14" t="str">
        <f aca="false">IF(C13104="","",C13104*D13104/100)</f>
        <v/>
      </c>
      <c r="F13104" s="15" t="str">
        <f aca="false">IF(B13104&lt;5,"Go","Standard")</f>
        <v>Standard</v>
      </c>
    </row>
    <row r="13105" customFormat="false" ht="15" hidden="false" customHeight="true" outlineLevel="0" collapsed="false">
      <c r="A13105" s="10" t="n">
        <f aca="false">Einstellungen!$B$5+INT((ROW()-9)/24)</f>
        <v>46511</v>
      </c>
      <c r="B13105" s="11" t="n">
        <f aca="false">MOD(ROW()-9,24)</f>
        <v>16</v>
      </c>
      <c r="C13105" s="12"/>
      <c r="D13105" s="13" t="n">
        <f aca="false">IF(B13105&lt;5,Einstellungen!$B$3,Einstellungen!$B$4)</f>
        <v>29.13</v>
      </c>
      <c r="E13105" s="14" t="str">
        <f aca="false">IF(C13105="","",C13105*D13105/100)</f>
        <v/>
      </c>
      <c r="F13105" s="15" t="str">
        <f aca="false">IF(B13105&lt;5,"Go","Standard")</f>
        <v>Standard</v>
      </c>
    </row>
    <row r="13106" customFormat="false" ht="15" hidden="false" customHeight="true" outlineLevel="0" collapsed="false">
      <c r="A13106" s="10" t="n">
        <f aca="false">Einstellungen!$B$5+INT((ROW()-9)/24)</f>
        <v>46511</v>
      </c>
      <c r="B13106" s="11" t="n">
        <f aca="false">MOD(ROW()-9,24)</f>
        <v>17</v>
      </c>
      <c r="C13106" s="12"/>
      <c r="D13106" s="13" t="n">
        <f aca="false">IF(B13106&lt;5,Einstellungen!$B$3,Einstellungen!$B$4)</f>
        <v>29.13</v>
      </c>
      <c r="E13106" s="14" t="str">
        <f aca="false">IF(C13106="","",C13106*D13106/100)</f>
        <v/>
      </c>
      <c r="F13106" s="15" t="str">
        <f aca="false">IF(B13106&lt;5,"Go","Standard")</f>
        <v>Standard</v>
      </c>
    </row>
    <row r="13107" customFormat="false" ht="15" hidden="false" customHeight="true" outlineLevel="0" collapsed="false">
      <c r="A13107" s="10" t="n">
        <f aca="false">Einstellungen!$B$5+INT((ROW()-9)/24)</f>
        <v>46511</v>
      </c>
      <c r="B13107" s="11" t="n">
        <f aca="false">MOD(ROW()-9,24)</f>
        <v>18</v>
      </c>
      <c r="C13107" s="12"/>
      <c r="D13107" s="13" t="n">
        <f aca="false">IF(B13107&lt;5,Einstellungen!$B$3,Einstellungen!$B$4)</f>
        <v>29.13</v>
      </c>
      <c r="E13107" s="14" t="str">
        <f aca="false">IF(C13107="","",C13107*D13107/100)</f>
        <v/>
      </c>
      <c r="F13107" s="15" t="str">
        <f aca="false">IF(B13107&lt;5,"Go","Standard")</f>
        <v>Standard</v>
      </c>
    </row>
    <row r="13108" customFormat="false" ht="15" hidden="false" customHeight="true" outlineLevel="0" collapsed="false">
      <c r="A13108" s="10" t="n">
        <f aca="false">Einstellungen!$B$5+INT((ROW()-9)/24)</f>
        <v>46511</v>
      </c>
      <c r="B13108" s="11" t="n">
        <f aca="false">MOD(ROW()-9,24)</f>
        <v>19</v>
      </c>
      <c r="C13108" s="12"/>
      <c r="D13108" s="13" t="n">
        <f aca="false">IF(B13108&lt;5,Einstellungen!$B$3,Einstellungen!$B$4)</f>
        <v>29.13</v>
      </c>
      <c r="E13108" s="14" t="str">
        <f aca="false">IF(C13108="","",C13108*D13108/100)</f>
        <v/>
      </c>
      <c r="F13108" s="15" t="str">
        <f aca="false">IF(B13108&lt;5,"Go","Standard")</f>
        <v>Standard</v>
      </c>
    </row>
    <row r="13109" customFormat="false" ht="15" hidden="false" customHeight="true" outlineLevel="0" collapsed="false">
      <c r="A13109" s="10" t="n">
        <f aca="false">Einstellungen!$B$5+INT((ROW()-9)/24)</f>
        <v>46511</v>
      </c>
      <c r="B13109" s="11" t="n">
        <f aca="false">MOD(ROW()-9,24)</f>
        <v>20</v>
      </c>
      <c r="C13109" s="12"/>
      <c r="D13109" s="13" t="n">
        <f aca="false">IF(B13109&lt;5,Einstellungen!$B$3,Einstellungen!$B$4)</f>
        <v>29.13</v>
      </c>
      <c r="E13109" s="14" t="str">
        <f aca="false">IF(C13109="","",C13109*D13109/100)</f>
        <v/>
      </c>
      <c r="F13109" s="15" t="str">
        <f aca="false">IF(B13109&lt;5,"Go","Standard")</f>
        <v>Standard</v>
      </c>
    </row>
    <row r="13110" customFormat="false" ht="15" hidden="false" customHeight="true" outlineLevel="0" collapsed="false">
      <c r="A13110" s="10" t="n">
        <f aca="false">Einstellungen!$B$5+INT((ROW()-9)/24)</f>
        <v>46511</v>
      </c>
      <c r="B13110" s="11" t="n">
        <f aca="false">MOD(ROW()-9,24)</f>
        <v>21</v>
      </c>
      <c r="C13110" s="12"/>
      <c r="D13110" s="13" t="n">
        <f aca="false">IF(B13110&lt;5,Einstellungen!$B$3,Einstellungen!$B$4)</f>
        <v>29.13</v>
      </c>
      <c r="E13110" s="14" t="str">
        <f aca="false">IF(C13110="","",C13110*D13110/100)</f>
        <v/>
      </c>
      <c r="F13110" s="15" t="str">
        <f aca="false">IF(B13110&lt;5,"Go","Standard")</f>
        <v>Standard</v>
      </c>
    </row>
    <row r="13111" customFormat="false" ht="15" hidden="false" customHeight="true" outlineLevel="0" collapsed="false">
      <c r="A13111" s="10" t="n">
        <f aca="false">Einstellungen!$B$5+INT((ROW()-9)/24)</f>
        <v>46511</v>
      </c>
      <c r="B13111" s="11" t="n">
        <f aca="false">MOD(ROW()-9,24)</f>
        <v>22</v>
      </c>
      <c r="C13111" s="12"/>
      <c r="D13111" s="13" t="n">
        <f aca="false">IF(B13111&lt;5,Einstellungen!$B$3,Einstellungen!$B$4)</f>
        <v>29.13</v>
      </c>
      <c r="E13111" s="14" t="str">
        <f aca="false">IF(C13111="","",C13111*D13111/100)</f>
        <v/>
      </c>
      <c r="F13111" s="15" t="str">
        <f aca="false">IF(B13111&lt;5,"Go","Standard")</f>
        <v>Standard</v>
      </c>
    </row>
    <row r="13112" customFormat="false" ht="15" hidden="false" customHeight="true" outlineLevel="0" collapsed="false">
      <c r="A13112" s="10" t="n">
        <f aca="false">Einstellungen!$B$5+INT((ROW()-9)/24)</f>
        <v>46511</v>
      </c>
      <c r="B13112" s="11" t="n">
        <f aca="false">MOD(ROW()-9,24)</f>
        <v>23</v>
      </c>
      <c r="C13112" s="12"/>
      <c r="D13112" s="13" t="n">
        <f aca="false">IF(B13112&lt;5,Einstellungen!$B$3,Einstellungen!$B$4)</f>
        <v>29.13</v>
      </c>
      <c r="E13112" s="14" t="str">
        <f aca="false">IF(C13112="","",C13112*D13112/100)</f>
        <v/>
      </c>
      <c r="F13112" s="15" t="str">
        <f aca="false">IF(B13112&lt;5,"Go","Standard")</f>
        <v>Standard</v>
      </c>
    </row>
    <row r="13113" customFormat="false" ht="15" hidden="false" customHeight="true" outlineLevel="0" collapsed="false">
      <c r="A13113" s="10" t="n">
        <f aca="false">Einstellungen!$B$5+INT((ROW()-9)/24)</f>
        <v>46512</v>
      </c>
      <c r="B13113" s="11" t="n">
        <f aca="false">MOD(ROW()-9,24)</f>
        <v>0</v>
      </c>
      <c r="C13113" s="12"/>
      <c r="D13113" s="13" t="n">
        <f aca="false">IF(B13113&lt;5,Einstellungen!$B$3,Einstellungen!$B$4)</f>
        <v>15.92</v>
      </c>
      <c r="E13113" s="14" t="str">
        <f aca="false">IF(C13113="","",C13113*D13113/100)</f>
        <v/>
      </c>
      <c r="F13113" s="15" t="str">
        <f aca="false">IF(B13113&lt;5,"Go","Standard")</f>
        <v>Go</v>
      </c>
    </row>
    <row r="13114" customFormat="false" ht="15" hidden="false" customHeight="true" outlineLevel="0" collapsed="false">
      <c r="A13114" s="10" t="n">
        <f aca="false">Einstellungen!$B$5+INT((ROW()-9)/24)</f>
        <v>46512</v>
      </c>
      <c r="B13114" s="11" t="n">
        <f aca="false">MOD(ROW()-9,24)</f>
        <v>1</v>
      </c>
      <c r="C13114" s="12"/>
      <c r="D13114" s="13" t="n">
        <f aca="false">IF(B13114&lt;5,Einstellungen!$B$3,Einstellungen!$B$4)</f>
        <v>15.92</v>
      </c>
      <c r="E13114" s="14" t="str">
        <f aca="false">IF(C13114="","",C13114*D13114/100)</f>
        <v/>
      </c>
      <c r="F13114" s="15" t="str">
        <f aca="false">IF(B13114&lt;5,"Go","Standard")</f>
        <v>Go</v>
      </c>
    </row>
    <row r="13115" customFormat="false" ht="15" hidden="false" customHeight="true" outlineLevel="0" collapsed="false">
      <c r="A13115" s="10" t="n">
        <f aca="false">Einstellungen!$B$5+INT((ROW()-9)/24)</f>
        <v>46512</v>
      </c>
      <c r="B13115" s="11" t="n">
        <f aca="false">MOD(ROW()-9,24)</f>
        <v>2</v>
      </c>
      <c r="C13115" s="12"/>
      <c r="D13115" s="13" t="n">
        <f aca="false">IF(B13115&lt;5,Einstellungen!$B$3,Einstellungen!$B$4)</f>
        <v>15.92</v>
      </c>
      <c r="E13115" s="14" t="str">
        <f aca="false">IF(C13115="","",C13115*D13115/100)</f>
        <v/>
      </c>
      <c r="F13115" s="15" t="str">
        <f aca="false">IF(B13115&lt;5,"Go","Standard")</f>
        <v>Go</v>
      </c>
    </row>
    <row r="13116" customFormat="false" ht="15" hidden="false" customHeight="true" outlineLevel="0" collapsed="false">
      <c r="A13116" s="10" t="n">
        <f aca="false">Einstellungen!$B$5+INT((ROW()-9)/24)</f>
        <v>46512</v>
      </c>
      <c r="B13116" s="11" t="n">
        <f aca="false">MOD(ROW()-9,24)</f>
        <v>3</v>
      </c>
      <c r="C13116" s="12"/>
      <c r="D13116" s="13" t="n">
        <f aca="false">IF(B13116&lt;5,Einstellungen!$B$3,Einstellungen!$B$4)</f>
        <v>15.92</v>
      </c>
      <c r="E13116" s="14" t="str">
        <f aca="false">IF(C13116="","",C13116*D13116/100)</f>
        <v/>
      </c>
      <c r="F13116" s="15" t="str">
        <f aca="false">IF(B13116&lt;5,"Go","Standard")</f>
        <v>Go</v>
      </c>
    </row>
    <row r="13117" customFormat="false" ht="15" hidden="false" customHeight="true" outlineLevel="0" collapsed="false">
      <c r="A13117" s="10" t="n">
        <f aca="false">Einstellungen!$B$5+INT((ROW()-9)/24)</f>
        <v>46512</v>
      </c>
      <c r="B13117" s="11" t="n">
        <f aca="false">MOD(ROW()-9,24)</f>
        <v>4</v>
      </c>
      <c r="C13117" s="12"/>
      <c r="D13117" s="13" t="n">
        <f aca="false">IF(B13117&lt;5,Einstellungen!$B$3,Einstellungen!$B$4)</f>
        <v>15.92</v>
      </c>
      <c r="E13117" s="14" t="str">
        <f aca="false">IF(C13117="","",C13117*D13117/100)</f>
        <v/>
      </c>
      <c r="F13117" s="15" t="str">
        <f aca="false">IF(B13117&lt;5,"Go","Standard")</f>
        <v>Go</v>
      </c>
    </row>
    <row r="13118" customFormat="false" ht="15" hidden="false" customHeight="true" outlineLevel="0" collapsed="false">
      <c r="A13118" s="10" t="n">
        <f aca="false">Einstellungen!$B$5+INT((ROW()-9)/24)</f>
        <v>46512</v>
      </c>
      <c r="B13118" s="11" t="n">
        <f aca="false">MOD(ROW()-9,24)</f>
        <v>5</v>
      </c>
      <c r="C13118" s="12"/>
      <c r="D13118" s="13" t="n">
        <f aca="false">IF(B13118&lt;5,Einstellungen!$B$3,Einstellungen!$B$4)</f>
        <v>29.13</v>
      </c>
      <c r="E13118" s="14" t="str">
        <f aca="false">IF(C13118="","",C13118*D13118/100)</f>
        <v/>
      </c>
      <c r="F13118" s="15" t="str">
        <f aca="false">IF(B13118&lt;5,"Go","Standard")</f>
        <v>Standard</v>
      </c>
    </row>
    <row r="13119" customFormat="false" ht="15" hidden="false" customHeight="true" outlineLevel="0" collapsed="false">
      <c r="A13119" s="10" t="n">
        <f aca="false">Einstellungen!$B$5+INT((ROW()-9)/24)</f>
        <v>46512</v>
      </c>
      <c r="B13119" s="11" t="n">
        <f aca="false">MOD(ROW()-9,24)</f>
        <v>6</v>
      </c>
      <c r="C13119" s="12"/>
      <c r="D13119" s="13" t="n">
        <f aca="false">IF(B13119&lt;5,Einstellungen!$B$3,Einstellungen!$B$4)</f>
        <v>29.13</v>
      </c>
      <c r="E13119" s="14" t="str">
        <f aca="false">IF(C13119="","",C13119*D13119/100)</f>
        <v/>
      </c>
      <c r="F13119" s="15" t="str">
        <f aca="false">IF(B13119&lt;5,"Go","Standard")</f>
        <v>Standard</v>
      </c>
    </row>
    <row r="13120" customFormat="false" ht="15" hidden="false" customHeight="true" outlineLevel="0" collapsed="false">
      <c r="A13120" s="10" t="n">
        <f aca="false">Einstellungen!$B$5+INT((ROW()-9)/24)</f>
        <v>46512</v>
      </c>
      <c r="B13120" s="11" t="n">
        <f aca="false">MOD(ROW()-9,24)</f>
        <v>7</v>
      </c>
      <c r="C13120" s="12"/>
      <c r="D13120" s="13" t="n">
        <f aca="false">IF(B13120&lt;5,Einstellungen!$B$3,Einstellungen!$B$4)</f>
        <v>29.13</v>
      </c>
      <c r="E13120" s="14" t="str">
        <f aca="false">IF(C13120="","",C13120*D13120/100)</f>
        <v/>
      </c>
      <c r="F13120" s="15" t="str">
        <f aca="false">IF(B13120&lt;5,"Go","Standard")</f>
        <v>Standard</v>
      </c>
    </row>
    <row r="13121" customFormat="false" ht="15" hidden="false" customHeight="true" outlineLevel="0" collapsed="false">
      <c r="A13121" s="10" t="n">
        <f aca="false">Einstellungen!$B$5+INT((ROW()-9)/24)</f>
        <v>46512</v>
      </c>
      <c r="B13121" s="11" t="n">
        <f aca="false">MOD(ROW()-9,24)</f>
        <v>8</v>
      </c>
      <c r="C13121" s="12"/>
      <c r="D13121" s="13" t="n">
        <f aca="false">IF(B13121&lt;5,Einstellungen!$B$3,Einstellungen!$B$4)</f>
        <v>29.13</v>
      </c>
      <c r="E13121" s="14" t="str">
        <f aca="false">IF(C13121="","",C13121*D13121/100)</f>
        <v/>
      </c>
      <c r="F13121" s="15" t="str">
        <f aca="false">IF(B13121&lt;5,"Go","Standard")</f>
        <v>Standard</v>
      </c>
    </row>
    <row r="13122" customFormat="false" ht="15" hidden="false" customHeight="true" outlineLevel="0" collapsed="false">
      <c r="A13122" s="10" t="n">
        <f aca="false">Einstellungen!$B$5+INT((ROW()-9)/24)</f>
        <v>46512</v>
      </c>
      <c r="B13122" s="11" t="n">
        <f aca="false">MOD(ROW()-9,24)</f>
        <v>9</v>
      </c>
      <c r="C13122" s="12"/>
      <c r="D13122" s="13" t="n">
        <f aca="false">IF(B13122&lt;5,Einstellungen!$B$3,Einstellungen!$B$4)</f>
        <v>29.13</v>
      </c>
      <c r="E13122" s="14" t="str">
        <f aca="false">IF(C13122="","",C13122*D13122/100)</f>
        <v/>
      </c>
      <c r="F13122" s="15" t="str">
        <f aca="false">IF(B13122&lt;5,"Go","Standard")</f>
        <v>Standard</v>
      </c>
    </row>
    <row r="13123" customFormat="false" ht="15" hidden="false" customHeight="true" outlineLevel="0" collapsed="false">
      <c r="A13123" s="10" t="n">
        <f aca="false">Einstellungen!$B$5+INT((ROW()-9)/24)</f>
        <v>46512</v>
      </c>
      <c r="B13123" s="11" t="n">
        <f aca="false">MOD(ROW()-9,24)</f>
        <v>10</v>
      </c>
      <c r="C13123" s="12"/>
      <c r="D13123" s="13" t="n">
        <f aca="false">IF(B13123&lt;5,Einstellungen!$B$3,Einstellungen!$B$4)</f>
        <v>29.13</v>
      </c>
      <c r="E13123" s="14" t="str">
        <f aca="false">IF(C13123="","",C13123*D13123/100)</f>
        <v/>
      </c>
      <c r="F13123" s="15" t="str">
        <f aca="false">IF(B13123&lt;5,"Go","Standard")</f>
        <v>Standard</v>
      </c>
    </row>
    <row r="13124" customFormat="false" ht="15" hidden="false" customHeight="true" outlineLevel="0" collapsed="false">
      <c r="A13124" s="10" t="n">
        <f aca="false">Einstellungen!$B$5+INT((ROW()-9)/24)</f>
        <v>46512</v>
      </c>
      <c r="B13124" s="11" t="n">
        <f aca="false">MOD(ROW()-9,24)</f>
        <v>11</v>
      </c>
      <c r="C13124" s="12"/>
      <c r="D13124" s="13" t="n">
        <f aca="false">IF(B13124&lt;5,Einstellungen!$B$3,Einstellungen!$B$4)</f>
        <v>29.13</v>
      </c>
      <c r="E13124" s="14" t="str">
        <f aca="false">IF(C13124="","",C13124*D13124/100)</f>
        <v/>
      </c>
      <c r="F13124" s="15" t="str">
        <f aca="false">IF(B13124&lt;5,"Go","Standard")</f>
        <v>Standard</v>
      </c>
    </row>
    <row r="13125" customFormat="false" ht="15" hidden="false" customHeight="true" outlineLevel="0" collapsed="false">
      <c r="A13125" s="10" t="n">
        <f aca="false">Einstellungen!$B$5+INT((ROW()-9)/24)</f>
        <v>46512</v>
      </c>
      <c r="B13125" s="11" t="n">
        <f aca="false">MOD(ROW()-9,24)</f>
        <v>12</v>
      </c>
      <c r="C13125" s="12"/>
      <c r="D13125" s="13" t="n">
        <f aca="false">IF(B13125&lt;5,Einstellungen!$B$3,Einstellungen!$B$4)</f>
        <v>29.13</v>
      </c>
      <c r="E13125" s="14" t="str">
        <f aca="false">IF(C13125="","",C13125*D13125/100)</f>
        <v/>
      </c>
      <c r="F13125" s="15" t="str">
        <f aca="false">IF(B13125&lt;5,"Go","Standard")</f>
        <v>Standard</v>
      </c>
    </row>
    <row r="13126" customFormat="false" ht="15" hidden="false" customHeight="true" outlineLevel="0" collapsed="false">
      <c r="A13126" s="10" t="n">
        <f aca="false">Einstellungen!$B$5+INT((ROW()-9)/24)</f>
        <v>46512</v>
      </c>
      <c r="B13126" s="11" t="n">
        <f aca="false">MOD(ROW()-9,24)</f>
        <v>13</v>
      </c>
      <c r="C13126" s="12"/>
      <c r="D13126" s="13" t="n">
        <f aca="false">IF(B13126&lt;5,Einstellungen!$B$3,Einstellungen!$B$4)</f>
        <v>29.13</v>
      </c>
      <c r="E13126" s="14" t="str">
        <f aca="false">IF(C13126="","",C13126*D13126/100)</f>
        <v/>
      </c>
      <c r="F13126" s="15" t="str">
        <f aca="false">IF(B13126&lt;5,"Go","Standard")</f>
        <v>Standard</v>
      </c>
    </row>
    <row r="13127" customFormat="false" ht="15" hidden="false" customHeight="true" outlineLevel="0" collapsed="false">
      <c r="A13127" s="10" t="n">
        <f aca="false">Einstellungen!$B$5+INT((ROW()-9)/24)</f>
        <v>46512</v>
      </c>
      <c r="B13127" s="11" t="n">
        <f aca="false">MOD(ROW()-9,24)</f>
        <v>14</v>
      </c>
      <c r="C13127" s="12"/>
      <c r="D13127" s="13" t="n">
        <f aca="false">IF(B13127&lt;5,Einstellungen!$B$3,Einstellungen!$B$4)</f>
        <v>29.13</v>
      </c>
      <c r="E13127" s="14" t="str">
        <f aca="false">IF(C13127="","",C13127*D13127/100)</f>
        <v/>
      </c>
      <c r="F13127" s="15" t="str">
        <f aca="false">IF(B13127&lt;5,"Go","Standard")</f>
        <v>Standard</v>
      </c>
    </row>
    <row r="13128" customFormat="false" ht="15" hidden="false" customHeight="true" outlineLevel="0" collapsed="false">
      <c r="A13128" s="10" t="n">
        <f aca="false">Einstellungen!$B$5+INT((ROW()-9)/24)</f>
        <v>46512</v>
      </c>
      <c r="B13128" s="11" t="n">
        <f aca="false">MOD(ROW()-9,24)</f>
        <v>15</v>
      </c>
      <c r="C13128" s="12"/>
      <c r="D13128" s="13" t="n">
        <f aca="false">IF(B13128&lt;5,Einstellungen!$B$3,Einstellungen!$B$4)</f>
        <v>29.13</v>
      </c>
      <c r="E13128" s="14" t="str">
        <f aca="false">IF(C13128="","",C13128*D13128/100)</f>
        <v/>
      </c>
      <c r="F13128" s="15" t="str">
        <f aca="false">IF(B13128&lt;5,"Go","Standard")</f>
        <v>Standard</v>
      </c>
    </row>
    <row r="13129" customFormat="false" ht="15" hidden="false" customHeight="true" outlineLevel="0" collapsed="false">
      <c r="A13129" s="10" t="n">
        <f aca="false">Einstellungen!$B$5+INT((ROW()-9)/24)</f>
        <v>46512</v>
      </c>
      <c r="B13129" s="11" t="n">
        <f aca="false">MOD(ROW()-9,24)</f>
        <v>16</v>
      </c>
      <c r="C13129" s="12"/>
      <c r="D13129" s="13" t="n">
        <f aca="false">IF(B13129&lt;5,Einstellungen!$B$3,Einstellungen!$B$4)</f>
        <v>29.13</v>
      </c>
      <c r="E13129" s="14" t="str">
        <f aca="false">IF(C13129="","",C13129*D13129/100)</f>
        <v/>
      </c>
      <c r="F13129" s="15" t="str">
        <f aca="false">IF(B13129&lt;5,"Go","Standard")</f>
        <v>Standard</v>
      </c>
    </row>
    <row r="13130" customFormat="false" ht="15" hidden="false" customHeight="true" outlineLevel="0" collapsed="false">
      <c r="A13130" s="10" t="n">
        <f aca="false">Einstellungen!$B$5+INT((ROW()-9)/24)</f>
        <v>46512</v>
      </c>
      <c r="B13130" s="11" t="n">
        <f aca="false">MOD(ROW()-9,24)</f>
        <v>17</v>
      </c>
      <c r="C13130" s="12"/>
      <c r="D13130" s="13" t="n">
        <f aca="false">IF(B13130&lt;5,Einstellungen!$B$3,Einstellungen!$B$4)</f>
        <v>29.13</v>
      </c>
      <c r="E13130" s="14" t="str">
        <f aca="false">IF(C13130="","",C13130*D13130/100)</f>
        <v/>
      </c>
      <c r="F13130" s="15" t="str">
        <f aca="false">IF(B13130&lt;5,"Go","Standard")</f>
        <v>Standard</v>
      </c>
    </row>
    <row r="13131" customFormat="false" ht="15" hidden="false" customHeight="true" outlineLevel="0" collapsed="false">
      <c r="A13131" s="10" t="n">
        <f aca="false">Einstellungen!$B$5+INT((ROW()-9)/24)</f>
        <v>46512</v>
      </c>
      <c r="B13131" s="11" t="n">
        <f aca="false">MOD(ROW()-9,24)</f>
        <v>18</v>
      </c>
      <c r="C13131" s="12"/>
      <c r="D13131" s="13" t="n">
        <f aca="false">IF(B13131&lt;5,Einstellungen!$B$3,Einstellungen!$B$4)</f>
        <v>29.13</v>
      </c>
      <c r="E13131" s="14" t="str">
        <f aca="false">IF(C13131="","",C13131*D13131/100)</f>
        <v/>
      </c>
      <c r="F13131" s="15" t="str">
        <f aca="false">IF(B13131&lt;5,"Go","Standard")</f>
        <v>Standard</v>
      </c>
    </row>
    <row r="13132" customFormat="false" ht="15" hidden="false" customHeight="true" outlineLevel="0" collapsed="false">
      <c r="A13132" s="10" t="n">
        <f aca="false">Einstellungen!$B$5+INT((ROW()-9)/24)</f>
        <v>46512</v>
      </c>
      <c r="B13132" s="11" t="n">
        <f aca="false">MOD(ROW()-9,24)</f>
        <v>19</v>
      </c>
      <c r="C13132" s="12"/>
      <c r="D13132" s="13" t="n">
        <f aca="false">IF(B13132&lt;5,Einstellungen!$B$3,Einstellungen!$B$4)</f>
        <v>29.13</v>
      </c>
      <c r="E13132" s="14" t="str">
        <f aca="false">IF(C13132="","",C13132*D13132/100)</f>
        <v/>
      </c>
      <c r="F13132" s="15" t="str">
        <f aca="false">IF(B13132&lt;5,"Go","Standard")</f>
        <v>Standard</v>
      </c>
    </row>
    <row r="13133" customFormat="false" ht="15" hidden="false" customHeight="true" outlineLevel="0" collapsed="false">
      <c r="A13133" s="10" t="n">
        <f aca="false">Einstellungen!$B$5+INT((ROW()-9)/24)</f>
        <v>46512</v>
      </c>
      <c r="B13133" s="11" t="n">
        <f aca="false">MOD(ROW()-9,24)</f>
        <v>20</v>
      </c>
      <c r="C13133" s="12"/>
      <c r="D13133" s="13" t="n">
        <f aca="false">IF(B13133&lt;5,Einstellungen!$B$3,Einstellungen!$B$4)</f>
        <v>29.13</v>
      </c>
      <c r="E13133" s="14" t="str">
        <f aca="false">IF(C13133="","",C13133*D13133/100)</f>
        <v/>
      </c>
      <c r="F13133" s="15" t="str">
        <f aca="false">IF(B13133&lt;5,"Go","Standard")</f>
        <v>Standard</v>
      </c>
    </row>
    <row r="13134" customFormat="false" ht="15" hidden="false" customHeight="true" outlineLevel="0" collapsed="false">
      <c r="A13134" s="10" t="n">
        <f aca="false">Einstellungen!$B$5+INT((ROW()-9)/24)</f>
        <v>46512</v>
      </c>
      <c r="B13134" s="11" t="n">
        <f aca="false">MOD(ROW()-9,24)</f>
        <v>21</v>
      </c>
      <c r="C13134" s="12"/>
      <c r="D13134" s="13" t="n">
        <f aca="false">IF(B13134&lt;5,Einstellungen!$B$3,Einstellungen!$B$4)</f>
        <v>29.13</v>
      </c>
      <c r="E13134" s="14" t="str">
        <f aca="false">IF(C13134="","",C13134*D13134/100)</f>
        <v/>
      </c>
      <c r="F13134" s="15" t="str">
        <f aca="false">IF(B13134&lt;5,"Go","Standard")</f>
        <v>Standard</v>
      </c>
    </row>
    <row r="13135" customFormat="false" ht="15" hidden="false" customHeight="true" outlineLevel="0" collapsed="false">
      <c r="A13135" s="10" t="n">
        <f aca="false">Einstellungen!$B$5+INT((ROW()-9)/24)</f>
        <v>46512</v>
      </c>
      <c r="B13135" s="11" t="n">
        <f aca="false">MOD(ROW()-9,24)</f>
        <v>22</v>
      </c>
      <c r="C13135" s="12"/>
      <c r="D13135" s="13" t="n">
        <f aca="false">IF(B13135&lt;5,Einstellungen!$B$3,Einstellungen!$B$4)</f>
        <v>29.13</v>
      </c>
      <c r="E13135" s="14" t="str">
        <f aca="false">IF(C13135="","",C13135*D13135/100)</f>
        <v/>
      </c>
      <c r="F13135" s="15" t="str">
        <f aca="false">IF(B13135&lt;5,"Go","Standard")</f>
        <v>Standard</v>
      </c>
    </row>
    <row r="13136" customFormat="false" ht="15" hidden="false" customHeight="true" outlineLevel="0" collapsed="false">
      <c r="A13136" s="10" t="n">
        <f aca="false">Einstellungen!$B$5+INT((ROW()-9)/24)</f>
        <v>46512</v>
      </c>
      <c r="B13136" s="11" t="n">
        <f aca="false">MOD(ROW()-9,24)</f>
        <v>23</v>
      </c>
      <c r="C13136" s="12"/>
      <c r="D13136" s="13" t="n">
        <f aca="false">IF(B13136&lt;5,Einstellungen!$B$3,Einstellungen!$B$4)</f>
        <v>29.13</v>
      </c>
      <c r="E13136" s="14" t="str">
        <f aca="false">IF(C13136="","",C13136*D13136/100)</f>
        <v/>
      </c>
      <c r="F13136" s="15" t="str">
        <f aca="false">IF(B13136&lt;5,"Go","Standard")</f>
        <v>Standard</v>
      </c>
    </row>
    <row r="13137" customFormat="false" ht="15" hidden="false" customHeight="true" outlineLevel="0" collapsed="false">
      <c r="A13137" s="10" t="n">
        <f aca="false">Einstellungen!$B$5+INT((ROW()-9)/24)</f>
        <v>46513</v>
      </c>
      <c r="B13137" s="11" t="n">
        <f aca="false">MOD(ROW()-9,24)</f>
        <v>0</v>
      </c>
      <c r="C13137" s="12"/>
      <c r="D13137" s="13" t="n">
        <f aca="false">IF(B13137&lt;5,Einstellungen!$B$3,Einstellungen!$B$4)</f>
        <v>15.92</v>
      </c>
      <c r="E13137" s="14" t="str">
        <f aca="false">IF(C13137="","",C13137*D13137/100)</f>
        <v/>
      </c>
      <c r="F13137" s="15" t="str">
        <f aca="false">IF(B13137&lt;5,"Go","Standard")</f>
        <v>Go</v>
      </c>
    </row>
    <row r="13138" customFormat="false" ht="15" hidden="false" customHeight="true" outlineLevel="0" collapsed="false">
      <c r="A13138" s="10" t="n">
        <f aca="false">Einstellungen!$B$5+INT((ROW()-9)/24)</f>
        <v>46513</v>
      </c>
      <c r="B13138" s="11" t="n">
        <f aca="false">MOD(ROW()-9,24)</f>
        <v>1</v>
      </c>
      <c r="C13138" s="12"/>
      <c r="D13138" s="13" t="n">
        <f aca="false">IF(B13138&lt;5,Einstellungen!$B$3,Einstellungen!$B$4)</f>
        <v>15.92</v>
      </c>
      <c r="E13138" s="14" t="str">
        <f aca="false">IF(C13138="","",C13138*D13138/100)</f>
        <v/>
      </c>
      <c r="F13138" s="15" t="str">
        <f aca="false">IF(B13138&lt;5,"Go","Standard")</f>
        <v>Go</v>
      </c>
    </row>
    <row r="13139" customFormat="false" ht="15" hidden="false" customHeight="true" outlineLevel="0" collapsed="false">
      <c r="A13139" s="10" t="n">
        <f aca="false">Einstellungen!$B$5+INT((ROW()-9)/24)</f>
        <v>46513</v>
      </c>
      <c r="B13139" s="11" t="n">
        <f aca="false">MOD(ROW()-9,24)</f>
        <v>2</v>
      </c>
      <c r="C13139" s="12"/>
      <c r="D13139" s="13" t="n">
        <f aca="false">IF(B13139&lt;5,Einstellungen!$B$3,Einstellungen!$B$4)</f>
        <v>15.92</v>
      </c>
      <c r="E13139" s="14" t="str">
        <f aca="false">IF(C13139="","",C13139*D13139/100)</f>
        <v/>
      </c>
      <c r="F13139" s="15" t="str">
        <f aca="false">IF(B13139&lt;5,"Go","Standard")</f>
        <v>Go</v>
      </c>
    </row>
    <row r="13140" customFormat="false" ht="15" hidden="false" customHeight="true" outlineLevel="0" collapsed="false">
      <c r="A13140" s="10" t="n">
        <f aca="false">Einstellungen!$B$5+INT((ROW()-9)/24)</f>
        <v>46513</v>
      </c>
      <c r="B13140" s="11" t="n">
        <f aca="false">MOD(ROW()-9,24)</f>
        <v>3</v>
      </c>
      <c r="C13140" s="12"/>
      <c r="D13140" s="13" t="n">
        <f aca="false">IF(B13140&lt;5,Einstellungen!$B$3,Einstellungen!$B$4)</f>
        <v>15.92</v>
      </c>
      <c r="E13140" s="14" t="str">
        <f aca="false">IF(C13140="","",C13140*D13140/100)</f>
        <v/>
      </c>
      <c r="F13140" s="15" t="str">
        <f aca="false">IF(B13140&lt;5,"Go","Standard")</f>
        <v>Go</v>
      </c>
    </row>
    <row r="13141" customFormat="false" ht="15" hidden="false" customHeight="true" outlineLevel="0" collapsed="false">
      <c r="A13141" s="10" t="n">
        <f aca="false">Einstellungen!$B$5+INT((ROW()-9)/24)</f>
        <v>46513</v>
      </c>
      <c r="B13141" s="11" t="n">
        <f aca="false">MOD(ROW()-9,24)</f>
        <v>4</v>
      </c>
      <c r="C13141" s="12"/>
      <c r="D13141" s="13" t="n">
        <f aca="false">IF(B13141&lt;5,Einstellungen!$B$3,Einstellungen!$B$4)</f>
        <v>15.92</v>
      </c>
      <c r="E13141" s="14" t="str">
        <f aca="false">IF(C13141="","",C13141*D13141/100)</f>
        <v/>
      </c>
      <c r="F13141" s="15" t="str">
        <f aca="false">IF(B13141&lt;5,"Go","Standard")</f>
        <v>Go</v>
      </c>
    </row>
    <row r="13142" customFormat="false" ht="15" hidden="false" customHeight="true" outlineLevel="0" collapsed="false">
      <c r="A13142" s="10" t="n">
        <f aca="false">Einstellungen!$B$5+INT((ROW()-9)/24)</f>
        <v>46513</v>
      </c>
      <c r="B13142" s="11" t="n">
        <f aca="false">MOD(ROW()-9,24)</f>
        <v>5</v>
      </c>
      <c r="C13142" s="12"/>
      <c r="D13142" s="13" t="n">
        <f aca="false">IF(B13142&lt;5,Einstellungen!$B$3,Einstellungen!$B$4)</f>
        <v>29.13</v>
      </c>
      <c r="E13142" s="14" t="str">
        <f aca="false">IF(C13142="","",C13142*D13142/100)</f>
        <v/>
      </c>
      <c r="F13142" s="15" t="str">
        <f aca="false">IF(B13142&lt;5,"Go","Standard")</f>
        <v>Standard</v>
      </c>
    </row>
    <row r="13143" customFormat="false" ht="15" hidden="false" customHeight="true" outlineLevel="0" collapsed="false">
      <c r="A13143" s="10" t="n">
        <f aca="false">Einstellungen!$B$5+INT((ROW()-9)/24)</f>
        <v>46513</v>
      </c>
      <c r="B13143" s="11" t="n">
        <f aca="false">MOD(ROW()-9,24)</f>
        <v>6</v>
      </c>
      <c r="C13143" s="12"/>
      <c r="D13143" s="13" t="n">
        <f aca="false">IF(B13143&lt;5,Einstellungen!$B$3,Einstellungen!$B$4)</f>
        <v>29.13</v>
      </c>
      <c r="E13143" s="14" t="str">
        <f aca="false">IF(C13143="","",C13143*D13143/100)</f>
        <v/>
      </c>
      <c r="F13143" s="15" t="str">
        <f aca="false">IF(B13143&lt;5,"Go","Standard")</f>
        <v>Standard</v>
      </c>
    </row>
    <row r="13144" customFormat="false" ht="15" hidden="false" customHeight="true" outlineLevel="0" collapsed="false">
      <c r="A13144" s="10" t="n">
        <f aca="false">Einstellungen!$B$5+INT((ROW()-9)/24)</f>
        <v>46513</v>
      </c>
      <c r="B13144" s="11" t="n">
        <f aca="false">MOD(ROW()-9,24)</f>
        <v>7</v>
      </c>
      <c r="C13144" s="12"/>
      <c r="D13144" s="13" t="n">
        <f aca="false">IF(B13144&lt;5,Einstellungen!$B$3,Einstellungen!$B$4)</f>
        <v>29.13</v>
      </c>
      <c r="E13144" s="14" t="str">
        <f aca="false">IF(C13144="","",C13144*D13144/100)</f>
        <v/>
      </c>
      <c r="F13144" s="15" t="str">
        <f aca="false">IF(B13144&lt;5,"Go","Standard")</f>
        <v>Standard</v>
      </c>
    </row>
    <row r="13145" customFormat="false" ht="15" hidden="false" customHeight="true" outlineLevel="0" collapsed="false">
      <c r="A13145" s="10" t="n">
        <f aca="false">Einstellungen!$B$5+INT((ROW()-9)/24)</f>
        <v>46513</v>
      </c>
      <c r="B13145" s="11" t="n">
        <f aca="false">MOD(ROW()-9,24)</f>
        <v>8</v>
      </c>
      <c r="C13145" s="12"/>
      <c r="D13145" s="13" t="n">
        <f aca="false">IF(B13145&lt;5,Einstellungen!$B$3,Einstellungen!$B$4)</f>
        <v>29.13</v>
      </c>
      <c r="E13145" s="14" t="str">
        <f aca="false">IF(C13145="","",C13145*D13145/100)</f>
        <v/>
      </c>
      <c r="F13145" s="15" t="str">
        <f aca="false">IF(B13145&lt;5,"Go","Standard")</f>
        <v>Standard</v>
      </c>
    </row>
    <row r="13146" customFormat="false" ht="15" hidden="false" customHeight="true" outlineLevel="0" collapsed="false">
      <c r="A13146" s="10" t="n">
        <f aca="false">Einstellungen!$B$5+INT((ROW()-9)/24)</f>
        <v>46513</v>
      </c>
      <c r="B13146" s="11" t="n">
        <f aca="false">MOD(ROW()-9,24)</f>
        <v>9</v>
      </c>
      <c r="C13146" s="12"/>
      <c r="D13146" s="13" t="n">
        <f aca="false">IF(B13146&lt;5,Einstellungen!$B$3,Einstellungen!$B$4)</f>
        <v>29.13</v>
      </c>
      <c r="E13146" s="14" t="str">
        <f aca="false">IF(C13146="","",C13146*D13146/100)</f>
        <v/>
      </c>
      <c r="F13146" s="15" t="str">
        <f aca="false">IF(B13146&lt;5,"Go","Standard")</f>
        <v>Standard</v>
      </c>
    </row>
    <row r="13147" customFormat="false" ht="15" hidden="false" customHeight="true" outlineLevel="0" collapsed="false">
      <c r="A13147" s="10" t="n">
        <f aca="false">Einstellungen!$B$5+INT((ROW()-9)/24)</f>
        <v>46513</v>
      </c>
      <c r="B13147" s="11" t="n">
        <f aca="false">MOD(ROW()-9,24)</f>
        <v>10</v>
      </c>
      <c r="C13147" s="12"/>
      <c r="D13147" s="13" t="n">
        <f aca="false">IF(B13147&lt;5,Einstellungen!$B$3,Einstellungen!$B$4)</f>
        <v>29.13</v>
      </c>
      <c r="E13147" s="14" t="str">
        <f aca="false">IF(C13147="","",C13147*D13147/100)</f>
        <v/>
      </c>
      <c r="F13147" s="15" t="str">
        <f aca="false">IF(B13147&lt;5,"Go","Standard")</f>
        <v>Standard</v>
      </c>
    </row>
    <row r="13148" customFormat="false" ht="15" hidden="false" customHeight="true" outlineLevel="0" collapsed="false">
      <c r="A13148" s="10" t="n">
        <f aca="false">Einstellungen!$B$5+INT((ROW()-9)/24)</f>
        <v>46513</v>
      </c>
      <c r="B13148" s="11" t="n">
        <f aca="false">MOD(ROW()-9,24)</f>
        <v>11</v>
      </c>
      <c r="C13148" s="12"/>
      <c r="D13148" s="13" t="n">
        <f aca="false">IF(B13148&lt;5,Einstellungen!$B$3,Einstellungen!$B$4)</f>
        <v>29.13</v>
      </c>
      <c r="E13148" s="14" t="str">
        <f aca="false">IF(C13148="","",C13148*D13148/100)</f>
        <v/>
      </c>
      <c r="F13148" s="15" t="str">
        <f aca="false">IF(B13148&lt;5,"Go","Standard")</f>
        <v>Standard</v>
      </c>
    </row>
    <row r="13149" customFormat="false" ht="15" hidden="false" customHeight="true" outlineLevel="0" collapsed="false">
      <c r="A13149" s="10" t="n">
        <f aca="false">Einstellungen!$B$5+INT((ROW()-9)/24)</f>
        <v>46513</v>
      </c>
      <c r="B13149" s="11" t="n">
        <f aca="false">MOD(ROW()-9,24)</f>
        <v>12</v>
      </c>
      <c r="C13149" s="12"/>
      <c r="D13149" s="13" t="n">
        <f aca="false">IF(B13149&lt;5,Einstellungen!$B$3,Einstellungen!$B$4)</f>
        <v>29.13</v>
      </c>
      <c r="E13149" s="14" t="str">
        <f aca="false">IF(C13149="","",C13149*D13149/100)</f>
        <v/>
      </c>
      <c r="F13149" s="15" t="str">
        <f aca="false">IF(B13149&lt;5,"Go","Standard")</f>
        <v>Standard</v>
      </c>
    </row>
    <row r="13150" customFormat="false" ht="15" hidden="false" customHeight="true" outlineLevel="0" collapsed="false">
      <c r="A13150" s="10" t="n">
        <f aca="false">Einstellungen!$B$5+INT((ROW()-9)/24)</f>
        <v>46513</v>
      </c>
      <c r="B13150" s="11" t="n">
        <f aca="false">MOD(ROW()-9,24)</f>
        <v>13</v>
      </c>
      <c r="C13150" s="12"/>
      <c r="D13150" s="13" t="n">
        <f aca="false">IF(B13150&lt;5,Einstellungen!$B$3,Einstellungen!$B$4)</f>
        <v>29.13</v>
      </c>
      <c r="E13150" s="14" t="str">
        <f aca="false">IF(C13150="","",C13150*D13150/100)</f>
        <v/>
      </c>
      <c r="F13150" s="15" t="str">
        <f aca="false">IF(B13150&lt;5,"Go","Standard")</f>
        <v>Standard</v>
      </c>
    </row>
    <row r="13151" customFormat="false" ht="15" hidden="false" customHeight="true" outlineLevel="0" collapsed="false">
      <c r="A13151" s="10" t="n">
        <f aca="false">Einstellungen!$B$5+INT((ROW()-9)/24)</f>
        <v>46513</v>
      </c>
      <c r="B13151" s="11" t="n">
        <f aca="false">MOD(ROW()-9,24)</f>
        <v>14</v>
      </c>
      <c r="C13151" s="12"/>
      <c r="D13151" s="13" t="n">
        <f aca="false">IF(B13151&lt;5,Einstellungen!$B$3,Einstellungen!$B$4)</f>
        <v>29.13</v>
      </c>
      <c r="E13151" s="14" t="str">
        <f aca="false">IF(C13151="","",C13151*D13151/100)</f>
        <v/>
      </c>
      <c r="F13151" s="15" t="str">
        <f aca="false">IF(B13151&lt;5,"Go","Standard")</f>
        <v>Standard</v>
      </c>
    </row>
    <row r="13152" customFormat="false" ht="15" hidden="false" customHeight="true" outlineLevel="0" collapsed="false">
      <c r="A13152" s="10" t="n">
        <f aca="false">Einstellungen!$B$5+INT((ROW()-9)/24)</f>
        <v>46513</v>
      </c>
      <c r="B13152" s="11" t="n">
        <f aca="false">MOD(ROW()-9,24)</f>
        <v>15</v>
      </c>
      <c r="C13152" s="12"/>
      <c r="D13152" s="13" t="n">
        <f aca="false">IF(B13152&lt;5,Einstellungen!$B$3,Einstellungen!$B$4)</f>
        <v>29.13</v>
      </c>
      <c r="E13152" s="14" t="str">
        <f aca="false">IF(C13152="","",C13152*D13152/100)</f>
        <v/>
      </c>
      <c r="F13152" s="15" t="str">
        <f aca="false">IF(B13152&lt;5,"Go","Standard")</f>
        <v>Standard</v>
      </c>
    </row>
    <row r="13153" customFormat="false" ht="15" hidden="false" customHeight="true" outlineLevel="0" collapsed="false">
      <c r="A13153" s="10" t="n">
        <f aca="false">Einstellungen!$B$5+INT((ROW()-9)/24)</f>
        <v>46513</v>
      </c>
      <c r="B13153" s="11" t="n">
        <f aca="false">MOD(ROW()-9,24)</f>
        <v>16</v>
      </c>
      <c r="C13153" s="12"/>
      <c r="D13153" s="13" t="n">
        <f aca="false">IF(B13153&lt;5,Einstellungen!$B$3,Einstellungen!$B$4)</f>
        <v>29.13</v>
      </c>
      <c r="E13153" s="14" t="str">
        <f aca="false">IF(C13153="","",C13153*D13153/100)</f>
        <v/>
      </c>
      <c r="F13153" s="15" t="str">
        <f aca="false">IF(B13153&lt;5,"Go","Standard")</f>
        <v>Standard</v>
      </c>
    </row>
    <row r="13154" customFormat="false" ht="15" hidden="false" customHeight="true" outlineLevel="0" collapsed="false">
      <c r="A13154" s="10" t="n">
        <f aca="false">Einstellungen!$B$5+INT((ROW()-9)/24)</f>
        <v>46513</v>
      </c>
      <c r="B13154" s="11" t="n">
        <f aca="false">MOD(ROW()-9,24)</f>
        <v>17</v>
      </c>
      <c r="C13154" s="12"/>
      <c r="D13154" s="13" t="n">
        <f aca="false">IF(B13154&lt;5,Einstellungen!$B$3,Einstellungen!$B$4)</f>
        <v>29.13</v>
      </c>
      <c r="E13154" s="14" t="str">
        <f aca="false">IF(C13154="","",C13154*D13154/100)</f>
        <v/>
      </c>
      <c r="F13154" s="15" t="str">
        <f aca="false">IF(B13154&lt;5,"Go","Standard")</f>
        <v>Standard</v>
      </c>
    </row>
    <row r="13155" customFormat="false" ht="15" hidden="false" customHeight="true" outlineLevel="0" collapsed="false">
      <c r="A13155" s="10" t="n">
        <f aca="false">Einstellungen!$B$5+INT((ROW()-9)/24)</f>
        <v>46513</v>
      </c>
      <c r="B13155" s="11" t="n">
        <f aca="false">MOD(ROW()-9,24)</f>
        <v>18</v>
      </c>
      <c r="C13155" s="12"/>
      <c r="D13155" s="13" t="n">
        <f aca="false">IF(B13155&lt;5,Einstellungen!$B$3,Einstellungen!$B$4)</f>
        <v>29.13</v>
      </c>
      <c r="E13155" s="14" t="str">
        <f aca="false">IF(C13155="","",C13155*D13155/100)</f>
        <v/>
      </c>
      <c r="F13155" s="15" t="str">
        <f aca="false">IF(B13155&lt;5,"Go","Standard")</f>
        <v>Standard</v>
      </c>
    </row>
    <row r="13156" customFormat="false" ht="15" hidden="false" customHeight="true" outlineLevel="0" collapsed="false">
      <c r="A13156" s="10" t="n">
        <f aca="false">Einstellungen!$B$5+INT((ROW()-9)/24)</f>
        <v>46513</v>
      </c>
      <c r="B13156" s="11" t="n">
        <f aca="false">MOD(ROW()-9,24)</f>
        <v>19</v>
      </c>
      <c r="C13156" s="12"/>
      <c r="D13156" s="13" t="n">
        <f aca="false">IF(B13156&lt;5,Einstellungen!$B$3,Einstellungen!$B$4)</f>
        <v>29.13</v>
      </c>
      <c r="E13156" s="14" t="str">
        <f aca="false">IF(C13156="","",C13156*D13156/100)</f>
        <v/>
      </c>
      <c r="F13156" s="15" t="str">
        <f aca="false">IF(B13156&lt;5,"Go","Standard")</f>
        <v>Standard</v>
      </c>
    </row>
    <row r="13157" customFormat="false" ht="15" hidden="false" customHeight="true" outlineLevel="0" collapsed="false">
      <c r="A13157" s="10" t="n">
        <f aca="false">Einstellungen!$B$5+INT((ROW()-9)/24)</f>
        <v>46513</v>
      </c>
      <c r="B13157" s="11" t="n">
        <f aca="false">MOD(ROW()-9,24)</f>
        <v>20</v>
      </c>
      <c r="C13157" s="12"/>
      <c r="D13157" s="13" t="n">
        <f aca="false">IF(B13157&lt;5,Einstellungen!$B$3,Einstellungen!$B$4)</f>
        <v>29.13</v>
      </c>
      <c r="E13157" s="14" t="str">
        <f aca="false">IF(C13157="","",C13157*D13157/100)</f>
        <v/>
      </c>
      <c r="F13157" s="15" t="str">
        <f aca="false">IF(B13157&lt;5,"Go","Standard")</f>
        <v>Standard</v>
      </c>
    </row>
    <row r="13158" customFormat="false" ht="15" hidden="false" customHeight="true" outlineLevel="0" collapsed="false">
      <c r="A13158" s="10" t="n">
        <f aca="false">Einstellungen!$B$5+INT((ROW()-9)/24)</f>
        <v>46513</v>
      </c>
      <c r="B13158" s="11" t="n">
        <f aca="false">MOD(ROW()-9,24)</f>
        <v>21</v>
      </c>
      <c r="C13158" s="12"/>
      <c r="D13158" s="13" t="n">
        <f aca="false">IF(B13158&lt;5,Einstellungen!$B$3,Einstellungen!$B$4)</f>
        <v>29.13</v>
      </c>
      <c r="E13158" s="14" t="str">
        <f aca="false">IF(C13158="","",C13158*D13158/100)</f>
        <v/>
      </c>
      <c r="F13158" s="15" t="str">
        <f aca="false">IF(B13158&lt;5,"Go","Standard")</f>
        <v>Standard</v>
      </c>
    </row>
    <row r="13159" customFormat="false" ht="15" hidden="false" customHeight="true" outlineLevel="0" collapsed="false">
      <c r="A13159" s="10" t="n">
        <f aca="false">Einstellungen!$B$5+INT((ROW()-9)/24)</f>
        <v>46513</v>
      </c>
      <c r="B13159" s="11" t="n">
        <f aca="false">MOD(ROW()-9,24)</f>
        <v>22</v>
      </c>
      <c r="C13159" s="12"/>
      <c r="D13159" s="13" t="n">
        <f aca="false">IF(B13159&lt;5,Einstellungen!$B$3,Einstellungen!$B$4)</f>
        <v>29.13</v>
      </c>
      <c r="E13159" s="14" t="str">
        <f aca="false">IF(C13159="","",C13159*D13159/100)</f>
        <v/>
      </c>
      <c r="F13159" s="15" t="str">
        <f aca="false">IF(B13159&lt;5,"Go","Standard")</f>
        <v>Standard</v>
      </c>
    </row>
    <row r="13160" customFormat="false" ht="15" hidden="false" customHeight="true" outlineLevel="0" collapsed="false">
      <c r="A13160" s="10" t="n">
        <f aca="false">Einstellungen!$B$5+INT((ROW()-9)/24)</f>
        <v>46513</v>
      </c>
      <c r="B13160" s="11" t="n">
        <f aca="false">MOD(ROW()-9,24)</f>
        <v>23</v>
      </c>
      <c r="C13160" s="12"/>
      <c r="D13160" s="13" t="n">
        <f aca="false">IF(B13160&lt;5,Einstellungen!$B$3,Einstellungen!$B$4)</f>
        <v>29.13</v>
      </c>
      <c r="E13160" s="14" t="str">
        <f aca="false">IF(C13160="","",C13160*D13160/100)</f>
        <v/>
      </c>
      <c r="F13160" s="15" t="str">
        <f aca="false">IF(B13160&lt;5,"Go","Standard")</f>
        <v>Standard</v>
      </c>
    </row>
    <row r="13161" customFormat="false" ht="15" hidden="false" customHeight="true" outlineLevel="0" collapsed="false">
      <c r="A13161" s="10" t="n">
        <f aca="false">Einstellungen!$B$5+INT((ROW()-9)/24)</f>
        <v>46514</v>
      </c>
      <c r="B13161" s="11" t="n">
        <f aca="false">MOD(ROW()-9,24)</f>
        <v>0</v>
      </c>
      <c r="C13161" s="12"/>
      <c r="D13161" s="13" t="n">
        <f aca="false">IF(B13161&lt;5,Einstellungen!$B$3,Einstellungen!$B$4)</f>
        <v>15.92</v>
      </c>
      <c r="E13161" s="14" t="str">
        <f aca="false">IF(C13161="","",C13161*D13161/100)</f>
        <v/>
      </c>
      <c r="F13161" s="15" t="str">
        <f aca="false">IF(B13161&lt;5,"Go","Standard")</f>
        <v>Go</v>
      </c>
    </row>
    <row r="13162" customFormat="false" ht="15" hidden="false" customHeight="true" outlineLevel="0" collapsed="false">
      <c r="A13162" s="10" t="n">
        <f aca="false">Einstellungen!$B$5+INT((ROW()-9)/24)</f>
        <v>46514</v>
      </c>
      <c r="B13162" s="11" t="n">
        <f aca="false">MOD(ROW()-9,24)</f>
        <v>1</v>
      </c>
      <c r="C13162" s="12"/>
      <c r="D13162" s="13" t="n">
        <f aca="false">IF(B13162&lt;5,Einstellungen!$B$3,Einstellungen!$B$4)</f>
        <v>15.92</v>
      </c>
      <c r="E13162" s="14" t="str">
        <f aca="false">IF(C13162="","",C13162*D13162/100)</f>
        <v/>
      </c>
      <c r="F13162" s="15" t="str">
        <f aca="false">IF(B13162&lt;5,"Go","Standard")</f>
        <v>Go</v>
      </c>
    </row>
    <row r="13163" customFormat="false" ht="15" hidden="false" customHeight="true" outlineLevel="0" collapsed="false">
      <c r="A13163" s="10" t="n">
        <f aca="false">Einstellungen!$B$5+INT((ROW()-9)/24)</f>
        <v>46514</v>
      </c>
      <c r="B13163" s="11" t="n">
        <f aca="false">MOD(ROW()-9,24)</f>
        <v>2</v>
      </c>
      <c r="C13163" s="12"/>
      <c r="D13163" s="13" t="n">
        <f aca="false">IF(B13163&lt;5,Einstellungen!$B$3,Einstellungen!$B$4)</f>
        <v>15.92</v>
      </c>
      <c r="E13163" s="14" t="str">
        <f aca="false">IF(C13163="","",C13163*D13163/100)</f>
        <v/>
      </c>
      <c r="F13163" s="15" t="str">
        <f aca="false">IF(B13163&lt;5,"Go","Standard")</f>
        <v>Go</v>
      </c>
    </row>
    <row r="13164" customFormat="false" ht="15" hidden="false" customHeight="true" outlineLevel="0" collapsed="false">
      <c r="A13164" s="10" t="n">
        <f aca="false">Einstellungen!$B$5+INT((ROW()-9)/24)</f>
        <v>46514</v>
      </c>
      <c r="B13164" s="11" t="n">
        <f aca="false">MOD(ROW()-9,24)</f>
        <v>3</v>
      </c>
      <c r="C13164" s="12"/>
      <c r="D13164" s="13" t="n">
        <f aca="false">IF(B13164&lt;5,Einstellungen!$B$3,Einstellungen!$B$4)</f>
        <v>15.92</v>
      </c>
      <c r="E13164" s="14" t="str">
        <f aca="false">IF(C13164="","",C13164*D13164/100)</f>
        <v/>
      </c>
      <c r="F13164" s="15" t="str">
        <f aca="false">IF(B13164&lt;5,"Go","Standard")</f>
        <v>Go</v>
      </c>
    </row>
    <row r="13165" customFormat="false" ht="15" hidden="false" customHeight="true" outlineLevel="0" collapsed="false">
      <c r="A13165" s="10" t="n">
        <f aca="false">Einstellungen!$B$5+INT((ROW()-9)/24)</f>
        <v>46514</v>
      </c>
      <c r="B13165" s="11" t="n">
        <f aca="false">MOD(ROW()-9,24)</f>
        <v>4</v>
      </c>
      <c r="C13165" s="12"/>
      <c r="D13165" s="13" t="n">
        <f aca="false">IF(B13165&lt;5,Einstellungen!$B$3,Einstellungen!$B$4)</f>
        <v>15.92</v>
      </c>
      <c r="E13165" s="14" t="str">
        <f aca="false">IF(C13165="","",C13165*D13165/100)</f>
        <v/>
      </c>
      <c r="F13165" s="15" t="str">
        <f aca="false">IF(B13165&lt;5,"Go","Standard")</f>
        <v>Go</v>
      </c>
    </row>
    <row r="13166" customFormat="false" ht="15" hidden="false" customHeight="true" outlineLevel="0" collapsed="false">
      <c r="A13166" s="10" t="n">
        <f aca="false">Einstellungen!$B$5+INT((ROW()-9)/24)</f>
        <v>46514</v>
      </c>
      <c r="B13166" s="11" t="n">
        <f aca="false">MOD(ROW()-9,24)</f>
        <v>5</v>
      </c>
      <c r="C13166" s="12"/>
      <c r="D13166" s="13" t="n">
        <f aca="false">IF(B13166&lt;5,Einstellungen!$B$3,Einstellungen!$B$4)</f>
        <v>29.13</v>
      </c>
      <c r="E13166" s="14" t="str">
        <f aca="false">IF(C13166="","",C13166*D13166/100)</f>
        <v/>
      </c>
      <c r="F13166" s="15" t="str">
        <f aca="false">IF(B13166&lt;5,"Go","Standard")</f>
        <v>Standard</v>
      </c>
    </row>
    <row r="13167" customFormat="false" ht="15" hidden="false" customHeight="true" outlineLevel="0" collapsed="false">
      <c r="A13167" s="10" t="n">
        <f aca="false">Einstellungen!$B$5+INT((ROW()-9)/24)</f>
        <v>46514</v>
      </c>
      <c r="B13167" s="11" t="n">
        <f aca="false">MOD(ROW()-9,24)</f>
        <v>6</v>
      </c>
      <c r="C13167" s="12"/>
      <c r="D13167" s="13" t="n">
        <f aca="false">IF(B13167&lt;5,Einstellungen!$B$3,Einstellungen!$B$4)</f>
        <v>29.13</v>
      </c>
      <c r="E13167" s="14" t="str">
        <f aca="false">IF(C13167="","",C13167*D13167/100)</f>
        <v/>
      </c>
      <c r="F13167" s="15" t="str">
        <f aca="false">IF(B13167&lt;5,"Go","Standard")</f>
        <v>Standard</v>
      </c>
    </row>
    <row r="13168" customFormat="false" ht="15" hidden="false" customHeight="true" outlineLevel="0" collapsed="false">
      <c r="A13168" s="10" t="n">
        <f aca="false">Einstellungen!$B$5+INT((ROW()-9)/24)</f>
        <v>46514</v>
      </c>
      <c r="B13168" s="11" t="n">
        <f aca="false">MOD(ROW()-9,24)</f>
        <v>7</v>
      </c>
      <c r="C13168" s="12"/>
      <c r="D13168" s="13" t="n">
        <f aca="false">IF(B13168&lt;5,Einstellungen!$B$3,Einstellungen!$B$4)</f>
        <v>29.13</v>
      </c>
      <c r="E13168" s="14" t="str">
        <f aca="false">IF(C13168="","",C13168*D13168/100)</f>
        <v/>
      </c>
      <c r="F13168" s="15" t="str">
        <f aca="false">IF(B13168&lt;5,"Go","Standard")</f>
        <v>Standard</v>
      </c>
    </row>
    <row r="13169" customFormat="false" ht="15" hidden="false" customHeight="true" outlineLevel="0" collapsed="false">
      <c r="A13169" s="10" t="n">
        <f aca="false">Einstellungen!$B$5+INT((ROW()-9)/24)</f>
        <v>46514</v>
      </c>
      <c r="B13169" s="11" t="n">
        <f aca="false">MOD(ROW()-9,24)</f>
        <v>8</v>
      </c>
      <c r="C13169" s="12"/>
      <c r="D13169" s="13" t="n">
        <f aca="false">IF(B13169&lt;5,Einstellungen!$B$3,Einstellungen!$B$4)</f>
        <v>29.13</v>
      </c>
      <c r="E13169" s="14" t="str">
        <f aca="false">IF(C13169="","",C13169*D13169/100)</f>
        <v/>
      </c>
      <c r="F13169" s="15" t="str">
        <f aca="false">IF(B13169&lt;5,"Go","Standard")</f>
        <v>Standard</v>
      </c>
    </row>
    <row r="13170" customFormat="false" ht="15" hidden="false" customHeight="true" outlineLevel="0" collapsed="false">
      <c r="A13170" s="10" t="n">
        <f aca="false">Einstellungen!$B$5+INT((ROW()-9)/24)</f>
        <v>46514</v>
      </c>
      <c r="B13170" s="11" t="n">
        <f aca="false">MOD(ROW()-9,24)</f>
        <v>9</v>
      </c>
      <c r="C13170" s="12"/>
      <c r="D13170" s="13" t="n">
        <f aca="false">IF(B13170&lt;5,Einstellungen!$B$3,Einstellungen!$B$4)</f>
        <v>29.13</v>
      </c>
      <c r="E13170" s="14" t="str">
        <f aca="false">IF(C13170="","",C13170*D13170/100)</f>
        <v/>
      </c>
      <c r="F13170" s="15" t="str">
        <f aca="false">IF(B13170&lt;5,"Go","Standard")</f>
        <v>Standard</v>
      </c>
    </row>
    <row r="13171" customFormat="false" ht="15" hidden="false" customHeight="true" outlineLevel="0" collapsed="false">
      <c r="A13171" s="10" t="n">
        <f aca="false">Einstellungen!$B$5+INT((ROW()-9)/24)</f>
        <v>46514</v>
      </c>
      <c r="B13171" s="11" t="n">
        <f aca="false">MOD(ROW()-9,24)</f>
        <v>10</v>
      </c>
      <c r="C13171" s="12"/>
      <c r="D13171" s="13" t="n">
        <f aca="false">IF(B13171&lt;5,Einstellungen!$B$3,Einstellungen!$B$4)</f>
        <v>29.13</v>
      </c>
      <c r="E13171" s="14" t="str">
        <f aca="false">IF(C13171="","",C13171*D13171/100)</f>
        <v/>
      </c>
      <c r="F13171" s="15" t="str">
        <f aca="false">IF(B13171&lt;5,"Go","Standard")</f>
        <v>Standard</v>
      </c>
    </row>
    <row r="13172" customFormat="false" ht="15" hidden="false" customHeight="true" outlineLevel="0" collapsed="false">
      <c r="A13172" s="10" t="n">
        <f aca="false">Einstellungen!$B$5+INT((ROW()-9)/24)</f>
        <v>46514</v>
      </c>
      <c r="B13172" s="11" t="n">
        <f aca="false">MOD(ROW()-9,24)</f>
        <v>11</v>
      </c>
      <c r="C13172" s="12"/>
      <c r="D13172" s="13" t="n">
        <f aca="false">IF(B13172&lt;5,Einstellungen!$B$3,Einstellungen!$B$4)</f>
        <v>29.13</v>
      </c>
      <c r="E13172" s="14" t="str">
        <f aca="false">IF(C13172="","",C13172*D13172/100)</f>
        <v/>
      </c>
      <c r="F13172" s="15" t="str">
        <f aca="false">IF(B13172&lt;5,"Go","Standard")</f>
        <v>Standard</v>
      </c>
    </row>
    <row r="13173" customFormat="false" ht="15" hidden="false" customHeight="true" outlineLevel="0" collapsed="false">
      <c r="A13173" s="10" t="n">
        <f aca="false">Einstellungen!$B$5+INT((ROW()-9)/24)</f>
        <v>46514</v>
      </c>
      <c r="B13173" s="11" t="n">
        <f aca="false">MOD(ROW()-9,24)</f>
        <v>12</v>
      </c>
      <c r="C13173" s="12"/>
      <c r="D13173" s="13" t="n">
        <f aca="false">IF(B13173&lt;5,Einstellungen!$B$3,Einstellungen!$B$4)</f>
        <v>29.13</v>
      </c>
      <c r="E13173" s="14" t="str">
        <f aca="false">IF(C13173="","",C13173*D13173/100)</f>
        <v/>
      </c>
      <c r="F13173" s="15" t="str">
        <f aca="false">IF(B13173&lt;5,"Go","Standard")</f>
        <v>Standard</v>
      </c>
    </row>
    <row r="13174" customFormat="false" ht="15" hidden="false" customHeight="true" outlineLevel="0" collapsed="false">
      <c r="A13174" s="10" t="n">
        <f aca="false">Einstellungen!$B$5+INT((ROW()-9)/24)</f>
        <v>46514</v>
      </c>
      <c r="B13174" s="11" t="n">
        <f aca="false">MOD(ROW()-9,24)</f>
        <v>13</v>
      </c>
      <c r="C13174" s="12"/>
      <c r="D13174" s="13" t="n">
        <f aca="false">IF(B13174&lt;5,Einstellungen!$B$3,Einstellungen!$B$4)</f>
        <v>29.13</v>
      </c>
      <c r="E13174" s="14" t="str">
        <f aca="false">IF(C13174="","",C13174*D13174/100)</f>
        <v/>
      </c>
      <c r="F13174" s="15" t="str">
        <f aca="false">IF(B13174&lt;5,"Go","Standard")</f>
        <v>Standard</v>
      </c>
    </row>
    <row r="13175" customFormat="false" ht="15" hidden="false" customHeight="true" outlineLevel="0" collapsed="false">
      <c r="A13175" s="10" t="n">
        <f aca="false">Einstellungen!$B$5+INT((ROW()-9)/24)</f>
        <v>46514</v>
      </c>
      <c r="B13175" s="11" t="n">
        <f aca="false">MOD(ROW()-9,24)</f>
        <v>14</v>
      </c>
      <c r="C13175" s="12"/>
      <c r="D13175" s="13" t="n">
        <f aca="false">IF(B13175&lt;5,Einstellungen!$B$3,Einstellungen!$B$4)</f>
        <v>29.13</v>
      </c>
      <c r="E13175" s="14" t="str">
        <f aca="false">IF(C13175="","",C13175*D13175/100)</f>
        <v/>
      </c>
      <c r="F13175" s="15" t="str">
        <f aca="false">IF(B13175&lt;5,"Go","Standard")</f>
        <v>Standard</v>
      </c>
    </row>
    <row r="13176" customFormat="false" ht="15" hidden="false" customHeight="true" outlineLevel="0" collapsed="false">
      <c r="A13176" s="10" t="n">
        <f aca="false">Einstellungen!$B$5+INT((ROW()-9)/24)</f>
        <v>46514</v>
      </c>
      <c r="B13176" s="11" t="n">
        <f aca="false">MOD(ROW()-9,24)</f>
        <v>15</v>
      </c>
      <c r="C13176" s="12"/>
      <c r="D13176" s="13" t="n">
        <f aca="false">IF(B13176&lt;5,Einstellungen!$B$3,Einstellungen!$B$4)</f>
        <v>29.13</v>
      </c>
      <c r="E13176" s="14" t="str">
        <f aca="false">IF(C13176="","",C13176*D13176/100)</f>
        <v/>
      </c>
      <c r="F13176" s="15" t="str">
        <f aca="false">IF(B13176&lt;5,"Go","Standard")</f>
        <v>Standard</v>
      </c>
    </row>
    <row r="13177" customFormat="false" ht="15" hidden="false" customHeight="true" outlineLevel="0" collapsed="false">
      <c r="A13177" s="10" t="n">
        <f aca="false">Einstellungen!$B$5+INT((ROW()-9)/24)</f>
        <v>46514</v>
      </c>
      <c r="B13177" s="11" t="n">
        <f aca="false">MOD(ROW()-9,24)</f>
        <v>16</v>
      </c>
      <c r="C13177" s="12"/>
      <c r="D13177" s="13" t="n">
        <f aca="false">IF(B13177&lt;5,Einstellungen!$B$3,Einstellungen!$B$4)</f>
        <v>29.13</v>
      </c>
      <c r="E13177" s="14" t="str">
        <f aca="false">IF(C13177="","",C13177*D13177/100)</f>
        <v/>
      </c>
      <c r="F13177" s="15" t="str">
        <f aca="false">IF(B13177&lt;5,"Go","Standard")</f>
        <v>Standard</v>
      </c>
    </row>
    <row r="13178" customFormat="false" ht="15" hidden="false" customHeight="true" outlineLevel="0" collapsed="false">
      <c r="A13178" s="10" t="n">
        <f aca="false">Einstellungen!$B$5+INT((ROW()-9)/24)</f>
        <v>46514</v>
      </c>
      <c r="B13178" s="11" t="n">
        <f aca="false">MOD(ROW()-9,24)</f>
        <v>17</v>
      </c>
      <c r="C13178" s="12"/>
      <c r="D13178" s="13" t="n">
        <f aca="false">IF(B13178&lt;5,Einstellungen!$B$3,Einstellungen!$B$4)</f>
        <v>29.13</v>
      </c>
      <c r="E13178" s="14" t="str">
        <f aca="false">IF(C13178="","",C13178*D13178/100)</f>
        <v/>
      </c>
      <c r="F13178" s="15" t="str">
        <f aca="false">IF(B13178&lt;5,"Go","Standard")</f>
        <v>Standard</v>
      </c>
    </row>
    <row r="13179" customFormat="false" ht="15" hidden="false" customHeight="true" outlineLevel="0" collapsed="false">
      <c r="A13179" s="10" t="n">
        <f aca="false">Einstellungen!$B$5+INT((ROW()-9)/24)</f>
        <v>46514</v>
      </c>
      <c r="B13179" s="11" t="n">
        <f aca="false">MOD(ROW()-9,24)</f>
        <v>18</v>
      </c>
      <c r="C13179" s="12"/>
      <c r="D13179" s="13" t="n">
        <f aca="false">IF(B13179&lt;5,Einstellungen!$B$3,Einstellungen!$B$4)</f>
        <v>29.13</v>
      </c>
      <c r="E13179" s="14" t="str">
        <f aca="false">IF(C13179="","",C13179*D13179/100)</f>
        <v/>
      </c>
      <c r="F13179" s="15" t="str">
        <f aca="false">IF(B13179&lt;5,"Go","Standard")</f>
        <v>Standard</v>
      </c>
    </row>
    <row r="13180" customFormat="false" ht="15" hidden="false" customHeight="true" outlineLevel="0" collapsed="false">
      <c r="A13180" s="10" t="n">
        <f aca="false">Einstellungen!$B$5+INT((ROW()-9)/24)</f>
        <v>46514</v>
      </c>
      <c r="B13180" s="11" t="n">
        <f aca="false">MOD(ROW()-9,24)</f>
        <v>19</v>
      </c>
      <c r="C13180" s="12"/>
      <c r="D13180" s="13" t="n">
        <f aca="false">IF(B13180&lt;5,Einstellungen!$B$3,Einstellungen!$B$4)</f>
        <v>29.13</v>
      </c>
      <c r="E13180" s="14" t="str">
        <f aca="false">IF(C13180="","",C13180*D13180/100)</f>
        <v/>
      </c>
      <c r="F13180" s="15" t="str">
        <f aca="false">IF(B13180&lt;5,"Go","Standard")</f>
        <v>Standard</v>
      </c>
    </row>
    <row r="13181" customFormat="false" ht="15" hidden="false" customHeight="true" outlineLevel="0" collapsed="false">
      <c r="A13181" s="10" t="n">
        <f aca="false">Einstellungen!$B$5+INT((ROW()-9)/24)</f>
        <v>46514</v>
      </c>
      <c r="B13181" s="11" t="n">
        <f aca="false">MOD(ROW()-9,24)</f>
        <v>20</v>
      </c>
      <c r="C13181" s="12"/>
      <c r="D13181" s="13" t="n">
        <f aca="false">IF(B13181&lt;5,Einstellungen!$B$3,Einstellungen!$B$4)</f>
        <v>29.13</v>
      </c>
      <c r="E13181" s="14" t="str">
        <f aca="false">IF(C13181="","",C13181*D13181/100)</f>
        <v/>
      </c>
      <c r="F13181" s="15" t="str">
        <f aca="false">IF(B13181&lt;5,"Go","Standard")</f>
        <v>Standard</v>
      </c>
    </row>
    <row r="13182" customFormat="false" ht="15" hidden="false" customHeight="true" outlineLevel="0" collapsed="false">
      <c r="A13182" s="10" t="n">
        <f aca="false">Einstellungen!$B$5+INT((ROW()-9)/24)</f>
        <v>46514</v>
      </c>
      <c r="B13182" s="11" t="n">
        <f aca="false">MOD(ROW()-9,24)</f>
        <v>21</v>
      </c>
      <c r="C13182" s="12"/>
      <c r="D13182" s="13" t="n">
        <f aca="false">IF(B13182&lt;5,Einstellungen!$B$3,Einstellungen!$B$4)</f>
        <v>29.13</v>
      </c>
      <c r="E13182" s="14" t="str">
        <f aca="false">IF(C13182="","",C13182*D13182/100)</f>
        <v/>
      </c>
      <c r="F13182" s="15" t="str">
        <f aca="false">IF(B13182&lt;5,"Go","Standard")</f>
        <v>Standard</v>
      </c>
    </row>
    <row r="13183" customFormat="false" ht="15" hidden="false" customHeight="true" outlineLevel="0" collapsed="false">
      <c r="A13183" s="10" t="n">
        <f aca="false">Einstellungen!$B$5+INT((ROW()-9)/24)</f>
        <v>46514</v>
      </c>
      <c r="B13183" s="11" t="n">
        <f aca="false">MOD(ROW()-9,24)</f>
        <v>22</v>
      </c>
      <c r="C13183" s="12"/>
      <c r="D13183" s="13" t="n">
        <f aca="false">IF(B13183&lt;5,Einstellungen!$B$3,Einstellungen!$B$4)</f>
        <v>29.13</v>
      </c>
      <c r="E13183" s="14" t="str">
        <f aca="false">IF(C13183="","",C13183*D13183/100)</f>
        <v/>
      </c>
      <c r="F13183" s="15" t="str">
        <f aca="false">IF(B13183&lt;5,"Go","Standard")</f>
        <v>Standard</v>
      </c>
    </row>
    <row r="13184" customFormat="false" ht="15" hidden="false" customHeight="true" outlineLevel="0" collapsed="false">
      <c r="A13184" s="10" t="n">
        <f aca="false">Einstellungen!$B$5+INT((ROW()-9)/24)</f>
        <v>46514</v>
      </c>
      <c r="B13184" s="11" t="n">
        <f aca="false">MOD(ROW()-9,24)</f>
        <v>23</v>
      </c>
      <c r="C13184" s="12"/>
      <c r="D13184" s="13" t="n">
        <f aca="false">IF(B13184&lt;5,Einstellungen!$B$3,Einstellungen!$B$4)</f>
        <v>29.13</v>
      </c>
      <c r="E13184" s="14" t="str">
        <f aca="false">IF(C13184="","",C13184*D13184/100)</f>
        <v/>
      </c>
      <c r="F13184" s="15" t="str">
        <f aca="false">IF(B13184&lt;5,"Go","Standard")</f>
        <v>Standard</v>
      </c>
    </row>
    <row r="13185" customFormat="false" ht="15" hidden="false" customHeight="true" outlineLevel="0" collapsed="false">
      <c r="A13185" s="10" t="n">
        <f aca="false">Einstellungen!$B$5+INT((ROW()-9)/24)</f>
        <v>46515</v>
      </c>
      <c r="B13185" s="11" t="n">
        <f aca="false">MOD(ROW()-9,24)</f>
        <v>0</v>
      </c>
      <c r="C13185" s="12"/>
      <c r="D13185" s="13" t="n">
        <f aca="false">IF(B13185&lt;5,Einstellungen!$B$3,Einstellungen!$B$4)</f>
        <v>15.92</v>
      </c>
      <c r="E13185" s="14" t="str">
        <f aca="false">IF(C13185="","",C13185*D13185/100)</f>
        <v/>
      </c>
      <c r="F13185" s="15" t="str">
        <f aca="false">IF(B13185&lt;5,"Go","Standard")</f>
        <v>Go</v>
      </c>
    </row>
    <row r="13186" customFormat="false" ht="15" hidden="false" customHeight="true" outlineLevel="0" collapsed="false">
      <c r="A13186" s="10" t="n">
        <f aca="false">Einstellungen!$B$5+INT((ROW()-9)/24)</f>
        <v>46515</v>
      </c>
      <c r="B13186" s="11" t="n">
        <f aca="false">MOD(ROW()-9,24)</f>
        <v>1</v>
      </c>
      <c r="C13186" s="12"/>
      <c r="D13186" s="13" t="n">
        <f aca="false">IF(B13186&lt;5,Einstellungen!$B$3,Einstellungen!$B$4)</f>
        <v>15.92</v>
      </c>
      <c r="E13186" s="14" t="str">
        <f aca="false">IF(C13186="","",C13186*D13186/100)</f>
        <v/>
      </c>
      <c r="F13186" s="15" t="str">
        <f aca="false">IF(B13186&lt;5,"Go","Standard")</f>
        <v>Go</v>
      </c>
    </row>
    <row r="13187" customFormat="false" ht="15" hidden="false" customHeight="true" outlineLevel="0" collapsed="false">
      <c r="A13187" s="10" t="n">
        <f aca="false">Einstellungen!$B$5+INT((ROW()-9)/24)</f>
        <v>46515</v>
      </c>
      <c r="B13187" s="11" t="n">
        <f aca="false">MOD(ROW()-9,24)</f>
        <v>2</v>
      </c>
      <c r="C13187" s="12"/>
      <c r="D13187" s="13" t="n">
        <f aca="false">IF(B13187&lt;5,Einstellungen!$B$3,Einstellungen!$B$4)</f>
        <v>15.92</v>
      </c>
      <c r="E13187" s="14" t="str">
        <f aca="false">IF(C13187="","",C13187*D13187/100)</f>
        <v/>
      </c>
      <c r="F13187" s="15" t="str">
        <f aca="false">IF(B13187&lt;5,"Go","Standard")</f>
        <v>Go</v>
      </c>
    </row>
    <row r="13188" customFormat="false" ht="15" hidden="false" customHeight="true" outlineLevel="0" collapsed="false">
      <c r="A13188" s="10" t="n">
        <f aca="false">Einstellungen!$B$5+INT((ROW()-9)/24)</f>
        <v>46515</v>
      </c>
      <c r="B13188" s="11" t="n">
        <f aca="false">MOD(ROW()-9,24)</f>
        <v>3</v>
      </c>
      <c r="C13188" s="12"/>
      <c r="D13188" s="13" t="n">
        <f aca="false">IF(B13188&lt;5,Einstellungen!$B$3,Einstellungen!$B$4)</f>
        <v>15.92</v>
      </c>
      <c r="E13188" s="14" t="str">
        <f aca="false">IF(C13188="","",C13188*D13188/100)</f>
        <v/>
      </c>
      <c r="F13188" s="15" t="str">
        <f aca="false">IF(B13188&lt;5,"Go","Standard")</f>
        <v>Go</v>
      </c>
    </row>
    <row r="13189" customFormat="false" ht="15" hidden="false" customHeight="true" outlineLevel="0" collapsed="false">
      <c r="A13189" s="10" t="n">
        <f aca="false">Einstellungen!$B$5+INT((ROW()-9)/24)</f>
        <v>46515</v>
      </c>
      <c r="B13189" s="11" t="n">
        <f aca="false">MOD(ROW()-9,24)</f>
        <v>4</v>
      </c>
      <c r="C13189" s="12"/>
      <c r="D13189" s="13" t="n">
        <f aca="false">IF(B13189&lt;5,Einstellungen!$B$3,Einstellungen!$B$4)</f>
        <v>15.92</v>
      </c>
      <c r="E13189" s="14" t="str">
        <f aca="false">IF(C13189="","",C13189*D13189/100)</f>
        <v/>
      </c>
      <c r="F13189" s="15" t="str">
        <f aca="false">IF(B13189&lt;5,"Go","Standard")</f>
        <v>Go</v>
      </c>
    </row>
    <row r="13190" customFormat="false" ht="15" hidden="false" customHeight="true" outlineLevel="0" collapsed="false">
      <c r="A13190" s="10" t="n">
        <f aca="false">Einstellungen!$B$5+INT((ROW()-9)/24)</f>
        <v>46515</v>
      </c>
      <c r="B13190" s="11" t="n">
        <f aca="false">MOD(ROW()-9,24)</f>
        <v>5</v>
      </c>
      <c r="C13190" s="12"/>
      <c r="D13190" s="13" t="n">
        <f aca="false">IF(B13190&lt;5,Einstellungen!$B$3,Einstellungen!$B$4)</f>
        <v>29.13</v>
      </c>
      <c r="E13190" s="14" t="str">
        <f aca="false">IF(C13190="","",C13190*D13190/100)</f>
        <v/>
      </c>
      <c r="F13190" s="15" t="str">
        <f aca="false">IF(B13190&lt;5,"Go","Standard")</f>
        <v>Standard</v>
      </c>
    </row>
    <row r="13191" customFormat="false" ht="15" hidden="false" customHeight="true" outlineLevel="0" collapsed="false">
      <c r="A13191" s="10" t="n">
        <f aca="false">Einstellungen!$B$5+INT((ROW()-9)/24)</f>
        <v>46515</v>
      </c>
      <c r="B13191" s="11" t="n">
        <f aca="false">MOD(ROW()-9,24)</f>
        <v>6</v>
      </c>
      <c r="C13191" s="12"/>
      <c r="D13191" s="13" t="n">
        <f aca="false">IF(B13191&lt;5,Einstellungen!$B$3,Einstellungen!$B$4)</f>
        <v>29.13</v>
      </c>
      <c r="E13191" s="14" t="str">
        <f aca="false">IF(C13191="","",C13191*D13191/100)</f>
        <v/>
      </c>
      <c r="F13191" s="15" t="str">
        <f aca="false">IF(B13191&lt;5,"Go","Standard")</f>
        <v>Standard</v>
      </c>
    </row>
    <row r="13192" customFormat="false" ht="15" hidden="false" customHeight="true" outlineLevel="0" collapsed="false">
      <c r="A13192" s="10" t="n">
        <f aca="false">Einstellungen!$B$5+INT((ROW()-9)/24)</f>
        <v>46515</v>
      </c>
      <c r="B13192" s="11" t="n">
        <f aca="false">MOD(ROW()-9,24)</f>
        <v>7</v>
      </c>
      <c r="C13192" s="12"/>
      <c r="D13192" s="13" t="n">
        <f aca="false">IF(B13192&lt;5,Einstellungen!$B$3,Einstellungen!$B$4)</f>
        <v>29.13</v>
      </c>
      <c r="E13192" s="14" t="str">
        <f aca="false">IF(C13192="","",C13192*D13192/100)</f>
        <v/>
      </c>
      <c r="F13192" s="15" t="str">
        <f aca="false">IF(B13192&lt;5,"Go","Standard")</f>
        <v>Standard</v>
      </c>
    </row>
    <row r="13193" customFormat="false" ht="15" hidden="false" customHeight="true" outlineLevel="0" collapsed="false">
      <c r="A13193" s="10" t="n">
        <f aca="false">Einstellungen!$B$5+INT((ROW()-9)/24)</f>
        <v>46515</v>
      </c>
      <c r="B13193" s="11" t="n">
        <f aca="false">MOD(ROW()-9,24)</f>
        <v>8</v>
      </c>
      <c r="C13193" s="12"/>
      <c r="D13193" s="13" t="n">
        <f aca="false">IF(B13193&lt;5,Einstellungen!$B$3,Einstellungen!$B$4)</f>
        <v>29.13</v>
      </c>
      <c r="E13193" s="14" t="str">
        <f aca="false">IF(C13193="","",C13193*D13193/100)</f>
        <v/>
      </c>
      <c r="F13193" s="15" t="str">
        <f aca="false">IF(B13193&lt;5,"Go","Standard")</f>
        <v>Standard</v>
      </c>
    </row>
    <row r="13194" customFormat="false" ht="15" hidden="false" customHeight="true" outlineLevel="0" collapsed="false">
      <c r="A13194" s="10" t="n">
        <f aca="false">Einstellungen!$B$5+INT((ROW()-9)/24)</f>
        <v>46515</v>
      </c>
      <c r="B13194" s="11" t="n">
        <f aca="false">MOD(ROW()-9,24)</f>
        <v>9</v>
      </c>
      <c r="C13194" s="12"/>
      <c r="D13194" s="13" t="n">
        <f aca="false">IF(B13194&lt;5,Einstellungen!$B$3,Einstellungen!$B$4)</f>
        <v>29.13</v>
      </c>
      <c r="E13194" s="14" t="str">
        <f aca="false">IF(C13194="","",C13194*D13194/100)</f>
        <v/>
      </c>
      <c r="F13194" s="15" t="str">
        <f aca="false">IF(B13194&lt;5,"Go","Standard")</f>
        <v>Standard</v>
      </c>
    </row>
    <row r="13195" customFormat="false" ht="15" hidden="false" customHeight="true" outlineLevel="0" collapsed="false">
      <c r="A13195" s="10" t="n">
        <f aca="false">Einstellungen!$B$5+INT((ROW()-9)/24)</f>
        <v>46515</v>
      </c>
      <c r="B13195" s="11" t="n">
        <f aca="false">MOD(ROW()-9,24)</f>
        <v>10</v>
      </c>
      <c r="C13195" s="12"/>
      <c r="D13195" s="13" t="n">
        <f aca="false">IF(B13195&lt;5,Einstellungen!$B$3,Einstellungen!$B$4)</f>
        <v>29.13</v>
      </c>
      <c r="E13195" s="14" t="str">
        <f aca="false">IF(C13195="","",C13195*D13195/100)</f>
        <v/>
      </c>
      <c r="F13195" s="15" t="str">
        <f aca="false">IF(B13195&lt;5,"Go","Standard")</f>
        <v>Standard</v>
      </c>
    </row>
    <row r="13196" customFormat="false" ht="15" hidden="false" customHeight="true" outlineLevel="0" collapsed="false">
      <c r="A13196" s="10" t="n">
        <f aca="false">Einstellungen!$B$5+INT((ROW()-9)/24)</f>
        <v>46515</v>
      </c>
      <c r="B13196" s="11" t="n">
        <f aca="false">MOD(ROW()-9,24)</f>
        <v>11</v>
      </c>
      <c r="C13196" s="12"/>
      <c r="D13196" s="13" t="n">
        <f aca="false">IF(B13196&lt;5,Einstellungen!$B$3,Einstellungen!$B$4)</f>
        <v>29.13</v>
      </c>
      <c r="E13196" s="14" t="str">
        <f aca="false">IF(C13196="","",C13196*D13196/100)</f>
        <v/>
      </c>
      <c r="F13196" s="15" t="str">
        <f aca="false">IF(B13196&lt;5,"Go","Standard")</f>
        <v>Standard</v>
      </c>
    </row>
    <row r="13197" customFormat="false" ht="15" hidden="false" customHeight="true" outlineLevel="0" collapsed="false">
      <c r="A13197" s="10" t="n">
        <f aca="false">Einstellungen!$B$5+INT((ROW()-9)/24)</f>
        <v>46515</v>
      </c>
      <c r="B13197" s="11" t="n">
        <f aca="false">MOD(ROW()-9,24)</f>
        <v>12</v>
      </c>
      <c r="C13197" s="12"/>
      <c r="D13197" s="13" t="n">
        <f aca="false">IF(B13197&lt;5,Einstellungen!$B$3,Einstellungen!$B$4)</f>
        <v>29.13</v>
      </c>
      <c r="E13197" s="14" t="str">
        <f aca="false">IF(C13197="","",C13197*D13197/100)</f>
        <v/>
      </c>
      <c r="F13197" s="15" t="str">
        <f aca="false">IF(B13197&lt;5,"Go","Standard")</f>
        <v>Standard</v>
      </c>
    </row>
    <row r="13198" customFormat="false" ht="15" hidden="false" customHeight="true" outlineLevel="0" collapsed="false">
      <c r="A13198" s="10" t="n">
        <f aca="false">Einstellungen!$B$5+INT((ROW()-9)/24)</f>
        <v>46515</v>
      </c>
      <c r="B13198" s="11" t="n">
        <f aca="false">MOD(ROW()-9,24)</f>
        <v>13</v>
      </c>
      <c r="C13198" s="12"/>
      <c r="D13198" s="13" t="n">
        <f aca="false">IF(B13198&lt;5,Einstellungen!$B$3,Einstellungen!$B$4)</f>
        <v>29.13</v>
      </c>
      <c r="E13198" s="14" t="str">
        <f aca="false">IF(C13198="","",C13198*D13198/100)</f>
        <v/>
      </c>
      <c r="F13198" s="15" t="str">
        <f aca="false">IF(B13198&lt;5,"Go","Standard")</f>
        <v>Standard</v>
      </c>
    </row>
    <row r="13199" customFormat="false" ht="15" hidden="false" customHeight="true" outlineLevel="0" collapsed="false">
      <c r="A13199" s="10" t="n">
        <f aca="false">Einstellungen!$B$5+INT((ROW()-9)/24)</f>
        <v>46515</v>
      </c>
      <c r="B13199" s="11" t="n">
        <f aca="false">MOD(ROW()-9,24)</f>
        <v>14</v>
      </c>
      <c r="C13199" s="12"/>
      <c r="D13199" s="13" t="n">
        <f aca="false">IF(B13199&lt;5,Einstellungen!$B$3,Einstellungen!$B$4)</f>
        <v>29.13</v>
      </c>
      <c r="E13199" s="14" t="str">
        <f aca="false">IF(C13199="","",C13199*D13199/100)</f>
        <v/>
      </c>
      <c r="F13199" s="15" t="str">
        <f aca="false">IF(B13199&lt;5,"Go","Standard")</f>
        <v>Standard</v>
      </c>
    </row>
    <row r="13200" customFormat="false" ht="15" hidden="false" customHeight="true" outlineLevel="0" collapsed="false">
      <c r="A13200" s="10" t="n">
        <f aca="false">Einstellungen!$B$5+INT((ROW()-9)/24)</f>
        <v>46515</v>
      </c>
      <c r="B13200" s="11" t="n">
        <f aca="false">MOD(ROW()-9,24)</f>
        <v>15</v>
      </c>
      <c r="C13200" s="12"/>
      <c r="D13200" s="13" t="n">
        <f aca="false">IF(B13200&lt;5,Einstellungen!$B$3,Einstellungen!$B$4)</f>
        <v>29.13</v>
      </c>
      <c r="E13200" s="14" t="str">
        <f aca="false">IF(C13200="","",C13200*D13200/100)</f>
        <v/>
      </c>
      <c r="F13200" s="15" t="str">
        <f aca="false">IF(B13200&lt;5,"Go","Standard")</f>
        <v>Standard</v>
      </c>
    </row>
    <row r="13201" customFormat="false" ht="15" hidden="false" customHeight="true" outlineLevel="0" collapsed="false">
      <c r="A13201" s="10" t="n">
        <f aca="false">Einstellungen!$B$5+INT((ROW()-9)/24)</f>
        <v>46515</v>
      </c>
      <c r="B13201" s="11" t="n">
        <f aca="false">MOD(ROW()-9,24)</f>
        <v>16</v>
      </c>
      <c r="C13201" s="12"/>
      <c r="D13201" s="13" t="n">
        <f aca="false">IF(B13201&lt;5,Einstellungen!$B$3,Einstellungen!$B$4)</f>
        <v>29.13</v>
      </c>
      <c r="E13201" s="14" t="str">
        <f aca="false">IF(C13201="","",C13201*D13201/100)</f>
        <v/>
      </c>
      <c r="F13201" s="15" t="str">
        <f aca="false">IF(B13201&lt;5,"Go","Standard")</f>
        <v>Standard</v>
      </c>
    </row>
    <row r="13202" customFormat="false" ht="15" hidden="false" customHeight="true" outlineLevel="0" collapsed="false">
      <c r="A13202" s="10" t="n">
        <f aca="false">Einstellungen!$B$5+INT((ROW()-9)/24)</f>
        <v>46515</v>
      </c>
      <c r="B13202" s="11" t="n">
        <f aca="false">MOD(ROW()-9,24)</f>
        <v>17</v>
      </c>
      <c r="C13202" s="12"/>
      <c r="D13202" s="13" t="n">
        <f aca="false">IF(B13202&lt;5,Einstellungen!$B$3,Einstellungen!$B$4)</f>
        <v>29.13</v>
      </c>
      <c r="E13202" s="14" t="str">
        <f aca="false">IF(C13202="","",C13202*D13202/100)</f>
        <v/>
      </c>
      <c r="F13202" s="15" t="str">
        <f aca="false">IF(B13202&lt;5,"Go","Standard")</f>
        <v>Standard</v>
      </c>
    </row>
    <row r="13203" customFormat="false" ht="15" hidden="false" customHeight="true" outlineLevel="0" collapsed="false">
      <c r="A13203" s="10" t="n">
        <f aca="false">Einstellungen!$B$5+INT((ROW()-9)/24)</f>
        <v>46515</v>
      </c>
      <c r="B13203" s="11" t="n">
        <f aca="false">MOD(ROW()-9,24)</f>
        <v>18</v>
      </c>
      <c r="C13203" s="12"/>
      <c r="D13203" s="13" t="n">
        <f aca="false">IF(B13203&lt;5,Einstellungen!$B$3,Einstellungen!$B$4)</f>
        <v>29.13</v>
      </c>
      <c r="E13203" s="14" t="str">
        <f aca="false">IF(C13203="","",C13203*D13203/100)</f>
        <v/>
      </c>
      <c r="F13203" s="15" t="str">
        <f aca="false">IF(B13203&lt;5,"Go","Standard")</f>
        <v>Standard</v>
      </c>
    </row>
    <row r="13204" customFormat="false" ht="15" hidden="false" customHeight="true" outlineLevel="0" collapsed="false">
      <c r="A13204" s="10" t="n">
        <f aca="false">Einstellungen!$B$5+INT((ROW()-9)/24)</f>
        <v>46515</v>
      </c>
      <c r="B13204" s="11" t="n">
        <f aca="false">MOD(ROW()-9,24)</f>
        <v>19</v>
      </c>
      <c r="C13204" s="12"/>
      <c r="D13204" s="13" t="n">
        <f aca="false">IF(B13204&lt;5,Einstellungen!$B$3,Einstellungen!$B$4)</f>
        <v>29.13</v>
      </c>
      <c r="E13204" s="14" t="str">
        <f aca="false">IF(C13204="","",C13204*D13204/100)</f>
        <v/>
      </c>
      <c r="F13204" s="15" t="str">
        <f aca="false">IF(B13204&lt;5,"Go","Standard")</f>
        <v>Standard</v>
      </c>
    </row>
    <row r="13205" customFormat="false" ht="15" hidden="false" customHeight="true" outlineLevel="0" collapsed="false">
      <c r="A13205" s="10" t="n">
        <f aca="false">Einstellungen!$B$5+INT((ROW()-9)/24)</f>
        <v>46515</v>
      </c>
      <c r="B13205" s="11" t="n">
        <f aca="false">MOD(ROW()-9,24)</f>
        <v>20</v>
      </c>
      <c r="C13205" s="12"/>
      <c r="D13205" s="13" t="n">
        <f aca="false">IF(B13205&lt;5,Einstellungen!$B$3,Einstellungen!$B$4)</f>
        <v>29.13</v>
      </c>
      <c r="E13205" s="14" t="str">
        <f aca="false">IF(C13205="","",C13205*D13205/100)</f>
        <v/>
      </c>
      <c r="F13205" s="15" t="str">
        <f aca="false">IF(B13205&lt;5,"Go","Standard")</f>
        <v>Standard</v>
      </c>
    </row>
    <row r="13206" customFormat="false" ht="15" hidden="false" customHeight="true" outlineLevel="0" collapsed="false">
      <c r="A13206" s="10" t="n">
        <f aca="false">Einstellungen!$B$5+INT((ROW()-9)/24)</f>
        <v>46515</v>
      </c>
      <c r="B13206" s="11" t="n">
        <f aca="false">MOD(ROW()-9,24)</f>
        <v>21</v>
      </c>
      <c r="C13206" s="12"/>
      <c r="D13206" s="13" t="n">
        <f aca="false">IF(B13206&lt;5,Einstellungen!$B$3,Einstellungen!$B$4)</f>
        <v>29.13</v>
      </c>
      <c r="E13206" s="14" t="str">
        <f aca="false">IF(C13206="","",C13206*D13206/100)</f>
        <v/>
      </c>
      <c r="F13206" s="15" t="str">
        <f aca="false">IF(B13206&lt;5,"Go","Standard")</f>
        <v>Standard</v>
      </c>
    </row>
    <row r="13207" customFormat="false" ht="15" hidden="false" customHeight="true" outlineLevel="0" collapsed="false">
      <c r="A13207" s="10" t="n">
        <f aca="false">Einstellungen!$B$5+INT((ROW()-9)/24)</f>
        <v>46515</v>
      </c>
      <c r="B13207" s="11" t="n">
        <f aca="false">MOD(ROW()-9,24)</f>
        <v>22</v>
      </c>
      <c r="C13207" s="12"/>
      <c r="D13207" s="13" t="n">
        <f aca="false">IF(B13207&lt;5,Einstellungen!$B$3,Einstellungen!$B$4)</f>
        <v>29.13</v>
      </c>
      <c r="E13207" s="14" t="str">
        <f aca="false">IF(C13207="","",C13207*D13207/100)</f>
        <v/>
      </c>
      <c r="F13207" s="15" t="str">
        <f aca="false">IF(B13207&lt;5,"Go","Standard")</f>
        <v>Standard</v>
      </c>
    </row>
    <row r="13208" customFormat="false" ht="15" hidden="false" customHeight="true" outlineLevel="0" collapsed="false">
      <c r="A13208" s="10" t="n">
        <f aca="false">Einstellungen!$B$5+INT((ROW()-9)/24)</f>
        <v>46515</v>
      </c>
      <c r="B13208" s="11" t="n">
        <f aca="false">MOD(ROW()-9,24)</f>
        <v>23</v>
      </c>
      <c r="C13208" s="12"/>
      <c r="D13208" s="13" t="n">
        <f aca="false">IF(B13208&lt;5,Einstellungen!$B$3,Einstellungen!$B$4)</f>
        <v>29.13</v>
      </c>
      <c r="E13208" s="14" t="str">
        <f aca="false">IF(C13208="","",C13208*D13208/100)</f>
        <v/>
      </c>
      <c r="F13208" s="15" t="str">
        <f aca="false">IF(B13208&lt;5,"Go","Standard")</f>
        <v>Standard</v>
      </c>
    </row>
    <row r="13209" customFormat="false" ht="15" hidden="false" customHeight="true" outlineLevel="0" collapsed="false">
      <c r="A13209" s="10" t="n">
        <f aca="false">Einstellungen!$B$5+INT((ROW()-9)/24)</f>
        <v>46516</v>
      </c>
      <c r="B13209" s="11" t="n">
        <f aca="false">MOD(ROW()-9,24)</f>
        <v>0</v>
      </c>
      <c r="C13209" s="12"/>
      <c r="D13209" s="13" t="n">
        <f aca="false">IF(B13209&lt;5,Einstellungen!$B$3,Einstellungen!$B$4)</f>
        <v>15.92</v>
      </c>
      <c r="E13209" s="14" t="str">
        <f aca="false">IF(C13209="","",C13209*D13209/100)</f>
        <v/>
      </c>
      <c r="F13209" s="15" t="str">
        <f aca="false">IF(B13209&lt;5,"Go","Standard")</f>
        <v>Go</v>
      </c>
    </row>
    <row r="13210" customFormat="false" ht="15" hidden="false" customHeight="true" outlineLevel="0" collapsed="false">
      <c r="A13210" s="10" t="n">
        <f aca="false">Einstellungen!$B$5+INT((ROW()-9)/24)</f>
        <v>46516</v>
      </c>
      <c r="B13210" s="11" t="n">
        <f aca="false">MOD(ROW()-9,24)</f>
        <v>1</v>
      </c>
      <c r="C13210" s="12"/>
      <c r="D13210" s="13" t="n">
        <f aca="false">IF(B13210&lt;5,Einstellungen!$B$3,Einstellungen!$B$4)</f>
        <v>15.92</v>
      </c>
      <c r="E13210" s="14" t="str">
        <f aca="false">IF(C13210="","",C13210*D13210/100)</f>
        <v/>
      </c>
      <c r="F13210" s="15" t="str">
        <f aca="false">IF(B13210&lt;5,"Go","Standard")</f>
        <v>Go</v>
      </c>
    </row>
    <row r="13211" customFormat="false" ht="15" hidden="false" customHeight="true" outlineLevel="0" collapsed="false">
      <c r="A13211" s="10" t="n">
        <f aca="false">Einstellungen!$B$5+INT((ROW()-9)/24)</f>
        <v>46516</v>
      </c>
      <c r="B13211" s="11" t="n">
        <f aca="false">MOD(ROW()-9,24)</f>
        <v>2</v>
      </c>
      <c r="C13211" s="12"/>
      <c r="D13211" s="13" t="n">
        <f aca="false">IF(B13211&lt;5,Einstellungen!$B$3,Einstellungen!$B$4)</f>
        <v>15.92</v>
      </c>
      <c r="E13211" s="14" t="str">
        <f aca="false">IF(C13211="","",C13211*D13211/100)</f>
        <v/>
      </c>
      <c r="F13211" s="15" t="str">
        <f aca="false">IF(B13211&lt;5,"Go","Standard")</f>
        <v>Go</v>
      </c>
    </row>
    <row r="13212" customFormat="false" ht="15" hidden="false" customHeight="true" outlineLevel="0" collapsed="false">
      <c r="A13212" s="10" t="n">
        <f aca="false">Einstellungen!$B$5+INT((ROW()-9)/24)</f>
        <v>46516</v>
      </c>
      <c r="B13212" s="11" t="n">
        <f aca="false">MOD(ROW()-9,24)</f>
        <v>3</v>
      </c>
      <c r="C13212" s="12"/>
      <c r="D13212" s="13" t="n">
        <f aca="false">IF(B13212&lt;5,Einstellungen!$B$3,Einstellungen!$B$4)</f>
        <v>15.92</v>
      </c>
      <c r="E13212" s="14" t="str">
        <f aca="false">IF(C13212="","",C13212*D13212/100)</f>
        <v/>
      </c>
      <c r="F13212" s="15" t="str">
        <f aca="false">IF(B13212&lt;5,"Go","Standard")</f>
        <v>Go</v>
      </c>
    </row>
    <row r="13213" customFormat="false" ht="15" hidden="false" customHeight="true" outlineLevel="0" collapsed="false">
      <c r="A13213" s="10" t="n">
        <f aca="false">Einstellungen!$B$5+INT((ROW()-9)/24)</f>
        <v>46516</v>
      </c>
      <c r="B13213" s="11" t="n">
        <f aca="false">MOD(ROW()-9,24)</f>
        <v>4</v>
      </c>
      <c r="C13213" s="12"/>
      <c r="D13213" s="13" t="n">
        <f aca="false">IF(B13213&lt;5,Einstellungen!$B$3,Einstellungen!$B$4)</f>
        <v>15.92</v>
      </c>
      <c r="E13213" s="14" t="str">
        <f aca="false">IF(C13213="","",C13213*D13213/100)</f>
        <v/>
      </c>
      <c r="F13213" s="15" t="str">
        <f aca="false">IF(B13213&lt;5,"Go","Standard")</f>
        <v>Go</v>
      </c>
    </row>
    <row r="13214" customFormat="false" ht="15" hidden="false" customHeight="true" outlineLevel="0" collapsed="false">
      <c r="A13214" s="10" t="n">
        <f aca="false">Einstellungen!$B$5+INT((ROW()-9)/24)</f>
        <v>46516</v>
      </c>
      <c r="B13214" s="11" t="n">
        <f aca="false">MOD(ROW()-9,24)</f>
        <v>5</v>
      </c>
      <c r="C13214" s="12"/>
      <c r="D13214" s="13" t="n">
        <f aca="false">IF(B13214&lt;5,Einstellungen!$B$3,Einstellungen!$B$4)</f>
        <v>29.13</v>
      </c>
      <c r="E13214" s="14" t="str">
        <f aca="false">IF(C13214="","",C13214*D13214/100)</f>
        <v/>
      </c>
      <c r="F13214" s="15" t="str">
        <f aca="false">IF(B13214&lt;5,"Go","Standard")</f>
        <v>Standard</v>
      </c>
    </row>
    <row r="13215" customFormat="false" ht="15" hidden="false" customHeight="true" outlineLevel="0" collapsed="false">
      <c r="A13215" s="10" t="n">
        <f aca="false">Einstellungen!$B$5+INT((ROW()-9)/24)</f>
        <v>46516</v>
      </c>
      <c r="B13215" s="11" t="n">
        <f aca="false">MOD(ROW()-9,24)</f>
        <v>6</v>
      </c>
      <c r="C13215" s="12"/>
      <c r="D13215" s="13" t="n">
        <f aca="false">IF(B13215&lt;5,Einstellungen!$B$3,Einstellungen!$B$4)</f>
        <v>29.13</v>
      </c>
      <c r="E13215" s="14" t="str">
        <f aca="false">IF(C13215="","",C13215*D13215/100)</f>
        <v/>
      </c>
      <c r="F13215" s="15" t="str">
        <f aca="false">IF(B13215&lt;5,"Go","Standard")</f>
        <v>Standard</v>
      </c>
    </row>
    <row r="13216" customFormat="false" ht="15" hidden="false" customHeight="true" outlineLevel="0" collapsed="false">
      <c r="A13216" s="10" t="n">
        <f aca="false">Einstellungen!$B$5+INT((ROW()-9)/24)</f>
        <v>46516</v>
      </c>
      <c r="B13216" s="11" t="n">
        <f aca="false">MOD(ROW()-9,24)</f>
        <v>7</v>
      </c>
      <c r="C13216" s="12"/>
      <c r="D13216" s="13" t="n">
        <f aca="false">IF(B13216&lt;5,Einstellungen!$B$3,Einstellungen!$B$4)</f>
        <v>29.13</v>
      </c>
      <c r="E13216" s="14" t="str">
        <f aca="false">IF(C13216="","",C13216*D13216/100)</f>
        <v/>
      </c>
      <c r="F13216" s="15" t="str">
        <f aca="false">IF(B13216&lt;5,"Go","Standard")</f>
        <v>Standard</v>
      </c>
    </row>
    <row r="13217" customFormat="false" ht="15" hidden="false" customHeight="true" outlineLevel="0" collapsed="false">
      <c r="A13217" s="10" t="n">
        <f aca="false">Einstellungen!$B$5+INT((ROW()-9)/24)</f>
        <v>46516</v>
      </c>
      <c r="B13217" s="11" t="n">
        <f aca="false">MOD(ROW()-9,24)</f>
        <v>8</v>
      </c>
      <c r="C13217" s="12"/>
      <c r="D13217" s="13" t="n">
        <f aca="false">IF(B13217&lt;5,Einstellungen!$B$3,Einstellungen!$B$4)</f>
        <v>29.13</v>
      </c>
      <c r="E13217" s="14" t="str">
        <f aca="false">IF(C13217="","",C13217*D13217/100)</f>
        <v/>
      </c>
      <c r="F13217" s="15" t="str">
        <f aca="false">IF(B13217&lt;5,"Go","Standard")</f>
        <v>Standard</v>
      </c>
    </row>
    <row r="13218" customFormat="false" ht="15" hidden="false" customHeight="true" outlineLevel="0" collapsed="false">
      <c r="A13218" s="10" t="n">
        <f aca="false">Einstellungen!$B$5+INT((ROW()-9)/24)</f>
        <v>46516</v>
      </c>
      <c r="B13218" s="11" t="n">
        <f aca="false">MOD(ROW()-9,24)</f>
        <v>9</v>
      </c>
      <c r="C13218" s="12"/>
      <c r="D13218" s="13" t="n">
        <f aca="false">IF(B13218&lt;5,Einstellungen!$B$3,Einstellungen!$B$4)</f>
        <v>29.13</v>
      </c>
      <c r="E13218" s="14" t="str">
        <f aca="false">IF(C13218="","",C13218*D13218/100)</f>
        <v/>
      </c>
      <c r="F13218" s="15" t="str">
        <f aca="false">IF(B13218&lt;5,"Go","Standard")</f>
        <v>Standard</v>
      </c>
    </row>
    <row r="13219" customFormat="false" ht="15" hidden="false" customHeight="true" outlineLevel="0" collapsed="false">
      <c r="A13219" s="10" t="n">
        <f aca="false">Einstellungen!$B$5+INT((ROW()-9)/24)</f>
        <v>46516</v>
      </c>
      <c r="B13219" s="11" t="n">
        <f aca="false">MOD(ROW()-9,24)</f>
        <v>10</v>
      </c>
      <c r="C13219" s="12"/>
      <c r="D13219" s="13" t="n">
        <f aca="false">IF(B13219&lt;5,Einstellungen!$B$3,Einstellungen!$B$4)</f>
        <v>29.13</v>
      </c>
      <c r="E13219" s="14" t="str">
        <f aca="false">IF(C13219="","",C13219*D13219/100)</f>
        <v/>
      </c>
      <c r="F13219" s="15" t="str">
        <f aca="false">IF(B13219&lt;5,"Go","Standard")</f>
        <v>Standard</v>
      </c>
    </row>
    <row r="13220" customFormat="false" ht="15" hidden="false" customHeight="true" outlineLevel="0" collapsed="false">
      <c r="A13220" s="10" t="n">
        <f aca="false">Einstellungen!$B$5+INT((ROW()-9)/24)</f>
        <v>46516</v>
      </c>
      <c r="B13220" s="11" t="n">
        <f aca="false">MOD(ROW()-9,24)</f>
        <v>11</v>
      </c>
      <c r="C13220" s="12"/>
      <c r="D13220" s="13" t="n">
        <f aca="false">IF(B13220&lt;5,Einstellungen!$B$3,Einstellungen!$B$4)</f>
        <v>29.13</v>
      </c>
      <c r="E13220" s="14" t="str">
        <f aca="false">IF(C13220="","",C13220*D13220/100)</f>
        <v/>
      </c>
      <c r="F13220" s="15" t="str">
        <f aca="false">IF(B13220&lt;5,"Go","Standard")</f>
        <v>Standard</v>
      </c>
    </row>
    <row r="13221" customFormat="false" ht="15" hidden="false" customHeight="true" outlineLevel="0" collapsed="false">
      <c r="A13221" s="10" t="n">
        <f aca="false">Einstellungen!$B$5+INT((ROW()-9)/24)</f>
        <v>46516</v>
      </c>
      <c r="B13221" s="11" t="n">
        <f aca="false">MOD(ROW()-9,24)</f>
        <v>12</v>
      </c>
      <c r="C13221" s="12"/>
      <c r="D13221" s="13" t="n">
        <f aca="false">IF(B13221&lt;5,Einstellungen!$B$3,Einstellungen!$B$4)</f>
        <v>29.13</v>
      </c>
      <c r="E13221" s="14" t="str">
        <f aca="false">IF(C13221="","",C13221*D13221/100)</f>
        <v/>
      </c>
      <c r="F13221" s="15" t="str">
        <f aca="false">IF(B13221&lt;5,"Go","Standard")</f>
        <v>Standard</v>
      </c>
    </row>
    <row r="13222" customFormat="false" ht="15" hidden="false" customHeight="true" outlineLevel="0" collapsed="false">
      <c r="A13222" s="10" t="n">
        <f aca="false">Einstellungen!$B$5+INT((ROW()-9)/24)</f>
        <v>46516</v>
      </c>
      <c r="B13222" s="11" t="n">
        <f aca="false">MOD(ROW()-9,24)</f>
        <v>13</v>
      </c>
      <c r="C13222" s="12"/>
      <c r="D13222" s="13" t="n">
        <f aca="false">IF(B13222&lt;5,Einstellungen!$B$3,Einstellungen!$B$4)</f>
        <v>29.13</v>
      </c>
      <c r="E13222" s="14" t="str">
        <f aca="false">IF(C13222="","",C13222*D13222/100)</f>
        <v/>
      </c>
      <c r="F13222" s="15" t="str">
        <f aca="false">IF(B13222&lt;5,"Go","Standard")</f>
        <v>Standard</v>
      </c>
    </row>
    <row r="13223" customFormat="false" ht="15" hidden="false" customHeight="true" outlineLevel="0" collapsed="false">
      <c r="A13223" s="10" t="n">
        <f aca="false">Einstellungen!$B$5+INT((ROW()-9)/24)</f>
        <v>46516</v>
      </c>
      <c r="B13223" s="11" t="n">
        <f aca="false">MOD(ROW()-9,24)</f>
        <v>14</v>
      </c>
      <c r="C13223" s="12"/>
      <c r="D13223" s="13" t="n">
        <f aca="false">IF(B13223&lt;5,Einstellungen!$B$3,Einstellungen!$B$4)</f>
        <v>29.13</v>
      </c>
      <c r="E13223" s="14" t="str">
        <f aca="false">IF(C13223="","",C13223*D13223/100)</f>
        <v/>
      </c>
      <c r="F13223" s="15" t="str">
        <f aca="false">IF(B13223&lt;5,"Go","Standard")</f>
        <v>Standard</v>
      </c>
    </row>
    <row r="13224" customFormat="false" ht="15" hidden="false" customHeight="true" outlineLevel="0" collapsed="false">
      <c r="A13224" s="10" t="n">
        <f aca="false">Einstellungen!$B$5+INT((ROW()-9)/24)</f>
        <v>46516</v>
      </c>
      <c r="B13224" s="11" t="n">
        <f aca="false">MOD(ROW()-9,24)</f>
        <v>15</v>
      </c>
      <c r="C13224" s="12"/>
      <c r="D13224" s="13" t="n">
        <f aca="false">IF(B13224&lt;5,Einstellungen!$B$3,Einstellungen!$B$4)</f>
        <v>29.13</v>
      </c>
      <c r="E13224" s="14" t="str">
        <f aca="false">IF(C13224="","",C13224*D13224/100)</f>
        <v/>
      </c>
      <c r="F13224" s="15" t="str">
        <f aca="false">IF(B13224&lt;5,"Go","Standard")</f>
        <v>Standard</v>
      </c>
    </row>
    <row r="13225" customFormat="false" ht="15" hidden="false" customHeight="true" outlineLevel="0" collapsed="false">
      <c r="A13225" s="10" t="n">
        <f aca="false">Einstellungen!$B$5+INT((ROW()-9)/24)</f>
        <v>46516</v>
      </c>
      <c r="B13225" s="11" t="n">
        <f aca="false">MOD(ROW()-9,24)</f>
        <v>16</v>
      </c>
      <c r="C13225" s="12"/>
      <c r="D13225" s="13" t="n">
        <f aca="false">IF(B13225&lt;5,Einstellungen!$B$3,Einstellungen!$B$4)</f>
        <v>29.13</v>
      </c>
      <c r="E13225" s="14" t="str">
        <f aca="false">IF(C13225="","",C13225*D13225/100)</f>
        <v/>
      </c>
      <c r="F13225" s="15" t="str">
        <f aca="false">IF(B13225&lt;5,"Go","Standard")</f>
        <v>Standard</v>
      </c>
    </row>
    <row r="13226" customFormat="false" ht="15" hidden="false" customHeight="true" outlineLevel="0" collapsed="false">
      <c r="A13226" s="10" t="n">
        <f aca="false">Einstellungen!$B$5+INT((ROW()-9)/24)</f>
        <v>46516</v>
      </c>
      <c r="B13226" s="11" t="n">
        <f aca="false">MOD(ROW()-9,24)</f>
        <v>17</v>
      </c>
      <c r="C13226" s="12"/>
      <c r="D13226" s="13" t="n">
        <f aca="false">IF(B13226&lt;5,Einstellungen!$B$3,Einstellungen!$B$4)</f>
        <v>29.13</v>
      </c>
      <c r="E13226" s="14" t="str">
        <f aca="false">IF(C13226="","",C13226*D13226/100)</f>
        <v/>
      </c>
      <c r="F13226" s="15" t="str">
        <f aca="false">IF(B13226&lt;5,"Go","Standard")</f>
        <v>Standard</v>
      </c>
    </row>
    <row r="13227" customFormat="false" ht="15" hidden="false" customHeight="true" outlineLevel="0" collapsed="false">
      <c r="A13227" s="10" t="n">
        <f aca="false">Einstellungen!$B$5+INT((ROW()-9)/24)</f>
        <v>46516</v>
      </c>
      <c r="B13227" s="11" t="n">
        <f aca="false">MOD(ROW()-9,24)</f>
        <v>18</v>
      </c>
      <c r="C13227" s="12"/>
      <c r="D13227" s="13" t="n">
        <f aca="false">IF(B13227&lt;5,Einstellungen!$B$3,Einstellungen!$B$4)</f>
        <v>29.13</v>
      </c>
      <c r="E13227" s="14" t="str">
        <f aca="false">IF(C13227="","",C13227*D13227/100)</f>
        <v/>
      </c>
      <c r="F13227" s="15" t="str">
        <f aca="false">IF(B13227&lt;5,"Go","Standard")</f>
        <v>Standard</v>
      </c>
    </row>
    <row r="13228" customFormat="false" ht="15" hidden="false" customHeight="true" outlineLevel="0" collapsed="false">
      <c r="A13228" s="10" t="n">
        <f aca="false">Einstellungen!$B$5+INT((ROW()-9)/24)</f>
        <v>46516</v>
      </c>
      <c r="B13228" s="11" t="n">
        <f aca="false">MOD(ROW()-9,24)</f>
        <v>19</v>
      </c>
      <c r="C13228" s="12"/>
      <c r="D13228" s="13" t="n">
        <f aca="false">IF(B13228&lt;5,Einstellungen!$B$3,Einstellungen!$B$4)</f>
        <v>29.13</v>
      </c>
      <c r="E13228" s="14" t="str">
        <f aca="false">IF(C13228="","",C13228*D13228/100)</f>
        <v/>
      </c>
      <c r="F13228" s="15" t="str">
        <f aca="false">IF(B13228&lt;5,"Go","Standard")</f>
        <v>Standard</v>
      </c>
    </row>
    <row r="13229" customFormat="false" ht="15" hidden="false" customHeight="true" outlineLevel="0" collapsed="false">
      <c r="A13229" s="10" t="n">
        <f aca="false">Einstellungen!$B$5+INT((ROW()-9)/24)</f>
        <v>46516</v>
      </c>
      <c r="B13229" s="11" t="n">
        <f aca="false">MOD(ROW()-9,24)</f>
        <v>20</v>
      </c>
      <c r="C13229" s="12"/>
      <c r="D13229" s="13" t="n">
        <f aca="false">IF(B13229&lt;5,Einstellungen!$B$3,Einstellungen!$B$4)</f>
        <v>29.13</v>
      </c>
      <c r="E13229" s="14" t="str">
        <f aca="false">IF(C13229="","",C13229*D13229/100)</f>
        <v/>
      </c>
      <c r="F13229" s="15" t="str">
        <f aca="false">IF(B13229&lt;5,"Go","Standard")</f>
        <v>Standard</v>
      </c>
    </row>
    <row r="13230" customFormat="false" ht="15" hidden="false" customHeight="true" outlineLevel="0" collapsed="false">
      <c r="A13230" s="10" t="n">
        <f aca="false">Einstellungen!$B$5+INT((ROW()-9)/24)</f>
        <v>46516</v>
      </c>
      <c r="B13230" s="11" t="n">
        <f aca="false">MOD(ROW()-9,24)</f>
        <v>21</v>
      </c>
      <c r="C13230" s="12"/>
      <c r="D13230" s="13" t="n">
        <f aca="false">IF(B13230&lt;5,Einstellungen!$B$3,Einstellungen!$B$4)</f>
        <v>29.13</v>
      </c>
      <c r="E13230" s="14" t="str">
        <f aca="false">IF(C13230="","",C13230*D13230/100)</f>
        <v/>
      </c>
      <c r="F13230" s="15" t="str">
        <f aca="false">IF(B13230&lt;5,"Go","Standard")</f>
        <v>Standard</v>
      </c>
    </row>
    <row r="13231" customFormat="false" ht="15" hidden="false" customHeight="true" outlineLevel="0" collapsed="false">
      <c r="A13231" s="10" t="n">
        <f aca="false">Einstellungen!$B$5+INT((ROW()-9)/24)</f>
        <v>46516</v>
      </c>
      <c r="B13231" s="11" t="n">
        <f aca="false">MOD(ROW()-9,24)</f>
        <v>22</v>
      </c>
      <c r="C13231" s="12"/>
      <c r="D13231" s="13" t="n">
        <f aca="false">IF(B13231&lt;5,Einstellungen!$B$3,Einstellungen!$B$4)</f>
        <v>29.13</v>
      </c>
      <c r="E13231" s="14" t="str">
        <f aca="false">IF(C13231="","",C13231*D13231/100)</f>
        <v/>
      </c>
      <c r="F13231" s="15" t="str">
        <f aca="false">IF(B13231&lt;5,"Go","Standard")</f>
        <v>Standard</v>
      </c>
    </row>
    <row r="13232" customFormat="false" ht="15" hidden="false" customHeight="true" outlineLevel="0" collapsed="false">
      <c r="A13232" s="10" t="n">
        <f aca="false">Einstellungen!$B$5+INT((ROW()-9)/24)</f>
        <v>46516</v>
      </c>
      <c r="B13232" s="11" t="n">
        <f aca="false">MOD(ROW()-9,24)</f>
        <v>23</v>
      </c>
      <c r="C13232" s="12"/>
      <c r="D13232" s="13" t="n">
        <f aca="false">IF(B13232&lt;5,Einstellungen!$B$3,Einstellungen!$B$4)</f>
        <v>29.13</v>
      </c>
      <c r="E13232" s="14" t="str">
        <f aca="false">IF(C13232="","",C13232*D13232/100)</f>
        <v/>
      </c>
      <c r="F13232" s="15" t="str">
        <f aca="false">IF(B13232&lt;5,"Go","Standard")</f>
        <v>Standard</v>
      </c>
    </row>
    <row r="13233" customFormat="false" ht="15" hidden="false" customHeight="true" outlineLevel="0" collapsed="false">
      <c r="A13233" s="10" t="n">
        <f aca="false">Einstellungen!$B$5+INT((ROW()-9)/24)</f>
        <v>46517</v>
      </c>
      <c r="B13233" s="11" t="n">
        <f aca="false">MOD(ROW()-9,24)</f>
        <v>0</v>
      </c>
      <c r="C13233" s="12"/>
      <c r="D13233" s="13" t="n">
        <f aca="false">IF(B13233&lt;5,Einstellungen!$B$3,Einstellungen!$B$4)</f>
        <v>15.92</v>
      </c>
      <c r="E13233" s="14" t="str">
        <f aca="false">IF(C13233="","",C13233*D13233/100)</f>
        <v/>
      </c>
      <c r="F13233" s="15" t="str">
        <f aca="false">IF(B13233&lt;5,"Go","Standard")</f>
        <v>Go</v>
      </c>
    </row>
    <row r="13234" customFormat="false" ht="15" hidden="false" customHeight="true" outlineLevel="0" collapsed="false">
      <c r="A13234" s="10" t="n">
        <f aca="false">Einstellungen!$B$5+INT((ROW()-9)/24)</f>
        <v>46517</v>
      </c>
      <c r="B13234" s="11" t="n">
        <f aca="false">MOD(ROW()-9,24)</f>
        <v>1</v>
      </c>
      <c r="C13234" s="12"/>
      <c r="D13234" s="13" t="n">
        <f aca="false">IF(B13234&lt;5,Einstellungen!$B$3,Einstellungen!$B$4)</f>
        <v>15.92</v>
      </c>
      <c r="E13234" s="14" t="str">
        <f aca="false">IF(C13234="","",C13234*D13234/100)</f>
        <v/>
      </c>
      <c r="F13234" s="15" t="str">
        <f aca="false">IF(B13234&lt;5,"Go","Standard")</f>
        <v>Go</v>
      </c>
    </row>
    <row r="13235" customFormat="false" ht="15" hidden="false" customHeight="true" outlineLevel="0" collapsed="false">
      <c r="A13235" s="10" t="n">
        <f aca="false">Einstellungen!$B$5+INT((ROW()-9)/24)</f>
        <v>46517</v>
      </c>
      <c r="B13235" s="11" t="n">
        <f aca="false">MOD(ROW()-9,24)</f>
        <v>2</v>
      </c>
      <c r="C13235" s="12"/>
      <c r="D13235" s="13" t="n">
        <f aca="false">IF(B13235&lt;5,Einstellungen!$B$3,Einstellungen!$B$4)</f>
        <v>15.92</v>
      </c>
      <c r="E13235" s="14" t="str">
        <f aca="false">IF(C13235="","",C13235*D13235/100)</f>
        <v/>
      </c>
      <c r="F13235" s="15" t="str">
        <f aca="false">IF(B13235&lt;5,"Go","Standard")</f>
        <v>Go</v>
      </c>
    </row>
    <row r="13236" customFormat="false" ht="15" hidden="false" customHeight="true" outlineLevel="0" collapsed="false">
      <c r="A13236" s="10" t="n">
        <f aca="false">Einstellungen!$B$5+INT((ROW()-9)/24)</f>
        <v>46517</v>
      </c>
      <c r="B13236" s="11" t="n">
        <f aca="false">MOD(ROW()-9,24)</f>
        <v>3</v>
      </c>
      <c r="C13236" s="12"/>
      <c r="D13236" s="13" t="n">
        <f aca="false">IF(B13236&lt;5,Einstellungen!$B$3,Einstellungen!$B$4)</f>
        <v>15.92</v>
      </c>
      <c r="E13236" s="14" t="str">
        <f aca="false">IF(C13236="","",C13236*D13236/100)</f>
        <v/>
      </c>
      <c r="F13236" s="15" t="str">
        <f aca="false">IF(B13236&lt;5,"Go","Standard")</f>
        <v>Go</v>
      </c>
    </row>
    <row r="13237" customFormat="false" ht="15" hidden="false" customHeight="true" outlineLevel="0" collapsed="false">
      <c r="A13237" s="10" t="n">
        <f aca="false">Einstellungen!$B$5+INT((ROW()-9)/24)</f>
        <v>46517</v>
      </c>
      <c r="B13237" s="11" t="n">
        <f aca="false">MOD(ROW()-9,24)</f>
        <v>4</v>
      </c>
      <c r="C13237" s="12"/>
      <c r="D13237" s="13" t="n">
        <f aca="false">IF(B13237&lt;5,Einstellungen!$B$3,Einstellungen!$B$4)</f>
        <v>15.92</v>
      </c>
      <c r="E13237" s="14" t="str">
        <f aca="false">IF(C13237="","",C13237*D13237/100)</f>
        <v/>
      </c>
      <c r="F13237" s="15" t="str">
        <f aca="false">IF(B13237&lt;5,"Go","Standard")</f>
        <v>Go</v>
      </c>
    </row>
    <row r="13238" customFormat="false" ht="15" hidden="false" customHeight="true" outlineLevel="0" collapsed="false">
      <c r="A13238" s="10" t="n">
        <f aca="false">Einstellungen!$B$5+INT((ROW()-9)/24)</f>
        <v>46517</v>
      </c>
      <c r="B13238" s="11" t="n">
        <f aca="false">MOD(ROW()-9,24)</f>
        <v>5</v>
      </c>
      <c r="C13238" s="12"/>
      <c r="D13238" s="13" t="n">
        <f aca="false">IF(B13238&lt;5,Einstellungen!$B$3,Einstellungen!$B$4)</f>
        <v>29.13</v>
      </c>
      <c r="E13238" s="14" t="str">
        <f aca="false">IF(C13238="","",C13238*D13238/100)</f>
        <v/>
      </c>
      <c r="F13238" s="15" t="str">
        <f aca="false">IF(B13238&lt;5,"Go","Standard")</f>
        <v>Standard</v>
      </c>
    </row>
    <row r="13239" customFormat="false" ht="15" hidden="false" customHeight="true" outlineLevel="0" collapsed="false">
      <c r="A13239" s="10" t="n">
        <f aca="false">Einstellungen!$B$5+INT((ROW()-9)/24)</f>
        <v>46517</v>
      </c>
      <c r="B13239" s="11" t="n">
        <f aca="false">MOD(ROW()-9,24)</f>
        <v>6</v>
      </c>
      <c r="C13239" s="12"/>
      <c r="D13239" s="13" t="n">
        <f aca="false">IF(B13239&lt;5,Einstellungen!$B$3,Einstellungen!$B$4)</f>
        <v>29.13</v>
      </c>
      <c r="E13239" s="14" t="str">
        <f aca="false">IF(C13239="","",C13239*D13239/100)</f>
        <v/>
      </c>
      <c r="F13239" s="15" t="str">
        <f aca="false">IF(B13239&lt;5,"Go","Standard")</f>
        <v>Standard</v>
      </c>
    </row>
    <row r="13240" customFormat="false" ht="15" hidden="false" customHeight="true" outlineLevel="0" collapsed="false">
      <c r="A13240" s="10" t="n">
        <f aca="false">Einstellungen!$B$5+INT((ROW()-9)/24)</f>
        <v>46517</v>
      </c>
      <c r="B13240" s="11" t="n">
        <f aca="false">MOD(ROW()-9,24)</f>
        <v>7</v>
      </c>
      <c r="C13240" s="12"/>
      <c r="D13240" s="13" t="n">
        <f aca="false">IF(B13240&lt;5,Einstellungen!$B$3,Einstellungen!$B$4)</f>
        <v>29.13</v>
      </c>
      <c r="E13240" s="14" t="str">
        <f aca="false">IF(C13240="","",C13240*D13240/100)</f>
        <v/>
      </c>
      <c r="F13240" s="15" t="str">
        <f aca="false">IF(B13240&lt;5,"Go","Standard")</f>
        <v>Standard</v>
      </c>
    </row>
    <row r="13241" customFormat="false" ht="15" hidden="false" customHeight="true" outlineLevel="0" collapsed="false">
      <c r="A13241" s="10" t="n">
        <f aca="false">Einstellungen!$B$5+INT((ROW()-9)/24)</f>
        <v>46517</v>
      </c>
      <c r="B13241" s="11" t="n">
        <f aca="false">MOD(ROW()-9,24)</f>
        <v>8</v>
      </c>
      <c r="C13241" s="12"/>
      <c r="D13241" s="13" t="n">
        <f aca="false">IF(B13241&lt;5,Einstellungen!$B$3,Einstellungen!$B$4)</f>
        <v>29.13</v>
      </c>
      <c r="E13241" s="14" t="str">
        <f aca="false">IF(C13241="","",C13241*D13241/100)</f>
        <v/>
      </c>
      <c r="F13241" s="15" t="str">
        <f aca="false">IF(B13241&lt;5,"Go","Standard")</f>
        <v>Standard</v>
      </c>
    </row>
    <row r="13242" customFormat="false" ht="15" hidden="false" customHeight="true" outlineLevel="0" collapsed="false">
      <c r="A13242" s="10" t="n">
        <f aca="false">Einstellungen!$B$5+INT((ROW()-9)/24)</f>
        <v>46517</v>
      </c>
      <c r="B13242" s="11" t="n">
        <f aca="false">MOD(ROW()-9,24)</f>
        <v>9</v>
      </c>
      <c r="C13242" s="12"/>
      <c r="D13242" s="13" t="n">
        <f aca="false">IF(B13242&lt;5,Einstellungen!$B$3,Einstellungen!$B$4)</f>
        <v>29.13</v>
      </c>
      <c r="E13242" s="14" t="str">
        <f aca="false">IF(C13242="","",C13242*D13242/100)</f>
        <v/>
      </c>
      <c r="F13242" s="15" t="str">
        <f aca="false">IF(B13242&lt;5,"Go","Standard")</f>
        <v>Standard</v>
      </c>
    </row>
    <row r="13243" customFormat="false" ht="15" hidden="false" customHeight="true" outlineLevel="0" collapsed="false">
      <c r="A13243" s="10" t="n">
        <f aca="false">Einstellungen!$B$5+INT((ROW()-9)/24)</f>
        <v>46517</v>
      </c>
      <c r="B13243" s="11" t="n">
        <f aca="false">MOD(ROW()-9,24)</f>
        <v>10</v>
      </c>
      <c r="C13243" s="12"/>
      <c r="D13243" s="13" t="n">
        <f aca="false">IF(B13243&lt;5,Einstellungen!$B$3,Einstellungen!$B$4)</f>
        <v>29.13</v>
      </c>
      <c r="E13243" s="14" t="str">
        <f aca="false">IF(C13243="","",C13243*D13243/100)</f>
        <v/>
      </c>
      <c r="F13243" s="15" t="str">
        <f aca="false">IF(B13243&lt;5,"Go","Standard")</f>
        <v>Standard</v>
      </c>
    </row>
    <row r="13244" customFormat="false" ht="15" hidden="false" customHeight="true" outlineLevel="0" collapsed="false">
      <c r="A13244" s="10" t="n">
        <f aca="false">Einstellungen!$B$5+INT((ROW()-9)/24)</f>
        <v>46517</v>
      </c>
      <c r="B13244" s="11" t="n">
        <f aca="false">MOD(ROW()-9,24)</f>
        <v>11</v>
      </c>
      <c r="C13244" s="12"/>
      <c r="D13244" s="13" t="n">
        <f aca="false">IF(B13244&lt;5,Einstellungen!$B$3,Einstellungen!$B$4)</f>
        <v>29.13</v>
      </c>
      <c r="E13244" s="14" t="str">
        <f aca="false">IF(C13244="","",C13244*D13244/100)</f>
        <v/>
      </c>
      <c r="F13244" s="15" t="str">
        <f aca="false">IF(B13244&lt;5,"Go","Standard")</f>
        <v>Standard</v>
      </c>
    </row>
    <row r="13245" customFormat="false" ht="15" hidden="false" customHeight="true" outlineLevel="0" collapsed="false">
      <c r="A13245" s="10" t="n">
        <f aca="false">Einstellungen!$B$5+INT((ROW()-9)/24)</f>
        <v>46517</v>
      </c>
      <c r="B13245" s="11" t="n">
        <f aca="false">MOD(ROW()-9,24)</f>
        <v>12</v>
      </c>
      <c r="C13245" s="12"/>
      <c r="D13245" s="13" t="n">
        <f aca="false">IF(B13245&lt;5,Einstellungen!$B$3,Einstellungen!$B$4)</f>
        <v>29.13</v>
      </c>
      <c r="E13245" s="14" t="str">
        <f aca="false">IF(C13245="","",C13245*D13245/100)</f>
        <v/>
      </c>
      <c r="F13245" s="15" t="str">
        <f aca="false">IF(B13245&lt;5,"Go","Standard")</f>
        <v>Standard</v>
      </c>
    </row>
    <row r="13246" customFormat="false" ht="15" hidden="false" customHeight="true" outlineLevel="0" collapsed="false">
      <c r="A13246" s="10" t="n">
        <f aca="false">Einstellungen!$B$5+INT((ROW()-9)/24)</f>
        <v>46517</v>
      </c>
      <c r="B13246" s="11" t="n">
        <f aca="false">MOD(ROW()-9,24)</f>
        <v>13</v>
      </c>
      <c r="C13246" s="12"/>
      <c r="D13246" s="13" t="n">
        <f aca="false">IF(B13246&lt;5,Einstellungen!$B$3,Einstellungen!$B$4)</f>
        <v>29.13</v>
      </c>
      <c r="E13246" s="14" t="str">
        <f aca="false">IF(C13246="","",C13246*D13246/100)</f>
        <v/>
      </c>
      <c r="F13246" s="15" t="str">
        <f aca="false">IF(B13246&lt;5,"Go","Standard")</f>
        <v>Standard</v>
      </c>
    </row>
    <row r="13247" customFormat="false" ht="15" hidden="false" customHeight="true" outlineLevel="0" collapsed="false">
      <c r="A13247" s="10" t="n">
        <f aca="false">Einstellungen!$B$5+INT((ROW()-9)/24)</f>
        <v>46517</v>
      </c>
      <c r="B13247" s="11" t="n">
        <f aca="false">MOD(ROW()-9,24)</f>
        <v>14</v>
      </c>
      <c r="C13247" s="12"/>
      <c r="D13247" s="13" t="n">
        <f aca="false">IF(B13247&lt;5,Einstellungen!$B$3,Einstellungen!$B$4)</f>
        <v>29.13</v>
      </c>
      <c r="E13247" s="14" t="str">
        <f aca="false">IF(C13247="","",C13247*D13247/100)</f>
        <v/>
      </c>
      <c r="F13247" s="15" t="str">
        <f aca="false">IF(B13247&lt;5,"Go","Standard")</f>
        <v>Standard</v>
      </c>
    </row>
    <row r="13248" customFormat="false" ht="15" hidden="false" customHeight="true" outlineLevel="0" collapsed="false">
      <c r="A13248" s="10" t="n">
        <f aca="false">Einstellungen!$B$5+INT((ROW()-9)/24)</f>
        <v>46517</v>
      </c>
      <c r="B13248" s="11" t="n">
        <f aca="false">MOD(ROW()-9,24)</f>
        <v>15</v>
      </c>
      <c r="C13248" s="12"/>
      <c r="D13248" s="13" t="n">
        <f aca="false">IF(B13248&lt;5,Einstellungen!$B$3,Einstellungen!$B$4)</f>
        <v>29.13</v>
      </c>
      <c r="E13248" s="14" t="str">
        <f aca="false">IF(C13248="","",C13248*D13248/100)</f>
        <v/>
      </c>
      <c r="F13248" s="15" t="str">
        <f aca="false">IF(B13248&lt;5,"Go","Standard")</f>
        <v>Standard</v>
      </c>
    </row>
    <row r="13249" customFormat="false" ht="15" hidden="false" customHeight="true" outlineLevel="0" collapsed="false">
      <c r="A13249" s="10" t="n">
        <f aca="false">Einstellungen!$B$5+INT((ROW()-9)/24)</f>
        <v>46517</v>
      </c>
      <c r="B13249" s="11" t="n">
        <f aca="false">MOD(ROW()-9,24)</f>
        <v>16</v>
      </c>
      <c r="C13249" s="12"/>
      <c r="D13249" s="13" t="n">
        <f aca="false">IF(B13249&lt;5,Einstellungen!$B$3,Einstellungen!$B$4)</f>
        <v>29.13</v>
      </c>
      <c r="E13249" s="14" t="str">
        <f aca="false">IF(C13249="","",C13249*D13249/100)</f>
        <v/>
      </c>
      <c r="F13249" s="15" t="str">
        <f aca="false">IF(B13249&lt;5,"Go","Standard")</f>
        <v>Standard</v>
      </c>
    </row>
    <row r="13250" customFormat="false" ht="15" hidden="false" customHeight="true" outlineLevel="0" collapsed="false">
      <c r="A13250" s="10" t="n">
        <f aca="false">Einstellungen!$B$5+INT((ROW()-9)/24)</f>
        <v>46517</v>
      </c>
      <c r="B13250" s="11" t="n">
        <f aca="false">MOD(ROW()-9,24)</f>
        <v>17</v>
      </c>
      <c r="C13250" s="12"/>
      <c r="D13250" s="13" t="n">
        <f aca="false">IF(B13250&lt;5,Einstellungen!$B$3,Einstellungen!$B$4)</f>
        <v>29.13</v>
      </c>
      <c r="E13250" s="14" t="str">
        <f aca="false">IF(C13250="","",C13250*D13250/100)</f>
        <v/>
      </c>
      <c r="F13250" s="15" t="str">
        <f aca="false">IF(B13250&lt;5,"Go","Standard")</f>
        <v>Standard</v>
      </c>
    </row>
    <row r="13251" customFormat="false" ht="15" hidden="false" customHeight="true" outlineLevel="0" collapsed="false">
      <c r="A13251" s="10" t="n">
        <f aca="false">Einstellungen!$B$5+INT((ROW()-9)/24)</f>
        <v>46517</v>
      </c>
      <c r="B13251" s="11" t="n">
        <f aca="false">MOD(ROW()-9,24)</f>
        <v>18</v>
      </c>
      <c r="C13251" s="12"/>
      <c r="D13251" s="13" t="n">
        <f aca="false">IF(B13251&lt;5,Einstellungen!$B$3,Einstellungen!$B$4)</f>
        <v>29.13</v>
      </c>
      <c r="E13251" s="14" t="str">
        <f aca="false">IF(C13251="","",C13251*D13251/100)</f>
        <v/>
      </c>
      <c r="F13251" s="15" t="str">
        <f aca="false">IF(B13251&lt;5,"Go","Standard")</f>
        <v>Standard</v>
      </c>
    </row>
    <row r="13252" customFormat="false" ht="15" hidden="false" customHeight="true" outlineLevel="0" collapsed="false">
      <c r="A13252" s="10" t="n">
        <f aca="false">Einstellungen!$B$5+INT((ROW()-9)/24)</f>
        <v>46517</v>
      </c>
      <c r="B13252" s="11" t="n">
        <f aca="false">MOD(ROW()-9,24)</f>
        <v>19</v>
      </c>
      <c r="C13252" s="12"/>
      <c r="D13252" s="13" t="n">
        <f aca="false">IF(B13252&lt;5,Einstellungen!$B$3,Einstellungen!$B$4)</f>
        <v>29.13</v>
      </c>
      <c r="E13252" s="14" t="str">
        <f aca="false">IF(C13252="","",C13252*D13252/100)</f>
        <v/>
      </c>
      <c r="F13252" s="15" t="str">
        <f aca="false">IF(B13252&lt;5,"Go","Standard")</f>
        <v>Standard</v>
      </c>
    </row>
    <row r="13253" customFormat="false" ht="15" hidden="false" customHeight="true" outlineLevel="0" collapsed="false">
      <c r="A13253" s="10" t="n">
        <f aca="false">Einstellungen!$B$5+INT((ROW()-9)/24)</f>
        <v>46517</v>
      </c>
      <c r="B13253" s="11" t="n">
        <f aca="false">MOD(ROW()-9,24)</f>
        <v>20</v>
      </c>
      <c r="C13253" s="12"/>
      <c r="D13253" s="13" t="n">
        <f aca="false">IF(B13253&lt;5,Einstellungen!$B$3,Einstellungen!$B$4)</f>
        <v>29.13</v>
      </c>
      <c r="E13253" s="14" t="str">
        <f aca="false">IF(C13253="","",C13253*D13253/100)</f>
        <v/>
      </c>
      <c r="F13253" s="15" t="str">
        <f aca="false">IF(B13253&lt;5,"Go","Standard")</f>
        <v>Standard</v>
      </c>
    </row>
    <row r="13254" customFormat="false" ht="15" hidden="false" customHeight="true" outlineLevel="0" collapsed="false">
      <c r="A13254" s="10" t="n">
        <f aca="false">Einstellungen!$B$5+INT((ROW()-9)/24)</f>
        <v>46517</v>
      </c>
      <c r="B13254" s="11" t="n">
        <f aca="false">MOD(ROW()-9,24)</f>
        <v>21</v>
      </c>
      <c r="C13254" s="12"/>
      <c r="D13254" s="13" t="n">
        <f aca="false">IF(B13254&lt;5,Einstellungen!$B$3,Einstellungen!$B$4)</f>
        <v>29.13</v>
      </c>
      <c r="E13254" s="14" t="str">
        <f aca="false">IF(C13254="","",C13254*D13254/100)</f>
        <v/>
      </c>
      <c r="F13254" s="15" t="str">
        <f aca="false">IF(B13254&lt;5,"Go","Standard")</f>
        <v>Standard</v>
      </c>
    </row>
    <row r="13255" customFormat="false" ht="15" hidden="false" customHeight="true" outlineLevel="0" collapsed="false">
      <c r="A13255" s="10" t="n">
        <f aca="false">Einstellungen!$B$5+INT((ROW()-9)/24)</f>
        <v>46517</v>
      </c>
      <c r="B13255" s="11" t="n">
        <f aca="false">MOD(ROW()-9,24)</f>
        <v>22</v>
      </c>
      <c r="C13255" s="12"/>
      <c r="D13255" s="13" t="n">
        <f aca="false">IF(B13255&lt;5,Einstellungen!$B$3,Einstellungen!$B$4)</f>
        <v>29.13</v>
      </c>
      <c r="E13255" s="14" t="str">
        <f aca="false">IF(C13255="","",C13255*D13255/100)</f>
        <v/>
      </c>
      <c r="F13255" s="15" t="str">
        <f aca="false">IF(B13255&lt;5,"Go","Standard")</f>
        <v>Standard</v>
      </c>
    </row>
    <row r="13256" customFormat="false" ht="15" hidden="false" customHeight="true" outlineLevel="0" collapsed="false">
      <c r="A13256" s="10" t="n">
        <f aca="false">Einstellungen!$B$5+INT((ROW()-9)/24)</f>
        <v>46517</v>
      </c>
      <c r="B13256" s="11" t="n">
        <f aca="false">MOD(ROW()-9,24)</f>
        <v>23</v>
      </c>
      <c r="C13256" s="12"/>
      <c r="D13256" s="13" t="n">
        <f aca="false">IF(B13256&lt;5,Einstellungen!$B$3,Einstellungen!$B$4)</f>
        <v>29.13</v>
      </c>
      <c r="E13256" s="14" t="str">
        <f aca="false">IF(C13256="","",C13256*D13256/100)</f>
        <v/>
      </c>
      <c r="F13256" s="15" t="str">
        <f aca="false">IF(B13256&lt;5,"Go","Standard")</f>
        <v>Standard</v>
      </c>
    </row>
    <row r="13257" customFormat="false" ht="15" hidden="false" customHeight="true" outlineLevel="0" collapsed="false">
      <c r="A13257" s="10" t="n">
        <f aca="false">Einstellungen!$B$5+INT((ROW()-9)/24)</f>
        <v>46518</v>
      </c>
      <c r="B13257" s="11" t="n">
        <f aca="false">MOD(ROW()-9,24)</f>
        <v>0</v>
      </c>
      <c r="C13257" s="12"/>
      <c r="D13257" s="13" t="n">
        <f aca="false">IF(B13257&lt;5,Einstellungen!$B$3,Einstellungen!$B$4)</f>
        <v>15.92</v>
      </c>
      <c r="E13257" s="14" t="str">
        <f aca="false">IF(C13257="","",C13257*D13257/100)</f>
        <v/>
      </c>
      <c r="F13257" s="15" t="str">
        <f aca="false">IF(B13257&lt;5,"Go","Standard")</f>
        <v>Go</v>
      </c>
    </row>
    <row r="13258" customFormat="false" ht="15" hidden="false" customHeight="true" outlineLevel="0" collapsed="false">
      <c r="A13258" s="10" t="n">
        <f aca="false">Einstellungen!$B$5+INT((ROW()-9)/24)</f>
        <v>46518</v>
      </c>
      <c r="B13258" s="11" t="n">
        <f aca="false">MOD(ROW()-9,24)</f>
        <v>1</v>
      </c>
      <c r="C13258" s="12"/>
      <c r="D13258" s="13" t="n">
        <f aca="false">IF(B13258&lt;5,Einstellungen!$B$3,Einstellungen!$B$4)</f>
        <v>15.92</v>
      </c>
      <c r="E13258" s="14" t="str">
        <f aca="false">IF(C13258="","",C13258*D13258/100)</f>
        <v/>
      </c>
      <c r="F13258" s="15" t="str">
        <f aca="false">IF(B13258&lt;5,"Go","Standard")</f>
        <v>Go</v>
      </c>
    </row>
    <row r="13259" customFormat="false" ht="15" hidden="false" customHeight="true" outlineLevel="0" collapsed="false">
      <c r="A13259" s="10" t="n">
        <f aca="false">Einstellungen!$B$5+INT((ROW()-9)/24)</f>
        <v>46518</v>
      </c>
      <c r="B13259" s="11" t="n">
        <f aca="false">MOD(ROW()-9,24)</f>
        <v>2</v>
      </c>
      <c r="C13259" s="12"/>
      <c r="D13259" s="13" t="n">
        <f aca="false">IF(B13259&lt;5,Einstellungen!$B$3,Einstellungen!$B$4)</f>
        <v>15.92</v>
      </c>
      <c r="E13259" s="14" t="str">
        <f aca="false">IF(C13259="","",C13259*D13259/100)</f>
        <v/>
      </c>
      <c r="F13259" s="15" t="str">
        <f aca="false">IF(B13259&lt;5,"Go","Standard")</f>
        <v>Go</v>
      </c>
    </row>
    <row r="13260" customFormat="false" ht="15" hidden="false" customHeight="true" outlineLevel="0" collapsed="false">
      <c r="A13260" s="10" t="n">
        <f aca="false">Einstellungen!$B$5+INT((ROW()-9)/24)</f>
        <v>46518</v>
      </c>
      <c r="B13260" s="11" t="n">
        <f aca="false">MOD(ROW()-9,24)</f>
        <v>3</v>
      </c>
      <c r="C13260" s="12"/>
      <c r="D13260" s="13" t="n">
        <f aca="false">IF(B13260&lt;5,Einstellungen!$B$3,Einstellungen!$B$4)</f>
        <v>15.92</v>
      </c>
      <c r="E13260" s="14" t="str">
        <f aca="false">IF(C13260="","",C13260*D13260/100)</f>
        <v/>
      </c>
      <c r="F13260" s="15" t="str">
        <f aca="false">IF(B13260&lt;5,"Go","Standard")</f>
        <v>Go</v>
      </c>
    </row>
    <row r="13261" customFormat="false" ht="15" hidden="false" customHeight="true" outlineLevel="0" collapsed="false">
      <c r="A13261" s="10" t="n">
        <f aca="false">Einstellungen!$B$5+INT((ROW()-9)/24)</f>
        <v>46518</v>
      </c>
      <c r="B13261" s="11" t="n">
        <f aca="false">MOD(ROW()-9,24)</f>
        <v>4</v>
      </c>
      <c r="C13261" s="12"/>
      <c r="D13261" s="13" t="n">
        <f aca="false">IF(B13261&lt;5,Einstellungen!$B$3,Einstellungen!$B$4)</f>
        <v>15.92</v>
      </c>
      <c r="E13261" s="14" t="str">
        <f aca="false">IF(C13261="","",C13261*D13261/100)</f>
        <v/>
      </c>
      <c r="F13261" s="15" t="str">
        <f aca="false">IF(B13261&lt;5,"Go","Standard")</f>
        <v>Go</v>
      </c>
    </row>
    <row r="13262" customFormat="false" ht="15" hidden="false" customHeight="true" outlineLevel="0" collapsed="false">
      <c r="A13262" s="10" t="n">
        <f aca="false">Einstellungen!$B$5+INT((ROW()-9)/24)</f>
        <v>46518</v>
      </c>
      <c r="B13262" s="11" t="n">
        <f aca="false">MOD(ROW()-9,24)</f>
        <v>5</v>
      </c>
      <c r="C13262" s="12"/>
      <c r="D13262" s="13" t="n">
        <f aca="false">IF(B13262&lt;5,Einstellungen!$B$3,Einstellungen!$B$4)</f>
        <v>29.13</v>
      </c>
      <c r="E13262" s="14" t="str">
        <f aca="false">IF(C13262="","",C13262*D13262/100)</f>
        <v/>
      </c>
      <c r="F13262" s="15" t="str">
        <f aca="false">IF(B13262&lt;5,"Go","Standard")</f>
        <v>Standard</v>
      </c>
    </row>
    <row r="13263" customFormat="false" ht="15" hidden="false" customHeight="true" outlineLevel="0" collapsed="false">
      <c r="A13263" s="10" t="n">
        <f aca="false">Einstellungen!$B$5+INT((ROW()-9)/24)</f>
        <v>46518</v>
      </c>
      <c r="B13263" s="11" t="n">
        <f aca="false">MOD(ROW()-9,24)</f>
        <v>6</v>
      </c>
      <c r="C13263" s="12"/>
      <c r="D13263" s="13" t="n">
        <f aca="false">IF(B13263&lt;5,Einstellungen!$B$3,Einstellungen!$B$4)</f>
        <v>29.13</v>
      </c>
      <c r="E13263" s="14" t="str">
        <f aca="false">IF(C13263="","",C13263*D13263/100)</f>
        <v/>
      </c>
      <c r="F13263" s="15" t="str">
        <f aca="false">IF(B13263&lt;5,"Go","Standard")</f>
        <v>Standard</v>
      </c>
    </row>
    <row r="13264" customFormat="false" ht="15" hidden="false" customHeight="true" outlineLevel="0" collapsed="false">
      <c r="A13264" s="10" t="n">
        <f aca="false">Einstellungen!$B$5+INT((ROW()-9)/24)</f>
        <v>46518</v>
      </c>
      <c r="B13264" s="11" t="n">
        <f aca="false">MOD(ROW()-9,24)</f>
        <v>7</v>
      </c>
      <c r="C13264" s="12"/>
      <c r="D13264" s="13" t="n">
        <f aca="false">IF(B13264&lt;5,Einstellungen!$B$3,Einstellungen!$B$4)</f>
        <v>29.13</v>
      </c>
      <c r="E13264" s="14" t="str">
        <f aca="false">IF(C13264="","",C13264*D13264/100)</f>
        <v/>
      </c>
      <c r="F13264" s="15" t="str">
        <f aca="false">IF(B13264&lt;5,"Go","Standard")</f>
        <v>Standard</v>
      </c>
    </row>
    <row r="13265" customFormat="false" ht="15" hidden="false" customHeight="true" outlineLevel="0" collapsed="false">
      <c r="A13265" s="10" t="n">
        <f aca="false">Einstellungen!$B$5+INT((ROW()-9)/24)</f>
        <v>46518</v>
      </c>
      <c r="B13265" s="11" t="n">
        <f aca="false">MOD(ROW()-9,24)</f>
        <v>8</v>
      </c>
      <c r="C13265" s="12"/>
      <c r="D13265" s="13" t="n">
        <f aca="false">IF(B13265&lt;5,Einstellungen!$B$3,Einstellungen!$B$4)</f>
        <v>29.13</v>
      </c>
      <c r="E13265" s="14" t="str">
        <f aca="false">IF(C13265="","",C13265*D13265/100)</f>
        <v/>
      </c>
      <c r="F13265" s="15" t="str">
        <f aca="false">IF(B13265&lt;5,"Go","Standard")</f>
        <v>Standard</v>
      </c>
    </row>
    <row r="13266" customFormat="false" ht="15" hidden="false" customHeight="true" outlineLevel="0" collapsed="false">
      <c r="A13266" s="10" t="n">
        <f aca="false">Einstellungen!$B$5+INT((ROW()-9)/24)</f>
        <v>46518</v>
      </c>
      <c r="B13266" s="11" t="n">
        <f aca="false">MOD(ROW()-9,24)</f>
        <v>9</v>
      </c>
      <c r="C13266" s="12"/>
      <c r="D13266" s="13" t="n">
        <f aca="false">IF(B13266&lt;5,Einstellungen!$B$3,Einstellungen!$B$4)</f>
        <v>29.13</v>
      </c>
      <c r="E13266" s="14" t="str">
        <f aca="false">IF(C13266="","",C13266*D13266/100)</f>
        <v/>
      </c>
      <c r="F13266" s="15" t="str">
        <f aca="false">IF(B13266&lt;5,"Go","Standard")</f>
        <v>Standard</v>
      </c>
    </row>
    <row r="13267" customFormat="false" ht="15" hidden="false" customHeight="true" outlineLevel="0" collapsed="false">
      <c r="A13267" s="10" t="n">
        <f aca="false">Einstellungen!$B$5+INT((ROW()-9)/24)</f>
        <v>46518</v>
      </c>
      <c r="B13267" s="11" t="n">
        <f aca="false">MOD(ROW()-9,24)</f>
        <v>10</v>
      </c>
      <c r="C13267" s="12"/>
      <c r="D13267" s="13" t="n">
        <f aca="false">IF(B13267&lt;5,Einstellungen!$B$3,Einstellungen!$B$4)</f>
        <v>29.13</v>
      </c>
      <c r="E13267" s="14" t="str">
        <f aca="false">IF(C13267="","",C13267*D13267/100)</f>
        <v/>
      </c>
      <c r="F13267" s="15" t="str">
        <f aca="false">IF(B13267&lt;5,"Go","Standard")</f>
        <v>Standard</v>
      </c>
    </row>
    <row r="13268" customFormat="false" ht="15" hidden="false" customHeight="true" outlineLevel="0" collapsed="false">
      <c r="A13268" s="10" t="n">
        <f aca="false">Einstellungen!$B$5+INT((ROW()-9)/24)</f>
        <v>46518</v>
      </c>
      <c r="B13268" s="11" t="n">
        <f aca="false">MOD(ROW()-9,24)</f>
        <v>11</v>
      </c>
      <c r="C13268" s="12"/>
      <c r="D13268" s="13" t="n">
        <f aca="false">IF(B13268&lt;5,Einstellungen!$B$3,Einstellungen!$B$4)</f>
        <v>29.13</v>
      </c>
      <c r="E13268" s="14" t="str">
        <f aca="false">IF(C13268="","",C13268*D13268/100)</f>
        <v/>
      </c>
      <c r="F13268" s="15" t="str">
        <f aca="false">IF(B13268&lt;5,"Go","Standard")</f>
        <v>Standard</v>
      </c>
    </row>
    <row r="13269" customFormat="false" ht="15" hidden="false" customHeight="true" outlineLevel="0" collapsed="false">
      <c r="A13269" s="10" t="n">
        <f aca="false">Einstellungen!$B$5+INT((ROW()-9)/24)</f>
        <v>46518</v>
      </c>
      <c r="B13269" s="11" t="n">
        <f aca="false">MOD(ROW()-9,24)</f>
        <v>12</v>
      </c>
      <c r="C13269" s="12"/>
      <c r="D13269" s="13" t="n">
        <f aca="false">IF(B13269&lt;5,Einstellungen!$B$3,Einstellungen!$B$4)</f>
        <v>29.13</v>
      </c>
      <c r="E13269" s="14" t="str">
        <f aca="false">IF(C13269="","",C13269*D13269/100)</f>
        <v/>
      </c>
      <c r="F13269" s="15" t="str">
        <f aca="false">IF(B13269&lt;5,"Go","Standard")</f>
        <v>Standard</v>
      </c>
    </row>
    <row r="13270" customFormat="false" ht="15" hidden="false" customHeight="true" outlineLevel="0" collapsed="false">
      <c r="A13270" s="10" t="n">
        <f aca="false">Einstellungen!$B$5+INT((ROW()-9)/24)</f>
        <v>46518</v>
      </c>
      <c r="B13270" s="11" t="n">
        <f aca="false">MOD(ROW()-9,24)</f>
        <v>13</v>
      </c>
      <c r="C13270" s="12"/>
      <c r="D13270" s="13" t="n">
        <f aca="false">IF(B13270&lt;5,Einstellungen!$B$3,Einstellungen!$B$4)</f>
        <v>29.13</v>
      </c>
      <c r="E13270" s="14" t="str">
        <f aca="false">IF(C13270="","",C13270*D13270/100)</f>
        <v/>
      </c>
      <c r="F13270" s="15" t="str">
        <f aca="false">IF(B13270&lt;5,"Go","Standard")</f>
        <v>Standard</v>
      </c>
    </row>
    <row r="13271" customFormat="false" ht="15" hidden="false" customHeight="true" outlineLevel="0" collapsed="false">
      <c r="A13271" s="10" t="n">
        <f aca="false">Einstellungen!$B$5+INT((ROW()-9)/24)</f>
        <v>46518</v>
      </c>
      <c r="B13271" s="11" t="n">
        <f aca="false">MOD(ROW()-9,24)</f>
        <v>14</v>
      </c>
      <c r="C13271" s="12"/>
      <c r="D13271" s="13" t="n">
        <f aca="false">IF(B13271&lt;5,Einstellungen!$B$3,Einstellungen!$B$4)</f>
        <v>29.13</v>
      </c>
      <c r="E13271" s="14" t="str">
        <f aca="false">IF(C13271="","",C13271*D13271/100)</f>
        <v/>
      </c>
      <c r="F13271" s="15" t="str">
        <f aca="false">IF(B13271&lt;5,"Go","Standard")</f>
        <v>Standard</v>
      </c>
    </row>
    <row r="13272" customFormat="false" ht="15" hidden="false" customHeight="true" outlineLevel="0" collapsed="false">
      <c r="A13272" s="10" t="n">
        <f aca="false">Einstellungen!$B$5+INT((ROW()-9)/24)</f>
        <v>46518</v>
      </c>
      <c r="B13272" s="11" t="n">
        <f aca="false">MOD(ROW()-9,24)</f>
        <v>15</v>
      </c>
      <c r="C13272" s="12"/>
      <c r="D13272" s="13" t="n">
        <f aca="false">IF(B13272&lt;5,Einstellungen!$B$3,Einstellungen!$B$4)</f>
        <v>29.13</v>
      </c>
      <c r="E13272" s="14" t="str">
        <f aca="false">IF(C13272="","",C13272*D13272/100)</f>
        <v/>
      </c>
      <c r="F13272" s="15" t="str">
        <f aca="false">IF(B13272&lt;5,"Go","Standard")</f>
        <v>Standard</v>
      </c>
    </row>
    <row r="13273" customFormat="false" ht="15" hidden="false" customHeight="true" outlineLevel="0" collapsed="false">
      <c r="A13273" s="10" t="n">
        <f aca="false">Einstellungen!$B$5+INT((ROW()-9)/24)</f>
        <v>46518</v>
      </c>
      <c r="B13273" s="11" t="n">
        <f aca="false">MOD(ROW()-9,24)</f>
        <v>16</v>
      </c>
      <c r="C13273" s="12"/>
      <c r="D13273" s="13" t="n">
        <f aca="false">IF(B13273&lt;5,Einstellungen!$B$3,Einstellungen!$B$4)</f>
        <v>29.13</v>
      </c>
      <c r="E13273" s="14" t="str">
        <f aca="false">IF(C13273="","",C13273*D13273/100)</f>
        <v/>
      </c>
      <c r="F13273" s="15" t="str">
        <f aca="false">IF(B13273&lt;5,"Go","Standard")</f>
        <v>Standard</v>
      </c>
    </row>
    <row r="13274" customFormat="false" ht="15" hidden="false" customHeight="true" outlineLevel="0" collapsed="false">
      <c r="A13274" s="10" t="n">
        <f aca="false">Einstellungen!$B$5+INT((ROW()-9)/24)</f>
        <v>46518</v>
      </c>
      <c r="B13274" s="11" t="n">
        <f aca="false">MOD(ROW()-9,24)</f>
        <v>17</v>
      </c>
      <c r="C13274" s="12"/>
      <c r="D13274" s="13" t="n">
        <f aca="false">IF(B13274&lt;5,Einstellungen!$B$3,Einstellungen!$B$4)</f>
        <v>29.13</v>
      </c>
      <c r="E13274" s="14" t="str">
        <f aca="false">IF(C13274="","",C13274*D13274/100)</f>
        <v/>
      </c>
      <c r="F13274" s="15" t="str">
        <f aca="false">IF(B13274&lt;5,"Go","Standard")</f>
        <v>Standard</v>
      </c>
    </row>
    <row r="13275" customFormat="false" ht="15" hidden="false" customHeight="true" outlineLevel="0" collapsed="false">
      <c r="A13275" s="10" t="n">
        <f aca="false">Einstellungen!$B$5+INT((ROW()-9)/24)</f>
        <v>46518</v>
      </c>
      <c r="B13275" s="11" t="n">
        <f aca="false">MOD(ROW()-9,24)</f>
        <v>18</v>
      </c>
      <c r="C13275" s="12"/>
      <c r="D13275" s="13" t="n">
        <f aca="false">IF(B13275&lt;5,Einstellungen!$B$3,Einstellungen!$B$4)</f>
        <v>29.13</v>
      </c>
      <c r="E13275" s="14" t="str">
        <f aca="false">IF(C13275="","",C13275*D13275/100)</f>
        <v/>
      </c>
      <c r="F13275" s="15" t="str">
        <f aca="false">IF(B13275&lt;5,"Go","Standard")</f>
        <v>Standard</v>
      </c>
    </row>
    <row r="13276" customFormat="false" ht="15" hidden="false" customHeight="true" outlineLevel="0" collapsed="false">
      <c r="A13276" s="10" t="n">
        <f aca="false">Einstellungen!$B$5+INT((ROW()-9)/24)</f>
        <v>46518</v>
      </c>
      <c r="B13276" s="11" t="n">
        <f aca="false">MOD(ROW()-9,24)</f>
        <v>19</v>
      </c>
      <c r="C13276" s="12"/>
      <c r="D13276" s="13" t="n">
        <f aca="false">IF(B13276&lt;5,Einstellungen!$B$3,Einstellungen!$B$4)</f>
        <v>29.13</v>
      </c>
      <c r="E13276" s="14" t="str">
        <f aca="false">IF(C13276="","",C13276*D13276/100)</f>
        <v/>
      </c>
      <c r="F13276" s="15" t="str">
        <f aca="false">IF(B13276&lt;5,"Go","Standard")</f>
        <v>Standard</v>
      </c>
    </row>
    <row r="13277" customFormat="false" ht="15" hidden="false" customHeight="true" outlineLevel="0" collapsed="false">
      <c r="A13277" s="10" t="n">
        <f aca="false">Einstellungen!$B$5+INT((ROW()-9)/24)</f>
        <v>46518</v>
      </c>
      <c r="B13277" s="11" t="n">
        <f aca="false">MOD(ROW()-9,24)</f>
        <v>20</v>
      </c>
      <c r="C13277" s="12"/>
      <c r="D13277" s="13" t="n">
        <f aca="false">IF(B13277&lt;5,Einstellungen!$B$3,Einstellungen!$B$4)</f>
        <v>29.13</v>
      </c>
      <c r="E13277" s="14" t="str">
        <f aca="false">IF(C13277="","",C13277*D13277/100)</f>
        <v/>
      </c>
      <c r="F13277" s="15" t="str">
        <f aca="false">IF(B13277&lt;5,"Go","Standard")</f>
        <v>Standard</v>
      </c>
    </row>
    <row r="13278" customFormat="false" ht="15" hidden="false" customHeight="true" outlineLevel="0" collapsed="false">
      <c r="A13278" s="10" t="n">
        <f aca="false">Einstellungen!$B$5+INT((ROW()-9)/24)</f>
        <v>46518</v>
      </c>
      <c r="B13278" s="11" t="n">
        <f aca="false">MOD(ROW()-9,24)</f>
        <v>21</v>
      </c>
      <c r="C13278" s="12"/>
      <c r="D13278" s="13" t="n">
        <f aca="false">IF(B13278&lt;5,Einstellungen!$B$3,Einstellungen!$B$4)</f>
        <v>29.13</v>
      </c>
      <c r="E13278" s="14" t="str">
        <f aca="false">IF(C13278="","",C13278*D13278/100)</f>
        <v/>
      </c>
      <c r="F13278" s="15" t="str">
        <f aca="false">IF(B13278&lt;5,"Go","Standard")</f>
        <v>Standard</v>
      </c>
    </row>
    <row r="13279" customFormat="false" ht="15" hidden="false" customHeight="true" outlineLevel="0" collapsed="false">
      <c r="A13279" s="10" t="n">
        <f aca="false">Einstellungen!$B$5+INT((ROW()-9)/24)</f>
        <v>46518</v>
      </c>
      <c r="B13279" s="11" t="n">
        <f aca="false">MOD(ROW()-9,24)</f>
        <v>22</v>
      </c>
      <c r="C13279" s="12"/>
      <c r="D13279" s="13" t="n">
        <f aca="false">IF(B13279&lt;5,Einstellungen!$B$3,Einstellungen!$B$4)</f>
        <v>29.13</v>
      </c>
      <c r="E13279" s="14" t="str">
        <f aca="false">IF(C13279="","",C13279*D13279/100)</f>
        <v/>
      </c>
      <c r="F13279" s="15" t="str">
        <f aca="false">IF(B13279&lt;5,"Go","Standard")</f>
        <v>Standard</v>
      </c>
    </row>
    <row r="13280" customFormat="false" ht="15" hidden="false" customHeight="true" outlineLevel="0" collapsed="false">
      <c r="A13280" s="10" t="n">
        <f aca="false">Einstellungen!$B$5+INT((ROW()-9)/24)</f>
        <v>46518</v>
      </c>
      <c r="B13280" s="11" t="n">
        <f aca="false">MOD(ROW()-9,24)</f>
        <v>23</v>
      </c>
      <c r="C13280" s="12"/>
      <c r="D13280" s="13" t="n">
        <f aca="false">IF(B13280&lt;5,Einstellungen!$B$3,Einstellungen!$B$4)</f>
        <v>29.13</v>
      </c>
      <c r="E13280" s="14" t="str">
        <f aca="false">IF(C13280="","",C13280*D13280/100)</f>
        <v/>
      </c>
      <c r="F13280" s="15" t="str">
        <f aca="false">IF(B13280&lt;5,"Go","Standard")</f>
        <v>Standard</v>
      </c>
    </row>
    <row r="13281" customFormat="false" ht="15" hidden="false" customHeight="true" outlineLevel="0" collapsed="false">
      <c r="A13281" s="10" t="n">
        <f aca="false">Einstellungen!$B$5+INT((ROW()-9)/24)</f>
        <v>46519</v>
      </c>
      <c r="B13281" s="11" t="n">
        <f aca="false">MOD(ROW()-9,24)</f>
        <v>0</v>
      </c>
      <c r="C13281" s="12"/>
      <c r="D13281" s="13" t="n">
        <f aca="false">IF(B13281&lt;5,Einstellungen!$B$3,Einstellungen!$B$4)</f>
        <v>15.92</v>
      </c>
      <c r="E13281" s="14" t="str">
        <f aca="false">IF(C13281="","",C13281*D13281/100)</f>
        <v/>
      </c>
      <c r="F13281" s="15" t="str">
        <f aca="false">IF(B13281&lt;5,"Go","Standard")</f>
        <v>Go</v>
      </c>
    </row>
    <row r="13282" customFormat="false" ht="15" hidden="false" customHeight="true" outlineLevel="0" collapsed="false">
      <c r="A13282" s="10" t="n">
        <f aca="false">Einstellungen!$B$5+INT((ROW()-9)/24)</f>
        <v>46519</v>
      </c>
      <c r="B13282" s="11" t="n">
        <f aca="false">MOD(ROW()-9,24)</f>
        <v>1</v>
      </c>
      <c r="C13282" s="12"/>
      <c r="D13282" s="13" t="n">
        <f aca="false">IF(B13282&lt;5,Einstellungen!$B$3,Einstellungen!$B$4)</f>
        <v>15.92</v>
      </c>
      <c r="E13282" s="14" t="str">
        <f aca="false">IF(C13282="","",C13282*D13282/100)</f>
        <v/>
      </c>
      <c r="F13282" s="15" t="str">
        <f aca="false">IF(B13282&lt;5,"Go","Standard")</f>
        <v>Go</v>
      </c>
    </row>
    <row r="13283" customFormat="false" ht="15" hidden="false" customHeight="true" outlineLevel="0" collapsed="false">
      <c r="A13283" s="10" t="n">
        <f aca="false">Einstellungen!$B$5+INT((ROW()-9)/24)</f>
        <v>46519</v>
      </c>
      <c r="B13283" s="11" t="n">
        <f aca="false">MOD(ROW()-9,24)</f>
        <v>2</v>
      </c>
      <c r="C13283" s="12"/>
      <c r="D13283" s="13" t="n">
        <f aca="false">IF(B13283&lt;5,Einstellungen!$B$3,Einstellungen!$B$4)</f>
        <v>15.92</v>
      </c>
      <c r="E13283" s="14" t="str">
        <f aca="false">IF(C13283="","",C13283*D13283/100)</f>
        <v/>
      </c>
      <c r="F13283" s="15" t="str">
        <f aca="false">IF(B13283&lt;5,"Go","Standard")</f>
        <v>Go</v>
      </c>
    </row>
    <row r="13284" customFormat="false" ht="15" hidden="false" customHeight="true" outlineLevel="0" collapsed="false">
      <c r="A13284" s="10" t="n">
        <f aca="false">Einstellungen!$B$5+INT((ROW()-9)/24)</f>
        <v>46519</v>
      </c>
      <c r="B13284" s="11" t="n">
        <f aca="false">MOD(ROW()-9,24)</f>
        <v>3</v>
      </c>
      <c r="C13284" s="12"/>
      <c r="D13284" s="13" t="n">
        <f aca="false">IF(B13284&lt;5,Einstellungen!$B$3,Einstellungen!$B$4)</f>
        <v>15.92</v>
      </c>
      <c r="E13284" s="14" t="str">
        <f aca="false">IF(C13284="","",C13284*D13284/100)</f>
        <v/>
      </c>
      <c r="F13284" s="15" t="str">
        <f aca="false">IF(B13284&lt;5,"Go","Standard")</f>
        <v>Go</v>
      </c>
    </row>
    <row r="13285" customFormat="false" ht="15" hidden="false" customHeight="true" outlineLevel="0" collapsed="false">
      <c r="A13285" s="10" t="n">
        <f aca="false">Einstellungen!$B$5+INT((ROW()-9)/24)</f>
        <v>46519</v>
      </c>
      <c r="B13285" s="11" t="n">
        <f aca="false">MOD(ROW()-9,24)</f>
        <v>4</v>
      </c>
      <c r="C13285" s="12"/>
      <c r="D13285" s="13" t="n">
        <f aca="false">IF(B13285&lt;5,Einstellungen!$B$3,Einstellungen!$B$4)</f>
        <v>15.92</v>
      </c>
      <c r="E13285" s="14" t="str">
        <f aca="false">IF(C13285="","",C13285*D13285/100)</f>
        <v/>
      </c>
      <c r="F13285" s="15" t="str">
        <f aca="false">IF(B13285&lt;5,"Go","Standard")</f>
        <v>Go</v>
      </c>
    </row>
    <row r="13286" customFormat="false" ht="15" hidden="false" customHeight="true" outlineLevel="0" collapsed="false">
      <c r="A13286" s="10" t="n">
        <f aca="false">Einstellungen!$B$5+INT((ROW()-9)/24)</f>
        <v>46519</v>
      </c>
      <c r="B13286" s="11" t="n">
        <f aca="false">MOD(ROW()-9,24)</f>
        <v>5</v>
      </c>
      <c r="C13286" s="12"/>
      <c r="D13286" s="13" t="n">
        <f aca="false">IF(B13286&lt;5,Einstellungen!$B$3,Einstellungen!$B$4)</f>
        <v>29.13</v>
      </c>
      <c r="E13286" s="14" t="str">
        <f aca="false">IF(C13286="","",C13286*D13286/100)</f>
        <v/>
      </c>
      <c r="F13286" s="15" t="str">
        <f aca="false">IF(B13286&lt;5,"Go","Standard")</f>
        <v>Standard</v>
      </c>
    </row>
    <row r="13287" customFormat="false" ht="15" hidden="false" customHeight="true" outlineLevel="0" collapsed="false">
      <c r="A13287" s="10" t="n">
        <f aca="false">Einstellungen!$B$5+INT((ROW()-9)/24)</f>
        <v>46519</v>
      </c>
      <c r="B13287" s="11" t="n">
        <f aca="false">MOD(ROW()-9,24)</f>
        <v>6</v>
      </c>
      <c r="C13287" s="12"/>
      <c r="D13287" s="13" t="n">
        <f aca="false">IF(B13287&lt;5,Einstellungen!$B$3,Einstellungen!$B$4)</f>
        <v>29.13</v>
      </c>
      <c r="E13287" s="14" t="str">
        <f aca="false">IF(C13287="","",C13287*D13287/100)</f>
        <v/>
      </c>
      <c r="F13287" s="15" t="str">
        <f aca="false">IF(B13287&lt;5,"Go","Standard")</f>
        <v>Standard</v>
      </c>
    </row>
    <row r="13288" customFormat="false" ht="15" hidden="false" customHeight="true" outlineLevel="0" collapsed="false">
      <c r="A13288" s="10" t="n">
        <f aca="false">Einstellungen!$B$5+INT((ROW()-9)/24)</f>
        <v>46519</v>
      </c>
      <c r="B13288" s="11" t="n">
        <f aca="false">MOD(ROW()-9,24)</f>
        <v>7</v>
      </c>
      <c r="C13288" s="12"/>
      <c r="D13288" s="13" t="n">
        <f aca="false">IF(B13288&lt;5,Einstellungen!$B$3,Einstellungen!$B$4)</f>
        <v>29.13</v>
      </c>
      <c r="E13288" s="14" t="str">
        <f aca="false">IF(C13288="","",C13288*D13288/100)</f>
        <v/>
      </c>
      <c r="F13288" s="15" t="str">
        <f aca="false">IF(B13288&lt;5,"Go","Standard")</f>
        <v>Standard</v>
      </c>
    </row>
    <row r="13289" customFormat="false" ht="15" hidden="false" customHeight="true" outlineLevel="0" collapsed="false">
      <c r="A13289" s="10" t="n">
        <f aca="false">Einstellungen!$B$5+INT((ROW()-9)/24)</f>
        <v>46519</v>
      </c>
      <c r="B13289" s="11" t="n">
        <f aca="false">MOD(ROW()-9,24)</f>
        <v>8</v>
      </c>
      <c r="C13289" s="12"/>
      <c r="D13289" s="13" t="n">
        <f aca="false">IF(B13289&lt;5,Einstellungen!$B$3,Einstellungen!$B$4)</f>
        <v>29.13</v>
      </c>
      <c r="E13289" s="14" t="str">
        <f aca="false">IF(C13289="","",C13289*D13289/100)</f>
        <v/>
      </c>
      <c r="F13289" s="15" t="str">
        <f aca="false">IF(B13289&lt;5,"Go","Standard")</f>
        <v>Standard</v>
      </c>
    </row>
    <row r="13290" customFormat="false" ht="15" hidden="false" customHeight="true" outlineLevel="0" collapsed="false">
      <c r="A13290" s="10" t="n">
        <f aca="false">Einstellungen!$B$5+INT((ROW()-9)/24)</f>
        <v>46519</v>
      </c>
      <c r="B13290" s="11" t="n">
        <f aca="false">MOD(ROW()-9,24)</f>
        <v>9</v>
      </c>
      <c r="C13290" s="12"/>
      <c r="D13290" s="13" t="n">
        <f aca="false">IF(B13290&lt;5,Einstellungen!$B$3,Einstellungen!$B$4)</f>
        <v>29.13</v>
      </c>
      <c r="E13290" s="14" t="str">
        <f aca="false">IF(C13290="","",C13290*D13290/100)</f>
        <v/>
      </c>
      <c r="F13290" s="15" t="str">
        <f aca="false">IF(B13290&lt;5,"Go","Standard")</f>
        <v>Standard</v>
      </c>
    </row>
    <row r="13291" customFormat="false" ht="15" hidden="false" customHeight="true" outlineLevel="0" collapsed="false">
      <c r="A13291" s="10" t="n">
        <f aca="false">Einstellungen!$B$5+INT((ROW()-9)/24)</f>
        <v>46519</v>
      </c>
      <c r="B13291" s="11" t="n">
        <f aca="false">MOD(ROW()-9,24)</f>
        <v>10</v>
      </c>
      <c r="C13291" s="12"/>
      <c r="D13291" s="13" t="n">
        <f aca="false">IF(B13291&lt;5,Einstellungen!$B$3,Einstellungen!$B$4)</f>
        <v>29.13</v>
      </c>
      <c r="E13291" s="14" t="str">
        <f aca="false">IF(C13291="","",C13291*D13291/100)</f>
        <v/>
      </c>
      <c r="F13291" s="15" t="str">
        <f aca="false">IF(B13291&lt;5,"Go","Standard")</f>
        <v>Standard</v>
      </c>
    </row>
    <row r="13292" customFormat="false" ht="15" hidden="false" customHeight="true" outlineLevel="0" collapsed="false">
      <c r="A13292" s="10" t="n">
        <f aca="false">Einstellungen!$B$5+INT((ROW()-9)/24)</f>
        <v>46519</v>
      </c>
      <c r="B13292" s="11" t="n">
        <f aca="false">MOD(ROW()-9,24)</f>
        <v>11</v>
      </c>
      <c r="C13292" s="12"/>
      <c r="D13292" s="13" t="n">
        <f aca="false">IF(B13292&lt;5,Einstellungen!$B$3,Einstellungen!$B$4)</f>
        <v>29.13</v>
      </c>
      <c r="E13292" s="14" t="str">
        <f aca="false">IF(C13292="","",C13292*D13292/100)</f>
        <v/>
      </c>
      <c r="F13292" s="15" t="str">
        <f aca="false">IF(B13292&lt;5,"Go","Standard")</f>
        <v>Standard</v>
      </c>
    </row>
    <row r="13293" customFormat="false" ht="15" hidden="false" customHeight="true" outlineLevel="0" collapsed="false">
      <c r="A13293" s="10" t="n">
        <f aca="false">Einstellungen!$B$5+INT((ROW()-9)/24)</f>
        <v>46519</v>
      </c>
      <c r="B13293" s="11" t="n">
        <f aca="false">MOD(ROW()-9,24)</f>
        <v>12</v>
      </c>
      <c r="C13293" s="12"/>
      <c r="D13293" s="13" t="n">
        <f aca="false">IF(B13293&lt;5,Einstellungen!$B$3,Einstellungen!$B$4)</f>
        <v>29.13</v>
      </c>
      <c r="E13293" s="14" t="str">
        <f aca="false">IF(C13293="","",C13293*D13293/100)</f>
        <v/>
      </c>
      <c r="F13293" s="15" t="str">
        <f aca="false">IF(B13293&lt;5,"Go","Standard")</f>
        <v>Standard</v>
      </c>
    </row>
    <row r="13294" customFormat="false" ht="15" hidden="false" customHeight="true" outlineLevel="0" collapsed="false">
      <c r="A13294" s="10" t="n">
        <f aca="false">Einstellungen!$B$5+INT((ROW()-9)/24)</f>
        <v>46519</v>
      </c>
      <c r="B13294" s="11" t="n">
        <f aca="false">MOD(ROW()-9,24)</f>
        <v>13</v>
      </c>
      <c r="C13294" s="12"/>
      <c r="D13294" s="13" t="n">
        <f aca="false">IF(B13294&lt;5,Einstellungen!$B$3,Einstellungen!$B$4)</f>
        <v>29.13</v>
      </c>
      <c r="E13294" s="14" t="str">
        <f aca="false">IF(C13294="","",C13294*D13294/100)</f>
        <v/>
      </c>
      <c r="F13294" s="15" t="str">
        <f aca="false">IF(B13294&lt;5,"Go","Standard")</f>
        <v>Standard</v>
      </c>
    </row>
    <row r="13295" customFormat="false" ht="15" hidden="false" customHeight="true" outlineLevel="0" collapsed="false">
      <c r="A13295" s="10" t="n">
        <f aca="false">Einstellungen!$B$5+INT((ROW()-9)/24)</f>
        <v>46519</v>
      </c>
      <c r="B13295" s="11" t="n">
        <f aca="false">MOD(ROW()-9,24)</f>
        <v>14</v>
      </c>
      <c r="C13295" s="12"/>
      <c r="D13295" s="13" t="n">
        <f aca="false">IF(B13295&lt;5,Einstellungen!$B$3,Einstellungen!$B$4)</f>
        <v>29.13</v>
      </c>
      <c r="E13295" s="14" t="str">
        <f aca="false">IF(C13295="","",C13295*D13295/100)</f>
        <v/>
      </c>
      <c r="F13295" s="15" t="str">
        <f aca="false">IF(B13295&lt;5,"Go","Standard")</f>
        <v>Standard</v>
      </c>
    </row>
    <row r="13296" customFormat="false" ht="15" hidden="false" customHeight="true" outlineLevel="0" collapsed="false">
      <c r="A13296" s="10" t="n">
        <f aca="false">Einstellungen!$B$5+INT((ROW()-9)/24)</f>
        <v>46519</v>
      </c>
      <c r="B13296" s="11" t="n">
        <f aca="false">MOD(ROW()-9,24)</f>
        <v>15</v>
      </c>
      <c r="C13296" s="12"/>
      <c r="D13296" s="13" t="n">
        <f aca="false">IF(B13296&lt;5,Einstellungen!$B$3,Einstellungen!$B$4)</f>
        <v>29.13</v>
      </c>
      <c r="E13296" s="14" t="str">
        <f aca="false">IF(C13296="","",C13296*D13296/100)</f>
        <v/>
      </c>
      <c r="F13296" s="15" t="str">
        <f aca="false">IF(B13296&lt;5,"Go","Standard")</f>
        <v>Standard</v>
      </c>
    </row>
    <row r="13297" customFormat="false" ht="15" hidden="false" customHeight="true" outlineLevel="0" collapsed="false">
      <c r="A13297" s="10" t="n">
        <f aca="false">Einstellungen!$B$5+INT((ROW()-9)/24)</f>
        <v>46519</v>
      </c>
      <c r="B13297" s="11" t="n">
        <f aca="false">MOD(ROW()-9,24)</f>
        <v>16</v>
      </c>
      <c r="C13297" s="12"/>
      <c r="D13297" s="13" t="n">
        <f aca="false">IF(B13297&lt;5,Einstellungen!$B$3,Einstellungen!$B$4)</f>
        <v>29.13</v>
      </c>
      <c r="E13297" s="14" t="str">
        <f aca="false">IF(C13297="","",C13297*D13297/100)</f>
        <v/>
      </c>
      <c r="F13297" s="15" t="str">
        <f aca="false">IF(B13297&lt;5,"Go","Standard")</f>
        <v>Standard</v>
      </c>
    </row>
    <row r="13298" customFormat="false" ht="15" hidden="false" customHeight="true" outlineLevel="0" collapsed="false">
      <c r="A13298" s="10" t="n">
        <f aca="false">Einstellungen!$B$5+INT((ROW()-9)/24)</f>
        <v>46519</v>
      </c>
      <c r="B13298" s="11" t="n">
        <f aca="false">MOD(ROW()-9,24)</f>
        <v>17</v>
      </c>
      <c r="C13298" s="12"/>
      <c r="D13298" s="13" t="n">
        <f aca="false">IF(B13298&lt;5,Einstellungen!$B$3,Einstellungen!$B$4)</f>
        <v>29.13</v>
      </c>
      <c r="E13298" s="14" t="str">
        <f aca="false">IF(C13298="","",C13298*D13298/100)</f>
        <v/>
      </c>
      <c r="F13298" s="15" t="str">
        <f aca="false">IF(B13298&lt;5,"Go","Standard")</f>
        <v>Standard</v>
      </c>
    </row>
    <row r="13299" customFormat="false" ht="15" hidden="false" customHeight="true" outlineLevel="0" collapsed="false">
      <c r="A13299" s="10" t="n">
        <f aca="false">Einstellungen!$B$5+INT((ROW()-9)/24)</f>
        <v>46519</v>
      </c>
      <c r="B13299" s="11" t="n">
        <f aca="false">MOD(ROW()-9,24)</f>
        <v>18</v>
      </c>
      <c r="C13299" s="12"/>
      <c r="D13299" s="13" t="n">
        <f aca="false">IF(B13299&lt;5,Einstellungen!$B$3,Einstellungen!$B$4)</f>
        <v>29.13</v>
      </c>
      <c r="E13299" s="14" t="str">
        <f aca="false">IF(C13299="","",C13299*D13299/100)</f>
        <v/>
      </c>
      <c r="F13299" s="15" t="str">
        <f aca="false">IF(B13299&lt;5,"Go","Standard")</f>
        <v>Standard</v>
      </c>
    </row>
    <row r="13300" customFormat="false" ht="15" hidden="false" customHeight="true" outlineLevel="0" collapsed="false">
      <c r="A13300" s="10" t="n">
        <f aca="false">Einstellungen!$B$5+INT((ROW()-9)/24)</f>
        <v>46519</v>
      </c>
      <c r="B13300" s="11" t="n">
        <f aca="false">MOD(ROW()-9,24)</f>
        <v>19</v>
      </c>
      <c r="C13300" s="12"/>
      <c r="D13300" s="13" t="n">
        <f aca="false">IF(B13300&lt;5,Einstellungen!$B$3,Einstellungen!$B$4)</f>
        <v>29.13</v>
      </c>
      <c r="E13300" s="14" t="str">
        <f aca="false">IF(C13300="","",C13300*D13300/100)</f>
        <v/>
      </c>
      <c r="F13300" s="15" t="str">
        <f aca="false">IF(B13300&lt;5,"Go","Standard")</f>
        <v>Standard</v>
      </c>
    </row>
    <row r="13301" customFormat="false" ht="15" hidden="false" customHeight="true" outlineLevel="0" collapsed="false">
      <c r="A13301" s="10" t="n">
        <f aca="false">Einstellungen!$B$5+INT((ROW()-9)/24)</f>
        <v>46519</v>
      </c>
      <c r="B13301" s="11" t="n">
        <f aca="false">MOD(ROW()-9,24)</f>
        <v>20</v>
      </c>
      <c r="C13301" s="12"/>
      <c r="D13301" s="13" t="n">
        <f aca="false">IF(B13301&lt;5,Einstellungen!$B$3,Einstellungen!$B$4)</f>
        <v>29.13</v>
      </c>
      <c r="E13301" s="14" t="str">
        <f aca="false">IF(C13301="","",C13301*D13301/100)</f>
        <v/>
      </c>
      <c r="F13301" s="15" t="str">
        <f aca="false">IF(B13301&lt;5,"Go","Standard")</f>
        <v>Standard</v>
      </c>
    </row>
    <row r="13302" customFormat="false" ht="15" hidden="false" customHeight="true" outlineLevel="0" collapsed="false">
      <c r="A13302" s="10" t="n">
        <f aca="false">Einstellungen!$B$5+INT((ROW()-9)/24)</f>
        <v>46519</v>
      </c>
      <c r="B13302" s="11" t="n">
        <f aca="false">MOD(ROW()-9,24)</f>
        <v>21</v>
      </c>
      <c r="C13302" s="12"/>
      <c r="D13302" s="13" t="n">
        <f aca="false">IF(B13302&lt;5,Einstellungen!$B$3,Einstellungen!$B$4)</f>
        <v>29.13</v>
      </c>
      <c r="E13302" s="14" t="str">
        <f aca="false">IF(C13302="","",C13302*D13302/100)</f>
        <v/>
      </c>
      <c r="F13302" s="15" t="str">
        <f aca="false">IF(B13302&lt;5,"Go","Standard")</f>
        <v>Standard</v>
      </c>
    </row>
    <row r="13303" customFormat="false" ht="15" hidden="false" customHeight="true" outlineLevel="0" collapsed="false">
      <c r="A13303" s="10" t="n">
        <f aca="false">Einstellungen!$B$5+INT((ROW()-9)/24)</f>
        <v>46519</v>
      </c>
      <c r="B13303" s="11" t="n">
        <f aca="false">MOD(ROW()-9,24)</f>
        <v>22</v>
      </c>
      <c r="C13303" s="12"/>
      <c r="D13303" s="13" t="n">
        <f aca="false">IF(B13303&lt;5,Einstellungen!$B$3,Einstellungen!$B$4)</f>
        <v>29.13</v>
      </c>
      <c r="E13303" s="14" t="str">
        <f aca="false">IF(C13303="","",C13303*D13303/100)</f>
        <v/>
      </c>
      <c r="F13303" s="15" t="str">
        <f aca="false">IF(B13303&lt;5,"Go","Standard")</f>
        <v>Standard</v>
      </c>
    </row>
    <row r="13304" customFormat="false" ht="15" hidden="false" customHeight="true" outlineLevel="0" collapsed="false">
      <c r="A13304" s="10" t="n">
        <f aca="false">Einstellungen!$B$5+INT((ROW()-9)/24)</f>
        <v>46519</v>
      </c>
      <c r="B13304" s="11" t="n">
        <f aca="false">MOD(ROW()-9,24)</f>
        <v>23</v>
      </c>
      <c r="C13304" s="12"/>
      <c r="D13304" s="13" t="n">
        <f aca="false">IF(B13304&lt;5,Einstellungen!$B$3,Einstellungen!$B$4)</f>
        <v>29.13</v>
      </c>
      <c r="E13304" s="14" t="str">
        <f aca="false">IF(C13304="","",C13304*D13304/100)</f>
        <v/>
      </c>
      <c r="F13304" s="15" t="str">
        <f aca="false">IF(B13304&lt;5,"Go","Standard")</f>
        <v>Standard</v>
      </c>
    </row>
    <row r="13305" customFormat="false" ht="15" hidden="false" customHeight="true" outlineLevel="0" collapsed="false">
      <c r="A13305" s="10" t="n">
        <f aca="false">Einstellungen!$B$5+INT((ROW()-9)/24)</f>
        <v>46520</v>
      </c>
      <c r="B13305" s="11" t="n">
        <f aca="false">MOD(ROW()-9,24)</f>
        <v>0</v>
      </c>
      <c r="C13305" s="12"/>
      <c r="D13305" s="13" t="n">
        <f aca="false">IF(B13305&lt;5,Einstellungen!$B$3,Einstellungen!$B$4)</f>
        <v>15.92</v>
      </c>
      <c r="E13305" s="14" t="str">
        <f aca="false">IF(C13305="","",C13305*D13305/100)</f>
        <v/>
      </c>
      <c r="F13305" s="15" t="str">
        <f aca="false">IF(B13305&lt;5,"Go","Standard")</f>
        <v>Go</v>
      </c>
    </row>
    <row r="13306" customFormat="false" ht="15" hidden="false" customHeight="true" outlineLevel="0" collapsed="false">
      <c r="A13306" s="10" t="n">
        <f aca="false">Einstellungen!$B$5+INT((ROW()-9)/24)</f>
        <v>46520</v>
      </c>
      <c r="B13306" s="11" t="n">
        <f aca="false">MOD(ROW()-9,24)</f>
        <v>1</v>
      </c>
      <c r="C13306" s="12"/>
      <c r="D13306" s="13" t="n">
        <f aca="false">IF(B13306&lt;5,Einstellungen!$B$3,Einstellungen!$B$4)</f>
        <v>15.92</v>
      </c>
      <c r="E13306" s="14" t="str">
        <f aca="false">IF(C13306="","",C13306*D13306/100)</f>
        <v/>
      </c>
      <c r="F13306" s="15" t="str">
        <f aca="false">IF(B13306&lt;5,"Go","Standard")</f>
        <v>Go</v>
      </c>
    </row>
    <row r="13307" customFormat="false" ht="15" hidden="false" customHeight="true" outlineLevel="0" collapsed="false">
      <c r="A13307" s="10" t="n">
        <f aca="false">Einstellungen!$B$5+INT((ROW()-9)/24)</f>
        <v>46520</v>
      </c>
      <c r="B13307" s="11" t="n">
        <f aca="false">MOD(ROW()-9,24)</f>
        <v>2</v>
      </c>
      <c r="C13307" s="12"/>
      <c r="D13307" s="13" t="n">
        <f aca="false">IF(B13307&lt;5,Einstellungen!$B$3,Einstellungen!$B$4)</f>
        <v>15.92</v>
      </c>
      <c r="E13307" s="14" t="str">
        <f aca="false">IF(C13307="","",C13307*D13307/100)</f>
        <v/>
      </c>
      <c r="F13307" s="15" t="str">
        <f aca="false">IF(B13307&lt;5,"Go","Standard")</f>
        <v>Go</v>
      </c>
    </row>
    <row r="13308" customFormat="false" ht="15" hidden="false" customHeight="true" outlineLevel="0" collapsed="false">
      <c r="A13308" s="10" t="n">
        <f aca="false">Einstellungen!$B$5+INT((ROW()-9)/24)</f>
        <v>46520</v>
      </c>
      <c r="B13308" s="11" t="n">
        <f aca="false">MOD(ROW()-9,24)</f>
        <v>3</v>
      </c>
      <c r="C13308" s="12"/>
      <c r="D13308" s="13" t="n">
        <f aca="false">IF(B13308&lt;5,Einstellungen!$B$3,Einstellungen!$B$4)</f>
        <v>15.92</v>
      </c>
      <c r="E13308" s="14" t="str">
        <f aca="false">IF(C13308="","",C13308*D13308/100)</f>
        <v/>
      </c>
      <c r="F13308" s="15" t="str">
        <f aca="false">IF(B13308&lt;5,"Go","Standard")</f>
        <v>Go</v>
      </c>
    </row>
    <row r="13309" customFormat="false" ht="15" hidden="false" customHeight="true" outlineLevel="0" collapsed="false">
      <c r="A13309" s="10" t="n">
        <f aca="false">Einstellungen!$B$5+INT((ROW()-9)/24)</f>
        <v>46520</v>
      </c>
      <c r="B13309" s="11" t="n">
        <f aca="false">MOD(ROW()-9,24)</f>
        <v>4</v>
      </c>
      <c r="C13309" s="12"/>
      <c r="D13309" s="13" t="n">
        <f aca="false">IF(B13309&lt;5,Einstellungen!$B$3,Einstellungen!$B$4)</f>
        <v>15.92</v>
      </c>
      <c r="E13309" s="14" t="str">
        <f aca="false">IF(C13309="","",C13309*D13309/100)</f>
        <v/>
      </c>
      <c r="F13309" s="15" t="str">
        <f aca="false">IF(B13309&lt;5,"Go","Standard")</f>
        <v>Go</v>
      </c>
    </row>
    <row r="13310" customFormat="false" ht="15" hidden="false" customHeight="true" outlineLevel="0" collapsed="false">
      <c r="A13310" s="10" t="n">
        <f aca="false">Einstellungen!$B$5+INT((ROW()-9)/24)</f>
        <v>46520</v>
      </c>
      <c r="B13310" s="11" t="n">
        <f aca="false">MOD(ROW()-9,24)</f>
        <v>5</v>
      </c>
      <c r="C13310" s="12"/>
      <c r="D13310" s="13" t="n">
        <f aca="false">IF(B13310&lt;5,Einstellungen!$B$3,Einstellungen!$B$4)</f>
        <v>29.13</v>
      </c>
      <c r="E13310" s="14" t="str">
        <f aca="false">IF(C13310="","",C13310*D13310/100)</f>
        <v/>
      </c>
      <c r="F13310" s="15" t="str">
        <f aca="false">IF(B13310&lt;5,"Go","Standard")</f>
        <v>Standard</v>
      </c>
    </row>
    <row r="13311" customFormat="false" ht="15" hidden="false" customHeight="true" outlineLevel="0" collapsed="false">
      <c r="A13311" s="10" t="n">
        <f aca="false">Einstellungen!$B$5+INT((ROW()-9)/24)</f>
        <v>46520</v>
      </c>
      <c r="B13311" s="11" t="n">
        <f aca="false">MOD(ROW()-9,24)</f>
        <v>6</v>
      </c>
      <c r="C13311" s="12"/>
      <c r="D13311" s="13" t="n">
        <f aca="false">IF(B13311&lt;5,Einstellungen!$B$3,Einstellungen!$B$4)</f>
        <v>29.13</v>
      </c>
      <c r="E13311" s="14" t="str">
        <f aca="false">IF(C13311="","",C13311*D13311/100)</f>
        <v/>
      </c>
      <c r="F13311" s="15" t="str">
        <f aca="false">IF(B13311&lt;5,"Go","Standard")</f>
        <v>Standard</v>
      </c>
    </row>
    <row r="13312" customFormat="false" ht="15" hidden="false" customHeight="true" outlineLevel="0" collapsed="false">
      <c r="A13312" s="10" t="n">
        <f aca="false">Einstellungen!$B$5+INT((ROW()-9)/24)</f>
        <v>46520</v>
      </c>
      <c r="B13312" s="11" t="n">
        <f aca="false">MOD(ROW()-9,24)</f>
        <v>7</v>
      </c>
      <c r="C13312" s="12"/>
      <c r="D13312" s="13" t="n">
        <f aca="false">IF(B13312&lt;5,Einstellungen!$B$3,Einstellungen!$B$4)</f>
        <v>29.13</v>
      </c>
      <c r="E13312" s="14" t="str">
        <f aca="false">IF(C13312="","",C13312*D13312/100)</f>
        <v/>
      </c>
      <c r="F13312" s="15" t="str">
        <f aca="false">IF(B13312&lt;5,"Go","Standard")</f>
        <v>Standard</v>
      </c>
    </row>
    <row r="13313" customFormat="false" ht="15" hidden="false" customHeight="true" outlineLevel="0" collapsed="false">
      <c r="A13313" s="10" t="n">
        <f aca="false">Einstellungen!$B$5+INT((ROW()-9)/24)</f>
        <v>46520</v>
      </c>
      <c r="B13313" s="11" t="n">
        <f aca="false">MOD(ROW()-9,24)</f>
        <v>8</v>
      </c>
      <c r="C13313" s="12"/>
      <c r="D13313" s="13" t="n">
        <f aca="false">IF(B13313&lt;5,Einstellungen!$B$3,Einstellungen!$B$4)</f>
        <v>29.13</v>
      </c>
      <c r="E13313" s="14" t="str">
        <f aca="false">IF(C13313="","",C13313*D13313/100)</f>
        <v/>
      </c>
      <c r="F13313" s="15" t="str">
        <f aca="false">IF(B13313&lt;5,"Go","Standard")</f>
        <v>Standard</v>
      </c>
    </row>
    <row r="13314" customFormat="false" ht="15" hidden="false" customHeight="true" outlineLevel="0" collapsed="false">
      <c r="A13314" s="10" t="n">
        <f aca="false">Einstellungen!$B$5+INT((ROW()-9)/24)</f>
        <v>46520</v>
      </c>
      <c r="B13314" s="11" t="n">
        <f aca="false">MOD(ROW()-9,24)</f>
        <v>9</v>
      </c>
      <c r="C13314" s="12"/>
      <c r="D13314" s="13" t="n">
        <f aca="false">IF(B13314&lt;5,Einstellungen!$B$3,Einstellungen!$B$4)</f>
        <v>29.13</v>
      </c>
      <c r="E13314" s="14" t="str">
        <f aca="false">IF(C13314="","",C13314*D13314/100)</f>
        <v/>
      </c>
      <c r="F13314" s="15" t="str">
        <f aca="false">IF(B13314&lt;5,"Go","Standard")</f>
        <v>Standard</v>
      </c>
    </row>
    <row r="13315" customFormat="false" ht="15" hidden="false" customHeight="true" outlineLevel="0" collapsed="false">
      <c r="A13315" s="10" t="n">
        <f aca="false">Einstellungen!$B$5+INT((ROW()-9)/24)</f>
        <v>46520</v>
      </c>
      <c r="B13315" s="11" t="n">
        <f aca="false">MOD(ROW()-9,24)</f>
        <v>10</v>
      </c>
      <c r="C13315" s="12"/>
      <c r="D13315" s="13" t="n">
        <f aca="false">IF(B13315&lt;5,Einstellungen!$B$3,Einstellungen!$B$4)</f>
        <v>29.13</v>
      </c>
      <c r="E13315" s="14" t="str">
        <f aca="false">IF(C13315="","",C13315*D13315/100)</f>
        <v/>
      </c>
      <c r="F13315" s="15" t="str">
        <f aca="false">IF(B13315&lt;5,"Go","Standard")</f>
        <v>Standard</v>
      </c>
    </row>
    <row r="13316" customFormat="false" ht="15" hidden="false" customHeight="true" outlineLevel="0" collapsed="false">
      <c r="A13316" s="10" t="n">
        <f aca="false">Einstellungen!$B$5+INT((ROW()-9)/24)</f>
        <v>46520</v>
      </c>
      <c r="B13316" s="11" t="n">
        <f aca="false">MOD(ROW()-9,24)</f>
        <v>11</v>
      </c>
      <c r="C13316" s="12"/>
      <c r="D13316" s="13" t="n">
        <f aca="false">IF(B13316&lt;5,Einstellungen!$B$3,Einstellungen!$B$4)</f>
        <v>29.13</v>
      </c>
      <c r="E13316" s="14" t="str">
        <f aca="false">IF(C13316="","",C13316*D13316/100)</f>
        <v/>
      </c>
      <c r="F13316" s="15" t="str">
        <f aca="false">IF(B13316&lt;5,"Go","Standard")</f>
        <v>Standard</v>
      </c>
    </row>
    <row r="13317" customFormat="false" ht="15" hidden="false" customHeight="true" outlineLevel="0" collapsed="false">
      <c r="A13317" s="10" t="n">
        <f aca="false">Einstellungen!$B$5+INT((ROW()-9)/24)</f>
        <v>46520</v>
      </c>
      <c r="B13317" s="11" t="n">
        <f aca="false">MOD(ROW()-9,24)</f>
        <v>12</v>
      </c>
      <c r="C13317" s="12"/>
      <c r="D13317" s="13" t="n">
        <f aca="false">IF(B13317&lt;5,Einstellungen!$B$3,Einstellungen!$B$4)</f>
        <v>29.13</v>
      </c>
      <c r="E13317" s="14" t="str">
        <f aca="false">IF(C13317="","",C13317*D13317/100)</f>
        <v/>
      </c>
      <c r="F13317" s="15" t="str">
        <f aca="false">IF(B13317&lt;5,"Go","Standard")</f>
        <v>Standard</v>
      </c>
    </row>
    <row r="13318" customFormat="false" ht="15" hidden="false" customHeight="true" outlineLevel="0" collapsed="false">
      <c r="A13318" s="10" t="n">
        <f aca="false">Einstellungen!$B$5+INT((ROW()-9)/24)</f>
        <v>46520</v>
      </c>
      <c r="B13318" s="11" t="n">
        <f aca="false">MOD(ROW()-9,24)</f>
        <v>13</v>
      </c>
      <c r="C13318" s="12"/>
      <c r="D13318" s="13" t="n">
        <f aca="false">IF(B13318&lt;5,Einstellungen!$B$3,Einstellungen!$B$4)</f>
        <v>29.13</v>
      </c>
      <c r="E13318" s="14" t="str">
        <f aca="false">IF(C13318="","",C13318*D13318/100)</f>
        <v/>
      </c>
      <c r="F13318" s="15" t="str">
        <f aca="false">IF(B13318&lt;5,"Go","Standard")</f>
        <v>Standard</v>
      </c>
    </row>
    <row r="13319" customFormat="false" ht="15" hidden="false" customHeight="true" outlineLevel="0" collapsed="false">
      <c r="A13319" s="10" t="n">
        <f aca="false">Einstellungen!$B$5+INT((ROW()-9)/24)</f>
        <v>46520</v>
      </c>
      <c r="B13319" s="11" t="n">
        <f aca="false">MOD(ROW()-9,24)</f>
        <v>14</v>
      </c>
      <c r="C13319" s="12"/>
      <c r="D13319" s="13" t="n">
        <f aca="false">IF(B13319&lt;5,Einstellungen!$B$3,Einstellungen!$B$4)</f>
        <v>29.13</v>
      </c>
      <c r="E13319" s="14" t="str">
        <f aca="false">IF(C13319="","",C13319*D13319/100)</f>
        <v/>
      </c>
      <c r="F13319" s="15" t="str">
        <f aca="false">IF(B13319&lt;5,"Go","Standard")</f>
        <v>Standard</v>
      </c>
    </row>
    <row r="13320" customFormat="false" ht="15" hidden="false" customHeight="true" outlineLevel="0" collapsed="false">
      <c r="A13320" s="10" t="n">
        <f aca="false">Einstellungen!$B$5+INT((ROW()-9)/24)</f>
        <v>46520</v>
      </c>
      <c r="B13320" s="11" t="n">
        <f aca="false">MOD(ROW()-9,24)</f>
        <v>15</v>
      </c>
      <c r="C13320" s="12"/>
      <c r="D13320" s="13" t="n">
        <f aca="false">IF(B13320&lt;5,Einstellungen!$B$3,Einstellungen!$B$4)</f>
        <v>29.13</v>
      </c>
      <c r="E13320" s="14" t="str">
        <f aca="false">IF(C13320="","",C13320*D13320/100)</f>
        <v/>
      </c>
      <c r="F13320" s="15" t="str">
        <f aca="false">IF(B13320&lt;5,"Go","Standard")</f>
        <v>Standard</v>
      </c>
    </row>
    <row r="13321" customFormat="false" ht="15" hidden="false" customHeight="true" outlineLevel="0" collapsed="false">
      <c r="A13321" s="10" t="n">
        <f aca="false">Einstellungen!$B$5+INT((ROW()-9)/24)</f>
        <v>46520</v>
      </c>
      <c r="B13321" s="11" t="n">
        <f aca="false">MOD(ROW()-9,24)</f>
        <v>16</v>
      </c>
      <c r="C13321" s="12"/>
      <c r="D13321" s="13" t="n">
        <f aca="false">IF(B13321&lt;5,Einstellungen!$B$3,Einstellungen!$B$4)</f>
        <v>29.13</v>
      </c>
      <c r="E13321" s="14" t="str">
        <f aca="false">IF(C13321="","",C13321*D13321/100)</f>
        <v/>
      </c>
      <c r="F13321" s="15" t="str">
        <f aca="false">IF(B13321&lt;5,"Go","Standard")</f>
        <v>Standard</v>
      </c>
    </row>
    <row r="13322" customFormat="false" ht="15" hidden="false" customHeight="true" outlineLevel="0" collapsed="false">
      <c r="A13322" s="10" t="n">
        <f aca="false">Einstellungen!$B$5+INT((ROW()-9)/24)</f>
        <v>46520</v>
      </c>
      <c r="B13322" s="11" t="n">
        <f aca="false">MOD(ROW()-9,24)</f>
        <v>17</v>
      </c>
      <c r="C13322" s="12"/>
      <c r="D13322" s="13" t="n">
        <f aca="false">IF(B13322&lt;5,Einstellungen!$B$3,Einstellungen!$B$4)</f>
        <v>29.13</v>
      </c>
      <c r="E13322" s="14" t="str">
        <f aca="false">IF(C13322="","",C13322*D13322/100)</f>
        <v/>
      </c>
      <c r="F13322" s="15" t="str">
        <f aca="false">IF(B13322&lt;5,"Go","Standard")</f>
        <v>Standard</v>
      </c>
    </row>
    <row r="13323" customFormat="false" ht="15" hidden="false" customHeight="true" outlineLevel="0" collapsed="false">
      <c r="A13323" s="10" t="n">
        <f aca="false">Einstellungen!$B$5+INT((ROW()-9)/24)</f>
        <v>46520</v>
      </c>
      <c r="B13323" s="11" t="n">
        <f aca="false">MOD(ROW()-9,24)</f>
        <v>18</v>
      </c>
      <c r="C13323" s="12"/>
      <c r="D13323" s="13" t="n">
        <f aca="false">IF(B13323&lt;5,Einstellungen!$B$3,Einstellungen!$B$4)</f>
        <v>29.13</v>
      </c>
      <c r="E13323" s="14" t="str">
        <f aca="false">IF(C13323="","",C13323*D13323/100)</f>
        <v/>
      </c>
      <c r="F13323" s="15" t="str">
        <f aca="false">IF(B13323&lt;5,"Go","Standard")</f>
        <v>Standard</v>
      </c>
    </row>
    <row r="13324" customFormat="false" ht="15" hidden="false" customHeight="true" outlineLevel="0" collapsed="false">
      <c r="A13324" s="10" t="n">
        <f aca="false">Einstellungen!$B$5+INT((ROW()-9)/24)</f>
        <v>46520</v>
      </c>
      <c r="B13324" s="11" t="n">
        <f aca="false">MOD(ROW()-9,24)</f>
        <v>19</v>
      </c>
      <c r="C13324" s="12"/>
      <c r="D13324" s="13" t="n">
        <f aca="false">IF(B13324&lt;5,Einstellungen!$B$3,Einstellungen!$B$4)</f>
        <v>29.13</v>
      </c>
      <c r="E13324" s="14" t="str">
        <f aca="false">IF(C13324="","",C13324*D13324/100)</f>
        <v/>
      </c>
      <c r="F13324" s="15" t="str">
        <f aca="false">IF(B13324&lt;5,"Go","Standard")</f>
        <v>Standard</v>
      </c>
    </row>
    <row r="13325" customFormat="false" ht="15" hidden="false" customHeight="true" outlineLevel="0" collapsed="false">
      <c r="A13325" s="10" t="n">
        <f aca="false">Einstellungen!$B$5+INT((ROW()-9)/24)</f>
        <v>46520</v>
      </c>
      <c r="B13325" s="11" t="n">
        <f aca="false">MOD(ROW()-9,24)</f>
        <v>20</v>
      </c>
      <c r="C13325" s="12"/>
      <c r="D13325" s="13" t="n">
        <f aca="false">IF(B13325&lt;5,Einstellungen!$B$3,Einstellungen!$B$4)</f>
        <v>29.13</v>
      </c>
      <c r="E13325" s="14" t="str">
        <f aca="false">IF(C13325="","",C13325*D13325/100)</f>
        <v/>
      </c>
      <c r="F13325" s="15" t="str">
        <f aca="false">IF(B13325&lt;5,"Go","Standard")</f>
        <v>Standard</v>
      </c>
    </row>
    <row r="13326" customFormat="false" ht="15" hidden="false" customHeight="true" outlineLevel="0" collapsed="false">
      <c r="A13326" s="10" t="n">
        <f aca="false">Einstellungen!$B$5+INT((ROW()-9)/24)</f>
        <v>46520</v>
      </c>
      <c r="B13326" s="11" t="n">
        <f aca="false">MOD(ROW()-9,24)</f>
        <v>21</v>
      </c>
      <c r="C13326" s="12"/>
      <c r="D13326" s="13" t="n">
        <f aca="false">IF(B13326&lt;5,Einstellungen!$B$3,Einstellungen!$B$4)</f>
        <v>29.13</v>
      </c>
      <c r="E13326" s="14" t="str">
        <f aca="false">IF(C13326="","",C13326*D13326/100)</f>
        <v/>
      </c>
      <c r="F13326" s="15" t="str">
        <f aca="false">IF(B13326&lt;5,"Go","Standard")</f>
        <v>Standard</v>
      </c>
    </row>
    <row r="13327" customFormat="false" ht="15" hidden="false" customHeight="true" outlineLevel="0" collapsed="false">
      <c r="A13327" s="10" t="n">
        <f aca="false">Einstellungen!$B$5+INT((ROW()-9)/24)</f>
        <v>46520</v>
      </c>
      <c r="B13327" s="11" t="n">
        <f aca="false">MOD(ROW()-9,24)</f>
        <v>22</v>
      </c>
      <c r="C13327" s="12"/>
      <c r="D13327" s="13" t="n">
        <f aca="false">IF(B13327&lt;5,Einstellungen!$B$3,Einstellungen!$B$4)</f>
        <v>29.13</v>
      </c>
      <c r="E13327" s="14" t="str">
        <f aca="false">IF(C13327="","",C13327*D13327/100)</f>
        <v/>
      </c>
      <c r="F13327" s="15" t="str">
        <f aca="false">IF(B13327&lt;5,"Go","Standard")</f>
        <v>Standard</v>
      </c>
    </row>
    <row r="13328" customFormat="false" ht="15" hidden="false" customHeight="true" outlineLevel="0" collapsed="false">
      <c r="A13328" s="10" t="n">
        <f aca="false">Einstellungen!$B$5+INT((ROW()-9)/24)</f>
        <v>46520</v>
      </c>
      <c r="B13328" s="11" t="n">
        <f aca="false">MOD(ROW()-9,24)</f>
        <v>23</v>
      </c>
      <c r="C13328" s="12"/>
      <c r="D13328" s="13" t="n">
        <f aca="false">IF(B13328&lt;5,Einstellungen!$B$3,Einstellungen!$B$4)</f>
        <v>29.13</v>
      </c>
      <c r="E13328" s="14" t="str">
        <f aca="false">IF(C13328="","",C13328*D13328/100)</f>
        <v/>
      </c>
      <c r="F13328" s="15" t="str">
        <f aca="false">IF(B13328&lt;5,"Go","Standard")</f>
        <v>Standard</v>
      </c>
    </row>
    <row r="13329" customFormat="false" ht="15" hidden="false" customHeight="true" outlineLevel="0" collapsed="false">
      <c r="A13329" s="10" t="n">
        <f aca="false">Einstellungen!$B$5+INT((ROW()-9)/24)</f>
        <v>46521</v>
      </c>
      <c r="B13329" s="11" t="n">
        <f aca="false">MOD(ROW()-9,24)</f>
        <v>0</v>
      </c>
      <c r="C13329" s="12"/>
      <c r="D13329" s="13" t="n">
        <f aca="false">IF(B13329&lt;5,Einstellungen!$B$3,Einstellungen!$B$4)</f>
        <v>15.92</v>
      </c>
      <c r="E13329" s="14" t="str">
        <f aca="false">IF(C13329="","",C13329*D13329/100)</f>
        <v/>
      </c>
      <c r="F13329" s="15" t="str">
        <f aca="false">IF(B13329&lt;5,"Go","Standard")</f>
        <v>Go</v>
      </c>
    </row>
    <row r="13330" customFormat="false" ht="15" hidden="false" customHeight="true" outlineLevel="0" collapsed="false">
      <c r="A13330" s="10" t="n">
        <f aca="false">Einstellungen!$B$5+INT((ROW()-9)/24)</f>
        <v>46521</v>
      </c>
      <c r="B13330" s="11" t="n">
        <f aca="false">MOD(ROW()-9,24)</f>
        <v>1</v>
      </c>
      <c r="C13330" s="12"/>
      <c r="D13330" s="13" t="n">
        <f aca="false">IF(B13330&lt;5,Einstellungen!$B$3,Einstellungen!$B$4)</f>
        <v>15.92</v>
      </c>
      <c r="E13330" s="14" t="str">
        <f aca="false">IF(C13330="","",C13330*D13330/100)</f>
        <v/>
      </c>
      <c r="F13330" s="15" t="str">
        <f aca="false">IF(B13330&lt;5,"Go","Standard")</f>
        <v>Go</v>
      </c>
    </row>
    <row r="13331" customFormat="false" ht="15" hidden="false" customHeight="true" outlineLevel="0" collapsed="false">
      <c r="A13331" s="10" t="n">
        <f aca="false">Einstellungen!$B$5+INT((ROW()-9)/24)</f>
        <v>46521</v>
      </c>
      <c r="B13331" s="11" t="n">
        <f aca="false">MOD(ROW()-9,24)</f>
        <v>2</v>
      </c>
      <c r="C13331" s="12"/>
      <c r="D13331" s="13" t="n">
        <f aca="false">IF(B13331&lt;5,Einstellungen!$B$3,Einstellungen!$B$4)</f>
        <v>15.92</v>
      </c>
      <c r="E13331" s="14" t="str">
        <f aca="false">IF(C13331="","",C13331*D13331/100)</f>
        <v/>
      </c>
      <c r="F13331" s="15" t="str">
        <f aca="false">IF(B13331&lt;5,"Go","Standard")</f>
        <v>Go</v>
      </c>
    </row>
    <row r="13332" customFormat="false" ht="15" hidden="false" customHeight="true" outlineLevel="0" collapsed="false">
      <c r="A13332" s="10" t="n">
        <f aca="false">Einstellungen!$B$5+INT((ROW()-9)/24)</f>
        <v>46521</v>
      </c>
      <c r="B13332" s="11" t="n">
        <f aca="false">MOD(ROW()-9,24)</f>
        <v>3</v>
      </c>
      <c r="C13332" s="12"/>
      <c r="D13332" s="13" t="n">
        <f aca="false">IF(B13332&lt;5,Einstellungen!$B$3,Einstellungen!$B$4)</f>
        <v>15.92</v>
      </c>
      <c r="E13332" s="14" t="str">
        <f aca="false">IF(C13332="","",C13332*D13332/100)</f>
        <v/>
      </c>
      <c r="F13332" s="15" t="str">
        <f aca="false">IF(B13332&lt;5,"Go","Standard")</f>
        <v>Go</v>
      </c>
    </row>
    <row r="13333" customFormat="false" ht="15" hidden="false" customHeight="true" outlineLevel="0" collapsed="false">
      <c r="A13333" s="10" t="n">
        <f aca="false">Einstellungen!$B$5+INT((ROW()-9)/24)</f>
        <v>46521</v>
      </c>
      <c r="B13333" s="11" t="n">
        <f aca="false">MOD(ROW()-9,24)</f>
        <v>4</v>
      </c>
      <c r="C13333" s="12"/>
      <c r="D13333" s="13" t="n">
        <f aca="false">IF(B13333&lt;5,Einstellungen!$B$3,Einstellungen!$B$4)</f>
        <v>15.92</v>
      </c>
      <c r="E13333" s="14" t="str">
        <f aca="false">IF(C13333="","",C13333*D13333/100)</f>
        <v/>
      </c>
      <c r="F13333" s="15" t="str">
        <f aca="false">IF(B13333&lt;5,"Go","Standard")</f>
        <v>Go</v>
      </c>
    </row>
    <row r="13334" customFormat="false" ht="15" hidden="false" customHeight="true" outlineLevel="0" collapsed="false">
      <c r="A13334" s="10" t="n">
        <f aca="false">Einstellungen!$B$5+INT((ROW()-9)/24)</f>
        <v>46521</v>
      </c>
      <c r="B13334" s="11" t="n">
        <f aca="false">MOD(ROW()-9,24)</f>
        <v>5</v>
      </c>
      <c r="C13334" s="12"/>
      <c r="D13334" s="13" t="n">
        <f aca="false">IF(B13334&lt;5,Einstellungen!$B$3,Einstellungen!$B$4)</f>
        <v>29.13</v>
      </c>
      <c r="E13334" s="14" t="str">
        <f aca="false">IF(C13334="","",C13334*D13334/100)</f>
        <v/>
      </c>
      <c r="F13334" s="15" t="str">
        <f aca="false">IF(B13334&lt;5,"Go","Standard")</f>
        <v>Standard</v>
      </c>
    </row>
    <row r="13335" customFormat="false" ht="15" hidden="false" customHeight="true" outlineLevel="0" collapsed="false">
      <c r="A13335" s="10" t="n">
        <f aca="false">Einstellungen!$B$5+INT((ROW()-9)/24)</f>
        <v>46521</v>
      </c>
      <c r="B13335" s="11" t="n">
        <f aca="false">MOD(ROW()-9,24)</f>
        <v>6</v>
      </c>
      <c r="C13335" s="12"/>
      <c r="D13335" s="13" t="n">
        <f aca="false">IF(B13335&lt;5,Einstellungen!$B$3,Einstellungen!$B$4)</f>
        <v>29.13</v>
      </c>
      <c r="E13335" s="14" t="str">
        <f aca="false">IF(C13335="","",C13335*D13335/100)</f>
        <v/>
      </c>
      <c r="F13335" s="15" t="str">
        <f aca="false">IF(B13335&lt;5,"Go","Standard")</f>
        <v>Standard</v>
      </c>
    </row>
    <row r="13336" customFormat="false" ht="15" hidden="false" customHeight="true" outlineLevel="0" collapsed="false">
      <c r="A13336" s="10" t="n">
        <f aca="false">Einstellungen!$B$5+INT((ROW()-9)/24)</f>
        <v>46521</v>
      </c>
      <c r="B13336" s="11" t="n">
        <f aca="false">MOD(ROW()-9,24)</f>
        <v>7</v>
      </c>
      <c r="C13336" s="12"/>
      <c r="D13336" s="13" t="n">
        <f aca="false">IF(B13336&lt;5,Einstellungen!$B$3,Einstellungen!$B$4)</f>
        <v>29.13</v>
      </c>
      <c r="E13336" s="14" t="str">
        <f aca="false">IF(C13336="","",C13336*D13336/100)</f>
        <v/>
      </c>
      <c r="F13336" s="15" t="str">
        <f aca="false">IF(B13336&lt;5,"Go","Standard")</f>
        <v>Standard</v>
      </c>
    </row>
    <row r="13337" customFormat="false" ht="15" hidden="false" customHeight="true" outlineLevel="0" collapsed="false">
      <c r="A13337" s="10" t="n">
        <f aca="false">Einstellungen!$B$5+INT((ROW()-9)/24)</f>
        <v>46521</v>
      </c>
      <c r="B13337" s="11" t="n">
        <f aca="false">MOD(ROW()-9,24)</f>
        <v>8</v>
      </c>
      <c r="C13337" s="12"/>
      <c r="D13337" s="13" t="n">
        <f aca="false">IF(B13337&lt;5,Einstellungen!$B$3,Einstellungen!$B$4)</f>
        <v>29.13</v>
      </c>
      <c r="E13337" s="14" t="str">
        <f aca="false">IF(C13337="","",C13337*D13337/100)</f>
        <v/>
      </c>
      <c r="F13337" s="15" t="str">
        <f aca="false">IF(B13337&lt;5,"Go","Standard")</f>
        <v>Standard</v>
      </c>
    </row>
    <row r="13338" customFormat="false" ht="15" hidden="false" customHeight="true" outlineLevel="0" collapsed="false">
      <c r="A13338" s="10" t="n">
        <f aca="false">Einstellungen!$B$5+INT((ROW()-9)/24)</f>
        <v>46521</v>
      </c>
      <c r="B13338" s="11" t="n">
        <f aca="false">MOD(ROW()-9,24)</f>
        <v>9</v>
      </c>
      <c r="C13338" s="12"/>
      <c r="D13338" s="13" t="n">
        <f aca="false">IF(B13338&lt;5,Einstellungen!$B$3,Einstellungen!$B$4)</f>
        <v>29.13</v>
      </c>
      <c r="E13338" s="14" t="str">
        <f aca="false">IF(C13338="","",C13338*D13338/100)</f>
        <v/>
      </c>
      <c r="F13338" s="15" t="str">
        <f aca="false">IF(B13338&lt;5,"Go","Standard")</f>
        <v>Standard</v>
      </c>
    </row>
    <row r="13339" customFormat="false" ht="15" hidden="false" customHeight="true" outlineLevel="0" collapsed="false">
      <c r="A13339" s="10" t="n">
        <f aca="false">Einstellungen!$B$5+INT((ROW()-9)/24)</f>
        <v>46521</v>
      </c>
      <c r="B13339" s="11" t="n">
        <f aca="false">MOD(ROW()-9,24)</f>
        <v>10</v>
      </c>
      <c r="C13339" s="12"/>
      <c r="D13339" s="13" t="n">
        <f aca="false">IF(B13339&lt;5,Einstellungen!$B$3,Einstellungen!$B$4)</f>
        <v>29.13</v>
      </c>
      <c r="E13339" s="14" t="str">
        <f aca="false">IF(C13339="","",C13339*D13339/100)</f>
        <v/>
      </c>
      <c r="F13339" s="15" t="str">
        <f aca="false">IF(B13339&lt;5,"Go","Standard")</f>
        <v>Standard</v>
      </c>
    </row>
    <row r="13340" customFormat="false" ht="15" hidden="false" customHeight="true" outlineLevel="0" collapsed="false">
      <c r="A13340" s="10" t="n">
        <f aca="false">Einstellungen!$B$5+INT((ROW()-9)/24)</f>
        <v>46521</v>
      </c>
      <c r="B13340" s="11" t="n">
        <f aca="false">MOD(ROW()-9,24)</f>
        <v>11</v>
      </c>
      <c r="C13340" s="12"/>
      <c r="D13340" s="13" t="n">
        <f aca="false">IF(B13340&lt;5,Einstellungen!$B$3,Einstellungen!$B$4)</f>
        <v>29.13</v>
      </c>
      <c r="E13340" s="14" t="str">
        <f aca="false">IF(C13340="","",C13340*D13340/100)</f>
        <v/>
      </c>
      <c r="F13340" s="15" t="str">
        <f aca="false">IF(B13340&lt;5,"Go","Standard")</f>
        <v>Standard</v>
      </c>
    </row>
    <row r="13341" customFormat="false" ht="15" hidden="false" customHeight="true" outlineLevel="0" collapsed="false">
      <c r="A13341" s="10" t="n">
        <f aca="false">Einstellungen!$B$5+INT((ROW()-9)/24)</f>
        <v>46521</v>
      </c>
      <c r="B13341" s="11" t="n">
        <f aca="false">MOD(ROW()-9,24)</f>
        <v>12</v>
      </c>
      <c r="C13341" s="12"/>
      <c r="D13341" s="13" t="n">
        <f aca="false">IF(B13341&lt;5,Einstellungen!$B$3,Einstellungen!$B$4)</f>
        <v>29.13</v>
      </c>
      <c r="E13341" s="14" t="str">
        <f aca="false">IF(C13341="","",C13341*D13341/100)</f>
        <v/>
      </c>
      <c r="F13341" s="15" t="str">
        <f aca="false">IF(B13341&lt;5,"Go","Standard")</f>
        <v>Standard</v>
      </c>
    </row>
    <row r="13342" customFormat="false" ht="15" hidden="false" customHeight="true" outlineLevel="0" collapsed="false">
      <c r="A13342" s="10" t="n">
        <f aca="false">Einstellungen!$B$5+INT((ROW()-9)/24)</f>
        <v>46521</v>
      </c>
      <c r="B13342" s="11" t="n">
        <f aca="false">MOD(ROW()-9,24)</f>
        <v>13</v>
      </c>
      <c r="C13342" s="12"/>
      <c r="D13342" s="13" t="n">
        <f aca="false">IF(B13342&lt;5,Einstellungen!$B$3,Einstellungen!$B$4)</f>
        <v>29.13</v>
      </c>
      <c r="E13342" s="14" t="str">
        <f aca="false">IF(C13342="","",C13342*D13342/100)</f>
        <v/>
      </c>
      <c r="F13342" s="15" t="str">
        <f aca="false">IF(B13342&lt;5,"Go","Standard")</f>
        <v>Standard</v>
      </c>
    </row>
    <row r="13343" customFormat="false" ht="15" hidden="false" customHeight="true" outlineLevel="0" collapsed="false">
      <c r="A13343" s="10" t="n">
        <f aca="false">Einstellungen!$B$5+INT((ROW()-9)/24)</f>
        <v>46521</v>
      </c>
      <c r="B13343" s="11" t="n">
        <f aca="false">MOD(ROW()-9,24)</f>
        <v>14</v>
      </c>
      <c r="C13343" s="12"/>
      <c r="D13343" s="13" t="n">
        <f aca="false">IF(B13343&lt;5,Einstellungen!$B$3,Einstellungen!$B$4)</f>
        <v>29.13</v>
      </c>
      <c r="E13343" s="14" t="str">
        <f aca="false">IF(C13343="","",C13343*D13343/100)</f>
        <v/>
      </c>
      <c r="F13343" s="15" t="str">
        <f aca="false">IF(B13343&lt;5,"Go","Standard")</f>
        <v>Standard</v>
      </c>
    </row>
    <row r="13344" customFormat="false" ht="15" hidden="false" customHeight="true" outlineLevel="0" collapsed="false">
      <c r="A13344" s="10" t="n">
        <f aca="false">Einstellungen!$B$5+INT((ROW()-9)/24)</f>
        <v>46521</v>
      </c>
      <c r="B13344" s="11" t="n">
        <f aca="false">MOD(ROW()-9,24)</f>
        <v>15</v>
      </c>
      <c r="C13344" s="12"/>
      <c r="D13344" s="13" t="n">
        <f aca="false">IF(B13344&lt;5,Einstellungen!$B$3,Einstellungen!$B$4)</f>
        <v>29.13</v>
      </c>
      <c r="E13344" s="14" t="str">
        <f aca="false">IF(C13344="","",C13344*D13344/100)</f>
        <v/>
      </c>
      <c r="F13344" s="15" t="str">
        <f aca="false">IF(B13344&lt;5,"Go","Standard")</f>
        <v>Standard</v>
      </c>
    </row>
    <row r="13345" customFormat="false" ht="15" hidden="false" customHeight="true" outlineLevel="0" collapsed="false">
      <c r="A13345" s="10" t="n">
        <f aca="false">Einstellungen!$B$5+INT((ROW()-9)/24)</f>
        <v>46521</v>
      </c>
      <c r="B13345" s="11" t="n">
        <f aca="false">MOD(ROW()-9,24)</f>
        <v>16</v>
      </c>
      <c r="C13345" s="12"/>
      <c r="D13345" s="13" t="n">
        <f aca="false">IF(B13345&lt;5,Einstellungen!$B$3,Einstellungen!$B$4)</f>
        <v>29.13</v>
      </c>
      <c r="E13345" s="14" t="str">
        <f aca="false">IF(C13345="","",C13345*D13345/100)</f>
        <v/>
      </c>
      <c r="F13345" s="15" t="str">
        <f aca="false">IF(B13345&lt;5,"Go","Standard")</f>
        <v>Standard</v>
      </c>
    </row>
    <row r="13346" customFormat="false" ht="15" hidden="false" customHeight="true" outlineLevel="0" collapsed="false">
      <c r="A13346" s="10" t="n">
        <f aca="false">Einstellungen!$B$5+INT((ROW()-9)/24)</f>
        <v>46521</v>
      </c>
      <c r="B13346" s="11" t="n">
        <f aca="false">MOD(ROW()-9,24)</f>
        <v>17</v>
      </c>
      <c r="C13346" s="12"/>
      <c r="D13346" s="13" t="n">
        <f aca="false">IF(B13346&lt;5,Einstellungen!$B$3,Einstellungen!$B$4)</f>
        <v>29.13</v>
      </c>
      <c r="E13346" s="14" t="str">
        <f aca="false">IF(C13346="","",C13346*D13346/100)</f>
        <v/>
      </c>
      <c r="F13346" s="15" t="str">
        <f aca="false">IF(B13346&lt;5,"Go","Standard")</f>
        <v>Standard</v>
      </c>
    </row>
    <row r="13347" customFormat="false" ht="15" hidden="false" customHeight="true" outlineLevel="0" collapsed="false">
      <c r="A13347" s="10" t="n">
        <f aca="false">Einstellungen!$B$5+INT((ROW()-9)/24)</f>
        <v>46521</v>
      </c>
      <c r="B13347" s="11" t="n">
        <f aca="false">MOD(ROW()-9,24)</f>
        <v>18</v>
      </c>
      <c r="C13347" s="12"/>
      <c r="D13347" s="13" t="n">
        <f aca="false">IF(B13347&lt;5,Einstellungen!$B$3,Einstellungen!$B$4)</f>
        <v>29.13</v>
      </c>
      <c r="E13347" s="14" t="str">
        <f aca="false">IF(C13347="","",C13347*D13347/100)</f>
        <v/>
      </c>
      <c r="F13347" s="15" t="str">
        <f aca="false">IF(B13347&lt;5,"Go","Standard")</f>
        <v>Standard</v>
      </c>
    </row>
    <row r="13348" customFormat="false" ht="15" hidden="false" customHeight="true" outlineLevel="0" collapsed="false">
      <c r="A13348" s="10" t="n">
        <f aca="false">Einstellungen!$B$5+INT((ROW()-9)/24)</f>
        <v>46521</v>
      </c>
      <c r="B13348" s="11" t="n">
        <f aca="false">MOD(ROW()-9,24)</f>
        <v>19</v>
      </c>
      <c r="C13348" s="12"/>
      <c r="D13348" s="13" t="n">
        <f aca="false">IF(B13348&lt;5,Einstellungen!$B$3,Einstellungen!$B$4)</f>
        <v>29.13</v>
      </c>
      <c r="E13348" s="14" t="str">
        <f aca="false">IF(C13348="","",C13348*D13348/100)</f>
        <v/>
      </c>
      <c r="F13348" s="15" t="str">
        <f aca="false">IF(B13348&lt;5,"Go","Standard")</f>
        <v>Standard</v>
      </c>
    </row>
    <row r="13349" customFormat="false" ht="15" hidden="false" customHeight="true" outlineLevel="0" collapsed="false">
      <c r="A13349" s="10" t="n">
        <f aca="false">Einstellungen!$B$5+INT((ROW()-9)/24)</f>
        <v>46521</v>
      </c>
      <c r="B13349" s="11" t="n">
        <f aca="false">MOD(ROW()-9,24)</f>
        <v>20</v>
      </c>
      <c r="C13349" s="12"/>
      <c r="D13349" s="13" t="n">
        <f aca="false">IF(B13349&lt;5,Einstellungen!$B$3,Einstellungen!$B$4)</f>
        <v>29.13</v>
      </c>
      <c r="E13349" s="14" t="str">
        <f aca="false">IF(C13349="","",C13349*D13349/100)</f>
        <v/>
      </c>
      <c r="F13349" s="15" t="str">
        <f aca="false">IF(B13349&lt;5,"Go","Standard")</f>
        <v>Standard</v>
      </c>
    </row>
    <row r="13350" customFormat="false" ht="15" hidden="false" customHeight="true" outlineLevel="0" collapsed="false">
      <c r="A13350" s="10" t="n">
        <f aca="false">Einstellungen!$B$5+INT((ROW()-9)/24)</f>
        <v>46521</v>
      </c>
      <c r="B13350" s="11" t="n">
        <f aca="false">MOD(ROW()-9,24)</f>
        <v>21</v>
      </c>
      <c r="C13350" s="12"/>
      <c r="D13350" s="13" t="n">
        <f aca="false">IF(B13350&lt;5,Einstellungen!$B$3,Einstellungen!$B$4)</f>
        <v>29.13</v>
      </c>
      <c r="E13350" s="14" t="str">
        <f aca="false">IF(C13350="","",C13350*D13350/100)</f>
        <v/>
      </c>
      <c r="F13350" s="15" t="str">
        <f aca="false">IF(B13350&lt;5,"Go","Standard")</f>
        <v>Standard</v>
      </c>
    </row>
    <row r="13351" customFormat="false" ht="15" hidden="false" customHeight="true" outlineLevel="0" collapsed="false">
      <c r="A13351" s="10" t="n">
        <f aca="false">Einstellungen!$B$5+INT((ROW()-9)/24)</f>
        <v>46521</v>
      </c>
      <c r="B13351" s="11" t="n">
        <f aca="false">MOD(ROW()-9,24)</f>
        <v>22</v>
      </c>
      <c r="C13351" s="12"/>
      <c r="D13351" s="13" t="n">
        <f aca="false">IF(B13351&lt;5,Einstellungen!$B$3,Einstellungen!$B$4)</f>
        <v>29.13</v>
      </c>
      <c r="E13351" s="14" t="str">
        <f aca="false">IF(C13351="","",C13351*D13351/100)</f>
        <v/>
      </c>
      <c r="F13351" s="15" t="str">
        <f aca="false">IF(B13351&lt;5,"Go","Standard")</f>
        <v>Standard</v>
      </c>
    </row>
    <row r="13352" customFormat="false" ht="15" hidden="false" customHeight="true" outlineLevel="0" collapsed="false">
      <c r="A13352" s="10" t="n">
        <f aca="false">Einstellungen!$B$5+INT((ROW()-9)/24)</f>
        <v>46521</v>
      </c>
      <c r="B13352" s="11" t="n">
        <f aca="false">MOD(ROW()-9,24)</f>
        <v>23</v>
      </c>
      <c r="C13352" s="12"/>
      <c r="D13352" s="13" t="n">
        <f aca="false">IF(B13352&lt;5,Einstellungen!$B$3,Einstellungen!$B$4)</f>
        <v>29.13</v>
      </c>
      <c r="E13352" s="14" t="str">
        <f aca="false">IF(C13352="","",C13352*D13352/100)</f>
        <v/>
      </c>
      <c r="F13352" s="15" t="str">
        <f aca="false">IF(B13352&lt;5,"Go","Standard")</f>
        <v>Standard</v>
      </c>
    </row>
    <row r="13353" customFormat="false" ht="15" hidden="false" customHeight="true" outlineLevel="0" collapsed="false">
      <c r="A13353" s="10" t="n">
        <f aca="false">Einstellungen!$B$5+INT((ROW()-9)/24)</f>
        <v>46522</v>
      </c>
      <c r="B13353" s="11" t="n">
        <f aca="false">MOD(ROW()-9,24)</f>
        <v>0</v>
      </c>
      <c r="C13353" s="12"/>
      <c r="D13353" s="13" t="n">
        <f aca="false">IF(B13353&lt;5,Einstellungen!$B$3,Einstellungen!$B$4)</f>
        <v>15.92</v>
      </c>
      <c r="E13353" s="14" t="str">
        <f aca="false">IF(C13353="","",C13353*D13353/100)</f>
        <v/>
      </c>
      <c r="F13353" s="15" t="str">
        <f aca="false">IF(B13353&lt;5,"Go","Standard")</f>
        <v>Go</v>
      </c>
    </row>
    <row r="13354" customFormat="false" ht="15" hidden="false" customHeight="true" outlineLevel="0" collapsed="false">
      <c r="A13354" s="10" t="n">
        <f aca="false">Einstellungen!$B$5+INT((ROW()-9)/24)</f>
        <v>46522</v>
      </c>
      <c r="B13354" s="11" t="n">
        <f aca="false">MOD(ROW()-9,24)</f>
        <v>1</v>
      </c>
      <c r="C13354" s="12"/>
      <c r="D13354" s="13" t="n">
        <f aca="false">IF(B13354&lt;5,Einstellungen!$B$3,Einstellungen!$B$4)</f>
        <v>15.92</v>
      </c>
      <c r="E13354" s="14" t="str">
        <f aca="false">IF(C13354="","",C13354*D13354/100)</f>
        <v/>
      </c>
      <c r="F13354" s="15" t="str">
        <f aca="false">IF(B13354&lt;5,"Go","Standard")</f>
        <v>Go</v>
      </c>
    </row>
    <row r="13355" customFormat="false" ht="15" hidden="false" customHeight="true" outlineLevel="0" collapsed="false">
      <c r="A13355" s="10" t="n">
        <f aca="false">Einstellungen!$B$5+INT((ROW()-9)/24)</f>
        <v>46522</v>
      </c>
      <c r="B13355" s="11" t="n">
        <f aca="false">MOD(ROW()-9,24)</f>
        <v>2</v>
      </c>
      <c r="C13355" s="12"/>
      <c r="D13355" s="13" t="n">
        <f aca="false">IF(B13355&lt;5,Einstellungen!$B$3,Einstellungen!$B$4)</f>
        <v>15.92</v>
      </c>
      <c r="E13355" s="14" t="str">
        <f aca="false">IF(C13355="","",C13355*D13355/100)</f>
        <v/>
      </c>
      <c r="F13355" s="15" t="str">
        <f aca="false">IF(B13355&lt;5,"Go","Standard")</f>
        <v>Go</v>
      </c>
    </row>
    <row r="13356" customFormat="false" ht="15" hidden="false" customHeight="true" outlineLevel="0" collapsed="false">
      <c r="A13356" s="10" t="n">
        <f aca="false">Einstellungen!$B$5+INT((ROW()-9)/24)</f>
        <v>46522</v>
      </c>
      <c r="B13356" s="11" t="n">
        <f aca="false">MOD(ROW()-9,24)</f>
        <v>3</v>
      </c>
      <c r="C13356" s="12"/>
      <c r="D13356" s="13" t="n">
        <f aca="false">IF(B13356&lt;5,Einstellungen!$B$3,Einstellungen!$B$4)</f>
        <v>15.92</v>
      </c>
      <c r="E13356" s="14" t="str">
        <f aca="false">IF(C13356="","",C13356*D13356/100)</f>
        <v/>
      </c>
      <c r="F13356" s="15" t="str">
        <f aca="false">IF(B13356&lt;5,"Go","Standard")</f>
        <v>Go</v>
      </c>
    </row>
    <row r="13357" customFormat="false" ht="15" hidden="false" customHeight="true" outlineLevel="0" collapsed="false">
      <c r="A13357" s="10" t="n">
        <f aca="false">Einstellungen!$B$5+INT((ROW()-9)/24)</f>
        <v>46522</v>
      </c>
      <c r="B13357" s="11" t="n">
        <f aca="false">MOD(ROW()-9,24)</f>
        <v>4</v>
      </c>
      <c r="C13357" s="12"/>
      <c r="D13357" s="13" t="n">
        <f aca="false">IF(B13357&lt;5,Einstellungen!$B$3,Einstellungen!$B$4)</f>
        <v>15.92</v>
      </c>
      <c r="E13357" s="14" t="str">
        <f aca="false">IF(C13357="","",C13357*D13357/100)</f>
        <v/>
      </c>
      <c r="F13357" s="15" t="str">
        <f aca="false">IF(B13357&lt;5,"Go","Standard")</f>
        <v>Go</v>
      </c>
    </row>
    <row r="13358" customFormat="false" ht="15" hidden="false" customHeight="true" outlineLevel="0" collapsed="false">
      <c r="A13358" s="10" t="n">
        <f aca="false">Einstellungen!$B$5+INT((ROW()-9)/24)</f>
        <v>46522</v>
      </c>
      <c r="B13358" s="11" t="n">
        <f aca="false">MOD(ROW()-9,24)</f>
        <v>5</v>
      </c>
      <c r="C13358" s="12"/>
      <c r="D13358" s="13" t="n">
        <f aca="false">IF(B13358&lt;5,Einstellungen!$B$3,Einstellungen!$B$4)</f>
        <v>29.13</v>
      </c>
      <c r="E13358" s="14" t="str">
        <f aca="false">IF(C13358="","",C13358*D13358/100)</f>
        <v/>
      </c>
      <c r="F13358" s="15" t="str">
        <f aca="false">IF(B13358&lt;5,"Go","Standard")</f>
        <v>Standard</v>
      </c>
    </row>
    <row r="13359" customFormat="false" ht="15" hidden="false" customHeight="true" outlineLevel="0" collapsed="false">
      <c r="A13359" s="10" t="n">
        <f aca="false">Einstellungen!$B$5+INT((ROW()-9)/24)</f>
        <v>46522</v>
      </c>
      <c r="B13359" s="11" t="n">
        <f aca="false">MOD(ROW()-9,24)</f>
        <v>6</v>
      </c>
      <c r="C13359" s="12"/>
      <c r="D13359" s="13" t="n">
        <f aca="false">IF(B13359&lt;5,Einstellungen!$B$3,Einstellungen!$B$4)</f>
        <v>29.13</v>
      </c>
      <c r="E13359" s="14" t="str">
        <f aca="false">IF(C13359="","",C13359*D13359/100)</f>
        <v/>
      </c>
      <c r="F13359" s="15" t="str">
        <f aca="false">IF(B13359&lt;5,"Go","Standard")</f>
        <v>Standard</v>
      </c>
    </row>
    <row r="13360" customFormat="false" ht="15" hidden="false" customHeight="true" outlineLevel="0" collapsed="false">
      <c r="A13360" s="10" t="n">
        <f aca="false">Einstellungen!$B$5+INT((ROW()-9)/24)</f>
        <v>46522</v>
      </c>
      <c r="B13360" s="11" t="n">
        <f aca="false">MOD(ROW()-9,24)</f>
        <v>7</v>
      </c>
      <c r="C13360" s="12"/>
      <c r="D13360" s="13" t="n">
        <f aca="false">IF(B13360&lt;5,Einstellungen!$B$3,Einstellungen!$B$4)</f>
        <v>29.13</v>
      </c>
      <c r="E13360" s="14" t="str">
        <f aca="false">IF(C13360="","",C13360*D13360/100)</f>
        <v/>
      </c>
      <c r="F13360" s="15" t="str">
        <f aca="false">IF(B13360&lt;5,"Go","Standard")</f>
        <v>Standard</v>
      </c>
    </row>
    <row r="13361" customFormat="false" ht="15" hidden="false" customHeight="true" outlineLevel="0" collapsed="false">
      <c r="A13361" s="10" t="n">
        <f aca="false">Einstellungen!$B$5+INT((ROW()-9)/24)</f>
        <v>46522</v>
      </c>
      <c r="B13361" s="11" t="n">
        <f aca="false">MOD(ROW()-9,24)</f>
        <v>8</v>
      </c>
      <c r="C13361" s="12"/>
      <c r="D13361" s="13" t="n">
        <f aca="false">IF(B13361&lt;5,Einstellungen!$B$3,Einstellungen!$B$4)</f>
        <v>29.13</v>
      </c>
      <c r="E13361" s="14" t="str">
        <f aca="false">IF(C13361="","",C13361*D13361/100)</f>
        <v/>
      </c>
      <c r="F13361" s="15" t="str">
        <f aca="false">IF(B13361&lt;5,"Go","Standard")</f>
        <v>Standard</v>
      </c>
    </row>
    <row r="13362" customFormat="false" ht="15" hidden="false" customHeight="true" outlineLevel="0" collapsed="false">
      <c r="A13362" s="10" t="n">
        <f aca="false">Einstellungen!$B$5+INT((ROW()-9)/24)</f>
        <v>46522</v>
      </c>
      <c r="B13362" s="11" t="n">
        <f aca="false">MOD(ROW()-9,24)</f>
        <v>9</v>
      </c>
      <c r="C13362" s="12"/>
      <c r="D13362" s="13" t="n">
        <f aca="false">IF(B13362&lt;5,Einstellungen!$B$3,Einstellungen!$B$4)</f>
        <v>29.13</v>
      </c>
      <c r="E13362" s="14" t="str">
        <f aca="false">IF(C13362="","",C13362*D13362/100)</f>
        <v/>
      </c>
      <c r="F13362" s="15" t="str">
        <f aca="false">IF(B13362&lt;5,"Go","Standard")</f>
        <v>Standard</v>
      </c>
    </row>
    <row r="13363" customFormat="false" ht="15" hidden="false" customHeight="true" outlineLevel="0" collapsed="false">
      <c r="A13363" s="10" t="n">
        <f aca="false">Einstellungen!$B$5+INT((ROW()-9)/24)</f>
        <v>46522</v>
      </c>
      <c r="B13363" s="11" t="n">
        <f aca="false">MOD(ROW()-9,24)</f>
        <v>10</v>
      </c>
      <c r="C13363" s="12"/>
      <c r="D13363" s="13" t="n">
        <f aca="false">IF(B13363&lt;5,Einstellungen!$B$3,Einstellungen!$B$4)</f>
        <v>29.13</v>
      </c>
      <c r="E13363" s="14" t="str">
        <f aca="false">IF(C13363="","",C13363*D13363/100)</f>
        <v/>
      </c>
      <c r="F13363" s="15" t="str">
        <f aca="false">IF(B13363&lt;5,"Go","Standard")</f>
        <v>Standard</v>
      </c>
    </row>
    <row r="13364" customFormat="false" ht="15" hidden="false" customHeight="true" outlineLevel="0" collapsed="false">
      <c r="A13364" s="10" t="n">
        <f aca="false">Einstellungen!$B$5+INT((ROW()-9)/24)</f>
        <v>46522</v>
      </c>
      <c r="B13364" s="11" t="n">
        <f aca="false">MOD(ROW()-9,24)</f>
        <v>11</v>
      </c>
      <c r="C13364" s="12"/>
      <c r="D13364" s="13" t="n">
        <f aca="false">IF(B13364&lt;5,Einstellungen!$B$3,Einstellungen!$B$4)</f>
        <v>29.13</v>
      </c>
      <c r="E13364" s="14" t="str">
        <f aca="false">IF(C13364="","",C13364*D13364/100)</f>
        <v/>
      </c>
      <c r="F13364" s="15" t="str">
        <f aca="false">IF(B13364&lt;5,"Go","Standard")</f>
        <v>Standard</v>
      </c>
    </row>
    <row r="13365" customFormat="false" ht="15" hidden="false" customHeight="true" outlineLevel="0" collapsed="false">
      <c r="A13365" s="10" t="n">
        <f aca="false">Einstellungen!$B$5+INT((ROW()-9)/24)</f>
        <v>46522</v>
      </c>
      <c r="B13365" s="11" t="n">
        <f aca="false">MOD(ROW()-9,24)</f>
        <v>12</v>
      </c>
      <c r="C13365" s="12"/>
      <c r="D13365" s="13" t="n">
        <f aca="false">IF(B13365&lt;5,Einstellungen!$B$3,Einstellungen!$B$4)</f>
        <v>29.13</v>
      </c>
      <c r="E13365" s="14" t="str">
        <f aca="false">IF(C13365="","",C13365*D13365/100)</f>
        <v/>
      </c>
      <c r="F13365" s="15" t="str">
        <f aca="false">IF(B13365&lt;5,"Go","Standard")</f>
        <v>Standard</v>
      </c>
    </row>
    <row r="13366" customFormat="false" ht="15" hidden="false" customHeight="true" outlineLevel="0" collapsed="false">
      <c r="A13366" s="10" t="n">
        <f aca="false">Einstellungen!$B$5+INT((ROW()-9)/24)</f>
        <v>46522</v>
      </c>
      <c r="B13366" s="11" t="n">
        <f aca="false">MOD(ROW()-9,24)</f>
        <v>13</v>
      </c>
      <c r="C13366" s="12"/>
      <c r="D13366" s="13" t="n">
        <f aca="false">IF(B13366&lt;5,Einstellungen!$B$3,Einstellungen!$B$4)</f>
        <v>29.13</v>
      </c>
      <c r="E13366" s="14" t="str">
        <f aca="false">IF(C13366="","",C13366*D13366/100)</f>
        <v/>
      </c>
      <c r="F13366" s="15" t="str">
        <f aca="false">IF(B13366&lt;5,"Go","Standard")</f>
        <v>Standard</v>
      </c>
    </row>
    <row r="13367" customFormat="false" ht="15" hidden="false" customHeight="true" outlineLevel="0" collapsed="false">
      <c r="A13367" s="10" t="n">
        <f aca="false">Einstellungen!$B$5+INT((ROW()-9)/24)</f>
        <v>46522</v>
      </c>
      <c r="B13367" s="11" t="n">
        <f aca="false">MOD(ROW()-9,24)</f>
        <v>14</v>
      </c>
      <c r="C13367" s="12"/>
      <c r="D13367" s="13" t="n">
        <f aca="false">IF(B13367&lt;5,Einstellungen!$B$3,Einstellungen!$B$4)</f>
        <v>29.13</v>
      </c>
      <c r="E13367" s="14" t="str">
        <f aca="false">IF(C13367="","",C13367*D13367/100)</f>
        <v/>
      </c>
      <c r="F13367" s="15" t="str">
        <f aca="false">IF(B13367&lt;5,"Go","Standard")</f>
        <v>Standard</v>
      </c>
    </row>
    <row r="13368" customFormat="false" ht="15" hidden="false" customHeight="true" outlineLevel="0" collapsed="false">
      <c r="A13368" s="10" t="n">
        <f aca="false">Einstellungen!$B$5+INT((ROW()-9)/24)</f>
        <v>46522</v>
      </c>
      <c r="B13368" s="11" t="n">
        <f aca="false">MOD(ROW()-9,24)</f>
        <v>15</v>
      </c>
      <c r="C13368" s="12"/>
      <c r="D13368" s="13" t="n">
        <f aca="false">IF(B13368&lt;5,Einstellungen!$B$3,Einstellungen!$B$4)</f>
        <v>29.13</v>
      </c>
      <c r="E13368" s="14" t="str">
        <f aca="false">IF(C13368="","",C13368*D13368/100)</f>
        <v/>
      </c>
      <c r="F13368" s="15" t="str">
        <f aca="false">IF(B13368&lt;5,"Go","Standard")</f>
        <v>Standard</v>
      </c>
    </row>
    <row r="13369" customFormat="false" ht="15" hidden="false" customHeight="true" outlineLevel="0" collapsed="false">
      <c r="A13369" s="10" t="n">
        <f aca="false">Einstellungen!$B$5+INT((ROW()-9)/24)</f>
        <v>46522</v>
      </c>
      <c r="B13369" s="11" t="n">
        <f aca="false">MOD(ROW()-9,24)</f>
        <v>16</v>
      </c>
      <c r="C13369" s="12"/>
      <c r="D13369" s="13" t="n">
        <f aca="false">IF(B13369&lt;5,Einstellungen!$B$3,Einstellungen!$B$4)</f>
        <v>29.13</v>
      </c>
      <c r="E13369" s="14" t="str">
        <f aca="false">IF(C13369="","",C13369*D13369/100)</f>
        <v/>
      </c>
      <c r="F13369" s="15" t="str">
        <f aca="false">IF(B13369&lt;5,"Go","Standard")</f>
        <v>Standard</v>
      </c>
    </row>
    <row r="13370" customFormat="false" ht="15" hidden="false" customHeight="true" outlineLevel="0" collapsed="false">
      <c r="A13370" s="10" t="n">
        <f aca="false">Einstellungen!$B$5+INT((ROW()-9)/24)</f>
        <v>46522</v>
      </c>
      <c r="B13370" s="11" t="n">
        <f aca="false">MOD(ROW()-9,24)</f>
        <v>17</v>
      </c>
      <c r="C13370" s="12"/>
      <c r="D13370" s="13" t="n">
        <f aca="false">IF(B13370&lt;5,Einstellungen!$B$3,Einstellungen!$B$4)</f>
        <v>29.13</v>
      </c>
      <c r="E13370" s="14" t="str">
        <f aca="false">IF(C13370="","",C13370*D13370/100)</f>
        <v/>
      </c>
      <c r="F13370" s="15" t="str">
        <f aca="false">IF(B13370&lt;5,"Go","Standard")</f>
        <v>Standard</v>
      </c>
    </row>
    <row r="13371" customFormat="false" ht="15" hidden="false" customHeight="true" outlineLevel="0" collapsed="false">
      <c r="A13371" s="10" t="n">
        <f aca="false">Einstellungen!$B$5+INT((ROW()-9)/24)</f>
        <v>46522</v>
      </c>
      <c r="B13371" s="11" t="n">
        <f aca="false">MOD(ROW()-9,24)</f>
        <v>18</v>
      </c>
      <c r="C13371" s="12"/>
      <c r="D13371" s="13" t="n">
        <f aca="false">IF(B13371&lt;5,Einstellungen!$B$3,Einstellungen!$B$4)</f>
        <v>29.13</v>
      </c>
      <c r="E13371" s="14" t="str">
        <f aca="false">IF(C13371="","",C13371*D13371/100)</f>
        <v/>
      </c>
      <c r="F13371" s="15" t="str">
        <f aca="false">IF(B13371&lt;5,"Go","Standard")</f>
        <v>Standard</v>
      </c>
    </row>
    <row r="13372" customFormat="false" ht="15" hidden="false" customHeight="true" outlineLevel="0" collapsed="false">
      <c r="A13372" s="10" t="n">
        <f aca="false">Einstellungen!$B$5+INT((ROW()-9)/24)</f>
        <v>46522</v>
      </c>
      <c r="B13372" s="11" t="n">
        <f aca="false">MOD(ROW()-9,24)</f>
        <v>19</v>
      </c>
      <c r="C13372" s="12"/>
      <c r="D13372" s="13" t="n">
        <f aca="false">IF(B13372&lt;5,Einstellungen!$B$3,Einstellungen!$B$4)</f>
        <v>29.13</v>
      </c>
      <c r="E13372" s="14" t="str">
        <f aca="false">IF(C13372="","",C13372*D13372/100)</f>
        <v/>
      </c>
      <c r="F13372" s="15" t="str">
        <f aca="false">IF(B13372&lt;5,"Go","Standard")</f>
        <v>Standard</v>
      </c>
    </row>
    <row r="13373" customFormat="false" ht="15" hidden="false" customHeight="true" outlineLevel="0" collapsed="false">
      <c r="A13373" s="10" t="n">
        <f aca="false">Einstellungen!$B$5+INT((ROW()-9)/24)</f>
        <v>46522</v>
      </c>
      <c r="B13373" s="11" t="n">
        <f aca="false">MOD(ROW()-9,24)</f>
        <v>20</v>
      </c>
      <c r="C13373" s="12"/>
      <c r="D13373" s="13" t="n">
        <f aca="false">IF(B13373&lt;5,Einstellungen!$B$3,Einstellungen!$B$4)</f>
        <v>29.13</v>
      </c>
      <c r="E13373" s="14" t="str">
        <f aca="false">IF(C13373="","",C13373*D13373/100)</f>
        <v/>
      </c>
      <c r="F13373" s="15" t="str">
        <f aca="false">IF(B13373&lt;5,"Go","Standard")</f>
        <v>Standard</v>
      </c>
    </row>
    <row r="13374" customFormat="false" ht="15" hidden="false" customHeight="true" outlineLevel="0" collapsed="false">
      <c r="A13374" s="10" t="n">
        <f aca="false">Einstellungen!$B$5+INT((ROW()-9)/24)</f>
        <v>46522</v>
      </c>
      <c r="B13374" s="11" t="n">
        <f aca="false">MOD(ROW()-9,24)</f>
        <v>21</v>
      </c>
      <c r="C13374" s="12"/>
      <c r="D13374" s="13" t="n">
        <f aca="false">IF(B13374&lt;5,Einstellungen!$B$3,Einstellungen!$B$4)</f>
        <v>29.13</v>
      </c>
      <c r="E13374" s="14" t="str">
        <f aca="false">IF(C13374="","",C13374*D13374/100)</f>
        <v/>
      </c>
      <c r="F13374" s="15" t="str">
        <f aca="false">IF(B13374&lt;5,"Go","Standard")</f>
        <v>Standard</v>
      </c>
    </row>
    <row r="13375" customFormat="false" ht="15" hidden="false" customHeight="true" outlineLevel="0" collapsed="false">
      <c r="A13375" s="10" t="n">
        <f aca="false">Einstellungen!$B$5+INT((ROW()-9)/24)</f>
        <v>46522</v>
      </c>
      <c r="B13375" s="11" t="n">
        <f aca="false">MOD(ROW()-9,24)</f>
        <v>22</v>
      </c>
      <c r="C13375" s="12"/>
      <c r="D13375" s="13" t="n">
        <f aca="false">IF(B13375&lt;5,Einstellungen!$B$3,Einstellungen!$B$4)</f>
        <v>29.13</v>
      </c>
      <c r="E13375" s="14" t="str">
        <f aca="false">IF(C13375="","",C13375*D13375/100)</f>
        <v/>
      </c>
      <c r="F13375" s="15" t="str">
        <f aca="false">IF(B13375&lt;5,"Go","Standard")</f>
        <v>Standard</v>
      </c>
    </row>
    <row r="13376" customFormat="false" ht="15" hidden="false" customHeight="true" outlineLevel="0" collapsed="false">
      <c r="A13376" s="10" t="n">
        <f aca="false">Einstellungen!$B$5+INT((ROW()-9)/24)</f>
        <v>46522</v>
      </c>
      <c r="B13376" s="11" t="n">
        <f aca="false">MOD(ROW()-9,24)</f>
        <v>23</v>
      </c>
      <c r="C13376" s="12"/>
      <c r="D13376" s="13" t="n">
        <f aca="false">IF(B13376&lt;5,Einstellungen!$B$3,Einstellungen!$B$4)</f>
        <v>29.13</v>
      </c>
      <c r="E13376" s="14" t="str">
        <f aca="false">IF(C13376="","",C13376*D13376/100)</f>
        <v/>
      </c>
      <c r="F13376" s="15" t="str">
        <f aca="false">IF(B13376&lt;5,"Go","Standard")</f>
        <v>Standard</v>
      </c>
    </row>
    <row r="13377" customFormat="false" ht="15" hidden="false" customHeight="true" outlineLevel="0" collapsed="false">
      <c r="A13377" s="10" t="n">
        <f aca="false">Einstellungen!$B$5+INT((ROW()-9)/24)</f>
        <v>46523</v>
      </c>
      <c r="B13377" s="11" t="n">
        <f aca="false">MOD(ROW()-9,24)</f>
        <v>0</v>
      </c>
      <c r="C13377" s="12"/>
      <c r="D13377" s="13" t="n">
        <f aca="false">IF(B13377&lt;5,Einstellungen!$B$3,Einstellungen!$B$4)</f>
        <v>15.92</v>
      </c>
      <c r="E13377" s="14" t="str">
        <f aca="false">IF(C13377="","",C13377*D13377/100)</f>
        <v/>
      </c>
      <c r="F13377" s="15" t="str">
        <f aca="false">IF(B13377&lt;5,"Go","Standard")</f>
        <v>Go</v>
      </c>
    </row>
    <row r="13378" customFormat="false" ht="15" hidden="false" customHeight="true" outlineLevel="0" collapsed="false">
      <c r="A13378" s="10" t="n">
        <f aca="false">Einstellungen!$B$5+INT((ROW()-9)/24)</f>
        <v>46523</v>
      </c>
      <c r="B13378" s="11" t="n">
        <f aca="false">MOD(ROW()-9,24)</f>
        <v>1</v>
      </c>
      <c r="C13378" s="12"/>
      <c r="D13378" s="13" t="n">
        <f aca="false">IF(B13378&lt;5,Einstellungen!$B$3,Einstellungen!$B$4)</f>
        <v>15.92</v>
      </c>
      <c r="E13378" s="14" t="str">
        <f aca="false">IF(C13378="","",C13378*D13378/100)</f>
        <v/>
      </c>
      <c r="F13378" s="15" t="str">
        <f aca="false">IF(B13378&lt;5,"Go","Standard")</f>
        <v>Go</v>
      </c>
    </row>
    <row r="13379" customFormat="false" ht="15" hidden="false" customHeight="true" outlineLevel="0" collapsed="false">
      <c r="A13379" s="10" t="n">
        <f aca="false">Einstellungen!$B$5+INT((ROW()-9)/24)</f>
        <v>46523</v>
      </c>
      <c r="B13379" s="11" t="n">
        <f aca="false">MOD(ROW()-9,24)</f>
        <v>2</v>
      </c>
      <c r="C13379" s="12"/>
      <c r="D13379" s="13" t="n">
        <f aca="false">IF(B13379&lt;5,Einstellungen!$B$3,Einstellungen!$B$4)</f>
        <v>15.92</v>
      </c>
      <c r="E13379" s="14" t="str">
        <f aca="false">IF(C13379="","",C13379*D13379/100)</f>
        <v/>
      </c>
      <c r="F13379" s="15" t="str">
        <f aca="false">IF(B13379&lt;5,"Go","Standard")</f>
        <v>Go</v>
      </c>
    </row>
    <row r="13380" customFormat="false" ht="15" hidden="false" customHeight="true" outlineLevel="0" collapsed="false">
      <c r="A13380" s="10" t="n">
        <f aca="false">Einstellungen!$B$5+INT((ROW()-9)/24)</f>
        <v>46523</v>
      </c>
      <c r="B13380" s="11" t="n">
        <f aca="false">MOD(ROW()-9,24)</f>
        <v>3</v>
      </c>
      <c r="C13380" s="12"/>
      <c r="D13380" s="13" t="n">
        <f aca="false">IF(B13380&lt;5,Einstellungen!$B$3,Einstellungen!$B$4)</f>
        <v>15.92</v>
      </c>
      <c r="E13380" s="14" t="str">
        <f aca="false">IF(C13380="","",C13380*D13380/100)</f>
        <v/>
      </c>
      <c r="F13380" s="15" t="str">
        <f aca="false">IF(B13380&lt;5,"Go","Standard")</f>
        <v>Go</v>
      </c>
    </row>
    <row r="13381" customFormat="false" ht="15" hidden="false" customHeight="true" outlineLevel="0" collapsed="false">
      <c r="A13381" s="10" t="n">
        <f aca="false">Einstellungen!$B$5+INT((ROW()-9)/24)</f>
        <v>46523</v>
      </c>
      <c r="B13381" s="11" t="n">
        <f aca="false">MOD(ROW()-9,24)</f>
        <v>4</v>
      </c>
      <c r="C13381" s="12"/>
      <c r="D13381" s="13" t="n">
        <f aca="false">IF(B13381&lt;5,Einstellungen!$B$3,Einstellungen!$B$4)</f>
        <v>15.92</v>
      </c>
      <c r="E13381" s="14" t="str">
        <f aca="false">IF(C13381="","",C13381*D13381/100)</f>
        <v/>
      </c>
      <c r="F13381" s="15" t="str">
        <f aca="false">IF(B13381&lt;5,"Go","Standard")</f>
        <v>Go</v>
      </c>
    </row>
    <row r="13382" customFormat="false" ht="15" hidden="false" customHeight="true" outlineLevel="0" collapsed="false">
      <c r="A13382" s="10" t="n">
        <f aca="false">Einstellungen!$B$5+INT((ROW()-9)/24)</f>
        <v>46523</v>
      </c>
      <c r="B13382" s="11" t="n">
        <f aca="false">MOD(ROW()-9,24)</f>
        <v>5</v>
      </c>
      <c r="C13382" s="12"/>
      <c r="D13382" s="13" t="n">
        <f aca="false">IF(B13382&lt;5,Einstellungen!$B$3,Einstellungen!$B$4)</f>
        <v>29.13</v>
      </c>
      <c r="E13382" s="14" t="str">
        <f aca="false">IF(C13382="","",C13382*D13382/100)</f>
        <v/>
      </c>
      <c r="F13382" s="15" t="str">
        <f aca="false">IF(B13382&lt;5,"Go","Standard")</f>
        <v>Standard</v>
      </c>
    </row>
    <row r="13383" customFormat="false" ht="15" hidden="false" customHeight="true" outlineLevel="0" collapsed="false">
      <c r="A13383" s="10" t="n">
        <f aca="false">Einstellungen!$B$5+INT((ROW()-9)/24)</f>
        <v>46523</v>
      </c>
      <c r="B13383" s="11" t="n">
        <f aca="false">MOD(ROW()-9,24)</f>
        <v>6</v>
      </c>
      <c r="C13383" s="12"/>
      <c r="D13383" s="13" t="n">
        <f aca="false">IF(B13383&lt;5,Einstellungen!$B$3,Einstellungen!$B$4)</f>
        <v>29.13</v>
      </c>
      <c r="E13383" s="14" t="str">
        <f aca="false">IF(C13383="","",C13383*D13383/100)</f>
        <v/>
      </c>
      <c r="F13383" s="15" t="str">
        <f aca="false">IF(B13383&lt;5,"Go","Standard")</f>
        <v>Standard</v>
      </c>
    </row>
    <row r="13384" customFormat="false" ht="15" hidden="false" customHeight="true" outlineLevel="0" collapsed="false">
      <c r="A13384" s="10" t="n">
        <f aca="false">Einstellungen!$B$5+INT((ROW()-9)/24)</f>
        <v>46523</v>
      </c>
      <c r="B13384" s="11" t="n">
        <f aca="false">MOD(ROW()-9,24)</f>
        <v>7</v>
      </c>
      <c r="C13384" s="12"/>
      <c r="D13384" s="13" t="n">
        <f aca="false">IF(B13384&lt;5,Einstellungen!$B$3,Einstellungen!$B$4)</f>
        <v>29.13</v>
      </c>
      <c r="E13384" s="14" t="str">
        <f aca="false">IF(C13384="","",C13384*D13384/100)</f>
        <v/>
      </c>
      <c r="F13384" s="15" t="str">
        <f aca="false">IF(B13384&lt;5,"Go","Standard")</f>
        <v>Standard</v>
      </c>
    </row>
    <row r="13385" customFormat="false" ht="15" hidden="false" customHeight="true" outlineLevel="0" collapsed="false">
      <c r="A13385" s="10" t="n">
        <f aca="false">Einstellungen!$B$5+INT((ROW()-9)/24)</f>
        <v>46523</v>
      </c>
      <c r="B13385" s="11" t="n">
        <f aca="false">MOD(ROW()-9,24)</f>
        <v>8</v>
      </c>
      <c r="C13385" s="12"/>
      <c r="D13385" s="13" t="n">
        <f aca="false">IF(B13385&lt;5,Einstellungen!$B$3,Einstellungen!$B$4)</f>
        <v>29.13</v>
      </c>
      <c r="E13385" s="14" t="str">
        <f aca="false">IF(C13385="","",C13385*D13385/100)</f>
        <v/>
      </c>
      <c r="F13385" s="15" t="str">
        <f aca="false">IF(B13385&lt;5,"Go","Standard")</f>
        <v>Standard</v>
      </c>
    </row>
    <row r="13386" customFormat="false" ht="15" hidden="false" customHeight="true" outlineLevel="0" collapsed="false">
      <c r="A13386" s="10" t="n">
        <f aca="false">Einstellungen!$B$5+INT((ROW()-9)/24)</f>
        <v>46523</v>
      </c>
      <c r="B13386" s="11" t="n">
        <f aca="false">MOD(ROW()-9,24)</f>
        <v>9</v>
      </c>
      <c r="C13386" s="12"/>
      <c r="D13386" s="13" t="n">
        <f aca="false">IF(B13386&lt;5,Einstellungen!$B$3,Einstellungen!$B$4)</f>
        <v>29.13</v>
      </c>
      <c r="E13386" s="14" t="str">
        <f aca="false">IF(C13386="","",C13386*D13386/100)</f>
        <v/>
      </c>
      <c r="F13386" s="15" t="str">
        <f aca="false">IF(B13386&lt;5,"Go","Standard")</f>
        <v>Standard</v>
      </c>
    </row>
    <row r="13387" customFormat="false" ht="15" hidden="false" customHeight="true" outlineLevel="0" collapsed="false">
      <c r="A13387" s="10" t="n">
        <f aca="false">Einstellungen!$B$5+INT((ROW()-9)/24)</f>
        <v>46523</v>
      </c>
      <c r="B13387" s="11" t="n">
        <f aca="false">MOD(ROW()-9,24)</f>
        <v>10</v>
      </c>
      <c r="C13387" s="12"/>
      <c r="D13387" s="13" t="n">
        <f aca="false">IF(B13387&lt;5,Einstellungen!$B$3,Einstellungen!$B$4)</f>
        <v>29.13</v>
      </c>
      <c r="E13387" s="14" t="str">
        <f aca="false">IF(C13387="","",C13387*D13387/100)</f>
        <v/>
      </c>
      <c r="F13387" s="15" t="str">
        <f aca="false">IF(B13387&lt;5,"Go","Standard")</f>
        <v>Standard</v>
      </c>
    </row>
    <row r="13388" customFormat="false" ht="15" hidden="false" customHeight="true" outlineLevel="0" collapsed="false">
      <c r="A13388" s="10" t="n">
        <f aca="false">Einstellungen!$B$5+INT((ROW()-9)/24)</f>
        <v>46523</v>
      </c>
      <c r="B13388" s="11" t="n">
        <f aca="false">MOD(ROW()-9,24)</f>
        <v>11</v>
      </c>
      <c r="C13388" s="12"/>
      <c r="D13388" s="13" t="n">
        <f aca="false">IF(B13388&lt;5,Einstellungen!$B$3,Einstellungen!$B$4)</f>
        <v>29.13</v>
      </c>
      <c r="E13388" s="14" t="str">
        <f aca="false">IF(C13388="","",C13388*D13388/100)</f>
        <v/>
      </c>
      <c r="F13388" s="15" t="str">
        <f aca="false">IF(B13388&lt;5,"Go","Standard")</f>
        <v>Standard</v>
      </c>
    </row>
    <row r="13389" customFormat="false" ht="15" hidden="false" customHeight="true" outlineLevel="0" collapsed="false">
      <c r="A13389" s="10" t="n">
        <f aca="false">Einstellungen!$B$5+INT((ROW()-9)/24)</f>
        <v>46523</v>
      </c>
      <c r="B13389" s="11" t="n">
        <f aca="false">MOD(ROW()-9,24)</f>
        <v>12</v>
      </c>
      <c r="C13389" s="12"/>
      <c r="D13389" s="13" t="n">
        <f aca="false">IF(B13389&lt;5,Einstellungen!$B$3,Einstellungen!$B$4)</f>
        <v>29.13</v>
      </c>
      <c r="E13389" s="14" t="str">
        <f aca="false">IF(C13389="","",C13389*D13389/100)</f>
        <v/>
      </c>
      <c r="F13389" s="15" t="str">
        <f aca="false">IF(B13389&lt;5,"Go","Standard")</f>
        <v>Standard</v>
      </c>
    </row>
    <row r="13390" customFormat="false" ht="15" hidden="false" customHeight="true" outlineLevel="0" collapsed="false">
      <c r="A13390" s="10" t="n">
        <f aca="false">Einstellungen!$B$5+INT((ROW()-9)/24)</f>
        <v>46523</v>
      </c>
      <c r="B13390" s="11" t="n">
        <f aca="false">MOD(ROW()-9,24)</f>
        <v>13</v>
      </c>
      <c r="C13390" s="12"/>
      <c r="D13390" s="13" t="n">
        <f aca="false">IF(B13390&lt;5,Einstellungen!$B$3,Einstellungen!$B$4)</f>
        <v>29.13</v>
      </c>
      <c r="E13390" s="14" t="str">
        <f aca="false">IF(C13390="","",C13390*D13390/100)</f>
        <v/>
      </c>
      <c r="F13390" s="15" t="str">
        <f aca="false">IF(B13390&lt;5,"Go","Standard")</f>
        <v>Standard</v>
      </c>
    </row>
    <row r="13391" customFormat="false" ht="15" hidden="false" customHeight="true" outlineLevel="0" collapsed="false">
      <c r="A13391" s="10" t="n">
        <f aca="false">Einstellungen!$B$5+INT((ROW()-9)/24)</f>
        <v>46523</v>
      </c>
      <c r="B13391" s="11" t="n">
        <f aca="false">MOD(ROW()-9,24)</f>
        <v>14</v>
      </c>
      <c r="C13391" s="12"/>
      <c r="D13391" s="13" t="n">
        <f aca="false">IF(B13391&lt;5,Einstellungen!$B$3,Einstellungen!$B$4)</f>
        <v>29.13</v>
      </c>
      <c r="E13391" s="14" t="str">
        <f aca="false">IF(C13391="","",C13391*D13391/100)</f>
        <v/>
      </c>
      <c r="F13391" s="15" t="str">
        <f aca="false">IF(B13391&lt;5,"Go","Standard")</f>
        <v>Standard</v>
      </c>
    </row>
    <row r="13392" customFormat="false" ht="15" hidden="false" customHeight="true" outlineLevel="0" collapsed="false">
      <c r="A13392" s="10" t="n">
        <f aca="false">Einstellungen!$B$5+INT((ROW()-9)/24)</f>
        <v>46523</v>
      </c>
      <c r="B13392" s="11" t="n">
        <f aca="false">MOD(ROW()-9,24)</f>
        <v>15</v>
      </c>
      <c r="C13392" s="12"/>
      <c r="D13392" s="13" t="n">
        <f aca="false">IF(B13392&lt;5,Einstellungen!$B$3,Einstellungen!$B$4)</f>
        <v>29.13</v>
      </c>
      <c r="E13392" s="14" t="str">
        <f aca="false">IF(C13392="","",C13392*D13392/100)</f>
        <v/>
      </c>
      <c r="F13392" s="15" t="str">
        <f aca="false">IF(B13392&lt;5,"Go","Standard")</f>
        <v>Standard</v>
      </c>
    </row>
    <row r="13393" customFormat="false" ht="15" hidden="false" customHeight="true" outlineLevel="0" collapsed="false">
      <c r="A13393" s="10" t="n">
        <f aca="false">Einstellungen!$B$5+INT((ROW()-9)/24)</f>
        <v>46523</v>
      </c>
      <c r="B13393" s="11" t="n">
        <f aca="false">MOD(ROW()-9,24)</f>
        <v>16</v>
      </c>
      <c r="C13393" s="12"/>
      <c r="D13393" s="13" t="n">
        <f aca="false">IF(B13393&lt;5,Einstellungen!$B$3,Einstellungen!$B$4)</f>
        <v>29.13</v>
      </c>
      <c r="E13393" s="14" t="str">
        <f aca="false">IF(C13393="","",C13393*D13393/100)</f>
        <v/>
      </c>
      <c r="F13393" s="15" t="str">
        <f aca="false">IF(B13393&lt;5,"Go","Standard")</f>
        <v>Standard</v>
      </c>
    </row>
    <row r="13394" customFormat="false" ht="15" hidden="false" customHeight="true" outlineLevel="0" collapsed="false">
      <c r="A13394" s="10" t="n">
        <f aca="false">Einstellungen!$B$5+INT((ROW()-9)/24)</f>
        <v>46523</v>
      </c>
      <c r="B13394" s="11" t="n">
        <f aca="false">MOD(ROW()-9,24)</f>
        <v>17</v>
      </c>
      <c r="C13394" s="12"/>
      <c r="D13394" s="13" t="n">
        <f aca="false">IF(B13394&lt;5,Einstellungen!$B$3,Einstellungen!$B$4)</f>
        <v>29.13</v>
      </c>
      <c r="E13394" s="14" t="str">
        <f aca="false">IF(C13394="","",C13394*D13394/100)</f>
        <v/>
      </c>
      <c r="F13394" s="15" t="str">
        <f aca="false">IF(B13394&lt;5,"Go","Standard")</f>
        <v>Standard</v>
      </c>
    </row>
    <row r="13395" customFormat="false" ht="15" hidden="false" customHeight="true" outlineLevel="0" collapsed="false">
      <c r="A13395" s="10" t="n">
        <f aca="false">Einstellungen!$B$5+INT((ROW()-9)/24)</f>
        <v>46523</v>
      </c>
      <c r="B13395" s="11" t="n">
        <f aca="false">MOD(ROW()-9,24)</f>
        <v>18</v>
      </c>
      <c r="C13395" s="12"/>
      <c r="D13395" s="13" t="n">
        <f aca="false">IF(B13395&lt;5,Einstellungen!$B$3,Einstellungen!$B$4)</f>
        <v>29.13</v>
      </c>
      <c r="E13395" s="14" t="str">
        <f aca="false">IF(C13395="","",C13395*D13395/100)</f>
        <v/>
      </c>
      <c r="F13395" s="15" t="str">
        <f aca="false">IF(B13395&lt;5,"Go","Standard")</f>
        <v>Standard</v>
      </c>
    </row>
    <row r="13396" customFormat="false" ht="15" hidden="false" customHeight="true" outlineLevel="0" collapsed="false">
      <c r="A13396" s="10" t="n">
        <f aca="false">Einstellungen!$B$5+INT((ROW()-9)/24)</f>
        <v>46523</v>
      </c>
      <c r="B13396" s="11" t="n">
        <f aca="false">MOD(ROW()-9,24)</f>
        <v>19</v>
      </c>
      <c r="C13396" s="12"/>
      <c r="D13396" s="13" t="n">
        <f aca="false">IF(B13396&lt;5,Einstellungen!$B$3,Einstellungen!$B$4)</f>
        <v>29.13</v>
      </c>
      <c r="E13396" s="14" t="str">
        <f aca="false">IF(C13396="","",C13396*D13396/100)</f>
        <v/>
      </c>
      <c r="F13396" s="15" t="str">
        <f aca="false">IF(B13396&lt;5,"Go","Standard")</f>
        <v>Standard</v>
      </c>
    </row>
    <row r="13397" customFormat="false" ht="15" hidden="false" customHeight="true" outlineLevel="0" collapsed="false">
      <c r="A13397" s="10" t="n">
        <f aca="false">Einstellungen!$B$5+INT((ROW()-9)/24)</f>
        <v>46523</v>
      </c>
      <c r="B13397" s="11" t="n">
        <f aca="false">MOD(ROW()-9,24)</f>
        <v>20</v>
      </c>
      <c r="C13397" s="12"/>
      <c r="D13397" s="13" t="n">
        <f aca="false">IF(B13397&lt;5,Einstellungen!$B$3,Einstellungen!$B$4)</f>
        <v>29.13</v>
      </c>
      <c r="E13397" s="14" t="str">
        <f aca="false">IF(C13397="","",C13397*D13397/100)</f>
        <v/>
      </c>
      <c r="F13397" s="15" t="str">
        <f aca="false">IF(B13397&lt;5,"Go","Standard")</f>
        <v>Standard</v>
      </c>
    </row>
    <row r="13398" customFormat="false" ht="15" hidden="false" customHeight="true" outlineLevel="0" collapsed="false">
      <c r="A13398" s="10" t="n">
        <f aca="false">Einstellungen!$B$5+INT((ROW()-9)/24)</f>
        <v>46523</v>
      </c>
      <c r="B13398" s="11" t="n">
        <f aca="false">MOD(ROW()-9,24)</f>
        <v>21</v>
      </c>
      <c r="C13398" s="12"/>
      <c r="D13398" s="13" t="n">
        <f aca="false">IF(B13398&lt;5,Einstellungen!$B$3,Einstellungen!$B$4)</f>
        <v>29.13</v>
      </c>
      <c r="E13398" s="14" t="str">
        <f aca="false">IF(C13398="","",C13398*D13398/100)</f>
        <v/>
      </c>
      <c r="F13398" s="15" t="str">
        <f aca="false">IF(B13398&lt;5,"Go","Standard")</f>
        <v>Standard</v>
      </c>
    </row>
    <row r="13399" customFormat="false" ht="15" hidden="false" customHeight="true" outlineLevel="0" collapsed="false">
      <c r="A13399" s="10" t="n">
        <f aca="false">Einstellungen!$B$5+INT((ROW()-9)/24)</f>
        <v>46523</v>
      </c>
      <c r="B13399" s="11" t="n">
        <f aca="false">MOD(ROW()-9,24)</f>
        <v>22</v>
      </c>
      <c r="C13399" s="12"/>
      <c r="D13399" s="13" t="n">
        <f aca="false">IF(B13399&lt;5,Einstellungen!$B$3,Einstellungen!$B$4)</f>
        <v>29.13</v>
      </c>
      <c r="E13399" s="14" t="str">
        <f aca="false">IF(C13399="","",C13399*D13399/100)</f>
        <v/>
      </c>
      <c r="F13399" s="15" t="str">
        <f aca="false">IF(B13399&lt;5,"Go","Standard")</f>
        <v>Standard</v>
      </c>
    </row>
    <row r="13400" customFormat="false" ht="15" hidden="false" customHeight="true" outlineLevel="0" collapsed="false">
      <c r="A13400" s="10" t="n">
        <f aca="false">Einstellungen!$B$5+INT((ROW()-9)/24)</f>
        <v>46523</v>
      </c>
      <c r="B13400" s="11" t="n">
        <f aca="false">MOD(ROW()-9,24)</f>
        <v>23</v>
      </c>
      <c r="C13400" s="12"/>
      <c r="D13400" s="13" t="n">
        <f aca="false">IF(B13400&lt;5,Einstellungen!$B$3,Einstellungen!$B$4)</f>
        <v>29.13</v>
      </c>
      <c r="E13400" s="14" t="str">
        <f aca="false">IF(C13400="","",C13400*D13400/100)</f>
        <v/>
      </c>
      <c r="F13400" s="15" t="str">
        <f aca="false">IF(B13400&lt;5,"Go","Standard")</f>
        <v>Standard</v>
      </c>
    </row>
    <row r="13401" customFormat="false" ht="15" hidden="false" customHeight="true" outlineLevel="0" collapsed="false">
      <c r="A13401" s="10" t="n">
        <f aca="false">Einstellungen!$B$5+INT((ROW()-9)/24)</f>
        <v>46524</v>
      </c>
      <c r="B13401" s="11" t="n">
        <f aca="false">MOD(ROW()-9,24)</f>
        <v>0</v>
      </c>
      <c r="C13401" s="12"/>
      <c r="D13401" s="13" t="n">
        <f aca="false">IF(B13401&lt;5,Einstellungen!$B$3,Einstellungen!$B$4)</f>
        <v>15.92</v>
      </c>
      <c r="E13401" s="14" t="str">
        <f aca="false">IF(C13401="","",C13401*D13401/100)</f>
        <v/>
      </c>
      <c r="F13401" s="15" t="str">
        <f aca="false">IF(B13401&lt;5,"Go","Standard")</f>
        <v>Go</v>
      </c>
    </row>
    <row r="13402" customFormat="false" ht="15" hidden="false" customHeight="true" outlineLevel="0" collapsed="false">
      <c r="A13402" s="10" t="n">
        <f aca="false">Einstellungen!$B$5+INT((ROW()-9)/24)</f>
        <v>46524</v>
      </c>
      <c r="B13402" s="11" t="n">
        <f aca="false">MOD(ROW()-9,24)</f>
        <v>1</v>
      </c>
      <c r="C13402" s="12"/>
      <c r="D13402" s="13" t="n">
        <f aca="false">IF(B13402&lt;5,Einstellungen!$B$3,Einstellungen!$B$4)</f>
        <v>15.92</v>
      </c>
      <c r="E13402" s="14" t="str">
        <f aca="false">IF(C13402="","",C13402*D13402/100)</f>
        <v/>
      </c>
      <c r="F13402" s="15" t="str">
        <f aca="false">IF(B13402&lt;5,"Go","Standard")</f>
        <v>Go</v>
      </c>
    </row>
    <row r="13403" customFormat="false" ht="15" hidden="false" customHeight="true" outlineLevel="0" collapsed="false">
      <c r="A13403" s="10" t="n">
        <f aca="false">Einstellungen!$B$5+INT((ROW()-9)/24)</f>
        <v>46524</v>
      </c>
      <c r="B13403" s="11" t="n">
        <f aca="false">MOD(ROW()-9,24)</f>
        <v>2</v>
      </c>
      <c r="C13403" s="12"/>
      <c r="D13403" s="13" t="n">
        <f aca="false">IF(B13403&lt;5,Einstellungen!$B$3,Einstellungen!$B$4)</f>
        <v>15.92</v>
      </c>
      <c r="E13403" s="14" t="str">
        <f aca="false">IF(C13403="","",C13403*D13403/100)</f>
        <v/>
      </c>
      <c r="F13403" s="15" t="str">
        <f aca="false">IF(B13403&lt;5,"Go","Standard")</f>
        <v>Go</v>
      </c>
    </row>
    <row r="13404" customFormat="false" ht="15" hidden="false" customHeight="true" outlineLevel="0" collapsed="false">
      <c r="A13404" s="10" t="n">
        <f aca="false">Einstellungen!$B$5+INT((ROW()-9)/24)</f>
        <v>46524</v>
      </c>
      <c r="B13404" s="11" t="n">
        <f aca="false">MOD(ROW()-9,24)</f>
        <v>3</v>
      </c>
      <c r="C13404" s="12"/>
      <c r="D13404" s="13" t="n">
        <f aca="false">IF(B13404&lt;5,Einstellungen!$B$3,Einstellungen!$B$4)</f>
        <v>15.92</v>
      </c>
      <c r="E13404" s="14" t="str">
        <f aca="false">IF(C13404="","",C13404*D13404/100)</f>
        <v/>
      </c>
      <c r="F13404" s="15" t="str">
        <f aca="false">IF(B13404&lt;5,"Go","Standard")</f>
        <v>Go</v>
      </c>
    </row>
    <row r="13405" customFormat="false" ht="15" hidden="false" customHeight="true" outlineLevel="0" collapsed="false">
      <c r="A13405" s="10" t="n">
        <f aca="false">Einstellungen!$B$5+INT((ROW()-9)/24)</f>
        <v>46524</v>
      </c>
      <c r="B13405" s="11" t="n">
        <f aca="false">MOD(ROW()-9,24)</f>
        <v>4</v>
      </c>
      <c r="C13405" s="12"/>
      <c r="D13405" s="13" t="n">
        <f aca="false">IF(B13405&lt;5,Einstellungen!$B$3,Einstellungen!$B$4)</f>
        <v>15.92</v>
      </c>
      <c r="E13405" s="14" t="str">
        <f aca="false">IF(C13405="","",C13405*D13405/100)</f>
        <v/>
      </c>
      <c r="F13405" s="15" t="str">
        <f aca="false">IF(B13405&lt;5,"Go","Standard")</f>
        <v>Go</v>
      </c>
    </row>
    <row r="13406" customFormat="false" ht="15" hidden="false" customHeight="true" outlineLevel="0" collapsed="false">
      <c r="A13406" s="10" t="n">
        <f aca="false">Einstellungen!$B$5+INT((ROW()-9)/24)</f>
        <v>46524</v>
      </c>
      <c r="B13406" s="11" t="n">
        <f aca="false">MOD(ROW()-9,24)</f>
        <v>5</v>
      </c>
      <c r="C13406" s="12"/>
      <c r="D13406" s="13" t="n">
        <f aca="false">IF(B13406&lt;5,Einstellungen!$B$3,Einstellungen!$B$4)</f>
        <v>29.13</v>
      </c>
      <c r="E13406" s="14" t="str">
        <f aca="false">IF(C13406="","",C13406*D13406/100)</f>
        <v/>
      </c>
      <c r="F13406" s="15" t="str">
        <f aca="false">IF(B13406&lt;5,"Go","Standard")</f>
        <v>Standard</v>
      </c>
    </row>
    <row r="13407" customFormat="false" ht="15" hidden="false" customHeight="true" outlineLevel="0" collapsed="false">
      <c r="A13407" s="10" t="n">
        <f aca="false">Einstellungen!$B$5+INT((ROW()-9)/24)</f>
        <v>46524</v>
      </c>
      <c r="B13407" s="11" t="n">
        <f aca="false">MOD(ROW()-9,24)</f>
        <v>6</v>
      </c>
      <c r="C13407" s="12"/>
      <c r="D13407" s="13" t="n">
        <f aca="false">IF(B13407&lt;5,Einstellungen!$B$3,Einstellungen!$B$4)</f>
        <v>29.13</v>
      </c>
      <c r="E13407" s="14" t="str">
        <f aca="false">IF(C13407="","",C13407*D13407/100)</f>
        <v/>
      </c>
      <c r="F13407" s="15" t="str">
        <f aca="false">IF(B13407&lt;5,"Go","Standard")</f>
        <v>Standard</v>
      </c>
    </row>
    <row r="13408" customFormat="false" ht="15" hidden="false" customHeight="true" outlineLevel="0" collapsed="false">
      <c r="A13408" s="10" t="n">
        <f aca="false">Einstellungen!$B$5+INT((ROW()-9)/24)</f>
        <v>46524</v>
      </c>
      <c r="B13408" s="11" t="n">
        <f aca="false">MOD(ROW()-9,24)</f>
        <v>7</v>
      </c>
      <c r="C13408" s="12"/>
      <c r="D13408" s="13" t="n">
        <f aca="false">IF(B13408&lt;5,Einstellungen!$B$3,Einstellungen!$B$4)</f>
        <v>29.13</v>
      </c>
      <c r="E13408" s="14" t="str">
        <f aca="false">IF(C13408="","",C13408*D13408/100)</f>
        <v/>
      </c>
      <c r="F13408" s="15" t="str">
        <f aca="false">IF(B13408&lt;5,"Go","Standard")</f>
        <v>Standard</v>
      </c>
    </row>
    <row r="13409" customFormat="false" ht="15" hidden="false" customHeight="true" outlineLevel="0" collapsed="false">
      <c r="A13409" s="10" t="n">
        <f aca="false">Einstellungen!$B$5+INT((ROW()-9)/24)</f>
        <v>46524</v>
      </c>
      <c r="B13409" s="11" t="n">
        <f aca="false">MOD(ROW()-9,24)</f>
        <v>8</v>
      </c>
      <c r="C13409" s="12"/>
      <c r="D13409" s="13" t="n">
        <f aca="false">IF(B13409&lt;5,Einstellungen!$B$3,Einstellungen!$B$4)</f>
        <v>29.13</v>
      </c>
      <c r="E13409" s="14" t="str">
        <f aca="false">IF(C13409="","",C13409*D13409/100)</f>
        <v/>
      </c>
      <c r="F13409" s="15" t="str">
        <f aca="false">IF(B13409&lt;5,"Go","Standard")</f>
        <v>Standard</v>
      </c>
    </row>
    <row r="13410" customFormat="false" ht="15" hidden="false" customHeight="true" outlineLevel="0" collapsed="false">
      <c r="A13410" s="10" t="n">
        <f aca="false">Einstellungen!$B$5+INT((ROW()-9)/24)</f>
        <v>46524</v>
      </c>
      <c r="B13410" s="11" t="n">
        <f aca="false">MOD(ROW()-9,24)</f>
        <v>9</v>
      </c>
      <c r="C13410" s="12"/>
      <c r="D13410" s="13" t="n">
        <f aca="false">IF(B13410&lt;5,Einstellungen!$B$3,Einstellungen!$B$4)</f>
        <v>29.13</v>
      </c>
      <c r="E13410" s="14" t="str">
        <f aca="false">IF(C13410="","",C13410*D13410/100)</f>
        <v/>
      </c>
      <c r="F13410" s="15" t="str">
        <f aca="false">IF(B13410&lt;5,"Go","Standard")</f>
        <v>Standard</v>
      </c>
    </row>
    <row r="13411" customFormat="false" ht="15" hidden="false" customHeight="true" outlineLevel="0" collapsed="false">
      <c r="A13411" s="10" t="n">
        <f aca="false">Einstellungen!$B$5+INT((ROW()-9)/24)</f>
        <v>46524</v>
      </c>
      <c r="B13411" s="11" t="n">
        <f aca="false">MOD(ROW()-9,24)</f>
        <v>10</v>
      </c>
      <c r="C13411" s="12"/>
      <c r="D13411" s="13" t="n">
        <f aca="false">IF(B13411&lt;5,Einstellungen!$B$3,Einstellungen!$B$4)</f>
        <v>29.13</v>
      </c>
      <c r="E13411" s="14" t="str">
        <f aca="false">IF(C13411="","",C13411*D13411/100)</f>
        <v/>
      </c>
      <c r="F13411" s="15" t="str">
        <f aca="false">IF(B13411&lt;5,"Go","Standard")</f>
        <v>Standard</v>
      </c>
    </row>
    <row r="13412" customFormat="false" ht="15" hidden="false" customHeight="true" outlineLevel="0" collapsed="false">
      <c r="A13412" s="10" t="n">
        <f aca="false">Einstellungen!$B$5+INT((ROW()-9)/24)</f>
        <v>46524</v>
      </c>
      <c r="B13412" s="11" t="n">
        <f aca="false">MOD(ROW()-9,24)</f>
        <v>11</v>
      </c>
      <c r="C13412" s="12"/>
      <c r="D13412" s="13" t="n">
        <f aca="false">IF(B13412&lt;5,Einstellungen!$B$3,Einstellungen!$B$4)</f>
        <v>29.13</v>
      </c>
      <c r="E13412" s="14" t="str">
        <f aca="false">IF(C13412="","",C13412*D13412/100)</f>
        <v/>
      </c>
      <c r="F13412" s="15" t="str">
        <f aca="false">IF(B13412&lt;5,"Go","Standard")</f>
        <v>Standard</v>
      </c>
    </row>
    <row r="13413" customFormat="false" ht="15" hidden="false" customHeight="true" outlineLevel="0" collapsed="false">
      <c r="A13413" s="10" t="n">
        <f aca="false">Einstellungen!$B$5+INT((ROW()-9)/24)</f>
        <v>46524</v>
      </c>
      <c r="B13413" s="11" t="n">
        <f aca="false">MOD(ROW()-9,24)</f>
        <v>12</v>
      </c>
      <c r="C13413" s="12"/>
      <c r="D13413" s="13" t="n">
        <f aca="false">IF(B13413&lt;5,Einstellungen!$B$3,Einstellungen!$B$4)</f>
        <v>29.13</v>
      </c>
      <c r="E13413" s="14" t="str">
        <f aca="false">IF(C13413="","",C13413*D13413/100)</f>
        <v/>
      </c>
      <c r="F13413" s="15" t="str">
        <f aca="false">IF(B13413&lt;5,"Go","Standard")</f>
        <v>Standard</v>
      </c>
    </row>
    <row r="13414" customFormat="false" ht="15" hidden="false" customHeight="true" outlineLevel="0" collapsed="false">
      <c r="A13414" s="10" t="n">
        <f aca="false">Einstellungen!$B$5+INT((ROW()-9)/24)</f>
        <v>46524</v>
      </c>
      <c r="B13414" s="11" t="n">
        <f aca="false">MOD(ROW()-9,24)</f>
        <v>13</v>
      </c>
      <c r="C13414" s="12"/>
      <c r="D13414" s="13" t="n">
        <f aca="false">IF(B13414&lt;5,Einstellungen!$B$3,Einstellungen!$B$4)</f>
        <v>29.13</v>
      </c>
      <c r="E13414" s="14" t="str">
        <f aca="false">IF(C13414="","",C13414*D13414/100)</f>
        <v/>
      </c>
      <c r="F13414" s="15" t="str">
        <f aca="false">IF(B13414&lt;5,"Go","Standard")</f>
        <v>Standard</v>
      </c>
    </row>
    <row r="13415" customFormat="false" ht="15" hidden="false" customHeight="true" outlineLevel="0" collapsed="false">
      <c r="A13415" s="10" t="n">
        <f aca="false">Einstellungen!$B$5+INT((ROW()-9)/24)</f>
        <v>46524</v>
      </c>
      <c r="B13415" s="11" t="n">
        <f aca="false">MOD(ROW()-9,24)</f>
        <v>14</v>
      </c>
      <c r="C13415" s="12"/>
      <c r="D13415" s="13" t="n">
        <f aca="false">IF(B13415&lt;5,Einstellungen!$B$3,Einstellungen!$B$4)</f>
        <v>29.13</v>
      </c>
      <c r="E13415" s="14" t="str">
        <f aca="false">IF(C13415="","",C13415*D13415/100)</f>
        <v/>
      </c>
      <c r="F13415" s="15" t="str">
        <f aca="false">IF(B13415&lt;5,"Go","Standard")</f>
        <v>Standard</v>
      </c>
    </row>
    <row r="13416" customFormat="false" ht="15" hidden="false" customHeight="true" outlineLevel="0" collapsed="false">
      <c r="A13416" s="10" t="n">
        <f aca="false">Einstellungen!$B$5+INT((ROW()-9)/24)</f>
        <v>46524</v>
      </c>
      <c r="B13416" s="11" t="n">
        <f aca="false">MOD(ROW()-9,24)</f>
        <v>15</v>
      </c>
      <c r="C13416" s="12"/>
      <c r="D13416" s="13" t="n">
        <f aca="false">IF(B13416&lt;5,Einstellungen!$B$3,Einstellungen!$B$4)</f>
        <v>29.13</v>
      </c>
      <c r="E13416" s="14" t="str">
        <f aca="false">IF(C13416="","",C13416*D13416/100)</f>
        <v/>
      </c>
      <c r="F13416" s="15" t="str">
        <f aca="false">IF(B13416&lt;5,"Go","Standard")</f>
        <v>Standard</v>
      </c>
    </row>
    <row r="13417" customFormat="false" ht="15" hidden="false" customHeight="true" outlineLevel="0" collapsed="false">
      <c r="A13417" s="10" t="n">
        <f aca="false">Einstellungen!$B$5+INT((ROW()-9)/24)</f>
        <v>46524</v>
      </c>
      <c r="B13417" s="11" t="n">
        <f aca="false">MOD(ROW()-9,24)</f>
        <v>16</v>
      </c>
      <c r="C13417" s="12"/>
      <c r="D13417" s="13" t="n">
        <f aca="false">IF(B13417&lt;5,Einstellungen!$B$3,Einstellungen!$B$4)</f>
        <v>29.13</v>
      </c>
      <c r="E13417" s="14" t="str">
        <f aca="false">IF(C13417="","",C13417*D13417/100)</f>
        <v/>
      </c>
      <c r="F13417" s="15" t="str">
        <f aca="false">IF(B13417&lt;5,"Go","Standard")</f>
        <v>Standard</v>
      </c>
    </row>
    <row r="13418" customFormat="false" ht="15" hidden="false" customHeight="true" outlineLevel="0" collapsed="false">
      <c r="A13418" s="10" t="n">
        <f aca="false">Einstellungen!$B$5+INT((ROW()-9)/24)</f>
        <v>46524</v>
      </c>
      <c r="B13418" s="11" t="n">
        <f aca="false">MOD(ROW()-9,24)</f>
        <v>17</v>
      </c>
      <c r="C13418" s="12"/>
      <c r="D13418" s="13" t="n">
        <f aca="false">IF(B13418&lt;5,Einstellungen!$B$3,Einstellungen!$B$4)</f>
        <v>29.13</v>
      </c>
      <c r="E13418" s="14" t="str">
        <f aca="false">IF(C13418="","",C13418*D13418/100)</f>
        <v/>
      </c>
      <c r="F13418" s="15" t="str">
        <f aca="false">IF(B13418&lt;5,"Go","Standard")</f>
        <v>Standard</v>
      </c>
    </row>
    <row r="13419" customFormat="false" ht="15" hidden="false" customHeight="true" outlineLevel="0" collapsed="false">
      <c r="A13419" s="10" t="n">
        <f aca="false">Einstellungen!$B$5+INT((ROW()-9)/24)</f>
        <v>46524</v>
      </c>
      <c r="B13419" s="11" t="n">
        <f aca="false">MOD(ROW()-9,24)</f>
        <v>18</v>
      </c>
      <c r="C13419" s="12"/>
      <c r="D13419" s="13" t="n">
        <f aca="false">IF(B13419&lt;5,Einstellungen!$B$3,Einstellungen!$B$4)</f>
        <v>29.13</v>
      </c>
      <c r="E13419" s="14" t="str">
        <f aca="false">IF(C13419="","",C13419*D13419/100)</f>
        <v/>
      </c>
      <c r="F13419" s="15" t="str">
        <f aca="false">IF(B13419&lt;5,"Go","Standard")</f>
        <v>Standard</v>
      </c>
    </row>
    <row r="13420" customFormat="false" ht="15" hidden="false" customHeight="true" outlineLevel="0" collapsed="false">
      <c r="A13420" s="10" t="n">
        <f aca="false">Einstellungen!$B$5+INT((ROW()-9)/24)</f>
        <v>46524</v>
      </c>
      <c r="B13420" s="11" t="n">
        <f aca="false">MOD(ROW()-9,24)</f>
        <v>19</v>
      </c>
      <c r="C13420" s="12"/>
      <c r="D13420" s="13" t="n">
        <f aca="false">IF(B13420&lt;5,Einstellungen!$B$3,Einstellungen!$B$4)</f>
        <v>29.13</v>
      </c>
      <c r="E13420" s="14" t="str">
        <f aca="false">IF(C13420="","",C13420*D13420/100)</f>
        <v/>
      </c>
      <c r="F13420" s="15" t="str">
        <f aca="false">IF(B13420&lt;5,"Go","Standard")</f>
        <v>Standard</v>
      </c>
    </row>
    <row r="13421" customFormat="false" ht="15" hidden="false" customHeight="true" outlineLevel="0" collapsed="false">
      <c r="A13421" s="10" t="n">
        <f aca="false">Einstellungen!$B$5+INT((ROW()-9)/24)</f>
        <v>46524</v>
      </c>
      <c r="B13421" s="11" t="n">
        <f aca="false">MOD(ROW()-9,24)</f>
        <v>20</v>
      </c>
      <c r="C13421" s="12"/>
      <c r="D13421" s="13" t="n">
        <f aca="false">IF(B13421&lt;5,Einstellungen!$B$3,Einstellungen!$B$4)</f>
        <v>29.13</v>
      </c>
      <c r="E13421" s="14" t="str">
        <f aca="false">IF(C13421="","",C13421*D13421/100)</f>
        <v/>
      </c>
      <c r="F13421" s="15" t="str">
        <f aca="false">IF(B13421&lt;5,"Go","Standard")</f>
        <v>Standard</v>
      </c>
    </row>
    <row r="13422" customFormat="false" ht="15" hidden="false" customHeight="true" outlineLevel="0" collapsed="false">
      <c r="A13422" s="10" t="n">
        <f aca="false">Einstellungen!$B$5+INT((ROW()-9)/24)</f>
        <v>46524</v>
      </c>
      <c r="B13422" s="11" t="n">
        <f aca="false">MOD(ROW()-9,24)</f>
        <v>21</v>
      </c>
      <c r="C13422" s="12"/>
      <c r="D13422" s="13" t="n">
        <f aca="false">IF(B13422&lt;5,Einstellungen!$B$3,Einstellungen!$B$4)</f>
        <v>29.13</v>
      </c>
      <c r="E13422" s="14" t="str">
        <f aca="false">IF(C13422="","",C13422*D13422/100)</f>
        <v/>
      </c>
      <c r="F13422" s="15" t="str">
        <f aca="false">IF(B13422&lt;5,"Go","Standard")</f>
        <v>Standard</v>
      </c>
    </row>
    <row r="13423" customFormat="false" ht="15" hidden="false" customHeight="true" outlineLevel="0" collapsed="false">
      <c r="A13423" s="10" t="n">
        <f aca="false">Einstellungen!$B$5+INT((ROW()-9)/24)</f>
        <v>46524</v>
      </c>
      <c r="B13423" s="11" t="n">
        <f aca="false">MOD(ROW()-9,24)</f>
        <v>22</v>
      </c>
      <c r="C13423" s="12"/>
      <c r="D13423" s="13" t="n">
        <f aca="false">IF(B13423&lt;5,Einstellungen!$B$3,Einstellungen!$B$4)</f>
        <v>29.13</v>
      </c>
      <c r="E13423" s="14" t="str">
        <f aca="false">IF(C13423="","",C13423*D13423/100)</f>
        <v/>
      </c>
      <c r="F13423" s="15" t="str">
        <f aca="false">IF(B13423&lt;5,"Go","Standard")</f>
        <v>Standard</v>
      </c>
    </row>
    <row r="13424" customFormat="false" ht="15" hidden="false" customHeight="true" outlineLevel="0" collapsed="false">
      <c r="A13424" s="10" t="n">
        <f aca="false">Einstellungen!$B$5+INT((ROW()-9)/24)</f>
        <v>46524</v>
      </c>
      <c r="B13424" s="11" t="n">
        <f aca="false">MOD(ROW()-9,24)</f>
        <v>23</v>
      </c>
      <c r="C13424" s="12"/>
      <c r="D13424" s="13" t="n">
        <f aca="false">IF(B13424&lt;5,Einstellungen!$B$3,Einstellungen!$B$4)</f>
        <v>29.13</v>
      </c>
      <c r="E13424" s="14" t="str">
        <f aca="false">IF(C13424="","",C13424*D13424/100)</f>
        <v/>
      </c>
      <c r="F13424" s="15" t="str">
        <f aca="false">IF(B13424&lt;5,"Go","Standard")</f>
        <v>Standard</v>
      </c>
    </row>
    <row r="13425" customFormat="false" ht="15" hidden="false" customHeight="true" outlineLevel="0" collapsed="false">
      <c r="A13425" s="10" t="n">
        <f aca="false">Einstellungen!$B$5+INT((ROW()-9)/24)</f>
        <v>46525</v>
      </c>
      <c r="B13425" s="11" t="n">
        <f aca="false">MOD(ROW()-9,24)</f>
        <v>0</v>
      </c>
      <c r="C13425" s="12"/>
      <c r="D13425" s="13" t="n">
        <f aca="false">IF(B13425&lt;5,Einstellungen!$B$3,Einstellungen!$B$4)</f>
        <v>15.92</v>
      </c>
      <c r="E13425" s="14" t="str">
        <f aca="false">IF(C13425="","",C13425*D13425/100)</f>
        <v/>
      </c>
      <c r="F13425" s="15" t="str">
        <f aca="false">IF(B13425&lt;5,"Go","Standard")</f>
        <v>Go</v>
      </c>
    </row>
    <row r="13426" customFormat="false" ht="15" hidden="false" customHeight="true" outlineLevel="0" collapsed="false">
      <c r="A13426" s="10" t="n">
        <f aca="false">Einstellungen!$B$5+INT((ROW()-9)/24)</f>
        <v>46525</v>
      </c>
      <c r="B13426" s="11" t="n">
        <f aca="false">MOD(ROW()-9,24)</f>
        <v>1</v>
      </c>
      <c r="C13426" s="12"/>
      <c r="D13426" s="13" t="n">
        <f aca="false">IF(B13426&lt;5,Einstellungen!$B$3,Einstellungen!$B$4)</f>
        <v>15.92</v>
      </c>
      <c r="E13426" s="14" t="str">
        <f aca="false">IF(C13426="","",C13426*D13426/100)</f>
        <v/>
      </c>
      <c r="F13426" s="15" t="str">
        <f aca="false">IF(B13426&lt;5,"Go","Standard")</f>
        <v>Go</v>
      </c>
    </row>
    <row r="13427" customFormat="false" ht="15" hidden="false" customHeight="true" outlineLevel="0" collapsed="false">
      <c r="A13427" s="10" t="n">
        <f aca="false">Einstellungen!$B$5+INT((ROW()-9)/24)</f>
        <v>46525</v>
      </c>
      <c r="B13427" s="11" t="n">
        <f aca="false">MOD(ROW()-9,24)</f>
        <v>2</v>
      </c>
      <c r="C13427" s="12"/>
      <c r="D13427" s="13" t="n">
        <f aca="false">IF(B13427&lt;5,Einstellungen!$B$3,Einstellungen!$B$4)</f>
        <v>15.92</v>
      </c>
      <c r="E13427" s="14" t="str">
        <f aca="false">IF(C13427="","",C13427*D13427/100)</f>
        <v/>
      </c>
      <c r="F13427" s="15" t="str">
        <f aca="false">IF(B13427&lt;5,"Go","Standard")</f>
        <v>Go</v>
      </c>
    </row>
    <row r="13428" customFormat="false" ht="15" hidden="false" customHeight="true" outlineLevel="0" collapsed="false">
      <c r="A13428" s="10" t="n">
        <f aca="false">Einstellungen!$B$5+INT((ROW()-9)/24)</f>
        <v>46525</v>
      </c>
      <c r="B13428" s="11" t="n">
        <f aca="false">MOD(ROW()-9,24)</f>
        <v>3</v>
      </c>
      <c r="C13428" s="12"/>
      <c r="D13428" s="13" t="n">
        <f aca="false">IF(B13428&lt;5,Einstellungen!$B$3,Einstellungen!$B$4)</f>
        <v>15.92</v>
      </c>
      <c r="E13428" s="14" t="str">
        <f aca="false">IF(C13428="","",C13428*D13428/100)</f>
        <v/>
      </c>
      <c r="F13428" s="15" t="str">
        <f aca="false">IF(B13428&lt;5,"Go","Standard")</f>
        <v>Go</v>
      </c>
    </row>
    <row r="13429" customFormat="false" ht="15" hidden="false" customHeight="true" outlineLevel="0" collapsed="false">
      <c r="A13429" s="10" t="n">
        <f aca="false">Einstellungen!$B$5+INT((ROW()-9)/24)</f>
        <v>46525</v>
      </c>
      <c r="B13429" s="11" t="n">
        <f aca="false">MOD(ROW()-9,24)</f>
        <v>4</v>
      </c>
      <c r="C13429" s="12"/>
      <c r="D13429" s="13" t="n">
        <f aca="false">IF(B13429&lt;5,Einstellungen!$B$3,Einstellungen!$B$4)</f>
        <v>15.92</v>
      </c>
      <c r="E13429" s="14" t="str">
        <f aca="false">IF(C13429="","",C13429*D13429/100)</f>
        <v/>
      </c>
      <c r="F13429" s="15" t="str">
        <f aca="false">IF(B13429&lt;5,"Go","Standard")</f>
        <v>Go</v>
      </c>
    </row>
    <row r="13430" customFormat="false" ht="15" hidden="false" customHeight="true" outlineLevel="0" collapsed="false">
      <c r="A13430" s="10" t="n">
        <f aca="false">Einstellungen!$B$5+INT((ROW()-9)/24)</f>
        <v>46525</v>
      </c>
      <c r="B13430" s="11" t="n">
        <f aca="false">MOD(ROW()-9,24)</f>
        <v>5</v>
      </c>
      <c r="C13430" s="12"/>
      <c r="D13430" s="13" t="n">
        <f aca="false">IF(B13430&lt;5,Einstellungen!$B$3,Einstellungen!$B$4)</f>
        <v>29.13</v>
      </c>
      <c r="E13430" s="14" t="str">
        <f aca="false">IF(C13430="","",C13430*D13430/100)</f>
        <v/>
      </c>
      <c r="F13430" s="15" t="str">
        <f aca="false">IF(B13430&lt;5,"Go","Standard")</f>
        <v>Standard</v>
      </c>
    </row>
    <row r="13431" customFormat="false" ht="15" hidden="false" customHeight="true" outlineLevel="0" collapsed="false">
      <c r="A13431" s="10" t="n">
        <f aca="false">Einstellungen!$B$5+INT((ROW()-9)/24)</f>
        <v>46525</v>
      </c>
      <c r="B13431" s="11" t="n">
        <f aca="false">MOD(ROW()-9,24)</f>
        <v>6</v>
      </c>
      <c r="C13431" s="12"/>
      <c r="D13431" s="13" t="n">
        <f aca="false">IF(B13431&lt;5,Einstellungen!$B$3,Einstellungen!$B$4)</f>
        <v>29.13</v>
      </c>
      <c r="E13431" s="14" t="str">
        <f aca="false">IF(C13431="","",C13431*D13431/100)</f>
        <v/>
      </c>
      <c r="F13431" s="15" t="str">
        <f aca="false">IF(B13431&lt;5,"Go","Standard")</f>
        <v>Standard</v>
      </c>
    </row>
    <row r="13432" customFormat="false" ht="15" hidden="false" customHeight="true" outlineLevel="0" collapsed="false">
      <c r="A13432" s="10" t="n">
        <f aca="false">Einstellungen!$B$5+INT((ROW()-9)/24)</f>
        <v>46525</v>
      </c>
      <c r="B13432" s="11" t="n">
        <f aca="false">MOD(ROW()-9,24)</f>
        <v>7</v>
      </c>
      <c r="C13432" s="12"/>
      <c r="D13432" s="13" t="n">
        <f aca="false">IF(B13432&lt;5,Einstellungen!$B$3,Einstellungen!$B$4)</f>
        <v>29.13</v>
      </c>
      <c r="E13432" s="14" t="str">
        <f aca="false">IF(C13432="","",C13432*D13432/100)</f>
        <v/>
      </c>
      <c r="F13432" s="15" t="str">
        <f aca="false">IF(B13432&lt;5,"Go","Standard")</f>
        <v>Standard</v>
      </c>
    </row>
    <row r="13433" customFormat="false" ht="15" hidden="false" customHeight="true" outlineLevel="0" collapsed="false">
      <c r="A13433" s="10" t="n">
        <f aca="false">Einstellungen!$B$5+INT((ROW()-9)/24)</f>
        <v>46525</v>
      </c>
      <c r="B13433" s="11" t="n">
        <f aca="false">MOD(ROW()-9,24)</f>
        <v>8</v>
      </c>
      <c r="C13433" s="12"/>
      <c r="D13433" s="13" t="n">
        <f aca="false">IF(B13433&lt;5,Einstellungen!$B$3,Einstellungen!$B$4)</f>
        <v>29.13</v>
      </c>
      <c r="E13433" s="14" t="str">
        <f aca="false">IF(C13433="","",C13433*D13433/100)</f>
        <v/>
      </c>
      <c r="F13433" s="15" t="str">
        <f aca="false">IF(B13433&lt;5,"Go","Standard")</f>
        <v>Standard</v>
      </c>
    </row>
    <row r="13434" customFormat="false" ht="15" hidden="false" customHeight="true" outlineLevel="0" collapsed="false">
      <c r="A13434" s="10" t="n">
        <f aca="false">Einstellungen!$B$5+INT((ROW()-9)/24)</f>
        <v>46525</v>
      </c>
      <c r="B13434" s="11" t="n">
        <f aca="false">MOD(ROW()-9,24)</f>
        <v>9</v>
      </c>
      <c r="C13434" s="12"/>
      <c r="D13434" s="13" t="n">
        <f aca="false">IF(B13434&lt;5,Einstellungen!$B$3,Einstellungen!$B$4)</f>
        <v>29.13</v>
      </c>
      <c r="E13434" s="14" t="str">
        <f aca="false">IF(C13434="","",C13434*D13434/100)</f>
        <v/>
      </c>
      <c r="F13434" s="15" t="str">
        <f aca="false">IF(B13434&lt;5,"Go","Standard")</f>
        <v>Standard</v>
      </c>
    </row>
    <row r="13435" customFormat="false" ht="15" hidden="false" customHeight="true" outlineLevel="0" collapsed="false">
      <c r="A13435" s="10" t="n">
        <f aca="false">Einstellungen!$B$5+INT((ROW()-9)/24)</f>
        <v>46525</v>
      </c>
      <c r="B13435" s="11" t="n">
        <f aca="false">MOD(ROW()-9,24)</f>
        <v>10</v>
      </c>
      <c r="C13435" s="12"/>
      <c r="D13435" s="13" t="n">
        <f aca="false">IF(B13435&lt;5,Einstellungen!$B$3,Einstellungen!$B$4)</f>
        <v>29.13</v>
      </c>
      <c r="E13435" s="14" t="str">
        <f aca="false">IF(C13435="","",C13435*D13435/100)</f>
        <v/>
      </c>
      <c r="F13435" s="15" t="str">
        <f aca="false">IF(B13435&lt;5,"Go","Standard")</f>
        <v>Standard</v>
      </c>
    </row>
    <row r="13436" customFormat="false" ht="15" hidden="false" customHeight="true" outlineLevel="0" collapsed="false">
      <c r="A13436" s="10" t="n">
        <f aca="false">Einstellungen!$B$5+INT((ROW()-9)/24)</f>
        <v>46525</v>
      </c>
      <c r="B13436" s="11" t="n">
        <f aca="false">MOD(ROW()-9,24)</f>
        <v>11</v>
      </c>
      <c r="C13436" s="12"/>
      <c r="D13436" s="13" t="n">
        <f aca="false">IF(B13436&lt;5,Einstellungen!$B$3,Einstellungen!$B$4)</f>
        <v>29.13</v>
      </c>
      <c r="E13436" s="14" t="str">
        <f aca="false">IF(C13436="","",C13436*D13436/100)</f>
        <v/>
      </c>
      <c r="F13436" s="15" t="str">
        <f aca="false">IF(B13436&lt;5,"Go","Standard")</f>
        <v>Standard</v>
      </c>
    </row>
    <row r="13437" customFormat="false" ht="15" hidden="false" customHeight="true" outlineLevel="0" collapsed="false">
      <c r="A13437" s="10" t="n">
        <f aca="false">Einstellungen!$B$5+INT((ROW()-9)/24)</f>
        <v>46525</v>
      </c>
      <c r="B13437" s="11" t="n">
        <f aca="false">MOD(ROW()-9,24)</f>
        <v>12</v>
      </c>
      <c r="C13437" s="12"/>
      <c r="D13437" s="13" t="n">
        <f aca="false">IF(B13437&lt;5,Einstellungen!$B$3,Einstellungen!$B$4)</f>
        <v>29.13</v>
      </c>
      <c r="E13437" s="14" t="str">
        <f aca="false">IF(C13437="","",C13437*D13437/100)</f>
        <v/>
      </c>
      <c r="F13437" s="15" t="str">
        <f aca="false">IF(B13437&lt;5,"Go","Standard")</f>
        <v>Standard</v>
      </c>
    </row>
    <row r="13438" customFormat="false" ht="15" hidden="false" customHeight="true" outlineLevel="0" collapsed="false">
      <c r="A13438" s="10" t="n">
        <f aca="false">Einstellungen!$B$5+INT((ROW()-9)/24)</f>
        <v>46525</v>
      </c>
      <c r="B13438" s="11" t="n">
        <f aca="false">MOD(ROW()-9,24)</f>
        <v>13</v>
      </c>
      <c r="C13438" s="12"/>
      <c r="D13438" s="13" t="n">
        <f aca="false">IF(B13438&lt;5,Einstellungen!$B$3,Einstellungen!$B$4)</f>
        <v>29.13</v>
      </c>
      <c r="E13438" s="14" t="str">
        <f aca="false">IF(C13438="","",C13438*D13438/100)</f>
        <v/>
      </c>
      <c r="F13438" s="15" t="str">
        <f aca="false">IF(B13438&lt;5,"Go","Standard")</f>
        <v>Standard</v>
      </c>
    </row>
    <row r="13439" customFormat="false" ht="15" hidden="false" customHeight="true" outlineLevel="0" collapsed="false">
      <c r="A13439" s="10" t="n">
        <f aca="false">Einstellungen!$B$5+INT((ROW()-9)/24)</f>
        <v>46525</v>
      </c>
      <c r="B13439" s="11" t="n">
        <f aca="false">MOD(ROW()-9,24)</f>
        <v>14</v>
      </c>
      <c r="C13439" s="12"/>
      <c r="D13439" s="13" t="n">
        <f aca="false">IF(B13439&lt;5,Einstellungen!$B$3,Einstellungen!$B$4)</f>
        <v>29.13</v>
      </c>
      <c r="E13439" s="14" t="str">
        <f aca="false">IF(C13439="","",C13439*D13439/100)</f>
        <v/>
      </c>
      <c r="F13439" s="15" t="str">
        <f aca="false">IF(B13439&lt;5,"Go","Standard")</f>
        <v>Standard</v>
      </c>
    </row>
    <row r="13440" customFormat="false" ht="15" hidden="false" customHeight="true" outlineLevel="0" collapsed="false">
      <c r="A13440" s="10" t="n">
        <f aca="false">Einstellungen!$B$5+INT((ROW()-9)/24)</f>
        <v>46525</v>
      </c>
      <c r="B13440" s="11" t="n">
        <f aca="false">MOD(ROW()-9,24)</f>
        <v>15</v>
      </c>
      <c r="C13440" s="12"/>
      <c r="D13440" s="13" t="n">
        <f aca="false">IF(B13440&lt;5,Einstellungen!$B$3,Einstellungen!$B$4)</f>
        <v>29.13</v>
      </c>
      <c r="E13440" s="14" t="str">
        <f aca="false">IF(C13440="","",C13440*D13440/100)</f>
        <v/>
      </c>
      <c r="F13440" s="15" t="str">
        <f aca="false">IF(B13440&lt;5,"Go","Standard")</f>
        <v>Standard</v>
      </c>
    </row>
    <row r="13441" customFormat="false" ht="15" hidden="false" customHeight="true" outlineLevel="0" collapsed="false">
      <c r="A13441" s="10" t="n">
        <f aca="false">Einstellungen!$B$5+INT((ROW()-9)/24)</f>
        <v>46525</v>
      </c>
      <c r="B13441" s="11" t="n">
        <f aca="false">MOD(ROW()-9,24)</f>
        <v>16</v>
      </c>
      <c r="C13441" s="12"/>
      <c r="D13441" s="13" t="n">
        <f aca="false">IF(B13441&lt;5,Einstellungen!$B$3,Einstellungen!$B$4)</f>
        <v>29.13</v>
      </c>
      <c r="E13441" s="14" t="str">
        <f aca="false">IF(C13441="","",C13441*D13441/100)</f>
        <v/>
      </c>
      <c r="F13441" s="15" t="str">
        <f aca="false">IF(B13441&lt;5,"Go","Standard")</f>
        <v>Standard</v>
      </c>
    </row>
    <row r="13442" customFormat="false" ht="15" hidden="false" customHeight="true" outlineLevel="0" collapsed="false">
      <c r="A13442" s="10" t="n">
        <f aca="false">Einstellungen!$B$5+INT((ROW()-9)/24)</f>
        <v>46525</v>
      </c>
      <c r="B13442" s="11" t="n">
        <f aca="false">MOD(ROW()-9,24)</f>
        <v>17</v>
      </c>
      <c r="C13442" s="12"/>
      <c r="D13442" s="13" t="n">
        <f aca="false">IF(B13442&lt;5,Einstellungen!$B$3,Einstellungen!$B$4)</f>
        <v>29.13</v>
      </c>
      <c r="E13442" s="14" t="str">
        <f aca="false">IF(C13442="","",C13442*D13442/100)</f>
        <v/>
      </c>
      <c r="F13442" s="15" t="str">
        <f aca="false">IF(B13442&lt;5,"Go","Standard")</f>
        <v>Standard</v>
      </c>
    </row>
    <row r="13443" customFormat="false" ht="15" hidden="false" customHeight="true" outlineLevel="0" collapsed="false">
      <c r="A13443" s="10" t="n">
        <f aca="false">Einstellungen!$B$5+INT((ROW()-9)/24)</f>
        <v>46525</v>
      </c>
      <c r="B13443" s="11" t="n">
        <f aca="false">MOD(ROW()-9,24)</f>
        <v>18</v>
      </c>
      <c r="C13443" s="12"/>
      <c r="D13443" s="13" t="n">
        <f aca="false">IF(B13443&lt;5,Einstellungen!$B$3,Einstellungen!$B$4)</f>
        <v>29.13</v>
      </c>
      <c r="E13443" s="14" t="str">
        <f aca="false">IF(C13443="","",C13443*D13443/100)</f>
        <v/>
      </c>
      <c r="F13443" s="15" t="str">
        <f aca="false">IF(B13443&lt;5,"Go","Standard")</f>
        <v>Standard</v>
      </c>
    </row>
    <row r="13444" customFormat="false" ht="15" hidden="false" customHeight="true" outlineLevel="0" collapsed="false">
      <c r="A13444" s="10" t="n">
        <f aca="false">Einstellungen!$B$5+INT((ROW()-9)/24)</f>
        <v>46525</v>
      </c>
      <c r="B13444" s="11" t="n">
        <f aca="false">MOD(ROW()-9,24)</f>
        <v>19</v>
      </c>
      <c r="C13444" s="12"/>
      <c r="D13444" s="13" t="n">
        <f aca="false">IF(B13444&lt;5,Einstellungen!$B$3,Einstellungen!$B$4)</f>
        <v>29.13</v>
      </c>
      <c r="E13444" s="14" t="str">
        <f aca="false">IF(C13444="","",C13444*D13444/100)</f>
        <v/>
      </c>
      <c r="F13444" s="15" t="str">
        <f aca="false">IF(B13444&lt;5,"Go","Standard")</f>
        <v>Standard</v>
      </c>
    </row>
    <row r="13445" customFormat="false" ht="15" hidden="false" customHeight="true" outlineLevel="0" collapsed="false">
      <c r="A13445" s="10" t="n">
        <f aca="false">Einstellungen!$B$5+INT((ROW()-9)/24)</f>
        <v>46525</v>
      </c>
      <c r="B13445" s="11" t="n">
        <f aca="false">MOD(ROW()-9,24)</f>
        <v>20</v>
      </c>
      <c r="C13445" s="12"/>
      <c r="D13445" s="13" t="n">
        <f aca="false">IF(B13445&lt;5,Einstellungen!$B$3,Einstellungen!$B$4)</f>
        <v>29.13</v>
      </c>
      <c r="E13445" s="14" t="str">
        <f aca="false">IF(C13445="","",C13445*D13445/100)</f>
        <v/>
      </c>
      <c r="F13445" s="15" t="str">
        <f aca="false">IF(B13445&lt;5,"Go","Standard")</f>
        <v>Standard</v>
      </c>
    </row>
    <row r="13446" customFormat="false" ht="15" hidden="false" customHeight="true" outlineLevel="0" collapsed="false">
      <c r="A13446" s="10" t="n">
        <f aca="false">Einstellungen!$B$5+INT((ROW()-9)/24)</f>
        <v>46525</v>
      </c>
      <c r="B13446" s="11" t="n">
        <f aca="false">MOD(ROW()-9,24)</f>
        <v>21</v>
      </c>
      <c r="C13446" s="12"/>
      <c r="D13446" s="13" t="n">
        <f aca="false">IF(B13446&lt;5,Einstellungen!$B$3,Einstellungen!$B$4)</f>
        <v>29.13</v>
      </c>
      <c r="E13446" s="14" t="str">
        <f aca="false">IF(C13446="","",C13446*D13446/100)</f>
        <v/>
      </c>
      <c r="F13446" s="15" t="str">
        <f aca="false">IF(B13446&lt;5,"Go","Standard")</f>
        <v>Standard</v>
      </c>
    </row>
    <row r="13447" customFormat="false" ht="15" hidden="false" customHeight="true" outlineLevel="0" collapsed="false">
      <c r="A13447" s="10" t="n">
        <f aca="false">Einstellungen!$B$5+INT((ROW()-9)/24)</f>
        <v>46525</v>
      </c>
      <c r="B13447" s="11" t="n">
        <f aca="false">MOD(ROW()-9,24)</f>
        <v>22</v>
      </c>
      <c r="C13447" s="12"/>
      <c r="D13447" s="13" t="n">
        <f aca="false">IF(B13447&lt;5,Einstellungen!$B$3,Einstellungen!$B$4)</f>
        <v>29.13</v>
      </c>
      <c r="E13447" s="14" t="str">
        <f aca="false">IF(C13447="","",C13447*D13447/100)</f>
        <v/>
      </c>
      <c r="F13447" s="15" t="str">
        <f aca="false">IF(B13447&lt;5,"Go","Standard")</f>
        <v>Standard</v>
      </c>
    </row>
    <row r="13448" customFormat="false" ht="15" hidden="false" customHeight="true" outlineLevel="0" collapsed="false">
      <c r="A13448" s="10" t="n">
        <f aca="false">Einstellungen!$B$5+INT((ROW()-9)/24)</f>
        <v>46525</v>
      </c>
      <c r="B13448" s="11" t="n">
        <f aca="false">MOD(ROW()-9,24)</f>
        <v>23</v>
      </c>
      <c r="C13448" s="12"/>
      <c r="D13448" s="13" t="n">
        <f aca="false">IF(B13448&lt;5,Einstellungen!$B$3,Einstellungen!$B$4)</f>
        <v>29.13</v>
      </c>
      <c r="E13448" s="14" t="str">
        <f aca="false">IF(C13448="","",C13448*D13448/100)</f>
        <v/>
      </c>
      <c r="F13448" s="15" t="str">
        <f aca="false">IF(B13448&lt;5,"Go","Standard")</f>
        <v>Standard</v>
      </c>
    </row>
    <row r="13449" customFormat="false" ht="15" hidden="false" customHeight="true" outlineLevel="0" collapsed="false">
      <c r="A13449" s="10" t="n">
        <f aca="false">Einstellungen!$B$5+INT((ROW()-9)/24)</f>
        <v>46526</v>
      </c>
      <c r="B13449" s="11" t="n">
        <f aca="false">MOD(ROW()-9,24)</f>
        <v>0</v>
      </c>
      <c r="C13449" s="12"/>
      <c r="D13449" s="13" t="n">
        <f aca="false">IF(B13449&lt;5,Einstellungen!$B$3,Einstellungen!$B$4)</f>
        <v>15.92</v>
      </c>
      <c r="E13449" s="14" t="str">
        <f aca="false">IF(C13449="","",C13449*D13449/100)</f>
        <v/>
      </c>
      <c r="F13449" s="15" t="str">
        <f aca="false">IF(B13449&lt;5,"Go","Standard")</f>
        <v>Go</v>
      </c>
    </row>
    <row r="13450" customFormat="false" ht="15" hidden="false" customHeight="true" outlineLevel="0" collapsed="false">
      <c r="A13450" s="10" t="n">
        <f aca="false">Einstellungen!$B$5+INT((ROW()-9)/24)</f>
        <v>46526</v>
      </c>
      <c r="B13450" s="11" t="n">
        <f aca="false">MOD(ROW()-9,24)</f>
        <v>1</v>
      </c>
      <c r="C13450" s="12"/>
      <c r="D13450" s="13" t="n">
        <f aca="false">IF(B13450&lt;5,Einstellungen!$B$3,Einstellungen!$B$4)</f>
        <v>15.92</v>
      </c>
      <c r="E13450" s="14" t="str">
        <f aca="false">IF(C13450="","",C13450*D13450/100)</f>
        <v/>
      </c>
      <c r="F13450" s="15" t="str">
        <f aca="false">IF(B13450&lt;5,"Go","Standard")</f>
        <v>Go</v>
      </c>
    </row>
    <row r="13451" customFormat="false" ht="15" hidden="false" customHeight="true" outlineLevel="0" collapsed="false">
      <c r="A13451" s="10" t="n">
        <f aca="false">Einstellungen!$B$5+INT((ROW()-9)/24)</f>
        <v>46526</v>
      </c>
      <c r="B13451" s="11" t="n">
        <f aca="false">MOD(ROW()-9,24)</f>
        <v>2</v>
      </c>
      <c r="C13451" s="12"/>
      <c r="D13451" s="13" t="n">
        <f aca="false">IF(B13451&lt;5,Einstellungen!$B$3,Einstellungen!$B$4)</f>
        <v>15.92</v>
      </c>
      <c r="E13451" s="14" t="str">
        <f aca="false">IF(C13451="","",C13451*D13451/100)</f>
        <v/>
      </c>
      <c r="F13451" s="15" t="str">
        <f aca="false">IF(B13451&lt;5,"Go","Standard")</f>
        <v>Go</v>
      </c>
    </row>
    <row r="13452" customFormat="false" ht="15" hidden="false" customHeight="true" outlineLevel="0" collapsed="false">
      <c r="A13452" s="10" t="n">
        <f aca="false">Einstellungen!$B$5+INT((ROW()-9)/24)</f>
        <v>46526</v>
      </c>
      <c r="B13452" s="11" t="n">
        <f aca="false">MOD(ROW()-9,24)</f>
        <v>3</v>
      </c>
      <c r="C13452" s="12"/>
      <c r="D13452" s="13" t="n">
        <f aca="false">IF(B13452&lt;5,Einstellungen!$B$3,Einstellungen!$B$4)</f>
        <v>15.92</v>
      </c>
      <c r="E13452" s="14" t="str">
        <f aca="false">IF(C13452="","",C13452*D13452/100)</f>
        <v/>
      </c>
      <c r="F13452" s="15" t="str">
        <f aca="false">IF(B13452&lt;5,"Go","Standard")</f>
        <v>Go</v>
      </c>
    </row>
    <row r="13453" customFormat="false" ht="15" hidden="false" customHeight="true" outlineLevel="0" collapsed="false">
      <c r="A13453" s="10" t="n">
        <f aca="false">Einstellungen!$B$5+INT((ROW()-9)/24)</f>
        <v>46526</v>
      </c>
      <c r="B13453" s="11" t="n">
        <f aca="false">MOD(ROW()-9,24)</f>
        <v>4</v>
      </c>
      <c r="C13453" s="12"/>
      <c r="D13453" s="13" t="n">
        <f aca="false">IF(B13453&lt;5,Einstellungen!$B$3,Einstellungen!$B$4)</f>
        <v>15.92</v>
      </c>
      <c r="E13453" s="14" t="str">
        <f aca="false">IF(C13453="","",C13453*D13453/100)</f>
        <v/>
      </c>
      <c r="F13453" s="15" t="str">
        <f aca="false">IF(B13453&lt;5,"Go","Standard")</f>
        <v>Go</v>
      </c>
    </row>
    <row r="13454" customFormat="false" ht="15" hidden="false" customHeight="true" outlineLevel="0" collapsed="false">
      <c r="A13454" s="10" t="n">
        <f aca="false">Einstellungen!$B$5+INT((ROW()-9)/24)</f>
        <v>46526</v>
      </c>
      <c r="B13454" s="11" t="n">
        <f aca="false">MOD(ROW()-9,24)</f>
        <v>5</v>
      </c>
      <c r="C13454" s="12"/>
      <c r="D13454" s="13" t="n">
        <f aca="false">IF(B13454&lt;5,Einstellungen!$B$3,Einstellungen!$B$4)</f>
        <v>29.13</v>
      </c>
      <c r="E13454" s="14" t="str">
        <f aca="false">IF(C13454="","",C13454*D13454/100)</f>
        <v/>
      </c>
      <c r="F13454" s="15" t="str">
        <f aca="false">IF(B13454&lt;5,"Go","Standard")</f>
        <v>Standard</v>
      </c>
    </row>
    <row r="13455" customFormat="false" ht="15" hidden="false" customHeight="true" outlineLevel="0" collapsed="false">
      <c r="A13455" s="10" t="n">
        <f aca="false">Einstellungen!$B$5+INT((ROW()-9)/24)</f>
        <v>46526</v>
      </c>
      <c r="B13455" s="11" t="n">
        <f aca="false">MOD(ROW()-9,24)</f>
        <v>6</v>
      </c>
      <c r="C13455" s="12"/>
      <c r="D13455" s="13" t="n">
        <f aca="false">IF(B13455&lt;5,Einstellungen!$B$3,Einstellungen!$B$4)</f>
        <v>29.13</v>
      </c>
      <c r="E13455" s="14" t="str">
        <f aca="false">IF(C13455="","",C13455*D13455/100)</f>
        <v/>
      </c>
      <c r="F13455" s="15" t="str">
        <f aca="false">IF(B13455&lt;5,"Go","Standard")</f>
        <v>Standard</v>
      </c>
    </row>
    <row r="13456" customFormat="false" ht="15" hidden="false" customHeight="true" outlineLevel="0" collapsed="false">
      <c r="A13456" s="10" t="n">
        <f aca="false">Einstellungen!$B$5+INT((ROW()-9)/24)</f>
        <v>46526</v>
      </c>
      <c r="B13456" s="11" t="n">
        <f aca="false">MOD(ROW()-9,24)</f>
        <v>7</v>
      </c>
      <c r="C13456" s="12"/>
      <c r="D13456" s="13" t="n">
        <f aca="false">IF(B13456&lt;5,Einstellungen!$B$3,Einstellungen!$B$4)</f>
        <v>29.13</v>
      </c>
      <c r="E13456" s="14" t="str">
        <f aca="false">IF(C13456="","",C13456*D13456/100)</f>
        <v/>
      </c>
      <c r="F13456" s="15" t="str">
        <f aca="false">IF(B13456&lt;5,"Go","Standard")</f>
        <v>Standard</v>
      </c>
    </row>
    <row r="13457" customFormat="false" ht="15" hidden="false" customHeight="true" outlineLevel="0" collapsed="false">
      <c r="A13457" s="10" t="n">
        <f aca="false">Einstellungen!$B$5+INT((ROW()-9)/24)</f>
        <v>46526</v>
      </c>
      <c r="B13457" s="11" t="n">
        <f aca="false">MOD(ROW()-9,24)</f>
        <v>8</v>
      </c>
      <c r="C13457" s="12"/>
      <c r="D13457" s="13" t="n">
        <f aca="false">IF(B13457&lt;5,Einstellungen!$B$3,Einstellungen!$B$4)</f>
        <v>29.13</v>
      </c>
      <c r="E13457" s="14" t="str">
        <f aca="false">IF(C13457="","",C13457*D13457/100)</f>
        <v/>
      </c>
      <c r="F13457" s="15" t="str">
        <f aca="false">IF(B13457&lt;5,"Go","Standard")</f>
        <v>Standard</v>
      </c>
    </row>
    <row r="13458" customFormat="false" ht="15" hidden="false" customHeight="true" outlineLevel="0" collapsed="false">
      <c r="A13458" s="10" t="n">
        <f aca="false">Einstellungen!$B$5+INT((ROW()-9)/24)</f>
        <v>46526</v>
      </c>
      <c r="B13458" s="11" t="n">
        <f aca="false">MOD(ROW()-9,24)</f>
        <v>9</v>
      </c>
      <c r="C13458" s="12"/>
      <c r="D13458" s="13" t="n">
        <f aca="false">IF(B13458&lt;5,Einstellungen!$B$3,Einstellungen!$B$4)</f>
        <v>29.13</v>
      </c>
      <c r="E13458" s="14" t="str">
        <f aca="false">IF(C13458="","",C13458*D13458/100)</f>
        <v/>
      </c>
      <c r="F13458" s="15" t="str">
        <f aca="false">IF(B13458&lt;5,"Go","Standard")</f>
        <v>Standard</v>
      </c>
    </row>
    <row r="13459" customFormat="false" ht="15" hidden="false" customHeight="true" outlineLevel="0" collapsed="false">
      <c r="A13459" s="10" t="n">
        <f aca="false">Einstellungen!$B$5+INT((ROW()-9)/24)</f>
        <v>46526</v>
      </c>
      <c r="B13459" s="11" t="n">
        <f aca="false">MOD(ROW()-9,24)</f>
        <v>10</v>
      </c>
      <c r="C13459" s="12"/>
      <c r="D13459" s="13" t="n">
        <f aca="false">IF(B13459&lt;5,Einstellungen!$B$3,Einstellungen!$B$4)</f>
        <v>29.13</v>
      </c>
      <c r="E13459" s="14" t="str">
        <f aca="false">IF(C13459="","",C13459*D13459/100)</f>
        <v/>
      </c>
      <c r="F13459" s="15" t="str">
        <f aca="false">IF(B13459&lt;5,"Go","Standard")</f>
        <v>Standard</v>
      </c>
    </row>
    <row r="13460" customFormat="false" ht="15" hidden="false" customHeight="true" outlineLevel="0" collapsed="false">
      <c r="A13460" s="10" t="n">
        <f aca="false">Einstellungen!$B$5+INT((ROW()-9)/24)</f>
        <v>46526</v>
      </c>
      <c r="B13460" s="11" t="n">
        <f aca="false">MOD(ROW()-9,24)</f>
        <v>11</v>
      </c>
      <c r="C13460" s="12"/>
      <c r="D13460" s="13" t="n">
        <f aca="false">IF(B13460&lt;5,Einstellungen!$B$3,Einstellungen!$B$4)</f>
        <v>29.13</v>
      </c>
      <c r="E13460" s="14" t="str">
        <f aca="false">IF(C13460="","",C13460*D13460/100)</f>
        <v/>
      </c>
      <c r="F13460" s="15" t="str">
        <f aca="false">IF(B13460&lt;5,"Go","Standard")</f>
        <v>Standard</v>
      </c>
    </row>
    <row r="13461" customFormat="false" ht="15" hidden="false" customHeight="true" outlineLevel="0" collapsed="false">
      <c r="A13461" s="10" t="n">
        <f aca="false">Einstellungen!$B$5+INT((ROW()-9)/24)</f>
        <v>46526</v>
      </c>
      <c r="B13461" s="11" t="n">
        <f aca="false">MOD(ROW()-9,24)</f>
        <v>12</v>
      </c>
      <c r="C13461" s="12"/>
      <c r="D13461" s="13" t="n">
        <f aca="false">IF(B13461&lt;5,Einstellungen!$B$3,Einstellungen!$B$4)</f>
        <v>29.13</v>
      </c>
      <c r="E13461" s="14" t="str">
        <f aca="false">IF(C13461="","",C13461*D13461/100)</f>
        <v/>
      </c>
      <c r="F13461" s="15" t="str">
        <f aca="false">IF(B13461&lt;5,"Go","Standard")</f>
        <v>Standard</v>
      </c>
    </row>
    <row r="13462" customFormat="false" ht="15" hidden="false" customHeight="true" outlineLevel="0" collapsed="false">
      <c r="A13462" s="10" t="n">
        <f aca="false">Einstellungen!$B$5+INT((ROW()-9)/24)</f>
        <v>46526</v>
      </c>
      <c r="B13462" s="11" t="n">
        <f aca="false">MOD(ROW()-9,24)</f>
        <v>13</v>
      </c>
      <c r="C13462" s="12"/>
      <c r="D13462" s="13" t="n">
        <f aca="false">IF(B13462&lt;5,Einstellungen!$B$3,Einstellungen!$B$4)</f>
        <v>29.13</v>
      </c>
      <c r="E13462" s="14" t="str">
        <f aca="false">IF(C13462="","",C13462*D13462/100)</f>
        <v/>
      </c>
      <c r="F13462" s="15" t="str">
        <f aca="false">IF(B13462&lt;5,"Go","Standard")</f>
        <v>Standard</v>
      </c>
    </row>
    <row r="13463" customFormat="false" ht="15" hidden="false" customHeight="true" outlineLevel="0" collapsed="false">
      <c r="A13463" s="10" t="n">
        <f aca="false">Einstellungen!$B$5+INT((ROW()-9)/24)</f>
        <v>46526</v>
      </c>
      <c r="B13463" s="11" t="n">
        <f aca="false">MOD(ROW()-9,24)</f>
        <v>14</v>
      </c>
      <c r="C13463" s="12"/>
      <c r="D13463" s="13" t="n">
        <f aca="false">IF(B13463&lt;5,Einstellungen!$B$3,Einstellungen!$B$4)</f>
        <v>29.13</v>
      </c>
      <c r="E13463" s="14" t="str">
        <f aca="false">IF(C13463="","",C13463*D13463/100)</f>
        <v/>
      </c>
      <c r="F13463" s="15" t="str">
        <f aca="false">IF(B13463&lt;5,"Go","Standard")</f>
        <v>Standard</v>
      </c>
    </row>
    <row r="13464" customFormat="false" ht="15" hidden="false" customHeight="true" outlineLevel="0" collapsed="false">
      <c r="A13464" s="10" t="n">
        <f aca="false">Einstellungen!$B$5+INT((ROW()-9)/24)</f>
        <v>46526</v>
      </c>
      <c r="B13464" s="11" t="n">
        <f aca="false">MOD(ROW()-9,24)</f>
        <v>15</v>
      </c>
      <c r="C13464" s="12"/>
      <c r="D13464" s="13" t="n">
        <f aca="false">IF(B13464&lt;5,Einstellungen!$B$3,Einstellungen!$B$4)</f>
        <v>29.13</v>
      </c>
      <c r="E13464" s="14" t="str">
        <f aca="false">IF(C13464="","",C13464*D13464/100)</f>
        <v/>
      </c>
      <c r="F13464" s="15" t="str">
        <f aca="false">IF(B13464&lt;5,"Go","Standard")</f>
        <v>Standard</v>
      </c>
    </row>
    <row r="13465" customFormat="false" ht="15" hidden="false" customHeight="true" outlineLevel="0" collapsed="false">
      <c r="A13465" s="10" t="n">
        <f aca="false">Einstellungen!$B$5+INT((ROW()-9)/24)</f>
        <v>46526</v>
      </c>
      <c r="B13465" s="11" t="n">
        <f aca="false">MOD(ROW()-9,24)</f>
        <v>16</v>
      </c>
      <c r="C13465" s="12"/>
      <c r="D13465" s="13" t="n">
        <f aca="false">IF(B13465&lt;5,Einstellungen!$B$3,Einstellungen!$B$4)</f>
        <v>29.13</v>
      </c>
      <c r="E13465" s="14" t="str">
        <f aca="false">IF(C13465="","",C13465*D13465/100)</f>
        <v/>
      </c>
      <c r="F13465" s="15" t="str">
        <f aca="false">IF(B13465&lt;5,"Go","Standard")</f>
        <v>Standard</v>
      </c>
    </row>
    <row r="13466" customFormat="false" ht="15" hidden="false" customHeight="true" outlineLevel="0" collapsed="false">
      <c r="A13466" s="10" t="n">
        <f aca="false">Einstellungen!$B$5+INT((ROW()-9)/24)</f>
        <v>46526</v>
      </c>
      <c r="B13466" s="11" t="n">
        <f aca="false">MOD(ROW()-9,24)</f>
        <v>17</v>
      </c>
      <c r="C13466" s="12"/>
      <c r="D13466" s="13" t="n">
        <f aca="false">IF(B13466&lt;5,Einstellungen!$B$3,Einstellungen!$B$4)</f>
        <v>29.13</v>
      </c>
      <c r="E13466" s="14" t="str">
        <f aca="false">IF(C13466="","",C13466*D13466/100)</f>
        <v/>
      </c>
      <c r="F13466" s="15" t="str">
        <f aca="false">IF(B13466&lt;5,"Go","Standard")</f>
        <v>Standard</v>
      </c>
    </row>
    <row r="13467" customFormat="false" ht="15" hidden="false" customHeight="true" outlineLevel="0" collapsed="false">
      <c r="A13467" s="10" t="n">
        <f aca="false">Einstellungen!$B$5+INT((ROW()-9)/24)</f>
        <v>46526</v>
      </c>
      <c r="B13467" s="11" t="n">
        <f aca="false">MOD(ROW()-9,24)</f>
        <v>18</v>
      </c>
      <c r="C13467" s="12"/>
      <c r="D13467" s="13" t="n">
        <f aca="false">IF(B13467&lt;5,Einstellungen!$B$3,Einstellungen!$B$4)</f>
        <v>29.13</v>
      </c>
      <c r="E13467" s="14" t="str">
        <f aca="false">IF(C13467="","",C13467*D13467/100)</f>
        <v/>
      </c>
      <c r="F13467" s="15" t="str">
        <f aca="false">IF(B13467&lt;5,"Go","Standard")</f>
        <v>Standard</v>
      </c>
    </row>
    <row r="13468" customFormat="false" ht="15" hidden="false" customHeight="true" outlineLevel="0" collapsed="false">
      <c r="A13468" s="10" t="n">
        <f aca="false">Einstellungen!$B$5+INT((ROW()-9)/24)</f>
        <v>46526</v>
      </c>
      <c r="B13468" s="11" t="n">
        <f aca="false">MOD(ROW()-9,24)</f>
        <v>19</v>
      </c>
      <c r="C13468" s="12"/>
      <c r="D13468" s="13" t="n">
        <f aca="false">IF(B13468&lt;5,Einstellungen!$B$3,Einstellungen!$B$4)</f>
        <v>29.13</v>
      </c>
      <c r="E13468" s="14" t="str">
        <f aca="false">IF(C13468="","",C13468*D13468/100)</f>
        <v/>
      </c>
      <c r="F13468" s="15" t="str">
        <f aca="false">IF(B13468&lt;5,"Go","Standard")</f>
        <v>Standard</v>
      </c>
    </row>
    <row r="13469" customFormat="false" ht="15" hidden="false" customHeight="true" outlineLevel="0" collapsed="false">
      <c r="A13469" s="10" t="n">
        <f aca="false">Einstellungen!$B$5+INT((ROW()-9)/24)</f>
        <v>46526</v>
      </c>
      <c r="B13469" s="11" t="n">
        <f aca="false">MOD(ROW()-9,24)</f>
        <v>20</v>
      </c>
      <c r="C13469" s="12"/>
      <c r="D13469" s="13" t="n">
        <f aca="false">IF(B13469&lt;5,Einstellungen!$B$3,Einstellungen!$B$4)</f>
        <v>29.13</v>
      </c>
      <c r="E13469" s="14" t="str">
        <f aca="false">IF(C13469="","",C13469*D13469/100)</f>
        <v/>
      </c>
      <c r="F13469" s="15" t="str">
        <f aca="false">IF(B13469&lt;5,"Go","Standard")</f>
        <v>Standard</v>
      </c>
    </row>
    <row r="13470" customFormat="false" ht="15" hidden="false" customHeight="true" outlineLevel="0" collapsed="false">
      <c r="A13470" s="10" t="n">
        <f aca="false">Einstellungen!$B$5+INT((ROW()-9)/24)</f>
        <v>46526</v>
      </c>
      <c r="B13470" s="11" t="n">
        <f aca="false">MOD(ROW()-9,24)</f>
        <v>21</v>
      </c>
      <c r="C13470" s="12"/>
      <c r="D13470" s="13" t="n">
        <f aca="false">IF(B13470&lt;5,Einstellungen!$B$3,Einstellungen!$B$4)</f>
        <v>29.13</v>
      </c>
      <c r="E13470" s="14" t="str">
        <f aca="false">IF(C13470="","",C13470*D13470/100)</f>
        <v/>
      </c>
      <c r="F13470" s="15" t="str">
        <f aca="false">IF(B13470&lt;5,"Go","Standard")</f>
        <v>Standard</v>
      </c>
    </row>
    <row r="13471" customFormat="false" ht="15" hidden="false" customHeight="true" outlineLevel="0" collapsed="false">
      <c r="A13471" s="10" t="n">
        <f aca="false">Einstellungen!$B$5+INT((ROW()-9)/24)</f>
        <v>46526</v>
      </c>
      <c r="B13471" s="11" t="n">
        <f aca="false">MOD(ROW()-9,24)</f>
        <v>22</v>
      </c>
      <c r="C13471" s="12"/>
      <c r="D13471" s="13" t="n">
        <f aca="false">IF(B13471&lt;5,Einstellungen!$B$3,Einstellungen!$B$4)</f>
        <v>29.13</v>
      </c>
      <c r="E13471" s="14" t="str">
        <f aca="false">IF(C13471="","",C13471*D13471/100)</f>
        <v/>
      </c>
      <c r="F13471" s="15" t="str">
        <f aca="false">IF(B13471&lt;5,"Go","Standard")</f>
        <v>Standard</v>
      </c>
    </row>
    <row r="13472" customFormat="false" ht="15" hidden="false" customHeight="true" outlineLevel="0" collapsed="false">
      <c r="A13472" s="10" t="n">
        <f aca="false">Einstellungen!$B$5+INT((ROW()-9)/24)</f>
        <v>46526</v>
      </c>
      <c r="B13472" s="11" t="n">
        <f aca="false">MOD(ROW()-9,24)</f>
        <v>23</v>
      </c>
      <c r="C13472" s="12"/>
      <c r="D13472" s="13" t="n">
        <f aca="false">IF(B13472&lt;5,Einstellungen!$B$3,Einstellungen!$B$4)</f>
        <v>29.13</v>
      </c>
      <c r="E13472" s="14" t="str">
        <f aca="false">IF(C13472="","",C13472*D13472/100)</f>
        <v/>
      </c>
      <c r="F13472" s="15" t="str">
        <f aca="false">IF(B13472&lt;5,"Go","Standard")</f>
        <v>Standard</v>
      </c>
    </row>
    <row r="13473" customFormat="false" ht="15" hidden="false" customHeight="true" outlineLevel="0" collapsed="false">
      <c r="A13473" s="10" t="n">
        <f aca="false">Einstellungen!$B$5+INT((ROW()-9)/24)</f>
        <v>46527</v>
      </c>
      <c r="B13473" s="11" t="n">
        <f aca="false">MOD(ROW()-9,24)</f>
        <v>0</v>
      </c>
      <c r="C13473" s="12"/>
      <c r="D13473" s="13" t="n">
        <f aca="false">IF(B13473&lt;5,Einstellungen!$B$3,Einstellungen!$B$4)</f>
        <v>15.92</v>
      </c>
      <c r="E13473" s="14" t="str">
        <f aca="false">IF(C13473="","",C13473*D13473/100)</f>
        <v/>
      </c>
      <c r="F13473" s="15" t="str">
        <f aca="false">IF(B13473&lt;5,"Go","Standard")</f>
        <v>Go</v>
      </c>
    </row>
    <row r="13474" customFormat="false" ht="15" hidden="false" customHeight="true" outlineLevel="0" collapsed="false">
      <c r="A13474" s="10" t="n">
        <f aca="false">Einstellungen!$B$5+INT((ROW()-9)/24)</f>
        <v>46527</v>
      </c>
      <c r="B13474" s="11" t="n">
        <f aca="false">MOD(ROW()-9,24)</f>
        <v>1</v>
      </c>
      <c r="C13474" s="12"/>
      <c r="D13474" s="13" t="n">
        <f aca="false">IF(B13474&lt;5,Einstellungen!$B$3,Einstellungen!$B$4)</f>
        <v>15.92</v>
      </c>
      <c r="E13474" s="14" t="str">
        <f aca="false">IF(C13474="","",C13474*D13474/100)</f>
        <v/>
      </c>
      <c r="F13474" s="15" t="str">
        <f aca="false">IF(B13474&lt;5,"Go","Standard")</f>
        <v>Go</v>
      </c>
    </row>
    <row r="13475" customFormat="false" ht="15" hidden="false" customHeight="true" outlineLevel="0" collapsed="false">
      <c r="A13475" s="10" t="n">
        <f aca="false">Einstellungen!$B$5+INT((ROW()-9)/24)</f>
        <v>46527</v>
      </c>
      <c r="B13475" s="11" t="n">
        <f aca="false">MOD(ROW()-9,24)</f>
        <v>2</v>
      </c>
      <c r="C13475" s="12"/>
      <c r="D13475" s="13" t="n">
        <f aca="false">IF(B13475&lt;5,Einstellungen!$B$3,Einstellungen!$B$4)</f>
        <v>15.92</v>
      </c>
      <c r="E13475" s="14" t="str">
        <f aca="false">IF(C13475="","",C13475*D13475/100)</f>
        <v/>
      </c>
      <c r="F13475" s="15" t="str">
        <f aca="false">IF(B13475&lt;5,"Go","Standard")</f>
        <v>Go</v>
      </c>
    </row>
    <row r="13476" customFormat="false" ht="15" hidden="false" customHeight="true" outlineLevel="0" collapsed="false">
      <c r="A13476" s="10" t="n">
        <f aca="false">Einstellungen!$B$5+INT((ROW()-9)/24)</f>
        <v>46527</v>
      </c>
      <c r="B13476" s="11" t="n">
        <f aca="false">MOD(ROW()-9,24)</f>
        <v>3</v>
      </c>
      <c r="C13476" s="12"/>
      <c r="D13476" s="13" t="n">
        <f aca="false">IF(B13476&lt;5,Einstellungen!$B$3,Einstellungen!$B$4)</f>
        <v>15.92</v>
      </c>
      <c r="E13476" s="14" t="str">
        <f aca="false">IF(C13476="","",C13476*D13476/100)</f>
        <v/>
      </c>
      <c r="F13476" s="15" t="str">
        <f aca="false">IF(B13476&lt;5,"Go","Standard")</f>
        <v>Go</v>
      </c>
    </row>
    <row r="13477" customFormat="false" ht="15" hidden="false" customHeight="true" outlineLevel="0" collapsed="false">
      <c r="A13477" s="10" t="n">
        <f aca="false">Einstellungen!$B$5+INT((ROW()-9)/24)</f>
        <v>46527</v>
      </c>
      <c r="B13477" s="11" t="n">
        <f aca="false">MOD(ROW()-9,24)</f>
        <v>4</v>
      </c>
      <c r="C13477" s="12"/>
      <c r="D13477" s="13" t="n">
        <f aca="false">IF(B13477&lt;5,Einstellungen!$B$3,Einstellungen!$B$4)</f>
        <v>15.92</v>
      </c>
      <c r="E13477" s="14" t="str">
        <f aca="false">IF(C13477="","",C13477*D13477/100)</f>
        <v/>
      </c>
      <c r="F13477" s="15" t="str">
        <f aca="false">IF(B13477&lt;5,"Go","Standard")</f>
        <v>Go</v>
      </c>
    </row>
    <row r="13478" customFormat="false" ht="15" hidden="false" customHeight="true" outlineLevel="0" collapsed="false">
      <c r="A13478" s="10" t="n">
        <f aca="false">Einstellungen!$B$5+INT((ROW()-9)/24)</f>
        <v>46527</v>
      </c>
      <c r="B13478" s="11" t="n">
        <f aca="false">MOD(ROW()-9,24)</f>
        <v>5</v>
      </c>
      <c r="C13478" s="12"/>
      <c r="D13478" s="13" t="n">
        <f aca="false">IF(B13478&lt;5,Einstellungen!$B$3,Einstellungen!$B$4)</f>
        <v>29.13</v>
      </c>
      <c r="E13478" s="14" t="str">
        <f aca="false">IF(C13478="","",C13478*D13478/100)</f>
        <v/>
      </c>
      <c r="F13478" s="15" t="str">
        <f aca="false">IF(B13478&lt;5,"Go","Standard")</f>
        <v>Standard</v>
      </c>
    </row>
    <row r="13479" customFormat="false" ht="15" hidden="false" customHeight="true" outlineLevel="0" collapsed="false">
      <c r="A13479" s="10" t="n">
        <f aca="false">Einstellungen!$B$5+INT((ROW()-9)/24)</f>
        <v>46527</v>
      </c>
      <c r="B13479" s="11" t="n">
        <f aca="false">MOD(ROW()-9,24)</f>
        <v>6</v>
      </c>
      <c r="C13479" s="12"/>
      <c r="D13479" s="13" t="n">
        <f aca="false">IF(B13479&lt;5,Einstellungen!$B$3,Einstellungen!$B$4)</f>
        <v>29.13</v>
      </c>
      <c r="E13479" s="14" t="str">
        <f aca="false">IF(C13479="","",C13479*D13479/100)</f>
        <v/>
      </c>
      <c r="F13479" s="15" t="str">
        <f aca="false">IF(B13479&lt;5,"Go","Standard")</f>
        <v>Standard</v>
      </c>
    </row>
    <row r="13480" customFormat="false" ht="15" hidden="false" customHeight="true" outlineLevel="0" collapsed="false">
      <c r="A13480" s="10" t="n">
        <f aca="false">Einstellungen!$B$5+INT((ROW()-9)/24)</f>
        <v>46527</v>
      </c>
      <c r="B13480" s="11" t="n">
        <f aca="false">MOD(ROW()-9,24)</f>
        <v>7</v>
      </c>
      <c r="C13480" s="12"/>
      <c r="D13480" s="13" t="n">
        <f aca="false">IF(B13480&lt;5,Einstellungen!$B$3,Einstellungen!$B$4)</f>
        <v>29.13</v>
      </c>
      <c r="E13480" s="14" t="str">
        <f aca="false">IF(C13480="","",C13480*D13480/100)</f>
        <v/>
      </c>
      <c r="F13480" s="15" t="str">
        <f aca="false">IF(B13480&lt;5,"Go","Standard")</f>
        <v>Standard</v>
      </c>
    </row>
    <row r="13481" customFormat="false" ht="15" hidden="false" customHeight="true" outlineLevel="0" collapsed="false">
      <c r="A13481" s="10" t="n">
        <f aca="false">Einstellungen!$B$5+INT((ROW()-9)/24)</f>
        <v>46527</v>
      </c>
      <c r="B13481" s="11" t="n">
        <f aca="false">MOD(ROW()-9,24)</f>
        <v>8</v>
      </c>
      <c r="C13481" s="12"/>
      <c r="D13481" s="13" t="n">
        <f aca="false">IF(B13481&lt;5,Einstellungen!$B$3,Einstellungen!$B$4)</f>
        <v>29.13</v>
      </c>
      <c r="E13481" s="14" t="str">
        <f aca="false">IF(C13481="","",C13481*D13481/100)</f>
        <v/>
      </c>
      <c r="F13481" s="15" t="str">
        <f aca="false">IF(B13481&lt;5,"Go","Standard")</f>
        <v>Standard</v>
      </c>
    </row>
    <row r="13482" customFormat="false" ht="15" hidden="false" customHeight="true" outlineLevel="0" collapsed="false">
      <c r="A13482" s="10" t="n">
        <f aca="false">Einstellungen!$B$5+INT((ROW()-9)/24)</f>
        <v>46527</v>
      </c>
      <c r="B13482" s="11" t="n">
        <f aca="false">MOD(ROW()-9,24)</f>
        <v>9</v>
      </c>
      <c r="C13482" s="12"/>
      <c r="D13482" s="13" t="n">
        <f aca="false">IF(B13482&lt;5,Einstellungen!$B$3,Einstellungen!$B$4)</f>
        <v>29.13</v>
      </c>
      <c r="E13482" s="14" t="str">
        <f aca="false">IF(C13482="","",C13482*D13482/100)</f>
        <v/>
      </c>
      <c r="F13482" s="15" t="str">
        <f aca="false">IF(B13482&lt;5,"Go","Standard")</f>
        <v>Standard</v>
      </c>
    </row>
    <row r="13483" customFormat="false" ht="15" hidden="false" customHeight="true" outlineLevel="0" collapsed="false">
      <c r="A13483" s="10" t="n">
        <f aca="false">Einstellungen!$B$5+INT((ROW()-9)/24)</f>
        <v>46527</v>
      </c>
      <c r="B13483" s="11" t="n">
        <f aca="false">MOD(ROW()-9,24)</f>
        <v>10</v>
      </c>
      <c r="C13483" s="12"/>
      <c r="D13483" s="13" t="n">
        <f aca="false">IF(B13483&lt;5,Einstellungen!$B$3,Einstellungen!$B$4)</f>
        <v>29.13</v>
      </c>
      <c r="E13483" s="14" t="str">
        <f aca="false">IF(C13483="","",C13483*D13483/100)</f>
        <v/>
      </c>
      <c r="F13483" s="15" t="str">
        <f aca="false">IF(B13483&lt;5,"Go","Standard")</f>
        <v>Standard</v>
      </c>
    </row>
    <row r="13484" customFormat="false" ht="15" hidden="false" customHeight="true" outlineLevel="0" collapsed="false">
      <c r="A13484" s="10" t="n">
        <f aca="false">Einstellungen!$B$5+INT((ROW()-9)/24)</f>
        <v>46527</v>
      </c>
      <c r="B13484" s="11" t="n">
        <f aca="false">MOD(ROW()-9,24)</f>
        <v>11</v>
      </c>
      <c r="C13484" s="12"/>
      <c r="D13484" s="13" t="n">
        <f aca="false">IF(B13484&lt;5,Einstellungen!$B$3,Einstellungen!$B$4)</f>
        <v>29.13</v>
      </c>
      <c r="E13484" s="14" t="str">
        <f aca="false">IF(C13484="","",C13484*D13484/100)</f>
        <v/>
      </c>
      <c r="F13484" s="15" t="str">
        <f aca="false">IF(B13484&lt;5,"Go","Standard")</f>
        <v>Standard</v>
      </c>
    </row>
    <row r="13485" customFormat="false" ht="15" hidden="false" customHeight="true" outlineLevel="0" collapsed="false">
      <c r="A13485" s="10" t="n">
        <f aca="false">Einstellungen!$B$5+INT((ROW()-9)/24)</f>
        <v>46527</v>
      </c>
      <c r="B13485" s="11" t="n">
        <f aca="false">MOD(ROW()-9,24)</f>
        <v>12</v>
      </c>
      <c r="C13485" s="12"/>
      <c r="D13485" s="13" t="n">
        <f aca="false">IF(B13485&lt;5,Einstellungen!$B$3,Einstellungen!$B$4)</f>
        <v>29.13</v>
      </c>
      <c r="E13485" s="14" t="str">
        <f aca="false">IF(C13485="","",C13485*D13485/100)</f>
        <v/>
      </c>
      <c r="F13485" s="15" t="str">
        <f aca="false">IF(B13485&lt;5,"Go","Standard")</f>
        <v>Standard</v>
      </c>
    </row>
    <row r="13486" customFormat="false" ht="15" hidden="false" customHeight="true" outlineLevel="0" collapsed="false">
      <c r="A13486" s="10" t="n">
        <f aca="false">Einstellungen!$B$5+INT((ROW()-9)/24)</f>
        <v>46527</v>
      </c>
      <c r="B13486" s="11" t="n">
        <f aca="false">MOD(ROW()-9,24)</f>
        <v>13</v>
      </c>
      <c r="C13486" s="12"/>
      <c r="D13486" s="13" t="n">
        <f aca="false">IF(B13486&lt;5,Einstellungen!$B$3,Einstellungen!$B$4)</f>
        <v>29.13</v>
      </c>
      <c r="E13486" s="14" t="str">
        <f aca="false">IF(C13486="","",C13486*D13486/100)</f>
        <v/>
      </c>
      <c r="F13486" s="15" t="str">
        <f aca="false">IF(B13486&lt;5,"Go","Standard")</f>
        <v>Standard</v>
      </c>
    </row>
    <row r="13487" customFormat="false" ht="15" hidden="false" customHeight="true" outlineLevel="0" collapsed="false">
      <c r="A13487" s="10" t="n">
        <f aca="false">Einstellungen!$B$5+INT((ROW()-9)/24)</f>
        <v>46527</v>
      </c>
      <c r="B13487" s="11" t="n">
        <f aca="false">MOD(ROW()-9,24)</f>
        <v>14</v>
      </c>
      <c r="C13487" s="12"/>
      <c r="D13487" s="13" t="n">
        <f aca="false">IF(B13487&lt;5,Einstellungen!$B$3,Einstellungen!$B$4)</f>
        <v>29.13</v>
      </c>
      <c r="E13487" s="14" t="str">
        <f aca="false">IF(C13487="","",C13487*D13487/100)</f>
        <v/>
      </c>
      <c r="F13487" s="15" t="str">
        <f aca="false">IF(B13487&lt;5,"Go","Standard")</f>
        <v>Standard</v>
      </c>
    </row>
    <row r="13488" customFormat="false" ht="15" hidden="false" customHeight="true" outlineLevel="0" collapsed="false">
      <c r="A13488" s="10" t="n">
        <f aca="false">Einstellungen!$B$5+INT((ROW()-9)/24)</f>
        <v>46527</v>
      </c>
      <c r="B13488" s="11" t="n">
        <f aca="false">MOD(ROW()-9,24)</f>
        <v>15</v>
      </c>
      <c r="C13488" s="12"/>
      <c r="D13488" s="13" t="n">
        <f aca="false">IF(B13488&lt;5,Einstellungen!$B$3,Einstellungen!$B$4)</f>
        <v>29.13</v>
      </c>
      <c r="E13488" s="14" t="str">
        <f aca="false">IF(C13488="","",C13488*D13488/100)</f>
        <v/>
      </c>
      <c r="F13488" s="15" t="str">
        <f aca="false">IF(B13488&lt;5,"Go","Standard")</f>
        <v>Standard</v>
      </c>
    </row>
    <row r="13489" customFormat="false" ht="15" hidden="false" customHeight="true" outlineLevel="0" collapsed="false">
      <c r="A13489" s="10" t="n">
        <f aca="false">Einstellungen!$B$5+INT((ROW()-9)/24)</f>
        <v>46527</v>
      </c>
      <c r="B13489" s="11" t="n">
        <f aca="false">MOD(ROW()-9,24)</f>
        <v>16</v>
      </c>
      <c r="C13489" s="12"/>
      <c r="D13489" s="13" t="n">
        <f aca="false">IF(B13489&lt;5,Einstellungen!$B$3,Einstellungen!$B$4)</f>
        <v>29.13</v>
      </c>
      <c r="E13489" s="14" t="str">
        <f aca="false">IF(C13489="","",C13489*D13489/100)</f>
        <v/>
      </c>
      <c r="F13489" s="15" t="str">
        <f aca="false">IF(B13489&lt;5,"Go","Standard")</f>
        <v>Standard</v>
      </c>
    </row>
    <row r="13490" customFormat="false" ht="15" hidden="false" customHeight="true" outlineLevel="0" collapsed="false">
      <c r="A13490" s="10" t="n">
        <f aca="false">Einstellungen!$B$5+INT((ROW()-9)/24)</f>
        <v>46527</v>
      </c>
      <c r="B13490" s="11" t="n">
        <f aca="false">MOD(ROW()-9,24)</f>
        <v>17</v>
      </c>
      <c r="C13490" s="12"/>
      <c r="D13490" s="13" t="n">
        <f aca="false">IF(B13490&lt;5,Einstellungen!$B$3,Einstellungen!$B$4)</f>
        <v>29.13</v>
      </c>
      <c r="E13490" s="14" t="str">
        <f aca="false">IF(C13490="","",C13490*D13490/100)</f>
        <v/>
      </c>
      <c r="F13490" s="15" t="str">
        <f aca="false">IF(B13490&lt;5,"Go","Standard")</f>
        <v>Standard</v>
      </c>
    </row>
    <row r="13491" customFormat="false" ht="15" hidden="false" customHeight="true" outlineLevel="0" collapsed="false">
      <c r="A13491" s="10" t="n">
        <f aca="false">Einstellungen!$B$5+INT((ROW()-9)/24)</f>
        <v>46527</v>
      </c>
      <c r="B13491" s="11" t="n">
        <f aca="false">MOD(ROW()-9,24)</f>
        <v>18</v>
      </c>
      <c r="C13491" s="12"/>
      <c r="D13491" s="13" t="n">
        <f aca="false">IF(B13491&lt;5,Einstellungen!$B$3,Einstellungen!$B$4)</f>
        <v>29.13</v>
      </c>
      <c r="E13491" s="14" t="str">
        <f aca="false">IF(C13491="","",C13491*D13491/100)</f>
        <v/>
      </c>
      <c r="F13491" s="15" t="str">
        <f aca="false">IF(B13491&lt;5,"Go","Standard")</f>
        <v>Standard</v>
      </c>
    </row>
    <row r="13492" customFormat="false" ht="15" hidden="false" customHeight="true" outlineLevel="0" collapsed="false">
      <c r="A13492" s="10" t="n">
        <f aca="false">Einstellungen!$B$5+INT((ROW()-9)/24)</f>
        <v>46527</v>
      </c>
      <c r="B13492" s="11" t="n">
        <f aca="false">MOD(ROW()-9,24)</f>
        <v>19</v>
      </c>
      <c r="C13492" s="12"/>
      <c r="D13492" s="13" t="n">
        <f aca="false">IF(B13492&lt;5,Einstellungen!$B$3,Einstellungen!$B$4)</f>
        <v>29.13</v>
      </c>
      <c r="E13492" s="14" t="str">
        <f aca="false">IF(C13492="","",C13492*D13492/100)</f>
        <v/>
      </c>
      <c r="F13492" s="15" t="str">
        <f aca="false">IF(B13492&lt;5,"Go","Standard")</f>
        <v>Standard</v>
      </c>
    </row>
    <row r="13493" customFormat="false" ht="15" hidden="false" customHeight="true" outlineLevel="0" collapsed="false">
      <c r="A13493" s="10" t="n">
        <f aca="false">Einstellungen!$B$5+INT((ROW()-9)/24)</f>
        <v>46527</v>
      </c>
      <c r="B13493" s="11" t="n">
        <f aca="false">MOD(ROW()-9,24)</f>
        <v>20</v>
      </c>
      <c r="C13493" s="12"/>
      <c r="D13493" s="13" t="n">
        <f aca="false">IF(B13493&lt;5,Einstellungen!$B$3,Einstellungen!$B$4)</f>
        <v>29.13</v>
      </c>
      <c r="E13493" s="14" t="str">
        <f aca="false">IF(C13493="","",C13493*D13493/100)</f>
        <v/>
      </c>
      <c r="F13493" s="15" t="str">
        <f aca="false">IF(B13493&lt;5,"Go","Standard")</f>
        <v>Standard</v>
      </c>
    </row>
    <row r="13494" customFormat="false" ht="15" hidden="false" customHeight="true" outlineLevel="0" collapsed="false">
      <c r="A13494" s="10" t="n">
        <f aca="false">Einstellungen!$B$5+INT((ROW()-9)/24)</f>
        <v>46527</v>
      </c>
      <c r="B13494" s="11" t="n">
        <f aca="false">MOD(ROW()-9,24)</f>
        <v>21</v>
      </c>
      <c r="C13494" s="12"/>
      <c r="D13494" s="13" t="n">
        <f aca="false">IF(B13494&lt;5,Einstellungen!$B$3,Einstellungen!$B$4)</f>
        <v>29.13</v>
      </c>
      <c r="E13494" s="14" t="str">
        <f aca="false">IF(C13494="","",C13494*D13494/100)</f>
        <v/>
      </c>
      <c r="F13494" s="15" t="str">
        <f aca="false">IF(B13494&lt;5,"Go","Standard")</f>
        <v>Standard</v>
      </c>
    </row>
    <row r="13495" customFormat="false" ht="15" hidden="false" customHeight="true" outlineLevel="0" collapsed="false">
      <c r="A13495" s="10" t="n">
        <f aca="false">Einstellungen!$B$5+INT((ROW()-9)/24)</f>
        <v>46527</v>
      </c>
      <c r="B13495" s="11" t="n">
        <f aca="false">MOD(ROW()-9,24)</f>
        <v>22</v>
      </c>
      <c r="C13495" s="12"/>
      <c r="D13495" s="13" t="n">
        <f aca="false">IF(B13495&lt;5,Einstellungen!$B$3,Einstellungen!$B$4)</f>
        <v>29.13</v>
      </c>
      <c r="E13495" s="14" t="str">
        <f aca="false">IF(C13495="","",C13495*D13495/100)</f>
        <v/>
      </c>
      <c r="F13495" s="15" t="str">
        <f aca="false">IF(B13495&lt;5,"Go","Standard")</f>
        <v>Standard</v>
      </c>
    </row>
    <row r="13496" customFormat="false" ht="15" hidden="false" customHeight="true" outlineLevel="0" collapsed="false">
      <c r="A13496" s="10" t="n">
        <f aca="false">Einstellungen!$B$5+INT((ROW()-9)/24)</f>
        <v>46527</v>
      </c>
      <c r="B13496" s="11" t="n">
        <f aca="false">MOD(ROW()-9,24)</f>
        <v>23</v>
      </c>
      <c r="C13496" s="12"/>
      <c r="D13496" s="13" t="n">
        <f aca="false">IF(B13496&lt;5,Einstellungen!$B$3,Einstellungen!$B$4)</f>
        <v>29.13</v>
      </c>
      <c r="E13496" s="14" t="str">
        <f aca="false">IF(C13496="","",C13496*D13496/100)</f>
        <v/>
      </c>
      <c r="F13496" s="15" t="str">
        <f aca="false">IF(B13496&lt;5,"Go","Standard")</f>
        <v>Standard</v>
      </c>
    </row>
    <row r="13497" customFormat="false" ht="15" hidden="false" customHeight="true" outlineLevel="0" collapsed="false">
      <c r="A13497" s="10" t="n">
        <f aca="false">Einstellungen!$B$5+INT((ROW()-9)/24)</f>
        <v>46528</v>
      </c>
      <c r="B13497" s="11" t="n">
        <f aca="false">MOD(ROW()-9,24)</f>
        <v>0</v>
      </c>
      <c r="C13497" s="12"/>
      <c r="D13497" s="13" t="n">
        <f aca="false">IF(B13497&lt;5,Einstellungen!$B$3,Einstellungen!$B$4)</f>
        <v>15.92</v>
      </c>
      <c r="E13497" s="14" t="str">
        <f aca="false">IF(C13497="","",C13497*D13497/100)</f>
        <v/>
      </c>
      <c r="F13497" s="15" t="str">
        <f aca="false">IF(B13497&lt;5,"Go","Standard")</f>
        <v>Go</v>
      </c>
    </row>
    <row r="13498" customFormat="false" ht="15" hidden="false" customHeight="true" outlineLevel="0" collapsed="false">
      <c r="A13498" s="10" t="n">
        <f aca="false">Einstellungen!$B$5+INT((ROW()-9)/24)</f>
        <v>46528</v>
      </c>
      <c r="B13498" s="11" t="n">
        <f aca="false">MOD(ROW()-9,24)</f>
        <v>1</v>
      </c>
      <c r="C13498" s="12"/>
      <c r="D13498" s="13" t="n">
        <f aca="false">IF(B13498&lt;5,Einstellungen!$B$3,Einstellungen!$B$4)</f>
        <v>15.92</v>
      </c>
      <c r="E13498" s="14" t="str">
        <f aca="false">IF(C13498="","",C13498*D13498/100)</f>
        <v/>
      </c>
      <c r="F13498" s="15" t="str">
        <f aca="false">IF(B13498&lt;5,"Go","Standard")</f>
        <v>Go</v>
      </c>
    </row>
    <row r="13499" customFormat="false" ht="15" hidden="false" customHeight="true" outlineLevel="0" collapsed="false">
      <c r="A13499" s="10" t="n">
        <f aca="false">Einstellungen!$B$5+INT((ROW()-9)/24)</f>
        <v>46528</v>
      </c>
      <c r="B13499" s="11" t="n">
        <f aca="false">MOD(ROW()-9,24)</f>
        <v>2</v>
      </c>
      <c r="C13499" s="12"/>
      <c r="D13499" s="13" t="n">
        <f aca="false">IF(B13499&lt;5,Einstellungen!$B$3,Einstellungen!$B$4)</f>
        <v>15.92</v>
      </c>
      <c r="E13499" s="14" t="str">
        <f aca="false">IF(C13499="","",C13499*D13499/100)</f>
        <v/>
      </c>
      <c r="F13499" s="15" t="str">
        <f aca="false">IF(B13499&lt;5,"Go","Standard")</f>
        <v>Go</v>
      </c>
    </row>
    <row r="13500" customFormat="false" ht="15" hidden="false" customHeight="true" outlineLevel="0" collapsed="false">
      <c r="A13500" s="10" t="n">
        <f aca="false">Einstellungen!$B$5+INT((ROW()-9)/24)</f>
        <v>46528</v>
      </c>
      <c r="B13500" s="11" t="n">
        <f aca="false">MOD(ROW()-9,24)</f>
        <v>3</v>
      </c>
      <c r="C13500" s="12"/>
      <c r="D13500" s="13" t="n">
        <f aca="false">IF(B13500&lt;5,Einstellungen!$B$3,Einstellungen!$B$4)</f>
        <v>15.92</v>
      </c>
      <c r="E13500" s="14" t="str">
        <f aca="false">IF(C13500="","",C13500*D13500/100)</f>
        <v/>
      </c>
      <c r="F13500" s="15" t="str">
        <f aca="false">IF(B13500&lt;5,"Go","Standard")</f>
        <v>Go</v>
      </c>
    </row>
    <row r="13501" customFormat="false" ht="15" hidden="false" customHeight="true" outlineLevel="0" collapsed="false">
      <c r="A13501" s="10" t="n">
        <f aca="false">Einstellungen!$B$5+INT((ROW()-9)/24)</f>
        <v>46528</v>
      </c>
      <c r="B13501" s="11" t="n">
        <f aca="false">MOD(ROW()-9,24)</f>
        <v>4</v>
      </c>
      <c r="C13501" s="12"/>
      <c r="D13501" s="13" t="n">
        <f aca="false">IF(B13501&lt;5,Einstellungen!$B$3,Einstellungen!$B$4)</f>
        <v>15.92</v>
      </c>
      <c r="E13501" s="14" t="str">
        <f aca="false">IF(C13501="","",C13501*D13501/100)</f>
        <v/>
      </c>
      <c r="F13501" s="15" t="str">
        <f aca="false">IF(B13501&lt;5,"Go","Standard")</f>
        <v>Go</v>
      </c>
    </row>
    <row r="13502" customFormat="false" ht="15" hidden="false" customHeight="true" outlineLevel="0" collapsed="false">
      <c r="A13502" s="10" t="n">
        <f aca="false">Einstellungen!$B$5+INT((ROW()-9)/24)</f>
        <v>46528</v>
      </c>
      <c r="B13502" s="11" t="n">
        <f aca="false">MOD(ROW()-9,24)</f>
        <v>5</v>
      </c>
      <c r="C13502" s="12"/>
      <c r="D13502" s="13" t="n">
        <f aca="false">IF(B13502&lt;5,Einstellungen!$B$3,Einstellungen!$B$4)</f>
        <v>29.13</v>
      </c>
      <c r="E13502" s="14" t="str">
        <f aca="false">IF(C13502="","",C13502*D13502/100)</f>
        <v/>
      </c>
      <c r="F13502" s="15" t="str">
        <f aca="false">IF(B13502&lt;5,"Go","Standard")</f>
        <v>Standard</v>
      </c>
    </row>
    <row r="13503" customFormat="false" ht="15" hidden="false" customHeight="true" outlineLevel="0" collapsed="false">
      <c r="A13503" s="10" t="n">
        <f aca="false">Einstellungen!$B$5+INT((ROW()-9)/24)</f>
        <v>46528</v>
      </c>
      <c r="B13503" s="11" t="n">
        <f aca="false">MOD(ROW()-9,24)</f>
        <v>6</v>
      </c>
      <c r="C13503" s="12"/>
      <c r="D13503" s="13" t="n">
        <f aca="false">IF(B13503&lt;5,Einstellungen!$B$3,Einstellungen!$B$4)</f>
        <v>29.13</v>
      </c>
      <c r="E13503" s="14" t="str">
        <f aca="false">IF(C13503="","",C13503*D13503/100)</f>
        <v/>
      </c>
      <c r="F13503" s="15" t="str">
        <f aca="false">IF(B13503&lt;5,"Go","Standard")</f>
        <v>Standard</v>
      </c>
    </row>
    <row r="13504" customFormat="false" ht="15" hidden="false" customHeight="true" outlineLevel="0" collapsed="false">
      <c r="A13504" s="10" t="n">
        <f aca="false">Einstellungen!$B$5+INT((ROW()-9)/24)</f>
        <v>46528</v>
      </c>
      <c r="B13504" s="11" t="n">
        <f aca="false">MOD(ROW()-9,24)</f>
        <v>7</v>
      </c>
      <c r="C13504" s="12"/>
      <c r="D13504" s="13" t="n">
        <f aca="false">IF(B13504&lt;5,Einstellungen!$B$3,Einstellungen!$B$4)</f>
        <v>29.13</v>
      </c>
      <c r="E13504" s="14" t="str">
        <f aca="false">IF(C13504="","",C13504*D13504/100)</f>
        <v/>
      </c>
      <c r="F13504" s="15" t="str">
        <f aca="false">IF(B13504&lt;5,"Go","Standard")</f>
        <v>Standard</v>
      </c>
    </row>
    <row r="13505" customFormat="false" ht="15" hidden="false" customHeight="true" outlineLevel="0" collapsed="false">
      <c r="A13505" s="10" t="n">
        <f aca="false">Einstellungen!$B$5+INT((ROW()-9)/24)</f>
        <v>46528</v>
      </c>
      <c r="B13505" s="11" t="n">
        <f aca="false">MOD(ROW()-9,24)</f>
        <v>8</v>
      </c>
      <c r="C13505" s="12"/>
      <c r="D13505" s="13" t="n">
        <f aca="false">IF(B13505&lt;5,Einstellungen!$B$3,Einstellungen!$B$4)</f>
        <v>29.13</v>
      </c>
      <c r="E13505" s="14" t="str">
        <f aca="false">IF(C13505="","",C13505*D13505/100)</f>
        <v/>
      </c>
      <c r="F13505" s="15" t="str">
        <f aca="false">IF(B13505&lt;5,"Go","Standard")</f>
        <v>Standard</v>
      </c>
    </row>
    <row r="13506" customFormat="false" ht="15" hidden="false" customHeight="true" outlineLevel="0" collapsed="false">
      <c r="A13506" s="10" t="n">
        <f aca="false">Einstellungen!$B$5+INT((ROW()-9)/24)</f>
        <v>46528</v>
      </c>
      <c r="B13506" s="11" t="n">
        <f aca="false">MOD(ROW()-9,24)</f>
        <v>9</v>
      </c>
      <c r="C13506" s="12"/>
      <c r="D13506" s="13" t="n">
        <f aca="false">IF(B13506&lt;5,Einstellungen!$B$3,Einstellungen!$B$4)</f>
        <v>29.13</v>
      </c>
      <c r="E13506" s="14" t="str">
        <f aca="false">IF(C13506="","",C13506*D13506/100)</f>
        <v/>
      </c>
      <c r="F13506" s="15" t="str">
        <f aca="false">IF(B13506&lt;5,"Go","Standard")</f>
        <v>Standard</v>
      </c>
    </row>
    <row r="13507" customFormat="false" ht="15" hidden="false" customHeight="true" outlineLevel="0" collapsed="false">
      <c r="A13507" s="10" t="n">
        <f aca="false">Einstellungen!$B$5+INT((ROW()-9)/24)</f>
        <v>46528</v>
      </c>
      <c r="B13507" s="11" t="n">
        <f aca="false">MOD(ROW()-9,24)</f>
        <v>10</v>
      </c>
      <c r="C13507" s="12"/>
      <c r="D13507" s="13" t="n">
        <f aca="false">IF(B13507&lt;5,Einstellungen!$B$3,Einstellungen!$B$4)</f>
        <v>29.13</v>
      </c>
      <c r="E13507" s="14" t="str">
        <f aca="false">IF(C13507="","",C13507*D13507/100)</f>
        <v/>
      </c>
      <c r="F13507" s="15" t="str">
        <f aca="false">IF(B13507&lt;5,"Go","Standard")</f>
        <v>Standard</v>
      </c>
    </row>
    <row r="13508" customFormat="false" ht="15" hidden="false" customHeight="true" outlineLevel="0" collapsed="false">
      <c r="A13508" s="10" t="n">
        <f aca="false">Einstellungen!$B$5+INT((ROW()-9)/24)</f>
        <v>46528</v>
      </c>
      <c r="B13508" s="11" t="n">
        <f aca="false">MOD(ROW()-9,24)</f>
        <v>11</v>
      </c>
      <c r="C13508" s="12"/>
      <c r="D13508" s="13" t="n">
        <f aca="false">IF(B13508&lt;5,Einstellungen!$B$3,Einstellungen!$B$4)</f>
        <v>29.13</v>
      </c>
      <c r="E13508" s="14" t="str">
        <f aca="false">IF(C13508="","",C13508*D13508/100)</f>
        <v/>
      </c>
      <c r="F13508" s="15" t="str">
        <f aca="false">IF(B13508&lt;5,"Go","Standard")</f>
        <v>Standard</v>
      </c>
    </row>
    <row r="13509" customFormat="false" ht="15" hidden="false" customHeight="true" outlineLevel="0" collapsed="false">
      <c r="A13509" s="10" t="n">
        <f aca="false">Einstellungen!$B$5+INT((ROW()-9)/24)</f>
        <v>46528</v>
      </c>
      <c r="B13509" s="11" t="n">
        <f aca="false">MOD(ROW()-9,24)</f>
        <v>12</v>
      </c>
      <c r="C13509" s="12"/>
      <c r="D13509" s="13" t="n">
        <f aca="false">IF(B13509&lt;5,Einstellungen!$B$3,Einstellungen!$B$4)</f>
        <v>29.13</v>
      </c>
      <c r="E13509" s="14" t="str">
        <f aca="false">IF(C13509="","",C13509*D13509/100)</f>
        <v/>
      </c>
      <c r="F13509" s="15" t="str">
        <f aca="false">IF(B13509&lt;5,"Go","Standard")</f>
        <v>Standard</v>
      </c>
    </row>
    <row r="13510" customFormat="false" ht="15" hidden="false" customHeight="true" outlineLevel="0" collapsed="false">
      <c r="A13510" s="10" t="n">
        <f aca="false">Einstellungen!$B$5+INT((ROW()-9)/24)</f>
        <v>46528</v>
      </c>
      <c r="B13510" s="11" t="n">
        <f aca="false">MOD(ROW()-9,24)</f>
        <v>13</v>
      </c>
      <c r="C13510" s="12"/>
      <c r="D13510" s="13" t="n">
        <f aca="false">IF(B13510&lt;5,Einstellungen!$B$3,Einstellungen!$B$4)</f>
        <v>29.13</v>
      </c>
      <c r="E13510" s="14" t="str">
        <f aca="false">IF(C13510="","",C13510*D13510/100)</f>
        <v/>
      </c>
      <c r="F13510" s="15" t="str">
        <f aca="false">IF(B13510&lt;5,"Go","Standard")</f>
        <v>Standard</v>
      </c>
    </row>
    <row r="13511" customFormat="false" ht="15" hidden="false" customHeight="true" outlineLevel="0" collapsed="false">
      <c r="A13511" s="10" t="n">
        <f aca="false">Einstellungen!$B$5+INT((ROW()-9)/24)</f>
        <v>46528</v>
      </c>
      <c r="B13511" s="11" t="n">
        <f aca="false">MOD(ROW()-9,24)</f>
        <v>14</v>
      </c>
      <c r="C13511" s="12"/>
      <c r="D13511" s="13" t="n">
        <f aca="false">IF(B13511&lt;5,Einstellungen!$B$3,Einstellungen!$B$4)</f>
        <v>29.13</v>
      </c>
      <c r="E13511" s="14" t="str">
        <f aca="false">IF(C13511="","",C13511*D13511/100)</f>
        <v/>
      </c>
      <c r="F13511" s="15" t="str">
        <f aca="false">IF(B13511&lt;5,"Go","Standard")</f>
        <v>Standard</v>
      </c>
    </row>
    <row r="13512" customFormat="false" ht="15" hidden="false" customHeight="true" outlineLevel="0" collapsed="false">
      <c r="A13512" s="10" t="n">
        <f aca="false">Einstellungen!$B$5+INT((ROW()-9)/24)</f>
        <v>46528</v>
      </c>
      <c r="B13512" s="11" t="n">
        <f aca="false">MOD(ROW()-9,24)</f>
        <v>15</v>
      </c>
      <c r="C13512" s="12"/>
      <c r="D13512" s="13" t="n">
        <f aca="false">IF(B13512&lt;5,Einstellungen!$B$3,Einstellungen!$B$4)</f>
        <v>29.13</v>
      </c>
      <c r="E13512" s="14" t="str">
        <f aca="false">IF(C13512="","",C13512*D13512/100)</f>
        <v/>
      </c>
      <c r="F13512" s="15" t="str">
        <f aca="false">IF(B13512&lt;5,"Go","Standard")</f>
        <v>Standard</v>
      </c>
    </row>
    <row r="13513" customFormat="false" ht="15" hidden="false" customHeight="true" outlineLevel="0" collapsed="false">
      <c r="A13513" s="10" t="n">
        <f aca="false">Einstellungen!$B$5+INT((ROW()-9)/24)</f>
        <v>46528</v>
      </c>
      <c r="B13513" s="11" t="n">
        <f aca="false">MOD(ROW()-9,24)</f>
        <v>16</v>
      </c>
      <c r="C13513" s="12"/>
      <c r="D13513" s="13" t="n">
        <f aca="false">IF(B13513&lt;5,Einstellungen!$B$3,Einstellungen!$B$4)</f>
        <v>29.13</v>
      </c>
      <c r="E13513" s="14" t="str">
        <f aca="false">IF(C13513="","",C13513*D13513/100)</f>
        <v/>
      </c>
      <c r="F13513" s="15" t="str">
        <f aca="false">IF(B13513&lt;5,"Go","Standard")</f>
        <v>Standard</v>
      </c>
    </row>
    <row r="13514" customFormat="false" ht="15" hidden="false" customHeight="true" outlineLevel="0" collapsed="false">
      <c r="A13514" s="10" t="n">
        <f aca="false">Einstellungen!$B$5+INT((ROW()-9)/24)</f>
        <v>46528</v>
      </c>
      <c r="B13514" s="11" t="n">
        <f aca="false">MOD(ROW()-9,24)</f>
        <v>17</v>
      </c>
      <c r="C13514" s="12"/>
      <c r="D13514" s="13" t="n">
        <f aca="false">IF(B13514&lt;5,Einstellungen!$B$3,Einstellungen!$B$4)</f>
        <v>29.13</v>
      </c>
      <c r="E13514" s="14" t="str">
        <f aca="false">IF(C13514="","",C13514*D13514/100)</f>
        <v/>
      </c>
      <c r="F13514" s="15" t="str">
        <f aca="false">IF(B13514&lt;5,"Go","Standard")</f>
        <v>Standard</v>
      </c>
    </row>
    <row r="13515" customFormat="false" ht="15" hidden="false" customHeight="true" outlineLevel="0" collapsed="false">
      <c r="A13515" s="10" t="n">
        <f aca="false">Einstellungen!$B$5+INT((ROW()-9)/24)</f>
        <v>46528</v>
      </c>
      <c r="B13515" s="11" t="n">
        <f aca="false">MOD(ROW()-9,24)</f>
        <v>18</v>
      </c>
      <c r="C13515" s="12"/>
      <c r="D13515" s="13" t="n">
        <f aca="false">IF(B13515&lt;5,Einstellungen!$B$3,Einstellungen!$B$4)</f>
        <v>29.13</v>
      </c>
      <c r="E13515" s="14" t="str">
        <f aca="false">IF(C13515="","",C13515*D13515/100)</f>
        <v/>
      </c>
      <c r="F13515" s="15" t="str">
        <f aca="false">IF(B13515&lt;5,"Go","Standard")</f>
        <v>Standard</v>
      </c>
    </row>
    <row r="13516" customFormat="false" ht="15" hidden="false" customHeight="true" outlineLevel="0" collapsed="false">
      <c r="A13516" s="10" t="n">
        <f aca="false">Einstellungen!$B$5+INT((ROW()-9)/24)</f>
        <v>46528</v>
      </c>
      <c r="B13516" s="11" t="n">
        <f aca="false">MOD(ROW()-9,24)</f>
        <v>19</v>
      </c>
      <c r="C13516" s="12"/>
      <c r="D13516" s="13" t="n">
        <f aca="false">IF(B13516&lt;5,Einstellungen!$B$3,Einstellungen!$B$4)</f>
        <v>29.13</v>
      </c>
      <c r="E13516" s="14" t="str">
        <f aca="false">IF(C13516="","",C13516*D13516/100)</f>
        <v/>
      </c>
      <c r="F13516" s="15" t="str">
        <f aca="false">IF(B13516&lt;5,"Go","Standard")</f>
        <v>Standard</v>
      </c>
    </row>
    <row r="13517" customFormat="false" ht="15" hidden="false" customHeight="true" outlineLevel="0" collapsed="false">
      <c r="A13517" s="10" t="n">
        <f aca="false">Einstellungen!$B$5+INT((ROW()-9)/24)</f>
        <v>46528</v>
      </c>
      <c r="B13517" s="11" t="n">
        <f aca="false">MOD(ROW()-9,24)</f>
        <v>20</v>
      </c>
      <c r="C13517" s="12"/>
      <c r="D13517" s="13" t="n">
        <f aca="false">IF(B13517&lt;5,Einstellungen!$B$3,Einstellungen!$B$4)</f>
        <v>29.13</v>
      </c>
      <c r="E13517" s="14" t="str">
        <f aca="false">IF(C13517="","",C13517*D13517/100)</f>
        <v/>
      </c>
      <c r="F13517" s="15" t="str">
        <f aca="false">IF(B13517&lt;5,"Go","Standard")</f>
        <v>Standard</v>
      </c>
    </row>
    <row r="13518" customFormat="false" ht="15" hidden="false" customHeight="true" outlineLevel="0" collapsed="false">
      <c r="A13518" s="10" t="n">
        <f aca="false">Einstellungen!$B$5+INT((ROW()-9)/24)</f>
        <v>46528</v>
      </c>
      <c r="B13518" s="11" t="n">
        <f aca="false">MOD(ROW()-9,24)</f>
        <v>21</v>
      </c>
      <c r="C13518" s="12"/>
      <c r="D13518" s="13" t="n">
        <f aca="false">IF(B13518&lt;5,Einstellungen!$B$3,Einstellungen!$B$4)</f>
        <v>29.13</v>
      </c>
      <c r="E13518" s="14" t="str">
        <f aca="false">IF(C13518="","",C13518*D13518/100)</f>
        <v/>
      </c>
      <c r="F13518" s="15" t="str">
        <f aca="false">IF(B13518&lt;5,"Go","Standard")</f>
        <v>Standard</v>
      </c>
    </row>
    <row r="13519" customFormat="false" ht="15" hidden="false" customHeight="true" outlineLevel="0" collapsed="false">
      <c r="A13519" s="10" t="n">
        <f aca="false">Einstellungen!$B$5+INT((ROW()-9)/24)</f>
        <v>46528</v>
      </c>
      <c r="B13519" s="11" t="n">
        <f aca="false">MOD(ROW()-9,24)</f>
        <v>22</v>
      </c>
      <c r="C13519" s="12"/>
      <c r="D13519" s="13" t="n">
        <f aca="false">IF(B13519&lt;5,Einstellungen!$B$3,Einstellungen!$B$4)</f>
        <v>29.13</v>
      </c>
      <c r="E13519" s="14" t="str">
        <f aca="false">IF(C13519="","",C13519*D13519/100)</f>
        <v/>
      </c>
      <c r="F13519" s="15" t="str">
        <f aca="false">IF(B13519&lt;5,"Go","Standard")</f>
        <v>Standard</v>
      </c>
    </row>
    <row r="13520" customFormat="false" ht="15" hidden="false" customHeight="true" outlineLevel="0" collapsed="false">
      <c r="A13520" s="10" t="n">
        <f aca="false">Einstellungen!$B$5+INT((ROW()-9)/24)</f>
        <v>46528</v>
      </c>
      <c r="B13520" s="11" t="n">
        <f aca="false">MOD(ROW()-9,24)</f>
        <v>23</v>
      </c>
      <c r="C13520" s="12"/>
      <c r="D13520" s="13" t="n">
        <f aca="false">IF(B13520&lt;5,Einstellungen!$B$3,Einstellungen!$B$4)</f>
        <v>29.13</v>
      </c>
      <c r="E13520" s="14" t="str">
        <f aca="false">IF(C13520="","",C13520*D13520/100)</f>
        <v/>
      </c>
      <c r="F13520" s="15" t="str">
        <f aca="false">IF(B13520&lt;5,"Go","Standard")</f>
        <v>Standard</v>
      </c>
    </row>
    <row r="13521" customFormat="false" ht="15" hidden="false" customHeight="true" outlineLevel="0" collapsed="false">
      <c r="A13521" s="10" t="n">
        <f aca="false">Einstellungen!$B$5+INT((ROW()-9)/24)</f>
        <v>46529</v>
      </c>
      <c r="B13521" s="11" t="n">
        <f aca="false">MOD(ROW()-9,24)</f>
        <v>0</v>
      </c>
      <c r="C13521" s="12"/>
      <c r="D13521" s="13" t="n">
        <f aca="false">IF(B13521&lt;5,Einstellungen!$B$3,Einstellungen!$B$4)</f>
        <v>15.92</v>
      </c>
      <c r="E13521" s="14" t="str">
        <f aca="false">IF(C13521="","",C13521*D13521/100)</f>
        <v/>
      </c>
      <c r="F13521" s="15" t="str">
        <f aca="false">IF(B13521&lt;5,"Go","Standard")</f>
        <v>Go</v>
      </c>
    </row>
    <row r="13522" customFormat="false" ht="15" hidden="false" customHeight="true" outlineLevel="0" collapsed="false">
      <c r="A13522" s="10" t="n">
        <f aca="false">Einstellungen!$B$5+INT((ROW()-9)/24)</f>
        <v>46529</v>
      </c>
      <c r="B13522" s="11" t="n">
        <f aca="false">MOD(ROW()-9,24)</f>
        <v>1</v>
      </c>
      <c r="C13522" s="12"/>
      <c r="D13522" s="13" t="n">
        <f aca="false">IF(B13522&lt;5,Einstellungen!$B$3,Einstellungen!$B$4)</f>
        <v>15.92</v>
      </c>
      <c r="E13522" s="14" t="str">
        <f aca="false">IF(C13522="","",C13522*D13522/100)</f>
        <v/>
      </c>
      <c r="F13522" s="15" t="str">
        <f aca="false">IF(B13522&lt;5,"Go","Standard")</f>
        <v>Go</v>
      </c>
    </row>
    <row r="13523" customFormat="false" ht="15" hidden="false" customHeight="true" outlineLevel="0" collapsed="false">
      <c r="A13523" s="10" t="n">
        <f aca="false">Einstellungen!$B$5+INT((ROW()-9)/24)</f>
        <v>46529</v>
      </c>
      <c r="B13523" s="11" t="n">
        <f aca="false">MOD(ROW()-9,24)</f>
        <v>2</v>
      </c>
      <c r="C13523" s="12"/>
      <c r="D13523" s="13" t="n">
        <f aca="false">IF(B13523&lt;5,Einstellungen!$B$3,Einstellungen!$B$4)</f>
        <v>15.92</v>
      </c>
      <c r="E13523" s="14" t="str">
        <f aca="false">IF(C13523="","",C13523*D13523/100)</f>
        <v/>
      </c>
      <c r="F13523" s="15" t="str">
        <f aca="false">IF(B13523&lt;5,"Go","Standard")</f>
        <v>Go</v>
      </c>
    </row>
    <row r="13524" customFormat="false" ht="15" hidden="false" customHeight="true" outlineLevel="0" collapsed="false">
      <c r="A13524" s="10" t="n">
        <f aca="false">Einstellungen!$B$5+INT((ROW()-9)/24)</f>
        <v>46529</v>
      </c>
      <c r="B13524" s="11" t="n">
        <f aca="false">MOD(ROW()-9,24)</f>
        <v>3</v>
      </c>
      <c r="C13524" s="12"/>
      <c r="D13524" s="13" t="n">
        <f aca="false">IF(B13524&lt;5,Einstellungen!$B$3,Einstellungen!$B$4)</f>
        <v>15.92</v>
      </c>
      <c r="E13524" s="14" t="str">
        <f aca="false">IF(C13524="","",C13524*D13524/100)</f>
        <v/>
      </c>
      <c r="F13524" s="15" t="str">
        <f aca="false">IF(B13524&lt;5,"Go","Standard")</f>
        <v>Go</v>
      </c>
    </row>
    <row r="13525" customFormat="false" ht="15" hidden="false" customHeight="true" outlineLevel="0" collapsed="false">
      <c r="A13525" s="10" t="n">
        <f aca="false">Einstellungen!$B$5+INT((ROW()-9)/24)</f>
        <v>46529</v>
      </c>
      <c r="B13525" s="11" t="n">
        <f aca="false">MOD(ROW()-9,24)</f>
        <v>4</v>
      </c>
      <c r="C13525" s="12"/>
      <c r="D13525" s="13" t="n">
        <f aca="false">IF(B13525&lt;5,Einstellungen!$B$3,Einstellungen!$B$4)</f>
        <v>15.92</v>
      </c>
      <c r="E13525" s="14" t="str">
        <f aca="false">IF(C13525="","",C13525*D13525/100)</f>
        <v/>
      </c>
      <c r="F13525" s="15" t="str">
        <f aca="false">IF(B13525&lt;5,"Go","Standard")</f>
        <v>Go</v>
      </c>
    </row>
    <row r="13526" customFormat="false" ht="15" hidden="false" customHeight="true" outlineLevel="0" collapsed="false">
      <c r="A13526" s="10" t="n">
        <f aca="false">Einstellungen!$B$5+INT((ROW()-9)/24)</f>
        <v>46529</v>
      </c>
      <c r="B13526" s="11" t="n">
        <f aca="false">MOD(ROW()-9,24)</f>
        <v>5</v>
      </c>
      <c r="C13526" s="12"/>
      <c r="D13526" s="13" t="n">
        <f aca="false">IF(B13526&lt;5,Einstellungen!$B$3,Einstellungen!$B$4)</f>
        <v>29.13</v>
      </c>
      <c r="E13526" s="14" t="str">
        <f aca="false">IF(C13526="","",C13526*D13526/100)</f>
        <v/>
      </c>
      <c r="F13526" s="15" t="str">
        <f aca="false">IF(B13526&lt;5,"Go","Standard")</f>
        <v>Standard</v>
      </c>
    </row>
    <row r="13527" customFormat="false" ht="15" hidden="false" customHeight="true" outlineLevel="0" collapsed="false">
      <c r="A13527" s="10" t="n">
        <f aca="false">Einstellungen!$B$5+INT((ROW()-9)/24)</f>
        <v>46529</v>
      </c>
      <c r="B13527" s="11" t="n">
        <f aca="false">MOD(ROW()-9,24)</f>
        <v>6</v>
      </c>
      <c r="C13527" s="12"/>
      <c r="D13527" s="13" t="n">
        <f aca="false">IF(B13527&lt;5,Einstellungen!$B$3,Einstellungen!$B$4)</f>
        <v>29.13</v>
      </c>
      <c r="E13527" s="14" t="str">
        <f aca="false">IF(C13527="","",C13527*D13527/100)</f>
        <v/>
      </c>
      <c r="F13527" s="15" t="str">
        <f aca="false">IF(B13527&lt;5,"Go","Standard")</f>
        <v>Standard</v>
      </c>
    </row>
    <row r="13528" customFormat="false" ht="15" hidden="false" customHeight="true" outlineLevel="0" collapsed="false">
      <c r="A13528" s="10" t="n">
        <f aca="false">Einstellungen!$B$5+INT((ROW()-9)/24)</f>
        <v>46529</v>
      </c>
      <c r="B13528" s="11" t="n">
        <f aca="false">MOD(ROW()-9,24)</f>
        <v>7</v>
      </c>
      <c r="C13528" s="12"/>
      <c r="D13528" s="13" t="n">
        <f aca="false">IF(B13528&lt;5,Einstellungen!$B$3,Einstellungen!$B$4)</f>
        <v>29.13</v>
      </c>
      <c r="E13528" s="14" t="str">
        <f aca="false">IF(C13528="","",C13528*D13528/100)</f>
        <v/>
      </c>
      <c r="F13528" s="15" t="str">
        <f aca="false">IF(B13528&lt;5,"Go","Standard")</f>
        <v>Standard</v>
      </c>
    </row>
    <row r="13529" customFormat="false" ht="15" hidden="false" customHeight="true" outlineLevel="0" collapsed="false">
      <c r="A13529" s="10" t="n">
        <f aca="false">Einstellungen!$B$5+INT((ROW()-9)/24)</f>
        <v>46529</v>
      </c>
      <c r="B13529" s="11" t="n">
        <f aca="false">MOD(ROW()-9,24)</f>
        <v>8</v>
      </c>
      <c r="C13529" s="12"/>
      <c r="D13529" s="13" t="n">
        <f aca="false">IF(B13529&lt;5,Einstellungen!$B$3,Einstellungen!$B$4)</f>
        <v>29.13</v>
      </c>
      <c r="E13529" s="14" t="str">
        <f aca="false">IF(C13529="","",C13529*D13529/100)</f>
        <v/>
      </c>
      <c r="F13529" s="15" t="str">
        <f aca="false">IF(B13529&lt;5,"Go","Standard")</f>
        <v>Standard</v>
      </c>
    </row>
    <row r="13530" customFormat="false" ht="15" hidden="false" customHeight="true" outlineLevel="0" collapsed="false">
      <c r="A13530" s="10" t="n">
        <f aca="false">Einstellungen!$B$5+INT((ROW()-9)/24)</f>
        <v>46529</v>
      </c>
      <c r="B13530" s="11" t="n">
        <f aca="false">MOD(ROW()-9,24)</f>
        <v>9</v>
      </c>
      <c r="C13530" s="12"/>
      <c r="D13530" s="13" t="n">
        <f aca="false">IF(B13530&lt;5,Einstellungen!$B$3,Einstellungen!$B$4)</f>
        <v>29.13</v>
      </c>
      <c r="E13530" s="14" t="str">
        <f aca="false">IF(C13530="","",C13530*D13530/100)</f>
        <v/>
      </c>
      <c r="F13530" s="15" t="str">
        <f aca="false">IF(B13530&lt;5,"Go","Standard")</f>
        <v>Standard</v>
      </c>
    </row>
    <row r="13531" customFormat="false" ht="15" hidden="false" customHeight="true" outlineLevel="0" collapsed="false">
      <c r="A13531" s="10" t="n">
        <f aca="false">Einstellungen!$B$5+INT((ROW()-9)/24)</f>
        <v>46529</v>
      </c>
      <c r="B13531" s="11" t="n">
        <f aca="false">MOD(ROW()-9,24)</f>
        <v>10</v>
      </c>
      <c r="C13531" s="12"/>
      <c r="D13531" s="13" t="n">
        <f aca="false">IF(B13531&lt;5,Einstellungen!$B$3,Einstellungen!$B$4)</f>
        <v>29.13</v>
      </c>
      <c r="E13531" s="14" t="str">
        <f aca="false">IF(C13531="","",C13531*D13531/100)</f>
        <v/>
      </c>
      <c r="F13531" s="15" t="str">
        <f aca="false">IF(B13531&lt;5,"Go","Standard")</f>
        <v>Standard</v>
      </c>
    </row>
    <row r="13532" customFormat="false" ht="15" hidden="false" customHeight="true" outlineLevel="0" collapsed="false">
      <c r="A13532" s="10" t="n">
        <f aca="false">Einstellungen!$B$5+INT((ROW()-9)/24)</f>
        <v>46529</v>
      </c>
      <c r="B13532" s="11" t="n">
        <f aca="false">MOD(ROW()-9,24)</f>
        <v>11</v>
      </c>
      <c r="C13532" s="12"/>
      <c r="D13532" s="13" t="n">
        <f aca="false">IF(B13532&lt;5,Einstellungen!$B$3,Einstellungen!$B$4)</f>
        <v>29.13</v>
      </c>
      <c r="E13532" s="14" t="str">
        <f aca="false">IF(C13532="","",C13532*D13532/100)</f>
        <v/>
      </c>
      <c r="F13532" s="15" t="str">
        <f aca="false">IF(B13532&lt;5,"Go","Standard")</f>
        <v>Standard</v>
      </c>
    </row>
    <row r="13533" customFormat="false" ht="15" hidden="false" customHeight="true" outlineLevel="0" collapsed="false">
      <c r="A13533" s="10" t="n">
        <f aca="false">Einstellungen!$B$5+INT((ROW()-9)/24)</f>
        <v>46529</v>
      </c>
      <c r="B13533" s="11" t="n">
        <f aca="false">MOD(ROW()-9,24)</f>
        <v>12</v>
      </c>
      <c r="C13533" s="12"/>
      <c r="D13533" s="13" t="n">
        <f aca="false">IF(B13533&lt;5,Einstellungen!$B$3,Einstellungen!$B$4)</f>
        <v>29.13</v>
      </c>
      <c r="E13533" s="14" t="str">
        <f aca="false">IF(C13533="","",C13533*D13533/100)</f>
        <v/>
      </c>
      <c r="F13533" s="15" t="str">
        <f aca="false">IF(B13533&lt;5,"Go","Standard")</f>
        <v>Standard</v>
      </c>
    </row>
    <row r="13534" customFormat="false" ht="15" hidden="false" customHeight="true" outlineLevel="0" collapsed="false">
      <c r="A13534" s="10" t="n">
        <f aca="false">Einstellungen!$B$5+INT((ROW()-9)/24)</f>
        <v>46529</v>
      </c>
      <c r="B13534" s="11" t="n">
        <f aca="false">MOD(ROW()-9,24)</f>
        <v>13</v>
      </c>
      <c r="C13534" s="12"/>
      <c r="D13534" s="13" t="n">
        <f aca="false">IF(B13534&lt;5,Einstellungen!$B$3,Einstellungen!$B$4)</f>
        <v>29.13</v>
      </c>
      <c r="E13534" s="14" t="str">
        <f aca="false">IF(C13534="","",C13534*D13534/100)</f>
        <v/>
      </c>
      <c r="F13534" s="15" t="str">
        <f aca="false">IF(B13534&lt;5,"Go","Standard")</f>
        <v>Standard</v>
      </c>
    </row>
    <row r="13535" customFormat="false" ht="15" hidden="false" customHeight="true" outlineLevel="0" collapsed="false">
      <c r="A13535" s="10" t="n">
        <f aca="false">Einstellungen!$B$5+INT((ROW()-9)/24)</f>
        <v>46529</v>
      </c>
      <c r="B13535" s="11" t="n">
        <f aca="false">MOD(ROW()-9,24)</f>
        <v>14</v>
      </c>
      <c r="C13535" s="12"/>
      <c r="D13535" s="13" t="n">
        <f aca="false">IF(B13535&lt;5,Einstellungen!$B$3,Einstellungen!$B$4)</f>
        <v>29.13</v>
      </c>
      <c r="E13535" s="14" t="str">
        <f aca="false">IF(C13535="","",C13535*D13535/100)</f>
        <v/>
      </c>
      <c r="F13535" s="15" t="str">
        <f aca="false">IF(B13535&lt;5,"Go","Standard")</f>
        <v>Standard</v>
      </c>
    </row>
    <row r="13536" customFormat="false" ht="15" hidden="false" customHeight="true" outlineLevel="0" collapsed="false">
      <c r="A13536" s="10" t="n">
        <f aca="false">Einstellungen!$B$5+INT((ROW()-9)/24)</f>
        <v>46529</v>
      </c>
      <c r="B13536" s="11" t="n">
        <f aca="false">MOD(ROW()-9,24)</f>
        <v>15</v>
      </c>
      <c r="C13536" s="12"/>
      <c r="D13536" s="13" t="n">
        <f aca="false">IF(B13536&lt;5,Einstellungen!$B$3,Einstellungen!$B$4)</f>
        <v>29.13</v>
      </c>
      <c r="E13536" s="14" t="str">
        <f aca="false">IF(C13536="","",C13536*D13536/100)</f>
        <v/>
      </c>
      <c r="F13536" s="15" t="str">
        <f aca="false">IF(B13536&lt;5,"Go","Standard")</f>
        <v>Standard</v>
      </c>
    </row>
    <row r="13537" customFormat="false" ht="15" hidden="false" customHeight="true" outlineLevel="0" collapsed="false">
      <c r="A13537" s="10" t="n">
        <f aca="false">Einstellungen!$B$5+INT((ROW()-9)/24)</f>
        <v>46529</v>
      </c>
      <c r="B13537" s="11" t="n">
        <f aca="false">MOD(ROW()-9,24)</f>
        <v>16</v>
      </c>
      <c r="C13537" s="12"/>
      <c r="D13537" s="13" t="n">
        <f aca="false">IF(B13537&lt;5,Einstellungen!$B$3,Einstellungen!$B$4)</f>
        <v>29.13</v>
      </c>
      <c r="E13537" s="14" t="str">
        <f aca="false">IF(C13537="","",C13537*D13537/100)</f>
        <v/>
      </c>
      <c r="F13537" s="15" t="str">
        <f aca="false">IF(B13537&lt;5,"Go","Standard")</f>
        <v>Standard</v>
      </c>
    </row>
    <row r="13538" customFormat="false" ht="15" hidden="false" customHeight="true" outlineLevel="0" collapsed="false">
      <c r="A13538" s="10" t="n">
        <f aca="false">Einstellungen!$B$5+INT((ROW()-9)/24)</f>
        <v>46529</v>
      </c>
      <c r="B13538" s="11" t="n">
        <f aca="false">MOD(ROW()-9,24)</f>
        <v>17</v>
      </c>
      <c r="C13538" s="12"/>
      <c r="D13538" s="13" t="n">
        <f aca="false">IF(B13538&lt;5,Einstellungen!$B$3,Einstellungen!$B$4)</f>
        <v>29.13</v>
      </c>
      <c r="E13538" s="14" t="str">
        <f aca="false">IF(C13538="","",C13538*D13538/100)</f>
        <v/>
      </c>
      <c r="F13538" s="15" t="str">
        <f aca="false">IF(B13538&lt;5,"Go","Standard")</f>
        <v>Standard</v>
      </c>
    </row>
    <row r="13539" customFormat="false" ht="15" hidden="false" customHeight="true" outlineLevel="0" collapsed="false">
      <c r="A13539" s="10" t="n">
        <f aca="false">Einstellungen!$B$5+INT((ROW()-9)/24)</f>
        <v>46529</v>
      </c>
      <c r="B13539" s="11" t="n">
        <f aca="false">MOD(ROW()-9,24)</f>
        <v>18</v>
      </c>
      <c r="C13539" s="12"/>
      <c r="D13539" s="13" t="n">
        <f aca="false">IF(B13539&lt;5,Einstellungen!$B$3,Einstellungen!$B$4)</f>
        <v>29.13</v>
      </c>
      <c r="E13539" s="14" t="str">
        <f aca="false">IF(C13539="","",C13539*D13539/100)</f>
        <v/>
      </c>
      <c r="F13539" s="15" t="str">
        <f aca="false">IF(B13539&lt;5,"Go","Standard")</f>
        <v>Standard</v>
      </c>
    </row>
    <row r="13540" customFormat="false" ht="15" hidden="false" customHeight="true" outlineLevel="0" collapsed="false">
      <c r="A13540" s="10" t="n">
        <f aca="false">Einstellungen!$B$5+INT((ROW()-9)/24)</f>
        <v>46529</v>
      </c>
      <c r="B13540" s="11" t="n">
        <f aca="false">MOD(ROW()-9,24)</f>
        <v>19</v>
      </c>
      <c r="C13540" s="12"/>
      <c r="D13540" s="13" t="n">
        <f aca="false">IF(B13540&lt;5,Einstellungen!$B$3,Einstellungen!$B$4)</f>
        <v>29.13</v>
      </c>
      <c r="E13540" s="14" t="str">
        <f aca="false">IF(C13540="","",C13540*D13540/100)</f>
        <v/>
      </c>
      <c r="F13540" s="15" t="str">
        <f aca="false">IF(B13540&lt;5,"Go","Standard")</f>
        <v>Standard</v>
      </c>
    </row>
    <row r="13541" customFormat="false" ht="15" hidden="false" customHeight="true" outlineLevel="0" collapsed="false">
      <c r="A13541" s="10" t="n">
        <f aca="false">Einstellungen!$B$5+INT((ROW()-9)/24)</f>
        <v>46529</v>
      </c>
      <c r="B13541" s="11" t="n">
        <f aca="false">MOD(ROW()-9,24)</f>
        <v>20</v>
      </c>
      <c r="C13541" s="12"/>
      <c r="D13541" s="13" t="n">
        <f aca="false">IF(B13541&lt;5,Einstellungen!$B$3,Einstellungen!$B$4)</f>
        <v>29.13</v>
      </c>
      <c r="E13541" s="14" t="str">
        <f aca="false">IF(C13541="","",C13541*D13541/100)</f>
        <v/>
      </c>
      <c r="F13541" s="15" t="str">
        <f aca="false">IF(B13541&lt;5,"Go","Standard")</f>
        <v>Standard</v>
      </c>
    </row>
    <row r="13542" customFormat="false" ht="15" hidden="false" customHeight="true" outlineLevel="0" collapsed="false">
      <c r="A13542" s="10" t="n">
        <f aca="false">Einstellungen!$B$5+INT((ROW()-9)/24)</f>
        <v>46529</v>
      </c>
      <c r="B13542" s="11" t="n">
        <f aca="false">MOD(ROW()-9,24)</f>
        <v>21</v>
      </c>
      <c r="C13542" s="12"/>
      <c r="D13542" s="13" t="n">
        <f aca="false">IF(B13542&lt;5,Einstellungen!$B$3,Einstellungen!$B$4)</f>
        <v>29.13</v>
      </c>
      <c r="E13542" s="14" t="str">
        <f aca="false">IF(C13542="","",C13542*D13542/100)</f>
        <v/>
      </c>
      <c r="F13542" s="15" t="str">
        <f aca="false">IF(B13542&lt;5,"Go","Standard")</f>
        <v>Standard</v>
      </c>
    </row>
    <row r="13543" customFormat="false" ht="15" hidden="false" customHeight="true" outlineLevel="0" collapsed="false">
      <c r="A13543" s="10" t="n">
        <f aca="false">Einstellungen!$B$5+INT((ROW()-9)/24)</f>
        <v>46529</v>
      </c>
      <c r="B13543" s="11" t="n">
        <f aca="false">MOD(ROW()-9,24)</f>
        <v>22</v>
      </c>
      <c r="C13543" s="12"/>
      <c r="D13543" s="13" t="n">
        <f aca="false">IF(B13543&lt;5,Einstellungen!$B$3,Einstellungen!$B$4)</f>
        <v>29.13</v>
      </c>
      <c r="E13543" s="14" t="str">
        <f aca="false">IF(C13543="","",C13543*D13543/100)</f>
        <v/>
      </c>
      <c r="F13543" s="15" t="str">
        <f aca="false">IF(B13543&lt;5,"Go","Standard")</f>
        <v>Standard</v>
      </c>
    </row>
    <row r="13544" customFormat="false" ht="15" hidden="false" customHeight="true" outlineLevel="0" collapsed="false">
      <c r="A13544" s="10" t="n">
        <f aca="false">Einstellungen!$B$5+INT((ROW()-9)/24)</f>
        <v>46529</v>
      </c>
      <c r="B13544" s="11" t="n">
        <f aca="false">MOD(ROW()-9,24)</f>
        <v>23</v>
      </c>
      <c r="C13544" s="12"/>
      <c r="D13544" s="13" t="n">
        <f aca="false">IF(B13544&lt;5,Einstellungen!$B$3,Einstellungen!$B$4)</f>
        <v>29.13</v>
      </c>
      <c r="E13544" s="14" t="str">
        <f aca="false">IF(C13544="","",C13544*D13544/100)</f>
        <v/>
      </c>
      <c r="F13544" s="15" t="str">
        <f aca="false">IF(B13544&lt;5,"Go","Standard")</f>
        <v>Standard</v>
      </c>
    </row>
    <row r="13545" customFormat="false" ht="15" hidden="false" customHeight="true" outlineLevel="0" collapsed="false">
      <c r="A13545" s="10" t="n">
        <f aca="false">Einstellungen!$B$5+INT((ROW()-9)/24)</f>
        <v>46530</v>
      </c>
      <c r="B13545" s="11" t="n">
        <f aca="false">MOD(ROW()-9,24)</f>
        <v>0</v>
      </c>
      <c r="C13545" s="12"/>
      <c r="D13545" s="13" t="n">
        <f aca="false">IF(B13545&lt;5,Einstellungen!$B$3,Einstellungen!$B$4)</f>
        <v>15.92</v>
      </c>
      <c r="E13545" s="14" t="str">
        <f aca="false">IF(C13545="","",C13545*D13545/100)</f>
        <v/>
      </c>
      <c r="F13545" s="15" t="str">
        <f aca="false">IF(B13545&lt;5,"Go","Standard")</f>
        <v>Go</v>
      </c>
    </row>
    <row r="13546" customFormat="false" ht="15" hidden="false" customHeight="true" outlineLevel="0" collapsed="false">
      <c r="A13546" s="10" t="n">
        <f aca="false">Einstellungen!$B$5+INT((ROW()-9)/24)</f>
        <v>46530</v>
      </c>
      <c r="B13546" s="11" t="n">
        <f aca="false">MOD(ROW()-9,24)</f>
        <v>1</v>
      </c>
      <c r="C13546" s="12"/>
      <c r="D13546" s="13" t="n">
        <f aca="false">IF(B13546&lt;5,Einstellungen!$B$3,Einstellungen!$B$4)</f>
        <v>15.92</v>
      </c>
      <c r="E13546" s="14" t="str">
        <f aca="false">IF(C13546="","",C13546*D13546/100)</f>
        <v/>
      </c>
      <c r="F13546" s="15" t="str">
        <f aca="false">IF(B13546&lt;5,"Go","Standard")</f>
        <v>Go</v>
      </c>
    </row>
    <row r="13547" customFormat="false" ht="15" hidden="false" customHeight="true" outlineLevel="0" collapsed="false">
      <c r="A13547" s="10" t="n">
        <f aca="false">Einstellungen!$B$5+INT((ROW()-9)/24)</f>
        <v>46530</v>
      </c>
      <c r="B13547" s="11" t="n">
        <f aca="false">MOD(ROW()-9,24)</f>
        <v>2</v>
      </c>
      <c r="C13547" s="12"/>
      <c r="D13547" s="13" t="n">
        <f aca="false">IF(B13547&lt;5,Einstellungen!$B$3,Einstellungen!$B$4)</f>
        <v>15.92</v>
      </c>
      <c r="E13547" s="14" t="str">
        <f aca="false">IF(C13547="","",C13547*D13547/100)</f>
        <v/>
      </c>
      <c r="F13547" s="15" t="str">
        <f aca="false">IF(B13547&lt;5,"Go","Standard")</f>
        <v>Go</v>
      </c>
    </row>
    <row r="13548" customFormat="false" ht="15" hidden="false" customHeight="true" outlineLevel="0" collapsed="false">
      <c r="A13548" s="10" t="n">
        <f aca="false">Einstellungen!$B$5+INT((ROW()-9)/24)</f>
        <v>46530</v>
      </c>
      <c r="B13548" s="11" t="n">
        <f aca="false">MOD(ROW()-9,24)</f>
        <v>3</v>
      </c>
      <c r="C13548" s="12"/>
      <c r="D13548" s="13" t="n">
        <f aca="false">IF(B13548&lt;5,Einstellungen!$B$3,Einstellungen!$B$4)</f>
        <v>15.92</v>
      </c>
      <c r="E13548" s="14" t="str">
        <f aca="false">IF(C13548="","",C13548*D13548/100)</f>
        <v/>
      </c>
      <c r="F13548" s="15" t="str">
        <f aca="false">IF(B13548&lt;5,"Go","Standard")</f>
        <v>Go</v>
      </c>
    </row>
    <row r="13549" customFormat="false" ht="15" hidden="false" customHeight="true" outlineLevel="0" collapsed="false">
      <c r="A13549" s="10" t="n">
        <f aca="false">Einstellungen!$B$5+INT((ROW()-9)/24)</f>
        <v>46530</v>
      </c>
      <c r="B13549" s="11" t="n">
        <f aca="false">MOD(ROW()-9,24)</f>
        <v>4</v>
      </c>
      <c r="C13549" s="12"/>
      <c r="D13549" s="13" t="n">
        <f aca="false">IF(B13549&lt;5,Einstellungen!$B$3,Einstellungen!$B$4)</f>
        <v>15.92</v>
      </c>
      <c r="E13549" s="14" t="str">
        <f aca="false">IF(C13549="","",C13549*D13549/100)</f>
        <v/>
      </c>
      <c r="F13549" s="15" t="str">
        <f aca="false">IF(B13549&lt;5,"Go","Standard")</f>
        <v>Go</v>
      </c>
    </row>
    <row r="13550" customFormat="false" ht="15" hidden="false" customHeight="true" outlineLevel="0" collapsed="false">
      <c r="A13550" s="10" t="n">
        <f aca="false">Einstellungen!$B$5+INT((ROW()-9)/24)</f>
        <v>46530</v>
      </c>
      <c r="B13550" s="11" t="n">
        <f aca="false">MOD(ROW()-9,24)</f>
        <v>5</v>
      </c>
      <c r="C13550" s="12"/>
      <c r="D13550" s="13" t="n">
        <f aca="false">IF(B13550&lt;5,Einstellungen!$B$3,Einstellungen!$B$4)</f>
        <v>29.13</v>
      </c>
      <c r="E13550" s="14" t="str">
        <f aca="false">IF(C13550="","",C13550*D13550/100)</f>
        <v/>
      </c>
      <c r="F13550" s="15" t="str">
        <f aca="false">IF(B13550&lt;5,"Go","Standard")</f>
        <v>Standard</v>
      </c>
    </row>
    <row r="13551" customFormat="false" ht="15" hidden="false" customHeight="true" outlineLevel="0" collapsed="false">
      <c r="A13551" s="10" t="n">
        <f aca="false">Einstellungen!$B$5+INT((ROW()-9)/24)</f>
        <v>46530</v>
      </c>
      <c r="B13551" s="11" t="n">
        <f aca="false">MOD(ROW()-9,24)</f>
        <v>6</v>
      </c>
      <c r="C13551" s="12"/>
      <c r="D13551" s="13" t="n">
        <f aca="false">IF(B13551&lt;5,Einstellungen!$B$3,Einstellungen!$B$4)</f>
        <v>29.13</v>
      </c>
      <c r="E13551" s="14" t="str">
        <f aca="false">IF(C13551="","",C13551*D13551/100)</f>
        <v/>
      </c>
      <c r="F13551" s="15" t="str">
        <f aca="false">IF(B13551&lt;5,"Go","Standard")</f>
        <v>Standard</v>
      </c>
    </row>
    <row r="13552" customFormat="false" ht="15" hidden="false" customHeight="true" outlineLevel="0" collapsed="false">
      <c r="A13552" s="10" t="n">
        <f aca="false">Einstellungen!$B$5+INT((ROW()-9)/24)</f>
        <v>46530</v>
      </c>
      <c r="B13552" s="11" t="n">
        <f aca="false">MOD(ROW()-9,24)</f>
        <v>7</v>
      </c>
      <c r="C13552" s="12"/>
      <c r="D13552" s="13" t="n">
        <f aca="false">IF(B13552&lt;5,Einstellungen!$B$3,Einstellungen!$B$4)</f>
        <v>29.13</v>
      </c>
      <c r="E13552" s="14" t="str">
        <f aca="false">IF(C13552="","",C13552*D13552/100)</f>
        <v/>
      </c>
      <c r="F13552" s="15" t="str">
        <f aca="false">IF(B13552&lt;5,"Go","Standard")</f>
        <v>Standard</v>
      </c>
    </row>
    <row r="13553" customFormat="false" ht="15" hidden="false" customHeight="true" outlineLevel="0" collapsed="false">
      <c r="A13553" s="10" t="n">
        <f aca="false">Einstellungen!$B$5+INT((ROW()-9)/24)</f>
        <v>46530</v>
      </c>
      <c r="B13553" s="11" t="n">
        <f aca="false">MOD(ROW()-9,24)</f>
        <v>8</v>
      </c>
      <c r="C13553" s="12"/>
      <c r="D13553" s="13" t="n">
        <f aca="false">IF(B13553&lt;5,Einstellungen!$B$3,Einstellungen!$B$4)</f>
        <v>29.13</v>
      </c>
      <c r="E13553" s="14" t="str">
        <f aca="false">IF(C13553="","",C13553*D13553/100)</f>
        <v/>
      </c>
      <c r="F13553" s="15" t="str">
        <f aca="false">IF(B13553&lt;5,"Go","Standard")</f>
        <v>Standard</v>
      </c>
    </row>
    <row r="13554" customFormat="false" ht="15" hidden="false" customHeight="true" outlineLevel="0" collapsed="false">
      <c r="A13554" s="10" t="n">
        <f aca="false">Einstellungen!$B$5+INT((ROW()-9)/24)</f>
        <v>46530</v>
      </c>
      <c r="B13554" s="11" t="n">
        <f aca="false">MOD(ROW()-9,24)</f>
        <v>9</v>
      </c>
      <c r="C13554" s="12"/>
      <c r="D13554" s="13" t="n">
        <f aca="false">IF(B13554&lt;5,Einstellungen!$B$3,Einstellungen!$B$4)</f>
        <v>29.13</v>
      </c>
      <c r="E13554" s="14" t="str">
        <f aca="false">IF(C13554="","",C13554*D13554/100)</f>
        <v/>
      </c>
      <c r="F13554" s="15" t="str">
        <f aca="false">IF(B13554&lt;5,"Go","Standard")</f>
        <v>Standard</v>
      </c>
    </row>
    <row r="13555" customFormat="false" ht="15" hidden="false" customHeight="true" outlineLevel="0" collapsed="false">
      <c r="A13555" s="10" t="n">
        <f aca="false">Einstellungen!$B$5+INT((ROW()-9)/24)</f>
        <v>46530</v>
      </c>
      <c r="B13555" s="11" t="n">
        <f aca="false">MOD(ROW()-9,24)</f>
        <v>10</v>
      </c>
      <c r="C13555" s="12"/>
      <c r="D13555" s="13" t="n">
        <f aca="false">IF(B13555&lt;5,Einstellungen!$B$3,Einstellungen!$B$4)</f>
        <v>29.13</v>
      </c>
      <c r="E13555" s="14" t="str">
        <f aca="false">IF(C13555="","",C13555*D13555/100)</f>
        <v/>
      </c>
      <c r="F13555" s="15" t="str">
        <f aca="false">IF(B13555&lt;5,"Go","Standard")</f>
        <v>Standard</v>
      </c>
    </row>
    <row r="13556" customFormat="false" ht="15" hidden="false" customHeight="true" outlineLevel="0" collapsed="false">
      <c r="A13556" s="10" t="n">
        <f aca="false">Einstellungen!$B$5+INT((ROW()-9)/24)</f>
        <v>46530</v>
      </c>
      <c r="B13556" s="11" t="n">
        <f aca="false">MOD(ROW()-9,24)</f>
        <v>11</v>
      </c>
      <c r="C13556" s="12"/>
      <c r="D13556" s="13" t="n">
        <f aca="false">IF(B13556&lt;5,Einstellungen!$B$3,Einstellungen!$B$4)</f>
        <v>29.13</v>
      </c>
      <c r="E13556" s="14" t="str">
        <f aca="false">IF(C13556="","",C13556*D13556/100)</f>
        <v/>
      </c>
      <c r="F13556" s="15" t="str">
        <f aca="false">IF(B13556&lt;5,"Go","Standard")</f>
        <v>Standard</v>
      </c>
    </row>
    <row r="13557" customFormat="false" ht="15" hidden="false" customHeight="true" outlineLevel="0" collapsed="false">
      <c r="A13557" s="10" t="n">
        <f aca="false">Einstellungen!$B$5+INT((ROW()-9)/24)</f>
        <v>46530</v>
      </c>
      <c r="B13557" s="11" t="n">
        <f aca="false">MOD(ROW()-9,24)</f>
        <v>12</v>
      </c>
      <c r="C13557" s="12"/>
      <c r="D13557" s="13" t="n">
        <f aca="false">IF(B13557&lt;5,Einstellungen!$B$3,Einstellungen!$B$4)</f>
        <v>29.13</v>
      </c>
      <c r="E13557" s="14" t="str">
        <f aca="false">IF(C13557="","",C13557*D13557/100)</f>
        <v/>
      </c>
      <c r="F13557" s="15" t="str">
        <f aca="false">IF(B13557&lt;5,"Go","Standard")</f>
        <v>Standard</v>
      </c>
    </row>
    <row r="13558" customFormat="false" ht="15" hidden="false" customHeight="true" outlineLevel="0" collapsed="false">
      <c r="A13558" s="10" t="n">
        <f aca="false">Einstellungen!$B$5+INT((ROW()-9)/24)</f>
        <v>46530</v>
      </c>
      <c r="B13558" s="11" t="n">
        <f aca="false">MOD(ROW()-9,24)</f>
        <v>13</v>
      </c>
      <c r="C13558" s="12"/>
      <c r="D13558" s="13" t="n">
        <f aca="false">IF(B13558&lt;5,Einstellungen!$B$3,Einstellungen!$B$4)</f>
        <v>29.13</v>
      </c>
      <c r="E13558" s="14" t="str">
        <f aca="false">IF(C13558="","",C13558*D13558/100)</f>
        <v/>
      </c>
      <c r="F13558" s="15" t="str">
        <f aca="false">IF(B13558&lt;5,"Go","Standard")</f>
        <v>Standard</v>
      </c>
    </row>
    <row r="13559" customFormat="false" ht="15" hidden="false" customHeight="true" outlineLevel="0" collapsed="false">
      <c r="A13559" s="10" t="n">
        <f aca="false">Einstellungen!$B$5+INT((ROW()-9)/24)</f>
        <v>46530</v>
      </c>
      <c r="B13559" s="11" t="n">
        <f aca="false">MOD(ROW()-9,24)</f>
        <v>14</v>
      </c>
      <c r="C13559" s="12"/>
      <c r="D13559" s="13" t="n">
        <f aca="false">IF(B13559&lt;5,Einstellungen!$B$3,Einstellungen!$B$4)</f>
        <v>29.13</v>
      </c>
      <c r="E13559" s="14" t="str">
        <f aca="false">IF(C13559="","",C13559*D13559/100)</f>
        <v/>
      </c>
      <c r="F13559" s="15" t="str">
        <f aca="false">IF(B13559&lt;5,"Go","Standard")</f>
        <v>Standard</v>
      </c>
    </row>
    <row r="13560" customFormat="false" ht="15" hidden="false" customHeight="true" outlineLevel="0" collapsed="false">
      <c r="A13560" s="10" t="n">
        <f aca="false">Einstellungen!$B$5+INT((ROW()-9)/24)</f>
        <v>46530</v>
      </c>
      <c r="B13560" s="11" t="n">
        <f aca="false">MOD(ROW()-9,24)</f>
        <v>15</v>
      </c>
      <c r="C13560" s="12"/>
      <c r="D13560" s="13" t="n">
        <f aca="false">IF(B13560&lt;5,Einstellungen!$B$3,Einstellungen!$B$4)</f>
        <v>29.13</v>
      </c>
      <c r="E13560" s="14" t="str">
        <f aca="false">IF(C13560="","",C13560*D13560/100)</f>
        <v/>
      </c>
      <c r="F13560" s="15" t="str">
        <f aca="false">IF(B13560&lt;5,"Go","Standard")</f>
        <v>Standard</v>
      </c>
    </row>
    <row r="13561" customFormat="false" ht="15" hidden="false" customHeight="true" outlineLevel="0" collapsed="false">
      <c r="A13561" s="10" t="n">
        <f aca="false">Einstellungen!$B$5+INT((ROW()-9)/24)</f>
        <v>46530</v>
      </c>
      <c r="B13561" s="11" t="n">
        <f aca="false">MOD(ROW()-9,24)</f>
        <v>16</v>
      </c>
      <c r="C13561" s="12"/>
      <c r="D13561" s="13" t="n">
        <f aca="false">IF(B13561&lt;5,Einstellungen!$B$3,Einstellungen!$B$4)</f>
        <v>29.13</v>
      </c>
      <c r="E13561" s="14" t="str">
        <f aca="false">IF(C13561="","",C13561*D13561/100)</f>
        <v/>
      </c>
      <c r="F13561" s="15" t="str">
        <f aca="false">IF(B13561&lt;5,"Go","Standard")</f>
        <v>Standard</v>
      </c>
    </row>
    <row r="13562" customFormat="false" ht="15" hidden="false" customHeight="true" outlineLevel="0" collapsed="false">
      <c r="A13562" s="10" t="n">
        <f aca="false">Einstellungen!$B$5+INT((ROW()-9)/24)</f>
        <v>46530</v>
      </c>
      <c r="B13562" s="11" t="n">
        <f aca="false">MOD(ROW()-9,24)</f>
        <v>17</v>
      </c>
      <c r="C13562" s="12"/>
      <c r="D13562" s="13" t="n">
        <f aca="false">IF(B13562&lt;5,Einstellungen!$B$3,Einstellungen!$B$4)</f>
        <v>29.13</v>
      </c>
      <c r="E13562" s="14" t="str">
        <f aca="false">IF(C13562="","",C13562*D13562/100)</f>
        <v/>
      </c>
      <c r="F13562" s="15" t="str">
        <f aca="false">IF(B13562&lt;5,"Go","Standard")</f>
        <v>Standard</v>
      </c>
    </row>
    <row r="13563" customFormat="false" ht="15" hidden="false" customHeight="true" outlineLevel="0" collapsed="false">
      <c r="A13563" s="10" t="n">
        <f aca="false">Einstellungen!$B$5+INT((ROW()-9)/24)</f>
        <v>46530</v>
      </c>
      <c r="B13563" s="11" t="n">
        <f aca="false">MOD(ROW()-9,24)</f>
        <v>18</v>
      </c>
      <c r="C13563" s="12"/>
      <c r="D13563" s="13" t="n">
        <f aca="false">IF(B13563&lt;5,Einstellungen!$B$3,Einstellungen!$B$4)</f>
        <v>29.13</v>
      </c>
      <c r="E13563" s="14" t="str">
        <f aca="false">IF(C13563="","",C13563*D13563/100)</f>
        <v/>
      </c>
      <c r="F13563" s="15" t="str">
        <f aca="false">IF(B13563&lt;5,"Go","Standard")</f>
        <v>Standard</v>
      </c>
    </row>
    <row r="13564" customFormat="false" ht="15" hidden="false" customHeight="true" outlineLevel="0" collapsed="false">
      <c r="A13564" s="10" t="n">
        <f aca="false">Einstellungen!$B$5+INT((ROW()-9)/24)</f>
        <v>46530</v>
      </c>
      <c r="B13564" s="11" t="n">
        <f aca="false">MOD(ROW()-9,24)</f>
        <v>19</v>
      </c>
      <c r="C13564" s="12"/>
      <c r="D13564" s="13" t="n">
        <f aca="false">IF(B13564&lt;5,Einstellungen!$B$3,Einstellungen!$B$4)</f>
        <v>29.13</v>
      </c>
      <c r="E13564" s="14" t="str">
        <f aca="false">IF(C13564="","",C13564*D13564/100)</f>
        <v/>
      </c>
      <c r="F13564" s="15" t="str">
        <f aca="false">IF(B13564&lt;5,"Go","Standard")</f>
        <v>Standard</v>
      </c>
    </row>
    <row r="13565" customFormat="false" ht="15" hidden="false" customHeight="true" outlineLevel="0" collapsed="false">
      <c r="A13565" s="10" t="n">
        <f aca="false">Einstellungen!$B$5+INT((ROW()-9)/24)</f>
        <v>46530</v>
      </c>
      <c r="B13565" s="11" t="n">
        <f aca="false">MOD(ROW()-9,24)</f>
        <v>20</v>
      </c>
      <c r="C13565" s="12"/>
      <c r="D13565" s="13" t="n">
        <f aca="false">IF(B13565&lt;5,Einstellungen!$B$3,Einstellungen!$B$4)</f>
        <v>29.13</v>
      </c>
      <c r="E13565" s="14" t="str">
        <f aca="false">IF(C13565="","",C13565*D13565/100)</f>
        <v/>
      </c>
      <c r="F13565" s="15" t="str">
        <f aca="false">IF(B13565&lt;5,"Go","Standard")</f>
        <v>Standard</v>
      </c>
    </row>
    <row r="13566" customFormat="false" ht="15" hidden="false" customHeight="true" outlineLevel="0" collapsed="false">
      <c r="A13566" s="10" t="n">
        <f aca="false">Einstellungen!$B$5+INT((ROW()-9)/24)</f>
        <v>46530</v>
      </c>
      <c r="B13566" s="11" t="n">
        <f aca="false">MOD(ROW()-9,24)</f>
        <v>21</v>
      </c>
      <c r="C13566" s="12"/>
      <c r="D13566" s="13" t="n">
        <f aca="false">IF(B13566&lt;5,Einstellungen!$B$3,Einstellungen!$B$4)</f>
        <v>29.13</v>
      </c>
      <c r="E13566" s="14" t="str">
        <f aca="false">IF(C13566="","",C13566*D13566/100)</f>
        <v/>
      </c>
      <c r="F13566" s="15" t="str">
        <f aca="false">IF(B13566&lt;5,"Go","Standard")</f>
        <v>Standard</v>
      </c>
    </row>
    <row r="13567" customFormat="false" ht="15" hidden="false" customHeight="true" outlineLevel="0" collapsed="false">
      <c r="A13567" s="10" t="n">
        <f aca="false">Einstellungen!$B$5+INT((ROW()-9)/24)</f>
        <v>46530</v>
      </c>
      <c r="B13567" s="11" t="n">
        <f aca="false">MOD(ROW()-9,24)</f>
        <v>22</v>
      </c>
      <c r="C13567" s="12"/>
      <c r="D13567" s="13" t="n">
        <f aca="false">IF(B13567&lt;5,Einstellungen!$B$3,Einstellungen!$B$4)</f>
        <v>29.13</v>
      </c>
      <c r="E13567" s="14" t="str">
        <f aca="false">IF(C13567="","",C13567*D13567/100)</f>
        <v/>
      </c>
      <c r="F13567" s="15" t="str">
        <f aca="false">IF(B13567&lt;5,"Go","Standard")</f>
        <v>Standard</v>
      </c>
    </row>
    <row r="13568" customFormat="false" ht="15" hidden="false" customHeight="true" outlineLevel="0" collapsed="false">
      <c r="A13568" s="10" t="n">
        <f aca="false">Einstellungen!$B$5+INT((ROW()-9)/24)</f>
        <v>46530</v>
      </c>
      <c r="B13568" s="11" t="n">
        <f aca="false">MOD(ROW()-9,24)</f>
        <v>23</v>
      </c>
      <c r="C13568" s="12"/>
      <c r="D13568" s="13" t="n">
        <f aca="false">IF(B13568&lt;5,Einstellungen!$B$3,Einstellungen!$B$4)</f>
        <v>29.13</v>
      </c>
      <c r="E13568" s="14" t="str">
        <f aca="false">IF(C13568="","",C13568*D13568/100)</f>
        <v/>
      </c>
      <c r="F13568" s="15" t="str">
        <f aca="false">IF(B13568&lt;5,"Go","Standard")</f>
        <v>Standard</v>
      </c>
    </row>
    <row r="13569" customFormat="false" ht="15" hidden="false" customHeight="true" outlineLevel="0" collapsed="false">
      <c r="A13569" s="10" t="n">
        <f aca="false">Einstellungen!$B$5+INT((ROW()-9)/24)</f>
        <v>46531</v>
      </c>
      <c r="B13569" s="11" t="n">
        <f aca="false">MOD(ROW()-9,24)</f>
        <v>0</v>
      </c>
      <c r="C13569" s="12"/>
      <c r="D13569" s="13" t="n">
        <f aca="false">IF(B13569&lt;5,Einstellungen!$B$3,Einstellungen!$B$4)</f>
        <v>15.92</v>
      </c>
      <c r="E13569" s="14" t="str">
        <f aca="false">IF(C13569="","",C13569*D13569/100)</f>
        <v/>
      </c>
      <c r="F13569" s="15" t="str">
        <f aca="false">IF(B13569&lt;5,"Go","Standard")</f>
        <v>Go</v>
      </c>
    </row>
    <row r="13570" customFormat="false" ht="15" hidden="false" customHeight="true" outlineLevel="0" collapsed="false">
      <c r="A13570" s="10" t="n">
        <f aca="false">Einstellungen!$B$5+INT((ROW()-9)/24)</f>
        <v>46531</v>
      </c>
      <c r="B13570" s="11" t="n">
        <f aca="false">MOD(ROW()-9,24)</f>
        <v>1</v>
      </c>
      <c r="C13570" s="12"/>
      <c r="D13570" s="13" t="n">
        <f aca="false">IF(B13570&lt;5,Einstellungen!$B$3,Einstellungen!$B$4)</f>
        <v>15.92</v>
      </c>
      <c r="E13570" s="14" t="str">
        <f aca="false">IF(C13570="","",C13570*D13570/100)</f>
        <v/>
      </c>
      <c r="F13570" s="15" t="str">
        <f aca="false">IF(B13570&lt;5,"Go","Standard")</f>
        <v>Go</v>
      </c>
    </row>
    <row r="13571" customFormat="false" ht="15" hidden="false" customHeight="true" outlineLevel="0" collapsed="false">
      <c r="A13571" s="10" t="n">
        <f aca="false">Einstellungen!$B$5+INT((ROW()-9)/24)</f>
        <v>46531</v>
      </c>
      <c r="B13571" s="11" t="n">
        <f aca="false">MOD(ROW()-9,24)</f>
        <v>2</v>
      </c>
      <c r="C13571" s="12"/>
      <c r="D13571" s="13" t="n">
        <f aca="false">IF(B13571&lt;5,Einstellungen!$B$3,Einstellungen!$B$4)</f>
        <v>15.92</v>
      </c>
      <c r="E13571" s="14" t="str">
        <f aca="false">IF(C13571="","",C13571*D13571/100)</f>
        <v/>
      </c>
      <c r="F13571" s="15" t="str">
        <f aca="false">IF(B13571&lt;5,"Go","Standard")</f>
        <v>Go</v>
      </c>
    </row>
    <row r="13572" customFormat="false" ht="15" hidden="false" customHeight="true" outlineLevel="0" collapsed="false">
      <c r="A13572" s="10" t="n">
        <f aca="false">Einstellungen!$B$5+INT((ROW()-9)/24)</f>
        <v>46531</v>
      </c>
      <c r="B13572" s="11" t="n">
        <f aca="false">MOD(ROW()-9,24)</f>
        <v>3</v>
      </c>
      <c r="C13572" s="12"/>
      <c r="D13572" s="13" t="n">
        <f aca="false">IF(B13572&lt;5,Einstellungen!$B$3,Einstellungen!$B$4)</f>
        <v>15.92</v>
      </c>
      <c r="E13572" s="14" t="str">
        <f aca="false">IF(C13572="","",C13572*D13572/100)</f>
        <v/>
      </c>
      <c r="F13572" s="15" t="str">
        <f aca="false">IF(B13572&lt;5,"Go","Standard")</f>
        <v>Go</v>
      </c>
    </row>
    <row r="13573" customFormat="false" ht="15" hidden="false" customHeight="true" outlineLevel="0" collapsed="false">
      <c r="A13573" s="10" t="n">
        <f aca="false">Einstellungen!$B$5+INT((ROW()-9)/24)</f>
        <v>46531</v>
      </c>
      <c r="B13573" s="11" t="n">
        <f aca="false">MOD(ROW()-9,24)</f>
        <v>4</v>
      </c>
      <c r="C13573" s="12"/>
      <c r="D13573" s="13" t="n">
        <f aca="false">IF(B13573&lt;5,Einstellungen!$B$3,Einstellungen!$B$4)</f>
        <v>15.92</v>
      </c>
      <c r="E13573" s="14" t="str">
        <f aca="false">IF(C13573="","",C13573*D13573/100)</f>
        <v/>
      </c>
      <c r="F13573" s="15" t="str">
        <f aca="false">IF(B13573&lt;5,"Go","Standard")</f>
        <v>Go</v>
      </c>
    </row>
    <row r="13574" customFormat="false" ht="15" hidden="false" customHeight="true" outlineLevel="0" collapsed="false">
      <c r="A13574" s="10" t="n">
        <f aca="false">Einstellungen!$B$5+INT((ROW()-9)/24)</f>
        <v>46531</v>
      </c>
      <c r="B13574" s="11" t="n">
        <f aca="false">MOD(ROW()-9,24)</f>
        <v>5</v>
      </c>
      <c r="C13574" s="12"/>
      <c r="D13574" s="13" t="n">
        <f aca="false">IF(B13574&lt;5,Einstellungen!$B$3,Einstellungen!$B$4)</f>
        <v>29.13</v>
      </c>
      <c r="E13574" s="14" t="str">
        <f aca="false">IF(C13574="","",C13574*D13574/100)</f>
        <v/>
      </c>
      <c r="F13574" s="15" t="str">
        <f aca="false">IF(B13574&lt;5,"Go","Standard")</f>
        <v>Standard</v>
      </c>
    </row>
    <row r="13575" customFormat="false" ht="15" hidden="false" customHeight="true" outlineLevel="0" collapsed="false">
      <c r="A13575" s="10" t="n">
        <f aca="false">Einstellungen!$B$5+INT((ROW()-9)/24)</f>
        <v>46531</v>
      </c>
      <c r="B13575" s="11" t="n">
        <f aca="false">MOD(ROW()-9,24)</f>
        <v>6</v>
      </c>
      <c r="C13575" s="12"/>
      <c r="D13575" s="13" t="n">
        <f aca="false">IF(B13575&lt;5,Einstellungen!$B$3,Einstellungen!$B$4)</f>
        <v>29.13</v>
      </c>
      <c r="E13575" s="14" t="str">
        <f aca="false">IF(C13575="","",C13575*D13575/100)</f>
        <v/>
      </c>
      <c r="F13575" s="15" t="str">
        <f aca="false">IF(B13575&lt;5,"Go","Standard")</f>
        <v>Standard</v>
      </c>
    </row>
    <row r="13576" customFormat="false" ht="15" hidden="false" customHeight="true" outlineLevel="0" collapsed="false">
      <c r="A13576" s="10" t="n">
        <f aca="false">Einstellungen!$B$5+INT((ROW()-9)/24)</f>
        <v>46531</v>
      </c>
      <c r="B13576" s="11" t="n">
        <f aca="false">MOD(ROW()-9,24)</f>
        <v>7</v>
      </c>
      <c r="C13576" s="12"/>
      <c r="D13576" s="13" t="n">
        <f aca="false">IF(B13576&lt;5,Einstellungen!$B$3,Einstellungen!$B$4)</f>
        <v>29.13</v>
      </c>
      <c r="E13576" s="14" t="str">
        <f aca="false">IF(C13576="","",C13576*D13576/100)</f>
        <v/>
      </c>
      <c r="F13576" s="15" t="str">
        <f aca="false">IF(B13576&lt;5,"Go","Standard")</f>
        <v>Standard</v>
      </c>
    </row>
    <row r="13577" customFormat="false" ht="15" hidden="false" customHeight="true" outlineLevel="0" collapsed="false">
      <c r="A13577" s="10" t="n">
        <f aca="false">Einstellungen!$B$5+INT((ROW()-9)/24)</f>
        <v>46531</v>
      </c>
      <c r="B13577" s="11" t="n">
        <f aca="false">MOD(ROW()-9,24)</f>
        <v>8</v>
      </c>
      <c r="C13577" s="12"/>
      <c r="D13577" s="13" t="n">
        <f aca="false">IF(B13577&lt;5,Einstellungen!$B$3,Einstellungen!$B$4)</f>
        <v>29.13</v>
      </c>
      <c r="E13577" s="14" t="str">
        <f aca="false">IF(C13577="","",C13577*D13577/100)</f>
        <v/>
      </c>
      <c r="F13577" s="15" t="str">
        <f aca="false">IF(B13577&lt;5,"Go","Standard")</f>
        <v>Standard</v>
      </c>
    </row>
    <row r="13578" customFormat="false" ht="15" hidden="false" customHeight="true" outlineLevel="0" collapsed="false">
      <c r="A13578" s="10" t="n">
        <f aca="false">Einstellungen!$B$5+INT((ROW()-9)/24)</f>
        <v>46531</v>
      </c>
      <c r="B13578" s="11" t="n">
        <f aca="false">MOD(ROW()-9,24)</f>
        <v>9</v>
      </c>
      <c r="C13578" s="12"/>
      <c r="D13578" s="13" t="n">
        <f aca="false">IF(B13578&lt;5,Einstellungen!$B$3,Einstellungen!$B$4)</f>
        <v>29.13</v>
      </c>
      <c r="E13578" s="14" t="str">
        <f aca="false">IF(C13578="","",C13578*D13578/100)</f>
        <v/>
      </c>
      <c r="F13578" s="15" t="str">
        <f aca="false">IF(B13578&lt;5,"Go","Standard")</f>
        <v>Standard</v>
      </c>
    </row>
    <row r="13579" customFormat="false" ht="15" hidden="false" customHeight="true" outlineLevel="0" collapsed="false">
      <c r="A13579" s="10" t="n">
        <f aca="false">Einstellungen!$B$5+INT((ROW()-9)/24)</f>
        <v>46531</v>
      </c>
      <c r="B13579" s="11" t="n">
        <f aca="false">MOD(ROW()-9,24)</f>
        <v>10</v>
      </c>
      <c r="C13579" s="12"/>
      <c r="D13579" s="13" t="n">
        <f aca="false">IF(B13579&lt;5,Einstellungen!$B$3,Einstellungen!$B$4)</f>
        <v>29.13</v>
      </c>
      <c r="E13579" s="14" t="str">
        <f aca="false">IF(C13579="","",C13579*D13579/100)</f>
        <v/>
      </c>
      <c r="F13579" s="15" t="str">
        <f aca="false">IF(B13579&lt;5,"Go","Standard")</f>
        <v>Standard</v>
      </c>
    </row>
    <row r="13580" customFormat="false" ht="15" hidden="false" customHeight="true" outlineLevel="0" collapsed="false">
      <c r="A13580" s="10" t="n">
        <f aca="false">Einstellungen!$B$5+INT((ROW()-9)/24)</f>
        <v>46531</v>
      </c>
      <c r="B13580" s="11" t="n">
        <f aca="false">MOD(ROW()-9,24)</f>
        <v>11</v>
      </c>
      <c r="C13580" s="12"/>
      <c r="D13580" s="13" t="n">
        <f aca="false">IF(B13580&lt;5,Einstellungen!$B$3,Einstellungen!$B$4)</f>
        <v>29.13</v>
      </c>
      <c r="E13580" s="14" t="str">
        <f aca="false">IF(C13580="","",C13580*D13580/100)</f>
        <v/>
      </c>
      <c r="F13580" s="15" t="str">
        <f aca="false">IF(B13580&lt;5,"Go","Standard")</f>
        <v>Standard</v>
      </c>
    </row>
    <row r="13581" customFormat="false" ht="15" hidden="false" customHeight="true" outlineLevel="0" collapsed="false">
      <c r="A13581" s="10" t="n">
        <f aca="false">Einstellungen!$B$5+INT((ROW()-9)/24)</f>
        <v>46531</v>
      </c>
      <c r="B13581" s="11" t="n">
        <f aca="false">MOD(ROW()-9,24)</f>
        <v>12</v>
      </c>
      <c r="C13581" s="12"/>
      <c r="D13581" s="13" t="n">
        <f aca="false">IF(B13581&lt;5,Einstellungen!$B$3,Einstellungen!$B$4)</f>
        <v>29.13</v>
      </c>
      <c r="E13581" s="14" t="str">
        <f aca="false">IF(C13581="","",C13581*D13581/100)</f>
        <v/>
      </c>
      <c r="F13581" s="15" t="str">
        <f aca="false">IF(B13581&lt;5,"Go","Standard")</f>
        <v>Standard</v>
      </c>
    </row>
    <row r="13582" customFormat="false" ht="15" hidden="false" customHeight="true" outlineLevel="0" collapsed="false">
      <c r="A13582" s="10" t="n">
        <f aca="false">Einstellungen!$B$5+INT((ROW()-9)/24)</f>
        <v>46531</v>
      </c>
      <c r="B13582" s="11" t="n">
        <f aca="false">MOD(ROW()-9,24)</f>
        <v>13</v>
      </c>
      <c r="C13582" s="12"/>
      <c r="D13582" s="13" t="n">
        <f aca="false">IF(B13582&lt;5,Einstellungen!$B$3,Einstellungen!$B$4)</f>
        <v>29.13</v>
      </c>
      <c r="E13582" s="14" t="str">
        <f aca="false">IF(C13582="","",C13582*D13582/100)</f>
        <v/>
      </c>
      <c r="F13582" s="15" t="str">
        <f aca="false">IF(B13582&lt;5,"Go","Standard")</f>
        <v>Standard</v>
      </c>
    </row>
    <row r="13583" customFormat="false" ht="15" hidden="false" customHeight="true" outlineLevel="0" collapsed="false">
      <c r="A13583" s="10" t="n">
        <f aca="false">Einstellungen!$B$5+INT((ROW()-9)/24)</f>
        <v>46531</v>
      </c>
      <c r="B13583" s="11" t="n">
        <f aca="false">MOD(ROW()-9,24)</f>
        <v>14</v>
      </c>
      <c r="C13583" s="12"/>
      <c r="D13583" s="13" t="n">
        <f aca="false">IF(B13583&lt;5,Einstellungen!$B$3,Einstellungen!$B$4)</f>
        <v>29.13</v>
      </c>
      <c r="E13583" s="14" t="str">
        <f aca="false">IF(C13583="","",C13583*D13583/100)</f>
        <v/>
      </c>
      <c r="F13583" s="15" t="str">
        <f aca="false">IF(B13583&lt;5,"Go","Standard")</f>
        <v>Standard</v>
      </c>
    </row>
    <row r="13584" customFormat="false" ht="15" hidden="false" customHeight="true" outlineLevel="0" collapsed="false">
      <c r="A13584" s="10" t="n">
        <f aca="false">Einstellungen!$B$5+INT((ROW()-9)/24)</f>
        <v>46531</v>
      </c>
      <c r="B13584" s="11" t="n">
        <f aca="false">MOD(ROW()-9,24)</f>
        <v>15</v>
      </c>
      <c r="C13584" s="12"/>
      <c r="D13584" s="13" t="n">
        <f aca="false">IF(B13584&lt;5,Einstellungen!$B$3,Einstellungen!$B$4)</f>
        <v>29.13</v>
      </c>
      <c r="E13584" s="14" t="str">
        <f aca="false">IF(C13584="","",C13584*D13584/100)</f>
        <v/>
      </c>
      <c r="F13584" s="15" t="str">
        <f aca="false">IF(B13584&lt;5,"Go","Standard")</f>
        <v>Standard</v>
      </c>
    </row>
    <row r="13585" customFormat="false" ht="15" hidden="false" customHeight="true" outlineLevel="0" collapsed="false">
      <c r="A13585" s="10" t="n">
        <f aca="false">Einstellungen!$B$5+INT((ROW()-9)/24)</f>
        <v>46531</v>
      </c>
      <c r="B13585" s="11" t="n">
        <f aca="false">MOD(ROW()-9,24)</f>
        <v>16</v>
      </c>
      <c r="C13585" s="12"/>
      <c r="D13585" s="13" t="n">
        <f aca="false">IF(B13585&lt;5,Einstellungen!$B$3,Einstellungen!$B$4)</f>
        <v>29.13</v>
      </c>
      <c r="E13585" s="14" t="str">
        <f aca="false">IF(C13585="","",C13585*D13585/100)</f>
        <v/>
      </c>
      <c r="F13585" s="15" t="str">
        <f aca="false">IF(B13585&lt;5,"Go","Standard")</f>
        <v>Standard</v>
      </c>
    </row>
    <row r="13586" customFormat="false" ht="15" hidden="false" customHeight="true" outlineLevel="0" collapsed="false">
      <c r="A13586" s="10" t="n">
        <f aca="false">Einstellungen!$B$5+INT((ROW()-9)/24)</f>
        <v>46531</v>
      </c>
      <c r="B13586" s="11" t="n">
        <f aca="false">MOD(ROW()-9,24)</f>
        <v>17</v>
      </c>
      <c r="C13586" s="12"/>
      <c r="D13586" s="13" t="n">
        <f aca="false">IF(B13586&lt;5,Einstellungen!$B$3,Einstellungen!$B$4)</f>
        <v>29.13</v>
      </c>
      <c r="E13586" s="14" t="str">
        <f aca="false">IF(C13586="","",C13586*D13586/100)</f>
        <v/>
      </c>
      <c r="F13586" s="15" t="str">
        <f aca="false">IF(B13586&lt;5,"Go","Standard")</f>
        <v>Standard</v>
      </c>
    </row>
    <row r="13587" customFormat="false" ht="15" hidden="false" customHeight="true" outlineLevel="0" collapsed="false">
      <c r="A13587" s="10" t="n">
        <f aca="false">Einstellungen!$B$5+INT((ROW()-9)/24)</f>
        <v>46531</v>
      </c>
      <c r="B13587" s="11" t="n">
        <f aca="false">MOD(ROW()-9,24)</f>
        <v>18</v>
      </c>
      <c r="C13587" s="12"/>
      <c r="D13587" s="13" t="n">
        <f aca="false">IF(B13587&lt;5,Einstellungen!$B$3,Einstellungen!$B$4)</f>
        <v>29.13</v>
      </c>
      <c r="E13587" s="14" t="str">
        <f aca="false">IF(C13587="","",C13587*D13587/100)</f>
        <v/>
      </c>
      <c r="F13587" s="15" t="str">
        <f aca="false">IF(B13587&lt;5,"Go","Standard")</f>
        <v>Standard</v>
      </c>
    </row>
    <row r="13588" customFormat="false" ht="15" hidden="false" customHeight="true" outlineLevel="0" collapsed="false">
      <c r="A13588" s="10" t="n">
        <f aca="false">Einstellungen!$B$5+INT((ROW()-9)/24)</f>
        <v>46531</v>
      </c>
      <c r="B13588" s="11" t="n">
        <f aca="false">MOD(ROW()-9,24)</f>
        <v>19</v>
      </c>
      <c r="C13588" s="12"/>
      <c r="D13588" s="13" t="n">
        <f aca="false">IF(B13588&lt;5,Einstellungen!$B$3,Einstellungen!$B$4)</f>
        <v>29.13</v>
      </c>
      <c r="E13588" s="14" t="str">
        <f aca="false">IF(C13588="","",C13588*D13588/100)</f>
        <v/>
      </c>
      <c r="F13588" s="15" t="str">
        <f aca="false">IF(B13588&lt;5,"Go","Standard")</f>
        <v>Standard</v>
      </c>
    </row>
    <row r="13589" customFormat="false" ht="15" hidden="false" customHeight="true" outlineLevel="0" collapsed="false">
      <c r="A13589" s="10" t="n">
        <f aca="false">Einstellungen!$B$5+INT((ROW()-9)/24)</f>
        <v>46531</v>
      </c>
      <c r="B13589" s="11" t="n">
        <f aca="false">MOD(ROW()-9,24)</f>
        <v>20</v>
      </c>
      <c r="C13589" s="12"/>
      <c r="D13589" s="13" t="n">
        <f aca="false">IF(B13589&lt;5,Einstellungen!$B$3,Einstellungen!$B$4)</f>
        <v>29.13</v>
      </c>
      <c r="E13589" s="14" t="str">
        <f aca="false">IF(C13589="","",C13589*D13589/100)</f>
        <v/>
      </c>
      <c r="F13589" s="15" t="str">
        <f aca="false">IF(B13589&lt;5,"Go","Standard")</f>
        <v>Standard</v>
      </c>
    </row>
    <row r="13590" customFormat="false" ht="15" hidden="false" customHeight="true" outlineLevel="0" collapsed="false">
      <c r="A13590" s="10" t="n">
        <f aca="false">Einstellungen!$B$5+INT((ROW()-9)/24)</f>
        <v>46531</v>
      </c>
      <c r="B13590" s="11" t="n">
        <f aca="false">MOD(ROW()-9,24)</f>
        <v>21</v>
      </c>
      <c r="C13590" s="12"/>
      <c r="D13590" s="13" t="n">
        <f aca="false">IF(B13590&lt;5,Einstellungen!$B$3,Einstellungen!$B$4)</f>
        <v>29.13</v>
      </c>
      <c r="E13590" s="14" t="str">
        <f aca="false">IF(C13590="","",C13590*D13590/100)</f>
        <v/>
      </c>
      <c r="F13590" s="15" t="str">
        <f aca="false">IF(B13590&lt;5,"Go","Standard")</f>
        <v>Standard</v>
      </c>
    </row>
    <row r="13591" customFormat="false" ht="15" hidden="false" customHeight="true" outlineLevel="0" collapsed="false">
      <c r="A13591" s="10" t="n">
        <f aca="false">Einstellungen!$B$5+INT((ROW()-9)/24)</f>
        <v>46531</v>
      </c>
      <c r="B13591" s="11" t="n">
        <f aca="false">MOD(ROW()-9,24)</f>
        <v>22</v>
      </c>
      <c r="C13591" s="12"/>
      <c r="D13591" s="13" t="n">
        <f aca="false">IF(B13591&lt;5,Einstellungen!$B$3,Einstellungen!$B$4)</f>
        <v>29.13</v>
      </c>
      <c r="E13591" s="14" t="str">
        <f aca="false">IF(C13591="","",C13591*D13591/100)</f>
        <v/>
      </c>
      <c r="F13591" s="15" t="str">
        <f aca="false">IF(B13591&lt;5,"Go","Standard")</f>
        <v>Standard</v>
      </c>
    </row>
    <row r="13592" customFormat="false" ht="15" hidden="false" customHeight="true" outlineLevel="0" collapsed="false">
      <c r="A13592" s="10" t="n">
        <f aca="false">Einstellungen!$B$5+INT((ROW()-9)/24)</f>
        <v>46531</v>
      </c>
      <c r="B13592" s="11" t="n">
        <f aca="false">MOD(ROW()-9,24)</f>
        <v>23</v>
      </c>
      <c r="C13592" s="12"/>
      <c r="D13592" s="13" t="n">
        <f aca="false">IF(B13592&lt;5,Einstellungen!$B$3,Einstellungen!$B$4)</f>
        <v>29.13</v>
      </c>
      <c r="E13592" s="14" t="str">
        <f aca="false">IF(C13592="","",C13592*D13592/100)</f>
        <v/>
      </c>
      <c r="F13592" s="15" t="str">
        <f aca="false">IF(B13592&lt;5,"Go","Standard")</f>
        <v>Standard</v>
      </c>
    </row>
    <row r="13593" customFormat="false" ht="15" hidden="false" customHeight="true" outlineLevel="0" collapsed="false">
      <c r="A13593" s="10" t="n">
        <f aca="false">Einstellungen!$B$5+INT((ROW()-9)/24)</f>
        <v>46532</v>
      </c>
      <c r="B13593" s="11" t="n">
        <f aca="false">MOD(ROW()-9,24)</f>
        <v>0</v>
      </c>
      <c r="C13593" s="12"/>
      <c r="D13593" s="13" t="n">
        <f aca="false">IF(B13593&lt;5,Einstellungen!$B$3,Einstellungen!$B$4)</f>
        <v>15.92</v>
      </c>
      <c r="E13593" s="14" t="str">
        <f aca="false">IF(C13593="","",C13593*D13593/100)</f>
        <v/>
      </c>
      <c r="F13593" s="15" t="str">
        <f aca="false">IF(B13593&lt;5,"Go","Standard")</f>
        <v>Go</v>
      </c>
    </row>
    <row r="13594" customFormat="false" ht="15" hidden="false" customHeight="true" outlineLevel="0" collapsed="false">
      <c r="A13594" s="10" t="n">
        <f aca="false">Einstellungen!$B$5+INT((ROW()-9)/24)</f>
        <v>46532</v>
      </c>
      <c r="B13594" s="11" t="n">
        <f aca="false">MOD(ROW()-9,24)</f>
        <v>1</v>
      </c>
      <c r="C13594" s="12"/>
      <c r="D13594" s="13" t="n">
        <f aca="false">IF(B13594&lt;5,Einstellungen!$B$3,Einstellungen!$B$4)</f>
        <v>15.92</v>
      </c>
      <c r="E13594" s="14" t="str">
        <f aca="false">IF(C13594="","",C13594*D13594/100)</f>
        <v/>
      </c>
      <c r="F13594" s="15" t="str">
        <f aca="false">IF(B13594&lt;5,"Go","Standard")</f>
        <v>Go</v>
      </c>
    </row>
    <row r="13595" customFormat="false" ht="15" hidden="false" customHeight="true" outlineLevel="0" collapsed="false">
      <c r="A13595" s="10" t="n">
        <f aca="false">Einstellungen!$B$5+INT((ROW()-9)/24)</f>
        <v>46532</v>
      </c>
      <c r="B13595" s="11" t="n">
        <f aca="false">MOD(ROW()-9,24)</f>
        <v>2</v>
      </c>
      <c r="C13595" s="12"/>
      <c r="D13595" s="13" t="n">
        <f aca="false">IF(B13595&lt;5,Einstellungen!$B$3,Einstellungen!$B$4)</f>
        <v>15.92</v>
      </c>
      <c r="E13595" s="14" t="str">
        <f aca="false">IF(C13595="","",C13595*D13595/100)</f>
        <v/>
      </c>
      <c r="F13595" s="15" t="str">
        <f aca="false">IF(B13595&lt;5,"Go","Standard")</f>
        <v>Go</v>
      </c>
    </row>
    <row r="13596" customFormat="false" ht="15" hidden="false" customHeight="true" outlineLevel="0" collapsed="false">
      <c r="A13596" s="10" t="n">
        <f aca="false">Einstellungen!$B$5+INT((ROW()-9)/24)</f>
        <v>46532</v>
      </c>
      <c r="B13596" s="11" t="n">
        <f aca="false">MOD(ROW()-9,24)</f>
        <v>3</v>
      </c>
      <c r="C13596" s="12"/>
      <c r="D13596" s="13" t="n">
        <f aca="false">IF(B13596&lt;5,Einstellungen!$B$3,Einstellungen!$B$4)</f>
        <v>15.92</v>
      </c>
      <c r="E13596" s="14" t="str">
        <f aca="false">IF(C13596="","",C13596*D13596/100)</f>
        <v/>
      </c>
      <c r="F13596" s="15" t="str">
        <f aca="false">IF(B13596&lt;5,"Go","Standard")</f>
        <v>Go</v>
      </c>
    </row>
    <row r="13597" customFormat="false" ht="15" hidden="false" customHeight="true" outlineLevel="0" collapsed="false">
      <c r="A13597" s="10" t="n">
        <f aca="false">Einstellungen!$B$5+INT((ROW()-9)/24)</f>
        <v>46532</v>
      </c>
      <c r="B13597" s="11" t="n">
        <f aca="false">MOD(ROW()-9,24)</f>
        <v>4</v>
      </c>
      <c r="C13597" s="12"/>
      <c r="D13597" s="13" t="n">
        <f aca="false">IF(B13597&lt;5,Einstellungen!$B$3,Einstellungen!$B$4)</f>
        <v>15.92</v>
      </c>
      <c r="E13597" s="14" t="str">
        <f aca="false">IF(C13597="","",C13597*D13597/100)</f>
        <v/>
      </c>
      <c r="F13597" s="15" t="str">
        <f aca="false">IF(B13597&lt;5,"Go","Standard")</f>
        <v>Go</v>
      </c>
    </row>
    <row r="13598" customFormat="false" ht="15" hidden="false" customHeight="true" outlineLevel="0" collapsed="false">
      <c r="A13598" s="10" t="n">
        <f aca="false">Einstellungen!$B$5+INT((ROW()-9)/24)</f>
        <v>46532</v>
      </c>
      <c r="B13598" s="11" t="n">
        <f aca="false">MOD(ROW()-9,24)</f>
        <v>5</v>
      </c>
      <c r="C13598" s="12"/>
      <c r="D13598" s="13" t="n">
        <f aca="false">IF(B13598&lt;5,Einstellungen!$B$3,Einstellungen!$B$4)</f>
        <v>29.13</v>
      </c>
      <c r="E13598" s="14" t="str">
        <f aca="false">IF(C13598="","",C13598*D13598/100)</f>
        <v/>
      </c>
      <c r="F13598" s="15" t="str">
        <f aca="false">IF(B13598&lt;5,"Go","Standard")</f>
        <v>Standard</v>
      </c>
    </row>
    <row r="13599" customFormat="false" ht="15" hidden="false" customHeight="true" outlineLevel="0" collapsed="false">
      <c r="A13599" s="10" t="n">
        <f aca="false">Einstellungen!$B$5+INT((ROW()-9)/24)</f>
        <v>46532</v>
      </c>
      <c r="B13599" s="11" t="n">
        <f aca="false">MOD(ROW()-9,24)</f>
        <v>6</v>
      </c>
      <c r="C13599" s="12"/>
      <c r="D13599" s="13" t="n">
        <f aca="false">IF(B13599&lt;5,Einstellungen!$B$3,Einstellungen!$B$4)</f>
        <v>29.13</v>
      </c>
      <c r="E13599" s="14" t="str">
        <f aca="false">IF(C13599="","",C13599*D13599/100)</f>
        <v/>
      </c>
      <c r="F13599" s="15" t="str">
        <f aca="false">IF(B13599&lt;5,"Go","Standard")</f>
        <v>Standard</v>
      </c>
    </row>
    <row r="13600" customFormat="false" ht="15" hidden="false" customHeight="true" outlineLevel="0" collapsed="false">
      <c r="A13600" s="10" t="n">
        <f aca="false">Einstellungen!$B$5+INT((ROW()-9)/24)</f>
        <v>46532</v>
      </c>
      <c r="B13600" s="11" t="n">
        <f aca="false">MOD(ROW()-9,24)</f>
        <v>7</v>
      </c>
      <c r="C13600" s="12"/>
      <c r="D13600" s="13" t="n">
        <f aca="false">IF(B13600&lt;5,Einstellungen!$B$3,Einstellungen!$B$4)</f>
        <v>29.13</v>
      </c>
      <c r="E13600" s="14" t="str">
        <f aca="false">IF(C13600="","",C13600*D13600/100)</f>
        <v/>
      </c>
      <c r="F13600" s="15" t="str">
        <f aca="false">IF(B13600&lt;5,"Go","Standard")</f>
        <v>Standard</v>
      </c>
    </row>
    <row r="13601" customFormat="false" ht="15" hidden="false" customHeight="true" outlineLevel="0" collapsed="false">
      <c r="A13601" s="10" t="n">
        <f aca="false">Einstellungen!$B$5+INT((ROW()-9)/24)</f>
        <v>46532</v>
      </c>
      <c r="B13601" s="11" t="n">
        <f aca="false">MOD(ROW()-9,24)</f>
        <v>8</v>
      </c>
      <c r="C13601" s="12"/>
      <c r="D13601" s="13" t="n">
        <f aca="false">IF(B13601&lt;5,Einstellungen!$B$3,Einstellungen!$B$4)</f>
        <v>29.13</v>
      </c>
      <c r="E13601" s="14" t="str">
        <f aca="false">IF(C13601="","",C13601*D13601/100)</f>
        <v/>
      </c>
      <c r="F13601" s="15" t="str">
        <f aca="false">IF(B13601&lt;5,"Go","Standard")</f>
        <v>Standard</v>
      </c>
    </row>
    <row r="13602" customFormat="false" ht="15" hidden="false" customHeight="true" outlineLevel="0" collapsed="false">
      <c r="A13602" s="10" t="n">
        <f aca="false">Einstellungen!$B$5+INT((ROW()-9)/24)</f>
        <v>46532</v>
      </c>
      <c r="B13602" s="11" t="n">
        <f aca="false">MOD(ROW()-9,24)</f>
        <v>9</v>
      </c>
      <c r="C13602" s="12"/>
      <c r="D13602" s="13" t="n">
        <f aca="false">IF(B13602&lt;5,Einstellungen!$B$3,Einstellungen!$B$4)</f>
        <v>29.13</v>
      </c>
      <c r="E13602" s="14" t="str">
        <f aca="false">IF(C13602="","",C13602*D13602/100)</f>
        <v/>
      </c>
      <c r="F13602" s="15" t="str">
        <f aca="false">IF(B13602&lt;5,"Go","Standard")</f>
        <v>Standard</v>
      </c>
    </row>
    <row r="13603" customFormat="false" ht="15" hidden="false" customHeight="true" outlineLevel="0" collapsed="false">
      <c r="A13603" s="10" t="n">
        <f aca="false">Einstellungen!$B$5+INT((ROW()-9)/24)</f>
        <v>46532</v>
      </c>
      <c r="B13603" s="11" t="n">
        <f aca="false">MOD(ROW()-9,24)</f>
        <v>10</v>
      </c>
      <c r="C13603" s="12"/>
      <c r="D13603" s="13" t="n">
        <f aca="false">IF(B13603&lt;5,Einstellungen!$B$3,Einstellungen!$B$4)</f>
        <v>29.13</v>
      </c>
      <c r="E13603" s="14" t="str">
        <f aca="false">IF(C13603="","",C13603*D13603/100)</f>
        <v/>
      </c>
      <c r="F13603" s="15" t="str">
        <f aca="false">IF(B13603&lt;5,"Go","Standard")</f>
        <v>Standard</v>
      </c>
    </row>
    <row r="13604" customFormat="false" ht="15" hidden="false" customHeight="true" outlineLevel="0" collapsed="false">
      <c r="A13604" s="10" t="n">
        <f aca="false">Einstellungen!$B$5+INT((ROW()-9)/24)</f>
        <v>46532</v>
      </c>
      <c r="B13604" s="11" t="n">
        <f aca="false">MOD(ROW()-9,24)</f>
        <v>11</v>
      </c>
      <c r="C13604" s="12"/>
      <c r="D13604" s="13" t="n">
        <f aca="false">IF(B13604&lt;5,Einstellungen!$B$3,Einstellungen!$B$4)</f>
        <v>29.13</v>
      </c>
      <c r="E13604" s="14" t="str">
        <f aca="false">IF(C13604="","",C13604*D13604/100)</f>
        <v/>
      </c>
      <c r="F13604" s="15" t="str">
        <f aca="false">IF(B13604&lt;5,"Go","Standard")</f>
        <v>Standard</v>
      </c>
    </row>
    <row r="13605" customFormat="false" ht="15" hidden="false" customHeight="true" outlineLevel="0" collapsed="false">
      <c r="A13605" s="10" t="n">
        <f aca="false">Einstellungen!$B$5+INT((ROW()-9)/24)</f>
        <v>46532</v>
      </c>
      <c r="B13605" s="11" t="n">
        <f aca="false">MOD(ROW()-9,24)</f>
        <v>12</v>
      </c>
      <c r="C13605" s="12"/>
      <c r="D13605" s="13" t="n">
        <f aca="false">IF(B13605&lt;5,Einstellungen!$B$3,Einstellungen!$B$4)</f>
        <v>29.13</v>
      </c>
      <c r="E13605" s="14" t="str">
        <f aca="false">IF(C13605="","",C13605*D13605/100)</f>
        <v/>
      </c>
      <c r="F13605" s="15" t="str">
        <f aca="false">IF(B13605&lt;5,"Go","Standard")</f>
        <v>Standard</v>
      </c>
    </row>
    <row r="13606" customFormat="false" ht="15" hidden="false" customHeight="true" outlineLevel="0" collapsed="false">
      <c r="A13606" s="10" t="n">
        <f aca="false">Einstellungen!$B$5+INT((ROW()-9)/24)</f>
        <v>46532</v>
      </c>
      <c r="B13606" s="11" t="n">
        <f aca="false">MOD(ROW()-9,24)</f>
        <v>13</v>
      </c>
      <c r="C13606" s="12"/>
      <c r="D13606" s="13" t="n">
        <f aca="false">IF(B13606&lt;5,Einstellungen!$B$3,Einstellungen!$B$4)</f>
        <v>29.13</v>
      </c>
      <c r="E13606" s="14" t="str">
        <f aca="false">IF(C13606="","",C13606*D13606/100)</f>
        <v/>
      </c>
      <c r="F13606" s="15" t="str">
        <f aca="false">IF(B13606&lt;5,"Go","Standard")</f>
        <v>Standard</v>
      </c>
    </row>
    <row r="13607" customFormat="false" ht="15" hidden="false" customHeight="true" outlineLevel="0" collapsed="false">
      <c r="A13607" s="10" t="n">
        <f aca="false">Einstellungen!$B$5+INT((ROW()-9)/24)</f>
        <v>46532</v>
      </c>
      <c r="B13607" s="11" t="n">
        <f aca="false">MOD(ROW()-9,24)</f>
        <v>14</v>
      </c>
      <c r="C13607" s="12"/>
      <c r="D13607" s="13" t="n">
        <f aca="false">IF(B13607&lt;5,Einstellungen!$B$3,Einstellungen!$B$4)</f>
        <v>29.13</v>
      </c>
      <c r="E13607" s="14" t="str">
        <f aca="false">IF(C13607="","",C13607*D13607/100)</f>
        <v/>
      </c>
      <c r="F13607" s="15" t="str">
        <f aca="false">IF(B13607&lt;5,"Go","Standard")</f>
        <v>Standard</v>
      </c>
    </row>
    <row r="13608" customFormat="false" ht="15" hidden="false" customHeight="true" outlineLevel="0" collapsed="false">
      <c r="A13608" s="10" t="n">
        <f aca="false">Einstellungen!$B$5+INT((ROW()-9)/24)</f>
        <v>46532</v>
      </c>
      <c r="B13608" s="11" t="n">
        <f aca="false">MOD(ROW()-9,24)</f>
        <v>15</v>
      </c>
      <c r="C13608" s="12"/>
      <c r="D13608" s="13" t="n">
        <f aca="false">IF(B13608&lt;5,Einstellungen!$B$3,Einstellungen!$B$4)</f>
        <v>29.13</v>
      </c>
      <c r="E13608" s="14" t="str">
        <f aca="false">IF(C13608="","",C13608*D13608/100)</f>
        <v/>
      </c>
      <c r="F13608" s="15" t="str">
        <f aca="false">IF(B13608&lt;5,"Go","Standard")</f>
        <v>Standard</v>
      </c>
    </row>
    <row r="13609" customFormat="false" ht="15" hidden="false" customHeight="true" outlineLevel="0" collapsed="false">
      <c r="A13609" s="10" t="n">
        <f aca="false">Einstellungen!$B$5+INT((ROW()-9)/24)</f>
        <v>46532</v>
      </c>
      <c r="B13609" s="11" t="n">
        <f aca="false">MOD(ROW()-9,24)</f>
        <v>16</v>
      </c>
      <c r="C13609" s="12"/>
      <c r="D13609" s="13" t="n">
        <f aca="false">IF(B13609&lt;5,Einstellungen!$B$3,Einstellungen!$B$4)</f>
        <v>29.13</v>
      </c>
      <c r="E13609" s="14" t="str">
        <f aca="false">IF(C13609="","",C13609*D13609/100)</f>
        <v/>
      </c>
      <c r="F13609" s="15" t="str">
        <f aca="false">IF(B13609&lt;5,"Go","Standard")</f>
        <v>Standard</v>
      </c>
    </row>
    <row r="13610" customFormat="false" ht="15" hidden="false" customHeight="true" outlineLevel="0" collapsed="false">
      <c r="A13610" s="10" t="n">
        <f aca="false">Einstellungen!$B$5+INT((ROW()-9)/24)</f>
        <v>46532</v>
      </c>
      <c r="B13610" s="11" t="n">
        <f aca="false">MOD(ROW()-9,24)</f>
        <v>17</v>
      </c>
      <c r="C13610" s="12"/>
      <c r="D13610" s="13" t="n">
        <f aca="false">IF(B13610&lt;5,Einstellungen!$B$3,Einstellungen!$B$4)</f>
        <v>29.13</v>
      </c>
      <c r="E13610" s="14" t="str">
        <f aca="false">IF(C13610="","",C13610*D13610/100)</f>
        <v/>
      </c>
      <c r="F13610" s="15" t="str">
        <f aca="false">IF(B13610&lt;5,"Go","Standard")</f>
        <v>Standard</v>
      </c>
    </row>
    <row r="13611" customFormat="false" ht="15" hidden="false" customHeight="true" outlineLevel="0" collapsed="false">
      <c r="A13611" s="10" t="n">
        <f aca="false">Einstellungen!$B$5+INT((ROW()-9)/24)</f>
        <v>46532</v>
      </c>
      <c r="B13611" s="11" t="n">
        <f aca="false">MOD(ROW()-9,24)</f>
        <v>18</v>
      </c>
      <c r="C13611" s="12"/>
      <c r="D13611" s="13" t="n">
        <f aca="false">IF(B13611&lt;5,Einstellungen!$B$3,Einstellungen!$B$4)</f>
        <v>29.13</v>
      </c>
      <c r="E13611" s="14" t="str">
        <f aca="false">IF(C13611="","",C13611*D13611/100)</f>
        <v/>
      </c>
      <c r="F13611" s="15" t="str">
        <f aca="false">IF(B13611&lt;5,"Go","Standard")</f>
        <v>Standard</v>
      </c>
    </row>
    <row r="13612" customFormat="false" ht="15" hidden="false" customHeight="true" outlineLevel="0" collapsed="false">
      <c r="A13612" s="10" t="n">
        <f aca="false">Einstellungen!$B$5+INT((ROW()-9)/24)</f>
        <v>46532</v>
      </c>
      <c r="B13612" s="11" t="n">
        <f aca="false">MOD(ROW()-9,24)</f>
        <v>19</v>
      </c>
      <c r="C13612" s="12"/>
      <c r="D13612" s="13" t="n">
        <f aca="false">IF(B13612&lt;5,Einstellungen!$B$3,Einstellungen!$B$4)</f>
        <v>29.13</v>
      </c>
      <c r="E13612" s="14" t="str">
        <f aca="false">IF(C13612="","",C13612*D13612/100)</f>
        <v/>
      </c>
      <c r="F13612" s="15" t="str">
        <f aca="false">IF(B13612&lt;5,"Go","Standard")</f>
        <v>Standard</v>
      </c>
    </row>
    <row r="13613" customFormat="false" ht="15" hidden="false" customHeight="true" outlineLevel="0" collapsed="false">
      <c r="A13613" s="10" t="n">
        <f aca="false">Einstellungen!$B$5+INT((ROW()-9)/24)</f>
        <v>46532</v>
      </c>
      <c r="B13613" s="11" t="n">
        <f aca="false">MOD(ROW()-9,24)</f>
        <v>20</v>
      </c>
      <c r="C13613" s="12"/>
      <c r="D13613" s="13" t="n">
        <f aca="false">IF(B13613&lt;5,Einstellungen!$B$3,Einstellungen!$B$4)</f>
        <v>29.13</v>
      </c>
      <c r="E13613" s="14" t="str">
        <f aca="false">IF(C13613="","",C13613*D13613/100)</f>
        <v/>
      </c>
      <c r="F13613" s="15" t="str">
        <f aca="false">IF(B13613&lt;5,"Go","Standard")</f>
        <v>Standard</v>
      </c>
    </row>
    <row r="13614" customFormat="false" ht="15" hidden="false" customHeight="true" outlineLevel="0" collapsed="false">
      <c r="A13614" s="10" t="n">
        <f aca="false">Einstellungen!$B$5+INT((ROW()-9)/24)</f>
        <v>46532</v>
      </c>
      <c r="B13614" s="11" t="n">
        <f aca="false">MOD(ROW()-9,24)</f>
        <v>21</v>
      </c>
      <c r="C13614" s="12"/>
      <c r="D13614" s="13" t="n">
        <f aca="false">IF(B13614&lt;5,Einstellungen!$B$3,Einstellungen!$B$4)</f>
        <v>29.13</v>
      </c>
      <c r="E13614" s="14" t="str">
        <f aca="false">IF(C13614="","",C13614*D13614/100)</f>
        <v/>
      </c>
      <c r="F13614" s="15" t="str">
        <f aca="false">IF(B13614&lt;5,"Go","Standard")</f>
        <v>Standard</v>
      </c>
    </row>
    <row r="13615" customFormat="false" ht="15" hidden="false" customHeight="true" outlineLevel="0" collapsed="false">
      <c r="A13615" s="10" t="n">
        <f aca="false">Einstellungen!$B$5+INT((ROW()-9)/24)</f>
        <v>46532</v>
      </c>
      <c r="B13615" s="11" t="n">
        <f aca="false">MOD(ROW()-9,24)</f>
        <v>22</v>
      </c>
      <c r="C13615" s="12"/>
      <c r="D13615" s="13" t="n">
        <f aca="false">IF(B13615&lt;5,Einstellungen!$B$3,Einstellungen!$B$4)</f>
        <v>29.13</v>
      </c>
      <c r="E13615" s="14" t="str">
        <f aca="false">IF(C13615="","",C13615*D13615/100)</f>
        <v/>
      </c>
      <c r="F13615" s="15" t="str">
        <f aca="false">IF(B13615&lt;5,"Go","Standard")</f>
        <v>Standard</v>
      </c>
    </row>
    <row r="13616" customFormat="false" ht="15" hidden="false" customHeight="true" outlineLevel="0" collapsed="false">
      <c r="A13616" s="10" t="n">
        <f aca="false">Einstellungen!$B$5+INT((ROW()-9)/24)</f>
        <v>46532</v>
      </c>
      <c r="B13616" s="11" t="n">
        <f aca="false">MOD(ROW()-9,24)</f>
        <v>23</v>
      </c>
      <c r="C13616" s="12"/>
      <c r="D13616" s="13" t="n">
        <f aca="false">IF(B13616&lt;5,Einstellungen!$B$3,Einstellungen!$B$4)</f>
        <v>29.13</v>
      </c>
      <c r="E13616" s="14" t="str">
        <f aca="false">IF(C13616="","",C13616*D13616/100)</f>
        <v/>
      </c>
      <c r="F13616" s="15" t="str">
        <f aca="false">IF(B13616&lt;5,"Go","Standard")</f>
        <v>Standard</v>
      </c>
    </row>
    <row r="13617" customFormat="false" ht="15" hidden="false" customHeight="true" outlineLevel="0" collapsed="false">
      <c r="A13617" s="10" t="n">
        <f aca="false">Einstellungen!$B$5+INT((ROW()-9)/24)</f>
        <v>46533</v>
      </c>
      <c r="B13617" s="11" t="n">
        <f aca="false">MOD(ROW()-9,24)</f>
        <v>0</v>
      </c>
      <c r="C13617" s="12"/>
      <c r="D13617" s="13" t="n">
        <f aca="false">IF(B13617&lt;5,Einstellungen!$B$3,Einstellungen!$B$4)</f>
        <v>15.92</v>
      </c>
      <c r="E13617" s="14" t="str">
        <f aca="false">IF(C13617="","",C13617*D13617/100)</f>
        <v/>
      </c>
      <c r="F13617" s="15" t="str">
        <f aca="false">IF(B13617&lt;5,"Go","Standard")</f>
        <v>Go</v>
      </c>
    </row>
    <row r="13618" customFormat="false" ht="15" hidden="false" customHeight="true" outlineLevel="0" collapsed="false">
      <c r="A13618" s="10" t="n">
        <f aca="false">Einstellungen!$B$5+INT((ROW()-9)/24)</f>
        <v>46533</v>
      </c>
      <c r="B13618" s="11" t="n">
        <f aca="false">MOD(ROW()-9,24)</f>
        <v>1</v>
      </c>
      <c r="C13618" s="12"/>
      <c r="D13618" s="13" t="n">
        <f aca="false">IF(B13618&lt;5,Einstellungen!$B$3,Einstellungen!$B$4)</f>
        <v>15.92</v>
      </c>
      <c r="E13618" s="14" t="str">
        <f aca="false">IF(C13618="","",C13618*D13618/100)</f>
        <v/>
      </c>
      <c r="F13618" s="15" t="str">
        <f aca="false">IF(B13618&lt;5,"Go","Standard")</f>
        <v>Go</v>
      </c>
    </row>
    <row r="13619" customFormat="false" ht="15" hidden="false" customHeight="true" outlineLevel="0" collapsed="false">
      <c r="A13619" s="10" t="n">
        <f aca="false">Einstellungen!$B$5+INT((ROW()-9)/24)</f>
        <v>46533</v>
      </c>
      <c r="B13619" s="11" t="n">
        <f aca="false">MOD(ROW()-9,24)</f>
        <v>2</v>
      </c>
      <c r="C13619" s="12"/>
      <c r="D13619" s="13" t="n">
        <f aca="false">IF(B13619&lt;5,Einstellungen!$B$3,Einstellungen!$B$4)</f>
        <v>15.92</v>
      </c>
      <c r="E13619" s="14" t="str">
        <f aca="false">IF(C13619="","",C13619*D13619/100)</f>
        <v/>
      </c>
      <c r="F13619" s="15" t="str">
        <f aca="false">IF(B13619&lt;5,"Go","Standard")</f>
        <v>Go</v>
      </c>
    </row>
    <row r="13620" customFormat="false" ht="15" hidden="false" customHeight="true" outlineLevel="0" collapsed="false">
      <c r="A13620" s="10" t="n">
        <f aca="false">Einstellungen!$B$5+INT((ROW()-9)/24)</f>
        <v>46533</v>
      </c>
      <c r="B13620" s="11" t="n">
        <f aca="false">MOD(ROW()-9,24)</f>
        <v>3</v>
      </c>
      <c r="C13620" s="12"/>
      <c r="D13620" s="13" t="n">
        <f aca="false">IF(B13620&lt;5,Einstellungen!$B$3,Einstellungen!$B$4)</f>
        <v>15.92</v>
      </c>
      <c r="E13620" s="14" t="str">
        <f aca="false">IF(C13620="","",C13620*D13620/100)</f>
        <v/>
      </c>
      <c r="F13620" s="15" t="str">
        <f aca="false">IF(B13620&lt;5,"Go","Standard")</f>
        <v>Go</v>
      </c>
    </row>
    <row r="13621" customFormat="false" ht="15" hidden="false" customHeight="true" outlineLevel="0" collapsed="false">
      <c r="A13621" s="10" t="n">
        <f aca="false">Einstellungen!$B$5+INT((ROW()-9)/24)</f>
        <v>46533</v>
      </c>
      <c r="B13621" s="11" t="n">
        <f aca="false">MOD(ROW()-9,24)</f>
        <v>4</v>
      </c>
      <c r="C13621" s="12"/>
      <c r="D13621" s="13" t="n">
        <f aca="false">IF(B13621&lt;5,Einstellungen!$B$3,Einstellungen!$B$4)</f>
        <v>15.92</v>
      </c>
      <c r="E13621" s="14" t="str">
        <f aca="false">IF(C13621="","",C13621*D13621/100)</f>
        <v/>
      </c>
      <c r="F13621" s="15" t="str">
        <f aca="false">IF(B13621&lt;5,"Go","Standard")</f>
        <v>Go</v>
      </c>
    </row>
    <row r="13622" customFormat="false" ht="15" hidden="false" customHeight="true" outlineLevel="0" collapsed="false">
      <c r="A13622" s="10" t="n">
        <f aca="false">Einstellungen!$B$5+INT((ROW()-9)/24)</f>
        <v>46533</v>
      </c>
      <c r="B13622" s="11" t="n">
        <f aca="false">MOD(ROW()-9,24)</f>
        <v>5</v>
      </c>
      <c r="C13622" s="12"/>
      <c r="D13622" s="13" t="n">
        <f aca="false">IF(B13622&lt;5,Einstellungen!$B$3,Einstellungen!$B$4)</f>
        <v>29.13</v>
      </c>
      <c r="E13622" s="14" t="str">
        <f aca="false">IF(C13622="","",C13622*D13622/100)</f>
        <v/>
      </c>
      <c r="F13622" s="15" t="str">
        <f aca="false">IF(B13622&lt;5,"Go","Standard")</f>
        <v>Standard</v>
      </c>
    </row>
    <row r="13623" customFormat="false" ht="15" hidden="false" customHeight="true" outlineLevel="0" collapsed="false">
      <c r="A13623" s="10" t="n">
        <f aca="false">Einstellungen!$B$5+INT((ROW()-9)/24)</f>
        <v>46533</v>
      </c>
      <c r="B13623" s="11" t="n">
        <f aca="false">MOD(ROW()-9,24)</f>
        <v>6</v>
      </c>
      <c r="C13623" s="12"/>
      <c r="D13623" s="13" t="n">
        <f aca="false">IF(B13623&lt;5,Einstellungen!$B$3,Einstellungen!$B$4)</f>
        <v>29.13</v>
      </c>
      <c r="E13623" s="14" t="str">
        <f aca="false">IF(C13623="","",C13623*D13623/100)</f>
        <v/>
      </c>
      <c r="F13623" s="15" t="str">
        <f aca="false">IF(B13623&lt;5,"Go","Standard")</f>
        <v>Standard</v>
      </c>
    </row>
    <row r="13624" customFormat="false" ht="15" hidden="false" customHeight="true" outlineLevel="0" collapsed="false">
      <c r="A13624" s="10" t="n">
        <f aca="false">Einstellungen!$B$5+INT((ROW()-9)/24)</f>
        <v>46533</v>
      </c>
      <c r="B13624" s="11" t="n">
        <f aca="false">MOD(ROW()-9,24)</f>
        <v>7</v>
      </c>
      <c r="C13624" s="12"/>
      <c r="D13624" s="13" t="n">
        <f aca="false">IF(B13624&lt;5,Einstellungen!$B$3,Einstellungen!$B$4)</f>
        <v>29.13</v>
      </c>
      <c r="E13624" s="14" t="str">
        <f aca="false">IF(C13624="","",C13624*D13624/100)</f>
        <v/>
      </c>
      <c r="F13624" s="15" t="str">
        <f aca="false">IF(B13624&lt;5,"Go","Standard")</f>
        <v>Standard</v>
      </c>
    </row>
    <row r="13625" customFormat="false" ht="15" hidden="false" customHeight="true" outlineLevel="0" collapsed="false">
      <c r="A13625" s="10" t="n">
        <f aca="false">Einstellungen!$B$5+INT((ROW()-9)/24)</f>
        <v>46533</v>
      </c>
      <c r="B13625" s="11" t="n">
        <f aca="false">MOD(ROW()-9,24)</f>
        <v>8</v>
      </c>
      <c r="C13625" s="12"/>
      <c r="D13625" s="13" t="n">
        <f aca="false">IF(B13625&lt;5,Einstellungen!$B$3,Einstellungen!$B$4)</f>
        <v>29.13</v>
      </c>
      <c r="E13625" s="14" t="str">
        <f aca="false">IF(C13625="","",C13625*D13625/100)</f>
        <v/>
      </c>
      <c r="F13625" s="15" t="str">
        <f aca="false">IF(B13625&lt;5,"Go","Standard")</f>
        <v>Standard</v>
      </c>
    </row>
    <row r="13626" customFormat="false" ht="15" hidden="false" customHeight="true" outlineLevel="0" collapsed="false">
      <c r="A13626" s="10" t="n">
        <f aca="false">Einstellungen!$B$5+INT((ROW()-9)/24)</f>
        <v>46533</v>
      </c>
      <c r="B13626" s="11" t="n">
        <f aca="false">MOD(ROW()-9,24)</f>
        <v>9</v>
      </c>
      <c r="C13626" s="12"/>
      <c r="D13626" s="13" t="n">
        <f aca="false">IF(B13626&lt;5,Einstellungen!$B$3,Einstellungen!$B$4)</f>
        <v>29.13</v>
      </c>
      <c r="E13626" s="14" t="str">
        <f aca="false">IF(C13626="","",C13626*D13626/100)</f>
        <v/>
      </c>
      <c r="F13626" s="15" t="str">
        <f aca="false">IF(B13626&lt;5,"Go","Standard")</f>
        <v>Standard</v>
      </c>
    </row>
    <row r="13627" customFormat="false" ht="15" hidden="false" customHeight="true" outlineLevel="0" collapsed="false">
      <c r="A13627" s="10" t="n">
        <f aca="false">Einstellungen!$B$5+INT((ROW()-9)/24)</f>
        <v>46533</v>
      </c>
      <c r="B13627" s="11" t="n">
        <f aca="false">MOD(ROW()-9,24)</f>
        <v>10</v>
      </c>
      <c r="C13627" s="12"/>
      <c r="D13627" s="13" t="n">
        <f aca="false">IF(B13627&lt;5,Einstellungen!$B$3,Einstellungen!$B$4)</f>
        <v>29.13</v>
      </c>
      <c r="E13627" s="14" t="str">
        <f aca="false">IF(C13627="","",C13627*D13627/100)</f>
        <v/>
      </c>
      <c r="F13627" s="15" t="str">
        <f aca="false">IF(B13627&lt;5,"Go","Standard")</f>
        <v>Standard</v>
      </c>
    </row>
    <row r="13628" customFormat="false" ht="15" hidden="false" customHeight="true" outlineLevel="0" collapsed="false">
      <c r="A13628" s="10" t="n">
        <f aca="false">Einstellungen!$B$5+INT((ROW()-9)/24)</f>
        <v>46533</v>
      </c>
      <c r="B13628" s="11" t="n">
        <f aca="false">MOD(ROW()-9,24)</f>
        <v>11</v>
      </c>
      <c r="C13628" s="12"/>
      <c r="D13628" s="13" t="n">
        <f aca="false">IF(B13628&lt;5,Einstellungen!$B$3,Einstellungen!$B$4)</f>
        <v>29.13</v>
      </c>
      <c r="E13628" s="14" t="str">
        <f aca="false">IF(C13628="","",C13628*D13628/100)</f>
        <v/>
      </c>
      <c r="F13628" s="15" t="str">
        <f aca="false">IF(B13628&lt;5,"Go","Standard")</f>
        <v>Standard</v>
      </c>
    </row>
    <row r="13629" customFormat="false" ht="15" hidden="false" customHeight="true" outlineLevel="0" collapsed="false">
      <c r="A13629" s="10" t="n">
        <f aca="false">Einstellungen!$B$5+INT((ROW()-9)/24)</f>
        <v>46533</v>
      </c>
      <c r="B13629" s="11" t="n">
        <f aca="false">MOD(ROW()-9,24)</f>
        <v>12</v>
      </c>
      <c r="C13629" s="12"/>
      <c r="D13629" s="13" t="n">
        <f aca="false">IF(B13629&lt;5,Einstellungen!$B$3,Einstellungen!$B$4)</f>
        <v>29.13</v>
      </c>
      <c r="E13629" s="14" t="str">
        <f aca="false">IF(C13629="","",C13629*D13629/100)</f>
        <v/>
      </c>
      <c r="F13629" s="15" t="str">
        <f aca="false">IF(B13629&lt;5,"Go","Standard")</f>
        <v>Standard</v>
      </c>
    </row>
    <row r="13630" customFormat="false" ht="15" hidden="false" customHeight="true" outlineLevel="0" collapsed="false">
      <c r="A13630" s="10" t="n">
        <f aca="false">Einstellungen!$B$5+INT((ROW()-9)/24)</f>
        <v>46533</v>
      </c>
      <c r="B13630" s="11" t="n">
        <f aca="false">MOD(ROW()-9,24)</f>
        <v>13</v>
      </c>
      <c r="C13630" s="12"/>
      <c r="D13630" s="13" t="n">
        <f aca="false">IF(B13630&lt;5,Einstellungen!$B$3,Einstellungen!$B$4)</f>
        <v>29.13</v>
      </c>
      <c r="E13630" s="14" t="str">
        <f aca="false">IF(C13630="","",C13630*D13630/100)</f>
        <v/>
      </c>
      <c r="F13630" s="15" t="str">
        <f aca="false">IF(B13630&lt;5,"Go","Standard")</f>
        <v>Standard</v>
      </c>
    </row>
    <row r="13631" customFormat="false" ht="15" hidden="false" customHeight="true" outlineLevel="0" collapsed="false">
      <c r="A13631" s="10" t="n">
        <f aca="false">Einstellungen!$B$5+INT((ROW()-9)/24)</f>
        <v>46533</v>
      </c>
      <c r="B13631" s="11" t="n">
        <f aca="false">MOD(ROW()-9,24)</f>
        <v>14</v>
      </c>
      <c r="C13631" s="12"/>
      <c r="D13631" s="13" t="n">
        <f aca="false">IF(B13631&lt;5,Einstellungen!$B$3,Einstellungen!$B$4)</f>
        <v>29.13</v>
      </c>
      <c r="E13631" s="14" t="str">
        <f aca="false">IF(C13631="","",C13631*D13631/100)</f>
        <v/>
      </c>
      <c r="F13631" s="15" t="str">
        <f aca="false">IF(B13631&lt;5,"Go","Standard")</f>
        <v>Standard</v>
      </c>
    </row>
    <row r="13632" customFormat="false" ht="15" hidden="false" customHeight="true" outlineLevel="0" collapsed="false">
      <c r="A13632" s="10" t="n">
        <f aca="false">Einstellungen!$B$5+INT((ROW()-9)/24)</f>
        <v>46533</v>
      </c>
      <c r="B13632" s="11" t="n">
        <f aca="false">MOD(ROW()-9,24)</f>
        <v>15</v>
      </c>
      <c r="C13632" s="12"/>
      <c r="D13632" s="13" t="n">
        <f aca="false">IF(B13632&lt;5,Einstellungen!$B$3,Einstellungen!$B$4)</f>
        <v>29.13</v>
      </c>
      <c r="E13632" s="14" t="str">
        <f aca="false">IF(C13632="","",C13632*D13632/100)</f>
        <v/>
      </c>
      <c r="F13632" s="15" t="str">
        <f aca="false">IF(B13632&lt;5,"Go","Standard")</f>
        <v>Standard</v>
      </c>
    </row>
    <row r="13633" customFormat="false" ht="15" hidden="false" customHeight="true" outlineLevel="0" collapsed="false">
      <c r="A13633" s="10" t="n">
        <f aca="false">Einstellungen!$B$5+INT((ROW()-9)/24)</f>
        <v>46533</v>
      </c>
      <c r="B13633" s="11" t="n">
        <f aca="false">MOD(ROW()-9,24)</f>
        <v>16</v>
      </c>
      <c r="C13633" s="12"/>
      <c r="D13633" s="13" t="n">
        <f aca="false">IF(B13633&lt;5,Einstellungen!$B$3,Einstellungen!$B$4)</f>
        <v>29.13</v>
      </c>
      <c r="E13633" s="14" t="str">
        <f aca="false">IF(C13633="","",C13633*D13633/100)</f>
        <v/>
      </c>
      <c r="F13633" s="15" t="str">
        <f aca="false">IF(B13633&lt;5,"Go","Standard")</f>
        <v>Standard</v>
      </c>
    </row>
    <row r="13634" customFormat="false" ht="15" hidden="false" customHeight="true" outlineLevel="0" collapsed="false">
      <c r="A13634" s="10" t="n">
        <f aca="false">Einstellungen!$B$5+INT((ROW()-9)/24)</f>
        <v>46533</v>
      </c>
      <c r="B13634" s="11" t="n">
        <f aca="false">MOD(ROW()-9,24)</f>
        <v>17</v>
      </c>
      <c r="C13634" s="12"/>
      <c r="D13634" s="13" t="n">
        <f aca="false">IF(B13634&lt;5,Einstellungen!$B$3,Einstellungen!$B$4)</f>
        <v>29.13</v>
      </c>
      <c r="E13634" s="14" t="str">
        <f aca="false">IF(C13634="","",C13634*D13634/100)</f>
        <v/>
      </c>
      <c r="F13634" s="15" t="str">
        <f aca="false">IF(B13634&lt;5,"Go","Standard")</f>
        <v>Standard</v>
      </c>
    </row>
    <row r="13635" customFormat="false" ht="15" hidden="false" customHeight="true" outlineLevel="0" collapsed="false">
      <c r="A13635" s="10" t="n">
        <f aca="false">Einstellungen!$B$5+INT((ROW()-9)/24)</f>
        <v>46533</v>
      </c>
      <c r="B13635" s="11" t="n">
        <f aca="false">MOD(ROW()-9,24)</f>
        <v>18</v>
      </c>
      <c r="C13635" s="12"/>
      <c r="D13635" s="13" t="n">
        <f aca="false">IF(B13635&lt;5,Einstellungen!$B$3,Einstellungen!$B$4)</f>
        <v>29.13</v>
      </c>
      <c r="E13635" s="14" t="str">
        <f aca="false">IF(C13635="","",C13635*D13635/100)</f>
        <v/>
      </c>
      <c r="F13635" s="15" t="str">
        <f aca="false">IF(B13635&lt;5,"Go","Standard")</f>
        <v>Standard</v>
      </c>
    </row>
    <row r="13636" customFormat="false" ht="15" hidden="false" customHeight="true" outlineLevel="0" collapsed="false">
      <c r="A13636" s="10" t="n">
        <f aca="false">Einstellungen!$B$5+INT((ROW()-9)/24)</f>
        <v>46533</v>
      </c>
      <c r="B13636" s="11" t="n">
        <f aca="false">MOD(ROW()-9,24)</f>
        <v>19</v>
      </c>
      <c r="C13636" s="12"/>
      <c r="D13636" s="13" t="n">
        <f aca="false">IF(B13636&lt;5,Einstellungen!$B$3,Einstellungen!$B$4)</f>
        <v>29.13</v>
      </c>
      <c r="E13636" s="14" t="str">
        <f aca="false">IF(C13636="","",C13636*D13636/100)</f>
        <v/>
      </c>
      <c r="F13636" s="15" t="str">
        <f aca="false">IF(B13636&lt;5,"Go","Standard")</f>
        <v>Standard</v>
      </c>
    </row>
    <row r="13637" customFormat="false" ht="15" hidden="false" customHeight="true" outlineLevel="0" collapsed="false">
      <c r="A13637" s="10" t="n">
        <f aca="false">Einstellungen!$B$5+INT((ROW()-9)/24)</f>
        <v>46533</v>
      </c>
      <c r="B13637" s="11" t="n">
        <f aca="false">MOD(ROW()-9,24)</f>
        <v>20</v>
      </c>
      <c r="C13637" s="12"/>
      <c r="D13637" s="13" t="n">
        <f aca="false">IF(B13637&lt;5,Einstellungen!$B$3,Einstellungen!$B$4)</f>
        <v>29.13</v>
      </c>
      <c r="E13637" s="14" t="str">
        <f aca="false">IF(C13637="","",C13637*D13637/100)</f>
        <v/>
      </c>
      <c r="F13637" s="15" t="str">
        <f aca="false">IF(B13637&lt;5,"Go","Standard")</f>
        <v>Standard</v>
      </c>
    </row>
    <row r="13638" customFormat="false" ht="15" hidden="false" customHeight="true" outlineLevel="0" collapsed="false">
      <c r="A13638" s="10" t="n">
        <f aca="false">Einstellungen!$B$5+INT((ROW()-9)/24)</f>
        <v>46533</v>
      </c>
      <c r="B13638" s="11" t="n">
        <f aca="false">MOD(ROW()-9,24)</f>
        <v>21</v>
      </c>
      <c r="C13638" s="12"/>
      <c r="D13638" s="13" t="n">
        <f aca="false">IF(B13638&lt;5,Einstellungen!$B$3,Einstellungen!$B$4)</f>
        <v>29.13</v>
      </c>
      <c r="E13638" s="14" t="str">
        <f aca="false">IF(C13638="","",C13638*D13638/100)</f>
        <v/>
      </c>
      <c r="F13638" s="15" t="str">
        <f aca="false">IF(B13638&lt;5,"Go","Standard")</f>
        <v>Standard</v>
      </c>
    </row>
    <row r="13639" customFormat="false" ht="15" hidden="false" customHeight="true" outlineLevel="0" collapsed="false">
      <c r="A13639" s="10" t="n">
        <f aca="false">Einstellungen!$B$5+INT((ROW()-9)/24)</f>
        <v>46533</v>
      </c>
      <c r="B13639" s="11" t="n">
        <f aca="false">MOD(ROW()-9,24)</f>
        <v>22</v>
      </c>
      <c r="C13639" s="12"/>
      <c r="D13639" s="13" t="n">
        <f aca="false">IF(B13639&lt;5,Einstellungen!$B$3,Einstellungen!$B$4)</f>
        <v>29.13</v>
      </c>
      <c r="E13639" s="14" t="str">
        <f aca="false">IF(C13639="","",C13639*D13639/100)</f>
        <v/>
      </c>
      <c r="F13639" s="15" t="str">
        <f aca="false">IF(B13639&lt;5,"Go","Standard")</f>
        <v>Standard</v>
      </c>
    </row>
    <row r="13640" customFormat="false" ht="15" hidden="false" customHeight="true" outlineLevel="0" collapsed="false">
      <c r="A13640" s="10" t="n">
        <f aca="false">Einstellungen!$B$5+INT((ROW()-9)/24)</f>
        <v>46533</v>
      </c>
      <c r="B13640" s="11" t="n">
        <f aca="false">MOD(ROW()-9,24)</f>
        <v>23</v>
      </c>
      <c r="C13640" s="12"/>
      <c r="D13640" s="13" t="n">
        <f aca="false">IF(B13640&lt;5,Einstellungen!$B$3,Einstellungen!$B$4)</f>
        <v>29.13</v>
      </c>
      <c r="E13640" s="14" t="str">
        <f aca="false">IF(C13640="","",C13640*D13640/100)</f>
        <v/>
      </c>
      <c r="F13640" s="15" t="str">
        <f aca="false">IF(B13640&lt;5,"Go","Standard")</f>
        <v>Standard</v>
      </c>
    </row>
    <row r="13641" customFormat="false" ht="15" hidden="false" customHeight="true" outlineLevel="0" collapsed="false">
      <c r="A13641" s="10" t="n">
        <f aca="false">Einstellungen!$B$5+INT((ROW()-9)/24)</f>
        <v>46534</v>
      </c>
      <c r="B13641" s="11" t="n">
        <f aca="false">MOD(ROW()-9,24)</f>
        <v>0</v>
      </c>
      <c r="C13641" s="12"/>
      <c r="D13641" s="13" t="n">
        <f aca="false">IF(B13641&lt;5,Einstellungen!$B$3,Einstellungen!$B$4)</f>
        <v>15.92</v>
      </c>
      <c r="E13641" s="14" t="str">
        <f aca="false">IF(C13641="","",C13641*D13641/100)</f>
        <v/>
      </c>
      <c r="F13641" s="15" t="str">
        <f aca="false">IF(B13641&lt;5,"Go","Standard")</f>
        <v>Go</v>
      </c>
    </row>
    <row r="13642" customFormat="false" ht="15" hidden="false" customHeight="true" outlineLevel="0" collapsed="false">
      <c r="A13642" s="10" t="n">
        <f aca="false">Einstellungen!$B$5+INT((ROW()-9)/24)</f>
        <v>46534</v>
      </c>
      <c r="B13642" s="11" t="n">
        <f aca="false">MOD(ROW()-9,24)</f>
        <v>1</v>
      </c>
      <c r="C13642" s="12"/>
      <c r="D13642" s="13" t="n">
        <f aca="false">IF(B13642&lt;5,Einstellungen!$B$3,Einstellungen!$B$4)</f>
        <v>15.92</v>
      </c>
      <c r="E13642" s="14" t="str">
        <f aca="false">IF(C13642="","",C13642*D13642/100)</f>
        <v/>
      </c>
      <c r="F13642" s="15" t="str">
        <f aca="false">IF(B13642&lt;5,"Go","Standard")</f>
        <v>Go</v>
      </c>
    </row>
    <row r="13643" customFormat="false" ht="15" hidden="false" customHeight="true" outlineLevel="0" collapsed="false">
      <c r="A13643" s="10" t="n">
        <f aca="false">Einstellungen!$B$5+INT((ROW()-9)/24)</f>
        <v>46534</v>
      </c>
      <c r="B13643" s="11" t="n">
        <f aca="false">MOD(ROW()-9,24)</f>
        <v>2</v>
      </c>
      <c r="C13643" s="12"/>
      <c r="D13643" s="13" t="n">
        <f aca="false">IF(B13643&lt;5,Einstellungen!$B$3,Einstellungen!$B$4)</f>
        <v>15.92</v>
      </c>
      <c r="E13643" s="14" t="str">
        <f aca="false">IF(C13643="","",C13643*D13643/100)</f>
        <v/>
      </c>
      <c r="F13643" s="15" t="str">
        <f aca="false">IF(B13643&lt;5,"Go","Standard")</f>
        <v>Go</v>
      </c>
    </row>
    <row r="13644" customFormat="false" ht="15" hidden="false" customHeight="true" outlineLevel="0" collapsed="false">
      <c r="A13644" s="10" t="n">
        <f aca="false">Einstellungen!$B$5+INT((ROW()-9)/24)</f>
        <v>46534</v>
      </c>
      <c r="B13644" s="11" t="n">
        <f aca="false">MOD(ROW()-9,24)</f>
        <v>3</v>
      </c>
      <c r="C13644" s="12"/>
      <c r="D13644" s="13" t="n">
        <f aca="false">IF(B13644&lt;5,Einstellungen!$B$3,Einstellungen!$B$4)</f>
        <v>15.92</v>
      </c>
      <c r="E13644" s="14" t="str">
        <f aca="false">IF(C13644="","",C13644*D13644/100)</f>
        <v/>
      </c>
      <c r="F13644" s="15" t="str">
        <f aca="false">IF(B13644&lt;5,"Go","Standard")</f>
        <v>Go</v>
      </c>
    </row>
    <row r="13645" customFormat="false" ht="15" hidden="false" customHeight="true" outlineLevel="0" collapsed="false">
      <c r="A13645" s="10" t="n">
        <f aca="false">Einstellungen!$B$5+INT((ROW()-9)/24)</f>
        <v>46534</v>
      </c>
      <c r="B13645" s="11" t="n">
        <f aca="false">MOD(ROW()-9,24)</f>
        <v>4</v>
      </c>
      <c r="C13645" s="12"/>
      <c r="D13645" s="13" t="n">
        <f aca="false">IF(B13645&lt;5,Einstellungen!$B$3,Einstellungen!$B$4)</f>
        <v>15.92</v>
      </c>
      <c r="E13645" s="14" t="str">
        <f aca="false">IF(C13645="","",C13645*D13645/100)</f>
        <v/>
      </c>
      <c r="F13645" s="15" t="str">
        <f aca="false">IF(B13645&lt;5,"Go","Standard")</f>
        <v>Go</v>
      </c>
    </row>
    <row r="13646" customFormat="false" ht="15" hidden="false" customHeight="true" outlineLevel="0" collapsed="false">
      <c r="A13646" s="10" t="n">
        <f aca="false">Einstellungen!$B$5+INT((ROW()-9)/24)</f>
        <v>46534</v>
      </c>
      <c r="B13646" s="11" t="n">
        <f aca="false">MOD(ROW()-9,24)</f>
        <v>5</v>
      </c>
      <c r="C13646" s="12"/>
      <c r="D13646" s="13" t="n">
        <f aca="false">IF(B13646&lt;5,Einstellungen!$B$3,Einstellungen!$B$4)</f>
        <v>29.13</v>
      </c>
      <c r="E13646" s="14" t="str">
        <f aca="false">IF(C13646="","",C13646*D13646/100)</f>
        <v/>
      </c>
      <c r="F13646" s="15" t="str">
        <f aca="false">IF(B13646&lt;5,"Go","Standard")</f>
        <v>Standard</v>
      </c>
    </row>
    <row r="13647" customFormat="false" ht="15" hidden="false" customHeight="true" outlineLevel="0" collapsed="false">
      <c r="A13647" s="10" t="n">
        <f aca="false">Einstellungen!$B$5+INT((ROW()-9)/24)</f>
        <v>46534</v>
      </c>
      <c r="B13647" s="11" t="n">
        <f aca="false">MOD(ROW()-9,24)</f>
        <v>6</v>
      </c>
      <c r="C13647" s="12"/>
      <c r="D13647" s="13" t="n">
        <f aca="false">IF(B13647&lt;5,Einstellungen!$B$3,Einstellungen!$B$4)</f>
        <v>29.13</v>
      </c>
      <c r="E13647" s="14" t="str">
        <f aca="false">IF(C13647="","",C13647*D13647/100)</f>
        <v/>
      </c>
      <c r="F13647" s="15" t="str">
        <f aca="false">IF(B13647&lt;5,"Go","Standard")</f>
        <v>Standard</v>
      </c>
    </row>
    <row r="13648" customFormat="false" ht="15" hidden="false" customHeight="true" outlineLevel="0" collapsed="false">
      <c r="A13648" s="10" t="n">
        <f aca="false">Einstellungen!$B$5+INT((ROW()-9)/24)</f>
        <v>46534</v>
      </c>
      <c r="B13648" s="11" t="n">
        <f aca="false">MOD(ROW()-9,24)</f>
        <v>7</v>
      </c>
      <c r="C13648" s="12"/>
      <c r="D13648" s="13" t="n">
        <f aca="false">IF(B13648&lt;5,Einstellungen!$B$3,Einstellungen!$B$4)</f>
        <v>29.13</v>
      </c>
      <c r="E13648" s="14" t="str">
        <f aca="false">IF(C13648="","",C13648*D13648/100)</f>
        <v/>
      </c>
      <c r="F13648" s="15" t="str">
        <f aca="false">IF(B13648&lt;5,"Go","Standard")</f>
        <v>Standard</v>
      </c>
    </row>
    <row r="13649" customFormat="false" ht="15" hidden="false" customHeight="true" outlineLevel="0" collapsed="false">
      <c r="A13649" s="10" t="n">
        <f aca="false">Einstellungen!$B$5+INT((ROW()-9)/24)</f>
        <v>46534</v>
      </c>
      <c r="B13649" s="11" t="n">
        <f aca="false">MOD(ROW()-9,24)</f>
        <v>8</v>
      </c>
      <c r="C13649" s="12"/>
      <c r="D13649" s="13" t="n">
        <f aca="false">IF(B13649&lt;5,Einstellungen!$B$3,Einstellungen!$B$4)</f>
        <v>29.13</v>
      </c>
      <c r="E13649" s="14" t="str">
        <f aca="false">IF(C13649="","",C13649*D13649/100)</f>
        <v/>
      </c>
      <c r="F13649" s="15" t="str">
        <f aca="false">IF(B13649&lt;5,"Go","Standard")</f>
        <v>Standard</v>
      </c>
    </row>
    <row r="13650" customFormat="false" ht="15" hidden="false" customHeight="true" outlineLevel="0" collapsed="false">
      <c r="A13650" s="10" t="n">
        <f aca="false">Einstellungen!$B$5+INT((ROW()-9)/24)</f>
        <v>46534</v>
      </c>
      <c r="B13650" s="11" t="n">
        <f aca="false">MOD(ROW()-9,24)</f>
        <v>9</v>
      </c>
      <c r="C13650" s="12"/>
      <c r="D13650" s="13" t="n">
        <f aca="false">IF(B13650&lt;5,Einstellungen!$B$3,Einstellungen!$B$4)</f>
        <v>29.13</v>
      </c>
      <c r="E13650" s="14" t="str">
        <f aca="false">IF(C13650="","",C13650*D13650/100)</f>
        <v/>
      </c>
      <c r="F13650" s="15" t="str">
        <f aca="false">IF(B13650&lt;5,"Go","Standard")</f>
        <v>Standard</v>
      </c>
    </row>
    <row r="13651" customFormat="false" ht="15" hidden="false" customHeight="true" outlineLevel="0" collapsed="false">
      <c r="A13651" s="10" t="n">
        <f aca="false">Einstellungen!$B$5+INT((ROW()-9)/24)</f>
        <v>46534</v>
      </c>
      <c r="B13651" s="11" t="n">
        <f aca="false">MOD(ROW()-9,24)</f>
        <v>10</v>
      </c>
      <c r="C13651" s="12"/>
      <c r="D13651" s="13" t="n">
        <f aca="false">IF(B13651&lt;5,Einstellungen!$B$3,Einstellungen!$B$4)</f>
        <v>29.13</v>
      </c>
      <c r="E13651" s="14" t="str">
        <f aca="false">IF(C13651="","",C13651*D13651/100)</f>
        <v/>
      </c>
      <c r="F13651" s="15" t="str">
        <f aca="false">IF(B13651&lt;5,"Go","Standard")</f>
        <v>Standard</v>
      </c>
    </row>
    <row r="13652" customFormat="false" ht="15" hidden="false" customHeight="true" outlineLevel="0" collapsed="false">
      <c r="A13652" s="10" t="n">
        <f aca="false">Einstellungen!$B$5+INT((ROW()-9)/24)</f>
        <v>46534</v>
      </c>
      <c r="B13652" s="11" t="n">
        <f aca="false">MOD(ROW()-9,24)</f>
        <v>11</v>
      </c>
      <c r="C13652" s="12"/>
      <c r="D13652" s="13" t="n">
        <f aca="false">IF(B13652&lt;5,Einstellungen!$B$3,Einstellungen!$B$4)</f>
        <v>29.13</v>
      </c>
      <c r="E13652" s="14" t="str">
        <f aca="false">IF(C13652="","",C13652*D13652/100)</f>
        <v/>
      </c>
      <c r="F13652" s="15" t="str">
        <f aca="false">IF(B13652&lt;5,"Go","Standard")</f>
        <v>Standard</v>
      </c>
    </row>
    <row r="13653" customFormat="false" ht="15" hidden="false" customHeight="true" outlineLevel="0" collapsed="false">
      <c r="A13653" s="10" t="n">
        <f aca="false">Einstellungen!$B$5+INT((ROW()-9)/24)</f>
        <v>46534</v>
      </c>
      <c r="B13653" s="11" t="n">
        <f aca="false">MOD(ROW()-9,24)</f>
        <v>12</v>
      </c>
      <c r="C13653" s="12"/>
      <c r="D13653" s="13" t="n">
        <f aca="false">IF(B13653&lt;5,Einstellungen!$B$3,Einstellungen!$B$4)</f>
        <v>29.13</v>
      </c>
      <c r="E13653" s="14" t="str">
        <f aca="false">IF(C13653="","",C13653*D13653/100)</f>
        <v/>
      </c>
      <c r="F13653" s="15" t="str">
        <f aca="false">IF(B13653&lt;5,"Go","Standard")</f>
        <v>Standard</v>
      </c>
    </row>
    <row r="13654" customFormat="false" ht="15" hidden="false" customHeight="true" outlineLevel="0" collapsed="false">
      <c r="A13654" s="10" t="n">
        <f aca="false">Einstellungen!$B$5+INT((ROW()-9)/24)</f>
        <v>46534</v>
      </c>
      <c r="B13654" s="11" t="n">
        <f aca="false">MOD(ROW()-9,24)</f>
        <v>13</v>
      </c>
      <c r="C13654" s="12"/>
      <c r="D13654" s="13" t="n">
        <f aca="false">IF(B13654&lt;5,Einstellungen!$B$3,Einstellungen!$B$4)</f>
        <v>29.13</v>
      </c>
      <c r="E13654" s="14" t="str">
        <f aca="false">IF(C13654="","",C13654*D13654/100)</f>
        <v/>
      </c>
      <c r="F13654" s="15" t="str">
        <f aca="false">IF(B13654&lt;5,"Go","Standard")</f>
        <v>Standard</v>
      </c>
    </row>
    <row r="13655" customFormat="false" ht="15" hidden="false" customHeight="true" outlineLevel="0" collapsed="false">
      <c r="A13655" s="10" t="n">
        <f aca="false">Einstellungen!$B$5+INT((ROW()-9)/24)</f>
        <v>46534</v>
      </c>
      <c r="B13655" s="11" t="n">
        <f aca="false">MOD(ROW()-9,24)</f>
        <v>14</v>
      </c>
      <c r="C13655" s="12"/>
      <c r="D13655" s="13" t="n">
        <f aca="false">IF(B13655&lt;5,Einstellungen!$B$3,Einstellungen!$B$4)</f>
        <v>29.13</v>
      </c>
      <c r="E13655" s="14" t="str">
        <f aca="false">IF(C13655="","",C13655*D13655/100)</f>
        <v/>
      </c>
      <c r="F13655" s="15" t="str">
        <f aca="false">IF(B13655&lt;5,"Go","Standard")</f>
        <v>Standard</v>
      </c>
    </row>
    <row r="13656" customFormat="false" ht="15" hidden="false" customHeight="true" outlineLevel="0" collapsed="false">
      <c r="A13656" s="10" t="n">
        <f aca="false">Einstellungen!$B$5+INT((ROW()-9)/24)</f>
        <v>46534</v>
      </c>
      <c r="B13656" s="11" t="n">
        <f aca="false">MOD(ROW()-9,24)</f>
        <v>15</v>
      </c>
      <c r="C13656" s="12"/>
      <c r="D13656" s="13" t="n">
        <f aca="false">IF(B13656&lt;5,Einstellungen!$B$3,Einstellungen!$B$4)</f>
        <v>29.13</v>
      </c>
      <c r="E13656" s="14" t="str">
        <f aca="false">IF(C13656="","",C13656*D13656/100)</f>
        <v/>
      </c>
      <c r="F13656" s="15" t="str">
        <f aca="false">IF(B13656&lt;5,"Go","Standard")</f>
        <v>Standard</v>
      </c>
    </row>
    <row r="13657" customFormat="false" ht="15" hidden="false" customHeight="true" outlineLevel="0" collapsed="false">
      <c r="A13657" s="10" t="n">
        <f aca="false">Einstellungen!$B$5+INT((ROW()-9)/24)</f>
        <v>46534</v>
      </c>
      <c r="B13657" s="11" t="n">
        <f aca="false">MOD(ROW()-9,24)</f>
        <v>16</v>
      </c>
      <c r="C13657" s="12"/>
      <c r="D13657" s="13" t="n">
        <f aca="false">IF(B13657&lt;5,Einstellungen!$B$3,Einstellungen!$B$4)</f>
        <v>29.13</v>
      </c>
      <c r="E13657" s="14" t="str">
        <f aca="false">IF(C13657="","",C13657*D13657/100)</f>
        <v/>
      </c>
      <c r="F13657" s="15" t="str">
        <f aca="false">IF(B13657&lt;5,"Go","Standard")</f>
        <v>Standard</v>
      </c>
    </row>
    <row r="13658" customFormat="false" ht="15" hidden="false" customHeight="true" outlineLevel="0" collapsed="false">
      <c r="A13658" s="10" t="n">
        <f aca="false">Einstellungen!$B$5+INT((ROW()-9)/24)</f>
        <v>46534</v>
      </c>
      <c r="B13658" s="11" t="n">
        <f aca="false">MOD(ROW()-9,24)</f>
        <v>17</v>
      </c>
      <c r="C13658" s="12"/>
      <c r="D13658" s="13" t="n">
        <f aca="false">IF(B13658&lt;5,Einstellungen!$B$3,Einstellungen!$B$4)</f>
        <v>29.13</v>
      </c>
      <c r="E13658" s="14" t="str">
        <f aca="false">IF(C13658="","",C13658*D13658/100)</f>
        <v/>
      </c>
      <c r="F13658" s="15" t="str">
        <f aca="false">IF(B13658&lt;5,"Go","Standard")</f>
        <v>Standard</v>
      </c>
    </row>
    <row r="13659" customFormat="false" ht="15" hidden="false" customHeight="true" outlineLevel="0" collapsed="false">
      <c r="A13659" s="10" t="n">
        <f aca="false">Einstellungen!$B$5+INT((ROW()-9)/24)</f>
        <v>46534</v>
      </c>
      <c r="B13659" s="11" t="n">
        <f aca="false">MOD(ROW()-9,24)</f>
        <v>18</v>
      </c>
      <c r="C13659" s="12"/>
      <c r="D13659" s="13" t="n">
        <f aca="false">IF(B13659&lt;5,Einstellungen!$B$3,Einstellungen!$B$4)</f>
        <v>29.13</v>
      </c>
      <c r="E13659" s="14" t="str">
        <f aca="false">IF(C13659="","",C13659*D13659/100)</f>
        <v/>
      </c>
      <c r="F13659" s="15" t="str">
        <f aca="false">IF(B13659&lt;5,"Go","Standard")</f>
        <v>Standard</v>
      </c>
    </row>
    <row r="13660" customFormat="false" ht="15" hidden="false" customHeight="true" outlineLevel="0" collapsed="false">
      <c r="A13660" s="10" t="n">
        <f aca="false">Einstellungen!$B$5+INT((ROW()-9)/24)</f>
        <v>46534</v>
      </c>
      <c r="B13660" s="11" t="n">
        <f aca="false">MOD(ROW()-9,24)</f>
        <v>19</v>
      </c>
      <c r="C13660" s="12"/>
      <c r="D13660" s="13" t="n">
        <f aca="false">IF(B13660&lt;5,Einstellungen!$B$3,Einstellungen!$B$4)</f>
        <v>29.13</v>
      </c>
      <c r="E13660" s="14" t="str">
        <f aca="false">IF(C13660="","",C13660*D13660/100)</f>
        <v/>
      </c>
      <c r="F13660" s="15" t="str">
        <f aca="false">IF(B13660&lt;5,"Go","Standard")</f>
        <v>Standard</v>
      </c>
    </row>
    <row r="13661" customFormat="false" ht="15" hidden="false" customHeight="true" outlineLevel="0" collapsed="false">
      <c r="A13661" s="10" t="n">
        <f aca="false">Einstellungen!$B$5+INT((ROW()-9)/24)</f>
        <v>46534</v>
      </c>
      <c r="B13661" s="11" t="n">
        <f aca="false">MOD(ROW()-9,24)</f>
        <v>20</v>
      </c>
      <c r="C13661" s="12"/>
      <c r="D13661" s="13" t="n">
        <f aca="false">IF(B13661&lt;5,Einstellungen!$B$3,Einstellungen!$B$4)</f>
        <v>29.13</v>
      </c>
      <c r="E13661" s="14" t="str">
        <f aca="false">IF(C13661="","",C13661*D13661/100)</f>
        <v/>
      </c>
      <c r="F13661" s="15" t="str">
        <f aca="false">IF(B13661&lt;5,"Go","Standard")</f>
        <v>Standard</v>
      </c>
    </row>
    <row r="13662" customFormat="false" ht="15" hidden="false" customHeight="true" outlineLevel="0" collapsed="false">
      <c r="A13662" s="10" t="n">
        <f aca="false">Einstellungen!$B$5+INT((ROW()-9)/24)</f>
        <v>46534</v>
      </c>
      <c r="B13662" s="11" t="n">
        <f aca="false">MOD(ROW()-9,24)</f>
        <v>21</v>
      </c>
      <c r="C13662" s="12"/>
      <c r="D13662" s="13" t="n">
        <f aca="false">IF(B13662&lt;5,Einstellungen!$B$3,Einstellungen!$B$4)</f>
        <v>29.13</v>
      </c>
      <c r="E13662" s="14" t="str">
        <f aca="false">IF(C13662="","",C13662*D13662/100)</f>
        <v/>
      </c>
      <c r="F13662" s="15" t="str">
        <f aca="false">IF(B13662&lt;5,"Go","Standard")</f>
        <v>Standard</v>
      </c>
    </row>
    <row r="13663" customFormat="false" ht="15" hidden="false" customHeight="true" outlineLevel="0" collapsed="false">
      <c r="A13663" s="10" t="n">
        <f aca="false">Einstellungen!$B$5+INT((ROW()-9)/24)</f>
        <v>46534</v>
      </c>
      <c r="B13663" s="11" t="n">
        <f aca="false">MOD(ROW()-9,24)</f>
        <v>22</v>
      </c>
      <c r="C13663" s="12"/>
      <c r="D13663" s="13" t="n">
        <f aca="false">IF(B13663&lt;5,Einstellungen!$B$3,Einstellungen!$B$4)</f>
        <v>29.13</v>
      </c>
      <c r="E13663" s="14" t="str">
        <f aca="false">IF(C13663="","",C13663*D13663/100)</f>
        <v/>
      </c>
      <c r="F13663" s="15" t="str">
        <f aca="false">IF(B13663&lt;5,"Go","Standard")</f>
        <v>Standard</v>
      </c>
    </row>
    <row r="13664" customFormat="false" ht="15" hidden="false" customHeight="true" outlineLevel="0" collapsed="false">
      <c r="A13664" s="10" t="n">
        <f aca="false">Einstellungen!$B$5+INT((ROW()-9)/24)</f>
        <v>46534</v>
      </c>
      <c r="B13664" s="11" t="n">
        <f aca="false">MOD(ROW()-9,24)</f>
        <v>23</v>
      </c>
      <c r="C13664" s="12"/>
      <c r="D13664" s="13" t="n">
        <f aca="false">IF(B13664&lt;5,Einstellungen!$B$3,Einstellungen!$B$4)</f>
        <v>29.13</v>
      </c>
      <c r="E13664" s="14" t="str">
        <f aca="false">IF(C13664="","",C13664*D13664/100)</f>
        <v/>
      </c>
      <c r="F13664" s="15" t="str">
        <f aca="false">IF(B13664&lt;5,"Go","Standard")</f>
        <v>Standard</v>
      </c>
    </row>
    <row r="13665" customFormat="false" ht="15" hidden="false" customHeight="true" outlineLevel="0" collapsed="false">
      <c r="A13665" s="10" t="n">
        <f aca="false">Einstellungen!$B$5+INT((ROW()-9)/24)</f>
        <v>46535</v>
      </c>
      <c r="B13665" s="11" t="n">
        <f aca="false">MOD(ROW()-9,24)</f>
        <v>0</v>
      </c>
      <c r="C13665" s="12"/>
      <c r="D13665" s="13" t="n">
        <f aca="false">IF(B13665&lt;5,Einstellungen!$B$3,Einstellungen!$B$4)</f>
        <v>15.92</v>
      </c>
      <c r="E13665" s="14" t="str">
        <f aca="false">IF(C13665="","",C13665*D13665/100)</f>
        <v/>
      </c>
      <c r="F13665" s="15" t="str">
        <f aca="false">IF(B13665&lt;5,"Go","Standard")</f>
        <v>Go</v>
      </c>
    </row>
    <row r="13666" customFormat="false" ht="15" hidden="false" customHeight="true" outlineLevel="0" collapsed="false">
      <c r="A13666" s="10" t="n">
        <f aca="false">Einstellungen!$B$5+INT((ROW()-9)/24)</f>
        <v>46535</v>
      </c>
      <c r="B13666" s="11" t="n">
        <f aca="false">MOD(ROW()-9,24)</f>
        <v>1</v>
      </c>
      <c r="C13666" s="12"/>
      <c r="D13666" s="13" t="n">
        <f aca="false">IF(B13666&lt;5,Einstellungen!$B$3,Einstellungen!$B$4)</f>
        <v>15.92</v>
      </c>
      <c r="E13666" s="14" t="str">
        <f aca="false">IF(C13666="","",C13666*D13666/100)</f>
        <v/>
      </c>
      <c r="F13666" s="15" t="str">
        <f aca="false">IF(B13666&lt;5,"Go","Standard")</f>
        <v>Go</v>
      </c>
    </row>
    <row r="13667" customFormat="false" ht="15" hidden="false" customHeight="true" outlineLevel="0" collapsed="false">
      <c r="A13667" s="10" t="n">
        <f aca="false">Einstellungen!$B$5+INT((ROW()-9)/24)</f>
        <v>46535</v>
      </c>
      <c r="B13667" s="11" t="n">
        <f aca="false">MOD(ROW()-9,24)</f>
        <v>2</v>
      </c>
      <c r="C13667" s="12"/>
      <c r="D13667" s="13" t="n">
        <f aca="false">IF(B13667&lt;5,Einstellungen!$B$3,Einstellungen!$B$4)</f>
        <v>15.92</v>
      </c>
      <c r="E13667" s="14" t="str">
        <f aca="false">IF(C13667="","",C13667*D13667/100)</f>
        <v/>
      </c>
      <c r="F13667" s="15" t="str">
        <f aca="false">IF(B13667&lt;5,"Go","Standard")</f>
        <v>Go</v>
      </c>
    </row>
    <row r="13668" customFormat="false" ht="15" hidden="false" customHeight="true" outlineLevel="0" collapsed="false">
      <c r="A13668" s="10" t="n">
        <f aca="false">Einstellungen!$B$5+INT((ROW()-9)/24)</f>
        <v>46535</v>
      </c>
      <c r="B13668" s="11" t="n">
        <f aca="false">MOD(ROW()-9,24)</f>
        <v>3</v>
      </c>
      <c r="C13668" s="12"/>
      <c r="D13668" s="13" t="n">
        <f aca="false">IF(B13668&lt;5,Einstellungen!$B$3,Einstellungen!$B$4)</f>
        <v>15.92</v>
      </c>
      <c r="E13668" s="14" t="str">
        <f aca="false">IF(C13668="","",C13668*D13668/100)</f>
        <v/>
      </c>
      <c r="F13668" s="15" t="str">
        <f aca="false">IF(B13668&lt;5,"Go","Standard")</f>
        <v>Go</v>
      </c>
    </row>
    <row r="13669" customFormat="false" ht="15" hidden="false" customHeight="true" outlineLevel="0" collapsed="false">
      <c r="A13669" s="10" t="n">
        <f aca="false">Einstellungen!$B$5+INT((ROW()-9)/24)</f>
        <v>46535</v>
      </c>
      <c r="B13669" s="11" t="n">
        <f aca="false">MOD(ROW()-9,24)</f>
        <v>4</v>
      </c>
      <c r="C13669" s="12"/>
      <c r="D13669" s="13" t="n">
        <f aca="false">IF(B13669&lt;5,Einstellungen!$B$3,Einstellungen!$B$4)</f>
        <v>15.92</v>
      </c>
      <c r="E13669" s="14" t="str">
        <f aca="false">IF(C13669="","",C13669*D13669/100)</f>
        <v/>
      </c>
      <c r="F13669" s="15" t="str">
        <f aca="false">IF(B13669&lt;5,"Go","Standard")</f>
        <v>Go</v>
      </c>
    </row>
    <row r="13670" customFormat="false" ht="15" hidden="false" customHeight="true" outlineLevel="0" collapsed="false">
      <c r="A13670" s="10" t="n">
        <f aca="false">Einstellungen!$B$5+INT((ROW()-9)/24)</f>
        <v>46535</v>
      </c>
      <c r="B13670" s="11" t="n">
        <f aca="false">MOD(ROW()-9,24)</f>
        <v>5</v>
      </c>
      <c r="C13670" s="12"/>
      <c r="D13670" s="13" t="n">
        <f aca="false">IF(B13670&lt;5,Einstellungen!$B$3,Einstellungen!$B$4)</f>
        <v>29.13</v>
      </c>
      <c r="E13670" s="14" t="str">
        <f aca="false">IF(C13670="","",C13670*D13670/100)</f>
        <v/>
      </c>
      <c r="F13670" s="15" t="str">
        <f aca="false">IF(B13670&lt;5,"Go","Standard")</f>
        <v>Standard</v>
      </c>
    </row>
    <row r="13671" customFormat="false" ht="15" hidden="false" customHeight="true" outlineLevel="0" collapsed="false">
      <c r="A13671" s="10" t="n">
        <f aca="false">Einstellungen!$B$5+INT((ROW()-9)/24)</f>
        <v>46535</v>
      </c>
      <c r="B13671" s="11" t="n">
        <f aca="false">MOD(ROW()-9,24)</f>
        <v>6</v>
      </c>
      <c r="C13671" s="12"/>
      <c r="D13671" s="13" t="n">
        <f aca="false">IF(B13671&lt;5,Einstellungen!$B$3,Einstellungen!$B$4)</f>
        <v>29.13</v>
      </c>
      <c r="E13671" s="14" t="str">
        <f aca="false">IF(C13671="","",C13671*D13671/100)</f>
        <v/>
      </c>
      <c r="F13671" s="15" t="str">
        <f aca="false">IF(B13671&lt;5,"Go","Standard")</f>
        <v>Standard</v>
      </c>
    </row>
    <row r="13672" customFormat="false" ht="15" hidden="false" customHeight="true" outlineLevel="0" collapsed="false">
      <c r="A13672" s="10" t="n">
        <f aca="false">Einstellungen!$B$5+INT((ROW()-9)/24)</f>
        <v>46535</v>
      </c>
      <c r="B13672" s="11" t="n">
        <f aca="false">MOD(ROW()-9,24)</f>
        <v>7</v>
      </c>
      <c r="C13672" s="12"/>
      <c r="D13672" s="13" t="n">
        <f aca="false">IF(B13672&lt;5,Einstellungen!$B$3,Einstellungen!$B$4)</f>
        <v>29.13</v>
      </c>
      <c r="E13672" s="14" t="str">
        <f aca="false">IF(C13672="","",C13672*D13672/100)</f>
        <v/>
      </c>
      <c r="F13672" s="15" t="str">
        <f aca="false">IF(B13672&lt;5,"Go","Standard")</f>
        <v>Standard</v>
      </c>
    </row>
    <row r="13673" customFormat="false" ht="15" hidden="false" customHeight="true" outlineLevel="0" collapsed="false">
      <c r="A13673" s="10" t="n">
        <f aca="false">Einstellungen!$B$5+INT((ROW()-9)/24)</f>
        <v>46535</v>
      </c>
      <c r="B13673" s="11" t="n">
        <f aca="false">MOD(ROW()-9,24)</f>
        <v>8</v>
      </c>
      <c r="C13673" s="12"/>
      <c r="D13673" s="13" t="n">
        <f aca="false">IF(B13673&lt;5,Einstellungen!$B$3,Einstellungen!$B$4)</f>
        <v>29.13</v>
      </c>
      <c r="E13673" s="14" t="str">
        <f aca="false">IF(C13673="","",C13673*D13673/100)</f>
        <v/>
      </c>
      <c r="F13673" s="15" t="str">
        <f aca="false">IF(B13673&lt;5,"Go","Standard")</f>
        <v>Standard</v>
      </c>
    </row>
    <row r="13674" customFormat="false" ht="15" hidden="false" customHeight="true" outlineLevel="0" collapsed="false">
      <c r="A13674" s="10" t="n">
        <f aca="false">Einstellungen!$B$5+INT((ROW()-9)/24)</f>
        <v>46535</v>
      </c>
      <c r="B13674" s="11" t="n">
        <f aca="false">MOD(ROW()-9,24)</f>
        <v>9</v>
      </c>
      <c r="C13674" s="12"/>
      <c r="D13674" s="13" t="n">
        <f aca="false">IF(B13674&lt;5,Einstellungen!$B$3,Einstellungen!$B$4)</f>
        <v>29.13</v>
      </c>
      <c r="E13674" s="14" t="str">
        <f aca="false">IF(C13674="","",C13674*D13674/100)</f>
        <v/>
      </c>
      <c r="F13674" s="15" t="str">
        <f aca="false">IF(B13674&lt;5,"Go","Standard")</f>
        <v>Standard</v>
      </c>
    </row>
    <row r="13675" customFormat="false" ht="15" hidden="false" customHeight="true" outlineLevel="0" collapsed="false">
      <c r="A13675" s="10" t="n">
        <f aca="false">Einstellungen!$B$5+INT((ROW()-9)/24)</f>
        <v>46535</v>
      </c>
      <c r="B13675" s="11" t="n">
        <f aca="false">MOD(ROW()-9,24)</f>
        <v>10</v>
      </c>
      <c r="C13675" s="12"/>
      <c r="D13675" s="13" t="n">
        <f aca="false">IF(B13675&lt;5,Einstellungen!$B$3,Einstellungen!$B$4)</f>
        <v>29.13</v>
      </c>
      <c r="E13675" s="14" t="str">
        <f aca="false">IF(C13675="","",C13675*D13675/100)</f>
        <v/>
      </c>
      <c r="F13675" s="15" t="str">
        <f aca="false">IF(B13675&lt;5,"Go","Standard")</f>
        <v>Standard</v>
      </c>
    </row>
    <row r="13676" customFormat="false" ht="15" hidden="false" customHeight="true" outlineLevel="0" collapsed="false">
      <c r="A13676" s="10" t="n">
        <f aca="false">Einstellungen!$B$5+INT((ROW()-9)/24)</f>
        <v>46535</v>
      </c>
      <c r="B13676" s="11" t="n">
        <f aca="false">MOD(ROW()-9,24)</f>
        <v>11</v>
      </c>
      <c r="C13676" s="12"/>
      <c r="D13676" s="13" t="n">
        <f aca="false">IF(B13676&lt;5,Einstellungen!$B$3,Einstellungen!$B$4)</f>
        <v>29.13</v>
      </c>
      <c r="E13676" s="14" t="str">
        <f aca="false">IF(C13676="","",C13676*D13676/100)</f>
        <v/>
      </c>
      <c r="F13676" s="15" t="str">
        <f aca="false">IF(B13676&lt;5,"Go","Standard")</f>
        <v>Standard</v>
      </c>
    </row>
    <row r="13677" customFormat="false" ht="15" hidden="false" customHeight="true" outlineLevel="0" collapsed="false">
      <c r="A13677" s="10" t="n">
        <f aca="false">Einstellungen!$B$5+INT((ROW()-9)/24)</f>
        <v>46535</v>
      </c>
      <c r="B13677" s="11" t="n">
        <f aca="false">MOD(ROW()-9,24)</f>
        <v>12</v>
      </c>
      <c r="C13677" s="12"/>
      <c r="D13677" s="13" t="n">
        <f aca="false">IF(B13677&lt;5,Einstellungen!$B$3,Einstellungen!$B$4)</f>
        <v>29.13</v>
      </c>
      <c r="E13677" s="14" t="str">
        <f aca="false">IF(C13677="","",C13677*D13677/100)</f>
        <v/>
      </c>
      <c r="F13677" s="15" t="str">
        <f aca="false">IF(B13677&lt;5,"Go","Standard")</f>
        <v>Standard</v>
      </c>
    </row>
    <row r="13678" customFormat="false" ht="15" hidden="false" customHeight="true" outlineLevel="0" collapsed="false">
      <c r="A13678" s="10" t="n">
        <f aca="false">Einstellungen!$B$5+INT((ROW()-9)/24)</f>
        <v>46535</v>
      </c>
      <c r="B13678" s="11" t="n">
        <f aca="false">MOD(ROW()-9,24)</f>
        <v>13</v>
      </c>
      <c r="C13678" s="12"/>
      <c r="D13678" s="13" t="n">
        <f aca="false">IF(B13678&lt;5,Einstellungen!$B$3,Einstellungen!$B$4)</f>
        <v>29.13</v>
      </c>
      <c r="E13678" s="14" t="str">
        <f aca="false">IF(C13678="","",C13678*D13678/100)</f>
        <v/>
      </c>
      <c r="F13678" s="15" t="str">
        <f aca="false">IF(B13678&lt;5,"Go","Standard")</f>
        <v>Standard</v>
      </c>
    </row>
    <row r="13679" customFormat="false" ht="15" hidden="false" customHeight="true" outlineLevel="0" collapsed="false">
      <c r="A13679" s="10" t="n">
        <f aca="false">Einstellungen!$B$5+INT((ROW()-9)/24)</f>
        <v>46535</v>
      </c>
      <c r="B13679" s="11" t="n">
        <f aca="false">MOD(ROW()-9,24)</f>
        <v>14</v>
      </c>
      <c r="C13679" s="12"/>
      <c r="D13679" s="13" t="n">
        <f aca="false">IF(B13679&lt;5,Einstellungen!$B$3,Einstellungen!$B$4)</f>
        <v>29.13</v>
      </c>
      <c r="E13679" s="14" t="str">
        <f aca="false">IF(C13679="","",C13679*D13679/100)</f>
        <v/>
      </c>
      <c r="F13679" s="15" t="str">
        <f aca="false">IF(B13679&lt;5,"Go","Standard")</f>
        <v>Standard</v>
      </c>
    </row>
    <row r="13680" customFormat="false" ht="15" hidden="false" customHeight="true" outlineLevel="0" collapsed="false">
      <c r="A13680" s="10" t="n">
        <f aca="false">Einstellungen!$B$5+INT((ROW()-9)/24)</f>
        <v>46535</v>
      </c>
      <c r="B13680" s="11" t="n">
        <f aca="false">MOD(ROW()-9,24)</f>
        <v>15</v>
      </c>
      <c r="C13680" s="12"/>
      <c r="D13680" s="13" t="n">
        <f aca="false">IF(B13680&lt;5,Einstellungen!$B$3,Einstellungen!$B$4)</f>
        <v>29.13</v>
      </c>
      <c r="E13680" s="14" t="str">
        <f aca="false">IF(C13680="","",C13680*D13680/100)</f>
        <v/>
      </c>
      <c r="F13680" s="15" t="str">
        <f aca="false">IF(B13680&lt;5,"Go","Standard")</f>
        <v>Standard</v>
      </c>
    </row>
    <row r="13681" customFormat="false" ht="15" hidden="false" customHeight="true" outlineLevel="0" collapsed="false">
      <c r="A13681" s="10" t="n">
        <f aca="false">Einstellungen!$B$5+INT((ROW()-9)/24)</f>
        <v>46535</v>
      </c>
      <c r="B13681" s="11" t="n">
        <f aca="false">MOD(ROW()-9,24)</f>
        <v>16</v>
      </c>
      <c r="C13681" s="12"/>
      <c r="D13681" s="13" t="n">
        <f aca="false">IF(B13681&lt;5,Einstellungen!$B$3,Einstellungen!$B$4)</f>
        <v>29.13</v>
      </c>
      <c r="E13681" s="14" t="str">
        <f aca="false">IF(C13681="","",C13681*D13681/100)</f>
        <v/>
      </c>
      <c r="F13681" s="15" t="str">
        <f aca="false">IF(B13681&lt;5,"Go","Standard")</f>
        <v>Standard</v>
      </c>
    </row>
    <row r="13682" customFormat="false" ht="15" hidden="false" customHeight="true" outlineLevel="0" collapsed="false">
      <c r="A13682" s="10" t="n">
        <f aca="false">Einstellungen!$B$5+INT((ROW()-9)/24)</f>
        <v>46535</v>
      </c>
      <c r="B13682" s="11" t="n">
        <f aca="false">MOD(ROW()-9,24)</f>
        <v>17</v>
      </c>
      <c r="C13682" s="12"/>
      <c r="D13682" s="13" t="n">
        <f aca="false">IF(B13682&lt;5,Einstellungen!$B$3,Einstellungen!$B$4)</f>
        <v>29.13</v>
      </c>
      <c r="E13682" s="14" t="str">
        <f aca="false">IF(C13682="","",C13682*D13682/100)</f>
        <v/>
      </c>
      <c r="F13682" s="15" t="str">
        <f aca="false">IF(B13682&lt;5,"Go","Standard")</f>
        <v>Standard</v>
      </c>
    </row>
    <row r="13683" customFormat="false" ht="15" hidden="false" customHeight="true" outlineLevel="0" collapsed="false">
      <c r="A13683" s="10" t="n">
        <f aca="false">Einstellungen!$B$5+INT((ROW()-9)/24)</f>
        <v>46535</v>
      </c>
      <c r="B13683" s="11" t="n">
        <f aca="false">MOD(ROW()-9,24)</f>
        <v>18</v>
      </c>
      <c r="C13683" s="12"/>
      <c r="D13683" s="13" t="n">
        <f aca="false">IF(B13683&lt;5,Einstellungen!$B$3,Einstellungen!$B$4)</f>
        <v>29.13</v>
      </c>
      <c r="E13683" s="14" t="str">
        <f aca="false">IF(C13683="","",C13683*D13683/100)</f>
        <v/>
      </c>
      <c r="F13683" s="15" t="str">
        <f aca="false">IF(B13683&lt;5,"Go","Standard")</f>
        <v>Standard</v>
      </c>
    </row>
    <row r="13684" customFormat="false" ht="15" hidden="false" customHeight="true" outlineLevel="0" collapsed="false">
      <c r="A13684" s="10" t="n">
        <f aca="false">Einstellungen!$B$5+INT((ROW()-9)/24)</f>
        <v>46535</v>
      </c>
      <c r="B13684" s="11" t="n">
        <f aca="false">MOD(ROW()-9,24)</f>
        <v>19</v>
      </c>
      <c r="C13684" s="12"/>
      <c r="D13684" s="13" t="n">
        <f aca="false">IF(B13684&lt;5,Einstellungen!$B$3,Einstellungen!$B$4)</f>
        <v>29.13</v>
      </c>
      <c r="E13684" s="14" t="str">
        <f aca="false">IF(C13684="","",C13684*D13684/100)</f>
        <v/>
      </c>
      <c r="F13684" s="15" t="str">
        <f aca="false">IF(B13684&lt;5,"Go","Standard")</f>
        <v>Standard</v>
      </c>
    </row>
    <row r="13685" customFormat="false" ht="15" hidden="false" customHeight="true" outlineLevel="0" collapsed="false">
      <c r="A13685" s="10" t="n">
        <f aca="false">Einstellungen!$B$5+INT((ROW()-9)/24)</f>
        <v>46535</v>
      </c>
      <c r="B13685" s="11" t="n">
        <f aca="false">MOD(ROW()-9,24)</f>
        <v>20</v>
      </c>
      <c r="C13685" s="12"/>
      <c r="D13685" s="13" t="n">
        <f aca="false">IF(B13685&lt;5,Einstellungen!$B$3,Einstellungen!$B$4)</f>
        <v>29.13</v>
      </c>
      <c r="E13685" s="14" t="str">
        <f aca="false">IF(C13685="","",C13685*D13685/100)</f>
        <v/>
      </c>
      <c r="F13685" s="15" t="str">
        <f aca="false">IF(B13685&lt;5,"Go","Standard")</f>
        <v>Standard</v>
      </c>
    </row>
    <row r="13686" customFormat="false" ht="15" hidden="false" customHeight="true" outlineLevel="0" collapsed="false">
      <c r="A13686" s="10" t="n">
        <f aca="false">Einstellungen!$B$5+INT((ROW()-9)/24)</f>
        <v>46535</v>
      </c>
      <c r="B13686" s="11" t="n">
        <f aca="false">MOD(ROW()-9,24)</f>
        <v>21</v>
      </c>
      <c r="C13686" s="12"/>
      <c r="D13686" s="13" t="n">
        <f aca="false">IF(B13686&lt;5,Einstellungen!$B$3,Einstellungen!$B$4)</f>
        <v>29.13</v>
      </c>
      <c r="E13686" s="14" t="str">
        <f aca="false">IF(C13686="","",C13686*D13686/100)</f>
        <v/>
      </c>
      <c r="F13686" s="15" t="str">
        <f aca="false">IF(B13686&lt;5,"Go","Standard")</f>
        <v>Standard</v>
      </c>
    </row>
    <row r="13687" customFormat="false" ht="15" hidden="false" customHeight="true" outlineLevel="0" collapsed="false">
      <c r="A13687" s="10" t="n">
        <f aca="false">Einstellungen!$B$5+INT((ROW()-9)/24)</f>
        <v>46535</v>
      </c>
      <c r="B13687" s="11" t="n">
        <f aca="false">MOD(ROW()-9,24)</f>
        <v>22</v>
      </c>
      <c r="C13687" s="12"/>
      <c r="D13687" s="13" t="n">
        <f aca="false">IF(B13687&lt;5,Einstellungen!$B$3,Einstellungen!$B$4)</f>
        <v>29.13</v>
      </c>
      <c r="E13687" s="14" t="str">
        <f aca="false">IF(C13687="","",C13687*D13687/100)</f>
        <v/>
      </c>
      <c r="F13687" s="15" t="str">
        <f aca="false">IF(B13687&lt;5,"Go","Standard")</f>
        <v>Standard</v>
      </c>
    </row>
    <row r="13688" customFormat="false" ht="15" hidden="false" customHeight="true" outlineLevel="0" collapsed="false">
      <c r="A13688" s="10" t="n">
        <f aca="false">Einstellungen!$B$5+INT((ROW()-9)/24)</f>
        <v>46535</v>
      </c>
      <c r="B13688" s="11" t="n">
        <f aca="false">MOD(ROW()-9,24)</f>
        <v>23</v>
      </c>
      <c r="C13688" s="12"/>
      <c r="D13688" s="13" t="n">
        <f aca="false">IF(B13688&lt;5,Einstellungen!$B$3,Einstellungen!$B$4)</f>
        <v>29.13</v>
      </c>
      <c r="E13688" s="14" t="str">
        <f aca="false">IF(C13688="","",C13688*D13688/100)</f>
        <v/>
      </c>
      <c r="F13688" s="15" t="str">
        <f aca="false">IF(B13688&lt;5,"Go","Standard")</f>
        <v>Standard</v>
      </c>
    </row>
    <row r="13689" customFormat="false" ht="15" hidden="false" customHeight="true" outlineLevel="0" collapsed="false">
      <c r="A13689" s="10" t="n">
        <f aca="false">Einstellungen!$B$5+INT((ROW()-9)/24)</f>
        <v>46536</v>
      </c>
      <c r="B13689" s="11" t="n">
        <f aca="false">MOD(ROW()-9,24)</f>
        <v>0</v>
      </c>
      <c r="C13689" s="12"/>
      <c r="D13689" s="13" t="n">
        <f aca="false">IF(B13689&lt;5,Einstellungen!$B$3,Einstellungen!$B$4)</f>
        <v>15.92</v>
      </c>
      <c r="E13689" s="14" t="str">
        <f aca="false">IF(C13689="","",C13689*D13689/100)</f>
        <v/>
      </c>
      <c r="F13689" s="15" t="str">
        <f aca="false">IF(B13689&lt;5,"Go","Standard")</f>
        <v>Go</v>
      </c>
    </row>
    <row r="13690" customFormat="false" ht="15" hidden="false" customHeight="true" outlineLevel="0" collapsed="false">
      <c r="A13690" s="10" t="n">
        <f aca="false">Einstellungen!$B$5+INT((ROW()-9)/24)</f>
        <v>46536</v>
      </c>
      <c r="B13690" s="11" t="n">
        <f aca="false">MOD(ROW()-9,24)</f>
        <v>1</v>
      </c>
      <c r="C13690" s="12"/>
      <c r="D13690" s="13" t="n">
        <f aca="false">IF(B13690&lt;5,Einstellungen!$B$3,Einstellungen!$B$4)</f>
        <v>15.92</v>
      </c>
      <c r="E13690" s="14" t="str">
        <f aca="false">IF(C13690="","",C13690*D13690/100)</f>
        <v/>
      </c>
      <c r="F13690" s="15" t="str">
        <f aca="false">IF(B13690&lt;5,"Go","Standard")</f>
        <v>Go</v>
      </c>
    </row>
    <row r="13691" customFormat="false" ht="15" hidden="false" customHeight="true" outlineLevel="0" collapsed="false">
      <c r="A13691" s="10" t="n">
        <f aca="false">Einstellungen!$B$5+INT((ROW()-9)/24)</f>
        <v>46536</v>
      </c>
      <c r="B13691" s="11" t="n">
        <f aca="false">MOD(ROW()-9,24)</f>
        <v>2</v>
      </c>
      <c r="C13691" s="12"/>
      <c r="D13691" s="13" t="n">
        <f aca="false">IF(B13691&lt;5,Einstellungen!$B$3,Einstellungen!$B$4)</f>
        <v>15.92</v>
      </c>
      <c r="E13691" s="14" t="str">
        <f aca="false">IF(C13691="","",C13691*D13691/100)</f>
        <v/>
      </c>
      <c r="F13691" s="15" t="str">
        <f aca="false">IF(B13691&lt;5,"Go","Standard")</f>
        <v>Go</v>
      </c>
    </row>
    <row r="13692" customFormat="false" ht="15" hidden="false" customHeight="true" outlineLevel="0" collapsed="false">
      <c r="A13692" s="10" t="n">
        <f aca="false">Einstellungen!$B$5+INT((ROW()-9)/24)</f>
        <v>46536</v>
      </c>
      <c r="B13692" s="11" t="n">
        <f aca="false">MOD(ROW()-9,24)</f>
        <v>3</v>
      </c>
      <c r="C13692" s="12"/>
      <c r="D13692" s="13" t="n">
        <f aca="false">IF(B13692&lt;5,Einstellungen!$B$3,Einstellungen!$B$4)</f>
        <v>15.92</v>
      </c>
      <c r="E13692" s="14" t="str">
        <f aca="false">IF(C13692="","",C13692*D13692/100)</f>
        <v/>
      </c>
      <c r="F13692" s="15" t="str">
        <f aca="false">IF(B13692&lt;5,"Go","Standard")</f>
        <v>Go</v>
      </c>
    </row>
    <row r="13693" customFormat="false" ht="15" hidden="false" customHeight="true" outlineLevel="0" collapsed="false">
      <c r="A13693" s="10" t="n">
        <f aca="false">Einstellungen!$B$5+INT((ROW()-9)/24)</f>
        <v>46536</v>
      </c>
      <c r="B13693" s="11" t="n">
        <f aca="false">MOD(ROW()-9,24)</f>
        <v>4</v>
      </c>
      <c r="C13693" s="12"/>
      <c r="D13693" s="13" t="n">
        <f aca="false">IF(B13693&lt;5,Einstellungen!$B$3,Einstellungen!$B$4)</f>
        <v>15.92</v>
      </c>
      <c r="E13693" s="14" t="str">
        <f aca="false">IF(C13693="","",C13693*D13693/100)</f>
        <v/>
      </c>
      <c r="F13693" s="15" t="str">
        <f aca="false">IF(B13693&lt;5,"Go","Standard")</f>
        <v>Go</v>
      </c>
    </row>
    <row r="13694" customFormat="false" ht="15" hidden="false" customHeight="true" outlineLevel="0" collapsed="false">
      <c r="A13694" s="10" t="n">
        <f aca="false">Einstellungen!$B$5+INT((ROW()-9)/24)</f>
        <v>46536</v>
      </c>
      <c r="B13694" s="11" t="n">
        <f aca="false">MOD(ROW()-9,24)</f>
        <v>5</v>
      </c>
      <c r="C13694" s="12"/>
      <c r="D13694" s="13" t="n">
        <f aca="false">IF(B13694&lt;5,Einstellungen!$B$3,Einstellungen!$B$4)</f>
        <v>29.13</v>
      </c>
      <c r="E13694" s="14" t="str">
        <f aca="false">IF(C13694="","",C13694*D13694/100)</f>
        <v/>
      </c>
      <c r="F13694" s="15" t="str">
        <f aca="false">IF(B13694&lt;5,"Go","Standard")</f>
        <v>Standard</v>
      </c>
    </row>
    <row r="13695" customFormat="false" ht="15" hidden="false" customHeight="true" outlineLevel="0" collapsed="false">
      <c r="A13695" s="10" t="n">
        <f aca="false">Einstellungen!$B$5+INT((ROW()-9)/24)</f>
        <v>46536</v>
      </c>
      <c r="B13695" s="11" t="n">
        <f aca="false">MOD(ROW()-9,24)</f>
        <v>6</v>
      </c>
      <c r="C13695" s="12"/>
      <c r="D13695" s="13" t="n">
        <f aca="false">IF(B13695&lt;5,Einstellungen!$B$3,Einstellungen!$B$4)</f>
        <v>29.13</v>
      </c>
      <c r="E13695" s="14" t="str">
        <f aca="false">IF(C13695="","",C13695*D13695/100)</f>
        <v/>
      </c>
      <c r="F13695" s="15" t="str">
        <f aca="false">IF(B13695&lt;5,"Go","Standard")</f>
        <v>Standard</v>
      </c>
    </row>
    <row r="13696" customFormat="false" ht="15" hidden="false" customHeight="true" outlineLevel="0" collapsed="false">
      <c r="A13696" s="10" t="n">
        <f aca="false">Einstellungen!$B$5+INT((ROW()-9)/24)</f>
        <v>46536</v>
      </c>
      <c r="B13696" s="11" t="n">
        <f aca="false">MOD(ROW()-9,24)</f>
        <v>7</v>
      </c>
      <c r="C13696" s="12"/>
      <c r="D13696" s="13" t="n">
        <f aca="false">IF(B13696&lt;5,Einstellungen!$B$3,Einstellungen!$B$4)</f>
        <v>29.13</v>
      </c>
      <c r="E13696" s="14" t="str">
        <f aca="false">IF(C13696="","",C13696*D13696/100)</f>
        <v/>
      </c>
      <c r="F13696" s="15" t="str">
        <f aca="false">IF(B13696&lt;5,"Go","Standard")</f>
        <v>Standard</v>
      </c>
    </row>
    <row r="13697" customFormat="false" ht="15" hidden="false" customHeight="true" outlineLevel="0" collapsed="false">
      <c r="A13697" s="10" t="n">
        <f aca="false">Einstellungen!$B$5+INT((ROW()-9)/24)</f>
        <v>46536</v>
      </c>
      <c r="B13697" s="11" t="n">
        <f aca="false">MOD(ROW()-9,24)</f>
        <v>8</v>
      </c>
      <c r="C13697" s="12"/>
      <c r="D13697" s="13" t="n">
        <f aca="false">IF(B13697&lt;5,Einstellungen!$B$3,Einstellungen!$B$4)</f>
        <v>29.13</v>
      </c>
      <c r="E13697" s="14" t="str">
        <f aca="false">IF(C13697="","",C13697*D13697/100)</f>
        <v/>
      </c>
      <c r="F13697" s="15" t="str">
        <f aca="false">IF(B13697&lt;5,"Go","Standard")</f>
        <v>Standard</v>
      </c>
    </row>
    <row r="13698" customFormat="false" ht="15" hidden="false" customHeight="true" outlineLevel="0" collapsed="false">
      <c r="A13698" s="10" t="n">
        <f aca="false">Einstellungen!$B$5+INT((ROW()-9)/24)</f>
        <v>46536</v>
      </c>
      <c r="B13698" s="11" t="n">
        <f aca="false">MOD(ROW()-9,24)</f>
        <v>9</v>
      </c>
      <c r="C13698" s="12"/>
      <c r="D13698" s="13" t="n">
        <f aca="false">IF(B13698&lt;5,Einstellungen!$B$3,Einstellungen!$B$4)</f>
        <v>29.13</v>
      </c>
      <c r="E13698" s="14" t="str">
        <f aca="false">IF(C13698="","",C13698*D13698/100)</f>
        <v/>
      </c>
      <c r="F13698" s="15" t="str">
        <f aca="false">IF(B13698&lt;5,"Go","Standard")</f>
        <v>Standard</v>
      </c>
    </row>
    <row r="13699" customFormat="false" ht="15" hidden="false" customHeight="true" outlineLevel="0" collapsed="false">
      <c r="A13699" s="10" t="n">
        <f aca="false">Einstellungen!$B$5+INT((ROW()-9)/24)</f>
        <v>46536</v>
      </c>
      <c r="B13699" s="11" t="n">
        <f aca="false">MOD(ROW()-9,24)</f>
        <v>10</v>
      </c>
      <c r="C13699" s="12"/>
      <c r="D13699" s="13" t="n">
        <f aca="false">IF(B13699&lt;5,Einstellungen!$B$3,Einstellungen!$B$4)</f>
        <v>29.13</v>
      </c>
      <c r="E13699" s="14" t="str">
        <f aca="false">IF(C13699="","",C13699*D13699/100)</f>
        <v/>
      </c>
      <c r="F13699" s="15" t="str">
        <f aca="false">IF(B13699&lt;5,"Go","Standard")</f>
        <v>Standard</v>
      </c>
    </row>
    <row r="13700" customFormat="false" ht="15" hidden="false" customHeight="true" outlineLevel="0" collapsed="false">
      <c r="A13700" s="10" t="n">
        <f aca="false">Einstellungen!$B$5+INT((ROW()-9)/24)</f>
        <v>46536</v>
      </c>
      <c r="B13700" s="11" t="n">
        <f aca="false">MOD(ROW()-9,24)</f>
        <v>11</v>
      </c>
      <c r="C13700" s="12"/>
      <c r="D13700" s="13" t="n">
        <f aca="false">IF(B13700&lt;5,Einstellungen!$B$3,Einstellungen!$B$4)</f>
        <v>29.13</v>
      </c>
      <c r="E13700" s="14" t="str">
        <f aca="false">IF(C13700="","",C13700*D13700/100)</f>
        <v/>
      </c>
      <c r="F13700" s="15" t="str">
        <f aca="false">IF(B13700&lt;5,"Go","Standard")</f>
        <v>Standard</v>
      </c>
    </row>
    <row r="13701" customFormat="false" ht="15" hidden="false" customHeight="true" outlineLevel="0" collapsed="false">
      <c r="A13701" s="10" t="n">
        <f aca="false">Einstellungen!$B$5+INT((ROW()-9)/24)</f>
        <v>46536</v>
      </c>
      <c r="B13701" s="11" t="n">
        <f aca="false">MOD(ROW()-9,24)</f>
        <v>12</v>
      </c>
      <c r="C13701" s="12"/>
      <c r="D13701" s="13" t="n">
        <f aca="false">IF(B13701&lt;5,Einstellungen!$B$3,Einstellungen!$B$4)</f>
        <v>29.13</v>
      </c>
      <c r="E13701" s="14" t="str">
        <f aca="false">IF(C13701="","",C13701*D13701/100)</f>
        <v/>
      </c>
      <c r="F13701" s="15" t="str">
        <f aca="false">IF(B13701&lt;5,"Go","Standard")</f>
        <v>Standard</v>
      </c>
    </row>
    <row r="13702" customFormat="false" ht="15" hidden="false" customHeight="true" outlineLevel="0" collapsed="false">
      <c r="A13702" s="10" t="n">
        <f aca="false">Einstellungen!$B$5+INT((ROW()-9)/24)</f>
        <v>46536</v>
      </c>
      <c r="B13702" s="11" t="n">
        <f aca="false">MOD(ROW()-9,24)</f>
        <v>13</v>
      </c>
      <c r="C13702" s="12"/>
      <c r="D13702" s="13" t="n">
        <f aca="false">IF(B13702&lt;5,Einstellungen!$B$3,Einstellungen!$B$4)</f>
        <v>29.13</v>
      </c>
      <c r="E13702" s="14" t="str">
        <f aca="false">IF(C13702="","",C13702*D13702/100)</f>
        <v/>
      </c>
      <c r="F13702" s="15" t="str">
        <f aca="false">IF(B13702&lt;5,"Go","Standard")</f>
        <v>Standard</v>
      </c>
    </row>
    <row r="13703" customFormat="false" ht="15" hidden="false" customHeight="true" outlineLevel="0" collapsed="false">
      <c r="A13703" s="10" t="n">
        <f aca="false">Einstellungen!$B$5+INT((ROW()-9)/24)</f>
        <v>46536</v>
      </c>
      <c r="B13703" s="11" t="n">
        <f aca="false">MOD(ROW()-9,24)</f>
        <v>14</v>
      </c>
      <c r="C13703" s="12"/>
      <c r="D13703" s="13" t="n">
        <f aca="false">IF(B13703&lt;5,Einstellungen!$B$3,Einstellungen!$B$4)</f>
        <v>29.13</v>
      </c>
      <c r="E13703" s="14" t="str">
        <f aca="false">IF(C13703="","",C13703*D13703/100)</f>
        <v/>
      </c>
      <c r="F13703" s="15" t="str">
        <f aca="false">IF(B13703&lt;5,"Go","Standard")</f>
        <v>Standard</v>
      </c>
    </row>
    <row r="13704" customFormat="false" ht="15" hidden="false" customHeight="true" outlineLevel="0" collapsed="false">
      <c r="A13704" s="10" t="n">
        <f aca="false">Einstellungen!$B$5+INT((ROW()-9)/24)</f>
        <v>46536</v>
      </c>
      <c r="B13704" s="11" t="n">
        <f aca="false">MOD(ROW()-9,24)</f>
        <v>15</v>
      </c>
      <c r="C13704" s="12"/>
      <c r="D13704" s="13" t="n">
        <f aca="false">IF(B13704&lt;5,Einstellungen!$B$3,Einstellungen!$B$4)</f>
        <v>29.13</v>
      </c>
      <c r="E13704" s="14" t="str">
        <f aca="false">IF(C13704="","",C13704*D13704/100)</f>
        <v/>
      </c>
      <c r="F13704" s="15" t="str">
        <f aca="false">IF(B13704&lt;5,"Go","Standard")</f>
        <v>Standard</v>
      </c>
    </row>
    <row r="13705" customFormat="false" ht="15" hidden="false" customHeight="true" outlineLevel="0" collapsed="false">
      <c r="A13705" s="10" t="n">
        <f aca="false">Einstellungen!$B$5+INT((ROW()-9)/24)</f>
        <v>46536</v>
      </c>
      <c r="B13705" s="11" t="n">
        <f aca="false">MOD(ROW()-9,24)</f>
        <v>16</v>
      </c>
      <c r="C13705" s="12"/>
      <c r="D13705" s="13" t="n">
        <f aca="false">IF(B13705&lt;5,Einstellungen!$B$3,Einstellungen!$B$4)</f>
        <v>29.13</v>
      </c>
      <c r="E13705" s="14" t="str">
        <f aca="false">IF(C13705="","",C13705*D13705/100)</f>
        <v/>
      </c>
      <c r="F13705" s="15" t="str">
        <f aca="false">IF(B13705&lt;5,"Go","Standard")</f>
        <v>Standard</v>
      </c>
    </row>
    <row r="13706" customFormat="false" ht="15" hidden="false" customHeight="true" outlineLevel="0" collapsed="false">
      <c r="A13706" s="10" t="n">
        <f aca="false">Einstellungen!$B$5+INT((ROW()-9)/24)</f>
        <v>46536</v>
      </c>
      <c r="B13706" s="11" t="n">
        <f aca="false">MOD(ROW()-9,24)</f>
        <v>17</v>
      </c>
      <c r="C13706" s="12"/>
      <c r="D13706" s="13" t="n">
        <f aca="false">IF(B13706&lt;5,Einstellungen!$B$3,Einstellungen!$B$4)</f>
        <v>29.13</v>
      </c>
      <c r="E13706" s="14" t="str">
        <f aca="false">IF(C13706="","",C13706*D13706/100)</f>
        <v/>
      </c>
      <c r="F13706" s="15" t="str">
        <f aca="false">IF(B13706&lt;5,"Go","Standard")</f>
        <v>Standard</v>
      </c>
    </row>
    <row r="13707" customFormat="false" ht="15" hidden="false" customHeight="true" outlineLevel="0" collapsed="false">
      <c r="A13707" s="10" t="n">
        <f aca="false">Einstellungen!$B$5+INT((ROW()-9)/24)</f>
        <v>46536</v>
      </c>
      <c r="B13707" s="11" t="n">
        <f aca="false">MOD(ROW()-9,24)</f>
        <v>18</v>
      </c>
      <c r="C13707" s="12"/>
      <c r="D13707" s="13" t="n">
        <f aca="false">IF(B13707&lt;5,Einstellungen!$B$3,Einstellungen!$B$4)</f>
        <v>29.13</v>
      </c>
      <c r="E13707" s="14" t="str">
        <f aca="false">IF(C13707="","",C13707*D13707/100)</f>
        <v/>
      </c>
      <c r="F13707" s="15" t="str">
        <f aca="false">IF(B13707&lt;5,"Go","Standard")</f>
        <v>Standard</v>
      </c>
    </row>
    <row r="13708" customFormat="false" ht="15" hidden="false" customHeight="true" outlineLevel="0" collapsed="false">
      <c r="A13708" s="10" t="n">
        <f aca="false">Einstellungen!$B$5+INT((ROW()-9)/24)</f>
        <v>46536</v>
      </c>
      <c r="B13708" s="11" t="n">
        <f aca="false">MOD(ROW()-9,24)</f>
        <v>19</v>
      </c>
      <c r="C13708" s="12"/>
      <c r="D13708" s="13" t="n">
        <f aca="false">IF(B13708&lt;5,Einstellungen!$B$3,Einstellungen!$B$4)</f>
        <v>29.13</v>
      </c>
      <c r="E13708" s="14" t="str">
        <f aca="false">IF(C13708="","",C13708*D13708/100)</f>
        <v/>
      </c>
      <c r="F13708" s="15" t="str">
        <f aca="false">IF(B13708&lt;5,"Go","Standard")</f>
        <v>Standard</v>
      </c>
    </row>
    <row r="13709" customFormat="false" ht="15" hidden="false" customHeight="true" outlineLevel="0" collapsed="false">
      <c r="A13709" s="10" t="n">
        <f aca="false">Einstellungen!$B$5+INT((ROW()-9)/24)</f>
        <v>46536</v>
      </c>
      <c r="B13709" s="11" t="n">
        <f aca="false">MOD(ROW()-9,24)</f>
        <v>20</v>
      </c>
      <c r="C13709" s="12"/>
      <c r="D13709" s="13" t="n">
        <f aca="false">IF(B13709&lt;5,Einstellungen!$B$3,Einstellungen!$B$4)</f>
        <v>29.13</v>
      </c>
      <c r="E13709" s="14" t="str">
        <f aca="false">IF(C13709="","",C13709*D13709/100)</f>
        <v/>
      </c>
      <c r="F13709" s="15" t="str">
        <f aca="false">IF(B13709&lt;5,"Go","Standard")</f>
        <v>Standard</v>
      </c>
    </row>
    <row r="13710" customFormat="false" ht="15" hidden="false" customHeight="true" outlineLevel="0" collapsed="false">
      <c r="A13710" s="10" t="n">
        <f aca="false">Einstellungen!$B$5+INT((ROW()-9)/24)</f>
        <v>46536</v>
      </c>
      <c r="B13710" s="11" t="n">
        <f aca="false">MOD(ROW()-9,24)</f>
        <v>21</v>
      </c>
      <c r="C13710" s="12"/>
      <c r="D13710" s="13" t="n">
        <f aca="false">IF(B13710&lt;5,Einstellungen!$B$3,Einstellungen!$B$4)</f>
        <v>29.13</v>
      </c>
      <c r="E13710" s="14" t="str">
        <f aca="false">IF(C13710="","",C13710*D13710/100)</f>
        <v/>
      </c>
      <c r="F13710" s="15" t="str">
        <f aca="false">IF(B13710&lt;5,"Go","Standard")</f>
        <v>Standard</v>
      </c>
    </row>
    <row r="13711" customFormat="false" ht="15" hidden="false" customHeight="true" outlineLevel="0" collapsed="false">
      <c r="A13711" s="10" t="n">
        <f aca="false">Einstellungen!$B$5+INT((ROW()-9)/24)</f>
        <v>46536</v>
      </c>
      <c r="B13711" s="11" t="n">
        <f aca="false">MOD(ROW()-9,24)</f>
        <v>22</v>
      </c>
      <c r="C13711" s="12"/>
      <c r="D13711" s="13" t="n">
        <f aca="false">IF(B13711&lt;5,Einstellungen!$B$3,Einstellungen!$B$4)</f>
        <v>29.13</v>
      </c>
      <c r="E13711" s="14" t="str">
        <f aca="false">IF(C13711="","",C13711*D13711/100)</f>
        <v/>
      </c>
      <c r="F13711" s="15" t="str">
        <f aca="false">IF(B13711&lt;5,"Go","Standard")</f>
        <v>Standard</v>
      </c>
    </row>
    <row r="13712" customFormat="false" ht="15" hidden="false" customHeight="true" outlineLevel="0" collapsed="false">
      <c r="A13712" s="10" t="n">
        <f aca="false">Einstellungen!$B$5+INT((ROW()-9)/24)</f>
        <v>46536</v>
      </c>
      <c r="B13712" s="11" t="n">
        <f aca="false">MOD(ROW()-9,24)</f>
        <v>23</v>
      </c>
      <c r="C13712" s="12"/>
      <c r="D13712" s="13" t="n">
        <f aca="false">IF(B13712&lt;5,Einstellungen!$B$3,Einstellungen!$B$4)</f>
        <v>29.13</v>
      </c>
      <c r="E13712" s="14" t="str">
        <f aca="false">IF(C13712="","",C13712*D13712/100)</f>
        <v/>
      </c>
      <c r="F13712" s="15" t="str">
        <f aca="false">IF(B13712&lt;5,"Go","Standard")</f>
        <v>Standard</v>
      </c>
    </row>
    <row r="13713" customFormat="false" ht="15" hidden="false" customHeight="true" outlineLevel="0" collapsed="false">
      <c r="A13713" s="10" t="n">
        <f aca="false">Einstellungen!$B$5+INT((ROW()-9)/24)</f>
        <v>46537</v>
      </c>
      <c r="B13713" s="11" t="n">
        <f aca="false">MOD(ROW()-9,24)</f>
        <v>0</v>
      </c>
      <c r="C13713" s="12"/>
      <c r="D13713" s="13" t="n">
        <f aca="false">IF(B13713&lt;5,Einstellungen!$B$3,Einstellungen!$B$4)</f>
        <v>15.92</v>
      </c>
      <c r="E13713" s="14" t="str">
        <f aca="false">IF(C13713="","",C13713*D13713/100)</f>
        <v/>
      </c>
      <c r="F13713" s="15" t="str">
        <f aca="false">IF(B13713&lt;5,"Go","Standard")</f>
        <v>Go</v>
      </c>
    </row>
    <row r="13714" customFormat="false" ht="15" hidden="false" customHeight="true" outlineLevel="0" collapsed="false">
      <c r="A13714" s="10" t="n">
        <f aca="false">Einstellungen!$B$5+INT((ROW()-9)/24)</f>
        <v>46537</v>
      </c>
      <c r="B13714" s="11" t="n">
        <f aca="false">MOD(ROW()-9,24)</f>
        <v>1</v>
      </c>
      <c r="C13714" s="12"/>
      <c r="D13714" s="13" t="n">
        <f aca="false">IF(B13714&lt;5,Einstellungen!$B$3,Einstellungen!$B$4)</f>
        <v>15.92</v>
      </c>
      <c r="E13714" s="14" t="str">
        <f aca="false">IF(C13714="","",C13714*D13714/100)</f>
        <v/>
      </c>
      <c r="F13714" s="15" t="str">
        <f aca="false">IF(B13714&lt;5,"Go","Standard")</f>
        <v>Go</v>
      </c>
    </row>
    <row r="13715" customFormat="false" ht="15" hidden="false" customHeight="true" outlineLevel="0" collapsed="false">
      <c r="A13715" s="10" t="n">
        <f aca="false">Einstellungen!$B$5+INT((ROW()-9)/24)</f>
        <v>46537</v>
      </c>
      <c r="B13715" s="11" t="n">
        <f aca="false">MOD(ROW()-9,24)</f>
        <v>2</v>
      </c>
      <c r="C13715" s="12"/>
      <c r="D13715" s="13" t="n">
        <f aca="false">IF(B13715&lt;5,Einstellungen!$B$3,Einstellungen!$B$4)</f>
        <v>15.92</v>
      </c>
      <c r="E13715" s="14" t="str">
        <f aca="false">IF(C13715="","",C13715*D13715/100)</f>
        <v/>
      </c>
      <c r="F13715" s="15" t="str">
        <f aca="false">IF(B13715&lt;5,"Go","Standard")</f>
        <v>Go</v>
      </c>
    </row>
    <row r="13716" customFormat="false" ht="15" hidden="false" customHeight="true" outlineLevel="0" collapsed="false">
      <c r="A13716" s="10" t="n">
        <f aca="false">Einstellungen!$B$5+INT((ROW()-9)/24)</f>
        <v>46537</v>
      </c>
      <c r="B13716" s="11" t="n">
        <f aca="false">MOD(ROW()-9,24)</f>
        <v>3</v>
      </c>
      <c r="C13716" s="12"/>
      <c r="D13716" s="13" t="n">
        <f aca="false">IF(B13716&lt;5,Einstellungen!$B$3,Einstellungen!$B$4)</f>
        <v>15.92</v>
      </c>
      <c r="E13716" s="14" t="str">
        <f aca="false">IF(C13716="","",C13716*D13716/100)</f>
        <v/>
      </c>
      <c r="F13716" s="15" t="str">
        <f aca="false">IF(B13716&lt;5,"Go","Standard")</f>
        <v>Go</v>
      </c>
    </row>
    <row r="13717" customFormat="false" ht="15" hidden="false" customHeight="true" outlineLevel="0" collapsed="false">
      <c r="A13717" s="10" t="n">
        <f aca="false">Einstellungen!$B$5+INT((ROW()-9)/24)</f>
        <v>46537</v>
      </c>
      <c r="B13717" s="11" t="n">
        <f aca="false">MOD(ROW()-9,24)</f>
        <v>4</v>
      </c>
      <c r="C13717" s="12"/>
      <c r="D13717" s="13" t="n">
        <f aca="false">IF(B13717&lt;5,Einstellungen!$B$3,Einstellungen!$B$4)</f>
        <v>15.92</v>
      </c>
      <c r="E13717" s="14" t="str">
        <f aca="false">IF(C13717="","",C13717*D13717/100)</f>
        <v/>
      </c>
      <c r="F13717" s="15" t="str">
        <f aca="false">IF(B13717&lt;5,"Go","Standard")</f>
        <v>Go</v>
      </c>
    </row>
    <row r="13718" customFormat="false" ht="15" hidden="false" customHeight="true" outlineLevel="0" collapsed="false">
      <c r="A13718" s="10" t="n">
        <f aca="false">Einstellungen!$B$5+INT((ROW()-9)/24)</f>
        <v>46537</v>
      </c>
      <c r="B13718" s="11" t="n">
        <f aca="false">MOD(ROW()-9,24)</f>
        <v>5</v>
      </c>
      <c r="C13718" s="12"/>
      <c r="D13718" s="13" t="n">
        <f aca="false">IF(B13718&lt;5,Einstellungen!$B$3,Einstellungen!$B$4)</f>
        <v>29.13</v>
      </c>
      <c r="E13718" s="14" t="str">
        <f aca="false">IF(C13718="","",C13718*D13718/100)</f>
        <v/>
      </c>
      <c r="F13718" s="15" t="str">
        <f aca="false">IF(B13718&lt;5,"Go","Standard")</f>
        <v>Standard</v>
      </c>
    </row>
    <row r="13719" customFormat="false" ht="15" hidden="false" customHeight="true" outlineLevel="0" collapsed="false">
      <c r="A13719" s="10" t="n">
        <f aca="false">Einstellungen!$B$5+INT((ROW()-9)/24)</f>
        <v>46537</v>
      </c>
      <c r="B13719" s="11" t="n">
        <f aca="false">MOD(ROW()-9,24)</f>
        <v>6</v>
      </c>
      <c r="C13719" s="12"/>
      <c r="D13719" s="13" t="n">
        <f aca="false">IF(B13719&lt;5,Einstellungen!$B$3,Einstellungen!$B$4)</f>
        <v>29.13</v>
      </c>
      <c r="E13719" s="14" t="str">
        <f aca="false">IF(C13719="","",C13719*D13719/100)</f>
        <v/>
      </c>
      <c r="F13719" s="15" t="str">
        <f aca="false">IF(B13719&lt;5,"Go","Standard")</f>
        <v>Standard</v>
      </c>
    </row>
    <row r="13720" customFormat="false" ht="15" hidden="false" customHeight="true" outlineLevel="0" collapsed="false">
      <c r="A13720" s="10" t="n">
        <f aca="false">Einstellungen!$B$5+INT((ROW()-9)/24)</f>
        <v>46537</v>
      </c>
      <c r="B13720" s="11" t="n">
        <f aca="false">MOD(ROW()-9,24)</f>
        <v>7</v>
      </c>
      <c r="C13720" s="12"/>
      <c r="D13720" s="13" t="n">
        <f aca="false">IF(B13720&lt;5,Einstellungen!$B$3,Einstellungen!$B$4)</f>
        <v>29.13</v>
      </c>
      <c r="E13720" s="14" t="str">
        <f aca="false">IF(C13720="","",C13720*D13720/100)</f>
        <v/>
      </c>
      <c r="F13720" s="15" t="str">
        <f aca="false">IF(B13720&lt;5,"Go","Standard")</f>
        <v>Standard</v>
      </c>
    </row>
    <row r="13721" customFormat="false" ht="15" hidden="false" customHeight="true" outlineLevel="0" collapsed="false">
      <c r="A13721" s="10" t="n">
        <f aca="false">Einstellungen!$B$5+INT((ROW()-9)/24)</f>
        <v>46537</v>
      </c>
      <c r="B13721" s="11" t="n">
        <f aca="false">MOD(ROW()-9,24)</f>
        <v>8</v>
      </c>
      <c r="C13721" s="12"/>
      <c r="D13721" s="13" t="n">
        <f aca="false">IF(B13721&lt;5,Einstellungen!$B$3,Einstellungen!$B$4)</f>
        <v>29.13</v>
      </c>
      <c r="E13721" s="14" t="str">
        <f aca="false">IF(C13721="","",C13721*D13721/100)</f>
        <v/>
      </c>
      <c r="F13721" s="15" t="str">
        <f aca="false">IF(B13721&lt;5,"Go","Standard")</f>
        <v>Standard</v>
      </c>
    </row>
    <row r="13722" customFormat="false" ht="15" hidden="false" customHeight="true" outlineLevel="0" collapsed="false">
      <c r="A13722" s="10" t="n">
        <f aca="false">Einstellungen!$B$5+INT((ROW()-9)/24)</f>
        <v>46537</v>
      </c>
      <c r="B13722" s="11" t="n">
        <f aca="false">MOD(ROW()-9,24)</f>
        <v>9</v>
      </c>
      <c r="C13722" s="12"/>
      <c r="D13722" s="13" t="n">
        <f aca="false">IF(B13722&lt;5,Einstellungen!$B$3,Einstellungen!$B$4)</f>
        <v>29.13</v>
      </c>
      <c r="E13722" s="14" t="str">
        <f aca="false">IF(C13722="","",C13722*D13722/100)</f>
        <v/>
      </c>
      <c r="F13722" s="15" t="str">
        <f aca="false">IF(B13722&lt;5,"Go","Standard")</f>
        <v>Standard</v>
      </c>
    </row>
    <row r="13723" customFormat="false" ht="15" hidden="false" customHeight="true" outlineLevel="0" collapsed="false">
      <c r="A13723" s="10" t="n">
        <f aca="false">Einstellungen!$B$5+INT((ROW()-9)/24)</f>
        <v>46537</v>
      </c>
      <c r="B13723" s="11" t="n">
        <f aca="false">MOD(ROW()-9,24)</f>
        <v>10</v>
      </c>
      <c r="C13723" s="12"/>
      <c r="D13723" s="13" t="n">
        <f aca="false">IF(B13723&lt;5,Einstellungen!$B$3,Einstellungen!$B$4)</f>
        <v>29.13</v>
      </c>
      <c r="E13723" s="14" t="str">
        <f aca="false">IF(C13723="","",C13723*D13723/100)</f>
        <v/>
      </c>
      <c r="F13723" s="15" t="str">
        <f aca="false">IF(B13723&lt;5,"Go","Standard")</f>
        <v>Standard</v>
      </c>
    </row>
    <row r="13724" customFormat="false" ht="15" hidden="false" customHeight="true" outlineLevel="0" collapsed="false">
      <c r="A13724" s="10" t="n">
        <f aca="false">Einstellungen!$B$5+INT((ROW()-9)/24)</f>
        <v>46537</v>
      </c>
      <c r="B13724" s="11" t="n">
        <f aca="false">MOD(ROW()-9,24)</f>
        <v>11</v>
      </c>
      <c r="C13724" s="12"/>
      <c r="D13724" s="13" t="n">
        <f aca="false">IF(B13724&lt;5,Einstellungen!$B$3,Einstellungen!$B$4)</f>
        <v>29.13</v>
      </c>
      <c r="E13724" s="14" t="str">
        <f aca="false">IF(C13724="","",C13724*D13724/100)</f>
        <v/>
      </c>
      <c r="F13724" s="15" t="str">
        <f aca="false">IF(B13724&lt;5,"Go","Standard")</f>
        <v>Standard</v>
      </c>
    </row>
    <row r="13725" customFormat="false" ht="15" hidden="false" customHeight="true" outlineLevel="0" collapsed="false">
      <c r="A13725" s="10" t="n">
        <f aca="false">Einstellungen!$B$5+INT((ROW()-9)/24)</f>
        <v>46537</v>
      </c>
      <c r="B13725" s="11" t="n">
        <f aca="false">MOD(ROW()-9,24)</f>
        <v>12</v>
      </c>
      <c r="C13725" s="12"/>
      <c r="D13725" s="13" t="n">
        <f aca="false">IF(B13725&lt;5,Einstellungen!$B$3,Einstellungen!$B$4)</f>
        <v>29.13</v>
      </c>
      <c r="E13725" s="14" t="str">
        <f aca="false">IF(C13725="","",C13725*D13725/100)</f>
        <v/>
      </c>
      <c r="F13725" s="15" t="str">
        <f aca="false">IF(B13725&lt;5,"Go","Standard")</f>
        <v>Standard</v>
      </c>
    </row>
    <row r="13726" customFormat="false" ht="15" hidden="false" customHeight="true" outlineLevel="0" collapsed="false">
      <c r="A13726" s="10" t="n">
        <f aca="false">Einstellungen!$B$5+INT((ROW()-9)/24)</f>
        <v>46537</v>
      </c>
      <c r="B13726" s="11" t="n">
        <f aca="false">MOD(ROW()-9,24)</f>
        <v>13</v>
      </c>
      <c r="C13726" s="12"/>
      <c r="D13726" s="13" t="n">
        <f aca="false">IF(B13726&lt;5,Einstellungen!$B$3,Einstellungen!$B$4)</f>
        <v>29.13</v>
      </c>
      <c r="E13726" s="14" t="str">
        <f aca="false">IF(C13726="","",C13726*D13726/100)</f>
        <v/>
      </c>
      <c r="F13726" s="15" t="str">
        <f aca="false">IF(B13726&lt;5,"Go","Standard")</f>
        <v>Standard</v>
      </c>
    </row>
    <row r="13727" customFormat="false" ht="15" hidden="false" customHeight="true" outlineLevel="0" collapsed="false">
      <c r="A13727" s="10" t="n">
        <f aca="false">Einstellungen!$B$5+INT((ROW()-9)/24)</f>
        <v>46537</v>
      </c>
      <c r="B13727" s="11" t="n">
        <f aca="false">MOD(ROW()-9,24)</f>
        <v>14</v>
      </c>
      <c r="C13727" s="12"/>
      <c r="D13727" s="13" t="n">
        <f aca="false">IF(B13727&lt;5,Einstellungen!$B$3,Einstellungen!$B$4)</f>
        <v>29.13</v>
      </c>
      <c r="E13727" s="14" t="str">
        <f aca="false">IF(C13727="","",C13727*D13727/100)</f>
        <v/>
      </c>
      <c r="F13727" s="15" t="str">
        <f aca="false">IF(B13727&lt;5,"Go","Standard")</f>
        <v>Standard</v>
      </c>
    </row>
    <row r="13728" customFormat="false" ht="15" hidden="false" customHeight="true" outlineLevel="0" collapsed="false">
      <c r="A13728" s="10" t="n">
        <f aca="false">Einstellungen!$B$5+INT((ROW()-9)/24)</f>
        <v>46537</v>
      </c>
      <c r="B13728" s="11" t="n">
        <f aca="false">MOD(ROW()-9,24)</f>
        <v>15</v>
      </c>
      <c r="C13728" s="12"/>
      <c r="D13728" s="13" t="n">
        <f aca="false">IF(B13728&lt;5,Einstellungen!$B$3,Einstellungen!$B$4)</f>
        <v>29.13</v>
      </c>
      <c r="E13728" s="14" t="str">
        <f aca="false">IF(C13728="","",C13728*D13728/100)</f>
        <v/>
      </c>
      <c r="F13728" s="15" t="str">
        <f aca="false">IF(B13728&lt;5,"Go","Standard")</f>
        <v>Standard</v>
      </c>
    </row>
    <row r="13729" customFormat="false" ht="15" hidden="false" customHeight="true" outlineLevel="0" collapsed="false">
      <c r="A13729" s="10" t="n">
        <f aca="false">Einstellungen!$B$5+INT((ROW()-9)/24)</f>
        <v>46537</v>
      </c>
      <c r="B13729" s="11" t="n">
        <f aca="false">MOD(ROW()-9,24)</f>
        <v>16</v>
      </c>
      <c r="C13729" s="12"/>
      <c r="D13729" s="13" t="n">
        <f aca="false">IF(B13729&lt;5,Einstellungen!$B$3,Einstellungen!$B$4)</f>
        <v>29.13</v>
      </c>
      <c r="E13729" s="14" t="str">
        <f aca="false">IF(C13729="","",C13729*D13729/100)</f>
        <v/>
      </c>
      <c r="F13729" s="15" t="str">
        <f aca="false">IF(B13729&lt;5,"Go","Standard")</f>
        <v>Standard</v>
      </c>
    </row>
    <row r="13730" customFormat="false" ht="15" hidden="false" customHeight="true" outlineLevel="0" collapsed="false">
      <c r="A13730" s="10" t="n">
        <f aca="false">Einstellungen!$B$5+INT((ROW()-9)/24)</f>
        <v>46537</v>
      </c>
      <c r="B13730" s="11" t="n">
        <f aca="false">MOD(ROW()-9,24)</f>
        <v>17</v>
      </c>
      <c r="C13730" s="12"/>
      <c r="D13730" s="13" t="n">
        <f aca="false">IF(B13730&lt;5,Einstellungen!$B$3,Einstellungen!$B$4)</f>
        <v>29.13</v>
      </c>
      <c r="E13730" s="14" t="str">
        <f aca="false">IF(C13730="","",C13730*D13730/100)</f>
        <v/>
      </c>
      <c r="F13730" s="15" t="str">
        <f aca="false">IF(B13730&lt;5,"Go","Standard")</f>
        <v>Standard</v>
      </c>
    </row>
    <row r="13731" customFormat="false" ht="15" hidden="false" customHeight="true" outlineLevel="0" collapsed="false">
      <c r="A13731" s="10" t="n">
        <f aca="false">Einstellungen!$B$5+INT((ROW()-9)/24)</f>
        <v>46537</v>
      </c>
      <c r="B13731" s="11" t="n">
        <f aca="false">MOD(ROW()-9,24)</f>
        <v>18</v>
      </c>
      <c r="C13731" s="12"/>
      <c r="D13731" s="13" t="n">
        <f aca="false">IF(B13731&lt;5,Einstellungen!$B$3,Einstellungen!$B$4)</f>
        <v>29.13</v>
      </c>
      <c r="E13731" s="14" t="str">
        <f aca="false">IF(C13731="","",C13731*D13731/100)</f>
        <v/>
      </c>
      <c r="F13731" s="15" t="str">
        <f aca="false">IF(B13731&lt;5,"Go","Standard")</f>
        <v>Standard</v>
      </c>
    </row>
    <row r="13732" customFormat="false" ht="15" hidden="false" customHeight="true" outlineLevel="0" collapsed="false">
      <c r="A13732" s="10" t="n">
        <f aca="false">Einstellungen!$B$5+INT((ROW()-9)/24)</f>
        <v>46537</v>
      </c>
      <c r="B13732" s="11" t="n">
        <f aca="false">MOD(ROW()-9,24)</f>
        <v>19</v>
      </c>
      <c r="C13732" s="12"/>
      <c r="D13732" s="13" t="n">
        <f aca="false">IF(B13732&lt;5,Einstellungen!$B$3,Einstellungen!$B$4)</f>
        <v>29.13</v>
      </c>
      <c r="E13732" s="14" t="str">
        <f aca="false">IF(C13732="","",C13732*D13732/100)</f>
        <v/>
      </c>
      <c r="F13732" s="15" t="str">
        <f aca="false">IF(B13732&lt;5,"Go","Standard")</f>
        <v>Standard</v>
      </c>
    </row>
    <row r="13733" customFormat="false" ht="15" hidden="false" customHeight="true" outlineLevel="0" collapsed="false">
      <c r="A13733" s="10" t="n">
        <f aca="false">Einstellungen!$B$5+INT((ROW()-9)/24)</f>
        <v>46537</v>
      </c>
      <c r="B13733" s="11" t="n">
        <f aca="false">MOD(ROW()-9,24)</f>
        <v>20</v>
      </c>
      <c r="C13733" s="12"/>
      <c r="D13733" s="13" t="n">
        <f aca="false">IF(B13733&lt;5,Einstellungen!$B$3,Einstellungen!$B$4)</f>
        <v>29.13</v>
      </c>
      <c r="E13733" s="14" t="str">
        <f aca="false">IF(C13733="","",C13733*D13733/100)</f>
        <v/>
      </c>
      <c r="F13733" s="15" t="str">
        <f aca="false">IF(B13733&lt;5,"Go","Standard")</f>
        <v>Standard</v>
      </c>
    </row>
    <row r="13734" customFormat="false" ht="15" hidden="false" customHeight="true" outlineLevel="0" collapsed="false">
      <c r="A13734" s="10" t="n">
        <f aca="false">Einstellungen!$B$5+INT((ROW()-9)/24)</f>
        <v>46537</v>
      </c>
      <c r="B13734" s="11" t="n">
        <f aca="false">MOD(ROW()-9,24)</f>
        <v>21</v>
      </c>
      <c r="C13734" s="12"/>
      <c r="D13734" s="13" t="n">
        <f aca="false">IF(B13734&lt;5,Einstellungen!$B$3,Einstellungen!$B$4)</f>
        <v>29.13</v>
      </c>
      <c r="E13734" s="14" t="str">
        <f aca="false">IF(C13734="","",C13734*D13734/100)</f>
        <v/>
      </c>
      <c r="F13734" s="15" t="str">
        <f aca="false">IF(B13734&lt;5,"Go","Standard")</f>
        <v>Standard</v>
      </c>
    </row>
    <row r="13735" customFormat="false" ht="15" hidden="false" customHeight="true" outlineLevel="0" collapsed="false">
      <c r="A13735" s="10" t="n">
        <f aca="false">Einstellungen!$B$5+INT((ROW()-9)/24)</f>
        <v>46537</v>
      </c>
      <c r="B13735" s="11" t="n">
        <f aca="false">MOD(ROW()-9,24)</f>
        <v>22</v>
      </c>
      <c r="C13735" s="12"/>
      <c r="D13735" s="13" t="n">
        <f aca="false">IF(B13735&lt;5,Einstellungen!$B$3,Einstellungen!$B$4)</f>
        <v>29.13</v>
      </c>
      <c r="E13735" s="14" t="str">
        <f aca="false">IF(C13735="","",C13735*D13735/100)</f>
        <v/>
      </c>
      <c r="F13735" s="15" t="str">
        <f aca="false">IF(B13735&lt;5,"Go","Standard")</f>
        <v>Standard</v>
      </c>
    </row>
    <row r="13736" customFormat="false" ht="15" hidden="false" customHeight="true" outlineLevel="0" collapsed="false">
      <c r="A13736" s="10" t="n">
        <f aca="false">Einstellungen!$B$5+INT((ROW()-9)/24)</f>
        <v>46537</v>
      </c>
      <c r="B13736" s="11" t="n">
        <f aca="false">MOD(ROW()-9,24)</f>
        <v>23</v>
      </c>
      <c r="C13736" s="12"/>
      <c r="D13736" s="13" t="n">
        <f aca="false">IF(B13736&lt;5,Einstellungen!$B$3,Einstellungen!$B$4)</f>
        <v>29.13</v>
      </c>
      <c r="E13736" s="14" t="str">
        <f aca="false">IF(C13736="","",C13736*D13736/100)</f>
        <v/>
      </c>
      <c r="F13736" s="15" t="str">
        <f aca="false">IF(B13736&lt;5,"Go","Standard")</f>
        <v>Standard</v>
      </c>
    </row>
    <row r="13737" customFormat="false" ht="15" hidden="false" customHeight="true" outlineLevel="0" collapsed="false">
      <c r="A13737" s="10" t="n">
        <f aca="false">Einstellungen!$B$5+INT((ROW()-9)/24)</f>
        <v>46538</v>
      </c>
      <c r="B13737" s="11" t="n">
        <f aca="false">MOD(ROW()-9,24)</f>
        <v>0</v>
      </c>
      <c r="C13737" s="12"/>
      <c r="D13737" s="13" t="n">
        <f aca="false">IF(B13737&lt;5,Einstellungen!$B$3,Einstellungen!$B$4)</f>
        <v>15.92</v>
      </c>
      <c r="E13737" s="14" t="str">
        <f aca="false">IF(C13737="","",C13737*D13737/100)</f>
        <v/>
      </c>
      <c r="F13737" s="15" t="str">
        <f aca="false">IF(B13737&lt;5,"Go","Standard")</f>
        <v>Go</v>
      </c>
    </row>
    <row r="13738" customFormat="false" ht="15" hidden="false" customHeight="true" outlineLevel="0" collapsed="false">
      <c r="A13738" s="10" t="n">
        <f aca="false">Einstellungen!$B$5+INT((ROW()-9)/24)</f>
        <v>46538</v>
      </c>
      <c r="B13738" s="11" t="n">
        <f aca="false">MOD(ROW()-9,24)</f>
        <v>1</v>
      </c>
      <c r="C13738" s="12"/>
      <c r="D13738" s="13" t="n">
        <f aca="false">IF(B13738&lt;5,Einstellungen!$B$3,Einstellungen!$B$4)</f>
        <v>15.92</v>
      </c>
      <c r="E13738" s="14" t="str">
        <f aca="false">IF(C13738="","",C13738*D13738/100)</f>
        <v/>
      </c>
      <c r="F13738" s="15" t="str">
        <f aca="false">IF(B13738&lt;5,"Go","Standard")</f>
        <v>Go</v>
      </c>
    </row>
    <row r="13739" customFormat="false" ht="15" hidden="false" customHeight="true" outlineLevel="0" collapsed="false">
      <c r="A13739" s="10" t="n">
        <f aca="false">Einstellungen!$B$5+INT((ROW()-9)/24)</f>
        <v>46538</v>
      </c>
      <c r="B13739" s="11" t="n">
        <f aca="false">MOD(ROW()-9,24)</f>
        <v>2</v>
      </c>
      <c r="C13739" s="12"/>
      <c r="D13739" s="13" t="n">
        <f aca="false">IF(B13739&lt;5,Einstellungen!$B$3,Einstellungen!$B$4)</f>
        <v>15.92</v>
      </c>
      <c r="E13739" s="14" t="str">
        <f aca="false">IF(C13739="","",C13739*D13739/100)</f>
        <v/>
      </c>
      <c r="F13739" s="15" t="str">
        <f aca="false">IF(B13739&lt;5,"Go","Standard")</f>
        <v>Go</v>
      </c>
    </row>
    <row r="13740" customFormat="false" ht="15" hidden="false" customHeight="true" outlineLevel="0" collapsed="false">
      <c r="A13740" s="10" t="n">
        <f aca="false">Einstellungen!$B$5+INT((ROW()-9)/24)</f>
        <v>46538</v>
      </c>
      <c r="B13740" s="11" t="n">
        <f aca="false">MOD(ROW()-9,24)</f>
        <v>3</v>
      </c>
      <c r="C13740" s="12"/>
      <c r="D13740" s="13" t="n">
        <f aca="false">IF(B13740&lt;5,Einstellungen!$B$3,Einstellungen!$B$4)</f>
        <v>15.92</v>
      </c>
      <c r="E13740" s="14" t="str">
        <f aca="false">IF(C13740="","",C13740*D13740/100)</f>
        <v/>
      </c>
      <c r="F13740" s="15" t="str">
        <f aca="false">IF(B13740&lt;5,"Go","Standard")</f>
        <v>Go</v>
      </c>
    </row>
    <row r="13741" customFormat="false" ht="15" hidden="false" customHeight="true" outlineLevel="0" collapsed="false">
      <c r="A13741" s="10" t="n">
        <f aca="false">Einstellungen!$B$5+INT((ROW()-9)/24)</f>
        <v>46538</v>
      </c>
      <c r="B13741" s="11" t="n">
        <f aca="false">MOD(ROW()-9,24)</f>
        <v>4</v>
      </c>
      <c r="C13741" s="12"/>
      <c r="D13741" s="13" t="n">
        <f aca="false">IF(B13741&lt;5,Einstellungen!$B$3,Einstellungen!$B$4)</f>
        <v>15.92</v>
      </c>
      <c r="E13741" s="14" t="str">
        <f aca="false">IF(C13741="","",C13741*D13741/100)</f>
        <v/>
      </c>
      <c r="F13741" s="15" t="str">
        <f aca="false">IF(B13741&lt;5,"Go","Standard")</f>
        <v>Go</v>
      </c>
    </row>
    <row r="13742" customFormat="false" ht="15" hidden="false" customHeight="true" outlineLevel="0" collapsed="false">
      <c r="A13742" s="10" t="n">
        <f aca="false">Einstellungen!$B$5+INT((ROW()-9)/24)</f>
        <v>46538</v>
      </c>
      <c r="B13742" s="11" t="n">
        <f aca="false">MOD(ROW()-9,24)</f>
        <v>5</v>
      </c>
      <c r="C13742" s="12"/>
      <c r="D13742" s="13" t="n">
        <f aca="false">IF(B13742&lt;5,Einstellungen!$B$3,Einstellungen!$B$4)</f>
        <v>29.13</v>
      </c>
      <c r="E13742" s="14" t="str">
        <f aca="false">IF(C13742="","",C13742*D13742/100)</f>
        <v/>
      </c>
      <c r="F13742" s="15" t="str">
        <f aca="false">IF(B13742&lt;5,"Go","Standard")</f>
        <v>Standard</v>
      </c>
    </row>
    <row r="13743" customFormat="false" ht="15" hidden="false" customHeight="true" outlineLevel="0" collapsed="false">
      <c r="A13743" s="10" t="n">
        <f aca="false">Einstellungen!$B$5+INT((ROW()-9)/24)</f>
        <v>46538</v>
      </c>
      <c r="B13743" s="11" t="n">
        <f aca="false">MOD(ROW()-9,24)</f>
        <v>6</v>
      </c>
      <c r="C13743" s="12"/>
      <c r="D13743" s="13" t="n">
        <f aca="false">IF(B13743&lt;5,Einstellungen!$B$3,Einstellungen!$B$4)</f>
        <v>29.13</v>
      </c>
      <c r="E13743" s="14" t="str">
        <f aca="false">IF(C13743="","",C13743*D13743/100)</f>
        <v/>
      </c>
      <c r="F13743" s="15" t="str">
        <f aca="false">IF(B13743&lt;5,"Go","Standard")</f>
        <v>Standard</v>
      </c>
    </row>
    <row r="13744" customFormat="false" ht="15" hidden="false" customHeight="true" outlineLevel="0" collapsed="false">
      <c r="A13744" s="10" t="n">
        <f aca="false">Einstellungen!$B$5+INT((ROW()-9)/24)</f>
        <v>46538</v>
      </c>
      <c r="B13744" s="11" t="n">
        <f aca="false">MOD(ROW()-9,24)</f>
        <v>7</v>
      </c>
      <c r="C13744" s="12"/>
      <c r="D13744" s="13" t="n">
        <f aca="false">IF(B13744&lt;5,Einstellungen!$B$3,Einstellungen!$B$4)</f>
        <v>29.13</v>
      </c>
      <c r="E13744" s="14" t="str">
        <f aca="false">IF(C13744="","",C13744*D13744/100)</f>
        <v/>
      </c>
      <c r="F13744" s="15" t="str">
        <f aca="false">IF(B13744&lt;5,"Go","Standard")</f>
        <v>Standard</v>
      </c>
    </row>
    <row r="13745" customFormat="false" ht="15" hidden="false" customHeight="true" outlineLevel="0" collapsed="false">
      <c r="A13745" s="10" t="n">
        <f aca="false">Einstellungen!$B$5+INT((ROW()-9)/24)</f>
        <v>46538</v>
      </c>
      <c r="B13745" s="11" t="n">
        <f aca="false">MOD(ROW()-9,24)</f>
        <v>8</v>
      </c>
      <c r="C13745" s="12"/>
      <c r="D13745" s="13" t="n">
        <f aca="false">IF(B13745&lt;5,Einstellungen!$B$3,Einstellungen!$B$4)</f>
        <v>29.13</v>
      </c>
      <c r="E13745" s="14" t="str">
        <f aca="false">IF(C13745="","",C13745*D13745/100)</f>
        <v/>
      </c>
      <c r="F13745" s="15" t="str">
        <f aca="false">IF(B13745&lt;5,"Go","Standard")</f>
        <v>Standard</v>
      </c>
    </row>
    <row r="13746" customFormat="false" ht="15" hidden="false" customHeight="true" outlineLevel="0" collapsed="false">
      <c r="A13746" s="10" t="n">
        <f aca="false">Einstellungen!$B$5+INT((ROW()-9)/24)</f>
        <v>46538</v>
      </c>
      <c r="B13746" s="11" t="n">
        <f aca="false">MOD(ROW()-9,24)</f>
        <v>9</v>
      </c>
      <c r="C13746" s="12"/>
      <c r="D13746" s="13" t="n">
        <f aca="false">IF(B13746&lt;5,Einstellungen!$B$3,Einstellungen!$B$4)</f>
        <v>29.13</v>
      </c>
      <c r="E13746" s="14" t="str">
        <f aca="false">IF(C13746="","",C13746*D13746/100)</f>
        <v/>
      </c>
      <c r="F13746" s="15" t="str">
        <f aca="false">IF(B13746&lt;5,"Go","Standard")</f>
        <v>Standard</v>
      </c>
    </row>
    <row r="13747" customFormat="false" ht="15" hidden="false" customHeight="true" outlineLevel="0" collapsed="false">
      <c r="A13747" s="10" t="n">
        <f aca="false">Einstellungen!$B$5+INT((ROW()-9)/24)</f>
        <v>46538</v>
      </c>
      <c r="B13747" s="11" t="n">
        <f aca="false">MOD(ROW()-9,24)</f>
        <v>10</v>
      </c>
      <c r="C13747" s="12"/>
      <c r="D13747" s="13" t="n">
        <f aca="false">IF(B13747&lt;5,Einstellungen!$B$3,Einstellungen!$B$4)</f>
        <v>29.13</v>
      </c>
      <c r="E13747" s="14" t="str">
        <f aca="false">IF(C13747="","",C13747*D13747/100)</f>
        <v/>
      </c>
      <c r="F13747" s="15" t="str">
        <f aca="false">IF(B13747&lt;5,"Go","Standard")</f>
        <v>Standard</v>
      </c>
    </row>
    <row r="13748" customFormat="false" ht="15" hidden="false" customHeight="true" outlineLevel="0" collapsed="false">
      <c r="A13748" s="10" t="n">
        <f aca="false">Einstellungen!$B$5+INT((ROW()-9)/24)</f>
        <v>46538</v>
      </c>
      <c r="B13748" s="11" t="n">
        <f aca="false">MOD(ROW()-9,24)</f>
        <v>11</v>
      </c>
      <c r="C13748" s="12"/>
      <c r="D13748" s="13" t="n">
        <f aca="false">IF(B13748&lt;5,Einstellungen!$B$3,Einstellungen!$B$4)</f>
        <v>29.13</v>
      </c>
      <c r="E13748" s="14" t="str">
        <f aca="false">IF(C13748="","",C13748*D13748/100)</f>
        <v/>
      </c>
      <c r="F13748" s="15" t="str">
        <f aca="false">IF(B13748&lt;5,"Go","Standard")</f>
        <v>Standard</v>
      </c>
    </row>
    <row r="13749" customFormat="false" ht="15" hidden="false" customHeight="true" outlineLevel="0" collapsed="false">
      <c r="A13749" s="10" t="n">
        <f aca="false">Einstellungen!$B$5+INT((ROW()-9)/24)</f>
        <v>46538</v>
      </c>
      <c r="B13749" s="11" t="n">
        <f aca="false">MOD(ROW()-9,24)</f>
        <v>12</v>
      </c>
      <c r="C13749" s="12"/>
      <c r="D13749" s="13" t="n">
        <f aca="false">IF(B13749&lt;5,Einstellungen!$B$3,Einstellungen!$B$4)</f>
        <v>29.13</v>
      </c>
      <c r="E13749" s="14" t="str">
        <f aca="false">IF(C13749="","",C13749*D13749/100)</f>
        <v/>
      </c>
      <c r="F13749" s="15" t="str">
        <f aca="false">IF(B13749&lt;5,"Go","Standard")</f>
        <v>Standard</v>
      </c>
    </row>
    <row r="13750" customFormat="false" ht="15" hidden="false" customHeight="true" outlineLevel="0" collapsed="false">
      <c r="A13750" s="10" t="n">
        <f aca="false">Einstellungen!$B$5+INT((ROW()-9)/24)</f>
        <v>46538</v>
      </c>
      <c r="B13750" s="11" t="n">
        <f aca="false">MOD(ROW()-9,24)</f>
        <v>13</v>
      </c>
      <c r="C13750" s="12"/>
      <c r="D13750" s="13" t="n">
        <f aca="false">IF(B13750&lt;5,Einstellungen!$B$3,Einstellungen!$B$4)</f>
        <v>29.13</v>
      </c>
      <c r="E13750" s="14" t="str">
        <f aca="false">IF(C13750="","",C13750*D13750/100)</f>
        <v/>
      </c>
      <c r="F13750" s="15" t="str">
        <f aca="false">IF(B13750&lt;5,"Go","Standard")</f>
        <v>Standard</v>
      </c>
    </row>
    <row r="13751" customFormat="false" ht="15" hidden="false" customHeight="true" outlineLevel="0" collapsed="false">
      <c r="A13751" s="10" t="n">
        <f aca="false">Einstellungen!$B$5+INT((ROW()-9)/24)</f>
        <v>46538</v>
      </c>
      <c r="B13751" s="11" t="n">
        <f aca="false">MOD(ROW()-9,24)</f>
        <v>14</v>
      </c>
      <c r="C13751" s="12"/>
      <c r="D13751" s="13" t="n">
        <f aca="false">IF(B13751&lt;5,Einstellungen!$B$3,Einstellungen!$B$4)</f>
        <v>29.13</v>
      </c>
      <c r="E13751" s="14" t="str">
        <f aca="false">IF(C13751="","",C13751*D13751/100)</f>
        <v/>
      </c>
      <c r="F13751" s="15" t="str">
        <f aca="false">IF(B13751&lt;5,"Go","Standard")</f>
        <v>Standard</v>
      </c>
    </row>
    <row r="13752" customFormat="false" ht="15" hidden="false" customHeight="true" outlineLevel="0" collapsed="false">
      <c r="A13752" s="10" t="n">
        <f aca="false">Einstellungen!$B$5+INT((ROW()-9)/24)</f>
        <v>46538</v>
      </c>
      <c r="B13752" s="11" t="n">
        <f aca="false">MOD(ROW()-9,24)</f>
        <v>15</v>
      </c>
      <c r="C13752" s="12"/>
      <c r="D13752" s="13" t="n">
        <f aca="false">IF(B13752&lt;5,Einstellungen!$B$3,Einstellungen!$B$4)</f>
        <v>29.13</v>
      </c>
      <c r="E13752" s="14" t="str">
        <f aca="false">IF(C13752="","",C13752*D13752/100)</f>
        <v/>
      </c>
      <c r="F13752" s="15" t="str">
        <f aca="false">IF(B13752&lt;5,"Go","Standard")</f>
        <v>Standard</v>
      </c>
    </row>
    <row r="13753" customFormat="false" ht="15" hidden="false" customHeight="true" outlineLevel="0" collapsed="false">
      <c r="A13753" s="10" t="n">
        <f aca="false">Einstellungen!$B$5+INT((ROW()-9)/24)</f>
        <v>46538</v>
      </c>
      <c r="B13753" s="11" t="n">
        <f aca="false">MOD(ROW()-9,24)</f>
        <v>16</v>
      </c>
      <c r="C13753" s="12"/>
      <c r="D13753" s="13" t="n">
        <f aca="false">IF(B13753&lt;5,Einstellungen!$B$3,Einstellungen!$B$4)</f>
        <v>29.13</v>
      </c>
      <c r="E13753" s="14" t="str">
        <f aca="false">IF(C13753="","",C13753*D13753/100)</f>
        <v/>
      </c>
      <c r="F13753" s="15" t="str">
        <f aca="false">IF(B13753&lt;5,"Go","Standard")</f>
        <v>Standard</v>
      </c>
    </row>
    <row r="13754" customFormat="false" ht="15" hidden="false" customHeight="true" outlineLevel="0" collapsed="false">
      <c r="A13754" s="10" t="n">
        <f aca="false">Einstellungen!$B$5+INT((ROW()-9)/24)</f>
        <v>46538</v>
      </c>
      <c r="B13754" s="11" t="n">
        <f aca="false">MOD(ROW()-9,24)</f>
        <v>17</v>
      </c>
      <c r="C13754" s="12"/>
      <c r="D13754" s="13" t="n">
        <f aca="false">IF(B13754&lt;5,Einstellungen!$B$3,Einstellungen!$B$4)</f>
        <v>29.13</v>
      </c>
      <c r="E13754" s="14" t="str">
        <f aca="false">IF(C13754="","",C13754*D13754/100)</f>
        <v/>
      </c>
      <c r="F13754" s="15" t="str">
        <f aca="false">IF(B13754&lt;5,"Go","Standard")</f>
        <v>Standard</v>
      </c>
    </row>
    <row r="13755" customFormat="false" ht="15" hidden="false" customHeight="true" outlineLevel="0" collapsed="false">
      <c r="A13755" s="10" t="n">
        <f aca="false">Einstellungen!$B$5+INT((ROW()-9)/24)</f>
        <v>46538</v>
      </c>
      <c r="B13755" s="11" t="n">
        <f aca="false">MOD(ROW()-9,24)</f>
        <v>18</v>
      </c>
      <c r="C13755" s="12"/>
      <c r="D13755" s="13" t="n">
        <f aca="false">IF(B13755&lt;5,Einstellungen!$B$3,Einstellungen!$B$4)</f>
        <v>29.13</v>
      </c>
      <c r="E13755" s="14" t="str">
        <f aca="false">IF(C13755="","",C13755*D13755/100)</f>
        <v/>
      </c>
      <c r="F13755" s="15" t="str">
        <f aca="false">IF(B13755&lt;5,"Go","Standard")</f>
        <v>Standard</v>
      </c>
    </row>
    <row r="13756" customFormat="false" ht="15" hidden="false" customHeight="true" outlineLevel="0" collapsed="false">
      <c r="A13756" s="10" t="n">
        <f aca="false">Einstellungen!$B$5+INT((ROW()-9)/24)</f>
        <v>46538</v>
      </c>
      <c r="B13756" s="11" t="n">
        <f aca="false">MOD(ROW()-9,24)</f>
        <v>19</v>
      </c>
      <c r="C13756" s="12"/>
      <c r="D13756" s="13" t="n">
        <f aca="false">IF(B13756&lt;5,Einstellungen!$B$3,Einstellungen!$B$4)</f>
        <v>29.13</v>
      </c>
      <c r="E13756" s="14" t="str">
        <f aca="false">IF(C13756="","",C13756*D13756/100)</f>
        <v/>
      </c>
      <c r="F13756" s="15" t="str">
        <f aca="false">IF(B13756&lt;5,"Go","Standard")</f>
        <v>Standard</v>
      </c>
    </row>
    <row r="13757" customFormat="false" ht="15" hidden="false" customHeight="true" outlineLevel="0" collapsed="false">
      <c r="A13757" s="10" t="n">
        <f aca="false">Einstellungen!$B$5+INT((ROW()-9)/24)</f>
        <v>46538</v>
      </c>
      <c r="B13757" s="11" t="n">
        <f aca="false">MOD(ROW()-9,24)</f>
        <v>20</v>
      </c>
      <c r="C13757" s="12"/>
      <c r="D13757" s="13" t="n">
        <f aca="false">IF(B13757&lt;5,Einstellungen!$B$3,Einstellungen!$B$4)</f>
        <v>29.13</v>
      </c>
      <c r="E13757" s="14" t="str">
        <f aca="false">IF(C13757="","",C13757*D13757/100)</f>
        <v/>
      </c>
      <c r="F13757" s="15" t="str">
        <f aca="false">IF(B13757&lt;5,"Go","Standard")</f>
        <v>Standard</v>
      </c>
    </row>
    <row r="13758" customFormat="false" ht="15" hidden="false" customHeight="true" outlineLevel="0" collapsed="false">
      <c r="A13758" s="10" t="n">
        <f aca="false">Einstellungen!$B$5+INT((ROW()-9)/24)</f>
        <v>46538</v>
      </c>
      <c r="B13758" s="11" t="n">
        <f aca="false">MOD(ROW()-9,24)</f>
        <v>21</v>
      </c>
      <c r="C13758" s="12"/>
      <c r="D13758" s="13" t="n">
        <f aca="false">IF(B13758&lt;5,Einstellungen!$B$3,Einstellungen!$B$4)</f>
        <v>29.13</v>
      </c>
      <c r="E13758" s="14" t="str">
        <f aca="false">IF(C13758="","",C13758*D13758/100)</f>
        <v/>
      </c>
      <c r="F13758" s="15" t="str">
        <f aca="false">IF(B13758&lt;5,"Go","Standard")</f>
        <v>Standard</v>
      </c>
    </row>
    <row r="13759" customFormat="false" ht="15" hidden="false" customHeight="true" outlineLevel="0" collapsed="false">
      <c r="A13759" s="10" t="n">
        <f aca="false">Einstellungen!$B$5+INT((ROW()-9)/24)</f>
        <v>46538</v>
      </c>
      <c r="B13759" s="11" t="n">
        <f aca="false">MOD(ROW()-9,24)</f>
        <v>22</v>
      </c>
      <c r="C13759" s="12"/>
      <c r="D13759" s="13" t="n">
        <f aca="false">IF(B13759&lt;5,Einstellungen!$B$3,Einstellungen!$B$4)</f>
        <v>29.13</v>
      </c>
      <c r="E13759" s="14" t="str">
        <f aca="false">IF(C13759="","",C13759*D13759/100)</f>
        <v/>
      </c>
      <c r="F13759" s="15" t="str">
        <f aca="false">IF(B13759&lt;5,"Go","Standard")</f>
        <v>Standard</v>
      </c>
    </row>
    <row r="13760" customFormat="false" ht="15" hidden="false" customHeight="true" outlineLevel="0" collapsed="false">
      <c r="A13760" s="10" t="n">
        <f aca="false">Einstellungen!$B$5+INT((ROW()-9)/24)</f>
        <v>46538</v>
      </c>
      <c r="B13760" s="11" t="n">
        <f aca="false">MOD(ROW()-9,24)</f>
        <v>23</v>
      </c>
      <c r="C13760" s="12"/>
      <c r="D13760" s="13" t="n">
        <f aca="false">IF(B13760&lt;5,Einstellungen!$B$3,Einstellungen!$B$4)</f>
        <v>29.13</v>
      </c>
      <c r="E13760" s="14" t="str">
        <f aca="false">IF(C13760="","",C13760*D13760/100)</f>
        <v/>
      </c>
      <c r="F13760" s="15" t="str">
        <f aca="false">IF(B13760&lt;5,"Go","Standard")</f>
        <v>Standard</v>
      </c>
    </row>
    <row r="13761" customFormat="false" ht="15" hidden="false" customHeight="true" outlineLevel="0" collapsed="false">
      <c r="A13761" s="10" t="n">
        <f aca="false">Einstellungen!$B$5+INT((ROW()-9)/24)</f>
        <v>46539</v>
      </c>
      <c r="B13761" s="11" t="n">
        <f aca="false">MOD(ROW()-9,24)</f>
        <v>0</v>
      </c>
      <c r="C13761" s="12"/>
      <c r="D13761" s="13" t="n">
        <f aca="false">IF(B13761&lt;5,Einstellungen!$B$3,Einstellungen!$B$4)</f>
        <v>15.92</v>
      </c>
      <c r="E13761" s="14" t="str">
        <f aca="false">IF(C13761="","",C13761*D13761/100)</f>
        <v/>
      </c>
      <c r="F13761" s="15" t="str">
        <f aca="false">IF(B13761&lt;5,"Go","Standard")</f>
        <v>Go</v>
      </c>
    </row>
    <row r="13762" customFormat="false" ht="15" hidden="false" customHeight="true" outlineLevel="0" collapsed="false">
      <c r="A13762" s="10" t="n">
        <f aca="false">Einstellungen!$B$5+INT((ROW()-9)/24)</f>
        <v>46539</v>
      </c>
      <c r="B13762" s="11" t="n">
        <f aca="false">MOD(ROW()-9,24)</f>
        <v>1</v>
      </c>
      <c r="C13762" s="12"/>
      <c r="D13762" s="13" t="n">
        <f aca="false">IF(B13762&lt;5,Einstellungen!$B$3,Einstellungen!$B$4)</f>
        <v>15.92</v>
      </c>
      <c r="E13762" s="14" t="str">
        <f aca="false">IF(C13762="","",C13762*D13762/100)</f>
        <v/>
      </c>
      <c r="F13762" s="15" t="str">
        <f aca="false">IF(B13762&lt;5,"Go","Standard")</f>
        <v>Go</v>
      </c>
    </row>
    <row r="13763" customFormat="false" ht="15" hidden="false" customHeight="true" outlineLevel="0" collapsed="false">
      <c r="A13763" s="10" t="n">
        <f aca="false">Einstellungen!$B$5+INT((ROW()-9)/24)</f>
        <v>46539</v>
      </c>
      <c r="B13763" s="11" t="n">
        <f aca="false">MOD(ROW()-9,24)</f>
        <v>2</v>
      </c>
      <c r="C13763" s="12"/>
      <c r="D13763" s="13" t="n">
        <f aca="false">IF(B13763&lt;5,Einstellungen!$B$3,Einstellungen!$B$4)</f>
        <v>15.92</v>
      </c>
      <c r="E13763" s="14" t="str">
        <f aca="false">IF(C13763="","",C13763*D13763/100)</f>
        <v/>
      </c>
      <c r="F13763" s="15" t="str">
        <f aca="false">IF(B13763&lt;5,"Go","Standard")</f>
        <v>Go</v>
      </c>
    </row>
    <row r="13764" customFormat="false" ht="15" hidden="false" customHeight="true" outlineLevel="0" collapsed="false">
      <c r="A13764" s="10" t="n">
        <f aca="false">Einstellungen!$B$5+INT((ROW()-9)/24)</f>
        <v>46539</v>
      </c>
      <c r="B13764" s="11" t="n">
        <f aca="false">MOD(ROW()-9,24)</f>
        <v>3</v>
      </c>
      <c r="C13764" s="12"/>
      <c r="D13764" s="13" t="n">
        <f aca="false">IF(B13764&lt;5,Einstellungen!$B$3,Einstellungen!$B$4)</f>
        <v>15.92</v>
      </c>
      <c r="E13764" s="14" t="str">
        <f aca="false">IF(C13764="","",C13764*D13764/100)</f>
        <v/>
      </c>
      <c r="F13764" s="15" t="str">
        <f aca="false">IF(B13764&lt;5,"Go","Standard")</f>
        <v>Go</v>
      </c>
    </row>
    <row r="13765" customFormat="false" ht="15" hidden="false" customHeight="true" outlineLevel="0" collapsed="false">
      <c r="A13765" s="10" t="n">
        <f aca="false">Einstellungen!$B$5+INT((ROW()-9)/24)</f>
        <v>46539</v>
      </c>
      <c r="B13765" s="11" t="n">
        <f aca="false">MOD(ROW()-9,24)</f>
        <v>4</v>
      </c>
      <c r="C13765" s="12"/>
      <c r="D13765" s="13" t="n">
        <f aca="false">IF(B13765&lt;5,Einstellungen!$B$3,Einstellungen!$B$4)</f>
        <v>15.92</v>
      </c>
      <c r="E13765" s="14" t="str">
        <f aca="false">IF(C13765="","",C13765*D13765/100)</f>
        <v/>
      </c>
      <c r="F13765" s="15" t="str">
        <f aca="false">IF(B13765&lt;5,"Go","Standard")</f>
        <v>Go</v>
      </c>
    </row>
    <row r="13766" customFormat="false" ht="15" hidden="false" customHeight="true" outlineLevel="0" collapsed="false">
      <c r="A13766" s="10" t="n">
        <f aca="false">Einstellungen!$B$5+INT((ROW()-9)/24)</f>
        <v>46539</v>
      </c>
      <c r="B13766" s="11" t="n">
        <f aca="false">MOD(ROW()-9,24)</f>
        <v>5</v>
      </c>
      <c r="C13766" s="12"/>
      <c r="D13766" s="13" t="n">
        <f aca="false">IF(B13766&lt;5,Einstellungen!$B$3,Einstellungen!$B$4)</f>
        <v>29.13</v>
      </c>
      <c r="E13766" s="14" t="str">
        <f aca="false">IF(C13766="","",C13766*D13766/100)</f>
        <v/>
      </c>
      <c r="F13766" s="15" t="str">
        <f aca="false">IF(B13766&lt;5,"Go","Standard")</f>
        <v>Standard</v>
      </c>
    </row>
    <row r="13767" customFormat="false" ht="15" hidden="false" customHeight="true" outlineLevel="0" collapsed="false">
      <c r="A13767" s="10" t="n">
        <f aca="false">Einstellungen!$B$5+INT((ROW()-9)/24)</f>
        <v>46539</v>
      </c>
      <c r="B13767" s="11" t="n">
        <f aca="false">MOD(ROW()-9,24)</f>
        <v>6</v>
      </c>
      <c r="C13767" s="12"/>
      <c r="D13767" s="13" t="n">
        <f aca="false">IF(B13767&lt;5,Einstellungen!$B$3,Einstellungen!$B$4)</f>
        <v>29.13</v>
      </c>
      <c r="E13767" s="14" t="str">
        <f aca="false">IF(C13767="","",C13767*D13767/100)</f>
        <v/>
      </c>
      <c r="F13767" s="15" t="str">
        <f aca="false">IF(B13767&lt;5,"Go","Standard")</f>
        <v>Standard</v>
      </c>
    </row>
    <row r="13768" customFormat="false" ht="15" hidden="false" customHeight="true" outlineLevel="0" collapsed="false">
      <c r="A13768" s="10" t="n">
        <f aca="false">Einstellungen!$B$5+INT((ROW()-9)/24)</f>
        <v>46539</v>
      </c>
      <c r="B13768" s="11" t="n">
        <f aca="false">MOD(ROW()-9,24)</f>
        <v>7</v>
      </c>
      <c r="C13768" s="12"/>
      <c r="D13768" s="13" t="n">
        <f aca="false">IF(B13768&lt;5,Einstellungen!$B$3,Einstellungen!$B$4)</f>
        <v>29.13</v>
      </c>
      <c r="E13768" s="14" t="str">
        <f aca="false">IF(C13768="","",C13768*D13768/100)</f>
        <v/>
      </c>
      <c r="F13768" s="15" t="str">
        <f aca="false">IF(B13768&lt;5,"Go","Standard")</f>
        <v>Standard</v>
      </c>
    </row>
    <row r="13769" customFormat="false" ht="15" hidden="false" customHeight="true" outlineLevel="0" collapsed="false">
      <c r="A13769" s="10" t="n">
        <f aca="false">Einstellungen!$B$5+INT((ROW()-9)/24)</f>
        <v>46539</v>
      </c>
      <c r="B13769" s="11" t="n">
        <f aca="false">MOD(ROW()-9,24)</f>
        <v>8</v>
      </c>
      <c r="C13769" s="12"/>
      <c r="D13769" s="13" t="n">
        <f aca="false">IF(B13769&lt;5,Einstellungen!$B$3,Einstellungen!$B$4)</f>
        <v>29.13</v>
      </c>
      <c r="E13769" s="14" t="str">
        <f aca="false">IF(C13769="","",C13769*D13769/100)</f>
        <v/>
      </c>
      <c r="F13769" s="15" t="str">
        <f aca="false">IF(B13769&lt;5,"Go","Standard")</f>
        <v>Standard</v>
      </c>
    </row>
    <row r="13770" customFormat="false" ht="15" hidden="false" customHeight="true" outlineLevel="0" collapsed="false">
      <c r="A13770" s="10" t="n">
        <f aca="false">Einstellungen!$B$5+INT((ROW()-9)/24)</f>
        <v>46539</v>
      </c>
      <c r="B13770" s="11" t="n">
        <f aca="false">MOD(ROW()-9,24)</f>
        <v>9</v>
      </c>
      <c r="C13770" s="12"/>
      <c r="D13770" s="13" t="n">
        <f aca="false">IF(B13770&lt;5,Einstellungen!$B$3,Einstellungen!$B$4)</f>
        <v>29.13</v>
      </c>
      <c r="E13770" s="14" t="str">
        <f aca="false">IF(C13770="","",C13770*D13770/100)</f>
        <v/>
      </c>
      <c r="F13770" s="15" t="str">
        <f aca="false">IF(B13770&lt;5,"Go","Standard")</f>
        <v>Standard</v>
      </c>
    </row>
    <row r="13771" customFormat="false" ht="15" hidden="false" customHeight="true" outlineLevel="0" collapsed="false">
      <c r="A13771" s="10" t="n">
        <f aca="false">Einstellungen!$B$5+INT((ROW()-9)/24)</f>
        <v>46539</v>
      </c>
      <c r="B13771" s="11" t="n">
        <f aca="false">MOD(ROW()-9,24)</f>
        <v>10</v>
      </c>
      <c r="C13771" s="12"/>
      <c r="D13771" s="13" t="n">
        <f aca="false">IF(B13771&lt;5,Einstellungen!$B$3,Einstellungen!$B$4)</f>
        <v>29.13</v>
      </c>
      <c r="E13771" s="14" t="str">
        <f aca="false">IF(C13771="","",C13771*D13771/100)</f>
        <v/>
      </c>
      <c r="F13771" s="15" t="str">
        <f aca="false">IF(B13771&lt;5,"Go","Standard")</f>
        <v>Standard</v>
      </c>
    </row>
    <row r="13772" customFormat="false" ht="15" hidden="false" customHeight="true" outlineLevel="0" collapsed="false">
      <c r="A13772" s="10" t="n">
        <f aca="false">Einstellungen!$B$5+INT((ROW()-9)/24)</f>
        <v>46539</v>
      </c>
      <c r="B13772" s="11" t="n">
        <f aca="false">MOD(ROW()-9,24)</f>
        <v>11</v>
      </c>
      <c r="C13772" s="12"/>
      <c r="D13772" s="13" t="n">
        <f aca="false">IF(B13772&lt;5,Einstellungen!$B$3,Einstellungen!$B$4)</f>
        <v>29.13</v>
      </c>
      <c r="E13772" s="14" t="str">
        <f aca="false">IF(C13772="","",C13772*D13772/100)</f>
        <v/>
      </c>
      <c r="F13772" s="15" t="str">
        <f aca="false">IF(B13772&lt;5,"Go","Standard")</f>
        <v>Standard</v>
      </c>
    </row>
    <row r="13773" customFormat="false" ht="15" hidden="false" customHeight="true" outlineLevel="0" collapsed="false">
      <c r="A13773" s="10" t="n">
        <f aca="false">Einstellungen!$B$5+INT((ROW()-9)/24)</f>
        <v>46539</v>
      </c>
      <c r="B13773" s="11" t="n">
        <f aca="false">MOD(ROW()-9,24)</f>
        <v>12</v>
      </c>
      <c r="C13773" s="12"/>
      <c r="D13773" s="13" t="n">
        <f aca="false">IF(B13773&lt;5,Einstellungen!$B$3,Einstellungen!$B$4)</f>
        <v>29.13</v>
      </c>
      <c r="E13773" s="14" t="str">
        <f aca="false">IF(C13773="","",C13773*D13773/100)</f>
        <v/>
      </c>
      <c r="F13773" s="15" t="str">
        <f aca="false">IF(B13773&lt;5,"Go","Standard")</f>
        <v>Standard</v>
      </c>
    </row>
    <row r="13774" customFormat="false" ht="15" hidden="false" customHeight="true" outlineLevel="0" collapsed="false">
      <c r="A13774" s="10" t="n">
        <f aca="false">Einstellungen!$B$5+INT((ROW()-9)/24)</f>
        <v>46539</v>
      </c>
      <c r="B13774" s="11" t="n">
        <f aca="false">MOD(ROW()-9,24)</f>
        <v>13</v>
      </c>
      <c r="C13774" s="12"/>
      <c r="D13774" s="13" t="n">
        <f aca="false">IF(B13774&lt;5,Einstellungen!$B$3,Einstellungen!$B$4)</f>
        <v>29.13</v>
      </c>
      <c r="E13774" s="14" t="str">
        <f aca="false">IF(C13774="","",C13774*D13774/100)</f>
        <v/>
      </c>
      <c r="F13774" s="15" t="str">
        <f aca="false">IF(B13774&lt;5,"Go","Standard")</f>
        <v>Standard</v>
      </c>
    </row>
    <row r="13775" customFormat="false" ht="15" hidden="false" customHeight="true" outlineLevel="0" collapsed="false">
      <c r="A13775" s="10" t="n">
        <f aca="false">Einstellungen!$B$5+INT((ROW()-9)/24)</f>
        <v>46539</v>
      </c>
      <c r="B13775" s="11" t="n">
        <f aca="false">MOD(ROW()-9,24)</f>
        <v>14</v>
      </c>
      <c r="C13775" s="12"/>
      <c r="D13775" s="13" t="n">
        <f aca="false">IF(B13775&lt;5,Einstellungen!$B$3,Einstellungen!$B$4)</f>
        <v>29.13</v>
      </c>
      <c r="E13775" s="14" t="str">
        <f aca="false">IF(C13775="","",C13775*D13775/100)</f>
        <v/>
      </c>
      <c r="F13775" s="15" t="str">
        <f aca="false">IF(B13775&lt;5,"Go","Standard")</f>
        <v>Standard</v>
      </c>
    </row>
    <row r="13776" customFormat="false" ht="15" hidden="false" customHeight="true" outlineLevel="0" collapsed="false">
      <c r="A13776" s="10" t="n">
        <f aca="false">Einstellungen!$B$5+INT((ROW()-9)/24)</f>
        <v>46539</v>
      </c>
      <c r="B13776" s="11" t="n">
        <f aca="false">MOD(ROW()-9,24)</f>
        <v>15</v>
      </c>
      <c r="C13776" s="12"/>
      <c r="D13776" s="13" t="n">
        <f aca="false">IF(B13776&lt;5,Einstellungen!$B$3,Einstellungen!$B$4)</f>
        <v>29.13</v>
      </c>
      <c r="E13776" s="14" t="str">
        <f aca="false">IF(C13776="","",C13776*D13776/100)</f>
        <v/>
      </c>
      <c r="F13776" s="15" t="str">
        <f aca="false">IF(B13776&lt;5,"Go","Standard")</f>
        <v>Standard</v>
      </c>
    </row>
    <row r="13777" customFormat="false" ht="15" hidden="false" customHeight="true" outlineLevel="0" collapsed="false">
      <c r="A13777" s="10" t="n">
        <f aca="false">Einstellungen!$B$5+INT((ROW()-9)/24)</f>
        <v>46539</v>
      </c>
      <c r="B13777" s="11" t="n">
        <f aca="false">MOD(ROW()-9,24)</f>
        <v>16</v>
      </c>
      <c r="C13777" s="12"/>
      <c r="D13777" s="13" t="n">
        <f aca="false">IF(B13777&lt;5,Einstellungen!$B$3,Einstellungen!$B$4)</f>
        <v>29.13</v>
      </c>
      <c r="E13777" s="14" t="str">
        <f aca="false">IF(C13777="","",C13777*D13777/100)</f>
        <v/>
      </c>
      <c r="F13777" s="15" t="str">
        <f aca="false">IF(B13777&lt;5,"Go","Standard")</f>
        <v>Standard</v>
      </c>
    </row>
    <row r="13778" customFormat="false" ht="15" hidden="false" customHeight="true" outlineLevel="0" collapsed="false">
      <c r="A13778" s="10" t="n">
        <f aca="false">Einstellungen!$B$5+INT((ROW()-9)/24)</f>
        <v>46539</v>
      </c>
      <c r="B13778" s="11" t="n">
        <f aca="false">MOD(ROW()-9,24)</f>
        <v>17</v>
      </c>
      <c r="C13778" s="12"/>
      <c r="D13778" s="13" t="n">
        <f aca="false">IF(B13778&lt;5,Einstellungen!$B$3,Einstellungen!$B$4)</f>
        <v>29.13</v>
      </c>
      <c r="E13778" s="14" t="str">
        <f aca="false">IF(C13778="","",C13778*D13778/100)</f>
        <v/>
      </c>
      <c r="F13778" s="15" t="str">
        <f aca="false">IF(B13778&lt;5,"Go","Standard")</f>
        <v>Standard</v>
      </c>
    </row>
    <row r="13779" customFormat="false" ht="15" hidden="false" customHeight="true" outlineLevel="0" collapsed="false">
      <c r="A13779" s="10" t="n">
        <f aca="false">Einstellungen!$B$5+INT((ROW()-9)/24)</f>
        <v>46539</v>
      </c>
      <c r="B13779" s="11" t="n">
        <f aca="false">MOD(ROW()-9,24)</f>
        <v>18</v>
      </c>
      <c r="C13779" s="12"/>
      <c r="D13779" s="13" t="n">
        <f aca="false">IF(B13779&lt;5,Einstellungen!$B$3,Einstellungen!$B$4)</f>
        <v>29.13</v>
      </c>
      <c r="E13779" s="14" t="str">
        <f aca="false">IF(C13779="","",C13779*D13779/100)</f>
        <v/>
      </c>
      <c r="F13779" s="15" t="str">
        <f aca="false">IF(B13779&lt;5,"Go","Standard")</f>
        <v>Standard</v>
      </c>
    </row>
    <row r="13780" customFormat="false" ht="15" hidden="false" customHeight="true" outlineLevel="0" collapsed="false">
      <c r="A13780" s="10" t="n">
        <f aca="false">Einstellungen!$B$5+INT((ROW()-9)/24)</f>
        <v>46539</v>
      </c>
      <c r="B13780" s="11" t="n">
        <f aca="false">MOD(ROW()-9,24)</f>
        <v>19</v>
      </c>
      <c r="C13780" s="12"/>
      <c r="D13780" s="13" t="n">
        <f aca="false">IF(B13780&lt;5,Einstellungen!$B$3,Einstellungen!$B$4)</f>
        <v>29.13</v>
      </c>
      <c r="E13780" s="14" t="str">
        <f aca="false">IF(C13780="","",C13780*D13780/100)</f>
        <v/>
      </c>
      <c r="F13780" s="15" t="str">
        <f aca="false">IF(B13780&lt;5,"Go","Standard")</f>
        <v>Standard</v>
      </c>
    </row>
    <row r="13781" customFormat="false" ht="15" hidden="false" customHeight="true" outlineLevel="0" collapsed="false">
      <c r="A13781" s="10" t="n">
        <f aca="false">Einstellungen!$B$5+INT((ROW()-9)/24)</f>
        <v>46539</v>
      </c>
      <c r="B13781" s="11" t="n">
        <f aca="false">MOD(ROW()-9,24)</f>
        <v>20</v>
      </c>
      <c r="C13781" s="12"/>
      <c r="D13781" s="13" t="n">
        <f aca="false">IF(B13781&lt;5,Einstellungen!$B$3,Einstellungen!$B$4)</f>
        <v>29.13</v>
      </c>
      <c r="E13781" s="14" t="str">
        <f aca="false">IF(C13781="","",C13781*D13781/100)</f>
        <v/>
      </c>
      <c r="F13781" s="15" t="str">
        <f aca="false">IF(B13781&lt;5,"Go","Standard")</f>
        <v>Standard</v>
      </c>
    </row>
    <row r="13782" customFormat="false" ht="15" hidden="false" customHeight="true" outlineLevel="0" collapsed="false">
      <c r="A13782" s="10" t="n">
        <f aca="false">Einstellungen!$B$5+INT((ROW()-9)/24)</f>
        <v>46539</v>
      </c>
      <c r="B13782" s="11" t="n">
        <f aca="false">MOD(ROW()-9,24)</f>
        <v>21</v>
      </c>
      <c r="C13782" s="12"/>
      <c r="D13782" s="13" t="n">
        <f aca="false">IF(B13782&lt;5,Einstellungen!$B$3,Einstellungen!$B$4)</f>
        <v>29.13</v>
      </c>
      <c r="E13782" s="14" t="str">
        <f aca="false">IF(C13782="","",C13782*D13782/100)</f>
        <v/>
      </c>
      <c r="F13782" s="15" t="str">
        <f aca="false">IF(B13782&lt;5,"Go","Standard")</f>
        <v>Standard</v>
      </c>
    </row>
    <row r="13783" customFormat="false" ht="15" hidden="false" customHeight="true" outlineLevel="0" collapsed="false">
      <c r="A13783" s="10" t="n">
        <f aca="false">Einstellungen!$B$5+INT((ROW()-9)/24)</f>
        <v>46539</v>
      </c>
      <c r="B13783" s="11" t="n">
        <f aca="false">MOD(ROW()-9,24)</f>
        <v>22</v>
      </c>
      <c r="C13783" s="12"/>
      <c r="D13783" s="13" t="n">
        <f aca="false">IF(B13783&lt;5,Einstellungen!$B$3,Einstellungen!$B$4)</f>
        <v>29.13</v>
      </c>
      <c r="E13783" s="14" t="str">
        <f aca="false">IF(C13783="","",C13783*D13783/100)</f>
        <v/>
      </c>
      <c r="F13783" s="15" t="str">
        <f aca="false">IF(B13783&lt;5,"Go","Standard")</f>
        <v>Standard</v>
      </c>
    </row>
    <row r="13784" customFormat="false" ht="15" hidden="false" customHeight="true" outlineLevel="0" collapsed="false">
      <c r="A13784" s="10" t="n">
        <f aca="false">Einstellungen!$B$5+INT((ROW()-9)/24)</f>
        <v>46539</v>
      </c>
      <c r="B13784" s="11" t="n">
        <f aca="false">MOD(ROW()-9,24)</f>
        <v>23</v>
      </c>
      <c r="C13784" s="12"/>
      <c r="D13784" s="13" t="n">
        <f aca="false">IF(B13784&lt;5,Einstellungen!$B$3,Einstellungen!$B$4)</f>
        <v>29.13</v>
      </c>
      <c r="E13784" s="14" t="str">
        <f aca="false">IF(C13784="","",C13784*D13784/100)</f>
        <v/>
      </c>
      <c r="F13784" s="15" t="str">
        <f aca="false">IF(B13784&lt;5,"Go","Standard")</f>
        <v>Standard</v>
      </c>
    </row>
    <row r="13785" customFormat="false" ht="15" hidden="false" customHeight="true" outlineLevel="0" collapsed="false">
      <c r="A13785" s="10" t="n">
        <f aca="false">Einstellungen!$B$5+INT((ROW()-9)/24)</f>
        <v>46540</v>
      </c>
      <c r="B13785" s="11" t="n">
        <f aca="false">MOD(ROW()-9,24)</f>
        <v>0</v>
      </c>
      <c r="C13785" s="12"/>
      <c r="D13785" s="13" t="n">
        <f aca="false">IF(B13785&lt;5,Einstellungen!$B$3,Einstellungen!$B$4)</f>
        <v>15.92</v>
      </c>
      <c r="E13785" s="14" t="str">
        <f aca="false">IF(C13785="","",C13785*D13785/100)</f>
        <v/>
      </c>
      <c r="F13785" s="15" t="str">
        <f aca="false">IF(B13785&lt;5,"Go","Standard")</f>
        <v>Go</v>
      </c>
    </row>
    <row r="13786" customFormat="false" ht="15" hidden="false" customHeight="true" outlineLevel="0" collapsed="false">
      <c r="A13786" s="10" t="n">
        <f aca="false">Einstellungen!$B$5+INT((ROW()-9)/24)</f>
        <v>46540</v>
      </c>
      <c r="B13786" s="11" t="n">
        <f aca="false">MOD(ROW()-9,24)</f>
        <v>1</v>
      </c>
      <c r="C13786" s="12"/>
      <c r="D13786" s="13" t="n">
        <f aca="false">IF(B13786&lt;5,Einstellungen!$B$3,Einstellungen!$B$4)</f>
        <v>15.92</v>
      </c>
      <c r="E13786" s="14" t="str">
        <f aca="false">IF(C13786="","",C13786*D13786/100)</f>
        <v/>
      </c>
      <c r="F13786" s="15" t="str">
        <f aca="false">IF(B13786&lt;5,"Go","Standard")</f>
        <v>Go</v>
      </c>
    </row>
    <row r="13787" customFormat="false" ht="15" hidden="false" customHeight="true" outlineLevel="0" collapsed="false">
      <c r="A13787" s="10" t="n">
        <f aca="false">Einstellungen!$B$5+INT((ROW()-9)/24)</f>
        <v>46540</v>
      </c>
      <c r="B13787" s="11" t="n">
        <f aca="false">MOD(ROW()-9,24)</f>
        <v>2</v>
      </c>
      <c r="C13787" s="12"/>
      <c r="D13787" s="13" t="n">
        <f aca="false">IF(B13787&lt;5,Einstellungen!$B$3,Einstellungen!$B$4)</f>
        <v>15.92</v>
      </c>
      <c r="E13787" s="14" t="str">
        <f aca="false">IF(C13787="","",C13787*D13787/100)</f>
        <v/>
      </c>
      <c r="F13787" s="15" t="str">
        <f aca="false">IF(B13787&lt;5,"Go","Standard")</f>
        <v>Go</v>
      </c>
    </row>
    <row r="13788" customFormat="false" ht="15" hidden="false" customHeight="true" outlineLevel="0" collapsed="false">
      <c r="A13788" s="10" t="n">
        <f aca="false">Einstellungen!$B$5+INT((ROW()-9)/24)</f>
        <v>46540</v>
      </c>
      <c r="B13788" s="11" t="n">
        <f aca="false">MOD(ROW()-9,24)</f>
        <v>3</v>
      </c>
      <c r="C13788" s="12"/>
      <c r="D13788" s="13" t="n">
        <f aca="false">IF(B13788&lt;5,Einstellungen!$B$3,Einstellungen!$B$4)</f>
        <v>15.92</v>
      </c>
      <c r="E13788" s="14" t="str">
        <f aca="false">IF(C13788="","",C13788*D13788/100)</f>
        <v/>
      </c>
      <c r="F13788" s="15" t="str">
        <f aca="false">IF(B13788&lt;5,"Go","Standard")</f>
        <v>Go</v>
      </c>
    </row>
    <row r="13789" customFormat="false" ht="15" hidden="false" customHeight="true" outlineLevel="0" collapsed="false">
      <c r="A13789" s="10" t="n">
        <f aca="false">Einstellungen!$B$5+INT((ROW()-9)/24)</f>
        <v>46540</v>
      </c>
      <c r="B13789" s="11" t="n">
        <f aca="false">MOD(ROW()-9,24)</f>
        <v>4</v>
      </c>
      <c r="C13789" s="12"/>
      <c r="D13789" s="13" t="n">
        <f aca="false">IF(B13789&lt;5,Einstellungen!$B$3,Einstellungen!$B$4)</f>
        <v>15.92</v>
      </c>
      <c r="E13789" s="14" t="str">
        <f aca="false">IF(C13789="","",C13789*D13789/100)</f>
        <v/>
      </c>
      <c r="F13789" s="15" t="str">
        <f aca="false">IF(B13789&lt;5,"Go","Standard")</f>
        <v>Go</v>
      </c>
    </row>
    <row r="13790" customFormat="false" ht="15" hidden="false" customHeight="true" outlineLevel="0" collapsed="false">
      <c r="A13790" s="10" t="n">
        <f aca="false">Einstellungen!$B$5+INT((ROW()-9)/24)</f>
        <v>46540</v>
      </c>
      <c r="B13790" s="11" t="n">
        <f aca="false">MOD(ROW()-9,24)</f>
        <v>5</v>
      </c>
      <c r="C13790" s="12"/>
      <c r="D13790" s="13" t="n">
        <f aca="false">IF(B13790&lt;5,Einstellungen!$B$3,Einstellungen!$B$4)</f>
        <v>29.13</v>
      </c>
      <c r="E13790" s="14" t="str">
        <f aca="false">IF(C13790="","",C13790*D13790/100)</f>
        <v/>
      </c>
      <c r="F13790" s="15" t="str">
        <f aca="false">IF(B13790&lt;5,"Go","Standard")</f>
        <v>Standard</v>
      </c>
    </row>
    <row r="13791" customFormat="false" ht="15" hidden="false" customHeight="true" outlineLevel="0" collapsed="false">
      <c r="A13791" s="10" t="n">
        <f aca="false">Einstellungen!$B$5+INT((ROW()-9)/24)</f>
        <v>46540</v>
      </c>
      <c r="B13791" s="11" t="n">
        <f aca="false">MOD(ROW()-9,24)</f>
        <v>6</v>
      </c>
      <c r="C13791" s="12"/>
      <c r="D13791" s="13" t="n">
        <f aca="false">IF(B13791&lt;5,Einstellungen!$B$3,Einstellungen!$B$4)</f>
        <v>29.13</v>
      </c>
      <c r="E13791" s="14" t="str">
        <f aca="false">IF(C13791="","",C13791*D13791/100)</f>
        <v/>
      </c>
      <c r="F13791" s="15" t="str">
        <f aca="false">IF(B13791&lt;5,"Go","Standard")</f>
        <v>Standard</v>
      </c>
    </row>
    <row r="13792" customFormat="false" ht="15" hidden="false" customHeight="true" outlineLevel="0" collapsed="false">
      <c r="A13792" s="10" t="n">
        <f aca="false">Einstellungen!$B$5+INT((ROW()-9)/24)</f>
        <v>46540</v>
      </c>
      <c r="B13792" s="11" t="n">
        <f aca="false">MOD(ROW()-9,24)</f>
        <v>7</v>
      </c>
      <c r="C13792" s="12"/>
      <c r="D13792" s="13" t="n">
        <f aca="false">IF(B13792&lt;5,Einstellungen!$B$3,Einstellungen!$B$4)</f>
        <v>29.13</v>
      </c>
      <c r="E13792" s="14" t="str">
        <f aca="false">IF(C13792="","",C13792*D13792/100)</f>
        <v/>
      </c>
      <c r="F13792" s="15" t="str">
        <f aca="false">IF(B13792&lt;5,"Go","Standard")</f>
        <v>Standard</v>
      </c>
    </row>
    <row r="13793" customFormat="false" ht="15" hidden="false" customHeight="true" outlineLevel="0" collapsed="false">
      <c r="A13793" s="10" t="n">
        <f aca="false">Einstellungen!$B$5+INT((ROW()-9)/24)</f>
        <v>46540</v>
      </c>
      <c r="B13793" s="11" t="n">
        <f aca="false">MOD(ROW()-9,24)</f>
        <v>8</v>
      </c>
      <c r="C13793" s="12"/>
      <c r="D13793" s="13" t="n">
        <f aca="false">IF(B13793&lt;5,Einstellungen!$B$3,Einstellungen!$B$4)</f>
        <v>29.13</v>
      </c>
      <c r="E13793" s="14" t="str">
        <f aca="false">IF(C13793="","",C13793*D13793/100)</f>
        <v/>
      </c>
      <c r="F13793" s="15" t="str">
        <f aca="false">IF(B13793&lt;5,"Go","Standard")</f>
        <v>Standard</v>
      </c>
    </row>
    <row r="13794" customFormat="false" ht="15" hidden="false" customHeight="true" outlineLevel="0" collapsed="false">
      <c r="A13794" s="10" t="n">
        <f aca="false">Einstellungen!$B$5+INT((ROW()-9)/24)</f>
        <v>46540</v>
      </c>
      <c r="B13794" s="11" t="n">
        <f aca="false">MOD(ROW()-9,24)</f>
        <v>9</v>
      </c>
      <c r="C13794" s="12"/>
      <c r="D13794" s="13" t="n">
        <f aca="false">IF(B13794&lt;5,Einstellungen!$B$3,Einstellungen!$B$4)</f>
        <v>29.13</v>
      </c>
      <c r="E13794" s="14" t="str">
        <f aca="false">IF(C13794="","",C13794*D13794/100)</f>
        <v/>
      </c>
      <c r="F13794" s="15" t="str">
        <f aca="false">IF(B13794&lt;5,"Go","Standard")</f>
        <v>Standard</v>
      </c>
    </row>
    <row r="13795" customFormat="false" ht="15" hidden="false" customHeight="true" outlineLevel="0" collapsed="false">
      <c r="A13795" s="10" t="n">
        <f aca="false">Einstellungen!$B$5+INT((ROW()-9)/24)</f>
        <v>46540</v>
      </c>
      <c r="B13795" s="11" t="n">
        <f aca="false">MOD(ROW()-9,24)</f>
        <v>10</v>
      </c>
      <c r="C13795" s="12"/>
      <c r="D13795" s="13" t="n">
        <f aca="false">IF(B13795&lt;5,Einstellungen!$B$3,Einstellungen!$B$4)</f>
        <v>29.13</v>
      </c>
      <c r="E13795" s="14" t="str">
        <f aca="false">IF(C13795="","",C13795*D13795/100)</f>
        <v/>
      </c>
      <c r="F13795" s="15" t="str">
        <f aca="false">IF(B13795&lt;5,"Go","Standard")</f>
        <v>Standard</v>
      </c>
    </row>
    <row r="13796" customFormat="false" ht="15" hidden="false" customHeight="true" outlineLevel="0" collapsed="false">
      <c r="A13796" s="10" t="n">
        <f aca="false">Einstellungen!$B$5+INT((ROW()-9)/24)</f>
        <v>46540</v>
      </c>
      <c r="B13796" s="11" t="n">
        <f aca="false">MOD(ROW()-9,24)</f>
        <v>11</v>
      </c>
      <c r="C13796" s="12"/>
      <c r="D13796" s="13" t="n">
        <f aca="false">IF(B13796&lt;5,Einstellungen!$B$3,Einstellungen!$B$4)</f>
        <v>29.13</v>
      </c>
      <c r="E13796" s="14" t="str">
        <f aca="false">IF(C13796="","",C13796*D13796/100)</f>
        <v/>
      </c>
      <c r="F13796" s="15" t="str">
        <f aca="false">IF(B13796&lt;5,"Go","Standard")</f>
        <v>Standard</v>
      </c>
    </row>
    <row r="13797" customFormat="false" ht="15" hidden="false" customHeight="true" outlineLevel="0" collapsed="false">
      <c r="A13797" s="10" t="n">
        <f aca="false">Einstellungen!$B$5+INT((ROW()-9)/24)</f>
        <v>46540</v>
      </c>
      <c r="B13797" s="11" t="n">
        <f aca="false">MOD(ROW()-9,24)</f>
        <v>12</v>
      </c>
      <c r="C13797" s="12"/>
      <c r="D13797" s="13" t="n">
        <f aca="false">IF(B13797&lt;5,Einstellungen!$B$3,Einstellungen!$B$4)</f>
        <v>29.13</v>
      </c>
      <c r="E13797" s="14" t="str">
        <f aca="false">IF(C13797="","",C13797*D13797/100)</f>
        <v/>
      </c>
      <c r="F13797" s="15" t="str">
        <f aca="false">IF(B13797&lt;5,"Go","Standard")</f>
        <v>Standard</v>
      </c>
    </row>
    <row r="13798" customFormat="false" ht="15" hidden="false" customHeight="true" outlineLevel="0" collapsed="false">
      <c r="A13798" s="10" t="n">
        <f aca="false">Einstellungen!$B$5+INT((ROW()-9)/24)</f>
        <v>46540</v>
      </c>
      <c r="B13798" s="11" t="n">
        <f aca="false">MOD(ROW()-9,24)</f>
        <v>13</v>
      </c>
      <c r="C13798" s="12"/>
      <c r="D13798" s="13" t="n">
        <f aca="false">IF(B13798&lt;5,Einstellungen!$B$3,Einstellungen!$B$4)</f>
        <v>29.13</v>
      </c>
      <c r="E13798" s="14" t="str">
        <f aca="false">IF(C13798="","",C13798*D13798/100)</f>
        <v/>
      </c>
      <c r="F13798" s="15" t="str">
        <f aca="false">IF(B13798&lt;5,"Go","Standard")</f>
        <v>Standard</v>
      </c>
    </row>
    <row r="13799" customFormat="false" ht="15" hidden="false" customHeight="true" outlineLevel="0" collapsed="false">
      <c r="A13799" s="10" t="n">
        <f aca="false">Einstellungen!$B$5+INT((ROW()-9)/24)</f>
        <v>46540</v>
      </c>
      <c r="B13799" s="11" t="n">
        <f aca="false">MOD(ROW()-9,24)</f>
        <v>14</v>
      </c>
      <c r="C13799" s="12"/>
      <c r="D13799" s="13" t="n">
        <f aca="false">IF(B13799&lt;5,Einstellungen!$B$3,Einstellungen!$B$4)</f>
        <v>29.13</v>
      </c>
      <c r="E13799" s="14" t="str">
        <f aca="false">IF(C13799="","",C13799*D13799/100)</f>
        <v/>
      </c>
      <c r="F13799" s="15" t="str">
        <f aca="false">IF(B13799&lt;5,"Go","Standard")</f>
        <v>Standard</v>
      </c>
    </row>
    <row r="13800" customFormat="false" ht="15" hidden="false" customHeight="true" outlineLevel="0" collapsed="false">
      <c r="A13800" s="10" t="n">
        <f aca="false">Einstellungen!$B$5+INT((ROW()-9)/24)</f>
        <v>46540</v>
      </c>
      <c r="B13800" s="11" t="n">
        <f aca="false">MOD(ROW()-9,24)</f>
        <v>15</v>
      </c>
      <c r="C13800" s="12"/>
      <c r="D13800" s="13" t="n">
        <f aca="false">IF(B13800&lt;5,Einstellungen!$B$3,Einstellungen!$B$4)</f>
        <v>29.13</v>
      </c>
      <c r="E13800" s="14" t="str">
        <f aca="false">IF(C13800="","",C13800*D13800/100)</f>
        <v/>
      </c>
      <c r="F13800" s="15" t="str">
        <f aca="false">IF(B13800&lt;5,"Go","Standard")</f>
        <v>Standard</v>
      </c>
    </row>
    <row r="13801" customFormat="false" ht="15" hidden="false" customHeight="true" outlineLevel="0" collapsed="false">
      <c r="A13801" s="10" t="n">
        <f aca="false">Einstellungen!$B$5+INT((ROW()-9)/24)</f>
        <v>46540</v>
      </c>
      <c r="B13801" s="11" t="n">
        <f aca="false">MOD(ROW()-9,24)</f>
        <v>16</v>
      </c>
      <c r="C13801" s="12"/>
      <c r="D13801" s="13" t="n">
        <f aca="false">IF(B13801&lt;5,Einstellungen!$B$3,Einstellungen!$B$4)</f>
        <v>29.13</v>
      </c>
      <c r="E13801" s="14" t="str">
        <f aca="false">IF(C13801="","",C13801*D13801/100)</f>
        <v/>
      </c>
      <c r="F13801" s="15" t="str">
        <f aca="false">IF(B13801&lt;5,"Go","Standard")</f>
        <v>Standard</v>
      </c>
    </row>
    <row r="13802" customFormat="false" ht="15" hidden="false" customHeight="true" outlineLevel="0" collapsed="false">
      <c r="A13802" s="10" t="n">
        <f aca="false">Einstellungen!$B$5+INT((ROW()-9)/24)</f>
        <v>46540</v>
      </c>
      <c r="B13802" s="11" t="n">
        <f aca="false">MOD(ROW()-9,24)</f>
        <v>17</v>
      </c>
      <c r="C13802" s="12"/>
      <c r="D13802" s="13" t="n">
        <f aca="false">IF(B13802&lt;5,Einstellungen!$B$3,Einstellungen!$B$4)</f>
        <v>29.13</v>
      </c>
      <c r="E13802" s="14" t="str">
        <f aca="false">IF(C13802="","",C13802*D13802/100)</f>
        <v/>
      </c>
      <c r="F13802" s="15" t="str">
        <f aca="false">IF(B13802&lt;5,"Go","Standard")</f>
        <v>Standard</v>
      </c>
    </row>
    <row r="13803" customFormat="false" ht="15" hidden="false" customHeight="true" outlineLevel="0" collapsed="false">
      <c r="A13803" s="10" t="n">
        <f aca="false">Einstellungen!$B$5+INT((ROW()-9)/24)</f>
        <v>46540</v>
      </c>
      <c r="B13803" s="11" t="n">
        <f aca="false">MOD(ROW()-9,24)</f>
        <v>18</v>
      </c>
      <c r="C13803" s="12"/>
      <c r="D13803" s="13" t="n">
        <f aca="false">IF(B13803&lt;5,Einstellungen!$B$3,Einstellungen!$B$4)</f>
        <v>29.13</v>
      </c>
      <c r="E13803" s="14" t="str">
        <f aca="false">IF(C13803="","",C13803*D13803/100)</f>
        <v/>
      </c>
      <c r="F13803" s="15" t="str">
        <f aca="false">IF(B13803&lt;5,"Go","Standard")</f>
        <v>Standard</v>
      </c>
    </row>
    <row r="13804" customFormat="false" ht="15" hidden="false" customHeight="true" outlineLevel="0" collapsed="false">
      <c r="A13804" s="10" t="n">
        <f aca="false">Einstellungen!$B$5+INT((ROW()-9)/24)</f>
        <v>46540</v>
      </c>
      <c r="B13804" s="11" t="n">
        <f aca="false">MOD(ROW()-9,24)</f>
        <v>19</v>
      </c>
      <c r="C13804" s="12"/>
      <c r="D13804" s="13" t="n">
        <f aca="false">IF(B13804&lt;5,Einstellungen!$B$3,Einstellungen!$B$4)</f>
        <v>29.13</v>
      </c>
      <c r="E13804" s="14" t="str">
        <f aca="false">IF(C13804="","",C13804*D13804/100)</f>
        <v/>
      </c>
      <c r="F13804" s="15" t="str">
        <f aca="false">IF(B13804&lt;5,"Go","Standard")</f>
        <v>Standard</v>
      </c>
    </row>
    <row r="13805" customFormat="false" ht="15" hidden="false" customHeight="true" outlineLevel="0" collapsed="false">
      <c r="A13805" s="10" t="n">
        <f aca="false">Einstellungen!$B$5+INT((ROW()-9)/24)</f>
        <v>46540</v>
      </c>
      <c r="B13805" s="11" t="n">
        <f aca="false">MOD(ROW()-9,24)</f>
        <v>20</v>
      </c>
      <c r="C13805" s="12"/>
      <c r="D13805" s="13" t="n">
        <f aca="false">IF(B13805&lt;5,Einstellungen!$B$3,Einstellungen!$B$4)</f>
        <v>29.13</v>
      </c>
      <c r="E13805" s="14" t="str">
        <f aca="false">IF(C13805="","",C13805*D13805/100)</f>
        <v/>
      </c>
      <c r="F13805" s="15" t="str">
        <f aca="false">IF(B13805&lt;5,"Go","Standard")</f>
        <v>Standard</v>
      </c>
    </row>
    <row r="13806" customFormat="false" ht="15" hidden="false" customHeight="true" outlineLevel="0" collapsed="false">
      <c r="A13806" s="10" t="n">
        <f aca="false">Einstellungen!$B$5+INT((ROW()-9)/24)</f>
        <v>46540</v>
      </c>
      <c r="B13806" s="11" t="n">
        <f aca="false">MOD(ROW()-9,24)</f>
        <v>21</v>
      </c>
      <c r="C13806" s="12"/>
      <c r="D13806" s="13" t="n">
        <f aca="false">IF(B13806&lt;5,Einstellungen!$B$3,Einstellungen!$B$4)</f>
        <v>29.13</v>
      </c>
      <c r="E13806" s="14" t="str">
        <f aca="false">IF(C13806="","",C13806*D13806/100)</f>
        <v/>
      </c>
      <c r="F13806" s="15" t="str">
        <f aca="false">IF(B13806&lt;5,"Go","Standard")</f>
        <v>Standard</v>
      </c>
    </row>
    <row r="13807" customFormat="false" ht="15" hidden="false" customHeight="true" outlineLevel="0" collapsed="false">
      <c r="A13807" s="10" t="n">
        <f aca="false">Einstellungen!$B$5+INT((ROW()-9)/24)</f>
        <v>46540</v>
      </c>
      <c r="B13807" s="11" t="n">
        <f aca="false">MOD(ROW()-9,24)</f>
        <v>22</v>
      </c>
      <c r="C13807" s="12"/>
      <c r="D13807" s="13" t="n">
        <f aca="false">IF(B13807&lt;5,Einstellungen!$B$3,Einstellungen!$B$4)</f>
        <v>29.13</v>
      </c>
      <c r="E13807" s="14" t="str">
        <f aca="false">IF(C13807="","",C13807*D13807/100)</f>
        <v/>
      </c>
      <c r="F13807" s="15" t="str">
        <f aca="false">IF(B13807&lt;5,"Go","Standard")</f>
        <v>Standard</v>
      </c>
    </row>
    <row r="13808" customFormat="false" ht="15" hidden="false" customHeight="true" outlineLevel="0" collapsed="false">
      <c r="A13808" s="10" t="n">
        <f aca="false">Einstellungen!$B$5+INT((ROW()-9)/24)</f>
        <v>46540</v>
      </c>
      <c r="B13808" s="11" t="n">
        <f aca="false">MOD(ROW()-9,24)</f>
        <v>23</v>
      </c>
      <c r="C13808" s="12"/>
      <c r="D13808" s="13" t="n">
        <f aca="false">IF(B13808&lt;5,Einstellungen!$B$3,Einstellungen!$B$4)</f>
        <v>29.13</v>
      </c>
      <c r="E13808" s="14" t="str">
        <f aca="false">IF(C13808="","",C13808*D13808/100)</f>
        <v/>
      </c>
      <c r="F13808" s="15" t="str">
        <f aca="false">IF(B13808&lt;5,"Go","Standard")</f>
        <v>Standard</v>
      </c>
    </row>
    <row r="13809" customFormat="false" ht="15" hidden="false" customHeight="true" outlineLevel="0" collapsed="false">
      <c r="A13809" s="10" t="n">
        <f aca="false">Einstellungen!$B$5+INT((ROW()-9)/24)</f>
        <v>46541</v>
      </c>
      <c r="B13809" s="11" t="n">
        <f aca="false">MOD(ROW()-9,24)</f>
        <v>0</v>
      </c>
      <c r="C13809" s="12"/>
      <c r="D13809" s="13" t="n">
        <f aca="false">IF(B13809&lt;5,Einstellungen!$B$3,Einstellungen!$B$4)</f>
        <v>15.92</v>
      </c>
      <c r="E13809" s="14" t="str">
        <f aca="false">IF(C13809="","",C13809*D13809/100)</f>
        <v/>
      </c>
      <c r="F13809" s="15" t="str">
        <f aca="false">IF(B13809&lt;5,"Go","Standard")</f>
        <v>Go</v>
      </c>
    </row>
    <row r="13810" customFormat="false" ht="15" hidden="false" customHeight="true" outlineLevel="0" collapsed="false">
      <c r="A13810" s="10" t="n">
        <f aca="false">Einstellungen!$B$5+INT((ROW()-9)/24)</f>
        <v>46541</v>
      </c>
      <c r="B13810" s="11" t="n">
        <f aca="false">MOD(ROW()-9,24)</f>
        <v>1</v>
      </c>
      <c r="C13810" s="12"/>
      <c r="D13810" s="13" t="n">
        <f aca="false">IF(B13810&lt;5,Einstellungen!$B$3,Einstellungen!$B$4)</f>
        <v>15.92</v>
      </c>
      <c r="E13810" s="14" t="str">
        <f aca="false">IF(C13810="","",C13810*D13810/100)</f>
        <v/>
      </c>
      <c r="F13810" s="15" t="str">
        <f aca="false">IF(B13810&lt;5,"Go","Standard")</f>
        <v>Go</v>
      </c>
    </row>
    <row r="13811" customFormat="false" ht="15" hidden="false" customHeight="true" outlineLevel="0" collapsed="false">
      <c r="A13811" s="10" t="n">
        <f aca="false">Einstellungen!$B$5+INT((ROW()-9)/24)</f>
        <v>46541</v>
      </c>
      <c r="B13811" s="11" t="n">
        <f aca="false">MOD(ROW()-9,24)</f>
        <v>2</v>
      </c>
      <c r="C13811" s="12"/>
      <c r="D13811" s="13" t="n">
        <f aca="false">IF(B13811&lt;5,Einstellungen!$B$3,Einstellungen!$B$4)</f>
        <v>15.92</v>
      </c>
      <c r="E13811" s="14" t="str">
        <f aca="false">IF(C13811="","",C13811*D13811/100)</f>
        <v/>
      </c>
      <c r="F13811" s="15" t="str">
        <f aca="false">IF(B13811&lt;5,"Go","Standard")</f>
        <v>Go</v>
      </c>
    </row>
    <row r="13812" customFormat="false" ht="15" hidden="false" customHeight="true" outlineLevel="0" collapsed="false">
      <c r="A13812" s="10" t="n">
        <f aca="false">Einstellungen!$B$5+INT((ROW()-9)/24)</f>
        <v>46541</v>
      </c>
      <c r="B13812" s="11" t="n">
        <f aca="false">MOD(ROW()-9,24)</f>
        <v>3</v>
      </c>
      <c r="C13812" s="12"/>
      <c r="D13812" s="13" t="n">
        <f aca="false">IF(B13812&lt;5,Einstellungen!$B$3,Einstellungen!$B$4)</f>
        <v>15.92</v>
      </c>
      <c r="E13812" s="14" t="str">
        <f aca="false">IF(C13812="","",C13812*D13812/100)</f>
        <v/>
      </c>
      <c r="F13812" s="15" t="str">
        <f aca="false">IF(B13812&lt;5,"Go","Standard")</f>
        <v>Go</v>
      </c>
    </row>
    <row r="13813" customFormat="false" ht="15" hidden="false" customHeight="true" outlineLevel="0" collapsed="false">
      <c r="A13813" s="10" t="n">
        <f aca="false">Einstellungen!$B$5+INT((ROW()-9)/24)</f>
        <v>46541</v>
      </c>
      <c r="B13813" s="11" t="n">
        <f aca="false">MOD(ROW()-9,24)</f>
        <v>4</v>
      </c>
      <c r="C13813" s="12"/>
      <c r="D13813" s="13" t="n">
        <f aca="false">IF(B13813&lt;5,Einstellungen!$B$3,Einstellungen!$B$4)</f>
        <v>15.92</v>
      </c>
      <c r="E13813" s="14" t="str">
        <f aca="false">IF(C13813="","",C13813*D13813/100)</f>
        <v/>
      </c>
      <c r="F13813" s="15" t="str">
        <f aca="false">IF(B13813&lt;5,"Go","Standard")</f>
        <v>Go</v>
      </c>
    </row>
    <row r="13814" customFormat="false" ht="15" hidden="false" customHeight="true" outlineLevel="0" collapsed="false">
      <c r="A13814" s="10" t="n">
        <f aca="false">Einstellungen!$B$5+INT((ROW()-9)/24)</f>
        <v>46541</v>
      </c>
      <c r="B13814" s="11" t="n">
        <f aca="false">MOD(ROW()-9,24)</f>
        <v>5</v>
      </c>
      <c r="C13814" s="12"/>
      <c r="D13814" s="13" t="n">
        <f aca="false">IF(B13814&lt;5,Einstellungen!$B$3,Einstellungen!$B$4)</f>
        <v>29.13</v>
      </c>
      <c r="E13814" s="14" t="str">
        <f aca="false">IF(C13814="","",C13814*D13814/100)</f>
        <v/>
      </c>
      <c r="F13814" s="15" t="str">
        <f aca="false">IF(B13814&lt;5,"Go","Standard")</f>
        <v>Standard</v>
      </c>
    </row>
    <row r="13815" customFormat="false" ht="15" hidden="false" customHeight="true" outlineLevel="0" collapsed="false">
      <c r="A13815" s="10" t="n">
        <f aca="false">Einstellungen!$B$5+INT((ROW()-9)/24)</f>
        <v>46541</v>
      </c>
      <c r="B13815" s="11" t="n">
        <f aca="false">MOD(ROW()-9,24)</f>
        <v>6</v>
      </c>
      <c r="C13815" s="12"/>
      <c r="D13815" s="13" t="n">
        <f aca="false">IF(B13815&lt;5,Einstellungen!$B$3,Einstellungen!$B$4)</f>
        <v>29.13</v>
      </c>
      <c r="E13815" s="14" t="str">
        <f aca="false">IF(C13815="","",C13815*D13815/100)</f>
        <v/>
      </c>
      <c r="F13815" s="15" t="str">
        <f aca="false">IF(B13815&lt;5,"Go","Standard")</f>
        <v>Standard</v>
      </c>
    </row>
    <row r="13816" customFormat="false" ht="15" hidden="false" customHeight="true" outlineLevel="0" collapsed="false">
      <c r="A13816" s="10" t="n">
        <f aca="false">Einstellungen!$B$5+INT((ROW()-9)/24)</f>
        <v>46541</v>
      </c>
      <c r="B13816" s="11" t="n">
        <f aca="false">MOD(ROW()-9,24)</f>
        <v>7</v>
      </c>
      <c r="C13816" s="12"/>
      <c r="D13816" s="13" t="n">
        <f aca="false">IF(B13816&lt;5,Einstellungen!$B$3,Einstellungen!$B$4)</f>
        <v>29.13</v>
      </c>
      <c r="E13816" s="14" t="str">
        <f aca="false">IF(C13816="","",C13816*D13816/100)</f>
        <v/>
      </c>
      <c r="F13816" s="15" t="str">
        <f aca="false">IF(B13816&lt;5,"Go","Standard")</f>
        <v>Standard</v>
      </c>
    </row>
    <row r="13817" customFormat="false" ht="15" hidden="false" customHeight="true" outlineLevel="0" collapsed="false">
      <c r="A13817" s="10" t="n">
        <f aca="false">Einstellungen!$B$5+INT((ROW()-9)/24)</f>
        <v>46541</v>
      </c>
      <c r="B13817" s="11" t="n">
        <f aca="false">MOD(ROW()-9,24)</f>
        <v>8</v>
      </c>
      <c r="C13817" s="12"/>
      <c r="D13817" s="13" t="n">
        <f aca="false">IF(B13817&lt;5,Einstellungen!$B$3,Einstellungen!$B$4)</f>
        <v>29.13</v>
      </c>
      <c r="E13817" s="14" t="str">
        <f aca="false">IF(C13817="","",C13817*D13817/100)</f>
        <v/>
      </c>
      <c r="F13817" s="15" t="str">
        <f aca="false">IF(B13817&lt;5,"Go","Standard")</f>
        <v>Standard</v>
      </c>
    </row>
    <row r="13818" customFormat="false" ht="15" hidden="false" customHeight="true" outlineLevel="0" collapsed="false">
      <c r="A13818" s="10" t="n">
        <f aca="false">Einstellungen!$B$5+INT((ROW()-9)/24)</f>
        <v>46541</v>
      </c>
      <c r="B13818" s="11" t="n">
        <f aca="false">MOD(ROW()-9,24)</f>
        <v>9</v>
      </c>
      <c r="C13818" s="12"/>
      <c r="D13818" s="13" t="n">
        <f aca="false">IF(B13818&lt;5,Einstellungen!$B$3,Einstellungen!$B$4)</f>
        <v>29.13</v>
      </c>
      <c r="E13818" s="14" t="str">
        <f aca="false">IF(C13818="","",C13818*D13818/100)</f>
        <v/>
      </c>
      <c r="F13818" s="15" t="str">
        <f aca="false">IF(B13818&lt;5,"Go","Standard")</f>
        <v>Standard</v>
      </c>
    </row>
    <row r="13819" customFormat="false" ht="15" hidden="false" customHeight="true" outlineLevel="0" collapsed="false">
      <c r="A13819" s="10" t="n">
        <f aca="false">Einstellungen!$B$5+INT((ROW()-9)/24)</f>
        <v>46541</v>
      </c>
      <c r="B13819" s="11" t="n">
        <f aca="false">MOD(ROW()-9,24)</f>
        <v>10</v>
      </c>
      <c r="C13819" s="12"/>
      <c r="D13819" s="13" t="n">
        <f aca="false">IF(B13819&lt;5,Einstellungen!$B$3,Einstellungen!$B$4)</f>
        <v>29.13</v>
      </c>
      <c r="E13819" s="14" t="str">
        <f aca="false">IF(C13819="","",C13819*D13819/100)</f>
        <v/>
      </c>
      <c r="F13819" s="15" t="str">
        <f aca="false">IF(B13819&lt;5,"Go","Standard")</f>
        <v>Standard</v>
      </c>
    </row>
    <row r="13820" customFormat="false" ht="15" hidden="false" customHeight="true" outlineLevel="0" collapsed="false">
      <c r="A13820" s="10" t="n">
        <f aca="false">Einstellungen!$B$5+INT((ROW()-9)/24)</f>
        <v>46541</v>
      </c>
      <c r="B13820" s="11" t="n">
        <f aca="false">MOD(ROW()-9,24)</f>
        <v>11</v>
      </c>
      <c r="C13820" s="12"/>
      <c r="D13820" s="13" t="n">
        <f aca="false">IF(B13820&lt;5,Einstellungen!$B$3,Einstellungen!$B$4)</f>
        <v>29.13</v>
      </c>
      <c r="E13820" s="14" t="str">
        <f aca="false">IF(C13820="","",C13820*D13820/100)</f>
        <v/>
      </c>
      <c r="F13820" s="15" t="str">
        <f aca="false">IF(B13820&lt;5,"Go","Standard")</f>
        <v>Standard</v>
      </c>
    </row>
    <row r="13821" customFormat="false" ht="15" hidden="false" customHeight="true" outlineLevel="0" collapsed="false">
      <c r="A13821" s="10" t="n">
        <f aca="false">Einstellungen!$B$5+INT((ROW()-9)/24)</f>
        <v>46541</v>
      </c>
      <c r="B13821" s="11" t="n">
        <f aca="false">MOD(ROW()-9,24)</f>
        <v>12</v>
      </c>
      <c r="C13821" s="12"/>
      <c r="D13821" s="13" t="n">
        <f aca="false">IF(B13821&lt;5,Einstellungen!$B$3,Einstellungen!$B$4)</f>
        <v>29.13</v>
      </c>
      <c r="E13821" s="14" t="str">
        <f aca="false">IF(C13821="","",C13821*D13821/100)</f>
        <v/>
      </c>
      <c r="F13821" s="15" t="str">
        <f aca="false">IF(B13821&lt;5,"Go","Standard")</f>
        <v>Standard</v>
      </c>
    </row>
    <row r="13822" customFormat="false" ht="15" hidden="false" customHeight="true" outlineLevel="0" collapsed="false">
      <c r="A13822" s="10" t="n">
        <f aca="false">Einstellungen!$B$5+INT((ROW()-9)/24)</f>
        <v>46541</v>
      </c>
      <c r="B13822" s="11" t="n">
        <f aca="false">MOD(ROW()-9,24)</f>
        <v>13</v>
      </c>
      <c r="C13822" s="12"/>
      <c r="D13822" s="13" t="n">
        <f aca="false">IF(B13822&lt;5,Einstellungen!$B$3,Einstellungen!$B$4)</f>
        <v>29.13</v>
      </c>
      <c r="E13822" s="14" t="str">
        <f aca="false">IF(C13822="","",C13822*D13822/100)</f>
        <v/>
      </c>
      <c r="F13822" s="15" t="str">
        <f aca="false">IF(B13822&lt;5,"Go","Standard")</f>
        <v>Standard</v>
      </c>
    </row>
    <row r="13823" customFormat="false" ht="15" hidden="false" customHeight="true" outlineLevel="0" collapsed="false">
      <c r="A13823" s="10" t="n">
        <f aca="false">Einstellungen!$B$5+INT((ROW()-9)/24)</f>
        <v>46541</v>
      </c>
      <c r="B13823" s="11" t="n">
        <f aca="false">MOD(ROW()-9,24)</f>
        <v>14</v>
      </c>
      <c r="C13823" s="12"/>
      <c r="D13823" s="13" t="n">
        <f aca="false">IF(B13823&lt;5,Einstellungen!$B$3,Einstellungen!$B$4)</f>
        <v>29.13</v>
      </c>
      <c r="E13823" s="14" t="str">
        <f aca="false">IF(C13823="","",C13823*D13823/100)</f>
        <v/>
      </c>
      <c r="F13823" s="15" t="str">
        <f aca="false">IF(B13823&lt;5,"Go","Standard")</f>
        <v>Standard</v>
      </c>
    </row>
    <row r="13824" customFormat="false" ht="15" hidden="false" customHeight="true" outlineLevel="0" collapsed="false">
      <c r="A13824" s="10" t="n">
        <f aca="false">Einstellungen!$B$5+INT((ROW()-9)/24)</f>
        <v>46541</v>
      </c>
      <c r="B13824" s="11" t="n">
        <f aca="false">MOD(ROW()-9,24)</f>
        <v>15</v>
      </c>
      <c r="C13824" s="12"/>
      <c r="D13824" s="13" t="n">
        <f aca="false">IF(B13824&lt;5,Einstellungen!$B$3,Einstellungen!$B$4)</f>
        <v>29.13</v>
      </c>
      <c r="E13824" s="14" t="str">
        <f aca="false">IF(C13824="","",C13824*D13824/100)</f>
        <v/>
      </c>
      <c r="F13824" s="15" t="str">
        <f aca="false">IF(B13824&lt;5,"Go","Standard")</f>
        <v>Standard</v>
      </c>
    </row>
    <row r="13825" customFormat="false" ht="15" hidden="false" customHeight="true" outlineLevel="0" collapsed="false">
      <c r="A13825" s="10" t="n">
        <f aca="false">Einstellungen!$B$5+INT((ROW()-9)/24)</f>
        <v>46541</v>
      </c>
      <c r="B13825" s="11" t="n">
        <f aca="false">MOD(ROW()-9,24)</f>
        <v>16</v>
      </c>
      <c r="C13825" s="12"/>
      <c r="D13825" s="13" t="n">
        <f aca="false">IF(B13825&lt;5,Einstellungen!$B$3,Einstellungen!$B$4)</f>
        <v>29.13</v>
      </c>
      <c r="E13825" s="14" t="str">
        <f aca="false">IF(C13825="","",C13825*D13825/100)</f>
        <v/>
      </c>
      <c r="F13825" s="15" t="str">
        <f aca="false">IF(B13825&lt;5,"Go","Standard")</f>
        <v>Standard</v>
      </c>
    </row>
    <row r="13826" customFormat="false" ht="15" hidden="false" customHeight="true" outlineLevel="0" collapsed="false">
      <c r="A13826" s="10" t="n">
        <f aca="false">Einstellungen!$B$5+INT((ROW()-9)/24)</f>
        <v>46541</v>
      </c>
      <c r="B13826" s="11" t="n">
        <f aca="false">MOD(ROW()-9,24)</f>
        <v>17</v>
      </c>
      <c r="C13826" s="12"/>
      <c r="D13826" s="13" t="n">
        <f aca="false">IF(B13826&lt;5,Einstellungen!$B$3,Einstellungen!$B$4)</f>
        <v>29.13</v>
      </c>
      <c r="E13826" s="14" t="str">
        <f aca="false">IF(C13826="","",C13826*D13826/100)</f>
        <v/>
      </c>
      <c r="F13826" s="15" t="str">
        <f aca="false">IF(B13826&lt;5,"Go","Standard")</f>
        <v>Standard</v>
      </c>
    </row>
    <row r="13827" customFormat="false" ht="15" hidden="false" customHeight="true" outlineLevel="0" collapsed="false">
      <c r="A13827" s="10" t="n">
        <f aca="false">Einstellungen!$B$5+INT((ROW()-9)/24)</f>
        <v>46541</v>
      </c>
      <c r="B13827" s="11" t="n">
        <f aca="false">MOD(ROW()-9,24)</f>
        <v>18</v>
      </c>
      <c r="C13827" s="12"/>
      <c r="D13827" s="13" t="n">
        <f aca="false">IF(B13827&lt;5,Einstellungen!$B$3,Einstellungen!$B$4)</f>
        <v>29.13</v>
      </c>
      <c r="E13827" s="14" t="str">
        <f aca="false">IF(C13827="","",C13827*D13827/100)</f>
        <v/>
      </c>
      <c r="F13827" s="15" t="str">
        <f aca="false">IF(B13827&lt;5,"Go","Standard")</f>
        <v>Standard</v>
      </c>
    </row>
    <row r="13828" customFormat="false" ht="15" hidden="false" customHeight="true" outlineLevel="0" collapsed="false">
      <c r="A13828" s="10" t="n">
        <f aca="false">Einstellungen!$B$5+INT((ROW()-9)/24)</f>
        <v>46541</v>
      </c>
      <c r="B13828" s="11" t="n">
        <f aca="false">MOD(ROW()-9,24)</f>
        <v>19</v>
      </c>
      <c r="C13828" s="12"/>
      <c r="D13828" s="13" t="n">
        <f aca="false">IF(B13828&lt;5,Einstellungen!$B$3,Einstellungen!$B$4)</f>
        <v>29.13</v>
      </c>
      <c r="E13828" s="14" t="str">
        <f aca="false">IF(C13828="","",C13828*D13828/100)</f>
        <v/>
      </c>
      <c r="F13828" s="15" t="str">
        <f aca="false">IF(B13828&lt;5,"Go","Standard")</f>
        <v>Standard</v>
      </c>
    </row>
    <row r="13829" customFormat="false" ht="15" hidden="false" customHeight="true" outlineLevel="0" collapsed="false">
      <c r="A13829" s="10" t="n">
        <f aca="false">Einstellungen!$B$5+INT((ROW()-9)/24)</f>
        <v>46541</v>
      </c>
      <c r="B13829" s="11" t="n">
        <f aca="false">MOD(ROW()-9,24)</f>
        <v>20</v>
      </c>
      <c r="C13829" s="12"/>
      <c r="D13829" s="13" t="n">
        <f aca="false">IF(B13829&lt;5,Einstellungen!$B$3,Einstellungen!$B$4)</f>
        <v>29.13</v>
      </c>
      <c r="E13829" s="14" t="str">
        <f aca="false">IF(C13829="","",C13829*D13829/100)</f>
        <v/>
      </c>
      <c r="F13829" s="15" t="str">
        <f aca="false">IF(B13829&lt;5,"Go","Standard")</f>
        <v>Standard</v>
      </c>
    </row>
    <row r="13830" customFormat="false" ht="15" hidden="false" customHeight="true" outlineLevel="0" collapsed="false">
      <c r="A13830" s="10" t="n">
        <f aca="false">Einstellungen!$B$5+INT((ROW()-9)/24)</f>
        <v>46541</v>
      </c>
      <c r="B13830" s="11" t="n">
        <f aca="false">MOD(ROW()-9,24)</f>
        <v>21</v>
      </c>
      <c r="C13830" s="12"/>
      <c r="D13830" s="13" t="n">
        <f aca="false">IF(B13830&lt;5,Einstellungen!$B$3,Einstellungen!$B$4)</f>
        <v>29.13</v>
      </c>
      <c r="E13830" s="14" t="str">
        <f aca="false">IF(C13830="","",C13830*D13830/100)</f>
        <v/>
      </c>
      <c r="F13830" s="15" t="str">
        <f aca="false">IF(B13830&lt;5,"Go","Standard")</f>
        <v>Standard</v>
      </c>
    </row>
    <row r="13831" customFormat="false" ht="15" hidden="false" customHeight="true" outlineLevel="0" collapsed="false">
      <c r="A13831" s="10" t="n">
        <f aca="false">Einstellungen!$B$5+INT((ROW()-9)/24)</f>
        <v>46541</v>
      </c>
      <c r="B13831" s="11" t="n">
        <f aca="false">MOD(ROW()-9,24)</f>
        <v>22</v>
      </c>
      <c r="C13831" s="12"/>
      <c r="D13831" s="13" t="n">
        <f aca="false">IF(B13831&lt;5,Einstellungen!$B$3,Einstellungen!$B$4)</f>
        <v>29.13</v>
      </c>
      <c r="E13831" s="14" t="str">
        <f aca="false">IF(C13831="","",C13831*D13831/100)</f>
        <v/>
      </c>
      <c r="F13831" s="15" t="str">
        <f aca="false">IF(B13831&lt;5,"Go","Standard")</f>
        <v>Standard</v>
      </c>
    </row>
    <row r="13832" customFormat="false" ht="15" hidden="false" customHeight="true" outlineLevel="0" collapsed="false">
      <c r="A13832" s="10" t="n">
        <f aca="false">Einstellungen!$B$5+INT((ROW()-9)/24)</f>
        <v>46541</v>
      </c>
      <c r="B13832" s="11" t="n">
        <f aca="false">MOD(ROW()-9,24)</f>
        <v>23</v>
      </c>
      <c r="C13832" s="12"/>
      <c r="D13832" s="13" t="n">
        <f aca="false">IF(B13832&lt;5,Einstellungen!$B$3,Einstellungen!$B$4)</f>
        <v>29.13</v>
      </c>
      <c r="E13832" s="14" t="str">
        <f aca="false">IF(C13832="","",C13832*D13832/100)</f>
        <v/>
      </c>
      <c r="F13832" s="15" t="str">
        <f aca="false">IF(B13832&lt;5,"Go","Standard")</f>
        <v>Standard</v>
      </c>
    </row>
    <row r="13833" customFormat="false" ht="15" hidden="false" customHeight="true" outlineLevel="0" collapsed="false">
      <c r="A13833" s="10" t="n">
        <f aca="false">Einstellungen!$B$5+INT((ROW()-9)/24)</f>
        <v>46542</v>
      </c>
      <c r="B13833" s="11" t="n">
        <f aca="false">MOD(ROW()-9,24)</f>
        <v>0</v>
      </c>
      <c r="C13833" s="12"/>
      <c r="D13833" s="13" t="n">
        <f aca="false">IF(B13833&lt;5,Einstellungen!$B$3,Einstellungen!$B$4)</f>
        <v>15.92</v>
      </c>
      <c r="E13833" s="14" t="str">
        <f aca="false">IF(C13833="","",C13833*D13833/100)</f>
        <v/>
      </c>
      <c r="F13833" s="15" t="str">
        <f aca="false">IF(B13833&lt;5,"Go","Standard")</f>
        <v>Go</v>
      </c>
    </row>
    <row r="13834" customFormat="false" ht="15" hidden="false" customHeight="true" outlineLevel="0" collapsed="false">
      <c r="A13834" s="10" t="n">
        <f aca="false">Einstellungen!$B$5+INT((ROW()-9)/24)</f>
        <v>46542</v>
      </c>
      <c r="B13834" s="11" t="n">
        <f aca="false">MOD(ROW()-9,24)</f>
        <v>1</v>
      </c>
      <c r="C13834" s="12"/>
      <c r="D13834" s="13" t="n">
        <f aca="false">IF(B13834&lt;5,Einstellungen!$B$3,Einstellungen!$B$4)</f>
        <v>15.92</v>
      </c>
      <c r="E13834" s="14" t="str">
        <f aca="false">IF(C13834="","",C13834*D13834/100)</f>
        <v/>
      </c>
      <c r="F13834" s="15" t="str">
        <f aca="false">IF(B13834&lt;5,"Go","Standard")</f>
        <v>Go</v>
      </c>
    </row>
    <row r="13835" customFormat="false" ht="15" hidden="false" customHeight="true" outlineLevel="0" collapsed="false">
      <c r="A13835" s="10" t="n">
        <f aca="false">Einstellungen!$B$5+INT((ROW()-9)/24)</f>
        <v>46542</v>
      </c>
      <c r="B13835" s="11" t="n">
        <f aca="false">MOD(ROW()-9,24)</f>
        <v>2</v>
      </c>
      <c r="C13835" s="12"/>
      <c r="D13835" s="13" t="n">
        <f aca="false">IF(B13835&lt;5,Einstellungen!$B$3,Einstellungen!$B$4)</f>
        <v>15.92</v>
      </c>
      <c r="E13835" s="14" t="str">
        <f aca="false">IF(C13835="","",C13835*D13835/100)</f>
        <v/>
      </c>
      <c r="F13835" s="15" t="str">
        <f aca="false">IF(B13835&lt;5,"Go","Standard")</f>
        <v>Go</v>
      </c>
    </row>
    <row r="13836" customFormat="false" ht="15" hidden="false" customHeight="true" outlineLevel="0" collapsed="false">
      <c r="A13836" s="10" t="n">
        <f aca="false">Einstellungen!$B$5+INT((ROW()-9)/24)</f>
        <v>46542</v>
      </c>
      <c r="B13836" s="11" t="n">
        <f aca="false">MOD(ROW()-9,24)</f>
        <v>3</v>
      </c>
      <c r="C13836" s="12"/>
      <c r="D13836" s="13" t="n">
        <f aca="false">IF(B13836&lt;5,Einstellungen!$B$3,Einstellungen!$B$4)</f>
        <v>15.92</v>
      </c>
      <c r="E13836" s="14" t="str">
        <f aca="false">IF(C13836="","",C13836*D13836/100)</f>
        <v/>
      </c>
      <c r="F13836" s="15" t="str">
        <f aca="false">IF(B13836&lt;5,"Go","Standard")</f>
        <v>Go</v>
      </c>
    </row>
    <row r="13837" customFormat="false" ht="15" hidden="false" customHeight="true" outlineLevel="0" collapsed="false">
      <c r="A13837" s="10" t="n">
        <f aca="false">Einstellungen!$B$5+INT((ROW()-9)/24)</f>
        <v>46542</v>
      </c>
      <c r="B13837" s="11" t="n">
        <f aca="false">MOD(ROW()-9,24)</f>
        <v>4</v>
      </c>
      <c r="C13837" s="12"/>
      <c r="D13837" s="13" t="n">
        <f aca="false">IF(B13837&lt;5,Einstellungen!$B$3,Einstellungen!$B$4)</f>
        <v>15.92</v>
      </c>
      <c r="E13837" s="14" t="str">
        <f aca="false">IF(C13837="","",C13837*D13837/100)</f>
        <v/>
      </c>
      <c r="F13837" s="15" t="str">
        <f aca="false">IF(B13837&lt;5,"Go","Standard")</f>
        <v>Go</v>
      </c>
    </row>
    <row r="13838" customFormat="false" ht="15" hidden="false" customHeight="true" outlineLevel="0" collapsed="false">
      <c r="A13838" s="10" t="n">
        <f aca="false">Einstellungen!$B$5+INT((ROW()-9)/24)</f>
        <v>46542</v>
      </c>
      <c r="B13838" s="11" t="n">
        <f aca="false">MOD(ROW()-9,24)</f>
        <v>5</v>
      </c>
      <c r="C13838" s="12"/>
      <c r="D13838" s="13" t="n">
        <f aca="false">IF(B13838&lt;5,Einstellungen!$B$3,Einstellungen!$B$4)</f>
        <v>29.13</v>
      </c>
      <c r="E13838" s="14" t="str">
        <f aca="false">IF(C13838="","",C13838*D13838/100)</f>
        <v/>
      </c>
      <c r="F13838" s="15" t="str">
        <f aca="false">IF(B13838&lt;5,"Go","Standard")</f>
        <v>Standard</v>
      </c>
    </row>
    <row r="13839" customFormat="false" ht="15" hidden="false" customHeight="true" outlineLevel="0" collapsed="false">
      <c r="A13839" s="10" t="n">
        <f aca="false">Einstellungen!$B$5+INT((ROW()-9)/24)</f>
        <v>46542</v>
      </c>
      <c r="B13839" s="11" t="n">
        <f aca="false">MOD(ROW()-9,24)</f>
        <v>6</v>
      </c>
      <c r="C13839" s="12"/>
      <c r="D13839" s="13" t="n">
        <f aca="false">IF(B13839&lt;5,Einstellungen!$B$3,Einstellungen!$B$4)</f>
        <v>29.13</v>
      </c>
      <c r="E13839" s="14" t="str">
        <f aca="false">IF(C13839="","",C13839*D13839/100)</f>
        <v/>
      </c>
      <c r="F13839" s="15" t="str">
        <f aca="false">IF(B13839&lt;5,"Go","Standard")</f>
        <v>Standard</v>
      </c>
    </row>
    <row r="13840" customFormat="false" ht="15" hidden="false" customHeight="true" outlineLevel="0" collapsed="false">
      <c r="A13840" s="10" t="n">
        <f aca="false">Einstellungen!$B$5+INT((ROW()-9)/24)</f>
        <v>46542</v>
      </c>
      <c r="B13840" s="11" t="n">
        <f aca="false">MOD(ROW()-9,24)</f>
        <v>7</v>
      </c>
      <c r="C13840" s="12"/>
      <c r="D13840" s="13" t="n">
        <f aca="false">IF(B13840&lt;5,Einstellungen!$B$3,Einstellungen!$B$4)</f>
        <v>29.13</v>
      </c>
      <c r="E13840" s="14" t="str">
        <f aca="false">IF(C13840="","",C13840*D13840/100)</f>
        <v/>
      </c>
      <c r="F13840" s="15" t="str">
        <f aca="false">IF(B13840&lt;5,"Go","Standard")</f>
        <v>Standard</v>
      </c>
    </row>
    <row r="13841" customFormat="false" ht="15" hidden="false" customHeight="true" outlineLevel="0" collapsed="false">
      <c r="A13841" s="10" t="n">
        <f aca="false">Einstellungen!$B$5+INT((ROW()-9)/24)</f>
        <v>46542</v>
      </c>
      <c r="B13841" s="11" t="n">
        <f aca="false">MOD(ROW()-9,24)</f>
        <v>8</v>
      </c>
      <c r="C13841" s="12"/>
      <c r="D13841" s="13" t="n">
        <f aca="false">IF(B13841&lt;5,Einstellungen!$B$3,Einstellungen!$B$4)</f>
        <v>29.13</v>
      </c>
      <c r="E13841" s="14" t="str">
        <f aca="false">IF(C13841="","",C13841*D13841/100)</f>
        <v/>
      </c>
      <c r="F13841" s="15" t="str">
        <f aca="false">IF(B13841&lt;5,"Go","Standard")</f>
        <v>Standard</v>
      </c>
    </row>
    <row r="13842" customFormat="false" ht="15" hidden="false" customHeight="true" outlineLevel="0" collapsed="false">
      <c r="A13842" s="10" t="n">
        <f aca="false">Einstellungen!$B$5+INT((ROW()-9)/24)</f>
        <v>46542</v>
      </c>
      <c r="B13842" s="11" t="n">
        <f aca="false">MOD(ROW()-9,24)</f>
        <v>9</v>
      </c>
      <c r="C13842" s="12"/>
      <c r="D13842" s="13" t="n">
        <f aca="false">IF(B13842&lt;5,Einstellungen!$B$3,Einstellungen!$B$4)</f>
        <v>29.13</v>
      </c>
      <c r="E13842" s="14" t="str">
        <f aca="false">IF(C13842="","",C13842*D13842/100)</f>
        <v/>
      </c>
      <c r="F13842" s="15" t="str">
        <f aca="false">IF(B13842&lt;5,"Go","Standard")</f>
        <v>Standard</v>
      </c>
    </row>
    <row r="13843" customFormat="false" ht="15" hidden="false" customHeight="true" outlineLevel="0" collapsed="false">
      <c r="A13843" s="10" t="n">
        <f aca="false">Einstellungen!$B$5+INT((ROW()-9)/24)</f>
        <v>46542</v>
      </c>
      <c r="B13843" s="11" t="n">
        <f aca="false">MOD(ROW()-9,24)</f>
        <v>10</v>
      </c>
      <c r="C13843" s="12"/>
      <c r="D13843" s="13" t="n">
        <f aca="false">IF(B13843&lt;5,Einstellungen!$B$3,Einstellungen!$B$4)</f>
        <v>29.13</v>
      </c>
      <c r="E13843" s="14" t="str">
        <f aca="false">IF(C13843="","",C13843*D13843/100)</f>
        <v/>
      </c>
      <c r="F13843" s="15" t="str">
        <f aca="false">IF(B13843&lt;5,"Go","Standard")</f>
        <v>Standard</v>
      </c>
    </row>
    <row r="13844" customFormat="false" ht="15" hidden="false" customHeight="true" outlineLevel="0" collapsed="false">
      <c r="A13844" s="10" t="n">
        <f aca="false">Einstellungen!$B$5+INT((ROW()-9)/24)</f>
        <v>46542</v>
      </c>
      <c r="B13844" s="11" t="n">
        <f aca="false">MOD(ROW()-9,24)</f>
        <v>11</v>
      </c>
      <c r="C13844" s="12"/>
      <c r="D13844" s="13" t="n">
        <f aca="false">IF(B13844&lt;5,Einstellungen!$B$3,Einstellungen!$B$4)</f>
        <v>29.13</v>
      </c>
      <c r="E13844" s="14" t="str">
        <f aca="false">IF(C13844="","",C13844*D13844/100)</f>
        <v/>
      </c>
      <c r="F13844" s="15" t="str">
        <f aca="false">IF(B13844&lt;5,"Go","Standard")</f>
        <v>Standard</v>
      </c>
    </row>
    <row r="13845" customFormat="false" ht="15" hidden="false" customHeight="true" outlineLevel="0" collapsed="false">
      <c r="A13845" s="10" t="n">
        <f aca="false">Einstellungen!$B$5+INT((ROW()-9)/24)</f>
        <v>46542</v>
      </c>
      <c r="B13845" s="11" t="n">
        <f aca="false">MOD(ROW()-9,24)</f>
        <v>12</v>
      </c>
      <c r="C13845" s="12"/>
      <c r="D13845" s="13" t="n">
        <f aca="false">IF(B13845&lt;5,Einstellungen!$B$3,Einstellungen!$B$4)</f>
        <v>29.13</v>
      </c>
      <c r="E13845" s="14" t="str">
        <f aca="false">IF(C13845="","",C13845*D13845/100)</f>
        <v/>
      </c>
      <c r="F13845" s="15" t="str">
        <f aca="false">IF(B13845&lt;5,"Go","Standard")</f>
        <v>Standard</v>
      </c>
    </row>
    <row r="13846" customFormat="false" ht="15" hidden="false" customHeight="true" outlineLevel="0" collapsed="false">
      <c r="A13846" s="10" t="n">
        <f aca="false">Einstellungen!$B$5+INT((ROW()-9)/24)</f>
        <v>46542</v>
      </c>
      <c r="B13846" s="11" t="n">
        <f aca="false">MOD(ROW()-9,24)</f>
        <v>13</v>
      </c>
      <c r="C13846" s="12"/>
      <c r="D13846" s="13" t="n">
        <f aca="false">IF(B13846&lt;5,Einstellungen!$B$3,Einstellungen!$B$4)</f>
        <v>29.13</v>
      </c>
      <c r="E13846" s="14" t="str">
        <f aca="false">IF(C13846="","",C13846*D13846/100)</f>
        <v/>
      </c>
      <c r="F13846" s="15" t="str">
        <f aca="false">IF(B13846&lt;5,"Go","Standard")</f>
        <v>Standard</v>
      </c>
    </row>
    <row r="13847" customFormat="false" ht="15" hidden="false" customHeight="true" outlineLevel="0" collapsed="false">
      <c r="A13847" s="10" t="n">
        <f aca="false">Einstellungen!$B$5+INT((ROW()-9)/24)</f>
        <v>46542</v>
      </c>
      <c r="B13847" s="11" t="n">
        <f aca="false">MOD(ROW()-9,24)</f>
        <v>14</v>
      </c>
      <c r="C13847" s="12"/>
      <c r="D13847" s="13" t="n">
        <f aca="false">IF(B13847&lt;5,Einstellungen!$B$3,Einstellungen!$B$4)</f>
        <v>29.13</v>
      </c>
      <c r="E13847" s="14" t="str">
        <f aca="false">IF(C13847="","",C13847*D13847/100)</f>
        <v/>
      </c>
      <c r="F13847" s="15" t="str">
        <f aca="false">IF(B13847&lt;5,"Go","Standard")</f>
        <v>Standard</v>
      </c>
    </row>
    <row r="13848" customFormat="false" ht="15" hidden="false" customHeight="true" outlineLevel="0" collapsed="false">
      <c r="A13848" s="10" t="n">
        <f aca="false">Einstellungen!$B$5+INT((ROW()-9)/24)</f>
        <v>46542</v>
      </c>
      <c r="B13848" s="11" t="n">
        <f aca="false">MOD(ROW()-9,24)</f>
        <v>15</v>
      </c>
      <c r="C13848" s="12"/>
      <c r="D13848" s="13" t="n">
        <f aca="false">IF(B13848&lt;5,Einstellungen!$B$3,Einstellungen!$B$4)</f>
        <v>29.13</v>
      </c>
      <c r="E13848" s="14" t="str">
        <f aca="false">IF(C13848="","",C13848*D13848/100)</f>
        <v/>
      </c>
      <c r="F13848" s="15" t="str">
        <f aca="false">IF(B13848&lt;5,"Go","Standard")</f>
        <v>Standard</v>
      </c>
    </row>
    <row r="13849" customFormat="false" ht="15" hidden="false" customHeight="true" outlineLevel="0" collapsed="false">
      <c r="A13849" s="10" t="n">
        <f aca="false">Einstellungen!$B$5+INT((ROW()-9)/24)</f>
        <v>46542</v>
      </c>
      <c r="B13849" s="11" t="n">
        <f aca="false">MOD(ROW()-9,24)</f>
        <v>16</v>
      </c>
      <c r="C13849" s="12"/>
      <c r="D13849" s="13" t="n">
        <f aca="false">IF(B13849&lt;5,Einstellungen!$B$3,Einstellungen!$B$4)</f>
        <v>29.13</v>
      </c>
      <c r="E13849" s="14" t="str">
        <f aca="false">IF(C13849="","",C13849*D13849/100)</f>
        <v/>
      </c>
      <c r="F13849" s="15" t="str">
        <f aca="false">IF(B13849&lt;5,"Go","Standard")</f>
        <v>Standard</v>
      </c>
    </row>
    <row r="13850" customFormat="false" ht="15" hidden="false" customHeight="true" outlineLevel="0" collapsed="false">
      <c r="A13850" s="10" t="n">
        <f aca="false">Einstellungen!$B$5+INT((ROW()-9)/24)</f>
        <v>46542</v>
      </c>
      <c r="B13850" s="11" t="n">
        <f aca="false">MOD(ROW()-9,24)</f>
        <v>17</v>
      </c>
      <c r="C13850" s="12"/>
      <c r="D13850" s="13" t="n">
        <f aca="false">IF(B13850&lt;5,Einstellungen!$B$3,Einstellungen!$B$4)</f>
        <v>29.13</v>
      </c>
      <c r="E13850" s="14" t="str">
        <f aca="false">IF(C13850="","",C13850*D13850/100)</f>
        <v/>
      </c>
      <c r="F13850" s="15" t="str">
        <f aca="false">IF(B13850&lt;5,"Go","Standard")</f>
        <v>Standard</v>
      </c>
    </row>
    <row r="13851" customFormat="false" ht="15" hidden="false" customHeight="true" outlineLevel="0" collapsed="false">
      <c r="A13851" s="10" t="n">
        <f aca="false">Einstellungen!$B$5+INT((ROW()-9)/24)</f>
        <v>46542</v>
      </c>
      <c r="B13851" s="11" t="n">
        <f aca="false">MOD(ROW()-9,24)</f>
        <v>18</v>
      </c>
      <c r="C13851" s="12"/>
      <c r="D13851" s="13" t="n">
        <f aca="false">IF(B13851&lt;5,Einstellungen!$B$3,Einstellungen!$B$4)</f>
        <v>29.13</v>
      </c>
      <c r="E13851" s="14" t="str">
        <f aca="false">IF(C13851="","",C13851*D13851/100)</f>
        <v/>
      </c>
      <c r="F13851" s="15" t="str">
        <f aca="false">IF(B13851&lt;5,"Go","Standard")</f>
        <v>Standard</v>
      </c>
    </row>
    <row r="13852" customFormat="false" ht="15" hidden="false" customHeight="true" outlineLevel="0" collapsed="false">
      <c r="A13852" s="10" t="n">
        <f aca="false">Einstellungen!$B$5+INT((ROW()-9)/24)</f>
        <v>46542</v>
      </c>
      <c r="B13852" s="11" t="n">
        <f aca="false">MOD(ROW()-9,24)</f>
        <v>19</v>
      </c>
      <c r="C13852" s="12"/>
      <c r="D13852" s="13" t="n">
        <f aca="false">IF(B13852&lt;5,Einstellungen!$B$3,Einstellungen!$B$4)</f>
        <v>29.13</v>
      </c>
      <c r="E13852" s="14" t="str">
        <f aca="false">IF(C13852="","",C13852*D13852/100)</f>
        <v/>
      </c>
      <c r="F13852" s="15" t="str">
        <f aca="false">IF(B13852&lt;5,"Go","Standard")</f>
        <v>Standard</v>
      </c>
    </row>
    <row r="13853" customFormat="false" ht="15" hidden="false" customHeight="true" outlineLevel="0" collapsed="false">
      <c r="A13853" s="10" t="n">
        <f aca="false">Einstellungen!$B$5+INT((ROW()-9)/24)</f>
        <v>46542</v>
      </c>
      <c r="B13853" s="11" t="n">
        <f aca="false">MOD(ROW()-9,24)</f>
        <v>20</v>
      </c>
      <c r="C13853" s="12"/>
      <c r="D13853" s="13" t="n">
        <f aca="false">IF(B13853&lt;5,Einstellungen!$B$3,Einstellungen!$B$4)</f>
        <v>29.13</v>
      </c>
      <c r="E13853" s="14" t="str">
        <f aca="false">IF(C13853="","",C13853*D13853/100)</f>
        <v/>
      </c>
      <c r="F13853" s="15" t="str">
        <f aca="false">IF(B13853&lt;5,"Go","Standard")</f>
        <v>Standard</v>
      </c>
    </row>
    <row r="13854" customFormat="false" ht="15" hidden="false" customHeight="true" outlineLevel="0" collapsed="false">
      <c r="A13854" s="10" t="n">
        <f aca="false">Einstellungen!$B$5+INT((ROW()-9)/24)</f>
        <v>46542</v>
      </c>
      <c r="B13854" s="11" t="n">
        <f aca="false">MOD(ROW()-9,24)</f>
        <v>21</v>
      </c>
      <c r="C13854" s="12"/>
      <c r="D13854" s="13" t="n">
        <f aca="false">IF(B13854&lt;5,Einstellungen!$B$3,Einstellungen!$B$4)</f>
        <v>29.13</v>
      </c>
      <c r="E13854" s="14" t="str">
        <f aca="false">IF(C13854="","",C13854*D13854/100)</f>
        <v/>
      </c>
      <c r="F13854" s="15" t="str">
        <f aca="false">IF(B13854&lt;5,"Go","Standard")</f>
        <v>Standard</v>
      </c>
    </row>
    <row r="13855" customFormat="false" ht="15" hidden="false" customHeight="true" outlineLevel="0" collapsed="false">
      <c r="A13855" s="10" t="n">
        <f aca="false">Einstellungen!$B$5+INT((ROW()-9)/24)</f>
        <v>46542</v>
      </c>
      <c r="B13855" s="11" t="n">
        <f aca="false">MOD(ROW()-9,24)</f>
        <v>22</v>
      </c>
      <c r="C13855" s="12"/>
      <c r="D13855" s="13" t="n">
        <f aca="false">IF(B13855&lt;5,Einstellungen!$B$3,Einstellungen!$B$4)</f>
        <v>29.13</v>
      </c>
      <c r="E13855" s="14" t="str">
        <f aca="false">IF(C13855="","",C13855*D13855/100)</f>
        <v/>
      </c>
      <c r="F13855" s="15" t="str">
        <f aca="false">IF(B13855&lt;5,"Go","Standard")</f>
        <v>Standard</v>
      </c>
    </row>
    <row r="13856" customFormat="false" ht="15" hidden="false" customHeight="true" outlineLevel="0" collapsed="false">
      <c r="A13856" s="10" t="n">
        <f aca="false">Einstellungen!$B$5+INT((ROW()-9)/24)</f>
        <v>46542</v>
      </c>
      <c r="B13856" s="11" t="n">
        <f aca="false">MOD(ROW()-9,24)</f>
        <v>23</v>
      </c>
      <c r="C13856" s="12"/>
      <c r="D13856" s="13" t="n">
        <f aca="false">IF(B13856&lt;5,Einstellungen!$B$3,Einstellungen!$B$4)</f>
        <v>29.13</v>
      </c>
      <c r="E13856" s="14" t="str">
        <f aca="false">IF(C13856="","",C13856*D13856/100)</f>
        <v/>
      </c>
      <c r="F13856" s="15" t="str">
        <f aca="false">IF(B13856&lt;5,"Go","Standard")</f>
        <v>Standard</v>
      </c>
    </row>
    <row r="13857" customFormat="false" ht="15" hidden="false" customHeight="true" outlineLevel="0" collapsed="false">
      <c r="A13857" s="10" t="n">
        <f aca="false">Einstellungen!$B$5+INT((ROW()-9)/24)</f>
        <v>46543</v>
      </c>
      <c r="B13857" s="11" t="n">
        <f aca="false">MOD(ROW()-9,24)</f>
        <v>0</v>
      </c>
      <c r="C13857" s="12"/>
      <c r="D13857" s="13" t="n">
        <f aca="false">IF(B13857&lt;5,Einstellungen!$B$3,Einstellungen!$B$4)</f>
        <v>15.92</v>
      </c>
      <c r="E13857" s="14" t="str">
        <f aca="false">IF(C13857="","",C13857*D13857/100)</f>
        <v/>
      </c>
      <c r="F13857" s="15" t="str">
        <f aca="false">IF(B13857&lt;5,"Go","Standard")</f>
        <v>Go</v>
      </c>
    </row>
    <row r="13858" customFormat="false" ht="15" hidden="false" customHeight="true" outlineLevel="0" collapsed="false">
      <c r="A13858" s="10" t="n">
        <f aca="false">Einstellungen!$B$5+INT((ROW()-9)/24)</f>
        <v>46543</v>
      </c>
      <c r="B13858" s="11" t="n">
        <f aca="false">MOD(ROW()-9,24)</f>
        <v>1</v>
      </c>
      <c r="C13858" s="12"/>
      <c r="D13858" s="13" t="n">
        <f aca="false">IF(B13858&lt;5,Einstellungen!$B$3,Einstellungen!$B$4)</f>
        <v>15.92</v>
      </c>
      <c r="E13858" s="14" t="str">
        <f aca="false">IF(C13858="","",C13858*D13858/100)</f>
        <v/>
      </c>
      <c r="F13858" s="15" t="str">
        <f aca="false">IF(B13858&lt;5,"Go","Standard")</f>
        <v>Go</v>
      </c>
    </row>
    <row r="13859" customFormat="false" ht="15" hidden="false" customHeight="true" outlineLevel="0" collapsed="false">
      <c r="A13859" s="10" t="n">
        <f aca="false">Einstellungen!$B$5+INT((ROW()-9)/24)</f>
        <v>46543</v>
      </c>
      <c r="B13859" s="11" t="n">
        <f aca="false">MOD(ROW()-9,24)</f>
        <v>2</v>
      </c>
      <c r="C13859" s="12"/>
      <c r="D13859" s="13" t="n">
        <f aca="false">IF(B13859&lt;5,Einstellungen!$B$3,Einstellungen!$B$4)</f>
        <v>15.92</v>
      </c>
      <c r="E13859" s="14" t="str">
        <f aca="false">IF(C13859="","",C13859*D13859/100)</f>
        <v/>
      </c>
      <c r="F13859" s="15" t="str">
        <f aca="false">IF(B13859&lt;5,"Go","Standard")</f>
        <v>Go</v>
      </c>
    </row>
    <row r="13860" customFormat="false" ht="15" hidden="false" customHeight="true" outlineLevel="0" collapsed="false">
      <c r="A13860" s="10" t="n">
        <f aca="false">Einstellungen!$B$5+INT((ROW()-9)/24)</f>
        <v>46543</v>
      </c>
      <c r="B13860" s="11" t="n">
        <f aca="false">MOD(ROW()-9,24)</f>
        <v>3</v>
      </c>
      <c r="C13860" s="12"/>
      <c r="D13860" s="13" t="n">
        <f aca="false">IF(B13860&lt;5,Einstellungen!$B$3,Einstellungen!$B$4)</f>
        <v>15.92</v>
      </c>
      <c r="E13860" s="14" t="str">
        <f aca="false">IF(C13860="","",C13860*D13860/100)</f>
        <v/>
      </c>
      <c r="F13860" s="15" t="str">
        <f aca="false">IF(B13860&lt;5,"Go","Standard")</f>
        <v>Go</v>
      </c>
    </row>
    <row r="13861" customFormat="false" ht="15" hidden="false" customHeight="true" outlineLevel="0" collapsed="false">
      <c r="A13861" s="10" t="n">
        <f aca="false">Einstellungen!$B$5+INT((ROW()-9)/24)</f>
        <v>46543</v>
      </c>
      <c r="B13861" s="11" t="n">
        <f aca="false">MOD(ROW()-9,24)</f>
        <v>4</v>
      </c>
      <c r="C13861" s="12"/>
      <c r="D13861" s="13" t="n">
        <f aca="false">IF(B13861&lt;5,Einstellungen!$B$3,Einstellungen!$B$4)</f>
        <v>15.92</v>
      </c>
      <c r="E13861" s="14" t="str">
        <f aca="false">IF(C13861="","",C13861*D13861/100)</f>
        <v/>
      </c>
      <c r="F13861" s="15" t="str">
        <f aca="false">IF(B13861&lt;5,"Go","Standard")</f>
        <v>Go</v>
      </c>
    </row>
    <row r="13862" customFormat="false" ht="15" hidden="false" customHeight="true" outlineLevel="0" collapsed="false">
      <c r="A13862" s="10" t="n">
        <f aca="false">Einstellungen!$B$5+INT((ROW()-9)/24)</f>
        <v>46543</v>
      </c>
      <c r="B13862" s="11" t="n">
        <f aca="false">MOD(ROW()-9,24)</f>
        <v>5</v>
      </c>
      <c r="C13862" s="12"/>
      <c r="D13862" s="13" t="n">
        <f aca="false">IF(B13862&lt;5,Einstellungen!$B$3,Einstellungen!$B$4)</f>
        <v>29.13</v>
      </c>
      <c r="E13862" s="14" t="str">
        <f aca="false">IF(C13862="","",C13862*D13862/100)</f>
        <v/>
      </c>
      <c r="F13862" s="15" t="str">
        <f aca="false">IF(B13862&lt;5,"Go","Standard")</f>
        <v>Standard</v>
      </c>
    </row>
    <row r="13863" customFormat="false" ht="15" hidden="false" customHeight="true" outlineLevel="0" collapsed="false">
      <c r="A13863" s="10" t="n">
        <f aca="false">Einstellungen!$B$5+INT((ROW()-9)/24)</f>
        <v>46543</v>
      </c>
      <c r="B13863" s="11" t="n">
        <f aca="false">MOD(ROW()-9,24)</f>
        <v>6</v>
      </c>
      <c r="C13863" s="12"/>
      <c r="D13863" s="13" t="n">
        <f aca="false">IF(B13863&lt;5,Einstellungen!$B$3,Einstellungen!$B$4)</f>
        <v>29.13</v>
      </c>
      <c r="E13863" s="14" t="str">
        <f aca="false">IF(C13863="","",C13863*D13863/100)</f>
        <v/>
      </c>
      <c r="F13863" s="15" t="str">
        <f aca="false">IF(B13863&lt;5,"Go","Standard")</f>
        <v>Standard</v>
      </c>
    </row>
    <row r="13864" customFormat="false" ht="15" hidden="false" customHeight="true" outlineLevel="0" collapsed="false">
      <c r="A13864" s="10" t="n">
        <f aca="false">Einstellungen!$B$5+INT((ROW()-9)/24)</f>
        <v>46543</v>
      </c>
      <c r="B13864" s="11" t="n">
        <f aca="false">MOD(ROW()-9,24)</f>
        <v>7</v>
      </c>
      <c r="C13864" s="12"/>
      <c r="D13864" s="13" t="n">
        <f aca="false">IF(B13864&lt;5,Einstellungen!$B$3,Einstellungen!$B$4)</f>
        <v>29.13</v>
      </c>
      <c r="E13864" s="14" t="str">
        <f aca="false">IF(C13864="","",C13864*D13864/100)</f>
        <v/>
      </c>
      <c r="F13864" s="15" t="str">
        <f aca="false">IF(B13864&lt;5,"Go","Standard")</f>
        <v>Standard</v>
      </c>
    </row>
    <row r="13865" customFormat="false" ht="15" hidden="false" customHeight="true" outlineLevel="0" collapsed="false">
      <c r="A13865" s="10" t="n">
        <f aca="false">Einstellungen!$B$5+INT((ROW()-9)/24)</f>
        <v>46543</v>
      </c>
      <c r="B13865" s="11" t="n">
        <f aca="false">MOD(ROW()-9,24)</f>
        <v>8</v>
      </c>
      <c r="C13865" s="12"/>
      <c r="D13865" s="13" t="n">
        <f aca="false">IF(B13865&lt;5,Einstellungen!$B$3,Einstellungen!$B$4)</f>
        <v>29.13</v>
      </c>
      <c r="E13865" s="14" t="str">
        <f aca="false">IF(C13865="","",C13865*D13865/100)</f>
        <v/>
      </c>
      <c r="F13865" s="15" t="str">
        <f aca="false">IF(B13865&lt;5,"Go","Standard")</f>
        <v>Standard</v>
      </c>
    </row>
    <row r="13866" customFormat="false" ht="15" hidden="false" customHeight="true" outlineLevel="0" collapsed="false">
      <c r="A13866" s="10" t="n">
        <f aca="false">Einstellungen!$B$5+INT((ROW()-9)/24)</f>
        <v>46543</v>
      </c>
      <c r="B13866" s="11" t="n">
        <f aca="false">MOD(ROW()-9,24)</f>
        <v>9</v>
      </c>
      <c r="C13866" s="12"/>
      <c r="D13866" s="13" t="n">
        <f aca="false">IF(B13866&lt;5,Einstellungen!$B$3,Einstellungen!$B$4)</f>
        <v>29.13</v>
      </c>
      <c r="E13866" s="14" t="str">
        <f aca="false">IF(C13866="","",C13866*D13866/100)</f>
        <v/>
      </c>
      <c r="F13866" s="15" t="str">
        <f aca="false">IF(B13866&lt;5,"Go","Standard")</f>
        <v>Standard</v>
      </c>
    </row>
    <row r="13867" customFormat="false" ht="15" hidden="false" customHeight="true" outlineLevel="0" collapsed="false">
      <c r="A13867" s="10" t="n">
        <f aca="false">Einstellungen!$B$5+INT((ROW()-9)/24)</f>
        <v>46543</v>
      </c>
      <c r="B13867" s="11" t="n">
        <f aca="false">MOD(ROW()-9,24)</f>
        <v>10</v>
      </c>
      <c r="C13867" s="12"/>
      <c r="D13867" s="13" t="n">
        <f aca="false">IF(B13867&lt;5,Einstellungen!$B$3,Einstellungen!$B$4)</f>
        <v>29.13</v>
      </c>
      <c r="E13867" s="14" t="str">
        <f aca="false">IF(C13867="","",C13867*D13867/100)</f>
        <v/>
      </c>
      <c r="F13867" s="15" t="str">
        <f aca="false">IF(B13867&lt;5,"Go","Standard")</f>
        <v>Standard</v>
      </c>
    </row>
    <row r="13868" customFormat="false" ht="15" hidden="false" customHeight="true" outlineLevel="0" collapsed="false">
      <c r="A13868" s="10" t="n">
        <f aca="false">Einstellungen!$B$5+INT((ROW()-9)/24)</f>
        <v>46543</v>
      </c>
      <c r="B13868" s="11" t="n">
        <f aca="false">MOD(ROW()-9,24)</f>
        <v>11</v>
      </c>
      <c r="C13868" s="12"/>
      <c r="D13868" s="13" t="n">
        <f aca="false">IF(B13868&lt;5,Einstellungen!$B$3,Einstellungen!$B$4)</f>
        <v>29.13</v>
      </c>
      <c r="E13868" s="14" t="str">
        <f aca="false">IF(C13868="","",C13868*D13868/100)</f>
        <v/>
      </c>
      <c r="F13868" s="15" t="str">
        <f aca="false">IF(B13868&lt;5,"Go","Standard")</f>
        <v>Standard</v>
      </c>
    </row>
    <row r="13869" customFormat="false" ht="15" hidden="false" customHeight="true" outlineLevel="0" collapsed="false">
      <c r="A13869" s="10" t="n">
        <f aca="false">Einstellungen!$B$5+INT((ROW()-9)/24)</f>
        <v>46543</v>
      </c>
      <c r="B13869" s="11" t="n">
        <f aca="false">MOD(ROW()-9,24)</f>
        <v>12</v>
      </c>
      <c r="C13869" s="12"/>
      <c r="D13869" s="13" t="n">
        <f aca="false">IF(B13869&lt;5,Einstellungen!$B$3,Einstellungen!$B$4)</f>
        <v>29.13</v>
      </c>
      <c r="E13869" s="14" t="str">
        <f aca="false">IF(C13869="","",C13869*D13869/100)</f>
        <v/>
      </c>
      <c r="F13869" s="15" t="str">
        <f aca="false">IF(B13869&lt;5,"Go","Standard")</f>
        <v>Standard</v>
      </c>
    </row>
    <row r="13870" customFormat="false" ht="15" hidden="false" customHeight="true" outlineLevel="0" collapsed="false">
      <c r="A13870" s="10" t="n">
        <f aca="false">Einstellungen!$B$5+INT((ROW()-9)/24)</f>
        <v>46543</v>
      </c>
      <c r="B13870" s="11" t="n">
        <f aca="false">MOD(ROW()-9,24)</f>
        <v>13</v>
      </c>
      <c r="C13870" s="12"/>
      <c r="D13870" s="13" t="n">
        <f aca="false">IF(B13870&lt;5,Einstellungen!$B$3,Einstellungen!$B$4)</f>
        <v>29.13</v>
      </c>
      <c r="E13870" s="14" t="str">
        <f aca="false">IF(C13870="","",C13870*D13870/100)</f>
        <v/>
      </c>
      <c r="F13870" s="15" t="str">
        <f aca="false">IF(B13870&lt;5,"Go","Standard")</f>
        <v>Standard</v>
      </c>
    </row>
    <row r="13871" customFormat="false" ht="15" hidden="false" customHeight="true" outlineLevel="0" collapsed="false">
      <c r="A13871" s="10" t="n">
        <f aca="false">Einstellungen!$B$5+INT((ROW()-9)/24)</f>
        <v>46543</v>
      </c>
      <c r="B13871" s="11" t="n">
        <f aca="false">MOD(ROW()-9,24)</f>
        <v>14</v>
      </c>
      <c r="C13871" s="12"/>
      <c r="D13871" s="13" t="n">
        <f aca="false">IF(B13871&lt;5,Einstellungen!$B$3,Einstellungen!$B$4)</f>
        <v>29.13</v>
      </c>
      <c r="E13871" s="14" t="str">
        <f aca="false">IF(C13871="","",C13871*D13871/100)</f>
        <v/>
      </c>
      <c r="F13871" s="15" t="str">
        <f aca="false">IF(B13871&lt;5,"Go","Standard")</f>
        <v>Standard</v>
      </c>
    </row>
    <row r="13872" customFormat="false" ht="15" hidden="false" customHeight="true" outlineLevel="0" collapsed="false">
      <c r="A13872" s="10" t="n">
        <f aca="false">Einstellungen!$B$5+INT((ROW()-9)/24)</f>
        <v>46543</v>
      </c>
      <c r="B13872" s="11" t="n">
        <f aca="false">MOD(ROW()-9,24)</f>
        <v>15</v>
      </c>
      <c r="C13872" s="12"/>
      <c r="D13872" s="13" t="n">
        <f aca="false">IF(B13872&lt;5,Einstellungen!$B$3,Einstellungen!$B$4)</f>
        <v>29.13</v>
      </c>
      <c r="E13872" s="14" t="str">
        <f aca="false">IF(C13872="","",C13872*D13872/100)</f>
        <v/>
      </c>
      <c r="F13872" s="15" t="str">
        <f aca="false">IF(B13872&lt;5,"Go","Standard")</f>
        <v>Standard</v>
      </c>
    </row>
    <row r="13873" customFormat="false" ht="15" hidden="false" customHeight="true" outlineLevel="0" collapsed="false">
      <c r="A13873" s="10" t="n">
        <f aca="false">Einstellungen!$B$5+INT((ROW()-9)/24)</f>
        <v>46543</v>
      </c>
      <c r="B13873" s="11" t="n">
        <f aca="false">MOD(ROW()-9,24)</f>
        <v>16</v>
      </c>
      <c r="C13873" s="12"/>
      <c r="D13873" s="13" t="n">
        <f aca="false">IF(B13873&lt;5,Einstellungen!$B$3,Einstellungen!$B$4)</f>
        <v>29.13</v>
      </c>
      <c r="E13873" s="14" t="str">
        <f aca="false">IF(C13873="","",C13873*D13873/100)</f>
        <v/>
      </c>
      <c r="F13873" s="15" t="str">
        <f aca="false">IF(B13873&lt;5,"Go","Standard")</f>
        <v>Standard</v>
      </c>
    </row>
    <row r="13874" customFormat="false" ht="15" hidden="false" customHeight="true" outlineLevel="0" collapsed="false">
      <c r="A13874" s="10" t="n">
        <f aca="false">Einstellungen!$B$5+INT((ROW()-9)/24)</f>
        <v>46543</v>
      </c>
      <c r="B13874" s="11" t="n">
        <f aca="false">MOD(ROW()-9,24)</f>
        <v>17</v>
      </c>
      <c r="C13874" s="12"/>
      <c r="D13874" s="13" t="n">
        <f aca="false">IF(B13874&lt;5,Einstellungen!$B$3,Einstellungen!$B$4)</f>
        <v>29.13</v>
      </c>
      <c r="E13874" s="14" t="str">
        <f aca="false">IF(C13874="","",C13874*D13874/100)</f>
        <v/>
      </c>
      <c r="F13874" s="15" t="str">
        <f aca="false">IF(B13874&lt;5,"Go","Standard")</f>
        <v>Standard</v>
      </c>
    </row>
    <row r="13875" customFormat="false" ht="15" hidden="false" customHeight="true" outlineLevel="0" collapsed="false">
      <c r="A13875" s="10" t="n">
        <f aca="false">Einstellungen!$B$5+INT((ROW()-9)/24)</f>
        <v>46543</v>
      </c>
      <c r="B13875" s="11" t="n">
        <f aca="false">MOD(ROW()-9,24)</f>
        <v>18</v>
      </c>
      <c r="C13875" s="12"/>
      <c r="D13875" s="13" t="n">
        <f aca="false">IF(B13875&lt;5,Einstellungen!$B$3,Einstellungen!$B$4)</f>
        <v>29.13</v>
      </c>
      <c r="E13875" s="14" t="str">
        <f aca="false">IF(C13875="","",C13875*D13875/100)</f>
        <v/>
      </c>
      <c r="F13875" s="15" t="str">
        <f aca="false">IF(B13875&lt;5,"Go","Standard")</f>
        <v>Standard</v>
      </c>
    </row>
    <row r="13876" customFormat="false" ht="15" hidden="false" customHeight="true" outlineLevel="0" collapsed="false">
      <c r="A13876" s="10" t="n">
        <f aca="false">Einstellungen!$B$5+INT((ROW()-9)/24)</f>
        <v>46543</v>
      </c>
      <c r="B13876" s="11" t="n">
        <f aca="false">MOD(ROW()-9,24)</f>
        <v>19</v>
      </c>
      <c r="C13876" s="12"/>
      <c r="D13876" s="13" t="n">
        <f aca="false">IF(B13876&lt;5,Einstellungen!$B$3,Einstellungen!$B$4)</f>
        <v>29.13</v>
      </c>
      <c r="E13876" s="14" t="str">
        <f aca="false">IF(C13876="","",C13876*D13876/100)</f>
        <v/>
      </c>
      <c r="F13876" s="15" t="str">
        <f aca="false">IF(B13876&lt;5,"Go","Standard")</f>
        <v>Standard</v>
      </c>
    </row>
    <row r="13877" customFormat="false" ht="15" hidden="false" customHeight="true" outlineLevel="0" collapsed="false">
      <c r="A13877" s="10" t="n">
        <f aca="false">Einstellungen!$B$5+INT((ROW()-9)/24)</f>
        <v>46543</v>
      </c>
      <c r="B13877" s="11" t="n">
        <f aca="false">MOD(ROW()-9,24)</f>
        <v>20</v>
      </c>
      <c r="C13877" s="12"/>
      <c r="D13877" s="13" t="n">
        <f aca="false">IF(B13877&lt;5,Einstellungen!$B$3,Einstellungen!$B$4)</f>
        <v>29.13</v>
      </c>
      <c r="E13877" s="14" t="str">
        <f aca="false">IF(C13877="","",C13877*D13877/100)</f>
        <v/>
      </c>
      <c r="F13877" s="15" t="str">
        <f aca="false">IF(B13877&lt;5,"Go","Standard")</f>
        <v>Standard</v>
      </c>
    </row>
    <row r="13878" customFormat="false" ht="15" hidden="false" customHeight="true" outlineLevel="0" collapsed="false">
      <c r="A13878" s="10" t="n">
        <f aca="false">Einstellungen!$B$5+INT((ROW()-9)/24)</f>
        <v>46543</v>
      </c>
      <c r="B13878" s="11" t="n">
        <f aca="false">MOD(ROW()-9,24)</f>
        <v>21</v>
      </c>
      <c r="C13878" s="12"/>
      <c r="D13878" s="13" t="n">
        <f aca="false">IF(B13878&lt;5,Einstellungen!$B$3,Einstellungen!$B$4)</f>
        <v>29.13</v>
      </c>
      <c r="E13878" s="14" t="str">
        <f aca="false">IF(C13878="","",C13878*D13878/100)</f>
        <v/>
      </c>
      <c r="F13878" s="15" t="str">
        <f aca="false">IF(B13878&lt;5,"Go","Standard")</f>
        <v>Standard</v>
      </c>
    </row>
    <row r="13879" customFormat="false" ht="15" hidden="false" customHeight="true" outlineLevel="0" collapsed="false">
      <c r="A13879" s="10" t="n">
        <f aca="false">Einstellungen!$B$5+INT((ROW()-9)/24)</f>
        <v>46543</v>
      </c>
      <c r="B13879" s="11" t="n">
        <f aca="false">MOD(ROW()-9,24)</f>
        <v>22</v>
      </c>
      <c r="C13879" s="12"/>
      <c r="D13879" s="13" t="n">
        <f aca="false">IF(B13879&lt;5,Einstellungen!$B$3,Einstellungen!$B$4)</f>
        <v>29.13</v>
      </c>
      <c r="E13879" s="14" t="str">
        <f aca="false">IF(C13879="","",C13879*D13879/100)</f>
        <v/>
      </c>
      <c r="F13879" s="15" t="str">
        <f aca="false">IF(B13879&lt;5,"Go","Standard")</f>
        <v>Standard</v>
      </c>
    </row>
    <row r="13880" customFormat="false" ht="15" hidden="false" customHeight="true" outlineLevel="0" collapsed="false">
      <c r="A13880" s="10" t="n">
        <f aca="false">Einstellungen!$B$5+INT((ROW()-9)/24)</f>
        <v>46543</v>
      </c>
      <c r="B13880" s="11" t="n">
        <f aca="false">MOD(ROW()-9,24)</f>
        <v>23</v>
      </c>
      <c r="C13880" s="12"/>
      <c r="D13880" s="13" t="n">
        <f aca="false">IF(B13880&lt;5,Einstellungen!$B$3,Einstellungen!$B$4)</f>
        <v>29.13</v>
      </c>
      <c r="E13880" s="14" t="str">
        <f aca="false">IF(C13880="","",C13880*D13880/100)</f>
        <v/>
      </c>
      <c r="F13880" s="15" t="str">
        <f aca="false">IF(B13880&lt;5,"Go","Standard")</f>
        <v>Standard</v>
      </c>
    </row>
    <row r="13881" customFormat="false" ht="15" hidden="false" customHeight="true" outlineLevel="0" collapsed="false">
      <c r="A13881" s="10" t="n">
        <f aca="false">Einstellungen!$B$5+INT((ROW()-9)/24)</f>
        <v>46544</v>
      </c>
      <c r="B13881" s="11" t="n">
        <f aca="false">MOD(ROW()-9,24)</f>
        <v>0</v>
      </c>
      <c r="C13881" s="12"/>
      <c r="D13881" s="13" t="n">
        <f aca="false">IF(B13881&lt;5,Einstellungen!$B$3,Einstellungen!$B$4)</f>
        <v>15.92</v>
      </c>
      <c r="E13881" s="14" t="str">
        <f aca="false">IF(C13881="","",C13881*D13881/100)</f>
        <v/>
      </c>
      <c r="F13881" s="15" t="str">
        <f aca="false">IF(B13881&lt;5,"Go","Standard")</f>
        <v>Go</v>
      </c>
    </row>
    <row r="13882" customFormat="false" ht="15" hidden="false" customHeight="true" outlineLevel="0" collapsed="false">
      <c r="A13882" s="10" t="n">
        <f aca="false">Einstellungen!$B$5+INT((ROW()-9)/24)</f>
        <v>46544</v>
      </c>
      <c r="B13882" s="11" t="n">
        <f aca="false">MOD(ROW()-9,24)</f>
        <v>1</v>
      </c>
      <c r="C13882" s="12"/>
      <c r="D13882" s="13" t="n">
        <f aca="false">IF(B13882&lt;5,Einstellungen!$B$3,Einstellungen!$B$4)</f>
        <v>15.92</v>
      </c>
      <c r="E13882" s="14" t="str">
        <f aca="false">IF(C13882="","",C13882*D13882/100)</f>
        <v/>
      </c>
      <c r="F13882" s="15" t="str">
        <f aca="false">IF(B13882&lt;5,"Go","Standard")</f>
        <v>Go</v>
      </c>
    </row>
    <row r="13883" customFormat="false" ht="15" hidden="false" customHeight="true" outlineLevel="0" collapsed="false">
      <c r="A13883" s="10" t="n">
        <f aca="false">Einstellungen!$B$5+INT((ROW()-9)/24)</f>
        <v>46544</v>
      </c>
      <c r="B13883" s="11" t="n">
        <f aca="false">MOD(ROW()-9,24)</f>
        <v>2</v>
      </c>
      <c r="C13883" s="12"/>
      <c r="D13883" s="13" t="n">
        <f aca="false">IF(B13883&lt;5,Einstellungen!$B$3,Einstellungen!$B$4)</f>
        <v>15.92</v>
      </c>
      <c r="E13883" s="14" t="str">
        <f aca="false">IF(C13883="","",C13883*D13883/100)</f>
        <v/>
      </c>
      <c r="F13883" s="15" t="str">
        <f aca="false">IF(B13883&lt;5,"Go","Standard")</f>
        <v>Go</v>
      </c>
    </row>
    <row r="13884" customFormat="false" ht="15" hidden="false" customHeight="true" outlineLevel="0" collapsed="false">
      <c r="A13884" s="10" t="n">
        <f aca="false">Einstellungen!$B$5+INT((ROW()-9)/24)</f>
        <v>46544</v>
      </c>
      <c r="B13884" s="11" t="n">
        <f aca="false">MOD(ROW()-9,24)</f>
        <v>3</v>
      </c>
      <c r="C13884" s="12"/>
      <c r="D13884" s="13" t="n">
        <f aca="false">IF(B13884&lt;5,Einstellungen!$B$3,Einstellungen!$B$4)</f>
        <v>15.92</v>
      </c>
      <c r="E13884" s="14" t="str">
        <f aca="false">IF(C13884="","",C13884*D13884/100)</f>
        <v/>
      </c>
      <c r="F13884" s="15" t="str">
        <f aca="false">IF(B13884&lt;5,"Go","Standard")</f>
        <v>Go</v>
      </c>
    </row>
    <row r="13885" customFormat="false" ht="15" hidden="false" customHeight="true" outlineLevel="0" collapsed="false">
      <c r="A13885" s="10" t="n">
        <f aca="false">Einstellungen!$B$5+INT((ROW()-9)/24)</f>
        <v>46544</v>
      </c>
      <c r="B13885" s="11" t="n">
        <f aca="false">MOD(ROW()-9,24)</f>
        <v>4</v>
      </c>
      <c r="C13885" s="12"/>
      <c r="D13885" s="13" t="n">
        <f aca="false">IF(B13885&lt;5,Einstellungen!$B$3,Einstellungen!$B$4)</f>
        <v>15.92</v>
      </c>
      <c r="E13885" s="14" t="str">
        <f aca="false">IF(C13885="","",C13885*D13885/100)</f>
        <v/>
      </c>
      <c r="F13885" s="15" t="str">
        <f aca="false">IF(B13885&lt;5,"Go","Standard")</f>
        <v>Go</v>
      </c>
    </row>
    <row r="13886" customFormat="false" ht="15" hidden="false" customHeight="true" outlineLevel="0" collapsed="false">
      <c r="A13886" s="10" t="n">
        <f aca="false">Einstellungen!$B$5+INT((ROW()-9)/24)</f>
        <v>46544</v>
      </c>
      <c r="B13886" s="11" t="n">
        <f aca="false">MOD(ROW()-9,24)</f>
        <v>5</v>
      </c>
      <c r="C13886" s="12"/>
      <c r="D13886" s="13" t="n">
        <f aca="false">IF(B13886&lt;5,Einstellungen!$B$3,Einstellungen!$B$4)</f>
        <v>29.13</v>
      </c>
      <c r="E13886" s="14" t="str">
        <f aca="false">IF(C13886="","",C13886*D13886/100)</f>
        <v/>
      </c>
      <c r="F13886" s="15" t="str">
        <f aca="false">IF(B13886&lt;5,"Go","Standard")</f>
        <v>Standard</v>
      </c>
    </row>
    <row r="13887" customFormat="false" ht="15" hidden="false" customHeight="true" outlineLevel="0" collapsed="false">
      <c r="A13887" s="10" t="n">
        <f aca="false">Einstellungen!$B$5+INT((ROW()-9)/24)</f>
        <v>46544</v>
      </c>
      <c r="B13887" s="11" t="n">
        <f aca="false">MOD(ROW()-9,24)</f>
        <v>6</v>
      </c>
      <c r="C13887" s="12"/>
      <c r="D13887" s="13" t="n">
        <f aca="false">IF(B13887&lt;5,Einstellungen!$B$3,Einstellungen!$B$4)</f>
        <v>29.13</v>
      </c>
      <c r="E13887" s="14" t="str">
        <f aca="false">IF(C13887="","",C13887*D13887/100)</f>
        <v/>
      </c>
      <c r="F13887" s="15" t="str">
        <f aca="false">IF(B13887&lt;5,"Go","Standard")</f>
        <v>Standard</v>
      </c>
    </row>
    <row r="13888" customFormat="false" ht="15" hidden="false" customHeight="true" outlineLevel="0" collapsed="false">
      <c r="A13888" s="10" t="n">
        <f aca="false">Einstellungen!$B$5+INT((ROW()-9)/24)</f>
        <v>46544</v>
      </c>
      <c r="B13888" s="11" t="n">
        <f aca="false">MOD(ROW()-9,24)</f>
        <v>7</v>
      </c>
      <c r="C13888" s="12"/>
      <c r="D13888" s="13" t="n">
        <f aca="false">IF(B13888&lt;5,Einstellungen!$B$3,Einstellungen!$B$4)</f>
        <v>29.13</v>
      </c>
      <c r="E13888" s="14" t="str">
        <f aca="false">IF(C13888="","",C13888*D13888/100)</f>
        <v/>
      </c>
      <c r="F13888" s="15" t="str">
        <f aca="false">IF(B13888&lt;5,"Go","Standard")</f>
        <v>Standard</v>
      </c>
    </row>
    <row r="13889" customFormat="false" ht="15" hidden="false" customHeight="true" outlineLevel="0" collapsed="false">
      <c r="A13889" s="10" t="n">
        <f aca="false">Einstellungen!$B$5+INT((ROW()-9)/24)</f>
        <v>46544</v>
      </c>
      <c r="B13889" s="11" t="n">
        <f aca="false">MOD(ROW()-9,24)</f>
        <v>8</v>
      </c>
      <c r="C13889" s="12"/>
      <c r="D13889" s="13" t="n">
        <f aca="false">IF(B13889&lt;5,Einstellungen!$B$3,Einstellungen!$B$4)</f>
        <v>29.13</v>
      </c>
      <c r="E13889" s="14" t="str">
        <f aca="false">IF(C13889="","",C13889*D13889/100)</f>
        <v/>
      </c>
      <c r="F13889" s="15" t="str">
        <f aca="false">IF(B13889&lt;5,"Go","Standard")</f>
        <v>Standard</v>
      </c>
    </row>
    <row r="13890" customFormat="false" ht="15" hidden="false" customHeight="true" outlineLevel="0" collapsed="false">
      <c r="A13890" s="10" t="n">
        <f aca="false">Einstellungen!$B$5+INT((ROW()-9)/24)</f>
        <v>46544</v>
      </c>
      <c r="B13890" s="11" t="n">
        <f aca="false">MOD(ROW()-9,24)</f>
        <v>9</v>
      </c>
      <c r="C13890" s="12"/>
      <c r="D13890" s="13" t="n">
        <f aca="false">IF(B13890&lt;5,Einstellungen!$B$3,Einstellungen!$B$4)</f>
        <v>29.13</v>
      </c>
      <c r="E13890" s="14" t="str">
        <f aca="false">IF(C13890="","",C13890*D13890/100)</f>
        <v/>
      </c>
      <c r="F13890" s="15" t="str">
        <f aca="false">IF(B13890&lt;5,"Go","Standard")</f>
        <v>Standard</v>
      </c>
    </row>
    <row r="13891" customFormat="false" ht="15" hidden="false" customHeight="true" outlineLevel="0" collapsed="false">
      <c r="A13891" s="10" t="n">
        <f aca="false">Einstellungen!$B$5+INT((ROW()-9)/24)</f>
        <v>46544</v>
      </c>
      <c r="B13891" s="11" t="n">
        <f aca="false">MOD(ROW()-9,24)</f>
        <v>10</v>
      </c>
      <c r="C13891" s="12"/>
      <c r="D13891" s="13" t="n">
        <f aca="false">IF(B13891&lt;5,Einstellungen!$B$3,Einstellungen!$B$4)</f>
        <v>29.13</v>
      </c>
      <c r="E13891" s="14" t="str">
        <f aca="false">IF(C13891="","",C13891*D13891/100)</f>
        <v/>
      </c>
      <c r="F13891" s="15" t="str">
        <f aca="false">IF(B13891&lt;5,"Go","Standard")</f>
        <v>Standard</v>
      </c>
    </row>
    <row r="13892" customFormat="false" ht="15" hidden="false" customHeight="true" outlineLevel="0" collapsed="false">
      <c r="A13892" s="10" t="n">
        <f aca="false">Einstellungen!$B$5+INT((ROW()-9)/24)</f>
        <v>46544</v>
      </c>
      <c r="B13892" s="11" t="n">
        <f aca="false">MOD(ROW()-9,24)</f>
        <v>11</v>
      </c>
      <c r="C13892" s="12"/>
      <c r="D13892" s="13" t="n">
        <f aca="false">IF(B13892&lt;5,Einstellungen!$B$3,Einstellungen!$B$4)</f>
        <v>29.13</v>
      </c>
      <c r="E13892" s="14" t="str">
        <f aca="false">IF(C13892="","",C13892*D13892/100)</f>
        <v/>
      </c>
      <c r="F13892" s="15" t="str">
        <f aca="false">IF(B13892&lt;5,"Go","Standard")</f>
        <v>Standard</v>
      </c>
    </row>
    <row r="13893" customFormat="false" ht="15" hidden="false" customHeight="true" outlineLevel="0" collapsed="false">
      <c r="A13893" s="10" t="n">
        <f aca="false">Einstellungen!$B$5+INT((ROW()-9)/24)</f>
        <v>46544</v>
      </c>
      <c r="B13893" s="11" t="n">
        <f aca="false">MOD(ROW()-9,24)</f>
        <v>12</v>
      </c>
      <c r="C13893" s="12"/>
      <c r="D13893" s="13" t="n">
        <f aca="false">IF(B13893&lt;5,Einstellungen!$B$3,Einstellungen!$B$4)</f>
        <v>29.13</v>
      </c>
      <c r="E13893" s="14" t="str">
        <f aca="false">IF(C13893="","",C13893*D13893/100)</f>
        <v/>
      </c>
      <c r="F13893" s="15" t="str">
        <f aca="false">IF(B13893&lt;5,"Go","Standard")</f>
        <v>Standard</v>
      </c>
    </row>
    <row r="13894" customFormat="false" ht="15" hidden="false" customHeight="true" outlineLevel="0" collapsed="false">
      <c r="A13894" s="10" t="n">
        <f aca="false">Einstellungen!$B$5+INT((ROW()-9)/24)</f>
        <v>46544</v>
      </c>
      <c r="B13894" s="11" t="n">
        <f aca="false">MOD(ROW()-9,24)</f>
        <v>13</v>
      </c>
      <c r="C13894" s="12"/>
      <c r="D13894" s="13" t="n">
        <f aca="false">IF(B13894&lt;5,Einstellungen!$B$3,Einstellungen!$B$4)</f>
        <v>29.13</v>
      </c>
      <c r="E13894" s="14" t="str">
        <f aca="false">IF(C13894="","",C13894*D13894/100)</f>
        <v/>
      </c>
      <c r="F13894" s="15" t="str">
        <f aca="false">IF(B13894&lt;5,"Go","Standard")</f>
        <v>Standard</v>
      </c>
    </row>
    <row r="13895" customFormat="false" ht="15" hidden="false" customHeight="true" outlineLevel="0" collapsed="false">
      <c r="A13895" s="10" t="n">
        <f aca="false">Einstellungen!$B$5+INT((ROW()-9)/24)</f>
        <v>46544</v>
      </c>
      <c r="B13895" s="11" t="n">
        <f aca="false">MOD(ROW()-9,24)</f>
        <v>14</v>
      </c>
      <c r="C13895" s="12"/>
      <c r="D13895" s="13" t="n">
        <f aca="false">IF(B13895&lt;5,Einstellungen!$B$3,Einstellungen!$B$4)</f>
        <v>29.13</v>
      </c>
      <c r="E13895" s="14" t="str">
        <f aca="false">IF(C13895="","",C13895*D13895/100)</f>
        <v/>
      </c>
      <c r="F13895" s="15" t="str">
        <f aca="false">IF(B13895&lt;5,"Go","Standard")</f>
        <v>Standard</v>
      </c>
    </row>
    <row r="13896" customFormat="false" ht="15" hidden="false" customHeight="true" outlineLevel="0" collapsed="false">
      <c r="A13896" s="10" t="n">
        <f aca="false">Einstellungen!$B$5+INT((ROW()-9)/24)</f>
        <v>46544</v>
      </c>
      <c r="B13896" s="11" t="n">
        <f aca="false">MOD(ROW()-9,24)</f>
        <v>15</v>
      </c>
      <c r="C13896" s="12"/>
      <c r="D13896" s="13" t="n">
        <f aca="false">IF(B13896&lt;5,Einstellungen!$B$3,Einstellungen!$B$4)</f>
        <v>29.13</v>
      </c>
      <c r="E13896" s="14" t="str">
        <f aca="false">IF(C13896="","",C13896*D13896/100)</f>
        <v/>
      </c>
      <c r="F13896" s="15" t="str">
        <f aca="false">IF(B13896&lt;5,"Go","Standard")</f>
        <v>Standard</v>
      </c>
    </row>
    <row r="13897" customFormat="false" ht="15" hidden="false" customHeight="true" outlineLevel="0" collapsed="false">
      <c r="A13897" s="10" t="n">
        <f aca="false">Einstellungen!$B$5+INT((ROW()-9)/24)</f>
        <v>46544</v>
      </c>
      <c r="B13897" s="11" t="n">
        <f aca="false">MOD(ROW()-9,24)</f>
        <v>16</v>
      </c>
      <c r="C13897" s="12"/>
      <c r="D13897" s="13" t="n">
        <f aca="false">IF(B13897&lt;5,Einstellungen!$B$3,Einstellungen!$B$4)</f>
        <v>29.13</v>
      </c>
      <c r="E13897" s="14" t="str">
        <f aca="false">IF(C13897="","",C13897*D13897/100)</f>
        <v/>
      </c>
      <c r="F13897" s="15" t="str">
        <f aca="false">IF(B13897&lt;5,"Go","Standard")</f>
        <v>Standard</v>
      </c>
    </row>
    <row r="13898" customFormat="false" ht="15" hidden="false" customHeight="true" outlineLevel="0" collapsed="false">
      <c r="A13898" s="10" t="n">
        <f aca="false">Einstellungen!$B$5+INT((ROW()-9)/24)</f>
        <v>46544</v>
      </c>
      <c r="B13898" s="11" t="n">
        <f aca="false">MOD(ROW()-9,24)</f>
        <v>17</v>
      </c>
      <c r="C13898" s="12"/>
      <c r="D13898" s="13" t="n">
        <f aca="false">IF(B13898&lt;5,Einstellungen!$B$3,Einstellungen!$B$4)</f>
        <v>29.13</v>
      </c>
      <c r="E13898" s="14" t="str">
        <f aca="false">IF(C13898="","",C13898*D13898/100)</f>
        <v/>
      </c>
      <c r="F13898" s="15" t="str">
        <f aca="false">IF(B13898&lt;5,"Go","Standard")</f>
        <v>Standard</v>
      </c>
    </row>
    <row r="13899" customFormat="false" ht="15" hidden="false" customHeight="true" outlineLevel="0" collapsed="false">
      <c r="A13899" s="10" t="n">
        <f aca="false">Einstellungen!$B$5+INT((ROW()-9)/24)</f>
        <v>46544</v>
      </c>
      <c r="B13899" s="11" t="n">
        <f aca="false">MOD(ROW()-9,24)</f>
        <v>18</v>
      </c>
      <c r="C13899" s="12"/>
      <c r="D13899" s="13" t="n">
        <f aca="false">IF(B13899&lt;5,Einstellungen!$B$3,Einstellungen!$B$4)</f>
        <v>29.13</v>
      </c>
      <c r="E13899" s="14" t="str">
        <f aca="false">IF(C13899="","",C13899*D13899/100)</f>
        <v/>
      </c>
      <c r="F13899" s="15" t="str">
        <f aca="false">IF(B13899&lt;5,"Go","Standard")</f>
        <v>Standard</v>
      </c>
    </row>
    <row r="13900" customFormat="false" ht="15" hidden="false" customHeight="true" outlineLevel="0" collapsed="false">
      <c r="A13900" s="10" t="n">
        <f aca="false">Einstellungen!$B$5+INT((ROW()-9)/24)</f>
        <v>46544</v>
      </c>
      <c r="B13900" s="11" t="n">
        <f aca="false">MOD(ROW()-9,24)</f>
        <v>19</v>
      </c>
      <c r="C13900" s="12"/>
      <c r="D13900" s="13" t="n">
        <f aca="false">IF(B13900&lt;5,Einstellungen!$B$3,Einstellungen!$B$4)</f>
        <v>29.13</v>
      </c>
      <c r="E13900" s="14" t="str">
        <f aca="false">IF(C13900="","",C13900*D13900/100)</f>
        <v/>
      </c>
      <c r="F13900" s="15" t="str">
        <f aca="false">IF(B13900&lt;5,"Go","Standard")</f>
        <v>Standard</v>
      </c>
    </row>
    <row r="13901" customFormat="false" ht="15" hidden="false" customHeight="true" outlineLevel="0" collapsed="false">
      <c r="A13901" s="10" t="n">
        <f aca="false">Einstellungen!$B$5+INT((ROW()-9)/24)</f>
        <v>46544</v>
      </c>
      <c r="B13901" s="11" t="n">
        <f aca="false">MOD(ROW()-9,24)</f>
        <v>20</v>
      </c>
      <c r="C13901" s="12"/>
      <c r="D13901" s="13" t="n">
        <f aca="false">IF(B13901&lt;5,Einstellungen!$B$3,Einstellungen!$B$4)</f>
        <v>29.13</v>
      </c>
      <c r="E13901" s="14" t="str">
        <f aca="false">IF(C13901="","",C13901*D13901/100)</f>
        <v/>
      </c>
      <c r="F13901" s="15" t="str">
        <f aca="false">IF(B13901&lt;5,"Go","Standard")</f>
        <v>Standard</v>
      </c>
    </row>
    <row r="13902" customFormat="false" ht="15" hidden="false" customHeight="true" outlineLevel="0" collapsed="false">
      <c r="A13902" s="10" t="n">
        <f aca="false">Einstellungen!$B$5+INT((ROW()-9)/24)</f>
        <v>46544</v>
      </c>
      <c r="B13902" s="11" t="n">
        <f aca="false">MOD(ROW()-9,24)</f>
        <v>21</v>
      </c>
      <c r="C13902" s="12"/>
      <c r="D13902" s="13" t="n">
        <f aca="false">IF(B13902&lt;5,Einstellungen!$B$3,Einstellungen!$B$4)</f>
        <v>29.13</v>
      </c>
      <c r="E13902" s="14" t="str">
        <f aca="false">IF(C13902="","",C13902*D13902/100)</f>
        <v/>
      </c>
      <c r="F13902" s="15" t="str">
        <f aca="false">IF(B13902&lt;5,"Go","Standard")</f>
        <v>Standard</v>
      </c>
    </row>
    <row r="13903" customFormat="false" ht="15" hidden="false" customHeight="true" outlineLevel="0" collapsed="false">
      <c r="A13903" s="10" t="n">
        <f aca="false">Einstellungen!$B$5+INT((ROW()-9)/24)</f>
        <v>46544</v>
      </c>
      <c r="B13903" s="11" t="n">
        <f aca="false">MOD(ROW()-9,24)</f>
        <v>22</v>
      </c>
      <c r="C13903" s="12"/>
      <c r="D13903" s="13" t="n">
        <f aca="false">IF(B13903&lt;5,Einstellungen!$B$3,Einstellungen!$B$4)</f>
        <v>29.13</v>
      </c>
      <c r="E13903" s="14" t="str">
        <f aca="false">IF(C13903="","",C13903*D13903/100)</f>
        <v/>
      </c>
      <c r="F13903" s="15" t="str">
        <f aca="false">IF(B13903&lt;5,"Go","Standard")</f>
        <v>Standard</v>
      </c>
    </row>
    <row r="13904" customFormat="false" ht="15" hidden="false" customHeight="true" outlineLevel="0" collapsed="false">
      <c r="A13904" s="10" t="n">
        <f aca="false">Einstellungen!$B$5+INT((ROW()-9)/24)</f>
        <v>46544</v>
      </c>
      <c r="B13904" s="11" t="n">
        <f aca="false">MOD(ROW()-9,24)</f>
        <v>23</v>
      </c>
      <c r="C13904" s="12"/>
      <c r="D13904" s="13" t="n">
        <f aca="false">IF(B13904&lt;5,Einstellungen!$B$3,Einstellungen!$B$4)</f>
        <v>29.13</v>
      </c>
      <c r="E13904" s="14" t="str">
        <f aca="false">IF(C13904="","",C13904*D13904/100)</f>
        <v/>
      </c>
      <c r="F13904" s="15" t="str">
        <f aca="false">IF(B13904&lt;5,"Go","Standard")</f>
        <v>Standard</v>
      </c>
    </row>
    <row r="13905" customFormat="false" ht="15" hidden="false" customHeight="true" outlineLevel="0" collapsed="false">
      <c r="A13905" s="10" t="n">
        <f aca="false">Einstellungen!$B$5+INT((ROW()-9)/24)</f>
        <v>46545</v>
      </c>
      <c r="B13905" s="11" t="n">
        <f aca="false">MOD(ROW()-9,24)</f>
        <v>0</v>
      </c>
      <c r="C13905" s="12"/>
      <c r="D13905" s="13" t="n">
        <f aca="false">IF(B13905&lt;5,Einstellungen!$B$3,Einstellungen!$B$4)</f>
        <v>15.92</v>
      </c>
      <c r="E13905" s="14" t="str">
        <f aca="false">IF(C13905="","",C13905*D13905/100)</f>
        <v/>
      </c>
      <c r="F13905" s="15" t="str">
        <f aca="false">IF(B13905&lt;5,"Go","Standard")</f>
        <v>Go</v>
      </c>
    </row>
    <row r="13906" customFormat="false" ht="15" hidden="false" customHeight="true" outlineLevel="0" collapsed="false">
      <c r="A13906" s="10" t="n">
        <f aca="false">Einstellungen!$B$5+INT((ROW()-9)/24)</f>
        <v>46545</v>
      </c>
      <c r="B13906" s="11" t="n">
        <f aca="false">MOD(ROW()-9,24)</f>
        <v>1</v>
      </c>
      <c r="C13906" s="12"/>
      <c r="D13906" s="13" t="n">
        <f aca="false">IF(B13906&lt;5,Einstellungen!$B$3,Einstellungen!$B$4)</f>
        <v>15.92</v>
      </c>
      <c r="E13906" s="14" t="str">
        <f aca="false">IF(C13906="","",C13906*D13906/100)</f>
        <v/>
      </c>
      <c r="F13906" s="15" t="str">
        <f aca="false">IF(B13906&lt;5,"Go","Standard")</f>
        <v>Go</v>
      </c>
    </row>
    <row r="13907" customFormat="false" ht="15" hidden="false" customHeight="true" outlineLevel="0" collapsed="false">
      <c r="A13907" s="10" t="n">
        <f aca="false">Einstellungen!$B$5+INT((ROW()-9)/24)</f>
        <v>46545</v>
      </c>
      <c r="B13907" s="11" t="n">
        <f aca="false">MOD(ROW()-9,24)</f>
        <v>2</v>
      </c>
      <c r="C13907" s="12"/>
      <c r="D13907" s="13" t="n">
        <f aca="false">IF(B13907&lt;5,Einstellungen!$B$3,Einstellungen!$B$4)</f>
        <v>15.92</v>
      </c>
      <c r="E13907" s="14" t="str">
        <f aca="false">IF(C13907="","",C13907*D13907/100)</f>
        <v/>
      </c>
      <c r="F13907" s="15" t="str">
        <f aca="false">IF(B13907&lt;5,"Go","Standard")</f>
        <v>Go</v>
      </c>
    </row>
    <row r="13908" customFormat="false" ht="15" hidden="false" customHeight="true" outlineLevel="0" collapsed="false">
      <c r="A13908" s="10" t="n">
        <f aca="false">Einstellungen!$B$5+INT((ROW()-9)/24)</f>
        <v>46545</v>
      </c>
      <c r="B13908" s="11" t="n">
        <f aca="false">MOD(ROW()-9,24)</f>
        <v>3</v>
      </c>
      <c r="C13908" s="12"/>
      <c r="D13908" s="13" t="n">
        <f aca="false">IF(B13908&lt;5,Einstellungen!$B$3,Einstellungen!$B$4)</f>
        <v>15.92</v>
      </c>
      <c r="E13908" s="14" t="str">
        <f aca="false">IF(C13908="","",C13908*D13908/100)</f>
        <v/>
      </c>
      <c r="F13908" s="15" t="str">
        <f aca="false">IF(B13908&lt;5,"Go","Standard")</f>
        <v>Go</v>
      </c>
    </row>
    <row r="13909" customFormat="false" ht="15" hidden="false" customHeight="true" outlineLevel="0" collapsed="false">
      <c r="A13909" s="10" t="n">
        <f aca="false">Einstellungen!$B$5+INT((ROW()-9)/24)</f>
        <v>46545</v>
      </c>
      <c r="B13909" s="11" t="n">
        <f aca="false">MOD(ROW()-9,24)</f>
        <v>4</v>
      </c>
      <c r="C13909" s="12"/>
      <c r="D13909" s="13" t="n">
        <f aca="false">IF(B13909&lt;5,Einstellungen!$B$3,Einstellungen!$B$4)</f>
        <v>15.92</v>
      </c>
      <c r="E13909" s="14" t="str">
        <f aca="false">IF(C13909="","",C13909*D13909/100)</f>
        <v/>
      </c>
      <c r="F13909" s="15" t="str">
        <f aca="false">IF(B13909&lt;5,"Go","Standard")</f>
        <v>Go</v>
      </c>
    </row>
    <row r="13910" customFormat="false" ht="15" hidden="false" customHeight="true" outlineLevel="0" collapsed="false">
      <c r="A13910" s="10" t="n">
        <f aca="false">Einstellungen!$B$5+INT((ROW()-9)/24)</f>
        <v>46545</v>
      </c>
      <c r="B13910" s="11" t="n">
        <f aca="false">MOD(ROW()-9,24)</f>
        <v>5</v>
      </c>
      <c r="C13910" s="12"/>
      <c r="D13910" s="13" t="n">
        <f aca="false">IF(B13910&lt;5,Einstellungen!$B$3,Einstellungen!$B$4)</f>
        <v>29.13</v>
      </c>
      <c r="E13910" s="14" t="str">
        <f aca="false">IF(C13910="","",C13910*D13910/100)</f>
        <v/>
      </c>
      <c r="F13910" s="15" t="str">
        <f aca="false">IF(B13910&lt;5,"Go","Standard")</f>
        <v>Standard</v>
      </c>
    </row>
    <row r="13911" customFormat="false" ht="15" hidden="false" customHeight="true" outlineLevel="0" collapsed="false">
      <c r="A13911" s="10" t="n">
        <f aca="false">Einstellungen!$B$5+INT((ROW()-9)/24)</f>
        <v>46545</v>
      </c>
      <c r="B13911" s="11" t="n">
        <f aca="false">MOD(ROW()-9,24)</f>
        <v>6</v>
      </c>
      <c r="C13911" s="12"/>
      <c r="D13911" s="13" t="n">
        <f aca="false">IF(B13911&lt;5,Einstellungen!$B$3,Einstellungen!$B$4)</f>
        <v>29.13</v>
      </c>
      <c r="E13911" s="14" t="str">
        <f aca="false">IF(C13911="","",C13911*D13911/100)</f>
        <v/>
      </c>
      <c r="F13911" s="15" t="str">
        <f aca="false">IF(B13911&lt;5,"Go","Standard")</f>
        <v>Standard</v>
      </c>
    </row>
    <row r="13912" customFormat="false" ht="15" hidden="false" customHeight="true" outlineLevel="0" collapsed="false">
      <c r="A13912" s="10" t="n">
        <f aca="false">Einstellungen!$B$5+INT((ROW()-9)/24)</f>
        <v>46545</v>
      </c>
      <c r="B13912" s="11" t="n">
        <f aca="false">MOD(ROW()-9,24)</f>
        <v>7</v>
      </c>
      <c r="C13912" s="12"/>
      <c r="D13912" s="13" t="n">
        <f aca="false">IF(B13912&lt;5,Einstellungen!$B$3,Einstellungen!$B$4)</f>
        <v>29.13</v>
      </c>
      <c r="E13912" s="14" t="str">
        <f aca="false">IF(C13912="","",C13912*D13912/100)</f>
        <v/>
      </c>
      <c r="F13912" s="15" t="str">
        <f aca="false">IF(B13912&lt;5,"Go","Standard")</f>
        <v>Standard</v>
      </c>
    </row>
    <row r="13913" customFormat="false" ht="15" hidden="false" customHeight="true" outlineLevel="0" collapsed="false">
      <c r="A13913" s="10" t="n">
        <f aca="false">Einstellungen!$B$5+INT((ROW()-9)/24)</f>
        <v>46545</v>
      </c>
      <c r="B13913" s="11" t="n">
        <f aca="false">MOD(ROW()-9,24)</f>
        <v>8</v>
      </c>
      <c r="C13913" s="12"/>
      <c r="D13913" s="13" t="n">
        <f aca="false">IF(B13913&lt;5,Einstellungen!$B$3,Einstellungen!$B$4)</f>
        <v>29.13</v>
      </c>
      <c r="E13913" s="14" t="str">
        <f aca="false">IF(C13913="","",C13913*D13913/100)</f>
        <v/>
      </c>
      <c r="F13913" s="15" t="str">
        <f aca="false">IF(B13913&lt;5,"Go","Standard")</f>
        <v>Standard</v>
      </c>
    </row>
    <row r="13914" customFormat="false" ht="15" hidden="false" customHeight="true" outlineLevel="0" collapsed="false">
      <c r="A13914" s="10" t="n">
        <f aca="false">Einstellungen!$B$5+INT((ROW()-9)/24)</f>
        <v>46545</v>
      </c>
      <c r="B13914" s="11" t="n">
        <f aca="false">MOD(ROW()-9,24)</f>
        <v>9</v>
      </c>
      <c r="C13914" s="12"/>
      <c r="D13914" s="13" t="n">
        <f aca="false">IF(B13914&lt;5,Einstellungen!$B$3,Einstellungen!$B$4)</f>
        <v>29.13</v>
      </c>
      <c r="E13914" s="14" t="str">
        <f aca="false">IF(C13914="","",C13914*D13914/100)</f>
        <v/>
      </c>
      <c r="F13914" s="15" t="str">
        <f aca="false">IF(B13914&lt;5,"Go","Standard")</f>
        <v>Standard</v>
      </c>
    </row>
    <row r="13915" customFormat="false" ht="15" hidden="false" customHeight="true" outlineLevel="0" collapsed="false">
      <c r="A13915" s="10" t="n">
        <f aca="false">Einstellungen!$B$5+INT((ROW()-9)/24)</f>
        <v>46545</v>
      </c>
      <c r="B13915" s="11" t="n">
        <f aca="false">MOD(ROW()-9,24)</f>
        <v>10</v>
      </c>
      <c r="C13915" s="12"/>
      <c r="D13915" s="13" t="n">
        <f aca="false">IF(B13915&lt;5,Einstellungen!$B$3,Einstellungen!$B$4)</f>
        <v>29.13</v>
      </c>
      <c r="E13915" s="14" t="str">
        <f aca="false">IF(C13915="","",C13915*D13915/100)</f>
        <v/>
      </c>
      <c r="F13915" s="15" t="str">
        <f aca="false">IF(B13915&lt;5,"Go","Standard")</f>
        <v>Standard</v>
      </c>
    </row>
    <row r="13916" customFormat="false" ht="15" hidden="false" customHeight="true" outlineLevel="0" collapsed="false">
      <c r="A13916" s="10" t="n">
        <f aca="false">Einstellungen!$B$5+INT((ROW()-9)/24)</f>
        <v>46545</v>
      </c>
      <c r="B13916" s="11" t="n">
        <f aca="false">MOD(ROW()-9,24)</f>
        <v>11</v>
      </c>
      <c r="C13916" s="12"/>
      <c r="D13916" s="13" t="n">
        <f aca="false">IF(B13916&lt;5,Einstellungen!$B$3,Einstellungen!$B$4)</f>
        <v>29.13</v>
      </c>
      <c r="E13916" s="14" t="str">
        <f aca="false">IF(C13916="","",C13916*D13916/100)</f>
        <v/>
      </c>
      <c r="F13916" s="15" t="str">
        <f aca="false">IF(B13916&lt;5,"Go","Standard")</f>
        <v>Standard</v>
      </c>
    </row>
    <row r="13917" customFormat="false" ht="15" hidden="false" customHeight="true" outlineLevel="0" collapsed="false">
      <c r="A13917" s="10" t="n">
        <f aca="false">Einstellungen!$B$5+INT((ROW()-9)/24)</f>
        <v>46545</v>
      </c>
      <c r="B13917" s="11" t="n">
        <f aca="false">MOD(ROW()-9,24)</f>
        <v>12</v>
      </c>
      <c r="C13917" s="12"/>
      <c r="D13917" s="13" t="n">
        <f aca="false">IF(B13917&lt;5,Einstellungen!$B$3,Einstellungen!$B$4)</f>
        <v>29.13</v>
      </c>
      <c r="E13917" s="14" t="str">
        <f aca="false">IF(C13917="","",C13917*D13917/100)</f>
        <v/>
      </c>
      <c r="F13917" s="15" t="str">
        <f aca="false">IF(B13917&lt;5,"Go","Standard")</f>
        <v>Standard</v>
      </c>
    </row>
    <row r="13918" customFormat="false" ht="15" hidden="false" customHeight="true" outlineLevel="0" collapsed="false">
      <c r="A13918" s="10" t="n">
        <f aca="false">Einstellungen!$B$5+INT((ROW()-9)/24)</f>
        <v>46545</v>
      </c>
      <c r="B13918" s="11" t="n">
        <f aca="false">MOD(ROW()-9,24)</f>
        <v>13</v>
      </c>
      <c r="C13918" s="12"/>
      <c r="D13918" s="13" t="n">
        <f aca="false">IF(B13918&lt;5,Einstellungen!$B$3,Einstellungen!$B$4)</f>
        <v>29.13</v>
      </c>
      <c r="E13918" s="14" t="str">
        <f aca="false">IF(C13918="","",C13918*D13918/100)</f>
        <v/>
      </c>
      <c r="F13918" s="15" t="str">
        <f aca="false">IF(B13918&lt;5,"Go","Standard")</f>
        <v>Standard</v>
      </c>
    </row>
    <row r="13919" customFormat="false" ht="15" hidden="false" customHeight="true" outlineLevel="0" collapsed="false">
      <c r="A13919" s="10" t="n">
        <f aca="false">Einstellungen!$B$5+INT((ROW()-9)/24)</f>
        <v>46545</v>
      </c>
      <c r="B13919" s="11" t="n">
        <f aca="false">MOD(ROW()-9,24)</f>
        <v>14</v>
      </c>
      <c r="C13919" s="12"/>
      <c r="D13919" s="13" t="n">
        <f aca="false">IF(B13919&lt;5,Einstellungen!$B$3,Einstellungen!$B$4)</f>
        <v>29.13</v>
      </c>
      <c r="E13919" s="14" t="str">
        <f aca="false">IF(C13919="","",C13919*D13919/100)</f>
        <v/>
      </c>
      <c r="F13919" s="15" t="str">
        <f aca="false">IF(B13919&lt;5,"Go","Standard")</f>
        <v>Standard</v>
      </c>
    </row>
    <row r="13920" customFormat="false" ht="15" hidden="false" customHeight="true" outlineLevel="0" collapsed="false">
      <c r="A13920" s="10" t="n">
        <f aca="false">Einstellungen!$B$5+INT((ROW()-9)/24)</f>
        <v>46545</v>
      </c>
      <c r="B13920" s="11" t="n">
        <f aca="false">MOD(ROW()-9,24)</f>
        <v>15</v>
      </c>
      <c r="C13920" s="12"/>
      <c r="D13920" s="13" t="n">
        <f aca="false">IF(B13920&lt;5,Einstellungen!$B$3,Einstellungen!$B$4)</f>
        <v>29.13</v>
      </c>
      <c r="E13920" s="14" t="str">
        <f aca="false">IF(C13920="","",C13920*D13920/100)</f>
        <v/>
      </c>
      <c r="F13920" s="15" t="str">
        <f aca="false">IF(B13920&lt;5,"Go","Standard")</f>
        <v>Standard</v>
      </c>
    </row>
    <row r="13921" customFormat="false" ht="15" hidden="false" customHeight="true" outlineLevel="0" collapsed="false">
      <c r="A13921" s="10" t="n">
        <f aca="false">Einstellungen!$B$5+INT((ROW()-9)/24)</f>
        <v>46545</v>
      </c>
      <c r="B13921" s="11" t="n">
        <f aca="false">MOD(ROW()-9,24)</f>
        <v>16</v>
      </c>
      <c r="C13921" s="12"/>
      <c r="D13921" s="13" t="n">
        <f aca="false">IF(B13921&lt;5,Einstellungen!$B$3,Einstellungen!$B$4)</f>
        <v>29.13</v>
      </c>
      <c r="E13921" s="14" t="str">
        <f aca="false">IF(C13921="","",C13921*D13921/100)</f>
        <v/>
      </c>
      <c r="F13921" s="15" t="str">
        <f aca="false">IF(B13921&lt;5,"Go","Standard")</f>
        <v>Standard</v>
      </c>
    </row>
    <row r="13922" customFormat="false" ht="15" hidden="false" customHeight="true" outlineLevel="0" collapsed="false">
      <c r="A13922" s="10" t="n">
        <f aca="false">Einstellungen!$B$5+INT((ROW()-9)/24)</f>
        <v>46545</v>
      </c>
      <c r="B13922" s="11" t="n">
        <f aca="false">MOD(ROW()-9,24)</f>
        <v>17</v>
      </c>
      <c r="C13922" s="12"/>
      <c r="D13922" s="13" t="n">
        <f aca="false">IF(B13922&lt;5,Einstellungen!$B$3,Einstellungen!$B$4)</f>
        <v>29.13</v>
      </c>
      <c r="E13922" s="14" t="str">
        <f aca="false">IF(C13922="","",C13922*D13922/100)</f>
        <v/>
      </c>
      <c r="F13922" s="15" t="str">
        <f aca="false">IF(B13922&lt;5,"Go","Standard")</f>
        <v>Standard</v>
      </c>
    </row>
    <row r="13923" customFormat="false" ht="15" hidden="false" customHeight="true" outlineLevel="0" collapsed="false">
      <c r="A13923" s="10" t="n">
        <f aca="false">Einstellungen!$B$5+INT((ROW()-9)/24)</f>
        <v>46545</v>
      </c>
      <c r="B13923" s="11" t="n">
        <f aca="false">MOD(ROW()-9,24)</f>
        <v>18</v>
      </c>
      <c r="C13923" s="12"/>
      <c r="D13923" s="13" t="n">
        <f aca="false">IF(B13923&lt;5,Einstellungen!$B$3,Einstellungen!$B$4)</f>
        <v>29.13</v>
      </c>
      <c r="E13923" s="14" t="str">
        <f aca="false">IF(C13923="","",C13923*D13923/100)</f>
        <v/>
      </c>
      <c r="F13923" s="15" t="str">
        <f aca="false">IF(B13923&lt;5,"Go","Standard")</f>
        <v>Standard</v>
      </c>
    </row>
    <row r="13924" customFormat="false" ht="15" hidden="false" customHeight="true" outlineLevel="0" collapsed="false">
      <c r="A13924" s="10" t="n">
        <f aca="false">Einstellungen!$B$5+INT((ROW()-9)/24)</f>
        <v>46545</v>
      </c>
      <c r="B13924" s="11" t="n">
        <f aca="false">MOD(ROW()-9,24)</f>
        <v>19</v>
      </c>
      <c r="C13924" s="12"/>
      <c r="D13924" s="13" t="n">
        <f aca="false">IF(B13924&lt;5,Einstellungen!$B$3,Einstellungen!$B$4)</f>
        <v>29.13</v>
      </c>
      <c r="E13924" s="14" t="str">
        <f aca="false">IF(C13924="","",C13924*D13924/100)</f>
        <v/>
      </c>
      <c r="F13924" s="15" t="str">
        <f aca="false">IF(B13924&lt;5,"Go","Standard")</f>
        <v>Standard</v>
      </c>
    </row>
    <row r="13925" customFormat="false" ht="15" hidden="false" customHeight="true" outlineLevel="0" collapsed="false">
      <c r="A13925" s="10" t="n">
        <f aca="false">Einstellungen!$B$5+INT((ROW()-9)/24)</f>
        <v>46545</v>
      </c>
      <c r="B13925" s="11" t="n">
        <f aca="false">MOD(ROW()-9,24)</f>
        <v>20</v>
      </c>
      <c r="C13925" s="12"/>
      <c r="D13925" s="13" t="n">
        <f aca="false">IF(B13925&lt;5,Einstellungen!$B$3,Einstellungen!$B$4)</f>
        <v>29.13</v>
      </c>
      <c r="E13925" s="14" t="str">
        <f aca="false">IF(C13925="","",C13925*D13925/100)</f>
        <v/>
      </c>
      <c r="F13925" s="15" t="str">
        <f aca="false">IF(B13925&lt;5,"Go","Standard")</f>
        <v>Standard</v>
      </c>
    </row>
    <row r="13926" customFormat="false" ht="15" hidden="false" customHeight="true" outlineLevel="0" collapsed="false">
      <c r="A13926" s="10" t="n">
        <f aca="false">Einstellungen!$B$5+INT((ROW()-9)/24)</f>
        <v>46545</v>
      </c>
      <c r="B13926" s="11" t="n">
        <f aca="false">MOD(ROW()-9,24)</f>
        <v>21</v>
      </c>
      <c r="C13926" s="12"/>
      <c r="D13926" s="13" t="n">
        <f aca="false">IF(B13926&lt;5,Einstellungen!$B$3,Einstellungen!$B$4)</f>
        <v>29.13</v>
      </c>
      <c r="E13926" s="14" t="str">
        <f aca="false">IF(C13926="","",C13926*D13926/100)</f>
        <v/>
      </c>
      <c r="F13926" s="15" t="str">
        <f aca="false">IF(B13926&lt;5,"Go","Standard")</f>
        <v>Standard</v>
      </c>
    </row>
    <row r="13927" customFormat="false" ht="15" hidden="false" customHeight="true" outlineLevel="0" collapsed="false">
      <c r="A13927" s="10" t="n">
        <f aca="false">Einstellungen!$B$5+INT((ROW()-9)/24)</f>
        <v>46545</v>
      </c>
      <c r="B13927" s="11" t="n">
        <f aca="false">MOD(ROW()-9,24)</f>
        <v>22</v>
      </c>
      <c r="C13927" s="12"/>
      <c r="D13927" s="13" t="n">
        <f aca="false">IF(B13927&lt;5,Einstellungen!$B$3,Einstellungen!$B$4)</f>
        <v>29.13</v>
      </c>
      <c r="E13927" s="14" t="str">
        <f aca="false">IF(C13927="","",C13927*D13927/100)</f>
        <v/>
      </c>
      <c r="F13927" s="15" t="str">
        <f aca="false">IF(B13927&lt;5,"Go","Standard")</f>
        <v>Standard</v>
      </c>
    </row>
    <row r="13928" customFormat="false" ht="15" hidden="false" customHeight="true" outlineLevel="0" collapsed="false">
      <c r="A13928" s="10" t="n">
        <f aca="false">Einstellungen!$B$5+INT((ROW()-9)/24)</f>
        <v>46545</v>
      </c>
      <c r="B13928" s="11" t="n">
        <f aca="false">MOD(ROW()-9,24)</f>
        <v>23</v>
      </c>
      <c r="C13928" s="12"/>
      <c r="D13928" s="13" t="n">
        <f aca="false">IF(B13928&lt;5,Einstellungen!$B$3,Einstellungen!$B$4)</f>
        <v>29.13</v>
      </c>
      <c r="E13928" s="14" t="str">
        <f aca="false">IF(C13928="","",C13928*D13928/100)</f>
        <v/>
      </c>
      <c r="F13928" s="15" t="str">
        <f aca="false">IF(B13928&lt;5,"Go","Standard")</f>
        <v>Standard</v>
      </c>
    </row>
    <row r="13929" customFormat="false" ht="15" hidden="false" customHeight="true" outlineLevel="0" collapsed="false">
      <c r="A13929" s="10" t="n">
        <f aca="false">Einstellungen!$B$5+INT((ROW()-9)/24)</f>
        <v>46546</v>
      </c>
      <c r="B13929" s="11" t="n">
        <f aca="false">MOD(ROW()-9,24)</f>
        <v>0</v>
      </c>
      <c r="C13929" s="12"/>
      <c r="D13929" s="13" t="n">
        <f aca="false">IF(B13929&lt;5,Einstellungen!$B$3,Einstellungen!$B$4)</f>
        <v>15.92</v>
      </c>
      <c r="E13929" s="14" t="str">
        <f aca="false">IF(C13929="","",C13929*D13929/100)</f>
        <v/>
      </c>
      <c r="F13929" s="15" t="str">
        <f aca="false">IF(B13929&lt;5,"Go","Standard")</f>
        <v>Go</v>
      </c>
    </row>
    <row r="13930" customFormat="false" ht="15" hidden="false" customHeight="true" outlineLevel="0" collapsed="false">
      <c r="A13930" s="10" t="n">
        <f aca="false">Einstellungen!$B$5+INT((ROW()-9)/24)</f>
        <v>46546</v>
      </c>
      <c r="B13930" s="11" t="n">
        <f aca="false">MOD(ROW()-9,24)</f>
        <v>1</v>
      </c>
      <c r="C13930" s="12"/>
      <c r="D13930" s="13" t="n">
        <f aca="false">IF(B13930&lt;5,Einstellungen!$B$3,Einstellungen!$B$4)</f>
        <v>15.92</v>
      </c>
      <c r="E13930" s="14" t="str">
        <f aca="false">IF(C13930="","",C13930*D13930/100)</f>
        <v/>
      </c>
      <c r="F13930" s="15" t="str">
        <f aca="false">IF(B13930&lt;5,"Go","Standard")</f>
        <v>Go</v>
      </c>
    </row>
    <row r="13931" customFormat="false" ht="15" hidden="false" customHeight="true" outlineLevel="0" collapsed="false">
      <c r="A13931" s="10" t="n">
        <f aca="false">Einstellungen!$B$5+INT((ROW()-9)/24)</f>
        <v>46546</v>
      </c>
      <c r="B13931" s="11" t="n">
        <f aca="false">MOD(ROW()-9,24)</f>
        <v>2</v>
      </c>
      <c r="C13931" s="12"/>
      <c r="D13931" s="13" t="n">
        <f aca="false">IF(B13931&lt;5,Einstellungen!$B$3,Einstellungen!$B$4)</f>
        <v>15.92</v>
      </c>
      <c r="E13931" s="14" t="str">
        <f aca="false">IF(C13931="","",C13931*D13931/100)</f>
        <v/>
      </c>
      <c r="F13931" s="15" t="str">
        <f aca="false">IF(B13931&lt;5,"Go","Standard")</f>
        <v>Go</v>
      </c>
    </row>
    <row r="13932" customFormat="false" ht="15" hidden="false" customHeight="true" outlineLevel="0" collapsed="false">
      <c r="A13932" s="10" t="n">
        <f aca="false">Einstellungen!$B$5+INT((ROW()-9)/24)</f>
        <v>46546</v>
      </c>
      <c r="B13932" s="11" t="n">
        <f aca="false">MOD(ROW()-9,24)</f>
        <v>3</v>
      </c>
      <c r="C13932" s="12"/>
      <c r="D13932" s="13" t="n">
        <f aca="false">IF(B13932&lt;5,Einstellungen!$B$3,Einstellungen!$B$4)</f>
        <v>15.92</v>
      </c>
      <c r="E13932" s="14" t="str">
        <f aca="false">IF(C13932="","",C13932*D13932/100)</f>
        <v/>
      </c>
      <c r="F13932" s="15" t="str">
        <f aca="false">IF(B13932&lt;5,"Go","Standard")</f>
        <v>Go</v>
      </c>
    </row>
    <row r="13933" customFormat="false" ht="15" hidden="false" customHeight="true" outlineLevel="0" collapsed="false">
      <c r="A13933" s="10" t="n">
        <f aca="false">Einstellungen!$B$5+INT((ROW()-9)/24)</f>
        <v>46546</v>
      </c>
      <c r="B13933" s="11" t="n">
        <f aca="false">MOD(ROW()-9,24)</f>
        <v>4</v>
      </c>
      <c r="C13933" s="12"/>
      <c r="D13933" s="13" t="n">
        <f aca="false">IF(B13933&lt;5,Einstellungen!$B$3,Einstellungen!$B$4)</f>
        <v>15.92</v>
      </c>
      <c r="E13933" s="14" t="str">
        <f aca="false">IF(C13933="","",C13933*D13933/100)</f>
        <v/>
      </c>
      <c r="F13933" s="15" t="str">
        <f aca="false">IF(B13933&lt;5,"Go","Standard")</f>
        <v>Go</v>
      </c>
    </row>
    <row r="13934" customFormat="false" ht="15" hidden="false" customHeight="true" outlineLevel="0" collapsed="false">
      <c r="A13934" s="10" t="n">
        <f aca="false">Einstellungen!$B$5+INT((ROW()-9)/24)</f>
        <v>46546</v>
      </c>
      <c r="B13934" s="11" t="n">
        <f aca="false">MOD(ROW()-9,24)</f>
        <v>5</v>
      </c>
      <c r="C13934" s="12"/>
      <c r="D13934" s="13" t="n">
        <f aca="false">IF(B13934&lt;5,Einstellungen!$B$3,Einstellungen!$B$4)</f>
        <v>29.13</v>
      </c>
      <c r="E13934" s="14" t="str">
        <f aca="false">IF(C13934="","",C13934*D13934/100)</f>
        <v/>
      </c>
      <c r="F13934" s="15" t="str">
        <f aca="false">IF(B13934&lt;5,"Go","Standard")</f>
        <v>Standard</v>
      </c>
    </row>
    <row r="13935" customFormat="false" ht="15" hidden="false" customHeight="true" outlineLevel="0" collapsed="false">
      <c r="A13935" s="10" t="n">
        <f aca="false">Einstellungen!$B$5+INT((ROW()-9)/24)</f>
        <v>46546</v>
      </c>
      <c r="B13935" s="11" t="n">
        <f aca="false">MOD(ROW()-9,24)</f>
        <v>6</v>
      </c>
      <c r="C13935" s="12"/>
      <c r="D13935" s="13" t="n">
        <f aca="false">IF(B13935&lt;5,Einstellungen!$B$3,Einstellungen!$B$4)</f>
        <v>29.13</v>
      </c>
      <c r="E13935" s="14" t="str">
        <f aca="false">IF(C13935="","",C13935*D13935/100)</f>
        <v/>
      </c>
      <c r="F13935" s="15" t="str">
        <f aca="false">IF(B13935&lt;5,"Go","Standard")</f>
        <v>Standard</v>
      </c>
    </row>
    <row r="13936" customFormat="false" ht="15" hidden="false" customHeight="true" outlineLevel="0" collapsed="false">
      <c r="A13936" s="10" t="n">
        <f aca="false">Einstellungen!$B$5+INT((ROW()-9)/24)</f>
        <v>46546</v>
      </c>
      <c r="B13936" s="11" t="n">
        <f aca="false">MOD(ROW()-9,24)</f>
        <v>7</v>
      </c>
      <c r="C13936" s="12"/>
      <c r="D13936" s="13" t="n">
        <f aca="false">IF(B13936&lt;5,Einstellungen!$B$3,Einstellungen!$B$4)</f>
        <v>29.13</v>
      </c>
      <c r="E13936" s="14" t="str">
        <f aca="false">IF(C13936="","",C13936*D13936/100)</f>
        <v/>
      </c>
      <c r="F13936" s="15" t="str">
        <f aca="false">IF(B13936&lt;5,"Go","Standard")</f>
        <v>Standard</v>
      </c>
    </row>
    <row r="13937" customFormat="false" ht="15" hidden="false" customHeight="true" outlineLevel="0" collapsed="false">
      <c r="A13937" s="10" t="n">
        <f aca="false">Einstellungen!$B$5+INT((ROW()-9)/24)</f>
        <v>46546</v>
      </c>
      <c r="B13937" s="11" t="n">
        <f aca="false">MOD(ROW()-9,24)</f>
        <v>8</v>
      </c>
      <c r="C13937" s="12"/>
      <c r="D13937" s="13" t="n">
        <f aca="false">IF(B13937&lt;5,Einstellungen!$B$3,Einstellungen!$B$4)</f>
        <v>29.13</v>
      </c>
      <c r="E13937" s="14" t="str">
        <f aca="false">IF(C13937="","",C13937*D13937/100)</f>
        <v/>
      </c>
      <c r="F13937" s="15" t="str">
        <f aca="false">IF(B13937&lt;5,"Go","Standard")</f>
        <v>Standard</v>
      </c>
    </row>
    <row r="13938" customFormat="false" ht="15" hidden="false" customHeight="true" outlineLevel="0" collapsed="false">
      <c r="A13938" s="10" t="n">
        <f aca="false">Einstellungen!$B$5+INT((ROW()-9)/24)</f>
        <v>46546</v>
      </c>
      <c r="B13938" s="11" t="n">
        <f aca="false">MOD(ROW()-9,24)</f>
        <v>9</v>
      </c>
      <c r="C13938" s="12"/>
      <c r="D13938" s="13" t="n">
        <f aca="false">IF(B13938&lt;5,Einstellungen!$B$3,Einstellungen!$B$4)</f>
        <v>29.13</v>
      </c>
      <c r="E13938" s="14" t="str">
        <f aca="false">IF(C13938="","",C13938*D13938/100)</f>
        <v/>
      </c>
      <c r="F13938" s="15" t="str">
        <f aca="false">IF(B13938&lt;5,"Go","Standard")</f>
        <v>Standard</v>
      </c>
    </row>
    <row r="13939" customFormat="false" ht="15" hidden="false" customHeight="true" outlineLevel="0" collapsed="false">
      <c r="A13939" s="10" t="n">
        <f aca="false">Einstellungen!$B$5+INT((ROW()-9)/24)</f>
        <v>46546</v>
      </c>
      <c r="B13939" s="11" t="n">
        <f aca="false">MOD(ROW()-9,24)</f>
        <v>10</v>
      </c>
      <c r="C13939" s="12"/>
      <c r="D13939" s="13" t="n">
        <f aca="false">IF(B13939&lt;5,Einstellungen!$B$3,Einstellungen!$B$4)</f>
        <v>29.13</v>
      </c>
      <c r="E13939" s="14" t="str">
        <f aca="false">IF(C13939="","",C13939*D13939/100)</f>
        <v/>
      </c>
      <c r="F13939" s="15" t="str">
        <f aca="false">IF(B13939&lt;5,"Go","Standard")</f>
        <v>Standard</v>
      </c>
    </row>
    <row r="13940" customFormat="false" ht="15" hidden="false" customHeight="true" outlineLevel="0" collapsed="false">
      <c r="A13940" s="10" t="n">
        <f aca="false">Einstellungen!$B$5+INT((ROW()-9)/24)</f>
        <v>46546</v>
      </c>
      <c r="B13940" s="11" t="n">
        <f aca="false">MOD(ROW()-9,24)</f>
        <v>11</v>
      </c>
      <c r="C13940" s="12"/>
      <c r="D13940" s="13" t="n">
        <f aca="false">IF(B13940&lt;5,Einstellungen!$B$3,Einstellungen!$B$4)</f>
        <v>29.13</v>
      </c>
      <c r="E13940" s="14" t="str">
        <f aca="false">IF(C13940="","",C13940*D13940/100)</f>
        <v/>
      </c>
      <c r="F13940" s="15" t="str">
        <f aca="false">IF(B13940&lt;5,"Go","Standard")</f>
        <v>Standard</v>
      </c>
    </row>
    <row r="13941" customFormat="false" ht="15" hidden="false" customHeight="true" outlineLevel="0" collapsed="false">
      <c r="A13941" s="10" t="n">
        <f aca="false">Einstellungen!$B$5+INT((ROW()-9)/24)</f>
        <v>46546</v>
      </c>
      <c r="B13941" s="11" t="n">
        <f aca="false">MOD(ROW()-9,24)</f>
        <v>12</v>
      </c>
      <c r="C13941" s="12"/>
      <c r="D13941" s="13" t="n">
        <f aca="false">IF(B13941&lt;5,Einstellungen!$B$3,Einstellungen!$B$4)</f>
        <v>29.13</v>
      </c>
      <c r="E13941" s="14" t="str">
        <f aca="false">IF(C13941="","",C13941*D13941/100)</f>
        <v/>
      </c>
      <c r="F13941" s="15" t="str">
        <f aca="false">IF(B13941&lt;5,"Go","Standard")</f>
        <v>Standard</v>
      </c>
    </row>
    <row r="13942" customFormat="false" ht="15" hidden="false" customHeight="true" outlineLevel="0" collapsed="false">
      <c r="A13942" s="10" t="n">
        <f aca="false">Einstellungen!$B$5+INT((ROW()-9)/24)</f>
        <v>46546</v>
      </c>
      <c r="B13942" s="11" t="n">
        <f aca="false">MOD(ROW()-9,24)</f>
        <v>13</v>
      </c>
      <c r="C13942" s="12"/>
      <c r="D13942" s="13" t="n">
        <f aca="false">IF(B13942&lt;5,Einstellungen!$B$3,Einstellungen!$B$4)</f>
        <v>29.13</v>
      </c>
      <c r="E13942" s="14" t="str">
        <f aca="false">IF(C13942="","",C13942*D13942/100)</f>
        <v/>
      </c>
      <c r="F13942" s="15" t="str">
        <f aca="false">IF(B13942&lt;5,"Go","Standard")</f>
        <v>Standard</v>
      </c>
    </row>
    <row r="13943" customFormat="false" ht="15" hidden="false" customHeight="true" outlineLevel="0" collapsed="false">
      <c r="A13943" s="10" t="n">
        <f aca="false">Einstellungen!$B$5+INT((ROW()-9)/24)</f>
        <v>46546</v>
      </c>
      <c r="B13943" s="11" t="n">
        <f aca="false">MOD(ROW()-9,24)</f>
        <v>14</v>
      </c>
      <c r="C13943" s="12"/>
      <c r="D13943" s="13" t="n">
        <f aca="false">IF(B13943&lt;5,Einstellungen!$B$3,Einstellungen!$B$4)</f>
        <v>29.13</v>
      </c>
      <c r="E13943" s="14" t="str">
        <f aca="false">IF(C13943="","",C13943*D13943/100)</f>
        <v/>
      </c>
      <c r="F13943" s="15" t="str">
        <f aca="false">IF(B13943&lt;5,"Go","Standard")</f>
        <v>Standard</v>
      </c>
    </row>
    <row r="13944" customFormat="false" ht="15" hidden="false" customHeight="true" outlineLevel="0" collapsed="false">
      <c r="A13944" s="10" t="n">
        <f aca="false">Einstellungen!$B$5+INT((ROW()-9)/24)</f>
        <v>46546</v>
      </c>
      <c r="B13944" s="11" t="n">
        <f aca="false">MOD(ROW()-9,24)</f>
        <v>15</v>
      </c>
      <c r="C13944" s="12"/>
      <c r="D13944" s="13" t="n">
        <f aca="false">IF(B13944&lt;5,Einstellungen!$B$3,Einstellungen!$B$4)</f>
        <v>29.13</v>
      </c>
      <c r="E13944" s="14" t="str">
        <f aca="false">IF(C13944="","",C13944*D13944/100)</f>
        <v/>
      </c>
      <c r="F13944" s="15" t="str">
        <f aca="false">IF(B13944&lt;5,"Go","Standard")</f>
        <v>Standard</v>
      </c>
    </row>
    <row r="13945" customFormat="false" ht="15" hidden="false" customHeight="true" outlineLevel="0" collapsed="false">
      <c r="A13945" s="10" t="n">
        <f aca="false">Einstellungen!$B$5+INT((ROW()-9)/24)</f>
        <v>46546</v>
      </c>
      <c r="B13945" s="11" t="n">
        <f aca="false">MOD(ROW()-9,24)</f>
        <v>16</v>
      </c>
      <c r="C13945" s="12"/>
      <c r="D13945" s="13" t="n">
        <f aca="false">IF(B13945&lt;5,Einstellungen!$B$3,Einstellungen!$B$4)</f>
        <v>29.13</v>
      </c>
      <c r="E13945" s="14" t="str">
        <f aca="false">IF(C13945="","",C13945*D13945/100)</f>
        <v/>
      </c>
      <c r="F13945" s="15" t="str">
        <f aca="false">IF(B13945&lt;5,"Go","Standard")</f>
        <v>Standard</v>
      </c>
    </row>
    <row r="13946" customFormat="false" ht="15" hidden="false" customHeight="true" outlineLevel="0" collapsed="false">
      <c r="A13946" s="10" t="n">
        <f aca="false">Einstellungen!$B$5+INT((ROW()-9)/24)</f>
        <v>46546</v>
      </c>
      <c r="B13946" s="11" t="n">
        <f aca="false">MOD(ROW()-9,24)</f>
        <v>17</v>
      </c>
      <c r="C13946" s="12"/>
      <c r="D13946" s="13" t="n">
        <f aca="false">IF(B13946&lt;5,Einstellungen!$B$3,Einstellungen!$B$4)</f>
        <v>29.13</v>
      </c>
      <c r="E13946" s="14" t="str">
        <f aca="false">IF(C13946="","",C13946*D13946/100)</f>
        <v/>
      </c>
      <c r="F13946" s="15" t="str">
        <f aca="false">IF(B13946&lt;5,"Go","Standard")</f>
        <v>Standard</v>
      </c>
    </row>
    <row r="13947" customFormat="false" ht="15" hidden="false" customHeight="true" outlineLevel="0" collapsed="false">
      <c r="A13947" s="10" t="n">
        <f aca="false">Einstellungen!$B$5+INT((ROW()-9)/24)</f>
        <v>46546</v>
      </c>
      <c r="B13947" s="11" t="n">
        <f aca="false">MOD(ROW()-9,24)</f>
        <v>18</v>
      </c>
      <c r="C13947" s="12"/>
      <c r="D13947" s="13" t="n">
        <f aca="false">IF(B13947&lt;5,Einstellungen!$B$3,Einstellungen!$B$4)</f>
        <v>29.13</v>
      </c>
      <c r="E13947" s="14" t="str">
        <f aca="false">IF(C13947="","",C13947*D13947/100)</f>
        <v/>
      </c>
      <c r="F13947" s="15" t="str">
        <f aca="false">IF(B13947&lt;5,"Go","Standard")</f>
        <v>Standard</v>
      </c>
    </row>
    <row r="13948" customFormat="false" ht="15" hidden="false" customHeight="true" outlineLevel="0" collapsed="false">
      <c r="A13948" s="10" t="n">
        <f aca="false">Einstellungen!$B$5+INT((ROW()-9)/24)</f>
        <v>46546</v>
      </c>
      <c r="B13948" s="11" t="n">
        <f aca="false">MOD(ROW()-9,24)</f>
        <v>19</v>
      </c>
      <c r="C13948" s="12"/>
      <c r="D13948" s="13" t="n">
        <f aca="false">IF(B13948&lt;5,Einstellungen!$B$3,Einstellungen!$B$4)</f>
        <v>29.13</v>
      </c>
      <c r="E13948" s="14" t="str">
        <f aca="false">IF(C13948="","",C13948*D13948/100)</f>
        <v/>
      </c>
      <c r="F13948" s="15" t="str">
        <f aca="false">IF(B13948&lt;5,"Go","Standard")</f>
        <v>Standard</v>
      </c>
    </row>
    <row r="13949" customFormat="false" ht="15" hidden="false" customHeight="true" outlineLevel="0" collapsed="false">
      <c r="A13949" s="10" t="n">
        <f aca="false">Einstellungen!$B$5+INT((ROW()-9)/24)</f>
        <v>46546</v>
      </c>
      <c r="B13949" s="11" t="n">
        <f aca="false">MOD(ROW()-9,24)</f>
        <v>20</v>
      </c>
      <c r="C13949" s="12"/>
      <c r="D13949" s="13" t="n">
        <f aca="false">IF(B13949&lt;5,Einstellungen!$B$3,Einstellungen!$B$4)</f>
        <v>29.13</v>
      </c>
      <c r="E13949" s="14" t="str">
        <f aca="false">IF(C13949="","",C13949*D13949/100)</f>
        <v/>
      </c>
      <c r="F13949" s="15" t="str">
        <f aca="false">IF(B13949&lt;5,"Go","Standard")</f>
        <v>Standard</v>
      </c>
    </row>
    <row r="13950" customFormat="false" ht="15" hidden="false" customHeight="true" outlineLevel="0" collapsed="false">
      <c r="A13950" s="10" t="n">
        <f aca="false">Einstellungen!$B$5+INT((ROW()-9)/24)</f>
        <v>46546</v>
      </c>
      <c r="B13950" s="11" t="n">
        <f aca="false">MOD(ROW()-9,24)</f>
        <v>21</v>
      </c>
      <c r="C13950" s="12"/>
      <c r="D13950" s="13" t="n">
        <f aca="false">IF(B13950&lt;5,Einstellungen!$B$3,Einstellungen!$B$4)</f>
        <v>29.13</v>
      </c>
      <c r="E13950" s="14" t="str">
        <f aca="false">IF(C13950="","",C13950*D13950/100)</f>
        <v/>
      </c>
      <c r="F13950" s="15" t="str">
        <f aca="false">IF(B13950&lt;5,"Go","Standard")</f>
        <v>Standard</v>
      </c>
    </row>
    <row r="13951" customFormat="false" ht="15" hidden="false" customHeight="true" outlineLevel="0" collapsed="false">
      <c r="A13951" s="10" t="n">
        <f aca="false">Einstellungen!$B$5+INT((ROW()-9)/24)</f>
        <v>46546</v>
      </c>
      <c r="B13951" s="11" t="n">
        <f aca="false">MOD(ROW()-9,24)</f>
        <v>22</v>
      </c>
      <c r="C13951" s="12"/>
      <c r="D13951" s="13" t="n">
        <f aca="false">IF(B13951&lt;5,Einstellungen!$B$3,Einstellungen!$B$4)</f>
        <v>29.13</v>
      </c>
      <c r="E13951" s="14" t="str">
        <f aca="false">IF(C13951="","",C13951*D13951/100)</f>
        <v/>
      </c>
      <c r="F13951" s="15" t="str">
        <f aca="false">IF(B13951&lt;5,"Go","Standard")</f>
        <v>Standard</v>
      </c>
    </row>
    <row r="13952" customFormat="false" ht="15" hidden="false" customHeight="true" outlineLevel="0" collapsed="false">
      <c r="A13952" s="10" t="n">
        <f aca="false">Einstellungen!$B$5+INT((ROW()-9)/24)</f>
        <v>46546</v>
      </c>
      <c r="B13952" s="11" t="n">
        <f aca="false">MOD(ROW()-9,24)</f>
        <v>23</v>
      </c>
      <c r="C13952" s="12"/>
      <c r="D13952" s="13" t="n">
        <f aca="false">IF(B13952&lt;5,Einstellungen!$B$3,Einstellungen!$B$4)</f>
        <v>29.13</v>
      </c>
      <c r="E13952" s="14" t="str">
        <f aca="false">IF(C13952="","",C13952*D13952/100)</f>
        <v/>
      </c>
      <c r="F13952" s="15" t="str">
        <f aca="false">IF(B13952&lt;5,"Go","Standard")</f>
        <v>Standard</v>
      </c>
    </row>
    <row r="13953" customFormat="false" ht="15" hidden="false" customHeight="true" outlineLevel="0" collapsed="false">
      <c r="A13953" s="10" t="n">
        <f aca="false">Einstellungen!$B$5+INT((ROW()-9)/24)</f>
        <v>46547</v>
      </c>
      <c r="B13953" s="11" t="n">
        <f aca="false">MOD(ROW()-9,24)</f>
        <v>0</v>
      </c>
      <c r="C13953" s="12"/>
      <c r="D13953" s="13" t="n">
        <f aca="false">IF(B13953&lt;5,Einstellungen!$B$3,Einstellungen!$B$4)</f>
        <v>15.92</v>
      </c>
      <c r="E13953" s="14" t="str">
        <f aca="false">IF(C13953="","",C13953*D13953/100)</f>
        <v/>
      </c>
      <c r="F13953" s="15" t="str">
        <f aca="false">IF(B13953&lt;5,"Go","Standard")</f>
        <v>Go</v>
      </c>
    </row>
    <row r="13954" customFormat="false" ht="15" hidden="false" customHeight="true" outlineLevel="0" collapsed="false">
      <c r="A13954" s="10" t="n">
        <f aca="false">Einstellungen!$B$5+INT((ROW()-9)/24)</f>
        <v>46547</v>
      </c>
      <c r="B13954" s="11" t="n">
        <f aca="false">MOD(ROW()-9,24)</f>
        <v>1</v>
      </c>
      <c r="C13954" s="12"/>
      <c r="D13954" s="13" t="n">
        <f aca="false">IF(B13954&lt;5,Einstellungen!$B$3,Einstellungen!$B$4)</f>
        <v>15.92</v>
      </c>
      <c r="E13954" s="14" t="str">
        <f aca="false">IF(C13954="","",C13954*D13954/100)</f>
        <v/>
      </c>
      <c r="F13954" s="15" t="str">
        <f aca="false">IF(B13954&lt;5,"Go","Standard")</f>
        <v>Go</v>
      </c>
    </row>
    <row r="13955" customFormat="false" ht="15" hidden="false" customHeight="true" outlineLevel="0" collapsed="false">
      <c r="A13955" s="10" t="n">
        <f aca="false">Einstellungen!$B$5+INT((ROW()-9)/24)</f>
        <v>46547</v>
      </c>
      <c r="B13955" s="11" t="n">
        <f aca="false">MOD(ROW()-9,24)</f>
        <v>2</v>
      </c>
      <c r="C13955" s="12"/>
      <c r="D13955" s="13" t="n">
        <f aca="false">IF(B13955&lt;5,Einstellungen!$B$3,Einstellungen!$B$4)</f>
        <v>15.92</v>
      </c>
      <c r="E13955" s="14" t="str">
        <f aca="false">IF(C13955="","",C13955*D13955/100)</f>
        <v/>
      </c>
      <c r="F13955" s="15" t="str">
        <f aca="false">IF(B13955&lt;5,"Go","Standard")</f>
        <v>Go</v>
      </c>
    </row>
    <row r="13956" customFormat="false" ht="15" hidden="false" customHeight="true" outlineLevel="0" collapsed="false">
      <c r="A13956" s="10" t="n">
        <f aca="false">Einstellungen!$B$5+INT((ROW()-9)/24)</f>
        <v>46547</v>
      </c>
      <c r="B13956" s="11" t="n">
        <f aca="false">MOD(ROW()-9,24)</f>
        <v>3</v>
      </c>
      <c r="C13956" s="12"/>
      <c r="D13956" s="13" t="n">
        <f aca="false">IF(B13956&lt;5,Einstellungen!$B$3,Einstellungen!$B$4)</f>
        <v>15.92</v>
      </c>
      <c r="E13956" s="14" t="str">
        <f aca="false">IF(C13956="","",C13956*D13956/100)</f>
        <v/>
      </c>
      <c r="F13956" s="15" t="str">
        <f aca="false">IF(B13956&lt;5,"Go","Standard")</f>
        <v>Go</v>
      </c>
    </row>
    <row r="13957" customFormat="false" ht="15" hidden="false" customHeight="true" outlineLevel="0" collapsed="false">
      <c r="A13957" s="10" t="n">
        <f aca="false">Einstellungen!$B$5+INT((ROW()-9)/24)</f>
        <v>46547</v>
      </c>
      <c r="B13957" s="11" t="n">
        <f aca="false">MOD(ROW()-9,24)</f>
        <v>4</v>
      </c>
      <c r="C13957" s="12"/>
      <c r="D13957" s="13" t="n">
        <f aca="false">IF(B13957&lt;5,Einstellungen!$B$3,Einstellungen!$B$4)</f>
        <v>15.92</v>
      </c>
      <c r="E13957" s="14" t="str">
        <f aca="false">IF(C13957="","",C13957*D13957/100)</f>
        <v/>
      </c>
      <c r="F13957" s="15" t="str">
        <f aca="false">IF(B13957&lt;5,"Go","Standard")</f>
        <v>Go</v>
      </c>
    </row>
    <row r="13958" customFormat="false" ht="15" hidden="false" customHeight="true" outlineLevel="0" collapsed="false">
      <c r="A13958" s="10" t="n">
        <f aca="false">Einstellungen!$B$5+INT((ROW()-9)/24)</f>
        <v>46547</v>
      </c>
      <c r="B13958" s="11" t="n">
        <f aca="false">MOD(ROW()-9,24)</f>
        <v>5</v>
      </c>
      <c r="C13958" s="12"/>
      <c r="D13958" s="13" t="n">
        <f aca="false">IF(B13958&lt;5,Einstellungen!$B$3,Einstellungen!$B$4)</f>
        <v>29.13</v>
      </c>
      <c r="E13958" s="14" t="str">
        <f aca="false">IF(C13958="","",C13958*D13958/100)</f>
        <v/>
      </c>
      <c r="F13958" s="15" t="str">
        <f aca="false">IF(B13958&lt;5,"Go","Standard")</f>
        <v>Standard</v>
      </c>
    </row>
    <row r="13959" customFormat="false" ht="15" hidden="false" customHeight="true" outlineLevel="0" collapsed="false">
      <c r="A13959" s="10" t="n">
        <f aca="false">Einstellungen!$B$5+INT((ROW()-9)/24)</f>
        <v>46547</v>
      </c>
      <c r="B13959" s="11" t="n">
        <f aca="false">MOD(ROW()-9,24)</f>
        <v>6</v>
      </c>
      <c r="C13959" s="12"/>
      <c r="D13959" s="13" t="n">
        <f aca="false">IF(B13959&lt;5,Einstellungen!$B$3,Einstellungen!$B$4)</f>
        <v>29.13</v>
      </c>
      <c r="E13959" s="14" t="str">
        <f aca="false">IF(C13959="","",C13959*D13959/100)</f>
        <v/>
      </c>
      <c r="F13959" s="15" t="str">
        <f aca="false">IF(B13959&lt;5,"Go","Standard")</f>
        <v>Standard</v>
      </c>
    </row>
    <row r="13960" customFormat="false" ht="15" hidden="false" customHeight="true" outlineLevel="0" collapsed="false">
      <c r="A13960" s="10" t="n">
        <f aca="false">Einstellungen!$B$5+INT((ROW()-9)/24)</f>
        <v>46547</v>
      </c>
      <c r="B13960" s="11" t="n">
        <f aca="false">MOD(ROW()-9,24)</f>
        <v>7</v>
      </c>
      <c r="C13960" s="12"/>
      <c r="D13960" s="13" t="n">
        <f aca="false">IF(B13960&lt;5,Einstellungen!$B$3,Einstellungen!$B$4)</f>
        <v>29.13</v>
      </c>
      <c r="E13960" s="14" t="str">
        <f aca="false">IF(C13960="","",C13960*D13960/100)</f>
        <v/>
      </c>
      <c r="F13960" s="15" t="str">
        <f aca="false">IF(B13960&lt;5,"Go","Standard")</f>
        <v>Standard</v>
      </c>
    </row>
    <row r="13961" customFormat="false" ht="15" hidden="false" customHeight="true" outlineLevel="0" collapsed="false">
      <c r="A13961" s="10" t="n">
        <f aca="false">Einstellungen!$B$5+INT((ROW()-9)/24)</f>
        <v>46547</v>
      </c>
      <c r="B13961" s="11" t="n">
        <f aca="false">MOD(ROW()-9,24)</f>
        <v>8</v>
      </c>
      <c r="C13961" s="12"/>
      <c r="D13961" s="13" t="n">
        <f aca="false">IF(B13961&lt;5,Einstellungen!$B$3,Einstellungen!$B$4)</f>
        <v>29.13</v>
      </c>
      <c r="E13961" s="14" t="str">
        <f aca="false">IF(C13961="","",C13961*D13961/100)</f>
        <v/>
      </c>
      <c r="F13961" s="15" t="str">
        <f aca="false">IF(B13961&lt;5,"Go","Standard")</f>
        <v>Standard</v>
      </c>
    </row>
    <row r="13962" customFormat="false" ht="15" hidden="false" customHeight="true" outlineLevel="0" collapsed="false">
      <c r="A13962" s="10" t="n">
        <f aca="false">Einstellungen!$B$5+INT((ROW()-9)/24)</f>
        <v>46547</v>
      </c>
      <c r="B13962" s="11" t="n">
        <f aca="false">MOD(ROW()-9,24)</f>
        <v>9</v>
      </c>
      <c r="C13962" s="12"/>
      <c r="D13962" s="13" t="n">
        <f aca="false">IF(B13962&lt;5,Einstellungen!$B$3,Einstellungen!$B$4)</f>
        <v>29.13</v>
      </c>
      <c r="E13962" s="14" t="str">
        <f aca="false">IF(C13962="","",C13962*D13962/100)</f>
        <v/>
      </c>
      <c r="F13962" s="15" t="str">
        <f aca="false">IF(B13962&lt;5,"Go","Standard")</f>
        <v>Standard</v>
      </c>
    </row>
    <row r="13963" customFormat="false" ht="15" hidden="false" customHeight="true" outlineLevel="0" collapsed="false">
      <c r="A13963" s="10" t="n">
        <f aca="false">Einstellungen!$B$5+INT((ROW()-9)/24)</f>
        <v>46547</v>
      </c>
      <c r="B13963" s="11" t="n">
        <f aca="false">MOD(ROW()-9,24)</f>
        <v>10</v>
      </c>
      <c r="C13963" s="12"/>
      <c r="D13963" s="13" t="n">
        <f aca="false">IF(B13963&lt;5,Einstellungen!$B$3,Einstellungen!$B$4)</f>
        <v>29.13</v>
      </c>
      <c r="E13963" s="14" t="str">
        <f aca="false">IF(C13963="","",C13963*D13963/100)</f>
        <v/>
      </c>
      <c r="F13963" s="15" t="str">
        <f aca="false">IF(B13963&lt;5,"Go","Standard")</f>
        <v>Standard</v>
      </c>
    </row>
    <row r="13964" customFormat="false" ht="15" hidden="false" customHeight="true" outlineLevel="0" collapsed="false">
      <c r="A13964" s="10" t="n">
        <f aca="false">Einstellungen!$B$5+INT((ROW()-9)/24)</f>
        <v>46547</v>
      </c>
      <c r="B13964" s="11" t="n">
        <f aca="false">MOD(ROW()-9,24)</f>
        <v>11</v>
      </c>
      <c r="C13964" s="12"/>
      <c r="D13964" s="13" t="n">
        <f aca="false">IF(B13964&lt;5,Einstellungen!$B$3,Einstellungen!$B$4)</f>
        <v>29.13</v>
      </c>
      <c r="E13964" s="14" t="str">
        <f aca="false">IF(C13964="","",C13964*D13964/100)</f>
        <v/>
      </c>
      <c r="F13964" s="15" t="str">
        <f aca="false">IF(B13964&lt;5,"Go","Standard")</f>
        <v>Standard</v>
      </c>
    </row>
    <row r="13965" customFormat="false" ht="15" hidden="false" customHeight="true" outlineLevel="0" collapsed="false">
      <c r="A13965" s="10" t="n">
        <f aca="false">Einstellungen!$B$5+INT((ROW()-9)/24)</f>
        <v>46547</v>
      </c>
      <c r="B13965" s="11" t="n">
        <f aca="false">MOD(ROW()-9,24)</f>
        <v>12</v>
      </c>
      <c r="C13965" s="12"/>
      <c r="D13965" s="13" t="n">
        <f aca="false">IF(B13965&lt;5,Einstellungen!$B$3,Einstellungen!$B$4)</f>
        <v>29.13</v>
      </c>
      <c r="E13965" s="14" t="str">
        <f aca="false">IF(C13965="","",C13965*D13965/100)</f>
        <v/>
      </c>
      <c r="F13965" s="15" t="str">
        <f aca="false">IF(B13965&lt;5,"Go","Standard")</f>
        <v>Standard</v>
      </c>
    </row>
    <row r="13966" customFormat="false" ht="15" hidden="false" customHeight="true" outlineLevel="0" collapsed="false">
      <c r="A13966" s="10" t="n">
        <f aca="false">Einstellungen!$B$5+INT((ROW()-9)/24)</f>
        <v>46547</v>
      </c>
      <c r="B13966" s="11" t="n">
        <f aca="false">MOD(ROW()-9,24)</f>
        <v>13</v>
      </c>
      <c r="C13966" s="12"/>
      <c r="D13966" s="13" t="n">
        <f aca="false">IF(B13966&lt;5,Einstellungen!$B$3,Einstellungen!$B$4)</f>
        <v>29.13</v>
      </c>
      <c r="E13966" s="14" t="str">
        <f aca="false">IF(C13966="","",C13966*D13966/100)</f>
        <v/>
      </c>
      <c r="F13966" s="15" t="str">
        <f aca="false">IF(B13966&lt;5,"Go","Standard")</f>
        <v>Standard</v>
      </c>
    </row>
    <row r="13967" customFormat="false" ht="15" hidden="false" customHeight="true" outlineLevel="0" collapsed="false">
      <c r="A13967" s="10" t="n">
        <f aca="false">Einstellungen!$B$5+INT((ROW()-9)/24)</f>
        <v>46547</v>
      </c>
      <c r="B13967" s="11" t="n">
        <f aca="false">MOD(ROW()-9,24)</f>
        <v>14</v>
      </c>
      <c r="C13967" s="12"/>
      <c r="D13967" s="13" t="n">
        <f aca="false">IF(B13967&lt;5,Einstellungen!$B$3,Einstellungen!$B$4)</f>
        <v>29.13</v>
      </c>
      <c r="E13967" s="14" t="str">
        <f aca="false">IF(C13967="","",C13967*D13967/100)</f>
        <v/>
      </c>
      <c r="F13967" s="15" t="str">
        <f aca="false">IF(B13967&lt;5,"Go","Standard")</f>
        <v>Standard</v>
      </c>
    </row>
    <row r="13968" customFormat="false" ht="15" hidden="false" customHeight="true" outlineLevel="0" collapsed="false">
      <c r="A13968" s="10" t="n">
        <f aca="false">Einstellungen!$B$5+INT((ROW()-9)/24)</f>
        <v>46547</v>
      </c>
      <c r="B13968" s="11" t="n">
        <f aca="false">MOD(ROW()-9,24)</f>
        <v>15</v>
      </c>
      <c r="C13968" s="12"/>
      <c r="D13968" s="13" t="n">
        <f aca="false">IF(B13968&lt;5,Einstellungen!$B$3,Einstellungen!$B$4)</f>
        <v>29.13</v>
      </c>
      <c r="E13968" s="14" t="str">
        <f aca="false">IF(C13968="","",C13968*D13968/100)</f>
        <v/>
      </c>
      <c r="F13968" s="15" t="str">
        <f aca="false">IF(B13968&lt;5,"Go","Standard")</f>
        <v>Standard</v>
      </c>
    </row>
    <row r="13969" customFormat="false" ht="15" hidden="false" customHeight="true" outlineLevel="0" collapsed="false">
      <c r="A13969" s="10" t="n">
        <f aca="false">Einstellungen!$B$5+INT((ROW()-9)/24)</f>
        <v>46547</v>
      </c>
      <c r="B13969" s="11" t="n">
        <f aca="false">MOD(ROW()-9,24)</f>
        <v>16</v>
      </c>
      <c r="C13969" s="12"/>
      <c r="D13969" s="13" t="n">
        <f aca="false">IF(B13969&lt;5,Einstellungen!$B$3,Einstellungen!$B$4)</f>
        <v>29.13</v>
      </c>
      <c r="E13969" s="14" t="str">
        <f aca="false">IF(C13969="","",C13969*D13969/100)</f>
        <v/>
      </c>
      <c r="F13969" s="15" t="str">
        <f aca="false">IF(B13969&lt;5,"Go","Standard")</f>
        <v>Standard</v>
      </c>
    </row>
    <row r="13970" customFormat="false" ht="15" hidden="false" customHeight="true" outlineLevel="0" collapsed="false">
      <c r="A13970" s="10" t="n">
        <f aca="false">Einstellungen!$B$5+INT((ROW()-9)/24)</f>
        <v>46547</v>
      </c>
      <c r="B13970" s="11" t="n">
        <f aca="false">MOD(ROW()-9,24)</f>
        <v>17</v>
      </c>
      <c r="C13970" s="12"/>
      <c r="D13970" s="13" t="n">
        <f aca="false">IF(B13970&lt;5,Einstellungen!$B$3,Einstellungen!$B$4)</f>
        <v>29.13</v>
      </c>
      <c r="E13970" s="14" t="str">
        <f aca="false">IF(C13970="","",C13970*D13970/100)</f>
        <v/>
      </c>
      <c r="F13970" s="15" t="str">
        <f aca="false">IF(B13970&lt;5,"Go","Standard")</f>
        <v>Standard</v>
      </c>
    </row>
    <row r="13971" customFormat="false" ht="15" hidden="false" customHeight="true" outlineLevel="0" collapsed="false">
      <c r="A13971" s="10" t="n">
        <f aca="false">Einstellungen!$B$5+INT((ROW()-9)/24)</f>
        <v>46547</v>
      </c>
      <c r="B13971" s="11" t="n">
        <f aca="false">MOD(ROW()-9,24)</f>
        <v>18</v>
      </c>
      <c r="C13971" s="12"/>
      <c r="D13971" s="13" t="n">
        <f aca="false">IF(B13971&lt;5,Einstellungen!$B$3,Einstellungen!$B$4)</f>
        <v>29.13</v>
      </c>
      <c r="E13971" s="14" t="str">
        <f aca="false">IF(C13971="","",C13971*D13971/100)</f>
        <v/>
      </c>
      <c r="F13971" s="15" t="str">
        <f aca="false">IF(B13971&lt;5,"Go","Standard")</f>
        <v>Standard</v>
      </c>
    </row>
    <row r="13972" customFormat="false" ht="15" hidden="false" customHeight="true" outlineLevel="0" collapsed="false">
      <c r="A13972" s="10" t="n">
        <f aca="false">Einstellungen!$B$5+INT((ROW()-9)/24)</f>
        <v>46547</v>
      </c>
      <c r="B13972" s="11" t="n">
        <f aca="false">MOD(ROW()-9,24)</f>
        <v>19</v>
      </c>
      <c r="C13972" s="12"/>
      <c r="D13972" s="13" t="n">
        <f aca="false">IF(B13972&lt;5,Einstellungen!$B$3,Einstellungen!$B$4)</f>
        <v>29.13</v>
      </c>
      <c r="E13972" s="14" t="str">
        <f aca="false">IF(C13972="","",C13972*D13972/100)</f>
        <v/>
      </c>
      <c r="F13972" s="15" t="str">
        <f aca="false">IF(B13972&lt;5,"Go","Standard")</f>
        <v>Standard</v>
      </c>
    </row>
    <row r="13973" customFormat="false" ht="15" hidden="false" customHeight="true" outlineLevel="0" collapsed="false">
      <c r="A13973" s="10" t="n">
        <f aca="false">Einstellungen!$B$5+INT((ROW()-9)/24)</f>
        <v>46547</v>
      </c>
      <c r="B13973" s="11" t="n">
        <f aca="false">MOD(ROW()-9,24)</f>
        <v>20</v>
      </c>
      <c r="C13973" s="12"/>
      <c r="D13973" s="13" t="n">
        <f aca="false">IF(B13973&lt;5,Einstellungen!$B$3,Einstellungen!$B$4)</f>
        <v>29.13</v>
      </c>
      <c r="E13973" s="14" t="str">
        <f aca="false">IF(C13973="","",C13973*D13973/100)</f>
        <v/>
      </c>
      <c r="F13973" s="15" t="str">
        <f aca="false">IF(B13973&lt;5,"Go","Standard")</f>
        <v>Standard</v>
      </c>
    </row>
    <row r="13974" customFormat="false" ht="15" hidden="false" customHeight="true" outlineLevel="0" collapsed="false">
      <c r="A13974" s="10" t="n">
        <f aca="false">Einstellungen!$B$5+INT((ROW()-9)/24)</f>
        <v>46547</v>
      </c>
      <c r="B13974" s="11" t="n">
        <f aca="false">MOD(ROW()-9,24)</f>
        <v>21</v>
      </c>
      <c r="C13974" s="12"/>
      <c r="D13974" s="13" t="n">
        <f aca="false">IF(B13974&lt;5,Einstellungen!$B$3,Einstellungen!$B$4)</f>
        <v>29.13</v>
      </c>
      <c r="E13974" s="14" t="str">
        <f aca="false">IF(C13974="","",C13974*D13974/100)</f>
        <v/>
      </c>
      <c r="F13974" s="15" t="str">
        <f aca="false">IF(B13974&lt;5,"Go","Standard")</f>
        <v>Standard</v>
      </c>
    </row>
    <row r="13975" customFormat="false" ht="15" hidden="false" customHeight="true" outlineLevel="0" collapsed="false">
      <c r="A13975" s="10" t="n">
        <f aca="false">Einstellungen!$B$5+INT((ROW()-9)/24)</f>
        <v>46547</v>
      </c>
      <c r="B13975" s="11" t="n">
        <f aca="false">MOD(ROW()-9,24)</f>
        <v>22</v>
      </c>
      <c r="C13975" s="12"/>
      <c r="D13975" s="13" t="n">
        <f aca="false">IF(B13975&lt;5,Einstellungen!$B$3,Einstellungen!$B$4)</f>
        <v>29.13</v>
      </c>
      <c r="E13975" s="14" t="str">
        <f aca="false">IF(C13975="","",C13975*D13975/100)</f>
        <v/>
      </c>
      <c r="F13975" s="15" t="str">
        <f aca="false">IF(B13975&lt;5,"Go","Standard")</f>
        <v>Standard</v>
      </c>
    </row>
    <row r="13976" customFormat="false" ht="15" hidden="false" customHeight="true" outlineLevel="0" collapsed="false">
      <c r="A13976" s="10" t="n">
        <f aca="false">Einstellungen!$B$5+INT((ROW()-9)/24)</f>
        <v>46547</v>
      </c>
      <c r="B13976" s="11" t="n">
        <f aca="false">MOD(ROW()-9,24)</f>
        <v>23</v>
      </c>
      <c r="C13976" s="12"/>
      <c r="D13976" s="13" t="n">
        <f aca="false">IF(B13976&lt;5,Einstellungen!$B$3,Einstellungen!$B$4)</f>
        <v>29.13</v>
      </c>
      <c r="E13976" s="14" t="str">
        <f aca="false">IF(C13976="","",C13976*D13976/100)</f>
        <v/>
      </c>
      <c r="F13976" s="15" t="str">
        <f aca="false">IF(B13976&lt;5,"Go","Standard")</f>
        <v>Standard</v>
      </c>
    </row>
    <row r="13977" customFormat="false" ht="15" hidden="false" customHeight="true" outlineLevel="0" collapsed="false">
      <c r="A13977" s="10" t="n">
        <f aca="false">Einstellungen!$B$5+INT((ROW()-9)/24)</f>
        <v>46548</v>
      </c>
      <c r="B13977" s="11" t="n">
        <f aca="false">MOD(ROW()-9,24)</f>
        <v>0</v>
      </c>
      <c r="C13977" s="12"/>
      <c r="D13977" s="13" t="n">
        <f aca="false">IF(B13977&lt;5,Einstellungen!$B$3,Einstellungen!$B$4)</f>
        <v>15.92</v>
      </c>
      <c r="E13977" s="14" t="str">
        <f aca="false">IF(C13977="","",C13977*D13977/100)</f>
        <v/>
      </c>
      <c r="F13977" s="15" t="str">
        <f aca="false">IF(B13977&lt;5,"Go","Standard")</f>
        <v>Go</v>
      </c>
    </row>
    <row r="13978" customFormat="false" ht="15" hidden="false" customHeight="true" outlineLevel="0" collapsed="false">
      <c r="A13978" s="10" t="n">
        <f aca="false">Einstellungen!$B$5+INT((ROW()-9)/24)</f>
        <v>46548</v>
      </c>
      <c r="B13978" s="11" t="n">
        <f aca="false">MOD(ROW()-9,24)</f>
        <v>1</v>
      </c>
      <c r="C13978" s="12"/>
      <c r="D13978" s="13" t="n">
        <f aca="false">IF(B13978&lt;5,Einstellungen!$B$3,Einstellungen!$B$4)</f>
        <v>15.92</v>
      </c>
      <c r="E13978" s="14" t="str">
        <f aca="false">IF(C13978="","",C13978*D13978/100)</f>
        <v/>
      </c>
      <c r="F13978" s="15" t="str">
        <f aca="false">IF(B13978&lt;5,"Go","Standard")</f>
        <v>Go</v>
      </c>
    </row>
    <row r="13979" customFormat="false" ht="15" hidden="false" customHeight="true" outlineLevel="0" collapsed="false">
      <c r="A13979" s="10" t="n">
        <f aca="false">Einstellungen!$B$5+INT((ROW()-9)/24)</f>
        <v>46548</v>
      </c>
      <c r="B13979" s="11" t="n">
        <f aca="false">MOD(ROW()-9,24)</f>
        <v>2</v>
      </c>
      <c r="C13979" s="12"/>
      <c r="D13979" s="13" t="n">
        <f aca="false">IF(B13979&lt;5,Einstellungen!$B$3,Einstellungen!$B$4)</f>
        <v>15.92</v>
      </c>
      <c r="E13979" s="14" t="str">
        <f aca="false">IF(C13979="","",C13979*D13979/100)</f>
        <v/>
      </c>
      <c r="F13979" s="15" t="str">
        <f aca="false">IF(B13979&lt;5,"Go","Standard")</f>
        <v>Go</v>
      </c>
    </row>
    <row r="13980" customFormat="false" ht="15" hidden="false" customHeight="true" outlineLevel="0" collapsed="false">
      <c r="A13980" s="10" t="n">
        <f aca="false">Einstellungen!$B$5+INT((ROW()-9)/24)</f>
        <v>46548</v>
      </c>
      <c r="B13980" s="11" t="n">
        <f aca="false">MOD(ROW()-9,24)</f>
        <v>3</v>
      </c>
      <c r="C13980" s="12"/>
      <c r="D13980" s="13" t="n">
        <f aca="false">IF(B13980&lt;5,Einstellungen!$B$3,Einstellungen!$B$4)</f>
        <v>15.92</v>
      </c>
      <c r="E13980" s="14" t="str">
        <f aca="false">IF(C13980="","",C13980*D13980/100)</f>
        <v/>
      </c>
      <c r="F13980" s="15" t="str">
        <f aca="false">IF(B13980&lt;5,"Go","Standard")</f>
        <v>Go</v>
      </c>
    </row>
    <row r="13981" customFormat="false" ht="15" hidden="false" customHeight="true" outlineLevel="0" collapsed="false">
      <c r="A13981" s="10" t="n">
        <f aca="false">Einstellungen!$B$5+INT((ROW()-9)/24)</f>
        <v>46548</v>
      </c>
      <c r="B13981" s="11" t="n">
        <f aca="false">MOD(ROW()-9,24)</f>
        <v>4</v>
      </c>
      <c r="C13981" s="12"/>
      <c r="D13981" s="13" t="n">
        <f aca="false">IF(B13981&lt;5,Einstellungen!$B$3,Einstellungen!$B$4)</f>
        <v>15.92</v>
      </c>
      <c r="E13981" s="14" t="str">
        <f aca="false">IF(C13981="","",C13981*D13981/100)</f>
        <v/>
      </c>
      <c r="F13981" s="15" t="str">
        <f aca="false">IF(B13981&lt;5,"Go","Standard")</f>
        <v>Go</v>
      </c>
    </row>
    <row r="13982" customFormat="false" ht="15" hidden="false" customHeight="true" outlineLevel="0" collapsed="false">
      <c r="A13982" s="10" t="n">
        <f aca="false">Einstellungen!$B$5+INT((ROW()-9)/24)</f>
        <v>46548</v>
      </c>
      <c r="B13982" s="11" t="n">
        <f aca="false">MOD(ROW()-9,24)</f>
        <v>5</v>
      </c>
      <c r="C13982" s="12"/>
      <c r="D13982" s="13" t="n">
        <f aca="false">IF(B13982&lt;5,Einstellungen!$B$3,Einstellungen!$B$4)</f>
        <v>29.13</v>
      </c>
      <c r="E13982" s="14" t="str">
        <f aca="false">IF(C13982="","",C13982*D13982/100)</f>
        <v/>
      </c>
      <c r="F13982" s="15" t="str">
        <f aca="false">IF(B13982&lt;5,"Go","Standard")</f>
        <v>Standard</v>
      </c>
    </row>
    <row r="13983" customFormat="false" ht="15" hidden="false" customHeight="true" outlineLevel="0" collapsed="false">
      <c r="A13983" s="10" t="n">
        <f aca="false">Einstellungen!$B$5+INT((ROW()-9)/24)</f>
        <v>46548</v>
      </c>
      <c r="B13983" s="11" t="n">
        <f aca="false">MOD(ROW()-9,24)</f>
        <v>6</v>
      </c>
      <c r="C13983" s="12"/>
      <c r="D13983" s="13" t="n">
        <f aca="false">IF(B13983&lt;5,Einstellungen!$B$3,Einstellungen!$B$4)</f>
        <v>29.13</v>
      </c>
      <c r="E13983" s="14" t="str">
        <f aca="false">IF(C13983="","",C13983*D13983/100)</f>
        <v/>
      </c>
      <c r="F13983" s="15" t="str">
        <f aca="false">IF(B13983&lt;5,"Go","Standard")</f>
        <v>Standard</v>
      </c>
    </row>
    <row r="13984" customFormat="false" ht="15" hidden="false" customHeight="true" outlineLevel="0" collapsed="false">
      <c r="A13984" s="10" t="n">
        <f aca="false">Einstellungen!$B$5+INT((ROW()-9)/24)</f>
        <v>46548</v>
      </c>
      <c r="B13984" s="11" t="n">
        <f aca="false">MOD(ROW()-9,24)</f>
        <v>7</v>
      </c>
      <c r="C13984" s="12"/>
      <c r="D13984" s="13" t="n">
        <f aca="false">IF(B13984&lt;5,Einstellungen!$B$3,Einstellungen!$B$4)</f>
        <v>29.13</v>
      </c>
      <c r="E13984" s="14" t="str">
        <f aca="false">IF(C13984="","",C13984*D13984/100)</f>
        <v/>
      </c>
      <c r="F13984" s="15" t="str">
        <f aca="false">IF(B13984&lt;5,"Go","Standard")</f>
        <v>Standard</v>
      </c>
    </row>
    <row r="13985" customFormat="false" ht="15" hidden="false" customHeight="true" outlineLevel="0" collapsed="false">
      <c r="A13985" s="10" t="n">
        <f aca="false">Einstellungen!$B$5+INT((ROW()-9)/24)</f>
        <v>46548</v>
      </c>
      <c r="B13985" s="11" t="n">
        <f aca="false">MOD(ROW()-9,24)</f>
        <v>8</v>
      </c>
      <c r="C13985" s="12"/>
      <c r="D13985" s="13" t="n">
        <f aca="false">IF(B13985&lt;5,Einstellungen!$B$3,Einstellungen!$B$4)</f>
        <v>29.13</v>
      </c>
      <c r="E13985" s="14" t="str">
        <f aca="false">IF(C13985="","",C13985*D13985/100)</f>
        <v/>
      </c>
      <c r="F13985" s="15" t="str">
        <f aca="false">IF(B13985&lt;5,"Go","Standard")</f>
        <v>Standard</v>
      </c>
    </row>
    <row r="13986" customFormat="false" ht="15" hidden="false" customHeight="true" outlineLevel="0" collapsed="false">
      <c r="A13986" s="10" t="n">
        <f aca="false">Einstellungen!$B$5+INT((ROW()-9)/24)</f>
        <v>46548</v>
      </c>
      <c r="B13986" s="11" t="n">
        <f aca="false">MOD(ROW()-9,24)</f>
        <v>9</v>
      </c>
      <c r="C13986" s="12"/>
      <c r="D13986" s="13" t="n">
        <f aca="false">IF(B13986&lt;5,Einstellungen!$B$3,Einstellungen!$B$4)</f>
        <v>29.13</v>
      </c>
      <c r="E13986" s="14" t="str">
        <f aca="false">IF(C13986="","",C13986*D13986/100)</f>
        <v/>
      </c>
      <c r="F13986" s="15" t="str">
        <f aca="false">IF(B13986&lt;5,"Go","Standard")</f>
        <v>Standard</v>
      </c>
    </row>
    <row r="13987" customFormat="false" ht="15" hidden="false" customHeight="true" outlineLevel="0" collapsed="false">
      <c r="A13987" s="10" t="n">
        <f aca="false">Einstellungen!$B$5+INT((ROW()-9)/24)</f>
        <v>46548</v>
      </c>
      <c r="B13987" s="11" t="n">
        <f aca="false">MOD(ROW()-9,24)</f>
        <v>10</v>
      </c>
      <c r="C13987" s="12"/>
      <c r="D13987" s="13" t="n">
        <f aca="false">IF(B13987&lt;5,Einstellungen!$B$3,Einstellungen!$B$4)</f>
        <v>29.13</v>
      </c>
      <c r="E13987" s="14" t="str">
        <f aca="false">IF(C13987="","",C13987*D13987/100)</f>
        <v/>
      </c>
      <c r="F13987" s="15" t="str">
        <f aca="false">IF(B13987&lt;5,"Go","Standard")</f>
        <v>Standard</v>
      </c>
    </row>
    <row r="13988" customFormat="false" ht="15" hidden="false" customHeight="true" outlineLevel="0" collapsed="false">
      <c r="A13988" s="10" t="n">
        <f aca="false">Einstellungen!$B$5+INT((ROW()-9)/24)</f>
        <v>46548</v>
      </c>
      <c r="B13988" s="11" t="n">
        <f aca="false">MOD(ROW()-9,24)</f>
        <v>11</v>
      </c>
      <c r="C13988" s="12"/>
      <c r="D13988" s="13" t="n">
        <f aca="false">IF(B13988&lt;5,Einstellungen!$B$3,Einstellungen!$B$4)</f>
        <v>29.13</v>
      </c>
      <c r="E13988" s="14" t="str">
        <f aca="false">IF(C13988="","",C13988*D13988/100)</f>
        <v/>
      </c>
      <c r="F13988" s="15" t="str">
        <f aca="false">IF(B13988&lt;5,"Go","Standard")</f>
        <v>Standard</v>
      </c>
    </row>
    <row r="13989" customFormat="false" ht="15" hidden="false" customHeight="true" outlineLevel="0" collapsed="false">
      <c r="A13989" s="10" t="n">
        <f aca="false">Einstellungen!$B$5+INT((ROW()-9)/24)</f>
        <v>46548</v>
      </c>
      <c r="B13989" s="11" t="n">
        <f aca="false">MOD(ROW()-9,24)</f>
        <v>12</v>
      </c>
      <c r="C13989" s="12"/>
      <c r="D13989" s="13" t="n">
        <f aca="false">IF(B13989&lt;5,Einstellungen!$B$3,Einstellungen!$B$4)</f>
        <v>29.13</v>
      </c>
      <c r="E13989" s="14" t="str">
        <f aca="false">IF(C13989="","",C13989*D13989/100)</f>
        <v/>
      </c>
      <c r="F13989" s="15" t="str">
        <f aca="false">IF(B13989&lt;5,"Go","Standard")</f>
        <v>Standard</v>
      </c>
    </row>
    <row r="13990" customFormat="false" ht="15" hidden="false" customHeight="true" outlineLevel="0" collapsed="false">
      <c r="A13990" s="10" t="n">
        <f aca="false">Einstellungen!$B$5+INT((ROW()-9)/24)</f>
        <v>46548</v>
      </c>
      <c r="B13990" s="11" t="n">
        <f aca="false">MOD(ROW()-9,24)</f>
        <v>13</v>
      </c>
      <c r="C13990" s="12"/>
      <c r="D13990" s="13" t="n">
        <f aca="false">IF(B13990&lt;5,Einstellungen!$B$3,Einstellungen!$B$4)</f>
        <v>29.13</v>
      </c>
      <c r="E13990" s="14" t="str">
        <f aca="false">IF(C13990="","",C13990*D13990/100)</f>
        <v/>
      </c>
      <c r="F13990" s="15" t="str">
        <f aca="false">IF(B13990&lt;5,"Go","Standard")</f>
        <v>Standard</v>
      </c>
    </row>
    <row r="13991" customFormat="false" ht="15" hidden="false" customHeight="true" outlineLevel="0" collapsed="false">
      <c r="A13991" s="10" t="n">
        <f aca="false">Einstellungen!$B$5+INT((ROW()-9)/24)</f>
        <v>46548</v>
      </c>
      <c r="B13991" s="11" t="n">
        <f aca="false">MOD(ROW()-9,24)</f>
        <v>14</v>
      </c>
      <c r="C13991" s="12"/>
      <c r="D13991" s="13" t="n">
        <f aca="false">IF(B13991&lt;5,Einstellungen!$B$3,Einstellungen!$B$4)</f>
        <v>29.13</v>
      </c>
      <c r="E13991" s="14" t="str">
        <f aca="false">IF(C13991="","",C13991*D13991/100)</f>
        <v/>
      </c>
      <c r="F13991" s="15" t="str">
        <f aca="false">IF(B13991&lt;5,"Go","Standard")</f>
        <v>Standard</v>
      </c>
    </row>
    <row r="13992" customFormat="false" ht="15" hidden="false" customHeight="true" outlineLevel="0" collapsed="false">
      <c r="A13992" s="10" t="n">
        <f aca="false">Einstellungen!$B$5+INT((ROW()-9)/24)</f>
        <v>46548</v>
      </c>
      <c r="B13992" s="11" t="n">
        <f aca="false">MOD(ROW()-9,24)</f>
        <v>15</v>
      </c>
      <c r="C13992" s="12"/>
      <c r="D13992" s="13" t="n">
        <f aca="false">IF(B13992&lt;5,Einstellungen!$B$3,Einstellungen!$B$4)</f>
        <v>29.13</v>
      </c>
      <c r="E13992" s="14" t="str">
        <f aca="false">IF(C13992="","",C13992*D13992/100)</f>
        <v/>
      </c>
      <c r="F13992" s="15" t="str">
        <f aca="false">IF(B13992&lt;5,"Go","Standard")</f>
        <v>Standard</v>
      </c>
    </row>
    <row r="13993" customFormat="false" ht="15" hidden="false" customHeight="true" outlineLevel="0" collapsed="false">
      <c r="A13993" s="10" t="n">
        <f aca="false">Einstellungen!$B$5+INT((ROW()-9)/24)</f>
        <v>46548</v>
      </c>
      <c r="B13993" s="11" t="n">
        <f aca="false">MOD(ROW()-9,24)</f>
        <v>16</v>
      </c>
      <c r="C13993" s="12"/>
      <c r="D13993" s="13" t="n">
        <f aca="false">IF(B13993&lt;5,Einstellungen!$B$3,Einstellungen!$B$4)</f>
        <v>29.13</v>
      </c>
      <c r="E13993" s="14" t="str">
        <f aca="false">IF(C13993="","",C13993*D13993/100)</f>
        <v/>
      </c>
      <c r="F13993" s="15" t="str">
        <f aca="false">IF(B13993&lt;5,"Go","Standard")</f>
        <v>Standard</v>
      </c>
    </row>
    <row r="13994" customFormat="false" ht="15" hidden="false" customHeight="true" outlineLevel="0" collapsed="false">
      <c r="A13994" s="10" t="n">
        <f aca="false">Einstellungen!$B$5+INT((ROW()-9)/24)</f>
        <v>46548</v>
      </c>
      <c r="B13994" s="11" t="n">
        <f aca="false">MOD(ROW()-9,24)</f>
        <v>17</v>
      </c>
      <c r="C13994" s="12"/>
      <c r="D13994" s="13" t="n">
        <f aca="false">IF(B13994&lt;5,Einstellungen!$B$3,Einstellungen!$B$4)</f>
        <v>29.13</v>
      </c>
      <c r="E13994" s="14" t="str">
        <f aca="false">IF(C13994="","",C13994*D13994/100)</f>
        <v/>
      </c>
      <c r="F13994" s="15" t="str">
        <f aca="false">IF(B13994&lt;5,"Go","Standard")</f>
        <v>Standard</v>
      </c>
    </row>
    <row r="13995" customFormat="false" ht="15" hidden="false" customHeight="true" outlineLevel="0" collapsed="false">
      <c r="A13995" s="10" t="n">
        <f aca="false">Einstellungen!$B$5+INT((ROW()-9)/24)</f>
        <v>46548</v>
      </c>
      <c r="B13995" s="11" t="n">
        <f aca="false">MOD(ROW()-9,24)</f>
        <v>18</v>
      </c>
      <c r="C13995" s="12"/>
      <c r="D13995" s="13" t="n">
        <f aca="false">IF(B13995&lt;5,Einstellungen!$B$3,Einstellungen!$B$4)</f>
        <v>29.13</v>
      </c>
      <c r="E13995" s="14" t="str">
        <f aca="false">IF(C13995="","",C13995*D13995/100)</f>
        <v/>
      </c>
      <c r="F13995" s="15" t="str">
        <f aca="false">IF(B13995&lt;5,"Go","Standard")</f>
        <v>Standard</v>
      </c>
    </row>
    <row r="13996" customFormat="false" ht="15" hidden="false" customHeight="true" outlineLevel="0" collapsed="false">
      <c r="A13996" s="10" t="n">
        <f aca="false">Einstellungen!$B$5+INT((ROW()-9)/24)</f>
        <v>46548</v>
      </c>
      <c r="B13996" s="11" t="n">
        <f aca="false">MOD(ROW()-9,24)</f>
        <v>19</v>
      </c>
      <c r="C13996" s="12"/>
      <c r="D13996" s="13" t="n">
        <f aca="false">IF(B13996&lt;5,Einstellungen!$B$3,Einstellungen!$B$4)</f>
        <v>29.13</v>
      </c>
      <c r="E13996" s="14" t="str">
        <f aca="false">IF(C13996="","",C13996*D13996/100)</f>
        <v/>
      </c>
      <c r="F13996" s="15" t="str">
        <f aca="false">IF(B13996&lt;5,"Go","Standard")</f>
        <v>Standard</v>
      </c>
    </row>
    <row r="13997" customFormat="false" ht="15" hidden="false" customHeight="true" outlineLevel="0" collapsed="false">
      <c r="A13997" s="10" t="n">
        <f aca="false">Einstellungen!$B$5+INT((ROW()-9)/24)</f>
        <v>46548</v>
      </c>
      <c r="B13997" s="11" t="n">
        <f aca="false">MOD(ROW()-9,24)</f>
        <v>20</v>
      </c>
      <c r="C13997" s="12"/>
      <c r="D13997" s="13" t="n">
        <f aca="false">IF(B13997&lt;5,Einstellungen!$B$3,Einstellungen!$B$4)</f>
        <v>29.13</v>
      </c>
      <c r="E13997" s="14" t="str">
        <f aca="false">IF(C13997="","",C13997*D13997/100)</f>
        <v/>
      </c>
      <c r="F13997" s="15" t="str">
        <f aca="false">IF(B13997&lt;5,"Go","Standard")</f>
        <v>Standard</v>
      </c>
    </row>
    <row r="13998" customFormat="false" ht="15" hidden="false" customHeight="true" outlineLevel="0" collapsed="false">
      <c r="A13998" s="10" t="n">
        <f aca="false">Einstellungen!$B$5+INT((ROW()-9)/24)</f>
        <v>46548</v>
      </c>
      <c r="B13998" s="11" t="n">
        <f aca="false">MOD(ROW()-9,24)</f>
        <v>21</v>
      </c>
      <c r="C13998" s="12"/>
      <c r="D13998" s="13" t="n">
        <f aca="false">IF(B13998&lt;5,Einstellungen!$B$3,Einstellungen!$B$4)</f>
        <v>29.13</v>
      </c>
      <c r="E13998" s="14" t="str">
        <f aca="false">IF(C13998="","",C13998*D13998/100)</f>
        <v/>
      </c>
      <c r="F13998" s="15" t="str">
        <f aca="false">IF(B13998&lt;5,"Go","Standard")</f>
        <v>Standard</v>
      </c>
    </row>
    <row r="13999" customFormat="false" ht="15" hidden="false" customHeight="true" outlineLevel="0" collapsed="false">
      <c r="A13999" s="10" t="n">
        <f aca="false">Einstellungen!$B$5+INT((ROW()-9)/24)</f>
        <v>46548</v>
      </c>
      <c r="B13999" s="11" t="n">
        <f aca="false">MOD(ROW()-9,24)</f>
        <v>22</v>
      </c>
      <c r="C13999" s="12"/>
      <c r="D13999" s="13" t="n">
        <f aca="false">IF(B13999&lt;5,Einstellungen!$B$3,Einstellungen!$B$4)</f>
        <v>29.13</v>
      </c>
      <c r="E13999" s="14" t="str">
        <f aca="false">IF(C13999="","",C13999*D13999/100)</f>
        <v/>
      </c>
      <c r="F13999" s="15" t="str">
        <f aca="false">IF(B13999&lt;5,"Go","Standard")</f>
        <v>Standard</v>
      </c>
    </row>
    <row r="14000" customFormat="false" ht="15" hidden="false" customHeight="true" outlineLevel="0" collapsed="false">
      <c r="A14000" s="10" t="n">
        <f aca="false">Einstellungen!$B$5+INT((ROW()-9)/24)</f>
        <v>46548</v>
      </c>
      <c r="B14000" s="11" t="n">
        <f aca="false">MOD(ROW()-9,24)</f>
        <v>23</v>
      </c>
      <c r="C14000" s="12"/>
      <c r="D14000" s="13" t="n">
        <f aca="false">IF(B14000&lt;5,Einstellungen!$B$3,Einstellungen!$B$4)</f>
        <v>29.13</v>
      </c>
      <c r="E14000" s="14" t="str">
        <f aca="false">IF(C14000="","",C14000*D14000/100)</f>
        <v/>
      </c>
      <c r="F14000" s="15" t="str">
        <f aca="false">IF(B14000&lt;5,"Go","Standard")</f>
        <v>Standard</v>
      </c>
    </row>
    <row r="14001" customFormat="false" ht="15" hidden="false" customHeight="true" outlineLevel="0" collapsed="false">
      <c r="A14001" s="10" t="n">
        <f aca="false">Einstellungen!$B$5+INT((ROW()-9)/24)</f>
        <v>46549</v>
      </c>
      <c r="B14001" s="11" t="n">
        <f aca="false">MOD(ROW()-9,24)</f>
        <v>0</v>
      </c>
      <c r="C14001" s="12"/>
      <c r="D14001" s="13" t="n">
        <f aca="false">IF(B14001&lt;5,Einstellungen!$B$3,Einstellungen!$B$4)</f>
        <v>15.92</v>
      </c>
      <c r="E14001" s="14" t="str">
        <f aca="false">IF(C14001="","",C14001*D14001/100)</f>
        <v/>
      </c>
      <c r="F14001" s="15" t="str">
        <f aca="false">IF(B14001&lt;5,"Go","Standard")</f>
        <v>Go</v>
      </c>
    </row>
    <row r="14002" customFormat="false" ht="15" hidden="false" customHeight="true" outlineLevel="0" collapsed="false">
      <c r="A14002" s="10" t="n">
        <f aca="false">Einstellungen!$B$5+INT((ROW()-9)/24)</f>
        <v>46549</v>
      </c>
      <c r="B14002" s="11" t="n">
        <f aca="false">MOD(ROW()-9,24)</f>
        <v>1</v>
      </c>
      <c r="C14002" s="12"/>
      <c r="D14002" s="13" t="n">
        <f aca="false">IF(B14002&lt;5,Einstellungen!$B$3,Einstellungen!$B$4)</f>
        <v>15.92</v>
      </c>
      <c r="E14002" s="14" t="str">
        <f aca="false">IF(C14002="","",C14002*D14002/100)</f>
        <v/>
      </c>
      <c r="F14002" s="15" t="str">
        <f aca="false">IF(B14002&lt;5,"Go","Standard")</f>
        <v>Go</v>
      </c>
    </row>
    <row r="14003" customFormat="false" ht="15" hidden="false" customHeight="true" outlineLevel="0" collapsed="false">
      <c r="A14003" s="10" t="n">
        <f aca="false">Einstellungen!$B$5+INT((ROW()-9)/24)</f>
        <v>46549</v>
      </c>
      <c r="B14003" s="11" t="n">
        <f aca="false">MOD(ROW()-9,24)</f>
        <v>2</v>
      </c>
      <c r="C14003" s="12"/>
      <c r="D14003" s="13" t="n">
        <f aca="false">IF(B14003&lt;5,Einstellungen!$B$3,Einstellungen!$B$4)</f>
        <v>15.92</v>
      </c>
      <c r="E14003" s="14" t="str">
        <f aca="false">IF(C14003="","",C14003*D14003/100)</f>
        <v/>
      </c>
      <c r="F14003" s="15" t="str">
        <f aca="false">IF(B14003&lt;5,"Go","Standard")</f>
        <v>Go</v>
      </c>
    </row>
    <row r="14004" customFormat="false" ht="15" hidden="false" customHeight="true" outlineLevel="0" collapsed="false">
      <c r="A14004" s="10" t="n">
        <f aca="false">Einstellungen!$B$5+INT((ROW()-9)/24)</f>
        <v>46549</v>
      </c>
      <c r="B14004" s="11" t="n">
        <f aca="false">MOD(ROW()-9,24)</f>
        <v>3</v>
      </c>
      <c r="C14004" s="12"/>
      <c r="D14004" s="13" t="n">
        <f aca="false">IF(B14004&lt;5,Einstellungen!$B$3,Einstellungen!$B$4)</f>
        <v>15.92</v>
      </c>
      <c r="E14004" s="14" t="str">
        <f aca="false">IF(C14004="","",C14004*D14004/100)</f>
        <v/>
      </c>
      <c r="F14004" s="15" t="str">
        <f aca="false">IF(B14004&lt;5,"Go","Standard")</f>
        <v>Go</v>
      </c>
    </row>
    <row r="14005" customFormat="false" ht="15" hidden="false" customHeight="true" outlineLevel="0" collapsed="false">
      <c r="A14005" s="10" t="n">
        <f aca="false">Einstellungen!$B$5+INT((ROW()-9)/24)</f>
        <v>46549</v>
      </c>
      <c r="B14005" s="11" t="n">
        <f aca="false">MOD(ROW()-9,24)</f>
        <v>4</v>
      </c>
      <c r="C14005" s="12"/>
      <c r="D14005" s="13" t="n">
        <f aca="false">IF(B14005&lt;5,Einstellungen!$B$3,Einstellungen!$B$4)</f>
        <v>15.92</v>
      </c>
      <c r="E14005" s="14" t="str">
        <f aca="false">IF(C14005="","",C14005*D14005/100)</f>
        <v/>
      </c>
      <c r="F14005" s="15" t="str">
        <f aca="false">IF(B14005&lt;5,"Go","Standard")</f>
        <v>Go</v>
      </c>
    </row>
    <row r="14006" customFormat="false" ht="15" hidden="false" customHeight="true" outlineLevel="0" collapsed="false">
      <c r="A14006" s="10" t="n">
        <f aca="false">Einstellungen!$B$5+INT((ROW()-9)/24)</f>
        <v>46549</v>
      </c>
      <c r="B14006" s="11" t="n">
        <f aca="false">MOD(ROW()-9,24)</f>
        <v>5</v>
      </c>
      <c r="C14006" s="12"/>
      <c r="D14006" s="13" t="n">
        <f aca="false">IF(B14006&lt;5,Einstellungen!$B$3,Einstellungen!$B$4)</f>
        <v>29.13</v>
      </c>
      <c r="E14006" s="14" t="str">
        <f aca="false">IF(C14006="","",C14006*D14006/100)</f>
        <v/>
      </c>
      <c r="F14006" s="15" t="str">
        <f aca="false">IF(B14006&lt;5,"Go","Standard")</f>
        <v>Standard</v>
      </c>
    </row>
    <row r="14007" customFormat="false" ht="15" hidden="false" customHeight="true" outlineLevel="0" collapsed="false">
      <c r="A14007" s="10" t="n">
        <f aca="false">Einstellungen!$B$5+INT((ROW()-9)/24)</f>
        <v>46549</v>
      </c>
      <c r="B14007" s="11" t="n">
        <f aca="false">MOD(ROW()-9,24)</f>
        <v>6</v>
      </c>
      <c r="C14007" s="12"/>
      <c r="D14007" s="13" t="n">
        <f aca="false">IF(B14007&lt;5,Einstellungen!$B$3,Einstellungen!$B$4)</f>
        <v>29.13</v>
      </c>
      <c r="E14007" s="14" t="str">
        <f aca="false">IF(C14007="","",C14007*D14007/100)</f>
        <v/>
      </c>
      <c r="F14007" s="15" t="str">
        <f aca="false">IF(B14007&lt;5,"Go","Standard")</f>
        <v>Standard</v>
      </c>
    </row>
    <row r="14008" customFormat="false" ht="15" hidden="false" customHeight="true" outlineLevel="0" collapsed="false">
      <c r="A14008" s="10" t="n">
        <f aca="false">Einstellungen!$B$5+INT((ROW()-9)/24)</f>
        <v>46549</v>
      </c>
      <c r="B14008" s="11" t="n">
        <f aca="false">MOD(ROW()-9,24)</f>
        <v>7</v>
      </c>
      <c r="C14008" s="12"/>
      <c r="D14008" s="13" t="n">
        <f aca="false">IF(B14008&lt;5,Einstellungen!$B$3,Einstellungen!$B$4)</f>
        <v>29.13</v>
      </c>
      <c r="E14008" s="14" t="str">
        <f aca="false">IF(C14008="","",C14008*D14008/100)</f>
        <v/>
      </c>
      <c r="F14008" s="15" t="str">
        <f aca="false">IF(B14008&lt;5,"Go","Standard")</f>
        <v>Standard</v>
      </c>
    </row>
    <row r="14009" customFormat="false" ht="15" hidden="false" customHeight="true" outlineLevel="0" collapsed="false">
      <c r="A14009" s="10" t="n">
        <f aca="false">Einstellungen!$B$5+INT((ROW()-9)/24)</f>
        <v>46549</v>
      </c>
      <c r="B14009" s="11" t="n">
        <f aca="false">MOD(ROW()-9,24)</f>
        <v>8</v>
      </c>
      <c r="C14009" s="12"/>
      <c r="D14009" s="13" t="n">
        <f aca="false">IF(B14009&lt;5,Einstellungen!$B$3,Einstellungen!$B$4)</f>
        <v>29.13</v>
      </c>
      <c r="E14009" s="14" t="str">
        <f aca="false">IF(C14009="","",C14009*D14009/100)</f>
        <v/>
      </c>
      <c r="F14009" s="15" t="str">
        <f aca="false">IF(B14009&lt;5,"Go","Standard")</f>
        <v>Standard</v>
      </c>
    </row>
    <row r="14010" customFormat="false" ht="15" hidden="false" customHeight="true" outlineLevel="0" collapsed="false">
      <c r="A14010" s="10" t="n">
        <f aca="false">Einstellungen!$B$5+INT((ROW()-9)/24)</f>
        <v>46549</v>
      </c>
      <c r="B14010" s="11" t="n">
        <f aca="false">MOD(ROW()-9,24)</f>
        <v>9</v>
      </c>
      <c r="C14010" s="12"/>
      <c r="D14010" s="13" t="n">
        <f aca="false">IF(B14010&lt;5,Einstellungen!$B$3,Einstellungen!$B$4)</f>
        <v>29.13</v>
      </c>
      <c r="E14010" s="14" t="str">
        <f aca="false">IF(C14010="","",C14010*D14010/100)</f>
        <v/>
      </c>
      <c r="F14010" s="15" t="str">
        <f aca="false">IF(B14010&lt;5,"Go","Standard")</f>
        <v>Standard</v>
      </c>
    </row>
    <row r="14011" customFormat="false" ht="15" hidden="false" customHeight="true" outlineLevel="0" collapsed="false">
      <c r="A14011" s="10" t="n">
        <f aca="false">Einstellungen!$B$5+INT((ROW()-9)/24)</f>
        <v>46549</v>
      </c>
      <c r="B14011" s="11" t="n">
        <f aca="false">MOD(ROW()-9,24)</f>
        <v>10</v>
      </c>
      <c r="C14011" s="12"/>
      <c r="D14011" s="13" t="n">
        <f aca="false">IF(B14011&lt;5,Einstellungen!$B$3,Einstellungen!$B$4)</f>
        <v>29.13</v>
      </c>
      <c r="E14011" s="14" t="str">
        <f aca="false">IF(C14011="","",C14011*D14011/100)</f>
        <v/>
      </c>
      <c r="F14011" s="15" t="str">
        <f aca="false">IF(B14011&lt;5,"Go","Standard")</f>
        <v>Standard</v>
      </c>
    </row>
    <row r="14012" customFormat="false" ht="15" hidden="false" customHeight="true" outlineLevel="0" collapsed="false">
      <c r="A14012" s="10" t="n">
        <f aca="false">Einstellungen!$B$5+INT((ROW()-9)/24)</f>
        <v>46549</v>
      </c>
      <c r="B14012" s="11" t="n">
        <f aca="false">MOD(ROW()-9,24)</f>
        <v>11</v>
      </c>
      <c r="C14012" s="12"/>
      <c r="D14012" s="13" t="n">
        <f aca="false">IF(B14012&lt;5,Einstellungen!$B$3,Einstellungen!$B$4)</f>
        <v>29.13</v>
      </c>
      <c r="E14012" s="14" t="str">
        <f aca="false">IF(C14012="","",C14012*D14012/100)</f>
        <v/>
      </c>
      <c r="F14012" s="15" t="str">
        <f aca="false">IF(B14012&lt;5,"Go","Standard")</f>
        <v>Standard</v>
      </c>
    </row>
    <row r="14013" customFormat="false" ht="15" hidden="false" customHeight="true" outlineLevel="0" collapsed="false">
      <c r="A14013" s="10" t="n">
        <f aca="false">Einstellungen!$B$5+INT((ROW()-9)/24)</f>
        <v>46549</v>
      </c>
      <c r="B14013" s="11" t="n">
        <f aca="false">MOD(ROW()-9,24)</f>
        <v>12</v>
      </c>
      <c r="C14013" s="12"/>
      <c r="D14013" s="13" t="n">
        <f aca="false">IF(B14013&lt;5,Einstellungen!$B$3,Einstellungen!$B$4)</f>
        <v>29.13</v>
      </c>
      <c r="E14013" s="14" t="str">
        <f aca="false">IF(C14013="","",C14013*D14013/100)</f>
        <v/>
      </c>
      <c r="F14013" s="15" t="str">
        <f aca="false">IF(B14013&lt;5,"Go","Standard")</f>
        <v>Standard</v>
      </c>
    </row>
    <row r="14014" customFormat="false" ht="15" hidden="false" customHeight="true" outlineLevel="0" collapsed="false">
      <c r="A14014" s="10" t="n">
        <f aca="false">Einstellungen!$B$5+INT((ROW()-9)/24)</f>
        <v>46549</v>
      </c>
      <c r="B14014" s="11" t="n">
        <f aca="false">MOD(ROW()-9,24)</f>
        <v>13</v>
      </c>
      <c r="C14014" s="12"/>
      <c r="D14014" s="13" t="n">
        <f aca="false">IF(B14014&lt;5,Einstellungen!$B$3,Einstellungen!$B$4)</f>
        <v>29.13</v>
      </c>
      <c r="E14014" s="14" t="str">
        <f aca="false">IF(C14014="","",C14014*D14014/100)</f>
        <v/>
      </c>
      <c r="F14014" s="15" t="str">
        <f aca="false">IF(B14014&lt;5,"Go","Standard")</f>
        <v>Standard</v>
      </c>
    </row>
    <row r="14015" customFormat="false" ht="15" hidden="false" customHeight="true" outlineLevel="0" collapsed="false">
      <c r="A14015" s="10" t="n">
        <f aca="false">Einstellungen!$B$5+INT((ROW()-9)/24)</f>
        <v>46549</v>
      </c>
      <c r="B14015" s="11" t="n">
        <f aca="false">MOD(ROW()-9,24)</f>
        <v>14</v>
      </c>
      <c r="C14015" s="12"/>
      <c r="D14015" s="13" t="n">
        <f aca="false">IF(B14015&lt;5,Einstellungen!$B$3,Einstellungen!$B$4)</f>
        <v>29.13</v>
      </c>
      <c r="E14015" s="14" t="str">
        <f aca="false">IF(C14015="","",C14015*D14015/100)</f>
        <v/>
      </c>
      <c r="F14015" s="15" t="str">
        <f aca="false">IF(B14015&lt;5,"Go","Standard")</f>
        <v>Standard</v>
      </c>
    </row>
    <row r="14016" customFormat="false" ht="15" hidden="false" customHeight="true" outlineLevel="0" collapsed="false">
      <c r="A14016" s="10" t="n">
        <f aca="false">Einstellungen!$B$5+INT((ROW()-9)/24)</f>
        <v>46549</v>
      </c>
      <c r="B14016" s="11" t="n">
        <f aca="false">MOD(ROW()-9,24)</f>
        <v>15</v>
      </c>
      <c r="C14016" s="12"/>
      <c r="D14016" s="13" t="n">
        <f aca="false">IF(B14016&lt;5,Einstellungen!$B$3,Einstellungen!$B$4)</f>
        <v>29.13</v>
      </c>
      <c r="E14016" s="14" t="str">
        <f aca="false">IF(C14016="","",C14016*D14016/100)</f>
        <v/>
      </c>
      <c r="F14016" s="15" t="str">
        <f aca="false">IF(B14016&lt;5,"Go","Standard")</f>
        <v>Standard</v>
      </c>
    </row>
    <row r="14017" customFormat="false" ht="15" hidden="false" customHeight="true" outlineLevel="0" collapsed="false">
      <c r="A14017" s="10" t="n">
        <f aca="false">Einstellungen!$B$5+INT((ROW()-9)/24)</f>
        <v>46549</v>
      </c>
      <c r="B14017" s="11" t="n">
        <f aca="false">MOD(ROW()-9,24)</f>
        <v>16</v>
      </c>
      <c r="C14017" s="12"/>
      <c r="D14017" s="13" t="n">
        <f aca="false">IF(B14017&lt;5,Einstellungen!$B$3,Einstellungen!$B$4)</f>
        <v>29.13</v>
      </c>
      <c r="E14017" s="14" t="str">
        <f aca="false">IF(C14017="","",C14017*D14017/100)</f>
        <v/>
      </c>
      <c r="F14017" s="15" t="str">
        <f aca="false">IF(B14017&lt;5,"Go","Standard")</f>
        <v>Standard</v>
      </c>
    </row>
    <row r="14018" customFormat="false" ht="15" hidden="false" customHeight="true" outlineLevel="0" collapsed="false">
      <c r="A14018" s="10" t="n">
        <f aca="false">Einstellungen!$B$5+INT((ROW()-9)/24)</f>
        <v>46549</v>
      </c>
      <c r="B14018" s="11" t="n">
        <f aca="false">MOD(ROW()-9,24)</f>
        <v>17</v>
      </c>
      <c r="C14018" s="12"/>
      <c r="D14018" s="13" t="n">
        <f aca="false">IF(B14018&lt;5,Einstellungen!$B$3,Einstellungen!$B$4)</f>
        <v>29.13</v>
      </c>
      <c r="E14018" s="14" t="str">
        <f aca="false">IF(C14018="","",C14018*D14018/100)</f>
        <v/>
      </c>
      <c r="F14018" s="15" t="str">
        <f aca="false">IF(B14018&lt;5,"Go","Standard")</f>
        <v>Standard</v>
      </c>
    </row>
    <row r="14019" customFormat="false" ht="15" hidden="false" customHeight="true" outlineLevel="0" collapsed="false">
      <c r="A14019" s="10" t="n">
        <f aca="false">Einstellungen!$B$5+INT((ROW()-9)/24)</f>
        <v>46549</v>
      </c>
      <c r="B14019" s="11" t="n">
        <f aca="false">MOD(ROW()-9,24)</f>
        <v>18</v>
      </c>
      <c r="C14019" s="12"/>
      <c r="D14019" s="13" t="n">
        <f aca="false">IF(B14019&lt;5,Einstellungen!$B$3,Einstellungen!$B$4)</f>
        <v>29.13</v>
      </c>
      <c r="E14019" s="14" t="str">
        <f aca="false">IF(C14019="","",C14019*D14019/100)</f>
        <v/>
      </c>
      <c r="F14019" s="15" t="str">
        <f aca="false">IF(B14019&lt;5,"Go","Standard")</f>
        <v>Standard</v>
      </c>
    </row>
    <row r="14020" customFormat="false" ht="15" hidden="false" customHeight="true" outlineLevel="0" collapsed="false">
      <c r="A14020" s="10" t="n">
        <f aca="false">Einstellungen!$B$5+INT((ROW()-9)/24)</f>
        <v>46549</v>
      </c>
      <c r="B14020" s="11" t="n">
        <f aca="false">MOD(ROW()-9,24)</f>
        <v>19</v>
      </c>
      <c r="C14020" s="12"/>
      <c r="D14020" s="13" t="n">
        <f aca="false">IF(B14020&lt;5,Einstellungen!$B$3,Einstellungen!$B$4)</f>
        <v>29.13</v>
      </c>
      <c r="E14020" s="14" t="str">
        <f aca="false">IF(C14020="","",C14020*D14020/100)</f>
        <v/>
      </c>
      <c r="F14020" s="15" t="str">
        <f aca="false">IF(B14020&lt;5,"Go","Standard")</f>
        <v>Standard</v>
      </c>
    </row>
    <row r="14021" customFormat="false" ht="15" hidden="false" customHeight="true" outlineLevel="0" collapsed="false">
      <c r="A14021" s="10" t="n">
        <f aca="false">Einstellungen!$B$5+INT((ROW()-9)/24)</f>
        <v>46549</v>
      </c>
      <c r="B14021" s="11" t="n">
        <f aca="false">MOD(ROW()-9,24)</f>
        <v>20</v>
      </c>
      <c r="C14021" s="12"/>
      <c r="D14021" s="13" t="n">
        <f aca="false">IF(B14021&lt;5,Einstellungen!$B$3,Einstellungen!$B$4)</f>
        <v>29.13</v>
      </c>
      <c r="E14021" s="14" t="str">
        <f aca="false">IF(C14021="","",C14021*D14021/100)</f>
        <v/>
      </c>
      <c r="F14021" s="15" t="str">
        <f aca="false">IF(B14021&lt;5,"Go","Standard")</f>
        <v>Standard</v>
      </c>
    </row>
    <row r="14022" customFormat="false" ht="15" hidden="false" customHeight="true" outlineLevel="0" collapsed="false">
      <c r="A14022" s="10" t="n">
        <f aca="false">Einstellungen!$B$5+INT((ROW()-9)/24)</f>
        <v>46549</v>
      </c>
      <c r="B14022" s="11" t="n">
        <f aca="false">MOD(ROW()-9,24)</f>
        <v>21</v>
      </c>
      <c r="C14022" s="12"/>
      <c r="D14022" s="13" t="n">
        <f aca="false">IF(B14022&lt;5,Einstellungen!$B$3,Einstellungen!$B$4)</f>
        <v>29.13</v>
      </c>
      <c r="E14022" s="14" t="str">
        <f aca="false">IF(C14022="","",C14022*D14022/100)</f>
        <v/>
      </c>
      <c r="F14022" s="15" t="str">
        <f aca="false">IF(B14022&lt;5,"Go","Standard")</f>
        <v>Standard</v>
      </c>
    </row>
    <row r="14023" customFormat="false" ht="15" hidden="false" customHeight="true" outlineLevel="0" collapsed="false">
      <c r="A14023" s="10" t="n">
        <f aca="false">Einstellungen!$B$5+INT((ROW()-9)/24)</f>
        <v>46549</v>
      </c>
      <c r="B14023" s="11" t="n">
        <f aca="false">MOD(ROW()-9,24)</f>
        <v>22</v>
      </c>
      <c r="C14023" s="12"/>
      <c r="D14023" s="13" t="n">
        <f aca="false">IF(B14023&lt;5,Einstellungen!$B$3,Einstellungen!$B$4)</f>
        <v>29.13</v>
      </c>
      <c r="E14023" s="14" t="str">
        <f aca="false">IF(C14023="","",C14023*D14023/100)</f>
        <v/>
      </c>
      <c r="F14023" s="15" t="str">
        <f aca="false">IF(B14023&lt;5,"Go","Standard")</f>
        <v>Standard</v>
      </c>
    </row>
    <row r="14024" customFormat="false" ht="15" hidden="false" customHeight="true" outlineLevel="0" collapsed="false">
      <c r="A14024" s="10" t="n">
        <f aca="false">Einstellungen!$B$5+INT((ROW()-9)/24)</f>
        <v>46549</v>
      </c>
      <c r="B14024" s="11" t="n">
        <f aca="false">MOD(ROW()-9,24)</f>
        <v>23</v>
      </c>
      <c r="C14024" s="12"/>
      <c r="D14024" s="13" t="n">
        <f aca="false">IF(B14024&lt;5,Einstellungen!$B$3,Einstellungen!$B$4)</f>
        <v>29.13</v>
      </c>
      <c r="E14024" s="14" t="str">
        <f aca="false">IF(C14024="","",C14024*D14024/100)</f>
        <v/>
      </c>
      <c r="F14024" s="15" t="str">
        <f aca="false">IF(B14024&lt;5,"Go","Standard")</f>
        <v>Standard</v>
      </c>
    </row>
    <row r="14025" customFormat="false" ht="15" hidden="false" customHeight="true" outlineLevel="0" collapsed="false">
      <c r="A14025" s="10" t="n">
        <f aca="false">Einstellungen!$B$5+INT((ROW()-9)/24)</f>
        <v>46550</v>
      </c>
      <c r="B14025" s="11" t="n">
        <f aca="false">MOD(ROW()-9,24)</f>
        <v>0</v>
      </c>
      <c r="C14025" s="12"/>
      <c r="D14025" s="13" t="n">
        <f aca="false">IF(B14025&lt;5,Einstellungen!$B$3,Einstellungen!$B$4)</f>
        <v>15.92</v>
      </c>
      <c r="E14025" s="14" t="str">
        <f aca="false">IF(C14025="","",C14025*D14025/100)</f>
        <v/>
      </c>
      <c r="F14025" s="15" t="str">
        <f aca="false">IF(B14025&lt;5,"Go","Standard")</f>
        <v>Go</v>
      </c>
    </row>
    <row r="14026" customFormat="false" ht="15" hidden="false" customHeight="true" outlineLevel="0" collapsed="false">
      <c r="A14026" s="10" t="n">
        <f aca="false">Einstellungen!$B$5+INT((ROW()-9)/24)</f>
        <v>46550</v>
      </c>
      <c r="B14026" s="11" t="n">
        <f aca="false">MOD(ROW()-9,24)</f>
        <v>1</v>
      </c>
      <c r="C14026" s="12"/>
      <c r="D14026" s="13" t="n">
        <f aca="false">IF(B14026&lt;5,Einstellungen!$B$3,Einstellungen!$B$4)</f>
        <v>15.92</v>
      </c>
      <c r="E14026" s="14" t="str">
        <f aca="false">IF(C14026="","",C14026*D14026/100)</f>
        <v/>
      </c>
      <c r="F14026" s="15" t="str">
        <f aca="false">IF(B14026&lt;5,"Go","Standard")</f>
        <v>Go</v>
      </c>
    </row>
    <row r="14027" customFormat="false" ht="15" hidden="false" customHeight="true" outlineLevel="0" collapsed="false">
      <c r="A14027" s="10" t="n">
        <f aca="false">Einstellungen!$B$5+INT((ROW()-9)/24)</f>
        <v>46550</v>
      </c>
      <c r="B14027" s="11" t="n">
        <f aca="false">MOD(ROW()-9,24)</f>
        <v>2</v>
      </c>
      <c r="C14027" s="12"/>
      <c r="D14027" s="13" t="n">
        <f aca="false">IF(B14027&lt;5,Einstellungen!$B$3,Einstellungen!$B$4)</f>
        <v>15.92</v>
      </c>
      <c r="E14027" s="14" t="str">
        <f aca="false">IF(C14027="","",C14027*D14027/100)</f>
        <v/>
      </c>
      <c r="F14027" s="15" t="str">
        <f aca="false">IF(B14027&lt;5,"Go","Standard")</f>
        <v>Go</v>
      </c>
    </row>
    <row r="14028" customFormat="false" ht="15" hidden="false" customHeight="true" outlineLevel="0" collapsed="false">
      <c r="A14028" s="10" t="n">
        <f aca="false">Einstellungen!$B$5+INT((ROW()-9)/24)</f>
        <v>46550</v>
      </c>
      <c r="B14028" s="11" t="n">
        <f aca="false">MOD(ROW()-9,24)</f>
        <v>3</v>
      </c>
      <c r="C14028" s="12"/>
      <c r="D14028" s="13" t="n">
        <f aca="false">IF(B14028&lt;5,Einstellungen!$B$3,Einstellungen!$B$4)</f>
        <v>15.92</v>
      </c>
      <c r="E14028" s="14" t="str">
        <f aca="false">IF(C14028="","",C14028*D14028/100)</f>
        <v/>
      </c>
      <c r="F14028" s="15" t="str">
        <f aca="false">IF(B14028&lt;5,"Go","Standard")</f>
        <v>Go</v>
      </c>
    </row>
    <row r="14029" customFormat="false" ht="15" hidden="false" customHeight="true" outlineLevel="0" collapsed="false">
      <c r="A14029" s="10" t="n">
        <f aca="false">Einstellungen!$B$5+INT((ROW()-9)/24)</f>
        <v>46550</v>
      </c>
      <c r="B14029" s="11" t="n">
        <f aca="false">MOD(ROW()-9,24)</f>
        <v>4</v>
      </c>
      <c r="C14029" s="12"/>
      <c r="D14029" s="13" t="n">
        <f aca="false">IF(B14029&lt;5,Einstellungen!$B$3,Einstellungen!$B$4)</f>
        <v>15.92</v>
      </c>
      <c r="E14029" s="14" t="str">
        <f aca="false">IF(C14029="","",C14029*D14029/100)</f>
        <v/>
      </c>
      <c r="F14029" s="15" t="str">
        <f aca="false">IF(B14029&lt;5,"Go","Standard")</f>
        <v>Go</v>
      </c>
    </row>
    <row r="14030" customFormat="false" ht="15" hidden="false" customHeight="true" outlineLevel="0" collapsed="false">
      <c r="A14030" s="10" t="n">
        <f aca="false">Einstellungen!$B$5+INT((ROW()-9)/24)</f>
        <v>46550</v>
      </c>
      <c r="B14030" s="11" t="n">
        <f aca="false">MOD(ROW()-9,24)</f>
        <v>5</v>
      </c>
      <c r="C14030" s="12"/>
      <c r="D14030" s="13" t="n">
        <f aca="false">IF(B14030&lt;5,Einstellungen!$B$3,Einstellungen!$B$4)</f>
        <v>29.13</v>
      </c>
      <c r="E14030" s="14" t="str">
        <f aca="false">IF(C14030="","",C14030*D14030/100)</f>
        <v/>
      </c>
      <c r="F14030" s="15" t="str">
        <f aca="false">IF(B14030&lt;5,"Go","Standard")</f>
        <v>Standard</v>
      </c>
    </row>
    <row r="14031" customFormat="false" ht="15" hidden="false" customHeight="true" outlineLevel="0" collapsed="false">
      <c r="A14031" s="10" t="n">
        <f aca="false">Einstellungen!$B$5+INT((ROW()-9)/24)</f>
        <v>46550</v>
      </c>
      <c r="B14031" s="11" t="n">
        <f aca="false">MOD(ROW()-9,24)</f>
        <v>6</v>
      </c>
      <c r="C14031" s="12"/>
      <c r="D14031" s="13" t="n">
        <f aca="false">IF(B14031&lt;5,Einstellungen!$B$3,Einstellungen!$B$4)</f>
        <v>29.13</v>
      </c>
      <c r="E14031" s="14" t="str">
        <f aca="false">IF(C14031="","",C14031*D14031/100)</f>
        <v/>
      </c>
      <c r="F14031" s="15" t="str">
        <f aca="false">IF(B14031&lt;5,"Go","Standard")</f>
        <v>Standard</v>
      </c>
    </row>
    <row r="14032" customFormat="false" ht="15" hidden="false" customHeight="true" outlineLevel="0" collapsed="false">
      <c r="A14032" s="10" t="n">
        <f aca="false">Einstellungen!$B$5+INT((ROW()-9)/24)</f>
        <v>46550</v>
      </c>
      <c r="B14032" s="11" t="n">
        <f aca="false">MOD(ROW()-9,24)</f>
        <v>7</v>
      </c>
      <c r="C14032" s="12"/>
      <c r="D14032" s="13" t="n">
        <f aca="false">IF(B14032&lt;5,Einstellungen!$B$3,Einstellungen!$B$4)</f>
        <v>29.13</v>
      </c>
      <c r="E14032" s="14" t="str">
        <f aca="false">IF(C14032="","",C14032*D14032/100)</f>
        <v/>
      </c>
      <c r="F14032" s="15" t="str">
        <f aca="false">IF(B14032&lt;5,"Go","Standard")</f>
        <v>Standard</v>
      </c>
    </row>
    <row r="14033" customFormat="false" ht="15" hidden="false" customHeight="true" outlineLevel="0" collapsed="false">
      <c r="A14033" s="10" t="n">
        <f aca="false">Einstellungen!$B$5+INT((ROW()-9)/24)</f>
        <v>46550</v>
      </c>
      <c r="B14033" s="11" t="n">
        <f aca="false">MOD(ROW()-9,24)</f>
        <v>8</v>
      </c>
      <c r="C14033" s="12"/>
      <c r="D14033" s="13" t="n">
        <f aca="false">IF(B14033&lt;5,Einstellungen!$B$3,Einstellungen!$B$4)</f>
        <v>29.13</v>
      </c>
      <c r="E14033" s="14" t="str">
        <f aca="false">IF(C14033="","",C14033*D14033/100)</f>
        <v/>
      </c>
      <c r="F14033" s="15" t="str">
        <f aca="false">IF(B14033&lt;5,"Go","Standard")</f>
        <v>Standard</v>
      </c>
    </row>
    <row r="14034" customFormat="false" ht="15" hidden="false" customHeight="true" outlineLevel="0" collapsed="false">
      <c r="A14034" s="10" t="n">
        <f aca="false">Einstellungen!$B$5+INT((ROW()-9)/24)</f>
        <v>46550</v>
      </c>
      <c r="B14034" s="11" t="n">
        <f aca="false">MOD(ROW()-9,24)</f>
        <v>9</v>
      </c>
      <c r="C14034" s="12"/>
      <c r="D14034" s="13" t="n">
        <f aca="false">IF(B14034&lt;5,Einstellungen!$B$3,Einstellungen!$B$4)</f>
        <v>29.13</v>
      </c>
      <c r="E14034" s="14" t="str">
        <f aca="false">IF(C14034="","",C14034*D14034/100)</f>
        <v/>
      </c>
      <c r="F14034" s="15" t="str">
        <f aca="false">IF(B14034&lt;5,"Go","Standard")</f>
        <v>Standard</v>
      </c>
    </row>
    <row r="14035" customFormat="false" ht="15" hidden="false" customHeight="true" outlineLevel="0" collapsed="false">
      <c r="A14035" s="10" t="n">
        <f aca="false">Einstellungen!$B$5+INT((ROW()-9)/24)</f>
        <v>46550</v>
      </c>
      <c r="B14035" s="11" t="n">
        <f aca="false">MOD(ROW()-9,24)</f>
        <v>10</v>
      </c>
      <c r="C14035" s="12"/>
      <c r="D14035" s="13" t="n">
        <f aca="false">IF(B14035&lt;5,Einstellungen!$B$3,Einstellungen!$B$4)</f>
        <v>29.13</v>
      </c>
      <c r="E14035" s="14" t="str">
        <f aca="false">IF(C14035="","",C14035*D14035/100)</f>
        <v/>
      </c>
      <c r="F14035" s="15" t="str">
        <f aca="false">IF(B14035&lt;5,"Go","Standard")</f>
        <v>Standard</v>
      </c>
    </row>
    <row r="14036" customFormat="false" ht="15" hidden="false" customHeight="true" outlineLevel="0" collapsed="false">
      <c r="A14036" s="10" t="n">
        <f aca="false">Einstellungen!$B$5+INT((ROW()-9)/24)</f>
        <v>46550</v>
      </c>
      <c r="B14036" s="11" t="n">
        <f aca="false">MOD(ROW()-9,24)</f>
        <v>11</v>
      </c>
      <c r="C14036" s="12"/>
      <c r="D14036" s="13" t="n">
        <f aca="false">IF(B14036&lt;5,Einstellungen!$B$3,Einstellungen!$B$4)</f>
        <v>29.13</v>
      </c>
      <c r="E14036" s="14" t="str">
        <f aca="false">IF(C14036="","",C14036*D14036/100)</f>
        <v/>
      </c>
      <c r="F14036" s="15" t="str">
        <f aca="false">IF(B14036&lt;5,"Go","Standard")</f>
        <v>Standard</v>
      </c>
    </row>
    <row r="14037" customFormat="false" ht="15" hidden="false" customHeight="true" outlineLevel="0" collapsed="false">
      <c r="A14037" s="10" t="n">
        <f aca="false">Einstellungen!$B$5+INT((ROW()-9)/24)</f>
        <v>46550</v>
      </c>
      <c r="B14037" s="11" t="n">
        <f aca="false">MOD(ROW()-9,24)</f>
        <v>12</v>
      </c>
      <c r="C14037" s="12"/>
      <c r="D14037" s="13" t="n">
        <f aca="false">IF(B14037&lt;5,Einstellungen!$B$3,Einstellungen!$B$4)</f>
        <v>29.13</v>
      </c>
      <c r="E14037" s="14" t="str">
        <f aca="false">IF(C14037="","",C14037*D14037/100)</f>
        <v/>
      </c>
      <c r="F14037" s="15" t="str">
        <f aca="false">IF(B14037&lt;5,"Go","Standard")</f>
        <v>Standard</v>
      </c>
    </row>
    <row r="14038" customFormat="false" ht="15" hidden="false" customHeight="true" outlineLevel="0" collapsed="false">
      <c r="A14038" s="10" t="n">
        <f aca="false">Einstellungen!$B$5+INT((ROW()-9)/24)</f>
        <v>46550</v>
      </c>
      <c r="B14038" s="11" t="n">
        <f aca="false">MOD(ROW()-9,24)</f>
        <v>13</v>
      </c>
      <c r="C14038" s="12"/>
      <c r="D14038" s="13" t="n">
        <f aca="false">IF(B14038&lt;5,Einstellungen!$B$3,Einstellungen!$B$4)</f>
        <v>29.13</v>
      </c>
      <c r="E14038" s="14" t="str">
        <f aca="false">IF(C14038="","",C14038*D14038/100)</f>
        <v/>
      </c>
      <c r="F14038" s="15" t="str">
        <f aca="false">IF(B14038&lt;5,"Go","Standard")</f>
        <v>Standard</v>
      </c>
    </row>
    <row r="14039" customFormat="false" ht="15" hidden="false" customHeight="true" outlineLevel="0" collapsed="false">
      <c r="A14039" s="10" t="n">
        <f aca="false">Einstellungen!$B$5+INT((ROW()-9)/24)</f>
        <v>46550</v>
      </c>
      <c r="B14039" s="11" t="n">
        <f aca="false">MOD(ROW()-9,24)</f>
        <v>14</v>
      </c>
      <c r="C14039" s="12"/>
      <c r="D14039" s="13" t="n">
        <f aca="false">IF(B14039&lt;5,Einstellungen!$B$3,Einstellungen!$B$4)</f>
        <v>29.13</v>
      </c>
      <c r="E14039" s="14" t="str">
        <f aca="false">IF(C14039="","",C14039*D14039/100)</f>
        <v/>
      </c>
      <c r="F14039" s="15" t="str">
        <f aca="false">IF(B14039&lt;5,"Go","Standard")</f>
        <v>Standard</v>
      </c>
    </row>
    <row r="14040" customFormat="false" ht="15" hidden="false" customHeight="true" outlineLevel="0" collapsed="false">
      <c r="A14040" s="10" t="n">
        <f aca="false">Einstellungen!$B$5+INT((ROW()-9)/24)</f>
        <v>46550</v>
      </c>
      <c r="B14040" s="11" t="n">
        <f aca="false">MOD(ROW()-9,24)</f>
        <v>15</v>
      </c>
      <c r="C14040" s="12"/>
      <c r="D14040" s="13" t="n">
        <f aca="false">IF(B14040&lt;5,Einstellungen!$B$3,Einstellungen!$B$4)</f>
        <v>29.13</v>
      </c>
      <c r="E14040" s="14" t="str">
        <f aca="false">IF(C14040="","",C14040*D14040/100)</f>
        <v/>
      </c>
      <c r="F14040" s="15" t="str">
        <f aca="false">IF(B14040&lt;5,"Go","Standard")</f>
        <v>Standard</v>
      </c>
    </row>
    <row r="14041" customFormat="false" ht="15" hidden="false" customHeight="true" outlineLevel="0" collapsed="false">
      <c r="A14041" s="10" t="n">
        <f aca="false">Einstellungen!$B$5+INT((ROW()-9)/24)</f>
        <v>46550</v>
      </c>
      <c r="B14041" s="11" t="n">
        <f aca="false">MOD(ROW()-9,24)</f>
        <v>16</v>
      </c>
      <c r="C14041" s="12"/>
      <c r="D14041" s="13" t="n">
        <f aca="false">IF(B14041&lt;5,Einstellungen!$B$3,Einstellungen!$B$4)</f>
        <v>29.13</v>
      </c>
      <c r="E14041" s="14" t="str">
        <f aca="false">IF(C14041="","",C14041*D14041/100)</f>
        <v/>
      </c>
      <c r="F14041" s="15" t="str">
        <f aca="false">IF(B14041&lt;5,"Go","Standard")</f>
        <v>Standard</v>
      </c>
    </row>
    <row r="14042" customFormat="false" ht="15" hidden="false" customHeight="true" outlineLevel="0" collapsed="false">
      <c r="A14042" s="10" t="n">
        <f aca="false">Einstellungen!$B$5+INT((ROW()-9)/24)</f>
        <v>46550</v>
      </c>
      <c r="B14042" s="11" t="n">
        <f aca="false">MOD(ROW()-9,24)</f>
        <v>17</v>
      </c>
      <c r="C14042" s="12"/>
      <c r="D14042" s="13" t="n">
        <f aca="false">IF(B14042&lt;5,Einstellungen!$B$3,Einstellungen!$B$4)</f>
        <v>29.13</v>
      </c>
      <c r="E14042" s="14" t="str">
        <f aca="false">IF(C14042="","",C14042*D14042/100)</f>
        <v/>
      </c>
      <c r="F14042" s="15" t="str">
        <f aca="false">IF(B14042&lt;5,"Go","Standard")</f>
        <v>Standard</v>
      </c>
    </row>
    <row r="14043" customFormat="false" ht="15" hidden="false" customHeight="true" outlineLevel="0" collapsed="false">
      <c r="A14043" s="10" t="n">
        <f aca="false">Einstellungen!$B$5+INT((ROW()-9)/24)</f>
        <v>46550</v>
      </c>
      <c r="B14043" s="11" t="n">
        <f aca="false">MOD(ROW()-9,24)</f>
        <v>18</v>
      </c>
      <c r="C14043" s="12"/>
      <c r="D14043" s="13" t="n">
        <f aca="false">IF(B14043&lt;5,Einstellungen!$B$3,Einstellungen!$B$4)</f>
        <v>29.13</v>
      </c>
      <c r="E14043" s="14" t="str">
        <f aca="false">IF(C14043="","",C14043*D14043/100)</f>
        <v/>
      </c>
      <c r="F14043" s="15" t="str">
        <f aca="false">IF(B14043&lt;5,"Go","Standard")</f>
        <v>Standard</v>
      </c>
    </row>
    <row r="14044" customFormat="false" ht="15" hidden="false" customHeight="true" outlineLevel="0" collapsed="false">
      <c r="A14044" s="10" t="n">
        <f aca="false">Einstellungen!$B$5+INT((ROW()-9)/24)</f>
        <v>46550</v>
      </c>
      <c r="B14044" s="11" t="n">
        <f aca="false">MOD(ROW()-9,24)</f>
        <v>19</v>
      </c>
      <c r="C14044" s="12"/>
      <c r="D14044" s="13" t="n">
        <f aca="false">IF(B14044&lt;5,Einstellungen!$B$3,Einstellungen!$B$4)</f>
        <v>29.13</v>
      </c>
      <c r="E14044" s="14" t="str">
        <f aca="false">IF(C14044="","",C14044*D14044/100)</f>
        <v/>
      </c>
      <c r="F14044" s="15" t="str">
        <f aca="false">IF(B14044&lt;5,"Go","Standard")</f>
        <v>Standard</v>
      </c>
    </row>
    <row r="14045" customFormat="false" ht="15" hidden="false" customHeight="true" outlineLevel="0" collapsed="false">
      <c r="A14045" s="10" t="n">
        <f aca="false">Einstellungen!$B$5+INT((ROW()-9)/24)</f>
        <v>46550</v>
      </c>
      <c r="B14045" s="11" t="n">
        <f aca="false">MOD(ROW()-9,24)</f>
        <v>20</v>
      </c>
      <c r="C14045" s="12"/>
      <c r="D14045" s="13" t="n">
        <f aca="false">IF(B14045&lt;5,Einstellungen!$B$3,Einstellungen!$B$4)</f>
        <v>29.13</v>
      </c>
      <c r="E14045" s="14" t="str">
        <f aca="false">IF(C14045="","",C14045*D14045/100)</f>
        <v/>
      </c>
      <c r="F14045" s="15" t="str">
        <f aca="false">IF(B14045&lt;5,"Go","Standard")</f>
        <v>Standard</v>
      </c>
    </row>
    <row r="14046" customFormat="false" ht="15" hidden="false" customHeight="true" outlineLevel="0" collapsed="false">
      <c r="A14046" s="10" t="n">
        <f aca="false">Einstellungen!$B$5+INT((ROW()-9)/24)</f>
        <v>46550</v>
      </c>
      <c r="B14046" s="11" t="n">
        <f aca="false">MOD(ROW()-9,24)</f>
        <v>21</v>
      </c>
      <c r="C14046" s="12"/>
      <c r="D14046" s="13" t="n">
        <f aca="false">IF(B14046&lt;5,Einstellungen!$B$3,Einstellungen!$B$4)</f>
        <v>29.13</v>
      </c>
      <c r="E14046" s="14" t="str">
        <f aca="false">IF(C14046="","",C14046*D14046/100)</f>
        <v/>
      </c>
      <c r="F14046" s="15" t="str">
        <f aca="false">IF(B14046&lt;5,"Go","Standard")</f>
        <v>Standard</v>
      </c>
    </row>
    <row r="14047" customFormat="false" ht="15" hidden="false" customHeight="true" outlineLevel="0" collapsed="false">
      <c r="A14047" s="10" t="n">
        <f aca="false">Einstellungen!$B$5+INT((ROW()-9)/24)</f>
        <v>46550</v>
      </c>
      <c r="B14047" s="11" t="n">
        <f aca="false">MOD(ROW()-9,24)</f>
        <v>22</v>
      </c>
      <c r="C14047" s="12"/>
      <c r="D14047" s="13" t="n">
        <f aca="false">IF(B14047&lt;5,Einstellungen!$B$3,Einstellungen!$B$4)</f>
        <v>29.13</v>
      </c>
      <c r="E14047" s="14" t="str">
        <f aca="false">IF(C14047="","",C14047*D14047/100)</f>
        <v/>
      </c>
      <c r="F14047" s="15" t="str">
        <f aca="false">IF(B14047&lt;5,"Go","Standard")</f>
        <v>Standard</v>
      </c>
    </row>
    <row r="14048" customFormat="false" ht="15" hidden="false" customHeight="true" outlineLevel="0" collapsed="false">
      <c r="A14048" s="10" t="n">
        <f aca="false">Einstellungen!$B$5+INT((ROW()-9)/24)</f>
        <v>46550</v>
      </c>
      <c r="B14048" s="11" t="n">
        <f aca="false">MOD(ROW()-9,24)</f>
        <v>23</v>
      </c>
      <c r="C14048" s="12"/>
      <c r="D14048" s="13" t="n">
        <f aca="false">IF(B14048&lt;5,Einstellungen!$B$3,Einstellungen!$B$4)</f>
        <v>29.13</v>
      </c>
      <c r="E14048" s="14" t="str">
        <f aca="false">IF(C14048="","",C14048*D14048/100)</f>
        <v/>
      </c>
      <c r="F14048" s="15" t="str">
        <f aca="false">IF(B14048&lt;5,"Go","Standard")</f>
        <v>Standard</v>
      </c>
    </row>
    <row r="14049" customFormat="false" ht="15" hidden="false" customHeight="true" outlineLevel="0" collapsed="false">
      <c r="A14049" s="10" t="n">
        <f aca="false">Einstellungen!$B$5+INT((ROW()-9)/24)</f>
        <v>46551</v>
      </c>
      <c r="B14049" s="11" t="n">
        <f aca="false">MOD(ROW()-9,24)</f>
        <v>0</v>
      </c>
      <c r="C14049" s="12"/>
      <c r="D14049" s="13" t="n">
        <f aca="false">IF(B14049&lt;5,Einstellungen!$B$3,Einstellungen!$B$4)</f>
        <v>15.92</v>
      </c>
      <c r="E14049" s="14" t="str">
        <f aca="false">IF(C14049="","",C14049*D14049/100)</f>
        <v/>
      </c>
      <c r="F14049" s="15" t="str">
        <f aca="false">IF(B14049&lt;5,"Go","Standard")</f>
        <v>Go</v>
      </c>
    </row>
    <row r="14050" customFormat="false" ht="15" hidden="false" customHeight="true" outlineLevel="0" collapsed="false">
      <c r="A14050" s="10" t="n">
        <f aca="false">Einstellungen!$B$5+INT((ROW()-9)/24)</f>
        <v>46551</v>
      </c>
      <c r="B14050" s="11" t="n">
        <f aca="false">MOD(ROW()-9,24)</f>
        <v>1</v>
      </c>
      <c r="C14050" s="12"/>
      <c r="D14050" s="13" t="n">
        <f aca="false">IF(B14050&lt;5,Einstellungen!$B$3,Einstellungen!$B$4)</f>
        <v>15.92</v>
      </c>
      <c r="E14050" s="14" t="str">
        <f aca="false">IF(C14050="","",C14050*D14050/100)</f>
        <v/>
      </c>
      <c r="F14050" s="15" t="str">
        <f aca="false">IF(B14050&lt;5,"Go","Standard")</f>
        <v>Go</v>
      </c>
    </row>
    <row r="14051" customFormat="false" ht="15" hidden="false" customHeight="true" outlineLevel="0" collapsed="false">
      <c r="A14051" s="10" t="n">
        <f aca="false">Einstellungen!$B$5+INT((ROW()-9)/24)</f>
        <v>46551</v>
      </c>
      <c r="B14051" s="11" t="n">
        <f aca="false">MOD(ROW()-9,24)</f>
        <v>2</v>
      </c>
      <c r="C14051" s="12"/>
      <c r="D14051" s="13" t="n">
        <f aca="false">IF(B14051&lt;5,Einstellungen!$B$3,Einstellungen!$B$4)</f>
        <v>15.92</v>
      </c>
      <c r="E14051" s="14" t="str">
        <f aca="false">IF(C14051="","",C14051*D14051/100)</f>
        <v/>
      </c>
      <c r="F14051" s="15" t="str">
        <f aca="false">IF(B14051&lt;5,"Go","Standard")</f>
        <v>Go</v>
      </c>
    </row>
    <row r="14052" customFormat="false" ht="15" hidden="false" customHeight="true" outlineLevel="0" collapsed="false">
      <c r="A14052" s="10" t="n">
        <f aca="false">Einstellungen!$B$5+INT((ROW()-9)/24)</f>
        <v>46551</v>
      </c>
      <c r="B14052" s="11" t="n">
        <f aca="false">MOD(ROW()-9,24)</f>
        <v>3</v>
      </c>
      <c r="C14052" s="12"/>
      <c r="D14052" s="13" t="n">
        <f aca="false">IF(B14052&lt;5,Einstellungen!$B$3,Einstellungen!$B$4)</f>
        <v>15.92</v>
      </c>
      <c r="E14052" s="14" t="str">
        <f aca="false">IF(C14052="","",C14052*D14052/100)</f>
        <v/>
      </c>
      <c r="F14052" s="15" t="str">
        <f aca="false">IF(B14052&lt;5,"Go","Standard")</f>
        <v>Go</v>
      </c>
    </row>
    <row r="14053" customFormat="false" ht="15" hidden="false" customHeight="true" outlineLevel="0" collapsed="false">
      <c r="A14053" s="10" t="n">
        <f aca="false">Einstellungen!$B$5+INT((ROW()-9)/24)</f>
        <v>46551</v>
      </c>
      <c r="B14053" s="11" t="n">
        <f aca="false">MOD(ROW()-9,24)</f>
        <v>4</v>
      </c>
      <c r="C14053" s="12"/>
      <c r="D14053" s="13" t="n">
        <f aca="false">IF(B14053&lt;5,Einstellungen!$B$3,Einstellungen!$B$4)</f>
        <v>15.92</v>
      </c>
      <c r="E14053" s="14" t="str">
        <f aca="false">IF(C14053="","",C14053*D14053/100)</f>
        <v/>
      </c>
      <c r="F14053" s="15" t="str">
        <f aca="false">IF(B14053&lt;5,"Go","Standard")</f>
        <v>Go</v>
      </c>
    </row>
    <row r="14054" customFormat="false" ht="15" hidden="false" customHeight="true" outlineLevel="0" collapsed="false">
      <c r="A14054" s="10" t="n">
        <f aca="false">Einstellungen!$B$5+INT((ROW()-9)/24)</f>
        <v>46551</v>
      </c>
      <c r="B14054" s="11" t="n">
        <f aca="false">MOD(ROW()-9,24)</f>
        <v>5</v>
      </c>
      <c r="C14054" s="12"/>
      <c r="D14054" s="13" t="n">
        <f aca="false">IF(B14054&lt;5,Einstellungen!$B$3,Einstellungen!$B$4)</f>
        <v>29.13</v>
      </c>
      <c r="E14054" s="14" t="str">
        <f aca="false">IF(C14054="","",C14054*D14054/100)</f>
        <v/>
      </c>
      <c r="F14054" s="15" t="str">
        <f aca="false">IF(B14054&lt;5,"Go","Standard")</f>
        <v>Standard</v>
      </c>
    </row>
    <row r="14055" customFormat="false" ht="15" hidden="false" customHeight="true" outlineLevel="0" collapsed="false">
      <c r="A14055" s="10" t="n">
        <f aca="false">Einstellungen!$B$5+INT((ROW()-9)/24)</f>
        <v>46551</v>
      </c>
      <c r="B14055" s="11" t="n">
        <f aca="false">MOD(ROW()-9,24)</f>
        <v>6</v>
      </c>
      <c r="C14055" s="12"/>
      <c r="D14055" s="13" t="n">
        <f aca="false">IF(B14055&lt;5,Einstellungen!$B$3,Einstellungen!$B$4)</f>
        <v>29.13</v>
      </c>
      <c r="E14055" s="14" t="str">
        <f aca="false">IF(C14055="","",C14055*D14055/100)</f>
        <v/>
      </c>
      <c r="F14055" s="15" t="str">
        <f aca="false">IF(B14055&lt;5,"Go","Standard")</f>
        <v>Standard</v>
      </c>
    </row>
    <row r="14056" customFormat="false" ht="15" hidden="false" customHeight="true" outlineLevel="0" collapsed="false">
      <c r="A14056" s="10" t="n">
        <f aca="false">Einstellungen!$B$5+INT((ROW()-9)/24)</f>
        <v>46551</v>
      </c>
      <c r="B14056" s="11" t="n">
        <f aca="false">MOD(ROW()-9,24)</f>
        <v>7</v>
      </c>
      <c r="C14056" s="12"/>
      <c r="D14056" s="13" t="n">
        <f aca="false">IF(B14056&lt;5,Einstellungen!$B$3,Einstellungen!$B$4)</f>
        <v>29.13</v>
      </c>
      <c r="E14056" s="14" t="str">
        <f aca="false">IF(C14056="","",C14056*D14056/100)</f>
        <v/>
      </c>
      <c r="F14056" s="15" t="str">
        <f aca="false">IF(B14056&lt;5,"Go","Standard")</f>
        <v>Standard</v>
      </c>
    </row>
    <row r="14057" customFormat="false" ht="15" hidden="false" customHeight="true" outlineLevel="0" collapsed="false">
      <c r="A14057" s="10" t="n">
        <f aca="false">Einstellungen!$B$5+INT((ROW()-9)/24)</f>
        <v>46551</v>
      </c>
      <c r="B14057" s="11" t="n">
        <f aca="false">MOD(ROW()-9,24)</f>
        <v>8</v>
      </c>
      <c r="C14057" s="12"/>
      <c r="D14057" s="13" t="n">
        <f aca="false">IF(B14057&lt;5,Einstellungen!$B$3,Einstellungen!$B$4)</f>
        <v>29.13</v>
      </c>
      <c r="E14057" s="14" t="str">
        <f aca="false">IF(C14057="","",C14057*D14057/100)</f>
        <v/>
      </c>
      <c r="F14057" s="15" t="str">
        <f aca="false">IF(B14057&lt;5,"Go","Standard")</f>
        <v>Standard</v>
      </c>
    </row>
    <row r="14058" customFormat="false" ht="15" hidden="false" customHeight="true" outlineLevel="0" collapsed="false">
      <c r="A14058" s="10" t="n">
        <f aca="false">Einstellungen!$B$5+INT((ROW()-9)/24)</f>
        <v>46551</v>
      </c>
      <c r="B14058" s="11" t="n">
        <f aca="false">MOD(ROW()-9,24)</f>
        <v>9</v>
      </c>
      <c r="C14058" s="12"/>
      <c r="D14058" s="13" t="n">
        <f aca="false">IF(B14058&lt;5,Einstellungen!$B$3,Einstellungen!$B$4)</f>
        <v>29.13</v>
      </c>
      <c r="E14058" s="14" t="str">
        <f aca="false">IF(C14058="","",C14058*D14058/100)</f>
        <v/>
      </c>
      <c r="F14058" s="15" t="str">
        <f aca="false">IF(B14058&lt;5,"Go","Standard")</f>
        <v>Standard</v>
      </c>
    </row>
    <row r="14059" customFormat="false" ht="15" hidden="false" customHeight="true" outlineLevel="0" collapsed="false">
      <c r="A14059" s="10" t="n">
        <f aca="false">Einstellungen!$B$5+INT((ROW()-9)/24)</f>
        <v>46551</v>
      </c>
      <c r="B14059" s="11" t="n">
        <f aca="false">MOD(ROW()-9,24)</f>
        <v>10</v>
      </c>
      <c r="C14059" s="12"/>
      <c r="D14059" s="13" t="n">
        <f aca="false">IF(B14059&lt;5,Einstellungen!$B$3,Einstellungen!$B$4)</f>
        <v>29.13</v>
      </c>
      <c r="E14059" s="14" t="str">
        <f aca="false">IF(C14059="","",C14059*D14059/100)</f>
        <v/>
      </c>
      <c r="F14059" s="15" t="str">
        <f aca="false">IF(B14059&lt;5,"Go","Standard")</f>
        <v>Standard</v>
      </c>
    </row>
    <row r="14060" customFormat="false" ht="15" hidden="false" customHeight="true" outlineLevel="0" collapsed="false">
      <c r="A14060" s="10" t="n">
        <f aca="false">Einstellungen!$B$5+INT((ROW()-9)/24)</f>
        <v>46551</v>
      </c>
      <c r="B14060" s="11" t="n">
        <f aca="false">MOD(ROW()-9,24)</f>
        <v>11</v>
      </c>
      <c r="C14060" s="12"/>
      <c r="D14060" s="13" t="n">
        <f aca="false">IF(B14060&lt;5,Einstellungen!$B$3,Einstellungen!$B$4)</f>
        <v>29.13</v>
      </c>
      <c r="E14060" s="14" t="str">
        <f aca="false">IF(C14060="","",C14060*D14060/100)</f>
        <v/>
      </c>
      <c r="F14060" s="15" t="str">
        <f aca="false">IF(B14060&lt;5,"Go","Standard")</f>
        <v>Standard</v>
      </c>
    </row>
    <row r="14061" customFormat="false" ht="15" hidden="false" customHeight="true" outlineLevel="0" collapsed="false">
      <c r="A14061" s="10" t="n">
        <f aca="false">Einstellungen!$B$5+INT((ROW()-9)/24)</f>
        <v>46551</v>
      </c>
      <c r="B14061" s="11" t="n">
        <f aca="false">MOD(ROW()-9,24)</f>
        <v>12</v>
      </c>
      <c r="C14061" s="12"/>
      <c r="D14061" s="13" t="n">
        <f aca="false">IF(B14061&lt;5,Einstellungen!$B$3,Einstellungen!$B$4)</f>
        <v>29.13</v>
      </c>
      <c r="E14061" s="14" t="str">
        <f aca="false">IF(C14061="","",C14061*D14061/100)</f>
        <v/>
      </c>
      <c r="F14061" s="15" t="str">
        <f aca="false">IF(B14061&lt;5,"Go","Standard")</f>
        <v>Standard</v>
      </c>
    </row>
    <row r="14062" customFormat="false" ht="15" hidden="false" customHeight="true" outlineLevel="0" collapsed="false">
      <c r="A14062" s="10" t="n">
        <f aca="false">Einstellungen!$B$5+INT((ROW()-9)/24)</f>
        <v>46551</v>
      </c>
      <c r="B14062" s="11" t="n">
        <f aca="false">MOD(ROW()-9,24)</f>
        <v>13</v>
      </c>
      <c r="C14062" s="12"/>
      <c r="D14062" s="13" t="n">
        <f aca="false">IF(B14062&lt;5,Einstellungen!$B$3,Einstellungen!$B$4)</f>
        <v>29.13</v>
      </c>
      <c r="E14062" s="14" t="str">
        <f aca="false">IF(C14062="","",C14062*D14062/100)</f>
        <v/>
      </c>
      <c r="F14062" s="15" t="str">
        <f aca="false">IF(B14062&lt;5,"Go","Standard")</f>
        <v>Standard</v>
      </c>
    </row>
    <row r="14063" customFormat="false" ht="15" hidden="false" customHeight="true" outlineLevel="0" collapsed="false">
      <c r="A14063" s="10" t="n">
        <f aca="false">Einstellungen!$B$5+INT((ROW()-9)/24)</f>
        <v>46551</v>
      </c>
      <c r="B14063" s="11" t="n">
        <f aca="false">MOD(ROW()-9,24)</f>
        <v>14</v>
      </c>
      <c r="C14063" s="12"/>
      <c r="D14063" s="13" t="n">
        <f aca="false">IF(B14063&lt;5,Einstellungen!$B$3,Einstellungen!$B$4)</f>
        <v>29.13</v>
      </c>
      <c r="E14063" s="14" t="str">
        <f aca="false">IF(C14063="","",C14063*D14063/100)</f>
        <v/>
      </c>
      <c r="F14063" s="15" t="str">
        <f aca="false">IF(B14063&lt;5,"Go","Standard")</f>
        <v>Standard</v>
      </c>
    </row>
    <row r="14064" customFormat="false" ht="15" hidden="false" customHeight="true" outlineLevel="0" collapsed="false">
      <c r="A14064" s="10" t="n">
        <f aca="false">Einstellungen!$B$5+INT((ROW()-9)/24)</f>
        <v>46551</v>
      </c>
      <c r="B14064" s="11" t="n">
        <f aca="false">MOD(ROW()-9,24)</f>
        <v>15</v>
      </c>
      <c r="C14064" s="12"/>
      <c r="D14064" s="13" t="n">
        <f aca="false">IF(B14064&lt;5,Einstellungen!$B$3,Einstellungen!$B$4)</f>
        <v>29.13</v>
      </c>
      <c r="E14064" s="14" t="str">
        <f aca="false">IF(C14064="","",C14064*D14064/100)</f>
        <v/>
      </c>
      <c r="F14064" s="15" t="str">
        <f aca="false">IF(B14064&lt;5,"Go","Standard")</f>
        <v>Standard</v>
      </c>
    </row>
    <row r="14065" customFormat="false" ht="15" hidden="false" customHeight="true" outlineLevel="0" collapsed="false">
      <c r="A14065" s="10" t="n">
        <f aca="false">Einstellungen!$B$5+INT((ROW()-9)/24)</f>
        <v>46551</v>
      </c>
      <c r="B14065" s="11" t="n">
        <f aca="false">MOD(ROW()-9,24)</f>
        <v>16</v>
      </c>
      <c r="C14065" s="12"/>
      <c r="D14065" s="13" t="n">
        <f aca="false">IF(B14065&lt;5,Einstellungen!$B$3,Einstellungen!$B$4)</f>
        <v>29.13</v>
      </c>
      <c r="E14065" s="14" t="str">
        <f aca="false">IF(C14065="","",C14065*D14065/100)</f>
        <v/>
      </c>
      <c r="F14065" s="15" t="str">
        <f aca="false">IF(B14065&lt;5,"Go","Standard")</f>
        <v>Standard</v>
      </c>
    </row>
    <row r="14066" customFormat="false" ht="15" hidden="false" customHeight="true" outlineLevel="0" collapsed="false">
      <c r="A14066" s="10" t="n">
        <f aca="false">Einstellungen!$B$5+INT((ROW()-9)/24)</f>
        <v>46551</v>
      </c>
      <c r="B14066" s="11" t="n">
        <f aca="false">MOD(ROW()-9,24)</f>
        <v>17</v>
      </c>
      <c r="C14066" s="12"/>
      <c r="D14066" s="13" t="n">
        <f aca="false">IF(B14066&lt;5,Einstellungen!$B$3,Einstellungen!$B$4)</f>
        <v>29.13</v>
      </c>
      <c r="E14066" s="14" t="str">
        <f aca="false">IF(C14066="","",C14066*D14066/100)</f>
        <v/>
      </c>
      <c r="F14066" s="15" t="str">
        <f aca="false">IF(B14066&lt;5,"Go","Standard")</f>
        <v>Standard</v>
      </c>
    </row>
    <row r="14067" customFormat="false" ht="15" hidden="false" customHeight="true" outlineLevel="0" collapsed="false">
      <c r="A14067" s="10" t="n">
        <f aca="false">Einstellungen!$B$5+INT((ROW()-9)/24)</f>
        <v>46551</v>
      </c>
      <c r="B14067" s="11" t="n">
        <f aca="false">MOD(ROW()-9,24)</f>
        <v>18</v>
      </c>
      <c r="C14067" s="12"/>
      <c r="D14067" s="13" t="n">
        <f aca="false">IF(B14067&lt;5,Einstellungen!$B$3,Einstellungen!$B$4)</f>
        <v>29.13</v>
      </c>
      <c r="E14067" s="14" t="str">
        <f aca="false">IF(C14067="","",C14067*D14067/100)</f>
        <v/>
      </c>
      <c r="F14067" s="15" t="str">
        <f aca="false">IF(B14067&lt;5,"Go","Standard")</f>
        <v>Standard</v>
      </c>
    </row>
    <row r="14068" customFormat="false" ht="15" hidden="false" customHeight="true" outlineLevel="0" collapsed="false">
      <c r="A14068" s="10" t="n">
        <f aca="false">Einstellungen!$B$5+INT((ROW()-9)/24)</f>
        <v>46551</v>
      </c>
      <c r="B14068" s="11" t="n">
        <f aca="false">MOD(ROW()-9,24)</f>
        <v>19</v>
      </c>
      <c r="C14068" s="12"/>
      <c r="D14068" s="13" t="n">
        <f aca="false">IF(B14068&lt;5,Einstellungen!$B$3,Einstellungen!$B$4)</f>
        <v>29.13</v>
      </c>
      <c r="E14068" s="14" t="str">
        <f aca="false">IF(C14068="","",C14068*D14068/100)</f>
        <v/>
      </c>
      <c r="F14068" s="15" t="str">
        <f aca="false">IF(B14068&lt;5,"Go","Standard")</f>
        <v>Standard</v>
      </c>
    </row>
    <row r="14069" customFormat="false" ht="15" hidden="false" customHeight="true" outlineLevel="0" collapsed="false">
      <c r="A14069" s="10" t="n">
        <f aca="false">Einstellungen!$B$5+INT((ROW()-9)/24)</f>
        <v>46551</v>
      </c>
      <c r="B14069" s="11" t="n">
        <f aca="false">MOD(ROW()-9,24)</f>
        <v>20</v>
      </c>
      <c r="C14069" s="12"/>
      <c r="D14069" s="13" t="n">
        <f aca="false">IF(B14069&lt;5,Einstellungen!$B$3,Einstellungen!$B$4)</f>
        <v>29.13</v>
      </c>
      <c r="E14069" s="14" t="str">
        <f aca="false">IF(C14069="","",C14069*D14069/100)</f>
        <v/>
      </c>
      <c r="F14069" s="15" t="str">
        <f aca="false">IF(B14069&lt;5,"Go","Standard")</f>
        <v>Standard</v>
      </c>
    </row>
    <row r="14070" customFormat="false" ht="15" hidden="false" customHeight="true" outlineLevel="0" collapsed="false">
      <c r="A14070" s="10" t="n">
        <f aca="false">Einstellungen!$B$5+INT((ROW()-9)/24)</f>
        <v>46551</v>
      </c>
      <c r="B14070" s="11" t="n">
        <f aca="false">MOD(ROW()-9,24)</f>
        <v>21</v>
      </c>
      <c r="C14070" s="12"/>
      <c r="D14070" s="13" t="n">
        <f aca="false">IF(B14070&lt;5,Einstellungen!$B$3,Einstellungen!$B$4)</f>
        <v>29.13</v>
      </c>
      <c r="E14070" s="14" t="str">
        <f aca="false">IF(C14070="","",C14070*D14070/100)</f>
        <v/>
      </c>
      <c r="F14070" s="15" t="str">
        <f aca="false">IF(B14070&lt;5,"Go","Standard")</f>
        <v>Standard</v>
      </c>
    </row>
    <row r="14071" customFormat="false" ht="15" hidden="false" customHeight="true" outlineLevel="0" collapsed="false">
      <c r="A14071" s="10" t="n">
        <f aca="false">Einstellungen!$B$5+INT((ROW()-9)/24)</f>
        <v>46551</v>
      </c>
      <c r="B14071" s="11" t="n">
        <f aca="false">MOD(ROW()-9,24)</f>
        <v>22</v>
      </c>
      <c r="C14071" s="12"/>
      <c r="D14071" s="13" t="n">
        <f aca="false">IF(B14071&lt;5,Einstellungen!$B$3,Einstellungen!$B$4)</f>
        <v>29.13</v>
      </c>
      <c r="E14071" s="14" t="str">
        <f aca="false">IF(C14071="","",C14071*D14071/100)</f>
        <v/>
      </c>
      <c r="F14071" s="15" t="str">
        <f aca="false">IF(B14071&lt;5,"Go","Standard")</f>
        <v>Standard</v>
      </c>
    </row>
    <row r="14072" customFormat="false" ht="15" hidden="false" customHeight="true" outlineLevel="0" collapsed="false">
      <c r="A14072" s="10" t="n">
        <f aca="false">Einstellungen!$B$5+INT((ROW()-9)/24)</f>
        <v>46551</v>
      </c>
      <c r="B14072" s="11" t="n">
        <f aca="false">MOD(ROW()-9,24)</f>
        <v>23</v>
      </c>
      <c r="C14072" s="12"/>
      <c r="D14072" s="13" t="n">
        <f aca="false">IF(B14072&lt;5,Einstellungen!$B$3,Einstellungen!$B$4)</f>
        <v>29.13</v>
      </c>
      <c r="E14072" s="14" t="str">
        <f aca="false">IF(C14072="","",C14072*D14072/100)</f>
        <v/>
      </c>
      <c r="F14072" s="15" t="str">
        <f aca="false">IF(B14072&lt;5,"Go","Standard")</f>
        <v>Standard</v>
      </c>
    </row>
    <row r="14073" customFormat="false" ht="15" hidden="false" customHeight="true" outlineLevel="0" collapsed="false">
      <c r="A14073" s="10" t="n">
        <f aca="false">Einstellungen!$B$5+INT((ROW()-9)/24)</f>
        <v>46552</v>
      </c>
      <c r="B14073" s="11" t="n">
        <f aca="false">MOD(ROW()-9,24)</f>
        <v>0</v>
      </c>
      <c r="C14073" s="12"/>
      <c r="D14073" s="13" t="n">
        <f aca="false">IF(B14073&lt;5,Einstellungen!$B$3,Einstellungen!$B$4)</f>
        <v>15.92</v>
      </c>
      <c r="E14073" s="14" t="str">
        <f aca="false">IF(C14073="","",C14073*D14073/100)</f>
        <v/>
      </c>
      <c r="F14073" s="15" t="str">
        <f aca="false">IF(B14073&lt;5,"Go","Standard")</f>
        <v>Go</v>
      </c>
    </row>
    <row r="14074" customFormat="false" ht="15" hidden="false" customHeight="true" outlineLevel="0" collapsed="false">
      <c r="A14074" s="10" t="n">
        <f aca="false">Einstellungen!$B$5+INT((ROW()-9)/24)</f>
        <v>46552</v>
      </c>
      <c r="B14074" s="11" t="n">
        <f aca="false">MOD(ROW()-9,24)</f>
        <v>1</v>
      </c>
      <c r="C14074" s="12"/>
      <c r="D14074" s="13" t="n">
        <f aca="false">IF(B14074&lt;5,Einstellungen!$B$3,Einstellungen!$B$4)</f>
        <v>15.92</v>
      </c>
      <c r="E14074" s="14" t="str">
        <f aca="false">IF(C14074="","",C14074*D14074/100)</f>
        <v/>
      </c>
      <c r="F14074" s="15" t="str">
        <f aca="false">IF(B14074&lt;5,"Go","Standard")</f>
        <v>Go</v>
      </c>
    </row>
    <row r="14075" customFormat="false" ht="15" hidden="false" customHeight="true" outlineLevel="0" collapsed="false">
      <c r="A14075" s="10" t="n">
        <f aca="false">Einstellungen!$B$5+INT((ROW()-9)/24)</f>
        <v>46552</v>
      </c>
      <c r="B14075" s="11" t="n">
        <f aca="false">MOD(ROW()-9,24)</f>
        <v>2</v>
      </c>
      <c r="C14075" s="12"/>
      <c r="D14075" s="13" t="n">
        <f aca="false">IF(B14075&lt;5,Einstellungen!$B$3,Einstellungen!$B$4)</f>
        <v>15.92</v>
      </c>
      <c r="E14075" s="14" t="str">
        <f aca="false">IF(C14075="","",C14075*D14075/100)</f>
        <v/>
      </c>
      <c r="F14075" s="15" t="str">
        <f aca="false">IF(B14075&lt;5,"Go","Standard")</f>
        <v>Go</v>
      </c>
    </row>
    <row r="14076" customFormat="false" ht="15" hidden="false" customHeight="true" outlineLevel="0" collapsed="false">
      <c r="A14076" s="10" t="n">
        <f aca="false">Einstellungen!$B$5+INT((ROW()-9)/24)</f>
        <v>46552</v>
      </c>
      <c r="B14076" s="11" t="n">
        <f aca="false">MOD(ROW()-9,24)</f>
        <v>3</v>
      </c>
      <c r="C14076" s="12"/>
      <c r="D14076" s="13" t="n">
        <f aca="false">IF(B14076&lt;5,Einstellungen!$B$3,Einstellungen!$B$4)</f>
        <v>15.92</v>
      </c>
      <c r="E14076" s="14" t="str">
        <f aca="false">IF(C14076="","",C14076*D14076/100)</f>
        <v/>
      </c>
      <c r="F14076" s="15" t="str">
        <f aca="false">IF(B14076&lt;5,"Go","Standard")</f>
        <v>Go</v>
      </c>
    </row>
    <row r="14077" customFormat="false" ht="15" hidden="false" customHeight="true" outlineLevel="0" collapsed="false">
      <c r="A14077" s="10" t="n">
        <f aca="false">Einstellungen!$B$5+INT((ROW()-9)/24)</f>
        <v>46552</v>
      </c>
      <c r="B14077" s="11" t="n">
        <f aca="false">MOD(ROW()-9,24)</f>
        <v>4</v>
      </c>
      <c r="C14077" s="12"/>
      <c r="D14077" s="13" t="n">
        <f aca="false">IF(B14077&lt;5,Einstellungen!$B$3,Einstellungen!$B$4)</f>
        <v>15.92</v>
      </c>
      <c r="E14077" s="14" t="str">
        <f aca="false">IF(C14077="","",C14077*D14077/100)</f>
        <v/>
      </c>
      <c r="F14077" s="15" t="str">
        <f aca="false">IF(B14077&lt;5,"Go","Standard")</f>
        <v>Go</v>
      </c>
    </row>
    <row r="14078" customFormat="false" ht="15" hidden="false" customHeight="true" outlineLevel="0" collapsed="false">
      <c r="A14078" s="10" t="n">
        <f aca="false">Einstellungen!$B$5+INT((ROW()-9)/24)</f>
        <v>46552</v>
      </c>
      <c r="B14078" s="11" t="n">
        <f aca="false">MOD(ROW()-9,24)</f>
        <v>5</v>
      </c>
      <c r="C14078" s="12"/>
      <c r="D14078" s="13" t="n">
        <f aca="false">IF(B14078&lt;5,Einstellungen!$B$3,Einstellungen!$B$4)</f>
        <v>29.13</v>
      </c>
      <c r="E14078" s="14" t="str">
        <f aca="false">IF(C14078="","",C14078*D14078/100)</f>
        <v/>
      </c>
      <c r="F14078" s="15" t="str">
        <f aca="false">IF(B14078&lt;5,"Go","Standard")</f>
        <v>Standard</v>
      </c>
    </row>
    <row r="14079" customFormat="false" ht="15" hidden="false" customHeight="true" outlineLevel="0" collapsed="false">
      <c r="A14079" s="10" t="n">
        <f aca="false">Einstellungen!$B$5+INT((ROW()-9)/24)</f>
        <v>46552</v>
      </c>
      <c r="B14079" s="11" t="n">
        <f aca="false">MOD(ROW()-9,24)</f>
        <v>6</v>
      </c>
      <c r="C14079" s="12"/>
      <c r="D14079" s="13" t="n">
        <f aca="false">IF(B14079&lt;5,Einstellungen!$B$3,Einstellungen!$B$4)</f>
        <v>29.13</v>
      </c>
      <c r="E14079" s="14" t="str">
        <f aca="false">IF(C14079="","",C14079*D14079/100)</f>
        <v/>
      </c>
      <c r="F14079" s="15" t="str">
        <f aca="false">IF(B14079&lt;5,"Go","Standard")</f>
        <v>Standard</v>
      </c>
    </row>
    <row r="14080" customFormat="false" ht="15" hidden="false" customHeight="true" outlineLevel="0" collapsed="false">
      <c r="A14080" s="10" t="n">
        <f aca="false">Einstellungen!$B$5+INT((ROW()-9)/24)</f>
        <v>46552</v>
      </c>
      <c r="B14080" s="11" t="n">
        <f aca="false">MOD(ROW()-9,24)</f>
        <v>7</v>
      </c>
      <c r="C14080" s="12"/>
      <c r="D14080" s="13" t="n">
        <f aca="false">IF(B14080&lt;5,Einstellungen!$B$3,Einstellungen!$B$4)</f>
        <v>29.13</v>
      </c>
      <c r="E14080" s="14" t="str">
        <f aca="false">IF(C14080="","",C14080*D14080/100)</f>
        <v/>
      </c>
      <c r="F14080" s="15" t="str">
        <f aca="false">IF(B14080&lt;5,"Go","Standard")</f>
        <v>Standard</v>
      </c>
    </row>
    <row r="14081" customFormat="false" ht="15" hidden="false" customHeight="true" outlineLevel="0" collapsed="false">
      <c r="A14081" s="10" t="n">
        <f aca="false">Einstellungen!$B$5+INT((ROW()-9)/24)</f>
        <v>46552</v>
      </c>
      <c r="B14081" s="11" t="n">
        <f aca="false">MOD(ROW()-9,24)</f>
        <v>8</v>
      </c>
      <c r="C14081" s="12"/>
      <c r="D14081" s="13" t="n">
        <f aca="false">IF(B14081&lt;5,Einstellungen!$B$3,Einstellungen!$B$4)</f>
        <v>29.13</v>
      </c>
      <c r="E14081" s="14" t="str">
        <f aca="false">IF(C14081="","",C14081*D14081/100)</f>
        <v/>
      </c>
      <c r="F14081" s="15" t="str">
        <f aca="false">IF(B14081&lt;5,"Go","Standard")</f>
        <v>Standard</v>
      </c>
    </row>
    <row r="14082" customFormat="false" ht="15" hidden="false" customHeight="true" outlineLevel="0" collapsed="false">
      <c r="A14082" s="10" t="n">
        <f aca="false">Einstellungen!$B$5+INT((ROW()-9)/24)</f>
        <v>46552</v>
      </c>
      <c r="B14082" s="11" t="n">
        <f aca="false">MOD(ROW()-9,24)</f>
        <v>9</v>
      </c>
      <c r="C14082" s="12"/>
      <c r="D14082" s="13" t="n">
        <f aca="false">IF(B14082&lt;5,Einstellungen!$B$3,Einstellungen!$B$4)</f>
        <v>29.13</v>
      </c>
      <c r="E14082" s="14" t="str">
        <f aca="false">IF(C14082="","",C14082*D14082/100)</f>
        <v/>
      </c>
      <c r="F14082" s="15" t="str">
        <f aca="false">IF(B14082&lt;5,"Go","Standard")</f>
        <v>Standard</v>
      </c>
    </row>
    <row r="14083" customFormat="false" ht="15" hidden="false" customHeight="true" outlineLevel="0" collapsed="false">
      <c r="A14083" s="10" t="n">
        <f aca="false">Einstellungen!$B$5+INT((ROW()-9)/24)</f>
        <v>46552</v>
      </c>
      <c r="B14083" s="11" t="n">
        <f aca="false">MOD(ROW()-9,24)</f>
        <v>10</v>
      </c>
      <c r="C14083" s="12"/>
      <c r="D14083" s="13" t="n">
        <f aca="false">IF(B14083&lt;5,Einstellungen!$B$3,Einstellungen!$B$4)</f>
        <v>29.13</v>
      </c>
      <c r="E14083" s="14" t="str">
        <f aca="false">IF(C14083="","",C14083*D14083/100)</f>
        <v/>
      </c>
      <c r="F14083" s="15" t="str">
        <f aca="false">IF(B14083&lt;5,"Go","Standard")</f>
        <v>Standard</v>
      </c>
    </row>
    <row r="14084" customFormat="false" ht="15" hidden="false" customHeight="true" outlineLevel="0" collapsed="false">
      <c r="A14084" s="10" t="n">
        <f aca="false">Einstellungen!$B$5+INT((ROW()-9)/24)</f>
        <v>46552</v>
      </c>
      <c r="B14084" s="11" t="n">
        <f aca="false">MOD(ROW()-9,24)</f>
        <v>11</v>
      </c>
      <c r="C14084" s="12"/>
      <c r="D14084" s="13" t="n">
        <f aca="false">IF(B14084&lt;5,Einstellungen!$B$3,Einstellungen!$B$4)</f>
        <v>29.13</v>
      </c>
      <c r="E14084" s="14" t="str">
        <f aca="false">IF(C14084="","",C14084*D14084/100)</f>
        <v/>
      </c>
      <c r="F14084" s="15" t="str">
        <f aca="false">IF(B14084&lt;5,"Go","Standard")</f>
        <v>Standard</v>
      </c>
    </row>
    <row r="14085" customFormat="false" ht="15" hidden="false" customHeight="true" outlineLevel="0" collapsed="false">
      <c r="A14085" s="10" t="n">
        <f aca="false">Einstellungen!$B$5+INT((ROW()-9)/24)</f>
        <v>46552</v>
      </c>
      <c r="B14085" s="11" t="n">
        <f aca="false">MOD(ROW()-9,24)</f>
        <v>12</v>
      </c>
      <c r="C14085" s="12"/>
      <c r="D14085" s="13" t="n">
        <f aca="false">IF(B14085&lt;5,Einstellungen!$B$3,Einstellungen!$B$4)</f>
        <v>29.13</v>
      </c>
      <c r="E14085" s="14" t="str">
        <f aca="false">IF(C14085="","",C14085*D14085/100)</f>
        <v/>
      </c>
      <c r="F14085" s="15" t="str">
        <f aca="false">IF(B14085&lt;5,"Go","Standard")</f>
        <v>Standard</v>
      </c>
    </row>
    <row r="14086" customFormat="false" ht="15" hidden="false" customHeight="true" outlineLevel="0" collapsed="false">
      <c r="A14086" s="10" t="n">
        <f aca="false">Einstellungen!$B$5+INT((ROW()-9)/24)</f>
        <v>46552</v>
      </c>
      <c r="B14086" s="11" t="n">
        <f aca="false">MOD(ROW()-9,24)</f>
        <v>13</v>
      </c>
      <c r="C14086" s="12"/>
      <c r="D14086" s="13" t="n">
        <f aca="false">IF(B14086&lt;5,Einstellungen!$B$3,Einstellungen!$B$4)</f>
        <v>29.13</v>
      </c>
      <c r="E14086" s="14" t="str">
        <f aca="false">IF(C14086="","",C14086*D14086/100)</f>
        <v/>
      </c>
      <c r="F14086" s="15" t="str">
        <f aca="false">IF(B14086&lt;5,"Go","Standard")</f>
        <v>Standard</v>
      </c>
    </row>
    <row r="14087" customFormat="false" ht="15" hidden="false" customHeight="true" outlineLevel="0" collapsed="false">
      <c r="A14087" s="10" t="n">
        <f aca="false">Einstellungen!$B$5+INT((ROW()-9)/24)</f>
        <v>46552</v>
      </c>
      <c r="B14087" s="11" t="n">
        <f aca="false">MOD(ROW()-9,24)</f>
        <v>14</v>
      </c>
      <c r="C14087" s="12"/>
      <c r="D14087" s="13" t="n">
        <f aca="false">IF(B14087&lt;5,Einstellungen!$B$3,Einstellungen!$B$4)</f>
        <v>29.13</v>
      </c>
      <c r="E14087" s="14" t="str">
        <f aca="false">IF(C14087="","",C14087*D14087/100)</f>
        <v/>
      </c>
      <c r="F14087" s="15" t="str">
        <f aca="false">IF(B14087&lt;5,"Go","Standard")</f>
        <v>Standard</v>
      </c>
    </row>
    <row r="14088" customFormat="false" ht="15" hidden="false" customHeight="true" outlineLevel="0" collapsed="false">
      <c r="A14088" s="10" t="n">
        <f aca="false">Einstellungen!$B$5+INT((ROW()-9)/24)</f>
        <v>46552</v>
      </c>
      <c r="B14088" s="11" t="n">
        <f aca="false">MOD(ROW()-9,24)</f>
        <v>15</v>
      </c>
      <c r="C14088" s="12"/>
      <c r="D14088" s="13" t="n">
        <f aca="false">IF(B14088&lt;5,Einstellungen!$B$3,Einstellungen!$B$4)</f>
        <v>29.13</v>
      </c>
      <c r="E14088" s="14" t="str">
        <f aca="false">IF(C14088="","",C14088*D14088/100)</f>
        <v/>
      </c>
      <c r="F14088" s="15" t="str">
        <f aca="false">IF(B14088&lt;5,"Go","Standard")</f>
        <v>Standard</v>
      </c>
    </row>
    <row r="14089" customFormat="false" ht="15" hidden="false" customHeight="true" outlineLevel="0" collapsed="false">
      <c r="A14089" s="10" t="n">
        <f aca="false">Einstellungen!$B$5+INT((ROW()-9)/24)</f>
        <v>46552</v>
      </c>
      <c r="B14089" s="11" t="n">
        <f aca="false">MOD(ROW()-9,24)</f>
        <v>16</v>
      </c>
      <c r="C14089" s="12"/>
      <c r="D14089" s="13" t="n">
        <f aca="false">IF(B14089&lt;5,Einstellungen!$B$3,Einstellungen!$B$4)</f>
        <v>29.13</v>
      </c>
      <c r="E14089" s="14" t="str">
        <f aca="false">IF(C14089="","",C14089*D14089/100)</f>
        <v/>
      </c>
      <c r="F14089" s="15" t="str">
        <f aca="false">IF(B14089&lt;5,"Go","Standard")</f>
        <v>Standard</v>
      </c>
    </row>
    <row r="14090" customFormat="false" ht="15" hidden="false" customHeight="true" outlineLevel="0" collapsed="false">
      <c r="A14090" s="10" t="n">
        <f aca="false">Einstellungen!$B$5+INT((ROW()-9)/24)</f>
        <v>46552</v>
      </c>
      <c r="B14090" s="11" t="n">
        <f aca="false">MOD(ROW()-9,24)</f>
        <v>17</v>
      </c>
      <c r="C14090" s="12"/>
      <c r="D14090" s="13" t="n">
        <f aca="false">IF(B14090&lt;5,Einstellungen!$B$3,Einstellungen!$B$4)</f>
        <v>29.13</v>
      </c>
      <c r="E14090" s="14" t="str">
        <f aca="false">IF(C14090="","",C14090*D14090/100)</f>
        <v/>
      </c>
      <c r="F14090" s="15" t="str">
        <f aca="false">IF(B14090&lt;5,"Go","Standard")</f>
        <v>Standard</v>
      </c>
    </row>
    <row r="14091" customFormat="false" ht="15" hidden="false" customHeight="true" outlineLevel="0" collapsed="false">
      <c r="A14091" s="10" t="n">
        <f aca="false">Einstellungen!$B$5+INT((ROW()-9)/24)</f>
        <v>46552</v>
      </c>
      <c r="B14091" s="11" t="n">
        <f aca="false">MOD(ROW()-9,24)</f>
        <v>18</v>
      </c>
      <c r="C14091" s="12"/>
      <c r="D14091" s="13" t="n">
        <f aca="false">IF(B14091&lt;5,Einstellungen!$B$3,Einstellungen!$B$4)</f>
        <v>29.13</v>
      </c>
      <c r="E14091" s="14" t="str">
        <f aca="false">IF(C14091="","",C14091*D14091/100)</f>
        <v/>
      </c>
      <c r="F14091" s="15" t="str">
        <f aca="false">IF(B14091&lt;5,"Go","Standard")</f>
        <v>Standard</v>
      </c>
    </row>
    <row r="14092" customFormat="false" ht="15" hidden="false" customHeight="true" outlineLevel="0" collapsed="false">
      <c r="A14092" s="10" t="n">
        <f aca="false">Einstellungen!$B$5+INT((ROW()-9)/24)</f>
        <v>46552</v>
      </c>
      <c r="B14092" s="11" t="n">
        <f aca="false">MOD(ROW()-9,24)</f>
        <v>19</v>
      </c>
      <c r="C14092" s="12"/>
      <c r="D14092" s="13" t="n">
        <f aca="false">IF(B14092&lt;5,Einstellungen!$B$3,Einstellungen!$B$4)</f>
        <v>29.13</v>
      </c>
      <c r="E14092" s="14" t="str">
        <f aca="false">IF(C14092="","",C14092*D14092/100)</f>
        <v/>
      </c>
      <c r="F14092" s="15" t="str">
        <f aca="false">IF(B14092&lt;5,"Go","Standard")</f>
        <v>Standard</v>
      </c>
    </row>
    <row r="14093" customFormat="false" ht="15" hidden="false" customHeight="true" outlineLevel="0" collapsed="false">
      <c r="A14093" s="10" t="n">
        <f aca="false">Einstellungen!$B$5+INT((ROW()-9)/24)</f>
        <v>46552</v>
      </c>
      <c r="B14093" s="11" t="n">
        <f aca="false">MOD(ROW()-9,24)</f>
        <v>20</v>
      </c>
      <c r="C14093" s="12"/>
      <c r="D14093" s="13" t="n">
        <f aca="false">IF(B14093&lt;5,Einstellungen!$B$3,Einstellungen!$B$4)</f>
        <v>29.13</v>
      </c>
      <c r="E14093" s="14" t="str">
        <f aca="false">IF(C14093="","",C14093*D14093/100)</f>
        <v/>
      </c>
      <c r="F14093" s="15" t="str">
        <f aca="false">IF(B14093&lt;5,"Go","Standard")</f>
        <v>Standard</v>
      </c>
    </row>
    <row r="14094" customFormat="false" ht="15" hidden="false" customHeight="true" outlineLevel="0" collapsed="false">
      <c r="A14094" s="10" t="n">
        <f aca="false">Einstellungen!$B$5+INT((ROW()-9)/24)</f>
        <v>46552</v>
      </c>
      <c r="B14094" s="11" t="n">
        <f aca="false">MOD(ROW()-9,24)</f>
        <v>21</v>
      </c>
      <c r="C14094" s="12"/>
      <c r="D14094" s="13" t="n">
        <f aca="false">IF(B14094&lt;5,Einstellungen!$B$3,Einstellungen!$B$4)</f>
        <v>29.13</v>
      </c>
      <c r="E14094" s="14" t="str">
        <f aca="false">IF(C14094="","",C14094*D14094/100)</f>
        <v/>
      </c>
      <c r="F14094" s="15" t="str">
        <f aca="false">IF(B14094&lt;5,"Go","Standard")</f>
        <v>Standard</v>
      </c>
    </row>
    <row r="14095" customFormat="false" ht="15" hidden="false" customHeight="true" outlineLevel="0" collapsed="false">
      <c r="A14095" s="10" t="n">
        <f aca="false">Einstellungen!$B$5+INT((ROW()-9)/24)</f>
        <v>46552</v>
      </c>
      <c r="B14095" s="11" t="n">
        <f aca="false">MOD(ROW()-9,24)</f>
        <v>22</v>
      </c>
      <c r="C14095" s="12"/>
      <c r="D14095" s="13" t="n">
        <f aca="false">IF(B14095&lt;5,Einstellungen!$B$3,Einstellungen!$B$4)</f>
        <v>29.13</v>
      </c>
      <c r="E14095" s="14" t="str">
        <f aca="false">IF(C14095="","",C14095*D14095/100)</f>
        <v/>
      </c>
      <c r="F14095" s="15" t="str">
        <f aca="false">IF(B14095&lt;5,"Go","Standard")</f>
        <v>Standard</v>
      </c>
    </row>
    <row r="14096" customFormat="false" ht="15" hidden="false" customHeight="true" outlineLevel="0" collapsed="false">
      <c r="A14096" s="10" t="n">
        <f aca="false">Einstellungen!$B$5+INT((ROW()-9)/24)</f>
        <v>46552</v>
      </c>
      <c r="B14096" s="11" t="n">
        <f aca="false">MOD(ROW()-9,24)</f>
        <v>23</v>
      </c>
      <c r="C14096" s="12"/>
      <c r="D14096" s="13" t="n">
        <f aca="false">IF(B14096&lt;5,Einstellungen!$B$3,Einstellungen!$B$4)</f>
        <v>29.13</v>
      </c>
      <c r="E14096" s="14" t="str">
        <f aca="false">IF(C14096="","",C14096*D14096/100)</f>
        <v/>
      </c>
      <c r="F14096" s="15" t="str">
        <f aca="false">IF(B14096&lt;5,"Go","Standard")</f>
        <v>Standard</v>
      </c>
    </row>
    <row r="14097" customFormat="false" ht="15" hidden="false" customHeight="true" outlineLevel="0" collapsed="false">
      <c r="A14097" s="10" t="n">
        <f aca="false">Einstellungen!$B$5+INT((ROW()-9)/24)</f>
        <v>46553</v>
      </c>
      <c r="B14097" s="11" t="n">
        <f aca="false">MOD(ROW()-9,24)</f>
        <v>0</v>
      </c>
      <c r="C14097" s="12"/>
      <c r="D14097" s="13" t="n">
        <f aca="false">IF(B14097&lt;5,Einstellungen!$B$3,Einstellungen!$B$4)</f>
        <v>15.92</v>
      </c>
      <c r="E14097" s="14" t="str">
        <f aca="false">IF(C14097="","",C14097*D14097/100)</f>
        <v/>
      </c>
      <c r="F14097" s="15" t="str">
        <f aca="false">IF(B14097&lt;5,"Go","Standard")</f>
        <v>Go</v>
      </c>
    </row>
    <row r="14098" customFormat="false" ht="15" hidden="false" customHeight="true" outlineLevel="0" collapsed="false">
      <c r="A14098" s="10" t="n">
        <f aca="false">Einstellungen!$B$5+INT((ROW()-9)/24)</f>
        <v>46553</v>
      </c>
      <c r="B14098" s="11" t="n">
        <f aca="false">MOD(ROW()-9,24)</f>
        <v>1</v>
      </c>
      <c r="C14098" s="12"/>
      <c r="D14098" s="13" t="n">
        <f aca="false">IF(B14098&lt;5,Einstellungen!$B$3,Einstellungen!$B$4)</f>
        <v>15.92</v>
      </c>
      <c r="E14098" s="14" t="str">
        <f aca="false">IF(C14098="","",C14098*D14098/100)</f>
        <v/>
      </c>
      <c r="F14098" s="15" t="str">
        <f aca="false">IF(B14098&lt;5,"Go","Standard")</f>
        <v>Go</v>
      </c>
    </row>
    <row r="14099" customFormat="false" ht="15" hidden="false" customHeight="true" outlineLevel="0" collapsed="false">
      <c r="A14099" s="10" t="n">
        <f aca="false">Einstellungen!$B$5+INT((ROW()-9)/24)</f>
        <v>46553</v>
      </c>
      <c r="B14099" s="11" t="n">
        <f aca="false">MOD(ROW()-9,24)</f>
        <v>2</v>
      </c>
      <c r="C14099" s="12"/>
      <c r="D14099" s="13" t="n">
        <f aca="false">IF(B14099&lt;5,Einstellungen!$B$3,Einstellungen!$B$4)</f>
        <v>15.92</v>
      </c>
      <c r="E14099" s="14" t="str">
        <f aca="false">IF(C14099="","",C14099*D14099/100)</f>
        <v/>
      </c>
      <c r="F14099" s="15" t="str">
        <f aca="false">IF(B14099&lt;5,"Go","Standard")</f>
        <v>Go</v>
      </c>
    </row>
    <row r="14100" customFormat="false" ht="15" hidden="false" customHeight="true" outlineLevel="0" collapsed="false">
      <c r="A14100" s="10" t="n">
        <f aca="false">Einstellungen!$B$5+INT((ROW()-9)/24)</f>
        <v>46553</v>
      </c>
      <c r="B14100" s="11" t="n">
        <f aca="false">MOD(ROW()-9,24)</f>
        <v>3</v>
      </c>
      <c r="C14100" s="12"/>
      <c r="D14100" s="13" t="n">
        <f aca="false">IF(B14100&lt;5,Einstellungen!$B$3,Einstellungen!$B$4)</f>
        <v>15.92</v>
      </c>
      <c r="E14100" s="14" t="str">
        <f aca="false">IF(C14100="","",C14100*D14100/100)</f>
        <v/>
      </c>
      <c r="F14100" s="15" t="str">
        <f aca="false">IF(B14100&lt;5,"Go","Standard")</f>
        <v>Go</v>
      </c>
    </row>
    <row r="14101" customFormat="false" ht="15" hidden="false" customHeight="true" outlineLevel="0" collapsed="false">
      <c r="A14101" s="10" t="n">
        <f aca="false">Einstellungen!$B$5+INT((ROW()-9)/24)</f>
        <v>46553</v>
      </c>
      <c r="B14101" s="11" t="n">
        <f aca="false">MOD(ROW()-9,24)</f>
        <v>4</v>
      </c>
      <c r="C14101" s="12"/>
      <c r="D14101" s="13" t="n">
        <f aca="false">IF(B14101&lt;5,Einstellungen!$B$3,Einstellungen!$B$4)</f>
        <v>15.92</v>
      </c>
      <c r="E14101" s="14" t="str">
        <f aca="false">IF(C14101="","",C14101*D14101/100)</f>
        <v/>
      </c>
      <c r="F14101" s="15" t="str">
        <f aca="false">IF(B14101&lt;5,"Go","Standard")</f>
        <v>Go</v>
      </c>
    </row>
    <row r="14102" customFormat="false" ht="15" hidden="false" customHeight="true" outlineLevel="0" collapsed="false">
      <c r="A14102" s="10" t="n">
        <f aca="false">Einstellungen!$B$5+INT((ROW()-9)/24)</f>
        <v>46553</v>
      </c>
      <c r="B14102" s="11" t="n">
        <f aca="false">MOD(ROW()-9,24)</f>
        <v>5</v>
      </c>
      <c r="C14102" s="12"/>
      <c r="D14102" s="13" t="n">
        <f aca="false">IF(B14102&lt;5,Einstellungen!$B$3,Einstellungen!$B$4)</f>
        <v>29.13</v>
      </c>
      <c r="E14102" s="14" t="str">
        <f aca="false">IF(C14102="","",C14102*D14102/100)</f>
        <v/>
      </c>
      <c r="F14102" s="15" t="str">
        <f aca="false">IF(B14102&lt;5,"Go","Standard")</f>
        <v>Standard</v>
      </c>
    </row>
    <row r="14103" customFormat="false" ht="15" hidden="false" customHeight="true" outlineLevel="0" collapsed="false">
      <c r="A14103" s="10" t="n">
        <f aca="false">Einstellungen!$B$5+INT((ROW()-9)/24)</f>
        <v>46553</v>
      </c>
      <c r="B14103" s="11" t="n">
        <f aca="false">MOD(ROW()-9,24)</f>
        <v>6</v>
      </c>
      <c r="C14103" s="12"/>
      <c r="D14103" s="13" t="n">
        <f aca="false">IF(B14103&lt;5,Einstellungen!$B$3,Einstellungen!$B$4)</f>
        <v>29.13</v>
      </c>
      <c r="E14103" s="14" t="str">
        <f aca="false">IF(C14103="","",C14103*D14103/100)</f>
        <v/>
      </c>
      <c r="F14103" s="15" t="str">
        <f aca="false">IF(B14103&lt;5,"Go","Standard")</f>
        <v>Standard</v>
      </c>
    </row>
    <row r="14104" customFormat="false" ht="15" hidden="false" customHeight="true" outlineLevel="0" collapsed="false">
      <c r="A14104" s="10" t="n">
        <f aca="false">Einstellungen!$B$5+INT((ROW()-9)/24)</f>
        <v>46553</v>
      </c>
      <c r="B14104" s="11" t="n">
        <f aca="false">MOD(ROW()-9,24)</f>
        <v>7</v>
      </c>
      <c r="C14104" s="12"/>
      <c r="D14104" s="13" t="n">
        <f aca="false">IF(B14104&lt;5,Einstellungen!$B$3,Einstellungen!$B$4)</f>
        <v>29.13</v>
      </c>
      <c r="E14104" s="14" t="str">
        <f aca="false">IF(C14104="","",C14104*D14104/100)</f>
        <v/>
      </c>
      <c r="F14104" s="15" t="str">
        <f aca="false">IF(B14104&lt;5,"Go","Standard")</f>
        <v>Standard</v>
      </c>
    </row>
    <row r="14105" customFormat="false" ht="15" hidden="false" customHeight="true" outlineLevel="0" collapsed="false">
      <c r="A14105" s="10" t="n">
        <f aca="false">Einstellungen!$B$5+INT((ROW()-9)/24)</f>
        <v>46553</v>
      </c>
      <c r="B14105" s="11" t="n">
        <f aca="false">MOD(ROW()-9,24)</f>
        <v>8</v>
      </c>
      <c r="C14105" s="12"/>
      <c r="D14105" s="13" t="n">
        <f aca="false">IF(B14105&lt;5,Einstellungen!$B$3,Einstellungen!$B$4)</f>
        <v>29.13</v>
      </c>
      <c r="E14105" s="14" t="str">
        <f aca="false">IF(C14105="","",C14105*D14105/100)</f>
        <v/>
      </c>
      <c r="F14105" s="15" t="str">
        <f aca="false">IF(B14105&lt;5,"Go","Standard")</f>
        <v>Standard</v>
      </c>
    </row>
    <row r="14106" customFormat="false" ht="15" hidden="false" customHeight="true" outlineLevel="0" collapsed="false">
      <c r="A14106" s="10" t="n">
        <f aca="false">Einstellungen!$B$5+INT((ROW()-9)/24)</f>
        <v>46553</v>
      </c>
      <c r="B14106" s="11" t="n">
        <f aca="false">MOD(ROW()-9,24)</f>
        <v>9</v>
      </c>
      <c r="C14106" s="12"/>
      <c r="D14106" s="13" t="n">
        <f aca="false">IF(B14106&lt;5,Einstellungen!$B$3,Einstellungen!$B$4)</f>
        <v>29.13</v>
      </c>
      <c r="E14106" s="14" t="str">
        <f aca="false">IF(C14106="","",C14106*D14106/100)</f>
        <v/>
      </c>
      <c r="F14106" s="15" t="str">
        <f aca="false">IF(B14106&lt;5,"Go","Standard")</f>
        <v>Standard</v>
      </c>
    </row>
    <row r="14107" customFormat="false" ht="15" hidden="false" customHeight="true" outlineLevel="0" collapsed="false">
      <c r="A14107" s="10" t="n">
        <f aca="false">Einstellungen!$B$5+INT((ROW()-9)/24)</f>
        <v>46553</v>
      </c>
      <c r="B14107" s="11" t="n">
        <f aca="false">MOD(ROW()-9,24)</f>
        <v>10</v>
      </c>
      <c r="C14107" s="12"/>
      <c r="D14107" s="13" t="n">
        <f aca="false">IF(B14107&lt;5,Einstellungen!$B$3,Einstellungen!$B$4)</f>
        <v>29.13</v>
      </c>
      <c r="E14107" s="14" t="str">
        <f aca="false">IF(C14107="","",C14107*D14107/100)</f>
        <v/>
      </c>
      <c r="F14107" s="15" t="str">
        <f aca="false">IF(B14107&lt;5,"Go","Standard")</f>
        <v>Standard</v>
      </c>
    </row>
    <row r="14108" customFormat="false" ht="15" hidden="false" customHeight="true" outlineLevel="0" collapsed="false">
      <c r="A14108" s="10" t="n">
        <f aca="false">Einstellungen!$B$5+INT((ROW()-9)/24)</f>
        <v>46553</v>
      </c>
      <c r="B14108" s="11" t="n">
        <f aca="false">MOD(ROW()-9,24)</f>
        <v>11</v>
      </c>
      <c r="C14108" s="12"/>
      <c r="D14108" s="13" t="n">
        <f aca="false">IF(B14108&lt;5,Einstellungen!$B$3,Einstellungen!$B$4)</f>
        <v>29.13</v>
      </c>
      <c r="E14108" s="14" t="str">
        <f aca="false">IF(C14108="","",C14108*D14108/100)</f>
        <v/>
      </c>
      <c r="F14108" s="15" t="str">
        <f aca="false">IF(B14108&lt;5,"Go","Standard")</f>
        <v>Standard</v>
      </c>
    </row>
    <row r="14109" customFormat="false" ht="15" hidden="false" customHeight="true" outlineLevel="0" collapsed="false">
      <c r="A14109" s="10" t="n">
        <f aca="false">Einstellungen!$B$5+INT((ROW()-9)/24)</f>
        <v>46553</v>
      </c>
      <c r="B14109" s="11" t="n">
        <f aca="false">MOD(ROW()-9,24)</f>
        <v>12</v>
      </c>
      <c r="C14109" s="12"/>
      <c r="D14109" s="13" t="n">
        <f aca="false">IF(B14109&lt;5,Einstellungen!$B$3,Einstellungen!$B$4)</f>
        <v>29.13</v>
      </c>
      <c r="E14109" s="14" t="str">
        <f aca="false">IF(C14109="","",C14109*D14109/100)</f>
        <v/>
      </c>
      <c r="F14109" s="15" t="str">
        <f aca="false">IF(B14109&lt;5,"Go","Standard")</f>
        <v>Standard</v>
      </c>
    </row>
    <row r="14110" customFormat="false" ht="15" hidden="false" customHeight="true" outlineLevel="0" collapsed="false">
      <c r="A14110" s="10" t="n">
        <f aca="false">Einstellungen!$B$5+INT((ROW()-9)/24)</f>
        <v>46553</v>
      </c>
      <c r="B14110" s="11" t="n">
        <f aca="false">MOD(ROW()-9,24)</f>
        <v>13</v>
      </c>
      <c r="C14110" s="12"/>
      <c r="D14110" s="13" t="n">
        <f aca="false">IF(B14110&lt;5,Einstellungen!$B$3,Einstellungen!$B$4)</f>
        <v>29.13</v>
      </c>
      <c r="E14110" s="14" t="str">
        <f aca="false">IF(C14110="","",C14110*D14110/100)</f>
        <v/>
      </c>
      <c r="F14110" s="15" t="str">
        <f aca="false">IF(B14110&lt;5,"Go","Standard")</f>
        <v>Standard</v>
      </c>
    </row>
    <row r="14111" customFormat="false" ht="15" hidden="false" customHeight="true" outlineLevel="0" collapsed="false">
      <c r="A14111" s="10" t="n">
        <f aca="false">Einstellungen!$B$5+INT((ROW()-9)/24)</f>
        <v>46553</v>
      </c>
      <c r="B14111" s="11" t="n">
        <f aca="false">MOD(ROW()-9,24)</f>
        <v>14</v>
      </c>
      <c r="C14111" s="12"/>
      <c r="D14111" s="13" t="n">
        <f aca="false">IF(B14111&lt;5,Einstellungen!$B$3,Einstellungen!$B$4)</f>
        <v>29.13</v>
      </c>
      <c r="E14111" s="14" t="str">
        <f aca="false">IF(C14111="","",C14111*D14111/100)</f>
        <v/>
      </c>
      <c r="F14111" s="15" t="str">
        <f aca="false">IF(B14111&lt;5,"Go","Standard")</f>
        <v>Standard</v>
      </c>
    </row>
    <row r="14112" customFormat="false" ht="15" hidden="false" customHeight="true" outlineLevel="0" collapsed="false">
      <c r="A14112" s="10" t="n">
        <f aca="false">Einstellungen!$B$5+INT((ROW()-9)/24)</f>
        <v>46553</v>
      </c>
      <c r="B14112" s="11" t="n">
        <f aca="false">MOD(ROW()-9,24)</f>
        <v>15</v>
      </c>
      <c r="C14112" s="12"/>
      <c r="D14112" s="13" t="n">
        <f aca="false">IF(B14112&lt;5,Einstellungen!$B$3,Einstellungen!$B$4)</f>
        <v>29.13</v>
      </c>
      <c r="E14112" s="14" t="str">
        <f aca="false">IF(C14112="","",C14112*D14112/100)</f>
        <v/>
      </c>
      <c r="F14112" s="15" t="str">
        <f aca="false">IF(B14112&lt;5,"Go","Standard")</f>
        <v>Standard</v>
      </c>
    </row>
    <row r="14113" customFormat="false" ht="15" hidden="false" customHeight="true" outlineLevel="0" collapsed="false">
      <c r="A14113" s="10" t="n">
        <f aca="false">Einstellungen!$B$5+INT((ROW()-9)/24)</f>
        <v>46553</v>
      </c>
      <c r="B14113" s="11" t="n">
        <f aca="false">MOD(ROW()-9,24)</f>
        <v>16</v>
      </c>
      <c r="C14113" s="12"/>
      <c r="D14113" s="13" t="n">
        <f aca="false">IF(B14113&lt;5,Einstellungen!$B$3,Einstellungen!$B$4)</f>
        <v>29.13</v>
      </c>
      <c r="E14113" s="14" t="str">
        <f aca="false">IF(C14113="","",C14113*D14113/100)</f>
        <v/>
      </c>
      <c r="F14113" s="15" t="str">
        <f aca="false">IF(B14113&lt;5,"Go","Standard")</f>
        <v>Standard</v>
      </c>
    </row>
    <row r="14114" customFormat="false" ht="15" hidden="false" customHeight="true" outlineLevel="0" collapsed="false">
      <c r="A14114" s="10" t="n">
        <f aca="false">Einstellungen!$B$5+INT((ROW()-9)/24)</f>
        <v>46553</v>
      </c>
      <c r="B14114" s="11" t="n">
        <f aca="false">MOD(ROW()-9,24)</f>
        <v>17</v>
      </c>
      <c r="C14114" s="12"/>
      <c r="D14114" s="13" t="n">
        <f aca="false">IF(B14114&lt;5,Einstellungen!$B$3,Einstellungen!$B$4)</f>
        <v>29.13</v>
      </c>
      <c r="E14114" s="14" t="str">
        <f aca="false">IF(C14114="","",C14114*D14114/100)</f>
        <v/>
      </c>
      <c r="F14114" s="15" t="str">
        <f aca="false">IF(B14114&lt;5,"Go","Standard")</f>
        <v>Standard</v>
      </c>
    </row>
    <row r="14115" customFormat="false" ht="15" hidden="false" customHeight="true" outlineLevel="0" collapsed="false">
      <c r="A14115" s="10" t="n">
        <f aca="false">Einstellungen!$B$5+INT((ROW()-9)/24)</f>
        <v>46553</v>
      </c>
      <c r="B14115" s="11" t="n">
        <f aca="false">MOD(ROW()-9,24)</f>
        <v>18</v>
      </c>
      <c r="C14115" s="12"/>
      <c r="D14115" s="13" t="n">
        <f aca="false">IF(B14115&lt;5,Einstellungen!$B$3,Einstellungen!$B$4)</f>
        <v>29.13</v>
      </c>
      <c r="E14115" s="14" t="str">
        <f aca="false">IF(C14115="","",C14115*D14115/100)</f>
        <v/>
      </c>
      <c r="F14115" s="15" t="str">
        <f aca="false">IF(B14115&lt;5,"Go","Standard")</f>
        <v>Standard</v>
      </c>
    </row>
    <row r="14116" customFormat="false" ht="15" hidden="false" customHeight="true" outlineLevel="0" collapsed="false">
      <c r="A14116" s="10" t="n">
        <f aca="false">Einstellungen!$B$5+INT((ROW()-9)/24)</f>
        <v>46553</v>
      </c>
      <c r="B14116" s="11" t="n">
        <f aca="false">MOD(ROW()-9,24)</f>
        <v>19</v>
      </c>
      <c r="C14116" s="12"/>
      <c r="D14116" s="13" t="n">
        <f aca="false">IF(B14116&lt;5,Einstellungen!$B$3,Einstellungen!$B$4)</f>
        <v>29.13</v>
      </c>
      <c r="E14116" s="14" t="str">
        <f aca="false">IF(C14116="","",C14116*D14116/100)</f>
        <v/>
      </c>
      <c r="F14116" s="15" t="str">
        <f aca="false">IF(B14116&lt;5,"Go","Standard")</f>
        <v>Standard</v>
      </c>
    </row>
    <row r="14117" customFormat="false" ht="15" hidden="false" customHeight="true" outlineLevel="0" collapsed="false">
      <c r="A14117" s="10" t="n">
        <f aca="false">Einstellungen!$B$5+INT((ROW()-9)/24)</f>
        <v>46553</v>
      </c>
      <c r="B14117" s="11" t="n">
        <f aca="false">MOD(ROW()-9,24)</f>
        <v>20</v>
      </c>
      <c r="C14117" s="12"/>
      <c r="D14117" s="13" t="n">
        <f aca="false">IF(B14117&lt;5,Einstellungen!$B$3,Einstellungen!$B$4)</f>
        <v>29.13</v>
      </c>
      <c r="E14117" s="14" t="str">
        <f aca="false">IF(C14117="","",C14117*D14117/100)</f>
        <v/>
      </c>
      <c r="F14117" s="15" t="str">
        <f aca="false">IF(B14117&lt;5,"Go","Standard")</f>
        <v>Standard</v>
      </c>
    </row>
    <row r="14118" customFormat="false" ht="15" hidden="false" customHeight="true" outlineLevel="0" collapsed="false">
      <c r="A14118" s="10" t="n">
        <f aca="false">Einstellungen!$B$5+INT((ROW()-9)/24)</f>
        <v>46553</v>
      </c>
      <c r="B14118" s="11" t="n">
        <f aca="false">MOD(ROW()-9,24)</f>
        <v>21</v>
      </c>
      <c r="C14118" s="12"/>
      <c r="D14118" s="13" t="n">
        <f aca="false">IF(B14118&lt;5,Einstellungen!$B$3,Einstellungen!$B$4)</f>
        <v>29.13</v>
      </c>
      <c r="E14118" s="14" t="str">
        <f aca="false">IF(C14118="","",C14118*D14118/100)</f>
        <v/>
      </c>
      <c r="F14118" s="15" t="str">
        <f aca="false">IF(B14118&lt;5,"Go","Standard")</f>
        <v>Standard</v>
      </c>
    </row>
    <row r="14119" customFormat="false" ht="15" hidden="false" customHeight="true" outlineLevel="0" collapsed="false">
      <c r="A14119" s="10" t="n">
        <f aca="false">Einstellungen!$B$5+INT((ROW()-9)/24)</f>
        <v>46553</v>
      </c>
      <c r="B14119" s="11" t="n">
        <f aca="false">MOD(ROW()-9,24)</f>
        <v>22</v>
      </c>
      <c r="C14119" s="12"/>
      <c r="D14119" s="13" t="n">
        <f aca="false">IF(B14119&lt;5,Einstellungen!$B$3,Einstellungen!$B$4)</f>
        <v>29.13</v>
      </c>
      <c r="E14119" s="14" t="str">
        <f aca="false">IF(C14119="","",C14119*D14119/100)</f>
        <v/>
      </c>
      <c r="F14119" s="15" t="str">
        <f aca="false">IF(B14119&lt;5,"Go","Standard")</f>
        <v>Standard</v>
      </c>
    </row>
    <row r="14120" customFormat="false" ht="15" hidden="false" customHeight="true" outlineLevel="0" collapsed="false">
      <c r="A14120" s="10" t="n">
        <f aca="false">Einstellungen!$B$5+INT((ROW()-9)/24)</f>
        <v>46553</v>
      </c>
      <c r="B14120" s="11" t="n">
        <f aca="false">MOD(ROW()-9,24)</f>
        <v>23</v>
      </c>
      <c r="C14120" s="12"/>
      <c r="D14120" s="13" t="n">
        <f aca="false">IF(B14120&lt;5,Einstellungen!$B$3,Einstellungen!$B$4)</f>
        <v>29.13</v>
      </c>
      <c r="E14120" s="14" t="str">
        <f aca="false">IF(C14120="","",C14120*D14120/100)</f>
        <v/>
      </c>
      <c r="F14120" s="15" t="str">
        <f aca="false">IF(B14120&lt;5,"Go","Standard")</f>
        <v>Standard</v>
      </c>
    </row>
    <row r="14121" customFormat="false" ht="15" hidden="false" customHeight="true" outlineLevel="0" collapsed="false">
      <c r="A14121" s="10" t="n">
        <f aca="false">Einstellungen!$B$5+INT((ROW()-9)/24)</f>
        <v>46554</v>
      </c>
      <c r="B14121" s="11" t="n">
        <f aca="false">MOD(ROW()-9,24)</f>
        <v>0</v>
      </c>
      <c r="C14121" s="12"/>
      <c r="D14121" s="13" t="n">
        <f aca="false">IF(B14121&lt;5,Einstellungen!$B$3,Einstellungen!$B$4)</f>
        <v>15.92</v>
      </c>
      <c r="E14121" s="14" t="str">
        <f aca="false">IF(C14121="","",C14121*D14121/100)</f>
        <v/>
      </c>
      <c r="F14121" s="15" t="str">
        <f aca="false">IF(B14121&lt;5,"Go","Standard")</f>
        <v>Go</v>
      </c>
    </row>
    <row r="14122" customFormat="false" ht="15" hidden="false" customHeight="true" outlineLevel="0" collapsed="false">
      <c r="A14122" s="10" t="n">
        <f aca="false">Einstellungen!$B$5+INT((ROW()-9)/24)</f>
        <v>46554</v>
      </c>
      <c r="B14122" s="11" t="n">
        <f aca="false">MOD(ROW()-9,24)</f>
        <v>1</v>
      </c>
      <c r="C14122" s="12"/>
      <c r="D14122" s="13" t="n">
        <f aca="false">IF(B14122&lt;5,Einstellungen!$B$3,Einstellungen!$B$4)</f>
        <v>15.92</v>
      </c>
      <c r="E14122" s="14" t="str">
        <f aca="false">IF(C14122="","",C14122*D14122/100)</f>
        <v/>
      </c>
      <c r="F14122" s="15" t="str">
        <f aca="false">IF(B14122&lt;5,"Go","Standard")</f>
        <v>Go</v>
      </c>
    </row>
    <row r="14123" customFormat="false" ht="15" hidden="false" customHeight="true" outlineLevel="0" collapsed="false">
      <c r="A14123" s="10" t="n">
        <f aca="false">Einstellungen!$B$5+INT((ROW()-9)/24)</f>
        <v>46554</v>
      </c>
      <c r="B14123" s="11" t="n">
        <f aca="false">MOD(ROW()-9,24)</f>
        <v>2</v>
      </c>
      <c r="C14123" s="12"/>
      <c r="D14123" s="13" t="n">
        <f aca="false">IF(B14123&lt;5,Einstellungen!$B$3,Einstellungen!$B$4)</f>
        <v>15.92</v>
      </c>
      <c r="E14123" s="14" t="str">
        <f aca="false">IF(C14123="","",C14123*D14123/100)</f>
        <v/>
      </c>
      <c r="F14123" s="15" t="str">
        <f aca="false">IF(B14123&lt;5,"Go","Standard")</f>
        <v>Go</v>
      </c>
    </row>
    <row r="14124" customFormat="false" ht="15" hidden="false" customHeight="true" outlineLevel="0" collapsed="false">
      <c r="A14124" s="10" t="n">
        <f aca="false">Einstellungen!$B$5+INT((ROW()-9)/24)</f>
        <v>46554</v>
      </c>
      <c r="B14124" s="11" t="n">
        <f aca="false">MOD(ROW()-9,24)</f>
        <v>3</v>
      </c>
      <c r="C14124" s="12"/>
      <c r="D14124" s="13" t="n">
        <f aca="false">IF(B14124&lt;5,Einstellungen!$B$3,Einstellungen!$B$4)</f>
        <v>15.92</v>
      </c>
      <c r="E14124" s="14" t="str">
        <f aca="false">IF(C14124="","",C14124*D14124/100)</f>
        <v/>
      </c>
      <c r="F14124" s="15" t="str">
        <f aca="false">IF(B14124&lt;5,"Go","Standard")</f>
        <v>Go</v>
      </c>
    </row>
    <row r="14125" customFormat="false" ht="15" hidden="false" customHeight="true" outlineLevel="0" collapsed="false">
      <c r="A14125" s="10" t="n">
        <f aca="false">Einstellungen!$B$5+INT((ROW()-9)/24)</f>
        <v>46554</v>
      </c>
      <c r="B14125" s="11" t="n">
        <f aca="false">MOD(ROW()-9,24)</f>
        <v>4</v>
      </c>
      <c r="C14125" s="12"/>
      <c r="D14125" s="13" t="n">
        <f aca="false">IF(B14125&lt;5,Einstellungen!$B$3,Einstellungen!$B$4)</f>
        <v>15.92</v>
      </c>
      <c r="E14125" s="14" t="str">
        <f aca="false">IF(C14125="","",C14125*D14125/100)</f>
        <v/>
      </c>
      <c r="F14125" s="15" t="str">
        <f aca="false">IF(B14125&lt;5,"Go","Standard")</f>
        <v>Go</v>
      </c>
    </row>
    <row r="14126" customFormat="false" ht="15" hidden="false" customHeight="true" outlineLevel="0" collapsed="false">
      <c r="A14126" s="10" t="n">
        <f aca="false">Einstellungen!$B$5+INT((ROW()-9)/24)</f>
        <v>46554</v>
      </c>
      <c r="B14126" s="11" t="n">
        <f aca="false">MOD(ROW()-9,24)</f>
        <v>5</v>
      </c>
      <c r="C14126" s="12"/>
      <c r="D14126" s="13" t="n">
        <f aca="false">IF(B14126&lt;5,Einstellungen!$B$3,Einstellungen!$B$4)</f>
        <v>29.13</v>
      </c>
      <c r="E14126" s="14" t="str">
        <f aca="false">IF(C14126="","",C14126*D14126/100)</f>
        <v/>
      </c>
      <c r="F14126" s="15" t="str">
        <f aca="false">IF(B14126&lt;5,"Go","Standard")</f>
        <v>Standard</v>
      </c>
    </row>
    <row r="14127" customFormat="false" ht="15" hidden="false" customHeight="true" outlineLevel="0" collapsed="false">
      <c r="A14127" s="10" t="n">
        <f aca="false">Einstellungen!$B$5+INT((ROW()-9)/24)</f>
        <v>46554</v>
      </c>
      <c r="B14127" s="11" t="n">
        <f aca="false">MOD(ROW()-9,24)</f>
        <v>6</v>
      </c>
      <c r="C14127" s="12"/>
      <c r="D14127" s="13" t="n">
        <f aca="false">IF(B14127&lt;5,Einstellungen!$B$3,Einstellungen!$B$4)</f>
        <v>29.13</v>
      </c>
      <c r="E14127" s="14" t="str">
        <f aca="false">IF(C14127="","",C14127*D14127/100)</f>
        <v/>
      </c>
      <c r="F14127" s="15" t="str">
        <f aca="false">IF(B14127&lt;5,"Go","Standard")</f>
        <v>Standard</v>
      </c>
    </row>
    <row r="14128" customFormat="false" ht="15" hidden="false" customHeight="true" outlineLevel="0" collapsed="false">
      <c r="A14128" s="10" t="n">
        <f aca="false">Einstellungen!$B$5+INT((ROW()-9)/24)</f>
        <v>46554</v>
      </c>
      <c r="B14128" s="11" t="n">
        <f aca="false">MOD(ROW()-9,24)</f>
        <v>7</v>
      </c>
      <c r="C14128" s="12"/>
      <c r="D14128" s="13" t="n">
        <f aca="false">IF(B14128&lt;5,Einstellungen!$B$3,Einstellungen!$B$4)</f>
        <v>29.13</v>
      </c>
      <c r="E14128" s="14" t="str">
        <f aca="false">IF(C14128="","",C14128*D14128/100)</f>
        <v/>
      </c>
      <c r="F14128" s="15" t="str">
        <f aca="false">IF(B14128&lt;5,"Go","Standard")</f>
        <v>Standard</v>
      </c>
    </row>
    <row r="14129" customFormat="false" ht="15" hidden="false" customHeight="true" outlineLevel="0" collapsed="false">
      <c r="A14129" s="10" t="n">
        <f aca="false">Einstellungen!$B$5+INT((ROW()-9)/24)</f>
        <v>46554</v>
      </c>
      <c r="B14129" s="11" t="n">
        <f aca="false">MOD(ROW()-9,24)</f>
        <v>8</v>
      </c>
      <c r="C14129" s="12"/>
      <c r="D14129" s="13" t="n">
        <f aca="false">IF(B14129&lt;5,Einstellungen!$B$3,Einstellungen!$B$4)</f>
        <v>29.13</v>
      </c>
      <c r="E14129" s="14" t="str">
        <f aca="false">IF(C14129="","",C14129*D14129/100)</f>
        <v/>
      </c>
      <c r="F14129" s="15" t="str">
        <f aca="false">IF(B14129&lt;5,"Go","Standard")</f>
        <v>Standard</v>
      </c>
    </row>
    <row r="14130" customFormat="false" ht="15" hidden="false" customHeight="true" outlineLevel="0" collapsed="false">
      <c r="A14130" s="10" t="n">
        <f aca="false">Einstellungen!$B$5+INT((ROW()-9)/24)</f>
        <v>46554</v>
      </c>
      <c r="B14130" s="11" t="n">
        <f aca="false">MOD(ROW()-9,24)</f>
        <v>9</v>
      </c>
      <c r="C14130" s="12"/>
      <c r="D14130" s="13" t="n">
        <f aca="false">IF(B14130&lt;5,Einstellungen!$B$3,Einstellungen!$B$4)</f>
        <v>29.13</v>
      </c>
      <c r="E14130" s="14" t="str">
        <f aca="false">IF(C14130="","",C14130*D14130/100)</f>
        <v/>
      </c>
      <c r="F14130" s="15" t="str">
        <f aca="false">IF(B14130&lt;5,"Go","Standard")</f>
        <v>Standard</v>
      </c>
    </row>
    <row r="14131" customFormat="false" ht="15" hidden="false" customHeight="true" outlineLevel="0" collapsed="false">
      <c r="A14131" s="10" t="n">
        <f aca="false">Einstellungen!$B$5+INT((ROW()-9)/24)</f>
        <v>46554</v>
      </c>
      <c r="B14131" s="11" t="n">
        <f aca="false">MOD(ROW()-9,24)</f>
        <v>10</v>
      </c>
      <c r="C14131" s="12"/>
      <c r="D14131" s="13" t="n">
        <f aca="false">IF(B14131&lt;5,Einstellungen!$B$3,Einstellungen!$B$4)</f>
        <v>29.13</v>
      </c>
      <c r="E14131" s="14" t="str">
        <f aca="false">IF(C14131="","",C14131*D14131/100)</f>
        <v/>
      </c>
      <c r="F14131" s="15" t="str">
        <f aca="false">IF(B14131&lt;5,"Go","Standard")</f>
        <v>Standard</v>
      </c>
    </row>
    <row r="14132" customFormat="false" ht="15" hidden="false" customHeight="true" outlineLevel="0" collapsed="false">
      <c r="A14132" s="10" t="n">
        <f aca="false">Einstellungen!$B$5+INT((ROW()-9)/24)</f>
        <v>46554</v>
      </c>
      <c r="B14132" s="11" t="n">
        <f aca="false">MOD(ROW()-9,24)</f>
        <v>11</v>
      </c>
      <c r="C14132" s="12"/>
      <c r="D14132" s="13" t="n">
        <f aca="false">IF(B14132&lt;5,Einstellungen!$B$3,Einstellungen!$B$4)</f>
        <v>29.13</v>
      </c>
      <c r="E14132" s="14" t="str">
        <f aca="false">IF(C14132="","",C14132*D14132/100)</f>
        <v/>
      </c>
      <c r="F14132" s="15" t="str">
        <f aca="false">IF(B14132&lt;5,"Go","Standard")</f>
        <v>Standard</v>
      </c>
    </row>
    <row r="14133" customFormat="false" ht="15" hidden="false" customHeight="true" outlineLevel="0" collapsed="false">
      <c r="A14133" s="10" t="n">
        <f aca="false">Einstellungen!$B$5+INT((ROW()-9)/24)</f>
        <v>46554</v>
      </c>
      <c r="B14133" s="11" t="n">
        <f aca="false">MOD(ROW()-9,24)</f>
        <v>12</v>
      </c>
      <c r="C14133" s="12"/>
      <c r="D14133" s="13" t="n">
        <f aca="false">IF(B14133&lt;5,Einstellungen!$B$3,Einstellungen!$B$4)</f>
        <v>29.13</v>
      </c>
      <c r="E14133" s="14" t="str">
        <f aca="false">IF(C14133="","",C14133*D14133/100)</f>
        <v/>
      </c>
      <c r="F14133" s="15" t="str">
        <f aca="false">IF(B14133&lt;5,"Go","Standard")</f>
        <v>Standard</v>
      </c>
    </row>
    <row r="14134" customFormat="false" ht="15" hidden="false" customHeight="true" outlineLevel="0" collapsed="false">
      <c r="A14134" s="10" t="n">
        <f aca="false">Einstellungen!$B$5+INT((ROW()-9)/24)</f>
        <v>46554</v>
      </c>
      <c r="B14134" s="11" t="n">
        <f aca="false">MOD(ROW()-9,24)</f>
        <v>13</v>
      </c>
      <c r="C14134" s="12"/>
      <c r="D14134" s="13" t="n">
        <f aca="false">IF(B14134&lt;5,Einstellungen!$B$3,Einstellungen!$B$4)</f>
        <v>29.13</v>
      </c>
      <c r="E14134" s="14" t="str">
        <f aca="false">IF(C14134="","",C14134*D14134/100)</f>
        <v/>
      </c>
      <c r="F14134" s="15" t="str">
        <f aca="false">IF(B14134&lt;5,"Go","Standard")</f>
        <v>Standard</v>
      </c>
    </row>
    <row r="14135" customFormat="false" ht="15" hidden="false" customHeight="true" outlineLevel="0" collapsed="false">
      <c r="A14135" s="10" t="n">
        <f aca="false">Einstellungen!$B$5+INT((ROW()-9)/24)</f>
        <v>46554</v>
      </c>
      <c r="B14135" s="11" t="n">
        <f aca="false">MOD(ROW()-9,24)</f>
        <v>14</v>
      </c>
      <c r="C14135" s="12"/>
      <c r="D14135" s="13" t="n">
        <f aca="false">IF(B14135&lt;5,Einstellungen!$B$3,Einstellungen!$B$4)</f>
        <v>29.13</v>
      </c>
      <c r="E14135" s="14" t="str">
        <f aca="false">IF(C14135="","",C14135*D14135/100)</f>
        <v/>
      </c>
      <c r="F14135" s="15" t="str">
        <f aca="false">IF(B14135&lt;5,"Go","Standard")</f>
        <v>Standard</v>
      </c>
    </row>
    <row r="14136" customFormat="false" ht="15" hidden="false" customHeight="true" outlineLevel="0" collapsed="false">
      <c r="A14136" s="10" t="n">
        <f aca="false">Einstellungen!$B$5+INT((ROW()-9)/24)</f>
        <v>46554</v>
      </c>
      <c r="B14136" s="11" t="n">
        <f aca="false">MOD(ROW()-9,24)</f>
        <v>15</v>
      </c>
      <c r="C14136" s="12"/>
      <c r="D14136" s="13" t="n">
        <f aca="false">IF(B14136&lt;5,Einstellungen!$B$3,Einstellungen!$B$4)</f>
        <v>29.13</v>
      </c>
      <c r="E14136" s="14" t="str">
        <f aca="false">IF(C14136="","",C14136*D14136/100)</f>
        <v/>
      </c>
      <c r="F14136" s="15" t="str">
        <f aca="false">IF(B14136&lt;5,"Go","Standard")</f>
        <v>Standard</v>
      </c>
    </row>
    <row r="14137" customFormat="false" ht="15" hidden="false" customHeight="true" outlineLevel="0" collapsed="false">
      <c r="A14137" s="10" t="n">
        <f aca="false">Einstellungen!$B$5+INT((ROW()-9)/24)</f>
        <v>46554</v>
      </c>
      <c r="B14137" s="11" t="n">
        <f aca="false">MOD(ROW()-9,24)</f>
        <v>16</v>
      </c>
      <c r="C14137" s="12"/>
      <c r="D14137" s="13" t="n">
        <f aca="false">IF(B14137&lt;5,Einstellungen!$B$3,Einstellungen!$B$4)</f>
        <v>29.13</v>
      </c>
      <c r="E14137" s="14" t="str">
        <f aca="false">IF(C14137="","",C14137*D14137/100)</f>
        <v/>
      </c>
      <c r="F14137" s="15" t="str">
        <f aca="false">IF(B14137&lt;5,"Go","Standard")</f>
        <v>Standard</v>
      </c>
    </row>
    <row r="14138" customFormat="false" ht="15" hidden="false" customHeight="true" outlineLevel="0" collapsed="false">
      <c r="A14138" s="10" t="n">
        <f aca="false">Einstellungen!$B$5+INT((ROW()-9)/24)</f>
        <v>46554</v>
      </c>
      <c r="B14138" s="11" t="n">
        <f aca="false">MOD(ROW()-9,24)</f>
        <v>17</v>
      </c>
      <c r="C14138" s="12"/>
      <c r="D14138" s="13" t="n">
        <f aca="false">IF(B14138&lt;5,Einstellungen!$B$3,Einstellungen!$B$4)</f>
        <v>29.13</v>
      </c>
      <c r="E14138" s="14" t="str">
        <f aca="false">IF(C14138="","",C14138*D14138/100)</f>
        <v/>
      </c>
      <c r="F14138" s="15" t="str">
        <f aca="false">IF(B14138&lt;5,"Go","Standard")</f>
        <v>Standard</v>
      </c>
    </row>
    <row r="14139" customFormat="false" ht="15" hidden="false" customHeight="true" outlineLevel="0" collapsed="false">
      <c r="A14139" s="10" t="n">
        <f aca="false">Einstellungen!$B$5+INT((ROW()-9)/24)</f>
        <v>46554</v>
      </c>
      <c r="B14139" s="11" t="n">
        <f aca="false">MOD(ROW()-9,24)</f>
        <v>18</v>
      </c>
      <c r="C14139" s="12"/>
      <c r="D14139" s="13" t="n">
        <f aca="false">IF(B14139&lt;5,Einstellungen!$B$3,Einstellungen!$B$4)</f>
        <v>29.13</v>
      </c>
      <c r="E14139" s="14" t="str">
        <f aca="false">IF(C14139="","",C14139*D14139/100)</f>
        <v/>
      </c>
      <c r="F14139" s="15" t="str">
        <f aca="false">IF(B14139&lt;5,"Go","Standard")</f>
        <v>Standard</v>
      </c>
    </row>
    <row r="14140" customFormat="false" ht="15" hidden="false" customHeight="true" outlineLevel="0" collapsed="false">
      <c r="A14140" s="10" t="n">
        <f aca="false">Einstellungen!$B$5+INT((ROW()-9)/24)</f>
        <v>46554</v>
      </c>
      <c r="B14140" s="11" t="n">
        <f aca="false">MOD(ROW()-9,24)</f>
        <v>19</v>
      </c>
      <c r="C14140" s="12"/>
      <c r="D14140" s="13" t="n">
        <f aca="false">IF(B14140&lt;5,Einstellungen!$B$3,Einstellungen!$B$4)</f>
        <v>29.13</v>
      </c>
      <c r="E14140" s="14" t="str">
        <f aca="false">IF(C14140="","",C14140*D14140/100)</f>
        <v/>
      </c>
      <c r="F14140" s="15" t="str">
        <f aca="false">IF(B14140&lt;5,"Go","Standard")</f>
        <v>Standard</v>
      </c>
    </row>
    <row r="14141" customFormat="false" ht="15" hidden="false" customHeight="true" outlineLevel="0" collapsed="false">
      <c r="A14141" s="10" t="n">
        <f aca="false">Einstellungen!$B$5+INT((ROW()-9)/24)</f>
        <v>46554</v>
      </c>
      <c r="B14141" s="11" t="n">
        <f aca="false">MOD(ROW()-9,24)</f>
        <v>20</v>
      </c>
      <c r="C14141" s="12"/>
      <c r="D14141" s="13" t="n">
        <f aca="false">IF(B14141&lt;5,Einstellungen!$B$3,Einstellungen!$B$4)</f>
        <v>29.13</v>
      </c>
      <c r="E14141" s="14" t="str">
        <f aca="false">IF(C14141="","",C14141*D14141/100)</f>
        <v/>
      </c>
      <c r="F14141" s="15" t="str">
        <f aca="false">IF(B14141&lt;5,"Go","Standard")</f>
        <v>Standard</v>
      </c>
    </row>
    <row r="14142" customFormat="false" ht="15" hidden="false" customHeight="true" outlineLevel="0" collapsed="false">
      <c r="A14142" s="10" t="n">
        <f aca="false">Einstellungen!$B$5+INT((ROW()-9)/24)</f>
        <v>46554</v>
      </c>
      <c r="B14142" s="11" t="n">
        <f aca="false">MOD(ROW()-9,24)</f>
        <v>21</v>
      </c>
      <c r="C14142" s="12"/>
      <c r="D14142" s="13" t="n">
        <f aca="false">IF(B14142&lt;5,Einstellungen!$B$3,Einstellungen!$B$4)</f>
        <v>29.13</v>
      </c>
      <c r="E14142" s="14" t="str">
        <f aca="false">IF(C14142="","",C14142*D14142/100)</f>
        <v/>
      </c>
      <c r="F14142" s="15" t="str">
        <f aca="false">IF(B14142&lt;5,"Go","Standard")</f>
        <v>Standard</v>
      </c>
    </row>
    <row r="14143" customFormat="false" ht="15" hidden="false" customHeight="true" outlineLevel="0" collapsed="false">
      <c r="A14143" s="10" t="n">
        <f aca="false">Einstellungen!$B$5+INT((ROW()-9)/24)</f>
        <v>46554</v>
      </c>
      <c r="B14143" s="11" t="n">
        <f aca="false">MOD(ROW()-9,24)</f>
        <v>22</v>
      </c>
      <c r="C14143" s="12"/>
      <c r="D14143" s="13" t="n">
        <f aca="false">IF(B14143&lt;5,Einstellungen!$B$3,Einstellungen!$B$4)</f>
        <v>29.13</v>
      </c>
      <c r="E14143" s="14" t="str">
        <f aca="false">IF(C14143="","",C14143*D14143/100)</f>
        <v/>
      </c>
      <c r="F14143" s="15" t="str">
        <f aca="false">IF(B14143&lt;5,"Go","Standard")</f>
        <v>Standard</v>
      </c>
    </row>
    <row r="14144" customFormat="false" ht="15" hidden="false" customHeight="true" outlineLevel="0" collapsed="false">
      <c r="A14144" s="10" t="n">
        <f aca="false">Einstellungen!$B$5+INT((ROW()-9)/24)</f>
        <v>46554</v>
      </c>
      <c r="B14144" s="11" t="n">
        <f aca="false">MOD(ROW()-9,24)</f>
        <v>23</v>
      </c>
      <c r="C14144" s="12"/>
      <c r="D14144" s="13" t="n">
        <f aca="false">IF(B14144&lt;5,Einstellungen!$B$3,Einstellungen!$B$4)</f>
        <v>29.13</v>
      </c>
      <c r="E14144" s="14" t="str">
        <f aca="false">IF(C14144="","",C14144*D14144/100)</f>
        <v/>
      </c>
      <c r="F14144" s="15" t="str">
        <f aca="false">IF(B14144&lt;5,"Go","Standard")</f>
        <v>Standard</v>
      </c>
    </row>
    <row r="14145" customFormat="false" ht="15" hidden="false" customHeight="true" outlineLevel="0" collapsed="false">
      <c r="A14145" s="10" t="n">
        <f aca="false">Einstellungen!$B$5+INT((ROW()-9)/24)</f>
        <v>46555</v>
      </c>
      <c r="B14145" s="11" t="n">
        <f aca="false">MOD(ROW()-9,24)</f>
        <v>0</v>
      </c>
      <c r="C14145" s="12"/>
      <c r="D14145" s="13" t="n">
        <f aca="false">IF(B14145&lt;5,Einstellungen!$B$3,Einstellungen!$B$4)</f>
        <v>15.92</v>
      </c>
      <c r="E14145" s="14" t="str">
        <f aca="false">IF(C14145="","",C14145*D14145/100)</f>
        <v/>
      </c>
      <c r="F14145" s="15" t="str">
        <f aca="false">IF(B14145&lt;5,"Go","Standard")</f>
        <v>Go</v>
      </c>
    </row>
    <row r="14146" customFormat="false" ht="15" hidden="false" customHeight="true" outlineLevel="0" collapsed="false">
      <c r="A14146" s="10" t="n">
        <f aca="false">Einstellungen!$B$5+INT((ROW()-9)/24)</f>
        <v>46555</v>
      </c>
      <c r="B14146" s="11" t="n">
        <f aca="false">MOD(ROW()-9,24)</f>
        <v>1</v>
      </c>
      <c r="C14146" s="12"/>
      <c r="D14146" s="13" t="n">
        <f aca="false">IF(B14146&lt;5,Einstellungen!$B$3,Einstellungen!$B$4)</f>
        <v>15.92</v>
      </c>
      <c r="E14146" s="14" t="str">
        <f aca="false">IF(C14146="","",C14146*D14146/100)</f>
        <v/>
      </c>
      <c r="F14146" s="15" t="str">
        <f aca="false">IF(B14146&lt;5,"Go","Standard")</f>
        <v>Go</v>
      </c>
    </row>
    <row r="14147" customFormat="false" ht="15" hidden="false" customHeight="true" outlineLevel="0" collapsed="false">
      <c r="A14147" s="10" t="n">
        <f aca="false">Einstellungen!$B$5+INT((ROW()-9)/24)</f>
        <v>46555</v>
      </c>
      <c r="B14147" s="11" t="n">
        <f aca="false">MOD(ROW()-9,24)</f>
        <v>2</v>
      </c>
      <c r="C14147" s="12"/>
      <c r="D14147" s="13" t="n">
        <f aca="false">IF(B14147&lt;5,Einstellungen!$B$3,Einstellungen!$B$4)</f>
        <v>15.92</v>
      </c>
      <c r="E14147" s="14" t="str">
        <f aca="false">IF(C14147="","",C14147*D14147/100)</f>
        <v/>
      </c>
      <c r="F14147" s="15" t="str">
        <f aca="false">IF(B14147&lt;5,"Go","Standard")</f>
        <v>Go</v>
      </c>
    </row>
    <row r="14148" customFormat="false" ht="15" hidden="false" customHeight="true" outlineLevel="0" collapsed="false">
      <c r="A14148" s="10" t="n">
        <f aca="false">Einstellungen!$B$5+INT((ROW()-9)/24)</f>
        <v>46555</v>
      </c>
      <c r="B14148" s="11" t="n">
        <f aca="false">MOD(ROW()-9,24)</f>
        <v>3</v>
      </c>
      <c r="C14148" s="12"/>
      <c r="D14148" s="13" t="n">
        <f aca="false">IF(B14148&lt;5,Einstellungen!$B$3,Einstellungen!$B$4)</f>
        <v>15.92</v>
      </c>
      <c r="E14148" s="14" t="str">
        <f aca="false">IF(C14148="","",C14148*D14148/100)</f>
        <v/>
      </c>
      <c r="F14148" s="15" t="str">
        <f aca="false">IF(B14148&lt;5,"Go","Standard")</f>
        <v>Go</v>
      </c>
    </row>
    <row r="14149" customFormat="false" ht="15" hidden="false" customHeight="true" outlineLevel="0" collapsed="false">
      <c r="A14149" s="10" t="n">
        <f aca="false">Einstellungen!$B$5+INT((ROW()-9)/24)</f>
        <v>46555</v>
      </c>
      <c r="B14149" s="11" t="n">
        <f aca="false">MOD(ROW()-9,24)</f>
        <v>4</v>
      </c>
      <c r="C14149" s="12"/>
      <c r="D14149" s="13" t="n">
        <f aca="false">IF(B14149&lt;5,Einstellungen!$B$3,Einstellungen!$B$4)</f>
        <v>15.92</v>
      </c>
      <c r="E14149" s="14" t="str">
        <f aca="false">IF(C14149="","",C14149*D14149/100)</f>
        <v/>
      </c>
      <c r="F14149" s="15" t="str">
        <f aca="false">IF(B14149&lt;5,"Go","Standard")</f>
        <v>Go</v>
      </c>
    </row>
    <row r="14150" customFormat="false" ht="15" hidden="false" customHeight="true" outlineLevel="0" collapsed="false">
      <c r="A14150" s="10" t="n">
        <f aca="false">Einstellungen!$B$5+INT((ROW()-9)/24)</f>
        <v>46555</v>
      </c>
      <c r="B14150" s="11" t="n">
        <f aca="false">MOD(ROW()-9,24)</f>
        <v>5</v>
      </c>
      <c r="C14150" s="12"/>
      <c r="D14150" s="13" t="n">
        <f aca="false">IF(B14150&lt;5,Einstellungen!$B$3,Einstellungen!$B$4)</f>
        <v>29.13</v>
      </c>
      <c r="E14150" s="14" t="str">
        <f aca="false">IF(C14150="","",C14150*D14150/100)</f>
        <v/>
      </c>
      <c r="F14150" s="15" t="str">
        <f aca="false">IF(B14150&lt;5,"Go","Standard")</f>
        <v>Standard</v>
      </c>
    </row>
    <row r="14151" customFormat="false" ht="15" hidden="false" customHeight="true" outlineLevel="0" collapsed="false">
      <c r="A14151" s="10" t="n">
        <f aca="false">Einstellungen!$B$5+INT((ROW()-9)/24)</f>
        <v>46555</v>
      </c>
      <c r="B14151" s="11" t="n">
        <f aca="false">MOD(ROW()-9,24)</f>
        <v>6</v>
      </c>
      <c r="C14151" s="12"/>
      <c r="D14151" s="13" t="n">
        <f aca="false">IF(B14151&lt;5,Einstellungen!$B$3,Einstellungen!$B$4)</f>
        <v>29.13</v>
      </c>
      <c r="E14151" s="14" t="str">
        <f aca="false">IF(C14151="","",C14151*D14151/100)</f>
        <v/>
      </c>
      <c r="F14151" s="15" t="str">
        <f aca="false">IF(B14151&lt;5,"Go","Standard")</f>
        <v>Standard</v>
      </c>
    </row>
    <row r="14152" customFormat="false" ht="15" hidden="false" customHeight="true" outlineLevel="0" collapsed="false">
      <c r="A14152" s="10" t="n">
        <f aca="false">Einstellungen!$B$5+INT((ROW()-9)/24)</f>
        <v>46555</v>
      </c>
      <c r="B14152" s="11" t="n">
        <f aca="false">MOD(ROW()-9,24)</f>
        <v>7</v>
      </c>
      <c r="C14152" s="12"/>
      <c r="D14152" s="13" t="n">
        <f aca="false">IF(B14152&lt;5,Einstellungen!$B$3,Einstellungen!$B$4)</f>
        <v>29.13</v>
      </c>
      <c r="E14152" s="14" t="str">
        <f aca="false">IF(C14152="","",C14152*D14152/100)</f>
        <v/>
      </c>
      <c r="F14152" s="15" t="str">
        <f aca="false">IF(B14152&lt;5,"Go","Standard")</f>
        <v>Standard</v>
      </c>
    </row>
    <row r="14153" customFormat="false" ht="15" hidden="false" customHeight="true" outlineLevel="0" collapsed="false">
      <c r="A14153" s="10" t="n">
        <f aca="false">Einstellungen!$B$5+INT((ROW()-9)/24)</f>
        <v>46555</v>
      </c>
      <c r="B14153" s="11" t="n">
        <f aca="false">MOD(ROW()-9,24)</f>
        <v>8</v>
      </c>
      <c r="C14153" s="12"/>
      <c r="D14153" s="13" t="n">
        <f aca="false">IF(B14153&lt;5,Einstellungen!$B$3,Einstellungen!$B$4)</f>
        <v>29.13</v>
      </c>
      <c r="E14153" s="14" t="str">
        <f aca="false">IF(C14153="","",C14153*D14153/100)</f>
        <v/>
      </c>
      <c r="F14153" s="15" t="str">
        <f aca="false">IF(B14153&lt;5,"Go","Standard")</f>
        <v>Standard</v>
      </c>
    </row>
    <row r="14154" customFormat="false" ht="15" hidden="false" customHeight="true" outlineLevel="0" collapsed="false">
      <c r="A14154" s="10" t="n">
        <f aca="false">Einstellungen!$B$5+INT((ROW()-9)/24)</f>
        <v>46555</v>
      </c>
      <c r="B14154" s="11" t="n">
        <f aca="false">MOD(ROW()-9,24)</f>
        <v>9</v>
      </c>
      <c r="C14154" s="12"/>
      <c r="D14154" s="13" t="n">
        <f aca="false">IF(B14154&lt;5,Einstellungen!$B$3,Einstellungen!$B$4)</f>
        <v>29.13</v>
      </c>
      <c r="E14154" s="14" t="str">
        <f aca="false">IF(C14154="","",C14154*D14154/100)</f>
        <v/>
      </c>
      <c r="F14154" s="15" t="str">
        <f aca="false">IF(B14154&lt;5,"Go","Standard")</f>
        <v>Standard</v>
      </c>
    </row>
    <row r="14155" customFormat="false" ht="15" hidden="false" customHeight="true" outlineLevel="0" collapsed="false">
      <c r="A14155" s="10" t="n">
        <f aca="false">Einstellungen!$B$5+INT((ROW()-9)/24)</f>
        <v>46555</v>
      </c>
      <c r="B14155" s="11" t="n">
        <f aca="false">MOD(ROW()-9,24)</f>
        <v>10</v>
      </c>
      <c r="C14155" s="12"/>
      <c r="D14155" s="13" t="n">
        <f aca="false">IF(B14155&lt;5,Einstellungen!$B$3,Einstellungen!$B$4)</f>
        <v>29.13</v>
      </c>
      <c r="E14155" s="14" t="str">
        <f aca="false">IF(C14155="","",C14155*D14155/100)</f>
        <v/>
      </c>
      <c r="F14155" s="15" t="str">
        <f aca="false">IF(B14155&lt;5,"Go","Standard")</f>
        <v>Standard</v>
      </c>
    </row>
    <row r="14156" customFormat="false" ht="15" hidden="false" customHeight="true" outlineLevel="0" collapsed="false">
      <c r="A14156" s="10" t="n">
        <f aca="false">Einstellungen!$B$5+INT((ROW()-9)/24)</f>
        <v>46555</v>
      </c>
      <c r="B14156" s="11" t="n">
        <f aca="false">MOD(ROW()-9,24)</f>
        <v>11</v>
      </c>
      <c r="C14156" s="12"/>
      <c r="D14156" s="13" t="n">
        <f aca="false">IF(B14156&lt;5,Einstellungen!$B$3,Einstellungen!$B$4)</f>
        <v>29.13</v>
      </c>
      <c r="E14156" s="14" t="str">
        <f aca="false">IF(C14156="","",C14156*D14156/100)</f>
        <v/>
      </c>
      <c r="F14156" s="15" t="str">
        <f aca="false">IF(B14156&lt;5,"Go","Standard")</f>
        <v>Standard</v>
      </c>
    </row>
    <row r="14157" customFormat="false" ht="15" hidden="false" customHeight="true" outlineLevel="0" collapsed="false">
      <c r="A14157" s="10" t="n">
        <f aca="false">Einstellungen!$B$5+INT((ROW()-9)/24)</f>
        <v>46555</v>
      </c>
      <c r="B14157" s="11" t="n">
        <f aca="false">MOD(ROW()-9,24)</f>
        <v>12</v>
      </c>
      <c r="C14157" s="12"/>
      <c r="D14157" s="13" t="n">
        <f aca="false">IF(B14157&lt;5,Einstellungen!$B$3,Einstellungen!$B$4)</f>
        <v>29.13</v>
      </c>
      <c r="E14157" s="14" t="str">
        <f aca="false">IF(C14157="","",C14157*D14157/100)</f>
        <v/>
      </c>
      <c r="F14157" s="15" t="str">
        <f aca="false">IF(B14157&lt;5,"Go","Standard")</f>
        <v>Standard</v>
      </c>
    </row>
    <row r="14158" customFormat="false" ht="15" hidden="false" customHeight="true" outlineLevel="0" collapsed="false">
      <c r="A14158" s="10" t="n">
        <f aca="false">Einstellungen!$B$5+INT((ROW()-9)/24)</f>
        <v>46555</v>
      </c>
      <c r="B14158" s="11" t="n">
        <f aca="false">MOD(ROW()-9,24)</f>
        <v>13</v>
      </c>
      <c r="C14158" s="12"/>
      <c r="D14158" s="13" t="n">
        <f aca="false">IF(B14158&lt;5,Einstellungen!$B$3,Einstellungen!$B$4)</f>
        <v>29.13</v>
      </c>
      <c r="E14158" s="14" t="str">
        <f aca="false">IF(C14158="","",C14158*D14158/100)</f>
        <v/>
      </c>
      <c r="F14158" s="15" t="str">
        <f aca="false">IF(B14158&lt;5,"Go","Standard")</f>
        <v>Standard</v>
      </c>
    </row>
    <row r="14159" customFormat="false" ht="15" hidden="false" customHeight="true" outlineLevel="0" collapsed="false">
      <c r="A14159" s="10" t="n">
        <f aca="false">Einstellungen!$B$5+INT((ROW()-9)/24)</f>
        <v>46555</v>
      </c>
      <c r="B14159" s="11" t="n">
        <f aca="false">MOD(ROW()-9,24)</f>
        <v>14</v>
      </c>
      <c r="C14159" s="12"/>
      <c r="D14159" s="13" t="n">
        <f aca="false">IF(B14159&lt;5,Einstellungen!$B$3,Einstellungen!$B$4)</f>
        <v>29.13</v>
      </c>
      <c r="E14159" s="14" t="str">
        <f aca="false">IF(C14159="","",C14159*D14159/100)</f>
        <v/>
      </c>
      <c r="F14159" s="15" t="str">
        <f aca="false">IF(B14159&lt;5,"Go","Standard")</f>
        <v>Standard</v>
      </c>
    </row>
    <row r="14160" customFormat="false" ht="15" hidden="false" customHeight="true" outlineLevel="0" collapsed="false">
      <c r="A14160" s="10" t="n">
        <f aca="false">Einstellungen!$B$5+INT((ROW()-9)/24)</f>
        <v>46555</v>
      </c>
      <c r="B14160" s="11" t="n">
        <f aca="false">MOD(ROW()-9,24)</f>
        <v>15</v>
      </c>
      <c r="C14160" s="12"/>
      <c r="D14160" s="13" t="n">
        <f aca="false">IF(B14160&lt;5,Einstellungen!$B$3,Einstellungen!$B$4)</f>
        <v>29.13</v>
      </c>
      <c r="E14160" s="14" t="str">
        <f aca="false">IF(C14160="","",C14160*D14160/100)</f>
        <v/>
      </c>
      <c r="F14160" s="15" t="str">
        <f aca="false">IF(B14160&lt;5,"Go","Standard")</f>
        <v>Standard</v>
      </c>
    </row>
    <row r="14161" customFormat="false" ht="15" hidden="false" customHeight="true" outlineLevel="0" collapsed="false">
      <c r="A14161" s="10" t="n">
        <f aca="false">Einstellungen!$B$5+INT((ROW()-9)/24)</f>
        <v>46555</v>
      </c>
      <c r="B14161" s="11" t="n">
        <f aca="false">MOD(ROW()-9,24)</f>
        <v>16</v>
      </c>
      <c r="C14161" s="12"/>
      <c r="D14161" s="13" t="n">
        <f aca="false">IF(B14161&lt;5,Einstellungen!$B$3,Einstellungen!$B$4)</f>
        <v>29.13</v>
      </c>
      <c r="E14161" s="14" t="str">
        <f aca="false">IF(C14161="","",C14161*D14161/100)</f>
        <v/>
      </c>
      <c r="F14161" s="15" t="str">
        <f aca="false">IF(B14161&lt;5,"Go","Standard")</f>
        <v>Standard</v>
      </c>
    </row>
    <row r="14162" customFormat="false" ht="15" hidden="false" customHeight="true" outlineLevel="0" collapsed="false">
      <c r="A14162" s="10" t="n">
        <f aca="false">Einstellungen!$B$5+INT((ROW()-9)/24)</f>
        <v>46555</v>
      </c>
      <c r="B14162" s="11" t="n">
        <f aca="false">MOD(ROW()-9,24)</f>
        <v>17</v>
      </c>
      <c r="C14162" s="12"/>
      <c r="D14162" s="13" t="n">
        <f aca="false">IF(B14162&lt;5,Einstellungen!$B$3,Einstellungen!$B$4)</f>
        <v>29.13</v>
      </c>
      <c r="E14162" s="14" t="str">
        <f aca="false">IF(C14162="","",C14162*D14162/100)</f>
        <v/>
      </c>
      <c r="F14162" s="15" t="str">
        <f aca="false">IF(B14162&lt;5,"Go","Standard")</f>
        <v>Standard</v>
      </c>
    </row>
    <row r="14163" customFormat="false" ht="15" hidden="false" customHeight="true" outlineLevel="0" collapsed="false">
      <c r="A14163" s="10" t="n">
        <f aca="false">Einstellungen!$B$5+INT((ROW()-9)/24)</f>
        <v>46555</v>
      </c>
      <c r="B14163" s="11" t="n">
        <f aca="false">MOD(ROW()-9,24)</f>
        <v>18</v>
      </c>
      <c r="C14163" s="12"/>
      <c r="D14163" s="13" t="n">
        <f aca="false">IF(B14163&lt;5,Einstellungen!$B$3,Einstellungen!$B$4)</f>
        <v>29.13</v>
      </c>
      <c r="E14163" s="14" t="str">
        <f aca="false">IF(C14163="","",C14163*D14163/100)</f>
        <v/>
      </c>
      <c r="F14163" s="15" t="str">
        <f aca="false">IF(B14163&lt;5,"Go","Standard")</f>
        <v>Standard</v>
      </c>
    </row>
    <row r="14164" customFormat="false" ht="15" hidden="false" customHeight="true" outlineLevel="0" collapsed="false">
      <c r="A14164" s="10" t="n">
        <f aca="false">Einstellungen!$B$5+INT((ROW()-9)/24)</f>
        <v>46555</v>
      </c>
      <c r="B14164" s="11" t="n">
        <f aca="false">MOD(ROW()-9,24)</f>
        <v>19</v>
      </c>
      <c r="C14164" s="12"/>
      <c r="D14164" s="13" t="n">
        <f aca="false">IF(B14164&lt;5,Einstellungen!$B$3,Einstellungen!$B$4)</f>
        <v>29.13</v>
      </c>
      <c r="E14164" s="14" t="str">
        <f aca="false">IF(C14164="","",C14164*D14164/100)</f>
        <v/>
      </c>
      <c r="F14164" s="15" t="str">
        <f aca="false">IF(B14164&lt;5,"Go","Standard")</f>
        <v>Standard</v>
      </c>
    </row>
    <row r="14165" customFormat="false" ht="15" hidden="false" customHeight="true" outlineLevel="0" collapsed="false">
      <c r="A14165" s="10" t="n">
        <f aca="false">Einstellungen!$B$5+INT((ROW()-9)/24)</f>
        <v>46555</v>
      </c>
      <c r="B14165" s="11" t="n">
        <f aca="false">MOD(ROW()-9,24)</f>
        <v>20</v>
      </c>
      <c r="C14165" s="12"/>
      <c r="D14165" s="13" t="n">
        <f aca="false">IF(B14165&lt;5,Einstellungen!$B$3,Einstellungen!$B$4)</f>
        <v>29.13</v>
      </c>
      <c r="E14165" s="14" t="str">
        <f aca="false">IF(C14165="","",C14165*D14165/100)</f>
        <v/>
      </c>
      <c r="F14165" s="15" t="str">
        <f aca="false">IF(B14165&lt;5,"Go","Standard")</f>
        <v>Standard</v>
      </c>
    </row>
    <row r="14166" customFormat="false" ht="15" hidden="false" customHeight="true" outlineLevel="0" collapsed="false">
      <c r="A14166" s="10" t="n">
        <f aca="false">Einstellungen!$B$5+INT((ROW()-9)/24)</f>
        <v>46555</v>
      </c>
      <c r="B14166" s="11" t="n">
        <f aca="false">MOD(ROW()-9,24)</f>
        <v>21</v>
      </c>
      <c r="C14166" s="12"/>
      <c r="D14166" s="13" t="n">
        <f aca="false">IF(B14166&lt;5,Einstellungen!$B$3,Einstellungen!$B$4)</f>
        <v>29.13</v>
      </c>
      <c r="E14166" s="14" t="str">
        <f aca="false">IF(C14166="","",C14166*D14166/100)</f>
        <v/>
      </c>
      <c r="F14166" s="15" t="str">
        <f aca="false">IF(B14166&lt;5,"Go","Standard")</f>
        <v>Standard</v>
      </c>
    </row>
    <row r="14167" customFormat="false" ht="15" hidden="false" customHeight="true" outlineLevel="0" collapsed="false">
      <c r="A14167" s="10" t="n">
        <f aca="false">Einstellungen!$B$5+INT((ROW()-9)/24)</f>
        <v>46555</v>
      </c>
      <c r="B14167" s="11" t="n">
        <f aca="false">MOD(ROW()-9,24)</f>
        <v>22</v>
      </c>
      <c r="C14167" s="12"/>
      <c r="D14167" s="13" t="n">
        <f aca="false">IF(B14167&lt;5,Einstellungen!$B$3,Einstellungen!$B$4)</f>
        <v>29.13</v>
      </c>
      <c r="E14167" s="14" t="str">
        <f aca="false">IF(C14167="","",C14167*D14167/100)</f>
        <v/>
      </c>
      <c r="F14167" s="15" t="str">
        <f aca="false">IF(B14167&lt;5,"Go","Standard")</f>
        <v>Standard</v>
      </c>
    </row>
    <row r="14168" customFormat="false" ht="15" hidden="false" customHeight="true" outlineLevel="0" collapsed="false">
      <c r="A14168" s="10" t="n">
        <f aca="false">Einstellungen!$B$5+INT((ROW()-9)/24)</f>
        <v>46555</v>
      </c>
      <c r="B14168" s="11" t="n">
        <f aca="false">MOD(ROW()-9,24)</f>
        <v>23</v>
      </c>
      <c r="C14168" s="12"/>
      <c r="D14168" s="13" t="n">
        <f aca="false">IF(B14168&lt;5,Einstellungen!$B$3,Einstellungen!$B$4)</f>
        <v>29.13</v>
      </c>
      <c r="E14168" s="14" t="str">
        <f aca="false">IF(C14168="","",C14168*D14168/100)</f>
        <v/>
      </c>
      <c r="F14168" s="15" t="str">
        <f aca="false">IF(B14168&lt;5,"Go","Standard")</f>
        <v>Standard</v>
      </c>
    </row>
    <row r="14169" customFormat="false" ht="15" hidden="false" customHeight="true" outlineLevel="0" collapsed="false">
      <c r="A14169" s="10" t="n">
        <f aca="false">Einstellungen!$B$5+INT((ROW()-9)/24)</f>
        <v>46556</v>
      </c>
      <c r="B14169" s="11" t="n">
        <f aca="false">MOD(ROW()-9,24)</f>
        <v>0</v>
      </c>
      <c r="C14169" s="12"/>
      <c r="D14169" s="13" t="n">
        <f aca="false">IF(B14169&lt;5,Einstellungen!$B$3,Einstellungen!$B$4)</f>
        <v>15.92</v>
      </c>
      <c r="E14169" s="14" t="str">
        <f aca="false">IF(C14169="","",C14169*D14169/100)</f>
        <v/>
      </c>
      <c r="F14169" s="15" t="str">
        <f aca="false">IF(B14169&lt;5,"Go","Standard")</f>
        <v>Go</v>
      </c>
    </row>
    <row r="14170" customFormat="false" ht="15" hidden="false" customHeight="true" outlineLevel="0" collapsed="false">
      <c r="A14170" s="10" t="n">
        <f aca="false">Einstellungen!$B$5+INT((ROW()-9)/24)</f>
        <v>46556</v>
      </c>
      <c r="B14170" s="11" t="n">
        <f aca="false">MOD(ROW()-9,24)</f>
        <v>1</v>
      </c>
      <c r="C14170" s="12"/>
      <c r="D14170" s="13" t="n">
        <f aca="false">IF(B14170&lt;5,Einstellungen!$B$3,Einstellungen!$B$4)</f>
        <v>15.92</v>
      </c>
      <c r="E14170" s="14" t="str">
        <f aca="false">IF(C14170="","",C14170*D14170/100)</f>
        <v/>
      </c>
      <c r="F14170" s="15" t="str">
        <f aca="false">IF(B14170&lt;5,"Go","Standard")</f>
        <v>Go</v>
      </c>
    </row>
    <row r="14171" customFormat="false" ht="15" hidden="false" customHeight="true" outlineLevel="0" collapsed="false">
      <c r="A14171" s="10" t="n">
        <f aca="false">Einstellungen!$B$5+INT((ROW()-9)/24)</f>
        <v>46556</v>
      </c>
      <c r="B14171" s="11" t="n">
        <f aca="false">MOD(ROW()-9,24)</f>
        <v>2</v>
      </c>
      <c r="C14171" s="12"/>
      <c r="D14171" s="13" t="n">
        <f aca="false">IF(B14171&lt;5,Einstellungen!$B$3,Einstellungen!$B$4)</f>
        <v>15.92</v>
      </c>
      <c r="E14171" s="14" t="str">
        <f aca="false">IF(C14171="","",C14171*D14171/100)</f>
        <v/>
      </c>
      <c r="F14171" s="15" t="str">
        <f aca="false">IF(B14171&lt;5,"Go","Standard")</f>
        <v>Go</v>
      </c>
    </row>
    <row r="14172" customFormat="false" ht="15" hidden="false" customHeight="true" outlineLevel="0" collapsed="false">
      <c r="A14172" s="10" t="n">
        <f aca="false">Einstellungen!$B$5+INT((ROW()-9)/24)</f>
        <v>46556</v>
      </c>
      <c r="B14172" s="11" t="n">
        <f aca="false">MOD(ROW()-9,24)</f>
        <v>3</v>
      </c>
      <c r="C14172" s="12"/>
      <c r="D14172" s="13" t="n">
        <f aca="false">IF(B14172&lt;5,Einstellungen!$B$3,Einstellungen!$B$4)</f>
        <v>15.92</v>
      </c>
      <c r="E14172" s="14" t="str">
        <f aca="false">IF(C14172="","",C14172*D14172/100)</f>
        <v/>
      </c>
      <c r="F14172" s="15" t="str">
        <f aca="false">IF(B14172&lt;5,"Go","Standard")</f>
        <v>Go</v>
      </c>
    </row>
    <row r="14173" customFormat="false" ht="15" hidden="false" customHeight="true" outlineLevel="0" collapsed="false">
      <c r="A14173" s="10" t="n">
        <f aca="false">Einstellungen!$B$5+INT((ROW()-9)/24)</f>
        <v>46556</v>
      </c>
      <c r="B14173" s="11" t="n">
        <f aca="false">MOD(ROW()-9,24)</f>
        <v>4</v>
      </c>
      <c r="C14173" s="12"/>
      <c r="D14173" s="13" t="n">
        <f aca="false">IF(B14173&lt;5,Einstellungen!$B$3,Einstellungen!$B$4)</f>
        <v>15.92</v>
      </c>
      <c r="E14173" s="14" t="str">
        <f aca="false">IF(C14173="","",C14173*D14173/100)</f>
        <v/>
      </c>
      <c r="F14173" s="15" t="str">
        <f aca="false">IF(B14173&lt;5,"Go","Standard")</f>
        <v>Go</v>
      </c>
    </row>
    <row r="14174" customFormat="false" ht="15" hidden="false" customHeight="true" outlineLevel="0" collapsed="false">
      <c r="A14174" s="10" t="n">
        <f aca="false">Einstellungen!$B$5+INT((ROW()-9)/24)</f>
        <v>46556</v>
      </c>
      <c r="B14174" s="11" t="n">
        <f aca="false">MOD(ROW()-9,24)</f>
        <v>5</v>
      </c>
      <c r="C14174" s="12"/>
      <c r="D14174" s="13" t="n">
        <f aca="false">IF(B14174&lt;5,Einstellungen!$B$3,Einstellungen!$B$4)</f>
        <v>29.13</v>
      </c>
      <c r="E14174" s="14" t="str">
        <f aca="false">IF(C14174="","",C14174*D14174/100)</f>
        <v/>
      </c>
      <c r="F14174" s="15" t="str">
        <f aca="false">IF(B14174&lt;5,"Go","Standard")</f>
        <v>Standard</v>
      </c>
    </row>
    <row r="14175" customFormat="false" ht="15" hidden="false" customHeight="true" outlineLevel="0" collapsed="false">
      <c r="A14175" s="10" t="n">
        <f aca="false">Einstellungen!$B$5+INT((ROW()-9)/24)</f>
        <v>46556</v>
      </c>
      <c r="B14175" s="11" t="n">
        <f aca="false">MOD(ROW()-9,24)</f>
        <v>6</v>
      </c>
      <c r="C14175" s="12"/>
      <c r="D14175" s="13" t="n">
        <f aca="false">IF(B14175&lt;5,Einstellungen!$B$3,Einstellungen!$B$4)</f>
        <v>29.13</v>
      </c>
      <c r="E14175" s="14" t="str">
        <f aca="false">IF(C14175="","",C14175*D14175/100)</f>
        <v/>
      </c>
      <c r="F14175" s="15" t="str">
        <f aca="false">IF(B14175&lt;5,"Go","Standard")</f>
        <v>Standard</v>
      </c>
    </row>
    <row r="14176" customFormat="false" ht="15" hidden="false" customHeight="true" outlineLevel="0" collapsed="false">
      <c r="A14176" s="10" t="n">
        <f aca="false">Einstellungen!$B$5+INT((ROW()-9)/24)</f>
        <v>46556</v>
      </c>
      <c r="B14176" s="11" t="n">
        <f aca="false">MOD(ROW()-9,24)</f>
        <v>7</v>
      </c>
      <c r="C14176" s="12"/>
      <c r="D14176" s="13" t="n">
        <f aca="false">IF(B14176&lt;5,Einstellungen!$B$3,Einstellungen!$B$4)</f>
        <v>29.13</v>
      </c>
      <c r="E14176" s="14" t="str">
        <f aca="false">IF(C14176="","",C14176*D14176/100)</f>
        <v/>
      </c>
      <c r="F14176" s="15" t="str">
        <f aca="false">IF(B14176&lt;5,"Go","Standard")</f>
        <v>Standard</v>
      </c>
    </row>
    <row r="14177" customFormat="false" ht="15" hidden="false" customHeight="true" outlineLevel="0" collapsed="false">
      <c r="A14177" s="10" t="n">
        <f aca="false">Einstellungen!$B$5+INT((ROW()-9)/24)</f>
        <v>46556</v>
      </c>
      <c r="B14177" s="11" t="n">
        <f aca="false">MOD(ROW()-9,24)</f>
        <v>8</v>
      </c>
      <c r="C14177" s="12"/>
      <c r="D14177" s="13" t="n">
        <f aca="false">IF(B14177&lt;5,Einstellungen!$B$3,Einstellungen!$B$4)</f>
        <v>29.13</v>
      </c>
      <c r="E14177" s="14" t="str">
        <f aca="false">IF(C14177="","",C14177*D14177/100)</f>
        <v/>
      </c>
      <c r="F14177" s="15" t="str">
        <f aca="false">IF(B14177&lt;5,"Go","Standard")</f>
        <v>Standard</v>
      </c>
    </row>
    <row r="14178" customFormat="false" ht="15" hidden="false" customHeight="true" outlineLevel="0" collapsed="false">
      <c r="A14178" s="10" t="n">
        <f aca="false">Einstellungen!$B$5+INT((ROW()-9)/24)</f>
        <v>46556</v>
      </c>
      <c r="B14178" s="11" t="n">
        <f aca="false">MOD(ROW()-9,24)</f>
        <v>9</v>
      </c>
      <c r="C14178" s="12"/>
      <c r="D14178" s="13" t="n">
        <f aca="false">IF(B14178&lt;5,Einstellungen!$B$3,Einstellungen!$B$4)</f>
        <v>29.13</v>
      </c>
      <c r="E14178" s="14" t="str">
        <f aca="false">IF(C14178="","",C14178*D14178/100)</f>
        <v/>
      </c>
      <c r="F14178" s="15" t="str">
        <f aca="false">IF(B14178&lt;5,"Go","Standard")</f>
        <v>Standard</v>
      </c>
    </row>
    <row r="14179" customFormat="false" ht="15" hidden="false" customHeight="true" outlineLevel="0" collapsed="false">
      <c r="A14179" s="10" t="n">
        <f aca="false">Einstellungen!$B$5+INT((ROW()-9)/24)</f>
        <v>46556</v>
      </c>
      <c r="B14179" s="11" t="n">
        <f aca="false">MOD(ROW()-9,24)</f>
        <v>10</v>
      </c>
      <c r="C14179" s="12"/>
      <c r="D14179" s="13" t="n">
        <f aca="false">IF(B14179&lt;5,Einstellungen!$B$3,Einstellungen!$B$4)</f>
        <v>29.13</v>
      </c>
      <c r="E14179" s="14" t="str">
        <f aca="false">IF(C14179="","",C14179*D14179/100)</f>
        <v/>
      </c>
      <c r="F14179" s="15" t="str">
        <f aca="false">IF(B14179&lt;5,"Go","Standard")</f>
        <v>Standard</v>
      </c>
    </row>
    <row r="14180" customFormat="false" ht="15" hidden="false" customHeight="true" outlineLevel="0" collapsed="false">
      <c r="A14180" s="10" t="n">
        <f aca="false">Einstellungen!$B$5+INT((ROW()-9)/24)</f>
        <v>46556</v>
      </c>
      <c r="B14180" s="11" t="n">
        <f aca="false">MOD(ROW()-9,24)</f>
        <v>11</v>
      </c>
      <c r="C14180" s="12"/>
      <c r="D14180" s="13" t="n">
        <f aca="false">IF(B14180&lt;5,Einstellungen!$B$3,Einstellungen!$B$4)</f>
        <v>29.13</v>
      </c>
      <c r="E14180" s="14" t="str">
        <f aca="false">IF(C14180="","",C14180*D14180/100)</f>
        <v/>
      </c>
      <c r="F14180" s="15" t="str">
        <f aca="false">IF(B14180&lt;5,"Go","Standard")</f>
        <v>Standard</v>
      </c>
    </row>
    <row r="14181" customFormat="false" ht="15" hidden="false" customHeight="true" outlineLevel="0" collapsed="false">
      <c r="A14181" s="10" t="n">
        <f aca="false">Einstellungen!$B$5+INT((ROW()-9)/24)</f>
        <v>46556</v>
      </c>
      <c r="B14181" s="11" t="n">
        <f aca="false">MOD(ROW()-9,24)</f>
        <v>12</v>
      </c>
      <c r="C14181" s="12"/>
      <c r="D14181" s="13" t="n">
        <f aca="false">IF(B14181&lt;5,Einstellungen!$B$3,Einstellungen!$B$4)</f>
        <v>29.13</v>
      </c>
      <c r="E14181" s="14" t="str">
        <f aca="false">IF(C14181="","",C14181*D14181/100)</f>
        <v/>
      </c>
      <c r="F14181" s="15" t="str">
        <f aca="false">IF(B14181&lt;5,"Go","Standard")</f>
        <v>Standard</v>
      </c>
    </row>
    <row r="14182" customFormat="false" ht="15" hidden="false" customHeight="true" outlineLevel="0" collapsed="false">
      <c r="A14182" s="10" t="n">
        <f aca="false">Einstellungen!$B$5+INT((ROW()-9)/24)</f>
        <v>46556</v>
      </c>
      <c r="B14182" s="11" t="n">
        <f aca="false">MOD(ROW()-9,24)</f>
        <v>13</v>
      </c>
      <c r="C14182" s="12"/>
      <c r="D14182" s="13" t="n">
        <f aca="false">IF(B14182&lt;5,Einstellungen!$B$3,Einstellungen!$B$4)</f>
        <v>29.13</v>
      </c>
      <c r="E14182" s="14" t="str">
        <f aca="false">IF(C14182="","",C14182*D14182/100)</f>
        <v/>
      </c>
      <c r="F14182" s="15" t="str">
        <f aca="false">IF(B14182&lt;5,"Go","Standard")</f>
        <v>Standard</v>
      </c>
    </row>
    <row r="14183" customFormat="false" ht="15" hidden="false" customHeight="true" outlineLevel="0" collapsed="false">
      <c r="A14183" s="10" t="n">
        <f aca="false">Einstellungen!$B$5+INT((ROW()-9)/24)</f>
        <v>46556</v>
      </c>
      <c r="B14183" s="11" t="n">
        <f aca="false">MOD(ROW()-9,24)</f>
        <v>14</v>
      </c>
      <c r="C14183" s="12"/>
      <c r="D14183" s="13" t="n">
        <f aca="false">IF(B14183&lt;5,Einstellungen!$B$3,Einstellungen!$B$4)</f>
        <v>29.13</v>
      </c>
      <c r="E14183" s="14" t="str">
        <f aca="false">IF(C14183="","",C14183*D14183/100)</f>
        <v/>
      </c>
      <c r="F14183" s="15" t="str">
        <f aca="false">IF(B14183&lt;5,"Go","Standard")</f>
        <v>Standard</v>
      </c>
    </row>
    <row r="14184" customFormat="false" ht="15" hidden="false" customHeight="true" outlineLevel="0" collapsed="false">
      <c r="A14184" s="10" t="n">
        <f aca="false">Einstellungen!$B$5+INT((ROW()-9)/24)</f>
        <v>46556</v>
      </c>
      <c r="B14184" s="11" t="n">
        <f aca="false">MOD(ROW()-9,24)</f>
        <v>15</v>
      </c>
      <c r="C14184" s="12"/>
      <c r="D14184" s="13" t="n">
        <f aca="false">IF(B14184&lt;5,Einstellungen!$B$3,Einstellungen!$B$4)</f>
        <v>29.13</v>
      </c>
      <c r="E14184" s="14" t="str">
        <f aca="false">IF(C14184="","",C14184*D14184/100)</f>
        <v/>
      </c>
      <c r="F14184" s="15" t="str">
        <f aca="false">IF(B14184&lt;5,"Go","Standard")</f>
        <v>Standard</v>
      </c>
    </row>
    <row r="14185" customFormat="false" ht="15" hidden="false" customHeight="true" outlineLevel="0" collapsed="false">
      <c r="A14185" s="10" t="n">
        <f aca="false">Einstellungen!$B$5+INT((ROW()-9)/24)</f>
        <v>46556</v>
      </c>
      <c r="B14185" s="11" t="n">
        <f aca="false">MOD(ROW()-9,24)</f>
        <v>16</v>
      </c>
      <c r="C14185" s="12"/>
      <c r="D14185" s="13" t="n">
        <f aca="false">IF(B14185&lt;5,Einstellungen!$B$3,Einstellungen!$B$4)</f>
        <v>29.13</v>
      </c>
      <c r="E14185" s="14" t="str">
        <f aca="false">IF(C14185="","",C14185*D14185/100)</f>
        <v/>
      </c>
      <c r="F14185" s="15" t="str">
        <f aca="false">IF(B14185&lt;5,"Go","Standard")</f>
        <v>Standard</v>
      </c>
    </row>
    <row r="14186" customFormat="false" ht="15" hidden="false" customHeight="true" outlineLevel="0" collapsed="false">
      <c r="A14186" s="10" t="n">
        <f aca="false">Einstellungen!$B$5+INT((ROW()-9)/24)</f>
        <v>46556</v>
      </c>
      <c r="B14186" s="11" t="n">
        <f aca="false">MOD(ROW()-9,24)</f>
        <v>17</v>
      </c>
      <c r="C14186" s="12"/>
      <c r="D14186" s="13" t="n">
        <f aca="false">IF(B14186&lt;5,Einstellungen!$B$3,Einstellungen!$B$4)</f>
        <v>29.13</v>
      </c>
      <c r="E14186" s="14" t="str">
        <f aca="false">IF(C14186="","",C14186*D14186/100)</f>
        <v/>
      </c>
      <c r="F14186" s="15" t="str">
        <f aca="false">IF(B14186&lt;5,"Go","Standard")</f>
        <v>Standard</v>
      </c>
    </row>
    <row r="14187" customFormat="false" ht="15" hidden="false" customHeight="true" outlineLevel="0" collapsed="false">
      <c r="A14187" s="10" t="n">
        <f aca="false">Einstellungen!$B$5+INT((ROW()-9)/24)</f>
        <v>46556</v>
      </c>
      <c r="B14187" s="11" t="n">
        <f aca="false">MOD(ROW()-9,24)</f>
        <v>18</v>
      </c>
      <c r="C14187" s="12"/>
      <c r="D14187" s="13" t="n">
        <f aca="false">IF(B14187&lt;5,Einstellungen!$B$3,Einstellungen!$B$4)</f>
        <v>29.13</v>
      </c>
      <c r="E14187" s="14" t="str">
        <f aca="false">IF(C14187="","",C14187*D14187/100)</f>
        <v/>
      </c>
      <c r="F14187" s="15" t="str">
        <f aca="false">IF(B14187&lt;5,"Go","Standard")</f>
        <v>Standard</v>
      </c>
    </row>
    <row r="14188" customFormat="false" ht="15" hidden="false" customHeight="true" outlineLevel="0" collapsed="false">
      <c r="A14188" s="10" t="n">
        <f aca="false">Einstellungen!$B$5+INT((ROW()-9)/24)</f>
        <v>46556</v>
      </c>
      <c r="B14188" s="11" t="n">
        <f aca="false">MOD(ROW()-9,24)</f>
        <v>19</v>
      </c>
      <c r="C14188" s="12"/>
      <c r="D14188" s="13" t="n">
        <f aca="false">IF(B14188&lt;5,Einstellungen!$B$3,Einstellungen!$B$4)</f>
        <v>29.13</v>
      </c>
      <c r="E14188" s="14" t="str">
        <f aca="false">IF(C14188="","",C14188*D14188/100)</f>
        <v/>
      </c>
      <c r="F14188" s="15" t="str">
        <f aca="false">IF(B14188&lt;5,"Go","Standard")</f>
        <v>Standard</v>
      </c>
    </row>
    <row r="14189" customFormat="false" ht="15" hidden="false" customHeight="true" outlineLevel="0" collapsed="false">
      <c r="A14189" s="10" t="n">
        <f aca="false">Einstellungen!$B$5+INT((ROW()-9)/24)</f>
        <v>46556</v>
      </c>
      <c r="B14189" s="11" t="n">
        <f aca="false">MOD(ROW()-9,24)</f>
        <v>20</v>
      </c>
      <c r="C14189" s="12"/>
      <c r="D14189" s="13" t="n">
        <f aca="false">IF(B14189&lt;5,Einstellungen!$B$3,Einstellungen!$B$4)</f>
        <v>29.13</v>
      </c>
      <c r="E14189" s="14" t="str">
        <f aca="false">IF(C14189="","",C14189*D14189/100)</f>
        <v/>
      </c>
      <c r="F14189" s="15" t="str">
        <f aca="false">IF(B14189&lt;5,"Go","Standard")</f>
        <v>Standard</v>
      </c>
    </row>
    <row r="14190" customFormat="false" ht="15" hidden="false" customHeight="true" outlineLevel="0" collapsed="false">
      <c r="A14190" s="10" t="n">
        <f aca="false">Einstellungen!$B$5+INT((ROW()-9)/24)</f>
        <v>46556</v>
      </c>
      <c r="B14190" s="11" t="n">
        <f aca="false">MOD(ROW()-9,24)</f>
        <v>21</v>
      </c>
      <c r="C14190" s="12"/>
      <c r="D14190" s="13" t="n">
        <f aca="false">IF(B14190&lt;5,Einstellungen!$B$3,Einstellungen!$B$4)</f>
        <v>29.13</v>
      </c>
      <c r="E14190" s="14" t="str">
        <f aca="false">IF(C14190="","",C14190*D14190/100)</f>
        <v/>
      </c>
      <c r="F14190" s="15" t="str">
        <f aca="false">IF(B14190&lt;5,"Go","Standard")</f>
        <v>Standard</v>
      </c>
    </row>
    <row r="14191" customFormat="false" ht="15" hidden="false" customHeight="true" outlineLevel="0" collapsed="false">
      <c r="A14191" s="10" t="n">
        <f aca="false">Einstellungen!$B$5+INT((ROW()-9)/24)</f>
        <v>46556</v>
      </c>
      <c r="B14191" s="11" t="n">
        <f aca="false">MOD(ROW()-9,24)</f>
        <v>22</v>
      </c>
      <c r="C14191" s="12"/>
      <c r="D14191" s="13" t="n">
        <f aca="false">IF(B14191&lt;5,Einstellungen!$B$3,Einstellungen!$B$4)</f>
        <v>29.13</v>
      </c>
      <c r="E14191" s="14" t="str">
        <f aca="false">IF(C14191="","",C14191*D14191/100)</f>
        <v/>
      </c>
      <c r="F14191" s="15" t="str">
        <f aca="false">IF(B14191&lt;5,"Go","Standard")</f>
        <v>Standard</v>
      </c>
    </row>
    <row r="14192" customFormat="false" ht="15" hidden="false" customHeight="true" outlineLevel="0" collapsed="false">
      <c r="A14192" s="10" t="n">
        <f aca="false">Einstellungen!$B$5+INT((ROW()-9)/24)</f>
        <v>46556</v>
      </c>
      <c r="B14192" s="11" t="n">
        <f aca="false">MOD(ROW()-9,24)</f>
        <v>23</v>
      </c>
      <c r="C14192" s="12"/>
      <c r="D14192" s="13" t="n">
        <f aca="false">IF(B14192&lt;5,Einstellungen!$B$3,Einstellungen!$B$4)</f>
        <v>29.13</v>
      </c>
      <c r="E14192" s="14" t="str">
        <f aca="false">IF(C14192="","",C14192*D14192/100)</f>
        <v/>
      </c>
      <c r="F14192" s="15" t="str">
        <f aca="false">IF(B14192&lt;5,"Go","Standard")</f>
        <v>Standard</v>
      </c>
    </row>
    <row r="14193" customFormat="false" ht="15" hidden="false" customHeight="true" outlineLevel="0" collapsed="false">
      <c r="A14193" s="10" t="n">
        <f aca="false">Einstellungen!$B$5+INT((ROW()-9)/24)</f>
        <v>46557</v>
      </c>
      <c r="B14193" s="11" t="n">
        <f aca="false">MOD(ROW()-9,24)</f>
        <v>0</v>
      </c>
      <c r="C14193" s="12"/>
      <c r="D14193" s="13" t="n">
        <f aca="false">IF(B14193&lt;5,Einstellungen!$B$3,Einstellungen!$B$4)</f>
        <v>15.92</v>
      </c>
      <c r="E14193" s="14" t="str">
        <f aca="false">IF(C14193="","",C14193*D14193/100)</f>
        <v/>
      </c>
      <c r="F14193" s="15" t="str">
        <f aca="false">IF(B14193&lt;5,"Go","Standard")</f>
        <v>Go</v>
      </c>
    </row>
    <row r="14194" customFormat="false" ht="15" hidden="false" customHeight="true" outlineLevel="0" collapsed="false">
      <c r="A14194" s="10" t="n">
        <f aca="false">Einstellungen!$B$5+INT((ROW()-9)/24)</f>
        <v>46557</v>
      </c>
      <c r="B14194" s="11" t="n">
        <f aca="false">MOD(ROW()-9,24)</f>
        <v>1</v>
      </c>
      <c r="C14194" s="12"/>
      <c r="D14194" s="13" t="n">
        <f aca="false">IF(B14194&lt;5,Einstellungen!$B$3,Einstellungen!$B$4)</f>
        <v>15.92</v>
      </c>
      <c r="E14194" s="14" t="str">
        <f aca="false">IF(C14194="","",C14194*D14194/100)</f>
        <v/>
      </c>
      <c r="F14194" s="15" t="str">
        <f aca="false">IF(B14194&lt;5,"Go","Standard")</f>
        <v>Go</v>
      </c>
    </row>
    <row r="14195" customFormat="false" ht="15" hidden="false" customHeight="true" outlineLevel="0" collapsed="false">
      <c r="A14195" s="10" t="n">
        <f aca="false">Einstellungen!$B$5+INT((ROW()-9)/24)</f>
        <v>46557</v>
      </c>
      <c r="B14195" s="11" t="n">
        <f aca="false">MOD(ROW()-9,24)</f>
        <v>2</v>
      </c>
      <c r="C14195" s="12"/>
      <c r="D14195" s="13" t="n">
        <f aca="false">IF(B14195&lt;5,Einstellungen!$B$3,Einstellungen!$B$4)</f>
        <v>15.92</v>
      </c>
      <c r="E14195" s="14" t="str">
        <f aca="false">IF(C14195="","",C14195*D14195/100)</f>
        <v/>
      </c>
      <c r="F14195" s="15" t="str">
        <f aca="false">IF(B14195&lt;5,"Go","Standard")</f>
        <v>Go</v>
      </c>
    </row>
    <row r="14196" customFormat="false" ht="15" hidden="false" customHeight="true" outlineLevel="0" collapsed="false">
      <c r="A14196" s="10" t="n">
        <f aca="false">Einstellungen!$B$5+INT((ROW()-9)/24)</f>
        <v>46557</v>
      </c>
      <c r="B14196" s="11" t="n">
        <f aca="false">MOD(ROW()-9,24)</f>
        <v>3</v>
      </c>
      <c r="C14196" s="12"/>
      <c r="D14196" s="13" t="n">
        <f aca="false">IF(B14196&lt;5,Einstellungen!$B$3,Einstellungen!$B$4)</f>
        <v>15.92</v>
      </c>
      <c r="E14196" s="14" t="str">
        <f aca="false">IF(C14196="","",C14196*D14196/100)</f>
        <v/>
      </c>
      <c r="F14196" s="15" t="str">
        <f aca="false">IF(B14196&lt;5,"Go","Standard")</f>
        <v>Go</v>
      </c>
    </row>
    <row r="14197" customFormat="false" ht="15" hidden="false" customHeight="true" outlineLevel="0" collapsed="false">
      <c r="A14197" s="10" t="n">
        <f aca="false">Einstellungen!$B$5+INT((ROW()-9)/24)</f>
        <v>46557</v>
      </c>
      <c r="B14197" s="11" t="n">
        <f aca="false">MOD(ROW()-9,24)</f>
        <v>4</v>
      </c>
      <c r="C14197" s="12"/>
      <c r="D14197" s="13" t="n">
        <f aca="false">IF(B14197&lt;5,Einstellungen!$B$3,Einstellungen!$B$4)</f>
        <v>15.92</v>
      </c>
      <c r="E14197" s="14" t="str">
        <f aca="false">IF(C14197="","",C14197*D14197/100)</f>
        <v/>
      </c>
      <c r="F14197" s="15" t="str">
        <f aca="false">IF(B14197&lt;5,"Go","Standard")</f>
        <v>Go</v>
      </c>
    </row>
    <row r="14198" customFormat="false" ht="15" hidden="false" customHeight="true" outlineLevel="0" collapsed="false">
      <c r="A14198" s="10" t="n">
        <f aca="false">Einstellungen!$B$5+INT((ROW()-9)/24)</f>
        <v>46557</v>
      </c>
      <c r="B14198" s="11" t="n">
        <f aca="false">MOD(ROW()-9,24)</f>
        <v>5</v>
      </c>
      <c r="C14198" s="12"/>
      <c r="D14198" s="13" t="n">
        <f aca="false">IF(B14198&lt;5,Einstellungen!$B$3,Einstellungen!$B$4)</f>
        <v>29.13</v>
      </c>
      <c r="E14198" s="14" t="str">
        <f aca="false">IF(C14198="","",C14198*D14198/100)</f>
        <v/>
      </c>
      <c r="F14198" s="15" t="str">
        <f aca="false">IF(B14198&lt;5,"Go","Standard")</f>
        <v>Standard</v>
      </c>
    </row>
    <row r="14199" customFormat="false" ht="15" hidden="false" customHeight="true" outlineLevel="0" collapsed="false">
      <c r="A14199" s="10" t="n">
        <f aca="false">Einstellungen!$B$5+INT((ROW()-9)/24)</f>
        <v>46557</v>
      </c>
      <c r="B14199" s="11" t="n">
        <f aca="false">MOD(ROW()-9,24)</f>
        <v>6</v>
      </c>
      <c r="C14199" s="12"/>
      <c r="D14199" s="13" t="n">
        <f aca="false">IF(B14199&lt;5,Einstellungen!$B$3,Einstellungen!$B$4)</f>
        <v>29.13</v>
      </c>
      <c r="E14199" s="14" t="str">
        <f aca="false">IF(C14199="","",C14199*D14199/100)</f>
        <v/>
      </c>
      <c r="F14199" s="15" t="str">
        <f aca="false">IF(B14199&lt;5,"Go","Standard")</f>
        <v>Standard</v>
      </c>
    </row>
    <row r="14200" customFormat="false" ht="15" hidden="false" customHeight="true" outlineLevel="0" collapsed="false">
      <c r="A14200" s="10" t="n">
        <f aca="false">Einstellungen!$B$5+INT((ROW()-9)/24)</f>
        <v>46557</v>
      </c>
      <c r="B14200" s="11" t="n">
        <f aca="false">MOD(ROW()-9,24)</f>
        <v>7</v>
      </c>
      <c r="C14200" s="12"/>
      <c r="D14200" s="13" t="n">
        <f aca="false">IF(B14200&lt;5,Einstellungen!$B$3,Einstellungen!$B$4)</f>
        <v>29.13</v>
      </c>
      <c r="E14200" s="14" t="str">
        <f aca="false">IF(C14200="","",C14200*D14200/100)</f>
        <v/>
      </c>
      <c r="F14200" s="15" t="str">
        <f aca="false">IF(B14200&lt;5,"Go","Standard")</f>
        <v>Standard</v>
      </c>
    </row>
    <row r="14201" customFormat="false" ht="15" hidden="false" customHeight="true" outlineLevel="0" collapsed="false">
      <c r="A14201" s="10" t="n">
        <f aca="false">Einstellungen!$B$5+INT((ROW()-9)/24)</f>
        <v>46557</v>
      </c>
      <c r="B14201" s="11" t="n">
        <f aca="false">MOD(ROW()-9,24)</f>
        <v>8</v>
      </c>
      <c r="C14201" s="12"/>
      <c r="D14201" s="13" t="n">
        <f aca="false">IF(B14201&lt;5,Einstellungen!$B$3,Einstellungen!$B$4)</f>
        <v>29.13</v>
      </c>
      <c r="E14201" s="14" t="str">
        <f aca="false">IF(C14201="","",C14201*D14201/100)</f>
        <v/>
      </c>
      <c r="F14201" s="15" t="str">
        <f aca="false">IF(B14201&lt;5,"Go","Standard")</f>
        <v>Standard</v>
      </c>
    </row>
    <row r="14202" customFormat="false" ht="15" hidden="false" customHeight="true" outlineLevel="0" collapsed="false">
      <c r="A14202" s="10" t="n">
        <f aca="false">Einstellungen!$B$5+INT((ROW()-9)/24)</f>
        <v>46557</v>
      </c>
      <c r="B14202" s="11" t="n">
        <f aca="false">MOD(ROW()-9,24)</f>
        <v>9</v>
      </c>
      <c r="C14202" s="12"/>
      <c r="D14202" s="13" t="n">
        <f aca="false">IF(B14202&lt;5,Einstellungen!$B$3,Einstellungen!$B$4)</f>
        <v>29.13</v>
      </c>
      <c r="E14202" s="14" t="str">
        <f aca="false">IF(C14202="","",C14202*D14202/100)</f>
        <v/>
      </c>
      <c r="F14202" s="15" t="str">
        <f aca="false">IF(B14202&lt;5,"Go","Standard")</f>
        <v>Standard</v>
      </c>
    </row>
    <row r="14203" customFormat="false" ht="15" hidden="false" customHeight="true" outlineLevel="0" collapsed="false">
      <c r="A14203" s="10" t="n">
        <f aca="false">Einstellungen!$B$5+INT((ROW()-9)/24)</f>
        <v>46557</v>
      </c>
      <c r="B14203" s="11" t="n">
        <f aca="false">MOD(ROW()-9,24)</f>
        <v>10</v>
      </c>
      <c r="C14203" s="12"/>
      <c r="D14203" s="13" t="n">
        <f aca="false">IF(B14203&lt;5,Einstellungen!$B$3,Einstellungen!$B$4)</f>
        <v>29.13</v>
      </c>
      <c r="E14203" s="14" t="str">
        <f aca="false">IF(C14203="","",C14203*D14203/100)</f>
        <v/>
      </c>
      <c r="F14203" s="15" t="str">
        <f aca="false">IF(B14203&lt;5,"Go","Standard")</f>
        <v>Standard</v>
      </c>
    </row>
    <row r="14204" customFormat="false" ht="15" hidden="false" customHeight="true" outlineLevel="0" collapsed="false">
      <c r="A14204" s="10" t="n">
        <f aca="false">Einstellungen!$B$5+INT((ROW()-9)/24)</f>
        <v>46557</v>
      </c>
      <c r="B14204" s="11" t="n">
        <f aca="false">MOD(ROW()-9,24)</f>
        <v>11</v>
      </c>
      <c r="C14204" s="12"/>
      <c r="D14204" s="13" t="n">
        <f aca="false">IF(B14204&lt;5,Einstellungen!$B$3,Einstellungen!$B$4)</f>
        <v>29.13</v>
      </c>
      <c r="E14204" s="14" t="str">
        <f aca="false">IF(C14204="","",C14204*D14204/100)</f>
        <v/>
      </c>
      <c r="F14204" s="15" t="str">
        <f aca="false">IF(B14204&lt;5,"Go","Standard")</f>
        <v>Standard</v>
      </c>
    </row>
    <row r="14205" customFormat="false" ht="15" hidden="false" customHeight="true" outlineLevel="0" collapsed="false">
      <c r="A14205" s="10" t="n">
        <f aca="false">Einstellungen!$B$5+INT((ROW()-9)/24)</f>
        <v>46557</v>
      </c>
      <c r="B14205" s="11" t="n">
        <f aca="false">MOD(ROW()-9,24)</f>
        <v>12</v>
      </c>
      <c r="C14205" s="12"/>
      <c r="D14205" s="13" t="n">
        <f aca="false">IF(B14205&lt;5,Einstellungen!$B$3,Einstellungen!$B$4)</f>
        <v>29.13</v>
      </c>
      <c r="E14205" s="14" t="str">
        <f aca="false">IF(C14205="","",C14205*D14205/100)</f>
        <v/>
      </c>
      <c r="F14205" s="15" t="str">
        <f aca="false">IF(B14205&lt;5,"Go","Standard")</f>
        <v>Standard</v>
      </c>
    </row>
    <row r="14206" customFormat="false" ht="15" hidden="false" customHeight="true" outlineLevel="0" collapsed="false">
      <c r="A14206" s="10" t="n">
        <f aca="false">Einstellungen!$B$5+INT((ROW()-9)/24)</f>
        <v>46557</v>
      </c>
      <c r="B14206" s="11" t="n">
        <f aca="false">MOD(ROW()-9,24)</f>
        <v>13</v>
      </c>
      <c r="C14206" s="12"/>
      <c r="D14206" s="13" t="n">
        <f aca="false">IF(B14206&lt;5,Einstellungen!$B$3,Einstellungen!$B$4)</f>
        <v>29.13</v>
      </c>
      <c r="E14206" s="14" t="str">
        <f aca="false">IF(C14206="","",C14206*D14206/100)</f>
        <v/>
      </c>
      <c r="F14206" s="15" t="str">
        <f aca="false">IF(B14206&lt;5,"Go","Standard")</f>
        <v>Standard</v>
      </c>
    </row>
    <row r="14207" customFormat="false" ht="15" hidden="false" customHeight="true" outlineLevel="0" collapsed="false">
      <c r="A14207" s="10" t="n">
        <f aca="false">Einstellungen!$B$5+INT((ROW()-9)/24)</f>
        <v>46557</v>
      </c>
      <c r="B14207" s="11" t="n">
        <f aca="false">MOD(ROW()-9,24)</f>
        <v>14</v>
      </c>
      <c r="C14207" s="12"/>
      <c r="D14207" s="13" t="n">
        <f aca="false">IF(B14207&lt;5,Einstellungen!$B$3,Einstellungen!$B$4)</f>
        <v>29.13</v>
      </c>
      <c r="E14207" s="14" t="str">
        <f aca="false">IF(C14207="","",C14207*D14207/100)</f>
        <v/>
      </c>
      <c r="F14207" s="15" t="str">
        <f aca="false">IF(B14207&lt;5,"Go","Standard")</f>
        <v>Standard</v>
      </c>
    </row>
    <row r="14208" customFormat="false" ht="15" hidden="false" customHeight="true" outlineLevel="0" collapsed="false">
      <c r="A14208" s="10" t="n">
        <f aca="false">Einstellungen!$B$5+INT((ROW()-9)/24)</f>
        <v>46557</v>
      </c>
      <c r="B14208" s="11" t="n">
        <f aca="false">MOD(ROW()-9,24)</f>
        <v>15</v>
      </c>
      <c r="C14208" s="12"/>
      <c r="D14208" s="13" t="n">
        <f aca="false">IF(B14208&lt;5,Einstellungen!$B$3,Einstellungen!$B$4)</f>
        <v>29.13</v>
      </c>
      <c r="E14208" s="14" t="str">
        <f aca="false">IF(C14208="","",C14208*D14208/100)</f>
        <v/>
      </c>
      <c r="F14208" s="15" t="str">
        <f aca="false">IF(B14208&lt;5,"Go","Standard")</f>
        <v>Standard</v>
      </c>
    </row>
    <row r="14209" customFormat="false" ht="15" hidden="false" customHeight="true" outlineLevel="0" collapsed="false">
      <c r="A14209" s="10" t="n">
        <f aca="false">Einstellungen!$B$5+INT((ROW()-9)/24)</f>
        <v>46557</v>
      </c>
      <c r="B14209" s="11" t="n">
        <f aca="false">MOD(ROW()-9,24)</f>
        <v>16</v>
      </c>
      <c r="C14209" s="12"/>
      <c r="D14209" s="13" t="n">
        <f aca="false">IF(B14209&lt;5,Einstellungen!$B$3,Einstellungen!$B$4)</f>
        <v>29.13</v>
      </c>
      <c r="E14209" s="14" t="str">
        <f aca="false">IF(C14209="","",C14209*D14209/100)</f>
        <v/>
      </c>
      <c r="F14209" s="15" t="str">
        <f aca="false">IF(B14209&lt;5,"Go","Standard")</f>
        <v>Standard</v>
      </c>
    </row>
    <row r="14210" customFormat="false" ht="15" hidden="false" customHeight="true" outlineLevel="0" collapsed="false">
      <c r="A14210" s="10" t="n">
        <f aca="false">Einstellungen!$B$5+INT((ROW()-9)/24)</f>
        <v>46557</v>
      </c>
      <c r="B14210" s="11" t="n">
        <f aca="false">MOD(ROW()-9,24)</f>
        <v>17</v>
      </c>
      <c r="C14210" s="12"/>
      <c r="D14210" s="13" t="n">
        <f aca="false">IF(B14210&lt;5,Einstellungen!$B$3,Einstellungen!$B$4)</f>
        <v>29.13</v>
      </c>
      <c r="E14210" s="14" t="str">
        <f aca="false">IF(C14210="","",C14210*D14210/100)</f>
        <v/>
      </c>
      <c r="F14210" s="15" t="str">
        <f aca="false">IF(B14210&lt;5,"Go","Standard")</f>
        <v>Standard</v>
      </c>
    </row>
    <row r="14211" customFormat="false" ht="15" hidden="false" customHeight="true" outlineLevel="0" collapsed="false">
      <c r="A14211" s="10" t="n">
        <f aca="false">Einstellungen!$B$5+INT((ROW()-9)/24)</f>
        <v>46557</v>
      </c>
      <c r="B14211" s="11" t="n">
        <f aca="false">MOD(ROW()-9,24)</f>
        <v>18</v>
      </c>
      <c r="C14211" s="12"/>
      <c r="D14211" s="13" t="n">
        <f aca="false">IF(B14211&lt;5,Einstellungen!$B$3,Einstellungen!$B$4)</f>
        <v>29.13</v>
      </c>
      <c r="E14211" s="14" t="str">
        <f aca="false">IF(C14211="","",C14211*D14211/100)</f>
        <v/>
      </c>
      <c r="F14211" s="15" t="str">
        <f aca="false">IF(B14211&lt;5,"Go","Standard")</f>
        <v>Standard</v>
      </c>
    </row>
    <row r="14212" customFormat="false" ht="15" hidden="false" customHeight="true" outlineLevel="0" collapsed="false">
      <c r="A14212" s="10" t="n">
        <f aca="false">Einstellungen!$B$5+INT((ROW()-9)/24)</f>
        <v>46557</v>
      </c>
      <c r="B14212" s="11" t="n">
        <f aca="false">MOD(ROW()-9,24)</f>
        <v>19</v>
      </c>
      <c r="C14212" s="12"/>
      <c r="D14212" s="13" t="n">
        <f aca="false">IF(B14212&lt;5,Einstellungen!$B$3,Einstellungen!$B$4)</f>
        <v>29.13</v>
      </c>
      <c r="E14212" s="14" t="str">
        <f aca="false">IF(C14212="","",C14212*D14212/100)</f>
        <v/>
      </c>
      <c r="F14212" s="15" t="str">
        <f aca="false">IF(B14212&lt;5,"Go","Standard")</f>
        <v>Standard</v>
      </c>
    </row>
    <row r="14213" customFormat="false" ht="15" hidden="false" customHeight="true" outlineLevel="0" collapsed="false">
      <c r="A14213" s="10" t="n">
        <f aca="false">Einstellungen!$B$5+INT((ROW()-9)/24)</f>
        <v>46557</v>
      </c>
      <c r="B14213" s="11" t="n">
        <f aca="false">MOD(ROW()-9,24)</f>
        <v>20</v>
      </c>
      <c r="C14213" s="12"/>
      <c r="D14213" s="13" t="n">
        <f aca="false">IF(B14213&lt;5,Einstellungen!$B$3,Einstellungen!$B$4)</f>
        <v>29.13</v>
      </c>
      <c r="E14213" s="14" t="str">
        <f aca="false">IF(C14213="","",C14213*D14213/100)</f>
        <v/>
      </c>
      <c r="F14213" s="15" t="str">
        <f aca="false">IF(B14213&lt;5,"Go","Standard")</f>
        <v>Standard</v>
      </c>
    </row>
    <row r="14214" customFormat="false" ht="15" hidden="false" customHeight="true" outlineLevel="0" collapsed="false">
      <c r="A14214" s="10" t="n">
        <f aca="false">Einstellungen!$B$5+INT((ROW()-9)/24)</f>
        <v>46557</v>
      </c>
      <c r="B14214" s="11" t="n">
        <f aca="false">MOD(ROW()-9,24)</f>
        <v>21</v>
      </c>
      <c r="C14214" s="12"/>
      <c r="D14214" s="13" t="n">
        <f aca="false">IF(B14214&lt;5,Einstellungen!$B$3,Einstellungen!$B$4)</f>
        <v>29.13</v>
      </c>
      <c r="E14214" s="14" t="str">
        <f aca="false">IF(C14214="","",C14214*D14214/100)</f>
        <v/>
      </c>
      <c r="F14214" s="15" t="str">
        <f aca="false">IF(B14214&lt;5,"Go","Standard")</f>
        <v>Standard</v>
      </c>
    </row>
    <row r="14215" customFormat="false" ht="15" hidden="false" customHeight="true" outlineLevel="0" collapsed="false">
      <c r="A14215" s="10" t="n">
        <f aca="false">Einstellungen!$B$5+INT((ROW()-9)/24)</f>
        <v>46557</v>
      </c>
      <c r="B14215" s="11" t="n">
        <f aca="false">MOD(ROW()-9,24)</f>
        <v>22</v>
      </c>
      <c r="C14215" s="12"/>
      <c r="D14215" s="13" t="n">
        <f aca="false">IF(B14215&lt;5,Einstellungen!$B$3,Einstellungen!$B$4)</f>
        <v>29.13</v>
      </c>
      <c r="E14215" s="14" t="str">
        <f aca="false">IF(C14215="","",C14215*D14215/100)</f>
        <v/>
      </c>
      <c r="F14215" s="15" t="str">
        <f aca="false">IF(B14215&lt;5,"Go","Standard")</f>
        <v>Standard</v>
      </c>
    </row>
    <row r="14216" customFormat="false" ht="15" hidden="false" customHeight="true" outlineLevel="0" collapsed="false">
      <c r="A14216" s="10" t="n">
        <f aca="false">Einstellungen!$B$5+INT((ROW()-9)/24)</f>
        <v>46557</v>
      </c>
      <c r="B14216" s="11" t="n">
        <f aca="false">MOD(ROW()-9,24)</f>
        <v>23</v>
      </c>
      <c r="C14216" s="12"/>
      <c r="D14216" s="13" t="n">
        <f aca="false">IF(B14216&lt;5,Einstellungen!$B$3,Einstellungen!$B$4)</f>
        <v>29.13</v>
      </c>
      <c r="E14216" s="14" t="str">
        <f aca="false">IF(C14216="","",C14216*D14216/100)</f>
        <v/>
      </c>
      <c r="F14216" s="15" t="str">
        <f aca="false">IF(B14216&lt;5,"Go","Standard")</f>
        <v>Standard</v>
      </c>
    </row>
    <row r="14217" customFormat="false" ht="15" hidden="false" customHeight="true" outlineLevel="0" collapsed="false">
      <c r="A14217" s="10" t="n">
        <f aca="false">Einstellungen!$B$5+INT((ROW()-9)/24)</f>
        <v>46558</v>
      </c>
      <c r="B14217" s="11" t="n">
        <f aca="false">MOD(ROW()-9,24)</f>
        <v>0</v>
      </c>
      <c r="C14217" s="12"/>
      <c r="D14217" s="13" t="n">
        <f aca="false">IF(B14217&lt;5,Einstellungen!$B$3,Einstellungen!$B$4)</f>
        <v>15.92</v>
      </c>
      <c r="E14217" s="14" t="str">
        <f aca="false">IF(C14217="","",C14217*D14217/100)</f>
        <v/>
      </c>
      <c r="F14217" s="15" t="str">
        <f aca="false">IF(B14217&lt;5,"Go","Standard")</f>
        <v>Go</v>
      </c>
    </row>
    <row r="14218" customFormat="false" ht="15" hidden="false" customHeight="true" outlineLevel="0" collapsed="false">
      <c r="A14218" s="10" t="n">
        <f aca="false">Einstellungen!$B$5+INT((ROW()-9)/24)</f>
        <v>46558</v>
      </c>
      <c r="B14218" s="11" t="n">
        <f aca="false">MOD(ROW()-9,24)</f>
        <v>1</v>
      </c>
      <c r="C14218" s="12"/>
      <c r="D14218" s="13" t="n">
        <f aca="false">IF(B14218&lt;5,Einstellungen!$B$3,Einstellungen!$B$4)</f>
        <v>15.92</v>
      </c>
      <c r="E14218" s="14" t="str">
        <f aca="false">IF(C14218="","",C14218*D14218/100)</f>
        <v/>
      </c>
      <c r="F14218" s="15" t="str">
        <f aca="false">IF(B14218&lt;5,"Go","Standard")</f>
        <v>Go</v>
      </c>
    </row>
    <row r="14219" customFormat="false" ht="15" hidden="false" customHeight="true" outlineLevel="0" collapsed="false">
      <c r="A14219" s="10" t="n">
        <f aca="false">Einstellungen!$B$5+INT((ROW()-9)/24)</f>
        <v>46558</v>
      </c>
      <c r="B14219" s="11" t="n">
        <f aca="false">MOD(ROW()-9,24)</f>
        <v>2</v>
      </c>
      <c r="C14219" s="12"/>
      <c r="D14219" s="13" t="n">
        <f aca="false">IF(B14219&lt;5,Einstellungen!$B$3,Einstellungen!$B$4)</f>
        <v>15.92</v>
      </c>
      <c r="E14219" s="14" t="str">
        <f aca="false">IF(C14219="","",C14219*D14219/100)</f>
        <v/>
      </c>
      <c r="F14219" s="15" t="str">
        <f aca="false">IF(B14219&lt;5,"Go","Standard")</f>
        <v>Go</v>
      </c>
    </row>
    <row r="14220" customFormat="false" ht="15" hidden="false" customHeight="true" outlineLevel="0" collapsed="false">
      <c r="A14220" s="10" t="n">
        <f aca="false">Einstellungen!$B$5+INT((ROW()-9)/24)</f>
        <v>46558</v>
      </c>
      <c r="B14220" s="11" t="n">
        <f aca="false">MOD(ROW()-9,24)</f>
        <v>3</v>
      </c>
      <c r="C14220" s="12"/>
      <c r="D14220" s="13" t="n">
        <f aca="false">IF(B14220&lt;5,Einstellungen!$B$3,Einstellungen!$B$4)</f>
        <v>15.92</v>
      </c>
      <c r="E14220" s="14" t="str">
        <f aca="false">IF(C14220="","",C14220*D14220/100)</f>
        <v/>
      </c>
      <c r="F14220" s="15" t="str">
        <f aca="false">IF(B14220&lt;5,"Go","Standard")</f>
        <v>Go</v>
      </c>
    </row>
    <row r="14221" customFormat="false" ht="15" hidden="false" customHeight="true" outlineLevel="0" collapsed="false">
      <c r="A14221" s="10" t="n">
        <f aca="false">Einstellungen!$B$5+INT((ROW()-9)/24)</f>
        <v>46558</v>
      </c>
      <c r="B14221" s="11" t="n">
        <f aca="false">MOD(ROW()-9,24)</f>
        <v>4</v>
      </c>
      <c r="C14221" s="12"/>
      <c r="D14221" s="13" t="n">
        <f aca="false">IF(B14221&lt;5,Einstellungen!$B$3,Einstellungen!$B$4)</f>
        <v>15.92</v>
      </c>
      <c r="E14221" s="14" t="str">
        <f aca="false">IF(C14221="","",C14221*D14221/100)</f>
        <v/>
      </c>
      <c r="F14221" s="15" t="str">
        <f aca="false">IF(B14221&lt;5,"Go","Standard")</f>
        <v>Go</v>
      </c>
    </row>
    <row r="14222" customFormat="false" ht="15" hidden="false" customHeight="true" outlineLevel="0" collapsed="false">
      <c r="A14222" s="10" t="n">
        <f aca="false">Einstellungen!$B$5+INT((ROW()-9)/24)</f>
        <v>46558</v>
      </c>
      <c r="B14222" s="11" t="n">
        <f aca="false">MOD(ROW()-9,24)</f>
        <v>5</v>
      </c>
      <c r="C14222" s="12"/>
      <c r="D14222" s="13" t="n">
        <f aca="false">IF(B14222&lt;5,Einstellungen!$B$3,Einstellungen!$B$4)</f>
        <v>29.13</v>
      </c>
      <c r="E14222" s="14" t="str">
        <f aca="false">IF(C14222="","",C14222*D14222/100)</f>
        <v/>
      </c>
      <c r="F14222" s="15" t="str">
        <f aca="false">IF(B14222&lt;5,"Go","Standard")</f>
        <v>Standard</v>
      </c>
    </row>
    <row r="14223" customFormat="false" ht="15" hidden="false" customHeight="true" outlineLevel="0" collapsed="false">
      <c r="A14223" s="10" t="n">
        <f aca="false">Einstellungen!$B$5+INT((ROW()-9)/24)</f>
        <v>46558</v>
      </c>
      <c r="B14223" s="11" t="n">
        <f aca="false">MOD(ROW()-9,24)</f>
        <v>6</v>
      </c>
      <c r="C14223" s="12"/>
      <c r="D14223" s="13" t="n">
        <f aca="false">IF(B14223&lt;5,Einstellungen!$B$3,Einstellungen!$B$4)</f>
        <v>29.13</v>
      </c>
      <c r="E14223" s="14" t="str">
        <f aca="false">IF(C14223="","",C14223*D14223/100)</f>
        <v/>
      </c>
      <c r="F14223" s="15" t="str">
        <f aca="false">IF(B14223&lt;5,"Go","Standard")</f>
        <v>Standard</v>
      </c>
    </row>
    <row r="14224" customFormat="false" ht="15" hidden="false" customHeight="true" outlineLevel="0" collapsed="false">
      <c r="A14224" s="10" t="n">
        <f aca="false">Einstellungen!$B$5+INT((ROW()-9)/24)</f>
        <v>46558</v>
      </c>
      <c r="B14224" s="11" t="n">
        <f aca="false">MOD(ROW()-9,24)</f>
        <v>7</v>
      </c>
      <c r="C14224" s="12"/>
      <c r="D14224" s="13" t="n">
        <f aca="false">IF(B14224&lt;5,Einstellungen!$B$3,Einstellungen!$B$4)</f>
        <v>29.13</v>
      </c>
      <c r="E14224" s="14" t="str">
        <f aca="false">IF(C14224="","",C14224*D14224/100)</f>
        <v/>
      </c>
      <c r="F14224" s="15" t="str">
        <f aca="false">IF(B14224&lt;5,"Go","Standard")</f>
        <v>Standard</v>
      </c>
    </row>
    <row r="14225" customFormat="false" ht="15" hidden="false" customHeight="true" outlineLevel="0" collapsed="false">
      <c r="A14225" s="10" t="n">
        <f aca="false">Einstellungen!$B$5+INT((ROW()-9)/24)</f>
        <v>46558</v>
      </c>
      <c r="B14225" s="11" t="n">
        <f aca="false">MOD(ROW()-9,24)</f>
        <v>8</v>
      </c>
      <c r="C14225" s="12"/>
      <c r="D14225" s="13" t="n">
        <f aca="false">IF(B14225&lt;5,Einstellungen!$B$3,Einstellungen!$B$4)</f>
        <v>29.13</v>
      </c>
      <c r="E14225" s="14" t="str">
        <f aca="false">IF(C14225="","",C14225*D14225/100)</f>
        <v/>
      </c>
      <c r="F14225" s="15" t="str">
        <f aca="false">IF(B14225&lt;5,"Go","Standard")</f>
        <v>Standard</v>
      </c>
    </row>
    <row r="14226" customFormat="false" ht="15" hidden="false" customHeight="true" outlineLevel="0" collapsed="false">
      <c r="A14226" s="10" t="n">
        <f aca="false">Einstellungen!$B$5+INT((ROW()-9)/24)</f>
        <v>46558</v>
      </c>
      <c r="B14226" s="11" t="n">
        <f aca="false">MOD(ROW()-9,24)</f>
        <v>9</v>
      </c>
      <c r="C14226" s="12"/>
      <c r="D14226" s="13" t="n">
        <f aca="false">IF(B14226&lt;5,Einstellungen!$B$3,Einstellungen!$B$4)</f>
        <v>29.13</v>
      </c>
      <c r="E14226" s="14" t="str">
        <f aca="false">IF(C14226="","",C14226*D14226/100)</f>
        <v/>
      </c>
      <c r="F14226" s="15" t="str">
        <f aca="false">IF(B14226&lt;5,"Go","Standard")</f>
        <v>Standard</v>
      </c>
    </row>
    <row r="14227" customFormat="false" ht="15" hidden="false" customHeight="true" outlineLevel="0" collapsed="false">
      <c r="A14227" s="10" t="n">
        <f aca="false">Einstellungen!$B$5+INT((ROW()-9)/24)</f>
        <v>46558</v>
      </c>
      <c r="B14227" s="11" t="n">
        <f aca="false">MOD(ROW()-9,24)</f>
        <v>10</v>
      </c>
      <c r="C14227" s="12"/>
      <c r="D14227" s="13" t="n">
        <f aca="false">IF(B14227&lt;5,Einstellungen!$B$3,Einstellungen!$B$4)</f>
        <v>29.13</v>
      </c>
      <c r="E14227" s="14" t="str">
        <f aca="false">IF(C14227="","",C14227*D14227/100)</f>
        <v/>
      </c>
      <c r="F14227" s="15" t="str">
        <f aca="false">IF(B14227&lt;5,"Go","Standard")</f>
        <v>Standard</v>
      </c>
    </row>
    <row r="14228" customFormat="false" ht="15" hidden="false" customHeight="true" outlineLevel="0" collapsed="false">
      <c r="A14228" s="10" t="n">
        <f aca="false">Einstellungen!$B$5+INT((ROW()-9)/24)</f>
        <v>46558</v>
      </c>
      <c r="B14228" s="11" t="n">
        <f aca="false">MOD(ROW()-9,24)</f>
        <v>11</v>
      </c>
      <c r="C14228" s="12"/>
      <c r="D14228" s="13" t="n">
        <f aca="false">IF(B14228&lt;5,Einstellungen!$B$3,Einstellungen!$B$4)</f>
        <v>29.13</v>
      </c>
      <c r="E14228" s="14" t="str">
        <f aca="false">IF(C14228="","",C14228*D14228/100)</f>
        <v/>
      </c>
      <c r="F14228" s="15" t="str">
        <f aca="false">IF(B14228&lt;5,"Go","Standard")</f>
        <v>Standard</v>
      </c>
    </row>
    <row r="14229" customFormat="false" ht="15" hidden="false" customHeight="true" outlineLevel="0" collapsed="false">
      <c r="A14229" s="10" t="n">
        <f aca="false">Einstellungen!$B$5+INT((ROW()-9)/24)</f>
        <v>46558</v>
      </c>
      <c r="B14229" s="11" t="n">
        <f aca="false">MOD(ROW()-9,24)</f>
        <v>12</v>
      </c>
      <c r="C14229" s="12"/>
      <c r="D14229" s="13" t="n">
        <f aca="false">IF(B14229&lt;5,Einstellungen!$B$3,Einstellungen!$B$4)</f>
        <v>29.13</v>
      </c>
      <c r="E14229" s="14" t="str">
        <f aca="false">IF(C14229="","",C14229*D14229/100)</f>
        <v/>
      </c>
      <c r="F14229" s="15" t="str">
        <f aca="false">IF(B14229&lt;5,"Go","Standard")</f>
        <v>Standard</v>
      </c>
    </row>
    <row r="14230" customFormat="false" ht="15" hidden="false" customHeight="true" outlineLevel="0" collapsed="false">
      <c r="A14230" s="10" t="n">
        <f aca="false">Einstellungen!$B$5+INT((ROW()-9)/24)</f>
        <v>46558</v>
      </c>
      <c r="B14230" s="11" t="n">
        <f aca="false">MOD(ROW()-9,24)</f>
        <v>13</v>
      </c>
      <c r="C14230" s="12"/>
      <c r="D14230" s="13" t="n">
        <f aca="false">IF(B14230&lt;5,Einstellungen!$B$3,Einstellungen!$B$4)</f>
        <v>29.13</v>
      </c>
      <c r="E14230" s="14" t="str">
        <f aca="false">IF(C14230="","",C14230*D14230/100)</f>
        <v/>
      </c>
      <c r="F14230" s="15" t="str">
        <f aca="false">IF(B14230&lt;5,"Go","Standard")</f>
        <v>Standard</v>
      </c>
    </row>
    <row r="14231" customFormat="false" ht="15" hidden="false" customHeight="true" outlineLevel="0" collapsed="false">
      <c r="A14231" s="10" t="n">
        <f aca="false">Einstellungen!$B$5+INT((ROW()-9)/24)</f>
        <v>46558</v>
      </c>
      <c r="B14231" s="11" t="n">
        <f aca="false">MOD(ROW()-9,24)</f>
        <v>14</v>
      </c>
      <c r="C14231" s="12"/>
      <c r="D14231" s="13" t="n">
        <f aca="false">IF(B14231&lt;5,Einstellungen!$B$3,Einstellungen!$B$4)</f>
        <v>29.13</v>
      </c>
      <c r="E14231" s="14" t="str">
        <f aca="false">IF(C14231="","",C14231*D14231/100)</f>
        <v/>
      </c>
      <c r="F14231" s="15" t="str">
        <f aca="false">IF(B14231&lt;5,"Go","Standard")</f>
        <v>Standard</v>
      </c>
    </row>
    <row r="14232" customFormat="false" ht="15" hidden="false" customHeight="true" outlineLevel="0" collapsed="false">
      <c r="A14232" s="10" t="n">
        <f aca="false">Einstellungen!$B$5+INT((ROW()-9)/24)</f>
        <v>46558</v>
      </c>
      <c r="B14232" s="11" t="n">
        <f aca="false">MOD(ROW()-9,24)</f>
        <v>15</v>
      </c>
      <c r="C14232" s="12"/>
      <c r="D14232" s="13" t="n">
        <f aca="false">IF(B14232&lt;5,Einstellungen!$B$3,Einstellungen!$B$4)</f>
        <v>29.13</v>
      </c>
      <c r="E14232" s="14" t="str">
        <f aca="false">IF(C14232="","",C14232*D14232/100)</f>
        <v/>
      </c>
      <c r="F14232" s="15" t="str">
        <f aca="false">IF(B14232&lt;5,"Go","Standard")</f>
        <v>Standard</v>
      </c>
    </row>
    <row r="14233" customFormat="false" ht="15" hidden="false" customHeight="true" outlineLevel="0" collapsed="false">
      <c r="A14233" s="10" t="n">
        <f aca="false">Einstellungen!$B$5+INT((ROW()-9)/24)</f>
        <v>46558</v>
      </c>
      <c r="B14233" s="11" t="n">
        <f aca="false">MOD(ROW()-9,24)</f>
        <v>16</v>
      </c>
      <c r="C14233" s="12"/>
      <c r="D14233" s="13" t="n">
        <f aca="false">IF(B14233&lt;5,Einstellungen!$B$3,Einstellungen!$B$4)</f>
        <v>29.13</v>
      </c>
      <c r="E14233" s="14" t="str">
        <f aca="false">IF(C14233="","",C14233*D14233/100)</f>
        <v/>
      </c>
      <c r="F14233" s="15" t="str">
        <f aca="false">IF(B14233&lt;5,"Go","Standard")</f>
        <v>Standard</v>
      </c>
    </row>
    <row r="14234" customFormat="false" ht="15" hidden="false" customHeight="true" outlineLevel="0" collapsed="false">
      <c r="A14234" s="10" t="n">
        <f aca="false">Einstellungen!$B$5+INT((ROW()-9)/24)</f>
        <v>46558</v>
      </c>
      <c r="B14234" s="11" t="n">
        <f aca="false">MOD(ROW()-9,24)</f>
        <v>17</v>
      </c>
      <c r="C14234" s="12"/>
      <c r="D14234" s="13" t="n">
        <f aca="false">IF(B14234&lt;5,Einstellungen!$B$3,Einstellungen!$B$4)</f>
        <v>29.13</v>
      </c>
      <c r="E14234" s="14" t="str">
        <f aca="false">IF(C14234="","",C14234*D14234/100)</f>
        <v/>
      </c>
      <c r="F14234" s="15" t="str">
        <f aca="false">IF(B14234&lt;5,"Go","Standard")</f>
        <v>Standard</v>
      </c>
    </row>
    <row r="14235" customFormat="false" ht="15" hidden="false" customHeight="true" outlineLevel="0" collapsed="false">
      <c r="A14235" s="10" t="n">
        <f aca="false">Einstellungen!$B$5+INT((ROW()-9)/24)</f>
        <v>46558</v>
      </c>
      <c r="B14235" s="11" t="n">
        <f aca="false">MOD(ROW()-9,24)</f>
        <v>18</v>
      </c>
      <c r="C14235" s="12"/>
      <c r="D14235" s="13" t="n">
        <f aca="false">IF(B14235&lt;5,Einstellungen!$B$3,Einstellungen!$B$4)</f>
        <v>29.13</v>
      </c>
      <c r="E14235" s="14" t="str">
        <f aca="false">IF(C14235="","",C14235*D14235/100)</f>
        <v/>
      </c>
      <c r="F14235" s="15" t="str">
        <f aca="false">IF(B14235&lt;5,"Go","Standard")</f>
        <v>Standard</v>
      </c>
    </row>
    <row r="14236" customFormat="false" ht="15" hidden="false" customHeight="true" outlineLevel="0" collapsed="false">
      <c r="A14236" s="10" t="n">
        <f aca="false">Einstellungen!$B$5+INT((ROW()-9)/24)</f>
        <v>46558</v>
      </c>
      <c r="B14236" s="11" t="n">
        <f aca="false">MOD(ROW()-9,24)</f>
        <v>19</v>
      </c>
      <c r="C14236" s="12"/>
      <c r="D14236" s="13" t="n">
        <f aca="false">IF(B14236&lt;5,Einstellungen!$B$3,Einstellungen!$B$4)</f>
        <v>29.13</v>
      </c>
      <c r="E14236" s="14" t="str">
        <f aca="false">IF(C14236="","",C14236*D14236/100)</f>
        <v/>
      </c>
      <c r="F14236" s="15" t="str">
        <f aca="false">IF(B14236&lt;5,"Go","Standard")</f>
        <v>Standard</v>
      </c>
    </row>
    <row r="14237" customFormat="false" ht="15" hidden="false" customHeight="true" outlineLevel="0" collapsed="false">
      <c r="A14237" s="10" t="n">
        <f aca="false">Einstellungen!$B$5+INT((ROW()-9)/24)</f>
        <v>46558</v>
      </c>
      <c r="B14237" s="11" t="n">
        <f aca="false">MOD(ROW()-9,24)</f>
        <v>20</v>
      </c>
      <c r="C14237" s="12"/>
      <c r="D14237" s="13" t="n">
        <f aca="false">IF(B14237&lt;5,Einstellungen!$B$3,Einstellungen!$B$4)</f>
        <v>29.13</v>
      </c>
      <c r="E14237" s="14" t="str">
        <f aca="false">IF(C14237="","",C14237*D14237/100)</f>
        <v/>
      </c>
      <c r="F14237" s="15" t="str">
        <f aca="false">IF(B14237&lt;5,"Go","Standard")</f>
        <v>Standard</v>
      </c>
    </row>
    <row r="14238" customFormat="false" ht="15" hidden="false" customHeight="true" outlineLevel="0" collapsed="false">
      <c r="A14238" s="10" t="n">
        <f aca="false">Einstellungen!$B$5+INT((ROW()-9)/24)</f>
        <v>46558</v>
      </c>
      <c r="B14238" s="11" t="n">
        <f aca="false">MOD(ROW()-9,24)</f>
        <v>21</v>
      </c>
      <c r="C14238" s="12"/>
      <c r="D14238" s="13" t="n">
        <f aca="false">IF(B14238&lt;5,Einstellungen!$B$3,Einstellungen!$B$4)</f>
        <v>29.13</v>
      </c>
      <c r="E14238" s="14" t="str">
        <f aca="false">IF(C14238="","",C14238*D14238/100)</f>
        <v/>
      </c>
      <c r="F14238" s="15" t="str">
        <f aca="false">IF(B14238&lt;5,"Go","Standard")</f>
        <v>Standard</v>
      </c>
    </row>
    <row r="14239" customFormat="false" ht="15" hidden="false" customHeight="true" outlineLevel="0" collapsed="false">
      <c r="A14239" s="10" t="n">
        <f aca="false">Einstellungen!$B$5+INT((ROW()-9)/24)</f>
        <v>46558</v>
      </c>
      <c r="B14239" s="11" t="n">
        <f aca="false">MOD(ROW()-9,24)</f>
        <v>22</v>
      </c>
      <c r="C14239" s="12"/>
      <c r="D14239" s="13" t="n">
        <f aca="false">IF(B14239&lt;5,Einstellungen!$B$3,Einstellungen!$B$4)</f>
        <v>29.13</v>
      </c>
      <c r="E14239" s="14" t="str">
        <f aca="false">IF(C14239="","",C14239*D14239/100)</f>
        <v/>
      </c>
      <c r="F14239" s="15" t="str">
        <f aca="false">IF(B14239&lt;5,"Go","Standard")</f>
        <v>Standard</v>
      </c>
    </row>
    <row r="14240" customFormat="false" ht="15" hidden="false" customHeight="true" outlineLevel="0" collapsed="false">
      <c r="A14240" s="10" t="n">
        <f aca="false">Einstellungen!$B$5+INT((ROW()-9)/24)</f>
        <v>46558</v>
      </c>
      <c r="B14240" s="11" t="n">
        <f aca="false">MOD(ROW()-9,24)</f>
        <v>23</v>
      </c>
      <c r="C14240" s="12"/>
      <c r="D14240" s="13" t="n">
        <f aca="false">IF(B14240&lt;5,Einstellungen!$B$3,Einstellungen!$B$4)</f>
        <v>29.13</v>
      </c>
      <c r="E14240" s="14" t="str">
        <f aca="false">IF(C14240="","",C14240*D14240/100)</f>
        <v/>
      </c>
      <c r="F14240" s="15" t="str">
        <f aca="false">IF(B14240&lt;5,"Go","Standard")</f>
        <v>Standard</v>
      </c>
    </row>
    <row r="14241" customFormat="false" ht="15" hidden="false" customHeight="true" outlineLevel="0" collapsed="false">
      <c r="A14241" s="10" t="n">
        <f aca="false">Einstellungen!$B$5+INT((ROW()-9)/24)</f>
        <v>46559</v>
      </c>
      <c r="B14241" s="11" t="n">
        <f aca="false">MOD(ROW()-9,24)</f>
        <v>0</v>
      </c>
      <c r="C14241" s="12"/>
      <c r="D14241" s="13" t="n">
        <f aca="false">IF(B14241&lt;5,Einstellungen!$B$3,Einstellungen!$B$4)</f>
        <v>15.92</v>
      </c>
      <c r="E14241" s="14" t="str">
        <f aca="false">IF(C14241="","",C14241*D14241/100)</f>
        <v/>
      </c>
      <c r="F14241" s="15" t="str">
        <f aca="false">IF(B14241&lt;5,"Go","Standard")</f>
        <v>Go</v>
      </c>
    </row>
    <row r="14242" customFormat="false" ht="15" hidden="false" customHeight="true" outlineLevel="0" collapsed="false">
      <c r="A14242" s="10" t="n">
        <f aca="false">Einstellungen!$B$5+INT((ROW()-9)/24)</f>
        <v>46559</v>
      </c>
      <c r="B14242" s="11" t="n">
        <f aca="false">MOD(ROW()-9,24)</f>
        <v>1</v>
      </c>
      <c r="C14242" s="12"/>
      <c r="D14242" s="13" t="n">
        <f aca="false">IF(B14242&lt;5,Einstellungen!$B$3,Einstellungen!$B$4)</f>
        <v>15.92</v>
      </c>
      <c r="E14242" s="14" t="str">
        <f aca="false">IF(C14242="","",C14242*D14242/100)</f>
        <v/>
      </c>
      <c r="F14242" s="15" t="str">
        <f aca="false">IF(B14242&lt;5,"Go","Standard")</f>
        <v>Go</v>
      </c>
    </row>
    <row r="14243" customFormat="false" ht="15" hidden="false" customHeight="true" outlineLevel="0" collapsed="false">
      <c r="A14243" s="10" t="n">
        <f aca="false">Einstellungen!$B$5+INT((ROW()-9)/24)</f>
        <v>46559</v>
      </c>
      <c r="B14243" s="11" t="n">
        <f aca="false">MOD(ROW()-9,24)</f>
        <v>2</v>
      </c>
      <c r="C14243" s="12"/>
      <c r="D14243" s="13" t="n">
        <f aca="false">IF(B14243&lt;5,Einstellungen!$B$3,Einstellungen!$B$4)</f>
        <v>15.92</v>
      </c>
      <c r="E14243" s="14" t="str">
        <f aca="false">IF(C14243="","",C14243*D14243/100)</f>
        <v/>
      </c>
      <c r="F14243" s="15" t="str">
        <f aca="false">IF(B14243&lt;5,"Go","Standard")</f>
        <v>Go</v>
      </c>
    </row>
    <row r="14244" customFormat="false" ht="15" hidden="false" customHeight="true" outlineLevel="0" collapsed="false">
      <c r="A14244" s="10" t="n">
        <f aca="false">Einstellungen!$B$5+INT((ROW()-9)/24)</f>
        <v>46559</v>
      </c>
      <c r="B14244" s="11" t="n">
        <f aca="false">MOD(ROW()-9,24)</f>
        <v>3</v>
      </c>
      <c r="C14244" s="12"/>
      <c r="D14244" s="13" t="n">
        <f aca="false">IF(B14244&lt;5,Einstellungen!$B$3,Einstellungen!$B$4)</f>
        <v>15.92</v>
      </c>
      <c r="E14244" s="14" t="str">
        <f aca="false">IF(C14244="","",C14244*D14244/100)</f>
        <v/>
      </c>
      <c r="F14244" s="15" t="str">
        <f aca="false">IF(B14244&lt;5,"Go","Standard")</f>
        <v>Go</v>
      </c>
    </row>
    <row r="14245" customFormat="false" ht="15" hidden="false" customHeight="true" outlineLevel="0" collapsed="false">
      <c r="A14245" s="10" t="n">
        <f aca="false">Einstellungen!$B$5+INT((ROW()-9)/24)</f>
        <v>46559</v>
      </c>
      <c r="B14245" s="11" t="n">
        <f aca="false">MOD(ROW()-9,24)</f>
        <v>4</v>
      </c>
      <c r="C14245" s="12"/>
      <c r="D14245" s="13" t="n">
        <f aca="false">IF(B14245&lt;5,Einstellungen!$B$3,Einstellungen!$B$4)</f>
        <v>15.92</v>
      </c>
      <c r="E14245" s="14" t="str">
        <f aca="false">IF(C14245="","",C14245*D14245/100)</f>
        <v/>
      </c>
      <c r="F14245" s="15" t="str">
        <f aca="false">IF(B14245&lt;5,"Go","Standard")</f>
        <v>Go</v>
      </c>
    </row>
    <row r="14246" customFormat="false" ht="15" hidden="false" customHeight="true" outlineLevel="0" collapsed="false">
      <c r="A14246" s="10" t="n">
        <f aca="false">Einstellungen!$B$5+INT((ROW()-9)/24)</f>
        <v>46559</v>
      </c>
      <c r="B14246" s="11" t="n">
        <f aca="false">MOD(ROW()-9,24)</f>
        <v>5</v>
      </c>
      <c r="C14246" s="12"/>
      <c r="D14246" s="13" t="n">
        <f aca="false">IF(B14246&lt;5,Einstellungen!$B$3,Einstellungen!$B$4)</f>
        <v>29.13</v>
      </c>
      <c r="E14246" s="14" t="str">
        <f aca="false">IF(C14246="","",C14246*D14246/100)</f>
        <v/>
      </c>
      <c r="F14246" s="15" t="str">
        <f aca="false">IF(B14246&lt;5,"Go","Standard")</f>
        <v>Standard</v>
      </c>
    </row>
    <row r="14247" customFormat="false" ht="15" hidden="false" customHeight="true" outlineLevel="0" collapsed="false">
      <c r="A14247" s="10" t="n">
        <f aca="false">Einstellungen!$B$5+INT((ROW()-9)/24)</f>
        <v>46559</v>
      </c>
      <c r="B14247" s="11" t="n">
        <f aca="false">MOD(ROW()-9,24)</f>
        <v>6</v>
      </c>
      <c r="C14247" s="12"/>
      <c r="D14247" s="13" t="n">
        <f aca="false">IF(B14247&lt;5,Einstellungen!$B$3,Einstellungen!$B$4)</f>
        <v>29.13</v>
      </c>
      <c r="E14247" s="14" t="str">
        <f aca="false">IF(C14247="","",C14247*D14247/100)</f>
        <v/>
      </c>
      <c r="F14247" s="15" t="str">
        <f aca="false">IF(B14247&lt;5,"Go","Standard")</f>
        <v>Standard</v>
      </c>
    </row>
    <row r="14248" customFormat="false" ht="15" hidden="false" customHeight="true" outlineLevel="0" collapsed="false">
      <c r="A14248" s="10" t="n">
        <f aca="false">Einstellungen!$B$5+INT((ROW()-9)/24)</f>
        <v>46559</v>
      </c>
      <c r="B14248" s="11" t="n">
        <f aca="false">MOD(ROW()-9,24)</f>
        <v>7</v>
      </c>
      <c r="C14248" s="12"/>
      <c r="D14248" s="13" t="n">
        <f aca="false">IF(B14248&lt;5,Einstellungen!$B$3,Einstellungen!$B$4)</f>
        <v>29.13</v>
      </c>
      <c r="E14248" s="14" t="str">
        <f aca="false">IF(C14248="","",C14248*D14248/100)</f>
        <v/>
      </c>
      <c r="F14248" s="15" t="str">
        <f aca="false">IF(B14248&lt;5,"Go","Standard")</f>
        <v>Standard</v>
      </c>
    </row>
    <row r="14249" customFormat="false" ht="15" hidden="false" customHeight="true" outlineLevel="0" collapsed="false">
      <c r="A14249" s="10" t="n">
        <f aca="false">Einstellungen!$B$5+INT((ROW()-9)/24)</f>
        <v>46559</v>
      </c>
      <c r="B14249" s="11" t="n">
        <f aca="false">MOD(ROW()-9,24)</f>
        <v>8</v>
      </c>
      <c r="C14249" s="12"/>
      <c r="D14249" s="13" t="n">
        <f aca="false">IF(B14249&lt;5,Einstellungen!$B$3,Einstellungen!$B$4)</f>
        <v>29.13</v>
      </c>
      <c r="E14249" s="14" t="str">
        <f aca="false">IF(C14249="","",C14249*D14249/100)</f>
        <v/>
      </c>
      <c r="F14249" s="15" t="str">
        <f aca="false">IF(B14249&lt;5,"Go","Standard")</f>
        <v>Standard</v>
      </c>
    </row>
    <row r="14250" customFormat="false" ht="15" hidden="false" customHeight="true" outlineLevel="0" collapsed="false">
      <c r="A14250" s="10" t="n">
        <f aca="false">Einstellungen!$B$5+INT((ROW()-9)/24)</f>
        <v>46559</v>
      </c>
      <c r="B14250" s="11" t="n">
        <f aca="false">MOD(ROW()-9,24)</f>
        <v>9</v>
      </c>
      <c r="C14250" s="12"/>
      <c r="D14250" s="13" t="n">
        <f aca="false">IF(B14250&lt;5,Einstellungen!$B$3,Einstellungen!$B$4)</f>
        <v>29.13</v>
      </c>
      <c r="E14250" s="14" t="str">
        <f aca="false">IF(C14250="","",C14250*D14250/100)</f>
        <v/>
      </c>
      <c r="F14250" s="15" t="str">
        <f aca="false">IF(B14250&lt;5,"Go","Standard")</f>
        <v>Standard</v>
      </c>
    </row>
    <row r="14251" customFormat="false" ht="15" hidden="false" customHeight="true" outlineLevel="0" collapsed="false">
      <c r="A14251" s="10" t="n">
        <f aca="false">Einstellungen!$B$5+INT((ROW()-9)/24)</f>
        <v>46559</v>
      </c>
      <c r="B14251" s="11" t="n">
        <f aca="false">MOD(ROW()-9,24)</f>
        <v>10</v>
      </c>
      <c r="C14251" s="12"/>
      <c r="D14251" s="13" t="n">
        <f aca="false">IF(B14251&lt;5,Einstellungen!$B$3,Einstellungen!$B$4)</f>
        <v>29.13</v>
      </c>
      <c r="E14251" s="14" t="str">
        <f aca="false">IF(C14251="","",C14251*D14251/100)</f>
        <v/>
      </c>
      <c r="F14251" s="15" t="str">
        <f aca="false">IF(B14251&lt;5,"Go","Standard")</f>
        <v>Standard</v>
      </c>
    </row>
    <row r="14252" customFormat="false" ht="15" hidden="false" customHeight="true" outlineLevel="0" collapsed="false">
      <c r="A14252" s="10" t="n">
        <f aca="false">Einstellungen!$B$5+INT((ROW()-9)/24)</f>
        <v>46559</v>
      </c>
      <c r="B14252" s="11" t="n">
        <f aca="false">MOD(ROW()-9,24)</f>
        <v>11</v>
      </c>
      <c r="C14252" s="12"/>
      <c r="D14252" s="13" t="n">
        <f aca="false">IF(B14252&lt;5,Einstellungen!$B$3,Einstellungen!$B$4)</f>
        <v>29.13</v>
      </c>
      <c r="E14252" s="14" t="str">
        <f aca="false">IF(C14252="","",C14252*D14252/100)</f>
        <v/>
      </c>
      <c r="F14252" s="15" t="str">
        <f aca="false">IF(B14252&lt;5,"Go","Standard")</f>
        <v>Standard</v>
      </c>
    </row>
    <row r="14253" customFormat="false" ht="15" hidden="false" customHeight="true" outlineLevel="0" collapsed="false">
      <c r="A14253" s="10" t="n">
        <f aca="false">Einstellungen!$B$5+INT((ROW()-9)/24)</f>
        <v>46559</v>
      </c>
      <c r="B14253" s="11" t="n">
        <f aca="false">MOD(ROW()-9,24)</f>
        <v>12</v>
      </c>
      <c r="C14253" s="12"/>
      <c r="D14253" s="13" t="n">
        <f aca="false">IF(B14253&lt;5,Einstellungen!$B$3,Einstellungen!$B$4)</f>
        <v>29.13</v>
      </c>
      <c r="E14253" s="14" t="str">
        <f aca="false">IF(C14253="","",C14253*D14253/100)</f>
        <v/>
      </c>
      <c r="F14253" s="15" t="str">
        <f aca="false">IF(B14253&lt;5,"Go","Standard")</f>
        <v>Standard</v>
      </c>
    </row>
    <row r="14254" customFormat="false" ht="15" hidden="false" customHeight="true" outlineLevel="0" collapsed="false">
      <c r="A14254" s="10" t="n">
        <f aca="false">Einstellungen!$B$5+INT((ROW()-9)/24)</f>
        <v>46559</v>
      </c>
      <c r="B14254" s="11" t="n">
        <f aca="false">MOD(ROW()-9,24)</f>
        <v>13</v>
      </c>
      <c r="C14254" s="12"/>
      <c r="D14254" s="13" t="n">
        <f aca="false">IF(B14254&lt;5,Einstellungen!$B$3,Einstellungen!$B$4)</f>
        <v>29.13</v>
      </c>
      <c r="E14254" s="14" t="str">
        <f aca="false">IF(C14254="","",C14254*D14254/100)</f>
        <v/>
      </c>
      <c r="F14254" s="15" t="str">
        <f aca="false">IF(B14254&lt;5,"Go","Standard")</f>
        <v>Standard</v>
      </c>
    </row>
    <row r="14255" customFormat="false" ht="15" hidden="false" customHeight="true" outlineLevel="0" collapsed="false">
      <c r="A14255" s="10" t="n">
        <f aca="false">Einstellungen!$B$5+INT((ROW()-9)/24)</f>
        <v>46559</v>
      </c>
      <c r="B14255" s="11" t="n">
        <f aca="false">MOD(ROW()-9,24)</f>
        <v>14</v>
      </c>
      <c r="C14255" s="12"/>
      <c r="D14255" s="13" t="n">
        <f aca="false">IF(B14255&lt;5,Einstellungen!$B$3,Einstellungen!$B$4)</f>
        <v>29.13</v>
      </c>
      <c r="E14255" s="14" t="str">
        <f aca="false">IF(C14255="","",C14255*D14255/100)</f>
        <v/>
      </c>
      <c r="F14255" s="15" t="str">
        <f aca="false">IF(B14255&lt;5,"Go","Standard")</f>
        <v>Standard</v>
      </c>
    </row>
    <row r="14256" customFormat="false" ht="15" hidden="false" customHeight="true" outlineLevel="0" collapsed="false">
      <c r="A14256" s="10" t="n">
        <f aca="false">Einstellungen!$B$5+INT((ROW()-9)/24)</f>
        <v>46559</v>
      </c>
      <c r="B14256" s="11" t="n">
        <f aca="false">MOD(ROW()-9,24)</f>
        <v>15</v>
      </c>
      <c r="C14256" s="12"/>
      <c r="D14256" s="13" t="n">
        <f aca="false">IF(B14256&lt;5,Einstellungen!$B$3,Einstellungen!$B$4)</f>
        <v>29.13</v>
      </c>
      <c r="E14256" s="14" t="str">
        <f aca="false">IF(C14256="","",C14256*D14256/100)</f>
        <v/>
      </c>
      <c r="F14256" s="15" t="str">
        <f aca="false">IF(B14256&lt;5,"Go","Standard")</f>
        <v>Standard</v>
      </c>
    </row>
    <row r="14257" customFormat="false" ht="15" hidden="false" customHeight="true" outlineLevel="0" collapsed="false">
      <c r="A14257" s="10" t="n">
        <f aca="false">Einstellungen!$B$5+INT((ROW()-9)/24)</f>
        <v>46559</v>
      </c>
      <c r="B14257" s="11" t="n">
        <f aca="false">MOD(ROW()-9,24)</f>
        <v>16</v>
      </c>
      <c r="C14257" s="12"/>
      <c r="D14257" s="13" t="n">
        <f aca="false">IF(B14257&lt;5,Einstellungen!$B$3,Einstellungen!$B$4)</f>
        <v>29.13</v>
      </c>
      <c r="E14257" s="14" t="str">
        <f aca="false">IF(C14257="","",C14257*D14257/100)</f>
        <v/>
      </c>
      <c r="F14257" s="15" t="str">
        <f aca="false">IF(B14257&lt;5,"Go","Standard")</f>
        <v>Standard</v>
      </c>
    </row>
    <row r="14258" customFormat="false" ht="15" hidden="false" customHeight="true" outlineLevel="0" collapsed="false">
      <c r="A14258" s="10" t="n">
        <f aca="false">Einstellungen!$B$5+INT((ROW()-9)/24)</f>
        <v>46559</v>
      </c>
      <c r="B14258" s="11" t="n">
        <f aca="false">MOD(ROW()-9,24)</f>
        <v>17</v>
      </c>
      <c r="C14258" s="12"/>
      <c r="D14258" s="13" t="n">
        <f aca="false">IF(B14258&lt;5,Einstellungen!$B$3,Einstellungen!$B$4)</f>
        <v>29.13</v>
      </c>
      <c r="E14258" s="14" t="str">
        <f aca="false">IF(C14258="","",C14258*D14258/100)</f>
        <v/>
      </c>
      <c r="F14258" s="15" t="str">
        <f aca="false">IF(B14258&lt;5,"Go","Standard")</f>
        <v>Standard</v>
      </c>
    </row>
    <row r="14259" customFormat="false" ht="15" hidden="false" customHeight="true" outlineLevel="0" collapsed="false">
      <c r="A14259" s="10" t="n">
        <f aca="false">Einstellungen!$B$5+INT((ROW()-9)/24)</f>
        <v>46559</v>
      </c>
      <c r="B14259" s="11" t="n">
        <f aca="false">MOD(ROW()-9,24)</f>
        <v>18</v>
      </c>
      <c r="C14259" s="12"/>
      <c r="D14259" s="13" t="n">
        <f aca="false">IF(B14259&lt;5,Einstellungen!$B$3,Einstellungen!$B$4)</f>
        <v>29.13</v>
      </c>
      <c r="E14259" s="14" t="str">
        <f aca="false">IF(C14259="","",C14259*D14259/100)</f>
        <v/>
      </c>
      <c r="F14259" s="15" t="str">
        <f aca="false">IF(B14259&lt;5,"Go","Standard")</f>
        <v>Standard</v>
      </c>
    </row>
    <row r="14260" customFormat="false" ht="15" hidden="false" customHeight="true" outlineLevel="0" collapsed="false">
      <c r="A14260" s="10" t="n">
        <f aca="false">Einstellungen!$B$5+INT((ROW()-9)/24)</f>
        <v>46559</v>
      </c>
      <c r="B14260" s="11" t="n">
        <f aca="false">MOD(ROW()-9,24)</f>
        <v>19</v>
      </c>
      <c r="C14260" s="12"/>
      <c r="D14260" s="13" t="n">
        <f aca="false">IF(B14260&lt;5,Einstellungen!$B$3,Einstellungen!$B$4)</f>
        <v>29.13</v>
      </c>
      <c r="E14260" s="14" t="str">
        <f aca="false">IF(C14260="","",C14260*D14260/100)</f>
        <v/>
      </c>
      <c r="F14260" s="15" t="str">
        <f aca="false">IF(B14260&lt;5,"Go","Standard")</f>
        <v>Standard</v>
      </c>
    </row>
    <row r="14261" customFormat="false" ht="15" hidden="false" customHeight="true" outlineLevel="0" collapsed="false">
      <c r="A14261" s="10" t="n">
        <f aca="false">Einstellungen!$B$5+INT((ROW()-9)/24)</f>
        <v>46559</v>
      </c>
      <c r="B14261" s="11" t="n">
        <f aca="false">MOD(ROW()-9,24)</f>
        <v>20</v>
      </c>
      <c r="C14261" s="12"/>
      <c r="D14261" s="13" t="n">
        <f aca="false">IF(B14261&lt;5,Einstellungen!$B$3,Einstellungen!$B$4)</f>
        <v>29.13</v>
      </c>
      <c r="E14261" s="14" t="str">
        <f aca="false">IF(C14261="","",C14261*D14261/100)</f>
        <v/>
      </c>
      <c r="F14261" s="15" t="str">
        <f aca="false">IF(B14261&lt;5,"Go","Standard")</f>
        <v>Standard</v>
      </c>
    </row>
    <row r="14262" customFormat="false" ht="15" hidden="false" customHeight="true" outlineLevel="0" collapsed="false">
      <c r="A14262" s="10" t="n">
        <f aca="false">Einstellungen!$B$5+INT((ROW()-9)/24)</f>
        <v>46559</v>
      </c>
      <c r="B14262" s="11" t="n">
        <f aca="false">MOD(ROW()-9,24)</f>
        <v>21</v>
      </c>
      <c r="C14262" s="12"/>
      <c r="D14262" s="13" t="n">
        <f aca="false">IF(B14262&lt;5,Einstellungen!$B$3,Einstellungen!$B$4)</f>
        <v>29.13</v>
      </c>
      <c r="E14262" s="14" t="str">
        <f aca="false">IF(C14262="","",C14262*D14262/100)</f>
        <v/>
      </c>
      <c r="F14262" s="15" t="str">
        <f aca="false">IF(B14262&lt;5,"Go","Standard")</f>
        <v>Standard</v>
      </c>
    </row>
    <row r="14263" customFormat="false" ht="15" hidden="false" customHeight="true" outlineLevel="0" collapsed="false">
      <c r="A14263" s="10" t="n">
        <f aca="false">Einstellungen!$B$5+INT((ROW()-9)/24)</f>
        <v>46559</v>
      </c>
      <c r="B14263" s="11" t="n">
        <f aca="false">MOD(ROW()-9,24)</f>
        <v>22</v>
      </c>
      <c r="C14263" s="12"/>
      <c r="D14263" s="13" t="n">
        <f aca="false">IF(B14263&lt;5,Einstellungen!$B$3,Einstellungen!$B$4)</f>
        <v>29.13</v>
      </c>
      <c r="E14263" s="14" t="str">
        <f aca="false">IF(C14263="","",C14263*D14263/100)</f>
        <v/>
      </c>
      <c r="F14263" s="15" t="str">
        <f aca="false">IF(B14263&lt;5,"Go","Standard")</f>
        <v>Standard</v>
      </c>
    </row>
    <row r="14264" customFormat="false" ht="15" hidden="false" customHeight="true" outlineLevel="0" collapsed="false">
      <c r="A14264" s="10" t="n">
        <f aca="false">Einstellungen!$B$5+INT((ROW()-9)/24)</f>
        <v>46559</v>
      </c>
      <c r="B14264" s="11" t="n">
        <f aca="false">MOD(ROW()-9,24)</f>
        <v>23</v>
      </c>
      <c r="C14264" s="12"/>
      <c r="D14264" s="13" t="n">
        <f aca="false">IF(B14264&lt;5,Einstellungen!$B$3,Einstellungen!$B$4)</f>
        <v>29.13</v>
      </c>
      <c r="E14264" s="14" t="str">
        <f aca="false">IF(C14264="","",C14264*D14264/100)</f>
        <v/>
      </c>
      <c r="F14264" s="15" t="str">
        <f aca="false">IF(B14264&lt;5,"Go","Standard")</f>
        <v>Standard</v>
      </c>
    </row>
    <row r="14265" customFormat="false" ht="15" hidden="false" customHeight="true" outlineLevel="0" collapsed="false">
      <c r="A14265" s="10" t="n">
        <f aca="false">Einstellungen!$B$5+INT((ROW()-9)/24)</f>
        <v>46560</v>
      </c>
      <c r="B14265" s="11" t="n">
        <f aca="false">MOD(ROW()-9,24)</f>
        <v>0</v>
      </c>
      <c r="C14265" s="12"/>
      <c r="D14265" s="13" t="n">
        <f aca="false">IF(B14265&lt;5,Einstellungen!$B$3,Einstellungen!$B$4)</f>
        <v>15.92</v>
      </c>
      <c r="E14265" s="14" t="str">
        <f aca="false">IF(C14265="","",C14265*D14265/100)</f>
        <v/>
      </c>
      <c r="F14265" s="15" t="str">
        <f aca="false">IF(B14265&lt;5,"Go","Standard")</f>
        <v>Go</v>
      </c>
    </row>
    <row r="14266" customFormat="false" ht="15" hidden="false" customHeight="true" outlineLevel="0" collapsed="false">
      <c r="A14266" s="10" t="n">
        <f aca="false">Einstellungen!$B$5+INT((ROW()-9)/24)</f>
        <v>46560</v>
      </c>
      <c r="B14266" s="11" t="n">
        <f aca="false">MOD(ROW()-9,24)</f>
        <v>1</v>
      </c>
      <c r="C14266" s="12"/>
      <c r="D14266" s="13" t="n">
        <f aca="false">IF(B14266&lt;5,Einstellungen!$B$3,Einstellungen!$B$4)</f>
        <v>15.92</v>
      </c>
      <c r="E14266" s="14" t="str">
        <f aca="false">IF(C14266="","",C14266*D14266/100)</f>
        <v/>
      </c>
      <c r="F14266" s="15" t="str">
        <f aca="false">IF(B14266&lt;5,"Go","Standard")</f>
        <v>Go</v>
      </c>
    </row>
    <row r="14267" customFormat="false" ht="15" hidden="false" customHeight="true" outlineLevel="0" collapsed="false">
      <c r="A14267" s="10" t="n">
        <f aca="false">Einstellungen!$B$5+INT((ROW()-9)/24)</f>
        <v>46560</v>
      </c>
      <c r="B14267" s="11" t="n">
        <f aca="false">MOD(ROW()-9,24)</f>
        <v>2</v>
      </c>
      <c r="C14267" s="12"/>
      <c r="D14267" s="13" t="n">
        <f aca="false">IF(B14267&lt;5,Einstellungen!$B$3,Einstellungen!$B$4)</f>
        <v>15.92</v>
      </c>
      <c r="E14267" s="14" t="str">
        <f aca="false">IF(C14267="","",C14267*D14267/100)</f>
        <v/>
      </c>
      <c r="F14267" s="15" t="str">
        <f aca="false">IF(B14267&lt;5,"Go","Standard")</f>
        <v>Go</v>
      </c>
    </row>
    <row r="14268" customFormat="false" ht="15" hidden="false" customHeight="true" outlineLevel="0" collapsed="false">
      <c r="A14268" s="10" t="n">
        <f aca="false">Einstellungen!$B$5+INT((ROW()-9)/24)</f>
        <v>46560</v>
      </c>
      <c r="B14268" s="11" t="n">
        <f aca="false">MOD(ROW()-9,24)</f>
        <v>3</v>
      </c>
      <c r="C14268" s="12"/>
      <c r="D14268" s="13" t="n">
        <f aca="false">IF(B14268&lt;5,Einstellungen!$B$3,Einstellungen!$B$4)</f>
        <v>15.92</v>
      </c>
      <c r="E14268" s="14" t="str">
        <f aca="false">IF(C14268="","",C14268*D14268/100)</f>
        <v/>
      </c>
      <c r="F14268" s="15" t="str">
        <f aca="false">IF(B14268&lt;5,"Go","Standard")</f>
        <v>Go</v>
      </c>
    </row>
    <row r="14269" customFormat="false" ht="15" hidden="false" customHeight="true" outlineLevel="0" collapsed="false">
      <c r="A14269" s="10" t="n">
        <f aca="false">Einstellungen!$B$5+INT((ROW()-9)/24)</f>
        <v>46560</v>
      </c>
      <c r="B14269" s="11" t="n">
        <f aca="false">MOD(ROW()-9,24)</f>
        <v>4</v>
      </c>
      <c r="C14269" s="12"/>
      <c r="D14269" s="13" t="n">
        <f aca="false">IF(B14269&lt;5,Einstellungen!$B$3,Einstellungen!$B$4)</f>
        <v>15.92</v>
      </c>
      <c r="E14269" s="14" t="str">
        <f aca="false">IF(C14269="","",C14269*D14269/100)</f>
        <v/>
      </c>
      <c r="F14269" s="15" t="str">
        <f aca="false">IF(B14269&lt;5,"Go","Standard")</f>
        <v>Go</v>
      </c>
    </row>
    <row r="14270" customFormat="false" ht="15" hidden="false" customHeight="true" outlineLevel="0" collapsed="false">
      <c r="A14270" s="10" t="n">
        <f aca="false">Einstellungen!$B$5+INT((ROW()-9)/24)</f>
        <v>46560</v>
      </c>
      <c r="B14270" s="11" t="n">
        <f aca="false">MOD(ROW()-9,24)</f>
        <v>5</v>
      </c>
      <c r="C14270" s="12"/>
      <c r="D14270" s="13" t="n">
        <f aca="false">IF(B14270&lt;5,Einstellungen!$B$3,Einstellungen!$B$4)</f>
        <v>29.13</v>
      </c>
      <c r="E14270" s="14" t="str">
        <f aca="false">IF(C14270="","",C14270*D14270/100)</f>
        <v/>
      </c>
      <c r="F14270" s="15" t="str">
        <f aca="false">IF(B14270&lt;5,"Go","Standard")</f>
        <v>Standard</v>
      </c>
    </row>
    <row r="14271" customFormat="false" ht="15" hidden="false" customHeight="true" outlineLevel="0" collapsed="false">
      <c r="A14271" s="10" t="n">
        <f aca="false">Einstellungen!$B$5+INT((ROW()-9)/24)</f>
        <v>46560</v>
      </c>
      <c r="B14271" s="11" t="n">
        <f aca="false">MOD(ROW()-9,24)</f>
        <v>6</v>
      </c>
      <c r="C14271" s="12"/>
      <c r="D14271" s="13" t="n">
        <f aca="false">IF(B14271&lt;5,Einstellungen!$B$3,Einstellungen!$B$4)</f>
        <v>29.13</v>
      </c>
      <c r="E14271" s="14" t="str">
        <f aca="false">IF(C14271="","",C14271*D14271/100)</f>
        <v/>
      </c>
      <c r="F14271" s="15" t="str">
        <f aca="false">IF(B14271&lt;5,"Go","Standard")</f>
        <v>Standard</v>
      </c>
    </row>
    <row r="14272" customFormat="false" ht="15" hidden="false" customHeight="true" outlineLevel="0" collapsed="false">
      <c r="A14272" s="10" t="n">
        <f aca="false">Einstellungen!$B$5+INT((ROW()-9)/24)</f>
        <v>46560</v>
      </c>
      <c r="B14272" s="11" t="n">
        <f aca="false">MOD(ROW()-9,24)</f>
        <v>7</v>
      </c>
      <c r="C14272" s="12"/>
      <c r="D14272" s="13" t="n">
        <f aca="false">IF(B14272&lt;5,Einstellungen!$B$3,Einstellungen!$B$4)</f>
        <v>29.13</v>
      </c>
      <c r="E14272" s="14" t="str">
        <f aca="false">IF(C14272="","",C14272*D14272/100)</f>
        <v/>
      </c>
      <c r="F14272" s="15" t="str">
        <f aca="false">IF(B14272&lt;5,"Go","Standard")</f>
        <v>Standard</v>
      </c>
    </row>
    <row r="14273" customFormat="false" ht="15" hidden="false" customHeight="true" outlineLevel="0" collapsed="false">
      <c r="A14273" s="10" t="n">
        <f aca="false">Einstellungen!$B$5+INT((ROW()-9)/24)</f>
        <v>46560</v>
      </c>
      <c r="B14273" s="11" t="n">
        <f aca="false">MOD(ROW()-9,24)</f>
        <v>8</v>
      </c>
      <c r="C14273" s="12"/>
      <c r="D14273" s="13" t="n">
        <f aca="false">IF(B14273&lt;5,Einstellungen!$B$3,Einstellungen!$B$4)</f>
        <v>29.13</v>
      </c>
      <c r="E14273" s="14" t="str">
        <f aca="false">IF(C14273="","",C14273*D14273/100)</f>
        <v/>
      </c>
      <c r="F14273" s="15" t="str">
        <f aca="false">IF(B14273&lt;5,"Go","Standard")</f>
        <v>Standard</v>
      </c>
    </row>
    <row r="14274" customFormat="false" ht="15" hidden="false" customHeight="true" outlineLevel="0" collapsed="false">
      <c r="A14274" s="10" t="n">
        <f aca="false">Einstellungen!$B$5+INT((ROW()-9)/24)</f>
        <v>46560</v>
      </c>
      <c r="B14274" s="11" t="n">
        <f aca="false">MOD(ROW()-9,24)</f>
        <v>9</v>
      </c>
      <c r="C14274" s="12"/>
      <c r="D14274" s="13" t="n">
        <f aca="false">IF(B14274&lt;5,Einstellungen!$B$3,Einstellungen!$B$4)</f>
        <v>29.13</v>
      </c>
      <c r="E14274" s="14" t="str">
        <f aca="false">IF(C14274="","",C14274*D14274/100)</f>
        <v/>
      </c>
      <c r="F14274" s="15" t="str">
        <f aca="false">IF(B14274&lt;5,"Go","Standard")</f>
        <v>Standard</v>
      </c>
    </row>
    <row r="14275" customFormat="false" ht="15" hidden="false" customHeight="true" outlineLevel="0" collapsed="false">
      <c r="A14275" s="10" t="n">
        <f aca="false">Einstellungen!$B$5+INT((ROW()-9)/24)</f>
        <v>46560</v>
      </c>
      <c r="B14275" s="11" t="n">
        <f aca="false">MOD(ROW()-9,24)</f>
        <v>10</v>
      </c>
      <c r="C14275" s="12"/>
      <c r="D14275" s="13" t="n">
        <f aca="false">IF(B14275&lt;5,Einstellungen!$B$3,Einstellungen!$B$4)</f>
        <v>29.13</v>
      </c>
      <c r="E14275" s="14" t="str">
        <f aca="false">IF(C14275="","",C14275*D14275/100)</f>
        <v/>
      </c>
      <c r="F14275" s="15" t="str">
        <f aca="false">IF(B14275&lt;5,"Go","Standard")</f>
        <v>Standard</v>
      </c>
    </row>
    <row r="14276" customFormat="false" ht="15" hidden="false" customHeight="true" outlineLevel="0" collapsed="false">
      <c r="A14276" s="10" t="n">
        <f aca="false">Einstellungen!$B$5+INT((ROW()-9)/24)</f>
        <v>46560</v>
      </c>
      <c r="B14276" s="11" t="n">
        <f aca="false">MOD(ROW()-9,24)</f>
        <v>11</v>
      </c>
      <c r="C14276" s="12"/>
      <c r="D14276" s="13" t="n">
        <f aca="false">IF(B14276&lt;5,Einstellungen!$B$3,Einstellungen!$B$4)</f>
        <v>29.13</v>
      </c>
      <c r="E14276" s="14" t="str">
        <f aca="false">IF(C14276="","",C14276*D14276/100)</f>
        <v/>
      </c>
      <c r="F14276" s="15" t="str">
        <f aca="false">IF(B14276&lt;5,"Go","Standard")</f>
        <v>Standard</v>
      </c>
    </row>
    <row r="14277" customFormat="false" ht="15" hidden="false" customHeight="true" outlineLevel="0" collapsed="false">
      <c r="A14277" s="10" t="n">
        <f aca="false">Einstellungen!$B$5+INT((ROW()-9)/24)</f>
        <v>46560</v>
      </c>
      <c r="B14277" s="11" t="n">
        <f aca="false">MOD(ROW()-9,24)</f>
        <v>12</v>
      </c>
      <c r="C14277" s="12"/>
      <c r="D14277" s="13" t="n">
        <f aca="false">IF(B14277&lt;5,Einstellungen!$B$3,Einstellungen!$B$4)</f>
        <v>29.13</v>
      </c>
      <c r="E14277" s="14" t="str">
        <f aca="false">IF(C14277="","",C14277*D14277/100)</f>
        <v/>
      </c>
      <c r="F14277" s="15" t="str">
        <f aca="false">IF(B14277&lt;5,"Go","Standard")</f>
        <v>Standard</v>
      </c>
    </row>
    <row r="14278" customFormat="false" ht="15" hidden="false" customHeight="true" outlineLevel="0" collapsed="false">
      <c r="A14278" s="10" t="n">
        <f aca="false">Einstellungen!$B$5+INT((ROW()-9)/24)</f>
        <v>46560</v>
      </c>
      <c r="B14278" s="11" t="n">
        <f aca="false">MOD(ROW()-9,24)</f>
        <v>13</v>
      </c>
      <c r="C14278" s="12"/>
      <c r="D14278" s="13" t="n">
        <f aca="false">IF(B14278&lt;5,Einstellungen!$B$3,Einstellungen!$B$4)</f>
        <v>29.13</v>
      </c>
      <c r="E14278" s="14" t="str">
        <f aca="false">IF(C14278="","",C14278*D14278/100)</f>
        <v/>
      </c>
      <c r="F14278" s="15" t="str">
        <f aca="false">IF(B14278&lt;5,"Go","Standard")</f>
        <v>Standard</v>
      </c>
    </row>
    <row r="14279" customFormat="false" ht="15" hidden="false" customHeight="true" outlineLevel="0" collapsed="false">
      <c r="A14279" s="10" t="n">
        <f aca="false">Einstellungen!$B$5+INT((ROW()-9)/24)</f>
        <v>46560</v>
      </c>
      <c r="B14279" s="11" t="n">
        <f aca="false">MOD(ROW()-9,24)</f>
        <v>14</v>
      </c>
      <c r="C14279" s="12"/>
      <c r="D14279" s="13" t="n">
        <f aca="false">IF(B14279&lt;5,Einstellungen!$B$3,Einstellungen!$B$4)</f>
        <v>29.13</v>
      </c>
      <c r="E14279" s="14" t="str">
        <f aca="false">IF(C14279="","",C14279*D14279/100)</f>
        <v/>
      </c>
      <c r="F14279" s="15" t="str">
        <f aca="false">IF(B14279&lt;5,"Go","Standard")</f>
        <v>Standard</v>
      </c>
    </row>
    <row r="14280" customFormat="false" ht="15" hidden="false" customHeight="true" outlineLevel="0" collapsed="false">
      <c r="A14280" s="10" t="n">
        <f aca="false">Einstellungen!$B$5+INT((ROW()-9)/24)</f>
        <v>46560</v>
      </c>
      <c r="B14280" s="11" t="n">
        <f aca="false">MOD(ROW()-9,24)</f>
        <v>15</v>
      </c>
      <c r="C14280" s="12"/>
      <c r="D14280" s="13" t="n">
        <f aca="false">IF(B14280&lt;5,Einstellungen!$B$3,Einstellungen!$B$4)</f>
        <v>29.13</v>
      </c>
      <c r="E14280" s="14" t="str">
        <f aca="false">IF(C14280="","",C14280*D14280/100)</f>
        <v/>
      </c>
      <c r="F14280" s="15" t="str">
        <f aca="false">IF(B14280&lt;5,"Go","Standard")</f>
        <v>Standard</v>
      </c>
    </row>
    <row r="14281" customFormat="false" ht="15" hidden="false" customHeight="true" outlineLevel="0" collapsed="false">
      <c r="A14281" s="10" t="n">
        <f aca="false">Einstellungen!$B$5+INT((ROW()-9)/24)</f>
        <v>46560</v>
      </c>
      <c r="B14281" s="11" t="n">
        <f aca="false">MOD(ROW()-9,24)</f>
        <v>16</v>
      </c>
      <c r="C14281" s="12"/>
      <c r="D14281" s="13" t="n">
        <f aca="false">IF(B14281&lt;5,Einstellungen!$B$3,Einstellungen!$B$4)</f>
        <v>29.13</v>
      </c>
      <c r="E14281" s="14" t="str">
        <f aca="false">IF(C14281="","",C14281*D14281/100)</f>
        <v/>
      </c>
      <c r="F14281" s="15" t="str">
        <f aca="false">IF(B14281&lt;5,"Go","Standard")</f>
        <v>Standard</v>
      </c>
    </row>
    <row r="14282" customFormat="false" ht="15" hidden="false" customHeight="true" outlineLevel="0" collapsed="false">
      <c r="A14282" s="10" t="n">
        <f aca="false">Einstellungen!$B$5+INT((ROW()-9)/24)</f>
        <v>46560</v>
      </c>
      <c r="B14282" s="11" t="n">
        <f aca="false">MOD(ROW()-9,24)</f>
        <v>17</v>
      </c>
      <c r="C14282" s="12"/>
      <c r="D14282" s="13" t="n">
        <f aca="false">IF(B14282&lt;5,Einstellungen!$B$3,Einstellungen!$B$4)</f>
        <v>29.13</v>
      </c>
      <c r="E14282" s="14" t="str">
        <f aca="false">IF(C14282="","",C14282*D14282/100)</f>
        <v/>
      </c>
      <c r="F14282" s="15" t="str">
        <f aca="false">IF(B14282&lt;5,"Go","Standard")</f>
        <v>Standard</v>
      </c>
    </row>
    <row r="14283" customFormat="false" ht="15" hidden="false" customHeight="true" outlineLevel="0" collapsed="false">
      <c r="A14283" s="10" t="n">
        <f aca="false">Einstellungen!$B$5+INT((ROW()-9)/24)</f>
        <v>46560</v>
      </c>
      <c r="B14283" s="11" t="n">
        <f aca="false">MOD(ROW()-9,24)</f>
        <v>18</v>
      </c>
      <c r="C14283" s="12"/>
      <c r="D14283" s="13" t="n">
        <f aca="false">IF(B14283&lt;5,Einstellungen!$B$3,Einstellungen!$B$4)</f>
        <v>29.13</v>
      </c>
      <c r="E14283" s="14" t="str">
        <f aca="false">IF(C14283="","",C14283*D14283/100)</f>
        <v/>
      </c>
      <c r="F14283" s="15" t="str">
        <f aca="false">IF(B14283&lt;5,"Go","Standard")</f>
        <v>Standard</v>
      </c>
    </row>
    <row r="14284" customFormat="false" ht="15" hidden="false" customHeight="true" outlineLevel="0" collapsed="false">
      <c r="A14284" s="10" t="n">
        <f aca="false">Einstellungen!$B$5+INT((ROW()-9)/24)</f>
        <v>46560</v>
      </c>
      <c r="B14284" s="11" t="n">
        <f aca="false">MOD(ROW()-9,24)</f>
        <v>19</v>
      </c>
      <c r="C14284" s="12"/>
      <c r="D14284" s="13" t="n">
        <f aca="false">IF(B14284&lt;5,Einstellungen!$B$3,Einstellungen!$B$4)</f>
        <v>29.13</v>
      </c>
      <c r="E14284" s="14" t="str">
        <f aca="false">IF(C14284="","",C14284*D14284/100)</f>
        <v/>
      </c>
      <c r="F14284" s="15" t="str">
        <f aca="false">IF(B14284&lt;5,"Go","Standard")</f>
        <v>Standard</v>
      </c>
    </row>
    <row r="14285" customFormat="false" ht="15" hidden="false" customHeight="true" outlineLevel="0" collapsed="false">
      <c r="A14285" s="10" t="n">
        <f aca="false">Einstellungen!$B$5+INT((ROW()-9)/24)</f>
        <v>46560</v>
      </c>
      <c r="B14285" s="11" t="n">
        <f aca="false">MOD(ROW()-9,24)</f>
        <v>20</v>
      </c>
      <c r="C14285" s="12"/>
      <c r="D14285" s="13" t="n">
        <f aca="false">IF(B14285&lt;5,Einstellungen!$B$3,Einstellungen!$B$4)</f>
        <v>29.13</v>
      </c>
      <c r="E14285" s="14" t="str">
        <f aca="false">IF(C14285="","",C14285*D14285/100)</f>
        <v/>
      </c>
      <c r="F14285" s="15" t="str">
        <f aca="false">IF(B14285&lt;5,"Go","Standard")</f>
        <v>Standard</v>
      </c>
    </row>
    <row r="14286" customFormat="false" ht="15" hidden="false" customHeight="true" outlineLevel="0" collapsed="false">
      <c r="A14286" s="10" t="n">
        <f aca="false">Einstellungen!$B$5+INT((ROW()-9)/24)</f>
        <v>46560</v>
      </c>
      <c r="B14286" s="11" t="n">
        <f aca="false">MOD(ROW()-9,24)</f>
        <v>21</v>
      </c>
      <c r="C14286" s="12"/>
      <c r="D14286" s="13" t="n">
        <f aca="false">IF(B14286&lt;5,Einstellungen!$B$3,Einstellungen!$B$4)</f>
        <v>29.13</v>
      </c>
      <c r="E14286" s="14" t="str">
        <f aca="false">IF(C14286="","",C14286*D14286/100)</f>
        <v/>
      </c>
      <c r="F14286" s="15" t="str">
        <f aca="false">IF(B14286&lt;5,"Go","Standard")</f>
        <v>Standard</v>
      </c>
    </row>
    <row r="14287" customFormat="false" ht="15" hidden="false" customHeight="true" outlineLevel="0" collapsed="false">
      <c r="A14287" s="10" t="n">
        <f aca="false">Einstellungen!$B$5+INT((ROW()-9)/24)</f>
        <v>46560</v>
      </c>
      <c r="B14287" s="11" t="n">
        <f aca="false">MOD(ROW()-9,24)</f>
        <v>22</v>
      </c>
      <c r="C14287" s="12"/>
      <c r="D14287" s="13" t="n">
        <f aca="false">IF(B14287&lt;5,Einstellungen!$B$3,Einstellungen!$B$4)</f>
        <v>29.13</v>
      </c>
      <c r="E14287" s="14" t="str">
        <f aca="false">IF(C14287="","",C14287*D14287/100)</f>
        <v/>
      </c>
      <c r="F14287" s="15" t="str">
        <f aca="false">IF(B14287&lt;5,"Go","Standard")</f>
        <v>Standard</v>
      </c>
    </row>
    <row r="14288" customFormat="false" ht="15" hidden="false" customHeight="true" outlineLevel="0" collapsed="false">
      <c r="A14288" s="10" t="n">
        <f aca="false">Einstellungen!$B$5+INT((ROW()-9)/24)</f>
        <v>46560</v>
      </c>
      <c r="B14288" s="11" t="n">
        <f aca="false">MOD(ROW()-9,24)</f>
        <v>23</v>
      </c>
      <c r="C14288" s="12"/>
      <c r="D14288" s="13" t="n">
        <f aca="false">IF(B14288&lt;5,Einstellungen!$B$3,Einstellungen!$B$4)</f>
        <v>29.13</v>
      </c>
      <c r="E14288" s="14" t="str">
        <f aca="false">IF(C14288="","",C14288*D14288/100)</f>
        <v/>
      </c>
      <c r="F14288" s="15" t="str">
        <f aca="false">IF(B14288&lt;5,"Go","Standard")</f>
        <v>Standard</v>
      </c>
    </row>
    <row r="14289" customFormat="false" ht="15" hidden="false" customHeight="true" outlineLevel="0" collapsed="false">
      <c r="A14289" s="10" t="n">
        <f aca="false">Einstellungen!$B$5+INT((ROW()-9)/24)</f>
        <v>46561</v>
      </c>
      <c r="B14289" s="11" t="n">
        <f aca="false">MOD(ROW()-9,24)</f>
        <v>0</v>
      </c>
      <c r="C14289" s="12"/>
      <c r="D14289" s="13" t="n">
        <f aca="false">IF(B14289&lt;5,Einstellungen!$B$3,Einstellungen!$B$4)</f>
        <v>15.92</v>
      </c>
      <c r="E14289" s="14" t="str">
        <f aca="false">IF(C14289="","",C14289*D14289/100)</f>
        <v/>
      </c>
      <c r="F14289" s="15" t="str">
        <f aca="false">IF(B14289&lt;5,"Go","Standard")</f>
        <v>Go</v>
      </c>
    </row>
    <row r="14290" customFormat="false" ht="15" hidden="false" customHeight="true" outlineLevel="0" collapsed="false">
      <c r="A14290" s="10" t="n">
        <f aca="false">Einstellungen!$B$5+INT((ROW()-9)/24)</f>
        <v>46561</v>
      </c>
      <c r="B14290" s="11" t="n">
        <f aca="false">MOD(ROW()-9,24)</f>
        <v>1</v>
      </c>
      <c r="C14290" s="12"/>
      <c r="D14290" s="13" t="n">
        <f aca="false">IF(B14290&lt;5,Einstellungen!$B$3,Einstellungen!$B$4)</f>
        <v>15.92</v>
      </c>
      <c r="E14290" s="14" t="str">
        <f aca="false">IF(C14290="","",C14290*D14290/100)</f>
        <v/>
      </c>
      <c r="F14290" s="15" t="str">
        <f aca="false">IF(B14290&lt;5,"Go","Standard")</f>
        <v>Go</v>
      </c>
    </row>
    <row r="14291" customFormat="false" ht="15" hidden="false" customHeight="true" outlineLevel="0" collapsed="false">
      <c r="A14291" s="10" t="n">
        <f aca="false">Einstellungen!$B$5+INT((ROW()-9)/24)</f>
        <v>46561</v>
      </c>
      <c r="B14291" s="11" t="n">
        <f aca="false">MOD(ROW()-9,24)</f>
        <v>2</v>
      </c>
      <c r="C14291" s="12"/>
      <c r="D14291" s="13" t="n">
        <f aca="false">IF(B14291&lt;5,Einstellungen!$B$3,Einstellungen!$B$4)</f>
        <v>15.92</v>
      </c>
      <c r="E14291" s="14" t="str">
        <f aca="false">IF(C14291="","",C14291*D14291/100)</f>
        <v/>
      </c>
      <c r="F14291" s="15" t="str">
        <f aca="false">IF(B14291&lt;5,"Go","Standard")</f>
        <v>Go</v>
      </c>
    </row>
    <row r="14292" customFormat="false" ht="15" hidden="false" customHeight="true" outlineLevel="0" collapsed="false">
      <c r="A14292" s="10" t="n">
        <f aca="false">Einstellungen!$B$5+INT((ROW()-9)/24)</f>
        <v>46561</v>
      </c>
      <c r="B14292" s="11" t="n">
        <f aca="false">MOD(ROW()-9,24)</f>
        <v>3</v>
      </c>
      <c r="C14292" s="12"/>
      <c r="D14292" s="13" t="n">
        <f aca="false">IF(B14292&lt;5,Einstellungen!$B$3,Einstellungen!$B$4)</f>
        <v>15.92</v>
      </c>
      <c r="E14292" s="14" t="str">
        <f aca="false">IF(C14292="","",C14292*D14292/100)</f>
        <v/>
      </c>
      <c r="F14292" s="15" t="str">
        <f aca="false">IF(B14292&lt;5,"Go","Standard")</f>
        <v>Go</v>
      </c>
    </row>
    <row r="14293" customFormat="false" ht="15" hidden="false" customHeight="true" outlineLevel="0" collapsed="false">
      <c r="A14293" s="10" t="n">
        <f aca="false">Einstellungen!$B$5+INT((ROW()-9)/24)</f>
        <v>46561</v>
      </c>
      <c r="B14293" s="11" t="n">
        <f aca="false">MOD(ROW()-9,24)</f>
        <v>4</v>
      </c>
      <c r="C14293" s="12"/>
      <c r="D14293" s="13" t="n">
        <f aca="false">IF(B14293&lt;5,Einstellungen!$B$3,Einstellungen!$B$4)</f>
        <v>15.92</v>
      </c>
      <c r="E14293" s="14" t="str">
        <f aca="false">IF(C14293="","",C14293*D14293/100)</f>
        <v/>
      </c>
      <c r="F14293" s="15" t="str">
        <f aca="false">IF(B14293&lt;5,"Go","Standard")</f>
        <v>Go</v>
      </c>
    </row>
    <row r="14294" customFormat="false" ht="15" hidden="false" customHeight="true" outlineLevel="0" collapsed="false">
      <c r="A14294" s="10" t="n">
        <f aca="false">Einstellungen!$B$5+INT((ROW()-9)/24)</f>
        <v>46561</v>
      </c>
      <c r="B14294" s="11" t="n">
        <f aca="false">MOD(ROW()-9,24)</f>
        <v>5</v>
      </c>
      <c r="C14294" s="12"/>
      <c r="D14294" s="13" t="n">
        <f aca="false">IF(B14294&lt;5,Einstellungen!$B$3,Einstellungen!$B$4)</f>
        <v>29.13</v>
      </c>
      <c r="E14294" s="14" t="str">
        <f aca="false">IF(C14294="","",C14294*D14294/100)</f>
        <v/>
      </c>
      <c r="F14294" s="15" t="str">
        <f aca="false">IF(B14294&lt;5,"Go","Standard")</f>
        <v>Standard</v>
      </c>
    </row>
    <row r="14295" customFormat="false" ht="15" hidden="false" customHeight="true" outlineLevel="0" collapsed="false">
      <c r="A14295" s="10" t="n">
        <f aca="false">Einstellungen!$B$5+INT((ROW()-9)/24)</f>
        <v>46561</v>
      </c>
      <c r="B14295" s="11" t="n">
        <f aca="false">MOD(ROW()-9,24)</f>
        <v>6</v>
      </c>
      <c r="C14295" s="12"/>
      <c r="D14295" s="13" t="n">
        <f aca="false">IF(B14295&lt;5,Einstellungen!$B$3,Einstellungen!$B$4)</f>
        <v>29.13</v>
      </c>
      <c r="E14295" s="14" t="str">
        <f aca="false">IF(C14295="","",C14295*D14295/100)</f>
        <v/>
      </c>
      <c r="F14295" s="15" t="str">
        <f aca="false">IF(B14295&lt;5,"Go","Standard")</f>
        <v>Standard</v>
      </c>
    </row>
    <row r="14296" customFormat="false" ht="15" hidden="false" customHeight="true" outlineLevel="0" collapsed="false">
      <c r="A14296" s="10" t="n">
        <f aca="false">Einstellungen!$B$5+INT((ROW()-9)/24)</f>
        <v>46561</v>
      </c>
      <c r="B14296" s="11" t="n">
        <f aca="false">MOD(ROW()-9,24)</f>
        <v>7</v>
      </c>
      <c r="C14296" s="12"/>
      <c r="D14296" s="13" t="n">
        <f aca="false">IF(B14296&lt;5,Einstellungen!$B$3,Einstellungen!$B$4)</f>
        <v>29.13</v>
      </c>
      <c r="E14296" s="14" t="str">
        <f aca="false">IF(C14296="","",C14296*D14296/100)</f>
        <v/>
      </c>
      <c r="F14296" s="15" t="str">
        <f aca="false">IF(B14296&lt;5,"Go","Standard")</f>
        <v>Standard</v>
      </c>
    </row>
    <row r="14297" customFormat="false" ht="15" hidden="false" customHeight="true" outlineLevel="0" collapsed="false">
      <c r="A14297" s="10" t="n">
        <f aca="false">Einstellungen!$B$5+INT((ROW()-9)/24)</f>
        <v>46561</v>
      </c>
      <c r="B14297" s="11" t="n">
        <f aca="false">MOD(ROW()-9,24)</f>
        <v>8</v>
      </c>
      <c r="C14297" s="12"/>
      <c r="D14297" s="13" t="n">
        <f aca="false">IF(B14297&lt;5,Einstellungen!$B$3,Einstellungen!$B$4)</f>
        <v>29.13</v>
      </c>
      <c r="E14297" s="14" t="str">
        <f aca="false">IF(C14297="","",C14297*D14297/100)</f>
        <v/>
      </c>
      <c r="F14297" s="15" t="str">
        <f aca="false">IF(B14297&lt;5,"Go","Standard")</f>
        <v>Standard</v>
      </c>
    </row>
    <row r="14298" customFormat="false" ht="15" hidden="false" customHeight="true" outlineLevel="0" collapsed="false">
      <c r="A14298" s="10" t="n">
        <f aca="false">Einstellungen!$B$5+INT((ROW()-9)/24)</f>
        <v>46561</v>
      </c>
      <c r="B14298" s="11" t="n">
        <f aca="false">MOD(ROW()-9,24)</f>
        <v>9</v>
      </c>
      <c r="C14298" s="12"/>
      <c r="D14298" s="13" t="n">
        <f aca="false">IF(B14298&lt;5,Einstellungen!$B$3,Einstellungen!$B$4)</f>
        <v>29.13</v>
      </c>
      <c r="E14298" s="14" t="str">
        <f aca="false">IF(C14298="","",C14298*D14298/100)</f>
        <v/>
      </c>
      <c r="F14298" s="15" t="str">
        <f aca="false">IF(B14298&lt;5,"Go","Standard")</f>
        <v>Standard</v>
      </c>
    </row>
    <row r="14299" customFormat="false" ht="15" hidden="false" customHeight="true" outlineLevel="0" collapsed="false">
      <c r="A14299" s="10" t="n">
        <f aca="false">Einstellungen!$B$5+INT((ROW()-9)/24)</f>
        <v>46561</v>
      </c>
      <c r="B14299" s="11" t="n">
        <f aca="false">MOD(ROW()-9,24)</f>
        <v>10</v>
      </c>
      <c r="C14299" s="12"/>
      <c r="D14299" s="13" t="n">
        <f aca="false">IF(B14299&lt;5,Einstellungen!$B$3,Einstellungen!$B$4)</f>
        <v>29.13</v>
      </c>
      <c r="E14299" s="14" t="str">
        <f aca="false">IF(C14299="","",C14299*D14299/100)</f>
        <v/>
      </c>
      <c r="F14299" s="15" t="str">
        <f aca="false">IF(B14299&lt;5,"Go","Standard")</f>
        <v>Standard</v>
      </c>
    </row>
    <row r="14300" customFormat="false" ht="15" hidden="false" customHeight="true" outlineLevel="0" collapsed="false">
      <c r="A14300" s="10" t="n">
        <f aca="false">Einstellungen!$B$5+INT((ROW()-9)/24)</f>
        <v>46561</v>
      </c>
      <c r="B14300" s="11" t="n">
        <f aca="false">MOD(ROW()-9,24)</f>
        <v>11</v>
      </c>
      <c r="C14300" s="12"/>
      <c r="D14300" s="13" t="n">
        <f aca="false">IF(B14300&lt;5,Einstellungen!$B$3,Einstellungen!$B$4)</f>
        <v>29.13</v>
      </c>
      <c r="E14300" s="14" t="str">
        <f aca="false">IF(C14300="","",C14300*D14300/100)</f>
        <v/>
      </c>
      <c r="F14300" s="15" t="str">
        <f aca="false">IF(B14300&lt;5,"Go","Standard")</f>
        <v>Standard</v>
      </c>
    </row>
    <row r="14301" customFormat="false" ht="15" hidden="false" customHeight="true" outlineLevel="0" collapsed="false">
      <c r="A14301" s="10" t="n">
        <f aca="false">Einstellungen!$B$5+INT((ROW()-9)/24)</f>
        <v>46561</v>
      </c>
      <c r="B14301" s="11" t="n">
        <f aca="false">MOD(ROW()-9,24)</f>
        <v>12</v>
      </c>
      <c r="C14301" s="12"/>
      <c r="D14301" s="13" t="n">
        <f aca="false">IF(B14301&lt;5,Einstellungen!$B$3,Einstellungen!$B$4)</f>
        <v>29.13</v>
      </c>
      <c r="E14301" s="14" t="str">
        <f aca="false">IF(C14301="","",C14301*D14301/100)</f>
        <v/>
      </c>
      <c r="F14301" s="15" t="str">
        <f aca="false">IF(B14301&lt;5,"Go","Standard")</f>
        <v>Standard</v>
      </c>
    </row>
    <row r="14302" customFormat="false" ht="15" hidden="false" customHeight="true" outlineLevel="0" collapsed="false">
      <c r="A14302" s="10" t="n">
        <f aca="false">Einstellungen!$B$5+INT((ROW()-9)/24)</f>
        <v>46561</v>
      </c>
      <c r="B14302" s="11" t="n">
        <f aca="false">MOD(ROW()-9,24)</f>
        <v>13</v>
      </c>
      <c r="C14302" s="12"/>
      <c r="D14302" s="13" t="n">
        <f aca="false">IF(B14302&lt;5,Einstellungen!$B$3,Einstellungen!$B$4)</f>
        <v>29.13</v>
      </c>
      <c r="E14302" s="14" t="str">
        <f aca="false">IF(C14302="","",C14302*D14302/100)</f>
        <v/>
      </c>
      <c r="F14302" s="15" t="str">
        <f aca="false">IF(B14302&lt;5,"Go","Standard")</f>
        <v>Standard</v>
      </c>
    </row>
    <row r="14303" customFormat="false" ht="15" hidden="false" customHeight="true" outlineLevel="0" collapsed="false">
      <c r="A14303" s="10" t="n">
        <f aca="false">Einstellungen!$B$5+INT((ROW()-9)/24)</f>
        <v>46561</v>
      </c>
      <c r="B14303" s="11" t="n">
        <f aca="false">MOD(ROW()-9,24)</f>
        <v>14</v>
      </c>
      <c r="C14303" s="12"/>
      <c r="D14303" s="13" t="n">
        <f aca="false">IF(B14303&lt;5,Einstellungen!$B$3,Einstellungen!$B$4)</f>
        <v>29.13</v>
      </c>
      <c r="E14303" s="14" t="str">
        <f aca="false">IF(C14303="","",C14303*D14303/100)</f>
        <v/>
      </c>
      <c r="F14303" s="15" t="str">
        <f aca="false">IF(B14303&lt;5,"Go","Standard")</f>
        <v>Standard</v>
      </c>
    </row>
    <row r="14304" customFormat="false" ht="15" hidden="false" customHeight="true" outlineLevel="0" collapsed="false">
      <c r="A14304" s="10" t="n">
        <f aca="false">Einstellungen!$B$5+INT((ROW()-9)/24)</f>
        <v>46561</v>
      </c>
      <c r="B14304" s="11" t="n">
        <f aca="false">MOD(ROW()-9,24)</f>
        <v>15</v>
      </c>
      <c r="C14304" s="12"/>
      <c r="D14304" s="13" t="n">
        <f aca="false">IF(B14304&lt;5,Einstellungen!$B$3,Einstellungen!$B$4)</f>
        <v>29.13</v>
      </c>
      <c r="E14304" s="14" t="str">
        <f aca="false">IF(C14304="","",C14304*D14304/100)</f>
        <v/>
      </c>
      <c r="F14304" s="15" t="str">
        <f aca="false">IF(B14304&lt;5,"Go","Standard")</f>
        <v>Standard</v>
      </c>
    </row>
    <row r="14305" customFormat="false" ht="15" hidden="false" customHeight="true" outlineLevel="0" collapsed="false">
      <c r="A14305" s="10" t="n">
        <f aca="false">Einstellungen!$B$5+INT((ROW()-9)/24)</f>
        <v>46561</v>
      </c>
      <c r="B14305" s="11" t="n">
        <f aca="false">MOD(ROW()-9,24)</f>
        <v>16</v>
      </c>
      <c r="C14305" s="12"/>
      <c r="D14305" s="13" t="n">
        <f aca="false">IF(B14305&lt;5,Einstellungen!$B$3,Einstellungen!$B$4)</f>
        <v>29.13</v>
      </c>
      <c r="E14305" s="14" t="str">
        <f aca="false">IF(C14305="","",C14305*D14305/100)</f>
        <v/>
      </c>
      <c r="F14305" s="15" t="str">
        <f aca="false">IF(B14305&lt;5,"Go","Standard")</f>
        <v>Standard</v>
      </c>
    </row>
    <row r="14306" customFormat="false" ht="15" hidden="false" customHeight="true" outlineLevel="0" collapsed="false">
      <c r="A14306" s="10" t="n">
        <f aca="false">Einstellungen!$B$5+INT((ROW()-9)/24)</f>
        <v>46561</v>
      </c>
      <c r="B14306" s="11" t="n">
        <f aca="false">MOD(ROW()-9,24)</f>
        <v>17</v>
      </c>
      <c r="C14306" s="12"/>
      <c r="D14306" s="13" t="n">
        <f aca="false">IF(B14306&lt;5,Einstellungen!$B$3,Einstellungen!$B$4)</f>
        <v>29.13</v>
      </c>
      <c r="E14306" s="14" t="str">
        <f aca="false">IF(C14306="","",C14306*D14306/100)</f>
        <v/>
      </c>
      <c r="F14306" s="15" t="str">
        <f aca="false">IF(B14306&lt;5,"Go","Standard")</f>
        <v>Standard</v>
      </c>
    </row>
    <row r="14307" customFormat="false" ht="15" hidden="false" customHeight="true" outlineLevel="0" collapsed="false">
      <c r="A14307" s="10" t="n">
        <f aca="false">Einstellungen!$B$5+INT((ROW()-9)/24)</f>
        <v>46561</v>
      </c>
      <c r="B14307" s="11" t="n">
        <f aca="false">MOD(ROW()-9,24)</f>
        <v>18</v>
      </c>
      <c r="C14307" s="12"/>
      <c r="D14307" s="13" t="n">
        <f aca="false">IF(B14307&lt;5,Einstellungen!$B$3,Einstellungen!$B$4)</f>
        <v>29.13</v>
      </c>
      <c r="E14307" s="14" t="str">
        <f aca="false">IF(C14307="","",C14307*D14307/100)</f>
        <v/>
      </c>
      <c r="F14307" s="15" t="str">
        <f aca="false">IF(B14307&lt;5,"Go","Standard")</f>
        <v>Standard</v>
      </c>
    </row>
    <row r="14308" customFormat="false" ht="15" hidden="false" customHeight="true" outlineLevel="0" collapsed="false">
      <c r="A14308" s="10" t="n">
        <f aca="false">Einstellungen!$B$5+INT((ROW()-9)/24)</f>
        <v>46561</v>
      </c>
      <c r="B14308" s="11" t="n">
        <f aca="false">MOD(ROW()-9,24)</f>
        <v>19</v>
      </c>
      <c r="C14308" s="12"/>
      <c r="D14308" s="13" t="n">
        <f aca="false">IF(B14308&lt;5,Einstellungen!$B$3,Einstellungen!$B$4)</f>
        <v>29.13</v>
      </c>
      <c r="E14308" s="14" t="str">
        <f aca="false">IF(C14308="","",C14308*D14308/100)</f>
        <v/>
      </c>
      <c r="F14308" s="15" t="str">
        <f aca="false">IF(B14308&lt;5,"Go","Standard")</f>
        <v>Standard</v>
      </c>
    </row>
    <row r="14309" customFormat="false" ht="15" hidden="false" customHeight="true" outlineLevel="0" collapsed="false">
      <c r="A14309" s="10" t="n">
        <f aca="false">Einstellungen!$B$5+INT((ROW()-9)/24)</f>
        <v>46561</v>
      </c>
      <c r="B14309" s="11" t="n">
        <f aca="false">MOD(ROW()-9,24)</f>
        <v>20</v>
      </c>
      <c r="C14309" s="12"/>
      <c r="D14309" s="13" t="n">
        <f aca="false">IF(B14309&lt;5,Einstellungen!$B$3,Einstellungen!$B$4)</f>
        <v>29.13</v>
      </c>
      <c r="E14309" s="14" t="str">
        <f aca="false">IF(C14309="","",C14309*D14309/100)</f>
        <v/>
      </c>
      <c r="F14309" s="15" t="str">
        <f aca="false">IF(B14309&lt;5,"Go","Standard")</f>
        <v>Standard</v>
      </c>
    </row>
    <row r="14310" customFormat="false" ht="15" hidden="false" customHeight="true" outlineLevel="0" collapsed="false">
      <c r="A14310" s="10" t="n">
        <f aca="false">Einstellungen!$B$5+INT((ROW()-9)/24)</f>
        <v>46561</v>
      </c>
      <c r="B14310" s="11" t="n">
        <f aca="false">MOD(ROW()-9,24)</f>
        <v>21</v>
      </c>
      <c r="C14310" s="12"/>
      <c r="D14310" s="13" t="n">
        <f aca="false">IF(B14310&lt;5,Einstellungen!$B$3,Einstellungen!$B$4)</f>
        <v>29.13</v>
      </c>
      <c r="E14310" s="14" t="str">
        <f aca="false">IF(C14310="","",C14310*D14310/100)</f>
        <v/>
      </c>
      <c r="F14310" s="15" t="str">
        <f aca="false">IF(B14310&lt;5,"Go","Standard")</f>
        <v>Standard</v>
      </c>
    </row>
    <row r="14311" customFormat="false" ht="15" hidden="false" customHeight="true" outlineLevel="0" collapsed="false">
      <c r="A14311" s="10" t="n">
        <f aca="false">Einstellungen!$B$5+INT((ROW()-9)/24)</f>
        <v>46561</v>
      </c>
      <c r="B14311" s="11" t="n">
        <f aca="false">MOD(ROW()-9,24)</f>
        <v>22</v>
      </c>
      <c r="C14311" s="12"/>
      <c r="D14311" s="13" t="n">
        <f aca="false">IF(B14311&lt;5,Einstellungen!$B$3,Einstellungen!$B$4)</f>
        <v>29.13</v>
      </c>
      <c r="E14311" s="14" t="str">
        <f aca="false">IF(C14311="","",C14311*D14311/100)</f>
        <v/>
      </c>
      <c r="F14311" s="15" t="str">
        <f aca="false">IF(B14311&lt;5,"Go","Standard")</f>
        <v>Standard</v>
      </c>
    </row>
    <row r="14312" customFormat="false" ht="15" hidden="false" customHeight="true" outlineLevel="0" collapsed="false">
      <c r="A14312" s="10" t="n">
        <f aca="false">Einstellungen!$B$5+INT((ROW()-9)/24)</f>
        <v>46561</v>
      </c>
      <c r="B14312" s="11" t="n">
        <f aca="false">MOD(ROW()-9,24)</f>
        <v>23</v>
      </c>
      <c r="C14312" s="12"/>
      <c r="D14312" s="13" t="n">
        <f aca="false">IF(B14312&lt;5,Einstellungen!$B$3,Einstellungen!$B$4)</f>
        <v>29.13</v>
      </c>
      <c r="E14312" s="14" t="str">
        <f aca="false">IF(C14312="","",C14312*D14312/100)</f>
        <v/>
      </c>
      <c r="F14312" s="15" t="str">
        <f aca="false">IF(B14312&lt;5,"Go","Standard")</f>
        <v>Standard</v>
      </c>
    </row>
    <row r="14313" customFormat="false" ht="15" hidden="false" customHeight="true" outlineLevel="0" collapsed="false">
      <c r="A14313" s="10" t="n">
        <f aca="false">Einstellungen!$B$5+INT((ROW()-9)/24)</f>
        <v>46562</v>
      </c>
      <c r="B14313" s="11" t="n">
        <f aca="false">MOD(ROW()-9,24)</f>
        <v>0</v>
      </c>
      <c r="C14313" s="12"/>
      <c r="D14313" s="13" t="n">
        <f aca="false">IF(B14313&lt;5,Einstellungen!$B$3,Einstellungen!$B$4)</f>
        <v>15.92</v>
      </c>
      <c r="E14313" s="14" t="str">
        <f aca="false">IF(C14313="","",C14313*D14313/100)</f>
        <v/>
      </c>
      <c r="F14313" s="15" t="str">
        <f aca="false">IF(B14313&lt;5,"Go","Standard")</f>
        <v>Go</v>
      </c>
    </row>
    <row r="14314" customFormat="false" ht="15" hidden="false" customHeight="true" outlineLevel="0" collapsed="false">
      <c r="A14314" s="10" t="n">
        <f aca="false">Einstellungen!$B$5+INT((ROW()-9)/24)</f>
        <v>46562</v>
      </c>
      <c r="B14314" s="11" t="n">
        <f aca="false">MOD(ROW()-9,24)</f>
        <v>1</v>
      </c>
      <c r="C14314" s="12"/>
      <c r="D14314" s="13" t="n">
        <f aca="false">IF(B14314&lt;5,Einstellungen!$B$3,Einstellungen!$B$4)</f>
        <v>15.92</v>
      </c>
      <c r="E14314" s="14" t="str">
        <f aca="false">IF(C14314="","",C14314*D14314/100)</f>
        <v/>
      </c>
      <c r="F14314" s="15" t="str">
        <f aca="false">IF(B14314&lt;5,"Go","Standard")</f>
        <v>Go</v>
      </c>
    </row>
    <row r="14315" customFormat="false" ht="15" hidden="false" customHeight="true" outlineLevel="0" collapsed="false">
      <c r="A14315" s="10" t="n">
        <f aca="false">Einstellungen!$B$5+INT((ROW()-9)/24)</f>
        <v>46562</v>
      </c>
      <c r="B14315" s="11" t="n">
        <f aca="false">MOD(ROW()-9,24)</f>
        <v>2</v>
      </c>
      <c r="C14315" s="12"/>
      <c r="D14315" s="13" t="n">
        <f aca="false">IF(B14315&lt;5,Einstellungen!$B$3,Einstellungen!$B$4)</f>
        <v>15.92</v>
      </c>
      <c r="E14315" s="14" t="str">
        <f aca="false">IF(C14315="","",C14315*D14315/100)</f>
        <v/>
      </c>
      <c r="F14315" s="15" t="str">
        <f aca="false">IF(B14315&lt;5,"Go","Standard")</f>
        <v>Go</v>
      </c>
    </row>
    <row r="14316" customFormat="false" ht="15" hidden="false" customHeight="true" outlineLevel="0" collapsed="false">
      <c r="A14316" s="10" t="n">
        <f aca="false">Einstellungen!$B$5+INT((ROW()-9)/24)</f>
        <v>46562</v>
      </c>
      <c r="B14316" s="11" t="n">
        <f aca="false">MOD(ROW()-9,24)</f>
        <v>3</v>
      </c>
      <c r="C14316" s="12"/>
      <c r="D14316" s="13" t="n">
        <f aca="false">IF(B14316&lt;5,Einstellungen!$B$3,Einstellungen!$B$4)</f>
        <v>15.92</v>
      </c>
      <c r="E14316" s="14" t="str">
        <f aca="false">IF(C14316="","",C14316*D14316/100)</f>
        <v/>
      </c>
      <c r="F14316" s="15" t="str">
        <f aca="false">IF(B14316&lt;5,"Go","Standard")</f>
        <v>Go</v>
      </c>
    </row>
    <row r="14317" customFormat="false" ht="15" hidden="false" customHeight="true" outlineLevel="0" collapsed="false">
      <c r="A14317" s="10" t="n">
        <f aca="false">Einstellungen!$B$5+INT((ROW()-9)/24)</f>
        <v>46562</v>
      </c>
      <c r="B14317" s="11" t="n">
        <f aca="false">MOD(ROW()-9,24)</f>
        <v>4</v>
      </c>
      <c r="C14317" s="12"/>
      <c r="D14317" s="13" t="n">
        <f aca="false">IF(B14317&lt;5,Einstellungen!$B$3,Einstellungen!$B$4)</f>
        <v>15.92</v>
      </c>
      <c r="E14317" s="14" t="str">
        <f aca="false">IF(C14317="","",C14317*D14317/100)</f>
        <v/>
      </c>
      <c r="F14317" s="15" t="str">
        <f aca="false">IF(B14317&lt;5,"Go","Standard")</f>
        <v>Go</v>
      </c>
    </row>
    <row r="14318" customFormat="false" ht="15" hidden="false" customHeight="true" outlineLevel="0" collapsed="false">
      <c r="A14318" s="10" t="n">
        <f aca="false">Einstellungen!$B$5+INT((ROW()-9)/24)</f>
        <v>46562</v>
      </c>
      <c r="B14318" s="11" t="n">
        <f aca="false">MOD(ROW()-9,24)</f>
        <v>5</v>
      </c>
      <c r="C14318" s="12"/>
      <c r="D14318" s="13" t="n">
        <f aca="false">IF(B14318&lt;5,Einstellungen!$B$3,Einstellungen!$B$4)</f>
        <v>29.13</v>
      </c>
      <c r="E14318" s="14" t="str">
        <f aca="false">IF(C14318="","",C14318*D14318/100)</f>
        <v/>
      </c>
      <c r="F14318" s="15" t="str">
        <f aca="false">IF(B14318&lt;5,"Go","Standard")</f>
        <v>Standard</v>
      </c>
    </row>
    <row r="14319" customFormat="false" ht="15" hidden="false" customHeight="true" outlineLevel="0" collapsed="false">
      <c r="A14319" s="10" t="n">
        <f aca="false">Einstellungen!$B$5+INT((ROW()-9)/24)</f>
        <v>46562</v>
      </c>
      <c r="B14319" s="11" t="n">
        <f aca="false">MOD(ROW()-9,24)</f>
        <v>6</v>
      </c>
      <c r="C14319" s="12"/>
      <c r="D14319" s="13" t="n">
        <f aca="false">IF(B14319&lt;5,Einstellungen!$B$3,Einstellungen!$B$4)</f>
        <v>29.13</v>
      </c>
      <c r="E14319" s="14" t="str">
        <f aca="false">IF(C14319="","",C14319*D14319/100)</f>
        <v/>
      </c>
      <c r="F14319" s="15" t="str">
        <f aca="false">IF(B14319&lt;5,"Go","Standard")</f>
        <v>Standard</v>
      </c>
    </row>
    <row r="14320" customFormat="false" ht="15" hidden="false" customHeight="true" outlineLevel="0" collapsed="false">
      <c r="A14320" s="10" t="n">
        <f aca="false">Einstellungen!$B$5+INT((ROW()-9)/24)</f>
        <v>46562</v>
      </c>
      <c r="B14320" s="11" t="n">
        <f aca="false">MOD(ROW()-9,24)</f>
        <v>7</v>
      </c>
      <c r="C14320" s="12"/>
      <c r="D14320" s="13" t="n">
        <f aca="false">IF(B14320&lt;5,Einstellungen!$B$3,Einstellungen!$B$4)</f>
        <v>29.13</v>
      </c>
      <c r="E14320" s="14" t="str">
        <f aca="false">IF(C14320="","",C14320*D14320/100)</f>
        <v/>
      </c>
      <c r="F14320" s="15" t="str">
        <f aca="false">IF(B14320&lt;5,"Go","Standard")</f>
        <v>Standard</v>
      </c>
    </row>
    <row r="14321" customFormat="false" ht="15" hidden="false" customHeight="true" outlineLevel="0" collapsed="false">
      <c r="A14321" s="10" t="n">
        <f aca="false">Einstellungen!$B$5+INT((ROW()-9)/24)</f>
        <v>46562</v>
      </c>
      <c r="B14321" s="11" t="n">
        <f aca="false">MOD(ROW()-9,24)</f>
        <v>8</v>
      </c>
      <c r="C14321" s="12"/>
      <c r="D14321" s="13" t="n">
        <f aca="false">IF(B14321&lt;5,Einstellungen!$B$3,Einstellungen!$B$4)</f>
        <v>29.13</v>
      </c>
      <c r="E14321" s="14" t="str">
        <f aca="false">IF(C14321="","",C14321*D14321/100)</f>
        <v/>
      </c>
      <c r="F14321" s="15" t="str">
        <f aca="false">IF(B14321&lt;5,"Go","Standard")</f>
        <v>Standard</v>
      </c>
    </row>
    <row r="14322" customFormat="false" ht="15" hidden="false" customHeight="true" outlineLevel="0" collapsed="false">
      <c r="A14322" s="10" t="n">
        <f aca="false">Einstellungen!$B$5+INT((ROW()-9)/24)</f>
        <v>46562</v>
      </c>
      <c r="B14322" s="11" t="n">
        <f aca="false">MOD(ROW()-9,24)</f>
        <v>9</v>
      </c>
      <c r="C14322" s="12"/>
      <c r="D14322" s="13" t="n">
        <f aca="false">IF(B14322&lt;5,Einstellungen!$B$3,Einstellungen!$B$4)</f>
        <v>29.13</v>
      </c>
      <c r="E14322" s="14" t="str">
        <f aca="false">IF(C14322="","",C14322*D14322/100)</f>
        <v/>
      </c>
      <c r="F14322" s="15" t="str">
        <f aca="false">IF(B14322&lt;5,"Go","Standard")</f>
        <v>Standard</v>
      </c>
    </row>
    <row r="14323" customFormat="false" ht="15" hidden="false" customHeight="true" outlineLevel="0" collapsed="false">
      <c r="A14323" s="10" t="n">
        <f aca="false">Einstellungen!$B$5+INT((ROW()-9)/24)</f>
        <v>46562</v>
      </c>
      <c r="B14323" s="11" t="n">
        <f aca="false">MOD(ROW()-9,24)</f>
        <v>10</v>
      </c>
      <c r="C14323" s="12"/>
      <c r="D14323" s="13" t="n">
        <f aca="false">IF(B14323&lt;5,Einstellungen!$B$3,Einstellungen!$B$4)</f>
        <v>29.13</v>
      </c>
      <c r="E14323" s="14" t="str">
        <f aca="false">IF(C14323="","",C14323*D14323/100)</f>
        <v/>
      </c>
      <c r="F14323" s="15" t="str">
        <f aca="false">IF(B14323&lt;5,"Go","Standard")</f>
        <v>Standard</v>
      </c>
    </row>
    <row r="14324" customFormat="false" ht="15" hidden="false" customHeight="true" outlineLevel="0" collapsed="false">
      <c r="A14324" s="10" t="n">
        <f aca="false">Einstellungen!$B$5+INT((ROW()-9)/24)</f>
        <v>46562</v>
      </c>
      <c r="B14324" s="11" t="n">
        <f aca="false">MOD(ROW()-9,24)</f>
        <v>11</v>
      </c>
      <c r="C14324" s="12"/>
      <c r="D14324" s="13" t="n">
        <f aca="false">IF(B14324&lt;5,Einstellungen!$B$3,Einstellungen!$B$4)</f>
        <v>29.13</v>
      </c>
      <c r="E14324" s="14" t="str">
        <f aca="false">IF(C14324="","",C14324*D14324/100)</f>
        <v/>
      </c>
      <c r="F14324" s="15" t="str">
        <f aca="false">IF(B14324&lt;5,"Go","Standard")</f>
        <v>Standard</v>
      </c>
    </row>
    <row r="14325" customFormat="false" ht="15" hidden="false" customHeight="true" outlineLevel="0" collapsed="false">
      <c r="A14325" s="10" t="n">
        <f aca="false">Einstellungen!$B$5+INT((ROW()-9)/24)</f>
        <v>46562</v>
      </c>
      <c r="B14325" s="11" t="n">
        <f aca="false">MOD(ROW()-9,24)</f>
        <v>12</v>
      </c>
      <c r="C14325" s="12"/>
      <c r="D14325" s="13" t="n">
        <f aca="false">IF(B14325&lt;5,Einstellungen!$B$3,Einstellungen!$B$4)</f>
        <v>29.13</v>
      </c>
      <c r="E14325" s="14" t="str">
        <f aca="false">IF(C14325="","",C14325*D14325/100)</f>
        <v/>
      </c>
      <c r="F14325" s="15" t="str">
        <f aca="false">IF(B14325&lt;5,"Go","Standard")</f>
        <v>Standard</v>
      </c>
    </row>
    <row r="14326" customFormat="false" ht="15" hidden="false" customHeight="true" outlineLevel="0" collapsed="false">
      <c r="A14326" s="10" t="n">
        <f aca="false">Einstellungen!$B$5+INT((ROW()-9)/24)</f>
        <v>46562</v>
      </c>
      <c r="B14326" s="11" t="n">
        <f aca="false">MOD(ROW()-9,24)</f>
        <v>13</v>
      </c>
      <c r="C14326" s="12"/>
      <c r="D14326" s="13" t="n">
        <f aca="false">IF(B14326&lt;5,Einstellungen!$B$3,Einstellungen!$B$4)</f>
        <v>29.13</v>
      </c>
      <c r="E14326" s="14" t="str">
        <f aca="false">IF(C14326="","",C14326*D14326/100)</f>
        <v/>
      </c>
      <c r="F14326" s="15" t="str">
        <f aca="false">IF(B14326&lt;5,"Go","Standard")</f>
        <v>Standard</v>
      </c>
    </row>
    <row r="14327" customFormat="false" ht="15" hidden="false" customHeight="true" outlineLevel="0" collapsed="false">
      <c r="A14327" s="10" t="n">
        <f aca="false">Einstellungen!$B$5+INT((ROW()-9)/24)</f>
        <v>46562</v>
      </c>
      <c r="B14327" s="11" t="n">
        <f aca="false">MOD(ROW()-9,24)</f>
        <v>14</v>
      </c>
      <c r="C14327" s="12"/>
      <c r="D14327" s="13" t="n">
        <f aca="false">IF(B14327&lt;5,Einstellungen!$B$3,Einstellungen!$B$4)</f>
        <v>29.13</v>
      </c>
      <c r="E14327" s="14" t="str">
        <f aca="false">IF(C14327="","",C14327*D14327/100)</f>
        <v/>
      </c>
      <c r="F14327" s="15" t="str">
        <f aca="false">IF(B14327&lt;5,"Go","Standard")</f>
        <v>Standard</v>
      </c>
    </row>
    <row r="14328" customFormat="false" ht="15" hidden="false" customHeight="true" outlineLevel="0" collapsed="false">
      <c r="A14328" s="10" t="n">
        <f aca="false">Einstellungen!$B$5+INT((ROW()-9)/24)</f>
        <v>46562</v>
      </c>
      <c r="B14328" s="11" t="n">
        <f aca="false">MOD(ROW()-9,24)</f>
        <v>15</v>
      </c>
      <c r="C14328" s="12"/>
      <c r="D14328" s="13" t="n">
        <f aca="false">IF(B14328&lt;5,Einstellungen!$B$3,Einstellungen!$B$4)</f>
        <v>29.13</v>
      </c>
      <c r="E14328" s="14" t="str">
        <f aca="false">IF(C14328="","",C14328*D14328/100)</f>
        <v/>
      </c>
      <c r="F14328" s="15" t="str">
        <f aca="false">IF(B14328&lt;5,"Go","Standard")</f>
        <v>Standard</v>
      </c>
    </row>
    <row r="14329" customFormat="false" ht="15" hidden="false" customHeight="true" outlineLevel="0" collapsed="false">
      <c r="A14329" s="10" t="n">
        <f aca="false">Einstellungen!$B$5+INT((ROW()-9)/24)</f>
        <v>46562</v>
      </c>
      <c r="B14329" s="11" t="n">
        <f aca="false">MOD(ROW()-9,24)</f>
        <v>16</v>
      </c>
      <c r="C14329" s="12"/>
      <c r="D14329" s="13" t="n">
        <f aca="false">IF(B14329&lt;5,Einstellungen!$B$3,Einstellungen!$B$4)</f>
        <v>29.13</v>
      </c>
      <c r="E14329" s="14" t="str">
        <f aca="false">IF(C14329="","",C14329*D14329/100)</f>
        <v/>
      </c>
      <c r="F14329" s="15" t="str">
        <f aca="false">IF(B14329&lt;5,"Go","Standard")</f>
        <v>Standard</v>
      </c>
    </row>
    <row r="14330" customFormat="false" ht="15" hidden="false" customHeight="true" outlineLevel="0" collapsed="false">
      <c r="A14330" s="10" t="n">
        <f aca="false">Einstellungen!$B$5+INT((ROW()-9)/24)</f>
        <v>46562</v>
      </c>
      <c r="B14330" s="11" t="n">
        <f aca="false">MOD(ROW()-9,24)</f>
        <v>17</v>
      </c>
      <c r="C14330" s="12"/>
      <c r="D14330" s="13" t="n">
        <f aca="false">IF(B14330&lt;5,Einstellungen!$B$3,Einstellungen!$B$4)</f>
        <v>29.13</v>
      </c>
      <c r="E14330" s="14" t="str">
        <f aca="false">IF(C14330="","",C14330*D14330/100)</f>
        <v/>
      </c>
      <c r="F14330" s="15" t="str">
        <f aca="false">IF(B14330&lt;5,"Go","Standard")</f>
        <v>Standard</v>
      </c>
    </row>
    <row r="14331" customFormat="false" ht="15" hidden="false" customHeight="true" outlineLevel="0" collapsed="false">
      <c r="A14331" s="10" t="n">
        <f aca="false">Einstellungen!$B$5+INT((ROW()-9)/24)</f>
        <v>46562</v>
      </c>
      <c r="B14331" s="11" t="n">
        <f aca="false">MOD(ROW()-9,24)</f>
        <v>18</v>
      </c>
      <c r="C14331" s="12"/>
      <c r="D14331" s="13" t="n">
        <f aca="false">IF(B14331&lt;5,Einstellungen!$B$3,Einstellungen!$B$4)</f>
        <v>29.13</v>
      </c>
      <c r="E14331" s="14" t="str">
        <f aca="false">IF(C14331="","",C14331*D14331/100)</f>
        <v/>
      </c>
      <c r="F14331" s="15" t="str">
        <f aca="false">IF(B14331&lt;5,"Go","Standard")</f>
        <v>Standard</v>
      </c>
    </row>
    <row r="14332" customFormat="false" ht="15" hidden="false" customHeight="true" outlineLevel="0" collapsed="false">
      <c r="A14332" s="10" t="n">
        <f aca="false">Einstellungen!$B$5+INT((ROW()-9)/24)</f>
        <v>46562</v>
      </c>
      <c r="B14332" s="11" t="n">
        <f aca="false">MOD(ROW()-9,24)</f>
        <v>19</v>
      </c>
      <c r="C14332" s="12"/>
      <c r="D14332" s="13" t="n">
        <f aca="false">IF(B14332&lt;5,Einstellungen!$B$3,Einstellungen!$B$4)</f>
        <v>29.13</v>
      </c>
      <c r="E14332" s="14" t="str">
        <f aca="false">IF(C14332="","",C14332*D14332/100)</f>
        <v/>
      </c>
      <c r="F14332" s="15" t="str">
        <f aca="false">IF(B14332&lt;5,"Go","Standard")</f>
        <v>Standard</v>
      </c>
    </row>
    <row r="14333" customFormat="false" ht="15" hidden="false" customHeight="true" outlineLevel="0" collapsed="false">
      <c r="A14333" s="10" t="n">
        <f aca="false">Einstellungen!$B$5+INT((ROW()-9)/24)</f>
        <v>46562</v>
      </c>
      <c r="B14333" s="11" t="n">
        <f aca="false">MOD(ROW()-9,24)</f>
        <v>20</v>
      </c>
      <c r="C14333" s="12"/>
      <c r="D14333" s="13" t="n">
        <f aca="false">IF(B14333&lt;5,Einstellungen!$B$3,Einstellungen!$B$4)</f>
        <v>29.13</v>
      </c>
      <c r="E14333" s="14" t="str">
        <f aca="false">IF(C14333="","",C14333*D14333/100)</f>
        <v/>
      </c>
      <c r="F14333" s="15" t="str">
        <f aca="false">IF(B14333&lt;5,"Go","Standard")</f>
        <v>Standard</v>
      </c>
    </row>
    <row r="14334" customFormat="false" ht="15" hidden="false" customHeight="true" outlineLevel="0" collapsed="false">
      <c r="A14334" s="10" t="n">
        <f aca="false">Einstellungen!$B$5+INT((ROW()-9)/24)</f>
        <v>46562</v>
      </c>
      <c r="B14334" s="11" t="n">
        <f aca="false">MOD(ROW()-9,24)</f>
        <v>21</v>
      </c>
      <c r="C14334" s="12"/>
      <c r="D14334" s="13" t="n">
        <f aca="false">IF(B14334&lt;5,Einstellungen!$B$3,Einstellungen!$B$4)</f>
        <v>29.13</v>
      </c>
      <c r="E14334" s="14" t="str">
        <f aca="false">IF(C14334="","",C14334*D14334/100)</f>
        <v/>
      </c>
      <c r="F14334" s="15" t="str">
        <f aca="false">IF(B14334&lt;5,"Go","Standard")</f>
        <v>Standard</v>
      </c>
    </row>
    <row r="14335" customFormat="false" ht="15" hidden="false" customHeight="true" outlineLevel="0" collapsed="false">
      <c r="A14335" s="10" t="n">
        <f aca="false">Einstellungen!$B$5+INT((ROW()-9)/24)</f>
        <v>46562</v>
      </c>
      <c r="B14335" s="11" t="n">
        <f aca="false">MOD(ROW()-9,24)</f>
        <v>22</v>
      </c>
      <c r="C14335" s="12"/>
      <c r="D14335" s="13" t="n">
        <f aca="false">IF(B14335&lt;5,Einstellungen!$B$3,Einstellungen!$B$4)</f>
        <v>29.13</v>
      </c>
      <c r="E14335" s="14" t="str">
        <f aca="false">IF(C14335="","",C14335*D14335/100)</f>
        <v/>
      </c>
      <c r="F14335" s="15" t="str">
        <f aca="false">IF(B14335&lt;5,"Go","Standard")</f>
        <v>Standard</v>
      </c>
    </row>
    <row r="14336" customFormat="false" ht="15" hidden="false" customHeight="true" outlineLevel="0" collapsed="false">
      <c r="A14336" s="10" t="n">
        <f aca="false">Einstellungen!$B$5+INT((ROW()-9)/24)</f>
        <v>46562</v>
      </c>
      <c r="B14336" s="11" t="n">
        <f aca="false">MOD(ROW()-9,24)</f>
        <v>23</v>
      </c>
      <c r="C14336" s="12"/>
      <c r="D14336" s="13" t="n">
        <f aca="false">IF(B14336&lt;5,Einstellungen!$B$3,Einstellungen!$B$4)</f>
        <v>29.13</v>
      </c>
      <c r="E14336" s="14" t="str">
        <f aca="false">IF(C14336="","",C14336*D14336/100)</f>
        <v/>
      </c>
      <c r="F14336" s="15" t="str">
        <f aca="false">IF(B14336&lt;5,"Go","Standard")</f>
        <v>Standard</v>
      </c>
    </row>
    <row r="14337" customFormat="false" ht="15" hidden="false" customHeight="true" outlineLevel="0" collapsed="false">
      <c r="A14337" s="10" t="n">
        <f aca="false">Einstellungen!$B$5+INT((ROW()-9)/24)</f>
        <v>46563</v>
      </c>
      <c r="B14337" s="11" t="n">
        <f aca="false">MOD(ROW()-9,24)</f>
        <v>0</v>
      </c>
      <c r="C14337" s="12"/>
      <c r="D14337" s="13" t="n">
        <f aca="false">IF(B14337&lt;5,Einstellungen!$B$3,Einstellungen!$B$4)</f>
        <v>15.92</v>
      </c>
      <c r="E14337" s="14" t="str">
        <f aca="false">IF(C14337="","",C14337*D14337/100)</f>
        <v/>
      </c>
      <c r="F14337" s="15" t="str">
        <f aca="false">IF(B14337&lt;5,"Go","Standard")</f>
        <v>Go</v>
      </c>
    </row>
    <row r="14338" customFormat="false" ht="15" hidden="false" customHeight="true" outlineLevel="0" collapsed="false">
      <c r="A14338" s="10" t="n">
        <f aca="false">Einstellungen!$B$5+INT((ROW()-9)/24)</f>
        <v>46563</v>
      </c>
      <c r="B14338" s="11" t="n">
        <f aca="false">MOD(ROW()-9,24)</f>
        <v>1</v>
      </c>
      <c r="C14338" s="12"/>
      <c r="D14338" s="13" t="n">
        <f aca="false">IF(B14338&lt;5,Einstellungen!$B$3,Einstellungen!$B$4)</f>
        <v>15.92</v>
      </c>
      <c r="E14338" s="14" t="str">
        <f aca="false">IF(C14338="","",C14338*D14338/100)</f>
        <v/>
      </c>
      <c r="F14338" s="15" t="str">
        <f aca="false">IF(B14338&lt;5,"Go","Standard")</f>
        <v>Go</v>
      </c>
    </row>
    <row r="14339" customFormat="false" ht="15" hidden="false" customHeight="true" outlineLevel="0" collapsed="false">
      <c r="A14339" s="10" t="n">
        <f aca="false">Einstellungen!$B$5+INT((ROW()-9)/24)</f>
        <v>46563</v>
      </c>
      <c r="B14339" s="11" t="n">
        <f aca="false">MOD(ROW()-9,24)</f>
        <v>2</v>
      </c>
      <c r="C14339" s="12"/>
      <c r="D14339" s="13" t="n">
        <f aca="false">IF(B14339&lt;5,Einstellungen!$B$3,Einstellungen!$B$4)</f>
        <v>15.92</v>
      </c>
      <c r="E14339" s="14" t="str">
        <f aca="false">IF(C14339="","",C14339*D14339/100)</f>
        <v/>
      </c>
      <c r="F14339" s="15" t="str">
        <f aca="false">IF(B14339&lt;5,"Go","Standard")</f>
        <v>Go</v>
      </c>
    </row>
    <row r="14340" customFormat="false" ht="15" hidden="false" customHeight="true" outlineLevel="0" collapsed="false">
      <c r="A14340" s="10" t="n">
        <f aca="false">Einstellungen!$B$5+INT((ROW()-9)/24)</f>
        <v>46563</v>
      </c>
      <c r="B14340" s="11" t="n">
        <f aca="false">MOD(ROW()-9,24)</f>
        <v>3</v>
      </c>
      <c r="C14340" s="12"/>
      <c r="D14340" s="13" t="n">
        <f aca="false">IF(B14340&lt;5,Einstellungen!$B$3,Einstellungen!$B$4)</f>
        <v>15.92</v>
      </c>
      <c r="E14340" s="14" t="str">
        <f aca="false">IF(C14340="","",C14340*D14340/100)</f>
        <v/>
      </c>
      <c r="F14340" s="15" t="str">
        <f aca="false">IF(B14340&lt;5,"Go","Standard")</f>
        <v>Go</v>
      </c>
    </row>
    <row r="14341" customFormat="false" ht="15" hidden="false" customHeight="true" outlineLevel="0" collapsed="false">
      <c r="A14341" s="10" t="n">
        <f aca="false">Einstellungen!$B$5+INT((ROW()-9)/24)</f>
        <v>46563</v>
      </c>
      <c r="B14341" s="11" t="n">
        <f aca="false">MOD(ROW()-9,24)</f>
        <v>4</v>
      </c>
      <c r="C14341" s="12"/>
      <c r="D14341" s="13" t="n">
        <f aca="false">IF(B14341&lt;5,Einstellungen!$B$3,Einstellungen!$B$4)</f>
        <v>15.92</v>
      </c>
      <c r="E14341" s="14" t="str">
        <f aca="false">IF(C14341="","",C14341*D14341/100)</f>
        <v/>
      </c>
      <c r="F14341" s="15" t="str">
        <f aca="false">IF(B14341&lt;5,"Go","Standard")</f>
        <v>Go</v>
      </c>
    </row>
    <row r="14342" customFormat="false" ht="15" hidden="false" customHeight="true" outlineLevel="0" collapsed="false">
      <c r="A14342" s="10" t="n">
        <f aca="false">Einstellungen!$B$5+INT((ROW()-9)/24)</f>
        <v>46563</v>
      </c>
      <c r="B14342" s="11" t="n">
        <f aca="false">MOD(ROW()-9,24)</f>
        <v>5</v>
      </c>
      <c r="C14342" s="12"/>
      <c r="D14342" s="13" t="n">
        <f aca="false">IF(B14342&lt;5,Einstellungen!$B$3,Einstellungen!$B$4)</f>
        <v>29.13</v>
      </c>
      <c r="E14342" s="14" t="str">
        <f aca="false">IF(C14342="","",C14342*D14342/100)</f>
        <v/>
      </c>
      <c r="F14342" s="15" t="str">
        <f aca="false">IF(B14342&lt;5,"Go","Standard")</f>
        <v>Standard</v>
      </c>
    </row>
    <row r="14343" customFormat="false" ht="15" hidden="false" customHeight="true" outlineLevel="0" collapsed="false">
      <c r="A14343" s="10" t="n">
        <f aca="false">Einstellungen!$B$5+INT((ROW()-9)/24)</f>
        <v>46563</v>
      </c>
      <c r="B14343" s="11" t="n">
        <f aca="false">MOD(ROW()-9,24)</f>
        <v>6</v>
      </c>
      <c r="C14343" s="12"/>
      <c r="D14343" s="13" t="n">
        <f aca="false">IF(B14343&lt;5,Einstellungen!$B$3,Einstellungen!$B$4)</f>
        <v>29.13</v>
      </c>
      <c r="E14343" s="14" t="str">
        <f aca="false">IF(C14343="","",C14343*D14343/100)</f>
        <v/>
      </c>
      <c r="F14343" s="15" t="str">
        <f aca="false">IF(B14343&lt;5,"Go","Standard")</f>
        <v>Standard</v>
      </c>
    </row>
    <row r="14344" customFormat="false" ht="15" hidden="false" customHeight="true" outlineLevel="0" collapsed="false">
      <c r="A14344" s="10" t="n">
        <f aca="false">Einstellungen!$B$5+INT((ROW()-9)/24)</f>
        <v>46563</v>
      </c>
      <c r="B14344" s="11" t="n">
        <f aca="false">MOD(ROW()-9,24)</f>
        <v>7</v>
      </c>
      <c r="C14344" s="12"/>
      <c r="D14344" s="13" t="n">
        <f aca="false">IF(B14344&lt;5,Einstellungen!$B$3,Einstellungen!$B$4)</f>
        <v>29.13</v>
      </c>
      <c r="E14344" s="14" t="str">
        <f aca="false">IF(C14344="","",C14344*D14344/100)</f>
        <v/>
      </c>
      <c r="F14344" s="15" t="str">
        <f aca="false">IF(B14344&lt;5,"Go","Standard")</f>
        <v>Standard</v>
      </c>
    </row>
    <row r="14345" customFormat="false" ht="15" hidden="false" customHeight="true" outlineLevel="0" collapsed="false">
      <c r="A14345" s="10" t="n">
        <f aca="false">Einstellungen!$B$5+INT((ROW()-9)/24)</f>
        <v>46563</v>
      </c>
      <c r="B14345" s="11" t="n">
        <f aca="false">MOD(ROW()-9,24)</f>
        <v>8</v>
      </c>
      <c r="C14345" s="12"/>
      <c r="D14345" s="13" t="n">
        <f aca="false">IF(B14345&lt;5,Einstellungen!$B$3,Einstellungen!$B$4)</f>
        <v>29.13</v>
      </c>
      <c r="E14345" s="14" t="str">
        <f aca="false">IF(C14345="","",C14345*D14345/100)</f>
        <v/>
      </c>
      <c r="F14345" s="15" t="str">
        <f aca="false">IF(B14345&lt;5,"Go","Standard")</f>
        <v>Standard</v>
      </c>
    </row>
    <row r="14346" customFormat="false" ht="15" hidden="false" customHeight="true" outlineLevel="0" collapsed="false">
      <c r="A14346" s="10" t="n">
        <f aca="false">Einstellungen!$B$5+INT((ROW()-9)/24)</f>
        <v>46563</v>
      </c>
      <c r="B14346" s="11" t="n">
        <f aca="false">MOD(ROW()-9,24)</f>
        <v>9</v>
      </c>
      <c r="C14346" s="12"/>
      <c r="D14346" s="13" t="n">
        <f aca="false">IF(B14346&lt;5,Einstellungen!$B$3,Einstellungen!$B$4)</f>
        <v>29.13</v>
      </c>
      <c r="E14346" s="14" t="str">
        <f aca="false">IF(C14346="","",C14346*D14346/100)</f>
        <v/>
      </c>
      <c r="F14346" s="15" t="str">
        <f aca="false">IF(B14346&lt;5,"Go","Standard")</f>
        <v>Standard</v>
      </c>
    </row>
    <row r="14347" customFormat="false" ht="15" hidden="false" customHeight="true" outlineLevel="0" collapsed="false">
      <c r="A14347" s="10" t="n">
        <f aca="false">Einstellungen!$B$5+INT((ROW()-9)/24)</f>
        <v>46563</v>
      </c>
      <c r="B14347" s="11" t="n">
        <f aca="false">MOD(ROW()-9,24)</f>
        <v>10</v>
      </c>
      <c r="C14347" s="12"/>
      <c r="D14347" s="13" t="n">
        <f aca="false">IF(B14347&lt;5,Einstellungen!$B$3,Einstellungen!$B$4)</f>
        <v>29.13</v>
      </c>
      <c r="E14347" s="14" t="str">
        <f aca="false">IF(C14347="","",C14347*D14347/100)</f>
        <v/>
      </c>
      <c r="F14347" s="15" t="str">
        <f aca="false">IF(B14347&lt;5,"Go","Standard")</f>
        <v>Standard</v>
      </c>
    </row>
    <row r="14348" customFormat="false" ht="15" hidden="false" customHeight="true" outlineLevel="0" collapsed="false">
      <c r="A14348" s="10" t="n">
        <f aca="false">Einstellungen!$B$5+INT((ROW()-9)/24)</f>
        <v>46563</v>
      </c>
      <c r="B14348" s="11" t="n">
        <f aca="false">MOD(ROW()-9,24)</f>
        <v>11</v>
      </c>
      <c r="C14348" s="12"/>
      <c r="D14348" s="13" t="n">
        <f aca="false">IF(B14348&lt;5,Einstellungen!$B$3,Einstellungen!$B$4)</f>
        <v>29.13</v>
      </c>
      <c r="E14348" s="14" t="str">
        <f aca="false">IF(C14348="","",C14348*D14348/100)</f>
        <v/>
      </c>
      <c r="F14348" s="15" t="str">
        <f aca="false">IF(B14348&lt;5,"Go","Standard")</f>
        <v>Standard</v>
      </c>
    </row>
    <row r="14349" customFormat="false" ht="15" hidden="false" customHeight="true" outlineLevel="0" collapsed="false">
      <c r="A14349" s="10" t="n">
        <f aca="false">Einstellungen!$B$5+INT((ROW()-9)/24)</f>
        <v>46563</v>
      </c>
      <c r="B14349" s="11" t="n">
        <f aca="false">MOD(ROW()-9,24)</f>
        <v>12</v>
      </c>
      <c r="C14349" s="12"/>
      <c r="D14349" s="13" t="n">
        <f aca="false">IF(B14349&lt;5,Einstellungen!$B$3,Einstellungen!$B$4)</f>
        <v>29.13</v>
      </c>
      <c r="E14349" s="14" t="str">
        <f aca="false">IF(C14349="","",C14349*D14349/100)</f>
        <v/>
      </c>
      <c r="F14349" s="15" t="str">
        <f aca="false">IF(B14349&lt;5,"Go","Standard")</f>
        <v>Standard</v>
      </c>
    </row>
    <row r="14350" customFormat="false" ht="15" hidden="false" customHeight="true" outlineLevel="0" collapsed="false">
      <c r="A14350" s="10" t="n">
        <f aca="false">Einstellungen!$B$5+INT((ROW()-9)/24)</f>
        <v>46563</v>
      </c>
      <c r="B14350" s="11" t="n">
        <f aca="false">MOD(ROW()-9,24)</f>
        <v>13</v>
      </c>
      <c r="C14350" s="12"/>
      <c r="D14350" s="13" t="n">
        <f aca="false">IF(B14350&lt;5,Einstellungen!$B$3,Einstellungen!$B$4)</f>
        <v>29.13</v>
      </c>
      <c r="E14350" s="14" t="str">
        <f aca="false">IF(C14350="","",C14350*D14350/100)</f>
        <v/>
      </c>
      <c r="F14350" s="15" t="str">
        <f aca="false">IF(B14350&lt;5,"Go","Standard")</f>
        <v>Standard</v>
      </c>
    </row>
    <row r="14351" customFormat="false" ht="15" hidden="false" customHeight="true" outlineLevel="0" collapsed="false">
      <c r="A14351" s="10" t="n">
        <f aca="false">Einstellungen!$B$5+INT((ROW()-9)/24)</f>
        <v>46563</v>
      </c>
      <c r="B14351" s="11" t="n">
        <f aca="false">MOD(ROW()-9,24)</f>
        <v>14</v>
      </c>
      <c r="C14351" s="12"/>
      <c r="D14351" s="13" t="n">
        <f aca="false">IF(B14351&lt;5,Einstellungen!$B$3,Einstellungen!$B$4)</f>
        <v>29.13</v>
      </c>
      <c r="E14351" s="14" t="str">
        <f aca="false">IF(C14351="","",C14351*D14351/100)</f>
        <v/>
      </c>
      <c r="F14351" s="15" t="str">
        <f aca="false">IF(B14351&lt;5,"Go","Standard")</f>
        <v>Standard</v>
      </c>
    </row>
    <row r="14352" customFormat="false" ht="15" hidden="false" customHeight="true" outlineLevel="0" collapsed="false">
      <c r="A14352" s="10" t="n">
        <f aca="false">Einstellungen!$B$5+INT((ROW()-9)/24)</f>
        <v>46563</v>
      </c>
      <c r="B14352" s="11" t="n">
        <f aca="false">MOD(ROW()-9,24)</f>
        <v>15</v>
      </c>
      <c r="C14352" s="12"/>
      <c r="D14352" s="13" t="n">
        <f aca="false">IF(B14352&lt;5,Einstellungen!$B$3,Einstellungen!$B$4)</f>
        <v>29.13</v>
      </c>
      <c r="E14352" s="14" t="str">
        <f aca="false">IF(C14352="","",C14352*D14352/100)</f>
        <v/>
      </c>
      <c r="F14352" s="15" t="str">
        <f aca="false">IF(B14352&lt;5,"Go","Standard")</f>
        <v>Standard</v>
      </c>
    </row>
    <row r="14353" customFormat="false" ht="15" hidden="false" customHeight="true" outlineLevel="0" collapsed="false">
      <c r="A14353" s="10" t="n">
        <f aca="false">Einstellungen!$B$5+INT((ROW()-9)/24)</f>
        <v>46563</v>
      </c>
      <c r="B14353" s="11" t="n">
        <f aca="false">MOD(ROW()-9,24)</f>
        <v>16</v>
      </c>
      <c r="C14353" s="12"/>
      <c r="D14353" s="13" t="n">
        <f aca="false">IF(B14353&lt;5,Einstellungen!$B$3,Einstellungen!$B$4)</f>
        <v>29.13</v>
      </c>
      <c r="E14353" s="14" t="str">
        <f aca="false">IF(C14353="","",C14353*D14353/100)</f>
        <v/>
      </c>
      <c r="F14353" s="15" t="str">
        <f aca="false">IF(B14353&lt;5,"Go","Standard")</f>
        <v>Standard</v>
      </c>
    </row>
    <row r="14354" customFormat="false" ht="15" hidden="false" customHeight="true" outlineLevel="0" collapsed="false">
      <c r="A14354" s="10" t="n">
        <f aca="false">Einstellungen!$B$5+INT((ROW()-9)/24)</f>
        <v>46563</v>
      </c>
      <c r="B14354" s="11" t="n">
        <f aca="false">MOD(ROW()-9,24)</f>
        <v>17</v>
      </c>
      <c r="C14354" s="12"/>
      <c r="D14354" s="13" t="n">
        <f aca="false">IF(B14354&lt;5,Einstellungen!$B$3,Einstellungen!$B$4)</f>
        <v>29.13</v>
      </c>
      <c r="E14354" s="14" t="str">
        <f aca="false">IF(C14354="","",C14354*D14354/100)</f>
        <v/>
      </c>
      <c r="F14354" s="15" t="str">
        <f aca="false">IF(B14354&lt;5,"Go","Standard")</f>
        <v>Standard</v>
      </c>
    </row>
    <row r="14355" customFormat="false" ht="15" hidden="false" customHeight="true" outlineLevel="0" collapsed="false">
      <c r="A14355" s="10" t="n">
        <f aca="false">Einstellungen!$B$5+INT((ROW()-9)/24)</f>
        <v>46563</v>
      </c>
      <c r="B14355" s="11" t="n">
        <f aca="false">MOD(ROW()-9,24)</f>
        <v>18</v>
      </c>
      <c r="C14355" s="12"/>
      <c r="D14355" s="13" t="n">
        <f aca="false">IF(B14355&lt;5,Einstellungen!$B$3,Einstellungen!$B$4)</f>
        <v>29.13</v>
      </c>
      <c r="E14355" s="14" t="str">
        <f aca="false">IF(C14355="","",C14355*D14355/100)</f>
        <v/>
      </c>
      <c r="F14355" s="15" t="str">
        <f aca="false">IF(B14355&lt;5,"Go","Standard")</f>
        <v>Standard</v>
      </c>
    </row>
    <row r="14356" customFormat="false" ht="15" hidden="false" customHeight="true" outlineLevel="0" collapsed="false">
      <c r="A14356" s="10" t="n">
        <f aca="false">Einstellungen!$B$5+INT((ROW()-9)/24)</f>
        <v>46563</v>
      </c>
      <c r="B14356" s="11" t="n">
        <f aca="false">MOD(ROW()-9,24)</f>
        <v>19</v>
      </c>
      <c r="C14356" s="12"/>
      <c r="D14356" s="13" t="n">
        <f aca="false">IF(B14356&lt;5,Einstellungen!$B$3,Einstellungen!$B$4)</f>
        <v>29.13</v>
      </c>
      <c r="E14356" s="14" t="str">
        <f aca="false">IF(C14356="","",C14356*D14356/100)</f>
        <v/>
      </c>
      <c r="F14356" s="15" t="str">
        <f aca="false">IF(B14356&lt;5,"Go","Standard")</f>
        <v>Standard</v>
      </c>
    </row>
    <row r="14357" customFormat="false" ht="15" hidden="false" customHeight="true" outlineLevel="0" collapsed="false">
      <c r="A14357" s="10" t="n">
        <f aca="false">Einstellungen!$B$5+INT((ROW()-9)/24)</f>
        <v>46563</v>
      </c>
      <c r="B14357" s="11" t="n">
        <f aca="false">MOD(ROW()-9,24)</f>
        <v>20</v>
      </c>
      <c r="C14357" s="12"/>
      <c r="D14357" s="13" t="n">
        <f aca="false">IF(B14357&lt;5,Einstellungen!$B$3,Einstellungen!$B$4)</f>
        <v>29.13</v>
      </c>
      <c r="E14357" s="14" t="str">
        <f aca="false">IF(C14357="","",C14357*D14357/100)</f>
        <v/>
      </c>
      <c r="F14357" s="15" t="str">
        <f aca="false">IF(B14357&lt;5,"Go","Standard")</f>
        <v>Standard</v>
      </c>
    </row>
    <row r="14358" customFormat="false" ht="15" hidden="false" customHeight="true" outlineLevel="0" collapsed="false">
      <c r="A14358" s="10" t="n">
        <f aca="false">Einstellungen!$B$5+INT((ROW()-9)/24)</f>
        <v>46563</v>
      </c>
      <c r="B14358" s="11" t="n">
        <f aca="false">MOD(ROW()-9,24)</f>
        <v>21</v>
      </c>
      <c r="C14358" s="12"/>
      <c r="D14358" s="13" t="n">
        <f aca="false">IF(B14358&lt;5,Einstellungen!$B$3,Einstellungen!$B$4)</f>
        <v>29.13</v>
      </c>
      <c r="E14358" s="14" t="str">
        <f aca="false">IF(C14358="","",C14358*D14358/100)</f>
        <v/>
      </c>
      <c r="F14358" s="15" t="str">
        <f aca="false">IF(B14358&lt;5,"Go","Standard")</f>
        <v>Standard</v>
      </c>
    </row>
    <row r="14359" customFormat="false" ht="15" hidden="false" customHeight="true" outlineLevel="0" collapsed="false">
      <c r="A14359" s="10" t="n">
        <f aca="false">Einstellungen!$B$5+INT((ROW()-9)/24)</f>
        <v>46563</v>
      </c>
      <c r="B14359" s="11" t="n">
        <f aca="false">MOD(ROW()-9,24)</f>
        <v>22</v>
      </c>
      <c r="C14359" s="12"/>
      <c r="D14359" s="13" t="n">
        <f aca="false">IF(B14359&lt;5,Einstellungen!$B$3,Einstellungen!$B$4)</f>
        <v>29.13</v>
      </c>
      <c r="E14359" s="14" t="str">
        <f aca="false">IF(C14359="","",C14359*D14359/100)</f>
        <v/>
      </c>
      <c r="F14359" s="15" t="str">
        <f aca="false">IF(B14359&lt;5,"Go","Standard")</f>
        <v>Standard</v>
      </c>
    </row>
    <row r="14360" customFormat="false" ht="15" hidden="false" customHeight="true" outlineLevel="0" collapsed="false">
      <c r="A14360" s="10" t="n">
        <f aca="false">Einstellungen!$B$5+INT((ROW()-9)/24)</f>
        <v>46563</v>
      </c>
      <c r="B14360" s="11" t="n">
        <f aca="false">MOD(ROW()-9,24)</f>
        <v>23</v>
      </c>
      <c r="C14360" s="12"/>
      <c r="D14360" s="13" t="n">
        <f aca="false">IF(B14360&lt;5,Einstellungen!$B$3,Einstellungen!$B$4)</f>
        <v>29.13</v>
      </c>
      <c r="E14360" s="14" t="str">
        <f aca="false">IF(C14360="","",C14360*D14360/100)</f>
        <v/>
      </c>
      <c r="F14360" s="15" t="str">
        <f aca="false">IF(B14360&lt;5,"Go","Standard")</f>
        <v>Standard</v>
      </c>
    </row>
    <row r="14361" customFormat="false" ht="15" hidden="false" customHeight="true" outlineLevel="0" collapsed="false">
      <c r="A14361" s="10" t="n">
        <f aca="false">Einstellungen!$B$5+INT((ROW()-9)/24)</f>
        <v>46564</v>
      </c>
      <c r="B14361" s="11" t="n">
        <f aca="false">MOD(ROW()-9,24)</f>
        <v>0</v>
      </c>
      <c r="C14361" s="12"/>
      <c r="D14361" s="13" t="n">
        <f aca="false">IF(B14361&lt;5,Einstellungen!$B$3,Einstellungen!$B$4)</f>
        <v>15.92</v>
      </c>
      <c r="E14361" s="14" t="str">
        <f aca="false">IF(C14361="","",C14361*D14361/100)</f>
        <v/>
      </c>
      <c r="F14361" s="15" t="str">
        <f aca="false">IF(B14361&lt;5,"Go","Standard")</f>
        <v>Go</v>
      </c>
    </row>
    <row r="14362" customFormat="false" ht="15" hidden="false" customHeight="true" outlineLevel="0" collapsed="false">
      <c r="A14362" s="10" t="n">
        <f aca="false">Einstellungen!$B$5+INT((ROW()-9)/24)</f>
        <v>46564</v>
      </c>
      <c r="B14362" s="11" t="n">
        <f aca="false">MOD(ROW()-9,24)</f>
        <v>1</v>
      </c>
      <c r="C14362" s="12"/>
      <c r="D14362" s="13" t="n">
        <f aca="false">IF(B14362&lt;5,Einstellungen!$B$3,Einstellungen!$B$4)</f>
        <v>15.92</v>
      </c>
      <c r="E14362" s="14" t="str">
        <f aca="false">IF(C14362="","",C14362*D14362/100)</f>
        <v/>
      </c>
      <c r="F14362" s="15" t="str">
        <f aca="false">IF(B14362&lt;5,"Go","Standard")</f>
        <v>Go</v>
      </c>
    </row>
    <row r="14363" customFormat="false" ht="15" hidden="false" customHeight="true" outlineLevel="0" collapsed="false">
      <c r="A14363" s="10" t="n">
        <f aca="false">Einstellungen!$B$5+INT((ROW()-9)/24)</f>
        <v>46564</v>
      </c>
      <c r="B14363" s="11" t="n">
        <f aca="false">MOD(ROW()-9,24)</f>
        <v>2</v>
      </c>
      <c r="C14363" s="12"/>
      <c r="D14363" s="13" t="n">
        <f aca="false">IF(B14363&lt;5,Einstellungen!$B$3,Einstellungen!$B$4)</f>
        <v>15.92</v>
      </c>
      <c r="E14363" s="14" t="str">
        <f aca="false">IF(C14363="","",C14363*D14363/100)</f>
        <v/>
      </c>
      <c r="F14363" s="15" t="str">
        <f aca="false">IF(B14363&lt;5,"Go","Standard")</f>
        <v>Go</v>
      </c>
    </row>
    <row r="14364" customFormat="false" ht="15" hidden="false" customHeight="true" outlineLevel="0" collapsed="false">
      <c r="A14364" s="10" t="n">
        <f aca="false">Einstellungen!$B$5+INT((ROW()-9)/24)</f>
        <v>46564</v>
      </c>
      <c r="B14364" s="11" t="n">
        <f aca="false">MOD(ROW()-9,24)</f>
        <v>3</v>
      </c>
      <c r="C14364" s="12"/>
      <c r="D14364" s="13" t="n">
        <f aca="false">IF(B14364&lt;5,Einstellungen!$B$3,Einstellungen!$B$4)</f>
        <v>15.92</v>
      </c>
      <c r="E14364" s="14" t="str">
        <f aca="false">IF(C14364="","",C14364*D14364/100)</f>
        <v/>
      </c>
      <c r="F14364" s="15" t="str">
        <f aca="false">IF(B14364&lt;5,"Go","Standard")</f>
        <v>Go</v>
      </c>
    </row>
    <row r="14365" customFormat="false" ht="15" hidden="false" customHeight="true" outlineLevel="0" collapsed="false">
      <c r="A14365" s="10" t="n">
        <f aca="false">Einstellungen!$B$5+INT((ROW()-9)/24)</f>
        <v>46564</v>
      </c>
      <c r="B14365" s="11" t="n">
        <f aca="false">MOD(ROW()-9,24)</f>
        <v>4</v>
      </c>
      <c r="C14365" s="12"/>
      <c r="D14365" s="13" t="n">
        <f aca="false">IF(B14365&lt;5,Einstellungen!$B$3,Einstellungen!$B$4)</f>
        <v>15.92</v>
      </c>
      <c r="E14365" s="14" t="str">
        <f aca="false">IF(C14365="","",C14365*D14365/100)</f>
        <v/>
      </c>
      <c r="F14365" s="15" t="str">
        <f aca="false">IF(B14365&lt;5,"Go","Standard")</f>
        <v>Go</v>
      </c>
    </row>
    <row r="14366" customFormat="false" ht="15" hidden="false" customHeight="true" outlineLevel="0" collapsed="false">
      <c r="A14366" s="10" t="n">
        <f aca="false">Einstellungen!$B$5+INT((ROW()-9)/24)</f>
        <v>46564</v>
      </c>
      <c r="B14366" s="11" t="n">
        <f aca="false">MOD(ROW()-9,24)</f>
        <v>5</v>
      </c>
      <c r="C14366" s="12"/>
      <c r="D14366" s="13" t="n">
        <f aca="false">IF(B14366&lt;5,Einstellungen!$B$3,Einstellungen!$B$4)</f>
        <v>29.13</v>
      </c>
      <c r="E14366" s="14" t="str">
        <f aca="false">IF(C14366="","",C14366*D14366/100)</f>
        <v/>
      </c>
      <c r="F14366" s="15" t="str">
        <f aca="false">IF(B14366&lt;5,"Go","Standard")</f>
        <v>Standard</v>
      </c>
    </row>
    <row r="14367" customFormat="false" ht="15" hidden="false" customHeight="true" outlineLevel="0" collapsed="false">
      <c r="A14367" s="10" t="n">
        <f aca="false">Einstellungen!$B$5+INT((ROW()-9)/24)</f>
        <v>46564</v>
      </c>
      <c r="B14367" s="11" t="n">
        <f aca="false">MOD(ROW()-9,24)</f>
        <v>6</v>
      </c>
      <c r="C14367" s="12"/>
      <c r="D14367" s="13" t="n">
        <f aca="false">IF(B14367&lt;5,Einstellungen!$B$3,Einstellungen!$B$4)</f>
        <v>29.13</v>
      </c>
      <c r="E14367" s="14" t="str">
        <f aca="false">IF(C14367="","",C14367*D14367/100)</f>
        <v/>
      </c>
      <c r="F14367" s="15" t="str">
        <f aca="false">IF(B14367&lt;5,"Go","Standard")</f>
        <v>Standard</v>
      </c>
    </row>
    <row r="14368" customFormat="false" ht="15" hidden="false" customHeight="true" outlineLevel="0" collapsed="false">
      <c r="A14368" s="10" t="n">
        <f aca="false">Einstellungen!$B$5+INT((ROW()-9)/24)</f>
        <v>46564</v>
      </c>
      <c r="B14368" s="11" t="n">
        <f aca="false">MOD(ROW()-9,24)</f>
        <v>7</v>
      </c>
      <c r="C14368" s="12"/>
      <c r="D14368" s="13" t="n">
        <f aca="false">IF(B14368&lt;5,Einstellungen!$B$3,Einstellungen!$B$4)</f>
        <v>29.13</v>
      </c>
      <c r="E14368" s="14" t="str">
        <f aca="false">IF(C14368="","",C14368*D14368/100)</f>
        <v/>
      </c>
      <c r="F14368" s="15" t="str">
        <f aca="false">IF(B14368&lt;5,"Go","Standard")</f>
        <v>Standard</v>
      </c>
    </row>
    <row r="14369" customFormat="false" ht="15" hidden="false" customHeight="true" outlineLevel="0" collapsed="false">
      <c r="A14369" s="10" t="n">
        <f aca="false">Einstellungen!$B$5+INT((ROW()-9)/24)</f>
        <v>46564</v>
      </c>
      <c r="B14369" s="11" t="n">
        <f aca="false">MOD(ROW()-9,24)</f>
        <v>8</v>
      </c>
      <c r="C14369" s="12"/>
      <c r="D14369" s="13" t="n">
        <f aca="false">IF(B14369&lt;5,Einstellungen!$B$3,Einstellungen!$B$4)</f>
        <v>29.13</v>
      </c>
      <c r="E14369" s="14" t="str">
        <f aca="false">IF(C14369="","",C14369*D14369/100)</f>
        <v/>
      </c>
      <c r="F14369" s="15" t="str">
        <f aca="false">IF(B14369&lt;5,"Go","Standard")</f>
        <v>Standard</v>
      </c>
    </row>
    <row r="14370" customFormat="false" ht="15" hidden="false" customHeight="true" outlineLevel="0" collapsed="false">
      <c r="A14370" s="10" t="n">
        <f aca="false">Einstellungen!$B$5+INT((ROW()-9)/24)</f>
        <v>46564</v>
      </c>
      <c r="B14370" s="11" t="n">
        <f aca="false">MOD(ROW()-9,24)</f>
        <v>9</v>
      </c>
      <c r="C14370" s="12"/>
      <c r="D14370" s="13" t="n">
        <f aca="false">IF(B14370&lt;5,Einstellungen!$B$3,Einstellungen!$B$4)</f>
        <v>29.13</v>
      </c>
      <c r="E14370" s="14" t="str">
        <f aca="false">IF(C14370="","",C14370*D14370/100)</f>
        <v/>
      </c>
      <c r="F14370" s="15" t="str">
        <f aca="false">IF(B14370&lt;5,"Go","Standard")</f>
        <v>Standard</v>
      </c>
    </row>
    <row r="14371" customFormat="false" ht="15" hidden="false" customHeight="true" outlineLevel="0" collapsed="false">
      <c r="A14371" s="10" t="n">
        <f aca="false">Einstellungen!$B$5+INT((ROW()-9)/24)</f>
        <v>46564</v>
      </c>
      <c r="B14371" s="11" t="n">
        <f aca="false">MOD(ROW()-9,24)</f>
        <v>10</v>
      </c>
      <c r="C14371" s="12"/>
      <c r="D14371" s="13" t="n">
        <f aca="false">IF(B14371&lt;5,Einstellungen!$B$3,Einstellungen!$B$4)</f>
        <v>29.13</v>
      </c>
      <c r="E14371" s="14" t="str">
        <f aca="false">IF(C14371="","",C14371*D14371/100)</f>
        <v/>
      </c>
      <c r="F14371" s="15" t="str">
        <f aca="false">IF(B14371&lt;5,"Go","Standard")</f>
        <v>Standard</v>
      </c>
    </row>
    <row r="14372" customFormat="false" ht="15" hidden="false" customHeight="true" outlineLevel="0" collapsed="false">
      <c r="A14372" s="10" t="n">
        <f aca="false">Einstellungen!$B$5+INT((ROW()-9)/24)</f>
        <v>46564</v>
      </c>
      <c r="B14372" s="11" t="n">
        <f aca="false">MOD(ROW()-9,24)</f>
        <v>11</v>
      </c>
      <c r="C14372" s="12"/>
      <c r="D14372" s="13" t="n">
        <f aca="false">IF(B14372&lt;5,Einstellungen!$B$3,Einstellungen!$B$4)</f>
        <v>29.13</v>
      </c>
      <c r="E14372" s="14" t="str">
        <f aca="false">IF(C14372="","",C14372*D14372/100)</f>
        <v/>
      </c>
      <c r="F14372" s="15" t="str">
        <f aca="false">IF(B14372&lt;5,"Go","Standard")</f>
        <v>Standard</v>
      </c>
    </row>
    <row r="14373" customFormat="false" ht="15" hidden="false" customHeight="true" outlineLevel="0" collapsed="false">
      <c r="A14373" s="10" t="n">
        <f aca="false">Einstellungen!$B$5+INT((ROW()-9)/24)</f>
        <v>46564</v>
      </c>
      <c r="B14373" s="11" t="n">
        <f aca="false">MOD(ROW()-9,24)</f>
        <v>12</v>
      </c>
      <c r="C14373" s="12"/>
      <c r="D14373" s="13" t="n">
        <f aca="false">IF(B14373&lt;5,Einstellungen!$B$3,Einstellungen!$B$4)</f>
        <v>29.13</v>
      </c>
      <c r="E14373" s="14" t="str">
        <f aca="false">IF(C14373="","",C14373*D14373/100)</f>
        <v/>
      </c>
      <c r="F14373" s="15" t="str">
        <f aca="false">IF(B14373&lt;5,"Go","Standard")</f>
        <v>Standard</v>
      </c>
    </row>
    <row r="14374" customFormat="false" ht="15" hidden="false" customHeight="true" outlineLevel="0" collapsed="false">
      <c r="A14374" s="10" t="n">
        <f aca="false">Einstellungen!$B$5+INT((ROW()-9)/24)</f>
        <v>46564</v>
      </c>
      <c r="B14374" s="11" t="n">
        <f aca="false">MOD(ROW()-9,24)</f>
        <v>13</v>
      </c>
      <c r="C14374" s="12"/>
      <c r="D14374" s="13" t="n">
        <f aca="false">IF(B14374&lt;5,Einstellungen!$B$3,Einstellungen!$B$4)</f>
        <v>29.13</v>
      </c>
      <c r="E14374" s="14" t="str">
        <f aca="false">IF(C14374="","",C14374*D14374/100)</f>
        <v/>
      </c>
      <c r="F14374" s="15" t="str">
        <f aca="false">IF(B14374&lt;5,"Go","Standard")</f>
        <v>Standard</v>
      </c>
    </row>
    <row r="14375" customFormat="false" ht="15" hidden="false" customHeight="true" outlineLevel="0" collapsed="false">
      <c r="A14375" s="10" t="n">
        <f aca="false">Einstellungen!$B$5+INT((ROW()-9)/24)</f>
        <v>46564</v>
      </c>
      <c r="B14375" s="11" t="n">
        <f aca="false">MOD(ROW()-9,24)</f>
        <v>14</v>
      </c>
      <c r="C14375" s="12"/>
      <c r="D14375" s="13" t="n">
        <f aca="false">IF(B14375&lt;5,Einstellungen!$B$3,Einstellungen!$B$4)</f>
        <v>29.13</v>
      </c>
      <c r="E14375" s="14" t="str">
        <f aca="false">IF(C14375="","",C14375*D14375/100)</f>
        <v/>
      </c>
      <c r="F14375" s="15" t="str">
        <f aca="false">IF(B14375&lt;5,"Go","Standard")</f>
        <v>Standard</v>
      </c>
    </row>
    <row r="14376" customFormat="false" ht="15" hidden="false" customHeight="true" outlineLevel="0" collapsed="false">
      <c r="A14376" s="10" t="n">
        <f aca="false">Einstellungen!$B$5+INT((ROW()-9)/24)</f>
        <v>46564</v>
      </c>
      <c r="B14376" s="11" t="n">
        <f aca="false">MOD(ROW()-9,24)</f>
        <v>15</v>
      </c>
      <c r="C14376" s="12"/>
      <c r="D14376" s="13" t="n">
        <f aca="false">IF(B14376&lt;5,Einstellungen!$B$3,Einstellungen!$B$4)</f>
        <v>29.13</v>
      </c>
      <c r="E14376" s="14" t="str">
        <f aca="false">IF(C14376="","",C14376*D14376/100)</f>
        <v/>
      </c>
      <c r="F14376" s="15" t="str">
        <f aca="false">IF(B14376&lt;5,"Go","Standard")</f>
        <v>Standard</v>
      </c>
    </row>
    <row r="14377" customFormat="false" ht="15" hidden="false" customHeight="true" outlineLevel="0" collapsed="false">
      <c r="A14377" s="10" t="n">
        <f aca="false">Einstellungen!$B$5+INT((ROW()-9)/24)</f>
        <v>46564</v>
      </c>
      <c r="B14377" s="11" t="n">
        <f aca="false">MOD(ROW()-9,24)</f>
        <v>16</v>
      </c>
      <c r="C14377" s="12"/>
      <c r="D14377" s="13" t="n">
        <f aca="false">IF(B14377&lt;5,Einstellungen!$B$3,Einstellungen!$B$4)</f>
        <v>29.13</v>
      </c>
      <c r="E14377" s="14" t="str">
        <f aca="false">IF(C14377="","",C14377*D14377/100)</f>
        <v/>
      </c>
      <c r="F14377" s="15" t="str">
        <f aca="false">IF(B14377&lt;5,"Go","Standard")</f>
        <v>Standard</v>
      </c>
    </row>
    <row r="14378" customFormat="false" ht="15" hidden="false" customHeight="true" outlineLevel="0" collapsed="false">
      <c r="A14378" s="10" t="n">
        <f aca="false">Einstellungen!$B$5+INT((ROW()-9)/24)</f>
        <v>46564</v>
      </c>
      <c r="B14378" s="11" t="n">
        <f aca="false">MOD(ROW()-9,24)</f>
        <v>17</v>
      </c>
      <c r="C14378" s="12"/>
      <c r="D14378" s="13" t="n">
        <f aca="false">IF(B14378&lt;5,Einstellungen!$B$3,Einstellungen!$B$4)</f>
        <v>29.13</v>
      </c>
      <c r="E14378" s="14" t="str">
        <f aca="false">IF(C14378="","",C14378*D14378/100)</f>
        <v/>
      </c>
      <c r="F14378" s="15" t="str">
        <f aca="false">IF(B14378&lt;5,"Go","Standard")</f>
        <v>Standard</v>
      </c>
    </row>
    <row r="14379" customFormat="false" ht="15" hidden="false" customHeight="true" outlineLevel="0" collapsed="false">
      <c r="A14379" s="10" t="n">
        <f aca="false">Einstellungen!$B$5+INT((ROW()-9)/24)</f>
        <v>46564</v>
      </c>
      <c r="B14379" s="11" t="n">
        <f aca="false">MOD(ROW()-9,24)</f>
        <v>18</v>
      </c>
      <c r="C14379" s="12"/>
      <c r="D14379" s="13" t="n">
        <f aca="false">IF(B14379&lt;5,Einstellungen!$B$3,Einstellungen!$B$4)</f>
        <v>29.13</v>
      </c>
      <c r="E14379" s="14" t="str">
        <f aca="false">IF(C14379="","",C14379*D14379/100)</f>
        <v/>
      </c>
      <c r="F14379" s="15" t="str">
        <f aca="false">IF(B14379&lt;5,"Go","Standard")</f>
        <v>Standard</v>
      </c>
    </row>
    <row r="14380" customFormat="false" ht="15" hidden="false" customHeight="true" outlineLevel="0" collapsed="false">
      <c r="A14380" s="10" t="n">
        <f aca="false">Einstellungen!$B$5+INT((ROW()-9)/24)</f>
        <v>46564</v>
      </c>
      <c r="B14380" s="11" t="n">
        <f aca="false">MOD(ROW()-9,24)</f>
        <v>19</v>
      </c>
      <c r="C14380" s="12"/>
      <c r="D14380" s="13" t="n">
        <f aca="false">IF(B14380&lt;5,Einstellungen!$B$3,Einstellungen!$B$4)</f>
        <v>29.13</v>
      </c>
      <c r="E14380" s="14" t="str">
        <f aca="false">IF(C14380="","",C14380*D14380/100)</f>
        <v/>
      </c>
      <c r="F14380" s="15" t="str">
        <f aca="false">IF(B14380&lt;5,"Go","Standard")</f>
        <v>Standard</v>
      </c>
    </row>
    <row r="14381" customFormat="false" ht="15" hidden="false" customHeight="true" outlineLevel="0" collapsed="false">
      <c r="A14381" s="10" t="n">
        <f aca="false">Einstellungen!$B$5+INT((ROW()-9)/24)</f>
        <v>46564</v>
      </c>
      <c r="B14381" s="11" t="n">
        <f aca="false">MOD(ROW()-9,24)</f>
        <v>20</v>
      </c>
      <c r="C14381" s="12"/>
      <c r="D14381" s="13" t="n">
        <f aca="false">IF(B14381&lt;5,Einstellungen!$B$3,Einstellungen!$B$4)</f>
        <v>29.13</v>
      </c>
      <c r="E14381" s="14" t="str">
        <f aca="false">IF(C14381="","",C14381*D14381/100)</f>
        <v/>
      </c>
      <c r="F14381" s="15" t="str">
        <f aca="false">IF(B14381&lt;5,"Go","Standard")</f>
        <v>Standard</v>
      </c>
    </row>
    <row r="14382" customFormat="false" ht="15" hidden="false" customHeight="true" outlineLevel="0" collapsed="false">
      <c r="A14382" s="10" t="n">
        <f aca="false">Einstellungen!$B$5+INT((ROW()-9)/24)</f>
        <v>46564</v>
      </c>
      <c r="B14382" s="11" t="n">
        <f aca="false">MOD(ROW()-9,24)</f>
        <v>21</v>
      </c>
      <c r="C14382" s="12"/>
      <c r="D14382" s="13" t="n">
        <f aca="false">IF(B14382&lt;5,Einstellungen!$B$3,Einstellungen!$B$4)</f>
        <v>29.13</v>
      </c>
      <c r="E14382" s="14" t="str">
        <f aca="false">IF(C14382="","",C14382*D14382/100)</f>
        <v/>
      </c>
      <c r="F14382" s="15" t="str">
        <f aca="false">IF(B14382&lt;5,"Go","Standard")</f>
        <v>Standard</v>
      </c>
    </row>
    <row r="14383" customFormat="false" ht="15" hidden="false" customHeight="true" outlineLevel="0" collapsed="false">
      <c r="A14383" s="10" t="n">
        <f aca="false">Einstellungen!$B$5+INT((ROW()-9)/24)</f>
        <v>46564</v>
      </c>
      <c r="B14383" s="11" t="n">
        <f aca="false">MOD(ROW()-9,24)</f>
        <v>22</v>
      </c>
      <c r="C14383" s="12"/>
      <c r="D14383" s="13" t="n">
        <f aca="false">IF(B14383&lt;5,Einstellungen!$B$3,Einstellungen!$B$4)</f>
        <v>29.13</v>
      </c>
      <c r="E14383" s="14" t="str">
        <f aca="false">IF(C14383="","",C14383*D14383/100)</f>
        <v/>
      </c>
      <c r="F14383" s="15" t="str">
        <f aca="false">IF(B14383&lt;5,"Go","Standard")</f>
        <v>Standard</v>
      </c>
    </row>
    <row r="14384" customFormat="false" ht="15" hidden="false" customHeight="true" outlineLevel="0" collapsed="false">
      <c r="A14384" s="10" t="n">
        <f aca="false">Einstellungen!$B$5+INT((ROW()-9)/24)</f>
        <v>46564</v>
      </c>
      <c r="B14384" s="11" t="n">
        <f aca="false">MOD(ROW()-9,24)</f>
        <v>23</v>
      </c>
      <c r="C14384" s="12"/>
      <c r="D14384" s="13" t="n">
        <f aca="false">IF(B14384&lt;5,Einstellungen!$B$3,Einstellungen!$B$4)</f>
        <v>29.13</v>
      </c>
      <c r="E14384" s="14" t="str">
        <f aca="false">IF(C14384="","",C14384*D14384/100)</f>
        <v/>
      </c>
      <c r="F14384" s="15" t="str">
        <f aca="false">IF(B14384&lt;5,"Go","Standard")</f>
        <v>Standard</v>
      </c>
    </row>
    <row r="14385" customFormat="false" ht="15" hidden="false" customHeight="true" outlineLevel="0" collapsed="false">
      <c r="A14385" s="10" t="n">
        <f aca="false">Einstellungen!$B$5+INT((ROW()-9)/24)</f>
        <v>46565</v>
      </c>
      <c r="B14385" s="11" t="n">
        <f aca="false">MOD(ROW()-9,24)</f>
        <v>0</v>
      </c>
      <c r="C14385" s="12"/>
      <c r="D14385" s="13" t="n">
        <f aca="false">IF(B14385&lt;5,Einstellungen!$B$3,Einstellungen!$B$4)</f>
        <v>15.92</v>
      </c>
      <c r="E14385" s="14" t="str">
        <f aca="false">IF(C14385="","",C14385*D14385/100)</f>
        <v/>
      </c>
      <c r="F14385" s="15" t="str">
        <f aca="false">IF(B14385&lt;5,"Go","Standard")</f>
        <v>Go</v>
      </c>
    </row>
    <row r="14386" customFormat="false" ht="15" hidden="false" customHeight="true" outlineLevel="0" collapsed="false">
      <c r="A14386" s="10" t="n">
        <f aca="false">Einstellungen!$B$5+INT((ROW()-9)/24)</f>
        <v>46565</v>
      </c>
      <c r="B14386" s="11" t="n">
        <f aca="false">MOD(ROW()-9,24)</f>
        <v>1</v>
      </c>
      <c r="C14386" s="12"/>
      <c r="D14386" s="13" t="n">
        <f aca="false">IF(B14386&lt;5,Einstellungen!$B$3,Einstellungen!$B$4)</f>
        <v>15.92</v>
      </c>
      <c r="E14386" s="14" t="str">
        <f aca="false">IF(C14386="","",C14386*D14386/100)</f>
        <v/>
      </c>
      <c r="F14386" s="15" t="str">
        <f aca="false">IF(B14386&lt;5,"Go","Standard")</f>
        <v>Go</v>
      </c>
    </row>
    <row r="14387" customFormat="false" ht="15" hidden="false" customHeight="true" outlineLevel="0" collapsed="false">
      <c r="A14387" s="10" t="n">
        <f aca="false">Einstellungen!$B$5+INT((ROW()-9)/24)</f>
        <v>46565</v>
      </c>
      <c r="B14387" s="11" t="n">
        <f aca="false">MOD(ROW()-9,24)</f>
        <v>2</v>
      </c>
      <c r="C14387" s="12"/>
      <c r="D14387" s="13" t="n">
        <f aca="false">IF(B14387&lt;5,Einstellungen!$B$3,Einstellungen!$B$4)</f>
        <v>15.92</v>
      </c>
      <c r="E14387" s="14" t="str">
        <f aca="false">IF(C14387="","",C14387*D14387/100)</f>
        <v/>
      </c>
      <c r="F14387" s="15" t="str">
        <f aca="false">IF(B14387&lt;5,"Go","Standard")</f>
        <v>Go</v>
      </c>
    </row>
    <row r="14388" customFormat="false" ht="15" hidden="false" customHeight="true" outlineLevel="0" collapsed="false">
      <c r="A14388" s="10" t="n">
        <f aca="false">Einstellungen!$B$5+INT((ROW()-9)/24)</f>
        <v>46565</v>
      </c>
      <c r="B14388" s="11" t="n">
        <f aca="false">MOD(ROW()-9,24)</f>
        <v>3</v>
      </c>
      <c r="C14388" s="12"/>
      <c r="D14388" s="13" t="n">
        <f aca="false">IF(B14388&lt;5,Einstellungen!$B$3,Einstellungen!$B$4)</f>
        <v>15.92</v>
      </c>
      <c r="E14388" s="14" t="str">
        <f aca="false">IF(C14388="","",C14388*D14388/100)</f>
        <v/>
      </c>
      <c r="F14388" s="15" t="str">
        <f aca="false">IF(B14388&lt;5,"Go","Standard")</f>
        <v>Go</v>
      </c>
    </row>
    <row r="14389" customFormat="false" ht="15" hidden="false" customHeight="true" outlineLevel="0" collapsed="false">
      <c r="A14389" s="10" t="n">
        <f aca="false">Einstellungen!$B$5+INT((ROW()-9)/24)</f>
        <v>46565</v>
      </c>
      <c r="B14389" s="11" t="n">
        <f aca="false">MOD(ROW()-9,24)</f>
        <v>4</v>
      </c>
      <c r="C14389" s="12"/>
      <c r="D14389" s="13" t="n">
        <f aca="false">IF(B14389&lt;5,Einstellungen!$B$3,Einstellungen!$B$4)</f>
        <v>15.92</v>
      </c>
      <c r="E14389" s="14" t="str">
        <f aca="false">IF(C14389="","",C14389*D14389/100)</f>
        <v/>
      </c>
      <c r="F14389" s="15" t="str">
        <f aca="false">IF(B14389&lt;5,"Go","Standard")</f>
        <v>Go</v>
      </c>
    </row>
    <row r="14390" customFormat="false" ht="15" hidden="false" customHeight="true" outlineLevel="0" collapsed="false">
      <c r="A14390" s="10" t="n">
        <f aca="false">Einstellungen!$B$5+INT((ROW()-9)/24)</f>
        <v>46565</v>
      </c>
      <c r="B14390" s="11" t="n">
        <f aca="false">MOD(ROW()-9,24)</f>
        <v>5</v>
      </c>
      <c r="C14390" s="12"/>
      <c r="D14390" s="13" t="n">
        <f aca="false">IF(B14390&lt;5,Einstellungen!$B$3,Einstellungen!$B$4)</f>
        <v>29.13</v>
      </c>
      <c r="E14390" s="14" t="str">
        <f aca="false">IF(C14390="","",C14390*D14390/100)</f>
        <v/>
      </c>
      <c r="F14390" s="15" t="str">
        <f aca="false">IF(B14390&lt;5,"Go","Standard")</f>
        <v>Standard</v>
      </c>
    </row>
    <row r="14391" customFormat="false" ht="15" hidden="false" customHeight="true" outlineLevel="0" collapsed="false">
      <c r="A14391" s="10" t="n">
        <f aca="false">Einstellungen!$B$5+INT((ROW()-9)/24)</f>
        <v>46565</v>
      </c>
      <c r="B14391" s="11" t="n">
        <f aca="false">MOD(ROW()-9,24)</f>
        <v>6</v>
      </c>
      <c r="C14391" s="12"/>
      <c r="D14391" s="13" t="n">
        <f aca="false">IF(B14391&lt;5,Einstellungen!$B$3,Einstellungen!$B$4)</f>
        <v>29.13</v>
      </c>
      <c r="E14391" s="14" t="str">
        <f aca="false">IF(C14391="","",C14391*D14391/100)</f>
        <v/>
      </c>
      <c r="F14391" s="15" t="str">
        <f aca="false">IF(B14391&lt;5,"Go","Standard")</f>
        <v>Standard</v>
      </c>
    </row>
    <row r="14392" customFormat="false" ht="15" hidden="false" customHeight="true" outlineLevel="0" collapsed="false">
      <c r="A14392" s="10" t="n">
        <f aca="false">Einstellungen!$B$5+INT((ROW()-9)/24)</f>
        <v>46565</v>
      </c>
      <c r="B14392" s="11" t="n">
        <f aca="false">MOD(ROW()-9,24)</f>
        <v>7</v>
      </c>
      <c r="C14392" s="12"/>
      <c r="D14392" s="13" t="n">
        <f aca="false">IF(B14392&lt;5,Einstellungen!$B$3,Einstellungen!$B$4)</f>
        <v>29.13</v>
      </c>
      <c r="E14392" s="14" t="str">
        <f aca="false">IF(C14392="","",C14392*D14392/100)</f>
        <v/>
      </c>
      <c r="F14392" s="15" t="str">
        <f aca="false">IF(B14392&lt;5,"Go","Standard")</f>
        <v>Standard</v>
      </c>
    </row>
    <row r="14393" customFormat="false" ht="15" hidden="false" customHeight="true" outlineLevel="0" collapsed="false">
      <c r="A14393" s="10" t="n">
        <f aca="false">Einstellungen!$B$5+INT((ROW()-9)/24)</f>
        <v>46565</v>
      </c>
      <c r="B14393" s="11" t="n">
        <f aca="false">MOD(ROW()-9,24)</f>
        <v>8</v>
      </c>
      <c r="C14393" s="12"/>
      <c r="D14393" s="13" t="n">
        <f aca="false">IF(B14393&lt;5,Einstellungen!$B$3,Einstellungen!$B$4)</f>
        <v>29.13</v>
      </c>
      <c r="E14393" s="14" t="str">
        <f aca="false">IF(C14393="","",C14393*D14393/100)</f>
        <v/>
      </c>
      <c r="F14393" s="15" t="str">
        <f aca="false">IF(B14393&lt;5,"Go","Standard")</f>
        <v>Standard</v>
      </c>
    </row>
    <row r="14394" customFormat="false" ht="15" hidden="false" customHeight="true" outlineLevel="0" collapsed="false">
      <c r="A14394" s="10" t="n">
        <f aca="false">Einstellungen!$B$5+INT((ROW()-9)/24)</f>
        <v>46565</v>
      </c>
      <c r="B14394" s="11" t="n">
        <f aca="false">MOD(ROW()-9,24)</f>
        <v>9</v>
      </c>
      <c r="C14394" s="12"/>
      <c r="D14394" s="13" t="n">
        <f aca="false">IF(B14394&lt;5,Einstellungen!$B$3,Einstellungen!$B$4)</f>
        <v>29.13</v>
      </c>
      <c r="E14394" s="14" t="str">
        <f aca="false">IF(C14394="","",C14394*D14394/100)</f>
        <v/>
      </c>
      <c r="F14394" s="15" t="str">
        <f aca="false">IF(B14394&lt;5,"Go","Standard")</f>
        <v>Standard</v>
      </c>
    </row>
    <row r="14395" customFormat="false" ht="15" hidden="false" customHeight="true" outlineLevel="0" collapsed="false">
      <c r="A14395" s="10" t="n">
        <f aca="false">Einstellungen!$B$5+INT((ROW()-9)/24)</f>
        <v>46565</v>
      </c>
      <c r="B14395" s="11" t="n">
        <f aca="false">MOD(ROW()-9,24)</f>
        <v>10</v>
      </c>
      <c r="C14395" s="12"/>
      <c r="D14395" s="13" t="n">
        <f aca="false">IF(B14395&lt;5,Einstellungen!$B$3,Einstellungen!$B$4)</f>
        <v>29.13</v>
      </c>
      <c r="E14395" s="14" t="str">
        <f aca="false">IF(C14395="","",C14395*D14395/100)</f>
        <v/>
      </c>
      <c r="F14395" s="15" t="str">
        <f aca="false">IF(B14395&lt;5,"Go","Standard")</f>
        <v>Standard</v>
      </c>
    </row>
    <row r="14396" customFormat="false" ht="15" hidden="false" customHeight="true" outlineLevel="0" collapsed="false">
      <c r="A14396" s="10" t="n">
        <f aca="false">Einstellungen!$B$5+INT((ROW()-9)/24)</f>
        <v>46565</v>
      </c>
      <c r="B14396" s="11" t="n">
        <f aca="false">MOD(ROW()-9,24)</f>
        <v>11</v>
      </c>
      <c r="C14396" s="12"/>
      <c r="D14396" s="13" t="n">
        <f aca="false">IF(B14396&lt;5,Einstellungen!$B$3,Einstellungen!$B$4)</f>
        <v>29.13</v>
      </c>
      <c r="E14396" s="14" t="str">
        <f aca="false">IF(C14396="","",C14396*D14396/100)</f>
        <v/>
      </c>
      <c r="F14396" s="15" t="str">
        <f aca="false">IF(B14396&lt;5,"Go","Standard")</f>
        <v>Standard</v>
      </c>
    </row>
    <row r="14397" customFormat="false" ht="15" hidden="false" customHeight="true" outlineLevel="0" collapsed="false">
      <c r="A14397" s="10" t="n">
        <f aca="false">Einstellungen!$B$5+INT((ROW()-9)/24)</f>
        <v>46565</v>
      </c>
      <c r="B14397" s="11" t="n">
        <f aca="false">MOD(ROW()-9,24)</f>
        <v>12</v>
      </c>
      <c r="C14397" s="12"/>
      <c r="D14397" s="13" t="n">
        <f aca="false">IF(B14397&lt;5,Einstellungen!$B$3,Einstellungen!$B$4)</f>
        <v>29.13</v>
      </c>
      <c r="E14397" s="14" t="str">
        <f aca="false">IF(C14397="","",C14397*D14397/100)</f>
        <v/>
      </c>
      <c r="F14397" s="15" t="str">
        <f aca="false">IF(B14397&lt;5,"Go","Standard")</f>
        <v>Standard</v>
      </c>
    </row>
    <row r="14398" customFormat="false" ht="15" hidden="false" customHeight="true" outlineLevel="0" collapsed="false">
      <c r="A14398" s="10" t="n">
        <f aca="false">Einstellungen!$B$5+INT((ROW()-9)/24)</f>
        <v>46565</v>
      </c>
      <c r="B14398" s="11" t="n">
        <f aca="false">MOD(ROW()-9,24)</f>
        <v>13</v>
      </c>
      <c r="C14398" s="12"/>
      <c r="D14398" s="13" t="n">
        <f aca="false">IF(B14398&lt;5,Einstellungen!$B$3,Einstellungen!$B$4)</f>
        <v>29.13</v>
      </c>
      <c r="E14398" s="14" t="str">
        <f aca="false">IF(C14398="","",C14398*D14398/100)</f>
        <v/>
      </c>
      <c r="F14398" s="15" t="str">
        <f aca="false">IF(B14398&lt;5,"Go","Standard")</f>
        <v>Standard</v>
      </c>
    </row>
    <row r="14399" customFormat="false" ht="15" hidden="false" customHeight="true" outlineLevel="0" collapsed="false">
      <c r="A14399" s="10" t="n">
        <f aca="false">Einstellungen!$B$5+INT((ROW()-9)/24)</f>
        <v>46565</v>
      </c>
      <c r="B14399" s="11" t="n">
        <f aca="false">MOD(ROW()-9,24)</f>
        <v>14</v>
      </c>
      <c r="C14399" s="12"/>
      <c r="D14399" s="13" t="n">
        <f aca="false">IF(B14399&lt;5,Einstellungen!$B$3,Einstellungen!$B$4)</f>
        <v>29.13</v>
      </c>
      <c r="E14399" s="14" t="str">
        <f aca="false">IF(C14399="","",C14399*D14399/100)</f>
        <v/>
      </c>
      <c r="F14399" s="15" t="str">
        <f aca="false">IF(B14399&lt;5,"Go","Standard")</f>
        <v>Standard</v>
      </c>
    </row>
    <row r="14400" customFormat="false" ht="15" hidden="false" customHeight="true" outlineLevel="0" collapsed="false">
      <c r="A14400" s="10" t="n">
        <f aca="false">Einstellungen!$B$5+INT((ROW()-9)/24)</f>
        <v>46565</v>
      </c>
      <c r="B14400" s="11" t="n">
        <f aca="false">MOD(ROW()-9,24)</f>
        <v>15</v>
      </c>
      <c r="C14400" s="12"/>
      <c r="D14400" s="13" t="n">
        <f aca="false">IF(B14400&lt;5,Einstellungen!$B$3,Einstellungen!$B$4)</f>
        <v>29.13</v>
      </c>
      <c r="E14400" s="14" t="str">
        <f aca="false">IF(C14400="","",C14400*D14400/100)</f>
        <v/>
      </c>
      <c r="F14400" s="15" t="str">
        <f aca="false">IF(B14400&lt;5,"Go","Standard")</f>
        <v>Standard</v>
      </c>
    </row>
    <row r="14401" customFormat="false" ht="15" hidden="false" customHeight="true" outlineLevel="0" collapsed="false">
      <c r="A14401" s="10" t="n">
        <f aca="false">Einstellungen!$B$5+INT((ROW()-9)/24)</f>
        <v>46565</v>
      </c>
      <c r="B14401" s="11" t="n">
        <f aca="false">MOD(ROW()-9,24)</f>
        <v>16</v>
      </c>
      <c r="C14401" s="12"/>
      <c r="D14401" s="13" t="n">
        <f aca="false">IF(B14401&lt;5,Einstellungen!$B$3,Einstellungen!$B$4)</f>
        <v>29.13</v>
      </c>
      <c r="E14401" s="14" t="str">
        <f aca="false">IF(C14401="","",C14401*D14401/100)</f>
        <v/>
      </c>
      <c r="F14401" s="15" t="str">
        <f aca="false">IF(B14401&lt;5,"Go","Standard")</f>
        <v>Standard</v>
      </c>
    </row>
    <row r="14402" customFormat="false" ht="15" hidden="false" customHeight="true" outlineLevel="0" collapsed="false">
      <c r="A14402" s="10" t="n">
        <f aca="false">Einstellungen!$B$5+INT((ROW()-9)/24)</f>
        <v>46565</v>
      </c>
      <c r="B14402" s="11" t="n">
        <f aca="false">MOD(ROW()-9,24)</f>
        <v>17</v>
      </c>
      <c r="C14402" s="12"/>
      <c r="D14402" s="13" t="n">
        <f aca="false">IF(B14402&lt;5,Einstellungen!$B$3,Einstellungen!$B$4)</f>
        <v>29.13</v>
      </c>
      <c r="E14402" s="14" t="str">
        <f aca="false">IF(C14402="","",C14402*D14402/100)</f>
        <v/>
      </c>
      <c r="F14402" s="15" t="str">
        <f aca="false">IF(B14402&lt;5,"Go","Standard")</f>
        <v>Standard</v>
      </c>
    </row>
    <row r="14403" customFormat="false" ht="15" hidden="false" customHeight="true" outlineLevel="0" collapsed="false">
      <c r="A14403" s="10" t="n">
        <f aca="false">Einstellungen!$B$5+INT((ROW()-9)/24)</f>
        <v>46565</v>
      </c>
      <c r="B14403" s="11" t="n">
        <f aca="false">MOD(ROW()-9,24)</f>
        <v>18</v>
      </c>
      <c r="C14403" s="12"/>
      <c r="D14403" s="13" t="n">
        <f aca="false">IF(B14403&lt;5,Einstellungen!$B$3,Einstellungen!$B$4)</f>
        <v>29.13</v>
      </c>
      <c r="E14403" s="14" t="str">
        <f aca="false">IF(C14403="","",C14403*D14403/100)</f>
        <v/>
      </c>
      <c r="F14403" s="15" t="str">
        <f aca="false">IF(B14403&lt;5,"Go","Standard")</f>
        <v>Standard</v>
      </c>
    </row>
    <row r="14404" customFormat="false" ht="15" hidden="false" customHeight="true" outlineLevel="0" collapsed="false">
      <c r="A14404" s="10" t="n">
        <f aca="false">Einstellungen!$B$5+INT((ROW()-9)/24)</f>
        <v>46565</v>
      </c>
      <c r="B14404" s="11" t="n">
        <f aca="false">MOD(ROW()-9,24)</f>
        <v>19</v>
      </c>
      <c r="C14404" s="12"/>
      <c r="D14404" s="13" t="n">
        <f aca="false">IF(B14404&lt;5,Einstellungen!$B$3,Einstellungen!$B$4)</f>
        <v>29.13</v>
      </c>
      <c r="E14404" s="14" t="str">
        <f aca="false">IF(C14404="","",C14404*D14404/100)</f>
        <v/>
      </c>
      <c r="F14404" s="15" t="str">
        <f aca="false">IF(B14404&lt;5,"Go","Standard")</f>
        <v>Standard</v>
      </c>
    </row>
    <row r="14405" customFormat="false" ht="15" hidden="false" customHeight="true" outlineLevel="0" collapsed="false">
      <c r="A14405" s="10" t="n">
        <f aca="false">Einstellungen!$B$5+INT((ROW()-9)/24)</f>
        <v>46565</v>
      </c>
      <c r="B14405" s="11" t="n">
        <f aca="false">MOD(ROW()-9,24)</f>
        <v>20</v>
      </c>
      <c r="C14405" s="12"/>
      <c r="D14405" s="13" t="n">
        <f aca="false">IF(B14405&lt;5,Einstellungen!$B$3,Einstellungen!$B$4)</f>
        <v>29.13</v>
      </c>
      <c r="E14405" s="14" t="str">
        <f aca="false">IF(C14405="","",C14405*D14405/100)</f>
        <v/>
      </c>
      <c r="F14405" s="15" t="str">
        <f aca="false">IF(B14405&lt;5,"Go","Standard")</f>
        <v>Standard</v>
      </c>
    </row>
    <row r="14406" customFormat="false" ht="15" hidden="false" customHeight="true" outlineLevel="0" collapsed="false">
      <c r="A14406" s="10" t="n">
        <f aca="false">Einstellungen!$B$5+INT((ROW()-9)/24)</f>
        <v>46565</v>
      </c>
      <c r="B14406" s="11" t="n">
        <f aca="false">MOD(ROW()-9,24)</f>
        <v>21</v>
      </c>
      <c r="C14406" s="12"/>
      <c r="D14406" s="13" t="n">
        <f aca="false">IF(B14406&lt;5,Einstellungen!$B$3,Einstellungen!$B$4)</f>
        <v>29.13</v>
      </c>
      <c r="E14406" s="14" t="str">
        <f aca="false">IF(C14406="","",C14406*D14406/100)</f>
        <v/>
      </c>
      <c r="F14406" s="15" t="str">
        <f aca="false">IF(B14406&lt;5,"Go","Standard")</f>
        <v>Standard</v>
      </c>
    </row>
    <row r="14407" customFormat="false" ht="15" hidden="false" customHeight="true" outlineLevel="0" collapsed="false">
      <c r="A14407" s="10" t="n">
        <f aca="false">Einstellungen!$B$5+INT((ROW()-9)/24)</f>
        <v>46565</v>
      </c>
      <c r="B14407" s="11" t="n">
        <f aca="false">MOD(ROW()-9,24)</f>
        <v>22</v>
      </c>
      <c r="C14407" s="12"/>
      <c r="D14407" s="13" t="n">
        <f aca="false">IF(B14407&lt;5,Einstellungen!$B$3,Einstellungen!$B$4)</f>
        <v>29.13</v>
      </c>
      <c r="E14407" s="14" t="str">
        <f aca="false">IF(C14407="","",C14407*D14407/100)</f>
        <v/>
      </c>
      <c r="F14407" s="15" t="str">
        <f aca="false">IF(B14407&lt;5,"Go","Standard")</f>
        <v>Standard</v>
      </c>
    </row>
    <row r="14408" customFormat="false" ht="15" hidden="false" customHeight="true" outlineLevel="0" collapsed="false">
      <c r="A14408" s="10" t="n">
        <f aca="false">Einstellungen!$B$5+INT((ROW()-9)/24)</f>
        <v>46565</v>
      </c>
      <c r="B14408" s="11" t="n">
        <f aca="false">MOD(ROW()-9,24)</f>
        <v>23</v>
      </c>
      <c r="C14408" s="12"/>
      <c r="D14408" s="13" t="n">
        <f aca="false">IF(B14408&lt;5,Einstellungen!$B$3,Einstellungen!$B$4)</f>
        <v>29.13</v>
      </c>
      <c r="E14408" s="14" t="str">
        <f aca="false">IF(C14408="","",C14408*D14408/100)</f>
        <v/>
      </c>
      <c r="F14408" s="15" t="str">
        <f aca="false">IF(B14408&lt;5,"Go","Standard")</f>
        <v>Standard</v>
      </c>
    </row>
    <row r="14409" customFormat="false" ht="15" hidden="false" customHeight="true" outlineLevel="0" collapsed="false">
      <c r="A14409" s="10" t="n">
        <f aca="false">Einstellungen!$B$5+INT((ROW()-9)/24)</f>
        <v>46566</v>
      </c>
      <c r="B14409" s="11" t="n">
        <f aca="false">MOD(ROW()-9,24)</f>
        <v>0</v>
      </c>
      <c r="C14409" s="12"/>
      <c r="D14409" s="13" t="n">
        <f aca="false">IF(B14409&lt;5,Einstellungen!$B$3,Einstellungen!$B$4)</f>
        <v>15.92</v>
      </c>
      <c r="E14409" s="14" t="str">
        <f aca="false">IF(C14409="","",C14409*D14409/100)</f>
        <v/>
      </c>
      <c r="F14409" s="15" t="str">
        <f aca="false">IF(B14409&lt;5,"Go","Standard")</f>
        <v>Go</v>
      </c>
    </row>
    <row r="14410" customFormat="false" ht="15" hidden="false" customHeight="true" outlineLevel="0" collapsed="false">
      <c r="A14410" s="10" t="n">
        <f aca="false">Einstellungen!$B$5+INT((ROW()-9)/24)</f>
        <v>46566</v>
      </c>
      <c r="B14410" s="11" t="n">
        <f aca="false">MOD(ROW()-9,24)</f>
        <v>1</v>
      </c>
      <c r="C14410" s="12"/>
      <c r="D14410" s="13" t="n">
        <f aca="false">IF(B14410&lt;5,Einstellungen!$B$3,Einstellungen!$B$4)</f>
        <v>15.92</v>
      </c>
      <c r="E14410" s="14" t="str">
        <f aca="false">IF(C14410="","",C14410*D14410/100)</f>
        <v/>
      </c>
      <c r="F14410" s="15" t="str">
        <f aca="false">IF(B14410&lt;5,"Go","Standard")</f>
        <v>Go</v>
      </c>
    </row>
    <row r="14411" customFormat="false" ht="15" hidden="false" customHeight="true" outlineLevel="0" collapsed="false">
      <c r="A14411" s="10" t="n">
        <f aca="false">Einstellungen!$B$5+INT((ROW()-9)/24)</f>
        <v>46566</v>
      </c>
      <c r="B14411" s="11" t="n">
        <f aca="false">MOD(ROW()-9,24)</f>
        <v>2</v>
      </c>
      <c r="C14411" s="12"/>
      <c r="D14411" s="13" t="n">
        <f aca="false">IF(B14411&lt;5,Einstellungen!$B$3,Einstellungen!$B$4)</f>
        <v>15.92</v>
      </c>
      <c r="E14411" s="14" t="str">
        <f aca="false">IF(C14411="","",C14411*D14411/100)</f>
        <v/>
      </c>
      <c r="F14411" s="15" t="str">
        <f aca="false">IF(B14411&lt;5,"Go","Standard")</f>
        <v>Go</v>
      </c>
    </row>
    <row r="14412" customFormat="false" ht="15" hidden="false" customHeight="true" outlineLevel="0" collapsed="false">
      <c r="A14412" s="10" t="n">
        <f aca="false">Einstellungen!$B$5+INT((ROW()-9)/24)</f>
        <v>46566</v>
      </c>
      <c r="B14412" s="11" t="n">
        <f aca="false">MOD(ROW()-9,24)</f>
        <v>3</v>
      </c>
      <c r="C14412" s="12"/>
      <c r="D14412" s="13" t="n">
        <f aca="false">IF(B14412&lt;5,Einstellungen!$B$3,Einstellungen!$B$4)</f>
        <v>15.92</v>
      </c>
      <c r="E14412" s="14" t="str">
        <f aca="false">IF(C14412="","",C14412*D14412/100)</f>
        <v/>
      </c>
      <c r="F14412" s="15" t="str">
        <f aca="false">IF(B14412&lt;5,"Go","Standard")</f>
        <v>Go</v>
      </c>
    </row>
    <row r="14413" customFormat="false" ht="15" hidden="false" customHeight="true" outlineLevel="0" collapsed="false">
      <c r="A14413" s="10" t="n">
        <f aca="false">Einstellungen!$B$5+INT((ROW()-9)/24)</f>
        <v>46566</v>
      </c>
      <c r="B14413" s="11" t="n">
        <f aca="false">MOD(ROW()-9,24)</f>
        <v>4</v>
      </c>
      <c r="C14413" s="12"/>
      <c r="D14413" s="13" t="n">
        <f aca="false">IF(B14413&lt;5,Einstellungen!$B$3,Einstellungen!$B$4)</f>
        <v>15.92</v>
      </c>
      <c r="E14413" s="14" t="str">
        <f aca="false">IF(C14413="","",C14413*D14413/100)</f>
        <v/>
      </c>
      <c r="F14413" s="15" t="str">
        <f aca="false">IF(B14413&lt;5,"Go","Standard")</f>
        <v>Go</v>
      </c>
    </row>
    <row r="14414" customFormat="false" ht="15" hidden="false" customHeight="true" outlineLevel="0" collapsed="false">
      <c r="A14414" s="10" t="n">
        <f aca="false">Einstellungen!$B$5+INT((ROW()-9)/24)</f>
        <v>46566</v>
      </c>
      <c r="B14414" s="11" t="n">
        <f aca="false">MOD(ROW()-9,24)</f>
        <v>5</v>
      </c>
      <c r="C14414" s="12"/>
      <c r="D14414" s="13" t="n">
        <f aca="false">IF(B14414&lt;5,Einstellungen!$B$3,Einstellungen!$B$4)</f>
        <v>29.13</v>
      </c>
      <c r="E14414" s="14" t="str">
        <f aca="false">IF(C14414="","",C14414*D14414/100)</f>
        <v/>
      </c>
      <c r="F14414" s="15" t="str">
        <f aca="false">IF(B14414&lt;5,"Go","Standard")</f>
        <v>Standard</v>
      </c>
    </row>
    <row r="14415" customFormat="false" ht="15" hidden="false" customHeight="true" outlineLevel="0" collapsed="false">
      <c r="A14415" s="10" t="n">
        <f aca="false">Einstellungen!$B$5+INT((ROW()-9)/24)</f>
        <v>46566</v>
      </c>
      <c r="B14415" s="11" t="n">
        <f aca="false">MOD(ROW()-9,24)</f>
        <v>6</v>
      </c>
      <c r="C14415" s="12"/>
      <c r="D14415" s="13" t="n">
        <f aca="false">IF(B14415&lt;5,Einstellungen!$B$3,Einstellungen!$B$4)</f>
        <v>29.13</v>
      </c>
      <c r="E14415" s="14" t="str">
        <f aca="false">IF(C14415="","",C14415*D14415/100)</f>
        <v/>
      </c>
      <c r="F14415" s="15" t="str">
        <f aca="false">IF(B14415&lt;5,"Go","Standard")</f>
        <v>Standard</v>
      </c>
    </row>
    <row r="14416" customFormat="false" ht="15" hidden="false" customHeight="true" outlineLevel="0" collapsed="false">
      <c r="A14416" s="10" t="n">
        <f aca="false">Einstellungen!$B$5+INT((ROW()-9)/24)</f>
        <v>46566</v>
      </c>
      <c r="B14416" s="11" t="n">
        <f aca="false">MOD(ROW()-9,24)</f>
        <v>7</v>
      </c>
      <c r="C14416" s="12"/>
      <c r="D14416" s="13" t="n">
        <f aca="false">IF(B14416&lt;5,Einstellungen!$B$3,Einstellungen!$B$4)</f>
        <v>29.13</v>
      </c>
      <c r="E14416" s="14" t="str">
        <f aca="false">IF(C14416="","",C14416*D14416/100)</f>
        <v/>
      </c>
      <c r="F14416" s="15" t="str">
        <f aca="false">IF(B14416&lt;5,"Go","Standard")</f>
        <v>Standard</v>
      </c>
    </row>
    <row r="14417" customFormat="false" ht="15" hidden="false" customHeight="true" outlineLevel="0" collapsed="false">
      <c r="A14417" s="10" t="n">
        <f aca="false">Einstellungen!$B$5+INT((ROW()-9)/24)</f>
        <v>46566</v>
      </c>
      <c r="B14417" s="11" t="n">
        <f aca="false">MOD(ROW()-9,24)</f>
        <v>8</v>
      </c>
      <c r="C14417" s="12"/>
      <c r="D14417" s="13" t="n">
        <f aca="false">IF(B14417&lt;5,Einstellungen!$B$3,Einstellungen!$B$4)</f>
        <v>29.13</v>
      </c>
      <c r="E14417" s="14" t="str">
        <f aca="false">IF(C14417="","",C14417*D14417/100)</f>
        <v/>
      </c>
      <c r="F14417" s="15" t="str">
        <f aca="false">IF(B14417&lt;5,"Go","Standard")</f>
        <v>Standard</v>
      </c>
    </row>
    <row r="14418" customFormat="false" ht="15" hidden="false" customHeight="true" outlineLevel="0" collapsed="false">
      <c r="A14418" s="10" t="n">
        <f aca="false">Einstellungen!$B$5+INT((ROW()-9)/24)</f>
        <v>46566</v>
      </c>
      <c r="B14418" s="11" t="n">
        <f aca="false">MOD(ROW()-9,24)</f>
        <v>9</v>
      </c>
      <c r="C14418" s="12"/>
      <c r="D14418" s="13" t="n">
        <f aca="false">IF(B14418&lt;5,Einstellungen!$B$3,Einstellungen!$B$4)</f>
        <v>29.13</v>
      </c>
      <c r="E14418" s="14" t="str">
        <f aca="false">IF(C14418="","",C14418*D14418/100)</f>
        <v/>
      </c>
      <c r="F14418" s="15" t="str">
        <f aca="false">IF(B14418&lt;5,"Go","Standard")</f>
        <v>Standard</v>
      </c>
    </row>
    <row r="14419" customFormat="false" ht="15" hidden="false" customHeight="true" outlineLevel="0" collapsed="false">
      <c r="A14419" s="10" t="n">
        <f aca="false">Einstellungen!$B$5+INT((ROW()-9)/24)</f>
        <v>46566</v>
      </c>
      <c r="B14419" s="11" t="n">
        <f aca="false">MOD(ROW()-9,24)</f>
        <v>10</v>
      </c>
      <c r="C14419" s="12"/>
      <c r="D14419" s="13" t="n">
        <f aca="false">IF(B14419&lt;5,Einstellungen!$B$3,Einstellungen!$B$4)</f>
        <v>29.13</v>
      </c>
      <c r="E14419" s="14" t="str">
        <f aca="false">IF(C14419="","",C14419*D14419/100)</f>
        <v/>
      </c>
      <c r="F14419" s="15" t="str">
        <f aca="false">IF(B14419&lt;5,"Go","Standard")</f>
        <v>Standard</v>
      </c>
    </row>
    <row r="14420" customFormat="false" ht="15" hidden="false" customHeight="true" outlineLevel="0" collapsed="false">
      <c r="A14420" s="10" t="n">
        <f aca="false">Einstellungen!$B$5+INT((ROW()-9)/24)</f>
        <v>46566</v>
      </c>
      <c r="B14420" s="11" t="n">
        <f aca="false">MOD(ROW()-9,24)</f>
        <v>11</v>
      </c>
      <c r="C14420" s="12"/>
      <c r="D14420" s="13" t="n">
        <f aca="false">IF(B14420&lt;5,Einstellungen!$B$3,Einstellungen!$B$4)</f>
        <v>29.13</v>
      </c>
      <c r="E14420" s="14" t="str">
        <f aca="false">IF(C14420="","",C14420*D14420/100)</f>
        <v/>
      </c>
      <c r="F14420" s="15" t="str">
        <f aca="false">IF(B14420&lt;5,"Go","Standard")</f>
        <v>Standard</v>
      </c>
    </row>
    <row r="14421" customFormat="false" ht="15" hidden="false" customHeight="true" outlineLevel="0" collapsed="false">
      <c r="A14421" s="10" t="n">
        <f aca="false">Einstellungen!$B$5+INT((ROW()-9)/24)</f>
        <v>46566</v>
      </c>
      <c r="B14421" s="11" t="n">
        <f aca="false">MOD(ROW()-9,24)</f>
        <v>12</v>
      </c>
      <c r="C14421" s="12"/>
      <c r="D14421" s="13" t="n">
        <f aca="false">IF(B14421&lt;5,Einstellungen!$B$3,Einstellungen!$B$4)</f>
        <v>29.13</v>
      </c>
      <c r="E14421" s="14" t="str">
        <f aca="false">IF(C14421="","",C14421*D14421/100)</f>
        <v/>
      </c>
      <c r="F14421" s="15" t="str">
        <f aca="false">IF(B14421&lt;5,"Go","Standard")</f>
        <v>Standard</v>
      </c>
    </row>
    <row r="14422" customFormat="false" ht="15" hidden="false" customHeight="true" outlineLevel="0" collapsed="false">
      <c r="A14422" s="10" t="n">
        <f aca="false">Einstellungen!$B$5+INT((ROW()-9)/24)</f>
        <v>46566</v>
      </c>
      <c r="B14422" s="11" t="n">
        <f aca="false">MOD(ROW()-9,24)</f>
        <v>13</v>
      </c>
      <c r="C14422" s="12"/>
      <c r="D14422" s="13" t="n">
        <f aca="false">IF(B14422&lt;5,Einstellungen!$B$3,Einstellungen!$B$4)</f>
        <v>29.13</v>
      </c>
      <c r="E14422" s="14" t="str">
        <f aca="false">IF(C14422="","",C14422*D14422/100)</f>
        <v/>
      </c>
      <c r="F14422" s="15" t="str">
        <f aca="false">IF(B14422&lt;5,"Go","Standard")</f>
        <v>Standard</v>
      </c>
    </row>
    <row r="14423" customFormat="false" ht="15" hidden="false" customHeight="true" outlineLevel="0" collapsed="false">
      <c r="A14423" s="10" t="n">
        <f aca="false">Einstellungen!$B$5+INT((ROW()-9)/24)</f>
        <v>46566</v>
      </c>
      <c r="B14423" s="11" t="n">
        <f aca="false">MOD(ROW()-9,24)</f>
        <v>14</v>
      </c>
      <c r="C14423" s="12"/>
      <c r="D14423" s="13" t="n">
        <f aca="false">IF(B14423&lt;5,Einstellungen!$B$3,Einstellungen!$B$4)</f>
        <v>29.13</v>
      </c>
      <c r="E14423" s="14" t="str">
        <f aca="false">IF(C14423="","",C14423*D14423/100)</f>
        <v/>
      </c>
      <c r="F14423" s="15" t="str">
        <f aca="false">IF(B14423&lt;5,"Go","Standard")</f>
        <v>Standard</v>
      </c>
    </row>
    <row r="14424" customFormat="false" ht="15" hidden="false" customHeight="true" outlineLevel="0" collapsed="false">
      <c r="A14424" s="10" t="n">
        <f aca="false">Einstellungen!$B$5+INT((ROW()-9)/24)</f>
        <v>46566</v>
      </c>
      <c r="B14424" s="11" t="n">
        <f aca="false">MOD(ROW()-9,24)</f>
        <v>15</v>
      </c>
      <c r="C14424" s="12"/>
      <c r="D14424" s="13" t="n">
        <f aca="false">IF(B14424&lt;5,Einstellungen!$B$3,Einstellungen!$B$4)</f>
        <v>29.13</v>
      </c>
      <c r="E14424" s="14" t="str">
        <f aca="false">IF(C14424="","",C14424*D14424/100)</f>
        <v/>
      </c>
      <c r="F14424" s="15" t="str">
        <f aca="false">IF(B14424&lt;5,"Go","Standard")</f>
        <v>Standard</v>
      </c>
    </row>
    <row r="14425" customFormat="false" ht="15" hidden="false" customHeight="true" outlineLevel="0" collapsed="false">
      <c r="A14425" s="10" t="n">
        <f aca="false">Einstellungen!$B$5+INT((ROW()-9)/24)</f>
        <v>46566</v>
      </c>
      <c r="B14425" s="11" t="n">
        <f aca="false">MOD(ROW()-9,24)</f>
        <v>16</v>
      </c>
      <c r="C14425" s="12"/>
      <c r="D14425" s="13" t="n">
        <f aca="false">IF(B14425&lt;5,Einstellungen!$B$3,Einstellungen!$B$4)</f>
        <v>29.13</v>
      </c>
      <c r="E14425" s="14" t="str">
        <f aca="false">IF(C14425="","",C14425*D14425/100)</f>
        <v/>
      </c>
      <c r="F14425" s="15" t="str">
        <f aca="false">IF(B14425&lt;5,"Go","Standard")</f>
        <v>Standard</v>
      </c>
    </row>
    <row r="14426" customFormat="false" ht="15" hidden="false" customHeight="true" outlineLevel="0" collapsed="false">
      <c r="A14426" s="10" t="n">
        <f aca="false">Einstellungen!$B$5+INT((ROW()-9)/24)</f>
        <v>46566</v>
      </c>
      <c r="B14426" s="11" t="n">
        <f aca="false">MOD(ROW()-9,24)</f>
        <v>17</v>
      </c>
      <c r="C14426" s="12"/>
      <c r="D14426" s="13" t="n">
        <f aca="false">IF(B14426&lt;5,Einstellungen!$B$3,Einstellungen!$B$4)</f>
        <v>29.13</v>
      </c>
      <c r="E14426" s="14" t="str">
        <f aca="false">IF(C14426="","",C14426*D14426/100)</f>
        <v/>
      </c>
      <c r="F14426" s="15" t="str">
        <f aca="false">IF(B14426&lt;5,"Go","Standard")</f>
        <v>Standard</v>
      </c>
    </row>
    <row r="14427" customFormat="false" ht="15" hidden="false" customHeight="true" outlineLevel="0" collapsed="false">
      <c r="A14427" s="10" t="n">
        <f aca="false">Einstellungen!$B$5+INT((ROW()-9)/24)</f>
        <v>46566</v>
      </c>
      <c r="B14427" s="11" t="n">
        <f aca="false">MOD(ROW()-9,24)</f>
        <v>18</v>
      </c>
      <c r="C14427" s="12"/>
      <c r="D14427" s="13" t="n">
        <f aca="false">IF(B14427&lt;5,Einstellungen!$B$3,Einstellungen!$B$4)</f>
        <v>29.13</v>
      </c>
      <c r="E14427" s="14" t="str">
        <f aca="false">IF(C14427="","",C14427*D14427/100)</f>
        <v/>
      </c>
      <c r="F14427" s="15" t="str">
        <f aca="false">IF(B14427&lt;5,"Go","Standard")</f>
        <v>Standard</v>
      </c>
    </row>
    <row r="14428" customFormat="false" ht="15" hidden="false" customHeight="true" outlineLevel="0" collapsed="false">
      <c r="A14428" s="10" t="n">
        <f aca="false">Einstellungen!$B$5+INT((ROW()-9)/24)</f>
        <v>46566</v>
      </c>
      <c r="B14428" s="11" t="n">
        <f aca="false">MOD(ROW()-9,24)</f>
        <v>19</v>
      </c>
      <c r="C14428" s="12"/>
      <c r="D14428" s="13" t="n">
        <f aca="false">IF(B14428&lt;5,Einstellungen!$B$3,Einstellungen!$B$4)</f>
        <v>29.13</v>
      </c>
      <c r="E14428" s="14" t="str">
        <f aca="false">IF(C14428="","",C14428*D14428/100)</f>
        <v/>
      </c>
      <c r="F14428" s="15" t="str">
        <f aca="false">IF(B14428&lt;5,"Go","Standard")</f>
        <v>Standard</v>
      </c>
    </row>
    <row r="14429" customFormat="false" ht="15" hidden="false" customHeight="true" outlineLevel="0" collapsed="false">
      <c r="A14429" s="10" t="n">
        <f aca="false">Einstellungen!$B$5+INT((ROW()-9)/24)</f>
        <v>46566</v>
      </c>
      <c r="B14429" s="11" t="n">
        <f aca="false">MOD(ROW()-9,24)</f>
        <v>20</v>
      </c>
      <c r="C14429" s="12"/>
      <c r="D14429" s="13" t="n">
        <f aca="false">IF(B14429&lt;5,Einstellungen!$B$3,Einstellungen!$B$4)</f>
        <v>29.13</v>
      </c>
      <c r="E14429" s="14" t="str">
        <f aca="false">IF(C14429="","",C14429*D14429/100)</f>
        <v/>
      </c>
      <c r="F14429" s="15" t="str">
        <f aca="false">IF(B14429&lt;5,"Go","Standard")</f>
        <v>Standard</v>
      </c>
    </row>
    <row r="14430" customFormat="false" ht="15" hidden="false" customHeight="true" outlineLevel="0" collapsed="false">
      <c r="A14430" s="10" t="n">
        <f aca="false">Einstellungen!$B$5+INT((ROW()-9)/24)</f>
        <v>46566</v>
      </c>
      <c r="B14430" s="11" t="n">
        <f aca="false">MOD(ROW()-9,24)</f>
        <v>21</v>
      </c>
      <c r="C14430" s="12"/>
      <c r="D14430" s="13" t="n">
        <f aca="false">IF(B14430&lt;5,Einstellungen!$B$3,Einstellungen!$B$4)</f>
        <v>29.13</v>
      </c>
      <c r="E14430" s="14" t="str">
        <f aca="false">IF(C14430="","",C14430*D14430/100)</f>
        <v/>
      </c>
      <c r="F14430" s="15" t="str">
        <f aca="false">IF(B14430&lt;5,"Go","Standard")</f>
        <v>Standard</v>
      </c>
    </row>
    <row r="14431" customFormat="false" ht="15" hidden="false" customHeight="true" outlineLevel="0" collapsed="false">
      <c r="A14431" s="10" t="n">
        <f aca="false">Einstellungen!$B$5+INT((ROW()-9)/24)</f>
        <v>46566</v>
      </c>
      <c r="B14431" s="11" t="n">
        <f aca="false">MOD(ROW()-9,24)</f>
        <v>22</v>
      </c>
      <c r="C14431" s="12"/>
      <c r="D14431" s="13" t="n">
        <f aca="false">IF(B14431&lt;5,Einstellungen!$B$3,Einstellungen!$B$4)</f>
        <v>29.13</v>
      </c>
      <c r="E14431" s="14" t="str">
        <f aca="false">IF(C14431="","",C14431*D14431/100)</f>
        <v/>
      </c>
      <c r="F14431" s="15" t="str">
        <f aca="false">IF(B14431&lt;5,"Go","Standard")</f>
        <v>Standard</v>
      </c>
    </row>
    <row r="14432" customFormat="false" ht="15" hidden="false" customHeight="true" outlineLevel="0" collapsed="false">
      <c r="A14432" s="10" t="n">
        <f aca="false">Einstellungen!$B$5+INT((ROW()-9)/24)</f>
        <v>46566</v>
      </c>
      <c r="B14432" s="11" t="n">
        <f aca="false">MOD(ROW()-9,24)</f>
        <v>23</v>
      </c>
      <c r="C14432" s="12"/>
      <c r="D14432" s="13" t="n">
        <f aca="false">IF(B14432&lt;5,Einstellungen!$B$3,Einstellungen!$B$4)</f>
        <v>29.13</v>
      </c>
      <c r="E14432" s="14" t="str">
        <f aca="false">IF(C14432="","",C14432*D14432/100)</f>
        <v/>
      </c>
      <c r="F14432" s="15" t="str">
        <f aca="false">IF(B14432&lt;5,"Go","Standard")</f>
        <v>Standard</v>
      </c>
    </row>
    <row r="14433" customFormat="false" ht="15" hidden="false" customHeight="true" outlineLevel="0" collapsed="false">
      <c r="A14433" s="10" t="n">
        <f aca="false">Einstellungen!$B$5+INT((ROW()-9)/24)</f>
        <v>46567</v>
      </c>
      <c r="B14433" s="11" t="n">
        <f aca="false">MOD(ROW()-9,24)</f>
        <v>0</v>
      </c>
      <c r="C14433" s="12"/>
      <c r="D14433" s="13" t="n">
        <f aca="false">IF(B14433&lt;5,Einstellungen!$B$3,Einstellungen!$B$4)</f>
        <v>15.92</v>
      </c>
      <c r="E14433" s="14" t="str">
        <f aca="false">IF(C14433="","",C14433*D14433/100)</f>
        <v/>
      </c>
      <c r="F14433" s="15" t="str">
        <f aca="false">IF(B14433&lt;5,"Go","Standard")</f>
        <v>Go</v>
      </c>
    </row>
    <row r="14434" customFormat="false" ht="15" hidden="false" customHeight="true" outlineLevel="0" collapsed="false">
      <c r="A14434" s="10" t="n">
        <f aca="false">Einstellungen!$B$5+INT((ROW()-9)/24)</f>
        <v>46567</v>
      </c>
      <c r="B14434" s="11" t="n">
        <f aca="false">MOD(ROW()-9,24)</f>
        <v>1</v>
      </c>
      <c r="C14434" s="12"/>
      <c r="D14434" s="13" t="n">
        <f aca="false">IF(B14434&lt;5,Einstellungen!$B$3,Einstellungen!$B$4)</f>
        <v>15.92</v>
      </c>
      <c r="E14434" s="14" t="str">
        <f aca="false">IF(C14434="","",C14434*D14434/100)</f>
        <v/>
      </c>
      <c r="F14434" s="15" t="str">
        <f aca="false">IF(B14434&lt;5,"Go","Standard")</f>
        <v>Go</v>
      </c>
    </row>
    <row r="14435" customFormat="false" ht="15" hidden="false" customHeight="true" outlineLevel="0" collapsed="false">
      <c r="A14435" s="10" t="n">
        <f aca="false">Einstellungen!$B$5+INT((ROW()-9)/24)</f>
        <v>46567</v>
      </c>
      <c r="B14435" s="11" t="n">
        <f aca="false">MOD(ROW()-9,24)</f>
        <v>2</v>
      </c>
      <c r="C14435" s="12"/>
      <c r="D14435" s="13" t="n">
        <f aca="false">IF(B14435&lt;5,Einstellungen!$B$3,Einstellungen!$B$4)</f>
        <v>15.92</v>
      </c>
      <c r="E14435" s="14" t="str">
        <f aca="false">IF(C14435="","",C14435*D14435/100)</f>
        <v/>
      </c>
      <c r="F14435" s="15" t="str">
        <f aca="false">IF(B14435&lt;5,"Go","Standard")</f>
        <v>Go</v>
      </c>
    </row>
    <row r="14436" customFormat="false" ht="15" hidden="false" customHeight="true" outlineLevel="0" collapsed="false">
      <c r="A14436" s="10" t="n">
        <f aca="false">Einstellungen!$B$5+INT((ROW()-9)/24)</f>
        <v>46567</v>
      </c>
      <c r="B14436" s="11" t="n">
        <f aca="false">MOD(ROW()-9,24)</f>
        <v>3</v>
      </c>
      <c r="C14436" s="12"/>
      <c r="D14436" s="13" t="n">
        <f aca="false">IF(B14436&lt;5,Einstellungen!$B$3,Einstellungen!$B$4)</f>
        <v>15.92</v>
      </c>
      <c r="E14436" s="14" t="str">
        <f aca="false">IF(C14436="","",C14436*D14436/100)</f>
        <v/>
      </c>
      <c r="F14436" s="15" t="str">
        <f aca="false">IF(B14436&lt;5,"Go","Standard")</f>
        <v>Go</v>
      </c>
    </row>
    <row r="14437" customFormat="false" ht="15" hidden="false" customHeight="true" outlineLevel="0" collapsed="false">
      <c r="A14437" s="10" t="n">
        <f aca="false">Einstellungen!$B$5+INT((ROW()-9)/24)</f>
        <v>46567</v>
      </c>
      <c r="B14437" s="11" t="n">
        <f aca="false">MOD(ROW()-9,24)</f>
        <v>4</v>
      </c>
      <c r="C14437" s="12"/>
      <c r="D14437" s="13" t="n">
        <f aca="false">IF(B14437&lt;5,Einstellungen!$B$3,Einstellungen!$B$4)</f>
        <v>15.92</v>
      </c>
      <c r="E14437" s="14" t="str">
        <f aca="false">IF(C14437="","",C14437*D14437/100)</f>
        <v/>
      </c>
      <c r="F14437" s="15" t="str">
        <f aca="false">IF(B14437&lt;5,"Go","Standard")</f>
        <v>Go</v>
      </c>
    </row>
    <row r="14438" customFormat="false" ht="15" hidden="false" customHeight="true" outlineLevel="0" collapsed="false">
      <c r="A14438" s="10" t="n">
        <f aca="false">Einstellungen!$B$5+INT((ROW()-9)/24)</f>
        <v>46567</v>
      </c>
      <c r="B14438" s="11" t="n">
        <f aca="false">MOD(ROW()-9,24)</f>
        <v>5</v>
      </c>
      <c r="C14438" s="12"/>
      <c r="D14438" s="13" t="n">
        <f aca="false">IF(B14438&lt;5,Einstellungen!$B$3,Einstellungen!$B$4)</f>
        <v>29.13</v>
      </c>
      <c r="E14438" s="14" t="str">
        <f aca="false">IF(C14438="","",C14438*D14438/100)</f>
        <v/>
      </c>
      <c r="F14438" s="15" t="str">
        <f aca="false">IF(B14438&lt;5,"Go","Standard")</f>
        <v>Standard</v>
      </c>
    </row>
    <row r="14439" customFormat="false" ht="15" hidden="false" customHeight="true" outlineLevel="0" collapsed="false">
      <c r="A14439" s="10" t="n">
        <f aca="false">Einstellungen!$B$5+INT((ROW()-9)/24)</f>
        <v>46567</v>
      </c>
      <c r="B14439" s="11" t="n">
        <f aca="false">MOD(ROW()-9,24)</f>
        <v>6</v>
      </c>
      <c r="C14439" s="12"/>
      <c r="D14439" s="13" t="n">
        <f aca="false">IF(B14439&lt;5,Einstellungen!$B$3,Einstellungen!$B$4)</f>
        <v>29.13</v>
      </c>
      <c r="E14439" s="14" t="str">
        <f aca="false">IF(C14439="","",C14439*D14439/100)</f>
        <v/>
      </c>
      <c r="F14439" s="15" t="str">
        <f aca="false">IF(B14439&lt;5,"Go","Standard")</f>
        <v>Standard</v>
      </c>
    </row>
    <row r="14440" customFormat="false" ht="15" hidden="false" customHeight="true" outlineLevel="0" collapsed="false">
      <c r="A14440" s="10" t="n">
        <f aca="false">Einstellungen!$B$5+INT((ROW()-9)/24)</f>
        <v>46567</v>
      </c>
      <c r="B14440" s="11" t="n">
        <f aca="false">MOD(ROW()-9,24)</f>
        <v>7</v>
      </c>
      <c r="C14440" s="12"/>
      <c r="D14440" s="13" t="n">
        <f aca="false">IF(B14440&lt;5,Einstellungen!$B$3,Einstellungen!$B$4)</f>
        <v>29.13</v>
      </c>
      <c r="E14440" s="14" t="str">
        <f aca="false">IF(C14440="","",C14440*D14440/100)</f>
        <v/>
      </c>
      <c r="F14440" s="15" t="str">
        <f aca="false">IF(B14440&lt;5,"Go","Standard")</f>
        <v>Standard</v>
      </c>
    </row>
    <row r="14441" customFormat="false" ht="15" hidden="false" customHeight="true" outlineLevel="0" collapsed="false">
      <c r="A14441" s="10" t="n">
        <f aca="false">Einstellungen!$B$5+INT((ROW()-9)/24)</f>
        <v>46567</v>
      </c>
      <c r="B14441" s="11" t="n">
        <f aca="false">MOD(ROW()-9,24)</f>
        <v>8</v>
      </c>
      <c r="C14441" s="12"/>
      <c r="D14441" s="13" t="n">
        <f aca="false">IF(B14441&lt;5,Einstellungen!$B$3,Einstellungen!$B$4)</f>
        <v>29.13</v>
      </c>
      <c r="E14441" s="14" t="str">
        <f aca="false">IF(C14441="","",C14441*D14441/100)</f>
        <v/>
      </c>
      <c r="F14441" s="15" t="str">
        <f aca="false">IF(B14441&lt;5,"Go","Standard")</f>
        <v>Standard</v>
      </c>
    </row>
    <row r="14442" customFormat="false" ht="15" hidden="false" customHeight="true" outlineLevel="0" collapsed="false">
      <c r="A14442" s="10" t="n">
        <f aca="false">Einstellungen!$B$5+INT((ROW()-9)/24)</f>
        <v>46567</v>
      </c>
      <c r="B14442" s="11" t="n">
        <f aca="false">MOD(ROW()-9,24)</f>
        <v>9</v>
      </c>
      <c r="C14442" s="12"/>
      <c r="D14442" s="13" t="n">
        <f aca="false">IF(B14442&lt;5,Einstellungen!$B$3,Einstellungen!$B$4)</f>
        <v>29.13</v>
      </c>
      <c r="E14442" s="14" t="str">
        <f aca="false">IF(C14442="","",C14442*D14442/100)</f>
        <v/>
      </c>
      <c r="F14442" s="15" t="str">
        <f aca="false">IF(B14442&lt;5,"Go","Standard")</f>
        <v>Standard</v>
      </c>
    </row>
    <row r="14443" customFormat="false" ht="15" hidden="false" customHeight="true" outlineLevel="0" collapsed="false">
      <c r="A14443" s="10" t="n">
        <f aca="false">Einstellungen!$B$5+INT((ROW()-9)/24)</f>
        <v>46567</v>
      </c>
      <c r="B14443" s="11" t="n">
        <f aca="false">MOD(ROW()-9,24)</f>
        <v>10</v>
      </c>
      <c r="C14443" s="12"/>
      <c r="D14443" s="13" t="n">
        <f aca="false">IF(B14443&lt;5,Einstellungen!$B$3,Einstellungen!$B$4)</f>
        <v>29.13</v>
      </c>
      <c r="E14443" s="14" t="str">
        <f aca="false">IF(C14443="","",C14443*D14443/100)</f>
        <v/>
      </c>
      <c r="F14443" s="15" t="str">
        <f aca="false">IF(B14443&lt;5,"Go","Standard")</f>
        <v>Standard</v>
      </c>
    </row>
    <row r="14444" customFormat="false" ht="15" hidden="false" customHeight="true" outlineLevel="0" collapsed="false">
      <c r="A14444" s="10" t="n">
        <f aca="false">Einstellungen!$B$5+INT((ROW()-9)/24)</f>
        <v>46567</v>
      </c>
      <c r="B14444" s="11" t="n">
        <f aca="false">MOD(ROW()-9,24)</f>
        <v>11</v>
      </c>
      <c r="C14444" s="12"/>
      <c r="D14444" s="13" t="n">
        <f aca="false">IF(B14444&lt;5,Einstellungen!$B$3,Einstellungen!$B$4)</f>
        <v>29.13</v>
      </c>
      <c r="E14444" s="14" t="str">
        <f aca="false">IF(C14444="","",C14444*D14444/100)</f>
        <v/>
      </c>
      <c r="F14444" s="15" t="str">
        <f aca="false">IF(B14444&lt;5,"Go","Standard")</f>
        <v>Standard</v>
      </c>
    </row>
    <row r="14445" customFormat="false" ht="15" hidden="false" customHeight="true" outlineLevel="0" collapsed="false">
      <c r="A14445" s="10" t="n">
        <f aca="false">Einstellungen!$B$5+INT((ROW()-9)/24)</f>
        <v>46567</v>
      </c>
      <c r="B14445" s="11" t="n">
        <f aca="false">MOD(ROW()-9,24)</f>
        <v>12</v>
      </c>
      <c r="C14445" s="12"/>
      <c r="D14445" s="13" t="n">
        <f aca="false">IF(B14445&lt;5,Einstellungen!$B$3,Einstellungen!$B$4)</f>
        <v>29.13</v>
      </c>
      <c r="E14445" s="14" t="str">
        <f aca="false">IF(C14445="","",C14445*D14445/100)</f>
        <v/>
      </c>
      <c r="F14445" s="15" t="str">
        <f aca="false">IF(B14445&lt;5,"Go","Standard")</f>
        <v>Standard</v>
      </c>
    </row>
    <row r="14446" customFormat="false" ht="15" hidden="false" customHeight="true" outlineLevel="0" collapsed="false">
      <c r="A14446" s="10" t="n">
        <f aca="false">Einstellungen!$B$5+INT((ROW()-9)/24)</f>
        <v>46567</v>
      </c>
      <c r="B14446" s="11" t="n">
        <f aca="false">MOD(ROW()-9,24)</f>
        <v>13</v>
      </c>
      <c r="C14446" s="12"/>
      <c r="D14446" s="13" t="n">
        <f aca="false">IF(B14446&lt;5,Einstellungen!$B$3,Einstellungen!$B$4)</f>
        <v>29.13</v>
      </c>
      <c r="E14446" s="14" t="str">
        <f aca="false">IF(C14446="","",C14446*D14446/100)</f>
        <v/>
      </c>
      <c r="F14446" s="15" t="str">
        <f aca="false">IF(B14446&lt;5,"Go","Standard")</f>
        <v>Standard</v>
      </c>
    </row>
    <row r="14447" customFormat="false" ht="15" hidden="false" customHeight="true" outlineLevel="0" collapsed="false">
      <c r="A14447" s="10" t="n">
        <f aca="false">Einstellungen!$B$5+INT((ROW()-9)/24)</f>
        <v>46567</v>
      </c>
      <c r="B14447" s="11" t="n">
        <f aca="false">MOD(ROW()-9,24)</f>
        <v>14</v>
      </c>
      <c r="C14447" s="12"/>
      <c r="D14447" s="13" t="n">
        <f aca="false">IF(B14447&lt;5,Einstellungen!$B$3,Einstellungen!$B$4)</f>
        <v>29.13</v>
      </c>
      <c r="E14447" s="14" t="str">
        <f aca="false">IF(C14447="","",C14447*D14447/100)</f>
        <v/>
      </c>
      <c r="F14447" s="15" t="str">
        <f aca="false">IF(B14447&lt;5,"Go","Standard")</f>
        <v>Standard</v>
      </c>
    </row>
    <row r="14448" customFormat="false" ht="15" hidden="false" customHeight="true" outlineLevel="0" collapsed="false">
      <c r="A14448" s="10" t="n">
        <f aca="false">Einstellungen!$B$5+INT((ROW()-9)/24)</f>
        <v>46567</v>
      </c>
      <c r="B14448" s="11" t="n">
        <f aca="false">MOD(ROW()-9,24)</f>
        <v>15</v>
      </c>
      <c r="C14448" s="12"/>
      <c r="D14448" s="13" t="n">
        <f aca="false">IF(B14448&lt;5,Einstellungen!$B$3,Einstellungen!$B$4)</f>
        <v>29.13</v>
      </c>
      <c r="E14448" s="14" t="str">
        <f aca="false">IF(C14448="","",C14448*D14448/100)</f>
        <v/>
      </c>
      <c r="F14448" s="15" t="str">
        <f aca="false">IF(B14448&lt;5,"Go","Standard")</f>
        <v>Standard</v>
      </c>
    </row>
    <row r="14449" customFormat="false" ht="15" hidden="false" customHeight="true" outlineLevel="0" collapsed="false">
      <c r="A14449" s="10" t="n">
        <f aca="false">Einstellungen!$B$5+INT((ROW()-9)/24)</f>
        <v>46567</v>
      </c>
      <c r="B14449" s="11" t="n">
        <f aca="false">MOD(ROW()-9,24)</f>
        <v>16</v>
      </c>
      <c r="C14449" s="12"/>
      <c r="D14449" s="13" t="n">
        <f aca="false">IF(B14449&lt;5,Einstellungen!$B$3,Einstellungen!$B$4)</f>
        <v>29.13</v>
      </c>
      <c r="E14449" s="14" t="str">
        <f aca="false">IF(C14449="","",C14449*D14449/100)</f>
        <v/>
      </c>
      <c r="F14449" s="15" t="str">
        <f aca="false">IF(B14449&lt;5,"Go","Standard")</f>
        <v>Standard</v>
      </c>
    </row>
    <row r="14450" customFormat="false" ht="15" hidden="false" customHeight="true" outlineLevel="0" collapsed="false">
      <c r="A14450" s="10" t="n">
        <f aca="false">Einstellungen!$B$5+INT((ROW()-9)/24)</f>
        <v>46567</v>
      </c>
      <c r="B14450" s="11" t="n">
        <f aca="false">MOD(ROW()-9,24)</f>
        <v>17</v>
      </c>
      <c r="C14450" s="12"/>
      <c r="D14450" s="13" t="n">
        <f aca="false">IF(B14450&lt;5,Einstellungen!$B$3,Einstellungen!$B$4)</f>
        <v>29.13</v>
      </c>
      <c r="E14450" s="14" t="str">
        <f aca="false">IF(C14450="","",C14450*D14450/100)</f>
        <v/>
      </c>
      <c r="F14450" s="15" t="str">
        <f aca="false">IF(B14450&lt;5,"Go","Standard")</f>
        <v>Standard</v>
      </c>
    </row>
    <row r="14451" customFormat="false" ht="15" hidden="false" customHeight="true" outlineLevel="0" collapsed="false">
      <c r="A14451" s="10" t="n">
        <f aca="false">Einstellungen!$B$5+INT((ROW()-9)/24)</f>
        <v>46567</v>
      </c>
      <c r="B14451" s="11" t="n">
        <f aca="false">MOD(ROW()-9,24)</f>
        <v>18</v>
      </c>
      <c r="C14451" s="12"/>
      <c r="D14451" s="13" t="n">
        <f aca="false">IF(B14451&lt;5,Einstellungen!$B$3,Einstellungen!$B$4)</f>
        <v>29.13</v>
      </c>
      <c r="E14451" s="14" t="str">
        <f aca="false">IF(C14451="","",C14451*D14451/100)</f>
        <v/>
      </c>
      <c r="F14451" s="15" t="str">
        <f aca="false">IF(B14451&lt;5,"Go","Standard")</f>
        <v>Standard</v>
      </c>
    </row>
    <row r="14452" customFormat="false" ht="15" hidden="false" customHeight="true" outlineLevel="0" collapsed="false">
      <c r="A14452" s="10" t="n">
        <f aca="false">Einstellungen!$B$5+INT((ROW()-9)/24)</f>
        <v>46567</v>
      </c>
      <c r="B14452" s="11" t="n">
        <f aca="false">MOD(ROW()-9,24)</f>
        <v>19</v>
      </c>
      <c r="C14452" s="12"/>
      <c r="D14452" s="13" t="n">
        <f aca="false">IF(B14452&lt;5,Einstellungen!$B$3,Einstellungen!$B$4)</f>
        <v>29.13</v>
      </c>
      <c r="E14452" s="14" t="str">
        <f aca="false">IF(C14452="","",C14452*D14452/100)</f>
        <v/>
      </c>
      <c r="F14452" s="15" t="str">
        <f aca="false">IF(B14452&lt;5,"Go","Standard")</f>
        <v>Standard</v>
      </c>
    </row>
    <row r="14453" customFormat="false" ht="15" hidden="false" customHeight="true" outlineLevel="0" collapsed="false">
      <c r="A14453" s="10" t="n">
        <f aca="false">Einstellungen!$B$5+INT((ROW()-9)/24)</f>
        <v>46567</v>
      </c>
      <c r="B14453" s="11" t="n">
        <f aca="false">MOD(ROW()-9,24)</f>
        <v>20</v>
      </c>
      <c r="C14453" s="12"/>
      <c r="D14453" s="13" t="n">
        <f aca="false">IF(B14453&lt;5,Einstellungen!$B$3,Einstellungen!$B$4)</f>
        <v>29.13</v>
      </c>
      <c r="E14453" s="14" t="str">
        <f aca="false">IF(C14453="","",C14453*D14453/100)</f>
        <v/>
      </c>
      <c r="F14453" s="15" t="str">
        <f aca="false">IF(B14453&lt;5,"Go","Standard")</f>
        <v>Standard</v>
      </c>
    </row>
    <row r="14454" customFormat="false" ht="15" hidden="false" customHeight="true" outlineLevel="0" collapsed="false">
      <c r="A14454" s="10" t="n">
        <f aca="false">Einstellungen!$B$5+INT((ROW()-9)/24)</f>
        <v>46567</v>
      </c>
      <c r="B14454" s="11" t="n">
        <f aca="false">MOD(ROW()-9,24)</f>
        <v>21</v>
      </c>
      <c r="C14454" s="12"/>
      <c r="D14454" s="13" t="n">
        <f aca="false">IF(B14454&lt;5,Einstellungen!$B$3,Einstellungen!$B$4)</f>
        <v>29.13</v>
      </c>
      <c r="E14454" s="14" t="str">
        <f aca="false">IF(C14454="","",C14454*D14454/100)</f>
        <v/>
      </c>
      <c r="F14454" s="15" t="str">
        <f aca="false">IF(B14454&lt;5,"Go","Standard")</f>
        <v>Standard</v>
      </c>
    </row>
    <row r="14455" customFormat="false" ht="15" hidden="false" customHeight="true" outlineLevel="0" collapsed="false">
      <c r="A14455" s="10" t="n">
        <f aca="false">Einstellungen!$B$5+INT((ROW()-9)/24)</f>
        <v>46567</v>
      </c>
      <c r="B14455" s="11" t="n">
        <f aca="false">MOD(ROW()-9,24)</f>
        <v>22</v>
      </c>
      <c r="C14455" s="12"/>
      <c r="D14455" s="13" t="n">
        <f aca="false">IF(B14455&lt;5,Einstellungen!$B$3,Einstellungen!$B$4)</f>
        <v>29.13</v>
      </c>
      <c r="E14455" s="14" t="str">
        <f aca="false">IF(C14455="","",C14455*D14455/100)</f>
        <v/>
      </c>
      <c r="F14455" s="15" t="str">
        <f aca="false">IF(B14455&lt;5,"Go","Standard")</f>
        <v>Standard</v>
      </c>
    </row>
    <row r="14456" customFormat="false" ht="15" hidden="false" customHeight="true" outlineLevel="0" collapsed="false">
      <c r="A14456" s="10" t="n">
        <f aca="false">Einstellungen!$B$5+INT((ROW()-9)/24)</f>
        <v>46567</v>
      </c>
      <c r="B14456" s="11" t="n">
        <f aca="false">MOD(ROW()-9,24)</f>
        <v>23</v>
      </c>
      <c r="C14456" s="12"/>
      <c r="D14456" s="13" t="n">
        <f aca="false">IF(B14456&lt;5,Einstellungen!$B$3,Einstellungen!$B$4)</f>
        <v>29.13</v>
      </c>
      <c r="E14456" s="14" t="str">
        <f aca="false">IF(C14456="","",C14456*D14456/100)</f>
        <v/>
      </c>
      <c r="F14456" s="15" t="str">
        <f aca="false">IF(B14456&lt;5,"Go","Standard")</f>
        <v>Standard</v>
      </c>
    </row>
    <row r="14457" customFormat="false" ht="15" hidden="false" customHeight="true" outlineLevel="0" collapsed="false">
      <c r="A14457" s="10" t="n">
        <f aca="false">Einstellungen!$B$5+INT((ROW()-9)/24)</f>
        <v>46568</v>
      </c>
      <c r="B14457" s="11" t="n">
        <f aca="false">MOD(ROW()-9,24)</f>
        <v>0</v>
      </c>
      <c r="C14457" s="12"/>
      <c r="D14457" s="13" t="n">
        <f aca="false">IF(B14457&lt;5,Einstellungen!$B$3,Einstellungen!$B$4)</f>
        <v>15.92</v>
      </c>
      <c r="E14457" s="14" t="str">
        <f aca="false">IF(C14457="","",C14457*D14457/100)</f>
        <v/>
      </c>
      <c r="F14457" s="15" t="str">
        <f aca="false">IF(B14457&lt;5,"Go","Standard")</f>
        <v>Go</v>
      </c>
    </row>
    <row r="14458" customFormat="false" ht="15" hidden="false" customHeight="true" outlineLevel="0" collapsed="false">
      <c r="A14458" s="10" t="n">
        <f aca="false">Einstellungen!$B$5+INT((ROW()-9)/24)</f>
        <v>46568</v>
      </c>
      <c r="B14458" s="11" t="n">
        <f aca="false">MOD(ROW()-9,24)</f>
        <v>1</v>
      </c>
      <c r="C14458" s="12"/>
      <c r="D14458" s="13" t="n">
        <f aca="false">IF(B14458&lt;5,Einstellungen!$B$3,Einstellungen!$B$4)</f>
        <v>15.92</v>
      </c>
      <c r="E14458" s="14" t="str">
        <f aca="false">IF(C14458="","",C14458*D14458/100)</f>
        <v/>
      </c>
      <c r="F14458" s="15" t="str">
        <f aca="false">IF(B14458&lt;5,"Go","Standard")</f>
        <v>Go</v>
      </c>
    </row>
    <row r="14459" customFormat="false" ht="15" hidden="false" customHeight="true" outlineLevel="0" collapsed="false">
      <c r="A14459" s="10" t="n">
        <f aca="false">Einstellungen!$B$5+INT((ROW()-9)/24)</f>
        <v>46568</v>
      </c>
      <c r="B14459" s="11" t="n">
        <f aca="false">MOD(ROW()-9,24)</f>
        <v>2</v>
      </c>
      <c r="C14459" s="12"/>
      <c r="D14459" s="13" t="n">
        <f aca="false">IF(B14459&lt;5,Einstellungen!$B$3,Einstellungen!$B$4)</f>
        <v>15.92</v>
      </c>
      <c r="E14459" s="14" t="str">
        <f aca="false">IF(C14459="","",C14459*D14459/100)</f>
        <v/>
      </c>
      <c r="F14459" s="15" t="str">
        <f aca="false">IF(B14459&lt;5,"Go","Standard")</f>
        <v>Go</v>
      </c>
    </row>
    <row r="14460" customFormat="false" ht="15" hidden="false" customHeight="true" outlineLevel="0" collapsed="false">
      <c r="A14460" s="10" t="n">
        <f aca="false">Einstellungen!$B$5+INT((ROW()-9)/24)</f>
        <v>46568</v>
      </c>
      <c r="B14460" s="11" t="n">
        <f aca="false">MOD(ROW()-9,24)</f>
        <v>3</v>
      </c>
      <c r="C14460" s="12"/>
      <c r="D14460" s="13" t="n">
        <f aca="false">IF(B14460&lt;5,Einstellungen!$B$3,Einstellungen!$B$4)</f>
        <v>15.92</v>
      </c>
      <c r="E14460" s="14" t="str">
        <f aca="false">IF(C14460="","",C14460*D14460/100)</f>
        <v/>
      </c>
      <c r="F14460" s="15" t="str">
        <f aca="false">IF(B14460&lt;5,"Go","Standard")</f>
        <v>Go</v>
      </c>
    </row>
    <row r="14461" customFormat="false" ht="15" hidden="false" customHeight="true" outlineLevel="0" collapsed="false">
      <c r="A14461" s="10" t="n">
        <f aca="false">Einstellungen!$B$5+INT((ROW()-9)/24)</f>
        <v>46568</v>
      </c>
      <c r="B14461" s="11" t="n">
        <f aca="false">MOD(ROW()-9,24)</f>
        <v>4</v>
      </c>
      <c r="C14461" s="12"/>
      <c r="D14461" s="13" t="n">
        <f aca="false">IF(B14461&lt;5,Einstellungen!$B$3,Einstellungen!$B$4)</f>
        <v>15.92</v>
      </c>
      <c r="E14461" s="14" t="str">
        <f aca="false">IF(C14461="","",C14461*D14461/100)</f>
        <v/>
      </c>
      <c r="F14461" s="15" t="str">
        <f aca="false">IF(B14461&lt;5,"Go","Standard")</f>
        <v>Go</v>
      </c>
    </row>
    <row r="14462" customFormat="false" ht="15" hidden="false" customHeight="true" outlineLevel="0" collapsed="false">
      <c r="A14462" s="10" t="n">
        <f aca="false">Einstellungen!$B$5+INT((ROW()-9)/24)</f>
        <v>46568</v>
      </c>
      <c r="B14462" s="11" t="n">
        <f aca="false">MOD(ROW()-9,24)</f>
        <v>5</v>
      </c>
      <c r="C14462" s="12"/>
      <c r="D14462" s="13" t="n">
        <f aca="false">IF(B14462&lt;5,Einstellungen!$B$3,Einstellungen!$B$4)</f>
        <v>29.13</v>
      </c>
      <c r="E14462" s="14" t="str">
        <f aca="false">IF(C14462="","",C14462*D14462/100)</f>
        <v/>
      </c>
      <c r="F14462" s="15" t="str">
        <f aca="false">IF(B14462&lt;5,"Go","Standard")</f>
        <v>Standard</v>
      </c>
    </row>
    <row r="14463" customFormat="false" ht="15" hidden="false" customHeight="true" outlineLevel="0" collapsed="false">
      <c r="A14463" s="10" t="n">
        <f aca="false">Einstellungen!$B$5+INT((ROW()-9)/24)</f>
        <v>46568</v>
      </c>
      <c r="B14463" s="11" t="n">
        <f aca="false">MOD(ROW()-9,24)</f>
        <v>6</v>
      </c>
      <c r="C14463" s="12"/>
      <c r="D14463" s="13" t="n">
        <f aca="false">IF(B14463&lt;5,Einstellungen!$B$3,Einstellungen!$B$4)</f>
        <v>29.13</v>
      </c>
      <c r="E14463" s="14" t="str">
        <f aca="false">IF(C14463="","",C14463*D14463/100)</f>
        <v/>
      </c>
      <c r="F14463" s="15" t="str">
        <f aca="false">IF(B14463&lt;5,"Go","Standard")</f>
        <v>Standard</v>
      </c>
    </row>
    <row r="14464" customFormat="false" ht="15" hidden="false" customHeight="true" outlineLevel="0" collapsed="false">
      <c r="A14464" s="10" t="n">
        <f aca="false">Einstellungen!$B$5+INT((ROW()-9)/24)</f>
        <v>46568</v>
      </c>
      <c r="B14464" s="11" t="n">
        <f aca="false">MOD(ROW()-9,24)</f>
        <v>7</v>
      </c>
      <c r="C14464" s="12"/>
      <c r="D14464" s="13" t="n">
        <f aca="false">IF(B14464&lt;5,Einstellungen!$B$3,Einstellungen!$B$4)</f>
        <v>29.13</v>
      </c>
      <c r="E14464" s="14" t="str">
        <f aca="false">IF(C14464="","",C14464*D14464/100)</f>
        <v/>
      </c>
      <c r="F14464" s="15" t="str">
        <f aca="false">IF(B14464&lt;5,"Go","Standard")</f>
        <v>Standard</v>
      </c>
    </row>
    <row r="14465" customFormat="false" ht="15" hidden="false" customHeight="true" outlineLevel="0" collapsed="false">
      <c r="A14465" s="10" t="n">
        <f aca="false">Einstellungen!$B$5+INT((ROW()-9)/24)</f>
        <v>46568</v>
      </c>
      <c r="B14465" s="11" t="n">
        <f aca="false">MOD(ROW()-9,24)</f>
        <v>8</v>
      </c>
      <c r="C14465" s="12"/>
      <c r="D14465" s="13" t="n">
        <f aca="false">IF(B14465&lt;5,Einstellungen!$B$3,Einstellungen!$B$4)</f>
        <v>29.13</v>
      </c>
      <c r="E14465" s="14" t="str">
        <f aca="false">IF(C14465="","",C14465*D14465/100)</f>
        <v/>
      </c>
      <c r="F14465" s="15" t="str">
        <f aca="false">IF(B14465&lt;5,"Go","Standard")</f>
        <v>Standard</v>
      </c>
    </row>
    <row r="14466" customFormat="false" ht="15" hidden="false" customHeight="true" outlineLevel="0" collapsed="false">
      <c r="A14466" s="10" t="n">
        <f aca="false">Einstellungen!$B$5+INT((ROW()-9)/24)</f>
        <v>46568</v>
      </c>
      <c r="B14466" s="11" t="n">
        <f aca="false">MOD(ROW()-9,24)</f>
        <v>9</v>
      </c>
      <c r="C14466" s="12"/>
      <c r="D14466" s="13" t="n">
        <f aca="false">IF(B14466&lt;5,Einstellungen!$B$3,Einstellungen!$B$4)</f>
        <v>29.13</v>
      </c>
      <c r="E14466" s="14" t="str">
        <f aca="false">IF(C14466="","",C14466*D14466/100)</f>
        <v/>
      </c>
      <c r="F14466" s="15" t="str">
        <f aca="false">IF(B14466&lt;5,"Go","Standard")</f>
        <v>Standard</v>
      </c>
    </row>
    <row r="14467" customFormat="false" ht="15" hidden="false" customHeight="true" outlineLevel="0" collapsed="false">
      <c r="A14467" s="10" t="n">
        <f aca="false">Einstellungen!$B$5+INT((ROW()-9)/24)</f>
        <v>46568</v>
      </c>
      <c r="B14467" s="11" t="n">
        <f aca="false">MOD(ROW()-9,24)</f>
        <v>10</v>
      </c>
      <c r="C14467" s="12"/>
      <c r="D14467" s="13" t="n">
        <f aca="false">IF(B14467&lt;5,Einstellungen!$B$3,Einstellungen!$B$4)</f>
        <v>29.13</v>
      </c>
      <c r="E14467" s="14" t="str">
        <f aca="false">IF(C14467="","",C14467*D14467/100)</f>
        <v/>
      </c>
      <c r="F14467" s="15" t="str">
        <f aca="false">IF(B14467&lt;5,"Go","Standard")</f>
        <v>Standard</v>
      </c>
    </row>
    <row r="14468" customFormat="false" ht="15" hidden="false" customHeight="true" outlineLevel="0" collapsed="false">
      <c r="A14468" s="10" t="n">
        <f aca="false">Einstellungen!$B$5+INT((ROW()-9)/24)</f>
        <v>46568</v>
      </c>
      <c r="B14468" s="11" t="n">
        <f aca="false">MOD(ROW()-9,24)</f>
        <v>11</v>
      </c>
      <c r="C14468" s="12"/>
      <c r="D14468" s="13" t="n">
        <f aca="false">IF(B14468&lt;5,Einstellungen!$B$3,Einstellungen!$B$4)</f>
        <v>29.13</v>
      </c>
      <c r="E14468" s="14" t="str">
        <f aca="false">IF(C14468="","",C14468*D14468/100)</f>
        <v/>
      </c>
      <c r="F14468" s="15" t="str">
        <f aca="false">IF(B14468&lt;5,"Go","Standard")</f>
        <v>Standard</v>
      </c>
    </row>
    <row r="14469" customFormat="false" ht="15" hidden="false" customHeight="true" outlineLevel="0" collapsed="false">
      <c r="A14469" s="10" t="n">
        <f aca="false">Einstellungen!$B$5+INT((ROW()-9)/24)</f>
        <v>46568</v>
      </c>
      <c r="B14469" s="11" t="n">
        <f aca="false">MOD(ROW()-9,24)</f>
        <v>12</v>
      </c>
      <c r="C14469" s="12"/>
      <c r="D14469" s="13" t="n">
        <f aca="false">IF(B14469&lt;5,Einstellungen!$B$3,Einstellungen!$B$4)</f>
        <v>29.13</v>
      </c>
      <c r="E14469" s="14" t="str">
        <f aca="false">IF(C14469="","",C14469*D14469/100)</f>
        <v/>
      </c>
      <c r="F14469" s="15" t="str">
        <f aca="false">IF(B14469&lt;5,"Go","Standard")</f>
        <v>Standard</v>
      </c>
    </row>
    <row r="14470" customFormat="false" ht="15" hidden="false" customHeight="true" outlineLevel="0" collapsed="false">
      <c r="A14470" s="10" t="n">
        <f aca="false">Einstellungen!$B$5+INT((ROW()-9)/24)</f>
        <v>46568</v>
      </c>
      <c r="B14470" s="11" t="n">
        <f aca="false">MOD(ROW()-9,24)</f>
        <v>13</v>
      </c>
      <c r="C14470" s="12"/>
      <c r="D14470" s="13" t="n">
        <f aca="false">IF(B14470&lt;5,Einstellungen!$B$3,Einstellungen!$B$4)</f>
        <v>29.13</v>
      </c>
      <c r="E14470" s="14" t="str">
        <f aca="false">IF(C14470="","",C14470*D14470/100)</f>
        <v/>
      </c>
      <c r="F14470" s="15" t="str">
        <f aca="false">IF(B14470&lt;5,"Go","Standard")</f>
        <v>Standard</v>
      </c>
    </row>
    <row r="14471" customFormat="false" ht="15" hidden="false" customHeight="true" outlineLevel="0" collapsed="false">
      <c r="A14471" s="10" t="n">
        <f aca="false">Einstellungen!$B$5+INT((ROW()-9)/24)</f>
        <v>46568</v>
      </c>
      <c r="B14471" s="11" t="n">
        <f aca="false">MOD(ROW()-9,24)</f>
        <v>14</v>
      </c>
      <c r="C14471" s="12"/>
      <c r="D14471" s="13" t="n">
        <f aca="false">IF(B14471&lt;5,Einstellungen!$B$3,Einstellungen!$B$4)</f>
        <v>29.13</v>
      </c>
      <c r="E14471" s="14" t="str">
        <f aca="false">IF(C14471="","",C14471*D14471/100)</f>
        <v/>
      </c>
      <c r="F14471" s="15" t="str">
        <f aca="false">IF(B14471&lt;5,"Go","Standard")</f>
        <v>Standard</v>
      </c>
    </row>
    <row r="14472" customFormat="false" ht="15" hidden="false" customHeight="true" outlineLevel="0" collapsed="false">
      <c r="A14472" s="10" t="n">
        <f aca="false">Einstellungen!$B$5+INT((ROW()-9)/24)</f>
        <v>46568</v>
      </c>
      <c r="B14472" s="11" t="n">
        <f aca="false">MOD(ROW()-9,24)</f>
        <v>15</v>
      </c>
      <c r="C14472" s="12"/>
      <c r="D14472" s="13" t="n">
        <f aca="false">IF(B14472&lt;5,Einstellungen!$B$3,Einstellungen!$B$4)</f>
        <v>29.13</v>
      </c>
      <c r="E14472" s="14" t="str">
        <f aca="false">IF(C14472="","",C14472*D14472/100)</f>
        <v/>
      </c>
      <c r="F14472" s="15" t="str">
        <f aca="false">IF(B14472&lt;5,"Go","Standard")</f>
        <v>Standard</v>
      </c>
    </row>
    <row r="14473" customFormat="false" ht="15" hidden="false" customHeight="true" outlineLevel="0" collapsed="false">
      <c r="A14473" s="10" t="n">
        <f aca="false">Einstellungen!$B$5+INT((ROW()-9)/24)</f>
        <v>46568</v>
      </c>
      <c r="B14473" s="11" t="n">
        <f aca="false">MOD(ROW()-9,24)</f>
        <v>16</v>
      </c>
      <c r="C14473" s="12"/>
      <c r="D14473" s="13" t="n">
        <f aca="false">IF(B14473&lt;5,Einstellungen!$B$3,Einstellungen!$B$4)</f>
        <v>29.13</v>
      </c>
      <c r="E14473" s="14" t="str">
        <f aca="false">IF(C14473="","",C14473*D14473/100)</f>
        <v/>
      </c>
      <c r="F14473" s="15" t="str">
        <f aca="false">IF(B14473&lt;5,"Go","Standard")</f>
        <v>Standard</v>
      </c>
    </row>
    <row r="14474" customFormat="false" ht="15" hidden="false" customHeight="true" outlineLevel="0" collapsed="false">
      <c r="A14474" s="10" t="n">
        <f aca="false">Einstellungen!$B$5+INT((ROW()-9)/24)</f>
        <v>46568</v>
      </c>
      <c r="B14474" s="11" t="n">
        <f aca="false">MOD(ROW()-9,24)</f>
        <v>17</v>
      </c>
      <c r="C14474" s="12"/>
      <c r="D14474" s="13" t="n">
        <f aca="false">IF(B14474&lt;5,Einstellungen!$B$3,Einstellungen!$B$4)</f>
        <v>29.13</v>
      </c>
      <c r="E14474" s="14" t="str">
        <f aca="false">IF(C14474="","",C14474*D14474/100)</f>
        <v/>
      </c>
      <c r="F14474" s="15" t="str">
        <f aca="false">IF(B14474&lt;5,"Go","Standard")</f>
        <v>Standard</v>
      </c>
    </row>
    <row r="14475" customFormat="false" ht="15" hidden="false" customHeight="true" outlineLevel="0" collapsed="false">
      <c r="A14475" s="10" t="n">
        <f aca="false">Einstellungen!$B$5+INT((ROW()-9)/24)</f>
        <v>46568</v>
      </c>
      <c r="B14475" s="11" t="n">
        <f aca="false">MOD(ROW()-9,24)</f>
        <v>18</v>
      </c>
      <c r="C14475" s="12"/>
      <c r="D14475" s="13" t="n">
        <f aca="false">IF(B14475&lt;5,Einstellungen!$B$3,Einstellungen!$B$4)</f>
        <v>29.13</v>
      </c>
      <c r="E14475" s="14" t="str">
        <f aca="false">IF(C14475="","",C14475*D14475/100)</f>
        <v/>
      </c>
      <c r="F14475" s="15" t="str">
        <f aca="false">IF(B14475&lt;5,"Go","Standard")</f>
        <v>Standard</v>
      </c>
    </row>
    <row r="14476" customFormat="false" ht="15" hidden="false" customHeight="true" outlineLevel="0" collapsed="false">
      <c r="A14476" s="10" t="n">
        <f aca="false">Einstellungen!$B$5+INT((ROW()-9)/24)</f>
        <v>46568</v>
      </c>
      <c r="B14476" s="11" t="n">
        <f aca="false">MOD(ROW()-9,24)</f>
        <v>19</v>
      </c>
      <c r="C14476" s="12"/>
      <c r="D14476" s="13" t="n">
        <f aca="false">IF(B14476&lt;5,Einstellungen!$B$3,Einstellungen!$B$4)</f>
        <v>29.13</v>
      </c>
      <c r="E14476" s="14" t="str">
        <f aca="false">IF(C14476="","",C14476*D14476/100)</f>
        <v/>
      </c>
      <c r="F14476" s="15" t="str">
        <f aca="false">IF(B14476&lt;5,"Go","Standard")</f>
        <v>Standard</v>
      </c>
    </row>
    <row r="14477" customFormat="false" ht="15" hidden="false" customHeight="true" outlineLevel="0" collapsed="false">
      <c r="A14477" s="10" t="n">
        <f aca="false">Einstellungen!$B$5+INT((ROW()-9)/24)</f>
        <v>46568</v>
      </c>
      <c r="B14477" s="11" t="n">
        <f aca="false">MOD(ROW()-9,24)</f>
        <v>20</v>
      </c>
      <c r="C14477" s="12"/>
      <c r="D14477" s="13" t="n">
        <f aca="false">IF(B14477&lt;5,Einstellungen!$B$3,Einstellungen!$B$4)</f>
        <v>29.13</v>
      </c>
      <c r="E14477" s="14" t="str">
        <f aca="false">IF(C14477="","",C14477*D14477/100)</f>
        <v/>
      </c>
      <c r="F14477" s="15" t="str">
        <f aca="false">IF(B14477&lt;5,"Go","Standard")</f>
        <v>Standard</v>
      </c>
    </row>
    <row r="14478" customFormat="false" ht="15" hidden="false" customHeight="true" outlineLevel="0" collapsed="false">
      <c r="A14478" s="10" t="n">
        <f aca="false">Einstellungen!$B$5+INT((ROW()-9)/24)</f>
        <v>46568</v>
      </c>
      <c r="B14478" s="11" t="n">
        <f aca="false">MOD(ROW()-9,24)</f>
        <v>21</v>
      </c>
      <c r="C14478" s="12"/>
      <c r="D14478" s="13" t="n">
        <f aca="false">IF(B14478&lt;5,Einstellungen!$B$3,Einstellungen!$B$4)</f>
        <v>29.13</v>
      </c>
      <c r="E14478" s="14" t="str">
        <f aca="false">IF(C14478="","",C14478*D14478/100)</f>
        <v/>
      </c>
      <c r="F14478" s="15" t="str">
        <f aca="false">IF(B14478&lt;5,"Go","Standard")</f>
        <v>Standard</v>
      </c>
    </row>
    <row r="14479" customFormat="false" ht="15" hidden="false" customHeight="true" outlineLevel="0" collapsed="false">
      <c r="A14479" s="10" t="n">
        <f aca="false">Einstellungen!$B$5+INT((ROW()-9)/24)</f>
        <v>46568</v>
      </c>
      <c r="B14479" s="11" t="n">
        <f aca="false">MOD(ROW()-9,24)</f>
        <v>22</v>
      </c>
      <c r="C14479" s="12"/>
      <c r="D14479" s="13" t="n">
        <f aca="false">IF(B14479&lt;5,Einstellungen!$B$3,Einstellungen!$B$4)</f>
        <v>29.13</v>
      </c>
      <c r="E14479" s="14" t="str">
        <f aca="false">IF(C14479="","",C14479*D14479/100)</f>
        <v/>
      </c>
      <c r="F14479" s="15" t="str">
        <f aca="false">IF(B14479&lt;5,"Go","Standard")</f>
        <v>Standard</v>
      </c>
    </row>
    <row r="14480" customFormat="false" ht="15" hidden="false" customHeight="true" outlineLevel="0" collapsed="false">
      <c r="A14480" s="10" t="n">
        <f aca="false">Einstellungen!$B$5+INT((ROW()-9)/24)</f>
        <v>46568</v>
      </c>
      <c r="B14480" s="11" t="n">
        <f aca="false">MOD(ROW()-9,24)</f>
        <v>23</v>
      </c>
      <c r="C14480" s="12"/>
      <c r="D14480" s="13" t="n">
        <f aca="false">IF(B14480&lt;5,Einstellungen!$B$3,Einstellungen!$B$4)</f>
        <v>29.13</v>
      </c>
      <c r="E14480" s="14" t="str">
        <f aca="false">IF(C14480="","",C14480*D14480/100)</f>
        <v/>
      </c>
      <c r="F14480" s="15" t="str">
        <f aca="false">IF(B14480&lt;5,"Go","Standard")</f>
        <v>Standard</v>
      </c>
    </row>
    <row r="14481" customFormat="false" ht="15" hidden="false" customHeight="true" outlineLevel="0" collapsed="false">
      <c r="A14481" s="10" t="n">
        <f aca="false">Einstellungen!$B$5+INT((ROW()-9)/24)</f>
        <v>46569</v>
      </c>
      <c r="B14481" s="11" t="n">
        <f aca="false">MOD(ROW()-9,24)</f>
        <v>0</v>
      </c>
      <c r="C14481" s="12"/>
      <c r="D14481" s="13" t="n">
        <f aca="false">IF(B14481&lt;5,Einstellungen!$B$3,Einstellungen!$B$4)</f>
        <v>15.92</v>
      </c>
      <c r="E14481" s="14" t="str">
        <f aca="false">IF(C14481="","",C14481*D14481/100)</f>
        <v/>
      </c>
      <c r="F14481" s="15" t="str">
        <f aca="false">IF(B14481&lt;5,"Go","Standard")</f>
        <v>Go</v>
      </c>
    </row>
    <row r="14482" customFormat="false" ht="15" hidden="false" customHeight="true" outlineLevel="0" collapsed="false">
      <c r="A14482" s="10" t="n">
        <f aca="false">Einstellungen!$B$5+INT((ROW()-9)/24)</f>
        <v>46569</v>
      </c>
      <c r="B14482" s="11" t="n">
        <f aca="false">MOD(ROW()-9,24)</f>
        <v>1</v>
      </c>
      <c r="C14482" s="12"/>
      <c r="D14482" s="13" t="n">
        <f aca="false">IF(B14482&lt;5,Einstellungen!$B$3,Einstellungen!$B$4)</f>
        <v>15.92</v>
      </c>
      <c r="E14482" s="14" t="str">
        <f aca="false">IF(C14482="","",C14482*D14482/100)</f>
        <v/>
      </c>
      <c r="F14482" s="15" t="str">
        <f aca="false">IF(B14482&lt;5,"Go","Standard")</f>
        <v>Go</v>
      </c>
    </row>
    <row r="14483" customFormat="false" ht="15" hidden="false" customHeight="true" outlineLevel="0" collapsed="false">
      <c r="A14483" s="10" t="n">
        <f aca="false">Einstellungen!$B$5+INT((ROW()-9)/24)</f>
        <v>46569</v>
      </c>
      <c r="B14483" s="11" t="n">
        <f aca="false">MOD(ROW()-9,24)</f>
        <v>2</v>
      </c>
      <c r="C14483" s="12"/>
      <c r="D14483" s="13" t="n">
        <f aca="false">IF(B14483&lt;5,Einstellungen!$B$3,Einstellungen!$B$4)</f>
        <v>15.92</v>
      </c>
      <c r="E14483" s="14" t="str">
        <f aca="false">IF(C14483="","",C14483*D14483/100)</f>
        <v/>
      </c>
      <c r="F14483" s="15" t="str">
        <f aca="false">IF(B14483&lt;5,"Go","Standard")</f>
        <v>Go</v>
      </c>
    </row>
    <row r="14484" customFormat="false" ht="15" hidden="false" customHeight="true" outlineLevel="0" collapsed="false">
      <c r="A14484" s="10" t="n">
        <f aca="false">Einstellungen!$B$5+INT((ROW()-9)/24)</f>
        <v>46569</v>
      </c>
      <c r="B14484" s="11" t="n">
        <f aca="false">MOD(ROW()-9,24)</f>
        <v>3</v>
      </c>
      <c r="C14484" s="12"/>
      <c r="D14484" s="13" t="n">
        <f aca="false">IF(B14484&lt;5,Einstellungen!$B$3,Einstellungen!$B$4)</f>
        <v>15.92</v>
      </c>
      <c r="E14484" s="14" t="str">
        <f aca="false">IF(C14484="","",C14484*D14484/100)</f>
        <v/>
      </c>
      <c r="F14484" s="15" t="str">
        <f aca="false">IF(B14484&lt;5,"Go","Standard")</f>
        <v>Go</v>
      </c>
    </row>
    <row r="14485" customFormat="false" ht="15" hidden="false" customHeight="true" outlineLevel="0" collapsed="false">
      <c r="A14485" s="10" t="n">
        <f aca="false">Einstellungen!$B$5+INT((ROW()-9)/24)</f>
        <v>46569</v>
      </c>
      <c r="B14485" s="11" t="n">
        <f aca="false">MOD(ROW()-9,24)</f>
        <v>4</v>
      </c>
      <c r="C14485" s="12"/>
      <c r="D14485" s="13" t="n">
        <f aca="false">IF(B14485&lt;5,Einstellungen!$B$3,Einstellungen!$B$4)</f>
        <v>15.92</v>
      </c>
      <c r="E14485" s="14" t="str">
        <f aca="false">IF(C14485="","",C14485*D14485/100)</f>
        <v/>
      </c>
      <c r="F14485" s="15" t="str">
        <f aca="false">IF(B14485&lt;5,"Go","Standard")</f>
        <v>Go</v>
      </c>
    </row>
    <row r="14486" customFormat="false" ht="15" hidden="false" customHeight="true" outlineLevel="0" collapsed="false">
      <c r="A14486" s="10" t="n">
        <f aca="false">Einstellungen!$B$5+INT((ROW()-9)/24)</f>
        <v>46569</v>
      </c>
      <c r="B14486" s="11" t="n">
        <f aca="false">MOD(ROW()-9,24)</f>
        <v>5</v>
      </c>
      <c r="C14486" s="12"/>
      <c r="D14486" s="13" t="n">
        <f aca="false">IF(B14486&lt;5,Einstellungen!$B$3,Einstellungen!$B$4)</f>
        <v>29.13</v>
      </c>
      <c r="E14486" s="14" t="str">
        <f aca="false">IF(C14486="","",C14486*D14486/100)</f>
        <v/>
      </c>
      <c r="F14486" s="15" t="str">
        <f aca="false">IF(B14486&lt;5,"Go","Standard")</f>
        <v>Standard</v>
      </c>
    </row>
    <row r="14487" customFormat="false" ht="15" hidden="false" customHeight="true" outlineLevel="0" collapsed="false">
      <c r="A14487" s="10" t="n">
        <f aca="false">Einstellungen!$B$5+INT((ROW()-9)/24)</f>
        <v>46569</v>
      </c>
      <c r="B14487" s="11" t="n">
        <f aca="false">MOD(ROW()-9,24)</f>
        <v>6</v>
      </c>
      <c r="C14487" s="12"/>
      <c r="D14487" s="13" t="n">
        <f aca="false">IF(B14487&lt;5,Einstellungen!$B$3,Einstellungen!$B$4)</f>
        <v>29.13</v>
      </c>
      <c r="E14487" s="14" t="str">
        <f aca="false">IF(C14487="","",C14487*D14487/100)</f>
        <v/>
      </c>
      <c r="F14487" s="15" t="str">
        <f aca="false">IF(B14487&lt;5,"Go","Standard")</f>
        <v>Standard</v>
      </c>
    </row>
    <row r="14488" customFormat="false" ht="15" hidden="false" customHeight="true" outlineLevel="0" collapsed="false">
      <c r="A14488" s="10" t="n">
        <f aca="false">Einstellungen!$B$5+INT((ROW()-9)/24)</f>
        <v>46569</v>
      </c>
      <c r="B14488" s="11" t="n">
        <f aca="false">MOD(ROW()-9,24)</f>
        <v>7</v>
      </c>
      <c r="C14488" s="12"/>
      <c r="D14488" s="13" t="n">
        <f aca="false">IF(B14488&lt;5,Einstellungen!$B$3,Einstellungen!$B$4)</f>
        <v>29.13</v>
      </c>
      <c r="E14488" s="14" t="str">
        <f aca="false">IF(C14488="","",C14488*D14488/100)</f>
        <v/>
      </c>
      <c r="F14488" s="15" t="str">
        <f aca="false">IF(B14488&lt;5,"Go","Standard")</f>
        <v>Standard</v>
      </c>
    </row>
    <row r="14489" customFormat="false" ht="15" hidden="false" customHeight="true" outlineLevel="0" collapsed="false">
      <c r="A14489" s="10" t="n">
        <f aca="false">Einstellungen!$B$5+INT((ROW()-9)/24)</f>
        <v>46569</v>
      </c>
      <c r="B14489" s="11" t="n">
        <f aca="false">MOD(ROW()-9,24)</f>
        <v>8</v>
      </c>
      <c r="C14489" s="12"/>
      <c r="D14489" s="13" t="n">
        <f aca="false">IF(B14489&lt;5,Einstellungen!$B$3,Einstellungen!$B$4)</f>
        <v>29.13</v>
      </c>
      <c r="E14489" s="14" t="str">
        <f aca="false">IF(C14489="","",C14489*D14489/100)</f>
        <v/>
      </c>
      <c r="F14489" s="15" t="str">
        <f aca="false">IF(B14489&lt;5,"Go","Standard")</f>
        <v>Standard</v>
      </c>
    </row>
    <row r="14490" customFormat="false" ht="15" hidden="false" customHeight="true" outlineLevel="0" collapsed="false">
      <c r="A14490" s="10" t="n">
        <f aca="false">Einstellungen!$B$5+INT((ROW()-9)/24)</f>
        <v>46569</v>
      </c>
      <c r="B14490" s="11" t="n">
        <f aca="false">MOD(ROW()-9,24)</f>
        <v>9</v>
      </c>
      <c r="C14490" s="12"/>
      <c r="D14490" s="13" t="n">
        <f aca="false">IF(B14490&lt;5,Einstellungen!$B$3,Einstellungen!$B$4)</f>
        <v>29.13</v>
      </c>
      <c r="E14490" s="14" t="str">
        <f aca="false">IF(C14490="","",C14490*D14490/100)</f>
        <v/>
      </c>
      <c r="F14490" s="15" t="str">
        <f aca="false">IF(B14490&lt;5,"Go","Standard")</f>
        <v>Standard</v>
      </c>
    </row>
    <row r="14491" customFormat="false" ht="15" hidden="false" customHeight="true" outlineLevel="0" collapsed="false">
      <c r="A14491" s="10" t="n">
        <f aca="false">Einstellungen!$B$5+INT((ROW()-9)/24)</f>
        <v>46569</v>
      </c>
      <c r="B14491" s="11" t="n">
        <f aca="false">MOD(ROW()-9,24)</f>
        <v>10</v>
      </c>
      <c r="C14491" s="12"/>
      <c r="D14491" s="13" t="n">
        <f aca="false">IF(B14491&lt;5,Einstellungen!$B$3,Einstellungen!$B$4)</f>
        <v>29.13</v>
      </c>
      <c r="E14491" s="14" t="str">
        <f aca="false">IF(C14491="","",C14491*D14491/100)</f>
        <v/>
      </c>
      <c r="F14491" s="15" t="str">
        <f aca="false">IF(B14491&lt;5,"Go","Standard")</f>
        <v>Standard</v>
      </c>
    </row>
    <row r="14492" customFormat="false" ht="15" hidden="false" customHeight="true" outlineLevel="0" collapsed="false">
      <c r="A14492" s="10" t="n">
        <f aca="false">Einstellungen!$B$5+INT((ROW()-9)/24)</f>
        <v>46569</v>
      </c>
      <c r="B14492" s="11" t="n">
        <f aca="false">MOD(ROW()-9,24)</f>
        <v>11</v>
      </c>
      <c r="C14492" s="12"/>
      <c r="D14492" s="13" t="n">
        <f aca="false">IF(B14492&lt;5,Einstellungen!$B$3,Einstellungen!$B$4)</f>
        <v>29.13</v>
      </c>
      <c r="E14492" s="14" t="str">
        <f aca="false">IF(C14492="","",C14492*D14492/100)</f>
        <v/>
      </c>
      <c r="F14492" s="15" t="str">
        <f aca="false">IF(B14492&lt;5,"Go","Standard")</f>
        <v>Standard</v>
      </c>
    </row>
    <row r="14493" customFormat="false" ht="15" hidden="false" customHeight="true" outlineLevel="0" collapsed="false">
      <c r="A14493" s="10" t="n">
        <f aca="false">Einstellungen!$B$5+INT((ROW()-9)/24)</f>
        <v>46569</v>
      </c>
      <c r="B14493" s="11" t="n">
        <f aca="false">MOD(ROW()-9,24)</f>
        <v>12</v>
      </c>
      <c r="C14493" s="12"/>
      <c r="D14493" s="13" t="n">
        <f aca="false">IF(B14493&lt;5,Einstellungen!$B$3,Einstellungen!$B$4)</f>
        <v>29.13</v>
      </c>
      <c r="E14493" s="14" t="str">
        <f aca="false">IF(C14493="","",C14493*D14493/100)</f>
        <v/>
      </c>
      <c r="F14493" s="15" t="str">
        <f aca="false">IF(B14493&lt;5,"Go","Standard")</f>
        <v>Standard</v>
      </c>
    </row>
    <row r="14494" customFormat="false" ht="15" hidden="false" customHeight="true" outlineLevel="0" collapsed="false">
      <c r="A14494" s="10" t="n">
        <f aca="false">Einstellungen!$B$5+INT((ROW()-9)/24)</f>
        <v>46569</v>
      </c>
      <c r="B14494" s="11" t="n">
        <f aca="false">MOD(ROW()-9,24)</f>
        <v>13</v>
      </c>
      <c r="C14494" s="12"/>
      <c r="D14494" s="13" t="n">
        <f aca="false">IF(B14494&lt;5,Einstellungen!$B$3,Einstellungen!$B$4)</f>
        <v>29.13</v>
      </c>
      <c r="E14494" s="14" t="str">
        <f aca="false">IF(C14494="","",C14494*D14494/100)</f>
        <v/>
      </c>
      <c r="F14494" s="15" t="str">
        <f aca="false">IF(B14494&lt;5,"Go","Standard")</f>
        <v>Standard</v>
      </c>
    </row>
    <row r="14495" customFormat="false" ht="15" hidden="false" customHeight="true" outlineLevel="0" collapsed="false">
      <c r="A14495" s="10" t="n">
        <f aca="false">Einstellungen!$B$5+INT((ROW()-9)/24)</f>
        <v>46569</v>
      </c>
      <c r="B14495" s="11" t="n">
        <f aca="false">MOD(ROW()-9,24)</f>
        <v>14</v>
      </c>
      <c r="C14495" s="12"/>
      <c r="D14495" s="13" t="n">
        <f aca="false">IF(B14495&lt;5,Einstellungen!$B$3,Einstellungen!$B$4)</f>
        <v>29.13</v>
      </c>
      <c r="E14495" s="14" t="str">
        <f aca="false">IF(C14495="","",C14495*D14495/100)</f>
        <v/>
      </c>
      <c r="F14495" s="15" t="str">
        <f aca="false">IF(B14495&lt;5,"Go","Standard")</f>
        <v>Standard</v>
      </c>
    </row>
    <row r="14496" customFormat="false" ht="15" hidden="false" customHeight="true" outlineLevel="0" collapsed="false">
      <c r="A14496" s="10" t="n">
        <f aca="false">Einstellungen!$B$5+INT((ROW()-9)/24)</f>
        <v>46569</v>
      </c>
      <c r="B14496" s="11" t="n">
        <f aca="false">MOD(ROW()-9,24)</f>
        <v>15</v>
      </c>
      <c r="C14496" s="12"/>
      <c r="D14496" s="13" t="n">
        <f aca="false">IF(B14496&lt;5,Einstellungen!$B$3,Einstellungen!$B$4)</f>
        <v>29.13</v>
      </c>
      <c r="E14496" s="14" t="str">
        <f aca="false">IF(C14496="","",C14496*D14496/100)</f>
        <v/>
      </c>
      <c r="F14496" s="15" t="str">
        <f aca="false">IF(B14496&lt;5,"Go","Standard")</f>
        <v>Standard</v>
      </c>
    </row>
    <row r="14497" customFormat="false" ht="15" hidden="false" customHeight="true" outlineLevel="0" collapsed="false">
      <c r="A14497" s="10" t="n">
        <f aca="false">Einstellungen!$B$5+INT((ROW()-9)/24)</f>
        <v>46569</v>
      </c>
      <c r="B14497" s="11" t="n">
        <f aca="false">MOD(ROW()-9,24)</f>
        <v>16</v>
      </c>
      <c r="C14497" s="12"/>
      <c r="D14497" s="13" t="n">
        <f aca="false">IF(B14497&lt;5,Einstellungen!$B$3,Einstellungen!$B$4)</f>
        <v>29.13</v>
      </c>
      <c r="E14497" s="14" t="str">
        <f aca="false">IF(C14497="","",C14497*D14497/100)</f>
        <v/>
      </c>
      <c r="F14497" s="15" t="str">
        <f aca="false">IF(B14497&lt;5,"Go","Standard")</f>
        <v>Standard</v>
      </c>
    </row>
    <row r="14498" customFormat="false" ht="15" hidden="false" customHeight="true" outlineLevel="0" collapsed="false">
      <c r="A14498" s="10" t="n">
        <f aca="false">Einstellungen!$B$5+INT((ROW()-9)/24)</f>
        <v>46569</v>
      </c>
      <c r="B14498" s="11" t="n">
        <f aca="false">MOD(ROW()-9,24)</f>
        <v>17</v>
      </c>
      <c r="C14498" s="12"/>
      <c r="D14498" s="13" t="n">
        <f aca="false">IF(B14498&lt;5,Einstellungen!$B$3,Einstellungen!$B$4)</f>
        <v>29.13</v>
      </c>
      <c r="E14498" s="14" t="str">
        <f aca="false">IF(C14498="","",C14498*D14498/100)</f>
        <v/>
      </c>
      <c r="F14498" s="15" t="str">
        <f aca="false">IF(B14498&lt;5,"Go","Standard")</f>
        <v>Standard</v>
      </c>
    </row>
    <row r="14499" customFormat="false" ht="15" hidden="false" customHeight="true" outlineLevel="0" collapsed="false">
      <c r="A14499" s="10" t="n">
        <f aca="false">Einstellungen!$B$5+INT((ROW()-9)/24)</f>
        <v>46569</v>
      </c>
      <c r="B14499" s="11" t="n">
        <f aca="false">MOD(ROW()-9,24)</f>
        <v>18</v>
      </c>
      <c r="C14499" s="12"/>
      <c r="D14499" s="13" t="n">
        <f aca="false">IF(B14499&lt;5,Einstellungen!$B$3,Einstellungen!$B$4)</f>
        <v>29.13</v>
      </c>
      <c r="E14499" s="14" t="str">
        <f aca="false">IF(C14499="","",C14499*D14499/100)</f>
        <v/>
      </c>
      <c r="F14499" s="15" t="str">
        <f aca="false">IF(B14499&lt;5,"Go","Standard")</f>
        <v>Standard</v>
      </c>
    </row>
    <row r="14500" customFormat="false" ht="15" hidden="false" customHeight="true" outlineLevel="0" collapsed="false">
      <c r="A14500" s="10" t="n">
        <f aca="false">Einstellungen!$B$5+INT((ROW()-9)/24)</f>
        <v>46569</v>
      </c>
      <c r="B14500" s="11" t="n">
        <f aca="false">MOD(ROW()-9,24)</f>
        <v>19</v>
      </c>
      <c r="C14500" s="12"/>
      <c r="D14500" s="13" t="n">
        <f aca="false">IF(B14500&lt;5,Einstellungen!$B$3,Einstellungen!$B$4)</f>
        <v>29.13</v>
      </c>
      <c r="E14500" s="14" t="str">
        <f aca="false">IF(C14500="","",C14500*D14500/100)</f>
        <v/>
      </c>
      <c r="F14500" s="15" t="str">
        <f aca="false">IF(B14500&lt;5,"Go","Standard")</f>
        <v>Standard</v>
      </c>
    </row>
    <row r="14501" customFormat="false" ht="15" hidden="false" customHeight="true" outlineLevel="0" collapsed="false">
      <c r="A14501" s="10" t="n">
        <f aca="false">Einstellungen!$B$5+INT((ROW()-9)/24)</f>
        <v>46569</v>
      </c>
      <c r="B14501" s="11" t="n">
        <f aca="false">MOD(ROW()-9,24)</f>
        <v>20</v>
      </c>
      <c r="C14501" s="12"/>
      <c r="D14501" s="13" t="n">
        <f aca="false">IF(B14501&lt;5,Einstellungen!$B$3,Einstellungen!$B$4)</f>
        <v>29.13</v>
      </c>
      <c r="E14501" s="14" t="str">
        <f aca="false">IF(C14501="","",C14501*D14501/100)</f>
        <v/>
      </c>
      <c r="F14501" s="15" t="str">
        <f aca="false">IF(B14501&lt;5,"Go","Standard")</f>
        <v>Standard</v>
      </c>
    </row>
    <row r="14502" customFormat="false" ht="15" hidden="false" customHeight="true" outlineLevel="0" collapsed="false">
      <c r="A14502" s="10" t="n">
        <f aca="false">Einstellungen!$B$5+INT((ROW()-9)/24)</f>
        <v>46569</v>
      </c>
      <c r="B14502" s="11" t="n">
        <f aca="false">MOD(ROW()-9,24)</f>
        <v>21</v>
      </c>
      <c r="C14502" s="12"/>
      <c r="D14502" s="13" t="n">
        <f aca="false">IF(B14502&lt;5,Einstellungen!$B$3,Einstellungen!$B$4)</f>
        <v>29.13</v>
      </c>
      <c r="E14502" s="14" t="str">
        <f aca="false">IF(C14502="","",C14502*D14502/100)</f>
        <v/>
      </c>
      <c r="F14502" s="15" t="str">
        <f aca="false">IF(B14502&lt;5,"Go","Standard")</f>
        <v>Standard</v>
      </c>
    </row>
    <row r="14503" customFormat="false" ht="15" hidden="false" customHeight="true" outlineLevel="0" collapsed="false">
      <c r="A14503" s="10" t="n">
        <f aca="false">Einstellungen!$B$5+INT((ROW()-9)/24)</f>
        <v>46569</v>
      </c>
      <c r="B14503" s="11" t="n">
        <f aca="false">MOD(ROW()-9,24)</f>
        <v>22</v>
      </c>
      <c r="C14503" s="12"/>
      <c r="D14503" s="13" t="n">
        <f aca="false">IF(B14503&lt;5,Einstellungen!$B$3,Einstellungen!$B$4)</f>
        <v>29.13</v>
      </c>
      <c r="E14503" s="14" t="str">
        <f aca="false">IF(C14503="","",C14503*D14503/100)</f>
        <v/>
      </c>
      <c r="F14503" s="15" t="str">
        <f aca="false">IF(B14503&lt;5,"Go","Standard")</f>
        <v>Standard</v>
      </c>
    </row>
    <row r="14504" customFormat="false" ht="15" hidden="false" customHeight="true" outlineLevel="0" collapsed="false">
      <c r="A14504" s="10" t="n">
        <f aca="false">Einstellungen!$B$5+INT((ROW()-9)/24)</f>
        <v>46569</v>
      </c>
      <c r="B14504" s="11" t="n">
        <f aca="false">MOD(ROW()-9,24)</f>
        <v>23</v>
      </c>
      <c r="C14504" s="12"/>
      <c r="D14504" s="13" t="n">
        <f aca="false">IF(B14504&lt;5,Einstellungen!$B$3,Einstellungen!$B$4)</f>
        <v>29.13</v>
      </c>
      <c r="E14504" s="14" t="str">
        <f aca="false">IF(C14504="","",C14504*D14504/100)</f>
        <v/>
      </c>
      <c r="F14504" s="15" t="str">
        <f aca="false">IF(B14504&lt;5,"Go","Standard")</f>
        <v>Standard</v>
      </c>
    </row>
    <row r="14505" customFormat="false" ht="15" hidden="false" customHeight="true" outlineLevel="0" collapsed="false">
      <c r="A14505" s="10" t="n">
        <f aca="false">Einstellungen!$B$5+INT((ROW()-9)/24)</f>
        <v>46570</v>
      </c>
      <c r="B14505" s="11" t="n">
        <f aca="false">MOD(ROW()-9,24)</f>
        <v>0</v>
      </c>
      <c r="C14505" s="12"/>
      <c r="D14505" s="13" t="n">
        <f aca="false">IF(B14505&lt;5,Einstellungen!$B$3,Einstellungen!$B$4)</f>
        <v>15.92</v>
      </c>
      <c r="E14505" s="14" t="str">
        <f aca="false">IF(C14505="","",C14505*D14505/100)</f>
        <v/>
      </c>
      <c r="F14505" s="15" t="str">
        <f aca="false">IF(B14505&lt;5,"Go","Standard")</f>
        <v>Go</v>
      </c>
    </row>
    <row r="14506" customFormat="false" ht="15" hidden="false" customHeight="true" outlineLevel="0" collapsed="false">
      <c r="A14506" s="10" t="n">
        <f aca="false">Einstellungen!$B$5+INT((ROW()-9)/24)</f>
        <v>46570</v>
      </c>
      <c r="B14506" s="11" t="n">
        <f aca="false">MOD(ROW()-9,24)</f>
        <v>1</v>
      </c>
      <c r="C14506" s="12"/>
      <c r="D14506" s="13" t="n">
        <f aca="false">IF(B14506&lt;5,Einstellungen!$B$3,Einstellungen!$B$4)</f>
        <v>15.92</v>
      </c>
      <c r="E14506" s="14" t="str">
        <f aca="false">IF(C14506="","",C14506*D14506/100)</f>
        <v/>
      </c>
      <c r="F14506" s="15" t="str">
        <f aca="false">IF(B14506&lt;5,"Go","Standard")</f>
        <v>Go</v>
      </c>
    </row>
    <row r="14507" customFormat="false" ht="15" hidden="false" customHeight="true" outlineLevel="0" collapsed="false">
      <c r="A14507" s="10" t="n">
        <f aca="false">Einstellungen!$B$5+INT((ROW()-9)/24)</f>
        <v>46570</v>
      </c>
      <c r="B14507" s="11" t="n">
        <f aca="false">MOD(ROW()-9,24)</f>
        <v>2</v>
      </c>
      <c r="C14507" s="12"/>
      <c r="D14507" s="13" t="n">
        <f aca="false">IF(B14507&lt;5,Einstellungen!$B$3,Einstellungen!$B$4)</f>
        <v>15.92</v>
      </c>
      <c r="E14507" s="14" t="str">
        <f aca="false">IF(C14507="","",C14507*D14507/100)</f>
        <v/>
      </c>
      <c r="F14507" s="15" t="str">
        <f aca="false">IF(B14507&lt;5,"Go","Standard")</f>
        <v>Go</v>
      </c>
    </row>
    <row r="14508" customFormat="false" ht="15" hidden="false" customHeight="true" outlineLevel="0" collapsed="false">
      <c r="A14508" s="10" t="n">
        <f aca="false">Einstellungen!$B$5+INT((ROW()-9)/24)</f>
        <v>46570</v>
      </c>
      <c r="B14508" s="11" t="n">
        <f aca="false">MOD(ROW()-9,24)</f>
        <v>3</v>
      </c>
      <c r="C14508" s="12"/>
      <c r="D14508" s="13" t="n">
        <f aca="false">IF(B14508&lt;5,Einstellungen!$B$3,Einstellungen!$B$4)</f>
        <v>15.92</v>
      </c>
      <c r="E14508" s="14" t="str">
        <f aca="false">IF(C14508="","",C14508*D14508/100)</f>
        <v/>
      </c>
      <c r="F14508" s="15" t="str">
        <f aca="false">IF(B14508&lt;5,"Go","Standard")</f>
        <v>Go</v>
      </c>
    </row>
    <row r="14509" customFormat="false" ht="15" hidden="false" customHeight="true" outlineLevel="0" collapsed="false">
      <c r="A14509" s="10" t="n">
        <f aca="false">Einstellungen!$B$5+INT((ROW()-9)/24)</f>
        <v>46570</v>
      </c>
      <c r="B14509" s="11" t="n">
        <f aca="false">MOD(ROW()-9,24)</f>
        <v>4</v>
      </c>
      <c r="C14509" s="12"/>
      <c r="D14509" s="13" t="n">
        <f aca="false">IF(B14509&lt;5,Einstellungen!$B$3,Einstellungen!$B$4)</f>
        <v>15.92</v>
      </c>
      <c r="E14509" s="14" t="str">
        <f aca="false">IF(C14509="","",C14509*D14509/100)</f>
        <v/>
      </c>
      <c r="F14509" s="15" t="str">
        <f aca="false">IF(B14509&lt;5,"Go","Standard")</f>
        <v>Go</v>
      </c>
    </row>
    <row r="14510" customFormat="false" ht="15" hidden="false" customHeight="true" outlineLevel="0" collapsed="false">
      <c r="A14510" s="10" t="n">
        <f aca="false">Einstellungen!$B$5+INT((ROW()-9)/24)</f>
        <v>46570</v>
      </c>
      <c r="B14510" s="11" t="n">
        <f aca="false">MOD(ROW()-9,24)</f>
        <v>5</v>
      </c>
      <c r="C14510" s="12"/>
      <c r="D14510" s="13" t="n">
        <f aca="false">IF(B14510&lt;5,Einstellungen!$B$3,Einstellungen!$B$4)</f>
        <v>29.13</v>
      </c>
      <c r="E14510" s="14" t="str">
        <f aca="false">IF(C14510="","",C14510*D14510/100)</f>
        <v/>
      </c>
      <c r="F14510" s="15" t="str">
        <f aca="false">IF(B14510&lt;5,"Go","Standard")</f>
        <v>Standard</v>
      </c>
    </row>
    <row r="14511" customFormat="false" ht="15" hidden="false" customHeight="true" outlineLevel="0" collapsed="false">
      <c r="A14511" s="10" t="n">
        <f aca="false">Einstellungen!$B$5+INT((ROW()-9)/24)</f>
        <v>46570</v>
      </c>
      <c r="B14511" s="11" t="n">
        <f aca="false">MOD(ROW()-9,24)</f>
        <v>6</v>
      </c>
      <c r="C14511" s="12"/>
      <c r="D14511" s="13" t="n">
        <f aca="false">IF(B14511&lt;5,Einstellungen!$B$3,Einstellungen!$B$4)</f>
        <v>29.13</v>
      </c>
      <c r="E14511" s="14" t="str">
        <f aca="false">IF(C14511="","",C14511*D14511/100)</f>
        <v/>
      </c>
      <c r="F14511" s="15" t="str">
        <f aca="false">IF(B14511&lt;5,"Go","Standard")</f>
        <v>Standard</v>
      </c>
    </row>
    <row r="14512" customFormat="false" ht="15" hidden="false" customHeight="true" outlineLevel="0" collapsed="false">
      <c r="A14512" s="10" t="n">
        <f aca="false">Einstellungen!$B$5+INT((ROW()-9)/24)</f>
        <v>46570</v>
      </c>
      <c r="B14512" s="11" t="n">
        <f aca="false">MOD(ROW()-9,24)</f>
        <v>7</v>
      </c>
      <c r="C14512" s="12"/>
      <c r="D14512" s="13" t="n">
        <f aca="false">IF(B14512&lt;5,Einstellungen!$B$3,Einstellungen!$B$4)</f>
        <v>29.13</v>
      </c>
      <c r="E14512" s="14" t="str">
        <f aca="false">IF(C14512="","",C14512*D14512/100)</f>
        <v/>
      </c>
      <c r="F14512" s="15" t="str">
        <f aca="false">IF(B14512&lt;5,"Go","Standard")</f>
        <v>Standard</v>
      </c>
    </row>
    <row r="14513" customFormat="false" ht="15" hidden="false" customHeight="true" outlineLevel="0" collapsed="false">
      <c r="A14513" s="10" t="n">
        <f aca="false">Einstellungen!$B$5+INT((ROW()-9)/24)</f>
        <v>46570</v>
      </c>
      <c r="B14513" s="11" t="n">
        <f aca="false">MOD(ROW()-9,24)</f>
        <v>8</v>
      </c>
      <c r="C14513" s="12"/>
      <c r="D14513" s="13" t="n">
        <f aca="false">IF(B14513&lt;5,Einstellungen!$B$3,Einstellungen!$B$4)</f>
        <v>29.13</v>
      </c>
      <c r="E14513" s="14" t="str">
        <f aca="false">IF(C14513="","",C14513*D14513/100)</f>
        <v/>
      </c>
      <c r="F14513" s="15" t="str">
        <f aca="false">IF(B14513&lt;5,"Go","Standard")</f>
        <v>Standard</v>
      </c>
    </row>
    <row r="14514" customFormat="false" ht="15" hidden="false" customHeight="true" outlineLevel="0" collapsed="false">
      <c r="A14514" s="10" t="n">
        <f aca="false">Einstellungen!$B$5+INT((ROW()-9)/24)</f>
        <v>46570</v>
      </c>
      <c r="B14514" s="11" t="n">
        <f aca="false">MOD(ROW()-9,24)</f>
        <v>9</v>
      </c>
      <c r="C14514" s="12"/>
      <c r="D14514" s="13" t="n">
        <f aca="false">IF(B14514&lt;5,Einstellungen!$B$3,Einstellungen!$B$4)</f>
        <v>29.13</v>
      </c>
      <c r="E14514" s="14" t="str">
        <f aca="false">IF(C14514="","",C14514*D14514/100)</f>
        <v/>
      </c>
      <c r="F14514" s="15" t="str">
        <f aca="false">IF(B14514&lt;5,"Go","Standard")</f>
        <v>Standard</v>
      </c>
    </row>
    <row r="14515" customFormat="false" ht="15" hidden="false" customHeight="true" outlineLevel="0" collapsed="false">
      <c r="A14515" s="10" t="n">
        <f aca="false">Einstellungen!$B$5+INT((ROW()-9)/24)</f>
        <v>46570</v>
      </c>
      <c r="B14515" s="11" t="n">
        <f aca="false">MOD(ROW()-9,24)</f>
        <v>10</v>
      </c>
      <c r="C14515" s="12"/>
      <c r="D14515" s="13" t="n">
        <f aca="false">IF(B14515&lt;5,Einstellungen!$B$3,Einstellungen!$B$4)</f>
        <v>29.13</v>
      </c>
      <c r="E14515" s="14" t="str">
        <f aca="false">IF(C14515="","",C14515*D14515/100)</f>
        <v/>
      </c>
      <c r="F14515" s="15" t="str">
        <f aca="false">IF(B14515&lt;5,"Go","Standard")</f>
        <v>Standard</v>
      </c>
    </row>
    <row r="14516" customFormat="false" ht="15" hidden="false" customHeight="true" outlineLevel="0" collapsed="false">
      <c r="A14516" s="10" t="n">
        <f aca="false">Einstellungen!$B$5+INT((ROW()-9)/24)</f>
        <v>46570</v>
      </c>
      <c r="B14516" s="11" t="n">
        <f aca="false">MOD(ROW()-9,24)</f>
        <v>11</v>
      </c>
      <c r="C14516" s="12"/>
      <c r="D14516" s="13" t="n">
        <f aca="false">IF(B14516&lt;5,Einstellungen!$B$3,Einstellungen!$B$4)</f>
        <v>29.13</v>
      </c>
      <c r="E14516" s="14" t="str">
        <f aca="false">IF(C14516="","",C14516*D14516/100)</f>
        <v/>
      </c>
      <c r="F14516" s="15" t="str">
        <f aca="false">IF(B14516&lt;5,"Go","Standard")</f>
        <v>Standard</v>
      </c>
    </row>
    <row r="14517" customFormat="false" ht="15" hidden="false" customHeight="true" outlineLevel="0" collapsed="false">
      <c r="A14517" s="10" t="n">
        <f aca="false">Einstellungen!$B$5+INT((ROW()-9)/24)</f>
        <v>46570</v>
      </c>
      <c r="B14517" s="11" t="n">
        <f aca="false">MOD(ROW()-9,24)</f>
        <v>12</v>
      </c>
      <c r="C14517" s="12"/>
      <c r="D14517" s="13" t="n">
        <f aca="false">IF(B14517&lt;5,Einstellungen!$B$3,Einstellungen!$B$4)</f>
        <v>29.13</v>
      </c>
      <c r="E14517" s="14" t="str">
        <f aca="false">IF(C14517="","",C14517*D14517/100)</f>
        <v/>
      </c>
      <c r="F14517" s="15" t="str">
        <f aca="false">IF(B14517&lt;5,"Go","Standard")</f>
        <v>Standard</v>
      </c>
    </row>
    <row r="14518" customFormat="false" ht="15" hidden="false" customHeight="true" outlineLevel="0" collapsed="false">
      <c r="A14518" s="10" t="n">
        <f aca="false">Einstellungen!$B$5+INT((ROW()-9)/24)</f>
        <v>46570</v>
      </c>
      <c r="B14518" s="11" t="n">
        <f aca="false">MOD(ROW()-9,24)</f>
        <v>13</v>
      </c>
      <c r="C14518" s="12"/>
      <c r="D14518" s="13" t="n">
        <f aca="false">IF(B14518&lt;5,Einstellungen!$B$3,Einstellungen!$B$4)</f>
        <v>29.13</v>
      </c>
      <c r="E14518" s="14" t="str">
        <f aca="false">IF(C14518="","",C14518*D14518/100)</f>
        <v/>
      </c>
      <c r="F14518" s="15" t="str">
        <f aca="false">IF(B14518&lt;5,"Go","Standard")</f>
        <v>Standard</v>
      </c>
    </row>
    <row r="14519" customFormat="false" ht="15" hidden="false" customHeight="true" outlineLevel="0" collapsed="false">
      <c r="A14519" s="10" t="n">
        <f aca="false">Einstellungen!$B$5+INT((ROW()-9)/24)</f>
        <v>46570</v>
      </c>
      <c r="B14519" s="11" t="n">
        <f aca="false">MOD(ROW()-9,24)</f>
        <v>14</v>
      </c>
      <c r="C14519" s="12"/>
      <c r="D14519" s="13" t="n">
        <f aca="false">IF(B14519&lt;5,Einstellungen!$B$3,Einstellungen!$B$4)</f>
        <v>29.13</v>
      </c>
      <c r="E14519" s="14" t="str">
        <f aca="false">IF(C14519="","",C14519*D14519/100)</f>
        <v/>
      </c>
      <c r="F14519" s="15" t="str">
        <f aca="false">IF(B14519&lt;5,"Go","Standard")</f>
        <v>Standard</v>
      </c>
    </row>
    <row r="14520" customFormat="false" ht="15" hidden="false" customHeight="true" outlineLevel="0" collapsed="false">
      <c r="A14520" s="10" t="n">
        <f aca="false">Einstellungen!$B$5+INT((ROW()-9)/24)</f>
        <v>46570</v>
      </c>
      <c r="B14520" s="11" t="n">
        <f aca="false">MOD(ROW()-9,24)</f>
        <v>15</v>
      </c>
      <c r="C14520" s="12"/>
      <c r="D14520" s="13" t="n">
        <f aca="false">IF(B14520&lt;5,Einstellungen!$B$3,Einstellungen!$B$4)</f>
        <v>29.13</v>
      </c>
      <c r="E14520" s="14" t="str">
        <f aca="false">IF(C14520="","",C14520*D14520/100)</f>
        <v/>
      </c>
      <c r="F14520" s="15" t="str">
        <f aca="false">IF(B14520&lt;5,"Go","Standard")</f>
        <v>Standard</v>
      </c>
    </row>
    <row r="14521" customFormat="false" ht="15" hidden="false" customHeight="true" outlineLevel="0" collapsed="false">
      <c r="A14521" s="10" t="n">
        <f aca="false">Einstellungen!$B$5+INT((ROW()-9)/24)</f>
        <v>46570</v>
      </c>
      <c r="B14521" s="11" t="n">
        <f aca="false">MOD(ROW()-9,24)</f>
        <v>16</v>
      </c>
      <c r="C14521" s="12"/>
      <c r="D14521" s="13" t="n">
        <f aca="false">IF(B14521&lt;5,Einstellungen!$B$3,Einstellungen!$B$4)</f>
        <v>29.13</v>
      </c>
      <c r="E14521" s="14" t="str">
        <f aca="false">IF(C14521="","",C14521*D14521/100)</f>
        <v/>
      </c>
      <c r="F14521" s="15" t="str">
        <f aca="false">IF(B14521&lt;5,"Go","Standard")</f>
        <v>Standard</v>
      </c>
    </row>
    <row r="14522" customFormat="false" ht="15" hidden="false" customHeight="true" outlineLevel="0" collapsed="false">
      <c r="A14522" s="10" t="n">
        <f aca="false">Einstellungen!$B$5+INT((ROW()-9)/24)</f>
        <v>46570</v>
      </c>
      <c r="B14522" s="11" t="n">
        <f aca="false">MOD(ROW()-9,24)</f>
        <v>17</v>
      </c>
      <c r="C14522" s="12"/>
      <c r="D14522" s="13" t="n">
        <f aca="false">IF(B14522&lt;5,Einstellungen!$B$3,Einstellungen!$B$4)</f>
        <v>29.13</v>
      </c>
      <c r="E14522" s="14" t="str">
        <f aca="false">IF(C14522="","",C14522*D14522/100)</f>
        <v/>
      </c>
      <c r="F14522" s="15" t="str">
        <f aca="false">IF(B14522&lt;5,"Go","Standard")</f>
        <v>Standard</v>
      </c>
    </row>
    <row r="14523" customFormat="false" ht="15" hidden="false" customHeight="true" outlineLevel="0" collapsed="false">
      <c r="A14523" s="10" t="n">
        <f aca="false">Einstellungen!$B$5+INT((ROW()-9)/24)</f>
        <v>46570</v>
      </c>
      <c r="B14523" s="11" t="n">
        <f aca="false">MOD(ROW()-9,24)</f>
        <v>18</v>
      </c>
      <c r="C14523" s="12"/>
      <c r="D14523" s="13" t="n">
        <f aca="false">IF(B14523&lt;5,Einstellungen!$B$3,Einstellungen!$B$4)</f>
        <v>29.13</v>
      </c>
      <c r="E14523" s="14" t="str">
        <f aca="false">IF(C14523="","",C14523*D14523/100)</f>
        <v/>
      </c>
      <c r="F14523" s="15" t="str">
        <f aca="false">IF(B14523&lt;5,"Go","Standard")</f>
        <v>Standard</v>
      </c>
    </row>
    <row r="14524" customFormat="false" ht="15" hidden="false" customHeight="true" outlineLevel="0" collapsed="false">
      <c r="A14524" s="10" t="n">
        <f aca="false">Einstellungen!$B$5+INT((ROW()-9)/24)</f>
        <v>46570</v>
      </c>
      <c r="B14524" s="11" t="n">
        <f aca="false">MOD(ROW()-9,24)</f>
        <v>19</v>
      </c>
      <c r="C14524" s="12"/>
      <c r="D14524" s="13" t="n">
        <f aca="false">IF(B14524&lt;5,Einstellungen!$B$3,Einstellungen!$B$4)</f>
        <v>29.13</v>
      </c>
      <c r="E14524" s="14" t="str">
        <f aca="false">IF(C14524="","",C14524*D14524/100)</f>
        <v/>
      </c>
      <c r="F14524" s="15" t="str">
        <f aca="false">IF(B14524&lt;5,"Go","Standard")</f>
        <v>Standard</v>
      </c>
    </row>
    <row r="14525" customFormat="false" ht="15" hidden="false" customHeight="true" outlineLevel="0" collapsed="false">
      <c r="A14525" s="10" t="n">
        <f aca="false">Einstellungen!$B$5+INT((ROW()-9)/24)</f>
        <v>46570</v>
      </c>
      <c r="B14525" s="11" t="n">
        <f aca="false">MOD(ROW()-9,24)</f>
        <v>20</v>
      </c>
      <c r="C14525" s="12"/>
      <c r="D14525" s="13" t="n">
        <f aca="false">IF(B14525&lt;5,Einstellungen!$B$3,Einstellungen!$B$4)</f>
        <v>29.13</v>
      </c>
      <c r="E14525" s="14" t="str">
        <f aca="false">IF(C14525="","",C14525*D14525/100)</f>
        <v/>
      </c>
      <c r="F14525" s="15" t="str">
        <f aca="false">IF(B14525&lt;5,"Go","Standard")</f>
        <v>Standard</v>
      </c>
    </row>
    <row r="14526" customFormat="false" ht="15" hidden="false" customHeight="true" outlineLevel="0" collapsed="false">
      <c r="A14526" s="10" t="n">
        <f aca="false">Einstellungen!$B$5+INT((ROW()-9)/24)</f>
        <v>46570</v>
      </c>
      <c r="B14526" s="11" t="n">
        <f aca="false">MOD(ROW()-9,24)</f>
        <v>21</v>
      </c>
      <c r="C14526" s="12"/>
      <c r="D14526" s="13" t="n">
        <f aca="false">IF(B14526&lt;5,Einstellungen!$B$3,Einstellungen!$B$4)</f>
        <v>29.13</v>
      </c>
      <c r="E14526" s="14" t="str">
        <f aca="false">IF(C14526="","",C14526*D14526/100)</f>
        <v/>
      </c>
      <c r="F14526" s="15" t="str">
        <f aca="false">IF(B14526&lt;5,"Go","Standard")</f>
        <v>Standard</v>
      </c>
    </row>
    <row r="14527" customFormat="false" ht="15" hidden="false" customHeight="true" outlineLevel="0" collapsed="false">
      <c r="A14527" s="10" t="n">
        <f aca="false">Einstellungen!$B$5+INT((ROW()-9)/24)</f>
        <v>46570</v>
      </c>
      <c r="B14527" s="11" t="n">
        <f aca="false">MOD(ROW()-9,24)</f>
        <v>22</v>
      </c>
      <c r="C14527" s="12"/>
      <c r="D14527" s="13" t="n">
        <f aca="false">IF(B14527&lt;5,Einstellungen!$B$3,Einstellungen!$B$4)</f>
        <v>29.13</v>
      </c>
      <c r="E14527" s="14" t="str">
        <f aca="false">IF(C14527="","",C14527*D14527/100)</f>
        <v/>
      </c>
      <c r="F14527" s="15" t="str">
        <f aca="false">IF(B14527&lt;5,"Go","Standard")</f>
        <v>Standard</v>
      </c>
    </row>
    <row r="14528" customFormat="false" ht="15" hidden="false" customHeight="true" outlineLevel="0" collapsed="false">
      <c r="A14528" s="10" t="n">
        <f aca="false">Einstellungen!$B$5+INT((ROW()-9)/24)</f>
        <v>46570</v>
      </c>
      <c r="B14528" s="11" t="n">
        <f aca="false">MOD(ROW()-9,24)</f>
        <v>23</v>
      </c>
      <c r="C14528" s="12"/>
      <c r="D14528" s="13" t="n">
        <f aca="false">IF(B14528&lt;5,Einstellungen!$B$3,Einstellungen!$B$4)</f>
        <v>29.13</v>
      </c>
      <c r="E14528" s="14" t="str">
        <f aca="false">IF(C14528="","",C14528*D14528/100)</f>
        <v/>
      </c>
      <c r="F14528" s="15" t="str">
        <f aca="false">IF(B14528&lt;5,"Go","Standard")</f>
        <v>Standard</v>
      </c>
    </row>
    <row r="14529" customFormat="false" ht="15" hidden="false" customHeight="true" outlineLevel="0" collapsed="false">
      <c r="A14529" s="10" t="n">
        <f aca="false">Einstellungen!$B$5+INT((ROW()-9)/24)</f>
        <v>46571</v>
      </c>
      <c r="B14529" s="11" t="n">
        <f aca="false">MOD(ROW()-9,24)</f>
        <v>0</v>
      </c>
      <c r="C14529" s="12"/>
      <c r="D14529" s="13" t="n">
        <f aca="false">IF(B14529&lt;5,Einstellungen!$B$3,Einstellungen!$B$4)</f>
        <v>15.92</v>
      </c>
      <c r="E14529" s="14" t="str">
        <f aca="false">IF(C14529="","",C14529*D14529/100)</f>
        <v/>
      </c>
      <c r="F14529" s="15" t="str">
        <f aca="false">IF(B14529&lt;5,"Go","Standard")</f>
        <v>Go</v>
      </c>
    </row>
    <row r="14530" customFormat="false" ht="15" hidden="false" customHeight="true" outlineLevel="0" collapsed="false">
      <c r="A14530" s="10" t="n">
        <f aca="false">Einstellungen!$B$5+INT((ROW()-9)/24)</f>
        <v>46571</v>
      </c>
      <c r="B14530" s="11" t="n">
        <f aca="false">MOD(ROW()-9,24)</f>
        <v>1</v>
      </c>
      <c r="C14530" s="12"/>
      <c r="D14530" s="13" t="n">
        <f aca="false">IF(B14530&lt;5,Einstellungen!$B$3,Einstellungen!$B$4)</f>
        <v>15.92</v>
      </c>
      <c r="E14530" s="14" t="str">
        <f aca="false">IF(C14530="","",C14530*D14530/100)</f>
        <v/>
      </c>
      <c r="F14530" s="15" t="str">
        <f aca="false">IF(B14530&lt;5,"Go","Standard")</f>
        <v>Go</v>
      </c>
    </row>
    <row r="14531" customFormat="false" ht="15" hidden="false" customHeight="true" outlineLevel="0" collapsed="false">
      <c r="A14531" s="10" t="n">
        <f aca="false">Einstellungen!$B$5+INT((ROW()-9)/24)</f>
        <v>46571</v>
      </c>
      <c r="B14531" s="11" t="n">
        <f aca="false">MOD(ROW()-9,24)</f>
        <v>2</v>
      </c>
      <c r="C14531" s="12"/>
      <c r="D14531" s="13" t="n">
        <f aca="false">IF(B14531&lt;5,Einstellungen!$B$3,Einstellungen!$B$4)</f>
        <v>15.92</v>
      </c>
      <c r="E14531" s="14" t="str">
        <f aca="false">IF(C14531="","",C14531*D14531/100)</f>
        <v/>
      </c>
      <c r="F14531" s="15" t="str">
        <f aca="false">IF(B14531&lt;5,"Go","Standard")</f>
        <v>Go</v>
      </c>
    </row>
    <row r="14532" customFormat="false" ht="15" hidden="false" customHeight="true" outlineLevel="0" collapsed="false">
      <c r="A14532" s="10" t="n">
        <f aca="false">Einstellungen!$B$5+INT((ROW()-9)/24)</f>
        <v>46571</v>
      </c>
      <c r="B14532" s="11" t="n">
        <f aca="false">MOD(ROW()-9,24)</f>
        <v>3</v>
      </c>
      <c r="C14532" s="12"/>
      <c r="D14532" s="13" t="n">
        <f aca="false">IF(B14532&lt;5,Einstellungen!$B$3,Einstellungen!$B$4)</f>
        <v>15.92</v>
      </c>
      <c r="E14532" s="14" t="str">
        <f aca="false">IF(C14532="","",C14532*D14532/100)</f>
        <v/>
      </c>
      <c r="F14532" s="15" t="str">
        <f aca="false">IF(B14532&lt;5,"Go","Standard")</f>
        <v>Go</v>
      </c>
    </row>
    <row r="14533" customFormat="false" ht="15" hidden="false" customHeight="true" outlineLevel="0" collapsed="false">
      <c r="A14533" s="10" t="n">
        <f aca="false">Einstellungen!$B$5+INT((ROW()-9)/24)</f>
        <v>46571</v>
      </c>
      <c r="B14533" s="11" t="n">
        <f aca="false">MOD(ROW()-9,24)</f>
        <v>4</v>
      </c>
      <c r="C14533" s="12"/>
      <c r="D14533" s="13" t="n">
        <f aca="false">IF(B14533&lt;5,Einstellungen!$B$3,Einstellungen!$B$4)</f>
        <v>15.92</v>
      </c>
      <c r="E14533" s="14" t="str">
        <f aca="false">IF(C14533="","",C14533*D14533/100)</f>
        <v/>
      </c>
      <c r="F14533" s="15" t="str">
        <f aca="false">IF(B14533&lt;5,"Go","Standard")</f>
        <v>Go</v>
      </c>
    </row>
    <row r="14534" customFormat="false" ht="15" hidden="false" customHeight="true" outlineLevel="0" collapsed="false">
      <c r="A14534" s="10" t="n">
        <f aca="false">Einstellungen!$B$5+INT((ROW()-9)/24)</f>
        <v>46571</v>
      </c>
      <c r="B14534" s="11" t="n">
        <f aca="false">MOD(ROW()-9,24)</f>
        <v>5</v>
      </c>
      <c r="C14534" s="12"/>
      <c r="D14534" s="13" t="n">
        <f aca="false">IF(B14534&lt;5,Einstellungen!$B$3,Einstellungen!$B$4)</f>
        <v>29.13</v>
      </c>
      <c r="E14534" s="14" t="str">
        <f aca="false">IF(C14534="","",C14534*D14534/100)</f>
        <v/>
      </c>
      <c r="F14534" s="15" t="str">
        <f aca="false">IF(B14534&lt;5,"Go","Standard")</f>
        <v>Standard</v>
      </c>
    </row>
    <row r="14535" customFormat="false" ht="15" hidden="false" customHeight="true" outlineLevel="0" collapsed="false">
      <c r="A14535" s="10" t="n">
        <f aca="false">Einstellungen!$B$5+INT((ROW()-9)/24)</f>
        <v>46571</v>
      </c>
      <c r="B14535" s="11" t="n">
        <f aca="false">MOD(ROW()-9,24)</f>
        <v>6</v>
      </c>
      <c r="C14535" s="12"/>
      <c r="D14535" s="13" t="n">
        <f aca="false">IF(B14535&lt;5,Einstellungen!$B$3,Einstellungen!$B$4)</f>
        <v>29.13</v>
      </c>
      <c r="E14535" s="14" t="str">
        <f aca="false">IF(C14535="","",C14535*D14535/100)</f>
        <v/>
      </c>
      <c r="F14535" s="15" t="str">
        <f aca="false">IF(B14535&lt;5,"Go","Standard")</f>
        <v>Standard</v>
      </c>
    </row>
    <row r="14536" customFormat="false" ht="15" hidden="false" customHeight="true" outlineLevel="0" collapsed="false">
      <c r="A14536" s="10" t="n">
        <f aca="false">Einstellungen!$B$5+INT((ROW()-9)/24)</f>
        <v>46571</v>
      </c>
      <c r="B14536" s="11" t="n">
        <f aca="false">MOD(ROW()-9,24)</f>
        <v>7</v>
      </c>
      <c r="C14536" s="12"/>
      <c r="D14536" s="13" t="n">
        <f aca="false">IF(B14536&lt;5,Einstellungen!$B$3,Einstellungen!$B$4)</f>
        <v>29.13</v>
      </c>
      <c r="E14536" s="14" t="str">
        <f aca="false">IF(C14536="","",C14536*D14536/100)</f>
        <v/>
      </c>
      <c r="F14536" s="15" t="str">
        <f aca="false">IF(B14536&lt;5,"Go","Standard")</f>
        <v>Standard</v>
      </c>
    </row>
    <row r="14537" customFormat="false" ht="15" hidden="false" customHeight="true" outlineLevel="0" collapsed="false">
      <c r="A14537" s="10" t="n">
        <f aca="false">Einstellungen!$B$5+INT((ROW()-9)/24)</f>
        <v>46571</v>
      </c>
      <c r="B14537" s="11" t="n">
        <f aca="false">MOD(ROW()-9,24)</f>
        <v>8</v>
      </c>
      <c r="C14537" s="12"/>
      <c r="D14537" s="13" t="n">
        <f aca="false">IF(B14537&lt;5,Einstellungen!$B$3,Einstellungen!$B$4)</f>
        <v>29.13</v>
      </c>
      <c r="E14537" s="14" t="str">
        <f aca="false">IF(C14537="","",C14537*D14537/100)</f>
        <v/>
      </c>
      <c r="F14537" s="15" t="str">
        <f aca="false">IF(B14537&lt;5,"Go","Standard")</f>
        <v>Standard</v>
      </c>
    </row>
    <row r="14538" customFormat="false" ht="15" hidden="false" customHeight="true" outlineLevel="0" collapsed="false">
      <c r="A14538" s="10" t="n">
        <f aca="false">Einstellungen!$B$5+INT((ROW()-9)/24)</f>
        <v>46571</v>
      </c>
      <c r="B14538" s="11" t="n">
        <f aca="false">MOD(ROW()-9,24)</f>
        <v>9</v>
      </c>
      <c r="C14538" s="12"/>
      <c r="D14538" s="13" t="n">
        <f aca="false">IF(B14538&lt;5,Einstellungen!$B$3,Einstellungen!$B$4)</f>
        <v>29.13</v>
      </c>
      <c r="E14538" s="14" t="str">
        <f aca="false">IF(C14538="","",C14538*D14538/100)</f>
        <v/>
      </c>
      <c r="F14538" s="15" t="str">
        <f aca="false">IF(B14538&lt;5,"Go","Standard")</f>
        <v>Standard</v>
      </c>
    </row>
    <row r="14539" customFormat="false" ht="15" hidden="false" customHeight="true" outlineLevel="0" collapsed="false">
      <c r="A14539" s="10" t="n">
        <f aca="false">Einstellungen!$B$5+INT((ROW()-9)/24)</f>
        <v>46571</v>
      </c>
      <c r="B14539" s="11" t="n">
        <f aca="false">MOD(ROW()-9,24)</f>
        <v>10</v>
      </c>
      <c r="C14539" s="12"/>
      <c r="D14539" s="13" t="n">
        <f aca="false">IF(B14539&lt;5,Einstellungen!$B$3,Einstellungen!$B$4)</f>
        <v>29.13</v>
      </c>
      <c r="E14539" s="14" t="str">
        <f aca="false">IF(C14539="","",C14539*D14539/100)</f>
        <v/>
      </c>
      <c r="F14539" s="15" t="str">
        <f aca="false">IF(B14539&lt;5,"Go","Standard")</f>
        <v>Standard</v>
      </c>
    </row>
    <row r="14540" customFormat="false" ht="15" hidden="false" customHeight="true" outlineLevel="0" collapsed="false">
      <c r="A14540" s="10" t="n">
        <f aca="false">Einstellungen!$B$5+INT((ROW()-9)/24)</f>
        <v>46571</v>
      </c>
      <c r="B14540" s="11" t="n">
        <f aca="false">MOD(ROW()-9,24)</f>
        <v>11</v>
      </c>
      <c r="C14540" s="12"/>
      <c r="D14540" s="13" t="n">
        <f aca="false">IF(B14540&lt;5,Einstellungen!$B$3,Einstellungen!$B$4)</f>
        <v>29.13</v>
      </c>
      <c r="E14540" s="14" t="str">
        <f aca="false">IF(C14540="","",C14540*D14540/100)</f>
        <v/>
      </c>
      <c r="F14540" s="15" t="str">
        <f aca="false">IF(B14540&lt;5,"Go","Standard")</f>
        <v>Standard</v>
      </c>
    </row>
    <row r="14541" customFormat="false" ht="15" hidden="false" customHeight="true" outlineLevel="0" collapsed="false">
      <c r="A14541" s="10" t="n">
        <f aca="false">Einstellungen!$B$5+INT((ROW()-9)/24)</f>
        <v>46571</v>
      </c>
      <c r="B14541" s="11" t="n">
        <f aca="false">MOD(ROW()-9,24)</f>
        <v>12</v>
      </c>
      <c r="C14541" s="12"/>
      <c r="D14541" s="13" t="n">
        <f aca="false">IF(B14541&lt;5,Einstellungen!$B$3,Einstellungen!$B$4)</f>
        <v>29.13</v>
      </c>
      <c r="E14541" s="14" t="str">
        <f aca="false">IF(C14541="","",C14541*D14541/100)</f>
        <v/>
      </c>
      <c r="F14541" s="15" t="str">
        <f aca="false">IF(B14541&lt;5,"Go","Standard")</f>
        <v>Standard</v>
      </c>
    </row>
    <row r="14542" customFormat="false" ht="15" hidden="false" customHeight="true" outlineLevel="0" collapsed="false">
      <c r="A14542" s="10" t="n">
        <f aca="false">Einstellungen!$B$5+INT((ROW()-9)/24)</f>
        <v>46571</v>
      </c>
      <c r="B14542" s="11" t="n">
        <f aca="false">MOD(ROW()-9,24)</f>
        <v>13</v>
      </c>
      <c r="C14542" s="12"/>
      <c r="D14542" s="13" t="n">
        <f aca="false">IF(B14542&lt;5,Einstellungen!$B$3,Einstellungen!$B$4)</f>
        <v>29.13</v>
      </c>
      <c r="E14542" s="14" t="str">
        <f aca="false">IF(C14542="","",C14542*D14542/100)</f>
        <v/>
      </c>
      <c r="F14542" s="15" t="str">
        <f aca="false">IF(B14542&lt;5,"Go","Standard")</f>
        <v>Standard</v>
      </c>
    </row>
    <row r="14543" customFormat="false" ht="15" hidden="false" customHeight="true" outlineLevel="0" collapsed="false">
      <c r="A14543" s="10" t="n">
        <f aca="false">Einstellungen!$B$5+INT((ROW()-9)/24)</f>
        <v>46571</v>
      </c>
      <c r="B14543" s="11" t="n">
        <f aca="false">MOD(ROW()-9,24)</f>
        <v>14</v>
      </c>
      <c r="C14543" s="12"/>
      <c r="D14543" s="13" t="n">
        <f aca="false">IF(B14543&lt;5,Einstellungen!$B$3,Einstellungen!$B$4)</f>
        <v>29.13</v>
      </c>
      <c r="E14543" s="14" t="str">
        <f aca="false">IF(C14543="","",C14543*D14543/100)</f>
        <v/>
      </c>
      <c r="F14543" s="15" t="str">
        <f aca="false">IF(B14543&lt;5,"Go","Standard")</f>
        <v>Standard</v>
      </c>
    </row>
    <row r="14544" customFormat="false" ht="15" hidden="false" customHeight="true" outlineLevel="0" collapsed="false">
      <c r="A14544" s="10" t="n">
        <f aca="false">Einstellungen!$B$5+INT((ROW()-9)/24)</f>
        <v>46571</v>
      </c>
      <c r="B14544" s="11" t="n">
        <f aca="false">MOD(ROW()-9,24)</f>
        <v>15</v>
      </c>
      <c r="C14544" s="12"/>
      <c r="D14544" s="13" t="n">
        <f aca="false">IF(B14544&lt;5,Einstellungen!$B$3,Einstellungen!$B$4)</f>
        <v>29.13</v>
      </c>
      <c r="E14544" s="14" t="str">
        <f aca="false">IF(C14544="","",C14544*D14544/100)</f>
        <v/>
      </c>
      <c r="F14544" s="15" t="str">
        <f aca="false">IF(B14544&lt;5,"Go","Standard")</f>
        <v>Standard</v>
      </c>
    </row>
    <row r="14545" customFormat="false" ht="15" hidden="false" customHeight="true" outlineLevel="0" collapsed="false">
      <c r="A14545" s="10" t="n">
        <f aca="false">Einstellungen!$B$5+INT((ROW()-9)/24)</f>
        <v>46571</v>
      </c>
      <c r="B14545" s="11" t="n">
        <f aca="false">MOD(ROW()-9,24)</f>
        <v>16</v>
      </c>
      <c r="C14545" s="12"/>
      <c r="D14545" s="13" t="n">
        <f aca="false">IF(B14545&lt;5,Einstellungen!$B$3,Einstellungen!$B$4)</f>
        <v>29.13</v>
      </c>
      <c r="E14545" s="14" t="str">
        <f aca="false">IF(C14545="","",C14545*D14545/100)</f>
        <v/>
      </c>
      <c r="F14545" s="15" t="str">
        <f aca="false">IF(B14545&lt;5,"Go","Standard")</f>
        <v>Standard</v>
      </c>
    </row>
    <row r="14546" customFormat="false" ht="15" hidden="false" customHeight="true" outlineLevel="0" collapsed="false">
      <c r="A14546" s="10" t="n">
        <f aca="false">Einstellungen!$B$5+INT((ROW()-9)/24)</f>
        <v>46571</v>
      </c>
      <c r="B14546" s="11" t="n">
        <f aca="false">MOD(ROW()-9,24)</f>
        <v>17</v>
      </c>
      <c r="C14546" s="12"/>
      <c r="D14546" s="13" t="n">
        <f aca="false">IF(B14546&lt;5,Einstellungen!$B$3,Einstellungen!$B$4)</f>
        <v>29.13</v>
      </c>
      <c r="E14546" s="14" t="str">
        <f aca="false">IF(C14546="","",C14546*D14546/100)</f>
        <v/>
      </c>
      <c r="F14546" s="15" t="str">
        <f aca="false">IF(B14546&lt;5,"Go","Standard")</f>
        <v>Standard</v>
      </c>
    </row>
    <row r="14547" customFormat="false" ht="15" hidden="false" customHeight="true" outlineLevel="0" collapsed="false">
      <c r="A14547" s="10" t="n">
        <f aca="false">Einstellungen!$B$5+INT((ROW()-9)/24)</f>
        <v>46571</v>
      </c>
      <c r="B14547" s="11" t="n">
        <f aca="false">MOD(ROW()-9,24)</f>
        <v>18</v>
      </c>
      <c r="C14547" s="12"/>
      <c r="D14547" s="13" t="n">
        <f aca="false">IF(B14547&lt;5,Einstellungen!$B$3,Einstellungen!$B$4)</f>
        <v>29.13</v>
      </c>
      <c r="E14547" s="14" t="str">
        <f aca="false">IF(C14547="","",C14547*D14547/100)</f>
        <v/>
      </c>
      <c r="F14547" s="15" t="str">
        <f aca="false">IF(B14547&lt;5,"Go","Standard")</f>
        <v>Standard</v>
      </c>
    </row>
    <row r="14548" customFormat="false" ht="15" hidden="false" customHeight="true" outlineLevel="0" collapsed="false">
      <c r="A14548" s="10" t="n">
        <f aca="false">Einstellungen!$B$5+INT((ROW()-9)/24)</f>
        <v>46571</v>
      </c>
      <c r="B14548" s="11" t="n">
        <f aca="false">MOD(ROW()-9,24)</f>
        <v>19</v>
      </c>
      <c r="C14548" s="12"/>
      <c r="D14548" s="13" t="n">
        <f aca="false">IF(B14548&lt;5,Einstellungen!$B$3,Einstellungen!$B$4)</f>
        <v>29.13</v>
      </c>
      <c r="E14548" s="14" t="str">
        <f aca="false">IF(C14548="","",C14548*D14548/100)</f>
        <v/>
      </c>
      <c r="F14548" s="15" t="str">
        <f aca="false">IF(B14548&lt;5,"Go","Standard")</f>
        <v>Standard</v>
      </c>
    </row>
    <row r="14549" customFormat="false" ht="15" hidden="false" customHeight="true" outlineLevel="0" collapsed="false">
      <c r="A14549" s="10" t="n">
        <f aca="false">Einstellungen!$B$5+INT((ROW()-9)/24)</f>
        <v>46571</v>
      </c>
      <c r="B14549" s="11" t="n">
        <f aca="false">MOD(ROW()-9,24)</f>
        <v>20</v>
      </c>
      <c r="C14549" s="12"/>
      <c r="D14549" s="13" t="n">
        <f aca="false">IF(B14549&lt;5,Einstellungen!$B$3,Einstellungen!$B$4)</f>
        <v>29.13</v>
      </c>
      <c r="E14549" s="14" t="str">
        <f aca="false">IF(C14549="","",C14549*D14549/100)</f>
        <v/>
      </c>
      <c r="F14549" s="15" t="str">
        <f aca="false">IF(B14549&lt;5,"Go","Standard")</f>
        <v>Standard</v>
      </c>
    </row>
    <row r="14550" customFormat="false" ht="15" hidden="false" customHeight="true" outlineLevel="0" collapsed="false">
      <c r="A14550" s="10" t="n">
        <f aca="false">Einstellungen!$B$5+INT((ROW()-9)/24)</f>
        <v>46571</v>
      </c>
      <c r="B14550" s="11" t="n">
        <f aca="false">MOD(ROW()-9,24)</f>
        <v>21</v>
      </c>
      <c r="C14550" s="12"/>
      <c r="D14550" s="13" t="n">
        <f aca="false">IF(B14550&lt;5,Einstellungen!$B$3,Einstellungen!$B$4)</f>
        <v>29.13</v>
      </c>
      <c r="E14550" s="14" t="str">
        <f aca="false">IF(C14550="","",C14550*D14550/100)</f>
        <v/>
      </c>
      <c r="F14550" s="15" t="str">
        <f aca="false">IF(B14550&lt;5,"Go","Standard")</f>
        <v>Standard</v>
      </c>
    </row>
    <row r="14551" customFormat="false" ht="15" hidden="false" customHeight="true" outlineLevel="0" collapsed="false">
      <c r="A14551" s="10" t="n">
        <f aca="false">Einstellungen!$B$5+INT((ROW()-9)/24)</f>
        <v>46571</v>
      </c>
      <c r="B14551" s="11" t="n">
        <f aca="false">MOD(ROW()-9,24)</f>
        <v>22</v>
      </c>
      <c r="C14551" s="12"/>
      <c r="D14551" s="13" t="n">
        <f aca="false">IF(B14551&lt;5,Einstellungen!$B$3,Einstellungen!$B$4)</f>
        <v>29.13</v>
      </c>
      <c r="E14551" s="14" t="str">
        <f aca="false">IF(C14551="","",C14551*D14551/100)</f>
        <v/>
      </c>
      <c r="F14551" s="15" t="str">
        <f aca="false">IF(B14551&lt;5,"Go","Standard")</f>
        <v>Standard</v>
      </c>
    </row>
    <row r="14552" customFormat="false" ht="15" hidden="false" customHeight="true" outlineLevel="0" collapsed="false">
      <c r="A14552" s="10" t="n">
        <f aca="false">Einstellungen!$B$5+INT((ROW()-9)/24)</f>
        <v>46571</v>
      </c>
      <c r="B14552" s="11" t="n">
        <f aca="false">MOD(ROW()-9,24)</f>
        <v>23</v>
      </c>
      <c r="C14552" s="12"/>
      <c r="D14552" s="13" t="n">
        <f aca="false">IF(B14552&lt;5,Einstellungen!$B$3,Einstellungen!$B$4)</f>
        <v>29.13</v>
      </c>
      <c r="E14552" s="14" t="str">
        <f aca="false">IF(C14552="","",C14552*D14552/100)</f>
        <v/>
      </c>
      <c r="F14552" s="15" t="str">
        <f aca="false">IF(B14552&lt;5,"Go","Standard")</f>
        <v>Standard</v>
      </c>
    </row>
    <row r="14553" customFormat="false" ht="15" hidden="false" customHeight="true" outlineLevel="0" collapsed="false">
      <c r="A14553" s="10" t="n">
        <f aca="false">Einstellungen!$B$5+INT((ROW()-9)/24)</f>
        <v>46572</v>
      </c>
      <c r="B14553" s="11" t="n">
        <f aca="false">MOD(ROW()-9,24)</f>
        <v>0</v>
      </c>
      <c r="C14553" s="12"/>
      <c r="D14553" s="13" t="n">
        <f aca="false">IF(B14553&lt;5,Einstellungen!$B$3,Einstellungen!$B$4)</f>
        <v>15.92</v>
      </c>
      <c r="E14553" s="14" t="str">
        <f aca="false">IF(C14553="","",C14553*D14553/100)</f>
        <v/>
      </c>
      <c r="F14553" s="15" t="str">
        <f aca="false">IF(B14553&lt;5,"Go","Standard")</f>
        <v>Go</v>
      </c>
    </row>
    <row r="14554" customFormat="false" ht="15" hidden="false" customHeight="true" outlineLevel="0" collapsed="false">
      <c r="A14554" s="10" t="n">
        <f aca="false">Einstellungen!$B$5+INT((ROW()-9)/24)</f>
        <v>46572</v>
      </c>
      <c r="B14554" s="11" t="n">
        <f aca="false">MOD(ROW()-9,24)</f>
        <v>1</v>
      </c>
      <c r="C14554" s="12"/>
      <c r="D14554" s="13" t="n">
        <f aca="false">IF(B14554&lt;5,Einstellungen!$B$3,Einstellungen!$B$4)</f>
        <v>15.92</v>
      </c>
      <c r="E14554" s="14" t="str">
        <f aca="false">IF(C14554="","",C14554*D14554/100)</f>
        <v/>
      </c>
      <c r="F14554" s="15" t="str">
        <f aca="false">IF(B14554&lt;5,"Go","Standard")</f>
        <v>Go</v>
      </c>
    </row>
    <row r="14555" customFormat="false" ht="15" hidden="false" customHeight="true" outlineLevel="0" collapsed="false">
      <c r="A14555" s="10" t="n">
        <f aca="false">Einstellungen!$B$5+INT((ROW()-9)/24)</f>
        <v>46572</v>
      </c>
      <c r="B14555" s="11" t="n">
        <f aca="false">MOD(ROW()-9,24)</f>
        <v>2</v>
      </c>
      <c r="C14555" s="12"/>
      <c r="D14555" s="13" t="n">
        <f aca="false">IF(B14555&lt;5,Einstellungen!$B$3,Einstellungen!$B$4)</f>
        <v>15.92</v>
      </c>
      <c r="E14555" s="14" t="str">
        <f aca="false">IF(C14555="","",C14555*D14555/100)</f>
        <v/>
      </c>
      <c r="F14555" s="15" t="str">
        <f aca="false">IF(B14555&lt;5,"Go","Standard")</f>
        <v>Go</v>
      </c>
    </row>
    <row r="14556" customFormat="false" ht="15" hidden="false" customHeight="true" outlineLevel="0" collapsed="false">
      <c r="A14556" s="10" t="n">
        <f aca="false">Einstellungen!$B$5+INT((ROW()-9)/24)</f>
        <v>46572</v>
      </c>
      <c r="B14556" s="11" t="n">
        <f aca="false">MOD(ROW()-9,24)</f>
        <v>3</v>
      </c>
      <c r="C14556" s="12"/>
      <c r="D14556" s="13" t="n">
        <f aca="false">IF(B14556&lt;5,Einstellungen!$B$3,Einstellungen!$B$4)</f>
        <v>15.92</v>
      </c>
      <c r="E14556" s="14" t="str">
        <f aca="false">IF(C14556="","",C14556*D14556/100)</f>
        <v/>
      </c>
      <c r="F14556" s="15" t="str">
        <f aca="false">IF(B14556&lt;5,"Go","Standard")</f>
        <v>Go</v>
      </c>
    </row>
    <row r="14557" customFormat="false" ht="15" hidden="false" customHeight="true" outlineLevel="0" collapsed="false">
      <c r="A14557" s="10" t="n">
        <f aca="false">Einstellungen!$B$5+INT((ROW()-9)/24)</f>
        <v>46572</v>
      </c>
      <c r="B14557" s="11" t="n">
        <f aca="false">MOD(ROW()-9,24)</f>
        <v>4</v>
      </c>
      <c r="C14557" s="12"/>
      <c r="D14557" s="13" t="n">
        <f aca="false">IF(B14557&lt;5,Einstellungen!$B$3,Einstellungen!$B$4)</f>
        <v>15.92</v>
      </c>
      <c r="E14557" s="14" t="str">
        <f aca="false">IF(C14557="","",C14557*D14557/100)</f>
        <v/>
      </c>
      <c r="F14557" s="15" t="str">
        <f aca="false">IF(B14557&lt;5,"Go","Standard")</f>
        <v>Go</v>
      </c>
    </row>
    <row r="14558" customFormat="false" ht="15" hidden="false" customHeight="true" outlineLevel="0" collapsed="false">
      <c r="A14558" s="10" t="n">
        <f aca="false">Einstellungen!$B$5+INT((ROW()-9)/24)</f>
        <v>46572</v>
      </c>
      <c r="B14558" s="11" t="n">
        <f aca="false">MOD(ROW()-9,24)</f>
        <v>5</v>
      </c>
      <c r="C14558" s="12"/>
      <c r="D14558" s="13" t="n">
        <f aca="false">IF(B14558&lt;5,Einstellungen!$B$3,Einstellungen!$B$4)</f>
        <v>29.13</v>
      </c>
      <c r="E14558" s="14" t="str">
        <f aca="false">IF(C14558="","",C14558*D14558/100)</f>
        <v/>
      </c>
      <c r="F14558" s="15" t="str">
        <f aca="false">IF(B14558&lt;5,"Go","Standard")</f>
        <v>Standard</v>
      </c>
    </row>
    <row r="14559" customFormat="false" ht="15" hidden="false" customHeight="true" outlineLevel="0" collapsed="false">
      <c r="A14559" s="10" t="n">
        <f aca="false">Einstellungen!$B$5+INT((ROW()-9)/24)</f>
        <v>46572</v>
      </c>
      <c r="B14559" s="11" t="n">
        <f aca="false">MOD(ROW()-9,24)</f>
        <v>6</v>
      </c>
      <c r="C14559" s="12"/>
      <c r="D14559" s="13" t="n">
        <f aca="false">IF(B14559&lt;5,Einstellungen!$B$3,Einstellungen!$B$4)</f>
        <v>29.13</v>
      </c>
      <c r="E14559" s="14" t="str">
        <f aca="false">IF(C14559="","",C14559*D14559/100)</f>
        <v/>
      </c>
      <c r="F14559" s="15" t="str">
        <f aca="false">IF(B14559&lt;5,"Go","Standard")</f>
        <v>Standard</v>
      </c>
    </row>
    <row r="14560" customFormat="false" ht="15" hidden="false" customHeight="true" outlineLevel="0" collapsed="false">
      <c r="A14560" s="10" t="n">
        <f aca="false">Einstellungen!$B$5+INT((ROW()-9)/24)</f>
        <v>46572</v>
      </c>
      <c r="B14560" s="11" t="n">
        <f aca="false">MOD(ROW()-9,24)</f>
        <v>7</v>
      </c>
      <c r="C14560" s="12"/>
      <c r="D14560" s="13" t="n">
        <f aca="false">IF(B14560&lt;5,Einstellungen!$B$3,Einstellungen!$B$4)</f>
        <v>29.13</v>
      </c>
      <c r="E14560" s="14" t="str">
        <f aca="false">IF(C14560="","",C14560*D14560/100)</f>
        <v/>
      </c>
      <c r="F14560" s="15" t="str">
        <f aca="false">IF(B14560&lt;5,"Go","Standard")</f>
        <v>Standard</v>
      </c>
    </row>
    <row r="14561" customFormat="false" ht="15" hidden="false" customHeight="true" outlineLevel="0" collapsed="false">
      <c r="A14561" s="10" t="n">
        <f aca="false">Einstellungen!$B$5+INT((ROW()-9)/24)</f>
        <v>46572</v>
      </c>
      <c r="B14561" s="11" t="n">
        <f aca="false">MOD(ROW()-9,24)</f>
        <v>8</v>
      </c>
      <c r="C14561" s="12"/>
      <c r="D14561" s="13" t="n">
        <f aca="false">IF(B14561&lt;5,Einstellungen!$B$3,Einstellungen!$B$4)</f>
        <v>29.13</v>
      </c>
      <c r="E14561" s="14" t="str">
        <f aca="false">IF(C14561="","",C14561*D14561/100)</f>
        <v/>
      </c>
      <c r="F14561" s="15" t="str">
        <f aca="false">IF(B14561&lt;5,"Go","Standard")</f>
        <v>Standard</v>
      </c>
    </row>
    <row r="14562" customFormat="false" ht="15" hidden="false" customHeight="true" outlineLevel="0" collapsed="false">
      <c r="A14562" s="10" t="n">
        <f aca="false">Einstellungen!$B$5+INT((ROW()-9)/24)</f>
        <v>46572</v>
      </c>
      <c r="B14562" s="11" t="n">
        <f aca="false">MOD(ROW()-9,24)</f>
        <v>9</v>
      </c>
      <c r="C14562" s="12"/>
      <c r="D14562" s="13" t="n">
        <f aca="false">IF(B14562&lt;5,Einstellungen!$B$3,Einstellungen!$B$4)</f>
        <v>29.13</v>
      </c>
      <c r="E14562" s="14" t="str">
        <f aca="false">IF(C14562="","",C14562*D14562/100)</f>
        <v/>
      </c>
      <c r="F14562" s="15" t="str">
        <f aca="false">IF(B14562&lt;5,"Go","Standard")</f>
        <v>Standard</v>
      </c>
    </row>
    <row r="14563" customFormat="false" ht="15" hidden="false" customHeight="true" outlineLevel="0" collapsed="false">
      <c r="A14563" s="10" t="n">
        <f aca="false">Einstellungen!$B$5+INT((ROW()-9)/24)</f>
        <v>46572</v>
      </c>
      <c r="B14563" s="11" t="n">
        <f aca="false">MOD(ROW()-9,24)</f>
        <v>10</v>
      </c>
      <c r="C14563" s="12"/>
      <c r="D14563" s="13" t="n">
        <f aca="false">IF(B14563&lt;5,Einstellungen!$B$3,Einstellungen!$B$4)</f>
        <v>29.13</v>
      </c>
      <c r="E14563" s="14" t="str">
        <f aca="false">IF(C14563="","",C14563*D14563/100)</f>
        <v/>
      </c>
      <c r="F14563" s="15" t="str">
        <f aca="false">IF(B14563&lt;5,"Go","Standard")</f>
        <v>Standard</v>
      </c>
    </row>
    <row r="14564" customFormat="false" ht="15" hidden="false" customHeight="true" outlineLevel="0" collapsed="false">
      <c r="A14564" s="10" t="n">
        <f aca="false">Einstellungen!$B$5+INT((ROW()-9)/24)</f>
        <v>46572</v>
      </c>
      <c r="B14564" s="11" t="n">
        <f aca="false">MOD(ROW()-9,24)</f>
        <v>11</v>
      </c>
      <c r="C14564" s="12"/>
      <c r="D14564" s="13" t="n">
        <f aca="false">IF(B14564&lt;5,Einstellungen!$B$3,Einstellungen!$B$4)</f>
        <v>29.13</v>
      </c>
      <c r="E14564" s="14" t="str">
        <f aca="false">IF(C14564="","",C14564*D14564/100)</f>
        <v/>
      </c>
      <c r="F14564" s="15" t="str">
        <f aca="false">IF(B14564&lt;5,"Go","Standard")</f>
        <v>Standard</v>
      </c>
    </row>
    <row r="14565" customFormat="false" ht="15" hidden="false" customHeight="true" outlineLevel="0" collapsed="false">
      <c r="A14565" s="10" t="n">
        <f aca="false">Einstellungen!$B$5+INT((ROW()-9)/24)</f>
        <v>46572</v>
      </c>
      <c r="B14565" s="11" t="n">
        <f aca="false">MOD(ROW()-9,24)</f>
        <v>12</v>
      </c>
      <c r="C14565" s="12"/>
      <c r="D14565" s="13" t="n">
        <f aca="false">IF(B14565&lt;5,Einstellungen!$B$3,Einstellungen!$B$4)</f>
        <v>29.13</v>
      </c>
      <c r="E14565" s="14" t="str">
        <f aca="false">IF(C14565="","",C14565*D14565/100)</f>
        <v/>
      </c>
      <c r="F14565" s="15" t="str">
        <f aca="false">IF(B14565&lt;5,"Go","Standard")</f>
        <v>Standard</v>
      </c>
    </row>
    <row r="14566" customFormat="false" ht="15" hidden="false" customHeight="true" outlineLevel="0" collapsed="false">
      <c r="A14566" s="10" t="n">
        <f aca="false">Einstellungen!$B$5+INT((ROW()-9)/24)</f>
        <v>46572</v>
      </c>
      <c r="B14566" s="11" t="n">
        <f aca="false">MOD(ROW()-9,24)</f>
        <v>13</v>
      </c>
      <c r="C14566" s="12"/>
      <c r="D14566" s="13" t="n">
        <f aca="false">IF(B14566&lt;5,Einstellungen!$B$3,Einstellungen!$B$4)</f>
        <v>29.13</v>
      </c>
      <c r="E14566" s="14" t="str">
        <f aca="false">IF(C14566="","",C14566*D14566/100)</f>
        <v/>
      </c>
      <c r="F14566" s="15" t="str">
        <f aca="false">IF(B14566&lt;5,"Go","Standard")</f>
        <v>Standard</v>
      </c>
    </row>
    <row r="14567" customFormat="false" ht="15" hidden="false" customHeight="true" outlineLevel="0" collapsed="false">
      <c r="A14567" s="10" t="n">
        <f aca="false">Einstellungen!$B$5+INT((ROW()-9)/24)</f>
        <v>46572</v>
      </c>
      <c r="B14567" s="11" t="n">
        <f aca="false">MOD(ROW()-9,24)</f>
        <v>14</v>
      </c>
      <c r="C14567" s="12"/>
      <c r="D14567" s="13" t="n">
        <f aca="false">IF(B14567&lt;5,Einstellungen!$B$3,Einstellungen!$B$4)</f>
        <v>29.13</v>
      </c>
      <c r="E14567" s="14" t="str">
        <f aca="false">IF(C14567="","",C14567*D14567/100)</f>
        <v/>
      </c>
      <c r="F14567" s="15" t="str">
        <f aca="false">IF(B14567&lt;5,"Go","Standard")</f>
        <v>Standard</v>
      </c>
    </row>
    <row r="14568" customFormat="false" ht="15" hidden="false" customHeight="true" outlineLevel="0" collapsed="false">
      <c r="A14568" s="10" t="n">
        <f aca="false">Einstellungen!$B$5+INT((ROW()-9)/24)</f>
        <v>46572</v>
      </c>
      <c r="B14568" s="11" t="n">
        <f aca="false">MOD(ROW()-9,24)</f>
        <v>15</v>
      </c>
      <c r="C14568" s="12"/>
      <c r="D14568" s="13" t="n">
        <f aca="false">IF(B14568&lt;5,Einstellungen!$B$3,Einstellungen!$B$4)</f>
        <v>29.13</v>
      </c>
      <c r="E14568" s="14" t="str">
        <f aca="false">IF(C14568="","",C14568*D14568/100)</f>
        <v/>
      </c>
      <c r="F14568" s="15" t="str">
        <f aca="false">IF(B14568&lt;5,"Go","Standard")</f>
        <v>Standard</v>
      </c>
    </row>
    <row r="14569" customFormat="false" ht="15" hidden="false" customHeight="true" outlineLevel="0" collapsed="false">
      <c r="A14569" s="10" t="n">
        <f aca="false">Einstellungen!$B$5+INT((ROW()-9)/24)</f>
        <v>46572</v>
      </c>
      <c r="B14569" s="11" t="n">
        <f aca="false">MOD(ROW()-9,24)</f>
        <v>16</v>
      </c>
      <c r="C14569" s="12"/>
      <c r="D14569" s="13" t="n">
        <f aca="false">IF(B14569&lt;5,Einstellungen!$B$3,Einstellungen!$B$4)</f>
        <v>29.13</v>
      </c>
      <c r="E14569" s="14" t="str">
        <f aca="false">IF(C14569="","",C14569*D14569/100)</f>
        <v/>
      </c>
      <c r="F14569" s="15" t="str">
        <f aca="false">IF(B14569&lt;5,"Go","Standard")</f>
        <v>Standard</v>
      </c>
    </row>
    <row r="14570" customFormat="false" ht="15" hidden="false" customHeight="true" outlineLevel="0" collapsed="false">
      <c r="A14570" s="10" t="n">
        <f aca="false">Einstellungen!$B$5+INT((ROW()-9)/24)</f>
        <v>46572</v>
      </c>
      <c r="B14570" s="11" t="n">
        <f aca="false">MOD(ROW()-9,24)</f>
        <v>17</v>
      </c>
      <c r="C14570" s="12"/>
      <c r="D14570" s="13" t="n">
        <f aca="false">IF(B14570&lt;5,Einstellungen!$B$3,Einstellungen!$B$4)</f>
        <v>29.13</v>
      </c>
      <c r="E14570" s="14" t="str">
        <f aca="false">IF(C14570="","",C14570*D14570/100)</f>
        <v/>
      </c>
      <c r="F14570" s="15" t="str">
        <f aca="false">IF(B14570&lt;5,"Go","Standard")</f>
        <v>Standard</v>
      </c>
    </row>
    <row r="14571" customFormat="false" ht="15" hidden="false" customHeight="true" outlineLevel="0" collapsed="false">
      <c r="A14571" s="10" t="n">
        <f aca="false">Einstellungen!$B$5+INT((ROW()-9)/24)</f>
        <v>46572</v>
      </c>
      <c r="B14571" s="11" t="n">
        <f aca="false">MOD(ROW()-9,24)</f>
        <v>18</v>
      </c>
      <c r="C14571" s="12"/>
      <c r="D14571" s="13" t="n">
        <f aca="false">IF(B14571&lt;5,Einstellungen!$B$3,Einstellungen!$B$4)</f>
        <v>29.13</v>
      </c>
      <c r="E14571" s="14" t="str">
        <f aca="false">IF(C14571="","",C14571*D14571/100)</f>
        <v/>
      </c>
      <c r="F14571" s="15" t="str">
        <f aca="false">IF(B14571&lt;5,"Go","Standard")</f>
        <v>Standard</v>
      </c>
    </row>
    <row r="14572" customFormat="false" ht="15" hidden="false" customHeight="true" outlineLevel="0" collapsed="false">
      <c r="A14572" s="10" t="n">
        <f aca="false">Einstellungen!$B$5+INT((ROW()-9)/24)</f>
        <v>46572</v>
      </c>
      <c r="B14572" s="11" t="n">
        <f aca="false">MOD(ROW()-9,24)</f>
        <v>19</v>
      </c>
      <c r="C14572" s="12"/>
      <c r="D14572" s="13" t="n">
        <f aca="false">IF(B14572&lt;5,Einstellungen!$B$3,Einstellungen!$B$4)</f>
        <v>29.13</v>
      </c>
      <c r="E14572" s="14" t="str">
        <f aca="false">IF(C14572="","",C14572*D14572/100)</f>
        <v/>
      </c>
      <c r="F14572" s="15" t="str">
        <f aca="false">IF(B14572&lt;5,"Go","Standard")</f>
        <v>Standard</v>
      </c>
    </row>
    <row r="14573" customFormat="false" ht="15" hidden="false" customHeight="true" outlineLevel="0" collapsed="false">
      <c r="A14573" s="10" t="n">
        <f aca="false">Einstellungen!$B$5+INT((ROW()-9)/24)</f>
        <v>46572</v>
      </c>
      <c r="B14573" s="11" t="n">
        <f aca="false">MOD(ROW()-9,24)</f>
        <v>20</v>
      </c>
      <c r="C14573" s="12"/>
      <c r="D14573" s="13" t="n">
        <f aca="false">IF(B14573&lt;5,Einstellungen!$B$3,Einstellungen!$B$4)</f>
        <v>29.13</v>
      </c>
      <c r="E14573" s="14" t="str">
        <f aca="false">IF(C14573="","",C14573*D14573/100)</f>
        <v/>
      </c>
      <c r="F14573" s="15" t="str">
        <f aca="false">IF(B14573&lt;5,"Go","Standard")</f>
        <v>Standard</v>
      </c>
    </row>
    <row r="14574" customFormat="false" ht="15" hidden="false" customHeight="true" outlineLevel="0" collapsed="false">
      <c r="A14574" s="10" t="n">
        <f aca="false">Einstellungen!$B$5+INT((ROW()-9)/24)</f>
        <v>46572</v>
      </c>
      <c r="B14574" s="11" t="n">
        <f aca="false">MOD(ROW()-9,24)</f>
        <v>21</v>
      </c>
      <c r="C14574" s="12"/>
      <c r="D14574" s="13" t="n">
        <f aca="false">IF(B14574&lt;5,Einstellungen!$B$3,Einstellungen!$B$4)</f>
        <v>29.13</v>
      </c>
      <c r="E14574" s="14" t="str">
        <f aca="false">IF(C14574="","",C14574*D14574/100)</f>
        <v/>
      </c>
      <c r="F14574" s="15" t="str">
        <f aca="false">IF(B14574&lt;5,"Go","Standard")</f>
        <v>Standard</v>
      </c>
    </row>
    <row r="14575" customFormat="false" ht="15" hidden="false" customHeight="true" outlineLevel="0" collapsed="false">
      <c r="A14575" s="10" t="n">
        <f aca="false">Einstellungen!$B$5+INT((ROW()-9)/24)</f>
        <v>46572</v>
      </c>
      <c r="B14575" s="11" t="n">
        <f aca="false">MOD(ROW()-9,24)</f>
        <v>22</v>
      </c>
      <c r="C14575" s="12"/>
      <c r="D14575" s="13" t="n">
        <f aca="false">IF(B14575&lt;5,Einstellungen!$B$3,Einstellungen!$B$4)</f>
        <v>29.13</v>
      </c>
      <c r="E14575" s="14" t="str">
        <f aca="false">IF(C14575="","",C14575*D14575/100)</f>
        <v/>
      </c>
      <c r="F14575" s="15" t="str">
        <f aca="false">IF(B14575&lt;5,"Go","Standard")</f>
        <v>Standard</v>
      </c>
    </row>
    <row r="14576" customFormat="false" ht="15" hidden="false" customHeight="true" outlineLevel="0" collapsed="false">
      <c r="A14576" s="10" t="n">
        <f aca="false">Einstellungen!$B$5+INT((ROW()-9)/24)</f>
        <v>46572</v>
      </c>
      <c r="B14576" s="11" t="n">
        <f aca="false">MOD(ROW()-9,24)</f>
        <v>23</v>
      </c>
      <c r="C14576" s="12"/>
      <c r="D14576" s="13" t="n">
        <f aca="false">IF(B14576&lt;5,Einstellungen!$B$3,Einstellungen!$B$4)</f>
        <v>29.13</v>
      </c>
      <c r="E14576" s="14" t="str">
        <f aca="false">IF(C14576="","",C14576*D14576/100)</f>
        <v/>
      </c>
      <c r="F14576" s="15" t="str">
        <f aca="false">IF(B14576&lt;5,"Go","Standard")</f>
        <v>Standard</v>
      </c>
    </row>
    <row r="14577" customFormat="false" ht="15" hidden="false" customHeight="true" outlineLevel="0" collapsed="false">
      <c r="A14577" s="10" t="n">
        <f aca="false">Einstellungen!$B$5+INT((ROW()-9)/24)</f>
        <v>46573</v>
      </c>
      <c r="B14577" s="11" t="n">
        <f aca="false">MOD(ROW()-9,24)</f>
        <v>0</v>
      </c>
      <c r="C14577" s="12"/>
      <c r="D14577" s="13" t="n">
        <f aca="false">IF(B14577&lt;5,Einstellungen!$B$3,Einstellungen!$B$4)</f>
        <v>15.92</v>
      </c>
      <c r="E14577" s="14" t="str">
        <f aca="false">IF(C14577="","",C14577*D14577/100)</f>
        <v/>
      </c>
      <c r="F14577" s="15" t="str">
        <f aca="false">IF(B14577&lt;5,"Go","Standard")</f>
        <v>Go</v>
      </c>
    </row>
    <row r="14578" customFormat="false" ht="15" hidden="false" customHeight="true" outlineLevel="0" collapsed="false">
      <c r="A14578" s="10" t="n">
        <f aca="false">Einstellungen!$B$5+INT((ROW()-9)/24)</f>
        <v>46573</v>
      </c>
      <c r="B14578" s="11" t="n">
        <f aca="false">MOD(ROW()-9,24)</f>
        <v>1</v>
      </c>
      <c r="C14578" s="12"/>
      <c r="D14578" s="13" t="n">
        <f aca="false">IF(B14578&lt;5,Einstellungen!$B$3,Einstellungen!$B$4)</f>
        <v>15.92</v>
      </c>
      <c r="E14578" s="14" t="str">
        <f aca="false">IF(C14578="","",C14578*D14578/100)</f>
        <v/>
      </c>
      <c r="F14578" s="15" t="str">
        <f aca="false">IF(B14578&lt;5,"Go","Standard")</f>
        <v>Go</v>
      </c>
    </row>
    <row r="14579" customFormat="false" ht="15" hidden="false" customHeight="true" outlineLevel="0" collapsed="false">
      <c r="A14579" s="10" t="n">
        <f aca="false">Einstellungen!$B$5+INT((ROW()-9)/24)</f>
        <v>46573</v>
      </c>
      <c r="B14579" s="11" t="n">
        <f aca="false">MOD(ROW()-9,24)</f>
        <v>2</v>
      </c>
      <c r="C14579" s="12"/>
      <c r="D14579" s="13" t="n">
        <f aca="false">IF(B14579&lt;5,Einstellungen!$B$3,Einstellungen!$B$4)</f>
        <v>15.92</v>
      </c>
      <c r="E14579" s="14" t="str">
        <f aca="false">IF(C14579="","",C14579*D14579/100)</f>
        <v/>
      </c>
      <c r="F14579" s="15" t="str">
        <f aca="false">IF(B14579&lt;5,"Go","Standard")</f>
        <v>Go</v>
      </c>
    </row>
    <row r="14580" customFormat="false" ht="15" hidden="false" customHeight="true" outlineLevel="0" collapsed="false">
      <c r="A14580" s="10" t="n">
        <f aca="false">Einstellungen!$B$5+INT((ROW()-9)/24)</f>
        <v>46573</v>
      </c>
      <c r="B14580" s="11" t="n">
        <f aca="false">MOD(ROW()-9,24)</f>
        <v>3</v>
      </c>
      <c r="C14580" s="12"/>
      <c r="D14580" s="13" t="n">
        <f aca="false">IF(B14580&lt;5,Einstellungen!$B$3,Einstellungen!$B$4)</f>
        <v>15.92</v>
      </c>
      <c r="E14580" s="14" t="str">
        <f aca="false">IF(C14580="","",C14580*D14580/100)</f>
        <v/>
      </c>
      <c r="F14580" s="15" t="str">
        <f aca="false">IF(B14580&lt;5,"Go","Standard")</f>
        <v>Go</v>
      </c>
    </row>
    <row r="14581" customFormat="false" ht="15" hidden="false" customHeight="true" outlineLevel="0" collapsed="false">
      <c r="A14581" s="10" t="n">
        <f aca="false">Einstellungen!$B$5+INT((ROW()-9)/24)</f>
        <v>46573</v>
      </c>
      <c r="B14581" s="11" t="n">
        <f aca="false">MOD(ROW()-9,24)</f>
        <v>4</v>
      </c>
      <c r="C14581" s="12"/>
      <c r="D14581" s="13" t="n">
        <f aca="false">IF(B14581&lt;5,Einstellungen!$B$3,Einstellungen!$B$4)</f>
        <v>15.92</v>
      </c>
      <c r="E14581" s="14" t="str">
        <f aca="false">IF(C14581="","",C14581*D14581/100)</f>
        <v/>
      </c>
      <c r="F14581" s="15" t="str">
        <f aca="false">IF(B14581&lt;5,"Go","Standard")</f>
        <v>Go</v>
      </c>
    </row>
    <row r="14582" customFormat="false" ht="15" hidden="false" customHeight="true" outlineLevel="0" collapsed="false">
      <c r="A14582" s="10" t="n">
        <f aca="false">Einstellungen!$B$5+INT((ROW()-9)/24)</f>
        <v>46573</v>
      </c>
      <c r="B14582" s="11" t="n">
        <f aca="false">MOD(ROW()-9,24)</f>
        <v>5</v>
      </c>
      <c r="C14582" s="12"/>
      <c r="D14582" s="13" t="n">
        <f aca="false">IF(B14582&lt;5,Einstellungen!$B$3,Einstellungen!$B$4)</f>
        <v>29.13</v>
      </c>
      <c r="E14582" s="14" t="str">
        <f aca="false">IF(C14582="","",C14582*D14582/100)</f>
        <v/>
      </c>
      <c r="F14582" s="15" t="str">
        <f aca="false">IF(B14582&lt;5,"Go","Standard")</f>
        <v>Standard</v>
      </c>
    </row>
    <row r="14583" customFormat="false" ht="15" hidden="false" customHeight="true" outlineLevel="0" collapsed="false">
      <c r="A14583" s="10" t="n">
        <f aca="false">Einstellungen!$B$5+INT((ROW()-9)/24)</f>
        <v>46573</v>
      </c>
      <c r="B14583" s="11" t="n">
        <f aca="false">MOD(ROW()-9,24)</f>
        <v>6</v>
      </c>
      <c r="C14583" s="12"/>
      <c r="D14583" s="13" t="n">
        <f aca="false">IF(B14583&lt;5,Einstellungen!$B$3,Einstellungen!$B$4)</f>
        <v>29.13</v>
      </c>
      <c r="E14583" s="14" t="str">
        <f aca="false">IF(C14583="","",C14583*D14583/100)</f>
        <v/>
      </c>
      <c r="F14583" s="15" t="str">
        <f aca="false">IF(B14583&lt;5,"Go","Standard")</f>
        <v>Standard</v>
      </c>
    </row>
    <row r="14584" customFormat="false" ht="15" hidden="false" customHeight="true" outlineLevel="0" collapsed="false">
      <c r="A14584" s="10" t="n">
        <f aca="false">Einstellungen!$B$5+INT((ROW()-9)/24)</f>
        <v>46573</v>
      </c>
      <c r="B14584" s="11" t="n">
        <f aca="false">MOD(ROW()-9,24)</f>
        <v>7</v>
      </c>
      <c r="C14584" s="12"/>
      <c r="D14584" s="13" t="n">
        <f aca="false">IF(B14584&lt;5,Einstellungen!$B$3,Einstellungen!$B$4)</f>
        <v>29.13</v>
      </c>
      <c r="E14584" s="14" t="str">
        <f aca="false">IF(C14584="","",C14584*D14584/100)</f>
        <v/>
      </c>
      <c r="F14584" s="15" t="str">
        <f aca="false">IF(B14584&lt;5,"Go","Standard")</f>
        <v>Standard</v>
      </c>
    </row>
    <row r="14585" customFormat="false" ht="15" hidden="false" customHeight="true" outlineLevel="0" collapsed="false">
      <c r="A14585" s="10" t="n">
        <f aca="false">Einstellungen!$B$5+INT((ROW()-9)/24)</f>
        <v>46573</v>
      </c>
      <c r="B14585" s="11" t="n">
        <f aca="false">MOD(ROW()-9,24)</f>
        <v>8</v>
      </c>
      <c r="C14585" s="12"/>
      <c r="D14585" s="13" t="n">
        <f aca="false">IF(B14585&lt;5,Einstellungen!$B$3,Einstellungen!$B$4)</f>
        <v>29.13</v>
      </c>
      <c r="E14585" s="14" t="str">
        <f aca="false">IF(C14585="","",C14585*D14585/100)</f>
        <v/>
      </c>
      <c r="F14585" s="15" t="str">
        <f aca="false">IF(B14585&lt;5,"Go","Standard")</f>
        <v>Standard</v>
      </c>
    </row>
    <row r="14586" customFormat="false" ht="15" hidden="false" customHeight="true" outlineLevel="0" collapsed="false">
      <c r="A14586" s="10" t="n">
        <f aca="false">Einstellungen!$B$5+INT((ROW()-9)/24)</f>
        <v>46573</v>
      </c>
      <c r="B14586" s="11" t="n">
        <f aca="false">MOD(ROW()-9,24)</f>
        <v>9</v>
      </c>
      <c r="C14586" s="12"/>
      <c r="D14586" s="13" t="n">
        <f aca="false">IF(B14586&lt;5,Einstellungen!$B$3,Einstellungen!$B$4)</f>
        <v>29.13</v>
      </c>
      <c r="E14586" s="14" t="str">
        <f aca="false">IF(C14586="","",C14586*D14586/100)</f>
        <v/>
      </c>
      <c r="F14586" s="15" t="str">
        <f aca="false">IF(B14586&lt;5,"Go","Standard")</f>
        <v>Standard</v>
      </c>
    </row>
    <row r="14587" customFormat="false" ht="15" hidden="false" customHeight="true" outlineLevel="0" collapsed="false">
      <c r="A14587" s="10" t="n">
        <f aca="false">Einstellungen!$B$5+INT((ROW()-9)/24)</f>
        <v>46573</v>
      </c>
      <c r="B14587" s="11" t="n">
        <f aca="false">MOD(ROW()-9,24)</f>
        <v>10</v>
      </c>
      <c r="C14587" s="12"/>
      <c r="D14587" s="13" t="n">
        <f aca="false">IF(B14587&lt;5,Einstellungen!$B$3,Einstellungen!$B$4)</f>
        <v>29.13</v>
      </c>
      <c r="E14587" s="14" t="str">
        <f aca="false">IF(C14587="","",C14587*D14587/100)</f>
        <v/>
      </c>
      <c r="F14587" s="15" t="str">
        <f aca="false">IF(B14587&lt;5,"Go","Standard")</f>
        <v>Standard</v>
      </c>
    </row>
    <row r="14588" customFormat="false" ht="15" hidden="false" customHeight="true" outlineLevel="0" collapsed="false">
      <c r="A14588" s="10" t="n">
        <f aca="false">Einstellungen!$B$5+INT((ROW()-9)/24)</f>
        <v>46573</v>
      </c>
      <c r="B14588" s="11" t="n">
        <f aca="false">MOD(ROW()-9,24)</f>
        <v>11</v>
      </c>
      <c r="C14588" s="12"/>
      <c r="D14588" s="13" t="n">
        <f aca="false">IF(B14588&lt;5,Einstellungen!$B$3,Einstellungen!$B$4)</f>
        <v>29.13</v>
      </c>
      <c r="E14588" s="14" t="str">
        <f aca="false">IF(C14588="","",C14588*D14588/100)</f>
        <v/>
      </c>
      <c r="F14588" s="15" t="str">
        <f aca="false">IF(B14588&lt;5,"Go","Standard")</f>
        <v>Standard</v>
      </c>
    </row>
    <row r="14589" customFormat="false" ht="15" hidden="false" customHeight="true" outlineLevel="0" collapsed="false">
      <c r="A14589" s="10" t="n">
        <f aca="false">Einstellungen!$B$5+INT((ROW()-9)/24)</f>
        <v>46573</v>
      </c>
      <c r="B14589" s="11" t="n">
        <f aca="false">MOD(ROW()-9,24)</f>
        <v>12</v>
      </c>
      <c r="C14589" s="12"/>
      <c r="D14589" s="13" t="n">
        <f aca="false">IF(B14589&lt;5,Einstellungen!$B$3,Einstellungen!$B$4)</f>
        <v>29.13</v>
      </c>
      <c r="E14589" s="14" t="str">
        <f aca="false">IF(C14589="","",C14589*D14589/100)</f>
        <v/>
      </c>
      <c r="F14589" s="15" t="str">
        <f aca="false">IF(B14589&lt;5,"Go","Standard")</f>
        <v>Standard</v>
      </c>
    </row>
    <row r="14590" customFormat="false" ht="15" hidden="false" customHeight="true" outlineLevel="0" collapsed="false">
      <c r="A14590" s="10" t="n">
        <f aca="false">Einstellungen!$B$5+INT((ROW()-9)/24)</f>
        <v>46573</v>
      </c>
      <c r="B14590" s="11" t="n">
        <f aca="false">MOD(ROW()-9,24)</f>
        <v>13</v>
      </c>
      <c r="C14590" s="12"/>
      <c r="D14590" s="13" t="n">
        <f aca="false">IF(B14590&lt;5,Einstellungen!$B$3,Einstellungen!$B$4)</f>
        <v>29.13</v>
      </c>
      <c r="E14590" s="14" t="str">
        <f aca="false">IF(C14590="","",C14590*D14590/100)</f>
        <v/>
      </c>
      <c r="F14590" s="15" t="str">
        <f aca="false">IF(B14590&lt;5,"Go","Standard")</f>
        <v>Standard</v>
      </c>
    </row>
    <row r="14591" customFormat="false" ht="15" hidden="false" customHeight="true" outlineLevel="0" collapsed="false">
      <c r="A14591" s="10" t="n">
        <f aca="false">Einstellungen!$B$5+INT((ROW()-9)/24)</f>
        <v>46573</v>
      </c>
      <c r="B14591" s="11" t="n">
        <f aca="false">MOD(ROW()-9,24)</f>
        <v>14</v>
      </c>
      <c r="C14591" s="12"/>
      <c r="D14591" s="13" t="n">
        <f aca="false">IF(B14591&lt;5,Einstellungen!$B$3,Einstellungen!$B$4)</f>
        <v>29.13</v>
      </c>
      <c r="E14591" s="14" t="str">
        <f aca="false">IF(C14591="","",C14591*D14591/100)</f>
        <v/>
      </c>
      <c r="F14591" s="15" t="str">
        <f aca="false">IF(B14591&lt;5,"Go","Standard")</f>
        <v>Standard</v>
      </c>
    </row>
    <row r="14592" customFormat="false" ht="15" hidden="false" customHeight="true" outlineLevel="0" collapsed="false">
      <c r="A14592" s="10" t="n">
        <f aca="false">Einstellungen!$B$5+INT((ROW()-9)/24)</f>
        <v>46573</v>
      </c>
      <c r="B14592" s="11" t="n">
        <f aca="false">MOD(ROW()-9,24)</f>
        <v>15</v>
      </c>
      <c r="C14592" s="12"/>
      <c r="D14592" s="13" t="n">
        <f aca="false">IF(B14592&lt;5,Einstellungen!$B$3,Einstellungen!$B$4)</f>
        <v>29.13</v>
      </c>
      <c r="E14592" s="14" t="str">
        <f aca="false">IF(C14592="","",C14592*D14592/100)</f>
        <v/>
      </c>
      <c r="F14592" s="15" t="str">
        <f aca="false">IF(B14592&lt;5,"Go","Standard")</f>
        <v>Standard</v>
      </c>
    </row>
    <row r="14593" customFormat="false" ht="15" hidden="false" customHeight="true" outlineLevel="0" collapsed="false">
      <c r="A14593" s="10" t="n">
        <f aca="false">Einstellungen!$B$5+INT((ROW()-9)/24)</f>
        <v>46573</v>
      </c>
      <c r="B14593" s="11" t="n">
        <f aca="false">MOD(ROW()-9,24)</f>
        <v>16</v>
      </c>
      <c r="C14593" s="12"/>
      <c r="D14593" s="13" t="n">
        <f aca="false">IF(B14593&lt;5,Einstellungen!$B$3,Einstellungen!$B$4)</f>
        <v>29.13</v>
      </c>
      <c r="E14593" s="14" t="str">
        <f aca="false">IF(C14593="","",C14593*D14593/100)</f>
        <v/>
      </c>
      <c r="F14593" s="15" t="str">
        <f aca="false">IF(B14593&lt;5,"Go","Standard")</f>
        <v>Standard</v>
      </c>
    </row>
    <row r="14594" customFormat="false" ht="15" hidden="false" customHeight="true" outlineLevel="0" collapsed="false">
      <c r="A14594" s="10" t="n">
        <f aca="false">Einstellungen!$B$5+INT((ROW()-9)/24)</f>
        <v>46573</v>
      </c>
      <c r="B14594" s="11" t="n">
        <f aca="false">MOD(ROW()-9,24)</f>
        <v>17</v>
      </c>
      <c r="C14594" s="12"/>
      <c r="D14594" s="13" t="n">
        <f aca="false">IF(B14594&lt;5,Einstellungen!$B$3,Einstellungen!$B$4)</f>
        <v>29.13</v>
      </c>
      <c r="E14594" s="14" t="str">
        <f aca="false">IF(C14594="","",C14594*D14594/100)</f>
        <v/>
      </c>
      <c r="F14594" s="15" t="str">
        <f aca="false">IF(B14594&lt;5,"Go","Standard")</f>
        <v>Standard</v>
      </c>
    </row>
    <row r="14595" customFormat="false" ht="15" hidden="false" customHeight="true" outlineLevel="0" collapsed="false">
      <c r="A14595" s="10" t="n">
        <f aca="false">Einstellungen!$B$5+INT((ROW()-9)/24)</f>
        <v>46573</v>
      </c>
      <c r="B14595" s="11" t="n">
        <f aca="false">MOD(ROW()-9,24)</f>
        <v>18</v>
      </c>
      <c r="C14595" s="12"/>
      <c r="D14595" s="13" t="n">
        <f aca="false">IF(B14595&lt;5,Einstellungen!$B$3,Einstellungen!$B$4)</f>
        <v>29.13</v>
      </c>
      <c r="E14595" s="14" t="str">
        <f aca="false">IF(C14595="","",C14595*D14595/100)</f>
        <v/>
      </c>
      <c r="F14595" s="15" t="str">
        <f aca="false">IF(B14595&lt;5,"Go","Standard")</f>
        <v>Standard</v>
      </c>
    </row>
    <row r="14596" customFormat="false" ht="15" hidden="false" customHeight="true" outlineLevel="0" collapsed="false">
      <c r="A14596" s="10" t="n">
        <f aca="false">Einstellungen!$B$5+INT((ROW()-9)/24)</f>
        <v>46573</v>
      </c>
      <c r="B14596" s="11" t="n">
        <f aca="false">MOD(ROW()-9,24)</f>
        <v>19</v>
      </c>
      <c r="C14596" s="12"/>
      <c r="D14596" s="13" t="n">
        <f aca="false">IF(B14596&lt;5,Einstellungen!$B$3,Einstellungen!$B$4)</f>
        <v>29.13</v>
      </c>
      <c r="E14596" s="14" t="str">
        <f aca="false">IF(C14596="","",C14596*D14596/100)</f>
        <v/>
      </c>
      <c r="F14596" s="15" t="str">
        <f aca="false">IF(B14596&lt;5,"Go","Standard")</f>
        <v>Standard</v>
      </c>
    </row>
    <row r="14597" customFormat="false" ht="15" hidden="false" customHeight="true" outlineLevel="0" collapsed="false">
      <c r="A14597" s="10" t="n">
        <f aca="false">Einstellungen!$B$5+INT((ROW()-9)/24)</f>
        <v>46573</v>
      </c>
      <c r="B14597" s="11" t="n">
        <f aca="false">MOD(ROW()-9,24)</f>
        <v>20</v>
      </c>
      <c r="C14597" s="12"/>
      <c r="D14597" s="13" t="n">
        <f aca="false">IF(B14597&lt;5,Einstellungen!$B$3,Einstellungen!$B$4)</f>
        <v>29.13</v>
      </c>
      <c r="E14597" s="14" t="str">
        <f aca="false">IF(C14597="","",C14597*D14597/100)</f>
        <v/>
      </c>
      <c r="F14597" s="15" t="str">
        <f aca="false">IF(B14597&lt;5,"Go","Standard")</f>
        <v>Standard</v>
      </c>
    </row>
    <row r="14598" customFormat="false" ht="15" hidden="false" customHeight="true" outlineLevel="0" collapsed="false">
      <c r="A14598" s="10" t="n">
        <f aca="false">Einstellungen!$B$5+INT((ROW()-9)/24)</f>
        <v>46573</v>
      </c>
      <c r="B14598" s="11" t="n">
        <f aca="false">MOD(ROW()-9,24)</f>
        <v>21</v>
      </c>
      <c r="C14598" s="12"/>
      <c r="D14598" s="13" t="n">
        <f aca="false">IF(B14598&lt;5,Einstellungen!$B$3,Einstellungen!$B$4)</f>
        <v>29.13</v>
      </c>
      <c r="E14598" s="14" t="str">
        <f aca="false">IF(C14598="","",C14598*D14598/100)</f>
        <v/>
      </c>
      <c r="F14598" s="15" t="str">
        <f aca="false">IF(B14598&lt;5,"Go","Standard")</f>
        <v>Standard</v>
      </c>
    </row>
    <row r="14599" customFormat="false" ht="15" hidden="false" customHeight="true" outlineLevel="0" collapsed="false">
      <c r="A14599" s="10" t="n">
        <f aca="false">Einstellungen!$B$5+INT((ROW()-9)/24)</f>
        <v>46573</v>
      </c>
      <c r="B14599" s="11" t="n">
        <f aca="false">MOD(ROW()-9,24)</f>
        <v>22</v>
      </c>
      <c r="C14599" s="12"/>
      <c r="D14599" s="13" t="n">
        <f aca="false">IF(B14599&lt;5,Einstellungen!$B$3,Einstellungen!$B$4)</f>
        <v>29.13</v>
      </c>
      <c r="E14599" s="14" t="str">
        <f aca="false">IF(C14599="","",C14599*D14599/100)</f>
        <v/>
      </c>
      <c r="F14599" s="15" t="str">
        <f aca="false">IF(B14599&lt;5,"Go","Standard")</f>
        <v>Standard</v>
      </c>
    </row>
    <row r="14600" customFormat="false" ht="15" hidden="false" customHeight="true" outlineLevel="0" collapsed="false">
      <c r="A14600" s="10" t="n">
        <f aca="false">Einstellungen!$B$5+INT((ROW()-9)/24)</f>
        <v>46573</v>
      </c>
      <c r="B14600" s="11" t="n">
        <f aca="false">MOD(ROW()-9,24)</f>
        <v>23</v>
      </c>
      <c r="C14600" s="12"/>
      <c r="D14600" s="13" t="n">
        <f aca="false">IF(B14600&lt;5,Einstellungen!$B$3,Einstellungen!$B$4)</f>
        <v>29.13</v>
      </c>
      <c r="E14600" s="14" t="str">
        <f aca="false">IF(C14600="","",C14600*D14600/100)</f>
        <v/>
      </c>
      <c r="F14600" s="15" t="str">
        <f aca="false">IF(B14600&lt;5,"Go","Standard")</f>
        <v>Standard</v>
      </c>
    </row>
    <row r="14601" customFormat="false" ht="15" hidden="false" customHeight="true" outlineLevel="0" collapsed="false">
      <c r="A14601" s="10" t="n">
        <f aca="false">Einstellungen!$B$5+INT((ROW()-9)/24)</f>
        <v>46574</v>
      </c>
      <c r="B14601" s="11" t="n">
        <f aca="false">MOD(ROW()-9,24)</f>
        <v>0</v>
      </c>
      <c r="C14601" s="12"/>
      <c r="D14601" s="13" t="n">
        <f aca="false">IF(B14601&lt;5,Einstellungen!$B$3,Einstellungen!$B$4)</f>
        <v>15.92</v>
      </c>
      <c r="E14601" s="14" t="str">
        <f aca="false">IF(C14601="","",C14601*D14601/100)</f>
        <v/>
      </c>
      <c r="F14601" s="15" t="str">
        <f aca="false">IF(B14601&lt;5,"Go","Standard")</f>
        <v>Go</v>
      </c>
    </row>
    <row r="14602" customFormat="false" ht="15" hidden="false" customHeight="true" outlineLevel="0" collapsed="false">
      <c r="A14602" s="10" t="n">
        <f aca="false">Einstellungen!$B$5+INT((ROW()-9)/24)</f>
        <v>46574</v>
      </c>
      <c r="B14602" s="11" t="n">
        <f aca="false">MOD(ROW()-9,24)</f>
        <v>1</v>
      </c>
      <c r="C14602" s="12"/>
      <c r="D14602" s="13" t="n">
        <f aca="false">IF(B14602&lt;5,Einstellungen!$B$3,Einstellungen!$B$4)</f>
        <v>15.92</v>
      </c>
      <c r="E14602" s="14" t="str">
        <f aca="false">IF(C14602="","",C14602*D14602/100)</f>
        <v/>
      </c>
      <c r="F14602" s="15" t="str">
        <f aca="false">IF(B14602&lt;5,"Go","Standard")</f>
        <v>Go</v>
      </c>
    </row>
    <row r="14603" customFormat="false" ht="15" hidden="false" customHeight="true" outlineLevel="0" collapsed="false">
      <c r="A14603" s="10" t="n">
        <f aca="false">Einstellungen!$B$5+INT((ROW()-9)/24)</f>
        <v>46574</v>
      </c>
      <c r="B14603" s="11" t="n">
        <f aca="false">MOD(ROW()-9,24)</f>
        <v>2</v>
      </c>
      <c r="C14603" s="12"/>
      <c r="D14603" s="13" t="n">
        <f aca="false">IF(B14603&lt;5,Einstellungen!$B$3,Einstellungen!$B$4)</f>
        <v>15.92</v>
      </c>
      <c r="E14603" s="14" t="str">
        <f aca="false">IF(C14603="","",C14603*D14603/100)</f>
        <v/>
      </c>
      <c r="F14603" s="15" t="str">
        <f aca="false">IF(B14603&lt;5,"Go","Standard")</f>
        <v>Go</v>
      </c>
    </row>
    <row r="14604" customFormat="false" ht="15" hidden="false" customHeight="true" outlineLevel="0" collapsed="false">
      <c r="A14604" s="10" t="n">
        <f aca="false">Einstellungen!$B$5+INT((ROW()-9)/24)</f>
        <v>46574</v>
      </c>
      <c r="B14604" s="11" t="n">
        <f aca="false">MOD(ROW()-9,24)</f>
        <v>3</v>
      </c>
      <c r="C14604" s="12"/>
      <c r="D14604" s="13" t="n">
        <f aca="false">IF(B14604&lt;5,Einstellungen!$B$3,Einstellungen!$B$4)</f>
        <v>15.92</v>
      </c>
      <c r="E14604" s="14" t="str">
        <f aca="false">IF(C14604="","",C14604*D14604/100)</f>
        <v/>
      </c>
      <c r="F14604" s="15" t="str">
        <f aca="false">IF(B14604&lt;5,"Go","Standard")</f>
        <v>Go</v>
      </c>
    </row>
    <row r="14605" customFormat="false" ht="15" hidden="false" customHeight="true" outlineLevel="0" collapsed="false">
      <c r="A14605" s="10" t="n">
        <f aca="false">Einstellungen!$B$5+INT((ROW()-9)/24)</f>
        <v>46574</v>
      </c>
      <c r="B14605" s="11" t="n">
        <f aca="false">MOD(ROW()-9,24)</f>
        <v>4</v>
      </c>
      <c r="C14605" s="12"/>
      <c r="D14605" s="13" t="n">
        <f aca="false">IF(B14605&lt;5,Einstellungen!$B$3,Einstellungen!$B$4)</f>
        <v>15.92</v>
      </c>
      <c r="E14605" s="14" t="str">
        <f aca="false">IF(C14605="","",C14605*D14605/100)</f>
        <v/>
      </c>
      <c r="F14605" s="15" t="str">
        <f aca="false">IF(B14605&lt;5,"Go","Standard")</f>
        <v>Go</v>
      </c>
    </row>
    <row r="14606" customFormat="false" ht="15" hidden="false" customHeight="true" outlineLevel="0" collapsed="false">
      <c r="A14606" s="10" t="n">
        <f aca="false">Einstellungen!$B$5+INT((ROW()-9)/24)</f>
        <v>46574</v>
      </c>
      <c r="B14606" s="11" t="n">
        <f aca="false">MOD(ROW()-9,24)</f>
        <v>5</v>
      </c>
      <c r="C14606" s="12"/>
      <c r="D14606" s="13" t="n">
        <f aca="false">IF(B14606&lt;5,Einstellungen!$B$3,Einstellungen!$B$4)</f>
        <v>29.13</v>
      </c>
      <c r="E14606" s="14" t="str">
        <f aca="false">IF(C14606="","",C14606*D14606/100)</f>
        <v/>
      </c>
      <c r="F14606" s="15" t="str">
        <f aca="false">IF(B14606&lt;5,"Go","Standard")</f>
        <v>Standard</v>
      </c>
    </row>
    <row r="14607" customFormat="false" ht="15" hidden="false" customHeight="true" outlineLevel="0" collapsed="false">
      <c r="A14607" s="10" t="n">
        <f aca="false">Einstellungen!$B$5+INT((ROW()-9)/24)</f>
        <v>46574</v>
      </c>
      <c r="B14607" s="11" t="n">
        <f aca="false">MOD(ROW()-9,24)</f>
        <v>6</v>
      </c>
      <c r="C14607" s="12"/>
      <c r="D14607" s="13" t="n">
        <f aca="false">IF(B14607&lt;5,Einstellungen!$B$3,Einstellungen!$B$4)</f>
        <v>29.13</v>
      </c>
      <c r="E14607" s="14" t="str">
        <f aca="false">IF(C14607="","",C14607*D14607/100)</f>
        <v/>
      </c>
      <c r="F14607" s="15" t="str">
        <f aca="false">IF(B14607&lt;5,"Go","Standard")</f>
        <v>Standard</v>
      </c>
    </row>
    <row r="14608" customFormat="false" ht="15" hidden="false" customHeight="true" outlineLevel="0" collapsed="false">
      <c r="A14608" s="10" t="n">
        <f aca="false">Einstellungen!$B$5+INT((ROW()-9)/24)</f>
        <v>46574</v>
      </c>
      <c r="B14608" s="11" t="n">
        <f aca="false">MOD(ROW()-9,24)</f>
        <v>7</v>
      </c>
      <c r="C14608" s="12"/>
      <c r="D14608" s="13" t="n">
        <f aca="false">IF(B14608&lt;5,Einstellungen!$B$3,Einstellungen!$B$4)</f>
        <v>29.13</v>
      </c>
      <c r="E14608" s="14" t="str">
        <f aca="false">IF(C14608="","",C14608*D14608/100)</f>
        <v/>
      </c>
      <c r="F14608" s="15" t="str">
        <f aca="false">IF(B14608&lt;5,"Go","Standard")</f>
        <v>Standard</v>
      </c>
    </row>
    <row r="14609" customFormat="false" ht="15" hidden="false" customHeight="true" outlineLevel="0" collapsed="false">
      <c r="A14609" s="10" t="n">
        <f aca="false">Einstellungen!$B$5+INT((ROW()-9)/24)</f>
        <v>46574</v>
      </c>
      <c r="B14609" s="11" t="n">
        <f aca="false">MOD(ROW()-9,24)</f>
        <v>8</v>
      </c>
      <c r="C14609" s="12"/>
      <c r="D14609" s="13" t="n">
        <f aca="false">IF(B14609&lt;5,Einstellungen!$B$3,Einstellungen!$B$4)</f>
        <v>29.13</v>
      </c>
      <c r="E14609" s="14" t="str">
        <f aca="false">IF(C14609="","",C14609*D14609/100)</f>
        <v/>
      </c>
      <c r="F14609" s="15" t="str">
        <f aca="false">IF(B14609&lt;5,"Go","Standard")</f>
        <v>Standard</v>
      </c>
    </row>
    <row r="14610" customFormat="false" ht="15" hidden="false" customHeight="true" outlineLevel="0" collapsed="false">
      <c r="A14610" s="10" t="n">
        <f aca="false">Einstellungen!$B$5+INT((ROW()-9)/24)</f>
        <v>46574</v>
      </c>
      <c r="B14610" s="11" t="n">
        <f aca="false">MOD(ROW()-9,24)</f>
        <v>9</v>
      </c>
      <c r="C14610" s="12"/>
      <c r="D14610" s="13" t="n">
        <f aca="false">IF(B14610&lt;5,Einstellungen!$B$3,Einstellungen!$B$4)</f>
        <v>29.13</v>
      </c>
      <c r="E14610" s="14" t="str">
        <f aca="false">IF(C14610="","",C14610*D14610/100)</f>
        <v/>
      </c>
      <c r="F14610" s="15" t="str">
        <f aca="false">IF(B14610&lt;5,"Go","Standard")</f>
        <v>Standard</v>
      </c>
    </row>
    <row r="14611" customFormat="false" ht="15" hidden="false" customHeight="true" outlineLevel="0" collapsed="false">
      <c r="A14611" s="10" t="n">
        <f aca="false">Einstellungen!$B$5+INT((ROW()-9)/24)</f>
        <v>46574</v>
      </c>
      <c r="B14611" s="11" t="n">
        <f aca="false">MOD(ROW()-9,24)</f>
        <v>10</v>
      </c>
      <c r="C14611" s="12"/>
      <c r="D14611" s="13" t="n">
        <f aca="false">IF(B14611&lt;5,Einstellungen!$B$3,Einstellungen!$B$4)</f>
        <v>29.13</v>
      </c>
      <c r="E14611" s="14" t="str">
        <f aca="false">IF(C14611="","",C14611*D14611/100)</f>
        <v/>
      </c>
      <c r="F14611" s="15" t="str">
        <f aca="false">IF(B14611&lt;5,"Go","Standard")</f>
        <v>Standard</v>
      </c>
    </row>
    <row r="14612" customFormat="false" ht="15" hidden="false" customHeight="true" outlineLevel="0" collapsed="false">
      <c r="A14612" s="10" t="n">
        <f aca="false">Einstellungen!$B$5+INT((ROW()-9)/24)</f>
        <v>46574</v>
      </c>
      <c r="B14612" s="11" t="n">
        <f aca="false">MOD(ROW()-9,24)</f>
        <v>11</v>
      </c>
      <c r="C14612" s="12"/>
      <c r="D14612" s="13" t="n">
        <f aca="false">IF(B14612&lt;5,Einstellungen!$B$3,Einstellungen!$B$4)</f>
        <v>29.13</v>
      </c>
      <c r="E14612" s="14" t="str">
        <f aca="false">IF(C14612="","",C14612*D14612/100)</f>
        <v/>
      </c>
      <c r="F14612" s="15" t="str">
        <f aca="false">IF(B14612&lt;5,"Go","Standard")</f>
        <v>Standard</v>
      </c>
    </row>
    <row r="14613" customFormat="false" ht="15" hidden="false" customHeight="true" outlineLevel="0" collapsed="false">
      <c r="A14613" s="10" t="n">
        <f aca="false">Einstellungen!$B$5+INT((ROW()-9)/24)</f>
        <v>46574</v>
      </c>
      <c r="B14613" s="11" t="n">
        <f aca="false">MOD(ROW()-9,24)</f>
        <v>12</v>
      </c>
      <c r="C14613" s="12"/>
      <c r="D14613" s="13" t="n">
        <f aca="false">IF(B14613&lt;5,Einstellungen!$B$3,Einstellungen!$B$4)</f>
        <v>29.13</v>
      </c>
      <c r="E14613" s="14" t="str">
        <f aca="false">IF(C14613="","",C14613*D14613/100)</f>
        <v/>
      </c>
      <c r="F14613" s="15" t="str">
        <f aca="false">IF(B14613&lt;5,"Go","Standard")</f>
        <v>Standard</v>
      </c>
    </row>
    <row r="14614" customFormat="false" ht="15" hidden="false" customHeight="true" outlineLevel="0" collapsed="false">
      <c r="A14614" s="10" t="n">
        <f aca="false">Einstellungen!$B$5+INT((ROW()-9)/24)</f>
        <v>46574</v>
      </c>
      <c r="B14614" s="11" t="n">
        <f aca="false">MOD(ROW()-9,24)</f>
        <v>13</v>
      </c>
      <c r="C14614" s="12"/>
      <c r="D14614" s="13" t="n">
        <f aca="false">IF(B14614&lt;5,Einstellungen!$B$3,Einstellungen!$B$4)</f>
        <v>29.13</v>
      </c>
      <c r="E14614" s="14" t="str">
        <f aca="false">IF(C14614="","",C14614*D14614/100)</f>
        <v/>
      </c>
      <c r="F14614" s="15" t="str">
        <f aca="false">IF(B14614&lt;5,"Go","Standard")</f>
        <v>Standard</v>
      </c>
    </row>
    <row r="14615" customFormat="false" ht="15" hidden="false" customHeight="true" outlineLevel="0" collapsed="false">
      <c r="A14615" s="10" t="n">
        <f aca="false">Einstellungen!$B$5+INT((ROW()-9)/24)</f>
        <v>46574</v>
      </c>
      <c r="B14615" s="11" t="n">
        <f aca="false">MOD(ROW()-9,24)</f>
        <v>14</v>
      </c>
      <c r="C14615" s="12"/>
      <c r="D14615" s="13" t="n">
        <f aca="false">IF(B14615&lt;5,Einstellungen!$B$3,Einstellungen!$B$4)</f>
        <v>29.13</v>
      </c>
      <c r="E14615" s="14" t="str">
        <f aca="false">IF(C14615="","",C14615*D14615/100)</f>
        <v/>
      </c>
      <c r="F14615" s="15" t="str">
        <f aca="false">IF(B14615&lt;5,"Go","Standard")</f>
        <v>Standard</v>
      </c>
    </row>
    <row r="14616" customFormat="false" ht="15" hidden="false" customHeight="true" outlineLevel="0" collapsed="false">
      <c r="A14616" s="10" t="n">
        <f aca="false">Einstellungen!$B$5+INT((ROW()-9)/24)</f>
        <v>46574</v>
      </c>
      <c r="B14616" s="11" t="n">
        <f aca="false">MOD(ROW()-9,24)</f>
        <v>15</v>
      </c>
      <c r="C14616" s="12"/>
      <c r="D14616" s="13" t="n">
        <f aca="false">IF(B14616&lt;5,Einstellungen!$B$3,Einstellungen!$B$4)</f>
        <v>29.13</v>
      </c>
      <c r="E14616" s="14" t="str">
        <f aca="false">IF(C14616="","",C14616*D14616/100)</f>
        <v/>
      </c>
      <c r="F14616" s="15" t="str">
        <f aca="false">IF(B14616&lt;5,"Go","Standard")</f>
        <v>Standard</v>
      </c>
    </row>
    <row r="14617" customFormat="false" ht="15" hidden="false" customHeight="true" outlineLevel="0" collapsed="false">
      <c r="A14617" s="10" t="n">
        <f aca="false">Einstellungen!$B$5+INT((ROW()-9)/24)</f>
        <v>46574</v>
      </c>
      <c r="B14617" s="11" t="n">
        <f aca="false">MOD(ROW()-9,24)</f>
        <v>16</v>
      </c>
      <c r="C14617" s="12"/>
      <c r="D14617" s="13" t="n">
        <f aca="false">IF(B14617&lt;5,Einstellungen!$B$3,Einstellungen!$B$4)</f>
        <v>29.13</v>
      </c>
      <c r="E14617" s="14" t="str">
        <f aca="false">IF(C14617="","",C14617*D14617/100)</f>
        <v/>
      </c>
      <c r="F14617" s="15" t="str">
        <f aca="false">IF(B14617&lt;5,"Go","Standard")</f>
        <v>Standard</v>
      </c>
    </row>
    <row r="14618" customFormat="false" ht="15" hidden="false" customHeight="true" outlineLevel="0" collapsed="false">
      <c r="A14618" s="10" t="n">
        <f aca="false">Einstellungen!$B$5+INT((ROW()-9)/24)</f>
        <v>46574</v>
      </c>
      <c r="B14618" s="11" t="n">
        <f aca="false">MOD(ROW()-9,24)</f>
        <v>17</v>
      </c>
      <c r="C14618" s="12"/>
      <c r="D14618" s="13" t="n">
        <f aca="false">IF(B14618&lt;5,Einstellungen!$B$3,Einstellungen!$B$4)</f>
        <v>29.13</v>
      </c>
      <c r="E14618" s="14" t="str">
        <f aca="false">IF(C14618="","",C14618*D14618/100)</f>
        <v/>
      </c>
      <c r="F14618" s="15" t="str">
        <f aca="false">IF(B14618&lt;5,"Go","Standard")</f>
        <v>Standard</v>
      </c>
    </row>
    <row r="14619" customFormat="false" ht="15" hidden="false" customHeight="true" outlineLevel="0" collapsed="false">
      <c r="A14619" s="10" t="n">
        <f aca="false">Einstellungen!$B$5+INT((ROW()-9)/24)</f>
        <v>46574</v>
      </c>
      <c r="B14619" s="11" t="n">
        <f aca="false">MOD(ROW()-9,24)</f>
        <v>18</v>
      </c>
      <c r="C14619" s="12"/>
      <c r="D14619" s="13" t="n">
        <f aca="false">IF(B14619&lt;5,Einstellungen!$B$3,Einstellungen!$B$4)</f>
        <v>29.13</v>
      </c>
      <c r="E14619" s="14" t="str">
        <f aca="false">IF(C14619="","",C14619*D14619/100)</f>
        <v/>
      </c>
      <c r="F14619" s="15" t="str">
        <f aca="false">IF(B14619&lt;5,"Go","Standard")</f>
        <v>Standard</v>
      </c>
    </row>
    <row r="14620" customFormat="false" ht="15" hidden="false" customHeight="true" outlineLevel="0" collapsed="false">
      <c r="A14620" s="10" t="n">
        <f aca="false">Einstellungen!$B$5+INT((ROW()-9)/24)</f>
        <v>46574</v>
      </c>
      <c r="B14620" s="11" t="n">
        <f aca="false">MOD(ROW()-9,24)</f>
        <v>19</v>
      </c>
      <c r="C14620" s="12"/>
      <c r="D14620" s="13" t="n">
        <f aca="false">IF(B14620&lt;5,Einstellungen!$B$3,Einstellungen!$B$4)</f>
        <v>29.13</v>
      </c>
      <c r="E14620" s="14" t="str">
        <f aca="false">IF(C14620="","",C14620*D14620/100)</f>
        <v/>
      </c>
      <c r="F14620" s="15" t="str">
        <f aca="false">IF(B14620&lt;5,"Go","Standard")</f>
        <v>Standard</v>
      </c>
    </row>
    <row r="14621" customFormat="false" ht="15" hidden="false" customHeight="true" outlineLevel="0" collapsed="false">
      <c r="A14621" s="10" t="n">
        <f aca="false">Einstellungen!$B$5+INT((ROW()-9)/24)</f>
        <v>46574</v>
      </c>
      <c r="B14621" s="11" t="n">
        <f aca="false">MOD(ROW()-9,24)</f>
        <v>20</v>
      </c>
      <c r="C14621" s="12"/>
      <c r="D14621" s="13" t="n">
        <f aca="false">IF(B14621&lt;5,Einstellungen!$B$3,Einstellungen!$B$4)</f>
        <v>29.13</v>
      </c>
      <c r="E14621" s="14" t="str">
        <f aca="false">IF(C14621="","",C14621*D14621/100)</f>
        <v/>
      </c>
      <c r="F14621" s="15" t="str">
        <f aca="false">IF(B14621&lt;5,"Go","Standard")</f>
        <v>Standard</v>
      </c>
    </row>
    <row r="14622" customFormat="false" ht="15" hidden="false" customHeight="true" outlineLevel="0" collapsed="false">
      <c r="A14622" s="10" t="n">
        <f aca="false">Einstellungen!$B$5+INT((ROW()-9)/24)</f>
        <v>46574</v>
      </c>
      <c r="B14622" s="11" t="n">
        <f aca="false">MOD(ROW()-9,24)</f>
        <v>21</v>
      </c>
      <c r="C14622" s="12"/>
      <c r="D14622" s="13" t="n">
        <f aca="false">IF(B14622&lt;5,Einstellungen!$B$3,Einstellungen!$B$4)</f>
        <v>29.13</v>
      </c>
      <c r="E14622" s="14" t="str">
        <f aca="false">IF(C14622="","",C14622*D14622/100)</f>
        <v/>
      </c>
      <c r="F14622" s="15" t="str">
        <f aca="false">IF(B14622&lt;5,"Go","Standard")</f>
        <v>Standard</v>
      </c>
    </row>
    <row r="14623" customFormat="false" ht="15" hidden="false" customHeight="true" outlineLevel="0" collapsed="false">
      <c r="A14623" s="10" t="n">
        <f aca="false">Einstellungen!$B$5+INT((ROW()-9)/24)</f>
        <v>46574</v>
      </c>
      <c r="B14623" s="11" t="n">
        <f aca="false">MOD(ROW()-9,24)</f>
        <v>22</v>
      </c>
      <c r="C14623" s="12"/>
      <c r="D14623" s="13" t="n">
        <f aca="false">IF(B14623&lt;5,Einstellungen!$B$3,Einstellungen!$B$4)</f>
        <v>29.13</v>
      </c>
      <c r="E14623" s="14" t="str">
        <f aca="false">IF(C14623="","",C14623*D14623/100)</f>
        <v/>
      </c>
      <c r="F14623" s="15" t="str">
        <f aca="false">IF(B14623&lt;5,"Go","Standard")</f>
        <v>Standard</v>
      </c>
    </row>
    <row r="14624" customFormat="false" ht="15" hidden="false" customHeight="true" outlineLevel="0" collapsed="false">
      <c r="A14624" s="10" t="n">
        <f aca="false">Einstellungen!$B$5+INT((ROW()-9)/24)</f>
        <v>46574</v>
      </c>
      <c r="B14624" s="11" t="n">
        <f aca="false">MOD(ROW()-9,24)</f>
        <v>23</v>
      </c>
      <c r="C14624" s="12"/>
      <c r="D14624" s="13" t="n">
        <f aca="false">IF(B14624&lt;5,Einstellungen!$B$3,Einstellungen!$B$4)</f>
        <v>29.13</v>
      </c>
      <c r="E14624" s="14" t="str">
        <f aca="false">IF(C14624="","",C14624*D14624/100)</f>
        <v/>
      </c>
      <c r="F14624" s="15" t="str">
        <f aca="false">IF(B14624&lt;5,"Go","Standard")</f>
        <v>Standard</v>
      </c>
    </row>
    <row r="14625" customFormat="false" ht="15" hidden="false" customHeight="true" outlineLevel="0" collapsed="false">
      <c r="A14625" s="10" t="n">
        <f aca="false">Einstellungen!$B$5+INT((ROW()-9)/24)</f>
        <v>46575</v>
      </c>
      <c r="B14625" s="11" t="n">
        <f aca="false">MOD(ROW()-9,24)</f>
        <v>0</v>
      </c>
      <c r="C14625" s="12"/>
      <c r="D14625" s="13" t="n">
        <f aca="false">IF(B14625&lt;5,Einstellungen!$B$3,Einstellungen!$B$4)</f>
        <v>15.92</v>
      </c>
      <c r="E14625" s="14" t="str">
        <f aca="false">IF(C14625="","",C14625*D14625/100)</f>
        <v/>
      </c>
      <c r="F14625" s="15" t="str">
        <f aca="false">IF(B14625&lt;5,"Go","Standard")</f>
        <v>Go</v>
      </c>
    </row>
    <row r="14626" customFormat="false" ht="15" hidden="false" customHeight="true" outlineLevel="0" collapsed="false">
      <c r="A14626" s="10" t="n">
        <f aca="false">Einstellungen!$B$5+INT((ROW()-9)/24)</f>
        <v>46575</v>
      </c>
      <c r="B14626" s="11" t="n">
        <f aca="false">MOD(ROW()-9,24)</f>
        <v>1</v>
      </c>
      <c r="C14626" s="12"/>
      <c r="D14626" s="13" t="n">
        <f aca="false">IF(B14626&lt;5,Einstellungen!$B$3,Einstellungen!$B$4)</f>
        <v>15.92</v>
      </c>
      <c r="E14626" s="14" t="str">
        <f aca="false">IF(C14626="","",C14626*D14626/100)</f>
        <v/>
      </c>
      <c r="F14626" s="15" t="str">
        <f aca="false">IF(B14626&lt;5,"Go","Standard")</f>
        <v>Go</v>
      </c>
    </row>
    <row r="14627" customFormat="false" ht="15" hidden="false" customHeight="true" outlineLevel="0" collapsed="false">
      <c r="A14627" s="10" t="n">
        <f aca="false">Einstellungen!$B$5+INT((ROW()-9)/24)</f>
        <v>46575</v>
      </c>
      <c r="B14627" s="11" t="n">
        <f aca="false">MOD(ROW()-9,24)</f>
        <v>2</v>
      </c>
      <c r="C14627" s="12"/>
      <c r="D14627" s="13" t="n">
        <f aca="false">IF(B14627&lt;5,Einstellungen!$B$3,Einstellungen!$B$4)</f>
        <v>15.92</v>
      </c>
      <c r="E14627" s="14" t="str">
        <f aca="false">IF(C14627="","",C14627*D14627/100)</f>
        <v/>
      </c>
      <c r="F14627" s="15" t="str">
        <f aca="false">IF(B14627&lt;5,"Go","Standard")</f>
        <v>Go</v>
      </c>
    </row>
    <row r="14628" customFormat="false" ht="15" hidden="false" customHeight="true" outlineLevel="0" collapsed="false">
      <c r="A14628" s="10" t="n">
        <f aca="false">Einstellungen!$B$5+INT((ROW()-9)/24)</f>
        <v>46575</v>
      </c>
      <c r="B14628" s="11" t="n">
        <f aca="false">MOD(ROW()-9,24)</f>
        <v>3</v>
      </c>
      <c r="C14628" s="12"/>
      <c r="D14628" s="13" t="n">
        <f aca="false">IF(B14628&lt;5,Einstellungen!$B$3,Einstellungen!$B$4)</f>
        <v>15.92</v>
      </c>
      <c r="E14628" s="14" t="str">
        <f aca="false">IF(C14628="","",C14628*D14628/100)</f>
        <v/>
      </c>
      <c r="F14628" s="15" t="str">
        <f aca="false">IF(B14628&lt;5,"Go","Standard")</f>
        <v>Go</v>
      </c>
    </row>
    <row r="14629" customFormat="false" ht="15" hidden="false" customHeight="true" outlineLevel="0" collapsed="false">
      <c r="A14629" s="10" t="n">
        <f aca="false">Einstellungen!$B$5+INT((ROW()-9)/24)</f>
        <v>46575</v>
      </c>
      <c r="B14629" s="11" t="n">
        <f aca="false">MOD(ROW()-9,24)</f>
        <v>4</v>
      </c>
      <c r="C14629" s="12"/>
      <c r="D14629" s="13" t="n">
        <f aca="false">IF(B14629&lt;5,Einstellungen!$B$3,Einstellungen!$B$4)</f>
        <v>15.92</v>
      </c>
      <c r="E14629" s="14" t="str">
        <f aca="false">IF(C14629="","",C14629*D14629/100)</f>
        <v/>
      </c>
      <c r="F14629" s="15" t="str">
        <f aca="false">IF(B14629&lt;5,"Go","Standard")</f>
        <v>Go</v>
      </c>
    </row>
    <row r="14630" customFormat="false" ht="15" hidden="false" customHeight="true" outlineLevel="0" collapsed="false">
      <c r="A14630" s="10" t="n">
        <f aca="false">Einstellungen!$B$5+INT((ROW()-9)/24)</f>
        <v>46575</v>
      </c>
      <c r="B14630" s="11" t="n">
        <f aca="false">MOD(ROW()-9,24)</f>
        <v>5</v>
      </c>
      <c r="C14630" s="12"/>
      <c r="D14630" s="13" t="n">
        <f aca="false">IF(B14630&lt;5,Einstellungen!$B$3,Einstellungen!$B$4)</f>
        <v>29.13</v>
      </c>
      <c r="E14630" s="14" t="str">
        <f aca="false">IF(C14630="","",C14630*D14630/100)</f>
        <v/>
      </c>
      <c r="F14630" s="15" t="str">
        <f aca="false">IF(B14630&lt;5,"Go","Standard")</f>
        <v>Standard</v>
      </c>
    </row>
    <row r="14631" customFormat="false" ht="15" hidden="false" customHeight="true" outlineLevel="0" collapsed="false">
      <c r="A14631" s="10" t="n">
        <f aca="false">Einstellungen!$B$5+INT((ROW()-9)/24)</f>
        <v>46575</v>
      </c>
      <c r="B14631" s="11" t="n">
        <f aca="false">MOD(ROW()-9,24)</f>
        <v>6</v>
      </c>
      <c r="C14631" s="12"/>
      <c r="D14631" s="13" t="n">
        <f aca="false">IF(B14631&lt;5,Einstellungen!$B$3,Einstellungen!$B$4)</f>
        <v>29.13</v>
      </c>
      <c r="E14631" s="14" t="str">
        <f aca="false">IF(C14631="","",C14631*D14631/100)</f>
        <v/>
      </c>
      <c r="F14631" s="15" t="str">
        <f aca="false">IF(B14631&lt;5,"Go","Standard")</f>
        <v>Standard</v>
      </c>
    </row>
    <row r="14632" customFormat="false" ht="15" hidden="false" customHeight="true" outlineLevel="0" collapsed="false">
      <c r="A14632" s="10" t="n">
        <f aca="false">Einstellungen!$B$5+INT((ROW()-9)/24)</f>
        <v>46575</v>
      </c>
      <c r="B14632" s="11" t="n">
        <f aca="false">MOD(ROW()-9,24)</f>
        <v>7</v>
      </c>
      <c r="C14632" s="12"/>
      <c r="D14632" s="13" t="n">
        <f aca="false">IF(B14632&lt;5,Einstellungen!$B$3,Einstellungen!$B$4)</f>
        <v>29.13</v>
      </c>
      <c r="E14632" s="14" t="str">
        <f aca="false">IF(C14632="","",C14632*D14632/100)</f>
        <v/>
      </c>
      <c r="F14632" s="15" t="str">
        <f aca="false">IF(B14632&lt;5,"Go","Standard")</f>
        <v>Standard</v>
      </c>
    </row>
    <row r="14633" customFormat="false" ht="15" hidden="false" customHeight="true" outlineLevel="0" collapsed="false">
      <c r="A14633" s="10" t="n">
        <f aca="false">Einstellungen!$B$5+INT((ROW()-9)/24)</f>
        <v>46575</v>
      </c>
      <c r="B14633" s="11" t="n">
        <f aca="false">MOD(ROW()-9,24)</f>
        <v>8</v>
      </c>
      <c r="C14633" s="12"/>
      <c r="D14633" s="13" t="n">
        <f aca="false">IF(B14633&lt;5,Einstellungen!$B$3,Einstellungen!$B$4)</f>
        <v>29.13</v>
      </c>
      <c r="E14633" s="14" t="str">
        <f aca="false">IF(C14633="","",C14633*D14633/100)</f>
        <v/>
      </c>
      <c r="F14633" s="15" t="str">
        <f aca="false">IF(B14633&lt;5,"Go","Standard")</f>
        <v>Standard</v>
      </c>
    </row>
    <row r="14634" customFormat="false" ht="15" hidden="false" customHeight="true" outlineLevel="0" collapsed="false">
      <c r="A14634" s="10" t="n">
        <f aca="false">Einstellungen!$B$5+INT((ROW()-9)/24)</f>
        <v>46575</v>
      </c>
      <c r="B14634" s="11" t="n">
        <f aca="false">MOD(ROW()-9,24)</f>
        <v>9</v>
      </c>
      <c r="C14634" s="12"/>
      <c r="D14634" s="13" t="n">
        <f aca="false">IF(B14634&lt;5,Einstellungen!$B$3,Einstellungen!$B$4)</f>
        <v>29.13</v>
      </c>
      <c r="E14634" s="14" t="str">
        <f aca="false">IF(C14634="","",C14634*D14634/100)</f>
        <v/>
      </c>
      <c r="F14634" s="15" t="str">
        <f aca="false">IF(B14634&lt;5,"Go","Standard")</f>
        <v>Standard</v>
      </c>
    </row>
    <row r="14635" customFormat="false" ht="15" hidden="false" customHeight="true" outlineLevel="0" collapsed="false">
      <c r="A14635" s="10" t="n">
        <f aca="false">Einstellungen!$B$5+INT((ROW()-9)/24)</f>
        <v>46575</v>
      </c>
      <c r="B14635" s="11" t="n">
        <f aca="false">MOD(ROW()-9,24)</f>
        <v>10</v>
      </c>
      <c r="C14635" s="12"/>
      <c r="D14635" s="13" t="n">
        <f aca="false">IF(B14635&lt;5,Einstellungen!$B$3,Einstellungen!$B$4)</f>
        <v>29.13</v>
      </c>
      <c r="E14635" s="14" t="str">
        <f aca="false">IF(C14635="","",C14635*D14635/100)</f>
        <v/>
      </c>
      <c r="F14635" s="15" t="str">
        <f aca="false">IF(B14635&lt;5,"Go","Standard")</f>
        <v>Standard</v>
      </c>
    </row>
    <row r="14636" customFormat="false" ht="15" hidden="false" customHeight="true" outlineLevel="0" collapsed="false">
      <c r="A14636" s="10" t="n">
        <f aca="false">Einstellungen!$B$5+INT((ROW()-9)/24)</f>
        <v>46575</v>
      </c>
      <c r="B14636" s="11" t="n">
        <f aca="false">MOD(ROW()-9,24)</f>
        <v>11</v>
      </c>
      <c r="C14636" s="12"/>
      <c r="D14636" s="13" t="n">
        <f aca="false">IF(B14636&lt;5,Einstellungen!$B$3,Einstellungen!$B$4)</f>
        <v>29.13</v>
      </c>
      <c r="E14636" s="14" t="str">
        <f aca="false">IF(C14636="","",C14636*D14636/100)</f>
        <v/>
      </c>
      <c r="F14636" s="15" t="str">
        <f aca="false">IF(B14636&lt;5,"Go","Standard")</f>
        <v>Standard</v>
      </c>
    </row>
    <row r="14637" customFormat="false" ht="15" hidden="false" customHeight="true" outlineLevel="0" collapsed="false">
      <c r="A14637" s="10" t="n">
        <f aca="false">Einstellungen!$B$5+INT((ROW()-9)/24)</f>
        <v>46575</v>
      </c>
      <c r="B14637" s="11" t="n">
        <f aca="false">MOD(ROW()-9,24)</f>
        <v>12</v>
      </c>
      <c r="C14637" s="12"/>
      <c r="D14637" s="13" t="n">
        <f aca="false">IF(B14637&lt;5,Einstellungen!$B$3,Einstellungen!$B$4)</f>
        <v>29.13</v>
      </c>
      <c r="E14637" s="14" t="str">
        <f aca="false">IF(C14637="","",C14637*D14637/100)</f>
        <v/>
      </c>
      <c r="F14637" s="15" t="str">
        <f aca="false">IF(B14637&lt;5,"Go","Standard")</f>
        <v>Standard</v>
      </c>
    </row>
    <row r="14638" customFormat="false" ht="15" hidden="false" customHeight="true" outlineLevel="0" collapsed="false">
      <c r="A14638" s="10" t="n">
        <f aca="false">Einstellungen!$B$5+INT((ROW()-9)/24)</f>
        <v>46575</v>
      </c>
      <c r="B14638" s="11" t="n">
        <f aca="false">MOD(ROW()-9,24)</f>
        <v>13</v>
      </c>
      <c r="C14638" s="12"/>
      <c r="D14638" s="13" t="n">
        <f aca="false">IF(B14638&lt;5,Einstellungen!$B$3,Einstellungen!$B$4)</f>
        <v>29.13</v>
      </c>
      <c r="E14638" s="14" t="str">
        <f aca="false">IF(C14638="","",C14638*D14638/100)</f>
        <v/>
      </c>
      <c r="F14638" s="15" t="str">
        <f aca="false">IF(B14638&lt;5,"Go","Standard")</f>
        <v>Standard</v>
      </c>
    </row>
    <row r="14639" customFormat="false" ht="15" hidden="false" customHeight="true" outlineLevel="0" collapsed="false">
      <c r="A14639" s="10" t="n">
        <f aca="false">Einstellungen!$B$5+INT((ROW()-9)/24)</f>
        <v>46575</v>
      </c>
      <c r="B14639" s="11" t="n">
        <f aca="false">MOD(ROW()-9,24)</f>
        <v>14</v>
      </c>
      <c r="C14639" s="12"/>
      <c r="D14639" s="13" t="n">
        <f aca="false">IF(B14639&lt;5,Einstellungen!$B$3,Einstellungen!$B$4)</f>
        <v>29.13</v>
      </c>
      <c r="E14639" s="14" t="str">
        <f aca="false">IF(C14639="","",C14639*D14639/100)</f>
        <v/>
      </c>
      <c r="F14639" s="15" t="str">
        <f aca="false">IF(B14639&lt;5,"Go","Standard")</f>
        <v>Standard</v>
      </c>
    </row>
    <row r="14640" customFormat="false" ht="15" hidden="false" customHeight="true" outlineLevel="0" collapsed="false">
      <c r="A14640" s="10" t="n">
        <f aca="false">Einstellungen!$B$5+INT((ROW()-9)/24)</f>
        <v>46575</v>
      </c>
      <c r="B14640" s="11" t="n">
        <f aca="false">MOD(ROW()-9,24)</f>
        <v>15</v>
      </c>
      <c r="C14640" s="12"/>
      <c r="D14640" s="13" t="n">
        <f aca="false">IF(B14640&lt;5,Einstellungen!$B$3,Einstellungen!$B$4)</f>
        <v>29.13</v>
      </c>
      <c r="E14640" s="14" t="str">
        <f aca="false">IF(C14640="","",C14640*D14640/100)</f>
        <v/>
      </c>
      <c r="F14640" s="15" t="str">
        <f aca="false">IF(B14640&lt;5,"Go","Standard")</f>
        <v>Standard</v>
      </c>
    </row>
    <row r="14641" customFormat="false" ht="15" hidden="false" customHeight="true" outlineLevel="0" collapsed="false">
      <c r="A14641" s="10" t="n">
        <f aca="false">Einstellungen!$B$5+INT((ROW()-9)/24)</f>
        <v>46575</v>
      </c>
      <c r="B14641" s="11" t="n">
        <f aca="false">MOD(ROW()-9,24)</f>
        <v>16</v>
      </c>
      <c r="C14641" s="12"/>
      <c r="D14641" s="13" t="n">
        <f aca="false">IF(B14641&lt;5,Einstellungen!$B$3,Einstellungen!$B$4)</f>
        <v>29.13</v>
      </c>
      <c r="E14641" s="14" t="str">
        <f aca="false">IF(C14641="","",C14641*D14641/100)</f>
        <v/>
      </c>
      <c r="F14641" s="15" t="str">
        <f aca="false">IF(B14641&lt;5,"Go","Standard")</f>
        <v>Standard</v>
      </c>
    </row>
    <row r="14642" customFormat="false" ht="15" hidden="false" customHeight="true" outlineLevel="0" collapsed="false">
      <c r="A14642" s="10" t="n">
        <f aca="false">Einstellungen!$B$5+INT((ROW()-9)/24)</f>
        <v>46575</v>
      </c>
      <c r="B14642" s="11" t="n">
        <f aca="false">MOD(ROW()-9,24)</f>
        <v>17</v>
      </c>
      <c r="C14642" s="12"/>
      <c r="D14642" s="13" t="n">
        <f aca="false">IF(B14642&lt;5,Einstellungen!$B$3,Einstellungen!$B$4)</f>
        <v>29.13</v>
      </c>
      <c r="E14642" s="14" t="str">
        <f aca="false">IF(C14642="","",C14642*D14642/100)</f>
        <v/>
      </c>
      <c r="F14642" s="15" t="str">
        <f aca="false">IF(B14642&lt;5,"Go","Standard")</f>
        <v>Standard</v>
      </c>
    </row>
    <row r="14643" customFormat="false" ht="15" hidden="false" customHeight="true" outlineLevel="0" collapsed="false">
      <c r="A14643" s="10" t="n">
        <f aca="false">Einstellungen!$B$5+INT((ROW()-9)/24)</f>
        <v>46575</v>
      </c>
      <c r="B14643" s="11" t="n">
        <f aca="false">MOD(ROW()-9,24)</f>
        <v>18</v>
      </c>
      <c r="C14643" s="12"/>
      <c r="D14643" s="13" t="n">
        <f aca="false">IF(B14643&lt;5,Einstellungen!$B$3,Einstellungen!$B$4)</f>
        <v>29.13</v>
      </c>
      <c r="E14643" s="14" t="str">
        <f aca="false">IF(C14643="","",C14643*D14643/100)</f>
        <v/>
      </c>
      <c r="F14643" s="15" t="str">
        <f aca="false">IF(B14643&lt;5,"Go","Standard")</f>
        <v>Standard</v>
      </c>
    </row>
    <row r="14644" customFormat="false" ht="15" hidden="false" customHeight="true" outlineLevel="0" collapsed="false">
      <c r="A14644" s="10" t="n">
        <f aca="false">Einstellungen!$B$5+INT((ROW()-9)/24)</f>
        <v>46575</v>
      </c>
      <c r="B14644" s="11" t="n">
        <f aca="false">MOD(ROW()-9,24)</f>
        <v>19</v>
      </c>
      <c r="C14644" s="12"/>
      <c r="D14644" s="13" t="n">
        <f aca="false">IF(B14644&lt;5,Einstellungen!$B$3,Einstellungen!$B$4)</f>
        <v>29.13</v>
      </c>
      <c r="E14644" s="14" t="str">
        <f aca="false">IF(C14644="","",C14644*D14644/100)</f>
        <v/>
      </c>
      <c r="F14644" s="15" t="str">
        <f aca="false">IF(B14644&lt;5,"Go","Standard")</f>
        <v>Standard</v>
      </c>
    </row>
    <row r="14645" customFormat="false" ht="15" hidden="false" customHeight="true" outlineLevel="0" collapsed="false">
      <c r="A14645" s="10" t="n">
        <f aca="false">Einstellungen!$B$5+INT((ROW()-9)/24)</f>
        <v>46575</v>
      </c>
      <c r="B14645" s="11" t="n">
        <f aca="false">MOD(ROW()-9,24)</f>
        <v>20</v>
      </c>
      <c r="C14645" s="12"/>
      <c r="D14645" s="13" t="n">
        <f aca="false">IF(B14645&lt;5,Einstellungen!$B$3,Einstellungen!$B$4)</f>
        <v>29.13</v>
      </c>
      <c r="E14645" s="14" t="str">
        <f aca="false">IF(C14645="","",C14645*D14645/100)</f>
        <v/>
      </c>
      <c r="F14645" s="15" t="str">
        <f aca="false">IF(B14645&lt;5,"Go","Standard")</f>
        <v>Standard</v>
      </c>
    </row>
    <row r="14646" customFormat="false" ht="15" hidden="false" customHeight="true" outlineLevel="0" collapsed="false">
      <c r="A14646" s="10" t="n">
        <f aca="false">Einstellungen!$B$5+INT((ROW()-9)/24)</f>
        <v>46575</v>
      </c>
      <c r="B14646" s="11" t="n">
        <f aca="false">MOD(ROW()-9,24)</f>
        <v>21</v>
      </c>
      <c r="C14646" s="12"/>
      <c r="D14646" s="13" t="n">
        <f aca="false">IF(B14646&lt;5,Einstellungen!$B$3,Einstellungen!$B$4)</f>
        <v>29.13</v>
      </c>
      <c r="E14646" s="14" t="str">
        <f aca="false">IF(C14646="","",C14646*D14646/100)</f>
        <v/>
      </c>
      <c r="F14646" s="15" t="str">
        <f aca="false">IF(B14646&lt;5,"Go","Standard")</f>
        <v>Standard</v>
      </c>
    </row>
    <row r="14647" customFormat="false" ht="15" hidden="false" customHeight="true" outlineLevel="0" collapsed="false">
      <c r="A14647" s="10" t="n">
        <f aca="false">Einstellungen!$B$5+INT((ROW()-9)/24)</f>
        <v>46575</v>
      </c>
      <c r="B14647" s="11" t="n">
        <f aca="false">MOD(ROW()-9,24)</f>
        <v>22</v>
      </c>
      <c r="C14647" s="12"/>
      <c r="D14647" s="13" t="n">
        <f aca="false">IF(B14647&lt;5,Einstellungen!$B$3,Einstellungen!$B$4)</f>
        <v>29.13</v>
      </c>
      <c r="E14647" s="14" t="str">
        <f aca="false">IF(C14647="","",C14647*D14647/100)</f>
        <v/>
      </c>
      <c r="F14647" s="15" t="str">
        <f aca="false">IF(B14647&lt;5,"Go","Standard")</f>
        <v>Standard</v>
      </c>
    </row>
    <row r="14648" customFormat="false" ht="15" hidden="false" customHeight="true" outlineLevel="0" collapsed="false">
      <c r="A14648" s="10" t="n">
        <f aca="false">Einstellungen!$B$5+INT((ROW()-9)/24)</f>
        <v>46575</v>
      </c>
      <c r="B14648" s="11" t="n">
        <f aca="false">MOD(ROW()-9,24)</f>
        <v>23</v>
      </c>
      <c r="C14648" s="12"/>
      <c r="D14648" s="13" t="n">
        <f aca="false">IF(B14648&lt;5,Einstellungen!$B$3,Einstellungen!$B$4)</f>
        <v>29.13</v>
      </c>
      <c r="E14648" s="14" t="str">
        <f aca="false">IF(C14648="","",C14648*D14648/100)</f>
        <v/>
      </c>
      <c r="F14648" s="15" t="str">
        <f aca="false">IF(B14648&lt;5,"Go","Standard")</f>
        <v>Standard</v>
      </c>
    </row>
    <row r="14649" customFormat="false" ht="15" hidden="false" customHeight="true" outlineLevel="0" collapsed="false">
      <c r="A14649" s="10" t="n">
        <f aca="false">Einstellungen!$B$5+INT((ROW()-9)/24)</f>
        <v>46576</v>
      </c>
      <c r="B14649" s="11" t="n">
        <f aca="false">MOD(ROW()-9,24)</f>
        <v>0</v>
      </c>
      <c r="C14649" s="12"/>
      <c r="D14649" s="13" t="n">
        <f aca="false">IF(B14649&lt;5,Einstellungen!$B$3,Einstellungen!$B$4)</f>
        <v>15.92</v>
      </c>
      <c r="E14649" s="14" t="str">
        <f aca="false">IF(C14649="","",C14649*D14649/100)</f>
        <v/>
      </c>
      <c r="F14649" s="15" t="str">
        <f aca="false">IF(B14649&lt;5,"Go","Standard")</f>
        <v>Go</v>
      </c>
    </row>
    <row r="14650" customFormat="false" ht="15" hidden="false" customHeight="true" outlineLevel="0" collapsed="false">
      <c r="A14650" s="10" t="n">
        <f aca="false">Einstellungen!$B$5+INT((ROW()-9)/24)</f>
        <v>46576</v>
      </c>
      <c r="B14650" s="11" t="n">
        <f aca="false">MOD(ROW()-9,24)</f>
        <v>1</v>
      </c>
      <c r="C14650" s="12"/>
      <c r="D14650" s="13" t="n">
        <f aca="false">IF(B14650&lt;5,Einstellungen!$B$3,Einstellungen!$B$4)</f>
        <v>15.92</v>
      </c>
      <c r="E14650" s="14" t="str">
        <f aca="false">IF(C14650="","",C14650*D14650/100)</f>
        <v/>
      </c>
      <c r="F14650" s="15" t="str">
        <f aca="false">IF(B14650&lt;5,"Go","Standard")</f>
        <v>Go</v>
      </c>
    </row>
    <row r="14651" customFormat="false" ht="15" hidden="false" customHeight="true" outlineLevel="0" collapsed="false">
      <c r="A14651" s="10" t="n">
        <f aca="false">Einstellungen!$B$5+INT((ROW()-9)/24)</f>
        <v>46576</v>
      </c>
      <c r="B14651" s="11" t="n">
        <f aca="false">MOD(ROW()-9,24)</f>
        <v>2</v>
      </c>
      <c r="C14651" s="12"/>
      <c r="D14651" s="13" t="n">
        <f aca="false">IF(B14651&lt;5,Einstellungen!$B$3,Einstellungen!$B$4)</f>
        <v>15.92</v>
      </c>
      <c r="E14651" s="14" t="str">
        <f aca="false">IF(C14651="","",C14651*D14651/100)</f>
        <v/>
      </c>
      <c r="F14651" s="15" t="str">
        <f aca="false">IF(B14651&lt;5,"Go","Standard")</f>
        <v>Go</v>
      </c>
    </row>
    <row r="14652" customFormat="false" ht="15" hidden="false" customHeight="true" outlineLevel="0" collapsed="false">
      <c r="A14652" s="10" t="n">
        <f aca="false">Einstellungen!$B$5+INT((ROW()-9)/24)</f>
        <v>46576</v>
      </c>
      <c r="B14652" s="11" t="n">
        <f aca="false">MOD(ROW()-9,24)</f>
        <v>3</v>
      </c>
      <c r="C14652" s="12"/>
      <c r="D14652" s="13" t="n">
        <f aca="false">IF(B14652&lt;5,Einstellungen!$B$3,Einstellungen!$B$4)</f>
        <v>15.92</v>
      </c>
      <c r="E14652" s="14" t="str">
        <f aca="false">IF(C14652="","",C14652*D14652/100)</f>
        <v/>
      </c>
      <c r="F14652" s="15" t="str">
        <f aca="false">IF(B14652&lt;5,"Go","Standard")</f>
        <v>Go</v>
      </c>
    </row>
    <row r="14653" customFormat="false" ht="15" hidden="false" customHeight="true" outlineLevel="0" collapsed="false">
      <c r="A14653" s="10" t="n">
        <f aca="false">Einstellungen!$B$5+INT((ROW()-9)/24)</f>
        <v>46576</v>
      </c>
      <c r="B14653" s="11" t="n">
        <f aca="false">MOD(ROW()-9,24)</f>
        <v>4</v>
      </c>
      <c r="C14653" s="12"/>
      <c r="D14653" s="13" t="n">
        <f aca="false">IF(B14653&lt;5,Einstellungen!$B$3,Einstellungen!$B$4)</f>
        <v>15.92</v>
      </c>
      <c r="E14653" s="14" t="str">
        <f aca="false">IF(C14653="","",C14653*D14653/100)</f>
        <v/>
      </c>
      <c r="F14653" s="15" t="str">
        <f aca="false">IF(B14653&lt;5,"Go","Standard")</f>
        <v>Go</v>
      </c>
    </row>
    <row r="14654" customFormat="false" ht="15" hidden="false" customHeight="true" outlineLevel="0" collapsed="false">
      <c r="A14654" s="10" t="n">
        <f aca="false">Einstellungen!$B$5+INT((ROW()-9)/24)</f>
        <v>46576</v>
      </c>
      <c r="B14654" s="11" t="n">
        <f aca="false">MOD(ROW()-9,24)</f>
        <v>5</v>
      </c>
      <c r="C14654" s="12"/>
      <c r="D14654" s="13" t="n">
        <f aca="false">IF(B14654&lt;5,Einstellungen!$B$3,Einstellungen!$B$4)</f>
        <v>29.13</v>
      </c>
      <c r="E14654" s="14" t="str">
        <f aca="false">IF(C14654="","",C14654*D14654/100)</f>
        <v/>
      </c>
      <c r="F14654" s="15" t="str">
        <f aca="false">IF(B14654&lt;5,"Go","Standard")</f>
        <v>Standard</v>
      </c>
    </row>
    <row r="14655" customFormat="false" ht="15" hidden="false" customHeight="true" outlineLevel="0" collapsed="false">
      <c r="A14655" s="10" t="n">
        <f aca="false">Einstellungen!$B$5+INT((ROW()-9)/24)</f>
        <v>46576</v>
      </c>
      <c r="B14655" s="11" t="n">
        <f aca="false">MOD(ROW()-9,24)</f>
        <v>6</v>
      </c>
      <c r="C14655" s="12"/>
      <c r="D14655" s="13" t="n">
        <f aca="false">IF(B14655&lt;5,Einstellungen!$B$3,Einstellungen!$B$4)</f>
        <v>29.13</v>
      </c>
      <c r="E14655" s="14" t="str">
        <f aca="false">IF(C14655="","",C14655*D14655/100)</f>
        <v/>
      </c>
      <c r="F14655" s="15" t="str">
        <f aca="false">IF(B14655&lt;5,"Go","Standard")</f>
        <v>Standard</v>
      </c>
    </row>
    <row r="14656" customFormat="false" ht="15" hidden="false" customHeight="true" outlineLevel="0" collapsed="false">
      <c r="A14656" s="10" t="n">
        <f aca="false">Einstellungen!$B$5+INT((ROW()-9)/24)</f>
        <v>46576</v>
      </c>
      <c r="B14656" s="11" t="n">
        <f aca="false">MOD(ROW()-9,24)</f>
        <v>7</v>
      </c>
      <c r="C14656" s="12"/>
      <c r="D14656" s="13" t="n">
        <f aca="false">IF(B14656&lt;5,Einstellungen!$B$3,Einstellungen!$B$4)</f>
        <v>29.13</v>
      </c>
      <c r="E14656" s="14" t="str">
        <f aca="false">IF(C14656="","",C14656*D14656/100)</f>
        <v/>
      </c>
      <c r="F14656" s="15" t="str">
        <f aca="false">IF(B14656&lt;5,"Go","Standard")</f>
        <v>Standard</v>
      </c>
    </row>
    <row r="14657" customFormat="false" ht="15" hidden="false" customHeight="true" outlineLevel="0" collapsed="false">
      <c r="A14657" s="10" t="n">
        <f aca="false">Einstellungen!$B$5+INT((ROW()-9)/24)</f>
        <v>46576</v>
      </c>
      <c r="B14657" s="11" t="n">
        <f aca="false">MOD(ROW()-9,24)</f>
        <v>8</v>
      </c>
      <c r="C14657" s="12"/>
      <c r="D14657" s="13" t="n">
        <f aca="false">IF(B14657&lt;5,Einstellungen!$B$3,Einstellungen!$B$4)</f>
        <v>29.13</v>
      </c>
      <c r="E14657" s="14" t="str">
        <f aca="false">IF(C14657="","",C14657*D14657/100)</f>
        <v/>
      </c>
      <c r="F14657" s="15" t="str">
        <f aca="false">IF(B14657&lt;5,"Go","Standard")</f>
        <v>Standard</v>
      </c>
    </row>
    <row r="14658" customFormat="false" ht="15" hidden="false" customHeight="true" outlineLevel="0" collapsed="false">
      <c r="A14658" s="10" t="n">
        <f aca="false">Einstellungen!$B$5+INT((ROW()-9)/24)</f>
        <v>46576</v>
      </c>
      <c r="B14658" s="11" t="n">
        <f aca="false">MOD(ROW()-9,24)</f>
        <v>9</v>
      </c>
      <c r="C14658" s="12"/>
      <c r="D14658" s="13" t="n">
        <f aca="false">IF(B14658&lt;5,Einstellungen!$B$3,Einstellungen!$B$4)</f>
        <v>29.13</v>
      </c>
      <c r="E14658" s="14" t="str">
        <f aca="false">IF(C14658="","",C14658*D14658/100)</f>
        <v/>
      </c>
      <c r="F14658" s="15" t="str">
        <f aca="false">IF(B14658&lt;5,"Go","Standard")</f>
        <v>Standard</v>
      </c>
    </row>
    <row r="14659" customFormat="false" ht="15" hidden="false" customHeight="true" outlineLevel="0" collapsed="false">
      <c r="A14659" s="10" t="n">
        <f aca="false">Einstellungen!$B$5+INT((ROW()-9)/24)</f>
        <v>46576</v>
      </c>
      <c r="B14659" s="11" t="n">
        <f aca="false">MOD(ROW()-9,24)</f>
        <v>10</v>
      </c>
      <c r="C14659" s="12"/>
      <c r="D14659" s="13" t="n">
        <f aca="false">IF(B14659&lt;5,Einstellungen!$B$3,Einstellungen!$B$4)</f>
        <v>29.13</v>
      </c>
      <c r="E14659" s="14" t="str">
        <f aca="false">IF(C14659="","",C14659*D14659/100)</f>
        <v/>
      </c>
      <c r="F14659" s="15" t="str">
        <f aca="false">IF(B14659&lt;5,"Go","Standard")</f>
        <v>Standard</v>
      </c>
    </row>
    <row r="14660" customFormat="false" ht="15" hidden="false" customHeight="true" outlineLevel="0" collapsed="false">
      <c r="A14660" s="10" t="n">
        <f aca="false">Einstellungen!$B$5+INT((ROW()-9)/24)</f>
        <v>46576</v>
      </c>
      <c r="B14660" s="11" t="n">
        <f aca="false">MOD(ROW()-9,24)</f>
        <v>11</v>
      </c>
      <c r="C14660" s="12"/>
      <c r="D14660" s="13" t="n">
        <f aca="false">IF(B14660&lt;5,Einstellungen!$B$3,Einstellungen!$B$4)</f>
        <v>29.13</v>
      </c>
      <c r="E14660" s="14" t="str">
        <f aca="false">IF(C14660="","",C14660*D14660/100)</f>
        <v/>
      </c>
      <c r="F14660" s="15" t="str">
        <f aca="false">IF(B14660&lt;5,"Go","Standard")</f>
        <v>Standard</v>
      </c>
    </row>
    <row r="14661" customFormat="false" ht="15" hidden="false" customHeight="true" outlineLevel="0" collapsed="false">
      <c r="A14661" s="10" t="n">
        <f aca="false">Einstellungen!$B$5+INT((ROW()-9)/24)</f>
        <v>46576</v>
      </c>
      <c r="B14661" s="11" t="n">
        <f aca="false">MOD(ROW()-9,24)</f>
        <v>12</v>
      </c>
      <c r="C14661" s="12"/>
      <c r="D14661" s="13" t="n">
        <f aca="false">IF(B14661&lt;5,Einstellungen!$B$3,Einstellungen!$B$4)</f>
        <v>29.13</v>
      </c>
      <c r="E14661" s="14" t="str">
        <f aca="false">IF(C14661="","",C14661*D14661/100)</f>
        <v/>
      </c>
      <c r="F14661" s="15" t="str">
        <f aca="false">IF(B14661&lt;5,"Go","Standard")</f>
        <v>Standard</v>
      </c>
    </row>
    <row r="14662" customFormat="false" ht="15" hidden="false" customHeight="true" outlineLevel="0" collapsed="false">
      <c r="A14662" s="10" t="n">
        <f aca="false">Einstellungen!$B$5+INT((ROW()-9)/24)</f>
        <v>46576</v>
      </c>
      <c r="B14662" s="11" t="n">
        <f aca="false">MOD(ROW()-9,24)</f>
        <v>13</v>
      </c>
      <c r="C14662" s="12"/>
      <c r="D14662" s="13" t="n">
        <f aca="false">IF(B14662&lt;5,Einstellungen!$B$3,Einstellungen!$B$4)</f>
        <v>29.13</v>
      </c>
      <c r="E14662" s="14" t="str">
        <f aca="false">IF(C14662="","",C14662*D14662/100)</f>
        <v/>
      </c>
      <c r="F14662" s="15" t="str">
        <f aca="false">IF(B14662&lt;5,"Go","Standard")</f>
        <v>Standard</v>
      </c>
    </row>
    <row r="14663" customFormat="false" ht="15" hidden="false" customHeight="true" outlineLevel="0" collapsed="false">
      <c r="A14663" s="10" t="n">
        <f aca="false">Einstellungen!$B$5+INT((ROW()-9)/24)</f>
        <v>46576</v>
      </c>
      <c r="B14663" s="11" t="n">
        <f aca="false">MOD(ROW()-9,24)</f>
        <v>14</v>
      </c>
      <c r="C14663" s="12"/>
      <c r="D14663" s="13" t="n">
        <f aca="false">IF(B14663&lt;5,Einstellungen!$B$3,Einstellungen!$B$4)</f>
        <v>29.13</v>
      </c>
      <c r="E14663" s="14" t="str">
        <f aca="false">IF(C14663="","",C14663*D14663/100)</f>
        <v/>
      </c>
      <c r="F14663" s="15" t="str">
        <f aca="false">IF(B14663&lt;5,"Go","Standard")</f>
        <v>Standard</v>
      </c>
    </row>
    <row r="14664" customFormat="false" ht="15" hidden="false" customHeight="true" outlineLevel="0" collapsed="false">
      <c r="A14664" s="10" t="n">
        <f aca="false">Einstellungen!$B$5+INT((ROW()-9)/24)</f>
        <v>46576</v>
      </c>
      <c r="B14664" s="11" t="n">
        <f aca="false">MOD(ROW()-9,24)</f>
        <v>15</v>
      </c>
      <c r="C14664" s="12"/>
      <c r="D14664" s="13" t="n">
        <f aca="false">IF(B14664&lt;5,Einstellungen!$B$3,Einstellungen!$B$4)</f>
        <v>29.13</v>
      </c>
      <c r="E14664" s="14" t="str">
        <f aca="false">IF(C14664="","",C14664*D14664/100)</f>
        <v/>
      </c>
      <c r="F14664" s="15" t="str">
        <f aca="false">IF(B14664&lt;5,"Go","Standard")</f>
        <v>Standard</v>
      </c>
    </row>
    <row r="14665" customFormat="false" ht="15" hidden="false" customHeight="true" outlineLevel="0" collapsed="false">
      <c r="A14665" s="10" t="n">
        <f aca="false">Einstellungen!$B$5+INT((ROW()-9)/24)</f>
        <v>46576</v>
      </c>
      <c r="B14665" s="11" t="n">
        <f aca="false">MOD(ROW()-9,24)</f>
        <v>16</v>
      </c>
      <c r="C14665" s="12"/>
      <c r="D14665" s="13" t="n">
        <f aca="false">IF(B14665&lt;5,Einstellungen!$B$3,Einstellungen!$B$4)</f>
        <v>29.13</v>
      </c>
      <c r="E14665" s="14" t="str">
        <f aca="false">IF(C14665="","",C14665*D14665/100)</f>
        <v/>
      </c>
      <c r="F14665" s="15" t="str">
        <f aca="false">IF(B14665&lt;5,"Go","Standard")</f>
        <v>Standard</v>
      </c>
    </row>
    <row r="14666" customFormat="false" ht="15" hidden="false" customHeight="true" outlineLevel="0" collapsed="false">
      <c r="A14666" s="10" t="n">
        <f aca="false">Einstellungen!$B$5+INT((ROW()-9)/24)</f>
        <v>46576</v>
      </c>
      <c r="B14666" s="11" t="n">
        <f aca="false">MOD(ROW()-9,24)</f>
        <v>17</v>
      </c>
      <c r="C14666" s="12"/>
      <c r="D14666" s="13" t="n">
        <f aca="false">IF(B14666&lt;5,Einstellungen!$B$3,Einstellungen!$B$4)</f>
        <v>29.13</v>
      </c>
      <c r="E14666" s="14" t="str">
        <f aca="false">IF(C14666="","",C14666*D14666/100)</f>
        <v/>
      </c>
      <c r="F14666" s="15" t="str">
        <f aca="false">IF(B14666&lt;5,"Go","Standard")</f>
        <v>Standard</v>
      </c>
    </row>
    <row r="14667" customFormat="false" ht="15" hidden="false" customHeight="true" outlineLevel="0" collapsed="false">
      <c r="A14667" s="10" t="n">
        <f aca="false">Einstellungen!$B$5+INT((ROW()-9)/24)</f>
        <v>46576</v>
      </c>
      <c r="B14667" s="11" t="n">
        <f aca="false">MOD(ROW()-9,24)</f>
        <v>18</v>
      </c>
      <c r="C14667" s="12"/>
      <c r="D14667" s="13" t="n">
        <f aca="false">IF(B14667&lt;5,Einstellungen!$B$3,Einstellungen!$B$4)</f>
        <v>29.13</v>
      </c>
      <c r="E14667" s="14" t="str">
        <f aca="false">IF(C14667="","",C14667*D14667/100)</f>
        <v/>
      </c>
      <c r="F14667" s="15" t="str">
        <f aca="false">IF(B14667&lt;5,"Go","Standard")</f>
        <v>Standard</v>
      </c>
    </row>
    <row r="14668" customFormat="false" ht="15" hidden="false" customHeight="true" outlineLevel="0" collapsed="false">
      <c r="A14668" s="10" t="n">
        <f aca="false">Einstellungen!$B$5+INT((ROW()-9)/24)</f>
        <v>46576</v>
      </c>
      <c r="B14668" s="11" t="n">
        <f aca="false">MOD(ROW()-9,24)</f>
        <v>19</v>
      </c>
      <c r="C14668" s="12"/>
      <c r="D14668" s="13" t="n">
        <f aca="false">IF(B14668&lt;5,Einstellungen!$B$3,Einstellungen!$B$4)</f>
        <v>29.13</v>
      </c>
      <c r="E14668" s="14" t="str">
        <f aca="false">IF(C14668="","",C14668*D14668/100)</f>
        <v/>
      </c>
      <c r="F14668" s="15" t="str">
        <f aca="false">IF(B14668&lt;5,"Go","Standard")</f>
        <v>Standard</v>
      </c>
    </row>
    <row r="14669" customFormat="false" ht="15" hidden="false" customHeight="true" outlineLevel="0" collapsed="false">
      <c r="A14669" s="10" t="n">
        <f aca="false">Einstellungen!$B$5+INT((ROW()-9)/24)</f>
        <v>46576</v>
      </c>
      <c r="B14669" s="11" t="n">
        <f aca="false">MOD(ROW()-9,24)</f>
        <v>20</v>
      </c>
      <c r="C14669" s="12"/>
      <c r="D14669" s="13" t="n">
        <f aca="false">IF(B14669&lt;5,Einstellungen!$B$3,Einstellungen!$B$4)</f>
        <v>29.13</v>
      </c>
      <c r="E14669" s="14" t="str">
        <f aca="false">IF(C14669="","",C14669*D14669/100)</f>
        <v/>
      </c>
      <c r="F14669" s="15" t="str">
        <f aca="false">IF(B14669&lt;5,"Go","Standard")</f>
        <v>Standard</v>
      </c>
    </row>
    <row r="14670" customFormat="false" ht="15" hidden="false" customHeight="true" outlineLevel="0" collapsed="false">
      <c r="A14670" s="10" t="n">
        <f aca="false">Einstellungen!$B$5+INT((ROW()-9)/24)</f>
        <v>46576</v>
      </c>
      <c r="B14670" s="11" t="n">
        <f aca="false">MOD(ROW()-9,24)</f>
        <v>21</v>
      </c>
      <c r="C14670" s="12"/>
      <c r="D14670" s="13" t="n">
        <f aca="false">IF(B14670&lt;5,Einstellungen!$B$3,Einstellungen!$B$4)</f>
        <v>29.13</v>
      </c>
      <c r="E14670" s="14" t="str">
        <f aca="false">IF(C14670="","",C14670*D14670/100)</f>
        <v/>
      </c>
      <c r="F14670" s="15" t="str">
        <f aca="false">IF(B14670&lt;5,"Go","Standard")</f>
        <v>Standard</v>
      </c>
    </row>
    <row r="14671" customFormat="false" ht="15" hidden="false" customHeight="true" outlineLevel="0" collapsed="false">
      <c r="A14671" s="10" t="n">
        <f aca="false">Einstellungen!$B$5+INT((ROW()-9)/24)</f>
        <v>46576</v>
      </c>
      <c r="B14671" s="11" t="n">
        <f aca="false">MOD(ROW()-9,24)</f>
        <v>22</v>
      </c>
      <c r="C14671" s="12"/>
      <c r="D14671" s="13" t="n">
        <f aca="false">IF(B14671&lt;5,Einstellungen!$B$3,Einstellungen!$B$4)</f>
        <v>29.13</v>
      </c>
      <c r="E14671" s="14" t="str">
        <f aca="false">IF(C14671="","",C14671*D14671/100)</f>
        <v/>
      </c>
      <c r="F14671" s="15" t="str">
        <f aca="false">IF(B14671&lt;5,"Go","Standard")</f>
        <v>Standard</v>
      </c>
    </row>
    <row r="14672" customFormat="false" ht="15" hidden="false" customHeight="true" outlineLevel="0" collapsed="false">
      <c r="A14672" s="10" t="n">
        <f aca="false">Einstellungen!$B$5+INT((ROW()-9)/24)</f>
        <v>46576</v>
      </c>
      <c r="B14672" s="11" t="n">
        <f aca="false">MOD(ROW()-9,24)</f>
        <v>23</v>
      </c>
      <c r="C14672" s="12"/>
      <c r="D14672" s="13" t="n">
        <f aca="false">IF(B14672&lt;5,Einstellungen!$B$3,Einstellungen!$B$4)</f>
        <v>29.13</v>
      </c>
      <c r="E14672" s="14" t="str">
        <f aca="false">IF(C14672="","",C14672*D14672/100)</f>
        <v/>
      </c>
      <c r="F14672" s="15" t="str">
        <f aca="false">IF(B14672&lt;5,"Go","Standard")</f>
        <v>Standard</v>
      </c>
    </row>
    <row r="14673" customFormat="false" ht="15" hidden="false" customHeight="true" outlineLevel="0" collapsed="false">
      <c r="A14673" s="10" t="n">
        <f aca="false">Einstellungen!$B$5+INT((ROW()-9)/24)</f>
        <v>46577</v>
      </c>
      <c r="B14673" s="11" t="n">
        <f aca="false">MOD(ROW()-9,24)</f>
        <v>0</v>
      </c>
      <c r="C14673" s="12"/>
      <c r="D14673" s="13" t="n">
        <f aca="false">IF(B14673&lt;5,Einstellungen!$B$3,Einstellungen!$B$4)</f>
        <v>15.92</v>
      </c>
      <c r="E14673" s="14" t="str">
        <f aca="false">IF(C14673="","",C14673*D14673/100)</f>
        <v/>
      </c>
      <c r="F14673" s="15" t="str">
        <f aca="false">IF(B14673&lt;5,"Go","Standard")</f>
        <v>Go</v>
      </c>
    </row>
    <row r="14674" customFormat="false" ht="15" hidden="false" customHeight="true" outlineLevel="0" collapsed="false">
      <c r="A14674" s="10" t="n">
        <f aca="false">Einstellungen!$B$5+INT((ROW()-9)/24)</f>
        <v>46577</v>
      </c>
      <c r="B14674" s="11" t="n">
        <f aca="false">MOD(ROW()-9,24)</f>
        <v>1</v>
      </c>
      <c r="C14674" s="12"/>
      <c r="D14674" s="13" t="n">
        <f aca="false">IF(B14674&lt;5,Einstellungen!$B$3,Einstellungen!$B$4)</f>
        <v>15.92</v>
      </c>
      <c r="E14674" s="14" t="str">
        <f aca="false">IF(C14674="","",C14674*D14674/100)</f>
        <v/>
      </c>
      <c r="F14674" s="15" t="str">
        <f aca="false">IF(B14674&lt;5,"Go","Standard")</f>
        <v>Go</v>
      </c>
    </row>
    <row r="14675" customFormat="false" ht="15" hidden="false" customHeight="true" outlineLevel="0" collapsed="false">
      <c r="A14675" s="10" t="n">
        <f aca="false">Einstellungen!$B$5+INT((ROW()-9)/24)</f>
        <v>46577</v>
      </c>
      <c r="B14675" s="11" t="n">
        <f aca="false">MOD(ROW()-9,24)</f>
        <v>2</v>
      </c>
      <c r="C14675" s="12"/>
      <c r="D14675" s="13" t="n">
        <f aca="false">IF(B14675&lt;5,Einstellungen!$B$3,Einstellungen!$B$4)</f>
        <v>15.92</v>
      </c>
      <c r="E14675" s="14" t="str">
        <f aca="false">IF(C14675="","",C14675*D14675/100)</f>
        <v/>
      </c>
      <c r="F14675" s="15" t="str">
        <f aca="false">IF(B14675&lt;5,"Go","Standard")</f>
        <v>Go</v>
      </c>
    </row>
    <row r="14676" customFormat="false" ht="15" hidden="false" customHeight="true" outlineLevel="0" collapsed="false">
      <c r="A14676" s="10" t="n">
        <f aca="false">Einstellungen!$B$5+INT((ROW()-9)/24)</f>
        <v>46577</v>
      </c>
      <c r="B14676" s="11" t="n">
        <f aca="false">MOD(ROW()-9,24)</f>
        <v>3</v>
      </c>
      <c r="C14676" s="12"/>
      <c r="D14676" s="13" t="n">
        <f aca="false">IF(B14676&lt;5,Einstellungen!$B$3,Einstellungen!$B$4)</f>
        <v>15.92</v>
      </c>
      <c r="E14676" s="14" t="str">
        <f aca="false">IF(C14676="","",C14676*D14676/100)</f>
        <v/>
      </c>
      <c r="F14676" s="15" t="str">
        <f aca="false">IF(B14676&lt;5,"Go","Standard")</f>
        <v>Go</v>
      </c>
    </row>
    <row r="14677" customFormat="false" ht="15" hidden="false" customHeight="true" outlineLevel="0" collapsed="false">
      <c r="A14677" s="10" t="n">
        <f aca="false">Einstellungen!$B$5+INT((ROW()-9)/24)</f>
        <v>46577</v>
      </c>
      <c r="B14677" s="11" t="n">
        <f aca="false">MOD(ROW()-9,24)</f>
        <v>4</v>
      </c>
      <c r="C14677" s="12"/>
      <c r="D14677" s="13" t="n">
        <f aca="false">IF(B14677&lt;5,Einstellungen!$B$3,Einstellungen!$B$4)</f>
        <v>15.92</v>
      </c>
      <c r="E14677" s="14" t="str">
        <f aca="false">IF(C14677="","",C14677*D14677/100)</f>
        <v/>
      </c>
      <c r="F14677" s="15" t="str">
        <f aca="false">IF(B14677&lt;5,"Go","Standard")</f>
        <v>Go</v>
      </c>
    </row>
    <row r="14678" customFormat="false" ht="15" hidden="false" customHeight="true" outlineLevel="0" collapsed="false">
      <c r="A14678" s="10" t="n">
        <f aca="false">Einstellungen!$B$5+INT((ROW()-9)/24)</f>
        <v>46577</v>
      </c>
      <c r="B14678" s="11" t="n">
        <f aca="false">MOD(ROW()-9,24)</f>
        <v>5</v>
      </c>
      <c r="C14678" s="12"/>
      <c r="D14678" s="13" t="n">
        <f aca="false">IF(B14678&lt;5,Einstellungen!$B$3,Einstellungen!$B$4)</f>
        <v>29.13</v>
      </c>
      <c r="E14678" s="14" t="str">
        <f aca="false">IF(C14678="","",C14678*D14678/100)</f>
        <v/>
      </c>
      <c r="F14678" s="15" t="str">
        <f aca="false">IF(B14678&lt;5,"Go","Standard")</f>
        <v>Standard</v>
      </c>
    </row>
    <row r="14679" customFormat="false" ht="15" hidden="false" customHeight="true" outlineLevel="0" collapsed="false">
      <c r="A14679" s="10" t="n">
        <f aca="false">Einstellungen!$B$5+INT((ROW()-9)/24)</f>
        <v>46577</v>
      </c>
      <c r="B14679" s="11" t="n">
        <f aca="false">MOD(ROW()-9,24)</f>
        <v>6</v>
      </c>
      <c r="C14679" s="12"/>
      <c r="D14679" s="13" t="n">
        <f aca="false">IF(B14679&lt;5,Einstellungen!$B$3,Einstellungen!$B$4)</f>
        <v>29.13</v>
      </c>
      <c r="E14679" s="14" t="str">
        <f aca="false">IF(C14679="","",C14679*D14679/100)</f>
        <v/>
      </c>
      <c r="F14679" s="15" t="str">
        <f aca="false">IF(B14679&lt;5,"Go","Standard")</f>
        <v>Standard</v>
      </c>
    </row>
    <row r="14680" customFormat="false" ht="15" hidden="false" customHeight="true" outlineLevel="0" collapsed="false">
      <c r="A14680" s="10" t="n">
        <f aca="false">Einstellungen!$B$5+INT((ROW()-9)/24)</f>
        <v>46577</v>
      </c>
      <c r="B14680" s="11" t="n">
        <f aca="false">MOD(ROW()-9,24)</f>
        <v>7</v>
      </c>
      <c r="C14680" s="12"/>
      <c r="D14680" s="13" t="n">
        <f aca="false">IF(B14680&lt;5,Einstellungen!$B$3,Einstellungen!$B$4)</f>
        <v>29.13</v>
      </c>
      <c r="E14680" s="14" t="str">
        <f aca="false">IF(C14680="","",C14680*D14680/100)</f>
        <v/>
      </c>
      <c r="F14680" s="15" t="str">
        <f aca="false">IF(B14680&lt;5,"Go","Standard")</f>
        <v>Standard</v>
      </c>
    </row>
    <row r="14681" customFormat="false" ht="15" hidden="false" customHeight="true" outlineLevel="0" collapsed="false">
      <c r="A14681" s="10" t="n">
        <f aca="false">Einstellungen!$B$5+INT((ROW()-9)/24)</f>
        <v>46577</v>
      </c>
      <c r="B14681" s="11" t="n">
        <f aca="false">MOD(ROW()-9,24)</f>
        <v>8</v>
      </c>
      <c r="C14681" s="12"/>
      <c r="D14681" s="13" t="n">
        <f aca="false">IF(B14681&lt;5,Einstellungen!$B$3,Einstellungen!$B$4)</f>
        <v>29.13</v>
      </c>
      <c r="E14681" s="14" t="str">
        <f aca="false">IF(C14681="","",C14681*D14681/100)</f>
        <v/>
      </c>
      <c r="F14681" s="15" t="str">
        <f aca="false">IF(B14681&lt;5,"Go","Standard")</f>
        <v>Standard</v>
      </c>
    </row>
    <row r="14682" customFormat="false" ht="15" hidden="false" customHeight="true" outlineLevel="0" collapsed="false">
      <c r="A14682" s="10" t="n">
        <f aca="false">Einstellungen!$B$5+INT((ROW()-9)/24)</f>
        <v>46577</v>
      </c>
      <c r="B14682" s="11" t="n">
        <f aca="false">MOD(ROW()-9,24)</f>
        <v>9</v>
      </c>
      <c r="C14682" s="12"/>
      <c r="D14682" s="13" t="n">
        <f aca="false">IF(B14682&lt;5,Einstellungen!$B$3,Einstellungen!$B$4)</f>
        <v>29.13</v>
      </c>
      <c r="E14682" s="14" t="str">
        <f aca="false">IF(C14682="","",C14682*D14682/100)</f>
        <v/>
      </c>
      <c r="F14682" s="15" t="str">
        <f aca="false">IF(B14682&lt;5,"Go","Standard")</f>
        <v>Standard</v>
      </c>
    </row>
    <row r="14683" customFormat="false" ht="15" hidden="false" customHeight="true" outlineLevel="0" collapsed="false">
      <c r="A14683" s="10" t="n">
        <f aca="false">Einstellungen!$B$5+INT((ROW()-9)/24)</f>
        <v>46577</v>
      </c>
      <c r="B14683" s="11" t="n">
        <f aca="false">MOD(ROW()-9,24)</f>
        <v>10</v>
      </c>
      <c r="C14683" s="12"/>
      <c r="D14683" s="13" t="n">
        <f aca="false">IF(B14683&lt;5,Einstellungen!$B$3,Einstellungen!$B$4)</f>
        <v>29.13</v>
      </c>
      <c r="E14683" s="14" t="str">
        <f aca="false">IF(C14683="","",C14683*D14683/100)</f>
        <v/>
      </c>
      <c r="F14683" s="15" t="str">
        <f aca="false">IF(B14683&lt;5,"Go","Standard")</f>
        <v>Standard</v>
      </c>
    </row>
    <row r="14684" customFormat="false" ht="15" hidden="false" customHeight="true" outlineLevel="0" collapsed="false">
      <c r="A14684" s="10" t="n">
        <f aca="false">Einstellungen!$B$5+INT((ROW()-9)/24)</f>
        <v>46577</v>
      </c>
      <c r="B14684" s="11" t="n">
        <f aca="false">MOD(ROW()-9,24)</f>
        <v>11</v>
      </c>
      <c r="C14684" s="12"/>
      <c r="D14684" s="13" t="n">
        <f aca="false">IF(B14684&lt;5,Einstellungen!$B$3,Einstellungen!$B$4)</f>
        <v>29.13</v>
      </c>
      <c r="E14684" s="14" t="str">
        <f aca="false">IF(C14684="","",C14684*D14684/100)</f>
        <v/>
      </c>
      <c r="F14684" s="15" t="str">
        <f aca="false">IF(B14684&lt;5,"Go","Standard")</f>
        <v>Standard</v>
      </c>
    </row>
    <row r="14685" customFormat="false" ht="15" hidden="false" customHeight="true" outlineLevel="0" collapsed="false">
      <c r="A14685" s="10" t="n">
        <f aca="false">Einstellungen!$B$5+INT((ROW()-9)/24)</f>
        <v>46577</v>
      </c>
      <c r="B14685" s="11" t="n">
        <f aca="false">MOD(ROW()-9,24)</f>
        <v>12</v>
      </c>
      <c r="C14685" s="12"/>
      <c r="D14685" s="13" t="n">
        <f aca="false">IF(B14685&lt;5,Einstellungen!$B$3,Einstellungen!$B$4)</f>
        <v>29.13</v>
      </c>
      <c r="E14685" s="14" t="str">
        <f aca="false">IF(C14685="","",C14685*D14685/100)</f>
        <v/>
      </c>
      <c r="F14685" s="15" t="str">
        <f aca="false">IF(B14685&lt;5,"Go","Standard")</f>
        <v>Standard</v>
      </c>
    </row>
    <row r="14686" customFormat="false" ht="15" hidden="false" customHeight="true" outlineLevel="0" collapsed="false">
      <c r="A14686" s="10" t="n">
        <f aca="false">Einstellungen!$B$5+INT((ROW()-9)/24)</f>
        <v>46577</v>
      </c>
      <c r="B14686" s="11" t="n">
        <f aca="false">MOD(ROW()-9,24)</f>
        <v>13</v>
      </c>
      <c r="C14686" s="12"/>
      <c r="D14686" s="13" t="n">
        <f aca="false">IF(B14686&lt;5,Einstellungen!$B$3,Einstellungen!$B$4)</f>
        <v>29.13</v>
      </c>
      <c r="E14686" s="14" t="str">
        <f aca="false">IF(C14686="","",C14686*D14686/100)</f>
        <v/>
      </c>
      <c r="F14686" s="15" t="str">
        <f aca="false">IF(B14686&lt;5,"Go","Standard")</f>
        <v>Standard</v>
      </c>
    </row>
    <row r="14687" customFormat="false" ht="15" hidden="false" customHeight="true" outlineLevel="0" collapsed="false">
      <c r="A14687" s="10" t="n">
        <f aca="false">Einstellungen!$B$5+INT((ROW()-9)/24)</f>
        <v>46577</v>
      </c>
      <c r="B14687" s="11" t="n">
        <f aca="false">MOD(ROW()-9,24)</f>
        <v>14</v>
      </c>
      <c r="C14687" s="12"/>
      <c r="D14687" s="13" t="n">
        <f aca="false">IF(B14687&lt;5,Einstellungen!$B$3,Einstellungen!$B$4)</f>
        <v>29.13</v>
      </c>
      <c r="E14687" s="14" t="str">
        <f aca="false">IF(C14687="","",C14687*D14687/100)</f>
        <v/>
      </c>
      <c r="F14687" s="15" t="str">
        <f aca="false">IF(B14687&lt;5,"Go","Standard")</f>
        <v>Standard</v>
      </c>
    </row>
    <row r="14688" customFormat="false" ht="15" hidden="false" customHeight="true" outlineLevel="0" collapsed="false">
      <c r="A14688" s="10" t="n">
        <f aca="false">Einstellungen!$B$5+INT((ROW()-9)/24)</f>
        <v>46577</v>
      </c>
      <c r="B14688" s="11" t="n">
        <f aca="false">MOD(ROW()-9,24)</f>
        <v>15</v>
      </c>
      <c r="C14688" s="12"/>
      <c r="D14688" s="13" t="n">
        <f aca="false">IF(B14688&lt;5,Einstellungen!$B$3,Einstellungen!$B$4)</f>
        <v>29.13</v>
      </c>
      <c r="E14688" s="14" t="str">
        <f aca="false">IF(C14688="","",C14688*D14688/100)</f>
        <v/>
      </c>
      <c r="F14688" s="15" t="str">
        <f aca="false">IF(B14688&lt;5,"Go","Standard")</f>
        <v>Standard</v>
      </c>
    </row>
    <row r="14689" customFormat="false" ht="15" hidden="false" customHeight="true" outlineLevel="0" collapsed="false">
      <c r="A14689" s="10" t="n">
        <f aca="false">Einstellungen!$B$5+INT((ROW()-9)/24)</f>
        <v>46577</v>
      </c>
      <c r="B14689" s="11" t="n">
        <f aca="false">MOD(ROW()-9,24)</f>
        <v>16</v>
      </c>
      <c r="C14689" s="12"/>
      <c r="D14689" s="13" t="n">
        <f aca="false">IF(B14689&lt;5,Einstellungen!$B$3,Einstellungen!$B$4)</f>
        <v>29.13</v>
      </c>
      <c r="E14689" s="14" t="str">
        <f aca="false">IF(C14689="","",C14689*D14689/100)</f>
        <v/>
      </c>
      <c r="F14689" s="15" t="str">
        <f aca="false">IF(B14689&lt;5,"Go","Standard")</f>
        <v>Standard</v>
      </c>
    </row>
    <row r="14690" customFormat="false" ht="15" hidden="false" customHeight="true" outlineLevel="0" collapsed="false">
      <c r="A14690" s="10" t="n">
        <f aca="false">Einstellungen!$B$5+INT((ROW()-9)/24)</f>
        <v>46577</v>
      </c>
      <c r="B14690" s="11" t="n">
        <f aca="false">MOD(ROW()-9,24)</f>
        <v>17</v>
      </c>
      <c r="C14690" s="12"/>
      <c r="D14690" s="13" t="n">
        <f aca="false">IF(B14690&lt;5,Einstellungen!$B$3,Einstellungen!$B$4)</f>
        <v>29.13</v>
      </c>
      <c r="E14690" s="14" t="str">
        <f aca="false">IF(C14690="","",C14690*D14690/100)</f>
        <v/>
      </c>
      <c r="F14690" s="15" t="str">
        <f aca="false">IF(B14690&lt;5,"Go","Standard")</f>
        <v>Standard</v>
      </c>
    </row>
    <row r="14691" customFormat="false" ht="15" hidden="false" customHeight="true" outlineLevel="0" collapsed="false">
      <c r="A14691" s="10" t="n">
        <f aca="false">Einstellungen!$B$5+INT((ROW()-9)/24)</f>
        <v>46577</v>
      </c>
      <c r="B14691" s="11" t="n">
        <f aca="false">MOD(ROW()-9,24)</f>
        <v>18</v>
      </c>
      <c r="C14691" s="12"/>
      <c r="D14691" s="13" t="n">
        <f aca="false">IF(B14691&lt;5,Einstellungen!$B$3,Einstellungen!$B$4)</f>
        <v>29.13</v>
      </c>
      <c r="E14691" s="14" t="str">
        <f aca="false">IF(C14691="","",C14691*D14691/100)</f>
        <v/>
      </c>
      <c r="F14691" s="15" t="str">
        <f aca="false">IF(B14691&lt;5,"Go","Standard")</f>
        <v>Standard</v>
      </c>
    </row>
    <row r="14692" customFormat="false" ht="15" hidden="false" customHeight="true" outlineLevel="0" collapsed="false">
      <c r="A14692" s="10" t="n">
        <f aca="false">Einstellungen!$B$5+INT((ROW()-9)/24)</f>
        <v>46577</v>
      </c>
      <c r="B14692" s="11" t="n">
        <f aca="false">MOD(ROW()-9,24)</f>
        <v>19</v>
      </c>
      <c r="C14692" s="12"/>
      <c r="D14692" s="13" t="n">
        <f aca="false">IF(B14692&lt;5,Einstellungen!$B$3,Einstellungen!$B$4)</f>
        <v>29.13</v>
      </c>
      <c r="E14692" s="14" t="str">
        <f aca="false">IF(C14692="","",C14692*D14692/100)</f>
        <v/>
      </c>
      <c r="F14692" s="15" t="str">
        <f aca="false">IF(B14692&lt;5,"Go","Standard")</f>
        <v>Standard</v>
      </c>
    </row>
    <row r="14693" customFormat="false" ht="15" hidden="false" customHeight="true" outlineLevel="0" collapsed="false">
      <c r="A14693" s="10" t="n">
        <f aca="false">Einstellungen!$B$5+INT((ROW()-9)/24)</f>
        <v>46577</v>
      </c>
      <c r="B14693" s="11" t="n">
        <f aca="false">MOD(ROW()-9,24)</f>
        <v>20</v>
      </c>
      <c r="C14693" s="12"/>
      <c r="D14693" s="13" t="n">
        <f aca="false">IF(B14693&lt;5,Einstellungen!$B$3,Einstellungen!$B$4)</f>
        <v>29.13</v>
      </c>
      <c r="E14693" s="14" t="str">
        <f aca="false">IF(C14693="","",C14693*D14693/100)</f>
        <v/>
      </c>
      <c r="F14693" s="15" t="str">
        <f aca="false">IF(B14693&lt;5,"Go","Standard")</f>
        <v>Standard</v>
      </c>
    </row>
    <row r="14694" customFormat="false" ht="15" hidden="false" customHeight="true" outlineLevel="0" collapsed="false">
      <c r="A14694" s="10" t="n">
        <f aca="false">Einstellungen!$B$5+INT((ROW()-9)/24)</f>
        <v>46577</v>
      </c>
      <c r="B14694" s="11" t="n">
        <f aca="false">MOD(ROW()-9,24)</f>
        <v>21</v>
      </c>
      <c r="C14694" s="12"/>
      <c r="D14694" s="13" t="n">
        <f aca="false">IF(B14694&lt;5,Einstellungen!$B$3,Einstellungen!$B$4)</f>
        <v>29.13</v>
      </c>
      <c r="E14694" s="14" t="str">
        <f aca="false">IF(C14694="","",C14694*D14694/100)</f>
        <v/>
      </c>
      <c r="F14694" s="15" t="str">
        <f aca="false">IF(B14694&lt;5,"Go","Standard")</f>
        <v>Standard</v>
      </c>
    </row>
    <row r="14695" customFormat="false" ht="15" hidden="false" customHeight="true" outlineLevel="0" collapsed="false">
      <c r="A14695" s="10" t="n">
        <f aca="false">Einstellungen!$B$5+INT((ROW()-9)/24)</f>
        <v>46577</v>
      </c>
      <c r="B14695" s="11" t="n">
        <f aca="false">MOD(ROW()-9,24)</f>
        <v>22</v>
      </c>
      <c r="C14695" s="12"/>
      <c r="D14695" s="13" t="n">
        <f aca="false">IF(B14695&lt;5,Einstellungen!$B$3,Einstellungen!$B$4)</f>
        <v>29.13</v>
      </c>
      <c r="E14695" s="14" t="str">
        <f aca="false">IF(C14695="","",C14695*D14695/100)</f>
        <v/>
      </c>
      <c r="F14695" s="15" t="str">
        <f aca="false">IF(B14695&lt;5,"Go","Standard")</f>
        <v>Standard</v>
      </c>
    </row>
    <row r="14696" customFormat="false" ht="15" hidden="false" customHeight="true" outlineLevel="0" collapsed="false">
      <c r="A14696" s="10" t="n">
        <f aca="false">Einstellungen!$B$5+INT((ROW()-9)/24)</f>
        <v>46577</v>
      </c>
      <c r="B14696" s="11" t="n">
        <f aca="false">MOD(ROW()-9,24)</f>
        <v>23</v>
      </c>
      <c r="C14696" s="12"/>
      <c r="D14696" s="13" t="n">
        <f aca="false">IF(B14696&lt;5,Einstellungen!$B$3,Einstellungen!$B$4)</f>
        <v>29.13</v>
      </c>
      <c r="E14696" s="14" t="str">
        <f aca="false">IF(C14696="","",C14696*D14696/100)</f>
        <v/>
      </c>
      <c r="F14696" s="15" t="str">
        <f aca="false">IF(B14696&lt;5,"Go","Standard")</f>
        <v>Standard</v>
      </c>
    </row>
    <row r="14697" customFormat="false" ht="15" hidden="false" customHeight="true" outlineLevel="0" collapsed="false">
      <c r="A14697" s="10" t="n">
        <f aca="false">Einstellungen!$B$5+INT((ROW()-9)/24)</f>
        <v>46578</v>
      </c>
      <c r="B14697" s="11" t="n">
        <f aca="false">MOD(ROW()-9,24)</f>
        <v>0</v>
      </c>
      <c r="C14697" s="12"/>
      <c r="D14697" s="13" t="n">
        <f aca="false">IF(B14697&lt;5,Einstellungen!$B$3,Einstellungen!$B$4)</f>
        <v>15.92</v>
      </c>
      <c r="E14697" s="14" t="str">
        <f aca="false">IF(C14697="","",C14697*D14697/100)</f>
        <v/>
      </c>
      <c r="F14697" s="15" t="str">
        <f aca="false">IF(B14697&lt;5,"Go","Standard")</f>
        <v>Go</v>
      </c>
    </row>
    <row r="14698" customFormat="false" ht="15" hidden="false" customHeight="true" outlineLevel="0" collapsed="false">
      <c r="A14698" s="10" t="n">
        <f aca="false">Einstellungen!$B$5+INT((ROW()-9)/24)</f>
        <v>46578</v>
      </c>
      <c r="B14698" s="11" t="n">
        <f aca="false">MOD(ROW()-9,24)</f>
        <v>1</v>
      </c>
      <c r="C14698" s="12"/>
      <c r="D14698" s="13" t="n">
        <f aca="false">IF(B14698&lt;5,Einstellungen!$B$3,Einstellungen!$B$4)</f>
        <v>15.92</v>
      </c>
      <c r="E14698" s="14" t="str">
        <f aca="false">IF(C14698="","",C14698*D14698/100)</f>
        <v/>
      </c>
      <c r="F14698" s="15" t="str">
        <f aca="false">IF(B14698&lt;5,"Go","Standard")</f>
        <v>Go</v>
      </c>
    </row>
    <row r="14699" customFormat="false" ht="15" hidden="false" customHeight="true" outlineLevel="0" collapsed="false">
      <c r="A14699" s="10" t="n">
        <f aca="false">Einstellungen!$B$5+INT((ROW()-9)/24)</f>
        <v>46578</v>
      </c>
      <c r="B14699" s="11" t="n">
        <f aca="false">MOD(ROW()-9,24)</f>
        <v>2</v>
      </c>
      <c r="C14699" s="12"/>
      <c r="D14699" s="13" t="n">
        <f aca="false">IF(B14699&lt;5,Einstellungen!$B$3,Einstellungen!$B$4)</f>
        <v>15.92</v>
      </c>
      <c r="E14699" s="14" t="str">
        <f aca="false">IF(C14699="","",C14699*D14699/100)</f>
        <v/>
      </c>
      <c r="F14699" s="15" t="str">
        <f aca="false">IF(B14699&lt;5,"Go","Standard")</f>
        <v>Go</v>
      </c>
    </row>
    <row r="14700" customFormat="false" ht="15" hidden="false" customHeight="true" outlineLevel="0" collapsed="false">
      <c r="A14700" s="10" t="n">
        <f aca="false">Einstellungen!$B$5+INT((ROW()-9)/24)</f>
        <v>46578</v>
      </c>
      <c r="B14700" s="11" t="n">
        <f aca="false">MOD(ROW()-9,24)</f>
        <v>3</v>
      </c>
      <c r="C14700" s="12"/>
      <c r="D14700" s="13" t="n">
        <f aca="false">IF(B14700&lt;5,Einstellungen!$B$3,Einstellungen!$B$4)</f>
        <v>15.92</v>
      </c>
      <c r="E14700" s="14" t="str">
        <f aca="false">IF(C14700="","",C14700*D14700/100)</f>
        <v/>
      </c>
      <c r="F14700" s="15" t="str">
        <f aca="false">IF(B14700&lt;5,"Go","Standard")</f>
        <v>Go</v>
      </c>
    </row>
    <row r="14701" customFormat="false" ht="15" hidden="false" customHeight="true" outlineLevel="0" collapsed="false">
      <c r="A14701" s="10" t="n">
        <f aca="false">Einstellungen!$B$5+INT((ROW()-9)/24)</f>
        <v>46578</v>
      </c>
      <c r="B14701" s="11" t="n">
        <f aca="false">MOD(ROW()-9,24)</f>
        <v>4</v>
      </c>
      <c r="C14701" s="12"/>
      <c r="D14701" s="13" t="n">
        <f aca="false">IF(B14701&lt;5,Einstellungen!$B$3,Einstellungen!$B$4)</f>
        <v>15.92</v>
      </c>
      <c r="E14701" s="14" t="str">
        <f aca="false">IF(C14701="","",C14701*D14701/100)</f>
        <v/>
      </c>
      <c r="F14701" s="15" t="str">
        <f aca="false">IF(B14701&lt;5,"Go","Standard")</f>
        <v>Go</v>
      </c>
    </row>
    <row r="14702" customFormat="false" ht="15" hidden="false" customHeight="true" outlineLevel="0" collapsed="false">
      <c r="A14702" s="10" t="n">
        <f aca="false">Einstellungen!$B$5+INT((ROW()-9)/24)</f>
        <v>46578</v>
      </c>
      <c r="B14702" s="11" t="n">
        <f aca="false">MOD(ROW()-9,24)</f>
        <v>5</v>
      </c>
      <c r="C14702" s="12"/>
      <c r="D14702" s="13" t="n">
        <f aca="false">IF(B14702&lt;5,Einstellungen!$B$3,Einstellungen!$B$4)</f>
        <v>29.13</v>
      </c>
      <c r="E14702" s="14" t="str">
        <f aca="false">IF(C14702="","",C14702*D14702/100)</f>
        <v/>
      </c>
      <c r="F14702" s="15" t="str">
        <f aca="false">IF(B14702&lt;5,"Go","Standard")</f>
        <v>Standard</v>
      </c>
    </row>
    <row r="14703" customFormat="false" ht="15" hidden="false" customHeight="true" outlineLevel="0" collapsed="false">
      <c r="A14703" s="10" t="n">
        <f aca="false">Einstellungen!$B$5+INT((ROW()-9)/24)</f>
        <v>46578</v>
      </c>
      <c r="B14703" s="11" t="n">
        <f aca="false">MOD(ROW()-9,24)</f>
        <v>6</v>
      </c>
      <c r="C14703" s="12"/>
      <c r="D14703" s="13" t="n">
        <f aca="false">IF(B14703&lt;5,Einstellungen!$B$3,Einstellungen!$B$4)</f>
        <v>29.13</v>
      </c>
      <c r="E14703" s="14" t="str">
        <f aca="false">IF(C14703="","",C14703*D14703/100)</f>
        <v/>
      </c>
      <c r="F14703" s="15" t="str">
        <f aca="false">IF(B14703&lt;5,"Go","Standard")</f>
        <v>Standard</v>
      </c>
    </row>
    <row r="14704" customFormat="false" ht="15" hidden="false" customHeight="true" outlineLevel="0" collapsed="false">
      <c r="A14704" s="10" t="n">
        <f aca="false">Einstellungen!$B$5+INT((ROW()-9)/24)</f>
        <v>46578</v>
      </c>
      <c r="B14704" s="11" t="n">
        <f aca="false">MOD(ROW()-9,24)</f>
        <v>7</v>
      </c>
      <c r="C14704" s="12"/>
      <c r="D14704" s="13" t="n">
        <f aca="false">IF(B14704&lt;5,Einstellungen!$B$3,Einstellungen!$B$4)</f>
        <v>29.13</v>
      </c>
      <c r="E14704" s="14" t="str">
        <f aca="false">IF(C14704="","",C14704*D14704/100)</f>
        <v/>
      </c>
      <c r="F14704" s="15" t="str">
        <f aca="false">IF(B14704&lt;5,"Go","Standard")</f>
        <v>Standard</v>
      </c>
    </row>
    <row r="14705" customFormat="false" ht="15" hidden="false" customHeight="true" outlineLevel="0" collapsed="false">
      <c r="A14705" s="10" t="n">
        <f aca="false">Einstellungen!$B$5+INT((ROW()-9)/24)</f>
        <v>46578</v>
      </c>
      <c r="B14705" s="11" t="n">
        <f aca="false">MOD(ROW()-9,24)</f>
        <v>8</v>
      </c>
      <c r="C14705" s="12"/>
      <c r="D14705" s="13" t="n">
        <f aca="false">IF(B14705&lt;5,Einstellungen!$B$3,Einstellungen!$B$4)</f>
        <v>29.13</v>
      </c>
      <c r="E14705" s="14" t="str">
        <f aca="false">IF(C14705="","",C14705*D14705/100)</f>
        <v/>
      </c>
      <c r="F14705" s="15" t="str">
        <f aca="false">IF(B14705&lt;5,"Go","Standard")</f>
        <v>Standard</v>
      </c>
    </row>
    <row r="14706" customFormat="false" ht="15" hidden="false" customHeight="true" outlineLevel="0" collapsed="false">
      <c r="A14706" s="10" t="n">
        <f aca="false">Einstellungen!$B$5+INT((ROW()-9)/24)</f>
        <v>46578</v>
      </c>
      <c r="B14706" s="11" t="n">
        <f aca="false">MOD(ROW()-9,24)</f>
        <v>9</v>
      </c>
      <c r="C14706" s="12"/>
      <c r="D14706" s="13" t="n">
        <f aca="false">IF(B14706&lt;5,Einstellungen!$B$3,Einstellungen!$B$4)</f>
        <v>29.13</v>
      </c>
      <c r="E14706" s="14" t="str">
        <f aca="false">IF(C14706="","",C14706*D14706/100)</f>
        <v/>
      </c>
      <c r="F14706" s="15" t="str">
        <f aca="false">IF(B14706&lt;5,"Go","Standard")</f>
        <v>Standard</v>
      </c>
    </row>
    <row r="14707" customFormat="false" ht="15" hidden="false" customHeight="true" outlineLevel="0" collapsed="false">
      <c r="A14707" s="10" t="n">
        <f aca="false">Einstellungen!$B$5+INT((ROW()-9)/24)</f>
        <v>46578</v>
      </c>
      <c r="B14707" s="11" t="n">
        <f aca="false">MOD(ROW()-9,24)</f>
        <v>10</v>
      </c>
      <c r="C14707" s="12"/>
      <c r="D14707" s="13" t="n">
        <f aca="false">IF(B14707&lt;5,Einstellungen!$B$3,Einstellungen!$B$4)</f>
        <v>29.13</v>
      </c>
      <c r="E14707" s="14" t="str">
        <f aca="false">IF(C14707="","",C14707*D14707/100)</f>
        <v/>
      </c>
      <c r="F14707" s="15" t="str">
        <f aca="false">IF(B14707&lt;5,"Go","Standard")</f>
        <v>Standard</v>
      </c>
    </row>
    <row r="14708" customFormat="false" ht="15" hidden="false" customHeight="true" outlineLevel="0" collapsed="false">
      <c r="A14708" s="10" t="n">
        <f aca="false">Einstellungen!$B$5+INT((ROW()-9)/24)</f>
        <v>46578</v>
      </c>
      <c r="B14708" s="11" t="n">
        <f aca="false">MOD(ROW()-9,24)</f>
        <v>11</v>
      </c>
      <c r="C14708" s="12"/>
      <c r="D14708" s="13" t="n">
        <f aca="false">IF(B14708&lt;5,Einstellungen!$B$3,Einstellungen!$B$4)</f>
        <v>29.13</v>
      </c>
      <c r="E14708" s="14" t="str">
        <f aca="false">IF(C14708="","",C14708*D14708/100)</f>
        <v/>
      </c>
      <c r="F14708" s="15" t="str">
        <f aca="false">IF(B14708&lt;5,"Go","Standard")</f>
        <v>Standard</v>
      </c>
    </row>
    <row r="14709" customFormat="false" ht="15" hidden="false" customHeight="true" outlineLevel="0" collapsed="false">
      <c r="A14709" s="10" t="n">
        <f aca="false">Einstellungen!$B$5+INT((ROW()-9)/24)</f>
        <v>46578</v>
      </c>
      <c r="B14709" s="11" t="n">
        <f aca="false">MOD(ROW()-9,24)</f>
        <v>12</v>
      </c>
      <c r="C14709" s="12"/>
      <c r="D14709" s="13" t="n">
        <f aca="false">IF(B14709&lt;5,Einstellungen!$B$3,Einstellungen!$B$4)</f>
        <v>29.13</v>
      </c>
      <c r="E14709" s="14" t="str">
        <f aca="false">IF(C14709="","",C14709*D14709/100)</f>
        <v/>
      </c>
      <c r="F14709" s="15" t="str">
        <f aca="false">IF(B14709&lt;5,"Go","Standard")</f>
        <v>Standard</v>
      </c>
    </row>
    <row r="14710" customFormat="false" ht="15" hidden="false" customHeight="true" outlineLevel="0" collapsed="false">
      <c r="A14710" s="10" t="n">
        <f aca="false">Einstellungen!$B$5+INT((ROW()-9)/24)</f>
        <v>46578</v>
      </c>
      <c r="B14710" s="11" t="n">
        <f aca="false">MOD(ROW()-9,24)</f>
        <v>13</v>
      </c>
      <c r="C14710" s="12"/>
      <c r="D14710" s="13" t="n">
        <f aca="false">IF(B14710&lt;5,Einstellungen!$B$3,Einstellungen!$B$4)</f>
        <v>29.13</v>
      </c>
      <c r="E14710" s="14" t="str">
        <f aca="false">IF(C14710="","",C14710*D14710/100)</f>
        <v/>
      </c>
      <c r="F14710" s="15" t="str">
        <f aca="false">IF(B14710&lt;5,"Go","Standard")</f>
        <v>Standard</v>
      </c>
    </row>
    <row r="14711" customFormat="false" ht="15" hidden="false" customHeight="true" outlineLevel="0" collapsed="false">
      <c r="A14711" s="10" t="n">
        <f aca="false">Einstellungen!$B$5+INT((ROW()-9)/24)</f>
        <v>46578</v>
      </c>
      <c r="B14711" s="11" t="n">
        <f aca="false">MOD(ROW()-9,24)</f>
        <v>14</v>
      </c>
      <c r="C14711" s="12"/>
      <c r="D14711" s="13" t="n">
        <f aca="false">IF(B14711&lt;5,Einstellungen!$B$3,Einstellungen!$B$4)</f>
        <v>29.13</v>
      </c>
      <c r="E14711" s="14" t="str">
        <f aca="false">IF(C14711="","",C14711*D14711/100)</f>
        <v/>
      </c>
      <c r="F14711" s="15" t="str">
        <f aca="false">IF(B14711&lt;5,"Go","Standard")</f>
        <v>Standard</v>
      </c>
    </row>
    <row r="14712" customFormat="false" ht="15" hidden="false" customHeight="true" outlineLevel="0" collapsed="false">
      <c r="A14712" s="10" t="n">
        <f aca="false">Einstellungen!$B$5+INT((ROW()-9)/24)</f>
        <v>46578</v>
      </c>
      <c r="B14712" s="11" t="n">
        <f aca="false">MOD(ROW()-9,24)</f>
        <v>15</v>
      </c>
      <c r="C14712" s="12"/>
      <c r="D14712" s="13" t="n">
        <f aca="false">IF(B14712&lt;5,Einstellungen!$B$3,Einstellungen!$B$4)</f>
        <v>29.13</v>
      </c>
      <c r="E14712" s="14" t="str">
        <f aca="false">IF(C14712="","",C14712*D14712/100)</f>
        <v/>
      </c>
      <c r="F14712" s="15" t="str">
        <f aca="false">IF(B14712&lt;5,"Go","Standard")</f>
        <v>Standard</v>
      </c>
    </row>
    <row r="14713" customFormat="false" ht="15" hidden="false" customHeight="true" outlineLevel="0" collapsed="false">
      <c r="A14713" s="10" t="n">
        <f aca="false">Einstellungen!$B$5+INT((ROW()-9)/24)</f>
        <v>46578</v>
      </c>
      <c r="B14713" s="11" t="n">
        <f aca="false">MOD(ROW()-9,24)</f>
        <v>16</v>
      </c>
      <c r="C14713" s="12"/>
      <c r="D14713" s="13" t="n">
        <f aca="false">IF(B14713&lt;5,Einstellungen!$B$3,Einstellungen!$B$4)</f>
        <v>29.13</v>
      </c>
      <c r="E14713" s="14" t="str">
        <f aca="false">IF(C14713="","",C14713*D14713/100)</f>
        <v/>
      </c>
      <c r="F14713" s="15" t="str">
        <f aca="false">IF(B14713&lt;5,"Go","Standard")</f>
        <v>Standard</v>
      </c>
    </row>
    <row r="14714" customFormat="false" ht="15" hidden="false" customHeight="true" outlineLevel="0" collapsed="false">
      <c r="A14714" s="10" t="n">
        <f aca="false">Einstellungen!$B$5+INT((ROW()-9)/24)</f>
        <v>46578</v>
      </c>
      <c r="B14714" s="11" t="n">
        <f aca="false">MOD(ROW()-9,24)</f>
        <v>17</v>
      </c>
      <c r="C14714" s="12"/>
      <c r="D14714" s="13" t="n">
        <f aca="false">IF(B14714&lt;5,Einstellungen!$B$3,Einstellungen!$B$4)</f>
        <v>29.13</v>
      </c>
      <c r="E14714" s="14" t="str">
        <f aca="false">IF(C14714="","",C14714*D14714/100)</f>
        <v/>
      </c>
      <c r="F14714" s="15" t="str">
        <f aca="false">IF(B14714&lt;5,"Go","Standard")</f>
        <v>Standard</v>
      </c>
    </row>
    <row r="14715" customFormat="false" ht="15" hidden="false" customHeight="true" outlineLevel="0" collapsed="false">
      <c r="A14715" s="10" t="n">
        <f aca="false">Einstellungen!$B$5+INT((ROW()-9)/24)</f>
        <v>46578</v>
      </c>
      <c r="B14715" s="11" t="n">
        <f aca="false">MOD(ROW()-9,24)</f>
        <v>18</v>
      </c>
      <c r="C14715" s="12"/>
      <c r="D14715" s="13" t="n">
        <f aca="false">IF(B14715&lt;5,Einstellungen!$B$3,Einstellungen!$B$4)</f>
        <v>29.13</v>
      </c>
      <c r="E14715" s="14" t="str">
        <f aca="false">IF(C14715="","",C14715*D14715/100)</f>
        <v/>
      </c>
      <c r="F14715" s="15" t="str">
        <f aca="false">IF(B14715&lt;5,"Go","Standard")</f>
        <v>Standard</v>
      </c>
    </row>
    <row r="14716" customFormat="false" ht="15" hidden="false" customHeight="true" outlineLevel="0" collapsed="false">
      <c r="A14716" s="10" t="n">
        <f aca="false">Einstellungen!$B$5+INT((ROW()-9)/24)</f>
        <v>46578</v>
      </c>
      <c r="B14716" s="11" t="n">
        <f aca="false">MOD(ROW()-9,24)</f>
        <v>19</v>
      </c>
      <c r="C14716" s="12"/>
      <c r="D14716" s="13" t="n">
        <f aca="false">IF(B14716&lt;5,Einstellungen!$B$3,Einstellungen!$B$4)</f>
        <v>29.13</v>
      </c>
      <c r="E14716" s="14" t="str">
        <f aca="false">IF(C14716="","",C14716*D14716/100)</f>
        <v/>
      </c>
      <c r="F14716" s="15" t="str">
        <f aca="false">IF(B14716&lt;5,"Go","Standard")</f>
        <v>Standard</v>
      </c>
    </row>
    <row r="14717" customFormat="false" ht="15" hidden="false" customHeight="true" outlineLevel="0" collapsed="false">
      <c r="A14717" s="10" t="n">
        <f aca="false">Einstellungen!$B$5+INT((ROW()-9)/24)</f>
        <v>46578</v>
      </c>
      <c r="B14717" s="11" t="n">
        <f aca="false">MOD(ROW()-9,24)</f>
        <v>20</v>
      </c>
      <c r="C14717" s="12"/>
      <c r="D14717" s="13" t="n">
        <f aca="false">IF(B14717&lt;5,Einstellungen!$B$3,Einstellungen!$B$4)</f>
        <v>29.13</v>
      </c>
      <c r="E14717" s="14" t="str">
        <f aca="false">IF(C14717="","",C14717*D14717/100)</f>
        <v/>
      </c>
      <c r="F14717" s="15" t="str">
        <f aca="false">IF(B14717&lt;5,"Go","Standard")</f>
        <v>Standard</v>
      </c>
    </row>
    <row r="14718" customFormat="false" ht="15" hidden="false" customHeight="true" outlineLevel="0" collapsed="false">
      <c r="A14718" s="10" t="n">
        <f aca="false">Einstellungen!$B$5+INT((ROW()-9)/24)</f>
        <v>46578</v>
      </c>
      <c r="B14718" s="11" t="n">
        <f aca="false">MOD(ROW()-9,24)</f>
        <v>21</v>
      </c>
      <c r="C14718" s="12"/>
      <c r="D14718" s="13" t="n">
        <f aca="false">IF(B14718&lt;5,Einstellungen!$B$3,Einstellungen!$B$4)</f>
        <v>29.13</v>
      </c>
      <c r="E14718" s="14" t="str">
        <f aca="false">IF(C14718="","",C14718*D14718/100)</f>
        <v/>
      </c>
      <c r="F14718" s="15" t="str">
        <f aca="false">IF(B14718&lt;5,"Go","Standard")</f>
        <v>Standard</v>
      </c>
    </row>
    <row r="14719" customFormat="false" ht="15" hidden="false" customHeight="true" outlineLevel="0" collapsed="false">
      <c r="A14719" s="10" t="n">
        <f aca="false">Einstellungen!$B$5+INT((ROW()-9)/24)</f>
        <v>46578</v>
      </c>
      <c r="B14719" s="11" t="n">
        <f aca="false">MOD(ROW()-9,24)</f>
        <v>22</v>
      </c>
      <c r="C14719" s="12"/>
      <c r="D14719" s="13" t="n">
        <f aca="false">IF(B14719&lt;5,Einstellungen!$B$3,Einstellungen!$B$4)</f>
        <v>29.13</v>
      </c>
      <c r="E14719" s="14" t="str">
        <f aca="false">IF(C14719="","",C14719*D14719/100)</f>
        <v/>
      </c>
      <c r="F14719" s="15" t="str">
        <f aca="false">IF(B14719&lt;5,"Go","Standard")</f>
        <v>Standard</v>
      </c>
    </row>
    <row r="14720" customFormat="false" ht="15" hidden="false" customHeight="true" outlineLevel="0" collapsed="false">
      <c r="A14720" s="10" t="n">
        <f aca="false">Einstellungen!$B$5+INT((ROW()-9)/24)</f>
        <v>46578</v>
      </c>
      <c r="B14720" s="11" t="n">
        <f aca="false">MOD(ROW()-9,24)</f>
        <v>23</v>
      </c>
      <c r="C14720" s="12"/>
      <c r="D14720" s="13" t="n">
        <f aca="false">IF(B14720&lt;5,Einstellungen!$B$3,Einstellungen!$B$4)</f>
        <v>29.13</v>
      </c>
      <c r="E14720" s="14" t="str">
        <f aca="false">IF(C14720="","",C14720*D14720/100)</f>
        <v/>
      </c>
      <c r="F14720" s="15" t="str">
        <f aca="false">IF(B14720&lt;5,"Go","Standard")</f>
        <v>Standard</v>
      </c>
    </row>
    <row r="14721" customFormat="false" ht="15" hidden="false" customHeight="true" outlineLevel="0" collapsed="false">
      <c r="A14721" s="10" t="n">
        <f aca="false">Einstellungen!$B$5+INT((ROW()-9)/24)</f>
        <v>46579</v>
      </c>
      <c r="B14721" s="11" t="n">
        <f aca="false">MOD(ROW()-9,24)</f>
        <v>0</v>
      </c>
      <c r="C14721" s="12"/>
      <c r="D14721" s="13" t="n">
        <f aca="false">IF(B14721&lt;5,Einstellungen!$B$3,Einstellungen!$B$4)</f>
        <v>15.92</v>
      </c>
      <c r="E14721" s="14" t="str">
        <f aca="false">IF(C14721="","",C14721*D14721/100)</f>
        <v/>
      </c>
      <c r="F14721" s="15" t="str">
        <f aca="false">IF(B14721&lt;5,"Go","Standard")</f>
        <v>Go</v>
      </c>
    </row>
    <row r="14722" customFormat="false" ht="15" hidden="false" customHeight="true" outlineLevel="0" collapsed="false">
      <c r="A14722" s="10" t="n">
        <f aca="false">Einstellungen!$B$5+INT((ROW()-9)/24)</f>
        <v>46579</v>
      </c>
      <c r="B14722" s="11" t="n">
        <f aca="false">MOD(ROW()-9,24)</f>
        <v>1</v>
      </c>
      <c r="C14722" s="12"/>
      <c r="D14722" s="13" t="n">
        <f aca="false">IF(B14722&lt;5,Einstellungen!$B$3,Einstellungen!$B$4)</f>
        <v>15.92</v>
      </c>
      <c r="E14722" s="14" t="str">
        <f aca="false">IF(C14722="","",C14722*D14722/100)</f>
        <v/>
      </c>
      <c r="F14722" s="15" t="str">
        <f aca="false">IF(B14722&lt;5,"Go","Standard")</f>
        <v>Go</v>
      </c>
    </row>
    <row r="14723" customFormat="false" ht="15" hidden="false" customHeight="true" outlineLevel="0" collapsed="false">
      <c r="A14723" s="10" t="n">
        <f aca="false">Einstellungen!$B$5+INT((ROW()-9)/24)</f>
        <v>46579</v>
      </c>
      <c r="B14723" s="11" t="n">
        <f aca="false">MOD(ROW()-9,24)</f>
        <v>2</v>
      </c>
      <c r="C14723" s="12"/>
      <c r="D14723" s="13" t="n">
        <f aca="false">IF(B14723&lt;5,Einstellungen!$B$3,Einstellungen!$B$4)</f>
        <v>15.92</v>
      </c>
      <c r="E14723" s="14" t="str">
        <f aca="false">IF(C14723="","",C14723*D14723/100)</f>
        <v/>
      </c>
      <c r="F14723" s="15" t="str">
        <f aca="false">IF(B14723&lt;5,"Go","Standard")</f>
        <v>Go</v>
      </c>
    </row>
    <row r="14724" customFormat="false" ht="15" hidden="false" customHeight="true" outlineLevel="0" collapsed="false">
      <c r="A14724" s="10" t="n">
        <f aca="false">Einstellungen!$B$5+INT((ROW()-9)/24)</f>
        <v>46579</v>
      </c>
      <c r="B14724" s="11" t="n">
        <f aca="false">MOD(ROW()-9,24)</f>
        <v>3</v>
      </c>
      <c r="C14724" s="12"/>
      <c r="D14724" s="13" t="n">
        <f aca="false">IF(B14724&lt;5,Einstellungen!$B$3,Einstellungen!$B$4)</f>
        <v>15.92</v>
      </c>
      <c r="E14724" s="14" t="str">
        <f aca="false">IF(C14724="","",C14724*D14724/100)</f>
        <v/>
      </c>
      <c r="F14724" s="15" t="str">
        <f aca="false">IF(B14724&lt;5,"Go","Standard")</f>
        <v>Go</v>
      </c>
    </row>
    <row r="14725" customFormat="false" ht="15" hidden="false" customHeight="true" outlineLevel="0" collapsed="false">
      <c r="A14725" s="10" t="n">
        <f aca="false">Einstellungen!$B$5+INT((ROW()-9)/24)</f>
        <v>46579</v>
      </c>
      <c r="B14725" s="11" t="n">
        <f aca="false">MOD(ROW()-9,24)</f>
        <v>4</v>
      </c>
      <c r="C14725" s="12"/>
      <c r="D14725" s="13" t="n">
        <f aca="false">IF(B14725&lt;5,Einstellungen!$B$3,Einstellungen!$B$4)</f>
        <v>15.92</v>
      </c>
      <c r="E14725" s="14" t="str">
        <f aca="false">IF(C14725="","",C14725*D14725/100)</f>
        <v/>
      </c>
      <c r="F14725" s="15" t="str">
        <f aca="false">IF(B14725&lt;5,"Go","Standard")</f>
        <v>Go</v>
      </c>
    </row>
    <row r="14726" customFormat="false" ht="15" hidden="false" customHeight="true" outlineLevel="0" collapsed="false">
      <c r="A14726" s="10" t="n">
        <f aca="false">Einstellungen!$B$5+INT((ROW()-9)/24)</f>
        <v>46579</v>
      </c>
      <c r="B14726" s="11" t="n">
        <f aca="false">MOD(ROW()-9,24)</f>
        <v>5</v>
      </c>
      <c r="C14726" s="12"/>
      <c r="D14726" s="13" t="n">
        <f aca="false">IF(B14726&lt;5,Einstellungen!$B$3,Einstellungen!$B$4)</f>
        <v>29.13</v>
      </c>
      <c r="E14726" s="14" t="str">
        <f aca="false">IF(C14726="","",C14726*D14726/100)</f>
        <v/>
      </c>
      <c r="F14726" s="15" t="str">
        <f aca="false">IF(B14726&lt;5,"Go","Standard")</f>
        <v>Standard</v>
      </c>
    </row>
    <row r="14727" customFormat="false" ht="15" hidden="false" customHeight="true" outlineLevel="0" collapsed="false">
      <c r="A14727" s="10" t="n">
        <f aca="false">Einstellungen!$B$5+INT((ROW()-9)/24)</f>
        <v>46579</v>
      </c>
      <c r="B14727" s="11" t="n">
        <f aca="false">MOD(ROW()-9,24)</f>
        <v>6</v>
      </c>
      <c r="C14727" s="12"/>
      <c r="D14727" s="13" t="n">
        <f aca="false">IF(B14727&lt;5,Einstellungen!$B$3,Einstellungen!$B$4)</f>
        <v>29.13</v>
      </c>
      <c r="E14727" s="14" t="str">
        <f aca="false">IF(C14727="","",C14727*D14727/100)</f>
        <v/>
      </c>
      <c r="F14727" s="15" t="str">
        <f aca="false">IF(B14727&lt;5,"Go","Standard")</f>
        <v>Standard</v>
      </c>
    </row>
    <row r="14728" customFormat="false" ht="15" hidden="false" customHeight="true" outlineLevel="0" collapsed="false">
      <c r="A14728" s="10" t="n">
        <f aca="false">Einstellungen!$B$5+INT((ROW()-9)/24)</f>
        <v>46579</v>
      </c>
      <c r="B14728" s="11" t="n">
        <f aca="false">MOD(ROW()-9,24)</f>
        <v>7</v>
      </c>
      <c r="C14728" s="12"/>
      <c r="D14728" s="13" t="n">
        <f aca="false">IF(B14728&lt;5,Einstellungen!$B$3,Einstellungen!$B$4)</f>
        <v>29.13</v>
      </c>
      <c r="E14728" s="14" t="str">
        <f aca="false">IF(C14728="","",C14728*D14728/100)</f>
        <v/>
      </c>
      <c r="F14728" s="15" t="str">
        <f aca="false">IF(B14728&lt;5,"Go","Standard")</f>
        <v>Standard</v>
      </c>
    </row>
    <row r="14729" customFormat="false" ht="15" hidden="false" customHeight="true" outlineLevel="0" collapsed="false">
      <c r="A14729" s="10" t="n">
        <f aca="false">Einstellungen!$B$5+INT((ROW()-9)/24)</f>
        <v>46579</v>
      </c>
      <c r="B14729" s="11" t="n">
        <f aca="false">MOD(ROW()-9,24)</f>
        <v>8</v>
      </c>
      <c r="C14729" s="12"/>
      <c r="D14729" s="13" t="n">
        <f aca="false">IF(B14729&lt;5,Einstellungen!$B$3,Einstellungen!$B$4)</f>
        <v>29.13</v>
      </c>
      <c r="E14729" s="14" t="str">
        <f aca="false">IF(C14729="","",C14729*D14729/100)</f>
        <v/>
      </c>
      <c r="F14729" s="15" t="str">
        <f aca="false">IF(B14729&lt;5,"Go","Standard")</f>
        <v>Standard</v>
      </c>
    </row>
    <row r="14730" customFormat="false" ht="15" hidden="false" customHeight="true" outlineLevel="0" collapsed="false">
      <c r="A14730" s="10" t="n">
        <f aca="false">Einstellungen!$B$5+INT((ROW()-9)/24)</f>
        <v>46579</v>
      </c>
      <c r="B14730" s="11" t="n">
        <f aca="false">MOD(ROW()-9,24)</f>
        <v>9</v>
      </c>
      <c r="C14730" s="12"/>
      <c r="D14730" s="13" t="n">
        <f aca="false">IF(B14730&lt;5,Einstellungen!$B$3,Einstellungen!$B$4)</f>
        <v>29.13</v>
      </c>
      <c r="E14730" s="14" t="str">
        <f aca="false">IF(C14730="","",C14730*D14730/100)</f>
        <v/>
      </c>
      <c r="F14730" s="15" t="str">
        <f aca="false">IF(B14730&lt;5,"Go","Standard")</f>
        <v>Standard</v>
      </c>
    </row>
    <row r="14731" customFormat="false" ht="15" hidden="false" customHeight="true" outlineLevel="0" collapsed="false">
      <c r="A14731" s="10" t="n">
        <f aca="false">Einstellungen!$B$5+INT((ROW()-9)/24)</f>
        <v>46579</v>
      </c>
      <c r="B14731" s="11" t="n">
        <f aca="false">MOD(ROW()-9,24)</f>
        <v>10</v>
      </c>
      <c r="C14731" s="12"/>
      <c r="D14731" s="13" t="n">
        <f aca="false">IF(B14731&lt;5,Einstellungen!$B$3,Einstellungen!$B$4)</f>
        <v>29.13</v>
      </c>
      <c r="E14731" s="14" t="str">
        <f aca="false">IF(C14731="","",C14731*D14731/100)</f>
        <v/>
      </c>
      <c r="F14731" s="15" t="str">
        <f aca="false">IF(B14731&lt;5,"Go","Standard")</f>
        <v>Standard</v>
      </c>
    </row>
    <row r="14732" customFormat="false" ht="15" hidden="false" customHeight="true" outlineLevel="0" collapsed="false">
      <c r="A14732" s="10" t="n">
        <f aca="false">Einstellungen!$B$5+INT((ROW()-9)/24)</f>
        <v>46579</v>
      </c>
      <c r="B14732" s="11" t="n">
        <f aca="false">MOD(ROW()-9,24)</f>
        <v>11</v>
      </c>
      <c r="C14732" s="12"/>
      <c r="D14732" s="13" t="n">
        <f aca="false">IF(B14732&lt;5,Einstellungen!$B$3,Einstellungen!$B$4)</f>
        <v>29.13</v>
      </c>
      <c r="E14732" s="14" t="str">
        <f aca="false">IF(C14732="","",C14732*D14732/100)</f>
        <v/>
      </c>
      <c r="F14732" s="15" t="str">
        <f aca="false">IF(B14732&lt;5,"Go","Standard")</f>
        <v>Standard</v>
      </c>
    </row>
    <row r="14733" customFormat="false" ht="15" hidden="false" customHeight="true" outlineLevel="0" collapsed="false">
      <c r="A14733" s="10" t="n">
        <f aca="false">Einstellungen!$B$5+INT((ROW()-9)/24)</f>
        <v>46579</v>
      </c>
      <c r="B14733" s="11" t="n">
        <f aca="false">MOD(ROW()-9,24)</f>
        <v>12</v>
      </c>
      <c r="C14733" s="12"/>
      <c r="D14733" s="13" t="n">
        <f aca="false">IF(B14733&lt;5,Einstellungen!$B$3,Einstellungen!$B$4)</f>
        <v>29.13</v>
      </c>
      <c r="E14733" s="14" t="str">
        <f aca="false">IF(C14733="","",C14733*D14733/100)</f>
        <v/>
      </c>
      <c r="F14733" s="15" t="str">
        <f aca="false">IF(B14733&lt;5,"Go","Standard")</f>
        <v>Standard</v>
      </c>
    </row>
    <row r="14734" customFormat="false" ht="15" hidden="false" customHeight="true" outlineLevel="0" collapsed="false">
      <c r="A14734" s="10" t="n">
        <f aca="false">Einstellungen!$B$5+INT((ROW()-9)/24)</f>
        <v>46579</v>
      </c>
      <c r="B14734" s="11" t="n">
        <f aca="false">MOD(ROW()-9,24)</f>
        <v>13</v>
      </c>
      <c r="C14734" s="12"/>
      <c r="D14734" s="13" t="n">
        <f aca="false">IF(B14734&lt;5,Einstellungen!$B$3,Einstellungen!$B$4)</f>
        <v>29.13</v>
      </c>
      <c r="E14734" s="14" t="str">
        <f aca="false">IF(C14734="","",C14734*D14734/100)</f>
        <v/>
      </c>
      <c r="F14734" s="15" t="str">
        <f aca="false">IF(B14734&lt;5,"Go","Standard")</f>
        <v>Standard</v>
      </c>
    </row>
    <row r="14735" customFormat="false" ht="15" hidden="false" customHeight="true" outlineLevel="0" collapsed="false">
      <c r="A14735" s="10" t="n">
        <f aca="false">Einstellungen!$B$5+INT((ROW()-9)/24)</f>
        <v>46579</v>
      </c>
      <c r="B14735" s="11" t="n">
        <f aca="false">MOD(ROW()-9,24)</f>
        <v>14</v>
      </c>
      <c r="C14735" s="12"/>
      <c r="D14735" s="13" t="n">
        <f aca="false">IF(B14735&lt;5,Einstellungen!$B$3,Einstellungen!$B$4)</f>
        <v>29.13</v>
      </c>
      <c r="E14735" s="14" t="str">
        <f aca="false">IF(C14735="","",C14735*D14735/100)</f>
        <v/>
      </c>
      <c r="F14735" s="15" t="str">
        <f aca="false">IF(B14735&lt;5,"Go","Standard")</f>
        <v>Standard</v>
      </c>
    </row>
    <row r="14736" customFormat="false" ht="15" hidden="false" customHeight="true" outlineLevel="0" collapsed="false">
      <c r="A14736" s="10" t="n">
        <f aca="false">Einstellungen!$B$5+INT((ROW()-9)/24)</f>
        <v>46579</v>
      </c>
      <c r="B14736" s="11" t="n">
        <f aca="false">MOD(ROW()-9,24)</f>
        <v>15</v>
      </c>
      <c r="C14736" s="12"/>
      <c r="D14736" s="13" t="n">
        <f aca="false">IF(B14736&lt;5,Einstellungen!$B$3,Einstellungen!$B$4)</f>
        <v>29.13</v>
      </c>
      <c r="E14736" s="14" t="str">
        <f aca="false">IF(C14736="","",C14736*D14736/100)</f>
        <v/>
      </c>
      <c r="F14736" s="15" t="str">
        <f aca="false">IF(B14736&lt;5,"Go","Standard")</f>
        <v>Standard</v>
      </c>
    </row>
    <row r="14737" customFormat="false" ht="15" hidden="false" customHeight="true" outlineLevel="0" collapsed="false">
      <c r="A14737" s="10" t="n">
        <f aca="false">Einstellungen!$B$5+INT((ROW()-9)/24)</f>
        <v>46579</v>
      </c>
      <c r="B14737" s="11" t="n">
        <f aca="false">MOD(ROW()-9,24)</f>
        <v>16</v>
      </c>
      <c r="C14737" s="12"/>
      <c r="D14737" s="13" t="n">
        <f aca="false">IF(B14737&lt;5,Einstellungen!$B$3,Einstellungen!$B$4)</f>
        <v>29.13</v>
      </c>
      <c r="E14737" s="14" t="str">
        <f aca="false">IF(C14737="","",C14737*D14737/100)</f>
        <v/>
      </c>
      <c r="F14737" s="15" t="str">
        <f aca="false">IF(B14737&lt;5,"Go","Standard")</f>
        <v>Standard</v>
      </c>
    </row>
    <row r="14738" customFormat="false" ht="15" hidden="false" customHeight="true" outlineLevel="0" collapsed="false">
      <c r="A14738" s="10" t="n">
        <f aca="false">Einstellungen!$B$5+INT((ROW()-9)/24)</f>
        <v>46579</v>
      </c>
      <c r="B14738" s="11" t="n">
        <f aca="false">MOD(ROW()-9,24)</f>
        <v>17</v>
      </c>
      <c r="C14738" s="12"/>
      <c r="D14738" s="13" t="n">
        <f aca="false">IF(B14738&lt;5,Einstellungen!$B$3,Einstellungen!$B$4)</f>
        <v>29.13</v>
      </c>
      <c r="E14738" s="14" t="str">
        <f aca="false">IF(C14738="","",C14738*D14738/100)</f>
        <v/>
      </c>
      <c r="F14738" s="15" t="str">
        <f aca="false">IF(B14738&lt;5,"Go","Standard")</f>
        <v>Standard</v>
      </c>
    </row>
    <row r="14739" customFormat="false" ht="15" hidden="false" customHeight="true" outlineLevel="0" collapsed="false">
      <c r="A14739" s="10" t="n">
        <f aca="false">Einstellungen!$B$5+INT((ROW()-9)/24)</f>
        <v>46579</v>
      </c>
      <c r="B14739" s="11" t="n">
        <f aca="false">MOD(ROW()-9,24)</f>
        <v>18</v>
      </c>
      <c r="C14739" s="12"/>
      <c r="D14739" s="13" t="n">
        <f aca="false">IF(B14739&lt;5,Einstellungen!$B$3,Einstellungen!$B$4)</f>
        <v>29.13</v>
      </c>
      <c r="E14739" s="14" t="str">
        <f aca="false">IF(C14739="","",C14739*D14739/100)</f>
        <v/>
      </c>
      <c r="F14739" s="15" t="str">
        <f aca="false">IF(B14739&lt;5,"Go","Standard")</f>
        <v>Standard</v>
      </c>
    </row>
    <row r="14740" customFormat="false" ht="15" hidden="false" customHeight="true" outlineLevel="0" collapsed="false">
      <c r="A14740" s="10" t="n">
        <f aca="false">Einstellungen!$B$5+INT((ROW()-9)/24)</f>
        <v>46579</v>
      </c>
      <c r="B14740" s="11" t="n">
        <f aca="false">MOD(ROW()-9,24)</f>
        <v>19</v>
      </c>
      <c r="C14740" s="12"/>
      <c r="D14740" s="13" t="n">
        <f aca="false">IF(B14740&lt;5,Einstellungen!$B$3,Einstellungen!$B$4)</f>
        <v>29.13</v>
      </c>
      <c r="E14740" s="14" t="str">
        <f aca="false">IF(C14740="","",C14740*D14740/100)</f>
        <v/>
      </c>
      <c r="F14740" s="15" t="str">
        <f aca="false">IF(B14740&lt;5,"Go","Standard")</f>
        <v>Standard</v>
      </c>
    </row>
    <row r="14741" customFormat="false" ht="15" hidden="false" customHeight="true" outlineLevel="0" collapsed="false">
      <c r="A14741" s="10" t="n">
        <f aca="false">Einstellungen!$B$5+INT((ROW()-9)/24)</f>
        <v>46579</v>
      </c>
      <c r="B14741" s="11" t="n">
        <f aca="false">MOD(ROW()-9,24)</f>
        <v>20</v>
      </c>
      <c r="C14741" s="12"/>
      <c r="D14741" s="13" t="n">
        <f aca="false">IF(B14741&lt;5,Einstellungen!$B$3,Einstellungen!$B$4)</f>
        <v>29.13</v>
      </c>
      <c r="E14741" s="14" t="str">
        <f aca="false">IF(C14741="","",C14741*D14741/100)</f>
        <v/>
      </c>
      <c r="F14741" s="15" t="str">
        <f aca="false">IF(B14741&lt;5,"Go","Standard")</f>
        <v>Standard</v>
      </c>
    </row>
    <row r="14742" customFormat="false" ht="15" hidden="false" customHeight="true" outlineLevel="0" collapsed="false">
      <c r="A14742" s="10" t="n">
        <f aca="false">Einstellungen!$B$5+INT((ROW()-9)/24)</f>
        <v>46579</v>
      </c>
      <c r="B14742" s="11" t="n">
        <f aca="false">MOD(ROW()-9,24)</f>
        <v>21</v>
      </c>
      <c r="C14742" s="12"/>
      <c r="D14742" s="13" t="n">
        <f aca="false">IF(B14742&lt;5,Einstellungen!$B$3,Einstellungen!$B$4)</f>
        <v>29.13</v>
      </c>
      <c r="E14742" s="14" t="str">
        <f aca="false">IF(C14742="","",C14742*D14742/100)</f>
        <v/>
      </c>
      <c r="F14742" s="15" t="str">
        <f aca="false">IF(B14742&lt;5,"Go","Standard")</f>
        <v>Standard</v>
      </c>
    </row>
    <row r="14743" customFormat="false" ht="15" hidden="false" customHeight="true" outlineLevel="0" collapsed="false">
      <c r="A14743" s="10" t="n">
        <f aca="false">Einstellungen!$B$5+INT((ROW()-9)/24)</f>
        <v>46579</v>
      </c>
      <c r="B14743" s="11" t="n">
        <f aca="false">MOD(ROW()-9,24)</f>
        <v>22</v>
      </c>
      <c r="C14743" s="12"/>
      <c r="D14743" s="13" t="n">
        <f aca="false">IF(B14743&lt;5,Einstellungen!$B$3,Einstellungen!$B$4)</f>
        <v>29.13</v>
      </c>
      <c r="E14743" s="14" t="str">
        <f aca="false">IF(C14743="","",C14743*D14743/100)</f>
        <v/>
      </c>
      <c r="F14743" s="15" t="str">
        <f aca="false">IF(B14743&lt;5,"Go","Standard")</f>
        <v>Standard</v>
      </c>
    </row>
    <row r="14744" customFormat="false" ht="15" hidden="false" customHeight="true" outlineLevel="0" collapsed="false">
      <c r="A14744" s="10" t="n">
        <f aca="false">Einstellungen!$B$5+INT((ROW()-9)/24)</f>
        <v>46579</v>
      </c>
      <c r="B14744" s="11" t="n">
        <f aca="false">MOD(ROW()-9,24)</f>
        <v>23</v>
      </c>
      <c r="C14744" s="12"/>
      <c r="D14744" s="13" t="n">
        <f aca="false">IF(B14744&lt;5,Einstellungen!$B$3,Einstellungen!$B$4)</f>
        <v>29.13</v>
      </c>
      <c r="E14744" s="14" t="str">
        <f aca="false">IF(C14744="","",C14744*D14744/100)</f>
        <v/>
      </c>
      <c r="F14744" s="15" t="str">
        <f aca="false">IF(B14744&lt;5,"Go","Standard")</f>
        <v>Standard</v>
      </c>
    </row>
    <row r="14745" customFormat="false" ht="15" hidden="false" customHeight="true" outlineLevel="0" collapsed="false">
      <c r="A14745" s="10" t="n">
        <f aca="false">Einstellungen!$B$5+INT((ROW()-9)/24)</f>
        <v>46580</v>
      </c>
      <c r="B14745" s="11" t="n">
        <f aca="false">MOD(ROW()-9,24)</f>
        <v>0</v>
      </c>
      <c r="C14745" s="12"/>
      <c r="D14745" s="13" t="n">
        <f aca="false">IF(B14745&lt;5,Einstellungen!$B$3,Einstellungen!$B$4)</f>
        <v>15.92</v>
      </c>
      <c r="E14745" s="14" t="str">
        <f aca="false">IF(C14745="","",C14745*D14745/100)</f>
        <v/>
      </c>
      <c r="F14745" s="15" t="str">
        <f aca="false">IF(B14745&lt;5,"Go","Standard")</f>
        <v>Go</v>
      </c>
    </row>
    <row r="14746" customFormat="false" ht="15" hidden="false" customHeight="true" outlineLevel="0" collapsed="false">
      <c r="A14746" s="10" t="n">
        <f aca="false">Einstellungen!$B$5+INT((ROW()-9)/24)</f>
        <v>46580</v>
      </c>
      <c r="B14746" s="11" t="n">
        <f aca="false">MOD(ROW()-9,24)</f>
        <v>1</v>
      </c>
      <c r="C14746" s="12"/>
      <c r="D14746" s="13" t="n">
        <f aca="false">IF(B14746&lt;5,Einstellungen!$B$3,Einstellungen!$B$4)</f>
        <v>15.92</v>
      </c>
      <c r="E14746" s="14" t="str">
        <f aca="false">IF(C14746="","",C14746*D14746/100)</f>
        <v/>
      </c>
      <c r="F14746" s="15" t="str">
        <f aca="false">IF(B14746&lt;5,"Go","Standard")</f>
        <v>Go</v>
      </c>
    </row>
    <row r="14747" customFormat="false" ht="15" hidden="false" customHeight="true" outlineLevel="0" collapsed="false">
      <c r="A14747" s="10" t="n">
        <f aca="false">Einstellungen!$B$5+INT((ROW()-9)/24)</f>
        <v>46580</v>
      </c>
      <c r="B14747" s="11" t="n">
        <f aca="false">MOD(ROW()-9,24)</f>
        <v>2</v>
      </c>
      <c r="C14747" s="12"/>
      <c r="D14747" s="13" t="n">
        <f aca="false">IF(B14747&lt;5,Einstellungen!$B$3,Einstellungen!$B$4)</f>
        <v>15.92</v>
      </c>
      <c r="E14747" s="14" t="str">
        <f aca="false">IF(C14747="","",C14747*D14747/100)</f>
        <v/>
      </c>
      <c r="F14747" s="15" t="str">
        <f aca="false">IF(B14747&lt;5,"Go","Standard")</f>
        <v>Go</v>
      </c>
    </row>
    <row r="14748" customFormat="false" ht="15" hidden="false" customHeight="true" outlineLevel="0" collapsed="false">
      <c r="A14748" s="10" t="n">
        <f aca="false">Einstellungen!$B$5+INT((ROW()-9)/24)</f>
        <v>46580</v>
      </c>
      <c r="B14748" s="11" t="n">
        <f aca="false">MOD(ROW()-9,24)</f>
        <v>3</v>
      </c>
      <c r="C14748" s="12"/>
      <c r="D14748" s="13" t="n">
        <f aca="false">IF(B14748&lt;5,Einstellungen!$B$3,Einstellungen!$B$4)</f>
        <v>15.92</v>
      </c>
      <c r="E14748" s="14" t="str">
        <f aca="false">IF(C14748="","",C14748*D14748/100)</f>
        <v/>
      </c>
      <c r="F14748" s="15" t="str">
        <f aca="false">IF(B14748&lt;5,"Go","Standard")</f>
        <v>Go</v>
      </c>
    </row>
    <row r="14749" customFormat="false" ht="15" hidden="false" customHeight="true" outlineLevel="0" collapsed="false">
      <c r="A14749" s="10" t="n">
        <f aca="false">Einstellungen!$B$5+INT((ROW()-9)/24)</f>
        <v>46580</v>
      </c>
      <c r="B14749" s="11" t="n">
        <f aca="false">MOD(ROW()-9,24)</f>
        <v>4</v>
      </c>
      <c r="C14749" s="12"/>
      <c r="D14749" s="13" t="n">
        <f aca="false">IF(B14749&lt;5,Einstellungen!$B$3,Einstellungen!$B$4)</f>
        <v>15.92</v>
      </c>
      <c r="E14749" s="14" t="str">
        <f aca="false">IF(C14749="","",C14749*D14749/100)</f>
        <v/>
      </c>
      <c r="F14749" s="15" t="str">
        <f aca="false">IF(B14749&lt;5,"Go","Standard")</f>
        <v>Go</v>
      </c>
    </row>
    <row r="14750" customFormat="false" ht="15" hidden="false" customHeight="true" outlineLevel="0" collapsed="false">
      <c r="A14750" s="10" t="n">
        <f aca="false">Einstellungen!$B$5+INT((ROW()-9)/24)</f>
        <v>46580</v>
      </c>
      <c r="B14750" s="11" t="n">
        <f aca="false">MOD(ROW()-9,24)</f>
        <v>5</v>
      </c>
      <c r="C14750" s="12"/>
      <c r="D14750" s="13" t="n">
        <f aca="false">IF(B14750&lt;5,Einstellungen!$B$3,Einstellungen!$B$4)</f>
        <v>29.13</v>
      </c>
      <c r="E14750" s="14" t="str">
        <f aca="false">IF(C14750="","",C14750*D14750/100)</f>
        <v/>
      </c>
      <c r="F14750" s="15" t="str">
        <f aca="false">IF(B14750&lt;5,"Go","Standard")</f>
        <v>Standard</v>
      </c>
    </row>
    <row r="14751" customFormat="false" ht="15" hidden="false" customHeight="true" outlineLevel="0" collapsed="false">
      <c r="A14751" s="10" t="n">
        <f aca="false">Einstellungen!$B$5+INT((ROW()-9)/24)</f>
        <v>46580</v>
      </c>
      <c r="B14751" s="11" t="n">
        <f aca="false">MOD(ROW()-9,24)</f>
        <v>6</v>
      </c>
      <c r="C14751" s="12"/>
      <c r="D14751" s="13" t="n">
        <f aca="false">IF(B14751&lt;5,Einstellungen!$B$3,Einstellungen!$B$4)</f>
        <v>29.13</v>
      </c>
      <c r="E14751" s="14" t="str">
        <f aca="false">IF(C14751="","",C14751*D14751/100)</f>
        <v/>
      </c>
      <c r="F14751" s="15" t="str">
        <f aca="false">IF(B14751&lt;5,"Go","Standard")</f>
        <v>Standard</v>
      </c>
    </row>
    <row r="14752" customFormat="false" ht="15" hidden="false" customHeight="true" outlineLevel="0" collapsed="false">
      <c r="A14752" s="10" t="n">
        <f aca="false">Einstellungen!$B$5+INT((ROW()-9)/24)</f>
        <v>46580</v>
      </c>
      <c r="B14752" s="11" t="n">
        <f aca="false">MOD(ROW()-9,24)</f>
        <v>7</v>
      </c>
      <c r="C14752" s="12"/>
      <c r="D14752" s="13" t="n">
        <f aca="false">IF(B14752&lt;5,Einstellungen!$B$3,Einstellungen!$B$4)</f>
        <v>29.13</v>
      </c>
      <c r="E14752" s="14" t="str">
        <f aca="false">IF(C14752="","",C14752*D14752/100)</f>
        <v/>
      </c>
      <c r="F14752" s="15" t="str">
        <f aca="false">IF(B14752&lt;5,"Go","Standard")</f>
        <v>Standard</v>
      </c>
    </row>
    <row r="14753" customFormat="false" ht="15" hidden="false" customHeight="true" outlineLevel="0" collapsed="false">
      <c r="A14753" s="10" t="n">
        <f aca="false">Einstellungen!$B$5+INT((ROW()-9)/24)</f>
        <v>46580</v>
      </c>
      <c r="B14753" s="11" t="n">
        <f aca="false">MOD(ROW()-9,24)</f>
        <v>8</v>
      </c>
      <c r="C14753" s="12"/>
      <c r="D14753" s="13" t="n">
        <f aca="false">IF(B14753&lt;5,Einstellungen!$B$3,Einstellungen!$B$4)</f>
        <v>29.13</v>
      </c>
      <c r="E14753" s="14" t="str">
        <f aca="false">IF(C14753="","",C14753*D14753/100)</f>
        <v/>
      </c>
      <c r="F14753" s="15" t="str">
        <f aca="false">IF(B14753&lt;5,"Go","Standard")</f>
        <v>Standard</v>
      </c>
    </row>
    <row r="14754" customFormat="false" ht="15" hidden="false" customHeight="true" outlineLevel="0" collapsed="false">
      <c r="A14754" s="10" t="n">
        <f aca="false">Einstellungen!$B$5+INT((ROW()-9)/24)</f>
        <v>46580</v>
      </c>
      <c r="B14754" s="11" t="n">
        <f aca="false">MOD(ROW()-9,24)</f>
        <v>9</v>
      </c>
      <c r="C14754" s="12"/>
      <c r="D14754" s="13" t="n">
        <f aca="false">IF(B14754&lt;5,Einstellungen!$B$3,Einstellungen!$B$4)</f>
        <v>29.13</v>
      </c>
      <c r="E14754" s="14" t="str">
        <f aca="false">IF(C14754="","",C14754*D14754/100)</f>
        <v/>
      </c>
      <c r="F14754" s="15" t="str">
        <f aca="false">IF(B14754&lt;5,"Go","Standard")</f>
        <v>Standard</v>
      </c>
    </row>
    <row r="14755" customFormat="false" ht="15" hidden="false" customHeight="true" outlineLevel="0" collapsed="false">
      <c r="A14755" s="10" t="n">
        <f aca="false">Einstellungen!$B$5+INT((ROW()-9)/24)</f>
        <v>46580</v>
      </c>
      <c r="B14755" s="11" t="n">
        <f aca="false">MOD(ROW()-9,24)</f>
        <v>10</v>
      </c>
      <c r="C14755" s="12"/>
      <c r="D14755" s="13" t="n">
        <f aca="false">IF(B14755&lt;5,Einstellungen!$B$3,Einstellungen!$B$4)</f>
        <v>29.13</v>
      </c>
      <c r="E14755" s="14" t="str">
        <f aca="false">IF(C14755="","",C14755*D14755/100)</f>
        <v/>
      </c>
      <c r="F14755" s="15" t="str">
        <f aca="false">IF(B14755&lt;5,"Go","Standard")</f>
        <v>Standard</v>
      </c>
    </row>
    <row r="14756" customFormat="false" ht="15" hidden="false" customHeight="true" outlineLevel="0" collapsed="false">
      <c r="A14756" s="10" t="n">
        <f aca="false">Einstellungen!$B$5+INT((ROW()-9)/24)</f>
        <v>46580</v>
      </c>
      <c r="B14756" s="11" t="n">
        <f aca="false">MOD(ROW()-9,24)</f>
        <v>11</v>
      </c>
      <c r="C14756" s="12"/>
      <c r="D14756" s="13" t="n">
        <f aca="false">IF(B14756&lt;5,Einstellungen!$B$3,Einstellungen!$B$4)</f>
        <v>29.13</v>
      </c>
      <c r="E14756" s="14" t="str">
        <f aca="false">IF(C14756="","",C14756*D14756/100)</f>
        <v/>
      </c>
      <c r="F14756" s="15" t="str">
        <f aca="false">IF(B14756&lt;5,"Go","Standard")</f>
        <v>Standard</v>
      </c>
    </row>
    <row r="14757" customFormat="false" ht="15" hidden="false" customHeight="true" outlineLevel="0" collapsed="false">
      <c r="A14757" s="10" t="n">
        <f aca="false">Einstellungen!$B$5+INT((ROW()-9)/24)</f>
        <v>46580</v>
      </c>
      <c r="B14757" s="11" t="n">
        <f aca="false">MOD(ROW()-9,24)</f>
        <v>12</v>
      </c>
      <c r="C14757" s="12"/>
      <c r="D14757" s="13" t="n">
        <f aca="false">IF(B14757&lt;5,Einstellungen!$B$3,Einstellungen!$B$4)</f>
        <v>29.13</v>
      </c>
      <c r="E14757" s="14" t="str">
        <f aca="false">IF(C14757="","",C14757*D14757/100)</f>
        <v/>
      </c>
      <c r="F14757" s="15" t="str">
        <f aca="false">IF(B14757&lt;5,"Go","Standard")</f>
        <v>Standard</v>
      </c>
    </row>
    <row r="14758" customFormat="false" ht="15" hidden="false" customHeight="true" outlineLevel="0" collapsed="false">
      <c r="A14758" s="10" t="n">
        <f aca="false">Einstellungen!$B$5+INT((ROW()-9)/24)</f>
        <v>46580</v>
      </c>
      <c r="B14758" s="11" t="n">
        <f aca="false">MOD(ROW()-9,24)</f>
        <v>13</v>
      </c>
      <c r="C14758" s="12"/>
      <c r="D14758" s="13" t="n">
        <f aca="false">IF(B14758&lt;5,Einstellungen!$B$3,Einstellungen!$B$4)</f>
        <v>29.13</v>
      </c>
      <c r="E14758" s="14" t="str">
        <f aca="false">IF(C14758="","",C14758*D14758/100)</f>
        <v/>
      </c>
      <c r="F14758" s="15" t="str">
        <f aca="false">IF(B14758&lt;5,"Go","Standard")</f>
        <v>Standard</v>
      </c>
    </row>
    <row r="14759" customFormat="false" ht="15" hidden="false" customHeight="true" outlineLevel="0" collapsed="false">
      <c r="A14759" s="10" t="n">
        <f aca="false">Einstellungen!$B$5+INT((ROW()-9)/24)</f>
        <v>46580</v>
      </c>
      <c r="B14759" s="11" t="n">
        <f aca="false">MOD(ROW()-9,24)</f>
        <v>14</v>
      </c>
      <c r="C14759" s="12"/>
      <c r="D14759" s="13" t="n">
        <f aca="false">IF(B14759&lt;5,Einstellungen!$B$3,Einstellungen!$B$4)</f>
        <v>29.13</v>
      </c>
      <c r="E14759" s="14" t="str">
        <f aca="false">IF(C14759="","",C14759*D14759/100)</f>
        <v/>
      </c>
      <c r="F14759" s="15" t="str">
        <f aca="false">IF(B14759&lt;5,"Go","Standard")</f>
        <v>Standard</v>
      </c>
    </row>
    <row r="14760" customFormat="false" ht="15" hidden="false" customHeight="true" outlineLevel="0" collapsed="false">
      <c r="A14760" s="10" t="n">
        <f aca="false">Einstellungen!$B$5+INT((ROW()-9)/24)</f>
        <v>46580</v>
      </c>
      <c r="B14760" s="11" t="n">
        <f aca="false">MOD(ROW()-9,24)</f>
        <v>15</v>
      </c>
      <c r="C14760" s="12"/>
      <c r="D14760" s="13" t="n">
        <f aca="false">IF(B14760&lt;5,Einstellungen!$B$3,Einstellungen!$B$4)</f>
        <v>29.13</v>
      </c>
      <c r="E14760" s="14" t="str">
        <f aca="false">IF(C14760="","",C14760*D14760/100)</f>
        <v/>
      </c>
      <c r="F14760" s="15" t="str">
        <f aca="false">IF(B14760&lt;5,"Go","Standard")</f>
        <v>Standard</v>
      </c>
    </row>
    <row r="14761" customFormat="false" ht="15" hidden="false" customHeight="true" outlineLevel="0" collapsed="false">
      <c r="A14761" s="10" t="n">
        <f aca="false">Einstellungen!$B$5+INT((ROW()-9)/24)</f>
        <v>46580</v>
      </c>
      <c r="B14761" s="11" t="n">
        <f aca="false">MOD(ROW()-9,24)</f>
        <v>16</v>
      </c>
      <c r="C14761" s="12"/>
      <c r="D14761" s="13" t="n">
        <f aca="false">IF(B14761&lt;5,Einstellungen!$B$3,Einstellungen!$B$4)</f>
        <v>29.13</v>
      </c>
      <c r="E14761" s="14" t="str">
        <f aca="false">IF(C14761="","",C14761*D14761/100)</f>
        <v/>
      </c>
      <c r="F14761" s="15" t="str">
        <f aca="false">IF(B14761&lt;5,"Go","Standard")</f>
        <v>Standard</v>
      </c>
    </row>
    <row r="14762" customFormat="false" ht="15" hidden="false" customHeight="true" outlineLevel="0" collapsed="false">
      <c r="A14762" s="10" t="n">
        <f aca="false">Einstellungen!$B$5+INT((ROW()-9)/24)</f>
        <v>46580</v>
      </c>
      <c r="B14762" s="11" t="n">
        <f aca="false">MOD(ROW()-9,24)</f>
        <v>17</v>
      </c>
      <c r="C14762" s="12"/>
      <c r="D14762" s="13" t="n">
        <f aca="false">IF(B14762&lt;5,Einstellungen!$B$3,Einstellungen!$B$4)</f>
        <v>29.13</v>
      </c>
      <c r="E14762" s="14" t="str">
        <f aca="false">IF(C14762="","",C14762*D14762/100)</f>
        <v/>
      </c>
      <c r="F14762" s="15" t="str">
        <f aca="false">IF(B14762&lt;5,"Go","Standard")</f>
        <v>Standard</v>
      </c>
    </row>
    <row r="14763" customFormat="false" ht="15" hidden="false" customHeight="true" outlineLevel="0" collapsed="false">
      <c r="A14763" s="10" t="n">
        <f aca="false">Einstellungen!$B$5+INT((ROW()-9)/24)</f>
        <v>46580</v>
      </c>
      <c r="B14763" s="11" t="n">
        <f aca="false">MOD(ROW()-9,24)</f>
        <v>18</v>
      </c>
      <c r="C14763" s="12"/>
      <c r="D14763" s="13" t="n">
        <f aca="false">IF(B14763&lt;5,Einstellungen!$B$3,Einstellungen!$B$4)</f>
        <v>29.13</v>
      </c>
      <c r="E14763" s="14" t="str">
        <f aca="false">IF(C14763="","",C14763*D14763/100)</f>
        <v/>
      </c>
      <c r="F14763" s="15" t="str">
        <f aca="false">IF(B14763&lt;5,"Go","Standard")</f>
        <v>Standard</v>
      </c>
    </row>
    <row r="14764" customFormat="false" ht="15" hidden="false" customHeight="true" outlineLevel="0" collapsed="false">
      <c r="A14764" s="10" t="n">
        <f aca="false">Einstellungen!$B$5+INT((ROW()-9)/24)</f>
        <v>46580</v>
      </c>
      <c r="B14764" s="11" t="n">
        <f aca="false">MOD(ROW()-9,24)</f>
        <v>19</v>
      </c>
      <c r="C14764" s="12"/>
      <c r="D14764" s="13" t="n">
        <f aca="false">IF(B14764&lt;5,Einstellungen!$B$3,Einstellungen!$B$4)</f>
        <v>29.13</v>
      </c>
      <c r="E14764" s="14" t="str">
        <f aca="false">IF(C14764="","",C14764*D14764/100)</f>
        <v/>
      </c>
      <c r="F14764" s="15" t="str">
        <f aca="false">IF(B14764&lt;5,"Go","Standard")</f>
        <v>Standard</v>
      </c>
    </row>
    <row r="14765" customFormat="false" ht="15" hidden="false" customHeight="true" outlineLevel="0" collapsed="false">
      <c r="A14765" s="10" t="n">
        <f aca="false">Einstellungen!$B$5+INT((ROW()-9)/24)</f>
        <v>46580</v>
      </c>
      <c r="B14765" s="11" t="n">
        <f aca="false">MOD(ROW()-9,24)</f>
        <v>20</v>
      </c>
      <c r="C14765" s="12"/>
      <c r="D14765" s="13" t="n">
        <f aca="false">IF(B14765&lt;5,Einstellungen!$B$3,Einstellungen!$B$4)</f>
        <v>29.13</v>
      </c>
      <c r="E14765" s="14" t="str">
        <f aca="false">IF(C14765="","",C14765*D14765/100)</f>
        <v/>
      </c>
      <c r="F14765" s="15" t="str">
        <f aca="false">IF(B14765&lt;5,"Go","Standard")</f>
        <v>Standard</v>
      </c>
    </row>
    <row r="14766" customFormat="false" ht="15" hidden="false" customHeight="true" outlineLevel="0" collapsed="false">
      <c r="A14766" s="10" t="n">
        <f aca="false">Einstellungen!$B$5+INT((ROW()-9)/24)</f>
        <v>46580</v>
      </c>
      <c r="B14766" s="11" t="n">
        <f aca="false">MOD(ROW()-9,24)</f>
        <v>21</v>
      </c>
      <c r="C14766" s="12"/>
      <c r="D14766" s="13" t="n">
        <f aca="false">IF(B14766&lt;5,Einstellungen!$B$3,Einstellungen!$B$4)</f>
        <v>29.13</v>
      </c>
      <c r="E14766" s="14" t="str">
        <f aca="false">IF(C14766="","",C14766*D14766/100)</f>
        <v/>
      </c>
      <c r="F14766" s="15" t="str">
        <f aca="false">IF(B14766&lt;5,"Go","Standard")</f>
        <v>Standard</v>
      </c>
    </row>
    <row r="14767" customFormat="false" ht="15" hidden="false" customHeight="true" outlineLevel="0" collapsed="false">
      <c r="A14767" s="10" t="n">
        <f aca="false">Einstellungen!$B$5+INT((ROW()-9)/24)</f>
        <v>46580</v>
      </c>
      <c r="B14767" s="11" t="n">
        <f aca="false">MOD(ROW()-9,24)</f>
        <v>22</v>
      </c>
      <c r="C14767" s="12"/>
      <c r="D14767" s="13" t="n">
        <f aca="false">IF(B14767&lt;5,Einstellungen!$B$3,Einstellungen!$B$4)</f>
        <v>29.13</v>
      </c>
      <c r="E14767" s="14" t="str">
        <f aca="false">IF(C14767="","",C14767*D14767/100)</f>
        <v/>
      </c>
      <c r="F14767" s="15" t="str">
        <f aca="false">IF(B14767&lt;5,"Go","Standard")</f>
        <v>Standard</v>
      </c>
    </row>
    <row r="14768" customFormat="false" ht="15" hidden="false" customHeight="true" outlineLevel="0" collapsed="false">
      <c r="A14768" s="10" t="n">
        <f aca="false">Einstellungen!$B$5+INT((ROW()-9)/24)</f>
        <v>46580</v>
      </c>
      <c r="B14768" s="11" t="n">
        <f aca="false">MOD(ROW()-9,24)</f>
        <v>23</v>
      </c>
      <c r="C14768" s="12"/>
      <c r="D14768" s="13" t="n">
        <f aca="false">IF(B14768&lt;5,Einstellungen!$B$3,Einstellungen!$B$4)</f>
        <v>29.13</v>
      </c>
      <c r="E14768" s="14" t="str">
        <f aca="false">IF(C14768="","",C14768*D14768/100)</f>
        <v/>
      </c>
      <c r="F14768" s="15" t="str">
        <f aca="false">IF(B14768&lt;5,"Go","Standard")</f>
        <v>Standard</v>
      </c>
    </row>
    <row r="14769" customFormat="false" ht="15" hidden="false" customHeight="true" outlineLevel="0" collapsed="false">
      <c r="A14769" s="10" t="n">
        <f aca="false">Einstellungen!$B$5+INT((ROW()-9)/24)</f>
        <v>46581</v>
      </c>
      <c r="B14769" s="11" t="n">
        <f aca="false">MOD(ROW()-9,24)</f>
        <v>0</v>
      </c>
      <c r="C14769" s="12"/>
      <c r="D14769" s="13" t="n">
        <f aca="false">IF(B14769&lt;5,Einstellungen!$B$3,Einstellungen!$B$4)</f>
        <v>15.92</v>
      </c>
      <c r="E14769" s="14" t="str">
        <f aca="false">IF(C14769="","",C14769*D14769/100)</f>
        <v/>
      </c>
      <c r="F14769" s="15" t="str">
        <f aca="false">IF(B14769&lt;5,"Go","Standard")</f>
        <v>Go</v>
      </c>
    </row>
    <row r="14770" customFormat="false" ht="15" hidden="false" customHeight="true" outlineLevel="0" collapsed="false">
      <c r="A14770" s="10" t="n">
        <f aca="false">Einstellungen!$B$5+INT((ROW()-9)/24)</f>
        <v>46581</v>
      </c>
      <c r="B14770" s="11" t="n">
        <f aca="false">MOD(ROW()-9,24)</f>
        <v>1</v>
      </c>
      <c r="C14770" s="12"/>
      <c r="D14770" s="13" t="n">
        <f aca="false">IF(B14770&lt;5,Einstellungen!$B$3,Einstellungen!$B$4)</f>
        <v>15.92</v>
      </c>
      <c r="E14770" s="14" t="str">
        <f aca="false">IF(C14770="","",C14770*D14770/100)</f>
        <v/>
      </c>
      <c r="F14770" s="15" t="str">
        <f aca="false">IF(B14770&lt;5,"Go","Standard")</f>
        <v>Go</v>
      </c>
    </row>
    <row r="14771" customFormat="false" ht="15" hidden="false" customHeight="true" outlineLevel="0" collapsed="false">
      <c r="A14771" s="10" t="n">
        <f aca="false">Einstellungen!$B$5+INT((ROW()-9)/24)</f>
        <v>46581</v>
      </c>
      <c r="B14771" s="11" t="n">
        <f aca="false">MOD(ROW()-9,24)</f>
        <v>2</v>
      </c>
      <c r="C14771" s="12"/>
      <c r="D14771" s="13" t="n">
        <f aca="false">IF(B14771&lt;5,Einstellungen!$B$3,Einstellungen!$B$4)</f>
        <v>15.92</v>
      </c>
      <c r="E14771" s="14" t="str">
        <f aca="false">IF(C14771="","",C14771*D14771/100)</f>
        <v/>
      </c>
      <c r="F14771" s="15" t="str">
        <f aca="false">IF(B14771&lt;5,"Go","Standard")</f>
        <v>Go</v>
      </c>
    </row>
    <row r="14772" customFormat="false" ht="15" hidden="false" customHeight="true" outlineLevel="0" collapsed="false">
      <c r="A14772" s="10" t="n">
        <f aca="false">Einstellungen!$B$5+INT((ROW()-9)/24)</f>
        <v>46581</v>
      </c>
      <c r="B14772" s="11" t="n">
        <f aca="false">MOD(ROW()-9,24)</f>
        <v>3</v>
      </c>
      <c r="C14772" s="12"/>
      <c r="D14772" s="13" t="n">
        <f aca="false">IF(B14772&lt;5,Einstellungen!$B$3,Einstellungen!$B$4)</f>
        <v>15.92</v>
      </c>
      <c r="E14772" s="14" t="str">
        <f aca="false">IF(C14772="","",C14772*D14772/100)</f>
        <v/>
      </c>
      <c r="F14772" s="15" t="str">
        <f aca="false">IF(B14772&lt;5,"Go","Standard")</f>
        <v>Go</v>
      </c>
    </row>
    <row r="14773" customFormat="false" ht="15" hidden="false" customHeight="true" outlineLevel="0" collapsed="false">
      <c r="A14773" s="10" t="n">
        <f aca="false">Einstellungen!$B$5+INT((ROW()-9)/24)</f>
        <v>46581</v>
      </c>
      <c r="B14773" s="11" t="n">
        <f aca="false">MOD(ROW()-9,24)</f>
        <v>4</v>
      </c>
      <c r="C14773" s="12"/>
      <c r="D14773" s="13" t="n">
        <f aca="false">IF(B14773&lt;5,Einstellungen!$B$3,Einstellungen!$B$4)</f>
        <v>15.92</v>
      </c>
      <c r="E14773" s="14" t="str">
        <f aca="false">IF(C14773="","",C14773*D14773/100)</f>
        <v/>
      </c>
      <c r="F14773" s="15" t="str">
        <f aca="false">IF(B14773&lt;5,"Go","Standard")</f>
        <v>Go</v>
      </c>
    </row>
    <row r="14774" customFormat="false" ht="15" hidden="false" customHeight="true" outlineLevel="0" collapsed="false">
      <c r="A14774" s="10" t="n">
        <f aca="false">Einstellungen!$B$5+INT((ROW()-9)/24)</f>
        <v>46581</v>
      </c>
      <c r="B14774" s="11" t="n">
        <f aca="false">MOD(ROW()-9,24)</f>
        <v>5</v>
      </c>
      <c r="C14774" s="12"/>
      <c r="D14774" s="13" t="n">
        <f aca="false">IF(B14774&lt;5,Einstellungen!$B$3,Einstellungen!$B$4)</f>
        <v>29.13</v>
      </c>
      <c r="E14774" s="14" t="str">
        <f aca="false">IF(C14774="","",C14774*D14774/100)</f>
        <v/>
      </c>
      <c r="F14774" s="15" t="str">
        <f aca="false">IF(B14774&lt;5,"Go","Standard")</f>
        <v>Standard</v>
      </c>
    </row>
    <row r="14775" customFormat="false" ht="15" hidden="false" customHeight="true" outlineLevel="0" collapsed="false">
      <c r="A14775" s="10" t="n">
        <f aca="false">Einstellungen!$B$5+INT((ROW()-9)/24)</f>
        <v>46581</v>
      </c>
      <c r="B14775" s="11" t="n">
        <f aca="false">MOD(ROW()-9,24)</f>
        <v>6</v>
      </c>
      <c r="C14775" s="12"/>
      <c r="D14775" s="13" t="n">
        <f aca="false">IF(B14775&lt;5,Einstellungen!$B$3,Einstellungen!$B$4)</f>
        <v>29.13</v>
      </c>
      <c r="E14775" s="14" t="str">
        <f aca="false">IF(C14775="","",C14775*D14775/100)</f>
        <v/>
      </c>
      <c r="F14775" s="15" t="str">
        <f aca="false">IF(B14775&lt;5,"Go","Standard")</f>
        <v>Standard</v>
      </c>
    </row>
    <row r="14776" customFormat="false" ht="15" hidden="false" customHeight="true" outlineLevel="0" collapsed="false">
      <c r="A14776" s="10" t="n">
        <f aca="false">Einstellungen!$B$5+INT((ROW()-9)/24)</f>
        <v>46581</v>
      </c>
      <c r="B14776" s="11" t="n">
        <f aca="false">MOD(ROW()-9,24)</f>
        <v>7</v>
      </c>
      <c r="C14776" s="12"/>
      <c r="D14776" s="13" t="n">
        <f aca="false">IF(B14776&lt;5,Einstellungen!$B$3,Einstellungen!$B$4)</f>
        <v>29.13</v>
      </c>
      <c r="E14776" s="14" t="str">
        <f aca="false">IF(C14776="","",C14776*D14776/100)</f>
        <v/>
      </c>
      <c r="F14776" s="15" t="str">
        <f aca="false">IF(B14776&lt;5,"Go","Standard")</f>
        <v>Standard</v>
      </c>
    </row>
    <row r="14777" customFormat="false" ht="15" hidden="false" customHeight="true" outlineLevel="0" collapsed="false">
      <c r="A14777" s="10" t="n">
        <f aca="false">Einstellungen!$B$5+INT((ROW()-9)/24)</f>
        <v>46581</v>
      </c>
      <c r="B14777" s="11" t="n">
        <f aca="false">MOD(ROW()-9,24)</f>
        <v>8</v>
      </c>
      <c r="C14777" s="12"/>
      <c r="D14777" s="13" t="n">
        <f aca="false">IF(B14777&lt;5,Einstellungen!$B$3,Einstellungen!$B$4)</f>
        <v>29.13</v>
      </c>
      <c r="E14777" s="14" t="str">
        <f aca="false">IF(C14777="","",C14777*D14777/100)</f>
        <v/>
      </c>
      <c r="F14777" s="15" t="str">
        <f aca="false">IF(B14777&lt;5,"Go","Standard")</f>
        <v>Standard</v>
      </c>
    </row>
    <row r="14778" customFormat="false" ht="15" hidden="false" customHeight="true" outlineLevel="0" collapsed="false">
      <c r="A14778" s="10" t="n">
        <f aca="false">Einstellungen!$B$5+INT((ROW()-9)/24)</f>
        <v>46581</v>
      </c>
      <c r="B14778" s="11" t="n">
        <f aca="false">MOD(ROW()-9,24)</f>
        <v>9</v>
      </c>
      <c r="C14778" s="12"/>
      <c r="D14778" s="13" t="n">
        <f aca="false">IF(B14778&lt;5,Einstellungen!$B$3,Einstellungen!$B$4)</f>
        <v>29.13</v>
      </c>
      <c r="E14778" s="14" t="str">
        <f aca="false">IF(C14778="","",C14778*D14778/100)</f>
        <v/>
      </c>
      <c r="F14778" s="15" t="str">
        <f aca="false">IF(B14778&lt;5,"Go","Standard")</f>
        <v>Standard</v>
      </c>
    </row>
    <row r="14779" customFormat="false" ht="15" hidden="false" customHeight="true" outlineLevel="0" collapsed="false">
      <c r="A14779" s="10" t="n">
        <f aca="false">Einstellungen!$B$5+INT((ROW()-9)/24)</f>
        <v>46581</v>
      </c>
      <c r="B14779" s="11" t="n">
        <f aca="false">MOD(ROW()-9,24)</f>
        <v>10</v>
      </c>
      <c r="C14779" s="12"/>
      <c r="D14779" s="13" t="n">
        <f aca="false">IF(B14779&lt;5,Einstellungen!$B$3,Einstellungen!$B$4)</f>
        <v>29.13</v>
      </c>
      <c r="E14779" s="14" t="str">
        <f aca="false">IF(C14779="","",C14779*D14779/100)</f>
        <v/>
      </c>
      <c r="F14779" s="15" t="str">
        <f aca="false">IF(B14779&lt;5,"Go","Standard")</f>
        <v>Standard</v>
      </c>
    </row>
    <row r="14780" customFormat="false" ht="15" hidden="false" customHeight="true" outlineLevel="0" collapsed="false">
      <c r="A14780" s="10" t="n">
        <f aca="false">Einstellungen!$B$5+INT((ROW()-9)/24)</f>
        <v>46581</v>
      </c>
      <c r="B14780" s="11" t="n">
        <f aca="false">MOD(ROW()-9,24)</f>
        <v>11</v>
      </c>
      <c r="C14780" s="12"/>
      <c r="D14780" s="13" t="n">
        <f aca="false">IF(B14780&lt;5,Einstellungen!$B$3,Einstellungen!$B$4)</f>
        <v>29.13</v>
      </c>
      <c r="E14780" s="14" t="str">
        <f aca="false">IF(C14780="","",C14780*D14780/100)</f>
        <v/>
      </c>
      <c r="F14780" s="15" t="str">
        <f aca="false">IF(B14780&lt;5,"Go","Standard")</f>
        <v>Standard</v>
      </c>
    </row>
    <row r="14781" customFormat="false" ht="15" hidden="false" customHeight="true" outlineLevel="0" collapsed="false">
      <c r="A14781" s="10" t="n">
        <f aca="false">Einstellungen!$B$5+INT((ROW()-9)/24)</f>
        <v>46581</v>
      </c>
      <c r="B14781" s="11" t="n">
        <f aca="false">MOD(ROW()-9,24)</f>
        <v>12</v>
      </c>
      <c r="C14781" s="12"/>
      <c r="D14781" s="13" t="n">
        <f aca="false">IF(B14781&lt;5,Einstellungen!$B$3,Einstellungen!$B$4)</f>
        <v>29.13</v>
      </c>
      <c r="E14781" s="14" t="str">
        <f aca="false">IF(C14781="","",C14781*D14781/100)</f>
        <v/>
      </c>
      <c r="F14781" s="15" t="str">
        <f aca="false">IF(B14781&lt;5,"Go","Standard")</f>
        <v>Standard</v>
      </c>
    </row>
    <row r="14782" customFormat="false" ht="15" hidden="false" customHeight="true" outlineLevel="0" collapsed="false">
      <c r="A14782" s="10" t="n">
        <f aca="false">Einstellungen!$B$5+INT((ROW()-9)/24)</f>
        <v>46581</v>
      </c>
      <c r="B14782" s="11" t="n">
        <f aca="false">MOD(ROW()-9,24)</f>
        <v>13</v>
      </c>
      <c r="C14782" s="12"/>
      <c r="D14782" s="13" t="n">
        <f aca="false">IF(B14782&lt;5,Einstellungen!$B$3,Einstellungen!$B$4)</f>
        <v>29.13</v>
      </c>
      <c r="E14782" s="14" t="str">
        <f aca="false">IF(C14782="","",C14782*D14782/100)</f>
        <v/>
      </c>
      <c r="F14782" s="15" t="str">
        <f aca="false">IF(B14782&lt;5,"Go","Standard")</f>
        <v>Standard</v>
      </c>
    </row>
    <row r="14783" customFormat="false" ht="15" hidden="false" customHeight="true" outlineLevel="0" collapsed="false">
      <c r="A14783" s="10" t="n">
        <f aca="false">Einstellungen!$B$5+INT((ROW()-9)/24)</f>
        <v>46581</v>
      </c>
      <c r="B14783" s="11" t="n">
        <f aca="false">MOD(ROW()-9,24)</f>
        <v>14</v>
      </c>
      <c r="C14783" s="12"/>
      <c r="D14783" s="13" t="n">
        <f aca="false">IF(B14783&lt;5,Einstellungen!$B$3,Einstellungen!$B$4)</f>
        <v>29.13</v>
      </c>
      <c r="E14783" s="14" t="str">
        <f aca="false">IF(C14783="","",C14783*D14783/100)</f>
        <v/>
      </c>
      <c r="F14783" s="15" t="str">
        <f aca="false">IF(B14783&lt;5,"Go","Standard")</f>
        <v>Standard</v>
      </c>
    </row>
    <row r="14784" customFormat="false" ht="15" hidden="false" customHeight="true" outlineLevel="0" collapsed="false">
      <c r="A14784" s="10" t="n">
        <f aca="false">Einstellungen!$B$5+INT((ROW()-9)/24)</f>
        <v>46581</v>
      </c>
      <c r="B14784" s="11" t="n">
        <f aca="false">MOD(ROW()-9,24)</f>
        <v>15</v>
      </c>
      <c r="C14784" s="12"/>
      <c r="D14784" s="13" t="n">
        <f aca="false">IF(B14784&lt;5,Einstellungen!$B$3,Einstellungen!$B$4)</f>
        <v>29.13</v>
      </c>
      <c r="E14784" s="14" t="str">
        <f aca="false">IF(C14784="","",C14784*D14784/100)</f>
        <v/>
      </c>
      <c r="F14784" s="15" t="str">
        <f aca="false">IF(B14784&lt;5,"Go","Standard")</f>
        <v>Standard</v>
      </c>
    </row>
    <row r="14785" customFormat="false" ht="15" hidden="false" customHeight="true" outlineLevel="0" collapsed="false">
      <c r="A14785" s="10" t="n">
        <f aca="false">Einstellungen!$B$5+INT((ROW()-9)/24)</f>
        <v>46581</v>
      </c>
      <c r="B14785" s="11" t="n">
        <f aca="false">MOD(ROW()-9,24)</f>
        <v>16</v>
      </c>
      <c r="C14785" s="12"/>
      <c r="D14785" s="13" t="n">
        <f aca="false">IF(B14785&lt;5,Einstellungen!$B$3,Einstellungen!$B$4)</f>
        <v>29.13</v>
      </c>
      <c r="E14785" s="14" t="str">
        <f aca="false">IF(C14785="","",C14785*D14785/100)</f>
        <v/>
      </c>
      <c r="F14785" s="15" t="str">
        <f aca="false">IF(B14785&lt;5,"Go","Standard")</f>
        <v>Standard</v>
      </c>
    </row>
    <row r="14786" customFormat="false" ht="15" hidden="false" customHeight="true" outlineLevel="0" collapsed="false">
      <c r="A14786" s="10" t="n">
        <f aca="false">Einstellungen!$B$5+INT((ROW()-9)/24)</f>
        <v>46581</v>
      </c>
      <c r="B14786" s="11" t="n">
        <f aca="false">MOD(ROW()-9,24)</f>
        <v>17</v>
      </c>
      <c r="C14786" s="12"/>
      <c r="D14786" s="13" t="n">
        <f aca="false">IF(B14786&lt;5,Einstellungen!$B$3,Einstellungen!$B$4)</f>
        <v>29.13</v>
      </c>
      <c r="E14786" s="14" t="str">
        <f aca="false">IF(C14786="","",C14786*D14786/100)</f>
        <v/>
      </c>
      <c r="F14786" s="15" t="str">
        <f aca="false">IF(B14786&lt;5,"Go","Standard")</f>
        <v>Standard</v>
      </c>
    </row>
    <row r="14787" customFormat="false" ht="15" hidden="false" customHeight="true" outlineLevel="0" collapsed="false">
      <c r="A14787" s="10" t="n">
        <f aca="false">Einstellungen!$B$5+INT((ROW()-9)/24)</f>
        <v>46581</v>
      </c>
      <c r="B14787" s="11" t="n">
        <f aca="false">MOD(ROW()-9,24)</f>
        <v>18</v>
      </c>
      <c r="C14787" s="12"/>
      <c r="D14787" s="13" t="n">
        <f aca="false">IF(B14787&lt;5,Einstellungen!$B$3,Einstellungen!$B$4)</f>
        <v>29.13</v>
      </c>
      <c r="E14787" s="14" t="str">
        <f aca="false">IF(C14787="","",C14787*D14787/100)</f>
        <v/>
      </c>
      <c r="F14787" s="15" t="str">
        <f aca="false">IF(B14787&lt;5,"Go","Standard")</f>
        <v>Standard</v>
      </c>
    </row>
    <row r="14788" customFormat="false" ht="15" hidden="false" customHeight="true" outlineLevel="0" collapsed="false">
      <c r="A14788" s="10" t="n">
        <f aca="false">Einstellungen!$B$5+INT((ROW()-9)/24)</f>
        <v>46581</v>
      </c>
      <c r="B14788" s="11" t="n">
        <f aca="false">MOD(ROW()-9,24)</f>
        <v>19</v>
      </c>
      <c r="C14788" s="12"/>
      <c r="D14788" s="13" t="n">
        <f aca="false">IF(B14788&lt;5,Einstellungen!$B$3,Einstellungen!$B$4)</f>
        <v>29.13</v>
      </c>
      <c r="E14788" s="14" t="str">
        <f aca="false">IF(C14788="","",C14788*D14788/100)</f>
        <v/>
      </c>
      <c r="F14788" s="15" t="str">
        <f aca="false">IF(B14788&lt;5,"Go","Standard")</f>
        <v>Standard</v>
      </c>
    </row>
    <row r="14789" customFormat="false" ht="15" hidden="false" customHeight="true" outlineLevel="0" collapsed="false">
      <c r="A14789" s="10" t="n">
        <f aca="false">Einstellungen!$B$5+INT((ROW()-9)/24)</f>
        <v>46581</v>
      </c>
      <c r="B14789" s="11" t="n">
        <f aca="false">MOD(ROW()-9,24)</f>
        <v>20</v>
      </c>
      <c r="C14789" s="12"/>
      <c r="D14789" s="13" t="n">
        <f aca="false">IF(B14789&lt;5,Einstellungen!$B$3,Einstellungen!$B$4)</f>
        <v>29.13</v>
      </c>
      <c r="E14789" s="14" t="str">
        <f aca="false">IF(C14789="","",C14789*D14789/100)</f>
        <v/>
      </c>
      <c r="F14789" s="15" t="str">
        <f aca="false">IF(B14789&lt;5,"Go","Standard")</f>
        <v>Standard</v>
      </c>
    </row>
    <row r="14790" customFormat="false" ht="15" hidden="false" customHeight="true" outlineLevel="0" collapsed="false">
      <c r="A14790" s="10" t="n">
        <f aca="false">Einstellungen!$B$5+INT((ROW()-9)/24)</f>
        <v>46581</v>
      </c>
      <c r="B14790" s="11" t="n">
        <f aca="false">MOD(ROW()-9,24)</f>
        <v>21</v>
      </c>
      <c r="C14790" s="12"/>
      <c r="D14790" s="13" t="n">
        <f aca="false">IF(B14790&lt;5,Einstellungen!$B$3,Einstellungen!$B$4)</f>
        <v>29.13</v>
      </c>
      <c r="E14790" s="14" t="str">
        <f aca="false">IF(C14790="","",C14790*D14790/100)</f>
        <v/>
      </c>
      <c r="F14790" s="15" t="str">
        <f aca="false">IF(B14790&lt;5,"Go","Standard")</f>
        <v>Standard</v>
      </c>
    </row>
    <row r="14791" customFormat="false" ht="15" hidden="false" customHeight="true" outlineLevel="0" collapsed="false">
      <c r="A14791" s="10" t="n">
        <f aca="false">Einstellungen!$B$5+INT((ROW()-9)/24)</f>
        <v>46581</v>
      </c>
      <c r="B14791" s="11" t="n">
        <f aca="false">MOD(ROW()-9,24)</f>
        <v>22</v>
      </c>
      <c r="C14791" s="12"/>
      <c r="D14791" s="13" t="n">
        <f aca="false">IF(B14791&lt;5,Einstellungen!$B$3,Einstellungen!$B$4)</f>
        <v>29.13</v>
      </c>
      <c r="E14791" s="14" t="str">
        <f aca="false">IF(C14791="","",C14791*D14791/100)</f>
        <v/>
      </c>
      <c r="F14791" s="15" t="str">
        <f aca="false">IF(B14791&lt;5,"Go","Standard")</f>
        <v>Standard</v>
      </c>
    </row>
    <row r="14792" customFormat="false" ht="15" hidden="false" customHeight="true" outlineLevel="0" collapsed="false">
      <c r="A14792" s="10" t="n">
        <f aca="false">Einstellungen!$B$5+INT((ROW()-9)/24)</f>
        <v>46581</v>
      </c>
      <c r="B14792" s="11" t="n">
        <f aca="false">MOD(ROW()-9,24)</f>
        <v>23</v>
      </c>
      <c r="C14792" s="12"/>
      <c r="D14792" s="13" t="n">
        <f aca="false">IF(B14792&lt;5,Einstellungen!$B$3,Einstellungen!$B$4)</f>
        <v>29.13</v>
      </c>
      <c r="E14792" s="14" t="str">
        <f aca="false">IF(C14792="","",C14792*D14792/100)</f>
        <v/>
      </c>
      <c r="F14792" s="15" t="str">
        <f aca="false">IF(B14792&lt;5,"Go","Standard")</f>
        <v>Standard</v>
      </c>
    </row>
    <row r="14793" customFormat="false" ht="15" hidden="false" customHeight="true" outlineLevel="0" collapsed="false">
      <c r="A14793" s="10" t="n">
        <f aca="false">Einstellungen!$B$5+INT((ROW()-9)/24)</f>
        <v>46582</v>
      </c>
      <c r="B14793" s="11" t="n">
        <f aca="false">MOD(ROW()-9,24)</f>
        <v>0</v>
      </c>
      <c r="C14793" s="12"/>
      <c r="D14793" s="13" t="n">
        <f aca="false">IF(B14793&lt;5,Einstellungen!$B$3,Einstellungen!$B$4)</f>
        <v>15.92</v>
      </c>
      <c r="E14793" s="14" t="str">
        <f aca="false">IF(C14793="","",C14793*D14793/100)</f>
        <v/>
      </c>
      <c r="F14793" s="15" t="str">
        <f aca="false">IF(B14793&lt;5,"Go","Standard")</f>
        <v>Go</v>
      </c>
    </row>
    <row r="14794" customFormat="false" ht="15" hidden="false" customHeight="true" outlineLevel="0" collapsed="false">
      <c r="A14794" s="10" t="n">
        <f aca="false">Einstellungen!$B$5+INT((ROW()-9)/24)</f>
        <v>46582</v>
      </c>
      <c r="B14794" s="11" t="n">
        <f aca="false">MOD(ROW()-9,24)</f>
        <v>1</v>
      </c>
      <c r="C14794" s="12"/>
      <c r="D14794" s="13" t="n">
        <f aca="false">IF(B14794&lt;5,Einstellungen!$B$3,Einstellungen!$B$4)</f>
        <v>15.92</v>
      </c>
      <c r="E14794" s="14" t="str">
        <f aca="false">IF(C14794="","",C14794*D14794/100)</f>
        <v/>
      </c>
      <c r="F14794" s="15" t="str">
        <f aca="false">IF(B14794&lt;5,"Go","Standard")</f>
        <v>Go</v>
      </c>
    </row>
    <row r="14795" customFormat="false" ht="15" hidden="false" customHeight="true" outlineLevel="0" collapsed="false">
      <c r="A14795" s="10" t="n">
        <f aca="false">Einstellungen!$B$5+INT((ROW()-9)/24)</f>
        <v>46582</v>
      </c>
      <c r="B14795" s="11" t="n">
        <f aca="false">MOD(ROW()-9,24)</f>
        <v>2</v>
      </c>
      <c r="C14795" s="12"/>
      <c r="D14795" s="13" t="n">
        <f aca="false">IF(B14795&lt;5,Einstellungen!$B$3,Einstellungen!$B$4)</f>
        <v>15.92</v>
      </c>
      <c r="E14795" s="14" t="str">
        <f aca="false">IF(C14795="","",C14795*D14795/100)</f>
        <v/>
      </c>
      <c r="F14795" s="15" t="str">
        <f aca="false">IF(B14795&lt;5,"Go","Standard")</f>
        <v>Go</v>
      </c>
    </row>
    <row r="14796" customFormat="false" ht="15" hidden="false" customHeight="true" outlineLevel="0" collapsed="false">
      <c r="A14796" s="10" t="n">
        <f aca="false">Einstellungen!$B$5+INT((ROW()-9)/24)</f>
        <v>46582</v>
      </c>
      <c r="B14796" s="11" t="n">
        <f aca="false">MOD(ROW()-9,24)</f>
        <v>3</v>
      </c>
      <c r="C14796" s="12"/>
      <c r="D14796" s="13" t="n">
        <f aca="false">IF(B14796&lt;5,Einstellungen!$B$3,Einstellungen!$B$4)</f>
        <v>15.92</v>
      </c>
      <c r="E14796" s="14" t="str">
        <f aca="false">IF(C14796="","",C14796*D14796/100)</f>
        <v/>
      </c>
      <c r="F14796" s="15" t="str">
        <f aca="false">IF(B14796&lt;5,"Go","Standard")</f>
        <v>Go</v>
      </c>
    </row>
    <row r="14797" customFormat="false" ht="15" hidden="false" customHeight="true" outlineLevel="0" collapsed="false">
      <c r="A14797" s="10" t="n">
        <f aca="false">Einstellungen!$B$5+INT((ROW()-9)/24)</f>
        <v>46582</v>
      </c>
      <c r="B14797" s="11" t="n">
        <f aca="false">MOD(ROW()-9,24)</f>
        <v>4</v>
      </c>
      <c r="C14797" s="12"/>
      <c r="D14797" s="13" t="n">
        <f aca="false">IF(B14797&lt;5,Einstellungen!$B$3,Einstellungen!$B$4)</f>
        <v>15.92</v>
      </c>
      <c r="E14797" s="14" t="str">
        <f aca="false">IF(C14797="","",C14797*D14797/100)</f>
        <v/>
      </c>
      <c r="F14797" s="15" t="str">
        <f aca="false">IF(B14797&lt;5,"Go","Standard")</f>
        <v>Go</v>
      </c>
    </row>
    <row r="14798" customFormat="false" ht="15" hidden="false" customHeight="true" outlineLevel="0" collapsed="false">
      <c r="A14798" s="10" t="n">
        <f aca="false">Einstellungen!$B$5+INT((ROW()-9)/24)</f>
        <v>46582</v>
      </c>
      <c r="B14798" s="11" t="n">
        <f aca="false">MOD(ROW()-9,24)</f>
        <v>5</v>
      </c>
      <c r="C14798" s="12"/>
      <c r="D14798" s="13" t="n">
        <f aca="false">IF(B14798&lt;5,Einstellungen!$B$3,Einstellungen!$B$4)</f>
        <v>29.13</v>
      </c>
      <c r="E14798" s="14" t="str">
        <f aca="false">IF(C14798="","",C14798*D14798/100)</f>
        <v/>
      </c>
      <c r="F14798" s="15" t="str">
        <f aca="false">IF(B14798&lt;5,"Go","Standard")</f>
        <v>Standard</v>
      </c>
    </row>
    <row r="14799" customFormat="false" ht="15" hidden="false" customHeight="true" outlineLevel="0" collapsed="false">
      <c r="A14799" s="10" t="n">
        <f aca="false">Einstellungen!$B$5+INT((ROW()-9)/24)</f>
        <v>46582</v>
      </c>
      <c r="B14799" s="11" t="n">
        <f aca="false">MOD(ROW()-9,24)</f>
        <v>6</v>
      </c>
      <c r="C14799" s="12"/>
      <c r="D14799" s="13" t="n">
        <f aca="false">IF(B14799&lt;5,Einstellungen!$B$3,Einstellungen!$B$4)</f>
        <v>29.13</v>
      </c>
      <c r="E14799" s="14" t="str">
        <f aca="false">IF(C14799="","",C14799*D14799/100)</f>
        <v/>
      </c>
      <c r="F14799" s="15" t="str">
        <f aca="false">IF(B14799&lt;5,"Go","Standard")</f>
        <v>Standard</v>
      </c>
    </row>
    <row r="14800" customFormat="false" ht="15" hidden="false" customHeight="true" outlineLevel="0" collapsed="false">
      <c r="A14800" s="10" t="n">
        <f aca="false">Einstellungen!$B$5+INT((ROW()-9)/24)</f>
        <v>46582</v>
      </c>
      <c r="B14800" s="11" t="n">
        <f aca="false">MOD(ROW()-9,24)</f>
        <v>7</v>
      </c>
      <c r="C14800" s="12"/>
      <c r="D14800" s="13" t="n">
        <f aca="false">IF(B14800&lt;5,Einstellungen!$B$3,Einstellungen!$B$4)</f>
        <v>29.13</v>
      </c>
      <c r="E14800" s="14" t="str">
        <f aca="false">IF(C14800="","",C14800*D14800/100)</f>
        <v/>
      </c>
      <c r="F14800" s="15" t="str">
        <f aca="false">IF(B14800&lt;5,"Go","Standard")</f>
        <v>Standard</v>
      </c>
    </row>
    <row r="14801" customFormat="false" ht="15" hidden="false" customHeight="true" outlineLevel="0" collapsed="false">
      <c r="A14801" s="10" t="n">
        <f aca="false">Einstellungen!$B$5+INT((ROW()-9)/24)</f>
        <v>46582</v>
      </c>
      <c r="B14801" s="11" t="n">
        <f aca="false">MOD(ROW()-9,24)</f>
        <v>8</v>
      </c>
      <c r="C14801" s="12"/>
      <c r="D14801" s="13" t="n">
        <f aca="false">IF(B14801&lt;5,Einstellungen!$B$3,Einstellungen!$B$4)</f>
        <v>29.13</v>
      </c>
      <c r="E14801" s="14" t="str">
        <f aca="false">IF(C14801="","",C14801*D14801/100)</f>
        <v/>
      </c>
      <c r="F14801" s="15" t="str">
        <f aca="false">IF(B14801&lt;5,"Go","Standard")</f>
        <v>Standard</v>
      </c>
    </row>
    <row r="14802" customFormat="false" ht="15" hidden="false" customHeight="true" outlineLevel="0" collapsed="false">
      <c r="A14802" s="10" t="n">
        <f aca="false">Einstellungen!$B$5+INT((ROW()-9)/24)</f>
        <v>46582</v>
      </c>
      <c r="B14802" s="11" t="n">
        <f aca="false">MOD(ROW()-9,24)</f>
        <v>9</v>
      </c>
      <c r="C14802" s="12"/>
      <c r="D14802" s="13" t="n">
        <f aca="false">IF(B14802&lt;5,Einstellungen!$B$3,Einstellungen!$B$4)</f>
        <v>29.13</v>
      </c>
      <c r="E14802" s="14" t="str">
        <f aca="false">IF(C14802="","",C14802*D14802/100)</f>
        <v/>
      </c>
      <c r="F14802" s="15" t="str">
        <f aca="false">IF(B14802&lt;5,"Go","Standard")</f>
        <v>Standard</v>
      </c>
    </row>
    <row r="14803" customFormat="false" ht="15" hidden="false" customHeight="true" outlineLevel="0" collapsed="false">
      <c r="A14803" s="10" t="n">
        <f aca="false">Einstellungen!$B$5+INT((ROW()-9)/24)</f>
        <v>46582</v>
      </c>
      <c r="B14803" s="11" t="n">
        <f aca="false">MOD(ROW()-9,24)</f>
        <v>10</v>
      </c>
      <c r="C14803" s="12"/>
      <c r="D14803" s="13" t="n">
        <f aca="false">IF(B14803&lt;5,Einstellungen!$B$3,Einstellungen!$B$4)</f>
        <v>29.13</v>
      </c>
      <c r="E14803" s="14" t="str">
        <f aca="false">IF(C14803="","",C14803*D14803/100)</f>
        <v/>
      </c>
      <c r="F14803" s="15" t="str">
        <f aca="false">IF(B14803&lt;5,"Go","Standard")</f>
        <v>Standard</v>
      </c>
    </row>
    <row r="14804" customFormat="false" ht="15" hidden="false" customHeight="true" outlineLevel="0" collapsed="false">
      <c r="A14804" s="10" t="n">
        <f aca="false">Einstellungen!$B$5+INT((ROW()-9)/24)</f>
        <v>46582</v>
      </c>
      <c r="B14804" s="11" t="n">
        <f aca="false">MOD(ROW()-9,24)</f>
        <v>11</v>
      </c>
      <c r="C14804" s="12"/>
      <c r="D14804" s="13" t="n">
        <f aca="false">IF(B14804&lt;5,Einstellungen!$B$3,Einstellungen!$B$4)</f>
        <v>29.13</v>
      </c>
      <c r="E14804" s="14" t="str">
        <f aca="false">IF(C14804="","",C14804*D14804/100)</f>
        <v/>
      </c>
      <c r="F14804" s="15" t="str">
        <f aca="false">IF(B14804&lt;5,"Go","Standard")</f>
        <v>Standard</v>
      </c>
    </row>
    <row r="14805" customFormat="false" ht="15" hidden="false" customHeight="true" outlineLevel="0" collapsed="false">
      <c r="A14805" s="10" t="n">
        <f aca="false">Einstellungen!$B$5+INT((ROW()-9)/24)</f>
        <v>46582</v>
      </c>
      <c r="B14805" s="11" t="n">
        <f aca="false">MOD(ROW()-9,24)</f>
        <v>12</v>
      </c>
      <c r="C14805" s="12"/>
      <c r="D14805" s="13" t="n">
        <f aca="false">IF(B14805&lt;5,Einstellungen!$B$3,Einstellungen!$B$4)</f>
        <v>29.13</v>
      </c>
      <c r="E14805" s="14" t="str">
        <f aca="false">IF(C14805="","",C14805*D14805/100)</f>
        <v/>
      </c>
      <c r="F14805" s="15" t="str">
        <f aca="false">IF(B14805&lt;5,"Go","Standard")</f>
        <v>Standard</v>
      </c>
    </row>
    <row r="14806" customFormat="false" ht="15" hidden="false" customHeight="true" outlineLevel="0" collapsed="false">
      <c r="A14806" s="10" t="n">
        <f aca="false">Einstellungen!$B$5+INT((ROW()-9)/24)</f>
        <v>46582</v>
      </c>
      <c r="B14806" s="11" t="n">
        <f aca="false">MOD(ROW()-9,24)</f>
        <v>13</v>
      </c>
      <c r="C14806" s="12"/>
      <c r="D14806" s="13" t="n">
        <f aca="false">IF(B14806&lt;5,Einstellungen!$B$3,Einstellungen!$B$4)</f>
        <v>29.13</v>
      </c>
      <c r="E14806" s="14" t="str">
        <f aca="false">IF(C14806="","",C14806*D14806/100)</f>
        <v/>
      </c>
      <c r="F14806" s="15" t="str">
        <f aca="false">IF(B14806&lt;5,"Go","Standard")</f>
        <v>Standard</v>
      </c>
    </row>
    <row r="14807" customFormat="false" ht="15" hidden="false" customHeight="true" outlineLevel="0" collapsed="false">
      <c r="A14807" s="10" t="n">
        <f aca="false">Einstellungen!$B$5+INT((ROW()-9)/24)</f>
        <v>46582</v>
      </c>
      <c r="B14807" s="11" t="n">
        <f aca="false">MOD(ROW()-9,24)</f>
        <v>14</v>
      </c>
      <c r="C14807" s="12"/>
      <c r="D14807" s="13" t="n">
        <f aca="false">IF(B14807&lt;5,Einstellungen!$B$3,Einstellungen!$B$4)</f>
        <v>29.13</v>
      </c>
      <c r="E14807" s="14" t="str">
        <f aca="false">IF(C14807="","",C14807*D14807/100)</f>
        <v/>
      </c>
      <c r="F14807" s="15" t="str">
        <f aca="false">IF(B14807&lt;5,"Go","Standard")</f>
        <v>Standard</v>
      </c>
    </row>
    <row r="14808" customFormat="false" ht="15" hidden="false" customHeight="true" outlineLevel="0" collapsed="false">
      <c r="A14808" s="10" t="n">
        <f aca="false">Einstellungen!$B$5+INT((ROW()-9)/24)</f>
        <v>46582</v>
      </c>
      <c r="B14808" s="11" t="n">
        <f aca="false">MOD(ROW()-9,24)</f>
        <v>15</v>
      </c>
      <c r="C14808" s="12"/>
      <c r="D14808" s="13" t="n">
        <f aca="false">IF(B14808&lt;5,Einstellungen!$B$3,Einstellungen!$B$4)</f>
        <v>29.13</v>
      </c>
      <c r="E14808" s="14" t="str">
        <f aca="false">IF(C14808="","",C14808*D14808/100)</f>
        <v/>
      </c>
      <c r="F14808" s="15" t="str">
        <f aca="false">IF(B14808&lt;5,"Go","Standard")</f>
        <v>Standard</v>
      </c>
    </row>
    <row r="14809" customFormat="false" ht="15" hidden="false" customHeight="true" outlineLevel="0" collapsed="false">
      <c r="A14809" s="10" t="n">
        <f aca="false">Einstellungen!$B$5+INT((ROW()-9)/24)</f>
        <v>46582</v>
      </c>
      <c r="B14809" s="11" t="n">
        <f aca="false">MOD(ROW()-9,24)</f>
        <v>16</v>
      </c>
      <c r="C14809" s="12"/>
      <c r="D14809" s="13" t="n">
        <f aca="false">IF(B14809&lt;5,Einstellungen!$B$3,Einstellungen!$B$4)</f>
        <v>29.13</v>
      </c>
      <c r="E14809" s="14" t="str">
        <f aca="false">IF(C14809="","",C14809*D14809/100)</f>
        <v/>
      </c>
      <c r="F14809" s="15" t="str">
        <f aca="false">IF(B14809&lt;5,"Go","Standard")</f>
        <v>Standard</v>
      </c>
    </row>
    <row r="14810" customFormat="false" ht="15" hidden="false" customHeight="true" outlineLevel="0" collapsed="false">
      <c r="A14810" s="10" t="n">
        <f aca="false">Einstellungen!$B$5+INT((ROW()-9)/24)</f>
        <v>46582</v>
      </c>
      <c r="B14810" s="11" t="n">
        <f aca="false">MOD(ROW()-9,24)</f>
        <v>17</v>
      </c>
      <c r="C14810" s="12"/>
      <c r="D14810" s="13" t="n">
        <f aca="false">IF(B14810&lt;5,Einstellungen!$B$3,Einstellungen!$B$4)</f>
        <v>29.13</v>
      </c>
      <c r="E14810" s="14" t="str">
        <f aca="false">IF(C14810="","",C14810*D14810/100)</f>
        <v/>
      </c>
      <c r="F14810" s="15" t="str">
        <f aca="false">IF(B14810&lt;5,"Go","Standard")</f>
        <v>Standard</v>
      </c>
    </row>
    <row r="14811" customFormat="false" ht="15" hidden="false" customHeight="true" outlineLevel="0" collapsed="false">
      <c r="A14811" s="10" t="n">
        <f aca="false">Einstellungen!$B$5+INT((ROW()-9)/24)</f>
        <v>46582</v>
      </c>
      <c r="B14811" s="11" t="n">
        <f aca="false">MOD(ROW()-9,24)</f>
        <v>18</v>
      </c>
      <c r="C14811" s="12"/>
      <c r="D14811" s="13" t="n">
        <f aca="false">IF(B14811&lt;5,Einstellungen!$B$3,Einstellungen!$B$4)</f>
        <v>29.13</v>
      </c>
      <c r="E14811" s="14" t="str">
        <f aca="false">IF(C14811="","",C14811*D14811/100)</f>
        <v/>
      </c>
      <c r="F14811" s="15" t="str">
        <f aca="false">IF(B14811&lt;5,"Go","Standard")</f>
        <v>Standard</v>
      </c>
    </row>
    <row r="14812" customFormat="false" ht="15" hidden="false" customHeight="true" outlineLevel="0" collapsed="false">
      <c r="A14812" s="10" t="n">
        <f aca="false">Einstellungen!$B$5+INT((ROW()-9)/24)</f>
        <v>46582</v>
      </c>
      <c r="B14812" s="11" t="n">
        <f aca="false">MOD(ROW()-9,24)</f>
        <v>19</v>
      </c>
      <c r="C14812" s="12"/>
      <c r="D14812" s="13" t="n">
        <f aca="false">IF(B14812&lt;5,Einstellungen!$B$3,Einstellungen!$B$4)</f>
        <v>29.13</v>
      </c>
      <c r="E14812" s="14" t="str">
        <f aca="false">IF(C14812="","",C14812*D14812/100)</f>
        <v/>
      </c>
      <c r="F14812" s="15" t="str">
        <f aca="false">IF(B14812&lt;5,"Go","Standard")</f>
        <v>Standard</v>
      </c>
    </row>
    <row r="14813" customFormat="false" ht="15" hidden="false" customHeight="true" outlineLevel="0" collapsed="false">
      <c r="A14813" s="10" t="n">
        <f aca="false">Einstellungen!$B$5+INT((ROW()-9)/24)</f>
        <v>46582</v>
      </c>
      <c r="B14813" s="11" t="n">
        <f aca="false">MOD(ROW()-9,24)</f>
        <v>20</v>
      </c>
      <c r="C14813" s="12"/>
      <c r="D14813" s="13" t="n">
        <f aca="false">IF(B14813&lt;5,Einstellungen!$B$3,Einstellungen!$B$4)</f>
        <v>29.13</v>
      </c>
      <c r="E14813" s="14" t="str">
        <f aca="false">IF(C14813="","",C14813*D14813/100)</f>
        <v/>
      </c>
      <c r="F14813" s="15" t="str">
        <f aca="false">IF(B14813&lt;5,"Go","Standard")</f>
        <v>Standard</v>
      </c>
    </row>
    <row r="14814" customFormat="false" ht="15" hidden="false" customHeight="true" outlineLevel="0" collapsed="false">
      <c r="A14814" s="10" t="n">
        <f aca="false">Einstellungen!$B$5+INT((ROW()-9)/24)</f>
        <v>46582</v>
      </c>
      <c r="B14814" s="11" t="n">
        <f aca="false">MOD(ROW()-9,24)</f>
        <v>21</v>
      </c>
      <c r="C14814" s="12"/>
      <c r="D14814" s="13" t="n">
        <f aca="false">IF(B14814&lt;5,Einstellungen!$B$3,Einstellungen!$B$4)</f>
        <v>29.13</v>
      </c>
      <c r="E14814" s="14" t="str">
        <f aca="false">IF(C14814="","",C14814*D14814/100)</f>
        <v/>
      </c>
      <c r="F14814" s="15" t="str">
        <f aca="false">IF(B14814&lt;5,"Go","Standard")</f>
        <v>Standard</v>
      </c>
    </row>
    <row r="14815" customFormat="false" ht="15" hidden="false" customHeight="true" outlineLevel="0" collapsed="false">
      <c r="A14815" s="10" t="n">
        <f aca="false">Einstellungen!$B$5+INT((ROW()-9)/24)</f>
        <v>46582</v>
      </c>
      <c r="B14815" s="11" t="n">
        <f aca="false">MOD(ROW()-9,24)</f>
        <v>22</v>
      </c>
      <c r="C14815" s="12"/>
      <c r="D14815" s="13" t="n">
        <f aca="false">IF(B14815&lt;5,Einstellungen!$B$3,Einstellungen!$B$4)</f>
        <v>29.13</v>
      </c>
      <c r="E14815" s="14" t="str">
        <f aca="false">IF(C14815="","",C14815*D14815/100)</f>
        <v/>
      </c>
      <c r="F14815" s="15" t="str">
        <f aca="false">IF(B14815&lt;5,"Go","Standard")</f>
        <v>Standard</v>
      </c>
    </row>
    <row r="14816" customFormat="false" ht="15" hidden="false" customHeight="true" outlineLevel="0" collapsed="false">
      <c r="A14816" s="10" t="n">
        <f aca="false">Einstellungen!$B$5+INT((ROW()-9)/24)</f>
        <v>46582</v>
      </c>
      <c r="B14816" s="11" t="n">
        <f aca="false">MOD(ROW()-9,24)</f>
        <v>23</v>
      </c>
      <c r="C14816" s="12"/>
      <c r="D14816" s="13" t="n">
        <f aca="false">IF(B14816&lt;5,Einstellungen!$B$3,Einstellungen!$B$4)</f>
        <v>29.13</v>
      </c>
      <c r="E14816" s="14" t="str">
        <f aca="false">IF(C14816="","",C14816*D14816/100)</f>
        <v/>
      </c>
      <c r="F14816" s="15" t="str">
        <f aca="false">IF(B14816&lt;5,"Go","Standard")</f>
        <v>Standard</v>
      </c>
    </row>
    <row r="14817" customFormat="false" ht="15" hidden="false" customHeight="true" outlineLevel="0" collapsed="false">
      <c r="A14817" s="10" t="n">
        <f aca="false">Einstellungen!$B$5+INT((ROW()-9)/24)</f>
        <v>46583</v>
      </c>
      <c r="B14817" s="11" t="n">
        <f aca="false">MOD(ROW()-9,24)</f>
        <v>0</v>
      </c>
      <c r="C14817" s="12"/>
      <c r="D14817" s="13" t="n">
        <f aca="false">IF(B14817&lt;5,Einstellungen!$B$3,Einstellungen!$B$4)</f>
        <v>15.92</v>
      </c>
      <c r="E14817" s="14" t="str">
        <f aca="false">IF(C14817="","",C14817*D14817/100)</f>
        <v/>
      </c>
      <c r="F14817" s="15" t="str">
        <f aca="false">IF(B14817&lt;5,"Go","Standard")</f>
        <v>Go</v>
      </c>
    </row>
    <row r="14818" customFormat="false" ht="15" hidden="false" customHeight="true" outlineLevel="0" collapsed="false">
      <c r="A14818" s="10" t="n">
        <f aca="false">Einstellungen!$B$5+INT((ROW()-9)/24)</f>
        <v>46583</v>
      </c>
      <c r="B14818" s="11" t="n">
        <f aca="false">MOD(ROW()-9,24)</f>
        <v>1</v>
      </c>
      <c r="C14818" s="12"/>
      <c r="D14818" s="13" t="n">
        <f aca="false">IF(B14818&lt;5,Einstellungen!$B$3,Einstellungen!$B$4)</f>
        <v>15.92</v>
      </c>
      <c r="E14818" s="14" t="str">
        <f aca="false">IF(C14818="","",C14818*D14818/100)</f>
        <v/>
      </c>
      <c r="F14818" s="15" t="str">
        <f aca="false">IF(B14818&lt;5,"Go","Standard")</f>
        <v>Go</v>
      </c>
    </row>
    <row r="14819" customFormat="false" ht="15" hidden="false" customHeight="true" outlineLevel="0" collapsed="false">
      <c r="A14819" s="10" t="n">
        <f aca="false">Einstellungen!$B$5+INT((ROW()-9)/24)</f>
        <v>46583</v>
      </c>
      <c r="B14819" s="11" t="n">
        <f aca="false">MOD(ROW()-9,24)</f>
        <v>2</v>
      </c>
      <c r="C14819" s="12"/>
      <c r="D14819" s="13" t="n">
        <f aca="false">IF(B14819&lt;5,Einstellungen!$B$3,Einstellungen!$B$4)</f>
        <v>15.92</v>
      </c>
      <c r="E14819" s="14" t="str">
        <f aca="false">IF(C14819="","",C14819*D14819/100)</f>
        <v/>
      </c>
      <c r="F14819" s="15" t="str">
        <f aca="false">IF(B14819&lt;5,"Go","Standard")</f>
        <v>Go</v>
      </c>
    </row>
    <row r="14820" customFormat="false" ht="15" hidden="false" customHeight="true" outlineLevel="0" collapsed="false">
      <c r="A14820" s="10" t="n">
        <f aca="false">Einstellungen!$B$5+INT((ROW()-9)/24)</f>
        <v>46583</v>
      </c>
      <c r="B14820" s="11" t="n">
        <f aca="false">MOD(ROW()-9,24)</f>
        <v>3</v>
      </c>
      <c r="C14820" s="12"/>
      <c r="D14820" s="13" t="n">
        <f aca="false">IF(B14820&lt;5,Einstellungen!$B$3,Einstellungen!$B$4)</f>
        <v>15.92</v>
      </c>
      <c r="E14820" s="14" t="str">
        <f aca="false">IF(C14820="","",C14820*D14820/100)</f>
        <v/>
      </c>
      <c r="F14820" s="15" t="str">
        <f aca="false">IF(B14820&lt;5,"Go","Standard")</f>
        <v>Go</v>
      </c>
    </row>
    <row r="14821" customFormat="false" ht="15" hidden="false" customHeight="true" outlineLevel="0" collapsed="false">
      <c r="A14821" s="10" t="n">
        <f aca="false">Einstellungen!$B$5+INT((ROW()-9)/24)</f>
        <v>46583</v>
      </c>
      <c r="B14821" s="11" t="n">
        <f aca="false">MOD(ROW()-9,24)</f>
        <v>4</v>
      </c>
      <c r="C14821" s="12"/>
      <c r="D14821" s="13" t="n">
        <f aca="false">IF(B14821&lt;5,Einstellungen!$B$3,Einstellungen!$B$4)</f>
        <v>15.92</v>
      </c>
      <c r="E14821" s="14" t="str">
        <f aca="false">IF(C14821="","",C14821*D14821/100)</f>
        <v/>
      </c>
      <c r="F14821" s="15" t="str">
        <f aca="false">IF(B14821&lt;5,"Go","Standard")</f>
        <v>Go</v>
      </c>
    </row>
    <row r="14822" customFormat="false" ht="15" hidden="false" customHeight="true" outlineLevel="0" collapsed="false">
      <c r="A14822" s="10" t="n">
        <f aca="false">Einstellungen!$B$5+INT((ROW()-9)/24)</f>
        <v>46583</v>
      </c>
      <c r="B14822" s="11" t="n">
        <f aca="false">MOD(ROW()-9,24)</f>
        <v>5</v>
      </c>
      <c r="C14822" s="12"/>
      <c r="D14822" s="13" t="n">
        <f aca="false">IF(B14822&lt;5,Einstellungen!$B$3,Einstellungen!$B$4)</f>
        <v>29.13</v>
      </c>
      <c r="E14822" s="14" t="str">
        <f aca="false">IF(C14822="","",C14822*D14822/100)</f>
        <v/>
      </c>
      <c r="F14822" s="15" t="str">
        <f aca="false">IF(B14822&lt;5,"Go","Standard")</f>
        <v>Standard</v>
      </c>
    </row>
    <row r="14823" customFormat="false" ht="15" hidden="false" customHeight="true" outlineLevel="0" collapsed="false">
      <c r="A14823" s="10" t="n">
        <f aca="false">Einstellungen!$B$5+INT((ROW()-9)/24)</f>
        <v>46583</v>
      </c>
      <c r="B14823" s="11" t="n">
        <f aca="false">MOD(ROW()-9,24)</f>
        <v>6</v>
      </c>
      <c r="C14823" s="12"/>
      <c r="D14823" s="13" t="n">
        <f aca="false">IF(B14823&lt;5,Einstellungen!$B$3,Einstellungen!$B$4)</f>
        <v>29.13</v>
      </c>
      <c r="E14823" s="14" t="str">
        <f aca="false">IF(C14823="","",C14823*D14823/100)</f>
        <v/>
      </c>
      <c r="F14823" s="15" t="str">
        <f aca="false">IF(B14823&lt;5,"Go","Standard")</f>
        <v>Standard</v>
      </c>
    </row>
    <row r="14824" customFormat="false" ht="15" hidden="false" customHeight="true" outlineLevel="0" collapsed="false">
      <c r="A14824" s="10" t="n">
        <f aca="false">Einstellungen!$B$5+INT((ROW()-9)/24)</f>
        <v>46583</v>
      </c>
      <c r="B14824" s="11" t="n">
        <f aca="false">MOD(ROW()-9,24)</f>
        <v>7</v>
      </c>
      <c r="C14824" s="12"/>
      <c r="D14824" s="13" t="n">
        <f aca="false">IF(B14824&lt;5,Einstellungen!$B$3,Einstellungen!$B$4)</f>
        <v>29.13</v>
      </c>
      <c r="E14824" s="14" t="str">
        <f aca="false">IF(C14824="","",C14824*D14824/100)</f>
        <v/>
      </c>
      <c r="F14824" s="15" t="str">
        <f aca="false">IF(B14824&lt;5,"Go","Standard")</f>
        <v>Standard</v>
      </c>
    </row>
    <row r="14825" customFormat="false" ht="15" hidden="false" customHeight="true" outlineLevel="0" collapsed="false">
      <c r="A14825" s="10" t="n">
        <f aca="false">Einstellungen!$B$5+INT((ROW()-9)/24)</f>
        <v>46583</v>
      </c>
      <c r="B14825" s="11" t="n">
        <f aca="false">MOD(ROW()-9,24)</f>
        <v>8</v>
      </c>
      <c r="C14825" s="12"/>
      <c r="D14825" s="13" t="n">
        <f aca="false">IF(B14825&lt;5,Einstellungen!$B$3,Einstellungen!$B$4)</f>
        <v>29.13</v>
      </c>
      <c r="E14825" s="14" t="str">
        <f aca="false">IF(C14825="","",C14825*D14825/100)</f>
        <v/>
      </c>
      <c r="F14825" s="15" t="str">
        <f aca="false">IF(B14825&lt;5,"Go","Standard")</f>
        <v>Standard</v>
      </c>
    </row>
    <row r="14826" customFormat="false" ht="15" hidden="false" customHeight="true" outlineLevel="0" collapsed="false">
      <c r="A14826" s="10" t="n">
        <f aca="false">Einstellungen!$B$5+INT((ROW()-9)/24)</f>
        <v>46583</v>
      </c>
      <c r="B14826" s="11" t="n">
        <f aca="false">MOD(ROW()-9,24)</f>
        <v>9</v>
      </c>
      <c r="C14826" s="12"/>
      <c r="D14826" s="13" t="n">
        <f aca="false">IF(B14826&lt;5,Einstellungen!$B$3,Einstellungen!$B$4)</f>
        <v>29.13</v>
      </c>
      <c r="E14826" s="14" t="str">
        <f aca="false">IF(C14826="","",C14826*D14826/100)</f>
        <v/>
      </c>
      <c r="F14826" s="15" t="str">
        <f aca="false">IF(B14826&lt;5,"Go","Standard")</f>
        <v>Standard</v>
      </c>
    </row>
    <row r="14827" customFormat="false" ht="15" hidden="false" customHeight="true" outlineLevel="0" collapsed="false">
      <c r="A14827" s="10" t="n">
        <f aca="false">Einstellungen!$B$5+INT((ROW()-9)/24)</f>
        <v>46583</v>
      </c>
      <c r="B14827" s="11" t="n">
        <f aca="false">MOD(ROW()-9,24)</f>
        <v>10</v>
      </c>
      <c r="C14827" s="12"/>
      <c r="D14827" s="13" t="n">
        <f aca="false">IF(B14827&lt;5,Einstellungen!$B$3,Einstellungen!$B$4)</f>
        <v>29.13</v>
      </c>
      <c r="E14827" s="14" t="str">
        <f aca="false">IF(C14827="","",C14827*D14827/100)</f>
        <v/>
      </c>
      <c r="F14827" s="15" t="str">
        <f aca="false">IF(B14827&lt;5,"Go","Standard")</f>
        <v>Standard</v>
      </c>
    </row>
    <row r="14828" customFormat="false" ht="15" hidden="false" customHeight="true" outlineLevel="0" collapsed="false">
      <c r="A14828" s="10" t="n">
        <f aca="false">Einstellungen!$B$5+INT((ROW()-9)/24)</f>
        <v>46583</v>
      </c>
      <c r="B14828" s="11" t="n">
        <f aca="false">MOD(ROW()-9,24)</f>
        <v>11</v>
      </c>
      <c r="C14828" s="12"/>
      <c r="D14828" s="13" t="n">
        <f aca="false">IF(B14828&lt;5,Einstellungen!$B$3,Einstellungen!$B$4)</f>
        <v>29.13</v>
      </c>
      <c r="E14828" s="14" t="str">
        <f aca="false">IF(C14828="","",C14828*D14828/100)</f>
        <v/>
      </c>
      <c r="F14828" s="15" t="str">
        <f aca="false">IF(B14828&lt;5,"Go","Standard")</f>
        <v>Standard</v>
      </c>
    </row>
    <row r="14829" customFormat="false" ht="15" hidden="false" customHeight="true" outlineLevel="0" collapsed="false">
      <c r="A14829" s="10" t="n">
        <f aca="false">Einstellungen!$B$5+INT((ROW()-9)/24)</f>
        <v>46583</v>
      </c>
      <c r="B14829" s="11" t="n">
        <f aca="false">MOD(ROW()-9,24)</f>
        <v>12</v>
      </c>
      <c r="C14829" s="12"/>
      <c r="D14829" s="13" t="n">
        <f aca="false">IF(B14829&lt;5,Einstellungen!$B$3,Einstellungen!$B$4)</f>
        <v>29.13</v>
      </c>
      <c r="E14829" s="14" t="str">
        <f aca="false">IF(C14829="","",C14829*D14829/100)</f>
        <v/>
      </c>
      <c r="F14829" s="15" t="str">
        <f aca="false">IF(B14829&lt;5,"Go","Standard")</f>
        <v>Standard</v>
      </c>
    </row>
    <row r="14830" customFormat="false" ht="15" hidden="false" customHeight="true" outlineLevel="0" collapsed="false">
      <c r="A14830" s="10" t="n">
        <f aca="false">Einstellungen!$B$5+INT((ROW()-9)/24)</f>
        <v>46583</v>
      </c>
      <c r="B14830" s="11" t="n">
        <f aca="false">MOD(ROW()-9,24)</f>
        <v>13</v>
      </c>
      <c r="C14830" s="12"/>
      <c r="D14830" s="13" t="n">
        <f aca="false">IF(B14830&lt;5,Einstellungen!$B$3,Einstellungen!$B$4)</f>
        <v>29.13</v>
      </c>
      <c r="E14830" s="14" t="str">
        <f aca="false">IF(C14830="","",C14830*D14830/100)</f>
        <v/>
      </c>
      <c r="F14830" s="15" t="str">
        <f aca="false">IF(B14830&lt;5,"Go","Standard")</f>
        <v>Standard</v>
      </c>
    </row>
    <row r="14831" customFormat="false" ht="15" hidden="false" customHeight="true" outlineLevel="0" collapsed="false">
      <c r="A14831" s="10" t="n">
        <f aca="false">Einstellungen!$B$5+INT((ROW()-9)/24)</f>
        <v>46583</v>
      </c>
      <c r="B14831" s="11" t="n">
        <f aca="false">MOD(ROW()-9,24)</f>
        <v>14</v>
      </c>
      <c r="C14831" s="12"/>
      <c r="D14831" s="13" t="n">
        <f aca="false">IF(B14831&lt;5,Einstellungen!$B$3,Einstellungen!$B$4)</f>
        <v>29.13</v>
      </c>
      <c r="E14831" s="14" t="str">
        <f aca="false">IF(C14831="","",C14831*D14831/100)</f>
        <v/>
      </c>
      <c r="F14831" s="15" t="str">
        <f aca="false">IF(B14831&lt;5,"Go","Standard")</f>
        <v>Standard</v>
      </c>
    </row>
    <row r="14832" customFormat="false" ht="15" hidden="false" customHeight="true" outlineLevel="0" collapsed="false">
      <c r="A14832" s="10" t="n">
        <f aca="false">Einstellungen!$B$5+INT((ROW()-9)/24)</f>
        <v>46583</v>
      </c>
      <c r="B14832" s="11" t="n">
        <f aca="false">MOD(ROW()-9,24)</f>
        <v>15</v>
      </c>
      <c r="C14832" s="12"/>
      <c r="D14832" s="13" t="n">
        <f aca="false">IF(B14832&lt;5,Einstellungen!$B$3,Einstellungen!$B$4)</f>
        <v>29.13</v>
      </c>
      <c r="E14832" s="14" t="str">
        <f aca="false">IF(C14832="","",C14832*D14832/100)</f>
        <v/>
      </c>
      <c r="F14832" s="15" t="str">
        <f aca="false">IF(B14832&lt;5,"Go","Standard")</f>
        <v>Standard</v>
      </c>
    </row>
    <row r="14833" customFormat="false" ht="15" hidden="false" customHeight="true" outlineLevel="0" collapsed="false">
      <c r="A14833" s="10" t="n">
        <f aca="false">Einstellungen!$B$5+INT((ROW()-9)/24)</f>
        <v>46583</v>
      </c>
      <c r="B14833" s="11" t="n">
        <f aca="false">MOD(ROW()-9,24)</f>
        <v>16</v>
      </c>
      <c r="C14833" s="12"/>
      <c r="D14833" s="13" t="n">
        <f aca="false">IF(B14833&lt;5,Einstellungen!$B$3,Einstellungen!$B$4)</f>
        <v>29.13</v>
      </c>
      <c r="E14833" s="14" t="str">
        <f aca="false">IF(C14833="","",C14833*D14833/100)</f>
        <v/>
      </c>
      <c r="F14833" s="15" t="str">
        <f aca="false">IF(B14833&lt;5,"Go","Standard")</f>
        <v>Standard</v>
      </c>
    </row>
    <row r="14834" customFormat="false" ht="15" hidden="false" customHeight="true" outlineLevel="0" collapsed="false">
      <c r="A14834" s="10" t="n">
        <f aca="false">Einstellungen!$B$5+INT((ROW()-9)/24)</f>
        <v>46583</v>
      </c>
      <c r="B14834" s="11" t="n">
        <f aca="false">MOD(ROW()-9,24)</f>
        <v>17</v>
      </c>
      <c r="C14834" s="12"/>
      <c r="D14834" s="13" t="n">
        <f aca="false">IF(B14834&lt;5,Einstellungen!$B$3,Einstellungen!$B$4)</f>
        <v>29.13</v>
      </c>
      <c r="E14834" s="14" t="str">
        <f aca="false">IF(C14834="","",C14834*D14834/100)</f>
        <v/>
      </c>
      <c r="F14834" s="15" t="str">
        <f aca="false">IF(B14834&lt;5,"Go","Standard")</f>
        <v>Standard</v>
      </c>
    </row>
    <row r="14835" customFormat="false" ht="15" hidden="false" customHeight="true" outlineLevel="0" collapsed="false">
      <c r="A14835" s="10" t="n">
        <f aca="false">Einstellungen!$B$5+INT((ROW()-9)/24)</f>
        <v>46583</v>
      </c>
      <c r="B14835" s="11" t="n">
        <f aca="false">MOD(ROW()-9,24)</f>
        <v>18</v>
      </c>
      <c r="C14835" s="12"/>
      <c r="D14835" s="13" t="n">
        <f aca="false">IF(B14835&lt;5,Einstellungen!$B$3,Einstellungen!$B$4)</f>
        <v>29.13</v>
      </c>
      <c r="E14835" s="14" t="str">
        <f aca="false">IF(C14835="","",C14835*D14835/100)</f>
        <v/>
      </c>
      <c r="F14835" s="15" t="str">
        <f aca="false">IF(B14835&lt;5,"Go","Standard")</f>
        <v>Standard</v>
      </c>
    </row>
    <row r="14836" customFormat="false" ht="15" hidden="false" customHeight="true" outlineLevel="0" collapsed="false">
      <c r="A14836" s="10" t="n">
        <f aca="false">Einstellungen!$B$5+INT((ROW()-9)/24)</f>
        <v>46583</v>
      </c>
      <c r="B14836" s="11" t="n">
        <f aca="false">MOD(ROW()-9,24)</f>
        <v>19</v>
      </c>
      <c r="C14836" s="12"/>
      <c r="D14836" s="13" t="n">
        <f aca="false">IF(B14836&lt;5,Einstellungen!$B$3,Einstellungen!$B$4)</f>
        <v>29.13</v>
      </c>
      <c r="E14836" s="14" t="str">
        <f aca="false">IF(C14836="","",C14836*D14836/100)</f>
        <v/>
      </c>
      <c r="F14836" s="15" t="str">
        <f aca="false">IF(B14836&lt;5,"Go","Standard")</f>
        <v>Standard</v>
      </c>
    </row>
    <row r="14837" customFormat="false" ht="15" hidden="false" customHeight="true" outlineLevel="0" collapsed="false">
      <c r="A14837" s="10" t="n">
        <f aca="false">Einstellungen!$B$5+INT((ROW()-9)/24)</f>
        <v>46583</v>
      </c>
      <c r="B14837" s="11" t="n">
        <f aca="false">MOD(ROW()-9,24)</f>
        <v>20</v>
      </c>
      <c r="C14837" s="12"/>
      <c r="D14837" s="13" t="n">
        <f aca="false">IF(B14837&lt;5,Einstellungen!$B$3,Einstellungen!$B$4)</f>
        <v>29.13</v>
      </c>
      <c r="E14837" s="14" t="str">
        <f aca="false">IF(C14837="","",C14837*D14837/100)</f>
        <v/>
      </c>
      <c r="F14837" s="15" t="str">
        <f aca="false">IF(B14837&lt;5,"Go","Standard")</f>
        <v>Standard</v>
      </c>
    </row>
    <row r="14838" customFormat="false" ht="15" hidden="false" customHeight="true" outlineLevel="0" collapsed="false">
      <c r="A14838" s="10" t="n">
        <f aca="false">Einstellungen!$B$5+INT((ROW()-9)/24)</f>
        <v>46583</v>
      </c>
      <c r="B14838" s="11" t="n">
        <f aca="false">MOD(ROW()-9,24)</f>
        <v>21</v>
      </c>
      <c r="C14838" s="12"/>
      <c r="D14838" s="13" t="n">
        <f aca="false">IF(B14838&lt;5,Einstellungen!$B$3,Einstellungen!$B$4)</f>
        <v>29.13</v>
      </c>
      <c r="E14838" s="14" t="str">
        <f aca="false">IF(C14838="","",C14838*D14838/100)</f>
        <v/>
      </c>
      <c r="F14838" s="15" t="str">
        <f aca="false">IF(B14838&lt;5,"Go","Standard")</f>
        <v>Standard</v>
      </c>
    </row>
    <row r="14839" customFormat="false" ht="15" hidden="false" customHeight="true" outlineLevel="0" collapsed="false">
      <c r="A14839" s="10" t="n">
        <f aca="false">Einstellungen!$B$5+INT((ROW()-9)/24)</f>
        <v>46583</v>
      </c>
      <c r="B14839" s="11" t="n">
        <f aca="false">MOD(ROW()-9,24)</f>
        <v>22</v>
      </c>
      <c r="C14839" s="12"/>
      <c r="D14839" s="13" t="n">
        <f aca="false">IF(B14839&lt;5,Einstellungen!$B$3,Einstellungen!$B$4)</f>
        <v>29.13</v>
      </c>
      <c r="E14839" s="14" t="str">
        <f aca="false">IF(C14839="","",C14839*D14839/100)</f>
        <v/>
      </c>
      <c r="F14839" s="15" t="str">
        <f aca="false">IF(B14839&lt;5,"Go","Standard")</f>
        <v>Standard</v>
      </c>
    </row>
    <row r="14840" customFormat="false" ht="15" hidden="false" customHeight="true" outlineLevel="0" collapsed="false">
      <c r="A14840" s="10" t="n">
        <f aca="false">Einstellungen!$B$5+INT((ROW()-9)/24)</f>
        <v>46583</v>
      </c>
      <c r="B14840" s="11" t="n">
        <f aca="false">MOD(ROW()-9,24)</f>
        <v>23</v>
      </c>
      <c r="C14840" s="12"/>
      <c r="D14840" s="13" t="n">
        <f aca="false">IF(B14840&lt;5,Einstellungen!$B$3,Einstellungen!$B$4)</f>
        <v>29.13</v>
      </c>
      <c r="E14840" s="14" t="str">
        <f aca="false">IF(C14840="","",C14840*D14840/100)</f>
        <v/>
      </c>
      <c r="F14840" s="15" t="str">
        <f aca="false">IF(B14840&lt;5,"Go","Standard")</f>
        <v>Standard</v>
      </c>
    </row>
    <row r="14841" customFormat="false" ht="15" hidden="false" customHeight="true" outlineLevel="0" collapsed="false">
      <c r="A14841" s="10" t="n">
        <f aca="false">Einstellungen!$B$5+INT((ROW()-9)/24)</f>
        <v>46584</v>
      </c>
      <c r="B14841" s="11" t="n">
        <f aca="false">MOD(ROW()-9,24)</f>
        <v>0</v>
      </c>
      <c r="C14841" s="12"/>
      <c r="D14841" s="13" t="n">
        <f aca="false">IF(B14841&lt;5,Einstellungen!$B$3,Einstellungen!$B$4)</f>
        <v>15.92</v>
      </c>
      <c r="E14841" s="14" t="str">
        <f aca="false">IF(C14841="","",C14841*D14841/100)</f>
        <v/>
      </c>
      <c r="F14841" s="15" t="str">
        <f aca="false">IF(B14841&lt;5,"Go","Standard")</f>
        <v>Go</v>
      </c>
    </row>
    <row r="14842" customFormat="false" ht="15" hidden="false" customHeight="true" outlineLevel="0" collapsed="false">
      <c r="A14842" s="10" t="n">
        <f aca="false">Einstellungen!$B$5+INT((ROW()-9)/24)</f>
        <v>46584</v>
      </c>
      <c r="B14842" s="11" t="n">
        <f aca="false">MOD(ROW()-9,24)</f>
        <v>1</v>
      </c>
      <c r="C14842" s="12"/>
      <c r="D14842" s="13" t="n">
        <f aca="false">IF(B14842&lt;5,Einstellungen!$B$3,Einstellungen!$B$4)</f>
        <v>15.92</v>
      </c>
      <c r="E14842" s="14" t="str">
        <f aca="false">IF(C14842="","",C14842*D14842/100)</f>
        <v/>
      </c>
      <c r="F14842" s="15" t="str">
        <f aca="false">IF(B14842&lt;5,"Go","Standard")</f>
        <v>Go</v>
      </c>
    </row>
    <row r="14843" customFormat="false" ht="15" hidden="false" customHeight="true" outlineLevel="0" collapsed="false">
      <c r="A14843" s="10" t="n">
        <f aca="false">Einstellungen!$B$5+INT((ROW()-9)/24)</f>
        <v>46584</v>
      </c>
      <c r="B14843" s="11" t="n">
        <f aca="false">MOD(ROW()-9,24)</f>
        <v>2</v>
      </c>
      <c r="C14843" s="12"/>
      <c r="D14843" s="13" t="n">
        <f aca="false">IF(B14843&lt;5,Einstellungen!$B$3,Einstellungen!$B$4)</f>
        <v>15.92</v>
      </c>
      <c r="E14843" s="14" t="str">
        <f aca="false">IF(C14843="","",C14843*D14843/100)</f>
        <v/>
      </c>
      <c r="F14843" s="15" t="str">
        <f aca="false">IF(B14843&lt;5,"Go","Standard")</f>
        <v>Go</v>
      </c>
    </row>
    <row r="14844" customFormat="false" ht="15" hidden="false" customHeight="true" outlineLevel="0" collapsed="false">
      <c r="A14844" s="10" t="n">
        <f aca="false">Einstellungen!$B$5+INT((ROW()-9)/24)</f>
        <v>46584</v>
      </c>
      <c r="B14844" s="11" t="n">
        <f aca="false">MOD(ROW()-9,24)</f>
        <v>3</v>
      </c>
      <c r="C14844" s="12"/>
      <c r="D14844" s="13" t="n">
        <f aca="false">IF(B14844&lt;5,Einstellungen!$B$3,Einstellungen!$B$4)</f>
        <v>15.92</v>
      </c>
      <c r="E14844" s="14" t="str">
        <f aca="false">IF(C14844="","",C14844*D14844/100)</f>
        <v/>
      </c>
      <c r="F14844" s="15" t="str">
        <f aca="false">IF(B14844&lt;5,"Go","Standard")</f>
        <v>Go</v>
      </c>
    </row>
    <row r="14845" customFormat="false" ht="15" hidden="false" customHeight="true" outlineLevel="0" collapsed="false">
      <c r="A14845" s="10" t="n">
        <f aca="false">Einstellungen!$B$5+INT((ROW()-9)/24)</f>
        <v>46584</v>
      </c>
      <c r="B14845" s="11" t="n">
        <f aca="false">MOD(ROW()-9,24)</f>
        <v>4</v>
      </c>
      <c r="C14845" s="12"/>
      <c r="D14845" s="13" t="n">
        <f aca="false">IF(B14845&lt;5,Einstellungen!$B$3,Einstellungen!$B$4)</f>
        <v>15.92</v>
      </c>
      <c r="E14845" s="14" t="str">
        <f aca="false">IF(C14845="","",C14845*D14845/100)</f>
        <v/>
      </c>
      <c r="F14845" s="15" t="str">
        <f aca="false">IF(B14845&lt;5,"Go","Standard")</f>
        <v>Go</v>
      </c>
    </row>
    <row r="14846" customFormat="false" ht="15" hidden="false" customHeight="true" outlineLevel="0" collapsed="false">
      <c r="A14846" s="10" t="n">
        <f aca="false">Einstellungen!$B$5+INT((ROW()-9)/24)</f>
        <v>46584</v>
      </c>
      <c r="B14846" s="11" t="n">
        <f aca="false">MOD(ROW()-9,24)</f>
        <v>5</v>
      </c>
      <c r="C14846" s="12"/>
      <c r="D14846" s="13" t="n">
        <f aca="false">IF(B14846&lt;5,Einstellungen!$B$3,Einstellungen!$B$4)</f>
        <v>29.13</v>
      </c>
      <c r="E14846" s="14" t="str">
        <f aca="false">IF(C14846="","",C14846*D14846/100)</f>
        <v/>
      </c>
      <c r="F14846" s="15" t="str">
        <f aca="false">IF(B14846&lt;5,"Go","Standard")</f>
        <v>Standard</v>
      </c>
    </row>
    <row r="14847" customFormat="false" ht="15" hidden="false" customHeight="true" outlineLevel="0" collapsed="false">
      <c r="A14847" s="10" t="n">
        <f aca="false">Einstellungen!$B$5+INT((ROW()-9)/24)</f>
        <v>46584</v>
      </c>
      <c r="B14847" s="11" t="n">
        <f aca="false">MOD(ROW()-9,24)</f>
        <v>6</v>
      </c>
      <c r="C14847" s="12"/>
      <c r="D14847" s="13" t="n">
        <f aca="false">IF(B14847&lt;5,Einstellungen!$B$3,Einstellungen!$B$4)</f>
        <v>29.13</v>
      </c>
      <c r="E14847" s="14" t="str">
        <f aca="false">IF(C14847="","",C14847*D14847/100)</f>
        <v/>
      </c>
      <c r="F14847" s="15" t="str">
        <f aca="false">IF(B14847&lt;5,"Go","Standard")</f>
        <v>Standard</v>
      </c>
    </row>
    <row r="14848" customFormat="false" ht="15" hidden="false" customHeight="true" outlineLevel="0" collapsed="false">
      <c r="A14848" s="10" t="n">
        <f aca="false">Einstellungen!$B$5+INT((ROW()-9)/24)</f>
        <v>46584</v>
      </c>
      <c r="B14848" s="11" t="n">
        <f aca="false">MOD(ROW()-9,24)</f>
        <v>7</v>
      </c>
      <c r="C14848" s="12"/>
      <c r="D14848" s="13" t="n">
        <f aca="false">IF(B14848&lt;5,Einstellungen!$B$3,Einstellungen!$B$4)</f>
        <v>29.13</v>
      </c>
      <c r="E14848" s="14" t="str">
        <f aca="false">IF(C14848="","",C14848*D14848/100)</f>
        <v/>
      </c>
      <c r="F14848" s="15" t="str">
        <f aca="false">IF(B14848&lt;5,"Go","Standard")</f>
        <v>Standard</v>
      </c>
    </row>
    <row r="14849" customFormat="false" ht="15" hidden="false" customHeight="true" outlineLevel="0" collapsed="false">
      <c r="A14849" s="10" t="n">
        <f aca="false">Einstellungen!$B$5+INT((ROW()-9)/24)</f>
        <v>46584</v>
      </c>
      <c r="B14849" s="11" t="n">
        <f aca="false">MOD(ROW()-9,24)</f>
        <v>8</v>
      </c>
      <c r="C14849" s="12"/>
      <c r="D14849" s="13" t="n">
        <f aca="false">IF(B14849&lt;5,Einstellungen!$B$3,Einstellungen!$B$4)</f>
        <v>29.13</v>
      </c>
      <c r="E14849" s="14" t="str">
        <f aca="false">IF(C14849="","",C14849*D14849/100)</f>
        <v/>
      </c>
      <c r="F14849" s="15" t="str">
        <f aca="false">IF(B14849&lt;5,"Go","Standard")</f>
        <v>Standard</v>
      </c>
    </row>
    <row r="14850" customFormat="false" ht="15" hidden="false" customHeight="true" outlineLevel="0" collapsed="false">
      <c r="A14850" s="10" t="n">
        <f aca="false">Einstellungen!$B$5+INT((ROW()-9)/24)</f>
        <v>46584</v>
      </c>
      <c r="B14850" s="11" t="n">
        <f aca="false">MOD(ROW()-9,24)</f>
        <v>9</v>
      </c>
      <c r="C14850" s="12"/>
      <c r="D14850" s="13" t="n">
        <f aca="false">IF(B14850&lt;5,Einstellungen!$B$3,Einstellungen!$B$4)</f>
        <v>29.13</v>
      </c>
      <c r="E14850" s="14" t="str">
        <f aca="false">IF(C14850="","",C14850*D14850/100)</f>
        <v/>
      </c>
      <c r="F14850" s="15" t="str">
        <f aca="false">IF(B14850&lt;5,"Go","Standard")</f>
        <v>Standard</v>
      </c>
    </row>
    <row r="14851" customFormat="false" ht="15" hidden="false" customHeight="true" outlineLevel="0" collapsed="false">
      <c r="A14851" s="10" t="n">
        <f aca="false">Einstellungen!$B$5+INT((ROW()-9)/24)</f>
        <v>46584</v>
      </c>
      <c r="B14851" s="11" t="n">
        <f aca="false">MOD(ROW()-9,24)</f>
        <v>10</v>
      </c>
      <c r="C14851" s="12"/>
      <c r="D14851" s="13" t="n">
        <f aca="false">IF(B14851&lt;5,Einstellungen!$B$3,Einstellungen!$B$4)</f>
        <v>29.13</v>
      </c>
      <c r="E14851" s="14" t="str">
        <f aca="false">IF(C14851="","",C14851*D14851/100)</f>
        <v/>
      </c>
      <c r="F14851" s="15" t="str">
        <f aca="false">IF(B14851&lt;5,"Go","Standard")</f>
        <v>Standard</v>
      </c>
    </row>
    <row r="14852" customFormat="false" ht="15" hidden="false" customHeight="true" outlineLevel="0" collapsed="false">
      <c r="A14852" s="10" t="n">
        <f aca="false">Einstellungen!$B$5+INT((ROW()-9)/24)</f>
        <v>46584</v>
      </c>
      <c r="B14852" s="11" t="n">
        <f aca="false">MOD(ROW()-9,24)</f>
        <v>11</v>
      </c>
      <c r="C14852" s="12"/>
      <c r="D14852" s="13" t="n">
        <f aca="false">IF(B14852&lt;5,Einstellungen!$B$3,Einstellungen!$B$4)</f>
        <v>29.13</v>
      </c>
      <c r="E14852" s="14" t="str">
        <f aca="false">IF(C14852="","",C14852*D14852/100)</f>
        <v/>
      </c>
      <c r="F14852" s="15" t="str">
        <f aca="false">IF(B14852&lt;5,"Go","Standard")</f>
        <v>Standard</v>
      </c>
    </row>
    <row r="14853" customFormat="false" ht="15" hidden="false" customHeight="true" outlineLevel="0" collapsed="false">
      <c r="A14853" s="10" t="n">
        <f aca="false">Einstellungen!$B$5+INT((ROW()-9)/24)</f>
        <v>46584</v>
      </c>
      <c r="B14853" s="11" t="n">
        <f aca="false">MOD(ROW()-9,24)</f>
        <v>12</v>
      </c>
      <c r="C14853" s="12"/>
      <c r="D14853" s="13" t="n">
        <f aca="false">IF(B14853&lt;5,Einstellungen!$B$3,Einstellungen!$B$4)</f>
        <v>29.13</v>
      </c>
      <c r="E14853" s="14" t="str">
        <f aca="false">IF(C14853="","",C14853*D14853/100)</f>
        <v/>
      </c>
      <c r="F14853" s="15" t="str">
        <f aca="false">IF(B14853&lt;5,"Go","Standard")</f>
        <v>Standard</v>
      </c>
    </row>
    <row r="14854" customFormat="false" ht="15" hidden="false" customHeight="true" outlineLevel="0" collapsed="false">
      <c r="A14854" s="10" t="n">
        <f aca="false">Einstellungen!$B$5+INT((ROW()-9)/24)</f>
        <v>46584</v>
      </c>
      <c r="B14854" s="11" t="n">
        <f aca="false">MOD(ROW()-9,24)</f>
        <v>13</v>
      </c>
      <c r="C14854" s="12"/>
      <c r="D14854" s="13" t="n">
        <f aca="false">IF(B14854&lt;5,Einstellungen!$B$3,Einstellungen!$B$4)</f>
        <v>29.13</v>
      </c>
      <c r="E14854" s="14" t="str">
        <f aca="false">IF(C14854="","",C14854*D14854/100)</f>
        <v/>
      </c>
      <c r="F14854" s="15" t="str">
        <f aca="false">IF(B14854&lt;5,"Go","Standard")</f>
        <v>Standard</v>
      </c>
    </row>
    <row r="14855" customFormat="false" ht="15" hidden="false" customHeight="true" outlineLevel="0" collapsed="false">
      <c r="A14855" s="10" t="n">
        <f aca="false">Einstellungen!$B$5+INT((ROW()-9)/24)</f>
        <v>46584</v>
      </c>
      <c r="B14855" s="11" t="n">
        <f aca="false">MOD(ROW()-9,24)</f>
        <v>14</v>
      </c>
      <c r="C14855" s="12"/>
      <c r="D14855" s="13" t="n">
        <f aca="false">IF(B14855&lt;5,Einstellungen!$B$3,Einstellungen!$B$4)</f>
        <v>29.13</v>
      </c>
      <c r="E14855" s="14" t="str">
        <f aca="false">IF(C14855="","",C14855*D14855/100)</f>
        <v/>
      </c>
      <c r="F14855" s="15" t="str">
        <f aca="false">IF(B14855&lt;5,"Go","Standard")</f>
        <v>Standard</v>
      </c>
    </row>
    <row r="14856" customFormat="false" ht="15" hidden="false" customHeight="true" outlineLevel="0" collapsed="false">
      <c r="A14856" s="10" t="n">
        <f aca="false">Einstellungen!$B$5+INT((ROW()-9)/24)</f>
        <v>46584</v>
      </c>
      <c r="B14856" s="11" t="n">
        <f aca="false">MOD(ROW()-9,24)</f>
        <v>15</v>
      </c>
      <c r="C14856" s="12"/>
      <c r="D14856" s="13" t="n">
        <f aca="false">IF(B14856&lt;5,Einstellungen!$B$3,Einstellungen!$B$4)</f>
        <v>29.13</v>
      </c>
      <c r="E14856" s="14" t="str">
        <f aca="false">IF(C14856="","",C14856*D14856/100)</f>
        <v/>
      </c>
      <c r="F14856" s="15" t="str">
        <f aca="false">IF(B14856&lt;5,"Go","Standard")</f>
        <v>Standard</v>
      </c>
    </row>
    <row r="14857" customFormat="false" ht="15" hidden="false" customHeight="true" outlineLevel="0" collapsed="false">
      <c r="A14857" s="10" t="n">
        <f aca="false">Einstellungen!$B$5+INT((ROW()-9)/24)</f>
        <v>46584</v>
      </c>
      <c r="B14857" s="11" t="n">
        <f aca="false">MOD(ROW()-9,24)</f>
        <v>16</v>
      </c>
      <c r="C14857" s="12"/>
      <c r="D14857" s="13" t="n">
        <f aca="false">IF(B14857&lt;5,Einstellungen!$B$3,Einstellungen!$B$4)</f>
        <v>29.13</v>
      </c>
      <c r="E14857" s="14" t="str">
        <f aca="false">IF(C14857="","",C14857*D14857/100)</f>
        <v/>
      </c>
      <c r="F14857" s="15" t="str">
        <f aca="false">IF(B14857&lt;5,"Go","Standard")</f>
        <v>Standard</v>
      </c>
    </row>
    <row r="14858" customFormat="false" ht="15" hidden="false" customHeight="true" outlineLevel="0" collapsed="false">
      <c r="A14858" s="10" t="n">
        <f aca="false">Einstellungen!$B$5+INT((ROW()-9)/24)</f>
        <v>46584</v>
      </c>
      <c r="B14858" s="11" t="n">
        <f aca="false">MOD(ROW()-9,24)</f>
        <v>17</v>
      </c>
      <c r="C14858" s="12"/>
      <c r="D14858" s="13" t="n">
        <f aca="false">IF(B14858&lt;5,Einstellungen!$B$3,Einstellungen!$B$4)</f>
        <v>29.13</v>
      </c>
      <c r="E14858" s="14" t="str">
        <f aca="false">IF(C14858="","",C14858*D14858/100)</f>
        <v/>
      </c>
      <c r="F14858" s="15" t="str">
        <f aca="false">IF(B14858&lt;5,"Go","Standard")</f>
        <v>Standard</v>
      </c>
    </row>
    <row r="14859" customFormat="false" ht="15" hidden="false" customHeight="true" outlineLevel="0" collapsed="false">
      <c r="A14859" s="10" t="n">
        <f aca="false">Einstellungen!$B$5+INT((ROW()-9)/24)</f>
        <v>46584</v>
      </c>
      <c r="B14859" s="11" t="n">
        <f aca="false">MOD(ROW()-9,24)</f>
        <v>18</v>
      </c>
      <c r="C14859" s="12"/>
      <c r="D14859" s="13" t="n">
        <f aca="false">IF(B14859&lt;5,Einstellungen!$B$3,Einstellungen!$B$4)</f>
        <v>29.13</v>
      </c>
      <c r="E14859" s="14" t="str">
        <f aca="false">IF(C14859="","",C14859*D14859/100)</f>
        <v/>
      </c>
      <c r="F14859" s="15" t="str">
        <f aca="false">IF(B14859&lt;5,"Go","Standard")</f>
        <v>Standard</v>
      </c>
    </row>
    <row r="14860" customFormat="false" ht="15" hidden="false" customHeight="true" outlineLevel="0" collapsed="false">
      <c r="A14860" s="10" t="n">
        <f aca="false">Einstellungen!$B$5+INT((ROW()-9)/24)</f>
        <v>46584</v>
      </c>
      <c r="B14860" s="11" t="n">
        <f aca="false">MOD(ROW()-9,24)</f>
        <v>19</v>
      </c>
      <c r="C14860" s="12"/>
      <c r="D14860" s="13" t="n">
        <f aca="false">IF(B14860&lt;5,Einstellungen!$B$3,Einstellungen!$B$4)</f>
        <v>29.13</v>
      </c>
      <c r="E14860" s="14" t="str">
        <f aca="false">IF(C14860="","",C14860*D14860/100)</f>
        <v/>
      </c>
      <c r="F14860" s="15" t="str">
        <f aca="false">IF(B14860&lt;5,"Go","Standard")</f>
        <v>Standard</v>
      </c>
    </row>
    <row r="14861" customFormat="false" ht="15" hidden="false" customHeight="true" outlineLevel="0" collapsed="false">
      <c r="A14861" s="10" t="n">
        <f aca="false">Einstellungen!$B$5+INT((ROW()-9)/24)</f>
        <v>46584</v>
      </c>
      <c r="B14861" s="11" t="n">
        <f aca="false">MOD(ROW()-9,24)</f>
        <v>20</v>
      </c>
      <c r="C14861" s="12"/>
      <c r="D14861" s="13" t="n">
        <f aca="false">IF(B14861&lt;5,Einstellungen!$B$3,Einstellungen!$B$4)</f>
        <v>29.13</v>
      </c>
      <c r="E14861" s="14" t="str">
        <f aca="false">IF(C14861="","",C14861*D14861/100)</f>
        <v/>
      </c>
      <c r="F14861" s="15" t="str">
        <f aca="false">IF(B14861&lt;5,"Go","Standard")</f>
        <v>Standard</v>
      </c>
    </row>
    <row r="14862" customFormat="false" ht="15" hidden="false" customHeight="true" outlineLevel="0" collapsed="false">
      <c r="A14862" s="10" t="n">
        <f aca="false">Einstellungen!$B$5+INT((ROW()-9)/24)</f>
        <v>46584</v>
      </c>
      <c r="B14862" s="11" t="n">
        <f aca="false">MOD(ROW()-9,24)</f>
        <v>21</v>
      </c>
      <c r="C14862" s="12"/>
      <c r="D14862" s="13" t="n">
        <f aca="false">IF(B14862&lt;5,Einstellungen!$B$3,Einstellungen!$B$4)</f>
        <v>29.13</v>
      </c>
      <c r="E14862" s="14" t="str">
        <f aca="false">IF(C14862="","",C14862*D14862/100)</f>
        <v/>
      </c>
      <c r="F14862" s="15" t="str">
        <f aca="false">IF(B14862&lt;5,"Go","Standard")</f>
        <v>Standard</v>
      </c>
    </row>
    <row r="14863" customFormat="false" ht="15" hidden="false" customHeight="true" outlineLevel="0" collapsed="false">
      <c r="A14863" s="10" t="n">
        <f aca="false">Einstellungen!$B$5+INT((ROW()-9)/24)</f>
        <v>46584</v>
      </c>
      <c r="B14863" s="11" t="n">
        <f aca="false">MOD(ROW()-9,24)</f>
        <v>22</v>
      </c>
      <c r="C14863" s="12"/>
      <c r="D14863" s="13" t="n">
        <f aca="false">IF(B14863&lt;5,Einstellungen!$B$3,Einstellungen!$B$4)</f>
        <v>29.13</v>
      </c>
      <c r="E14863" s="14" t="str">
        <f aca="false">IF(C14863="","",C14863*D14863/100)</f>
        <v/>
      </c>
      <c r="F14863" s="15" t="str">
        <f aca="false">IF(B14863&lt;5,"Go","Standard")</f>
        <v>Standard</v>
      </c>
    </row>
    <row r="14864" customFormat="false" ht="15" hidden="false" customHeight="true" outlineLevel="0" collapsed="false">
      <c r="A14864" s="10" t="n">
        <f aca="false">Einstellungen!$B$5+INT((ROW()-9)/24)</f>
        <v>46584</v>
      </c>
      <c r="B14864" s="11" t="n">
        <f aca="false">MOD(ROW()-9,24)</f>
        <v>23</v>
      </c>
      <c r="C14864" s="12"/>
      <c r="D14864" s="13" t="n">
        <f aca="false">IF(B14864&lt;5,Einstellungen!$B$3,Einstellungen!$B$4)</f>
        <v>29.13</v>
      </c>
      <c r="E14864" s="14" t="str">
        <f aca="false">IF(C14864="","",C14864*D14864/100)</f>
        <v/>
      </c>
      <c r="F14864" s="15" t="str">
        <f aca="false">IF(B14864&lt;5,"Go","Standard")</f>
        <v>Standard</v>
      </c>
    </row>
    <row r="14865" customFormat="false" ht="15" hidden="false" customHeight="true" outlineLevel="0" collapsed="false">
      <c r="A14865" s="10" t="n">
        <f aca="false">Einstellungen!$B$5+INT((ROW()-9)/24)</f>
        <v>46585</v>
      </c>
      <c r="B14865" s="11" t="n">
        <f aca="false">MOD(ROW()-9,24)</f>
        <v>0</v>
      </c>
      <c r="C14865" s="12"/>
      <c r="D14865" s="13" t="n">
        <f aca="false">IF(B14865&lt;5,Einstellungen!$B$3,Einstellungen!$B$4)</f>
        <v>15.92</v>
      </c>
      <c r="E14865" s="14" t="str">
        <f aca="false">IF(C14865="","",C14865*D14865/100)</f>
        <v/>
      </c>
      <c r="F14865" s="15" t="str">
        <f aca="false">IF(B14865&lt;5,"Go","Standard")</f>
        <v>Go</v>
      </c>
    </row>
    <row r="14866" customFormat="false" ht="15" hidden="false" customHeight="true" outlineLevel="0" collapsed="false">
      <c r="A14866" s="10" t="n">
        <f aca="false">Einstellungen!$B$5+INT((ROW()-9)/24)</f>
        <v>46585</v>
      </c>
      <c r="B14866" s="11" t="n">
        <f aca="false">MOD(ROW()-9,24)</f>
        <v>1</v>
      </c>
      <c r="C14866" s="12"/>
      <c r="D14866" s="13" t="n">
        <f aca="false">IF(B14866&lt;5,Einstellungen!$B$3,Einstellungen!$B$4)</f>
        <v>15.92</v>
      </c>
      <c r="E14866" s="14" t="str">
        <f aca="false">IF(C14866="","",C14866*D14866/100)</f>
        <v/>
      </c>
      <c r="F14866" s="15" t="str">
        <f aca="false">IF(B14866&lt;5,"Go","Standard")</f>
        <v>Go</v>
      </c>
    </row>
    <row r="14867" customFormat="false" ht="15" hidden="false" customHeight="true" outlineLevel="0" collapsed="false">
      <c r="A14867" s="10" t="n">
        <f aca="false">Einstellungen!$B$5+INT((ROW()-9)/24)</f>
        <v>46585</v>
      </c>
      <c r="B14867" s="11" t="n">
        <f aca="false">MOD(ROW()-9,24)</f>
        <v>2</v>
      </c>
      <c r="C14867" s="12"/>
      <c r="D14867" s="13" t="n">
        <f aca="false">IF(B14867&lt;5,Einstellungen!$B$3,Einstellungen!$B$4)</f>
        <v>15.92</v>
      </c>
      <c r="E14867" s="14" t="str">
        <f aca="false">IF(C14867="","",C14867*D14867/100)</f>
        <v/>
      </c>
      <c r="F14867" s="15" t="str">
        <f aca="false">IF(B14867&lt;5,"Go","Standard")</f>
        <v>Go</v>
      </c>
    </row>
    <row r="14868" customFormat="false" ht="15" hidden="false" customHeight="true" outlineLevel="0" collapsed="false">
      <c r="A14868" s="10" t="n">
        <f aca="false">Einstellungen!$B$5+INT((ROW()-9)/24)</f>
        <v>46585</v>
      </c>
      <c r="B14868" s="11" t="n">
        <f aca="false">MOD(ROW()-9,24)</f>
        <v>3</v>
      </c>
      <c r="C14868" s="12"/>
      <c r="D14868" s="13" t="n">
        <f aca="false">IF(B14868&lt;5,Einstellungen!$B$3,Einstellungen!$B$4)</f>
        <v>15.92</v>
      </c>
      <c r="E14868" s="14" t="str">
        <f aca="false">IF(C14868="","",C14868*D14868/100)</f>
        <v/>
      </c>
      <c r="F14868" s="15" t="str">
        <f aca="false">IF(B14868&lt;5,"Go","Standard")</f>
        <v>Go</v>
      </c>
    </row>
    <row r="14869" customFormat="false" ht="15" hidden="false" customHeight="true" outlineLevel="0" collapsed="false">
      <c r="A14869" s="10" t="n">
        <f aca="false">Einstellungen!$B$5+INT((ROW()-9)/24)</f>
        <v>46585</v>
      </c>
      <c r="B14869" s="11" t="n">
        <f aca="false">MOD(ROW()-9,24)</f>
        <v>4</v>
      </c>
      <c r="C14869" s="12"/>
      <c r="D14869" s="13" t="n">
        <f aca="false">IF(B14869&lt;5,Einstellungen!$B$3,Einstellungen!$B$4)</f>
        <v>15.92</v>
      </c>
      <c r="E14869" s="14" t="str">
        <f aca="false">IF(C14869="","",C14869*D14869/100)</f>
        <v/>
      </c>
      <c r="F14869" s="15" t="str">
        <f aca="false">IF(B14869&lt;5,"Go","Standard")</f>
        <v>Go</v>
      </c>
    </row>
    <row r="14870" customFormat="false" ht="15" hidden="false" customHeight="true" outlineLevel="0" collapsed="false">
      <c r="A14870" s="10" t="n">
        <f aca="false">Einstellungen!$B$5+INT((ROW()-9)/24)</f>
        <v>46585</v>
      </c>
      <c r="B14870" s="11" t="n">
        <f aca="false">MOD(ROW()-9,24)</f>
        <v>5</v>
      </c>
      <c r="C14870" s="12"/>
      <c r="D14870" s="13" t="n">
        <f aca="false">IF(B14870&lt;5,Einstellungen!$B$3,Einstellungen!$B$4)</f>
        <v>29.13</v>
      </c>
      <c r="E14870" s="14" t="str">
        <f aca="false">IF(C14870="","",C14870*D14870/100)</f>
        <v/>
      </c>
      <c r="F14870" s="15" t="str">
        <f aca="false">IF(B14870&lt;5,"Go","Standard")</f>
        <v>Standard</v>
      </c>
    </row>
    <row r="14871" customFormat="false" ht="15" hidden="false" customHeight="true" outlineLevel="0" collapsed="false">
      <c r="A14871" s="10" t="n">
        <f aca="false">Einstellungen!$B$5+INT((ROW()-9)/24)</f>
        <v>46585</v>
      </c>
      <c r="B14871" s="11" t="n">
        <f aca="false">MOD(ROW()-9,24)</f>
        <v>6</v>
      </c>
      <c r="C14871" s="12"/>
      <c r="D14871" s="13" t="n">
        <f aca="false">IF(B14871&lt;5,Einstellungen!$B$3,Einstellungen!$B$4)</f>
        <v>29.13</v>
      </c>
      <c r="E14871" s="14" t="str">
        <f aca="false">IF(C14871="","",C14871*D14871/100)</f>
        <v/>
      </c>
      <c r="F14871" s="15" t="str">
        <f aca="false">IF(B14871&lt;5,"Go","Standard")</f>
        <v>Standard</v>
      </c>
    </row>
    <row r="14872" customFormat="false" ht="15" hidden="false" customHeight="true" outlineLevel="0" collapsed="false">
      <c r="A14872" s="10" t="n">
        <f aca="false">Einstellungen!$B$5+INT((ROW()-9)/24)</f>
        <v>46585</v>
      </c>
      <c r="B14872" s="11" t="n">
        <f aca="false">MOD(ROW()-9,24)</f>
        <v>7</v>
      </c>
      <c r="C14872" s="12"/>
      <c r="D14872" s="13" t="n">
        <f aca="false">IF(B14872&lt;5,Einstellungen!$B$3,Einstellungen!$B$4)</f>
        <v>29.13</v>
      </c>
      <c r="E14872" s="14" t="str">
        <f aca="false">IF(C14872="","",C14872*D14872/100)</f>
        <v/>
      </c>
      <c r="F14872" s="15" t="str">
        <f aca="false">IF(B14872&lt;5,"Go","Standard")</f>
        <v>Standard</v>
      </c>
    </row>
    <row r="14873" customFormat="false" ht="15" hidden="false" customHeight="true" outlineLevel="0" collapsed="false">
      <c r="A14873" s="10" t="n">
        <f aca="false">Einstellungen!$B$5+INT((ROW()-9)/24)</f>
        <v>46585</v>
      </c>
      <c r="B14873" s="11" t="n">
        <f aca="false">MOD(ROW()-9,24)</f>
        <v>8</v>
      </c>
      <c r="C14873" s="12"/>
      <c r="D14873" s="13" t="n">
        <f aca="false">IF(B14873&lt;5,Einstellungen!$B$3,Einstellungen!$B$4)</f>
        <v>29.13</v>
      </c>
      <c r="E14873" s="14" t="str">
        <f aca="false">IF(C14873="","",C14873*D14873/100)</f>
        <v/>
      </c>
      <c r="F14873" s="15" t="str">
        <f aca="false">IF(B14873&lt;5,"Go","Standard")</f>
        <v>Standard</v>
      </c>
    </row>
    <row r="14874" customFormat="false" ht="15" hidden="false" customHeight="true" outlineLevel="0" collapsed="false">
      <c r="A14874" s="10" t="n">
        <f aca="false">Einstellungen!$B$5+INT((ROW()-9)/24)</f>
        <v>46585</v>
      </c>
      <c r="B14874" s="11" t="n">
        <f aca="false">MOD(ROW()-9,24)</f>
        <v>9</v>
      </c>
      <c r="C14874" s="12"/>
      <c r="D14874" s="13" t="n">
        <f aca="false">IF(B14874&lt;5,Einstellungen!$B$3,Einstellungen!$B$4)</f>
        <v>29.13</v>
      </c>
      <c r="E14874" s="14" t="str">
        <f aca="false">IF(C14874="","",C14874*D14874/100)</f>
        <v/>
      </c>
      <c r="F14874" s="15" t="str">
        <f aca="false">IF(B14874&lt;5,"Go","Standard")</f>
        <v>Standard</v>
      </c>
    </row>
    <row r="14875" customFormat="false" ht="15" hidden="false" customHeight="true" outlineLevel="0" collapsed="false">
      <c r="A14875" s="10" t="n">
        <f aca="false">Einstellungen!$B$5+INT((ROW()-9)/24)</f>
        <v>46585</v>
      </c>
      <c r="B14875" s="11" t="n">
        <f aca="false">MOD(ROW()-9,24)</f>
        <v>10</v>
      </c>
      <c r="C14875" s="12"/>
      <c r="D14875" s="13" t="n">
        <f aca="false">IF(B14875&lt;5,Einstellungen!$B$3,Einstellungen!$B$4)</f>
        <v>29.13</v>
      </c>
      <c r="E14875" s="14" t="str">
        <f aca="false">IF(C14875="","",C14875*D14875/100)</f>
        <v/>
      </c>
      <c r="F14875" s="15" t="str">
        <f aca="false">IF(B14875&lt;5,"Go","Standard")</f>
        <v>Standard</v>
      </c>
    </row>
    <row r="14876" customFormat="false" ht="15" hidden="false" customHeight="true" outlineLevel="0" collapsed="false">
      <c r="A14876" s="10" t="n">
        <f aca="false">Einstellungen!$B$5+INT((ROW()-9)/24)</f>
        <v>46585</v>
      </c>
      <c r="B14876" s="11" t="n">
        <f aca="false">MOD(ROW()-9,24)</f>
        <v>11</v>
      </c>
      <c r="C14876" s="12"/>
      <c r="D14876" s="13" t="n">
        <f aca="false">IF(B14876&lt;5,Einstellungen!$B$3,Einstellungen!$B$4)</f>
        <v>29.13</v>
      </c>
      <c r="E14876" s="14" t="str">
        <f aca="false">IF(C14876="","",C14876*D14876/100)</f>
        <v/>
      </c>
      <c r="F14876" s="15" t="str">
        <f aca="false">IF(B14876&lt;5,"Go","Standard")</f>
        <v>Standard</v>
      </c>
    </row>
    <row r="14877" customFormat="false" ht="15" hidden="false" customHeight="true" outlineLevel="0" collapsed="false">
      <c r="A14877" s="10" t="n">
        <f aca="false">Einstellungen!$B$5+INT((ROW()-9)/24)</f>
        <v>46585</v>
      </c>
      <c r="B14877" s="11" t="n">
        <f aca="false">MOD(ROW()-9,24)</f>
        <v>12</v>
      </c>
      <c r="C14877" s="12"/>
      <c r="D14877" s="13" t="n">
        <f aca="false">IF(B14877&lt;5,Einstellungen!$B$3,Einstellungen!$B$4)</f>
        <v>29.13</v>
      </c>
      <c r="E14877" s="14" t="str">
        <f aca="false">IF(C14877="","",C14877*D14877/100)</f>
        <v/>
      </c>
      <c r="F14877" s="15" t="str">
        <f aca="false">IF(B14877&lt;5,"Go","Standard")</f>
        <v>Standard</v>
      </c>
    </row>
    <row r="14878" customFormat="false" ht="15" hidden="false" customHeight="true" outlineLevel="0" collapsed="false">
      <c r="A14878" s="10" t="n">
        <f aca="false">Einstellungen!$B$5+INT((ROW()-9)/24)</f>
        <v>46585</v>
      </c>
      <c r="B14878" s="11" t="n">
        <f aca="false">MOD(ROW()-9,24)</f>
        <v>13</v>
      </c>
      <c r="C14878" s="12"/>
      <c r="D14878" s="13" t="n">
        <f aca="false">IF(B14878&lt;5,Einstellungen!$B$3,Einstellungen!$B$4)</f>
        <v>29.13</v>
      </c>
      <c r="E14878" s="14" t="str">
        <f aca="false">IF(C14878="","",C14878*D14878/100)</f>
        <v/>
      </c>
      <c r="F14878" s="15" t="str">
        <f aca="false">IF(B14878&lt;5,"Go","Standard")</f>
        <v>Standard</v>
      </c>
    </row>
    <row r="14879" customFormat="false" ht="15" hidden="false" customHeight="true" outlineLevel="0" collapsed="false">
      <c r="A14879" s="10" t="n">
        <f aca="false">Einstellungen!$B$5+INT((ROW()-9)/24)</f>
        <v>46585</v>
      </c>
      <c r="B14879" s="11" t="n">
        <f aca="false">MOD(ROW()-9,24)</f>
        <v>14</v>
      </c>
      <c r="C14879" s="12"/>
      <c r="D14879" s="13" t="n">
        <f aca="false">IF(B14879&lt;5,Einstellungen!$B$3,Einstellungen!$B$4)</f>
        <v>29.13</v>
      </c>
      <c r="E14879" s="14" t="str">
        <f aca="false">IF(C14879="","",C14879*D14879/100)</f>
        <v/>
      </c>
      <c r="F14879" s="15" t="str">
        <f aca="false">IF(B14879&lt;5,"Go","Standard")</f>
        <v>Standard</v>
      </c>
    </row>
    <row r="14880" customFormat="false" ht="15" hidden="false" customHeight="true" outlineLevel="0" collapsed="false">
      <c r="A14880" s="10" t="n">
        <f aca="false">Einstellungen!$B$5+INT((ROW()-9)/24)</f>
        <v>46585</v>
      </c>
      <c r="B14880" s="11" t="n">
        <f aca="false">MOD(ROW()-9,24)</f>
        <v>15</v>
      </c>
      <c r="C14880" s="12"/>
      <c r="D14880" s="13" t="n">
        <f aca="false">IF(B14880&lt;5,Einstellungen!$B$3,Einstellungen!$B$4)</f>
        <v>29.13</v>
      </c>
      <c r="E14880" s="14" t="str">
        <f aca="false">IF(C14880="","",C14880*D14880/100)</f>
        <v/>
      </c>
      <c r="F14880" s="15" t="str">
        <f aca="false">IF(B14880&lt;5,"Go","Standard")</f>
        <v>Standard</v>
      </c>
    </row>
    <row r="14881" customFormat="false" ht="15" hidden="false" customHeight="true" outlineLevel="0" collapsed="false">
      <c r="A14881" s="10" t="n">
        <f aca="false">Einstellungen!$B$5+INT((ROW()-9)/24)</f>
        <v>46585</v>
      </c>
      <c r="B14881" s="11" t="n">
        <f aca="false">MOD(ROW()-9,24)</f>
        <v>16</v>
      </c>
      <c r="C14881" s="12"/>
      <c r="D14881" s="13" t="n">
        <f aca="false">IF(B14881&lt;5,Einstellungen!$B$3,Einstellungen!$B$4)</f>
        <v>29.13</v>
      </c>
      <c r="E14881" s="14" t="str">
        <f aca="false">IF(C14881="","",C14881*D14881/100)</f>
        <v/>
      </c>
      <c r="F14881" s="15" t="str">
        <f aca="false">IF(B14881&lt;5,"Go","Standard")</f>
        <v>Standard</v>
      </c>
    </row>
    <row r="14882" customFormat="false" ht="15" hidden="false" customHeight="true" outlineLevel="0" collapsed="false">
      <c r="A14882" s="10" t="n">
        <f aca="false">Einstellungen!$B$5+INT((ROW()-9)/24)</f>
        <v>46585</v>
      </c>
      <c r="B14882" s="11" t="n">
        <f aca="false">MOD(ROW()-9,24)</f>
        <v>17</v>
      </c>
      <c r="C14882" s="12"/>
      <c r="D14882" s="13" t="n">
        <f aca="false">IF(B14882&lt;5,Einstellungen!$B$3,Einstellungen!$B$4)</f>
        <v>29.13</v>
      </c>
      <c r="E14882" s="14" t="str">
        <f aca="false">IF(C14882="","",C14882*D14882/100)</f>
        <v/>
      </c>
      <c r="F14882" s="15" t="str">
        <f aca="false">IF(B14882&lt;5,"Go","Standard")</f>
        <v>Standard</v>
      </c>
    </row>
    <row r="14883" customFormat="false" ht="15" hidden="false" customHeight="true" outlineLevel="0" collapsed="false">
      <c r="A14883" s="10" t="n">
        <f aca="false">Einstellungen!$B$5+INT((ROW()-9)/24)</f>
        <v>46585</v>
      </c>
      <c r="B14883" s="11" t="n">
        <f aca="false">MOD(ROW()-9,24)</f>
        <v>18</v>
      </c>
      <c r="C14883" s="12"/>
      <c r="D14883" s="13" t="n">
        <f aca="false">IF(B14883&lt;5,Einstellungen!$B$3,Einstellungen!$B$4)</f>
        <v>29.13</v>
      </c>
      <c r="E14883" s="14" t="str">
        <f aca="false">IF(C14883="","",C14883*D14883/100)</f>
        <v/>
      </c>
      <c r="F14883" s="15" t="str">
        <f aca="false">IF(B14883&lt;5,"Go","Standard")</f>
        <v>Standard</v>
      </c>
    </row>
    <row r="14884" customFormat="false" ht="15" hidden="false" customHeight="true" outlineLevel="0" collapsed="false">
      <c r="A14884" s="10" t="n">
        <f aca="false">Einstellungen!$B$5+INT((ROW()-9)/24)</f>
        <v>46585</v>
      </c>
      <c r="B14884" s="11" t="n">
        <f aca="false">MOD(ROW()-9,24)</f>
        <v>19</v>
      </c>
      <c r="C14884" s="12"/>
      <c r="D14884" s="13" t="n">
        <f aca="false">IF(B14884&lt;5,Einstellungen!$B$3,Einstellungen!$B$4)</f>
        <v>29.13</v>
      </c>
      <c r="E14884" s="14" t="str">
        <f aca="false">IF(C14884="","",C14884*D14884/100)</f>
        <v/>
      </c>
      <c r="F14884" s="15" t="str">
        <f aca="false">IF(B14884&lt;5,"Go","Standard")</f>
        <v>Standard</v>
      </c>
    </row>
    <row r="14885" customFormat="false" ht="15" hidden="false" customHeight="true" outlineLevel="0" collapsed="false">
      <c r="A14885" s="10" t="n">
        <f aca="false">Einstellungen!$B$5+INT((ROW()-9)/24)</f>
        <v>46585</v>
      </c>
      <c r="B14885" s="11" t="n">
        <f aca="false">MOD(ROW()-9,24)</f>
        <v>20</v>
      </c>
      <c r="C14885" s="12"/>
      <c r="D14885" s="13" t="n">
        <f aca="false">IF(B14885&lt;5,Einstellungen!$B$3,Einstellungen!$B$4)</f>
        <v>29.13</v>
      </c>
      <c r="E14885" s="14" t="str">
        <f aca="false">IF(C14885="","",C14885*D14885/100)</f>
        <v/>
      </c>
      <c r="F14885" s="15" t="str">
        <f aca="false">IF(B14885&lt;5,"Go","Standard")</f>
        <v>Standard</v>
      </c>
    </row>
    <row r="14886" customFormat="false" ht="15" hidden="false" customHeight="true" outlineLevel="0" collapsed="false">
      <c r="A14886" s="10" t="n">
        <f aca="false">Einstellungen!$B$5+INT((ROW()-9)/24)</f>
        <v>46585</v>
      </c>
      <c r="B14886" s="11" t="n">
        <f aca="false">MOD(ROW()-9,24)</f>
        <v>21</v>
      </c>
      <c r="C14886" s="12"/>
      <c r="D14886" s="13" t="n">
        <f aca="false">IF(B14886&lt;5,Einstellungen!$B$3,Einstellungen!$B$4)</f>
        <v>29.13</v>
      </c>
      <c r="E14886" s="14" t="str">
        <f aca="false">IF(C14886="","",C14886*D14886/100)</f>
        <v/>
      </c>
      <c r="F14886" s="15" t="str">
        <f aca="false">IF(B14886&lt;5,"Go","Standard")</f>
        <v>Standard</v>
      </c>
    </row>
    <row r="14887" customFormat="false" ht="15" hidden="false" customHeight="true" outlineLevel="0" collapsed="false">
      <c r="A14887" s="10" t="n">
        <f aca="false">Einstellungen!$B$5+INT((ROW()-9)/24)</f>
        <v>46585</v>
      </c>
      <c r="B14887" s="11" t="n">
        <f aca="false">MOD(ROW()-9,24)</f>
        <v>22</v>
      </c>
      <c r="C14887" s="12"/>
      <c r="D14887" s="13" t="n">
        <f aca="false">IF(B14887&lt;5,Einstellungen!$B$3,Einstellungen!$B$4)</f>
        <v>29.13</v>
      </c>
      <c r="E14887" s="14" t="str">
        <f aca="false">IF(C14887="","",C14887*D14887/100)</f>
        <v/>
      </c>
      <c r="F14887" s="15" t="str">
        <f aca="false">IF(B14887&lt;5,"Go","Standard")</f>
        <v>Standard</v>
      </c>
    </row>
    <row r="14888" customFormat="false" ht="15" hidden="false" customHeight="true" outlineLevel="0" collapsed="false">
      <c r="A14888" s="10" t="n">
        <f aca="false">Einstellungen!$B$5+INT((ROW()-9)/24)</f>
        <v>46585</v>
      </c>
      <c r="B14888" s="11" t="n">
        <f aca="false">MOD(ROW()-9,24)</f>
        <v>23</v>
      </c>
      <c r="C14888" s="12"/>
      <c r="D14888" s="13" t="n">
        <f aca="false">IF(B14888&lt;5,Einstellungen!$B$3,Einstellungen!$B$4)</f>
        <v>29.13</v>
      </c>
      <c r="E14888" s="14" t="str">
        <f aca="false">IF(C14888="","",C14888*D14888/100)</f>
        <v/>
      </c>
      <c r="F14888" s="15" t="str">
        <f aca="false">IF(B14888&lt;5,"Go","Standard")</f>
        <v>Standard</v>
      </c>
    </row>
    <row r="14889" customFormat="false" ht="15" hidden="false" customHeight="true" outlineLevel="0" collapsed="false">
      <c r="A14889" s="10" t="n">
        <f aca="false">Einstellungen!$B$5+INT((ROW()-9)/24)</f>
        <v>46586</v>
      </c>
      <c r="B14889" s="11" t="n">
        <f aca="false">MOD(ROW()-9,24)</f>
        <v>0</v>
      </c>
      <c r="C14889" s="12"/>
      <c r="D14889" s="13" t="n">
        <f aca="false">IF(B14889&lt;5,Einstellungen!$B$3,Einstellungen!$B$4)</f>
        <v>15.92</v>
      </c>
      <c r="E14889" s="14" t="str">
        <f aca="false">IF(C14889="","",C14889*D14889/100)</f>
        <v/>
      </c>
      <c r="F14889" s="15" t="str">
        <f aca="false">IF(B14889&lt;5,"Go","Standard")</f>
        <v>Go</v>
      </c>
    </row>
    <row r="14890" customFormat="false" ht="15" hidden="false" customHeight="true" outlineLevel="0" collapsed="false">
      <c r="A14890" s="10" t="n">
        <f aca="false">Einstellungen!$B$5+INT((ROW()-9)/24)</f>
        <v>46586</v>
      </c>
      <c r="B14890" s="11" t="n">
        <f aca="false">MOD(ROW()-9,24)</f>
        <v>1</v>
      </c>
      <c r="C14890" s="12"/>
      <c r="D14890" s="13" t="n">
        <f aca="false">IF(B14890&lt;5,Einstellungen!$B$3,Einstellungen!$B$4)</f>
        <v>15.92</v>
      </c>
      <c r="E14890" s="14" t="str">
        <f aca="false">IF(C14890="","",C14890*D14890/100)</f>
        <v/>
      </c>
      <c r="F14890" s="15" t="str">
        <f aca="false">IF(B14890&lt;5,"Go","Standard")</f>
        <v>Go</v>
      </c>
    </row>
    <row r="14891" customFormat="false" ht="15" hidden="false" customHeight="true" outlineLevel="0" collapsed="false">
      <c r="A14891" s="10" t="n">
        <f aca="false">Einstellungen!$B$5+INT((ROW()-9)/24)</f>
        <v>46586</v>
      </c>
      <c r="B14891" s="11" t="n">
        <f aca="false">MOD(ROW()-9,24)</f>
        <v>2</v>
      </c>
      <c r="C14891" s="12"/>
      <c r="D14891" s="13" t="n">
        <f aca="false">IF(B14891&lt;5,Einstellungen!$B$3,Einstellungen!$B$4)</f>
        <v>15.92</v>
      </c>
      <c r="E14891" s="14" t="str">
        <f aca="false">IF(C14891="","",C14891*D14891/100)</f>
        <v/>
      </c>
      <c r="F14891" s="15" t="str">
        <f aca="false">IF(B14891&lt;5,"Go","Standard")</f>
        <v>Go</v>
      </c>
    </row>
    <row r="14892" customFormat="false" ht="15" hidden="false" customHeight="true" outlineLevel="0" collapsed="false">
      <c r="A14892" s="10" t="n">
        <f aca="false">Einstellungen!$B$5+INT((ROW()-9)/24)</f>
        <v>46586</v>
      </c>
      <c r="B14892" s="11" t="n">
        <f aca="false">MOD(ROW()-9,24)</f>
        <v>3</v>
      </c>
      <c r="C14892" s="12"/>
      <c r="D14892" s="13" t="n">
        <f aca="false">IF(B14892&lt;5,Einstellungen!$B$3,Einstellungen!$B$4)</f>
        <v>15.92</v>
      </c>
      <c r="E14892" s="14" t="str">
        <f aca="false">IF(C14892="","",C14892*D14892/100)</f>
        <v/>
      </c>
      <c r="F14892" s="15" t="str">
        <f aca="false">IF(B14892&lt;5,"Go","Standard")</f>
        <v>Go</v>
      </c>
    </row>
    <row r="14893" customFormat="false" ht="15" hidden="false" customHeight="true" outlineLevel="0" collapsed="false">
      <c r="A14893" s="10" t="n">
        <f aca="false">Einstellungen!$B$5+INT((ROW()-9)/24)</f>
        <v>46586</v>
      </c>
      <c r="B14893" s="11" t="n">
        <f aca="false">MOD(ROW()-9,24)</f>
        <v>4</v>
      </c>
      <c r="C14893" s="12"/>
      <c r="D14893" s="13" t="n">
        <f aca="false">IF(B14893&lt;5,Einstellungen!$B$3,Einstellungen!$B$4)</f>
        <v>15.92</v>
      </c>
      <c r="E14893" s="14" t="str">
        <f aca="false">IF(C14893="","",C14893*D14893/100)</f>
        <v/>
      </c>
      <c r="F14893" s="15" t="str">
        <f aca="false">IF(B14893&lt;5,"Go","Standard")</f>
        <v>Go</v>
      </c>
    </row>
    <row r="14894" customFormat="false" ht="15" hidden="false" customHeight="true" outlineLevel="0" collapsed="false">
      <c r="A14894" s="10" t="n">
        <f aca="false">Einstellungen!$B$5+INT((ROW()-9)/24)</f>
        <v>46586</v>
      </c>
      <c r="B14894" s="11" t="n">
        <f aca="false">MOD(ROW()-9,24)</f>
        <v>5</v>
      </c>
      <c r="C14894" s="12"/>
      <c r="D14894" s="13" t="n">
        <f aca="false">IF(B14894&lt;5,Einstellungen!$B$3,Einstellungen!$B$4)</f>
        <v>29.13</v>
      </c>
      <c r="E14894" s="14" t="str">
        <f aca="false">IF(C14894="","",C14894*D14894/100)</f>
        <v/>
      </c>
      <c r="F14894" s="15" t="str">
        <f aca="false">IF(B14894&lt;5,"Go","Standard")</f>
        <v>Standard</v>
      </c>
    </row>
    <row r="14895" customFormat="false" ht="15" hidden="false" customHeight="true" outlineLevel="0" collapsed="false">
      <c r="A14895" s="10" t="n">
        <f aca="false">Einstellungen!$B$5+INT((ROW()-9)/24)</f>
        <v>46586</v>
      </c>
      <c r="B14895" s="11" t="n">
        <f aca="false">MOD(ROW()-9,24)</f>
        <v>6</v>
      </c>
      <c r="C14895" s="12"/>
      <c r="D14895" s="13" t="n">
        <f aca="false">IF(B14895&lt;5,Einstellungen!$B$3,Einstellungen!$B$4)</f>
        <v>29.13</v>
      </c>
      <c r="E14895" s="14" t="str">
        <f aca="false">IF(C14895="","",C14895*D14895/100)</f>
        <v/>
      </c>
      <c r="F14895" s="15" t="str">
        <f aca="false">IF(B14895&lt;5,"Go","Standard")</f>
        <v>Standard</v>
      </c>
    </row>
    <row r="14896" customFormat="false" ht="15" hidden="false" customHeight="true" outlineLevel="0" collapsed="false">
      <c r="A14896" s="10" t="n">
        <f aca="false">Einstellungen!$B$5+INT((ROW()-9)/24)</f>
        <v>46586</v>
      </c>
      <c r="B14896" s="11" t="n">
        <f aca="false">MOD(ROW()-9,24)</f>
        <v>7</v>
      </c>
      <c r="C14896" s="12"/>
      <c r="D14896" s="13" t="n">
        <f aca="false">IF(B14896&lt;5,Einstellungen!$B$3,Einstellungen!$B$4)</f>
        <v>29.13</v>
      </c>
      <c r="E14896" s="14" t="str">
        <f aca="false">IF(C14896="","",C14896*D14896/100)</f>
        <v/>
      </c>
      <c r="F14896" s="15" t="str">
        <f aca="false">IF(B14896&lt;5,"Go","Standard")</f>
        <v>Standard</v>
      </c>
    </row>
    <row r="14897" customFormat="false" ht="15" hidden="false" customHeight="true" outlineLevel="0" collapsed="false">
      <c r="A14897" s="10" t="n">
        <f aca="false">Einstellungen!$B$5+INT((ROW()-9)/24)</f>
        <v>46586</v>
      </c>
      <c r="B14897" s="11" t="n">
        <f aca="false">MOD(ROW()-9,24)</f>
        <v>8</v>
      </c>
      <c r="C14897" s="12"/>
      <c r="D14897" s="13" t="n">
        <f aca="false">IF(B14897&lt;5,Einstellungen!$B$3,Einstellungen!$B$4)</f>
        <v>29.13</v>
      </c>
      <c r="E14897" s="14" t="str">
        <f aca="false">IF(C14897="","",C14897*D14897/100)</f>
        <v/>
      </c>
      <c r="F14897" s="15" t="str">
        <f aca="false">IF(B14897&lt;5,"Go","Standard")</f>
        <v>Standard</v>
      </c>
    </row>
    <row r="14898" customFormat="false" ht="15" hidden="false" customHeight="true" outlineLevel="0" collapsed="false">
      <c r="A14898" s="10" t="n">
        <f aca="false">Einstellungen!$B$5+INT((ROW()-9)/24)</f>
        <v>46586</v>
      </c>
      <c r="B14898" s="11" t="n">
        <f aca="false">MOD(ROW()-9,24)</f>
        <v>9</v>
      </c>
      <c r="C14898" s="12"/>
      <c r="D14898" s="13" t="n">
        <f aca="false">IF(B14898&lt;5,Einstellungen!$B$3,Einstellungen!$B$4)</f>
        <v>29.13</v>
      </c>
      <c r="E14898" s="14" t="str">
        <f aca="false">IF(C14898="","",C14898*D14898/100)</f>
        <v/>
      </c>
      <c r="F14898" s="15" t="str">
        <f aca="false">IF(B14898&lt;5,"Go","Standard")</f>
        <v>Standard</v>
      </c>
    </row>
    <row r="14899" customFormat="false" ht="15" hidden="false" customHeight="true" outlineLevel="0" collapsed="false">
      <c r="A14899" s="10" t="n">
        <f aca="false">Einstellungen!$B$5+INT((ROW()-9)/24)</f>
        <v>46586</v>
      </c>
      <c r="B14899" s="11" t="n">
        <f aca="false">MOD(ROW()-9,24)</f>
        <v>10</v>
      </c>
      <c r="C14899" s="12"/>
      <c r="D14899" s="13" t="n">
        <f aca="false">IF(B14899&lt;5,Einstellungen!$B$3,Einstellungen!$B$4)</f>
        <v>29.13</v>
      </c>
      <c r="E14899" s="14" t="str">
        <f aca="false">IF(C14899="","",C14899*D14899/100)</f>
        <v/>
      </c>
      <c r="F14899" s="15" t="str">
        <f aca="false">IF(B14899&lt;5,"Go","Standard")</f>
        <v>Standard</v>
      </c>
    </row>
    <row r="14900" customFormat="false" ht="15" hidden="false" customHeight="true" outlineLevel="0" collapsed="false">
      <c r="A14900" s="10" t="n">
        <f aca="false">Einstellungen!$B$5+INT((ROW()-9)/24)</f>
        <v>46586</v>
      </c>
      <c r="B14900" s="11" t="n">
        <f aca="false">MOD(ROW()-9,24)</f>
        <v>11</v>
      </c>
      <c r="C14900" s="12"/>
      <c r="D14900" s="13" t="n">
        <f aca="false">IF(B14900&lt;5,Einstellungen!$B$3,Einstellungen!$B$4)</f>
        <v>29.13</v>
      </c>
      <c r="E14900" s="14" t="str">
        <f aca="false">IF(C14900="","",C14900*D14900/100)</f>
        <v/>
      </c>
      <c r="F14900" s="15" t="str">
        <f aca="false">IF(B14900&lt;5,"Go","Standard")</f>
        <v>Standard</v>
      </c>
    </row>
    <row r="14901" customFormat="false" ht="15" hidden="false" customHeight="true" outlineLevel="0" collapsed="false">
      <c r="A14901" s="10" t="n">
        <f aca="false">Einstellungen!$B$5+INT((ROW()-9)/24)</f>
        <v>46586</v>
      </c>
      <c r="B14901" s="11" t="n">
        <f aca="false">MOD(ROW()-9,24)</f>
        <v>12</v>
      </c>
      <c r="C14901" s="12"/>
      <c r="D14901" s="13" t="n">
        <f aca="false">IF(B14901&lt;5,Einstellungen!$B$3,Einstellungen!$B$4)</f>
        <v>29.13</v>
      </c>
      <c r="E14901" s="14" t="str">
        <f aca="false">IF(C14901="","",C14901*D14901/100)</f>
        <v/>
      </c>
      <c r="F14901" s="15" t="str">
        <f aca="false">IF(B14901&lt;5,"Go","Standard")</f>
        <v>Standard</v>
      </c>
    </row>
    <row r="14902" customFormat="false" ht="15" hidden="false" customHeight="true" outlineLevel="0" collapsed="false">
      <c r="A14902" s="10" t="n">
        <f aca="false">Einstellungen!$B$5+INT((ROW()-9)/24)</f>
        <v>46586</v>
      </c>
      <c r="B14902" s="11" t="n">
        <f aca="false">MOD(ROW()-9,24)</f>
        <v>13</v>
      </c>
      <c r="C14902" s="12"/>
      <c r="D14902" s="13" t="n">
        <f aca="false">IF(B14902&lt;5,Einstellungen!$B$3,Einstellungen!$B$4)</f>
        <v>29.13</v>
      </c>
      <c r="E14902" s="14" t="str">
        <f aca="false">IF(C14902="","",C14902*D14902/100)</f>
        <v/>
      </c>
      <c r="F14902" s="15" t="str">
        <f aca="false">IF(B14902&lt;5,"Go","Standard")</f>
        <v>Standard</v>
      </c>
    </row>
    <row r="14903" customFormat="false" ht="15" hidden="false" customHeight="true" outlineLevel="0" collapsed="false">
      <c r="A14903" s="10" t="n">
        <f aca="false">Einstellungen!$B$5+INT((ROW()-9)/24)</f>
        <v>46586</v>
      </c>
      <c r="B14903" s="11" t="n">
        <f aca="false">MOD(ROW()-9,24)</f>
        <v>14</v>
      </c>
      <c r="C14903" s="12"/>
      <c r="D14903" s="13" t="n">
        <f aca="false">IF(B14903&lt;5,Einstellungen!$B$3,Einstellungen!$B$4)</f>
        <v>29.13</v>
      </c>
      <c r="E14903" s="14" t="str">
        <f aca="false">IF(C14903="","",C14903*D14903/100)</f>
        <v/>
      </c>
      <c r="F14903" s="15" t="str">
        <f aca="false">IF(B14903&lt;5,"Go","Standard")</f>
        <v>Standard</v>
      </c>
    </row>
    <row r="14904" customFormat="false" ht="15" hidden="false" customHeight="true" outlineLevel="0" collapsed="false">
      <c r="A14904" s="10" t="n">
        <f aca="false">Einstellungen!$B$5+INT((ROW()-9)/24)</f>
        <v>46586</v>
      </c>
      <c r="B14904" s="11" t="n">
        <f aca="false">MOD(ROW()-9,24)</f>
        <v>15</v>
      </c>
      <c r="C14904" s="12"/>
      <c r="D14904" s="13" t="n">
        <f aca="false">IF(B14904&lt;5,Einstellungen!$B$3,Einstellungen!$B$4)</f>
        <v>29.13</v>
      </c>
      <c r="E14904" s="14" t="str">
        <f aca="false">IF(C14904="","",C14904*D14904/100)</f>
        <v/>
      </c>
      <c r="F14904" s="15" t="str">
        <f aca="false">IF(B14904&lt;5,"Go","Standard")</f>
        <v>Standard</v>
      </c>
    </row>
    <row r="14905" customFormat="false" ht="15" hidden="false" customHeight="true" outlineLevel="0" collapsed="false">
      <c r="A14905" s="10" t="n">
        <f aca="false">Einstellungen!$B$5+INT((ROW()-9)/24)</f>
        <v>46586</v>
      </c>
      <c r="B14905" s="11" t="n">
        <f aca="false">MOD(ROW()-9,24)</f>
        <v>16</v>
      </c>
      <c r="C14905" s="12"/>
      <c r="D14905" s="13" t="n">
        <f aca="false">IF(B14905&lt;5,Einstellungen!$B$3,Einstellungen!$B$4)</f>
        <v>29.13</v>
      </c>
      <c r="E14905" s="14" t="str">
        <f aca="false">IF(C14905="","",C14905*D14905/100)</f>
        <v/>
      </c>
      <c r="F14905" s="15" t="str">
        <f aca="false">IF(B14905&lt;5,"Go","Standard")</f>
        <v>Standard</v>
      </c>
    </row>
    <row r="14906" customFormat="false" ht="15" hidden="false" customHeight="true" outlineLevel="0" collapsed="false">
      <c r="A14906" s="10" t="n">
        <f aca="false">Einstellungen!$B$5+INT((ROW()-9)/24)</f>
        <v>46586</v>
      </c>
      <c r="B14906" s="11" t="n">
        <f aca="false">MOD(ROW()-9,24)</f>
        <v>17</v>
      </c>
      <c r="C14906" s="12"/>
      <c r="D14906" s="13" t="n">
        <f aca="false">IF(B14906&lt;5,Einstellungen!$B$3,Einstellungen!$B$4)</f>
        <v>29.13</v>
      </c>
      <c r="E14906" s="14" t="str">
        <f aca="false">IF(C14906="","",C14906*D14906/100)</f>
        <v/>
      </c>
      <c r="F14906" s="15" t="str">
        <f aca="false">IF(B14906&lt;5,"Go","Standard")</f>
        <v>Standard</v>
      </c>
    </row>
    <row r="14907" customFormat="false" ht="15" hidden="false" customHeight="true" outlineLevel="0" collapsed="false">
      <c r="A14907" s="10" t="n">
        <f aca="false">Einstellungen!$B$5+INT((ROW()-9)/24)</f>
        <v>46586</v>
      </c>
      <c r="B14907" s="11" t="n">
        <f aca="false">MOD(ROW()-9,24)</f>
        <v>18</v>
      </c>
      <c r="C14907" s="12"/>
      <c r="D14907" s="13" t="n">
        <f aca="false">IF(B14907&lt;5,Einstellungen!$B$3,Einstellungen!$B$4)</f>
        <v>29.13</v>
      </c>
      <c r="E14907" s="14" t="str">
        <f aca="false">IF(C14907="","",C14907*D14907/100)</f>
        <v/>
      </c>
      <c r="F14907" s="15" t="str">
        <f aca="false">IF(B14907&lt;5,"Go","Standard")</f>
        <v>Standard</v>
      </c>
    </row>
    <row r="14908" customFormat="false" ht="15" hidden="false" customHeight="true" outlineLevel="0" collapsed="false">
      <c r="A14908" s="10" t="n">
        <f aca="false">Einstellungen!$B$5+INT((ROW()-9)/24)</f>
        <v>46586</v>
      </c>
      <c r="B14908" s="11" t="n">
        <f aca="false">MOD(ROW()-9,24)</f>
        <v>19</v>
      </c>
      <c r="C14908" s="12"/>
      <c r="D14908" s="13" t="n">
        <f aca="false">IF(B14908&lt;5,Einstellungen!$B$3,Einstellungen!$B$4)</f>
        <v>29.13</v>
      </c>
      <c r="E14908" s="14" t="str">
        <f aca="false">IF(C14908="","",C14908*D14908/100)</f>
        <v/>
      </c>
      <c r="F14908" s="15" t="str">
        <f aca="false">IF(B14908&lt;5,"Go","Standard")</f>
        <v>Standard</v>
      </c>
    </row>
    <row r="14909" customFormat="false" ht="15" hidden="false" customHeight="true" outlineLevel="0" collapsed="false">
      <c r="A14909" s="10" t="n">
        <f aca="false">Einstellungen!$B$5+INT((ROW()-9)/24)</f>
        <v>46586</v>
      </c>
      <c r="B14909" s="11" t="n">
        <f aca="false">MOD(ROW()-9,24)</f>
        <v>20</v>
      </c>
      <c r="C14909" s="12"/>
      <c r="D14909" s="13" t="n">
        <f aca="false">IF(B14909&lt;5,Einstellungen!$B$3,Einstellungen!$B$4)</f>
        <v>29.13</v>
      </c>
      <c r="E14909" s="14" t="str">
        <f aca="false">IF(C14909="","",C14909*D14909/100)</f>
        <v/>
      </c>
      <c r="F14909" s="15" t="str">
        <f aca="false">IF(B14909&lt;5,"Go","Standard")</f>
        <v>Standard</v>
      </c>
    </row>
    <row r="14910" customFormat="false" ht="15" hidden="false" customHeight="true" outlineLevel="0" collapsed="false">
      <c r="A14910" s="10" t="n">
        <f aca="false">Einstellungen!$B$5+INT((ROW()-9)/24)</f>
        <v>46586</v>
      </c>
      <c r="B14910" s="11" t="n">
        <f aca="false">MOD(ROW()-9,24)</f>
        <v>21</v>
      </c>
      <c r="C14910" s="12"/>
      <c r="D14910" s="13" t="n">
        <f aca="false">IF(B14910&lt;5,Einstellungen!$B$3,Einstellungen!$B$4)</f>
        <v>29.13</v>
      </c>
      <c r="E14910" s="14" t="str">
        <f aca="false">IF(C14910="","",C14910*D14910/100)</f>
        <v/>
      </c>
      <c r="F14910" s="15" t="str">
        <f aca="false">IF(B14910&lt;5,"Go","Standard")</f>
        <v>Standard</v>
      </c>
    </row>
    <row r="14911" customFormat="false" ht="15" hidden="false" customHeight="true" outlineLevel="0" collapsed="false">
      <c r="A14911" s="10" t="n">
        <f aca="false">Einstellungen!$B$5+INT((ROW()-9)/24)</f>
        <v>46586</v>
      </c>
      <c r="B14911" s="11" t="n">
        <f aca="false">MOD(ROW()-9,24)</f>
        <v>22</v>
      </c>
      <c r="C14911" s="12"/>
      <c r="D14911" s="13" t="n">
        <f aca="false">IF(B14911&lt;5,Einstellungen!$B$3,Einstellungen!$B$4)</f>
        <v>29.13</v>
      </c>
      <c r="E14911" s="14" t="str">
        <f aca="false">IF(C14911="","",C14911*D14911/100)</f>
        <v/>
      </c>
      <c r="F14911" s="15" t="str">
        <f aca="false">IF(B14911&lt;5,"Go","Standard")</f>
        <v>Standard</v>
      </c>
    </row>
    <row r="14912" customFormat="false" ht="15" hidden="false" customHeight="true" outlineLevel="0" collapsed="false">
      <c r="A14912" s="10" t="n">
        <f aca="false">Einstellungen!$B$5+INT((ROW()-9)/24)</f>
        <v>46586</v>
      </c>
      <c r="B14912" s="11" t="n">
        <f aca="false">MOD(ROW()-9,24)</f>
        <v>23</v>
      </c>
      <c r="C14912" s="12"/>
      <c r="D14912" s="13" t="n">
        <f aca="false">IF(B14912&lt;5,Einstellungen!$B$3,Einstellungen!$B$4)</f>
        <v>29.13</v>
      </c>
      <c r="E14912" s="14" t="str">
        <f aca="false">IF(C14912="","",C14912*D14912/100)</f>
        <v/>
      </c>
      <c r="F14912" s="15" t="str">
        <f aca="false">IF(B14912&lt;5,"Go","Standard")</f>
        <v>Standard</v>
      </c>
    </row>
    <row r="14913" customFormat="false" ht="15" hidden="false" customHeight="true" outlineLevel="0" collapsed="false">
      <c r="A14913" s="10" t="n">
        <f aca="false">Einstellungen!$B$5+INT((ROW()-9)/24)</f>
        <v>46587</v>
      </c>
      <c r="B14913" s="11" t="n">
        <f aca="false">MOD(ROW()-9,24)</f>
        <v>0</v>
      </c>
      <c r="C14913" s="12"/>
      <c r="D14913" s="13" t="n">
        <f aca="false">IF(B14913&lt;5,Einstellungen!$B$3,Einstellungen!$B$4)</f>
        <v>15.92</v>
      </c>
      <c r="E14913" s="14" t="str">
        <f aca="false">IF(C14913="","",C14913*D14913/100)</f>
        <v/>
      </c>
      <c r="F14913" s="15" t="str">
        <f aca="false">IF(B14913&lt;5,"Go","Standard")</f>
        <v>Go</v>
      </c>
    </row>
    <row r="14914" customFormat="false" ht="15" hidden="false" customHeight="true" outlineLevel="0" collapsed="false">
      <c r="A14914" s="10" t="n">
        <f aca="false">Einstellungen!$B$5+INT((ROW()-9)/24)</f>
        <v>46587</v>
      </c>
      <c r="B14914" s="11" t="n">
        <f aca="false">MOD(ROW()-9,24)</f>
        <v>1</v>
      </c>
      <c r="C14914" s="12"/>
      <c r="D14914" s="13" t="n">
        <f aca="false">IF(B14914&lt;5,Einstellungen!$B$3,Einstellungen!$B$4)</f>
        <v>15.92</v>
      </c>
      <c r="E14914" s="14" t="str">
        <f aca="false">IF(C14914="","",C14914*D14914/100)</f>
        <v/>
      </c>
      <c r="F14914" s="15" t="str">
        <f aca="false">IF(B14914&lt;5,"Go","Standard")</f>
        <v>Go</v>
      </c>
    </row>
    <row r="14915" customFormat="false" ht="15" hidden="false" customHeight="true" outlineLevel="0" collapsed="false">
      <c r="A14915" s="10" t="n">
        <f aca="false">Einstellungen!$B$5+INT((ROW()-9)/24)</f>
        <v>46587</v>
      </c>
      <c r="B14915" s="11" t="n">
        <f aca="false">MOD(ROW()-9,24)</f>
        <v>2</v>
      </c>
      <c r="C14915" s="12"/>
      <c r="D14915" s="13" t="n">
        <f aca="false">IF(B14915&lt;5,Einstellungen!$B$3,Einstellungen!$B$4)</f>
        <v>15.92</v>
      </c>
      <c r="E14915" s="14" t="str">
        <f aca="false">IF(C14915="","",C14915*D14915/100)</f>
        <v/>
      </c>
      <c r="F14915" s="15" t="str">
        <f aca="false">IF(B14915&lt;5,"Go","Standard")</f>
        <v>Go</v>
      </c>
    </row>
    <row r="14916" customFormat="false" ht="15" hidden="false" customHeight="true" outlineLevel="0" collapsed="false">
      <c r="A14916" s="10" t="n">
        <f aca="false">Einstellungen!$B$5+INT((ROW()-9)/24)</f>
        <v>46587</v>
      </c>
      <c r="B14916" s="11" t="n">
        <f aca="false">MOD(ROW()-9,24)</f>
        <v>3</v>
      </c>
      <c r="C14916" s="12"/>
      <c r="D14916" s="13" t="n">
        <f aca="false">IF(B14916&lt;5,Einstellungen!$B$3,Einstellungen!$B$4)</f>
        <v>15.92</v>
      </c>
      <c r="E14916" s="14" t="str">
        <f aca="false">IF(C14916="","",C14916*D14916/100)</f>
        <v/>
      </c>
      <c r="F14916" s="15" t="str">
        <f aca="false">IF(B14916&lt;5,"Go","Standard")</f>
        <v>Go</v>
      </c>
    </row>
    <row r="14917" customFormat="false" ht="15" hidden="false" customHeight="true" outlineLevel="0" collapsed="false">
      <c r="A14917" s="10" t="n">
        <f aca="false">Einstellungen!$B$5+INT((ROW()-9)/24)</f>
        <v>46587</v>
      </c>
      <c r="B14917" s="11" t="n">
        <f aca="false">MOD(ROW()-9,24)</f>
        <v>4</v>
      </c>
      <c r="C14917" s="12"/>
      <c r="D14917" s="13" t="n">
        <f aca="false">IF(B14917&lt;5,Einstellungen!$B$3,Einstellungen!$B$4)</f>
        <v>15.92</v>
      </c>
      <c r="E14917" s="14" t="str">
        <f aca="false">IF(C14917="","",C14917*D14917/100)</f>
        <v/>
      </c>
      <c r="F14917" s="15" t="str">
        <f aca="false">IF(B14917&lt;5,"Go","Standard")</f>
        <v>Go</v>
      </c>
    </row>
    <row r="14918" customFormat="false" ht="15" hidden="false" customHeight="true" outlineLevel="0" collapsed="false">
      <c r="A14918" s="10" t="n">
        <f aca="false">Einstellungen!$B$5+INT((ROW()-9)/24)</f>
        <v>46587</v>
      </c>
      <c r="B14918" s="11" t="n">
        <f aca="false">MOD(ROW()-9,24)</f>
        <v>5</v>
      </c>
      <c r="C14918" s="12"/>
      <c r="D14918" s="13" t="n">
        <f aca="false">IF(B14918&lt;5,Einstellungen!$B$3,Einstellungen!$B$4)</f>
        <v>29.13</v>
      </c>
      <c r="E14918" s="14" t="str">
        <f aca="false">IF(C14918="","",C14918*D14918/100)</f>
        <v/>
      </c>
      <c r="F14918" s="15" t="str">
        <f aca="false">IF(B14918&lt;5,"Go","Standard")</f>
        <v>Standard</v>
      </c>
    </row>
    <row r="14919" customFormat="false" ht="15" hidden="false" customHeight="true" outlineLevel="0" collapsed="false">
      <c r="A14919" s="10" t="n">
        <f aca="false">Einstellungen!$B$5+INT((ROW()-9)/24)</f>
        <v>46587</v>
      </c>
      <c r="B14919" s="11" t="n">
        <f aca="false">MOD(ROW()-9,24)</f>
        <v>6</v>
      </c>
      <c r="C14919" s="12"/>
      <c r="D14919" s="13" t="n">
        <f aca="false">IF(B14919&lt;5,Einstellungen!$B$3,Einstellungen!$B$4)</f>
        <v>29.13</v>
      </c>
      <c r="E14919" s="14" t="str">
        <f aca="false">IF(C14919="","",C14919*D14919/100)</f>
        <v/>
      </c>
      <c r="F14919" s="15" t="str">
        <f aca="false">IF(B14919&lt;5,"Go","Standard")</f>
        <v>Standard</v>
      </c>
    </row>
    <row r="14920" customFormat="false" ht="15" hidden="false" customHeight="true" outlineLevel="0" collapsed="false">
      <c r="A14920" s="10" t="n">
        <f aca="false">Einstellungen!$B$5+INT((ROW()-9)/24)</f>
        <v>46587</v>
      </c>
      <c r="B14920" s="11" t="n">
        <f aca="false">MOD(ROW()-9,24)</f>
        <v>7</v>
      </c>
      <c r="C14920" s="12"/>
      <c r="D14920" s="13" t="n">
        <f aca="false">IF(B14920&lt;5,Einstellungen!$B$3,Einstellungen!$B$4)</f>
        <v>29.13</v>
      </c>
      <c r="E14920" s="14" t="str">
        <f aca="false">IF(C14920="","",C14920*D14920/100)</f>
        <v/>
      </c>
      <c r="F14920" s="15" t="str">
        <f aca="false">IF(B14920&lt;5,"Go","Standard")</f>
        <v>Standard</v>
      </c>
    </row>
    <row r="14921" customFormat="false" ht="15" hidden="false" customHeight="true" outlineLevel="0" collapsed="false">
      <c r="A14921" s="10" t="n">
        <f aca="false">Einstellungen!$B$5+INT((ROW()-9)/24)</f>
        <v>46587</v>
      </c>
      <c r="B14921" s="11" t="n">
        <f aca="false">MOD(ROW()-9,24)</f>
        <v>8</v>
      </c>
      <c r="C14921" s="12"/>
      <c r="D14921" s="13" t="n">
        <f aca="false">IF(B14921&lt;5,Einstellungen!$B$3,Einstellungen!$B$4)</f>
        <v>29.13</v>
      </c>
      <c r="E14921" s="14" t="str">
        <f aca="false">IF(C14921="","",C14921*D14921/100)</f>
        <v/>
      </c>
      <c r="F14921" s="15" t="str">
        <f aca="false">IF(B14921&lt;5,"Go","Standard")</f>
        <v>Standard</v>
      </c>
    </row>
    <row r="14922" customFormat="false" ht="15" hidden="false" customHeight="true" outlineLevel="0" collapsed="false">
      <c r="A14922" s="10" t="n">
        <f aca="false">Einstellungen!$B$5+INT((ROW()-9)/24)</f>
        <v>46587</v>
      </c>
      <c r="B14922" s="11" t="n">
        <f aca="false">MOD(ROW()-9,24)</f>
        <v>9</v>
      </c>
      <c r="C14922" s="12"/>
      <c r="D14922" s="13" t="n">
        <f aca="false">IF(B14922&lt;5,Einstellungen!$B$3,Einstellungen!$B$4)</f>
        <v>29.13</v>
      </c>
      <c r="E14922" s="14" t="str">
        <f aca="false">IF(C14922="","",C14922*D14922/100)</f>
        <v/>
      </c>
      <c r="F14922" s="15" t="str">
        <f aca="false">IF(B14922&lt;5,"Go","Standard")</f>
        <v>Standard</v>
      </c>
    </row>
    <row r="14923" customFormat="false" ht="15" hidden="false" customHeight="true" outlineLevel="0" collapsed="false">
      <c r="A14923" s="10" t="n">
        <f aca="false">Einstellungen!$B$5+INT((ROW()-9)/24)</f>
        <v>46587</v>
      </c>
      <c r="B14923" s="11" t="n">
        <f aca="false">MOD(ROW()-9,24)</f>
        <v>10</v>
      </c>
      <c r="C14923" s="12"/>
      <c r="D14923" s="13" t="n">
        <f aca="false">IF(B14923&lt;5,Einstellungen!$B$3,Einstellungen!$B$4)</f>
        <v>29.13</v>
      </c>
      <c r="E14923" s="14" t="str">
        <f aca="false">IF(C14923="","",C14923*D14923/100)</f>
        <v/>
      </c>
      <c r="F14923" s="15" t="str">
        <f aca="false">IF(B14923&lt;5,"Go","Standard")</f>
        <v>Standard</v>
      </c>
    </row>
    <row r="14924" customFormat="false" ht="15" hidden="false" customHeight="true" outlineLevel="0" collapsed="false">
      <c r="A14924" s="10" t="n">
        <f aca="false">Einstellungen!$B$5+INT((ROW()-9)/24)</f>
        <v>46587</v>
      </c>
      <c r="B14924" s="11" t="n">
        <f aca="false">MOD(ROW()-9,24)</f>
        <v>11</v>
      </c>
      <c r="C14924" s="12"/>
      <c r="D14924" s="13" t="n">
        <f aca="false">IF(B14924&lt;5,Einstellungen!$B$3,Einstellungen!$B$4)</f>
        <v>29.13</v>
      </c>
      <c r="E14924" s="14" t="str">
        <f aca="false">IF(C14924="","",C14924*D14924/100)</f>
        <v/>
      </c>
      <c r="F14924" s="15" t="str">
        <f aca="false">IF(B14924&lt;5,"Go","Standard")</f>
        <v>Standard</v>
      </c>
    </row>
    <row r="14925" customFormat="false" ht="15" hidden="false" customHeight="true" outlineLevel="0" collapsed="false">
      <c r="A14925" s="10" t="n">
        <f aca="false">Einstellungen!$B$5+INT((ROW()-9)/24)</f>
        <v>46587</v>
      </c>
      <c r="B14925" s="11" t="n">
        <f aca="false">MOD(ROW()-9,24)</f>
        <v>12</v>
      </c>
      <c r="C14925" s="12"/>
      <c r="D14925" s="13" t="n">
        <f aca="false">IF(B14925&lt;5,Einstellungen!$B$3,Einstellungen!$B$4)</f>
        <v>29.13</v>
      </c>
      <c r="E14925" s="14" t="str">
        <f aca="false">IF(C14925="","",C14925*D14925/100)</f>
        <v/>
      </c>
      <c r="F14925" s="15" t="str">
        <f aca="false">IF(B14925&lt;5,"Go","Standard")</f>
        <v>Standard</v>
      </c>
    </row>
    <row r="14926" customFormat="false" ht="15" hidden="false" customHeight="true" outlineLevel="0" collapsed="false">
      <c r="A14926" s="10" t="n">
        <f aca="false">Einstellungen!$B$5+INT((ROW()-9)/24)</f>
        <v>46587</v>
      </c>
      <c r="B14926" s="11" t="n">
        <f aca="false">MOD(ROW()-9,24)</f>
        <v>13</v>
      </c>
      <c r="C14926" s="12"/>
      <c r="D14926" s="13" t="n">
        <f aca="false">IF(B14926&lt;5,Einstellungen!$B$3,Einstellungen!$B$4)</f>
        <v>29.13</v>
      </c>
      <c r="E14926" s="14" t="str">
        <f aca="false">IF(C14926="","",C14926*D14926/100)</f>
        <v/>
      </c>
      <c r="F14926" s="15" t="str">
        <f aca="false">IF(B14926&lt;5,"Go","Standard")</f>
        <v>Standard</v>
      </c>
    </row>
    <row r="14927" customFormat="false" ht="15" hidden="false" customHeight="true" outlineLevel="0" collapsed="false">
      <c r="A14927" s="10" t="n">
        <f aca="false">Einstellungen!$B$5+INT((ROW()-9)/24)</f>
        <v>46587</v>
      </c>
      <c r="B14927" s="11" t="n">
        <f aca="false">MOD(ROW()-9,24)</f>
        <v>14</v>
      </c>
      <c r="C14927" s="12"/>
      <c r="D14927" s="13" t="n">
        <f aca="false">IF(B14927&lt;5,Einstellungen!$B$3,Einstellungen!$B$4)</f>
        <v>29.13</v>
      </c>
      <c r="E14927" s="14" t="str">
        <f aca="false">IF(C14927="","",C14927*D14927/100)</f>
        <v/>
      </c>
      <c r="F14927" s="15" t="str">
        <f aca="false">IF(B14927&lt;5,"Go","Standard")</f>
        <v>Standard</v>
      </c>
    </row>
    <row r="14928" customFormat="false" ht="15" hidden="false" customHeight="true" outlineLevel="0" collapsed="false">
      <c r="A14928" s="10" t="n">
        <f aca="false">Einstellungen!$B$5+INT((ROW()-9)/24)</f>
        <v>46587</v>
      </c>
      <c r="B14928" s="11" t="n">
        <f aca="false">MOD(ROW()-9,24)</f>
        <v>15</v>
      </c>
      <c r="C14928" s="12"/>
      <c r="D14928" s="13" t="n">
        <f aca="false">IF(B14928&lt;5,Einstellungen!$B$3,Einstellungen!$B$4)</f>
        <v>29.13</v>
      </c>
      <c r="E14928" s="14" t="str">
        <f aca="false">IF(C14928="","",C14928*D14928/100)</f>
        <v/>
      </c>
      <c r="F14928" s="15" t="str">
        <f aca="false">IF(B14928&lt;5,"Go","Standard")</f>
        <v>Standard</v>
      </c>
    </row>
    <row r="14929" customFormat="false" ht="15" hidden="false" customHeight="true" outlineLevel="0" collapsed="false">
      <c r="A14929" s="10" t="n">
        <f aca="false">Einstellungen!$B$5+INT((ROW()-9)/24)</f>
        <v>46587</v>
      </c>
      <c r="B14929" s="11" t="n">
        <f aca="false">MOD(ROW()-9,24)</f>
        <v>16</v>
      </c>
      <c r="C14929" s="12"/>
      <c r="D14929" s="13" t="n">
        <f aca="false">IF(B14929&lt;5,Einstellungen!$B$3,Einstellungen!$B$4)</f>
        <v>29.13</v>
      </c>
      <c r="E14929" s="14" t="str">
        <f aca="false">IF(C14929="","",C14929*D14929/100)</f>
        <v/>
      </c>
      <c r="F14929" s="15" t="str">
        <f aca="false">IF(B14929&lt;5,"Go","Standard")</f>
        <v>Standard</v>
      </c>
    </row>
    <row r="14930" customFormat="false" ht="15" hidden="false" customHeight="true" outlineLevel="0" collapsed="false">
      <c r="A14930" s="10" t="n">
        <f aca="false">Einstellungen!$B$5+INT((ROW()-9)/24)</f>
        <v>46587</v>
      </c>
      <c r="B14930" s="11" t="n">
        <f aca="false">MOD(ROW()-9,24)</f>
        <v>17</v>
      </c>
      <c r="C14930" s="12"/>
      <c r="D14930" s="13" t="n">
        <f aca="false">IF(B14930&lt;5,Einstellungen!$B$3,Einstellungen!$B$4)</f>
        <v>29.13</v>
      </c>
      <c r="E14930" s="14" t="str">
        <f aca="false">IF(C14930="","",C14930*D14930/100)</f>
        <v/>
      </c>
      <c r="F14930" s="15" t="str">
        <f aca="false">IF(B14930&lt;5,"Go","Standard")</f>
        <v>Standard</v>
      </c>
    </row>
    <row r="14931" customFormat="false" ht="15" hidden="false" customHeight="true" outlineLevel="0" collapsed="false">
      <c r="A14931" s="10" t="n">
        <f aca="false">Einstellungen!$B$5+INT((ROW()-9)/24)</f>
        <v>46587</v>
      </c>
      <c r="B14931" s="11" t="n">
        <f aca="false">MOD(ROW()-9,24)</f>
        <v>18</v>
      </c>
      <c r="C14931" s="12"/>
      <c r="D14931" s="13" t="n">
        <f aca="false">IF(B14931&lt;5,Einstellungen!$B$3,Einstellungen!$B$4)</f>
        <v>29.13</v>
      </c>
      <c r="E14931" s="14" t="str">
        <f aca="false">IF(C14931="","",C14931*D14931/100)</f>
        <v/>
      </c>
      <c r="F14931" s="15" t="str">
        <f aca="false">IF(B14931&lt;5,"Go","Standard")</f>
        <v>Standard</v>
      </c>
    </row>
    <row r="14932" customFormat="false" ht="15" hidden="false" customHeight="true" outlineLevel="0" collapsed="false">
      <c r="A14932" s="10" t="n">
        <f aca="false">Einstellungen!$B$5+INT((ROW()-9)/24)</f>
        <v>46587</v>
      </c>
      <c r="B14932" s="11" t="n">
        <f aca="false">MOD(ROW()-9,24)</f>
        <v>19</v>
      </c>
      <c r="C14932" s="12"/>
      <c r="D14932" s="13" t="n">
        <f aca="false">IF(B14932&lt;5,Einstellungen!$B$3,Einstellungen!$B$4)</f>
        <v>29.13</v>
      </c>
      <c r="E14932" s="14" t="str">
        <f aca="false">IF(C14932="","",C14932*D14932/100)</f>
        <v/>
      </c>
      <c r="F14932" s="15" t="str">
        <f aca="false">IF(B14932&lt;5,"Go","Standard")</f>
        <v>Standard</v>
      </c>
    </row>
    <row r="14933" customFormat="false" ht="15" hidden="false" customHeight="true" outlineLevel="0" collapsed="false">
      <c r="A14933" s="10" t="n">
        <f aca="false">Einstellungen!$B$5+INT((ROW()-9)/24)</f>
        <v>46587</v>
      </c>
      <c r="B14933" s="11" t="n">
        <f aca="false">MOD(ROW()-9,24)</f>
        <v>20</v>
      </c>
      <c r="C14933" s="12"/>
      <c r="D14933" s="13" t="n">
        <f aca="false">IF(B14933&lt;5,Einstellungen!$B$3,Einstellungen!$B$4)</f>
        <v>29.13</v>
      </c>
      <c r="E14933" s="14" t="str">
        <f aca="false">IF(C14933="","",C14933*D14933/100)</f>
        <v/>
      </c>
      <c r="F14933" s="15" t="str">
        <f aca="false">IF(B14933&lt;5,"Go","Standard")</f>
        <v>Standard</v>
      </c>
    </row>
    <row r="14934" customFormat="false" ht="15" hidden="false" customHeight="true" outlineLevel="0" collapsed="false">
      <c r="A14934" s="10" t="n">
        <f aca="false">Einstellungen!$B$5+INT((ROW()-9)/24)</f>
        <v>46587</v>
      </c>
      <c r="B14934" s="11" t="n">
        <f aca="false">MOD(ROW()-9,24)</f>
        <v>21</v>
      </c>
      <c r="C14934" s="12"/>
      <c r="D14934" s="13" t="n">
        <f aca="false">IF(B14934&lt;5,Einstellungen!$B$3,Einstellungen!$B$4)</f>
        <v>29.13</v>
      </c>
      <c r="E14934" s="14" t="str">
        <f aca="false">IF(C14934="","",C14934*D14934/100)</f>
        <v/>
      </c>
      <c r="F14934" s="15" t="str">
        <f aca="false">IF(B14934&lt;5,"Go","Standard")</f>
        <v>Standard</v>
      </c>
    </row>
    <row r="14935" customFormat="false" ht="15" hidden="false" customHeight="true" outlineLevel="0" collapsed="false">
      <c r="A14935" s="10" t="n">
        <f aca="false">Einstellungen!$B$5+INT((ROW()-9)/24)</f>
        <v>46587</v>
      </c>
      <c r="B14935" s="11" t="n">
        <f aca="false">MOD(ROW()-9,24)</f>
        <v>22</v>
      </c>
      <c r="C14935" s="12"/>
      <c r="D14935" s="13" t="n">
        <f aca="false">IF(B14935&lt;5,Einstellungen!$B$3,Einstellungen!$B$4)</f>
        <v>29.13</v>
      </c>
      <c r="E14935" s="14" t="str">
        <f aca="false">IF(C14935="","",C14935*D14935/100)</f>
        <v/>
      </c>
      <c r="F14935" s="15" t="str">
        <f aca="false">IF(B14935&lt;5,"Go","Standard")</f>
        <v>Standard</v>
      </c>
    </row>
    <row r="14936" customFormat="false" ht="15" hidden="false" customHeight="true" outlineLevel="0" collapsed="false">
      <c r="A14936" s="10" t="n">
        <f aca="false">Einstellungen!$B$5+INT((ROW()-9)/24)</f>
        <v>46587</v>
      </c>
      <c r="B14936" s="11" t="n">
        <f aca="false">MOD(ROW()-9,24)</f>
        <v>23</v>
      </c>
      <c r="C14936" s="12"/>
      <c r="D14936" s="13" t="n">
        <f aca="false">IF(B14936&lt;5,Einstellungen!$B$3,Einstellungen!$B$4)</f>
        <v>29.13</v>
      </c>
      <c r="E14936" s="14" t="str">
        <f aca="false">IF(C14936="","",C14936*D14936/100)</f>
        <v/>
      </c>
      <c r="F14936" s="15" t="str">
        <f aca="false">IF(B14936&lt;5,"Go","Standard")</f>
        <v>Standard</v>
      </c>
    </row>
    <row r="14937" customFormat="false" ht="15" hidden="false" customHeight="true" outlineLevel="0" collapsed="false">
      <c r="A14937" s="10" t="n">
        <f aca="false">Einstellungen!$B$5+INT((ROW()-9)/24)</f>
        <v>46588</v>
      </c>
      <c r="B14937" s="11" t="n">
        <f aca="false">MOD(ROW()-9,24)</f>
        <v>0</v>
      </c>
      <c r="C14937" s="12"/>
      <c r="D14937" s="13" t="n">
        <f aca="false">IF(B14937&lt;5,Einstellungen!$B$3,Einstellungen!$B$4)</f>
        <v>15.92</v>
      </c>
      <c r="E14937" s="14" t="str">
        <f aca="false">IF(C14937="","",C14937*D14937/100)</f>
        <v/>
      </c>
      <c r="F14937" s="15" t="str">
        <f aca="false">IF(B14937&lt;5,"Go","Standard")</f>
        <v>Go</v>
      </c>
    </row>
    <row r="14938" customFormat="false" ht="15" hidden="false" customHeight="true" outlineLevel="0" collapsed="false">
      <c r="A14938" s="10" t="n">
        <f aca="false">Einstellungen!$B$5+INT((ROW()-9)/24)</f>
        <v>46588</v>
      </c>
      <c r="B14938" s="11" t="n">
        <f aca="false">MOD(ROW()-9,24)</f>
        <v>1</v>
      </c>
      <c r="C14938" s="12"/>
      <c r="D14938" s="13" t="n">
        <f aca="false">IF(B14938&lt;5,Einstellungen!$B$3,Einstellungen!$B$4)</f>
        <v>15.92</v>
      </c>
      <c r="E14938" s="14" t="str">
        <f aca="false">IF(C14938="","",C14938*D14938/100)</f>
        <v/>
      </c>
      <c r="F14938" s="15" t="str">
        <f aca="false">IF(B14938&lt;5,"Go","Standard")</f>
        <v>Go</v>
      </c>
    </row>
    <row r="14939" customFormat="false" ht="15" hidden="false" customHeight="true" outlineLevel="0" collapsed="false">
      <c r="A14939" s="10" t="n">
        <f aca="false">Einstellungen!$B$5+INT((ROW()-9)/24)</f>
        <v>46588</v>
      </c>
      <c r="B14939" s="11" t="n">
        <f aca="false">MOD(ROW()-9,24)</f>
        <v>2</v>
      </c>
      <c r="C14939" s="12"/>
      <c r="D14939" s="13" t="n">
        <f aca="false">IF(B14939&lt;5,Einstellungen!$B$3,Einstellungen!$B$4)</f>
        <v>15.92</v>
      </c>
      <c r="E14939" s="14" t="str">
        <f aca="false">IF(C14939="","",C14939*D14939/100)</f>
        <v/>
      </c>
      <c r="F14939" s="15" t="str">
        <f aca="false">IF(B14939&lt;5,"Go","Standard")</f>
        <v>Go</v>
      </c>
    </row>
    <row r="14940" customFormat="false" ht="15" hidden="false" customHeight="true" outlineLevel="0" collapsed="false">
      <c r="A14940" s="10" t="n">
        <f aca="false">Einstellungen!$B$5+INT((ROW()-9)/24)</f>
        <v>46588</v>
      </c>
      <c r="B14940" s="11" t="n">
        <f aca="false">MOD(ROW()-9,24)</f>
        <v>3</v>
      </c>
      <c r="C14940" s="12"/>
      <c r="D14940" s="13" t="n">
        <f aca="false">IF(B14940&lt;5,Einstellungen!$B$3,Einstellungen!$B$4)</f>
        <v>15.92</v>
      </c>
      <c r="E14940" s="14" t="str">
        <f aca="false">IF(C14940="","",C14940*D14940/100)</f>
        <v/>
      </c>
      <c r="F14940" s="15" t="str">
        <f aca="false">IF(B14940&lt;5,"Go","Standard")</f>
        <v>Go</v>
      </c>
    </row>
    <row r="14941" customFormat="false" ht="15" hidden="false" customHeight="true" outlineLevel="0" collapsed="false">
      <c r="A14941" s="10" t="n">
        <f aca="false">Einstellungen!$B$5+INT((ROW()-9)/24)</f>
        <v>46588</v>
      </c>
      <c r="B14941" s="11" t="n">
        <f aca="false">MOD(ROW()-9,24)</f>
        <v>4</v>
      </c>
      <c r="C14941" s="12"/>
      <c r="D14941" s="13" t="n">
        <f aca="false">IF(B14941&lt;5,Einstellungen!$B$3,Einstellungen!$B$4)</f>
        <v>15.92</v>
      </c>
      <c r="E14941" s="14" t="str">
        <f aca="false">IF(C14941="","",C14941*D14941/100)</f>
        <v/>
      </c>
      <c r="F14941" s="15" t="str">
        <f aca="false">IF(B14941&lt;5,"Go","Standard")</f>
        <v>Go</v>
      </c>
    </row>
    <row r="14942" customFormat="false" ht="15" hidden="false" customHeight="true" outlineLevel="0" collapsed="false">
      <c r="A14942" s="10" t="n">
        <f aca="false">Einstellungen!$B$5+INT((ROW()-9)/24)</f>
        <v>46588</v>
      </c>
      <c r="B14942" s="11" t="n">
        <f aca="false">MOD(ROW()-9,24)</f>
        <v>5</v>
      </c>
      <c r="C14942" s="12"/>
      <c r="D14942" s="13" t="n">
        <f aca="false">IF(B14942&lt;5,Einstellungen!$B$3,Einstellungen!$B$4)</f>
        <v>29.13</v>
      </c>
      <c r="E14942" s="14" t="str">
        <f aca="false">IF(C14942="","",C14942*D14942/100)</f>
        <v/>
      </c>
      <c r="F14942" s="15" t="str">
        <f aca="false">IF(B14942&lt;5,"Go","Standard")</f>
        <v>Standard</v>
      </c>
    </row>
    <row r="14943" customFormat="false" ht="15" hidden="false" customHeight="true" outlineLevel="0" collapsed="false">
      <c r="A14943" s="10" t="n">
        <f aca="false">Einstellungen!$B$5+INT((ROW()-9)/24)</f>
        <v>46588</v>
      </c>
      <c r="B14943" s="11" t="n">
        <f aca="false">MOD(ROW()-9,24)</f>
        <v>6</v>
      </c>
      <c r="C14943" s="12"/>
      <c r="D14943" s="13" t="n">
        <f aca="false">IF(B14943&lt;5,Einstellungen!$B$3,Einstellungen!$B$4)</f>
        <v>29.13</v>
      </c>
      <c r="E14943" s="14" t="str">
        <f aca="false">IF(C14943="","",C14943*D14943/100)</f>
        <v/>
      </c>
      <c r="F14943" s="15" t="str">
        <f aca="false">IF(B14943&lt;5,"Go","Standard")</f>
        <v>Standard</v>
      </c>
    </row>
    <row r="14944" customFormat="false" ht="15" hidden="false" customHeight="true" outlineLevel="0" collapsed="false">
      <c r="A14944" s="10" t="n">
        <f aca="false">Einstellungen!$B$5+INT((ROW()-9)/24)</f>
        <v>46588</v>
      </c>
      <c r="B14944" s="11" t="n">
        <f aca="false">MOD(ROW()-9,24)</f>
        <v>7</v>
      </c>
      <c r="C14944" s="12"/>
      <c r="D14944" s="13" t="n">
        <f aca="false">IF(B14944&lt;5,Einstellungen!$B$3,Einstellungen!$B$4)</f>
        <v>29.13</v>
      </c>
      <c r="E14944" s="14" t="str">
        <f aca="false">IF(C14944="","",C14944*D14944/100)</f>
        <v/>
      </c>
      <c r="F14944" s="15" t="str">
        <f aca="false">IF(B14944&lt;5,"Go","Standard")</f>
        <v>Standard</v>
      </c>
    </row>
    <row r="14945" customFormat="false" ht="15" hidden="false" customHeight="true" outlineLevel="0" collapsed="false">
      <c r="A14945" s="10" t="n">
        <f aca="false">Einstellungen!$B$5+INT((ROW()-9)/24)</f>
        <v>46588</v>
      </c>
      <c r="B14945" s="11" t="n">
        <f aca="false">MOD(ROW()-9,24)</f>
        <v>8</v>
      </c>
      <c r="C14945" s="12"/>
      <c r="D14945" s="13" t="n">
        <f aca="false">IF(B14945&lt;5,Einstellungen!$B$3,Einstellungen!$B$4)</f>
        <v>29.13</v>
      </c>
      <c r="E14945" s="14" t="str">
        <f aca="false">IF(C14945="","",C14945*D14945/100)</f>
        <v/>
      </c>
      <c r="F14945" s="15" t="str">
        <f aca="false">IF(B14945&lt;5,"Go","Standard")</f>
        <v>Standard</v>
      </c>
    </row>
    <row r="14946" customFormat="false" ht="15" hidden="false" customHeight="true" outlineLevel="0" collapsed="false">
      <c r="A14946" s="10" t="n">
        <f aca="false">Einstellungen!$B$5+INT((ROW()-9)/24)</f>
        <v>46588</v>
      </c>
      <c r="B14946" s="11" t="n">
        <f aca="false">MOD(ROW()-9,24)</f>
        <v>9</v>
      </c>
      <c r="C14946" s="12"/>
      <c r="D14946" s="13" t="n">
        <f aca="false">IF(B14946&lt;5,Einstellungen!$B$3,Einstellungen!$B$4)</f>
        <v>29.13</v>
      </c>
      <c r="E14946" s="14" t="str">
        <f aca="false">IF(C14946="","",C14946*D14946/100)</f>
        <v/>
      </c>
      <c r="F14946" s="15" t="str">
        <f aca="false">IF(B14946&lt;5,"Go","Standard")</f>
        <v>Standard</v>
      </c>
    </row>
    <row r="14947" customFormat="false" ht="15" hidden="false" customHeight="true" outlineLevel="0" collapsed="false">
      <c r="A14947" s="10" t="n">
        <f aca="false">Einstellungen!$B$5+INT((ROW()-9)/24)</f>
        <v>46588</v>
      </c>
      <c r="B14947" s="11" t="n">
        <f aca="false">MOD(ROW()-9,24)</f>
        <v>10</v>
      </c>
      <c r="C14947" s="12"/>
      <c r="D14947" s="13" t="n">
        <f aca="false">IF(B14947&lt;5,Einstellungen!$B$3,Einstellungen!$B$4)</f>
        <v>29.13</v>
      </c>
      <c r="E14947" s="14" t="str">
        <f aca="false">IF(C14947="","",C14947*D14947/100)</f>
        <v/>
      </c>
      <c r="F14947" s="15" t="str">
        <f aca="false">IF(B14947&lt;5,"Go","Standard")</f>
        <v>Standard</v>
      </c>
    </row>
    <row r="14948" customFormat="false" ht="15" hidden="false" customHeight="true" outlineLevel="0" collapsed="false">
      <c r="A14948" s="10" t="n">
        <f aca="false">Einstellungen!$B$5+INT((ROW()-9)/24)</f>
        <v>46588</v>
      </c>
      <c r="B14948" s="11" t="n">
        <f aca="false">MOD(ROW()-9,24)</f>
        <v>11</v>
      </c>
      <c r="C14948" s="12"/>
      <c r="D14948" s="13" t="n">
        <f aca="false">IF(B14948&lt;5,Einstellungen!$B$3,Einstellungen!$B$4)</f>
        <v>29.13</v>
      </c>
      <c r="E14948" s="14" t="str">
        <f aca="false">IF(C14948="","",C14948*D14948/100)</f>
        <v/>
      </c>
      <c r="F14948" s="15" t="str">
        <f aca="false">IF(B14948&lt;5,"Go","Standard")</f>
        <v>Standard</v>
      </c>
    </row>
    <row r="14949" customFormat="false" ht="15" hidden="false" customHeight="true" outlineLevel="0" collapsed="false">
      <c r="A14949" s="10" t="n">
        <f aca="false">Einstellungen!$B$5+INT((ROW()-9)/24)</f>
        <v>46588</v>
      </c>
      <c r="B14949" s="11" t="n">
        <f aca="false">MOD(ROW()-9,24)</f>
        <v>12</v>
      </c>
      <c r="C14949" s="12"/>
      <c r="D14949" s="13" t="n">
        <f aca="false">IF(B14949&lt;5,Einstellungen!$B$3,Einstellungen!$B$4)</f>
        <v>29.13</v>
      </c>
      <c r="E14949" s="14" t="str">
        <f aca="false">IF(C14949="","",C14949*D14949/100)</f>
        <v/>
      </c>
      <c r="F14949" s="15" t="str">
        <f aca="false">IF(B14949&lt;5,"Go","Standard")</f>
        <v>Standard</v>
      </c>
    </row>
    <row r="14950" customFormat="false" ht="15" hidden="false" customHeight="true" outlineLevel="0" collapsed="false">
      <c r="A14950" s="10" t="n">
        <f aca="false">Einstellungen!$B$5+INT((ROW()-9)/24)</f>
        <v>46588</v>
      </c>
      <c r="B14950" s="11" t="n">
        <f aca="false">MOD(ROW()-9,24)</f>
        <v>13</v>
      </c>
      <c r="C14950" s="12"/>
      <c r="D14950" s="13" t="n">
        <f aca="false">IF(B14950&lt;5,Einstellungen!$B$3,Einstellungen!$B$4)</f>
        <v>29.13</v>
      </c>
      <c r="E14950" s="14" t="str">
        <f aca="false">IF(C14950="","",C14950*D14950/100)</f>
        <v/>
      </c>
      <c r="F14950" s="15" t="str">
        <f aca="false">IF(B14950&lt;5,"Go","Standard")</f>
        <v>Standard</v>
      </c>
    </row>
    <row r="14951" customFormat="false" ht="15" hidden="false" customHeight="true" outlineLevel="0" collapsed="false">
      <c r="A14951" s="10" t="n">
        <f aca="false">Einstellungen!$B$5+INT((ROW()-9)/24)</f>
        <v>46588</v>
      </c>
      <c r="B14951" s="11" t="n">
        <f aca="false">MOD(ROW()-9,24)</f>
        <v>14</v>
      </c>
      <c r="C14951" s="12"/>
      <c r="D14951" s="13" t="n">
        <f aca="false">IF(B14951&lt;5,Einstellungen!$B$3,Einstellungen!$B$4)</f>
        <v>29.13</v>
      </c>
      <c r="E14951" s="14" t="str">
        <f aca="false">IF(C14951="","",C14951*D14951/100)</f>
        <v/>
      </c>
      <c r="F14951" s="15" t="str">
        <f aca="false">IF(B14951&lt;5,"Go","Standard")</f>
        <v>Standard</v>
      </c>
    </row>
    <row r="14952" customFormat="false" ht="15" hidden="false" customHeight="true" outlineLevel="0" collapsed="false">
      <c r="A14952" s="10" t="n">
        <f aca="false">Einstellungen!$B$5+INT((ROW()-9)/24)</f>
        <v>46588</v>
      </c>
      <c r="B14952" s="11" t="n">
        <f aca="false">MOD(ROW()-9,24)</f>
        <v>15</v>
      </c>
      <c r="C14952" s="12"/>
      <c r="D14952" s="13" t="n">
        <f aca="false">IF(B14952&lt;5,Einstellungen!$B$3,Einstellungen!$B$4)</f>
        <v>29.13</v>
      </c>
      <c r="E14952" s="14" t="str">
        <f aca="false">IF(C14952="","",C14952*D14952/100)</f>
        <v/>
      </c>
      <c r="F14952" s="15" t="str">
        <f aca="false">IF(B14952&lt;5,"Go","Standard")</f>
        <v>Standard</v>
      </c>
    </row>
    <row r="14953" customFormat="false" ht="15" hidden="false" customHeight="true" outlineLevel="0" collapsed="false">
      <c r="A14953" s="10" t="n">
        <f aca="false">Einstellungen!$B$5+INT((ROW()-9)/24)</f>
        <v>46588</v>
      </c>
      <c r="B14953" s="11" t="n">
        <f aca="false">MOD(ROW()-9,24)</f>
        <v>16</v>
      </c>
      <c r="C14953" s="12"/>
      <c r="D14953" s="13" t="n">
        <f aca="false">IF(B14953&lt;5,Einstellungen!$B$3,Einstellungen!$B$4)</f>
        <v>29.13</v>
      </c>
      <c r="E14953" s="14" t="str">
        <f aca="false">IF(C14953="","",C14953*D14953/100)</f>
        <v/>
      </c>
      <c r="F14953" s="15" t="str">
        <f aca="false">IF(B14953&lt;5,"Go","Standard")</f>
        <v>Standard</v>
      </c>
    </row>
    <row r="14954" customFormat="false" ht="15" hidden="false" customHeight="true" outlineLevel="0" collapsed="false">
      <c r="A14954" s="10" t="n">
        <f aca="false">Einstellungen!$B$5+INT((ROW()-9)/24)</f>
        <v>46588</v>
      </c>
      <c r="B14954" s="11" t="n">
        <f aca="false">MOD(ROW()-9,24)</f>
        <v>17</v>
      </c>
      <c r="C14954" s="12"/>
      <c r="D14954" s="13" t="n">
        <f aca="false">IF(B14954&lt;5,Einstellungen!$B$3,Einstellungen!$B$4)</f>
        <v>29.13</v>
      </c>
      <c r="E14954" s="14" t="str">
        <f aca="false">IF(C14954="","",C14954*D14954/100)</f>
        <v/>
      </c>
      <c r="F14954" s="15" t="str">
        <f aca="false">IF(B14954&lt;5,"Go","Standard")</f>
        <v>Standard</v>
      </c>
    </row>
    <row r="14955" customFormat="false" ht="15" hidden="false" customHeight="true" outlineLevel="0" collapsed="false">
      <c r="A14955" s="10" t="n">
        <f aca="false">Einstellungen!$B$5+INT((ROW()-9)/24)</f>
        <v>46588</v>
      </c>
      <c r="B14955" s="11" t="n">
        <f aca="false">MOD(ROW()-9,24)</f>
        <v>18</v>
      </c>
      <c r="C14955" s="12"/>
      <c r="D14955" s="13" t="n">
        <f aca="false">IF(B14955&lt;5,Einstellungen!$B$3,Einstellungen!$B$4)</f>
        <v>29.13</v>
      </c>
      <c r="E14955" s="14" t="str">
        <f aca="false">IF(C14955="","",C14955*D14955/100)</f>
        <v/>
      </c>
      <c r="F14955" s="15" t="str">
        <f aca="false">IF(B14955&lt;5,"Go","Standard")</f>
        <v>Standard</v>
      </c>
    </row>
    <row r="14956" customFormat="false" ht="15" hidden="false" customHeight="true" outlineLevel="0" collapsed="false">
      <c r="A14956" s="10" t="n">
        <f aca="false">Einstellungen!$B$5+INT((ROW()-9)/24)</f>
        <v>46588</v>
      </c>
      <c r="B14956" s="11" t="n">
        <f aca="false">MOD(ROW()-9,24)</f>
        <v>19</v>
      </c>
      <c r="C14956" s="12"/>
      <c r="D14956" s="13" t="n">
        <f aca="false">IF(B14956&lt;5,Einstellungen!$B$3,Einstellungen!$B$4)</f>
        <v>29.13</v>
      </c>
      <c r="E14956" s="14" t="str">
        <f aca="false">IF(C14956="","",C14956*D14956/100)</f>
        <v/>
      </c>
      <c r="F14956" s="15" t="str">
        <f aca="false">IF(B14956&lt;5,"Go","Standard")</f>
        <v>Standard</v>
      </c>
    </row>
    <row r="14957" customFormat="false" ht="15" hidden="false" customHeight="true" outlineLevel="0" collapsed="false">
      <c r="A14957" s="10" t="n">
        <f aca="false">Einstellungen!$B$5+INT((ROW()-9)/24)</f>
        <v>46588</v>
      </c>
      <c r="B14957" s="11" t="n">
        <f aca="false">MOD(ROW()-9,24)</f>
        <v>20</v>
      </c>
      <c r="C14957" s="12"/>
      <c r="D14957" s="13" t="n">
        <f aca="false">IF(B14957&lt;5,Einstellungen!$B$3,Einstellungen!$B$4)</f>
        <v>29.13</v>
      </c>
      <c r="E14957" s="14" t="str">
        <f aca="false">IF(C14957="","",C14957*D14957/100)</f>
        <v/>
      </c>
      <c r="F14957" s="15" t="str">
        <f aca="false">IF(B14957&lt;5,"Go","Standard")</f>
        <v>Standard</v>
      </c>
    </row>
    <row r="14958" customFormat="false" ht="15" hidden="false" customHeight="true" outlineLevel="0" collapsed="false">
      <c r="A14958" s="10" t="n">
        <f aca="false">Einstellungen!$B$5+INT((ROW()-9)/24)</f>
        <v>46588</v>
      </c>
      <c r="B14958" s="11" t="n">
        <f aca="false">MOD(ROW()-9,24)</f>
        <v>21</v>
      </c>
      <c r="C14958" s="12"/>
      <c r="D14958" s="13" t="n">
        <f aca="false">IF(B14958&lt;5,Einstellungen!$B$3,Einstellungen!$B$4)</f>
        <v>29.13</v>
      </c>
      <c r="E14958" s="14" t="str">
        <f aca="false">IF(C14958="","",C14958*D14958/100)</f>
        <v/>
      </c>
      <c r="F14958" s="15" t="str">
        <f aca="false">IF(B14958&lt;5,"Go","Standard")</f>
        <v>Standard</v>
      </c>
    </row>
    <row r="14959" customFormat="false" ht="15" hidden="false" customHeight="true" outlineLevel="0" collapsed="false">
      <c r="A14959" s="10" t="n">
        <f aca="false">Einstellungen!$B$5+INT((ROW()-9)/24)</f>
        <v>46588</v>
      </c>
      <c r="B14959" s="11" t="n">
        <f aca="false">MOD(ROW()-9,24)</f>
        <v>22</v>
      </c>
      <c r="C14959" s="12"/>
      <c r="D14959" s="13" t="n">
        <f aca="false">IF(B14959&lt;5,Einstellungen!$B$3,Einstellungen!$B$4)</f>
        <v>29.13</v>
      </c>
      <c r="E14959" s="14" t="str">
        <f aca="false">IF(C14959="","",C14959*D14959/100)</f>
        <v/>
      </c>
      <c r="F14959" s="15" t="str">
        <f aca="false">IF(B14959&lt;5,"Go","Standard")</f>
        <v>Standard</v>
      </c>
    </row>
    <row r="14960" customFormat="false" ht="15" hidden="false" customHeight="true" outlineLevel="0" collapsed="false">
      <c r="A14960" s="10" t="n">
        <f aca="false">Einstellungen!$B$5+INT((ROW()-9)/24)</f>
        <v>46588</v>
      </c>
      <c r="B14960" s="11" t="n">
        <f aca="false">MOD(ROW()-9,24)</f>
        <v>23</v>
      </c>
      <c r="C14960" s="12"/>
      <c r="D14960" s="13" t="n">
        <f aca="false">IF(B14960&lt;5,Einstellungen!$B$3,Einstellungen!$B$4)</f>
        <v>29.13</v>
      </c>
      <c r="E14960" s="14" t="str">
        <f aca="false">IF(C14960="","",C14960*D14960/100)</f>
        <v/>
      </c>
      <c r="F14960" s="15" t="str">
        <f aca="false">IF(B14960&lt;5,"Go","Standard")</f>
        <v>Standard</v>
      </c>
    </row>
    <row r="14961" customFormat="false" ht="15" hidden="false" customHeight="true" outlineLevel="0" collapsed="false">
      <c r="A14961" s="10" t="n">
        <f aca="false">Einstellungen!$B$5+INT((ROW()-9)/24)</f>
        <v>46589</v>
      </c>
      <c r="B14961" s="11" t="n">
        <f aca="false">MOD(ROW()-9,24)</f>
        <v>0</v>
      </c>
      <c r="C14961" s="12"/>
      <c r="D14961" s="13" t="n">
        <f aca="false">IF(B14961&lt;5,Einstellungen!$B$3,Einstellungen!$B$4)</f>
        <v>15.92</v>
      </c>
      <c r="E14961" s="14" t="str">
        <f aca="false">IF(C14961="","",C14961*D14961/100)</f>
        <v/>
      </c>
      <c r="F14961" s="15" t="str">
        <f aca="false">IF(B14961&lt;5,"Go","Standard")</f>
        <v>Go</v>
      </c>
    </row>
    <row r="14962" customFormat="false" ht="15" hidden="false" customHeight="true" outlineLevel="0" collapsed="false">
      <c r="A14962" s="10" t="n">
        <f aca="false">Einstellungen!$B$5+INT((ROW()-9)/24)</f>
        <v>46589</v>
      </c>
      <c r="B14962" s="11" t="n">
        <f aca="false">MOD(ROW()-9,24)</f>
        <v>1</v>
      </c>
      <c r="C14962" s="12"/>
      <c r="D14962" s="13" t="n">
        <f aca="false">IF(B14962&lt;5,Einstellungen!$B$3,Einstellungen!$B$4)</f>
        <v>15.92</v>
      </c>
      <c r="E14962" s="14" t="str">
        <f aca="false">IF(C14962="","",C14962*D14962/100)</f>
        <v/>
      </c>
      <c r="F14962" s="15" t="str">
        <f aca="false">IF(B14962&lt;5,"Go","Standard")</f>
        <v>Go</v>
      </c>
    </row>
    <row r="14963" customFormat="false" ht="15" hidden="false" customHeight="true" outlineLevel="0" collapsed="false">
      <c r="A14963" s="10" t="n">
        <f aca="false">Einstellungen!$B$5+INT((ROW()-9)/24)</f>
        <v>46589</v>
      </c>
      <c r="B14963" s="11" t="n">
        <f aca="false">MOD(ROW()-9,24)</f>
        <v>2</v>
      </c>
      <c r="C14963" s="12"/>
      <c r="D14963" s="13" t="n">
        <f aca="false">IF(B14963&lt;5,Einstellungen!$B$3,Einstellungen!$B$4)</f>
        <v>15.92</v>
      </c>
      <c r="E14963" s="14" t="str">
        <f aca="false">IF(C14963="","",C14963*D14963/100)</f>
        <v/>
      </c>
      <c r="F14963" s="15" t="str">
        <f aca="false">IF(B14963&lt;5,"Go","Standard")</f>
        <v>Go</v>
      </c>
    </row>
    <row r="14964" customFormat="false" ht="15" hidden="false" customHeight="true" outlineLevel="0" collapsed="false">
      <c r="A14964" s="10" t="n">
        <f aca="false">Einstellungen!$B$5+INT((ROW()-9)/24)</f>
        <v>46589</v>
      </c>
      <c r="B14964" s="11" t="n">
        <f aca="false">MOD(ROW()-9,24)</f>
        <v>3</v>
      </c>
      <c r="C14964" s="12"/>
      <c r="D14964" s="13" t="n">
        <f aca="false">IF(B14964&lt;5,Einstellungen!$B$3,Einstellungen!$B$4)</f>
        <v>15.92</v>
      </c>
      <c r="E14964" s="14" t="str">
        <f aca="false">IF(C14964="","",C14964*D14964/100)</f>
        <v/>
      </c>
      <c r="F14964" s="15" t="str">
        <f aca="false">IF(B14964&lt;5,"Go","Standard")</f>
        <v>Go</v>
      </c>
    </row>
    <row r="14965" customFormat="false" ht="15" hidden="false" customHeight="true" outlineLevel="0" collapsed="false">
      <c r="A14965" s="10" t="n">
        <f aca="false">Einstellungen!$B$5+INT((ROW()-9)/24)</f>
        <v>46589</v>
      </c>
      <c r="B14965" s="11" t="n">
        <f aca="false">MOD(ROW()-9,24)</f>
        <v>4</v>
      </c>
      <c r="C14965" s="12"/>
      <c r="D14965" s="13" t="n">
        <f aca="false">IF(B14965&lt;5,Einstellungen!$B$3,Einstellungen!$B$4)</f>
        <v>15.92</v>
      </c>
      <c r="E14965" s="14" t="str">
        <f aca="false">IF(C14965="","",C14965*D14965/100)</f>
        <v/>
      </c>
      <c r="F14965" s="15" t="str">
        <f aca="false">IF(B14965&lt;5,"Go","Standard")</f>
        <v>Go</v>
      </c>
    </row>
    <row r="14966" customFormat="false" ht="15" hidden="false" customHeight="true" outlineLevel="0" collapsed="false">
      <c r="A14966" s="10" t="n">
        <f aca="false">Einstellungen!$B$5+INT((ROW()-9)/24)</f>
        <v>46589</v>
      </c>
      <c r="B14966" s="11" t="n">
        <f aca="false">MOD(ROW()-9,24)</f>
        <v>5</v>
      </c>
      <c r="C14966" s="12"/>
      <c r="D14966" s="13" t="n">
        <f aca="false">IF(B14966&lt;5,Einstellungen!$B$3,Einstellungen!$B$4)</f>
        <v>29.13</v>
      </c>
      <c r="E14966" s="14" t="str">
        <f aca="false">IF(C14966="","",C14966*D14966/100)</f>
        <v/>
      </c>
      <c r="F14966" s="15" t="str">
        <f aca="false">IF(B14966&lt;5,"Go","Standard")</f>
        <v>Standard</v>
      </c>
    </row>
    <row r="14967" customFormat="false" ht="15" hidden="false" customHeight="true" outlineLevel="0" collapsed="false">
      <c r="A14967" s="10" t="n">
        <f aca="false">Einstellungen!$B$5+INT((ROW()-9)/24)</f>
        <v>46589</v>
      </c>
      <c r="B14967" s="11" t="n">
        <f aca="false">MOD(ROW()-9,24)</f>
        <v>6</v>
      </c>
      <c r="C14967" s="12"/>
      <c r="D14967" s="13" t="n">
        <f aca="false">IF(B14967&lt;5,Einstellungen!$B$3,Einstellungen!$B$4)</f>
        <v>29.13</v>
      </c>
      <c r="E14967" s="14" t="str">
        <f aca="false">IF(C14967="","",C14967*D14967/100)</f>
        <v/>
      </c>
      <c r="F14967" s="15" t="str">
        <f aca="false">IF(B14967&lt;5,"Go","Standard")</f>
        <v>Standard</v>
      </c>
    </row>
    <row r="14968" customFormat="false" ht="15" hidden="false" customHeight="true" outlineLevel="0" collapsed="false">
      <c r="A14968" s="10" t="n">
        <f aca="false">Einstellungen!$B$5+INT((ROW()-9)/24)</f>
        <v>46589</v>
      </c>
      <c r="B14968" s="11" t="n">
        <f aca="false">MOD(ROW()-9,24)</f>
        <v>7</v>
      </c>
      <c r="C14968" s="12"/>
      <c r="D14968" s="13" t="n">
        <f aca="false">IF(B14968&lt;5,Einstellungen!$B$3,Einstellungen!$B$4)</f>
        <v>29.13</v>
      </c>
      <c r="E14968" s="14" t="str">
        <f aca="false">IF(C14968="","",C14968*D14968/100)</f>
        <v/>
      </c>
      <c r="F14968" s="15" t="str">
        <f aca="false">IF(B14968&lt;5,"Go","Standard")</f>
        <v>Standard</v>
      </c>
    </row>
    <row r="14969" customFormat="false" ht="15" hidden="false" customHeight="true" outlineLevel="0" collapsed="false">
      <c r="A14969" s="10" t="n">
        <f aca="false">Einstellungen!$B$5+INT((ROW()-9)/24)</f>
        <v>46589</v>
      </c>
      <c r="B14969" s="11" t="n">
        <f aca="false">MOD(ROW()-9,24)</f>
        <v>8</v>
      </c>
      <c r="C14969" s="12"/>
      <c r="D14969" s="13" t="n">
        <f aca="false">IF(B14969&lt;5,Einstellungen!$B$3,Einstellungen!$B$4)</f>
        <v>29.13</v>
      </c>
      <c r="E14969" s="14" t="str">
        <f aca="false">IF(C14969="","",C14969*D14969/100)</f>
        <v/>
      </c>
      <c r="F14969" s="15" t="str">
        <f aca="false">IF(B14969&lt;5,"Go","Standard")</f>
        <v>Standard</v>
      </c>
    </row>
    <row r="14970" customFormat="false" ht="15" hidden="false" customHeight="true" outlineLevel="0" collapsed="false">
      <c r="A14970" s="10" t="n">
        <f aca="false">Einstellungen!$B$5+INT((ROW()-9)/24)</f>
        <v>46589</v>
      </c>
      <c r="B14970" s="11" t="n">
        <f aca="false">MOD(ROW()-9,24)</f>
        <v>9</v>
      </c>
      <c r="C14970" s="12"/>
      <c r="D14970" s="13" t="n">
        <f aca="false">IF(B14970&lt;5,Einstellungen!$B$3,Einstellungen!$B$4)</f>
        <v>29.13</v>
      </c>
      <c r="E14970" s="14" t="str">
        <f aca="false">IF(C14970="","",C14970*D14970/100)</f>
        <v/>
      </c>
      <c r="F14970" s="15" t="str">
        <f aca="false">IF(B14970&lt;5,"Go","Standard")</f>
        <v>Standard</v>
      </c>
    </row>
    <row r="14971" customFormat="false" ht="15" hidden="false" customHeight="true" outlineLevel="0" collapsed="false">
      <c r="A14971" s="10" t="n">
        <f aca="false">Einstellungen!$B$5+INT((ROW()-9)/24)</f>
        <v>46589</v>
      </c>
      <c r="B14971" s="11" t="n">
        <f aca="false">MOD(ROW()-9,24)</f>
        <v>10</v>
      </c>
      <c r="C14971" s="12"/>
      <c r="D14971" s="13" t="n">
        <f aca="false">IF(B14971&lt;5,Einstellungen!$B$3,Einstellungen!$B$4)</f>
        <v>29.13</v>
      </c>
      <c r="E14971" s="14" t="str">
        <f aca="false">IF(C14971="","",C14971*D14971/100)</f>
        <v/>
      </c>
      <c r="F14971" s="15" t="str">
        <f aca="false">IF(B14971&lt;5,"Go","Standard")</f>
        <v>Standard</v>
      </c>
    </row>
    <row r="14972" customFormat="false" ht="15" hidden="false" customHeight="true" outlineLevel="0" collapsed="false">
      <c r="A14972" s="10" t="n">
        <f aca="false">Einstellungen!$B$5+INT((ROW()-9)/24)</f>
        <v>46589</v>
      </c>
      <c r="B14972" s="11" t="n">
        <f aca="false">MOD(ROW()-9,24)</f>
        <v>11</v>
      </c>
      <c r="C14972" s="12"/>
      <c r="D14972" s="13" t="n">
        <f aca="false">IF(B14972&lt;5,Einstellungen!$B$3,Einstellungen!$B$4)</f>
        <v>29.13</v>
      </c>
      <c r="E14972" s="14" t="str">
        <f aca="false">IF(C14972="","",C14972*D14972/100)</f>
        <v/>
      </c>
      <c r="F14972" s="15" t="str">
        <f aca="false">IF(B14972&lt;5,"Go","Standard")</f>
        <v>Standard</v>
      </c>
    </row>
    <row r="14973" customFormat="false" ht="15" hidden="false" customHeight="true" outlineLevel="0" collapsed="false">
      <c r="A14973" s="10" t="n">
        <f aca="false">Einstellungen!$B$5+INT((ROW()-9)/24)</f>
        <v>46589</v>
      </c>
      <c r="B14973" s="11" t="n">
        <f aca="false">MOD(ROW()-9,24)</f>
        <v>12</v>
      </c>
      <c r="C14973" s="12"/>
      <c r="D14973" s="13" t="n">
        <f aca="false">IF(B14973&lt;5,Einstellungen!$B$3,Einstellungen!$B$4)</f>
        <v>29.13</v>
      </c>
      <c r="E14973" s="14" t="str">
        <f aca="false">IF(C14973="","",C14973*D14973/100)</f>
        <v/>
      </c>
      <c r="F14973" s="15" t="str">
        <f aca="false">IF(B14973&lt;5,"Go","Standard")</f>
        <v>Standard</v>
      </c>
    </row>
    <row r="14974" customFormat="false" ht="15" hidden="false" customHeight="true" outlineLevel="0" collapsed="false">
      <c r="A14974" s="10" t="n">
        <f aca="false">Einstellungen!$B$5+INT((ROW()-9)/24)</f>
        <v>46589</v>
      </c>
      <c r="B14974" s="11" t="n">
        <f aca="false">MOD(ROW()-9,24)</f>
        <v>13</v>
      </c>
      <c r="C14974" s="12"/>
      <c r="D14974" s="13" t="n">
        <f aca="false">IF(B14974&lt;5,Einstellungen!$B$3,Einstellungen!$B$4)</f>
        <v>29.13</v>
      </c>
      <c r="E14974" s="14" t="str">
        <f aca="false">IF(C14974="","",C14974*D14974/100)</f>
        <v/>
      </c>
      <c r="F14974" s="15" t="str">
        <f aca="false">IF(B14974&lt;5,"Go","Standard")</f>
        <v>Standard</v>
      </c>
    </row>
    <row r="14975" customFormat="false" ht="15" hidden="false" customHeight="true" outlineLevel="0" collapsed="false">
      <c r="A14975" s="10" t="n">
        <f aca="false">Einstellungen!$B$5+INT((ROW()-9)/24)</f>
        <v>46589</v>
      </c>
      <c r="B14975" s="11" t="n">
        <f aca="false">MOD(ROW()-9,24)</f>
        <v>14</v>
      </c>
      <c r="C14975" s="12"/>
      <c r="D14975" s="13" t="n">
        <f aca="false">IF(B14975&lt;5,Einstellungen!$B$3,Einstellungen!$B$4)</f>
        <v>29.13</v>
      </c>
      <c r="E14975" s="14" t="str">
        <f aca="false">IF(C14975="","",C14975*D14975/100)</f>
        <v/>
      </c>
      <c r="F14975" s="15" t="str">
        <f aca="false">IF(B14975&lt;5,"Go","Standard")</f>
        <v>Standard</v>
      </c>
    </row>
    <row r="14976" customFormat="false" ht="15" hidden="false" customHeight="true" outlineLevel="0" collapsed="false">
      <c r="A14976" s="10" t="n">
        <f aca="false">Einstellungen!$B$5+INT((ROW()-9)/24)</f>
        <v>46589</v>
      </c>
      <c r="B14976" s="11" t="n">
        <f aca="false">MOD(ROW()-9,24)</f>
        <v>15</v>
      </c>
      <c r="C14976" s="12"/>
      <c r="D14976" s="13" t="n">
        <f aca="false">IF(B14976&lt;5,Einstellungen!$B$3,Einstellungen!$B$4)</f>
        <v>29.13</v>
      </c>
      <c r="E14976" s="14" t="str">
        <f aca="false">IF(C14976="","",C14976*D14976/100)</f>
        <v/>
      </c>
      <c r="F14976" s="15" t="str">
        <f aca="false">IF(B14976&lt;5,"Go","Standard")</f>
        <v>Standard</v>
      </c>
    </row>
    <row r="14977" customFormat="false" ht="15" hidden="false" customHeight="true" outlineLevel="0" collapsed="false">
      <c r="A14977" s="10" t="n">
        <f aca="false">Einstellungen!$B$5+INT((ROW()-9)/24)</f>
        <v>46589</v>
      </c>
      <c r="B14977" s="11" t="n">
        <f aca="false">MOD(ROW()-9,24)</f>
        <v>16</v>
      </c>
      <c r="C14977" s="12"/>
      <c r="D14977" s="13" t="n">
        <f aca="false">IF(B14977&lt;5,Einstellungen!$B$3,Einstellungen!$B$4)</f>
        <v>29.13</v>
      </c>
      <c r="E14977" s="14" t="str">
        <f aca="false">IF(C14977="","",C14977*D14977/100)</f>
        <v/>
      </c>
      <c r="F14977" s="15" t="str">
        <f aca="false">IF(B14977&lt;5,"Go","Standard")</f>
        <v>Standard</v>
      </c>
    </row>
    <row r="14978" customFormat="false" ht="15" hidden="false" customHeight="true" outlineLevel="0" collapsed="false">
      <c r="A14978" s="10" t="n">
        <f aca="false">Einstellungen!$B$5+INT((ROW()-9)/24)</f>
        <v>46589</v>
      </c>
      <c r="B14978" s="11" t="n">
        <f aca="false">MOD(ROW()-9,24)</f>
        <v>17</v>
      </c>
      <c r="C14978" s="12"/>
      <c r="D14978" s="13" t="n">
        <f aca="false">IF(B14978&lt;5,Einstellungen!$B$3,Einstellungen!$B$4)</f>
        <v>29.13</v>
      </c>
      <c r="E14978" s="14" t="str">
        <f aca="false">IF(C14978="","",C14978*D14978/100)</f>
        <v/>
      </c>
      <c r="F14978" s="15" t="str">
        <f aca="false">IF(B14978&lt;5,"Go","Standard")</f>
        <v>Standard</v>
      </c>
    </row>
    <row r="14979" customFormat="false" ht="15" hidden="false" customHeight="true" outlineLevel="0" collapsed="false">
      <c r="A14979" s="10" t="n">
        <f aca="false">Einstellungen!$B$5+INT((ROW()-9)/24)</f>
        <v>46589</v>
      </c>
      <c r="B14979" s="11" t="n">
        <f aca="false">MOD(ROW()-9,24)</f>
        <v>18</v>
      </c>
      <c r="C14979" s="12"/>
      <c r="D14979" s="13" t="n">
        <f aca="false">IF(B14979&lt;5,Einstellungen!$B$3,Einstellungen!$B$4)</f>
        <v>29.13</v>
      </c>
      <c r="E14979" s="14" t="str">
        <f aca="false">IF(C14979="","",C14979*D14979/100)</f>
        <v/>
      </c>
      <c r="F14979" s="15" t="str">
        <f aca="false">IF(B14979&lt;5,"Go","Standard")</f>
        <v>Standard</v>
      </c>
    </row>
    <row r="14980" customFormat="false" ht="15" hidden="false" customHeight="true" outlineLevel="0" collapsed="false">
      <c r="A14980" s="10" t="n">
        <f aca="false">Einstellungen!$B$5+INT((ROW()-9)/24)</f>
        <v>46589</v>
      </c>
      <c r="B14980" s="11" t="n">
        <f aca="false">MOD(ROW()-9,24)</f>
        <v>19</v>
      </c>
      <c r="C14980" s="12"/>
      <c r="D14980" s="13" t="n">
        <f aca="false">IF(B14980&lt;5,Einstellungen!$B$3,Einstellungen!$B$4)</f>
        <v>29.13</v>
      </c>
      <c r="E14980" s="14" t="str">
        <f aca="false">IF(C14980="","",C14980*D14980/100)</f>
        <v/>
      </c>
      <c r="F14980" s="15" t="str">
        <f aca="false">IF(B14980&lt;5,"Go","Standard")</f>
        <v>Standard</v>
      </c>
    </row>
    <row r="14981" customFormat="false" ht="15" hidden="false" customHeight="true" outlineLevel="0" collapsed="false">
      <c r="A14981" s="10" t="n">
        <f aca="false">Einstellungen!$B$5+INT((ROW()-9)/24)</f>
        <v>46589</v>
      </c>
      <c r="B14981" s="11" t="n">
        <f aca="false">MOD(ROW()-9,24)</f>
        <v>20</v>
      </c>
      <c r="C14981" s="12"/>
      <c r="D14981" s="13" t="n">
        <f aca="false">IF(B14981&lt;5,Einstellungen!$B$3,Einstellungen!$B$4)</f>
        <v>29.13</v>
      </c>
      <c r="E14981" s="14" t="str">
        <f aca="false">IF(C14981="","",C14981*D14981/100)</f>
        <v/>
      </c>
      <c r="F14981" s="15" t="str">
        <f aca="false">IF(B14981&lt;5,"Go","Standard")</f>
        <v>Standard</v>
      </c>
    </row>
    <row r="14982" customFormat="false" ht="15" hidden="false" customHeight="true" outlineLevel="0" collapsed="false">
      <c r="A14982" s="10" t="n">
        <f aca="false">Einstellungen!$B$5+INT((ROW()-9)/24)</f>
        <v>46589</v>
      </c>
      <c r="B14982" s="11" t="n">
        <f aca="false">MOD(ROW()-9,24)</f>
        <v>21</v>
      </c>
      <c r="C14982" s="12"/>
      <c r="D14982" s="13" t="n">
        <f aca="false">IF(B14982&lt;5,Einstellungen!$B$3,Einstellungen!$B$4)</f>
        <v>29.13</v>
      </c>
      <c r="E14982" s="14" t="str">
        <f aca="false">IF(C14982="","",C14982*D14982/100)</f>
        <v/>
      </c>
      <c r="F14982" s="15" t="str">
        <f aca="false">IF(B14982&lt;5,"Go","Standard")</f>
        <v>Standard</v>
      </c>
    </row>
    <row r="14983" customFormat="false" ht="15" hidden="false" customHeight="true" outlineLevel="0" collapsed="false">
      <c r="A14983" s="10" t="n">
        <f aca="false">Einstellungen!$B$5+INT((ROW()-9)/24)</f>
        <v>46589</v>
      </c>
      <c r="B14983" s="11" t="n">
        <f aca="false">MOD(ROW()-9,24)</f>
        <v>22</v>
      </c>
      <c r="C14983" s="12"/>
      <c r="D14983" s="13" t="n">
        <f aca="false">IF(B14983&lt;5,Einstellungen!$B$3,Einstellungen!$B$4)</f>
        <v>29.13</v>
      </c>
      <c r="E14983" s="14" t="str">
        <f aca="false">IF(C14983="","",C14983*D14983/100)</f>
        <v/>
      </c>
      <c r="F14983" s="15" t="str">
        <f aca="false">IF(B14983&lt;5,"Go","Standard")</f>
        <v>Standard</v>
      </c>
    </row>
    <row r="14984" customFormat="false" ht="15" hidden="false" customHeight="true" outlineLevel="0" collapsed="false">
      <c r="A14984" s="10" t="n">
        <f aca="false">Einstellungen!$B$5+INT((ROW()-9)/24)</f>
        <v>46589</v>
      </c>
      <c r="B14984" s="11" t="n">
        <f aca="false">MOD(ROW()-9,24)</f>
        <v>23</v>
      </c>
      <c r="C14984" s="12"/>
      <c r="D14984" s="13" t="n">
        <f aca="false">IF(B14984&lt;5,Einstellungen!$B$3,Einstellungen!$B$4)</f>
        <v>29.13</v>
      </c>
      <c r="E14984" s="14" t="str">
        <f aca="false">IF(C14984="","",C14984*D14984/100)</f>
        <v/>
      </c>
      <c r="F14984" s="15" t="str">
        <f aca="false">IF(B14984&lt;5,"Go","Standard")</f>
        <v>Standard</v>
      </c>
    </row>
    <row r="14985" customFormat="false" ht="15" hidden="false" customHeight="true" outlineLevel="0" collapsed="false">
      <c r="A14985" s="10" t="n">
        <f aca="false">Einstellungen!$B$5+INT((ROW()-9)/24)</f>
        <v>46590</v>
      </c>
      <c r="B14985" s="11" t="n">
        <f aca="false">MOD(ROW()-9,24)</f>
        <v>0</v>
      </c>
      <c r="C14985" s="12"/>
      <c r="D14985" s="13" t="n">
        <f aca="false">IF(B14985&lt;5,Einstellungen!$B$3,Einstellungen!$B$4)</f>
        <v>15.92</v>
      </c>
      <c r="E14985" s="14" t="str">
        <f aca="false">IF(C14985="","",C14985*D14985/100)</f>
        <v/>
      </c>
      <c r="F14985" s="15" t="str">
        <f aca="false">IF(B14985&lt;5,"Go","Standard")</f>
        <v>Go</v>
      </c>
    </row>
    <row r="14986" customFormat="false" ht="15" hidden="false" customHeight="true" outlineLevel="0" collapsed="false">
      <c r="A14986" s="10" t="n">
        <f aca="false">Einstellungen!$B$5+INT((ROW()-9)/24)</f>
        <v>46590</v>
      </c>
      <c r="B14986" s="11" t="n">
        <f aca="false">MOD(ROW()-9,24)</f>
        <v>1</v>
      </c>
      <c r="C14986" s="12"/>
      <c r="D14986" s="13" t="n">
        <f aca="false">IF(B14986&lt;5,Einstellungen!$B$3,Einstellungen!$B$4)</f>
        <v>15.92</v>
      </c>
      <c r="E14986" s="14" t="str">
        <f aca="false">IF(C14986="","",C14986*D14986/100)</f>
        <v/>
      </c>
      <c r="F14986" s="15" t="str">
        <f aca="false">IF(B14986&lt;5,"Go","Standard")</f>
        <v>Go</v>
      </c>
    </row>
    <row r="14987" customFormat="false" ht="15" hidden="false" customHeight="true" outlineLevel="0" collapsed="false">
      <c r="A14987" s="10" t="n">
        <f aca="false">Einstellungen!$B$5+INT((ROW()-9)/24)</f>
        <v>46590</v>
      </c>
      <c r="B14987" s="11" t="n">
        <f aca="false">MOD(ROW()-9,24)</f>
        <v>2</v>
      </c>
      <c r="C14987" s="12"/>
      <c r="D14987" s="13" t="n">
        <f aca="false">IF(B14987&lt;5,Einstellungen!$B$3,Einstellungen!$B$4)</f>
        <v>15.92</v>
      </c>
      <c r="E14987" s="14" t="str">
        <f aca="false">IF(C14987="","",C14987*D14987/100)</f>
        <v/>
      </c>
      <c r="F14987" s="15" t="str">
        <f aca="false">IF(B14987&lt;5,"Go","Standard")</f>
        <v>Go</v>
      </c>
    </row>
    <row r="14988" customFormat="false" ht="15" hidden="false" customHeight="true" outlineLevel="0" collapsed="false">
      <c r="A14988" s="10" t="n">
        <f aca="false">Einstellungen!$B$5+INT((ROW()-9)/24)</f>
        <v>46590</v>
      </c>
      <c r="B14988" s="11" t="n">
        <f aca="false">MOD(ROW()-9,24)</f>
        <v>3</v>
      </c>
      <c r="C14988" s="12"/>
      <c r="D14988" s="13" t="n">
        <f aca="false">IF(B14988&lt;5,Einstellungen!$B$3,Einstellungen!$B$4)</f>
        <v>15.92</v>
      </c>
      <c r="E14988" s="14" t="str">
        <f aca="false">IF(C14988="","",C14988*D14988/100)</f>
        <v/>
      </c>
      <c r="F14988" s="15" t="str">
        <f aca="false">IF(B14988&lt;5,"Go","Standard")</f>
        <v>Go</v>
      </c>
    </row>
    <row r="14989" customFormat="false" ht="15" hidden="false" customHeight="true" outlineLevel="0" collapsed="false">
      <c r="A14989" s="10" t="n">
        <f aca="false">Einstellungen!$B$5+INT((ROW()-9)/24)</f>
        <v>46590</v>
      </c>
      <c r="B14989" s="11" t="n">
        <f aca="false">MOD(ROW()-9,24)</f>
        <v>4</v>
      </c>
      <c r="C14989" s="12"/>
      <c r="D14989" s="13" t="n">
        <f aca="false">IF(B14989&lt;5,Einstellungen!$B$3,Einstellungen!$B$4)</f>
        <v>15.92</v>
      </c>
      <c r="E14989" s="14" t="str">
        <f aca="false">IF(C14989="","",C14989*D14989/100)</f>
        <v/>
      </c>
      <c r="F14989" s="15" t="str">
        <f aca="false">IF(B14989&lt;5,"Go","Standard")</f>
        <v>Go</v>
      </c>
    </row>
    <row r="14990" customFormat="false" ht="15" hidden="false" customHeight="true" outlineLevel="0" collapsed="false">
      <c r="A14990" s="10" t="n">
        <f aca="false">Einstellungen!$B$5+INT((ROW()-9)/24)</f>
        <v>46590</v>
      </c>
      <c r="B14990" s="11" t="n">
        <f aca="false">MOD(ROW()-9,24)</f>
        <v>5</v>
      </c>
      <c r="C14990" s="12"/>
      <c r="D14990" s="13" t="n">
        <f aca="false">IF(B14990&lt;5,Einstellungen!$B$3,Einstellungen!$B$4)</f>
        <v>29.13</v>
      </c>
      <c r="E14990" s="14" t="str">
        <f aca="false">IF(C14990="","",C14990*D14990/100)</f>
        <v/>
      </c>
      <c r="F14990" s="15" t="str">
        <f aca="false">IF(B14990&lt;5,"Go","Standard")</f>
        <v>Standard</v>
      </c>
    </row>
    <row r="14991" customFormat="false" ht="15" hidden="false" customHeight="true" outlineLevel="0" collapsed="false">
      <c r="A14991" s="10" t="n">
        <f aca="false">Einstellungen!$B$5+INT((ROW()-9)/24)</f>
        <v>46590</v>
      </c>
      <c r="B14991" s="11" t="n">
        <f aca="false">MOD(ROW()-9,24)</f>
        <v>6</v>
      </c>
      <c r="C14991" s="12"/>
      <c r="D14991" s="13" t="n">
        <f aca="false">IF(B14991&lt;5,Einstellungen!$B$3,Einstellungen!$B$4)</f>
        <v>29.13</v>
      </c>
      <c r="E14991" s="14" t="str">
        <f aca="false">IF(C14991="","",C14991*D14991/100)</f>
        <v/>
      </c>
      <c r="F14991" s="15" t="str">
        <f aca="false">IF(B14991&lt;5,"Go","Standard")</f>
        <v>Standard</v>
      </c>
    </row>
    <row r="14992" customFormat="false" ht="15" hidden="false" customHeight="true" outlineLevel="0" collapsed="false">
      <c r="A14992" s="10" t="n">
        <f aca="false">Einstellungen!$B$5+INT((ROW()-9)/24)</f>
        <v>46590</v>
      </c>
      <c r="B14992" s="11" t="n">
        <f aca="false">MOD(ROW()-9,24)</f>
        <v>7</v>
      </c>
      <c r="C14992" s="12"/>
      <c r="D14992" s="13" t="n">
        <f aca="false">IF(B14992&lt;5,Einstellungen!$B$3,Einstellungen!$B$4)</f>
        <v>29.13</v>
      </c>
      <c r="E14992" s="14" t="str">
        <f aca="false">IF(C14992="","",C14992*D14992/100)</f>
        <v/>
      </c>
      <c r="F14992" s="15" t="str">
        <f aca="false">IF(B14992&lt;5,"Go","Standard")</f>
        <v>Standard</v>
      </c>
    </row>
    <row r="14993" customFormat="false" ht="15" hidden="false" customHeight="true" outlineLevel="0" collapsed="false">
      <c r="A14993" s="10" t="n">
        <f aca="false">Einstellungen!$B$5+INT((ROW()-9)/24)</f>
        <v>46590</v>
      </c>
      <c r="B14993" s="11" t="n">
        <f aca="false">MOD(ROW()-9,24)</f>
        <v>8</v>
      </c>
      <c r="C14993" s="12"/>
      <c r="D14993" s="13" t="n">
        <f aca="false">IF(B14993&lt;5,Einstellungen!$B$3,Einstellungen!$B$4)</f>
        <v>29.13</v>
      </c>
      <c r="E14993" s="14" t="str">
        <f aca="false">IF(C14993="","",C14993*D14993/100)</f>
        <v/>
      </c>
      <c r="F14993" s="15" t="str">
        <f aca="false">IF(B14993&lt;5,"Go","Standard")</f>
        <v>Standard</v>
      </c>
    </row>
    <row r="14994" customFormat="false" ht="15" hidden="false" customHeight="true" outlineLevel="0" collapsed="false">
      <c r="A14994" s="10" t="n">
        <f aca="false">Einstellungen!$B$5+INT((ROW()-9)/24)</f>
        <v>46590</v>
      </c>
      <c r="B14994" s="11" t="n">
        <f aca="false">MOD(ROW()-9,24)</f>
        <v>9</v>
      </c>
      <c r="C14994" s="12"/>
      <c r="D14994" s="13" t="n">
        <f aca="false">IF(B14994&lt;5,Einstellungen!$B$3,Einstellungen!$B$4)</f>
        <v>29.13</v>
      </c>
      <c r="E14994" s="14" t="str">
        <f aca="false">IF(C14994="","",C14994*D14994/100)</f>
        <v/>
      </c>
      <c r="F14994" s="15" t="str">
        <f aca="false">IF(B14994&lt;5,"Go","Standard")</f>
        <v>Standard</v>
      </c>
    </row>
    <row r="14995" customFormat="false" ht="15" hidden="false" customHeight="true" outlineLevel="0" collapsed="false">
      <c r="A14995" s="10" t="n">
        <f aca="false">Einstellungen!$B$5+INT((ROW()-9)/24)</f>
        <v>46590</v>
      </c>
      <c r="B14995" s="11" t="n">
        <f aca="false">MOD(ROW()-9,24)</f>
        <v>10</v>
      </c>
      <c r="C14995" s="12"/>
      <c r="D14995" s="13" t="n">
        <f aca="false">IF(B14995&lt;5,Einstellungen!$B$3,Einstellungen!$B$4)</f>
        <v>29.13</v>
      </c>
      <c r="E14995" s="14" t="str">
        <f aca="false">IF(C14995="","",C14995*D14995/100)</f>
        <v/>
      </c>
      <c r="F14995" s="15" t="str">
        <f aca="false">IF(B14995&lt;5,"Go","Standard")</f>
        <v>Standard</v>
      </c>
    </row>
    <row r="14996" customFormat="false" ht="15" hidden="false" customHeight="true" outlineLevel="0" collapsed="false">
      <c r="A14996" s="10" t="n">
        <f aca="false">Einstellungen!$B$5+INT((ROW()-9)/24)</f>
        <v>46590</v>
      </c>
      <c r="B14996" s="11" t="n">
        <f aca="false">MOD(ROW()-9,24)</f>
        <v>11</v>
      </c>
      <c r="C14996" s="12"/>
      <c r="D14996" s="13" t="n">
        <f aca="false">IF(B14996&lt;5,Einstellungen!$B$3,Einstellungen!$B$4)</f>
        <v>29.13</v>
      </c>
      <c r="E14996" s="14" t="str">
        <f aca="false">IF(C14996="","",C14996*D14996/100)</f>
        <v/>
      </c>
      <c r="F14996" s="15" t="str">
        <f aca="false">IF(B14996&lt;5,"Go","Standard")</f>
        <v>Standard</v>
      </c>
    </row>
    <row r="14997" customFormat="false" ht="15" hidden="false" customHeight="true" outlineLevel="0" collapsed="false">
      <c r="A14997" s="10" t="n">
        <f aca="false">Einstellungen!$B$5+INT((ROW()-9)/24)</f>
        <v>46590</v>
      </c>
      <c r="B14997" s="11" t="n">
        <f aca="false">MOD(ROW()-9,24)</f>
        <v>12</v>
      </c>
      <c r="C14997" s="12"/>
      <c r="D14997" s="13" t="n">
        <f aca="false">IF(B14997&lt;5,Einstellungen!$B$3,Einstellungen!$B$4)</f>
        <v>29.13</v>
      </c>
      <c r="E14997" s="14" t="str">
        <f aca="false">IF(C14997="","",C14997*D14997/100)</f>
        <v/>
      </c>
      <c r="F14997" s="15" t="str">
        <f aca="false">IF(B14997&lt;5,"Go","Standard")</f>
        <v>Standard</v>
      </c>
    </row>
    <row r="14998" customFormat="false" ht="15" hidden="false" customHeight="true" outlineLevel="0" collapsed="false">
      <c r="A14998" s="10" t="n">
        <f aca="false">Einstellungen!$B$5+INT((ROW()-9)/24)</f>
        <v>46590</v>
      </c>
      <c r="B14998" s="11" t="n">
        <f aca="false">MOD(ROW()-9,24)</f>
        <v>13</v>
      </c>
      <c r="C14998" s="12"/>
      <c r="D14998" s="13" t="n">
        <f aca="false">IF(B14998&lt;5,Einstellungen!$B$3,Einstellungen!$B$4)</f>
        <v>29.13</v>
      </c>
      <c r="E14998" s="14" t="str">
        <f aca="false">IF(C14998="","",C14998*D14998/100)</f>
        <v/>
      </c>
      <c r="F14998" s="15" t="str">
        <f aca="false">IF(B14998&lt;5,"Go","Standard")</f>
        <v>Standard</v>
      </c>
    </row>
    <row r="14999" customFormat="false" ht="15" hidden="false" customHeight="true" outlineLevel="0" collapsed="false">
      <c r="A14999" s="10" t="n">
        <f aca="false">Einstellungen!$B$5+INT((ROW()-9)/24)</f>
        <v>46590</v>
      </c>
      <c r="B14999" s="11" t="n">
        <f aca="false">MOD(ROW()-9,24)</f>
        <v>14</v>
      </c>
      <c r="C14999" s="12"/>
      <c r="D14999" s="13" t="n">
        <f aca="false">IF(B14999&lt;5,Einstellungen!$B$3,Einstellungen!$B$4)</f>
        <v>29.13</v>
      </c>
      <c r="E14999" s="14" t="str">
        <f aca="false">IF(C14999="","",C14999*D14999/100)</f>
        <v/>
      </c>
      <c r="F14999" s="15" t="str">
        <f aca="false">IF(B14999&lt;5,"Go","Standard")</f>
        <v>Standard</v>
      </c>
    </row>
    <row r="15000" customFormat="false" ht="15" hidden="false" customHeight="true" outlineLevel="0" collapsed="false">
      <c r="A15000" s="10" t="n">
        <f aca="false">Einstellungen!$B$5+INT((ROW()-9)/24)</f>
        <v>46590</v>
      </c>
      <c r="B15000" s="11" t="n">
        <f aca="false">MOD(ROW()-9,24)</f>
        <v>15</v>
      </c>
      <c r="C15000" s="12"/>
      <c r="D15000" s="13" t="n">
        <f aca="false">IF(B15000&lt;5,Einstellungen!$B$3,Einstellungen!$B$4)</f>
        <v>29.13</v>
      </c>
      <c r="E15000" s="14" t="str">
        <f aca="false">IF(C15000="","",C15000*D15000/100)</f>
        <v/>
      </c>
      <c r="F15000" s="15" t="str">
        <f aca="false">IF(B15000&lt;5,"Go","Standard")</f>
        <v>Standard</v>
      </c>
    </row>
    <row r="15001" customFormat="false" ht="15" hidden="false" customHeight="true" outlineLevel="0" collapsed="false">
      <c r="A15001" s="10" t="n">
        <f aca="false">Einstellungen!$B$5+INT((ROW()-9)/24)</f>
        <v>46590</v>
      </c>
      <c r="B15001" s="11" t="n">
        <f aca="false">MOD(ROW()-9,24)</f>
        <v>16</v>
      </c>
      <c r="C15001" s="12"/>
      <c r="D15001" s="13" t="n">
        <f aca="false">IF(B15001&lt;5,Einstellungen!$B$3,Einstellungen!$B$4)</f>
        <v>29.13</v>
      </c>
      <c r="E15001" s="14" t="str">
        <f aca="false">IF(C15001="","",C15001*D15001/100)</f>
        <v/>
      </c>
      <c r="F15001" s="15" t="str">
        <f aca="false">IF(B15001&lt;5,"Go","Standard")</f>
        <v>Standard</v>
      </c>
    </row>
    <row r="15002" customFormat="false" ht="15" hidden="false" customHeight="true" outlineLevel="0" collapsed="false">
      <c r="A15002" s="10" t="n">
        <f aca="false">Einstellungen!$B$5+INT((ROW()-9)/24)</f>
        <v>46590</v>
      </c>
      <c r="B15002" s="11" t="n">
        <f aca="false">MOD(ROW()-9,24)</f>
        <v>17</v>
      </c>
      <c r="C15002" s="12"/>
      <c r="D15002" s="13" t="n">
        <f aca="false">IF(B15002&lt;5,Einstellungen!$B$3,Einstellungen!$B$4)</f>
        <v>29.13</v>
      </c>
      <c r="E15002" s="14" t="str">
        <f aca="false">IF(C15002="","",C15002*D15002/100)</f>
        <v/>
      </c>
      <c r="F15002" s="15" t="str">
        <f aca="false">IF(B15002&lt;5,"Go","Standard")</f>
        <v>Standard</v>
      </c>
    </row>
    <row r="15003" customFormat="false" ht="15" hidden="false" customHeight="true" outlineLevel="0" collapsed="false">
      <c r="A15003" s="10" t="n">
        <f aca="false">Einstellungen!$B$5+INT((ROW()-9)/24)</f>
        <v>46590</v>
      </c>
      <c r="B15003" s="11" t="n">
        <f aca="false">MOD(ROW()-9,24)</f>
        <v>18</v>
      </c>
      <c r="C15003" s="12"/>
      <c r="D15003" s="13" t="n">
        <f aca="false">IF(B15003&lt;5,Einstellungen!$B$3,Einstellungen!$B$4)</f>
        <v>29.13</v>
      </c>
      <c r="E15003" s="14" t="str">
        <f aca="false">IF(C15003="","",C15003*D15003/100)</f>
        <v/>
      </c>
      <c r="F15003" s="15" t="str">
        <f aca="false">IF(B15003&lt;5,"Go","Standard")</f>
        <v>Standard</v>
      </c>
    </row>
    <row r="15004" customFormat="false" ht="15" hidden="false" customHeight="true" outlineLevel="0" collapsed="false">
      <c r="A15004" s="10" t="n">
        <f aca="false">Einstellungen!$B$5+INT((ROW()-9)/24)</f>
        <v>46590</v>
      </c>
      <c r="B15004" s="11" t="n">
        <f aca="false">MOD(ROW()-9,24)</f>
        <v>19</v>
      </c>
      <c r="C15004" s="12"/>
      <c r="D15004" s="13" t="n">
        <f aca="false">IF(B15004&lt;5,Einstellungen!$B$3,Einstellungen!$B$4)</f>
        <v>29.13</v>
      </c>
      <c r="E15004" s="14" t="str">
        <f aca="false">IF(C15004="","",C15004*D15004/100)</f>
        <v/>
      </c>
      <c r="F15004" s="15" t="str">
        <f aca="false">IF(B15004&lt;5,"Go","Standard")</f>
        <v>Standard</v>
      </c>
    </row>
    <row r="15005" customFormat="false" ht="15" hidden="false" customHeight="true" outlineLevel="0" collapsed="false">
      <c r="A15005" s="10" t="n">
        <f aca="false">Einstellungen!$B$5+INT((ROW()-9)/24)</f>
        <v>46590</v>
      </c>
      <c r="B15005" s="11" t="n">
        <f aca="false">MOD(ROW()-9,24)</f>
        <v>20</v>
      </c>
      <c r="C15005" s="12"/>
      <c r="D15005" s="13" t="n">
        <f aca="false">IF(B15005&lt;5,Einstellungen!$B$3,Einstellungen!$B$4)</f>
        <v>29.13</v>
      </c>
      <c r="E15005" s="14" t="str">
        <f aca="false">IF(C15005="","",C15005*D15005/100)</f>
        <v/>
      </c>
      <c r="F15005" s="15" t="str">
        <f aca="false">IF(B15005&lt;5,"Go","Standard")</f>
        <v>Standard</v>
      </c>
    </row>
    <row r="15006" customFormat="false" ht="15" hidden="false" customHeight="true" outlineLevel="0" collapsed="false">
      <c r="A15006" s="10" t="n">
        <f aca="false">Einstellungen!$B$5+INT((ROW()-9)/24)</f>
        <v>46590</v>
      </c>
      <c r="B15006" s="11" t="n">
        <f aca="false">MOD(ROW()-9,24)</f>
        <v>21</v>
      </c>
      <c r="C15006" s="12"/>
      <c r="D15006" s="13" t="n">
        <f aca="false">IF(B15006&lt;5,Einstellungen!$B$3,Einstellungen!$B$4)</f>
        <v>29.13</v>
      </c>
      <c r="E15006" s="14" t="str">
        <f aca="false">IF(C15006="","",C15006*D15006/100)</f>
        <v/>
      </c>
      <c r="F15006" s="15" t="str">
        <f aca="false">IF(B15006&lt;5,"Go","Standard")</f>
        <v>Standard</v>
      </c>
    </row>
    <row r="15007" customFormat="false" ht="15" hidden="false" customHeight="true" outlineLevel="0" collapsed="false">
      <c r="A15007" s="10" t="n">
        <f aca="false">Einstellungen!$B$5+INT((ROW()-9)/24)</f>
        <v>46590</v>
      </c>
      <c r="B15007" s="11" t="n">
        <f aca="false">MOD(ROW()-9,24)</f>
        <v>22</v>
      </c>
      <c r="C15007" s="12"/>
      <c r="D15007" s="13" t="n">
        <f aca="false">IF(B15007&lt;5,Einstellungen!$B$3,Einstellungen!$B$4)</f>
        <v>29.13</v>
      </c>
      <c r="E15007" s="14" t="str">
        <f aca="false">IF(C15007="","",C15007*D15007/100)</f>
        <v/>
      </c>
      <c r="F15007" s="15" t="str">
        <f aca="false">IF(B15007&lt;5,"Go","Standard")</f>
        <v>Standard</v>
      </c>
    </row>
    <row r="15008" customFormat="false" ht="15" hidden="false" customHeight="true" outlineLevel="0" collapsed="false">
      <c r="A15008" s="10" t="n">
        <f aca="false">Einstellungen!$B$5+INT((ROW()-9)/24)</f>
        <v>46590</v>
      </c>
      <c r="B15008" s="11" t="n">
        <f aca="false">MOD(ROW()-9,24)</f>
        <v>23</v>
      </c>
      <c r="C15008" s="12"/>
      <c r="D15008" s="13" t="n">
        <f aca="false">IF(B15008&lt;5,Einstellungen!$B$3,Einstellungen!$B$4)</f>
        <v>29.13</v>
      </c>
      <c r="E15008" s="14" t="str">
        <f aca="false">IF(C15008="","",C15008*D15008/100)</f>
        <v/>
      </c>
      <c r="F15008" s="15" t="str">
        <f aca="false">IF(B15008&lt;5,"Go","Standard")</f>
        <v>Standard</v>
      </c>
    </row>
    <row r="15009" customFormat="false" ht="15" hidden="false" customHeight="true" outlineLevel="0" collapsed="false">
      <c r="A15009" s="10" t="n">
        <f aca="false">Einstellungen!$B$5+INT((ROW()-9)/24)</f>
        <v>46591</v>
      </c>
      <c r="B15009" s="11" t="n">
        <f aca="false">MOD(ROW()-9,24)</f>
        <v>0</v>
      </c>
      <c r="C15009" s="12"/>
      <c r="D15009" s="13" t="n">
        <f aca="false">IF(B15009&lt;5,Einstellungen!$B$3,Einstellungen!$B$4)</f>
        <v>15.92</v>
      </c>
      <c r="E15009" s="14" t="str">
        <f aca="false">IF(C15009="","",C15009*D15009/100)</f>
        <v/>
      </c>
      <c r="F15009" s="15" t="str">
        <f aca="false">IF(B15009&lt;5,"Go","Standard")</f>
        <v>Go</v>
      </c>
    </row>
    <row r="15010" customFormat="false" ht="15" hidden="false" customHeight="true" outlineLevel="0" collapsed="false">
      <c r="A15010" s="10" t="n">
        <f aca="false">Einstellungen!$B$5+INT((ROW()-9)/24)</f>
        <v>46591</v>
      </c>
      <c r="B15010" s="11" t="n">
        <f aca="false">MOD(ROW()-9,24)</f>
        <v>1</v>
      </c>
      <c r="C15010" s="12"/>
      <c r="D15010" s="13" t="n">
        <f aca="false">IF(B15010&lt;5,Einstellungen!$B$3,Einstellungen!$B$4)</f>
        <v>15.92</v>
      </c>
      <c r="E15010" s="14" t="str">
        <f aca="false">IF(C15010="","",C15010*D15010/100)</f>
        <v/>
      </c>
      <c r="F15010" s="15" t="str">
        <f aca="false">IF(B15010&lt;5,"Go","Standard")</f>
        <v>Go</v>
      </c>
    </row>
    <row r="15011" customFormat="false" ht="15" hidden="false" customHeight="true" outlineLevel="0" collapsed="false">
      <c r="A15011" s="10" t="n">
        <f aca="false">Einstellungen!$B$5+INT((ROW()-9)/24)</f>
        <v>46591</v>
      </c>
      <c r="B15011" s="11" t="n">
        <f aca="false">MOD(ROW()-9,24)</f>
        <v>2</v>
      </c>
      <c r="C15011" s="12"/>
      <c r="D15011" s="13" t="n">
        <f aca="false">IF(B15011&lt;5,Einstellungen!$B$3,Einstellungen!$B$4)</f>
        <v>15.92</v>
      </c>
      <c r="E15011" s="14" t="str">
        <f aca="false">IF(C15011="","",C15011*D15011/100)</f>
        <v/>
      </c>
      <c r="F15011" s="15" t="str">
        <f aca="false">IF(B15011&lt;5,"Go","Standard")</f>
        <v>Go</v>
      </c>
    </row>
    <row r="15012" customFormat="false" ht="15" hidden="false" customHeight="true" outlineLevel="0" collapsed="false">
      <c r="A15012" s="10" t="n">
        <f aca="false">Einstellungen!$B$5+INT((ROW()-9)/24)</f>
        <v>46591</v>
      </c>
      <c r="B15012" s="11" t="n">
        <f aca="false">MOD(ROW()-9,24)</f>
        <v>3</v>
      </c>
      <c r="C15012" s="12"/>
      <c r="D15012" s="13" t="n">
        <f aca="false">IF(B15012&lt;5,Einstellungen!$B$3,Einstellungen!$B$4)</f>
        <v>15.92</v>
      </c>
      <c r="E15012" s="14" t="str">
        <f aca="false">IF(C15012="","",C15012*D15012/100)</f>
        <v/>
      </c>
      <c r="F15012" s="15" t="str">
        <f aca="false">IF(B15012&lt;5,"Go","Standard")</f>
        <v>Go</v>
      </c>
    </row>
    <row r="15013" customFormat="false" ht="15" hidden="false" customHeight="true" outlineLevel="0" collapsed="false">
      <c r="A15013" s="10" t="n">
        <f aca="false">Einstellungen!$B$5+INT((ROW()-9)/24)</f>
        <v>46591</v>
      </c>
      <c r="B15013" s="11" t="n">
        <f aca="false">MOD(ROW()-9,24)</f>
        <v>4</v>
      </c>
      <c r="C15013" s="12"/>
      <c r="D15013" s="13" t="n">
        <f aca="false">IF(B15013&lt;5,Einstellungen!$B$3,Einstellungen!$B$4)</f>
        <v>15.92</v>
      </c>
      <c r="E15013" s="14" t="str">
        <f aca="false">IF(C15013="","",C15013*D15013/100)</f>
        <v/>
      </c>
      <c r="F15013" s="15" t="str">
        <f aca="false">IF(B15013&lt;5,"Go","Standard")</f>
        <v>Go</v>
      </c>
    </row>
    <row r="15014" customFormat="false" ht="15" hidden="false" customHeight="true" outlineLevel="0" collapsed="false">
      <c r="A15014" s="10" t="n">
        <f aca="false">Einstellungen!$B$5+INT((ROW()-9)/24)</f>
        <v>46591</v>
      </c>
      <c r="B15014" s="11" t="n">
        <f aca="false">MOD(ROW()-9,24)</f>
        <v>5</v>
      </c>
      <c r="C15014" s="12"/>
      <c r="D15014" s="13" t="n">
        <f aca="false">IF(B15014&lt;5,Einstellungen!$B$3,Einstellungen!$B$4)</f>
        <v>29.13</v>
      </c>
      <c r="E15014" s="14" t="str">
        <f aca="false">IF(C15014="","",C15014*D15014/100)</f>
        <v/>
      </c>
      <c r="F15014" s="15" t="str">
        <f aca="false">IF(B15014&lt;5,"Go","Standard")</f>
        <v>Standard</v>
      </c>
    </row>
    <row r="15015" customFormat="false" ht="15" hidden="false" customHeight="true" outlineLevel="0" collapsed="false">
      <c r="A15015" s="10" t="n">
        <f aca="false">Einstellungen!$B$5+INT((ROW()-9)/24)</f>
        <v>46591</v>
      </c>
      <c r="B15015" s="11" t="n">
        <f aca="false">MOD(ROW()-9,24)</f>
        <v>6</v>
      </c>
      <c r="C15015" s="12"/>
      <c r="D15015" s="13" t="n">
        <f aca="false">IF(B15015&lt;5,Einstellungen!$B$3,Einstellungen!$B$4)</f>
        <v>29.13</v>
      </c>
      <c r="E15015" s="14" t="str">
        <f aca="false">IF(C15015="","",C15015*D15015/100)</f>
        <v/>
      </c>
      <c r="F15015" s="15" t="str">
        <f aca="false">IF(B15015&lt;5,"Go","Standard")</f>
        <v>Standard</v>
      </c>
    </row>
    <row r="15016" customFormat="false" ht="15" hidden="false" customHeight="true" outlineLevel="0" collapsed="false">
      <c r="A15016" s="10" t="n">
        <f aca="false">Einstellungen!$B$5+INT((ROW()-9)/24)</f>
        <v>46591</v>
      </c>
      <c r="B15016" s="11" t="n">
        <f aca="false">MOD(ROW()-9,24)</f>
        <v>7</v>
      </c>
      <c r="C15016" s="12"/>
      <c r="D15016" s="13" t="n">
        <f aca="false">IF(B15016&lt;5,Einstellungen!$B$3,Einstellungen!$B$4)</f>
        <v>29.13</v>
      </c>
      <c r="E15016" s="14" t="str">
        <f aca="false">IF(C15016="","",C15016*D15016/100)</f>
        <v/>
      </c>
      <c r="F15016" s="15" t="str">
        <f aca="false">IF(B15016&lt;5,"Go","Standard")</f>
        <v>Standard</v>
      </c>
    </row>
    <row r="15017" customFormat="false" ht="15" hidden="false" customHeight="true" outlineLevel="0" collapsed="false">
      <c r="A15017" s="10" t="n">
        <f aca="false">Einstellungen!$B$5+INT((ROW()-9)/24)</f>
        <v>46591</v>
      </c>
      <c r="B15017" s="11" t="n">
        <f aca="false">MOD(ROW()-9,24)</f>
        <v>8</v>
      </c>
      <c r="C15017" s="12"/>
      <c r="D15017" s="13" t="n">
        <f aca="false">IF(B15017&lt;5,Einstellungen!$B$3,Einstellungen!$B$4)</f>
        <v>29.13</v>
      </c>
      <c r="E15017" s="14" t="str">
        <f aca="false">IF(C15017="","",C15017*D15017/100)</f>
        <v/>
      </c>
      <c r="F15017" s="15" t="str">
        <f aca="false">IF(B15017&lt;5,"Go","Standard")</f>
        <v>Standard</v>
      </c>
    </row>
    <row r="15018" customFormat="false" ht="15" hidden="false" customHeight="true" outlineLevel="0" collapsed="false">
      <c r="A15018" s="10" t="n">
        <f aca="false">Einstellungen!$B$5+INT((ROW()-9)/24)</f>
        <v>46591</v>
      </c>
      <c r="B15018" s="11" t="n">
        <f aca="false">MOD(ROW()-9,24)</f>
        <v>9</v>
      </c>
      <c r="C15018" s="12"/>
      <c r="D15018" s="13" t="n">
        <f aca="false">IF(B15018&lt;5,Einstellungen!$B$3,Einstellungen!$B$4)</f>
        <v>29.13</v>
      </c>
      <c r="E15018" s="14" t="str">
        <f aca="false">IF(C15018="","",C15018*D15018/100)</f>
        <v/>
      </c>
      <c r="F15018" s="15" t="str">
        <f aca="false">IF(B15018&lt;5,"Go","Standard")</f>
        <v>Standard</v>
      </c>
    </row>
    <row r="15019" customFormat="false" ht="15" hidden="false" customHeight="true" outlineLevel="0" collapsed="false">
      <c r="A15019" s="10" t="n">
        <f aca="false">Einstellungen!$B$5+INT((ROW()-9)/24)</f>
        <v>46591</v>
      </c>
      <c r="B15019" s="11" t="n">
        <f aca="false">MOD(ROW()-9,24)</f>
        <v>10</v>
      </c>
      <c r="C15019" s="12"/>
      <c r="D15019" s="13" t="n">
        <f aca="false">IF(B15019&lt;5,Einstellungen!$B$3,Einstellungen!$B$4)</f>
        <v>29.13</v>
      </c>
      <c r="E15019" s="14" t="str">
        <f aca="false">IF(C15019="","",C15019*D15019/100)</f>
        <v/>
      </c>
      <c r="F15019" s="15" t="str">
        <f aca="false">IF(B15019&lt;5,"Go","Standard")</f>
        <v>Standard</v>
      </c>
    </row>
    <row r="15020" customFormat="false" ht="15" hidden="false" customHeight="true" outlineLevel="0" collapsed="false">
      <c r="A15020" s="10" t="n">
        <f aca="false">Einstellungen!$B$5+INT((ROW()-9)/24)</f>
        <v>46591</v>
      </c>
      <c r="B15020" s="11" t="n">
        <f aca="false">MOD(ROW()-9,24)</f>
        <v>11</v>
      </c>
      <c r="C15020" s="12"/>
      <c r="D15020" s="13" t="n">
        <f aca="false">IF(B15020&lt;5,Einstellungen!$B$3,Einstellungen!$B$4)</f>
        <v>29.13</v>
      </c>
      <c r="E15020" s="14" t="str">
        <f aca="false">IF(C15020="","",C15020*D15020/100)</f>
        <v/>
      </c>
      <c r="F15020" s="15" t="str">
        <f aca="false">IF(B15020&lt;5,"Go","Standard")</f>
        <v>Standard</v>
      </c>
    </row>
    <row r="15021" customFormat="false" ht="15" hidden="false" customHeight="true" outlineLevel="0" collapsed="false">
      <c r="A15021" s="10" t="n">
        <f aca="false">Einstellungen!$B$5+INT((ROW()-9)/24)</f>
        <v>46591</v>
      </c>
      <c r="B15021" s="11" t="n">
        <f aca="false">MOD(ROW()-9,24)</f>
        <v>12</v>
      </c>
      <c r="C15021" s="12"/>
      <c r="D15021" s="13" t="n">
        <f aca="false">IF(B15021&lt;5,Einstellungen!$B$3,Einstellungen!$B$4)</f>
        <v>29.13</v>
      </c>
      <c r="E15021" s="14" t="str">
        <f aca="false">IF(C15021="","",C15021*D15021/100)</f>
        <v/>
      </c>
      <c r="F15021" s="15" t="str">
        <f aca="false">IF(B15021&lt;5,"Go","Standard")</f>
        <v>Standard</v>
      </c>
    </row>
    <row r="15022" customFormat="false" ht="15" hidden="false" customHeight="true" outlineLevel="0" collapsed="false">
      <c r="A15022" s="10" t="n">
        <f aca="false">Einstellungen!$B$5+INT((ROW()-9)/24)</f>
        <v>46591</v>
      </c>
      <c r="B15022" s="11" t="n">
        <f aca="false">MOD(ROW()-9,24)</f>
        <v>13</v>
      </c>
      <c r="C15022" s="12"/>
      <c r="D15022" s="13" t="n">
        <f aca="false">IF(B15022&lt;5,Einstellungen!$B$3,Einstellungen!$B$4)</f>
        <v>29.13</v>
      </c>
      <c r="E15022" s="14" t="str">
        <f aca="false">IF(C15022="","",C15022*D15022/100)</f>
        <v/>
      </c>
      <c r="F15022" s="15" t="str">
        <f aca="false">IF(B15022&lt;5,"Go","Standard")</f>
        <v>Standard</v>
      </c>
    </row>
    <row r="15023" customFormat="false" ht="15" hidden="false" customHeight="true" outlineLevel="0" collapsed="false">
      <c r="A15023" s="10" t="n">
        <f aca="false">Einstellungen!$B$5+INT((ROW()-9)/24)</f>
        <v>46591</v>
      </c>
      <c r="B15023" s="11" t="n">
        <f aca="false">MOD(ROW()-9,24)</f>
        <v>14</v>
      </c>
      <c r="C15023" s="12"/>
      <c r="D15023" s="13" t="n">
        <f aca="false">IF(B15023&lt;5,Einstellungen!$B$3,Einstellungen!$B$4)</f>
        <v>29.13</v>
      </c>
      <c r="E15023" s="14" t="str">
        <f aca="false">IF(C15023="","",C15023*D15023/100)</f>
        <v/>
      </c>
      <c r="F15023" s="15" t="str">
        <f aca="false">IF(B15023&lt;5,"Go","Standard")</f>
        <v>Standard</v>
      </c>
    </row>
    <row r="15024" customFormat="false" ht="15" hidden="false" customHeight="true" outlineLevel="0" collapsed="false">
      <c r="A15024" s="10" t="n">
        <f aca="false">Einstellungen!$B$5+INT((ROW()-9)/24)</f>
        <v>46591</v>
      </c>
      <c r="B15024" s="11" t="n">
        <f aca="false">MOD(ROW()-9,24)</f>
        <v>15</v>
      </c>
      <c r="C15024" s="12"/>
      <c r="D15024" s="13" t="n">
        <f aca="false">IF(B15024&lt;5,Einstellungen!$B$3,Einstellungen!$B$4)</f>
        <v>29.13</v>
      </c>
      <c r="E15024" s="14" t="str">
        <f aca="false">IF(C15024="","",C15024*D15024/100)</f>
        <v/>
      </c>
      <c r="F15024" s="15" t="str">
        <f aca="false">IF(B15024&lt;5,"Go","Standard")</f>
        <v>Standard</v>
      </c>
    </row>
    <row r="15025" customFormat="false" ht="15" hidden="false" customHeight="true" outlineLevel="0" collapsed="false">
      <c r="A15025" s="10" t="n">
        <f aca="false">Einstellungen!$B$5+INT((ROW()-9)/24)</f>
        <v>46591</v>
      </c>
      <c r="B15025" s="11" t="n">
        <f aca="false">MOD(ROW()-9,24)</f>
        <v>16</v>
      </c>
      <c r="C15025" s="12"/>
      <c r="D15025" s="13" t="n">
        <f aca="false">IF(B15025&lt;5,Einstellungen!$B$3,Einstellungen!$B$4)</f>
        <v>29.13</v>
      </c>
      <c r="E15025" s="14" t="str">
        <f aca="false">IF(C15025="","",C15025*D15025/100)</f>
        <v/>
      </c>
      <c r="F15025" s="15" t="str">
        <f aca="false">IF(B15025&lt;5,"Go","Standard")</f>
        <v>Standard</v>
      </c>
    </row>
    <row r="15026" customFormat="false" ht="15" hidden="false" customHeight="true" outlineLevel="0" collapsed="false">
      <c r="A15026" s="10" t="n">
        <f aca="false">Einstellungen!$B$5+INT((ROW()-9)/24)</f>
        <v>46591</v>
      </c>
      <c r="B15026" s="11" t="n">
        <f aca="false">MOD(ROW()-9,24)</f>
        <v>17</v>
      </c>
      <c r="C15026" s="12"/>
      <c r="D15026" s="13" t="n">
        <f aca="false">IF(B15026&lt;5,Einstellungen!$B$3,Einstellungen!$B$4)</f>
        <v>29.13</v>
      </c>
      <c r="E15026" s="14" t="str">
        <f aca="false">IF(C15026="","",C15026*D15026/100)</f>
        <v/>
      </c>
      <c r="F15026" s="15" t="str">
        <f aca="false">IF(B15026&lt;5,"Go","Standard")</f>
        <v>Standard</v>
      </c>
    </row>
    <row r="15027" customFormat="false" ht="15" hidden="false" customHeight="true" outlineLevel="0" collapsed="false">
      <c r="A15027" s="10" t="n">
        <f aca="false">Einstellungen!$B$5+INT((ROW()-9)/24)</f>
        <v>46591</v>
      </c>
      <c r="B15027" s="11" t="n">
        <f aca="false">MOD(ROW()-9,24)</f>
        <v>18</v>
      </c>
      <c r="C15027" s="12"/>
      <c r="D15027" s="13" t="n">
        <f aca="false">IF(B15027&lt;5,Einstellungen!$B$3,Einstellungen!$B$4)</f>
        <v>29.13</v>
      </c>
      <c r="E15027" s="14" t="str">
        <f aca="false">IF(C15027="","",C15027*D15027/100)</f>
        <v/>
      </c>
      <c r="F15027" s="15" t="str">
        <f aca="false">IF(B15027&lt;5,"Go","Standard")</f>
        <v>Standard</v>
      </c>
    </row>
    <row r="15028" customFormat="false" ht="15" hidden="false" customHeight="true" outlineLevel="0" collapsed="false">
      <c r="A15028" s="10" t="n">
        <f aca="false">Einstellungen!$B$5+INT((ROW()-9)/24)</f>
        <v>46591</v>
      </c>
      <c r="B15028" s="11" t="n">
        <f aca="false">MOD(ROW()-9,24)</f>
        <v>19</v>
      </c>
      <c r="C15028" s="12"/>
      <c r="D15028" s="13" t="n">
        <f aca="false">IF(B15028&lt;5,Einstellungen!$B$3,Einstellungen!$B$4)</f>
        <v>29.13</v>
      </c>
      <c r="E15028" s="14" t="str">
        <f aca="false">IF(C15028="","",C15028*D15028/100)</f>
        <v/>
      </c>
      <c r="F15028" s="15" t="str">
        <f aca="false">IF(B15028&lt;5,"Go","Standard")</f>
        <v>Standard</v>
      </c>
    </row>
    <row r="15029" customFormat="false" ht="15" hidden="false" customHeight="true" outlineLevel="0" collapsed="false">
      <c r="A15029" s="10" t="n">
        <f aca="false">Einstellungen!$B$5+INT((ROW()-9)/24)</f>
        <v>46591</v>
      </c>
      <c r="B15029" s="11" t="n">
        <f aca="false">MOD(ROW()-9,24)</f>
        <v>20</v>
      </c>
      <c r="C15029" s="12"/>
      <c r="D15029" s="13" t="n">
        <f aca="false">IF(B15029&lt;5,Einstellungen!$B$3,Einstellungen!$B$4)</f>
        <v>29.13</v>
      </c>
      <c r="E15029" s="14" t="str">
        <f aca="false">IF(C15029="","",C15029*D15029/100)</f>
        <v/>
      </c>
      <c r="F15029" s="15" t="str">
        <f aca="false">IF(B15029&lt;5,"Go","Standard")</f>
        <v>Standard</v>
      </c>
    </row>
    <row r="15030" customFormat="false" ht="15" hidden="false" customHeight="true" outlineLevel="0" collapsed="false">
      <c r="A15030" s="10" t="n">
        <f aca="false">Einstellungen!$B$5+INT((ROW()-9)/24)</f>
        <v>46591</v>
      </c>
      <c r="B15030" s="11" t="n">
        <f aca="false">MOD(ROW()-9,24)</f>
        <v>21</v>
      </c>
      <c r="C15030" s="12"/>
      <c r="D15030" s="13" t="n">
        <f aca="false">IF(B15030&lt;5,Einstellungen!$B$3,Einstellungen!$B$4)</f>
        <v>29.13</v>
      </c>
      <c r="E15030" s="14" t="str">
        <f aca="false">IF(C15030="","",C15030*D15030/100)</f>
        <v/>
      </c>
      <c r="F15030" s="15" t="str">
        <f aca="false">IF(B15030&lt;5,"Go","Standard")</f>
        <v>Standard</v>
      </c>
    </row>
    <row r="15031" customFormat="false" ht="15" hidden="false" customHeight="true" outlineLevel="0" collapsed="false">
      <c r="A15031" s="10" t="n">
        <f aca="false">Einstellungen!$B$5+INT((ROW()-9)/24)</f>
        <v>46591</v>
      </c>
      <c r="B15031" s="11" t="n">
        <f aca="false">MOD(ROW()-9,24)</f>
        <v>22</v>
      </c>
      <c r="C15031" s="12"/>
      <c r="D15031" s="13" t="n">
        <f aca="false">IF(B15031&lt;5,Einstellungen!$B$3,Einstellungen!$B$4)</f>
        <v>29.13</v>
      </c>
      <c r="E15031" s="14" t="str">
        <f aca="false">IF(C15031="","",C15031*D15031/100)</f>
        <v/>
      </c>
      <c r="F15031" s="15" t="str">
        <f aca="false">IF(B15031&lt;5,"Go","Standard")</f>
        <v>Standard</v>
      </c>
    </row>
    <row r="15032" customFormat="false" ht="15" hidden="false" customHeight="true" outlineLevel="0" collapsed="false">
      <c r="A15032" s="10" t="n">
        <f aca="false">Einstellungen!$B$5+INT((ROW()-9)/24)</f>
        <v>46591</v>
      </c>
      <c r="B15032" s="11" t="n">
        <f aca="false">MOD(ROW()-9,24)</f>
        <v>23</v>
      </c>
      <c r="C15032" s="12"/>
      <c r="D15032" s="13" t="n">
        <f aca="false">IF(B15032&lt;5,Einstellungen!$B$3,Einstellungen!$B$4)</f>
        <v>29.13</v>
      </c>
      <c r="E15032" s="14" t="str">
        <f aca="false">IF(C15032="","",C15032*D15032/100)</f>
        <v/>
      </c>
      <c r="F15032" s="15" t="str">
        <f aca="false">IF(B15032&lt;5,"Go","Standard")</f>
        <v>Standard</v>
      </c>
    </row>
    <row r="15033" customFormat="false" ht="15" hidden="false" customHeight="true" outlineLevel="0" collapsed="false">
      <c r="A15033" s="10" t="n">
        <f aca="false">Einstellungen!$B$5+INT((ROW()-9)/24)</f>
        <v>46592</v>
      </c>
      <c r="B15033" s="11" t="n">
        <f aca="false">MOD(ROW()-9,24)</f>
        <v>0</v>
      </c>
      <c r="C15033" s="12"/>
      <c r="D15033" s="13" t="n">
        <f aca="false">IF(B15033&lt;5,Einstellungen!$B$3,Einstellungen!$B$4)</f>
        <v>15.92</v>
      </c>
      <c r="E15033" s="14" t="str">
        <f aca="false">IF(C15033="","",C15033*D15033/100)</f>
        <v/>
      </c>
      <c r="F15033" s="15" t="str">
        <f aca="false">IF(B15033&lt;5,"Go","Standard")</f>
        <v>Go</v>
      </c>
    </row>
    <row r="15034" customFormat="false" ht="15" hidden="false" customHeight="true" outlineLevel="0" collapsed="false">
      <c r="A15034" s="10" t="n">
        <f aca="false">Einstellungen!$B$5+INT((ROW()-9)/24)</f>
        <v>46592</v>
      </c>
      <c r="B15034" s="11" t="n">
        <f aca="false">MOD(ROW()-9,24)</f>
        <v>1</v>
      </c>
      <c r="C15034" s="12"/>
      <c r="D15034" s="13" t="n">
        <f aca="false">IF(B15034&lt;5,Einstellungen!$B$3,Einstellungen!$B$4)</f>
        <v>15.92</v>
      </c>
      <c r="E15034" s="14" t="str">
        <f aca="false">IF(C15034="","",C15034*D15034/100)</f>
        <v/>
      </c>
      <c r="F15034" s="15" t="str">
        <f aca="false">IF(B15034&lt;5,"Go","Standard")</f>
        <v>Go</v>
      </c>
    </row>
    <row r="15035" customFormat="false" ht="15" hidden="false" customHeight="true" outlineLevel="0" collapsed="false">
      <c r="A15035" s="10" t="n">
        <f aca="false">Einstellungen!$B$5+INT((ROW()-9)/24)</f>
        <v>46592</v>
      </c>
      <c r="B15035" s="11" t="n">
        <f aca="false">MOD(ROW()-9,24)</f>
        <v>2</v>
      </c>
      <c r="C15035" s="12"/>
      <c r="D15035" s="13" t="n">
        <f aca="false">IF(B15035&lt;5,Einstellungen!$B$3,Einstellungen!$B$4)</f>
        <v>15.92</v>
      </c>
      <c r="E15035" s="14" t="str">
        <f aca="false">IF(C15035="","",C15035*D15035/100)</f>
        <v/>
      </c>
      <c r="F15035" s="15" t="str">
        <f aca="false">IF(B15035&lt;5,"Go","Standard")</f>
        <v>Go</v>
      </c>
    </row>
    <row r="15036" customFormat="false" ht="15" hidden="false" customHeight="true" outlineLevel="0" collapsed="false">
      <c r="A15036" s="10" t="n">
        <f aca="false">Einstellungen!$B$5+INT((ROW()-9)/24)</f>
        <v>46592</v>
      </c>
      <c r="B15036" s="11" t="n">
        <f aca="false">MOD(ROW()-9,24)</f>
        <v>3</v>
      </c>
      <c r="C15036" s="12"/>
      <c r="D15036" s="13" t="n">
        <f aca="false">IF(B15036&lt;5,Einstellungen!$B$3,Einstellungen!$B$4)</f>
        <v>15.92</v>
      </c>
      <c r="E15036" s="14" t="str">
        <f aca="false">IF(C15036="","",C15036*D15036/100)</f>
        <v/>
      </c>
      <c r="F15036" s="15" t="str">
        <f aca="false">IF(B15036&lt;5,"Go","Standard")</f>
        <v>Go</v>
      </c>
    </row>
    <row r="15037" customFormat="false" ht="15" hidden="false" customHeight="true" outlineLevel="0" collapsed="false">
      <c r="A15037" s="10" t="n">
        <f aca="false">Einstellungen!$B$5+INT((ROW()-9)/24)</f>
        <v>46592</v>
      </c>
      <c r="B15037" s="11" t="n">
        <f aca="false">MOD(ROW()-9,24)</f>
        <v>4</v>
      </c>
      <c r="C15037" s="12"/>
      <c r="D15037" s="13" t="n">
        <f aca="false">IF(B15037&lt;5,Einstellungen!$B$3,Einstellungen!$B$4)</f>
        <v>15.92</v>
      </c>
      <c r="E15037" s="14" t="str">
        <f aca="false">IF(C15037="","",C15037*D15037/100)</f>
        <v/>
      </c>
      <c r="F15037" s="15" t="str">
        <f aca="false">IF(B15037&lt;5,"Go","Standard")</f>
        <v>Go</v>
      </c>
    </row>
    <row r="15038" customFormat="false" ht="15" hidden="false" customHeight="true" outlineLevel="0" collapsed="false">
      <c r="A15038" s="10" t="n">
        <f aca="false">Einstellungen!$B$5+INT((ROW()-9)/24)</f>
        <v>46592</v>
      </c>
      <c r="B15038" s="11" t="n">
        <f aca="false">MOD(ROW()-9,24)</f>
        <v>5</v>
      </c>
      <c r="C15038" s="12"/>
      <c r="D15038" s="13" t="n">
        <f aca="false">IF(B15038&lt;5,Einstellungen!$B$3,Einstellungen!$B$4)</f>
        <v>29.13</v>
      </c>
      <c r="E15038" s="14" t="str">
        <f aca="false">IF(C15038="","",C15038*D15038/100)</f>
        <v/>
      </c>
      <c r="F15038" s="15" t="str">
        <f aca="false">IF(B15038&lt;5,"Go","Standard")</f>
        <v>Standard</v>
      </c>
    </row>
    <row r="15039" customFormat="false" ht="15" hidden="false" customHeight="true" outlineLevel="0" collapsed="false">
      <c r="A15039" s="10" t="n">
        <f aca="false">Einstellungen!$B$5+INT((ROW()-9)/24)</f>
        <v>46592</v>
      </c>
      <c r="B15039" s="11" t="n">
        <f aca="false">MOD(ROW()-9,24)</f>
        <v>6</v>
      </c>
      <c r="C15039" s="12"/>
      <c r="D15039" s="13" t="n">
        <f aca="false">IF(B15039&lt;5,Einstellungen!$B$3,Einstellungen!$B$4)</f>
        <v>29.13</v>
      </c>
      <c r="E15039" s="14" t="str">
        <f aca="false">IF(C15039="","",C15039*D15039/100)</f>
        <v/>
      </c>
      <c r="F15039" s="15" t="str">
        <f aca="false">IF(B15039&lt;5,"Go","Standard")</f>
        <v>Standard</v>
      </c>
    </row>
    <row r="15040" customFormat="false" ht="15" hidden="false" customHeight="true" outlineLevel="0" collapsed="false">
      <c r="A15040" s="10" t="n">
        <f aca="false">Einstellungen!$B$5+INT((ROW()-9)/24)</f>
        <v>46592</v>
      </c>
      <c r="B15040" s="11" t="n">
        <f aca="false">MOD(ROW()-9,24)</f>
        <v>7</v>
      </c>
      <c r="C15040" s="12"/>
      <c r="D15040" s="13" t="n">
        <f aca="false">IF(B15040&lt;5,Einstellungen!$B$3,Einstellungen!$B$4)</f>
        <v>29.13</v>
      </c>
      <c r="E15040" s="14" t="str">
        <f aca="false">IF(C15040="","",C15040*D15040/100)</f>
        <v/>
      </c>
      <c r="F15040" s="15" t="str">
        <f aca="false">IF(B15040&lt;5,"Go","Standard")</f>
        <v>Standard</v>
      </c>
    </row>
    <row r="15041" customFormat="false" ht="15" hidden="false" customHeight="true" outlineLevel="0" collapsed="false">
      <c r="A15041" s="10" t="n">
        <f aca="false">Einstellungen!$B$5+INT((ROW()-9)/24)</f>
        <v>46592</v>
      </c>
      <c r="B15041" s="11" t="n">
        <f aca="false">MOD(ROW()-9,24)</f>
        <v>8</v>
      </c>
      <c r="C15041" s="12"/>
      <c r="D15041" s="13" t="n">
        <f aca="false">IF(B15041&lt;5,Einstellungen!$B$3,Einstellungen!$B$4)</f>
        <v>29.13</v>
      </c>
      <c r="E15041" s="14" t="str">
        <f aca="false">IF(C15041="","",C15041*D15041/100)</f>
        <v/>
      </c>
      <c r="F15041" s="15" t="str">
        <f aca="false">IF(B15041&lt;5,"Go","Standard")</f>
        <v>Standard</v>
      </c>
    </row>
    <row r="15042" customFormat="false" ht="15" hidden="false" customHeight="true" outlineLevel="0" collapsed="false">
      <c r="A15042" s="10" t="n">
        <f aca="false">Einstellungen!$B$5+INT((ROW()-9)/24)</f>
        <v>46592</v>
      </c>
      <c r="B15042" s="11" t="n">
        <f aca="false">MOD(ROW()-9,24)</f>
        <v>9</v>
      </c>
      <c r="C15042" s="12"/>
      <c r="D15042" s="13" t="n">
        <f aca="false">IF(B15042&lt;5,Einstellungen!$B$3,Einstellungen!$B$4)</f>
        <v>29.13</v>
      </c>
      <c r="E15042" s="14" t="str">
        <f aca="false">IF(C15042="","",C15042*D15042/100)</f>
        <v/>
      </c>
      <c r="F15042" s="15" t="str">
        <f aca="false">IF(B15042&lt;5,"Go","Standard")</f>
        <v>Standard</v>
      </c>
    </row>
    <row r="15043" customFormat="false" ht="15" hidden="false" customHeight="true" outlineLevel="0" collapsed="false">
      <c r="A15043" s="10" t="n">
        <f aca="false">Einstellungen!$B$5+INT((ROW()-9)/24)</f>
        <v>46592</v>
      </c>
      <c r="B15043" s="11" t="n">
        <f aca="false">MOD(ROW()-9,24)</f>
        <v>10</v>
      </c>
      <c r="C15043" s="12"/>
      <c r="D15043" s="13" t="n">
        <f aca="false">IF(B15043&lt;5,Einstellungen!$B$3,Einstellungen!$B$4)</f>
        <v>29.13</v>
      </c>
      <c r="E15043" s="14" t="str">
        <f aca="false">IF(C15043="","",C15043*D15043/100)</f>
        <v/>
      </c>
      <c r="F15043" s="15" t="str">
        <f aca="false">IF(B15043&lt;5,"Go","Standard")</f>
        <v>Standard</v>
      </c>
    </row>
    <row r="15044" customFormat="false" ht="15" hidden="false" customHeight="true" outlineLevel="0" collapsed="false">
      <c r="A15044" s="10" t="n">
        <f aca="false">Einstellungen!$B$5+INT((ROW()-9)/24)</f>
        <v>46592</v>
      </c>
      <c r="B15044" s="11" t="n">
        <f aca="false">MOD(ROW()-9,24)</f>
        <v>11</v>
      </c>
      <c r="C15044" s="12"/>
      <c r="D15044" s="13" t="n">
        <f aca="false">IF(B15044&lt;5,Einstellungen!$B$3,Einstellungen!$B$4)</f>
        <v>29.13</v>
      </c>
      <c r="E15044" s="14" t="str">
        <f aca="false">IF(C15044="","",C15044*D15044/100)</f>
        <v/>
      </c>
      <c r="F15044" s="15" t="str">
        <f aca="false">IF(B15044&lt;5,"Go","Standard")</f>
        <v>Standard</v>
      </c>
    </row>
    <row r="15045" customFormat="false" ht="15" hidden="false" customHeight="true" outlineLevel="0" collapsed="false">
      <c r="A15045" s="10" t="n">
        <f aca="false">Einstellungen!$B$5+INT((ROW()-9)/24)</f>
        <v>46592</v>
      </c>
      <c r="B15045" s="11" t="n">
        <f aca="false">MOD(ROW()-9,24)</f>
        <v>12</v>
      </c>
      <c r="C15045" s="12"/>
      <c r="D15045" s="13" t="n">
        <f aca="false">IF(B15045&lt;5,Einstellungen!$B$3,Einstellungen!$B$4)</f>
        <v>29.13</v>
      </c>
      <c r="E15045" s="14" t="str">
        <f aca="false">IF(C15045="","",C15045*D15045/100)</f>
        <v/>
      </c>
      <c r="F15045" s="15" t="str">
        <f aca="false">IF(B15045&lt;5,"Go","Standard")</f>
        <v>Standard</v>
      </c>
    </row>
    <row r="15046" customFormat="false" ht="15" hidden="false" customHeight="true" outlineLevel="0" collapsed="false">
      <c r="A15046" s="10" t="n">
        <f aca="false">Einstellungen!$B$5+INT((ROW()-9)/24)</f>
        <v>46592</v>
      </c>
      <c r="B15046" s="11" t="n">
        <f aca="false">MOD(ROW()-9,24)</f>
        <v>13</v>
      </c>
      <c r="C15046" s="12"/>
      <c r="D15046" s="13" t="n">
        <f aca="false">IF(B15046&lt;5,Einstellungen!$B$3,Einstellungen!$B$4)</f>
        <v>29.13</v>
      </c>
      <c r="E15046" s="14" t="str">
        <f aca="false">IF(C15046="","",C15046*D15046/100)</f>
        <v/>
      </c>
      <c r="F15046" s="15" t="str">
        <f aca="false">IF(B15046&lt;5,"Go","Standard")</f>
        <v>Standard</v>
      </c>
    </row>
    <row r="15047" customFormat="false" ht="15" hidden="false" customHeight="true" outlineLevel="0" collapsed="false">
      <c r="A15047" s="10" t="n">
        <f aca="false">Einstellungen!$B$5+INT((ROW()-9)/24)</f>
        <v>46592</v>
      </c>
      <c r="B15047" s="11" t="n">
        <f aca="false">MOD(ROW()-9,24)</f>
        <v>14</v>
      </c>
      <c r="C15047" s="12"/>
      <c r="D15047" s="13" t="n">
        <f aca="false">IF(B15047&lt;5,Einstellungen!$B$3,Einstellungen!$B$4)</f>
        <v>29.13</v>
      </c>
      <c r="E15047" s="14" t="str">
        <f aca="false">IF(C15047="","",C15047*D15047/100)</f>
        <v/>
      </c>
      <c r="F15047" s="15" t="str">
        <f aca="false">IF(B15047&lt;5,"Go","Standard")</f>
        <v>Standard</v>
      </c>
    </row>
    <row r="15048" customFormat="false" ht="15" hidden="false" customHeight="true" outlineLevel="0" collapsed="false">
      <c r="A15048" s="10" t="n">
        <f aca="false">Einstellungen!$B$5+INT((ROW()-9)/24)</f>
        <v>46592</v>
      </c>
      <c r="B15048" s="11" t="n">
        <f aca="false">MOD(ROW()-9,24)</f>
        <v>15</v>
      </c>
      <c r="C15048" s="12"/>
      <c r="D15048" s="13" t="n">
        <f aca="false">IF(B15048&lt;5,Einstellungen!$B$3,Einstellungen!$B$4)</f>
        <v>29.13</v>
      </c>
      <c r="E15048" s="14" t="str">
        <f aca="false">IF(C15048="","",C15048*D15048/100)</f>
        <v/>
      </c>
      <c r="F15048" s="15" t="str">
        <f aca="false">IF(B15048&lt;5,"Go","Standard")</f>
        <v>Standard</v>
      </c>
    </row>
    <row r="15049" customFormat="false" ht="15" hidden="false" customHeight="true" outlineLevel="0" collapsed="false">
      <c r="A15049" s="10" t="n">
        <f aca="false">Einstellungen!$B$5+INT((ROW()-9)/24)</f>
        <v>46592</v>
      </c>
      <c r="B15049" s="11" t="n">
        <f aca="false">MOD(ROW()-9,24)</f>
        <v>16</v>
      </c>
      <c r="C15049" s="12"/>
      <c r="D15049" s="13" t="n">
        <f aca="false">IF(B15049&lt;5,Einstellungen!$B$3,Einstellungen!$B$4)</f>
        <v>29.13</v>
      </c>
      <c r="E15049" s="14" t="str">
        <f aca="false">IF(C15049="","",C15049*D15049/100)</f>
        <v/>
      </c>
      <c r="F15049" s="15" t="str">
        <f aca="false">IF(B15049&lt;5,"Go","Standard")</f>
        <v>Standard</v>
      </c>
    </row>
    <row r="15050" customFormat="false" ht="15" hidden="false" customHeight="true" outlineLevel="0" collapsed="false">
      <c r="A15050" s="10" t="n">
        <f aca="false">Einstellungen!$B$5+INT((ROW()-9)/24)</f>
        <v>46592</v>
      </c>
      <c r="B15050" s="11" t="n">
        <f aca="false">MOD(ROW()-9,24)</f>
        <v>17</v>
      </c>
      <c r="C15050" s="12"/>
      <c r="D15050" s="13" t="n">
        <f aca="false">IF(B15050&lt;5,Einstellungen!$B$3,Einstellungen!$B$4)</f>
        <v>29.13</v>
      </c>
      <c r="E15050" s="14" t="str">
        <f aca="false">IF(C15050="","",C15050*D15050/100)</f>
        <v/>
      </c>
      <c r="F15050" s="15" t="str">
        <f aca="false">IF(B15050&lt;5,"Go","Standard")</f>
        <v>Standard</v>
      </c>
    </row>
    <row r="15051" customFormat="false" ht="15" hidden="false" customHeight="true" outlineLevel="0" collapsed="false">
      <c r="A15051" s="10" t="n">
        <f aca="false">Einstellungen!$B$5+INT((ROW()-9)/24)</f>
        <v>46592</v>
      </c>
      <c r="B15051" s="11" t="n">
        <f aca="false">MOD(ROW()-9,24)</f>
        <v>18</v>
      </c>
      <c r="C15051" s="12"/>
      <c r="D15051" s="13" t="n">
        <f aca="false">IF(B15051&lt;5,Einstellungen!$B$3,Einstellungen!$B$4)</f>
        <v>29.13</v>
      </c>
      <c r="E15051" s="14" t="str">
        <f aca="false">IF(C15051="","",C15051*D15051/100)</f>
        <v/>
      </c>
      <c r="F15051" s="15" t="str">
        <f aca="false">IF(B15051&lt;5,"Go","Standard")</f>
        <v>Standard</v>
      </c>
    </row>
    <row r="15052" customFormat="false" ht="15" hidden="false" customHeight="true" outlineLevel="0" collapsed="false">
      <c r="A15052" s="10" t="n">
        <f aca="false">Einstellungen!$B$5+INT((ROW()-9)/24)</f>
        <v>46592</v>
      </c>
      <c r="B15052" s="11" t="n">
        <f aca="false">MOD(ROW()-9,24)</f>
        <v>19</v>
      </c>
      <c r="C15052" s="12"/>
      <c r="D15052" s="13" t="n">
        <f aca="false">IF(B15052&lt;5,Einstellungen!$B$3,Einstellungen!$B$4)</f>
        <v>29.13</v>
      </c>
      <c r="E15052" s="14" t="str">
        <f aca="false">IF(C15052="","",C15052*D15052/100)</f>
        <v/>
      </c>
      <c r="F15052" s="15" t="str">
        <f aca="false">IF(B15052&lt;5,"Go","Standard")</f>
        <v>Standard</v>
      </c>
    </row>
    <row r="15053" customFormat="false" ht="15" hidden="false" customHeight="true" outlineLevel="0" collapsed="false">
      <c r="A15053" s="10" t="n">
        <f aca="false">Einstellungen!$B$5+INT((ROW()-9)/24)</f>
        <v>46592</v>
      </c>
      <c r="B15053" s="11" t="n">
        <f aca="false">MOD(ROW()-9,24)</f>
        <v>20</v>
      </c>
      <c r="C15053" s="12"/>
      <c r="D15053" s="13" t="n">
        <f aca="false">IF(B15053&lt;5,Einstellungen!$B$3,Einstellungen!$B$4)</f>
        <v>29.13</v>
      </c>
      <c r="E15053" s="14" t="str">
        <f aca="false">IF(C15053="","",C15053*D15053/100)</f>
        <v/>
      </c>
      <c r="F15053" s="15" t="str">
        <f aca="false">IF(B15053&lt;5,"Go","Standard")</f>
        <v>Standard</v>
      </c>
    </row>
    <row r="15054" customFormat="false" ht="15" hidden="false" customHeight="true" outlineLevel="0" collapsed="false">
      <c r="A15054" s="10" t="n">
        <f aca="false">Einstellungen!$B$5+INT((ROW()-9)/24)</f>
        <v>46592</v>
      </c>
      <c r="B15054" s="11" t="n">
        <f aca="false">MOD(ROW()-9,24)</f>
        <v>21</v>
      </c>
      <c r="C15054" s="12"/>
      <c r="D15054" s="13" t="n">
        <f aca="false">IF(B15054&lt;5,Einstellungen!$B$3,Einstellungen!$B$4)</f>
        <v>29.13</v>
      </c>
      <c r="E15054" s="14" t="str">
        <f aca="false">IF(C15054="","",C15054*D15054/100)</f>
        <v/>
      </c>
      <c r="F15054" s="15" t="str">
        <f aca="false">IF(B15054&lt;5,"Go","Standard")</f>
        <v>Standard</v>
      </c>
    </row>
    <row r="15055" customFormat="false" ht="15" hidden="false" customHeight="true" outlineLevel="0" collapsed="false">
      <c r="A15055" s="10" t="n">
        <f aca="false">Einstellungen!$B$5+INT((ROW()-9)/24)</f>
        <v>46592</v>
      </c>
      <c r="B15055" s="11" t="n">
        <f aca="false">MOD(ROW()-9,24)</f>
        <v>22</v>
      </c>
      <c r="C15055" s="12"/>
      <c r="D15055" s="13" t="n">
        <f aca="false">IF(B15055&lt;5,Einstellungen!$B$3,Einstellungen!$B$4)</f>
        <v>29.13</v>
      </c>
      <c r="E15055" s="14" t="str">
        <f aca="false">IF(C15055="","",C15055*D15055/100)</f>
        <v/>
      </c>
      <c r="F15055" s="15" t="str">
        <f aca="false">IF(B15055&lt;5,"Go","Standard")</f>
        <v>Standard</v>
      </c>
    </row>
    <row r="15056" customFormat="false" ht="15" hidden="false" customHeight="true" outlineLevel="0" collapsed="false">
      <c r="A15056" s="10" t="n">
        <f aca="false">Einstellungen!$B$5+INT((ROW()-9)/24)</f>
        <v>46592</v>
      </c>
      <c r="B15056" s="11" t="n">
        <f aca="false">MOD(ROW()-9,24)</f>
        <v>23</v>
      </c>
      <c r="C15056" s="12"/>
      <c r="D15056" s="13" t="n">
        <f aca="false">IF(B15056&lt;5,Einstellungen!$B$3,Einstellungen!$B$4)</f>
        <v>29.13</v>
      </c>
      <c r="E15056" s="14" t="str">
        <f aca="false">IF(C15056="","",C15056*D15056/100)</f>
        <v/>
      </c>
      <c r="F15056" s="15" t="str">
        <f aca="false">IF(B15056&lt;5,"Go","Standard")</f>
        <v>Standard</v>
      </c>
    </row>
    <row r="15057" customFormat="false" ht="15" hidden="false" customHeight="true" outlineLevel="0" collapsed="false">
      <c r="A15057" s="10" t="n">
        <f aca="false">Einstellungen!$B$5+INT((ROW()-9)/24)</f>
        <v>46593</v>
      </c>
      <c r="B15057" s="11" t="n">
        <f aca="false">MOD(ROW()-9,24)</f>
        <v>0</v>
      </c>
      <c r="C15057" s="12"/>
      <c r="D15057" s="13" t="n">
        <f aca="false">IF(B15057&lt;5,Einstellungen!$B$3,Einstellungen!$B$4)</f>
        <v>15.92</v>
      </c>
      <c r="E15057" s="14" t="str">
        <f aca="false">IF(C15057="","",C15057*D15057/100)</f>
        <v/>
      </c>
      <c r="F15057" s="15" t="str">
        <f aca="false">IF(B15057&lt;5,"Go","Standard")</f>
        <v>Go</v>
      </c>
    </row>
    <row r="15058" customFormat="false" ht="15" hidden="false" customHeight="true" outlineLevel="0" collapsed="false">
      <c r="A15058" s="10" t="n">
        <f aca="false">Einstellungen!$B$5+INT((ROW()-9)/24)</f>
        <v>46593</v>
      </c>
      <c r="B15058" s="11" t="n">
        <f aca="false">MOD(ROW()-9,24)</f>
        <v>1</v>
      </c>
      <c r="C15058" s="12"/>
      <c r="D15058" s="13" t="n">
        <f aca="false">IF(B15058&lt;5,Einstellungen!$B$3,Einstellungen!$B$4)</f>
        <v>15.92</v>
      </c>
      <c r="E15058" s="14" t="str">
        <f aca="false">IF(C15058="","",C15058*D15058/100)</f>
        <v/>
      </c>
      <c r="F15058" s="15" t="str">
        <f aca="false">IF(B15058&lt;5,"Go","Standard")</f>
        <v>Go</v>
      </c>
    </row>
    <row r="15059" customFormat="false" ht="15" hidden="false" customHeight="true" outlineLevel="0" collapsed="false">
      <c r="A15059" s="10" t="n">
        <f aca="false">Einstellungen!$B$5+INT((ROW()-9)/24)</f>
        <v>46593</v>
      </c>
      <c r="B15059" s="11" t="n">
        <f aca="false">MOD(ROW()-9,24)</f>
        <v>2</v>
      </c>
      <c r="C15059" s="12"/>
      <c r="D15059" s="13" t="n">
        <f aca="false">IF(B15059&lt;5,Einstellungen!$B$3,Einstellungen!$B$4)</f>
        <v>15.92</v>
      </c>
      <c r="E15059" s="14" t="str">
        <f aca="false">IF(C15059="","",C15059*D15059/100)</f>
        <v/>
      </c>
      <c r="F15059" s="15" t="str">
        <f aca="false">IF(B15059&lt;5,"Go","Standard")</f>
        <v>Go</v>
      </c>
    </row>
    <row r="15060" customFormat="false" ht="15" hidden="false" customHeight="true" outlineLevel="0" collapsed="false">
      <c r="A15060" s="10" t="n">
        <f aca="false">Einstellungen!$B$5+INT((ROW()-9)/24)</f>
        <v>46593</v>
      </c>
      <c r="B15060" s="11" t="n">
        <f aca="false">MOD(ROW()-9,24)</f>
        <v>3</v>
      </c>
      <c r="C15060" s="12"/>
      <c r="D15060" s="13" t="n">
        <f aca="false">IF(B15060&lt;5,Einstellungen!$B$3,Einstellungen!$B$4)</f>
        <v>15.92</v>
      </c>
      <c r="E15060" s="14" t="str">
        <f aca="false">IF(C15060="","",C15060*D15060/100)</f>
        <v/>
      </c>
      <c r="F15060" s="15" t="str">
        <f aca="false">IF(B15060&lt;5,"Go","Standard")</f>
        <v>Go</v>
      </c>
    </row>
    <row r="15061" customFormat="false" ht="15" hidden="false" customHeight="true" outlineLevel="0" collapsed="false">
      <c r="A15061" s="10" t="n">
        <f aca="false">Einstellungen!$B$5+INT((ROW()-9)/24)</f>
        <v>46593</v>
      </c>
      <c r="B15061" s="11" t="n">
        <f aca="false">MOD(ROW()-9,24)</f>
        <v>4</v>
      </c>
      <c r="C15061" s="12"/>
      <c r="D15061" s="13" t="n">
        <f aca="false">IF(B15061&lt;5,Einstellungen!$B$3,Einstellungen!$B$4)</f>
        <v>15.92</v>
      </c>
      <c r="E15061" s="14" t="str">
        <f aca="false">IF(C15061="","",C15061*D15061/100)</f>
        <v/>
      </c>
      <c r="F15061" s="15" t="str">
        <f aca="false">IF(B15061&lt;5,"Go","Standard")</f>
        <v>Go</v>
      </c>
    </row>
    <row r="15062" customFormat="false" ht="15" hidden="false" customHeight="true" outlineLevel="0" collapsed="false">
      <c r="A15062" s="10" t="n">
        <f aca="false">Einstellungen!$B$5+INT((ROW()-9)/24)</f>
        <v>46593</v>
      </c>
      <c r="B15062" s="11" t="n">
        <f aca="false">MOD(ROW()-9,24)</f>
        <v>5</v>
      </c>
      <c r="C15062" s="12"/>
      <c r="D15062" s="13" t="n">
        <f aca="false">IF(B15062&lt;5,Einstellungen!$B$3,Einstellungen!$B$4)</f>
        <v>29.13</v>
      </c>
      <c r="E15062" s="14" t="str">
        <f aca="false">IF(C15062="","",C15062*D15062/100)</f>
        <v/>
      </c>
      <c r="F15062" s="15" t="str">
        <f aca="false">IF(B15062&lt;5,"Go","Standard")</f>
        <v>Standard</v>
      </c>
    </row>
    <row r="15063" customFormat="false" ht="15" hidden="false" customHeight="true" outlineLevel="0" collapsed="false">
      <c r="A15063" s="10" t="n">
        <f aca="false">Einstellungen!$B$5+INT((ROW()-9)/24)</f>
        <v>46593</v>
      </c>
      <c r="B15063" s="11" t="n">
        <f aca="false">MOD(ROW()-9,24)</f>
        <v>6</v>
      </c>
      <c r="C15063" s="12"/>
      <c r="D15063" s="13" t="n">
        <f aca="false">IF(B15063&lt;5,Einstellungen!$B$3,Einstellungen!$B$4)</f>
        <v>29.13</v>
      </c>
      <c r="E15063" s="14" t="str">
        <f aca="false">IF(C15063="","",C15063*D15063/100)</f>
        <v/>
      </c>
      <c r="F15063" s="15" t="str">
        <f aca="false">IF(B15063&lt;5,"Go","Standard")</f>
        <v>Standard</v>
      </c>
    </row>
    <row r="15064" customFormat="false" ht="15" hidden="false" customHeight="true" outlineLevel="0" collapsed="false">
      <c r="A15064" s="10" t="n">
        <f aca="false">Einstellungen!$B$5+INT((ROW()-9)/24)</f>
        <v>46593</v>
      </c>
      <c r="B15064" s="11" t="n">
        <f aca="false">MOD(ROW()-9,24)</f>
        <v>7</v>
      </c>
      <c r="C15064" s="12"/>
      <c r="D15064" s="13" t="n">
        <f aca="false">IF(B15064&lt;5,Einstellungen!$B$3,Einstellungen!$B$4)</f>
        <v>29.13</v>
      </c>
      <c r="E15064" s="14" t="str">
        <f aca="false">IF(C15064="","",C15064*D15064/100)</f>
        <v/>
      </c>
      <c r="F15064" s="15" t="str">
        <f aca="false">IF(B15064&lt;5,"Go","Standard")</f>
        <v>Standard</v>
      </c>
    </row>
    <row r="15065" customFormat="false" ht="15" hidden="false" customHeight="true" outlineLevel="0" collapsed="false">
      <c r="A15065" s="10" t="n">
        <f aca="false">Einstellungen!$B$5+INT((ROW()-9)/24)</f>
        <v>46593</v>
      </c>
      <c r="B15065" s="11" t="n">
        <f aca="false">MOD(ROW()-9,24)</f>
        <v>8</v>
      </c>
      <c r="C15065" s="12"/>
      <c r="D15065" s="13" t="n">
        <f aca="false">IF(B15065&lt;5,Einstellungen!$B$3,Einstellungen!$B$4)</f>
        <v>29.13</v>
      </c>
      <c r="E15065" s="14" t="str">
        <f aca="false">IF(C15065="","",C15065*D15065/100)</f>
        <v/>
      </c>
      <c r="F15065" s="15" t="str">
        <f aca="false">IF(B15065&lt;5,"Go","Standard")</f>
        <v>Standard</v>
      </c>
    </row>
    <row r="15066" customFormat="false" ht="15" hidden="false" customHeight="true" outlineLevel="0" collapsed="false">
      <c r="A15066" s="10" t="n">
        <f aca="false">Einstellungen!$B$5+INT((ROW()-9)/24)</f>
        <v>46593</v>
      </c>
      <c r="B15066" s="11" t="n">
        <f aca="false">MOD(ROW()-9,24)</f>
        <v>9</v>
      </c>
      <c r="C15066" s="12"/>
      <c r="D15066" s="13" t="n">
        <f aca="false">IF(B15066&lt;5,Einstellungen!$B$3,Einstellungen!$B$4)</f>
        <v>29.13</v>
      </c>
      <c r="E15066" s="14" t="str">
        <f aca="false">IF(C15066="","",C15066*D15066/100)</f>
        <v/>
      </c>
      <c r="F15066" s="15" t="str">
        <f aca="false">IF(B15066&lt;5,"Go","Standard")</f>
        <v>Standard</v>
      </c>
    </row>
    <row r="15067" customFormat="false" ht="15" hidden="false" customHeight="true" outlineLevel="0" collapsed="false">
      <c r="A15067" s="10" t="n">
        <f aca="false">Einstellungen!$B$5+INT((ROW()-9)/24)</f>
        <v>46593</v>
      </c>
      <c r="B15067" s="11" t="n">
        <f aca="false">MOD(ROW()-9,24)</f>
        <v>10</v>
      </c>
      <c r="C15067" s="12"/>
      <c r="D15067" s="13" t="n">
        <f aca="false">IF(B15067&lt;5,Einstellungen!$B$3,Einstellungen!$B$4)</f>
        <v>29.13</v>
      </c>
      <c r="E15067" s="14" t="str">
        <f aca="false">IF(C15067="","",C15067*D15067/100)</f>
        <v/>
      </c>
      <c r="F15067" s="15" t="str">
        <f aca="false">IF(B15067&lt;5,"Go","Standard")</f>
        <v>Standard</v>
      </c>
    </row>
    <row r="15068" customFormat="false" ht="15" hidden="false" customHeight="true" outlineLevel="0" collapsed="false">
      <c r="A15068" s="10" t="n">
        <f aca="false">Einstellungen!$B$5+INT((ROW()-9)/24)</f>
        <v>46593</v>
      </c>
      <c r="B15068" s="11" t="n">
        <f aca="false">MOD(ROW()-9,24)</f>
        <v>11</v>
      </c>
      <c r="C15068" s="12"/>
      <c r="D15068" s="13" t="n">
        <f aca="false">IF(B15068&lt;5,Einstellungen!$B$3,Einstellungen!$B$4)</f>
        <v>29.13</v>
      </c>
      <c r="E15068" s="14" t="str">
        <f aca="false">IF(C15068="","",C15068*D15068/100)</f>
        <v/>
      </c>
      <c r="F15068" s="15" t="str">
        <f aca="false">IF(B15068&lt;5,"Go","Standard")</f>
        <v>Standard</v>
      </c>
    </row>
    <row r="15069" customFormat="false" ht="15" hidden="false" customHeight="true" outlineLevel="0" collapsed="false">
      <c r="A15069" s="10" t="n">
        <f aca="false">Einstellungen!$B$5+INT((ROW()-9)/24)</f>
        <v>46593</v>
      </c>
      <c r="B15069" s="11" t="n">
        <f aca="false">MOD(ROW()-9,24)</f>
        <v>12</v>
      </c>
      <c r="C15069" s="12"/>
      <c r="D15069" s="13" t="n">
        <f aca="false">IF(B15069&lt;5,Einstellungen!$B$3,Einstellungen!$B$4)</f>
        <v>29.13</v>
      </c>
      <c r="E15069" s="14" t="str">
        <f aca="false">IF(C15069="","",C15069*D15069/100)</f>
        <v/>
      </c>
      <c r="F15069" s="15" t="str">
        <f aca="false">IF(B15069&lt;5,"Go","Standard")</f>
        <v>Standard</v>
      </c>
    </row>
    <row r="15070" customFormat="false" ht="15" hidden="false" customHeight="true" outlineLevel="0" collapsed="false">
      <c r="A15070" s="10" t="n">
        <f aca="false">Einstellungen!$B$5+INT((ROW()-9)/24)</f>
        <v>46593</v>
      </c>
      <c r="B15070" s="11" t="n">
        <f aca="false">MOD(ROW()-9,24)</f>
        <v>13</v>
      </c>
      <c r="C15070" s="12"/>
      <c r="D15070" s="13" t="n">
        <f aca="false">IF(B15070&lt;5,Einstellungen!$B$3,Einstellungen!$B$4)</f>
        <v>29.13</v>
      </c>
      <c r="E15070" s="14" t="str">
        <f aca="false">IF(C15070="","",C15070*D15070/100)</f>
        <v/>
      </c>
      <c r="F15070" s="15" t="str">
        <f aca="false">IF(B15070&lt;5,"Go","Standard")</f>
        <v>Standard</v>
      </c>
    </row>
    <row r="15071" customFormat="false" ht="15" hidden="false" customHeight="true" outlineLevel="0" collapsed="false">
      <c r="A15071" s="10" t="n">
        <f aca="false">Einstellungen!$B$5+INT((ROW()-9)/24)</f>
        <v>46593</v>
      </c>
      <c r="B15071" s="11" t="n">
        <f aca="false">MOD(ROW()-9,24)</f>
        <v>14</v>
      </c>
      <c r="C15071" s="12"/>
      <c r="D15071" s="13" t="n">
        <f aca="false">IF(B15071&lt;5,Einstellungen!$B$3,Einstellungen!$B$4)</f>
        <v>29.13</v>
      </c>
      <c r="E15071" s="14" t="str">
        <f aca="false">IF(C15071="","",C15071*D15071/100)</f>
        <v/>
      </c>
      <c r="F15071" s="15" t="str">
        <f aca="false">IF(B15071&lt;5,"Go","Standard")</f>
        <v>Standard</v>
      </c>
    </row>
    <row r="15072" customFormat="false" ht="15" hidden="false" customHeight="true" outlineLevel="0" collapsed="false">
      <c r="A15072" s="10" t="n">
        <f aca="false">Einstellungen!$B$5+INT((ROW()-9)/24)</f>
        <v>46593</v>
      </c>
      <c r="B15072" s="11" t="n">
        <f aca="false">MOD(ROW()-9,24)</f>
        <v>15</v>
      </c>
      <c r="C15072" s="12"/>
      <c r="D15072" s="13" t="n">
        <f aca="false">IF(B15072&lt;5,Einstellungen!$B$3,Einstellungen!$B$4)</f>
        <v>29.13</v>
      </c>
      <c r="E15072" s="14" t="str">
        <f aca="false">IF(C15072="","",C15072*D15072/100)</f>
        <v/>
      </c>
      <c r="F15072" s="15" t="str">
        <f aca="false">IF(B15072&lt;5,"Go","Standard")</f>
        <v>Standard</v>
      </c>
    </row>
    <row r="15073" customFormat="false" ht="15" hidden="false" customHeight="true" outlineLevel="0" collapsed="false">
      <c r="A15073" s="10" t="n">
        <f aca="false">Einstellungen!$B$5+INT((ROW()-9)/24)</f>
        <v>46593</v>
      </c>
      <c r="B15073" s="11" t="n">
        <f aca="false">MOD(ROW()-9,24)</f>
        <v>16</v>
      </c>
      <c r="C15073" s="12"/>
      <c r="D15073" s="13" t="n">
        <f aca="false">IF(B15073&lt;5,Einstellungen!$B$3,Einstellungen!$B$4)</f>
        <v>29.13</v>
      </c>
      <c r="E15073" s="14" t="str">
        <f aca="false">IF(C15073="","",C15073*D15073/100)</f>
        <v/>
      </c>
      <c r="F15073" s="15" t="str">
        <f aca="false">IF(B15073&lt;5,"Go","Standard")</f>
        <v>Standard</v>
      </c>
    </row>
    <row r="15074" customFormat="false" ht="15" hidden="false" customHeight="true" outlineLevel="0" collapsed="false">
      <c r="A15074" s="10" t="n">
        <f aca="false">Einstellungen!$B$5+INT((ROW()-9)/24)</f>
        <v>46593</v>
      </c>
      <c r="B15074" s="11" t="n">
        <f aca="false">MOD(ROW()-9,24)</f>
        <v>17</v>
      </c>
      <c r="C15074" s="12"/>
      <c r="D15074" s="13" t="n">
        <f aca="false">IF(B15074&lt;5,Einstellungen!$B$3,Einstellungen!$B$4)</f>
        <v>29.13</v>
      </c>
      <c r="E15074" s="14" t="str">
        <f aca="false">IF(C15074="","",C15074*D15074/100)</f>
        <v/>
      </c>
      <c r="F15074" s="15" t="str">
        <f aca="false">IF(B15074&lt;5,"Go","Standard")</f>
        <v>Standard</v>
      </c>
    </row>
    <row r="15075" customFormat="false" ht="15" hidden="false" customHeight="true" outlineLevel="0" collapsed="false">
      <c r="A15075" s="10" t="n">
        <f aca="false">Einstellungen!$B$5+INT((ROW()-9)/24)</f>
        <v>46593</v>
      </c>
      <c r="B15075" s="11" t="n">
        <f aca="false">MOD(ROW()-9,24)</f>
        <v>18</v>
      </c>
      <c r="C15075" s="12"/>
      <c r="D15075" s="13" t="n">
        <f aca="false">IF(B15075&lt;5,Einstellungen!$B$3,Einstellungen!$B$4)</f>
        <v>29.13</v>
      </c>
      <c r="E15075" s="14" t="str">
        <f aca="false">IF(C15075="","",C15075*D15075/100)</f>
        <v/>
      </c>
      <c r="F15075" s="15" t="str">
        <f aca="false">IF(B15075&lt;5,"Go","Standard")</f>
        <v>Standard</v>
      </c>
    </row>
    <row r="15076" customFormat="false" ht="15" hidden="false" customHeight="true" outlineLevel="0" collapsed="false">
      <c r="A15076" s="10" t="n">
        <f aca="false">Einstellungen!$B$5+INT((ROW()-9)/24)</f>
        <v>46593</v>
      </c>
      <c r="B15076" s="11" t="n">
        <f aca="false">MOD(ROW()-9,24)</f>
        <v>19</v>
      </c>
      <c r="C15076" s="12"/>
      <c r="D15076" s="13" t="n">
        <f aca="false">IF(B15076&lt;5,Einstellungen!$B$3,Einstellungen!$B$4)</f>
        <v>29.13</v>
      </c>
      <c r="E15076" s="14" t="str">
        <f aca="false">IF(C15076="","",C15076*D15076/100)</f>
        <v/>
      </c>
      <c r="F15076" s="15" t="str">
        <f aca="false">IF(B15076&lt;5,"Go","Standard")</f>
        <v>Standard</v>
      </c>
    </row>
    <row r="15077" customFormat="false" ht="15" hidden="false" customHeight="true" outlineLevel="0" collapsed="false">
      <c r="A15077" s="10" t="n">
        <f aca="false">Einstellungen!$B$5+INT((ROW()-9)/24)</f>
        <v>46593</v>
      </c>
      <c r="B15077" s="11" t="n">
        <f aca="false">MOD(ROW()-9,24)</f>
        <v>20</v>
      </c>
      <c r="C15077" s="12"/>
      <c r="D15077" s="13" t="n">
        <f aca="false">IF(B15077&lt;5,Einstellungen!$B$3,Einstellungen!$B$4)</f>
        <v>29.13</v>
      </c>
      <c r="E15077" s="14" t="str">
        <f aca="false">IF(C15077="","",C15077*D15077/100)</f>
        <v/>
      </c>
      <c r="F15077" s="15" t="str">
        <f aca="false">IF(B15077&lt;5,"Go","Standard")</f>
        <v>Standard</v>
      </c>
    </row>
    <row r="15078" customFormat="false" ht="15" hidden="false" customHeight="true" outlineLevel="0" collapsed="false">
      <c r="A15078" s="10" t="n">
        <f aca="false">Einstellungen!$B$5+INT((ROW()-9)/24)</f>
        <v>46593</v>
      </c>
      <c r="B15078" s="11" t="n">
        <f aca="false">MOD(ROW()-9,24)</f>
        <v>21</v>
      </c>
      <c r="C15078" s="12"/>
      <c r="D15078" s="13" t="n">
        <f aca="false">IF(B15078&lt;5,Einstellungen!$B$3,Einstellungen!$B$4)</f>
        <v>29.13</v>
      </c>
      <c r="E15078" s="14" t="str">
        <f aca="false">IF(C15078="","",C15078*D15078/100)</f>
        <v/>
      </c>
      <c r="F15078" s="15" t="str">
        <f aca="false">IF(B15078&lt;5,"Go","Standard")</f>
        <v>Standard</v>
      </c>
    </row>
    <row r="15079" customFormat="false" ht="15" hidden="false" customHeight="true" outlineLevel="0" collapsed="false">
      <c r="A15079" s="10" t="n">
        <f aca="false">Einstellungen!$B$5+INT((ROW()-9)/24)</f>
        <v>46593</v>
      </c>
      <c r="B15079" s="11" t="n">
        <f aca="false">MOD(ROW()-9,24)</f>
        <v>22</v>
      </c>
      <c r="C15079" s="12"/>
      <c r="D15079" s="13" t="n">
        <f aca="false">IF(B15079&lt;5,Einstellungen!$B$3,Einstellungen!$B$4)</f>
        <v>29.13</v>
      </c>
      <c r="E15079" s="14" t="str">
        <f aca="false">IF(C15079="","",C15079*D15079/100)</f>
        <v/>
      </c>
      <c r="F15079" s="15" t="str">
        <f aca="false">IF(B15079&lt;5,"Go","Standard")</f>
        <v>Standard</v>
      </c>
    </row>
    <row r="15080" customFormat="false" ht="15" hidden="false" customHeight="true" outlineLevel="0" collapsed="false">
      <c r="A15080" s="10" t="n">
        <f aca="false">Einstellungen!$B$5+INT((ROW()-9)/24)</f>
        <v>46593</v>
      </c>
      <c r="B15080" s="11" t="n">
        <f aca="false">MOD(ROW()-9,24)</f>
        <v>23</v>
      </c>
      <c r="C15080" s="12"/>
      <c r="D15080" s="13" t="n">
        <f aca="false">IF(B15080&lt;5,Einstellungen!$B$3,Einstellungen!$B$4)</f>
        <v>29.13</v>
      </c>
      <c r="E15080" s="14" t="str">
        <f aca="false">IF(C15080="","",C15080*D15080/100)</f>
        <v/>
      </c>
      <c r="F15080" s="15" t="str">
        <f aca="false">IF(B15080&lt;5,"Go","Standard")</f>
        <v>Standard</v>
      </c>
    </row>
    <row r="15081" customFormat="false" ht="15" hidden="false" customHeight="true" outlineLevel="0" collapsed="false">
      <c r="A15081" s="10" t="n">
        <f aca="false">Einstellungen!$B$5+INT((ROW()-9)/24)</f>
        <v>46594</v>
      </c>
      <c r="B15081" s="11" t="n">
        <f aca="false">MOD(ROW()-9,24)</f>
        <v>0</v>
      </c>
      <c r="C15081" s="12"/>
      <c r="D15081" s="13" t="n">
        <f aca="false">IF(B15081&lt;5,Einstellungen!$B$3,Einstellungen!$B$4)</f>
        <v>15.92</v>
      </c>
      <c r="E15081" s="14" t="str">
        <f aca="false">IF(C15081="","",C15081*D15081/100)</f>
        <v/>
      </c>
      <c r="F15081" s="15" t="str">
        <f aca="false">IF(B15081&lt;5,"Go","Standard")</f>
        <v>Go</v>
      </c>
    </row>
    <row r="15082" customFormat="false" ht="15" hidden="false" customHeight="true" outlineLevel="0" collapsed="false">
      <c r="A15082" s="10" t="n">
        <f aca="false">Einstellungen!$B$5+INT((ROW()-9)/24)</f>
        <v>46594</v>
      </c>
      <c r="B15082" s="11" t="n">
        <f aca="false">MOD(ROW()-9,24)</f>
        <v>1</v>
      </c>
      <c r="C15082" s="12"/>
      <c r="D15082" s="13" t="n">
        <f aca="false">IF(B15082&lt;5,Einstellungen!$B$3,Einstellungen!$B$4)</f>
        <v>15.92</v>
      </c>
      <c r="E15082" s="14" t="str">
        <f aca="false">IF(C15082="","",C15082*D15082/100)</f>
        <v/>
      </c>
      <c r="F15082" s="15" t="str">
        <f aca="false">IF(B15082&lt;5,"Go","Standard")</f>
        <v>Go</v>
      </c>
    </row>
    <row r="15083" customFormat="false" ht="15" hidden="false" customHeight="true" outlineLevel="0" collapsed="false">
      <c r="A15083" s="10" t="n">
        <f aca="false">Einstellungen!$B$5+INT((ROW()-9)/24)</f>
        <v>46594</v>
      </c>
      <c r="B15083" s="11" t="n">
        <f aca="false">MOD(ROW()-9,24)</f>
        <v>2</v>
      </c>
      <c r="C15083" s="12"/>
      <c r="D15083" s="13" t="n">
        <f aca="false">IF(B15083&lt;5,Einstellungen!$B$3,Einstellungen!$B$4)</f>
        <v>15.92</v>
      </c>
      <c r="E15083" s="14" t="str">
        <f aca="false">IF(C15083="","",C15083*D15083/100)</f>
        <v/>
      </c>
      <c r="F15083" s="15" t="str">
        <f aca="false">IF(B15083&lt;5,"Go","Standard")</f>
        <v>Go</v>
      </c>
    </row>
    <row r="15084" customFormat="false" ht="15" hidden="false" customHeight="true" outlineLevel="0" collapsed="false">
      <c r="A15084" s="10" t="n">
        <f aca="false">Einstellungen!$B$5+INT((ROW()-9)/24)</f>
        <v>46594</v>
      </c>
      <c r="B15084" s="11" t="n">
        <f aca="false">MOD(ROW()-9,24)</f>
        <v>3</v>
      </c>
      <c r="C15084" s="12"/>
      <c r="D15084" s="13" t="n">
        <f aca="false">IF(B15084&lt;5,Einstellungen!$B$3,Einstellungen!$B$4)</f>
        <v>15.92</v>
      </c>
      <c r="E15084" s="14" t="str">
        <f aca="false">IF(C15084="","",C15084*D15084/100)</f>
        <v/>
      </c>
      <c r="F15084" s="15" t="str">
        <f aca="false">IF(B15084&lt;5,"Go","Standard")</f>
        <v>Go</v>
      </c>
    </row>
    <row r="15085" customFormat="false" ht="15" hidden="false" customHeight="true" outlineLevel="0" collapsed="false">
      <c r="A15085" s="10" t="n">
        <f aca="false">Einstellungen!$B$5+INT((ROW()-9)/24)</f>
        <v>46594</v>
      </c>
      <c r="B15085" s="11" t="n">
        <f aca="false">MOD(ROW()-9,24)</f>
        <v>4</v>
      </c>
      <c r="C15085" s="12"/>
      <c r="D15085" s="13" t="n">
        <f aca="false">IF(B15085&lt;5,Einstellungen!$B$3,Einstellungen!$B$4)</f>
        <v>15.92</v>
      </c>
      <c r="E15085" s="14" t="str">
        <f aca="false">IF(C15085="","",C15085*D15085/100)</f>
        <v/>
      </c>
      <c r="F15085" s="15" t="str">
        <f aca="false">IF(B15085&lt;5,"Go","Standard")</f>
        <v>Go</v>
      </c>
    </row>
    <row r="15086" customFormat="false" ht="15" hidden="false" customHeight="true" outlineLevel="0" collapsed="false">
      <c r="A15086" s="10" t="n">
        <f aca="false">Einstellungen!$B$5+INT((ROW()-9)/24)</f>
        <v>46594</v>
      </c>
      <c r="B15086" s="11" t="n">
        <f aca="false">MOD(ROW()-9,24)</f>
        <v>5</v>
      </c>
      <c r="C15086" s="12"/>
      <c r="D15086" s="13" t="n">
        <f aca="false">IF(B15086&lt;5,Einstellungen!$B$3,Einstellungen!$B$4)</f>
        <v>29.13</v>
      </c>
      <c r="E15086" s="14" t="str">
        <f aca="false">IF(C15086="","",C15086*D15086/100)</f>
        <v/>
      </c>
      <c r="F15086" s="15" t="str">
        <f aca="false">IF(B15086&lt;5,"Go","Standard")</f>
        <v>Standard</v>
      </c>
    </row>
    <row r="15087" customFormat="false" ht="15" hidden="false" customHeight="true" outlineLevel="0" collapsed="false">
      <c r="A15087" s="10" t="n">
        <f aca="false">Einstellungen!$B$5+INT((ROW()-9)/24)</f>
        <v>46594</v>
      </c>
      <c r="B15087" s="11" t="n">
        <f aca="false">MOD(ROW()-9,24)</f>
        <v>6</v>
      </c>
      <c r="C15087" s="12"/>
      <c r="D15087" s="13" t="n">
        <f aca="false">IF(B15087&lt;5,Einstellungen!$B$3,Einstellungen!$B$4)</f>
        <v>29.13</v>
      </c>
      <c r="E15087" s="14" t="str">
        <f aca="false">IF(C15087="","",C15087*D15087/100)</f>
        <v/>
      </c>
      <c r="F15087" s="15" t="str">
        <f aca="false">IF(B15087&lt;5,"Go","Standard")</f>
        <v>Standard</v>
      </c>
    </row>
    <row r="15088" customFormat="false" ht="15" hidden="false" customHeight="true" outlineLevel="0" collapsed="false">
      <c r="A15088" s="10" t="n">
        <f aca="false">Einstellungen!$B$5+INT((ROW()-9)/24)</f>
        <v>46594</v>
      </c>
      <c r="B15088" s="11" t="n">
        <f aca="false">MOD(ROW()-9,24)</f>
        <v>7</v>
      </c>
      <c r="C15088" s="12"/>
      <c r="D15088" s="13" t="n">
        <f aca="false">IF(B15088&lt;5,Einstellungen!$B$3,Einstellungen!$B$4)</f>
        <v>29.13</v>
      </c>
      <c r="E15088" s="14" t="str">
        <f aca="false">IF(C15088="","",C15088*D15088/100)</f>
        <v/>
      </c>
      <c r="F15088" s="15" t="str">
        <f aca="false">IF(B15088&lt;5,"Go","Standard")</f>
        <v>Standard</v>
      </c>
    </row>
    <row r="15089" customFormat="false" ht="15" hidden="false" customHeight="true" outlineLevel="0" collapsed="false">
      <c r="A15089" s="10" t="n">
        <f aca="false">Einstellungen!$B$5+INT((ROW()-9)/24)</f>
        <v>46594</v>
      </c>
      <c r="B15089" s="11" t="n">
        <f aca="false">MOD(ROW()-9,24)</f>
        <v>8</v>
      </c>
      <c r="C15089" s="12"/>
      <c r="D15089" s="13" t="n">
        <f aca="false">IF(B15089&lt;5,Einstellungen!$B$3,Einstellungen!$B$4)</f>
        <v>29.13</v>
      </c>
      <c r="E15089" s="14" t="str">
        <f aca="false">IF(C15089="","",C15089*D15089/100)</f>
        <v/>
      </c>
      <c r="F15089" s="15" t="str">
        <f aca="false">IF(B15089&lt;5,"Go","Standard")</f>
        <v>Standard</v>
      </c>
    </row>
    <row r="15090" customFormat="false" ht="15" hidden="false" customHeight="true" outlineLevel="0" collapsed="false">
      <c r="A15090" s="10" t="n">
        <f aca="false">Einstellungen!$B$5+INT((ROW()-9)/24)</f>
        <v>46594</v>
      </c>
      <c r="B15090" s="11" t="n">
        <f aca="false">MOD(ROW()-9,24)</f>
        <v>9</v>
      </c>
      <c r="C15090" s="12"/>
      <c r="D15090" s="13" t="n">
        <f aca="false">IF(B15090&lt;5,Einstellungen!$B$3,Einstellungen!$B$4)</f>
        <v>29.13</v>
      </c>
      <c r="E15090" s="14" t="str">
        <f aca="false">IF(C15090="","",C15090*D15090/100)</f>
        <v/>
      </c>
      <c r="F15090" s="15" t="str">
        <f aca="false">IF(B15090&lt;5,"Go","Standard")</f>
        <v>Standard</v>
      </c>
    </row>
    <row r="15091" customFormat="false" ht="15" hidden="false" customHeight="true" outlineLevel="0" collapsed="false">
      <c r="A15091" s="10" t="n">
        <f aca="false">Einstellungen!$B$5+INT((ROW()-9)/24)</f>
        <v>46594</v>
      </c>
      <c r="B15091" s="11" t="n">
        <f aca="false">MOD(ROW()-9,24)</f>
        <v>10</v>
      </c>
      <c r="C15091" s="12"/>
      <c r="D15091" s="13" t="n">
        <f aca="false">IF(B15091&lt;5,Einstellungen!$B$3,Einstellungen!$B$4)</f>
        <v>29.13</v>
      </c>
      <c r="E15091" s="14" t="str">
        <f aca="false">IF(C15091="","",C15091*D15091/100)</f>
        <v/>
      </c>
      <c r="F15091" s="15" t="str">
        <f aca="false">IF(B15091&lt;5,"Go","Standard")</f>
        <v>Standard</v>
      </c>
    </row>
    <row r="15092" customFormat="false" ht="15" hidden="false" customHeight="true" outlineLevel="0" collapsed="false">
      <c r="A15092" s="10" t="n">
        <f aca="false">Einstellungen!$B$5+INT((ROW()-9)/24)</f>
        <v>46594</v>
      </c>
      <c r="B15092" s="11" t="n">
        <f aca="false">MOD(ROW()-9,24)</f>
        <v>11</v>
      </c>
      <c r="C15092" s="12"/>
      <c r="D15092" s="13" t="n">
        <f aca="false">IF(B15092&lt;5,Einstellungen!$B$3,Einstellungen!$B$4)</f>
        <v>29.13</v>
      </c>
      <c r="E15092" s="14" t="str">
        <f aca="false">IF(C15092="","",C15092*D15092/100)</f>
        <v/>
      </c>
      <c r="F15092" s="15" t="str">
        <f aca="false">IF(B15092&lt;5,"Go","Standard")</f>
        <v>Standard</v>
      </c>
    </row>
    <row r="15093" customFormat="false" ht="15" hidden="false" customHeight="true" outlineLevel="0" collapsed="false">
      <c r="A15093" s="10" t="n">
        <f aca="false">Einstellungen!$B$5+INT((ROW()-9)/24)</f>
        <v>46594</v>
      </c>
      <c r="B15093" s="11" t="n">
        <f aca="false">MOD(ROW()-9,24)</f>
        <v>12</v>
      </c>
      <c r="C15093" s="12"/>
      <c r="D15093" s="13" t="n">
        <f aca="false">IF(B15093&lt;5,Einstellungen!$B$3,Einstellungen!$B$4)</f>
        <v>29.13</v>
      </c>
      <c r="E15093" s="14" t="str">
        <f aca="false">IF(C15093="","",C15093*D15093/100)</f>
        <v/>
      </c>
      <c r="F15093" s="15" t="str">
        <f aca="false">IF(B15093&lt;5,"Go","Standard")</f>
        <v>Standard</v>
      </c>
    </row>
    <row r="15094" customFormat="false" ht="15" hidden="false" customHeight="true" outlineLevel="0" collapsed="false">
      <c r="A15094" s="10" t="n">
        <f aca="false">Einstellungen!$B$5+INT((ROW()-9)/24)</f>
        <v>46594</v>
      </c>
      <c r="B15094" s="11" t="n">
        <f aca="false">MOD(ROW()-9,24)</f>
        <v>13</v>
      </c>
      <c r="C15094" s="12"/>
      <c r="D15094" s="13" t="n">
        <f aca="false">IF(B15094&lt;5,Einstellungen!$B$3,Einstellungen!$B$4)</f>
        <v>29.13</v>
      </c>
      <c r="E15094" s="14" t="str">
        <f aca="false">IF(C15094="","",C15094*D15094/100)</f>
        <v/>
      </c>
      <c r="F15094" s="15" t="str">
        <f aca="false">IF(B15094&lt;5,"Go","Standard")</f>
        <v>Standard</v>
      </c>
    </row>
    <row r="15095" customFormat="false" ht="15" hidden="false" customHeight="true" outlineLevel="0" collapsed="false">
      <c r="A15095" s="10" t="n">
        <f aca="false">Einstellungen!$B$5+INT((ROW()-9)/24)</f>
        <v>46594</v>
      </c>
      <c r="B15095" s="11" t="n">
        <f aca="false">MOD(ROW()-9,24)</f>
        <v>14</v>
      </c>
      <c r="C15095" s="12"/>
      <c r="D15095" s="13" t="n">
        <f aca="false">IF(B15095&lt;5,Einstellungen!$B$3,Einstellungen!$B$4)</f>
        <v>29.13</v>
      </c>
      <c r="E15095" s="14" t="str">
        <f aca="false">IF(C15095="","",C15095*D15095/100)</f>
        <v/>
      </c>
      <c r="F15095" s="15" t="str">
        <f aca="false">IF(B15095&lt;5,"Go","Standard")</f>
        <v>Standard</v>
      </c>
    </row>
    <row r="15096" customFormat="false" ht="15" hidden="false" customHeight="true" outlineLevel="0" collapsed="false">
      <c r="A15096" s="10" t="n">
        <f aca="false">Einstellungen!$B$5+INT((ROW()-9)/24)</f>
        <v>46594</v>
      </c>
      <c r="B15096" s="11" t="n">
        <f aca="false">MOD(ROW()-9,24)</f>
        <v>15</v>
      </c>
      <c r="C15096" s="12"/>
      <c r="D15096" s="13" t="n">
        <f aca="false">IF(B15096&lt;5,Einstellungen!$B$3,Einstellungen!$B$4)</f>
        <v>29.13</v>
      </c>
      <c r="E15096" s="14" t="str">
        <f aca="false">IF(C15096="","",C15096*D15096/100)</f>
        <v/>
      </c>
      <c r="F15096" s="15" t="str">
        <f aca="false">IF(B15096&lt;5,"Go","Standard")</f>
        <v>Standard</v>
      </c>
    </row>
    <row r="15097" customFormat="false" ht="15" hidden="false" customHeight="true" outlineLevel="0" collapsed="false">
      <c r="A15097" s="10" t="n">
        <f aca="false">Einstellungen!$B$5+INT((ROW()-9)/24)</f>
        <v>46594</v>
      </c>
      <c r="B15097" s="11" t="n">
        <f aca="false">MOD(ROW()-9,24)</f>
        <v>16</v>
      </c>
      <c r="C15097" s="12"/>
      <c r="D15097" s="13" t="n">
        <f aca="false">IF(B15097&lt;5,Einstellungen!$B$3,Einstellungen!$B$4)</f>
        <v>29.13</v>
      </c>
      <c r="E15097" s="14" t="str">
        <f aca="false">IF(C15097="","",C15097*D15097/100)</f>
        <v/>
      </c>
      <c r="F15097" s="15" t="str">
        <f aca="false">IF(B15097&lt;5,"Go","Standard")</f>
        <v>Standard</v>
      </c>
    </row>
    <row r="15098" customFormat="false" ht="15" hidden="false" customHeight="true" outlineLevel="0" collapsed="false">
      <c r="A15098" s="10" t="n">
        <f aca="false">Einstellungen!$B$5+INT((ROW()-9)/24)</f>
        <v>46594</v>
      </c>
      <c r="B15098" s="11" t="n">
        <f aca="false">MOD(ROW()-9,24)</f>
        <v>17</v>
      </c>
      <c r="C15098" s="12"/>
      <c r="D15098" s="13" t="n">
        <f aca="false">IF(B15098&lt;5,Einstellungen!$B$3,Einstellungen!$B$4)</f>
        <v>29.13</v>
      </c>
      <c r="E15098" s="14" t="str">
        <f aca="false">IF(C15098="","",C15098*D15098/100)</f>
        <v/>
      </c>
      <c r="F15098" s="15" t="str">
        <f aca="false">IF(B15098&lt;5,"Go","Standard")</f>
        <v>Standard</v>
      </c>
    </row>
    <row r="15099" customFormat="false" ht="15" hidden="false" customHeight="true" outlineLevel="0" collapsed="false">
      <c r="A15099" s="10" t="n">
        <f aca="false">Einstellungen!$B$5+INT((ROW()-9)/24)</f>
        <v>46594</v>
      </c>
      <c r="B15099" s="11" t="n">
        <f aca="false">MOD(ROW()-9,24)</f>
        <v>18</v>
      </c>
      <c r="C15099" s="12"/>
      <c r="D15099" s="13" t="n">
        <f aca="false">IF(B15099&lt;5,Einstellungen!$B$3,Einstellungen!$B$4)</f>
        <v>29.13</v>
      </c>
      <c r="E15099" s="14" t="str">
        <f aca="false">IF(C15099="","",C15099*D15099/100)</f>
        <v/>
      </c>
      <c r="F15099" s="15" t="str">
        <f aca="false">IF(B15099&lt;5,"Go","Standard")</f>
        <v>Standard</v>
      </c>
    </row>
    <row r="15100" customFormat="false" ht="15" hidden="false" customHeight="true" outlineLevel="0" collapsed="false">
      <c r="A15100" s="10" t="n">
        <f aca="false">Einstellungen!$B$5+INT((ROW()-9)/24)</f>
        <v>46594</v>
      </c>
      <c r="B15100" s="11" t="n">
        <f aca="false">MOD(ROW()-9,24)</f>
        <v>19</v>
      </c>
      <c r="C15100" s="12"/>
      <c r="D15100" s="13" t="n">
        <f aca="false">IF(B15100&lt;5,Einstellungen!$B$3,Einstellungen!$B$4)</f>
        <v>29.13</v>
      </c>
      <c r="E15100" s="14" t="str">
        <f aca="false">IF(C15100="","",C15100*D15100/100)</f>
        <v/>
      </c>
      <c r="F15100" s="15" t="str">
        <f aca="false">IF(B15100&lt;5,"Go","Standard")</f>
        <v>Standard</v>
      </c>
    </row>
    <row r="15101" customFormat="false" ht="15" hidden="false" customHeight="true" outlineLevel="0" collapsed="false">
      <c r="A15101" s="10" t="n">
        <f aca="false">Einstellungen!$B$5+INT((ROW()-9)/24)</f>
        <v>46594</v>
      </c>
      <c r="B15101" s="11" t="n">
        <f aca="false">MOD(ROW()-9,24)</f>
        <v>20</v>
      </c>
      <c r="C15101" s="12"/>
      <c r="D15101" s="13" t="n">
        <f aca="false">IF(B15101&lt;5,Einstellungen!$B$3,Einstellungen!$B$4)</f>
        <v>29.13</v>
      </c>
      <c r="E15101" s="14" t="str">
        <f aca="false">IF(C15101="","",C15101*D15101/100)</f>
        <v/>
      </c>
      <c r="F15101" s="15" t="str">
        <f aca="false">IF(B15101&lt;5,"Go","Standard")</f>
        <v>Standard</v>
      </c>
    </row>
    <row r="15102" customFormat="false" ht="15" hidden="false" customHeight="true" outlineLevel="0" collapsed="false">
      <c r="A15102" s="10" t="n">
        <f aca="false">Einstellungen!$B$5+INT((ROW()-9)/24)</f>
        <v>46594</v>
      </c>
      <c r="B15102" s="11" t="n">
        <f aca="false">MOD(ROW()-9,24)</f>
        <v>21</v>
      </c>
      <c r="C15102" s="12"/>
      <c r="D15102" s="13" t="n">
        <f aca="false">IF(B15102&lt;5,Einstellungen!$B$3,Einstellungen!$B$4)</f>
        <v>29.13</v>
      </c>
      <c r="E15102" s="14" t="str">
        <f aca="false">IF(C15102="","",C15102*D15102/100)</f>
        <v/>
      </c>
      <c r="F15102" s="15" t="str">
        <f aca="false">IF(B15102&lt;5,"Go","Standard")</f>
        <v>Standard</v>
      </c>
    </row>
    <row r="15103" customFormat="false" ht="15" hidden="false" customHeight="true" outlineLevel="0" collapsed="false">
      <c r="A15103" s="10" t="n">
        <f aca="false">Einstellungen!$B$5+INT((ROW()-9)/24)</f>
        <v>46594</v>
      </c>
      <c r="B15103" s="11" t="n">
        <f aca="false">MOD(ROW()-9,24)</f>
        <v>22</v>
      </c>
      <c r="C15103" s="12"/>
      <c r="D15103" s="13" t="n">
        <f aca="false">IF(B15103&lt;5,Einstellungen!$B$3,Einstellungen!$B$4)</f>
        <v>29.13</v>
      </c>
      <c r="E15103" s="14" t="str">
        <f aca="false">IF(C15103="","",C15103*D15103/100)</f>
        <v/>
      </c>
      <c r="F15103" s="15" t="str">
        <f aca="false">IF(B15103&lt;5,"Go","Standard")</f>
        <v>Standard</v>
      </c>
    </row>
    <row r="15104" customFormat="false" ht="15" hidden="false" customHeight="true" outlineLevel="0" collapsed="false">
      <c r="A15104" s="10" t="n">
        <f aca="false">Einstellungen!$B$5+INT((ROW()-9)/24)</f>
        <v>46594</v>
      </c>
      <c r="B15104" s="11" t="n">
        <f aca="false">MOD(ROW()-9,24)</f>
        <v>23</v>
      </c>
      <c r="C15104" s="12"/>
      <c r="D15104" s="13" t="n">
        <f aca="false">IF(B15104&lt;5,Einstellungen!$B$3,Einstellungen!$B$4)</f>
        <v>29.13</v>
      </c>
      <c r="E15104" s="14" t="str">
        <f aca="false">IF(C15104="","",C15104*D15104/100)</f>
        <v/>
      </c>
      <c r="F15104" s="15" t="str">
        <f aca="false">IF(B15104&lt;5,"Go","Standard")</f>
        <v>Standard</v>
      </c>
    </row>
    <row r="15105" customFormat="false" ht="15" hidden="false" customHeight="true" outlineLevel="0" collapsed="false">
      <c r="A15105" s="10" t="n">
        <f aca="false">Einstellungen!$B$5+INT((ROW()-9)/24)</f>
        <v>46595</v>
      </c>
      <c r="B15105" s="11" t="n">
        <f aca="false">MOD(ROW()-9,24)</f>
        <v>0</v>
      </c>
      <c r="C15105" s="12"/>
      <c r="D15105" s="13" t="n">
        <f aca="false">IF(B15105&lt;5,Einstellungen!$B$3,Einstellungen!$B$4)</f>
        <v>15.92</v>
      </c>
      <c r="E15105" s="14" t="str">
        <f aca="false">IF(C15105="","",C15105*D15105/100)</f>
        <v/>
      </c>
      <c r="F15105" s="15" t="str">
        <f aca="false">IF(B15105&lt;5,"Go","Standard")</f>
        <v>Go</v>
      </c>
    </row>
    <row r="15106" customFormat="false" ht="15" hidden="false" customHeight="true" outlineLevel="0" collapsed="false">
      <c r="A15106" s="10" t="n">
        <f aca="false">Einstellungen!$B$5+INT((ROW()-9)/24)</f>
        <v>46595</v>
      </c>
      <c r="B15106" s="11" t="n">
        <f aca="false">MOD(ROW()-9,24)</f>
        <v>1</v>
      </c>
      <c r="C15106" s="12"/>
      <c r="D15106" s="13" t="n">
        <f aca="false">IF(B15106&lt;5,Einstellungen!$B$3,Einstellungen!$B$4)</f>
        <v>15.92</v>
      </c>
      <c r="E15106" s="14" t="str">
        <f aca="false">IF(C15106="","",C15106*D15106/100)</f>
        <v/>
      </c>
      <c r="F15106" s="15" t="str">
        <f aca="false">IF(B15106&lt;5,"Go","Standard")</f>
        <v>Go</v>
      </c>
    </row>
    <row r="15107" customFormat="false" ht="15" hidden="false" customHeight="true" outlineLevel="0" collapsed="false">
      <c r="A15107" s="10" t="n">
        <f aca="false">Einstellungen!$B$5+INT((ROW()-9)/24)</f>
        <v>46595</v>
      </c>
      <c r="B15107" s="11" t="n">
        <f aca="false">MOD(ROW()-9,24)</f>
        <v>2</v>
      </c>
      <c r="C15107" s="12"/>
      <c r="D15107" s="13" t="n">
        <f aca="false">IF(B15107&lt;5,Einstellungen!$B$3,Einstellungen!$B$4)</f>
        <v>15.92</v>
      </c>
      <c r="E15107" s="14" t="str">
        <f aca="false">IF(C15107="","",C15107*D15107/100)</f>
        <v/>
      </c>
      <c r="F15107" s="15" t="str">
        <f aca="false">IF(B15107&lt;5,"Go","Standard")</f>
        <v>Go</v>
      </c>
    </row>
    <row r="15108" customFormat="false" ht="15" hidden="false" customHeight="true" outlineLevel="0" collapsed="false">
      <c r="A15108" s="10" t="n">
        <f aca="false">Einstellungen!$B$5+INT((ROW()-9)/24)</f>
        <v>46595</v>
      </c>
      <c r="B15108" s="11" t="n">
        <f aca="false">MOD(ROW()-9,24)</f>
        <v>3</v>
      </c>
      <c r="C15108" s="12"/>
      <c r="D15108" s="13" t="n">
        <f aca="false">IF(B15108&lt;5,Einstellungen!$B$3,Einstellungen!$B$4)</f>
        <v>15.92</v>
      </c>
      <c r="E15108" s="14" t="str">
        <f aca="false">IF(C15108="","",C15108*D15108/100)</f>
        <v/>
      </c>
      <c r="F15108" s="15" t="str">
        <f aca="false">IF(B15108&lt;5,"Go","Standard")</f>
        <v>Go</v>
      </c>
    </row>
    <row r="15109" customFormat="false" ht="15" hidden="false" customHeight="true" outlineLevel="0" collapsed="false">
      <c r="A15109" s="10" t="n">
        <f aca="false">Einstellungen!$B$5+INT((ROW()-9)/24)</f>
        <v>46595</v>
      </c>
      <c r="B15109" s="11" t="n">
        <f aca="false">MOD(ROW()-9,24)</f>
        <v>4</v>
      </c>
      <c r="C15109" s="12"/>
      <c r="D15109" s="13" t="n">
        <f aca="false">IF(B15109&lt;5,Einstellungen!$B$3,Einstellungen!$B$4)</f>
        <v>15.92</v>
      </c>
      <c r="E15109" s="14" t="str">
        <f aca="false">IF(C15109="","",C15109*D15109/100)</f>
        <v/>
      </c>
      <c r="F15109" s="15" t="str">
        <f aca="false">IF(B15109&lt;5,"Go","Standard")</f>
        <v>Go</v>
      </c>
    </row>
    <row r="15110" customFormat="false" ht="15" hidden="false" customHeight="true" outlineLevel="0" collapsed="false">
      <c r="A15110" s="10" t="n">
        <f aca="false">Einstellungen!$B$5+INT((ROW()-9)/24)</f>
        <v>46595</v>
      </c>
      <c r="B15110" s="11" t="n">
        <f aca="false">MOD(ROW()-9,24)</f>
        <v>5</v>
      </c>
      <c r="C15110" s="12"/>
      <c r="D15110" s="13" t="n">
        <f aca="false">IF(B15110&lt;5,Einstellungen!$B$3,Einstellungen!$B$4)</f>
        <v>29.13</v>
      </c>
      <c r="E15110" s="14" t="str">
        <f aca="false">IF(C15110="","",C15110*D15110/100)</f>
        <v/>
      </c>
      <c r="F15110" s="15" t="str">
        <f aca="false">IF(B15110&lt;5,"Go","Standard")</f>
        <v>Standard</v>
      </c>
    </row>
    <row r="15111" customFormat="false" ht="15" hidden="false" customHeight="true" outlineLevel="0" collapsed="false">
      <c r="A15111" s="10" t="n">
        <f aca="false">Einstellungen!$B$5+INT((ROW()-9)/24)</f>
        <v>46595</v>
      </c>
      <c r="B15111" s="11" t="n">
        <f aca="false">MOD(ROW()-9,24)</f>
        <v>6</v>
      </c>
      <c r="C15111" s="12"/>
      <c r="D15111" s="13" t="n">
        <f aca="false">IF(B15111&lt;5,Einstellungen!$B$3,Einstellungen!$B$4)</f>
        <v>29.13</v>
      </c>
      <c r="E15111" s="14" t="str">
        <f aca="false">IF(C15111="","",C15111*D15111/100)</f>
        <v/>
      </c>
      <c r="F15111" s="15" t="str">
        <f aca="false">IF(B15111&lt;5,"Go","Standard")</f>
        <v>Standard</v>
      </c>
    </row>
    <row r="15112" customFormat="false" ht="15" hidden="false" customHeight="true" outlineLevel="0" collapsed="false">
      <c r="A15112" s="10" t="n">
        <f aca="false">Einstellungen!$B$5+INT((ROW()-9)/24)</f>
        <v>46595</v>
      </c>
      <c r="B15112" s="11" t="n">
        <f aca="false">MOD(ROW()-9,24)</f>
        <v>7</v>
      </c>
      <c r="C15112" s="12"/>
      <c r="D15112" s="13" t="n">
        <f aca="false">IF(B15112&lt;5,Einstellungen!$B$3,Einstellungen!$B$4)</f>
        <v>29.13</v>
      </c>
      <c r="E15112" s="14" t="str">
        <f aca="false">IF(C15112="","",C15112*D15112/100)</f>
        <v/>
      </c>
      <c r="F15112" s="15" t="str">
        <f aca="false">IF(B15112&lt;5,"Go","Standard")</f>
        <v>Standard</v>
      </c>
    </row>
    <row r="15113" customFormat="false" ht="15" hidden="false" customHeight="true" outlineLevel="0" collapsed="false">
      <c r="A15113" s="10" t="n">
        <f aca="false">Einstellungen!$B$5+INT((ROW()-9)/24)</f>
        <v>46595</v>
      </c>
      <c r="B15113" s="11" t="n">
        <f aca="false">MOD(ROW()-9,24)</f>
        <v>8</v>
      </c>
      <c r="C15113" s="12"/>
      <c r="D15113" s="13" t="n">
        <f aca="false">IF(B15113&lt;5,Einstellungen!$B$3,Einstellungen!$B$4)</f>
        <v>29.13</v>
      </c>
      <c r="E15113" s="14" t="str">
        <f aca="false">IF(C15113="","",C15113*D15113/100)</f>
        <v/>
      </c>
      <c r="F15113" s="15" t="str">
        <f aca="false">IF(B15113&lt;5,"Go","Standard")</f>
        <v>Standard</v>
      </c>
    </row>
    <row r="15114" customFormat="false" ht="15" hidden="false" customHeight="true" outlineLevel="0" collapsed="false">
      <c r="A15114" s="10" t="n">
        <f aca="false">Einstellungen!$B$5+INT((ROW()-9)/24)</f>
        <v>46595</v>
      </c>
      <c r="B15114" s="11" t="n">
        <f aca="false">MOD(ROW()-9,24)</f>
        <v>9</v>
      </c>
      <c r="C15114" s="12"/>
      <c r="D15114" s="13" t="n">
        <f aca="false">IF(B15114&lt;5,Einstellungen!$B$3,Einstellungen!$B$4)</f>
        <v>29.13</v>
      </c>
      <c r="E15114" s="14" t="str">
        <f aca="false">IF(C15114="","",C15114*D15114/100)</f>
        <v/>
      </c>
      <c r="F15114" s="15" t="str">
        <f aca="false">IF(B15114&lt;5,"Go","Standard")</f>
        <v>Standard</v>
      </c>
    </row>
    <row r="15115" customFormat="false" ht="15" hidden="false" customHeight="true" outlineLevel="0" collapsed="false">
      <c r="A15115" s="10" t="n">
        <f aca="false">Einstellungen!$B$5+INT((ROW()-9)/24)</f>
        <v>46595</v>
      </c>
      <c r="B15115" s="11" t="n">
        <f aca="false">MOD(ROW()-9,24)</f>
        <v>10</v>
      </c>
      <c r="C15115" s="12"/>
      <c r="D15115" s="13" t="n">
        <f aca="false">IF(B15115&lt;5,Einstellungen!$B$3,Einstellungen!$B$4)</f>
        <v>29.13</v>
      </c>
      <c r="E15115" s="14" t="str">
        <f aca="false">IF(C15115="","",C15115*D15115/100)</f>
        <v/>
      </c>
      <c r="F15115" s="15" t="str">
        <f aca="false">IF(B15115&lt;5,"Go","Standard")</f>
        <v>Standard</v>
      </c>
    </row>
    <row r="15116" customFormat="false" ht="15" hidden="false" customHeight="true" outlineLevel="0" collapsed="false">
      <c r="A15116" s="10" t="n">
        <f aca="false">Einstellungen!$B$5+INT((ROW()-9)/24)</f>
        <v>46595</v>
      </c>
      <c r="B15116" s="11" t="n">
        <f aca="false">MOD(ROW()-9,24)</f>
        <v>11</v>
      </c>
      <c r="C15116" s="12"/>
      <c r="D15116" s="13" t="n">
        <f aca="false">IF(B15116&lt;5,Einstellungen!$B$3,Einstellungen!$B$4)</f>
        <v>29.13</v>
      </c>
      <c r="E15116" s="14" t="str">
        <f aca="false">IF(C15116="","",C15116*D15116/100)</f>
        <v/>
      </c>
      <c r="F15116" s="15" t="str">
        <f aca="false">IF(B15116&lt;5,"Go","Standard")</f>
        <v>Standard</v>
      </c>
    </row>
    <row r="15117" customFormat="false" ht="15" hidden="false" customHeight="true" outlineLevel="0" collapsed="false">
      <c r="A15117" s="10" t="n">
        <f aca="false">Einstellungen!$B$5+INT((ROW()-9)/24)</f>
        <v>46595</v>
      </c>
      <c r="B15117" s="11" t="n">
        <f aca="false">MOD(ROW()-9,24)</f>
        <v>12</v>
      </c>
      <c r="C15117" s="12"/>
      <c r="D15117" s="13" t="n">
        <f aca="false">IF(B15117&lt;5,Einstellungen!$B$3,Einstellungen!$B$4)</f>
        <v>29.13</v>
      </c>
      <c r="E15117" s="14" t="str">
        <f aca="false">IF(C15117="","",C15117*D15117/100)</f>
        <v/>
      </c>
      <c r="F15117" s="15" t="str">
        <f aca="false">IF(B15117&lt;5,"Go","Standard")</f>
        <v>Standard</v>
      </c>
    </row>
    <row r="15118" customFormat="false" ht="15" hidden="false" customHeight="true" outlineLevel="0" collapsed="false">
      <c r="A15118" s="10" t="n">
        <f aca="false">Einstellungen!$B$5+INT((ROW()-9)/24)</f>
        <v>46595</v>
      </c>
      <c r="B15118" s="11" t="n">
        <f aca="false">MOD(ROW()-9,24)</f>
        <v>13</v>
      </c>
      <c r="C15118" s="12"/>
      <c r="D15118" s="13" t="n">
        <f aca="false">IF(B15118&lt;5,Einstellungen!$B$3,Einstellungen!$B$4)</f>
        <v>29.13</v>
      </c>
      <c r="E15118" s="14" t="str">
        <f aca="false">IF(C15118="","",C15118*D15118/100)</f>
        <v/>
      </c>
      <c r="F15118" s="15" t="str">
        <f aca="false">IF(B15118&lt;5,"Go","Standard")</f>
        <v>Standard</v>
      </c>
    </row>
    <row r="15119" customFormat="false" ht="15" hidden="false" customHeight="true" outlineLevel="0" collapsed="false">
      <c r="A15119" s="10" t="n">
        <f aca="false">Einstellungen!$B$5+INT((ROW()-9)/24)</f>
        <v>46595</v>
      </c>
      <c r="B15119" s="11" t="n">
        <f aca="false">MOD(ROW()-9,24)</f>
        <v>14</v>
      </c>
      <c r="C15119" s="12"/>
      <c r="D15119" s="13" t="n">
        <f aca="false">IF(B15119&lt;5,Einstellungen!$B$3,Einstellungen!$B$4)</f>
        <v>29.13</v>
      </c>
      <c r="E15119" s="14" t="str">
        <f aca="false">IF(C15119="","",C15119*D15119/100)</f>
        <v/>
      </c>
      <c r="F15119" s="15" t="str">
        <f aca="false">IF(B15119&lt;5,"Go","Standard")</f>
        <v>Standard</v>
      </c>
    </row>
    <row r="15120" customFormat="false" ht="15" hidden="false" customHeight="true" outlineLevel="0" collapsed="false">
      <c r="A15120" s="10" t="n">
        <f aca="false">Einstellungen!$B$5+INT((ROW()-9)/24)</f>
        <v>46595</v>
      </c>
      <c r="B15120" s="11" t="n">
        <f aca="false">MOD(ROW()-9,24)</f>
        <v>15</v>
      </c>
      <c r="C15120" s="12"/>
      <c r="D15120" s="13" t="n">
        <f aca="false">IF(B15120&lt;5,Einstellungen!$B$3,Einstellungen!$B$4)</f>
        <v>29.13</v>
      </c>
      <c r="E15120" s="14" t="str">
        <f aca="false">IF(C15120="","",C15120*D15120/100)</f>
        <v/>
      </c>
      <c r="F15120" s="15" t="str">
        <f aca="false">IF(B15120&lt;5,"Go","Standard")</f>
        <v>Standard</v>
      </c>
    </row>
    <row r="15121" customFormat="false" ht="15" hidden="false" customHeight="true" outlineLevel="0" collapsed="false">
      <c r="A15121" s="10" t="n">
        <f aca="false">Einstellungen!$B$5+INT((ROW()-9)/24)</f>
        <v>46595</v>
      </c>
      <c r="B15121" s="11" t="n">
        <f aca="false">MOD(ROW()-9,24)</f>
        <v>16</v>
      </c>
      <c r="C15121" s="12"/>
      <c r="D15121" s="13" t="n">
        <f aca="false">IF(B15121&lt;5,Einstellungen!$B$3,Einstellungen!$B$4)</f>
        <v>29.13</v>
      </c>
      <c r="E15121" s="14" t="str">
        <f aca="false">IF(C15121="","",C15121*D15121/100)</f>
        <v/>
      </c>
      <c r="F15121" s="15" t="str">
        <f aca="false">IF(B15121&lt;5,"Go","Standard")</f>
        <v>Standard</v>
      </c>
    </row>
    <row r="15122" customFormat="false" ht="15" hidden="false" customHeight="true" outlineLevel="0" collapsed="false">
      <c r="A15122" s="10" t="n">
        <f aca="false">Einstellungen!$B$5+INT((ROW()-9)/24)</f>
        <v>46595</v>
      </c>
      <c r="B15122" s="11" t="n">
        <f aca="false">MOD(ROW()-9,24)</f>
        <v>17</v>
      </c>
      <c r="C15122" s="12"/>
      <c r="D15122" s="13" t="n">
        <f aca="false">IF(B15122&lt;5,Einstellungen!$B$3,Einstellungen!$B$4)</f>
        <v>29.13</v>
      </c>
      <c r="E15122" s="14" t="str">
        <f aca="false">IF(C15122="","",C15122*D15122/100)</f>
        <v/>
      </c>
      <c r="F15122" s="15" t="str">
        <f aca="false">IF(B15122&lt;5,"Go","Standard")</f>
        <v>Standard</v>
      </c>
    </row>
    <row r="15123" customFormat="false" ht="15" hidden="false" customHeight="true" outlineLevel="0" collapsed="false">
      <c r="A15123" s="10" t="n">
        <f aca="false">Einstellungen!$B$5+INT((ROW()-9)/24)</f>
        <v>46595</v>
      </c>
      <c r="B15123" s="11" t="n">
        <f aca="false">MOD(ROW()-9,24)</f>
        <v>18</v>
      </c>
      <c r="C15123" s="12"/>
      <c r="D15123" s="13" t="n">
        <f aca="false">IF(B15123&lt;5,Einstellungen!$B$3,Einstellungen!$B$4)</f>
        <v>29.13</v>
      </c>
      <c r="E15123" s="14" t="str">
        <f aca="false">IF(C15123="","",C15123*D15123/100)</f>
        <v/>
      </c>
      <c r="F15123" s="15" t="str">
        <f aca="false">IF(B15123&lt;5,"Go","Standard")</f>
        <v>Standard</v>
      </c>
    </row>
    <row r="15124" customFormat="false" ht="15" hidden="false" customHeight="true" outlineLevel="0" collapsed="false">
      <c r="A15124" s="10" t="n">
        <f aca="false">Einstellungen!$B$5+INT((ROW()-9)/24)</f>
        <v>46595</v>
      </c>
      <c r="B15124" s="11" t="n">
        <f aca="false">MOD(ROW()-9,24)</f>
        <v>19</v>
      </c>
      <c r="C15124" s="12"/>
      <c r="D15124" s="13" t="n">
        <f aca="false">IF(B15124&lt;5,Einstellungen!$B$3,Einstellungen!$B$4)</f>
        <v>29.13</v>
      </c>
      <c r="E15124" s="14" t="str">
        <f aca="false">IF(C15124="","",C15124*D15124/100)</f>
        <v/>
      </c>
      <c r="F15124" s="15" t="str">
        <f aca="false">IF(B15124&lt;5,"Go","Standard")</f>
        <v>Standard</v>
      </c>
    </row>
    <row r="15125" customFormat="false" ht="15" hidden="false" customHeight="true" outlineLevel="0" collapsed="false">
      <c r="A15125" s="10" t="n">
        <f aca="false">Einstellungen!$B$5+INT((ROW()-9)/24)</f>
        <v>46595</v>
      </c>
      <c r="B15125" s="11" t="n">
        <f aca="false">MOD(ROW()-9,24)</f>
        <v>20</v>
      </c>
      <c r="C15125" s="12"/>
      <c r="D15125" s="13" t="n">
        <f aca="false">IF(B15125&lt;5,Einstellungen!$B$3,Einstellungen!$B$4)</f>
        <v>29.13</v>
      </c>
      <c r="E15125" s="14" t="str">
        <f aca="false">IF(C15125="","",C15125*D15125/100)</f>
        <v/>
      </c>
      <c r="F15125" s="15" t="str">
        <f aca="false">IF(B15125&lt;5,"Go","Standard")</f>
        <v>Standard</v>
      </c>
    </row>
    <row r="15126" customFormat="false" ht="15" hidden="false" customHeight="true" outlineLevel="0" collapsed="false">
      <c r="A15126" s="10" t="n">
        <f aca="false">Einstellungen!$B$5+INT((ROW()-9)/24)</f>
        <v>46595</v>
      </c>
      <c r="B15126" s="11" t="n">
        <f aca="false">MOD(ROW()-9,24)</f>
        <v>21</v>
      </c>
      <c r="C15126" s="12"/>
      <c r="D15126" s="13" t="n">
        <f aca="false">IF(B15126&lt;5,Einstellungen!$B$3,Einstellungen!$B$4)</f>
        <v>29.13</v>
      </c>
      <c r="E15126" s="14" t="str">
        <f aca="false">IF(C15126="","",C15126*D15126/100)</f>
        <v/>
      </c>
      <c r="F15126" s="15" t="str">
        <f aca="false">IF(B15126&lt;5,"Go","Standard")</f>
        <v>Standard</v>
      </c>
    </row>
    <row r="15127" customFormat="false" ht="15" hidden="false" customHeight="true" outlineLevel="0" collapsed="false">
      <c r="A15127" s="10" t="n">
        <f aca="false">Einstellungen!$B$5+INT((ROW()-9)/24)</f>
        <v>46595</v>
      </c>
      <c r="B15127" s="11" t="n">
        <f aca="false">MOD(ROW()-9,24)</f>
        <v>22</v>
      </c>
      <c r="C15127" s="12"/>
      <c r="D15127" s="13" t="n">
        <f aca="false">IF(B15127&lt;5,Einstellungen!$B$3,Einstellungen!$B$4)</f>
        <v>29.13</v>
      </c>
      <c r="E15127" s="14" t="str">
        <f aca="false">IF(C15127="","",C15127*D15127/100)</f>
        <v/>
      </c>
      <c r="F15127" s="15" t="str">
        <f aca="false">IF(B15127&lt;5,"Go","Standard")</f>
        <v>Standard</v>
      </c>
    </row>
    <row r="15128" customFormat="false" ht="15" hidden="false" customHeight="true" outlineLevel="0" collapsed="false">
      <c r="A15128" s="10" t="n">
        <f aca="false">Einstellungen!$B$5+INT((ROW()-9)/24)</f>
        <v>46595</v>
      </c>
      <c r="B15128" s="11" t="n">
        <f aca="false">MOD(ROW()-9,24)</f>
        <v>23</v>
      </c>
      <c r="C15128" s="12"/>
      <c r="D15128" s="13" t="n">
        <f aca="false">IF(B15128&lt;5,Einstellungen!$B$3,Einstellungen!$B$4)</f>
        <v>29.13</v>
      </c>
      <c r="E15128" s="14" t="str">
        <f aca="false">IF(C15128="","",C15128*D15128/100)</f>
        <v/>
      </c>
      <c r="F15128" s="15" t="str">
        <f aca="false">IF(B15128&lt;5,"Go","Standard")</f>
        <v>Standard</v>
      </c>
    </row>
    <row r="15129" customFormat="false" ht="15" hidden="false" customHeight="true" outlineLevel="0" collapsed="false">
      <c r="A15129" s="10" t="n">
        <f aca="false">Einstellungen!$B$5+INT((ROW()-9)/24)</f>
        <v>46596</v>
      </c>
      <c r="B15129" s="11" t="n">
        <f aca="false">MOD(ROW()-9,24)</f>
        <v>0</v>
      </c>
      <c r="C15129" s="12"/>
      <c r="D15129" s="13" t="n">
        <f aca="false">IF(B15129&lt;5,Einstellungen!$B$3,Einstellungen!$B$4)</f>
        <v>15.92</v>
      </c>
      <c r="E15129" s="14" t="str">
        <f aca="false">IF(C15129="","",C15129*D15129/100)</f>
        <v/>
      </c>
      <c r="F15129" s="15" t="str">
        <f aca="false">IF(B15129&lt;5,"Go","Standard")</f>
        <v>Go</v>
      </c>
    </row>
    <row r="15130" customFormat="false" ht="15" hidden="false" customHeight="true" outlineLevel="0" collapsed="false">
      <c r="A15130" s="10" t="n">
        <f aca="false">Einstellungen!$B$5+INT((ROW()-9)/24)</f>
        <v>46596</v>
      </c>
      <c r="B15130" s="11" t="n">
        <f aca="false">MOD(ROW()-9,24)</f>
        <v>1</v>
      </c>
      <c r="C15130" s="12"/>
      <c r="D15130" s="13" t="n">
        <f aca="false">IF(B15130&lt;5,Einstellungen!$B$3,Einstellungen!$B$4)</f>
        <v>15.92</v>
      </c>
      <c r="E15130" s="14" t="str">
        <f aca="false">IF(C15130="","",C15130*D15130/100)</f>
        <v/>
      </c>
      <c r="F15130" s="15" t="str">
        <f aca="false">IF(B15130&lt;5,"Go","Standard")</f>
        <v>Go</v>
      </c>
    </row>
    <row r="15131" customFormat="false" ht="15" hidden="false" customHeight="true" outlineLevel="0" collapsed="false">
      <c r="A15131" s="10" t="n">
        <f aca="false">Einstellungen!$B$5+INT((ROW()-9)/24)</f>
        <v>46596</v>
      </c>
      <c r="B15131" s="11" t="n">
        <f aca="false">MOD(ROW()-9,24)</f>
        <v>2</v>
      </c>
      <c r="C15131" s="12"/>
      <c r="D15131" s="13" t="n">
        <f aca="false">IF(B15131&lt;5,Einstellungen!$B$3,Einstellungen!$B$4)</f>
        <v>15.92</v>
      </c>
      <c r="E15131" s="14" t="str">
        <f aca="false">IF(C15131="","",C15131*D15131/100)</f>
        <v/>
      </c>
      <c r="F15131" s="15" t="str">
        <f aca="false">IF(B15131&lt;5,"Go","Standard")</f>
        <v>Go</v>
      </c>
    </row>
    <row r="15132" customFormat="false" ht="15" hidden="false" customHeight="true" outlineLevel="0" collapsed="false">
      <c r="A15132" s="10" t="n">
        <f aca="false">Einstellungen!$B$5+INT((ROW()-9)/24)</f>
        <v>46596</v>
      </c>
      <c r="B15132" s="11" t="n">
        <f aca="false">MOD(ROW()-9,24)</f>
        <v>3</v>
      </c>
      <c r="C15132" s="12"/>
      <c r="D15132" s="13" t="n">
        <f aca="false">IF(B15132&lt;5,Einstellungen!$B$3,Einstellungen!$B$4)</f>
        <v>15.92</v>
      </c>
      <c r="E15132" s="14" t="str">
        <f aca="false">IF(C15132="","",C15132*D15132/100)</f>
        <v/>
      </c>
      <c r="F15132" s="15" t="str">
        <f aca="false">IF(B15132&lt;5,"Go","Standard")</f>
        <v>Go</v>
      </c>
    </row>
    <row r="15133" customFormat="false" ht="15" hidden="false" customHeight="true" outlineLevel="0" collapsed="false">
      <c r="A15133" s="10" t="n">
        <f aca="false">Einstellungen!$B$5+INT((ROW()-9)/24)</f>
        <v>46596</v>
      </c>
      <c r="B15133" s="11" t="n">
        <f aca="false">MOD(ROW()-9,24)</f>
        <v>4</v>
      </c>
      <c r="C15133" s="12"/>
      <c r="D15133" s="13" t="n">
        <f aca="false">IF(B15133&lt;5,Einstellungen!$B$3,Einstellungen!$B$4)</f>
        <v>15.92</v>
      </c>
      <c r="E15133" s="14" t="str">
        <f aca="false">IF(C15133="","",C15133*D15133/100)</f>
        <v/>
      </c>
      <c r="F15133" s="15" t="str">
        <f aca="false">IF(B15133&lt;5,"Go","Standard")</f>
        <v>Go</v>
      </c>
    </row>
    <row r="15134" customFormat="false" ht="15" hidden="false" customHeight="true" outlineLevel="0" collapsed="false">
      <c r="A15134" s="10" t="n">
        <f aca="false">Einstellungen!$B$5+INT((ROW()-9)/24)</f>
        <v>46596</v>
      </c>
      <c r="B15134" s="11" t="n">
        <f aca="false">MOD(ROW()-9,24)</f>
        <v>5</v>
      </c>
      <c r="C15134" s="12"/>
      <c r="D15134" s="13" t="n">
        <f aca="false">IF(B15134&lt;5,Einstellungen!$B$3,Einstellungen!$B$4)</f>
        <v>29.13</v>
      </c>
      <c r="E15134" s="14" t="str">
        <f aca="false">IF(C15134="","",C15134*D15134/100)</f>
        <v/>
      </c>
      <c r="F15134" s="15" t="str">
        <f aca="false">IF(B15134&lt;5,"Go","Standard")</f>
        <v>Standard</v>
      </c>
    </row>
    <row r="15135" customFormat="false" ht="15" hidden="false" customHeight="true" outlineLevel="0" collapsed="false">
      <c r="A15135" s="10" t="n">
        <f aca="false">Einstellungen!$B$5+INT((ROW()-9)/24)</f>
        <v>46596</v>
      </c>
      <c r="B15135" s="11" t="n">
        <f aca="false">MOD(ROW()-9,24)</f>
        <v>6</v>
      </c>
      <c r="C15135" s="12"/>
      <c r="D15135" s="13" t="n">
        <f aca="false">IF(B15135&lt;5,Einstellungen!$B$3,Einstellungen!$B$4)</f>
        <v>29.13</v>
      </c>
      <c r="E15135" s="14" t="str">
        <f aca="false">IF(C15135="","",C15135*D15135/100)</f>
        <v/>
      </c>
      <c r="F15135" s="15" t="str">
        <f aca="false">IF(B15135&lt;5,"Go","Standard")</f>
        <v>Standard</v>
      </c>
    </row>
    <row r="15136" customFormat="false" ht="15" hidden="false" customHeight="true" outlineLevel="0" collapsed="false">
      <c r="A15136" s="10" t="n">
        <f aca="false">Einstellungen!$B$5+INT((ROW()-9)/24)</f>
        <v>46596</v>
      </c>
      <c r="B15136" s="11" t="n">
        <f aca="false">MOD(ROW()-9,24)</f>
        <v>7</v>
      </c>
      <c r="C15136" s="12"/>
      <c r="D15136" s="13" t="n">
        <f aca="false">IF(B15136&lt;5,Einstellungen!$B$3,Einstellungen!$B$4)</f>
        <v>29.13</v>
      </c>
      <c r="E15136" s="14" t="str">
        <f aca="false">IF(C15136="","",C15136*D15136/100)</f>
        <v/>
      </c>
      <c r="F15136" s="15" t="str">
        <f aca="false">IF(B15136&lt;5,"Go","Standard")</f>
        <v>Standard</v>
      </c>
    </row>
    <row r="15137" customFormat="false" ht="15" hidden="false" customHeight="true" outlineLevel="0" collapsed="false">
      <c r="A15137" s="10" t="n">
        <f aca="false">Einstellungen!$B$5+INT((ROW()-9)/24)</f>
        <v>46596</v>
      </c>
      <c r="B15137" s="11" t="n">
        <f aca="false">MOD(ROW()-9,24)</f>
        <v>8</v>
      </c>
      <c r="C15137" s="12"/>
      <c r="D15137" s="13" t="n">
        <f aca="false">IF(B15137&lt;5,Einstellungen!$B$3,Einstellungen!$B$4)</f>
        <v>29.13</v>
      </c>
      <c r="E15137" s="14" t="str">
        <f aca="false">IF(C15137="","",C15137*D15137/100)</f>
        <v/>
      </c>
      <c r="F15137" s="15" t="str">
        <f aca="false">IF(B15137&lt;5,"Go","Standard")</f>
        <v>Standard</v>
      </c>
    </row>
    <row r="15138" customFormat="false" ht="15" hidden="false" customHeight="true" outlineLevel="0" collapsed="false">
      <c r="A15138" s="10" t="n">
        <f aca="false">Einstellungen!$B$5+INT((ROW()-9)/24)</f>
        <v>46596</v>
      </c>
      <c r="B15138" s="11" t="n">
        <f aca="false">MOD(ROW()-9,24)</f>
        <v>9</v>
      </c>
      <c r="C15138" s="12"/>
      <c r="D15138" s="13" t="n">
        <f aca="false">IF(B15138&lt;5,Einstellungen!$B$3,Einstellungen!$B$4)</f>
        <v>29.13</v>
      </c>
      <c r="E15138" s="14" t="str">
        <f aca="false">IF(C15138="","",C15138*D15138/100)</f>
        <v/>
      </c>
      <c r="F15138" s="15" t="str">
        <f aca="false">IF(B15138&lt;5,"Go","Standard")</f>
        <v>Standard</v>
      </c>
    </row>
    <row r="15139" customFormat="false" ht="15" hidden="false" customHeight="true" outlineLevel="0" collapsed="false">
      <c r="A15139" s="10" t="n">
        <f aca="false">Einstellungen!$B$5+INT((ROW()-9)/24)</f>
        <v>46596</v>
      </c>
      <c r="B15139" s="11" t="n">
        <f aca="false">MOD(ROW()-9,24)</f>
        <v>10</v>
      </c>
      <c r="C15139" s="12"/>
      <c r="D15139" s="13" t="n">
        <f aca="false">IF(B15139&lt;5,Einstellungen!$B$3,Einstellungen!$B$4)</f>
        <v>29.13</v>
      </c>
      <c r="E15139" s="14" t="str">
        <f aca="false">IF(C15139="","",C15139*D15139/100)</f>
        <v/>
      </c>
      <c r="F15139" s="15" t="str">
        <f aca="false">IF(B15139&lt;5,"Go","Standard")</f>
        <v>Standard</v>
      </c>
    </row>
    <row r="15140" customFormat="false" ht="15" hidden="false" customHeight="true" outlineLevel="0" collapsed="false">
      <c r="A15140" s="10" t="n">
        <f aca="false">Einstellungen!$B$5+INT((ROW()-9)/24)</f>
        <v>46596</v>
      </c>
      <c r="B15140" s="11" t="n">
        <f aca="false">MOD(ROW()-9,24)</f>
        <v>11</v>
      </c>
      <c r="C15140" s="12"/>
      <c r="D15140" s="13" t="n">
        <f aca="false">IF(B15140&lt;5,Einstellungen!$B$3,Einstellungen!$B$4)</f>
        <v>29.13</v>
      </c>
      <c r="E15140" s="14" t="str">
        <f aca="false">IF(C15140="","",C15140*D15140/100)</f>
        <v/>
      </c>
      <c r="F15140" s="15" t="str">
        <f aca="false">IF(B15140&lt;5,"Go","Standard")</f>
        <v>Standard</v>
      </c>
    </row>
    <row r="15141" customFormat="false" ht="15" hidden="false" customHeight="true" outlineLevel="0" collapsed="false">
      <c r="A15141" s="10" t="n">
        <f aca="false">Einstellungen!$B$5+INT((ROW()-9)/24)</f>
        <v>46596</v>
      </c>
      <c r="B15141" s="11" t="n">
        <f aca="false">MOD(ROW()-9,24)</f>
        <v>12</v>
      </c>
      <c r="C15141" s="12"/>
      <c r="D15141" s="13" t="n">
        <f aca="false">IF(B15141&lt;5,Einstellungen!$B$3,Einstellungen!$B$4)</f>
        <v>29.13</v>
      </c>
      <c r="E15141" s="14" t="str">
        <f aca="false">IF(C15141="","",C15141*D15141/100)</f>
        <v/>
      </c>
      <c r="F15141" s="15" t="str">
        <f aca="false">IF(B15141&lt;5,"Go","Standard")</f>
        <v>Standard</v>
      </c>
    </row>
    <row r="15142" customFormat="false" ht="15" hidden="false" customHeight="true" outlineLevel="0" collapsed="false">
      <c r="A15142" s="10" t="n">
        <f aca="false">Einstellungen!$B$5+INT((ROW()-9)/24)</f>
        <v>46596</v>
      </c>
      <c r="B15142" s="11" t="n">
        <f aca="false">MOD(ROW()-9,24)</f>
        <v>13</v>
      </c>
      <c r="C15142" s="12"/>
      <c r="D15142" s="13" t="n">
        <f aca="false">IF(B15142&lt;5,Einstellungen!$B$3,Einstellungen!$B$4)</f>
        <v>29.13</v>
      </c>
      <c r="E15142" s="14" t="str">
        <f aca="false">IF(C15142="","",C15142*D15142/100)</f>
        <v/>
      </c>
      <c r="F15142" s="15" t="str">
        <f aca="false">IF(B15142&lt;5,"Go","Standard")</f>
        <v>Standard</v>
      </c>
    </row>
    <row r="15143" customFormat="false" ht="15" hidden="false" customHeight="true" outlineLevel="0" collapsed="false">
      <c r="A15143" s="10" t="n">
        <f aca="false">Einstellungen!$B$5+INT((ROW()-9)/24)</f>
        <v>46596</v>
      </c>
      <c r="B15143" s="11" t="n">
        <f aca="false">MOD(ROW()-9,24)</f>
        <v>14</v>
      </c>
      <c r="C15143" s="12"/>
      <c r="D15143" s="13" t="n">
        <f aca="false">IF(B15143&lt;5,Einstellungen!$B$3,Einstellungen!$B$4)</f>
        <v>29.13</v>
      </c>
      <c r="E15143" s="14" t="str">
        <f aca="false">IF(C15143="","",C15143*D15143/100)</f>
        <v/>
      </c>
      <c r="F15143" s="15" t="str">
        <f aca="false">IF(B15143&lt;5,"Go","Standard")</f>
        <v>Standard</v>
      </c>
    </row>
    <row r="15144" customFormat="false" ht="15" hidden="false" customHeight="true" outlineLevel="0" collapsed="false">
      <c r="A15144" s="10" t="n">
        <f aca="false">Einstellungen!$B$5+INT((ROW()-9)/24)</f>
        <v>46596</v>
      </c>
      <c r="B15144" s="11" t="n">
        <f aca="false">MOD(ROW()-9,24)</f>
        <v>15</v>
      </c>
      <c r="C15144" s="12"/>
      <c r="D15144" s="13" t="n">
        <f aca="false">IF(B15144&lt;5,Einstellungen!$B$3,Einstellungen!$B$4)</f>
        <v>29.13</v>
      </c>
      <c r="E15144" s="14" t="str">
        <f aca="false">IF(C15144="","",C15144*D15144/100)</f>
        <v/>
      </c>
      <c r="F15144" s="15" t="str">
        <f aca="false">IF(B15144&lt;5,"Go","Standard")</f>
        <v>Standard</v>
      </c>
    </row>
    <row r="15145" customFormat="false" ht="15" hidden="false" customHeight="true" outlineLevel="0" collapsed="false">
      <c r="A15145" s="10" t="n">
        <f aca="false">Einstellungen!$B$5+INT((ROW()-9)/24)</f>
        <v>46596</v>
      </c>
      <c r="B15145" s="11" t="n">
        <f aca="false">MOD(ROW()-9,24)</f>
        <v>16</v>
      </c>
      <c r="C15145" s="12"/>
      <c r="D15145" s="13" t="n">
        <f aca="false">IF(B15145&lt;5,Einstellungen!$B$3,Einstellungen!$B$4)</f>
        <v>29.13</v>
      </c>
      <c r="E15145" s="14" t="str">
        <f aca="false">IF(C15145="","",C15145*D15145/100)</f>
        <v/>
      </c>
      <c r="F15145" s="15" t="str">
        <f aca="false">IF(B15145&lt;5,"Go","Standard")</f>
        <v>Standard</v>
      </c>
    </row>
    <row r="15146" customFormat="false" ht="15" hidden="false" customHeight="true" outlineLevel="0" collapsed="false">
      <c r="A15146" s="10" t="n">
        <f aca="false">Einstellungen!$B$5+INT((ROW()-9)/24)</f>
        <v>46596</v>
      </c>
      <c r="B15146" s="11" t="n">
        <f aca="false">MOD(ROW()-9,24)</f>
        <v>17</v>
      </c>
      <c r="C15146" s="12"/>
      <c r="D15146" s="13" t="n">
        <f aca="false">IF(B15146&lt;5,Einstellungen!$B$3,Einstellungen!$B$4)</f>
        <v>29.13</v>
      </c>
      <c r="E15146" s="14" t="str">
        <f aca="false">IF(C15146="","",C15146*D15146/100)</f>
        <v/>
      </c>
      <c r="F15146" s="15" t="str">
        <f aca="false">IF(B15146&lt;5,"Go","Standard")</f>
        <v>Standard</v>
      </c>
    </row>
    <row r="15147" customFormat="false" ht="15" hidden="false" customHeight="true" outlineLevel="0" collapsed="false">
      <c r="A15147" s="10" t="n">
        <f aca="false">Einstellungen!$B$5+INT((ROW()-9)/24)</f>
        <v>46596</v>
      </c>
      <c r="B15147" s="11" t="n">
        <f aca="false">MOD(ROW()-9,24)</f>
        <v>18</v>
      </c>
      <c r="C15147" s="12"/>
      <c r="D15147" s="13" t="n">
        <f aca="false">IF(B15147&lt;5,Einstellungen!$B$3,Einstellungen!$B$4)</f>
        <v>29.13</v>
      </c>
      <c r="E15147" s="14" t="str">
        <f aca="false">IF(C15147="","",C15147*D15147/100)</f>
        <v/>
      </c>
      <c r="F15147" s="15" t="str">
        <f aca="false">IF(B15147&lt;5,"Go","Standard")</f>
        <v>Standard</v>
      </c>
    </row>
    <row r="15148" customFormat="false" ht="15" hidden="false" customHeight="true" outlineLevel="0" collapsed="false">
      <c r="A15148" s="10" t="n">
        <f aca="false">Einstellungen!$B$5+INT((ROW()-9)/24)</f>
        <v>46596</v>
      </c>
      <c r="B15148" s="11" t="n">
        <f aca="false">MOD(ROW()-9,24)</f>
        <v>19</v>
      </c>
      <c r="C15148" s="12"/>
      <c r="D15148" s="13" t="n">
        <f aca="false">IF(B15148&lt;5,Einstellungen!$B$3,Einstellungen!$B$4)</f>
        <v>29.13</v>
      </c>
      <c r="E15148" s="14" t="str">
        <f aca="false">IF(C15148="","",C15148*D15148/100)</f>
        <v/>
      </c>
      <c r="F15148" s="15" t="str">
        <f aca="false">IF(B15148&lt;5,"Go","Standard")</f>
        <v>Standard</v>
      </c>
    </row>
    <row r="15149" customFormat="false" ht="15" hidden="false" customHeight="true" outlineLevel="0" collapsed="false">
      <c r="A15149" s="10" t="n">
        <f aca="false">Einstellungen!$B$5+INT((ROW()-9)/24)</f>
        <v>46596</v>
      </c>
      <c r="B15149" s="11" t="n">
        <f aca="false">MOD(ROW()-9,24)</f>
        <v>20</v>
      </c>
      <c r="C15149" s="12"/>
      <c r="D15149" s="13" t="n">
        <f aca="false">IF(B15149&lt;5,Einstellungen!$B$3,Einstellungen!$B$4)</f>
        <v>29.13</v>
      </c>
      <c r="E15149" s="14" t="str">
        <f aca="false">IF(C15149="","",C15149*D15149/100)</f>
        <v/>
      </c>
      <c r="F15149" s="15" t="str">
        <f aca="false">IF(B15149&lt;5,"Go","Standard")</f>
        <v>Standard</v>
      </c>
    </row>
    <row r="15150" customFormat="false" ht="15" hidden="false" customHeight="true" outlineLevel="0" collapsed="false">
      <c r="A15150" s="10" t="n">
        <f aca="false">Einstellungen!$B$5+INT((ROW()-9)/24)</f>
        <v>46596</v>
      </c>
      <c r="B15150" s="11" t="n">
        <f aca="false">MOD(ROW()-9,24)</f>
        <v>21</v>
      </c>
      <c r="C15150" s="12"/>
      <c r="D15150" s="13" t="n">
        <f aca="false">IF(B15150&lt;5,Einstellungen!$B$3,Einstellungen!$B$4)</f>
        <v>29.13</v>
      </c>
      <c r="E15150" s="14" t="str">
        <f aca="false">IF(C15150="","",C15150*D15150/100)</f>
        <v/>
      </c>
      <c r="F15150" s="15" t="str">
        <f aca="false">IF(B15150&lt;5,"Go","Standard")</f>
        <v>Standard</v>
      </c>
    </row>
    <row r="15151" customFormat="false" ht="15" hidden="false" customHeight="true" outlineLevel="0" collapsed="false">
      <c r="A15151" s="10" t="n">
        <f aca="false">Einstellungen!$B$5+INT((ROW()-9)/24)</f>
        <v>46596</v>
      </c>
      <c r="B15151" s="11" t="n">
        <f aca="false">MOD(ROW()-9,24)</f>
        <v>22</v>
      </c>
      <c r="C15151" s="12"/>
      <c r="D15151" s="13" t="n">
        <f aca="false">IF(B15151&lt;5,Einstellungen!$B$3,Einstellungen!$B$4)</f>
        <v>29.13</v>
      </c>
      <c r="E15151" s="14" t="str">
        <f aca="false">IF(C15151="","",C15151*D15151/100)</f>
        <v/>
      </c>
      <c r="F15151" s="15" t="str">
        <f aca="false">IF(B15151&lt;5,"Go","Standard")</f>
        <v>Standard</v>
      </c>
    </row>
    <row r="15152" customFormat="false" ht="15" hidden="false" customHeight="true" outlineLevel="0" collapsed="false">
      <c r="A15152" s="10" t="n">
        <f aca="false">Einstellungen!$B$5+INT((ROW()-9)/24)</f>
        <v>46596</v>
      </c>
      <c r="B15152" s="11" t="n">
        <f aca="false">MOD(ROW()-9,24)</f>
        <v>23</v>
      </c>
      <c r="C15152" s="12"/>
      <c r="D15152" s="13" t="n">
        <f aca="false">IF(B15152&lt;5,Einstellungen!$B$3,Einstellungen!$B$4)</f>
        <v>29.13</v>
      </c>
      <c r="E15152" s="14" t="str">
        <f aca="false">IF(C15152="","",C15152*D15152/100)</f>
        <v/>
      </c>
      <c r="F15152" s="15" t="str">
        <f aca="false">IF(B15152&lt;5,"Go","Standard")</f>
        <v>Standard</v>
      </c>
    </row>
    <row r="15153" customFormat="false" ht="15" hidden="false" customHeight="true" outlineLevel="0" collapsed="false">
      <c r="A15153" s="10" t="n">
        <f aca="false">Einstellungen!$B$5+INT((ROW()-9)/24)</f>
        <v>46597</v>
      </c>
      <c r="B15153" s="11" t="n">
        <f aca="false">MOD(ROW()-9,24)</f>
        <v>0</v>
      </c>
      <c r="C15153" s="12"/>
      <c r="D15153" s="13" t="n">
        <f aca="false">IF(B15153&lt;5,Einstellungen!$B$3,Einstellungen!$B$4)</f>
        <v>15.92</v>
      </c>
      <c r="E15153" s="14" t="str">
        <f aca="false">IF(C15153="","",C15153*D15153/100)</f>
        <v/>
      </c>
      <c r="F15153" s="15" t="str">
        <f aca="false">IF(B15153&lt;5,"Go","Standard")</f>
        <v>Go</v>
      </c>
    </row>
    <row r="15154" customFormat="false" ht="15" hidden="false" customHeight="true" outlineLevel="0" collapsed="false">
      <c r="A15154" s="10" t="n">
        <f aca="false">Einstellungen!$B$5+INT((ROW()-9)/24)</f>
        <v>46597</v>
      </c>
      <c r="B15154" s="11" t="n">
        <f aca="false">MOD(ROW()-9,24)</f>
        <v>1</v>
      </c>
      <c r="C15154" s="12"/>
      <c r="D15154" s="13" t="n">
        <f aca="false">IF(B15154&lt;5,Einstellungen!$B$3,Einstellungen!$B$4)</f>
        <v>15.92</v>
      </c>
      <c r="E15154" s="14" t="str">
        <f aca="false">IF(C15154="","",C15154*D15154/100)</f>
        <v/>
      </c>
      <c r="F15154" s="15" t="str">
        <f aca="false">IF(B15154&lt;5,"Go","Standard")</f>
        <v>Go</v>
      </c>
    </row>
    <row r="15155" customFormat="false" ht="15" hidden="false" customHeight="true" outlineLevel="0" collapsed="false">
      <c r="A15155" s="10" t="n">
        <f aca="false">Einstellungen!$B$5+INT((ROW()-9)/24)</f>
        <v>46597</v>
      </c>
      <c r="B15155" s="11" t="n">
        <f aca="false">MOD(ROW()-9,24)</f>
        <v>2</v>
      </c>
      <c r="C15155" s="12"/>
      <c r="D15155" s="13" t="n">
        <f aca="false">IF(B15155&lt;5,Einstellungen!$B$3,Einstellungen!$B$4)</f>
        <v>15.92</v>
      </c>
      <c r="E15155" s="14" t="str">
        <f aca="false">IF(C15155="","",C15155*D15155/100)</f>
        <v/>
      </c>
      <c r="F15155" s="15" t="str">
        <f aca="false">IF(B15155&lt;5,"Go","Standard")</f>
        <v>Go</v>
      </c>
    </row>
    <row r="15156" customFormat="false" ht="15" hidden="false" customHeight="true" outlineLevel="0" collapsed="false">
      <c r="A15156" s="10" t="n">
        <f aca="false">Einstellungen!$B$5+INT((ROW()-9)/24)</f>
        <v>46597</v>
      </c>
      <c r="B15156" s="11" t="n">
        <f aca="false">MOD(ROW()-9,24)</f>
        <v>3</v>
      </c>
      <c r="C15156" s="12"/>
      <c r="D15156" s="13" t="n">
        <f aca="false">IF(B15156&lt;5,Einstellungen!$B$3,Einstellungen!$B$4)</f>
        <v>15.92</v>
      </c>
      <c r="E15156" s="14" t="str">
        <f aca="false">IF(C15156="","",C15156*D15156/100)</f>
        <v/>
      </c>
      <c r="F15156" s="15" t="str">
        <f aca="false">IF(B15156&lt;5,"Go","Standard")</f>
        <v>Go</v>
      </c>
    </row>
    <row r="15157" customFormat="false" ht="15" hidden="false" customHeight="true" outlineLevel="0" collapsed="false">
      <c r="A15157" s="10" t="n">
        <f aca="false">Einstellungen!$B$5+INT((ROW()-9)/24)</f>
        <v>46597</v>
      </c>
      <c r="B15157" s="11" t="n">
        <f aca="false">MOD(ROW()-9,24)</f>
        <v>4</v>
      </c>
      <c r="C15157" s="12"/>
      <c r="D15157" s="13" t="n">
        <f aca="false">IF(B15157&lt;5,Einstellungen!$B$3,Einstellungen!$B$4)</f>
        <v>15.92</v>
      </c>
      <c r="E15157" s="14" t="str">
        <f aca="false">IF(C15157="","",C15157*D15157/100)</f>
        <v/>
      </c>
      <c r="F15157" s="15" t="str">
        <f aca="false">IF(B15157&lt;5,"Go","Standard")</f>
        <v>Go</v>
      </c>
    </row>
    <row r="15158" customFormat="false" ht="15" hidden="false" customHeight="true" outlineLevel="0" collapsed="false">
      <c r="A15158" s="10" t="n">
        <f aca="false">Einstellungen!$B$5+INT((ROW()-9)/24)</f>
        <v>46597</v>
      </c>
      <c r="B15158" s="11" t="n">
        <f aca="false">MOD(ROW()-9,24)</f>
        <v>5</v>
      </c>
      <c r="C15158" s="12"/>
      <c r="D15158" s="13" t="n">
        <f aca="false">IF(B15158&lt;5,Einstellungen!$B$3,Einstellungen!$B$4)</f>
        <v>29.13</v>
      </c>
      <c r="E15158" s="14" t="str">
        <f aca="false">IF(C15158="","",C15158*D15158/100)</f>
        <v/>
      </c>
      <c r="F15158" s="15" t="str">
        <f aca="false">IF(B15158&lt;5,"Go","Standard")</f>
        <v>Standard</v>
      </c>
    </row>
    <row r="15159" customFormat="false" ht="15" hidden="false" customHeight="true" outlineLevel="0" collapsed="false">
      <c r="A15159" s="10" t="n">
        <f aca="false">Einstellungen!$B$5+INT((ROW()-9)/24)</f>
        <v>46597</v>
      </c>
      <c r="B15159" s="11" t="n">
        <f aca="false">MOD(ROW()-9,24)</f>
        <v>6</v>
      </c>
      <c r="C15159" s="12"/>
      <c r="D15159" s="13" t="n">
        <f aca="false">IF(B15159&lt;5,Einstellungen!$B$3,Einstellungen!$B$4)</f>
        <v>29.13</v>
      </c>
      <c r="E15159" s="14" t="str">
        <f aca="false">IF(C15159="","",C15159*D15159/100)</f>
        <v/>
      </c>
      <c r="F15159" s="15" t="str">
        <f aca="false">IF(B15159&lt;5,"Go","Standard")</f>
        <v>Standard</v>
      </c>
    </row>
    <row r="15160" customFormat="false" ht="15" hidden="false" customHeight="true" outlineLevel="0" collapsed="false">
      <c r="A15160" s="10" t="n">
        <f aca="false">Einstellungen!$B$5+INT((ROW()-9)/24)</f>
        <v>46597</v>
      </c>
      <c r="B15160" s="11" t="n">
        <f aca="false">MOD(ROW()-9,24)</f>
        <v>7</v>
      </c>
      <c r="C15160" s="12"/>
      <c r="D15160" s="13" t="n">
        <f aca="false">IF(B15160&lt;5,Einstellungen!$B$3,Einstellungen!$B$4)</f>
        <v>29.13</v>
      </c>
      <c r="E15160" s="14" t="str">
        <f aca="false">IF(C15160="","",C15160*D15160/100)</f>
        <v/>
      </c>
      <c r="F15160" s="15" t="str">
        <f aca="false">IF(B15160&lt;5,"Go","Standard")</f>
        <v>Standard</v>
      </c>
    </row>
    <row r="15161" customFormat="false" ht="15" hidden="false" customHeight="true" outlineLevel="0" collapsed="false">
      <c r="A15161" s="10" t="n">
        <f aca="false">Einstellungen!$B$5+INT((ROW()-9)/24)</f>
        <v>46597</v>
      </c>
      <c r="B15161" s="11" t="n">
        <f aca="false">MOD(ROW()-9,24)</f>
        <v>8</v>
      </c>
      <c r="C15161" s="12"/>
      <c r="D15161" s="13" t="n">
        <f aca="false">IF(B15161&lt;5,Einstellungen!$B$3,Einstellungen!$B$4)</f>
        <v>29.13</v>
      </c>
      <c r="E15161" s="14" t="str">
        <f aca="false">IF(C15161="","",C15161*D15161/100)</f>
        <v/>
      </c>
      <c r="F15161" s="15" t="str">
        <f aca="false">IF(B15161&lt;5,"Go","Standard")</f>
        <v>Standard</v>
      </c>
    </row>
    <row r="15162" customFormat="false" ht="15" hidden="false" customHeight="true" outlineLevel="0" collapsed="false">
      <c r="A15162" s="10" t="n">
        <f aca="false">Einstellungen!$B$5+INT((ROW()-9)/24)</f>
        <v>46597</v>
      </c>
      <c r="B15162" s="11" t="n">
        <f aca="false">MOD(ROW()-9,24)</f>
        <v>9</v>
      </c>
      <c r="C15162" s="12"/>
      <c r="D15162" s="13" t="n">
        <f aca="false">IF(B15162&lt;5,Einstellungen!$B$3,Einstellungen!$B$4)</f>
        <v>29.13</v>
      </c>
      <c r="E15162" s="14" t="str">
        <f aca="false">IF(C15162="","",C15162*D15162/100)</f>
        <v/>
      </c>
      <c r="F15162" s="15" t="str">
        <f aca="false">IF(B15162&lt;5,"Go","Standard")</f>
        <v>Standard</v>
      </c>
    </row>
    <row r="15163" customFormat="false" ht="15" hidden="false" customHeight="true" outlineLevel="0" collapsed="false">
      <c r="A15163" s="10" t="n">
        <f aca="false">Einstellungen!$B$5+INT((ROW()-9)/24)</f>
        <v>46597</v>
      </c>
      <c r="B15163" s="11" t="n">
        <f aca="false">MOD(ROW()-9,24)</f>
        <v>10</v>
      </c>
      <c r="C15163" s="12"/>
      <c r="D15163" s="13" t="n">
        <f aca="false">IF(B15163&lt;5,Einstellungen!$B$3,Einstellungen!$B$4)</f>
        <v>29.13</v>
      </c>
      <c r="E15163" s="14" t="str">
        <f aca="false">IF(C15163="","",C15163*D15163/100)</f>
        <v/>
      </c>
      <c r="F15163" s="15" t="str">
        <f aca="false">IF(B15163&lt;5,"Go","Standard")</f>
        <v>Standard</v>
      </c>
    </row>
    <row r="15164" customFormat="false" ht="15" hidden="false" customHeight="true" outlineLevel="0" collapsed="false">
      <c r="A15164" s="10" t="n">
        <f aca="false">Einstellungen!$B$5+INT((ROW()-9)/24)</f>
        <v>46597</v>
      </c>
      <c r="B15164" s="11" t="n">
        <f aca="false">MOD(ROW()-9,24)</f>
        <v>11</v>
      </c>
      <c r="C15164" s="12"/>
      <c r="D15164" s="13" t="n">
        <f aca="false">IF(B15164&lt;5,Einstellungen!$B$3,Einstellungen!$B$4)</f>
        <v>29.13</v>
      </c>
      <c r="E15164" s="14" t="str">
        <f aca="false">IF(C15164="","",C15164*D15164/100)</f>
        <v/>
      </c>
      <c r="F15164" s="15" t="str">
        <f aca="false">IF(B15164&lt;5,"Go","Standard")</f>
        <v>Standard</v>
      </c>
    </row>
    <row r="15165" customFormat="false" ht="15" hidden="false" customHeight="true" outlineLevel="0" collapsed="false">
      <c r="A15165" s="10" t="n">
        <f aca="false">Einstellungen!$B$5+INT((ROW()-9)/24)</f>
        <v>46597</v>
      </c>
      <c r="B15165" s="11" t="n">
        <f aca="false">MOD(ROW()-9,24)</f>
        <v>12</v>
      </c>
      <c r="C15165" s="12"/>
      <c r="D15165" s="13" t="n">
        <f aca="false">IF(B15165&lt;5,Einstellungen!$B$3,Einstellungen!$B$4)</f>
        <v>29.13</v>
      </c>
      <c r="E15165" s="14" t="str">
        <f aca="false">IF(C15165="","",C15165*D15165/100)</f>
        <v/>
      </c>
      <c r="F15165" s="15" t="str">
        <f aca="false">IF(B15165&lt;5,"Go","Standard")</f>
        <v>Standard</v>
      </c>
    </row>
    <row r="15166" customFormat="false" ht="15" hidden="false" customHeight="true" outlineLevel="0" collapsed="false">
      <c r="A15166" s="10" t="n">
        <f aca="false">Einstellungen!$B$5+INT((ROW()-9)/24)</f>
        <v>46597</v>
      </c>
      <c r="B15166" s="11" t="n">
        <f aca="false">MOD(ROW()-9,24)</f>
        <v>13</v>
      </c>
      <c r="C15166" s="12"/>
      <c r="D15166" s="13" t="n">
        <f aca="false">IF(B15166&lt;5,Einstellungen!$B$3,Einstellungen!$B$4)</f>
        <v>29.13</v>
      </c>
      <c r="E15166" s="14" t="str">
        <f aca="false">IF(C15166="","",C15166*D15166/100)</f>
        <v/>
      </c>
      <c r="F15166" s="15" t="str">
        <f aca="false">IF(B15166&lt;5,"Go","Standard")</f>
        <v>Standard</v>
      </c>
    </row>
    <row r="15167" customFormat="false" ht="15" hidden="false" customHeight="true" outlineLevel="0" collapsed="false">
      <c r="A15167" s="10" t="n">
        <f aca="false">Einstellungen!$B$5+INT((ROW()-9)/24)</f>
        <v>46597</v>
      </c>
      <c r="B15167" s="11" t="n">
        <f aca="false">MOD(ROW()-9,24)</f>
        <v>14</v>
      </c>
      <c r="C15167" s="12"/>
      <c r="D15167" s="13" t="n">
        <f aca="false">IF(B15167&lt;5,Einstellungen!$B$3,Einstellungen!$B$4)</f>
        <v>29.13</v>
      </c>
      <c r="E15167" s="14" t="str">
        <f aca="false">IF(C15167="","",C15167*D15167/100)</f>
        <v/>
      </c>
      <c r="F15167" s="15" t="str">
        <f aca="false">IF(B15167&lt;5,"Go","Standard")</f>
        <v>Standard</v>
      </c>
    </row>
    <row r="15168" customFormat="false" ht="15" hidden="false" customHeight="true" outlineLevel="0" collapsed="false">
      <c r="A15168" s="10" t="n">
        <f aca="false">Einstellungen!$B$5+INT((ROW()-9)/24)</f>
        <v>46597</v>
      </c>
      <c r="B15168" s="11" t="n">
        <f aca="false">MOD(ROW()-9,24)</f>
        <v>15</v>
      </c>
      <c r="C15168" s="12"/>
      <c r="D15168" s="13" t="n">
        <f aca="false">IF(B15168&lt;5,Einstellungen!$B$3,Einstellungen!$B$4)</f>
        <v>29.13</v>
      </c>
      <c r="E15168" s="14" t="str">
        <f aca="false">IF(C15168="","",C15168*D15168/100)</f>
        <v/>
      </c>
      <c r="F15168" s="15" t="str">
        <f aca="false">IF(B15168&lt;5,"Go","Standard")</f>
        <v>Standard</v>
      </c>
    </row>
    <row r="15169" customFormat="false" ht="15" hidden="false" customHeight="true" outlineLevel="0" collapsed="false">
      <c r="A15169" s="10" t="n">
        <f aca="false">Einstellungen!$B$5+INT((ROW()-9)/24)</f>
        <v>46597</v>
      </c>
      <c r="B15169" s="11" t="n">
        <f aca="false">MOD(ROW()-9,24)</f>
        <v>16</v>
      </c>
      <c r="C15169" s="12"/>
      <c r="D15169" s="13" t="n">
        <f aca="false">IF(B15169&lt;5,Einstellungen!$B$3,Einstellungen!$B$4)</f>
        <v>29.13</v>
      </c>
      <c r="E15169" s="14" t="str">
        <f aca="false">IF(C15169="","",C15169*D15169/100)</f>
        <v/>
      </c>
      <c r="F15169" s="15" t="str">
        <f aca="false">IF(B15169&lt;5,"Go","Standard")</f>
        <v>Standard</v>
      </c>
    </row>
    <row r="15170" customFormat="false" ht="15" hidden="false" customHeight="true" outlineLevel="0" collapsed="false">
      <c r="A15170" s="10" t="n">
        <f aca="false">Einstellungen!$B$5+INT((ROW()-9)/24)</f>
        <v>46597</v>
      </c>
      <c r="B15170" s="11" t="n">
        <f aca="false">MOD(ROW()-9,24)</f>
        <v>17</v>
      </c>
      <c r="C15170" s="12"/>
      <c r="D15170" s="13" t="n">
        <f aca="false">IF(B15170&lt;5,Einstellungen!$B$3,Einstellungen!$B$4)</f>
        <v>29.13</v>
      </c>
      <c r="E15170" s="14" t="str">
        <f aca="false">IF(C15170="","",C15170*D15170/100)</f>
        <v/>
      </c>
      <c r="F15170" s="15" t="str">
        <f aca="false">IF(B15170&lt;5,"Go","Standard")</f>
        <v>Standard</v>
      </c>
    </row>
    <row r="15171" customFormat="false" ht="15" hidden="false" customHeight="true" outlineLevel="0" collapsed="false">
      <c r="A15171" s="10" t="n">
        <f aca="false">Einstellungen!$B$5+INT((ROW()-9)/24)</f>
        <v>46597</v>
      </c>
      <c r="B15171" s="11" t="n">
        <f aca="false">MOD(ROW()-9,24)</f>
        <v>18</v>
      </c>
      <c r="C15171" s="12"/>
      <c r="D15171" s="13" t="n">
        <f aca="false">IF(B15171&lt;5,Einstellungen!$B$3,Einstellungen!$B$4)</f>
        <v>29.13</v>
      </c>
      <c r="E15171" s="14" t="str">
        <f aca="false">IF(C15171="","",C15171*D15171/100)</f>
        <v/>
      </c>
      <c r="F15171" s="15" t="str">
        <f aca="false">IF(B15171&lt;5,"Go","Standard")</f>
        <v>Standard</v>
      </c>
    </row>
    <row r="15172" customFormat="false" ht="15" hidden="false" customHeight="true" outlineLevel="0" collapsed="false">
      <c r="A15172" s="10" t="n">
        <f aca="false">Einstellungen!$B$5+INT((ROW()-9)/24)</f>
        <v>46597</v>
      </c>
      <c r="B15172" s="11" t="n">
        <f aca="false">MOD(ROW()-9,24)</f>
        <v>19</v>
      </c>
      <c r="C15172" s="12"/>
      <c r="D15172" s="13" t="n">
        <f aca="false">IF(B15172&lt;5,Einstellungen!$B$3,Einstellungen!$B$4)</f>
        <v>29.13</v>
      </c>
      <c r="E15172" s="14" t="str">
        <f aca="false">IF(C15172="","",C15172*D15172/100)</f>
        <v/>
      </c>
      <c r="F15172" s="15" t="str">
        <f aca="false">IF(B15172&lt;5,"Go","Standard")</f>
        <v>Standard</v>
      </c>
    </row>
    <row r="15173" customFormat="false" ht="15" hidden="false" customHeight="true" outlineLevel="0" collapsed="false">
      <c r="A15173" s="10" t="n">
        <f aca="false">Einstellungen!$B$5+INT((ROW()-9)/24)</f>
        <v>46597</v>
      </c>
      <c r="B15173" s="11" t="n">
        <f aca="false">MOD(ROW()-9,24)</f>
        <v>20</v>
      </c>
      <c r="C15173" s="12"/>
      <c r="D15173" s="13" t="n">
        <f aca="false">IF(B15173&lt;5,Einstellungen!$B$3,Einstellungen!$B$4)</f>
        <v>29.13</v>
      </c>
      <c r="E15173" s="14" t="str">
        <f aca="false">IF(C15173="","",C15173*D15173/100)</f>
        <v/>
      </c>
      <c r="F15173" s="15" t="str">
        <f aca="false">IF(B15173&lt;5,"Go","Standard")</f>
        <v>Standard</v>
      </c>
    </row>
    <row r="15174" customFormat="false" ht="15" hidden="false" customHeight="true" outlineLevel="0" collapsed="false">
      <c r="A15174" s="10" t="n">
        <f aca="false">Einstellungen!$B$5+INT((ROW()-9)/24)</f>
        <v>46597</v>
      </c>
      <c r="B15174" s="11" t="n">
        <f aca="false">MOD(ROW()-9,24)</f>
        <v>21</v>
      </c>
      <c r="C15174" s="12"/>
      <c r="D15174" s="13" t="n">
        <f aca="false">IF(B15174&lt;5,Einstellungen!$B$3,Einstellungen!$B$4)</f>
        <v>29.13</v>
      </c>
      <c r="E15174" s="14" t="str">
        <f aca="false">IF(C15174="","",C15174*D15174/100)</f>
        <v/>
      </c>
      <c r="F15174" s="15" t="str">
        <f aca="false">IF(B15174&lt;5,"Go","Standard")</f>
        <v>Standard</v>
      </c>
    </row>
    <row r="15175" customFormat="false" ht="15" hidden="false" customHeight="true" outlineLevel="0" collapsed="false">
      <c r="A15175" s="10" t="n">
        <f aca="false">Einstellungen!$B$5+INT((ROW()-9)/24)</f>
        <v>46597</v>
      </c>
      <c r="B15175" s="11" t="n">
        <f aca="false">MOD(ROW()-9,24)</f>
        <v>22</v>
      </c>
      <c r="C15175" s="12"/>
      <c r="D15175" s="13" t="n">
        <f aca="false">IF(B15175&lt;5,Einstellungen!$B$3,Einstellungen!$B$4)</f>
        <v>29.13</v>
      </c>
      <c r="E15175" s="14" t="str">
        <f aca="false">IF(C15175="","",C15175*D15175/100)</f>
        <v/>
      </c>
      <c r="F15175" s="15" t="str">
        <f aca="false">IF(B15175&lt;5,"Go","Standard")</f>
        <v>Standard</v>
      </c>
    </row>
    <row r="15176" customFormat="false" ht="15" hidden="false" customHeight="true" outlineLevel="0" collapsed="false">
      <c r="A15176" s="10" t="n">
        <f aca="false">Einstellungen!$B$5+INT((ROW()-9)/24)</f>
        <v>46597</v>
      </c>
      <c r="B15176" s="11" t="n">
        <f aca="false">MOD(ROW()-9,24)</f>
        <v>23</v>
      </c>
      <c r="C15176" s="12"/>
      <c r="D15176" s="13" t="n">
        <f aca="false">IF(B15176&lt;5,Einstellungen!$B$3,Einstellungen!$B$4)</f>
        <v>29.13</v>
      </c>
      <c r="E15176" s="14" t="str">
        <f aca="false">IF(C15176="","",C15176*D15176/100)</f>
        <v/>
      </c>
      <c r="F15176" s="15" t="str">
        <f aca="false">IF(B15176&lt;5,"Go","Standard")</f>
        <v>Standard</v>
      </c>
    </row>
    <row r="15177" customFormat="false" ht="15" hidden="false" customHeight="true" outlineLevel="0" collapsed="false">
      <c r="A15177" s="10" t="n">
        <f aca="false">Einstellungen!$B$5+INT((ROW()-9)/24)</f>
        <v>46598</v>
      </c>
      <c r="B15177" s="11" t="n">
        <f aca="false">MOD(ROW()-9,24)</f>
        <v>0</v>
      </c>
      <c r="C15177" s="12"/>
      <c r="D15177" s="13" t="n">
        <f aca="false">IF(B15177&lt;5,Einstellungen!$B$3,Einstellungen!$B$4)</f>
        <v>15.92</v>
      </c>
      <c r="E15177" s="14" t="str">
        <f aca="false">IF(C15177="","",C15177*D15177/100)</f>
        <v/>
      </c>
      <c r="F15177" s="15" t="str">
        <f aca="false">IF(B15177&lt;5,"Go","Standard")</f>
        <v>Go</v>
      </c>
    </row>
    <row r="15178" customFormat="false" ht="15" hidden="false" customHeight="true" outlineLevel="0" collapsed="false">
      <c r="A15178" s="10" t="n">
        <f aca="false">Einstellungen!$B$5+INT((ROW()-9)/24)</f>
        <v>46598</v>
      </c>
      <c r="B15178" s="11" t="n">
        <f aca="false">MOD(ROW()-9,24)</f>
        <v>1</v>
      </c>
      <c r="C15178" s="12"/>
      <c r="D15178" s="13" t="n">
        <f aca="false">IF(B15178&lt;5,Einstellungen!$B$3,Einstellungen!$B$4)</f>
        <v>15.92</v>
      </c>
      <c r="E15178" s="14" t="str">
        <f aca="false">IF(C15178="","",C15178*D15178/100)</f>
        <v/>
      </c>
      <c r="F15178" s="15" t="str">
        <f aca="false">IF(B15178&lt;5,"Go","Standard")</f>
        <v>Go</v>
      </c>
    </row>
    <row r="15179" customFormat="false" ht="15" hidden="false" customHeight="true" outlineLevel="0" collapsed="false">
      <c r="A15179" s="10" t="n">
        <f aca="false">Einstellungen!$B$5+INT((ROW()-9)/24)</f>
        <v>46598</v>
      </c>
      <c r="B15179" s="11" t="n">
        <f aca="false">MOD(ROW()-9,24)</f>
        <v>2</v>
      </c>
      <c r="C15179" s="12"/>
      <c r="D15179" s="13" t="n">
        <f aca="false">IF(B15179&lt;5,Einstellungen!$B$3,Einstellungen!$B$4)</f>
        <v>15.92</v>
      </c>
      <c r="E15179" s="14" t="str">
        <f aca="false">IF(C15179="","",C15179*D15179/100)</f>
        <v/>
      </c>
      <c r="F15179" s="15" t="str">
        <f aca="false">IF(B15179&lt;5,"Go","Standard")</f>
        <v>Go</v>
      </c>
    </row>
    <row r="15180" customFormat="false" ht="15" hidden="false" customHeight="true" outlineLevel="0" collapsed="false">
      <c r="A15180" s="10" t="n">
        <f aca="false">Einstellungen!$B$5+INT((ROW()-9)/24)</f>
        <v>46598</v>
      </c>
      <c r="B15180" s="11" t="n">
        <f aca="false">MOD(ROW()-9,24)</f>
        <v>3</v>
      </c>
      <c r="C15180" s="12"/>
      <c r="D15180" s="13" t="n">
        <f aca="false">IF(B15180&lt;5,Einstellungen!$B$3,Einstellungen!$B$4)</f>
        <v>15.92</v>
      </c>
      <c r="E15180" s="14" t="str">
        <f aca="false">IF(C15180="","",C15180*D15180/100)</f>
        <v/>
      </c>
      <c r="F15180" s="15" t="str">
        <f aca="false">IF(B15180&lt;5,"Go","Standard")</f>
        <v>Go</v>
      </c>
    </row>
    <row r="15181" customFormat="false" ht="15" hidden="false" customHeight="true" outlineLevel="0" collapsed="false">
      <c r="A15181" s="10" t="n">
        <f aca="false">Einstellungen!$B$5+INT((ROW()-9)/24)</f>
        <v>46598</v>
      </c>
      <c r="B15181" s="11" t="n">
        <f aca="false">MOD(ROW()-9,24)</f>
        <v>4</v>
      </c>
      <c r="C15181" s="12"/>
      <c r="D15181" s="13" t="n">
        <f aca="false">IF(B15181&lt;5,Einstellungen!$B$3,Einstellungen!$B$4)</f>
        <v>15.92</v>
      </c>
      <c r="E15181" s="14" t="str">
        <f aca="false">IF(C15181="","",C15181*D15181/100)</f>
        <v/>
      </c>
      <c r="F15181" s="15" t="str">
        <f aca="false">IF(B15181&lt;5,"Go","Standard")</f>
        <v>Go</v>
      </c>
    </row>
    <row r="15182" customFormat="false" ht="15" hidden="false" customHeight="true" outlineLevel="0" collapsed="false">
      <c r="A15182" s="10" t="n">
        <f aca="false">Einstellungen!$B$5+INT((ROW()-9)/24)</f>
        <v>46598</v>
      </c>
      <c r="B15182" s="11" t="n">
        <f aca="false">MOD(ROW()-9,24)</f>
        <v>5</v>
      </c>
      <c r="C15182" s="12"/>
      <c r="D15182" s="13" t="n">
        <f aca="false">IF(B15182&lt;5,Einstellungen!$B$3,Einstellungen!$B$4)</f>
        <v>29.13</v>
      </c>
      <c r="E15182" s="14" t="str">
        <f aca="false">IF(C15182="","",C15182*D15182/100)</f>
        <v/>
      </c>
      <c r="F15182" s="15" t="str">
        <f aca="false">IF(B15182&lt;5,"Go","Standard")</f>
        <v>Standard</v>
      </c>
    </row>
    <row r="15183" customFormat="false" ht="15" hidden="false" customHeight="true" outlineLevel="0" collapsed="false">
      <c r="A15183" s="10" t="n">
        <f aca="false">Einstellungen!$B$5+INT((ROW()-9)/24)</f>
        <v>46598</v>
      </c>
      <c r="B15183" s="11" t="n">
        <f aca="false">MOD(ROW()-9,24)</f>
        <v>6</v>
      </c>
      <c r="C15183" s="12"/>
      <c r="D15183" s="13" t="n">
        <f aca="false">IF(B15183&lt;5,Einstellungen!$B$3,Einstellungen!$B$4)</f>
        <v>29.13</v>
      </c>
      <c r="E15183" s="14" t="str">
        <f aca="false">IF(C15183="","",C15183*D15183/100)</f>
        <v/>
      </c>
      <c r="F15183" s="15" t="str">
        <f aca="false">IF(B15183&lt;5,"Go","Standard")</f>
        <v>Standard</v>
      </c>
    </row>
    <row r="15184" customFormat="false" ht="15" hidden="false" customHeight="true" outlineLevel="0" collapsed="false">
      <c r="A15184" s="10" t="n">
        <f aca="false">Einstellungen!$B$5+INT((ROW()-9)/24)</f>
        <v>46598</v>
      </c>
      <c r="B15184" s="11" t="n">
        <f aca="false">MOD(ROW()-9,24)</f>
        <v>7</v>
      </c>
      <c r="C15184" s="12"/>
      <c r="D15184" s="13" t="n">
        <f aca="false">IF(B15184&lt;5,Einstellungen!$B$3,Einstellungen!$B$4)</f>
        <v>29.13</v>
      </c>
      <c r="E15184" s="14" t="str">
        <f aca="false">IF(C15184="","",C15184*D15184/100)</f>
        <v/>
      </c>
      <c r="F15184" s="15" t="str">
        <f aca="false">IF(B15184&lt;5,"Go","Standard")</f>
        <v>Standard</v>
      </c>
    </row>
    <row r="15185" customFormat="false" ht="15" hidden="false" customHeight="true" outlineLevel="0" collapsed="false">
      <c r="A15185" s="10" t="n">
        <f aca="false">Einstellungen!$B$5+INT((ROW()-9)/24)</f>
        <v>46598</v>
      </c>
      <c r="B15185" s="11" t="n">
        <f aca="false">MOD(ROW()-9,24)</f>
        <v>8</v>
      </c>
      <c r="C15185" s="12"/>
      <c r="D15185" s="13" t="n">
        <f aca="false">IF(B15185&lt;5,Einstellungen!$B$3,Einstellungen!$B$4)</f>
        <v>29.13</v>
      </c>
      <c r="E15185" s="14" t="str">
        <f aca="false">IF(C15185="","",C15185*D15185/100)</f>
        <v/>
      </c>
      <c r="F15185" s="15" t="str">
        <f aca="false">IF(B15185&lt;5,"Go","Standard")</f>
        <v>Standard</v>
      </c>
    </row>
    <row r="15186" customFormat="false" ht="15" hidden="false" customHeight="true" outlineLevel="0" collapsed="false">
      <c r="A15186" s="10" t="n">
        <f aca="false">Einstellungen!$B$5+INT((ROW()-9)/24)</f>
        <v>46598</v>
      </c>
      <c r="B15186" s="11" t="n">
        <f aca="false">MOD(ROW()-9,24)</f>
        <v>9</v>
      </c>
      <c r="C15186" s="12"/>
      <c r="D15186" s="13" t="n">
        <f aca="false">IF(B15186&lt;5,Einstellungen!$B$3,Einstellungen!$B$4)</f>
        <v>29.13</v>
      </c>
      <c r="E15186" s="14" t="str">
        <f aca="false">IF(C15186="","",C15186*D15186/100)</f>
        <v/>
      </c>
      <c r="F15186" s="15" t="str">
        <f aca="false">IF(B15186&lt;5,"Go","Standard")</f>
        <v>Standard</v>
      </c>
    </row>
    <row r="15187" customFormat="false" ht="15" hidden="false" customHeight="true" outlineLevel="0" collapsed="false">
      <c r="A15187" s="10" t="n">
        <f aca="false">Einstellungen!$B$5+INT((ROW()-9)/24)</f>
        <v>46598</v>
      </c>
      <c r="B15187" s="11" t="n">
        <f aca="false">MOD(ROW()-9,24)</f>
        <v>10</v>
      </c>
      <c r="C15187" s="12"/>
      <c r="D15187" s="13" t="n">
        <f aca="false">IF(B15187&lt;5,Einstellungen!$B$3,Einstellungen!$B$4)</f>
        <v>29.13</v>
      </c>
      <c r="E15187" s="14" t="str">
        <f aca="false">IF(C15187="","",C15187*D15187/100)</f>
        <v/>
      </c>
      <c r="F15187" s="15" t="str">
        <f aca="false">IF(B15187&lt;5,"Go","Standard")</f>
        <v>Standard</v>
      </c>
    </row>
    <row r="15188" customFormat="false" ht="15" hidden="false" customHeight="true" outlineLevel="0" collapsed="false">
      <c r="A15188" s="10" t="n">
        <f aca="false">Einstellungen!$B$5+INT((ROW()-9)/24)</f>
        <v>46598</v>
      </c>
      <c r="B15188" s="11" t="n">
        <f aca="false">MOD(ROW()-9,24)</f>
        <v>11</v>
      </c>
      <c r="C15188" s="12"/>
      <c r="D15188" s="13" t="n">
        <f aca="false">IF(B15188&lt;5,Einstellungen!$B$3,Einstellungen!$B$4)</f>
        <v>29.13</v>
      </c>
      <c r="E15188" s="14" t="str">
        <f aca="false">IF(C15188="","",C15188*D15188/100)</f>
        <v/>
      </c>
      <c r="F15188" s="15" t="str">
        <f aca="false">IF(B15188&lt;5,"Go","Standard")</f>
        <v>Standard</v>
      </c>
    </row>
    <row r="15189" customFormat="false" ht="15" hidden="false" customHeight="true" outlineLevel="0" collapsed="false">
      <c r="A15189" s="10" t="n">
        <f aca="false">Einstellungen!$B$5+INT((ROW()-9)/24)</f>
        <v>46598</v>
      </c>
      <c r="B15189" s="11" t="n">
        <f aca="false">MOD(ROW()-9,24)</f>
        <v>12</v>
      </c>
      <c r="C15189" s="12"/>
      <c r="D15189" s="13" t="n">
        <f aca="false">IF(B15189&lt;5,Einstellungen!$B$3,Einstellungen!$B$4)</f>
        <v>29.13</v>
      </c>
      <c r="E15189" s="14" t="str">
        <f aca="false">IF(C15189="","",C15189*D15189/100)</f>
        <v/>
      </c>
      <c r="F15189" s="15" t="str">
        <f aca="false">IF(B15189&lt;5,"Go","Standard")</f>
        <v>Standard</v>
      </c>
    </row>
    <row r="15190" customFormat="false" ht="15" hidden="false" customHeight="true" outlineLevel="0" collapsed="false">
      <c r="A15190" s="10" t="n">
        <f aca="false">Einstellungen!$B$5+INT((ROW()-9)/24)</f>
        <v>46598</v>
      </c>
      <c r="B15190" s="11" t="n">
        <f aca="false">MOD(ROW()-9,24)</f>
        <v>13</v>
      </c>
      <c r="C15190" s="12"/>
      <c r="D15190" s="13" t="n">
        <f aca="false">IF(B15190&lt;5,Einstellungen!$B$3,Einstellungen!$B$4)</f>
        <v>29.13</v>
      </c>
      <c r="E15190" s="14" t="str">
        <f aca="false">IF(C15190="","",C15190*D15190/100)</f>
        <v/>
      </c>
      <c r="F15190" s="15" t="str">
        <f aca="false">IF(B15190&lt;5,"Go","Standard")</f>
        <v>Standard</v>
      </c>
    </row>
    <row r="15191" customFormat="false" ht="15" hidden="false" customHeight="true" outlineLevel="0" collapsed="false">
      <c r="A15191" s="10" t="n">
        <f aca="false">Einstellungen!$B$5+INT((ROW()-9)/24)</f>
        <v>46598</v>
      </c>
      <c r="B15191" s="11" t="n">
        <f aca="false">MOD(ROW()-9,24)</f>
        <v>14</v>
      </c>
      <c r="C15191" s="12"/>
      <c r="D15191" s="13" t="n">
        <f aca="false">IF(B15191&lt;5,Einstellungen!$B$3,Einstellungen!$B$4)</f>
        <v>29.13</v>
      </c>
      <c r="E15191" s="14" t="str">
        <f aca="false">IF(C15191="","",C15191*D15191/100)</f>
        <v/>
      </c>
      <c r="F15191" s="15" t="str">
        <f aca="false">IF(B15191&lt;5,"Go","Standard")</f>
        <v>Standard</v>
      </c>
    </row>
    <row r="15192" customFormat="false" ht="15" hidden="false" customHeight="true" outlineLevel="0" collapsed="false">
      <c r="A15192" s="10" t="n">
        <f aca="false">Einstellungen!$B$5+INT((ROW()-9)/24)</f>
        <v>46598</v>
      </c>
      <c r="B15192" s="11" t="n">
        <f aca="false">MOD(ROW()-9,24)</f>
        <v>15</v>
      </c>
      <c r="C15192" s="12"/>
      <c r="D15192" s="13" t="n">
        <f aca="false">IF(B15192&lt;5,Einstellungen!$B$3,Einstellungen!$B$4)</f>
        <v>29.13</v>
      </c>
      <c r="E15192" s="14" t="str">
        <f aca="false">IF(C15192="","",C15192*D15192/100)</f>
        <v/>
      </c>
      <c r="F15192" s="15" t="str">
        <f aca="false">IF(B15192&lt;5,"Go","Standard")</f>
        <v>Standard</v>
      </c>
    </row>
    <row r="15193" customFormat="false" ht="15" hidden="false" customHeight="true" outlineLevel="0" collapsed="false">
      <c r="A15193" s="10" t="n">
        <f aca="false">Einstellungen!$B$5+INT((ROW()-9)/24)</f>
        <v>46598</v>
      </c>
      <c r="B15193" s="11" t="n">
        <f aca="false">MOD(ROW()-9,24)</f>
        <v>16</v>
      </c>
      <c r="C15193" s="12"/>
      <c r="D15193" s="13" t="n">
        <f aca="false">IF(B15193&lt;5,Einstellungen!$B$3,Einstellungen!$B$4)</f>
        <v>29.13</v>
      </c>
      <c r="E15193" s="14" t="str">
        <f aca="false">IF(C15193="","",C15193*D15193/100)</f>
        <v/>
      </c>
      <c r="F15193" s="15" t="str">
        <f aca="false">IF(B15193&lt;5,"Go","Standard")</f>
        <v>Standard</v>
      </c>
    </row>
    <row r="15194" customFormat="false" ht="15" hidden="false" customHeight="true" outlineLevel="0" collapsed="false">
      <c r="A15194" s="10" t="n">
        <f aca="false">Einstellungen!$B$5+INT((ROW()-9)/24)</f>
        <v>46598</v>
      </c>
      <c r="B15194" s="11" t="n">
        <f aca="false">MOD(ROW()-9,24)</f>
        <v>17</v>
      </c>
      <c r="C15194" s="12"/>
      <c r="D15194" s="13" t="n">
        <f aca="false">IF(B15194&lt;5,Einstellungen!$B$3,Einstellungen!$B$4)</f>
        <v>29.13</v>
      </c>
      <c r="E15194" s="14" t="str">
        <f aca="false">IF(C15194="","",C15194*D15194/100)</f>
        <v/>
      </c>
      <c r="F15194" s="15" t="str">
        <f aca="false">IF(B15194&lt;5,"Go","Standard")</f>
        <v>Standard</v>
      </c>
    </row>
    <row r="15195" customFormat="false" ht="15" hidden="false" customHeight="true" outlineLevel="0" collapsed="false">
      <c r="A15195" s="10" t="n">
        <f aca="false">Einstellungen!$B$5+INT((ROW()-9)/24)</f>
        <v>46598</v>
      </c>
      <c r="B15195" s="11" t="n">
        <f aca="false">MOD(ROW()-9,24)</f>
        <v>18</v>
      </c>
      <c r="C15195" s="12"/>
      <c r="D15195" s="13" t="n">
        <f aca="false">IF(B15195&lt;5,Einstellungen!$B$3,Einstellungen!$B$4)</f>
        <v>29.13</v>
      </c>
      <c r="E15195" s="14" t="str">
        <f aca="false">IF(C15195="","",C15195*D15195/100)</f>
        <v/>
      </c>
      <c r="F15195" s="15" t="str">
        <f aca="false">IF(B15195&lt;5,"Go","Standard")</f>
        <v>Standard</v>
      </c>
    </row>
    <row r="15196" customFormat="false" ht="15" hidden="false" customHeight="true" outlineLevel="0" collapsed="false">
      <c r="A15196" s="10" t="n">
        <f aca="false">Einstellungen!$B$5+INT((ROW()-9)/24)</f>
        <v>46598</v>
      </c>
      <c r="B15196" s="11" t="n">
        <f aca="false">MOD(ROW()-9,24)</f>
        <v>19</v>
      </c>
      <c r="C15196" s="12"/>
      <c r="D15196" s="13" t="n">
        <f aca="false">IF(B15196&lt;5,Einstellungen!$B$3,Einstellungen!$B$4)</f>
        <v>29.13</v>
      </c>
      <c r="E15196" s="14" t="str">
        <f aca="false">IF(C15196="","",C15196*D15196/100)</f>
        <v/>
      </c>
      <c r="F15196" s="15" t="str">
        <f aca="false">IF(B15196&lt;5,"Go","Standard")</f>
        <v>Standard</v>
      </c>
    </row>
    <row r="15197" customFormat="false" ht="15" hidden="false" customHeight="true" outlineLevel="0" collapsed="false">
      <c r="A15197" s="10" t="n">
        <f aca="false">Einstellungen!$B$5+INT((ROW()-9)/24)</f>
        <v>46598</v>
      </c>
      <c r="B15197" s="11" t="n">
        <f aca="false">MOD(ROW()-9,24)</f>
        <v>20</v>
      </c>
      <c r="C15197" s="12"/>
      <c r="D15197" s="13" t="n">
        <f aca="false">IF(B15197&lt;5,Einstellungen!$B$3,Einstellungen!$B$4)</f>
        <v>29.13</v>
      </c>
      <c r="E15197" s="14" t="str">
        <f aca="false">IF(C15197="","",C15197*D15197/100)</f>
        <v/>
      </c>
      <c r="F15197" s="15" t="str">
        <f aca="false">IF(B15197&lt;5,"Go","Standard")</f>
        <v>Standard</v>
      </c>
    </row>
    <row r="15198" customFormat="false" ht="15" hidden="false" customHeight="true" outlineLevel="0" collapsed="false">
      <c r="A15198" s="10" t="n">
        <f aca="false">Einstellungen!$B$5+INT((ROW()-9)/24)</f>
        <v>46598</v>
      </c>
      <c r="B15198" s="11" t="n">
        <f aca="false">MOD(ROW()-9,24)</f>
        <v>21</v>
      </c>
      <c r="C15198" s="12"/>
      <c r="D15198" s="13" t="n">
        <f aca="false">IF(B15198&lt;5,Einstellungen!$B$3,Einstellungen!$B$4)</f>
        <v>29.13</v>
      </c>
      <c r="E15198" s="14" t="str">
        <f aca="false">IF(C15198="","",C15198*D15198/100)</f>
        <v/>
      </c>
      <c r="F15198" s="15" t="str">
        <f aca="false">IF(B15198&lt;5,"Go","Standard")</f>
        <v>Standard</v>
      </c>
    </row>
    <row r="15199" customFormat="false" ht="15" hidden="false" customHeight="true" outlineLevel="0" collapsed="false">
      <c r="A15199" s="10" t="n">
        <f aca="false">Einstellungen!$B$5+INT((ROW()-9)/24)</f>
        <v>46598</v>
      </c>
      <c r="B15199" s="11" t="n">
        <f aca="false">MOD(ROW()-9,24)</f>
        <v>22</v>
      </c>
      <c r="C15199" s="12"/>
      <c r="D15199" s="13" t="n">
        <f aca="false">IF(B15199&lt;5,Einstellungen!$B$3,Einstellungen!$B$4)</f>
        <v>29.13</v>
      </c>
      <c r="E15199" s="14" t="str">
        <f aca="false">IF(C15199="","",C15199*D15199/100)</f>
        <v/>
      </c>
      <c r="F15199" s="15" t="str">
        <f aca="false">IF(B15199&lt;5,"Go","Standard")</f>
        <v>Standard</v>
      </c>
    </row>
    <row r="15200" customFormat="false" ht="15" hidden="false" customHeight="true" outlineLevel="0" collapsed="false">
      <c r="A15200" s="10" t="n">
        <f aca="false">Einstellungen!$B$5+INT((ROW()-9)/24)</f>
        <v>46598</v>
      </c>
      <c r="B15200" s="11" t="n">
        <f aca="false">MOD(ROW()-9,24)</f>
        <v>23</v>
      </c>
      <c r="C15200" s="12"/>
      <c r="D15200" s="13" t="n">
        <f aca="false">IF(B15200&lt;5,Einstellungen!$B$3,Einstellungen!$B$4)</f>
        <v>29.13</v>
      </c>
      <c r="E15200" s="14" t="str">
        <f aca="false">IF(C15200="","",C15200*D15200/100)</f>
        <v/>
      </c>
      <c r="F15200" s="15" t="str">
        <f aca="false">IF(B15200&lt;5,"Go","Standard")</f>
        <v>Standard</v>
      </c>
    </row>
    <row r="15201" customFormat="false" ht="15" hidden="false" customHeight="true" outlineLevel="0" collapsed="false">
      <c r="A15201" s="10" t="n">
        <f aca="false">Einstellungen!$B$5+INT((ROW()-9)/24)</f>
        <v>46599</v>
      </c>
      <c r="B15201" s="11" t="n">
        <f aca="false">MOD(ROW()-9,24)</f>
        <v>0</v>
      </c>
      <c r="C15201" s="12"/>
      <c r="D15201" s="13" t="n">
        <f aca="false">IF(B15201&lt;5,Einstellungen!$B$3,Einstellungen!$B$4)</f>
        <v>15.92</v>
      </c>
      <c r="E15201" s="14" t="str">
        <f aca="false">IF(C15201="","",C15201*D15201/100)</f>
        <v/>
      </c>
      <c r="F15201" s="15" t="str">
        <f aca="false">IF(B15201&lt;5,"Go","Standard")</f>
        <v>Go</v>
      </c>
    </row>
    <row r="15202" customFormat="false" ht="15" hidden="false" customHeight="true" outlineLevel="0" collapsed="false">
      <c r="A15202" s="10" t="n">
        <f aca="false">Einstellungen!$B$5+INT((ROW()-9)/24)</f>
        <v>46599</v>
      </c>
      <c r="B15202" s="11" t="n">
        <f aca="false">MOD(ROW()-9,24)</f>
        <v>1</v>
      </c>
      <c r="C15202" s="12"/>
      <c r="D15202" s="13" t="n">
        <f aca="false">IF(B15202&lt;5,Einstellungen!$B$3,Einstellungen!$B$4)</f>
        <v>15.92</v>
      </c>
      <c r="E15202" s="14" t="str">
        <f aca="false">IF(C15202="","",C15202*D15202/100)</f>
        <v/>
      </c>
      <c r="F15202" s="15" t="str">
        <f aca="false">IF(B15202&lt;5,"Go","Standard")</f>
        <v>Go</v>
      </c>
    </row>
    <row r="15203" customFormat="false" ht="15" hidden="false" customHeight="true" outlineLevel="0" collapsed="false">
      <c r="A15203" s="10" t="n">
        <f aca="false">Einstellungen!$B$5+INT((ROW()-9)/24)</f>
        <v>46599</v>
      </c>
      <c r="B15203" s="11" t="n">
        <f aca="false">MOD(ROW()-9,24)</f>
        <v>2</v>
      </c>
      <c r="C15203" s="12"/>
      <c r="D15203" s="13" t="n">
        <f aca="false">IF(B15203&lt;5,Einstellungen!$B$3,Einstellungen!$B$4)</f>
        <v>15.92</v>
      </c>
      <c r="E15203" s="14" t="str">
        <f aca="false">IF(C15203="","",C15203*D15203/100)</f>
        <v/>
      </c>
      <c r="F15203" s="15" t="str">
        <f aca="false">IF(B15203&lt;5,"Go","Standard")</f>
        <v>Go</v>
      </c>
    </row>
    <row r="15204" customFormat="false" ht="15" hidden="false" customHeight="true" outlineLevel="0" collapsed="false">
      <c r="A15204" s="10" t="n">
        <f aca="false">Einstellungen!$B$5+INT((ROW()-9)/24)</f>
        <v>46599</v>
      </c>
      <c r="B15204" s="11" t="n">
        <f aca="false">MOD(ROW()-9,24)</f>
        <v>3</v>
      </c>
      <c r="C15204" s="12"/>
      <c r="D15204" s="13" t="n">
        <f aca="false">IF(B15204&lt;5,Einstellungen!$B$3,Einstellungen!$B$4)</f>
        <v>15.92</v>
      </c>
      <c r="E15204" s="14" t="str">
        <f aca="false">IF(C15204="","",C15204*D15204/100)</f>
        <v/>
      </c>
      <c r="F15204" s="15" t="str">
        <f aca="false">IF(B15204&lt;5,"Go","Standard")</f>
        <v>Go</v>
      </c>
    </row>
    <row r="15205" customFormat="false" ht="15" hidden="false" customHeight="true" outlineLevel="0" collapsed="false">
      <c r="A15205" s="10" t="n">
        <f aca="false">Einstellungen!$B$5+INT((ROW()-9)/24)</f>
        <v>46599</v>
      </c>
      <c r="B15205" s="11" t="n">
        <f aca="false">MOD(ROW()-9,24)</f>
        <v>4</v>
      </c>
      <c r="C15205" s="12"/>
      <c r="D15205" s="13" t="n">
        <f aca="false">IF(B15205&lt;5,Einstellungen!$B$3,Einstellungen!$B$4)</f>
        <v>15.92</v>
      </c>
      <c r="E15205" s="14" t="str">
        <f aca="false">IF(C15205="","",C15205*D15205/100)</f>
        <v/>
      </c>
      <c r="F15205" s="15" t="str">
        <f aca="false">IF(B15205&lt;5,"Go","Standard")</f>
        <v>Go</v>
      </c>
    </row>
    <row r="15206" customFormat="false" ht="15" hidden="false" customHeight="true" outlineLevel="0" collapsed="false">
      <c r="A15206" s="10" t="n">
        <f aca="false">Einstellungen!$B$5+INT((ROW()-9)/24)</f>
        <v>46599</v>
      </c>
      <c r="B15206" s="11" t="n">
        <f aca="false">MOD(ROW()-9,24)</f>
        <v>5</v>
      </c>
      <c r="C15206" s="12"/>
      <c r="D15206" s="13" t="n">
        <f aca="false">IF(B15206&lt;5,Einstellungen!$B$3,Einstellungen!$B$4)</f>
        <v>29.13</v>
      </c>
      <c r="E15206" s="14" t="str">
        <f aca="false">IF(C15206="","",C15206*D15206/100)</f>
        <v/>
      </c>
      <c r="F15206" s="15" t="str">
        <f aca="false">IF(B15206&lt;5,"Go","Standard")</f>
        <v>Standard</v>
      </c>
    </row>
    <row r="15207" customFormat="false" ht="15" hidden="false" customHeight="true" outlineLevel="0" collapsed="false">
      <c r="A15207" s="10" t="n">
        <f aca="false">Einstellungen!$B$5+INT((ROW()-9)/24)</f>
        <v>46599</v>
      </c>
      <c r="B15207" s="11" t="n">
        <f aca="false">MOD(ROW()-9,24)</f>
        <v>6</v>
      </c>
      <c r="C15207" s="12"/>
      <c r="D15207" s="13" t="n">
        <f aca="false">IF(B15207&lt;5,Einstellungen!$B$3,Einstellungen!$B$4)</f>
        <v>29.13</v>
      </c>
      <c r="E15207" s="14" t="str">
        <f aca="false">IF(C15207="","",C15207*D15207/100)</f>
        <v/>
      </c>
      <c r="F15207" s="15" t="str">
        <f aca="false">IF(B15207&lt;5,"Go","Standard")</f>
        <v>Standard</v>
      </c>
    </row>
    <row r="15208" customFormat="false" ht="15" hidden="false" customHeight="true" outlineLevel="0" collapsed="false">
      <c r="A15208" s="10" t="n">
        <f aca="false">Einstellungen!$B$5+INT((ROW()-9)/24)</f>
        <v>46599</v>
      </c>
      <c r="B15208" s="11" t="n">
        <f aca="false">MOD(ROW()-9,24)</f>
        <v>7</v>
      </c>
      <c r="C15208" s="12"/>
      <c r="D15208" s="13" t="n">
        <f aca="false">IF(B15208&lt;5,Einstellungen!$B$3,Einstellungen!$B$4)</f>
        <v>29.13</v>
      </c>
      <c r="E15208" s="14" t="str">
        <f aca="false">IF(C15208="","",C15208*D15208/100)</f>
        <v/>
      </c>
      <c r="F15208" s="15" t="str">
        <f aca="false">IF(B15208&lt;5,"Go","Standard")</f>
        <v>Standard</v>
      </c>
    </row>
    <row r="15209" customFormat="false" ht="15" hidden="false" customHeight="true" outlineLevel="0" collapsed="false">
      <c r="A15209" s="10" t="n">
        <f aca="false">Einstellungen!$B$5+INT((ROW()-9)/24)</f>
        <v>46599</v>
      </c>
      <c r="B15209" s="11" t="n">
        <f aca="false">MOD(ROW()-9,24)</f>
        <v>8</v>
      </c>
      <c r="C15209" s="12"/>
      <c r="D15209" s="13" t="n">
        <f aca="false">IF(B15209&lt;5,Einstellungen!$B$3,Einstellungen!$B$4)</f>
        <v>29.13</v>
      </c>
      <c r="E15209" s="14" t="str">
        <f aca="false">IF(C15209="","",C15209*D15209/100)</f>
        <v/>
      </c>
      <c r="F15209" s="15" t="str">
        <f aca="false">IF(B15209&lt;5,"Go","Standard")</f>
        <v>Standard</v>
      </c>
    </row>
    <row r="15210" customFormat="false" ht="15" hidden="false" customHeight="true" outlineLevel="0" collapsed="false">
      <c r="A15210" s="10" t="n">
        <f aca="false">Einstellungen!$B$5+INT((ROW()-9)/24)</f>
        <v>46599</v>
      </c>
      <c r="B15210" s="11" t="n">
        <f aca="false">MOD(ROW()-9,24)</f>
        <v>9</v>
      </c>
      <c r="C15210" s="12"/>
      <c r="D15210" s="13" t="n">
        <f aca="false">IF(B15210&lt;5,Einstellungen!$B$3,Einstellungen!$B$4)</f>
        <v>29.13</v>
      </c>
      <c r="E15210" s="14" t="str">
        <f aca="false">IF(C15210="","",C15210*D15210/100)</f>
        <v/>
      </c>
      <c r="F15210" s="15" t="str">
        <f aca="false">IF(B15210&lt;5,"Go","Standard")</f>
        <v>Standard</v>
      </c>
    </row>
    <row r="15211" customFormat="false" ht="15" hidden="false" customHeight="true" outlineLevel="0" collapsed="false">
      <c r="A15211" s="10" t="n">
        <f aca="false">Einstellungen!$B$5+INT((ROW()-9)/24)</f>
        <v>46599</v>
      </c>
      <c r="B15211" s="11" t="n">
        <f aca="false">MOD(ROW()-9,24)</f>
        <v>10</v>
      </c>
      <c r="C15211" s="12"/>
      <c r="D15211" s="13" t="n">
        <f aca="false">IF(B15211&lt;5,Einstellungen!$B$3,Einstellungen!$B$4)</f>
        <v>29.13</v>
      </c>
      <c r="E15211" s="14" t="str">
        <f aca="false">IF(C15211="","",C15211*D15211/100)</f>
        <v/>
      </c>
      <c r="F15211" s="15" t="str">
        <f aca="false">IF(B15211&lt;5,"Go","Standard")</f>
        <v>Standard</v>
      </c>
    </row>
    <row r="15212" customFormat="false" ht="15" hidden="false" customHeight="true" outlineLevel="0" collapsed="false">
      <c r="A15212" s="10" t="n">
        <f aca="false">Einstellungen!$B$5+INT((ROW()-9)/24)</f>
        <v>46599</v>
      </c>
      <c r="B15212" s="11" t="n">
        <f aca="false">MOD(ROW()-9,24)</f>
        <v>11</v>
      </c>
      <c r="C15212" s="12"/>
      <c r="D15212" s="13" t="n">
        <f aca="false">IF(B15212&lt;5,Einstellungen!$B$3,Einstellungen!$B$4)</f>
        <v>29.13</v>
      </c>
      <c r="E15212" s="14" t="str">
        <f aca="false">IF(C15212="","",C15212*D15212/100)</f>
        <v/>
      </c>
      <c r="F15212" s="15" t="str">
        <f aca="false">IF(B15212&lt;5,"Go","Standard")</f>
        <v>Standard</v>
      </c>
    </row>
    <row r="15213" customFormat="false" ht="15" hidden="false" customHeight="true" outlineLevel="0" collapsed="false">
      <c r="A15213" s="10" t="n">
        <f aca="false">Einstellungen!$B$5+INT((ROW()-9)/24)</f>
        <v>46599</v>
      </c>
      <c r="B15213" s="11" t="n">
        <f aca="false">MOD(ROW()-9,24)</f>
        <v>12</v>
      </c>
      <c r="C15213" s="12"/>
      <c r="D15213" s="13" t="n">
        <f aca="false">IF(B15213&lt;5,Einstellungen!$B$3,Einstellungen!$B$4)</f>
        <v>29.13</v>
      </c>
      <c r="E15213" s="14" t="str">
        <f aca="false">IF(C15213="","",C15213*D15213/100)</f>
        <v/>
      </c>
      <c r="F15213" s="15" t="str">
        <f aca="false">IF(B15213&lt;5,"Go","Standard")</f>
        <v>Standard</v>
      </c>
    </row>
    <row r="15214" customFormat="false" ht="15" hidden="false" customHeight="true" outlineLevel="0" collapsed="false">
      <c r="A15214" s="10" t="n">
        <f aca="false">Einstellungen!$B$5+INT((ROW()-9)/24)</f>
        <v>46599</v>
      </c>
      <c r="B15214" s="11" t="n">
        <f aca="false">MOD(ROW()-9,24)</f>
        <v>13</v>
      </c>
      <c r="C15214" s="12"/>
      <c r="D15214" s="13" t="n">
        <f aca="false">IF(B15214&lt;5,Einstellungen!$B$3,Einstellungen!$B$4)</f>
        <v>29.13</v>
      </c>
      <c r="E15214" s="14" t="str">
        <f aca="false">IF(C15214="","",C15214*D15214/100)</f>
        <v/>
      </c>
      <c r="F15214" s="15" t="str">
        <f aca="false">IF(B15214&lt;5,"Go","Standard")</f>
        <v>Standard</v>
      </c>
    </row>
    <row r="15215" customFormat="false" ht="15" hidden="false" customHeight="true" outlineLevel="0" collapsed="false">
      <c r="A15215" s="10" t="n">
        <f aca="false">Einstellungen!$B$5+INT((ROW()-9)/24)</f>
        <v>46599</v>
      </c>
      <c r="B15215" s="11" t="n">
        <f aca="false">MOD(ROW()-9,24)</f>
        <v>14</v>
      </c>
      <c r="C15215" s="12"/>
      <c r="D15215" s="13" t="n">
        <f aca="false">IF(B15215&lt;5,Einstellungen!$B$3,Einstellungen!$B$4)</f>
        <v>29.13</v>
      </c>
      <c r="E15215" s="14" t="str">
        <f aca="false">IF(C15215="","",C15215*D15215/100)</f>
        <v/>
      </c>
      <c r="F15215" s="15" t="str">
        <f aca="false">IF(B15215&lt;5,"Go","Standard")</f>
        <v>Standard</v>
      </c>
    </row>
    <row r="15216" customFormat="false" ht="15" hidden="false" customHeight="true" outlineLevel="0" collapsed="false">
      <c r="A15216" s="10" t="n">
        <f aca="false">Einstellungen!$B$5+INT((ROW()-9)/24)</f>
        <v>46599</v>
      </c>
      <c r="B15216" s="11" t="n">
        <f aca="false">MOD(ROW()-9,24)</f>
        <v>15</v>
      </c>
      <c r="C15216" s="12"/>
      <c r="D15216" s="13" t="n">
        <f aca="false">IF(B15216&lt;5,Einstellungen!$B$3,Einstellungen!$B$4)</f>
        <v>29.13</v>
      </c>
      <c r="E15216" s="14" t="str">
        <f aca="false">IF(C15216="","",C15216*D15216/100)</f>
        <v/>
      </c>
      <c r="F15216" s="15" t="str">
        <f aca="false">IF(B15216&lt;5,"Go","Standard")</f>
        <v>Standard</v>
      </c>
    </row>
    <row r="15217" customFormat="false" ht="15" hidden="false" customHeight="true" outlineLevel="0" collapsed="false">
      <c r="A15217" s="10" t="n">
        <f aca="false">Einstellungen!$B$5+INT((ROW()-9)/24)</f>
        <v>46599</v>
      </c>
      <c r="B15217" s="11" t="n">
        <f aca="false">MOD(ROW()-9,24)</f>
        <v>16</v>
      </c>
      <c r="C15217" s="12"/>
      <c r="D15217" s="13" t="n">
        <f aca="false">IF(B15217&lt;5,Einstellungen!$B$3,Einstellungen!$B$4)</f>
        <v>29.13</v>
      </c>
      <c r="E15217" s="14" t="str">
        <f aca="false">IF(C15217="","",C15217*D15217/100)</f>
        <v/>
      </c>
      <c r="F15217" s="15" t="str">
        <f aca="false">IF(B15217&lt;5,"Go","Standard")</f>
        <v>Standard</v>
      </c>
    </row>
    <row r="15218" customFormat="false" ht="15" hidden="false" customHeight="true" outlineLevel="0" collapsed="false">
      <c r="A15218" s="10" t="n">
        <f aca="false">Einstellungen!$B$5+INT((ROW()-9)/24)</f>
        <v>46599</v>
      </c>
      <c r="B15218" s="11" t="n">
        <f aca="false">MOD(ROW()-9,24)</f>
        <v>17</v>
      </c>
      <c r="C15218" s="12"/>
      <c r="D15218" s="13" t="n">
        <f aca="false">IF(B15218&lt;5,Einstellungen!$B$3,Einstellungen!$B$4)</f>
        <v>29.13</v>
      </c>
      <c r="E15218" s="14" t="str">
        <f aca="false">IF(C15218="","",C15218*D15218/100)</f>
        <v/>
      </c>
      <c r="F15218" s="15" t="str">
        <f aca="false">IF(B15218&lt;5,"Go","Standard")</f>
        <v>Standard</v>
      </c>
    </row>
    <row r="15219" customFormat="false" ht="15" hidden="false" customHeight="true" outlineLevel="0" collapsed="false">
      <c r="A15219" s="10" t="n">
        <f aca="false">Einstellungen!$B$5+INT((ROW()-9)/24)</f>
        <v>46599</v>
      </c>
      <c r="B15219" s="11" t="n">
        <f aca="false">MOD(ROW()-9,24)</f>
        <v>18</v>
      </c>
      <c r="C15219" s="12"/>
      <c r="D15219" s="13" t="n">
        <f aca="false">IF(B15219&lt;5,Einstellungen!$B$3,Einstellungen!$B$4)</f>
        <v>29.13</v>
      </c>
      <c r="E15219" s="14" t="str">
        <f aca="false">IF(C15219="","",C15219*D15219/100)</f>
        <v/>
      </c>
      <c r="F15219" s="15" t="str">
        <f aca="false">IF(B15219&lt;5,"Go","Standard")</f>
        <v>Standard</v>
      </c>
    </row>
    <row r="15220" customFormat="false" ht="15" hidden="false" customHeight="true" outlineLevel="0" collapsed="false">
      <c r="A15220" s="10" t="n">
        <f aca="false">Einstellungen!$B$5+INT((ROW()-9)/24)</f>
        <v>46599</v>
      </c>
      <c r="B15220" s="11" t="n">
        <f aca="false">MOD(ROW()-9,24)</f>
        <v>19</v>
      </c>
      <c r="C15220" s="12"/>
      <c r="D15220" s="13" t="n">
        <f aca="false">IF(B15220&lt;5,Einstellungen!$B$3,Einstellungen!$B$4)</f>
        <v>29.13</v>
      </c>
      <c r="E15220" s="14" t="str">
        <f aca="false">IF(C15220="","",C15220*D15220/100)</f>
        <v/>
      </c>
      <c r="F15220" s="15" t="str">
        <f aca="false">IF(B15220&lt;5,"Go","Standard")</f>
        <v>Standard</v>
      </c>
    </row>
    <row r="15221" customFormat="false" ht="15" hidden="false" customHeight="true" outlineLevel="0" collapsed="false">
      <c r="A15221" s="10" t="n">
        <f aca="false">Einstellungen!$B$5+INT((ROW()-9)/24)</f>
        <v>46599</v>
      </c>
      <c r="B15221" s="11" t="n">
        <f aca="false">MOD(ROW()-9,24)</f>
        <v>20</v>
      </c>
      <c r="C15221" s="12"/>
      <c r="D15221" s="13" t="n">
        <f aca="false">IF(B15221&lt;5,Einstellungen!$B$3,Einstellungen!$B$4)</f>
        <v>29.13</v>
      </c>
      <c r="E15221" s="14" t="str">
        <f aca="false">IF(C15221="","",C15221*D15221/100)</f>
        <v/>
      </c>
      <c r="F15221" s="15" t="str">
        <f aca="false">IF(B15221&lt;5,"Go","Standard")</f>
        <v>Standard</v>
      </c>
    </row>
    <row r="15222" customFormat="false" ht="15" hidden="false" customHeight="true" outlineLevel="0" collapsed="false">
      <c r="A15222" s="10" t="n">
        <f aca="false">Einstellungen!$B$5+INT((ROW()-9)/24)</f>
        <v>46599</v>
      </c>
      <c r="B15222" s="11" t="n">
        <f aca="false">MOD(ROW()-9,24)</f>
        <v>21</v>
      </c>
      <c r="C15222" s="12"/>
      <c r="D15222" s="13" t="n">
        <f aca="false">IF(B15222&lt;5,Einstellungen!$B$3,Einstellungen!$B$4)</f>
        <v>29.13</v>
      </c>
      <c r="E15222" s="14" t="str">
        <f aca="false">IF(C15222="","",C15222*D15222/100)</f>
        <v/>
      </c>
      <c r="F15222" s="15" t="str">
        <f aca="false">IF(B15222&lt;5,"Go","Standard")</f>
        <v>Standard</v>
      </c>
    </row>
    <row r="15223" customFormat="false" ht="15" hidden="false" customHeight="true" outlineLevel="0" collapsed="false">
      <c r="A15223" s="10" t="n">
        <f aca="false">Einstellungen!$B$5+INT((ROW()-9)/24)</f>
        <v>46599</v>
      </c>
      <c r="B15223" s="11" t="n">
        <f aca="false">MOD(ROW()-9,24)</f>
        <v>22</v>
      </c>
      <c r="C15223" s="12"/>
      <c r="D15223" s="13" t="n">
        <f aca="false">IF(B15223&lt;5,Einstellungen!$B$3,Einstellungen!$B$4)</f>
        <v>29.13</v>
      </c>
      <c r="E15223" s="14" t="str">
        <f aca="false">IF(C15223="","",C15223*D15223/100)</f>
        <v/>
      </c>
      <c r="F15223" s="15" t="str">
        <f aca="false">IF(B15223&lt;5,"Go","Standard")</f>
        <v>Standard</v>
      </c>
    </row>
    <row r="15224" customFormat="false" ht="15" hidden="false" customHeight="true" outlineLevel="0" collapsed="false">
      <c r="A15224" s="10" t="n">
        <f aca="false">Einstellungen!$B$5+INT((ROW()-9)/24)</f>
        <v>46599</v>
      </c>
      <c r="B15224" s="11" t="n">
        <f aca="false">MOD(ROW()-9,24)</f>
        <v>23</v>
      </c>
      <c r="C15224" s="12"/>
      <c r="D15224" s="13" t="n">
        <f aca="false">IF(B15224&lt;5,Einstellungen!$B$3,Einstellungen!$B$4)</f>
        <v>29.13</v>
      </c>
      <c r="E15224" s="14" t="str">
        <f aca="false">IF(C15224="","",C15224*D15224/100)</f>
        <v/>
      </c>
      <c r="F15224" s="15" t="str">
        <f aca="false">IF(B15224&lt;5,"Go","Standard")</f>
        <v>Standard</v>
      </c>
    </row>
    <row r="15225" customFormat="false" ht="15" hidden="false" customHeight="true" outlineLevel="0" collapsed="false">
      <c r="A15225" s="10" t="n">
        <f aca="false">Einstellungen!$B$5+INT((ROW()-9)/24)</f>
        <v>46600</v>
      </c>
      <c r="B15225" s="11" t="n">
        <f aca="false">MOD(ROW()-9,24)</f>
        <v>0</v>
      </c>
      <c r="C15225" s="12"/>
      <c r="D15225" s="13" t="n">
        <f aca="false">IF(B15225&lt;5,Einstellungen!$B$3,Einstellungen!$B$4)</f>
        <v>15.92</v>
      </c>
      <c r="E15225" s="14" t="str">
        <f aca="false">IF(C15225="","",C15225*D15225/100)</f>
        <v/>
      </c>
      <c r="F15225" s="15" t="str">
        <f aca="false">IF(B15225&lt;5,"Go","Standard")</f>
        <v>Go</v>
      </c>
    </row>
    <row r="15226" customFormat="false" ht="15" hidden="false" customHeight="true" outlineLevel="0" collapsed="false">
      <c r="A15226" s="10" t="n">
        <f aca="false">Einstellungen!$B$5+INT((ROW()-9)/24)</f>
        <v>46600</v>
      </c>
      <c r="B15226" s="11" t="n">
        <f aca="false">MOD(ROW()-9,24)</f>
        <v>1</v>
      </c>
      <c r="C15226" s="12"/>
      <c r="D15226" s="13" t="n">
        <f aca="false">IF(B15226&lt;5,Einstellungen!$B$3,Einstellungen!$B$4)</f>
        <v>15.92</v>
      </c>
      <c r="E15226" s="14" t="str">
        <f aca="false">IF(C15226="","",C15226*D15226/100)</f>
        <v/>
      </c>
      <c r="F15226" s="15" t="str">
        <f aca="false">IF(B15226&lt;5,"Go","Standard")</f>
        <v>Go</v>
      </c>
    </row>
    <row r="15227" customFormat="false" ht="15" hidden="false" customHeight="true" outlineLevel="0" collapsed="false">
      <c r="A15227" s="10" t="n">
        <f aca="false">Einstellungen!$B$5+INT((ROW()-9)/24)</f>
        <v>46600</v>
      </c>
      <c r="B15227" s="11" t="n">
        <f aca="false">MOD(ROW()-9,24)</f>
        <v>2</v>
      </c>
      <c r="C15227" s="12"/>
      <c r="D15227" s="13" t="n">
        <f aca="false">IF(B15227&lt;5,Einstellungen!$B$3,Einstellungen!$B$4)</f>
        <v>15.92</v>
      </c>
      <c r="E15227" s="14" t="str">
        <f aca="false">IF(C15227="","",C15227*D15227/100)</f>
        <v/>
      </c>
      <c r="F15227" s="15" t="str">
        <f aca="false">IF(B15227&lt;5,"Go","Standard")</f>
        <v>Go</v>
      </c>
    </row>
    <row r="15228" customFormat="false" ht="15" hidden="false" customHeight="true" outlineLevel="0" collapsed="false">
      <c r="A15228" s="10" t="n">
        <f aca="false">Einstellungen!$B$5+INT((ROW()-9)/24)</f>
        <v>46600</v>
      </c>
      <c r="B15228" s="11" t="n">
        <f aca="false">MOD(ROW()-9,24)</f>
        <v>3</v>
      </c>
      <c r="C15228" s="12"/>
      <c r="D15228" s="13" t="n">
        <f aca="false">IF(B15228&lt;5,Einstellungen!$B$3,Einstellungen!$B$4)</f>
        <v>15.92</v>
      </c>
      <c r="E15228" s="14" t="str">
        <f aca="false">IF(C15228="","",C15228*D15228/100)</f>
        <v/>
      </c>
      <c r="F15228" s="15" t="str">
        <f aca="false">IF(B15228&lt;5,"Go","Standard")</f>
        <v>Go</v>
      </c>
    </row>
    <row r="15229" customFormat="false" ht="15" hidden="false" customHeight="true" outlineLevel="0" collapsed="false">
      <c r="A15229" s="10" t="n">
        <f aca="false">Einstellungen!$B$5+INT((ROW()-9)/24)</f>
        <v>46600</v>
      </c>
      <c r="B15229" s="11" t="n">
        <f aca="false">MOD(ROW()-9,24)</f>
        <v>4</v>
      </c>
      <c r="C15229" s="12"/>
      <c r="D15229" s="13" t="n">
        <f aca="false">IF(B15229&lt;5,Einstellungen!$B$3,Einstellungen!$B$4)</f>
        <v>15.92</v>
      </c>
      <c r="E15229" s="14" t="str">
        <f aca="false">IF(C15229="","",C15229*D15229/100)</f>
        <v/>
      </c>
      <c r="F15229" s="15" t="str">
        <f aca="false">IF(B15229&lt;5,"Go","Standard")</f>
        <v>Go</v>
      </c>
    </row>
    <row r="15230" customFormat="false" ht="15" hidden="false" customHeight="true" outlineLevel="0" collapsed="false">
      <c r="A15230" s="10" t="n">
        <f aca="false">Einstellungen!$B$5+INT((ROW()-9)/24)</f>
        <v>46600</v>
      </c>
      <c r="B15230" s="11" t="n">
        <f aca="false">MOD(ROW()-9,24)</f>
        <v>5</v>
      </c>
      <c r="C15230" s="12"/>
      <c r="D15230" s="13" t="n">
        <f aca="false">IF(B15230&lt;5,Einstellungen!$B$3,Einstellungen!$B$4)</f>
        <v>29.13</v>
      </c>
      <c r="E15230" s="14" t="str">
        <f aca="false">IF(C15230="","",C15230*D15230/100)</f>
        <v/>
      </c>
      <c r="F15230" s="15" t="str">
        <f aca="false">IF(B15230&lt;5,"Go","Standard")</f>
        <v>Standard</v>
      </c>
    </row>
    <row r="15231" customFormat="false" ht="15" hidden="false" customHeight="true" outlineLevel="0" collapsed="false">
      <c r="A15231" s="10" t="n">
        <f aca="false">Einstellungen!$B$5+INT((ROW()-9)/24)</f>
        <v>46600</v>
      </c>
      <c r="B15231" s="11" t="n">
        <f aca="false">MOD(ROW()-9,24)</f>
        <v>6</v>
      </c>
      <c r="C15231" s="12"/>
      <c r="D15231" s="13" t="n">
        <f aca="false">IF(B15231&lt;5,Einstellungen!$B$3,Einstellungen!$B$4)</f>
        <v>29.13</v>
      </c>
      <c r="E15231" s="14" t="str">
        <f aca="false">IF(C15231="","",C15231*D15231/100)</f>
        <v/>
      </c>
      <c r="F15231" s="15" t="str">
        <f aca="false">IF(B15231&lt;5,"Go","Standard")</f>
        <v>Standard</v>
      </c>
    </row>
    <row r="15232" customFormat="false" ht="15" hidden="false" customHeight="true" outlineLevel="0" collapsed="false">
      <c r="A15232" s="10" t="n">
        <f aca="false">Einstellungen!$B$5+INT((ROW()-9)/24)</f>
        <v>46600</v>
      </c>
      <c r="B15232" s="11" t="n">
        <f aca="false">MOD(ROW()-9,24)</f>
        <v>7</v>
      </c>
      <c r="C15232" s="12"/>
      <c r="D15232" s="13" t="n">
        <f aca="false">IF(B15232&lt;5,Einstellungen!$B$3,Einstellungen!$B$4)</f>
        <v>29.13</v>
      </c>
      <c r="E15232" s="14" t="str">
        <f aca="false">IF(C15232="","",C15232*D15232/100)</f>
        <v/>
      </c>
      <c r="F15232" s="15" t="str">
        <f aca="false">IF(B15232&lt;5,"Go","Standard")</f>
        <v>Standard</v>
      </c>
    </row>
    <row r="15233" customFormat="false" ht="15" hidden="false" customHeight="true" outlineLevel="0" collapsed="false">
      <c r="A15233" s="10" t="n">
        <f aca="false">Einstellungen!$B$5+INT((ROW()-9)/24)</f>
        <v>46600</v>
      </c>
      <c r="B15233" s="11" t="n">
        <f aca="false">MOD(ROW()-9,24)</f>
        <v>8</v>
      </c>
      <c r="C15233" s="12"/>
      <c r="D15233" s="13" t="n">
        <f aca="false">IF(B15233&lt;5,Einstellungen!$B$3,Einstellungen!$B$4)</f>
        <v>29.13</v>
      </c>
      <c r="E15233" s="14" t="str">
        <f aca="false">IF(C15233="","",C15233*D15233/100)</f>
        <v/>
      </c>
      <c r="F15233" s="15" t="str">
        <f aca="false">IF(B15233&lt;5,"Go","Standard")</f>
        <v>Standard</v>
      </c>
    </row>
    <row r="15234" customFormat="false" ht="15" hidden="false" customHeight="true" outlineLevel="0" collapsed="false">
      <c r="A15234" s="10" t="n">
        <f aca="false">Einstellungen!$B$5+INT((ROW()-9)/24)</f>
        <v>46600</v>
      </c>
      <c r="B15234" s="11" t="n">
        <f aca="false">MOD(ROW()-9,24)</f>
        <v>9</v>
      </c>
      <c r="C15234" s="12"/>
      <c r="D15234" s="13" t="n">
        <f aca="false">IF(B15234&lt;5,Einstellungen!$B$3,Einstellungen!$B$4)</f>
        <v>29.13</v>
      </c>
      <c r="E15234" s="14" t="str">
        <f aca="false">IF(C15234="","",C15234*D15234/100)</f>
        <v/>
      </c>
      <c r="F15234" s="15" t="str">
        <f aca="false">IF(B15234&lt;5,"Go","Standard")</f>
        <v>Standard</v>
      </c>
    </row>
    <row r="15235" customFormat="false" ht="15" hidden="false" customHeight="true" outlineLevel="0" collapsed="false">
      <c r="A15235" s="10" t="n">
        <f aca="false">Einstellungen!$B$5+INT((ROW()-9)/24)</f>
        <v>46600</v>
      </c>
      <c r="B15235" s="11" t="n">
        <f aca="false">MOD(ROW()-9,24)</f>
        <v>10</v>
      </c>
      <c r="C15235" s="12"/>
      <c r="D15235" s="13" t="n">
        <f aca="false">IF(B15235&lt;5,Einstellungen!$B$3,Einstellungen!$B$4)</f>
        <v>29.13</v>
      </c>
      <c r="E15235" s="14" t="str">
        <f aca="false">IF(C15235="","",C15235*D15235/100)</f>
        <v/>
      </c>
      <c r="F15235" s="15" t="str">
        <f aca="false">IF(B15235&lt;5,"Go","Standard")</f>
        <v>Standard</v>
      </c>
    </row>
    <row r="15236" customFormat="false" ht="15" hidden="false" customHeight="true" outlineLevel="0" collapsed="false">
      <c r="A15236" s="10" t="n">
        <f aca="false">Einstellungen!$B$5+INT((ROW()-9)/24)</f>
        <v>46600</v>
      </c>
      <c r="B15236" s="11" t="n">
        <f aca="false">MOD(ROW()-9,24)</f>
        <v>11</v>
      </c>
      <c r="C15236" s="12"/>
      <c r="D15236" s="13" t="n">
        <f aca="false">IF(B15236&lt;5,Einstellungen!$B$3,Einstellungen!$B$4)</f>
        <v>29.13</v>
      </c>
      <c r="E15236" s="14" t="str">
        <f aca="false">IF(C15236="","",C15236*D15236/100)</f>
        <v/>
      </c>
      <c r="F15236" s="15" t="str">
        <f aca="false">IF(B15236&lt;5,"Go","Standard")</f>
        <v>Standard</v>
      </c>
    </row>
    <row r="15237" customFormat="false" ht="15" hidden="false" customHeight="true" outlineLevel="0" collapsed="false">
      <c r="A15237" s="10" t="n">
        <f aca="false">Einstellungen!$B$5+INT((ROW()-9)/24)</f>
        <v>46600</v>
      </c>
      <c r="B15237" s="11" t="n">
        <f aca="false">MOD(ROW()-9,24)</f>
        <v>12</v>
      </c>
      <c r="C15237" s="12"/>
      <c r="D15237" s="13" t="n">
        <f aca="false">IF(B15237&lt;5,Einstellungen!$B$3,Einstellungen!$B$4)</f>
        <v>29.13</v>
      </c>
      <c r="E15237" s="14" t="str">
        <f aca="false">IF(C15237="","",C15237*D15237/100)</f>
        <v/>
      </c>
      <c r="F15237" s="15" t="str">
        <f aca="false">IF(B15237&lt;5,"Go","Standard")</f>
        <v>Standard</v>
      </c>
    </row>
    <row r="15238" customFormat="false" ht="15" hidden="false" customHeight="true" outlineLevel="0" collapsed="false">
      <c r="A15238" s="10" t="n">
        <f aca="false">Einstellungen!$B$5+INT((ROW()-9)/24)</f>
        <v>46600</v>
      </c>
      <c r="B15238" s="11" t="n">
        <f aca="false">MOD(ROW()-9,24)</f>
        <v>13</v>
      </c>
      <c r="C15238" s="12"/>
      <c r="D15238" s="13" t="n">
        <f aca="false">IF(B15238&lt;5,Einstellungen!$B$3,Einstellungen!$B$4)</f>
        <v>29.13</v>
      </c>
      <c r="E15238" s="14" t="str">
        <f aca="false">IF(C15238="","",C15238*D15238/100)</f>
        <v/>
      </c>
      <c r="F15238" s="15" t="str">
        <f aca="false">IF(B15238&lt;5,"Go","Standard")</f>
        <v>Standard</v>
      </c>
    </row>
    <row r="15239" customFormat="false" ht="15" hidden="false" customHeight="true" outlineLevel="0" collapsed="false">
      <c r="A15239" s="10" t="n">
        <f aca="false">Einstellungen!$B$5+INT((ROW()-9)/24)</f>
        <v>46600</v>
      </c>
      <c r="B15239" s="11" t="n">
        <f aca="false">MOD(ROW()-9,24)</f>
        <v>14</v>
      </c>
      <c r="C15239" s="12"/>
      <c r="D15239" s="13" t="n">
        <f aca="false">IF(B15239&lt;5,Einstellungen!$B$3,Einstellungen!$B$4)</f>
        <v>29.13</v>
      </c>
      <c r="E15239" s="14" t="str">
        <f aca="false">IF(C15239="","",C15239*D15239/100)</f>
        <v/>
      </c>
      <c r="F15239" s="15" t="str">
        <f aca="false">IF(B15239&lt;5,"Go","Standard")</f>
        <v>Standard</v>
      </c>
    </row>
    <row r="15240" customFormat="false" ht="15" hidden="false" customHeight="true" outlineLevel="0" collapsed="false">
      <c r="A15240" s="10" t="n">
        <f aca="false">Einstellungen!$B$5+INT((ROW()-9)/24)</f>
        <v>46600</v>
      </c>
      <c r="B15240" s="11" t="n">
        <f aca="false">MOD(ROW()-9,24)</f>
        <v>15</v>
      </c>
      <c r="C15240" s="12"/>
      <c r="D15240" s="13" t="n">
        <f aca="false">IF(B15240&lt;5,Einstellungen!$B$3,Einstellungen!$B$4)</f>
        <v>29.13</v>
      </c>
      <c r="E15240" s="14" t="str">
        <f aca="false">IF(C15240="","",C15240*D15240/100)</f>
        <v/>
      </c>
      <c r="F15240" s="15" t="str">
        <f aca="false">IF(B15240&lt;5,"Go","Standard")</f>
        <v>Standard</v>
      </c>
    </row>
    <row r="15241" customFormat="false" ht="15" hidden="false" customHeight="true" outlineLevel="0" collapsed="false">
      <c r="A15241" s="10" t="n">
        <f aca="false">Einstellungen!$B$5+INT((ROW()-9)/24)</f>
        <v>46600</v>
      </c>
      <c r="B15241" s="11" t="n">
        <f aca="false">MOD(ROW()-9,24)</f>
        <v>16</v>
      </c>
      <c r="C15241" s="12"/>
      <c r="D15241" s="13" t="n">
        <f aca="false">IF(B15241&lt;5,Einstellungen!$B$3,Einstellungen!$B$4)</f>
        <v>29.13</v>
      </c>
      <c r="E15241" s="14" t="str">
        <f aca="false">IF(C15241="","",C15241*D15241/100)</f>
        <v/>
      </c>
      <c r="F15241" s="15" t="str">
        <f aca="false">IF(B15241&lt;5,"Go","Standard")</f>
        <v>Standard</v>
      </c>
    </row>
    <row r="15242" customFormat="false" ht="15" hidden="false" customHeight="true" outlineLevel="0" collapsed="false">
      <c r="A15242" s="10" t="n">
        <f aca="false">Einstellungen!$B$5+INT((ROW()-9)/24)</f>
        <v>46600</v>
      </c>
      <c r="B15242" s="11" t="n">
        <f aca="false">MOD(ROW()-9,24)</f>
        <v>17</v>
      </c>
      <c r="C15242" s="12"/>
      <c r="D15242" s="13" t="n">
        <f aca="false">IF(B15242&lt;5,Einstellungen!$B$3,Einstellungen!$B$4)</f>
        <v>29.13</v>
      </c>
      <c r="E15242" s="14" t="str">
        <f aca="false">IF(C15242="","",C15242*D15242/100)</f>
        <v/>
      </c>
      <c r="F15242" s="15" t="str">
        <f aca="false">IF(B15242&lt;5,"Go","Standard")</f>
        <v>Standard</v>
      </c>
    </row>
    <row r="15243" customFormat="false" ht="15" hidden="false" customHeight="true" outlineLevel="0" collapsed="false">
      <c r="A15243" s="10" t="n">
        <f aca="false">Einstellungen!$B$5+INT((ROW()-9)/24)</f>
        <v>46600</v>
      </c>
      <c r="B15243" s="11" t="n">
        <f aca="false">MOD(ROW()-9,24)</f>
        <v>18</v>
      </c>
      <c r="C15243" s="12"/>
      <c r="D15243" s="13" t="n">
        <f aca="false">IF(B15243&lt;5,Einstellungen!$B$3,Einstellungen!$B$4)</f>
        <v>29.13</v>
      </c>
      <c r="E15243" s="14" t="str">
        <f aca="false">IF(C15243="","",C15243*D15243/100)</f>
        <v/>
      </c>
      <c r="F15243" s="15" t="str">
        <f aca="false">IF(B15243&lt;5,"Go","Standard")</f>
        <v>Standard</v>
      </c>
    </row>
    <row r="15244" customFormat="false" ht="15" hidden="false" customHeight="true" outlineLevel="0" collapsed="false">
      <c r="A15244" s="10" t="n">
        <f aca="false">Einstellungen!$B$5+INT((ROW()-9)/24)</f>
        <v>46600</v>
      </c>
      <c r="B15244" s="11" t="n">
        <f aca="false">MOD(ROW()-9,24)</f>
        <v>19</v>
      </c>
      <c r="C15244" s="12"/>
      <c r="D15244" s="13" t="n">
        <f aca="false">IF(B15244&lt;5,Einstellungen!$B$3,Einstellungen!$B$4)</f>
        <v>29.13</v>
      </c>
      <c r="E15244" s="14" t="str">
        <f aca="false">IF(C15244="","",C15244*D15244/100)</f>
        <v/>
      </c>
      <c r="F15244" s="15" t="str">
        <f aca="false">IF(B15244&lt;5,"Go","Standard")</f>
        <v>Standard</v>
      </c>
    </row>
    <row r="15245" customFormat="false" ht="15" hidden="false" customHeight="true" outlineLevel="0" collapsed="false">
      <c r="A15245" s="10" t="n">
        <f aca="false">Einstellungen!$B$5+INT((ROW()-9)/24)</f>
        <v>46600</v>
      </c>
      <c r="B15245" s="11" t="n">
        <f aca="false">MOD(ROW()-9,24)</f>
        <v>20</v>
      </c>
      <c r="C15245" s="12"/>
      <c r="D15245" s="13" t="n">
        <f aca="false">IF(B15245&lt;5,Einstellungen!$B$3,Einstellungen!$B$4)</f>
        <v>29.13</v>
      </c>
      <c r="E15245" s="14" t="str">
        <f aca="false">IF(C15245="","",C15245*D15245/100)</f>
        <v/>
      </c>
      <c r="F15245" s="15" t="str">
        <f aca="false">IF(B15245&lt;5,"Go","Standard")</f>
        <v>Standard</v>
      </c>
    </row>
    <row r="15246" customFormat="false" ht="15" hidden="false" customHeight="true" outlineLevel="0" collapsed="false">
      <c r="A15246" s="10" t="n">
        <f aca="false">Einstellungen!$B$5+INT((ROW()-9)/24)</f>
        <v>46600</v>
      </c>
      <c r="B15246" s="11" t="n">
        <f aca="false">MOD(ROW()-9,24)</f>
        <v>21</v>
      </c>
      <c r="C15246" s="12"/>
      <c r="D15246" s="13" t="n">
        <f aca="false">IF(B15246&lt;5,Einstellungen!$B$3,Einstellungen!$B$4)</f>
        <v>29.13</v>
      </c>
      <c r="E15246" s="14" t="str">
        <f aca="false">IF(C15246="","",C15246*D15246/100)</f>
        <v/>
      </c>
      <c r="F15246" s="15" t="str">
        <f aca="false">IF(B15246&lt;5,"Go","Standard")</f>
        <v>Standard</v>
      </c>
    </row>
    <row r="15247" customFormat="false" ht="15" hidden="false" customHeight="true" outlineLevel="0" collapsed="false">
      <c r="A15247" s="10" t="n">
        <f aca="false">Einstellungen!$B$5+INT((ROW()-9)/24)</f>
        <v>46600</v>
      </c>
      <c r="B15247" s="11" t="n">
        <f aca="false">MOD(ROW()-9,24)</f>
        <v>22</v>
      </c>
      <c r="C15247" s="12"/>
      <c r="D15247" s="13" t="n">
        <f aca="false">IF(B15247&lt;5,Einstellungen!$B$3,Einstellungen!$B$4)</f>
        <v>29.13</v>
      </c>
      <c r="E15247" s="14" t="str">
        <f aca="false">IF(C15247="","",C15247*D15247/100)</f>
        <v/>
      </c>
      <c r="F15247" s="15" t="str">
        <f aca="false">IF(B15247&lt;5,"Go","Standard")</f>
        <v>Standard</v>
      </c>
    </row>
    <row r="15248" customFormat="false" ht="15" hidden="false" customHeight="true" outlineLevel="0" collapsed="false">
      <c r="A15248" s="10" t="n">
        <f aca="false">Einstellungen!$B$5+INT((ROW()-9)/24)</f>
        <v>46600</v>
      </c>
      <c r="B15248" s="11" t="n">
        <f aca="false">MOD(ROW()-9,24)</f>
        <v>23</v>
      </c>
      <c r="C15248" s="12"/>
      <c r="D15248" s="13" t="n">
        <f aca="false">IF(B15248&lt;5,Einstellungen!$B$3,Einstellungen!$B$4)</f>
        <v>29.13</v>
      </c>
      <c r="E15248" s="14" t="str">
        <f aca="false">IF(C15248="","",C15248*D15248/100)</f>
        <v/>
      </c>
      <c r="F15248" s="15" t="str">
        <f aca="false">IF(B15248&lt;5,"Go","Standard")</f>
        <v>Standard</v>
      </c>
    </row>
    <row r="15249" customFormat="false" ht="15" hidden="false" customHeight="true" outlineLevel="0" collapsed="false">
      <c r="A15249" s="10" t="n">
        <f aca="false">Einstellungen!$B$5+INT((ROW()-9)/24)</f>
        <v>46601</v>
      </c>
      <c r="B15249" s="11" t="n">
        <f aca="false">MOD(ROW()-9,24)</f>
        <v>0</v>
      </c>
      <c r="C15249" s="12"/>
      <c r="D15249" s="13" t="n">
        <f aca="false">IF(B15249&lt;5,Einstellungen!$B$3,Einstellungen!$B$4)</f>
        <v>15.92</v>
      </c>
      <c r="E15249" s="14" t="str">
        <f aca="false">IF(C15249="","",C15249*D15249/100)</f>
        <v/>
      </c>
      <c r="F15249" s="15" t="str">
        <f aca="false">IF(B15249&lt;5,"Go","Standard")</f>
        <v>Go</v>
      </c>
    </row>
    <row r="15250" customFormat="false" ht="15" hidden="false" customHeight="true" outlineLevel="0" collapsed="false">
      <c r="A15250" s="10" t="n">
        <f aca="false">Einstellungen!$B$5+INT((ROW()-9)/24)</f>
        <v>46601</v>
      </c>
      <c r="B15250" s="11" t="n">
        <f aca="false">MOD(ROW()-9,24)</f>
        <v>1</v>
      </c>
      <c r="C15250" s="12"/>
      <c r="D15250" s="13" t="n">
        <f aca="false">IF(B15250&lt;5,Einstellungen!$B$3,Einstellungen!$B$4)</f>
        <v>15.92</v>
      </c>
      <c r="E15250" s="14" t="str">
        <f aca="false">IF(C15250="","",C15250*D15250/100)</f>
        <v/>
      </c>
      <c r="F15250" s="15" t="str">
        <f aca="false">IF(B15250&lt;5,"Go","Standard")</f>
        <v>Go</v>
      </c>
    </row>
    <row r="15251" customFormat="false" ht="15" hidden="false" customHeight="true" outlineLevel="0" collapsed="false">
      <c r="A15251" s="10" t="n">
        <f aca="false">Einstellungen!$B$5+INT((ROW()-9)/24)</f>
        <v>46601</v>
      </c>
      <c r="B15251" s="11" t="n">
        <f aca="false">MOD(ROW()-9,24)</f>
        <v>2</v>
      </c>
      <c r="C15251" s="12"/>
      <c r="D15251" s="13" t="n">
        <f aca="false">IF(B15251&lt;5,Einstellungen!$B$3,Einstellungen!$B$4)</f>
        <v>15.92</v>
      </c>
      <c r="E15251" s="14" t="str">
        <f aca="false">IF(C15251="","",C15251*D15251/100)</f>
        <v/>
      </c>
      <c r="F15251" s="15" t="str">
        <f aca="false">IF(B15251&lt;5,"Go","Standard")</f>
        <v>Go</v>
      </c>
    </row>
    <row r="15252" customFormat="false" ht="15" hidden="false" customHeight="true" outlineLevel="0" collapsed="false">
      <c r="A15252" s="10" t="n">
        <f aca="false">Einstellungen!$B$5+INT((ROW()-9)/24)</f>
        <v>46601</v>
      </c>
      <c r="B15252" s="11" t="n">
        <f aca="false">MOD(ROW()-9,24)</f>
        <v>3</v>
      </c>
      <c r="C15252" s="12"/>
      <c r="D15252" s="13" t="n">
        <f aca="false">IF(B15252&lt;5,Einstellungen!$B$3,Einstellungen!$B$4)</f>
        <v>15.92</v>
      </c>
      <c r="E15252" s="14" t="str">
        <f aca="false">IF(C15252="","",C15252*D15252/100)</f>
        <v/>
      </c>
      <c r="F15252" s="15" t="str">
        <f aca="false">IF(B15252&lt;5,"Go","Standard")</f>
        <v>Go</v>
      </c>
    </row>
    <row r="15253" customFormat="false" ht="15" hidden="false" customHeight="true" outlineLevel="0" collapsed="false">
      <c r="A15253" s="10" t="n">
        <f aca="false">Einstellungen!$B$5+INT((ROW()-9)/24)</f>
        <v>46601</v>
      </c>
      <c r="B15253" s="11" t="n">
        <f aca="false">MOD(ROW()-9,24)</f>
        <v>4</v>
      </c>
      <c r="C15253" s="12"/>
      <c r="D15253" s="13" t="n">
        <f aca="false">IF(B15253&lt;5,Einstellungen!$B$3,Einstellungen!$B$4)</f>
        <v>15.92</v>
      </c>
      <c r="E15253" s="14" t="str">
        <f aca="false">IF(C15253="","",C15253*D15253/100)</f>
        <v/>
      </c>
      <c r="F15253" s="15" t="str">
        <f aca="false">IF(B15253&lt;5,"Go","Standard")</f>
        <v>Go</v>
      </c>
    </row>
    <row r="15254" customFormat="false" ht="15" hidden="false" customHeight="true" outlineLevel="0" collapsed="false">
      <c r="A15254" s="10" t="n">
        <f aca="false">Einstellungen!$B$5+INT((ROW()-9)/24)</f>
        <v>46601</v>
      </c>
      <c r="B15254" s="11" t="n">
        <f aca="false">MOD(ROW()-9,24)</f>
        <v>5</v>
      </c>
      <c r="C15254" s="12"/>
      <c r="D15254" s="13" t="n">
        <f aca="false">IF(B15254&lt;5,Einstellungen!$B$3,Einstellungen!$B$4)</f>
        <v>29.13</v>
      </c>
      <c r="E15254" s="14" t="str">
        <f aca="false">IF(C15254="","",C15254*D15254/100)</f>
        <v/>
      </c>
      <c r="F15254" s="15" t="str">
        <f aca="false">IF(B15254&lt;5,"Go","Standard")</f>
        <v>Standard</v>
      </c>
    </row>
    <row r="15255" customFormat="false" ht="15" hidden="false" customHeight="true" outlineLevel="0" collapsed="false">
      <c r="A15255" s="10" t="n">
        <f aca="false">Einstellungen!$B$5+INT((ROW()-9)/24)</f>
        <v>46601</v>
      </c>
      <c r="B15255" s="11" t="n">
        <f aca="false">MOD(ROW()-9,24)</f>
        <v>6</v>
      </c>
      <c r="C15255" s="12"/>
      <c r="D15255" s="13" t="n">
        <f aca="false">IF(B15255&lt;5,Einstellungen!$B$3,Einstellungen!$B$4)</f>
        <v>29.13</v>
      </c>
      <c r="E15255" s="14" t="str">
        <f aca="false">IF(C15255="","",C15255*D15255/100)</f>
        <v/>
      </c>
      <c r="F15255" s="15" t="str">
        <f aca="false">IF(B15255&lt;5,"Go","Standard")</f>
        <v>Standard</v>
      </c>
    </row>
    <row r="15256" customFormat="false" ht="15" hidden="false" customHeight="true" outlineLevel="0" collapsed="false">
      <c r="A15256" s="10" t="n">
        <f aca="false">Einstellungen!$B$5+INT((ROW()-9)/24)</f>
        <v>46601</v>
      </c>
      <c r="B15256" s="11" t="n">
        <f aca="false">MOD(ROW()-9,24)</f>
        <v>7</v>
      </c>
      <c r="C15256" s="12"/>
      <c r="D15256" s="13" t="n">
        <f aca="false">IF(B15256&lt;5,Einstellungen!$B$3,Einstellungen!$B$4)</f>
        <v>29.13</v>
      </c>
      <c r="E15256" s="14" t="str">
        <f aca="false">IF(C15256="","",C15256*D15256/100)</f>
        <v/>
      </c>
      <c r="F15256" s="15" t="str">
        <f aca="false">IF(B15256&lt;5,"Go","Standard")</f>
        <v>Standard</v>
      </c>
    </row>
    <row r="15257" customFormat="false" ht="15" hidden="false" customHeight="true" outlineLevel="0" collapsed="false">
      <c r="A15257" s="10" t="n">
        <f aca="false">Einstellungen!$B$5+INT((ROW()-9)/24)</f>
        <v>46601</v>
      </c>
      <c r="B15257" s="11" t="n">
        <f aca="false">MOD(ROW()-9,24)</f>
        <v>8</v>
      </c>
      <c r="C15257" s="12"/>
      <c r="D15257" s="13" t="n">
        <f aca="false">IF(B15257&lt;5,Einstellungen!$B$3,Einstellungen!$B$4)</f>
        <v>29.13</v>
      </c>
      <c r="E15257" s="14" t="str">
        <f aca="false">IF(C15257="","",C15257*D15257/100)</f>
        <v/>
      </c>
      <c r="F15257" s="15" t="str">
        <f aca="false">IF(B15257&lt;5,"Go","Standard")</f>
        <v>Standard</v>
      </c>
    </row>
    <row r="15258" customFormat="false" ht="15" hidden="false" customHeight="true" outlineLevel="0" collapsed="false">
      <c r="A15258" s="10" t="n">
        <f aca="false">Einstellungen!$B$5+INT((ROW()-9)/24)</f>
        <v>46601</v>
      </c>
      <c r="B15258" s="11" t="n">
        <f aca="false">MOD(ROW()-9,24)</f>
        <v>9</v>
      </c>
      <c r="C15258" s="12"/>
      <c r="D15258" s="13" t="n">
        <f aca="false">IF(B15258&lt;5,Einstellungen!$B$3,Einstellungen!$B$4)</f>
        <v>29.13</v>
      </c>
      <c r="E15258" s="14" t="str">
        <f aca="false">IF(C15258="","",C15258*D15258/100)</f>
        <v/>
      </c>
      <c r="F15258" s="15" t="str">
        <f aca="false">IF(B15258&lt;5,"Go","Standard")</f>
        <v>Standard</v>
      </c>
    </row>
    <row r="15259" customFormat="false" ht="15" hidden="false" customHeight="true" outlineLevel="0" collapsed="false">
      <c r="A15259" s="10" t="n">
        <f aca="false">Einstellungen!$B$5+INT((ROW()-9)/24)</f>
        <v>46601</v>
      </c>
      <c r="B15259" s="11" t="n">
        <f aca="false">MOD(ROW()-9,24)</f>
        <v>10</v>
      </c>
      <c r="C15259" s="12"/>
      <c r="D15259" s="13" t="n">
        <f aca="false">IF(B15259&lt;5,Einstellungen!$B$3,Einstellungen!$B$4)</f>
        <v>29.13</v>
      </c>
      <c r="E15259" s="14" t="str">
        <f aca="false">IF(C15259="","",C15259*D15259/100)</f>
        <v/>
      </c>
      <c r="F15259" s="15" t="str">
        <f aca="false">IF(B15259&lt;5,"Go","Standard")</f>
        <v>Standard</v>
      </c>
    </row>
    <row r="15260" customFormat="false" ht="15" hidden="false" customHeight="true" outlineLevel="0" collapsed="false">
      <c r="A15260" s="10" t="n">
        <f aca="false">Einstellungen!$B$5+INT((ROW()-9)/24)</f>
        <v>46601</v>
      </c>
      <c r="B15260" s="11" t="n">
        <f aca="false">MOD(ROW()-9,24)</f>
        <v>11</v>
      </c>
      <c r="C15260" s="12"/>
      <c r="D15260" s="13" t="n">
        <f aca="false">IF(B15260&lt;5,Einstellungen!$B$3,Einstellungen!$B$4)</f>
        <v>29.13</v>
      </c>
      <c r="E15260" s="14" t="str">
        <f aca="false">IF(C15260="","",C15260*D15260/100)</f>
        <v/>
      </c>
      <c r="F15260" s="15" t="str">
        <f aca="false">IF(B15260&lt;5,"Go","Standard")</f>
        <v>Standard</v>
      </c>
    </row>
    <row r="15261" customFormat="false" ht="15" hidden="false" customHeight="true" outlineLevel="0" collapsed="false">
      <c r="A15261" s="10" t="n">
        <f aca="false">Einstellungen!$B$5+INT((ROW()-9)/24)</f>
        <v>46601</v>
      </c>
      <c r="B15261" s="11" t="n">
        <f aca="false">MOD(ROW()-9,24)</f>
        <v>12</v>
      </c>
      <c r="C15261" s="12"/>
      <c r="D15261" s="13" t="n">
        <f aca="false">IF(B15261&lt;5,Einstellungen!$B$3,Einstellungen!$B$4)</f>
        <v>29.13</v>
      </c>
      <c r="E15261" s="14" t="str">
        <f aca="false">IF(C15261="","",C15261*D15261/100)</f>
        <v/>
      </c>
      <c r="F15261" s="15" t="str">
        <f aca="false">IF(B15261&lt;5,"Go","Standard")</f>
        <v>Standard</v>
      </c>
    </row>
    <row r="15262" customFormat="false" ht="15" hidden="false" customHeight="true" outlineLevel="0" collapsed="false">
      <c r="A15262" s="10" t="n">
        <f aca="false">Einstellungen!$B$5+INT((ROW()-9)/24)</f>
        <v>46601</v>
      </c>
      <c r="B15262" s="11" t="n">
        <f aca="false">MOD(ROW()-9,24)</f>
        <v>13</v>
      </c>
      <c r="C15262" s="12"/>
      <c r="D15262" s="13" t="n">
        <f aca="false">IF(B15262&lt;5,Einstellungen!$B$3,Einstellungen!$B$4)</f>
        <v>29.13</v>
      </c>
      <c r="E15262" s="14" t="str">
        <f aca="false">IF(C15262="","",C15262*D15262/100)</f>
        <v/>
      </c>
      <c r="F15262" s="15" t="str">
        <f aca="false">IF(B15262&lt;5,"Go","Standard")</f>
        <v>Standard</v>
      </c>
    </row>
    <row r="15263" customFormat="false" ht="15" hidden="false" customHeight="true" outlineLevel="0" collapsed="false">
      <c r="A15263" s="10" t="n">
        <f aca="false">Einstellungen!$B$5+INT((ROW()-9)/24)</f>
        <v>46601</v>
      </c>
      <c r="B15263" s="11" t="n">
        <f aca="false">MOD(ROW()-9,24)</f>
        <v>14</v>
      </c>
      <c r="C15263" s="12"/>
      <c r="D15263" s="13" t="n">
        <f aca="false">IF(B15263&lt;5,Einstellungen!$B$3,Einstellungen!$B$4)</f>
        <v>29.13</v>
      </c>
      <c r="E15263" s="14" t="str">
        <f aca="false">IF(C15263="","",C15263*D15263/100)</f>
        <v/>
      </c>
      <c r="F15263" s="15" t="str">
        <f aca="false">IF(B15263&lt;5,"Go","Standard")</f>
        <v>Standard</v>
      </c>
    </row>
    <row r="15264" customFormat="false" ht="15" hidden="false" customHeight="true" outlineLevel="0" collapsed="false">
      <c r="A15264" s="10" t="n">
        <f aca="false">Einstellungen!$B$5+INT((ROW()-9)/24)</f>
        <v>46601</v>
      </c>
      <c r="B15264" s="11" t="n">
        <f aca="false">MOD(ROW()-9,24)</f>
        <v>15</v>
      </c>
      <c r="C15264" s="12"/>
      <c r="D15264" s="13" t="n">
        <f aca="false">IF(B15264&lt;5,Einstellungen!$B$3,Einstellungen!$B$4)</f>
        <v>29.13</v>
      </c>
      <c r="E15264" s="14" t="str">
        <f aca="false">IF(C15264="","",C15264*D15264/100)</f>
        <v/>
      </c>
      <c r="F15264" s="15" t="str">
        <f aca="false">IF(B15264&lt;5,"Go","Standard")</f>
        <v>Standard</v>
      </c>
    </row>
    <row r="15265" customFormat="false" ht="15" hidden="false" customHeight="true" outlineLevel="0" collapsed="false">
      <c r="A15265" s="10" t="n">
        <f aca="false">Einstellungen!$B$5+INT((ROW()-9)/24)</f>
        <v>46601</v>
      </c>
      <c r="B15265" s="11" t="n">
        <f aca="false">MOD(ROW()-9,24)</f>
        <v>16</v>
      </c>
      <c r="C15265" s="12"/>
      <c r="D15265" s="13" t="n">
        <f aca="false">IF(B15265&lt;5,Einstellungen!$B$3,Einstellungen!$B$4)</f>
        <v>29.13</v>
      </c>
      <c r="E15265" s="14" t="str">
        <f aca="false">IF(C15265="","",C15265*D15265/100)</f>
        <v/>
      </c>
      <c r="F15265" s="15" t="str">
        <f aca="false">IF(B15265&lt;5,"Go","Standard")</f>
        <v>Standard</v>
      </c>
    </row>
    <row r="15266" customFormat="false" ht="15" hidden="false" customHeight="true" outlineLevel="0" collapsed="false">
      <c r="A15266" s="10" t="n">
        <f aca="false">Einstellungen!$B$5+INT((ROW()-9)/24)</f>
        <v>46601</v>
      </c>
      <c r="B15266" s="11" t="n">
        <f aca="false">MOD(ROW()-9,24)</f>
        <v>17</v>
      </c>
      <c r="C15266" s="12"/>
      <c r="D15266" s="13" t="n">
        <f aca="false">IF(B15266&lt;5,Einstellungen!$B$3,Einstellungen!$B$4)</f>
        <v>29.13</v>
      </c>
      <c r="E15266" s="14" t="str">
        <f aca="false">IF(C15266="","",C15266*D15266/100)</f>
        <v/>
      </c>
      <c r="F15266" s="15" t="str">
        <f aca="false">IF(B15266&lt;5,"Go","Standard")</f>
        <v>Standard</v>
      </c>
    </row>
    <row r="15267" customFormat="false" ht="15" hidden="false" customHeight="true" outlineLevel="0" collapsed="false">
      <c r="A15267" s="10" t="n">
        <f aca="false">Einstellungen!$B$5+INT((ROW()-9)/24)</f>
        <v>46601</v>
      </c>
      <c r="B15267" s="11" t="n">
        <f aca="false">MOD(ROW()-9,24)</f>
        <v>18</v>
      </c>
      <c r="C15267" s="12"/>
      <c r="D15267" s="13" t="n">
        <f aca="false">IF(B15267&lt;5,Einstellungen!$B$3,Einstellungen!$B$4)</f>
        <v>29.13</v>
      </c>
      <c r="E15267" s="14" t="str">
        <f aca="false">IF(C15267="","",C15267*D15267/100)</f>
        <v/>
      </c>
      <c r="F15267" s="15" t="str">
        <f aca="false">IF(B15267&lt;5,"Go","Standard")</f>
        <v>Standard</v>
      </c>
    </row>
    <row r="15268" customFormat="false" ht="15" hidden="false" customHeight="true" outlineLevel="0" collapsed="false">
      <c r="A15268" s="10" t="n">
        <f aca="false">Einstellungen!$B$5+INT((ROW()-9)/24)</f>
        <v>46601</v>
      </c>
      <c r="B15268" s="11" t="n">
        <f aca="false">MOD(ROW()-9,24)</f>
        <v>19</v>
      </c>
      <c r="C15268" s="12"/>
      <c r="D15268" s="13" t="n">
        <f aca="false">IF(B15268&lt;5,Einstellungen!$B$3,Einstellungen!$B$4)</f>
        <v>29.13</v>
      </c>
      <c r="E15268" s="14" t="str">
        <f aca="false">IF(C15268="","",C15268*D15268/100)</f>
        <v/>
      </c>
      <c r="F15268" s="15" t="str">
        <f aca="false">IF(B15268&lt;5,"Go","Standard")</f>
        <v>Standard</v>
      </c>
    </row>
    <row r="15269" customFormat="false" ht="15" hidden="false" customHeight="true" outlineLevel="0" collapsed="false">
      <c r="A15269" s="10" t="n">
        <f aca="false">Einstellungen!$B$5+INT((ROW()-9)/24)</f>
        <v>46601</v>
      </c>
      <c r="B15269" s="11" t="n">
        <f aca="false">MOD(ROW()-9,24)</f>
        <v>20</v>
      </c>
      <c r="C15269" s="12"/>
      <c r="D15269" s="13" t="n">
        <f aca="false">IF(B15269&lt;5,Einstellungen!$B$3,Einstellungen!$B$4)</f>
        <v>29.13</v>
      </c>
      <c r="E15269" s="14" t="str">
        <f aca="false">IF(C15269="","",C15269*D15269/100)</f>
        <v/>
      </c>
      <c r="F15269" s="15" t="str">
        <f aca="false">IF(B15269&lt;5,"Go","Standard")</f>
        <v>Standard</v>
      </c>
    </row>
    <row r="15270" customFormat="false" ht="15" hidden="false" customHeight="true" outlineLevel="0" collapsed="false">
      <c r="A15270" s="10" t="n">
        <f aca="false">Einstellungen!$B$5+INT((ROW()-9)/24)</f>
        <v>46601</v>
      </c>
      <c r="B15270" s="11" t="n">
        <f aca="false">MOD(ROW()-9,24)</f>
        <v>21</v>
      </c>
      <c r="C15270" s="12"/>
      <c r="D15270" s="13" t="n">
        <f aca="false">IF(B15270&lt;5,Einstellungen!$B$3,Einstellungen!$B$4)</f>
        <v>29.13</v>
      </c>
      <c r="E15270" s="14" t="str">
        <f aca="false">IF(C15270="","",C15270*D15270/100)</f>
        <v/>
      </c>
      <c r="F15270" s="15" t="str">
        <f aca="false">IF(B15270&lt;5,"Go","Standard")</f>
        <v>Standard</v>
      </c>
    </row>
    <row r="15271" customFormat="false" ht="15" hidden="false" customHeight="true" outlineLevel="0" collapsed="false">
      <c r="A15271" s="10" t="n">
        <f aca="false">Einstellungen!$B$5+INT((ROW()-9)/24)</f>
        <v>46601</v>
      </c>
      <c r="B15271" s="11" t="n">
        <f aca="false">MOD(ROW()-9,24)</f>
        <v>22</v>
      </c>
      <c r="C15271" s="12"/>
      <c r="D15271" s="13" t="n">
        <f aca="false">IF(B15271&lt;5,Einstellungen!$B$3,Einstellungen!$B$4)</f>
        <v>29.13</v>
      </c>
      <c r="E15271" s="14" t="str">
        <f aca="false">IF(C15271="","",C15271*D15271/100)</f>
        <v/>
      </c>
      <c r="F15271" s="15" t="str">
        <f aca="false">IF(B15271&lt;5,"Go","Standard")</f>
        <v>Standard</v>
      </c>
    </row>
    <row r="15272" customFormat="false" ht="15" hidden="false" customHeight="true" outlineLevel="0" collapsed="false">
      <c r="A15272" s="10" t="n">
        <f aca="false">Einstellungen!$B$5+INT((ROW()-9)/24)</f>
        <v>46601</v>
      </c>
      <c r="B15272" s="11" t="n">
        <f aca="false">MOD(ROW()-9,24)</f>
        <v>23</v>
      </c>
      <c r="C15272" s="12"/>
      <c r="D15272" s="13" t="n">
        <f aca="false">IF(B15272&lt;5,Einstellungen!$B$3,Einstellungen!$B$4)</f>
        <v>29.13</v>
      </c>
      <c r="E15272" s="14" t="str">
        <f aca="false">IF(C15272="","",C15272*D15272/100)</f>
        <v/>
      </c>
      <c r="F15272" s="15" t="str">
        <f aca="false">IF(B15272&lt;5,"Go","Standard")</f>
        <v>Standard</v>
      </c>
    </row>
    <row r="15273" customFormat="false" ht="15" hidden="false" customHeight="true" outlineLevel="0" collapsed="false">
      <c r="A15273" s="10" t="n">
        <f aca="false">Einstellungen!$B$5+INT((ROW()-9)/24)</f>
        <v>46602</v>
      </c>
      <c r="B15273" s="11" t="n">
        <f aca="false">MOD(ROW()-9,24)</f>
        <v>0</v>
      </c>
      <c r="C15273" s="12"/>
      <c r="D15273" s="13" t="n">
        <f aca="false">IF(B15273&lt;5,Einstellungen!$B$3,Einstellungen!$B$4)</f>
        <v>15.92</v>
      </c>
      <c r="E15273" s="14" t="str">
        <f aca="false">IF(C15273="","",C15273*D15273/100)</f>
        <v/>
      </c>
      <c r="F15273" s="15" t="str">
        <f aca="false">IF(B15273&lt;5,"Go","Standard")</f>
        <v>Go</v>
      </c>
    </row>
    <row r="15274" customFormat="false" ht="15" hidden="false" customHeight="true" outlineLevel="0" collapsed="false">
      <c r="A15274" s="10" t="n">
        <f aca="false">Einstellungen!$B$5+INT((ROW()-9)/24)</f>
        <v>46602</v>
      </c>
      <c r="B15274" s="11" t="n">
        <f aca="false">MOD(ROW()-9,24)</f>
        <v>1</v>
      </c>
      <c r="C15274" s="12"/>
      <c r="D15274" s="13" t="n">
        <f aca="false">IF(B15274&lt;5,Einstellungen!$B$3,Einstellungen!$B$4)</f>
        <v>15.92</v>
      </c>
      <c r="E15274" s="14" t="str">
        <f aca="false">IF(C15274="","",C15274*D15274/100)</f>
        <v/>
      </c>
      <c r="F15274" s="15" t="str">
        <f aca="false">IF(B15274&lt;5,"Go","Standard")</f>
        <v>Go</v>
      </c>
    </row>
    <row r="15275" customFormat="false" ht="15" hidden="false" customHeight="true" outlineLevel="0" collapsed="false">
      <c r="A15275" s="10" t="n">
        <f aca="false">Einstellungen!$B$5+INT((ROW()-9)/24)</f>
        <v>46602</v>
      </c>
      <c r="B15275" s="11" t="n">
        <f aca="false">MOD(ROW()-9,24)</f>
        <v>2</v>
      </c>
      <c r="C15275" s="12"/>
      <c r="D15275" s="13" t="n">
        <f aca="false">IF(B15275&lt;5,Einstellungen!$B$3,Einstellungen!$B$4)</f>
        <v>15.92</v>
      </c>
      <c r="E15275" s="14" t="str">
        <f aca="false">IF(C15275="","",C15275*D15275/100)</f>
        <v/>
      </c>
      <c r="F15275" s="15" t="str">
        <f aca="false">IF(B15275&lt;5,"Go","Standard")</f>
        <v>Go</v>
      </c>
    </row>
    <row r="15276" customFormat="false" ht="15" hidden="false" customHeight="true" outlineLevel="0" collapsed="false">
      <c r="A15276" s="10" t="n">
        <f aca="false">Einstellungen!$B$5+INT((ROW()-9)/24)</f>
        <v>46602</v>
      </c>
      <c r="B15276" s="11" t="n">
        <f aca="false">MOD(ROW()-9,24)</f>
        <v>3</v>
      </c>
      <c r="C15276" s="12"/>
      <c r="D15276" s="13" t="n">
        <f aca="false">IF(B15276&lt;5,Einstellungen!$B$3,Einstellungen!$B$4)</f>
        <v>15.92</v>
      </c>
      <c r="E15276" s="14" t="str">
        <f aca="false">IF(C15276="","",C15276*D15276/100)</f>
        <v/>
      </c>
      <c r="F15276" s="15" t="str">
        <f aca="false">IF(B15276&lt;5,"Go","Standard")</f>
        <v>Go</v>
      </c>
    </row>
    <row r="15277" customFormat="false" ht="15" hidden="false" customHeight="true" outlineLevel="0" collapsed="false">
      <c r="A15277" s="10" t="n">
        <f aca="false">Einstellungen!$B$5+INT((ROW()-9)/24)</f>
        <v>46602</v>
      </c>
      <c r="B15277" s="11" t="n">
        <f aca="false">MOD(ROW()-9,24)</f>
        <v>4</v>
      </c>
      <c r="C15277" s="12"/>
      <c r="D15277" s="13" t="n">
        <f aca="false">IF(B15277&lt;5,Einstellungen!$B$3,Einstellungen!$B$4)</f>
        <v>15.92</v>
      </c>
      <c r="E15277" s="14" t="str">
        <f aca="false">IF(C15277="","",C15277*D15277/100)</f>
        <v/>
      </c>
      <c r="F15277" s="15" t="str">
        <f aca="false">IF(B15277&lt;5,"Go","Standard")</f>
        <v>Go</v>
      </c>
    </row>
    <row r="15278" customFormat="false" ht="15" hidden="false" customHeight="true" outlineLevel="0" collapsed="false">
      <c r="A15278" s="10" t="n">
        <f aca="false">Einstellungen!$B$5+INT((ROW()-9)/24)</f>
        <v>46602</v>
      </c>
      <c r="B15278" s="11" t="n">
        <f aca="false">MOD(ROW()-9,24)</f>
        <v>5</v>
      </c>
      <c r="C15278" s="12"/>
      <c r="D15278" s="13" t="n">
        <f aca="false">IF(B15278&lt;5,Einstellungen!$B$3,Einstellungen!$B$4)</f>
        <v>29.13</v>
      </c>
      <c r="E15278" s="14" t="str">
        <f aca="false">IF(C15278="","",C15278*D15278/100)</f>
        <v/>
      </c>
      <c r="F15278" s="15" t="str">
        <f aca="false">IF(B15278&lt;5,"Go","Standard")</f>
        <v>Standard</v>
      </c>
    </row>
    <row r="15279" customFormat="false" ht="15" hidden="false" customHeight="true" outlineLevel="0" collapsed="false">
      <c r="A15279" s="10" t="n">
        <f aca="false">Einstellungen!$B$5+INT((ROW()-9)/24)</f>
        <v>46602</v>
      </c>
      <c r="B15279" s="11" t="n">
        <f aca="false">MOD(ROW()-9,24)</f>
        <v>6</v>
      </c>
      <c r="C15279" s="12"/>
      <c r="D15279" s="13" t="n">
        <f aca="false">IF(B15279&lt;5,Einstellungen!$B$3,Einstellungen!$B$4)</f>
        <v>29.13</v>
      </c>
      <c r="E15279" s="14" t="str">
        <f aca="false">IF(C15279="","",C15279*D15279/100)</f>
        <v/>
      </c>
      <c r="F15279" s="15" t="str">
        <f aca="false">IF(B15279&lt;5,"Go","Standard")</f>
        <v>Standard</v>
      </c>
    </row>
    <row r="15280" customFormat="false" ht="15" hidden="false" customHeight="true" outlineLevel="0" collapsed="false">
      <c r="A15280" s="10" t="n">
        <f aca="false">Einstellungen!$B$5+INT((ROW()-9)/24)</f>
        <v>46602</v>
      </c>
      <c r="B15280" s="11" t="n">
        <f aca="false">MOD(ROW()-9,24)</f>
        <v>7</v>
      </c>
      <c r="C15280" s="12"/>
      <c r="D15280" s="13" t="n">
        <f aca="false">IF(B15280&lt;5,Einstellungen!$B$3,Einstellungen!$B$4)</f>
        <v>29.13</v>
      </c>
      <c r="E15280" s="14" t="str">
        <f aca="false">IF(C15280="","",C15280*D15280/100)</f>
        <v/>
      </c>
      <c r="F15280" s="15" t="str">
        <f aca="false">IF(B15280&lt;5,"Go","Standard")</f>
        <v>Standard</v>
      </c>
    </row>
    <row r="15281" customFormat="false" ht="15" hidden="false" customHeight="true" outlineLevel="0" collapsed="false">
      <c r="A15281" s="10" t="n">
        <f aca="false">Einstellungen!$B$5+INT((ROW()-9)/24)</f>
        <v>46602</v>
      </c>
      <c r="B15281" s="11" t="n">
        <f aca="false">MOD(ROW()-9,24)</f>
        <v>8</v>
      </c>
      <c r="C15281" s="12"/>
      <c r="D15281" s="13" t="n">
        <f aca="false">IF(B15281&lt;5,Einstellungen!$B$3,Einstellungen!$B$4)</f>
        <v>29.13</v>
      </c>
      <c r="E15281" s="14" t="str">
        <f aca="false">IF(C15281="","",C15281*D15281/100)</f>
        <v/>
      </c>
      <c r="F15281" s="15" t="str">
        <f aca="false">IF(B15281&lt;5,"Go","Standard")</f>
        <v>Standard</v>
      </c>
    </row>
    <row r="15282" customFormat="false" ht="15" hidden="false" customHeight="true" outlineLevel="0" collapsed="false">
      <c r="A15282" s="10" t="n">
        <f aca="false">Einstellungen!$B$5+INT((ROW()-9)/24)</f>
        <v>46602</v>
      </c>
      <c r="B15282" s="11" t="n">
        <f aca="false">MOD(ROW()-9,24)</f>
        <v>9</v>
      </c>
      <c r="C15282" s="12"/>
      <c r="D15282" s="13" t="n">
        <f aca="false">IF(B15282&lt;5,Einstellungen!$B$3,Einstellungen!$B$4)</f>
        <v>29.13</v>
      </c>
      <c r="E15282" s="14" t="str">
        <f aca="false">IF(C15282="","",C15282*D15282/100)</f>
        <v/>
      </c>
      <c r="F15282" s="15" t="str">
        <f aca="false">IF(B15282&lt;5,"Go","Standard")</f>
        <v>Standard</v>
      </c>
    </row>
    <row r="15283" customFormat="false" ht="15" hidden="false" customHeight="true" outlineLevel="0" collapsed="false">
      <c r="A15283" s="10" t="n">
        <f aca="false">Einstellungen!$B$5+INT((ROW()-9)/24)</f>
        <v>46602</v>
      </c>
      <c r="B15283" s="11" t="n">
        <f aca="false">MOD(ROW()-9,24)</f>
        <v>10</v>
      </c>
      <c r="C15283" s="12"/>
      <c r="D15283" s="13" t="n">
        <f aca="false">IF(B15283&lt;5,Einstellungen!$B$3,Einstellungen!$B$4)</f>
        <v>29.13</v>
      </c>
      <c r="E15283" s="14" t="str">
        <f aca="false">IF(C15283="","",C15283*D15283/100)</f>
        <v/>
      </c>
      <c r="F15283" s="15" t="str">
        <f aca="false">IF(B15283&lt;5,"Go","Standard")</f>
        <v>Standard</v>
      </c>
    </row>
    <row r="15284" customFormat="false" ht="15" hidden="false" customHeight="true" outlineLevel="0" collapsed="false">
      <c r="A15284" s="10" t="n">
        <f aca="false">Einstellungen!$B$5+INT((ROW()-9)/24)</f>
        <v>46602</v>
      </c>
      <c r="B15284" s="11" t="n">
        <f aca="false">MOD(ROW()-9,24)</f>
        <v>11</v>
      </c>
      <c r="C15284" s="12"/>
      <c r="D15284" s="13" t="n">
        <f aca="false">IF(B15284&lt;5,Einstellungen!$B$3,Einstellungen!$B$4)</f>
        <v>29.13</v>
      </c>
      <c r="E15284" s="14" t="str">
        <f aca="false">IF(C15284="","",C15284*D15284/100)</f>
        <v/>
      </c>
      <c r="F15284" s="15" t="str">
        <f aca="false">IF(B15284&lt;5,"Go","Standard")</f>
        <v>Standard</v>
      </c>
    </row>
    <row r="15285" customFormat="false" ht="15" hidden="false" customHeight="true" outlineLevel="0" collapsed="false">
      <c r="A15285" s="10" t="n">
        <f aca="false">Einstellungen!$B$5+INT((ROW()-9)/24)</f>
        <v>46602</v>
      </c>
      <c r="B15285" s="11" t="n">
        <f aca="false">MOD(ROW()-9,24)</f>
        <v>12</v>
      </c>
      <c r="C15285" s="12"/>
      <c r="D15285" s="13" t="n">
        <f aca="false">IF(B15285&lt;5,Einstellungen!$B$3,Einstellungen!$B$4)</f>
        <v>29.13</v>
      </c>
      <c r="E15285" s="14" t="str">
        <f aca="false">IF(C15285="","",C15285*D15285/100)</f>
        <v/>
      </c>
      <c r="F15285" s="15" t="str">
        <f aca="false">IF(B15285&lt;5,"Go","Standard")</f>
        <v>Standard</v>
      </c>
    </row>
    <row r="15286" customFormat="false" ht="15" hidden="false" customHeight="true" outlineLevel="0" collapsed="false">
      <c r="A15286" s="10" t="n">
        <f aca="false">Einstellungen!$B$5+INT((ROW()-9)/24)</f>
        <v>46602</v>
      </c>
      <c r="B15286" s="11" t="n">
        <f aca="false">MOD(ROW()-9,24)</f>
        <v>13</v>
      </c>
      <c r="C15286" s="12"/>
      <c r="D15286" s="13" t="n">
        <f aca="false">IF(B15286&lt;5,Einstellungen!$B$3,Einstellungen!$B$4)</f>
        <v>29.13</v>
      </c>
      <c r="E15286" s="14" t="str">
        <f aca="false">IF(C15286="","",C15286*D15286/100)</f>
        <v/>
      </c>
      <c r="F15286" s="15" t="str">
        <f aca="false">IF(B15286&lt;5,"Go","Standard")</f>
        <v>Standard</v>
      </c>
    </row>
    <row r="15287" customFormat="false" ht="15" hidden="false" customHeight="true" outlineLevel="0" collapsed="false">
      <c r="A15287" s="10" t="n">
        <f aca="false">Einstellungen!$B$5+INT((ROW()-9)/24)</f>
        <v>46602</v>
      </c>
      <c r="B15287" s="11" t="n">
        <f aca="false">MOD(ROW()-9,24)</f>
        <v>14</v>
      </c>
      <c r="C15287" s="12"/>
      <c r="D15287" s="13" t="n">
        <f aca="false">IF(B15287&lt;5,Einstellungen!$B$3,Einstellungen!$B$4)</f>
        <v>29.13</v>
      </c>
      <c r="E15287" s="14" t="str">
        <f aca="false">IF(C15287="","",C15287*D15287/100)</f>
        <v/>
      </c>
      <c r="F15287" s="15" t="str">
        <f aca="false">IF(B15287&lt;5,"Go","Standard")</f>
        <v>Standard</v>
      </c>
    </row>
    <row r="15288" customFormat="false" ht="15" hidden="false" customHeight="true" outlineLevel="0" collapsed="false">
      <c r="A15288" s="10" t="n">
        <f aca="false">Einstellungen!$B$5+INT((ROW()-9)/24)</f>
        <v>46602</v>
      </c>
      <c r="B15288" s="11" t="n">
        <f aca="false">MOD(ROW()-9,24)</f>
        <v>15</v>
      </c>
      <c r="C15288" s="12"/>
      <c r="D15288" s="13" t="n">
        <f aca="false">IF(B15288&lt;5,Einstellungen!$B$3,Einstellungen!$B$4)</f>
        <v>29.13</v>
      </c>
      <c r="E15288" s="14" t="str">
        <f aca="false">IF(C15288="","",C15288*D15288/100)</f>
        <v/>
      </c>
      <c r="F15288" s="15" t="str">
        <f aca="false">IF(B15288&lt;5,"Go","Standard")</f>
        <v>Standard</v>
      </c>
    </row>
    <row r="15289" customFormat="false" ht="15" hidden="false" customHeight="true" outlineLevel="0" collapsed="false">
      <c r="A15289" s="10" t="n">
        <f aca="false">Einstellungen!$B$5+INT((ROW()-9)/24)</f>
        <v>46602</v>
      </c>
      <c r="B15289" s="11" t="n">
        <f aca="false">MOD(ROW()-9,24)</f>
        <v>16</v>
      </c>
      <c r="C15289" s="12"/>
      <c r="D15289" s="13" t="n">
        <f aca="false">IF(B15289&lt;5,Einstellungen!$B$3,Einstellungen!$B$4)</f>
        <v>29.13</v>
      </c>
      <c r="E15289" s="14" t="str">
        <f aca="false">IF(C15289="","",C15289*D15289/100)</f>
        <v/>
      </c>
      <c r="F15289" s="15" t="str">
        <f aca="false">IF(B15289&lt;5,"Go","Standard")</f>
        <v>Standard</v>
      </c>
    </row>
    <row r="15290" customFormat="false" ht="15" hidden="false" customHeight="true" outlineLevel="0" collapsed="false">
      <c r="A15290" s="10" t="n">
        <f aca="false">Einstellungen!$B$5+INT((ROW()-9)/24)</f>
        <v>46602</v>
      </c>
      <c r="B15290" s="11" t="n">
        <f aca="false">MOD(ROW()-9,24)</f>
        <v>17</v>
      </c>
      <c r="C15290" s="12"/>
      <c r="D15290" s="13" t="n">
        <f aca="false">IF(B15290&lt;5,Einstellungen!$B$3,Einstellungen!$B$4)</f>
        <v>29.13</v>
      </c>
      <c r="E15290" s="14" t="str">
        <f aca="false">IF(C15290="","",C15290*D15290/100)</f>
        <v/>
      </c>
      <c r="F15290" s="15" t="str">
        <f aca="false">IF(B15290&lt;5,"Go","Standard")</f>
        <v>Standard</v>
      </c>
    </row>
    <row r="15291" customFormat="false" ht="15" hidden="false" customHeight="true" outlineLevel="0" collapsed="false">
      <c r="A15291" s="10" t="n">
        <f aca="false">Einstellungen!$B$5+INT((ROW()-9)/24)</f>
        <v>46602</v>
      </c>
      <c r="B15291" s="11" t="n">
        <f aca="false">MOD(ROW()-9,24)</f>
        <v>18</v>
      </c>
      <c r="C15291" s="12"/>
      <c r="D15291" s="13" t="n">
        <f aca="false">IF(B15291&lt;5,Einstellungen!$B$3,Einstellungen!$B$4)</f>
        <v>29.13</v>
      </c>
      <c r="E15291" s="14" t="str">
        <f aca="false">IF(C15291="","",C15291*D15291/100)</f>
        <v/>
      </c>
      <c r="F15291" s="15" t="str">
        <f aca="false">IF(B15291&lt;5,"Go","Standard")</f>
        <v>Standard</v>
      </c>
    </row>
    <row r="15292" customFormat="false" ht="15" hidden="false" customHeight="true" outlineLevel="0" collapsed="false">
      <c r="A15292" s="10" t="n">
        <f aca="false">Einstellungen!$B$5+INT((ROW()-9)/24)</f>
        <v>46602</v>
      </c>
      <c r="B15292" s="11" t="n">
        <f aca="false">MOD(ROW()-9,24)</f>
        <v>19</v>
      </c>
      <c r="C15292" s="12"/>
      <c r="D15292" s="13" t="n">
        <f aca="false">IF(B15292&lt;5,Einstellungen!$B$3,Einstellungen!$B$4)</f>
        <v>29.13</v>
      </c>
      <c r="E15292" s="14" t="str">
        <f aca="false">IF(C15292="","",C15292*D15292/100)</f>
        <v/>
      </c>
      <c r="F15292" s="15" t="str">
        <f aca="false">IF(B15292&lt;5,"Go","Standard")</f>
        <v>Standard</v>
      </c>
    </row>
    <row r="15293" customFormat="false" ht="15" hidden="false" customHeight="true" outlineLevel="0" collapsed="false">
      <c r="A15293" s="10" t="n">
        <f aca="false">Einstellungen!$B$5+INT((ROW()-9)/24)</f>
        <v>46602</v>
      </c>
      <c r="B15293" s="11" t="n">
        <f aca="false">MOD(ROW()-9,24)</f>
        <v>20</v>
      </c>
      <c r="C15293" s="12"/>
      <c r="D15293" s="13" t="n">
        <f aca="false">IF(B15293&lt;5,Einstellungen!$B$3,Einstellungen!$B$4)</f>
        <v>29.13</v>
      </c>
      <c r="E15293" s="14" t="str">
        <f aca="false">IF(C15293="","",C15293*D15293/100)</f>
        <v/>
      </c>
      <c r="F15293" s="15" t="str">
        <f aca="false">IF(B15293&lt;5,"Go","Standard")</f>
        <v>Standard</v>
      </c>
    </row>
    <row r="15294" customFormat="false" ht="15" hidden="false" customHeight="true" outlineLevel="0" collapsed="false">
      <c r="A15294" s="10" t="n">
        <f aca="false">Einstellungen!$B$5+INT((ROW()-9)/24)</f>
        <v>46602</v>
      </c>
      <c r="B15294" s="11" t="n">
        <f aca="false">MOD(ROW()-9,24)</f>
        <v>21</v>
      </c>
      <c r="C15294" s="12"/>
      <c r="D15294" s="13" t="n">
        <f aca="false">IF(B15294&lt;5,Einstellungen!$B$3,Einstellungen!$B$4)</f>
        <v>29.13</v>
      </c>
      <c r="E15294" s="14" t="str">
        <f aca="false">IF(C15294="","",C15294*D15294/100)</f>
        <v/>
      </c>
      <c r="F15294" s="15" t="str">
        <f aca="false">IF(B15294&lt;5,"Go","Standard")</f>
        <v>Standard</v>
      </c>
    </row>
    <row r="15295" customFormat="false" ht="15" hidden="false" customHeight="true" outlineLevel="0" collapsed="false">
      <c r="A15295" s="10" t="n">
        <f aca="false">Einstellungen!$B$5+INT((ROW()-9)/24)</f>
        <v>46602</v>
      </c>
      <c r="B15295" s="11" t="n">
        <f aca="false">MOD(ROW()-9,24)</f>
        <v>22</v>
      </c>
      <c r="C15295" s="12"/>
      <c r="D15295" s="13" t="n">
        <f aca="false">IF(B15295&lt;5,Einstellungen!$B$3,Einstellungen!$B$4)</f>
        <v>29.13</v>
      </c>
      <c r="E15295" s="14" t="str">
        <f aca="false">IF(C15295="","",C15295*D15295/100)</f>
        <v/>
      </c>
      <c r="F15295" s="15" t="str">
        <f aca="false">IF(B15295&lt;5,"Go","Standard")</f>
        <v>Standard</v>
      </c>
    </row>
    <row r="15296" customFormat="false" ht="15" hidden="false" customHeight="true" outlineLevel="0" collapsed="false">
      <c r="A15296" s="10" t="n">
        <f aca="false">Einstellungen!$B$5+INT((ROW()-9)/24)</f>
        <v>46602</v>
      </c>
      <c r="B15296" s="11" t="n">
        <f aca="false">MOD(ROW()-9,24)</f>
        <v>23</v>
      </c>
      <c r="C15296" s="12"/>
      <c r="D15296" s="13" t="n">
        <f aca="false">IF(B15296&lt;5,Einstellungen!$B$3,Einstellungen!$B$4)</f>
        <v>29.13</v>
      </c>
      <c r="E15296" s="14" t="str">
        <f aca="false">IF(C15296="","",C15296*D15296/100)</f>
        <v/>
      </c>
      <c r="F15296" s="15" t="str">
        <f aca="false">IF(B15296&lt;5,"Go","Standard")</f>
        <v>Standard</v>
      </c>
    </row>
    <row r="15297" customFormat="false" ht="15" hidden="false" customHeight="true" outlineLevel="0" collapsed="false">
      <c r="A15297" s="10" t="n">
        <f aca="false">Einstellungen!$B$5+INT((ROW()-9)/24)</f>
        <v>46603</v>
      </c>
      <c r="B15297" s="11" t="n">
        <f aca="false">MOD(ROW()-9,24)</f>
        <v>0</v>
      </c>
      <c r="C15297" s="12"/>
      <c r="D15297" s="13" t="n">
        <f aca="false">IF(B15297&lt;5,Einstellungen!$B$3,Einstellungen!$B$4)</f>
        <v>15.92</v>
      </c>
      <c r="E15297" s="14" t="str">
        <f aca="false">IF(C15297="","",C15297*D15297/100)</f>
        <v/>
      </c>
      <c r="F15297" s="15" t="str">
        <f aca="false">IF(B15297&lt;5,"Go","Standard")</f>
        <v>Go</v>
      </c>
    </row>
    <row r="15298" customFormat="false" ht="15" hidden="false" customHeight="true" outlineLevel="0" collapsed="false">
      <c r="A15298" s="10" t="n">
        <f aca="false">Einstellungen!$B$5+INT((ROW()-9)/24)</f>
        <v>46603</v>
      </c>
      <c r="B15298" s="11" t="n">
        <f aca="false">MOD(ROW()-9,24)</f>
        <v>1</v>
      </c>
      <c r="C15298" s="12"/>
      <c r="D15298" s="13" t="n">
        <f aca="false">IF(B15298&lt;5,Einstellungen!$B$3,Einstellungen!$B$4)</f>
        <v>15.92</v>
      </c>
      <c r="E15298" s="14" t="str">
        <f aca="false">IF(C15298="","",C15298*D15298/100)</f>
        <v/>
      </c>
      <c r="F15298" s="15" t="str">
        <f aca="false">IF(B15298&lt;5,"Go","Standard")</f>
        <v>Go</v>
      </c>
    </row>
    <row r="15299" customFormat="false" ht="15" hidden="false" customHeight="true" outlineLevel="0" collapsed="false">
      <c r="A15299" s="10" t="n">
        <f aca="false">Einstellungen!$B$5+INT((ROW()-9)/24)</f>
        <v>46603</v>
      </c>
      <c r="B15299" s="11" t="n">
        <f aca="false">MOD(ROW()-9,24)</f>
        <v>2</v>
      </c>
      <c r="C15299" s="12"/>
      <c r="D15299" s="13" t="n">
        <f aca="false">IF(B15299&lt;5,Einstellungen!$B$3,Einstellungen!$B$4)</f>
        <v>15.92</v>
      </c>
      <c r="E15299" s="14" t="str">
        <f aca="false">IF(C15299="","",C15299*D15299/100)</f>
        <v/>
      </c>
      <c r="F15299" s="15" t="str">
        <f aca="false">IF(B15299&lt;5,"Go","Standard")</f>
        <v>Go</v>
      </c>
    </row>
    <row r="15300" customFormat="false" ht="15" hidden="false" customHeight="true" outlineLevel="0" collapsed="false">
      <c r="A15300" s="10" t="n">
        <f aca="false">Einstellungen!$B$5+INT((ROW()-9)/24)</f>
        <v>46603</v>
      </c>
      <c r="B15300" s="11" t="n">
        <f aca="false">MOD(ROW()-9,24)</f>
        <v>3</v>
      </c>
      <c r="C15300" s="12"/>
      <c r="D15300" s="13" t="n">
        <f aca="false">IF(B15300&lt;5,Einstellungen!$B$3,Einstellungen!$B$4)</f>
        <v>15.92</v>
      </c>
      <c r="E15300" s="14" t="str">
        <f aca="false">IF(C15300="","",C15300*D15300/100)</f>
        <v/>
      </c>
      <c r="F15300" s="15" t="str">
        <f aca="false">IF(B15300&lt;5,"Go","Standard")</f>
        <v>Go</v>
      </c>
    </row>
    <row r="15301" customFormat="false" ht="15" hidden="false" customHeight="true" outlineLevel="0" collapsed="false">
      <c r="A15301" s="10" t="n">
        <f aca="false">Einstellungen!$B$5+INT((ROW()-9)/24)</f>
        <v>46603</v>
      </c>
      <c r="B15301" s="11" t="n">
        <f aca="false">MOD(ROW()-9,24)</f>
        <v>4</v>
      </c>
      <c r="C15301" s="12"/>
      <c r="D15301" s="13" t="n">
        <f aca="false">IF(B15301&lt;5,Einstellungen!$B$3,Einstellungen!$B$4)</f>
        <v>15.92</v>
      </c>
      <c r="E15301" s="14" t="str">
        <f aca="false">IF(C15301="","",C15301*D15301/100)</f>
        <v/>
      </c>
      <c r="F15301" s="15" t="str">
        <f aca="false">IF(B15301&lt;5,"Go","Standard")</f>
        <v>Go</v>
      </c>
    </row>
    <row r="15302" customFormat="false" ht="15" hidden="false" customHeight="true" outlineLevel="0" collapsed="false">
      <c r="A15302" s="10" t="n">
        <f aca="false">Einstellungen!$B$5+INT((ROW()-9)/24)</f>
        <v>46603</v>
      </c>
      <c r="B15302" s="11" t="n">
        <f aca="false">MOD(ROW()-9,24)</f>
        <v>5</v>
      </c>
      <c r="C15302" s="12"/>
      <c r="D15302" s="13" t="n">
        <f aca="false">IF(B15302&lt;5,Einstellungen!$B$3,Einstellungen!$B$4)</f>
        <v>29.13</v>
      </c>
      <c r="E15302" s="14" t="str">
        <f aca="false">IF(C15302="","",C15302*D15302/100)</f>
        <v/>
      </c>
      <c r="F15302" s="15" t="str">
        <f aca="false">IF(B15302&lt;5,"Go","Standard")</f>
        <v>Standard</v>
      </c>
    </row>
    <row r="15303" customFormat="false" ht="15" hidden="false" customHeight="true" outlineLevel="0" collapsed="false">
      <c r="A15303" s="10" t="n">
        <f aca="false">Einstellungen!$B$5+INT((ROW()-9)/24)</f>
        <v>46603</v>
      </c>
      <c r="B15303" s="11" t="n">
        <f aca="false">MOD(ROW()-9,24)</f>
        <v>6</v>
      </c>
      <c r="C15303" s="12"/>
      <c r="D15303" s="13" t="n">
        <f aca="false">IF(B15303&lt;5,Einstellungen!$B$3,Einstellungen!$B$4)</f>
        <v>29.13</v>
      </c>
      <c r="E15303" s="14" t="str">
        <f aca="false">IF(C15303="","",C15303*D15303/100)</f>
        <v/>
      </c>
      <c r="F15303" s="15" t="str">
        <f aca="false">IF(B15303&lt;5,"Go","Standard")</f>
        <v>Standard</v>
      </c>
    </row>
    <row r="15304" customFormat="false" ht="15" hidden="false" customHeight="true" outlineLevel="0" collapsed="false">
      <c r="A15304" s="10" t="n">
        <f aca="false">Einstellungen!$B$5+INT((ROW()-9)/24)</f>
        <v>46603</v>
      </c>
      <c r="B15304" s="11" t="n">
        <f aca="false">MOD(ROW()-9,24)</f>
        <v>7</v>
      </c>
      <c r="C15304" s="12"/>
      <c r="D15304" s="13" t="n">
        <f aca="false">IF(B15304&lt;5,Einstellungen!$B$3,Einstellungen!$B$4)</f>
        <v>29.13</v>
      </c>
      <c r="E15304" s="14" t="str">
        <f aca="false">IF(C15304="","",C15304*D15304/100)</f>
        <v/>
      </c>
      <c r="F15304" s="15" t="str">
        <f aca="false">IF(B15304&lt;5,"Go","Standard")</f>
        <v>Standard</v>
      </c>
    </row>
    <row r="15305" customFormat="false" ht="15" hidden="false" customHeight="true" outlineLevel="0" collapsed="false">
      <c r="A15305" s="10" t="n">
        <f aca="false">Einstellungen!$B$5+INT((ROW()-9)/24)</f>
        <v>46603</v>
      </c>
      <c r="B15305" s="11" t="n">
        <f aca="false">MOD(ROW()-9,24)</f>
        <v>8</v>
      </c>
      <c r="C15305" s="12"/>
      <c r="D15305" s="13" t="n">
        <f aca="false">IF(B15305&lt;5,Einstellungen!$B$3,Einstellungen!$B$4)</f>
        <v>29.13</v>
      </c>
      <c r="E15305" s="14" t="str">
        <f aca="false">IF(C15305="","",C15305*D15305/100)</f>
        <v/>
      </c>
      <c r="F15305" s="15" t="str">
        <f aca="false">IF(B15305&lt;5,"Go","Standard")</f>
        <v>Standard</v>
      </c>
    </row>
    <row r="15306" customFormat="false" ht="15" hidden="false" customHeight="true" outlineLevel="0" collapsed="false">
      <c r="A15306" s="10" t="n">
        <f aca="false">Einstellungen!$B$5+INT((ROW()-9)/24)</f>
        <v>46603</v>
      </c>
      <c r="B15306" s="11" t="n">
        <f aca="false">MOD(ROW()-9,24)</f>
        <v>9</v>
      </c>
      <c r="C15306" s="12"/>
      <c r="D15306" s="13" t="n">
        <f aca="false">IF(B15306&lt;5,Einstellungen!$B$3,Einstellungen!$B$4)</f>
        <v>29.13</v>
      </c>
      <c r="E15306" s="14" t="str">
        <f aca="false">IF(C15306="","",C15306*D15306/100)</f>
        <v/>
      </c>
      <c r="F15306" s="15" t="str">
        <f aca="false">IF(B15306&lt;5,"Go","Standard")</f>
        <v>Standard</v>
      </c>
    </row>
    <row r="15307" customFormat="false" ht="15" hidden="false" customHeight="true" outlineLevel="0" collapsed="false">
      <c r="A15307" s="10" t="n">
        <f aca="false">Einstellungen!$B$5+INT((ROW()-9)/24)</f>
        <v>46603</v>
      </c>
      <c r="B15307" s="11" t="n">
        <f aca="false">MOD(ROW()-9,24)</f>
        <v>10</v>
      </c>
      <c r="C15307" s="12"/>
      <c r="D15307" s="13" t="n">
        <f aca="false">IF(B15307&lt;5,Einstellungen!$B$3,Einstellungen!$B$4)</f>
        <v>29.13</v>
      </c>
      <c r="E15307" s="14" t="str">
        <f aca="false">IF(C15307="","",C15307*D15307/100)</f>
        <v/>
      </c>
      <c r="F15307" s="15" t="str">
        <f aca="false">IF(B15307&lt;5,"Go","Standard")</f>
        <v>Standard</v>
      </c>
    </row>
    <row r="15308" customFormat="false" ht="15" hidden="false" customHeight="true" outlineLevel="0" collapsed="false">
      <c r="A15308" s="10" t="n">
        <f aca="false">Einstellungen!$B$5+INT((ROW()-9)/24)</f>
        <v>46603</v>
      </c>
      <c r="B15308" s="11" t="n">
        <f aca="false">MOD(ROW()-9,24)</f>
        <v>11</v>
      </c>
      <c r="C15308" s="12"/>
      <c r="D15308" s="13" t="n">
        <f aca="false">IF(B15308&lt;5,Einstellungen!$B$3,Einstellungen!$B$4)</f>
        <v>29.13</v>
      </c>
      <c r="E15308" s="14" t="str">
        <f aca="false">IF(C15308="","",C15308*D15308/100)</f>
        <v/>
      </c>
      <c r="F15308" s="15" t="str">
        <f aca="false">IF(B15308&lt;5,"Go","Standard")</f>
        <v>Standard</v>
      </c>
    </row>
    <row r="15309" customFormat="false" ht="15" hidden="false" customHeight="true" outlineLevel="0" collapsed="false">
      <c r="A15309" s="10" t="n">
        <f aca="false">Einstellungen!$B$5+INT((ROW()-9)/24)</f>
        <v>46603</v>
      </c>
      <c r="B15309" s="11" t="n">
        <f aca="false">MOD(ROW()-9,24)</f>
        <v>12</v>
      </c>
      <c r="C15309" s="12"/>
      <c r="D15309" s="13" t="n">
        <f aca="false">IF(B15309&lt;5,Einstellungen!$B$3,Einstellungen!$B$4)</f>
        <v>29.13</v>
      </c>
      <c r="E15309" s="14" t="str">
        <f aca="false">IF(C15309="","",C15309*D15309/100)</f>
        <v/>
      </c>
      <c r="F15309" s="15" t="str">
        <f aca="false">IF(B15309&lt;5,"Go","Standard")</f>
        <v>Standard</v>
      </c>
    </row>
    <row r="15310" customFormat="false" ht="15" hidden="false" customHeight="true" outlineLevel="0" collapsed="false">
      <c r="A15310" s="10" t="n">
        <f aca="false">Einstellungen!$B$5+INT((ROW()-9)/24)</f>
        <v>46603</v>
      </c>
      <c r="B15310" s="11" t="n">
        <f aca="false">MOD(ROW()-9,24)</f>
        <v>13</v>
      </c>
      <c r="C15310" s="12"/>
      <c r="D15310" s="13" t="n">
        <f aca="false">IF(B15310&lt;5,Einstellungen!$B$3,Einstellungen!$B$4)</f>
        <v>29.13</v>
      </c>
      <c r="E15310" s="14" t="str">
        <f aca="false">IF(C15310="","",C15310*D15310/100)</f>
        <v/>
      </c>
      <c r="F15310" s="15" t="str">
        <f aca="false">IF(B15310&lt;5,"Go","Standard")</f>
        <v>Standard</v>
      </c>
    </row>
    <row r="15311" customFormat="false" ht="15" hidden="false" customHeight="true" outlineLevel="0" collapsed="false">
      <c r="A15311" s="10" t="n">
        <f aca="false">Einstellungen!$B$5+INT((ROW()-9)/24)</f>
        <v>46603</v>
      </c>
      <c r="B15311" s="11" t="n">
        <f aca="false">MOD(ROW()-9,24)</f>
        <v>14</v>
      </c>
      <c r="C15311" s="12"/>
      <c r="D15311" s="13" t="n">
        <f aca="false">IF(B15311&lt;5,Einstellungen!$B$3,Einstellungen!$B$4)</f>
        <v>29.13</v>
      </c>
      <c r="E15311" s="14" t="str">
        <f aca="false">IF(C15311="","",C15311*D15311/100)</f>
        <v/>
      </c>
      <c r="F15311" s="15" t="str">
        <f aca="false">IF(B15311&lt;5,"Go","Standard")</f>
        <v>Standard</v>
      </c>
    </row>
    <row r="15312" customFormat="false" ht="15" hidden="false" customHeight="true" outlineLevel="0" collapsed="false">
      <c r="A15312" s="10" t="n">
        <f aca="false">Einstellungen!$B$5+INT((ROW()-9)/24)</f>
        <v>46603</v>
      </c>
      <c r="B15312" s="11" t="n">
        <f aca="false">MOD(ROW()-9,24)</f>
        <v>15</v>
      </c>
      <c r="C15312" s="12"/>
      <c r="D15312" s="13" t="n">
        <f aca="false">IF(B15312&lt;5,Einstellungen!$B$3,Einstellungen!$B$4)</f>
        <v>29.13</v>
      </c>
      <c r="E15312" s="14" t="str">
        <f aca="false">IF(C15312="","",C15312*D15312/100)</f>
        <v/>
      </c>
      <c r="F15312" s="15" t="str">
        <f aca="false">IF(B15312&lt;5,"Go","Standard")</f>
        <v>Standard</v>
      </c>
    </row>
    <row r="15313" customFormat="false" ht="15" hidden="false" customHeight="true" outlineLevel="0" collapsed="false">
      <c r="A15313" s="10" t="n">
        <f aca="false">Einstellungen!$B$5+INT((ROW()-9)/24)</f>
        <v>46603</v>
      </c>
      <c r="B15313" s="11" t="n">
        <f aca="false">MOD(ROW()-9,24)</f>
        <v>16</v>
      </c>
      <c r="C15313" s="12"/>
      <c r="D15313" s="13" t="n">
        <f aca="false">IF(B15313&lt;5,Einstellungen!$B$3,Einstellungen!$B$4)</f>
        <v>29.13</v>
      </c>
      <c r="E15313" s="14" t="str">
        <f aca="false">IF(C15313="","",C15313*D15313/100)</f>
        <v/>
      </c>
      <c r="F15313" s="15" t="str">
        <f aca="false">IF(B15313&lt;5,"Go","Standard")</f>
        <v>Standard</v>
      </c>
    </row>
    <row r="15314" customFormat="false" ht="15" hidden="false" customHeight="true" outlineLevel="0" collapsed="false">
      <c r="A15314" s="10" t="n">
        <f aca="false">Einstellungen!$B$5+INT((ROW()-9)/24)</f>
        <v>46603</v>
      </c>
      <c r="B15314" s="11" t="n">
        <f aca="false">MOD(ROW()-9,24)</f>
        <v>17</v>
      </c>
      <c r="C15314" s="12"/>
      <c r="D15314" s="13" t="n">
        <f aca="false">IF(B15314&lt;5,Einstellungen!$B$3,Einstellungen!$B$4)</f>
        <v>29.13</v>
      </c>
      <c r="E15314" s="14" t="str">
        <f aca="false">IF(C15314="","",C15314*D15314/100)</f>
        <v/>
      </c>
      <c r="F15314" s="15" t="str">
        <f aca="false">IF(B15314&lt;5,"Go","Standard")</f>
        <v>Standard</v>
      </c>
    </row>
    <row r="15315" customFormat="false" ht="15" hidden="false" customHeight="true" outlineLevel="0" collapsed="false">
      <c r="A15315" s="10" t="n">
        <f aca="false">Einstellungen!$B$5+INT((ROW()-9)/24)</f>
        <v>46603</v>
      </c>
      <c r="B15315" s="11" t="n">
        <f aca="false">MOD(ROW()-9,24)</f>
        <v>18</v>
      </c>
      <c r="C15315" s="12"/>
      <c r="D15315" s="13" t="n">
        <f aca="false">IF(B15315&lt;5,Einstellungen!$B$3,Einstellungen!$B$4)</f>
        <v>29.13</v>
      </c>
      <c r="E15315" s="14" t="str">
        <f aca="false">IF(C15315="","",C15315*D15315/100)</f>
        <v/>
      </c>
      <c r="F15315" s="15" t="str">
        <f aca="false">IF(B15315&lt;5,"Go","Standard")</f>
        <v>Standard</v>
      </c>
    </row>
    <row r="15316" customFormat="false" ht="15" hidden="false" customHeight="true" outlineLevel="0" collapsed="false">
      <c r="A15316" s="10" t="n">
        <f aca="false">Einstellungen!$B$5+INT((ROW()-9)/24)</f>
        <v>46603</v>
      </c>
      <c r="B15316" s="11" t="n">
        <f aca="false">MOD(ROW()-9,24)</f>
        <v>19</v>
      </c>
      <c r="C15316" s="12"/>
      <c r="D15316" s="13" t="n">
        <f aca="false">IF(B15316&lt;5,Einstellungen!$B$3,Einstellungen!$B$4)</f>
        <v>29.13</v>
      </c>
      <c r="E15316" s="14" t="str">
        <f aca="false">IF(C15316="","",C15316*D15316/100)</f>
        <v/>
      </c>
      <c r="F15316" s="15" t="str">
        <f aca="false">IF(B15316&lt;5,"Go","Standard")</f>
        <v>Standard</v>
      </c>
    </row>
    <row r="15317" customFormat="false" ht="15" hidden="false" customHeight="true" outlineLevel="0" collapsed="false">
      <c r="A15317" s="10" t="n">
        <f aca="false">Einstellungen!$B$5+INT((ROW()-9)/24)</f>
        <v>46603</v>
      </c>
      <c r="B15317" s="11" t="n">
        <f aca="false">MOD(ROW()-9,24)</f>
        <v>20</v>
      </c>
      <c r="C15317" s="12"/>
      <c r="D15317" s="13" t="n">
        <f aca="false">IF(B15317&lt;5,Einstellungen!$B$3,Einstellungen!$B$4)</f>
        <v>29.13</v>
      </c>
      <c r="E15317" s="14" t="str">
        <f aca="false">IF(C15317="","",C15317*D15317/100)</f>
        <v/>
      </c>
      <c r="F15317" s="15" t="str">
        <f aca="false">IF(B15317&lt;5,"Go","Standard")</f>
        <v>Standard</v>
      </c>
    </row>
    <row r="15318" customFormat="false" ht="15" hidden="false" customHeight="true" outlineLevel="0" collapsed="false">
      <c r="A15318" s="10" t="n">
        <f aca="false">Einstellungen!$B$5+INT((ROW()-9)/24)</f>
        <v>46603</v>
      </c>
      <c r="B15318" s="11" t="n">
        <f aca="false">MOD(ROW()-9,24)</f>
        <v>21</v>
      </c>
      <c r="C15318" s="12"/>
      <c r="D15318" s="13" t="n">
        <f aca="false">IF(B15318&lt;5,Einstellungen!$B$3,Einstellungen!$B$4)</f>
        <v>29.13</v>
      </c>
      <c r="E15318" s="14" t="str">
        <f aca="false">IF(C15318="","",C15318*D15318/100)</f>
        <v/>
      </c>
      <c r="F15318" s="15" t="str">
        <f aca="false">IF(B15318&lt;5,"Go","Standard")</f>
        <v>Standard</v>
      </c>
    </row>
    <row r="15319" customFormat="false" ht="15" hidden="false" customHeight="true" outlineLevel="0" collapsed="false">
      <c r="A15319" s="10" t="n">
        <f aca="false">Einstellungen!$B$5+INT((ROW()-9)/24)</f>
        <v>46603</v>
      </c>
      <c r="B15319" s="11" t="n">
        <f aca="false">MOD(ROW()-9,24)</f>
        <v>22</v>
      </c>
      <c r="C15319" s="12"/>
      <c r="D15319" s="13" t="n">
        <f aca="false">IF(B15319&lt;5,Einstellungen!$B$3,Einstellungen!$B$4)</f>
        <v>29.13</v>
      </c>
      <c r="E15319" s="14" t="str">
        <f aca="false">IF(C15319="","",C15319*D15319/100)</f>
        <v/>
      </c>
      <c r="F15319" s="15" t="str">
        <f aca="false">IF(B15319&lt;5,"Go","Standard")</f>
        <v>Standard</v>
      </c>
    </row>
    <row r="15320" customFormat="false" ht="15" hidden="false" customHeight="true" outlineLevel="0" collapsed="false">
      <c r="A15320" s="10" t="n">
        <f aca="false">Einstellungen!$B$5+INT((ROW()-9)/24)</f>
        <v>46603</v>
      </c>
      <c r="B15320" s="11" t="n">
        <f aca="false">MOD(ROW()-9,24)</f>
        <v>23</v>
      </c>
      <c r="C15320" s="12"/>
      <c r="D15320" s="13" t="n">
        <f aca="false">IF(B15320&lt;5,Einstellungen!$B$3,Einstellungen!$B$4)</f>
        <v>29.13</v>
      </c>
      <c r="E15320" s="14" t="str">
        <f aca="false">IF(C15320="","",C15320*D15320/100)</f>
        <v/>
      </c>
      <c r="F15320" s="15" t="str">
        <f aca="false">IF(B15320&lt;5,"Go","Standard")</f>
        <v>Standard</v>
      </c>
    </row>
    <row r="15321" customFormat="false" ht="15" hidden="false" customHeight="true" outlineLevel="0" collapsed="false">
      <c r="A15321" s="10" t="n">
        <f aca="false">Einstellungen!$B$5+INT((ROW()-9)/24)</f>
        <v>46604</v>
      </c>
      <c r="B15321" s="11" t="n">
        <f aca="false">MOD(ROW()-9,24)</f>
        <v>0</v>
      </c>
      <c r="C15321" s="12"/>
      <c r="D15321" s="13" t="n">
        <f aca="false">IF(B15321&lt;5,Einstellungen!$B$3,Einstellungen!$B$4)</f>
        <v>15.92</v>
      </c>
      <c r="E15321" s="14" t="str">
        <f aca="false">IF(C15321="","",C15321*D15321/100)</f>
        <v/>
      </c>
      <c r="F15321" s="15" t="str">
        <f aca="false">IF(B15321&lt;5,"Go","Standard")</f>
        <v>Go</v>
      </c>
    </row>
    <row r="15322" customFormat="false" ht="15" hidden="false" customHeight="true" outlineLevel="0" collapsed="false">
      <c r="A15322" s="10" t="n">
        <f aca="false">Einstellungen!$B$5+INT((ROW()-9)/24)</f>
        <v>46604</v>
      </c>
      <c r="B15322" s="11" t="n">
        <f aca="false">MOD(ROW()-9,24)</f>
        <v>1</v>
      </c>
      <c r="C15322" s="12"/>
      <c r="D15322" s="13" t="n">
        <f aca="false">IF(B15322&lt;5,Einstellungen!$B$3,Einstellungen!$B$4)</f>
        <v>15.92</v>
      </c>
      <c r="E15322" s="14" t="str">
        <f aca="false">IF(C15322="","",C15322*D15322/100)</f>
        <v/>
      </c>
      <c r="F15322" s="15" t="str">
        <f aca="false">IF(B15322&lt;5,"Go","Standard")</f>
        <v>Go</v>
      </c>
    </row>
    <row r="15323" customFormat="false" ht="15" hidden="false" customHeight="true" outlineLevel="0" collapsed="false">
      <c r="A15323" s="10" t="n">
        <f aca="false">Einstellungen!$B$5+INT((ROW()-9)/24)</f>
        <v>46604</v>
      </c>
      <c r="B15323" s="11" t="n">
        <f aca="false">MOD(ROW()-9,24)</f>
        <v>2</v>
      </c>
      <c r="C15323" s="12"/>
      <c r="D15323" s="13" t="n">
        <f aca="false">IF(B15323&lt;5,Einstellungen!$B$3,Einstellungen!$B$4)</f>
        <v>15.92</v>
      </c>
      <c r="E15323" s="14" t="str">
        <f aca="false">IF(C15323="","",C15323*D15323/100)</f>
        <v/>
      </c>
      <c r="F15323" s="15" t="str">
        <f aca="false">IF(B15323&lt;5,"Go","Standard")</f>
        <v>Go</v>
      </c>
    </row>
    <row r="15324" customFormat="false" ht="15" hidden="false" customHeight="true" outlineLevel="0" collapsed="false">
      <c r="A15324" s="10" t="n">
        <f aca="false">Einstellungen!$B$5+INT((ROW()-9)/24)</f>
        <v>46604</v>
      </c>
      <c r="B15324" s="11" t="n">
        <f aca="false">MOD(ROW()-9,24)</f>
        <v>3</v>
      </c>
      <c r="C15324" s="12"/>
      <c r="D15324" s="13" t="n">
        <f aca="false">IF(B15324&lt;5,Einstellungen!$B$3,Einstellungen!$B$4)</f>
        <v>15.92</v>
      </c>
      <c r="E15324" s="14" t="str">
        <f aca="false">IF(C15324="","",C15324*D15324/100)</f>
        <v/>
      </c>
      <c r="F15324" s="15" t="str">
        <f aca="false">IF(B15324&lt;5,"Go","Standard")</f>
        <v>Go</v>
      </c>
    </row>
    <row r="15325" customFormat="false" ht="15" hidden="false" customHeight="true" outlineLevel="0" collapsed="false">
      <c r="A15325" s="10" t="n">
        <f aca="false">Einstellungen!$B$5+INT((ROW()-9)/24)</f>
        <v>46604</v>
      </c>
      <c r="B15325" s="11" t="n">
        <f aca="false">MOD(ROW()-9,24)</f>
        <v>4</v>
      </c>
      <c r="C15325" s="12"/>
      <c r="D15325" s="13" t="n">
        <f aca="false">IF(B15325&lt;5,Einstellungen!$B$3,Einstellungen!$B$4)</f>
        <v>15.92</v>
      </c>
      <c r="E15325" s="14" t="str">
        <f aca="false">IF(C15325="","",C15325*D15325/100)</f>
        <v/>
      </c>
      <c r="F15325" s="15" t="str">
        <f aca="false">IF(B15325&lt;5,"Go","Standard")</f>
        <v>Go</v>
      </c>
    </row>
    <row r="15326" customFormat="false" ht="15" hidden="false" customHeight="true" outlineLevel="0" collapsed="false">
      <c r="A15326" s="10" t="n">
        <f aca="false">Einstellungen!$B$5+INT((ROW()-9)/24)</f>
        <v>46604</v>
      </c>
      <c r="B15326" s="11" t="n">
        <f aca="false">MOD(ROW()-9,24)</f>
        <v>5</v>
      </c>
      <c r="C15326" s="12"/>
      <c r="D15326" s="13" t="n">
        <f aca="false">IF(B15326&lt;5,Einstellungen!$B$3,Einstellungen!$B$4)</f>
        <v>29.13</v>
      </c>
      <c r="E15326" s="14" t="str">
        <f aca="false">IF(C15326="","",C15326*D15326/100)</f>
        <v/>
      </c>
      <c r="F15326" s="15" t="str">
        <f aca="false">IF(B15326&lt;5,"Go","Standard")</f>
        <v>Standard</v>
      </c>
    </row>
    <row r="15327" customFormat="false" ht="15" hidden="false" customHeight="true" outlineLevel="0" collapsed="false">
      <c r="A15327" s="10" t="n">
        <f aca="false">Einstellungen!$B$5+INT((ROW()-9)/24)</f>
        <v>46604</v>
      </c>
      <c r="B15327" s="11" t="n">
        <f aca="false">MOD(ROW()-9,24)</f>
        <v>6</v>
      </c>
      <c r="C15327" s="12"/>
      <c r="D15327" s="13" t="n">
        <f aca="false">IF(B15327&lt;5,Einstellungen!$B$3,Einstellungen!$B$4)</f>
        <v>29.13</v>
      </c>
      <c r="E15327" s="14" t="str">
        <f aca="false">IF(C15327="","",C15327*D15327/100)</f>
        <v/>
      </c>
      <c r="F15327" s="15" t="str">
        <f aca="false">IF(B15327&lt;5,"Go","Standard")</f>
        <v>Standard</v>
      </c>
    </row>
    <row r="15328" customFormat="false" ht="15" hidden="false" customHeight="true" outlineLevel="0" collapsed="false">
      <c r="A15328" s="10" t="n">
        <f aca="false">Einstellungen!$B$5+INT((ROW()-9)/24)</f>
        <v>46604</v>
      </c>
      <c r="B15328" s="11" t="n">
        <f aca="false">MOD(ROW()-9,24)</f>
        <v>7</v>
      </c>
      <c r="C15328" s="12"/>
      <c r="D15328" s="13" t="n">
        <f aca="false">IF(B15328&lt;5,Einstellungen!$B$3,Einstellungen!$B$4)</f>
        <v>29.13</v>
      </c>
      <c r="E15328" s="14" t="str">
        <f aca="false">IF(C15328="","",C15328*D15328/100)</f>
        <v/>
      </c>
      <c r="F15328" s="15" t="str">
        <f aca="false">IF(B15328&lt;5,"Go","Standard")</f>
        <v>Standard</v>
      </c>
    </row>
    <row r="15329" customFormat="false" ht="15" hidden="false" customHeight="true" outlineLevel="0" collapsed="false">
      <c r="A15329" s="10" t="n">
        <f aca="false">Einstellungen!$B$5+INT((ROW()-9)/24)</f>
        <v>46604</v>
      </c>
      <c r="B15329" s="11" t="n">
        <f aca="false">MOD(ROW()-9,24)</f>
        <v>8</v>
      </c>
      <c r="C15329" s="12"/>
      <c r="D15329" s="13" t="n">
        <f aca="false">IF(B15329&lt;5,Einstellungen!$B$3,Einstellungen!$B$4)</f>
        <v>29.13</v>
      </c>
      <c r="E15329" s="14" t="str">
        <f aca="false">IF(C15329="","",C15329*D15329/100)</f>
        <v/>
      </c>
      <c r="F15329" s="15" t="str">
        <f aca="false">IF(B15329&lt;5,"Go","Standard")</f>
        <v>Standard</v>
      </c>
    </row>
    <row r="15330" customFormat="false" ht="15" hidden="false" customHeight="true" outlineLevel="0" collapsed="false">
      <c r="A15330" s="10" t="n">
        <f aca="false">Einstellungen!$B$5+INT((ROW()-9)/24)</f>
        <v>46604</v>
      </c>
      <c r="B15330" s="11" t="n">
        <f aca="false">MOD(ROW()-9,24)</f>
        <v>9</v>
      </c>
      <c r="C15330" s="12"/>
      <c r="D15330" s="13" t="n">
        <f aca="false">IF(B15330&lt;5,Einstellungen!$B$3,Einstellungen!$B$4)</f>
        <v>29.13</v>
      </c>
      <c r="E15330" s="14" t="str">
        <f aca="false">IF(C15330="","",C15330*D15330/100)</f>
        <v/>
      </c>
      <c r="F15330" s="15" t="str">
        <f aca="false">IF(B15330&lt;5,"Go","Standard")</f>
        <v>Standard</v>
      </c>
    </row>
    <row r="15331" customFormat="false" ht="15" hidden="false" customHeight="true" outlineLevel="0" collapsed="false">
      <c r="A15331" s="10" t="n">
        <f aca="false">Einstellungen!$B$5+INT((ROW()-9)/24)</f>
        <v>46604</v>
      </c>
      <c r="B15331" s="11" t="n">
        <f aca="false">MOD(ROW()-9,24)</f>
        <v>10</v>
      </c>
      <c r="C15331" s="12"/>
      <c r="D15331" s="13" t="n">
        <f aca="false">IF(B15331&lt;5,Einstellungen!$B$3,Einstellungen!$B$4)</f>
        <v>29.13</v>
      </c>
      <c r="E15331" s="14" t="str">
        <f aca="false">IF(C15331="","",C15331*D15331/100)</f>
        <v/>
      </c>
      <c r="F15331" s="15" t="str">
        <f aca="false">IF(B15331&lt;5,"Go","Standard")</f>
        <v>Standard</v>
      </c>
    </row>
    <row r="15332" customFormat="false" ht="15" hidden="false" customHeight="true" outlineLevel="0" collapsed="false">
      <c r="A15332" s="10" t="n">
        <f aca="false">Einstellungen!$B$5+INT((ROW()-9)/24)</f>
        <v>46604</v>
      </c>
      <c r="B15332" s="11" t="n">
        <f aca="false">MOD(ROW()-9,24)</f>
        <v>11</v>
      </c>
      <c r="C15332" s="12"/>
      <c r="D15332" s="13" t="n">
        <f aca="false">IF(B15332&lt;5,Einstellungen!$B$3,Einstellungen!$B$4)</f>
        <v>29.13</v>
      </c>
      <c r="E15332" s="14" t="str">
        <f aca="false">IF(C15332="","",C15332*D15332/100)</f>
        <v/>
      </c>
      <c r="F15332" s="15" t="str">
        <f aca="false">IF(B15332&lt;5,"Go","Standard")</f>
        <v>Standard</v>
      </c>
    </row>
    <row r="15333" customFormat="false" ht="15" hidden="false" customHeight="true" outlineLevel="0" collapsed="false">
      <c r="A15333" s="10" t="n">
        <f aca="false">Einstellungen!$B$5+INT((ROW()-9)/24)</f>
        <v>46604</v>
      </c>
      <c r="B15333" s="11" t="n">
        <f aca="false">MOD(ROW()-9,24)</f>
        <v>12</v>
      </c>
      <c r="C15333" s="12"/>
      <c r="D15333" s="13" t="n">
        <f aca="false">IF(B15333&lt;5,Einstellungen!$B$3,Einstellungen!$B$4)</f>
        <v>29.13</v>
      </c>
      <c r="E15333" s="14" t="str">
        <f aca="false">IF(C15333="","",C15333*D15333/100)</f>
        <v/>
      </c>
      <c r="F15333" s="15" t="str">
        <f aca="false">IF(B15333&lt;5,"Go","Standard")</f>
        <v>Standard</v>
      </c>
    </row>
    <row r="15334" customFormat="false" ht="15" hidden="false" customHeight="true" outlineLevel="0" collapsed="false">
      <c r="A15334" s="10" t="n">
        <f aca="false">Einstellungen!$B$5+INT((ROW()-9)/24)</f>
        <v>46604</v>
      </c>
      <c r="B15334" s="11" t="n">
        <f aca="false">MOD(ROW()-9,24)</f>
        <v>13</v>
      </c>
      <c r="C15334" s="12"/>
      <c r="D15334" s="13" t="n">
        <f aca="false">IF(B15334&lt;5,Einstellungen!$B$3,Einstellungen!$B$4)</f>
        <v>29.13</v>
      </c>
      <c r="E15334" s="14" t="str">
        <f aca="false">IF(C15334="","",C15334*D15334/100)</f>
        <v/>
      </c>
      <c r="F15334" s="15" t="str">
        <f aca="false">IF(B15334&lt;5,"Go","Standard")</f>
        <v>Standard</v>
      </c>
    </row>
    <row r="15335" customFormat="false" ht="15" hidden="false" customHeight="true" outlineLevel="0" collapsed="false">
      <c r="A15335" s="10" t="n">
        <f aca="false">Einstellungen!$B$5+INT((ROW()-9)/24)</f>
        <v>46604</v>
      </c>
      <c r="B15335" s="11" t="n">
        <f aca="false">MOD(ROW()-9,24)</f>
        <v>14</v>
      </c>
      <c r="C15335" s="12"/>
      <c r="D15335" s="13" t="n">
        <f aca="false">IF(B15335&lt;5,Einstellungen!$B$3,Einstellungen!$B$4)</f>
        <v>29.13</v>
      </c>
      <c r="E15335" s="14" t="str">
        <f aca="false">IF(C15335="","",C15335*D15335/100)</f>
        <v/>
      </c>
      <c r="F15335" s="15" t="str">
        <f aca="false">IF(B15335&lt;5,"Go","Standard")</f>
        <v>Standard</v>
      </c>
    </row>
    <row r="15336" customFormat="false" ht="15" hidden="false" customHeight="true" outlineLevel="0" collapsed="false">
      <c r="A15336" s="10" t="n">
        <f aca="false">Einstellungen!$B$5+INT((ROW()-9)/24)</f>
        <v>46604</v>
      </c>
      <c r="B15336" s="11" t="n">
        <f aca="false">MOD(ROW()-9,24)</f>
        <v>15</v>
      </c>
      <c r="C15336" s="12"/>
      <c r="D15336" s="13" t="n">
        <f aca="false">IF(B15336&lt;5,Einstellungen!$B$3,Einstellungen!$B$4)</f>
        <v>29.13</v>
      </c>
      <c r="E15336" s="14" t="str">
        <f aca="false">IF(C15336="","",C15336*D15336/100)</f>
        <v/>
      </c>
      <c r="F15336" s="15" t="str">
        <f aca="false">IF(B15336&lt;5,"Go","Standard")</f>
        <v>Standard</v>
      </c>
    </row>
    <row r="15337" customFormat="false" ht="15" hidden="false" customHeight="true" outlineLevel="0" collapsed="false">
      <c r="A15337" s="10" t="n">
        <f aca="false">Einstellungen!$B$5+INT((ROW()-9)/24)</f>
        <v>46604</v>
      </c>
      <c r="B15337" s="11" t="n">
        <f aca="false">MOD(ROW()-9,24)</f>
        <v>16</v>
      </c>
      <c r="C15337" s="12"/>
      <c r="D15337" s="13" t="n">
        <f aca="false">IF(B15337&lt;5,Einstellungen!$B$3,Einstellungen!$B$4)</f>
        <v>29.13</v>
      </c>
      <c r="E15337" s="14" t="str">
        <f aca="false">IF(C15337="","",C15337*D15337/100)</f>
        <v/>
      </c>
      <c r="F15337" s="15" t="str">
        <f aca="false">IF(B15337&lt;5,"Go","Standard")</f>
        <v>Standard</v>
      </c>
    </row>
    <row r="15338" customFormat="false" ht="15" hidden="false" customHeight="true" outlineLevel="0" collapsed="false">
      <c r="A15338" s="10" t="n">
        <f aca="false">Einstellungen!$B$5+INT((ROW()-9)/24)</f>
        <v>46604</v>
      </c>
      <c r="B15338" s="11" t="n">
        <f aca="false">MOD(ROW()-9,24)</f>
        <v>17</v>
      </c>
      <c r="C15338" s="12"/>
      <c r="D15338" s="13" t="n">
        <f aca="false">IF(B15338&lt;5,Einstellungen!$B$3,Einstellungen!$B$4)</f>
        <v>29.13</v>
      </c>
      <c r="E15338" s="14" t="str">
        <f aca="false">IF(C15338="","",C15338*D15338/100)</f>
        <v/>
      </c>
      <c r="F15338" s="15" t="str">
        <f aca="false">IF(B15338&lt;5,"Go","Standard")</f>
        <v>Standard</v>
      </c>
    </row>
    <row r="15339" customFormat="false" ht="15" hidden="false" customHeight="true" outlineLevel="0" collapsed="false">
      <c r="A15339" s="10" t="n">
        <f aca="false">Einstellungen!$B$5+INT((ROW()-9)/24)</f>
        <v>46604</v>
      </c>
      <c r="B15339" s="11" t="n">
        <f aca="false">MOD(ROW()-9,24)</f>
        <v>18</v>
      </c>
      <c r="C15339" s="12"/>
      <c r="D15339" s="13" t="n">
        <f aca="false">IF(B15339&lt;5,Einstellungen!$B$3,Einstellungen!$B$4)</f>
        <v>29.13</v>
      </c>
      <c r="E15339" s="14" t="str">
        <f aca="false">IF(C15339="","",C15339*D15339/100)</f>
        <v/>
      </c>
      <c r="F15339" s="15" t="str">
        <f aca="false">IF(B15339&lt;5,"Go","Standard")</f>
        <v>Standard</v>
      </c>
    </row>
    <row r="15340" customFormat="false" ht="15" hidden="false" customHeight="true" outlineLevel="0" collapsed="false">
      <c r="A15340" s="10" t="n">
        <f aca="false">Einstellungen!$B$5+INT((ROW()-9)/24)</f>
        <v>46604</v>
      </c>
      <c r="B15340" s="11" t="n">
        <f aca="false">MOD(ROW()-9,24)</f>
        <v>19</v>
      </c>
      <c r="C15340" s="12"/>
      <c r="D15340" s="13" t="n">
        <f aca="false">IF(B15340&lt;5,Einstellungen!$B$3,Einstellungen!$B$4)</f>
        <v>29.13</v>
      </c>
      <c r="E15340" s="14" t="str">
        <f aca="false">IF(C15340="","",C15340*D15340/100)</f>
        <v/>
      </c>
      <c r="F15340" s="15" t="str">
        <f aca="false">IF(B15340&lt;5,"Go","Standard")</f>
        <v>Standard</v>
      </c>
    </row>
    <row r="15341" customFormat="false" ht="15" hidden="false" customHeight="true" outlineLevel="0" collapsed="false">
      <c r="A15341" s="10" t="n">
        <f aca="false">Einstellungen!$B$5+INT((ROW()-9)/24)</f>
        <v>46604</v>
      </c>
      <c r="B15341" s="11" t="n">
        <f aca="false">MOD(ROW()-9,24)</f>
        <v>20</v>
      </c>
      <c r="C15341" s="12"/>
      <c r="D15341" s="13" t="n">
        <f aca="false">IF(B15341&lt;5,Einstellungen!$B$3,Einstellungen!$B$4)</f>
        <v>29.13</v>
      </c>
      <c r="E15341" s="14" t="str">
        <f aca="false">IF(C15341="","",C15341*D15341/100)</f>
        <v/>
      </c>
      <c r="F15341" s="15" t="str">
        <f aca="false">IF(B15341&lt;5,"Go","Standard")</f>
        <v>Standard</v>
      </c>
    </row>
    <row r="15342" customFormat="false" ht="15" hidden="false" customHeight="true" outlineLevel="0" collapsed="false">
      <c r="A15342" s="10" t="n">
        <f aca="false">Einstellungen!$B$5+INT((ROW()-9)/24)</f>
        <v>46604</v>
      </c>
      <c r="B15342" s="11" t="n">
        <f aca="false">MOD(ROW()-9,24)</f>
        <v>21</v>
      </c>
      <c r="C15342" s="12"/>
      <c r="D15342" s="13" t="n">
        <f aca="false">IF(B15342&lt;5,Einstellungen!$B$3,Einstellungen!$B$4)</f>
        <v>29.13</v>
      </c>
      <c r="E15342" s="14" t="str">
        <f aca="false">IF(C15342="","",C15342*D15342/100)</f>
        <v/>
      </c>
      <c r="F15342" s="15" t="str">
        <f aca="false">IF(B15342&lt;5,"Go","Standard")</f>
        <v>Standard</v>
      </c>
    </row>
    <row r="15343" customFormat="false" ht="15" hidden="false" customHeight="true" outlineLevel="0" collapsed="false">
      <c r="A15343" s="10" t="n">
        <f aca="false">Einstellungen!$B$5+INT((ROW()-9)/24)</f>
        <v>46604</v>
      </c>
      <c r="B15343" s="11" t="n">
        <f aca="false">MOD(ROW()-9,24)</f>
        <v>22</v>
      </c>
      <c r="C15343" s="12"/>
      <c r="D15343" s="13" t="n">
        <f aca="false">IF(B15343&lt;5,Einstellungen!$B$3,Einstellungen!$B$4)</f>
        <v>29.13</v>
      </c>
      <c r="E15343" s="14" t="str">
        <f aca="false">IF(C15343="","",C15343*D15343/100)</f>
        <v/>
      </c>
      <c r="F15343" s="15" t="str">
        <f aca="false">IF(B15343&lt;5,"Go","Standard")</f>
        <v>Standard</v>
      </c>
    </row>
    <row r="15344" customFormat="false" ht="15" hidden="false" customHeight="true" outlineLevel="0" collapsed="false">
      <c r="A15344" s="10" t="n">
        <f aca="false">Einstellungen!$B$5+INT((ROW()-9)/24)</f>
        <v>46604</v>
      </c>
      <c r="B15344" s="11" t="n">
        <f aca="false">MOD(ROW()-9,24)</f>
        <v>23</v>
      </c>
      <c r="C15344" s="12"/>
      <c r="D15344" s="13" t="n">
        <f aca="false">IF(B15344&lt;5,Einstellungen!$B$3,Einstellungen!$B$4)</f>
        <v>29.13</v>
      </c>
      <c r="E15344" s="14" t="str">
        <f aca="false">IF(C15344="","",C15344*D15344/100)</f>
        <v/>
      </c>
      <c r="F15344" s="15" t="str">
        <f aca="false">IF(B15344&lt;5,"Go","Standard")</f>
        <v>Standard</v>
      </c>
    </row>
    <row r="15345" customFormat="false" ht="15" hidden="false" customHeight="true" outlineLevel="0" collapsed="false">
      <c r="A15345" s="10" t="n">
        <f aca="false">Einstellungen!$B$5+INT((ROW()-9)/24)</f>
        <v>46605</v>
      </c>
      <c r="B15345" s="11" t="n">
        <f aca="false">MOD(ROW()-9,24)</f>
        <v>0</v>
      </c>
      <c r="C15345" s="12"/>
      <c r="D15345" s="13" t="n">
        <f aca="false">IF(B15345&lt;5,Einstellungen!$B$3,Einstellungen!$B$4)</f>
        <v>15.92</v>
      </c>
      <c r="E15345" s="14" t="str">
        <f aca="false">IF(C15345="","",C15345*D15345/100)</f>
        <v/>
      </c>
      <c r="F15345" s="15" t="str">
        <f aca="false">IF(B15345&lt;5,"Go","Standard")</f>
        <v>Go</v>
      </c>
    </row>
    <row r="15346" customFormat="false" ht="15" hidden="false" customHeight="true" outlineLevel="0" collapsed="false">
      <c r="A15346" s="10" t="n">
        <f aca="false">Einstellungen!$B$5+INT((ROW()-9)/24)</f>
        <v>46605</v>
      </c>
      <c r="B15346" s="11" t="n">
        <f aca="false">MOD(ROW()-9,24)</f>
        <v>1</v>
      </c>
      <c r="C15346" s="12"/>
      <c r="D15346" s="13" t="n">
        <f aca="false">IF(B15346&lt;5,Einstellungen!$B$3,Einstellungen!$B$4)</f>
        <v>15.92</v>
      </c>
      <c r="E15346" s="14" t="str">
        <f aca="false">IF(C15346="","",C15346*D15346/100)</f>
        <v/>
      </c>
      <c r="F15346" s="15" t="str">
        <f aca="false">IF(B15346&lt;5,"Go","Standard")</f>
        <v>Go</v>
      </c>
    </row>
    <row r="15347" customFormat="false" ht="15" hidden="false" customHeight="true" outlineLevel="0" collapsed="false">
      <c r="A15347" s="10" t="n">
        <f aca="false">Einstellungen!$B$5+INT((ROW()-9)/24)</f>
        <v>46605</v>
      </c>
      <c r="B15347" s="11" t="n">
        <f aca="false">MOD(ROW()-9,24)</f>
        <v>2</v>
      </c>
      <c r="C15347" s="12"/>
      <c r="D15347" s="13" t="n">
        <f aca="false">IF(B15347&lt;5,Einstellungen!$B$3,Einstellungen!$B$4)</f>
        <v>15.92</v>
      </c>
      <c r="E15347" s="14" t="str">
        <f aca="false">IF(C15347="","",C15347*D15347/100)</f>
        <v/>
      </c>
      <c r="F15347" s="15" t="str">
        <f aca="false">IF(B15347&lt;5,"Go","Standard")</f>
        <v>Go</v>
      </c>
    </row>
    <row r="15348" customFormat="false" ht="15" hidden="false" customHeight="true" outlineLevel="0" collapsed="false">
      <c r="A15348" s="10" t="n">
        <f aca="false">Einstellungen!$B$5+INT((ROW()-9)/24)</f>
        <v>46605</v>
      </c>
      <c r="B15348" s="11" t="n">
        <f aca="false">MOD(ROW()-9,24)</f>
        <v>3</v>
      </c>
      <c r="C15348" s="12"/>
      <c r="D15348" s="13" t="n">
        <f aca="false">IF(B15348&lt;5,Einstellungen!$B$3,Einstellungen!$B$4)</f>
        <v>15.92</v>
      </c>
      <c r="E15348" s="14" t="str">
        <f aca="false">IF(C15348="","",C15348*D15348/100)</f>
        <v/>
      </c>
      <c r="F15348" s="15" t="str">
        <f aca="false">IF(B15348&lt;5,"Go","Standard")</f>
        <v>Go</v>
      </c>
    </row>
    <row r="15349" customFormat="false" ht="15" hidden="false" customHeight="true" outlineLevel="0" collapsed="false">
      <c r="A15349" s="10" t="n">
        <f aca="false">Einstellungen!$B$5+INT((ROW()-9)/24)</f>
        <v>46605</v>
      </c>
      <c r="B15349" s="11" t="n">
        <f aca="false">MOD(ROW()-9,24)</f>
        <v>4</v>
      </c>
      <c r="C15349" s="12"/>
      <c r="D15349" s="13" t="n">
        <f aca="false">IF(B15349&lt;5,Einstellungen!$B$3,Einstellungen!$B$4)</f>
        <v>15.92</v>
      </c>
      <c r="E15349" s="14" t="str">
        <f aca="false">IF(C15349="","",C15349*D15349/100)</f>
        <v/>
      </c>
      <c r="F15349" s="15" t="str">
        <f aca="false">IF(B15349&lt;5,"Go","Standard")</f>
        <v>Go</v>
      </c>
    </row>
    <row r="15350" customFormat="false" ht="15" hidden="false" customHeight="true" outlineLevel="0" collapsed="false">
      <c r="A15350" s="10" t="n">
        <f aca="false">Einstellungen!$B$5+INT((ROW()-9)/24)</f>
        <v>46605</v>
      </c>
      <c r="B15350" s="11" t="n">
        <f aca="false">MOD(ROW()-9,24)</f>
        <v>5</v>
      </c>
      <c r="C15350" s="12"/>
      <c r="D15350" s="13" t="n">
        <f aca="false">IF(B15350&lt;5,Einstellungen!$B$3,Einstellungen!$B$4)</f>
        <v>29.13</v>
      </c>
      <c r="E15350" s="14" t="str">
        <f aca="false">IF(C15350="","",C15350*D15350/100)</f>
        <v/>
      </c>
      <c r="F15350" s="15" t="str">
        <f aca="false">IF(B15350&lt;5,"Go","Standard")</f>
        <v>Standard</v>
      </c>
    </row>
    <row r="15351" customFormat="false" ht="15" hidden="false" customHeight="true" outlineLevel="0" collapsed="false">
      <c r="A15351" s="10" t="n">
        <f aca="false">Einstellungen!$B$5+INT((ROW()-9)/24)</f>
        <v>46605</v>
      </c>
      <c r="B15351" s="11" t="n">
        <f aca="false">MOD(ROW()-9,24)</f>
        <v>6</v>
      </c>
      <c r="C15351" s="12"/>
      <c r="D15351" s="13" t="n">
        <f aca="false">IF(B15351&lt;5,Einstellungen!$B$3,Einstellungen!$B$4)</f>
        <v>29.13</v>
      </c>
      <c r="E15351" s="14" t="str">
        <f aca="false">IF(C15351="","",C15351*D15351/100)</f>
        <v/>
      </c>
      <c r="F15351" s="15" t="str">
        <f aca="false">IF(B15351&lt;5,"Go","Standard")</f>
        <v>Standard</v>
      </c>
    </row>
    <row r="15352" customFormat="false" ht="15" hidden="false" customHeight="true" outlineLevel="0" collapsed="false">
      <c r="A15352" s="10" t="n">
        <f aca="false">Einstellungen!$B$5+INT((ROW()-9)/24)</f>
        <v>46605</v>
      </c>
      <c r="B15352" s="11" t="n">
        <f aca="false">MOD(ROW()-9,24)</f>
        <v>7</v>
      </c>
      <c r="C15352" s="12"/>
      <c r="D15352" s="13" t="n">
        <f aca="false">IF(B15352&lt;5,Einstellungen!$B$3,Einstellungen!$B$4)</f>
        <v>29.13</v>
      </c>
      <c r="E15352" s="14" t="str">
        <f aca="false">IF(C15352="","",C15352*D15352/100)</f>
        <v/>
      </c>
      <c r="F15352" s="15" t="str">
        <f aca="false">IF(B15352&lt;5,"Go","Standard")</f>
        <v>Standard</v>
      </c>
    </row>
    <row r="15353" customFormat="false" ht="15" hidden="false" customHeight="true" outlineLevel="0" collapsed="false">
      <c r="A15353" s="10" t="n">
        <f aca="false">Einstellungen!$B$5+INT((ROW()-9)/24)</f>
        <v>46605</v>
      </c>
      <c r="B15353" s="11" t="n">
        <f aca="false">MOD(ROW()-9,24)</f>
        <v>8</v>
      </c>
      <c r="C15353" s="12"/>
      <c r="D15353" s="13" t="n">
        <f aca="false">IF(B15353&lt;5,Einstellungen!$B$3,Einstellungen!$B$4)</f>
        <v>29.13</v>
      </c>
      <c r="E15353" s="14" t="str">
        <f aca="false">IF(C15353="","",C15353*D15353/100)</f>
        <v/>
      </c>
      <c r="F15353" s="15" t="str">
        <f aca="false">IF(B15353&lt;5,"Go","Standard")</f>
        <v>Standard</v>
      </c>
    </row>
    <row r="15354" customFormat="false" ht="15" hidden="false" customHeight="true" outlineLevel="0" collapsed="false">
      <c r="A15354" s="10" t="n">
        <f aca="false">Einstellungen!$B$5+INT((ROW()-9)/24)</f>
        <v>46605</v>
      </c>
      <c r="B15354" s="11" t="n">
        <f aca="false">MOD(ROW()-9,24)</f>
        <v>9</v>
      </c>
      <c r="C15354" s="12"/>
      <c r="D15354" s="13" t="n">
        <f aca="false">IF(B15354&lt;5,Einstellungen!$B$3,Einstellungen!$B$4)</f>
        <v>29.13</v>
      </c>
      <c r="E15354" s="14" t="str">
        <f aca="false">IF(C15354="","",C15354*D15354/100)</f>
        <v/>
      </c>
      <c r="F15354" s="15" t="str">
        <f aca="false">IF(B15354&lt;5,"Go","Standard")</f>
        <v>Standard</v>
      </c>
    </row>
    <row r="15355" customFormat="false" ht="15" hidden="false" customHeight="true" outlineLevel="0" collapsed="false">
      <c r="A15355" s="10" t="n">
        <f aca="false">Einstellungen!$B$5+INT((ROW()-9)/24)</f>
        <v>46605</v>
      </c>
      <c r="B15355" s="11" t="n">
        <f aca="false">MOD(ROW()-9,24)</f>
        <v>10</v>
      </c>
      <c r="C15355" s="12"/>
      <c r="D15355" s="13" t="n">
        <f aca="false">IF(B15355&lt;5,Einstellungen!$B$3,Einstellungen!$B$4)</f>
        <v>29.13</v>
      </c>
      <c r="E15355" s="14" t="str">
        <f aca="false">IF(C15355="","",C15355*D15355/100)</f>
        <v/>
      </c>
      <c r="F15355" s="15" t="str">
        <f aca="false">IF(B15355&lt;5,"Go","Standard")</f>
        <v>Standard</v>
      </c>
    </row>
    <row r="15356" customFormat="false" ht="15" hidden="false" customHeight="true" outlineLevel="0" collapsed="false">
      <c r="A15356" s="10" t="n">
        <f aca="false">Einstellungen!$B$5+INT((ROW()-9)/24)</f>
        <v>46605</v>
      </c>
      <c r="B15356" s="11" t="n">
        <f aca="false">MOD(ROW()-9,24)</f>
        <v>11</v>
      </c>
      <c r="C15356" s="12"/>
      <c r="D15356" s="13" t="n">
        <f aca="false">IF(B15356&lt;5,Einstellungen!$B$3,Einstellungen!$B$4)</f>
        <v>29.13</v>
      </c>
      <c r="E15356" s="14" t="str">
        <f aca="false">IF(C15356="","",C15356*D15356/100)</f>
        <v/>
      </c>
      <c r="F15356" s="15" t="str">
        <f aca="false">IF(B15356&lt;5,"Go","Standard")</f>
        <v>Standard</v>
      </c>
    </row>
    <row r="15357" customFormat="false" ht="15" hidden="false" customHeight="true" outlineLevel="0" collapsed="false">
      <c r="A15357" s="10" t="n">
        <f aca="false">Einstellungen!$B$5+INT((ROW()-9)/24)</f>
        <v>46605</v>
      </c>
      <c r="B15357" s="11" t="n">
        <f aca="false">MOD(ROW()-9,24)</f>
        <v>12</v>
      </c>
      <c r="C15357" s="12"/>
      <c r="D15357" s="13" t="n">
        <f aca="false">IF(B15357&lt;5,Einstellungen!$B$3,Einstellungen!$B$4)</f>
        <v>29.13</v>
      </c>
      <c r="E15357" s="14" t="str">
        <f aca="false">IF(C15357="","",C15357*D15357/100)</f>
        <v/>
      </c>
      <c r="F15357" s="15" t="str">
        <f aca="false">IF(B15357&lt;5,"Go","Standard")</f>
        <v>Standard</v>
      </c>
    </row>
    <row r="15358" customFormat="false" ht="15" hidden="false" customHeight="true" outlineLevel="0" collapsed="false">
      <c r="A15358" s="10" t="n">
        <f aca="false">Einstellungen!$B$5+INT((ROW()-9)/24)</f>
        <v>46605</v>
      </c>
      <c r="B15358" s="11" t="n">
        <f aca="false">MOD(ROW()-9,24)</f>
        <v>13</v>
      </c>
      <c r="C15358" s="12"/>
      <c r="D15358" s="13" t="n">
        <f aca="false">IF(B15358&lt;5,Einstellungen!$B$3,Einstellungen!$B$4)</f>
        <v>29.13</v>
      </c>
      <c r="E15358" s="14" t="str">
        <f aca="false">IF(C15358="","",C15358*D15358/100)</f>
        <v/>
      </c>
      <c r="F15358" s="15" t="str">
        <f aca="false">IF(B15358&lt;5,"Go","Standard")</f>
        <v>Standard</v>
      </c>
    </row>
    <row r="15359" customFormat="false" ht="15" hidden="false" customHeight="true" outlineLevel="0" collapsed="false">
      <c r="A15359" s="10" t="n">
        <f aca="false">Einstellungen!$B$5+INT((ROW()-9)/24)</f>
        <v>46605</v>
      </c>
      <c r="B15359" s="11" t="n">
        <f aca="false">MOD(ROW()-9,24)</f>
        <v>14</v>
      </c>
      <c r="C15359" s="12"/>
      <c r="D15359" s="13" t="n">
        <f aca="false">IF(B15359&lt;5,Einstellungen!$B$3,Einstellungen!$B$4)</f>
        <v>29.13</v>
      </c>
      <c r="E15359" s="14" t="str">
        <f aca="false">IF(C15359="","",C15359*D15359/100)</f>
        <v/>
      </c>
      <c r="F15359" s="15" t="str">
        <f aca="false">IF(B15359&lt;5,"Go","Standard")</f>
        <v>Standard</v>
      </c>
    </row>
    <row r="15360" customFormat="false" ht="15" hidden="false" customHeight="true" outlineLevel="0" collapsed="false">
      <c r="A15360" s="10" t="n">
        <f aca="false">Einstellungen!$B$5+INT((ROW()-9)/24)</f>
        <v>46605</v>
      </c>
      <c r="B15360" s="11" t="n">
        <f aca="false">MOD(ROW()-9,24)</f>
        <v>15</v>
      </c>
      <c r="C15360" s="12"/>
      <c r="D15360" s="13" t="n">
        <f aca="false">IF(B15360&lt;5,Einstellungen!$B$3,Einstellungen!$B$4)</f>
        <v>29.13</v>
      </c>
      <c r="E15360" s="14" t="str">
        <f aca="false">IF(C15360="","",C15360*D15360/100)</f>
        <v/>
      </c>
      <c r="F15360" s="15" t="str">
        <f aca="false">IF(B15360&lt;5,"Go","Standard")</f>
        <v>Standard</v>
      </c>
    </row>
    <row r="15361" customFormat="false" ht="15" hidden="false" customHeight="true" outlineLevel="0" collapsed="false">
      <c r="A15361" s="10" t="n">
        <f aca="false">Einstellungen!$B$5+INT((ROW()-9)/24)</f>
        <v>46605</v>
      </c>
      <c r="B15361" s="11" t="n">
        <f aca="false">MOD(ROW()-9,24)</f>
        <v>16</v>
      </c>
      <c r="C15361" s="12"/>
      <c r="D15361" s="13" t="n">
        <f aca="false">IF(B15361&lt;5,Einstellungen!$B$3,Einstellungen!$B$4)</f>
        <v>29.13</v>
      </c>
      <c r="E15361" s="14" t="str">
        <f aca="false">IF(C15361="","",C15361*D15361/100)</f>
        <v/>
      </c>
      <c r="F15361" s="15" t="str">
        <f aca="false">IF(B15361&lt;5,"Go","Standard")</f>
        <v>Standard</v>
      </c>
    </row>
    <row r="15362" customFormat="false" ht="15" hidden="false" customHeight="true" outlineLevel="0" collapsed="false">
      <c r="A15362" s="10" t="n">
        <f aca="false">Einstellungen!$B$5+INT((ROW()-9)/24)</f>
        <v>46605</v>
      </c>
      <c r="B15362" s="11" t="n">
        <f aca="false">MOD(ROW()-9,24)</f>
        <v>17</v>
      </c>
      <c r="C15362" s="12"/>
      <c r="D15362" s="13" t="n">
        <f aca="false">IF(B15362&lt;5,Einstellungen!$B$3,Einstellungen!$B$4)</f>
        <v>29.13</v>
      </c>
      <c r="E15362" s="14" t="str">
        <f aca="false">IF(C15362="","",C15362*D15362/100)</f>
        <v/>
      </c>
      <c r="F15362" s="15" t="str">
        <f aca="false">IF(B15362&lt;5,"Go","Standard")</f>
        <v>Standard</v>
      </c>
    </row>
    <row r="15363" customFormat="false" ht="15" hidden="false" customHeight="true" outlineLevel="0" collapsed="false">
      <c r="A15363" s="10" t="n">
        <f aca="false">Einstellungen!$B$5+INT((ROW()-9)/24)</f>
        <v>46605</v>
      </c>
      <c r="B15363" s="11" t="n">
        <f aca="false">MOD(ROW()-9,24)</f>
        <v>18</v>
      </c>
      <c r="C15363" s="12"/>
      <c r="D15363" s="13" t="n">
        <f aca="false">IF(B15363&lt;5,Einstellungen!$B$3,Einstellungen!$B$4)</f>
        <v>29.13</v>
      </c>
      <c r="E15363" s="14" t="str">
        <f aca="false">IF(C15363="","",C15363*D15363/100)</f>
        <v/>
      </c>
      <c r="F15363" s="15" t="str">
        <f aca="false">IF(B15363&lt;5,"Go","Standard")</f>
        <v>Standard</v>
      </c>
    </row>
    <row r="15364" customFormat="false" ht="15" hidden="false" customHeight="true" outlineLevel="0" collapsed="false">
      <c r="A15364" s="10" t="n">
        <f aca="false">Einstellungen!$B$5+INT((ROW()-9)/24)</f>
        <v>46605</v>
      </c>
      <c r="B15364" s="11" t="n">
        <f aca="false">MOD(ROW()-9,24)</f>
        <v>19</v>
      </c>
      <c r="C15364" s="12"/>
      <c r="D15364" s="13" t="n">
        <f aca="false">IF(B15364&lt;5,Einstellungen!$B$3,Einstellungen!$B$4)</f>
        <v>29.13</v>
      </c>
      <c r="E15364" s="14" t="str">
        <f aca="false">IF(C15364="","",C15364*D15364/100)</f>
        <v/>
      </c>
      <c r="F15364" s="15" t="str">
        <f aca="false">IF(B15364&lt;5,"Go","Standard")</f>
        <v>Standard</v>
      </c>
    </row>
    <row r="15365" customFormat="false" ht="15" hidden="false" customHeight="true" outlineLevel="0" collapsed="false">
      <c r="A15365" s="10" t="n">
        <f aca="false">Einstellungen!$B$5+INT((ROW()-9)/24)</f>
        <v>46605</v>
      </c>
      <c r="B15365" s="11" t="n">
        <f aca="false">MOD(ROW()-9,24)</f>
        <v>20</v>
      </c>
      <c r="C15365" s="12"/>
      <c r="D15365" s="13" t="n">
        <f aca="false">IF(B15365&lt;5,Einstellungen!$B$3,Einstellungen!$B$4)</f>
        <v>29.13</v>
      </c>
      <c r="E15365" s="14" t="str">
        <f aca="false">IF(C15365="","",C15365*D15365/100)</f>
        <v/>
      </c>
      <c r="F15365" s="15" t="str">
        <f aca="false">IF(B15365&lt;5,"Go","Standard")</f>
        <v>Standard</v>
      </c>
    </row>
    <row r="15366" customFormat="false" ht="15" hidden="false" customHeight="true" outlineLevel="0" collapsed="false">
      <c r="A15366" s="10" t="n">
        <f aca="false">Einstellungen!$B$5+INT((ROW()-9)/24)</f>
        <v>46605</v>
      </c>
      <c r="B15366" s="11" t="n">
        <f aca="false">MOD(ROW()-9,24)</f>
        <v>21</v>
      </c>
      <c r="C15366" s="12"/>
      <c r="D15366" s="13" t="n">
        <f aca="false">IF(B15366&lt;5,Einstellungen!$B$3,Einstellungen!$B$4)</f>
        <v>29.13</v>
      </c>
      <c r="E15366" s="14" t="str">
        <f aca="false">IF(C15366="","",C15366*D15366/100)</f>
        <v/>
      </c>
      <c r="F15366" s="15" t="str">
        <f aca="false">IF(B15366&lt;5,"Go","Standard")</f>
        <v>Standard</v>
      </c>
    </row>
    <row r="15367" customFormat="false" ht="15" hidden="false" customHeight="true" outlineLevel="0" collapsed="false">
      <c r="A15367" s="10" t="n">
        <f aca="false">Einstellungen!$B$5+INT((ROW()-9)/24)</f>
        <v>46605</v>
      </c>
      <c r="B15367" s="11" t="n">
        <f aca="false">MOD(ROW()-9,24)</f>
        <v>22</v>
      </c>
      <c r="C15367" s="12"/>
      <c r="D15367" s="13" t="n">
        <f aca="false">IF(B15367&lt;5,Einstellungen!$B$3,Einstellungen!$B$4)</f>
        <v>29.13</v>
      </c>
      <c r="E15367" s="14" t="str">
        <f aca="false">IF(C15367="","",C15367*D15367/100)</f>
        <v/>
      </c>
      <c r="F15367" s="15" t="str">
        <f aca="false">IF(B15367&lt;5,"Go","Standard")</f>
        <v>Standard</v>
      </c>
    </row>
    <row r="15368" customFormat="false" ht="15" hidden="false" customHeight="true" outlineLevel="0" collapsed="false">
      <c r="A15368" s="10" t="n">
        <f aca="false">Einstellungen!$B$5+INT((ROW()-9)/24)</f>
        <v>46605</v>
      </c>
      <c r="B15368" s="11" t="n">
        <f aca="false">MOD(ROW()-9,24)</f>
        <v>23</v>
      </c>
      <c r="C15368" s="12"/>
      <c r="D15368" s="13" t="n">
        <f aca="false">IF(B15368&lt;5,Einstellungen!$B$3,Einstellungen!$B$4)</f>
        <v>29.13</v>
      </c>
      <c r="E15368" s="14" t="str">
        <f aca="false">IF(C15368="","",C15368*D15368/100)</f>
        <v/>
      </c>
      <c r="F15368" s="15" t="str">
        <f aca="false">IF(B15368&lt;5,"Go","Standard")</f>
        <v>Standard</v>
      </c>
    </row>
    <row r="15369" customFormat="false" ht="15" hidden="false" customHeight="true" outlineLevel="0" collapsed="false">
      <c r="A15369" s="10" t="n">
        <f aca="false">Einstellungen!$B$5+INT((ROW()-9)/24)</f>
        <v>46606</v>
      </c>
      <c r="B15369" s="11" t="n">
        <f aca="false">MOD(ROW()-9,24)</f>
        <v>0</v>
      </c>
      <c r="C15369" s="12"/>
      <c r="D15369" s="13" t="n">
        <f aca="false">IF(B15369&lt;5,Einstellungen!$B$3,Einstellungen!$B$4)</f>
        <v>15.92</v>
      </c>
      <c r="E15369" s="14" t="str">
        <f aca="false">IF(C15369="","",C15369*D15369/100)</f>
        <v/>
      </c>
      <c r="F15369" s="15" t="str">
        <f aca="false">IF(B15369&lt;5,"Go","Standard")</f>
        <v>Go</v>
      </c>
    </row>
    <row r="15370" customFormat="false" ht="15" hidden="false" customHeight="true" outlineLevel="0" collapsed="false">
      <c r="A15370" s="10" t="n">
        <f aca="false">Einstellungen!$B$5+INT((ROW()-9)/24)</f>
        <v>46606</v>
      </c>
      <c r="B15370" s="11" t="n">
        <f aca="false">MOD(ROW()-9,24)</f>
        <v>1</v>
      </c>
      <c r="C15370" s="12"/>
      <c r="D15370" s="13" t="n">
        <f aca="false">IF(B15370&lt;5,Einstellungen!$B$3,Einstellungen!$B$4)</f>
        <v>15.92</v>
      </c>
      <c r="E15370" s="14" t="str">
        <f aca="false">IF(C15370="","",C15370*D15370/100)</f>
        <v/>
      </c>
      <c r="F15370" s="15" t="str">
        <f aca="false">IF(B15370&lt;5,"Go","Standard")</f>
        <v>Go</v>
      </c>
    </row>
    <row r="15371" customFormat="false" ht="15" hidden="false" customHeight="true" outlineLevel="0" collapsed="false">
      <c r="A15371" s="10" t="n">
        <f aca="false">Einstellungen!$B$5+INT((ROW()-9)/24)</f>
        <v>46606</v>
      </c>
      <c r="B15371" s="11" t="n">
        <f aca="false">MOD(ROW()-9,24)</f>
        <v>2</v>
      </c>
      <c r="C15371" s="12"/>
      <c r="D15371" s="13" t="n">
        <f aca="false">IF(B15371&lt;5,Einstellungen!$B$3,Einstellungen!$B$4)</f>
        <v>15.92</v>
      </c>
      <c r="E15371" s="14" t="str">
        <f aca="false">IF(C15371="","",C15371*D15371/100)</f>
        <v/>
      </c>
      <c r="F15371" s="15" t="str">
        <f aca="false">IF(B15371&lt;5,"Go","Standard")</f>
        <v>Go</v>
      </c>
    </row>
    <row r="15372" customFormat="false" ht="15" hidden="false" customHeight="true" outlineLevel="0" collapsed="false">
      <c r="A15372" s="10" t="n">
        <f aca="false">Einstellungen!$B$5+INT((ROW()-9)/24)</f>
        <v>46606</v>
      </c>
      <c r="B15372" s="11" t="n">
        <f aca="false">MOD(ROW()-9,24)</f>
        <v>3</v>
      </c>
      <c r="C15372" s="12"/>
      <c r="D15372" s="13" t="n">
        <f aca="false">IF(B15372&lt;5,Einstellungen!$B$3,Einstellungen!$B$4)</f>
        <v>15.92</v>
      </c>
      <c r="E15372" s="14" t="str">
        <f aca="false">IF(C15372="","",C15372*D15372/100)</f>
        <v/>
      </c>
      <c r="F15372" s="15" t="str">
        <f aca="false">IF(B15372&lt;5,"Go","Standard")</f>
        <v>Go</v>
      </c>
    </row>
    <row r="15373" customFormat="false" ht="15" hidden="false" customHeight="true" outlineLevel="0" collapsed="false">
      <c r="A15373" s="10" t="n">
        <f aca="false">Einstellungen!$B$5+INT((ROW()-9)/24)</f>
        <v>46606</v>
      </c>
      <c r="B15373" s="11" t="n">
        <f aca="false">MOD(ROW()-9,24)</f>
        <v>4</v>
      </c>
      <c r="C15373" s="12"/>
      <c r="D15373" s="13" t="n">
        <f aca="false">IF(B15373&lt;5,Einstellungen!$B$3,Einstellungen!$B$4)</f>
        <v>15.92</v>
      </c>
      <c r="E15373" s="14" t="str">
        <f aca="false">IF(C15373="","",C15373*D15373/100)</f>
        <v/>
      </c>
      <c r="F15373" s="15" t="str">
        <f aca="false">IF(B15373&lt;5,"Go","Standard")</f>
        <v>Go</v>
      </c>
    </row>
    <row r="15374" customFormat="false" ht="15" hidden="false" customHeight="true" outlineLevel="0" collapsed="false">
      <c r="A15374" s="10" t="n">
        <f aca="false">Einstellungen!$B$5+INT((ROW()-9)/24)</f>
        <v>46606</v>
      </c>
      <c r="B15374" s="11" t="n">
        <f aca="false">MOD(ROW()-9,24)</f>
        <v>5</v>
      </c>
      <c r="C15374" s="12"/>
      <c r="D15374" s="13" t="n">
        <f aca="false">IF(B15374&lt;5,Einstellungen!$B$3,Einstellungen!$B$4)</f>
        <v>29.13</v>
      </c>
      <c r="E15374" s="14" t="str">
        <f aca="false">IF(C15374="","",C15374*D15374/100)</f>
        <v/>
      </c>
      <c r="F15374" s="15" t="str">
        <f aca="false">IF(B15374&lt;5,"Go","Standard")</f>
        <v>Standard</v>
      </c>
    </row>
    <row r="15375" customFormat="false" ht="15" hidden="false" customHeight="true" outlineLevel="0" collapsed="false">
      <c r="A15375" s="10" t="n">
        <f aca="false">Einstellungen!$B$5+INT((ROW()-9)/24)</f>
        <v>46606</v>
      </c>
      <c r="B15375" s="11" t="n">
        <f aca="false">MOD(ROW()-9,24)</f>
        <v>6</v>
      </c>
      <c r="C15375" s="12"/>
      <c r="D15375" s="13" t="n">
        <f aca="false">IF(B15375&lt;5,Einstellungen!$B$3,Einstellungen!$B$4)</f>
        <v>29.13</v>
      </c>
      <c r="E15375" s="14" t="str">
        <f aca="false">IF(C15375="","",C15375*D15375/100)</f>
        <v/>
      </c>
      <c r="F15375" s="15" t="str">
        <f aca="false">IF(B15375&lt;5,"Go","Standard")</f>
        <v>Standard</v>
      </c>
    </row>
    <row r="15376" customFormat="false" ht="15" hidden="false" customHeight="true" outlineLevel="0" collapsed="false">
      <c r="A15376" s="10" t="n">
        <f aca="false">Einstellungen!$B$5+INT((ROW()-9)/24)</f>
        <v>46606</v>
      </c>
      <c r="B15376" s="11" t="n">
        <f aca="false">MOD(ROW()-9,24)</f>
        <v>7</v>
      </c>
      <c r="C15376" s="12"/>
      <c r="D15376" s="13" t="n">
        <f aca="false">IF(B15376&lt;5,Einstellungen!$B$3,Einstellungen!$B$4)</f>
        <v>29.13</v>
      </c>
      <c r="E15376" s="14" t="str">
        <f aca="false">IF(C15376="","",C15376*D15376/100)</f>
        <v/>
      </c>
      <c r="F15376" s="15" t="str">
        <f aca="false">IF(B15376&lt;5,"Go","Standard")</f>
        <v>Standard</v>
      </c>
    </row>
    <row r="15377" customFormat="false" ht="15" hidden="false" customHeight="true" outlineLevel="0" collapsed="false">
      <c r="A15377" s="10" t="n">
        <f aca="false">Einstellungen!$B$5+INT((ROW()-9)/24)</f>
        <v>46606</v>
      </c>
      <c r="B15377" s="11" t="n">
        <f aca="false">MOD(ROW()-9,24)</f>
        <v>8</v>
      </c>
      <c r="C15377" s="12"/>
      <c r="D15377" s="13" t="n">
        <f aca="false">IF(B15377&lt;5,Einstellungen!$B$3,Einstellungen!$B$4)</f>
        <v>29.13</v>
      </c>
      <c r="E15377" s="14" t="str">
        <f aca="false">IF(C15377="","",C15377*D15377/100)</f>
        <v/>
      </c>
      <c r="F15377" s="15" t="str">
        <f aca="false">IF(B15377&lt;5,"Go","Standard")</f>
        <v>Standard</v>
      </c>
    </row>
    <row r="15378" customFormat="false" ht="15" hidden="false" customHeight="true" outlineLevel="0" collapsed="false">
      <c r="A15378" s="10" t="n">
        <f aca="false">Einstellungen!$B$5+INT((ROW()-9)/24)</f>
        <v>46606</v>
      </c>
      <c r="B15378" s="11" t="n">
        <f aca="false">MOD(ROW()-9,24)</f>
        <v>9</v>
      </c>
      <c r="C15378" s="12"/>
      <c r="D15378" s="13" t="n">
        <f aca="false">IF(B15378&lt;5,Einstellungen!$B$3,Einstellungen!$B$4)</f>
        <v>29.13</v>
      </c>
      <c r="E15378" s="14" t="str">
        <f aca="false">IF(C15378="","",C15378*D15378/100)</f>
        <v/>
      </c>
      <c r="F15378" s="15" t="str">
        <f aca="false">IF(B15378&lt;5,"Go","Standard")</f>
        <v>Standard</v>
      </c>
    </row>
    <row r="15379" customFormat="false" ht="15" hidden="false" customHeight="true" outlineLevel="0" collapsed="false">
      <c r="A15379" s="10" t="n">
        <f aca="false">Einstellungen!$B$5+INT((ROW()-9)/24)</f>
        <v>46606</v>
      </c>
      <c r="B15379" s="11" t="n">
        <f aca="false">MOD(ROW()-9,24)</f>
        <v>10</v>
      </c>
      <c r="C15379" s="12"/>
      <c r="D15379" s="13" t="n">
        <f aca="false">IF(B15379&lt;5,Einstellungen!$B$3,Einstellungen!$B$4)</f>
        <v>29.13</v>
      </c>
      <c r="E15379" s="14" t="str">
        <f aca="false">IF(C15379="","",C15379*D15379/100)</f>
        <v/>
      </c>
      <c r="F15379" s="15" t="str">
        <f aca="false">IF(B15379&lt;5,"Go","Standard")</f>
        <v>Standard</v>
      </c>
    </row>
    <row r="15380" customFormat="false" ht="15" hidden="false" customHeight="true" outlineLevel="0" collapsed="false">
      <c r="A15380" s="10" t="n">
        <f aca="false">Einstellungen!$B$5+INT((ROW()-9)/24)</f>
        <v>46606</v>
      </c>
      <c r="B15380" s="11" t="n">
        <f aca="false">MOD(ROW()-9,24)</f>
        <v>11</v>
      </c>
      <c r="C15380" s="12"/>
      <c r="D15380" s="13" t="n">
        <f aca="false">IF(B15380&lt;5,Einstellungen!$B$3,Einstellungen!$B$4)</f>
        <v>29.13</v>
      </c>
      <c r="E15380" s="14" t="str">
        <f aca="false">IF(C15380="","",C15380*D15380/100)</f>
        <v/>
      </c>
      <c r="F15380" s="15" t="str">
        <f aca="false">IF(B15380&lt;5,"Go","Standard")</f>
        <v>Standard</v>
      </c>
    </row>
    <row r="15381" customFormat="false" ht="15" hidden="false" customHeight="true" outlineLevel="0" collapsed="false">
      <c r="A15381" s="10" t="n">
        <f aca="false">Einstellungen!$B$5+INT((ROW()-9)/24)</f>
        <v>46606</v>
      </c>
      <c r="B15381" s="11" t="n">
        <f aca="false">MOD(ROW()-9,24)</f>
        <v>12</v>
      </c>
      <c r="C15381" s="12"/>
      <c r="D15381" s="13" t="n">
        <f aca="false">IF(B15381&lt;5,Einstellungen!$B$3,Einstellungen!$B$4)</f>
        <v>29.13</v>
      </c>
      <c r="E15381" s="14" t="str">
        <f aca="false">IF(C15381="","",C15381*D15381/100)</f>
        <v/>
      </c>
      <c r="F15381" s="15" t="str">
        <f aca="false">IF(B15381&lt;5,"Go","Standard")</f>
        <v>Standard</v>
      </c>
    </row>
    <row r="15382" customFormat="false" ht="15" hidden="false" customHeight="true" outlineLevel="0" collapsed="false">
      <c r="A15382" s="10" t="n">
        <f aca="false">Einstellungen!$B$5+INT((ROW()-9)/24)</f>
        <v>46606</v>
      </c>
      <c r="B15382" s="11" t="n">
        <f aca="false">MOD(ROW()-9,24)</f>
        <v>13</v>
      </c>
      <c r="C15382" s="12"/>
      <c r="D15382" s="13" t="n">
        <f aca="false">IF(B15382&lt;5,Einstellungen!$B$3,Einstellungen!$B$4)</f>
        <v>29.13</v>
      </c>
      <c r="E15382" s="14" t="str">
        <f aca="false">IF(C15382="","",C15382*D15382/100)</f>
        <v/>
      </c>
      <c r="F15382" s="15" t="str">
        <f aca="false">IF(B15382&lt;5,"Go","Standard")</f>
        <v>Standard</v>
      </c>
    </row>
    <row r="15383" customFormat="false" ht="15" hidden="false" customHeight="true" outlineLevel="0" collapsed="false">
      <c r="A15383" s="10" t="n">
        <f aca="false">Einstellungen!$B$5+INT((ROW()-9)/24)</f>
        <v>46606</v>
      </c>
      <c r="B15383" s="11" t="n">
        <f aca="false">MOD(ROW()-9,24)</f>
        <v>14</v>
      </c>
      <c r="C15383" s="12"/>
      <c r="D15383" s="13" t="n">
        <f aca="false">IF(B15383&lt;5,Einstellungen!$B$3,Einstellungen!$B$4)</f>
        <v>29.13</v>
      </c>
      <c r="E15383" s="14" t="str">
        <f aca="false">IF(C15383="","",C15383*D15383/100)</f>
        <v/>
      </c>
      <c r="F15383" s="15" t="str">
        <f aca="false">IF(B15383&lt;5,"Go","Standard")</f>
        <v>Standard</v>
      </c>
    </row>
    <row r="15384" customFormat="false" ht="15" hidden="false" customHeight="true" outlineLevel="0" collapsed="false">
      <c r="A15384" s="10" t="n">
        <f aca="false">Einstellungen!$B$5+INT((ROW()-9)/24)</f>
        <v>46606</v>
      </c>
      <c r="B15384" s="11" t="n">
        <f aca="false">MOD(ROW()-9,24)</f>
        <v>15</v>
      </c>
      <c r="C15384" s="12"/>
      <c r="D15384" s="13" t="n">
        <f aca="false">IF(B15384&lt;5,Einstellungen!$B$3,Einstellungen!$B$4)</f>
        <v>29.13</v>
      </c>
      <c r="E15384" s="14" t="str">
        <f aca="false">IF(C15384="","",C15384*D15384/100)</f>
        <v/>
      </c>
      <c r="F15384" s="15" t="str">
        <f aca="false">IF(B15384&lt;5,"Go","Standard")</f>
        <v>Standard</v>
      </c>
    </row>
    <row r="15385" customFormat="false" ht="15" hidden="false" customHeight="true" outlineLevel="0" collapsed="false">
      <c r="A15385" s="10" t="n">
        <f aca="false">Einstellungen!$B$5+INT((ROW()-9)/24)</f>
        <v>46606</v>
      </c>
      <c r="B15385" s="11" t="n">
        <f aca="false">MOD(ROW()-9,24)</f>
        <v>16</v>
      </c>
      <c r="C15385" s="12"/>
      <c r="D15385" s="13" t="n">
        <f aca="false">IF(B15385&lt;5,Einstellungen!$B$3,Einstellungen!$B$4)</f>
        <v>29.13</v>
      </c>
      <c r="E15385" s="14" t="str">
        <f aca="false">IF(C15385="","",C15385*D15385/100)</f>
        <v/>
      </c>
      <c r="F15385" s="15" t="str">
        <f aca="false">IF(B15385&lt;5,"Go","Standard")</f>
        <v>Standard</v>
      </c>
    </row>
    <row r="15386" customFormat="false" ht="15" hidden="false" customHeight="true" outlineLevel="0" collapsed="false">
      <c r="A15386" s="10" t="n">
        <f aca="false">Einstellungen!$B$5+INT((ROW()-9)/24)</f>
        <v>46606</v>
      </c>
      <c r="B15386" s="11" t="n">
        <f aca="false">MOD(ROW()-9,24)</f>
        <v>17</v>
      </c>
      <c r="C15386" s="12"/>
      <c r="D15386" s="13" t="n">
        <f aca="false">IF(B15386&lt;5,Einstellungen!$B$3,Einstellungen!$B$4)</f>
        <v>29.13</v>
      </c>
      <c r="E15386" s="14" t="str">
        <f aca="false">IF(C15386="","",C15386*D15386/100)</f>
        <v/>
      </c>
      <c r="F15386" s="15" t="str">
        <f aca="false">IF(B15386&lt;5,"Go","Standard")</f>
        <v>Standard</v>
      </c>
    </row>
    <row r="15387" customFormat="false" ht="15" hidden="false" customHeight="true" outlineLevel="0" collapsed="false">
      <c r="A15387" s="10" t="n">
        <f aca="false">Einstellungen!$B$5+INT((ROW()-9)/24)</f>
        <v>46606</v>
      </c>
      <c r="B15387" s="11" t="n">
        <f aca="false">MOD(ROW()-9,24)</f>
        <v>18</v>
      </c>
      <c r="C15387" s="12"/>
      <c r="D15387" s="13" t="n">
        <f aca="false">IF(B15387&lt;5,Einstellungen!$B$3,Einstellungen!$B$4)</f>
        <v>29.13</v>
      </c>
      <c r="E15387" s="14" t="str">
        <f aca="false">IF(C15387="","",C15387*D15387/100)</f>
        <v/>
      </c>
      <c r="F15387" s="15" t="str">
        <f aca="false">IF(B15387&lt;5,"Go","Standard")</f>
        <v>Standard</v>
      </c>
    </row>
    <row r="15388" customFormat="false" ht="15" hidden="false" customHeight="true" outlineLevel="0" collapsed="false">
      <c r="A15388" s="10" t="n">
        <f aca="false">Einstellungen!$B$5+INT((ROW()-9)/24)</f>
        <v>46606</v>
      </c>
      <c r="B15388" s="11" t="n">
        <f aca="false">MOD(ROW()-9,24)</f>
        <v>19</v>
      </c>
      <c r="C15388" s="12"/>
      <c r="D15388" s="13" t="n">
        <f aca="false">IF(B15388&lt;5,Einstellungen!$B$3,Einstellungen!$B$4)</f>
        <v>29.13</v>
      </c>
      <c r="E15388" s="14" t="str">
        <f aca="false">IF(C15388="","",C15388*D15388/100)</f>
        <v/>
      </c>
      <c r="F15388" s="15" t="str">
        <f aca="false">IF(B15388&lt;5,"Go","Standard")</f>
        <v>Standard</v>
      </c>
    </row>
    <row r="15389" customFormat="false" ht="15" hidden="false" customHeight="true" outlineLevel="0" collapsed="false">
      <c r="A15389" s="10" t="n">
        <f aca="false">Einstellungen!$B$5+INT((ROW()-9)/24)</f>
        <v>46606</v>
      </c>
      <c r="B15389" s="11" t="n">
        <f aca="false">MOD(ROW()-9,24)</f>
        <v>20</v>
      </c>
      <c r="C15389" s="12"/>
      <c r="D15389" s="13" t="n">
        <f aca="false">IF(B15389&lt;5,Einstellungen!$B$3,Einstellungen!$B$4)</f>
        <v>29.13</v>
      </c>
      <c r="E15389" s="14" t="str">
        <f aca="false">IF(C15389="","",C15389*D15389/100)</f>
        <v/>
      </c>
      <c r="F15389" s="15" t="str">
        <f aca="false">IF(B15389&lt;5,"Go","Standard")</f>
        <v>Standard</v>
      </c>
    </row>
    <row r="15390" customFormat="false" ht="15" hidden="false" customHeight="true" outlineLevel="0" collapsed="false">
      <c r="A15390" s="10" t="n">
        <f aca="false">Einstellungen!$B$5+INT((ROW()-9)/24)</f>
        <v>46606</v>
      </c>
      <c r="B15390" s="11" t="n">
        <f aca="false">MOD(ROW()-9,24)</f>
        <v>21</v>
      </c>
      <c r="C15390" s="12"/>
      <c r="D15390" s="13" t="n">
        <f aca="false">IF(B15390&lt;5,Einstellungen!$B$3,Einstellungen!$B$4)</f>
        <v>29.13</v>
      </c>
      <c r="E15390" s="14" t="str">
        <f aca="false">IF(C15390="","",C15390*D15390/100)</f>
        <v/>
      </c>
      <c r="F15390" s="15" t="str">
        <f aca="false">IF(B15390&lt;5,"Go","Standard")</f>
        <v>Standard</v>
      </c>
    </row>
    <row r="15391" customFormat="false" ht="15" hidden="false" customHeight="true" outlineLevel="0" collapsed="false">
      <c r="A15391" s="10" t="n">
        <f aca="false">Einstellungen!$B$5+INT((ROW()-9)/24)</f>
        <v>46606</v>
      </c>
      <c r="B15391" s="11" t="n">
        <f aca="false">MOD(ROW()-9,24)</f>
        <v>22</v>
      </c>
      <c r="C15391" s="12"/>
      <c r="D15391" s="13" t="n">
        <f aca="false">IF(B15391&lt;5,Einstellungen!$B$3,Einstellungen!$B$4)</f>
        <v>29.13</v>
      </c>
      <c r="E15391" s="14" t="str">
        <f aca="false">IF(C15391="","",C15391*D15391/100)</f>
        <v/>
      </c>
      <c r="F15391" s="15" t="str">
        <f aca="false">IF(B15391&lt;5,"Go","Standard")</f>
        <v>Standard</v>
      </c>
    </row>
    <row r="15392" customFormat="false" ht="15" hidden="false" customHeight="true" outlineLevel="0" collapsed="false">
      <c r="A15392" s="10" t="n">
        <f aca="false">Einstellungen!$B$5+INT((ROW()-9)/24)</f>
        <v>46606</v>
      </c>
      <c r="B15392" s="11" t="n">
        <f aca="false">MOD(ROW()-9,24)</f>
        <v>23</v>
      </c>
      <c r="C15392" s="12"/>
      <c r="D15392" s="13" t="n">
        <f aca="false">IF(B15392&lt;5,Einstellungen!$B$3,Einstellungen!$B$4)</f>
        <v>29.13</v>
      </c>
      <c r="E15392" s="14" t="str">
        <f aca="false">IF(C15392="","",C15392*D15392/100)</f>
        <v/>
      </c>
      <c r="F15392" s="15" t="str">
        <f aca="false">IF(B15392&lt;5,"Go","Standard")</f>
        <v>Standard</v>
      </c>
    </row>
    <row r="15393" customFormat="false" ht="15" hidden="false" customHeight="true" outlineLevel="0" collapsed="false">
      <c r="A15393" s="10" t="n">
        <f aca="false">Einstellungen!$B$5+INT((ROW()-9)/24)</f>
        <v>46607</v>
      </c>
      <c r="B15393" s="11" t="n">
        <f aca="false">MOD(ROW()-9,24)</f>
        <v>0</v>
      </c>
      <c r="C15393" s="12"/>
      <c r="D15393" s="13" t="n">
        <f aca="false">IF(B15393&lt;5,Einstellungen!$B$3,Einstellungen!$B$4)</f>
        <v>15.92</v>
      </c>
      <c r="E15393" s="14" t="str">
        <f aca="false">IF(C15393="","",C15393*D15393/100)</f>
        <v/>
      </c>
      <c r="F15393" s="15" t="str">
        <f aca="false">IF(B15393&lt;5,"Go","Standard")</f>
        <v>Go</v>
      </c>
    </row>
    <row r="15394" customFormat="false" ht="15" hidden="false" customHeight="true" outlineLevel="0" collapsed="false">
      <c r="A15394" s="10" t="n">
        <f aca="false">Einstellungen!$B$5+INT((ROW()-9)/24)</f>
        <v>46607</v>
      </c>
      <c r="B15394" s="11" t="n">
        <f aca="false">MOD(ROW()-9,24)</f>
        <v>1</v>
      </c>
      <c r="C15394" s="12"/>
      <c r="D15394" s="13" t="n">
        <f aca="false">IF(B15394&lt;5,Einstellungen!$B$3,Einstellungen!$B$4)</f>
        <v>15.92</v>
      </c>
      <c r="E15394" s="14" t="str">
        <f aca="false">IF(C15394="","",C15394*D15394/100)</f>
        <v/>
      </c>
      <c r="F15394" s="15" t="str">
        <f aca="false">IF(B15394&lt;5,"Go","Standard")</f>
        <v>Go</v>
      </c>
    </row>
    <row r="15395" customFormat="false" ht="15" hidden="false" customHeight="true" outlineLevel="0" collapsed="false">
      <c r="A15395" s="10" t="n">
        <f aca="false">Einstellungen!$B$5+INT((ROW()-9)/24)</f>
        <v>46607</v>
      </c>
      <c r="B15395" s="11" t="n">
        <f aca="false">MOD(ROW()-9,24)</f>
        <v>2</v>
      </c>
      <c r="C15395" s="12"/>
      <c r="D15395" s="13" t="n">
        <f aca="false">IF(B15395&lt;5,Einstellungen!$B$3,Einstellungen!$B$4)</f>
        <v>15.92</v>
      </c>
      <c r="E15395" s="14" t="str">
        <f aca="false">IF(C15395="","",C15395*D15395/100)</f>
        <v/>
      </c>
      <c r="F15395" s="15" t="str">
        <f aca="false">IF(B15395&lt;5,"Go","Standard")</f>
        <v>Go</v>
      </c>
    </row>
    <row r="15396" customFormat="false" ht="15" hidden="false" customHeight="true" outlineLevel="0" collapsed="false">
      <c r="A15396" s="10" t="n">
        <f aca="false">Einstellungen!$B$5+INT((ROW()-9)/24)</f>
        <v>46607</v>
      </c>
      <c r="B15396" s="11" t="n">
        <f aca="false">MOD(ROW()-9,24)</f>
        <v>3</v>
      </c>
      <c r="C15396" s="12"/>
      <c r="D15396" s="13" t="n">
        <f aca="false">IF(B15396&lt;5,Einstellungen!$B$3,Einstellungen!$B$4)</f>
        <v>15.92</v>
      </c>
      <c r="E15396" s="14" t="str">
        <f aca="false">IF(C15396="","",C15396*D15396/100)</f>
        <v/>
      </c>
      <c r="F15396" s="15" t="str">
        <f aca="false">IF(B15396&lt;5,"Go","Standard")</f>
        <v>Go</v>
      </c>
    </row>
    <row r="15397" customFormat="false" ht="15" hidden="false" customHeight="true" outlineLevel="0" collapsed="false">
      <c r="A15397" s="10" t="n">
        <f aca="false">Einstellungen!$B$5+INT((ROW()-9)/24)</f>
        <v>46607</v>
      </c>
      <c r="B15397" s="11" t="n">
        <f aca="false">MOD(ROW()-9,24)</f>
        <v>4</v>
      </c>
      <c r="C15397" s="12"/>
      <c r="D15397" s="13" t="n">
        <f aca="false">IF(B15397&lt;5,Einstellungen!$B$3,Einstellungen!$B$4)</f>
        <v>15.92</v>
      </c>
      <c r="E15397" s="14" t="str">
        <f aca="false">IF(C15397="","",C15397*D15397/100)</f>
        <v/>
      </c>
      <c r="F15397" s="15" t="str">
        <f aca="false">IF(B15397&lt;5,"Go","Standard")</f>
        <v>Go</v>
      </c>
    </row>
    <row r="15398" customFormat="false" ht="15" hidden="false" customHeight="true" outlineLevel="0" collapsed="false">
      <c r="A15398" s="10" t="n">
        <f aca="false">Einstellungen!$B$5+INT((ROW()-9)/24)</f>
        <v>46607</v>
      </c>
      <c r="B15398" s="11" t="n">
        <f aca="false">MOD(ROW()-9,24)</f>
        <v>5</v>
      </c>
      <c r="C15398" s="12"/>
      <c r="D15398" s="13" t="n">
        <f aca="false">IF(B15398&lt;5,Einstellungen!$B$3,Einstellungen!$B$4)</f>
        <v>29.13</v>
      </c>
      <c r="E15398" s="14" t="str">
        <f aca="false">IF(C15398="","",C15398*D15398/100)</f>
        <v/>
      </c>
      <c r="F15398" s="15" t="str">
        <f aca="false">IF(B15398&lt;5,"Go","Standard")</f>
        <v>Standard</v>
      </c>
    </row>
    <row r="15399" customFormat="false" ht="15" hidden="false" customHeight="true" outlineLevel="0" collapsed="false">
      <c r="A15399" s="10" t="n">
        <f aca="false">Einstellungen!$B$5+INT((ROW()-9)/24)</f>
        <v>46607</v>
      </c>
      <c r="B15399" s="11" t="n">
        <f aca="false">MOD(ROW()-9,24)</f>
        <v>6</v>
      </c>
      <c r="C15399" s="12"/>
      <c r="D15399" s="13" t="n">
        <f aca="false">IF(B15399&lt;5,Einstellungen!$B$3,Einstellungen!$B$4)</f>
        <v>29.13</v>
      </c>
      <c r="E15399" s="14" t="str">
        <f aca="false">IF(C15399="","",C15399*D15399/100)</f>
        <v/>
      </c>
      <c r="F15399" s="15" t="str">
        <f aca="false">IF(B15399&lt;5,"Go","Standard")</f>
        <v>Standard</v>
      </c>
    </row>
    <row r="15400" customFormat="false" ht="15" hidden="false" customHeight="true" outlineLevel="0" collapsed="false">
      <c r="A15400" s="10" t="n">
        <f aca="false">Einstellungen!$B$5+INT((ROW()-9)/24)</f>
        <v>46607</v>
      </c>
      <c r="B15400" s="11" t="n">
        <f aca="false">MOD(ROW()-9,24)</f>
        <v>7</v>
      </c>
      <c r="C15400" s="12"/>
      <c r="D15400" s="13" t="n">
        <f aca="false">IF(B15400&lt;5,Einstellungen!$B$3,Einstellungen!$B$4)</f>
        <v>29.13</v>
      </c>
      <c r="E15400" s="14" t="str">
        <f aca="false">IF(C15400="","",C15400*D15400/100)</f>
        <v/>
      </c>
      <c r="F15400" s="15" t="str">
        <f aca="false">IF(B15400&lt;5,"Go","Standard")</f>
        <v>Standard</v>
      </c>
    </row>
    <row r="15401" customFormat="false" ht="15" hidden="false" customHeight="true" outlineLevel="0" collapsed="false">
      <c r="A15401" s="10" t="n">
        <f aca="false">Einstellungen!$B$5+INT((ROW()-9)/24)</f>
        <v>46607</v>
      </c>
      <c r="B15401" s="11" t="n">
        <f aca="false">MOD(ROW()-9,24)</f>
        <v>8</v>
      </c>
      <c r="C15401" s="12"/>
      <c r="D15401" s="13" t="n">
        <f aca="false">IF(B15401&lt;5,Einstellungen!$B$3,Einstellungen!$B$4)</f>
        <v>29.13</v>
      </c>
      <c r="E15401" s="14" t="str">
        <f aca="false">IF(C15401="","",C15401*D15401/100)</f>
        <v/>
      </c>
      <c r="F15401" s="15" t="str">
        <f aca="false">IF(B15401&lt;5,"Go","Standard")</f>
        <v>Standard</v>
      </c>
    </row>
    <row r="15402" customFormat="false" ht="15" hidden="false" customHeight="true" outlineLevel="0" collapsed="false">
      <c r="A15402" s="10" t="n">
        <f aca="false">Einstellungen!$B$5+INT((ROW()-9)/24)</f>
        <v>46607</v>
      </c>
      <c r="B15402" s="11" t="n">
        <f aca="false">MOD(ROW()-9,24)</f>
        <v>9</v>
      </c>
      <c r="C15402" s="12"/>
      <c r="D15402" s="13" t="n">
        <f aca="false">IF(B15402&lt;5,Einstellungen!$B$3,Einstellungen!$B$4)</f>
        <v>29.13</v>
      </c>
      <c r="E15402" s="14" t="str">
        <f aca="false">IF(C15402="","",C15402*D15402/100)</f>
        <v/>
      </c>
      <c r="F15402" s="15" t="str">
        <f aca="false">IF(B15402&lt;5,"Go","Standard")</f>
        <v>Standard</v>
      </c>
    </row>
    <row r="15403" customFormat="false" ht="15" hidden="false" customHeight="true" outlineLevel="0" collapsed="false">
      <c r="A15403" s="10" t="n">
        <f aca="false">Einstellungen!$B$5+INT((ROW()-9)/24)</f>
        <v>46607</v>
      </c>
      <c r="B15403" s="11" t="n">
        <f aca="false">MOD(ROW()-9,24)</f>
        <v>10</v>
      </c>
      <c r="C15403" s="12"/>
      <c r="D15403" s="13" t="n">
        <f aca="false">IF(B15403&lt;5,Einstellungen!$B$3,Einstellungen!$B$4)</f>
        <v>29.13</v>
      </c>
      <c r="E15403" s="14" t="str">
        <f aca="false">IF(C15403="","",C15403*D15403/100)</f>
        <v/>
      </c>
      <c r="F15403" s="15" t="str">
        <f aca="false">IF(B15403&lt;5,"Go","Standard")</f>
        <v>Standard</v>
      </c>
    </row>
    <row r="15404" customFormat="false" ht="15" hidden="false" customHeight="true" outlineLevel="0" collapsed="false">
      <c r="A15404" s="10" t="n">
        <f aca="false">Einstellungen!$B$5+INT((ROW()-9)/24)</f>
        <v>46607</v>
      </c>
      <c r="B15404" s="11" t="n">
        <f aca="false">MOD(ROW()-9,24)</f>
        <v>11</v>
      </c>
      <c r="C15404" s="12"/>
      <c r="D15404" s="13" t="n">
        <f aca="false">IF(B15404&lt;5,Einstellungen!$B$3,Einstellungen!$B$4)</f>
        <v>29.13</v>
      </c>
      <c r="E15404" s="14" t="str">
        <f aca="false">IF(C15404="","",C15404*D15404/100)</f>
        <v/>
      </c>
      <c r="F15404" s="15" t="str">
        <f aca="false">IF(B15404&lt;5,"Go","Standard")</f>
        <v>Standard</v>
      </c>
    </row>
    <row r="15405" customFormat="false" ht="15" hidden="false" customHeight="true" outlineLevel="0" collapsed="false">
      <c r="A15405" s="10" t="n">
        <f aca="false">Einstellungen!$B$5+INT((ROW()-9)/24)</f>
        <v>46607</v>
      </c>
      <c r="B15405" s="11" t="n">
        <f aca="false">MOD(ROW()-9,24)</f>
        <v>12</v>
      </c>
      <c r="C15405" s="12"/>
      <c r="D15405" s="13" t="n">
        <f aca="false">IF(B15405&lt;5,Einstellungen!$B$3,Einstellungen!$B$4)</f>
        <v>29.13</v>
      </c>
      <c r="E15405" s="14" t="str">
        <f aca="false">IF(C15405="","",C15405*D15405/100)</f>
        <v/>
      </c>
      <c r="F15405" s="15" t="str">
        <f aca="false">IF(B15405&lt;5,"Go","Standard")</f>
        <v>Standard</v>
      </c>
    </row>
    <row r="15406" customFormat="false" ht="15" hidden="false" customHeight="true" outlineLevel="0" collapsed="false">
      <c r="A15406" s="10" t="n">
        <f aca="false">Einstellungen!$B$5+INT((ROW()-9)/24)</f>
        <v>46607</v>
      </c>
      <c r="B15406" s="11" t="n">
        <f aca="false">MOD(ROW()-9,24)</f>
        <v>13</v>
      </c>
      <c r="C15406" s="12"/>
      <c r="D15406" s="13" t="n">
        <f aca="false">IF(B15406&lt;5,Einstellungen!$B$3,Einstellungen!$B$4)</f>
        <v>29.13</v>
      </c>
      <c r="E15406" s="14" t="str">
        <f aca="false">IF(C15406="","",C15406*D15406/100)</f>
        <v/>
      </c>
      <c r="F15406" s="15" t="str">
        <f aca="false">IF(B15406&lt;5,"Go","Standard")</f>
        <v>Standard</v>
      </c>
    </row>
    <row r="15407" customFormat="false" ht="15" hidden="false" customHeight="true" outlineLevel="0" collapsed="false">
      <c r="A15407" s="10" t="n">
        <f aca="false">Einstellungen!$B$5+INT((ROW()-9)/24)</f>
        <v>46607</v>
      </c>
      <c r="B15407" s="11" t="n">
        <f aca="false">MOD(ROW()-9,24)</f>
        <v>14</v>
      </c>
      <c r="C15407" s="12"/>
      <c r="D15407" s="13" t="n">
        <f aca="false">IF(B15407&lt;5,Einstellungen!$B$3,Einstellungen!$B$4)</f>
        <v>29.13</v>
      </c>
      <c r="E15407" s="14" t="str">
        <f aca="false">IF(C15407="","",C15407*D15407/100)</f>
        <v/>
      </c>
      <c r="F15407" s="15" t="str">
        <f aca="false">IF(B15407&lt;5,"Go","Standard")</f>
        <v>Standard</v>
      </c>
    </row>
    <row r="15408" customFormat="false" ht="15" hidden="false" customHeight="true" outlineLevel="0" collapsed="false">
      <c r="A15408" s="10" t="n">
        <f aca="false">Einstellungen!$B$5+INT((ROW()-9)/24)</f>
        <v>46607</v>
      </c>
      <c r="B15408" s="11" t="n">
        <f aca="false">MOD(ROW()-9,24)</f>
        <v>15</v>
      </c>
      <c r="C15408" s="12"/>
      <c r="D15408" s="13" t="n">
        <f aca="false">IF(B15408&lt;5,Einstellungen!$B$3,Einstellungen!$B$4)</f>
        <v>29.13</v>
      </c>
      <c r="E15408" s="14" t="str">
        <f aca="false">IF(C15408="","",C15408*D15408/100)</f>
        <v/>
      </c>
      <c r="F15408" s="15" t="str">
        <f aca="false">IF(B15408&lt;5,"Go","Standard")</f>
        <v>Standard</v>
      </c>
    </row>
    <row r="15409" customFormat="false" ht="15" hidden="false" customHeight="true" outlineLevel="0" collapsed="false">
      <c r="A15409" s="10" t="n">
        <f aca="false">Einstellungen!$B$5+INT((ROW()-9)/24)</f>
        <v>46607</v>
      </c>
      <c r="B15409" s="11" t="n">
        <f aca="false">MOD(ROW()-9,24)</f>
        <v>16</v>
      </c>
      <c r="C15409" s="12"/>
      <c r="D15409" s="13" t="n">
        <f aca="false">IF(B15409&lt;5,Einstellungen!$B$3,Einstellungen!$B$4)</f>
        <v>29.13</v>
      </c>
      <c r="E15409" s="14" t="str">
        <f aca="false">IF(C15409="","",C15409*D15409/100)</f>
        <v/>
      </c>
      <c r="F15409" s="15" t="str">
        <f aca="false">IF(B15409&lt;5,"Go","Standard")</f>
        <v>Standard</v>
      </c>
    </row>
    <row r="15410" customFormat="false" ht="15" hidden="false" customHeight="true" outlineLevel="0" collapsed="false">
      <c r="A15410" s="10" t="n">
        <f aca="false">Einstellungen!$B$5+INT((ROW()-9)/24)</f>
        <v>46607</v>
      </c>
      <c r="B15410" s="11" t="n">
        <f aca="false">MOD(ROW()-9,24)</f>
        <v>17</v>
      </c>
      <c r="C15410" s="12"/>
      <c r="D15410" s="13" t="n">
        <f aca="false">IF(B15410&lt;5,Einstellungen!$B$3,Einstellungen!$B$4)</f>
        <v>29.13</v>
      </c>
      <c r="E15410" s="14" t="str">
        <f aca="false">IF(C15410="","",C15410*D15410/100)</f>
        <v/>
      </c>
      <c r="F15410" s="15" t="str">
        <f aca="false">IF(B15410&lt;5,"Go","Standard")</f>
        <v>Standard</v>
      </c>
    </row>
    <row r="15411" customFormat="false" ht="15" hidden="false" customHeight="true" outlineLevel="0" collapsed="false">
      <c r="A15411" s="10" t="n">
        <f aca="false">Einstellungen!$B$5+INT((ROW()-9)/24)</f>
        <v>46607</v>
      </c>
      <c r="B15411" s="11" t="n">
        <f aca="false">MOD(ROW()-9,24)</f>
        <v>18</v>
      </c>
      <c r="C15411" s="12"/>
      <c r="D15411" s="13" t="n">
        <f aca="false">IF(B15411&lt;5,Einstellungen!$B$3,Einstellungen!$B$4)</f>
        <v>29.13</v>
      </c>
      <c r="E15411" s="14" t="str">
        <f aca="false">IF(C15411="","",C15411*D15411/100)</f>
        <v/>
      </c>
      <c r="F15411" s="15" t="str">
        <f aca="false">IF(B15411&lt;5,"Go","Standard")</f>
        <v>Standard</v>
      </c>
    </row>
    <row r="15412" customFormat="false" ht="15" hidden="false" customHeight="true" outlineLevel="0" collapsed="false">
      <c r="A15412" s="10" t="n">
        <f aca="false">Einstellungen!$B$5+INT((ROW()-9)/24)</f>
        <v>46607</v>
      </c>
      <c r="B15412" s="11" t="n">
        <f aca="false">MOD(ROW()-9,24)</f>
        <v>19</v>
      </c>
      <c r="C15412" s="12"/>
      <c r="D15412" s="13" t="n">
        <f aca="false">IF(B15412&lt;5,Einstellungen!$B$3,Einstellungen!$B$4)</f>
        <v>29.13</v>
      </c>
      <c r="E15412" s="14" t="str">
        <f aca="false">IF(C15412="","",C15412*D15412/100)</f>
        <v/>
      </c>
      <c r="F15412" s="15" t="str">
        <f aca="false">IF(B15412&lt;5,"Go","Standard")</f>
        <v>Standard</v>
      </c>
    </row>
    <row r="15413" customFormat="false" ht="15" hidden="false" customHeight="true" outlineLevel="0" collapsed="false">
      <c r="A15413" s="10" t="n">
        <f aca="false">Einstellungen!$B$5+INT((ROW()-9)/24)</f>
        <v>46607</v>
      </c>
      <c r="B15413" s="11" t="n">
        <f aca="false">MOD(ROW()-9,24)</f>
        <v>20</v>
      </c>
      <c r="C15413" s="12"/>
      <c r="D15413" s="13" t="n">
        <f aca="false">IF(B15413&lt;5,Einstellungen!$B$3,Einstellungen!$B$4)</f>
        <v>29.13</v>
      </c>
      <c r="E15413" s="14" t="str">
        <f aca="false">IF(C15413="","",C15413*D15413/100)</f>
        <v/>
      </c>
      <c r="F15413" s="15" t="str">
        <f aca="false">IF(B15413&lt;5,"Go","Standard")</f>
        <v>Standard</v>
      </c>
    </row>
    <row r="15414" customFormat="false" ht="15" hidden="false" customHeight="true" outlineLevel="0" collapsed="false">
      <c r="A15414" s="10" t="n">
        <f aca="false">Einstellungen!$B$5+INT((ROW()-9)/24)</f>
        <v>46607</v>
      </c>
      <c r="B15414" s="11" t="n">
        <f aca="false">MOD(ROW()-9,24)</f>
        <v>21</v>
      </c>
      <c r="C15414" s="12"/>
      <c r="D15414" s="13" t="n">
        <f aca="false">IF(B15414&lt;5,Einstellungen!$B$3,Einstellungen!$B$4)</f>
        <v>29.13</v>
      </c>
      <c r="E15414" s="14" t="str">
        <f aca="false">IF(C15414="","",C15414*D15414/100)</f>
        <v/>
      </c>
      <c r="F15414" s="15" t="str">
        <f aca="false">IF(B15414&lt;5,"Go","Standard")</f>
        <v>Standard</v>
      </c>
    </row>
    <row r="15415" customFormat="false" ht="15" hidden="false" customHeight="true" outlineLevel="0" collapsed="false">
      <c r="A15415" s="10" t="n">
        <f aca="false">Einstellungen!$B$5+INT((ROW()-9)/24)</f>
        <v>46607</v>
      </c>
      <c r="B15415" s="11" t="n">
        <f aca="false">MOD(ROW()-9,24)</f>
        <v>22</v>
      </c>
      <c r="C15415" s="12"/>
      <c r="D15415" s="13" t="n">
        <f aca="false">IF(B15415&lt;5,Einstellungen!$B$3,Einstellungen!$B$4)</f>
        <v>29.13</v>
      </c>
      <c r="E15415" s="14" t="str">
        <f aca="false">IF(C15415="","",C15415*D15415/100)</f>
        <v/>
      </c>
      <c r="F15415" s="15" t="str">
        <f aca="false">IF(B15415&lt;5,"Go","Standard")</f>
        <v>Standard</v>
      </c>
    </row>
    <row r="15416" customFormat="false" ht="15" hidden="false" customHeight="true" outlineLevel="0" collapsed="false">
      <c r="A15416" s="10" t="n">
        <f aca="false">Einstellungen!$B$5+INT((ROW()-9)/24)</f>
        <v>46607</v>
      </c>
      <c r="B15416" s="11" t="n">
        <f aca="false">MOD(ROW()-9,24)</f>
        <v>23</v>
      </c>
      <c r="C15416" s="12"/>
      <c r="D15416" s="13" t="n">
        <f aca="false">IF(B15416&lt;5,Einstellungen!$B$3,Einstellungen!$B$4)</f>
        <v>29.13</v>
      </c>
      <c r="E15416" s="14" t="str">
        <f aca="false">IF(C15416="","",C15416*D15416/100)</f>
        <v/>
      </c>
      <c r="F15416" s="15" t="str">
        <f aca="false">IF(B15416&lt;5,"Go","Standard")</f>
        <v>Standard</v>
      </c>
    </row>
    <row r="15417" customFormat="false" ht="15" hidden="false" customHeight="true" outlineLevel="0" collapsed="false">
      <c r="A15417" s="10" t="n">
        <f aca="false">Einstellungen!$B$5+INT((ROW()-9)/24)</f>
        <v>46608</v>
      </c>
      <c r="B15417" s="11" t="n">
        <f aca="false">MOD(ROW()-9,24)</f>
        <v>0</v>
      </c>
      <c r="C15417" s="12"/>
      <c r="D15417" s="13" t="n">
        <f aca="false">IF(B15417&lt;5,Einstellungen!$B$3,Einstellungen!$B$4)</f>
        <v>15.92</v>
      </c>
      <c r="E15417" s="14" t="str">
        <f aca="false">IF(C15417="","",C15417*D15417/100)</f>
        <v/>
      </c>
      <c r="F15417" s="15" t="str">
        <f aca="false">IF(B15417&lt;5,"Go","Standard")</f>
        <v>Go</v>
      </c>
    </row>
    <row r="15418" customFormat="false" ht="15" hidden="false" customHeight="true" outlineLevel="0" collapsed="false">
      <c r="A15418" s="10" t="n">
        <f aca="false">Einstellungen!$B$5+INT((ROW()-9)/24)</f>
        <v>46608</v>
      </c>
      <c r="B15418" s="11" t="n">
        <f aca="false">MOD(ROW()-9,24)</f>
        <v>1</v>
      </c>
      <c r="C15418" s="12"/>
      <c r="D15418" s="13" t="n">
        <f aca="false">IF(B15418&lt;5,Einstellungen!$B$3,Einstellungen!$B$4)</f>
        <v>15.92</v>
      </c>
      <c r="E15418" s="14" t="str">
        <f aca="false">IF(C15418="","",C15418*D15418/100)</f>
        <v/>
      </c>
      <c r="F15418" s="15" t="str">
        <f aca="false">IF(B15418&lt;5,"Go","Standard")</f>
        <v>Go</v>
      </c>
    </row>
    <row r="15419" customFormat="false" ht="15" hidden="false" customHeight="true" outlineLevel="0" collapsed="false">
      <c r="A15419" s="10" t="n">
        <f aca="false">Einstellungen!$B$5+INT((ROW()-9)/24)</f>
        <v>46608</v>
      </c>
      <c r="B15419" s="11" t="n">
        <f aca="false">MOD(ROW()-9,24)</f>
        <v>2</v>
      </c>
      <c r="C15419" s="12"/>
      <c r="D15419" s="13" t="n">
        <f aca="false">IF(B15419&lt;5,Einstellungen!$B$3,Einstellungen!$B$4)</f>
        <v>15.92</v>
      </c>
      <c r="E15419" s="14" t="str">
        <f aca="false">IF(C15419="","",C15419*D15419/100)</f>
        <v/>
      </c>
      <c r="F15419" s="15" t="str">
        <f aca="false">IF(B15419&lt;5,"Go","Standard")</f>
        <v>Go</v>
      </c>
    </row>
    <row r="15420" customFormat="false" ht="15" hidden="false" customHeight="true" outlineLevel="0" collapsed="false">
      <c r="A15420" s="10" t="n">
        <f aca="false">Einstellungen!$B$5+INT((ROW()-9)/24)</f>
        <v>46608</v>
      </c>
      <c r="B15420" s="11" t="n">
        <f aca="false">MOD(ROW()-9,24)</f>
        <v>3</v>
      </c>
      <c r="C15420" s="12"/>
      <c r="D15420" s="13" t="n">
        <f aca="false">IF(B15420&lt;5,Einstellungen!$B$3,Einstellungen!$B$4)</f>
        <v>15.92</v>
      </c>
      <c r="E15420" s="14" t="str">
        <f aca="false">IF(C15420="","",C15420*D15420/100)</f>
        <v/>
      </c>
      <c r="F15420" s="15" t="str">
        <f aca="false">IF(B15420&lt;5,"Go","Standard")</f>
        <v>Go</v>
      </c>
    </row>
    <row r="15421" customFormat="false" ht="15" hidden="false" customHeight="true" outlineLevel="0" collapsed="false">
      <c r="A15421" s="10" t="n">
        <f aca="false">Einstellungen!$B$5+INT((ROW()-9)/24)</f>
        <v>46608</v>
      </c>
      <c r="B15421" s="11" t="n">
        <f aca="false">MOD(ROW()-9,24)</f>
        <v>4</v>
      </c>
      <c r="C15421" s="12"/>
      <c r="D15421" s="13" t="n">
        <f aca="false">IF(B15421&lt;5,Einstellungen!$B$3,Einstellungen!$B$4)</f>
        <v>15.92</v>
      </c>
      <c r="E15421" s="14" t="str">
        <f aca="false">IF(C15421="","",C15421*D15421/100)</f>
        <v/>
      </c>
      <c r="F15421" s="15" t="str">
        <f aca="false">IF(B15421&lt;5,"Go","Standard")</f>
        <v>Go</v>
      </c>
    </row>
    <row r="15422" customFormat="false" ht="15" hidden="false" customHeight="true" outlineLevel="0" collapsed="false">
      <c r="A15422" s="10" t="n">
        <f aca="false">Einstellungen!$B$5+INT((ROW()-9)/24)</f>
        <v>46608</v>
      </c>
      <c r="B15422" s="11" t="n">
        <f aca="false">MOD(ROW()-9,24)</f>
        <v>5</v>
      </c>
      <c r="C15422" s="12"/>
      <c r="D15422" s="13" t="n">
        <f aca="false">IF(B15422&lt;5,Einstellungen!$B$3,Einstellungen!$B$4)</f>
        <v>29.13</v>
      </c>
      <c r="E15422" s="14" t="str">
        <f aca="false">IF(C15422="","",C15422*D15422/100)</f>
        <v/>
      </c>
      <c r="F15422" s="15" t="str">
        <f aca="false">IF(B15422&lt;5,"Go","Standard")</f>
        <v>Standard</v>
      </c>
    </row>
    <row r="15423" customFormat="false" ht="15" hidden="false" customHeight="true" outlineLevel="0" collapsed="false">
      <c r="A15423" s="10" t="n">
        <f aca="false">Einstellungen!$B$5+INT((ROW()-9)/24)</f>
        <v>46608</v>
      </c>
      <c r="B15423" s="11" t="n">
        <f aca="false">MOD(ROW()-9,24)</f>
        <v>6</v>
      </c>
      <c r="C15423" s="12"/>
      <c r="D15423" s="13" t="n">
        <f aca="false">IF(B15423&lt;5,Einstellungen!$B$3,Einstellungen!$B$4)</f>
        <v>29.13</v>
      </c>
      <c r="E15423" s="14" t="str">
        <f aca="false">IF(C15423="","",C15423*D15423/100)</f>
        <v/>
      </c>
      <c r="F15423" s="15" t="str">
        <f aca="false">IF(B15423&lt;5,"Go","Standard")</f>
        <v>Standard</v>
      </c>
    </row>
    <row r="15424" customFormat="false" ht="15" hidden="false" customHeight="true" outlineLevel="0" collapsed="false">
      <c r="A15424" s="10" t="n">
        <f aca="false">Einstellungen!$B$5+INT((ROW()-9)/24)</f>
        <v>46608</v>
      </c>
      <c r="B15424" s="11" t="n">
        <f aca="false">MOD(ROW()-9,24)</f>
        <v>7</v>
      </c>
      <c r="C15424" s="12"/>
      <c r="D15424" s="13" t="n">
        <f aca="false">IF(B15424&lt;5,Einstellungen!$B$3,Einstellungen!$B$4)</f>
        <v>29.13</v>
      </c>
      <c r="E15424" s="14" t="str">
        <f aca="false">IF(C15424="","",C15424*D15424/100)</f>
        <v/>
      </c>
      <c r="F15424" s="15" t="str">
        <f aca="false">IF(B15424&lt;5,"Go","Standard")</f>
        <v>Standard</v>
      </c>
    </row>
    <row r="15425" customFormat="false" ht="15" hidden="false" customHeight="true" outlineLevel="0" collapsed="false">
      <c r="A15425" s="10" t="n">
        <f aca="false">Einstellungen!$B$5+INT((ROW()-9)/24)</f>
        <v>46608</v>
      </c>
      <c r="B15425" s="11" t="n">
        <f aca="false">MOD(ROW()-9,24)</f>
        <v>8</v>
      </c>
      <c r="C15425" s="12"/>
      <c r="D15425" s="13" t="n">
        <f aca="false">IF(B15425&lt;5,Einstellungen!$B$3,Einstellungen!$B$4)</f>
        <v>29.13</v>
      </c>
      <c r="E15425" s="14" t="str">
        <f aca="false">IF(C15425="","",C15425*D15425/100)</f>
        <v/>
      </c>
      <c r="F15425" s="15" t="str">
        <f aca="false">IF(B15425&lt;5,"Go","Standard")</f>
        <v>Standard</v>
      </c>
    </row>
    <row r="15426" customFormat="false" ht="15" hidden="false" customHeight="true" outlineLevel="0" collapsed="false">
      <c r="A15426" s="10" t="n">
        <f aca="false">Einstellungen!$B$5+INT((ROW()-9)/24)</f>
        <v>46608</v>
      </c>
      <c r="B15426" s="11" t="n">
        <f aca="false">MOD(ROW()-9,24)</f>
        <v>9</v>
      </c>
      <c r="C15426" s="12"/>
      <c r="D15426" s="13" t="n">
        <f aca="false">IF(B15426&lt;5,Einstellungen!$B$3,Einstellungen!$B$4)</f>
        <v>29.13</v>
      </c>
      <c r="E15426" s="14" t="str">
        <f aca="false">IF(C15426="","",C15426*D15426/100)</f>
        <v/>
      </c>
      <c r="F15426" s="15" t="str">
        <f aca="false">IF(B15426&lt;5,"Go","Standard")</f>
        <v>Standard</v>
      </c>
    </row>
    <row r="15427" customFormat="false" ht="15" hidden="false" customHeight="true" outlineLevel="0" collapsed="false">
      <c r="A15427" s="10" t="n">
        <f aca="false">Einstellungen!$B$5+INT((ROW()-9)/24)</f>
        <v>46608</v>
      </c>
      <c r="B15427" s="11" t="n">
        <f aca="false">MOD(ROW()-9,24)</f>
        <v>10</v>
      </c>
      <c r="C15427" s="12"/>
      <c r="D15427" s="13" t="n">
        <f aca="false">IF(B15427&lt;5,Einstellungen!$B$3,Einstellungen!$B$4)</f>
        <v>29.13</v>
      </c>
      <c r="E15427" s="14" t="str">
        <f aca="false">IF(C15427="","",C15427*D15427/100)</f>
        <v/>
      </c>
      <c r="F15427" s="15" t="str">
        <f aca="false">IF(B15427&lt;5,"Go","Standard")</f>
        <v>Standard</v>
      </c>
    </row>
    <row r="15428" customFormat="false" ht="15" hidden="false" customHeight="true" outlineLevel="0" collapsed="false">
      <c r="A15428" s="10" t="n">
        <f aca="false">Einstellungen!$B$5+INT((ROW()-9)/24)</f>
        <v>46608</v>
      </c>
      <c r="B15428" s="11" t="n">
        <f aca="false">MOD(ROW()-9,24)</f>
        <v>11</v>
      </c>
      <c r="C15428" s="12"/>
      <c r="D15428" s="13" t="n">
        <f aca="false">IF(B15428&lt;5,Einstellungen!$B$3,Einstellungen!$B$4)</f>
        <v>29.13</v>
      </c>
      <c r="E15428" s="14" t="str">
        <f aca="false">IF(C15428="","",C15428*D15428/100)</f>
        <v/>
      </c>
      <c r="F15428" s="15" t="str">
        <f aca="false">IF(B15428&lt;5,"Go","Standard")</f>
        <v>Standard</v>
      </c>
    </row>
    <row r="15429" customFormat="false" ht="15" hidden="false" customHeight="true" outlineLevel="0" collapsed="false">
      <c r="A15429" s="10" t="n">
        <f aca="false">Einstellungen!$B$5+INT((ROW()-9)/24)</f>
        <v>46608</v>
      </c>
      <c r="B15429" s="11" t="n">
        <f aca="false">MOD(ROW()-9,24)</f>
        <v>12</v>
      </c>
      <c r="C15429" s="12"/>
      <c r="D15429" s="13" t="n">
        <f aca="false">IF(B15429&lt;5,Einstellungen!$B$3,Einstellungen!$B$4)</f>
        <v>29.13</v>
      </c>
      <c r="E15429" s="14" t="str">
        <f aca="false">IF(C15429="","",C15429*D15429/100)</f>
        <v/>
      </c>
      <c r="F15429" s="15" t="str">
        <f aca="false">IF(B15429&lt;5,"Go","Standard")</f>
        <v>Standard</v>
      </c>
    </row>
    <row r="15430" customFormat="false" ht="15" hidden="false" customHeight="true" outlineLevel="0" collapsed="false">
      <c r="A15430" s="10" t="n">
        <f aca="false">Einstellungen!$B$5+INT((ROW()-9)/24)</f>
        <v>46608</v>
      </c>
      <c r="B15430" s="11" t="n">
        <f aca="false">MOD(ROW()-9,24)</f>
        <v>13</v>
      </c>
      <c r="C15430" s="12"/>
      <c r="D15430" s="13" t="n">
        <f aca="false">IF(B15430&lt;5,Einstellungen!$B$3,Einstellungen!$B$4)</f>
        <v>29.13</v>
      </c>
      <c r="E15430" s="14" t="str">
        <f aca="false">IF(C15430="","",C15430*D15430/100)</f>
        <v/>
      </c>
      <c r="F15430" s="15" t="str">
        <f aca="false">IF(B15430&lt;5,"Go","Standard")</f>
        <v>Standard</v>
      </c>
    </row>
    <row r="15431" customFormat="false" ht="15" hidden="false" customHeight="true" outlineLevel="0" collapsed="false">
      <c r="A15431" s="10" t="n">
        <f aca="false">Einstellungen!$B$5+INT((ROW()-9)/24)</f>
        <v>46608</v>
      </c>
      <c r="B15431" s="11" t="n">
        <f aca="false">MOD(ROW()-9,24)</f>
        <v>14</v>
      </c>
      <c r="C15431" s="12"/>
      <c r="D15431" s="13" t="n">
        <f aca="false">IF(B15431&lt;5,Einstellungen!$B$3,Einstellungen!$B$4)</f>
        <v>29.13</v>
      </c>
      <c r="E15431" s="14" t="str">
        <f aca="false">IF(C15431="","",C15431*D15431/100)</f>
        <v/>
      </c>
      <c r="F15431" s="15" t="str">
        <f aca="false">IF(B15431&lt;5,"Go","Standard")</f>
        <v>Standard</v>
      </c>
    </row>
    <row r="15432" customFormat="false" ht="15" hidden="false" customHeight="true" outlineLevel="0" collapsed="false">
      <c r="A15432" s="10" t="n">
        <f aca="false">Einstellungen!$B$5+INT((ROW()-9)/24)</f>
        <v>46608</v>
      </c>
      <c r="B15432" s="11" t="n">
        <f aca="false">MOD(ROW()-9,24)</f>
        <v>15</v>
      </c>
      <c r="C15432" s="12"/>
      <c r="D15432" s="13" t="n">
        <f aca="false">IF(B15432&lt;5,Einstellungen!$B$3,Einstellungen!$B$4)</f>
        <v>29.13</v>
      </c>
      <c r="E15432" s="14" t="str">
        <f aca="false">IF(C15432="","",C15432*D15432/100)</f>
        <v/>
      </c>
      <c r="F15432" s="15" t="str">
        <f aca="false">IF(B15432&lt;5,"Go","Standard")</f>
        <v>Standard</v>
      </c>
    </row>
    <row r="15433" customFormat="false" ht="15" hidden="false" customHeight="true" outlineLevel="0" collapsed="false">
      <c r="A15433" s="10" t="n">
        <f aca="false">Einstellungen!$B$5+INT((ROW()-9)/24)</f>
        <v>46608</v>
      </c>
      <c r="B15433" s="11" t="n">
        <f aca="false">MOD(ROW()-9,24)</f>
        <v>16</v>
      </c>
      <c r="C15433" s="12"/>
      <c r="D15433" s="13" t="n">
        <f aca="false">IF(B15433&lt;5,Einstellungen!$B$3,Einstellungen!$B$4)</f>
        <v>29.13</v>
      </c>
      <c r="E15433" s="14" t="str">
        <f aca="false">IF(C15433="","",C15433*D15433/100)</f>
        <v/>
      </c>
      <c r="F15433" s="15" t="str">
        <f aca="false">IF(B15433&lt;5,"Go","Standard")</f>
        <v>Standard</v>
      </c>
    </row>
    <row r="15434" customFormat="false" ht="15" hidden="false" customHeight="true" outlineLevel="0" collapsed="false">
      <c r="A15434" s="10" t="n">
        <f aca="false">Einstellungen!$B$5+INT((ROW()-9)/24)</f>
        <v>46608</v>
      </c>
      <c r="B15434" s="11" t="n">
        <f aca="false">MOD(ROW()-9,24)</f>
        <v>17</v>
      </c>
      <c r="C15434" s="12"/>
      <c r="D15434" s="13" t="n">
        <f aca="false">IF(B15434&lt;5,Einstellungen!$B$3,Einstellungen!$B$4)</f>
        <v>29.13</v>
      </c>
      <c r="E15434" s="14" t="str">
        <f aca="false">IF(C15434="","",C15434*D15434/100)</f>
        <v/>
      </c>
      <c r="F15434" s="15" t="str">
        <f aca="false">IF(B15434&lt;5,"Go","Standard")</f>
        <v>Standard</v>
      </c>
    </row>
    <row r="15435" customFormat="false" ht="15" hidden="false" customHeight="true" outlineLevel="0" collapsed="false">
      <c r="A15435" s="10" t="n">
        <f aca="false">Einstellungen!$B$5+INT((ROW()-9)/24)</f>
        <v>46608</v>
      </c>
      <c r="B15435" s="11" t="n">
        <f aca="false">MOD(ROW()-9,24)</f>
        <v>18</v>
      </c>
      <c r="C15435" s="12"/>
      <c r="D15435" s="13" t="n">
        <f aca="false">IF(B15435&lt;5,Einstellungen!$B$3,Einstellungen!$B$4)</f>
        <v>29.13</v>
      </c>
      <c r="E15435" s="14" t="str">
        <f aca="false">IF(C15435="","",C15435*D15435/100)</f>
        <v/>
      </c>
      <c r="F15435" s="15" t="str">
        <f aca="false">IF(B15435&lt;5,"Go","Standard")</f>
        <v>Standard</v>
      </c>
    </row>
    <row r="15436" customFormat="false" ht="15" hidden="false" customHeight="true" outlineLevel="0" collapsed="false">
      <c r="A15436" s="10" t="n">
        <f aca="false">Einstellungen!$B$5+INT((ROW()-9)/24)</f>
        <v>46608</v>
      </c>
      <c r="B15436" s="11" t="n">
        <f aca="false">MOD(ROW()-9,24)</f>
        <v>19</v>
      </c>
      <c r="C15436" s="12"/>
      <c r="D15436" s="13" t="n">
        <f aca="false">IF(B15436&lt;5,Einstellungen!$B$3,Einstellungen!$B$4)</f>
        <v>29.13</v>
      </c>
      <c r="E15436" s="14" t="str">
        <f aca="false">IF(C15436="","",C15436*D15436/100)</f>
        <v/>
      </c>
      <c r="F15436" s="15" t="str">
        <f aca="false">IF(B15436&lt;5,"Go","Standard")</f>
        <v>Standard</v>
      </c>
    </row>
    <row r="15437" customFormat="false" ht="15" hidden="false" customHeight="true" outlineLevel="0" collapsed="false">
      <c r="A15437" s="10" t="n">
        <f aca="false">Einstellungen!$B$5+INT((ROW()-9)/24)</f>
        <v>46608</v>
      </c>
      <c r="B15437" s="11" t="n">
        <f aca="false">MOD(ROW()-9,24)</f>
        <v>20</v>
      </c>
      <c r="C15437" s="12"/>
      <c r="D15437" s="13" t="n">
        <f aca="false">IF(B15437&lt;5,Einstellungen!$B$3,Einstellungen!$B$4)</f>
        <v>29.13</v>
      </c>
      <c r="E15437" s="14" t="str">
        <f aca="false">IF(C15437="","",C15437*D15437/100)</f>
        <v/>
      </c>
      <c r="F15437" s="15" t="str">
        <f aca="false">IF(B15437&lt;5,"Go","Standard")</f>
        <v>Standard</v>
      </c>
    </row>
    <row r="15438" customFormat="false" ht="15" hidden="false" customHeight="true" outlineLevel="0" collapsed="false">
      <c r="A15438" s="10" t="n">
        <f aca="false">Einstellungen!$B$5+INT((ROW()-9)/24)</f>
        <v>46608</v>
      </c>
      <c r="B15438" s="11" t="n">
        <f aca="false">MOD(ROW()-9,24)</f>
        <v>21</v>
      </c>
      <c r="C15438" s="12"/>
      <c r="D15438" s="13" t="n">
        <f aca="false">IF(B15438&lt;5,Einstellungen!$B$3,Einstellungen!$B$4)</f>
        <v>29.13</v>
      </c>
      <c r="E15438" s="14" t="str">
        <f aca="false">IF(C15438="","",C15438*D15438/100)</f>
        <v/>
      </c>
      <c r="F15438" s="15" t="str">
        <f aca="false">IF(B15438&lt;5,"Go","Standard")</f>
        <v>Standard</v>
      </c>
    </row>
    <row r="15439" customFormat="false" ht="15" hidden="false" customHeight="true" outlineLevel="0" collapsed="false">
      <c r="A15439" s="10" t="n">
        <f aca="false">Einstellungen!$B$5+INT((ROW()-9)/24)</f>
        <v>46608</v>
      </c>
      <c r="B15439" s="11" t="n">
        <f aca="false">MOD(ROW()-9,24)</f>
        <v>22</v>
      </c>
      <c r="C15439" s="12"/>
      <c r="D15439" s="13" t="n">
        <f aca="false">IF(B15439&lt;5,Einstellungen!$B$3,Einstellungen!$B$4)</f>
        <v>29.13</v>
      </c>
      <c r="E15439" s="14" t="str">
        <f aca="false">IF(C15439="","",C15439*D15439/100)</f>
        <v/>
      </c>
      <c r="F15439" s="15" t="str">
        <f aca="false">IF(B15439&lt;5,"Go","Standard")</f>
        <v>Standard</v>
      </c>
    </row>
    <row r="15440" customFormat="false" ht="15" hidden="false" customHeight="true" outlineLevel="0" collapsed="false">
      <c r="A15440" s="10" t="n">
        <f aca="false">Einstellungen!$B$5+INT((ROW()-9)/24)</f>
        <v>46608</v>
      </c>
      <c r="B15440" s="11" t="n">
        <f aca="false">MOD(ROW()-9,24)</f>
        <v>23</v>
      </c>
      <c r="C15440" s="12"/>
      <c r="D15440" s="13" t="n">
        <f aca="false">IF(B15440&lt;5,Einstellungen!$B$3,Einstellungen!$B$4)</f>
        <v>29.13</v>
      </c>
      <c r="E15440" s="14" t="str">
        <f aca="false">IF(C15440="","",C15440*D15440/100)</f>
        <v/>
      </c>
      <c r="F15440" s="15" t="str">
        <f aca="false">IF(B15440&lt;5,"Go","Standard")</f>
        <v>Standard</v>
      </c>
    </row>
    <row r="15441" customFormat="false" ht="15" hidden="false" customHeight="true" outlineLevel="0" collapsed="false">
      <c r="A15441" s="10" t="n">
        <f aca="false">Einstellungen!$B$5+INT((ROW()-9)/24)</f>
        <v>46609</v>
      </c>
      <c r="B15441" s="11" t="n">
        <f aca="false">MOD(ROW()-9,24)</f>
        <v>0</v>
      </c>
      <c r="C15441" s="12"/>
      <c r="D15441" s="13" t="n">
        <f aca="false">IF(B15441&lt;5,Einstellungen!$B$3,Einstellungen!$B$4)</f>
        <v>15.92</v>
      </c>
      <c r="E15441" s="14" t="str">
        <f aca="false">IF(C15441="","",C15441*D15441/100)</f>
        <v/>
      </c>
      <c r="F15441" s="15" t="str">
        <f aca="false">IF(B15441&lt;5,"Go","Standard")</f>
        <v>Go</v>
      </c>
    </row>
    <row r="15442" customFormat="false" ht="15" hidden="false" customHeight="true" outlineLevel="0" collapsed="false">
      <c r="A15442" s="10" t="n">
        <f aca="false">Einstellungen!$B$5+INT((ROW()-9)/24)</f>
        <v>46609</v>
      </c>
      <c r="B15442" s="11" t="n">
        <f aca="false">MOD(ROW()-9,24)</f>
        <v>1</v>
      </c>
      <c r="C15442" s="12"/>
      <c r="D15442" s="13" t="n">
        <f aca="false">IF(B15442&lt;5,Einstellungen!$B$3,Einstellungen!$B$4)</f>
        <v>15.92</v>
      </c>
      <c r="E15442" s="14" t="str">
        <f aca="false">IF(C15442="","",C15442*D15442/100)</f>
        <v/>
      </c>
      <c r="F15442" s="15" t="str">
        <f aca="false">IF(B15442&lt;5,"Go","Standard")</f>
        <v>Go</v>
      </c>
    </row>
    <row r="15443" customFormat="false" ht="15" hidden="false" customHeight="true" outlineLevel="0" collapsed="false">
      <c r="A15443" s="10" t="n">
        <f aca="false">Einstellungen!$B$5+INT((ROW()-9)/24)</f>
        <v>46609</v>
      </c>
      <c r="B15443" s="11" t="n">
        <f aca="false">MOD(ROW()-9,24)</f>
        <v>2</v>
      </c>
      <c r="C15443" s="12"/>
      <c r="D15443" s="13" t="n">
        <f aca="false">IF(B15443&lt;5,Einstellungen!$B$3,Einstellungen!$B$4)</f>
        <v>15.92</v>
      </c>
      <c r="E15443" s="14" t="str">
        <f aca="false">IF(C15443="","",C15443*D15443/100)</f>
        <v/>
      </c>
      <c r="F15443" s="15" t="str">
        <f aca="false">IF(B15443&lt;5,"Go","Standard")</f>
        <v>Go</v>
      </c>
    </row>
    <row r="15444" customFormat="false" ht="15" hidden="false" customHeight="true" outlineLevel="0" collapsed="false">
      <c r="A15444" s="10" t="n">
        <f aca="false">Einstellungen!$B$5+INT((ROW()-9)/24)</f>
        <v>46609</v>
      </c>
      <c r="B15444" s="11" t="n">
        <f aca="false">MOD(ROW()-9,24)</f>
        <v>3</v>
      </c>
      <c r="C15444" s="12"/>
      <c r="D15444" s="13" t="n">
        <f aca="false">IF(B15444&lt;5,Einstellungen!$B$3,Einstellungen!$B$4)</f>
        <v>15.92</v>
      </c>
      <c r="E15444" s="14" t="str">
        <f aca="false">IF(C15444="","",C15444*D15444/100)</f>
        <v/>
      </c>
      <c r="F15444" s="15" t="str">
        <f aca="false">IF(B15444&lt;5,"Go","Standard")</f>
        <v>Go</v>
      </c>
    </row>
    <row r="15445" customFormat="false" ht="15" hidden="false" customHeight="true" outlineLevel="0" collapsed="false">
      <c r="A15445" s="10" t="n">
        <f aca="false">Einstellungen!$B$5+INT((ROW()-9)/24)</f>
        <v>46609</v>
      </c>
      <c r="B15445" s="11" t="n">
        <f aca="false">MOD(ROW()-9,24)</f>
        <v>4</v>
      </c>
      <c r="C15445" s="12"/>
      <c r="D15445" s="13" t="n">
        <f aca="false">IF(B15445&lt;5,Einstellungen!$B$3,Einstellungen!$B$4)</f>
        <v>15.92</v>
      </c>
      <c r="E15445" s="14" t="str">
        <f aca="false">IF(C15445="","",C15445*D15445/100)</f>
        <v/>
      </c>
      <c r="F15445" s="15" t="str">
        <f aca="false">IF(B15445&lt;5,"Go","Standard")</f>
        <v>Go</v>
      </c>
    </row>
    <row r="15446" customFormat="false" ht="15" hidden="false" customHeight="true" outlineLevel="0" collapsed="false">
      <c r="A15446" s="10" t="n">
        <f aca="false">Einstellungen!$B$5+INT((ROW()-9)/24)</f>
        <v>46609</v>
      </c>
      <c r="B15446" s="11" t="n">
        <f aca="false">MOD(ROW()-9,24)</f>
        <v>5</v>
      </c>
      <c r="C15446" s="12"/>
      <c r="D15446" s="13" t="n">
        <f aca="false">IF(B15446&lt;5,Einstellungen!$B$3,Einstellungen!$B$4)</f>
        <v>29.13</v>
      </c>
      <c r="E15446" s="14" t="str">
        <f aca="false">IF(C15446="","",C15446*D15446/100)</f>
        <v/>
      </c>
      <c r="F15446" s="15" t="str">
        <f aca="false">IF(B15446&lt;5,"Go","Standard")</f>
        <v>Standard</v>
      </c>
    </row>
    <row r="15447" customFormat="false" ht="15" hidden="false" customHeight="true" outlineLevel="0" collapsed="false">
      <c r="A15447" s="10" t="n">
        <f aca="false">Einstellungen!$B$5+INT((ROW()-9)/24)</f>
        <v>46609</v>
      </c>
      <c r="B15447" s="11" t="n">
        <f aca="false">MOD(ROW()-9,24)</f>
        <v>6</v>
      </c>
      <c r="C15447" s="12"/>
      <c r="D15447" s="13" t="n">
        <f aca="false">IF(B15447&lt;5,Einstellungen!$B$3,Einstellungen!$B$4)</f>
        <v>29.13</v>
      </c>
      <c r="E15447" s="14" t="str">
        <f aca="false">IF(C15447="","",C15447*D15447/100)</f>
        <v/>
      </c>
      <c r="F15447" s="15" t="str">
        <f aca="false">IF(B15447&lt;5,"Go","Standard")</f>
        <v>Standard</v>
      </c>
    </row>
    <row r="15448" customFormat="false" ht="15" hidden="false" customHeight="true" outlineLevel="0" collapsed="false">
      <c r="A15448" s="10" t="n">
        <f aca="false">Einstellungen!$B$5+INT((ROW()-9)/24)</f>
        <v>46609</v>
      </c>
      <c r="B15448" s="11" t="n">
        <f aca="false">MOD(ROW()-9,24)</f>
        <v>7</v>
      </c>
      <c r="C15448" s="12"/>
      <c r="D15448" s="13" t="n">
        <f aca="false">IF(B15448&lt;5,Einstellungen!$B$3,Einstellungen!$B$4)</f>
        <v>29.13</v>
      </c>
      <c r="E15448" s="14" t="str">
        <f aca="false">IF(C15448="","",C15448*D15448/100)</f>
        <v/>
      </c>
      <c r="F15448" s="15" t="str">
        <f aca="false">IF(B15448&lt;5,"Go","Standard")</f>
        <v>Standard</v>
      </c>
    </row>
    <row r="15449" customFormat="false" ht="15" hidden="false" customHeight="true" outlineLevel="0" collapsed="false">
      <c r="A15449" s="10" t="n">
        <f aca="false">Einstellungen!$B$5+INT((ROW()-9)/24)</f>
        <v>46609</v>
      </c>
      <c r="B15449" s="11" t="n">
        <f aca="false">MOD(ROW()-9,24)</f>
        <v>8</v>
      </c>
      <c r="C15449" s="12"/>
      <c r="D15449" s="13" t="n">
        <f aca="false">IF(B15449&lt;5,Einstellungen!$B$3,Einstellungen!$B$4)</f>
        <v>29.13</v>
      </c>
      <c r="E15449" s="14" t="str">
        <f aca="false">IF(C15449="","",C15449*D15449/100)</f>
        <v/>
      </c>
      <c r="F15449" s="15" t="str">
        <f aca="false">IF(B15449&lt;5,"Go","Standard")</f>
        <v>Standard</v>
      </c>
    </row>
    <row r="15450" customFormat="false" ht="15" hidden="false" customHeight="true" outlineLevel="0" collapsed="false">
      <c r="A15450" s="10" t="n">
        <f aca="false">Einstellungen!$B$5+INT((ROW()-9)/24)</f>
        <v>46609</v>
      </c>
      <c r="B15450" s="11" t="n">
        <f aca="false">MOD(ROW()-9,24)</f>
        <v>9</v>
      </c>
      <c r="C15450" s="12"/>
      <c r="D15450" s="13" t="n">
        <f aca="false">IF(B15450&lt;5,Einstellungen!$B$3,Einstellungen!$B$4)</f>
        <v>29.13</v>
      </c>
      <c r="E15450" s="14" t="str">
        <f aca="false">IF(C15450="","",C15450*D15450/100)</f>
        <v/>
      </c>
      <c r="F15450" s="15" t="str">
        <f aca="false">IF(B15450&lt;5,"Go","Standard")</f>
        <v>Standard</v>
      </c>
    </row>
    <row r="15451" customFormat="false" ht="15" hidden="false" customHeight="true" outlineLevel="0" collapsed="false">
      <c r="A15451" s="10" t="n">
        <f aca="false">Einstellungen!$B$5+INT((ROW()-9)/24)</f>
        <v>46609</v>
      </c>
      <c r="B15451" s="11" t="n">
        <f aca="false">MOD(ROW()-9,24)</f>
        <v>10</v>
      </c>
      <c r="C15451" s="12"/>
      <c r="D15451" s="13" t="n">
        <f aca="false">IF(B15451&lt;5,Einstellungen!$B$3,Einstellungen!$B$4)</f>
        <v>29.13</v>
      </c>
      <c r="E15451" s="14" t="str">
        <f aca="false">IF(C15451="","",C15451*D15451/100)</f>
        <v/>
      </c>
      <c r="F15451" s="15" t="str">
        <f aca="false">IF(B15451&lt;5,"Go","Standard")</f>
        <v>Standard</v>
      </c>
    </row>
    <row r="15452" customFormat="false" ht="15" hidden="false" customHeight="true" outlineLevel="0" collapsed="false">
      <c r="A15452" s="10" t="n">
        <f aca="false">Einstellungen!$B$5+INT((ROW()-9)/24)</f>
        <v>46609</v>
      </c>
      <c r="B15452" s="11" t="n">
        <f aca="false">MOD(ROW()-9,24)</f>
        <v>11</v>
      </c>
      <c r="C15452" s="12"/>
      <c r="D15452" s="13" t="n">
        <f aca="false">IF(B15452&lt;5,Einstellungen!$B$3,Einstellungen!$B$4)</f>
        <v>29.13</v>
      </c>
      <c r="E15452" s="14" t="str">
        <f aca="false">IF(C15452="","",C15452*D15452/100)</f>
        <v/>
      </c>
      <c r="F15452" s="15" t="str">
        <f aca="false">IF(B15452&lt;5,"Go","Standard")</f>
        <v>Standard</v>
      </c>
    </row>
    <row r="15453" customFormat="false" ht="15" hidden="false" customHeight="true" outlineLevel="0" collapsed="false">
      <c r="A15453" s="10" t="n">
        <f aca="false">Einstellungen!$B$5+INT((ROW()-9)/24)</f>
        <v>46609</v>
      </c>
      <c r="B15453" s="11" t="n">
        <f aca="false">MOD(ROW()-9,24)</f>
        <v>12</v>
      </c>
      <c r="C15453" s="12"/>
      <c r="D15453" s="13" t="n">
        <f aca="false">IF(B15453&lt;5,Einstellungen!$B$3,Einstellungen!$B$4)</f>
        <v>29.13</v>
      </c>
      <c r="E15453" s="14" t="str">
        <f aca="false">IF(C15453="","",C15453*D15453/100)</f>
        <v/>
      </c>
      <c r="F15453" s="15" t="str">
        <f aca="false">IF(B15453&lt;5,"Go","Standard")</f>
        <v>Standard</v>
      </c>
    </row>
    <row r="15454" customFormat="false" ht="15" hidden="false" customHeight="true" outlineLevel="0" collapsed="false">
      <c r="A15454" s="10" t="n">
        <f aca="false">Einstellungen!$B$5+INT((ROW()-9)/24)</f>
        <v>46609</v>
      </c>
      <c r="B15454" s="11" t="n">
        <f aca="false">MOD(ROW()-9,24)</f>
        <v>13</v>
      </c>
      <c r="C15454" s="12"/>
      <c r="D15454" s="13" t="n">
        <f aca="false">IF(B15454&lt;5,Einstellungen!$B$3,Einstellungen!$B$4)</f>
        <v>29.13</v>
      </c>
      <c r="E15454" s="14" t="str">
        <f aca="false">IF(C15454="","",C15454*D15454/100)</f>
        <v/>
      </c>
      <c r="F15454" s="15" t="str">
        <f aca="false">IF(B15454&lt;5,"Go","Standard")</f>
        <v>Standard</v>
      </c>
    </row>
    <row r="15455" customFormat="false" ht="15" hidden="false" customHeight="true" outlineLevel="0" collapsed="false">
      <c r="A15455" s="10" t="n">
        <f aca="false">Einstellungen!$B$5+INT((ROW()-9)/24)</f>
        <v>46609</v>
      </c>
      <c r="B15455" s="11" t="n">
        <f aca="false">MOD(ROW()-9,24)</f>
        <v>14</v>
      </c>
      <c r="C15455" s="12"/>
      <c r="D15455" s="13" t="n">
        <f aca="false">IF(B15455&lt;5,Einstellungen!$B$3,Einstellungen!$B$4)</f>
        <v>29.13</v>
      </c>
      <c r="E15455" s="14" t="str">
        <f aca="false">IF(C15455="","",C15455*D15455/100)</f>
        <v/>
      </c>
      <c r="F15455" s="15" t="str">
        <f aca="false">IF(B15455&lt;5,"Go","Standard")</f>
        <v>Standard</v>
      </c>
    </row>
    <row r="15456" customFormat="false" ht="15" hidden="false" customHeight="true" outlineLevel="0" collapsed="false">
      <c r="A15456" s="10" t="n">
        <f aca="false">Einstellungen!$B$5+INT((ROW()-9)/24)</f>
        <v>46609</v>
      </c>
      <c r="B15456" s="11" t="n">
        <f aca="false">MOD(ROW()-9,24)</f>
        <v>15</v>
      </c>
      <c r="C15456" s="12"/>
      <c r="D15456" s="13" t="n">
        <f aca="false">IF(B15456&lt;5,Einstellungen!$B$3,Einstellungen!$B$4)</f>
        <v>29.13</v>
      </c>
      <c r="E15456" s="14" t="str">
        <f aca="false">IF(C15456="","",C15456*D15456/100)</f>
        <v/>
      </c>
      <c r="F15456" s="15" t="str">
        <f aca="false">IF(B15456&lt;5,"Go","Standard")</f>
        <v>Standard</v>
      </c>
    </row>
    <row r="15457" customFormat="false" ht="15" hidden="false" customHeight="true" outlineLevel="0" collapsed="false">
      <c r="A15457" s="10" t="n">
        <f aca="false">Einstellungen!$B$5+INT((ROW()-9)/24)</f>
        <v>46609</v>
      </c>
      <c r="B15457" s="11" t="n">
        <f aca="false">MOD(ROW()-9,24)</f>
        <v>16</v>
      </c>
      <c r="C15457" s="12"/>
      <c r="D15457" s="13" t="n">
        <f aca="false">IF(B15457&lt;5,Einstellungen!$B$3,Einstellungen!$B$4)</f>
        <v>29.13</v>
      </c>
      <c r="E15457" s="14" t="str">
        <f aca="false">IF(C15457="","",C15457*D15457/100)</f>
        <v/>
      </c>
      <c r="F15457" s="15" t="str">
        <f aca="false">IF(B15457&lt;5,"Go","Standard")</f>
        <v>Standard</v>
      </c>
    </row>
    <row r="15458" customFormat="false" ht="15" hidden="false" customHeight="true" outlineLevel="0" collapsed="false">
      <c r="A15458" s="10" t="n">
        <f aca="false">Einstellungen!$B$5+INT((ROW()-9)/24)</f>
        <v>46609</v>
      </c>
      <c r="B15458" s="11" t="n">
        <f aca="false">MOD(ROW()-9,24)</f>
        <v>17</v>
      </c>
      <c r="C15458" s="12"/>
      <c r="D15458" s="13" t="n">
        <f aca="false">IF(B15458&lt;5,Einstellungen!$B$3,Einstellungen!$B$4)</f>
        <v>29.13</v>
      </c>
      <c r="E15458" s="14" t="str">
        <f aca="false">IF(C15458="","",C15458*D15458/100)</f>
        <v/>
      </c>
      <c r="F15458" s="15" t="str">
        <f aca="false">IF(B15458&lt;5,"Go","Standard")</f>
        <v>Standard</v>
      </c>
    </row>
    <row r="15459" customFormat="false" ht="15" hidden="false" customHeight="true" outlineLevel="0" collapsed="false">
      <c r="A15459" s="10" t="n">
        <f aca="false">Einstellungen!$B$5+INT((ROW()-9)/24)</f>
        <v>46609</v>
      </c>
      <c r="B15459" s="11" t="n">
        <f aca="false">MOD(ROW()-9,24)</f>
        <v>18</v>
      </c>
      <c r="C15459" s="12"/>
      <c r="D15459" s="13" t="n">
        <f aca="false">IF(B15459&lt;5,Einstellungen!$B$3,Einstellungen!$B$4)</f>
        <v>29.13</v>
      </c>
      <c r="E15459" s="14" t="str">
        <f aca="false">IF(C15459="","",C15459*D15459/100)</f>
        <v/>
      </c>
      <c r="F15459" s="15" t="str">
        <f aca="false">IF(B15459&lt;5,"Go","Standard")</f>
        <v>Standard</v>
      </c>
    </row>
    <row r="15460" customFormat="false" ht="15" hidden="false" customHeight="true" outlineLevel="0" collapsed="false">
      <c r="A15460" s="10" t="n">
        <f aca="false">Einstellungen!$B$5+INT((ROW()-9)/24)</f>
        <v>46609</v>
      </c>
      <c r="B15460" s="11" t="n">
        <f aca="false">MOD(ROW()-9,24)</f>
        <v>19</v>
      </c>
      <c r="C15460" s="12"/>
      <c r="D15460" s="13" t="n">
        <f aca="false">IF(B15460&lt;5,Einstellungen!$B$3,Einstellungen!$B$4)</f>
        <v>29.13</v>
      </c>
      <c r="E15460" s="14" t="str">
        <f aca="false">IF(C15460="","",C15460*D15460/100)</f>
        <v/>
      </c>
      <c r="F15460" s="15" t="str">
        <f aca="false">IF(B15460&lt;5,"Go","Standard")</f>
        <v>Standard</v>
      </c>
    </row>
    <row r="15461" customFormat="false" ht="15" hidden="false" customHeight="true" outlineLevel="0" collapsed="false">
      <c r="A15461" s="10" t="n">
        <f aca="false">Einstellungen!$B$5+INT((ROW()-9)/24)</f>
        <v>46609</v>
      </c>
      <c r="B15461" s="11" t="n">
        <f aca="false">MOD(ROW()-9,24)</f>
        <v>20</v>
      </c>
      <c r="C15461" s="12"/>
      <c r="D15461" s="13" t="n">
        <f aca="false">IF(B15461&lt;5,Einstellungen!$B$3,Einstellungen!$B$4)</f>
        <v>29.13</v>
      </c>
      <c r="E15461" s="14" t="str">
        <f aca="false">IF(C15461="","",C15461*D15461/100)</f>
        <v/>
      </c>
      <c r="F15461" s="15" t="str">
        <f aca="false">IF(B15461&lt;5,"Go","Standard")</f>
        <v>Standard</v>
      </c>
    </row>
    <row r="15462" customFormat="false" ht="15" hidden="false" customHeight="true" outlineLevel="0" collapsed="false">
      <c r="A15462" s="10" t="n">
        <f aca="false">Einstellungen!$B$5+INT((ROW()-9)/24)</f>
        <v>46609</v>
      </c>
      <c r="B15462" s="11" t="n">
        <f aca="false">MOD(ROW()-9,24)</f>
        <v>21</v>
      </c>
      <c r="C15462" s="12"/>
      <c r="D15462" s="13" t="n">
        <f aca="false">IF(B15462&lt;5,Einstellungen!$B$3,Einstellungen!$B$4)</f>
        <v>29.13</v>
      </c>
      <c r="E15462" s="14" t="str">
        <f aca="false">IF(C15462="","",C15462*D15462/100)</f>
        <v/>
      </c>
      <c r="F15462" s="15" t="str">
        <f aca="false">IF(B15462&lt;5,"Go","Standard")</f>
        <v>Standard</v>
      </c>
    </row>
    <row r="15463" customFormat="false" ht="15" hidden="false" customHeight="true" outlineLevel="0" collapsed="false">
      <c r="A15463" s="10" t="n">
        <f aca="false">Einstellungen!$B$5+INT((ROW()-9)/24)</f>
        <v>46609</v>
      </c>
      <c r="B15463" s="11" t="n">
        <f aca="false">MOD(ROW()-9,24)</f>
        <v>22</v>
      </c>
      <c r="C15463" s="12"/>
      <c r="D15463" s="13" t="n">
        <f aca="false">IF(B15463&lt;5,Einstellungen!$B$3,Einstellungen!$B$4)</f>
        <v>29.13</v>
      </c>
      <c r="E15463" s="14" t="str">
        <f aca="false">IF(C15463="","",C15463*D15463/100)</f>
        <v/>
      </c>
      <c r="F15463" s="15" t="str">
        <f aca="false">IF(B15463&lt;5,"Go","Standard")</f>
        <v>Standard</v>
      </c>
    </row>
    <row r="15464" customFormat="false" ht="15" hidden="false" customHeight="true" outlineLevel="0" collapsed="false">
      <c r="A15464" s="10" t="n">
        <f aca="false">Einstellungen!$B$5+INT((ROW()-9)/24)</f>
        <v>46609</v>
      </c>
      <c r="B15464" s="11" t="n">
        <f aca="false">MOD(ROW()-9,24)</f>
        <v>23</v>
      </c>
      <c r="C15464" s="12"/>
      <c r="D15464" s="13" t="n">
        <f aca="false">IF(B15464&lt;5,Einstellungen!$B$3,Einstellungen!$B$4)</f>
        <v>29.13</v>
      </c>
      <c r="E15464" s="14" t="str">
        <f aca="false">IF(C15464="","",C15464*D15464/100)</f>
        <v/>
      </c>
      <c r="F15464" s="15" t="str">
        <f aca="false">IF(B15464&lt;5,"Go","Standard")</f>
        <v>Standard</v>
      </c>
    </row>
    <row r="15465" customFormat="false" ht="15" hidden="false" customHeight="true" outlineLevel="0" collapsed="false">
      <c r="A15465" s="10" t="n">
        <f aca="false">Einstellungen!$B$5+INT((ROW()-9)/24)</f>
        <v>46610</v>
      </c>
      <c r="B15465" s="11" t="n">
        <f aca="false">MOD(ROW()-9,24)</f>
        <v>0</v>
      </c>
      <c r="C15465" s="12"/>
      <c r="D15465" s="13" t="n">
        <f aca="false">IF(B15465&lt;5,Einstellungen!$B$3,Einstellungen!$B$4)</f>
        <v>15.92</v>
      </c>
      <c r="E15465" s="14" t="str">
        <f aca="false">IF(C15465="","",C15465*D15465/100)</f>
        <v/>
      </c>
      <c r="F15465" s="15" t="str">
        <f aca="false">IF(B15465&lt;5,"Go","Standard")</f>
        <v>Go</v>
      </c>
    </row>
    <row r="15466" customFormat="false" ht="15" hidden="false" customHeight="true" outlineLevel="0" collapsed="false">
      <c r="A15466" s="10" t="n">
        <f aca="false">Einstellungen!$B$5+INT((ROW()-9)/24)</f>
        <v>46610</v>
      </c>
      <c r="B15466" s="11" t="n">
        <f aca="false">MOD(ROW()-9,24)</f>
        <v>1</v>
      </c>
      <c r="C15466" s="12"/>
      <c r="D15466" s="13" t="n">
        <f aca="false">IF(B15466&lt;5,Einstellungen!$B$3,Einstellungen!$B$4)</f>
        <v>15.92</v>
      </c>
      <c r="E15466" s="14" t="str">
        <f aca="false">IF(C15466="","",C15466*D15466/100)</f>
        <v/>
      </c>
      <c r="F15466" s="15" t="str">
        <f aca="false">IF(B15466&lt;5,"Go","Standard")</f>
        <v>Go</v>
      </c>
    </row>
    <row r="15467" customFormat="false" ht="15" hidden="false" customHeight="true" outlineLevel="0" collapsed="false">
      <c r="A15467" s="10" t="n">
        <f aca="false">Einstellungen!$B$5+INT((ROW()-9)/24)</f>
        <v>46610</v>
      </c>
      <c r="B15467" s="11" t="n">
        <f aca="false">MOD(ROW()-9,24)</f>
        <v>2</v>
      </c>
      <c r="C15467" s="12"/>
      <c r="D15467" s="13" t="n">
        <f aca="false">IF(B15467&lt;5,Einstellungen!$B$3,Einstellungen!$B$4)</f>
        <v>15.92</v>
      </c>
      <c r="E15467" s="14" t="str">
        <f aca="false">IF(C15467="","",C15467*D15467/100)</f>
        <v/>
      </c>
      <c r="F15467" s="15" t="str">
        <f aca="false">IF(B15467&lt;5,"Go","Standard")</f>
        <v>Go</v>
      </c>
    </row>
    <row r="15468" customFormat="false" ht="15" hidden="false" customHeight="true" outlineLevel="0" collapsed="false">
      <c r="A15468" s="10" t="n">
        <f aca="false">Einstellungen!$B$5+INT((ROW()-9)/24)</f>
        <v>46610</v>
      </c>
      <c r="B15468" s="11" t="n">
        <f aca="false">MOD(ROW()-9,24)</f>
        <v>3</v>
      </c>
      <c r="C15468" s="12"/>
      <c r="D15468" s="13" t="n">
        <f aca="false">IF(B15468&lt;5,Einstellungen!$B$3,Einstellungen!$B$4)</f>
        <v>15.92</v>
      </c>
      <c r="E15468" s="14" t="str">
        <f aca="false">IF(C15468="","",C15468*D15468/100)</f>
        <v/>
      </c>
      <c r="F15468" s="15" t="str">
        <f aca="false">IF(B15468&lt;5,"Go","Standard")</f>
        <v>Go</v>
      </c>
    </row>
    <row r="15469" customFormat="false" ht="15" hidden="false" customHeight="true" outlineLevel="0" collapsed="false">
      <c r="A15469" s="10" t="n">
        <f aca="false">Einstellungen!$B$5+INT((ROW()-9)/24)</f>
        <v>46610</v>
      </c>
      <c r="B15469" s="11" t="n">
        <f aca="false">MOD(ROW()-9,24)</f>
        <v>4</v>
      </c>
      <c r="C15469" s="12"/>
      <c r="D15469" s="13" t="n">
        <f aca="false">IF(B15469&lt;5,Einstellungen!$B$3,Einstellungen!$B$4)</f>
        <v>15.92</v>
      </c>
      <c r="E15469" s="14" t="str">
        <f aca="false">IF(C15469="","",C15469*D15469/100)</f>
        <v/>
      </c>
      <c r="F15469" s="15" t="str">
        <f aca="false">IF(B15469&lt;5,"Go","Standard")</f>
        <v>Go</v>
      </c>
    </row>
    <row r="15470" customFormat="false" ht="15" hidden="false" customHeight="true" outlineLevel="0" collapsed="false">
      <c r="A15470" s="10" t="n">
        <f aca="false">Einstellungen!$B$5+INT((ROW()-9)/24)</f>
        <v>46610</v>
      </c>
      <c r="B15470" s="11" t="n">
        <f aca="false">MOD(ROW()-9,24)</f>
        <v>5</v>
      </c>
      <c r="C15470" s="12"/>
      <c r="D15470" s="13" t="n">
        <f aca="false">IF(B15470&lt;5,Einstellungen!$B$3,Einstellungen!$B$4)</f>
        <v>29.13</v>
      </c>
      <c r="E15470" s="14" t="str">
        <f aca="false">IF(C15470="","",C15470*D15470/100)</f>
        <v/>
      </c>
      <c r="F15470" s="15" t="str">
        <f aca="false">IF(B15470&lt;5,"Go","Standard")</f>
        <v>Standard</v>
      </c>
    </row>
    <row r="15471" customFormat="false" ht="15" hidden="false" customHeight="true" outlineLevel="0" collapsed="false">
      <c r="A15471" s="10" t="n">
        <f aca="false">Einstellungen!$B$5+INT((ROW()-9)/24)</f>
        <v>46610</v>
      </c>
      <c r="B15471" s="11" t="n">
        <f aca="false">MOD(ROW()-9,24)</f>
        <v>6</v>
      </c>
      <c r="C15471" s="12"/>
      <c r="D15471" s="13" t="n">
        <f aca="false">IF(B15471&lt;5,Einstellungen!$B$3,Einstellungen!$B$4)</f>
        <v>29.13</v>
      </c>
      <c r="E15471" s="14" t="str">
        <f aca="false">IF(C15471="","",C15471*D15471/100)</f>
        <v/>
      </c>
      <c r="F15471" s="15" t="str">
        <f aca="false">IF(B15471&lt;5,"Go","Standard")</f>
        <v>Standard</v>
      </c>
    </row>
    <row r="15472" customFormat="false" ht="15" hidden="false" customHeight="true" outlineLevel="0" collapsed="false">
      <c r="A15472" s="10" t="n">
        <f aca="false">Einstellungen!$B$5+INT((ROW()-9)/24)</f>
        <v>46610</v>
      </c>
      <c r="B15472" s="11" t="n">
        <f aca="false">MOD(ROW()-9,24)</f>
        <v>7</v>
      </c>
      <c r="C15472" s="12"/>
      <c r="D15472" s="13" t="n">
        <f aca="false">IF(B15472&lt;5,Einstellungen!$B$3,Einstellungen!$B$4)</f>
        <v>29.13</v>
      </c>
      <c r="E15472" s="14" t="str">
        <f aca="false">IF(C15472="","",C15472*D15472/100)</f>
        <v/>
      </c>
      <c r="F15472" s="15" t="str">
        <f aca="false">IF(B15472&lt;5,"Go","Standard")</f>
        <v>Standard</v>
      </c>
    </row>
    <row r="15473" customFormat="false" ht="15" hidden="false" customHeight="true" outlineLevel="0" collapsed="false">
      <c r="A15473" s="10" t="n">
        <f aca="false">Einstellungen!$B$5+INT((ROW()-9)/24)</f>
        <v>46610</v>
      </c>
      <c r="B15473" s="11" t="n">
        <f aca="false">MOD(ROW()-9,24)</f>
        <v>8</v>
      </c>
      <c r="C15473" s="12"/>
      <c r="D15473" s="13" t="n">
        <f aca="false">IF(B15473&lt;5,Einstellungen!$B$3,Einstellungen!$B$4)</f>
        <v>29.13</v>
      </c>
      <c r="E15473" s="14" t="str">
        <f aca="false">IF(C15473="","",C15473*D15473/100)</f>
        <v/>
      </c>
      <c r="F15473" s="15" t="str">
        <f aca="false">IF(B15473&lt;5,"Go","Standard")</f>
        <v>Standard</v>
      </c>
    </row>
    <row r="15474" customFormat="false" ht="15" hidden="false" customHeight="true" outlineLevel="0" collapsed="false">
      <c r="A15474" s="10" t="n">
        <f aca="false">Einstellungen!$B$5+INT((ROW()-9)/24)</f>
        <v>46610</v>
      </c>
      <c r="B15474" s="11" t="n">
        <f aca="false">MOD(ROW()-9,24)</f>
        <v>9</v>
      </c>
      <c r="C15474" s="12"/>
      <c r="D15474" s="13" t="n">
        <f aca="false">IF(B15474&lt;5,Einstellungen!$B$3,Einstellungen!$B$4)</f>
        <v>29.13</v>
      </c>
      <c r="E15474" s="14" t="str">
        <f aca="false">IF(C15474="","",C15474*D15474/100)</f>
        <v/>
      </c>
      <c r="F15474" s="15" t="str">
        <f aca="false">IF(B15474&lt;5,"Go","Standard")</f>
        <v>Standard</v>
      </c>
    </row>
    <row r="15475" customFormat="false" ht="15" hidden="false" customHeight="true" outlineLevel="0" collapsed="false">
      <c r="A15475" s="10" t="n">
        <f aca="false">Einstellungen!$B$5+INT((ROW()-9)/24)</f>
        <v>46610</v>
      </c>
      <c r="B15475" s="11" t="n">
        <f aca="false">MOD(ROW()-9,24)</f>
        <v>10</v>
      </c>
      <c r="C15475" s="12"/>
      <c r="D15475" s="13" t="n">
        <f aca="false">IF(B15475&lt;5,Einstellungen!$B$3,Einstellungen!$B$4)</f>
        <v>29.13</v>
      </c>
      <c r="E15475" s="14" t="str">
        <f aca="false">IF(C15475="","",C15475*D15475/100)</f>
        <v/>
      </c>
      <c r="F15475" s="15" t="str">
        <f aca="false">IF(B15475&lt;5,"Go","Standard")</f>
        <v>Standard</v>
      </c>
    </row>
    <row r="15476" customFormat="false" ht="15" hidden="false" customHeight="true" outlineLevel="0" collapsed="false">
      <c r="A15476" s="10" t="n">
        <f aca="false">Einstellungen!$B$5+INT((ROW()-9)/24)</f>
        <v>46610</v>
      </c>
      <c r="B15476" s="11" t="n">
        <f aca="false">MOD(ROW()-9,24)</f>
        <v>11</v>
      </c>
      <c r="C15476" s="12"/>
      <c r="D15476" s="13" t="n">
        <f aca="false">IF(B15476&lt;5,Einstellungen!$B$3,Einstellungen!$B$4)</f>
        <v>29.13</v>
      </c>
      <c r="E15476" s="14" t="str">
        <f aca="false">IF(C15476="","",C15476*D15476/100)</f>
        <v/>
      </c>
      <c r="F15476" s="15" t="str">
        <f aca="false">IF(B15476&lt;5,"Go","Standard")</f>
        <v>Standard</v>
      </c>
    </row>
    <row r="15477" customFormat="false" ht="15" hidden="false" customHeight="true" outlineLevel="0" collapsed="false">
      <c r="A15477" s="10" t="n">
        <f aca="false">Einstellungen!$B$5+INT((ROW()-9)/24)</f>
        <v>46610</v>
      </c>
      <c r="B15477" s="11" t="n">
        <f aca="false">MOD(ROW()-9,24)</f>
        <v>12</v>
      </c>
      <c r="C15477" s="12"/>
      <c r="D15477" s="13" t="n">
        <f aca="false">IF(B15477&lt;5,Einstellungen!$B$3,Einstellungen!$B$4)</f>
        <v>29.13</v>
      </c>
      <c r="E15477" s="14" t="str">
        <f aca="false">IF(C15477="","",C15477*D15477/100)</f>
        <v/>
      </c>
      <c r="F15477" s="15" t="str">
        <f aca="false">IF(B15477&lt;5,"Go","Standard")</f>
        <v>Standard</v>
      </c>
    </row>
    <row r="15478" customFormat="false" ht="15" hidden="false" customHeight="true" outlineLevel="0" collapsed="false">
      <c r="A15478" s="10" t="n">
        <f aca="false">Einstellungen!$B$5+INT((ROW()-9)/24)</f>
        <v>46610</v>
      </c>
      <c r="B15478" s="11" t="n">
        <f aca="false">MOD(ROW()-9,24)</f>
        <v>13</v>
      </c>
      <c r="C15478" s="12"/>
      <c r="D15478" s="13" t="n">
        <f aca="false">IF(B15478&lt;5,Einstellungen!$B$3,Einstellungen!$B$4)</f>
        <v>29.13</v>
      </c>
      <c r="E15478" s="14" t="str">
        <f aca="false">IF(C15478="","",C15478*D15478/100)</f>
        <v/>
      </c>
      <c r="F15478" s="15" t="str">
        <f aca="false">IF(B15478&lt;5,"Go","Standard")</f>
        <v>Standard</v>
      </c>
    </row>
    <row r="15479" customFormat="false" ht="15" hidden="false" customHeight="true" outlineLevel="0" collapsed="false">
      <c r="A15479" s="10" t="n">
        <f aca="false">Einstellungen!$B$5+INT((ROW()-9)/24)</f>
        <v>46610</v>
      </c>
      <c r="B15479" s="11" t="n">
        <f aca="false">MOD(ROW()-9,24)</f>
        <v>14</v>
      </c>
      <c r="C15479" s="12"/>
      <c r="D15479" s="13" t="n">
        <f aca="false">IF(B15479&lt;5,Einstellungen!$B$3,Einstellungen!$B$4)</f>
        <v>29.13</v>
      </c>
      <c r="E15479" s="14" t="str">
        <f aca="false">IF(C15479="","",C15479*D15479/100)</f>
        <v/>
      </c>
      <c r="F15479" s="15" t="str">
        <f aca="false">IF(B15479&lt;5,"Go","Standard")</f>
        <v>Standard</v>
      </c>
    </row>
    <row r="15480" customFormat="false" ht="15" hidden="false" customHeight="true" outlineLevel="0" collapsed="false">
      <c r="A15480" s="10" t="n">
        <f aca="false">Einstellungen!$B$5+INT((ROW()-9)/24)</f>
        <v>46610</v>
      </c>
      <c r="B15480" s="11" t="n">
        <f aca="false">MOD(ROW()-9,24)</f>
        <v>15</v>
      </c>
      <c r="C15480" s="12"/>
      <c r="D15480" s="13" t="n">
        <f aca="false">IF(B15480&lt;5,Einstellungen!$B$3,Einstellungen!$B$4)</f>
        <v>29.13</v>
      </c>
      <c r="E15480" s="14" t="str">
        <f aca="false">IF(C15480="","",C15480*D15480/100)</f>
        <v/>
      </c>
      <c r="F15480" s="15" t="str">
        <f aca="false">IF(B15480&lt;5,"Go","Standard")</f>
        <v>Standard</v>
      </c>
    </row>
    <row r="15481" customFormat="false" ht="15" hidden="false" customHeight="true" outlineLevel="0" collapsed="false">
      <c r="A15481" s="10" t="n">
        <f aca="false">Einstellungen!$B$5+INT((ROW()-9)/24)</f>
        <v>46610</v>
      </c>
      <c r="B15481" s="11" t="n">
        <f aca="false">MOD(ROW()-9,24)</f>
        <v>16</v>
      </c>
      <c r="C15481" s="12"/>
      <c r="D15481" s="13" t="n">
        <f aca="false">IF(B15481&lt;5,Einstellungen!$B$3,Einstellungen!$B$4)</f>
        <v>29.13</v>
      </c>
      <c r="E15481" s="14" t="str">
        <f aca="false">IF(C15481="","",C15481*D15481/100)</f>
        <v/>
      </c>
      <c r="F15481" s="15" t="str">
        <f aca="false">IF(B15481&lt;5,"Go","Standard")</f>
        <v>Standard</v>
      </c>
    </row>
    <row r="15482" customFormat="false" ht="15" hidden="false" customHeight="true" outlineLevel="0" collapsed="false">
      <c r="A15482" s="10" t="n">
        <f aca="false">Einstellungen!$B$5+INT((ROW()-9)/24)</f>
        <v>46610</v>
      </c>
      <c r="B15482" s="11" t="n">
        <f aca="false">MOD(ROW()-9,24)</f>
        <v>17</v>
      </c>
      <c r="C15482" s="12"/>
      <c r="D15482" s="13" t="n">
        <f aca="false">IF(B15482&lt;5,Einstellungen!$B$3,Einstellungen!$B$4)</f>
        <v>29.13</v>
      </c>
      <c r="E15482" s="14" t="str">
        <f aca="false">IF(C15482="","",C15482*D15482/100)</f>
        <v/>
      </c>
      <c r="F15482" s="15" t="str">
        <f aca="false">IF(B15482&lt;5,"Go","Standard")</f>
        <v>Standard</v>
      </c>
    </row>
    <row r="15483" customFormat="false" ht="15" hidden="false" customHeight="true" outlineLevel="0" collapsed="false">
      <c r="A15483" s="10" t="n">
        <f aca="false">Einstellungen!$B$5+INT((ROW()-9)/24)</f>
        <v>46610</v>
      </c>
      <c r="B15483" s="11" t="n">
        <f aca="false">MOD(ROW()-9,24)</f>
        <v>18</v>
      </c>
      <c r="C15483" s="12"/>
      <c r="D15483" s="13" t="n">
        <f aca="false">IF(B15483&lt;5,Einstellungen!$B$3,Einstellungen!$B$4)</f>
        <v>29.13</v>
      </c>
      <c r="E15483" s="14" t="str">
        <f aca="false">IF(C15483="","",C15483*D15483/100)</f>
        <v/>
      </c>
      <c r="F15483" s="15" t="str">
        <f aca="false">IF(B15483&lt;5,"Go","Standard")</f>
        <v>Standard</v>
      </c>
    </row>
    <row r="15484" customFormat="false" ht="15" hidden="false" customHeight="true" outlineLevel="0" collapsed="false">
      <c r="A15484" s="10" t="n">
        <f aca="false">Einstellungen!$B$5+INT((ROW()-9)/24)</f>
        <v>46610</v>
      </c>
      <c r="B15484" s="11" t="n">
        <f aca="false">MOD(ROW()-9,24)</f>
        <v>19</v>
      </c>
      <c r="C15484" s="12"/>
      <c r="D15484" s="13" t="n">
        <f aca="false">IF(B15484&lt;5,Einstellungen!$B$3,Einstellungen!$B$4)</f>
        <v>29.13</v>
      </c>
      <c r="E15484" s="14" t="str">
        <f aca="false">IF(C15484="","",C15484*D15484/100)</f>
        <v/>
      </c>
      <c r="F15484" s="15" t="str">
        <f aca="false">IF(B15484&lt;5,"Go","Standard")</f>
        <v>Standard</v>
      </c>
    </row>
    <row r="15485" customFormat="false" ht="15" hidden="false" customHeight="true" outlineLevel="0" collapsed="false">
      <c r="A15485" s="10" t="n">
        <f aca="false">Einstellungen!$B$5+INT((ROW()-9)/24)</f>
        <v>46610</v>
      </c>
      <c r="B15485" s="11" t="n">
        <f aca="false">MOD(ROW()-9,24)</f>
        <v>20</v>
      </c>
      <c r="C15485" s="12"/>
      <c r="D15485" s="13" t="n">
        <f aca="false">IF(B15485&lt;5,Einstellungen!$B$3,Einstellungen!$B$4)</f>
        <v>29.13</v>
      </c>
      <c r="E15485" s="14" t="str">
        <f aca="false">IF(C15485="","",C15485*D15485/100)</f>
        <v/>
      </c>
      <c r="F15485" s="15" t="str">
        <f aca="false">IF(B15485&lt;5,"Go","Standard")</f>
        <v>Standard</v>
      </c>
    </row>
    <row r="15486" customFormat="false" ht="15" hidden="false" customHeight="true" outlineLevel="0" collapsed="false">
      <c r="A15486" s="10" t="n">
        <f aca="false">Einstellungen!$B$5+INT((ROW()-9)/24)</f>
        <v>46610</v>
      </c>
      <c r="B15486" s="11" t="n">
        <f aca="false">MOD(ROW()-9,24)</f>
        <v>21</v>
      </c>
      <c r="C15486" s="12"/>
      <c r="D15486" s="13" t="n">
        <f aca="false">IF(B15486&lt;5,Einstellungen!$B$3,Einstellungen!$B$4)</f>
        <v>29.13</v>
      </c>
      <c r="E15486" s="14" t="str">
        <f aca="false">IF(C15486="","",C15486*D15486/100)</f>
        <v/>
      </c>
      <c r="F15486" s="15" t="str">
        <f aca="false">IF(B15486&lt;5,"Go","Standard")</f>
        <v>Standard</v>
      </c>
    </row>
    <row r="15487" customFormat="false" ht="15" hidden="false" customHeight="true" outlineLevel="0" collapsed="false">
      <c r="A15487" s="10" t="n">
        <f aca="false">Einstellungen!$B$5+INT((ROW()-9)/24)</f>
        <v>46610</v>
      </c>
      <c r="B15487" s="11" t="n">
        <f aca="false">MOD(ROW()-9,24)</f>
        <v>22</v>
      </c>
      <c r="C15487" s="12"/>
      <c r="D15487" s="13" t="n">
        <f aca="false">IF(B15487&lt;5,Einstellungen!$B$3,Einstellungen!$B$4)</f>
        <v>29.13</v>
      </c>
      <c r="E15487" s="14" t="str">
        <f aca="false">IF(C15487="","",C15487*D15487/100)</f>
        <v/>
      </c>
      <c r="F15487" s="15" t="str">
        <f aca="false">IF(B15487&lt;5,"Go","Standard")</f>
        <v>Standard</v>
      </c>
    </row>
    <row r="15488" customFormat="false" ht="15" hidden="false" customHeight="true" outlineLevel="0" collapsed="false">
      <c r="A15488" s="10" t="n">
        <f aca="false">Einstellungen!$B$5+INT((ROW()-9)/24)</f>
        <v>46610</v>
      </c>
      <c r="B15488" s="11" t="n">
        <f aca="false">MOD(ROW()-9,24)</f>
        <v>23</v>
      </c>
      <c r="C15488" s="12"/>
      <c r="D15488" s="13" t="n">
        <f aca="false">IF(B15488&lt;5,Einstellungen!$B$3,Einstellungen!$B$4)</f>
        <v>29.13</v>
      </c>
      <c r="E15488" s="14" t="str">
        <f aca="false">IF(C15488="","",C15488*D15488/100)</f>
        <v/>
      </c>
      <c r="F15488" s="15" t="str">
        <f aca="false">IF(B15488&lt;5,"Go","Standard")</f>
        <v>Standard</v>
      </c>
    </row>
    <row r="15489" customFormat="false" ht="15" hidden="false" customHeight="true" outlineLevel="0" collapsed="false">
      <c r="A15489" s="10" t="n">
        <f aca="false">Einstellungen!$B$5+INT((ROW()-9)/24)</f>
        <v>46611</v>
      </c>
      <c r="B15489" s="11" t="n">
        <f aca="false">MOD(ROW()-9,24)</f>
        <v>0</v>
      </c>
      <c r="C15489" s="12"/>
      <c r="D15489" s="13" t="n">
        <f aca="false">IF(B15489&lt;5,Einstellungen!$B$3,Einstellungen!$B$4)</f>
        <v>15.92</v>
      </c>
      <c r="E15489" s="14" t="str">
        <f aca="false">IF(C15489="","",C15489*D15489/100)</f>
        <v/>
      </c>
      <c r="F15489" s="15" t="str">
        <f aca="false">IF(B15489&lt;5,"Go","Standard")</f>
        <v>Go</v>
      </c>
    </row>
    <row r="15490" customFormat="false" ht="15" hidden="false" customHeight="true" outlineLevel="0" collapsed="false">
      <c r="A15490" s="10" t="n">
        <f aca="false">Einstellungen!$B$5+INT((ROW()-9)/24)</f>
        <v>46611</v>
      </c>
      <c r="B15490" s="11" t="n">
        <f aca="false">MOD(ROW()-9,24)</f>
        <v>1</v>
      </c>
      <c r="C15490" s="12"/>
      <c r="D15490" s="13" t="n">
        <f aca="false">IF(B15490&lt;5,Einstellungen!$B$3,Einstellungen!$B$4)</f>
        <v>15.92</v>
      </c>
      <c r="E15490" s="14" t="str">
        <f aca="false">IF(C15490="","",C15490*D15490/100)</f>
        <v/>
      </c>
      <c r="F15490" s="15" t="str">
        <f aca="false">IF(B15490&lt;5,"Go","Standard")</f>
        <v>Go</v>
      </c>
    </row>
    <row r="15491" customFormat="false" ht="15" hidden="false" customHeight="true" outlineLevel="0" collapsed="false">
      <c r="A15491" s="10" t="n">
        <f aca="false">Einstellungen!$B$5+INT((ROW()-9)/24)</f>
        <v>46611</v>
      </c>
      <c r="B15491" s="11" t="n">
        <f aca="false">MOD(ROW()-9,24)</f>
        <v>2</v>
      </c>
      <c r="C15491" s="12"/>
      <c r="D15491" s="13" t="n">
        <f aca="false">IF(B15491&lt;5,Einstellungen!$B$3,Einstellungen!$B$4)</f>
        <v>15.92</v>
      </c>
      <c r="E15491" s="14" t="str">
        <f aca="false">IF(C15491="","",C15491*D15491/100)</f>
        <v/>
      </c>
      <c r="F15491" s="15" t="str">
        <f aca="false">IF(B15491&lt;5,"Go","Standard")</f>
        <v>Go</v>
      </c>
    </row>
    <row r="15492" customFormat="false" ht="15" hidden="false" customHeight="true" outlineLevel="0" collapsed="false">
      <c r="A15492" s="10" t="n">
        <f aca="false">Einstellungen!$B$5+INT((ROW()-9)/24)</f>
        <v>46611</v>
      </c>
      <c r="B15492" s="11" t="n">
        <f aca="false">MOD(ROW()-9,24)</f>
        <v>3</v>
      </c>
      <c r="C15492" s="12"/>
      <c r="D15492" s="13" t="n">
        <f aca="false">IF(B15492&lt;5,Einstellungen!$B$3,Einstellungen!$B$4)</f>
        <v>15.92</v>
      </c>
      <c r="E15492" s="14" t="str">
        <f aca="false">IF(C15492="","",C15492*D15492/100)</f>
        <v/>
      </c>
      <c r="F15492" s="15" t="str">
        <f aca="false">IF(B15492&lt;5,"Go","Standard")</f>
        <v>Go</v>
      </c>
    </row>
    <row r="15493" customFormat="false" ht="15" hidden="false" customHeight="true" outlineLevel="0" collapsed="false">
      <c r="A15493" s="10" t="n">
        <f aca="false">Einstellungen!$B$5+INT((ROW()-9)/24)</f>
        <v>46611</v>
      </c>
      <c r="B15493" s="11" t="n">
        <f aca="false">MOD(ROW()-9,24)</f>
        <v>4</v>
      </c>
      <c r="C15493" s="12"/>
      <c r="D15493" s="13" t="n">
        <f aca="false">IF(B15493&lt;5,Einstellungen!$B$3,Einstellungen!$B$4)</f>
        <v>15.92</v>
      </c>
      <c r="E15493" s="14" t="str">
        <f aca="false">IF(C15493="","",C15493*D15493/100)</f>
        <v/>
      </c>
      <c r="F15493" s="15" t="str">
        <f aca="false">IF(B15493&lt;5,"Go","Standard")</f>
        <v>Go</v>
      </c>
    </row>
    <row r="15494" customFormat="false" ht="15" hidden="false" customHeight="true" outlineLevel="0" collapsed="false">
      <c r="A15494" s="10" t="n">
        <f aca="false">Einstellungen!$B$5+INT((ROW()-9)/24)</f>
        <v>46611</v>
      </c>
      <c r="B15494" s="11" t="n">
        <f aca="false">MOD(ROW()-9,24)</f>
        <v>5</v>
      </c>
      <c r="C15494" s="12"/>
      <c r="D15494" s="13" t="n">
        <f aca="false">IF(B15494&lt;5,Einstellungen!$B$3,Einstellungen!$B$4)</f>
        <v>29.13</v>
      </c>
      <c r="E15494" s="14" t="str">
        <f aca="false">IF(C15494="","",C15494*D15494/100)</f>
        <v/>
      </c>
      <c r="F15494" s="15" t="str">
        <f aca="false">IF(B15494&lt;5,"Go","Standard")</f>
        <v>Standard</v>
      </c>
    </row>
    <row r="15495" customFormat="false" ht="15" hidden="false" customHeight="true" outlineLevel="0" collapsed="false">
      <c r="A15495" s="10" t="n">
        <f aca="false">Einstellungen!$B$5+INT((ROW()-9)/24)</f>
        <v>46611</v>
      </c>
      <c r="B15495" s="11" t="n">
        <f aca="false">MOD(ROW()-9,24)</f>
        <v>6</v>
      </c>
      <c r="C15495" s="12"/>
      <c r="D15495" s="13" t="n">
        <f aca="false">IF(B15495&lt;5,Einstellungen!$B$3,Einstellungen!$B$4)</f>
        <v>29.13</v>
      </c>
      <c r="E15495" s="14" t="str">
        <f aca="false">IF(C15495="","",C15495*D15495/100)</f>
        <v/>
      </c>
      <c r="F15495" s="15" t="str">
        <f aca="false">IF(B15495&lt;5,"Go","Standard")</f>
        <v>Standard</v>
      </c>
    </row>
    <row r="15496" customFormat="false" ht="15" hidden="false" customHeight="true" outlineLevel="0" collapsed="false">
      <c r="A15496" s="10" t="n">
        <f aca="false">Einstellungen!$B$5+INT((ROW()-9)/24)</f>
        <v>46611</v>
      </c>
      <c r="B15496" s="11" t="n">
        <f aca="false">MOD(ROW()-9,24)</f>
        <v>7</v>
      </c>
      <c r="C15496" s="12"/>
      <c r="D15496" s="13" t="n">
        <f aca="false">IF(B15496&lt;5,Einstellungen!$B$3,Einstellungen!$B$4)</f>
        <v>29.13</v>
      </c>
      <c r="E15496" s="14" t="str">
        <f aca="false">IF(C15496="","",C15496*D15496/100)</f>
        <v/>
      </c>
      <c r="F15496" s="15" t="str">
        <f aca="false">IF(B15496&lt;5,"Go","Standard")</f>
        <v>Standard</v>
      </c>
    </row>
    <row r="15497" customFormat="false" ht="15" hidden="false" customHeight="true" outlineLevel="0" collapsed="false">
      <c r="A15497" s="10" t="n">
        <f aca="false">Einstellungen!$B$5+INT((ROW()-9)/24)</f>
        <v>46611</v>
      </c>
      <c r="B15497" s="11" t="n">
        <f aca="false">MOD(ROW()-9,24)</f>
        <v>8</v>
      </c>
      <c r="C15497" s="12"/>
      <c r="D15497" s="13" t="n">
        <f aca="false">IF(B15497&lt;5,Einstellungen!$B$3,Einstellungen!$B$4)</f>
        <v>29.13</v>
      </c>
      <c r="E15497" s="14" t="str">
        <f aca="false">IF(C15497="","",C15497*D15497/100)</f>
        <v/>
      </c>
      <c r="F15497" s="15" t="str">
        <f aca="false">IF(B15497&lt;5,"Go","Standard")</f>
        <v>Standard</v>
      </c>
    </row>
    <row r="15498" customFormat="false" ht="15" hidden="false" customHeight="true" outlineLevel="0" collapsed="false">
      <c r="A15498" s="10" t="n">
        <f aca="false">Einstellungen!$B$5+INT((ROW()-9)/24)</f>
        <v>46611</v>
      </c>
      <c r="B15498" s="11" t="n">
        <f aca="false">MOD(ROW()-9,24)</f>
        <v>9</v>
      </c>
      <c r="C15498" s="12"/>
      <c r="D15498" s="13" t="n">
        <f aca="false">IF(B15498&lt;5,Einstellungen!$B$3,Einstellungen!$B$4)</f>
        <v>29.13</v>
      </c>
      <c r="E15498" s="14" t="str">
        <f aca="false">IF(C15498="","",C15498*D15498/100)</f>
        <v/>
      </c>
      <c r="F15498" s="15" t="str">
        <f aca="false">IF(B15498&lt;5,"Go","Standard")</f>
        <v>Standard</v>
      </c>
    </row>
    <row r="15499" customFormat="false" ht="15" hidden="false" customHeight="true" outlineLevel="0" collapsed="false">
      <c r="A15499" s="10" t="n">
        <f aca="false">Einstellungen!$B$5+INT((ROW()-9)/24)</f>
        <v>46611</v>
      </c>
      <c r="B15499" s="11" t="n">
        <f aca="false">MOD(ROW()-9,24)</f>
        <v>10</v>
      </c>
      <c r="C15499" s="12"/>
      <c r="D15499" s="13" t="n">
        <f aca="false">IF(B15499&lt;5,Einstellungen!$B$3,Einstellungen!$B$4)</f>
        <v>29.13</v>
      </c>
      <c r="E15499" s="14" t="str">
        <f aca="false">IF(C15499="","",C15499*D15499/100)</f>
        <v/>
      </c>
      <c r="F15499" s="15" t="str">
        <f aca="false">IF(B15499&lt;5,"Go","Standard")</f>
        <v>Standard</v>
      </c>
    </row>
    <row r="15500" customFormat="false" ht="15" hidden="false" customHeight="true" outlineLevel="0" collapsed="false">
      <c r="A15500" s="10" t="n">
        <f aca="false">Einstellungen!$B$5+INT((ROW()-9)/24)</f>
        <v>46611</v>
      </c>
      <c r="B15500" s="11" t="n">
        <f aca="false">MOD(ROW()-9,24)</f>
        <v>11</v>
      </c>
      <c r="C15500" s="12"/>
      <c r="D15500" s="13" t="n">
        <f aca="false">IF(B15500&lt;5,Einstellungen!$B$3,Einstellungen!$B$4)</f>
        <v>29.13</v>
      </c>
      <c r="E15500" s="14" t="str">
        <f aca="false">IF(C15500="","",C15500*D15500/100)</f>
        <v/>
      </c>
      <c r="F15500" s="15" t="str">
        <f aca="false">IF(B15500&lt;5,"Go","Standard")</f>
        <v>Standard</v>
      </c>
    </row>
    <row r="15501" customFormat="false" ht="15" hidden="false" customHeight="true" outlineLevel="0" collapsed="false">
      <c r="A15501" s="10" t="n">
        <f aca="false">Einstellungen!$B$5+INT((ROW()-9)/24)</f>
        <v>46611</v>
      </c>
      <c r="B15501" s="11" t="n">
        <f aca="false">MOD(ROW()-9,24)</f>
        <v>12</v>
      </c>
      <c r="C15501" s="12"/>
      <c r="D15501" s="13" t="n">
        <f aca="false">IF(B15501&lt;5,Einstellungen!$B$3,Einstellungen!$B$4)</f>
        <v>29.13</v>
      </c>
      <c r="E15501" s="14" t="str">
        <f aca="false">IF(C15501="","",C15501*D15501/100)</f>
        <v/>
      </c>
      <c r="F15501" s="15" t="str">
        <f aca="false">IF(B15501&lt;5,"Go","Standard")</f>
        <v>Standard</v>
      </c>
    </row>
    <row r="15502" customFormat="false" ht="15" hidden="false" customHeight="true" outlineLevel="0" collapsed="false">
      <c r="A15502" s="10" t="n">
        <f aca="false">Einstellungen!$B$5+INT((ROW()-9)/24)</f>
        <v>46611</v>
      </c>
      <c r="B15502" s="11" t="n">
        <f aca="false">MOD(ROW()-9,24)</f>
        <v>13</v>
      </c>
      <c r="C15502" s="12"/>
      <c r="D15502" s="13" t="n">
        <f aca="false">IF(B15502&lt;5,Einstellungen!$B$3,Einstellungen!$B$4)</f>
        <v>29.13</v>
      </c>
      <c r="E15502" s="14" t="str">
        <f aca="false">IF(C15502="","",C15502*D15502/100)</f>
        <v/>
      </c>
      <c r="F15502" s="15" t="str">
        <f aca="false">IF(B15502&lt;5,"Go","Standard")</f>
        <v>Standard</v>
      </c>
    </row>
    <row r="15503" customFormat="false" ht="15" hidden="false" customHeight="true" outlineLevel="0" collapsed="false">
      <c r="A15503" s="10" t="n">
        <f aca="false">Einstellungen!$B$5+INT((ROW()-9)/24)</f>
        <v>46611</v>
      </c>
      <c r="B15503" s="11" t="n">
        <f aca="false">MOD(ROW()-9,24)</f>
        <v>14</v>
      </c>
      <c r="C15503" s="12"/>
      <c r="D15503" s="13" t="n">
        <f aca="false">IF(B15503&lt;5,Einstellungen!$B$3,Einstellungen!$B$4)</f>
        <v>29.13</v>
      </c>
      <c r="E15503" s="14" t="str">
        <f aca="false">IF(C15503="","",C15503*D15503/100)</f>
        <v/>
      </c>
      <c r="F15503" s="15" t="str">
        <f aca="false">IF(B15503&lt;5,"Go","Standard")</f>
        <v>Standard</v>
      </c>
    </row>
    <row r="15504" customFormat="false" ht="15" hidden="false" customHeight="true" outlineLevel="0" collapsed="false">
      <c r="A15504" s="10" t="n">
        <f aca="false">Einstellungen!$B$5+INT((ROW()-9)/24)</f>
        <v>46611</v>
      </c>
      <c r="B15504" s="11" t="n">
        <f aca="false">MOD(ROW()-9,24)</f>
        <v>15</v>
      </c>
      <c r="C15504" s="12"/>
      <c r="D15504" s="13" t="n">
        <f aca="false">IF(B15504&lt;5,Einstellungen!$B$3,Einstellungen!$B$4)</f>
        <v>29.13</v>
      </c>
      <c r="E15504" s="14" t="str">
        <f aca="false">IF(C15504="","",C15504*D15504/100)</f>
        <v/>
      </c>
      <c r="F15504" s="15" t="str">
        <f aca="false">IF(B15504&lt;5,"Go","Standard")</f>
        <v>Standard</v>
      </c>
    </row>
    <row r="15505" customFormat="false" ht="15" hidden="false" customHeight="true" outlineLevel="0" collapsed="false">
      <c r="A15505" s="10" t="n">
        <f aca="false">Einstellungen!$B$5+INT((ROW()-9)/24)</f>
        <v>46611</v>
      </c>
      <c r="B15505" s="11" t="n">
        <f aca="false">MOD(ROW()-9,24)</f>
        <v>16</v>
      </c>
      <c r="C15505" s="12"/>
      <c r="D15505" s="13" t="n">
        <f aca="false">IF(B15505&lt;5,Einstellungen!$B$3,Einstellungen!$B$4)</f>
        <v>29.13</v>
      </c>
      <c r="E15505" s="14" t="str">
        <f aca="false">IF(C15505="","",C15505*D15505/100)</f>
        <v/>
      </c>
      <c r="F15505" s="15" t="str">
        <f aca="false">IF(B15505&lt;5,"Go","Standard")</f>
        <v>Standard</v>
      </c>
    </row>
    <row r="15506" customFormat="false" ht="15" hidden="false" customHeight="true" outlineLevel="0" collapsed="false">
      <c r="A15506" s="10" t="n">
        <f aca="false">Einstellungen!$B$5+INT((ROW()-9)/24)</f>
        <v>46611</v>
      </c>
      <c r="B15506" s="11" t="n">
        <f aca="false">MOD(ROW()-9,24)</f>
        <v>17</v>
      </c>
      <c r="C15506" s="12"/>
      <c r="D15506" s="13" t="n">
        <f aca="false">IF(B15506&lt;5,Einstellungen!$B$3,Einstellungen!$B$4)</f>
        <v>29.13</v>
      </c>
      <c r="E15506" s="14" t="str">
        <f aca="false">IF(C15506="","",C15506*D15506/100)</f>
        <v/>
      </c>
      <c r="F15506" s="15" t="str">
        <f aca="false">IF(B15506&lt;5,"Go","Standard")</f>
        <v>Standard</v>
      </c>
    </row>
    <row r="15507" customFormat="false" ht="15" hidden="false" customHeight="true" outlineLevel="0" collapsed="false">
      <c r="A15507" s="10" t="n">
        <f aca="false">Einstellungen!$B$5+INT((ROW()-9)/24)</f>
        <v>46611</v>
      </c>
      <c r="B15507" s="11" t="n">
        <f aca="false">MOD(ROW()-9,24)</f>
        <v>18</v>
      </c>
      <c r="C15507" s="12"/>
      <c r="D15507" s="13" t="n">
        <f aca="false">IF(B15507&lt;5,Einstellungen!$B$3,Einstellungen!$B$4)</f>
        <v>29.13</v>
      </c>
      <c r="E15507" s="14" t="str">
        <f aca="false">IF(C15507="","",C15507*D15507/100)</f>
        <v/>
      </c>
      <c r="F15507" s="15" t="str">
        <f aca="false">IF(B15507&lt;5,"Go","Standard")</f>
        <v>Standard</v>
      </c>
    </row>
    <row r="15508" customFormat="false" ht="15" hidden="false" customHeight="true" outlineLevel="0" collapsed="false">
      <c r="A15508" s="10" t="n">
        <f aca="false">Einstellungen!$B$5+INT((ROW()-9)/24)</f>
        <v>46611</v>
      </c>
      <c r="B15508" s="11" t="n">
        <f aca="false">MOD(ROW()-9,24)</f>
        <v>19</v>
      </c>
      <c r="C15508" s="12"/>
      <c r="D15508" s="13" t="n">
        <f aca="false">IF(B15508&lt;5,Einstellungen!$B$3,Einstellungen!$B$4)</f>
        <v>29.13</v>
      </c>
      <c r="E15508" s="14" t="str">
        <f aca="false">IF(C15508="","",C15508*D15508/100)</f>
        <v/>
      </c>
      <c r="F15508" s="15" t="str">
        <f aca="false">IF(B15508&lt;5,"Go","Standard")</f>
        <v>Standard</v>
      </c>
    </row>
    <row r="15509" customFormat="false" ht="15" hidden="false" customHeight="true" outlineLevel="0" collapsed="false">
      <c r="A15509" s="10" t="n">
        <f aca="false">Einstellungen!$B$5+INT((ROW()-9)/24)</f>
        <v>46611</v>
      </c>
      <c r="B15509" s="11" t="n">
        <f aca="false">MOD(ROW()-9,24)</f>
        <v>20</v>
      </c>
      <c r="C15509" s="12"/>
      <c r="D15509" s="13" t="n">
        <f aca="false">IF(B15509&lt;5,Einstellungen!$B$3,Einstellungen!$B$4)</f>
        <v>29.13</v>
      </c>
      <c r="E15509" s="14" t="str">
        <f aca="false">IF(C15509="","",C15509*D15509/100)</f>
        <v/>
      </c>
      <c r="F15509" s="15" t="str">
        <f aca="false">IF(B15509&lt;5,"Go","Standard")</f>
        <v>Standard</v>
      </c>
    </row>
    <row r="15510" customFormat="false" ht="15" hidden="false" customHeight="true" outlineLevel="0" collapsed="false">
      <c r="A15510" s="10" t="n">
        <f aca="false">Einstellungen!$B$5+INT((ROW()-9)/24)</f>
        <v>46611</v>
      </c>
      <c r="B15510" s="11" t="n">
        <f aca="false">MOD(ROW()-9,24)</f>
        <v>21</v>
      </c>
      <c r="C15510" s="12"/>
      <c r="D15510" s="13" t="n">
        <f aca="false">IF(B15510&lt;5,Einstellungen!$B$3,Einstellungen!$B$4)</f>
        <v>29.13</v>
      </c>
      <c r="E15510" s="14" t="str">
        <f aca="false">IF(C15510="","",C15510*D15510/100)</f>
        <v/>
      </c>
      <c r="F15510" s="15" t="str">
        <f aca="false">IF(B15510&lt;5,"Go","Standard")</f>
        <v>Standard</v>
      </c>
    </row>
    <row r="15511" customFormat="false" ht="15" hidden="false" customHeight="true" outlineLevel="0" collapsed="false">
      <c r="A15511" s="10" t="n">
        <f aca="false">Einstellungen!$B$5+INT((ROW()-9)/24)</f>
        <v>46611</v>
      </c>
      <c r="B15511" s="11" t="n">
        <f aca="false">MOD(ROW()-9,24)</f>
        <v>22</v>
      </c>
      <c r="C15511" s="12"/>
      <c r="D15511" s="13" t="n">
        <f aca="false">IF(B15511&lt;5,Einstellungen!$B$3,Einstellungen!$B$4)</f>
        <v>29.13</v>
      </c>
      <c r="E15511" s="14" t="str">
        <f aca="false">IF(C15511="","",C15511*D15511/100)</f>
        <v/>
      </c>
      <c r="F15511" s="15" t="str">
        <f aca="false">IF(B15511&lt;5,"Go","Standard")</f>
        <v>Standard</v>
      </c>
    </row>
    <row r="15512" customFormat="false" ht="15" hidden="false" customHeight="true" outlineLevel="0" collapsed="false">
      <c r="A15512" s="10" t="n">
        <f aca="false">Einstellungen!$B$5+INT((ROW()-9)/24)</f>
        <v>46611</v>
      </c>
      <c r="B15512" s="11" t="n">
        <f aca="false">MOD(ROW()-9,24)</f>
        <v>23</v>
      </c>
      <c r="C15512" s="12"/>
      <c r="D15512" s="13" t="n">
        <f aca="false">IF(B15512&lt;5,Einstellungen!$B$3,Einstellungen!$B$4)</f>
        <v>29.13</v>
      </c>
      <c r="E15512" s="14" t="str">
        <f aca="false">IF(C15512="","",C15512*D15512/100)</f>
        <v/>
      </c>
      <c r="F15512" s="15" t="str">
        <f aca="false">IF(B15512&lt;5,"Go","Standard")</f>
        <v>Standard</v>
      </c>
    </row>
    <row r="15513" customFormat="false" ht="15" hidden="false" customHeight="true" outlineLevel="0" collapsed="false">
      <c r="A15513" s="10" t="n">
        <f aca="false">Einstellungen!$B$5+INT((ROW()-9)/24)</f>
        <v>46612</v>
      </c>
      <c r="B15513" s="11" t="n">
        <f aca="false">MOD(ROW()-9,24)</f>
        <v>0</v>
      </c>
      <c r="C15513" s="12"/>
      <c r="D15513" s="13" t="n">
        <f aca="false">IF(B15513&lt;5,Einstellungen!$B$3,Einstellungen!$B$4)</f>
        <v>15.92</v>
      </c>
      <c r="E15513" s="14" t="str">
        <f aca="false">IF(C15513="","",C15513*D15513/100)</f>
        <v/>
      </c>
      <c r="F15513" s="15" t="str">
        <f aca="false">IF(B15513&lt;5,"Go","Standard")</f>
        <v>Go</v>
      </c>
    </row>
    <row r="15514" customFormat="false" ht="15" hidden="false" customHeight="true" outlineLevel="0" collapsed="false">
      <c r="A15514" s="10" t="n">
        <f aca="false">Einstellungen!$B$5+INT((ROW()-9)/24)</f>
        <v>46612</v>
      </c>
      <c r="B15514" s="11" t="n">
        <f aca="false">MOD(ROW()-9,24)</f>
        <v>1</v>
      </c>
      <c r="C15514" s="12"/>
      <c r="D15514" s="13" t="n">
        <f aca="false">IF(B15514&lt;5,Einstellungen!$B$3,Einstellungen!$B$4)</f>
        <v>15.92</v>
      </c>
      <c r="E15514" s="14" t="str">
        <f aca="false">IF(C15514="","",C15514*D15514/100)</f>
        <v/>
      </c>
      <c r="F15514" s="15" t="str">
        <f aca="false">IF(B15514&lt;5,"Go","Standard")</f>
        <v>Go</v>
      </c>
    </row>
    <row r="15515" customFormat="false" ht="15" hidden="false" customHeight="true" outlineLevel="0" collapsed="false">
      <c r="A15515" s="10" t="n">
        <f aca="false">Einstellungen!$B$5+INT((ROW()-9)/24)</f>
        <v>46612</v>
      </c>
      <c r="B15515" s="11" t="n">
        <f aca="false">MOD(ROW()-9,24)</f>
        <v>2</v>
      </c>
      <c r="C15515" s="12"/>
      <c r="D15515" s="13" t="n">
        <f aca="false">IF(B15515&lt;5,Einstellungen!$B$3,Einstellungen!$B$4)</f>
        <v>15.92</v>
      </c>
      <c r="E15515" s="14" t="str">
        <f aca="false">IF(C15515="","",C15515*D15515/100)</f>
        <v/>
      </c>
      <c r="F15515" s="15" t="str">
        <f aca="false">IF(B15515&lt;5,"Go","Standard")</f>
        <v>Go</v>
      </c>
    </row>
    <row r="15516" customFormat="false" ht="15" hidden="false" customHeight="true" outlineLevel="0" collapsed="false">
      <c r="A15516" s="10" t="n">
        <f aca="false">Einstellungen!$B$5+INT((ROW()-9)/24)</f>
        <v>46612</v>
      </c>
      <c r="B15516" s="11" t="n">
        <f aca="false">MOD(ROW()-9,24)</f>
        <v>3</v>
      </c>
      <c r="C15516" s="12"/>
      <c r="D15516" s="13" t="n">
        <f aca="false">IF(B15516&lt;5,Einstellungen!$B$3,Einstellungen!$B$4)</f>
        <v>15.92</v>
      </c>
      <c r="E15516" s="14" t="str">
        <f aca="false">IF(C15516="","",C15516*D15516/100)</f>
        <v/>
      </c>
      <c r="F15516" s="15" t="str">
        <f aca="false">IF(B15516&lt;5,"Go","Standard")</f>
        <v>Go</v>
      </c>
    </row>
    <row r="15517" customFormat="false" ht="15" hidden="false" customHeight="true" outlineLevel="0" collapsed="false">
      <c r="A15517" s="10" t="n">
        <f aca="false">Einstellungen!$B$5+INT((ROW()-9)/24)</f>
        <v>46612</v>
      </c>
      <c r="B15517" s="11" t="n">
        <f aca="false">MOD(ROW()-9,24)</f>
        <v>4</v>
      </c>
      <c r="C15517" s="12"/>
      <c r="D15517" s="13" t="n">
        <f aca="false">IF(B15517&lt;5,Einstellungen!$B$3,Einstellungen!$B$4)</f>
        <v>15.92</v>
      </c>
      <c r="E15517" s="14" t="str">
        <f aca="false">IF(C15517="","",C15517*D15517/100)</f>
        <v/>
      </c>
      <c r="F15517" s="15" t="str">
        <f aca="false">IF(B15517&lt;5,"Go","Standard")</f>
        <v>Go</v>
      </c>
    </row>
    <row r="15518" customFormat="false" ht="15" hidden="false" customHeight="true" outlineLevel="0" collapsed="false">
      <c r="A15518" s="10" t="n">
        <f aca="false">Einstellungen!$B$5+INT((ROW()-9)/24)</f>
        <v>46612</v>
      </c>
      <c r="B15518" s="11" t="n">
        <f aca="false">MOD(ROW()-9,24)</f>
        <v>5</v>
      </c>
      <c r="C15518" s="12"/>
      <c r="D15518" s="13" t="n">
        <f aca="false">IF(B15518&lt;5,Einstellungen!$B$3,Einstellungen!$B$4)</f>
        <v>29.13</v>
      </c>
      <c r="E15518" s="14" t="str">
        <f aca="false">IF(C15518="","",C15518*D15518/100)</f>
        <v/>
      </c>
      <c r="F15518" s="15" t="str">
        <f aca="false">IF(B15518&lt;5,"Go","Standard")</f>
        <v>Standard</v>
      </c>
    </row>
    <row r="15519" customFormat="false" ht="15" hidden="false" customHeight="true" outlineLevel="0" collapsed="false">
      <c r="A15519" s="10" t="n">
        <f aca="false">Einstellungen!$B$5+INT((ROW()-9)/24)</f>
        <v>46612</v>
      </c>
      <c r="B15519" s="11" t="n">
        <f aca="false">MOD(ROW()-9,24)</f>
        <v>6</v>
      </c>
      <c r="C15519" s="12"/>
      <c r="D15519" s="13" t="n">
        <f aca="false">IF(B15519&lt;5,Einstellungen!$B$3,Einstellungen!$B$4)</f>
        <v>29.13</v>
      </c>
      <c r="E15519" s="14" t="str">
        <f aca="false">IF(C15519="","",C15519*D15519/100)</f>
        <v/>
      </c>
      <c r="F15519" s="15" t="str">
        <f aca="false">IF(B15519&lt;5,"Go","Standard")</f>
        <v>Standard</v>
      </c>
    </row>
    <row r="15520" customFormat="false" ht="15" hidden="false" customHeight="true" outlineLevel="0" collapsed="false">
      <c r="A15520" s="10" t="n">
        <f aca="false">Einstellungen!$B$5+INT((ROW()-9)/24)</f>
        <v>46612</v>
      </c>
      <c r="B15520" s="11" t="n">
        <f aca="false">MOD(ROW()-9,24)</f>
        <v>7</v>
      </c>
      <c r="C15520" s="12"/>
      <c r="D15520" s="13" t="n">
        <f aca="false">IF(B15520&lt;5,Einstellungen!$B$3,Einstellungen!$B$4)</f>
        <v>29.13</v>
      </c>
      <c r="E15520" s="14" t="str">
        <f aca="false">IF(C15520="","",C15520*D15520/100)</f>
        <v/>
      </c>
      <c r="F15520" s="15" t="str">
        <f aca="false">IF(B15520&lt;5,"Go","Standard")</f>
        <v>Standard</v>
      </c>
    </row>
    <row r="15521" customFormat="false" ht="15" hidden="false" customHeight="true" outlineLevel="0" collapsed="false">
      <c r="A15521" s="10" t="n">
        <f aca="false">Einstellungen!$B$5+INT((ROW()-9)/24)</f>
        <v>46612</v>
      </c>
      <c r="B15521" s="11" t="n">
        <f aca="false">MOD(ROW()-9,24)</f>
        <v>8</v>
      </c>
      <c r="C15521" s="12"/>
      <c r="D15521" s="13" t="n">
        <f aca="false">IF(B15521&lt;5,Einstellungen!$B$3,Einstellungen!$B$4)</f>
        <v>29.13</v>
      </c>
      <c r="E15521" s="14" t="str">
        <f aca="false">IF(C15521="","",C15521*D15521/100)</f>
        <v/>
      </c>
      <c r="F15521" s="15" t="str">
        <f aca="false">IF(B15521&lt;5,"Go","Standard")</f>
        <v>Standard</v>
      </c>
    </row>
    <row r="15522" customFormat="false" ht="15" hidden="false" customHeight="true" outlineLevel="0" collapsed="false">
      <c r="A15522" s="10" t="n">
        <f aca="false">Einstellungen!$B$5+INT((ROW()-9)/24)</f>
        <v>46612</v>
      </c>
      <c r="B15522" s="11" t="n">
        <f aca="false">MOD(ROW()-9,24)</f>
        <v>9</v>
      </c>
      <c r="C15522" s="12"/>
      <c r="D15522" s="13" t="n">
        <f aca="false">IF(B15522&lt;5,Einstellungen!$B$3,Einstellungen!$B$4)</f>
        <v>29.13</v>
      </c>
      <c r="E15522" s="14" t="str">
        <f aca="false">IF(C15522="","",C15522*D15522/100)</f>
        <v/>
      </c>
      <c r="F15522" s="15" t="str">
        <f aca="false">IF(B15522&lt;5,"Go","Standard")</f>
        <v>Standard</v>
      </c>
    </row>
    <row r="15523" customFormat="false" ht="15" hidden="false" customHeight="true" outlineLevel="0" collapsed="false">
      <c r="A15523" s="10" t="n">
        <f aca="false">Einstellungen!$B$5+INT((ROW()-9)/24)</f>
        <v>46612</v>
      </c>
      <c r="B15523" s="11" t="n">
        <f aca="false">MOD(ROW()-9,24)</f>
        <v>10</v>
      </c>
      <c r="C15523" s="12"/>
      <c r="D15523" s="13" t="n">
        <f aca="false">IF(B15523&lt;5,Einstellungen!$B$3,Einstellungen!$B$4)</f>
        <v>29.13</v>
      </c>
      <c r="E15523" s="14" t="str">
        <f aca="false">IF(C15523="","",C15523*D15523/100)</f>
        <v/>
      </c>
      <c r="F15523" s="15" t="str">
        <f aca="false">IF(B15523&lt;5,"Go","Standard")</f>
        <v>Standard</v>
      </c>
    </row>
    <row r="15524" customFormat="false" ht="15" hidden="false" customHeight="true" outlineLevel="0" collapsed="false">
      <c r="A15524" s="10" t="n">
        <f aca="false">Einstellungen!$B$5+INT((ROW()-9)/24)</f>
        <v>46612</v>
      </c>
      <c r="B15524" s="11" t="n">
        <f aca="false">MOD(ROW()-9,24)</f>
        <v>11</v>
      </c>
      <c r="C15524" s="12"/>
      <c r="D15524" s="13" t="n">
        <f aca="false">IF(B15524&lt;5,Einstellungen!$B$3,Einstellungen!$B$4)</f>
        <v>29.13</v>
      </c>
      <c r="E15524" s="14" t="str">
        <f aca="false">IF(C15524="","",C15524*D15524/100)</f>
        <v/>
      </c>
      <c r="F15524" s="15" t="str">
        <f aca="false">IF(B15524&lt;5,"Go","Standard")</f>
        <v>Standard</v>
      </c>
    </row>
    <row r="15525" customFormat="false" ht="15" hidden="false" customHeight="true" outlineLevel="0" collapsed="false">
      <c r="A15525" s="10" t="n">
        <f aca="false">Einstellungen!$B$5+INT((ROW()-9)/24)</f>
        <v>46612</v>
      </c>
      <c r="B15525" s="11" t="n">
        <f aca="false">MOD(ROW()-9,24)</f>
        <v>12</v>
      </c>
      <c r="C15525" s="12"/>
      <c r="D15525" s="13" t="n">
        <f aca="false">IF(B15525&lt;5,Einstellungen!$B$3,Einstellungen!$B$4)</f>
        <v>29.13</v>
      </c>
      <c r="E15525" s="14" t="str">
        <f aca="false">IF(C15525="","",C15525*D15525/100)</f>
        <v/>
      </c>
      <c r="F15525" s="15" t="str">
        <f aca="false">IF(B15525&lt;5,"Go","Standard")</f>
        <v>Standard</v>
      </c>
    </row>
    <row r="15526" customFormat="false" ht="15" hidden="false" customHeight="true" outlineLevel="0" collapsed="false">
      <c r="A15526" s="10" t="n">
        <f aca="false">Einstellungen!$B$5+INT((ROW()-9)/24)</f>
        <v>46612</v>
      </c>
      <c r="B15526" s="11" t="n">
        <f aca="false">MOD(ROW()-9,24)</f>
        <v>13</v>
      </c>
      <c r="C15526" s="12"/>
      <c r="D15526" s="13" t="n">
        <f aca="false">IF(B15526&lt;5,Einstellungen!$B$3,Einstellungen!$B$4)</f>
        <v>29.13</v>
      </c>
      <c r="E15526" s="14" t="str">
        <f aca="false">IF(C15526="","",C15526*D15526/100)</f>
        <v/>
      </c>
      <c r="F15526" s="15" t="str">
        <f aca="false">IF(B15526&lt;5,"Go","Standard")</f>
        <v>Standard</v>
      </c>
    </row>
    <row r="15527" customFormat="false" ht="15" hidden="false" customHeight="true" outlineLevel="0" collapsed="false">
      <c r="A15527" s="10" t="n">
        <f aca="false">Einstellungen!$B$5+INT((ROW()-9)/24)</f>
        <v>46612</v>
      </c>
      <c r="B15527" s="11" t="n">
        <f aca="false">MOD(ROW()-9,24)</f>
        <v>14</v>
      </c>
      <c r="C15527" s="12"/>
      <c r="D15527" s="13" t="n">
        <f aca="false">IF(B15527&lt;5,Einstellungen!$B$3,Einstellungen!$B$4)</f>
        <v>29.13</v>
      </c>
      <c r="E15527" s="14" t="str">
        <f aca="false">IF(C15527="","",C15527*D15527/100)</f>
        <v/>
      </c>
      <c r="F15527" s="15" t="str">
        <f aca="false">IF(B15527&lt;5,"Go","Standard")</f>
        <v>Standard</v>
      </c>
    </row>
    <row r="15528" customFormat="false" ht="15" hidden="false" customHeight="true" outlineLevel="0" collapsed="false">
      <c r="A15528" s="10" t="n">
        <f aca="false">Einstellungen!$B$5+INT((ROW()-9)/24)</f>
        <v>46612</v>
      </c>
      <c r="B15528" s="11" t="n">
        <f aca="false">MOD(ROW()-9,24)</f>
        <v>15</v>
      </c>
      <c r="C15528" s="12"/>
      <c r="D15528" s="13" t="n">
        <f aca="false">IF(B15528&lt;5,Einstellungen!$B$3,Einstellungen!$B$4)</f>
        <v>29.13</v>
      </c>
      <c r="E15528" s="14" t="str">
        <f aca="false">IF(C15528="","",C15528*D15528/100)</f>
        <v/>
      </c>
      <c r="F15528" s="15" t="str">
        <f aca="false">IF(B15528&lt;5,"Go","Standard")</f>
        <v>Standard</v>
      </c>
    </row>
    <row r="15529" customFormat="false" ht="15" hidden="false" customHeight="true" outlineLevel="0" collapsed="false">
      <c r="A15529" s="10" t="n">
        <f aca="false">Einstellungen!$B$5+INT((ROW()-9)/24)</f>
        <v>46612</v>
      </c>
      <c r="B15529" s="11" t="n">
        <f aca="false">MOD(ROW()-9,24)</f>
        <v>16</v>
      </c>
      <c r="C15529" s="12"/>
      <c r="D15529" s="13" t="n">
        <f aca="false">IF(B15529&lt;5,Einstellungen!$B$3,Einstellungen!$B$4)</f>
        <v>29.13</v>
      </c>
      <c r="E15529" s="14" t="str">
        <f aca="false">IF(C15529="","",C15529*D15529/100)</f>
        <v/>
      </c>
      <c r="F15529" s="15" t="str">
        <f aca="false">IF(B15529&lt;5,"Go","Standard")</f>
        <v>Standard</v>
      </c>
    </row>
    <row r="15530" customFormat="false" ht="15" hidden="false" customHeight="true" outlineLevel="0" collapsed="false">
      <c r="A15530" s="10" t="n">
        <f aca="false">Einstellungen!$B$5+INT((ROW()-9)/24)</f>
        <v>46612</v>
      </c>
      <c r="B15530" s="11" t="n">
        <f aca="false">MOD(ROW()-9,24)</f>
        <v>17</v>
      </c>
      <c r="C15530" s="12"/>
      <c r="D15530" s="13" t="n">
        <f aca="false">IF(B15530&lt;5,Einstellungen!$B$3,Einstellungen!$B$4)</f>
        <v>29.13</v>
      </c>
      <c r="E15530" s="14" t="str">
        <f aca="false">IF(C15530="","",C15530*D15530/100)</f>
        <v/>
      </c>
      <c r="F15530" s="15" t="str">
        <f aca="false">IF(B15530&lt;5,"Go","Standard")</f>
        <v>Standard</v>
      </c>
    </row>
    <row r="15531" customFormat="false" ht="15" hidden="false" customHeight="true" outlineLevel="0" collapsed="false">
      <c r="A15531" s="10" t="n">
        <f aca="false">Einstellungen!$B$5+INT((ROW()-9)/24)</f>
        <v>46612</v>
      </c>
      <c r="B15531" s="11" t="n">
        <f aca="false">MOD(ROW()-9,24)</f>
        <v>18</v>
      </c>
      <c r="C15531" s="12"/>
      <c r="D15531" s="13" t="n">
        <f aca="false">IF(B15531&lt;5,Einstellungen!$B$3,Einstellungen!$B$4)</f>
        <v>29.13</v>
      </c>
      <c r="E15531" s="14" t="str">
        <f aca="false">IF(C15531="","",C15531*D15531/100)</f>
        <v/>
      </c>
      <c r="F15531" s="15" t="str">
        <f aca="false">IF(B15531&lt;5,"Go","Standard")</f>
        <v>Standard</v>
      </c>
    </row>
    <row r="15532" customFormat="false" ht="15" hidden="false" customHeight="true" outlineLevel="0" collapsed="false">
      <c r="A15532" s="10" t="n">
        <f aca="false">Einstellungen!$B$5+INT((ROW()-9)/24)</f>
        <v>46612</v>
      </c>
      <c r="B15532" s="11" t="n">
        <f aca="false">MOD(ROW()-9,24)</f>
        <v>19</v>
      </c>
      <c r="C15532" s="12"/>
      <c r="D15532" s="13" t="n">
        <f aca="false">IF(B15532&lt;5,Einstellungen!$B$3,Einstellungen!$B$4)</f>
        <v>29.13</v>
      </c>
      <c r="E15532" s="14" t="str">
        <f aca="false">IF(C15532="","",C15532*D15532/100)</f>
        <v/>
      </c>
      <c r="F15532" s="15" t="str">
        <f aca="false">IF(B15532&lt;5,"Go","Standard")</f>
        <v>Standard</v>
      </c>
    </row>
    <row r="15533" customFormat="false" ht="15" hidden="false" customHeight="true" outlineLevel="0" collapsed="false">
      <c r="A15533" s="10" t="n">
        <f aca="false">Einstellungen!$B$5+INT((ROW()-9)/24)</f>
        <v>46612</v>
      </c>
      <c r="B15533" s="11" t="n">
        <f aca="false">MOD(ROW()-9,24)</f>
        <v>20</v>
      </c>
      <c r="C15533" s="12"/>
      <c r="D15533" s="13" t="n">
        <f aca="false">IF(B15533&lt;5,Einstellungen!$B$3,Einstellungen!$B$4)</f>
        <v>29.13</v>
      </c>
      <c r="E15533" s="14" t="str">
        <f aca="false">IF(C15533="","",C15533*D15533/100)</f>
        <v/>
      </c>
      <c r="F15533" s="15" t="str">
        <f aca="false">IF(B15533&lt;5,"Go","Standard")</f>
        <v>Standard</v>
      </c>
    </row>
    <row r="15534" customFormat="false" ht="15" hidden="false" customHeight="true" outlineLevel="0" collapsed="false">
      <c r="A15534" s="10" t="n">
        <f aca="false">Einstellungen!$B$5+INT((ROW()-9)/24)</f>
        <v>46612</v>
      </c>
      <c r="B15534" s="11" t="n">
        <f aca="false">MOD(ROW()-9,24)</f>
        <v>21</v>
      </c>
      <c r="C15534" s="12"/>
      <c r="D15534" s="13" t="n">
        <f aca="false">IF(B15534&lt;5,Einstellungen!$B$3,Einstellungen!$B$4)</f>
        <v>29.13</v>
      </c>
      <c r="E15534" s="14" t="str">
        <f aca="false">IF(C15534="","",C15534*D15534/100)</f>
        <v/>
      </c>
      <c r="F15534" s="15" t="str">
        <f aca="false">IF(B15534&lt;5,"Go","Standard")</f>
        <v>Standard</v>
      </c>
    </row>
    <row r="15535" customFormat="false" ht="15" hidden="false" customHeight="true" outlineLevel="0" collapsed="false">
      <c r="A15535" s="10" t="n">
        <f aca="false">Einstellungen!$B$5+INT((ROW()-9)/24)</f>
        <v>46612</v>
      </c>
      <c r="B15535" s="11" t="n">
        <f aca="false">MOD(ROW()-9,24)</f>
        <v>22</v>
      </c>
      <c r="C15535" s="12"/>
      <c r="D15535" s="13" t="n">
        <f aca="false">IF(B15535&lt;5,Einstellungen!$B$3,Einstellungen!$B$4)</f>
        <v>29.13</v>
      </c>
      <c r="E15535" s="14" t="str">
        <f aca="false">IF(C15535="","",C15535*D15535/100)</f>
        <v/>
      </c>
      <c r="F15535" s="15" t="str">
        <f aca="false">IF(B15535&lt;5,"Go","Standard")</f>
        <v>Standard</v>
      </c>
    </row>
    <row r="15536" customFormat="false" ht="15" hidden="false" customHeight="true" outlineLevel="0" collapsed="false">
      <c r="A15536" s="10" t="n">
        <f aca="false">Einstellungen!$B$5+INT((ROW()-9)/24)</f>
        <v>46612</v>
      </c>
      <c r="B15536" s="11" t="n">
        <f aca="false">MOD(ROW()-9,24)</f>
        <v>23</v>
      </c>
      <c r="C15536" s="12"/>
      <c r="D15536" s="13" t="n">
        <f aca="false">IF(B15536&lt;5,Einstellungen!$B$3,Einstellungen!$B$4)</f>
        <v>29.13</v>
      </c>
      <c r="E15536" s="14" t="str">
        <f aca="false">IF(C15536="","",C15536*D15536/100)</f>
        <v/>
      </c>
      <c r="F15536" s="15" t="str">
        <f aca="false">IF(B15536&lt;5,"Go","Standard")</f>
        <v>Standard</v>
      </c>
    </row>
    <row r="15537" customFormat="false" ht="15" hidden="false" customHeight="true" outlineLevel="0" collapsed="false">
      <c r="A15537" s="10" t="n">
        <f aca="false">Einstellungen!$B$5+INT((ROW()-9)/24)</f>
        <v>46613</v>
      </c>
      <c r="B15537" s="11" t="n">
        <f aca="false">MOD(ROW()-9,24)</f>
        <v>0</v>
      </c>
      <c r="C15537" s="12"/>
      <c r="D15537" s="13" t="n">
        <f aca="false">IF(B15537&lt;5,Einstellungen!$B$3,Einstellungen!$B$4)</f>
        <v>15.92</v>
      </c>
      <c r="E15537" s="14" t="str">
        <f aca="false">IF(C15537="","",C15537*D15537/100)</f>
        <v/>
      </c>
      <c r="F15537" s="15" t="str">
        <f aca="false">IF(B15537&lt;5,"Go","Standard")</f>
        <v>Go</v>
      </c>
    </row>
    <row r="15538" customFormat="false" ht="15" hidden="false" customHeight="true" outlineLevel="0" collapsed="false">
      <c r="A15538" s="10" t="n">
        <f aca="false">Einstellungen!$B$5+INT((ROW()-9)/24)</f>
        <v>46613</v>
      </c>
      <c r="B15538" s="11" t="n">
        <f aca="false">MOD(ROW()-9,24)</f>
        <v>1</v>
      </c>
      <c r="C15538" s="12"/>
      <c r="D15538" s="13" t="n">
        <f aca="false">IF(B15538&lt;5,Einstellungen!$B$3,Einstellungen!$B$4)</f>
        <v>15.92</v>
      </c>
      <c r="E15538" s="14" t="str">
        <f aca="false">IF(C15538="","",C15538*D15538/100)</f>
        <v/>
      </c>
      <c r="F15538" s="15" t="str">
        <f aca="false">IF(B15538&lt;5,"Go","Standard")</f>
        <v>Go</v>
      </c>
    </row>
    <row r="15539" customFormat="false" ht="15" hidden="false" customHeight="true" outlineLevel="0" collapsed="false">
      <c r="A15539" s="10" t="n">
        <f aca="false">Einstellungen!$B$5+INT((ROW()-9)/24)</f>
        <v>46613</v>
      </c>
      <c r="B15539" s="11" t="n">
        <f aca="false">MOD(ROW()-9,24)</f>
        <v>2</v>
      </c>
      <c r="C15539" s="12"/>
      <c r="D15539" s="13" t="n">
        <f aca="false">IF(B15539&lt;5,Einstellungen!$B$3,Einstellungen!$B$4)</f>
        <v>15.92</v>
      </c>
      <c r="E15539" s="14" t="str">
        <f aca="false">IF(C15539="","",C15539*D15539/100)</f>
        <v/>
      </c>
      <c r="F15539" s="15" t="str">
        <f aca="false">IF(B15539&lt;5,"Go","Standard")</f>
        <v>Go</v>
      </c>
    </row>
    <row r="15540" customFormat="false" ht="15" hidden="false" customHeight="true" outlineLevel="0" collapsed="false">
      <c r="A15540" s="10" t="n">
        <f aca="false">Einstellungen!$B$5+INT((ROW()-9)/24)</f>
        <v>46613</v>
      </c>
      <c r="B15540" s="11" t="n">
        <f aca="false">MOD(ROW()-9,24)</f>
        <v>3</v>
      </c>
      <c r="C15540" s="12"/>
      <c r="D15540" s="13" t="n">
        <f aca="false">IF(B15540&lt;5,Einstellungen!$B$3,Einstellungen!$B$4)</f>
        <v>15.92</v>
      </c>
      <c r="E15540" s="14" t="str">
        <f aca="false">IF(C15540="","",C15540*D15540/100)</f>
        <v/>
      </c>
      <c r="F15540" s="15" t="str">
        <f aca="false">IF(B15540&lt;5,"Go","Standard")</f>
        <v>Go</v>
      </c>
    </row>
    <row r="15541" customFormat="false" ht="15" hidden="false" customHeight="true" outlineLevel="0" collapsed="false">
      <c r="A15541" s="10" t="n">
        <f aca="false">Einstellungen!$B$5+INT((ROW()-9)/24)</f>
        <v>46613</v>
      </c>
      <c r="B15541" s="11" t="n">
        <f aca="false">MOD(ROW()-9,24)</f>
        <v>4</v>
      </c>
      <c r="C15541" s="12"/>
      <c r="D15541" s="13" t="n">
        <f aca="false">IF(B15541&lt;5,Einstellungen!$B$3,Einstellungen!$B$4)</f>
        <v>15.92</v>
      </c>
      <c r="E15541" s="14" t="str">
        <f aca="false">IF(C15541="","",C15541*D15541/100)</f>
        <v/>
      </c>
      <c r="F15541" s="15" t="str">
        <f aca="false">IF(B15541&lt;5,"Go","Standard")</f>
        <v>Go</v>
      </c>
    </row>
    <row r="15542" customFormat="false" ht="15" hidden="false" customHeight="true" outlineLevel="0" collapsed="false">
      <c r="A15542" s="10" t="n">
        <f aca="false">Einstellungen!$B$5+INT((ROW()-9)/24)</f>
        <v>46613</v>
      </c>
      <c r="B15542" s="11" t="n">
        <f aca="false">MOD(ROW()-9,24)</f>
        <v>5</v>
      </c>
      <c r="C15542" s="12"/>
      <c r="D15542" s="13" t="n">
        <f aca="false">IF(B15542&lt;5,Einstellungen!$B$3,Einstellungen!$B$4)</f>
        <v>29.13</v>
      </c>
      <c r="E15542" s="14" t="str">
        <f aca="false">IF(C15542="","",C15542*D15542/100)</f>
        <v/>
      </c>
      <c r="F15542" s="15" t="str">
        <f aca="false">IF(B15542&lt;5,"Go","Standard")</f>
        <v>Standard</v>
      </c>
    </row>
    <row r="15543" customFormat="false" ht="15" hidden="false" customHeight="true" outlineLevel="0" collapsed="false">
      <c r="A15543" s="10" t="n">
        <f aca="false">Einstellungen!$B$5+INT((ROW()-9)/24)</f>
        <v>46613</v>
      </c>
      <c r="B15543" s="11" t="n">
        <f aca="false">MOD(ROW()-9,24)</f>
        <v>6</v>
      </c>
      <c r="C15543" s="12"/>
      <c r="D15543" s="13" t="n">
        <f aca="false">IF(B15543&lt;5,Einstellungen!$B$3,Einstellungen!$B$4)</f>
        <v>29.13</v>
      </c>
      <c r="E15543" s="14" t="str">
        <f aca="false">IF(C15543="","",C15543*D15543/100)</f>
        <v/>
      </c>
      <c r="F15543" s="15" t="str">
        <f aca="false">IF(B15543&lt;5,"Go","Standard")</f>
        <v>Standard</v>
      </c>
    </row>
    <row r="15544" customFormat="false" ht="15" hidden="false" customHeight="true" outlineLevel="0" collapsed="false">
      <c r="A15544" s="10" t="n">
        <f aca="false">Einstellungen!$B$5+INT((ROW()-9)/24)</f>
        <v>46613</v>
      </c>
      <c r="B15544" s="11" t="n">
        <f aca="false">MOD(ROW()-9,24)</f>
        <v>7</v>
      </c>
      <c r="C15544" s="12"/>
      <c r="D15544" s="13" t="n">
        <f aca="false">IF(B15544&lt;5,Einstellungen!$B$3,Einstellungen!$B$4)</f>
        <v>29.13</v>
      </c>
      <c r="E15544" s="14" t="str">
        <f aca="false">IF(C15544="","",C15544*D15544/100)</f>
        <v/>
      </c>
      <c r="F15544" s="15" t="str">
        <f aca="false">IF(B15544&lt;5,"Go","Standard")</f>
        <v>Standard</v>
      </c>
    </row>
    <row r="15545" customFormat="false" ht="15" hidden="false" customHeight="true" outlineLevel="0" collapsed="false">
      <c r="A15545" s="10" t="n">
        <f aca="false">Einstellungen!$B$5+INT((ROW()-9)/24)</f>
        <v>46613</v>
      </c>
      <c r="B15545" s="11" t="n">
        <f aca="false">MOD(ROW()-9,24)</f>
        <v>8</v>
      </c>
      <c r="C15545" s="12"/>
      <c r="D15545" s="13" t="n">
        <f aca="false">IF(B15545&lt;5,Einstellungen!$B$3,Einstellungen!$B$4)</f>
        <v>29.13</v>
      </c>
      <c r="E15545" s="14" t="str">
        <f aca="false">IF(C15545="","",C15545*D15545/100)</f>
        <v/>
      </c>
      <c r="F15545" s="15" t="str">
        <f aca="false">IF(B15545&lt;5,"Go","Standard")</f>
        <v>Standard</v>
      </c>
    </row>
    <row r="15546" customFormat="false" ht="15" hidden="false" customHeight="true" outlineLevel="0" collapsed="false">
      <c r="A15546" s="10" t="n">
        <f aca="false">Einstellungen!$B$5+INT((ROW()-9)/24)</f>
        <v>46613</v>
      </c>
      <c r="B15546" s="11" t="n">
        <f aca="false">MOD(ROW()-9,24)</f>
        <v>9</v>
      </c>
      <c r="C15546" s="12"/>
      <c r="D15546" s="13" t="n">
        <f aca="false">IF(B15546&lt;5,Einstellungen!$B$3,Einstellungen!$B$4)</f>
        <v>29.13</v>
      </c>
      <c r="E15546" s="14" t="str">
        <f aca="false">IF(C15546="","",C15546*D15546/100)</f>
        <v/>
      </c>
      <c r="F15546" s="15" t="str">
        <f aca="false">IF(B15546&lt;5,"Go","Standard")</f>
        <v>Standard</v>
      </c>
    </row>
    <row r="15547" customFormat="false" ht="15" hidden="false" customHeight="true" outlineLevel="0" collapsed="false">
      <c r="A15547" s="10" t="n">
        <f aca="false">Einstellungen!$B$5+INT((ROW()-9)/24)</f>
        <v>46613</v>
      </c>
      <c r="B15547" s="11" t="n">
        <f aca="false">MOD(ROW()-9,24)</f>
        <v>10</v>
      </c>
      <c r="C15547" s="12"/>
      <c r="D15547" s="13" t="n">
        <f aca="false">IF(B15547&lt;5,Einstellungen!$B$3,Einstellungen!$B$4)</f>
        <v>29.13</v>
      </c>
      <c r="E15547" s="14" t="str">
        <f aca="false">IF(C15547="","",C15547*D15547/100)</f>
        <v/>
      </c>
      <c r="F15547" s="15" t="str">
        <f aca="false">IF(B15547&lt;5,"Go","Standard")</f>
        <v>Standard</v>
      </c>
    </row>
    <row r="15548" customFormat="false" ht="15" hidden="false" customHeight="true" outlineLevel="0" collapsed="false">
      <c r="A15548" s="10" t="n">
        <f aca="false">Einstellungen!$B$5+INT((ROW()-9)/24)</f>
        <v>46613</v>
      </c>
      <c r="B15548" s="11" t="n">
        <f aca="false">MOD(ROW()-9,24)</f>
        <v>11</v>
      </c>
      <c r="C15548" s="12"/>
      <c r="D15548" s="13" t="n">
        <f aca="false">IF(B15548&lt;5,Einstellungen!$B$3,Einstellungen!$B$4)</f>
        <v>29.13</v>
      </c>
      <c r="E15548" s="14" t="str">
        <f aca="false">IF(C15548="","",C15548*D15548/100)</f>
        <v/>
      </c>
      <c r="F15548" s="15" t="str">
        <f aca="false">IF(B15548&lt;5,"Go","Standard")</f>
        <v>Standard</v>
      </c>
    </row>
    <row r="15549" customFormat="false" ht="15" hidden="false" customHeight="true" outlineLevel="0" collapsed="false">
      <c r="A15549" s="10" t="n">
        <f aca="false">Einstellungen!$B$5+INT((ROW()-9)/24)</f>
        <v>46613</v>
      </c>
      <c r="B15549" s="11" t="n">
        <f aca="false">MOD(ROW()-9,24)</f>
        <v>12</v>
      </c>
      <c r="C15549" s="12"/>
      <c r="D15549" s="13" t="n">
        <f aca="false">IF(B15549&lt;5,Einstellungen!$B$3,Einstellungen!$B$4)</f>
        <v>29.13</v>
      </c>
      <c r="E15549" s="14" t="str">
        <f aca="false">IF(C15549="","",C15549*D15549/100)</f>
        <v/>
      </c>
      <c r="F15549" s="15" t="str">
        <f aca="false">IF(B15549&lt;5,"Go","Standard")</f>
        <v>Standard</v>
      </c>
    </row>
    <row r="15550" customFormat="false" ht="15" hidden="false" customHeight="true" outlineLevel="0" collapsed="false">
      <c r="A15550" s="10" t="n">
        <f aca="false">Einstellungen!$B$5+INT((ROW()-9)/24)</f>
        <v>46613</v>
      </c>
      <c r="B15550" s="11" t="n">
        <f aca="false">MOD(ROW()-9,24)</f>
        <v>13</v>
      </c>
      <c r="C15550" s="12"/>
      <c r="D15550" s="13" t="n">
        <f aca="false">IF(B15550&lt;5,Einstellungen!$B$3,Einstellungen!$B$4)</f>
        <v>29.13</v>
      </c>
      <c r="E15550" s="14" t="str">
        <f aca="false">IF(C15550="","",C15550*D15550/100)</f>
        <v/>
      </c>
      <c r="F15550" s="15" t="str">
        <f aca="false">IF(B15550&lt;5,"Go","Standard")</f>
        <v>Standard</v>
      </c>
    </row>
    <row r="15551" customFormat="false" ht="15" hidden="false" customHeight="true" outlineLevel="0" collapsed="false">
      <c r="A15551" s="10" t="n">
        <f aca="false">Einstellungen!$B$5+INT((ROW()-9)/24)</f>
        <v>46613</v>
      </c>
      <c r="B15551" s="11" t="n">
        <f aca="false">MOD(ROW()-9,24)</f>
        <v>14</v>
      </c>
      <c r="C15551" s="12"/>
      <c r="D15551" s="13" t="n">
        <f aca="false">IF(B15551&lt;5,Einstellungen!$B$3,Einstellungen!$B$4)</f>
        <v>29.13</v>
      </c>
      <c r="E15551" s="14" t="str">
        <f aca="false">IF(C15551="","",C15551*D15551/100)</f>
        <v/>
      </c>
      <c r="F15551" s="15" t="str">
        <f aca="false">IF(B15551&lt;5,"Go","Standard")</f>
        <v>Standard</v>
      </c>
    </row>
    <row r="15552" customFormat="false" ht="15" hidden="false" customHeight="true" outlineLevel="0" collapsed="false">
      <c r="A15552" s="10" t="n">
        <f aca="false">Einstellungen!$B$5+INT((ROW()-9)/24)</f>
        <v>46613</v>
      </c>
      <c r="B15552" s="11" t="n">
        <f aca="false">MOD(ROW()-9,24)</f>
        <v>15</v>
      </c>
      <c r="C15552" s="12"/>
      <c r="D15552" s="13" t="n">
        <f aca="false">IF(B15552&lt;5,Einstellungen!$B$3,Einstellungen!$B$4)</f>
        <v>29.13</v>
      </c>
      <c r="E15552" s="14" t="str">
        <f aca="false">IF(C15552="","",C15552*D15552/100)</f>
        <v/>
      </c>
      <c r="F15552" s="15" t="str">
        <f aca="false">IF(B15552&lt;5,"Go","Standard")</f>
        <v>Standard</v>
      </c>
    </row>
    <row r="15553" customFormat="false" ht="15" hidden="false" customHeight="true" outlineLevel="0" collapsed="false">
      <c r="A15553" s="10" t="n">
        <f aca="false">Einstellungen!$B$5+INT((ROW()-9)/24)</f>
        <v>46613</v>
      </c>
      <c r="B15553" s="11" t="n">
        <f aca="false">MOD(ROW()-9,24)</f>
        <v>16</v>
      </c>
      <c r="C15553" s="12"/>
      <c r="D15553" s="13" t="n">
        <f aca="false">IF(B15553&lt;5,Einstellungen!$B$3,Einstellungen!$B$4)</f>
        <v>29.13</v>
      </c>
      <c r="E15553" s="14" t="str">
        <f aca="false">IF(C15553="","",C15553*D15553/100)</f>
        <v/>
      </c>
      <c r="F15553" s="15" t="str">
        <f aca="false">IF(B15553&lt;5,"Go","Standard")</f>
        <v>Standard</v>
      </c>
    </row>
    <row r="15554" customFormat="false" ht="15" hidden="false" customHeight="true" outlineLevel="0" collapsed="false">
      <c r="A15554" s="10" t="n">
        <f aca="false">Einstellungen!$B$5+INT((ROW()-9)/24)</f>
        <v>46613</v>
      </c>
      <c r="B15554" s="11" t="n">
        <f aca="false">MOD(ROW()-9,24)</f>
        <v>17</v>
      </c>
      <c r="C15554" s="12"/>
      <c r="D15554" s="13" t="n">
        <f aca="false">IF(B15554&lt;5,Einstellungen!$B$3,Einstellungen!$B$4)</f>
        <v>29.13</v>
      </c>
      <c r="E15554" s="14" t="str">
        <f aca="false">IF(C15554="","",C15554*D15554/100)</f>
        <v/>
      </c>
      <c r="F15554" s="15" t="str">
        <f aca="false">IF(B15554&lt;5,"Go","Standard")</f>
        <v>Standard</v>
      </c>
    </row>
    <row r="15555" customFormat="false" ht="15" hidden="false" customHeight="true" outlineLevel="0" collapsed="false">
      <c r="A15555" s="10" t="n">
        <f aca="false">Einstellungen!$B$5+INT((ROW()-9)/24)</f>
        <v>46613</v>
      </c>
      <c r="B15555" s="11" t="n">
        <f aca="false">MOD(ROW()-9,24)</f>
        <v>18</v>
      </c>
      <c r="C15555" s="12"/>
      <c r="D15555" s="13" t="n">
        <f aca="false">IF(B15555&lt;5,Einstellungen!$B$3,Einstellungen!$B$4)</f>
        <v>29.13</v>
      </c>
      <c r="E15555" s="14" t="str">
        <f aca="false">IF(C15555="","",C15555*D15555/100)</f>
        <v/>
      </c>
      <c r="F15555" s="15" t="str">
        <f aca="false">IF(B15555&lt;5,"Go","Standard")</f>
        <v>Standard</v>
      </c>
    </row>
    <row r="15556" customFormat="false" ht="15" hidden="false" customHeight="true" outlineLevel="0" collapsed="false">
      <c r="A15556" s="10" t="n">
        <f aca="false">Einstellungen!$B$5+INT((ROW()-9)/24)</f>
        <v>46613</v>
      </c>
      <c r="B15556" s="11" t="n">
        <f aca="false">MOD(ROW()-9,24)</f>
        <v>19</v>
      </c>
      <c r="C15556" s="12"/>
      <c r="D15556" s="13" t="n">
        <f aca="false">IF(B15556&lt;5,Einstellungen!$B$3,Einstellungen!$B$4)</f>
        <v>29.13</v>
      </c>
      <c r="E15556" s="14" t="str">
        <f aca="false">IF(C15556="","",C15556*D15556/100)</f>
        <v/>
      </c>
      <c r="F15556" s="15" t="str">
        <f aca="false">IF(B15556&lt;5,"Go","Standard")</f>
        <v>Standard</v>
      </c>
    </row>
    <row r="15557" customFormat="false" ht="15" hidden="false" customHeight="true" outlineLevel="0" collapsed="false">
      <c r="A15557" s="10" t="n">
        <f aca="false">Einstellungen!$B$5+INT((ROW()-9)/24)</f>
        <v>46613</v>
      </c>
      <c r="B15557" s="11" t="n">
        <f aca="false">MOD(ROW()-9,24)</f>
        <v>20</v>
      </c>
      <c r="C15557" s="12"/>
      <c r="D15557" s="13" t="n">
        <f aca="false">IF(B15557&lt;5,Einstellungen!$B$3,Einstellungen!$B$4)</f>
        <v>29.13</v>
      </c>
      <c r="E15557" s="14" t="str">
        <f aca="false">IF(C15557="","",C15557*D15557/100)</f>
        <v/>
      </c>
      <c r="F15557" s="15" t="str">
        <f aca="false">IF(B15557&lt;5,"Go","Standard")</f>
        <v>Standard</v>
      </c>
    </row>
    <row r="15558" customFormat="false" ht="15" hidden="false" customHeight="true" outlineLevel="0" collapsed="false">
      <c r="A15558" s="10" t="n">
        <f aca="false">Einstellungen!$B$5+INT((ROW()-9)/24)</f>
        <v>46613</v>
      </c>
      <c r="B15558" s="11" t="n">
        <f aca="false">MOD(ROW()-9,24)</f>
        <v>21</v>
      </c>
      <c r="C15558" s="12"/>
      <c r="D15558" s="13" t="n">
        <f aca="false">IF(B15558&lt;5,Einstellungen!$B$3,Einstellungen!$B$4)</f>
        <v>29.13</v>
      </c>
      <c r="E15558" s="14" t="str">
        <f aca="false">IF(C15558="","",C15558*D15558/100)</f>
        <v/>
      </c>
      <c r="F15558" s="15" t="str">
        <f aca="false">IF(B15558&lt;5,"Go","Standard")</f>
        <v>Standard</v>
      </c>
    </row>
    <row r="15559" customFormat="false" ht="15" hidden="false" customHeight="true" outlineLevel="0" collapsed="false">
      <c r="A15559" s="10" t="n">
        <f aca="false">Einstellungen!$B$5+INT((ROW()-9)/24)</f>
        <v>46613</v>
      </c>
      <c r="B15559" s="11" t="n">
        <f aca="false">MOD(ROW()-9,24)</f>
        <v>22</v>
      </c>
      <c r="C15559" s="12"/>
      <c r="D15559" s="13" t="n">
        <f aca="false">IF(B15559&lt;5,Einstellungen!$B$3,Einstellungen!$B$4)</f>
        <v>29.13</v>
      </c>
      <c r="E15559" s="14" t="str">
        <f aca="false">IF(C15559="","",C15559*D15559/100)</f>
        <v/>
      </c>
      <c r="F15559" s="15" t="str">
        <f aca="false">IF(B15559&lt;5,"Go","Standard")</f>
        <v>Standard</v>
      </c>
    </row>
    <row r="15560" customFormat="false" ht="15" hidden="false" customHeight="true" outlineLevel="0" collapsed="false">
      <c r="A15560" s="10" t="n">
        <f aca="false">Einstellungen!$B$5+INT((ROW()-9)/24)</f>
        <v>46613</v>
      </c>
      <c r="B15560" s="11" t="n">
        <f aca="false">MOD(ROW()-9,24)</f>
        <v>23</v>
      </c>
      <c r="C15560" s="12"/>
      <c r="D15560" s="13" t="n">
        <f aca="false">IF(B15560&lt;5,Einstellungen!$B$3,Einstellungen!$B$4)</f>
        <v>29.13</v>
      </c>
      <c r="E15560" s="14" t="str">
        <f aca="false">IF(C15560="","",C15560*D15560/100)</f>
        <v/>
      </c>
      <c r="F15560" s="15" t="str">
        <f aca="false">IF(B15560&lt;5,"Go","Standard")</f>
        <v>Standard</v>
      </c>
    </row>
    <row r="15561" customFormat="false" ht="15" hidden="false" customHeight="true" outlineLevel="0" collapsed="false">
      <c r="A15561" s="10" t="n">
        <f aca="false">Einstellungen!$B$5+INT((ROW()-9)/24)</f>
        <v>46614</v>
      </c>
      <c r="B15561" s="11" t="n">
        <f aca="false">MOD(ROW()-9,24)</f>
        <v>0</v>
      </c>
      <c r="C15561" s="12"/>
      <c r="D15561" s="13" t="n">
        <f aca="false">IF(B15561&lt;5,Einstellungen!$B$3,Einstellungen!$B$4)</f>
        <v>15.92</v>
      </c>
      <c r="E15561" s="14" t="str">
        <f aca="false">IF(C15561="","",C15561*D15561/100)</f>
        <v/>
      </c>
      <c r="F15561" s="15" t="str">
        <f aca="false">IF(B15561&lt;5,"Go","Standard")</f>
        <v>Go</v>
      </c>
    </row>
    <row r="15562" customFormat="false" ht="15" hidden="false" customHeight="true" outlineLevel="0" collapsed="false">
      <c r="A15562" s="10" t="n">
        <f aca="false">Einstellungen!$B$5+INT((ROW()-9)/24)</f>
        <v>46614</v>
      </c>
      <c r="B15562" s="11" t="n">
        <f aca="false">MOD(ROW()-9,24)</f>
        <v>1</v>
      </c>
      <c r="C15562" s="12"/>
      <c r="D15562" s="13" t="n">
        <f aca="false">IF(B15562&lt;5,Einstellungen!$B$3,Einstellungen!$B$4)</f>
        <v>15.92</v>
      </c>
      <c r="E15562" s="14" t="str">
        <f aca="false">IF(C15562="","",C15562*D15562/100)</f>
        <v/>
      </c>
      <c r="F15562" s="15" t="str">
        <f aca="false">IF(B15562&lt;5,"Go","Standard")</f>
        <v>Go</v>
      </c>
    </row>
    <row r="15563" customFormat="false" ht="15" hidden="false" customHeight="true" outlineLevel="0" collapsed="false">
      <c r="A15563" s="10" t="n">
        <f aca="false">Einstellungen!$B$5+INT((ROW()-9)/24)</f>
        <v>46614</v>
      </c>
      <c r="B15563" s="11" t="n">
        <f aca="false">MOD(ROW()-9,24)</f>
        <v>2</v>
      </c>
      <c r="C15563" s="12"/>
      <c r="D15563" s="13" t="n">
        <f aca="false">IF(B15563&lt;5,Einstellungen!$B$3,Einstellungen!$B$4)</f>
        <v>15.92</v>
      </c>
      <c r="E15563" s="14" t="str">
        <f aca="false">IF(C15563="","",C15563*D15563/100)</f>
        <v/>
      </c>
      <c r="F15563" s="15" t="str">
        <f aca="false">IF(B15563&lt;5,"Go","Standard")</f>
        <v>Go</v>
      </c>
    </row>
    <row r="15564" customFormat="false" ht="15" hidden="false" customHeight="true" outlineLevel="0" collapsed="false">
      <c r="A15564" s="10" t="n">
        <f aca="false">Einstellungen!$B$5+INT((ROW()-9)/24)</f>
        <v>46614</v>
      </c>
      <c r="B15564" s="11" t="n">
        <f aca="false">MOD(ROW()-9,24)</f>
        <v>3</v>
      </c>
      <c r="C15564" s="12"/>
      <c r="D15564" s="13" t="n">
        <f aca="false">IF(B15564&lt;5,Einstellungen!$B$3,Einstellungen!$B$4)</f>
        <v>15.92</v>
      </c>
      <c r="E15564" s="14" t="str">
        <f aca="false">IF(C15564="","",C15564*D15564/100)</f>
        <v/>
      </c>
      <c r="F15564" s="15" t="str">
        <f aca="false">IF(B15564&lt;5,"Go","Standard")</f>
        <v>Go</v>
      </c>
    </row>
    <row r="15565" customFormat="false" ht="15" hidden="false" customHeight="true" outlineLevel="0" collapsed="false">
      <c r="A15565" s="10" t="n">
        <f aca="false">Einstellungen!$B$5+INT((ROW()-9)/24)</f>
        <v>46614</v>
      </c>
      <c r="B15565" s="11" t="n">
        <f aca="false">MOD(ROW()-9,24)</f>
        <v>4</v>
      </c>
      <c r="C15565" s="12"/>
      <c r="D15565" s="13" t="n">
        <f aca="false">IF(B15565&lt;5,Einstellungen!$B$3,Einstellungen!$B$4)</f>
        <v>15.92</v>
      </c>
      <c r="E15565" s="14" t="str">
        <f aca="false">IF(C15565="","",C15565*D15565/100)</f>
        <v/>
      </c>
      <c r="F15565" s="15" t="str">
        <f aca="false">IF(B15565&lt;5,"Go","Standard")</f>
        <v>Go</v>
      </c>
    </row>
    <row r="15566" customFormat="false" ht="15" hidden="false" customHeight="true" outlineLevel="0" collapsed="false">
      <c r="A15566" s="10" t="n">
        <f aca="false">Einstellungen!$B$5+INT((ROW()-9)/24)</f>
        <v>46614</v>
      </c>
      <c r="B15566" s="11" t="n">
        <f aca="false">MOD(ROW()-9,24)</f>
        <v>5</v>
      </c>
      <c r="C15566" s="12"/>
      <c r="D15566" s="13" t="n">
        <f aca="false">IF(B15566&lt;5,Einstellungen!$B$3,Einstellungen!$B$4)</f>
        <v>29.13</v>
      </c>
      <c r="E15566" s="14" t="str">
        <f aca="false">IF(C15566="","",C15566*D15566/100)</f>
        <v/>
      </c>
      <c r="F15566" s="15" t="str">
        <f aca="false">IF(B15566&lt;5,"Go","Standard")</f>
        <v>Standard</v>
      </c>
    </row>
    <row r="15567" customFormat="false" ht="15" hidden="false" customHeight="true" outlineLevel="0" collapsed="false">
      <c r="A15567" s="10" t="n">
        <f aca="false">Einstellungen!$B$5+INT((ROW()-9)/24)</f>
        <v>46614</v>
      </c>
      <c r="B15567" s="11" t="n">
        <f aca="false">MOD(ROW()-9,24)</f>
        <v>6</v>
      </c>
      <c r="C15567" s="12"/>
      <c r="D15567" s="13" t="n">
        <f aca="false">IF(B15567&lt;5,Einstellungen!$B$3,Einstellungen!$B$4)</f>
        <v>29.13</v>
      </c>
      <c r="E15567" s="14" t="str">
        <f aca="false">IF(C15567="","",C15567*D15567/100)</f>
        <v/>
      </c>
      <c r="F15567" s="15" t="str">
        <f aca="false">IF(B15567&lt;5,"Go","Standard")</f>
        <v>Standard</v>
      </c>
    </row>
    <row r="15568" customFormat="false" ht="15" hidden="false" customHeight="true" outlineLevel="0" collapsed="false">
      <c r="A15568" s="10" t="n">
        <f aca="false">Einstellungen!$B$5+INT((ROW()-9)/24)</f>
        <v>46614</v>
      </c>
      <c r="B15568" s="11" t="n">
        <f aca="false">MOD(ROW()-9,24)</f>
        <v>7</v>
      </c>
      <c r="C15568" s="12"/>
      <c r="D15568" s="13" t="n">
        <f aca="false">IF(B15568&lt;5,Einstellungen!$B$3,Einstellungen!$B$4)</f>
        <v>29.13</v>
      </c>
      <c r="E15568" s="14" t="str">
        <f aca="false">IF(C15568="","",C15568*D15568/100)</f>
        <v/>
      </c>
      <c r="F15568" s="15" t="str">
        <f aca="false">IF(B15568&lt;5,"Go","Standard")</f>
        <v>Standard</v>
      </c>
    </row>
    <row r="15569" customFormat="false" ht="15" hidden="false" customHeight="true" outlineLevel="0" collapsed="false">
      <c r="A15569" s="10" t="n">
        <f aca="false">Einstellungen!$B$5+INT((ROW()-9)/24)</f>
        <v>46614</v>
      </c>
      <c r="B15569" s="11" t="n">
        <f aca="false">MOD(ROW()-9,24)</f>
        <v>8</v>
      </c>
      <c r="C15569" s="12"/>
      <c r="D15569" s="13" t="n">
        <f aca="false">IF(B15569&lt;5,Einstellungen!$B$3,Einstellungen!$B$4)</f>
        <v>29.13</v>
      </c>
      <c r="E15569" s="14" t="str">
        <f aca="false">IF(C15569="","",C15569*D15569/100)</f>
        <v/>
      </c>
      <c r="F15569" s="15" t="str">
        <f aca="false">IF(B15569&lt;5,"Go","Standard")</f>
        <v>Standard</v>
      </c>
    </row>
    <row r="15570" customFormat="false" ht="15" hidden="false" customHeight="true" outlineLevel="0" collapsed="false">
      <c r="A15570" s="10" t="n">
        <f aca="false">Einstellungen!$B$5+INT((ROW()-9)/24)</f>
        <v>46614</v>
      </c>
      <c r="B15570" s="11" t="n">
        <f aca="false">MOD(ROW()-9,24)</f>
        <v>9</v>
      </c>
      <c r="C15570" s="12"/>
      <c r="D15570" s="13" t="n">
        <f aca="false">IF(B15570&lt;5,Einstellungen!$B$3,Einstellungen!$B$4)</f>
        <v>29.13</v>
      </c>
      <c r="E15570" s="14" t="str">
        <f aca="false">IF(C15570="","",C15570*D15570/100)</f>
        <v/>
      </c>
      <c r="F15570" s="15" t="str">
        <f aca="false">IF(B15570&lt;5,"Go","Standard")</f>
        <v>Standard</v>
      </c>
    </row>
    <row r="15571" customFormat="false" ht="15" hidden="false" customHeight="true" outlineLevel="0" collapsed="false">
      <c r="A15571" s="10" t="n">
        <f aca="false">Einstellungen!$B$5+INT((ROW()-9)/24)</f>
        <v>46614</v>
      </c>
      <c r="B15571" s="11" t="n">
        <f aca="false">MOD(ROW()-9,24)</f>
        <v>10</v>
      </c>
      <c r="C15571" s="12"/>
      <c r="D15571" s="13" t="n">
        <f aca="false">IF(B15571&lt;5,Einstellungen!$B$3,Einstellungen!$B$4)</f>
        <v>29.13</v>
      </c>
      <c r="E15571" s="14" t="str">
        <f aca="false">IF(C15571="","",C15571*D15571/100)</f>
        <v/>
      </c>
      <c r="F15571" s="15" t="str">
        <f aca="false">IF(B15571&lt;5,"Go","Standard")</f>
        <v>Standard</v>
      </c>
    </row>
    <row r="15572" customFormat="false" ht="15" hidden="false" customHeight="true" outlineLevel="0" collapsed="false">
      <c r="A15572" s="10" t="n">
        <f aca="false">Einstellungen!$B$5+INT((ROW()-9)/24)</f>
        <v>46614</v>
      </c>
      <c r="B15572" s="11" t="n">
        <f aca="false">MOD(ROW()-9,24)</f>
        <v>11</v>
      </c>
      <c r="C15572" s="12"/>
      <c r="D15572" s="13" t="n">
        <f aca="false">IF(B15572&lt;5,Einstellungen!$B$3,Einstellungen!$B$4)</f>
        <v>29.13</v>
      </c>
      <c r="E15572" s="14" t="str">
        <f aca="false">IF(C15572="","",C15572*D15572/100)</f>
        <v/>
      </c>
      <c r="F15572" s="15" t="str">
        <f aca="false">IF(B15572&lt;5,"Go","Standard")</f>
        <v>Standard</v>
      </c>
    </row>
    <row r="15573" customFormat="false" ht="15" hidden="false" customHeight="true" outlineLevel="0" collapsed="false">
      <c r="A15573" s="10" t="n">
        <f aca="false">Einstellungen!$B$5+INT((ROW()-9)/24)</f>
        <v>46614</v>
      </c>
      <c r="B15573" s="11" t="n">
        <f aca="false">MOD(ROW()-9,24)</f>
        <v>12</v>
      </c>
      <c r="C15573" s="12"/>
      <c r="D15573" s="13" t="n">
        <f aca="false">IF(B15573&lt;5,Einstellungen!$B$3,Einstellungen!$B$4)</f>
        <v>29.13</v>
      </c>
      <c r="E15573" s="14" t="str">
        <f aca="false">IF(C15573="","",C15573*D15573/100)</f>
        <v/>
      </c>
      <c r="F15573" s="15" t="str">
        <f aca="false">IF(B15573&lt;5,"Go","Standard")</f>
        <v>Standard</v>
      </c>
    </row>
    <row r="15574" customFormat="false" ht="15" hidden="false" customHeight="true" outlineLevel="0" collapsed="false">
      <c r="A15574" s="10" t="n">
        <f aca="false">Einstellungen!$B$5+INT((ROW()-9)/24)</f>
        <v>46614</v>
      </c>
      <c r="B15574" s="11" t="n">
        <f aca="false">MOD(ROW()-9,24)</f>
        <v>13</v>
      </c>
      <c r="C15574" s="12"/>
      <c r="D15574" s="13" t="n">
        <f aca="false">IF(B15574&lt;5,Einstellungen!$B$3,Einstellungen!$B$4)</f>
        <v>29.13</v>
      </c>
      <c r="E15574" s="14" t="str">
        <f aca="false">IF(C15574="","",C15574*D15574/100)</f>
        <v/>
      </c>
      <c r="F15574" s="15" t="str">
        <f aca="false">IF(B15574&lt;5,"Go","Standard")</f>
        <v>Standard</v>
      </c>
    </row>
    <row r="15575" customFormat="false" ht="15" hidden="false" customHeight="true" outlineLevel="0" collapsed="false">
      <c r="A15575" s="10" t="n">
        <f aca="false">Einstellungen!$B$5+INT((ROW()-9)/24)</f>
        <v>46614</v>
      </c>
      <c r="B15575" s="11" t="n">
        <f aca="false">MOD(ROW()-9,24)</f>
        <v>14</v>
      </c>
      <c r="C15575" s="12"/>
      <c r="D15575" s="13" t="n">
        <f aca="false">IF(B15575&lt;5,Einstellungen!$B$3,Einstellungen!$B$4)</f>
        <v>29.13</v>
      </c>
      <c r="E15575" s="14" t="str">
        <f aca="false">IF(C15575="","",C15575*D15575/100)</f>
        <v/>
      </c>
      <c r="F15575" s="15" t="str">
        <f aca="false">IF(B15575&lt;5,"Go","Standard")</f>
        <v>Standard</v>
      </c>
    </row>
    <row r="15576" customFormat="false" ht="15" hidden="false" customHeight="true" outlineLevel="0" collapsed="false">
      <c r="A15576" s="10" t="n">
        <f aca="false">Einstellungen!$B$5+INT((ROW()-9)/24)</f>
        <v>46614</v>
      </c>
      <c r="B15576" s="11" t="n">
        <f aca="false">MOD(ROW()-9,24)</f>
        <v>15</v>
      </c>
      <c r="C15576" s="12"/>
      <c r="D15576" s="13" t="n">
        <f aca="false">IF(B15576&lt;5,Einstellungen!$B$3,Einstellungen!$B$4)</f>
        <v>29.13</v>
      </c>
      <c r="E15576" s="14" t="str">
        <f aca="false">IF(C15576="","",C15576*D15576/100)</f>
        <v/>
      </c>
      <c r="F15576" s="15" t="str">
        <f aca="false">IF(B15576&lt;5,"Go","Standard")</f>
        <v>Standard</v>
      </c>
    </row>
    <row r="15577" customFormat="false" ht="15" hidden="false" customHeight="true" outlineLevel="0" collapsed="false">
      <c r="A15577" s="10" t="n">
        <f aca="false">Einstellungen!$B$5+INT((ROW()-9)/24)</f>
        <v>46614</v>
      </c>
      <c r="B15577" s="11" t="n">
        <f aca="false">MOD(ROW()-9,24)</f>
        <v>16</v>
      </c>
      <c r="C15577" s="12"/>
      <c r="D15577" s="13" t="n">
        <f aca="false">IF(B15577&lt;5,Einstellungen!$B$3,Einstellungen!$B$4)</f>
        <v>29.13</v>
      </c>
      <c r="E15577" s="14" t="str">
        <f aca="false">IF(C15577="","",C15577*D15577/100)</f>
        <v/>
      </c>
      <c r="F15577" s="15" t="str">
        <f aca="false">IF(B15577&lt;5,"Go","Standard")</f>
        <v>Standard</v>
      </c>
    </row>
    <row r="15578" customFormat="false" ht="15" hidden="false" customHeight="true" outlineLevel="0" collapsed="false">
      <c r="A15578" s="10" t="n">
        <f aca="false">Einstellungen!$B$5+INT((ROW()-9)/24)</f>
        <v>46614</v>
      </c>
      <c r="B15578" s="11" t="n">
        <f aca="false">MOD(ROW()-9,24)</f>
        <v>17</v>
      </c>
      <c r="C15578" s="12"/>
      <c r="D15578" s="13" t="n">
        <f aca="false">IF(B15578&lt;5,Einstellungen!$B$3,Einstellungen!$B$4)</f>
        <v>29.13</v>
      </c>
      <c r="E15578" s="14" t="str">
        <f aca="false">IF(C15578="","",C15578*D15578/100)</f>
        <v/>
      </c>
      <c r="F15578" s="15" t="str">
        <f aca="false">IF(B15578&lt;5,"Go","Standard")</f>
        <v>Standard</v>
      </c>
    </row>
    <row r="15579" customFormat="false" ht="15" hidden="false" customHeight="true" outlineLevel="0" collapsed="false">
      <c r="A15579" s="10" t="n">
        <f aca="false">Einstellungen!$B$5+INT((ROW()-9)/24)</f>
        <v>46614</v>
      </c>
      <c r="B15579" s="11" t="n">
        <f aca="false">MOD(ROW()-9,24)</f>
        <v>18</v>
      </c>
      <c r="C15579" s="12"/>
      <c r="D15579" s="13" t="n">
        <f aca="false">IF(B15579&lt;5,Einstellungen!$B$3,Einstellungen!$B$4)</f>
        <v>29.13</v>
      </c>
      <c r="E15579" s="14" t="str">
        <f aca="false">IF(C15579="","",C15579*D15579/100)</f>
        <v/>
      </c>
      <c r="F15579" s="15" t="str">
        <f aca="false">IF(B15579&lt;5,"Go","Standard")</f>
        <v>Standard</v>
      </c>
    </row>
    <row r="15580" customFormat="false" ht="15" hidden="false" customHeight="true" outlineLevel="0" collapsed="false">
      <c r="A15580" s="10" t="n">
        <f aca="false">Einstellungen!$B$5+INT((ROW()-9)/24)</f>
        <v>46614</v>
      </c>
      <c r="B15580" s="11" t="n">
        <f aca="false">MOD(ROW()-9,24)</f>
        <v>19</v>
      </c>
      <c r="C15580" s="12"/>
      <c r="D15580" s="13" t="n">
        <f aca="false">IF(B15580&lt;5,Einstellungen!$B$3,Einstellungen!$B$4)</f>
        <v>29.13</v>
      </c>
      <c r="E15580" s="14" t="str">
        <f aca="false">IF(C15580="","",C15580*D15580/100)</f>
        <v/>
      </c>
      <c r="F15580" s="15" t="str">
        <f aca="false">IF(B15580&lt;5,"Go","Standard")</f>
        <v>Standard</v>
      </c>
    </row>
    <row r="15581" customFormat="false" ht="15" hidden="false" customHeight="true" outlineLevel="0" collapsed="false">
      <c r="A15581" s="10" t="n">
        <f aca="false">Einstellungen!$B$5+INT((ROW()-9)/24)</f>
        <v>46614</v>
      </c>
      <c r="B15581" s="11" t="n">
        <f aca="false">MOD(ROW()-9,24)</f>
        <v>20</v>
      </c>
      <c r="C15581" s="12"/>
      <c r="D15581" s="13" t="n">
        <f aca="false">IF(B15581&lt;5,Einstellungen!$B$3,Einstellungen!$B$4)</f>
        <v>29.13</v>
      </c>
      <c r="E15581" s="14" t="str">
        <f aca="false">IF(C15581="","",C15581*D15581/100)</f>
        <v/>
      </c>
      <c r="F15581" s="15" t="str">
        <f aca="false">IF(B15581&lt;5,"Go","Standard")</f>
        <v>Standard</v>
      </c>
    </row>
    <row r="15582" customFormat="false" ht="15" hidden="false" customHeight="true" outlineLevel="0" collapsed="false">
      <c r="A15582" s="10" t="n">
        <f aca="false">Einstellungen!$B$5+INT((ROW()-9)/24)</f>
        <v>46614</v>
      </c>
      <c r="B15582" s="11" t="n">
        <f aca="false">MOD(ROW()-9,24)</f>
        <v>21</v>
      </c>
      <c r="C15582" s="12"/>
      <c r="D15582" s="13" t="n">
        <f aca="false">IF(B15582&lt;5,Einstellungen!$B$3,Einstellungen!$B$4)</f>
        <v>29.13</v>
      </c>
      <c r="E15582" s="14" t="str">
        <f aca="false">IF(C15582="","",C15582*D15582/100)</f>
        <v/>
      </c>
      <c r="F15582" s="15" t="str">
        <f aca="false">IF(B15582&lt;5,"Go","Standard")</f>
        <v>Standard</v>
      </c>
    </row>
    <row r="15583" customFormat="false" ht="15" hidden="false" customHeight="true" outlineLevel="0" collapsed="false">
      <c r="A15583" s="10" t="n">
        <f aca="false">Einstellungen!$B$5+INT((ROW()-9)/24)</f>
        <v>46614</v>
      </c>
      <c r="B15583" s="11" t="n">
        <f aca="false">MOD(ROW()-9,24)</f>
        <v>22</v>
      </c>
      <c r="C15583" s="12"/>
      <c r="D15583" s="13" t="n">
        <f aca="false">IF(B15583&lt;5,Einstellungen!$B$3,Einstellungen!$B$4)</f>
        <v>29.13</v>
      </c>
      <c r="E15583" s="14" t="str">
        <f aca="false">IF(C15583="","",C15583*D15583/100)</f>
        <v/>
      </c>
      <c r="F15583" s="15" t="str">
        <f aca="false">IF(B15583&lt;5,"Go","Standard")</f>
        <v>Standard</v>
      </c>
    </row>
    <row r="15584" customFormat="false" ht="15" hidden="false" customHeight="true" outlineLevel="0" collapsed="false">
      <c r="A15584" s="10" t="n">
        <f aca="false">Einstellungen!$B$5+INT((ROW()-9)/24)</f>
        <v>46614</v>
      </c>
      <c r="B15584" s="11" t="n">
        <f aca="false">MOD(ROW()-9,24)</f>
        <v>23</v>
      </c>
      <c r="C15584" s="12"/>
      <c r="D15584" s="13" t="n">
        <f aca="false">IF(B15584&lt;5,Einstellungen!$B$3,Einstellungen!$B$4)</f>
        <v>29.13</v>
      </c>
      <c r="E15584" s="14" t="str">
        <f aca="false">IF(C15584="","",C15584*D15584/100)</f>
        <v/>
      </c>
      <c r="F15584" s="15" t="str">
        <f aca="false">IF(B15584&lt;5,"Go","Standard")</f>
        <v>Standard</v>
      </c>
    </row>
    <row r="15585" customFormat="false" ht="15" hidden="false" customHeight="true" outlineLevel="0" collapsed="false">
      <c r="A15585" s="10" t="n">
        <f aca="false">Einstellungen!$B$5+INT((ROW()-9)/24)</f>
        <v>46615</v>
      </c>
      <c r="B15585" s="11" t="n">
        <f aca="false">MOD(ROW()-9,24)</f>
        <v>0</v>
      </c>
      <c r="C15585" s="12"/>
      <c r="D15585" s="13" t="n">
        <f aca="false">IF(B15585&lt;5,Einstellungen!$B$3,Einstellungen!$B$4)</f>
        <v>15.92</v>
      </c>
      <c r="E15585" s="14" t="str">
        <f aca="false">IF(C15585="","",C15585*D15585/100)</f>
        <v/>
      </c>
      <c r="F15585" s="15" t="str">
        <f aca="false">IF(B15585&lt;5,"Go","Standard")</f>
        <v>Go</v>
      </c>
    </row>
    <row r="15586" customFormat="false" ht="15" hidden="false" customHeight="true" outlineLevel="0" collapsed="false">
      <c r="A15586" s="10" t="n">
        <f aca="false">Einstellungen!$B$5+INT((ROW()-9)/24)</f>
        <v>46615</v>
      </c>
      <c r="B15586" s="11" t="n">
        <f aca="false">MOD(ROW()-9,24)</f>
        <v>1</v>
      </c>
      <c r="C15586" s="12"/>
      <c r="D15586" s="13" t="n">
        <f aca="false">IF(B15586&lt;5,Einstellungen!$B$3,Einstellungen!$B$4)</f>
        <v>15.92</v>
      </c>
      <c r="E15586" s="14" t="str">
        <f aca="false">IF(C15586="","",C15586*D15586/100)</f>
        <v/>
      </c>
      <c r="F15586" s="15" t="str">
        <f aca="false">IF(B15586&lt;5,"Go","Standard")</f>
        <v>Go</v>
      </c>
    </row>
    <row r="15587" customFormat="false" ht="15" hidden="false" customHeight="true" outlineLevel="0" collapsed="false">
      <c r="A15587" s="10" t="n">
        <f aca="false">Einstellungen!$B$5+INT((ROW()-9)/24)</f>
        <v>46615</v>
      </c>
      <c r="B15587" s="11" t="n">
        <f aca="false">MOD(ROW()-9,24)</f>
        <v>2</v>
      </c>
      <c r="C15587" s="12"/>
      <c r="D15587" s="13" t="n">
        <f aca="false">IF(B15587&lt;5,Einstellungen!$B$3,Einstellungen!$B$4)</f>
        <v>15.92</v>
      </c>
      <c r="E15587" s="14" t="str">
        <f aca="false">IF(C15587="","",C15587*D15587/100)</f>
        <v/>
      </c>
      <c r="F15587" s="15" t="str">
        <f aca="false">IF(B15587&lt;5,"Go","Standard")</f>
        <v>Go</v>
      </c>
    </row>
    <row r="15588" customFormat="false" ht="15" hidden="false" customHeight="true" outlineLevel="0" collapsed="false">
      <c r="A15588" s="10" t="n">
        <f aca="false">Einstellungen!$B$5+INT((ROW()-9)/24)</f>
        <v>46615</v>
      </c>
      <c r="B15588" s="11" t="n">
        <f aca="false">MOD(ROW()-9,24)</f>
        <v>3</v>
      </c>
      <c r="C15588" s="12"/>
      <c r="D15588" s="13" t="n">
        <f aca="false">IF(B15588&lt;5,Einstellungen!$B$3,Einstellungen!$B$4)</f>
        <v>15.92</v>
      </c>
      <c r="E15588" s="14" t="str">
        <f aca="false">IF(C15588="","",C15588*D15588/100)</f>
        <v/>
      </c>
      <c r="F15588" s="15" t="str">
        <f aca="false">IF(B15588&lt;5,"Go","Standard")</f>
        <v>Go</v>
      </c>
    </row>
    <row r="15589" customFormat="false" ht="15" hidden="false" customHeight="true" outlineLevel="0" collapsed="false">
      <c r="A15589" s="10" t="n">
        <f aca="false">Einstellungen!$B$5+INT((ROW()-9)/24)</f>
        <v>46615</v>
      </c>
      <c r="B15589" s="11" t="n">
        <f aca="false">MOD(ROW()-9,24)</f>
        <v>4</v>
      </c>
      <c r="C15589" s="12"/>
      <c r="D15589" s="13" t="n">
        <f aca="false">IF(B15589&lt;5,Einstellungen!$B$3,Einstellungen!$B$4)</f>
        <v>15.92</v>
      </c>
      <c r="E15589" s="14" t="str">
        <f aca="false">IF(C15589="","",C15589*D15589/100)</f>
        <v/>
      </c>
      <c r="F15589" s="15" t="str">
        <f aca="false">IF(B15589&lt;5,"Go","Standard")</f>
        <v>Go</v>
      </c>
    </row>
    <row r="15590" customFormat="false" ht="15" hidden="false" customHeight="true" outlineLevel="0" collapsed="false">
      <c r="A15590" s="10" t="n">
        <f aca="false">Einstellungen!$B$5+INT((ROW()-9)/24)</f>
        <v>46615</v>
      </c>
      <c r="B15590" s="11" t="n">
        <f aca="false">MOD(ROW()-9,24)</f>
        <v>5</v>
      </c>
      <c r="C15590" s="12"/>
      <c r="D15590" s="13" t="n">
        <f aca="false">IF(B15590&lt;5,Einstellungen!$B$3,Einstellungen!$B$4)</f>
        <v>29.13</v>
      </c>
      <c r="E15590" s="14" t="str">
        <f aca="false">IF(C15590="","",C15590*D15590/100)</f>
        <v/>
      </c>
      <c r="F15590" s="15" t="str">
        <f aca="false">IF(B15590&lt;5,"Go","Standard")</f>
        <v>Standard</v>
      </c>
    </row>
    <row r="15591" customFormat="false" ht="15" hidden="false" customHeight="true" outlineLevel="0" collapsed="false">
      <c r="A15591" s="10" t="n">
        <f aca="false">Einstellungen!$B$5+INT((ROW()-9)/24)</f>
        <v>46615</v>
      </c>
      <c r="B15591" s="11" t="n">
        <f aca="false">MOD(ROW()-9,24)</f>
        <v>6</v>
      </c>
      <c r="C15591" s="12"/>
      <c r="D15591" s="13" t="n">
        <f aca="false">IF(B15591&lt;5,Einstellungen!$B$3,Einstellungen!$B$4)</f>
        <v>29.13</v>
      </c>
      <c r="E15591" s="14" t="str">
        <f aca="false">IF(C15591="","",C15591*D15591/100)</f>
        <v/>
      </c>
      <c r="F15591" s="15" t="str">
        <f aca="false">IF(B15591&lt;5,"Go","Standard")</f>
        <v>Standard</v>
      </c>
    </row>
    <row r="15592" customFormat="false" ht="15" hidden="false" customHeight="true" outlineLevel="0" collapsed="false">
      <c r="A15592" s="10" t="n">
        <f aca="false">Einstellungen!$B$5+INT((ROW()-9)/24)</f>
        <v>46615</v>
      </c>
      <c r="B15592" s="11" t="n">
        <f aca="false">MOD(ROW()-9,24)</f>
        <v>7</v>
      </c>
      <c r="C15592" s="12"/>
      <c r="D15592" s="13" t="n">
        <f aca="false">IF(B15592&lt;5,Einstellungen!$B$3,Einstellungen!$B$4)</f>
        <v>29.13</v>
      </c>
      <c r="E15592" s="14" t="str">
        <f aca="false">IF(C15592="","",C15592*D15592/100)</f>
        <v/>
      </c>
      <c r="F15592" s="15" t="str">
        <f aca="false">IF(B15592&lt;5,"Go","Standard")</f>
        <v>Standard</v>
      </c>
    </row>
    <row r="15593" customFormat="false" ht="15" hidden="false" customHeight="true" outlineLevel="0" collapsed="false">
      <c r="A15593" s="10" t="n">
        <f aca="false">Einstellungen!$B$5+INT((ROW()-9)/24)</f>
        <v>46615</v>
      </c>
      <c r="B15593" s="11" t="n">
        <f aca="false">MOD(ROW()-9,24)</f>
        <v>8</v>
      </c>
      <c r="C15593" s="12"/>
      <c r="D15593" s="13" t="n">
        <f aca="false">IF(B15593&lt;5,Einstellungen!$B$3,Einstellungen!$B$4)</f>
        <v>29.13</v>
      </c>
      <c r="E15593" s="14" t="str">
        <f aca="false">IF(C15593="","",C15593*D15593/100)</f>
        <v/>
      </c>
      <c r="F15593" s="15" t="str">
        <f aca="false">IF(B15593&lt;5,"Go","Standard")</f>
        <v>Standard</v>
      </c>
    </row>
    <row r="15594" customFormat="false" ht="15" hidden="false" customHeight="true" outlineLevel="0" collapsed="false">
      <c r="A15594" s="10" t="n">
        <f aca="false">Einstellungen!$B$5+INT((ROW()-9)/24)</f>
        <v>46615</v>
      </c>
      <c r="B15594" s="11" t="n">
        <f aca="false">MOD(ROW()-9,24)</f>
        <v>9</v>
      </c>
      <c r="C15594" s="12"/>
      <c r="D15594" s="13" t="n">
        <f aca="false">IF(B15594&lt;5,Einstellungen!$B$3,Einstellungen!$B$4)</f>
        <v>29.13</v>
      </c>
      <c r="E15594" s="14" t="str">
        <f aca="false">IF(C15594="","",C15594*D15594/100)</f>
        <v/>
      </c>
      <c r="F15594" s="15" t="str">
        <f aca="false">IF(B15594&lt;5,"Go","Standard")</f>
        <v>Standard</v>
      </c>
    </row>
    <row r="15595" customFormat="false" ht="15" hidden="false" customHeight="true" outlineLevel="0" collapsed="false">
      <c r="A15595" s="10" t="n">
        <f aca="false">Einstellungen!$B$5+INT((ROW()-9)/24)</f>
        <v>46615</v>
      </c>
      <c r="B15595" s="11" t="n">
        <f aca="false">MOD(ROW()-9,24)</f>
        <v>10</v>
      </c>
      <c r="C15595" s="12"/>
      <c r="D15595" s="13" t="n">
        <f aca="false">IF(B15595&lt;5,Einstellungen!$B$3,Einstellungen!$B$4)</f>
        <v>29.13</v>
      </c>
      <c r="E15595" s="14" t="str">
        <f aca="false">IF(C15595="","",C15595*D15595/100)</f>
        <v/>
      </c>
      <c r="F15595" s="15" t="str">
        <f aca="false">IF(B15595&lt;5,"Go","Standard")</f>
        <v>Standard</v>
      </c>
    </row>
    <row r="15596" customFormat="false" ht="15" hidden="false" customHeight="true" outlineLevel="0" collapsed="false">
      <c r="A15596" s="10" t="n">
        <f aca="false">Einstellungen!$B$5+INT((ROW()-9)/24)</f>
        <v>46615</v>
      </c>
      <c r="B15596" s="11" t="n">
        <f aca="false">MOD(ROW()-9,24)</f>
        <v>11</v>
      </c>
      <c r="C15596" s="12"/>
      <c r="D15596" s="13" t="n">
        <f aca="false">IF(B15596&lt;5,Einstellungen!$B$3,Einstellungen!$B$4)</f>
        <v>29.13</v>
      </c>
      <c r="E15596" s="14" t="str">
        <f aca="false">IF(C15596="","",C15596*D15596/100)</f>
        <v/>
      </c>
      <c r="F15596" s="15" t="str">
        <f aca="false">IF(B15596&lt;5,"Go","Standard")</f>
        <v>Standard</v>
      </c>
    </row>
    <row r="15597" customFormat="false" ht="15" hidden="false" customHeight="true" outlineLevel="0" collapsed="false">
      <c r="A15597" s="10" t="n">
        <f aca="false">Einstellungen!$B$5+INT((ROW()-9)/24)</f>
        <v>46615</v>
      </c>
      <c r="B15597" s="11" t="n">
        <f aca="false">MOD(ROW()-9,24)</f>
        <v>12</v>
      </c>
      <c r="C15597" s="12"/>
      <c r="D15597" s="13" t="n">
        <f aca="false">IF(B15597&lt;5,Einstellungen!$B$3,Einstellungen!$B$4)</f>
        <v>29.13</v>
      </c>
      <c r="E15597" s="14" t="str">
        <f aca="false">IF(C15597="","",C15597*D15597/100)</f>
        <v/>
      </c>
      <c r="F15597" s="15" t="str">
        <f aca="false">IF(B15597&lt;5,"Go","Standard")</f>
        <v>Standard</v>
      </c>
    </row>
    <row r="15598" customFormat="false" ht="15" hidden="false" customHeight="true" outlineLevel="0" collapsed="false">
      <c r="A15598" s="10" t="n">
        <f aca="false">Einstellungen!$B$5+INT((ROW()-9)/24)</f>
        <v>46615</v>
      </c>
      <c r="B15598" s="11" t="n">
        <f aca="false">MOD(ROW()-9,24)</f>
        <v>13</v>
      </c>
      <c r="C15598" s="12"/>
      <c r="D15598" s="13" t="n">
        <f aca="false">IF(B15598&lt;5,Einstellungen!$B$3,Einstellungen!$B$4)</f>
        <v>29.13</v>
      </c>
      <c r="E15598" s="14" t="str">
        <f aca="false">IF(C15598="","",C15598*D15598/100)</f>
        <v/>
      </c>
      <c r="F15598" s="15" t="str">
        <f aca="false">IF(B15598&lt;5,"Go","Standard")</f>
        <v>Standard</v>
      </c>
    </row>
    <row r="15599" customFormat="false" ht="15" hidden="false" customHeight="true" outlineLevel="0" collapsed="false">
      <c r="A15599" s="10" t="n">
        <f aca="false">Einstellungen!$B$5+INT((ROW()-9)/24)</f>
        <v>46615</v>
      </c>
      <c r="B15599" s="11" t="n">
        <f aca="false">MOD(ROW()-9,24)</f>
        <v>14</v>
      </c>
      <c r="C15599" s="12"/>
      <c r="D15599" s="13" t="n">
        <f aca="false">IF(B15599&lt;5,Einstellungen!$B$3,Einstellungen!$B$4)</f>
        <v>29.13</v>
      </c>
      <c r="E15599" s="14" t="str">
        <f aca="false">IF(C15599="","",C15599*D15599/100)</f>
        <v/>
      </c>
      <c r="F15599" s="15" t="str">
        <f aca="false">IF(B15599&lt;5,"Go","Standard")</f>
        <v>Standard</v>
      </c>
    </row>
    <row r="15600" customFormat="false" ht="15" hidden="false" customHeight="true" outlineLevel="0" collapsed="false">
      <c r="A15600" s="10" t="n">
        <f aca="false">Einstellungen!$B$5+INT((ROW()-9)/24)</f>
        <v>46615</v>
      </c>
      <c r="B15600" s="11" t="n">
        <f aca="false">MOD(ROW()-9,24)</f>
        <v>15</v>
      </c>
      <c r="C15600" s="12"/>
      <c r="D15600" s="13" t="n">
        <f aca="false">IF(B15600&lt;5,Einstellungen!$B$3,Einstellungen!$B$4)</f>
        <v>29.13</v>
      </c>
      <c r="E15600" s="14" t="str">
        <f aca="false">IF(C15600="","",C15600*D15600/100)</f>
        <v/>
      </c>
      <c r="F15600" s="15" t="str">
        <f aca="false">IF(B15600&lt;5,"Go","Standard")</f>
        <v>Standard</v>
      </c>
    </row>
    <row r="15601" customFormat="false" ht="15" hidden="false" customHeight="true" outlineLevel="0" collapsed="false">
      <c r="A15601" s="10" t="n">
        <f aca="false">Einstellungen!$B$5+INT((ROW()-9)/24)</f>
        <v>46615</v>
      </c>
      <c r="B15601" s="11" t="n">
        <f aca="false">MOD(ROW()-9,24)</f>
        <v>16</v>
      </c>
      <c r="C15601" s="12"/>
      <c r="D15601" s="13" t="n">
        <f aca="false">IF(B15601&lt;5,Einstellungen!$B$3,Einstellungen!$B$4)</f>
        <v>29.13</v>
      </c>
      <c r="E15601" s="14" t="str">
        <f aca="false">IF(C15601="","",C15601*D15601/100)</f>
        <v/>
      </c>
      <c r="F15601" s="15" t="str">
        <f aca="false">IF(B15601&lt;5,"Go","Standard")</f>
        <v>Standard</v>
      </c>
    </row>
    <row r="15602" customFormat="false" ht="15" hidden="false" customHeight="true" outlineLevel="0" collapsed="false">
      <c r="A15602" s="10" t="n">
        <f aca="false">Einstellungen!$B$5+INT((ROW()-9)/24)</f>
        <v>46615</v>
      </c>
      <c r="B15602" s="11" t="n">
        <f aca="false">MOD(ROW()-9,24)</f>
        <v>17</v>
      </c>
      <c r="C15602" s="12"/>
      <c r="D15602" s="13" t="n">
        <f aca="false">IF(B15602&lt;5,Einstellungen!$B$3,Einstellungen!$B$4)</f>
        <v>29.13</v>
      </c>
      <c r="E15602" s="14" t="str">
        <f aca="false">IF(C15602="","",C15602*D15602/100)</f>
        <v/>
      </c>
      <c r="F15602" s="15" t="str">
        <f aca="false">IF(B15602&lt;5,"Go","Standard")</f>
        <v>Standard</v>
      </c>
    </row>
    <row r="15603" customFormat="false" ht="15" hidden="false" customHeight="true" outlineLevel="0" collapsed="false">
      <c r="A15603" s="10" t="n">
        <f aca="false">Einstellungen!$B$5+INT((ROW()-9)/24)</f>
        <v>46615</v>
      </c>
      <c r="B15603" s="11" t="n">
        <f aca="false">MOD(ROW()-9,24)</f>
        <v>18</v>
      </c>
      <c r="C15603" s="12"/>
      <c r="D15603" s="13" t="n">
        <f aca="false">IF(B15603&lt;5,Einstellungen!$B$3,Einstellungen!$B$4)</f>
        <v>29.13</v>
      </c>
      <c r="E15603" s="14" t="str">
        <f aca="false">IF(C15603="","",C15603*D15603/100)</f>
        <v/>
      </c>
      <c r="F15603" s="15" t="str">
        <f aca="false">IF(B15603&lt;5,"Go","Standard")</f>
        <v>Standard</v>
      </c>
    </row>
    <row r="15604" customFormat="false" ht="15" hidden="false" customHeight="true" outlineLevel="0" collapsed="false">
      <c r="A15604" s="10" t="n">
        <f aca="false">Einstellungen!$B$5+INT((ROW()-9)/24)</f>
        <v>46615</v>
      </c>
      <c r="B15604" s="11" t="n">
        <f aca="false">MOD(ROW()-9,24)</f>
        <v>19</v>
      </c>
      <c r="C15604" s="12"/>
      <c r="D15604" s="13" t="n">
        <f aca="false">IF(B15604&lt;5,Einstellungen!$B$3,Einstellungen!$B$4)</f>
        <v>29.13</v>
      </c>
      <c r="E15604" s="14" t="str">
        <f aca="false">IF(C15604="","",C15604*D15604/100)</f>
        <v/>
      </c>
      <c r="F15604" s="15" t="str">
        <f aca="false">IF(B15604&lt;5,"Go","Standard")</f>
        <v>Standard</v>
      </c>
    </row>
    <row r="15605" customFormat="false" ht="15" hidden="false" customHeight="true" outlineLevel="0" collapsed="false">
      <c r="A15605" s="10" t="n">
        <f aca="false">Einstellungen!$B$5+INT((ROW()-9)/24)</f>
        <v>46615</v>
      </c>
      <c r="B15605" s="11" t="n">
        <f aca="false">MOD(ROW()-9,24)</f>
        <v>20</v>
      </c>
      <c r="C15605" s="12"/>
      <c r="D15605" s="13" t="n">
        <f aca="false">IF(B15605&lt;5,Einstellungen!$B$3,Einstellungen!$B$4)</f>
        <v>29.13</v>
      </c>
      <c r="E15605" s="14" t="str">
        <f aca="false">IF(C15605="","",C15605*D15605/100)</f>
        <v/>
      </c>
      <c r="F15605" s="15" t="str">
        <f aca="false">IF(B15605&lt;5,"Go","Standard")</f>
        <v>Standard</v>
      </c>
    </row>
    <row r="15606" customFormat="false" ht="15" hidden="false" customHeight="true" outlineLevel="0" collapsed="false">
      <c r="A15606" s="10" t="n">
        <f aca="false">Einstellungen!$B$5+INT((ROW()-9)/24)</f>
        <v>46615</v>
      </c>
      <c r="B15606" s="11" t="n">
        <f aca="false">MOD(ROW()-9,24)</f>
        <v>21</v>
      </c>
      <c r="C15606" s="12"/>
      <c r="D15606" s="13" t="n">
        <f aca="false">IF(B15606&lt;5,Einstellungen!$B$3,Einstellungen!$B$4)</f>
        <v>29.13</v>
      </c>
      <c r="E15606" s="14" t="str">
        <f aca="false">IF(C15606="","",C15606*D15606/100)</f>
        <v/>
      </c>
      <c r="F15606" s="15" t="str">
        <f aca="false">IF(B15606&lt;5,"Go","Standard")</f>
        <v>Standard</v>
      </c>
    </row>
    <row r="15607" customFormat="false" ht="15" hidden="false" customHeight="true" outlineLevel="0" collapsed="false">
      <c r="A15607" s="10" t="n">
        <f aca="false">Einstellungen!$B$5+INT((ROW()-9)/24)</f>
        <v>46615</v>
      </c>
      <c r="B15607" s="11" t="n">
        <f aca="false">MOD(ROW()-9,24)</f>
        <v>22</v>
      </c>
      <c r="C15607" s="12"/>
      <c r="D15607" s="13" t="n">
        <f aca="false">IF(B15607&lt;5,Einstellungen!$B$3,Einstellungen!$B$4)</f>
        <v>29.13</v>
      </c>
      <c r="E15607" s="14" t="str">
        <f aca="false">IF(C15607="","",C15607*D15607/100)</f>
        <v/>
      </c>
      <c r="F15607" s="15" t="str">
        <f aca="false">IF(B15607&lt;5,"Go","Standard")</f>
        <v>Standard</v>
      </c>
    </row>
    <row r="15608" customFormat="false" ht="15" hidden="false" customHeight="true" outlineLevel="0" collapsed="false">
      <c r="A15608" s="10" t="n">
        <f aca="false">Einstellungen!$B$5+INT((ROW()-9)/24)</f>
        <v>46615</v>
      </c>
      <c r="B15608" s="11" t="n">
        <f aca="false">MOD(ROW()-9,24)</f>
        <v>23</v>
      </c>
      <c r="C15608" s="12"/>
      <c r="D15608" s="13" t="n">
        <f aca="false">IF(B15608&lt;5,Einstellungen!$B$3,Einstellungen!$B$4)</f>
        <v>29.13</v>
      </c>
      <c r="E15608" s="14" t="str">
        <f aca="false">IF(C15608="","",C15608*D15608/100)</f>
        <v/>
      </c>
      <c r="F15608" s="15" t="str">
        <f aca="false">IF(B15608&lt;5,"Go","Standard")</f>
        <v>Standard</v>
      </c>
    </row>
    <row r="15609" customFormat="false" ht="15" hidden="false" customHeight="true" outlineLevel="0" collapsed="false">
      <c r="A15609" s="10" t="n">
        <f aca="false">Einstellungen!$B$5+INT((ROW()-9)/24)</f>
        <v>46616</v>
      </c>
      <c r="B15609" s="11" t="n">
        <f aca="false">MOD(ROW()-9,24)</f>
        <v>0</v>
      </c>
      <c r="C15609" s="12"/>
      <c r="D15609" s="13" t="n">
        <f aca="false">IF(B15609&lt;5,Einstellungen!$B$3,Einstellungen!$B$4)</f>
        <v>15.92</v>
      </c>
      <c r="E15609" s="14" t="str">
        <f aca="false">IF(C15609="","",C15609*D15609/100)</f>
        <v/>
      </c>
      <c r="F15609" s="15" t="str">
        <f aca="false">IF(B15609&lt;5,"Go","Standard")</f>
        <v>Go</v>
      </c>
    </row>
    <row r="15610" customFormat="false" ht="15" hidden="false" customHeight="true" outlineLevel="0" collapsed="false">
      <c r="A15610" s="10" t="n">
        <f aca="false">Einstellungen!$B$5+INT((ROW()-9)/24)</f>
        <v>46616</v>
      </c>
      <c r="B15610" s="11" t="n">
        <f aca="false">MOD(ROW()-9,24)</f>
        <v>1</v>
      </c>
      <c r="C15610" s="12"/>
      <c r="D15610" s="13" t="n">
        <f aca="false">IF(B15610&lt;5,Einstellungen!$B$3,Einstellungen!$B$4)</f>
        <v>15.92</v>
      </c>
      <c r="E15610" s="14" t="str">
        <f aca="false">IF(C15610="","",C15610*D15610/100)</f>
        <v/>
      </c>
      <c r="F15610" s="15" t="str">
        <f aca="false">IF(B15610&lt;5,"Go","Standard")</f>
        <v>Go</v>
      </c>
    </row>
    <row r="15611" customFormat="false" ht="15" hidden="false" customHeight="true" outlineLevel="0" collapsed="false">
      <c r="A15611" s="10" t="n">
        <f aca="false">Einstellungen!$B$5+INT((ROW()-9)/24)</f>
        <v>46616</v>
      </c>
      <c r="B15611" s="11" t="n">
        <f aca="false">MOD(ROW()-9,24)</f>
        <v>2</v>
      </c>
      <c r="C15611" s="12"/>
      <c r="D15611" s="13" t="n">
        <f aca="false">IF(B15611&lt;5,Einstellungen!$B$3,Einstellungen!$B$4)</f>
        <v>15.92</v>
      </c>
      <c r="E15611" s="14" t="str">
        <f aca="false">IF(C15611="","",C15611*D15611/100)</f>
        <v/>
      </c>
      <c r="F15611" s="15" t="str">
        <f aca="false">IF(B15611&lt;5,"Go","Standard")</f>
        <v>Go</v>
      </c>
    </row>
    <row r="15612" customFormat="false" ht="15" hidden="false" customHeight="true" outlineLevel="0" collapsed="false">
      <c r="A15612" s="10" t="n">
        <f aca="false">Einstellungen!$B$5+INT((ROW()-9)/24)</f>
        <v>46616</v>
      </c>
      <c r="B15612" s="11" t="n">
        <f aca="false">MOD(ROW()-9,24)</f>
        <v>3</v>
      </c>
      <c r="C15612" s="12"/>
      <c r="D15612" s="13" t="n">
        <f aca="false">IF(B15612&lt;5,Einstellungen!$B$3,Einstellungen!$B$4)</f>
        <v>15.92</v>
      </c>
      <c r="E15612" s="14" t="str">
        <f aca="false">IF(C15612="","",C15612*D15612/100)</f>
        <v/>
      </c>
      <c r="F15612" s="15" t="str">
        <f aca="false">IF(B15612&lt;5,"Go","Standard")</f>
        <v>Go</v>
      </c>
    </row>
    <row r="15613" customFormat="false" ht="15" hidden="false" customHeight="true" outlineLevel="0" collapsed="false">
      <c r="A15613" s="10" t="n">
        <f aca="false">Einstellungen!$B$5+INT((ROW()-9)/24)</f>
        <v>46616</v>
      </c>
      <c r="B15613" s="11" t="n">
        <f aca="false">MOD(ROW()-9,24)</f>
        <v>4</v>
      </c>
      <c r="C15613" s="12"/>
      <c r="D15613" s="13" t="n">
        <f aca="false">IF(B15613&lt;5,Einstellungen!$B$3,Einstellungen!$B$4)</f>
        <v>15.92</v>
      </c>
      <c r="E15613" s="14" t="str">
        <f aca="false">IF(C15613="","",C15613*D15613/100)</f>
        <v/>
      </c>
      <c r="F15613" s="15" t="str">
        <f aca="false">IF(B15613&lt;5,"Go","Standard")</f>
        <v>Go</v>
      </c>
    </row>
    <row r="15614" customFormat="false" ht="15" hidden="false" customHeight="true" outlineLevel="0" collapsed="false">
      <c r="A15614" s="10" t="n">
        <f aca="false">Einstellungen!$B$5+INT((ROW()-9)/24)</f>
        <v>46616</v>
      </c>
      <c r="B15614" s="11" t="n">
        <f aca="false">MOD(ROW()-9,24)</f>
        <v>5</v>
      </c>
      <c r="C15614" s="12"/>
      <c r="D15614" s="13" t="n">
        <f aca="false">IF(B15614&lt;5,Einstellungen!$B$3,Einstellungen!$B$4)</f>
        <v>29.13</v>
      </c>
      <c r="E15614" s="14" t="str">
        <f aca="false">IF(C15614="","",C15614*D15614/100)</f>
        <v/>
      </c>
      <c r="F15614" s="15" t="str">
        <f aca="false">IF(B15614&lt;5,"Go","Standard")</f>
        <v>Standard</v>
      </c>
    </row>
    <row r="15615" customFormat="false" ht="15" hidden="false" customHeight="true" outlineLevel="0" collapsed="false">
      <c r="A15615" s="10" t="n">
        <f aca="false">Einstellungen!$B$5+INT((ROW()-9)/24)</f>
        <v>46616</v>
      </c>
      <c r="B15615" s="11" t="n">
        <f aca="false">MOD(ROW()-9,24)</f>
        <v>6</v>
      </c>
      <c r="C15615" s="12"/>
      <c r="D15615" s="13" t="n">
        <f aca="false">IF(B15615&lt;5,Einstellungen!$B$3,Einstellungen!$B$4)</f>
        <v>29.13</v>
      </c>
      <c r="E15615" s="14" t="str">
        <f aca="false">IF(C15615="","",C15615*D15615/100)</f>
        <v/>
      </c>
      <c r="F15615" s="15" t="str">
        <f aca="false">IF(B15615&lt;5,"Go","Standard")</f>
        <v>Standard</v>
      </c>
    </row>
    <row r="15616" customFormat="false" ht="15" hidden="false" customHeight="true" outlineLevel="0" collapsed="false">
      <c r="A15616" s="10" t="n">
        <f aca="false">Einstellungen!$B$5+INT((ROW()-9)/24)</f>
        <v>46616</v>
      </c>
      <c r="B15616" s="11" t="n">
        <f aca="false">MOD(ROW()-9,24)</f>
        <v>7</v>
      </c>
      <c r="C15616" s="12"/>
      <c r="D15616" s="13" t="n">
        <f aca="false">IF(B15616&lt;5,Einstellungen!$B$3,Einstellungen!$B$4)</f>
        <v>29.13</v>
      </c>
      <c r="E15616" s="14" t="str">
        <f aca="false">IF(C15616="","",C15616*D15616/100)</f>
        <v/>
      </c>
      <c r="F15616" s="15" t="str">
        <f aca="false">IF(B15616&lt;5,"Go","Standard")</f>
        <v>Standard</v>
      </c>
    </row>
    <row r="15617" customFormat="false" ht="15" hidden="false" customHeight="true" outlineLevel="0" collapsed="false">
      <c r="A15617" s="10" t="n">
        <f aca="false">Einstellungen!$B$5+INT((ROW()-9)/24)</f>
        <v>46616</v>
      </c>
      <c r="B15617" s="11" t="n">
        <f aca="false">MOD(ROW()-9,24)</f>
        <v>8</v>
      </c>
      <c r="C15617" s="12"/>
      <c r="D15617" s="13" t="n">
        <f aca="false">IF(B15617&lt;5,Einstellungen!$B$3,Einstellungen!$B$4)</f>
        <v>29.13</v>
      </c>
      <c r="E15617" s="14" t="str">
        <f aca="false">IF(C15617="","",C15617*D15617/100)</f>
        <v/>
      </c>
      <c r="F15617" s="15" t="str">
        <f aca="false">IF(B15617&lt;5,"Go","Standard")</f>
        <v>Standard</v>
      </c>
    </row>
    <row r="15618" customFormat="false" ht="15" hidden="false" customHeight="true" outlineLevel="0" collapsed="false">
      <c r="A15618" s="10" t="n">
        <f aca="false">Einstellungen!$B$5+INT((ROW()-9)/24)</f>
        <v>46616</v>
      </c>
      <c r="B15618" s="11" t="n">
        <f aca="false">MOD(ROW()-9,24)</f>
        <v>9</v>
      </c>
      <c r="C15618" s="12"/>
      <c r="D15618" s="13" t="n">
        <f aca="false">IF(B15618&lt;5,Einstellungen!$B$3,Einstellungen!$B$4)</f>
        <v>29.13</v>
      </c>
      <c r="E15618" s="14" t="str">
        <f aca="false">IF(C15618="","",C15618*D15618/100)</f>
        <v/>
      </c>
      <c r="F15618" s="15" t="str">
        <f aca="false">IF(B15618&lt;5,"Go","Standard")</f>
        <v>Standard</v>
      </c>
    </row>
    <row r="15619" customFormat="false" ht="15" hidden="false" customHeight="true" outlineLevel="0" collapsed="false">
      <c r="A15619" s="10" t="n">
        <f aca="false">Einstellungen!$B$5+INT((ROW()-9)/24)</f>
        <v>46616</v>
      </c>
      <c r="B15619" s="11" t="n">
        <f aca="false">MOD(ROW()-9,24)</f>
        <v>10</v>
      </c>
      <c r="C15619" s="12"/>
      <c r="D15619" s="13" t="n">
        <f aca="false">IF(B15619&lt;5,Einstellungen!$B$3,Einstellungen!$B$4)</f>
        <v>29.13</v>
      </c>
      <c r="E15619" s="14" t="str">
        <f aca="false">IF(C15619="","",C15619*D15619/100)</f>
        <v/>
      </c>
      <c r="F15619" s="15" t="str">
        <f aca="false">IF(B15619&lt;5,"Go","Standard")</f>
        <v>Standard</v>
      </c>
    </row>
    <row r="15620" customFormat="false" ht="15" hidden="false" customHeight="true" outlineLevel="0" collapsed="false">
      <c r="A15620" s="10" t="n">
        <f aca="false">Einstellungen!$B$5+INT((ROW()-9)/24)</f>
        <v>46616</v>
      </c>
      <c r="B15620" s="11" t="n">
        <f aca="false">MOD(ROW()-9,24)</f>
        <v>11</v>
      </c>
      <c r="C15620" s="12"/>
      <c r="D15620" s="13" t="n">
        <f aca="false">IF(B15620&lt;5,Einstellungen!$B$3,Einstellungen!$B$4)</f>
        <v>29.13</v>
      </c>
      <c r="E15620" s="14" t="str">
        <f aca="false">IF(C15620="","",C15620*D15620/100)</f>
        <v/>
      </c>
      <c r="F15620" s="15" t="str">
        <f aca="false">IF(B15620&lt;5,"Go","Standard")</f>
        <v>Standard</v>
      </c>
    </row>
    <row r="15621" customFormat="false" ht="15" hidden="false" customHeight="true" outlineLevel="0" collapsed="false">
      <c r="A15621" s="10" t="n">
        <f aca="false">Einstellungen!$B$5+INT((ROW()-9)/24)</f>
        <v>46616</v>
      </c>
      <c r="B15621" s="11" t="n">
        <f aca="false">MOD(ROW()-9,24)</f>
        <v>12</v>
      </c>
      <c r="C15621" s="12"/>
      <c r="D15621" s="13" t="n">
        <f aca="false">IF(B15621&lt;5,Einstellungen!$B$3,Einstellungen!$B$4)</f>
        <v>29.13</v>
      </c>
      <c r="E15621" s="14" t="str">
        <f aca="false">IF(C15621="","",C15621*D15621/100)</f>
        <v/>
      </c>
      <c r="F15621" s="15" t="str">
        <f aca="false">IF(B15621&lt;5,"Go","Standard")</f>
        <v>Standard</v>
      </c>
    </row>
    <row r="15622" customFormat="false" ht="15" hidden="false" customHeight="true" outlineLevel="0" collapsed="false">
      <c r="A15622" s="10" t="n">
        <f aca="false">Einstellungen!$B$5+INT((ROW()-9)/24)</f>
        <v>46616</v>
      </c>
      <c r="B15622" s="11" t="n">
        <f aca="false">MOD(ROW()-9,24)</f>
        <v>13</v>
      </c>
      <c r="C15622" s="12"/>
      <c r="D15622" s="13" t="n">
        <f aca="false">IF(B15622&lt;5,Einstellungen!$B$3,Einstellungen!$B$4)</f>
        <v>29.13</v>
      </c>
      <c r="E15622" s="14" t="str">
        <f aca="false">IF(C15622="","",C15622*D15622/100)</f>
        <v/>
      </c>
      <c r="F15622" s="15" t="str">
        <f aca="false">IF(B15622&lt;5,"Go","Standard")</f>
        <v>Standard</v>
      </c>
    </row>
    <row r="15623" customFormat="false" ht="15" hidden="false" customHeight="true" outlineLevel="0" collapsed="false">
      <c r="A15623" s="10" t="n">
        <f aca="false">Einstellungen!$B$5+INT((ROW()-9)/24)</f>
        <v>46616</v>
      </c>
      <c r="B15623" s="11" t="n">
        <f aca="false">MOD(ROW()-9,24)</f>
        <v>14</v>
      </c>
      <c r="C15623" s="12"/>
      <c r="D15623" s="13" t="n">
        <f aca="false">IF(B15623&lt;5,Einstellungen!$B$3,Einstellungen!$B$4)</f>
        <v>29.13</v>
      </c>
      <c r="E15623" s="14" t="str">
        <f aca="false">IF(C15623="","",C15623*D15623/100)</f>
        <v/>
      </c>
      <c r="F15623" s="15" t="str">
        <f aca="false">IF(B15623&lt;5,"Go","Standard")</f>
        <v>Standard</v>
      </c>
    </row>
    <row r="15624" customFormat="false" ht="15" hidden="false" customHeight="true" outlineLevel="0" collapsed="false">
      <c r="A15624" s="10" t="n">
        <f aca="false">Einstellungen!$B$5+INT((ROW()-9)/24)</f>
        <v>46616</v>
      </c>
      <c r="B15624" s="11" t="n">
        <f aca="false">MOD(ROW()-9,24)</f>
        <v>15</v>
      </c>
      <c r="C15624" s="12"/>
      <c r="D15624" s="13" t="n">
        <f aca="false">IF(B15624&lt;5,Einstellungen!$B$3,Einstellungen!$B$4)</f>
        <v>29.13</v>
      </c>
      <c r="E15624" s="14" t="str">
        <f aca="false">IF(C15624="","",C15624*D15624/100)</f>
        <v/>
      </c>
      <c r="F15624" s="15" t="str">
        <f aca="false">IF(B15624&lt;5,"Go","Standard")</f>
        <v>Standard</v>
      </c>
    </row>
    <row r="15625" customFormat="false" ht="15" hidden="false" customHeight="true" outlineLevel="0" collapsed="false">
      <c r="A15625" s="10" t="n">
        <f aca="false">Einstellungen!$B$5+INT((ROW()-9)/24)</f>
        <v>46616</v>
      </c>
      <c r="B15625" s="11" t="n">
        <f aca="false">MOD(ROW()-9,24)</f>
        <v>16</v>
      </c>
      <c r="C15625" s="12"/>
      <c r="D15625" s="13" t="n">
        <f aca="false">IF(B15625&lt;5,Einstellungen!$B$3,Einstellungen!$B$4)</f>
        <v>29.13</v>
      </c>
      <c r="E15625" s="14" t="str">
        <f aca="false">IF(C15625="","",C15625*D15625/100)</f>
        <v/>
      </c>
      <c r="F15625" s="15" t="str">
        <f aca="false">IF(B15625&lt;5,"Go","Standard")</f>
        <v>Standard</v>
      </c>
    </row>
    <row r="15626" customFormat="false" ht="15" hidden="false" customHeight="true" outlineLevel="0" collapsed="false">
      <c r="A15626" s="10" t="n">
        <f aca="false">Einstellungen!$B$5+INT((ROW()-9)/24)</f>
        <v>46616</v>
      </c>
      <c r="B15626" s="11" t="n">
        <f aca="false">MOD(ROW()-9,24)</f>
        <v>17</v>
      </c>
      <c r="C15626" s="12"/>
      <c r="D15626" s="13" t="n">
        <f aca="false">IF(B15626&lt;5,Einstellungen!$B$3,Einstellungen!$B$4)</f>
        <v>29.13</v>
      </c>
      <c r="E15626" s="14" t="str">
        <f aca="false">IF(C15626="","",C15626*D15626/100)</f>
        <v/>
      </c>
      <c r="F15626" s="15" t="str">
        <f aca="false">IF(B15626&lt;5,"Go","Standard")</f>
        <v>Standard</v>
      </c>
    </row>
    <row r="15627" customFormat="false" ht="15" hidden="false" customHeight="true" outlineLevel="0" collapsed="false">
      <c r="A15627" s="10" t="n">
        <f aca="false">Einstellungen!$B$5+INT((ROW()-9)/24)</f>
        <v>46616</v>
      </c>
      <c r="B15627" s="11" t="n">
        <f aca="false">MOD(ROW()-9,24)</f>
        <v>18</v>
      </c>
      <c r="C15627" s="12"/>
      <c r="D15627" s="13" t="n">
        <f aca="false">IF(B15627&lt;5,Einstellungen!$B$3,Einstellungen!$B$4)</f>
        <v>29.13</v>
      </c>
      <c r="E15627" s="14" t="str">
        <f aca="false">IF(C15627="","",C15627*D15627/100)</f>
        <v/>
      </c>
      <c r="F15627" s="15" t="str">
        <f aca="false">IF(B15627&lt;5,"Go","Standard")</f>
        <v>Standard</v>
      </c>
    </row>
    <row r="15628" customFormat="false" ht="15" hidden="false" customHeight="true" outlineLevel="0" collapsed="false">
      <c r="A15628" s="10" t="n">
        <f aca="false">Einstellungen!$B$5+INT((ROW()-9)/24)</f>
        <v>46616</v>
      </c>
      <c r="B15628" s="11" t="n">
        <f aca="false">MOD(ROW()-9,24)</f>
        <v>19</v>
      </c>
      <c r="C15628" s="12"/>
      <c r="D15628" s="13" t="n">
        <f aca="false">IF(B15628&lt;5,Einstellungen!$B$3,Einstellungen!$B$4)</f>
        <v>29.13</v>
      </c>
      <c r="E15628" s="14" t="str">
        <f aca="false">IF(C15628="","",C15628*D15628/100)</f>
        <v/>
      </c>
      <c r="F15628" s="15" t="str">
        <f aca="false">IF(B15628&lt;5,"Go","Standard")</f>
        <v>Standard</v>
      </c>
    </row>
    <row r="15629" customFormat="false" ht="15" hidden="false" customHeight="true" outlineLevel="0" collapsed="false">
      <c r="A15629" s="10" t="n">
        <f aca="false">Einstellungen!$B$5+INT((ROW()-9)/24)</f>
        <v>46616</v>
      </c>
      <c r="B15629" s="11" t="n">
        <f aca="false">MOD(ROW()-9,24)</f>
        <v>20</v>
      </c>
      <c r="C15629" s="12"/>
      <c r="D15629" s="13" t="n">
        <f aca="false">IF(B15629&lt;5,Einstellungen!$B$3,Einstellungen!$B$4)</f>
        <v>29.13</v>
      </c>
      <c r="E15629" s="14" t="str">
        <f aca="false">IF(C15629="","",C15629*D15629/100)</f>
        <v/>
      </c>
      <c r="F15629" s="15" t="str">
        <f aca="false">IF(B15629&lt;5,"Go","Standard")</f>
        <v>Standard</v>
      </c>
    </row>
    <row r="15630" customFormat="false" ht="15" hidden="false" customHeight="true" outlineLevel="0" collapsed="false">
      <c r="A15630" s="10" t="n">
        <f aca="false">Einstellungen!$B$5+INT((ROW()-9)/24)</f>
        <v>46616</v>
      </c>
      <c r="B15630" s="11" t="n">
        <f aca="false">MOD(ROW()-9,24)</f>
        <v>21</v>
      </c>
      <c r="C15630" s="12"/>
      <c r="D15630" s="13" t="n">
        <f aca="false">IF(B15630&lt;5,Einstellungen!$B$3,Einstellungen!$B$4)</f>
        <v>29.13</v>
      </c>
      <c r="E15630" s="14" t="str">
        <f aca="false">IF(C15630="","",C15630*D15630/100)</f>
        <v/>
      </c>
      <c r="F15630" s="15" t="str">
        <f aca="false">IF(B15630&lt;5,"Go","Standard")</f>
        <v>Standard</v>
      </c>
    </row>
    <row r="15631" customFormat="false" ht="15" hidden="false" customHeight="true" outlineLevel="0" collapsed="false">
      <c r="A15631" s="10" t="n">
        <f aca="false">Einstellungen!$B$5+INT((ROW()-9)/24)</f>
        <v>46616</v>
      </c>
      <c r="B15631" s="11" t="n">
        <f aca="false">MOD(ROW()-9,24)</f>
        <v>22</v>
      </c>
      <c r="C15631" s="12"/>
      <c r="D15631" s="13" t="n">
        <f aca="false">IF(B15631&lt;5,Einstellungen!$B$3,Einstellungen!$B$4)</f>
        <v>29.13</v>
      </c>
      <c r="E15631" s="14" t="str">
        <f aca="false">IF(C15631="","",C15631*D15631/100)</f>
        <v/>
      </c>
      <c r="F15631" s="15" t="str">
        <f aca="false">IF(B15631&lt;5,"Go","Standard")</f>
        <v>Standard</v>
      </c>
    </row>
    <row r="15632" customFormat="false" ht="15" hidden="false" customHeight="true" outlineLevel="0" collapsed="false">
      <c r="A15632" s="10" t="n">
        <f aca="false">Einstellungen!$B$5+INT((ROW()-9)/24)</f>
        <v>46616</v>
      </c>
      <c r="B15632" s="11" t="n">
        <f aca="false">MOD(ROW()-9,24)</f>
        <v>23</v>
      </c>
      <c r="C15632" s="12"/>
      <c r="D15632" s="13" t="n">
        <f aca="false">IF(B15632&lt;5,Einstellungen!$B$3,Einstellungen!$B$4)</f>
        <v>29.13</v>
      </c>
      <c r="E15632" s="14" t="str">
        <f aca="false">IF(C15632="","",C15632*D15632/100)</f>
        <v/>
      </c>
      <c r="F15632" s="15" t="str">
        <f aca="false">IF(B15632&lt;5,"Go","Standard")</f>
        <v>Standard</v>
      </c>
    </row>
    <row r="15633" customFormat="false" ht="15" hidden="false" customHeight="true" outlineLevel="0" collapsed="false">
      <c r="A15633" s="10" t="n">
        <f aca="false">Einstellungen!$B$5+INT((ROW()-9)/24)</f>
        <v>46617</v>
      </c>
      <c r="B15633" s="11" t="n">
        <f aca="false">MOD(ROW()-9,24)</f>
        <v>0</v>
      </c>
      <c r="C15633" s="12"/>
      <c r="D15633" s="13" t="n">
        <f aca="false">IF(B15633&lt;5,Einstellungen!$B$3,Einstellungen!$B$4)</f>
        <v>15.92</v>
      </c>
      <c r="E15633" s="14" t="str">
        <f aca="false">IF(C15633="","",C15633*D15633/100)</f>
        <v/>
      </c>
      <c r="F15633" s="15" t="str">
        <f aca="false">IF(B15633&lt;5,"Go","Standard")</f>
        <v>Go</v>
      </c>
    </row>
    <row r="15634" customFormat="false" ht="15" hidden="false" customHeight="true" outlineLevel="0" collapsed="false">
      <c r="A15634" s="10" t="n">
        <f aca="false">Einstellungen!$B$5+INT((ROW()-9)/24)</f>
        <v>46617</v>
      </c>
      <c r="B15634" s="11" t="n">
        <f aca="false">MOD(ROW()-9,24)</f>
        <v>1</v>
      </c>
      <c r="C15634" s="12"/>
      <c r="D15634" s="13" t="n">
        <f aca="false">IF(B15634&lt;5,Einstellungen!$B$3,Einstellungen!$B$4)</f>
        <v>15.92</v>
      </c>
      <c r="E15634" s="14" t="str">
        <f aca="false">IF(C15634="","",C15634*D15634/100)</f>
        <v/>
      </c>
      <c r="F15634" s="15" t="str">
        <f aca="false">IF(B15634&lt;5,"Go","Standard")</f>
        <v>Go</v>
      </c>
    </row>
    <row r="15635" customFormat="false" ht="15" hidden="false" customHeight="true" outlineLevel="0" collapsed="false">
      <c r="A15635" s="10" t="n">
        <f aca="false">Einstellungen!$B$5+INT((ROW()-9)/24)</f>
        <v>46617</v>
      </c>
      <c r="B15635" s="11" t="n">
        <f aca="false">MOD(ROW()-9,24)</f>
        <v>2</v>
      </c>
      <c r="C15635" s="12"/>
      <c r="D15635" s="13" t="n">
        <f aca="false">IF(B15635&lt;5,Einstellungen!$B$3,Einstellungen!$B$4)</f>
        <v>15.92</v>
      </c>
      <c r="E15635" s="14" t="str">
        <f aca="false">IF(C15635="","",C15635*D15635/100)</f>
        <v/>
      </c>
      <c r="F15635" s="15" t="str">
        <f aca="false">IF(B15635&lt;5,"Go","Standard")</f>
        <v>Go</v>
      </c>
    </row>
    <row r="15636" customFormat="false" ht="15" hidden="false" customHeight="true" outlineLevel="0" collapsed="false">
      <c r="A15636" s="10" t="n">
        <f aca="false">Einstellungen!$B$5+INT((ROW()-9)/24)</f>
        <v>46617</v>
      </c>
      <c r="B15636" s="11" t="n">
        <f aca="false">MOD(ROW()-9,24)</f>
        <v>3</v>
      </c>
      <c r="C15636" s="12"/>
      <c r="D15636" s="13" t="n">
        <f aca="false">IF(B15636&lt;5,Einstellungen!$B$3,Einstellungen!$B$4)</f>
        <v>15.92</v>
      </c>
      <c r="E15636" s="14" t="str">
        <f aca="false">IF(C15636="","",C15636*D15636/100)</f>
        <v/>
      </c>
      <c r="F15636" s="15" t="str">
        <f aca="false">IF(B15636&lt;5,"Go","Standard")</f>
        <v>Go</v>
      </c>
    </row>
    <row r="15637" customFormat="false" ht="15" hidden="false" customHeight="true" outlineLevel="0" collapsed="false">
      <c r="A15637" s="10" t="n">
        <f aca="false">Einstellungen!$B$5+INT((ROW()-9)/24)</f>
        <v>46617</v>
      </c>
      <c r="B15637" s="11" t="n">
        <f aca="false">MOD(ROW()-9,24)</f>
        <v>4</v>
      </c>
      <c r="C15637" s="12"/>
      <c r="D15637" s="13" t="n">
        <f aca="false">IF(B15637&lt;5,Einstellungen!$B$3,Einstellungen!$B$4)</f>
        <v>15.92</v>
      </c>
      <c r="E15637" s="14" t="str">
        <f aca="false">IF(C15637="","",C15637*D15637/100)</f>
        <v/>
      </c>
      <c r="F15637" s="15" t="str">
        <f aca="false">IF(B15637&lt;5,"Go","Standard")</f>
        <v>Go</v>
      </c>
    </row>
    <row r="15638" customFormat="false" ht="15" hidden="false" customHeight="true" outlineLevel="0" collapsed="false">
      <c r="A15638" s="10" t="n">
        <f aca="false">Einstellungen!$B$5+INT((ROW()-9)/24)</f>
        <v>46617</v>
      </c>
      <c r="B15638" s="11" t="n">
        <f aca="false">MOD(ROW()-9,24)</f>
        <v>5</v>
      </c>
      <c r="C15638" s="12"/>
      <c r="D15638" s="13" t="n">
        <f aca="false">IF(B15638&lt;5,Einstellungen!$B$3,Einstellungen!$B$4)</f>
        <v>29.13</v>
      </c>
      <c r="E15638" s="14" t="str">
        <f aca="false">IF(C15638="","",C15638*D15638/100)</f>
        <v/>
      </c>
      <c r="F15638" s="15" t="str">
        <f aca="false">IF(B15638&lt;5,"Go","Standard")</f>
        <v>Standard</v>
      </c>
    </row>
    <row r="15639" customFormat="false" ht="15" hidden="false" customHeight="true" outlineLevel="0" collapsed="false">
      <c r="A15639" s="10" t="n">
        <f aca="false">Einstellungen!$B$5+INT((ROW()-9)/24)</f>
        <v>46617</v>
      </c>
      <c r="B15639" s="11" t="n">
        <f aca="false">MOD(ROW()-9,24)</f>
        <v>6</v>
      </c>
      <c r="C15639" s="12"/>
      <c r="D15639" s="13" t="n">
        <f aca="false">IF(B15639&lt;5,Einstellungen!$B$3,Einstellungen!$B$4)</f>
        <v>29.13</v>
      </c>
      <c r="E15639" s="14" t="str">
        <f aca="false">IF(C15639="","",C15639*D15639/100)</f>
        <v/>
      </c>
      <c r="F15639" s="15" t="str">
        <f aca="false">IF(B15639&lt;5,"Go","Standard")</f>
        <v>Standard</v>
      </c>
    </row>
    <row r="15640" customFormat="false" ht="15" hidden="false" customHeight="true" outlineLevel="0" collapsed="false">
      <c r="A15640" s="10" t="n">
        <f aca="false">Einstellungen!$B$5+INT((ROW()-9)/24)</f>
        <v>46617</v>
      </c>
      <c r="B15640" s="11" t="n">
        <f aca="false">MOD(ROW()-9,24)</f>
        <v>7</v>
      </c>
      <c r="C15640" s="12"/>
      <c r="D15640" s="13" t="n">
        <f aca="false">IF(B15640&lt;5,Einstellungen!$B$3,Einstellungen!$B$4)</f>
        <v>29.13</v>
      </c>
      <c r="E15640" s="14" t="str">
        <f aca="false">IF(C15640="","",C15640*D15640/100)</f>
        <v/>
      </c>
      <c r="F15640" s="15" t="str">
        <f aca="false">IF(B15640&lt;5,"Go","Standard")</f>
        <v>Standard</v>
      </c>
    </row>
    <row r="15641" customFormat="false" ht="15" hidden="false" customHeight="true" outlineLevel="0" collapsed="false">
      <c r="A15641" s="10" t="n">
        <f aca="false">Einstellungen!$B$5+INT((ROW()-9)/24)</f>
        <v>46617</v>
      </c>
      <c r="B15641" s="11" t="n">
        <f aca="false">MOD(ROW()-9,24)</f>
        <v>8</v>
      </c>
      <c r="C15641" s="12"/>
      <c r="D15641" s="13" t="n">
        <f aca="false">IF(B15641&lt;5,Einstellungen!$B$3,Einstellungen!$B$4)</f>
        <v>29.13</v>
      </c>
      <c r="E15641" s="14" t="str">
        <f aca="false">IF(C15641="","",C15641*D15641/100)</f>
        <v/>
      </c>
      <c r="F15641" s="15" t="str">
        <f aca="false">IF(B15641&lt;5,"Go","Standard")</f>
        <v>Standard</v>
      </c>
    </row>
    <row r="15642" customFormat="false" ht="15" hidden="false" customHeight="true" outlineLevel="0" collapsed="false">
      <c r="A15642" s="10" t="n">
        <f aca="false">Einstellungen!$B$5+INT((ROW()-9)/24)</f>
        <v>46617</v>
      </c>
      <c r="B15642" s="11" t="n">
        <f aca="false">MOD(ROW()-9,24)</f>
        <v>9</v>
      </c>
      <c r="C15642" s="12"/>
      <c r="D15642" s="13" t="n">
        <f aca="false">IF(B15642&lt;5,Einstellungen!$B$3,Einstellungen!$B$4)</f>
        <v>29.13</v>
      </c>
      <c r="E15642" s="14" t="str">
        <f aca="false">IF(C15642="","",C15642*D15642/100)</f>
        <v/>
      </c>
      <c r="F15642" s="15" t="str">
        <f aca="false">IF(B15642&lt;5,"Go","Standard")</f>
        <v>Standard</v>
      </c>
    </row>
    <row r="15643" customFormat="false" ht="15" hidden="false" customHeight="true" outlineLevel="0" collapsed="false">
      <c r="A15643" s="10" t="n">
        <f aca="false">Einstellungen!$B$5+INT((ROW()-9)/24)</f>
        <v>46617</v>
      </c>
      <c r="B15643" s="11" t="n">
        <f aca="false">MOD(ROW()-9,24)</f>
        <v>10</v>
      </c>
      <c r="C15643" s="12"/>
      <c r="D15643" s="13" t="n">
        <f aca="false">IF(B15643&lt;5,Einstellungen!$B$3,Einstellungen!$B$4)</f>
        <v>29.13</v>
      </c>
      <c r="E15643" s="14" t="str">
        <f aca="false">IF(C15643="","",C15643*D15643/100)</f>
        <v/>
      </c>
      <c r="F15643" s="15" t="str">
        <f aca="false">IF(B15643&lt;5,"Go","Standard")</f>
        <v>Standard</v>
      </c>
    </row>
    <row r="15644" customFormat="false" ht="15" hidden="false" customHeight="true" outlineLevel="0" collapsed="false">
      <c r="A15644" s="10" t="n">
        <f aca="false">Einstellungen!$B$5+INT((ROW()-9)/24)</f>
        <v>46617</v>
      </c>
      <c r="B15644" s="11" t="n">
        <f aca="false">MOD(ROW()-9,24)</f>
        <v>11</v>
      </c>
      <c r="C15644" s="12"/>
      <c r="D15644" s="13" t="n">
        <f aca="false">IF(B15644&lt;5,Einstellungen!$B$3,Einstellungen!$B$4)</f>
        <v>29.13</v>
      </c>
      <c r="E15644" s="14" t="str">
        <f aca="false">IF(C15644="","",C15644*D15644/100)</f>
        <v/>
      </c>
      <c r="F15644" s="15" t="str">
        <f aca="false">IF(B15644&lt;5,"Go","Standard")</f>
        <v>Standard</v>
      </c>
    </row>
    <row r="15645" customFormat="false" ht="15" hidden="false" customHeight="true" outlineLevel="0" collapsed="false">
      <c r="A15645" s="10" t="n">
        <f aca="false">Einstellungen!$B$5+INT((ROW()-9)/24)</f>
        <v>46617</v>
      </c>
      <c r="B15645" s="11" t="n">
        <f aca="false">MOD(ROW()-9,24)</f>
        <v>12</v>
      </c>
      <c r="C15645" s="12"/>
      <c r="D15645" s="13" t="n">
        <f aca="false">IF(B15645&lt;5,Einstellungen!$B$3,Einstellungen!$B$4)</f>
        <v>29.13</v>
      </c>
      <c r="E15645" s="14" t="str">
        <f aca="false">IF(C15645="","",C15645*D15645/100)</f>
        <v/>
      </c>
      <c r="F15645" s="15" t="str">
        <f aca="false">IF(B15645&lt;5,"Go","Standard")</f>
        <v>Standard</v>
      </c>
    </row>
    <row r="15646" customFormat="false" ht="15" hidden="false" customHeight="true" outlineLevel="0" collapsed="false">
      <c r="A15646" s="10" t="n">
        <f aca="false">Einstellungen!$B$5+INT((ROW()-9)/24)</f>
        <v>46617</v>
      </c>
      <c r="B15646" s="11" t="n">
        <f aca="false">MOD(ROW()-9,24)</f>
        <v>13</v>
      </c>
      <c r="C15646" s="12"/>
      <c r="D15646" s="13" t="n">
        <f aca="false">IF(B15646&lt;5,Einstellungen!$B$3,Einstellungen!$B$4)</f>
        <v>29.13</v>
      </c>
      <c r="E15646" s="14" t="str">
        <f aca="false">IF(C15646="","",C15646*D15646/100)</f>
        <v/>
      </c>
      <c r="F15646" s="15" t="str">
        <f aca="false">IF(B15646&lt;5,"Go","Standard")</f>
        <v>Standard</v>
      </c>
    </row>
    <row r="15647" customFormat="false" ht="15" hidden="false" customHeight="true" outlineLevel="0" collapsed="false">
      <c r="A15647" s="10" t="n">
        <f aca="false">Einstellungen!$B$5+INT((ROW()-9)/24)</f>
        <v>46617</v>
      </c>
      <c r="B15647" s="11" t="n">
        <f aca="false">MOD(ROW()-9,24)</f>
        <v>14</v>
      </c>
      <c r="C15647" s="12"/>
      <c r="D15647" s="13" t="n">
        <f aca="false">IF(B15647&lt;5,Einstellungen!$B$3,Einstellungen!$B$4)</f>
        <v>29.13</v>
      </c>
      <c r="E15647" s="14" t="str">
        <f aca="false">IF(C15647="","",C15647*D15647/100)</f>
        <v/>
      </c>
      <c r="F15647" s="15" t="str">
        <f aca="false">IF(B15647&lt;5,"Go","Standard")</f>
        <v>Standard</v>
      </c>
    </row>
    <row r="15648" customFormat="false" ht="15" hidden="false" customHeight="true" outlineLevel="0" collapsed="false">
      <c r="A15648" s="10" t="n">
        <f aca="false">Einstellungen!$B$5+INT((ROW()-9)/24)</f>
        <v>46617</v>
      </c>
      <c r="B15648" s="11" t="n">
        <f aca="false">MOD(ROW()-9,24)</f>
        <v>15</v>
      </c>
      <c r="C15648" s="12"/>
      <c r="D15648" s="13" t="n">
        <f aca="false">IF(B15648&lt;5,Einstellungen!$B$3,Einstellungen!$B$4)</f>
        <v>29.13</v>
      </c>
      <c r="E15648" s="14" t="str">
        <f aca="false">IF(C15648="","",C15648*D15648/100)</f>
        <v/>
      </c>
      <c r="F15648" s="15" t="str">
        <f aca="false">IF(B15648&lt;5,"Go","Standard")</f>
        <v>Standard</v>
      </c>
    </row>
    <row r="15649" customFormat="false" ht="15" hidden="false" customHeight="true" outlineLevel="0" collapsed="false">
      <c r="A15649" s="10" t="n">
        <f aca="false">Einstellungen!$B$5+INT((ROW()-9)/24)</f>
        <v>46617</v>
      </c>
      <c r="B15649" s="11" t="n">
        <f aca="false">MOD(ROW()-9,24)</f>
        <v>16</v>
      </c>
      <c r="C15649" s="12"/>
      <c r="D15649" s="13" t="n">
        <f aca="false">IF(B15649&lt;5,Einstellungen!$B$3,Einstellungen!$B$4)</f>
        <v>29.13</v>
      </c>
      <c r="E15649" s="14" t="str">
        <f aca="false">IF(C15649="","",C15649*D15649/100)</f>
        <v/>
      </c>
      <c r="F15649" s="15" t="str">
        <f aca="false">IF(B15649&lt;5,"Go","Standard")</f>
        <v>Standard</v>
      </c>
    </row>
    <row r="15650" customFormat="false" ht="15" hidden="false" customHeight="true" outlineLevel="0" collapsed="false">
      <c r="A15650" s="10" t="n">
        <f aca="false">Einstellungen!$B$5+INT((ROW()-9)/24)</f>
        <v>46617</v>
      </c>
      <c r="B15650" s="11" t="n">
        <f aca="false">MOD(ROW()-9,24)</f>
        <v>17</v>
      </c>
      <c r="C15650" s="12"/>
      <c r="D15650" s="13" t="n">
        <f aca="false">IF(B15650&lt;5,Einstellungen!$B$3,Einstellungen!$B$4)</f>
        <v>29.13</v>
      </c>
      <c r="E15650" s="14" t="str">
        <f aca="false">IF(C15650="","",C15650*D15650/100)</f>
        <v/>
      </c>
      <c r="F15650" s="15" t="str">
        <f aca="false">IF(B15650&lt;5,"Go","Standard")</f>
        <v>Standard</v>
      </c>
    </row>
    <row r="15651" customFormat="false" ht="15" hidden="false" customHeight="true" outlineLevel="0" collapsed="false">
      <c r="A15651" s="10" t="n">
        <f aca="false">Einstellungen!$B$5+INT((ROW()-9)/24)</f>
        <v>46617</v>
      </c>
      <c r="B15651" s="11" t="n">
        <f aca="false">MOD(ROW()-9,24)</f>
        <v>18</v>
      </c>
      <c r="C15651" s="12"/>
      <c r="D15651" s="13" t="n">
        <f aca="false">IF(B15651&lt;5,Einstellungen!$B$3,Einstellungen!$B$4)</f>
        <v>29.13</v>
      </c>
      <c r="E15651" s="14" t="str">
        <f aca="false">IF(C15651="","",C15651*D15651/100)</f>
        <v/>
      </c>
      <c r="F15651" s="15" t="str">
        <f aca="false">IF(B15651&lt;5,"Go","Standard")</f>
        <v>Standard</v>
      </c>
    </row>
    <row r="15652" customFormat="false" ht="15" hidden="false" customHeight="true" outlineLevel="0" collapsed="false">
      <c r="A15652" s="10" t="n">
        <f aca="false">Einstellungen!$B$5+INT((ROW()-9)/24)</f>
        <v>46617</v>
      </c>
      <c r="B15652" s="11" t="n">
        <f aca="false">MOD(ROW()-9,24)</f>
        <v>19</v>
      </c>
      <c r="C15652" s="12"/>
      <c r="D15652" s="13" t="n">
        <f aca="false">IF(B15652&lt;5,Einstellungen!$B$3,Einstellungen!$B$4)</f>
        <v>29.13</v>
      </c>
      <c r="E15652" s="14" t="str">
        <f aca="false">IF(C15652="","",C15652*D15652/100)</f>
        <v/>
      </c>
      <c r="F15652" s="15" t="str">
        <f aca="false">IF(B15652&lt;5,"Go","Standard")</f>
        <v>Standard</v>
      </c>
    </row>
    <row r="15653" customFormat="false" ht="15" hidden="false" customHeight="true" outlineLevel="0" collapsed="false">
      <c r="A15653" s="10" t="n">
        <f aca="false">Einstellungen!$B$5+INT((ROW()-9)/24)</f>
        <v>46617</v>
      </c>
      <c r="B15653" s="11" t="n">
        <f aca="false">MOD(ROW()-9,24)</f>
        <v>20</v>
      </c>
      <c r="C15653" s="12"/>
      <c r="D15653" s="13" t="n">
        <f aca="false">IF(B15653&lt;5,Einstellungen!$B$3,Einstellungen!$B$4)</f>
        <v>29.13</v>
      </c>
      <c r="E15653" s="14" t="str">
        <f aca="false">IF(C15653="","",C15653*D15653/100)</f>
        <v/>
      </c>
      <c r="F15653" s="15" t="str">
        <f aca="false">IF(B15653&lt;5,"Go","Standard")</f>
        <v>Standard</v>
      </c>
    </row>
    <row r="15654" customFormat="false" ht="15" hidden="false" customHeight="true" outlineLevel="0" collapsed="false">
      <c r="A15654" s="10" t="n">
        <f aca="false">Einstellungen!$B$5+INT((ROW()-9)/24)</f>
        <v>46617</v>
      </c>
      <c r="B15654" s="11" t="n">
        <f aca="false">MOD(ROW()-9,24)</f>
        <v>21</v>
      </c>
      <c r="C15654" s="12"/>
      <c r="D15654" s="13" t="n">
        <f aca="false">IF(B15654&lt;5,Einstellungen!$B$3,Einstellungen!$B$4)</f>
        <v>29.13</v>
      </c>
      <c r="E15654" s="14" t="str">
        <f aca="false">IF(C15654="","",C15654*D15654/100)</f>
        <v/>
      </c>
      <c r="F15654" s="15" t="str">
        <f aca="false">IF(B15654&lt;5,"Go","Standard")</f>
        <v>Standard</v>
      </c>
    </row>
    <row r="15655" customFormat="false" ht="15" hidden="false" customHeight="true" outlineLevel="0" collapsed="false">
      <c r="A15655" s="10" t="n">
        <f aca="false">Einstellungen!$B$5+INT((ROW()-9)/24)</f>
        <v>46617</v>
      </c>
      <c r="B15655" s="11" t="n">
        <f aca="false">MOD(ROW()-9,24)</f>
        <v>22</v>
      </c>
      <c r="C15655" s="12"/>
      <c r="D15655" s="13" t="n">
        <f aca="false">IF(B15655&lt;5,Einstellungen!$B$3,Einstellungen!$B$4)</f>
        <v>29.13</v>
      </c>
      <c r="E15655" s="14" t="str">
        <f aca="false">IF(C15655="","",C15655*D15655/100)</f>
        <v/>
      </c>
      <c r="F15655" s="15" t="str">
        <f aca="false">IF(B15655&lt;5,"Go","Standard")</f>
        <v>Standard</v>
      </c>
    </row>
    <row r="15656" customFormat="false" ht="15" hidden="false" customHeight="true" outlineLevel="0" collapsed="false">
      <c r="A15656" s="10" t="n">
        <f aca="false">Einstellungen!$B$5+INT((ROW()-9)/24)</f>
        <v>46617</v>
      </c>
      <c r="B15656" s="11" t="n">
        <f aca="false">MOD(ROW()-9,24)</f>
        <v>23</v>
      </c>
      <c r="C15656" s="12"/>
      <c r="D15656" s="13" t="n">
        <f aca="false">IF(B15656&lt;5,Einstellungen!$B$3,Einstellungen!$B$4)</f>
        <v>29.13</v>
      </c>
      <c r="E15656" s="14" t="str">
        <f aca="false">IF(C15656="","",C15656*D15656/100)</f>
        <v/>
      </c>
      <c r="F15656" s="15" t="str">
        <f aca="false">IF(B15656&lt;5,"Go","Standard")</f>
        <v>Standard</v>
      </c>
    </row>
    <row r="15657" customFormat="false" ht="15" hidden="false" customHeight="true" outlineLevel="0" collapsed="false">
      <c r="A15657" s="10" t="n">
        <f aca="false">Einstellungen!$B$5+INT((ROW()-9)/24)</f>
        <v>46618</v>
      </c>
      <c r="B15657" s="11" t="n">
        <f aca="false">MOD(ROW()-9,24)</f>
        <v>0</v>
      </c>
      <c r="C15657" s="12"/>
      <c r="D15657" s="13" t="n">
        <f aca="false">IF(B15657&lt;5,Einstellungen!$B$3,Einstellungen!$B$4)</f>
        <v>15.92</v>
      </c>
      <c r="E15657" s="14" t="str">
        <f aca="false">IF(C15657="","",C15657*D15657/100)</f>
        <v/>
      </c>
      <c r="F15657" s="15" t="str">
        <f aca="false">IF(B15657&lt;5,"Go","Standard")</f>
        <v>Go</v>
      </c>
    </row>
    <row r="15658" customFormat="false" ht="15" hidden="false" customHeight="true" outlineLevel="0" collapsed="false">
      <c r="A15658" s="10" t="n">
        <f aca="false">Einstellungen!$B$5+INT((ROW()-9)/24)</f>
        <v>46618</v>
      </c>
      <c r="B15658" s="11" t="n">
        <f aca="false">MOD(ROW()-9,24)</f>
        <v>1</v>
      </c>
      <c r="C15658" s="12"/>
      <c r="D15658" s="13" t="n">
        <f aca="false">IF(B15658&lt;5,Einstellungen!$B$3,Einstellungen!$B$4)</f>
        <v>15.92</v>
      </c>
      <c r="E15658" s="14" t="str">
        <f aca="false">IF(C15658="","",C15658*D15658/100)</f>
        <v/>
      </c>
      <c r="F15658" s="15" t="str">
        <f aca="false">IF(B15658&lt;5,"Go","Standard")</f>
        <v>Go</v>
      </c>
    </row>
    <row r="15659" customFormat="false" ht="15" hidden="false" customHeight="true" outlineLevel="0" collapsed="false">
      <c r="A15659" s="10" t="n">
        <f aca="false">Einstellungen!$B$5+INT((ROW()-9)/24)</f>
        <v>46618</v>
      </c>
      <c r="B15659" s="11" t="n">
        <f aca="false">MOD(ROW()-9,24)</f>
        <v>2</v>
      </c>
      <c r="C15659" s="12"/>
      <c r="D15659" s="13" t="n">
        <f aca="false">IF(B15659&lt;5,Einstellungen!$B$3,Einstellungen!$B$4)</f>
        <v>15.92</v>
      </c>
      <c r="E15659" s="14" t="str">
        <f aca="false">IF(C15659="","",C15659*D15659/100)</f>
        <v/>
      </c>
      <c r="F15659" s="15" t="str">
        <f aca="false">IF(B15659&lt;5,"Go","Standard")</f>
        <v>Go</v>
      </c>
    </row>
    <row r="15660" customFormat="false" ht="15" hidden="false" customHeight="true" outlineLevel="0" collapsed="false">
      <c r="A15660" s="10" t="n">
        <f aca="false">Einstellungen!$B$5+INT((ROW()-9)/24)</f>
        <v>46618</v>
      </c>
      <c r="B15660" s="11" t="n">
        <f aca="false">MOD(ROW()-9,24)</f>
        <v>3</v>
      </c>
      <c r="C15660" s="12"/>
      <c r="D15660" s="13" t="n">
        <f aca="false">IF(B15660&lt;5,Einstellungen!$B$3,Einstellungen!$B$4)</f>
        <v>15.92</v>
      </c>
      <c r="E15660" s="14" t="str">
        <f aca="false">IF(C15660="","",C15660*D15660/100)</f>
        <v/>
      </c>
      <c r="F15660" s="15" t="str">
        <f aca="false">IF(B15660&lt;5,"Go","Standard")</f>
        <v>Go</v>
      </c>
    </row>
    <row r="15661" customFormat="false" ht="15" hidden="false" customHeight="true" outlineLevel="0" collapsed="false">
      <c r="A15661" s="10" t="n">
        <f aca="false">Einstellungen!$B$5+INT((ROW()-9)/24)</f>
        <v>46618</v>
      </c>
      <c r="B15661" s="11" t="n">
        <f aca="false">MOD(ROW()-9,24)</f>
        <v>4</v>
      </c>
      <c r="C15661" s="12"/>
      <c r="D15661" s="13" t="n">
        <f aca="false">IF(B15661&lt;5,Einstellungen!$B$3,Einstellungen!$B$4)</f>
        <v>15.92</v>
      </c>
      <c r="E15661" s="14" t="str">
        <f aca="false">IF(C15661="","",C15661*D15661/100)</f>
        <v/>
      </c>
      <c r="F15661" s="15" t="str">
        <f aca="false">IF(B15661&lt;5,"Go","Standard")</f>
        <v>Go</v>
      </c>
    </row>
    <row r="15662" customFormat="false" ht="15" hidden="false" customHeight="true" outlineLevel="0" collapsed="false">
      <c r="A15662" s="10" t="n">
        <f aca="false">Einstellungen!$B$5+INT((ROW()-9)/24)</f>
        <v>46618</v>
      </c>
      <c r="B15662" s="11" t="n">
        <f aca="false">MOD(ROW()-9,24)</f>
        <v>5</v>
      </c>
      <c r="C15662" s="12"/>
      <c r="D15662" s="13" t="n">
        <f aca="false">IF(B15662&lt;5,Einstellungen!$B$3,Einstellungen!$B$4)</f>
        <v>29.13</v>
      </c>
      <c r="E15662" s="14" t="str">
        <f aca="false">IF(C15662="","",C15662*D15662/100)</f>
        <v/>
      </c>
      <c r="F15662" s="15" t="str">
        <f aca="false">IF(B15662&lt;5,"Go","Standard")</f>
        <v>Standard</v>
      </c>
    </row>
    <row r="15663" customFormat="false" ht="15" hidden="false" customHeight="true" outlineLevel="0" collapsed="false">
      <c r="A15663" s="10" t="n">
        <f aca="false">Einstellungen!$B$5+INT((ROW()-9)/24)</f>
        <v>46618</v>
      </c>
      <c r="B15663" s="11" t="n">
        <f aca="false">MOD(ROW()-9,24)</f>
        <v>6</v>
      </c>
      <c r="C15663" s="12"/>
      <c r="D15663" s="13" t="n">
        <f aca="false">IF(B15663&lt;5,Einstellungen!$B$3,Einstellungen!$B$4)</f>
        <v>29.13</v>
      </c>
      <c r="E15663" s="14" t="str">
        <f aca="false">IF(C15663="","",C15663*D15663/100)</f>
        <v/>
      </c>
      <c r="F15663" s="15" t="str">
        <f aca="false">IF(B15663&lt;5,"Go","Standard")</f>
        <v>Standard</v>
      </c>
    </row>
    <row r="15664" customFormat="false" ht="15" hidden="false" customHeight="true" outlineLevel="0" collapsed="false">
      <c r="A15664" s="10" t="n">
        <f aca="false">Einstellungen!$B$5+INT((ROW()-9)/24)</f>
        <v>46618</v>
      </c>
      <c r="B15664" s="11" t="n">
        <f aca="false">MOD(ROW()-9,24)</f>
        <v>7</v>
      </c>
      <c r="C15664" s="12"/>
      <c r="D15664" s="13" t="n">
        <f aca="false">IF(B15664&lt;5,Einstellungen!$B$3,Einstellungen!$B$4)</f>
        <v>29.13</v>
      </c>
      <c r="E15664" s="14" t="str">
        <f aca="false">IF(C15664="","",C15664*D15664/100)</f>
        <v/>
      </c>
      <c r="F15664" s="15" t="str">
        <f aca="false">IF(B15664&lt;5,"Go","Standard")</f>
        <v>Standard</v>
      </c>
    </row>
    <row r="15665" customFormat="false" ht="15" hidden="false" customHeight="true" outlineLevel="0" collapsed="false">
      <c r="A15665" s="10" t="n">
        <f aca="false">Einstellungen!$B$5+INT((ROW()-9)/24)</f>
        <v>46618</v>
      </c>
      <c r="B15665" s="11" t="n">
        <f aca="false">MOD(ROW()-9,24)</f>
        <v>8</v>
      </c>
      <c r="C15665" s="12"/>
      <c r="D15665" s="13" t="n">
        <f aca="false">IF(B15665&lt;5,Einstellungen!$B$3,Einstellungen!$B$4)</f>
        <v>29.13</v>
      </c>
      <c r="E15665" s="14" t="str">
        <f aca="false">IF(C15665="","",C15665*D15665/100)</f>
        <v/>
      </c>
      <c r="F15665" s="15" t="str">
        <f aca="false">IF(B15665&lt;5,"Go","Standard")</f>
        <v>Standard</v>
      </c>
    </row>
    <row r="15666" customFormat="false" ht="15" hidden="false" customHeight="true" outlineLevel="0" collapsed="false">
      <c r="A15666" s="10" t="n">
        <f aca="false">Einstellungen!$B$5+INT((ROW()-9)/24)</f>
        <v>46618</v>
      </c>
      <c r="B15666" s="11" t="n">
        <f aca="false">MOD(ROW()-9,24)</f>
        <v>9</v>
      </c>
      <c r="C15666" s="12"/>
      <c r="D15666" s="13" t="n">
        <f aca="false">IF(B15666&lt;5,Einstellungen!$B$3,Einstellungen!$B$4)</f>
        <v>29.13</v>
      </c>
      <c r="E15666" s="14" t="str">
        <f aca="false">IF(C15666="","",C15666*D15666/100)</f>
        <v/>
      </c>
      <c r="F15666" s="15" t="str">
        <f aca="false">IF(B15666&lt;5,"Go","Standard")</f>
        <v>Standard</v>
      </c>
    </row>
    <row r="15667" customFormat="false" ht="15" hidden="false" customHeight="true" outlineLevel="0" collapsed="false">
      <c r="A15667" s="10" t="n">
        <f aca="false">Einstellungen!$B$5+INT((ROW()-9)/24)</f>
        <v>46618</v>
      </c>
      <c r="B15667" s="11" t="n">
        <f aca="false">MOD(ROW()-9,24)</f>
        <v>10</v>
      </c>
      <c r="C15667" s="12"/>
      <c r="D15667" s="13" t="n">
        <f aca="false">IF(B15667&lt;5,Einstellungen!$B$3,Einstellungen!$B$4)</f>
        <v>29.13</v>
      </c>
      <c r="E15667" s="14" t="str">
        <f aca="false">IF(C15667="","",C15667*D15667/100)</f>
        <v/>
      </c>
      <c r="F15667" s="15" t="str">
        <f aca="false">IF(B15667&lt;5,"Go","Standard")</f>
        <v>Standard</v>
      </c>
    </row>
    <row r="15668" customFormat="false" ht="15" hidden="false" customHeight="true" outlineLevel="0" collapsed="false">
      <c r="A15668" s="10" t="n">
        <f aca="false">Einstellungen!$B$5+INT((ROW()-9)/24)</f>
        <v>46618</v>
      </c>
      <c r="B15668" s="11" t="n">
        <f aca="false">MOD(ROW()-9,24)</f>
        <v>11</v>
      </c>
      <c r="C15668" s="12"/>
      <c r="D15668" s="13" t="n">
        <f aca="false">IF(B15668&lt;5,Einstellungen!$B$3,Einstellungen!$B$4)</f>
        <v>29.13</v>
      </c>
      <c r="E15668" s="14" t="str">
        <f aca="false">IF(C15668="","",C15668*D15668/100)</f>
        <v/>
      </c>
      <c r="F15668" s="15" t="str">
        <f aca="false">IF(B15668&lt;5,"Go","Standard")</f>
        <v>Standard</v>
      </c>
    </row>
    <row r="15669" customFormat="false" ht="15" hidden="false" customHeight="true" outlineLevel="0" collapsed="false">
      <c r="A15669" s="10" t="n">
        <f aca="false">Einstellungen!$B$5+INT((ROW()-9)/24)</f>
        <v>46618</v>
      </c>
      <c r="B15669" s="11" t="n">
        <f aca="false">MOD(ROW()-9,24)</f>
        <v>12</v>
      </c>
      <c r="C15669" s="12"/>
      <c r="D15669" s="13" t="n">
        <f aca="false">IF(B15669&lt;5,Einstellungen!$B$3,Einstellungen!$B$4)</f>
        <v>29.13</v>
      </c>
      <c r="E15669" s="14" t="str">
        <f aca="false">IF(C15669="","",C15669*D15669/100)</f>
        <v/>
      </c>
      <c r="F15669" s="15" t="str">
        <f aca="false">IF(B15669&lt;5,"Go","Standard")</f>
        <v>Standard</v>
      </c>
    </row>
    <row r="15670" customFormat="false" ht="15" hidden="false" customHeight="true" outlineLevel="0" collapsed="false">
      <c r="A15670" s="10" t="n">
        <f aca="false">Einstellungen!$B$5+INT((ROW()-9)/24)</f>
        <v>46618</v>
      </c>
      <c r="B15670" s="11" t="n">
        <f aca="false">MOD(ROW()-9,24)</f>
        <v>13</v>
      </c>
      <c r="C15670" s="12"/>
      <c r="D15670" s="13" t="n">
        <f aca="false">IF(B15670&lt;5,Einstellungen!$B$3,Einstellungen!$B$4)</f>
        <v>29.13</v>
      </c>
      <c r="E15670" s="14" t="str">
        <f aca="false">IF(C15670="","",C15670*D15670/100)</f>
        <v/>
      </c>
      <c r="F15670" s="15" t="str">
        <f aca="false">IF(B15670&lt;5,"Go","Standard")</f>
        <v>Standard</v>
      </c>
    </row>
    <row r="15671" customFormat="false" ht="15" hidden="false" customHeight="true" outlineLevel="0" collapsed="false">
      <c r="A15671" s="10" t="n">
        <f aca="false">Einstellungen!$B$5+INT((ROW()-9)/24)</f>
        <v>46618</v>
      </c>
      <c r="B15671" s="11" t="n">
        <f aca="false">MOD(ROW()-9,24)</f>
        <v>14</v>
      </c>
      <c r="C15671" s="12"/>
      <c r="D15671" s="13" t="n">
        <f aca="false">IF(B15671&lt;5,Einstellungen!$B$3,Einstellungen!$B$4)</f>
        <v>29.13</v>
      </c>
      <c r="E15671" s="14" t="str">
        <f aca="false">IF(C15671="","",C15671*D15671/100)</f>
        <v/>
      </c>
      <c r="F15671" s="15" t="str">
        <f aca="false">IF(B15671&lt;5,"Go","Standard")</f>
        <v>Standard</v>
      </c>
    </row>
    <row r="15672" customFormat="false" ht="15" hidden="false" customHeight="true" outlineLevel="0" collapsed="false">
      <c r="A15672" s="10" t="n">
        <f aca="false">Einstellungen!$B$5+INT((ROW()-9)/24)</f>
        <v>46618</v>
      </c>
      <c r="B15672" s="11" t="n">
        <f aca="false">MOD(ROW()-9,24)</f>
        <v>15</v>
      </c>
      <c r="C15672" s="12"/>
      <c r="D15672" s="13" t="n">
        <f aca="false">IF(B15672&lt;5,Einstellungen!$B$3,Einstellungen!$B$4)</f>
        <v>29.13</v>
      </c>
      <c r="E15672" s="14" t="str">
        <f aca="false">IF(C15672="","",C15672*D15672/100)</f>
        <v/>
      </c>
      <c r="F15672" s="15" t="str">
        <f aca="false">IF(B15672&lt;5,"Go","Standard")</f>
        <v>Standard</v>
      </c>
    </row>
    <row r="15673" customFormat="false" ht="15" hidden="false" customHeight="true" outlineLevel="0" collapsed="false">
      <c r="A15673" s="10" t="n">
        <f aca="false">Einstellungen!$B$5+INT((ROW()-9)/24)</f>
        <v>46618</v>
      </c>
      <c r="B15673" s="11" t="n">
        <f aca="false">MOD(ROW()-9,24)</f>
        <v>16</v>
      </c>
      <c r="C15673" s="12"/>
      <c r="D15673" s="13" t="n">
        <f aca="false">IF(B15673&lt;5,Einstellungen!$B$3,Einstellungen!$B$4)</f>
        <v>29.13</v>
      </c>
      <c r="E15673" s="14" t="str">
        <f aca="false">IF(C15673="","",C15673*D15673/100)</f>
        <v/>
      </c>
      <c r="F15673" s="15" t="str">
        <f aca="false">IF(B15673&lt;5,"Go","Standard")</f>
        <v>Standard</v>
      </c>
    </row>
    <row r="15674" customFormat="false" ht="15" hidden="false" customHeight="true" outlineLevel="0" collapsed="false">
      <c r="A15674" s="10" t="n">
        <f aca="false">Einstellungen!$B$5+INT((ROW()-9)/24)</f>
        <v>46618</v>
      </c>
      <c r="B15674" s="11" t="n">
        <f aca="false">MOD(ROW()-9,24)</f>
        <v>17</v>
      </c>
      <c r="C15674" s="12"/>
      <c r="D15674" s="13" t="n">
        <f aca="false">IF(B15674&lt;5,Einstellungen!$B$3,Einstellungen!$B$4)</f>
        <v>29.13</v>
      </c>
      <c r="E15674" s="14" t="str">
        <f aca="false">IF(C15674="","",C15674*D15674/100)</f>
        <v/>
      </c>
      <c r="F15674" s="15" t="str">
        <f aca="false">IF(B15674&lt;5,"Go","Standard")</f>
        <v>Standard</v>
      </c>
    </row>
    <row r="15675" customFormat="false" ht="15" hidden="false" customHeight="true" outlineLevel="0" collapsed="false">
      <c r="A15675" s="10" t="n">
        <f aca="false">Einstellungen!$B$5+INT((ROW()-9)/24)</f>
        <v>46618</v>
      </c>
      <c r="B15675" s="11" t="n">
        <f aca="false">MOD(ROW()-9,24)</f>
        <v>18</v>
      </c>
      <c r="C15675" s="12"/>
      <c r="D15675" s="13" t="n">
        <f aca="false">IF(B15675&lt;5,Einstellungen!$B$3,Einstellungen!$B$4)</f>
        <v>29.13</v>
      </c>
      <c r="E15675" s="14" t="str">
        <f aca="false">IF(C15675="","",C15675*D15675/100)</f>
        <v/>
      </c>
      <c r="F15675" s="15" t="str">
        <f aca="false">IF(B15675&lt;5,"Go","Standard")</f>
        <v>Standard</v>
      </c>
    </row>
    <row r="15676" customFormat="false" ht="15" hidden="false" customHeight="true" outlineLevel="0" collapsed="false">
      <c r="A15676" s="10" t="n">
        <f aca="false">Einstellungen!$B$5+INT((ROW()-9)/24)</f>
        <v>46618</v>
      </c>
      <c r="B15676" s="11" t="n">
        <f aca="false">MOD(ROW()-9,24)</f>
        <v>19</v>
      </c>
      <c r="C15676" s="12"/>
      <c r="D15676" s="13" t="n">
        <f aca="false">IF(B15676&lt;5,Einstellungen!$B$3,Einstellungen!$B$4)</f>
        <v>29.13</v>
      </c>
      <c r="E15676" s="14" t="str">
        <f aca="false">IF(C15676="","",C15676*D15676/100)</f>
        <v/>
      </c>
      <c r="F15676" s="15" t="str">
        <f aca="false">IF(B15676&lt;5,"Go","Standard")</f>
        <v>Standard</v>
      </c>
    </row>
    <row r="15677" customFormat="false" ht="15" hidden="false" customHeight="true" outlineLevel="0" collapsed="false">
      <c r="A15677" s="10" t="n">
        <f aca="false">Einstellungen!$B$5+INT((ROW()-9)/24)</f>
        <v>46618</v>
      </c>
      <c r="B15677" s="11" t="n">
        <f aca="false">MOD(ROW()-9,24)</f>
        <v>20</v>
      </c>
      <c r="C15677" s="12"/>
      <c r="D15677" s="13" t="n">
        <f aca="false">IF(B15677&lt;5,Einstellungen!$B$3,Einstellungen!$B$4)</f>
        <v>29.13</v>
      </c>
      <c r="E15677" s="14" t="str">
        <f aca="false">IF(C15677="","",C15677*D15677/100)</f>
        <v/>
      </c>
      <c r="F15677" s="15" t="str">
        <f aca="false">IF(B15677&lt;5,"Go","Standard")</f>
        <v>Standard</v>
      </c>
    </row>
    <row r="15678" customFormat="false" ht="15" hidden="false" customHeight="true" outlineLevel="0" collapsed="false">
      <c r="A15678" s="10" t="n">
        <f aca="false">Einstellungen!$B$5+INT((ROW()-9)/24)</f>
        <v>46618</v>
      </c>
      <c r="B15678" s="11" t="n">
        <f aca="false">MOD(ROW()-9,24)</f>
        <v>21</v>
      </c>
      <c r="C15678" s="12"/>
      <c r="D15678" s="13" t="n">
        <f aca="false">IF(B15678&lt;5,Einstellungen!$B$3,Einstellungen!$B$4)</f>
        <v>29.13</v>
      </c>
      <c r="E15678" s="14" t="str">
        <f aca="false">IF(C15678="","",C15678*D15678/100)</f>
        <v/>
      </c>
      <c r="F15678" s="15" t="str">
        <f aca="false">IF(B15678&lt;5,"Go","Standard")</f>
        <v>Standard</v>
      </c>
    </row>
    <row r="15679" customFormat="false" ht="15" hidden="false" customHeight="true" outlineLevel="0" collapsed="false">
      <c r="A15679" s="10" t="n">
        <f aca="false">Einstellungen!$B$5+INT((ROW()-9)/24)</f>
        <v>46618</v>
      </c>
      <c r="B15679" s="11" t="n">
        <f aca="false">MOD(ROW()-9,24)</f>
        <v>22</v>
      </c>
      <c r="C15679" s="12"/>
      <c r="D15679" s="13" t="n">
        <f aca="false">IF(B15679&lt;5,Einstellungen!$B$3,Einstellungen!$B$4)</f>
        <v>29.13</v>
      </c>
      <c r="E15679" s="14" t="str">
        <f aca="false">IF(C15679="","",C15679*D15679/100)</f>
        <v/>
      </c>
      <c r="F15679" s="15" t="str">
        <f aca="false">IF(B15679&lt;5,"Go","Standard")</f>
        <v>Standard</v>
      </c>
    </row>
    <row r="15680" customFormat="false" ht="15" hidden="false" customHeight="true" outlineLevel="0" collapsed="false">
      <c r="A15680" s="10" t="n">
        <f aca="false">Einstellungen!$B$5+INT((ROW()-9)/24)</f>
        <v>46618</v>
      </c>
      <c r="B15680" s="11" t="n">
        <f aca="false">MOD(ROW()-9,24)</f>
        <v>23</v>
      </c>
      <c r="C15680" s="12"/>
      <c r="D15680" s="13" t="n">
        <f aca="false">IF(B15680&lt;5,Einstellungen!$B$3,Einstellungen!$B$4)</f>
        <v>29.13</v>
      </c>
      <c r="E15680" s="14" t="str">
        <f aca="false">IF(C15680="","",C15680*D15680/100)</f>
        <v/>
      </c>
      <c r="F15680" s="15" t="str">
        <f aca="false">IF(B15680&lt;5,"Go","Standard")</f>
        <v>Standard</v>
      </c>
    </row>
    <row r="15681" customFormat="false" ht="15" hidden="false" customHeight="true" outlineLevel="0" collapsed="false">
      <c r="A15681" s="10" t="n">
        <f aca="false">Einstellungen!$B$5+INT((ROW()-9)/24)</f>
        <v>46619</v>
      </c>
      <c r="B15681" s="11" t="n">
        <f aca="false">MOD(ROW()-9,24)</f>
        <v>0</v>
      </c>
      <c r="C15681" s="12"/>
      <c r="D15681" s="13" t="n">
        <f aca="false">IF(B15681&lt;5,Einstellungen!$B$3,Einstellungen!$B$4)</f>
        <v>15.92</v>
      </c>
      <c r="E15681" s="14" t="str">
        <f aca="false">IF(C15681="","",C15681*D15681/100)</f>
        <v/>
      </c>
      <c r="F15681" s="15" t="str">
        <f aca="false">IF(B15681&lt;5,"Go","Standard")</f>
        <v>Go</v>
      </c>
    </row>
    <row r="15682" customFormat="false" ht="15" hidden="false" customHeight="true" outlineLevel="0" collapsed="false">
      <c r="A15682" s="10" t="n">
        <f aca="false">Einstellungen!$B$5+INT((ROW()-9)/24)</f>
        <v>46619</v>
      </c>
      <c r="B15682" s="11" t="n">
        <f aca="false">MOD(ROW()-9,24)</f>
        <v>1</v>
      </c>
      <c r="C15682" s="12"/>
      <c r="D15682" s="13" t="n">
        <f aca="false">IF(B15682&lt;5,Einstellungen!$B$3,Einstellungen!$B$4)</f>
        <v>15.92</v>
      </c>
      <c r="E15682" s="14" t="str">
        <f aca="false">IF(C15682="","",C15682*D15682/100)</f>
        <v/>
      </c>
      <c r="F15682" s="15" t="str">
        <f aca="false">IF(B15682&lt;5,"Go","Standard")</f>
        <v>Go</v>
      </c>
    </row>
    <row r="15683" customFormat="false" ht="15" hidden="false" customHeight="true" outlineLevel="0" collapsed="false">
      <c r="A15683" s="10" t="n">
        <f aca="false">Einstellungen!$B$5+INT((ROW()-9)/24)</f>
        <v>46619</v>
      </c>
      <c r="B15683" s="11" t="n">
        <f aca="false">MOD(ROW()-9,24)</f>
        <v>2</v>
      </c>
      <c r="C15683" s="12"/>
      <c r="D15683" s="13" t="n">
        <f aca="false">IF(B15683&lt;5,Einstellungen!$B$3,Einstellungen!$B$4)</f>
        <v>15.92</v>
      </c>
      <c r="E15683" s="14" t="str">
        <f aca="false">IF(C15683="","",C15683*D15683/100)</f>
        <v/>
      </c>
      <c r="F15683" s="15" t="str">
        <f aca="false">IF(B15683&lt;5,"Go","Standard")</f>
        <v>Go</v>
      </c>
    </row>
    <row r="15684" customFormat="false" ht="15" hidden="false" customHeight="true" outlineLevel="0" collapsed="false">
      <c r="A15684" s="10" t="n">
        <f aca="false">Einstellungen!$B$5+INT((ROW()-9)/24)</f>
        <v>46619</v>
      </c>
      <c r="B15684" s="11" t="n">
        <f aca="false">MOD(ROW()-9,24)</f>
        <v>3</v>
      </c>
      <c r="C15684" s="12"/>
      <c r="D15684" s="13" t="n">
        <f aca="false">IF(B15684&lt;5,Einstellungen!$B$3,Einstellungen!$B$4)</f>
        <v>15.92</v>
      </c>
      <c r="E15684" s="14" t="str">
        <f aca="false">IF(C15684="","",C15684*D15684/100)</f>
        <v/>
      </c>
      <c r="F15684" s="15" t="str">
        <f aca="false">IF(B15684&lt;5,"Go","Standard")</f>
        <v>Go</v>
      </c>
    </row>
    <row r="15685" customFormat="false" ht="15" hidden="false" customHeight="true" outlineLevel="0" collapsed="false">
      <c r="A15685" s="10" t="n">
        <f aca="false">Einstellungen!$B$5+INT((ROW()-9)/24)</f>
        <v>46619</v>
      </c>
      <c r="B15685" s="11" t="n">
        <f aca="false">MOD(ROW()-9,24)</f>
        <v>4</v>
      </c>
      <c r="C15685" s="12"/>
      <c r="D15685" s="13" t="n">
        <f aca="false">IF(B15685&lt;5,Einstellungen!$B$3,Einstellungen!$B$4)</f>
        <v>15.92</v>
      </c>
      <c r="E15685" s="14" t="str">
        <f aca="false">IF(C15685="","",C15685*D15685/100)</f>
        <v/>
      </c>
      <c r="F15685" s="15" t="str">
        <f aca="false">IF(B15685&lt;5,"Go","Standard")</f>
        <v>Go</v>
      </c>
    </row>
    <row r="15686" customFormat="false" ht="15" hidden="false" customHeight="true" outlineLevel="0" collapsed="false">
      <c r="A15686" s="10" t="n">
        <f aca="false">Einstellungen!$B$5+INT((ROW()-9)/24)</f>
        <v>46619</v>
      </c>
      <c r="B15686" s="11" t="n">
        <f aca="false">MOD(ROW()-9,24)</f>
        <v>5</v>
      </c>
      <c r="C15686" s="12"/>
      <c r="D15686" s="13" t="n">
        <f aca="false">IF(B15686&lt;5,Einstellungen!$B$3,Einstellungen!$B$4)</f>
        <v>29.13</v>
      </c>
      <c r="E15686" s="14" t="str">
        <f aca="false">IF(C15686="","",C15686*D15686/100)</f>
        <v/>
      </c>
      <c r="F15686" s="15" t="str">
        <f aca="false">IF(B15686&lt;5,"Go","Standard")</f>
        <v>Standard</v>
      </c>
    </row>
    <row r="15687" customFormat="false" ht="15" hidden="false" customHeight="true" outlineLevel="0" collapsed="false">
      <c r="A15687" s="10" t="n">
        <f aca="false">Einstellungen!$B$5+INT((ROW()-9)/24)</f>
        <v>46619</v>
      </c>
      <c r="B15687" s="11" t="n">
        <f aca="false">MOD(ROW()-9,24)</f>
        <v>6</v>
      </c>
      <c r="C15687" s="12"/>
      <c r="D15687" s="13" t="n">
        <f aca="false">IF(B15687&lt;5,Einstellungen!$B$3,Einstellungen!$B$4)</f>
        <v>29.13</v>
      </c>
      <c r="E15687" s="14" t="str">
        <f aca="false">IF(C15687="","",C15687*D15687/100)</f>
        <v/>
      </c>
      <c r="F15687" s="15" t="str">
        <f aca="false">IF(B15687&lt;5,"Go","Standard")</f>
        <v>Standard</v>
      </c>
    </row>
    <row r="15688" customFormat="false" ht="15" hidden="false" customHeight="true" outlineLevel="0" collapsed="false">
      <c r="A15688" s="10" t="n">
        <f aca="false">Einstellungen!$B$5+INT((ROW()-9)/24)</f>
        <v>46619</v>
      </c>
      <c r="B15688" s="11" t="n">
        <f aca="false">MOD(ROW()-9,24)</f>
        <v>7</v>
      </c>
      <c r="C15688" s="12"/>
      <c r="D15688" s="13" t="n">
        <f aca="false">IF(B15688&lt;5,Einstellungen!$B$3,Einstellungen!$B$4)</f>
        <v>29.13</v>
      </c>
      <c r="E15688" s="14" t="str">
        <f aca="false">IF(C15688="","",C15688*D15688/100)</f>
        <v/>
      </c>
      <c r="F15688" s="15" t="str">
        <f aca="false">IF(B15688&lt;5,"Go","Standard")</f>
        <v>Standard</v>
      </c>
    </row>
    <row r="15689" customFormat="false" ht="15" hidden="false" customHeight="true" outlineLevel="0" collapsed="false">
      <c r="A15689" s="10" t="n">
        <f aca="false">Einstellungen!$B$5+INT((ROW()-9)/24)</f>
        <v>46619</v>
      </c>
      <c r="B15689" s="11" t="n">
        <f aca="false">MOD(ROW()-9,24)</f>
        <v>8</v>
      </c>
      <c r="C15689" s="12"/>
      <c r="D15689" s="13" t="n">
        <f aca="false">IF(B15689&lt;5,Einstellungen!$B$3,Einstellungen!$B$4)</f>
        <v>29.13</v>
      </c>
      <c r="E15689" s="14" t="str">
        <f aca="false">IF(C15689="","",C15689*D15689/100)</f>
        <v/>
      </c>
      <c r="F15689" s="15" t="str">
        <f aca="false">IF(B15689&lt;5,"Go","Standard")</f>
        <v>Standard</v>
      </c>
    </row>
    <row r="15690" customFormat="false" ht="15" hidden="false" customHeight="true" outlineLevel="0" collapsed="false">
      <c r="A15690" s="10" t="n">
        <f aca="false">Einstellungen!$B$5+INT((ROW()-9)/24)</f>
        <v>46619</v>
      </c>
      <c r="B15690" s="11" t="n">
        <f aca="false">MOD(ROW()-9,24)</f>
        <v>9</v>
      </c>
      <c r="C15690" s="12"/>
      <c r="D15690" s="13" t="n">
        <f aca="false">IF(B15690&lt;5,Einstellungen!$B$3,Einstellungen!$B$4)</f>
        <v>29.13</v>
      </c>
      <c r="E15690" s="14" t="str">
        <f aca="false">IF(C15690="","",C15690*D15690/100)</f>
        <v/>
      </c>
      <c r="F15690" s="15" t="str">
        <f aca="false">IF(B15690&lt;5,"Go","Standard")</f>
        <v>Standard</v>
      </c>
    </row>
    <row r="15691" customFormat="false" ht="15" hidden="false" customHeight="true" outlineLevel="0" collapsed="false">
      <c r="A15691" s="10" t="n">
        <f aca="false">Einstellungen!$B$5+INT((ROW()-9)/24)</f>
        <v>46619</v>
      </c>
      <c r="B15691" s="11" t="n">
        <f aca="false">MOD(ROW()-9,24)</f>
        <v>10</v>
      </c>
      <c r="C15691" s="12"/>
      <c r="D15691" s="13" t="n">
        <f aca="false">IF(B15691&lt;5,Einstellungen!$B$3,Einstellungen!$B$4)</f>
        <v>29.13</v>
      </c>
      <c r="E15691" s="14" t="str">
        <f aca="false">IF(C15691="","",C15691*D15691/100)</f>
        <v/>
      </c>
      <c r="F15691" s="15" t="str">
        <f aca="false">IF(B15691&lt;5,"Go","Standard")</f>
        <v>Standard</v>
      </c>
    </row>
    <row r="15692" customFormat="false" ht="15" hidden="false" customHeight="true" outlineLevel="0" collapsed="false">
      <c r="A15692" s="10" t="n">
        <f aca="false">Einstellungen!$B$5+INT((ROW()-9)/24)</f>
        <v>46619</v>
      </c>
      <c r="B15692" s="11" t="n">
        <f aca="false">MOD(ROW()-9,24)</f>
        <v>11</v>
      </c>
      <c r="C15692" s="12"/>
      <c r="D15692" s="13" t="n">
        <f aca="false">IF(B15692&lt;5,Einstellungen!$B$3,Einstellungen!$B$4)</f>
        <v>29.13</v>
      </c>
      <c r="E15692" s="14" t="str">
        <f aca="false">IF(C15692="","",C15692*D15692/100)</f>
        <v/>
      </c>
      <c r="F15692" s="15" t="str">
        <f aca="false">IF(B15692&lt;5,"Go","Standard")</f>
        <v>Standard</v>
      </c>
    </row>
    <row r="15693" customFormat="false" ht="15" hidden="false" customHeight="true" outlineLevel="0" collapsed="false">
      <c r="A15693" s="10" t="n">
        <f aca="false">Einstellungen!$B$5+INT((ROW()-9)/24)</f>
        <v>46619</v>
      </c>
      <c r="B15693" s="11" t="n">
        <f aca="false">MOD(ROW()-9,24)</f>
        <v>12</v>
      </c>
      <c r="C15693" s="12"/>
      <c r="D15693" s="13" t="n">
        <f aca="false">IF(B15693&lt;5,Einstellungen!$B$3,Einstellungen!$B$4)</f>
        <v>29.13</v>
      </c>
      <c r="E15693" s="14" t="str">
        <f aca="false">IF(C15693="","",C15693*D15693/100)</f>
        <v/>
      </c>
      <c r="F15693" s="15" t="str">
        <f aca="false">IF(B15693&lt;5,"Go","Standard")</f>
        <v>Standard</v>
      </c>
    </row>
    <row r="15694" customFormat="false" ht="15" hidden="false" customHeight="true" outlineLevel="0" collapsed="false">
      <c r="A15694" s="10" t="n">
        <f aca="false">Einstellungen!$B$5+INT((ROW()-9)/24)</f>
        <v>46619</v>
      </c>
      <c r="B15694" s="11" t="n">
        <f aca="false">MOD(ROW()-9,24)</f>
        <v>13</v>
      </c>
      <c r="C15694" s="12"/>
      <c r="D15694" s="13" t="n">
        <f aca="false">IF(B15694&lt;5,Einstellungen!$B$3,Einstellungen!$B$4)</f>
        <v>29.13</v>
      </c>
      <c r="E15694" s="14" t="str">
        <f aca="false">IF(C15694="","",C15694*D15694/100)</f>
        <v/>
      </c>
      <c r="F15694" s="15" t="str">
        <f aca="false">IF(B15694&lt;5,"Go","Standard")</f>
        <v>Standard</v>
      </c>
    </row>
    <row r="15695" customFormat="false" ht="15" hidden="false" customHeight="true" outlineLevel="0" collapsed="false">
      <c r="A15695" s="10" t="n">
        <f aca="false">Einstellungen!$B$5+INT((ROW()-9)/24)</f>
        <v>46619</v>
      </c>
      <c r="B15695" s="11" t="n">
        <f aca="false">MOD(ROW()-9,24)</f>
        <v>14</v>
      </c>
      <c r="C15695" s="12"/>
      <c r="D15695" s="13" t="n">
        <f aca="false">IF(B15695&lt;5,Einstellungen!$B$3,Einstellungen!$B$4)</f>
        <v>29.13</v>
      </c>
      <c r="E15695" s="14" t="str">
        <f aca="false">IF(C15695="","",C15695*D15695/100)</f>
        <v/>
      </c>
      <c r="F15695" s="15" t="str">
        <f aca="false">IF(B15695&lt;5,"Go","Standard")</f>
        <v>Standard</v>
      </c>
    </row>
    <row r="15696" customFormat="false" ht="15" hidden="false" customHeight="true" outlineLevel="0" collapsed="false">
      <c r="A15696" s="10" t="n">
        <f aca="false">Einstellungen!$B$5+INT((ROW()-9)/24)</f>
        <v>46619</v>
      </c>
      <c r="B15696" s="11" t="n">
        <f aca="false">MOD(ROW()-9,24)</f>
        <v>15</v>
      </c>
      <c r="C15696" s="12"/>
      <c r="D15696" s="13" t="n">
        <f aca="false">IF(B15696&lt;5,Einstellungen!$B$3,Einstellungen!$B$4)</f>
        <v>29.13</v>
      </c>
      <c r="E15696" s="14" t="str">
        <f aca="false">IF(C15696="","",C15696*D15696/100)</f>
        <v/>
      </c>
      <c r="F15696" s="15" t="str">
        <f aca="false">IF(B15696&lt;5,"Go","Standard")</f>
        <v>Standard</v>
      </c>
    </row>
    <row r="15697" customFormat="false" ht="15" hidden="false" customHeight="true" outlineLevel="0" collapsed="false">
      <c r="A15697" s="10" t="n">
        <f aca="false">Einstellungen!$B$5+INT((ROW()-9)/24)</f>
        <v>46619</v>
      </c>
      <c r="B15697" s="11" t="n">
        <f aca="false">MOD(ROW()-9,24)</f>
        <v>16</v>
      </c>
      <c r="C15697" s="12"/>
      <c r="D15697" s="13" t="n">
        <f aca="false">IF(B15697&lt;5,Einstellungen!$B$3,Einstellungen!$B$4)</f>
        <v>29.13</v>
      </c>
      <c r="E15697" s="14" t="str">
        <f aca="false">IF(C15697="","",C15697*D15697/100)</f>
        <v/>
      </c>
      <c r="F15697" s="15" t="str">
        <f aca="false">IF(B15697&lt;5,"Go","Standard")</f>
        <v>Standard</v>
      </c>
    </row>
    <row r="15698" customFormat="false" ht="15" hidden="false" customHeight="true" outlineLevel="0" collapsed="false">
      <c r="A15698" s="10" t="n">
        <f aca="false">Einstellungen!$B$5+INT((ROW()-9)/24)</f>
        <v>46619</v>
      </c>
      <c r="B15698" s="11" t="n">
        <f aca="false">MOD(ROW()-9,24)</f>
        <v>17</v>
      </c>
      <c r="C15698" s="12"/>
      <c r="D15698" s="13" t="n">
        <f aca="false">IF(B15698&lt;5,Einstellungen!$B$3,Einstellungen!$B$4)</f>
        <v>29.13</v>
      </c>
      <c r="E15698" s="14" t="str">
        <f aca="false">IF(C15698="","",C15698*D15698/100)</f>
        <v/>
      </c>
      <c r="F15698" s="15" t="str">
        <f aca="false">IF(B15698&lt;5,"Go","Standard")</f>
        <v>Standard</v>
      </c>
    </row>
    <row r="15699" customFormat="false" ht="15" hidden="false" customHeight="true" outlineLevel="0" collapsed="false">
      <c r="A15699" s="10" t="n">
        <f aca="false">Einstellungen!$B$5+INT((ROW()-9)/24)</f>
        <v>46619</v>
      </c>
      <c r="B15699" s="11" t="n">
        <f aca="false">MOD(ROW()-9,24)</f>
        <v>18</v>
      </c>
      <c r="C15699" s="12"/>
      <c r="D15699" s="13" t="n">
        <f aca="false">IF(B15699&lt;5,Einstellungen!$B$3,Einstellungen!$B$4)</f>
        <v>29.13</v>
      </c>
      <c r="E15699" s="14" t="str">
        <f aca="false">IF(C15699="","",C15699*D15699/100)</f>
        <v/>
      </c>
      <c r="F15699" s="15" t="str">
        <f aca="false">IF(B15699&lt;5,"Go","Standard")</f>
        <v>Standard</v>
      </c>
    </row>
    <row r="15700" customFormat="false" ht="15" hidden="false" customHeight="true" outlineLevel="0" collapsed="false">
      <c r="A15700" s="10" t="n">
        <f aca="false">Einstellungen!$B$5+INT((ROW()-9)/24)</f>
        <v>46619</v>
      </c>
      <c r="B15700" s="11" t="n">
        <f aca="false">MOD(ROW()-9,24)</f>
        <v>19</v>
      </c>
      <c r="C15700" s="12"/>
      <c r="D15700" s="13" t="n">
        <f aca="false">IF(B15700&lt;5,Einstellungen!$B$3,Einstellungen!$B$4)</f>
        <v>29.13</v>
      </c>
      <c r="E15700" s="14" t="str">
        <f aca="false">IF(C15700="","",C15700*D15700/100)</f>
        <v/>
      </c>
      <c r="F15700" s="15" t="str">
        <f aca="false">IF(B15700&lt;5,"Go","Standard")</f>
        <v>Standard</v>
      </c>
    </row>
    <row r="15701" customFormat="false" ht="15" hidden="false" customHeight="true" outlineLevel="0" collapsed="false">
      <c r="A15701" s="10" t="n">
        <f aca="false">Einstellungen!$B$5+INT((ROW()-9)/24)</f>
        <v>46619</v>
      </c>
      <c r="B15701" s="11" t="n">
        <f aca="false">MOD(ROW()-9,24)</f>
        <v>20</v>
      </c>
      <c r="C15701" s="12"/>
      <c r="D15701" s="13" t="n">
        <f aca="false">IF(B15701&lt;5,Einstellungen!$B$3,Einstellungen!$B$4)</f>
        <v>29.13</v>
      </c>
      <c r="E15701" s="14" t="str">
        <f aca="false">IF(C15701="","",C15701*D15701/100)</f>
        <v/>
      </c>
      <c r="F15701" s="15" t="str">
        <f aca="false">IF(B15701&lt;5,"Go","Standard")</f>
        <v>Standard</v>
      </c>
    </row>
    <row r="15702" customFormat="false" ht="15" hidden="false" customHeight="true" outlineLevel="0" collapsed="false">
      <c r="A15702" s="10" t="n">
        <f aca="false">Einstellungen!$B$5+INT((ROW()-9)/24)</f>
        <v>46619</v>
      </c>
      <c r="B15702" s="11" t="n">
        <f aca="false">MOD(ROW()-9,24)</f>
        <v>21</v>
      </c>
      <c r="C15702" s="12"/>
      <c r="D15702" s="13" t="n">
        <f aca="false">IF(B15702&lt;5,Einstellungen!$B$3,Einstellungen!$B$4)</f>
        <v>29.13</v>
      </c>
      <c r="E15702" s="14" t="str">
        <f aca="false">IF(C15702="","",C15702*D15702/100)</f>
        <v/>
      </c>
      <c r="F15702" s="15" t="str">
        <f aca="false">IF(B15702&lt;5,"Go","Standard")</f>
        <v>Standard</v>
      </c>
    </row>
    <row r="15703" customFormat="false" ht="15" hidden="false" customHeight="true" outlineLevel="0" collapsed="false">
      <c r="A15703" s="10" t="n">
        <f aca="false">Einstellungen!$B$5+INT((ROW()-9)/24)</f>
        <v>46619</v>
      </c>
      <c r="B15703" s="11" t="n">
        <f aca="false">MOD(ROW()-9,24)</f>
        <v>22</v>
      </c>
      <c r="C15703" s="12"/>
      <c r="D15703" s="13" t="n">
        <f aca="false">IF(B15703&lt;5,Einstellungen!$B$3,Einstellungen!$B$4)</f>
        <v>29.13</v>
      </c>
      <c r="E15703" s="14" t="str">
        <f aca="false">IF(C15703="","",C15703*D15703/100)</f>
        <v/>
      </c>
      <c r="F15703" s="15" t="str">
        <f aca="false">IF(B15703&lt;5,"Go","Standard")</f>
        <v>Standard</v>
      </c>
    </row>
    <row r="15704" customFormat="false" ht="15" hidden="false" customHeight="true" outlineLevel="0" collapsed="false">
      <c r="A15704" s="10" t="n">
        <f aca="false">Einstellungen!$B$5+INT((ROW()-9)/24)</f>
        <v>46619</v>
      </c>
      <c r="B15704" s="11" t="n">
        <f aca="false">MOD(ROW()-9,24)</f>
        <v>23</v>
      </c>
      <c r="C15704" s="12"/>
      <c r="D15704" s="13" t="n">
        <f aca="false">IF(B15704&lt;5,Einstellungen!$B$3,Einstellungen!$B$4)</f>
        <v>29.13</v>
      </c>
      <c r="E15704" s="14" t="str">
        <f aca="false">IF(C15704="","",C15704*D15704/100)</f>
        <v/>
      </c>
      <c r="F15704" s="15" t="str">
        <f aca="false">IF(B15704&lt;5,"Go","Standard")</f>
        <v>Standard</v>
      </c>
    </row>
    <row r="15705" customFormat="false" ht="15" hidden="false" customHeight="true" outlineLevel="0" collapsed="false">
      <c r="A15705" s="10" t="n">
        <f aca="false">Einstellungen!$B$5+INT((ROW()-9)/24)</f>
        <v>46620</v>
      </c>
      <c r="B15705" s="11" t="n">
        <f aca="false">MOD(ROW()-9,24)</f>
        <v>0</v>
      </c>
      <c r="C15705" s="12"/>
      <c r="D15705" s="13" t="n">
        <f aca="false">IF(B15705&lt;5,Einstellungen!$B$3,Einstellungen!$B$4)</f>
        <v>15.92</v>
      </c>
      <c r="E15705" s="14" t="str">
        <f aca="false">IF(C15705="","",C15705*D15705/100)</f>
        <v/>
      </c>
      <c r="F15705" s="15" t="str">
        <f aca="false">IF(B15705&lt;5,"Go","Standard")</f>
        <v>Go</v>
      </c>
    </row>
    <row r="15706" customFormat="false" ht="15" hidden="false" customHeight="true" outlineLevel="0" collapsed="false">
      <c r="A15706" s="10" t="n">
        <f aca="false">Einstellungen!$B$5+INT((ROW()-9)/24)</f>
        <v>46620</v>
      </c>
      <c r="B15706" s="11" t="n">
        <f aca="false">MOD(ROW()-9,24)</f>
        <v>1</v>
      </c>
      <c r="C15706" s="12"/>
      <c r="D15706" s="13" t="n">
        <f aca="false">IF(B15706&lt;5,Einstellungen!$B$3,Einstellungen!$B$4)</f>
        <v>15.92</v>
      </c>
      <c r="E15706" s="14" t="str">
        <f aca="false">IF(C15706="","",C15706*D15706/100)</f>
        <v/>
      </c>
      <c r="F15706" s="15" t="str">
        <f aca="false">IF(B15706&lt;5,"Go","Standard")</f>
        <v>Go</v>
      </c>
    </row>
    <row r="15707" customFormat="false" ht="15" hidden="false" customHeight="true" outlineLevel="0" collapsed="false">
      <c r="A15707" s="10" t="n">
        <f aca="false">Einstellungen!$B$5+INT((ROW()-9)/24)</f>
        <v>46620</v>
      </c>
      <c r="B15707" s="11" t="n">
        <f aca="false">MOD(ROW()-9,24)</f>
        <v>2</v>
      </c>
      <c r="C15707" s="12"/>
      <c r="D15707" s="13" t="n">
        <f aca="false">IF(B15707&lt;5,Einstellungen!$B$3,Einstellungen!$B$4)</f>
        <v>15.92</v>
      </c>
      <c r="E15707" s="14" t="str">
        <f aca="false">IF(C15707="","",C15707*D15707/100)</f>
        <v/>
      </c>
      <c r="F15707" s="15" t="str">
        <f aca="false">IF(B15707&lt;5,"Go","Standard")</f>
        <v>Go</v>
      </c>
    </row>
    <row r="15708" customFormat="false" ht="15" hidden="false" customHeight="true" outlineLevel="0" collapsed="false">
      <c r="A15708" s="10" t="n">
        <f aca="false">Einstellungen!$B$5+INT((ROW()-9)/24)</f>
        <v>46620</v>
      </c>
      <c r="B15708" s="11" t="n">
        <f aca="false">MOD(ROW()-9,24)</f>
        <v>3</v>
      </c>
      <c r="C15708" s="12"/>
      <c r="D15708" s="13" t="n">
        <f aca="false">IF(B15708&lt;5,Einstellungen!$B$3,Einstellungen!$B$4)</f>
        <v>15.92</v>
      </c>
      <c r="E15708" s="14" t="str">
        <f aca="false">IF(C15708="","",C15708*D15708/100)</f>
        <v/>
      </c>
      <c r="F15708" s="15" t="str">
        <f aca="false">IF(B15708&lt;5,"Go","Standard")</f>
        <v>Go</v>
      </c>
    </row>
    <row r="15709" customFormat="false" ht="15" hidden="false" customHeight="true" outlineLevel="0" collapsed="false">
      <c r="A15709" s="10" t="n">
        <f aca="false">Einstellungen!$B$5+INT((ROW()-9)/24)</f>
        <v>46620</v>
      </c>
      <c r="B15709" s="11" t="n">
        <f aca="false">MOD(ROW()-9,24)</f>
        <v>4</v>
      </c>
      <c r="C15709" s="12"/>
      <c r="D15709" s="13" t="n">
        <f aca="false">IF(B15709&lt;5,Einstellungen!$B$3,Einstellungen!$B$4)</f>
        <v>15.92</v>
      </c>
      <c r="E15709" s="14" t="str">
        <f aca="false">IF(C15709="","",C15709*D15709/100)</f>
        <v/>
      </c>
      <c r="F15709" s="15" t="str">
        <f aca="false">IF(B15709&lt;5,"Go","Standard")</f>
        <v>Go</v>
      </c>
    </row>
    <row r="15710" customFormat="false" ht="15" hidden="false" customHeight="true" outlineLevel="0" collapsed="false">
      <c r="A15710" s="10" t="n">
        <f aca="false">Einstellungen!$B$5+INT((ROW()-9)/24)</f>
        <v>46620</v>
      </c>
      <c r="B15710" s="11" t="n">
        <f aca="false">MOD(ROW()-9,24)</f>
        <v>5</v>
      </c>
      <c r="C15710" s="12"/>
      <c r="D15710" s="13" t="n">
        <f aca="false">IF(B15710&lt;5,Einstellungen!$B$3,Einstellungen!$B$4)</f>
        <v>29.13</v>
      </c>
      <c r="E15710" s="14" t="str">
        <f aca="false">IF(C15710="","",C15710*D15710/100)</f>
        <v/>
      </c>
      <c r="F15710" s="15" t="str">
        <f aca="false">IF(B15710&lt;5,"Go","Standard")</f>
        <v>Standard</v>
      </c>
    </row>
    <row r="15711" customFormat="false" ht="15" hidden="false" customHeight="true" outlineLevel="0" collapsed="false">
      <c r="A15711" s="10" t="n">
        <f aca="false">Einstellungen!$B$5+INT((ROW()-9)/24)</f>
        <v>46620</v>
      </c>
      <c r="B15711" s="11" t="n">
        <f aca="false">MOD(ROW()-9,24)</f>
        <v>6</v>
      </c>
      <c r="C15711" s="12"/>
      <c r="D15711" s="13" t="n">
        <f aca="false">IF(B15711&lt;5,Einstellungen!$B$3,Einstellungen!$B$4)</f>
        <v>29.13</v>
      </c>
      <c r="E15711" s="14" t="str">
        <f aca="false">IF(C15711="","",C15711*D15711/100)</f>
        <v/>
      </c>
      <c r="F15711" s="15" t="str">
        <f aca="false">IF(B15711&lt;5,"Go","Standard")</f>
        <v>Standard</v>
      </c>
    </row>
    <row r="15712" customFormat="false" ht="15" hidden="false" customHeight="true" outlineLevel="0" collapsed="false">
      <c r="A15712" s="10" t="n">
        <f aca="false">Einstellungen!$B$5+INT((ROW()-9)/24)</f>
        <v>46620</v>
      </c>
      <c r="B15712" s="11" t="n">
        <f aca="false">MOD(ROW()-9,24)</f>
        <v>7</v>
      </c>
      <c r="C15712" s="12"/>
      <c r="D15712" s="13" t="n">
        <f aca="false">IF(B15712&lt;5,Einstellungen!$B$3,Einstellungen!$B$4)</f>
        <v>29.13</v>
      </c>
      <c r="E15712" s="14" t="str">
        <f aca="false">IF(C15712="","",C15712*D15712/100)</f>
        <v/>
      </c>
      <c r="F15712" s="15" t="str">
        <f aca="false">IF(B15712&lt;5,"Go","Standard")</f>
        <v>Standard</v>
      </c>
    </row>
    <row r="15713" customFormat="false" ht="15" hidden="false" customHeight="true" outlineLevel="0" collapsed="false">
      <c r="A15713" s="10" t="n">
        <f aca="false">Einstellungen!$B$5+INT((ROW()-9)/24)</f>
        <v>46620</v>
      </c>
      <c r="B15713" s="11" t="n">
        <f aca="false">MOD(ROW()-9,24)</f>
        <v>8</v>
      </c>
      <c r="C15713" s="12"/>
      <c r="D15713" s="13" t="n">
        <f aca="false">IF(B15713&lt;5,Einstellungen!$B$3,Einstellungen!$B$4)</f>
        <v>29.13</v>
      </c>
      <c r="E15713" s="14" t="str">
        <f aca="false">IF(C15713="","",C15713*D15713/100)</f>
        <v/>
      </c>
      <c r="F15713" s="15" t="str">
        <f aca="false">IF(B15713&lt;5,"Go","Standard")</f>
        <v>Standard</v>
      </c>
    </row>
    <row r="15714" customFormat="false" ht="15" hidden="false" customHeight="true" outlineLevel="0" collapsed="false">
      <c r="A15714" s="10" t="n">
        <f aca="false">Einstellungen!$B$5+INT((ROW()-9)/24)</f>
        <v>46620</v>
      </c>
      <c r="B15714" s="11" t="n">
        <f aca="false">MOD(ROW()-9,24)</f>
        <v>9</v>
      </c>
      <c r="C15714" s="12"/>
      <c r="D15714" s="13" t="n">
        <f aca="false">IF(B15714&lt;5,Einstellungen!$B$3,Einstellungen!$B$4)</f>
        <v>29.13</v>
      </c>
      <c r="E15714" s="14" t="str">
        <f aca="false">IF(C15714="","",C15714*D15714/100)</f>
        <v/>
      </c>
      <c r="F15714" s="15" t="str">
        <f aca="false">IF(B15714&lt;5,"Go","Standard")</f>
        <v>Standard</v>
      </c>
    </row>
    <row r="15715" customFormat="false" ht="15" hidden="false" customHeight="true" outlineLevel="0" collapsed="false">
      <c r="A15715" s="10" t="n">
        <f aca="false">Einstellungen!$B$5+INT((ROW()-9)/24)</f>
        <v>46620</v>
      </c>
      <c r="B15715" s="11" t="n">
        <f aca="false">MOD(ROW()-9,24)</f>
        <v>10</v>
      </c>
      <c r="C15715" s="12"/>
      <c r="D15715" s="13" t="n">
        <f aca="false">IF(B15715&lt;5,Einstellungen!$B$3,Einstellungen!$B$4)</f>
        <v>29.13</v>
      </c>
      <c r="E15715" s="14" t="str">
        <f aca="false">IF(C15715="","",C15715*D15715/100)</f>
        <v/>
      </c>
      <c r="F15715" s="15" t="str">
        <f aca="false">IF(B15715&lt;5,"Go","Standard")</f>
        <v>Standard</v>
      </c>
    </row>
    <row r="15716" customFormat="false" ht="15" hidden="false" customHeight="true" outlineLevel="0" collapsed="false">
      <c r="A15716" s="10" t="n">
        <f aca="false">Einstellungen!$B$5+INT((ROW()-9)/24)</f>
        <v>46620</v>
      </c>
      <c r="B15716" s="11" t="n">
        <f aca="false">MOD(ROW()-9,24)</f>
        <v>11</v>
      </c>
      <c r="C15716" s="12"/>
      <c r="D15716" s="13" t="n">
        <f aca="false">IF(B15716&lt;5,Einstellungen!$B$3,Einstellungen!$B$4)</f>
        <v>29.13</v>
      </c>
      <c r="E15716" s="14" t="str">
        <f aca="false">IF(C15716="","",C15716*D15716/100)</f>
        <v/>
      </c>
      <c r="F15716" s="15" t="str">
        <f aca="false">IF(B15716&lt;5,"Go","Standard")</f>
        <v>Standard</v>
      </c>
    </row>
    <row r="15717" customFormat="false" ht="15" hidden="false" customHeight="true" outlineLevel="0" collapsed="false">
      <c r="A15717" s="10" t="n">
        <f aca="false">Einstellungen!$B$5+INT((ROW()-9)/24)</f>
        <v>46620</v>
      </c>
      <c r="B15717" s="11" t="n">
        <f aca="false">MOD(ROW()-9,24)</f>
        <v>12</v>
      </c>
      <c r="C15717" s="12"/>
      <c r="D15717" s="13" t="n">
        <f aca="false">IF(B15717&lt;5,Einstellungen!$B$3,Einstellungen!$B$4)</f>
        <v>29.13</v>
      </c>
      <c r="E15717" s="14" t="str">
        <f aca="false">IF(C15717="","",C15717*D15717/100)</f>
        <v/>
      </c>
      <c r="F15717" s="15" t="str">
        <f aca="false">IF(B15717&lt;5,"Go","Standard")</f>
        <v>Standard</v>
      </c>
    </row>
    <row r="15718" customFormat="false" ht="15" hidden="false" customHeight="true" outlineLevel="0" collapsed="false">
      <c r="A15718" s="10" t="n">
        <f aca="false">Einstellungen!$B$5+INT((ROW()-9)/24)</f>
        <v>46620</v>
      </c>
      <c r="B15718" s="11" t="n">
        <f aca="false">MOD(ROW()-9,24)</f>
        <v>13</v>
      </c>
      <c r="C15718" s="12"/>
      <c r="D15718" s="13" t="n">
        <f aca="false">IF(B15718&lt;5,Einstellungen!$B$3,Einstellungen!$B$4)</f>
        <v>29.13</v>
      </c>
      <c r="E15718" s="14" t="str">
        <f aca="false">IF(C15718="","",C15718*D15718/100)</f>
        <v/>
      </c>
      <c r="F15718" s="15" t="str">
        <f aca="false">IF(B15718&lt;5,"Go","Standard")</f>
        <v>Standard</v>
      </c>
    </row>
    <row r="15719" customFormat="false" ht="15" hidden="false" customHeight="true" outlineLevel="0" collapsed="false">
      <c r="A15719" s="10" t="n">
        <f aca="false">Einstellungen!$B$5+INT((ROW()-9)/24)</f>
        <v>46620</v>
      </c>
      <c r="B15719" s="11" t="n">
        <f aca="false">MOD(ROW()-9,24)</f>
        <v>14</v>
      </c>
      <c r="C15719" s="12"/>
      <c r="D15719" s="13" t="n">
        <f aca="false">IF(B15719&lt;5,Einstellungen!$B$3,Einstellungen!$B$4)</f>
        <v>29.13</v>
      </c>
      <c r="E15719" s="14" t="str">
        <f aca="false">IF(C15719="","",C15719*D15719/100)</f>
        <v/>
      </c>
      <c r="F15719" s="15" t="str">
        <f aca="false">IF(B15719&lt;5,"Go","Standard")</f>
        <v>Standard</v>
      </c>
    </row>
    <row r="15720" customFormat="false" ht="15" hidden="false" customHeight="true" outlineLevel="0" collapsed="false">
      <c r="A15720" s="10" t="n">
        <f aca="false">Einstellungen!$B$5+INT((ROW()-9)/24)</f>
        <v>46620</v>
      </c>
      <c r="B15720" s="11" t="n">
        <f aca="false">MOD(ROW()-9,24)</f>
        <v>15</v>
      </c>
      <c r="C15720" s="12"/>
      <c r="D15720" s="13" t="n">
        <f aca="false">IF(B15720&lt;5,Einstellungen!$B$3,Einstellungen!$B$4)</f>
        <v>29.13</v>
      </c>
      <c r="E15720" s="14" t="str">
        <f aca="false">IF(C15720="","",C15720*D15720/100)</f>
        <v/>
      </c>
      <c r="F15720" s="15" t="str">
        <f aca="false">IF(B15720&lt;5,"Go","Standard")</f>
        <v>Standard</v>
      </c>
    </row>
    <row r="15721" customFormat="false" ht="15" hidden="false" customHeight="true" outlineLevel="0" collapsed="false">
      <c r="A15721" s="10" t="n">
        <f aca="false">Einstellungen!$B$5+INT((ROW()-9)/24)</f>
        <v>46620</v>
      </c>
      <c r="B15721" s="11" t="n">
        <f aca="false">MOD(ROW()-9,24)</f>
        <v>16</v>
      </c>
      <c r="C15721" s="12"/>
      <c r="D15721" s="13" t="n">
        <f aca="false">IF(B15721&lt;5,Einstellungen!$B$3,Einstellungen!$B$4)</f>
        <v>29.13</v>
      </c>
      <c r="E15721" s="14" t="str">
        <f aca="false">IF(C15721="","",C15721*D15721/100)</f>
        <v/>
      </c>
      <c r="F15721" s="15" t="str">
        <f aca="false">IF(B15721&lt;5,"Go","Standard")</f>
        <v>Standard</v>
      </c>
    </row>
    <row r="15722" customFormat="false" ht="15" hidden="false" customHeight="true" outlineLevel="0" collapsed="false">
      <c r="A15722" s="10" t="n">
        <f aca="false">Einstellungen!$B$5+INT((ROW()-9)/24)</f>
        <v>46620</v>
      </c>
      <c r="B15722" s="11" t="n">
        <f aca="false">MOD(ROW()-9,24)</f>
        <v>17</v>
      </c>
      <c r="C15722" s="12"/>
      <c r="D15722" s="13" t="n">
        <f aca="false">IF(B15722&lt;5,Einstellungen!$B$3,Einstellungen!$B$4)</f>
        <v>29.13</v>
      </c>
      <c r="E15722" s="14" t="str">
        <f aca="false">IF(C15722="","",C15722*D15722/100)</f>
        <v/>
      </c>
      <c r="F15722" s="15" t="str">
        <f aca="false">IF(B15722&lt;5,"Go","Standard")</f>
        <v>Standard</v>
      </c>
    </row>
    <row r="15723" customFormat="false" ht="15" hidden="false" customHeight="true" outlineLevel="0" collapsed="false">
      <c r="A15723" s="10" t="n">
        <f aca="false">Einstellungen!$B$5+INT((ROW()-9)/24)</f>
        <v>46620</v>
      </c>
      <c r="B15723" s="11" t="n">
        <f aca="false">MOD(ROW()-9,24)</f>
        <v>18</v>
      </c>
      <c r="C15723" s="12"/>
      <c r="D15723" s="13" t="n">
        <f aca="false">IF(B15723&lt;5,Einstellungen!$B$3,Einstellungen!$B$4)</f>
        <v>29.13</v>
      </c>
      <c r="E15723" s="14" t="str">
        <f aca="false">IF(C15723="","",C15723*D15723/100)</f>
        <v/>
      </c>
      <c r="F15723" s="15" t="str">
        <f aca="false">IF(B15723&lt;5,"Go","Standard")</f>
        <v>Standard</v>
      </c>
    </row>
    <row r="15724" customFormat="false" ht="15" hidden="false" customHeight="true" outlineLevel="0" collapsed="false">
      <c r="A15724" s="10" t="n">
        <f aca="false">Einstellungen!$B$5+INT((ROW()-9)/24)</f>
        <v>46620</v>
      </c>
      <c r="B15724" s="11" t="n">
        <f aca="false">MOD(ROW()-9,24)</f>
        <v>19</v>
      </c>
      <c r="C15724" s="12"/>
      <c r="D15724" s="13" t="n">
        <f aca="false">IF(B15724&lt;5,Einstellungen!$B$3,Einstellungen!$B$4)</f>
        <v>29.13</v>
      </c>
      <c r="E15724" s="14" t="str">
        <f aca="false">IF(C15724="","",C15724*D15724/100)</f>
        <v/>
      </c>
      <c r="F15724" s="15" t="str">
        <f aca="false">IF(B15724&lt;5,"Go","Standard")</f>
        <v>Standard</v>
      </c>
    </row>
    <row r="15725" customFormat="false" ht="15" hidden="false" customHeight="true" outlineLevel="0" collapsed="false">
      <c r="A15725" s="10" t="n">
        <f aca="false">Einstellungen!$B$5+INT((ROW()-9)/24)</f>
        <v>46620</v>
      </c>
      <c r="B15725" s="11" t="n">
        <f aca="false">MOD(ROW()-9,24)</f>
        <v>20</v>
      </c>
      <c r="C15725" s="12"/>
      <c r="D15725" s="13" t="n">
        <f aca="false">IF(B15725&lt;5,Einstellungen!$B$3,Einstellungen!$B$4)</f>
        <v>29.13</v>
      </c>
      <c r="E15725" s="14" t="str">
        <f aca="false">IF(C15725="","",C15725*D15725/100)</f>
        <v/>
      </c>
      <c r="F15725" s="15" t="str">
        <f aca="false">IF(B15725&lt;5,"Go","Standard")</f>
        <v>Standard</v>
      </c>
    </row>
    <row r="15726" customFormat="false" ht="15" hidden="false" customHeight="true" outlineLevel="0" collapsed="false">
      <c r="A15726" s="10" t="n">
        <f aca="false">Einstellungen!$B$5+INT((ROW()-9)/24)</f>
        <v>46620</v>
      </c>
      <c r="B15726" s="11" t="n">
        <f aca="false">MOD(ROW()-9,24)</f>
        <v>21</v>
      </c>
      <c r="C15726" s="12"/>
      <c r="D15726" s="13" t="n">
        <f aca="false">IF(B15726&lt;5,Einstellungen!$B$3,Einstellungen!$B$4)</f>
        <v>29.13</v>
      </c>
      <c r="E15726" s="14" t="str">
        <f aca="false">IF(C15726="","",C15726*D15726/100)</f>
        <v/>
      </c>
      <c r="F15726" s="15" t="str">
        <f aca="false">IF(B15726&lt;5,"Go","Standard")</f>
        <v>Standard</v>
      </c>
    </row>
    <row r="15727" customFormat="false" ht="15" hidden="false" customHeight="true" outlineLevel="0" collapsed="false">
      <c r="A15727" s="10" t="n">
        <f aca="false">Einstellungen!$B$5+INT((ROW()-9)/24)</f>
        <v>46620</v>
      </c>
      <c r="B15727" s="11" t="n">
        <f aca="false">MOD(ROW()-9,24)</f>
        <v>22</v>
      </c>
      <c r="C15727" s="12"/>
      <c r="D15727" s="13" t="n">
        <f aca="false">IF(B15727&lt;5,Einstellungen!$B$3,Einstellungen!$B$4)</f>
        <v>29.13</v>
      </c>
      <c r="E15727" s="14" t="str">
        <f aca="false">IF(C15727="","",C15727*D15727/100)</f>
        <v/>
      </c>
      <c r="F15727" s="15" t="str">
        <f aca="false">IF(B15727&lt;5,"Go","Standard")</f>
        <v>Standard</v>
      </c>
    </row>
    <row r="15728" customFormat="false" ht="15" hidden="false" customHeight="true" outlineLevel="0" collapsed="false">
      <c r="A15728" s="10" t="n">
        <f aca="false">Einstellungen!$B$5+INT((ROW()-9)/24)</f>
        <v>46620</v>
      </c>
      <c r="B15728" s="11" t="n">
        <f aca="false">MOD(ROW()-9,24)</f>
        <v>23</v>
      </c>
      <c r="C15728" s="12"/>
      <c r="D15728" s="13" t="n">
        <f aca="false">IF(B15728&lt;5,Einstellungen!$B$3,Einstellungen!$B$4)</f>
        <v>29.13</v>
      </c>
      <c r="E15728" s="14" t="str">
        <f aca="false">IF(C15728="","",C15728*D15728/100)</f>
        <v/>
      </c>
      <c r="F15728" s="15" t="str">
        <f aca="false">IF(B15728&lt;5,"Go","Standard")</f>
        <v>Standard</v>
      </c>
    </row>
    <row r="15729" customFormat="false" ht="15" hidden="false" customHeight="true" outlineLevel="0" collapsed="false">
      <c r="A15729" s="10" t="n">
        <f aca="false">Einstellungen!$B$5+INT((ROW()-9)/24)</f>
        <v>46621</v>
      </c>
      <c r="B15729" s="11" t="n">
        <f aca="false">MOD(ROW()-9,24)</f>
        <v>0</v>
      </c>
      <c r="C15729" s="12"/>
      <c r="D15729" s="13" t="n">
        <f aca="false">IF(B15729&lt;5,Einstellungen!$B$3,Einstellungen!$B$4)</f>
        <v>15.92</v>
      </c>
      <c r="E15729" s="14" t="str">
        <f aca="false">IF(C15729="","",C15729*D15729/100)</f>
        <v/>
      </c>
      <c r="F15729" s="15" t="str">
        <f aca="false">IF(B15729&lt;5,"Go","Standard")</f>
        <v>Go</v>
      </c>
    </row>
    <row r="15730" customFormat="false" ht="15" hidden="false" customHeight="true" outlineLevel="0" collapsed="false">
      <c r="A15730" s="10" t="n">
        <f aca="false">Einstellungen!$B$5+INT((ROW()-9)/24)</f>
        <v>46621</v>
      </c>
      <c r="B15730" s="11" t="n">
        <f aca="false">MOD(ROW()-9,24)</f>
        <v>1</v>
      </c>
      <c r="C15730" s="12"/>
      <c r="D15730" s="13" t="n">
        <f aca="false">IF(B15730&lt;5,Einstellungen!$B$3,Einstellungen!$B$4)</f>
        <v>15.92</v>
      </c>
      <c r="E15730" s="14" t="str">
        <f aca="false">IF(C15730="","",C15730*D15730/100)</f>
        <v/>
      </c>
      <c r="F15730" s="15" t="str">
        <f aca="false">IF(B15730&lt;5,"Go","Standard")</f>
        <v>Go</v>
      </c>
    </row>
    <row r="15731" customFormat="false" ht="15" hidden="false" customHeight="true" outlineLevel="0" collapsed="false">
      <c r="A15731" s="10" t="n">
        <f aca="false">Einstellungen!$B$5+INT((ROW()-9)/24)</f>
        <v>46621</v>
      </c>
      <c r="B15731" s="11" t="n">
        <f aca="false">MOD(ROW()-9,24)</f>
        <v>2</v>
      </c>
      <c r="C15731" s="12"/>
      <c r="D15731" s="13" t="n">
        <f aca="false">IF(B15731&lt;5,Einstellungen!$B$3,Einstellungen!$B$4)</f>
        <v>15.92</v>
      </c>
      <c r="E15731" s="14" t="str">
        <f aca="false">IF(C15731="","",C15731*D15731/100)</f>
        <v/>
      </c>
      <c r="F15731" s="15" t="str">
        <f aca="false">IF(B15731&lt;5,"Go","Standard")</f>
        <v>Go</v>
      </c>
    </row>
    <row r="15732" customFormat="false" ht="15" hidden="false" customHeight="true" outlineLevel="0" collapsed="false">
      <c r="A15732" s="10" t="n">
        <f aca="false">Einstellungen!$B$5+INT((ROW()-9)/24)</f>
        <v>46621</v>
      </c>
      <c r="B15732" s="11" t="n">
        <f aca="false">MOD(ROW()-9,24)</f>
        <v>3</v>
      </c>
      <c r="C15732" s="12"/>
      <c r="D15732" s="13" t="n">
        <f aca="false">IF(B15732&lt;5,Einstellungen!$B$3,Einstellungen!$B$4)</f>
        <v>15.92</v>
      </c>
      <c r="E15732" s="14" t="str">
        <f aca="false">IF(C15732="","",C15732*D15732/100)</f>
        <v/>
      </c>
      <c r="F15732" s="15" t="str">
        <f aca="false">IF(B15732&lt;5,"Go","Standard")</f>
        <v>Go</v>
      </c>
    </row>
    <row r="15733" customFormat="false" ht="15" hidden="false" customHeight="true" outlineLevel="0" collapsed="false">
      <c r="A15733" s="10" t="n">
        <f aca="false">Einstellungen!$B$5+INT((ROW()-9)/24)</f>
        <v>46621</v>
      </c>
      <c r="B15733" s="11" t="n">
        <f aca="false">MOD(ROW()-9,24)</f>
        <v>4</v>
      </c>
      <c r="C15733" s="12"/>
      <c r="D15733" s="13" t="n">
        <f aca="false">IF(B15733&lt;5,Einstellungen!$B$3,Einstellungen!$B$4)</f>
        <v>15.92</v>
      </c>
      <c r="E15733" s="14" t="str">
        <f aca="false">IF(C15733="","",C15733*D15733/100)</f>
        <v/>
      </c>
      <c r="F15733" s="15" t="str">
        <f aca="false">IF(B15733&lt;5,"Go","Standard")</f>
        <v>Go</v>
      </c>
    </row>
    <row r="15734" customFormat="false" ht="15" hidden="false" customHeight="true" outlineLevel="0" collapsed="false">
      <c r="A15734" s="10" t="n">
        <f aca="false">Einstellungen!$B$5+INT((ROW()-9)/24)</f>
        <v>46621</v>
      </c>
      <c r="B15734" s="11" t="n">
        <f aca="false">MOD(ROW()-9,24)</f>
        <v>5</v>
      </c>
      <c r="C15734" s="12"/>
      <c r="D15734" s="13" t="n">
        <f aca="false">IF(B15734&lt;5,Einstellungen!$B$3,Einstellungen!$B$4)</f>
        <v>29.13</v>
      </c>
      <c r="E15734" s="14" t="str">
        <f aca="false">IF(C15734="","",C15734*D15734/100)</f>
        <v/>
      </c>
      <c r="F15734" s="15" t="str">
        <f aca="false">IF(B15734&lt;5,"Go","Standard")</f>
        <v>Standard</v>
      </c>
    </row>
    <row r="15735" customFormat="false" ht="15" hidden="false" customHeight="true" outlineLevel="0" collapsed="false">
      <c r="A15735" s="10" t="n">
        <f aca="false">Einstellungen!$B$5+INT((ROW()-9)/24)</f>
        <v>46621</v>
      </c>
      <c r="B15735" s="11" t="n">
        <f aca="false">MOD(ROW()-9,24)</f>
        <v>6</v>
      </c>
      <c r="C15735" s="12"/>
      <c r="D15735" s="13" t="n">
        <f aca="false">IF(B15735&lt;5,Einstellungen!$B$3,Einstellungen!$B$4)</f>
        <v>29.13</v>
      </c>
      <c r="E15735" s="14" t="str">
        <f aca="false">IF(C15735="","",C15735*D15735/100)</f>
        <v/>
      </c>
      <c r="F15735" s="15" t="str">
        <f aca="false">IF(B15735&lt;5,"Go","Standard")</f>
        <v>Standard</v>
      </c>
    </row>
    <row r="15736" customFormat="false" ht="15" hidden="false" customHeight="true" outlineLevel="0" collapsed="false">
      <c r="A15736" s="10" t="n">
        <f aca="false">Einstellungen!$B$5+INT((ROW()-9)/24)</f>
        <v>46621</v>
      </c>
      <c r="B15736" s="11" t="n">
        <f aca="false">MOD(ROW()-9,24)</f>
        <v>7</v>
      </c>
      <c r="C15736" s="12"/>
      <c r="D15736" s="13" t="n">
        <f aca="false">IF(B15736&lt;5,Einstellungen!$B$3,Einstellungen!$B$4)</f>
        <v>29.13</v>
      </c>
      <c r="E15736" s="14" t="str">
        <f aca="false">IF(C15736="","",C15736*D15736/100)</f>
        <v/>
      </c>
      <c r="F15736" s="15" t="str">
        <f aca="false">IF(B15736&lt;5,"Go","Standard")</f>
        <v>Standard</v>
      </c>
    </row>
    <row r="15737" customFormat="false" ht="15" hidden="false" customHeight="true" outlineLevel="0" collapsed="false">
      <c r="A15737" s="10" t="n">
        <f aca="false">Einstellungen!$B$5+INT((ROW()-9)/24)</f>
        <v>46621</v>
      </c>
      <c r="B15737" s="11" t="n">
        <f aca="false">MOD(ROW()-9,24)</f>
        <v>8</v>
      </c>
      <c r="C15737" s="12"/>
      <c r="D15737" s="13" t="n">
        <f aca="false">IF(B15737&lt;5,Einstellungen!$B$3,Einstellungen!$B$4)</f>
        <v>29.13</v>
      </c>
      <c r="E15737" s="14" t="str">
        <f aca="false">IF(C15737="","",C15737*D15737/100)</f>
        <v/>
      </c>
      <c r="F15737" s="15" t="str">
        <f aca="false">IF(B15737&lt;5,"Go","Standard")</f>
        <v>Standard</v>
      </c>
    </row>
    <row r="15738" customFormat="false" ht="15" hidden="false" customHeight="true" outlineLevel="0" collapsed="false">
      <c r="A15738" s="10" t="n">
        <f aca="false">Einstellungen!$B$5+INT((ROW()-9)/24)</f>
        <v>46621</v>
      </c>
      <c r="B15738" s="11" t="n">
        <f aca="false">MOD(ROW()-9,24)</f>
        <v>9</v>
      </c>
      <c r="C15738" s="12"/>
      <c r="D15738" s="13" t="n">
        <f aca="false">IF(B15738&lt;5,Einstellungen!$B$3,Einstellungen!$B$4)</f>
        <v>29.13</v>
      </c>
      <c r="E15738" s="14" t="str">
        <f aca="false">IF(C15738="","",C15738*D15738/100)</f>
        <v/>
      </c>
      <c r="F15738" s="15" t="str">
        <f aca="false">IF(B15738&lt;5,"Go","Standard")</f>
        <v>Standard</v>
      </c>
    </row>
    <row r="15739" customFormat="false" ht="15" hidden="false" customHeight="true" outlineLevel="0" collapsed="false">
      <c r="A15739" s="10" t="n">
        <f aca="false">Einstellungen!$B$5+INT((ROW()-9)/24)</f>
        <v>46621</v>
      </c>
      <c r="B15739" s="11" t="n">
        <f aca="false">MOD(ROW()-9,24)</f>
        <v>10</v>
      </c>
      <c r="C15739" s="12"/>
      <c r="D15739" s="13" t="n">
        <f aca="false">IF(B15739&lt;5,Einstellungen!$B$3,Einstellungen!$B$4)</f>
        <v>29.13</v>
      </c>
      <c r="E15739" s="14" t="str">
        <f aca="false">IF(C15739="","",C15739*D15739/100)</f>
        <v/>
      </c>
      <c r="F15739" s="15" t="str">
        <f aca="false">IF(B15739&lt;5,"Go","Standard")</f>
        <v>Standard</v>
      </c>
    </row>
    <row r="15740" customFormat="false" ht="15" hidden="false" customHeight="true" outlineLevel="0" collapsed="false">
      <c r="A15740" s="10" t="n">
        <f aca="false">Einstellungen!$B$5+INT((ROW()-9)/24)</f>
        <v>46621</v>
      </c>
      <c r="B15740" s="11" t="n">
        <f aca="false">MOD(ROW()-9,24)</f>
        <v>11</v>
      </c>
      <c r="C15740" s="12"/>
      <c r="D15740" s="13" t="n">
        <f aca="false">IF(B15740&lt;5,Einstellungen!$B$3,Einstellungen!$B$4)</f>
        <v>29.13</v>
      </c>
      <c r="E15740" s="14" t="str">
        <f aca="false">IF(C15740="","",C15740*D15740/100)</f>
        <v/>
      </c>
      <c r="F15740" s="15" t="str">
        <f aca="false">IF(B15740&lt;5,"Go","Standard")</f>
        <v>Standard</v>
      </c>
    </row>
    <row r="15741" customFormat="false" ht="15" hidden="false" customHeight="true" outlineLevel="0" collapsed="false">
      <c r="A15741" s="10" t="n">
        <f aca="false">Einstellungen!$B$5+INT((ROW()-9)/24)</f>
        <v>46621</v>
      </c>
      <c r="B15741" s="11" t="n">
        <f aca="false">MOD(ROW()-9,24)</f>
        <v>12</v>
      </c>
      <c r="C15741" s="12"/>
      <c r="D15741" s="13" t="n">
        <f aca="false">IF(B15741&lt;5,Einstellungen!$B$3,Einstellungen!$B$4)</f>
        <v>29.13</v>
      </c>
      <c r="E15741" s="14" t="str">
        <f aca="false">IF(C15741="","",C15741*D15741/100)</f>
        <v/>
      </c>
      <c r="F15741" s="15" t="str">
        <f aca="false">IF(B15741&lt;5,"Go","Standard")</f>
        <v>Standard</v>
      </c>
    </row>
    <row r="15742" customFormat="false" ht="15" hidden="false" customHeight="true" outlineLevel="0" collapsed="false">
      <c r="A15742" s="10" t="n">
        <f aca="false">Einstellungen!$B$5+INT((ROW()-9)/24)</f>
        <v>46621</v>
      </c>
      <c r="B15742" s="11" t="n">
        <f aca="false">MOD(ROW()-9,24)</f>
        <v>13</v>
      </c>
      <c r="C15742" s="12"/>
      <c r="D15742" s="13" t="n">
        <f aca="false">IF(B15742&lt;5,Einstellungen!$B$3,Einstellungen!$B$4)</f>
        <v>29.13</v>
      </c>
      <c r="E15742" s="14" t="str">
        <f aca="false">IF(C15742="","",C15742*D15742/100)</f>
        <v/>
      </c>
      <c r="F15742" s="15" t="str">
        <f aca="false">IF(B15742&lt;5,"Go","Standard")</f>
        <v>Standard</v>
      </c>
    </row>
    <row r="15743" customFormat="false" ht="15" hidden="false" customHeight="true" outlineLevel="0" collapsed="false">
      <c r="A15743" s="10" t="n">
        <f aca="false">Einstellungen!$B$5+INT((ROW()-9)/24)</f>
        <v>46621</v>
      </c>
      <c r="B15743" s="11" t="n">
        <f aca="false">MOD(ROW()-9,24)</f>
        <v>14</v>
      </c>
      <c r="C15743" s="12"/>
      <c r="D15743" s="13" t="n">
        <f aca="false">IF(B15743&lt;5,Einstellungen!$B$3,Einstellungen!$B$4)</f>
        <v>29.13</v>
      </c>
      <c r="E15743" s="14" t="str">
        <f aca="false">IF(C15743="","",C15743*D15743/100)</f>
        <v/>
      </c>
      <c r="F15743" s="15" t="str">
        <f aca="false">IF(B15743&lt;5,"Go","Standard")</f>
        <v>Standard</v>
      </c>
    </row>
    <row r="15744" customFormat="false" ht="15" hidden="false" customHeight="true" outlineLevel="0" collapsed="false">
      <c r="A15744" s="10" t="n">
        <f aca="false">Einstellungen!$B$5+INT((ROW()-9)/24)</f>
        <v>46621</v>
      </c>
      <c r="B15744" s="11" t="n">
        <f aca="false">MOD(ROW()-9,24)</f>
        <v>15</v>
      </c>
      <c r="C15744" s="12"/>
      <c r="D15744" s="13" t="n">
        <f aca="false">IF(B15744&lt;5,Einstellungen!$B$3,Einstellungen!$B$4)</f>
        <v>29.13</v>
      </c>
      <c r="E15744" s="14" t="str">
        <f aca="false">IF(C15744="","",C15744*D15744/100)</f>
        <v/>
      </c>
      <c r="F15744" s="15" t="str">
        <f aca="false">IF(B15744&lt;5,"Go","Standard")</f>
        <v>Standard</v>
      </c>
    </row>
    <row r="15745" customFormat="false" ht="15" hidden="false" customHeight="true" outlineLevel="0" collapsed="false">
      <c r="A15745" s="10" t="n">
        <f aca="false">Einstellungen!$B$5+INT((ROW()-9)/24)</f>
        <v>46621</v>
      </c>
      <c r="B15745" s="11" t="n">
        <f aca="false">MOD(ROW()-9,24)</f>
        <v>16</v>
      </c>
      <c r="C15745" s="12"/>
      <c r="D15745" s="13" t="n">
        <f aca="false">IF(B15745&lt;5,Einstellungen!$B$3,Einstellungen!$B$4)</f>
        <v>29.13</v>
      </c>
      <c r="E15745" s="14" t="str">
        <f aca="false">IF(C15745="","",C15745*D15745/100)</f>
        <v/>
      </c>
      <c r="F15745" s="15" t="str">
        <f aca="false">IF(B15745&lt;5,"Go","Standard")</f>
        <v>Standard</v>
      </c>
    </row>
    <row r="15746" customFormat="false" ht="15" hidden="false" customHeight="true" outlineLevel="0" collapsed="false">
      <c r="A15746" s="10" t="n">
        <f aca="false">Einstellungen!$B$5+INT((ROW()-9)/24)</f>
        <v>46621</v>
      </c>
      <c r="B15746" s="11" t="n">
        <f aca="false">MOD(ROW()-9,24)</f>
        <v>17</v>
      </c>
      <c r="C15746" s="12"/>
      <c r="D15746" s="13" t="n">
        <f aca="false">IF(B15746&lt;5,Einstellungen!$B$3,Einstellungen!$B$4)</f>
        <v>29.13</v>
      </c>
      <c r="E15746" s="14" t="str">
        <f aca="false">IF(C15746="","",C15746*D15746/100)</f>
        <v/>
      </c>
      <c r="F15746" s="15" t="str">
        <f aca="false">IF(B15746&lt;5,"Go","Standard")</f>
        <v>Standard</v>
      </c>
    </row>
    <row r="15747" customFormat="false" ht="15" hidden="false" customHeight="true" outlineLevel="0" collapsed="false">
      <c r="A15747" s="10" t="n">
        <f aca="false">Einstellungen!$B$5+INT((ROW()-9)/24)</f>
        <v>46621</v>
      </c>
      <c r="B15747" s="11" t="n">
        <f aca="false">MOD(ROW()-9,24)</f>
        <v>18</v>
      </c>
      <c r="C15747" s="12"/>
      <c r="D15747" s="13" t="n">
        <f aca="false">IF(B15747&lt;5,Einstellungen!$B$3,Einstellungen!$B$4)</f>
        <v>29.13</v>
      </c>
      <c r="E15747" s="14" t="str">
        <f aca="false">IF(C15747="","",C15747*D15747/100)</f>
        <v/>
      </c>
      <c r="F15747" s="15" t="str">
        <f aca="false">IF(B15747&lt;5,"Go","Standard")</f>
        <v>Standard</v>
      </c>
    </row>
    <row r="15748" customFormat="false" ht="15" hidden="false" customHeight="true" outlineLevel="0" collapsed="false">
      <c r="A15748" s="10" t="n">
        <f aca="false">Einstellungen!$B$5+INT((ROW()-9)/24)</f>
        <v>46621</v>
      </c>
      <c r="B15748" s="11" t="n">
        <f aca="false">MOD(ROW()-9,24)</f>
        <v>19</v>
      </c>
      <c r="C15748" s="12"/>
      <c r="D15748" s="13" t="n">
        <f aca="false">IF(B15748&lt;5,Einstellungen!$B$3,Einstellungen!$B$4)</f>
        <v>29.13</v>
      </c>
      <c r="E15748" s="14" t="str">
        <f aca="false">IF(C15748="","",C15748*D15748/100)</f>
        <v/>
      </c>
      <c r="F15748" s="15" t="str">
        <f aca="false">IF(B15748&lt;5,"Go","Standard")</f>
        <v>Standard</v>
      </c>
    </row>
    <row r="15749" customFormat="false" ht="15" hidden="false" customHeight="true" outlineLevel="0" collapsed="false">
      <c r="A15749" s="10" t="n">
        <f aca="false">Einstellungen!$B$5+INT((ROW()-9)/24)</f>
        <v>46621</v>
      </c>
      <c r="B15749" s="11" t="n">
        <f aca="false">MOD(ROW()-9,24)</f>
        <v>20</v>
      </c>
      <c r="C15749" s="12"/>
      <c r="D15749" s="13" t="n">
        <f aca="false">IF(B15749&lt;5,Einstellungen!$B$3,Einstellungen!$B$4)</f>
        <v>29.13</v>
      </c>
      <c r="E15749" s="14" t="str">
        <f aca="false">IF(C15749="","",C15749*D15749/100)</f>
        <v/>
      </c>
      <c r="F15749" s="15" t="str">
        <f aca="false">IF(B15749&lt;5,"Go","Standard")</f>
        <v>Standard</v>
      </c>
    </row>
    <row r="15750" customFormat="false" ht="15" hidden="false" customHeight="true" outlineLevel="0" collapsed="false">
      <c r="A15750" s="10" t="n">
        <f aca="false">Einstellungen!$B$5+INT((ROW()-9)/24)</f>
        <v>46621</v>
      </c>
      <c r="B15750" s="11" t="n">
        <f aca="false">MOD(ROW()-9,24)</f>
        <v>21</v>
      </c>
      <c r="C15750" s="12"/>
      <c r="D15750" s="13" t="n">
        <f aca="false">IF(B15750&lt;5,Einstellungen!$B$3,Einstellungen!$B$4)</f>
        <v>29.13</v>
      </c>
      <c r="E15750" s="14" t="str">
        <f aca="false">IF(C15750="","",C15750*D15750/100)</f>
        <v/>
      </c>
      <c r="F15750" s="15" t="str">
        <f aca="false">IF(B15750&lt;5,"Go","Standard")</f>
        <v>Standard</v>
      </c>
    </row>
    <row r="15751" customFormat="false" ht="15" hidden="false" customHeight="true" outlineLevel="0" collapsed="false">
      <c r="A15751" s="10" t="n">
        <f aca="false">Einstellungen!$B$5+INT((ROW()-9)/24)</f>
        <v>46621</v>
      </c>
      <c r="B15751" s="11" t="n">
        <f aca="false">MOD(ROW()-9,24)</f>
        <v>22</v>
      </c>
      <c r="C15751" s="12"/>
      <c r="D15751" s="13" t="n">
        <f aca="false">IF(B15751&lt;5,Einstellungen!$B$3,Einstellungen!$B$4)</f>
        <v>29.13</v>
      </c>
      <c r="E15751" s="14" t="str">
        <f aca="false">IF(C15751="","",C15751*D15751/100)</f>
        <v/>
      </c>
      <c r="F15751" s="15" t="str">
        <f aca="false">IF(B15751&lt;5,"Go","Standard")</f>
        <v>Standard</v>
      </c>
    </row>
    <row r="15752" customFormat="false" ht="15" hidden="false" customHeight="true" outlineLevel="0" collapsed="false">
      <c r="A15752" s="10" t="n">
        <f aca="false">Einstellungen!$B$5+INT((ROW()-9)/24)</f>
        <v>46621</v>
      </c>
      <c r="B15752" s="11" t="n">
        <f aca="false">MOD(ROW()-9,24)</f>
        <v>23</v>
      </c>
      <c r="C15752" s="12"/>
      <c r="D15752" s="13" t="n">
        <f aca="false">IF(B15752&lt;5,Einstellungen!$B$3,Einstellungen!$B$4)</f>
        <v>29.13</v>
      </c>
      <c r="E15752" s="14" t="str">
        <f aca="false">IF(C15752="","",C15752*D15752/100)</f>
        <v/>
      </c>
      <c r="F15752" s="15" t="str">
        <f aca="false">IF(B15752&lt;5,"Go","Standard")</f>
        <v>Standard</v>
      </c>
    </row>
    <row r="15753" customFormat="false" ht="15" hidden="false" customHeight="true" outlineLevel="0" collapsed="false">
      <c r="A15753" s="10" t="n">
        <f aca="false">Einstellungen!$B$5+INT((ROW()-9)/24)</f>
        <v>46622</v>
      </c>
      <c r="B15753" s="11" t="n">
        <f aca="false">MOD(ROW()-9,24)</f>
        <v>0</v>
      </c>
      <c r="C15753" s="12"/>
      <c r="D15753" s="13" t="n">
        <f aca="false">IF(B15753&lt;5,Einstellungen!$B$3,Einstellungen!$B$4)</f>
        <v>15.92</v>
      </c>
      <c r="E15753" s="14" t="str">
        <f aca="false">IF(C15753="","",C15753*D15753/100)</f>
        <v/>
      </c>
      <c r="F15753" s="15" t="str">
        <f aca="false">IF(B15753&lt;5,"Go","Standard")</f>
        <v>Go</v>
      </c>
    </row>
    <row r="15754" customFormat="false" ht="15" hidden="false" customHeight="true" outlineLevel="0" collapsed="false">
      <c r="A15754" s="10" t="n">
        <f aca="false">Einstellungen!$B$5+INT((ROW()-9)/24)</f>
        <v>46622</v>
      </c>
      <c r="B15754" s="11" t="n">
        <f aca="false">MOD(ROW()-9,24)</f>
        <v>1</v>
      </c>
      <c r="C15754" s="12"/>
      <c r="D15754" s="13" t="n">
        <f aca="false">IF(B15754&lt;5,Einstellungen!$B$3,Einstellungen!$B$4)</f>
        <v>15.92</v>
      </c>
      <c r="E15754" s="14" t="str">
        <f aca="false">IF(C15754="","",C15754*D15754/100)</f>
        <v/>
      </c>
      <c r="F15754" s="15" t="str">
        <f aca="false">IF(B15754&lt;5,"Go","Standard")</f>
        <v>Go</v>
      </c>
    </row>
    <row r="15755" customFormat="false" ht="15" hidden="false" customHeight="true" outlineLevel="0" collapsed="false">
      <c r="A15755" s="10" t="n">
        <f aca="false">Einstellungen!$B$5+INT((ROW()-9)/24)</f>
        <v>46622</v>
      </c>
      <c r="B15755" s="11" t="n">
        <f aca="false">MOD(ROW()-9,24)</f>
        <v>2</v>
      </c>
      <c r="C15755" s="12"/>
      <c r="D15755" s="13" t="n">
        <f aca="false">IF(B15755&lt;5,Einstellungen!$B$3,Einstellungen!$B$4)</f>
        <v>15.92</v>
      </c>
      <c r="E15755" s="14" t="str">
        <f aca="false">IF(C15755="","",C15755*D15755/100)</f>
        <v/>
      </c>
      <c r="F15755" s="15" t="str">
        <f aca="false">IF(B15755&lt;5,"Go","Standard")</f>
        <v>Go</v>
      </c>
    </row>
    <row r="15756" customFormat="false" ht="15" hidden="false" customHeight="true" outlineLevel="0" collapsed="false">
      <c r="A15756" s="10" t="n">
        <f aca="false">Einstellungen!$B$5+INT((ROW()-9)/24)</f>
        <v>46622</v>
      </c>
      <c r="B15756" s="11" t="n">
        <f aca="false">MOD(ROW()-9,24)</f>
        <v>3</v>
      </c>
      <c r="C15756" s="12"/>
      <c r="D15756" s="13" t="n">
        <f aca="false">IF(B15756&lt;5,Einstellungen!$B$3,Einstellungen!$B$4)</f>
        <v>15.92</v>
      </c>
      <c r="E15756" s="14" t="str">
        <f aca="false">IF(C15756="","",C15756*D15756/100)</f>
        <v/>
      </c>
      <c r="F15756" s="15" t="str">
        <f aca="false">IF(B15756&lt;5,"Go","Standard")</f>
        <v>Go</v>
      </c>
    </row>
    <row r="15757" customFormat="false" ht="15" hidden="false" customHeight="true" outlineLevel="0" collapsed="false">
      <c r="A15757" s="10" t="n">
        <f aca="false">Einstellungen!$B$5+INT((ROW()-9)/24)</f>
        <v>46622</v>
      </c>
      <c r="B15757" s="11" t="n">
        <f aca="false">MOD(ROW()-9,24)</f>
        <v>4</v>
      </c>
      <c r="C15757" s="12"/>
      <c r="D15757" s="13" t="n">
        <f aca="false">IF(B15757&lt;5,Einstellungen!$B$3,Einstellungen!$B$4)</f>
        <v>15.92</v>
      </c>
      <c r="E15757" s="14" t="str">
        <f aca="false">IF(C15757="","",C15757*D15757/100)</f>
        <v/>
      </c>
      <c r="F15757" s="15" t="str">
        <f aca="false">IF(B15757&lt;5,"Go","Standard")</f>
        <v>Go</v>
      </c>
    </row>
    <row r="15758" customFormat="false" ht="15" hidden="false" customHeight="true" outlineLevel="0" collapsed="false">
      <c r="A15758" s="10" t="n">
        <f aca="false">Einstellungen!$B$5+INT((ROW()-9)/24)</f>
        <v>46622</v>
      </c>
      <c r="B15758" s="11" t="n">
        <f aca="false">MOD(ROW()-9,24)</f>
        <v>5</v>
      </c>
      <c r="C15758" s="12"/>
      <c r="D15758" s="13" t="n">
        <f aca="false">IF(B15758&lt;5,Einstellungen!$B$3,Einstellungen!$B$4)</f>
        <v>29.13</v>
      </c>
      <c r="E15758" s="14" t="str">
        <f aca="false">IF(C15758="","",C15758*D15758/100)</f>
        <v/>
      </c>
      <c r="F15758" s="15" t="str">
        <f aca="false">IF(B15758&lt;5,"Go","Standard")</f>
        <v>Standard</v>
      </c>
    </row>
    <row r="15759" customFormat="false" ht="15" hidden="false" customHeight="true" outlineLevel="0" collapsed="false">
      <c r="A15759" s="10" t="n">
        <f aca="false">Einstellungen!$B$5+INT((ROW()-9)/24)</f>
        <v>46622</v>
      </c>
      <c r="B15759" s="11" t="n">
        <f aca="false">MOD(ROW()-9,24)</f>
        <v>6</v>
      </c>
      <c r="C15759" s="12"/>
      <c r="D15759" s="13" t="n">
        <f aca="false">IF(B15759&lt;5,Einstellungen!$B$3,Einstellungen!$B$4)</f>
        <v>29.13</v>
      </c>
      <c r="E15759" s="14" t="str">
        <f aca="false">IF(C15759="","",C15759*D15759/100)</f>
        <v/>
      </c>
      <c r="F15759" s="15" t="str">
        <f aca="false">IF(B15759&lt;5,"Go","Standard")</f>
        <v>Standard</v>
      </c>
    </row>
    <row r="15760" customFormat="false" ht="15" hidden="false" customHeight="true" outlineLevel="0" collapsed="false">
      <c r="A15760" s="10" t="n">
        <f aca="false">Einstellungen!$B$5+INT((ROW()-9)/24)</f>
        <v>46622</v>
      </c>
      <c r="B15760" s="11" t="n">
        <f aca="false">MOD(ROW()-9,24)</f>
        <v>7</v>
      </c>
      <c r="C15760" s="12"/>
      <c r="D15760" s="13" t="n">
        <f aca="false">IF(B15760&lt;5,Einstellungen!$B$3,Einstellungen!$B$4)</f>
        <v>29.13</v>
      </c>
      <c r="E15760" s="14" t="str">
        <f aca="false">IF(C15760="","",C15760*D15760/100)</f>
        <v/>
      </c>
      <c r="F15760" s="15" t="str">
        <f aca="false">IF(B15760&lt;5,"Go","Standard")</f>
        <v>Standard</v>
      </c>
    </row>
    <row r="15761" customFormat="false" ht="15" hidden="false" customHeight="true" outlineLevel="0" collapsed="false">
      <c r="A15761" s="10" t="n">
        <f aca="false">Einstellungen!$B$5+INT((ROW()-9)/24)</f>
        <v>46622</v>
      </c>
      <c r="B15761" s="11" t="n">
        <f aca="false">MOD(ROW()-9,24)</f>
        <v>8</v>
      </c>
      <c r="C15761" s="12"/>
      <c r="D15761" s="13" t="n">
        <f aca="false">IF(B15761&lt;5,Einstellungen!$B$3,Einstellungen!$B$4)</f>
        <v>29.13</v>
      </c>
      <c r="E15761" s="14" t="str">
        <f aca="false">IF(C15761="","",C15761*D15761/100)</f>
        <v/>
      </c>
      <c r="F15761" s="15" t="str">
        <f aca="false">IF(B15761&lt;5,"Go","Standard")</f>
        <v>Standard</v>
      </c>
    </row>
    <row r="15762" customFormat="false" ht="15" hidden="false" customHeight="true" outlineLevel="0" collapsed="false">
      <c r="A15762" s="10" t="n">
        <f aca="false">Einstellungen!$B$5+INT((ROW()-9)/24)</f>
        <v>46622</v>
      </c>
      <c r="B15762" s="11" t="n">
        <f aca="false">MOD(ROW()-9,24)</f>
        <v>9</v>
      </c>
      <c r="C15762" s="12"/>
      <c r="D15762" s="13" t="n">
        <f aca="false">IF(B15762&lt;5,Einstellungen!$B$3,Einstellungen!$B$4)</f>
        <v>29.13</v>
      </c>
      <c r="E15762" s="14" t="str">
        <f aca="false">IF(C15762="","",C15762*D15762/100)</f>
        <v/>
      </c>
      <c r="F15762" s="15" t="str">
        <f aca="false">IF(B15762&lt;5,"Go","Standard")</f>
        <v>Standard</v>
      </c>
    </row>
    <row r="15763" customFormat="false" ht="15" hidden="false" customHeight="true" outlineLevel="0" collapsed="false">
      <c r="A15763" s="10" t="n">
        <f aca="false">Einstellungen!$B$5+INT((ROW()-9)/24)</f>
        <v>46622</v>
      </c>
      <c r="B15763" s="11" t="n">
        <f aca="false">MOD(ROW()-9,24)</f>
        <v>10</v>
      </c>
      <c r="C15763" s="12"/>
      <c r="D15763" s="13" t="n">
        <f aca="false">IF(B15763&lt;5,Einstellungen!$B$3,Einstellungen!$B$4)</f>
        <v>29.13</v>
      </c>
      <c r="E15763" s="14" t="str">
        <f aca="false">IF(C15763="","",C15763*D15763/100)</f>
        <v/>
      </c>
      <c r="F15763" s="15" t="str">
        <f aca="false">IF(B15763&lt;5,"Go","Standard")</f>
        <v>Standard</v>
      </c>
    </row>
    <row r="15764" customFormat="false" ht="15" hidden="false" customHeight="true" outlineLevel="0" collapsed="false">
      <c r="A15764" s="10" t="n">
        <f aca="false">Einstellungen!$B$5+INT((ROW()-9)/24)</f>
        <v>46622</v>
      </c>
      <c r="B15764" s="11" t="n">
        <f aca="false">MOD(ROW()-9,24)</f>
        <v>11</v>
      </c>
      <c r="C15764" s="12"/>
      <c r="D15764" s="13" t="n">
        <f aca="false">IF(B15764&lt;5,Einstellungen!$B$3,Einstellungen!$B$4)</f>
        <v>29.13</v>
      </c>
      <c r="E15764" s="14" t="str">
        <f aca="false">IF(C15764="","",C15764*D15764/100)</f>
        <v/>
      </c>
      <c r="F15764" s="15" t="str">
        <f aca="false">IF(B15764&lt;5,"Go","Standard")</f>
        <v>Standard</v>
      </c>
    </row>
    <row r="15765" customFormat="false" ht="15" hidden="false" customHeight="true" outlineLevel="0" collapsed="false">
      <c r="A15765" s="10" t="n">
        <f aca="false">Einstellungen!$B$5+INT((ROW()-9)/24)</f>
        <v>46622</v>
      </c>
      <c r="B15765" s="11" t="n">
        <f aca="false">MOD(ROW()-9,24)</f>
        <v>12</v>
      </c>
      <c r="C15765" s="12"/>
      <c r="D15765" s="13" t="n">
        <f aca="false">IF(B15765&lt;5,Einstellungen!$B$3,Einstellungen!$B$4)</f>
        <v>29.13</v>
      </c>
      <c r="E15765" s="14" t="str">
        <f aca="false">IF(C15765="","",C15765*D15765/100)</f>
        <v/>
      </c>
      <c r="F15765" s="15" t="str">
        <f aca="false">IF(B15765&lt;5,"Go","Standard")</f>
        <v>Standard</v>
      </c>
    </row>
    <row r="15766" customFormat="false" ht="15" hidden="false" customHeight="true" outlineLevel="0" collapsed="false">
      <c r="A15766" s="10" t="n">
        <f aca="false">Einstellungen!$B$5+INT((ROW()-9)/24)</f>
        <v>46622</v>
      </c>
      <c r="B15766" s="11" t="n">
        <f aca="false">MOD(ROW()-9,24)</f>
        <v>13</v>
      </c>
      <c r="C15766" s="12"/>
      <c r="D15766" s="13" t="n">
        <f aca="false">IF(B15766&lt;5,Einstellungen!$B$3,Einstellungen!$B$4)</f>
        <v>29.13</v>
      </c>
      <c r="E15766" s="14" t="str">
        <f aca="false">IF(C15766="","",C15766*D15766/100)</f>
        <v/>
      </c>
      <c r="F15766" s="15" t="str">
        <f aca="false">IF(B15766&lt;5,"Go","Standard")</f>
        <v>Standard</v>
      </c>
    </row>
    <row r="15767" customFormat="false" ht="15" hidden="false" customHeight="true" outlineLevel="0" collapsed="false">
      <c r="A15767" s="10" t="n">
        <f aca="false">Einstellungen!$B$5+INT((ROW()-9)/24)</f>
        <v>46622</v>
      </c>
      <c r="B15767" s="11" t="n">
        <f aca="false">MOD(ROW()-9,24)</f>
        <v>14</v>
      </c>
      <c r="C15767" s="12"/>
      <c r="D15767" s="13" t="n">
        <f aca="false">IF(B15767&lt;5,Einstellungen!$B$3,Einstellungen!$B$4)</f>
        <v>29.13</v>
      </c>
      <c r="E15767" s="14" t="str">
        <f aca="false">IF(C15767="","",C15767*D15767/100)</f>
        <v/>
      </c>
      <c r="F15767" s="15" t="str">
        <f aca="false">IF(B15767&lt;5,"Go","Standard")</f>
        <v>Standard</v>
      </c>
    </row>
    <row r="15768" customFormat="false" ht="15" hidden="false" customHeight="true" outlineLevel="0" collapsed="false">
      <c r="A15768" s="10" t="n">
        <f aca="false">Einstellungen!$B$5+INT((ROW()-9)/24)</f>
        <v>46622</v>
      </c>
      <c r="B15768" s="11" t="n">
        <f aca="false">MOD(ROW()-9,24)</f>
        <v>15</v>
      </c>
      <c r="C15768" s="12"/>
      <c r="D15768" s="13" t="n">
        <f aca="false">IF(B15768&lt;5,Einstellungen!$B$3,Einstellungen!$B$4)</f>
        <v>29.13</v>
      </c>
      <c r="E15768" s="14" t="str">
        <f aca="false">IF(C15768="","",C15768*D15768/100)</f>
        <v/>
      </c>
      <c r="F15768" s="15" t="str">
        <f aca="false">IF(B15768&lt;5,"Go","Standard")</f>
        <v>Standard</v>
      </c>
    </row>
    <row r="15769" customFormat="false" ht="15" hidden="false" customHeight="true" outlineLevel="0" collapsed="false">
      <c r="A15769" s="10" t="n">
        <f aca="false">Einstellungen!$B$5+INT((ROW()-9)/24)</f>
        <v>46622</v>
      </c>
      <c r="B15769" s="11" t="n">
        <f aca="false">MOD(ROW()-9,24)</f>
        <v>16</v>
      </c>
      <c r="C15769" s="12"/>
      <c r="D15769" s="13" t="n">
        <f aca="false">IF(B15769&lt;5,Einstellungen!$B$3,Einstellungen!$B$4)</f>
        <v>29.13</v>
      </c>
      <c r="E15769" s="14" t="str">
        <f aca="false">IF(C15769="","",C15769*D15769/100)</f>
        <v/>
      </c>
      <c r="F15769" s="15" t="str">
        <f aca="false">IF(B15769&lt;5,"Go","Standard")</f>
        <v>Standard</v>
      </c>
    </row>
    <row r="15770" customFormat="false" ht="15" hidden="false" customHeight="true" outlineLevel="0" collapsed="false">
      <c r="A15770" s="10" t="n">
        <f aca="false">Einstellungen!$B$5+INT((ROW()-9)/24)</f>
        <v>46622</v>
      </c>
      <c r="B15770" s="11" t="n">
        <f aca="false">MOD(ROW()-9,24)</f>
        <v>17</v>
      </c>
      <c r="C15770" s="12"/>
      <c r="D15770" s="13" t="n">
        <f aca="false">IF(B15770&lt;5,Einstellungen!$B$3,Einstellungen!$B$4)</f>
        <v>29.13</v>
      </c>
      <c r="E15770" s="14" t="str">
        <f aca="false">IF(C15770="","",C15770*D15770/100)</f>
        <v/>
      </c>
      <c r="F15770" s="15" t="str">
        <f aca="false">IF(B15770&lt;5,"Go","Standard")</f>
        <v>Standard</v>
      </c>
    </row>
    <row r="15771" customFormat="false" ht="15" hidden="false" customHeight="true" outlineLevel="0" collapsed="false">
      <c r="A15771" s="10" t="n">
        <f aca="false">Einstellungen!$B$5+INT((ROW()-9)/24)</f>
        <v>46622</v>
      </c>
      <c r="B15771" s="11" t="n">
        <f aca="false">MOD(ROW()-9,24)</f>
        <v>18</v>
      </c>
      <c r="C15771" s="12"/>
      <c r="D15771" s="13" t="n">
        <f aca="false">IF(B15771&lt;5,Einstellungen!$B$3,Einstellungen!$B$4)</f>
        <v>29.13</v>
      </c>
      <c r="E15771" s="14" t="str">
        <f aca="false">IF(C15771="","",C15771*D15771/100)</f>
        <v/>
      </c>
      <c r="F15771" s="15" t="str">
        <f aca="false">IF(B15771&lt;5,"Go","Standard")</f>
        <v>Standard</v>
      </c>
    </row>
    <row r="15772" customFormat="false" ht="15" hidden="false" customHeight="true" outlineLevel="0" collapsed="false">
      <c r="A15772" s="10" t="n">
        <f aca="false">Einstellungen!$B$5+INT((ROW()-9)/24)</f>
        <v>46622</v>
      </c>
      <c r="B15772" s="11" t="n">
        <f aca="false">MOD(ROW()-9,24)</f>
        <v>19</v>
      </c>
      <c r="C15772" s="12"/>
      <c r="D15772" s="13" t="n">
        <f aca="false">IF(B15772&lt;5,Einstellungen!$B$3,Einstellungen!$B$4)</f>
        <v>29.13</v>
      </c>
      <c r="E15772" s="14" t="str">
        <f aca="false">IF(C15772="","",C15772*D15772/100)</f>
        <v/>
      </c>
      <c r="F15772" s="15" t="str">
        <f aca="false">IF(B15772&lt;5,"Go","Standard")</f>
        <v>Standard</v>
      </c>
    </row>
    <row r="15773" customFormat="false" ht="15" hidden="false" customHeight="true" outlineLevel="0" collapsed="false">
      <c r="A15773" s="10" t="n">
        <f aca="false">Einstellungen!$B$5+INT((ROW()-9)/24)</f>
        <v>46622</v>
      </c>
      <c r="B15773" s="11" t="n">
        <f aca="false">MOD(ROW()-9,24)</f>
        <v>20</v>
      </c>
      <c r="C15773" s="12"/>
      <c r="D15773" s="13" t="n">
        <f aca="false">IF(B15773&lt;5,Einstellungen!$B$3,Einstellungen!$B$4)</f>
        <v>29.13</v>
      </c>
      <c r="E15773" s="14" t="str">
        <f aca="false">IF(C15773="","",C15773*D15773/100)</f>
        <v/>
      </c>
      <c r="F15773" s="15" t="str">
        <f aca="false">IF(B15773&lt;5,"Go","Standard")</f>
        <v>Standard</v>
      </c>
    </row>
    <row r="15774" customFormat="false" ht="15" hidden="false" customHeight="true" outlineLevel="0" collapsed="false">
      <c r="A15774" s="10" t="n">
        <f aca="false">Einstellungen!$B$5+INT((ROW()-9)/24)</f>
        <v>46622</v>
      </c>
      <c r="B15774" s="11" t="n">
        <f aca="false">MOD(ROW()-9,24)</f>
        <v>21</v>
      </c>
      <c r="C15774" s="12"/>
      <c r="D15774" s="13" t="n">
        <f aca="false">IF(B15774&lt;5,Einstellungen!$B$3,Einstellungen!$B$4)</f>
        <v>29.13</v>
      </c>
      <c r="E15774" s="14" t="str">
        <f aca="false">IF(C15774="","",C15774*D15774/100)</f>
        <v/>
      </c>
      <c r="F15774" s="15" t="str">
        <f aca="false">IF(B15774&lt;5,"Go","Standard")</f>
        <v>Standard</v>
      </c>
    </row>
    <row r="15775" customFormat="false" ht="15" hidden="false" customHeight="true" outlineLevel="0" collapsed="false">
      <c r="A15775" s="10" t="n">
        <f aca="false">Einstellungen!$B$5+INT((ROW()-9)/24)</f>
        <v>46622</v>
      </c>
      <c r="B15775" s="11" t="n">
        <f aca="false">MOD(ROW()-9,24)</f>
        <v>22</v>
      </c>
      <c r="C15775" s="12"/>
      <c r="D15775" s="13" t="n">
        <f aca="false">IF(B15775&lt;5,Einstellungen!$B$3,Einstellungen!$B$4)</f>
        <v>29.13</v>
      </c>
      <c r="E15775" s="14" t="str">
        <f aca="false">IF(C15775="","",C15775*D15775/100)</f>
        <v/>
      </c>
      <c r="F15775" s="15" t="str">
        <f aca="false">IF(B15775&lt;5,"Go","Standard")</f>
        <v>Standard</v>
      </c>
    </row>
    <row r="15776" customFormat="false" ht="15" hidden="false" customHeight="true" outlineLevel="0" collapsed="false">
      <c r="A15776" s="10" t="n">
        <f aca="false">Einstellungen!$B$5+INT((ROW()-9)/24)</f>
        <v>46622</v>
      </c>
      <c r="B15776" s="11" t="n">
        <f aca="false">MOD(ROW()-9,24)</f>
        <v>23</v>
      </c>
      <c r="C15776" s="12"/>
      <c r="D15776" s="13" t="n">
        <f aca="false">IF(B15776&lt;5,Einstellungen!$B$3,Einstellungen!$B$4)</f>
        <v>29.13</v>
      </c>
      <c r="E15776" s="14" t="str">
        <f aca="false">IF(C15776="","",C15776*D15776/100)</f>
        <v/>
      </c>
      <c r="F15776" s="15" t="str">
        <f aca="false">IF(B15776&lt;5,"Go","Standard")</f>
        <v>Standard</v>
      </c>
    </row>
    <row r="15777" customFormat="false" ht="15" hidden="false" customHeight="true" outlineLevel="0" collapsed="false">
      <c r="A15777" s="10" t="n">
        <f aca="false">Einstellungen!$B$5+INT((ROW()-9)/24)</f>
        <v>46623</v>
      </c>
      <c r="B15777" s="11" t="n">
        <f aca="false">MOD(ROW()-9,24)</f>
        <v>0</v>
      </c>
      <c r="C15777" s="12"/>
      <c r="D15777" s="13" t="n">
        <f aca="false">IF(B15777&lt;5,Einstellungen!$B$3,Einstellungen!$B$4)</f>
        <v>15.92</v>
      </c>
      <c r="E15777" s="14" t="str">
        <f aca="false">IF(C15777="","",C15777*D15777/100)</f>
        <v/>
      </c>
      <c r="F15777" s="15" t="str">
        <f aca="false">IF(B15777&lt;5,"Go","Standard")</f>
        <v>Go</v>
      </c>
    </row>
    <row r="15778" customFormat="false" ht="15" hidden="false" customHeight="true" outlineLevel="0" collapsed="false">
      <c r="A15778" s="10" t="n">
        <f aca="false">Einstellungen!$B$5+INT((ROW()-9)/24)</f>
        <v>46623</v>
      </c>
      <c r="B15778" s="11" t="n">
        <f aca="false">MOD(ROW()-9,24)</f>
        <v>1</v>
      </c>
      <c r="C15778" s="12"/>
      <c r="D15778" s="13" t="n">
        <f aca="false">IF(B15778&lt;5,Einstellungen!$B$3,Einstellungen!$B$4)</f>
        <v>15.92</v>
      </c>
      <c r="E15778" s="14" t="str">
        <f aca="false">IF(C15778="","",C15778*D15778/100)</f>
        <v/>
      </c>
      <c r="F15778" s="15" t="str">
        <f aca="false">IF(B15778&lt;5,"Go","Standard")</f>
        <v>Go</v>
      </c>
    </row>
    <row r="15779" customFormat="false" ht="15" hidden="false" customHeight="true" outlineLevel="0" collapsed="false">
      <c r="A15779" s="10" t="n">
        <f aca="false">Einstellungen!$B$5+INT((ROW()-9)/24)</f>
        <v>46623</v>
      </c>
      <c r="B15779" s="11" t="n">
        <f aca="false">MOD(ROW()-9,24)</f>
        <v>2</v>
      </c>
      <c r="C15779" s="12"/>
      <c r="D15779" s="13" t="n">
        <f aca="false">IF(B15779&lt;5,Einstellungen!$B$3,Einstellungen!$B$4)</f>
        <v>15.92</v>
      </c>
      <c r="E15779" s="14" t="str">
        <f aca="false">IF(C15779="","",C15779*D15779/100)</f>
        <v/>
      </c>
      <c r="F15779" s="15" t="str">
        <f aca="false">IF(B15779&lt;5,"Go","Standard")</f>
        <v>Go</v>
      </c>
    </row>
    <row r="15780" customFormat="false" ht="15" hidden="false" customHeight="true" outlineLevel="0" collapsed="false">
      <c r="A15780" s="10" t="n">
        <f aca="false">Einstellungen!$B$5+INT((ROW()-9)/24)</f>
        <v>46623</v>
      </c>
      <c r="B15780" s="11" t="n">
        <f aca="false">MOD(ROW()-9,24)</f>
        <v>3</v>
      </c>
      <c r="C15780" s="12"/>
      <c r="D15780" s="13" t="n">
        <f aca="false">IF(B15780&lt;5,Einstellungen!$B$3,Einstellungen!$B$4)</f>
        <v>15.92</v>
      </c>
      <c r="E15780" s="14" t="str">
        <f aca="false">IF(C15780="","",C15780*D15780/100)</f>
        <v/>
      </c>
      <c r="F15780" s="15" t="str">
        <f aca="false">IF(B15780&lt;5,"Go","Standard")</f>
        <v>Go</v>
      </c>
    </row>
    <row r="15781" customFormat="false" ht="15" hidden="false" customHeight="true" outlineLevel="0" collapsed="false">
      <c r="A15781" s="10" t="n">
        <f aca="false">Einstellungen!$B$5+INT((ROW()-9)/24)</f>
        <v>46623</v>
      </c>
      <c r="B15781" s="11" t="n">
        <f aca="false">MOD(ROW()-9,24)</f>
        <v>4</v>
      </c>
      <c r="C15781" s="12"/>
      <c r="D15781" s="13" t="n">
        <f aca="false">IF(B15781&lt;5,Einstellungen!$B$3,Einstellungen!$B$4)</f>
        <v>15.92</v>
      </c>
      <c r="E15781" s="14" t="str">
        <f aca="false">IF(C15781="","",C15781*D15781/100)</f>
        <v/>
      </c>
      <c r="F15781" s="15" t="str">
        <f aca="false">IF(B15781&lt;5,"Go","Standard")</f>
        <v>Go</v>
      </c>
    </row>
    <row r="15782" customFormat="false" ht="15" hidden="false" customHeight="true" outlineLevel="0" collapsed="false">
      <c r="A15782" s="10" t="n">
        <f aca="false">Einstellungen!$B$5+INT((ROW()-9)/24)</f>
        <v>46623</v>
      </c>
      <c r="B15782" s="11" t="n">
        <f aca="false">MOD(ROW()-9,24)</f>
        <v>5</v>
      </c>
      <c r="C15782" s="12"/>
      <c r="D15782" s="13" t="n">
        <f aca="false">IF(B15782&lt;5,Einstellungen!$B$3,Einstellungen!$B$4)</f>
        <v>29.13</v>
      </c>
      <c r="E15782" s="14" t="str">
        <f aca="false">IF(C15782="","",C15782*D15782/100)</f>
        <v/>
      </c>
      <c r="F15782" s="15" t="str">
        <f aca="false">IF(B15782&lt;5,"Go","Standard")</f>
        <v>Standard</v>
      </c>
    </row>
    <row r="15783" customFormat="false" ht="15" hidden="false" customHeight="true" outlineLevel="0" collapsed="false">
      <c r="A15783" s="10" t="n">
        <f aca="false">Einstellungen!$B$5+INT((ROW()-9)/24)</f>
        <v>46623</v>
      </c>
      <c r="B15783" s="11" t="n">
        <f aca="false">MOD(ROW()-9,24)</f>
        <v>6</v>
      </c>
      <c r="C15783" s="12"/>
      <c r="D15783" s="13" t="n">
        <f aca="false">IF(B15783&lt;5,Einstellungen!$B$3,Einstellungen!$B$4)</f>
        <v>29.13</v>
      </c>
      <c r="E15783" s="14" t="str">
        <f aca="false">IF(C15783="","",C15783*D15783/100)</f>
        <v/>
      </c>
      <c r="F15783" s="15" t="str">
        <f aca="false">IF(B15783&lt;5,"Go","Standard")</f>
        <v>Standard</v>
      </c>
    </row>
    <row r="15784" customFormat="false" ht="15" hidden="false" customHeight="true" outlineLevel="0" collapsed="false">
      <c r="A15784" s="10" t="n">
        <f aca="false">Einstellungen!$B$5+INT((ROW()-9)/24)</f>
        <v>46623</v>
      </c>
      <c r="B15784" s="11" t="n">
        <f aca="false">MOD(ROW()-9,24)</f>
        <v>7</v>
      </c>
      <c r="C15784" s="12"/>
      <c r="D15784" s="13" t="n">
        <f aca="false">IF(B15784&lt;5,Einstellungen!$B$3,Einstellungen!$B$4)</f>
        <v>29.13</v>
      </c>
      <c r="E15784" s="14" t="str">
        <f aca="false">IF(C15784="","",C15784*D15784/100)</f>
        <v/>
      </c>
      <c r="F15784" s="15" t="str">
        <f aca="false">IF(B15784&lt;5,"Go","Standard")</f>
        <v>Standard</v>
      </c>
    </row>
    <row r="15785" customFormat="false" ht="15" hidden="false" customHeight="true" outlineLevel="0" collapsed="false">
      <c r="A15785" s="10" t="n">
        <f aca="false">Einstellungen!$B$5+INT((ROW()-9)/24)</f>
        <v>46623</v>
      </c>
      <c r="B15785" s="11" t="n">
        <f aca="false">MOD(ROW()-9,24)</f>
        <v>8</v>
      </c>
      <c r="C15785" s="12"/>
      <c r="D15785" s="13" t="n">
        <f aca="false">IF(B15785&lt;5,Einstellungen!$B$3,Einstellungen!$B$4)</f>
        <v>29.13</v>
      </c>
      <c r="E15785" s="14" t="str">
        <f aca="false">IF(C15785="","",C15785*D15785/100)</f>
        <v/>
      </c>
      <c r="F15785" s="15" t="str">
        <f aca="false">IF(B15785&lt;5,"Go","Standard")</f>
        <v>Standard</v>
      </c>
    </row>
    <row r="15786" customFormat="false" ht="15" hidden="false" customHeight="true" outlineLevel="0" collapsed="false">
      <c r="A15786" s="10" t="n">
        <f aca="false">Einstellungen!$B$5+INT((ROW()-9)/24)</f>
        <v>46623</v>
      </c>
      <c r="B15786" s="11" t="n">
        <f aca="false">MOD(ROW()-9,24)</f>
        <v>9</v>
      </c>
      <c r="C15786" s="12"/>
      <c r="D15786" s="13" t="n">
        <f aca="false">IF(B15786&lt;5,Einstellungen!$B$3,Einstellungen!$B$4)</f>
        <v>29.13</v>
      </c>
      <c r="E15786" s="14" t="str">
        <f aca="false">IF(C15786="","",C15786*D15786/100)</f>
        <v/>
      </c>
      <c r="F15786" s="15" t="str">
        <f aca="false">IF(B15786&lt;5,"Go","Standard")</f>
        <v>Standard</v>
      </c>
    </row>
    <row r="15787" customFormat="false" ht="15" hidden="false" customHeight="true" outlineLevel="0" collapsed="false">
      <c r="A15787" s="10" t="n">
        <f aca="false">Einstellungen!$B$5+INT((ROW()-9)/24)</f>
        <v>46623</v>
      </c>
      <c r="B15787" s="11" t="n">
        <f aca="false">MOD(ROW()-9,24)</f>
        <v>10</v>
      </c>
      <c r="C15787" s="12"/>
      <c r="D15787" s="13" t="n">
        <f aca="false">IF(B15787&lt;5,Einstellungen!$B$3,Einstellungen!$B$4)</f>
        <v>29.13</v>
      </c>
      <c r="E15787" s="14" t="str">
        <f aca="false">IF(C15787="","",C15787*D15787/100)</f>
        <v/>
      </c>
      <c r="F15787" s="15" t="str">
        <f aca="false">IF(B15787&lt;5,"Go","Standard")</f>
        <v>Standard</v>
      </c>
    </row>
    <row r="15788" customFormat="false" ht="15" hidden="false" customHeight="true" outlineLevel="0" collapsed="false">
      <c r="A15788" s="10" t="n">
        <f aca="false">Einstellungen!$B$5+INT((ROW()-9)/24)</f>
        <v>46623</v>
      </c>
      <c r="B15788" s="11" t="n">
        <f aca="false">MOD(ROW()-9,24)</f>
        <v>11</v>
      </c>
      <c r="C15788" s="12"/>
      <c r="D15788" s="13" t="n">
        <f aca="false">IF(B15788&lt;5,Einstellungen!$B$3,Einstellungen!$B$4)</f>
        <v>29.13</v>
      </c>
      <c r="E15788" s="14" t="str">
        <f aca="false">IF(C15788="","",C15788*D15788/100)</f>
        <v/>
      </c>
      <c r="F15788" s="15" t="str">
        <f aca="false">IF(B15788&lt;5,"Go","Standard")</f>
        <v>Standard</v>
      </c>
    </row>
    <row r="15789" customFormat="false" ht="15" hidden="false" customHeight="true" outlineLevel="0" collapsed="false">
      <c r="A15789" s="10" t="n">
        <f aca="false">Einstellungen!$B$5+INT((ROW()-9)/24)</f>
        <v>46623</v>
      </c>
      <c r="B15789" s="11" t="n">
        <f aca="false">MOD(ROW()-9,24)</f>
        <v>12</v>
      </c>
      <c r="C15789" s="12"/>
      <c r="D15789" s="13" t="n">
        <f aca="false">IF(B15789&lt;5,Einstellungen!$B$3,Einstellungen!$B$4)</f>
        <v>29.13</v>
      </c>
      <c r="E15789" s="14" t="str">
        <f aca="false">IF(C15789="","",C15789*D15789/100)</f>
        <v/>
      </c>
      <c r="F15789" s="15" t="str">
        <f aca="false">IF(B15789&lt;5,"Go","Standard")</f>
        <v>Standard</v>
      </c>
    </row>
    <row r="15790" customFormat="false" ht="15" hidden="false" customHeight="true" outlineLevel="0" collapsed="false">
      <c r="A15790" s="10" t="n">
        <f aca="false">Einstellungen!$B$5+INT((ROW()-9)/24)</f>
        <v>46623</v>
      </c>
      <c r="B15790" s="11" t="n">
        <f aca="false">MOD(ROW()-9,24)</f>
        <v>13</v>
      </c>
      <c r="C15790" s="12"/>
      <c r="D15790" s="13" t="n">
        <f aca="false">IF(B15790&lt;5,Einstellungen!$B$3,Einstellungen!$B$4)</f>
        <v>29.13</v>
      </c>
      <c r="E15790" s="14" t="str">
        <f aca="false">IF(C15790="","",C15790*D15790/100)</f>
        <v/>
      </c>
      <c r="F15790" s="15" t="str">
        <f aca="false">IF(B15790&lt;5,"Go","Standard")</f>
        <v>Standard</v>
      </c>
    </row>
    <row r="15791" customFormat="false" ht="15" hidden="false" customHeight="true" outlineLevel="0" collapsed="false">
      <c r="A15791" s="10" t="n">
        <f aca="false">Einstellungen!$B$5+INT((ROW()-9)/24)</f>
        <v>46623</v>
      </c>
      <c r="B15791" s="11" t="n">
        <f aca="false">MOD(ROW()-9,24)</f>
        <v>14</v>
      </c>
      <c r="C15791" s="12"/>
      <c r="D15791" s="13" t="n">
        <f aca="false">IF(B15791&lt;5,Einstellungen!$B$3,Einstellungen!$B$4)</f>
        <v>29.13</v>
      </c>
      <c r="E15791" s="14" t="str">
        <f aca="false">IF(C15791="","",C15791*D15791/100)</f>
        <v/>
      </c>
      <c r="F15791" s="15" t="str">
        <f aca="false">IF(B15791&lt;5,"Go","Standard")</f>
        <v>Standard</v>
      </c>
    </row>
    <row r="15792" customFormat="false" ht="15" hidden="false" customHeight="true" outlineLevel="0" collapsed="false">
      <c r="A15792" s="10" t="n">
        <f aca="false">Einstellungen!$B$5+INT((ROW()-9)/24)</f>
        <v>46623</v>
      </c>
      <c r="B15792" s="11" t="n">
        <f aca="false">MOD(ROW()-9,24)</f>
        <v>15</v>
      </c>
      <c r="C15792" s="12"/>
      <c r="D15792" s="13" t="n">
        <f aca="false">IF(B15792&lt;5,Einstellungen!$B$3,Einstellungen!$B$4)</f>
        <v>29.13</v>
      </c>
      <c r="E15792" s="14" t="str">
        <f aca="false">IF(C15792="","",C15792*D15792/100)</f>
        <v/>
      </c>
      <c r="F15792" s="15" t="str">
        <f aca="false">IF(B15792&lt;5,"Go","Standard")</f>
        <v>Standard</v>
      </c>
    </row>
    <row r="15793" customFormat="false" ht="15" hidden="false" customHeight="true" outlineLevel="0" collapsed="false">
      <c r="A15793" s="10" t="n">
        <f aca="false">Einstellungen!$B$5+INT((ROW()-9)/24)</f>
        <v>46623</v>
      </c>
      <c r="B15793" s="11" t="n">
        <f aca="false">MOD(ROW()-9,24)</f>
        <v>16</v>
      </c>
      <c r="C15793" s="12"/>
      <c r="D15793" s="13" t="n">
        <f aca="false">IF(B15793&lt;5,Einstellungen!$B$3,Einstellungen!$B$4)</f>
        <v>29.13</v>
      </c>
      <c r="E15793" s="14" t="str">
        <f aca="false">IF(C15793="","",C15793*D15793/100)</f>
        <v/>
      </c>
      <c r="F15793" s="15" t="str">
        <f aca="false">IF(B15793&lt;5,"Go","Standard")</f>
        <v>Standard</v>
      </c>
    </row>
    <row r="15794" customFormat="false" ht="15" hidden="false" customHeight="true" outlineLevel="0" collapsed="false">
      <c r="A15794" s="10" t="n">
        <f aca="false">Einstellungen!$B$5+INT((ROW()-9)/24)</f>
        <v>46623</v>
      </c>
      <c r="B15794" s="11" t="n">
        <f aca="false">MOD(ROW()-9,24)</f>
        <v>17</v>
      </c>
      <c r="C15794" s="12"/>
      <c r="D15794" s="13" t="n">
        <f aca="false">IF(B15794&lt;5,Einstellungen!$B$3,Einstellungen!$B$4)</f>
        <v>29.13</v>
      </c>
      <c r="E15794" s="14" t="str">
        <f aca="false">IF(C15794="","",C15794*D15794/100)</f>
        <v/>
      </c>
      <c r="F15794" s="15" t="str">
        <f aca="false">IF(B15794&lt;5,"Go","Standard")</f>
        <v>Standard</v>
      </c>
    </row>
    <row r="15795" customFormat="false" ht="15" hidden="false" customHeight="true" outlineLevel="0" collapsed="false">
      <c r="A15795" s="10" t="n">
        <f aca="false">Einstellungen!$B$5+INT((ROW()-9)/24)</f>
        <v>46623</v>
      </c>
      <c r="B15795" s="11" t="n">
        <f aca="false">MOD(ROW()-9,24)</f>
        <v>18</v>
      </c>
      <c r="C15795" s="12"/>
      <c r="D15795" s="13" t="n">
        <f aca="false">IF(B15795&lt;5,Einstellungen!$B$3,Einstellungen!$B$4)</f>
        <v>29.13</v>
      </c>
      <c r="E15795" s="14" t="str">
        <f aca="false">IF(C15795="","",C15795*D15795/100)</f>
        <v/>
      </c>
      <c r="F15795" s="15" t="str">
        <f aca="false">IF(B15795&lt;5,"Go","Standard")</f>
        <v>Standard</v>
      </c>
    </row>
    <row r="15796" customFormat="false" ht="15" hidden="false" customHeight="true" outlineLevel="0" collapsed="false">
      <c r="A15796" s="10" t="n">
        <f aca="false">Einstellungen!$B$5+INT((ROW()-9)/24)</f>
        <v>46623</v>
      </c>
      <c r="B15796" s="11" t="n">
        <f aca="false">MOD(ROW()-9,24)</f>
        <v>19</v>
      </c>
      <c r="C15796" s="12"/>
      <c r="D15796" s="13" t="n">
        <f aca="false">IF(B15796&lt;5,Einstellungen!$B$3,Einstellungen!$B$4)</f>
        <v>29.13</v>
      </c>
      <c r="E15796" s="14" t="str">
        <f aca="false">IF(C15796="","",C15796*D15796/100)</f>
        <v/>
      </c>
      <c r="F15796" s="15" t="str">
        <f aca="false">IF(B15796&lt;5,"Go","Standard")</f>
        <v>Standard</v>
      </c>
    </row>
    <row r="15797" customFormat="false" ht="15" hidden="false" customHeight="true" outlineLevel="0" collapsed="false">
      <c r="A15797" s="10" t="n">
        <f aca="false">Einstellungen!$B$5+INT((ROW()-9)/24)</f>
        <v>46623</v>
      </c>
      <c r="B15797" s="11" t="n">
        <f aca="false">MOD(ROW()-9,24)</f>
        <v>20</v>
      </c>
      <c r="C15797" s="12"/>
      <c r="D15797" s="13" t="n">
        <f aca="false">IF(B15797&lt;5,Einstellungen!$B$3,Einstellungen!$B$4)</f>
        <v>29.13</v>
      </c>
      <c r="E15797" s="14" t="str">
        <f aca="false">IF(C15797="","",C15797*D15797/100)</f>
        <v/>
      </c>
      <c r="F15797" s="15" t="str">
        <f aca="false">IF(B15797&lt;5,"Go","Standard")</f>
        <v>Standard</v>
      </c>
    </row>
    <row r="15798" customFormat="false" ht="15" hidden="false" customHeight="true" outlineLevel="0" collapsed="false">
      <c r="A15798" s="10" t="n">
        <f aca="false">Einstellungen!$B$5+INT((ROW()-9)/24)</f>
        <v>46623</v>
      </c>
      <c r="B15798" s="11" t="n">
        <f aca="false">MOD(ROW()-9,24)</f>
        <v>21</v>
      </c>
      <c r="C15798" s="12"/>
      <c r="D15798" s="13" t="n">
        <f aca="false">IF(B15798&lt;5,Einstellungen!$B$3,Einstellungen!$B$4)</f>
        <v>29.13</v>
      </c>
      <c r="E15798" s="14" t="str">
        <f aca="false">IF(C15798="","",C15798*D15798/100)</f>
        <v/>
      </c>
      <c r="F15798" s="15" t="str">
        <f aca="false">IF(B15798&lt;5,"Go","Standard")</f>
        <v>Standard</v>
      </c>
    </row>
    <row r="15799" customFormat="false" ht="15" hidden="false" customHeight="true" outlineLevel="0" collapsed="false">
      <c r="A15799" s="10" t="n">
        <f aca="false">Einstellungen!$B$5+INT((ROW()-9)/24)</f>
        <v>46623</v>
      </c>
      <c r="B15799" s="11" t="n">
        <f aca="false">MOD(ROW()-9,24)</f>
        <v>22</v>
      </c>
      <c r="C15799" s="12"/>
      <c r="D15799" s="13" t="n">
        <f aca="false">IF(B15799&lt;5,Einstellungen!$B$3,Einstellungen!$B$4)</f>
        <v>29.13</v>
      </c>
      <c r="E15799" s="14" t="str">
        <f aca="false">IF(C15799="","",C15799*D15799/100)</f>
        <v/>
      </c>
      <c r="F15799" s="15" t="str">
        <f aca="false">IF(B15799&lt;5,"Go","Standard")</f>
        <v>Standard</v>
      </c>
    </row>
    <row r="15800" customFormat="false" ht="15" hidden="false" customHeight="true" outlineLevel="0" collapsed="false">
      <c r="A15800" s="10" t="n">
        <f aca="false">Einstellungen!$B$5+INT((ROW()-9)/24)</f>
        <v>46623</v>
      </c>
      <c r="B15800" s="11" t="n">
        <f aca="false">MOD(ROW()-9,24)</f>
        <v>23</v>
      </c>
      <c r="C15800" s="12"/>
      <c r="D15800" s="13" t="n">
        <f aca="false">IF(B15800&lt;5,Einstellungen!$B$3,Einstellungen!$B$4)</f>
        <v>29.13</v>
      </c>
      <c r="E15800" s="14" t="str">
        <f aca="false">IF(C15800="","",C15800*D15800/100)</f>
        <v/>
      </c>
      <c r="F15800" s="15" t="str">
        <f aca="false">IF(B15800&lt;5,"Go","Standard")</f>
        <v>Standard</v>
      </c>
    </row>
    <row r="15801" customFormat="false" ht="15" hidden="false" customHeight="true" outlineLevel="0" collapsed="false">
      <c r="A15801" s="10" t="n">
        <f aca="false">Einstellungen!$B$5+INT((ROW()-9)/24)</f>
        <v>46624</v>
      </c>
      <c r="B15801" s="11" t="n">
        <f aca="false">MOD(ROW()-9,24)</f>
        <v>0</v>
      </c>
      <c r="C15801" s="12"/>
      <c r="D15801" s="13" t="n">
        <f aca="false">IF(B15801&lt;5,Einstellungen!$B$3,Einstellungen!$B$4)</f>
        <v>15.92</v>
      </c>
      <c r="E15801" s="14" t="str">
        <f aca="false">IF(C15801="","",C15801*D15801/100)</f>
        <v/>
      </c>
      <c r="F15801" s="15" t="str">
        <f aca="false">IF(B15801&lt;5,"Go","Standard")</f>
        <v>Go</v>
      </c>
    </row>
    <row r="15802" customFormat="false" ht="15" hidden="false" customHeight="true" outlineLevel="0" collapsed="false">
      <c r="A15802" s="10" t="n">
        <f aca="false">Einstellungen!$B$5+INT((ROW()-9)/24)</f>
        <v>46624</v>
      </c>
      <c r="B15802" s="11" t="n">
        <f aca="false">MOD(ROW()-9,24)</f>
        <v>1</v>
      </c>
      <c r="C15802" s="12"/>
      <c r="D15802" s="13" t="n">
        <f aca="false">IF(B15802&lt;5,Einstellungen!$B$3,Einstellungen!$B$4)</f>
        <v>15.92</v>
      </c>
      <c r="E15802" s="14" t="str">
        <f aca="false">IF(C15802="","",C15802*D15802/100)</f>
        <v/>
      </c>
      <c r="F15802" s="15" t="str">
        <f aca="false">IF(B15802&lt;5,"Go","Standard")</f>
        <v>Go</v>
      </c>
    </row>
    <row r="15803" customFormat="false" ht="15" hidden="false" customHeight="true" outlineLevel="0" collapsed="false">
      <c r="A15803" s="10" t="n">
        <f aca="false">Einstellungen!$B$5+INT((ROW()-9)/24)</f>
        <v>46624</v>
      </c>
      <c r="B15803" s="11" t="n">
        <f aca="false">MOD(ROW()-9,24)</f>
        <v>2</v>
      </c>
      <c r="C15803" s="12"/>
      <c r="D15803" s="13" t="n">
        <f aca="false">IF(B15803&lt;5,Einstellungen!$B$3,Einstellungen!$B$4)</f>
        <v>15.92</v>
      </c>
      <c r="E15803" s="14" t="str">
        <f aca="false">IF(C15803="","",C15803*D15803/100)</f>
        <v/>
      </c>
      <c r="F15803" s="15" t="str">
        <f aca="false">IF(B15803&lt;5,"Go","Standard")</f>
        <v>Go</v>
      </c>
    </row>
    <row r="15804" customFormat="false" ht="15" hidden="false" customHeight="true" outlineLevel="0" collapsed="false">
      <c r="A15804" s="10" t="n">
        <f aca="false">Einstellungen!$B$5+INT((ROW()-9)/24)</f>
        <v>46624</v>
      </c>
      <c r="B15804" s="11" t="n">
        <f aca="false">MOD(ROW()-9,24)</f>
        <v>3</v>
      </c>
      <c r="C15804" s="12"/>
      <c r="D15804" s="13" t="n">
        <f aca="false">IF(B15804&lt;5,Einstellungen!$B$3,Einstellungen!$B$4)</f>
        <v>15.92</v>
      </c>
      <c r="E15804" s="14" t="str">
        <f aca="false">IF(C15804="","",C15804*D15804/100)</f>
        <v/>
      </c>
      <c r="F15804" s="15" t="str">
        <f aca="false">IF(B15804&lt;5,"Go","Standard")</f>
        <v>Go</v>
      </c>
    </row>
    <row r="15805" customFormat="false" ht="15" hidden="false" customHeight="true" outlineLevel="0" collapsed="false">
      <c r="A15805" s="10" t="n">
        <f aca="false">Einstellungen!$B$5+INT((ROW()-9)/24)</f>
        <v>46624</v>
      </c>
      <c r="B15805" s="11" t="n">
        <f aca="false">MOD(ROW()-9,24)</f>
        <v>4</v>
      </c>
      <c r="C15805" s="12"/>
      <c r="D15805" s="13" t="n">
        <f aca="false">IF(B15805&lt;5,Einstellungen!$B$3,Einstellungen!$B$4)</f>
        <v>15.92</v>
      </c>
      <c r="E15805" s="14" t="str">
        <f aca="false">IF(C15805="","",C15805*D15805/100)</f>
        <v/>
      </c>
      <c r="F15805" s="15" t="str">
        <f aca="false">IF(B15805&lt;5,"Go","Standard")</f>
        <v>Go</v>
      </c>
    </row>
    <row r="15806" customFormat="false" ht="15" hidden="false" customHeight="true" outlineLevel="0" collapsed="false">
      <c r="A15806" s="10" t="n">
        <f aca="false">Einstellungen!$B$5+INT((ROW()-9)/24)</f>
        <v>46624</v>
      </c>
      <c r="B15806" s="11" t="n">
        <f aca="false">MOD(ROW()-9,24)</f>
        <v>5</v>
      </c>
      <c r="C15806" s="12"/>
      <c r="D15806" s="13" t="n">
        <f aca="false">IF(B15806&lt;5,Einstellungen!$B$3,Einstellungen!$B$4)</f>
        <v>29.13</v>
      </c>
      <c r="E15806" s="14" t="str">
        <f aca="false">IF(C15806="","",C15806*D15806/100)</f>
        <v/>
      </c>
      <c r="F15806" s="15" t="str">
        <f aca="false">IF(B15806&lt;5,"Go","Standard")</f>
        <v>Standard</v>
      </c>
    </row>
    <row r="15807" customFormat="false" ht="15" hidden="false" customHeight="true" outlineLevel="0" collapsed="false">
      <c r="A15807" s="10" t="n">
        <f aca="false">Einstellungen!$B$5+INT((ROW()-9)/24)</f>
        <v>46624</v>
      </c>
      <c r="B15807" s="11" t="n">
        <f aca="false">MOD(ROW()-9,24)</f>
        <v>6</v>
      </c>
      <c r="C15807" s="12"/>
      <c r="D15807" s="13" t="n">
        <f aca="false">IF(B15807&lt;5,Einstellungen!$B$3,Einstellungen!$B$4)</f>
        <v>29.13</v>
      </c>
      <c r="E15807" s="14" t="str">
        <f aca="false">IF(C15807="","",C15807*D15807/100)</f>
        <v/>
      </c>
      <c r="F15807" s="15" t="str">
        <f aca="false">IF(B15807&lt;5,"Go","Standard")</f>
        <v>Standard</v>
      </c>
    </row>
    <row r="15808" customFormat="false" ht="15" hidden="false" customHeight="true" outlineLevel="0" collapsed="false">
      <c r="A15808" s="10" t="n">
        <f aca="false">Einstellungen!$B$5+INT((ROW()-9)/24)</f>
        <v>46624</v>
      </c>
      <c r="B15808" s="11" t="n">
        <f aca="false">MOD(ROW()-9,24)</f>
        <v>7</v>
      </c>
      <c r="C15808" s="12"/>
      <c r="D15808" s="13" t="n">
        <f aca="false">IF(B15808&lt;5,Einstellungen!$B$3,Einstellungen!$B$4)</f>
        <v>29.13</v>
      </c>
      <c r="E15808" s="14" t="str">
        <f aca="false">IF(C15808="","",C15808*D15808/100)</f>
        <v/>
      </c>
      <c r="F15808" s="15" t="str">
        <f aca="false">IF(B15808&lt;5,"Go","Standard")</f>
        <v>Standard</v>
      </c>
    </row>
    <row r="15809" customFormat="false" ht="15" hidden="false" customHeight="true" outlineLevel="0" collapsed="false">
      <c r="A15809" s="10" t="n">
        <f aca="false">Einstellungen!$B$5+INT((ROW()-9)/24)</f>
        <v>46624</v>
      </c>
      <c r="B15809" s="11" t="n">
        <f aca="false">MOD(ROW()-9,24)</f>
        <v>8</v>
      </c>
      <c r="C15809" s="12"/>
      <c r="D15809" s="13" t="n">
        <f aca="false">IF(B15809&lt;5,Einstellungen!$B$3,Einstellungen!$B$4)</f>
        <v>29.13</v>
      </c>
      <c r="E15809" s="14" t="str">
        <f aca="false">IF(C15809="","",C15809*D15809/100)</f>
        <v/>
      </c>
      <c r="F15809" s="15" t="str">
        <f aca="false">IF(B15809&lt;5,"Go","Standard")</f>
        <v>Standard</v>
      </c>
    </row>
    <row r="15810" customFormat="false" ht="15" hidden="false" customHeight="true" outlineLevel="0" collapsed="false">
      <c r="A15810" s="10" t="n">
        <f aca="false">Einstellungen!$B$5+INT((ROW()-9)/24)</f>
        <v>46624</v>
      </c>
      <c r="B15810" s="11" t="n">
        <f aca="false">MOD(ROW()-9,24)</f>
        <v>9</v>
      </c>
      <c r="C15810" s="12"/>
      <c r="D15810" s="13" t="n">
        <f aca="false">IF(B15810&lt;5,Einstellungen!$B$3,Einstellungen!$B$4)</f>
        <v>29.13</v>
      </c>
      <c r="E15810" s="14" t="str">
        <f aca="false">IF(C15810="","",C15810*D15810/100)</f>
        <v/>
      </c>
      <c r="F15810" s="15" t="str">
        <f aca="false">IF(B15810&lt;5,"Go","Standard")</f>
        <v>Standard</v>
      </c>
    </row>
    <row r="15811" customFormat="false" ht="15" hidden="false" customHeight="true" outlineLevel="0" collapsed="false">
      <c r="A15811" s="10" t="n">
        <f aca="false">Einstellungen!$B$5+INT((ROW()-9)/24)</f>
        <v>46624</v>
      </c>
      <c r="B15811" s="11" t="n">
        <f aca="false">MOD(ROW()-9,24)</f>
        <v>10</v>
      </c>
      <c r="C15811" s="12"/>
      <c r="D15811" s="13" t="n">
        <f aca="false">IF(B15811&lt;5,Einstellungen!$B$3,Einstellungen!$B$4)</f>
        <v>29.13</v>
      </c>
      <c r="E15811" s="14" t="str">
        <f aca="false">IF(C15811="","",C15811*D15811/100)</f>
        <v/>
      </c>
      <c r="F15811" s="15" t="str">
        <f aca="false">IF(B15811&lt;5,"Go","Standard")</f>
        <v>Standard</v>
      </c>
    </row>
    <row r="15812" customFormat="false" ht="15" hidden="false" customHeight="true" outlineLevel="0" collapsed="false">
      <c r="A15812" s="10" t="n">
        <f aca="false">Einstellungen!$B$5+INT((ROW()-9)/24)</f>
        <v>46624</v>
      </c>
      <c r="B15812" s="11" t="n">
        <f aca="false">MOD(ROW()-9,24)</f>
        <v>11</v>
      </c>
      <c r="C15812" s="12"/>
      <c r="D15812" s="13" t="n">
        <f aca="false">IF(B15812&lt;5,Einstellungen!$B$3,Einstellungen!$B$4)</f>
        <v>29.13</v>
      </c>
      <c r="E15812" s="14" t="str">
        <f aca="false">IF(C15812="","",C15812*D15812/100)</f>
        <v/>
      </c>
      <c r="F15812" s="15" t="str">
        <f aca="false">IF(B15812&lt;5,"Go","Standard")</f>
        <v>Standard</v>
      </c>
    </row>
    <row r="15813" customFormat="false" ht="15" hidden="false" customHeight="true" outlineLevel="0" collapsed="false">
      <c r="A15813" s="10" t="n">
        <f aca="false">Einstellungen!$B$5+INT((ROW()-9)/24)</f>
        <v>46624</v>
      </c>
      <c r="B15813" s="11" t="n">
        <f aca="false">MOD(ROW()-9,24)</f>
        <v>12</v>
      </c>
      <c r="C15813" s="12"/>
      <c r="D15813" s="13" t="n">
        <f aca="false">IF(B15813&lt;5,Einstellungen!$B$3,Einstellungen!$B$4)</f>
        <v>29.13</v>
      </c>
      <c r="E15813" s="14" t="str">
        <f aca="false">IF(C15813="","",C15813*D15813/100)</f>
        <v/>
      </c>
      <c r="F15813" s="15" t="str">
        <f aca="false">IF(B15813&lt;5,"Go","Standard")</f>
        <v>Standard</v>
      </c>
    </row>
    <row r="15814" customFormat="false" ht="15" hidden="false" customHeight="true" outlineLevel="0" collapsed="false">
      <c r="A15814" s="10" t="n">
        <f aca="false">Einstellungen!$B$5+INT((ROW()-9)/24)</f>
        <v>46624</v>
      </c>
      <c r="B15814" s="11" t="n">
        <f aca="false">MOD(ROW()-9,24)</f>
        <v>13</v>
      </c>
      <c r="C15814" s="12"/>
      <c r="D15814" s="13" t="n">
        <f aca="false">IF(B15814&lt;5,Einstellungen!$B$3,Einstellungen!$B$4)</f>
        <v>29.13</v>
      </c>
      <c r="E15814" s="14" t="str">
        <f aca="false">IF(C15814="","",C15814*D15814/100)</f>
        <v/>
      </c>
      <c r="F15814" s="15" t="str">
        <f aca="false">IF(B15814&lt;5,"Go","Standard")</f>
        <v>Standard</v>
      </c>
    </row>
    <row r="15815" customFormat="false" ht="15" hidden="false" customHeight="true" outlineLevel="0" collapsed="false">
      <c r="A15815" s="10" t="n">
        <f aca="false">Einstellungen!$B$5+INT((ROW()-9)/24)</f>
        <v>46624</v>
      </c>
      <c r="B15815" s="11" t="n">
        <f aca="false">MOD(ROW()-9,24)</f>
        <v>14</v>
      </c>
      <c r="C15815" s="12"/>
      <c r="D15815" s="13" t="n">
        <f aca="false">IF(B15815&lt;5,Einstellungen!$B$3,Einstellungen!$B$4)</f>
        <v>29.13</v>
      </c>
      <c r="E15815" s="14" t="str">
        <f aca="false">IF(C15815="","",C15815*D15815/100)</f>
        <v/>
      </c>
      <c r="F15815" s="15" t="str">
        <f aca="false">IF(B15815&lt;5,"Go","Standard")</f>
        <v>Standard</v>
      </c>
    </row>
    <row r="15816" customFormat="false" ht="15" hidden="false" customHeight="true" outlineLevel="0" collapsed="false">
      <c r="A15816" s="10" t="n">
        <f aca="false">Einstellungen!$B$5+INT((ROW()-9)/24)</f>
        <v>46624</v>
      </c>
      <c r="B15816" s="11" t="n">
        <f aca="false">MOD(ROW()-9,24)</f>
        <v>15</v>
      </c>
      <c r="C15816" s="12"/>
      <c r="D15816" s="13" t="n">
        <f aca="false">IF(B15816&lt;5,Einstellungen!$B$3,Einstellungen!$B$4)</f>
        <v>29.13</v>
      </c>
      <c r="E15816" s="14" t="str">
        <f aca="false">IF(C15816="","",C15816*D15816/100)</f>
        <v/>
      </c>
      <c r="F15816" s="15" t="str">
        <f aca="false">IF(B15816&lt;5,"Go","Standard")</f>
        <v>Standard</v>
      </c>
    </row>
    <row r="15817" customFormat="false" ht="15" hidden="false" customHeight="true" outlineLevel="0" collapsed="false">
      <c r="A15817" s="10" t="n">
        <f aca="false">Einstellungen!$B$5+INT((ROW()-9)/24)</f>
        <v>46624</v>
      </c>
      <c r="B15817" s="11" t="n">
        <f aca="false">MOD(ROW()-9,24)</f>
        <v>16</v>
      </c>
      <c r="C15817" s="12"/>
      <c r="D15817" s="13" t="n">
        <f aca="false">IF(B15817&lt;5,Einstellungen!$B$3,Einstellungen!$B$4)</f>
        <v>29.13</v>
      </c>
      <c r="E15817" s="14" t="str">
        <f aca="false">IF(C15817="","",C15817*D15817/100)</f>
        <v/>
      </c>
      <c r="F15817" s="15" t="str">
        <f aca="false">IF(B15817&lt;5,"Go","Standard")</f>
        <v>Standard</v>
      </c>
    </row>
    <row r="15818" customFormat="false" ht="15" hidden="false" customHeight="true" outlineLevel="0" collapsed="false">
      <c r="A15818" s="10" t="n">
        <f aca="false">Einstellungen!$B$5+INT((ROW()-9)/24)</f>
        <v>46624</v>
      </c>
      <c r="B15818" s="11" t="n">
        <f aca="false">MOD(ROW()-9,24)</f>
        <v>17</v>
      </c>
      <c r="C15818" s="12"/>
      <c r="D15818" s="13" t="n">
        <f aca="false">IF(B15818&lt;5,Einstellungen!$B$3,Einstellungen!$B$4)</f>
        <v>29.13</v>
      </c>
      <c r="E15818" s="14" t="str">
        <f aca="false">IF(C15818="","",C15818*D15818/100)</f>
        <v/>
      </c>
      <c r="F15818" s="15" t="str">
        <f aca="false">IF(B15818&lt;5,"Go","Standard")</f>
        <v>Standard</v>
      </c>
    </row>
    <row r="15819" customFormat="false" ht="15" hidden="false" customHeight="true" outlineLevel="0" collapsed="false">
      <c r="A15819" s="10" t="n">
        <f aca="false">Einstellungen!$B$5+INT((ROW()-9)/24)</f>
        <v>46624</v>
      </c>
      <c r="B15819" s="11" t="n">
        <f aca="false">MOD(ROW()-9,24)</f>
        <v>18</v>
      </c>
      <c r="C15819" s="12"/>
      <c r="D15819" s="13" t="n">
        <f aca="false">IF(B15819&lt;5,Einstellungen!$B$3,Einstellungen!$B$4)</f>
        <v>29.13</v>
      </c>
      <c r="E15819" s="14" t="str">
        <f aca="false">IF(C15819="","",C15819*D15819/100)</f>
        <v/>
      </c>
      <c r="F15819" s="15" t="str">
        <f aca="false">IF(B15819&lt;5,"Go","Standard")</f>
        <v>Standard</v>
      </c>
    </row>
    <row r="15820" customFormat="false" ht="15" hidden="false" customHeight="true" outlineLevel="0" collapsed="false">
      <c r="A15820" s="10" t="n">
        <f aca="false">Einstellungen!$B$5+INT((ROW()-9)/24)</f>
        <v>46624</v>
      </c>
      <c r="B15820" s="11" t="n">
        <f aca="false">MOD(ROW()-9,24)</f>
        <v>19</v>
      </c>
      <c r="C15820" s="12"/>
      <c r="D15820" s="13" t="n">
        <f aca="false">IF(B15820&lt;5,Einstellungen!$B$3,Einstellungen!$B$4)</f>
        <v>29.13</v>
      </c>
      <c r="E15820" s="14" t="str">
        <f aca="false">IF(C15820="","",C15820*D15820/100)</f>
        <v/>
      </c>
      <c r="F15820" s="15" t="str">
        <f aca="false">IF(B15820&lt;5,"Go","Standard")</f>
        <v>Standard</v>
      </c>
    </row>
    <row r="15821" customFormat="false" ht="15" hidden="false" customHeight="true" outlineLevel="0" collapsed="false">
      <c r="A15821" s="10" t="n">
        <f aca="false">Einstellungen!$B$5+INT((ROW()-9)/24)</f>
        <v>46624</v>
      </c>
      <c r="B15821" s="11" t="n">
        <f aca="false">MOD(ROW()-9,24)</f>
        <v>20</v>
      </c>
      <c r="C15821" s="12"/>
      <c r="D15821" s="13" t="n">
        <f aca="false">IF(B15821&lt;5,Einstellungen!$B$3,Einstellungen!$B$4)</f>
        <v>29.13</v>
      </c>
      <c r="E15821" s="14" t="str">
        <f aca="false">IF(C15821="","",C15821*D15821/100)</f>
        <v/>
      </c>
      <c r="F15821" s="15" t="str">
        <f aca="false">IF(B15821&lt;5,"Go","Standard")</f>
        <v>Standard</v>
      </c>
    </row>
    <row r="15822" customFormat="false" ht="15" hidden="false" customHeight="true" outlineLevel="0" collapsed="false">
      <c r="A15822" s="10" t="n">
        <f aca="false">Einstellungen!$B$5+INT((ROW()-9)/24)</f>
        <v>46624</v>
      </c>
      <c r="B15822" s="11" t="n">
        <f aca="false">MOD(ROW()-9,24)</f>
        <v>21</v>
      </c>
      <c r="C15822" s="12"/>
      <c r="D15822" s="13" t="n">
        <f aca="false">IF(B15822&lt;5,Einstellungen!$B$3,Einstellungen!$B$4)</f>
        <v>29.13</v>
      </c>
      <c r="E15822" s="14" t="str">
        <f aca="false">IF(C15822="","",C15822*D15822/100)</f>
        <v/>
      </c>
      <c r="F15822" s="15" t="str">
        <f aca="false">IF(B15822&lt;5,"Go","Standard")</f>
        <v>Standard</v>
      </c>
    </row>
    <row r="15823" customFormat="false" ht="15" hidden="false" customHeight="true" outlineLevel="0" collapsed="false">
      <c r="A15823" s="10" t="n">
        <f aca="false">Einstellungen!$B$5+INT((ROW()-9)/24)</f>
        <v>46624</v>
      </c>
      <c r="B15823" s="11" t="n">
        <f aca="false">MOD(ROW()-9,24)</f>
        <v>22</v>
      </c>
      <c r="C15823" s="12"/>
      <c r="D15823" s="13" t="n">
        <f aca="false">IF(B15823&lt;5,Einstellungen!$B$3,Einstellungen!$B$4)</f>
        <v>29.13</v>
      </c>
      <c r="E15823" s="14" t="str">
        <f aca="false">IF(C15823="","",C15823*D15823/100)</f>
        <v/>
      </c>
      <c r="F15823" s="15" t="str">
        <f aca="false">IF(B15823&lt;5,"Go","Standard")</f>
        <v>Standard</v>
      </c>
    </row>
    <row r="15824" customFormat="false" ht="15" hidden="false" customHeight="true" outlineLevel="0" collapsed="false">
      <c r="A15824" s="10" t="n">
        <f aca="false">Einstellungen!$B$5+INT((ROW()-9)/24)</f>
        <v>46624</v>
      </c>
      <c r="B15824" s="11" t="n">
        <f aca="false">MOD(ROW()-9,24)</f>
        <v>23</v>
      </c>
      <c r="C15824" s="12"/>
      <c r="D15824" s="13" t="n">
        <f aca="false">IF(B15824&lt;5,Einstellungen!$B$3,Einstellungen!$B$4)</f>
        <v>29.13</v>
      </c>
      <c r="E15824" s="14" t="str">
        <f aca="false">IF(C15824="","",C15824*D15824/100)</f>
        <v/>
      </c>
      <c r="F15824" s="15" t="str">
        <f aca="false">IF(B15824&lt;5,"Go","Standard")</f>
        <v>Standard</v>
      </c>
    </row>
    <row r="15825" customFormat="false" ht="15" hidden="false" customHeight="true" outlineLevel="0" collapsed="false">
      <c r="A15825" s="10" t="n">
        <f aca="false">Einstellungen!$B$5+INT((ROW()-9)/24)</f>
        <v>46625</v>
      </c>
      <c r="B15825" s="11" t="n">
        <f aca="false">MOD(ROW()-9,24)</f>
        <v>0</v>
      </c>
      <c r="C15825" s="12"/>
      <c r="D15825" s="13" t="n">
        <f aca="false">IF(B15825&lt;5,Einstellungen!$B$3,Einstellungen!$B$4)</f>
        <v>15.92</v>
      </c>
      <c r="E15825" s="14" t="str">
        <f aca="false">IF(C15825="","",C15825*D15825/100)</f>
        <v/>
      </c>
      <c r="F15825" s="15" t="str">
        <f aca="false">IF(B15825&lt;5,"Go","Standard")</f>
        <v>Go</v>
      </c>
    </row>
    <row r="15826" customFormat="false" ht="15" hidden="false" customHeight="true" outlineLevel="0" collapsed="false">
      <c r="A15826" s="10" t="n">
        <f aca="false">Einstellungen!$B$5+INT((ROW()-9)/24)</f>
        <v>46625</v>
      </c>
      <c r="B15826" s="11" t="n">
        <f aca="false">MOD(ROW()-9,24)</f>
        <v>1</v>
      </c>
      <c r="C15826" s="12"/>
      <c r="D15826" s="13" t="n">
        <f aca="false">IF(B15826&lt;5,Einstellungen!$B$3,Einstellungen!$B$4)</f>
        <v>15.92</v>
      </c>
      <c r="E15826" s="14" t="str">
        <f aca="false">IF(C15826="","",C15826*D15826/100)</f>
        <v/>
      </c>
      <c r="F15826" s="15" t="str">
        <f aca="false">IF(B15826&lt;5,"Go","Standard")</f>
        <v>Go</v>
      </c>
    </row>
    <row r="15827" customFormat="false" ht="15" hidden="false" customHeight="true" outlineLevel="0" collapsed="false">
      <c r="A15827" s="10" t="n">
        <f aca="false">Einstellungen!$B$5+INT((ROW()-9)/24)</f>
        <v>46625</v>
      </c>
      <c r="B15827" s="11" t="n">
        <f aca="false">MOD(ROW()-9,24)</f>
        <v>2</v>
      </c>
      <c r="C15827" s="12"/>
      <c r="D15827" s="13" t="n">
        <f aca="false">IF(B15827&lt;5,Einstellungen!$B$3,Einstellungen!$B$4)</f>
        <v>15.92</v>
      </c>
      <c r="E15827" s="14" t="str">
        <f aca="false">IF(C15827="","",C15827*D15827/100)</f>
        <v/>
      </c>
      <c r="F15827" s="15" t="str">
        <f aca="false">IF(B15827&lt;5,"Go","Standard")</f>
        <v>Go</v>
      </c>
    </row>
    <row r="15828" customFormat="false" ht="15" hidden="false" customHeight="true" outlineLevel="0" collapsed="false">
      <c r="A15828" s="10" t="n">
        <f aca="false">Einstellungen!$B$5+INT((ROW()-9)/24)</f>
        <v>46625</v>
      </c>
      <c r="B15828" s="11" t="n">
        <f aca="false">MOD(ROW()-9,24)</f>
        <v>3</v>
      </c>
      <c r="C15828" s="12"/>
      <c r="D15828" s="13" t="n">
        <f aca="false">IF(B15828&lt;5,Einstellungen!$B$3,Einstellungen!$B$4)</f>
        <v>15.92</v>
      </c>
      <c r="E15828" s="14" t="str">
        <f aca="false">IF(C15828="","",C15828*D15828/100)</f>
        <v/>
      </c>
      <c r="F15828" s="15" t="str">
        <f aca="false">IF(B15828&lt;5,"Go","Standard")</f>
        <v>Go</v>
      </c>
    </row>
    <row r="15829" customFormat="false" ht="15" hidden="false" customHeight="true" outlineLevel="0" collapsed="false">
      <c r="A15829" s="10" t="n">
        <f aca="false">Einstellungen!$B$5+INT((ROW()-9)/24)</f>
        <v>46625</v>
      </c>
      <c r="B15829" s="11" t="n">
        <f aca="false">MOD(ROW()-9,24)</f>
        <v>4</v>
      </c>
      <c r="C15829" s="12"/>
      <c r="D15829" s="13" t="n">
        <f aca="false">IF(B15829&lt;5,Einstellungen!$B$3,Einstellungen!$B$4)</f>
        <v>15.92</v>
      </c>
      <c r="E15829" s="14" t="str">
        <f aca="false">IF(C15829="","",C15829*D15829/100)</f>
        <v/>
      </c>
      <c r="F15829" s="15" t="str">
        <f aca="false">IF(B15829&lt;5,"Go","Standard")</f>
        <v>Go</v>
      </c>
    </row>
    <row r="15830" customFormat="false" ht="15" hidden="false" customHeight="true" outlineLevel="0" collapsed="false">
      <c r="A15830" s="10" t="n">
        <f aca="false">Einstellungen!$B$5+INT((ROW()-9)/24)</f>
        <v>46625</v>
      </c>
      <c r="B15830" s="11" t="n">
        <f aca="false">MOD(ROW()-9,24)</f>
        <v>5</v>
      </c>
      <c r="C15830" s="12"/>
      <c r="D15830" s="13" t="n">
        <f aca="false">IF(B15830&lt;5,Einstellungen!$B$3,Einstellungen!$B$4)</f>
        <v>29.13</v>
      </c>
      <c r="E15830" s="14" t="str">
        <f aca="false">IF(C15830="","",C15830*D15830/100)</f>
        <v/>
      </c>
      <c r="F15830" s="15" t="str">
        <f aca="false">IF(B15830&lt;5,"Go","Standard")</f>
        <v>Standard</v>
      </c>
    </row>
    <row r="15831" customFormat="false" ht="15" hidden="false" customHeight="true" outlineLevel="0" collapsed="false">
      <c r="A15831" s="10" t="n">
        <f aca="false">Einstellungen!$B$5+INT((ROW()-9)/24)</f>
        <v>46625</v>
      </c>
      <c r="B15831" s="11" t="n">
        <f aca="false">MOD(ROW()-9,24)</f>
        <v>6</v>
      </c>
      <c r="C15831" s="12"/>
      <c r="D15831" s="13" t="n">
        <f aca="false">IF(B15831&lt;5,Einstellungen!$B$3,Einstellungen!$B$4)</f>
        <v>29.13</v>
      </c>
      <c r="E15831" s="14" t="str">
        <f aca="false">IF(C15831="","",C15831*D15831/100)</f>
        <v/>
      </c>
      <c r="F15831" s="15" t="str">
        <f aca="false">IF(B15831&lt;5,"Go","Standard")</f>
        <v>Standard</v>
      </c>
    </row>
    <row r="15832" customFormat="false" ht="15" hidden="false" customHeight="true" outlineLevel="0" collapsed="false">
      <c r="A15832" s="10" t="n">
        <f aca="false">Einstellungen!$B$5+INT((ROW()-9)/24)</f>
        <v>46625</v>
      </c>
      <c r="B15832" s="11" t="n">
        <f aca="false">MOD(ROW()-9,24)</f>
        <v>7</v>
      </c>
      <c r="C15832" s="12"/>
      <c r="D15832" s="13" t="n">
        <f aca="false">IF(B15832&lt;5,Einstellungen!$B$3,Einstellungen!$B$4)</f>
        <v>29.13</v>
      </c>
      <c r="E15832" s="14" t="str">
        <f aca="false">IF(C15832="","",C15832*D15832/100)</f>
        <v/>
      </c>
      <c r="F15832" s="15" t="str">
        <f aca="false">IF(B15832&lt;5,"Go","Standard")</f>
        <v>Standard</v>
      </c>
    </row>
    <row r="15833" customFormat="false" ht="15" hidden="false" customHeight="true" outlineLevel="0" collapsed="false">
      <c r="A15833" s="10" t="n">
        <f aca="false">Einstellungen!$B$5+INT((ROW()-9)/24)</f>
        <v>46625</v>
      </c>
      <c r="B15833" s="11" t="n">
        <f aca="false">MOD(ROW()-9,24)</f>
        <v>8</v>
      </c>
      <c r="C15833" s="12"/>
      <c r="D15833" s="13" t="n">
        <f aca="false">IF(B15833&lt;5,Einstellungen!$B$3,Einstellungen!$B$4)</f>
        <v>29.13</v>
      </c>
      <c r="E15833" s="14" t="str">
        <f aca="false">IF(C15833="","",C15833*D15833/100)</f>
        <v/>
      </c>
      <c r="F15833" s="15" t="str">
        <f aca="false">IF(B15833&lt;5,"Go","Standard")</f>
        <v>Standard</v>
      </c>
    </row>
    <row r="15834" customFormat="false" ht="15" hidden="false" customHeight="true" outlineLevel="0" collapsed="false">
      <c r="A15834" s="10" t="n">
        <f aca="false">Einstellungen!$B$5+INT((ROW()-9)/24)</f>
        <v>46625</v>
      </c>
      <c r="B15834" s="11" t="n">
        <f aca="false">MOD(ROW()-9,24)</f>
        <v>9</v>
      </c>
      <c r="C15834" s="12"/>
      <c r="D15834" s="13" t="n">
        <f aca="false">IF(B15834&lt;5,Einstellungen!$B$3,Einstellungen!$B$4)</f>
        <v>29.13</v>
      </c>
      <c r="E15834" s="14" t="str">
        <f aca="false">IF(C15834="","",C15834*D15834/100)</f>
        <v/>
      </c>
      <c r="F15834" s="15" t="str">
        <f aca="false">IF(B15834&lt;5,"Go","Standard")</f>
        <v>Standard</v>
      </c>
    </row>
    <row r="15835" customFormat="false" ht="15" hidden="false" customHeight="true" outlineLevel="0" collapsed="false">
      <c r="A15835" s="10" t="n">
        <f aca="false">Einstellungen!$B$5+INT((ROW()-9)/24)</f>
        <v>46625</v>
      </c>
      <c r="B15835" s="11" t="n">
        <f aca="false">MOD(ROW()-9,24)</f>
        <v>10</v>
      </c>
      <c r="C15835" s="12"/>
      <c r="D15835" s="13" t="n">
        <f aca="false">IF(B15835&lt;5,Einstellungen!$B$3,Einstellungen!$B$4)</f>
        <v>29.13</v>
      </c>
      <c r="E15835" s="14" t="str">
        <f aca="false">IF(C15835="","",C15835*D15835/100)</f>
        <v/>
      </c>
      <c r="F15835" s="15" t="str">
        <f aca="false">IF(B15835&lt;5,"Go","Standard")</f>
        <v>Standard</v>
      </c>
    </row>
    <row r="15836" customFormat="false" ht="15" hidden="false" customHeight="true" outlineLevel="0" collapsed="false">
      <c r="A15836" s="10" t="n">
        <f aca="false">Einstellungen!$B$5+INT((ROW()-9)/24)</f>
        <v>46625</v>
      </c>
      <c r="B15836" s="11" t="n">
        <f aca="false">MOD(ROW()-9,24)</f>
        <v>11</v>
      </c>
      <c r="C15836" s="12"/>
      <c r="D15836" s="13" t="n">
        <f aca="false">IF(B15836&lt;5,Einstellungen!$B$3,Einstellungen!$B$4)</f>
        <v>29.13</v>
      </c>
      <c r="E15836" s="14" t="str">
        <f aca="false">IF(C15836="","",C15836*D15836/100)</f>
        <v/>
      </c>
      <c r="F15836" s="15" t="str">
        <f aca="false">IF(B15836&lt;5,"Go","Standard")</f>
        <v>Standard</v>
      </c>
    </row>
    <row r="15837" customFormat="false" ht="15" hidden="false" customHeight="true" outlineLevel="0" collapsed="false">
      <c r="A15837" s="10" t="n">
        <f aca="false">Einstellungen!$B$5+INT((ROW()-9)/24)</f>
        <v>46625</v>
      </c>
      <c r="B15837" s="11" t="n">
        <f aca="false">MOD(ROW()-9,24)</f>
        <v>12</v>
      </c>
      <c r="C15837" s="12"/>
      <c r="D15837" s="13" t="n">
        <f aca="false">IF(B15837&lt;5,Einstellungen!$B$3,Einstellungen!$B$4)</f>
        <v>29.13</v>
      </c>
      <c r="E15837" s="14" t="str">
        <f aca="false">IF(C15837="","",C15837*D15837/100)</f>
        <v/>
      </c>
      <c r="F15837" s="15" t="str">
        <f aca="false">IF(B15837&lt;5,"Go","Standard")</f>
        <v>Standard</v>
      </c>
    </row>
    <row r="15838" customFormat="false" ht="15" hidden="false" customHeight="true" outlineLevel="0" collapsed="false">
      <c r="A15838" s="10" t="n">
        <f aca="false">Einstellungen!$B$5+INT((ROW()-9)/24)</f>
        <v>46625</v>
      </c>
      <c r="B15838" s="11" t="n">
        <f aca="false">MOD(ROW()-9,24)</f>
        <v>13</v>
      </c>
      <c r="C15838" s="12"/>
      <c r="D15838" s="13" t="n">
        <f aca="false">IF(B15838&lt;5,Einstellungen!$B$3,Einstellungen!$B$4)</f>
        <v>29.13</v>
      </c>
      <c r="E15838" s="14" t="str">
        <f aca="false">IF(C15838="","",C15838*D15838/100)</f>
        <v/>
      </c>
      <c r="F15838" s="15" t="str">
        <f aca="false">IF(B15838&lt;5,"Go","Standard")</f>
        <v>Standard</v>
      </c>
    </row>
    <row r="15839" customFormat="false" ht="15" hidden="false" customHeight="true" outlineLevel="0" collapsed="false">
      <c r="A15839" s="10" t="n">
        <f aca="false">Einstellungen!$B$5+INT((ROW()-9)/24)</f>
        <v>46625</v>
      </c>
      <c r="B15839" s="11" t="n">
        <f aca="false">MOD(ROW()-9,24)</f>
        <v>14</v>
      </c>
      <c r="C15839" s="12"/>
      <c r="D15839" s="13" t="n">
        <f aca="false">IF(B15839&lt;5,Einstellungen!$B$3,Einstellungen!$B$4)</f>
        <v>29.13</v>
      </c>
      <c r="E15839" s="14" t="str">
        <f aca="false">IF(C15839="","",C15839*D15839/100)</f>
        <v/>
      </c>
      <c r="F15839" s="15" t="str">
        <f aca="false">IF(B15839&lt;5,"Go","Standard")</f>
        <v>Standard</v>
      </c>
    </row>
    <row r="15840" customFormat="false" ht="15" hidden="false" customHeight="true" outlineLevel="0" collapsed="false">
      <c r="A15840" s="10" t="n">
        <f aca="false">Einstellungen!$B$5+INT((ROW()-9)/24)</f>
        <v>46625</v>
      </c>
      <c r="B15840" s="11" t="n">
        <f aca="false">MOD(ROW()-9,24)</f>
        <v>15</v>
      </c>
      <c r="C15840" s="12"/>
      <c r="D15840" s="13" t="n">
        <f aca="false">IF(B15840&lt;5,Einstellungen!$B$3,Einstellungen!$B$4)</f>
        <v>29.13</v>
      </c>
      <c r="E15840" s="14" t="str">
        <f aca="false">IF(C15840="","",C15840*D15840/100)</f>
        <v/>
      </c>
      <c r="F15840" s="15" t="str">
        <f aca="false">IF(B15840&lt;5,"Go","Standard")</f>
        <v>Standard</v>
      </c>
    </row>
    <row r="15841" customFormat="false" ht="15" hidden="false" customHeight="true" outlineLevel="0" collapsed="false">
      <c r="A15841" s="10" t="n">
        <f aca="false">Einstellungen!$B$5+INT((ROW()-9)/24)</f>
        <v>46625</v>
      </c>
      <c r="B15841" s="11" t="n">
        <f aca="false">MOD(ROW()-9,24)</f>
        <v>16</v>
      </c>
      <c r="C15841" s="12"/>
      <c r="D15841" s="13" t="n">
        <f aca="false">IF(B15841&lt;5,Einstellungen!$B$3,Einstellungen!$B$4)</f>
        <v>29.13</v>
      </c>
      <c r="E15841" s="14" t="str">
        <f aca="false">IF(C15841="","",C15841*D15841/100)</f>
        <v/>
      </c>
      <c r="F15841" s="15" t="str">
        <f aca="false">IF(B15841&lt;5,"Go","Standard")</f>
        <v>Standard</v>
      </c>
    </row>
    <row r="15842" customFormat="false" ht="15" hidden="false" customHeight="true" outlineLevel="0" collapsed="false">
      <c r="A15842" s="10" t="n">
        <f aca="false">Einstellungen!$B$5+INT((ROW()-9)/24)</f>
        <v>46625</v>
      </c>
      <c r="B15842" s="11" t="n">
        <f aca="false">MOD(ROW()-9,24)</f>
        <v>17</v>
      </c>
      <c r="C15842" s="12"/>
      <c r="D15842" s="13" t="n">
        <f aca="false">IF(B15842&lt;5,Einstellungen!$B$3,Einstellungen!$B$4)</f>
        <v>29.13</v>
      </c>
      <c r="E15842" s="14" t="str">
        <f aca="false">IF(C15842="","",C15842*D15842/100)</f>
        <v/>
      </c>
      <c r="F15842" s="15" t="str">
        <f aca="false">IF(B15842&lt;5,"Go","Standard")</f>
        <v>Standard</v>
      </c>
    </row>
    <row r="15843" customFormat="false" ht="15" hidden="false" customHeight="true" outlineLevel="0" collapsed="false">
      <c r="A15843" s="10" t="n">
        <f aca="false">Einstellungen!$B$5+INT((ROW()-9)/24)</f>
        <v>46625</v>
      </c>
      <c r="B15843" s="11" t="n">
        <f aca="false">MOD(ROW()-9,24)</f>
        <v>18</v>
      </c>
      <c r="C15843" s="12"/>
      <c r="D15843" s="13" t="n">
        <f aca="false">IF(B15843&lt;5,Einstellungen!$B$3,Einstellungen!$B$4)</f>
        <v>29.13</v>
      </c>
      <c r="E15843" s="14" t="str">
        <f aca="false">IF(C15843="","",C15843*D15843/100)</f>
        <v/>
      </c>
      <c r="F15843" s="15" t="str">
        <f aca="false">IF(B15843&lt;5,"Go","Standard")</f>
        <v>Standard</v>
      </c>
    </row>
    <row r="15844" customFormat="false" ht="15" hidden="false" customHeight="true" outlineLevel="0" collapsed="false">
      <c r="A15844" s="10" t="n">
        <f aca="false">Einstellungen!$B$5+INT((ROW()-9)/24)</f>
        <v>46625</v>
      </c>
      <c r="B15844" s="11" t="n">
        <f aca="false">MOD(ROW()-9,24)</f>
        <v>19</v>
      </c>
      <c r="C15844" s="12"/>
      <c r="D15844" s="13" t="n">
        <f aca="false">IF(B15844&lt;5,Einstellungen!$B$3,Einstellungen!$B$4)</f>
        <v>29.13</v>
      </c>
      <c r="E15844" s="14" t="str">
        <f aca="false">IF(C15844="","",C15844*D15844/100)</f>
        <v/>
      </c>
      <c r="F15844" s="15" t="str">
        <f aca="false">IF(B15844&lt;5,"Go","Standard")</f>
        <v>Standard</v>
      </c>
    </row>
    <row r="15845" customFormat="false" ht="15" hidden="false" customHeight="true" outlineLevel="0" collapsed="false">
      <c r="A15845" s="10" t="n">
        <f aca="false">Einstellungen!$B$5+INT((ROW()-9)/24)</f>
        <v>46625</v>
      </c>
      <c r="B15845" s="11" t="n">
        <f aca="false">MOD(ROW()-9,24)</f>
        <v>20</v>
      </c>
      <c r="C15845" s="12"/>
      <c r="D15845" s="13" t="n">
        <f aca="false">IF(B15845&lt;5,Einstellungen!$B$3,Einstellungen!$B$4)</f>
        <v>29.13</v>
      </c>
      <c r="E15845" s="14" t="str">
        <f aca="false">IF(C15845="","",C15845*D15845/100)</f>
        <v/>
      </c>
      <c r="F15845" s="15" t="str">
        <f aca="false">IF(B15845&lt;5,"Go","Standard")</f>
        <v>Standard</v>
      </c>
    </row>
    <row r="15846" customFormat="false" ht="15" hidden="false" customHeight="true" outlineLevel="0" collapsed="false">
      <c r="A15846" s="10" t="n">
        <f aca="false">Einstellungen!$B$5+INT((ROW()-9)/24)</f>
        <v>46625</v>
      </c>
      <c r="B15846" s="11" t="n">
        <f aca="false">MOD(ROW()-9,24)</f>
        <v>21</v>
      </c>
      <c r="C15846" s="12"/>
      <c r="D15846" s="13" t="n">
        <f aca="false">IF(B15846&lt;5,Einstellungen!$B$3,Einstellungen!$B$4)</f>
        <v>29.13</v>
      </c>
      <c r="E15846" s="14" t="str">
        <f aca="false">IF(C15846="","",C15846*D15846/100)</f>
        <v/>
      </c>
      <c r="F15846" s="15" t="str">
        <f aca="false">IF(B15846&lt;5,"Go","Standard")</f>
        <v>Standard</v>
      </c>
    </row>
    <row r="15847" customFormat="false" ht="15" hidden="false" customHeight="true" outlineLevel="0" collapsed="false">
      <c r="A15847" s="10" t="n">
        <f aca="false">Einstellungen!$B$5+INT((ROW()-9)/24)</f>
        <v>46625</v>
      </c>
      <c r="B15847" s="11" t="n">
        <f aca="false">MOD(ROW()-9,24)</f>
        <v>22</v>
      </c>
      <c r="C15847" s="12"/>
      <c r="D15847" s="13" t="n">
        <f aca="false">IF(B15847&lt;5,Einstellungen!$B$3,Einstellungen!$B$4)</f>
        <v>29.13</v>
      </c>
      <c r="E15847" s="14" t="str">
        <f aca="false">IF(C15847="","",C15847*D15847/100)</f>
        <v/>
      </c>
      <c r="F15847" s="15" t="str">
        <f aca="false">IF(B15847&lt;5,"Go","Standard")</f>
        <v>Standard</v>
      </c>
    </row>
    <row r="15848" customFormat="false" ht="15" hidden="false" customHeight="true" outlineLevel="0" collapsed="false">
      <c r="A15848" s="10" t="n">
        <f aca="false">Einstellungen!$B$5+INT((ROW()-9)/24)</f>
        <v>46625</v>
      </c>
      <c r="B15848" s="11" t="n">
        <f aca="false">MOD(ROW()-9,24)</f>
        <v>23</v>
      </c>
      <c r="C15848" s="12"/>
      <c r="D15848" s="13" t="n">
        <f aca="false">IF(B15848&lt;5,Einstellungen!$B$3,Einstellungen!$B$4)</f>
        <v>29.13</v>
      </c>
      <c r="E15848" s="14" t="str">
        <f aca="false">IF(C15848="","",C15848*D15848/100)</f>
        <v/>
      </c>
      <c r="F15848" s="15" t="str">
        <f aca="false">IF(B15848&lt;5,"Go","Standard")</f>
        <v>Standard</v>
      </c>
    </row>
    <row r="15849" customFormat="false" ht="15" hidden="false" customHeight="true" outlineLevel="0" collapsed="false">
      <c r="A15849" s="10" t="n">
        <f aca="false">Einstellungen!$B$5+INT((ROW()-9)/24)</f>
        <v>46626</v>
      </c>
      <c r="B15849" s="11" t="n">
        <f aca="false">MOD(ROW()-9,24)</f>
        <v>0</v>
      </c>
      <c r="C15849" s="12"/>
      <c r="D15849" s="13" t="n">
        <f aca="false">IF(B15849&lt;5,Einstellungen!$B$3,Einstellungen!$B$4)</f>
        <v>15.92</v>
      </c>
      <c r="E15849" s="14" t="str">
        <f aca="false">IF(C15849="","",C15849*D15849/100)</f>
        <v/>
      </c>
      <c r="F15849" s="15" t="str">
        <f aca="false">IF(B15849&lt;5,"Go","Standard")</f>
        <v>Go</v>
      </c>
    </row>
    <row r="15850" customFormat="false" ht="15" hidden="false" customHeight="true" outlineLevel="0" collapsed="false">
      <c r="A15850" s="10" t="n">
        <f aca="false">Einstellungen!$B$5+INT((ROW()-9)/24)</f>
        <v>46626</v>
      </c>
      <c r="B15850" s="11" t="n">
        <f aca="false">MOD(ROW()-9,24)</f>
        <v>1</v>
      </c>
      <c r="C15850" s="12"/>
      <c r="D15850" s="13" t="n">
        <f aca="false">IF(B15850&lt;5,Einstellungen!$B$3,Einstellungen!$B$4)</f>
        <v>15.92</v>
      </c>
      <c r="E15850" s="14" t="str">
        <f aca="false">IF(C15850="","",C15850*D15850/100)</f>
        <v/>
      </c>
      <c r="F15850" s="15" t="str">
        <f aca="false">IF(B15850&lt;5,"Go","Standard")</f>
        <v>Go</v>
      </c>
    </row>
    <row r="15851" customFormat="false" ht="15" hidden="false" customHeight="true" outlineLevel="0" collapsed="false">
      <c r="A15851" s="10" t="n">
        <f aca="false">Einstellungen!$B$5+INT((ROW()-9)/24)</f>
        <v>46626</v>
      </c>
      <c r="B15851" s="11" t="n">
        <f aca="false">MOD(ROW()-9,24)</f>
        <v>2</v>
      </c>
      <c r="C15851" s="12"/>
      <c r="D15851" s="13" t="n">
        <f aca="false">IF(B15851&lt;5,Einstellungen!$B$3,Einstellungen!$B$4)</f>
        <v>15.92</v>
      </c>
      <c r="E15851" s="14" t="str">
        <f aca="false">IF(C15851="","",C15851*D15851/100)</f>
        <v/>
      </c>
      <c r="F15851" s="15" t="str">
        <f aca="false">IF(B15851&lt;5,"Go","Standard")</f>
        <v>Go</v>
      </c>
    </row>
    <row r="15852" customFormat="false" ht="15" hidden="false" customHeight="true" outlineLevel="0" collapsed="false">
      <c r="A15852" s="10" t="n">
        <f aca="false">Einstellungen!$B$5+INT((ROW()-9)/24)</f>
        <v>46626</v>
      </c>
      <c r="B15852" s="11" t="n">
        <f aca="false">MOD(ROW()-9,24)</f>
        <v>3</v>
      </c>
      <c r="C15852" s="12"/>
      <c r="D15852" s="13" t="n">
        <f aca="false">IF(B15852&lt;5,Einstellungen!$B$3,Einstellungen!$B$4)</f>
        <v>15.92</v>
      </c>
      <c r="E15852" s="14" t="str">
        <f aca="false">IF(C15852="","",C15852*D15852/100)</f>
        <v/>
      </c>
      <c r="F15852" s="15" t="str">
        <f aca="false">IF(B15852&lt;5,"Go","Standard")</f>
        <v>Go</v>
      </c>
    </row>
    <row r="15853" customFormat="false" ht="15" hidden="false" customHeight="true" outlineLevel="0" collapsed="false">
      <c r="A15853" s="10" t="n">
        <f aca="false">Einstellungen!$B$5+INT((ROW()-9)/24)</f>
        <v>46626</v>
      </c>
      <c r="B15853" s="11" t="n">
        <f aca="false">MOD(ROW()-9,24)</f>
        <v>4</v>
      </c>
      <c r="C15853" s="12"/>
      <c r="D15853" s="13" t="n">
        <f aca="false">IF(B15853&lt;5,Einstellungen!$B$3,Einstellungen!$B$4)</f>
        <v>15.92</v>
      </c>
      <c r="E15853" s="14" t="str">
        <f aca="false">IF(C15853="","",C15853*D15853/100)</f>
        <v/>
      </c>
      <c r="F15853" s="15" t="str">
        <f aca="false">IF(B15853&lt;5,"Go","Standard")</f>
        <v>Go</v>
      </c>
    </row>
    <row r="15854" customFormat="false" ht="15" hidden="false" customHeight="true" outlineLevel="0" collapsed="false">
      <c r="A15854" s="10" t="n">
        <f aca="false">Einstellungen!$B$5+INT((ROW()-9)/24)</f>
        <v>46626</v>
      </c>
      <c r="B15854" s="11" t="n">
        <f aca="false">MOD(ROW()-9,24)</f>
        <v>5</v>
      </c>
      <c r="C15854" s="12"/>
      <c r="D15854" s="13" t="n">
        <f aca="false">IF(B15854&lt;5,Einstellungen!$B$3,Einstellungen!$B$4)</f>
        <v>29.13</v>
      </c>
      <c r="E15854" s="14" t="str">
        <f aca="false">IF(C15854="","",C15854*D15854/100)</f>
        <v/>
      </c>
      <c r="F15854" s="15" t="str">
        <f aca="false">IF(B15854&lt;5,"Go","Standard")</f>
        <v>Standard</v>
      </c>
    </row>
    <row r="15855" customFormat="false" ht="15" hidden="false" customHeight="true" outlineLevel="0" collapsed="false">
      <c r="A15855" s="10" t="n">
        <f aca="false">Einstellungen!$B$5+INT((ROW()-9)/24)</f>
        <v>46626</v>
      </c>
      <c r="B15855" s="11" t="n">
        <f aca="false">MOD(ROW()-9,24)</f>
        <v>6</v>
      </c>
      <c r="C15855" s="12"/>
      <c r="D15855" s="13" t="n">
        <f aca="false">IF(B15855&lt;5,Einstellungen!$B$3,Einstellungen!$B$4)</f>
        <v>29.13</v>
      </c>
      <c r="E15855" s="14" t="str">
        <f aca="false">IF(C15855="","",C15855*D15855/100)</f>
        <v/>
      </c>
      <c r="F15855" s="15" t="str">
        <f aca="false">IF(B15855&lt;5,"Go","Standard")</f>
        <v>Standard</v>
      </c>
    </row>
    <row r="15856" customFormat="false" ht="15" hidden="false" customHeight="true" outlineLevel="0" collapsed="false">
      <c r="A15856" s="10" t="n">
        <f aca="false">Einstellungen!$B$5+INT((ROW()-9)/24)</f>
        <v>46626</v>
      </c>
      <c r="B15856" s="11" t="n">
        <f aca="false">MOD(ROW()-9,24)</f>
        <v>7</v>
      </c>
      <c r="C15856" s="12"/>
      <c r="D15856" s="13" t="n">
        <f aca="false">IF(B15856&lt;5,Einstellungen!$B$3,Einstellungen!$B$4)</f>
        <v>29.13</v>
      </c>
      <c r="E15856" s="14" t="str">
        <f aca="false">IF(C15856="","",C15856*D15856/100)</f>
        <v/>
      </c>
      <c r="F15856" s="15" t="str">
        <f aca="false">IF(B15856&lt;5,"Go","Standard")</f>
        <v>Standard</v>
      </c>
    </row>
    <row r="15857" customFormat="false" ht="15" hidden="false" customHeight="true" outlineLevel="0" collapsed="false">
      <c r="A15857" s="10" t="n">
        <f aca="false">Einstellungen!$B$5+INT((ROW()-9)/24)</f>
        <v>46626</v>
      </c>
      <c r="B15857" s="11" t="n">
        <f aca="false">MOD(ROW()-9,24)</f>
        <v>8</v>
      </c>
      <c r="C15857" s="12"/>
      <c r="D15857" s="13" t="n">
        <f aca="false">IF(B15857&lt;5,Einstellungen!$B$3,Einstellungen!$B$4)</f>
        <v>29.13</v>
      </c>
      <c r="E15857" s="14" t="str">
        <f aca="false">IF(C15857="","",C15857*D15857/100)</f>
        <v/>
      </c>
      <c r="F15857" s="15" t="str">
        <f aca="false">IF(B15857&lt;5,"Go","Standard")</f>
        <v>Standard</v>
      </c>
    </row>
    <row r="15858" customFormat="false" ht="15" hidden="false" customHeight="true" outlineLevel="0" collapsed="false">
      <c r="A15858" s="10" t="n">
        <f aca="false">Einstellungen!$B$5+INT((ROW()-9)/24)</f>
        <v>46626</v>
      </c>
      <c r="B15858" s="11" t="n">
        <f aca="false">MOD(ROW()-9,24)</f>
        <v>9</v>
      </c>
      <c r="C15858" s="12"/>
      <c r="D15858" s="13" t="n">
        <f aca="false">IF(B15858&lt;5,Einstellungen!$B$3,Einstellungen!$B$4)</f>
        <v>29.13</v>
      </c>
      <c r="E15858" s="14" t="str">
        <f aca="false">IF(C15858="","",C15858*D15858/100)</f>
        <v/>
      </c>
      <c r="F15858" s="15" t="str">
        <f aca="false">IF(B15858&lt;5,"Go","Standard")</f>
        <v>Standard</v>
      </c>
    </row>
    <row r="15859" customFormat="false" ht="15" hidden="false" customHeight="true" outlineLevel="0" collapsed="false">
      <c r="A15859" s="10" t="n">
        <f aca="false">Einstellungen!$B$5+INT((ROW()-9)/24)</f>
        <v>46626</v>
      </c>
      <c r="B15859" s="11" t="n">
        <f aca="false">MOD(ROW()-9,24)</f>
        <v>10</v>
      </c>
      <c r="C15859" s="12"/>
      <c r="D15859" s="13" t="n">
        <f aca="false">IF(B15859&lt;5,Einstellungen!$B$3,Einstellungen!$B$4)</f>
        <v>29.13</v>
      </c>
      <c r="E15859" s="14" t="str">
        <f aca="false">IF(C15859="","",C15859*D15859/100)</f>
        <v/>
      </c>
      <c r="F15859" s="15" t="str">
        <f aca="false">IF(B15859&lt;5,"Go","Standard")</f>
        <v>Standard</v>
      </c>
    </row>
    <row r="15860" customFormat="false" ht="15" hidden="false" customHeight="true" outlineLevel="0" collapsed="false">
      <c r="A15860" s="10" t="n">
        <f aca="false">Einstellungen!$B$5+INT((ROW()-9)/24)</f>
        <v>46626</v>
      </c>
      <c r="B15860" s="11" t="n">
        <f aca="false">MOD(ROW()-9,24)</f>
        <v>11</v>
      </c>
      <c r="C15860" s="12"/>
      <c r="D15860" s="13" t="n">
        <f aca="false">IF(B15860&lt;5,Einstellungen!$B$3,Einstellungen!$B$4)</f>
        <v>29.13</v>
      </c>
      <c r="E15860" s="14" t="str">
        <f aca="false">IF(C15860="","",C15860*D15860/100)</f>
        <v/>
      </c>
      <c r="F15860" s="15" t="str">
        <f aca="false">IF(B15860&lt;5,"Go","Standard")</f>
        <v>Standard</v>
      </c>
    </row>
    <row r="15861" customFormat="false" ht="15" hidden="false" customHeight="true" outlineLevel="0" collapsed="false">
      <c r="A15861" s="10" t="n">
        <f aca="false">Einstellungen!$B$5+INT((ROW()-9)/24)</f>
        <v>46626</v>
      </c>
      <c r="B15861" s="11" t="n">
        <f aca="false">MOD(ROW()-9,24)</f>
        <v>12</v>
      </c>
      <c r="C15861" s="12"/>
      <c r="D15861" s="13" t="n">
        <f aca="false">IF(B15861&lt;5,Einstellungen!$B$3,Einstellungen!$B$4)</f>
        <v>29.13</v>
      </c>
      <c r="E15861" s="14" t="str">
        <f aca="false">IF(C15861="","",C15861*D15861/100)</f>
        <v/>
      </c>
      <c r="F15861" s="15" t="str">
        <f aca="false">IF(B15861&lt;5,"Go","Standard")</f>
        <v>Standard</v>
      </c>
    </row>
    <row r="15862" customFormat="false" ht="15" hidden="false" customHeight="true" outlineLevel="0" collapsed="false">
      <c r="A15862" s="10" t="n">
        <f aca="false">Einstellungen!$B$5+INT((ROW()-9)/24)</f>
        <v>46626</v>
      </c>
      <c r="B15862" s="11" t="n">
        <f aca="false">MOD(ROW()-9,24)</f>
        <v>13</v>
      </c>
      <c r="C15862" s="12"/>
      <c r="D15862" s="13" t="n">
        <f aca="false">IF(B15862&lt;5,Einstellungen!$B$3,Einstellungen!$B$4)</f>
        <v>29.13</v>
      </c>
      <c r="E15862" s="14" t="str">
        <f aca="false">IF(C15862="","",C15862*D15862/100)</f>
        <v/>
      </c>
      <c r="F15862" s="15" t="str">
        <f aca="false">IF(B15862&lt;5,"Go","Standard")</f>
        <v>Standard</v>
      </c>
    </row>
    <row r="15863" customFormat="false" ht="15" hidden="false" customHeight="true" outlineLevel="0" collapsed="false">
      <c r="A15863" s="10" t="n">
        <f aca="false">Einstellungen!$B$5+INT((ROW()-9)/24)</f>
        <v>46626</v>
      </c>
      <c r="B15863" s="11" t="n">
        <f aca="false">MOD(ROW()-9,24)</f>
        <v>14</v>
      </c>
      <c r="C15863" s="12"/>
      <c r="D15863" s="13" t="n">
        <f aca="false">IF(B15863&lt;5,Einstellungen!$B$3,Einstellungen!$B$4)</f>
        <v>29.13</v>
      </c>
      <c r="E15863" s="14" t="str">
        <f aca="false">IF(C15863="","",C15863*D15863/100)</f>
        <v/>
      </c>
      <c r="F15863" s="15" t="str">
        <f aca="false">IF(B15863&lt;5,"Go","Standard")</f>
        <v>Standard</v>
      </c>
    </row>
    <row r="15864" customFormat="false" ht="15" hidden="false" customHeight="true" outlineLevel="0" collapsed="false">
      <c r="A15864" s="10" t="n">
        <f aca="false">Einstellungen!$B$5+INT((ROW()-9)/24)</f>
        <v>46626</v>
      </c>
      <c r="B15864" s="11" t="n">
        <f aca="false">MOD(ROW()-9,24)</f>
        <v>15</v>
      </c>
      <c r="C15864" s="12"/>
      <c r="D15864" s="13" t="n">
        <f aca="false">IF(B15864&lt;5,Einstellungen!$B$3,Einstellungen!$B$4)</f>
        <v>29.13</v>
      </c>
      <c r="E15864" s="14" t="str">
        <f aca="false">IF(C15864="","",C15864*D15864/100)</f>
        <v/>
      </c>
      <c r="F15864" s="15" t="str">
        <f aca="false">IF(B15864&lt;5,"Go","Standard")</f>
        <v>Standard</v>
      </c>
    </row>
    <row r="15865" customFormat="false" ht="15" hidden="false" customHeight="true" outlineLevel="0" collapsed="false">
      <c r="A15865" s="10" t="n">
        <f aca="false">Einstellungen!$B$5+INT((ROW()-9)/24)</f>
        <v>46626</v>
      </c>
      <c r="B15865" s="11" t="n">
        <f aca="false">MOD(ROW()-9,24)</f>
        <v>16</v>
      </c>
      <c r="C15865" s="12"/>
      <c r="D15865" s="13" t="n">
        <f aca="false">IF(B15865&lt;5,Einstellungen!$B$3,Einstellungen!$B$4)</f>
        <v>29.13</v>
      </c>
      <c r="E15865" s="14" t="str">
        <f aca="false">IF(C15865="","",C15865*D15865/100)</f>
        <v/>
      </c>
      <c r="F15865" s="15" t="str">
        <f aca="false">IF(B15865&lt;5,"Go","Standard")</f>
        <v>Standard</v>
      </c>
    </row>
    <row r="15866" customFormat="false" ht="15" hidden="false" customHeight="true" outlineLevel="0" collapsed="false">
      <c r="A15866" s="10" t="n">
        <f aca="false">Einstellungen!$B$5+INT((ROW()-9)/24)</f>
        <v>46626</v>
      </c>
      <c r="B15866" s="11" t="n">
        <f aca="false">MOD(ROW()-9,24)</f>
        <v>17</v>
      </c>
      <c r="C15866" s="12"/>
      <c r="D15866" s="13" t="n">
        <f aca="false">IF(B15866&lt;5,Einstellungen!$B$3,Einstellungen!$B$4)</f>
        <v>29.13</v>
      </c>
      <c r="E15866" s="14" t="str">
        <f aca="false">IF(C15866="","",C15866*D15866/100)</f>
        <v/>
      </c>
      <c r="F15866" s="15" t="str">
        <f aca="false">IF(B15866&lt;5,"Go","Standard")</f>
        <v>Standard</v>
      </c>
    </row>
    <row r="15867" customFormat="false" ht="15" hidden="false" customHeight="true" outlineLevel="0" collapsed="false">
      <c r="A15867" s="10" t="n">
        <f aca="false">Einstellungen!$B$5+INT((ROW()-9)/24)</f>
        <v>46626</v>
      </c>
      <c r="B15867" s="11" t="n">
        <f aca="false">MOD(ROW()-9,24)</f>
        <v>18</v>
      </c>
      <c r="C15867" s="12"/>
      <c r="D15867" s="13" t="n">
        <f aca="false">IF(B15867&lt;5,Einstellungen!$B$3,Einstellungen!$B$4)</f>
        <v>29.13</v>
      </c>
      <c r="E15867" s="14" t="str">
        <f aca="false">IF(C15867="","",C15867*D15867/100)</f>
        <v/>
      </c>
      <c r="F15867" s="15" t="str">
        <f aca="false">IF(B15867&lt;5,"Go","Standard")</f>
        <v>Standard</v>
      </c>
    </row>
    <row r="15868" customFormat="false" ht="15" hidden="false" customHeight="true" outlineLevel="0" collapsed="false">
      <c r="A15868" s="10" t="n">
        <f aca="false">Einstellungen!$B$5+INT((ROW()-9)/24)</f>
        <v>46626</v>
      </c>
      <c r="B15868" s="11" t="n">
        <f aca="false">MOD(ROW()-9,24)</f>
        <v>19</v>
      </c>
      <c r="C15868" s="12"/>
      <c r="D15868" s="13" t="n">
        <f aca="false">IF(B15868&lt;5,Einstellungen!$B$3,Einstellungen!$B$4)</f>
        <v>29.13</v>
      </c>
      <c r="E15868" s="14" t="str">
        <f aca="false">IF(C15868="","",C15868*D15868/100)</f>
        <v/>
      </c>
      <c r="F15868" s="15" t="str">
        <f aca="false">IF(B15868&lt;5,"Go","Standard")</f>
        <v>Standard</v>
      </c>
    </row>
    <row r="15869" customFormat="false" ht="15" hidden="false" customHeight="true" outlineLevel="0" collapsed="false">
      <c r="A15869" s="10" t="n">
        <f aca="false">Einstellungen!$B$5+INT((ROW()-9)/24)</f>
        <v>46626</v>
      </c>
      <c r="B15869" s="11" t="n">
        <f aca="false">MOD(ROW()-9,24)</f>
        <v>20</v>
      </c>
      <c r="C15869" s="12"/>
      <c r="D15869" s="13" t="n">
        <f aca="false">IF(B15869&lt;5,Einstellungen!$B$3,Einstellungen!$B$4)</f>
        <v>29.13</v>
      </c>
      <c r="E15869" s="14" t="str">
        <f aca="false">IF(C15869="","",C15869*D15869/100)</f>
        <v/>
      </c>
      <c r="F15869" s="15" t="str">
        <f aca="false">IF(B15869&lt;5,"Go","Standard")</f>
        <v>Standard</v>
      </c>
    </row>
    <row r="15870" customFormat="false" ht="15" hidden="false" customHeight="true" outlineLevel="0" collapsed="false">
      <c r="A15870" s="10" t="n">
        <f aca="false">Einstellungen!$B$5+INT((ROW()-9)/24)</f>
        <v>46626</v>
      </c>
      <c r="B15870" s="11" t="n">
        <f aca="false">MOD(ROW()-9,24)</f>
        <v>21</v>
      </c>
      <c r="C15870" s="12"/>
      <c r="D15870" s="13" t="n">
        <f aca="false">IF(B15870&lt;5,Einstellungen!$B$3,Einstellungen!$B$4)</f>
        <v>29.13</v>
      </c>
      <c r="E15870" s="14" t="str">
        <f aca="false">IF(C15870="","",C15870*D15870/100)</f>
        <v/>
      </c>
      <c r="F15870" s="15" t="str">
        <f aca="false">IF(B15870&lt;5,"Go","Standard")</f>
        <v>Standard</v>
      </c>
    </row>
    <row r="15871" customFormat="false" ht="15" hidden="false" customHeight="true" outlineLevel="0" collapsed="false">
      <c r="A15871" s="10" t="n">
        <f aca="false">Einstellungen!$B$5+INT((ROW()-9)/24)</f>
        <v>46626</v>
      </c>
      <c r="B15871" s="11" t="n">
        <f aca="false">MOD(ROW()-9,24)</f>
        <v>22</v>
      </c>
      <c r="C15871" s="12"/>
      <c r="D15871" s="13" t="n">
        <f aca="false">IF(B15871&lt;5,Einstellungen!$B$3,Einstellungen!$B$4)</f>
        <v>29.13</v>
      </c>
      <c r="E15871" s="14" t="str">
        <f aca="false">IF(C15871="","",C15871*D15871/100)</f>
        <v/>
      </c>
      <c r="F15871" s="15" t="str">
        <f aca="false">IF(B15871&lt;5,"Go","Standard")</f>
        <v>Standard</v>
      </c>
    </row>
    <row r="15872" customFormat="false" ht="15" hidden="false" customHeight="true" outlineLevel="0" collapsed="false">
      <c r="A15872" s="10" t="n">
        <f aca="false">Einstellungen!$B$5+INT((ROW()-9)/24)</f>
        <v>46626</v>
      </c>
      <c r="B15872" s="11" t="n">
        <f aca="false">MOD(ROW()-9,24)</f>
        <v>23</v>
      </c>
      <c r="C15872" s="12"/>
      <c r="D15872" s="13" t="n">
        <f aca="false">IF(B15872&lt;5,Einstellungen!$B$3,Einstellungen!$B$4)</f>
        <v>29.13</v>
      </c>
      <c r="E15872" s="14" t="str">
        <f aca="false">IF(C15872="","",C15872*D15872/100)</f>
        <v/>
      </c>
      <c r="F15872" s="15" t="str">
        <f aca="false">IF(B15872&lt;5,"Go","Standard")</f>
        <v>Standard</v>
      </c>
    </row>
    <row r="15873" customFormat="false" ht="15" hidden="false" customHeight="true" outlineLevel="0" collapsed="false">
      <c r="A15873" s="10" t="n">
        <f aca="false">Einstellungen!$B$5+INT((ROW()-9)/24)</f>
        <v>46627</v>
      </c>
      <c r="B15873" s="11" t="n">
        <f aca="false">MOD(ROW()-9,24)</f>
        <v>0</v>
      </c>
      <c r="C15873" s="12"/>
      <c r="D15873" s="13" t="n">
        <f aca="false">IF(B15873&lt;5,Einstellungen!$B$3,Einstellungen!$B$4)</f>
        <v>15.92</v>
      </c>
      <c r="E15873" s="14" t="str">
        <f aca="false">IF(C15873="","",C15873*D15873/100)</f>
        <v/>
      </c>
      <c r="F15873" s="15" t="str">
        <f aca="false">IF(B15873&lt;5,"Go","Standard")</f>
        <v>Go</v>
      </c>
    </row>
    <row r="15874" customFormat="false" ht="15" hidden="false" customHeight="true" outlineLevel="0" collapsed="false">
      <c r="A15874" s="10" t="n">
        <f aca="false">Einstellungen!$B$5+INT((ROW()-9)/24)</f>
        <v>46627</v>
      </c>
      <c r="B15874" s="11" t="n">
        <f aca="false">MOD(ROW()-9,24)</f>
        <v>1</v>
      </c>
      <c r="C15874" s="12"/>
      <c r="D15874" s="13" t="n">
        <f aca="false">IF(B15874&lt;5,Einstellungen!$B$3,Einstellungen!$B$4)</f>
        <v>15.92</v>
      </c>
      <c r="E15874" s="14" t="str">
        <f aca="false">IF(C15874="","",C15874*D15874/100)</f>
        <v/>
      </c>
      <c r="F15874" s="15" t="str">
        <f aca="false">IF(B15874&lt;5,"Go","Standard")</f>
        <v>Go</v>
      </c>
    </row>
    <row r="15875" customFormat="false" ht="15" hidden="false" customHeight="true" outlineLevel="0" collapsed="false">
      <c r="A15875" s="10" t="n">
        <f aca="false">Einstellungen!$B$5+INT((ROW()-9)/24)</f>
        <v>46627</v>
      </c>
      <c r="B15875" s="11" t="n">
        <f aca="false">MOD(ROW()-9,24)</f>
        <v>2</v>
      </c>
      <c r="C15875" s="12"/>
      <c r="D15875" s="13" t="n">
        <f aca="false">IF(B15875&lt;5,Einstellungen!$B$3,Einstellungen!$B$4)</f>
        <v>15.92</v>
      </c>
      <c r="E15875" s="14" t="str">
        <f aca="false">IF(C15875="","",C15875*D15875/100)</f>
        <v/>
      </c>
      <c r="F15875" s="15" t="str">
        <f aca="false">IF(B15875&lt;5,"Go","Standard")</f>
        <v>Go</v>
      </c>
    </row>
    <row r="15876" customFormat="false" ht="15" hidden="false" customHeight="true" outlineLevel="0" collapsed="false">
      <c r="A15876" s="10" t="n">
        <f aca="false">Einstellungen!$B$5+INT((ROW()-9)/24)</f>
        <v>46627</v>
      </c>
      <c r="B15876" s="11" t="n">
        <f aca="false">MOD(ROW()-9,24)</f>
        <v>3</v>
      </c>
      <c r="C15876" s="12"/>
      <c r="D15876" s="13" t="n">
        <f aca="false">IF(B15876&lt;5,Einstellungen!$B$3,Einstellungen!$B$4)</f>
        <v>15.92</v>
      </c>
      <c r="E15876" s="14" t="str">
        <f aca="false">IF(C15876="","",C15876*D15876/100)</f>
        <v/>
      </c>
      <c r="F15876" s="15" t="str">
        <f aca="false">IF(B15876&lt;5,"Go","Standard")</f>
        <v>Go</v>
      </c>
    </row>
    <row r="15877" customFormat="false" ht="15" hidden="false" customHeight="true" outlineLevel="0" collapsed="false">
      <c r="A15877" s="10" t="n">
        <f aca="false">Einstellungen!$B$5+INT((ROW()-9)/24)</f>
        <v>46627</v>
      </c>
      <c r="B15877" s="11" t="n">
        <f aca="false">MOD(ROW()-9,24)</f>
        <v>4</v>
      </c>
      <c r="C15877" s="12"/>
      <c r="D15877" s="13" t="n">
        <f aca="false">IF(B15877&lt;5,Einstellungen!$B$3,Einstellungen!$B$4)</f>
        <v>15.92</v>
      </c>
      <c r="E15877" s="14" t="str">
        <f aca="false">IF(C15877="","",C15877*D15877/100)</f>
        <v/>
      </c>
      <c r="F15877" s="15" t="str">
        <f aca="false">IF(B15877&lt;5,"Go","Standard")</f>
        <v>Go</v>
      </c>
    </row>
    <row r="15878" customFormat="false" ht="15" hidden="false" customHeight="true" outlineLevel="0" collapsed="false">
      <c r="A15878" s="10" t="n">
        <f aca="false">Einstellungen!$B$5+INT((ROW()-9)/24)</f>
        <v>46627</v>
      </c>
      <c r="B15878" s="11" t="n">
        <f aca="false">MOD(ROW()-9,24)</f>
        <v>5</v>
      </c>
      <c r="C15878" s="12"/>
      <c r="D15878" s="13" t="n">
        <f aca="false">IF(B15878&lt;5,Einstellungen!$B$3,Einstellungen!$B$4)</f>
        <v>29.13</v>
      </c>
      <c r="E15878" s="14" t="str">
        <f aca="false">IF(C15878="","",C15878*D15878/100)</f>
        <v/>
      </c>
      <c r="F15878" s="15" t="str">
        <f aca="false">IF(B15878&lt;5,"Go","Standard")</f>
        <v>Standard</v>
      </c>
    </row>
    <row r="15879" customFormat="false" ht="15" hidden="false" customHeight="true" outlineLevel="0" collapsed="false">
      <c r="A15879" s="10" t="n">
        <f aca="false">Einstellungen!$B$5+INT((ROW()-9)/24)</f>
        <v>46627</v>
      </c>
      <c r="B15879" s="11" t="n">
        <f aca="false">MOD(ROW()-9,24)</f>
        <v>6</v>
      </c>
      <c r="C15879" s="12"/>
      <c r="D15879" s="13" t="n">
        <f aca="false">IF(B15879&lt;5,Einstellungen!$B$3,Einstellungen!$B$4)</f>
        <v>29.13</v>
      </c>
      <c r="E15879" s="14" t="str">
        <f aca="false">IF(C15879="","",C15879*D15879/100)</f>
        <v/>
      </c>
      <c r="F15879" s="15" t="str">
        <f aca="false">IF(B15879&lt;5,"Go","Standard")</f>
        <v>Standard</v>
      </c>
    </row>
    <row r="15880" customFormat="false" ht="15" hidden="false" customHeight="true" outlineLevel="0" collapsed="false">
      <c r="A15880" s="10" t="n">
        <f aca="false">Einstellungen!$B$5+INT((ROW()-9)/24)</f>
        <v>46627</v>
      </c>
      <c r="B15880" s="11" t="n">
        <f aca="false">MOD(ROW()-9,24)</f>
        <v>7</v>
      </c>
      <c r="C15880" s="12"/>
      <c r="D15880" s="13" t="n">
        <f aca="false">IF(B15880&lt;5,Einstellungen!$B$3,Einstellungen!$B$4)</f>
        <v>29.13</v>
      </c>
      <c r="E15880" s="14" t="str">
        <f aca="false">IF(C15880="","",C15880*D15880/100)</f>
        <v/>
      </c>
      <c r="F15880" s="15" t="str">
        <f aca="false">IF(B15880&lt;5,"Go","Standard")</f>
        <v>Standard</v>
      </c>
    </row>
    <row r="15881" customFormat="false" ht="15" hidden="false" customHeight="true" outlineLevel="0" collapsed="false">
      <c r="A15881" s="10" t="n">
        <f aca="false">Einstellungen!$B$5+INT((ROW()-9)/24)</f>
        <v>46627</v>
      </c>
      <c r="B15881" s="11" t="n">
        <f aca="false">MOD(ROW()-9,24)</f>
        <v>8</v>
      </c>
      <c r="C15881" s="12"/>
      <c r="D15881" s="13" t="n">
        <f aca="false">IF(B15881&lt;5,Einstellungen!$B$3,Einstellungen!$B$4)</f>
        <v>29.13</v>
      </c>
      <c r="E15881" s="14" t="str">
        <f aca="false">IF(C15881="","",C15881*D15881/100)</f>
        <v/>
      </c>
      <c r="F15881" s="15" t="str">
        <f aca="false">IF(B15881&lt;5,"Go","Standard")</f>
        <v>Standard</v>
      </c>
    </row>
    <row r="15882" customFormat="false" ht="15" hidden="false" customHeight="true" outlineLevel="0" collapsed="false">
      <c r="A15882" s="10" t="n">
        <f aca="false">Einstellungen!$B$5+INT((ROW()-9)/24)</f>
        <v>46627</v>
      </c>
      <c r="B15882" s="11" t="n">
        <f aca="false">MOD(ROW()-9,24)</f>
        <v>9</v>
      </c>
      <c r="C15882" s="12"/>
      <c r="D15882" s="13" t="n">
        <f aca="false">IF(B15882&lt;5,Einstellungen!$B$3,Einstellungen!$B$4)</f>
        <v>29.13</v>
      </c>
      <c r="E15882" s="14" t="str">
        <f aca="false">IF(C15882="","",C15882*D15882/100)</f>
        <v/>
      </c>
      <c r="F15882" s="15" t="str">
        <f aca="false">IF(B15882&lt;5,"Go","Standard")</f>
        <v>Standard</v>
      </c>
    </row>
    <row r="15883" customFormat="false" ht="15" hidden="false" customHeight="true" outlineLevel="0" collapsed="false">
      <c r="A15883" s="10" t="n">
        <f aca="false">Einstellungen!$B$5+INT((ROW()-9)/24)</f>
        <v>46627</v>
      </c>
      <c r="B15883" s="11" t="n">
        <f aca="false">MOD(ROW()-9,24)</f>
        <v>10</v>
      </c>
      <c r="C15883" s="12"/>
      <c r="D15883" s="13" t="n">
        <f aca="false">IF(B15883&lt;5,Einstellungen!$B$3,Einstellungen!$B$4)</f>
        <v>29.13</v>
      </c>
      <c r="E15883" s="14" t="str">
        <f aca="false">IF(C15883="","",C15883*D15883/100)</f>
        <v/>
      </c>
      <c r="F15883" s="15" t="str">
        <f aca="false">IF(B15883&lt;5,"Go","Standard")</f>
        <v>Standard</v>
      </c>
    </row>
    <row r="15884" customFormat="false" ht="15" hidden="false" customHeight="true" outlineLevel="0" collapsed="false">
      <c r="A15884" s="10" t="n">
        <f aca="false">Einstellungen!$B$5+INT((ROW()-9)/24)</f>
        <v>46627</v>
      </c>
      <c r="B15884" s="11" t="n">
        <f aca="false">MOD(ROW()-9,24)</f>
        <v>11</v>
      </c>
      <c r="C15884" s="12"/>
      <c r="D15884" s="13" t="n">
        <f aca="false">IF(B15884&lt;5,Einstellungen!$B$3,Einstellungen!$B$4)</f>
        <v>29.13</v>
      </c>
      <c r="E15884" s="14" t="str">
        <f aca="false">IF(C15884="","",C15884*D15884/100)</f>
        <v/>
      </c>
      <c r="F15884" s="15" t="str">
        <f aca="false">IF(B15884&lt;5,"Go","Standard")</f>
        <v>Standard</v>
      </c>
    </row>
    <row r="15885" customFormat="false" ht="15" hidden="false" customHeight="true" outlineLevel="0" collapsed="false">
      <c r="A15885" s="10" t="n">
        <f aca="false">Einstellungen!$B$5+INT((ROW()-9)/24)</f>
        <v>46627</v>
      </c>
      <c r="B15885" s="11" t="n">
        <f aca="false">MOD(ROW()-9,24)</f>
        <v>12</v>
      </c>
      <c r="C15885" s="12"/>
      <c r="D15885" s="13" t="n">
        <f aca="false">IF(B15885&lt;5,Einstellungen!$B$3,Einstellungen!$B$4)</f>
        <v>29.13</v>
      </c>
      <c r="E15885" s="14" t="str">
        <f aca="false">IF(C15885="","",C15885*D15885/100)</f>
        <v/>
      </c>
      <c r="F15885" s="15" t="str">
        <f aca="false">IF(B15885&lt;5,"Go","Standard")</f>
        <v>Standard</v>
      </c>
    </row>
    <row r="15886" customFormat="false" ht="15" hidden="false" customHeight="true" outlineLevel="0" collapsed="false">
      <c r="A15886" s="10" t="n">
        <f aca="false">Einstellungen!$B$5+INT((ROW()-9)/24)</f>
        <v>46627</v>
      </c>
      <c r="B15886" s="11" t="n">
        <f aca="false">MOD(ROW()-9,24)</f>
        <v>13</v>
      </c>
      <c r="C15886" s="12"/>
      <c r="D15886" s="13" t="n">
        <f aca="false">IF(B15886&lt;5,Einstellungen!$B$3,Einstellungen!$B$4)</f>
        <v>29.13</v>
      </c>
      <c r="E15886" s="14" t="str">
        <f aca="false">IF(C15886="","",C15886*D15886/100)</f>
        <v/>
      </c>
      <c r="F15886" s="15" t="str">
        <f aca="false">IF(B15886&lt;5,"Go","Standard")</f>
        <v>Standard</v>
      </c>
    </row>
    <row r="15887" customFormat="false" ht="15" hidden="false" customHeight="true" outlineLevel="0" collapsed="false">
      <c r="A15887" s="10" t="n">
        <f aca="false">Einstellungen!$B$5+INT((ROW()-9)/24)</f>
        <v>46627</v>
      </c>
      <c r="B15887" s="11" t="n">
        <f aca="false">MOD(ROW()-9,24)</f>
        <v>14</v>
      </c>
      <c r="C15887" s="12"/>
      <c r="D15887" s="13" t="n">
        <f aca="false">IF(B15887&lt;5,Einstellungen!$B$3,Einstellungen!$B$4)</f>
        <v>29.13</v>
      </c>
      <c r="E15887" s="14" t="str">
        <f aca="false">IF(C15887="","",C15887*D15887/100)</f>
        <v/>
      </c>
      <c r="F15887" s="15" t="str">
        <f aca="false">IF(B15887&lt;5,"Go","Standard")</f>
        <v>Standard</v>
      </c>
    </row>
    <row r="15888" customFormat="false" ht="15" hidden="false" customHeight="true" outlineLevel="0" collapsed="false">
      <c r="A15888" s="10" t="n">
        <f aca="false">Einstellungen!$B$5+INT((ROW()-9)/24)</f>
        <v>46627</v>
      </c>
      <c r="B15888" s="11" t="n">
        <f aca="false">MOD(ROW()-9,24)</f>
        <v>15</v>
      </c>
      <c r="C15888" s="12"/>
      <c r="D15888" s="13" t="n">
        <f aca="false">IF(B15888&lt;5,Einstellungen!$B$3,Einstellungen!$B$4)</f>
        <v>29.13</v>
      </c>
      <c r="E15888" s="14" t="str">
        <f aca="false">IF(C15888="","",C15888*D15888/100)</f>
        <v/>
      </c>
      <c r="F15888" s="15" t="str">
        <f aca="false">IF(B15888&lt;5,"Go","Standard")</f>
        <v>Standard</v>
      </c>
    </row>
    <row r="15889" customFormat="false" ht="15" hidden="false" customHeight="true" outlineLevel="0" collapsed="false">
      <c r="A15889" s="10" t="n">
        <f aca="false">Einstellungen!$B$5+INT((ROW()-9)/24)</f>
        <v>46627</v>
      </c>
      <c r="B15889" s="11" t="n">
        <f aca="false">MOD(ROW()-9,24)</f>
        <v>16</v>
      </c>
      <c r="C15889" s="12"/>
      <c r="D15889" s="13" t="n">
        <f aca="false">IF(B15889&lt;5,Einstellungen!$B$3,Einstellungen!$B$4)</f>
        <v>29.13</v>
      </c>
      <c r="E15889" s="14" t="str">
        <f aca="false">IF(C15889="","",C15889*D15889/100)</f>
        <v/>
      </c>
      <c r="F15889" s="15" t="str">
        <f aca="false">IF(B15889&lt;5,"Go","Standard")</f>
        <v>Standard</v>
      </c>
    </row>
    <row r="15890" customFormat="false" ht="15" hidden="false" customHeight="true" outlineLevel="0" collapsed="false">
      <c r="A15890" s="10" t="n">
        <f aca="false">Einstellungen!$B$5+INT((ROW()-9)/24)</f>
        <v>46627</v>
      </c>
      <c r="B15890" s="11" t="n">
        <f aca="false">MOD(ROW()-9,24)</f>
        <v>17</v>
      </c>
      <c r="C15890" s="12"/>
      <c r="D15890" s="13" t="n">
        <f aca="false">IF(B15890&lt;5,Einstellungen!$B$3,Einstellungen!$B$4)</f>
        <v>29.13</v>
      </c>
      <c r="E15890" s="14" t="str">
        <f aca="false">IF(C15890="","",C15890*D15890/100)</f>
        <v/>
      </c>
      <c r="F15890" s="15" t="str">
        <f aca="false">IF(B15890&lt;5,"Go","Standard")</f>
        <v>Standard</v>
      </c>
    </row>
    <row r="15891" customFormat="false" ht="15" hidden="false" customHeight="true" outlineLevel="0" collapsed="false">
      <c r="A15891" s="10" t="n">
        <f aca="false">Einstellungen!$B$5+INT((ROW()-9)/24)</f>
        <v>46627</v>
      </c>
      <c r="B15891" s="11" t="n">
        <f aca="false">MOD(ROW()-9,24)</f>
        <v>18</v>
      </c>
      <c r="C15891" s="12"/>
      <c r="D15891" s="13" t="n">
        <f aca="false">IF(B15891&lt;5,Einstellungen!$B$3,Einstellungen!$B$4)</f>
        <v>29.13</v>
      </c>
      <c r="E15891" s="14" t="str">
        <f aca="false">IF(C15891="","",C15891*D15891/100)</f>
        <v/>
      </c>
      <c r="F15891" s="15" t="str">
        <f aca="false">IF(B15891&lt;5,"Go","Standard")</f>
        <v>Standard</v>
      </c>
    </row>
    <row r="15892" customFormat="false" ht="15" hidden="false" customHeight="true" outlineLevel="0" collapsed="false">
      <c r="A15892" s="10" t="n">
        <f aca="false">Einstellungen!$B$5+INT((ROW()-9)/24)</f>
        <v>46627</v>
      </c>
      <c r="B15892" s="11" t="n">
        <f aca="false">MOD(ROW()-9,24)</f>
        <v>19</v>
      </c>
      <c r="C15892" s="12"/>
      <c r="D15892" s="13" t="n">
        <f aca="false">IF(B15892&lt;5,Einstellungen!$B$3,Einstellungen!$B$4)</f>
        <v>29.13</v>
      </c>
      <c r="E15892" s="14" t="str">
        <f aca="false">IF(C15892="","",C15892*D15892/100)</f>
        <v/>
      </c>
      <c r="F15892" s="15" t="str">
        <f aca="false">IF(B15892&lt;5,"Go","Standard")</f>
        <v>Standard</v>
      </c>
    </row>
    <row r="15893" customFormat="false" ht="15" hidden="false" customHeight="true" outlineLevel="0" collapsed="false">
      <c r="A15893" s="10" t="n">
        <f aca="false">Einstellungen!$B$5+INT((ROW()-9)/24)</f>
        <v>46627</v>
      </c>
      <c r="B15893" s="11" t="n">
        <f aca="false">MOD(ROW()-9,24)</f>
        <v>20</v>
      </c>
      <c r="C15893" s="12"/>
      <c r="D15893" s="13" t="n">
        <f aca="false">IF(B15893&lt;5,Einstellungen!$B$3,Einstellungen!$B$4)</f>
        <v>29.13</v>
      </c>
      <c r="E15893" s="14" t="str">
        <f aca="false">IF(C15893="","",C15893*D15893/100)</f>
        <v/>
      </c>
      <c r="F15893" s="15" t="str">
        <f aca="false">IF(B15893&lt;5,"Go","Standard")</f>
        <v>Standard</v>
      </c>
    </row>
    <row r="15894" customFormat="false" ht="15" hidden="false" customHeight="true" outlineLevel="0" collapsed="false">
      <c r="A15894" s="10" t="n">
        <f aca="false">Einstellungen!$B$5+INT((ROW()-9)/24)</f>
        <v>46627</v>
      </c>
      <c r="B15894" s="11" t="n">
        <f aca="false">MOD(ROW()-9,24)</f>
        <v>21</v>
      </c>
      <c r="C15894" s="12"/>
      <c r="D15894" s="13" t="n">
        <f aca="false">IF(B15894&lt;5,Einstellungen!$B$3,Einstellungen!$B$4)</f>
        <v>29.13</v>
      </c>
      <c r="E15894" s="14" t="str">
        <f aca="false">IF(C15894="","",C15894*D15894/100)</f>
        <v/>
      </c>
      <c r="F15894" s="15" t="str">
        <f aca="false">IF(B15894&lt;5,"Go","Standard")</f>
        <v>Standard</v>
      </c>
    </row>
    <row r="15895" customFormat="false" ht="15" hidden="false" customHeight="true" outlineLevel="0" collapsed="false">
      <c r="A15895" s="10" t="n">
        <f aca="false">Einstellungen!$B$5+INT((ROW()-9)/24)</f>
        <v>46627</v>
      </c>
      <c r="B15895" s="11" t="n">
        <f aca="false">MOD(ROW()-9,24)</f>
        <v>22</v>
      </c>
      <c r="C15895" s="12"/>
      <c r="D15895" s="13" t="n">
        <f aca="false">IF(B15895&lt;5,Einstellungen!$B$3,Einstellungen!$B$4)</f>
        <v>29.13</v>
      </c>
      <c r="E15895" s="14" t="str">
        <f aca="false">IF(C15895="","",C15895*D15895/100)</f>
        <v/>
      </c>
      <c r="F15895" s="15" t="str">
        <f aca="false">IF(B15895&lt;5,"Go","Standard")</f>
        <v>Standard</v>
      </c>
    </row>
    <row r="15896" customFormat="false" ht="15" hidden="false" customHeight="true" outlineLevel="0" collapsed="false">
      <c r="A15896" s="10" t="n">
        <f aca="false">Einstellungen!$B$5+INT((ROW()-9)/24)</f>
        <v>46627</v>
      </c>
      <c r="B15896" s="11" t="n">
        <f aca="false">MOD(ROW()-9,24)</f>
        <v>23</v>
      </c>
      <c r="C15896" s="12"/>
      <c r="D15896" s="13" t="n">
        <f aca="false">IF(B15896&lt;5,Einstellungen!$B$3,Einstellungen!$B$4)</f>
        <v>29.13</v>
      </c>
      <c r="E15896" s="14" t="str">
        <f aca="false">IF(C15896="","",C15896*D15896/100)</f>
        <v/>
      </c>
      <c r="F15896" s="15" t="str">
        <f aca="false">IF(B15896&lt;5,"Go","Standard")</f>
        <v>Standard</v>
      </c>
    </row>
    <row r="15897" customFormat="false" ht="15" hidden="false" customHeight="true" outlineLevel="0" collapsed="false">
      <c r="A15897" s="10" t="n">
        <f aca="false">Einstellungen!$B$5+INT((ROW()-9)/24)</f>
        <v>46628</v>
      </c>
      <c r="B15897" s="11" t="n">
        <f aca="false">MOD(ROW()-9,24)</f>
        <v>0</v>
      </c>
      <c r="C15897" s="12"/>
      <c r="D15897" s="13" t="n">
        <f aca="false">IF(B15897&lt;5,Einstellungen!$B$3,Einstellungen!$B$4)</f>
        <v>15.92</v>
      </c>
      <c r="E15897" s="14" t="str">
        <f aca="false">IF(C15897="","",C15897*D15897/100)</f>
        <v/>
      </c>
      <c r="F15897" s="15" t="str">
        <f aca="false">IF(B15897&lt;5,"Go","Standard")</f>
        <v>Go</v>
      </c>
    </row>
    <row r="15898" customFormat="false" ht="15" hidden="false" customHeight="true" outlineLevel="0" collapsed="false">
      <c r="A15898" s="10" t="n">
        <f aca="false">Einstellungen!$B$5+INT((ROW()-9)/24)</f>
        <v>46628</v>
      </c>
      <c r="B15898" s="11" t="n">
        <f aca="false">MOD(ROW()-9,24)</f>
        <v>1</v>
      </c>
      <c r="C15898" s="12"/>
      <c r="D15898" s="13" t="n">
        <f aca="false">IF(B15898&lt;5,Einstellungen!$B$3,Einstellungen!$B$4)</f>
        <v>15.92</v>
      </c>
      <c r="E15898" s="14" t="str">
        <f aca="false">IF(C15898="","",C15898*D15898/100)</f>
        <v/>
      </c>
      <c r="F15898" s="15" t="str">
        <f aca="false">IF(B15898&lt;5,"Go","Standard")</f>
        <v>Go</v>
      </c>
    </row>
    <row r="15899" customFormat="false" ht="15" hidden="false" customHeight="true" outlineLevel="0" collapsed="false">
      <c r="A15899" s="10" t="n">
        <f aca="false">Einstellungen!$B$5+INT((ROW()-9)/24)</f>
        <v>46628</v>
      </c>
      <c r="B15899" s="11" t="n">
        <f aca="false">MOD(ROW()-9,24)</f>
        <v>2</v>
      </c>
      <c r="C15899" s="12"/>
      <c r="D15899" s="13" t="n">
        <f aca="false">IF(B15899&lt;5,Einstellungen!$B$3,Einstellungen!$B$4)</f>
        <v>15.92</v>
      </c>
      <c r="E15899" s="14" t="str">
        <f aca="false">IF(C15899="","",C15899*D15899/100)</f>
        <v/>
      </c>
      <c r="F15899" s="15" t="str">
        <f aca="false">IF(B15899&lt;5,"Go","Standard")</f>
        <v>Go</v>
      </c>
    </row>
    <row r="15900" customFormat="false" ht="15" hidden="false" customHeight="true" outlineLevel="0" collapsed="false">
      <c r="A15900" s="10" t="n">
        <f aca="false">Einstellungen!$B$5+INT((ROW()-9)/24)</f>
        <v>46628</v>
      </c>
      <c r="B15900" s="11" t="n">
        <f aca="false">MOD(ROW()-9,24)</f>
        <v>3</v>
      </c>
      <c r="C15900" s="12"/>
      <c r="D15900" s="13" t="n">
        <f aca="false">IF(B15900&lt;5,Einstellungen!$B$3,Einstellungen!$B$4)</f>
        <v>15.92</v>
      </c>
      <c r="E15900" s="14" t="str">
        <f aca="false">IF(C15900="","",C15900*D15900/100)</f>
        <v/>
      </c>
      <c r="F15900" s="15" t="str">
        <f aca="false">IF(B15900&lt;5,"Go","Standard")</f>
        <v>Go</v>
      </c>
    </row>
    <row r="15901" customFormat="false" ht="15" hidden="false" customHeight="true" outlineLevel="0" collapsed="false">
      <c r="A15901" s="10" t="n">
        <f aca="false">Einstellungen!$B$5+INT((ROW()-9)/24)</f>
        <v>46628</v>
      </c>
      <c r="B15901" s="11" t="n">
        <f aca="false">MOD(ROW()-9,24)</f>
        <v>4</v>
      </c>
      <c r="C15901" s="12"/>
      <c r="D15901" s="13" t="n">
        <f aca="false">IF(B15901&lt;5,Einstellungen!$B$3,Einstellungen!$B$4)</f>
        <v>15.92</v>
      </c>
      <c r="E15901" s="14" t="str">
        <f aca="false">IF(C15901="","",C15901*D15901/100)</f>
        <v/>
      </c>
      <c r="F15901" s="15" t="str">
        <f aca="false">IF(B15901&lt;5,"Go","Standard")</f>
        <v>Go</v>
      </c>
    </row>
    <row r="15902" customFormat="false" ht="15" hidden="false" customHeight="true" outlineLevel="0" collapsed="false">
      <c r="A15902" s="10" t="n">
        <f aca="false">Einstellungen!$B$5+INT((ROW()-9)/24)</f>
        <v>46628</v>
      </c>
      <c r="B15902" s="11" t="n">
        <f aca="false">MOD(ROW()-9,24)</f>
        <v>5</v>
      </c>
      <c r="C15902" s="12"/>
      <c r="D15902" s="13" t="n">
        <f aca="false">IF(B15902&lt;5,Einstellungen!$B$3,Einstellungen!$B$4)</f>
        <v>29.13</v>
      </c>
      <c r="E15902" s="14" t="str">
        <f aca="false">IF(C15902="","",C15902*D15902/100)</f>
        <v/>
      </c>
      <c r="F15902" s="15" t="str">
        <f aca="false">IF(B15902&lt;5,"Go","Standard")</f>
        <v>Standard</v>
      </c>
    </row>
    <row r="15903" customFormat="false" ht="15" hidden="false" customHeight="true" outlineLevel="0" collapsed="false">
      <c r="A15903" s="10" t="n">
        <f aca="false">Einstellungen!$B$5+INT((ROW()-9)/24)</f>
        <v>46628</v>
      </c>
      <c r="B15903" s="11" t="n">
        <f aca="false">MOD(ROW()-9,24)</f>
        <v>6</v>
      </c>
      <c r="C15903" s="12"/>
      <c r="D15903" s="13" t="n">
        <f aca="false">IF(B15903&lt;5,Einstellungen!$B$3,Einstellungen!$B$4)</f>
        <v>29.13</v>
      </c>
      <c r="E15903" s="14" t="str">
        <f aca="false">IF(C15903="","",C15903*D15903/100)</f>
        <v/>
      </c>
      <c r="F15903" s="15" t="str">
        <f aca="false">IF(B15903&lt;5,"Go","Standard")</f>
        <v>Standard</v>
      </c>
    </row>
    <row r="15904" customFormat="false" ht="15" hidden="false" customHeight="true" outlineLevel="0" collapsed="false">
      <c r="A15904" s="10" t="n">
        <f aca="false">Einstellungen!$B$5+INT((ROW()-9)/24)</f>
        <v>46628</v>
      </c>
      <c r="B15904" s="11" t="n">
        <f aca="false">MOD(ROW()-9,24)</f>
        <v>7</v>
      </c>
      <c r="C15904" s="12"/>
      <c r="D15904" s="13" t="n">
        <f aca="false">IF(B15904&lt;5,Einstellungen!$B$3,Einstellungen!$B$4)</f>
        <v>29.13</v>
      </c>
      <c r="E15904" s="14" t="str">
        <f aca="false">IF(C15904="","",C15904*D15904/100)</f>
        <v/>
      </c>
      <c r="F15904" s="15" t="str">
        <f aca="false">IF(B15904&lt;5,"Go","Standard")</f>
        <v>Standard</v>
      </c>
    </row>
    <row r="15905" customFormat="false" ht="15" hidden="false" customHeight="true" outlineLevel="0" collapsed="false">
      <c r="A15905" s="10" t="n">
        <f aca="false">Einstellungen!$B$5+INT((ROW()-9)/24)</f>
        <v>46628</v>
      </c>
      <c r="B15905" s="11" t="n">
        <f aca="false">MOD(ROW()-9,24)</f>
        <v>8</v>
      </c>
      <c r="C15905" s="12"/>
      <c r="D15905" s="13" t="n">
        <f aca="false">IF(B15905&lt;5,Einstellungen!$B$3,Einstellungen!$B$4)</f>
        <v>29.13</v>
      </c>
      <c r="E15905" s="14" t="str">
        <f aca="false">IF(C15905="","",C15905*D15905/100)</f>
        <v/>
      </c>
      <c r="F15905" s="15" t="str">
        <f aca="false">IF(B15905&lt;5,"Go","Standard")</f>
        <v>Standard</v>
      </c>
    </row>
    <row r="15906" customFormat="false" ht="15" hidden="false" customHeight="true" outlineLevel="0" collapsed="false">
      <c r="A15906" s="10" t="n">
        <f aca="false">Einstellungen!$B$5+INT((ROW()-9)/24)</f>
        <v>46628</v>
      </c>
      <c r="B15906" s="11" t="n">
        <f aca="false">MOD(ROW()-9,24)</f>
        <v>9</v>
      </c>
      <c r="C15906" s="12"/>
      <c r="D15906" s="13" t="n">
        <f aca="false">IF(B15906&lt;5,Einstellungen!$B$3,Einstellungen!$B$4)</f>
        <v>29.13</v>
      </c>
      <c r="E15906" s="14" t="str">
        <f aca="false">IF(C15906="","",C15906*D15906/100)</f>
        <v/>
      </c>
      <c r="F15906" s="15" t="str">
        <f aca="false">IF(B15906&lt;5,"Go","Standard")</f>
        <v>Standard</v>
      </c>
    </row>
    <row r="15907" customFormat="false" ht="15" hidden="false" customHeight="true" outlineLevel="0" collapsed="false">
      <c r="A15907" s="10" t="n">
        <f aca="false">Einstellungen!$B$5+INT((ROW()-9)/24)</f>
        <v>46628</v>
      </c>
      <c r="B15907" s="11" t="n">
        <f aca="false">MOD(ROW()-9,24)</f>
        <v>10</v>
      </c>
      <c r="C15907" s="12"/>
      <c r="D15907" s="13" t="n">
        <f aca="false">IF(B15907&lt;5,Einstellungen!$B$3,Einstellungen!$B$4)</f>
        <v>29.13</v>
      </c>
      <c r="E15907" s="14" t="str">
        <f aca="false">IF(C15907="","",C15907*D15907/100)</f>
        <v/>
      </c>
      <c r="F15907" s="15" t="str">
        <f aca="false">IF(B15907&lt;5,"Go","Standard")</f>
        <v>Standard</v>
      </c>
    </row>
    <row r="15908" customFormat="false" ht="15" hidden="false" customHeight="true" outlineLevel="0" collapsed="false">
      <c r="A15908" s="10" t="n">
        <f aca="false">Einstellungen!$B$5+INT((ROW()-9)/24)</f>
        <v>46628</v>
      </c>
      <c r="B15908" s="11" t="n">
        <f aca="false">MOD(ROW()-9,24)</f>
        <v>11</v>
      </c>
      <c r="C15908" s="12"/>
      <c r="D15908" s="13" t="n">
        <f aca="false">IF(B15908&lt;5,Einstellungen!$B$3,Einstellungen!$B$4)</f>
        <v>29.13</v>
      </c>
      <c r="E15908" s="14" t="str">
        <f aca="false">IF(C15908="","",C15908*D15908/100)</f>
        <v/>
      </c>
      <c r="F15908" s="15" t="str">
        <f aca="false">IF(B15908&lt;5,"Go","Standard")</f>
        <v>Standard</v>
      </c>
    </row>
    <row r="15909" customFormat="false" ht="15" hidden="false" customHeight="true" outlineLevel="0" collapsed="false">
      <c r="A15909" s="10" t="n">
        <f aca="false">Einstellungen!$B$5+INT((ROW()-9)/24)</f>
        <v>46628</v>
      </c>
      <c r="B15909" s="11" t="n">
        <f aca="false">MOD(ROW()-9,24)</f>
        <v>12</v>
      </c>
      <c r="C15909" s="12"/>
      <c r="D15909" s="13" t="n">
        <f aca="false">IF(B15909&lt;5,Einstellungen!$B$3,Einstellungen!$B$4)</f>
        <v>29.13</v>
      </c>
      <c r="E15909" s="14" t="str">
        <f aca="false">IF(C15909="","",C15909*D15909/100)</f>
        <v/>
      </c>
      <c r="F15909" s="15" t="str">
        <f aca="false">IF(B15909&lt;5,"Go","Standard")</f>
        <v>Standard</v>
      </c>
    </row>
    <row r="15910" customFormat="false" ht="15" hidden="false" customHeight="true" outlineLevel="0" collapsed="false">
      <c r="A15910" s="10" t="n">
        <f aca="false">Einstellungen!$B$5+INT((ROW()-9)/24)</f>
        <v>46628</v>
      </c>
      <c r="B15910" s="11" t="n">
        <f aca="false">MOD(ROW()-9,24)</f>
        <v>13</v>
      </c>
      <c r="C15910" s="12"/>
      <c r="D15910" s="13" t="n">
        <f aca="false">IF(B15910&lt;5,Einstellungen!$B$3,Einstellungen!$B$4)</f>
        <v>29.13</v>
      </c>
      <c r="E15910" s="14" t="str">
        <f aca="false">IF(C15910="","",C15910*D15910/100)</f>
        <v/>
      </c>
      <c r="F15910" s="15" t="str">
        <f aca="false">IF(B15910&lt;5,"Go","Standard")</f>
        <v>Standard</v>
      </c>
    </row>
    <row r="15911" customFormat="false" ht="15" hidden="false" customHeight="true" outlineLevel="0" collapsed="false">
      <c r="A15911" s="10" t="n">
        <f aca="false">Einstellungen!$B$5+INT((ROW()-9)/24)</f>
        <v>46628</v>
      </c>
      <c r="B15911" s="11" t="n">
        <f aca="false">MOD(ROW()-9,24)</f>
        <v>14</v>
      </c>
      <c r="C15911" s="12"/>
      <c r="D15911" s="13" t="n">
        <f aca="false">IF(B15911&lt;5,Einstellungen!$B$3,Einstellungen!$B$4)</f>
        <v>29.13</v>
      </c>
      <c r="E15911" s="14" t="str">
        <f aca="false">IF(C15911="","",C15911*D15911/100)</f>
        <v/>
      </c>
      <c r="F15911" s="15" t="str">
        <f aca="false">IF(B15911&lt;5,"Go","Standard")</f>
        <v>Standard</v>
      </c>
    </row>
    <row r="15912" customFormat="false" ht="15" hidden="false" customHeight="true" outlineLevel="0" collapsed="false">
      <c r="A15912" s="10" t="n">
        <f aca="false">Einstellungen!$B$5+INT((ROW()-9)/24)</f>
        <v>46628</v>
      </c>
      <c r="B15912" s="11" t="n">
        <f aca="false">MOD(ROW()-9,24)</f>
        <v>15</v>
      </c>
      <c r="C15912" s="12"/>
      <c r="D15912" s="13" t="n">
        <f aca="false">IF(B15912&lt;5,Einstellungen!$B$3,Einstellungen!$B$4)</f>
        <v>29.13</v>
      </c>
      <c r="E15912" s="14" t="str">
        <f aca="false">IF(C15912="","",C15912*D15912/100)</f>
        <v/>
      </c>
      <c r="F15912" s="15" t="str">
        <f aca="false">IF(B15912&lt;5,"Go","Standard")</f>
        <v>Standard</v>
      </c>
    </row>
    <row r="15913" customFormat="false" ht="15" hidden="false" customHeight="true" outlineLevel="0" collapsed="false">
      <c r="A15913" s="10" t="n">
        <f aca="false">Einstellungen!$B$5+INT((ROW()-9)/24)</f>
        <v>46628</v>
      </c>
      <c r="B15913" s="11" t="n">
        <f aca="false">MOD(ROW()-9,24)</f>
        <v>16</v>
      </c>
      <c r="C15913" s="12"/>
      <c r="D15913" s="13" t="n">
        <f aca="false">IF(B15913&lt;5,Einstellungen!$B$3,Einstellungen!$B$4)</f>
        <v>29.13</v>
      </c>
      <c r="E15913" s="14" t="str">
        <f aca="false">IF(C15913="","",C15913*D15913/100)</f>
        <v/>
      </c>
      <c r="F15913" s="15" t="str">
        <f aca="false">IF(B15913&lt;5,"Go","Standard")</f>
        <v>Standard</v>
      </c>
    </row>
    <row r="15914" customFormat="false" ht="15" hidden="false" customHeight="true" outlineLevel="0" collapsed="false">
      <c r="A15914" s="10" t="n">
        <f aca="false">Einstellungen!$B$5+INT((ROW()-9)/24)</f>
        <v>46628</v>
      </c>
      <c r="B15914" s="11" t="n">
        <f aca="false">MOD(ROW()-9,24)</f>
        <v>17</v>
      </c>
      <c r="C15914" s="12"/>
      <c r="D15914" s="13" t="n">
        <f aca="false">IF(B15914&lt;5,Einstellungen!$B$3,Einstellungen!$B$4)</f>
        <v>29.13</v>
      </c>
      <c r="E15914" s="14" t="str">
        <f aca="false">IF(C15914="","",C15914*D15914/100)</f>
        <v/>
      </c>
      <c r="F15914" s="15" t="str">
        <f aca="false">IF(B15914&lt;5,"Go","Standard")</f>
        <v>Standard</v>
      </c>
    </row>
    <row r="15915" customFormat="false" ht="15" hidden="false" customHeight="true" outlineLevel="0" collapsed="false">
      <c r="A15915" s="10" t="n">
        <f aca="false">Einstellungen!$B$5+INT((ROW()-9)/24)</f>
        <v>46628</v>
      </c>
      <c r="B15915" s="11" t="n">
        <f aca="false">MOD(ROW()-9,24)</f>
        <v>18</v>
      </c>
      <c r="C15915" s="12"/>
      <c r="D15915" s="13" t="n">
        <f aca="false">IF(B15915&lt;5,Einstellungen!$B$3,Einstellungen!$B$4)</f>
        <v>29.13</v>
      </c>
      <c r="E15915" s="14" t="str">
        <f aca="false">IF(C15915="","",C15915*D15915/100)</f>
        <v/>
      </c>
      <c r="F15915" s="15" t="str">
        <f aca="false">IF(B15915&lt;5,"Go","Standard")</f>
        <v>Standard</v>
      </c>
    </row>
    <row r="15916" customFormat="false" ht="15" hidden="false" customHeight="true" outlineLevel="0" collapsed="false">
      <c r="A15916" s="10" t="n">
        <f aca="false">Einstellungen!$B$5+INT((ROW()-9)/24)</f>
        <v>46628</v>
      </c>
      <c r="B15916" s="11" t="n">
        <f aca="false">MOD(ROW()-9,24)</f>
        <v>19</v>
      </c>
      <c r="C15916" s="12"/>
      <c r="D15916" s="13" t="n">
        <f aca="false">IF(B15916&lt;5,Einstellungen!$B$3,Einstellungen!$B$4)</f>
        <v>29.13</v>
      </c>
      <c r="E15916" s="14" t="str">
        <f aca="false">IF(C15916="","",C15916*D15916/100)</f>
        <v/>
      </c>
      <c r="F15916" s="15" t="str">
        <f aca="false">IF(B15916&lt;5,"Go","Standard")</f>
        <v>Standard</v>
      </c>
    </row>
    <row r="15917" customFormat="false" ht="15" hidden="false" customHeight="true" outlineLevel="0" collapsed="false">
      <c r="A15917" s="10" t="n">
        <f aca="false">Einstellungen!$B$5+INT((ROW()-9)/24)</f>
        <v>46628</v>
      </c>
      <c r="B15917" s="11" t="n">
        <f aca="false">MOD(ROW()-9,24)</f>
        <v>20</v>
      </c>
      <c r="C15917" s="12"/>
      <c r="D15917" s="13" t="n">
        <f aca="false">IF(B15917&lt;5,Einstellungen!$B$3,Einstellungen!$B$4)</f>
        <v>29.13</v>
      </c>
      <c r="E15917" s="14" t="str">
        <f aca="false">IF(C15917="","",C15917*D15917/100)</f>
        <v/>
      </c>
      <c r="F15917" s="15" t="str">
        <f aca="false">IF(B15917&lt;5,"Go","Standard")</f>
        <v>Standard</v>
      </c>
    </row>
    <row r="15918" customFormat="false" ht="15" hidden="false" customHeight="true" outlineLevel="0" collapsed="false">
      <c r="A15918" s="10" t="n">
        <f aca="false">Einstellungen!$B$5+INT((ROW()-9)/24)</f>
        <v>46628</v>
      </c>
      <c r="B15918" s="11" t="n">
        <f aca="false">MOD(ROW()-9,24)</f>
        <v>21</v>
      </c>
      <c r="C15918" s="12"/>
      <c r="D15918" s="13" t="n">
        <f aca="false">IF(B15918&lt;5,Einstellungen!$B$3,Einstellungen!$B$4)</f>
        <v>29.13</v>
      </c>
      <c r="E15918" s="14" t="str">
        <f aca="false">IF(C15918="","",C15918*D15918/100)</f>
        <v/>
      </c>
      <c r="F15918" s="15" t="str">
        <f aca="false">IF(B15918&lt;5,"Go","Standard")</f>
        <v>Standard</v>
      </c>
    </row>
    <row r="15919" customFormat="false" ht="15" hidden="false" customHeight="true" outlineLevel="0" collapsed="false">
      <c r="A15919" s="10" t="n">
        <f aca="false">Einstellungen!$B$5+INT((ROW()-9)/24)</f>
        <v>46628</v>
      </c>
      <c r="B15919" s="11" t="n">
        <f aca="false">MOD(ROW()-9,24)</f>
        <v>22</v>
      </c>
      <c r="C15919" s="12"/>
      <c r="D15919" s="13" t="n">
        <f aca="false">IF(B15919&lt;5,Einstellungen!$B$3,Einstellungen!$B$4)</f>
        <v>29.13</v>
      </c>
      <c r="E15919" s="14" t="str">
        <f aca="false">IF(C15919="","",C15919*D15919/100)</f>
        <v/>
      </c>
      <c r="F15919" s="15" t="str">
        <f aca="false">IF(B15919&lt;5,"Go","Standard")</f>
        <v>Standard</v>
      </c>
    </row>
    <row r="15920" customFormat="false" ht="15" hidden="false" customHeight="true" outlineLevel="0" collapsed="false">
      <c r="A15920" s="10" t="n">
        <f aca="false">Einstellungen!$B$5+INT((ROW()-9)/24)</f>
        <v>46628</v>
      </c>
      <c r="B15920" s="11" t="n">
        <f aca="false">MOD(ROW()-9,24)</f>
        <v>23</v>
      </c>
      <c r="C15920" s="12"/>
      <c r="D15920" s="13" t="n">
        <f aca="false">IF(B15920&lt;5,Einstellungen!$B$3,Einstellungen!$B$4)</f>
        <v>29.13</v>
      </c>
      <c r="E15920" s="14" t="str">
        <f aca="false">IF(C15920="","",C15920*D15920/100)</f>
        <v/>
      </c>
      <c r="F15920" s="15" t="str">
        <f aca="false">IF(B15920&lt;5,"Go","Standard")</f>
        <v>Standard</v>
      </c>
    </row>
    <row r="15921" customFormat="false" ht="15" hidden="false" customHeight="true" outlineLevel="0" collapsed="false">
      <c r="A15921" s="10" t="n">
        <f aca="false">Einstellungen!$B$5+INT((ROW()-9)/24)</f>
        <v>46629</v>
      </c>
      <c r="B15921" s="11" t="n">
        <f aca="false">MOD(ROW()-9,24)</f>
        <v>0</v>
      </c>
      <c r="C15921" s="12"/>
      <c r="D15921" s="13" t="n">
        <f aca="false">IF(B15921&lt;5,Einstellungen!$B$3,Einstellungen!$B$4)</f>
        <v>15.92</v>
      </c>
      <c r="E15921" s="14" t="str">
        <f aca="false">IF(C15921="","",C15921*D15921/100)</f>
        <v/>
      </c>
      <c r="F15921" s="15" t="str">
        <f aca="false">IF(B15921&lt;5,"Go","Standard")</f>
        <v>Go</v>
      </c>
    </row>
    <row r="15922" customFormat="false" ht="15" hidden="false" customHeight="true" outlineLevel="0" collapsed="false">
      <c r="A15922" s="10" t="n">
        <f aca="false">Einstellungen!$B$5+INT((ROW()-9)/24)</f>
        <v>46629</v>
      </c>
      <c r="B15922" s="11" t="n">
        <f aca="false">MOD(ROW()-9,24)</f>
        <v>1</v>
      </c>
      <c r="C15922" s="12"/>
      <c r="D15922" s="13" t="n">
        <f aca="false">IF(B15922&lt;5,Einstellungen!$B$3,Einstellungen!$B$4)</f>
        <v>15.92</v>
      </c>
      <c r="E15922" s="14" t="str">
        <f aca="false">IF(C15922="","",C15922*D15922/100)</f>
        <v/>
      </c>
      <c r="F15922" s="15" t="str">
        <f aca="false">IF(B15922&lt;5,"Go","Standard")</f>
        <v>Go</v>
      </c>
    </row>
    <row r="15923" customFormat="false" ht="15" hidden="false" customHeight="true" outlineLevel="0" collapsed="false">
      <c r="A15923" s="10" t="n">
        <f aca="false">Einstellungen!$B$5+INT((ROW()-9)/24)</f>
        <v>46629</v>
      </c>
      <c r="B15923" s="11" t="n">
        <f aca="false">MOD(ROW()-9,24)</f>
        <v>2</v>
      </c>
      <c r="C15923" s="12"/>
      <c r="D15923" s="13" t="n">
        <f aca="false">IF(B15923&lt;5,Einstellungen!$B$3,Einstellungen!$B$4)</f>
        <v>15.92</v>
      </c>
      <c r="E15923" s="14" t="str">
        <f aca="false">IF(C15923="","",C15923*D15923/100)</f>
        <v/>
      </c>
      <c r="F15923" s="15" t="str">
        <f aca="false">IF(B15923&lt;5,"Go","Standard")</f>
        <v>Go</v>
      </c>
    </row>
    <row r="15924" customFormat="false" ht="15" hidden="false" customHeight="true" outlineLevel="0" collapsed="false">
      <c r="A15924" s="10" t="n">
        <f aca="false">Einstellungen!$B$5+INT((ROW()-9)/24)</f>
        <v>46629</v>
      </c>
      <c r="B15924" s="11" t="n">
        <f aca="false">MOD(ROW()-9,24)</f>
        <v>3</v>
      </c>
      <c r="C15924" s="12"/>
      <c r="D15924" s="13" t="n">
        <f aca="false">IF(B15924&lt;5,Einstellungen!$B$3,Einstellungen!$B$4)</f>
        <v>15.92</v>
      </c>
      <c r="E15924" s="14" t="str">
        <f aca="false">IF(C15924="","",C15924*D15924/100)</f>
        <v/>
      </c>
      <c r="F15924" s="15" t="str">
        <f aca="false">IF(B15924&lt;5,"Go","Standard")</f>
        <v>Go</v>
      </c>
    </row>
    <row r="15925" customFormat="false" ht="15" hidden="false" customHeight="true" outlineLevel="0" collapsed="false">
      <c r="A15925" s="10" t="n">
        <f aca="false">Einstellungen!$B$5+INT((ROW()-9)/24)</f>
        <v>46629</v>
      </c>
      <c r="B15925" s="11" t="n">
        <f aca="false">MOD(ROW()-9,24)</f>
        <v>4</v>
      </c>
      <c r="C15925" s="12"/>
      <c r="D15925" s="13" t="n">
        <f aca="false">IF(B15925&lt;5,Einstellungen!$B$3,Einstellungen!$B$4)</f>
        <v>15.92</v>
      </c>
      <c r="E15925" s="14" t="str">
        <f aca="false">IF(C15925="","",C15925*D15925/100)</f>
        <v/>
      </c>
      <c r="F15925" s="15" t="str">
        <f aca="false">IF(B15925&lt;5,"Go","Standard")</f>
        <v>Go</v>
      </c>
    </row>
    <row r="15926" customFormat="false" ht="15" hidden="false" customHeight="true" outlineLevel="0" collapsed="false">
      <c r="A15926" s="10" t="n">
        <f aca="false">Einstellungen!$B$5+INT((ROW()-9)/24)</f>
        <v>46629</v>
      </c>
      <c r="B15926" s="11" t="n">
        <f aca="false">MOD(ROW()-9,24)</f>
        <v>5</v>
      </c>
      <c r="C15926" s="12"/>
      <c r="D15926" s="13" t="n">
        <f aca="false">IF(B15926&lt;5,Einstellungen!$B$3,Einstellungen!$B$4)</f>
        <v>29.13</v>
      </c>
      <c r="E15926" s="14" t="str">
        <f aca="false">IF(C15926="","",C15926*D15926/100)</f>
        <v/>
      </c>
      <c r="F15926" s="15" t="str">
        <f aca="false">IF(B15926&lt;5,"Go","Standard")</f>
        <v>Standard</v>
      </c>
    </row>
    <row r="15927" customFormat="false" ht="15" hidden="false" customHeight="true" outlineLevel="0" collapsed="false">
      <c r="A15927" s="10" t="n">
        <f aca="false">Einstellungen!$B$5+INT((ROW()-9)/24)</f>
        <v>46629</v>
      </c>
      <c r="B15927" s="11" t="n">
        <f aca="false">MOD(ROW()-9,24)</f>
        <v>6</v>
      </c>
      <c r="C15927" s="12"/>
      <c r="D15927" s="13" t="n">
        <f aca="false">IF(B15927&lt;5,Einstellungen!$B$3,Einstellungen!$B$4)</f>
        <v>29.13</v>
      </c>
      <c r="E15927" s="14" t="str">
        <f aca="false">IF(C15927="","",C15927*D15927/100)</f>
        <v/>
      </c>
      <c r="F15927" s="15" t="str">
        <f aca="false">IF(B15927&lt;5,"Go","Standard")</f>
        <v>Standard</v>
      </c>
    </row>
    <row r="15928" customFormat="false" ht="15" hidden="false" customHeight="true" outlineLevel="0" collapsed="false">
      <c r="A15928" s="10" t="n">
        <f aca="false">Einstellungen!$B$5+INT((ROW()-9)/24)</f>
        <v>46629</v>
      </c>
      <c r="B15928" s="11" t="n">
        <f aca="false">MOD(ROW()-9,24)</f>
        <v>7</v>
      </c>
      <c r="C15928" s="12"/>
      <c r="D15928" s="13" t="n">
        <f aca="false">IF(B15928&lt;5,Einstellungen!$B$3,Einstellungen!$B$4)</f>
        <v>29.13</v>
      </c>
      <c r="E15928" s="14" t="str">
        <f aca="false">IF(C15928="","",C15928*D15928/100)</f>
        <v/>
      </c>
      <c r="F15928" s="15" t="str">
        <f aca="false">IF(B15928&lt;5,"Go","Standard")</f>
        <v>Standard</v>
      </c>
    </row>
    <row r="15929" customFormat="false" ht="15" hidden="false" customHeight="true" outlineLevel="0" collapsed="false">
      <c r="A15929" s="10" t="n">
        <f aca="false">Einstellungen!$B$5+INT((ROW()-9)/24)</f>
        <v>46629</v>
      </c>
      <c r="B15929" s="11" t="n">
        <f aca="false">MOD(ROW()-9,24)</f>
        <v>8</v>
      </c>
      <c r="C15929" s="12"/>
      <c r="D15929" s="13" t="n">
        <f aca="false">IF(B15929&lt;5,Einstellungen!$B$3,Einstellungen!$B$4)</f>
        <v>29.13</v>
      </c>
      <c r="E15929" s="14" t="str">
        <f aca="false">IF(C15929="","",C15929*D15929/100)</f>
        <v/>
      </c>
      <c r="F15929" s="15" t="str">
        <f aca="false">IF(B15929&lt;5,"Go","Standard")</f>
        <v>Standard</v>
      </c>
    </row>
    <row r="15930" customFormat="false" ht="15" hidden="false" customHeight="true" outlineLevel="0" collapsed="false">
      <c r="A15930" s="10" t="n">
        <f aca="false">Einstellungen!$B$5+INT((ROW()-9)/24)</f>
        <v>46629</v>
      </c>
      <c r="B15930" s="11" t="n">
        <f aca="false">MOD(ROW()-9,24)</f>
        <v>9</v>
      </c>
      <c r="C15930" s="12"/>
      <c r="D15930" s="13" t="n">
        <f aca="false">IF(B15930&lt;5,Einstellungen!$B$3,Einstellungen!$B$4)</f>
        <v>29.13</v>
      </c>
      <c r="E15930" s="14" t="str">
        <f aca="false">IF(C15930="","",C15930*D15930/100)</f>
        <v/>
      </c>
      <c r="F15930" s="15" t="str">
        <f aca="false">IF(B15930&lt;5,"Go","Standard")</f>
        <v>Standard</v>
      </c>
    </row>
    <row r="15931" customFormat="false" ht="15" hidden="false" customHeight="true" outlineLevel="0" collapsed="false">
      <c r="A15931" s="10" t="n">
        <f aca="false">Einstellungen!$B$5+INT((ROW()-9)/24)</f>
        <v>46629</v>
      </c>
      <c r="B15931" s="11" t="n">
        <f aca="false">MOD(ROW()-9,24)</f>
        <v>10</v>
      </c>
      <c r="C15931" s="12"/>
      <c r="D15931" s="13" t="n">
        <f aca="false">IF(B15931&lt;5,Einstellungen!$B$3,Einstellungen!$B$4)</f>
        <v>29.13</v>
      </c>
      <c r="E15931" s="14" t="str">
        <f aca="false">IF(C15931="","",C15931*D15931/100)</f>
        <v/>
      </c>
      <c r="F15931" s="15" t="str">
        <f aca="false">IF(B15931&lt;5,"Go","Standard")</f>
        <v>Standard</v>
      </c>
    </row>
    <row r="15932" customFormat="false" ht="15" hidden="false" customHeight="true" outlineLevel="0" collapsed="false">
      <c r="A15932" s="10" t="n">
        <f aca="false">Einstellungen!$B$5+INT((ROW()-9)/24)</f>
        <v>46629</v>
      </c>
      <c r="B15932" s="11" t="n">
        <f aca="false">MOD(ROW()-9,24)</f>
        <v>11</v>
      </c>
      <c r="C15932" s="12"/>
      <c r="D15932" s="13" t="n">
        <f aca="false">IF(B15932&lt;5,Einstellungen!$B$3,Einstellungen!$B$4)</f>
        <v>29.13</v>
      </c>
      <c r="E15932" s="14" t="str">
        <f aca="false">IF(C15932="","",C15932*D15932/100)</f>
        <v/>
      </c>
      <c r="F15932" s="15" t="str">
        <f aca="false">IF(B15932&lt;5,"Go","Standard")</f>
        <v>Standard</v>
      </c>
    </row>
    <row r="15933" customFormat="false" ht="15" hidden="false" customHeight="true" outlineLevel="0" collapsed="false">
      <c r="A15933" s="10" t="n">
        <f aca="false">Einstellungen!$B$5+INT((ROW()-9)/24)</f>
        <v>46629</v>
      </c>
      <c r="B15933" s="11" t="n">
        <f aca="false">MOD(ROW()-9,24)</f>
        <v>12</v>
      </c>
      <c r="C15933" s="12"/>
      <c r="D15933" s="13" t="n">
        <f aca="false">IF(B15933&lt;5,Einstellungen!$B$3,Einstellungen!$B$4)</f>
        <v>29.13</v>
      </c>
      <c r="E15933" s="14" t="str">
        <f aca="false">IF(C15933="","",C15933*D15933/100)</f>
        <v/>
      </c>
      <c r="F15933" s="15" t="str">
        <f aca="false">IF(B15933&lt;5,"Go","Standard")</f>
        <v>Standard</v>
      </c>
    </row>
    <row r="15934" customFormat="false" ht="15" hidden="false" customHeight="true" outlineLevel="0" collapsed="false">
      <c r="A15934" s="10" t="n">
        <f aca="false">Einstellungen!$B$5+INT((ROW()-9)/24)</f>
        <v>46629</v>
      </c>
      <c r="B15934" s="11" t="n">
        <f aca="false">MOD(ROW()-9,24)</f>
        <v>13</v>
      </c>
      <c r="C15934" s="12"/>
      <c r="D15934" s="13" t="n">
        <f aca="false">IF(B15934&lt;5,Einstellungen!$B$3,Einstellungen!$B$4)</f>
        <v>29.13</v>
      </c>
      <c r="E15934" s="14" t="str">
        <f aca="false">IF(C15934="","",C15934*D15934/100)</f>
        <v/>
      </c>
      <c r="F15934" s="15" t="str">
        <f aca="false">IF(B15934&lt;5,"Go","Standard")</f>
        <v>Standard</v>
      </c>
    </row>
    <row r="15935" customFormat="false" ht="15" hidden="false" customHeight="true" outlineLevel="0" collapsed="false">
      <c r="A15935" s="10" t="n">
        <f aca="false">Einstellungen!$B$5+INT((ROW()-9)/24)</f>
        <v>46629</v>
      </c>
      <c r="B15935" s="11" t="n">
        <f aca="false">MOD(ROW()-9,24)</f>
        <v>14</v>
      </c>
      <c r="C15935" s="12"/>
      <c r="D15935" s="13" t="n">
        <f aca="false">IF(B15935&lt;5,Einstellungen!$B$3,Einstellungen!$B$4)</f>
        <v>29.13</v>
      </c>
      <c r="E15935" s="14" t="str">
        <f aca="false">IF(C15935="","",C15935*D15935/100)</f>
        <v/>
      </c>
      <c r="F15935" s="15" t="str">
        <f aca="false">IF(B15935&lt;5,"Go","Standard")</f>
        <v>Standard</v>
      </c>
    </row>
    <row r="15936" customFormat="false" ht="15" hidden="false" customHeight="true" outlineLevel="0" collapsed="false">
      <c r="A15936" s="10" t="n">
        <f aca="false">Einstellungen!$B$5+INT((ROW()-9)/24)</f>
        <v>46629</v>
      </c>
      <c r="B15936" s="11" t="n">
        <f aca="false">MOD(ROW()-9,24)</f>
        <v>15</v>
      </c>
      <c r="C15936" s="12"/>
      <c r="D15936" s="13" t="n">
        <f aca="false">IF(B15936&lt;5,Einstellungen!$B$3,Einstellungen!$B$4)</f>
        <v>29.13</v>
      </c>
      <c r="E15936" s="14" t="str">
        <f aca="false">IF(C15936="","",C15936*D15936/100)</f>
        <v/>
      </c>
      <c r="F15936" s="15" t="str">
        <f aca="false">IF(B15936&lt;5,"Go","Standard")</f>
        <v>Standard</v>
      </c>
    </row>
    <row r="15937" customFormat="false" ht="15" hidden="false" customHeight="true" outlineLevel="0" collapsed="false">
      <c r="A15937" s="10" t="n">
        <f aca="false">Einstellungen!$B$5+INT((ROW()-9)/24)</f>
        <v>46629</v>
      </c>
      <c r="B15937" s="11" t="n">
        <f aca="false">MOD(ROW()-9,24)</f>
        <v>16</v>
      </c>
      <c r="C15937" s="12"/>
      <c r="D15937" s="13" t="n">
        <f aca="false">IF(B15937&lt;5,Einstellungen!$B$3,Einstellungen!$B$4)</f>
        <v>29.13</v>
      </c>
      <c r="E15937" s="14" t="str">
        <f aca="false">IF(C15937="","",C15937*D15937/100)</f>
        <v/>
      </c>
      <c r="F15937" s="15" t="str">
        <f aca="false">IF(B15937&lt;5,"Go","Standard")</f>
        <v>Standard</v>
      </c>
    </row>
    <row r="15938" customFormat="false" ht="15" hidden="false" customHeight="true" outlineLevel="0" collapsed="false">
      <c r="A15938" s="10" t="n">
        <f aca="false">Einstellungen!$B$5+INT((ROW()-9)/24)</f>
        <v>46629</v>
      </c>
      <c r="B15938" s="11" t="n">
        <f aca="false">MOD(ROW()-9,24)</f>
        <v>17</v>
      </c>
      <c r="C15938" s="12"/>
      <c r="D15938" s="13" t="n">
        <f aca="false">IF(B15938&lt;5,Einstellungen!$B$3,Einstellungen!$B$4)</f>
        <v>29.13</v>
      </c>
      <c r="E15938" s="14" t="str">
        <f aca="false">IF(C15938="","",C15938*D15938/100)</f>
        <v/>
      </c>
      <c r="F15938" s="15" t="str">
        <f aca="false">IF(B15938&lt;5,"Go","Standard")</f>
        <v>Standard</v>
      </c>
    </row>
    <row r="15939" customFormat="false" ht="15" hidden="false" customHeight="true" outlineLevel="0" collapsed="false">
      <c r="A15939" s="10" t="n">
        <f aca="false">Einstellungen!$B$5+INT((ROW()-9)/24)</f>
        <v>46629</v>
      </c>
      <c r="B15939" s="11" t="n">
        <f aca="false">MOD(ROW()-9,24)</f>
        <v>18</v>
      </c>
      <c r="C15939" s="12"/>
      <c r="D15939" s="13" t="n">
        <f aca="false">IF(B15939&lt;5,Einstellungen!$B$3,Einstellungen!$B$4)</f>
        <v>29.13</v>
      </c>
      <c r="E15939" s="14" t="str">
        <f aca="false">IF(C15939="","",C15939*D15939/100)</f>
        <v/>
      </c>
      <c r="F15939" s="15" t="str">
        <f aca="false">IF(B15939&lt;5,"Go","Standard")</f>
        <v>Standard</v>
      </c>
    </row>
    <row r="15940" customFormat="false" ht="15" hidden="false" customHeight="true" outlineLevel="0" collapsed="false">
      <c r="A15940" s="10" t="n">
        <f aca="false">Einstellungen!$B$5+INT((ROW()-9)/24)</f>
        <v>46629</v>
      </c>
      <c r="B15940" s="11" t="n">
        <f aca="false">MOD(ROW()-9,24)</f>
        <v>19</v>
      </c>
      <c r="C15940" s="12"/>
      <c r="D15940" s="13" t="n">
        <f aca="false">IF(B15940&lt;5,Einstellungen!$B$3,Einstellungen!$B$4)</f>
        <v>29.13</v>
      </c>
      <c r="E15940" s="14" t="str">
        <f aca="false">IF(C15940="","",C15940*D15940/100)</f>
        <v/>
      </c>
      <c r="F15940" s="15" t="str">
        <f aca="false">IF(B15940&lt;5,"Go","Standard")</f>
        <v>Standard</v>
      </c>
    </row>
    <row r="15941" customFormat="false" ht="15" hidden="false" customHeight="true" outlineLevel="0" collapsed="false">
      <c r="A15941" s="10" t="n">
        <f aca="false">Einstellungen!$B$5+INT((ROW()-9)/24)</f>
        <v>46629</v>
      </c>
      <c r="B15941" s="11" t="n">
        <f aca="false">MOD(ROW()-9,24)</f>
        <v>20</v>
      </c>
      <c r="C15941" s="12"/>
      <c r="D15941" s="13" t="n">
        <f aca="false">IF(B15941&lt;5,Einstellungen!$B$3,Einstellungen!$B$4)</f>
        <v>29.13</v>
      </c>
      <c r="E15941" s="14" t="str">
        <f aca="false">IF(C15941="","",C15941*D15941/100)</f>
        <v/>
      </c>
      <c r="F15941" s="15" t="str">
        <f aca="false">IF(B15941&lt;5,"Go","Standard")</f>
        <v>Standard</v>
      </c>
    </row>
    <row r="15942" customFormat="false" ht="15" hidden="false" customHeight="true" outlineLevel="0" collapsed="false">
      <c r="A15942" s="10" t="n">
        <f aca="false">Einstellungen!$B$5+INT((ROW()-9)/24)</f>
        <v>46629</v>
      </c>
      <c r="B15942" s="11" t="n">
        <f aca="false">MOD(ROW()-9,24)</f>
        <v>21</v>
      </c>
      <c r="C15942" s="12"/>
      <c r="D15942" s="13" t="n">
        <f aca="false">IF(B15942&lt;5,Einstellungen!$B$3,Einstellungen!$B$4)</f>
        <v>29.13</v>
      </c>
      <c r="E15942" s="14" t="str">
        <f aca="false">IF(C15942="","",C15942*D15942/100)</f>
        <v/>
      </c>
      <c r="F15942" s="15" t="str">
        <f aca="false">IF(B15942&lt;5,"Go","Standard")</f>
        <v>Standard</v>
      </c>
    </row>
    <row r="15943" customFormat="false" ht="15" hidden="false" customHeight="true" outlineLevel="0" collapsed="false">
      <c r="A15943" s="10" t="n">
        <f aca="false">Einstellungen!$B$5+INT((ROW()-9)/24)</f>
        <v>46629</v>
      </c>
      <c r="B15943" s="11" t="n">
        <f aca="false">MOD(ROW()-9,24)</f>
        <v>22</v>
      </c>
      <c r="C15943" s="12"/>
      <c r="D15943" s="13" t="n">
        <f aca="false">IF(B15943&lt;5,Einstellungen!$B$3,Einstellungen!$B$4)</f>
        <v>29.13</v>
      </c>
      <c r="E15943" s="14" t="str">
        <f aca="false">IF(C15943="","",C15943*D15943/100)</f>
        <v/>
      </c>
      <c r="F15943" s="15" t="str">
        <f aca="false">IF(B15943&lt;5,"Go","Standard")</f>
        <v>Standard</v>
      </c>
    </row>
    <row r="15944" customFormat="false" ht="15" hidden="false" customHeight="true" outlineLevel="0" collapsed="false">
      <c r="A15944" s="10" t="n">
        <f aca="false">Einstellungen!$B$5+INT((ROW()-9)/24)</f>
        <v>46629</v>
      </c>
      <c r="B15944" s="11" t="n">
        <f aca="false">MOD(ROW()-9,24)</f>
        <v>23</v>
      </c>
      <c r="C15944" s="12"/>
      <c r="D15944" s="13" t="n">
        <f aca="false">IF(B15944&lt;5,Einstellungen!$B$3,Einstellungen!$B$4)</f>
        <v>29.13</v>
      </c>
      <c r="E15944" s="14" t="str">
        <f aca="false">IF(C15944="","",C15944*D15944/100)</f>
        <v/>
      </c>
      <c r="F15944" s="15" t="str">
        <f aca="false">IF(B15944&lt;5,"Go","Standard")</f>
        <v>Standard</v>
      </c>
    </row>
    <row r="15945" customFormat="false" ht="15" hidden="false" customHeight="true" outlineLevel="0" collapsed="false">
      <c r="A15945" s="10" t="n">
        <f aca="false">Einstellungen!$B$5+INT((ROW()-9)/24)</f>
        <v>46630</v>
      </c>
      <c r="B15945" s="11" t="n">
        <f aca="false">MOD(ROW()-9,24)</f>
        <v>0</v>
      </c>
      <c r="C15945" s="12"/>
      <c r="D15945" s="13" t="n">
        <f aca="false">IF(B15945&lt;5,Einstellungen!$B$3,Einstellungen!$B$4)</f>
        <v>15.92</v>
      </c>
      <c r="E15945" s="14" t="str">
        <f aca="false">IF(C15945="","",C15945*D15945/100)</f>
        <v/>
      </c>
      <c r="F15945" s="15" t="str">
        <f aca="false">IF(B15945&lt;5,"Go","Standard")</f>
        <v>Go</v>
      </c>
    </row>
    <row r="15946" customFormat="false" ht="15" hidden="false" customHeight="true" outlineLevel="0" collapsed="false">
      <c r="A15946" s="10" t="n">
        <f aca="false">Einstellungen!$B$5+INT((ROW()-9)/24)</f>
        <v>46630</v>
      </c>
      <c r="B15946" s="11" t="n">
        <f aca="false">MOD(ROW()-9,24)</f>
        <v>1</v>
      </c>
      <c r="C15946" s="12"/>
      <c r="D15946" s="13" t="n">
        <f aca="false">IF(B15946&lt;5,Einstellungen!$B$3,Einstellungen!$B$4)</f>
        <v>15.92</v>
      </c>
      <c r="E15946" s="14" t="str">
        <f aca="false">IF(C15946="","",C15946*D15946/100)</f>
        <v/>
      </c>
      <c r="F15946" s="15" t="str">
        <f aca="false">IF(B15946&lt;5,"Go","Standard")</f>
        <v>Go</v>
      </c>
    </row>
    <row r="15947" customFormat="false" ht="15" hidden="false" customHeight="true" outlineLevel="0" collapsed="false">
      <c r="A15947" s="10" t="n">
        <f aca="false">Einstellungen!$B$5+INT((ROW()-9)/24)</f>
        <v>46630</v>
      </c>
      <c r="B15947" s="11" t="n">
        <f aca="false">MOD(ROW()-9,24)</f>
        <v>2</v>
      </c>
      <c r="C15947" s="12"/>
      <c r="D15947" s="13" t="n">
        <f aca="false">IF(B15947&lt;5,Einstellungen!$B$3,Einstellungen!$B$4)</f>
        <v>15.92</v>
      </c>
      <c r="E15947" s="14" t="str">
        <f aca="false">IF(C15947="","",C15947*D15947/100)</f>
        <v/>
      </c>
      <c r="F15947" s="15" t="str">
        <f aca="false">IF(B15947&lt;5,"Go","Standard")</f>
        <v>Go</v>
      </c>
    </row>
    <row r="15948" customFormat="false" ht="15" hidden="false" customHeight="true" outlineLevel="0" collapsed="false">
      <c r="A15948" s="10" t="n">
        <f aca="false">Einstellungen!$B$5+INT((ROW()-9)/24)</f>
        <v>46630</v>
      </c>
      <c r="B15948" s="11" t="n">
        <f aca="false">MOD(ROW()-9,24)</f>
        <v>3</v>
      </c>
      <c r="C15948" s="12"/>
      <c r="D15948" s="13" t="n">
        <f aca="false">IF(B15948&lt;5,Einstellungen!$B$3,Einstellungen!$B$4)</f>
        <v>15.92</v>
      </c>
      <c r="E15948" s="14" t="str">
        <f aca="false">IF(C15948="","",C15948*D15948/100)</f>
        <v/>
      </c>
      <c r="F15948" s="15" t="str">
        <f aca="false">IF(B15948&lt;5,"Go","Standard")</f>
        <v>Go</v>
      </c>
    </row>
    <row r="15949" customFormat="false" ht="15" hidden="false" customHeight="true" outlineLevel="0" collapsed="false">
      <c r="A15949" s="10" t="n">
        <f aca="false">Einstellungen!$B$5+INT((ROW()-9)/24)</f>
        <v>46630</v>
      </c>
      <c r="B15949" s="11" t="n">
        <f aca="false">MOD(ROW()-9,24)</f>
        <v>4</v>
      </c>
      <c r="C15949" s="12"/>
      <c r="D15949" s="13" t="n">
        <f aca="false">IF(B15949&lt;5,Einstellungen!$B$3,Einstellungen!$B$4)</f>
        <v>15.92</v>
      </c>
      <c r="E15949" s="14" t="str">
        <f aca="false">IF(C15949="","",C15949*D15949/100)</f>
        <v/>
      </c>
      <c r="F15949" s="15" t="str">
        <f aca="false">IF(B15949&lt;5,"Go","Standard")</f>
        <v>Go</v>
      </c>
    </row>
    <row r="15950" customFormat="false" ht="15" hidden="false" customHeight="true" outlineLevel="0" collapsed="false">
      <c r="A15950" s="10" t="n">
        <f aca="false">Einstellungen!$B$5+INT((ROW()-9)/24)</f>
        <v>46630</v>
      </c>
      <c r="B15950" s="11" t="n">
        <f aca="false">MOD(ROW()-9,24)</f>
        <v>5</v>
      </c>
      <c r="C15950" s="12"/>
      <c r="D15950" s="13" t="n">
        <f aca="false">IF(B15950&lt;5,Einstellungen!$B$3,Einstellungen!$B$4)</f>
        <v>29.13</v>
      </c>
      <c r="E15950" s="14" t="str">
        <f aca="false">IF(C15950="","",C15950*D15950/100)</f>
        <v/>
      </c>
      <c r="F15950" s="15" t="str">
        <f aca="false">IF(B15950&lt;5,"Go","Standard")</f>
        <v>Standard</v>
      </c>
    </row>
    <row r="15951" customFormat="false" ht="15" hidden="false" customHeight="true" outlineLevel="0" collapsed="false">
      <c r="A15951" s="10" t="n">
        <f aca="false">Einstellungen!$B$5+INT((ROW()-9)/24)</f>
        <v>46630</v>
      </c>
      <c r="B15951" s="11" t="n">
        <f aca="false">MOD(ROW()-9,24)</f>
        <v>6</v>
      </c>
      <c r="C15951" s="12"/>
      <c r="D15951" s="13" t="n">
        <f aca="false">IF(B15951&lt;5,Einstellungen!$B$3,Einstellungen!$B$4)</f>
        <v>29.13</v>
      </c>
      <c r="E15951" s="14" t="str">
        <f aca="false">IF(C15951="","",C15951*D15951/100)</f>
        <v/>
      </c>
      <c r="F15951" s="15" t="str">
        <f aca="false">IF(B15951&lt;5,"Go","Standard")</f>
        <v>Standard</v>
      </c>
    </row>
    <row r="15952" customFormat="false" ht="15" hidden="false" customHeight="true" outlineLevel="0" collapsed="false">
      <c r="A15952" s="10" t="n">
        <f aca="false">Einstellungen!$B$5+INT((ROW()-9)/24)</f>
        <v>46630</v>
      </c>
      <c r="B15952" s="11" t="n">
        <f aca="false">MOD(ROW()-9,24)</f>
        <v>7</v>
      </c>
      <c r="C15952" s="12"/>
      <c r="D15952" s="13" t="n">
        <f aca="false">IF(B15952&lt;5,Einstellungen!$B$3,Einstellungen!$B$4)</f>
        <v>29.13</v>
      </c>
      <c r="E15952" s="14" t="str">
        <f aca="false">IF(C15952="","",C15952*D15952/100)</f>
        <v/>
      </c>
      <c r="F15952" s="15" t="str">
        <f aca="false">IF(B15952&lt;5,"Go","Standard")</f>
        <v>Standard</v>
      </c>
    </row>
    <row r="15953" customFormat="false" ht="15" hidden="false" customHeight="true" outlineLevel="0" collapsed="false">
      <c r="A15953" s="10" t="n">
        <f aca="false">Einstellungen!$B$5+INT((ROW()-9)/24)</f>
        <v>46630</v>
      </c>
      <c r="B15953" s="11" t="n">
        <f aca="false">MOD(ROW()-9,24)</f>
        <v>8</v>
      </c>
      <c r="C15953" s="12"/>
      <c r="D15953" s="13" t="n">
        <f aca="false">IF(B15953&lt;5,Einstellungen!$B$3,Einstellungen!$B$4)</f>
        <v>29.13</v>
      </c>
      <c r="E15953" s="14" t="str">
        <f aca="false">IF(C15953="","",C15953*D15953/100)</f>
        <v/>
      </c>
      <c r="F15953" s="15" t="str">
        <f aca="false">IF(B15953&lt;5,"Go","Standard")</f>
        <v>Standard</v>
      </c>
    </row>
    <row r="15954" customFormat="false" ht="15" hidden="false" customHeight="true" outlineLevel="0" collapsed="false">
      <c r="A15954" s="10" t="n">
        <f aca="false">Einstellungen!$B$5+INT((ROW()-9)/24)</f>
        <v>46630</v>
      </c>
      <c r="B15954" s="11" t="n">
        <f aca="false">MOD(ROW()-9,24)</f>
        <v>9</v>
      </c>
      <c r="C15954" s="12"/>
      <c r="D15954" s="13" t="n">
        <f aca="false">IF(B15954&lt;5,Einstellungen!$B$3,Einstellungen!$B$4)</f>
        <v>29.13</v>
      </c>
      <c r="E15954" s="14" t="str">
        <f aca="false">IF(C15954="","",C15954*D15954/100)</f>
        <v/>
      </c>
      <c r="F15954" s="15" t="str">
        <f aca="false">IF(B15954&lt;5,"Go","Standard")</f>
        <v>Standard</v>
      </c>
    </row>
    <row r="15955" customFormat="false" ht="15" hidden="false" customHeight="true" outlineLevel="0" collapsed="false">
      <c r="A15955" s="10" t="n">
        <f aca="false">Einstellungen!$B$5+INT((ROW()-9)/24)</f>
        <v>46630</v>
      </c>
      <c r="B15955" s="11" t="n">
        <f aca="false">MOD(ROW()-9,24)</f>
        <v>10</v>
      </c>
      <c r="C15955" s="12"/>
      <c r="D15955" s="13" t="n">
        <f aca="false">IF(B15955&lt;5,Einstellungen!$B$3,Einstellungen!$B$4)</f>
        <v>29.13</v>
      </c>
      <c r="E15955" s="14" t="str">
        <f aca="false">IF(C15955="","",C15955*D15955/100)</f>
        <v/>
      </c>
      <c r="F15955" s="15" t="str">
        <f aca="false">IF(B15955&lt;5,"Go","Standard")</f>
        <v>Standard</v>
      </c>
    </row>
    <row r="15956" customFormat="false" ht="15" hidden="false" customHeight="true" outlineLevel="0" collapsed="false">
      <c r="A15956" s="10" t="n">
        <f aca="false">Einstellungen!$B$5+INT((ROW()-9)/24)</f>
        <v>46630</v>
      </c>
      <c r="B15956" s="11" t="n">
        <f aca="false">MOD(ROW()-9,24)</f>
        <v>11</v>
      </c>
      <c r="C15956" s="12"/>
      <c r="D15956" s="13" t="n">
        <f aca="false">IF(B15956&lt;5,Einstellungen!$B$3,Einstellungen!$B$4)</f>
        <v>29.13</v>
      </c>
      <c r="E15956" s="14" t="str">
        <f aca="false">IF(C15956="","",C15956*D15956/100)</f>
        <v/>
      </c>
      <c r="F15956" s="15" t="str">
        <f aca="false">IF(B15956&lt;5,"Go","Standard")</f>
        <v>Standard</v>
      </c>
    </row>
    <row r="15957" customFormat="false" ht="15" hidden="false" customHeight="true" outlineLevel="0" collapsed="false">
      <c r="A15957" s="10" t="n">
        <f aca="false">Einstellungen!$B$5+INT((ROW()-9)/24)</f>
        <v>46630</v>
      </c>
      <c r="B15957" s="11" t="n">
        <f aca="false">MOD(ROW()-9,24)</f>
        <v>12</v>
      </c>
      <c r="C15957" s="12"/>
      <c r="D15957" s="13" t="n">
        <f aca="false">IF(B15957&lt;5,Einstellungen!$B$3,Einstellungen!$B$4)</f>
        <v>29.13</v>
      </c>
      <c r="E15957" s="14" t="str">
        <f aca="false">IF(C15957="","",C15957*D15957/100)</f>
        <v/>
      </c>
      <c r="F15957" s="15" t="str">
        <f aca="false">IF(B15957&lt;5,"Go","Standard")</f>
        <v>Standard</v>
      </c>
    </row>
    <row r="15958" customFormat="false" ht="15" hidden="false" customHeight="true" outlineLevel="0" collapsed="false">
      <c r="A15958" s="10" t="n">
        <f aca="false">Einstellungen!$B$5+INT((ROW()-9)/24)</f>
        <v>46630</v>
      </c>
      <c r="B15958" s="11" t="n">
        <f aca="false">MOD(ROW()-9,24)</f>
        <v>13</v>
      </c>
      <c r="C15958" s="12"/>
      <c r="D15958" s="13" t="n">
        <f aca="false">IF(B15958&lt;5,Einstellungen!$B$3,Einstellungen!$B$4)</f>
        <v>29.13</v>
      </c>
      <c r="E15958" s="14" t="str">
        <f aca="false">IF(C15958="","",C15958*D15958/100)</f>
        <v/>
      </c>
      <c r="F15958" s="15" t="str">
        <f aca="false">IF(B15958&lt;5,"Go","Standard")</f>
        <v>Standard</v>
      </c>
    </row>
    <row r="15959" customFormat="false" ht="15" hidden="false" customHeight="true" outlineLevel="0" collapsed="false">
      <c r="A15959" s="10" t="n">
        <f aca="false">Einstellungen!$B$5+INT((ROW()-9)/24)</f>
        <v>46630</v>
      </c>
      <c r="B15959" s="11" t="n">
        <f aca="false">MOD(ROW()-9,24)</f>
        <v>14</v>
      </c>
      <c r="C15959" s="12"/>
      <c r="D15959" s="13" t="n">
        <f aca="false">IF(B15959&lt;5,Einstellungen!$B$3,Einstellungen!$B$4)</f>
        <v>29.13</v>
      </c>
      <c r="E15959" s="14" t="str">
        <f aca="false">IF(C15959="","",C15959*D15959/100)</f>
        <v/>
      </c>
      <c r="F15959" s="15" t="str">
        <f aca="false">IF(B15959&lt;5,"Go","Standard")</f>
        <v>Standard</v>
      </c>
    </row>
    <row r="15960" customFormat="false" ht="15" hidden="false" customHeight="true" outlineLevel="0" collapsed="false">
      <c r="A15960" s="10" t="n">
        <f aca="false">Einstellungen!$B$5+INT((ROW()-9)/24)</f>
        <v>46630</v>
      </c>
      <c r="B15960" s="11" t="n">
        <f aca="false">MOD(ROW()-9,24)</f>
        <v>15</v>
      </c>
      <c r="C15960" s="12"/>
      <c r="D15960" s="13" t="n">
        <f aca="false">IF(B15960&lt;5,Einstellungen!$B$3,Einstellungen!$B$4)</f>
        <v>29.13</v>
      </c>
      <c r="E15960" s="14" t="str">
        <f aca="false">IF(C15960="","",C15960*D15960/100)</f>
        <v/>
      </c>
      <c r="F15960" s="15" t="str">
        <f aca="false">IF(B15960&lt;5,"Go","Standard")</f>
        <v>Standard</v>
      </c>
    </row>
    <row r="15961" customFormat="false" ht="15" hidden="false" customHeight="true" outlineLevel="0" collapsed="false">
      <c r="A15961" s="10" t="n">
        <f aca="false">Einstellungen!$B$5+INT((ROW()-9)/24)</f>
        <v>46630</v>
      </c>
      <c r="B15961" s="11" t="n">
        <f aca="false">MOD(ROW()-9,24)</f>
        <v>16</v>
      </c>
      <c r="C15961" s="12"/>
      <c r="D15961" s="13" t="n">
        <f aca="false">IF(B15961&lt;5,Einstellungen!$B$3,Einstellungen!$B$4)</f>
        <v>29.13</v>
      </c>
      <c r="E15961" s="14" t="str">
        <f aca="false">IF(C15961="","",C15961*D15961/100)</f>
        <v/>
      </c>
      <c r="F15961" s="15" t="str">
        <f aca="false">IF(B15961&lt;5,"Go","Standard")</f>
        <v>Standard</v>
      </c>
    </row>
    <row r="15962" customFormat="false" ht="15" hidden="false" customHeight="true" outlineLevel="0" collapsed="false">
      <c r="A15962" s="10" t="n">
        <f aca="false">Einstellungen!$B$5+INT((ROW()-9)/24)</f>
        <v>46630</v>
      </c>
      <c r="B15962" s="11" t="n">
        <f aca="false">MOD(ROW()-9,24)</f>
        <v>17</v>
      </c>
      <c r="C15962" s="12"/>
      <c r="D15962" s="13" t="n">
        <f aca="false">IF(B15962&lt;5,Einstellungen!$B$3,Einstellungen!$B$4)</f>
        <v>29.13</v>
      </c>
      <c r="E15962" s="14" t="str">
        <f aca="false">IF(C15962="","",C15962*D15962/100)</f>
        <v/>
      </c>
      <c r="F15962" s="15" t="str">
        <f aca="false">IF(B15962&lt;5,"Go","Standard")</f>
        <v>Standard</v>
      </c>
    </row>
    <row r="15963" customFormat="false" ht="15" hidden="false" customHeight="true" outlineLevel="0" collapsed="false">
      <c r="A15963" s="10" t="n">
        <f aca="false">Einstellungen!$B$5+INT((ROW()-9)/24)</f>
        <v>46630</v>
      </c>
      <c r="B15963" s="11" t="n">
        <f aca="false">MOD(ROW()-9,24)</f>
        <v>18</v>
      </c>
      <c r="C15963" s="12"/>
      <c r="D15963" s="13" t="n">
        <f aca="false">IF(B15963&lt;5,Einstellungen!$B$3,Einstellungen!$B$4)</f>
        <v>29.13</v>
      </c>
      <c r="E15963" s="14" t="str">
        <f aca="false">IF(C15963="","",C15963*D15963/100)</f>
        <v/>
      </c>
      <c r="F15963" s="15" t="str">
        <f aca="false">IF(B15963&lt;5,"Go","Standard")</f>
        <v>Standard</v>
      </c>
    </row>
    <row r="15964" customFormat="false" ht="15" hidden="false" customHeight="true" outlineLevel="0" collapsed="false">
      <c r="A15964" s="10" t="n">
        <f aca="false">Einstellungen!$B$5+INT((ROW()-9)/24)</f>
        <v>46630</v>
      </c>
      <c r="B15964" s="11" t="n">
        <f aca="false">MOD(ROW()-9,24)</f>
        <v>19</v>
      </c>
      <c r="C15964" s="12"/>
      <c r="D15964" s="13" t="n">
        <f aca="false">IF(B15964&lt;5,Einstellungen!$B$3,Einstellungen!$B$4)</f>
        <v>29.13</v>
      </c>
      <c r="E15964" s="14" t="str">
        <f aca="false">IF(C15964="","",C15964*D15964/100)</f>
        <v/>
      </c>
      <c r="F15964" s="15" t="str">
        <f aca="false">IF(B15964&lt;5,"Go","Standard")</f>
        <v>Standard</v>
      </c>
    </row>
    <row r="15965" customFormat="false" ht="15" hidden="false" customHeight="true" outlineLevel="0" collapsed="false">
      <c r="A15965" s="10" t="n">
        <f aca="false">Einstellungen!$B$5+INT((ROW()-9)/24)</f>
        <v>46630</v>
      </c>
      <c r="B15965" s="11" t="n">
        <f aca="false">MOD(ROW()-9,24)</f>
        <v>20</v>
      </c>
      <c r="C15965" s="12"/>
      <c r="D15965" s="13" t="n">
        <f aca="false">IF(B15965&lt;5,Einstellungen!$B$3,Einstellungen!$B$4)</f>
        <v>29.13</v>
      </c>
      <c r="E15965" s="14" t="str">
        <f aca="false">IF(C15965="","",C15965*D15965/100)</f>
        <v/>
      </c>
      <c r="F15965" s="15" t="str">
        <f aca="false">IF(B15965&lt;5,"Go","Standard")</f>
        <v>Standard</v>
      </c>
    </row>
    <row r="15966" customFormat="false" ht="15" hidden="false" customHeight="true" outlineLevel="0" collapsed="false">
      <c r="A15966" s="10" t="n">
        <f aca="false">Einstellungen!$B$5+INT((ROW()-9)/24)</f>
        <v>46630</v>
      </c>
      <c r="B15966" s="11" t="n">
        <f aca="false">MOD(ROW()-9,24)</f>
        <v>21</v>
      </c>
      <c r="C15966" s="12"/>
      <c r="D15966" s="13" t="n">
        <f aca="false">IF(B15966&lt;5,Einstellungen!$B$3,Einstellungen!$B$4)</f>
        <v>29.13</v>
      </c>
      <c r="E15966" s="14" t="str">
        <f aca="false">IF(C15966="","",C15966*D15966/100)</f>
        <v/>
      </c>
      <c r="F15966" s="15" t="str">
        <f aca="false">IF(B15966&lt;5,"Go","Standard")</f>
        <v>Standard</v>
      </c>
    </row>
    <row r="15967" customFormat="false" ht="15" hidden="false" customHeight="true" outlineLevel="0" collapsed="false">
      <c r="A15967" s="10" t="n">
        <f aca="false">Einstellungen!$B$5+INT((ROW()-9)/24)</f>
        <v>46630</v>
      </c>
      <c r="B15967" s="11" t="n">
        <f aca="false">MOD(ROW()-9,24)</f>
        <v>22</v>
      </c>
      <c r="C15967" s="12"/>
      <c r="D15967" s="13" t="n">
        <f aca="false">IF(B15967&lt;5,Einstellungen!$B$3,Einstellungen!$B$4)</f>
        <v>29.13</v>
      </c>
      <c r="E15967" s="14" t="str">
        <f aca="false">IF(C15967="","",C15967*D15967/100)</f>
        <v/>
      </c>
      <c r="F15967" s="15" t="str">
        <f aca="false">IF(B15967&lt;5,"Go","Standard")</f>
        <v>Standard</v>
      </c>
    </row>
    <row r="15968" customFormat="false" ht="15" hidden="false" customHeight="true" outlineLevel="0" collapsed="false">
      <c r="A15968" s="10" t="n">
        <f aca="false">Einstellungen!$B$5+INT((ROW()-9)/24)</f>
        <v>46630</v>
      </c>
      <c r="B15968" s="11" t="n">
        <f aca="false">MOD(ROW()-9,24)</f>
        <v>23</v>
      </c>
      <c r="C15968" s="12"/>
      <c r="D15968" s="13" t="n">
        <f aca="false">IF(B15968&lt;5,Einstellungen!$B$3,Einstellungen!$B$4)</f>
        <v>29.13</v>
      </c>
      <c r="E15968" s="14" t="str">
        <f aca="false">IF(C15968="","",C15968*D15968/100)</f>
        <v/>
      </c>
      <c r="F15968" s="15" t="str">
        <f aca="false">IF(B15968&lt;5,"Go","Standard")</f>
        <v>Standard</v>
      </c>
    </row>
    <row r="15969" customFormat="false" ht="15" hidden="false" customHeight="true" outlineLevel="0" collapsed="false">
      <c r="A15969" s="10" t="n">
        <f aca="false">Einstellungen!$B$5+INT((ROW()-9)/24)</f>
        <v>46631</v>
      </c>
      <c r="B15969" s="11" t="n">
        <f aca="false">MOD(ROW()-9,24)</f>
        <v>0</v>
      </c>
      <c r="C15969" s="12"/>
      <c r="D15969" s="13" t="n">
        <f aca="false">IF(B15969&lt;5,Einstellungen!$B$3,Einstellungen!$B$4)</f>
        <v>15.92</v>
      </c>
      <c r="E15969" s="14" t="str">
        <f aca="false">IF(C15969="","",C15969*D15969/100)</f>
        <v/>
      </c>
      <c r="F15969" s="15" t="str">
        <f aca="false">IF(B15969&lt;5,"Go","Standard")</f>
        <v>Go</v>
      </c>
    </row>
    <row r="15970" customFormat="false" ht="15" hidden="false" customHeight="true" outlineLevel="0" collapsed="false">
      <c r="A15970" s="10" t="n">
        <f aca="false">Einstellungen!$B$5+INT((ROW()-9)/24)</f>
        <v>46631</v>
      </c>
      <c r="B15970" s="11" t="n">
        <f aca="false">MOD(ROW()-9,24)</f>
        <v>1</v>
      </c>
      <c r="C15970" s="12"/>
      <c r="D15970" s="13" t="n">
        <f aca="false">IF(B15970&lt;5,Einstellungen!$B$3,Einstellungen!$B$4)</f>
        <v>15.92</v>
      </c>
      <c r="E15970" s="14" t="str">
        <f aca="false">IF(C15970="","",C15970*D15970/100)</f>
        <v/>
      </c>
      <c r="F15970" s="15" t="str">
        <f aca="false">IF(B15970&lt;5,"Go","Standard")</f>
        <v>Go</v>
      </c>
    </row>
    <row r="15971" customFormat="false" ht="15" hidden="false" customHeight="true" outlineLevel="0" collapsed="false">
      <c r="A15971" s="10" t="n">
        <f aca="false">Einstellungen!$B$5+INT((ROW()-9)/24)</f>
        <v>46631</v>
      </c>
      <c r="B15971" s="11" t="n">
        <f aca="false">MOD(ROW()-9,24)</f>
        <v>2</v>
      </c>
      <c r="C15971" s="12"/>
      <c r="D15971" s="13" t="n">
        <f aca="false">IF(B15971&lt;5,Einstellungen!$B$3,Einstellungen!$B$4)</f>
        <v>15.92</v>
      </c>
      <c r="E15971" s="14" t="str">
        <f aca="false">IF(C15971="","",C15971*D15971/100)</f>
        <v/>
      </c>
      <c r="F15971" s="15" t="str">
        <f aca="false">IF(B15971&lt;5,"Go","Standard")</f>
        <v>Go</v>
      </c>
    </row>
    <row r="15972" customFormat="false" ht="15" hidden="false" customHeight="true" outlineLevel="0" collapsed="false">
      <c r="A15972" s="10" t="n">
        <f aca="false">Einstellungen!$B$5+INT((ROW()-9)/24)</f>
        <v>46631</v>
      </c>
      <c r="B15972" s="11" t="n">
        <f aca="false">MOD(ROW()-9,24)</f>
        <v>3</v>
      </c>
      <c r="C15972" s="12"/>
      <c r="D15972" s="13" t="n">
        <f aca="false">IF(B15972&lt;5,Einstellungen!$B$3,Einstellungen!$B$4)</f>
        <v>15.92</v>
      </c>
      <c r="E15972" s="14" t="str">
        <f aca="false">IF(C15972="","",C15972*D15972/100)</f>
        <v/>
      </c>
      <c r="F15972" s="15" t="str">
        <f aca="false">IF(B15972&lt;5,"Go","Standard")</f>
        <v>Go</v>
      </c>
    </row>
    <row r="15973" customFormat="false" ht="15" hidden="false" customHeight="true" outlineLevel="0" collapsed="false">
      <c r="A15973" s="10" t="n">
        <f aca="false">Einstellungen!$B$5+INT((ROW()-9)/24)</f>
        <v>46631</v>
      </c>
      <c r="B15973" s="11" t="n">
        <f aca="false">MOD(ROW()-9,24)</f>
        <v>4</v>
      </c>
      <c r="C15973" s="12"/>
      <c r="D15973" s="13" t="n">
        <f aca="false">IF(B15973&lt;5,Einstellungen!$B$3,Einstellungen!$B$4)</f>
        <v>15.92</v>
      </c>
      <c r="E15973" s="14" t="str">
        <f aca="false">IF(C15973="","",C15973*D15973/100)</f>
        <v/>
      </c>
      <c r="F15973" s="15" t="str">
        <f aca="false">IF(B15973&lt;5,"Go","Standard")</f>
        <v>Go</v>
      </c>
    </row>
    <row r="15974" customFormat="false" ht="15" hidden="false" customHeight="true" outlineLevel="0" collapsed="false">
      <c r="A15974" s="10" t="n">
        <f aca="false">Einstellungen!$B$5+INT((ROW()-9)/24)</f>
        <v>46631</v>
      </c>
      <c r="B15974" s="11" t="n">
        <f aca="false">MOD(ROW()-9,24)</f>
        <v>5</v>
      </c>
      <c r="C15974" s="12"/>
      <c r="D15974" s="13" t="n">
        <f aca="false">IF(B15974&lt;5,Einstellungen!$B$3,Einstellungen!$B$4)</f>
        <v>29.13</v>
      </c>
      <c r="E15974" s="14" t="str">
        <f aca="false">IF(C15974="","",C15974*D15974/100)</f>
        <v/>
      </c>
      <c r="F15974" s="15" t="str">
        <f aca="false">IF(B15974&lt;5,"Go","Standard")</f>
        <v>Standard</v>
      </c>
    </row>
    <row r="15975" customFormat="false" ht="15" hidden="false" customHeight="true" outlineLevel="0" collapsed="false">
      <c r="A15975" s="10" t="n">
        <f aca="false">Einstellungen!$B$5+INT((ROW()-9)/24)</f>
        <v>46631</v>
      </c>
      <c r="B15975" s="11" t="n">
        <f aca="false">MOD(ROW()-9,24)</f>
        <v>6</v>
      </c>
      <c r="C15975" s="12"/>
      <c r="D15975" s="13" t="n">
        <f aca="false">IF(B15975&lt;5,Einstellungen!$B$3,Einstellungen!$B$4)</f>
        <v>29.13</v>
      </c>
      <c r="E15975" s="14" t="str">
        <f aca="false">IF(C15975="","",C15975*D15975/100)</f>
        <v/>
      </c>
      <c r="F15975" s="15" t="str">
        <f aca="false">IF(B15975&lt;5,"Go","Standard")</f>
        <v>Standard</v>
      </c>
    </row>
    <row r="15976" customFormat="false" ht="15" hidden="false" customHeight="true" outlineLevel="0" collapsed="false">
      <c r="A15976" s="10" t="n">
        <f aca="false">Einstellungen!$B$5+INT((ROW()-9)/24)</f>
        <v>46631</v>
      </c>
      <c r="B15976" s="11" t="n">
        <f aca="false">MOD(ROW()-9,24)</f>
        <v>7</v>
      </c>
      <c r="C15976" s="12"/>
      <c r="D15976" s="13" t="n">
        <f aca="false">IF(B15976&lt;5,Einstellungen!$B$3,Einstellungen!$B$4)</f>
        <v>29.13</v>
      </c>
      <c r="E15976" s="14" t="str">
        <f aca="false">IF(C15976="","",C15976*D15976/100)</f>
        <v/>
      </c>
      <c r="F15976" s="15" t="str">
        <f aca="false">IF(B15976&lt;5,"Go","Standard")</f>
        <v>Standard</v>
      </c>
    </row>
    <row r="15977" customFormat="false" ht="15" hidden="false" customHeight="true" outlineLevel="0" collapsed="false">
      <c r="A15977" s="10" t="n">
        <f aca="false">Einstellungen!$B$5+INT((ROW()-9)/24)</f>
        <v>46631</v>
      </c>
      <c r="B15977" s="11" t="n">
        <f aca="false">MOD(ROW()-9,24)</f>
        <v>8</v>
      </c>
      <c r="C15977" s="12"/>
      <c r="D15977" s="13" t="n">
        <f aca="false">IF(B15977&lt;5,Einstellungen!$B$3,Einstellungen!$B$4)</f>
        <v>29.13</v>
      </c>
      <c r="E15977" s="14" t="str">
        <f aca="false">IF(C15977="","",C15977*D15977/100)</f>
        <v/>
      </c>
      <c r="F15977" s="15" t="str">
        <f aca="false">IF(B15977&lt;5,"Go","Standard")</f>
        <v>Standard</v>
      </c>
    </row>
    <row r="15978" customFormat="false" ht="15" hidden="false" customHeight="true" outlineLevel="0" collapsed="false">
      <c r="A15978" s="10" t="n">
        <f aca="false">Einstellungen!$B$5+INT((ROW()-9)/24)</f>
        <v>46631</v>
      </c>
      <c r="B15978" s="11" t="n">
        <f aca="false">MOD(ROW()-9,24)</f>
        <v>9</v>
      </c>
      <c r="C15978" s="12"/>
      <c r="D15978" s="13" t="n">
        <f aca="false">IF(B15978&lt;5,Einstellungen!$B$3,Einstellungen!$B$4)</f>
        <v>29.13</v>
      </c>
      <c r="E15978" s="14" t="str">
        <f aca="false">IF(C15978="","",C15978*D15978/100)</f>
        <v/>
      </c>
      <c r="F15978" s="15" t="str">
        <f aca="false">IF(B15978&lt;5,"Go","Standard")</f>
        <v>Standard</v>
      </c>
    </row>
    <row r="15979" customFormat="false" ht="15" hidden="false" customHeight="true" outlineLevel="0" collapsed="false">
      <c r="A15979" s="10" t="n">
        <f aca="false">Einstellungen!$B$5+INT((ROW()-9)/24)</f>
        <v>46631</v>
      </c>
      <c r="B15979" s="11" t="n">
        <f aca="false">MOD(ROW()-9,24)</f>
        <v>10</v>
      </c>
      <c r="C15979" s="12"/>
      <c r="D15979" s="13" t="n">
        <f aca="false">IF(B15979&lt;5,Einstellungen!$B$3,Einstellungen!$B$4)</f>
        <v>29.13</v>
      </c>
      <c r="E15979" s="14" t="str">
        <f aca="false">IF(C15979="","",C15979*D15979/100)</f>
        <v/>
      </c>
      <c r="F15979" s="15" t="str">
        <f aca="false">IF(B15979&lt;5,"Go","Standard")</f>
        <v>Standard</v>
      </c>
    </row>
    <row r="15980" customFormat="false" ht="15" hidden="false" customHeight="true" outlineLevel="0" collapsed="false">
      <c r="A15980" s="10" t="n">
        <f aca="false">Einstellungen!$B$5+INT((ROW()-9)/24)</f>
        <v>46631</v>
      </c>
      <c r="B15980" s="11" t="n">
        <f aca="false">MOD(ROW()-9,24)</f>
        <v>11</v>
      </c>
      <c r="C15980" s="12"/>
      <c r="D15980" s="13" t="n">
        <f aca="false">IF(B15980&lt;5,Einstellungen!$B$3,Einstellungen!$B$4)</f>
        <v>29.13</v>
      </c>
      <c r="E15980" s="14" t="str">
        <f aca="false">IF(C15980="","",C15980*D15980/100)</f>
        <v/>
      </c>
      <c r="F15980" s="15" t="str">
        <f aca="false">IF(B15980&lt;5,"Go","Standard")</f>
        <v>Standard</v>
      </c>
    </row>
    <row r="15981" customFormat="false" ht="15" hidden="false" customHeight="true" outlineLevel="0" collapsed="false">
      <c r="A15981" s="10" t="n">
        <f aca="false">Einstellungen!$B$5+INT((ROW()-9)/24)</f>
        <v>46631</v>
      </c>
      <c r="B15981" s="11" t="n">
        <f aca="false">MOD(ROW()-9,24)</f>
        <v>12</v>
      </c>
      <c r="C15981" s="12"/>
      <c r="D15981" s="13" t="n">
        <f aca="false">IF(B15981&lt;5,Einstellungen!$B$3,Einstellungen!$B$4)</f>
        <v>29.13</v>
      </c>
      <c r="E15981" s="14" t="str">
        <f aca="false">IF(C15981="","",C15981*D15981/100)</f>
        <v/>
      </c>
      <c r="F15981" s="15" t="str">
        <f aca="false">IF(B15981&lt;5,"Go","Standard")</f>
        <v>Standard</v>
      </c>
    </row>
    <row r="15982" customFormat="false" ht="15" hidden="false" customHeight="true" outlineLevel="0" collapsed="false">
      <c r="A15982" s="10" t="n">
        <f aca="false">Einstellungen!$B$5+INT((ROW()-9)/24)</f>
        <v>46631</v>
      </c>
      <c r="B15982" s="11" t="n">
        <f aca="false">MOD(ROW()-9,24)</f>
        <v>13</v>
      </c>
      <c r="C15982" s="12"/>
      <c r="D15982" s="13" t="n">
        <f aca="false">IF(B15982&lt;5,Einstellungen!$B$3,Einstellungen!$B$4)</f>
        <v>29.13</v>
      </c>
      <c r="E15982" s="14" t="str">
        <f aca="false">IF(C15982="","",C15982*D15982/100)</f>
        <v/>
      </c>
      <c r="F15982" s="15" t="str">
        <f aca="false">IF(B15982&lt;5,"Go","Standard")</f>
        <v>Standard</v>
      </c>
    </row>
    <row r="15983" customFormat="false" ht="15" hidden="false" customHeight="true" outlineLevel="0" collapsed="false">
      <c r="A15983" s="10" t="n">
        <f aca="false">Einstellungen!$B$5+INT((ROW()-9)/24)</f>
        <v>46631</v>
      </c>
      <c r="B15983" s="11" t="n">
        <f aca="false">MOD(ROW()-9,24)</f>
        <v>14</v>
      </c>
      <c r="C15983" s="12"/>
      <c r="D15983" s="13" t="n">
        <f aca="false">IF(B15983&lt;5,Einstellungen!$B$3,Einstellungen!$B$4)</f>
        <v>29.13</v>
      </c>
      <c r="E15983" s="14" t="str">
        <f aca="false">IF(C15983="","",C15983*D15983/100)</f>
        <v/>
      </c>
      <c r="F15983" s="15" t="str">
        <f aca="false">IF(B15983&lt;5,"Go","Standard")</f>
        <v>Standard</v>
      </c>
    </row>
    <row r="15984" customFormat="false" ht="15" hidden="false" customHeight="true" outlineLevel="0" collapsed="false">
      <c r="A15984" s="10" t="n">
        <f aca="false">Einstellungen!$B$5+INT((ROW()-9)/24)</f>
        <v>46631</v>
      </c>
      <c r="B15984" s="11" t="n">
        <f aca="false">MOD(ROW()-9,24)</f>
        <v>15</v>
      </c>
      <c r="C15984" s="12"/>
      <c r="D15984" s="13" t="n">
        <f aca="false">IF(B15984&lt;5,Einstellungen!$B$3,Einstellungen!$B$4)</f>
        <v>29.13</v>
      </c>
      <c r="E15984" s="14" t="str">
        <f aca="false">IF(C15984="","",C15984*D15984/100)</f>
        <v/>
      </c>
      <c r="F15984" s="15" t="str">
        <f aca="false">IF(B15984&lt;5,"Go","Standard")</f>
        <v>Standard</v>
      </c>
    </row>
    <row r="15985" customFormat="false" ht="15" hidden="false" customHeight="true" outlineLevel="0" collapsed="false">
      <c r="A15985" s="10" t="n">
        <f aca="false">Einstellungen!$B$5+INT((ROW()-9)/24)</f>
        <v>46631</v>
      </c>
      <c r="B15985" s="11" t="n">
        <f aca="false">MOD(ROW()-9,24)</f>
        <v>16</v>
      </c>
      <c r="C15985" s="12"/>
      <c r="D15985" s="13" t="n">
        <f aca="false">IF(B15985&lt;5,Einstellungen!$B$3,Einstellungen!$B$4)</f>
        <v>29.13</v>
      </c>
      <c r="E15985" s="14" t="str">
        <f aca="false">IF(C15985="","",C15985*D15985/100)</f>
        <v/>
      </c>
      <c r="F15985" s="15" t="str">
        <f aca="false">IF(B15985&lt;5,"Go","Standard")</f>
        <v>Standard</v>
      </c>
    </row>
    <row r="15986" customFormat="false" ht="15" hidden="false" customHeight="true" outlineLevel="0" collapsed="false">
      <c r="A15986" s="10" t="n">
        <f aca="false">Einstellungen!$B$5+INT((ROW()-9)/24)</f>
        <v>46631</v>
      </c>
      <c r="B15986" s="11" t="n">
        <f aca="false">MOD(ROW()-9,24)</f>
        <v>17</v>
      </c>
      <c r="C15986" s="12"/>
      <c r="D15986" s="13" t="n">
        <f aca="false">IF(B15986&lt;5,Einstellungen!$B$3,Einstellungen!$B$4)</f>
        <v>29.13</v>
      </c>
      <c r="E15986" s="14" t="str">
        <f aca="false">IF(C15986="","",C15986*D15986/100)</f>
        <v/>
      </c>
      <c r="F15986" s="15" t="str">
        <f aca="false">IF(B15986&lt;5,"Go","Standard")</f>
        <v>Standard</v>
      </c>
    </row>
    <row r="15987" customFormat="false" ht="15" hidden="false" customHeight="true" outlineLevel="0" collapsed="false">
      <c r="A15987" s="10" t="n">
        <f aca="false">Einstellungen!$B$5+INT((ROW()-9)/24)</f>
        <v>46631</v>
      </c>
      <c r="B15987" s="11" t="n">
        <f aca="false">MOD(ROW()-9,24)</f>
        <v>18</v>
      </c>
      <c r="C15987" s="12"/>
      <c r="D15987" s="13" t="n">
        <f aca="false">IF(B15987&lt;5,Einstellungen!$B$3,Einstellungen!$B$4)</f>
        <v>29.13</v>
      </c>
      <c r="E15987" s="14" t="str">
        <f aca="false">IF(C15987="","",C15987*D15987/100)</f>
        <v/>
      </c>
      <c r="F15987" s="15" t="str">
        <f aca="false">IF(B15987&lt;5,"Go","Standard")</f>
        <v>Standard</v>
      </c>
    </row>
    <row r="15988" customFormat="false" ht="15" hidden="false" customHeight="true" outlineLevel="0" collapsed="false">
      <c r="A15988" s="10" t="n">
        <f aca="false">Einstellungen!$B$5+INT((ROW()-9)/24)</f>
        <v>46631</v>
      </c>
      <c r="B15988" s="11" t="n">
        <f aca="false">MOD(ROW()-9,24)</f>
        <v>19</v>
      </c>
      <c r="C15988" s="12"/>
      <c r="D15988" s="13" t="n">
        <f aca="false">IF(B15988&lt;5,Einstellungen!$B$3,Einstellungen!$B$4)</f>
        <v>29.13</v>
      </c>
      <c r="E15988" s="14" t="str">
        <f aca="false">IF(C15988="","",C15988*D15988/100)</f>
        <v/>
      </c>
      <c r="F15988" s="15" t="str">
        <f aca="false">IF(B15988&lt;5,"Go","Standard")</f>
        <v>Standard</v>
      </c>
    </row>
    <row r="15989" customFormat="false" ht="15" hidden="false" customHeight="true" outlineLevel="0" collapsed="false">
      <c r="A15989" s="10" t="n">
        <f aca="false">Einstellungen!$B$5+INT((ROW()-9)/24)</f>
        <v>46631</v>
      </c>
      <c r="B15989" s="11" t="n">
        <f aca="false">MOD(ROW()-9,24)</f>
        <v>20</v>
      </c>
      <c r="C15989" s="12"/>
      <c r="D15989" s="13" t="n">
        <f aca="false">IF(B15989&lt;5,Einstellungen!$B$3,Einstellungen!$B$4)</f>
        <v>29.13</v>
      </c>
      <c r="E15989" s="14" t="str">
        <f aca="false">IF(C15989="","",C15989*D15989/100)</f>
        <v/>
      </c>
      <c r="F15989" s="15" t="str">
        <f aca="false">IF(B15989&lt;5,"Go","Standard")</f>
        <v>Standard</v>
      </c>
    </row>
    <row r="15990" customFormat="false" ht="15" hidden="false" customHeight="true" outlineLevel="0" collapsed="false">
      <c r="A15990" s="10" t="n">
        <f aca="false">Einstellungen!$B$5+INT((ROW()-9)/24)</f>
        <v>46631</v>
      </c>
      <c r="B15990" s="11" t="n">
        <f aca="false">MOD(ROW()-9,24)</f>
        <v>21</v>
      </c>
      <c r="C15990" s="12"/>
      <c r="D15990" s="13" t="n">
        <f aca="false">IF(B15990&lt;5,Einstellungen!$B$3,Einstellungen!$B$4)</f>
        <v>29.13</v>
      </c>
      <c r="E15990" s="14" t="str">
        <f aca="false">IF(C15990="","",C15990*D15990/100)</f>
        <v/>
      </c>
      <c r="F15990" s="15" t="str">
        <f aca="false">IF(B15990&lt;5,"Go","Standard")</f>
        <v>Standard</v>
      </c>
    </row>
    <row r="15991" customFormat="false" ht="15" hidden="false" customHeight="true" outlineLevel="0" collapsed="false">
      <c r="A15991" s="10" t="n">
        <f aca="false">Einstellungen!$B$5+INT((ROW()-9)/24)</f>
        <v>46631</v>
      </c>
      <c r="B15991" s="11" t="n">
        <f aca="false">MOD(ROW()-9,24)</f>
        <v>22</v>
      </c>
      <c r="C15991" s="12"/>
      <c r="D15991" s="13" t="n">
        <f aca="false">IF(B15991&lt;5,Einstellungen!$B$3,Einstellungen!$B$4)</f>
        <v>29.13</v>
      </c>
      <c r="E15991" s="14" t="str">
        <f aca="false">IF(C15991="","",C15991*D15991/100)</f>
        <v/>
      </c>
      <c r="F15991" s="15" t="str">
        <f aca="false">IF(B15991&lt;5,"Go","Standard")</f>
        <v>Standard</v>
      </c>
    </row>
    <row r="15992" customFormat="false" ht="15" hidden="false" customHeight="true" outlineLevel="0" collapsed="false">
      <c r="A15992" s="10" t="n">
        <f aca="false">Einstellungen!$B$5+INT((ROW()-9)/24)</f>
        <v>46631</v>
      </c>
      <c r="B15992" s="11" t="n">
        <f aca="false">MOD(ROW()-9,24)</f>
        <v>23</v>
      </c>
      <c r="C15992" s="12"/>
      <c r="D15992" s="13" t="n">
        <f aca="false">IF(B15992&lt;5,Einstellungen!$B$3,Einstellungen!$B$4)</f>
        <v>29.13</v>
      </c>
      <c r="E15992" s="14" t="str">
        <f aca="false">IF(C15992="","",C15992*D15992/100)</f>
        <v/>
      </c>
      <c r="F15992" s="15" t="str">
        <f aca="false">IF(B15992&lt;5,"Go","Standard")</f>
        <v>Standard</v>
      </c>
    </row>
    <row r="15993" customFormat="false" ht="15" hidden="false" customHeight="true" outlineLevel="0" collapsed="false">
      <c r="A15993" s="10" t="n">
        <f aca="false">Einstellungen!$B$5+INT((ROW()-9)/24)</f>
        <v>46632</v>
      </c>
      <c r="B15993" s="11" t="n">
        <f aca="false">MOD(ROW()-9,24)</f>
        <v>0</v>
      </c>
      <c r="C15993" s="12"/>
      <c r="D15993" s="13" t="n">
        <f aca="false">IF(B15993&lt;5,Einstellungen!$B$3,Einstellungen!$B$4)</f>
        <v>15.92</v>
      </c>
      <c r="E15993" s="14" t="str">
        <f aca="false">IF(C15993="","",C15993*D15993/100)</f>
        <v/>
      </c>
      <c r="F15993" s="15" t="str">
        <f aca="false">IF(B15993&lt;5,"Go","Standard")</f>
        <v>Go</v>
      </c>
    </row>
    <row r="15994" customFormat="false" ht="15" hidden="false" customHeight="true" outlineLevel="0" collapsed="false">
      <c r="A15994" s="10" t="n">
        <f aca="false">Einstellungen!$B$5+INT((ROW()-9)/24)</f>
        <v>46632</v>
      </c>
      <c r="B15994" s="11" t="n">
        <f aca="false">MOD(ROW()-9,24)</f>
        <v>1</v>
      </c>
      <c r="C15994" s="12"/>
      <c r="D15994" s="13" t="n">
        <f aca="false">IF(B15994&lt;5,Einstellungen!$B$3,Einstellungen!$B$4)</f>
        <v>15.92</v>
      </c>
      <c r="E15994" s="14" t="str">
        <f aca="false">IF(C15994="","",C15994*D15994/100)</f>
        <v/>
      </c>
      <c r="F15994" s="15" t="str">
        <f aca="false">IF(B15994&lt;5,"Go","Standard")</f>
        <v>Go</v>
      </c>
    </row>
    <row r="15995" customFormat="false" ht="15" hidden="false" customHeight="true" outlineLevel="0" collapsed="false">
      <c r="A15995" s="10" t="n">
        <f aca="false">Einstellungen!$B$5+INT((ROW()-9)/24)</f>
        <v>46632</v>
      </c>
      <c r="B15995" s="11" t="n">
        <f aca="false">MOD(ROW()-9,24)</f>
        <v>2</v>
      </c>
      <c r="C15995" s="12"/>
      <c r="D15995" s="13" t="n">
        <f aca="false">IF(B15995&lt;5,Einstellungen!$B$3,Einstellungen!$B$4)</f>
        <v>15.92</v>
      </c>
      <c r="E15995" s="14" t="str">
        <f aca="false">IF(C15995="","",C15995*D15995/100)</f>
        <v/>
      </c>
      <c r="F15995" s="15" t="str">
        <f aca="false">IF(B15995&lt;5,"Go","Standard")</f>
        <v>Go</v>
      </c>
    </row>
    <row r="15996" customFormat="false" ht="15" hidden="false" customHeight="true" outlineLevel="0" collapsed="false">
      <c r="A15996" s="10" t="n">
        <f aca="false">Einstellungen!$B$5+INT((ROW()-9)/24)</f>
        <v>46632</v>
      </c>
      <c r="B15996" s="11" t="n">
        <f aca="false">MOD(ROW()-9,24)</f>
        <v>3</v>
      </c>
      <c r="C15996" s="12"/>
      <c r="D15996" s="13" t="n">
        <f aca="false">IF(B15996&lt;5,Einstellungen!$B$3,Einstellungen!$B$4)</f>
        <v>15.92</v>
      </c>
      <c r="E15996" s="14" t="str">
        <f aca="false">IF(C15996="","",C15996*D15996/100)</f>
        <v/>
      </c>
      <c r="F15996" s="15" t="str">
        <f aca="false">IF(B15996&lt;5,"Go","Standard")</f>
        <v>Go</v>
      </c>
    </row>
    <row r="15997" customFormat="false" ht="15" hidden="false" customHeight="true" outlineLevel="0" collapsed="false">
      <c r="A15997" s="10" t="n">
        <f aca="false">Einstellungen!$B$5+INT((ROW()-9)/24)</f>
        <v>46632</v>
      </c>
      <c r="B15997" s="11" t="n">
        <f aca="false">MOD(ROW()-9,24)</f>
        <v>4</v>
      </c>
      <c r="C15997" s="12"/>
      <c r="D15997" s="13" t="n">
        <f aca="false">IF(B15997&lt;5,Einstellungen!$B$3,Einstellungen!$B$4)</f>
        <v>15.92</v>
      </c>
      <c r="E15997" s="14" t="str">
        <f aca="false">IF(C15997="","",C15997*D15997/100)</f>
        <v/>
      </c>
      <c r="F15997" s="15" t="str">
        <f aca="false">IF(B15997&lt;5,"Go","Standard")</f>
        <v>Go</v>
      </c>
    </row>
    <row r="15998" customFormat="false" ht="15" hidden="false" customHeight="true" outlineLevel="0" collapsed="false">
      <c r="A15998" s="10" t="n">
        <f aca="false">Einstellungen!$B$5+INT((ROW()-9)/24)</f>
        <v>46632</v>
      </c>
      <c r="B15998" s="11" t="n">
        <f aca="false">MOD(ROW()-9,24)</f>
        <v>5</v>
      </c>
      <c r="C15998" s="12"/>
      <c r="D15998" s="13" t="n">
        <f aca="false">IF(B15998&lt;5,Einstellungen!$B$3,Einstellungen!$B$4)</f>
        <v>29.13</v>
      </c>
      <c r="E15998" s="14" t="str">
        <f aca="false">IF(C15998="","",C15998*D15998/100)</f>
        <v/>
      </c>
      <c r="F15998" s="15" t="str">
        <f aca="false">IF(B15998&lt;5,"Go","Standard")</f>
        <v>Standard</v>
      </c>
    </row>
    <row r="15999" customFormat="false" ht="15" hidden="false" customHeight="true" outlineLevel="0" collapsed="false">
      <c r="A15999" s="10" t="n">
        <f aca="false">Einstellungen!$B$5+INT((ROW()-9)/24)</f>
        <v>46632</v>
      </c>
      <c r="B15999" s="11" t="n">
        <f aca="false">MOD(ROW()-9,24)</f>
        <v>6</v>
      </c>
      <c r="C15999" s="12"/>
      <c r="D15999" s="13" t="n">
        <f aca="false">IF(B15999&lt;5,Einstellungen!$B$3,Einstellungen!$B$4)</f>
        <v>29.13</v>
      </c>
      <c r="E15999" s="14" t="str">
        <f aca="false">IF(C15999="","",C15999*D15999/100)</f>
        <v/>
      </c>
      <c r="F15999" s="15" t="str">
        <f aca="false">IF(B15999&lt;5,"Go","Standard")</f>
        <v>Standard</v>
      </c>
    </row>
    <row r="16000" customFormat="false" ht="15" hidden="false" customHeight="true" outlineLevel="0" collapsed="false">
      <c r="A16000" s="10" t="n">
        <f aca="false">Einstellungen!$B$5+INT((ROW()-9)/24)</f>
        <v>46632</v>
      </c>
      <c r="B16000" s="11" t="n">
        <f aca="false">MOD(ROW()-9,24)</f>
        <v>7</v>
      </c>
      <c r="C16000" s="12"/>
      <c r="D16000" s="13" t="n">
        <f aca="false">IF(B16000&lt;5,Einstellungen!$B$3,Einstellungen!$B$4)</f>
        <v>29.13</v>
      </c>
      <c r="E16000" s="14" t="str">
        <f aca="false">IF(C16000="","",C16000*D16000/100)</f>
        <v/>
      </c>
      <c r="F16000" s="15" t="str">
        <f aca="false">IF(B16000&lt;5,"Go","Standard")</f>
        <v>Standard</v>
      </c>
    </row>
    <row r="16001" customFormat="false" ht="15" hidden="false" customHeight="true" outlineLevel="0" collapsed="false">
      <c r="A16001" s="10" t="n">
        <f aca="false">Einstellungen!$B$5+INT((ROW()-9)/24)</f>
        <v>46632</v>
      </c>
      <c r="B16001" s="11" t="n">
        <f aca="false">MOD(ROW()-9,24)</f>
        <v>8</v>
      </c>
      <c r="C16001" s="12"/>
      <c r="D16001" s="13" t="n">
        <f aca="false">IF(B16001&lt;5,Einstellungen!$B$3,Einstellungen!$B$4)</f>
        <v>29.13</v>
      </c>
      <c r="E16001" s="14" t="str">
        <f aca="false">IF(C16001="","",C16001*D16001/100)</f>
        <v/>
      </c>
      <c r="F16001" s="15" t="str">
        <f aca="false">IF(B16001&lt;5,"Go","Standard")</f>
        <v>Standard</v>
      </c>
    </row>
    <row r="16002" customFormat="false" ht="15" hidden="false" customHeight="true" outlineLevel="0" collapsed="false">
      <c r="A16002" s="10" t="n">
        <f aca="false">Einstellungen!$B$5+INT((ROW()-9)/24)</f>
        <v>46632</v>
      </c>
      <c r="B16002" s="11" t="n">
        <f aca="false">MOD(ROW()-9,24)</f>
        <v>9</v>
      </c>
      <c r="C16002" s="12"/>
      <c r="D16002" s="13" t="n">
        <f aca="false">IF(B16002&lt;5,Einstellungen!$B$3,Einstellungen!$B$4)</f>
        <v>29.13</v>
      </c>
      <c r="E16002" s="14" t="str">
        <f aca="false">IF(C16002="","",C16002*D16002/100)</f>
        <v/>
      </c>
      <c r="F16002" s="15" t="str">
        <f aca="false">IF(B16002&lt;5,"Go","Standard")</f>
        <v>Standard</v>
      </c>
    </row>
    <row r="16003" customFormat="false" ht="15" hidden="false" customHeight="true" outlineLevel="0" collapsed="false">
      <c r="A16003" s="10" t="n">
        <f aca="false">Einstellungen!$B$5+INT((ROW()-9)/24)</f>
        <v>46632</v>
      </c>
      <c r="B16003" s="11" t="n">
        <f aca="false">MOD(ROW()-9,24)</f>
        <v>10</v>
      </c>
      <c r="C16003" s="12"/>
      <c r="D16003" s="13" t="n">
        <f aca="false">IF(B16003&lt;5,Einstellungen!$B$3,Einstellungen!$B$4)</f>
        <v>29.13</v>
      </c>
      <c r="E16003" s="14" t="str">
        <f aca="false">IF(C16003="","",C16003*D16003/100)</f>
        <v/>
      </c>
      <c r="F16003" s="15" t="str">
        <f aca="false">IF(B16003&lt;5,"Go","Standard")</f>
        <v>Standard</v>
      </c>
    </row>
    <row r="16004" customFormat="false" ht="15" hidden="false" customHeight="true" outlineLevel="0" collapsed="false">
      <c r="A16004" s="10" t="n">
        <f aca="false">Einstellungen!$B$5+INT((ROW()-9)/24)</f>
        <v>46632</v>
      </c>
      <c r="B16004" s="11" t="n">
        <f aca="false">MOD(ROW()-9,24)</f>
        <v>11</v>
      </c>
      <c r="C16004" s="12"/>
      <c r="D16004" s="13" t="n">
        <f aca="false">IF(B16004&lt;5,Einstellungen!$B$3,Einstellungen!$B$4)</f>
        <v>29.13</v>
      </c>
      <c r="E16004" s="14" t="str">
        <f aca="false">IF(C16004="","",C16004*D16004/100)</f>
        <v/>
      </c>
      <c r="F16004" s="15" t="str">
        <f aca="false">IF(B16004&lt;5,"Go","Standard")</f>
        <v>Standard</v>
      </c>
    </row>
    <row r="16005" customFormat="false" ht="15" hidden="false" customHeight="true" outlineLevel="0" collapsed="false">
      <c r="A16005" s="10" t="n">
        <f aca="false">Einstellungen!$B$5+INT((ROW()-9)/24)</f>
        <v>46632</v>
      </c>
      <c r="B16005" s="11" t="n">
        <f aca="false">MOD(ROW()-9,24)</f>
        <v>12</v>
      </c>
      <c r="C16005" s="12"/>
      <c r="D16005" s="13" t="n">
        <f aca="false">IF(B16005&lt;5,Einstellungen!$B$3,Einstellungen!$B$4)</f>
        <v>29.13</v>
      </c>
      <c r="E16005" s="14" t="str">
        <f aca="false">IF(C16005="","",C16005*D16005/100)</f>
        <v/>
      </c>
      <c r="F16005" s="15" t="str">
        <f aca="false">IF(B16005&lt;5,"Go","Standard")</f>
        <v>Standard</v>
      </c>
    </row>
    <row r="16006" customFormat="false" ht="15" hidden="false" customHeight="true" outlineLevel="0" collapsed="false">
      <c r="A16006" s="10" t="n">
        <f aca="false">Einstellungen!$B$5+INT((ROW()-9)/24)</f>
        <v>46632</v>
      </c>
      <c r="B16006" s="11" t="n">
        <f aca="false">MOD(ROW()-9,24)</f>
        <v>13</v>
      </c>
      <c r="C16006" s="12"/>
      <c r="D16006" s="13" t="n">
        <f aca="false">IF(B16006&lt;5,Einstellungen!$B$3,Einstellungen!$B$4)</f>
        <v>29.13</v>
      </c>
      <c r="E16006" s="14" t="str">
        <f aca="false">IF(C16006="","",C16006*D16006/100)</f>
        <v/>
      </c>
      <c r="F16006" s="15" t="str">
        <f aca="false">IF(B16006&lt;5,"Go","Standard")</f>
        <v>Standard</v>
      </c>
    </row>
    <row r="16007" customFormat="false" ht="15" hidden="false" customHeight="true" outlineLevel="0" collapsed="false">
      <c r="A16007" s="10" t="n">
        <f aca="false">Einstellungen!$B$5+INT((ROW()-9)/24)</f>
        <v>46632</v>
      </c>
      <c r="B16007" s="11" t="n">
        <f aca="false">MOD(ROW()-9,24)</f>
        <v>14</v>
      </c>
      <c r="C16007" s="12"/>
      <c r="D16007" s="13" t="n">
        <f aca="false">IF(B16007&lt;5,Einstellungen!$B$3,Einstellungen!$B$4)</f>
        <v>29.13</v>
      </c>
      <c r="E16007" s="14" t="str">
        <f aca="false">IF(C16007="","",C16007*D16007/100)</f>
        <v/>
      </c>
      <c r="F16007" s="15" t="str">
        <f aca="false">IF(B16007&lt;5,"Go","Standard")</f>
        <v>Standard</v>
      </c>
    </row>
    <row r="16008" customFormat="false" ht="15" hidden="false" customHeight="true" outlineLevel="0" collapsed="false">
      <c r="A16008" s="10" t="n">
        <f aca="false">Einstellungen!$B$5+INT((ROW()-9)/24)</f>
        <v>46632</v>
      </c>
      <c r="B16008" s="11" t="n">
        <f aca="false">MOD(ROW()-9,24)</f>
        <v>15</v>
      </c>
      <c r="C16008" s="12"/>
      <c r="D16008" s="13" t="n">
        <f aca="false">IF(B16008&lt;5,Einstellungen!$B$3,Einstellungen!$B$4)</f>
        <v>29.13</v>
      </c>
      <c r="E16008" s="14" t="str">
        <f aca="false">IF(C16008="","",C16008*D16008/100)</f>
        <v/>
      </c>
      <c r="F16008" s="15" t="str">
        <f aca="false">IF(B16008&lt;5,"Go","Standard")</f>
        <v>Standard</v>
      </c>
    </row>
    <row r="16009" customFormat="false" ht="15" hidden="false" customHeight="true" outlineLevel="0" collapsed="false">
      <c r="A16009" s="10" t="n">
        <f aca="false">Einstellungen!$B$5+INT((ROW()-9)/24)</f>
        <v>46632</v>
      </c>
      <c r="B16009" s="11" t="n">
        <f aca="false">MOD(ROW()-9,24)</f>
        <v>16</v>
      </c>
      <c r="C16009" s="12"/>
      <c r="D16009" s="13" t="n">
        <f aca="false">IF(B16009&lt;5,Einstellungen!$B$3,Einstellungen!$B$4)</f>
        <v>29.13</v>
      </c>
      <c r="E16009" s="14" t="str">
        <f aca="false">IF(C16009="","",C16009*D16009/100)</f>
        <v/>
      </c>
      <c r="F16009" s="15" t="str">
        <f aca="false">IF(B16009&lt;5,"Go","Standard")</f>
        <v>Standard</v>
      </c>
    </row>
    <row r="16010" customFormat="false" ht="15" hidden="false" customHeight="true" outlineLevel="0" collapsed="false">
      <c r="A16010" s="10" t="n">
        <f aca="false">Einstellungen!$B$5+INT((ROW()-9)/24)</f>
        <v>46632</v>
      </c>
      <c r="B16010" s="11" t="n">
        <f aca="false">MOD(ROW()-9,24)</f>
        <v>17</v>
      </c>
      <c r="C16010" s="12"/>
      <c r="D16010" s="13" t="n">
        <f aca="false">IF(B16010&lt;5,Einstellungen!$B$3,Einstellungen!$B$4)</f>
        <v>29.13</v>
      </c>
      <c r="E16010" s="14" t="str">
        <f aca="false">IF(C16010="","",C16010*D16010/100)</f>
        <v/>
      </c>
      <c r="F16010" s="15" t="str">
        <f aca="false">IF(B16010&lt;5,"Go","Standard")</f>
        <v>Standard</v>
      </c>
    </row>
    <row r="16011" customFormat="false" ht="15" hidden="false" customHeight="true" outlineLevel="0" collapsed="false">
      <c r="A16011" s="10" t="n">
        <f aca="false">Einstellungen!$B$5+INT((ROW()-9)/24)</f>
        <v>46632</v>
      </c>
      <c r="B16011" s="11" t="n">
        <f aca="false">MOD(ROW()-9,24)</f>
        <v>18</v>
      </c>
      <c r="C16011" s="12"/>
      <c r="D16011" s="13" t="n">
        <f aca="false">IF(B16011&lt;5,Einstellungen!$B$3,Einstellungen!$B$4)</f>
        <v>29.13</v>
      </c>
      <c r="E16011" s="14" t="str">
        <f aca="false">IF(C16011="","",C16011*D16011/100)</f>
        <v/>
      </c>
      <c r="F16011" s="15" t="str">
        <f aca="false">IF(B16011&lt;5,"Go","Standard")</f>
        <v>Standard</v>
      </c>
    </row>
    <row r="16012" customFormat="false" ht="15" hidden="false" customHeight="true" outlineLevel="0" collapsed="false">
      <c r="A16012" s="10" t="n">
        <f aca="false">Einstellungen!$B$5+INT((ROW()-9)/24)</f>
        <v>46632</v>
      </c>
      <c r="B16012" s="11" t="n">
        <f aca="false">MOD(ROW()-9,24)</f>
        <v>19</v>
      </c>
      <c r="C16012" s="12"/>
      <c r="D16012" s="13" t="n">
        <f aca="false">IF(B16012&lt;5,Einstellungen!$B$3,Einstellungen!$B$4)</f>
        <v>29.13</v>
      </c>
      <c r="E16012" s="14" t="str">
        <f aca="false">IF(C16012="","",C16012*D16012/100)</f>
        <v/>
      </c>
      <c r="F16012" s="15" t="str">
        <f aca="false">IF(B16012&lt;5,"Go","Standard")</f>
        <v>Standard</v>
      </c>
    </row>
    <row r="16013" customFormat="false" ht="15" hidden="false" customHeight="true" outlineLevel="0" collapsed="false">
      <c r="A16013" s="10" t="n">
        <f aca="false">Einstellungen!$B$5+INT((ROW()-9)/24)</f>
        <v>46632</v>
      </c>
      <c r="B16013" s="11" t="n">
        <f aca="false">MOD(ROW()-9,24)</f>
        <v>20</v>
      </c>
      <c r="C16013" s="12"/>
      <c r="D16013" s="13" t="n">
        <f aca="false">IF(B16013&lt;5,Einstellungen!$B$3,Einstellungen!$B$4)</f>
        <v>29.13</v>
      </c>
      <c r="E16013" s="14" t="str">
        <f aca="false">IF(C16013="","",C16013*D16013/100)</f>
        <v/>
      </c>
      <c r="F16013" s="15" t="str">
        <f aca="false">IF(B16013&lt;5,"Go","Standard")</f>
        <v>Standard</v>
      </c>
    </row>
    <row r="16014" customFormat="false" ht="15" hidden="false" customHeight="true" outlineLevel="0" collapsed="false">
      <c r="A16014" s="10" t="n">
        <f aca="false">Einstellungen!$B$5+INT((ROW()-9)/24)</f>
        <v>46632</v>
      </c>
      <c r="B16014" s="11" t="n">
        <f aca="false">MOD(ROW()-9,24)</f>
        <v>21</v>
      </c>
      <c r="C16014" s="12"/>
      <c r="D16014" s="13" t="n">
        <f aca="false">IF(B16014&lt;5,Einstellungen!$B$3,Einstellungen!$B$4)</f>
        <v>29.13</v>
      </c>
      <c r="E16014" s="14" t="str">
        <f aca="false">IF(C16014="","",C16014*D16014/100)</f>
        <v/>
      </c>
      <c r="F16014" s="15" t="str">
        <f aca="false">IF(B16014&lt;5,"Go","Standard")</f>
        <v>Standard</v>
      </c>
    </row>
    <row r="16015" customFormat="false" ht="15" hidden="false" customHeight="true" outlineLevel="0" collapsed="false">
      <c r="A16015" s="10" t="n">
        <f aca="false">Einstellungen!$B$5+INT((ROW()-9)/24)</f>
        <v>46632</v>
      </c>
      <c r="B16015" s="11" t="n">
        <f aca="false">MOD(ROW()-9,24)</f>
        <v>22</v>
      </c>
      <c r="C16015" s="12"/>
      <c r="D16015" s="13" t="n">
        <f aca="false">IF(B16015&lt;5,Einstellungen!$B$3,Einstellungen!$B$4)</f>
        <v>29.13</v>
      </c>
      <c r="E16015" s="14" t="str">
        <f aca="false">IF(C16015="","",C16015*D16015/100)</f>
        <v/>
      </c>
      <c r="F16015" s="15" t="str">
        <f aca="false">IF(B16015&lt;5,"Go","Standard")</f>
        <v>Standard</v>
      </c>
    </row>
    <row r="16016" customFormat="false" ht="15" hidden="false" customHeight="true" outlineLevel="0" collapsed="false">
      <c r="A16016" s="10" t="n">
        <f aca="false">Einstellungen!$B$5+INT((ROW()-9)/24)</f>
        <v>46632</v>
      </c>
      <c r="B16016" s="11" t="n">
        <f aca="false">MOD(ROW()-9,24)</f>
        <v>23</v>
      </c>
      <c r="C16016" s="12"/>
      <c r="D16016" s="13" t="n">
        <f aca="false">IF(B16016&lt;5,Einstellungen!$B$3,Einstellungen!$B$4)</f>
        <v>29.13</v>
      </c>
      <c r="E16016" s="14" t="str">
        <f aca="false">IF(C16016="","",C16016*D16016/100)</f>
        <v/>
      </c>
      <c r="F16016" s="15" t="str">
        <f aca="false">IF(B16016&lt;5,"Go","Standard")</f>
        <v>Standard</v>
      </c>
    </row>
    <row r="16017" customFormat="false" ht="15" hidden="false" customHeight="true" outlineLevel="0" collapsed="false">
      <c r="A16017" s="10" t="n">
        <f aca="false">Einstellungen!$B$5+INT((ROW()-9)/24)</f>
        <v>46633</v>
      </c>
      <c r="B16017" s="11" t="n">
        <f aca="false">MOD(ROW()-9,24)</f>
        <v>0</v>
      </c>
      <c r="C16017" s="12"/>
      <c r="D16017" s="13" t="n">
        <f aca="false">IF(B16017&lt;5,Einstellungen!$B$3,Einstellungen!$B$4)</f>
        <v>15.92</v>
      </c>
      <c r="E16017" s="14" t="str">
        <f aca="false">IF(C16017="","",C16017*D16017/100)</f>
        <v/>
      </c>
      <c r="F16017" s="15" t="str">
        <f aca="false">IF(B16017&lt;5,"Go","Standard")</f>
        <v>Go</v>
      </c>
    </row>
    <row r="16018" customFormat="false" ht="15" hidden="false" customHeight="true" outlineLevel="0" collapsed="false">
      <c r="A16018" s="10" t="n">
        <f aca="false">Einstellungen!$B$5+INT((ROW()-9)/24)</f>
        <v>46633</v>
      </c>
      <c r="B16018" s="11" t="n">
        <f aca="false">MOD(ROW()-9,24)</f>
        <v>1</v>
      </c>
      <c r="C16018" s="12"/>
      <c r="D16018" s="13" t="n">
        <f aca="false">IF(B16018&lt;5,Einstellungen!$B$3,Einstellungen!$B$4)</f>
        <v>15.92</v>
      </c>
      <c r="E16018" s="14" t="str">
        <f aca="false">IF(C16018="","",C16018*D16018/100)</f>
        <v/>
      </c>
      <c r="F16018" s="15" t="str">
        <f aca="false">IF(B16018&lt;5,"Go","Standard")</f>
        <v>Go</v>
      </c>
    </row>
    <row r="16019" customFormat="false" ht="15" hidden="false" customHeight="true" outlineLevel="0" collapsed="false">
      <c r="A16019" s="10" t="n">
        <f aca="false">Einstellungen!$B$5+INT((ROW()-9)/24)</f>
        <v>46633</v>
      </c>
      <c r="B16019" s="11" t="n">
        <f aca="false">MOD(ROW()-9,24)</f>
        <v>2</v>
      </c>
      <c r="C16019" s="12"/>
      <c r="D16019" s="13" t="n">
        <f aca="false">IF(B16019&lt;5,Einstellungen!$B$3,Einstellungen!$B$4)</f>
        <v>15.92</v>
      </c>
      <c r="E16019" s="14" t="str">
        <f aca="false">IF(C16019="","",C16019*D16019/100)</f>
        <v/>
      </c>
      <c r="F16019" s="15" t="str">
        <f aca="false">IF(B16019&lt;5,"Go","Standard")</f>
        <v>Go</v>
      </c>
    </row>
    <row r="16020" customFormat="false" ht="15" hidden="false" customHeight="true" outlineLevel="0" collapsed="false">
      <c r="A16020" s="10" t="n">
        <f aca="false">Einstellungen!$B$5+INT((ROW()-9)/24)</f>
        <v>46633</v>
      </c>
      <c r="B16020" s="11" t="n">
        <f aca="false">MOD(ROW()-9,24)</f>
        <v>3</v>
      </c>
      <c r="C16020" s="12"/>
      <c r="D16020" s="13" t="n">
        <f aca="false">IF(B16020&lt;5,Einstellungen!$B$3,Einstellungen!$B$4)</f>
        <v>15.92</v>
      </c>
      <c r="E16020" s="14" t="str">
        <f aca="false">IF(C16020="","",C16020*D16020/100)</f>
        <v/>
      </c>
      <c r="F16020" s="15" t="str">
        <f aca="false">IF(B16020&lt;5,"Go","Standard")</f>
        <v>Go</v>
      </c>
    </row>
    <row r="16021" customFormat="false" ht="15" hidden="false" customHeight="true" outlineLevel="0" collapsed="false">
      <c r="A16021" s="10" t="n">
        <f aca="false">Einstellungen!$B$5+INT((ROW()-9)/24)</f>
        <v>46633</v>
      </c>
      <c r="B16021" s="11" t="n">
        <f aca="false">MOD(ROW()-9,24)</f>
        <v>4</v>
      </c>
      <c r="C16021" s="12"/>
      <c r="D16021" s="13" t="n">
        <f aca="false">IF(B16021&lt;5,Einstellungen!$B$3,Einstellungen!$B$4)</f>
        <v>15.92</v>
      </c>
      <c r="E16021" s="14" t="str">
        <f aca="false">IF(C16021="","",C16021*D16021/100)</f>
        <v/>
      </c>
      <c r="F16021" s="15" t="str">
        <f aca="false">IF(B16021&lt;5,"Go","Standard")</f>
        <v>Go</v>
      </c>
    </row>
    <row r="16022" customFormat="false" ht="15" hidden="false" customHeight="true" outlineLevel="0" collapsed="false">
      <c r="A16022" s="10" t="n">
        <f aca="false">Einstellungen!$B$5+INT((ROW()-9)/24)</f>
        <v>46633</v>
      </c>
      <c r="B16022" s="11" t="n">
        <f aca="false">MOD(ROW()-9,24)</f>
        <v>5</v>
      </c>
      <c r="C16022" s="12"/>
      <c r="D16022" s="13" t="n">
        <f aca="false">IF(B16022&lt;5,Einstellungen!$B$3,Einstellungen!$B$4)</f>
        <v>29.13</v>
      </c>
      <c r="E16022" s="14" t="str">
        <f aca="false">IF(C16022="","",C16022*D16022/100)</f>
        <v/>
      </c>
      <c r="F16022" s="15" t="str">
        <f aca="false">IF(B16022&lt;5,"Go","Standard")</f>
        <v>Standard</v>
      </c>
    </row>
    <row r="16023" customFormat="false" ht="15" hidden="false" customHeight="true" outlineLevel="0" collapsed="false">
      <c r="A16023" s="10" t="n">
        <f aca="false">Einstellungen!$B$5+INT((ROW()-9)/24)</f>
        <v>46633</v>
      </c>
      <c r="B16023" s="11" t="n">
        <f aca="false">MOD(ROW()-9,24)</f>
        <v>6</v>
      </c>
      <c r="C16023" s="12"/>
      <c r="D16023" s="13" t="n">
        <f aca="false">IF(B16023&lt;5,Einstellungen!$B$3,Einstellungen!$B$4)</f>
        <v>29.13</v>
      </c>
      <c r="E16023" s="14" t="str">
        <f aca="false">IF(C16023="","",C16023*D16023/100)</f>
        <v/>
      </c>
      <c r="F16023" s="15" t="str">
        <f aca="false">IF(B16023&lt;5,"Go","Standard")</f>
        <v>Standard</v>
      </c>
    </row>
    <row r="16024" customFormat="false" ht="15" hidden="false" customHeight="true" outlineLevel="0" collapsed="false">
      <c r="A16024" s="10" t="n">
        <f aca="false">Einstellungen!$B$5+INT((ROW()-9)/24)</f>
        <v>46633</v>
      </c>
      <c r="B16024" s="11" t="n">
        <f aca="false">MOD(ROW()-9,24)</f>
        <v>7</v>
      </c>
      <c r="C16024" s="12"/>
      <c r="D16024" s="13" t="n">
        <f aca="false">IF(B16024&lt;5,Einstellungen!$B$3,Einstellungen!$B$4)</f>
        <v>29.13</v>
      </c>
      <c r="E16024" s="14" t="str">
        <f aca="false">IF(C16024="","",C16024*D16024/100)</f>
        <v/>
      </c>
      <c r="F16024" s="15" t="str">
        <f aca="false">IF(B16024&lt;5,"Go","Standard")</f>
        <v>Standard</v>
      </c>
    </row>
    <row r="16025" customFormat="false" ht="15" hidden="false" customHeight="true" outlineLevel="0" collapsed="false">
      <c r="A16025" s="10" t="n">
        <f aca="false">Einstellungen!$B$5+INT((ROW()-9)/24)</f>
        <v>46633</v>
      </c>
      <c r="B16025" s="11" t="n">
        <f aca="false">MOD(ROW()-9,24)</f>
        <v>8</v>
      </c>
      <c r="C16025" s="12"/>
      <c r="D16025" s="13" t="n">
        <f aca="false">IF(B16025&lt;5,Einstellungen!$B$3,Einstellungen!$B$4)</f>
        <v>29.13</v>
      </c>
      <c r="E16025" s="14" t="str">
        <f aca="false">IF(C16025="","",C16025*D16025/100)</f>
        <v/>
      </c>
      <c r="F16025" s="15" t="str">
        <f aca="false">IF(B16025&lt;5,"Go","Standard")</f>
        <v>Standard</v>
      </c>
    </row>
    <row r="16026" customFormat="false" ht="15" hidden="false" customHeight="true" outlineLevel="0" collapsed="false">
      <c r="A16026" s="10" t="n">
        <f aca="false">Einstellungen!$B$5+INT((ROW()-9)/24)</f>
        <v>46633</v>
      </c>
      <c r="B16026" s="11" t="n">
        <f aca="false">MOD(ROW()-9,24)</f>
        <v>9</v>
      </c>
      <c r="C16026" s="12"/>
      <c r="D16026" s="13" t="n">
        <f aca="false">IF(B16026&lt;5,Einstellungen!$B$3,Einstellungen!$B$4)</f>
        <v>29.13</v>
      </c>
      <c r="E16026" s="14" t="str">
        <f aca="false">IF(C16026="","",C16026*D16026/100)</f>
        <v/>
      </c>
      <c r="F16026" s="15" t="str">
        <f aca="false">IF(B16026&lt;5,"Go","Standard")</f>
        <v>Standard</v>
      </c>
    </row>
    <row r="16027" customFormat="false" ht="15" hidden="false" customHeight="true" outlineLevel="0" collapsed="false">
      <c r="A16027" s="10" t="n">
        <f aca="false">Einstellungen!$B$5+INT((ROW()-9)/24)</f>
        <v>46633</v>
      </c>
      <c r="B16027" s="11" t="n">
        <f aca="false">MOD(ROW()-9,24)</f>
        <v>10</v>
      </c>
      <c r="C16027" s="12"/>
      <c r="D16027" s="13" t="n">
        <f aca="false">IF(B16027&lt;5,Einstellungen!$B$3,Einstellungen!$B$4)</f>
        <v>29.13</v>
      </c>
      <c r="E16027" s="14" t="str">
        <f aca="false">IF(C16027="","",C16027*D16027/100)</f>
        <v/>
      </c>
      <c r="F16027" s="15" t="str">
        <f aca="false">IF(B16027&lt;5,"Go","Standard")</f>
        <v>Standard</v>
      </c>
    </row>
    <row r="16028" customFormat="false" ht="15" hidden="false" customHeight="true" outlineLevel="0" collapsed="false">
      <c r="A16028" s="10" t="n">
        <f aca="false">Einstellungen!$B$5+INT((ROW()-9)/24)</f>
        <v>46633</v>
      </c>
      <c r="B16028" s="11" t="n">
        <f aca="false">MOD(ROW()-9,24)</f>
        <v>11</v>
      </c>
      <c r="C16028" s="12"/>
      <c r="D16028" s="13" t="n">
        <f aca="false">IF(B16028&lt;5,Einstellungen!$B$3,Einstellungen!$B$4)</f>
        <v>29.13</v>
      </c>
      <c r="E16028" s="14" t="str">
        <f aca="false">IF(C16028="","",C16028*D16028/100)</f>
        <v/>
      </c>
      <c r="F16028" s="15" t="str">
        <f aca="false">IF(B16028&lt;5,"Go","Standard")</f>
        <v>Standard</v>
      </c>
    </row>
    <row r="16029" customFormat="false" ht="15" hidden="false" customHeight="true" outlineLevel="0" collapsed="false">
      <c r="A16029" s="10" t="n">
        <f aca="false">Einstellungen!$B$5+INT((ROW()-9)/24)</f>
        <v>46633</v>
      </c>
      <c r="B16029" s="11" t="n">
        <f aca="false">MOD(ROW()-9,24)</f>
        <v>12</v>
      </c>
      <c r="C16029" s="12"/>
      <c r="D16029" s="13" t="n">
        <f aca="false">IF(B16029&lt;5,Einstellungen!$B$3,Einstellungen!$B$4)</f>
        <v>29.13</v>
      </c>
      <c r="E16029" s="14" t="str">
        <f aca="false">IF(C16029="","",C16029*D16029/100)</f>
        <v/>
      </c>
      <c r="F16029" s="15" t="str">
        <f aca="false">IF(B16029&lt;5,"Go","Standard")</f>
        <v>Standard</v>
      </c>
    </row>
    <row r="16030" customFormat="false" ht="15" hidden="false" customHeight="true" outlineLevel="0" collapsed="false">
      <c r="A16030" s="10" t="n">
        <f aca="false">Einstellungen!$B$5+INT((ROW()-9)/24)</f>
        <v>46633</v>
      </c>
      <c r="B16030" s="11" t="n">
        <f aca="false">MOD(ROW()-9,24)</f>
        <v>13</v>
      </c>
      <c r="C16030" s="12"/>
      <c r="D16030" s="13" t="n">
        <f aca="false">IF(B16030&lt;5,Einstellungen!$B$3,Einstellungen!$B$4)</f>
        <v>29.13</v>
      </c>
      <c r="E16030" s="14" t="str">
        <f aca="false">IF(C16030="","",C16030*D16030/100)</f>
        <v/>
      </c>
      <c r="F16030" s="15" t="str">
        <f aca="false">IF(B16030&lt;5,"Go","Standard")</f>
        <v>Standard</v>
      </c>
    </row>
    <row r="16031" customFormat="false" ht="15" hidden="false" customHeight="true" outlineLevel="0" collapsed="false">
      <c r="A16031" s="10" t="n">
        <f aca="false">Einstellungen!$B$5+INT((ROW()-9)/24)</f>
        <v>46633</v>
      </c>
      <c r="B16031" s="11" t="n">
        <f aca="false">MOD(ROW()-9,24)</f>
        <v>14</v>
      </c>
      <c r="C16031" s="12"/>
      <c r="D16031" s="13" t="n">
        <f aca="false">IF(B16031&lt;5,Einstellungen!$B$3,Einstellungen!$B$4)</f>
        <v>29.13</v>
      </c>
      <c r="E16031" s="14" t="str">
        <f aca="false">IF(C16031="","",C16031*D16031/100)</f>
        <v/>
      </c>
      <c r="F16031" s="15" t="str">
        <f aca="false">IF(B16031&lt;5,"Go","Standard")</f>
        <v>Standard</v>
      </c>
    </row>
    <row r="16032" customFormat="false" ht="15" hidden="false" customHeight="true" outlineLevel="0" collapsed="false">
      <c r="A16032" s="10" t="n">
        <f aca="false">Einstellungen!$B$5+INT((ROW()-9)/24)</f>
        <v>46633</v>
      </c>
      <c r="B16032" s="11" t="n">
        <f aca="false">MOD(ROW()-9,24)</f>
        <v>15</v>
      </c>
      <c r="C16032" s="12"/>
      <c r="D16032" s="13" t="n">
        <f aca="false">IF(B16032&lt;5,Einstellungen!$B$3,Einstellungen!$B$4)</f>
        <v>29.13</v>
      </c>
      <c r="E16032" s="14" t="str">
        <f aca="false">IF(C16032="","",C16032*D16032/100)</f>
        <v/>
      </c>
      <c r="F16032" s="15" t="str">
        <f aca="false">IF(B16032&lt;5,"Go","Standard")</f>
        <v>Standard</v>
      </c>
    </row>
    <row r="16033" customFormat="false" ht="15" hidden="false" customHeight="true" outlineLevel="0" collapsed="false">
      <c r="A16033" s="10" t="n">
        <f aca="false">Einstellungen!$B$5+INT((ROW()-9)/24)</f>
        <v>46633</v>
      </c>
      <c r="B16033" s="11" t="n">
        <f aca="false">MOD(ROW()-9,24)</f>
        <v>16</v>
      </c>
      <c r="C16033" s="12"/>
      <c r="D16033" s="13" t="n">
        <f aca="false">IF(B16033&lt;5,Einstellungen!$B$3,Einstellungen!$B$4)</f>
        <v>29.13</v>
      </c>
      <c r="E16033" s="14" t="str">
        <f aca="false">IF(C16033="","",C16033*D16033/100)</f>
        <v/>
      </c>
      <c r="F16033" s="15" t="str">
        <f aca="false">IF(B16033&lt;5,"Go","Standard")</f>
        <v>Standard</v>
      </c>
    </row>
    <row r="16034" customFormat="false" ht="15" hidden="false" customHeight="true" outlineLevel="0" collapsed="false">
      <c r="A16034" s="10" t="n">
        <f aca="false">Einstellungen!$B$5+INT((ROW()-9)/24)</f>
        <v>46633</v>
      </c>
      <c r="B16034" s="11" t="n">
        <f aca="false">MOD(ROW()-9,24)</f>
        <v>17</v>
      </c>
      <c r="C16034" s="12"/>
      <c r="D16034" s="13" t="n">
        <f aca="false">IF(B16034&lt;5,Einstellungen!$B$3,Einstellungen!$B$4)</f>
        <v>29.13</v>
      </c>
      <c r="E16034" s="14" t="str">
        <f aca="false">IF(C16034="","",C16034*D16034/100)</f>
        <v/>
      </c>
      <c r="F16034" s="15" t="str">
        <f aca="false">IF(B16034&lt;5,"Go","Standard")</f>
        <v>Standard</v>
      </c>
    </row>
    <row r="16035" customFormat="false" ht="15" hidden="false" customHeight="true" outlineLevel="0" collapsed="false">
      <c r="A16035" s="10" t="n">
        <f aca="false">Einstellungen!$B$5+INT((ROW()-9)/24)</f>
        <v>46633</v>
      </c>
      <c r="B16035" s="11" t="n">
        <f aca="false">MOD(ROW()-9,24)</f>
        <v>18</v>
      </c>
      <c r="C16035" s="12"/>
      <c r="D16035" s="13" t="n">
        <f aca="false">IF(B16035&lt;5,Einstellungen!$B$3,Einstellungen!$B$4)</f>
        <v>29.13</v>
      </c>
      <c r="E16035" s="14" t="str">
        <f aca="false">IF(C16035="","",C16035*D16035/100)</f>
        <v/>
      </c>
      <c r="F16035" s="15" t="str">
        <f aca="false">IF(B16035&lt;5,"Go","Standard")</f>
        <v>Standard</v>
      </c>
    </row>
    <row r="16036" customFormat="false" ht="15" hidden="false" customHeight="true" outlineLevel="0" collapsed="false">
      <c r="A16036" s="10" t="n">
        <f aca="false">Einstellungen!$B$5+INT((ROW()-9)/24)</f>
        <v>46633</v>
      </c>
      <c r="B16036" s="11" t="n">
        <f aca="false">MOD(ROW()-9,24)</f>
        <v>19</v>
      </c>
      <c r="C16036" s="12"/>
      <c r="D16036" s="13" t="n">
        <f aca="false">IF(B16036&lt;5,Einstellungen!$B$3,Einstellungen!$B$4)</f>
        <v>29.13</v>
      </c>
      <c r="E16036" s="14" t="str">
        <f aca="false">IF(C16036="","",C16036*D16036/100)</f>
        <v/>
      </c>
      <c r="F16036" s="15" t="str">
        <f aca="false">IF(B16036&lt;5,"Go","Standard")</f>
        <v>Standard</v>
      </c>
    </row>
    <row r="16037" customFormat="false" ht="15" hidden="false" customHeight="true" outlineLevel="0" collapsed="false">
      <c r="A16037" s="10" t="n">
        <f aca="false">Einstellungen!$B$5+INT((ROW()-9)/24)</f>
        <v>46633</v>
      </c>
      <c r="B16037" s="11" t="n">
        <f aca="false">MOD(ROW()-9,24)</f>
        <v>20</v>
      </c>
      <c r="C16037" s="12"/>
      <c r="D16037" s="13" t="n">
        <f aca="false">IF(B16037&lt;5,Einstellungen!$B$3,Einstellungen!$B$4)</f>
        <v>29.13</v>
      </c>
      <c r="E16037" s="14" t="str">
        <f aca="false">IF(C16037="","",C16037*D16037/100)</f>
        <v/>
      </c>
      <c r="F16037" s="15" t="str">
        <f aca="false">IF(B16037&lt;5,"Go","Standard")</f>
        <v>Standard</v>
      </c>
    </row>
    <row r="16038" customFormat="false" ht="15" hidden="false" customHeight="true" outlineLevel="0" collapsed="false">
      <c r="A16038" s="10" t="n">
        <f aca="false">Einstellungen!$B$5+INT((ROW()-9)/24)</f>
        <v>46633</v>
      </c>
      <c r="B16038" s="11" t="n">
        <f aca="false">MOD(ROW()-9,24)</f>
        <v>21</v>
      </c>
      <c r="C16038" s="12"/>
      <c r="D16038" s="13" t="n">
        <f aca="false">IF(B16038&lt;5,Einstellungen!$B$3,Einstellungen!$B$4)</f>
        <v>29.13</v>
      </c>
      <c r="E16038" s="14" t="str">
        <f aca="false">IF(C16038="","",C16038*D16038/100)</f>
        <v/>
      </c>
      <c r="F16038" s="15" t="str">
        <f aca="false">IF(B16038&lt;5,"Go","Standard")</f>
        <v>Standard</v>
      </c>
    </row>
    <row r="16039" customFormat="false" ht="15" hidden="false" customHeight="true" outlineLevel="0" collapsed="false">
      <c r="A16039" s="10" t="n">
        <f aca="false">Einstellungen!$B$5+INT((ROW()-9)/24)</f>
        <v>46633</v>
      </c>
      <c r="B16039" s="11" t="n">
        <f aca="false">MOD(ROW()-9,24)</f>
        <v>22</v>
      </c>
      <c r="C16039" s="12"/>
      <c r="D16039" s="13" t="n">
        <f aca="false">IF(B16039&lt;5,Einstellungen!$B$3,Einstellungen!$B$4)</f>
        <v>29.13</v>
      </c>
      <c r="E16039" s="14" t="str">
        <f aca="false">IF(C16039="","",C16039*D16039/100)</f>
        <v/>
      </c>
      <c r="F16039" s="15" t="str">
        <f aca="false">IF(B16039&lt;5,"Go","Standard")</f>
        <v>Standard</v>
      </c>
    </row>
    <row r="16040" customFormat="false" ht="15" hidden="false" customHeight="true" outlineLevel="0" collapsed="false">
      <c r="A16040" s="10" t="n">
        <f aca="false">Einstellungen!$B$5+INT((ROW()-9)/24)</f>
        <v>46633</v>
      </c>
      <c r="B16040" s="11" t="n">
        <f aca="false">MOD(ROW()-9,24)</f>
        <v>23</v>
      </c>
      <c r="C16040" s="12"/>
      <c r="D16040" s="13" t="n">
        <f aca="false">IF(B16040&lt;5,Einstellungen!$B$3,Einstellungen!$B$4)</f>
        <v>29.13</v>
      </c>
      <c r="E16040" s="14" t="str">
        <f aca="false">IF(C16040="","",C16040*D16040/100)</f>
        <v/>
      </c>
      <c r="F16040" s="15" t="str">
        <f aca="false">IF(B16040&lt;5,"Go","Standard")</f>
        <v>Standard</v>
      </c>
    </row>
    <row r="16041" customFormat="false" ht="15" hidden="false" customHeight="true" outlineLevel="0" collapsed="false">
      <c r="A16041" s="10" t="n">
        <f aca="false">Einstellungen!$B$5+INT((ROW()-9)/24)</f>
        <v>46634</v>
      </c>
      <c r="B16041" s="11" t="n">
        <f aca="false">MOD(ROW()-9,24)</f>
        <v>0</v>
      </c>
      <c r="C16041" s="12"/>
      <c r="D16041" s="13" t="n">
        <f aca="false">IF(B16041&lt;5,Einstellungen!$B$3,Einstellungen!$B$4)</f>
        <v>15.92</v>
      </c>
      <c r="E16041" s="14" t="str">
        <f aca="false">IF(C16041="","",C16041*D16041/100)</f>
        <v/>
      </c>
      <c r="F16041" s="15" t="str">
        <f aca="false">IF(B16041&lt;5,"Go","Standard")</f>
        <v>Go</v>
      </c>
    </row>
    <row r="16042" customFormat="false" ht="15" hidden="false" customHeight="true" outlineLevel="0" collapsed="false">
      <c r="A16042" s="10" t="n">
        <f aca="false">Einstellungen!$B$5+INT((ROW()-9)/24)</f>
        <v>46634</v>
      </c>
      <c r="B16042" s="11" t="n">
        <f aca="false">MOD(ROW()-9,24)</f>
        <v>1</v>
      </c>
      <c r="C16042" s="12"/>
      <c r="D16042" s="13" t="n">
        <f aca="false">IF(B16042&lt;5,Einstellungen!$B$3,Einstellungen!$B$4)</f>
        <v>15.92</v>
      </c>
      <c r="E16042" s="14" t="str">
        <f aca="false">IF(C16042="","",C16042*D16042/100)</f>
        <v/>
      </c>
      <c r="F16042" s="15" t="str">
        <f aca="false">IF(B16042&lt;5,"Go","Standard")</f>
        <v>Go</v>
      </c>
    </row>
    <row r="16043" customFormat="false" ht="15" hidden="false" customHeight="true" outlineLevel="0" collapsed="false">
      <c r="A16043" s="10" t="n">
        <f aca="false">Einstellungen!$B$5+INT((ROW()-9)/24)</f>
        <v>46634</v>
      </c>
      <c r="B16043" s="11" t="n">
        <f aca="false">MOD(ROW()-9,24)</f>
        <v>2</v>
      </c>
      <c r="C16043" s="12"/>
      <c r="D16043" s="13" t="n">
        <f aca="false">IF(B16043&lt;5,Einstellungen!$B$3,Einstellungen!$B$4)</f>
        <v>15.92</v>
      </c>
      <c r="E16043" s="14" t="str">
        <f aca="false">IF(C16043="","",C16043*D16043/100)</f>
        <v/>
      </c>
      <c r="F16043" s="15" t="str">
        <f aca="false">IF(B16043&lt;5,"Go","Standard")</f>
        <v>Go</v>
      </c>
    </row>
    <row r="16044" customFormat="false" ht="15" hidden="false" customHeight="true" outlineLevel="0" collapsed="false">
      <c r="A16044" s="10" t="n">
        <f aca="false">Einstellungen!$B$5+INT((ROW()-9)/24)</f>
        <v>46634</v>
      </c>
      <c r="B16044" s="11" t="n">
        <f aca="false">MOD(ROW()-9,24)</f>
        <v>3</v>
      </c>
      <c r="C16044" s="12"/>
      <c r="D16044" s="13" t="n">
        <f aca="false">IF(B16044&lt;5,Einstellungen!$B$3,Einstellungen!$B$4)</f>
        <v>15.92</v>
      </c>
      <c r="E16044" s="14" t="str">
        <f aca="false">IF(C16044="","",C16044*D16044/100)</f>
        <v/>
      </c>
      <c r="F16044" s="15" t="str">
        <f aca="false">IF(B16044&lt;5,"Go","Standard")</f>
        <v>Go</v>
      </c>
    </row>
    <row r="16045" customFormat="false" ht="15" hidden="false" customHeight="true" outlineLevel="0" collapsed="false">
      <c r="A16045" s="10" t="n">
        <f aca="false">Einstellungen!$B$5+INT((ROW()-9)/24)</f>
        <v>46634</v>
      </c>
      <c r="B16045" s="11" t="n">
        <f aca="false">MOD(ROW()-9,24)</f>
        <v>4</v>
      </c>
      <c r="C16045" s="12"/>
      <c r="D16045" s="13" t="n">
        <f aca="false">IF(B16045&lt;5,Einstellungen!$B$3,Einstellungen!$B$4)</f>
        <v>15.92</v>
      </c>
      <c r="E16045" s="14" t="str">
        <f aca="false">IF(C16045="","",C16045*D16045/100)</f>
        <v/>
      </c>
      <c r="F16045" s="15" t="str">
        <f aca="false">IF(B16045&lt;5,"Go","Standard")</f>
        <v>Go</v>
      </c>
    </row>
    <row r="16046" customFormat="false" ht="15" hidden="false" customHeight="true" outlineLevel="0" collapsed="false">
      <c r="A16046" s="10" t="n">
        <f aca="false">Einstellungen!$B$5+INT((ROW()-9)/24)</f>
        <v>46634</v>
      </c>
      <c r="B16046" s="11" t="n">
        <f aca="false">MOD(ROW()-9,24)</f>
        <v>5</v>
      </c>
      <c r="C16046" s="12"/>
      <c r="D16046" s="13" t="n">
        <f aca="false">IF(B16046&lt;5,Einstellungen!$B$3,Einstellungen!$B$4)</f>
        <v>29.13</v>
      </c>
      <c r="E16046" s="14" t="str">
        <f aca="false">IF(C16046="","",C16046*D16046/100)</f>
        <v/>
      </c>
      <c r="F16046" s="15" t="str">
        <f aca="false">IF(B16046&lt;5,"Go","Standard")</f>
        <v>Standard</v>
      </c>
    </row>
    <row r="16047" customFormat="false" ht="15" hidden="false" customHeight="true" outlineLevel="0" collapsed="false">
      <c r="A16047" s="10" t="n">
        <f aca="false">Einstellungen!$B$5+INT((ROW()-9)/24)</f>
        <v>46634</v>
      </c>
      <c r="B16047" s="11" t="n">
        <f aca="false">MOD(ROW()-9,24)</f>
        <v>6</v>
      </c>
      <c r="C16047" s="12"/>
      <c r="D16047" s="13" t="n">
        <f aca="false">IF(B16047&lt;5,Einstellungen!$B$3,Einstellungen!$B$4)</f>
        <v>29.13</v>
      </c>
      <c r="E16047" s="14" t="str">
        <f aca="false">IF(C16047="","",C16047*D16047/100)</f>
        <v/>
      </c>
      <c r="F16047" s="15" t="str">
        <f aca="false">IF(B16047&lt;5,"Go","Standard")</f>
        <v>Standard</v>
      </c>
    </row>
    <row r="16048" customFormat="false" ht="15" hidden="false" customHeight="true" outlineLevel="0" collapsed="false">
      <c r="A16048" s="10" t="n">
        <f aca="false">Einstellungen!$B$5+INT((ROW()-9)/24)</f>
        <v>46634</v>
      </c>
      <c r="B16048" s="11" t="n">
        <f aca="false">MOD(ROW()-9,24)</f>
        <v>7</v>
      </c>
      <c r="C16048" s="12"/>
      <c r="D16048" s="13" t="n">
        <f aca="false">IF(B16048&lt;5,Einstellungen!$B$3,Einstellungen!$B$4)</f>
        <v>29.13</v>
      </c>
      <c r="E16048" s="14" t="str">
        <f aca="false">IF(C16048="","",C16048*D16048/100)</f>
        <v/>
      </c>
      <c r="F16048" s="15" t="str">
        <f aca="false">IF(B16048&lt;5,"Go","Standard")</f>
        <v>Standard</v>
      </c>
    </row>
    <row r="16049" customFormat="false" ht="15" hidden="false" customHeight="true" outlineLevel="0" collapsed="false">
      <c r="A16049" s="10" t="n">
        <f aca="false">Einstellungen!$B$5+INT((ROW()-9)/24)</f>
        <v>46634</v>
      </c>
      <c r="B16049" s="11" t="n">
        <f aca="false">MOD(ROW()-9,24)</f>
        <v>8</v>
      </c>
      <c r="C16049" s="12"/>
      <c r="D16049" s="13" t="n">
        <f aca="false">IF(B16049&lt;5,Einstellungen!$B$3,Einstellungen!$B$4)</f>
        <v>29.13</v>
      </c>
      <c r="E16049" s="14" t="str">
        <f aca="false">IF(C16049="","",C16049*D16049/100)</f>
        <v/>
      </c>
      <c r="F16049" s="15" t="str">
        <f aca="false">IF(B16049&lt;5,"Go","Standard")</f>
        <v>Standard</v>
      </c>
    </row>
    <row r="16050" customFormat="false" ht="15" hidden="false" customHeight="true" outlineLevel="0" collapsed="false">
      <c r="A16050" s="10" t="n">
        <f aca="false">Einstellungen!$B$5+INT((ROW()-9)/24)</f>
        <v>46634</v>
      </c>
      <c r="B16050" s="11" t="n">
        <f aca="false">MOD(ROW()-9,24)</f>
        <v>9</v>
      </c>
      <c r="C16050" s="12"/>
      <c r="D16050" s="13" t="n">
        <f aca="false">IF(B16050&lt;5,Einstellungen!$B$3,Einstellungen!$B$4)</f>
        <v>29.13</v>
      </c>
      <c r="E16050" s="14" t="str">
        <f aca="false">IF(C16050="","",C16050*D16050/100)</f>
        <v/>
      </c>
      <c r="F16050" s="15" t="str">
        <f aca="false">IF(B16050&lt;5,"Go","Standard")</f>
        <v>Standard</v>
      </c>
    </row>
    <row r="16051" customFormat="false" ht="15" hidden="false" customHeight="true" outlineLevel="0" collapsed="false">
      <c r="A16051" s="10" t="n">
        <f aca="false">Einstellungen!$B$5+INT((ROW()-9)/24)</f>
        <v>46634</v>
      </c>
      <c r="B16051" s="11" t="n">
        <f aca="false">MOD(ROW()-9,24)</f>
        <v>10</v>
      </c>
      <c r="C16051" s="12"/>
      <c r="D16051" s="13" t="n">
        <f aca="false">IF(B16051&lt;5,Einstellungen!$B$3,Einstellungen!$B$4)</f>
        <v>29.13</v>
      </c>
      <c r="E16051" s="14" t="str">
        <f aca="false">IF(C16051="","",C16051*D16051/100)</f>
        <v/>
      </c>
      <c r="F16051" s="15" t="str">
        <f aca="false">IF(B16051&lt;5,"Go","Standard")</f>
        <v>Standard</v>
      </c>
    </row>
    <row r="16052" customFormat="false" ht="15" hidden="false" customHeight="true" outlineLevel="0" collapsed="false">
      <c r="A16052" s="10" t="n">
        <f aca="false">Einstellungen!$B$5+INT((ROW()-9)/24)</f>
        <v>46634</v>
      </c>
      <c r="B16052" s="11" t="n">
        <f aca="false">MOD(ROW()-9,24)</f>
        <v>11</v>
      </c>
      <c r="C16052" s="12"/>
      <c r="D16052" s="13" t="n">
        <f aca="false">IF(B16052&lt;5,Einstellungen!$B$3,Einstellungen!$B$4)</f>
        <v>29.13</v>
      </c>
      <c r="E16052" s="14" t="str">
        <f aca="false">IF(C16052="","",C16052*D16052/100)</f>
        <v/>
      </c>
      <c r="F16052" s="15" t="str">
        <f aca="false">IF(B16052&lt;5,"Go","Standard")</f>
        <v>Standard</v>
      </c>
    </row>
    <row r="16053" customFormat="false" ht="15" hidden="false" customHeight="true" outlineLevel="0" collapsed="false">
      <c r="A16053" s="10" t="n">
        <f aca="false">Einstellungen!$B$5+INT((ROW()-9)/24)</f>
        <v>46634</v>
      </c>
      <c r="B16053" s="11" t="n">
        <f aca="false">MOD(ROW()-9,24)</f>
        <v>12</v>
      </c>
      <c r="C16053" s="12"/>
      <c r="D16053" s="13" t="n">
        <f aca="false">IF(B16053&lt;5,Einstellungen!$B$3,Einstellungen!$B$4)</f>
        <v>29.13</v>
      </c>
      <c r="E16053" s="14" t="str">
        <f aca="false">IF(C16053="","",C16053*D16053/100)</f>
        <v/>
      </c>
      <c r="F16053" s="15" t="str">
        <f aca="false">IF(B16053&lt;5,"Go","Standard")</f>
        <v>Standard</v>
      </c>
    </row>
    <row r="16054" customFormat="false" ht="15" hidden="false" customHeight="true" outlineLevel="0" collapsed="false">
      <c r="A16054" s="10" t="n">
        <f aca="false">Einstellungen!$B$5+INT((ROW()-9)/24)</f>
        <v>46634</v>
      </c>
      <c r="B16054" s="11" t="n">
        <f aca="false">MOD(ROW()-9,24)</f>
        <v>13</v>
      </c>
      <c r="C16054" s="12"/>
      <c r="D16054" s="13" t="n">
        <f aca="false">IF(B16054&lt;5,Einstellungen!$B$3,Einstellungen!$B$4)</f>
        <v>29.13</v>
      </c>
      <c r="E16054" s="14" t="str">
        <f aca="false">IF(C16054="","",C16054*D16054/100)</f>
        <v/>
      </c>
      <c r="F16054" s="15" t="str">
        <f aca="false">IF(B16054&lt;5,"Go","Standard")</f>
        <v>Standard</v>
      </c>
    </row>
    <row r="16055" customFormat="false" ht="15" hidden="false" customHeight="true" outlineLevel="0" collapsed="false">
      <c r="A16055" s="10" t="n">
        <f aca="false">Einstellungen!$B$5+INT((ROW()-9)/24)</f>
        <v>46634</v>
      </c>
      <c r="B16055" s="11" t="n">
        <f aca="false">MOD(ROW()-9,24)</f>
        <v>14</v>
      </c>
      <c r="C16055" s="12"/>
      <c r="D16055" s="13" t="n">
        <f aca="false">IF(B16055&lt;5,Einstellungen!$B$3,Einstellungen!$B$4)</f>
        <v>29.13</v>
      </c>
      <c r="E16055" s="14" t="str">
        <f aca="false">IF(C16055="","",C16055*D16055/100)</f>
        <v/>
      </c>
      <c r="F16055" s="15" t="str">
        <f aca="false">IF(B16055&lt;5,"Go","Standard")</f>
        <v>Standard</v>
      </c>
    </row>
    <row r="16056" customFormat="false" ht="15" hidden="false" customHeight="true" outlineLevel="0" collapsed="false">
      <c r="A16056" s="10" t="n">
        <f aca="false">Einstellungen!$B$5+INT((ROW()-9)/24)</f>
        <v>46634</v>
      </c>
      <c r="B16056" s="11" t="n">
        <f aca="false">MOD(ROW()-9,24)</f>
        <v>15</v>
      </c>
      <c r="C16056" s="12"/>
      <c r="D16056" s="13" t="n">
        <f aca="false">IF(B16056&lt;5,Einstellungen!$B$3,Einstellungen!$B$4)</f>
        <v>29.13</v>
      </c>
      <c r="E16056" s="14" t="str">
        <f aca="false">IF(C16056="","",C16056*D16056/100)</f>
        <v/>
      </c>
      <c r="F16056" s="15" t="str">
        <f aca="false">IF(B16056&lt;5,"Go","Standard")</f>
        <v>Standard</v>
      </c>
    </row>
    <row r="16057" customFormat="false" ht="15" hidden="false" customHeight="true" outlineLevel="0" collapsed="false">
      <c r="A16057" s="10" t="n">
        <f aca="false">Einstellungen!$B$5+INT((ROW()-9)/24)</f>
        <v>46634</v>
      </c>
      <c r="B16057" s="11" t="n">
        <f aca="false">MOD(ROW()-9,24)</f>
        <v>16</v>
      </c>
      <c r="C16057" s="12"/>
      <c r="D16057" s="13" t="n">
        <f aca="false">IF(B16057&lt;5,Einstellungen!$B$3,Einstellungen!$B$4)</f>
        <v>29.13</v>
      </c>
      <c r="E16057" s="14" t="str">
        <f aca="false">IF(C16057="","",C16057*D16057/100)</f>
        <v/>
      </c>
      <c r="F16057" s="15" t="str">
        <f aca="false">IF(B16057&lt;5,"Go","Standard")</f>
        <v>Standard</v>
      </c>
    </row>
    <row r="16058" customFormat="false" ht="15" hidden="false" customHeight="true" outlineLevel="0" collapsed="false">
      <c r="A16058" s="10" t="n">
        <f aca="false">Einstellungen!$B$5+INT((ROW()-9)/24)</f>
        <v>46634</v>
      </c>
      <c r="B16058" s="11" t="n">
        <f aca="false">MOD(ROW()-9,24)</f>
        <v>17</v>
      </c>
      <c r="C16058" s="12"/>
      <c r="D16058" s="13" t="n">
        <f aca="false">IF(B16058&lt;5,Einstellungen!$B$3,Einstellungen!$B$4)</f>
        <v>29.13</v>
      </c>
      <c r="E16058" s="14" t="str">
        <f aca="false">IF(C16058="","",C16058*D16058/100)</f>
        <v/>
      </c>
      <c r="F16058" s="15" t="str">
        <f aca="false">IF(B16058&lt;5,"Go","Standard")</f>
        <v>Standard</v>
      </c>
    </row>
    <row r="16059" customFormat="false" ht="15" hidden="false" customHeight="true" outlineLevel="0" collapsed="false">
      <c r="A16059" s="10" t="n">
        <f aca="false">Einstellungen!$B$5+INT((ROW()-9)/24)</f>
        <v>46634</v>
      </c>
      <c r="B16059" s="11" t="n">
        <f aca="false">MOD(ROW()-9,24)</f>
        <v>18</v>
      </c>
      <c r="C16059" s="12"/>
      <c r="D16059" s="13" t="n">
        <f aca="false">IF(B16059&lt;5,Einstellungen!$B$3,Einstellungen!$B$4)</f>
        <v>29.13</v>
      </c>
      <c r="E16059" s="14" t="str">
        <f aca="false">IF(C16059="","",C16059*D16059/100)</f>
        <v/>
      </c>
      <c r="F16059" s="15" t="str">
        <f aca="false">IF(B16059&lt;5,"Go","Standard")</f>
        <v>Standard</v>
      </c>
    </row>
    <row r="16060" customFormat="false" ht="15" hidden="false" customHeight="true" outlineLevel="0" collapsed="false">
      <c r="A16060" s="10" t="n">
        <f aca="false">Einstellungen!$B$5+INT((ROW()-9)/24)</f>
        <v>46634</v>
      </c>
      <c r="B16060" s="11" t="n">
        <f aca="false">MOD(ROW()-9,24)</f>
        <v>19</v>
      </c>
      <c r="C16060" s="12"/>
      <c r="D16060" s="13" t="n">
        <f aca="false">IF(B16060&lt;5,Einstellungen!$B$3,Einstellungen!$B$4)</f>
        <v>29.13</v>
      </c>
      <c r="E16060" s="14" t="str">
        <f aca="false">IF(C16060="","",C16060*D16060/100)</f>
        <v/>
      </c>
      <c r="F16060" s="15" t="str">
        <f aca="false">IF(B16060&lt;5,"Go","Standard")</f>
        <v>Standard</v>
      </c>
    </row>
    <row r="16061" customFormat="false" ht="15" hidden="false" customHeight="true" outlineLevel="0" collapsed="false">
      <c r="A16061" s="10" t="n">
        <f aca="false">Einstellungen!$B$5+INT((ROW()-9)/24)</f>
        <v>46634</v>
      </c>
      <c r="B16061" s="11" t="n">
        <f aca="false">MOD(ROW()-9,24)</f>
        <v>20</v>
      </c>
      <c r="C16061" s="12"/>
      <c r="D16061" s="13" t="n">
        <f aca="false">IF(B16061&lt;5,Einstellungen!$B$3,Einstellungen!$B$4)</f>
        <v>29.13</v>
      </c>
      <c r="E16061" s="14" t="str">
        <f aca="false">IF(C16061="","",C16061*D16061/100)</f>
        <v/>
      </c>
      <c r="F16061" s="15" t="str">
        <f aca="false">IF(B16061&lt;5,"Go","Standard")</f>
        <v>Standard</v>
      </c>
    </row>
    <row r="16062" customFormat="false" ht="15" hidden="false" customHeight="true" outlineLevel="0" collapsed="false">
      <c r="A16062" s="10" t="n">
        <f aca="false">Einstellungen!$B$5+INT((ROW()-9)/24)</f>
        <v>46634</v>
      </c>
      <c r="B16062" s="11" t="n">
        <f aca="false">MOD(ROW()-9,24)</f>
        <v>21</v>
      </c>
      <c r="C16062" s="12"/>
      <c r="D16062" s="13" t="n">
        <f aca="false">IF(B16062&lt;5,Einstellungen!$B$3,Einstellungen!$B$4)</f>
        <v>29.13</v>
      </c>
      <c r="E16062" s="14" t="str">
        <f aca="false">IF(C16062="","",C16062*D16062/100)</f>
        <v/>
      </c>
      <c r="F16062" s="15" t="str">
        <f aca="false">IF(B16062&lt;5,"Go","Standard")</f>
        <v>Standard</v>
      </c>
    </row>
    <row r="16063" customFormat="false" ht="15" hidden="false" customHeight="true" outlineLevel="0" collapsed="false">
      <c r="A16063" s="10" t="n">
        <f aca="false">Einstellungen!$B$5+INT((ROW()-9)/24)</f>
        <v>46634</v>
      </c>
      <c r="B16063" s="11" t="n">
        <f aca="false">MOD(ROW()-9,24)</f>
        <v>22</v>
      </c>
      <c r="C16063" s="12"/>
      <c r="D16063" s="13" t="n">
        <f aca="false">IF(B16063&lt;5,Einstellungen!$B$3,Einstellungen!$B$4)</f>
        <v>29.13</v>
      </c>
      <c r="E16063" s="14" t="str">
        <f aca="false">IF(C16063="","",C16063*D16063/100)</f>
        <v/>
      </c>
      <c r="F16063" s="15" t="str">
        <f aca="false">IF(B16063&lt;5,"Go","Standard")</f>
        <v>Standard</v>
      </c>
    </row>
    <row r="16064" customFormat="false" ht="15" hidden="false" customHeight="true" outlineLevel="0" collapsed="false">
      <c r="A16064" s="10" t="n">
        <f aca="false">Einstellungen!$B$5+INT((ROW()-9)/24)</f>
        <v>46634</v>
      </c>
      <c r="B16064" s="11" t="n">
        <f aca="false">MOD(ROW()-9,24)</f>
        <v>23</v>
      </c>
      <c r="C16064" s="12"/>
      <c r="D16064" s="13" t="n">
        <f aca="false">IF(B16064&lt;5,Einstellungen!$B$3,Einstellungen!$B$4)</f>
        <v>29.13</v>
      </c>
      <c r="E16064" s="14" t="str">
        <f aca="false">IF(C16064="","",C16064*D16064/100)</f>
        <v/>
      </c>
      <c r="F16064" s="15" t="str">
        <f aca="false">IF(B16064&lt;5,"Go","Standard")</f>
        <v>Standard</v>
      </c>
    </row>
    <row r="16065" customFormat="false" ht="15" hidden="false" customHeight="true" outlineLevel="0" collapsed="false">
      <c r="A16065" s="10" t="n">
        <f aca="false">Einstellungen!$B$5+INT((ROW()-9)/24)</f>
        <v>46635</v>
      </c>
      <c r="B16065" s="11" t="n">
        <f aca="false">MOD(ROW()-9,24)</f>
        <v>0</v>
      </c>
      <c r="C16065" s="12"/>
      <c r="D16065" s="13" t="n">
        <f aca="false">IF(B16065&lt;5,Einstellungen!$B$3,Einstellungen!$B$4)</f>
        <v>15.92</v>
      </c>
      <c r="E16065" s="14" t="str">
        <f aca="false">IF(C16065="","",C16065*D16065/100)</f>
        <v/>
      </c>
      <c r="F16065" s="15" t="str">
        <f aca="false">IF(B16065&lt;5,"Go","Standard")</f>
        <v>Go</v>
      </c>
    </row>
    <row r="16066" customFormat="false" ht="15" hidden="false" customHeight="true" outlineLevel="0" collapsed="false">
      <c r="A16066" s="10" t="n">
        <f aca="false">Einstellungen!$B$5+INT((ROW()-9)/24)</f>
        <v>46635</v>
      </c>
      <c r="B16066" s="11" t="n">
        <f aca="false">MOD(ROW()-9,24)</f>
        <v>1</v>
      </c>
      <c r="C16066" s="12"/>
      <c r="D16066" s="13" t="n">
        <f aca="false">IF(B16066&lt;5,Einstellungen!$B$3,Einstellungen!$B$4)</f>
        <v>15.92</v>
      </c>
      <c r="E16066" s="14" t="str">
        <f aca="false">IF(C16066="","",C16066*D16066/100)</f>
        <v/>
      </c>
      <c r="F16066" s="15" t="str">
        <f aca="false">IF(B16066&lt;5,"Go","Standard")</f>
        <v>Go</v>
      </c>
    </row>
    <row r="16067" customFormat="false" ht="15" hidden="false" customHeight="true" outlineLevel="0" collapsed="false">
      <c r="A16067" s="10" t="n">
        <f aca="false">Einstellungen!$B$5+INT((ROW()-9)/24)</f>
        <v>46635</v>
      </c>
      <c r="B16067" s="11" t="n">
        <f aca="false">MOD(ROW()-9,24)</f>
        <v>2</v>
      </c>
      <c r="C16067" s="12"/>
      <c r="D16067" s="13" t="n">
        <f aca="false">IF(B16067&lt;5,Einstellungen!$B$3,Einstellungen!$B$4)</f>
        <v>15.92</v>
      </c>
      <c r="E16067" s="14" t="str">
        <f aca="false">IF(C16067="","",C16067*D16067/100)</f>
        <v/>
      </c>
      <c r="F16067" s="15" t="str">
        <f aca="false">IF(B16067&lt;5,"Go","Standard")</f>
        <v>Go</v>
      </c>
    </row>
    <row r="16068" customFormat="false" ht="15" hidden="false" customHeight="true" outlineLevel="0" collapsed="false">
      <c r="A16068" s="10" t="n">
        <f aca="false">Einstellungen!$B$5+INT((ROW()-9)/24)</f>
        <v>46635</v>
      </c>
      <c r="B16068" s="11" t="n">
        <f aca="false">MOD(ROW()-9,24)</f>
        <v>3</v>
      </c>
      <c r="C16068" s="12"/>
      <c r="D16068" s="13" t="n">
        <f aca="false">IF(B16068&lt;5,Einstellungen!$B$3,Einstellungen!$B$4)</f>
        <v>15.92</v>
      </c>
      <c r="E16068" s="14" t="str">
        <f aca="false">IF(C16068="","",C16068*D16068/100)</f>
        <v/>
      </c>
      <c r="F16068" s="15" t="str">
        <f aca="false">IF(B16068&lt;5,"Go","Standard")</f>
        <v>Go</v>
      </c>
    </row>
    <row r="16069" customFormat="false" ht="15" hidden="false" customHeight="true" outlineLevel="0" collapsed="false">
      <c r="A16069" s="10" t="n">
        <f aca="false">Einstellungen!$B$5+INT((ROW()-9)/24)</f>
        <v>46635</v>
      </c>
      <c r="B16069" s="11" t="n">
        <f aca="false">MOD(ROW()-9,24)</f>
        <v>4</v>
      </c>
      <c r="C16069" s="12"/>
      <c r="D16069" s="13" t="n">
        <f aca="false">IF(B16069&lt;5,Einstellungen!$B$3,Einstellungen!$B$4)</f>
        <v>15.92</v>
      </c>
      <c r="E16069" s="14" t="str">
        <f aca="false">IF(C16069="","",C16069*D16069/100)</f>
        <v/>
      </c>
      <c r="F16069" s="15" t="str">
        <f aca="false">IF(B16069&lt;5,"Go","Standard")</f>
        <v>Go</v>
      </c>
    </row>
    <row r="16070" customFormat="false" ht="15" hidden="false" customHeight="true" outlineLevel="0" collapsed="false">
      <c r="A16070" s="10" t="n">
        <f aca="false">Einstellungen!$B$5+INT((ROW()-9)/24)</f>
        <v>46635</v>
      </c>
      <c r="B16070" s="11" t="n">
        <f aca="false">MOD(ROW()-9,24)</f>
        <v>5</v>
      </c>
      <c r="C16070" s="12"/>
      <c r="D16070" s="13" t="n">
        <f aca="false">IF(B16070&lt;5,Einstellungen!$B$3,Einstellungen!$B$4)</f>
        <v>29.13</v>
      </c>
      <c r="E16070" s="14" t="str">
        <f aca="false">IF(C16070="","",C16070*D16070/100)</f>
        <v/>
      </c>
      <c r="F16070" s="15" t="str">
        <f aca="false">IF(B16070&lt;5,"Go","Standard")</f>
        <v>Standard</v>
      </c>
    </row>
    <row r="16071" customFormat="false" ht="15" hidden="false" customHeight="true" outlineLevel="0" collapsed="false">
      <c r="A16071" s="10" t="n">
        <f aca="false">Einstellungen!$B$5+INT((ROW()-9)/24)</f>
        <v>46635</v>
      </c>
      <c r="B16071" s="11" t="n">
        <f aca="false">MOD(ROW()-9,24)</f>
        <v>6</v>
      </c>
      <c r="C16071" s="12"/>
      <c r="D16071" s="13" t="n">
        <f aca="false">IF(B16071&lt;5,Einstellungen!$B$3,Einstellungen!$B$4)</f>
        <v>29.13</v>
      </c>
      <c r="E16071" s="14" t="str">
        <f aca="false">IF(C16071="","",C16071*D16071/100)</f>
        <v/>
      </c>
      <c r="F16071" s="15" t="str">
        <f aca="false">IF(B16071&lt;5,"Go","Standard")</f>
        <v>Standard</v>
      </c>
    </row>
    <row r="16072" customFormat="false" ht="15" hidden="false" customHeight="true" outlineLevel="0" collapsed="false">
      <c r="A16072" s="10" t="n">
        <f aca="false">Einstellungen!$B$5+INT((ROW()-9)/24)</f>
        <v>46635</v>
      </c>
      <c r="B16072" s="11" t="n">
        <f aca="false">MOD(ROW()-9,24)</f>
        <v>7</v>
      </c>
      <c r="C16072" s="12"/>
      <c r="D16072" s="13" t="n">
        <f aca="false">IF(B16072&lt;5,Einstellungen!$B$3,Einstellungen!$B$4)</f>
        <v>29.13</v>
      </c>
      <c r="E16072" s="14" t="str">
        <f aca="false">IF(C16072="","",C16072*D16072/100)</f>
        <v/>
      </c>
      <c r="F16072" s="15" t="str">
        <f aca="false">IF(B16072&lt;5,"Go","Standard")</f>
        <v>Standard</v>
      </c>
    </row>
    <row r="16073" customFormat="false" ht="15" hidden="false" customHeight="true" outlineLevel="0" collapsed="false">
      <c r="A16073" s="10" t="n">
        <f aca="false">Einstellungen!$B$5+INT((ROW()-9)/24)</f>
        <v>46635</v>
      </c>
      <c r="B16073" s="11" t="n">
        <f aca="false">MOD(ROW()-9,24)</f>
        <v>8</v>
      </c>
      <c r="C16073" s="12"/>
      <c r="D16073" s="13" t="n">
        <f aca="false">IF(B16073&lt;5,Einstellungen!$B$3,Einstellungen!$B$4)</f>
        <v>29.13</v>
      </c>
      <c r="E16073" s="14" t="str">
        <f aca="false">IF(C16073="","",C16073*D16073/100)</f>
        <v/>
      </c>
      <c r="F16073" s="15" t="str">
        <f aca="false">IF(B16073&lt;5,"Go","Standard")</f>
        <v>Standard</v>
      </c>
    </row>
    <row r="16074" customFormat="false" ht="15" hidden="false" customHeight="true" outlineLevel="0" collapsed="false">
      <c r="A16074" s="10" t="n">
        <f aca="false">Einstellungen!$B$5+INT((ROW()-9)/24)</f>
        <v>46635</v>
      </c>
      <c r="B16074" s="11" t="n">
        <f aca="false">MOD(ROW()-9,24)</f>
        <v>9</v>
      </c>
      <c r="C16074" s="12"/>
      <c r="D16074" s="13" t="n">
        <f aca="false">IF(B16074&lt;5,Einstellungen!$B$3,Einstellungen!$B$4)</f>
        <v>29.13</v>
      </c>
      <c r="E16074" s="14" t="str">
        <f aca="false">IF(C16074="","",C16074*D16074/100)</f>
        <v/>
      </c>
      <c r="F16074" s="15" t="str">
        <f aca="false">IF(B16074&lt;5,"Go","Standard")</f>
        <v>Standard</v>
      </c>
    </row>
    <row r="16075" customFormat="false" ht="15" hidden="false" customHeight="true" outlineLevel="0" collapsed="false">
      <c r="A16075" s="10" t="n">
        <f aca="false">Einstellungen!$B$5+INT((ROW()-9)/24)</f>
        <v>46635</v>
      </c>
      <c r="B16075" s="11" t="n">
        <f aca="false">MOD(ROW()-9,24)</f>
        <v>10</v>
      </c>
      <c r="C16075" s="12"/>
      <c r="D16075" s="13" t="n">
        <f aca="false">IF(B16075&lt;5,Einstellungen!$B$3,Einstellungen!$B$4)</f>
        <v>29.13</v>
      </c>
      <c r="E16075" s="14" t="str">
        <f aca="false">IF(C16075="","",C16075*D16075/100)</f>
        <v/>
      </c>
      <c r="F16075" s="15" t="str">
        <f aca="false">IF(B16075&lt;5,"Go","Standard")</f>
        <v>Standard</v>
      </c>
    </row>
    <row r="16076" customFormat="false" ht="15" hidden="false" customHeight="true" outlineLevel="0" collapsed="false">
      <c r="A16076" s="10" t="n">
        <f aca="false">Einstellungen!$B$5+INT((ROW()-9)/24)</f>
        <v>46635</v>
      </c>
      <c r="B16076" s="11" t="n">
        <f aca="false">MOD(ROW()-9,24)</f>
        <v>11</v>
      </c>
      <c r="C16076" s="12"/>
      <c r="D16076" s="13" t="n">
        <f aca="false">IF(B16076&lt;5,Einstellungen!$B$3,Einstellungen!$B$4)</f>
        <v>29.13</v>
      </c>
      <c r="E16076" s="14" t="str">
        <f aca="false">IF(C16076="","",C16076*D16076/100)</f>
        <v/>
      </c>
      <c r="F16076" s="15" t="str">
        <f aca="false">IF(B16076&lt;5,"Go","Standard")</f>
        <v>Standard</v>
      </c>
    </row>
    <row r="16077" customFormat="false" ht="15" hidden="false" customHeight="true" outlineLevel="0" collapsed="false">
      <c r="A16077" s="10" t="n">
        <f aca="false">Einstellungen!$B$5+INT((ROW()-9)/24)</f>
        <v>46635</v>
      </c>
      <c r="B16077" s="11" t="n">
        <f aca="false">MOD(ROW()-9,24)</f>
        <v>12</v>
      </c>
      <c r="C16077" s="12"/>
      <c r="D16077" s="13" t="n">
        <f aca="false">IF(B16077&lt;5,Einstellungen!$B$3,Einstellungen!$B$4)</f>
        <v>29.13</v>
      </c>
      <c r="E16077" s="14" t="str">
        <f aca="false">IF(C16077="","",C16077*D16077/100)</f>
        <v/>
      </c>
      <c r="F16077" s="15" t="str">
        <f aca="false">IF(B16077&lt;5,"Go","Standard")</f>
        <v>Standard</v>
      </c>
    </row>
    <row r="16078" customFormat="false" ht="15" hidden="false" customHeight="true" outlineLevel="0" collapsed="false">
      <c r="A16078" s="10" t="n">
        <f aca="false">Einstellungen!$B$5+INT((ROW()-9)/24)</f>
        <v>46635</v>
      </c>
      <c r="B16078" s="11" t="n">
        <f aca="false">MOD(ROW()-9,24)</f>
        <v>13</v>
      </c>
      <c r="C16078" s="12"/>
      <c r="D16078" s="13" t="n">
        <f aca="false">IF(B16078&lt;5,Einstellungen!$B$3,Einstellungen!$B$4)</f>
        <v>29.13</v>
      </c>
      <c r="E16078" s="14" t="str">
        <f aca="false">IF(C16078="","",C16078*D16078/100)</f>
        <v/>
      </c>
      <c r="F16078" s="15" t="str">
        <f aca="false">IF(B16078&lt;5,"Go","Standard")</f>
        <v>Standard</v>
      </c>
    </row>
    <row r="16079" customFormat="false" ht="15" hidden="false" customHeight="true" outlineLevel="0" collapsed="false">
      <c r="A16079" s="10" t="n">
        <f aca="false">Einstellungen!$B$5+INT((ROW()-9)/24)</f>
        <v>46635</v>
      </c>
      <c r="B16079" s="11" t="n">
        <f aca="false">MOD(ROW()-9,24)</f>
        <v>14</v>
      </c>
      <c r="C16079" s="12"/>
      <c r="D16079" s="13" t="n">
        <f aca="false">IF(B16079&lt;5,Einstellungen!$B$3,Einstellungen!$B$4)</f>
        <v>29.13</v>
      </c>
      <c r="E16079" s="14" t="str">
        <f aca="false">IF(C16079="","",C16079*D16079/100)</f>
        <v/>
      </c>
      <c r="F16079" s="15" t="str">
        <f aca="false">IF(B16079&lt;5,"Go","Standard")</f>
        <v>Standard</v>
      </c>
    </row>
    <row r="16080" customFormat="false" ht="15" hidden="false" customHeight="true" outlineLevel="0" collapsed="false">
      <c r="A16080" s="10" t="n">
        <f aca="false">Einstellungen!$B$5+INT((ROW()-9)/24)</f>
        <v>46635</v>
      </c>
      <c r="B16080" s="11" t="n">
        <f aca="false">MOD(ROW()-9,24)</f>
        <v>15</v>
      </c>
      <c r="C16080" s="12"/>
      <c r="D16080" s="13" t="n">
        <f aca="false">IF(B16080&lt;5,Einstellungen!$B$3,Einstellungen!$B$4)</f>
        <v>29.13</v>
      </c>
      <c r="E16080" s="14" t="str">
        <f aca="false">IF(C16080="","",C16080*D16080/100)</f>
        <v/>
      </c>
      <c r="F16080" s="15" t="str">
        <f aca="false">IF(B16080&lt;5,"Go","Standard")</f>
        <v>Standard</v>
      </c>
    </row>
    <row r="16081" customFormat="false" ht="15" hidden="false" customHeight="true" outlineLevel="0" collapsed="false">
      <c r="A16081" s="10" t="n">
        <f aca="false">Einstellungen!$B$5+INT((ROW()-9)/24)</f>
        <v>46635</v>
      </c>
      <c r="B16081" s="11" t="n">
        <f aca="false">MOD(ROW()-9,24)</f>
        <v>16</v>
      </c>
      <c r="C16081" s="12"/>
      <c r="D16081" s="13" t="n">
        <f aca="false">IF(B16081&lt;5,Einstellungen!$B$3,Einstellungen!$B$4)</f>
        <v>29.13</v>
      </c>
      <c r="E16081" s="14" t="str">
        <f aca="false">IF(C16081="","",C16081*D16081/100)</f>
        <v/>
      </c>
      <c r="F16081" s="15" t="str">
        <f aca="false">IF(B16081&lt;5,"Go","Standard")</f>
        <v>Standard</v>
      </c>
    </row>
    <row r="16082" customFormat="false" ht="15" hidden="false" customHeight="true" outlineLevel="0" collapsed="false">
      <c r="A16082" s="10" t="n">
        <f aca="false">Einstellungen!$B$5+INT((ROW()-9)/24)</f>
        <v>46635</v>
      </c>
      <c r="B16082" s="11" t="n">
        <f aca="false">MOD(ROW()-9,24)</f>
        <v>17</v>
      </c>
      <c r="C16082" s="12"/>
      <c r="D16082" s="13" t="n">
        <f aca="false">IF(B16082&lt;5,Einstellungen!$B$3,Einstellungen!$B$4)</f>
        <v>29.13</v>
      </c>
      <c r="E16082" s="14" t="str">
        <f aca="false">IF(C16082="","",C16082*D16082/100)</f>
        <v/>
      </c>
      <c r="F16082" s="15" t="str">
        <f aca="false">IF(B16082&lt;5,"Go","Standard")</f>
        <v>Standard</v>
      </c>
    </row>
    <row r="16083" customFormat="false" ht="15" hidden="false" customHeight="true" outlineLevel="0" collapsed="false">
      <c r="A16083" s="10" t="n">
        <f aca="false">Einstellungen!$B$5+INT((ROW()-9)/24)</f>
        <v>46635</v>
      </c>
      <c r="B16083" s="11" t="n">
        <f aca="false">MOD(ROW()-9,24)</f>
        <v>18</v>
      </c>
      <c r="C16083" s="12"/>
      <c r="D16083" s="13" t="n">
        <f aca="false">IF(B16083&lt;5,Einstellungen!$B$3,Einstellungen!$B$4)</f>
        <v>29.13</v>
      </c>
      <c r="E16083" s="14" t="str">
        <f aca="false">IF(C16083="","",C16083*D16083/100)</f>
        <v/>
      </c>
      <c r="F16083" s="15" t="str">
        <f aca="false">IF(B16083&lt;5,"Go","Standard")</f>
        <v>Standard</v>
      </c>
    </row>
    <row r="16084" customFormat="false" ht="15" hidden="false" customHeight="true" outlineLevel="0" collapsed="false">
      <c r="A16084" s="10" t="n">
        <f aca="false">Einstellungen!$B$5+INT((ROW()-9)/24)</f>
        <v>46635</v>
      </c>
      <c r="B16084" s="11" t="n">
        <f aca="false">MOD(ROW()-9,24)</f>
        <v>19</v>
      </c>
      <c r="C16084" s="12"/>
      <c r="D16084" s="13" t="n">
        <f aca="false">IF(B16084&lt;5,Einstellungen!$B$3,Einstellungen!$B$4)</f>
        <v>29.13</v>
      </c>
      <c r="E16084" s="14" t="str">
        <f aca="false">IF(C16084="","",C16084*D16084/100)</f>
        <v/>
      </c>
      <c r="F16084" s="15" t="str">
        <f aca="false">IF(B16084&lt;5,"Go","Standard")</f>
        <v>Standard</v>
      </c>
    </row>
    <row r="16085" customFormat="false" ht="15" hidden="false" customHeight="true" outlineLevel="0" collapsed="false">
      <c r="A16085" s="10" t="n">
        <f aca="false">Einstellungen!$B$5+INT((ROW()-9)/24)</f>
        <v>46635</v>
      </c>
      <c r="B16085" s="11" t="n">
        <f aca="false">MOD(ROW()-9,24)</f>
        <v>20</v>
      </c>
      <c r="C16085" s="12"/>
      <c r="D16085" s="13" t="n">
        <f aca="false">IF(B16085&lt;5,Einstellungen!$B$3,Einstellungen!$B$4)</f>
        <v>29.13</v>
      </c>
      <c r="E16085" s="14" t="str">
        <f aca="false">IF(C16085="","",C16085*D16085/100)</f>
        <v/>
      </c>
      <c r="F16085" s="15" t="str">
        <f aca="false">IF(B16085&lt;5,"Go","Standard")</f>
        <v>Standard</v>
      </c>
    </row>
    <row r="16086" customFormat="false" ht="15" hidden="false" customHeight="true" outlineLevel="0" collapsed="false">
      <c r="A16086" s="10" t="n">
        <f aca="false">Einstellungen!$B$5+INT((ROW()-9)/24)</f>
        <v>46635</v>
      </c>
      <c r="B16086" s="11" t="n">
        <f aca="false">MOD(ROW()-9,24)</f>
        <v>21</v>
      </c>
      <c r="C16086" s="12"/>
      <c r="D16086" s="13" t="n">
        <f aca="false">IF(B16086&lt;5,Einstellungen!$B$3,Einstellungen!$B$4)</f>
        <v>29.13</v>
      </c>
      <c r="E16086" s="14" t="str">
        <f aca="false">IF(C16086="","",C16086*D16086/100)</f>
        <v/>
      </c>
      <c r="F16086" s="15" t="str">
        <f aca="false">IF(B16086&lt;5,"Go","Standard")</f>
        <v>Standard</v>
      </c>
    </row>
    <row r="16087" customFormat="false" ht="15" hidden="false" customHeight="true" outlineLevel="0" collapsed="false">
      <c r="A16087" s="10" t="n">
        <f aca="false">Einstellungen!$B$5+INT((ROW()-9)/24)</f>
        <v>46635</v>
      </c>
      <c r="B16087" s="11" t="n">
        <f aca="false">MOD(ROW()-9,24)</f>
        <v>22</v>
      </c>
      <c r="C16087" s="12"/>
      <c r="D16087" s="13" t="n">
        <f aca="false">IF(B16087&lt;5,Einstellungen!$B$3,Einstellungen!$B$4)</f>
        <v>29.13</v>
      </c>
      <c r="E16087" s="14" t="str">
        <f aca="false">IF(C16087="","",C16087*D16087/100)</f>
        <v/>
      </c>
      <c r="F16087" s="15" t="str">
        <f aca="false">IF(B16087&lt;5,"Go","Standard")</f>
        <v>Standard</v>
      </c>
    </row>
    <row r="16088" customFormat="false" ht="15" hidden="false" customHeight="true" outlineLevel="0" collapsed="false">
      <c r="A16088" s="10" t="n">
        <f aca="false">Einstellungen!$B$5+INT((ROW()-9)/24)</f>
        <v>46635</v>
      </c>
      <c r="B16088" s="11" t="n">
        <f aca="false">MOD(ROW()-9,24)</f>
        <v>23</v>
      </c>
      <c r="C16088" s="12"/>
      <c r="D16088" s="13" t="n">
        <f aca="false">IF(B16088&lt;5,Einstellungen!$B$3,Einstellungen!$B$4)</f>
        <v>29.13</v>
      </c>
      <c r="E16088" s="14" t="str">
        <f aca="false">IF(C16088="","",C16088*D16088/100)</f>
        <v/>
      </c>
      <c r="F16088" s="15" t="str">
        <f aca="false">IF(B16088&lt;5,"Go","Standard")</f>
        <v>Standard</v>
      </c>
    </row>
    <row r="16089" customFormat="false" ht="15" hidden="false" customHeight="true" outlineLevel="0" collapsed="false">
      <c r="A16089" s="10" t="n">
        <f aca="false">Einstellungen!$B$5+INT((ROW()-9)/24)</f>
        <v>46636</v>
      </c>
      <c r="B16089" s="11" t="n">
        <f aca="false">MOD(ROW()-9,24)</f>
        <v>0</v>
      </c>
      <c r="C16089" s="12"/>
      <c r="D16089" s="13" t="n">
        <f aca="false">IF(B16089&lt;5,Einstellungen!$B$3,Einstellungen!$B$4)</f>
        <v>15.92</v>
      </c>
      <c r="E16089" s="14" t="str">
        <f aca="false">IF(C16089="","",C16089*D16089/100)</f>
        <v/>
      </c>
      <c r="F16089" s="15" t="str">
        <f aca="false">IF(B16089&lt;5,"Go","Standard")</f>
        <v>Go</v>
      </c>
    </row>
    <row r="16090" customFormat="false" ht="15" hidden="false" customHeight="true" outlineLevel="0" collapsed="false">
      <c r="A16090" s="10" t="n">
        <f aca="false">Einstellungen!$B$5+INT((ROW()-9)/24)</f>
        <v>46636</v>
      </c>
      <c r="B16090" s="11" t="n">
        <f aca="false">MOD(ROW()-9,24)</f>
        <v>1</v>
      </c>
      <c r="C16090" s="12"/>
      <c r="D16090" s="13" t="n">
        <f aca="false">IF(B16090&lt;5,Einstellungen!$B$3,Einstellungen!$B$4)</f>
        <v>15.92</v>
      </c>
      <c r="E16090" s="14" t="str">
        <f aca="false">IF(C16090="","",C16090*D16090/100)</f>
        <v/>
      </c>
      <c r="F16090" s="15" t="str">
        <f aca="false">IF(B16090&lt;5,"Go","Standard")</f>
        <v>Go</v>
      </c>
    </row>
    <row r="16091" customFormat="false" ht="15" hidden="false" customHeight="true" outlineLevel="0" collapsed="false">
      <c r="A16091" s="10" t="n">
        <f aca="false">Einstellungen!$B$5+INT((ROW()-9)/24)</f>
        <v>46636</v>
      </c>
      <c r="B16091" s="11" t="n">
        <f aca="false">MOD(ROW()-9,24)</f>
        <v>2</v>
      </c>
      <c r="C16091" s="12"/>
      <c r="D16091" s="13" t="n">
        <f aca="false">IF(B16091&lt;5,Einstellungen!$B$3,Einstellungen!$B$4)</f>
        <v>15.92</v>
      </c>
      <c r="E16091" s="14" t="str">
        <f aca="false">IF(C16091="","",C16091*D16091/100)</f>
        <v/>
      </c>
      <c r="F16091" s="15" t="str">
        <f aca="false">IF(B16091&lt;5,"Go","Standard")</f>
        <v>Go</v>
      </c>
    </row>
    <row r="16092" customFormat="false" ht="15" hidden="false" customHeight="true" outlineLevel="0" collapsed="false">
      <c r="A16092" s="10" t="n">
        <f aca="false">Einstellungen!$B$5+INT((ROW()-9)/24)</f>
        <v>46636</v>
      </c>
      <c r="B16092" s="11" t="n">
        <f aca="false">MOD(ROW()-9,24)</f>
        <v>3</v>
      </c>
      <c r="C16092" s="12"/>
      <c r="D16092" s="13" t="n">
        <f aca="false">IF(B16092&lt;5,Einstellungen!$B$3,Einstellungen!$B$4)</f>
        <v>15.92</v>
      </c>
      <c r="E16092" s="14" t="str">
        <f aca="false">IF(C16092="","",C16092*D16092/100)</f>
        <v/>
      </c>
      <c r="F16092" s="15" t="str">
        <f aca="false">IF(B16092&lt;5,"Go","Standard")</f>
        <v>Go</v>
      </c>
    </row>
    <row r="16093" customFormat="false" ht="15" hidden="false" customHeight="true" outlineLevel="0" collapsed="false">
      <c r="A16093" s="10" t="n">
        <f aca="false">Einstellungen!$B$5+INT((ROW()-9)/24)</f>
        <v>46636</v>
      </c>
      <c r="B16093" s="11" t="n">
        <f aca="false">MOD(ROW()-9,24)</f>
        <v>4</v>
      </c>
      <c r="C16093" s="12"/>
      <c r="D16093" s="13" t="n">
        <f aca="false">IF(B16093&lt;5,Einstellungen!$B$3,Einstellungen!$B$4)</f>
        <v>15.92</v>
      </c>
      <c r="E16093" s="14" t="str">
        <f aca="false">IF(C16093="","",C16093*D16093/100)</f>
        <v/>
      </c>
      <c r="F16093" s="15" t="str">
        <f aca="false">IF(B16093&lt;5,"Go","Standard")</f>
        <v>Go</v>
      </c>
    </row>
    <row r="16094" customFormat="false" ht="15" hidden="false" customHeight="true" outlineLevel="0" collapsed="false">
      <c r="A16094" s="10" t="n">
        <f aca="false">Einstellungen!$B$5+INT((ROW()-9)/24)</f>
        <v>46636</v>
      </c>
      <c r="B16094" s="11" t="n">
        <f aca="false">MOD(ROW()-9,24)</f>
        <v>5</v>
      </c>
      <c r="C16094" s="12"/>
      <c r="D16094" s="13" t="n">
        <f aca="false">IF(B16094&lt;5,Einstellungen!$B$3,Einstellungen!$B$4)</f>
        <v>29.13</v>
      </c>
      <c r="E16094" s="14" t="str">
        <f aca="false">IF(C16094="","",C16094*D16094/100)</f>
        <v/>
      </c>
      <c r="F16094" s="15" t="str">
        <f aca="false">IF(B16094&lt;5,"Go","Standard")</f>
        <v>Standard</v>
      </c>
    </row>
    <row r="16095" customFormat="false" ht="15" hidden="false" customHeight="true" outlineLevel="0" collapsed="false">
      <c r="A16095" s="10" t="n">
        <f aca="false">Einstellungen!$B$5+INT((ROW()-9)/24)</f>
        <v>46636</v>
      </c>
      <c r="B16095" s="11" t="n">
        <f aca="false">MOD(ROW()-9,24)</f>
        <v>6</v>
      </c>
      <c r="C16095" s="12"/>
      <c r="D16095" s="13" t="n">
        <f aca="false">IF(B16095&lt;5,Einstellungen!$B$3,Einstellungen!$B$4)</f>
        <v>29.13</v>
      </c>
      <c r="E16095" s="14" t="str">
        <f aca="false">IF(C16095="","",C16095*D16095/100)</f>
        <v/>
      </c>
      <c r="F16095" s="15" t="str">
        <f aca="false">IF(B16095&lt;5,"Go","Standard")</f>
        <v>Standard</v>
      </c>
    </row>
    <row r="16096" customFormat="false" ht="15" hidden="false" customHeight="true" outlineLevel="0" collapsed="false">
      <c r="A16096" s="10" t="n">
        <f aca="false">Einstellungen!$B$5+INT((ROW()-9)/24)</f>
        <v>46636</v>
      </c>
      <c r="B16096" s="11" t="n">
        <f aca="false">MOD(ROW()-9,24)</f>
        <v>7</v>
      </c>
      <c r="C16096" s="12"/>
      <c r="D16096" s="13" t="n">
        <f aca="false">IF(B16096&lt;5,Einstellungen!$B$3,Einstellungen!$B$4)</f>
        <v>29.13</v>
      </c>
      <c r="E16096" s="14" t="str">
        <f aca="false">IF(C16096="","",C16096*D16096/100)</f>
        <v/>
      </c>
      <c r="F16096" s="15" t="str">
        <f aca="false">IF(B16096&lt;5,"Go","Standard")</f>
        <v>Standard</v>
      </c>
    </row>
    <row r="16097" customFormat="false" ht="15" hidden="false" customHeight="true" outlineLevel="0" collapsed="false">
      <c r="A16097" s="10" t="n">
        <f aca="false">Einstellungen!$B$5+INT((ROW()-9)/24)</f>
        <v>46636</v>
      </c>
      <c r="B16097" s="11" t="n">
        <f aca="false">MOD(ROW()-9,24)</f>
        <v>8</v>
      </c>
      <c r="C16097" s="12"/>
      <c r="D16097" s="13" t="n">
        <f aca="false">IF(B16097&lt;5,Einstellungen!$B$3,Einstellungen!$B$4)</f>
        <v>29.13</v>
      </c>
      <c r="E16097" s="14" t="str">
        <f aca="false">IF(C16097="","",C16097*D16097/100)</f>
        <v/>
      </c>
      <c r="F16097" s="15" t="str">
        <f aca="false">IF(B16097&lt;5,"Go","Standard")</f>
        <v>Standard</v>
      </c>
    </row>
    <row r="16098" customFormat="false" ht="15" hidden="false" customHeight="true" outlineLevel="0" collapsed="false">
      <c r="A16098" s="10" t="n">
        <f aca="false">Einstellungen!$B$5+INT((ROW()-9)/24)</f>
        <v>46636</v>
      </c>
      <c r="B16098" s="11" t="n">
        <f aca="false">MOD(ROW()-9,24)</f>
        <v>9</v>
      </c>
      <c r="C16098" s="12"/>
      <c r="D16098" s="13" t="n">
        <f aca="false">IF(B16098&lt;5,Einstellungen!$B$3,Einstellungen!$B$4)</f>
        <v>29.13</v>
      </c>
      <c r="E16098" s="14" t="str">
        <f aca="false">IF(C16098="","",C16098*D16098/100)</f>
        <v/>
      </c>
      <c r="F16098" s="15" t="str">
        <f aca="false">IF(B16098&lt;5,"Go","Standard")</f>
        <v>Standard</v>
      </c>
    </row>
    <row r="16099" customFormat="false" ht="15" hidden="false" customHeight="true" outlineLevel="0" collapsed="false">
      <c r="A16099" s="10" t="n">
        <f aca="false">Einstellungen!$B$5+INT((ROW()-9)/24)</f>
        <v>46636</v>
      </c>
      <c r="B16099" s="11" t="n">
        <f aca="false">MOD(ROW()-9,24)</f>
        <v>10</v>
      </c>
      <c r="C16099" s="12"/>
      <c r="D16099" s="13" t="n">
        <f aca="false">IF(B16099&lt;5,Einstellungen!$B$3,Einstellungen!$B$4)</f>
        <v>29.13</v>
      </c>
      <c r="E16099" s="14" t="str">
        <f aca="false">IF(C16099="","",C16099*D16099/100)</f>
        <v/>
      </c>
      <c r="F16099" s="15" t="str">
        <f aca="false">IF(B16099&lt;5,"Go","Standard")</f>
        <v>Standard</v>
      </c>
    </row>
    <row r="16100" customFormat="false" ht="15" hidden="false" customHeight="true" outlineLevel="0" collapsed="false">
      <c r="A16100" s="10" t="n">
        <f aca="false">Einstellungen!$B$5+INT((ROW()-9)/24)</f>
        <v>46636</v>
      </c>
      <c r="B16100" s="11" t="n">
        <f aca="false">MOD(ROW()-9,24)</f>
        <v>11</v>
      </c>
      <c r="C16100" s="12"/>
      <c r="D16100" s="13" t="n">
        <f aca="false">IF(B16100&lt;5,Einstellungen!$B$3,Einstellungen!$B$4)</f>
        <v>29.13</v>
      </c>
      <c r="E16100" s="14" t="str">
        <f aca="false">IF(C16100="","",C16100*D16100/100)</f>
        <v/>
      </c>
      <c r="F16100" s="15" t="str">
        <f aca="false">IF(B16100&lt;5,"Go","Standard")</f>
        <v>Standard</v>
      </c>
    </row>
    <row r="16101" customFormat="false" ht="15" hidden="false" customHeight="true" outlineLevel="0" collapsed="false">
      <c r="A16101" s="10" t="n">
        <f aca="false">Einstellungen!$B$5+INT((ROW()-9)/24)</f>
        <v>46636</v>
      </c>
      <c r="B16101" s="11" t="n">
        <f aca="false">MOD(ROW()-9,24)</f>
        <v>12</v>
      </c>
      <c r="C16101" s="12"/>
      <c r="D16101" s="13" t="n">
        <f aca="false">IF(B16101&lt;5,Einstellungen!$B$3,Einstellungen!$B$4)</f>
        <v>29.13</v>
      </c>
      <c r="E16101" s="14" t="str">
        <f aca="false">IF(C16101="","",C16101*D16101/100)</f>
        <v/>
      </c>
      <c r="F16101" s="15" t="str">
        <f aca="false">IF(B16101&lt;5,"Go","Standard")</f>
        <v>Standard</v>
      </c>
    </row>
    <row r="16102" customFormat="false" ht="15" hidden="false" customHeight="true" outlineLevel="0" collapsed="false">
      <c r="A16102" s="10" t="n">
        <f aca="false">Einstellungen!$B$5+INT((ROW()-9)/24)</f>
        <v>46636</v>
      </c>
      <c r="B16102" s="11" t="n">
        <f aca="false">MOD(ROW()-9,24)</f>
        <v>13</v>
      </c>
      <c r="C16102" s="12"/>
      <c r="D16102" s="13" t="n">
        <f aca="false">IF(B16102&lt;5,Einstellungen!$B$3,Einstellungen!$B$4)</f>
        <v>29.13</v>
      </c>
      <c r="E16102" s="14" t="str">
        <f aca="false">IF(C16102="","",C16102*D16102/100)</f>
        <v/>
      </c>
      <c r="F16102" s="15" t="str">
        <f aca="false">IF(B16102&lt;5,"Go","Standard")</f>
        <v>Standard</v>
      </c>
    </row>
    <row r="16103" customFormat="false" ht="15" hidden="false" customHeight="true" outlineLevel="0" collapsed="false">
      <c r="A16103" s="10" t="n">
        <f aca="false">Einstellungen!$B$5+INT((ROW()-9)/24)</f>
        <v>46636</v>
      </c>
      <c r="B16103" s="11" t="n">
        <f aca="false">MOD(ROW()-9,24)</f>
        <v>14</v>
      </c>
      <c r="C16103" s="12"/>
      <c r="D16103" s="13" t="n">
        <f aca="false">IF(B16103&lt;5,Einstellungen!$B$3,Einstellungen!$B$4)</f>
        <v>29.13</v>
      </c>
      <c r="E16103" s="14" t="str">
        <f aca="false">IF(C16103="","",C16103*D16103/100)</f>
        <v/>
      </c>
      <c r="F16103" s="15" t="str">
        <f aca="false">IF(B16103&lt;5,"Go","Standard")</f>
        <v>Standard</v>
      </c>
    </row>
    <row r="16104" customFormat="false" ht="15" hidden="false" customHeight="true" outlineLevel="0" collapsed="false">
      <c r="A16104" s="10" t="n">
        <f aca="false">Einstellungen!$B$5+INT((ROW()-9)/24)</f>
        <v>46636</v>
      </c>
      <c r="B16104" s="11" t="n">
        <f aca="false">MOD(ROW()-9,24)</f>
        <v>15</v>
      </c>
      <c r="C16104" s="12"/>
      <c r="D16104" s="13" t="n">
        <f aca="false">IF(B16104&lt;5,Einstellungen!$B$3,Einstellungen!$B$4)</f>
        <v>29.13</v>
      </c>
      <c r="E16104" s="14" t="str">
        <f aca="false">IF(C16104="","",C16104*D16104/100)</f>
        <v/>
      </c>
      <c r="F16104" s="15" t="str">
        <f aca="false">IF(B16104&lt;5,"Go","Standard")</f>
        <v>Standard</v>
      </c>
    </row>
    <row r="16105" customFormat="false" ht="15" hidden="false" customHeight="true" outlineLevel="0" collapsed="false">
      <c r="A16105" s="10" t="n">
        <f aca="false">Einstellungen!$B$5+INT((ROW()-9)/24)</f>
        <v>46636</v>
      </c>
      <c r="B16105" s="11" t="n">
        <f aca="false">MOD(ROW()-9,24)</f>
        <v>16</v>
      </c>
      <c r="C16105" s="12"/>
      <c r="D16105" s="13" t="n">
        <f aca="false">IF(B16105&lt;5,Einstellungen!$B$3,Einstellungen!$B$4)</f>
        <v>29.13</v>
      </c>
      <c r="E16105" s="14" t="str">
        <f aca="false">IF(C16105="","",C16105*D16105/100)</f>
        <v/>
      </c>
      <c r="F16105" s="15" t="str">
        <f aca="false">IF(B16105&lt;5,"Go","Standard")</f>
        <v>Standard</v>
      </c>
    </row>
    <row r="16106" customFormat="false" ht="15" hidden="false" customHeight="true" outlineLevel="0" collapsed="false">
      <c r="A16106" s="10" t="n">
        <f aca="false">Einstellungen!$B$5+INT((ROW()-9)/24)</f>
        <v>46636</v>
      </c>
      <c r="B16106" s="11" t="n">
        <f aca="false">MOD(ROW()-9,24)</f>
        <v>17</v>
      </c>
      <c r="C16106" s="12"/>
      <c r="D16106" s="13" t="n">
        <f aca="false">IF(B16106&lt;5,Einstellungen!$B$3,Einstellungen!$B$4)</f>
        <v>29.13</v>
      </c>
      <c r="E16106" s="14" t="str">
        <f aca="false">IF(C16106="","",C16106*D16106/100)</f>
        <v/>
      </c>
      <c r="F16106" s="15" t="str">
        <f aca="false">IF(B16106&lt;5,"Go","Standard")</f>
        <v>Standard</v>
      </c>
    </row>
    <row r="16107" customFormat="false" ht="15" hidden="false" customHeight="true" outlineLevel="0" collapsed="false">
      <c r="A16107" s="10" t="n">
        <f aca="false">Einstellungen!$B$5+INT((ROW()-9)/24)</f>
        <v>46636</v>
      </c>
      <c r="B16107" s="11" t="n">
        <f aca="false">MOD(ROW()-9,24)</f>
        <v>18</v>
      </c>
      <c r="C16107" s="12"/>
      <c r="D16107" s="13" t="n">
        <f aca="false">IF(B16107&lt;5,Einstellungen!$B$3,Einstellungen!$B$4)</f>
        <v>29.13</v>
      </c>
      <c r="E16107" s="14" t="str">
        <f aca="false">IF(C16107="","",C16107*D16107/100)</f>
        <v/>
      </c>
      <c r="F16107" s="15" t="str">
        <f aca="false">IF(B16107&lt;5,"Go","Standard")</f>
        <v>Standard</v>
      </c>
    </row>
    <row r="16108" customFormat="false" ht="15" hidden="false" customHeight="true" outlineLevel="0" collapsed="false">
      <c r="A16108" s="10" t="n">
        <f aca="false">Einstellungen!$B$5+INT((ROW()-9)/24)</f>
        <v>46636</v>
      </c>
      <c r="B16108" s="11" t="n">
        <f aca="false">MOD(ROW()-9,24)</f>
        <v>19</v>
      </c>
      <c r="C16108" s="12"/>
      <c r="D16108" s="13" t="n">
        <f aca="false">IF(B16108&lt;5,Einstellungen!$B$3,Einstellungen!$B$4)</f>
        <v>29.13</v>
      </c>
      <c r="E16108" s="14" t="str">
        <f aca="false">IF(C16108="","",C16108*D16108/100)</f>
        <v/>
      </c>
      <c r="F16108" s="15" t="str">
        <f aca="false">IF(B16108&lt;5,"Go","Standard")</f>
        <v>Standard</v>
      </c>
    </row>
    <row r="16109" customFormat="false" ht="15" hidden="false" customHeight="true" outlineLevel="0" collapsed="false">
      <c r="A16109" s="10" t="n">
        <f aca="false">Einstellungen!$B$5+INT((ROW()-9)/24)</f>
        <v>46636</v>
      </c>
      <c r="B16109" s="11" t="n">
        <f aca="false">MOD(ROW()-9,24)</f>
        <v>20</v>
      </c>
      <c r="C16109" s="12"/>
      <c r="D16109" s="13" t="n">
        <f aca="false">IF(B16109&lt;5,Einstellungen!$B$3,Einstellungen!$B$4)</f>
        <v>29.13</v>
      </c>
      <c r="E16109" s="14" t="str">
        <f aca="false">IF(C16109="","",C16109*D16109/100)</f>
        <v/>
      </c>
      <c r="F16109" s="15" t="str">
        <f aca="false">IF(B16109&lt;5,"Go","Standard")</f>
        <v>Standard</v>
      </c>
    </row>
    <row r="16110" customFormat="false" ht="15" hidden="false" customHeight="true" outlineLevel="0" collapsed="false">
      <c r="A16110" s="10" t="n">
        <f aca="false">Einstellungen!$B$5+INT((ROW()-9)/24)</f>
        <v>46636</v>
      </c>
      <c r="B16110" s="11" t="n">
        <f aca="false">MOD(ROW()-9,24)</f>
        <v>21</v>
      </c>
      <c r="C16110" s="12"/>
      <c r="D16110" s="13" t="n">
        <f aca="false">IF(B16110&lt;5,Einstellungen!$B$3,Einstellungen!$B$4)</f>
        <v>29.13</v>
      </c>
      <c r="E16110" s="14" t="str">
        <f aca="false">IF(C16110="","",C16110*D16110/100)</f>
        <v/>
      </c>
      <c r="F16110" s="15" t="str">
        <f aca="false">IF(B16110&lt;5,"Go","Standard")</f>
        <v>Standard</v>
      </c>
    </row>
    <row r="16111" customFormat="false" ht="15" hidden="false" customHeight="true" outlineLevel="0" collapsed="false">
      <c r="A16111" s="10" t="n">
        <f aca="false">Einstellungen!$B$5+INT((ROW()-9)/24)</f>
        <v>46636</v>
      </c>
      <c r="B16111" s="11" t="n">
        <f aca="false">MOD(ROW()-9,24)</f>
        <v>22</v>
      </c>
      <c r="C16111" s="12"/>
      <c r="D16111" s="13" t="n">
        <f aca="false">IF(B16111&lt;5,Einstellungen!$B$3,Einstellungen!$B$4)</f>
        <v>29.13</v>
      </c>
      <c r="E16111" s="14" t="str">
        <f aca="false">IF(C16111="","",C16111*D16111/100)</f>
        <v/>
      </c>
      <c r="F16111" s="15" t="str">
        <f aca="false">IF(B16111&lt;5,"Go","Standard")</f>
        <v>Standard</v>
      </c>
    </row>
    <row r="16112" customFormat="false" ht="15" hidden="false" customHeight="true" outlineLevel="0" collapsed="false">
      <c r="A16112" s="10" t="n">
        <f aca="false">Einstellungen!$B$5+INT((ROW()-9)/24)</f>
        <v>46636</v>
      </c>
      <c r="B16112" s="11" t="n">
        <f aca="false">MOD(ROW()-9,24)</f>
        <v>23</v>
      </c>
      <c r="C16112" s="12"/>
      <c r="D16112" s="13" t="n">
        <f aca="false">IF(B16112&lt;5,Einstellungen!$B$3,Einstellungen!$B$4)</f>
        <v>29.13</v>
      </c>
      <c r="E16112" s="14" t="str">
        <f aca="false">IF(C16112="","",C16112*D16112/100)</f>
        <v/>
      </c>
      <c r="F16112" s="15" t="str">
        <f aca="false">IF(B16112&lt;5,"Go","Standard")</f>
        <v>Standard</v>
      </c>
    </row>
    <row r="16113" customFormat="false" ht="15" hidden="false" customHeight="true" outlineLevel="0" collapsed="false">
      <c r="A16113" s="10" t="n">
        <f aca="false">Einstellungen!$B$5+INT((ROW()-9)/24)</f>
        <v>46637</v>
      </c>
      <c r="B16113" s="11" t="n">
        <f aca="false">MOD(ROW()-9,24)</f>
        <v>0</v>
      </c>
      <c r="C16113" s="12"/>
      <c r="D16113" s="13" t="n">
        <f aca="false">IF(B16113&lt;5,Einstellungen!$B$3,Einstellungen!$B$4)</f>
        <v>15.92</v>
      </c>
      <c r="E16113" s="14" t="str">
        <f aca="false">IF(C16113="","",C16113*D16113/100)</f>
        <v/>
      </c>
      <c r="F16113" s="15" t="str">
        <f aca="false">IF(B16113&lt;5,"Go","Standard")</f>
        <v>Go</v>
      </c>
    </row>
    <row r="16114" customFormat="false" ht="15" hidden="false" customHeight="true" outlineLevel="0" collapsed="false">
      <c r="A16114" s="10" t="n">
        <f aca="false">Einstellungen!$B$5+INT((ROW()-9)/24)</f>
        <v>46637</v>
      </c>
      <c r="B16114" s="11" t="n">
        <f aca="false">MOD(ROW()-9,24)</f>
        <v>1</v>
      </c>
      <c r="C16114" s="12"/>
      <c r="D16114" s="13" t="n">
        <f aca="false">IF(B16114&lt;5,Einstellungen!$B$3,Einstellungen!$B$4)</f>
        <v>15.92</v>
      </c>
      <c r="E16114" s="14" t="str">
        <f aca="false">IF(C16114="","",C16114*D16114/100)</f>
        <v/>
      </c>
      <c r="F16114" s="15" t="str">
        <f aca="false">IF(B16114&lt;5,"Go","Standard")</f>
        <v>Go</v>
      </c>
    </row>
    <row r="16115" customFormat="false" ht="15" hidden="false" customHeight="true" outlineLevel="0" collapsed="false">
      <c r="A16115" s="10" t="n">
        <f aca="false">Einstellungen!$B$5+INT((ROW()-9)/24)</f>
        <v>46637</v>
      </c>
      <c r="B16115" s="11" t="n">
        <f aca="false">MOD(ROW()-9,24)</f>
        <v>2</v>
      </c>
      <c r="C16115" s="12"/>
      <c r="D16115" s="13" t="n">
        <f aca="false">IF(B16115&lt;5,Einstellungen!$B$3,Einstellungen!$B$4)</f>
        <v>15.92</v>
      </c>
      <c r="E16115" s="14" t="str">
        <f aca="false">IF(C16115="","",C16115*D16115/100)</f>
        <v/>
      </c>
      <c r="F16115" s="15" t="str">
        <f aca="false">IF(B16115&lt;5,"Go","Standard")</f>
        <v>Go</v>
      </c>
    </row>
    <row r="16116" customFormat="false" ht="15" hidden="false" customHeight="true" outlineLevel="0" collapsed="false">
      <c r="A16116" s="10" t="n">
        <f aca="false">Einstellungen!$B$5+INT((ROW()-9)/24)</f>
        <v>46637</v>
      </c>
      <c r="B16116" s="11" t="n">
        <f aca="false">MOD(ROW()-9,24)</f>
        <v>3</v>
      </c>
      <c r="C16116" s="12"/>
      <c r="D16116" s="13" t="n">
        <f aca="false">IF(B16116&lt;5,Einstellungen!$B$3,Einstellungen!$B$4)</f>
        <v>15.92</v>
      </c>
      <c r="E16116" s="14" t="str">
        <f aca="false">IF(C16116="","",C16116*D16116/100)</f>
        <v/>
      </c>
      <c r="F16116" s="15" t="str">
        <f aca="false">IF(B16116&lt;5,"Go","Standard")</f>
        <v>Go</v>
      </c>
    </row>
    <row r="16117" customFormat="false" ht="15" hidden="false" customHeight="true" outlineLevel="0" collapsed="false">
      <c r="A16117" s="10" t="n">
        <f aca="false">Einstellungen!$B$5+INT((ROW()-9)/24)</f>
        <v>46637</v>
      </c>
      <c r="B16117" s="11" t="n">
        <f aca="false">MOD(ROW()-9,24)</f>
        <v>4</v>
      </c>
      <c r="C16117" s="12"/>
      <c r="D16117" s="13" t="n">
        <f aca="false">IF(B16117&lt;5,Einstellungen!$B$3,Einstellungen!$B$4)</f>
        <v>15.92</v>
      </c>
      <c r="E16117" s="14" t="str">
        <f aca="false">IF(C16117="","",C16117*D16117/100)</f>
        <v/>
      </c>
      <c r="F16117" s="15" t="str">
        <f aca="false">IF(B16117&lt;5,"Go","Standard")</f>
        <v>Go</v>
      </c>
    </row>
    <row r="16118" customFormat="false" ht="15" hidden="false" customHeight="true" outlineLevel="0" collapsed="false">
      <c r="A16118" s="10" t="n">
        <f aca="false">Einstellungen!$B$5+INT((ROW()-9)/24)</f>
        <v>46637</v>
      </c>
      <c r="B16118" s="11" t="n">
        <f aca="false">MOD(ROW()-9,24)</f>
        <v>5</v>
      </c>
      <c r="C16118" s="12"/>
      <c r="D16118" s="13" t="n">
        <f aca="false">IF(B16118&lt;5,Einstellungen!$B$3,Einstellungen!$B$4)</f>
        <v>29.13</v>
      </c>
      <c r="E16118" s="14" t="str">
        <f aca="false">IF(C16118="","",C16118*D16118/100)</f>
        <v/>
      </c>
      <c r="F16118" s="15" t="str">
        <f aca="false">IF(B16118&lt;5,"Go","Standard")</f>
        <v>Standard</v>
      </c>
    </row>
    <row r="16119" customFormat="false" ht="15" hidden="false" customHeight="true" outlineLevel="0" collapsed="false">
      <c r="A16119" s="10" t="n">
        <f aca="false">Einstellungen!$B$5+INT((ROW()-9)/24)</f>
        <v>46637</v>
      </c>
      <c r="B16119" s="11" t="n">
        <f aca="false">MOD(ROW()-9,24)</f>
        <v>6</v>
      </c>
      <c r="C16119" s="12"/>
      <c r="D16119" s="13" t="n">
        <f aca="false">IF(B16119&lt;5,Einstellungen!$B$3,Einstellungen!$B$4)</f>
        <v>29.13</v>
      </c>
      <c r="E16119" s="14" t="str">
        <f aca="false">IF(C16119="","",C16119*D16119/100)</f>
        <v/>
      </c>
      <c r="F16119" s="15" t="str">
        <f aca="false">IF(B16119&lt;5,"Go","Standard")</f>
        <v>Standard</v>
      </c>
    </row>
    <row r="16120" customFormat="false" ht="15" hidden="false" customHeight="true" outlineLevel="0" collapsed="false">
      <c r="A16120" s="10" t="n">
        <f aca="false">Einstellungen!$B$5+INT((ROW()-9)/24)</f>
        <v>46637</v>
      </c>
      <c r="B16120" s="11" t="n">
        <f aca="false">MOD(ROW()-9,24)</f>
        <v>7</v>
      </c>
      <c r="C16120" s="12"/>
      <c r="D16120" s="13" t="n">
        <f aca="false">IF(B16120&lt;5,Einstellungen!$B$3,Einstellungen!$B$4)</f>
        <v>29.13</v>
      </c>
      <c r="E16120" s="14" t="str">
        <f aca="false">IF(C16120="","",C16120*D16120/100)</f>
        <v/>
      </c>
      <c r="F16120" s="15" t="str">
        <f aca="false">IF(B16120&lt;5,"Go","Standard")</f>
        <v>Standard</v>
      </c>
    </row>
    <row r="16121" customFormat="false" ht="15" hidden="false" customHeight="true" outlineLevel="0" collapsed="false">
      <c r="A16121" s="10" t="n">
        <f aca="false">Einstellungen!$B$5+INT((ROW()-9)/24)</f>
        <v>46637</v>
      </c>
      <c r="B16121" s="11" t="n">
        <f aca="false">MOD(ROW()-9,24)</f>
        <v>8</v>
      </c>
      <c r="C16121" s="12"/>
      <c r="D16121" s="13" t="n">
        <f aca="false">IF(B16121&lt;5,Einstellungen!$B$3,Einstellungen!$B$4)</f>
        <v>29.13</v>
      </c>
      <c r="E16121" s="14" t="str">
        <f aca="false">IF(C16121="","",C16121*D16121/100)</f>
        <v/>
      </c>
      <c r="F16121" s="15" t="str">
        <f aca="false">IF(B16121&lt;5,"Go","Standard")</f>
        <v>Standard</v>
      </c>
    </row>
    <row r="16122" customFormat="false" ht="15" hidden="false" customHeight="true" outlineLevel="0" collapsed="false">
      <c r="A16122" s="10" t="n">
        <f aca="false">Einstellungen!$B$5+INT((ROW()-9)/24)</f>
        <v>46637</v>
      </c>
      <c r="B16122" s="11" t="n">
        <f aca="false">MOD(ROW()-9,24)</f>
        <v>9</v>
      </c>
      <c r="C16122" s="12"/>
      <c r="D16122" s="13" t="n">
        <f aca="false">IF(B16122&lt;5,Einstellungen!$B$3,Einstellungen!$B$4)</f>
        <v>29.13</v>
      </c>
      <c r="E16122" s="14" t="str">
        <f aca="false">IF(C16122="","",C16122*D16122/100)</f>
        <v/>
      </c>
      <c r="F16122" s="15" t="str">
        <f aca="false">IF(B16122&lt;5,"Go","Standard")</f>
        <v>Standard</v>
      </c>
    </row>
    <row r="16123" customFormat="false" ht="15" hidden="false" customHeight="true" outlineLevel="0" collapsed="false">
      <c r="A16123" s="10" t="n">
        <f aca="false">Einstellungen!$B$5+INT((ROW()-9)/24)</f>
        <v>46637</v>
      </c>
      <c r="B16123" s="11" t="n">
        <f aca="false">MOD(ROW()-9,24)</f>
        <v>10</v>
      </c>
      <c r="C16123" s="12"/>
      <c r="D16123" s="13" t="n">
        <f aca="false">IF(B16123&lt;5,Einstellungen!$B$3,Einstellungen!$B$4)</f>
        <v>29.13</v>
      </c>
      <c r="E16123" s="14" t="str">
        <f aca="false">IF(C16123="","",C16123*D16123/100)</f>
        <v/>
      </c>
      <c r="F16123" s="15" t="str">
        <f aca="false">IF(B16123&lt;5,"Go","Standard")</f>
        <v>Standard</v>
      </c>
    </row>
    <row r="16124" customFormat="false" ht="15" hidden="false" customHeight="true" outlineLevel="0" collapsed="false">
      <c r="A16124" s="10" t="n">
        <f aca="false">Einstellungen!$B$5+INT((ROW()-9)/24)</f>
        <v>46637</v>
      </c>
      <c r="B16124" s="11" t="n">
        <f aca="false">MOD(ROW()-9,24)</f>
        <v>11</v>
      </c>
      <c r="C16124" s="12"/>
      <c r="D16124" s="13" t="n">
        <f aca="false">IF(B16124&lt;5,Einstellungen!$B$3,Einstellungen!$B$4)</f>
        <v>29.13</v>
      </c>
      <c r="E16124" s="14" t="str">
        <f aca="false">IF(C16124="","",C16124*D16124/100)</f>
        <v/>
      </c>
      <c r="F16124" s="15" t="str">
        <f aca="false">IF(B16124&lt;5,"Go","Standard")</f>
        <v>Standard</v>
      </c>
    </row>
    <row r="16125" customFormat="false" ht="15" hidden="false" customHeight="true" outlineLevel="0" collapsed="false">
      <c r="A16125" s="10" t="n">
        <f aca="false">Einstellungen!$B$5+INT((ROW()-9)/24)</f>
        <v>46637</v>
      </c>
      <c r="B16125" s="11" t="n">
        <f aca="false">MOD(ROW()-9,24)</f>
        <v>12</v>
      </c>
      <c r="C16125" s="12"/>
      <c r="D16125" s="13" t="n">
        <f aca="false">IF(B16125&lt;5,Einstellungen!$B$3,Einstellungen!$B$4)</f>
        <v>29.13</v>
      </c>
      <c r="E16125" s="14" t="str">
        <f aca="false">IF(C16125="","",C16125*D16125/100)</f>
        <v/>
      </c>
      <c r="F16125" s="15" t="str">
        <f aca="false">IF(B16125&lt;5,"Go","Standard")</f>
        <v>Standard</v>
      </c>
    </row>
    <row r="16126" customFormat="false" ht="15" hidden="false" customHeight="true" outlineLevel="0" collapsed="false">
      <c r="A16126" s="10" t="n">
        <f aca="false">Einstellungen!$B$5+INT((ROW()-9)/24)</f>
        <v>46637</v>
      </c>
      <c r="B16126" s="11" t="n">
        <f aca="false">MOD(ROW()-9,24)</f>
        <v>13</v>
      </c>
      <c r="C16126" s="12"/>
      <c r="D16126" s="13" t="n">
        <f aca="false">IF(B16126&lt;5,Einstellungen!$B$3,Einstellungen!$B$4)</f>
        <v>29.13</v>
      </c>
      <c r="E16126" s="14" t="str">
        <f aca="false">IF(C16126="","",C16126*D16126/100)</f>
        <v/>
      </c>
      <c r="F16126" s="15" t="str">
        <f aca="false">IF(B16126&lt;5,"Go","Standard")</f>
        <v>Standard</v>
      </c>
    </row>
    <row r="16127" customFormat="false" ht="15" hidden="false" customHeight="true" outlineLevel="0" collapsed="false">
      <c r="A16127" s="10" t="n">
        <f aca="false">Einstellungen!$B$5+INT((ROW()-9)/24)</f>
        <v>46637</v>
      </c>
      <c r="B16127" s="11" t="n">
        <f aca="false">MOD(ROW()-9,24)</f>
        <v>14</v>
      </c>
      <c r="C16127" s="12"/>
      <c r="D16127" s="13" t="n">
        <f aca="false">IF(B16127&lt;5,Einstellungen!$B$3,Einstellungen!$B$4)</f>
        <v>29.13</v>
      </c>
      <c r="E16127" s="14" t="str">
        <f aca="false">IF(C16127="","",C16127*D16127/100)</f>
        <v/>
      </c>
      <c r="F16127" s="15" t="str">
        <f aca="false">IF(B16127&lt;5,"Go","Standard")</f>
        <v>Standard</v>
      </c>
    </row>
    <row r="16128" customFormat="false" ht="15" hidden="false" customHeight="true" outlineLevel="0" collapsed="false">
      <c r="A16128" s="10" t="n">
        <f aca="false">Einstellungen!$B$5+INT((ROW()-9)/24)</f>
        <v>46637</v>
      </c>
      <c r="B16128" s="11" t="n">
        <f aca="false">MOD(ROW()-9,24)</f>
        <v>15</v>
      </c>
      <c r="C16128" s="12"/>
      <c r="D16128" s="13" t="n">
        <f aca="false">IF(B16128&lt;5,Einstellungen!$B$3,Einstellungen!$B$4)</f>
        <v>29.13</v>
      </c>
      <c r="E16128" s="14" t="str">
        <f aca="false">IF(C16128="","",C16128*D16128/100)</f>
        <v/>
      </c>
      <c r="F16128" s="15" t="str">
        <f aca="false">IF(B16128&lt;5,"Go","Standard")</f>
        <v>Standard</v>
      </c>
    </row>
    <row r="16129" customFormat="false" ht="15" hidden="false" customHeight="true" outlineLevel="0" collapsed="false">
      <c r="A16129" s="10" t="n">
        <f aca="false">Einstellungen!$B$5+INT((ROW()-9)/24)</f>
        <v>46637</v>
      </c>
      <c r="B16129" s="11" t="n">
        <f aca="false">MOD(ROW()-9,24)</f>
        <v>16</v>
      </c>
      <c r="C16129" s="12"/>
      <c r="D16129" s="13" t="n">
        <f aca="false">IF(B16129&lt;5,Einstellungen!$B$3,Einstellungen!$B$4)</f>
        <v>29.13</v>
      </c>
      <c r="E16129" s="14" t="str">
        <f aca="false">IF(C16129="","",C16129*D16129/100)</f>
        <v/>
      </c>
      <c r="F16129" s="15" t="str">
        <f aca="false">IF(B16129&lt;5,"Go","Standard")</f>
        <v>Standard</v>
      </c>
    </row>
    <row r="16130" customFormat="false" ht="15" hidden="false" customHeight="true" outlineLevel="0" collapsed="false">
      <c r="A16130" s="10" t="n">
        <f aca="false">Einstellungen!$B$5+INT((ROW()-9)/24)</f>
        <v>46637</v>
      </c>
      <c r="B16130" s="11" t="n">
        <f aca="false">MOD(ROW()-9,24)</f>
        <v>17</v>
      </c>
      <c r="C16130" s="12"/>
      <c r="D16130" s="13" t="n">
        <f aca="false">IF(B16130&lt;5,Einstellungen!$B$3,Einstellungen!$B$4)</f>
        <v>29.13</v>
      </c>
      <c r="E16130" s="14" t="str">
        <f aca="false">IF(C16130="","",C16130*D16130/100)</f>
        <v/>
      </c>
      <c r="F16130" s="15" t="str">
        <f aca="false">IF(B16130&lt;5,"Go","Standard")</f>
        <v>Standard</v>
      </c>
    </row>
    <row r="16131" customFormat="false" ht="15" hidden="false" customHeight="true" outlineLevel="0" collapsed="false">
      <c r="A16131" s="10" t="n">
        <f aca="false">Einstellungen!$B$5+INT((ROW()-9)/24)</f>
        <v>46637</v>
      </c>
      <c r="B16131" s="11" t="n">
        <f aca="false">MOD(ROW()-9,24)</f>
        <v>18</v>
      </c>
      <c r="C16131" s="12"/>
      <c r="D16131" s="13" t="n">
        <f aca="false">IF(B16131&lt;5,Einstellungen!$B$3,Einstellungen!$B$4)</f>
        <v>29.13</v>
      </c>
      <c r="E16131" s="14" t="str">
        <f aca="false">IF(C16131="","",C16131*D16131/100)</f>
        <v/>
      </c>
      <c r="F16131" s="15" t="str">
        <f aca="false">IF(B16131&lt;5,"Go","Standard")</f>
        <v>Standard</v>
      </c>
    </row>
    <row r="16132" customFormat="false" ht="15" hidden="false" customHeight="true" outlineLevel="0" collapsed="false">
      <c r="A16132" s="10" t="n">
        <f aca="false">Einstellungen!$B$5+INT((ROW()-9)/24)</f>
        <v>46637</v>
      </c>
      <c r="B16132" s="11" t="n">
        <f aca="false">MOD(ROW()-9,24)</f>
        <v>19</v>
      </c>
      <c r="C16132" s="12"/>
      <c r="D16132" s="13" t="n">
        <f aca="false">IF(B16132&lt;5,Einstellungen!$B$3,Einstellungen!$B$4)</f>
        <v>29.13</v>
      </c>
      <c r="E16132" s="14" t="str">
        <f aca="false">IF(C16132="","",C16132*D16132/100)</f>
        <v/>
      </c>
      <c r="F16132" s="15" t="str">
        <f aca="false">IF(B16132&lt;5,"Go","Standard")</f>
        <v>Standard</v>
      </c>
    </row>
    <row r="16133" customFormat="false" ht="15" hidden="false" customHeight="true" outlineLevel="0" collapsed="false">
      <c r="A16133" s="10" t="n">
        <f aca="false">Einstellungen!$B$5+INT((ROW()-9)/24)</f>
        <v>46637</v>
      </c>
      <c r="B16133" s="11" t="n">
        <f aca="false">MOD(ROW()-9,24)</f>
        <v>20</v>
      </c>
      <c r="C16133" s="12"/>
      <c r="D16133" s="13" t="n">
        <f aca="false">IF(B16133&lt;5,Einstellungen!$B$3,Einstellungen!$B$4)</f>
        <v>29.13</v>
      </c>
      <c r="E16133" s="14" t="str">
        <f aca="false">IF(C16133="","",C16133*D16133/100)</f>
        <v/>
      </c>
      <c r="F16133" s="15" t="str">
        <f aca="false">IF(B16133&lt;5,"Go","Standard")</f>
        <v>Standard</v>
      </c>
    </row>
    <row r="16134" customFormat="false" ht="15" hidden="false" customHeight="true" outlineLevel="0" collapsed="false">
      <c r="A16134" s="10" t="n">
        <f aca="false">Einstellungen!$B$5+INT((ROW()-9)/24)</f>
        <v>46637</v>
      </c>
      <c r="B16134" s="11" t="n">
        <f aca="false">MOD(ROW()-9,24)</f>
        <v>21</v>
      </c>
      <c r="C16134" s="12"/>
      <c r="D16134" s="13" t="n">
        <f aca="false">IF(B16134&lt;5,Einstellungen!$B$3,Einstellungen!$B$4)</f>
        <v>29.13</v>
      </c>
      <c r="E16134" s="14" t="str">
        <f aca="false">IF(C16134="","",C16134*D16134/100)</f>
        <v/>
      </c>
      <c r="F16134" s="15" t="str">
        <f aca="false">IF(B16134&lt;5,"Go","Standard")</f>
        <v>Standard</v>
      </c>
    </row>
    <row r="16135" customFormat="false" ht="15" hidden="false" customHeight="true" outlineLevel="0" collapsed="false">
      <c r="A16135" s="10" t="n">
        <f aca="false">Einstellungen!$B$5+INT((ROW()-9)/24)</f>
        <v>46637</v>
      </c>
      <c r="B16135" s="11" t="n">
        <f aca="false">MOD(ROW()-9,24)</f>
        <v>22</v>
      </c>
      <c r="C16135" s="12"/>
      <c r="D16135" s="13" t="n">
        <f aca="false">IF(B16135&lt;5,Einstellungen!$B$3,Einstellungen!$B$4)</f>
        <v>29.13</v>
      </c>
      <c r="E16135" s="14" t="str">
        <f aca="false">IF(C16135="","",C16135*D16135/100)</f>
        <v/>
      </c>
      <c r="F16135" s="15" t="str">
        <f aca="false">IF(B16135&lt;5,"Go","Standard")</f>
        <v>Standard</v>
      </c>
    </row>
    <row r="16136" customFormat="false" ht="15" hidden="false" customHeight="true" outlineLevel="0" collapsed="false">
      <c r="A16136" s="10" t="n">
        <f aca="false">Einstellungen!$B$5+INT((ROW()-9)/24)</f>
        <v>46637</v>
      </c>
      <c r="B16136" s="11" t="n">
        <f aca="false">MOD(ROW()-9,24)</f>
        <v>23</v>
      </c>
      <c r="C16136" s="12"/>
      <c r="D16136" s="13" t="n">
        <f aca="false">IF(B16136&lt;5,Einstellungen!$B$3,Einstellungen!$B$4)</f>
        <v>29.13</v>
      </c>
      <c r="E16136" s="14" t="str">
        <f aca="false">IF(C16136="","",C16136*D16136/100)</f>
        <v/>
      </c>
      <c r="F16136" s="15" t="str">
        <f aca="false">IF(B16136&lt;5,"Go","Standard")</f>
        <v>Standard</v>
      </c>
    </row>
    <row r="16137" customFormat="false" ht="15" hidden="false" customHeight="true" outlineLevel="0" collapsed="false">
      <c r="A16137" s="10" t="n">
        <f aca="false">Einstellungen!$B$5+INT((ROW()-9)/24)</f>
        <v>46638</v>
      </c>
      <c r="B16137" s="11" t="n">
        <f aca="false">MOD(ROW()-9,24)</f>
        <v>0</v>
      </c>
      <c r="C16137" s="12"/>
      <c r="D16137" s="13" t="n">
        <f aca="false">IF(B16137&lt;5,Einstellungen!$B$3,Einstellungen!$B$4)</f>
        <v>15.92</v>
      </c>
      <c r="E16137" s="14" t="str">
        <f aca="false">IF(C16137="","",C16137*D16137/100)</f>
        <v/>
      </c>
      <c r="F16137" s="15" t="str">
        <f aca="false">IF(B16137&lt;5,"Go","Standard")</f>
        <v>Go</v>
      </c>
    </row>
    <row r="16138" customFormat="false" ht="15" hidden="false" customHeight="true" outlineLevel="0" collapsed="false">
      <c r="A16138" s="10" t="n">
        <f aca="false">Einstellungen!$B$5+INT((ROW()-9)/24)</f>
        <v>46638</v>
      </c>
      <c r="B16138" s="11" t="n">
        <f aca="false">MOD(ROW()-9,24)</f>
        <v>1</v>
      </c>
      <c r="C16138" s="12"/>
      <c r="D16138" s="13" t="n">
        <f aca="false">IF(B16138&lt;5,Einstellungen!$B$3,Einstellungen!$B$4)</f>
        <v>15.92</v>
      </c>
      <c r="E16138" s="14" t="str">
        <f aca="false">IF(C16138="","",C16138*D16138/100)</f>
        <v/>
      </c>
      <c r="F16138" s="15" t="str">
        <f aca="false">IF(B16138&lt;5,"Go","Standard")</f>
        <v>Go</v>
      </c>
    </row>
    <row r="16139" customFormat="false" ht="15" hidden="false" customHeight="true" outlineLevel="0" collapsed="false">
      <c r="A16139" s="10" t="n">
        <f aca="false">Einstellungen!$B$5+INT((ROW()-9)/24)</f>
        <v>46638</v>
      </c>
      <c r="B16139" s="11" t="n">
        <f aca="false">MOD(ROW()-9,24)</f>
        <v>2</v>
      </c>
      <c r="C16139" s="12"/>
      <c r="D16139" s="13" t="n">
        <f aca="false">IF(B16139&lt;5,Einstellungen!$B$3,Einstellungen!$B$4)</f>
        <v>15.92</v>
      </c>
      <c r="E16139" s="14" t="str">
        <f aca="false">IF(C16139="","",C16139*D16139/100)</f>
        <v/>
      </c>
      <c r="F16139" s="15" t="str">
        <f aca="false">IF(B16139&lt;5,"Go","Standard")</f>
        <v>Go</v>
      </c>
    </row>
    <row r="16140" customFormat="false" ht="15" hidden="false" customHeight="true" outlineLevel="0" collapsed="false">
      <c r="A16140" s="10" t="n">
        <f aca="false">Einstellungen!$B$5+INT((ROW()-9)/24)</f>
        <v>46638</v>
      </c>
      <c r="B16140" s="11" t="n">
        <f aca="false">MOD(ROW()-9,24)</f>
        <v>3</v>
      </c>
      <c r="C16140" s="12"/>
      <c r="D16140" s="13" t="n">
        <f aca="false">IF(B16140&lt;5,Einstellungen!$B$3,Einstellungen!$B$4)</f>
        <v>15.92</v>
      </c>
      <c r="E16140" s="14" t="str">
        <f aca="false">IF(C16140="","",C16140*D16140/100)</f>
        <v/>
      </c>
      <c r="F16140" s="15" t="str">
        <f aca="false">IF(B16140&lt;5,"Go","Standard")</f>
        <v>Go</v>
      </c>
    </row>
    <row r="16141" customFormat="false" ht="15" hidden="false" customHeight="true" outlineLevel="0" collapsed="false">
      <c r="A16141" s="10" t="n">
        <f aca="false">Einstellungen!$B$5+INT((ROW()-9)/24)</f>
        <v>46638</v>
      </c>
      <c r="B16141" s="11" t="n">
        <f aca="false">MOD(ROW()-9,24)</f>
        <v>4</v>
      </c>
      <c r="C16141" s="12"/>
      <c r="D16141" s="13" t="n">
        <f aca="false">IF(B16141&lt;5,Einstellungen!$B$3,Einstellungen!$B$4)</f>
        <v>15.92</v>
      </c>
      <c r="E16141" s="14" t="str">
        <f aca="false">IF(C16141="","",C16141*D16141/100)</f>
        <v/>
      </c>
      <c r="F16141" s="15" t="str">
        <f aca="false">IF(B16141&lt;5,"Go","Standard")</f>
        <v>Go</v>
      </c>
    </row>
    <row r="16142" customFormat="false" ht="15" hidden="false" customHeight="true" outlineLevel="0" collapsed="false">
      <c r="A16142" s="10" t="n">
        <f aca="false">Einstellungen!$B$5+INT((ROW()-9)/24)</f>
        <v>46638</v>
      </c>
      <c r="B16142" s="11" t="n">
        <f aca="false">MOD(ROW()-9,24)</f>
        <v>5</v>
      </c>
      <c r="C16142" s="12"/>
      <c r="D16142" s="13" t="n">
        <f aca="false">IF(B16142&lt;5,Einstellungen!$B$3,Einstellungen!$B$4)</f>
        <v>29.13</v>
      </c>
      <c r="E16142" s="14" t="str">
        <f aca="false">IF(C16142="","",C16142*D16142/100)</f>
        <v/>
      </c>
      <c r="F16142" s="15" t="str">
        <f aca="false">IF(B16142&lt;5,"Go","Standard")</f>
        <v>Standard</v>
      </c>
    </row>
    <row r="16143" customFormat="false" ht="15" hidden="false" customHeight="true" outlineLevel="0" collapsed="false">
      <c r="A16143" s="10" t="n">
        <f aca="false">Einstellungen!$B$5+INT((ROW()-9)/24)</f>
        <v>46638</v>
      </c>
      <c r="B16143" s="11" t="n">
        <f aca="false">MOD(ROW()-9,24)</f>
        <v>6</v>
      </c>
      <c r="C16143" s="12"/>
      <c r="D16143" s="13" t="n">
        <f aca="false">IF(B16143&lt;5,Einstellungen!$B$3,Einstellungen!$B$4)</f>
        <v>29.13</v>
      </c>
      <c r="E16143" s="14" t="str">
        <f aca="false">IF(C16143="","",C16143*D16143/100)</f>
        <v/>
      </c>
      <c r="F16143" s="15" t="str">
        <f aca="false">IF(B16143&lt;5,"Go","Standard")</f>
        <v>Standard</v>
      </c>
    </row>
    <row r="16144" customFormat="false" ht="15" hidden="false" customHeight="true" outlineLevel="0" collapsed="false">
      <c r="A16144" s="10" t="n">
        <f aca="false">Einstellungen!$B$5+INT((ROW()-9)/24)</f>
        <v>46638</v>
      </c>
      <c r="B16144" s="11" t="n">
        <f aca="false">MOD(ROW()-9,24)</f>
        <v>7</v>
      </c>
      <c r="C16144" s="12"/>
      <c r="D16144" s="13" t="n">
        <f aca="false">IF(B16144&lt;5,Einstellungen!$B$3,Einstellungen!$B$4)</f>
        <v>29.13</v>
      </c>
      <c r="E16144" s="14" t="str">
        <f aca="false">IF(C16144="","",C16144*D16144/100)</f>
        <v/>
      </c>
      <c r="F16144" s="15" t="str">
        <f aca="false">IF(B16144&lt;5,"Go","Standard")</f>
        <v>Standard</v>
      </c>
    </row>
    <row r="16145" customFormat="false" ht="15" hidden="false" customHeight="true" outlineLevel="0" collapsed="false">
      <c r="A16145" s="10" t="n">
        <f aca="false">Einstellungen!$B$5+INT((ROW()-9)/24)</f>
        <v>46638</v>
      </c>
      <c r="B16145" s="11" t="n">
        <f aca="false">MOD(ROW()-9,24)</f>
        <v>8</v>
      </c>
      <c r="C16145" s="12"/>
      <c r="D16145" s="13" t="n">
        <f aca="false">IF(B16145&lt;5,Einstellungen!$B$3,Einstellungen!$B$4)</f>
        <v>29.13</v>
      </c>
      <c r="E16145" s="14" t="str">
        <f aca="false">IF(C16145="","",C16145*D16145/100)</f>
        <v/>
      </c>
      <c r="F16145" s="15" t="str">
        <f aca="false">IF(B16145&lt;5,"Go","Standard")</f>
        <v>Standard</v>
      </c>
    </row>
    <row r="16146" customFormat="false" ht="15" hidden="false" customHeight="true" outlineLevel="0" collapsed="false">
      <c r="A16146" s="10" t="n">
        <f aca="false">Einstellungen!$B$5+INT((ROW()-9)/24)</f>
        <v>46638</v>
      </c>
      <c r="B16146" s="11" t="n">
        <f aca="false">MOD(ROW()-9,24)</f>
        <v>9</v>
      </c>
      <c r="C16146" s="12"/>
      <c r="D16146" s="13" t="n">
        <f aca="false">IF(B16146&lt;5,Einstellungen!$B$3,Einstellungen!$B$4)</f>
        <v>29.13</v>
      </c>
      <c r="E16146" s="14" t="str">
        <f aca="false">IF(C16146="","",C16146*D16146/100)</f>
        <v/>
      </c>
      <c r="F16146" s="15" t="str">
        <f aca="false">IF(B16146&lt;5,"Go","Standard")</f>
        <v>Standard</v>
      </c>
    </row>
    <row r="16147" customFormat="false" ht="15" hidden="false" customHeight="true" outlineLevel="0" collapsed="false">
      <c r="A16147" s="10" t="n">
        <f aca="false">Einstellungen!$B$5+INT((ROW()-9)/24)</f>
        <v>46638</v>
      </c>
      <c r="B16147" s="11" t="n">
        <f aca="false">MOD(ROW()-9,24)</f>
        <v>10</v>
      </c>
      <c r="C16147" s="12"/>
      <c r="D16147" s="13" t="n">
        <f aca="false">IF(B16147&lt;5,Einstellungen!$B$3,Einstellungen!$B$4)</f>
        <v>29.13</v>
      </c>
      <c r="E16147" s="14" t="str">
        <f aca="false">IF(C16147="","",C16147*D16147/100)</f>
        <v/>
      </c>
      <c r="F16147" s="15" t="str">
        <f aca="false">IF(B16147&lt;5,"Go","Standard")</f>
        <v>Standard</v>
      </c>
    </row>
    <row r="16148" customFormat="false" ht="15" hidden="false" customHeight="true" outlineLevel="0" collapsed="false">
      <c r="A16148" s="10" t="n">
        <f aca="false">Einstellungen!$B$5+INT((ROW()-9)/24)</f>
        <v>46638</v>
      </c>
      <c r="B16148" s="11" t="n">
        <f aca="false">MOD(ROW()-9,24)</f>
        <v>11</v>
      </c>
      <c r="C16148" s="12"/>
      <c r="D16148" s="13" t="n">
        <f aca="false">IF(B16148&lt;5,Einstellungen!$B$3,Einstellungen!$B$4)</f>
        <v>29.13</v>
      </c>
      <c r="E16148" s="14" t="str">
        <f aca="false">IF(C16148="","",C16148*D16148/100)</f>
        <v/>
      </c>
      <c r="F16148" s="15" t="str">
        <f aca="false">IF(B16148&lt;5,"Go","Standard")</f>
        <v>Standard</v>
      </c>
    </row>
    <row r="16149" customFormat="false" ht="15" hidden="false" customHeight="true" outlineLevel="0" collapsed="false">
      <c r="A16149" s="10" t="n">
        <f aca="false">Einstellungen!$B$5+INT((ROW()-9)/24)</f>
        <v>46638</v>
      </c>
      <c r="B16149" s="11" t="n">
        <f aca="false">MOD(ROW()-9,24)</f>
        <v>12</v>
      </c>
      <c r="C16149" s="12"/>
      <c r="D16149" s="13" t="n">
        <f aca="false">IF(B16149&lt;5,Einstellungen!$B$3,Einstellungen!$B$4)</f>
        <v>29.13</v>
      </c>
      <c r="E16149" s="14" t="str">
        <f aca="false">IF(C16149="","",C16149*D16149/100)</f>
        <v/>
      </c>
      <c r="F16149" s="15" t="str">
        <f aca="false">IF(B16149&lt;5,"Go","Standard")</f>
        <v>Standard</v>
      </c>
    </row>
    <row r="16150" customFormat="false" ht="15" hidden="false" customHeight="true" outlineLevel="0" collapsed="false">
      <c r="A16150" s="10" t="n">
        <f aca="false">Einstellungen!$B$5+INT((ROW()-9)/24)</f>
        <v>46638</v>
      </c>
      <c r="B16150" s="11" t="n">
        <f aca="false">MOD(ROW()-9,24)</f>
        <v>13</v>
      </c>
      <c r="C16150" s="12"/>
      <c r="D16150" s="13" t="n">
        <f aca="false">IF(B16150&lt;5,Einstellungen!$B$3,Einstellungen!$B$4)</f>
        <v>29.13</v>
      </c>
      <c r="E16150" s="14" t="str">
        <f aca="false">IF(C16150="","",C16150*D16150/100)</f>
        <v/>
      </c>
      <c r="F16150" s="15" t="str">
        <f aca="false">IF(B16150&lt;5,"Go","Standard")</f>
        <v>Standard</v>
      </c>
    </row>
    <row r="16151" customFormat="false" ht="15" hidden="false" customHeight="true" outlineLevel="0" collapsed="false">
      <c r="A16151" s="10" t="n">
        <f aca="false">Einstellungen!$B$5+INT((ROW()-9)/24)</f>
        <v>46638</v>
      </c>
      <c r="B16151" s="11" t="n">
        <f aca="false">MOD(ROW()-9,24)</f>
        <v>14</v>
      </c>
      <c r="C16151" s="12"/>
      <c r="D16151" s="13" t="n">
        <f aca="false">IF(B16151&lt;5,Einstellungen!$B$3,Einstellungen!$B$4)</f>
        <v>29.13</v>
      </c>
      <c r="E16151" s="14" t="str">
        <f aca="false">IF(C16151="","",C16151*D16151/100)</f>
        <v/>
      </c>
      <c r="F16151" s="15" t="str">
        <f aca="false">IF(B16151&lt;5,"Go","Standard")</f>
        <v>Standard</v>
      </c>
    </row>
    <row r="16152" customFormat="false" ht="15" hidden="false" customHeight="true" outlineLevel="0" collapsed="false">
      <c r="A16152" s="10" t="n">
        <f aca="false">Einstellungen!$B$5+INT((ROW()-9)/24)</f>
        <v>46638</v>
      </c>
      <c r="B16152" s="11" t="n">
        <f aca="false">MOD(ROW()-9,24)</f>
        <v>15</v>
      </c>
      <c r="C16152" s="12"/>
      <c r="D16152" s="13" t="n">
        <f aca="false">IF(B16152&lt;5,Einstellungen!$B$3,Einstellungen!$B$4)</f>
        <v>29.13</v>
      </c>
      <c r="E16152" s="14" t="str">
        <f aca="false">IF(C16152="","",C16152*D16152/100)</f>
        <v/>
      </c>
      <c r="F16152" s="15" t="str">
        <f aca="false">IF(B16152&lt;5,"Go","Standard")</f>
        <v>Standard</v>
      </c>
    </row>
    <row r="16153" customFormat="false" ht="15" hidden="false" customHeight="true" outlineLevel="0" collapsed="false">
      <c r="A16153" s="10" t="n">
        <f aca="false">Einstellungen!$B$5+INT((ROW()-9)/24)</f>
        <v>46638</v>
      </c>
      <c r="B16153" s="11" t="n">
        <f aca="false">MOD(ROW()-9,24)</f>
        <v>16</v>
      </c>
      <c r="C16153" s="12"/>
      <c r="D16153" s="13" t="n">
        <f aca="false">IF(B16153&lt;5,Einstellungen!$B$3,Einstellungen!$B$4)</f>
        <v>29.13</v>
      </c>
      <c r="E16153" s="14" t="str">
        <f aca="false">IF(C16153="","",C16153*D16153/100)</f>
        <v/>
      </c>
      <c r="F16153" s="15" t="str">
        <f aca="false">IF(B16153&lt;5,"Go","Standard")</f>
        <v>Standard</v>
      </c>
    </row>
    <row r="16154" customFormat="false" ht="15" hidden="false" customHeight="true" outlineLevel="0" collapsed="false">
      <c r="A16154" s="10" t="n">
        <f aca="false">Einstellungen!$B$5+INT((ROW()-9)/24)</f>
        <v>46638</v>
      </c>
      <c r="B16154" s="11" t="n">
        <f aca="false">MOD(ROW()-9,24)</f>
        <v>17</v>
      </c>
      <c r="C16154" s="12"/>
      <c r="D16154" s="13" t="n">
        <f aca="false">IF(B16154&lt;5,Einstellungen!$B$3,Einstellungen!$B$4)</f>
        <v>29.13</v>
      </c>
      <c r="E16154" s="14" t="str">
        <f aca="false">IF(C16154="","",C16154*D16154/100)</f>
        <v/>
      </c>
      <c r="F16154" s="15" t="str">
        <f aca="false">IF(B16154&lt;5,"Go","Standard")</f>
        <v>Standard</v>
      </c>
    </row>
    <row r="16155" customFormat="false" ht="15" hidden="false" customHeight="true" outlineLevel="0" collapsed="false">
      <c r="A16155" s="10" t="n">
        <f aca="false">Einstellungen!$B$5+INT((ROW()-9)/24)</f>
        <v>46638</v>
      </c>
      <c r="B16155" s="11" t="n">
        <f aca="false">MOD(ROW()-9,24)</f>
        <v>18</v>
      </c>
      <c r="C16155" s="12"/>
      <c r="D16155" s="13" t="n">
        <f aca="false">IF(B16155&lt;5,Einstellungen!$B$3,Einstellungen!$B$4)</f>
        <v>29.13</v>
      </c>
      <c r="E16155" s="14" t="str">
        <f aca="false">IF(C16155="","",C16155*D16155/100)</f>
        <v/>
      </c>
      <c r="F16155" s="15" t="str">
        <f aca="false">IF(B16155&lt;5,"Go","Standard")</f>
        <v>Standard</v>
      </c>
    </row>
    <row r="16156" customFormat="false" ht="15" hidden="false" customHeight="true" outlineLevel="0" collapsed="false">
      <c r="A16156" s="10" t="n">
        <f aca="false">Einstellungen!$B$5+INT((ROW()-9)/24)</f>
        <v>46638</v>
      </c>
      <c r="B16156" s="11" t="n">
        <f aca="false">MOD(ROW()-9,24)</f>
        <v>19</v>
      </c>
      <c r="C16156" s="12"/>
      <c r="D16156" s="13" t="n">
        <f aca="false">IF(B16156&lt;5,Einstellungen!$B$3,Einstellungen!$B$4)</f>
        <v>29.13</v>
      </c>
      <c r="E16156" s="14" t="str">
        <f aca="false">IF(C16156="","",C16156*D16156/100)</f>
        <v/>
      </c>
      <c r="F16156" s="15" t="str">
        <f aca="false">IF(B16156&lt;5,"Go","Standard")</f>
        <v>Standard</v>
      </c>
    </row>
    <row r="16157" customFormat="false" ht="15" hidden="false" customHeight="true" outlineLevel="0" collapsed="false">
      <c r="A16157" s="10" t="n">
        <f aca="false">Einstellungen!$B$5+INT((ROW()-9)/24)</f>
        <v>46638</v>
      </c>
      <c r="B16157" s="11" t="n">
        <f aca="false">MOD(ROW()-9,24)</f>
        <v>20</v>
      </c>
      <c r="C16157" s="12"/>
      <c r="D16157" s="13" t="n">
        <f aca="false">IF(B16157&lt;5,Einstellungen!$B$3,Einstellungen!$B$4)</f>
        <v>29.13</v>
      </c>
      <c r="E16157" s="14" t="str">
        <f aca="false">IF(C16157="","",C16157*D16157/100)</f>
        <v/>
      </c>
      <c r="F16157" s="15" t="str">
        <f aca="false">IF(B16157&lt;5,"Go","Standard")</f>
        <v>Standard</v>
      </c>
    </row>
    <row r="16158" customFormat="false" ht="15" hidden="false" customHeight="true" outlineLevel="0" collapsed="false">
      <c r="A16158" s="10" t="n">
        <f aca="false">Einstellungen!$B$5+INT((ROW()-9)/24)</f>
        <v>46638</v>
      </c>
      <c r="B16158" s="11" t="n">
        <f aca="false">MOD(ROW()-9,24)</f>
        <v>21</v>
      </c>
      <c r="C16158" s="12"/>
      <c r="D16158" s="13" t="n">
        <f aca="false">IF(B16158&lt;5,Einstellungen!$B$3,Einstellungen!$B$4)</f>
        <v>29.13</v>
      </c>
      <c r="E16158" s="14" t="str">
        <f aca="false">IF(C16158="","",C16158*D16158/100)</f>
        <v/>
      </c>
      <c r="F16158" s="15" t="str">
        <f aca="false">IF(B16158&lt;5,"Go","Standard")</f>
        <v>Standard</v>
      </c>
    </row>
    <row r="16159" customFormat="false" ht="15" hidden="false" customHeight="true" outlineLevel="0" collapsed="false">
      <c r="A16159" s="10" t="n">
        <f aca="false">Einstellungen!$B$5+INT((ROW()-9)/24)</f>
        <v>46638</v>
      </c>
      <c r="B16159" s="11" t="n">
        <f aca="false">MOD(ROW()-9,24)</f>
        <v>22</v>
      </c>
      <c r="C16159" s="12"/>
      <c r="D16159" s="13" t="n">
        <f aca="false">IF(B16159&lt;5,Einstellungen!$B$3,Einstellungen!$B$4)</f>
        <v>29.13</v>
      </c>
      <c r="E16159" s="14" t="str">
        <f aca="false">IF(C16159="","",C16159*D16159/100)</f>
        <v/>
      </c>
      <c r="F16159" s="15" t="str">
        <f aca="false">IF(B16159&lt;5,"Go","Standard")</f>
        <v>Standard</v>
      </c>
    </row>
    <row r="16160" customFormat="false" ht="15" hidden="false" customHeight="true" outlineLevel="0" collapsed="false">
      <c r="A16160" s="10" t="n">
        <f aca="false">Einstellungen!$B$5+INT((ROW()-9)/24)</f>
        <v>46638</v>
      </c>
      <c r="B16160" s="11" t="n">
        <f aca="false">MOD(ROW()-9,24)</f>
        <v>23</v>
      </c>
      <c r="C16160" s="12"/>
      <c r="D16160" s="13" t="n">
        <f aca="false">IF(B16160&lt;5,Einstellungen!$B$3,Einstellungen!$B$4)</f>
        <v>29.13</v>
      </c>
      <c r="E16160" s="14" t="str">
        <f aca="false">IF(C16160="","",C16160*D16160/100)</f>
        <v/>
      </c>
      <c r="F16160" s="15" t="str">
        <f aca="false">IF(B16160&lt;5,"Go","Standard")</f>
        <v>Standard</v>
      </c>
    </row>
    <row r="16161" customFormat="false" ht="15" hidden="false" customHeight="true" outlineLevel="0" collapsed="false">
      <c r="A16161" s="10" t="n">
        <f aca="false">Einstellungen!$B$5+INT((ROW()-9)/24)</f>
        <v>46639</v>
      </c>
      <c r="B16161" s="11" t="n">
        <f aca="false">MOD(ROW()-9,24)</f>
        <v>0</v>
      </c>
      <c r="C16161" s="12"/>
      <c r="D16161" s="13" t="n">
        <f aca="false">IF(B16161&lt;5,Einstellungen!$B$3,Einstellungen!$B$4)</f>
        <v>15.92</v>
      </c>
      <c r="E16161" s="14" t="str">
        <f aca="false">IF(C16161="","",C16161*D16161/100)</f>
        <v/>
      </c>
      <c r="F16161" s="15" t="str">
        <f aca="false">IF(B16161&lt;5,"Go","Standard")</f>
        <v>Go</v>
      </c>
    </row>
    <row r="16162" customFormat="false" ht="15" hidden="false" customHeight="true" outlineLevel="0" collapsed="false">
      <c r="A16162" s="10" t="n">
        <f aca="false">Einstellungen!$B$5+INT((ROW()-9)/24)</f>
        <v>46639</v>
      </c>
      <c r="B16162" s="11" t="n">
        <f aca="false">MOD(ROW()-9,24)</f>
        <v>1</v>
      </c>
      <c r="C16162" s="12"/>
      <c r="D16162" s="13" t="n">
        <f aca="false">IF(B16162&lt;5,Einstellungen!$B$3,Einstellungen!$B$4)</f>
        <v>15.92</v>
      </c>
      <c r="E16162" s="14" t="str">
        <f aca="false">IF(C16162="","",C16162*D16162/100)</f>
        <v/>
      </c>
      <c r="F16162" s="15" t="str">
        <f aca="false">IF(B16162&lt;5,"Go","Standard")</f>
        <v>Go</v>
      </c>
    </row>
    <row r="16163" customFormat="false" ht="15" hidden="false" customHeight="true" outlineLevel="0" collapsed="false">
      <c r="A16163" s="10" t="n">
        <f aca="false">Einstellungen!$B$5+INT((ROW()-9)/24)</f>
        <v>46639</v>
      </c>
      <c r="B16163" s="11" t="n">
        <f aca="false">MOD(ROW()-9,24)</f>
        <v>2</v>
      </c>
      <c r="C16163" s="12"/>
      <c r="D16163" s="13" t="n">
        <f aca="false">IF(B16163&lt;5,Einstellungen!$B$3,Einstellungen!$B$4)</f>
        <v>15.92</v>
      </c>
      <c r="E16163" s="14" t="str">
        <f aca="false">IF(C16163="","",C16163*D16163/100)</f>
        <v/>
      </c>
      <c r="F16163" s="15" t="str">
        <f aca="false">IF(B16163&lt;5,"Go","Standard")</f>
        <v>Go</v>
      </c>
    </row>
    <row r="16164" customFormat="false" ht="15" hidden="false" customHeight="true" outlineLevel="0" collapsed="false">
      <c r="A16164" s="10" t="n">
        <f aca="false">Einstellungen!$B$5+INT((ROW()-9)/24)</f>
        <v>46639</v>
      </c>
      <c r="B16164" s="11" t="n">
        <f aca="false">MOD(ROW()-9,24)</f>
        <v>3</v>
      </c>
      <c r="C16164" s="12"/>
      <c r="D16164" s="13" t="n">
        <f aca="false">IF(B16164&lt;5,Einstellungen!$B$3,Einstellungen!$B$4)</f>
        <v>15.92</v>
      </c>
      <c r="E16164" s="14" t="str">
        <f aca="false">IF(C16164="","",C16164*D16164/100)</f>
        <v/>
      </c>
      <c r="F16164" s="15" t="str">
        <f aca="false">IF(B16164&lt;5,"Go","Standard")</f>
        <v>Go</v>
      </c>
    </row>
    <row r="16165" customFormat="false" ht="15" hidden="false" customHeight="true" outlineLevel="0" collapsed="false">
      <c r="A16165" s="10" t="n">
        <f aca="false">Einstellungen!$B$5+INT((ROW()-9)/24)</f>
        <v>46639</v>
      </c>
      <c r="B16165" s="11" t="n">
        <f aca="false">MOD(ROW()-9,24)</f>
        <v>4</v>
      </c>
      <c r="C16165" s="12"/>
      <c r="D16165" s="13" t="n">
        <f aca="false">IF(B16165&lt;5,Einstellungen!$B$3,Einstellungen!$B$4)</f>
        <v>15.92</v>
      </c>
      <c r="E16165" s="14" t="str">
        <f aca="false">IF(C16165="","",C16165*D16165/100)</f>
        <v/>
      </c>
      <c r="F16165" s="15" t="str">
        <f aca="false">IF(B16165&lt;5,"Go","Standard")</f>
        <v>Go</v>
      </c>
    </row>
    <row r="16166" customFormat="false" ht="15" hidden="false" customHeight="true" outlineLevel="0" collapsed="false">
      <c r="A16166" s="10" t="n">
        <f aca="false">Einstellungen!$B$5+INT((ROW()-9)/24)</f>
        <v>46639</v>
      </c>
      <c r="B16166" s="11" t="n">
        <f aca="false">MOD(ROW()-9,24)</f>
        <v>5</v>
      </c>
      <c r="C16166" s="12"/>
      <c r="D16166" s="13" t="n">
        <f aca="false">IF(B16166&lt;5,Einstellungen!$B$3,Einstellungen!$B$4)</f>
        <v>29.13</v>
      </c>
      <c r="E16166" s="14" t="str">
        <f aca="false">IF(C16166="","",C16166*D16166/100)</f>
        <v/>
      </c>
      <c r="F16166" s="15" t="str">
        <f aca="false">IF(B16166&lt;5,"Go","Standard")</f>
        <v>Standard</v>
      </c>
    </row>
    <row r="16167" customFormat="false" ht="15" hidden="false" customHeight="true" outlineLevel="0" collapsed="false">
      <c r="A16167" s="10" t="n">
        <f aca="false">Einstellungen!$B$5+INT((ROW()-9)/24)</f>
        <v>46639</v>
      </c>
      <c r="B16167" s="11" t="n">
        <f aca="false">MOD(ROW()-9,24)</f>
        <v>6</v>
      </c>
      <c r="C16167" s="12"/>
      <c r="D16167" s="13" t="n">
        <f aca="false">IF(B16167&lt;5,Einstellungen!$B$3,Einstellungen!$B$4)</f>
        <v>29.13</v>
      </c>
      <c r="E16167" s="14" t="str">
        <f aca="false">IF(C16167="","",C16167*D16167/100)</f>
        <v/>
      </c>
      <c r="F16167" s="15" t="str">
        <f aca="false">IF(B16167&lt;5,"Go","Standard")</f>
        <v>Standard</v>
      </c>
    </row>
    <row r="16168" customFormat="false" ht="15" hidden="false" customHeight="true" outlineLevel="0" collapsed="false">
      <c r="A16168" s="10" t="n">
        <f aca="false">Einstellungen!$B$5+INT((ROW()-9)/24)</f>
        <v>46639</v>
      </c>
      <c r="B16168" s="11" t="n">
        <f aca="false">MOD(ROW()-9,24)</f>
        <v>7</v>
      </c>
      <c r="C16168" s="12"/>
      <c r="D16168" s="13" t="n">
        <f aca="false">IF(B16168&lt;5,Einstellungen!$B$3,Einstellungen!$B$4)</f>
        <v>29.13</v>
      </c>
      <c r="E16168" s="14" t="str">
        <f aca="false">IF(C16168="","",C16168*D16168/100)</f>
        <v/>
      </c>
      <c r="F16168" s="15" t="str">
        <f aca="false">IF(B16168&lt;5,"Go","Standard")</f>
        <v>Standard</v>
      </c>
    </row>
    <row r="16169" customFormat="false" ht="15" hidden="false" customHeight="true" outlineLevel="0" collapsed="false">
      <c r="A16169" s="10" t="n">
        <f aca="false">Einstellungen!$B$5+INT((ROW()-9)/24)</f>
        <v>46639</v>
      </c>
      <c r="B16169" s="11" t="n">
        <f aca="false">MOD(ROW()-9,24)</f>
        <v>8</v>
      </c>
      <c r="C16169" s="12"/>
      <c r="D16169" s="13" t="n">
        <f aca="false">IF(B16169&lt;5,Einstellungen!$B$3,Einstellungen!$B$4)</f>
        <v>29.13</v>
      </c>
      <c r="E16169" s="14" t="str">
        <f aca="false">IF(C16169="","",C16169*D16169/100)</f>
        <v/>
      </c>
      <c r="F16169" s="15" t="str">
        <f aca="false">IF(B16169&lt;5,"Go","Standard")</f>
        <v>Standard</v>
      </c>
    </row>
    <row r="16170" customFormat="false" ht="15" hidden="false" customHeight="true" outlineLevel="0" collapsed="false">
      <c r="A16170" s="10" t="n">
        <f aca="false">Einstellungen!$B$5+INT((ROW()-9)/24)</f>
        <v>46639</v>
      </c>
      <c r="B16170" s="11" t="n">
        <f aca="false">MOD(ROW()-9,24)</f>
        <v>9</v>
      </c>
      <c r="C16170" s="12"/>
      <c r="D16170" s="13" t="n">
        <f aca="false">IF(B16170&lt;5,Einstellungen!$B$3,Einstellungen!$B$4)</f>
        <v>29.13</v>
      </c>
      <c r="E16170" s="14" t="str">
        <f aca="false">IF(C16170="","",C16170*D16170/100)</f>
        <v/>
      </c>
      <c r="F16170" s="15" t="str">
        <f aca="false">IF(B16170&lt;5,"Go","Standard")</f>
        <v>Standard</v>
      </c>
    </row>
    <row r="16171" customFormat="false" ht="15" hidden="false" customHeight="true" outlineLevel="0" collapsed="false">
      <c r="A16171" s="10" t="n">
        <f aca="false">Einstellungen!$B$5+INT((ROW()-9)/24)</f>
        <v>46639</v>
      </c>
      <c r="B16171" s="11" t="n">
        <f aca="false">MOD(ROW()-9,24)</f>
        <v>10</v>
      </c>
      <c r="C16171" s="12"/>
      <c r="D16171" s="13" t="n">
        <f aca="false">IF(B16171&lt;5,Einstellungen!$B$3,Einstellungen!$B$4)</f>
        <v>29.13</v>
      </c>
      <c r="E16171" s="14" t="str">
        <f aca="false">IF(C16171="","",C16171*D16171/100)</f>
        <v/>
      </c>
      <c r="F16171" s="15" t="str">
        <f aca="false">IF(B16171&lt;5,"Go","Standard")</f>
        <v>Standard</v>
      </c>
    </row>
    <row r="16172" customFormat="false" ht="15" hidden="false" customHeight="true" outlineLevel="0" collapsed="false">
      <c r="A16172" s="10" t="n">
        <f aca="false">Einstellungen!$B$5+INT((ROW()-9)/24)</f>
        <v>46639</v>
      </c>
      <c r="B16172" s="11" t="n">
        <f aca="false">MOD(ROW()-9,24)</f>
        <v>11</v>
      </c>
      <c r="C16172" s="12"/>
      <c r="D16172" s="13" t="n">
        <f aca="false">IF(B16172&lt;5,Einstellungen!$B$3,Einstellungen!$B$4)</f>
        <v>29.13</v>
      </c>
      <c r="E16172" s="14" t="str">
        <f aca="false">IF(C16172="","",C16172*D16172/100)</f>
        <v/>
      </c>
      <c r="F16172" s="15" t="str">
        <f aca="false">IF(B16172&lt;5,"Go","Standard")</f>
        <v>Standard</v>
      </c>
    </row>
    <row r="16173" customFormat="false" ht="15" hidden="false" customHeight="true" outlineLevel="0" collapsed="false">
      <c r="A16173" s="10" t="n">
        <f aca="false">Einstellungen!$B$5+INT((ROW()-9)/24)</f>
        <v>46639</v>
      </c>
      <c r="B16173" s="11" t="n">
        <f aca="false">MOD(ROW()-9,24)</f>
        <v>12</v>
      </c>
      <c r="C16173" s="12"/>
      <c r="D16173" s="13" t="n">
        <f aca="false">IF(B16173&lt;5,Einstellungen!$B$3,Einstellungen!$B$4)</f>
        <v>29.13</v>
      </c>
      <c r="E16173" s="14" t="str">
        <f aca="false">IF(C16173="","",C16173*D16173/100)</f>
        <v/>
      </c>
      <c r="F16173" s="15" t="str">
        <f aca="false">IF(B16173&lt;5,"Go","Standard")</f>
        <v>Standard</v>
      </c>
    </row>
    <row r="16174" customFormat="false" ht="15" hidden="false" customHeight="true" outlineLevel="0" collapsed="false">
      <c r="A16174" s="10" t="n">
        <f aca="false">Einstellungen!$B$5+INT((ROW()-9)/24)</f>
        <v>46639</v>
      </c>
      <c r="B16174" s="11" t="n">
        <f aca="false">MOD(ROW()-9,24)</f>
        <v>13</v>
      </c>
      <c r="C16174" s="12"/>
      <c r="D16174" s="13" t="n">
        <f aca="false">IF(B16174&lt;5,Einstellungen!$B$3,Einstellungen!$B$4)</f>
        <v>29.13</v>
      </c>
      <c r="E16174" s="14" t="str">
        <f aca="false">IF(C16174="","",C16174*D16174/100)</f>
        <v/>
      </c>
      <c r="F16174" s="15" t="str">
        <f aca="false">IF(B16174&lt;5,"Go","Standard")</f>
        <v>Standard</v>
      </c>
    </row>
    <row r="16175" customFormat="false" ht="15" hidden="false" customHeight="true" outlineLevel="0" collapsed="false">
      <c r="A16175" s="10" t="n">
        <f aca="false">Einstellungen!$B$5+INT((ROW()-9)/24)</f>
        <v>46639</v>
      </c>
      <c r="B16175" s="11" t="n">
        <f aca="false">MOD(ROW()-9,24)</f>
        <v>14</v>
      </c>
      <c r="C16175" s="12"/>
      <c r="D16175" s="13" t="n">
        <f aca="false">IF(B16175&lt;5,Einstellungen!$B$3,Einstellungen!$B$4)</f>
        <v>29.13</v>
      </c>
      <c r="E16175" s="14" t="str">
        <f aca="false">IF(C16175="","",C16175*D16175/100)</f>
        <v/>
      </c>
      <c r="F16175" s="15" t="str">
        <f aca="false">IF(B16175&lt;5,"Go","Standard")</f>
        <v>Standard</v>
      </c>
    </row>
    <row r="16176" customFormat="false" ht="15" hidden="false" customHeight="true" outlineLevel="0" collapsed="false">
      <c r="A16176" s="10" t="n">
        <f aca="false">Einstellungen!$B$5+INT((ROW()-9)/24)</f>
        <v>46639</v>
      </c>
      <c r="B16176" s="11" t="n">
        <f aca="false">MOD(ROW()-9,24)</f>
        <v>15</v>
      </c>
      <c r="C16176" s="12"/>
      <c r="D16176" s="13" t="n">
        <f aca="false">IF(B16176&lt;5,Einstellungen!$B$3,Einstellungen!$B$4)</f>
        <v>29.13</v>
      </c>
      <c r="E16176" s="14" t="str">
        <f aca="false">IF(C16176="","",C16176*D16176/100)</f>
        <v/>
      </c>
      <c r="F16176" s="15" t="str">
        <f aca="false">IF(B16176&lt;5,"Go","Standard")</f>
        <v>Standard</v>
      </c>
    </row>
    <row r="16177" customFormat="false" ht="15" hidden="false" customHeight="true" outlineLevel="0" collapsed="false">
      <c r="A16177" s="10" t="n">
        <f aca="false">Einstellungen!$B$5+INT((ROW()-9)/24)</f>
        <v>46639</v>
      </c>
      <c r="B16177" s="11" t="n">
        <f aca="false">MOD(ROW()-9,24)</f>
        <v>16</v>
      </c>
      <c r="C16177" s="12"/>
      <c r="D16177" s="13" t="n">
        <f aca="false">IF(B16177&lt;5,Einstellungen!$B$3,Einstellungen!$B$4)</f>
        <v>29.13</v>
      </c>
      <c r="E16177" s="14" t="str">
        <f aca="false">IF(C16177="","",C16177*D16177/100)</f>
        <v/>
      </c>
      <c r="F16177" s="15" t="str">
        <f aca="false">IF(B16177&lt;5,"Go","Standard")</f>
        <v>Standard</v>
      </c>
    </row>
    <row r="16178" customFormat="false" ht="15" hidden="false" customHeight="true" outlineLevel="0" collapsed="false">
      <c r="A16178" s="10" t="n">
        <f aca="false">Einstellungen!$B$5+INT((ROW()-9)/24)</f>
        <v>46639</v>
      </c>
      <c r="B16178" s="11" t="n">
        <f aca="false">MOD(ROW()-9,24)</f>
        <v>17</v>
      </c>
      <c r="C16178" s="12"/>
      <c r="D16178" s="13" t="n">
        <f aca="false">IF(B16178&lt;5,Einstellungen!$B$3,Einstellungen!$B$4)</f>
        <v>29.13</v>
      </c>
      <c r="E16178" s="14" t="str">
        <f aca="false">IF(C16178="","",C16178*D16178/100)</f>
        <v/>
      </c>
      <c r="F16178" s="15" t="str">
        <f aca="false">IF(B16178&lt;5,"Go","Standard")</f>
        <v>Standard</v>
      </c>
    </row>
    <row r="16179" customFormat="false" ht="15" hidden="false" customHeight="true" outlineLevel="0" collapsed="false">
      <c r="A16179" s="10" t="n">
        <f aca="false">Einstellungen!$B$5+INT((ROW()-9)/24)</f>
        <v>46639</v>
      </c>
      <c r="B16179" s="11" t="n">
        <f aca="false">MOD(ROW()-9,24)</f>
        <v>18</v>
      </c>
      <c r="C16179" s="12"/>
      <c r="D16179" s="13" t="n">
        <f aca="false">IF(B16179&lt;5,Einstellungen!$B$3,Einstellungen!$B$4)</f>
        <v>29.13</v>
      </c>
      <c r="E16179" s="14" t="str">
        <f aca="false">IF(C16179="","",C16179*D16179/100)</f>
        <v/>
      </c>
      <c r="F16179" s="15" t="str">
        <f aca="false">IF(B16179&lt;5,"Go","Standard")</f>
        <v>Standard</v>
      </c>
    </row>
    <row r="16180" customFormat="false" ht="15" hidden="false" customHeight="true" outlineLevel="0" collapsed="false">
      <c r="A16180" s="10" t="n">
        <f aca="false">Einstellungen!$B$5+INT((ROW()-9)/24)</f>
        <v>46639</v>
      </c>
      <c r="B16180" s="11" t="n">
        <f aca="false">MOD(ROW()-9,24)</f>
        <v>19</v>
      </c>
      <c r="C16180" s="12"/>
      <c r="D16180" s="13" t="n">
        <f aca="false">IF(B16180&lt;5,Einstellungen!$B$3,Einstellungen!$B$4)</f>
        <v>29.13</v>
      </c>
      <c r="E16180" s="14" t="str">
        <f aca="false">IF(C16180="","",C16180*D16180/100)</f>
        <v/>
      </c>
      <c r="F16180" s="15" t="str">
        <f aca="false">IF(B16180&lt;5,"Go","Standard")</f>
        <v>Standard</v>
      </c>
    </row>
    <row r="16181" customFormat="false" ht="15" hidden="false" customHeight="true" outlineLevel="0" collapsed="false">
      <c r="A16181" s="10" t="n">
        <f aca="false">Einstellungen!$B$5+INT((ROW()-9)/24)</f>
        <v>46639</v>
      </c>
      <c r="B16181" s="11" t="n">
        <f aca="false">MOD(ROW()-9,24)</f>
        <v>20</v>
      </c>
      <c r="C16181" s="12"/>
      <c r="D16181" s="13" t="n">
        <f aca="false">IF(B16181&lt;5,Einstellungen!$B$3,Einstellungen!$B$4)</f>
        <v>29.13</v>
      </c>
      <c r="E16181" s="14" t="str">
        <f aca="false">IF(C16181="","",C16181*D16181/100)</f>
        <v/>
      </c>
      <c r="F16181" s="15" t="str">
        <f aca="false">IF(B16181&lt;5,"Go","Standard")</f>
        <v>Standard</v>
      </c>
    </row>
    <row r="16182" customFormat="false" ht="15" hidden="false" customHeight="true" outlineLevel="0" collapsed="false">
      <c r="A16182" s="10" t="n">
        <f aca="false">Einstellungen!$B$5+INT((ROW()-9)/24)</f>
        <v>46639</v>
      </c>
      <c r="B16182" s="11" t="n">
        <f aca="false">MOD(ROW()-9,24)</f>
        <v>21</v>
      </c>
      <c r="C16182" s="12"/>
      <c r="D16182" s="13" t="n">
        <f aca="false">IF(B16182&lt;5,Einstellungen!$B$3,Einstellungen!$B$4)</f>
        <v>29.13</v>
      </c>
      <c r="E16182" s="14" t="str">
        <f aca="false">IF(C16182="","",C16182*D16182/100)</f>
        <v/>
      </c>
      <c r="F16182" s="15" t="str">
        <f aca="false">IF(B16182&lt;5,"Go","Standard")</f>
        <v>Standard</v>
      </c>
    </row>
    <row r="16183" customFormat="false" ht="15" hidden="false" customHeight="true" outlineLevel="0" collapsed="false">
      <c r="A16183" s="10" t="n">
        <f aca="false">Einstellungen!$B$5+INT((ROW()-9)/24)</f>
        <v>46639</v>
      </c>
      <c r="B16183" s="11" t="n">
        <f aca="false">MOD(ROW()-9,24)</f>
        <v>22</v>
      </c>
      <c r="C16183" s="12"/>
      <c r="D16183" s="13" t="n">
        <f aca="false">IF(B16183&lt;5,Einstellungen!$B$3,Einstellungen!$B$4)</f>
        <v>29.13</v>
      </c>
      <c r="E16183" s="14" t="str">
        <f aca="false">IF(C16183="","",C16183*D16183/100)</f>
        <v/>
      </c>
      <c r="F16183" s="15" t="str">
        <f aca="false">IF(B16183&lt;5,"Go","Standard")</f>
        <v>Standard</v>
      </c>
    </row>
    <row r="16184" customFormat="false" ht="15" hidden="false" customHeight="true" outlineLevel="0" collapsed="false">
      <c r="A16184" s="10" t="n">
        <f aca="false">Einstellungen!$B$5+INT((ROW()-9)/24)</f>
        <v>46639</v>
      </c>
      <c r="B16184" s="11" t="n">
        <f aca="false">MOD(ROW()-9,24)</f>
        <v>23</v>
      </c>
      <c r="C16184" s="12"/>
      <c r="D16184" s="13" t="n">
        <f aca="false">IF(B16184&lt;5,Einstellungen!$B$3,Einstellungen!$B$4)</f>
        <v>29.13</v>
      </c>
      <c r="E16184" s="14" t="str">
        <f aca="false">IF(C16184="","",C16184*D16184/100)</f>
        <v/>
      </c>
      <c r="F16184" s="15" t="str">
        <f aca="false">IF(B16184&lt;5,"Go","Standard")</f>
        <v>Standard</v>
      </c>
    </row>
    <row r="16185" customFormat="false" ht="15" hidden="false" customHeight="true" outlineLevel="0" collapsed="false">
      <c r="A16185" s="10" t="n">
        <f aca="false">Einstellungen!$B$5+INT((ROW()-9)/24)</f>
        <v>46640</v>
      </c>
      <c r="B16185" s="11" t="n">
        <f aca="false">MOD(ROW()-9,24)</f>
        <v>0</v>
      </c>
      <c r="C16185" s="12"/>
      <c r="D16185" s="13" t="n">
        <f aca="false">IF(B16185&lt;5,Einstellungen!$B$3,Einstellungen!$B$4)</f>
        <v>15.92</v>
      </c>
      <c r="E16185" s="14" t="str">
        <f aca="false">IF(C16185="","",C16185*D16185/100)</f>
        <v/>
      </c>
      <c r="F16185" s="15" t="str">
        <f aca="false">IF(B16185&lt;5,"Go","Standard")</f>
        <v>Go</v>
      </c>
    </row>
    <row r="16186" customFormat="false" ht="15" hidden="false" customHeight="true" outlineLevel="0" collapsed="false">
      <c r="A16186" s="10" t="n">
        <f aca="false">Einstellungen!$B$5+INT((ROW()-9)/24)</f>
        <v>46640</v>
      </c>
      <c r="B16186" s="11" t="n">
        <f aca="false">MOD(ROW()-9,24)</f>
        <v>1</v>
      </c>
      <c r="C16186" s="12"/>
      <c r="D16186" s="13" t="n">
        <f aca="false">IF(B16186&lt;5,Einstellungen!$B$3,Einstellungen!$B$4)</f>
        <v>15.92</v>
      </c>
      <c r="E16186" s="14" t="str">
        <f aca="false">IF(C16186="","",C16186*D16186/100)</f>
        <v/>
      </c>
      <c r="F16186" s="15" t="str">
        <f aca="false">IF(B16186&lt;5,"Go","Standard")</f>
        <v>Go</v>
      </c>
    </row>
    <row r="16187" customFormat="false" ht="15" hidden="false" customHeight="true" outlineLevel="0" collapsed="false">
      <c r="A16187" s="10" t="n">
        <f aca="false">Einstellungen!$B$5+INT((ROW()-9)/24)</f>
        <v>46640</v>
      </c>
      <c r="B16187" s="11" t="n">
        <f aca="false">MOD(ROW()-9,24)</f>
        <v>2</v>
      </c>
      <c r="C16187" s="12"/>
      <c r="D16187" s="13" t="n">
        <f aca="false">IF(B16187&lt;5,Einstellungen!$B$3,Einstellungen!$B$4)</f>
        <v>15.92</v>
      </c>
      <c r="E16187" s="14" t="str">
        <f aca="false">IF(C16187="","",C16187*D16187/100)</f>
        <v/>
      </c>
      <c r="F16187" s="15" t="str">
        <f aca="false">IF(B16187&lt;5,"Go","Standard")</f>
        <v>Go</v>
      </c>
    </row>
    <row r="16188" customFormat="false" ht="15" hidden="false" customHeight="true" outlineLevel="0" collapsed="false">
      <c r="A16188" s="10" t="n">
        <f aca="false">Einstellungen!$B$5+INT((ROW()-9)/24)</f>
        <v>46640</v>
      </c>
      <c r="B16188" s="11" t="n">
        <f aca="false">MOD(ROW()-9,24)</f>
        <v>3</v>
      </c>
      <c r="C16188" s="12"/>
      <c r="D16188" s="13" t="n">
        <f aca="false">IF(B16188&lt;5,Einstellungen!$B$3,Einstellungen!$B$4)</f>
        <v>15.92</v>
      </c>
      <c r="E16188" s="14" t="str">
        <f aca="false">IF(C16188="","",C16188*D16188/100)</f>
        <v/>
      </c>
      <c r="F16188" s="15" t="str">
        <f aca="false">IF(B16188&lt;5,"Go","Standard")</f>
        <v>Go</v>
      </c>
    </row>
    <row r="16189" customFormat="false" ht="15" hidden="false" customHeight="true" outlineLevel="0" collapsed="false">
      <c r="A16189" s="10" t="n">
        <f aca="false">Einstellungen!$B$5+INT((ROW()-9)/24)</f>
        <v>46640</v>
      </c>
      <c r="B16189" s="11" t="n">
        <f aca="false">MOD(ROW()-9,24)</f>
        <v>4</v>
      </c>
      <c r="C16189" s="12"/>
      <c r="D16189" s="13" t="n">
        <f aca="false">IF(B16189&lt;5,Einstellungen!$B$3,Einstellungen!$B$4)</f>
        <v>15.92</v>
      </c>
      <c r="E16189" s="14" t="str">
        <f aca="false">IF(C16189="","",C16189*D16189/100)</f>
        <v/>
      </c>
      <c r="F16189" s="15" t="str">
        <f aca="false">IF(B16189&lt;5,"Go","Standard")</f>
        <v>Go</v>
      </c>
    </row>
    <row r="16190" customFormat="false" ht="15" hidden="false" customHeight="true" outlineLevel="0" collapsed="false">
      <c r="A16190" s="10" t="n">
        <f aca="false">Einstellungen!$B$5+INT((ROW()-9)/24)</f>
        <v>46640</v>
      </c>
      <c r="B16190" s="11" t="n">
        <f aca="false">MOD(ROW()-9,24)</f>
        <v>5</v>
      </c>
      <c r="C16190" s="12"/>
      <c r="D16190" s="13" t="n">
        <f aca="false">IF(B16190&lt;5,Einstellungen!$B$3,Einstellungen!$B$4)</f>
        <v>29.13</v>
      </c>
      <c r="E16190" s="14" t="str">
        <f aca="false">IF(C16190="","",C16190*D16190/100)</f>
        <v/>
      </c>
      <c r="F16190" s="15" t="str">
        <f aca="false">IF(B16190&lt;5,"Go","Standard")</f>
        <v>Standard</v>
      </c>
    </row>
    <row r="16191" customFormat="false" ht="15" hidden="false" customHeight="true" outlineLevel="0" collapsed="false">
      <c r="A16191" s="10" t="n">
        <f aca="false">Einstellungen!$B$5+INT((ROW()-9)/24)</f>
        <v>46640</v>
      </c>
      <c r="B16191" s="11" t="n">
        <f aca="false">MOD(ROW()-9,24)</f>
        <v>6</v>
      </c>
      <c r="C16191" s="12"/>
      <c r="D16191" s="13" t="n">
        <f aca="false">IF(B16191&lt;5,Einstellungen!$B$3,Einstellungen!$B$4)</f>
        <v>29.13</v>
      </c>
      <c r="E16191" s="14" t="str">
        <f aca="false">IF(C16191="","",C16191*D16191/100)</f>
        <v/>
      </c>
      <c r="F16191" s="15" t="str">
        <f aca="false">IF(B16191&lt;5,"Go","Standard")</f>
        <v>Standard</v>
      </c>
    </row>
    <row r="16192" customFormat="false" ht="15" hidden="false" customHeight="true" outlineLevel="0" collapsed="false">
      <c r="A16192" s="10" t="n">
        <f aca="false">Einstellungen!$B$5+INT((ROW()-9)/24)</f>
        <v>46640</v>
      </c>
      <c r="B16192" s="11" t="n">
        <f aca="false">MOD(ROW()-9,24)</f>
        <v>7</v>
      </c>
      <c r="C16192" s="12"/>
      <c r="D16192" s="13" t="n">
        <f aca="false">IF(B16192&lt;5,Einstellungen!$B$3,Einstellungen!$B$4)</f>
        <v>29.13</v>
      </c>
      <c r="E16192" s="14" t="str">
        <f aca="false">IF(C16192="","",C16192*D16192/100)</f>
        <v/>
      </c>
      <c r="F16192" s="15" t="str">
        <f aca="false">IF(B16192&lt;5,"Go","Standard")</f>
        <v>Standard</v>
      </c>
    </row>
    <row r="16193" customFormat="false" ht="15" hidden="false" customHeight="true" outlineLevel="0" collapsed="false">
      <c r="A16193" s="10" t="n">
        <f aca="false">Einstellungen!$B$5+INT((ROW()-9)/24)</f>
        <v>46640</v>
      </c>
      <c r="B16193" s="11" t="n">
        <f aca="false">MOD(ROW()-9,24)</f>
        <v>8</v>
      </c>
      <c r="C16193" s="12"/>
      <c r="D16193" s="13" t="n">
        <f aca="false">IF(B16193&lt;5,Einstellungen!$B$3,Einstellungen!$B$4)</f>
        <v>29.13</v>
      </c>
      <c r="E16193" s="14" t="str">
        <f aca="false">IF(C16193="","",C16193*D16193/100)</f>
        <v/>
      </c>
      <c r="F16193" s="15" t="str">
        <f aca="false">IF(B16193&lt;5,"Go","Standard")</f>
        <v>Standard</v>
      </c>
    </row>
    <row r="16194" customFormat="false" ht="15" hidden="false" customHeight="true" outlineLevel="0" collapsed="false">
      <c r="A16194" s="10" t="n">
        <f aca="false">Einstellungen!$B$5+INT((ROW()-9)/24)</f>
        <v>46640</v>
      </c>
      <c r="B16194" s="11" t="n">
        <f aca="false">MOD(ROW()-9,24)</f>
        <v>9</v>
      </c>
      <c r="C16194" s="12"/>
      <c r="D16194" s="13" t="n">
        <f aca="false">IF(B16194&lt;5,Einstellungen!$B$3,Einstellungen!$B$4)</f>
        <v>29.13</v>
      </c>
      <c r="E16194" s="14" t="str">
        <f aca="false">IF(C16194="","",C16194*D16194/100)</f>
        <v/>
      </c>
      <c r="F16194" s="15" t="str">
        <f aca="false">IF(B16194&lt;5,"Go","Standard")</f>
        <v>Standard</v>
      </c>
    </row>
    <row r="16195" customFormat="false" ht="15" hidden="false" customHeight="true" outlineLevel="0" collapsed="false">
      <c r="A16195" s="10" t="n">
        <f aca="false">Einstellungen!$B$5+INT((ROW()-9)/24)</f>
        <v>46640</v>
      </c>
      <c r="B16195" s="11" t="n">
        <f aca="false">MOD(ROW()-9,24)</f>
        <v>10</v>
      </c>
      <c r="C16195" s="12"/>
      <c r="D16195" s="13" t="n">
        <f aca="false">IF(B16195&lt;5,Einstellungen!$B$3,Einstellungen!$B$4)</f>
        <v>29.13</v>
      </c>
      <c r="E16195" s="14" t="str">
        <f aca="false">IF(C16195="","",C16195*D16195/100)</f>
        <v/>
      </c>
      <c r="F16195" s="15" t="str">
        <f aca="false">IF(B16195&lt;5,"Go","Standard")</f>
        <v>Standard</v>
      </c>
    </row>
    <row r="16196" customFormat="false" ht="15" hidden="false" customHeight="true" outlineLevel="0" collapsed="false">
      <c r="A16196" s="10" t="n">
        <f aca="false">Einstellungen!$B$5+INT((ROW()-9)/24)</f>
        <v>46640</v>
      </c>
      <c r="B16196" s="11" t="n">
        <f aca="false">MOD(ROW()-9,24)</f>
        <v>11</v>
      </c>
      <c r="C16196" s="12"/>
      <c r="D16196" s="13" t="n">
        <f aca="false">IF(B16196&lt;5,Einstellungen!$B$3,Einstellungen!$B$4)</f>
        <v>29.13</v>
      </c>
      <c r="E16196" s="14" t="str">
        <f aca="false">IF(C16196="","",C16196*D16196/100)</f>
        <v/>
      </c>
      <c r="F16196" s="15" t="str">
        <f aca="false">IF(B16196&lt;5,"Go","Standard")</f>
        <v>Standard</v>
      </c>
    </row>
    <row r="16197" customFormat="false" ht="15" hidden="false" customHeight="true" outlineLevel="0" collapsed="false">
      <c r="A16197" s="10" t="n">
        <f aca="false">Einstellungen!$B$5+INT((ROW()-9)/24)</f>
        <v>46640</v>
      </c>
      <c r="B16197" s="11" t="n">
        <f aca="false">MOD(ROW()-9,24)</f>
        <v>12</v>
      </c>
      <c r="C16197" s="12"/>
      <c r="D16197" s="13" t="n">
        <f aca="false">IF(B16197&lt;5,Einstellungen!$B$3,Einstellungen!$B$4)</f>
        <v>29.13</v>
      </c>
      <c r="E16197" s="14" t="str">
        <f aca="false">IF(C16197="","",C16197*D16197/100)</f>
        <v/>
      </c>
      <c r="F16197" s="15" t="str">
        <f aca="false">IF(B16197&lt;5,"Go","Standard")</f>
        <v>Standard</v>
      </c>
    </row>
    <row r="16198" customFormat="false" ht="15" hidden="false" customHeight="true" outlineLevel="0" collapsed="false">
      <c r="A16198" s="10" t="n">
        <f aca="false">Einstellungen!$B$5+INT((ROW()-9)/24)</f>
        <v>46640</v>
      </c>
      <c r="B16198" s="11" t="n">
        <f aca="false">MOD(ROW()-9,24)</f>
        <v>13</v>
      </c>
      <c r="C16198" s="12"/>
      <c r="D16198" s="13" t="n">
        <f aca="false">IF(B16198&lt;5,Einstellungen!$B$3,Einstellungen!$B$4)</f>
        <v>29.13</v>
      </c>
      <c r="E16198" s="14" t="str">
        <f aca="false">IF(C16198="","",C16198*D16198/100)</f>
        <v/>
      </c>
      <c r="F16198" s="15" t="str">
        <f aca="false">IF(B16198&lt;5,"Go","Standard")</f>
        <v>Standard</v>
      </c>
    </row>
    <row r="16199" customFormat="false" ht="15" hidden="false" customHeight="true" outlineLevel="0" collapsed="false">
      <c r="A16199" s="10" t="n">
        <f aca="false">Einstellungen!$B$5+INT((ROW()-9)/24)</f>
        <v>46640</v>
      </c>
      <c r="B16199" s="11" t="n">
        <f aca="false">MOD(ROW()-9,24)</f>
        <v>14</v>
      </c>
      <c r="C16199" s="12"/>
      <c r="D16199" s="13" t="n">
        <f aca="false">IF(B16199&lt;5,Einstellungen!$B$3,Einstellungen!$B$4)</f>
        <v>29.13</v>
      </c>
      <c r="E16199" s="14" t="str">
        <f aca="false">IF(C16199="","",C16199*D16199/100)</f>
        <v/>
      </c>
      <c r="F16199" s="15" t="str">
        <f aca="false">IF(B16199&lt;5,"Go","Standard")</f>
        <v>Standard</v>
      </c>
    </row>
    <row r="16200" customFormat="false" ht="15" hidden="false" customHeight="true" outlineLevel="0" collapsed="false">
      <c r="A16200" s="10" t="n">
        <f aca="false">Einstellungen!$B$5+INT((ROW()-9)/24)</f>
        <v>46640</v>
      </c>
      <c r="B16200" s="11" t="n">
        <f aca="false">MOD(ROW()-9,24)</f>
        <v>15</v>
      </c>
      <c r="C16200" s="12"/>
      <c r="D16200" s="13" t="n">
        <f aca="false">IF(B16200&lt;5,Einstellungen!$B$3,Einstellungen!$B$4)</f>
        <v>29.13</v>
      </c>
      <c r="E16200" s="14" t="str">
        <f aca="false">IF(C16200="","",C16200*D16200/100)</f>
        <v/>
      </c>
      <c r="F16200" s="15" t="str">
        <f aca="false">IF(B16200&lt;5,"Go","Standard")</f>
        <v>Standard</v>
      </c>
    </row>
    <row r="16201" customFormat="false" ht="15" hidden="false" customHeight="true" outlineLevel="0" collapsed="false">
      <c r="A16201" s="10" t="n">
        <f aca="false">Einstellungen!$B$5+INT((ROW()-9)/24)</f>
        <v>46640</v>
      </c>
      <c r="B16201" s="11" t="n">
        <f aca="false">MOD(ROW()-9,24)</f>
        <v>16</v>
      </c>
      <c r="C16201" s="12"/>
      <c r="D16201" s="13" t="n">
        <f aca="false">IF(B16201&lt;5,Einstellungen!$B$3,Einstellungen!$B$4)</f>
        <v>29.13</v>
      </c>
      <c r="E16201" s="14" t="str">
        <f aca="false">IF(C16201="","",C16201*D16201/100)</f>
        <v/>
      </c>
      <c r="F16201" s="15" t="str">
        <f aca="false">IF(B16201&lt;5,"Go","Standard")</f>
        <v>Standard</v>
      </c>
    </row>
    <row r="16202" customFormat="false" ht="15" hidden="false" customHeight="true" outlineLevel="0" collapsed="false">
      <c r="A16202" s="10" t="n">
        <f aca="false">Einstellungen!$B$5+INT((ROW()-9)/24)</f>
        <v>46640</v>
      </c>
      <c r="B16202" s="11" t="n">
        <f aca="false">MOD(ROW()-9,24)</f>
        <v>17</v>
      </c>
      <c r="C16202" s="12"/>
      <c r="D16202" s="13" t="n">
        <f aca="false">IF(B16202&lt;5,Einstellungen!$B$3,Einstellungen!$B$4)</f>
        <v>29.13</v>
      </c>
      <c r="E16202" s="14" t="str">
        <f aca="false">IF(C16202="","",C16202*D16202/100)</f>
        <v/>
      </c>
      <c r="F16202" s="15" t="str">
        <f aca="false">IF(B16202&lt;5,"Go","Standard")</f>
        <v>Standard</v>
      </c>
    </row>
    <row r="16203" customFormat="false" ht="15" hidden="false" customHeight="true" outlineLevel="0" collapsed="false">
      <c r="A16203" s="10" t="n">
        <f aca="false">Einstellungen!$B$5+INT((ROW()-9)/24)</f>
        <v>46640</v>
      </c>
      <c r="B16203" s="11" t="n">
        <f aca="false">MOD(ROW()-9,24)</f>
        <v>18</v>
      </c>
      <c r="C16203" s="12"/>
      <c r="D16203" s="13" t="n">
        <f aca="false">IF(B16203&lt;5,Einstellungen!$B$3,Einstellungen!$B$4)</f>
        <v>29.13</v>
      </c>
      <c r="E16203" s="14" t="str">
        <f aca="false">IF(C16203="","",C16203*D16203/100)</f>
        <v/>
      </c>
      <c r="F16203" s="15" t="str">
        <f aca="false">IF(B16203&lt;5,"Go","Standard")</f>
        <v>Standard</v>
      </c>
    </row>
    <row r="16204" customFormat="false" ht="15" hidden="false" customHeight="true" outlineLevel="0" collapsed="false">
      <c r="A16204" s="10" t="n">
        <f aca="false">Einstellungen!$B$5+INT((ROW()-9)/24)</f>
        <v>46640</v>
      </c>
      <c r="B16204" s="11" t="n">
        <f aca="false">MOD(ROW()-9,24)</f>
        <v>19</v>
      </c>
      <c r="C16204" s="12"/>
      <c r="D16204" s="13" t="n">
        <f aca="false">IF(B16204&lt;5,Einstellungen!$B$3,Einstellungen!$B$4)</f>
        <v>29.13</v>
      </c>
      <c r="E16204" s="14" t="str">
        <f aca="false">IF(C16204="","",C16204*D16204/100)</f>
        <v/>
      </c>
      <c r="F16204" s="15" t="str">
        <f aca="false">IF(B16204&lt;5,"Go","Standard")</f>
        <v>Standard</v>
      </c>
    </row>
    <row r="16205" customFormat="false" ht="15" hidden="false" customHeight="true" outlineLevel="0" collapsed="false">
      <c r="A16205" s="10" t="n">
        <f aca="false">Einstellungen!$B$5+INT((ROW()-9)/24)</f>
        <v>46640</v>
      </c>
      <c r="B16205" s="11" t="n">
        <f aca="false">MOD(ROW()-9,24)</f>
        <v>20</v>
      </c>
      <c r="C16205" s="12"/>
      <c r="D16205" s="13" t="n">
        <f aca="false">IF(B16205&lt;5,Einstellungen!$B$3,Einstellungen!$B$4)</f>
        <v>29.13</v>
      </c>
      <c r="E16205" s="14" t="str">
        <f aca="false">IF(C16205="","",C16205*D16205/100)</f>
        <v/>
      </c>
      <c r="F16205" s="15" t="str">
        <f aca="false">IF(B16205&lt;5,"Go","Standard")</f>
        <v>Standard</v>
      </c>
    </row>
    <row r="16206" customFormat="false" ht="15" hidden="false" customHeight="true" outlineLevel="0" collapsed="false">
      <c r="A16206" s="10" t="n">
        <f aca="false">Einstellungen!$B$5+INT((ROW()-9)/24)</f>
        <v>46640</v>
      </c>
      <c r="B16206" s="11" t="n">
        <f aca="false">MOD(ROW()-9,24)</f>
        <v>21</v>
      </c>
      <c r="C16206" s="12"/>
      <c r="D16206" s="13" t="n">
        <f aca="false">IF(B16206&lt;5,Einstellungen!$B$3,Einstellungen!$B$4)</f>
        <v>29.13</v>
      </c>
      <c r="E16206" s="14" t="str">
        <f aca="false">IF(C16206="","",C16206*D16206/100)</f>
        <v/>
      </c>
      <c r="F16206" s="15" t="str">
        <f aca="false">IF(B16206&lt;5,"Go","Standard")</f>
        <v>Standard</v>
      </c>
    </row>
    <row r="16207" customFormat="false" ht="15" hidden="false" customHeight="true" outlineLevel="0" collapsed="false">
      <c r="A16207" s="10" t="n">
        <f aca="false">Einstellungen!$B$5+INT((ROW()-9)/24)</f>
        <v>46640</v>
      </c>
      <c r="B16207" s="11" t="n">
        <f aca="false">MOD(ROW()-9,24)</f>
        <v>22</v>
      </c>
      <c r="C16207" s="12"/>
      <c r="D16207" s="13" t="n">
        <f aca="false">IF(B16207&lt;5,Einstellungen!$B$3,Einstellungen!$B$4)</f>
        <v>29.13</v>
      </c>
      <c r="E16207" s="14" t="str">
        <f aca="false">IF(C16207="","",C16207*D16207/100)</f>
        <v/>
      </c>
      <c r="F16207" s="15" t="str">
        <f aca="false">IF(B16207&lt;5,"Go","Standard")</f>
        <v>Standard</v>
      </c>
    </row>
    <row r="16208" customFormat="false" ht="15" hidden="false" customHeight="true" outlineLevel="0" collapsed="false">
      <c r="A16208" s="10" t="n">
        <f aca="false">Einstellungen!$B$5+INT((ROW()-9)/24)</f>
        <v>46640</v>
      </c>
      <c r="B16208" s="11" t="n">
        <f aca="false">MOD(ROW()-9,24)</f>
        <v>23</v>
      </c>
      <c r="C16208" s="12"/>
      <c r="D16208" s="13" t="n">
        <f aca="false">IF(B16208&lt;5,Einstellungen!$B$3,Einstellungen!$B$4)</f>
        <v>29.13</v>
      </c>
      <c r="E16208" s="14" t="str">
        <f aca="false">IF(C16208="","",C16208*D16208/100)</f>
        <v/>
      </c>
      <c r="F16208" s="15" t="str">
        <f aca="false">IF(B16208&lt;5,"Go","Standard")</f>
        <v>Standard</v>
      </c>
    </row>
    <row r="16209" customFormat="false" ht="15" hidden="false" customHeight="true" outlineLevel="0" collapsed="false">
      <c r="A16209" s="10" t="n">
        <f aca="false">Einstellungen!$B$5+INT((ROW()-9)/24)</f>
        <v>46641</v>
      </c>
      <c r="B16209" s="11" t="n">
        <f aca="false">MOD(ROW()-9,24)</f>
        <v>0</v>
      </c>
      <c r="C16209" s="12"/>
      <c r="D16209" s="13" t="n">
        <f aca="false">IF(B16209&lt;5,Einstellungen!$B$3,Einstellungen!$B$4)</f>
        <v>15.92</v>
      </c>
      <c r="E16209" s="14" t="str">
        <f aca="false">IF(C16209="","",C16209*D16209/100)</f>
        <v/>
      </c>
      <c r="F16209" s="15" t="str">
        <f aca="false">IF(B16209&lt;5,"Go","Standard")</f>
        <v>Go</v>
      </c>
    </row>
    <row r="16210" customFormat="false" ht="15" hidden="false" customHeight="true" outlineLevel="0" collapsed="false">
      <c r="A16210" s="10" t="n">
        <f aca="false">Einstellungen!$B$5+INT((ROW()-9)/24)</f>
        <v>46641</v>
      </c>
      <c r="B16210" s="11" t="n">
        <f aca="false">MOD(ROW()-9,24)</f>
        <v>1</v>
      </c>
      <c r="C16210" s="12"/>
      <c r="D16210" s="13" t="n">
        <f aca="false">IF(B16210&lt;5,Einstellungen!$B$3,Einstellungen!$B$4)</f>
        <v>15.92</v>
      </c>
      <c r="E16210" s="14" t="str">
        <f aca="false">IF(C16210="","",C16210*D16210/100)</f>
        <v/>
      </c>
      <c r="F16210" s="15" t="str">
        <f aca="false">IF(B16210&lt;5,"Go","Standard")</f>
        <v>Go</v>
      </c>
    </row>
    <row r="16211" customFormat="false" ht="15" hidden="false" customHeight="true" outlineLevel="0" collapsed="false">
      <c r="A16211" s="10" t="n">
        <f aca="false">Einstellungen!$B$5+INT((ROW()-9)/24)</f>
        <v>46641</v>
      </c>
      <c r="B16211" s="11" t="n">
        <f aca="false">MOD(ROW()-9,24)</f>
        <v>2</v>
      </c>
      <c r="C16211" s="12"/>
      <c r="D16211" s="13" t="n">
        <f aca="false">IF(B16211&lt;5,Einstellungen!$B$3,Einstellungen!$B$4)</f>
        <v>15.92</v>
      </c>
      <c r="E16211" s="14" t="str">
        <f aca="false">IF(C16211="","",C16211*D16211/100)</f>
        <v/>
      </c>
      <c r="F16211" s="15" t="str">
        <f aca="false">IF(B16211&lt;5,"Go","Standard")</f>
        <v>Go</v>
      </c>
    </row>
    <row r="16212" customFormat="false" ht="15" hidden="false" customHeight="true" outlineLevel="0" collapsed="false">
      <c r="A16212" s="10" t="n">
        <f aca="false">Einstellungen!$B$5+INT((ROW()-9)/24)</f>
        <v>46641</v>
      </c>
      <c r="B16212" s="11" t="n">
        <f aca="false">MOD(ROW()-9,24)</f>
        <v>3</v>
      </c>
      <c r="C16212" s="12"/>
      <c r="D16212" s="13" t="n">
        <f aca="false">IF(B16212&lt;5,Einstellungen!$B$3,Einstellungen!$B$4)</f>
        <v>15.92</v>
      </c>
      <c r="E16212" s="14" t="str">
        <f aca="false">IF(C16212="","",C16212*D16212/100)</f>
        <v/>
      </c>
      <c r="F16212" s="15" t="str">
        <f aca="false">IF(B16212&lt;5,"Go","Standard")</f>
        <v>Go</v>
      </c>
    </row>
    <row r="16213" customFormat="false" ht="15" hidden="false" customHeight="true" outlineLevel="0" collapsed="false">
      <c r="A16213" s="10" t="n">
        <f aca="false">Einstellungen!$B$5+INT((ROW()-9)/24)</f>
        <v>46641</v>
      </c>
      <c r="B16213" s="11" t="n">
        <f aca="false">MOD(ROW()-9,24)</f>
        <v>4</v>
      </c>
      <c r="C16213" s="12"/>
      <c r="D16213" s="13" t="n">
        <f aca="false">IF(B16213&lt;5,Einstellungen!$B$3,Einstellungen!$B$4)</f>
        <v>15.92</v>
      </c>
      <c r="E16213" s="14" t="str">
        <f aca="false">IF(C16213="","",C16213*D16213/100)</f>
        <v/>
      </c>
      <c r="F16213" s="15" t="str">
        <f aca="false">IF(B16213&lt;5,"Go","Standard")</f>
        <v>Go</v>
      </c>
    </row>
    <row r="16214" customFormat="false" ht="15" hidden="false" customHeight="true" outlineLevel="0" collapsed="false">
      <c r="A16214" s="10" t="n">
        <f aca="false">Einstellungen!$B$5+INT((ROW()-9)/24)</f>
        <v>46641</v>
      </c>
      <c r="B16214" s="11" t="n">
        <f aca="false">MOD(ROW()-9,24)</f>
        <v>5</v>
      </c>
      <c r="C16214" s="12"/>
      <c r="D16214" s="13" t="n">
        <f aca="false">IF(B16214&lt;5,Einstellungen!$B$3,Einstellungen!$B$4)</f>
        <v>29.13</v>
      </c>
      <c r="E16214" s="14" t="str">
        <f aca="false">IF(C16214="","",C16214*D16214/100)</f>
        <v/>
      </c>
      <c r="F16214" s="15" t="str">
        <f aca="false">IF(B16214&lt;5,"Go","Standard")</f>
        <v>Standard</v>
      </c>
    </row>
    <row r="16215" customFormat="false" ht="15" hidden="false" customHeight="true" outlineLevel="0" collapsed="false">
      <c r="A16215" s="10" t="n">
        <f aca="false">Einstellungen!$B$5+INT((ROW()-9)/24)</f>
        <v>46641</v>
      </c>
      <c r="B16215" s="11" t="n">
        <f aca="false">MOD(ROW()-9,24)</f>
        <v>6</v>
      </c>
      <c r="C16215" s="12"/>
      <c r="D16215" s="13" t="n">
        <f aca="false">IF(B16215&lt;5,Einstellungen!$B$3,Einstellungen!$B$4)</f>
        <v>29.13</v>
      </c>
      <c r="E16215" s="14" t="str">
        <f aca="false">IF(C16215="","",C16215*D16215/100)</f>
        <v/>
      </c>
      <c r="F16215" s="15" t="str">
        <f aca="false">IF(B16215&lt;5,"Go","Standard")</f>
        <v>Standard</v>
      </c>
    </row>
    <row r="16216" customFormat="false" ht="15" hidden="false" customHeight="true" outlineLevel="0" collapsed="false">
      <c r="A16216" s="10" t="n">
        <f aca="false">Einstellungen!$B$5+INT((ROW()-9)/24)</f>
        <v>46641</v>
      </c>
      <c r="B16216" s="11" t="n">
        <f aca="false">MOD(ROW()-9,24)</f>
        <v>7</v>
      </c>
      <c r="C16216" s="12"/>
      <c r="D16216" s="13" t="n">
        <f aca="false">IF(B16216&lt;5,Einstellungen!$B$3,Einstellungen!$B$4)</f>
        <v>29.13</v>
      </c>
      <c r="E16216" s="14" t="str">
        <f aca="false">IF(C16216="","",C16216*D16216/100)</f>
        <v/>
      </c>
      <c r="F16216" s="15" t="str">
        <f aca="false">IF(B16216&lt;5,"Go","Standard")</f>
        <v>Standard</v>
      </c>
    </row>
    <row r="16217" customFormat="false" ht="15" hidden="false" customHeight="true" outlineLevel="0" collapsed="false">
      <c r="A16217" s="10" t="n">
        <f aca="false">Einstellungen!$B$5+INT((ROW()-9)/24)</f>
        <v>46641</v>
      </c>
      <c r="B16217" s="11" t="n">
        <f aca="false">MOD(ROW()-9,24)</f>
        <v>8</v>
      </c>
      <c r="C16217" s="12"/>
      <c r="D16217" s="13" t="n">
        <f aca="false">IF(B16217&lt;5,Einstellungen!$B$3,Einstellungen!$B$4)</f>
        <v>29.13</v>
      </c>
      <c r="E16217" s="14" t="str">
        <f aca="false">IF(C16217="","",C16217*D16217/100)</f>
        <v/>
      </c>
      <c r="F16217" s="15" t="str">
        <f aca="false">IF(B16217&lt;5,"Go","Standard")</f>
        <v>Standard</v>
      </c>
    </row>
    <row r="16218" customFormat="false" ht="15" hidden="false" customHeight="true" outlineLevel="0" collapsed="false">
      <c r="A16218" s="10" t="n">
        <f aca="false">Einstellungen!$B$5+INT((ROW()-9)/24)</f>
        <v>46641</v>
      </c>
      <c r="B16218" s="11" t="n">
        <f aca="false">MOD(ROW()-9,24)</f>
        <v>9</v>
      </c>
      <c r="C16218" s="12"/>
      <c r="D16218" s="13" t="n">
        <f aca="false">IF(B16218&lt;5,Einstellungen!$B$3,Einstellungen!$B$4)</f>
        <v>29.13</v>
      </c>
      <c r="E16218" s="14" t="str">
        <f aca="false">IF(C16218="","",C16218*D16218/100)</f>
        <v/>
      </c>
      <c r="F16218" s="15" t="str">
        <f aca="false">IF(B16218&lt;5,"Go","Standard")</f>
        <v>Standard</v>
      </c>
    </row>
    <row r="16219" customFormat="false" ht="15" hidden="false" customHeight="true" outlineLevel="0" collapsed="false">
      <c r="A16219" s="10" t="n">
        <f aca="false">Einstellungen!$B$5+INT((ROW()-9)/24)</f>
        <v>46641</v>
      </c>
      <c r="B16219" s="11" t="n">
        <f aca="false">MOD(ROW()-9,24)</f>
        <v>10</v>
      </c>
      <c r="C16219" s="12"/>
      <c r="D16219" s="13" t="n">
        <f aca="false">IF(B16219&lt;5,Einstellungen!$B$3,Einstellungen!$B$4)</f>
        <v>29.13</v>
      </c>
      <c r="E16219" s="14" t="str">
        <f aca="false">IF(C16219="","",C16219*D16219/100)</f>
        <v/>
      </c>
      <c r="F16219" s="15" t="str">
        <f aca="false">IF(B16219&lt;5,"Go","Standard")</f>
        <v>Standard</v>
      </c>
    </row>
    <row r="16220" customFormat="false" ht="15" hidden="false" customHeight="true" outlineLevel="0" collapsed="false">
      <c r="A16220" s="10" t="n">
        <f aca="false">Einstellungen!$B$5+INT((ROW()-9)/24)</f>
        <v>46641</v>
      </c>
      <c r="B16220" s="11" t="n">
        <f aca="false">MOD(ROW()-9,24)</f>
        <v>11</v>
      </c>
      <c r="C16220" s="12"/>
      <c r="D16220" s="13" t="n">
        <f aca="false">IF(B16220&lt;5,Einstellungen!$B$3,Einstellungen!$B$4)</f>
        <v>29.13</v>
      </c>
      <c r="E16220" s="14" t="str">
        <f aca="false">IF(C16220="","",C16220*D16220/100)</f>
        <v/>
      </c>
      <c r="F16220" s="15" t="str">
        <f aca="false">IF(B16220&lt;5,"Go","Standard")</f>
        <v>Standard</v>
      </c>
    </row>
    <row r="16221" customFormat="false" ht="15" hidden="false" customHeight="true" outlineLevel="0" collapsed="false">
      <c r="A16221" s="10" t="n">
        <f aca="false">Einstellungen!$B$5+INT((ROW()-9)/24)</f>
        <v>46641</v>
      </c>
      <c r="B16221" s="11" t="n">
        <f aca="false">MOD(ROW()-9,24)</f>
        <v>12</v>
      </c>
      <c r="C16221" s="12"/>
      <c r="D16221" s="13" t="n">
        <f aca="false">IF(B16221&lt;5,Einstellungen!$B$3,Einstellungen!$B$4)</f>
        <v>29.13</v>
      </c>
      <c r="E16221" s="14" t="str">
        <f aca="false">IF(C16221="","",C16221*D16221/100)</f>
        <v/>
      </c>
      <c r="F16221" s="15" t="str">
        <f aca="false">IF(B16221&lt;5,"Go","Standard")</f>
        <v>Standard</v>
      </c>
    </row>
    <row r="16222" customFormat="false" ht="15" hidden="false" customHeight="true" outlineLevel="0" collapsed="false">
      <c r="A16222" s="10" t="n">
        <f aca="false">Einstellungen!$B$5+INT((ROW()-9)/24)</f>
        <v>46641</v>
      </c>
      <c r="B16222" s="11" t="n">
        <f aca="false">MOD(ROW()-9,24)</f>
        <v>13</v>
      </c>
      <c r="C16222" s="12"/>
      <c r="D16222" s="13" t="n">
        <f aca="false">IF(B16222&lt;5,Einstellungen!$B$3,Einstellungen!$B$4)</f>
        <v>29.13</v>
      </c>
      <c r="E16222" s="14" t="str">
        <f aca="false">IF(C16222="","",C16222*D16222/100)</f>
        <v/>
      </c>
      <c r="F16222" s="15" t="str">
        <f aca="false">IF(B16222&lt;5,"Go","Standard")</f>
        <v>Standard</v>
      </c>
    </row>
    <row r="16223" customFormat="false" ht="15" hidden="false" customHeight="true" outlineLevel="0" collapsed="false">
      <c r="A16223" s="10" t="n">
        <f aca="false">Einstellungen!$B$5+INT((ROW()-9)/24)</f>
        <v>46641</v>
      </c>
      <c r="B16223" s="11" t="n">
        <f aca="false">MOD(ROW()-9,24)</f>
        <v>14</v>
      </c>
      <c r="C16223" s="12"/>
      <c r="D16223" s="13" t="n">
        <f aca="false">IF(B16223&lt;5,Einstellungen!$B$3,Einstellungen!$B$4)</f>
        <v>29.13</v>
      </c>
      <c r="E16223" s="14" t="str">
        <f aca="false">IF(C16223="","",C16223*D16223/100)</f>
        <v/>
      </c>
      <c r="F16223" s="15" t="str">
        <f aca="false">IF(B16223&lt;5,"Go","Standard")</f>
        <v>Standard</v>
      </c>
    </row>
    <row r="16224" customFormat="false" ht="15" hidden="false" customHeight="true" outlineLevel="0" collapsed="false">
      <c r="A16224" s="10" t="n">
        <f aca="false">Einstellungen!$B$5+INT((ROW()-9)/24)</f>
        <v>46641</v>
      </c>
      <c r="B16224" s="11" t="n">
        <f aca="false">MOD(ROW()-9,24)</f>
        <v>15</v>
      </c>
      <c r="C16224" s="12"/>
      <c r="D16224" s="13" t="n">
        <f aca="false">IF(B16224&lt;5,Einstellungen!$B$3,Einstellungen!$B$4)</f>
        <v>29.13</v>
      </c>
      <c r="E16224" s="14" t="str">
        <f aca="false">IF(C16224="","",C16224*D16224/100)</f>
        <v/>
      </c>
      <c r="F16224" s="15" t="str">
        <f aca="false">IF(B16224&lt;5,"Go","Standard")</f>
        <v>Standard</v>
      </c>
    </row>
    <row r="16225" customFormat="false" ht="15" hidden="false" customHeight="true" outlineLevel="0" collapsed="false">
      <c r="A16225" s="10" t="n">
        <f aca="false">Einstellungen!$B$5+INT((ROW()-9)/24)</f>
        <v>46641</v>
      </c>
      <c r="B16225" s="11" t="n">
        <f aca="false">MOD(ROW()-9,24)</f>
        <v>16</v>
      </c>
      <c r="C16225" s="12"/>
      <c r="D16225" s="13" t="n">
        <f aca="false">IF(B16225&lt;5,Einstellungen!$B$3,Einstellungen!$B$4)</f>
        <v>29.13</v>
      </c>
      <c r="E16225" s="14" t="str">
        <f aca="false">IF(C16225="","",C16225*D16225/100)</f>
        <v/>
      </c>
      <c r="F16225" s="15" t="str">
        <f aca="false">IF(B16225&lt;5,"Go","Standard")</f>
        <v>Standard</v>
      </c>
    </row>
    <row r="16226" customFormat="false" ht="15" hidden="false" customHeight="true" outlineLevel="0" collapsed="false">
      <c r="A16226" s="10" t="n">
        <f aca="false">Einstellungen!$B$5+INT((ROW()-9)/24)</f>
        <v>46641</v>
      </c>
      <c r="B16226" s="11" t="n">
        <f aca="false">MOD(ROW()-9,24)</f>
        <v>17</v>
      </c>
      <c r="C16226" s="12"/>
      <c r="D16226" s="13" t="n">
        <f aca="false">IF(B16226&lt;5,Einstellungen!$B$3,Einstellungen!$B$4)</f>
        <v>29.13</v>
      </c>
      <c r="E16226" s="14" t="str">
        <f aca="false">IF(C16226="","",C16226*D16226/100)</f>
        <v/>
      </c>
      <c r="F16226" s="15" t="str">
        <f aca="false">IF(B16226&lt;5,"Go","Standard")</f>
        <v>Standard</v>
      </c>
    </row>
    <row r="16227" customFormat="false" ht="15" hidden="false" customHeight="true" outlineLevel="0" collapsed="false">
      <c r="A16227" s="10" t="n">
        <f aca="false">Einstellungen!$B$5+INT((ROW()-9)/24)</f>
        <v>46641</v>
      </c>
      <c r="B16227" s="11" t="n">
        <f aca="false">MOD(ROW()-9,24)</f>
        <v>18</v>
      </c>
      <c r="C16227" s="12"/>
      <c r="D16227" s="13" t="n">
        <f aca="false">IF(B16227&lt;5,Einstellungen!$B$3,Einstellungen!$B$4)</f>
        <v>29.13</v>
      </c>
      <c r="E16227" s="14" t="str">
        <f aca="false">IF(C16227="","",C16227*D16227/100)</f>
        <v/>
      </c>
      <c r="F16227" s="15" t="str">
        <f aca="false">IF(B16227&lt;5,"Go","Standard")</f>
        <v>Standard</v>
      </c>
    </row>
    <row r="16228" customFormat="false" ht="15" hidden="false" customHeight="true" outlineLevel="0" collapsed="false">
      <c r="A16228" s="10" t="n">
        <f aca="false">Einstellungen!$B$5+INT((ROW()-9)/24)</f>
        <v>46641</v>
      </c>
      <c r="B16228" s="11" t="n">
        <f aca="false">MOD(ROW()-9,24)</f>
        <v>19</v>
      </c>
      <c r="C16228" s="12"/>
      <c r="D16228" s="13" t="n">
        <f aca="false">IF(B16228&lt;5,Einstellungen!$B$3,Einstellungen!$B$4)</f>
        <v>29.13</v>
      </c>
      <c r="E16228" s="14" t="str">
        <f aca="false">IF(C16228="","",C16228*D16228/100)</f>
        <v/>
      </c>
      <c r="F16228" s="15" t="str">
        <f aca="false">IF(B16228&lt;5,"Go","Standard")</f>
        <v>Standard</v>
      </c>
    </row>
    <row r="16229" customFormat="false" ht="15" hidden="false" customHeight="true" outlineLevel="0" collapsed="false">
      <c r="A16229" s="10" t="n">
        <f aca="false">Einstellungen!$B$5+INT((ROW()-9)/24)</f>
        <v>46641</v>
      </c>
      <c r="B16229" s="11" t="n">
        <f aca="false">MOD(ROW()-9,24)</f>
        <v>20</v>
      </c>
      <c r="C16229" s="12"/>
      <c r="D16229" s="13" t="n">
        <f aca="false">IF(B16229&lt;5,Einstellungen!$B$3,Einstellungen!$B$4)</f>
        <v>29.13</v>
      </c>
      <c r="E16229" s="14" t="str">
        <f aca="false">IF(C16229="","",C16229*D16229/100)</f>
        <v/>
      </c>
      <c r="F16229" s="15" t="str">
        <f aca="false">IF(B16229&lt;5,"Go","Standard")</f>
        <v>Standard</v>
      </c>
    </row>
    <row r="16230" customFormat="false" ht="15" hidden="false" customHeight="true" outlineLevel="0" collapsed="false">
      <c r="A16230" s="10" t="n">
        <f aca="false">Einstellungen!$B$5+INT((ROW()-9)/24)</f>
        <v>46641</v>
      </c>
      <c r="B16230" s="11" t="n">
        <f aca="false">MOD(ROW()-9,24)</f>
        <v>21</v>
      </c>
      <c r="C16230" s="12"/>
      <c r="D16230" s="13" t="n">
        <f aca="false">IF(B16230&lt;5,Einstellungen!$B$3,Einstellungen!$B$4)</f>
        <v>29.13</v>
      </c>
      <c r="E16230" s="14" t="str">
        <f aca="false">IF(C16230="","",C16230*D16230/100)</f>
        <v/>
      </c>
      <c r="F16230" s="15" t="str">
        <f aca="false">IF(B16230&lt;5,"Go","Standard")</f>
        <v>Standard</v>
      </c>
    </row>
    <row r="16231" customFormat="false" ht="15" hidden="false" customHeight="true" outlineLevel="0" collapsed="false">
      <c r="A16231" s="10" t="n">
        <f aca="false">Einstellungen!$B$5+INT((ROW()-9)/24)</f>
        <v>46641</v>
      </c>
      <c r="B16231" s="11" t="n">
        <f aca="false">MOD(ROW()-9,24)</f>
        <v>22</v>
      </c>
      <c r="C16231" s="12"/>
      <c r="D16231" s="13" t="n">
        <f aca="false">IF(B16231&lt;5,Einstellungen!$B$3,Einstellungen!$B$4)</f>
        <v>29.13</v>
      </c>
      <c r="E16231" s="14" t="str">
        <f aca="false">IF(C16231="","",C16231*D16231/100)</f>
        <v/>
      </c>
      <c r="F16231" s="15" t="str">
        <f aca="false">IF(B16231&lt;5,"Go","Standard")</f>
        <v>Standard</v>
      </c>
    </row>
    <row r="16232" customFormat="false" ht="15" hidden="false" customHeight="true" outlineLevel="0" collapsed="false">
      <c r="A16232" s="10" t="n">
        <f aca="false">Einstellungen!$B$5+INT((ROW()-9)/24)</f>
        <v>46641</v>
      </c>
      <c r="B16232" s="11" t="n">
        <f aca="false">MOD(ROW()-9,24)</f>
        <v>23</v>
      </c>
      <c r="C16232" s="12"/>
      <c r="D16232" s="13" t="n">
        <f aca="false">IF(B16232&lt;5,Einstellungen!$B$3,Einstellungen!$B$4)</f>
        <v>29.13</v>
      </c>
      <c r="E16232" s="14" t="str">
        <f aca="false">IF(C16232="","",C16232*D16232/100)</f>
        <v/>
      </c>
      <c r="F16232" s="15" t="str">
        <f aca="false">IF(B16232&lt;5,"Go","Standard")</f>
        <v>Standard</v>
      </c>
    </row>
    <row r="16233" customFormat="false" ht="15" hidden="false" customHeight="true" outlineLevel="0" collapsed="false">
      <c r="A16233" s="10" t="n">
        <f aca="false">Einstellungen!$B$5+INT((ROW()-9)/24)</f>
        <v>46642</v>
      </c>
      <c r="B16233" s="11" t="n">
        <f aca="false">MOD(ROW()-9,24)</f>
        <v>0</v>
      </c>
      <c r="C16233" s="12"/>
      <c r="D16233" s="13" t="n">
        <f aca="false">IF(B16233&lt;5,Einstellungen!$B$3,Einstellungen!$B$4)</f>
        <v>15.92</v>
      </c>
      <c r="E16233" s="14" t="str">
        <f aca="false">IF(C16233="","",C16233*D16233/100)</f>
        <v/>
      </c>
      <c r="F16233" s="15" t="str">
        <f aca="false">IF(B16233&lt;5,"Go","Standard")</f>
        <v>Go</v>
      </c>
    </row>
    <row r="16234" customFormat="false" ht="15" hidden="false" customHeight="true" outlineLevel="0" collapsed="false">
      <c r="A16234" s="10" t="n">
        <f aca="false">Einstellungen!$B$5+INT((ROW()-9)/24)</f>
        <v>46642</v>
      </c>
      <c r="B16234" s="11" t="n">
        <f aca="false">MOD(ROW()-9,24)</f>
        <v>1</v>
      </c>
      <c r="C16234" s="12"/>
      <c r="D16234" s="13" t="n">
        <f aca="false">IF(B16234&lt;5,Einstellungen!$B$3,Einstellungen!$B$4)</f>
        <v>15.92</v>
      </c>
      <c r="E16234" s="14" t="str">
        <f aca="false">IF(C16234="","",C16234*D16234/100)</f>
        <v/>
      </c>
      <c r="F16234" s="15" t="str">
        <f aca="false">IF(B16234&lt;5,"Go","Standard")</f>
        <v>Go</v>
      </c>
    </row>
    <row r="16235" customFormat="false" ht="15" hidden="false" customHeight="true" outlineLevel="0" collapsed="false">
      <c r="A16235" s="10" t="n">
        <f aca="false">Einstellungen!$B$5+INT((ROW()-9)/24)</f>
        <v>46642</v>
      </c>
      <c r="B16235" s="11" t="n">
        <f aca="false">MOD(ROW()-9,24)</f>
        <v>2</v>
      </c>
      <c r="C16235" s="12"/>
      <c r="D16235" s="13" t="n">
        <f aca="false">IF(B16235&lt;5,Einstellungen!$B$3,Einstellungen!$B$4)</f>
        <v>15.92</v>
      </c>
      <c r="E16235" s="14" t="str">
        <f aca="false">IF(C16235="","",C16235*D16235/100)</f>
        <v/>
      </c>
      <c r="F16235" s="15" t="str">
        <f aca="false">IF(B16235&lt;5,"Go","Standard")</f>
        <v>Go</v>
      </c>
    </row>
    <row r="16236" customFormat="false" ht="15" hidden="false" customHeight="true" outlineLevel="0" collapsed="false">
      <c r="A16236" s="10" t="n">
        <f aca="false">Einstellungen!$B$5+INT((ROW()-9)/24)</f>
        <v>46642</v>
      </c>
      <c r="B16236" s="11" t="n">
        <f aca="false">MOD(ROW()-9,24)</f>
        <v>3</v>
      </c>
      <c r="C16236" s="12"/>
      <c r="D16236" s="13" t="n">
        <f aca="false">IF(B16236&lt;5,Einstellungen!$B$3,Einstellungen!$B$4)</f>
        <v>15.92</v>
      </c>
      <c r="E16236" s="14" t="str">
        <f aca="false">IF(C16236="","",C16236*D16236/100)</f>
        <v/>
      </c>
      <c r="F16236" s="15" t="str">
        <f aca="false">IF(B16236&lt;5,"Go","Standard")</f>
        <v>Go</v>
      </c>
    </row>
    <row r="16237" customFormat="false" ht="15" hidden="false" customHeight="true" outlineLevel="0" collapsed="false">
      <c r="A16237" s="10" t="n">
        <f aca="false">Einstellungen!$B$5+INT((ROW()-9)/24)</f>
        <v>46642</v>
      </c>
      <c r="B16237" s="11" t="n">
        <f aca="false">MOD(ROW()-9,24)</f>
        <v>4</v>
      </c>
      <c r="C16237" s="12"/>
      <c r="D16237" s="13" t="n">
        <f aca="false">IF(B16237&lt;5,Einstellungen!$B$3,Einstellungen!$B$4)</f>
        <v>15.92</v>
      </c>
      <c r="E16237" s="14" t="str">
        <f aca="false">IF(C16237="","",C16237*D16237/100)</f>
        <v/>
      </c>
      <c r="F16237" s="15" t="str">
        <f aca="false">IF(B16237&lt;5,"Go","Standard")</f>
        <v>Go</v>
      </c>
    </row>
    <row r="16238" customFormat="false" ht="15" hidden="false" customHeight="true" outlineLevel="0" collapsed="false">
      <c r="A16238" s="10" t="n">
        <f aca="false">Einstellungen!$B$5+INT((ROW()-9)/24)</f>
        <v>46642</v>
      </c>
      <c r="B16238" s="11" t="n">
        <f aca="false">MOD(ROW()-9,24)</f>
        <v>5</v>
      </c>
      <c r="C16238" s="12"/>
      <c r="D16238" s="13" t="n">
        <f aca="false">IF(B16238&lt;5,Einstellungen!$B$3,Einstellungen!$B$4)</f>
        <v>29.13</v>
      </c>
      <c r="E16238" s="14" t="str">
        <f aca="false">IF(C16238="","",C16238*D16238/100)</f>
        <v/>
      </c>
      <c r="F16238" s="15" t="str">
        <f aca="false">IF(B16238&lt;5,"Go","Standard")</f>
        <v>Standard</v>
      </c>
    </row>
    <row r="16239" customFormat="false" ht="15" hidden="false" customHeight="true" outlineLevel="0" collapsed="false">
      <c r="A16239" s="10" t="n">
        <f aca="false">Einstellungen!$B$5+INT((ROW()-9)/24)</f>
        <v>46642</v>
      </c>
      <c r="B16239" s="11" t="n">
        <f aca="false">MOD(ROW()-9,24)</f>
        <v>6</v>
      </c>
      <c r="C16239" s="12"/>
      <c r="D16239" s="13" t="n">
        <f aca="false">IF(B16239&lt;5,Einstellungen!$B$3,Einstellungen!$B$4)</f>
        <v>29.13</v>
      </c>
      <c r="E16239" s="14" t="str">
        <f aca="false">IF(C16239="","",C16239*D16239/100)</f>
        <v/>
      </c>
      <c r="F16239" s="15" t="str">
        <f aca="false">IF(B16239&lt;5,"Go","Standard")</f>
        <v>Standard</v>
      </c>
    </row>
    <row r="16240" customFormat="false" ht="15" hidden="false" customHeight="true" outlineLevel="0" collapsed="false">
      <c r="A16240" s="10" t="n">
        <f aca="false">Einstellungen!$B$5+INT((ROW()-9)/24)</f>
        <v>46642</v>
      </c>
      <c r="B16240" s="11" t="n">
        <f aca="false">MOD(ROW()-9,24)</f>
        <v>7</v>
      </c>
      <c r="C16240" s="12"/>
      <c r="D16240" s="13" t="n">
        <f aca="false">IF(B16240&lt;5,Einstellungen!$B$3,Einstellungen!$B$4)</f>
        <v>29.13</v>
      </c>
      <c r="E16240" s="14" t="str">
        <f aca="false">IF(C16240="","",C16240*D16240/100)</f>
        <v/>
      </c>
      <c r="F16240" s="15" t="str">
        <f aca="false">IF(B16240&lt;5,"Go","Standard")</f>
        <v>Standard</v>
      </c>
    </row>
    <row r="16241" customFormat="false" ht="15" hidden="false" customHeight="true" outlineLevel="0" collapsed="false">
      <c r="A16241" s="10" t="n">
        <f aca="false">Einstellungen!$B$5+INT((ROW()-9)/24)</f>
        <v>46642</v>
      </c>
      <c r="B16241" s="11" t="n">
        <f aca="false">MOD(ROW()-9,24)</f>
        <v>8</v>
      </c>
      <c r="C16241" s="12"/>
      <c r="D16241" s="13" t="n">
        <f aca="false">IF(B16241&lt;5,Einstellungen!$B$3,Einstellungen!$B$4)</f>
        <v>29.13</v>
      </c>
      <c r="E16241" s="14" t="str">
        <f aca="false">IF(C16241="","",C16241*D16241/100)</f>
        <v/>
      </c>
      <c r="F16241" s="15" t="str">
        <f aca="false">IF(B16241&lt;5,"Go","Standard")</f>
        <v>Standard</v>
      </c>
    </row>
    <row r="16242" customFormat="false" ht="15" hidden="false" customHeight="true" outlineLevel="0" collapsed="false">
      <c r="A16242" s="10" t="n">
        <f aca="false">Einstellungen!$B$5+INT((ROW()-9)/24)</f>
        <v>46642</v>
      </c>
      <c r="B16242" s="11" t="n">
        <f aca="false">MOD(ROW()-9,24)</f>
        <v>9</v>
      </c>
      <c r="C16242" s="12"/>
      <c r="D16242" s="13" t="n">
        <f aca="false">IF(B16242&lt;5,Einstellungen!$B$3,Einstellungen!$B$4)</f>
        <v>29.13</v>
      </c>
      <c r="E16242" s="14" t="str">
        <f aca="false">IF(C16242="","",C16242*D16242/100)</f>
        <v/>
      </c>
      <c r="F16242" s="15" t="str">
        <f aca="false">IF(B16242&lt;5,"Go","Standard")</f>
        <v>Standard</v>
      </c>
    </row>
    <row r="16243" customFormat="false" ht="15" hidden="false" customHeight="true" outlineLevel="0" collapsed="false">
      <c r="A16243" s="10" t="n">
        <f aca="false">Einstellungen!$B$5+INT((ROW()-9)/24)</f>
        <v>46642</v>
      </c>
      <c r="B16243" s="11" t="n">
        <f aca="false">MOD(ROW()-9,24)</f>
        <v>10</v>
      </c>
      <c r="C16243" s="12"/>
      <c r="D16243" s="13" t="n">
        <f aca="false">IF(B16243&lt;5,Einstellungen!$B$3,Einstellungen!$B$4)</f>
        <v>29.13</v>
      </c>
      <c r="E16243" s="14" t="str">
        <f aca="false">IF(C16243="","",C16243*D16243/100)</f>
        <v/>
      </c>
      <c r="F16243" s="15" t="str">
        <f aca="false">IF(B16243&lt;5,"Go","Standard")</f>
        <v>Standard</v>
      </c>
    </row>
    <row r="16244" customFormat="false" ht="15" hidden="false" customHeight="true" outlineLevel="0" collapsed="false">
      <c r="A16244" s="10" t="n">
        <f aca="false">Einstellungen!$B$5+INT((ROW()-9)/24)</f>
        <v>46642</v>
      </c>
      <c r="B16244" s="11" t="n">
        <f aca="false">MOD(ROW()-9,24)</f>
        <v>11</v>
      </c>
      <c r="C16244" s="12"/>
      <c r="D16244" s="13" t="n">
        <f aca="false">IF(B16244&lt;5,Einstellungen!$B$3,Einstellungen!$B$4)</f>
        <v>29.13</v>
      </c>
      <c r="E16244" s="14" t="str">
        <f aca="false">IF(C16244="","",C16244*D16244/100)</f>
        <v/>
      </c>
      <c r="F16244" s="15" t="str">
        <f aca="false">IF(B16244&lt;5,"Go","Standard")</f>
        <v>Standard</v>
      </c>
    </row>
    <row r="16245" customFormat="false" ht="15" hidden="false" customHeight="true" outlineLevel="0" collapsed="false">
      <c r="A16245" s="10" t="n">
        <f aca="false">Einstellungen!$B$5+INT((ROW()-9)/24)</f>
        <v>46642</v>
      </c>
      <c r="B16245" s="11" t="n">
        <f aca="false">MOD(ROW()-9,24)</f>
        <v>12</v>
      </c>
      <c r="C16245" s="12"/>
      <c r="D16245" s="13" t="n">
        <f aca="false">IF(B16245&lt;5,Einstellungen!$B$3,Einstellungen!$B$4)</f>
        <v>29.13</v>
      </c>
      <c r="E16245" s="14" t="str">
        <f aca="false">IF(C16245="","",C16245*D16245/100)</f>
        <v/>
      </c>
      <c r="F16245" s="15" t="str">
        <f aca="false">IF(B16245&lt;5,"Go","Standard")</f>
        <v>Standard</v>
      </c>
    </row>
    <row r="16246" customFormat="false" ht="15" hidden="false" customHeight="true" outlineLevel="0" collapsed="false">
      <c r="A16246" s="10" t="n">
        <f aca="false">Einstellungen!$B$5+INT((ROW()-9)/24)</f>
        <v>46642</v>
      </c>
      <c r="B16246" s="11" t="n">
        <f aca="false">MOD(ROW()-9,24)</f>
        <v>13</v>
      </c>
      <c r="C16246" s="12"/>
      <c r="D16246" s="13" t="n">
        <f aca="false">IF(B16246&lt;5,Einstellungen!$B$3,Einstellungen!$B$4)</f>
        <v>29.13</v>
      </c>
      <c r="E16246" s="14" t="str">
        <f aca="false">IF(C16246="","",C16246*D16246/100)</f>
        <v/>
      </c>
      <c r="F16246" s="15" t="str">
        <f aca="false">IF(B16246&lt;5,"Go","Standard")</f>
        <v>Standard</v>
      </c>
    </row>
    <row r="16247" customFormat="false" ht="15" hidden="false" customHeight="true" outlineLevel="0" collapsed="false">
      <c r="A16247" s="10" t="n">
        <f aca="false">Einstellungen!$B$5+INT((ROW()-9)/24)</f>
        <v>46642</v>
      </c>
      <c r="B16247" s="11" t="n">
        <f aca="false">MOD(ROW()-9,24)</f>
        <v>14</v>
      </c>
      <c r="C16247" s="12"/>
      <c r="D16247" s="13" t="n">
        <f aca="false">IF(B16247&lt;5,Einstellungen!$B$3,Einstellungen!$B$4)</f>
        <v>29.13</v>
      </c>
      <c r="E16247" s="14" t="str">
        <f aca="false">IF(C16247="","",C16247*D16247/100)</f>
        <v/>
      </c>
      <c r="F16247" s="15" t="str">
        <f aca="false">IF(B16247&lt;5,"Go","Standard")</f>
        <v>Standard</v>
      </c>
    </row>
    <row r="16248" customFormat="false" ht="15" hidden="false" customHeight="true" outlineLevel="0" collapsed="false">
      <c r="A16248" s="10" t="n">
        <f aca="false">Einstellungen!$B$5+INT((ROW()-9)/24)</f>
        <v>46642</v>
      </c>
      <c r="B16248" s="11" t="n">
        <f aca="false">MOD(ROW()-9,24)</f>
        <v>15</v>
      </c>
      <c r="C16248" s="12"/>
      <c r="D16248" s="13" t="n">
        <f aca="false">IF(B16248&lt;5,Einstellungen!$B$3,Einstellungen!$B$4)</f>
        <v>29.13</v>
      </c>
      <c r="E16248" s="14" t="str">
        <f aca="false">IF(C16248="","",C16248*D16248/100)</f>
        <v/>
      </c>
      <c r="F16248" s="15" t="str">
        <f aca="false">IF(B16248&lt;5,"Go","Standard")</f>
        <v>Standard</v>
      </c>
    </row>
    <row r="16249" customFormat="false" ht="15" hidden="false" customHeight="true" outlineLevel="0" collapsed="false">
      <c r="A16249" s="10" t="n">
        <f aca="false">Einstellungen!$B$5+INT((ROW()-9)/24)</f>
        <v>46642</v>
      </c>
      <c r="B16249" s="11" t="n">
        <f aca="false">MOD(ROW()-9,24)</f>
        <v>16</v>
      </c>
      <c r="C16249" s="12"/>
      <c r="D16249" s="13" t="n">
        <f aca="false">IF(B16249&lt;5,Einstellungen!$B$3,Einstellungen!$B$4)</f>
        <v>29.13</v>
      </c>
      <c r="E16249" s="14" t="str">
        <f aca="false">IF(C16249="","",C16249*D16249/100)</f>
        <v/>
      </c>
      <c r="F16249" s="15" t="str">
        <f aca="false">IF(B16249&lt;5,"Go","Standard")</f>
        <v>Standard</v>
      </c>
    </row>
    <row r="16250" customFormat="false" ht="15" hidden="false" customHeight="true" outlineLevel="0" collapsed="false">
      <c r="A16250" s="10" t="n">
        <f aca="false">Einstellungen!$B$5+INT((ROW()-9)/24)</f>
        <v>46642</v>
      </c>
      <c r="B16250" s="11" t="n">
        <f aca="false">MOD(ROW()-9,24)</f>
        <v>17</v>
      </c>
      <c r="C16250" s="12"/>
      <c r="D16250" s="13" t="n">
        <f aca="false">IF(B16250&lt;5,Einstellungen!$B$3,Einstellungen!$B$4)</f>
        <v>29.13</v>
      </c>
      <c r="E16250" s="14" t="str">
        <f aca="false">IF(C16250="","",C16250*D16250/100)</f>
        <v/>
      </c>
      <c r="F16250" s="15" t="str">
        <f aca="false">IF(B16250&lt;5,"Go","Standard")</f>
        <v>Standard</v>
      </c>
    </row>
    <row r="16251" customFormat="false" ht="15" hidden="false" customHeight="true" outlineLevel="0" collapsed="false">
      <c r="A16251" s="10" t="n">
        <f aca="false">Einstellungen!$B$5+INT((ROW()-9)/24)</f>
        <v>46642</v>
      </c>
      <c r="B16251" s="11" t="n">
        <f aca="false">MOD(ROW()-9,24)</f>
        <v>18</v>
      </c>
      <c r="C16251" s="12"/>
      <c r="D16251" s="13" t="n">
        <f aca="false">IF(B16251&lt;5,Einstellungen!$B$3,Einstellungen!$B$4)</f>
        <v>29.13</v>
      </c>
      <c r="E16251" s="14" t="str">
        <f aca="false">IF(C16251="","",C16251*D16251/100)</f>
        <v/>
      </c>
      <c r="F16251" s="15" t="str">
        <f aca="false">IF(B16251&lt;5,"Go","Standard")</f>
        <v>Standard</v>
      </c>
    </row>
    <row r="16252" customFormat="false" ht="15" hidden="false" customHeight="true" outlineLevel="0" collapsed="false">
      <c r="A16252" s="10" t="n">
        <f aca="false">Einstellungen!$B$5+INT((ROW()-9)/24)</f>
        <v>46642</v>
      </c>
      <c r="B16252" s="11" t="n">
        <f aca="false">MOD(ROW()-9,24)</f>
        <v>19</v>
      </c>
      <c r="C16252" s="12"/>
      <c r="D16252" s="13" t="n">
        <f aca="false">IF(B16252&lt;5,Einstellungen!$B$3,Einstellungen!$B$4)</f>
        <v>29.13</v>
      </c>
      <c r="E16252" s="14" t="str">
        <f aca="false">IF(C16252="","",C16252*D16252/100)</f>
        <v/>
      </c>
      <c r="F16252" s="15" t="str">
        <f aca="false">IF(B16252&lt;5,"Go","Standard")</f>
        <v>Standard</v>
      </c>
    </row>
    <row r="16253" customFormat="false" ht="15" hidden="false" customHeight="true" outlineLevel="0" collapsed="false">
      <c r="A16253" s="10" t="n">
        <f aca="false">Einstellungen!$B$5+INT((ROW()-9)/24)</f>
        <v>46642</v>
      </c>
      <c r="B16253" s="11" t="n">
        <f aca="false">MOD(ROW()-9,24)</f>
        <v>20</v>
      </c>
      <c r="C16253" s="12"/>
      <c r="D16253" s="13" t="n">
        <f aca="false">IF(B16253&lt;5,Einstellungen!$B$3,Einstellungen!$B$4)</f>
        <v>29.13</v>
      </c>
      <c r="E16253" s="14" t="str">
        <f aca="false">IF(C16253="","",C16253*D16253/100)</f>
        <v/>
      </c>
      <c r="F16253" s="15" t="str">
        <f aca="false">IF(B16253&lt;5,"Go","Standard")</f>
        <v>Standard</v>
      </c>
    </row>
    <row r="16254" customFormat="false" ht="15" hidden="false" customHeight="true" outlineLevel="0" collapsed="false">
      <c r="A16254" s="10" t="n">
        <f aca="false">Einstellungen!$B$5+INT((ROW()-9)/24)</f>
        <v>46642</v>
      </c>
      <c r="B16254" s="11" t="n">
        <f aca="false">MOD(ROW()-9,24)</f>
        <v>21</v>
      </c>
      <c r="C16254" s="12"/>
      <c r="D16254" s="13" t="n">
        <f aca="false">IF(B16254&lt;5,Einstellungen!$B$3,Einstellungen!$B$4)</f>
        <v>29.13</v>
      </c>
      <c r="E16254" s="14" t="str">
        <f aca="false">IF(C16254="","",C16254*D16254/100)</f>
        <v/>
      </c>
      <c r="F16254" s="15" t="str">
        <f aca="false">IF(B16254&lt;5,"Go","Standard")</f>
        <v>Standard</v>
      </c>
    </row>
    <row r="16255" customFormat="false" ht="15" hidden="false" customHeight="true" outlineLevel="0" collapsed="false">
      <c r="A16255" s="10" t="n">
        <f aca="false">Einstellungen!$B$5+INT((ROW()-9)/24)</f>
        <v>46642</v>
      </c>
      <c r="B16255" s="11" t="n">
        <f aca="false">MOD(ROW()-9,24)</f>
        <v>22</v>
      </c>
      <c r="C16255" s="12"/>
      <c r="D16255" s="13" t="n">
        <f aca="false">IF(B16255&lt;5,Einstellungen!$B$3,Einstellungen!$B$4)</f>
        <v>29.13</v>
      </c>
      <c r="E16255" s="14" t="str">
        <f aca="false">IF(C16255="","",C16255*D16255/100)</f>
        <v/>
      </c>
      <c r="F16255" s="15" t="str">
        <f aca="false">IF(B16255&lt;5,"Go","Standard")</f>
        <v>Standard</v>
      </c>
    </row>
    <row r="16256" customFormat="false" ht="15" hidden="false" customHeight="true" outlineLevel="0" collapsed="false">
      <c r="A16256" s="10" t="n">
        <f aca="false">Einstellungen!$B$5+INT((ROW()-9)/24)</f>
        <v>46642</v>
      </c>
      <c r="B16256" s="11" t="n">
        <f aca="false">MOD(ROW()-9,24)</f>
        <v>23</v>
      </c>
      <c r="C16256" s="12"/>
      <c r="D16256" s="13" t="n">
        <f aca="false">IF(B16256&lt;5,Einstellungen!$B$3,Einstellungen!$B$4)</f>
        <v>29.13</v>
      </c>
      <c r="E16256" s="14" t="str">
        <f aca="false">IF(C16256="","",C16256*D16256/100)</f>
        <v/>
      </c>
      <c r="F16256" s="15" t="str">
        <f aca="false">IF(B16256&lt;5,"Go","Standard")</f>
        <v>Standard</v>
      </c>
    </row>
    <row r="16257" customFormat="false" ht="15" hidden="false" customHeight="true" outlineLevel="0" collapsed="false">
      <c r="A16257" s="10" t="n">
        <f aca="false">Einstellungen!$B$5+INT((ROW()-9)/24)</f>
        <v>46643</v>
      </c>
      <c r="B16257" s="11" t="n">
        <f aca="false">MOD(ROW()-9,24)</f>
        <v>0</v>
      </c>
      <c r="C16257" s="12"/>
      <c r="D16257" s="13" t="n">
        <f aca="false">IF(B16257&lt;5,Einstellungen!$B$3,Einstellungen!$B$4)</f>
        <v>15.92</v>
      </c>
      <c r="E16257" s="14" t="str">
        <f aca="false">IF(C16257="","",C16257*D16257/100)</f>
        <v/>
      </c>
      <c r="F16257" s="15" t="str">
        <f aca="false">IF(B16257&lt;5,"Go","Standard")</f>
        <v>Go</v>
      </c>
    </row>
    <row r="16258" customFormat="false" ht="15" hidden="false" customHeight="true" outlineLevel="0" collapsed="false">
      <c r="A16258" s="10" t="n">
        <f aca="false">Einstellungen!$B$5+INT((ROW()-9)/24)</f>
        <v>46643</v>
      </c>
      <c r="B16258" s="11" t="n">
        <f aca="false">MOD(ROW()-9,24)</f>
        <v>1</v>
      </c>
      <c r="C16258" s="12"/>
      <c r="D16258" s="13" t="n">
        <f aca="false">IF(B16258&lt;5,Einstellungen!$B$3,Einstellungen!$B$4)</f>
        <v>15.92</v>
      </c>
      <c r="E16258" s="14" t="str">
        <f aca="false">IF(C16258="","",C16258*D16258/100)</f>
        <v/>
      </c>
      <c r="F16258" s="15" t="str">
        <f aca="false">IF(B16258&lt;5,"Go","Standard")</f>
        <v>Go</v>
      </c>
    </row>
    <row r="16259" customFormat="false" ht="15" hidden="false" customHeight="true" outlineLevel="0" collapsed="false">
      <c r="A16259" s="10" t="n">
        <f aca="false">Einstellungen!$B$5+INT((ROW()-9)/24)</f>
        <v>46643</v>
      </c>
      <c r="B16259" s="11" t="n">
        <f aca="false">MOD(ROW()-9,24)</f>
        <v>2</v>
      </c>
      <c r="C16259" s="12"/>
      <c r="D16259" s="13" t="n">
        <f aca="false">IF(B16259&lt;5,Einstellungen!$B$3,Einstellungen!$B$4)</f>
        <v>15.92</v>
      </c>
      <c r="E16259" s="14" t="str">
        <f aca="false">IF(C16259="","",C16259*D16259/100)</f>
        <v/>
      </c>
      <c r="F16259" s="15" t="str">
        <f aca="false">IF(B16259&lt;5,"Go","Standard")</f>
        <v>Go</v>
      </c>
    </row>
    <row r="16260" customFormat="false" ht="15" hidden="false" customHeight="true" outlineLevel="0" collapsed="false">
      <c r="A16260" s="10" t="n">
        <f aca="false">Einstellungen!$B$5+INT((ROW()-9)/24)</f>
        <v>46643</v>
      </c>
      <c r="B16260" s="11" t="n">
        <f aca="false">MOD(ROW()-9,24)</f>
        <v>3</v>
      </c>
      <c r="C16260" s="12"/>
      <c r="D16260" s="13" t="n">
        <f aca="false">IF(B16260&lt;5,Einstellungen!$B$3,Einstellungen!$B$4)</f>
        <v>15.92</v>
      </c>
      <c r="E16260" s="14" t="str">
        <f aca="false">IF(C16260="","",C16260*D16260/100)</f>
        <v/>
      </c>
      <c r="F16260" s="15" t="str">
        <f aca="false">IF(B16260&lt;5,"Go","Standard")</f>
        <v>Go</v>
      </c>
    </row>
    <row r="16261" customFormat="false" ht="15" hidden="false" customHeight="true" outlineLevel="0" collapsed="false">
      <c r="A16261" s="10" t="n">
        <f aca="false">Einstellungen!$B$5+INT((ROW()-9)/24)</f>
        <v>46643</v>
      </c>
      <c r="B16261" s="11" t="n">
        <f aca="false">MOD(ROW()-9,24)</f>
        <v>4</v>
      </c>
      <c r="C16261" s="12"/>
      <c r="D16261" s="13" t="n">
        <f aca="false">IF(B16261&lt;5,Einstellungen!$B$3,Einstellungen!$B$4)</f>
        <v>15.92</v>
      </c>
      <c r="E16261" s="14" t="str">
        <f aca="false">IF(C16261="","",C16261*D16261/100)</f>
        <v/>
      </c>
      <c r="F16261" s="15" t="str">
        <f aca="false">IF(B16261&lt;5,"Go","Standard")</f>
        <v>Go</v>
      </c>
    </row>
    <row r="16262" customFormat="false" ht="15" hidden="false" customHeight="true" outlineLevel="0" collapsed="false">
      <c r="A16262" s="10" t="n">
        <f aca="false">Einstellungen!$B$5+INT((ROW()-9)/24)</f>
        <v>46643</v>
      </c>
      <c r="B16262" s="11" t="n">
        <f aca="false">MOD(ROW()-9,24)</f>
        <v>5</v>
      </c>
      <c r="C16262" s="12"/>
      <c r="D16262" s="13" t="n">
        <f aca="false">IF(B16262&lt;5,Einstellungen!$B$3,Einstellungen!$B$4)</f>
        <v>29.13</v>
      </c>
      <c r="E16262" s="14" t="str">
        <f aca="false">IF(C16262="","",C16262*D16262/100)</f>
        <v/>
      </c>
      <c r="F16262" s="15" t="str">
        <f aca="false">IF(B16262&lt;5,"Go","Standard")</f>
        <v>Standard</v>
      </c>
    </row>
    <row r="16263" customFormat="false" ht="15" hidden="false" customHeight="true" outlineLevel="0" collapsed="false">
      <c r="A16263" s="10" t="n">
        <f aca="false">Einstellungen!$B$5+INT((ROW()-9)/24)</f>
        <v>46643</v>
      </c>
      <c r="B16263" s="11" t="n">
        <f aca="false">MOD(ROW()-9,24)</f>
        <v>6</v>
      </c>
      <c r="C16263" s="12"/>
      <c r="D16263" s="13" t="n">
        <f aca="false">IF(B16263&lt;5,Einstellungen!$B$3,Einstellungen!$B$4)</f>
        <v>29.13</v>
      </c>
      <c r="E16263" s="14" t="str">
        <f aca="false">IF(C16263="","",C16263*D16263/100)</f>
        <v/>
      </c>
      <c r="F16263" s="15" t="str">
        <f aca="false">IF(B16263&lt;5,"Go","Standard")</f>
        <v>Standard</v>
      </c>
    </row>
    <row r="16264" customFormat="false" ht="15" hidden="false" customHeight="true" outlineLevel="0" collapsed="false">
      <c r="A16264" s="10" t="n">
        <f aca="false">Einstellungen!$B$5+INT((ROW()-9)/24)</f>
        <v>46643</v>
      </c>
      <c r="B16264" s="11" t="n">
        <f aca="false">MOD(ROW()-9,24)</f>
        <v>7</v>
      </c>
      <c r="C16264" s="12"/>
      <c r="D16264" s="13" t="n">
        <f aca="false">IF(B16264&lt;5,Einstellungen!$B$3,Einstellungen!$B$4)</f>
        <v>29.13</v>
      </c>
      <c r="E16264" s="14" t="str">
        <f aca="false">IF(C16264="","",C16264*D16264/100)</f>
        <v/>
      </c>
      <c r="F16264" s="15" t="str">
        <f aca="false">IF(B16264&lt;5,"Go","Standard")</f>
        <v>Standard</v>
      </c>
    </row>
    <row r="16265" customFormat="false" ht="15" hidden="false" customHeight="true" outlineLevel="0" collapsed="false">
      <c r="A16265" s="10" t="n">
        <f aca="false">Einstellungen!$B$5+INT((ROW()-9)/24)</f>
        <v>46643</v>
      </c>
      <c r="B16265" s="11" t="n">
        <f aca="false">MOD(ROW()-9,24)</f>
        <v>8</v>
      </c>
      <c r="C16265" s="12"/>
      <c r="D16265" s="13" t="n">
        <f aca="false">IF(B16265&lt;5,Einstellungen!$B$3,Einstellungen!$B$4)</f>
        <v>29.13</v>
      </c>
      <c r="E16265" s="14" t="str">
        <f aca="false">IF(C16265="","",C16265*D16265/100)</f>
        <v/>
      </c>
      <c r="F16265" s="15" t="str">
        <f aca="false">IF(B16265&lt;5,"Go","Standard")</f>
        <v>Standard</v>
      </c>
    </row>
    <row r="16266" customFormat="false" ht="15" hidden="false" customHeight="true" outlineLevel="0" collapsed="false">
      <c r="A16266" s="10" t="n">
        <f aca="false">Einstellungen!$B$5+INT((ROW()-9)/24)</f>
        <v>46643</v>
      </c>
      <c r="B16266" s="11" t="n">
        <f aca="false">MOD(ROW()-9,24)</f>
        <v>9</v>
      </c>
      <c r="C16266" s="12"/>
      <c r="D16266" s="13" t="n">
        <f aca="false">IF(B16266&lt;5,Einstellungen!$B$3,Einstellungen!$B$4)</f>
        <v>29.13</v>
      </c>
      <c r="E16266" s="14" t="str">
        <f aca="false">IF(C16266="","",C16266*D16266/100)</f>
        <v/>
      </c>
      <c r="F16266" s="15" t="str">
        <f aca="false">IF(B16266&lt;5,"Go","Standard")</f>
        <v>Standard</v>
      </c>
    </row>
    <row r="16267" customFormat="false" ht="15" hidden="false" customHeight="true" outlineLevel="0" collapsed="false">
      <c r="A16267" s="10" t="n">
        <f aca="false">Einstellungen!$B$5+INT((ROW()-9)/24)</f>
        <v>46643</v>
      </c>
      <c r="B16267" s="11" t="n">
        <f aca="false">MOD(ROW()-9,24)</f>
        <v>10</v>
      </c>
      <c r="C16267" s="12"/>
      <c r="D16267" s="13" t="n">
        <f aca="false">IF(B16267&lt;5,Einstellungen!$B$3,Einstellungen!$B$4)</f>
        <v>29.13</v>
      </c>
      <c r="E16267" s="14" t="str">
        <f aca="false">IF(C16267="","",C16267*D16267/100)</f>
        <v/>
      </c>
      <c r="F16267" s="15" t="str">
        <f aca="false">IF(B16267&lt;5,"Go","Standard")</f>
        <v>Standard</v>
      </c>
    </row>
    <row r="16268" customFormat="false" ht="15" hidden="false" customHeight="true" outlineLevel="0" collapsed="false">
      <c r="A16268" s="10" t="n">
        <f aca="false">Einstellungen!$B$5+INT((ROW()-9)/24)</f>
        <v>46643</v>
      </c>
      <c r="B16268" s="11" t="n">
        <f aca="false">MOD(ROW()-9,24)</f>
        <v>11</v>
      </c>
      <c r="C16268" s="12"/>
      <c r="D16268" s="13" t="n">
        <f aca="false">IF(B16268&lt;5,Einstellungen!$B$3,Einstellungen!$B$4)</f>
        <v>29.13</v>
      </c>
      <c r="E16268" s="14" t="str">
        <f aca="false">IF(C16268="","",C16268*D16268/100)</f>
        <v/>
      </c>
      <c r="F16268" s="15" t="str">
        <f aca="false">IF(B16268&lt;5,"Go","Standard")</f>
        <v>Standard</v>
      </c>
    </row>
    <row r="16269" customFormat="false" ht="15" hidden="false" customHeight="true" outlineLevel="0" collapsed="false">
      <c r="A16269" s="10" t="n">
        <f aca="false">Einstellungen!$B$5+INT((ROW()-9)/24)</f>
        <v>46643</v>
      </c>
      <c r="B16269" s="11" t="n">
        <f aca="false">MOD(ROW()-9,24)</f>
        <v>12</v>
      </c>
      <c r="C16269" s="12"/>
      <c r="D16269" s="13" t="n">
        <f aca="false">IF(B16269&lt;5,Einstellungen!$B$3,Einstellungen!$B$4)</f>
        <v>29.13</v>
      </c>
      <c r="E16269" s="14" t="str">
        <f aca="false">IF(C16269="","",C16269*D16269/100)</f>
        <v/>
      </c>
      <c r="F16269" s="15" t="str">
        <f aca="false">IF(B16269&lt;5,"Go","Standard")</f>
        <v>Standard</v>
      </c>
    </row>
    <row r="16270" customFormat="false" ht="15" hidden="false" customHeight="true" outlineLevel="0" collapsed="false">
      <c r="A16270" s="10" t="n">
        <f aca="false">Einstellungen!$B$5+INT((ROW()-9)/24)</f>
        <v>46643</v>
      </c>
      <c r="B16270" s="11" t="n">
        <f aca="false">MOD(ROW()-9,24)</f>
        <v>13</v>
      </c>
      <c r="C16270" s="12"/>
      <c r="D16270" s="13" t="n">
        <f aca="false">IF(B16270&lt;5,Einstellungen!$B$3,Einstellungen!$B$4)</f>
        <v>29.13</v>
      </c>
      <c r="E16270" s="14" t="str">
        <f aca="false">IF(C16270="","",C16270*D16270/100)</f>
        <v/>
      </c>
      <c r="F16270" s="15" t="str">
        <f aca="false">IF(B16270&lt;5,"Go","Standard")</f>
        <v>Standard</v>
      </c>
    </row>
    <row r="16271" customFormat="false" ht="15" hidden="false" customHeight="true" outlineLevel="0" collapsed="false">
      <c r="A16271" s="10" t="n">
        <f aca="false">Einstellungen!$B$5+INT((ROW()-9)/24)</f>
        <v>46643</v>
      </c>
      <c r="B16271" s="11" t="n">
        <f aca="false">MOD(ROW()-9,24)</f>
        <v>14</v>
      </c>
      <c r="C16271" s="12"/>
      <c r="D16271" s="13" t="n">
        <f aca="false">IF(B16271&lt;5,Einstellungen!$B$3,Einstellungen!$B$4)</f>
        <v>29.13</v>
      </c>
      <c r="E16271" s="14" t="str">
        <f aca="false">IF(C16271="","",C16271*D16271/100)</f>
        <v/>
      </c>
      <c r="F16271" s="15" t="str">
        <f aca="false">IF(B16271&lt;5,"Go","Standard")</f>
        <v>Standard</v>
      </c>
    </row>
    <row r="16272" customFormat="false" ht="15" hidden="false" customHeight="true" outlineLevel="0" collapsed="false">
      <c r="A16272" s="10" t="n">
        <f aca="false">Einstellungen!$B$5+INT((ROW()-9)/24)</f>
        <v>46643</v>
      </c>
      <c r="B16272" s="11" t="n">
        <f aca="false">MOD(ROW()-9,24)</f>
        <v>15</v>
      </c>
      <c r="C16272" s="12"/>
      <c r="D16272" s="13" t="n">
        <f aca="false">IF(B16272&lt;5,Einstellungen!$B$3,Einstellungen!$B$4)</f>
        <v>29.13</v>
      </c>
      <c r="E16272" s="14" t="str">
        <f aca="false">IF(C16272="","",C16272*D16272/100)</f>
        <v/>
      </c>
      <c r="F16272" s="15" t="str">
        <f aca="false">IF(B16272&lt;5,"Go","Standard")</f>
        <v>Standard</v>
      </c>
    </row>
    <row r="16273" customFormat="false" ht="15" hidden="false" customHeight="true" outlineLevel="0" collapsed="false">
      <c r="A16273" s="10" t="n">
        <f aca="false">Einstellungen!$B$5+INT((ROW()-9)/24)</f>
        <v>46643</v>
      </c>
      <c r="B16273" s="11" t="n">
        <f aca="false">MOD(ROW()-9,24)</f>
        <v>16</v>
      </c>
      <c r="C16273" s="12"/>
      <c r="D16273" s="13" t="n">
        <f aca="false">IF(B16273&lt;5,Einstellungen!$B$3,Einstellungen!$B$4)</f>
        <v>29.13</v>
      </c>
      <c r="E16273" s="14" t="str">
        <f aca="false">IF(C16273="","",C16273*D16273/100)</f>
        <v/>
      </c>
      <c r="F16273" s="15" t="str">
        <f aca="false">IF(B16273&lt;5,"Go","Standard")</f>
        <v>Standard</v>
      </c>
    </row>
    <row r="16274" customFormat="false" ht="15" hidden="false" customHeight="true" outlineLevel="0" collapsed="false">
      <c r="A16274" s="10" t="n">
        <f aca="false">Einstellungen!$B$5+INT((ROW()-9)/24)</f>
        <v>46643</v>
      </c>
      <c r="B16274" s="11" t="n">
        <f aca="false">MOD(ROW()-9,24)</f>
        <v>17</v>
      </c>
      <c r="C16274" s="12"/>
      <c r="D16274" s="13" t="n">
        <f aca="false">IF(B16274&lt;5,Einstellungen!$B$3,Einstellungen!$B$4)</f>
        <v>29.13</v>
      </c>
      <c r="E16274" s="14" t="str">
        <f aca="false">IF(C16274="","",C16274*D16274/100)</f>
        <v/>
      </c>
      <c r="F16274" s="15" t="str">
        <f aca="false">IF(B16274&lt;5,"Go","Standard")</f>
        <v>Standard</v>
      </c>
    </row>
    <row r="16275" customFormat="false" ht="15" hidden="false" customHeight="true" outlineLevel="0" collapsed="false">
      <c r="A16275" s="10" t="n">
        <f aca="false">Einstellungen!$B$5+INT((ROW()-9)/24)</f>
        <v>46643</v>
      </c>
      <c r="B16275" s="11" t="n">
        <f aca="false">MOD(ROW()-9,24)</f>
        <v>18</v>
      </c>
      <c r="C16275" s="12"/>
      <c r="D16275" s="13" t="n">
        <f aca="false">IF(B16275&lt;5,Einstellungen!$B$3,Einstellungen!$B$4)</f>
        <v>29.13</v>
      </c>
      <c r="E16275" s="14" t="str">
        <f aca="false">IF(C16275="","",C16275*D16275/100)</f>
        <v/>
      </c>
      <c r="F16275" s="15" t="str">
        <f aca="false">IF(B16275&lt;5,"Go","Standard")</f>
        <v>Standard</v>
      </c>
    </row>
    <row r="16276" customFormat="false" ht="15" hidden="false" customHeight="true" outlineLevel="0" collapsed="false">
      <c r="A16276" s="10" t="n">
        <f aca="false">Einstellungen!$B$5+INT((ROW()-9)/24)</f>
        <v>46643</v>
      </c>
      <c r="B16276" s="11" t="n">
        <f aca="false">MOD(ROW()-9,24)</f>
        <v>19</v>
      </c>
      <c r="C16276" s="12"/>
      <c r="D16276" s="13" t="n">
        <f aca="false">IF(B16276&lt;5,Einstellungen!$B$3,Einstellungen!$B$4)</f>
        <v>29.13</v>
      </c>
      <c r="E16276" s="14" t="str">
        <f aca="false">IF(C16276="","",C16276*D16276/100)</f>
        <v/>
      </c>
      <c r="F16276" s="15" t="str">
        <f aca="false">IF(B16276&lt;5,"Go","Standard")</f>
        <v>Standard</v>
      </c>
    </row>
    <row r="16277" customFormat="false" ht="15" hidden="false" customHeight="true" outlineLevel="0" collapsed="false">
      <c r="A16277" s="10" t="n">
        <f aca="false">Einstellungen!$B$5+INT((ROW()-9)/24)</f>
        <v>46643</v>
      </c>
      <c r="B16277" s="11" t="n">
        <f aca="false">MOD(ROW()-9,24)</f>
        <v>20</v>
      </c>
      <c r="C16277" s="12"/>
      <c r="D16277" s="13" t="n">
        <f aca="false">IF(B16277&lt;5,Einstellungen!$B$3,Einstellungen!$B$4)</f>
        <v>29.13</v>
      </c>
      <c r="E16277" s="14" t="str">
        <f aca="false">IF(C16277="","",C16277*D16277/100)</f>
        <v/>
      </c>
      <c r="F16277" s="15" t="str">
        <f aca="false">IF(B16277&lt;5,"Go","Standard")</f>
        <v>Standard</v>
      </c>
    </row>
    <row r="16278" customFormat="false" ht="15" hidden="false" customHeight="true" outlineLevel="0" collapsed="false">
      <c r="A16278" s="10" t="n">
        <f aca="false">Einstellungen!$B$5+INT((ROW()-9)/24)</f>
        <v>46643</v>
      </c>
      <c r="B16278" s="11" t="n">
        <f aca="false">MOD(ROW()-9,24)</f>
        <v>21</v>
      </c>
      <c r="C16278" s="12"/>
      <c r="D16278" s="13" t="n">
        <f aca="false">IF(B16278&lt;5,Einstellungen!$B$3,Einstellungen!$B$4)</f>
        <v>29.13</v>
      </c>
      <c r="E16278" s="14" t="str">
        <f aca="false">IF(C16278="","",C16278*D16278/100)</f>
        <v/>
      </c>
      <c r="F16278" s="15" t="str">
        <f aca="false">IF(B16278&lt;5,"Go","Standard")</f>
        <v>Standard</v>
      </c>
    </row>
    <row r="16279" customFormat="false" ht="15" hidden="false" customHeight="true" outlineLevel="0" collapsed="false">
      <c r="A16279" s="10" t="n">
        <f aca="false">Einstellungen!$B$5+INT((ROW()-9)/24)</f>
        <v>46643</v>
      </c>
      <c r="B16279" s="11" t="n">
        <f aca="false">MOD(ROW()-9,24)</f>
        <v>22</v>
      </c>
      <c r="C16279" s="12"/>
      <c r="D16279" s="13" t="n">
        <f aca="false">IF(B16279&lt;5,Einstellungen!$B$3,Einstellungen!$B$4)</f>
        <v>29.13</v>
      </c>
      <c r="E16279" s="14" t="str">
        <f aca="false">IF(C16279="","",C16279*D16279/100)</f>
        <v/>
      </c>
      <c r="F16279" s="15" t="str">
        <f aca="false">IF(B16279&lt;5,"Go","Standard")</f>
        <v>Standard</v>
      </c>
    </row>
    <row r="16280" customFormat="false" ht="15" hidden="false" customHeight="true" outlineLevel="0" collapsed="false">
      <c r="A16280" s="10" t="n">
        <f aca="false">Einstellungen!$B$5+INT((ROW()-9)/24)</f>
        <v>46643</v>
      </c>
      <c r="B16280" s="11" t="n">
        <f aca="false">MOD(ROW()-9,24)</f>
        <v>23</v>
      </c>
      <c r="C16280" s="12"/>
      <c r="D16280" s="13" t="n">
        <f aca="false">IF(B16280&lt;5,Einstellungen!$B$3,Einstellungen!$B$4)</f>
        <v>29.13</v>
      </c>
      <c r="E16280" s="14" t="str">
        <f aca="false">IF(C16280="","",C16280*D16280/100)</f>
        <v/>
      </c>
      <c r="F16280" s="15" t="str">
        <f aca="false">IF(B16280&lt;5,"Go","Standard")</f>
        <v>Standard</v>
      </c>
    </row>
    <row r="16281" customFormat="false" ht="15" hidden="false" customHeight="true" outlineLevel="0" collapsed="false">
      <c r="A16281" s="10" t="n">
        <f aca="false">Einstellungen!$B$5+INT((ROW()-9)/24)</f>
        <v>46644</v>
      </c>
      <c r="B16281" s="11" t="n">
        <f aca="false">MOD(ROW()-9,24)</f>
        <v>0</v>
      </c>
      <c r="C16281" s="12"/>
      <c r="D16281" s="13" t="n">
        <f aca="false">IF(B16281&lt;5,Einstellungen!$B$3,Einstellungen!$B$4)</f>
        <v>15.92</v>
      </c>
      <c r="E16281" s="14" t="str">
        <f aca="false">IF(C16281="","",C16281*D16281/100)</f>
        <v/>
      </c>
      <c r="F16281" s="15" t="str">
        <f aca="false">IF(B16281&lt;5,"Go","Standard")</f>
        <v>Go</v>
      </c>
    </row>
    <row r="16282" customFormat="false" ht="15" hidden="false" customHeight="true" outlineLevel="0" collapsed="false">
      <c r="A16282" s="10" t="n">
        <f aca="false">Einstellungen!$B$5+INT((ROW()-9)/24)</f>
        <v>46644</v>
      </c>
      <c r="B16282" s="11" t="n">
        <f aca="false">MOD(ROW()-9,24)</f>
        <v>1</v>
      </c>
      <c r="C16282" s="12"/>
      <c r="D16282" s="13" t="n">
        <f aca="false">IF(B16282&lt;5,Einstellungen!$B$3,Einstellungen!$B$4)</f>
        <v>15.92</v>
      </c>
      <c r="E16282" s="14" t="str">
        <f aca="false">IF(C16282="","",C16282*D16282/100)</f>
        <v/>
      </c>
      <c r="F16282" s="15" t="str">
        <f aca="false">IF(B16282&lt;5,"Go","Standard")</f>
        <v>Go</v>
      </c>
    </row>
    <row r="16283" customFormat="false" ht="15" hidden="false" customHeight="true" outlineLevel="0" collapsed="false">
      <c r="A16283" s="10" t="n">
        <f aca="false">Einstellungen!$B$5+INT((ROW()-9)/24)</f>
        <v>46644</v>
      </c>
      <c r="B16283" s="11" t="n">
        <f aca="false">MOD(ROW()-9,24)</f>
        <v>2</v>
      </c>
      <c r="C16283" s="12"/>
      <c r="D16283" s="13" t="n">
        <f aca="false">IF(B16283&lt;5,Einstellungen!$B$3,Einstellungen!$B$4)</f>
        <v>15.92</v>
      </c>
      <c r="E16283" s="14" t="str">
        <f aca="false">IF(C16283="","",C16283*D16283/100)</f>
        <v/>
      </c>
      <c r="F16283" s="15" t="str">
        <f aca="false">IF(B16283&lt;5,"Go","Standard")</f>
        <v>Go</v>
      </c>
    </row>
    <row r="16284" customFormat="false" ht="15" hidden="false" customHeight="true" outlineLevel="0" collapsed="false">
      <c r="A16284" s="10" t="n">
        <f aca="false">Einstellungen!$B$5+INT((ROW()-9)/24)</f>
        <v>46644</v>
      </c>
      <c r="B16284" s="11" t="n">
        <f aca="false">MOD(ROW()-9,24)</f>
        <v>3</v>
      </c>
      <c r="C16284" s="12"/>
      <c r="D16284" s="13" t="n">
        <f aca="false">IF(B16284&lt;5,Einstellungen!$B$3,Einstellungen!$B$4)</f>
        <v>15.92</v>
      </c>
      <c r="E16284" s="14" t="str">
        <f aca="false">IF(C16284="","",C16284*D16284/100)</f>
        <v/>
      </c>
      <c r="F16284" s="15" t="str">
        <f aca="false">IF(B16284&lt;5,"Go","Standard")</f>
        <v>Go</v>
      </c>
    </row>
    <row r="16285" customFormat="false" ht="15" hidden="false" customHeight="true" outlineLevel="0" collapsed="false">
      <c r="A16285" s="10" t="n">
        <f aca="false">Einstellungen!$B$5+INT((ROW()-9)/24)</f>
        <v>46644</v>
      </c>
      <c r="B16285" s="11" t="n">
        <f aca="false">MOD(ROW()-9,24)</f>
        <v>4</v>
      </c>
      <c r="C16285" s="12"/>
      <c r="D16285" s="13" t="n">
        <f aca="false">IF(B16285&lt;5,Einstellungen!$B$3,Einstellungen!$B$4)</f>
        <v>15.92</v>
      </c>
      <c r="E16285" s="14" t="str">
        <f aca="false">IF(C16285="","",C16285*D16285/100)</f>
        <v/>
      </c>
      <c r="F16285" s="15" t="str">
        <f aca="false">IF(B16285&lt;5,"Go","Standard")</f>
        <v>Go</v>
      </c>
    </row>
    <row r="16286" customFormat="false" ht="15" hidden="false" customHeight="true" outlineLevel="0" collapsed="false">
      <c r="A16286" s="10" t="n">
        <f aca="false">Einstellungen!$B$5+INT((ROW()-9)/24)</f>
        <v>46644</v>
      </c>
      <c r="B16286" s="11" t="n">
        <f aca="false">MOD(ROW()-9,24)</f>
        <v>5</v>
      </c>
      <c r="C16286" s="12"/>
      <c r="D16286" s="13" t="n">
        <f aca="false">IF(B16286&lt;5,Einstellungen!$B$3,Einstellungen!$B$4)</f>
        <v>29.13</v>
      </c>
      <c r="E16286" s="14" t="str">
        <f aca="false">IF(C16286="","",C16286*D16286/100)</f>
        <v/>
      </c>
      <c r="F16286" s="15" t="str">
        <f aca="false">IF(B16286&lt;5,"Go","Standard")</f>
        <v>Standard</v>
      </c>
    </row>
    <row r="16287" customFormat="false" ht="15" hidden="false" customHeight="true" outlineLevel="0" collapsed="false">
      <c r="A16287" s="10" t="n">
        <f aca="false">Einstellungen!$B$5+INT((ROW()-9)/24)</f>
        <v>46644</v>
      </c>
      <c r="B16287" s="11" t="n">
        <f aca="false">MOD(ROW()-9,24)</f>
        <v>6</v>
      </c>
      <c r="C16287" s="12"/>
      <c r="D16287" s="13" t="n">
        <f aca="false">IF(B16287&lt;5,Einstellungen!$B$3,Einstellungen!$B$4)</f>
        <v>29.13</v>
      </c>
      <c r="E16287" s="14" t="str">
        <f aca="false">IF(C16287="","",C16287*D16287/100)</f>
        <v/>
      </c>
      <c r="F16287" s="15" t="str">
        <f aca="false">IF(B16287&lt;5,"Go","Standard")</f>
        <v>Standard</v>
      </c>
    </row>
    <row r="16288" customFormat="false" ht="15" hidden="false" customHeight="true" outlineLevel="0" collapsed="false">
      <c r="A16288" s="10" t="n">
        <f aca="false">Einstellungen!$B$5+INT((ROW()-9)/24)</f>
        <v>46644</v>
      </c>
      <c r="B16288" s="11" t="n">
        <f aca="false">MOD(ROW()-9,24)</f>
        <v>7</v>
      </c>
      <c r="C16288" s="12"/>
      <c r="D16288" s="13" t="n">
        <f aca="false">IF(B16288&lt;5,Einstellungen!$B$3,Einstellungen!$B$4)</f>
        <v>29.13</v>
      </c>
      <c r="E16288" s="14" t="str">
        <f aca="false">IF(C16288="","",C16288*D16288/100)</f>
        <v/>
      </c>
      <c r="F16288" s="15" t="str">
        <f aca="false">IF(B16288&lt;5,"Go","Standard")</f>
        <v>Standard</v>
      </c>
    </row>
    <row r="16289" customFormat="false" ht="15" hidden="false" customHeight="true" outlineLevel="0" collapsed="false">
      <c r="A16289" s="10" t="n">
        <f aca="false">Einstellungen!$B$5+INT((ROW()-9)/24)</f>
        <v>46644</v>
      </c>
      <c r="B16289" s="11" t="n">
        <f aca="false">MOD(ROW()-9,24)</f>
        <v>8</v>
      </c>
      <c r="C16289" s="12"/>
      <c r="D16289" s="13" t="n">
        <f aca="false">IF(B16289&lt;5,Einstellungen!$B$3,Einstellungen!$B$4)</f>
        <v>29.13</v>
      </c>
      <c r="E16289" s="14" t="str">
        <f aca="false">IF(C16289="","",C16289*D16289/100)</f>
        <v/>
      </c>
      <c r="F16289" s="15" t="str">
        <f aca="false">IF(B16289&lt;5,"Go","Standard")</f>
        <v>Standard</v>
      </c>
    </row>
    <row r="16290" customFormat="false" ht="15" hidden="false" customHeight="true" outlineLevel="0" collapsed="false">
      <c r="A16290" s="10" t="n">
        <f aca="false">Einstellungen!$B$5+INT((ROW()-9)/24)</f>
        <v>46644</v>
      </c>
      <c r="B16290" s="11" t="n">
        <f aca="false">MOD(ROW()-9,24)</f>
        <v>9</v>
      </c>
      <c r="C16290" s="12"/>
      <c r="D16290" s="13" t="n">
        <f aca="false">IF(B16290&lt;5,Einstellungen!$B$3,Einstellungen!$B$4)</f>
        <v>29.13</v>
      </c>
      <c r="E16290" s="14" t="str">
        <f aca="false">IF(C16290="","",C16290*D16290/100)</f>
        <v/>
      </c>
      <c r="F16290" s="15" t="str">
        <f aca="false">IF(B16290&lt;5,"Go","Standard")</f>
        <v>Standard</v>
      </c>
    </row>
    <row r="16291" customFormat="false" ht="15" hidden="false" customHeight="true" outlineLevel="0" collapsed="false">
      <c r="A16291" s="10" t="n">
        <f aca="false">Einstellungen!$B$5+INT((ROW()-9)/24)</f>
        <v>46644</v>
      </c>
      <c r="B16291" s="11" t="n">
        <f aca="false">MOD(ROW()-9,24)</f>
        <v>10</v>
      </c>
      <c r="C16291" s="12"/>
      <c r="D16291" s="13" t="n">
        <f aca="false">IF(B16291&lt;5,Einstellungen!$B$3,Einstellungen!$B$4)</f>
        <v>29.13</v>
      </c>
      <c r="E16291" s="14" t="str">
        <f aca="false">IF(C16291="","",C16291*D16291/100)</f>
        <v/>
      </c>
      <c r="F16291" s="15" t="str">
        <f aca="false">IF(B16291&lt;5,"Go","Standard")</f>
        <v>Standard</v>
      </c>
    </row>
    <row r="16292" customFormat="false" ht="15" hidden="false" customHeight="true" outlineLevel="0" collapsed="false">
      <c r="A16292" s="10" t="n">
        <f aca="false">Einstellungen!$B$5+INT((ROW()-9)/24)</f>
        <v>46644</v>
      </c>
      <c r="B16292" s="11" t="n">
        <f aca="false">MOD(ROW()-9,24)</f>
        <v>11</v>
      </c>
      <c r="C16292" s="12"/>
      <c r="D16292" s="13" t="n">
        <f aca="false">IF(B16292&lt;5,Einstellungen!$B$3,Einstellungen!$B$4)</f>
        <v>29.13</v>
      </c>
      <c r="E16292" s="14" t="str">
        <f aca="false">IF(C16292="","",C16292*D16292/100)</f>
        <v/>
      </c>
      <c r="F16292" s="15" t="str">
        <f aca="false">IF(B16292&lt;5,"Go","Standard")</f>
        <v>Standard</v>
      </c>
    </row>
    <row r="16293" customFormat="false" ht="15" hidden="false" customHeight="true" outlineLevel="0" collapsed="false">
      <c r="A16293" s="10" t="n">
        <f aca="false">Einstellungen!$B$5+INT((ROW()-9)/24)</f>
        <v>46644</v>
      </c>
      <c r="B16293" s="11" t="n">
        <f aca="false">MOD(ROW()-9,24)</f>
        <v>12</v>
      </c>
      <c r="C16293" s="12"/>
      <c r="D16293" s="13" t="n">
        <f aca="false">IF(B16293&lt;5,Einstellungen!$B$3,Einstellungen!$B$4)</f>
        <v>29.13</v>
      </c>
      <c r="E16293" s="14" t="str">
        <f aca="false">IF(C16293="","",C16293*D16293/100)</f>
        <v/>
      </c>
      <c r="F16293" s="15" t="str">
        <f aca="false">IF(B16293&lt;5,"Go","Standard")</f>
        <v>Standard</v>
      </c>
    </row>
    <row r="16294" customFormat="false" ht="15" hidden="false" customHeight="true" outlineLevel="0" collapsed="false">
      <c r="A16294" s="10" t="n">
        <f aca="false">Einstellungen!$B$5+INT((ROW()-9)/24)</f>
        <v>46644</v>
      </c>
      <c r="B16294" s="11" t="n">
        <f aca="false">MOD(ROW()-9,24)</f>
        <v>13</v>
      </c>
      <c r="C16294" s="12"/>
      <c r="D16294" s="13" t="n">
        <f aca="false">IF(B16294&lt;5,Einstellungen!$B$3,Einstellungen!$B$4)</f>
        <v>29.13</v>
      </c>
      <c r="E16294" s="14" t="str">
        <f aca="false">IF(C16294="","",C16294*D16294/100)</f>
        <v/>
      </c>
      <c r="F16294" s="15" t="str">
        <f aca="false">IF(B16294&lt;5,"Go","Standard")</f>
        <v>Standard</v>
      </c>
    </row>
    <row r="16295" customFormat="false" ht="15" hidden="false" customHeight="true" outlineLevel="0" collapsed="false">
      <c r="A16295" s="10" t="n">
        <f aca="false">Einstellungen!$B$5+INT((ROW()-9)/24)</f>
        <v>46644</v>
      </c>
      <c r="B16295" s="11" t="n">
        <f aca="false">MOD(ROW()-9,24)</f>
        <v>14</v>
      </c>
      <c r="C16295" s="12"/>
      <c r="D16295" s="13" t="n">
        <f aca="false">IF(B16295&lt;5,Einstellungen!$B$3,Einstellungen!$B$4)</f>
        <v>29.13</v>
      </c>
      <c r="E16295" s="14" t="str">
        <f aca="false">IF(C16295="","",C16295*D16295/100)</f>
        <v/>
      </c>
      <c r="F16295" s="15" t="str">
        <f aca="false">IF(B16295&lt;5,"Go","Standard")</f>
        <v>Standard</v>
      </c>
    </row>
    <row r="16296" customFormat="false" ht="15" hidden="false" customHeight="true" outlineLevel="0" collapsed="false">
      <c r="A16296" s="10" t="n">
        <f aca="false">Einstellungen!$B$5+INT((ROW()-9)/24)</f>
        <v>46644</v>
      </c>
      <c r="B16296" s="11" t="n">
        <f aca="false">MOD(ROW()-9,24)</f>
        <v>15</v>
      </c>
      <c r="C16296" s="12"/>
      <c r="D16296" s="13" t="n">
        <f aca="false">IF(B16296&lt;5,Einstellungen!$B$3,Einstellungen!$B$4)</f>
        <v>29.13</v>
      </c>
      <c r="E16296" s="14" t="str">
        <f aca="false">IF(C16296="","",C16296*D16296/100)</f>
        <v/>
      </c>
      <c r="F16296" s="15" t="str">
        <f aca="false">IF(B16296&lt;5,"Go","Standard")</f>
        <v>Standard</v>
      </c>
    </row>
    <row r="16297" customFormat="false" ht="15" hidden="false" customHeight="true" outlineLevel="0" collapsed="false">
      <c r="A16297" s="10" t="n">
        <f aca="false">Einstellungen!$B$5+INT((ROW()-9)/24)</f>
        <v>46644</v>
      </c>
      <c r="B16297" s="11" t="n">
        <f aca="false">MOD(ROW()-9,24)</f>
        <v>16</v>
      </c>
      <c r="C16297" s="12"/>
      <c r="D16297" s="13" t="n">
        <f aca="false">IF(B16297&lt;5,Einstellungen!$B$3,Einstellungen!$B$4)</f>
        <v>29.13</v>
      </c>
      <c r="E16297" s="14" t="str">
        <f aca="false">IF(C16297="","",C16297*D16297/100)</f>
        <v/>
      </c>
      <c r="F16297" s="15" t="str">
        <f aca="false">IF(B16297&lt;5,"Go","Standard")</f>
        <v>Standard</v>
      </c>
    </row>
    <row r="16298" customFormat="false" ht="15" hidden="false" customHeight="true" outlineLevel="0" collapsed="false">
      <c r="A16298" s="10" t="n">
        <f aca="false">Einstellungen!$B$5+INT((ROW()-9)/24)</f>
        <v>46644</v>
      </c>
      <c r="B16298" s="11" t="n">
        <f aca="false">MOD(ROW()-9,24)</f>
        <v>17</v>
      </c>
      <c r="C16298" s="12"/>
      <c r="D16298" s="13" t="n">
        <f aca="false">IF(B16298&lt;5,Einstellungen!$B$3,Einstellungen!$B$4)</f>
        <v>29.13</v>
      </c>
      <c r="E16298" s="14" t="str">
        <f aca="false">IF(C16298="","",C16298*D16298/100)</f>
        <v/>
      </c>
      <c r="F16298" s="15" t="str">
        <f aca="false">IF(B16298&lt;5,"Go","Standard")</f>
        <v>Standard</v>
      </c>
    </row>
    <row r="16299" customFormat="false" ht="15" hidden="false" customHeight="true" outlineLevel="0" collapsed="false">
      <c r="A16299" s="10" t="n">
        <f aca="false">Einstellungen!$B$5+INT((ROW()-9)/24)</f>
        <v>46644</v>
      </c>
      <c r="B16299" s="11" t="n">
        <f aca="false">MOD(ROW()-9,24)</f>
        <v>18</v>
      </c>
      <c r="C16299" s="12"/>
      <c r="D16299" s="13" t="n">
        <f aca="false">IF(B16299&lt;5,Einstellungen!$B$3,Einstellungen!$B$4)</f>
        <v>29.13</v>
      </c>
      <c r="E16299" s="14" t="str">
        <f aca="false">IF(C16299="","",C16299*D16299/100)</f>
        <v/>
      </c>
      <c r="F16299" s="15" t="str">
        <f aca="false">IF(B16299&lt;5,"Go","Standard")</f>
        <v>Standard</v>
      </c>
    </row>
    <row r="16300" customFormat="false" ht="15" hidden="false" customHeight="true" outlineLevel="0" collapsed="false">
      <c r="A16300" s="10" t="n">
        <f aca="false">Einstellungen!$B$5+INT((ROW()-9)/24)</f>
        <v>46644</v>
      </c>
      <c r="B16300" s="11" t="n">
        <f aca="false">MOD(ROW()-9,24)</f>
        <v>19</v>
      </c>
      <c r="C16300" s="12"/>
      <c r="D16300" s="13" t="n">
        <f aca="false">IF(B16300&lt;5,Einstellungen!$B$3,Einstellungen!$B$4)</f>
        <v>29.13</v>
      </c>
      <c r="E16300" s="14" t="str">
        <f aca="false">IF(C16300="","",C16300*D16300/100)</f>
        <v/>
      </c>
      <c r="F16300" s="15" t="str">
        <f aca="false">IF(B16300&lt;5,"Go","Standard")</f>
        <v>Standard</v>
      </c>
    </row>
    <row r="16301" customFormat="false" ht="15" hidden="false" customHeight="true" outlineLevel="0" collapsed="false">
      <c r="A16301" s="10" t="n">
        <f aca="false">Einstellungen!$B$5+INT((ROW()-9)/24)</f>
        <v>46644</v>
      </c>
      <c r="B16301" s="11" t="n">
        <f aca="false">MOD(ROW()-9,24)</f>
        <v>20</v>
      </c>
      <c r="C16301" s="12"/>
      <c r="D16301" s="13" t="n">
        <f aca="false">IF(B16301&lt;5,Einstellungen!$B$3,Einstellungen!$B$4)</f>
        <v>29.13</v>
      </c>
      <c r="E16301" s="14" t="str">
        <f aca="false">IF(C16301="","",C16301*D16301/100)</f>
        <v/>
      </c>
      <c r="F16301" s="15" t="str">
        <f aca="false">IF(B16301&lt;5,"Go","Standard")</f>
        <v>Standard</v>
      </c>
    </row>
    <row r="16302" customFormat="false" ht="15" hidden="false" customHeight="true" outlineLevel="0" collapsed="false">
      <c r="A16302" s="10" t="n">
        <f aca="false">Einstellungen!$B$5+INT((ROW()-9)/24)</f>
        <v>46644</v>
      </c>
      <c r="B16302" s="11" t="n">
        <f aca="false">MOD(ROW()-9,24)</f>
        <v>21</v>
      </c>
      <c r="C16302" s="12"/>
      <c r="D16302" s="13" t="n">
        <f aca="false">IF(B16302&lt;5,Einstellungen!$B$3,Einstellungen!$B$4)</f>
        <v>29.13</v>
      </c>
      <c r="E16302" s="14" t="str">
        <f aca="false">IF(C16302="","",C16302*D16302/100)</f>
        <v/>
      </c>
      <c r="F16302" s="15" t="str">
        <f aca="false">IF(B16302&lt;5,"Go","Standard")</f>
        <v>Standard</v>
      </c>
    </row>
    <row r="16303" customFormat="false" ht="15" hidden="false" customHeight="true" outlineLevel="0" collapsed="false">
      <c r="A16303" s="10" t="n">
        <f aca="false">Einstellungen!$B$5+INT((ROW()-9)/24)</f>
        <v>46644</v>
      </c>
      <c r="B16303" s="11" t="n">
        <f aca="false">MOD(ROW()-9,24)</f>
        <v>22</v>
      </c>
      <c r="C16303" s="12"/>
      <c r="D16303" s="13" t="n">
        <f aca="false">IF(B16303&lt;5,Einstellungen!$B$3,Einstellungen!$B$4)</f>
        <v>29.13</v>
      </c>
      <c r="E16303" s="14" t="str">
        <f aca="false">IF(C16303="","",C16303*D16303/100)</f>
        <v/>
      </c>
      <c r="F16303" s="15" t="str">
        <f aca="false">IF(B16303&lt;5,"Go","Standard")</f>
        <v>Standard</v>
      </c>
    </row>
    <row r="16304" customFormat="false" ht="15" hidden="false" customHeight="true" outlineLevel="0" collapsed="false">
      <c r="A16304" s="10" t="n">
        <f aca="false">Einstellungen!$B$5+INT((ROW()-9)/24)</f>
        <v>46644</v>
      </c>
      <c r="B16304" s="11" t="n">
        <f aca="false">MOD(ROW()-9,24)</f>
        <v>23</v>
      </c>
      <c r="C16304" s="12"/>
      <c r="D16304" s="13" t="n">
        <f aca="false">IF(B16304&lt;5,Einstellungen!$B$3,Einstellungen!$B$4)</f>
        <v>29.13</v>
      </c>
      <c r="E16304" s="14" t="str">
        <f aca="false">IF(C16304="","",C16304*D16304/100)</f>
        <v/>
      </c>
      <c r="F16304" s="15" t="str">
        <f aca="false">IF(B16304&lt;5,"Go","Standard")</f>
        <v>Standard</v>
      </c>
    </row>
    <row r="16305" customFormat="false" ht="15" hidden="false" customHeight="true" outlineLevel="0" collapsed="false">
      <c r="A16305" s="10" t="n">
        <f aca="false">Einstellungen!$B$5+INT((ROW()-9)/24)</f>
        <v>46645</v>
      </c>
      <c r="B16305" s="11" t="n">
        <f aca="false">MOD(ROW()-9,24)</f>
        <v>0</v>
      </c>
      <c r="C16305" s="12"/>
      <c r="D16305" s="13" t="n">
        <f aca="false">IF(B16305&lt;5,Einstellungen!$B$3,Einstellungen!$B$4)</f>
        <v>15.92</v>
      </c>
      <c r="E16305" s="14" t="str">
        <f aca="false">IF(C16305="","",C16305*D16305/100)</f>
        <v/>
      </c>
      <c r="F16305" s="15" t="str">
        <f aca="false">IF(B16305&lt;5,"Go","Standard")</f>
        <v>Go</v>
      </c>
    </row>
    <row r="16306" customFormat="false" ht="15" hidden="false" customHeight="true" outlineLevel="0" collapsed="false">
      <c r="A16306" s="10" t="n">
        <f aca="false">Einstellungen!$B$5+INT((ROW()-9)/24)</f>
        <v>46645</v>
      </c>
      <c r="B16306" s="11" t="n">
        <f aca="false">MOD(ROW()-9,24)</f>
        <v>1</v>
      </c>
      <c r="C16306" s="12"/>
      <c r="D16306" s="13" t="n">
        <f aca="false">IF(B16306&lt;5,Einstellungen!$B$3,Einstellungen!$B$4)</f>
        <v>15.92</v>
      </c>
      <c r="E16306" s="14" t="str">
        <f aca="false">IF(C16306="","",C16306*D16306/100)</f>
        <v/>
      </c>
      <c r="F16306" s="15" t="str">
        <f aca="false">IF(B16306&lt;5,"Go","Standard")</f>
        <v>Go</v>
      </c>
    </row>
    <row r="16307" customFormat="false" ht="15" hidden="false" customHeight="true" outlineLevel="0" collapsed="false">
      <c r="A16307" s="10" t="n">
        <f aca="false">Einstellungen!$B$5+INT((ROW()-9)/24)</f>
        <v>46645</v>
      </c>
      <c r="B16307" s="11" t="n">
        <f aca="false">MOD(ROW()-9,24)</f>
        <v>2</v>
      </c>
      <c r="C16307" s="12"/>
      <c r="D16307" s="13" t="n">
        <f aca="false">IF(B16307&lt;5,Einstellungen!$B$3,Einstellungen!$B$4)</f>
        <v>15.92</v>
      </c>
      <c r="E16307" s="14" t="str">
        <f aca="false">IF(C16307="","",C16307*D16307/100)</f>
        <v/>
      </c>
      <c r="F16307" s="15" t="str">
        <f aca="false">IF(B16307&lt;5,"Go","Standard")</f>
        <v>Go</v>
      </c>
    </row>
    <row r="16308" customFormat="false" ht="15" hidden="false" customHeight="true" outlineLevel="0" collapsed="false">
      <c r="A16308" s="10" t="n">
        <f aca="false">Einstellungen!$B$5+INT((ROW()-9)/24)</f>
        <v>46645</v>
      </c>
      <c r="B16308" s="11" t="n">
        <f aca="false">MOD(ROW()-9,24)</f>
        <v>3</v>
      </c>
      <c r="C16308" s="12"/>
      <c r="D16308" s="13" t="n">
        <f aca="false">IF(B16308&lt;5,Einstellungen!$B$3,Einstellungen!$B$4)</f>
        <v>15.92</v>
      </c>
      <c r="E16308" s="14" t="str">
        <f aca="false">IF(C16308="","",C16308*D16308/100)</f>
        <v/>
      </c>
      <c r="F16308" s="15" t="str">
        <f aca="false">IF(B16308&lt;5,"Go","Standard")</f>
        <v>Go</v>
      </c>
    </row>
    <row r="16309" customFormat="false" ht="15" hidden="false" customHeight="true" outlineLevel="0" collapsed="false">
      <c r="A16309" s="10" t="n">
        <f aca="false">Einstellungen!$B$5+INT((ROW()-9)/24)</f>
        <v>46645</v>
      </c>
      <c r="B16309" s="11" t="n">
        <f aca="false">MOD(ROW()-9,24)</f>
        <v>4</v>
      </c>
      <c r="C16309" s="12"/>
      <c r="D16309" s="13" t="n">
        <f aca="false">IF(B16309&lt;5,Einstellungen!$B$3,Einstellungen!$B$4)</f>
        <v>15.92</v>
      </c>
      <c r="E16309" s="14" t="str">
        <f aca="false">IF(C16309="","",C16309*D16309/100)</f>
        <v/>
      </c>
      <c r="F16309" s="15" t="str">
        <f aca="false">IF(B16309&lt;5,"Go","Standard")</f>
        <v>Go</v>
      </c>
    </row>
    <row r="16310" customFormat="false" ht="15" hidden="false" customHeight="true" outlineLevel="0" collapsed="false">
      <c r="A16310" s="10" t="n">
        <f aca="false">Einstellungen!$B$5+INT((ROW()-9)/24)</f>
        <v>46645</v>
      </c>
      <c r="B16310" s="11" t="n">
        <f aca="false">MOD(ROW()-9,24)</f>
        <v>5</v>
      </c>
      <c r="C16310" s="12"/>
      <c r="D16310" s="13" t="n">
        <f aca="false">IF(B16310&lt;5,Einstellungen!$B$3,Einstellungen!$B$4)</f>
        <v>29.13</v>
      </c>
      <c r="E16310" s="14" t="str">
        <f aca="false">IF(C16310="","",C16310*D16310/100)</f>
        <v/>
      </c>
      <c r="F16310" s="15" t="str">
        <f aca="false">IF(B16310&lt;5,"Go","Standard")</f>
        <v>Standard</v>
      </c>
    </row>
    <row r="16311" customFormat="false" ht="15" hidden="false" customHeight="true" outlineLevel="0" collapsed="false">
      <c r="A16311" s="10" t="n">
        <f aca="false">Einstellungen!$B$5+INT((ROW()-9)/24)</f>
        <v>46645</v>
      </c>
      <c r="B16311" s="11" t="n">
        <f aca="false">MOD(ROW()-9,24)</f>
        <v>6</v>
      </c>
      <c r="C16311" s="12"/>
      <c r="D16311" s="13" t="n">
        <f aca="false">IF(B16311&lt;5,Einstellungen!$B$3,Einstellungen!$B$4)</f>
        <v>29.13</v>
      </c>
      <c r="E16311" s="14" t="str">
        <f aca="false">IF(C16311="","",C16311*D16311/100)</f>
        <v/>
      </c>
      <c r="F16311" s="15" t="str">
        <f aca="false">IF(B16311&lt;5,"Go","Standard")</f>
        <v>Standard</v>
      </c>
    </row>
    <row r="16312" customFormat="false" ht="15" hidden="false" customHeight="true" outlineLevel="0" collapsed="false">
      <c r="A16312" s="10" t="n">
        <f aca="false">Einstellungen!$B$5+INT((ROW()-9)/24)</f>
        <v>46645</v>
      </c>
      <c r="B16312" s="11" t="n">
        <f aca="false">MOD(ROW()-9,24)</f>
        <v>7</v>
      </c>
      <c r="C16312" s="12"/>
      <c r="D16312" s="13" t="n">
        <f aca="false">IF(B16312&lt;5,Einstellungen!$B$3,Einstellungen!$B$4)</f>
        <v>29.13</v>
      </c>
      <c r="E16312" s="14" t="str">
        <f aca="false">IF(C16312="","",C16312*D16312/100)</f>
        <v/>
      </c>
      <c r="F16312" s="15" t="str">
        <f aca="false">IF(B16312&lt;5,"Go","Standard")</f>
        <v>Standard</v>
      </c>
    </row>
    <row r="16313" customFormat="false" ht="15" hidden="false" customHeight="true" outlineLevel="0" collapsed="false">
      <c r="A16313" s="10" t="n">
        <f aca="false">Einstellungen!$B$5+INT((ROW()-9)/24)</f>
        <v>46645</v>
      </c>
      <c r="B16313" s="11" t="n">
        <f aca="false">MOD(ROW()-9,24)</f>
        <v>8</v>
      </c>
      <c r="C16313" s="12"/>
      <c r="D16313" s="13" t="n">
        <f aca="false">IF(B16313&lt;5,Einstellungen!$B$3,Einstellungen!$B$4)</f>
        <v>29.13</v>
      </c>
      <c r="E16313" s="14" t="str">
        <f aca="false">IF(C16313="","",C16313*D16313/100)</f>
        <v/>
      </c>
      <c r="F16313" s="15" t="str">
        <f aca="false">IF(B16313&lt;5,"Go","Standard")</f>
        <v>Standard</v>
      </c>
    </row>
    <row r="16314" customFormat="false" ht="15" hidden="false" customHeight="true" outlineLevel="0" collapsed="false">
      <c r="A16314" s="10" t="n">
        <f aca="false">Einstellungen!$B$5+INT((ROW()-9)/24)</f>
        <v>46645</v>
      </c>
      <c r="B16314" s="11" t="n">
        <f aca="false">MOD(ROW()-9,24)</f>
        <v>9</v>
      </c>
      <c r="C16314" s="12"/>
      <c r="D16314" s="13" t="n">
        <f aca="false">IF(B16314&lt;5,Einstellungen!$B$3,Einstellungen!$B$4)</f>
        <v>29.13</v>
      </c>
      <c r="E16314" s="14" t="str">
        <f aca="false">IF(C16314="","",C16314*D16314/100)</f>
        <v/>
      </c>
      <c r="F16314" s="15" t="str">
        <f aca="false">IF(B16314&lt;5,"Go","Standard")</f>
        <v>Standard</v>
      </c>
    </row>
    <row r="16315" customFormat="false" ht="15" hidden="false" customHeight="true" outlineLevel="0" collapsed="false">
      <c r="A16315" s="10" t="n">
        <f aca="false">Einstellungen!$B$5+INT((ROW()-9)/24)</f>
        <v>46645</v>
      </c>
      <c r="B16315" s="11" t="n">
        <f aca="false">MOD(ROW()-9,24)</f>
        <v>10</v>
      </c>
      <c r="C16315" s="12"/>
      <c r="D16315" s="13" t="n">
        <f aca="false">IF(B16315&lt;5,Einstellungen!$B$3,Einstellungen!$B$4)</f>
        <v>29.13</v>
      </c>
      <c r="E16315" s="14" t="str">
        <f aca="false">IF(C16315="","",C16315*D16315/100)</f>
        <v/>
      </c>
      <c r="F16315" s="15" t="str">
        <f aca="false">IF(B16315&lt;5,"Go","Standard")</f>
        <v>Standard</v>
      </c>
    </row>
    <row r="16316" customFormat="false" ht="15" hidden="false" customHeight="true" outlineLevel="0" collapsed="false">
      <c r="A16316" s="10" t="n">
        <f aca="false">Einstellungen!$B$5+INT((ROW()-9)/24)</f>
        <v>46645</v>
      </c>
      <c r="B16316" s="11" t="n">
        <f aca="false">MOD(ROW()-9,24)</f>
        <v>11</v>
      </c>
      <c r="C16316" s="12"/>
      <c r="D16316" s="13" t="n">
        <f aca="false">IF(B16316&lt;5,Einstellungen!$B$3,Einstellungen!$B$4)</f>
        <v>29.13</v>
      </c>
      <c r="E16316" s="14" t="str">
        <f aca="false">IF(C16316="","",C16316*D16316/100)</f>
        <v/>
      </c>
      <c r="F16316" s="15" t="str">
        <f aca="false">IF(B16316&lt;5,"Go","Standard")</f>
        <v>Standard</v>
      </c>
    </row>
    <row r="16317" customFormat="false" ht="15" hidden="false" customHeight="true" outlineLevel="0" collapsed="false">
      <c r="A16317" s="10" t="n">
        <f aca="false">Einstellungen!$B$5+INT((ROW()-9)/24)</f>
        <v>46645</v>
      </c>
      <c r="B16317" s="11" t="n">
        <f aca="false">MOD(ROW()-9,24)</f>
        <v>12</v>
      </c>
      <c r="C16317" s="12"/>
      <c r="D16317" s="13" t="n">
        <f aca="false">IF(B16317&lt;5,Einstellungen!$B$3,Einstellungen!$B$4)</f>
        <v>29.13</v>
      </c>
      <c r="E16317" s="14" t="str">
        <f aca="false">IF(C16317="","",C16317*D16317/100)</f>
        <v/>
      </c>
      <c r="F16317" s="15" t="str">
        <f aca="false">IF(B16317&lt;5,"Go","Standard")</f>
        <v>Standard</v>
      </c>
    </row>
    <row r="16318" customFormat="false" ht="15" hidden="false" customHeight="true" outlineLevel="0" collapsed="false">
      <c r="A16318" s="10" t="n">
        <f aca="false">Einstellungen!$B$5+INT((ROW()-9)/24)</f>
        <v>46645</v>
      </c>
      <c r="B16318" s="11" t="n">
        <f aca="false">MOD(ROW()-9,24)</f>
        <v>13</v>
      </c>
      <c r="C16318" s="12"/>
      <c r="D16318" s="13" t="n">
        <f aca="false">IF(B16318&lt;5,Einstellungen!$B$3,Einstellungen!$B$4)</f>
        <v>29.13</v>
      </c>
      <c r="E16318" s="14" t="str">
        <f aca="false">IF(C16318="","",C16318*D16318/100)</f>
        <v/>
      </c>
      <c r="F16318" s="15" t="str">
        <f aca="false">IF(B16318&lt;5,"Go","Standard")</f>
        <v>Standard</v>
      </c>
    </row>
    <row r="16319" customFormat="false" ht="15" hidden="false" customHeight="true" outlineLevel="0" collapsed="false">
      <c r="A16319" s="10" t="n">
        <f aca="false">Einstellungen!$B$5+INT((ROW()-9)/24)</f>
        <v>46645</v>
      </c>
      <c r="B16319" s="11" t="n">
        <f aca="false">MOD(ROW()-9,24)</f>
        <v>14</v>
      </c>
      <c r="C16319" s="12"/>
      <c r="D16319" s="13" t="n">
        <f aca="false">IF(B16319&lt;5,Einstellungen!$B$3,Einstellungen!$B$4)</f>
        <v>29.13</v>
      </c>
      <c r="E16319" s="14" t="str">
        <f aca="false">IF(C16319="","",C16319*D16319/100)</f>
        <v/>
      </c>
      <c r="F16319" s="15" t="str">
        <f aca="false">IF(B16319&lt;5,"Go","Standard")</f>
        <v>Standard</v>
      </c>
    </row>
    <row r="16320" customFormat="false" ht="15" hidden="false" customHeight="true" outlineLevel="0" collapsed="false">
      <c r="A16320" s="10" t="n">
        <f aca="false">Einstellungen!$B$5+INT((ROW()-9)/24)</f>
        <v>46645</v>
      </c>
      <c r="B16320" s="11" t="n">
        <f aca="false">MOD(ROW()-9,24)</f>
        <v>15</v>
      </c>
      <c r="C16320" s="12"/>
      <c r="D16320" s="13" t="n">
        <f aca="false">IF(B16320&lt;5,Einstellungen!$B$3,Einstellungen!$B$4)</f>
        <v>29.13</v>
      </c>
      <c r="E16320" s="14" t="str">
        <f aca="false">IF(C16320="","",C16320*D16320/100)</f>
        <v/>
      </c>
      <c r="F16320" s="15" t="str">
        <f aca="false">IF(B16320&lt;5,"Go","Standard")</f>
        <v>Standard</v>
      </c>
    </row>
    <row r="16321" customFormat="false" ht="15" hidden="false" customHeight="true" outlineLevel="0" collapsed="false">
      <c r="A16321" s="10" t="n">
        <f aca="false">Einstellungen!$B$5+INT((ROW()-9)/24)</f>
        <v>46645</v>
      </c>
      <c r="B16321" s="11" t="n">
        <f aca="false">MOD(ROW()-9,24)</f>
        <v>16</v>
      </c>
      <c r="C16321" s="12"/>
      <c r="D16321" s="13" t="n">
        <f aca="false">IF(B16321&lt;5,Einstellungen!$B$3,Einstellungen!$B$4)</f>
        <v>29.13</v>
      </c>
      <c r="E16321" s="14" t="str">
        <f aca="false">IF(C16321="","",C16321*D16321/100)</f>
        <v/>
      </c>
      <c r="F16321" s="15" t="str">
        <f aca="false">IF(B16321&lt;5,"Go","Standard")</f>
        <v>Standard</v>
      </c>
    </row>
    <row r="16322" customFormat="false" ht="15" hidden="false" customHeight="true" outlineLevel="0" collapsed="false">
      <c r="A16322" s="10" t="n">
        <f aca="false">Einstellungen!$B$5+INT((ROW()-9)/24)</f>
        <v>46645</v>
      </c>
      <c r="B16322" s="11" t="n">
        <f aca="false">MOD(ROW()-9,24)</f>
        <v>17</v>
      </c>
      <c r="C16322" s="12"/>
      <c r="D16322" s="13" t="n">
        <f aca="false">IF(B16322&lt;5,Einstellungen!$B$3,Einstellungen!$B$4)</f>
        <v>29.13</v>
      </c>
      <c r="E16322" s="14" t="str">
        <f aca="false">IF(C16322="","",C16322*D16322/100)</f>
        <v/>
      </c>
      <c r="F16322" s="15" t="str">
        <f aca="false">IF(B16322&lt;5,"Go","Standard")</f>
        <v>Standard</v>
      </c>
    </row>
    <row r="16323" customFormat="false" ht="15" hidden="false" customHeight="true" outlineLevel="0" collapsed="false">
      <c r="A16323" s="10" t="n">
        <f aca="false">Einstellungen!$B$5+INT((ROW()-9)/24)</f>
        <v>46645</v>
      </c>
      <c r="B16323" s="11" t="n">
        <f aca="false">MOD(ROW()-9,24)</f>
        <v>18</v>
      </c>
      <c r="C16323" s="12"/>
      <c r="D16323" s="13" t="n">
        <f aca="false">IF(B16323&lt;5,Einstellungen!$B$3,Einstellungen!$B$4)</f>
        <v>29.13</v>
      </c>
      <c r="E16323" s="14" t="str">
        <f aca="false">IF(C16323="","",C16323*D16323/100)</f>
        <v/>
      </c>
      <c r="F16323" s="15" t="str">
        <f aca="false">IF(B16323&lt;5,"Go","Standard")</f>
        <v>Standard</v>
      </c>
    </row>
    <row r="16324" customFormat="false" ht="15" hidden="false" customHeight="true" outlineLevel="0" collapsed="false">
      <c r="A16324" s="10" t="n">
        <f aca="false">Einstellungen!$B$5+INT((ROW()-9)/24)</f>
        <v>46645</v>
      </c>
      <c r="B16324" s="11" t="n">
        <f aca="false">MOD(ROW()-9,24)</f>
        <v>19</v>
      </c>
      <c r="C16324" s="12"/>
      <c r="D16324" s="13" t="n">
        <f aca="false">IF(B16324&lt;5,Einstellungen!$B$3,Einstellungen!$B$4)</f>
        <v>29.13</v>
      </c>
      <c r="E16324" s="14" t="str">
        <f aca="false">IF(C16324="","",C16324*D16324/100)</f>
        <v/>
      </c>
      <c r="F16324" s="15" t="str">
        <f aca="false">IF(B16324&lt;5,"Go","Standard")</f>
        <v>Standard</v>
      </c>
    </row>
    <row r="16325" customFormat="false" ht="15" hidden="false" customHeight="true" outlineLevel="0" collapsed="false">
      <c r="A16325" s="10" t="n">
        <f aca="false">Einstellungen!$B$5+INT((ROW()-9)/24)</f>
        <v>46645</v>
      </c>
      <c r="B16325" s="11" t="n">
        <f aca="false">MOD(ROW()-9,24)</f>
        <v>20</v>
      </c>
      <c r="C16325" s="12"/>
      <c r="D16325" s="13" t="n">
        <f aca="false">IF(B16325&lt;5,Einstellungen!$B$3,Einstellungen!$B$4)</f>
        <v>29.13</v>
      </c>
      <c r="E16325" s="14" t="str">
        <f aca="false">IF(C16325="","",C16325*D16325/100)</f>
        <v/>
      </c>
      <c r="F16325" s="15" t="str">
        <f aca="false">IF(B16325&lt;5,"Go","Standard")</f>
        <v>Standard</v>
      </c>
    </row>
    <row r="16326" customFormat="false" ht="15" hidden="false" customHeight="true" outlineLevel="0" collapsed="false">
      <c r="A16326" s="10" t="n">
        <f aca="false">Einstellungen!$B$5+INT((ROW()-9)/24)</f>
        <v>46645</v>
      </c>
      <c r="B16326" s="11" t="n">
        <f aca="false">MOD(ROW()-9,24)</f>
        <v>21</v>
      </c>
      <c r="C16326" s="12"/>
      <c r="D16326" s="13" t="n">
        <f aca="false">IF(B16326&lt;5,Einstellungen!$B$3,Einstellungen!$B$4)</f>
        <v>29.13</v>
      </c>
      <c r="E16326" s="14" t="str">
        <f aca="false">IF(C16326="","",C16326*D16326/100)</f>
        <v/>
      </c>
      <c r="F16326" s="15" t="str">
        <f aca="false">IF(B16326&lt;5,"Go","Standard")</f>
        <v>Standard</v>
      </c>
    </row>
    <row r="16327" customFormat="false" ht="15" hidden="false" customHeight="true" outlineLevel="0" collapsed="false">
      <c r="A16327" s="10" t="n">
        <f aca="false">Einstellungen!$B$5+INT((ROW()-9)/24)</f>
        <v>46645</v>
      </c>
      <c r="B16327" s="11" t="n">
        <f aca="false">MOD(ROW()-9,24)</f>
        <v>22</v>
      </c>
      <c r="C16327" s="12"/>
      <c r="D16327" s="13" t="n">
        <f aca="false">IF(B16327&lt;5,Einstellungen!$B$3,Einstellungen!$B$4)</f>
        <v>29.13</v>
      </c>
      <c r="E16327" s="14" t="str">
        <f aca="false">IF(C16327="","",C16327*D16327/100)</f>
        <v/>
      </c>
      <c r="F16327" s="15" t="str">
        <f aca="false">IF(B16327&lt;5,"Go","Standard")</f>
        <v>Standard</v>
      </c>
    </row>
    <row r="16328" customFormat="false" ht="15" hidden="false" customHeight="true" outlineLevel="0" collapsed="false">
      <c r="A16328" s="10" t="n">
        <f aca="false">Einstellungen!$B$5+INT((ROW()-9)/24)</f>
        <v>46645</v>
      </c>
      <c r="B16328" s="11" t="n">
        <f aca="false">MOD(ROW()-9,24)</f>
        <v>23</v>
      </c>
      <c r="C16328" s="12"/>
      <c r="D16328" s="13" t="n">
        <f aca="false">IF(B16328&lt;5,Einstellungen!$B$3,Einstellungen!$B$4)</f>
        <v>29.13</v>
      </c>
      <c r="E16328" s="14" t="str">
        <f aca="false">IF(C16328="","",C16328*D16328/100)</f>
        <v/>
      </c>
      <c r="F16328" s="15" t="str">
        <f aca="false">IF(B16328&lt;5,"Go","Standard")</f>
        <v>Standard</v>
      </c>
    </row>
    <row r="16329" customFormat="false" ht="15" hidden="false" customHeight="true" outlineLevel="0" collapsed="false">
      <c r="A16329" s="10" t="n">
        <f aca="false">Einstellungen!$B$5+INT((ROW()-9)/24)</f>
        <v>46646</v>
      </c>
      <c r="B16329" s="11" t="n">
        <f aca="false">MOD(ROW()-9,24)</f>
        <v>0</v>
      </c>
      <c r="C16329" s="12"/>
      <c r="D16329" s="13" t="n">
        <f aca="false">IF(B16329&lt;5,Einstellungen!$B$3,Einstellungen!$B$4)</f>
        <v>15.92</v>
      </c>
      <c r="E16329" s="14" t="str">
        <f aca="false">IF(C16329="","",C16329*D16329/100)</f>
        <v/>
      </c>
      <c r="F16329" s="15" t="str">
        <f aca="false">IF(B16329&lt;5,"Go","Standard")</f>
        <v>Go</v>
      </c>
    </row>
    <row r="16330" customFormat="false" ht="15" hidden="false" customHeight="true" outlineLevel="0" collapsed="false">
      <c r="A16330" s="10" t="n">
        <f aca="false">Einstellungen!$B$5+INT((ROW()-9)/24)</f>
        <v>46646</v>
      </c>
      <c r="B16330" s="11" t="n">
        <f aca="false">MOD(ROW()-9,24)</f>
        <v>1</v>
      </c>
      <c r="C16330" s="12"/>
      <c r="D16330" s="13" t="n">
        <f aca="false">IF(B16330&lt;5,Einstellungen!$B$3,Einstellungen!$B$4)</f>
        <v>15.92</v>
      </c>
      <c r="E16330" s="14" t="str">
        <f aca="false">IF(C16330="","",C16330*D16330/100)</f>
        <v/>
      </c>
      <c r="F16330" s="15" t="str">
        <f aca="false">IF(B16330&lt;5,"Go","Standard")</f>
        <v>Go</v>
      </c>
    </row>
    <row r="16331" customFormat="false" ht="15" hidden="false" customHeight="true" outlineLevel="0" collapsed="false">
      <c r="A16331" s="10" t="n">
        <f aca="false">Einstellungen!$B$5+INT((ROW()-9)/24)</f>
        <v>46646</v>
      </c>
      <c r="B16331" s="11" t="n">
        <f aca="false">MOD(ROW()-9,24)</f>
        <v>2</v>
      </c>
      <c r="C16331" s="12"/>
      <c r="D16331" s="13" t="n">
        <f aca="false">IF(B16331&lt;5,Einstellungen!$B$3,Einstellungen!$B$4)</f>
        <v>15.92</v>
      </c>
      <c r="E16331" s="14" t="str">
        <f aca="false">IF(C16331="","",C16331*D16331/100)</f>
        <v/>
      </c>
      <c r="F16331" s="15" t="str">
        <f aca="false">IF(B16331&lt;5,"Go","Standard")</f>
        <v>Go</v>
      </c>
    </row>
    <row r="16332" customFormat="false" ht="15" hidden="false" customHeight="true" outlineLevel="0" collapsed="false">
      <c r="A16332" s="10" t="n">
        <f aca="false">Einstellungen!$B$5+INT((ROW()-9)/24)</f>
        <v>46646</v>
      </c>
      <c r="B16332" s="11" t="n">
        <f aca="false">MOD(ROW()-9,24)</f>
        <v>3</v>
      </c>
      <c r="C16332" s="12"/>
      <c r="D16332" s="13" t="n">
        <f aca="false">IF(B16332&lt;5,Einstellungen!$B$3,Einstellungen!$B$4)</f>
        <v>15.92</v>
      </c>
      <c r="E16332" s="14" t="str">
        <f aca="false">IF(C16332="","",C16332*D16332/100)</f>
        <v/>
      </c>
      <c r="F16332" s="15" t="str">
        <f aca="false">IF(B16332&lt;5,"Go","Standard")</f>
        <v>Go</v>
      </c>
    </row>
    <row r="16333" customFormat="false" ht="15" hidden="false" customHeight="true" outlineLevel="0" collapsed="false">
      <c r="A16333" s="10" t="n">
        <f aca="false">Einstellungen!$B$5+INT((ROW()-9)/24)</f>
        <v>46646</v>
      </c>
      <c r="B16333" s="11" t="n">
        <f aca="false">MOD(ROW()-9,24)</f>
        <v>4</v>
      </c>
      <c r="C16333" s="12"/>
      <c r="D16333" s="13" t="n">
        <f aca="false">IF(B16333&lt;5,Einstellungen!$B$3,Einstellungen!$B$4)</f>
        <v>15.92</v>
      </c>
      <c r="E16333" s="14" t="str">
        <f aca="false">IF(C16333="","",C16333*D16333/100)</f>
        <v/>
      </c>
      <c r="F16333" s="15" t="str">
        <f aca="false">IF(B16333&lt;5,"Go","Standard")</f>
        <v>Go</v>
      </c>
    </row>
    <row r="16334" customFormat="false" ht="15" hidden="false" customHeight="true" outlineLevel="0" collapsed="false">
      <c r="A16334" s="10" t="n">
        <f aca="false">Einstellungen!$B$5+INT((ROW()-9)/24)</f>
        <v>46646</v>
      </c>
      <c r="B16334" s="11" t="n">
        <f aca="false">MOD(ROW()-9,24)</f>
        <v>5</v>
      </c>
      <c r="C16334" s="12"/>
      <c r="D16334" s="13" t="n">
        <f aca="false">IF(B16334&lt;5,Einstellungen!$B$3,Einstellungen!$B$4)</f>
        <v>29.13</v>
      </c>
      <c r="E16334" s="14" t="str">
        <f aca="false">IF(C16334="","",C16334*D16334/100)</f>
        <v/>
      </c>
      <c r="F16334" s="15" t="str">
        <f aca="false">IF(B16334&lt;5,"Go","Standard")</f>
        <v>Standard</v>
      </c>
    </row>
    <row r="16335" customFormat="false" ht="15" hidden="false" customHeight="true" outlineLevel="0" collapsed="false">
      <c r="A16335" s="10" t="n">
        <f aca="false">Einstellungen!$B$5+INT((ROW()-9)/24)</f>
        <v>46646</v>
      </c>
      <c r="B16335" s="11" t="n">
        <f aca="false">MOD(ROW()-9,24)</f>
        <v>6</v>
      </c>
      <c r="C16335" s="12"/>
      <c r="D16335" s="13" t="n">
        <f aca="false">IF(B16335&lt;5,Einstellungen!$B$3,Einstellungen!$B$4)</f>
        <v>29.13</v>
      </c>
      <c r="E16335" s="14" t="str">
        <f aca="false">IF(C16335="","",C16335*D16335/100)</f>
        <v/>
      </c>
      <c r="F16335" s="15" t="str">
        <f aca="false">IF(B16335&lt;5,"Go","Standard")</f>
        <v>Standard</v>
      </c>
    </row>
    <row r="16336" customFormat="false" ht="15" hidden="false" customHeight="true" outlineLevel="0" collapsed="false">
      <c r="A16336" s="10" t="n">
        <f aca="false">Einstellungen!$B$5+INT((ROW()-9)/24)</f>
        <v>46646</v>
      </c>
      <c r="B16336" s="11" t="n">
        <f aca="false">MOD(ROW()-9,24)</f>
        <v>7</v>
      </c>
      <c r="C16336" s="12"/>
      <c r="D16336" s="13" t="n">
        <f aca="false">IF(B16336&lt;5,Einstellungen!$B$3,Einstellungen!$B$4)</f>
        <v>29.13</v>
      </c>
      <c r="E16336" s="14" t="str">
        <f aca="false">IF(C16336="","",C16336*D16336/100)</f>
        <v/>
      </c>
      <c r="F16336" s="15" t="str">
        <f aca="false">IF(B16336&lt;5,"Go","Standard")</f>
        <v>Standard</v>
      </c>
    </row>
    <row r="16337" customFormat="false" ht="15" hidden="false" customHeight="true" outlineLevel="0" collapsed="false">
      <c r="A16337" s="10" t="n">
        <f aca="false">Einstellungen!$B$5+INT((ROW()-9)/24)</f>
        <v>46646</v>
      </c>
      <c r="B16337" s="11" t="n">
        <f aca="false">MOD(ROW()-9,24)</f>
        <v>8</v>
      </c>
      <c r="C16337" s="12"/>
      <c r="D16337" s="13" t="n">
        <f aca="false">IF(B16337&lt;5,Einstellungen!$B$3,Einstellungen!$B$4)</f>
        <v>29.13</v>
      </c>
      <c r="E16337" s="14" t="str">
        <f aca="false">IF(C16337="","",C16337*D16337/100)</f>
        <v/>
      </c>
      <c r="F16337" s="15" t="str">
        <f aca="false">IF(B16337&lt;5,"Go","Standard")</f>
        <v>Standard</v>
      </c>
    </row>
    <row r="16338" customFormat="false" ht="15" hidden="false" customHeight="true" outlineLevel="0" collapsed="false">
      <c r="A16338" s="10" t="n">
        <f aca="false">Einstellungen!$B$5+INT((ROW()-9)/24)</f>
        <v>46646</v>
      </c>
      <c r="B16338" s="11" t="n">
        <f aca="false">MOD(ROW()-9,24)</f>
        <v>9</v>
      </c>
      <c r="C16338" s="12"/>
      <c r="D16338" s="13" t="n">
        <f aca="false">IF(B16338&lt;5,Einstellungen!$B$3,Einstellungen!$B$4)</f>
        <v>29.13</v>
      </c>
      <c r="E16338" s="14" t="str">
        <f aca="false">IF(C16338="","",C16338*D16338/100)</f>
        <v/>
      </c>
      <c r="F16338" s="15" t="str">
        <f aca="false">IF(B16338&lt;5,"Go","Standard")</f>
        <v>Standard</v>
      </c>
    </row>
    <row r="16339" customFormat="false" ht="15" hidden="false" customHeight="true" outlineLevel="0" collapsed="false">
      <c r="A16339" s="10" t="n">
        <f aca="false">Einstellungen!$B$5+INT((ROW()-9)/24)</f>
        <v>46646</v>
      </c>
      <c r="B16339" s="11" t="n">
        <f aca="false">MOD(ROW()-9,24)</f>
        <v>10</v>
      </c>
      <c r="C16339" s="12"/>
      <c r="D16339" s="13" t="n">
        <f aca="false">IF(B16339&lt;5,Einstellungen!$B$3,Einstellungen!$B$4)</f>
        <v>29.13</v>
      </c>
      <c r="E16339" s="14" t="str">
        <f aca="false">IF(C16339="","",C16339*D16339/100)</f>
        <v/>
      </c>
      <c r="F16339" s="15" t="str">
        <f aca="false">IF(B16339&lt;5,"Go","Standard")</f>
        <v>Standard</v>
      </c>
    </row>
    <row r="16340" customFormat="false" ht="15" hidden="false" customHeight="true" outlineLevel="0" collapsed="false">
      <c r="A16340" s="10" t="n">
        <f aca="false">Einstellungen!$B$5+INT((ROW()-9)/24)</f>
        <v>46646</v>
      </c>
      <c r="B16340" s="11" t="n">
        <f aca="false">MOD(ROW()-9,24)</f>
        <v>11</v>
      </c>
      <c r="C16340" s="12"/>
      <c r="D16340" s="13" t="n">
        <f aca="false">IF(B16340&lt;5,Einstellungen!$B$3,Einstellungen!$B$4)</f>
        <v>29.13</v>
      </c>
      <c r="E16340" s="14" t="str">
        <f aca="false">IF(C16340="","",C16340*D16340/100)</f>
        <v/>
      </c>
      <c r="F16340" s="15" t="str">
        <f aca="false">IF(B16340&lt;5,"Go","Standard")</f>
        <v>Standard</v>
      </c>
    </row>
    <row r="16341" customFormat="false" ht="15" hidden="false" customHeight="true" outlineLevel="0" collapsed="false">
      <c r="A16341" s="10" t="n">
        <f aca="false">Einstellungen!$B$5+INT((ROW()-9)/24)</f>
        <v>46646</v>
      </c>
      <c r="B16341" s="11" t="n">
        <f aca="false">MOD(ROW()-9,24)</f>
        <v>12</v>
      </c>
      <c r="C16341" s="12"/>
      <c r="D16341" s="13" t="n">
        <f aca="false">IF(B16341&lt;5,Einstellungen!$B$3,Einstellungen!$B$4)</f>
        <v>29.13</v>
      </c>
      <c r="E16341" s="14" t="str">
        <f aca="false">IF(C16341="","",C16341*D16341/100)</f>
        <v/>
      </c>
      <c r="F16341" s="15" t="str">
        <f aca="false">IF(B16341&lt;5,"Go","Standard")</f>
        <v>Standard</v>
      </c>
    </row>
    <row r="16342" customFormat="false" ht="15" hidden="false" customHeight="true" outlineLevel="0" collapsed="false">
      <c r="A16342" s="10" t="n">
        <f aca="false">Einstellungen!$B$5+INT((ROW()-9)/24)</f>
        <v>46646</v>
      </c>
      <c r="B16342" s="11" t="n">
        <f aca="false">MOD(ROW()-9,24)</f>
        <v>13</v>
      </c>
      <c r="C16342" s="12"/>
      <c r="D16342" s="13" t="n">
        <f aca="false">IF(B16342&lt;5,Einstellungen!$B$3,Einstellungen!$B$4)</f>
        <v>29.13</v>
      </c>
      <c r="E16342" s="14" t="str">
        <f aca="false">IF(C16342="","",C16342*D16342/100)</f>
        <v/>
      </c>
      <c r="F16342" s="15" t="str">
        <f aca="false">IF(B16342&lt;5,"Go","Standard")</f>
        <v>Standard</v>
      </c>
    </row>
    <row r="16343" customFormat="false" ht="15" hidden="false" customHeight="true" outlineLevel="0" collapsed="false">
      <c r="A16343" s="10" t="n">
        <f aca="false">Einstellungen!$B$5+INT((ROW()-9)/24)</f>
        <v>46646</v>
      </c>
      <c r="B16343" s="11" t="n">
        <f aca="false">MOD(ROW()-9,24)</f>
        <v>14</v>
      </c>
      <c r="C16343" s="12"/>
      <c r="D16343" s="13" t="n">
        <f aca="false">IF(B16343&lt;5,Einstellungen!$B$3,Einstellungen!$B$4)</f>
        <v>29.13</v>
      </c>
      <c r="E16343" s="14" t="str">
        <f aca="false">IF(C16343="","",C16343*D16343/100)</f>
        <v/>
      </c>
      <c r="F16343" s="15" t="str">
        <f aca="false">IF(B16343&lt;5,"Go","Standard")</f>
        <v>Standard</v>
      </c>
    </row>
    <row r="16344" customFormat="false" ht="15" hidden="false" customHeight="true" outlineLevel="0" collapsed="false">
      <c r="A16344" s="10" t="n">
        <f aca="false">Einstellungen!$B$5+INT((ROW()-9)/24)</f>
        <v>46646</v>
      </c>
      <c r="B16344" s="11" t="n">
        <f aca="false">MOD(ROW()-9,24)</f>
        <v>15</v>
      </c>
      <c r="C16344" s="12"/>
      <c r="D16344" s="13" t="n">
        <f aca="false">IF(B16344&lt;5,Einstellungen!$B$3,Einstellungen!$B$4)</f>
        <v>29.13</v>
      </c>
      <c r="E16344" s="14" t="str">
        <f aca="false">IF(C16344="","",C16344*D16344/100)</f>
        <v/>
      </c>
      <c r="F16344" s="15" t="str">
        <f aca="false">IF(B16344&lt;5,"Go","Standard")</f>
        <v>Standard</v>
      </c>
    </row>
    <row r="16345" customFormat="false" ht="15" hidden="false" customHeight="true" outlineLevel="0" collapsed="false">
      <c r="A16345" s="10" t="n">
        <f aca="false">Einstellungen!$B$5+INT((ROW()-9)/24)</f>
        <v>46646</v>
      </c>
      <c r="B16345" s="11" t="n">
        <f aca="false">MOD(ROW()-9,24)</f>
        <v>16</v>
      </c>
      <c r="C16345" s="12"/>
      <c r="D16345" s="13" t="n">
        <f aca="false">IF(B16345&lt;5,Einstellungen!$B$3,Einstellungen!$B$4)</f>
        <v>29.13</v>
      </c>
      <c r="E16345" s="14" t="str">
        <f aca="false">IF(C16345="","",C16345*D16345/100)</f>
        <v/>
      </c>
      <c r="F16345" s="15" t="str">
        <f aca="false">IF(B16345&lt;5,"Go","Standard")</f>
        <v>Standard</v>
      </c>
    </row>
    <row r="16346" customFormat="false" ht="15" hidden="false" customHeight="true" outlineLevel="0" collapsed="false">
      <c r="A16346" s="10" t="n">
        <f aca="false">Einstellungen!$B$5+INT((ROW()-9)/24)</f>
        <v>46646</v>
      </c>
      <c r="B16346" s="11" t="n">
        <f aca="false">MOD(ROW()-9,24)</f>
        <v>17</v>
      </c>
      <c r="C16346" s="12"/>
      <c r="D16346" s="13" t="n">
        <f aca="false">IF(B16346&lt;5,Einstellungen!$B$3,Einstellungen!$B$4)</f>
        <v>29.13</v>
      </c>
      <c r="E16346" s="14" t="str">
        <f aca="false">IF(C16346="","",C16346*D16346/100)</f>
        <v/>
      </c>
      <c r="F16346" s="15" t="str">
        <f aca="false">IF(B16346&lt;5,"Go","Standard")</f>
        <v>Standard</v>
      </c>
    </row>
    <row r="16347" customFormat="false" ht="15" hidden="false" customHeight="true" outlineLevel="0" collapsed="false">
      <c r="A16347" s="10" t="n">
        <f aca="false">Einstellungen!$B$5+INT((ROW()-9)/24)</f>
        <v>46646</v>
      </c>
      <c r="B16347" s="11" t="n">
        <f aca="false">MOD(ROW()-9,24)</f>
        <v>18</v>
      </c>
      <c r="C16347" s="12"/>
      <c r="D16347" s="13" t="n">
        <f aca="false">IF(B16347&lt;5,Einstellungen!$B$3,Einstellungen!$B$4)</f>
        <v>29.13</v>
      </c>
      <c r="E16347" s="14" t="str">
        <f aca="false">IF(C16347="","",C16347*D16347/100)</f>
        <v/>
      </c>
      <c r="F16347" s="15" t="str">
        <f aca="false">IF(B16347&lt;5,"Go","Standard")</f>
        <v>Standard</v>
      </c>
    </row>
    <row r="16348" customFormat="false" ht="15" hidden="false" customHeight="true" outlineLevel="0" collapsed="false">
      <c r="A16348" s="10" t="n">
        <f aca="false">Einstellungen!$B$5+INT((ROW()-9)/24)</f>
        <v>46646</v>
      </c>
      <c r="B16348" s="11" t="n">
        <f aca="false">MOD(ROW()-9,24)</f>
        <v>19</v>
      </c>
      <c r="C16348" s="12"/>
      <c r="D16348" s="13" t="n">
        <f aca="false">IF(B16348&lt;5,Einstellungen!$B$3,Einstellungen!$B$4)</f>
        <v>29.13</v>
      </c>
      <c r="E16348" s="14" t="str">
        <f aca="false">IF(C16348="","",C16348*D16348/100)</f>
        <v/>
      </c>
      <c r="F16348" s="15" t="str">
        <f aca="false">IF(B16348&lt;5,"Go","Standard")</f>
        <v>Standard</v>
      </c>
    </row>
    <row r="16349" customFormat="false" ht="15" hidden="false" customHeight="true" outlineLevel="0" collapsed="false">
      <c r="A16349" s="10" t="n">
        <f aca="false">Einstellungen!$B$5+INT((ROW()-9)/24)</f>
        <v>46646</v>
      </c>
      <c r="B16349" s="11" t="n">
        <f aca="false">MOD(ROW()-9,24)</f>
        <v>20</v>
      </c>
      <c r="C16349" s="12"/>
      <c r="D16349" s="13" t="n">
        <f aca="false">IF(B16349&lt;5,Einstellungen!$B$3,Einstellungen!$B$4)</f>
        <v>29.13</v>
      </c>
      <c r="E16349" s="14" t="str">
        <f aca="false">IF(C16349="","",C16349*D16349/100)</f>
        <v/>
      </c>
      <c r="F16349" s="15" t="str">
        <f aca="false">IF(B16349&lt;5,"Go","Standard")</f>
        <v>Standard</v>
      </c>
    </row>
    <row r="16350" customFormat="false" ht="15" hidden="false" customHeight="true" outlineLevel="0" collapsed="false">
      <c r="A16350" s="10" t="n">
        <f aca="false">Einstellungen!$B$5+INT((ROW()-9)/24)</f>
        <v>46646</v>
      </c>
      <c r="B16350" s="11" t="n">
        <f aca="false">MOD(ROW()-9,24)</f>
        <v>21</v>
      </c>
      <c r="C16350" s="12"/>
      <c r="D16350" s="13" t="n">
        <f aca="false">IF(B16350&lt;5,Einstellungen!$B$3,Einstellungen!$B$4)</f>
        <v>29.13</v>
      </c>
      <c r="E16350" s="14" t="str">
        <f aca="false">IF(C16350="","",C16350*D16350/100)</f>
        <v/>
      </c>
      <c r="F16350" s="15" t="str">
        <f aca="false">IF(B16350&lt;5,"Go","Standard")</f>
        <v>Standard</v>
      </c>
    </row>
    <row r="16351" customFormat="false" ht="15" hidden="false" customHeight="true" outlineLevel="0" collapsed="false">
      <c r="A16351" s="10" t="n">
        <f aca="false">Einstellungen!$B$5+INT((ROW()-9)/24)</f>
        <v>46646</v>
      </c>
      <c r="B16351" s="11" t="n">
        <f aca="false">MOD(ROW()-9,24)</f>
        <v>22</v>
      </c>
      <c r="C16351" s="12"/>
      <c r="D16351" s="13" t="n">
        <f aca="false">IF(B16351&lt;5,Einstellungen!$B$3,Einstellungen!$B$4)</f>
        <v>29.13</v>
      </c>
      <c r="E16351" s="14" t="str">
        <f aca="false">IF(C16351="","",C16351*D16351/100)</f>
        <v/>
      </c>
      <c r="F16351" s="15" t="str">
        <f aca="false">IF(B16351&lt;5,"Go","Standard")</f>
        <v>Standard</v>
      </c>
    </row>
    <row r="16352" customFormat="false" ht="15" hidden="false" customHeight="true" outlineLevel="0" collapsed="false">
      <c r="A16352" s="10" t="n">
        <f aca="false">Einstellungen!$B$5+INT((ROW()-9)/24)</f>
        <v>46646</v>
      </c>
      <c r="B16352" s="11" t="n">
        <f aca="false">MOD(ROW()-9,24)</f>
        <v>23</v>
      </c>
      <c r="C16352" s="12"/>
      <c r="D16352" s="13" t="n">
        <f aca="false">IF(B16352&lt;5,Einstellungen!$B$3,Einstellungen!$B$4)</f>
        <v>29.13</v>
      </c>
      <c r="E16352" s="14" t="str">
        <f aca="false">IF(C16352="","",C16352*D16352/100)</f>
        <v/>
      </c>
      <c r="F16352" s="15" t="str">
        <f aca="false">IF(B16352&lt;5,"Go","Standard")</f>
        <v>Standard</v>
      </c>
    </row>
    <row r="16353" customFormat="false" ht="15" hidden="false" customHeight="true" outlineLevel="0" collapsed="false">
      <c r="A16353" s="10" t="n">
        <f aca="false">Einstellungen!$B$5+INT((ROW()-9)/24)</f>
        <v>46647</v>
      </c>
      <c r="B16353" s="11" t="n">
        <f aca="false">MOD(ROW()-9,24)</f>
        <v>0</v>
      </c>
      <c r="C16353" s="12"/>
      <c r="D16353" s="13" t="n">
        <f aca="false">IF(B16353&lt;5,Einstellungen!$B$3,Einstellungen!$B$4)</f>
        <v>15.92</v>
      </c>
      <c r="E16353" s="14" t="str">
        <f aca="false">IF(C16353="","",C16353*D16353/100)</f>
        <v/>
      </c>
      <c r="F16353" s="15" t="str">
        <f aca="false">IF(B16353&lt;5,"Go","Standard")</f>
        <v>Go</v>
      </c>
    </row>
    <row r="16354" customFormat="false" ht="15" hidden="false" customHeight="true" outlineLevel="0" collapsed="false">
      <c r="A16354" s="10" t="n">
        <f aca="false">Einstellungen!$B$5+INT((ROW()-9)/24)</f>
        <v>46647</v>
      </c>
      <c r="B16354" s="11" t="n">
        <f aca="false">MOD(ROW()-9,24)</f>
        <v>1</v>
      </c>
      <c r="C16354" s="12"/>
      <c r="D16354" s="13" t="n">
        <f aca="false">IF(B16354&lt;5,Einstellungen!$B$3,Einstellungen!$B$4)</f>
        <v>15.92</v>
      </c>
      <c r="E16354" s="14" t="str">
        <f aca="false">IF(C16354="","",C16354*D16354/100)</f>
        <v/>
      </c>
      <c r="F16354" s="15" t="str">
        <f aca="false">IF(B16354&lt;5,"Go","Standard")</f>
        <v>Go</v>
      </c>
    </row>
    <row r="16355" customFormat="false" ht="15" hidden="false" customHeight="true" outlineLevel="0" collapsed="false">
      <c r="A16355" s="10" t="n">
        <f aca="false">Einstellungen!$B$5+INT((ROW()-9)/24)</f>
        <v>46647</v>
      </c>
      <c r="B16355" s="11" t="n">
        <f aca="false">MOD(ROW()-9,24)</f>
        <v>2</v>
      </c>
      <c r="C16355" s="12"/>
      <c r="D16355" s="13" t="n">
        <f aca="false">IF(B16355&lt;5,Einstellungen!$B$3,Einstellungen!$B$4)</f>
        <v>15.92</v>
      </c>
      <c r="E16355" s="14" t="str">
        <f aca="false">IF(C16355="","",C16355*D16355/100)</f>
        <v/>
      </c>
      <c r="F16355" s="15" t="str">
        <f aca="false">IF(B16355&lt;5,"Go","Standard")</f>
        <v>Go</v>
      </c>
    </row>
    <row r="16356" customFormat="false" ht="15" hidden="false" customHeight="true" outlineLevel="0" collapsed="false">
      <c r="A16356" s="10" t="n">
        <f aca="false">Einstellungen!$B$5+INT((ROW()-9)/24)</f>
        <v>46647</v>
      </c>
      <c r="B16356" s="11" t="n">
        <f aca="false">MOD(ROW()-9,24)</f>
        <v>3</v>
      </c>
      <c r="C16356" s="12"/>
      <c r="D16356" s="13" t="n">
        <f aca="false">IF(B16356&lt;5,Einstellungen!$B$3,Einstellungen!$B$4)</f>
        <v>15.92</v>
      </c>
      <c r="E16356" s="14" t="str">
        <f aca="false">IF(C16356="","",C16356*D16356/100)</f>
        <v/>
      </c>
      <c r="F16356" s="15" t="str">
        <f aca="false">IF(B16356&lt;5,"Go","Standard")</f>
        <v>Go</v>
      </c>
    </row>
    <row r="16357" customFormat="false" ht="15" hidden="false" customHeight="true" outlineLevel="0" collapsed="false">
      <c r="A16357" s="10" t="n">
        <f aca="false">Einstellungen!$B$5+INT((ROW()-9)/24)</f>
        <v>46647</v>
      </c>
      <c r="B16357" s="11" t="n">
        <f aca="false">MOD(ROW()-9,24)</f>
        <v>4</v>
      </c>
      <c r="C16357" s="12"/>
      <c r="D16357" s="13" t="n">
        <f aca="false">IF(B16357&lt;5,Einstellungen!$B$3,Einstellungen!$B$4)</f>
        <v>15.92</v>
      </c>
      <c r="E16357" s="14" t="str">
        <f aca="false">IF(C16357="","",C16357*D16357/100)</f>
        <v/>
      </c>
      <c r="F16357" s="15" t="str">
        <f aca="false">IF(B16357&lt;5,"Go","Standard")</f>
        <v>Go</v>
      </c>
    </row>
    <row r="16358" customFormat="false" ht="15" hidden="false" customHeight="true" outlineLevel="0" collapsed="false">
      <c r="A16358" s="10" t="n">
        <f aca="false">Einstellungen!$B$5+INT((ROW()-9)/24)</f>
        <v>46647</v>
      </c>
      <c r="B16358" s="11" t="n">
        <f aca="false">MOD(ROW()-9,24)</f>
        <v>5</v>
      </c>
      <c r="C16358" s="12"/>
      <c r="D16358" s="13" t="n">
        <f aca="false">IF(B16358&lt;5,Einstellungen!$B$3,Einstellungen!$B$4)</f>
        <v>29.13</v>
      </c>
      <c r="E16358" s="14" t="str">
        <f aca="false">IF(C16358="","",C16358*D16358/100)</f>
        <v/>
      </c>
      <c r="F16358" s="15" t="str">
        <f aca="false">IF(B16358&lt;5,"Go","Standard")</f>
        <v>Standard</v>
      </c>
    </row>
    <row r="16359" customFormat="false" ht="15" hidden="false" customHeight="true" outlineLevel="0" collapsed="false">
      <c r="A16359" s="10" t="n">
        <f aca="false">Einstellungen!$B$5+INT((ROW()-9)/24)</f>
        <v>46647</v>
      </c>
      <c r="B16359" s="11" t="n">
        <f aca="false">MOD(ROW()-9,24)</f>
        <v>6</v>
      </c>
      <c r="C16359" s="12"/>
      <c r="D16359" s="13" t="n">
        <f aca="false">IF(B16359&lt;5,Einstellungen!$B$3,Einstellungen!$B$4)</f>
        <v>29.13</v>
      </c>
      <c r="E16359" s="14" t="str">
        <f aca="false">IF(C16359="","",C16359*D16359/100)</f>
        <v/>
      </c>
      <c r="F16359" s="15" t="str">
        <f aca="false">IF(B16359&lt;5,"Go","Standard")</f>
        <v>Standard</v>
      </c>
    </row>
    <row r="16360" customFormat="false" ht="15" hidden="false" customHeight="true" outlineLevel="0" collapsed="false">
      <c r="A16360" s="10" t="n">
        <f aca="false">Einstellungen!$B$5+INT((ROW()-9)/24)</f>
        <v>46647</v>
      </c>
      <c r="B16360" s="11" t="n">
        <f aca="false">MOD(ROW()-9,24)</f>
        <v>7</v>
      </c>
      <c r="C16360" s="12"/>
      <c r="D16360" s="13" t="n">
        <f aca="false">IF(B16360&lt;5,Einstellungen!$B$3,Einstellungen!$B$4)</f>
        <v>29.13</v>
      </c>
      <c r="E16360" s="14" t="str">
        <f aca="false">IF(C16360="","",C16360*D16360/100)</f>
        <v/>
      </c>
      <c r="F16360" s="15" t="str">
        <f aca="false">IF(B16360&lt;5,"Go","Standard")</f>
        <v>Standard</v>
      </c>
    </row>
    <row r="16361" customFormat="false" ht="15" hidden="false" customHeight="true" outlineLevel="0" collapsed="false">
      <c r="A16361" s="10" t="n">
        <f aca="false">Einstellungen!$B$5+INT((ROW()-9)/24)</f>
        <v>46647</v>
      </c>
      <c r="B16361" s="11" t="n">
        <f aca="false">MOD(ROW()-9,24)</f>
        <v>8</v>
      </c>
      <c r="C16361" s="12"/>
      <c r="D16361" s="13" t="n">
        <f aca="false">IF(B16361&lt;5,Einstellungen!$B$3,Einstellungen!$B$4)</f>
        <v>29.13</v>
      </c>
      <c r="E16361" s="14" t="str">
        <f aca="false">IF(C16361="","",C16361*D16361/100)</f>
        <v/>
      </c>
      <c r="F16361" s="15" t="str">
        <f aca="false">IF(B16361&lt;5,"Go","Standard")</f>
        <v>Standard</v>
      </c>
    </row>
    <row r="16362" customFormat="false" ht="15" hidden="false" customHeight="true" outlineLevel="0" collapsed="false">
      <c r="A16362" s="10" t="n">
        <f aca="false">Einstellungen!$B$5+INT((ROW()-9)/24)</f>
        <v>46647</v>
      </c>
      <c r="B16362" s="11" t="n">
        <f aca="false">MOD(ROW()-9,24)</f>
        <v>9</v>
      </c>
      <c r="C16362" s="12"/>
      <c r="D16362" s="13" t="n">
        <f aca="false">IF(B16362&lt;5,Einstellungen!$B$3,Einstellungen!$B$4)</f>
        <v>29.13</v>
      </c>
      <c r="E16362" s="14" t="str">
        <f aca="false">IF(C16362="","",C16362*D16362/100)</f>
        <v/>
      </c>
      <c r="F16362" s="15" t="str">
        <f aca="false">IF(B16362&lt;5,"Go","Standard")</f>
        <v>Standard</v>
      </c>
    </row>
    <row r="16363" customFormat="false" ht="15" hidden="false" customHeight="true" outlineLevel="0" collapsed="false">
      <c r="A16363" s="10" t="n">
        <f aca="false">Einstellungen!$B$5+INT((ROW()-9)/24)</f>
        <v>46647</v>
      </c>
      <c r="B16363" s="11" t="n">
        <f aca="false">MOD(ROW()-9,24)</f>
        <v>10</v>
      </c>
      <c r="C16363" s="12"/>
      <c r="D16363" s="13" t="n">
        <f aca="false">IF(B16363&lt;5,Einstellungen!$B$3,Einstellungen!$B$4)</f>
        <v>29.13</v>
      </c>
      <c r="E16363" s="14" t="str">
        <f aca="false">IF(C16363="","",C16363*D16363/100)</f>
        <v/>
      </c>
      <c r="F16363" s="15" t="str">
        <f aca="false">IF(B16363&lt;5,"Go","Standard")</f>
        <v>Standard</v>
      </c>
    </row>
    <row r="16364" customFormat="false" ht="15" hidden="false" customHeight="true" outlineLevel="0" collapsed="false">
      <c r="A16364" s="10" t="n">
        <f aca="false">Einstellungen!$B$5+INT((ROW()-9)/24)</f>
        <v>46647</v>
      </c>
      <c r="B16364" s="11" t="n">
        <f aca="false">MOD(ROW()-9,24)</f>
        <v>11</v>
      </c>
      <c r="C16364" s="12"/>
      <c r="D16364" s="13" t="n">
        <f aca="false">IF(B16364&lt;5,Einstellungen!$B$3,Einstellungen!$B$4)</f>
        <v>29.13</v>
      </c>
      <c r="E16364" s="14" t="str">
        <f aca="false">IF(C16364="","",C16364*D16364/100)</f>
        <v/>
      </c>
      <c r="F16364" s="15" t="str">
        <f aca="false">IF(B16364&lt;5,"Go","Standard")</f>
        <v>Standard</v>
      </c>
    </row>
    <row r="16365" customFormat="false" ht="15" hidden="false" customHeight="true" outlineLevel="0" collapsed="false">
      <c r="A16365" s="10" t="n">
        <f aca="false">Einstellungen!$B$5+INT((ROW()-9)/24)</f>
        <v>46647</v>
      </c>
      <c r="B16365" s="11" t="n">
        <f aca="false">MOD(ROW()-9,24)</f>
        <v>12</v>
      </c>
      <c r="C16365" s="12"/>
      <c r="D16365" s="13" t="n">
        <f aca="false">IF(B16365&lt;5,Einstellungen!$B$3,Einstellungen!$B$4)</f>
        <v>29.13</v>
      </c>
      <c r="E16365" s="14" t="str">
        <f aca="false">IF(C16365="","",C16365*D16365/100)</f>
        <v/>
      </c>
      <c r="F16365" s="15" t="str">
        <f aca="false">IF(B16365&lt;5,"Go","Standard")</f>
        <v>Standard</v>
      </c>
    </row>
    <row r="16366" customFormat="false" ht="15" hidden="false" customHeight="true" outlineLevel="0" collapsed="false">
      <c r="A16366" s="10" t="n">
        <f aca="false">Einstellungen!$B$5+INT((ROW()-9)/24)</f>
        <v>46647</v>
      </c>
      <c r="B16366" s="11" t="n">
        <f aca="false">MOD(ROW()-9,24)</f>
        <v>13</v>
      </c>
      <c r="C16366" s="12"/>
      <c r="D16366" s="13" t="n">
        <f aca="false">IF(B16366&lt;5,Einstellungen!$B$3,Einstellungen!$B$4)</f>
        <v>29.13</v>
      </c>
      <c r="E16366" s="14" t="str">
        <f aca="false">IF(C16366="","",C16366*D16366/100)</f>
        <v/>
      </c>
      <c r="F16366" s="15" t="str">
        <f aca="false">IF(B16366&lt;5,"Go","Standard")</f>
        <v>Standard</v>
      </c>
    </row>
    <row r="16367" customFormat="false" ht="15" hidden="false" customHeight="true" outlineLevel="0" collapsed="false">
      <c r="A16367" s="10" t="n">
        <f aca="false">Einstellungen!$B$5+INT((ROW()-9)/24)</f>
        <v>46647</v>
      </c>
      <c r="B16367" s="11" t="n">
        <f aca="false">MOD(ROW()-9,24)</f>
        <v>14</v>
      </c>
      <c r="C16367" s="12"/>
      <c r="D16367" s="13" t="n">
        <f aca="false">IF(B16367&lt;5,Einstellungen!$B$3,Einstellungen!$B$4)</f>
        <v>29.13</v>
      </c>
      <c r="E16367" s="14" t="str">
        <f aca="false">IF(C16367="","",C16367*D16367/100)</f>
        <v/>
      </c>
      <c r="F16367" s="15" t="str">
        <f aca="false">IF(B16367&lt;5,"Go","Standard")</f>
        <v>Standard</v>
      </c>
    </row>
    <row r="16368" customFormat="false" ht="15" hidden="false" customHeight="true" outlineLevel="0" collapsed="false">
      <c r="A16368" s="10" t="n">
        <f aca="false">Einstellungen!$B$5+INT((ROW()-9)/24)</f>
        <v>46647</v>
      </c>
      <c r="B16368" s="11" t="n">
        <f aca="false">MOD(ROW()-9,24)</f>
        <v>15</v>
      </c>
      <c r="C16368" s="12"/>
      <c r="D16368" s="13" t="n">
        <f aca="false">IF(B16368&lt;5,Einstellungen!$B$3,Einstellungen!$B$4)</f>
        <v>29.13</v>
      </c>
      <c r="E16368" s="14" t="str">
        <f aca="false">IF(C16368="","",C16368*D16368/100)</f>
        <v/>
      </c>
      <c r="F16368" s="15" t="str">
        <f aca="false">IF(B16368&lt;5,"Go","Standard")</f>
        <v>Standard</v>
      </c>
    </row>
    <row r="16369" customFormat="false" ht="15" hidden="false" customHeight="true" outlineLevel="0" collapsed="false">
      <c r="A16369" s="10" t="n">
        <f aca="false">Einstellungen!$B$5+INT((ROW()-9)/24)</f>
        <v>46647</v>
      </c>
      <c r="B16369" s="11" t="n">
        <f aca="false">MOD(ROW()-9,24)</f>
        <v>16</v>
      </c>
      <c r="C16369" s="12"/>
      <c r="D16369" s="13" t="n">
        <f aca="false">IF(B16369&lt;5,Einstellungen!$B$3,Einstellungen!$B$4)</f>
        <v>29.13</v>
      </c>
      <c r="E16369" s="14" t="str">
        <f aca="false">IF(C16369="","",C16369*D16369/100)</f>
        <v/>
      </c>
      <c r="F16369" s="15" t="str">
        <f aca="false">IF(B16369&lt;5,"Go","Standard")</f>
        <v>Standard</v>
      </c>
    </row>
    <row r="16370" customFormat="false" ht="15" hidden="false" customHeight="true" outlineLevel="0" collapsed="false">
      <c r="A16370" s="10" t="n">
        <f aca="false">Einstellungen!$B$5+INT((ROW()-9)/24)</f>
        <v>46647</v>
      </c>
      <c r="B16370" s="11" t="n">
        <f aca="false">MOD(ROW()-9,24)</f>
        <v>17</v>
      </c>
      <c r="C16370" s="12"/>
      <c r="D16370" s="13" t="n">
        <f aca="false">IF(B16370&lt;5,Einstellungen!$B$3,Einstellungen!$B$4)</f>
        <v>29.13</v>
      </c>
      <c r="E16370" s="14" t="str">
        <f aca="false">IF(C16370="","",C16370*D16370/100)</f>
        <v/>
      </c>
      <c r="F16370" s="15" t="str">
        <f aca="false">IF(B16370&lt;5,"Go","Standard")</f>
        <v>Standard</v>
      </c>
    </row>
    <row r="16371" customFormat="false" ht="15" hidden="false" customHeight="true" outlineLevel="0" collapsed="false">
      <c r="A16371" s="10" t="n">
        <f aca="false">Einstellungen!$B$5+INT((ROW()-9)/24)</f>
        <v>46647</v>
      </c>
      <c r="B16371" s="11" t="n">
        <f aca="false">MOD(ROW()-9,24)</f>
        <v>18</v>
      </c>
      <c r="C16371" s="12"/>
      <c r="D16371" s="13" t="n">
        <f aca="false">IF(B16371&lt;5,Einstellungen!$B$3,Einstellungen!$B$4)</f>
        <v>29.13</v>
      </c>
      <c r="E16371" s="14" t="str">
        <f aca="false">IF(C16371="","",C16371*D16371/100)</f>
        <v/>
      </c>
      <c r="F16371" s="15" t="str">
        <f aca="false">IF(B16371&lt;5,"Go","Standard")</f>
        <v>Standard</v>
      </c>
    </row>
    <row r="16372" customFormat="false" ht="15" hidden="false" customHeight="true" outlineLevel="0" collapsed="false">
      <c r="A16372" s="10" t="n">
        <f aca="false">Einstellungen!$B$5+INT((ROW()-9)/24)</f>
        <v>46647</v>
      </c>
      <c r="B16372" s="11" t="n">
        <f aca="false">MOD(ROW()-9,24)</f>
        <v>19</v>
      </c>
      <c r="C16372" s="12"/>
      <c r="D16372" s="13" t="n">
        <f aca="false">IF(B16372&lt;5,Einstellungen!$B$3,Einstellungen!$B$4)</f>
        <v>29.13</v>
      </c>
      <c r="E16372" s="14" t="str">
        <f aca="false">IF(C16372="","",C16372*D16372/100)</f>
        <v/>
      </c>
      <c r="F16372" s="15" t="str">
        <f aca="false">IF(B16372&lt;5,"Go","Standard")</f>
        <v>Standard</v>
      </c>
    </row>
    <row r="16373" customFormat="false" ht="15" hidden="false" customHeight="true" outlineLevel="0" collapsed="false">
      <c r="A16373" s="10" t="n">
        <f aca="false">Einstellungen!$B$5+INT((ROW()-9)/24)</f>
        <v>46647</v>
      </c>
      <c r="B16373" s="11" t="n">
        <f aca="false">MOD(ROW()-9,24)</f>
        <v>20</v>
      </c>
      <c r="C16373" s="12"/>
      <c r="D16373" s="13" t="n">
        <f aca="false">IF(B16373&lt;5,Einstellungen!$B$3,Einstellungen!$B$4)</f>
        <v>29.13</v>
      </c>
      <c r="E16373" s="14" t="str">
        <f aca="false">IF(C16373="","",C16373*D16373/100)</f>
        <v/>
      </c>
      <c r="F16373" s="15" t="str">
        <f aca="false">IF(B16373&lt;5,"Go","Standard")</f>
        <v>Standard</v>
      </c>
    </row>
    <row r="16374" customFormat="false" ht="15" hidden="false" customHeight="true" outlineLevel="0" collapsed="false">
      <c r="A16374" s="10" t="n">
        <f aca="false">Einstellungen!$B$5+INT((ROW()-9)/24)</f>
        <v>46647</v>
      </c>
      <c r="B16374" s="11" t="n">
        <f aca="false">MOD(ROW()-9,24)</f>
        <v>21</v>
      </c>
      <c r="C16374" s="12"/>
      <c r="D16374" s="13" t="n">
        <f aca="false">IF(B16374&lt;5,Einstellungen!$B$3,Einstellungen!$B$4)</f>
        <v>29.13</v>
      </c>
      <c r="E16374" s="14" t="str">
        <f aca="false">IF(C16374="","",C16374*D16374/100)</f>
        <v/>
      </c>
      <c r="F16374" s="15" t="str">
        <f aca="false">IF(B16374&lt;5,"Go","Standard")</f>
        <v>Standard</v>
      </c>
    </row>
    <row r="16375" customFormat="false" ht="15" hidden="false" customHeight="true" outlineLevel="0" collapsed="false">
      <c r="A16375" s="10" t="n">
        <f aca="false">Einstellungen!$B$5+INT((ROW()-9)/24)</f>
        <v>46647</v>
      </c>
      <c r="B16375" s="11" t="n">
        <f aca="false">MOD(ROW()-9,24)</f>
        <v>22</v>
      </c>
      <c r="C16375" s="12"/>
      <c r="D16375" s="13" t="n">
        <f aca="false">IF(B16375&lt;5,Einstellungen!$B$3,Einstellungen!$B$4)</f>
        <v>29.13</v>
      </c>
      <c r="E16375" s="14" t="str">
        <f aca="false">IF(C16375="","",C16375*D16375/100)</f>
        <v/>
      </c>
      <c r="F16375" s="15" t="str">
        <f aca="false">IF(B16375&lt;5,"Go","Standard")</f>
        <v>Standard</v>
      </c>
    </row>
    <row r="16376" customFormat="false" ht="15" hidden="false" customHeight="true" outlineLevel="0" collapsed="false">
      <c r="A16376" s="10" t="n">
        <f aca="false">Einstellungen!$B$5+INT((ROW()-9)/24)</f>
        <v>46647</v>
      </c>
      <c r="B16376" s="11" t="n">
        <f aca="false">MOD(ROW()-9,24)</f>
        <v>23</v>
      </c>
      <c r="C16376" s="12"/>
      <c r="D16376" s="13" t="n">
        <f aca="false">IF(B16376&lt;5,Einstellungen!$B$3,Einstellungen!$B$4)</f>
        <v>29.13</v>
      </c>
      <c r="E16376" s="14" t="str">
        <f aca="false">IF(C16376="","",C16376*D16376/100)</f>
        <v/>
      </c>
      <c r="F16376" s="15" t="str">
        <f aca="false">IF(B16376&lt;5,"Go","Standard")</f>
        <v>Standard</v>
      </c>
    </row>
    <row r="16377" customFormat="false" ht="15" hidden="false" customHeight="true" outlineLevel="0" collapsed="false">
      <c r="A16377" s="10" t="n">
        <f aca="false">Einstellungen!$B$5+INT((ROW()-9)/24)</f>
        <v>46648</v>
      </c>
      <c r="B16377" s="11" t="n">
        <f aca="false">MOD(ROW()-9,24)</f>
        <v>0</v>
      </c>
      <c r="C16377" s="12"/>
      <c r="D16377" s="13" t="n">
        <f aca="false">IF(B16377&lt;5,Einstellungen!$B$3,Einstellungen!$B$4)</f>
        <v>15.92</v>
      </c>
      <c r="E16377" s="14" t="str">
        <f aca="false">IF(C16377="","",C16377*D16377/100)</f>
        <v/>
      </c>
      <c r="F16377" s="15" t="str">
        <f aca="false">IF(B16377&lt;5,"Go","Standard")</f>
        <v>Go</v>
      </c>
    </row>
    <row r="16378" customFormat="false" ht="15" hidden="false" customHeight="true" outlineLevel="0" collapsed="false">
      <c r="A16378" s="10" t="n">
        <f aca="false">Einstellungen!$B$5+INT((ROW()-9)/24)</f>
        <v>46648</v>
      </c>
      <c r="B16378" s="11" t="n">
        <f aca="false">MOD(ROW()-9,24)</f>
        <v>1</v>
      </c>
      <c r="C16378" s="12"/>
      <c r="D16378" s="13" t="n">
        <f aca="false">IF(B16378&lt;5,Einstellungen!$B$3,Einstellungen!$B$4)</f>
        <v>15.92</v>
      </c>
      <c r="E16378" s="14" t="str">
        <f aca="false">IF(C16378="","",C16378*D16378/100)</f>
        <v/>
      </c>
      <c r="F16378" s="15" t="str">
        <f aca="false">IF(B16378&lt;5,"Go","Standard")</f>
        <v>Go</v>
      </c>
    </row>
    <row r="16379" customFormat="false" ht="15" hidden="false" customHeight="true" outlineLevel="0" collapsed="false">
      <c r="A16379" s="10" t="n">
        <f aca="false">Einstellungen!$B$5+INT((ROW()-9)/24)</f>
        <v>46648</v>
      </c>
      <c r="B16379" s="11" t="n">
        <f aca="false">MOD(ROW()-9,24)</f>
        <v>2</v>
      </c>
      <c r="C16379" s="12"/>
      <c r="D16379" s="13" t="n">
        <f aca="false">IF(B16379&lt;5,Einstellungen!$B$3,Einstellungen!$B$4)</f>
        <v>15.92</v>
      </c>
      <c r="E16379" s="14" t="str">
        <f aca="false">IF(C16379="","",C16379*D16379/100)</f>
        <v/>
      </c>
      <c r="F16379" s="15" t="str">
        <f aca="false">IF(B16379&lt;5,"Go","Standard")</f>
        <v>Go</v>
      </c>
    </row>
    <row r="16380" customFormat="false" ht="15" hidden="false" customHeight="true" outlineLevel="0" collapsed="false">
      <c r="A16380" s="10" t="n">
        <f aca="false">Einstellungen!$B$5+INT((ROW()-9)/24)</f>
        <v>46648</v>
      </c>
      <c r="B16380" s="11" t="n">
        <f aca="false">MOD(ROW()-9,24)</f>
        <v>3</v>
      </c>
      <c r="C16380" s="12"/>
      <c r="D16380" s="13" t="n">
        <f aca="false">IF(B16380&lt;5,Einstellungen!$B$3,Einstellungen!$B$4)</f>
        <v>15.92</v>
      </c>
      <c r="E16380" s="14" t="str">
        <f aca="false">IF(C16380="","",C16380*D16380/100)</f>
        <v/>
      </c>
      <c r="F16380" s="15" t="str">
        <f aca="false">IF(B16380&lt;5,"Go","Standard")</f>
        <v>Go</v>
      </c>
    </row>
    <row r="16381" customFormat="false" ht="15" hidden="false" customHeight="true" outlineLevel="0" collapsed="false">
      <c r="A16381" s="10" t="n">
        <f aca="false">Einstellungen!$B$5+INT((ROW()-9)/24)</f>
        <v>46648</v>
      </c>
      <c r="B16381" s="11" t="n">
        <f aca="false">MOD(ROW()-9,24)</f>
        <v>4</v>
      </c>
      <c r="C16381" s="12"/>
      <c r="D16381" s="13" t="n">
        <f aca="false">IF(B16381&lt;5,Einstellungen!$B$3,Einstellungen!$B$4)</f>
        <v>15.92</v>
      </c>
      <c r="E16381" s="14" t="str">
        <f aca="false">IF(C16381="","",C16381*D16381/100)</f>
        <v/>
      </c>
      <c r="F16381" s="15" t="str">
        <f aca="false">IF(B16381&lt;5,"Go","Standard")</f>
        <v>Go</v>
      </c>
    </row>
    <row r="16382" customFormat="false" ht="15" hidden="false" customHeight="true" outlineLevel="0" collapsed="false">
      <c r="A16382" s="10" t="n">
        <f aca="false">Einstellungen!$B$5+INT((ROW()-9)/24)</f>
        <v>46648</v>
      </c>
      <c r="B16382" s="11" t="n">
        <f aca="false">MOD(ROW()-9,24)</f>
        <v>5</v>
      </c>
      <c r="C16382" s="12"/>
      <c r="D16382" s="13" t="n">
        <f aca="false">IF(B16382&lt;5,Einstellungen!$B$3,Einstellungen!$B$4)</f>
        <v>29.13</v>
      </c>
      <c r="E16382" s="14" t="str">
        <f aca="false">IF(C16382="","",C16382*D16382/100)</f>
        <v/>
      </c>
      <c r="F16382" s="15" t="str">
        <f aca="false">IF(B16382&lt;5,"Go","Standard")</f>
        <v>Standard</v>
      </c>
    </row>
    <row r="16383" customFormat="false" ht="15" hidden="false" customHeight="true" outlineLevel="0" collapsed="false">
      <c r="A16383" s="10" t="n">
        <f aca="false">Einstellungen!$B$5+INT((ROW()-9)/24)</f>
        <v>46648</v>
      </c>
      <c r="B16383" s="11" t="n">
        <f aca="false">MOD(ROW()-9,24)</f>
        <v>6</v>
      </c>
      <c r="C16383" s="12"/>
      <c r="D16383" s="13" t="n">
        <f aca="false">IF(B16383&lt;5,Einstellungen!$B$3,Einstellungen!$B$4)</f>
        <v>29.13</v>
      </c>
      <c r="E16383" s="14" t="str">
        <f aca="false">IF(C16383="","",C16383*D16383/100)</f>
        <v/>
      </c>
      <c r="F16383" s="15" t="str">
        <f aca="false">IF(B16383&lt;5,"Go","Standard")</f>
        <v>Standard</v>
      </c>
    </row>
    <row r="16384" customFormat="false" ht="15" hidden="false" customHeight="true" outlineLevel="0" collapsed="false">
      <c r="A16384" s="10" t="n">
        <f aca="false">Einstellungen!$B$5+INT((ROW()-9)/24)</f>
        <v>46648</v>
      </c>
      <c r="B16384" s="11" t="n">
        <f aca="false">MOD(ROW()-9,24)</f>
        <v>7</v>
      </c>
      <c r="C16384" s="12"/>
      <c r="D16384" s="13" t="n">
        <f aca="false">IF(B16384&lt;5,Einstellungen!$B$3,Einstellungen!$B$4)</f>
        <v>29.13</v>
      </c>
      <c r="E16384" s="14" t="str">
        <f aca="false">IF(C16384="","",C16384*D16384/100)</f>
        <v/>
      </c>
      <c r="F16384" s="15" t="str">
        <f aca="false">IF(B16384&lt;5,"Go","Standard")</f>
        <v>Standard</v>
      </c>
    </row>
    <row r="16385" customFormat="false" ht="15" hidden="false" customHeight="true" outlineLevel="0" collapsed="false">
      <c r="A16385" s="10" t="n">
        <f aca="false">Einstellungen!$B$5+INT((ROW()-9)/24)</f>
        <v>46648</v>
      </c>
      <c r="B16385" s="11" t="n">
        <f aca="false">MOD(ROW()-9,24)</f>
        <v>8</v>
      </c>
      <c r="C16385" s="12"/>
      <c r="D16385" s="13" t="n">
        <f aca="false">IF(B16385&lt;5,Einstellungen!$B$3,Einstellungen!$B$4)</f>
        <v>29.13</v>
      </c>
      <c r="E16385" s="14" t="str">
        <f aca="false">IF(C16385="","",C16385*D16385/100)</f>
        <v/>
      </c>
      <c r="F16385" s="15" t="str">
        <f aca="false">IF(B16385&lt;5,"Go","Standard")</f>
        <v>Standard</v>
      </c>
    </row>
    <row r="16386" customFormat="false" ht="15" hidden="false" customHeight="true" outlineLevel="0" collapsed="false">
      <c r="A16386" s="10" t="n">
        <f aca="false">Einstellungen!$B$5+INT((ROW()-9)/24)</f>
        <v>46648</v>
      </c>
      <c r="B16386" s="11" t="n">
        <f aca="false">MOD(ROW()-9,24)</f>
        <v>9</v>
      </c>
      <c r="C16386" s="12"/>
      <c r="D16386" s="13" t="n">
        <f aca="false">IF(B16386&lt;5,Einstellungen!$B$3,Einstellungen!$B$4)</f>
        <v>29.13</v>
      </c>
      <c r="E16386" s="14" t="str">
        <f aca="false">IF(C16386="","",C16386*D16386/100)</f>
        <v/>
      </c>
      <c r="F16386" s="15" t="str">
        <f aca="false">IF(B16386&lt;5,"Go","Standard")</f>
        <v>Standard</v>
      </c>
    </row>
    <row r="16387" customFormat="false" ht="15" hidden="false" customHeight="true" outlineLevel="0" collapsed="false">
      <c r="A16387" s="10" t="n">
        <f aca="false">Einstellungen!$B$5+INT((ROW()-9)/24)</f>
        <v>46648</v>
      </c>
      <c r="B16387" s="11" t="n">
        <f aca="false">MOD(ROW()-9,24)</f>
        <v>10</v>
      </c>
      <c r="C16387" s="12"/>
      <c r="D16387" s="13" t="n">
        <f aca="false">IF(B16387&lt;5,Einstellungen!$B$3,Einstellungen!$B$4)</f>
        <v>29.13</v>
      </c>
      <c r="E16387" s="14" t="str">
        <f aca="false">IF(C16387="","",C16387*D16387/100)</f>
        <v/>
      </c>
      <c r="F16387" s="15" t="str">
        <f aca="false">IF(B16387&lt;5,"Go","Standard")</f>
        <v>Standard</v>
      </c>
    </row>
    <row r="16388" customFormat="false" ht="15" hidden="false" customHeight="true" outlineLevel="0" collapsed="false">
      <c r="A16388" s="10" t="n">
        <f aca="false">Einstellungen!$B$5+INT((ROW()-9)/24)</f>
        <v>46648</v>
      </c>
      <c r="B16388" s="11" t="n">
        <f aca="false">MOD(ROW()-9,24)</f>
        <v>11</v>
      </c>
      <c r="C16388" s="12"/>
      <c r="D16388" s="13" t="n">
        <f aca="false">IF(B16388&lt;5,Einstellungen!$B$3,Einstellungen!$B$4)</f>
        <v>29.13</v>
      </c>
      <c r="E16388" s="14" t="str">
        <f aca="false">IF(C16388="","",C16388*D16388/100)</f>
        <v/>
      </c>
      <c r="F16388" s="15" t="str">
        <f aca="false">IF(B16388&lt;5,"Go","Standard")</f>
        <v>Standard</v>
      </c>
    </row>
    <row r="16389" customFormat="false" ht="15" hidden="false" customHeight="true" outlineLevel="0" collapsed="false">
      <c r="A16389" s="10" t="n">
        <f aca="false">Einstellungen!$B$5+INT((ROW()-9)/24)</f>
        <v>46648</v>
      </c>
      <c r="B16389" s="11" t="n">
        <f aca="false">MOD(ROW()-9,24)</f>
        <v>12</v>
      </c>
      <c r="C16389" s="12"/>
      <c r="D16389" s="13" t="n">
        <f aca="false">IF(B16389&lt;5,Einstellungen!$B$3,Einstellungen!$B$4)</f>
        <v>29.13</v>
      </c>
      <c r="E16389" s="14" t="str">
        <f aca="false">IF(C16389="","",C16389*D16389/100)</f>
        <v/>
      </c>
      <c r="F16389" s="15" t="str">
        <f aca="false">IF(B16389&lt;5,"Go","Standard")</f>
        <v>Standard</v>
      </c>
    </row>
    <row r="16390" customFormat="false" ht="15" hidden="false" customHeight="true" outlineLevel="0" collapsed="false">
      <c r="A16390" s="10" t="n">
        <f aca="false">Einstellungen!$B$5+INT((ROW()-9)/24)</f>
        <v>46648</v>
      </c>
      <c r="B16390" s="11" t="n">
        <f aca="false">MOD(ROW()-9,24)</f>
        <v>13</v>
      </c>
      <c r="C16390" s="12"/>
      <c r="D16390" s="13" t="n">
        <f aca="false">IF(B16390&lt;5,Einstellungen!$B$3,Einstellungen!$B$4)</f>
        <v>29.13</v>
      </c>
      <c r="E16390" s="14" t="str">
        <f aca="false">IF(C16390="","",C16390*D16390/100)</f>
        <v/>
      </c>
      <c r="F16390" s="15" t="str">
        <f aca="false">IF(B16390&lt;5,"Go","Standard")</f>
        <v>Standard</v>
      </c>
    </row>
    <row r="16391" customFormat="false" ht="15" hidden="false" customHeight="true" outlineLevel="0" collapsed="false">
      <c r="A16391" s="10" t="n">
        <f aca="false">Einstellungen!$B$5+INT((ROW()-9)/24)</f>
        <v>46648</v>
      </c>
      <c r="B16391" s="11" t="n">
        <f aca="false">MOD(ROW()-9,24)</f>
        <v>14</v>
      </c>
      <c r="C16391" s="12"/>
      <c r="D16391" s="13" t="n">
        <f aca="false">IF(B16391&lt;5,Einstellungen!$B$3,Einstellungen!$B$4)</f>
        <v>29.13</v>
      </c>
      <c r="E16391" s="14" t="str">
        <f aca="false">IF(C16391="","",C16391*D16391/100)</f>
        <v/>
      </c>
      <c r="F16391" s="15" t="str">
        <f aca="false">IF(B16391&lt;5,"Go","Standard")</f>
        <v>Standard</v>
      </c>
    </row>
    <row r="16392" customFormat="false" ht="15" hidden="false" customHeight="true" outlineLevel="0" collapsed="false">
      <c r="A16392" s="10" t="n">
        <f aca="false">Einstellungen!$B$5+INT((ROW()-9)/24)</f>
        <v>46648</v>
      </c>
      <c r="B16392" s="11" t="n">
        <f aca="false">MOD(ROW()-9,24)</f>
        <v>15</v>
      </c>
      <c r="C16392" s="12"/>
      <c r="D16392" s="13" t="n">
        <f aca="false">IF(B16392&lt;5,Einstellungen!$B$3,Einstellungen!$B$4)</f>
        <v>29.13</v>
      </c>
      <c r="E16392" s="14" t="str">
        <f aca="false">IF(C16392="","",C16392*D16392/100)</f>
        <v/>
      </c>
      <c r="F16392" s="15" t="str">
        <f aca="false">IF(B16392&lt;5,"Go","Standard")</f>
        <v>Standard</v>
      </c>
    </row>
    <row r="16393" customFormat="false" ht="15" hidden="false" customHeight="true" outlineLevel="0" collapsed="false">
      <c r="A16393" s="10" t="n">
        <f aca="false">Einstellungen!$B$5+INT((ROW()-9)/24)</f>
        <v>46648</v>
      </c>
      <c r="B16393" s="11" t="n">
        <f aca="false">MOD(ROW()-9,24)</f>
        <v>16</v>
      </c>
      <c r="C16393" s="12"/>
      <c r="D16393" s="13" t="n">
        <f aca="false">IF(B16393&lt;5,Einstellungen!$B$3,Einstellungen!$B$4)</f>
        <v>29.13</v>
      </c>
      <c r="E16393" s="14" t="str">
        <f aca="false">IF(C16393="","",C16393*D16393/100)</f>
        <v/>
      </c>
      <c r="F16393" s="15" t="str">
        <f aca="false">IF(B16393&lt;5,"Go","Standard")</f>
        <v>Standard</v>
      </c>
    </row>
    <row r="16394" customFormat="false" ht="15" hidden="false" customHeight="true" outlineLevel="0" collapsed="false">
      <c r="A16394" s="10" t="n">
        <f aca="false">Einstellungen!$B$5+INT((ROW()-9)/24)</f>
        <v>46648</v>
      </c>
      <c r="B16394" s="11" t="n">
        <f aca="false">MOD(ROW()-9,24)</f>
        <v>17</v>
      </c>
      <c r="C16394" s="12"/>
      <c r="D16394" s="13" t="n">
        <f aca="false">IF(B16394&lt;5,Einstellungen!$B$3,Einstellungen!$B$4)</f>
        <v>29.13</v>
      </c>
      <c r="E16394" s="14" t="str">
        <f aca="false">IF(C16394="","",C16394*D16394/100)</f>
        <v/>
      </c>
      <c r="F16394" s="15" t="str">
        <f aca="false">IF(B16394&lt;5,"Go","Standard")</f>
        <v>Standard</v>
      </c>
    </row>
    <row r="16395" customFormat="false" ht="15" hidden="false" customHeight="true" outlineLevel="0" collapsed="false">
      <c r="A16395" s="10" t="n">
        <f aca="false">Einstellungen!$B$5+INT((ROW()-9)/24)</f>
        <v>46648</v>
      </c>
      <c r="B16395" s="11" t="n">
        <f aca="false">MOD(ROW()-9,24)</f>
        <v>18</v>
      </c>
      <c r="C16395" s="12"/>
      <c r="D16395" s="13" t="n">
        <f aca="false">IF(B16395&lt;5,Einstellungen!$B$3,Einstellungen!$B$4)</f>
        <v>29.13</v>
      </c>
      <c r="E16395" s="14" t="str">
        <f aca="false">IF(C16395="","",C16395*D16395/100)</f>
        <v/>
      </c>
      <c r="F16395" s="15" t="str">
        <f aca="false">IF(B16395&lt;5,"Go","Standard")</f>
        <v>Standard</v>
      </c>
    </row>
    <row r="16396" customFormat="false" ht="15" hidden="false" customHeight="true" outlineLevel="0" collapsed="false">
      <c r="A16396" s="10" t="n">
        <f aca="false">Einstellungen!$B$5+INT((ROW()-9)/24)</f>
        <v>46648</v>
      </c>
      <c r="B16396" s="11" t="n">
        <f aca="false">MOD(ROW()-9,24)</f>
        <v>19</v>
      </c>
      <c r="C16396" s="12"/>
      <c r="D16396" s="13" t="n">
        <f aca="false">IF(B16396&lt;5,Einstellungen!$B$3,Einstellungen!$B$4)</f>
        <v>29.13</v>
      </c>
      <c r="E16396" s="14" t="str">
        <f aca="false">IF(C16396="","",C16396*D16396/100)</f>
        <v/>
      </c>
      <c r="F16396" s="15" t="str">
        <f aca="false">IF(B16396&lt;5,"Go","Standard")</f>
        <v>Standard</v>
      </c>
    </row>
    <row r="16397" customFormat="false" ht="15" hidden="false" customHeight="true" outlineLevel="0" collapsed="false">
      <c r="A16397" s="10" t="n">
        <f aca="false">Einstellungen!$B$5+INT((ROW()-9)/24)</f>
        <v>46648</v>
      </c>
      <c r="B16397" s="11" t="n">
        <f aca="false">MOD(ROW()-9,24)</f>
        <v>20</v>
      </c>
      <c r="C16397" s="12"/>
      <c r="D16397" s="13" t="n">
        <f aca="false">IF(B16397&lt;5,Einstellungen!$B$3,Einstellungen!$B$4)</f>
        <v>29.13</v>
      </c>
      <c r="E16397" s="14" t="str">
        <f aca="false">IF(C16397="","",C16397*D16397/100)</f>
        <v/>
      </c>
      <c r="F16397" s="15" t="str">
        <f aca="false">IF(B16397&lt;5,"Go","Standard")</f>
        <v>Standard</v>
      </c>
    </row>
    <row r="16398" customFormat="false" ht="15" hidden="false" customHeight="true" outlineLevel="0" collapsed="false">
      <c r="A16398" s="10" t="n">
        <f aca="false">Einstellungen!$B$5+INT((ROW()-9)/24)</f>
        <v>46648</v>
      </c>
      <c r="B16398" s="11" t="n">
        <f aca="false">MOD(ROW()-9,24)</f>
        <v>21</v>
      </c>
      <c r="C16398" s="12"/>
      <c r="D16398" s="13" t="n">
        <f aca="false">IF(B16398&lt;5,Einstellungen!$B$3,Einstellungen!$B$4)</f>
        <v>29.13</v>
      </c>
      <c r="E16398" s="14" t="str">
        <f aca="false">IF(C16398="","",C16398*D16398/100)</f>
        <v/>
      </c>
      <c r="F16398" s="15" t="str">
        <f aca="false">IF(B16398&lt;5,"Go","Standard")</f>
        <v>Standard</v>
      </c>
    </row>
    <row r="16399" customFormat="false" ht="15" hidden="false" customHeight="true" outlineLevel="0" collapsed="false">
      <c r="A16399" s="10" t="n">
        <f aca="false">Einstellungen!$B$5+INT((ROW()-9)/24)</f>
        <v>46648</v>
      </c>
      <c r="B16399" s="11" t="n">
        <f aca="false">MOD(ROW()-9,24)</f>
        <v>22</v>
      </c>
      <c r="C16399" s="12"/>
      <c r="D16399" s="13" t="n">
        <f aca="false">IF(B16399&lt;5,Einstellungen!$B$3,Einstellungen!$B$4)</f>
        <v>29.13</v>
      </c>
      <c r="E16399" s="14" t="str">
        <f aca="false">IF(C16399="","",C16399*D16399/100)</f>
        <v/>
      </c>
      <c r="F16399" s="15" t="str">
        <f aca="false">IF(B16399&lt;5,"Go","Standard")</f>
        <v>Standard</v>
      </c>
    </row>
    <row r="16400" customFormat="false" ht="15" hidden="false" customHeight="true" outlineLevel="0" collapsed="false">
      <c r="A16400" s="10" t="n">
        <f aca="false">Einstellungen!$B$5+INT((ROW()-9)/24)</f>
        <v>46648</v>
      </c>
      <c r="B16400" s="11" t="n">
        <f aca="false">MOD(ROW()-9,24)</f>
        <v>23</v>
      </c>
      <c r="C16400" s="12"/>
      <c r="D16400" s="13" t="n">
        <f aca="false">IF(B16400&lt;5,Einstellungen!$B$3,Einstellungen!$B$4)</f>
        <v>29.13</v>
      </c>
      <c r="E16400" s="14" t="str">
        <f aca="false">IF(C16400="","",C16400*D16400/100)</f>
        <v/>
      </c>
      <c r="F16400" s="15" t="str">
        <f aca="false">IF(B16400&lt;5,"Go","Standard")</f>
        <v>Standard</v>
      </c>
    </row>
    <row r="16401" customFormat="false" ht="15" hidden="false" customHeight="true" outlineLevel="0" collapsed="false">
      <c r="A16401" s="10" t="n">
        <f aca="false">Einstellungen!$B$5+INT((ROW()-9)/24)</f>
        <v>46649</v>
      </c>
      <c r="B16401" s="11" t="n">
        <f aca="false">MOD(ROW()-9,24)</f>
        <v>0</v>
      </c>
      <c r="C16401" s="12"/>
      <c r="D16401" s="13" t="n">
        <f aca="false">IF(B16401&lt;5,Einstellungen!$B$3,Einstellungen!$B$4)</f>
        <v>15.92</v>
      </c>
      <c r="E16401" s="14" t="str">
        <f aca="false">IF(C16401="","",C16401*D16401/100)</f>
        <v/>
      </c>
      <c r="F16401" s="15" t="str">
        <f aca="false">IF(B16401&lt;5,"Go","Standard")</f>
        <v>Go</v>
      </c>
    </row>
    <row r="16402" customFormat="false" ht="15" hidden="false" customHeight="true" outlineLevel="0" collapsed="false">
      <c r="A16402" s="10" t="n">
        <f aca="false">Einstellungen!$B$5+INT((ROW()-9)/24)</f>
        <v>46649</v>
      </c>
      <c r="B16402" s="11" t="n">
        <f aca="false">MOD(ROW()-9,24)</f>
        <v>1</v>
      </c>
      <c r="C16402" s="12"/>
      <c r="D16402" s="13" t="n">
        <f aca="false">IF(B16402&lt;5,Einstellungen!$B$3,Einstellungen!$B$4)</f>
        <v>15.92</v>
      </c>
      <c r="E16402" s="14" t="str">
        <f aca="false">IF(C16402="","",C16402*D16402/100)</f>
        <v/>
      </c>
      <c r="F16402" s="15" t="str">
        <f aca="false">IF(B16402&lt;5,"Go","Standard")</f>
        <v>Go</v>
      </c>
    </row>
    <row r="16403" customFormat="false" ht="15" hidden="false" customHeight="true" outlineLevel="0" collapsed="false">
      <c r="A16403" s="10" t="n">
        <f aca="false">Einstellungen!$B$5+INT((ROW()-9)/24)</f>
        <v>46649</v>
      </c>
      <c r="B16403" s="11" t="n">
        <f aca="false">MOD(ROW()-9,24)</f>
        <v>2</v>
      </c>
      <c r="C16403" s="12"/>
      <c r="D16403" s="13" t="n">
        <f aca="false">IF(B16403&lt;5,Einstellungen!$B$3,Einstellungen!$B$4)</f>
        <v>15.92</v>
      </c>
      <c r="E16403" s="14" t="str">
        <f aca="false">IF(C16403="","",C16403*D16403/100)</f>
        <v/>
      </c>
      <c r="F16403" s="15" t="str">
        <f aca="false">IF(B16403&lt;5,"Go","Standard")</f>
        <v>Go</v>
      </c>
    </row>
    <row r="16404" customFormat="false" ht="15" hidden="false" customHeight="true" outlineLevel="0" collapsed="false">
      <c r="A16404" s="10" t="n">
        <f aca="false">Einstellungen!$B$5+INT((ROW()-9)/24)</f>
        <v>46649</v>
      </c>
      <c r="B16404" s="11" t="n">
        <f aca="false">MOD(ROW()-9,24)</f>
        <v>3</v>
      </c>
      <c r="C16404" s="12"/>
      <c r="D16404" s="13" t="n">
        <f aca="false">IF(B16404&lt;5,Einstellungen!$B$3,Einstellungen!$B$4)</f>
        <v>15.92</v>
      </c>
      <c r="E16404" s="14" t="str">
        <f aca="false">IF(C16404="","",C16404*D16404/100)</f>
        <v/>
      </c>
      <c r="F16404" s="15" t="str">
        <f aca="false">IF(B16404&lt;5,"Go","Standard")</f>
        <v>Go</v>
      </c>
    </row>
    <row r="16405" customFormat="false" ht="15" hidden="false" customHeight="true" outlineLevel="0" collapsed="false">
      <c r="A16405" s="10" t="n">
        <f aca="false">Einstellungen!$B$5+INT((ROW()-9)/24)</f>
        <v>46649</v>
      </c>
      <c r="B16405" s="11" t="n">
        <f aca="false">MOD(ROW()-9,24)</f>
        <v>4</v>
      </c>
      <c r="C16405" s="12"/>
      <c r="D16405" s="13" t="n">
        <f aca="false">IF(B16405&lt;5,Einstellungen!$B$3,Einstellungen!$B$4)</f>
        <v>15.92</v>
      </c>
      <c r="E16405" s="14" t="str">
        <f aca="false">IF(C16405="","",C16405*D16405/100)</f>
        <v/>
      </c>
      <c r="F16405" s="15" t="str">
        <f aca="false">IF(B16405&lt;5,"Go","Standard")</f>
        <v>Go</v>
      </c>
    </row>
    <row r="16406" customFormat="false" ht="15" hidden="false" customHeight="true" outlineLevel="0" collapsed="false">
      <c r="A16406" s="10" t="n">
        <f aca="false">Einstellungen!$B$5+INT((ROW()-9)/24)</f>
        <v>46649</v>
      </c>
      <c r="B16406" s="11" t="n">
        <f aca="false">MOD(ROW()-9,24)</f>
        <v>5</v>
      </c>
      <c r="C16406" s="12"/>
      <c r="D16406" s="13" t="n">
        <f aca="false">IF(B16406&lt;5,Einstellungen!$B$3,Einstellungen!$B$4)</f>
        <v>29.13</v>
      </c>
      <c r="E16406" s="14" t="str">
        <f aca="false">IF(C16406="","",C16406*D16406/100)</f>
        <v/>
      </c>
      <c r="F16406" s="15" t="str">
        <f aca="false">IF(B16406&lt;5,"Go","Standard")</f>
        <v>Standard</v>
      </c>
    </row>
    <row r="16407" customFormat="false" ht="15" hidden="false" customHeight="true" outlineLevel="0" collapsed="false">
      <c r="A16407" s="10" t="n">
        <f aca="false">Einstellungen!$B$5+INT((ROW()-9)/24)</f>
        <v>46649</v>
      </c>
      <c r="B16407" s="11" t="n">
        <f aca="false">MOD(ROW()-9,24)</f>
        <v>6</v>
      </c>
      <c r="C16407" s="12"/>
      <c r="D16407" s="13" t="n">
        <f aca="false">IF(B16407&lt;5,Einstellungen!$B$3,Einstellungen!$B$4)</f>
        <v>29.13</v>
      </c>
      <c r="E16407" s="14" t="str">
        <f aca="false">IF(C16407="","",C16407*D16407/100)</f>
        <v/>
      </c>
      <c r="F16407" s="15" t="str">
        <f aca="false">IF(B16407&lt;5,"Go","Standard")</f>
        <v>Standard</v>
      </c>
    </row>
    <row r="16408" customFormat="false" ht="15" hidden="false" customHeight="true" outlineLevel="0" collapsed="false">
      <c r="A16408" s="10" t="n">
        <f aca="false">Einstellungen!$B$5+INT((ROW()-9)/24)</f>
        <v>46649</v>
      </c>
      <c r="B16408" s="11" t="n">
        <f aca="false">MOD(ROW()-9,24)</f>
        <v>7</v>
      </c>
      <c r="C16408" s="12"/>
      <c r="D16408" s="13" t="n">
        <f aca="false">IF(B16408&lt;5,Einstellungen!$B$3,Einstellungen!$B$4)</f>
        <v>29.13</v>
      </c>
      <c r="E16408" s="14" t="str">
        <f aca="false">IF(C16408="","",C16408*D16408/100)</f>
        <v/>
      </c>
      <c r="F16408" s="15" t="str">
        <f aca="false">IF(B16408&lt;5,"Go","Standard")</f>
        <v>Standard</v>
      </c>
    </row>
    <row r="16409" customFormat="false" ht="15" hidden="false" customHeight="true" outlineLevel="0" collapsed="false">
      <c r="A16409" s="10" t="n">
        <f aca="false">Einstellungen!$B$5+INT((ROW()-9)/24)</f>
        <v>46649</v>
      </c>
      <c r="B16409" s="11" t="n">
        <f aca="false">MOD(ROW()-9,24)</f>
        <v>8</v>
      </c>
      <c r="C16409" s="12"/>
      <c r="D16409" s="13" t="n">
        <f aca="false">IF(B16409&lt;5,Einstellungen!$B$3,Einstellungen!$B$4)</f>
        <v>29.13</v>
      </c>
      <c r="E16409" s="14" t="str">
        <f aca="false">IF(C16409="","",C16409*D16409/100)</f>
        <v/>
      </c>
      <c r="F16409" s="15" t="str">
        <f aca="false">IF(B16409&lt;5,"Go","Standard")</f>
        <v>Standard</v>
      </c>
    </row>
    <row r="16410" customFormat="false" ht="15" hidden="false" customHeight="true" outlineLevel="0" collapsed="false">
      <c r="A16410" s="10" t="n">
        <f aca="false">Einstellungen!$B$5+INT((ROW()-9)/24)</f>
        <v>46649</v>
      </c>
      <c r="B16410" s="11" t="n">
        <f aca="false">MOD(ROW()-9,24)</f>
        <v>9</v>
      </c>
      <c r="C16410" s="12"/>
      <c r="D16410" s="13" t="n">
        <f aca="false">IF(B16410&lt;5,Einstellungen!$B$3,Einstellungen!$B$4)</f>
        <v>29.13</v>
      </c>
      <c r="E16410" s="14" t="str">
        <f aca="false">IF(C16410="","",C16410*D16410/100)</f>
        <v/>
      </c>
      <c r="F16410" s="15" t="str">
        <f aca="false">IF(B16410&lt;5,"Go","Standard")</f>
        <v>Standard</v>
      </c>
    </row>
    <row r="16411" customFormat="false" ht="15" hidden="false" customHeight="true" outlineLevel="0" collapsed="false">
      <c r="A16411" s="10" t="n">
        <f aca="false">Einstellungen!$B$5+INT((ROW()-9)/24)</f>
        <v>46649</v>
      </c>
      <c r="B16411" s="11" t="n">
        <f aca="false">MOD(ROW()-9,24)</f>
        <v>10</v>
      </c>
      <c r="C16411" s="12"/>
      <c r="D16411" s="13" t="n">
        <f aca="false">IF(B16411&lt;5,Einstellungen!$B$3,Einstellungen!$B$4)</f>
        <v>29.13</v>
      </c>
      <c r="E16411" s="14" t="str">
        <f aca="false">IF(C16411="","",C16411*D16411/100)</f>
        <v/>
      </c>
      <c r="F16411" s="15" t="str">
        <f aca="false">IF(B16411&lt;5,"Go","Standard")</f>
        <v>Standard</v>
      </c>
    </row>
    <row r="16412" customFormat="false" ht="15" hidden="false" customHeight="true" outlineLevel="0" collapsed="false">
      <c r="A16412" s="10" t="n">
        <f aca="false">Einstellungen!$B$5+INT((ROW()-9)/24)</f>
        <v>46649</v>
      </c>
      <c r="B16412" s="11" t="n">
        <f aca="false">MOD(ROW()-9,24)</f>
        <v>11</v>
      </c>
      <c r="C16412" s="12"/>
      <c r="D16412" s="13" t="n">
        <f aca="false">IF(B16412&lt;5,Einstellungen!$B$3,Einstellungen!$B$4)</f>
        <v>29.13</v>
      </c>
      <c r="E16412" s="14" t="str">
        <f aca="false">IF(C16412="","",C16412*D16412/100)</f>
        <v/>
      </c>
      <c r="F16412" s="15" t="str">
        <f aca="false">IF(B16412&lt;5,"Go","Standard")</f>
        <v>Standard</v>
      </c>
    </row>
    <row r="16413" customFormat="false" ht="15" hidden="false" customHeight="true" outlineLevel="0" collapsed="false">
      <c r="A16413" s="10" t="n">
        <f aca="false">Einstellungen!$B$5+INT((ROW()-9)/24)</f>
        <v>46649</v>
      </c>
      <c r="B16413" s="11" t="n">
        <f aca="false">MOD(ROW()-9,24)</f>
        <v>12</v>
      </c>
      <c r="C16413" s="12"/>
      <c r="D16413" s="13" t="n">
        <f aca="false">IF(B16413&lt;5,Einstellungen!$B$3,Einstellungen!$B$4)</f>
        <v>29.13</v>
      </c>
      <c r="E16413" s="14" t="str">
        <f aca="false">IF(C16413="","",C16413*D16413/100)</f>
        <v/>
      </c>
      <c r="F16413" s="15" t="str">
        <f aca="false">IF(B16413&lt;5,"Go","Standard")</f>
        <v>Standard</v>
      </c>
    </row>
    <row r="16414" customFormat="false" ht="15" hidden="false" customHeight="true" outlineLevel="0" collapsed="false">
      <c r="A16414" s="10" t="n">
        <f aca="false">Einstellungen!$B$5+INT((ROW()-9)/24)</f>
        <v>46649</v>
      </c>
      <c r="B16414" s="11" t="n">
        <f aca="false">MOD(ROW()-9,24)</f>
        <v>13</v>
      </c>
      <c r="C16414" s="12"/>
      <c r="D16414" s="13" t="n">
        <f aca="false">IF(B16414&lt;5,Einstellungen!$B$3,Einstellungen!$B$4)</f>
        <v>29.13</v>
      </c>
      <c r="E16414" s="14" t="str">
        <f aca="false">IF(C16414="","",C16414*D16414/100)</f>
        <v/>
      </c>
      <c r="F16414" s="15" t="str">
        <f aca="false">IF(B16414&lt;5,"Go","Standard")</f>
        <v>Standard</v>
      </c>
    </row>
    <row r="16415" customFormat="false" ht="15" hidden="false" customHeight="true" outlineLevel="0" collapsed="false">
      <c r="A16415" s="10" t="n">
        <f aca="false">Einstellungen!$B$5+INT((ROW()-9)/24)</f>
        <v>46649</v>
      </c>
      <c r="B16415" s="11" t="n">
        <f aca="false">MOD(ROW()-9,24)</f>
        <v>14</v>
      </c>
      <c r="C16415" s="12"/>
      <c r="D16415" s="13" t="n">
        <f aca="false">IF(B16415&lt;5,Einstellungen!$B$3,Einstellungen!$B$4)</f>
        <v>29.13</v>
      </c>
      <c r="E16415" s="14" t="str">
        <f aca="false">IF(C16415="","",C16415*D16415/100)</f>
        <v/>
      </c>
      <c r="F16415" s="15" t="str">
        <f aca="false">IF(B16415&lt;5,"Go","Standard")</f>
        <v>Standard</v>
      </c>
    </row>
    <row r="16416" customFormat="false" ht="15" hidden="false" customHeight="true" outlineLevel="0" collapsed="false">
      <c r="A16416" s="10" t="n">
        <f aca="false">Einstellungen!$B$5+INT((ROW()-9)/24)</f>
        <v>46649</v>
      </c>
      <c r="B16416" s="11" t="n">
        <f aca="false">MOD(ROW()-9,24)</f>
        <v>15</v>
      </c>
      <c r="C16416" s="12"/>
      <c r="D16416" s="13" t="n">
        <f aca="false">IF(B16416&lt;5,Einstellungen!$B$3,Einstellungen!$B$4)</f>
        <v>29.13</v>
      </c>
      <c r="E16416" s="14" t="str">
        <f aca="false">IF(C16416="","",C16416*D16416/100)</f>
        <v/>
      </c>
      <c r="F16416" s="15" t="str">
        <f aca="false">IF(B16416&lt;5,"Go","Standard")</f>
        <v>Standard</v>
      </c>
    </row>
    <row r="16417" customFormat="false" ht="15" hidden="false" customHeight="true" outlineLevel="0" collapsed="false">
      <c r="A16417" s="10" t="n">
        <f aca="false">Einstellungen!$B$5+INT((ROW()-9)/24)</f>
        <v>46649</v>
      </c>
      <c r="B16417" s="11" t="n">
        <f aca="false">MOD(ROW()-9,24)</f>
        <v>16</v>
      </c>
      <c r="C16417" s="12"/>
      <c r="D16417" s="13" t="n">
        <f aca="false">IF(B16417&lt;5,Einstellungen!$B$3,Einstellungen!$B$4)</f>
        <v>29.13</v>
      </c>
      <c r="E16417" s="14" t="str">
        <f aca="false">IF(C16417="","",C16417*D16417/100)</f>
        <v/>
      </c>
      <c r="F16417" s="15" t="str">
        <f aca="false">IF(B16417&lt;5,"Go","Standard")</f>
        <v>Standard</v>
      </c>
    </row>
    <row r="16418" customFormat="false" ht="15" hidden="false" customHeight="true" outlineLevel="0" collapsed="false">
      <c r="A16418" s="10" t="n">
        <f aca="false">Einstellungen!$B$5+INT((ROW()-9)/24)</f>
        <v>46649</v>
      </c>
      <c r="B16418" s="11" t="n">
        <f aca="false">MOD(ROW()-9,24)</f>
        <v>17</v>
      </c>
      <c r="C16418" s="12"/>
      <c r="D16418" s="13" t="n">
        <f aca="false">IF(B16418&lt;5,Einstellungen!$B$3,Einstellungen!$B$4)</f>
        <v>29.13</v>
      </c>
      <c r="E16418" s="14" t="str">
        <f aca="false">IF(C16418="","",C16418*D16418/100)</f>
        <v/>
      </c>
      <c r="F16418" s="15" t="str">
        <f aca="false">IF(B16418&lt;5,"Go","Standard")</f>
        <v>Standard</v>
      </c>
    </row>
    <row r="16419" customFormat="false" ht="15" hidden="false" customHeight="true" outlineLevel="0" collapsed="false">
      <c r="A16419" s="10" t="n">
        <f aca="false">Einstellungen!$B$5+INT((ROW()-9)/24)</f>
        <v>46649</v>
      </c>
      <c r="B16419" s="11" t="n">
        <f aca="false">MOD(ROW()-9,24)</f>
        <v>18</v>
      </c>
      <c r="C16419" s="12"/>
      <c r="D16419" s="13" t="n">
        <f aca="false">IF(B16419&lt;5,Einstellungen!$B$3,Einstellungen!$B$4)</f>
        <v>29.13</v>
      </c>
      <c r="E16419" s="14" t="str">
        <f aca="false">IF(C16419="","",C16419*D16419/100)</f>
        <v/>
      </c>
      <c r="F16419" s="15" t="str">
        <f aca="false">IF(B16419&lt;5,"Go","Standard")</f>
        <v>Standard</v>
      </c>
    </row>
    <row r="16420" customFormat="false" ht="15" hidden="false" customHeight="true" outlineLevel="0" collapsed="false">
      <c r="A16420" s="10" t="n">
        <f aca="false">Einstellungen!$B$5+INT((ROW()-9)/24)</f>
        <v>46649</v>
      </c>
      <c r="B16420" s="11" t="n">
        <f aca="false">MOD(ROW()-9,24)</f>
        <v>19</v>
      </c>
      <c r="C16420" s="12"/>
      <c r="D16420" s="13" t="n">
        <f aca="false">IF(B16420&lt;5,Einstellungen!$B$3,Einstellungen!$B$4)</f>
        <v>29.13</v>
      </c>
      <c r="E16420" s="14" t="str">
        <f aca="false">IF(C16420="","",C16420*D16420/100)</f>
        <v/>
      </c>
      <c r="F16420" s="15" t="str">
        <f aca="false">IF(B16420&lt;5,"Go","Standard")</f>
        <v>Standard</v>
      </c>
    </row>
    <row r="16421" customFormat="false" ht="15" hidden="false" customHeight="true" outlineLevel="0" collapsed="false">
      <c r="A16421" s="10" t="n">
        <f aca="false">Einstellungen!$B$5+INT((ROW()-9)/24)</f>
        <v>46649</v>
      </c>
      <c r="B16421" s="11" t="n">
        <f aca="false">MOD(ROW()-9,24)</f>
        <v>20</v>
      </c>
      <c r="C16421" s="12"/>
      <c r="D16421" s="13" t="n">
        <f aca="false">IF(B16421&lt;5,Einstellungen!$B$3,Einstellungen!$B$4)</f>
        <v>29.13</v>
      </c>
      <c r="E16421" s="14" t="str">
        <f aca="false">IF(C16421="","",C16421*D16421/100)</f>
        <v/>
      </c>
      <c r="F16421" s="15" t="str">
        <f aca="false">IF(B16421&lt;5,"Go","Standard")</f>
        <v>Standard</v>
      </c>
    </row>
    <row r="16422" customFormat="false" ht="15" hidden="false" customHeight="true" outlineLevel="0" collapsed="false">
      <c r="A16422" s="10" t="n">
        <f aca="false">Einstellungen!$B$5+INT((ROW()-9)/24)</f>
        <v>46649</v>
      </c>
      <c r="B16422" s="11" t="n">
        <f aca="false">MOD(ROW()-9,24)</f>
        <v>21</v>
      </c>
      <c r="C16422" s="12"/>
      <c r="D16422" s="13" t="n">
        <f aca="false">IF(B16422&lt;5,Einstellungen!$B$3,Einstellungen!$B$4)</f>
        <v>29.13</v>
      </c>
      <c r="E16422" s="14" t="str">
        <f aca="false">IF(C16422="","",C16422*D16422/100)</f>
        <v/>
      </c>
      <c r="F16422" s="15" t="str">
        <f aca="false">IF(B16422&lt;5,"Go","Standard")</f>
        <v>Standard</v>
      </c>
    </row>
    <row r="16423" customFormat="false" ht="15" hidden="false" customHeight="true" outlineLevel="0" collapsed="false">
      <c r="A16423" s="10" t="n">
        <f aca="false">Einstellungen!$B$5+INT((ROW()-9)/24)</f>
        <v>46649</v>
      </c>
      <c r="B16423" s="11" t="n">
        <f aca="false">MOD(ROW()-9,24)</f>
        <v>22</v>
      </c>
      <c r="C16423" s="12"/>
      <c r="D16423" s="13" t="n">
        <f aca="false">IF(B16423&lt;5,Einstellungen!$B$3,Einstellungen!$B$4)</f>
        <v>29.13</v>
      </c>
      <c r="E16423" s="14" t="str">
        <f aca="false">IF(C16423="","",C16423*D16423/100)</f>
        <v/>
      </c>
      <c r="F16423" s="15" t="str">
        <f aca="false">IF(B16423&lt;5,"Go","Standard")</f>
        <v>Standard</v>
      </c>
    </row>
    <row r="16424" customFormat="false" ht="15" hidden="false" customHeight="true" outlineLevel="0" collapsed="false">
      <c r="A16424" s="10" t="n">
        <f aca="false">Einstellungen!$B$5+INT((ROW()-9)/24)</f>
        <v>46649</v>
      </c>
      <c r="B16424" s="11" t="n">
        <f aca="false">MOD(ROW()-9,24)</f>
        <v>23</v>
      </c>
      <c r="C16424" s="12"/>
      <c r="D16424" s="13" t="n">
        <f aca="false">IF(B16424&lt;5,Einstellungen!$B$3,Einstellungen!$B$4)</f>
        <v>29.13</v>
      </c>
      <c r="E16424" s="14" t="str">
        <f aca="false">IF(C16424="","",C16424*D16424/100)</f>
        <v/>
      </c>
      <c r="F16424" s="15" t="str">
        <f aca="false">IF(B16424&lt;5,"Go","Standard")</f>
        <v>Standard</v>
      </c>
    </row>
    <row r="16425" customFormat="false" ht="15" hidden="false" customHeight="true" outlineLevel="0" collapsed="false">
      <c r="A16425" s="10" t="n">
        <f aca="false">Einstellungen!$B$5+INT((ROW()-9)/24)</f>
        <v>46650</v>
      </c>
      <c r="B16425" s="11" t="n">
        <f aca="false">MOD(ROW()-9,24)</f>
        <v>0</v>
      </c>
      <c r="C16425" s="12"/>
      <c r="D16425" s="13" t="n">
        <f aca="false">IF(B16425&lt;5,Einstellungen!$B$3,Einstellungen!$B$4)</f>
        <v>15.92</v>
      </c>
      <c r="E16425" s="14" t="str">
        <f aca="false">IF(C16425="","",C16425*D16425/100)</f>
        <v/>
      </c>
      <c r="F16425" s="15" t="str">
        <f aca="false">IF(B16425&lt;5,"Go","Standard")</f>
        <v>Go</v>
      </c>
    </row>
    <row r="16426" customFormat="false" ht="15" hidden="false" customHeight="true" outlineLevel="0" collapsed="false">
      <c r="A16426" s="10" t="n">
        <f aca="false">Einstellungen!$B$5+INT((ROW()-9)/24)</f>
        <v>46650</v>
      </c>
      <c r="B16426" s="11" t="n">
        <f aca="false">MOD(ROW()-9,24)</f>
        <v>1</v>
      </c>
      <c r="C16426" s="12"/>
      <c r="D16426" s="13" t="n">
        <f aca="false">IF(B16426&lt;5,Einstellungen!$B$3,Einstellungen!$B$4)</f>
        <v>15.92</v>
      </c>
      <c r="E16426" s="14" t="str">
        <f aca="false">IF(C16426="","",C16426*D16426/100)</f>
        <v/>
      </c>
      <c r="F16426" s="15" t="str">
        <f aca="false">IF(B16426&lt;5,"Go","Standard")</f>
        <v>Go</v>
      </c>
    </row>
    <row r="16427" customFormat="false" ht="15" hidden="false" customHeight="true" outlineLevel="0" collapsed="false">
      <c r="A16427" s="10" t="n">
        <f aca="false">Einstellungen!$B$5+INT((ROW()-9)/24)</f>
        <v>46650</v>
      </c>
      <c r="B16427" s="11" t="n">
        <f aca="false">MOD(ROW()-9,24)</f>
        <v>2</v>
      </c>
      <c r="C16427" s="12"/>
      <c r="D16427" s="13" t="n">
        <f aca="false">IF(B16427&lt;5,Einstellungen!$B$3,Einstellungen!$B$4)</f>
        <v>15.92</v>
      </c>
      <c r="E16427" s="14" t="str">
        <f aca="false">IF(C16427="","",C16427*D16427/100)</f>
        <v/>
      </c>
      <c r="F16427" s="15" t="str">
        <f aca="false">IF(B16427&lt;5,"Go","Standard")</f>
        <v>Go</v>
      </c>
    </row>
    <row r="16428" customFormat="false" ht="15" hidden="false" customHeight="true" outlineLevel="0" collapsed="false">
      <c r="A16428" s="10" t="n">
        <f aca="false">Einstellungen!$B$5+INT((ROW()-9)/24)</f>
        <v>46650</v>
      </c>
      <c r="B16428" s="11" t="n">
        <f aca="false">MOD(ROW()-9,24)</f>
        <v>3</v>
      </c>
      <c r="C16428" s="12"/>
      <c r="D16428" s="13" t="n">
        <f aca="false">IF(B16428&lt;5,Einstellungen!$B$3,Einstellungen!$B$4)</f>
        <v>15.92</v>
      </c>
      <c r="E16428" s="14" t="str">
        <f aca="false">IF(C16428="","",C16428*D16428/100)</f>
        <v/>
      </c>
      <c r="F16428" s="15" t="str">
        <f aca="false">IF(B16428&lt;5,"Go","Standard")</f>
        <v>Go</v>
      </c>
    </row>
    <row r="16429" customFormat="false" ht="15" hidden="false" customHeight="true" outlineLevel="0" collapsed="false">
      <c r="A16429" s="10" t="n">
        <f aca="false">Einstellungen!$B$5+INT((ROW()-9)/24)</f>
        <v>46650</v>
      </c>
      <c r="B16429" s="11" t="n">
        <f aca="false">MOD(ROW()-9,24)</f>
        <v>4</v>
      </c>
      <c r="C16429" s="12"/>
      <c r="D16429" s="13" t="n">
        <f aca="false">IF(B16429&lt;5,Einstellungen!$B$3,Einstellungen!$B$4)</f>
        <v>15.92</v>
      </c>
      <c r="E16429" s="14" t="str">
        <f aca="false">IF(C16429="","",C16429*D16429/100)</f>
        <v/>
      </c>
      <c r="F16429" s="15" t="str">
        <f aca="false">IF(B16429&lt;5,"Go","Standard")</f>
        <v>Go</v>
      </c>
    </row>
    <row r="16430" customFormat="false" ht="15" hidden="false" customHeight="true" outlineLevel="0" collapsed="false">
      <c r="A16430" s="10" t="n">
        <f aca="false">Einstellungen!$B$5+INT((ROW()-9)/24)</f>
        <v>46650</v>
      </c>
      <c r="B16430" s="11" t="n">
        <f aca="false">MOD(ROW()-9,24)</f>
        <v>5</v>
      </c>
      <c r="C16430" s="12"/>
      <c r="D16430" s="13" t="n">
        <f aca="false">IF(B16430&lt;5,Einstellungen!$B$3,Einstellungen!$B$4)</f>
        <v>29.13</v>
      </c>
      <c r="E16430" s="14" t="str">
        <f aca="false">IF(C16430="","",C16430*D16430/100)</f>
        <v/>
      </c>
      <c r="F16430" s="15" t="str">
        <f aca="false">IF(B16430&lt;5,"Go","Standard")</f>
        <v>Standard</v>
      </c>
    </row>
    <row r="16431" customFormat="false" ht="15" hidden="false" customHeight="true" outlineLevel="0" collapsed="false">
      <c r="A16431" s="10" t="n">
        <f aca="false">Einstellungen!$B$5+INT((ROW()-9)/24)</f>
        <v>46650</v>
      </c>
      <c r="B16431" s="11" t="n">
        <f aca="false">MOD(ROW()-9,24)</f>
        <v>6</v>
      </c>
      <c r="C16431" s="12"/>
      <c r="D16431" s="13" t="n">
        <f aca="false">IF(B16431&lt;5,Einstellungen!$B$3,Einstellungen!$B$4)</f>
        <v>29.13</v>
      </c>
      <c r="E16431" s="14" t="str">
        <f aca="false">IF(C16431="","",C16431*D16431/100)</f>
        <v/>
      </c>
      <c r="F16431" s="15" t="str">
        <f aca="false">IF(B16431&lt;5,"Go","Standard")</f>
        <v>Standard</v>
      </c>
    </row>
    <row r="16432" customFormat="false" ht="15" hidden="false" customHeight="true" outlineLevel="0" collapsed="false">
      <c r="A16432" s="10" t="n">
        <f aca="false">Einstellungen!$B$5+INT((ROW()-9)/24)</f>
        <v>46650</v>
      </c>
      <c r="B16432" s="11" t="n">
        <f aca="false">MOD(ROW()-9,24)</f>
        <v>7</v>
      </c>
      <c r="C16432" s="12"/>
      <c r="D16432" s="13" t="n">
        <f aca="false">IF(B16432&lt;5,Einstellungen!$B$3,Einstellungen!$B$4)</f>
        <v>29.13</v>
      </c>
      <c r="E16432" s="14" t="str">
        <f aca="false">IF(C16432="","",C16432*D16432/100)</f>
        <v/>
      </c>
      <c r="F16432" s="15" t="str">
        <f aca="false">IF(B16432&lt;5,"Go","Standard")</f>
        <v>Standard</v>
      </c>
    </row>
    <row r="16433" customFormat="false" ht="15" hidden="false" customHeight="true" outlineLevel="0" collapsed="false">
      <c r="A16433" s="10" t="n">
        <f aca="false">Einstellungen!$B$5+INT((ROW()-9)/24)</f>
        <v>46650</v>
      </c>
      <c r="B16433" s="11" t="n">
        <f aca="false">MOD(ROW()-9,24)</f>
        <v>8</v>
      </c>
      <c r="C16433" s="12"/>
      <c r="D16433" s="13" t="n">
        <f aca="false">IF(B16433&lt;5,Einstellungen!$B$3,Einstellungen!$B$4)</f>
        <v>29.13</v>
      </c>
      <c r="E16433" s="14" t="str">
        <f aca="false">IF(C16433="","",C16433*D16433/100)</f>
        <v/>
      </c>
      <c r="F16433" s="15" t="str">
        <f aca="false">IF(B16433&lt;5,"Go","Standard")</f>
        <v>Standard</v>
      </c>
    </row>
    <row r="16434" customFormat="false" ht="15" hidden="false" customHeight="true" outlineLevel="0" collapsed="false">
      <c r="A16434" s="10" t="n">
        <f aca="false">Einstellungen!$B$5+INT((ROW()-9)/24)</f>
        <v>46650</v>
      </c>
      <c r="B16434" s="11" t="n">
        <f aca="false">MOD(ROW()-9,24)</f>
        <v>9</v>
      </c>
      <c r="C16434" s="12"/>
      <c r="D16434" s="13" t="n">
        <f aca="false">IF(B16434&lt;5,Einstellungen!$B$3,Einstellungen!$B$4)</f>
        <v>29.13</v>
      </c>
      <c r="E16434" s="14" t="str">
        <f aca="false">IF(C16434="","",C16434*D16434/100)</f>
        <v/>
      </c>
      <c r="F16434" s="15" t="str">
        <f aca="false">IF(B16434&lt;5,"Go","Standard")</f>
        <v>Standard</v>
      </c>
    </row>
    <row r="16435" customFormat="false" ht="15" hidden="false" customHeight="true" outlineLevel="0" collapsed="false">
      <c r="A16435" s="10" t="n">
        <f aca="false">Einstellungen!$B$5+INT((ROW()-9)/24)</f>
        <v>46650</v>
      </c>
      <c r="B16435" s="11" t="n">
        <f aca="false">MOD(ROW()-9,24)</f>
        <v>10</v>
      </c>
      <c r="C16435" s="12"/>
      <c r="D16435" s="13" t="n">
        <f aca="false">IF(B16435&lt;5,Einstellungen!$B$3,Einstellungen!$B$4)</f>
        <v>29.13</v>
      </c>
      <c r="E16435" s="14" t="str">
        <f aca="false">IF(C16435="","",C16435*D16435/100)</f>
        <v/>
      </c>
      <c r="F16435" s="15" t="str">
        <f aca="false">IF(B16435&lt;5,"Go","Standard")</f>
        <v>Standard</v>
      </c>
    </row>
    <row r="16436" customFormat="false" ht="15" hidden="false" customHeight="true" outlineLevel="0" collapsed="false">
      <c r="A16436" s="10" t="n">
        <f aca="false">Einstellungen!$B$5+INT((ROW()-9)/24)</f>
        <v>46650</v>
      </c>
      <c r="B16436" s="11" t="n">
        <f aca="false">MOD(ROW()-9,24)</f>
        <v>11</v>
      </c>
      <c r="C16436" s="12"/>
      <c r="D16436" s="13" t="n">
        <f aca="false">IF(B16436&lt;5,Einstellungen!$B$3,Einstellungen!$B$4)</f>
        <v>29.13</v>
      </c>
      <c r="E16436" s="14" t="str">
        <f aca="false">IF(C16436="","",C16436*D16436/100)</f>
        <v/>
      </c>
      <c r="F16436" s="15" t="str">
        <f aca="false">IF(B16436&lt;5,"Go","Standard")</f>
        <v>Standard</v>
      </c>
    </row>
    <row r="16437" customFormat="false" ht="15" hidden="false" customHeight="true" outlineLevel="0" collapsed="false">
      <c r="A16437" s="10" t="n">
        <f aca="false">Einstellungen!$B$5+INT((ROW()-9)/24)</f>
        <v>46650</v>
      </c>
      <c r="B16437" s="11" t="n">
        <f aca="false">MOD(ROW()-9,24)</f>
        <v>12</v>
      </c>
      <c r="C16437" s="12"/>
      <c r="D16437" s="13" t="n">
        <f aca="false">IF(B16437&lt;5,Einstellungen!$B$3,Einstellungen!$B$4)</f>
        <v>29.13</v>
      </c>
      <c r="E16437" s="14" t="str">
        <f aca="false">IF(C16437="","",C16437*D16437/100)</f>
        <v/>
      </c>
      <c r="F16437" s="15" t="str">
        <f aca="false">IF(B16437&lt;5,"Go","Standard")</f>
        <v>Standard</v>
      </c>
    </row>
    <row r="16438" customFormat="false" ht="15" hidden="false" customHeight="true" outlineLevel="0" collapsed="false">
      <c r="A16438" s="10" t="n">
        <f aca="false">Einstellungen!$B$5+INT((ROW()-9)/24)</f>
        <v>46650</v>
      </c>
      <c r="B16438" s="11" t="n">
        <f aca="false">MOD(ROW()-9,24)</f>
        <v>13</v>
      </c>
      <c r="C16438" s="12"/>
      <c r="D16438" s="13" t="n">
        <f aca="false">IF(B16438&lt;5,Einstellungen!$B$3,Einstellungen!$B$4)</f>
        <v>29.13</v>
      </c>
      <c r="E16438" s="14" t="str">
        <f aca="false">IF(C16438="","",C16438*D16438/100)</f>
        <v/>
      </c>
      <c r="F16438" s="15" t="str">
        <f aca="false">IF(B16438&lt;5,"Go","Standard")</f>
        <v>Standard</v>
      </c>
    </row>
    <row r="16439" customFormat="false" ht="15" hidden="false" customHeight="true" outlineLevel="0" collapsed="false">
      <c r="A16439" s="10" t="n">
        <f aca="false">Einstellungen!$B$5+INT((ROW()-9)/24)</f>
        <v>46650</v>
      </c>
      <c r="B16439" s="11" t="n">
        <f aca="false">MOD(ROW()-9,24)</f>
        <v>14</v>
      </c>
      <c r="C16439" s="12"/>
      <c r="D16439" s="13" t="n">
        <f aca="false">IF(B16439&lt;5,Einstellungen!$B$3,Einstellungen!$B$4)</f>
        <v>29.13</v>
      </c>
      <c r="E16439" s="14" t="str">
        <f aca="false">IF(C16439="","",C16439*D16439/100)</f>
        <v/>
      </c>
      <c r="F16439" s="15" t="str">
        <f aca="false">IF(B16439&lt;5,"Go","Standard")</f>
        <v>Standard</v>
      </c>
    </row>
    <row r="16440" customFormat="false" ht="15" hidden="false" customHeight="true" outlineLevel="0" collapsed="false">
      <c r="A16440" s="10" t="n">
        <f aca="false">Einstellungen!$B$5+INT((ROW()-9)/24)</f>
        <v>46650</v>
      </c>
      <c r="B16440" s="11" t="n">
        <f aca="false">MOD(ROW()-9,24)</f>
        <v>15</v>
      </c>
      <c r="C16440" s="12"/>
      <c r="D16440" s="13" t="n">
        <f aca="false">IF(B16440&lt;5,Einstellungen!$B$3,Einstellungen!$B$4)</f>
        <v>29.13</v>
      </c>
      <c r="E16440" s="14" t="str">
        <f aca="false">IF(C16440="","",C16440*D16440/100)</f>
        <v/>
      </c>
      <c r="F16440" s="15" t="str">
        <f aca="false">IF(B16440&lt;5,"Go","Standard")</f>
        <v>Standard</v>
      </c>
    </row>
    <row r="16441" customFormat="false" ht="15" hidden="false" customHeight="true" outlineLevel="0" collapsed="false">
      <c r="A16441" s="10" t="n">
        <f aca="false">Einstellungen!$B$5+INT((ROW()-9)/24)</f>
        <v>46650</v>
      </c>
      <c r="B16441" s="11" t="n">
        <f aca="false">MOD(ROW()-9,24)</f>
        <v>16</v>
      </c>
      <c r="C16441" s="12"/>
      <c r="D16441" s="13" t="n">
        <f aca="false">IF(B16441&lt;5,Einstellungen!$B$3,Einstellungen!$B$4)</f>
        <v>29.13</v>
      </c>
      <c r="E16441" s="14" t="str">
        <f aca="false">IF(C16441="","",C16441*D16441/100)</f>
        <v/>
      </c>
      <c r="F16441" s="15" t="str">
        <f aca="false">IF(B16441&lt;5,"Go","Standard")</f>
        <v>Standard</v>
      </c>
    </row>
    <row r="16442" customFormat="false" ht="15" hidden="false" customHeight="true" outlineLevel="0" collapsed="false">
      <c r="A16442" s="10" t="n">
        <f aca="false">Einstellungen!$B$5+INT((ROW()-9)/24)</f>
        <v>46650</v>
      </c>
      <c r="B16442" s="11" t="n">
        <f aca="false">MOD(ROW()-9,24)</f>
        <v>17</v>
      </c>
      <c r="C16442" s="12"/>
      <c r="D16442" s="13" t="n">
        <f aca="false">IF(B16442&lt;5,Einstellungen!$B$3,Einstellungen!$B$4)</f>
        <v>29.13</v>
      </c>
      <c r="E16442" s="14" t="str">
        <f aca="false">IF(C16442="","",C16442*D16442/100)</f>
        <v/>
      </c>
      <c r="F16442" s="15" t="str">
        <f aca="false">IF(B16442&lt;5,"Go","Standard")</f>
        <v>Standard</v>
      </c>
    </row>
    <row r="16443" customFormat="false" ht="15" hidden="false" customHeight="true" outlineLevel="0" collapsed="false">
      <c r="A16443" s="10" t="n">
        <f aca="false">Einstellungen!$B$5+INT((ROW()-9)/24)</f>
        <v>46650</v>
      </c>
      <c r="B16443" s="11" t="n">
        <f aca="false">MOD(ROW()-9,24)</f>
        <v>18</v>
      </c>
      <c r="C16443" s="12"/>
      <c r="D16443" s="13" t="n">
        <f aca="false">IF(B16443&lt;5,Einstellungen!$B$3,Einstellungen!$B$4)</f>
        <v>29.13</v>
      </c>
      <c r="E16443" s="14" t="str">
        <f aca="false">IF(C16443="","",C16443*D16443/100)</f>
        <v/>
      </c>
      <c r="F16443" s="15" t="str">
        <f aca="false">IF(B16443&lt;5,"Go","Standard")</f>
        <v>Standard</v>
      </c>
    </row>
    <row r="16444" customFormat="false" ht="15" hidden="false" customHeight="true" outlineLevel="0" collapsed="false">
      <c r="A16444" s="10" t="n">
        <f aca="false">Einstellungen!$B$5+INT((ROW()-9)/24)</f>
        <v>46650</v>
      </c>
      <c r="B16444" s="11" t="n">
        <f aca="false">MOD(ROW()-9,24)</f>
        <v>19</v>
      </c>
      <c r="C16444" s="12"/>
      <c r="D16444" s="13" t="n">
        <f aca="false">IF(B16444&lt;5,Einstellungen!$B$3,Einstellungen!$B$4)</f>
        <v>29.13</v>
      </c>
      <c r="E16444" s="14" t="str">
        <f aca="false">IF(C16444="","",C16444*D16444/100)</f>
        <v/>
      </c>
      <c r="F16444" s="15" t="str">
        <f aca="false">IF(B16444&lt;5,"Go","Standard")</f>
        <v>Standard</v>
      </c>
    </row>
    <row r="16445" customFormat="false" ht="15" hidden="false" customHeight="true" outlineLevel="0" collapsed="false">
      <c r="A16445" s="10" t="n">
        <f aca="false">Einstellungen!$B$5+INT((ROW()-9)/24)</f>
        <v>46650</v>
      </c>
      <c r="B16445" s="11" t="n">
        <f aca="false">MOD(ROW()-9,24)</f>
        <v>20</v>
      </c>
      <c r="C16445" s="12"/>
      <c r="D16445" s="13" t="n">
        <f aca="false">IF(B16445&lt;5,Einstellungen!$B$3,Einstellungen!$B$4)</f>
        <v>29.13</v>
      </c>
      <c r="E16445" s="14" t="str">
        <f aca="false">IF(C16445="","",C16445*D16445/100)</f>
        <v/>
      </c>
      <c r="F16445" s="15" t="str">
        <f aca="false">IF(B16445&lt;5,"Go","Standard")</f>
        <v>Standard</v>
      </c>
    </row>
    <row r="16446" customFormat="false" ht="15" hidden="false" customHeight="true" outlineLevel="0" collapsed="false">
      <c r="A16446" s="10" t="n">
        <f aca="false">Einstellungen!$B$5+INT((ROW()-9)/24)</f>
        <v>46650</v>
      </c>
      <c r="B16446" s="11" t="n">
        <f aca="false">MOD(ROW()-9,24)</f>
        <v>21</v>
      </c>
      <c r="C16446" s="12"/>
      <c r="D16446" s="13" t="n">
        <f aca="false">IF(B16446&lt;5,Einstellungen!$B$3,Einstellungen!$B$4)</f>
        <v>29.13</v>
      </c>
      <c r="E16446" s="14" t="str">
        <f aca="false">IF(C16446="","",C16446*D16446/100)</f>
        <v/>
      </c>
      <c r="F16446" s="15" t="str">
        <f aca="false">IF(B16446&lt;5,"Go","Standard")</f>
        <v>Standard</v>
      </c>
    </row>
    <row r="16447" customFormat="false" ht="15" hidden="false" customHeight="true" outlineLevel="0" collapsed="false">
      <c r="A16447" s="10" t="n">
        <f aca="false">Einstellungen!$B$5+INT((ROW()-9)/24)</f>
        <v>46650</v>
      </c>
      <c r="B16447" s="11" t="n">
        <f aca="false">MOD(ROW()-9,24)</f>
        <v>22</v>
      </c>
      <c r="C16447" s="12"/>
      <c r="D16447" s="13" t="n">
        <f aca="false">IF(B16447&lt;5,Einstellungen!$B$3,Einstellungen!$B$4)</f>
        <v>29.13</v>
      </c>
      <c r="E16447" s="14" t="str">
        <f aca="false">IF(C16447="","",C16447*D16447/100)</f>
        <v/>
      </c>
      <c r="F16447" s="15" t="str">
        <f aca="false">IF(B16447&lt;5,"Go","Standard")</f>
        <v>Standard</v>
      </c>
    </row>
    <row r="16448" customFormat="false" ht="15" hidden="false" customHeight="true" outlineLevel="0" collapsed="false">
      <c r="A16448" s="10" t="n">
        <f aca="false">Einstellungen!$B$5+INT((ROW()-9)/24)</f>
        <v>46650</v>
      </c>
      <c r="B16448" s="11" t="n">
        <f aca="false">MOD(ROW()-9,24)</f>
        <v>23</v>
      </c>
      <c r="C16448" s="12"/>
      <c r="D16448" s="13" t="n">
        <f aca="false">IF(B16448&lt;5,Einstellungen!$B$3,Einstellungen!$B$4)</f>
        <v>29.13</v>
      </c>
      <c r="E16448" s="14" t="str">
        <f aca="false">IF(C16448="","",C16448*D16448/100)</f>
        <v/>
      </c>
      <c r="F16448" s="15" t="str">
        <f aca="false">IF(B16448&lt;5,"Go","Standard")</f>
        <v>Standard</v>
      </c>
    </row>
    <row r="16449" customFormat="false" ht="15" hidden="false" customHeight="true" outlineLevel="0" collapsed="false">
      <c r="A16449" s="10" t="n">
        <f aca="false">Einstellungen!$B$5+INT((ROW()-9)/24)</f>
        <v>46651</v>
      </c>
      <c r="B16449" s="11" t="n">
        <f aca="false">MOD(ROW()-9,24)</f>
        <v>0</v>
      </c>
      <c r="C16449" s="12"/>
      <c r="D16449" s="13" t="n">
        <f aca="false">IF(B16449&lt;5,Einstellungen!$B$3,Einstellungen!$B$4)</f>
        <v>15.92</v>
      </c>
      <c r="E16449" s="14" t="str">
        <f aca="false">IF(C16449="","",C16449*D16449/100)</f>
        <v/>
      </c>
      <c r="F16449" s="15" t="str">
        <f aca="false">IF(B16449&lt;5,"Go","Standard")</f>
        <v>Go</v>
      </c>
    </row>
    <row r="16450" customFormat="false" ht="15" hidden="false" customHeight="true" outlineLevel="0" collapsed="false">
      <c r="A16450" s="10" t="n">
        <f aca="false">Einstellungen!$B$5+INT((ROW()-9)/24)</f>
        <v>46651</v>
      </c>
      <c r="B16450" s="11" t="n">
        <f aca="false">MOD(ROW()-9,24)</f>
        <v>1</v>
      </c>
      <c r="C16450" s="12"/>
      <c r="D16450" s="13" t="n">
        <f aca="false">IF(B16450&lt;5,Einstellungen!$B$3,Einstellungen!$B$4)</f>
        <v>15.92</v>
      </c>
      <c r="E16450" s="14" t="str">
        <f aca="false">IF(C16450="","",C16450*D16450/100)</f>
        <v/>
      </c>
      <c r="F16450" s="15" t="str">
        <f aca="false">IF(B16450&lt;5,"Go","Standard")</f>
        <v>Go</v>
      </c>
    </row>
    <row r="16451" customFormat="false" ht="15" hidden="false" customHeight="true" outlineLevel="0" collapsed="false">
      <c r="A16451" s="10" t="n">
        <f aca="false">Einstellungen!$B$5+INT((ROW()-9)/24)</f>
        <v>46651</v>
      </c>
      <c r="B16451" s="11" t="n">
        <f aca="false">MOD(ROW()-9,24)</f>
        <v>2</v>
      </c>
      <c r="C16451" s="12"/>
      <c r="D16451" s="13" t="n">
        <f aca="false">IF(B16451&lt;5,Einstellungen!$B$3,Einstellungen!$B$4)</f>
        <v>15.92</v>
      </c>
      <c r="E16451" s="14" t="str">
        <f aca="false">IF(C16451="","",C16451*D16451/100)</f>
        <v/>
      </c>
      <c r="F16451" s="15" t="str">
        <f aca="false">IF(B16451&lt;5,"Go","Standard")</f>
        <v>Go</v>
      </c>
    </row>
    <row r="16452" customFormat="false" ht="15" hidden="false" customHeight="true" outlineLevel="0" collapsed="false">
      <c r="A16452" s="10" t="n">
        <f aca="false">Einstellungen!$B$5+INT((ROW()-9)/24)</f>
        <v>46651</v>
      </c>
      <c r="B16452" s="11" t="n">
        <f aca="false">MOD(ROW()-9,24)</f>
        <v>3</v>
      </c>
      <c r="C16452" s="12"/>
      <c r="D16452" s="13" t="n">
        <f aca="false">IF(B16452&lt;5,Einstellungen!$B$3,Einstellungen!$B$4)</f>
        <v>15.92</v>
      </c>
      <c r="E16452" s="14" t="str">
        <f aca="false">IF(C16452="","",C16452*D16452/100)</f>
        <v/>
      </c>
      <c r="F16452" s="15" t="str">
        <f aca="false">IF(B16452&lt;5,"Go","Standard")</f>
        <v>Go</v>
      </c>
    </row>
    <row r="16453" customFormat="false" ht="15" hidden="false" customHeight="true" outlineLevel="0" collapsed="false">
      <c r="A16453" s="10" t="n">
        <f aca="false">Einstellungen!$B$5+INT((ROW()-9)/24)</f>
        <v>46651</v>
      </c>
      <c r="B16453" s="11" t="n">
        <f aca="false">MOD(ROW()-9,24)</f>
        <v>4</v>
      </c>
      <c r="C16453" s="12"/>
      <c r="D16453" s="13" t="n">
        <f aca="false">IF(B16453&lt;5,Einstellungen!$B$3,Einstellungen!$B$4)</f>
        <v>15.92</v>
      </c>
      <c r="E16453" s="14" t="str">
        <f aca="false">IF(C16453="","",C16453*D16453/100)</f>
        <v/>
      </c>
      <c r="F16453" s="15" t="str">
        <f aca="false">IF(B16453&lt;5,"Go","Standard")</f>
        <v>Go</v>
      </c>
    </row>
    <row r="16454" customFormat="false" ht="15" hidden="false" customHeight="true" outlineLevel="0" collapsed="false">
      <c r="A16454" s="10" t="n">
        <f aca="false">Einstellungen!$B$5+INT((ROW()-9)/24)</f>
        <v>46651</v>
      </c>
      <c r="B16454" s="11" t="n">
        <f aca="false">MOD(ROW()-9,24)</f>
        <v>5</v>
      </c>
      <c r="C16454" s="12"/>
      <c r="D16454" s="13" t="n">
        <f aca="false">IF(B16454&lt;5,Einstellungen!$B$3,Einstellungen!$B$4)</f>
        <v>29.13</v>
      </c>
      <c r="E16454" s="14" t="str">
        <f aca="false">IF(C16454="","",C16454*D16454/100)</f>
        <v/>
      </c>
      <c r="F16454" s="15" t="str">
        <f aca="false">IF(B16454&lt;5,"Go","Standard")</f>
        <v>Standard</v>
      </c>
    </row>
    <row r="16455" customFormat="false" ht="15" hidden="false" customHeight="true" outlineLevel="0" collapsed="false">
      <c r="A16455" s="10" t="n">
        <f aca="false">Einstellungen!$B$5+INT((ROW()-9)/24)</f>
        <v>46651</v>
      </c>
      <c r="B16455" s="11" t="n">
        <f aca="false">MOD(ROW()-9,24)</f>
        <v>6</v>
      </c>
      <c r="C16455" s="12"/>
      <c r="D16455" s="13" t="n">
        <f aca="false">IF(B16455&lt;5,Einstellungen!$B$3,Einstellungen!$B$4)</f>
        <v>29.13</v>
      </c>
      <c r="E16455" s="14" t="str">
        <f aca="false">IF(C16455="","",C16455*D16455/100)</f>
        <v/>
      </c>
      <c r="F16455" s="15" t="str">
        <f aca="false">IF(B16455&lt;5,"Go","Standard")</f>
        <v>Standard</v>
      </c>
    </row>
    <row r="16456" customFormat="false" ht="15" hidden="false" customHeight="true" outlineLevel="0" collapsed="false">
      <c r="A16456" s="10" t="n">
        <f aca="false">Einstellungen!$B$5+INT((ROW()-9)/24)</f>
        <v>46651</v>
      </c>
      <c r="B16456" s="11" t="n">
        <f aca="false">MOD(ROW()-9,24)</f>
        <v>7</v>
      </c>
      <c r="C16456" s="12"/>
      <c r="D16456" s="13" t="n">
        <f aca="false">IF(B16456&lt;5,Einstellungen!$B$3,Einstellungen!$B$4)</f>
        <v>29.13</v>
      </c>
      <c r="E16456" s="14" t="str">
        <f aca="false">IF(C16456="","",C16456*D16456/100)</f>
        <v/>
      </c>
      <c r="F16456" s="15" t="str">
        <f aca="false">IF(B16456&lt;5,"Go","Standard")</f>
        <v>Standard</v>
      </c>
    </row>
    <row r="16457" customFormat="false" ht="15" hidden="false" customHeight="true" outlineLevel="0" collapsed="false">
      <c r="A16457" s="10" t="n">
        <f aca="false">Einstellungen!$B$5+INT((ROW()-9)/24)</f>
        <v>46651</v>
      </c>
      <c r="B16457" s="11" t="n">
        <f aca="false">MOD(ROW()-9,24)</f>
        <v>8</v>
      </c>
      <c r="C16457" s="12"/>
      <c r="D16457" s="13" t="n">
        <f aca="false">IF(B16457&lt;5,Einstellungen!$B$3,Einstellungen!$B$4)</f>
        <v>29.13</v>
      </c>
      <c r="E16457" s="14" t="str">
        <f aca="false">IF(C16457="","",C16457*D16457/100)</f>
        <v/>
      </c>
      <c r="F16457" s="15" t="str">
        <f aca="false">IF(B16457&lt;5,"Go","Standard")</f>
        <v>Standard</v>
      </c>
    </row>
    <row r="16458" customFormat="false" ht="15" hidden="false" customHeight="true" outlineLevel="0" collapsed="false">
      <c r="A16458" s="10" t="n">
        <f aca="false">Einstellungen!$B$5+INT((ROW()-9)/24)</f>
        <v>46651</v>
      </c>
      <c r="B16458" s="11" t="n">
        <f aca="false">MOD(ROW()-9,24)</f>
        <v>9</v>
      </c>
      <c r="C16458" s="12"/>
      <c r="D16458" s="13" t="n">
        <f aca="false">IF(B16458&lt;5,Einstellungen!$B$3,Einstellungen!$B$4)</f>
        <v>29.13</v>
      </c>
      <c r="E16458" s="14" t="str">
        <f aca="false">IF(C16458="","",C16458*D16458/100)</f>
        <v/>
      </c>
      <c r="F16458" s="15" t="str">
        <f aca="false">IF(B16458&lt;5,"Go","Standard")</f>
        <v>Standard</v>
      </c>
    </row>
    <row r="16459" customFormat="false" ht="15" hidden="false" customHeight="true" outlineLevel="0" collapsed="false">
      <c r="A16459" s="10" t="n">
        <f aca="false">Einstellungen!$B$5+INT((ROW()-9)/24)</f>
        <v>46651</v>
      </c>
      <c r="B16459" s="11" t="n">
        <f aca="false">MOD(ROW()-9,24)</f>
        <v>10</v>
      </c>
      <c r="C16459" s="12"/>
      <c r="D16459" s="13" t="n">
        <f aca="false">IF(B16459&lt;5,Einstellungen!$B$3,Einstellungen!$B$4)</f>
        <v>29.13</v>
      </c>
      <c r="E16459" s="14" t="str">
        <f aca="false">IF(C16459="","",C16459*D16459/100)</f>
        <v/>
      </c>
      <c r="F16459" s="15" t="str">
        <f aca="false">IF(B16459&lt;5,"Go","Standard")</f>
        <v>Standard</v>
      </c>
    </row>
    <row r="16460" customFormat="false" ht="15" hidden="false" customHeight="true" outlineLevel="0" collapsed="false">
      <c r="A16460" s="10" t="n">
        <f aca="false">Einstellungen!$B$5+INT((ROW()-9)/24)</f>
        <v>46651</v>
      </c>
      <c r="B16460" s="11" t="n">
        <f aca="false">MOD(ROW()-9,24)</f>
        <v>11</v>
      </c>
      <c r="C16460" s="12"/>
      <c r="D16460" s="13" t="n">
        <f aca="false">IF(B16460&lt;5,Einstellungen!$B$3,Einstellungen!$B$4)</f>
        <v>29.13</v>
      </c>
      <c r="E16460" s="14" t="str">
        <f aca="false">IF(C16460="","",C16460*D16460/100)</f>
        <v/>
      </c>
      <c r="F16460" s="15" t="str">
        <f aca="false">IF(B16460&lt;5,"Go","Standard")</f>
        <v>Standard</v>
      </c>
    </row>
    <row r="16461" customFormat="false" ht="15" hidden="false" customHeight="true" outlineLevel="0" collapsed="false">
      <c r="A16461" s="10" t="n">
        <f aca="false">Einstellungen!$B$5+INT((ROW()-9)/24)</f>
        <v>46651</v>
      </c>
      <c r="B16461" s="11" t="n">
        <f aca="false">MOD(ROW()-9,24)</f>
        <v>12</v>
      </c>
      <c r="C16461" s="12"/>
      <c r="D16461" s="13" t="n">
        <f aca="false">IF(B16461&lt;5,Einstellungen!$B$3,Einstellungen!$B$4)</f>
        <v>29.13</v>
      </c>
      <c r="E16461" s="14" t="str">
        <f aca="false">IF(C16461="","",C16461*D16461/100)</f>
        <v/>
      </c>
      <c r="F16461" s="15" t="str">
        <f aca="false">IF(B16461&lt;5,"Go","Standard")</f>
        <v>Standard</v>
      </c>
    </row>
    <row r="16462" customFormat="false" ht="15" hidden="false" customHeight="true" outlineLevel="0" collapsed="false">
      <c r="A16462" s="10" t="n">
        <f aca="false">Einstellungen!$B$5+INT((ROW()-9)/24)</f>
        <v>46651</v>
      </c>
      <c r="B16462" s="11" t="n">
        <f aca="false">MOD(ROW()-9,24)</f>
        <v>13</v>
      </c>
      <c r="C16462" s="12"/>
      <c r="D16462" s="13" t="n">
        <f aca="false">IF(B16462&lt;5,Einstellungen!$B$3,Einstellungen!$B$4)</f>
        <v>29.13</v>
      </c>
      <c r="E16462" s="14" t="str">
        <f aca="false">IF(C16462="","",C16462*D16462/100)</f>
        <v/>
      </c>
      <c r="F16462" s="15" t="str">
        <f aca="false">IF(B16462&lt;5,"Go","Standard")</f>
        <v>Standard</v>
      </c>
    </row>
    <row r="16463" customFormat="false" ht="15" hidden="false" customHeight="true" outlineLevel="0" collapsed="false">
      <c r="A16463" s="10" t="n">
        <f aca="false">Einstellungen!$B$5+INT((ROW()-9)/24)</f>
        <v>46651</v>
      </c>
      <c r="B16463" s="11" t="n">
        <f aca="false">MOD(ROW()-9,24)</f>
        <v>14</v>
      </c>
      <c r="C16463" s="12"/>
      <c r="D16463" s="13" t="n">
        <f aca="false">IF(B16463&lt;5,Einstellungen!$B$3,Einstellungen!$B$4)</f>
        <v>29.13</v>
      </c>
      <c r="E16463" s="14" t="str">
        <f aca="false">IF(C16463="","",C16463*D16463/100)</f>
        <v/>
      </c>
      <c r="F16463" s="15" t="str">
        <f aca="false">IF(B16463&lt;5,"Go","Standard")</f>
        <v>Standard</v>
      </c>
    </row>
    <row r="16464" customFormat="false" ht="15" hidden="false" customHeight="true" outlineLevel="0" collapsed="false">
      <c r="A16464" s="10" t="n">
        <f aca="false">Einstellungen!$B$5+INT((ROW()-9)/24)</f>
        <v>46651</v>
      </c>
      <c r="B16464" s="11" t="n">
        <f aca="false">MOD(ROW()-9,24)</f>
        <v>15</v>
      </c>
      <c r="C16464" s="12"/>
      <c r="D16464" s="13" t="n">
        <f aca="false">IF(B16464&lt;5,Einstellungen!$B$3,Einstellungen!$B$4)</f>
        <v>29.13</v>
      </c>
      <c r="E16464" s="14" t="str">
        <f aca="false">IF(C16464="","",C16464*D16464/100)</f>
        <v/>
      </c>
      <c r="F16464" s="15" t="str">
        <f aca="false">IF(B16464&lt;5,"Go","Standard")</f>
        <v>Standard</v>
      </c>
    </row>
    <row r="16465" customFormat="false" ht="15" hidden="false" customHeight="true" outlineLevel="0" collapsed="false">
      <c r="A16465" s="10" t="n">
        <f aca="false">Einstellungen!$B$5+INT((ROW()-9)/24)</f>
        <v>46651</v>
      </c>
      <c r="B16465" s="11" t="n">
        <f aca="false">MOD(ROW()-9,24)</f>
        <v>16</v>
      </c>
      <c r="C16465" s="12"/>
      <c r="D16465" s="13" t="n">
        <f aca="false">IF(B16465&lt;5,Einstellungen!$B$3,Einstellungen!$B$4)</f>
        <v>29.13</v>
      </c>
      <c r="E16465" s="14" t="str">
        <f aca="false">IF(C16465="","",C16465*D16465/100)</f>
        <v/>
      </c>
      <c r="F16465" s="15" t="str">
        <f aca="false">IF(B16465&lt;5,"Go","Standard")</f>
        <v>Standard</v>
      </c>
    </row>
    <row r="16466" customFormat="false" ht="15" hidden="false" customHeight="true" outlineLevel="0" collapsed="false">
      <c r="A16466" s="10" t="n">
        <f aca="false">Einstellungen!$B$5+INT((ROW()-9)/24)</f>
        <v>46651</v>
      </c>
      <c r="B16466" s="11" t="n">
        <f aca="false">MOD(ROW()-9,24)</f>
        <v>17</v>
      </c>
      <c r="C16466" s="12"/>
      <c r="D16466" s="13" t="n">
        <f aca="false">IF(B16466&lt;5,Einstellungen!$B$3,Einstellungen!$B$4)</f>
        <v>29.13</v>
      </c>
      <c r="E16466" s="14" t="str">
        <f aca="false">IF(C16466="","",C16466*D16466/100)</f>
        <v/>
      </c>
      <c r="F16466" s="15" t="str">
        <f aca="false">IF(B16466&lt;5,"Go","Standard")</f>
        <v>Standard</v>
      </c>
    </row>
    <row r="16467" customFormat="false" ht="15" hidden="false" customHeight="true" outlineLevel="0" collapsed="false">
      <c r="A16467" s="10" t="n">
        <f aca="false">Einstellungen!$B$5+INT((ROW()-9)/24)</f>
        <v>46651</v>
      </c>
      <c r="B16467" s="11" t="n">
        <f aca="false">MOD(ROW()-9,24)</f>
        <v>18</v>
      </c>
      <c r="C16467" s="12"/>
      <c r="D16467" s="13" t="n">
        <f aca="false">IF(B16467&lt;5,Einstellungen!$B$3,Einstellungen!$B$4)</f>
        <v>29.13</v>
      </c>
      <c r="E16467" s="14" t="str">
        <f aca="false">IF(C16467="","",C16467*D16467/100)</f>
        <v/>
      </c>
      <c r="F16467" s="15" t="str">
        <f aca="false">IF(B16467&lt;5,"Go","Standard")</f>
        <v>Standard</v>
      </c>
    </row>
    <row r="16468" customFormat="false" ht="15" hidden="false" customHeight="true" outlineLevel="0" collapsed="false">
      <c r="A16468" s="10" t="n">
        <f aca="false">Einstellungen!$B$5+INT((ROW()-9)/24)</f>
        <v>46651</v>
      </c>
      <c r="B16468" s="11" t="n">
        <f aca="false">MOD(ROW()-9,24)</f>
        <v>19</v>
      </c>
      <c r="C16468" s="12"/>
      <c r="D16468" s="13" t="n">
        <f aca="false">IF(B16468&lt;5,Einstellungen!$B$3,Einstellungen!$B$4)</f>
        <v>29.13</v>
      </c>
      <c r="E16468" s="14" t="str">
        <f aca="false">IF(C16468="","",C16468*D16468/100)</f>
        <v/>
      </c>
      <c r="F16468" s="15" t="str">
        <f aca="false">IF(B16468&lt;5,"Go","Standard")</f>
        <v>Standard</v>
      </c>
    </row>
    <row r="16469" customFormat="false" ht="15" hidden="false" customHeight="true" outlineLevel="0" collapsed="false">
      <c r="A16469" s="10" t="n">
        <f aca="false">Einstellungen!$B$5+INT((ROW()-9)/24)</f>
        <v>46651</v>
      </c>
      <c r="B16469" s="11" t="n">
        <f aca="false">MOD(ROW()-9,24)</f>
        <v>20</v>
      </c>
      <c r="C16469" s="12"/>
      <c r="D16469" s="13" t="n">
        <f aca="false">IF(B16469&lt;5,Einstellungen!$B$3,Einstellungen!$B$4)</f>
        <v>29.13</v>
      </c>
      <c r="E16469" s="14" t="str">
        <f aca="false">IF(C16469="","",C16469*D16469/100)</f>
        <v/>
      </c>
      <c r="F16469" s="15" t="str">
        <f aca="false">IF(B16469&lt;5,"Go","Standard")</f>
        <v>Standard</v>
      </c>
    </row>
    <row r="16470" customFormat="false" ht="15" hidden="false" customHeight="true" outlineLevel="0" collapsed="false">
      <c r="A16470" s="10" t="n">
        <f aca="false">Einstellungen!$B$5+INT((ROW()-9)/24)</f>
        <v>46651</v>
      </c>
      <c r="B16470" s="11" t="n">
        <f aca="false">MOD(ROW()-9,24)</f>
        <v>21</v>
      </c>
      <c r="C16470" s="12"/>
      <c r="D16470" s="13" t="n">
        <f aca="false">IF(B16470&lt;5,Einstellungen!$B$3,Einstellungen!$B$4)</f>
        <v>29.13</v>
      </c>
      <c r="E16470" s="14" t="str">
        <f aca="false">IF(C16470="","",C16470*D16470/100)</f>
        <v/>
      </c>
      <c r="F16470" s="15" t="str">
        <f aca="false">IF(B16470&lt;5,"Go","Standard")</f>
        <v>Standard</v>
      </c>
    </row>
    <row r="16471" customFormat="false" ht="15" hidden="false" customHeight="true" outlineLevel="0" collapsed="false">
      <c r="A16471" s="10" t="n">
        <f aca="false">Einstellungen!$B$5+INT((ROW()-9)/24)</f>
        <v>46651</v>
      </c>
      <c r="B16471" s="11" t="n">
        <f aca="false">MOD(ROW()-9,24)</f>
        <v>22</v>
      </c>
      <c r="C16471" s="12"/>
      <c r="D16471" s="13" t="n">
        <f aca="false">IF(B16471&lt;5,Einstellungen!$B$3,Einstellungen!$B$4)</f>
        <v>29.13</v>
      </c>
      <c r="E16471" s="14" t="str">
        <f aca="false">IF(C16471="","",C16471*D16471/100)</f>
        <v/>
      </c>
      <c r="F16471" s="15" t="str">
        <f aca="false">IF(B16471&lt;5,"Go","Standard")</f>
        <v>Standard</v>
      </c>
    </row>
    <row r="16472" customFormat="false" ht="15" hidden="false" customHeight="true" outlineLevel="0" collapsed="false">
      <c r="A16472" s="10" t="n">
        <f aca="false">Einstellungen!$B$5+INT((ROW()-9)/24)</f>
        <v>46651</v>
      </c>
      <c r="B16472" s="11" t="n">
        <f aca="false">MOD(ROW()-9,24)</f>
        <v>23</v>
      </c>
      <c r="C16472" s="12"/>
      <c r="D16472" s="13" t="n">
        <f aca="false">IF(B16472&lt;5,Einstellungen!$B$3,Einstellungen!$B$4)</f>
        <v>29.13</v>
      </c>
      <c r="E16472" s="14" t="str">
        <f aca="false">IF(C16472="","",C16472*D16472/100)</f>
        <v/>
      </c>
      <c r="F16472" s="15" t="str">
        <f aca="false">IF(B16472&lt;5,"Go","Standard")</f>
        <v>Standard</v>
      </c>
    </row>
    <row r="16473" customFormat="false" ht="15" hidden="false" customHeight="true" outlineLevel="0" collapsed="false">
      <c r="A16473" s="10" t="n">
        <f aca="false">Einstellungen!$B$5+INT((ROW()-9)/24)</f>
        <v>46652</v>
      </c>
      <c r="B16473" s="11" t="n">
        <f aca="false">MOD(ROW()-9,24)</f>
        <v>0</v>
      </c>
      <c r="C16473" s="12"/>
      <c r="D16473" s="13" t="n">
        <f aca="false">IF(B16473&lt;5,Einstellungen!$B$3,Einstellungen!$B$4)</f>
        <v>15.92</v>
      </c>
      <c r="E16473" s="14" t="str">
        <f aca="false">IF(C16473="","",C16473*D16473/100)</f>
        <v/>
      </c>
      <c r="F16473" s="15" t="str">
        <f aca="false">IF(B16473&lt;5,"Go","Standard")</f>
        <v>Go</v>
      </c>
    </row>
    <row r="16474" customFormat="false" ht="15" hidden="false" customHeight="true" outlineLevel="0" collapsed="false">
      <c r="A16474" s="10" t="n">
        <f aca="false">Einstellungen!$B$5+INT((ROW()-9)/24)</f>
        <v>46652</v>
      </c>
      <c r="B16474" s="11" t="n">
        <f aca="false">MOD(ROW()-9,24)</f>
        <v>1</v>
      </c>
      <c r="C16474" s="12"/>
      <c r="D16474" s="13" t="n">
        <f aca="false">IF(B16474&lt;5,Einstellungen!$B$3,Einstellungen!$B$4)</f>
        <v>15.92</v>
      </c>
      <c r="E16474" s="14" t="str">
        <f aca="false">IF(C16474="","",C16474*D16474/100)</f>
        <v/>
      </c>
      <c r="F16474" s="15" t="str">
        <f aca="false">IF(B16474&lt;5,"Go","Standard")</f>
        <v>Go</v>
      </c>
    </row>
    <row r="16475" customFormat="false" ht="15" hidden="false" customHeight="true" outlineLevel="0" collapsed="false">
      <c r="A16475" s="10" t="n">
        <f aca="false">Einstellungen!$B$5+INT((ROW()-9)/24)</f>
        <v>46652</v>
      </c>
      <c r="B16475" s="11" t="n">
        <f aca="false">MOD(ROW()-9,24)</f>
        <v>2</v>
      </c>
      <c r="C16475" s="12"/>
      <c r="D16475" s="13" t="n">
        <f aca="false">IF(B16475&lt;5,Einstellungen!$B$3,Einstellungen!$B$4)</f>
        <v>15.92</v>
      </c>
      <c r="E16475" s="14" t="str">
        <f aca="false">IF(C16475="","",C16475*D16475/100)</f>
        <v/>
      </c>
      <c r="F16475" s="15" t="str">
        <f aca="false">IF(B16475&lt;5,"Go","Standard")</f>
        <v>Go</v>
      </c>
    </row>
    <row r="16476" customFormat="false" ht="15" hidden="false" customHeight="true" outlineLevel="0" collapsed="false">
      <c r="A16476" s="10" t="n">
        <f aca="false">Einstellungen!$B$5+INT((ROW()-9)/24)</f>
        <v>46652</v>
      </c>
      <c r="B16476" s="11" t="n">
        <f aca="false">MOD(ROW()-9,24)</f>
        <v>3</v>
      </c>
      <c r="C16476" s="12"/>
      <c r="D16476" s="13" t="n">
        <f aca="false">IF(B16476&lt;5,Einstellungen!$B$3,Einstellungen!$B$4)</f>
        <v>15.92</v>
      </c>
      <c r="E16476" s="14" t="str">
        <f aca="false">IF(C16476="","",C16476*D16476/100)</f>
        <v/>
      </c>
      <c r="F16476" s="15" t="str">
        <f aca="false">IF(B16476&lt;5,"Go","Standard")</f>
        <v>Go</v>
      </c>
    </row>
    <row r="16477" customFormat="false" ht="15" hidden="false" customHeight="true" outlineLevel="0" collapsed="false">
      <c r="A16477" s="10" t="n">
        <f aca="false">Einstellungen!$B$5+INT((ROW()-9)/24)</f>
        <v>46652</v>
      </c>
      <c r="B16477" s="11" t="n">
        <f aca="false">MOD(ROW()-9,24)</f>
        <v>4</v>
      </c>
      <c r="C16477" s="12"/>
      <c r="D16477" s="13" t="n">
        <f aca="false">IF(B16477&lt;5,Einstellungen!$B$3,Einstellungen!$B$4)</f>
        <v>15.92</v>
      </c>
      <c r="E16477" s="14" t="str">
        <f aca="false">IF(C16477="","",C16477*D16477/100)</f>
        <v/>
      </c>
      <c r="F16477" s="15" t="str">
        <f aca="false">IF(B16477&lt;5,"Go","Standard")</f>
        <v>Go</v>
      </c>
    </row>
    <row r="16478" customFormat="false" ht="15" hidden="false" customHeight="true" outlineLevel="0" collapsed="false">
      <c r="A16478" s="10" t="n">
        <f aca="false">Einstellungen!$B$5+INT((ROW()-9)/24)</f>
        <v>46652</v>
      </c>
      <c r="B16478" s="11" t="n">
        <f aca="false">MOD(ROW()-9,24)</f>
        <v>5</v>
      </c>
      <c r="C16478" s="12"/>
      <c r="D16478" s="13" t="n">
        <f aca="false">IF(B16478&lt;5,Einstellungen!$B$3,Einstellungen!$B$4)</f>
        <v>29.13</v>
      </c>
      <c r="E16478" s="14" t="str">
        <f aca="false">IF(C16478="","",C16478*D16478/100)</f>
        <v/>
      </c>
      <c r="F16478" s="15" t="str">
        <f aca="false">IF(B16478&lt;5,"Go","Standard")</f>
        <v>Standard</v>
      </c>
    </row>
    <row r="16479" customFormat="false" ht="15" hidden="false" customHeight="true" outlineLevel="0" collapsed="false">
      <c r="A16479" s="10" t="n">
        <f aca="false">Einstellungen!$B$5+INT((ROW()-9)/24)</f>
        <v>46652</v>
      </c>
      <c r="B16479" s="11" t="n">
        <f aca="false">MOD(ROW()-9,24)</f>
        <v>6</v>
      </c>
      <c r="C16479" s="12"/>
      <c r="D16479" s="13" t="n">
        <f aca="false">IF(B16479&lt;5,Einstellungen!$B$3,Einstellungen!$B$4)</f>
        <v>29.13</v>
      </c>
      <c r="E16479" s="14" t="str">
        <f aca="false">IF(C16479="","",C16479*D16479/100)</f>
        <v/>
      </c>
      <c r="F16479" s="15" t="str">
        <f aca="false">IF(B16479&lt;5,"Go","Standard")</f>
        <v>Standard</v>
      </c>
    </row>
    <row r="16480" customFormat="false" ht="15" hidden="false" customHeight="true" outlineLevel="0" collapsed="false">
      <c r="A16480" s="10" t="n">
        <f aca="false">Einstellungen!$B$5+INT((ROW()-9)/24)</f>
        <v>46652</v>
      </c>
      <c r="B16480" s="11" t="n">
        <f aca="false">MOD(ROW()-9,24)</f>
        <v>7</v>
      </c>
      <c r="C16480" s="12"/>
      <c r="D16480" s="13" t="n">
        <f aca="false">IF(B16480&lt;5,Einstellungen!$B$3,Einstellungen!$B$4)</f>
        <v>29.13</v>
      </c>
      <c r="E16480" s="14" t="str">
        <f aca="false">IF(C16480="","",C16480*D16480/100)</f>
        <v/>
      </c>
      <c r="F16480" s="15" t="str">
        <f aca="false">IF(B16480&lt;5,"Go","Standard")</f>
        <v>Standard</v>
      </c>
    </row>
    <row r="16481" customFormat="false" ht="15" hidden="false" customHeight="true" outlineLevel="0" collapsed="false">
      <c r="A16481" s="10" t="n">
        <f aca="false">Einstellungen!$B$5+INT((ROW()-9)/24)</f>
        <v>46652</v>
      </c>
      <c r="B16481" s="11" t="n">
        <f aca="false">MOD(ROW()-9,24)</f>
        <v>8</v>
      </c>
      <c r="C16481" s="12"/>
      <c r="D16481" s="13" t="n">
        <f aca="false">IF(B16481&lt;5,Einstellungen!$B$3,Einstellungen!$B$4)</f>
        <v>29.13</v>
      </c>
      <c r="E16481" s="14" t="str">
        <f aca="false">IF(C16481="","",C16481*D16481/100)</f>
        <v/>
      </c>
      <c r="F16481" s="15" t="str">
        <f aca="false">IF(B16481&lt;5,"Go","Standard")</f>
        <v>Standard</v>
      </c>
    </row>
    <row r="16482" customFormat="false" ht="15" hidden="false" customHeight="true" outlineLevel="0" collapsed="false">
      <c r="A16482" s="10" t="n">
        <f aca="false">Einstellungen!$B$5+INT((ROW()-9)/24)</f>
        <v>46652</v>
      </c>
      <c r="B16482" s="11" t="n">
        <f aca="false">MOD(ROW()-9,24)</f>
        <v>9</v>
      </c>
      <c r="C16482" s="12"/>
      <c r="D16482" s="13" t="n">
        <f aca="false">IF(B16482&lt;5,Einstellungen!$B$3,Einstellungen!$B$4)</f>
        <v>29.13</v>
      </c>
      <c r="E16482" s="14" t="str">
        <f aca="false">IF(C16482="","",C16482*D16482/100)</f>
        <v/>
      </c>
      <c r="F16482" s="15" t="str">
        <f aca="false">IF(B16482&lt;5,"Go","Standard")</f>
        <v>Standard</v>
      </c>
    </row>
    <row r="16483" customFormat="false" ht="15" hidden="false" customHeight="true" outlineLevel="0" collapsed="false">
      <c r="A16483" s="10" t="n">
        <f aca="false">Einstellungen!$B$5+INT((ROW()-9)/24)</f>
        <v>46652</v>
      </c>
      <c r="B16483" s="11" t="n">
        <f aca="false">MOD(ROW()-9,24)</f>
        <v>10</v>
      </c>
      <c r="C16483" s="12"/>
      <c r="D16483" s="13" t="n">
        <f aca="false">IF(B16483&lt;5,Einstellungen!$B$3,Einstellungen!$B$4)</f>
        <v>29.13</v>
      </c>
      <c r="E16483" s="14" t="str">
        <f aca="false">IF(C16483="","",C16483*D16483/100)</f>
        <v/>
      </c>
      <c r="F16483" s="15" t="str">
        <f aca="false">IF(B16483&lt;5,"Go","Standard")</f>
        <v>Standard</v>
      </c>
    </row>
    <row r="16484" customFormat="false" ht="15" hidden="false" customHeight="true" outlineLevel="0" collapsed="false">
      <c r="A16484" s="10" t="n">
        <f aca="false">Einstellungen!$B$5+INT((ROW()-9)/24)</f>
        <v>46652</v>
      </c>
      <c r="B16484" s="11" t="n">
        <f aca="false">MOD(ROW()-9,24)</f>
        <v>11</v>
      </c>
      <c r="C16484" s="12"/>
      <c r="D16484" s="13" t="n">
        <f aca="false">IF(B16484&lt;5,Einstellungen!$B$3,Einstellungen!$B$4)</f>
        <v>29.13</v>
      </c>
      <c r="E16484" s="14" t="str">
        <f aca="false">IF(C16484="","",C16484*D16484/100)</f>
        <v/>
      </c>
      <c r="F16484" s="15" t="str">
        <f aca="false">IF(B16484&lt;5,"Go","Standard")</f>
        <v>Standard</v>
      </c>
    </row>
    <row r="16485" customFormat="false" ht="15" hidden="false" customHeight="true" outlineLevel="0" collapsed="false">
      <c r="A16485" s="10" t="n">
        <f aca="false">Einstellungen!$B$5+INT((ROW()-9)/24)</f>
        <v>46652</v>
      </c>
      <c r="B16485" s="11" t="n">
        <f aca="false">MOD(ROW()-9,24)</f>
        <v>12</v>
      </c>
      <c r="C16485" s="12"/>
      <c r="D16485" s="13" t="n">
        <f aca="false">IF(B16485&lt;5,Einstellungen!$B$3,Einstellungen!$B$4)</f>
        <v>29.13</v>
      </c>
      <c r="E16485" s="14" t="str">
        <f aca="false">IF(C16485="","",C16485*D16485/100)</f>
        <v/>
      </c>
      <c r="F16485" s="15" t="str">
        <f aca="false">IF(B16485&lt;5,"Go","Standard")</f>
        <v>Standard</v>
      </c>
    </row>
    <row r="16486" customFormat="false" ht="15" hidden="false" customHeight="true" outlineLevel="0" collapsed="false">
      <c r="A16486" s="10" t="n">
        <f aca="false">Einstellungen!$B$5+INT((ROW()-9)/24)</f>
        <v>46652</v>
      </c>
      <c r="B16486" s="11" t="n">
        <f aca="false">MOD(ROW()-9,24)</f>
        <v>13</v>
      </c>
      <c r="C16486" s="12"/>
      <c r="D16486" s="13" t="n">
        <f aca="false">IF(B16486&lt;5,Einstellungen!$B$3,Einstellungen!$B$4)</f>
        <v>29.13</v>
      </c>
      <c r="E16486" s="14" t="str">
        <f aca="false">IF(C16486="","",C16486*D16486/100)</f>
        <v/>
      </c>
      <c r="F16486" s="15" t="str">
        <f aca="false">IF(B16486&lt;5,"Go","Standard")</f>
        <v>Standard</v>
      </c>
    </row>
    <row r="16487" customFormat="false" ht="15" hidden="false" customHeight="true" outlineLevel="0" collapsed="false">
      <c r="A16487" s="10" t="n">
        <f aca="false">Einstellungen!$B$5+INT((ROW()-9)/24)</f>
        <v>46652</v>
      </c>
      <c r="B16487" s="11" t="n">
        <f aca="false">MOD(ROW()-9,24)</f>
        <v>14</v>
      </c>
      <c r="C16487" s="12"/>
      <c r="D16487" s="13" t="n">
        <f aca="false">IF(B16487&lt;5,Einstellungen!$B$3,Einstellungen!$B$4)</f>
        <v>29.13</v>
      </c>
      <c r="E16487" s="14" t="str">
        <f aca="false">IF(C16487="","",C16487*D16487/100)</f>
        <v/>
      </c>
      <c r="F16487" s="15" t="str">
        <f aca="false">IF(B16487&lt;5,"Go","Standard")</f>
        <v>Standard</v>
      </c>
    </row>
    <row r="16488" customFormat="false" ht="15" hidden="false" customHeight="true" outlineLevel="0" collapsed="false">
      <c r="A16488" s="10" t="n">
        <f aca="false">Einstellungen!$B$5+INT((ROW()-9)/24)</f>
        <v>46652</v>
      </c>
      <c r="B16488" s="11" t="n">
        <f aca="false">MOD(ROW()-9,24)</f>
        <v>15</v>
      </c>
      <c r="C16488" s="12"/>
      <c r="D16488" s="13" t="n">
        <f aca="false">IF(B16488&lt;5,Einstellungen!$B$3,Einstellungen!$B$4)</f>
        <v>29.13</v>
      </c>
      <c r="E16488" s="14" t="str">
        <f aca="false">IF(C16488="","",C16488*D16488/100)</f>
        <v/>
      </c>
      <c r="F16488" s="15" t="str">
        <f aca="false">IF(B16488&lt;5,"Go","Standard")</f>
        <v>Standard</v>
      </c>
    </row>
    <row r="16489" customFormat="false" ht="15" hidden="false" customHeight="true" outlineLevel="0" collapsed="false">
      <c r="A16489" s="10" t="n">
        <f aca="false">Einstellungen!$B$5+INT((ROW()-9)/24)</f>
        <v>46652</v>
      </c>
      <c r="B16489" s="11" t="n">
        <f aca="false">MOD(ROW()-9,24)</f>
        <v>16</v>
      </c>
      <c r="C16489" s="12"/>
      <c r="D16489" s="13" t="n">
        <f aca="false">IF(B16489&lt;5,Einstellungen!$B$3,Einstellungen!$B$4)</f>
        <v>29.13</v>
      </c>
      <c r="E16489" s="14" t="str">
        <f aca="false">IF(C16489="","",C16489*D16489/100)</f>
        <v/>
      </c>
      <c r="F16489" s="15" t="str">
        <f aca="false">IF(B16489&lt;5,"Go","Standard")</f>
        <v>Standard</v>
      </c>
    </row>
    <row r="16490" customFormat="false" ht="15" hidden="false" customHeight="true" outlineLevel="0" collapsed="false">
      <c r="A16490" s="10" t="n">
        <f aca="false">Einstellungen!$B$5+INT((ROW()-9)/24)</f>
        <v>46652</v>
      </c>
      <c r="B16490" s="11" t="n">
        <f aca="false">MOD(ROW()-9,24)</f>
        <v>17</v>
      </c>
      <c r="C16490" s="12"/>
      <c r="D16490" s="13" t="n">
        <f aca="false">IF(B16490&lt;5,Einstellungen!$B$3,Einstellungen!$B$4)</f>
        <v>29.13</v>
      </c>
      <c r="E16490" s="14" t="str">
        <f aca="false">IF(C16490="","",C16490*D16490/100)</f>
        <v/>
      </c>
      <c r="F16490" s="15" t="str">
        <f aca="false">IF(B16490&lt;5,"Go","Standard")</f>
        <v>Standard</v>
      </c>
    </row>
    <row r="16491" customFormat="false" ht="15" hidden="false" customHeight="true" outlineLevel="0" collapsed="false">
      <c r="A16491" s="10" t="n">
        <f aca="false">Einstellungen!$B$5+INT((ROW()-9)/24)</f>
        <v>46652</v>
      </c>
      <c r="B16491" s="11" t="n">
        <f aca="false">MOD(ROW()-9,24)</f>
        <v>18</v>
      </c>
      <c r="C16491" s="12"/>
      <c r="D16491" s="13" t="n">
        <f aca="false">IF(B16491&lt;5,Einstellungen!$B$3,Einstellungen!$B$4)</f>
        <v>29.13</v>
      </c>
      <c r="E16491" s="14" t="str">
        <f aca="false">IF(C16491="","",C16491*D16491/100)</f>
        <v/>
      </c>
      <c r="F16491" s="15" t="str">
        <f aca="false">IF(B16491&lt;5,"Go","Standard")</f>
        <v>Standard</v>
      </c>
    </row>
    <row r="16492" customFormat="false" ht="15" hidden="false" customHeight="true" outlineLevel="0" collapsed="false">
      <c r="A16492" s="10" t="n">
        <f aca="false">Einstellungen!$B$5+INT((ROW()-9)/24)</f>
        <v>46652</v>
      </c>
      <c r="B16492" s="11" t="n">
        <f aca="false">MOD(ROW()-9,24)</f>
        <v>19</v>
      </c>
      <c r="C16492" s="12"/>
      <c r="D16492" s="13" t="n">
        <f aca="false">IF(B16492&lt;5,Einstellungen!$B$3,Einstellungen!$B$4)</f>
        <v>29.13</v>
      </c>
      <c r="E16492" s="14" t="str">
        <f aca="false">IF(C16492="","",C16492*D16492/100)</f>
        <v/>
      </c>
      <c r="F16492" s="15" t="str">
        <f aca="false">IF(B16492&lt;5,"Go","Standard")</f>
        <v>Standard</v>
      </c>
    </row>
    <row r="16493" customFormat="false" ht="15" hidden="false" customHeight="true" outlineLevel="0" collapsed="false">
      <c r="A16493" s="10" t="n">
        <f aca="false">Einstellungen!$B$5+INT((ROW()-9)/24)</f>
        <v>46652</v>
      </c>
      <c r="B16493" s="11" t="n">
        <f aca="false">MOD(ROW()-9,24)</f>
        <v>20</v>
      </c>
      <c r="C16493" s="12"/>
      <c r="D16493" s="13" t="n">
        <f aca="false">IF(B16493&lt;5,Einstellungen!$B$3,Einstellungen!$B$4)</f>
        <v>29.13</v>
      </c>
      <c r="E16493" s="14" t="str">
        <f aca="false">IF(C16493="","",C16493*D16493/100)</f>
        <v/>
      </c>
      <c r="F16493" s="15" t="str">
        <f aca="false">IF(B16493&lt;5,"Go","Standard")</f>
        <v>Standard</v>
      </c>
    </row>
    <row r="16494" customFormat="false" ht="15" hidden="false" customHeight="true" outlineLevel="0" collapsed="false">
      <c r="A16494" s="10" t="n">
        <f aca="false">Einstellungen!$B$5+INT((ROW()-9)/24)</f>
        <v>46652</v>
      </c>
      <c r="B16494" s="11" t="n">
        <f aca="false">MOD(ROW()-9,24)</f>
        <v>21</v>
      </c>
      <c r="C16494" s="12"/>
      <c r="D16494" s="13" t="n">
        <f aca="false">IF(B16494&lt;5,Einstellungen!$B$3,Einstellungen!$B$4)</f>
        <v>29.13</v>
      </c>
      <c r="E16494" s="14" t="str">
        <f aca="false">IF(C16494="","",C16494*D16494/100)</f>
        <v/>
      </c>
      <c r="F16494" s="15" t="str">
        <f aca="false">IF(B16494&lt;5,"Go","Standard")</f>
        <v>Standard</v>
      </c>
    </row>
    <row r="16495" customFormat="false" ht="15" hidden="false" customHeight="true" outlineLevel="0" collapsed="false">
      <c r="A16495" s="10" t="n">
        <f aca="false">Einstellungen!$B$5+INT((ROW()-9)/24)</f>
        <v>46652</v>
      </c>
      <c r="B16495" s="11" t="n">
        <f aca="false">MOD(ROW()-9,24)</f>
        <v>22</v>
      </c>
      <c r="C16495" s="12"/>
      <c r="D16495" s="13" t="n">
        <f aca="false">IF(B16495&lt;5,Einstellungen!$B$3,Einstellungen!$B$4)</f>
        <v>29.13</v>
      </c>
      <c r="E16495" s="14" t="str">
        <f aca="false">IF(C16495="","",C16495*D16495/100)</f>
        <v/>
      </c>
      <c r="F16495" s="15" t="str">
        <f aca="false">IF(B16495&lt;5,"Go","Standard")</f>
        <v>Standard</v>
      </c>
    </row>
    <row r="16496" customFormat="false" ht="15" hidden="false" customHeight="true" outlineLevel="0" collapsed="false">
      <c r="A16496" s="10" t="n">
        <f aca="false">Einstellungen!$B$5+INT((ROW()-9)/24)</f>
        <v>46652</v>
      </c>
      <c r="B16496" s="11" t="n">
        <f aca="false">MOD(ROW()-9,24)</f>
        <v>23</v>
      </c>
      <c r="C16496" s="12"/>
      <c r="D16496" s="13" t="n">
        <f aca="false">IF(B16496&lt;5,Einstellungen!$B$3,Einstellungen!$B$4)</f>
        <v>29.13</v>
      </c>
      <c r="E16496" s="14" t="str">
        <f aca="false">IF(C16496="","",C16496*D16496/100)</f>
        <v/>
      </c>
      <c r="F16496" s="15" t="str">
        <f aca="false">IF(B16496&lt;5,"Go","Standard")</f>
        <v>Standard</v>
      </c>
    </row>
    <row r="16497" customFormat="false" ht="15" hidden="false" customHeight="true" outlineLevel="0" collapsed="false">
      <c r="A16497" s="10" t="n">
        <f aca="false">Einstellungen!$B$5+INT((ROW()-9)/24)</f>
        <v>46653</v>
      </c>
      <c r="B16497" s="11" t="n">
        <f aca="false">MOD(ROW()-9,24)</f>
        <v>0</v>
      </c>
      <c r="C16497" s="12"/>
      <c r="D16497" s="13" t="n">
        <f aca="false">IF(B16497&lt;5,Einstellungen!$B$3,Einstellungen!$B$4)</f>
        <v>15.92</v>
      </c>
      <c r="E16497" s="14" t="str">
        <f aca="false">IF(C16497="","",C16497*D16497/100)</f>
        <v/>
      </c>
      <c r="F16497" s="15" t="str">
        <f aca="false">IF(B16497&lt;5,"Go","Standard")</f>
        <v>Go</v>
      </c>
    </row>
    <row r="16498" customFormat="false" ht="15" hidden="false" customHeight="true" outlineLevel="0" collapsed="false">
      <c r="A16498" s="10" t="n">
        <f aca="false">Einstellungen!$B$5+INT((ROW()-9)/24)</f>
        <v>46653</v>
      </c>
      <c r="B16498" s="11" t="n">
        <f aca="false">MOD(ROW()-9,24)</f>
        <v>1</v>
      </c>
      <c r="C16498" s="12"/>
      <c r="D16498" s="13" t="n">
        <f aca="false">IF(B16498&lt;5,Einstellungen!$B$3,Einstellungen!$B$4)</f>
        <v>15.92</v>
      </c>
      <c r="E16498" s="14" t="str">
        <f aca="false">IF(C16498="","",C16498*D16498/100)</f>
        <v/>
      </c>
      <c r="F16498" s="15" t="str">
        <f aca="false">IF(B16498&lt;5,"Go","Standard")</f>
        <v>Go</v>
      </c>
    </row>
    <row r="16499" customFormat="false" ht="15" hidden="false" customHeight="true" outlineLevel="0" collapsed="false">
      <c r="A16499" s="10" t="n">
        <f aca="false">Einstellungen!$B$5+INT((ROW()-9)/24)</f>
        <v>46653</v>
      </c>
      <c r="B16499" s="11" t="n">
        <f aca="false">MOD(ROW()-9,24)</f>
        <v>2</v>
      </c>
      <c r="C16499" s="12"/>
      <c r="D16499" s="13" t="n">
        <f aca="false">IF(B16499&lt;5,Einstellungen!$B$3,Einstellungen!$B$4)</f>
        <v>15.92</v>
      </c>
      <c r="E16499" s="14" t="str">
        <f aca="false">IF(C16499="","",C16499*D16499/100)</f>
        <v/>
      </c>
      <c r="F16499" s="15" t="str">
        <f aca="false">IF(B16499&lt;5,"Go","Standard")</f>
        <v>Go</v>
      </c>
    </row>
    <row r="16500" customFormat="false" ht="15" hidden="false" customHeight="true" outlineLevel="0" collapsed="false">
      <c r="A16500" s="10" t="n">
        <f aca="false">Einstellungen!$B$5+INT((ROW()-9)/24)</f>
        <v>46653</v>
      </c>
      <c r="B16500" s="11" t="n">
        <f aca="false">MOD(ROW()-9,24)</f>
        <v>3</v>
      </c>
      <c r="C16500" s="12"/>
      <c r="D16500" s="13" t="n">
        <f aca="false">IF(B16500&lt;5,Einstellungen!$B$3,Einstellungen!$B$4)</f>
        <v>15.92</v>
      </c>
      <c r="E16500" s="14" t="str">
        <f aca="false">IF(C16500="","",C16500*D16500/100)</f>
        <v/>
      </c>
      <c r="F16500" s="15" t="str">
        <f aca="false">IF(B16500&lt;5,"Go","Standard")</f>
        <v>Go</v>
      </c>
    </row>
    <row r="16501" customFormat="false" ht="15" hidden="false" customHeight="true" outlineLevel="0" collapsed="false">
      <c r="A16501" s="10" t="n">
        <f aca="false">Einstellungen!$B$5+INT((ROW()-9)/24)</f>
        <v>46653</v>
      </c>
      <c r="B16501" s="11" t="n">
        <f aca="false">MOD(ROW()-9,24)</f>
        <v>4</v>
      </c>
      <c r="C16501" s="12"/>
      <c r="D16501" s="13" t="n">
        <f aca="false">IF(B16501&lt;5,Einstellungen!$B$3,Einstellungen!$B$4)</f>
        <v>15.92</v>
      </c>
      <c r="E16501" s="14" t="str">
        <f aca="false">IF(C16501="","",C16501*D16501/100)</f>
        <v/>
      </c>
      <c r="F16501" s="15" t="str">
        <f aca="false">IF(B16501&lt;5,"Go","Standard")</f>
        <v>Go</v>
      </c>
    </row>
    <row r="16502" customFormat="false" ht="15" hidden="false" customHeight="true" outlineLevel="0" collapsed="false">
      <c r="A16502" s="10" t="n">
        <f aca="false">Einstellungen!$B$5+INT((ROW()-9)/24)</f>
        <v>46653</v>
      </c>
      <c r="B16502" s="11" t="n">
        <f aca="false">MOD(ROW()-9,24)</f>
        <v>5</v>
      </c>
      <c r="C16502" s="12"/>
      <c r="D16502" s="13" t="n">
        <f aca="false">IF(B16502&lt;5,Einstellungen!$B$3,Einstellungen!$B$4)</f>
        <v>29.13</v>
      </c>
      <c r="E16502" s="14" t="str">
        <f aca="false">IF(C16502="","",C16502*D16502/100)</f>
        <v/>
      </c>
      <c r="F16502" s="15" t="str">
        <f aca="false">IF(B16502&lt;5,"Go","Standard")</f>
        <v>Standard</v>
      </c>
    </row>
    <row r="16503" customFormat="false" ht="15" hidden="false" customHeight="true" outlineLevel="0" collapsed="false">
      <c r="A16503" s="10" t="n">
        <f aca="false">Einstellungen!$B$5+INT((ROW()-9)/24)</f>
        <v>46653</v>
      </c>
      <c r="B16503" s="11" t="n">
        <f aca="false">MOD(ROW()-9,24)</f>
        <v>6</v>
      </c>
      <c r="C16503" s="12"/>
      <c r="D16503" s="13" t="n">
        <f aca="false">IF(B16503&lt;5,Einstellungen!$B$3,Einstellungen!$B$4)</f>
        <v>29.13</v>
      </c>
      <c r="E16503" s="14" t="str">
        <f aca="false">IF(C16503="","",C16503*D16503/100)</f>
        <v/>
      </c>
      <c r="F16503" s="15" t="str">
        <f aca="false">IF(B16503&lt;5,"Go","Standard")</f>
        <v>Standard</v>
      </c>
    </row>
    <row r="16504" customFormat="false" ht="15" hidden="false" customHeight="true" outlineLevel="0" collapsed="false">
      <c r="A16504" s="10" t="n">
        <f aca="false">Einstellungen!$B$5+INT((ROW()-9)/24)</f>
        <v>46653</v>
      </c>
      <c r="B16504" s="11" t="n">
        <f aca="false">MOD(ROW()-9,24)</f>
        <v>7</v>
      </c>
      <c r="C16504" s="12"/>
      <c r="D16504" s="13" t="n">
        <f aca="false">IF(B16504&lt;5,Einstellungen!$B$3,Einstellungen!$B$4)</f>
        <v>29.13</v>
      </c>
      <c r="E16504" s="14" t="str">
        <f aca="false">IF(C16504="","",C16504*D16504/100)</f>
        <v/>
      </c>
      <c r="F16504" s="15" t="str">
        <f aca="false">IF(B16504&lt;5,"Go","Standard")</f>
        <v>Standard</v>
      </c>
    </row>
    <row r="16505" customFormat="false" ht="15" hidden="false" customHeight="true" outlineLevel="0" collapsed="false">
      <c r="A16505" s="10" t="n">
        <f aca="false">Einstellungen!$B$5+INT((ROW()-9)/24)</f>
        <v>46653</v>
      </c>
      <c r="B16505" s="11" t="n">
        <f aca="false">MOD(ROW()-9,24)</f>
        <v>8</v>
      </c>
      <c r="C16505" s="12"/>
      <c r="D16505" s="13" t="n">
        <f aca="false">IF(B16505&lt;5,Einstellungen!$B$3,Einstellungen!$B$4)</f>
        <v>29.13</v>
      </c>
      <c r="E16505" s="14" t="str">
        <f aca="false">IF(C16505="","",C16505*D16505/100)</f>
        <v/>
      </c>
      <c r="F16505" s="15" t="str">
        <f aca="false">IF(B16505&lt;5,"Go","Standard")</f>
        <v>Standard</v>
      </c>
    </row>
    <row r="16506" customFormat="false" ht="15" hidden="false" customHeight="true" outlineLevel="0" collapsed="false">
      <c r="A16506" s="10" t="n">
        <f aca="false">Einstellungen!$B$5+INT((ROW()-9)/24)</f>
        <v>46653</v>
      </c>
      <c r="B16506" s="11" t="n">
        <f aca="false">MOD(ROW()-9,24)</f>
        <v>9</v>
      </c>
      <c r="C16506" s="12"/>
      <c r="D16506" s="13" t="n">
        <f aca="false">IF(B16506&lt;5,Einstellungen!$B$3,Einstellungen!$B$4)</f>
        <v>29.13</v>
      </c>
      <c r="E16506" s="14" t="str">
        <f aca="false">IF(C16506="","",C16506*D16506/100)</f>
        <v/>
      </c>
      <c r="F16506" s="15" t="str">
        <f aca="false">IF(B16506&lt;5,"Go","Standard")</f>
        <v>Standard</v>
      </c>
    </row>
    <row r="16507" customFormat="false" ht="15" hidden="false" customHeight="true" outlineLevel="0" collapsed="false">
      <c r="A16507" s="10" t="n">
        <f aca="false">Einstellungen!$B$5+INT((ROW()-9)/24)</f>
        <v>46653</v>
      </c>
      <c r="B16507" s="11" t="n">
        <f aca="false">MOD(ROW()-9,24)</f>
        <v>10</v>
      </c>
      <c r="C16507" s="12"/>
      <c r="D16507" s="13" t="n">
        <f aca="false">IF(B16507&lt;5,Einstellungen!$B$3,Einstellungen!$B$4)</f>
        <v>29.13</v>
      </c>
      <c r="E16507" s="14" t="str">
        <f aca="false">IF(C16507="","",C16507*D16507/100)</f>
        <v/>
      </c>
      <c r="F16507" s="15" t="str">
        <f aca="false">IF(B16507&lt;5,"Go","Standard")</f>
        <v>Standard</v>
      </c>
    </row>
    <row r="16508" customFormat="false" ht="15" hidden="false" customHeight="true" outlineLevel="0" collapsed="false">
      <c r="A16508" s="10" t="n">
        <f aca="false">Einstellungen!$B$5+INT((ROW()-9)/24)</f>
        <v>46653</v>
      </c>
      <c r="B16508" s="11" t="n">
        <f aca="false">MOD(ROW()-9,24)</f>
        <v>11</v>
      </c>
      <c r="C16508" s="12"/>
      <c r="D16508" s="13" t="n">
        <f aca="false">IF(B16508&lt;5,Einstellungen!$B$3,Einstellungen!$B$4)</f>
        <v>29.13</v>
      </c>
      <c r="E16508" s="14" t="str">
        <f aca="false">IF(C16508="","",C16508*D16508/100)</f>
        <v/>
      </c>
      <c r="F16508" s="15" t="str">
        <f aca="false">IF(B16508&lt;5,"Go","Standard")</f>
        <v>Standard</v>
      </c>
    </row>
    <row r="16509" customFormat="false" ht="15" hidden="false" customHeight="true" outlineLevel="0" collapsed="false">
      <c r="A16509" s="10" t="n">
        <f aca="false">Einstellungen!$B$5+INT((ROW()-9)/24)</f>
        <v>46653</v>
      </c>
      <c r="B16509" s="11" t="n">
        <f aca="false">MOD(ROW()-9,24)</f>
        <v>12</v>
      </c>
      <c r="C16509" s="12"/>
      <c r="D16509" s="13" t="n">
        <f aca="false">IF(B16509&lt;5,Einstellungen!$B$3,Einstellungen!$B$4)</f>
        <v>29.13</v>
      </c>
      <c r="E16509" s="14" t="str">
        <f aca="false">IF(C16509="","",C16509*D16509/100)</f>
        <v/>
      </c>
      <c r="F16509" s="15" t="str">
        <f aca="false">IF(B16509&lt;5,"Go","Standard")</f>
        <v>Standard</v>
      </c>
    </row>
    <row r="16510" customFormat="false" ht="15" hidden="false" customHeight="true" outlineLevel="0" collapsed="false">
      <c r="A16510" s="10" t="n">
        <f aca="false">Einstellungen!$B$5+INT((ROW()-9)/24)</f>
        <v>46653</v>
      </c>
      <c r="B16510" s="11" t="n">
        <f aca="false">MOD(ROW()-9,24)</f>
        <v>13</v>
      </c>
      <c r="C16510" s="12"/>
      <c r="D16510" s="13" t="n">
        <f aca="false">IF(B16510&lt;5,Einstellungen!$B$3,Einstellungen!$B$4)</f>
        <v>29.13</v>
      </c>
      <c r="E16510" s="14" t="str">
        <f aca="false">IF(C16510="","",C16510*D16510/100)</f>
        <v/>
      </c>
      <c r="F16510" s="15" t="str">
        <f aca="false">IF(B16510&lt;5,"Go","Standard")</f>
        <v>Standard</v>
      </c>
    </row>
    <row r="16511" customFormat="false" ht="15" hidden="false" customHeight="true" outlineLevel="0" collapsed="false">
      <c r="A16511" s="10" t="n">
        <f aca="false">Einstellungen!$B$5+INT((ROW()-9)/24)</f>
        <v>46653</v>
      </c>
      <c r="B16511" s="11" t="n">
        <f aca="false">MOD(ROW()-9,24)</f>
        <v>14</v>
      </c>
      <c r="C16511" s="12"/>
      <c r="D16511" s="13" t="n">
        <f aca="false">IF(B16511&lt;5,Einstellungen!$B$3,Einstellungen!$B$4)</f>
        <v>29.13</v>
      </c>
      <c r="E16511" s="14" t="str">
        <f aca="false">IF(C16511="","",C16511*D16511/100)</f>
        <v/>
      </c>
      <c r="F16511" s="15" t="str">
        <f aca="false">IF(B16511&lt;5,"Go","Standard")</f>
        <v>Standard</v>
      </c>
    </row>
    <row r="16512" customFormat="false" ht="15" hidden="false" customHeight="true" outlineLevel="0" collapsed="false">
      <c r="A16512" s="10" t="n">
        <f aca="false">Einstellungen!$B$5+INT((ROW()-9)/24)</f>
        <v>46653</v>
      </c>
      <c r="B16512" s="11" t="n">
        <f aca="false">MOD(ROW()-9,24)</f>
        <v>15</v>
      </c>
      <c r="C16512" s="12"/>
      <c r="D16512" s="13" t="n">
        <f aca="false">IF(B16512&lt;5,Einstellungen!$B$3,Einstellungen!$B$4)</f>
        <v>29.13</v>
      </c>
      <c r="E16512" s="14" t="str">
        <f aca="false">IF(C16512="","",C16512*D16512/100)</f>
        <v/>
      </c>
      <c r="F16512" s="15" t="str">
        <f aca="false">IF(B16512&lt;5,"Go","Standard")</f>
        <v>Standard</v>
      </c>
    </row>
    <row r="16513" customFormat="false" ht="15" hidden="false" customHeight="true" outlineLevel="0" collapsed="false">
      <c r="A16513" s="10" t="n">
        <f aca="false">Einstellungen!$B$5+INT((ROW()-9)/24)</f>
        <v>46653</v>
      </c>
      <c r="B16513" s="11" t="n">
        <f aca="false">MOD(ROW()-9,24)</f>
        <v>16</v>
      </c>
      <c r="C16513" s="12"/>
      <c r="D16513" s="13" t="n">
        <f aca="false">IF(B16513&lt;5,Einstellungen!$B$3,Einstellungen!$B$4)</f>
        <v>29.13</v>
      </c>
      <c r="E16513" s="14" t="str">
        <f aca="false">IF(C16513="","",C16513*D16513/100)</f>
        <v/>
      </c>
      <c r="F16513" s="15" t="str">
        <f aca="false">IF(B16513&lt;5,"Go","Standard")</f>
        <v>Standard</v>
      </c>
    </row>
    <row r="16514" customFormat="false" ht="15" hidden="false" customHeight="true" outlineLevel="0" collapsed="false">
      <c r="A16514" s="10" t="n">
        <f aca="false">Einstellungen!$B$5+INT((ROW()-9)/24)</f>
        <v>46653</v>
      </c>
      <c r="B16514" s="11" t="n">
        <f aca="false">MOD(ROW()-9,24)</f>
        <v>17</v>
      </c>
      <c r="C16514" s="12"/>
      <c r="D16514" s="13" t="n">
        <f aca="false">IF(B16514&lt;5,Einstellungen!$B$3,Einstellungen!$B$4)</f>
        <v>29.13</v>
      </c>
      <c r="E16514" s="14" t="str">
        <f aca="false">IF(C16514="","",C16514*D16514/100)</f>
        <v/>
      </c>
      <c r="F16514" s="15" t="str">
        <f aca="false">IF(B16514&lt;5,"Go","Standard")</f>
        <v>Standard</v>
      </c>
    </row>
    <row r="16515" customFormat="false" ht="15" hidden="false" customHeight="true" outlineLevel="0" collapsed="false">
      <c r="A16515" s="10" t="n">
        <f aca="false">Einstellungen!$B$5+INT((ROW()-9)/24)</f>
        <v>46653</v>
      </c>
      <c r="B16515" s="11" t="n">
        <f aca="false">MOD(ROW()-9,24)</f>
        <v>18</v>
      </c>
      <c r="C16515" s="12"/>
      <c r="D16515" s="13" t="n">
        <f aca="false">IF(B16515&lt;5,Einstellungen!$B$3,Einstellungen!$B$4)</f>
        <v>29.13</v>
      </c>
      <c r="E16515" s="14" t="str">
        <f aca="false">IF(C16515="","",C16515*D16515/100)</f>
        <v/>
      </c>
      <c r="F16515" s="15" t="str">
        <f aca="false">IF(B16515&lt;5,"Go","Standard")</f>
        <v>Standard</v>
      </c>
    </row>
    <row r="16516" customFormat="false" ht="15" hidden="false" customHeight="true" outlineLevel="0" collapsed="false">
      <c r="A16516" s="10" t="n">
        <f aca="false">Einstellungen!$B$5+INT((ROW()-9)/24)</f>
        <v>46653</v>
      </c>
      <c r="B16516" s="11" t="n">
        <f aca="false">MOD(ROW()-9,24)</f>
        <v>19</v>
      </c>
      <c r="C16516" s="12"/>
      <c r="D16516" s="13" t="n">
        <f aca="false">IF(B16516&lt;5,Einstellungen!$B$3,Einstellungen!$B$4)</f>
        <v>29.13</v>
      </c>
      <c r="E16516" s="14" t="str">
        <f aca="false">IF(C16516="","",C16516*D16516/100)</f>
        <v/>
      </c>
      <c r="F16516" s="15" t="str">
        <f aca="false">IF(B16516&lt;5,"Go","Standard")</f>
        <v>Standard</v>
      </c>
    </row>
    <row r="16517" customFormat="false" ht="15" hidden="false" customHeight="true" outlineLevel="0" collapsed="false">
      <c r="A16517" s="10" t="n">
        <f aca="false">Einstellungen!$B$5+INT((ROW()-9)/24)</f>
        <v>46653</v>
      </c>
      <c r="B16517" s="11" t="n">
        <f aca="false">MOD(ROW()-9,24)</f>
        <v>20</v>
      </c>
      <c r="C16517" s="12"/>
      <c r="D16517" s="13" t="n">
        <f aca="false">IF(B16517&lt;5,Einstellungen!$B$3,Einstellungen!$B$4)</f>
        <v>29.13</v>
      </c>
      <c r="E16517" s="14" t="str">
        <f aca="false">IF(C16517="","",C16517*D16517/100)</f>
        <v/>
      </c>
      <c r="F16517" s="15" t="str">
        <f aca="false">IF(B16517&lt;5,"Go","Standard")</f>
        <v>Standard</v>
      </c>
    </row>
    <row r="16518" customFormat="false" ht="15" hidden="false" customHeight="true" outlineLevel="0" collapsed="false">
      <c r="A16518" s="10" t="n">
        <f aca="false">Einstellungen!$B$5+INT((ROW()-9)/24)</f>
        <v>46653</v>
      </c>
      <c r="B16518" s="11" t="n">
        <f aca="false">MOD(ROW()-9,24)</f>
        <v>21</v>
      </c>
      <c r="C16518" s="12"/>
      <c r="D16518" s="13" t="n">
        <f aca="false">IF(B16518&lt;5,Einstellungen!$B$3,Einstellungen!$B$4)</f>
        <v>29.13</v>
      </c>
      <c r="E16518" s="14" t="str">
        <f aca="false">IF(C16518="","",C16518*D16518/100)</f>
        <v/>
      </c>
      <c r="F16518" s="15" t="str">
        <f aca="false">IF(B16518&lt;5,"Go","Standard")</f>
        <v>Standard</v>
      </c>
    </row>
    <row r="16519" customFormat="false" ht="15" hidden="false" customHeight="true" outlineLevel="0" collapsed="false">
      <c r="A16519" s="10" t="n">
        <f aca="false">Einstellungen!$B$5+INT((ROW()-9)/24)</f>
        <v>46653</v>
      </c>
      <c r="B16519" s="11" t="n">
        <f aca="false">MOD(ROW()-9,24)</f>
        <v>22</v>
      </c>
      <c r="C16519" s="12"/>
      <c r="D16519" s="13" t="n">
        <f aca="false">IF(B16519&lt;5,Einstellungen!$B$3,Einstellungen!$B$4)</f>
        <v>29.13</v>
      </c>
      <c r="E16519" s="14" t="str">
        <f aca="false">IF(C16519="","",C16519*D16519/100)</f>
        <v/>
      </c>
      <c r="F16519" s="15" t="str">
        <f aca="false">IF(B16519&lt;5,"Go","Standard")</f>
        <v>Standard</v>
      </c>
    </row>
    <row r="16520" customFormat="false" ht="15" hidden="false" customHeight="true" outlineLevel="0" collapsed="false">
      <c r="A16520" s="10" t="n">
        <f aca="false">Einstellungen!$B$5+INT((ROW()-9)/24)</f>
        <v>46653</v>
      </c>
      <c r="B16520" s="11" t="n">
        <f aca="false">MOD(ROW()-9,24)</f>
        <v>23</v>
      </c>
      <c r="C16520" s="12"/>
      <c r="D16520" s="13" t="n">
        <f aca="false">IF(B16520&lt;5,Einstellungen!$B$3,Einstellungen!$B$4)</f>
        <v>29.13</v>
      </c>
      <c r="E16520" s="14" t="str">
        <f aca="false">IF(C16520="","",C16520*D16520/100)</f>
        <v/>
      </c>
      <c r="F16520" s="15" t="str">
        <f aca="false">IF(B16520&lt;5,"Go","Standard")</f>
        <v>Standard</v>
      </c>
    </row>
    <row r="16521" customFormat="false" ht="15" hidden="false" customHeight="true" outlineLevel="0" collapsed="false">
      <c r="A16521" s="10" t="n">
        <f aca="false">Einstellungen!$B$5+INT((ROW()-9)/24)</f>
        <v>46654</v>
      </c>
      <c r="B16521" s="11" t="n">
        <f aca="false">MOD(ROW()-9,24)</f>
        <v>0</v>
      </c>
      <c r="C16521" s="12"/>
      <c r="D16521" s="13" t="n">
        <f aca="false">IF(B16521&lt;5,Einstellungen!$B$3,Einstellungen!$B$4)</f>
        <v>15.92</v>
      </c>
      <c r="E16521" s="14" t="str">
        <f aca="false">IF(C16521="","",C16521*D16521/100)</f>
        <v/>
      </c>
      <c r="F16521" s="15" t="str">
        <f aca="false">IF(B16521&lt;5,"Go","Standard")</f>
        <v>Go</v>
      </c>
    </row>
    <row r="16522" customFormat="false" ht="15" hidden="false" customHeight="true" outlineLevel="0" collapsed="false">
      <c r="A16522" s="10" t="n">
        <f aca="false">Einstellungen!$B$5+INT((ROW()-9)/24)</f>
        <v>46654</v>
      </c>
      <c r="B16522" s="11" t="n">
        <f aca="false">MOD(ROW()-9,24)</f>
        <v>1</v>
      </c>
      <c r="C16522" s="12"/>
      <c r="D16522" s="13" t="n">
        <f aca="false">IF(B16522&lt;5,Einstellungen!$B$3,Einstellungen!$B$4)</f>
        <v>15.92</v>
      </c>
      <c r="E16522" s="14" t="str">
        <f aca="false">IF(C16522="","",C16522*D16522/100)</f>
        <v/>
      </c>
      <c r="F16522" s="15" t="str">
        <f aca="false">IF(B16522&lt;5,"Go","Standard")</f>
        <v>Go</v>
      </c>
    </row>
    <row r="16523" customFormat="false" ht="15" hidden="false" customHeight="true" outlineLevel="0" collapsed="false">
      <c r="A16523" s="10" t="n">
        <f aca="false">Einstellungen!$B$5+INT((ROW()-9)/24)</f>
        <v>46654</v>
      </c>
      <c r="B16523" s="11" t="n">
        <f aca="false">MOD(ROW()-9,24)</f>
        <v>2</v>
      </c>
      <c r="C16523" s="12"/>
      <c r="D16523" s="13" t="n">
        <f aca="false">IF(B16523&lt;5,Einstellungen!$B$3,Einstellungen!$B$4)</f>
        <v>15.92</v>
      </c>
      <c r="E16523" s="14" t="str">
        <f aca="false">IF(C16523="","",C16523*D16523/100)</f>
        <v/>
      </c>
      <c r="F16523" s="15" t="str">
        <f aca="false">IF(B16523&lt;5,"Go","Standard")</f>
        <v>Go</v>
      </c>
    </row>
    <row r="16524" customFormat="false" ht="15" hidden="false" customHeight="true" outlineLevel="0" collapsed="false">
      <c r="A16524" s="10" t="n">
        <f aca="false">Einstellungen!$B$5+INT((ROW()-9)/24)</f>
        <v>46654</v>
      </c>
      <c r="B16524" s="11" t="n">
        <f aca="false">MOD(ROW()-9,24)</f>
        <v>3</v>
      </c>
      <c r="C16524" s="12"/>
      <c r="D16524" s="13" t="n">
        <f aca="false">IF(B16524&lt;5,Einstellungen!$B$3,Einstellungen!$B$4)</f>
        <v>15.92</v>
      </c>
      <c r="E16524" s="14" t="str">
        <f aca="false">IF(C16524="","",C16524*D16524/100)</f>
        <v/>
      </c>
      <c r="F16524" s="15" t="str">
        <f aca="false">IF(B16524&lt;5,"Go","Standard")</f>
        <v>Go</v>
      </c>
    </row>
    <row r="16525" customFormat="false" ht="15" hidden="false" customHeight="true" outlineLevel="0" collapsed="false">
      <c r="A16525" s="10" t="n">
        <f aca="false">Einstellungen!$B$5+INT((ROW()-9)/24)</f>
        <v>46654</v>
      </c>
      <c r="B16525" s="11" t="n">
        <f aca="false">MOD(ROW()-9,24)</f>
        <v>4</v>
      </c>
      <c r="C16525" s="12"/>
      <c r="D16525" s="13" t="n">
        <f aca="false">IF(B16525&lt;5,Einstellungen!$B$3,Einstellungen!$B$4)</f>
        <v>15.92</v>
      </c>
      <c r="E16525" s="14" t="str">
        <f aca="false">IF(C16525="","",C16525*D16525/100)</f>
        <v/>
      </c>
      <c r="F16525" s="15" t="str">
        <f aca="false">IF(B16525&lt;5,"Go","Standard")</f>
        <v>Go</v>
      </c>
    </row>
    <row r="16526" customFormat="false" ht="15" hidden="false" customHeight="true" outlineLevel="0" collapsed="false">
      <c r="A16526" s="10" t="n">
        <f aca="false">Einstellungen!$B$5+INT((ROW()-9)/24)</f>
        <v>46654</v>
      </c>
      <c r="B16526" s="11" t="n">
        <f aca="false">MOD(ROW()-9,24)</f>
        <v>5</v>
      </c>
      <c r="C16526" s="12"/>
      <c r="D16526" s="13" t="n">
        <f aca="false">IF(B16526&lt;5,Einstellungen!$B$3,Einstellungen!$B$4)</f>
        <v>29.13</v>
      </c>
      <c r="E16526" s="14" t="str">
        <f aca="false">IF(C16526="","",C16526*D16526/100)</f>
        <v/>
      </c>
      <c r="F16526" s="15" t="str">
        <f aca="false">IF(B16526&lt;5,"Go","Standard")</f>
        <v>Standard</v>
      </c>
    </row>
    <row r="16527" customFormat="false" ht="15" hidden="false" customHeight="true" outlineLevel="0" collapsed="false">
      <c r="A16527" s="10" t="n">
        <f aca="false">Einstellungen!$B$5+INT((ROW()-9)/24)</f>
        <v>46654</v>
      </c>
      <c r="B16527" s="11" t="n">
        <f aca="false">MOD(ROW()-9,24)</f>
        <v>6</v>
      </c>
      <c r="C16527" s="12"/>
      <c r="D16527" s="13" t="n">
        <f aca="false">IF(B16527&lt;5,Einstellungen!$B$3,Einstellungen!$B$4)</f>
        <v>29.13</v>
      </c>
      <c r="E16527" s="14" t="str">
        <f aca="false">IF(C16527="","",C16527*D16527/100)</f>
        <v/>
      </c>
      <c r="F16527" s="15" t="str">
        <f aca="false">IF(B16527&lt;5,"Go","Standard")</f>
        <v>Standard</v>
      </c>
    </row>
    <row r="16528" customFormat="false" ht="15" hidden="false" customHeight="true" outlineLevel="0" collapsed="false">
      <c r="A16528" s="10" t="n">
        <f aca="false">Einstellungen!$B$5+INT((ROW()-9)/24)</f>
        <v>46654</v>
      </c>
      <c r="B16528" s="11" t="n">
        <f aca="false">MOD(ROW()-9,24)</f>
        <v>7</v>
      </c>
      <c r="C16528" s="12"/>
      <c r="D16528" s="13" t="n">
        <f aca="false">IF(B16528&lt;5,Einstellungen!$B$3,Einstellungen!$B$4)</f>
        <v>29.13</v>
      </c>
      <c r="E16528" s="14" t="str">
        <f aca="false">IF(C16528="","",C16528*D16528/100)</f>
        <v/>
      </c>
      <c r="F16528" s="15" t="str">
        <f aca="false">IF(B16528&lt;5,"Go","Standard")</f>
        <v>Standard</v>
      </c>
    </row>
    <row r="16529" customFormat="false" ht="15" hidden="false" customHeight="true" outlineLevel="0" collapsed="false">
      <c r="A16529" s="10" t="n">
        <f aca="false">Einstellungen!$B$5+INT((ROW()-9)/24)</f>
        <v>46654</v>
      </c>
      <c r="B16529" s="11" t="n">
        <f aca="false">MOD(ROW()-9,24)</f>
        <v>8</v>
      </c>
      <c r="C16529" s="12"/>
      <c r="D16529" s="13" t="n">
        <f aca="false">IF(B16529&lt;5,Einstellungen!$B$3,Einstellungen!$B$4)</f>
        <v>29.13</v>
      </c>
      <c r="E16529" s="14" t="str">
        <f aca="false">IF(C16529="","",C16529*D16529/100)</f>
        <v/>
      </c>
      <c r="F16529" s="15" t="str">
        <f aca="false">IF(B16529&lt;5,"Go","Standard")</f>
        <v>Standard</v>
      </c>
    </row>
    <row r="16530" customFormat="false" ht="15" hidden="false" customHeight="true" outlineLevel="0" collapsed="false">
      <c r="A16530" s="10" t="n">
        <f aca="false">Einstellungen!$B$5+INT((ROW()-9)/24)</f>
        <v>46654</v>
      </c>
      <c r="B16530" s="11" t="n">
        <f aca="false">MOD(ROW()-9,24)</f>
        <v>9</v>
      </c>
      <c r="C16530" s="12"/>
      <c r="D16530" s="13" t="n">
        <f aca="false">IF(B16530&lt;5,Einstellungen!$B$3,Einstellungen!$B$4)</f>
        <v>29.13</v>
      </c>
      <c r="E16530" s="14" t="str">
        <f aca="false">IF(C16530="","",C16530*D16530/100)</f>
        <v/>
      </c>
      <c r="F16530" s="15" t="str">
        <f aca="false">IF(B16530&lt;5,"Go","Standard")</f>
        <v>Standard</v>
      </c>
    </row>
    <row r="16531" customFormat="false" ht="15" hidden="false" customHeight="true" outlineLevel="0" collapsed="false">
      <c r="A16531" s="10" t="n">
        <f aca="false">Einstellungen!$B$5+INT((ROW()-9)/24)</f>
        <v>46654</v>
      </c>
      <c r="B16531" s="11" t="n">
        <f aca="false">MOD(ROW()-9,24)</f>
        <v>10</v>
      </c>
      <c r="C16531" s="12"/>
      <c r="D16531" s="13" t="n">
        <f aca="false">IF(B16531&lt;5,Einstellungen!$B$3,Einstellungen!$B$4)</f>
        <v>29.13</v>
      </c>
      <c r="E16531" s="14" t="str">
        <f aca="false">IF(C16531="","",C16531*D16531/100)</f>
        <v/>
      </c>
      <c r="F16531" s="15" t="str">
        <f aca="false">IF(B16531&lt;5,"Go","Standard")</f>
        <v>Standard</v>
      </c>
    </row>
    <row r="16532" customFormat="false" ht="15" hidden="false" customHeight="true" outlineLevel="0" collapsed="false">
      <c r="A16532" s="10" t="n">
        <f aca="false">Einstellungen!$B$5+INT((ROW()-9)/24)</f>
        <v>46654</v>
      </c>
      <c r="B16532" s="11" t="n">
        <f aca="false">MOD(ROW()-9,24)</f>
        <v>11</v>
      </c>
      <c r="C16532" s="12"/>
      <c r="D16532" s="13" t="n">
        <f aca="false">IF(B16532&lt;5,Einstellungen!$B$3,Einstellungen!$B$4)</f>
        <v>29.13</v>
      </c>
      <c r="E16532" s="14" t="str">
        <f aca="false">IF(C16532="","",C16532*D16532/100)</f>
        <v/>
      </c>
      <c r="F16532" s="15" t="str">
        <f aca="false">IF(B16532&lt;5,"Go","Standard")</f>
        <v>Standard</v>
      </c>
    </row>
    <row r="16533" customFormat="false" ht="15" hidden="false" customHeight="true" outlineLevel="0" collapsed="false">
      <c r="A16533" s="10" t="n">
        <f aca="false">Einstellungen!$B$5+INT((ROW()-9)/24)</f>
        <v>46654</v>
      </c>
      <c r="B16533" s="11" t="n">
        <f aca="false">MOD(ROW()-9,24)</f>
        <v>12</v>
      </c>
      <c r="C16533" s="12"/>
      <c r="D16533" s="13" t="n">
        <f aca="false">IF(B16533&lt;5,Einstellungen!$B$3,Einstellungen!$B$4)</f>
        <v>29.13</v>
      </c>
      <c r="E16533" s="14" t="str">
        <f aca="false">IF(C16533="","",C16533*D16533/100)</f>
        <v/>
      </c>
      <c r="F16533" s="15" t="str">
        <f aca="false">IF(B16533&lt;5,"Go","Standard")</f>
        <v>Standard</v>
      </c>
    </row>
    <row r="16534" customFormat="false" ht="15" hidden="false" customHeight="true" outlineLevel="0" collapsed="false">
      <c r="A16534" s="10" t="n">
        <f aca="false">Einstellungen!$B$5+INT((ROW()-9)/24)</f>
        <v>46654</v>
      </c>
      <c r="B16534" s="11" t="n">
        <f aca="false">MOD(ROW()-9,24)</f>
        <v>13</v>
      </c>
      <c r="C16534" s="12"/>
      <c r="D16534" s="13" t="n">
        <f aca="false">IF(B16534&lt;5,Einstellungen!$B$3,Einstellungen!$B$4)</f>
        <v>29.13</v>
      </c>
      <c r="E16534" s="14" t="str">
        <f aca="false">IF(C16534="","",C16534*D16534/100)</f>
        <v/>
      </c>
      <c r="F16534" s="15" t="str">
        <f aca="false">IF(B16534&lt;5,"Go","Standard")</f>
        <v>Standard</v>
      </c>
    </row>
    <row r="16535" customFormat="false" ht="15" hidden="false" customHeight="true" outlineLevel="0" collapsed="false">
      <c r="A16535" s="10" t="n">
        <f aca="false">Einstellungen!$B$5+INT((ROW()-9)/24)</f>
        <v>46654</v>
      </c>
      <c r="B16535" s="11" t="n">
        <f aca="false">MOD(ROW()-9,24)</f>
        <v>14</v>
      </c>
      <c r="C16535" s="12"/>
      <c r="D16535" s="13" t="n">
        <f aca="false">IF(B16535&lt;5,Einstellungen!$B$3,Einstellungen!$B$4)</f>
        <v>29.13</v>
      </c>
      <c r="E16535" s="14" t="str">
        <f aca="false">IF(C16535="","",C16535*D16535/100)</f>
        <v/>
      </c>
      <c r="F16535" s="15" t="str">
        <f aca="false">IF(B16535&lt;5,"Go","Standard")</f>
        <v>Standard</v>
      </c>
    </row>
    <row r="16536" customFormat="false" ht="15" hidden="false" customHeight="true" outlineLevel="0" collapsed="false">
      <c r="A16536" s="10" t="n">
        <f aca="false">Einstellungen!$B$5+INT((ROW()-9)/24)</f>
        <v>46654</v>
      </c>
      <c r="B16536" s="11" t="n">
        <f aca="false">MOD(ROW()-9,24)</f>
        <v>15</v>
      </c>
      <c r="C16536" s="12"/>
      <c r="D16536" s="13" t="n">
        <f aca="false">IF(B16536&lt;5,Einstellungen!$B$3,Einstellungen!$B$4)</f>
        <v>29.13</v>
      </c>
      <c r="E16536" s="14" t="str">
        <f aca="false">IF(C16536="","",C16536*D16536/100)</f>
        <v/>
      </c>
      <c r="F16536" s="15" t="str">
        <f aca="false">IF(B16536&lt;5,"Go","Standard")</f>
        <v>Standard</v>
      </c>
    </row>
    <row r="16537" customFormat="false" ht="15" hidden="false" customHeight="true" outlineLevel="0" collapsed="false">
      <c r="A16537" s="10" t="n">
        <f aca="false">Einstellungen!$B$5+INT((ROW()-9)/24)</f>
        <v>46654</v>
      </c>
      <c r="B16537" s="11" t="n">
        <f aca="false">MOD(ROW()-9,24)</f>
        <v>16</v>
      </c>
      <c r="C16537" s="12"/>
      <c r="D16537" s="13" t="n">
        <f aca="false">IF(B16537&lt;5,Einstellungen!$B$3,Einstellungen!$B$4)</f>
        <v>29.13</v>
      </c>
      <c r="E16537" s="14" t="str">
        <f aca="false">IF(C16537="","",C16537*D16537/100)</f>
        <v/>
      </c>
      <c r="F16537" s="15" t="str">
        <f aca="false">IF(B16537&lt;5,"Go","Standard")</f>
        <v>Standard</v>
      </c>
    </row>
    <row r="16538" customFormat="false" ht="15" hidden="false" customHeight="true" outlineLevel="0" collapsed="false">
      <c r="A16538" s="10" t="n">
        <f aca="false">Einstellungen!$B$5+INT((ROW()-9)/24)</f>
        <v>46654</v>
      </c>
      <c r="B16538" s="11" t="n">
        <f aca="false">MOD(ROW()-9,24)</f>
        <v>17</v>
      </c>
      <c r="C16538" s="12"/>
      <c r="D16538" s="13" t="n">
        <f aca="false">IF(B16538&lt;5,Einstellungen!$B$3,Einstellungen!$B$4)</f>
        <v>29.13</v>
      </c>
      <c r="E16538" s="14" t="str">
        <f aca="false">IF(C16538="","",C16538*D16538/100)</f>
        <v/>
      </c>
      <c r="F16538" s="15" t="str">
        <f aca="false">IF(B16538&lt;5,"Go","Standard")</f>
        <v>Standard</v>
      </c>
    </row>
    <row r="16539" customFormat="false" ht="15" hidden="false" customHeight="true" outlineLevel="0" collapsed="false">
      <c r="A16539" s="10" t="n">
        <f aca="false">Einstellungen!$B$5+INT((ROW()-9)/24)</f>
        <v>46654</v>
      </c>
      <c r="B16539" s="11" t="n">
        <f aca="false">MOD(ROW()-9,24)</f>
        <v>18</v>
      </c>
      <c r="C16539" s="12"/>
      <c r="D16539" s="13" t="n">
        <f aca="false">IF(B16539&lt;5,Einstellungen!$B$3,Einstellungen!$B$4)</f>
        <v>29.13</v>
      </c>
      <c r="E16539" s="14" t="str">
        <f aca="false">IF(C16539="","",C16539*D16539/100)</f>
        <v/>
      </c>
      <c r="F16539" s="15" t="str">
        <f aca="false">IF(B16539&lt;5,"Go","Standard")</f>
        <v>Standard</v>
      </c>
    </row>
    <row r="16540" customFormat="false" ht="15" hidden="false" customHeight="true" outlineLevel="0" collapsed="false">
      <c r="A16540" s="10" t="n">
        <f aca="false">Einstellungen!$B$5+INT((ROW()-9)/24)</f>
        <v>46654</v>
      </c>
      <c r="B16540" s="11" t="n">
        <f aca="false">MOD(ROW()-9,24)</f>
        <v>19</v>
      </c>
      <c r="C16540" s="12"/>
      <c r="D16540" s="13" t="n">
        <f aca="false">IF(B16540&lt;5,Einstellungen!$B$3,Einstellungen!$B$4)</f>
        <v>29.13</v>
      </c>
      <c r="E16540" s="14" t="str">
        <f aca="false">IF(C16540="","",C16540*D16540/100)</f>
        <v/>
      </c>
      <c r="F16540" s="15" t="str">
        <f aca="false">IF(B16540&lt;5,"Go","Standard")</f>
        <v>Standard</v>
      </c>
    </row>
    <row r="16541" customFormat="false" ht="15" hidden="false" customHeight="true" outlineLevel="0" collapsed="false">
      <c r="A16541" s="10" t="n">
        <f aca="false">Einstellungen!$B$5+INT((ROW()-9)/24)</f>
        <v>46654</v>
      </c>
      <c r="B16541" s="11" t="n">
        <f aca="false">MOD(ROW()-9,24)</f>
        <v>20</v>
      </c>
      <c r="C16541" s="12"/>
      <c r="D16541" s="13" t="n">
        <f aca="false">IF(B16541&lt;5,Einstellungen!$B$3,Einstellungen!$B$4)</f>
        <v>29.13</v>
      </c>
      <c r="E16541" s="14" t="str">
        <f aca="false">IF(C16541="","",C16541*D16541/100)</f>
        <v/>
      </c>
      <c r="F16541" s="15" t="str">
        <f aca="false">IF(B16541&lt;5,"Go","Standard")</f>
        <v>Standard</v>
      </c>
    </row>
    <row r="16542" customFormat="false" ht="15" hidden="false" customHeight="true" outlineLevel="0" collapsed="false">
      <c r="A16542" s="10" t="n">
        <f aca="false">Einstellungen!$B$5+INT((ROW()-9)/24)</f>
        <v>46654</v>
      </c>
      <c r="B16542" s="11" t="n">
        <f aca="false">MOD(ROW()-9,24)</f>
        <v>21</v>
      </c>
      <c r="C16542" s="12"/>
      <c r="D16542" s="13" t="n">
        <f aca="false">IF(B16542&lt;5,Einstellungen!$B$3,Einstellungen!$B$4)</f>
        <v>29.13</v>
      </c>
      <c r="E16542" s="14" t="str">
        <f aca="false">IF(C16542="","",C16542*D16542/100)</f>
        <v/>
      </c>
      <c r="F16542" s="15" t="str">
        <f aca="false">IF(B16542&lt;5,"Go","Standard")</f>
        <v>Standard</v>
      </c>
    </row>
    <row r="16543" customFormat="false" ht="15" hidden="false" customHeight="true" outlineLevel="0" collapsed="false">
      <c r="A16543" s="10" t="n">
        <f aca="false">Einstellungen!$B$5+INT((ROW()-9)/24)</f>
        <v>46654</v>
      </c>
      <c r="B16543" s="11" t="n">
        <f aca="false">MOD(ROW()-9,24)</f>
        <v>22</v>
      </c>
      <c r="C16543" s="12"/>
      <c r="D16543" s="13" t="n">
        <f aca="false">IF(B16543&lt;5,Einstellungen!$B$3,Einstellungen!$B$4)</f>
        <v>29.13</v>
      </c>
      <c r="E16543" s="14" t="str">
        <f aca="false">IF(C16543="","",C16543*D16543/100)</f>
        <v/>
      </c>
      <c r="F16543" s="15" t="str">
        <f aca="false">IF(B16543&lt;5,"Go","Standard")</f>
        <v>Standard</v>
      </c>
    </row>
    <row r="16544" customFormat="false" ht="15" hidden="false" customHeight="true" outlineLevel="0" collapsed="false">
      <c r="A16544" s="10" t="n">
        <f aca="false">Einstellungen!$B$5+INT((ROW()-9)/24)</f>
        <v>46654</v>
      </c>
      <c r="B16544" s="11" t="n">
        <f aca="false">MOD(ROW()-9,24)</f>
        <v>23</v>
      </c>
      <c r="C16544" s="12"/>
      <c r="D16544" s="13" t="n">
        <f aca="false">IF(B16544&lt;5,Einstellungen!$B$3,Einstellungen!$B$4)</f>
        <v>29.13</v>
      </c>
      <c r="E16544" s="14" t="str">
        <f aca="false">IF(C16544="","",C16544*D16544/100)</f>
        <v/>
      </c>
      <c r="F16544" s="15" t="str">
        <f aca="false">IF(B16544&lt;5,"Go","Standard")</f>
        <v>Standard</v>
      </c>
    </row>
    <row r="16545" customFormat="false" ht="15" hidden="false" customHeight="true" outlineLevel="0" collapsed="false">
      <c r="A16545" s="10" t="n">
        <f aca="false">Einstellungen!$B$5+INT((ROW()-9)/24)</f>
        <v>46655</v>
      </c>
      <c r="B16545" s="11" t="n">
        <f aca="false">MOD(ROW()-9,24)</f>
        <v>0</v>
      </c>
      <c r="C16545" s="12"/>
      <c r="D16545" s="13" t="n">
        <f aca="false">IF(B16545&lt;5,Einstellungen!$B$3,Einstellungen!$B$4)</f>
        <v>15.92</v>
      </c>
      <c r="E16545" s="14" t="str">
        <f aca="false">IF(C16545="","",C16545*D16545/100)</f>
        <v/>
      </c>
      <c r="F16545" s="15" t="str">
        <f aca="false">IF(B16545&lt;5,"Go","Standard")</f>
        <v>Go</v>
      </c>
    </row>
    <row r="16546" customFormat="false" ht="15" hidden="false" customHeight="true" outlineLevel="0" collapsed="false">
      <c r="A16546" s="10" t="n">
        <f aca="false">Einstellungen!$B$5+INT((ROW()-9)/24)</f>
        <v>46655</v>
      </c>
      <c r="B16546" s="11" t="n">
        <f aca="false">MOD(ROW()-9,24)</f>
        <v>1</v>
      </c>
      <c r="C16546" s="12"/>
      <c r="D16546" s="13" t="n">
        <f aca="false">IF(B16546&lt;5,Einstellungen!$B$3,Einstellungen!$B$4)</f>
        <v>15.92</v>
      </c>
      <c r="E16546" s="14" t="str">
        <f aca="false">IF(C16546="","",C16546*D16546/100)</f>
        <v/>
      </c>
      <c r="F16546" s="15" t="str">
        <f aca="false">IF(B16546&lt;5,"Go","Standard")</f>
        <v>Go</v>
      </c>
    </row>
    <row r="16547" customFormat="false" ht="15" hidden="false" customHeight="true" outlineLevel="0" collapsed="false">
      <c r="A16547" s="10" t="n">
        <f aca="false">Einstellungen!$B$5+INT((ROW()-9)/24)</f>
        <v>46655</v>
      </c>
      <c r="B16547" s="11" t="n">
        <f aca="false">MOD(ROW()-9,24)</f>
        <v>2</v>
      </c>
      <c r="C16547" s="12"/>
      <c r="D16547" s="13" t="n">
        <f aca="false">IF(B16547&lt;5,Einstellungen!$B$3,Einstellungen!$B$4)</f>
        <v>15.92</v>
      </c>
      <c r="E16547" s="14" t="str">
        <f aca="false">IF(C16547="","",C16547*D16547/100)</f>
        <v/>
      </c>
      <c r="F16547" s="15" t="str">
        <f aca="false">IF(B16547&lt;5,"Go","Standard")</f>
        <v>Go</v>
      </c>
    </row>
    <row r="16548" customFormat="false" ht="15" hidden="false" customHeight="true" outlineLevel="0" collapsed="false">
      <c r="A16548" s="10" t="n">
        <f aca="false">Einstellungen!$B$5+INT((ROW()-9)/24)</f>
        <v>46655</v>
      </c>
      <c r="B16548" s="11" t="n">
        <f aca="false">MOD(ROW()-9,24)</f>
        <v>3</v>
      </c>
      <c r="C16548" s="12"/>
      <c r="D16548" s="13" t="n">
        <f aca="false">IF(B16548&lt;5,Einstellungen!$B$3,Einstellungen!$B$4)</f>
        <v>15.92</v>
      </c>
      <c r="E16548" s="14" t="str">
        <f aca="false">IF(C16548="","",C16548*D16548/100)</f>
        <v/>
      </c>
      <c r="F16548" s="15" t="str">
        <f aca="false">IF(B16548&lt;5,"Go","Standard")</f>
        <v>Go</v>
      </c>
    </row>
    <row r="16549" customFormat="false" ht="15" hidden="false" customHeight="true" outlineLevel="0" collapsed="false">
      <c r="A16549" s="10" t="n">
        <f aca="false">Einstellungen!$B$5+INT((ROW()-9)/24)</f>
        <v>46655</v>
      </c>
      <c r="B16549" s="11" t="n">
        <f aca="false">MOD(ROW()-9,24)</f>
        <v>4</v>
      </c>
      <c r="C16549" s="12"/>
      <c r="D16549" s="13" t="n">
        <f aca="false">IF(B16549&lt;5,Einstellungen!$B$3,Einstellungen!$B$4)</f>
        <v>15.92</v>
      </c>
      <c r="E16549" s="14" t="str">
        <f aca="false">IF(C16549="","",C16549*D16549/100)</f>
        <v/>
      </c>
      <c r="F16549" s="15" t="str">
        <f aca="false">IF(B16549&lt;5,"Go","Standard")</f>
        <v>Go</v>
      </c>
    </row>
    <row r="16550" customFormat="false" ht="15" hidden="false" customHeight="true" outlineLevel="0" collapsed="false">
      <c r="A16550" s="10" t="n">
        <f aca="false">Einstellungen!$B$5+INT((ROW()-9)/24)</f>
        <v>46655</v>
      </c>
      <c r="B16550" s="11" t="n">
        <f aca="false">MOD(ROW()-9,24)</f>
        <v>5</v>
      </c>
      <c r="C16550" s="12"/>
      <c r="D16550" s="13" t="n">
        <f aca="false">IF(B16550&lt;5,Einstellungen!$B$3,Einstellungen!$B$4)</f>
        <v>29.13</v>
      </c>
      <c r="E16550" s="14" t="str">
        <f aca="false">IF(C16550="","",C16550*D16550/100)</f>
        <v/>
      </c>
      <c r="F16550" s="15" t="str">
        <f aca="false">IF(B16550&lt;5,"Go","Standard")</f>
        <v>Standard</v>
      </c>
    </row>
    <row r="16551" customFormat="false" ht="15" hidden="false" customHeight="true" outlineLevel="0" collapsed="false">
      <c r="A16551" s="10" t="n">
        <f aca="false">Einstellungen!$B$5+INT((ROW()-9)/24)</f>
        <v>46655</v>
      </c>
      <c r="B16551" s="11" t="n">
        <f aca="false">MOD(ROW()-9,24)</f>
        <v>6</v>
      </c>
      <c r="C16551" s="12"/>
      <c r="D16551" s="13" t="n">
        <f aca="false">IF(B16551&lt;5,Einstellungen!$B$3,Einstellungen!$B$4)</f>
        <v>29.13</v>
      </c>
      <c r="E16551" s="14" t="str">
        <f aca="false">IF(C16551="","",C16551*D16551/100)</f>
        <v/>
      </c>
      <c r="F16551" s="15" t="str">
        <f aca="false">IF(B16551&lt;5,"Go","Standard")</f>
        <v>Standard</v>
      </c>
    </row>
    <row r="16552" customFormat="false" ht="15" hidden="false" customHeight="true" outlineLevel="0" collapsed="false">
      <c r="A16552" s="10" t="n">
        <f aca="false">Einstellungen!$B$5+INT((ROW()-9)/24)</f>
        <v>46655</v>
      </c>
      <c r="B16552" s="11" t="n">
        <f aca="false">MOD(ROW()-9,24)</f>
        <v>7</v>
      </c>
      <c r="C16552" s="12"/>
      <c r="D16552" s="13" t="n">
        <f aca="false">IF(B16552&lt;5,Einstellungen!$B$3,Einstellungen!$B$4)</f>
        <v>29.13</v>
      </c>
      <c r="E16552" s="14" t="str">
        <f aca="false">IF(C16552="","",C16552*D16552/100)</f>
        <v/>
      </c>
      <c r="F16552" s="15" t="str">
        <f aca="false">IF(B16552&lt;5,"Go","Standard")</f>
        <v>Standard</v>
      </c>
    </row>
    <row r="16553" customFormat="false" ht="15" hidden="false" customHeight="true" outlineLevel="0" collapsed="false">
      <c r="A16553" s="10" t="n">
        <f aca="false">Einstellungen!$B$5+INT((ROW()-9)/24)</f>
        <v>46655</v>
      </c>
      <c r="B16553" s="11" t="n">
        <f aca="false">MOD(ROW()-9,24)</f>
        <v>8</v>
      </c>
      <c r="C16553" s="12"/>
      <c r="D16553" s="13" t="n">
        <f aca="false">IF(B16553&lt;5,Einstellungen!$B$3,Einstellungen!$B$4)</f>
        <v>29.13</v>
      </c>
      <c r="E16553" s="14" t="str">
        <f aca="false">IF(C16553="","",C16553*D16553/100)</f>
        <v/>
      </c>
      <c r="F16553" s="15" t="str">
        <f aca="false">IF(B16553&lt;5,"Go","Standard")</f>
        <v>Standard</v>
      </c>
    </row>
    <row r="16554" customFormat="false" ht="15" hidden="false" customHeight="true" outlineLevel="0" collapsed="false">
      <c r="A16554" s="10" t="n">
        <f aca="false">Einstellungen!$B$5+INT((ROW()-9)/24)</f>
        <v>46655</v>
      </c>
      <c r="B16554" s="11" t="n">
        <f aca="false">MOD(ROW()-9,24)</f>
        <v>9</v>
      </c>
      <c r="C16554" s="12"/>
      <c r="D16554" s="13" t="n">
        <f aca="false">IF(B16554&lt;5,Einstellungen!$B$3,Einstellungen!$B$4)</f>
        <v>29.13</v>
      </c>
      <c r="E16554" s="14" t="str">
        <f aca="false">IF(C16554="","",C16554*D16554/100)</f>
        <v/>
      </c>
      <c r="F16554" s="15" t="str">
        <f aca="false">IF(B16554&lt;5,"Go","Standard")</f>
        <v>Standard</v>
      </c>
    </row>
    <row r="16555" customFormat="false" ht="15" hidden="false" customHeight="true" outlineLevel="0" collapsed="false">
      <c r="A16555" s="10" t="n">
        <f aca="false">Einstellungen!$B$5+INT((ROW()-9)/24)</f>
        <v>46655</v>
      </c>
      <c r="B16555" s="11" t="n">
        <f aca="false">MOD(ROW()-9,24)</f>
        <v>10</v>
      </c>
      <c r="C16555" s="12"/>
      <c r="D16555" s="13" t="n">
        <f aca="false">IF(B16555&lt;5,Einstellungen!$B$3,Einstellungen!$B$4)</f>
        <v>29.13</v>
      </c>
      <c r="E16555" s="14" t="str">
        <f aca="false">IF(C16555="","",C16555*D16555/100)</f>
        <v/>
      </c>
      <c r="F16555" s="15" t="str">
        <f aca="false">IF(B16555&lt;5,"Go","Standard")</f>
        <v>Standard</v>
      </c>
    </row>
    <row r="16556" customFormat="false" ht="15" hidden="false" customHeight="true" outlineLevel="0" collapsed="false">
      <c r="A16556" s="10" t="n">
        <f aca="false">Einstellungen!$B$5+INT((ROW()-9)/24)</f>
        <v>46655</v>
      </c>
      <c r="B16556" s="11" t="n">
        <f aca="false">MOD(ROW()-9,24)</f>
        <v>11</v>
      </c>
      <c r="C16556" s="12"/>
      <c r="D16556" s="13" t="n">
        <f aca="false">IF(B16556&lt;5,Einstellungen!$B$3,Einstellungen!$B$4)</f>
        <v>29.13</v>
      </c>
      <c r="E16556" s="14" t="str">
        <f aca="false">IF(C16556="","",C16556*D16556/100)</f>
        <v/>
      </c>
      <c r="F16556" s="15" t="str">
        <f aca="false">IF(B16556&lt;5,"Go","Standard")</f>
        <v>Standard</v>
      </c>
    </row>
    <row r="16557" customFormat="false" ht="15" hidden="false" customHeight="true" outlineLevel="0" collapsed="false">
      <c r="A16557" s="10" t="n">
        <f aca="false">Einstellungen!$B$5+INT((ROW()-9)/24)</f>
        <v>46655</v>
      </c>
      <c r="B16557" s="11" t="n">
        <f aca="false">MOD(ROW()-9,24)</f>
        <v>12</v>
      </c>
      <c r="C16557" s="12"/>
      <c r="D16557" s="13" t="n">
        <f aca="false">IF(B16557&lt;5,Einstellungen!$B$3,Einstellungen!$B$4)</f>
        <v>29.13</v>
      </c>
      <c r="E16557" s="14" t="str">
        <f aca="false">IF(C16557="","",C16557*D16557/100)</f>
        <v/>
      </c>
      <c r="F16557" s="15" t="str">
        <f aca="false">IF(B16557&lt;5,"Go","Standard")</f>
        <v>Standard</v>
      </c>
    </row>
    <row r="16558" customFormat="false" ht="15" hidden="false" customHeight="true" outlineLevel="0" collapsed="false">
      <c r="A16558" s="10" t="n">
        <f aca="false">Einstellungen!$B$5+INT((ROW()-9)/24)</f>
        <v>46655</v>
      </c>
      <c r="B16558" s="11" t="n">
        <f aca="false">MOD(ROW()-9,24)</f>
        <v>13</v>
      </c>
      <c r="C16558" s="12"/>
      <c r="D16558" s="13" t="n">
        <f aca="false">IF(B16558&lt;5,Einstellungen!$B$3,Einstellungen!$B$4)</f>
        <v>29.13</v>
      </c>
      <c r="E16558" s="14" t="str">
        <f aca="false">IF(C16558="","",C16558*D16558/100)</f>
        <v/>
      </c>
      <c r="F16558" s="15" t="str">
        <f aca="false">IF(B16558&lt;5,"Go","Standard")</f>
        <v>Standard</v>
      </c>
    </row>
    <row r="16559" customFormat="false" ht="15" hidden="false" customHeight="true" outlineLevel="0" collapsed="false">
      <c r="A16559" s="10" t="n">
        <f aca="false">Einstellungen!$B$5+INT((ROW()-9)/24)</f>
        <v>46655</v>
      </c>
      <c r="B16559" s="11" t="n">
        <f aca="false">MOD(ROW()-9,24)</f>
        <v>14</v>
      </c>
      <c r="C16559" s="12"/>
      <c r="D16559" s="13" t="n">
        <f aca="false">IF(B16559&lt;5,Einstellungen!$B$3,Einstellungen!$B$4)</f>
        <v>29.13</v>
      </c>
      <c r="E16559" s="14" t="str">
        <f aca="false">IF(C16559="","",C16559*D16559/100)</f>
        <v/>
      </c>
      <c r="F16559" s="15" t="str">
        <f aca="false">IF(B16559&lt;5,"Go","Standard")</f>
        <v>Standard</v>
      </c>
    </row>
    <row r="16560" customFormat="false" ht="15" hidden="false" customHeight="true" outlineLevel="0" collapsed="false">
      <c r="A16560" s="10" t="n">
        <f aca="false">Einstellungen!$B$5+INT((ROW()-9)/24)</f>
        <v>46655</v>
      </c>
      <c r="B16560" s="11" t="n">
        <f aca="false">MOD(ROW()-9,24)</f>
        <v>15</v>
      </c>
      <c r="C16560" s="12"/>
      <c r="D16560" s="13" t="n">
        <f aca="false">IF(B16560&lt;5,Einstellungen!$B$3,Einstellungen!$B$4)</f>
        <v>29.13</v>
      </c>
      <c r="E16560" s="14" t="str">
        <f aca="false">IF(C16560="","",C16560*D16560/100)</f>
        <v/>
      </c>
      <c r="F16560" s="15" t="str">
        <f aca="false">IF(B16560&lt;5,"Go","Standard")</f>
        <v>Standard</v>
      </c>
    </row>
    <row r="16561" customFormat="false" ht="15" hidden="false" customHeight="true" outlineLevel="0" collapsed="false">
      <c r="A16561" s="10" t="n">
        <f aca="false">Einstellungen!$B$5+INT((ROW()-9)/24)</f>
        <v>46655</v>
      </c>
      <c r="B16561" s="11" t="n">
        <f aca="false">MOD(ROW()-9,24)</f>
        <v>16</v>
      </c>
      <c r="C16561" s="12"/>
      <c r="D16561" s="13" t="n">
        <f aca="false">IF(B16561&lt;5,Einstellungen!$B$3,Einstellungen!$B$4)</f>
        <v>29.13</v>
      </c>
      <c r="E16561" s="14" t="str">
        <f aca="false">IF(C16561="","",C16561*D16561/100)</f>
        <v/>
      </c>
      <c r="F16561" s="15" t="str">
        <f aca="false">IF(B16561&lt;5,"Go","Standard")</f>
        <v>Standard</v>
      </c>
    </row>
    <row r="16562" customFormat="false" ht="15" hidden="false" customHeight="true" outlineLevel="0" collapsed="false">
      <c r="A16562" s="10" t="n">
        <f aca="false">Einstellungen!$B$5+INT((ROW()-9)/24)</f>
        <v>46655</v>
      </c>
      <c r="B16562" s="11" t="n">
        <f aca="false">MOD(ROW()-9,24)</f>
        <v>17</v>
      </c>
      <c r="C16562" s="12"/>
      <c r="D16562" s="13" t="n">
        <f aca="false">IF(B16562&lt;5,Einstellungen!$B$3,Einstellungen!$B$4)</f>
        <v>29.13</v>
      </c>
      <c r="E16562" s="14" t="str">
        <f aca="false">IF(C16562="","",C16562*D16562/100)</f>
        <v/>
      </c>
      <c r="F16562" s="15" t="str">
        <f aca="false">IF(B16562&lt;5,"Go","Standard")</f>
        <v>Standard</v>
      </c>
    </row>
    <row r="16563" customFormat="false" ht="15" hidden="false" customHeight="true" outlineLevel="0" collapsed="false">
      <c r="A16563" s="10" t="n">
        <f aca="false">Einstellungen!$B$5+INT((ROW()-9)/24)</f>
        <v>46655</v>
      </c>
      <c r="B16563" s="11" t="n">
        <f aca="false">MOD(ROW()-9,24)</f>
        <v>18</v>
      </c>
      <c r="C16563" s="12"/>
      <c r="D16563" s="13" t="n">
        <f aca="false">IF(B16563&lt;5,Einstellungen!$B$3,Einstellungen!$B$4)</f>
        <v>29.13</v>
      </c>
      <c r="E16563" s="14" t="str">
        <f aca="false">IF(C16563="","",C16563*D16563/100)</f>
        <v/>
      </c>
      <c r="F16563" s="15" t="str">
        <f aca="false">IF(B16563&lt;5,"Go","Standard")</f>
        <v>Standard</v>
      </c>
    </row>
    <row r="16564" customFormat="false" ht="15" hidden="false" customHeight="true" outlineLevel="0" collapsed="false">
      <c r="A16564" s="10" t="n">
        <f aca="false">Einstellungen!$B$5+INT((ROW()-9)/24)</f>
        <v>46655</v>
      </c>
      <c r="B16564" s="11" t="n">
        <f aca="false">MOD(ROW()-9,24)</f>
        <v>19</v>
      </c>
      <c r="C16564" s="12"/>
      <c r="D16564" s="13" t="n">
        <f aca="false">IF(B16564&lt;5,Einstellungen!$B$3,Einstellungen!$B$4)</f>
        <v>29.13</v>
      </c>
      <c r="E16564" s="14" t="str">
        <f aca="false">IF(C16564="","",C16564*D16564/100)</f>
        <v/>
      </c>
      <c r="F16564" s="15" t="str">
        <f aca="false">IF(B16564&lt;5,"Go","Standard")</f>
        <v>Standard</v>
      </c>
    </row>
    <row r="16565" customFormat="false" ht="15" hidden="false" customHeight="true" outlineLevel="0" collapsed="false">
      <c r="A16565" s="10" t="n">
        <f aca="false">Einstellungen!$B$5+INT((ROW()-9)/24)</f>
        <v>46655</v>
      </c>
      <c r="B16565" s="11" t="n">
        <f aca="false">MOD(ROW()-9,24)</f>
        <v>20</v>
      </c>
      <c r="C16565" s="12"/>
      <c r="D16565" s="13" t="n">
        <f aca="false">IF(B16565&lt;5,Einstellungen!$B$3,Einstellungen!$B$4)</f>
        <v>29.13</v>
      </c>
      <c r="E16565" s="14" t="str">
        <f aca="false">IF(C16565="","",C16565*D16565/100)</f>
        <v/>
      </c>
      <c r="F16565" s="15" t="str">
        <f aca="false">IF(B16565&lt;5,"Go","Standard")</f>
        <v>Standard</v>
      </c>
    </row>
    <row r="16566" customFormat="false" ht="15" hidden="false" customHeight="true" outlineLevel="0" collapsed="false">
      <c r="A16566" s="10" t="n">
        <f aca="false">Einstellungen!$B$5+INT((ROW()-9)/24)</f>
        <v>46655</v>
      </c>
      <c r="B16566" s="11" t="n">
        <f aca="false">MOD(ROW()-9,24)</f>
        <v>21</v>
      </c>
      <c r="C16566" s="12"/>
      <c r="D16566" s="13" t="n">
        <f aca="false">IF(B16566&lt;5,Einstellungen!$B$3,Einstellungen!$B$4)</f>
        <v>29.13</v>
      </c>
      <c r="E16566" s="14" t="str">
        <f aca="false">IF(C16566="","",C16566*D16566/100)</f>
        <v/>
      </c>
      <c r="F16566" s="15" t="str">
        <f aca="false">IF(B16566&lt;5,"Go","Standard")</f>
        <v>Standard</v>
      </c>
    </row>
    <row r="16567" customFormat="false" ht="15" hidden="false" customHeight="true" outlineLevel="0" collapsed="false">
      <c r="A16567" s="10" t="n">
        <f aca="false">Einstellungen!$B$5+INT((ROW()-9)/24)</f>
        <v>46655</v>
      </c>
      <c r="B16567" s="11" t="n">
        <f aca="false">MOD(ROW()-9,24)</f>
        <v>22</v>
      </c>
      <c r="C16567" s="12"/>
      <c r="D16567" s="13" t="n">
        <f aca="false">IF(B16567&lt;5,Einstellungen!$B$3,Einstellungen!$B$4)</f>
        <v>29.13</v>
      </c>
      <c r="E16567" s="14" t="str">
        <f aca="false">IF(C16567="","",C16567*D16567/100)</f>
        <v/>
      </c>
      <c r="F16567" s="15" t="str">
        <f aca="false">IF(B16567&lt;5,"Go","Standard")</f>
        <v>Standard</v>
      </c>
    </row>
    <row r="16568" customFormat="false" ht="15" hidden="false" customHeight="true" outlineLevel="0" collapsed="false">
      <c r="A16568" s="10" t="n">
        <f aca="false">Einstellungen!$B$5+INT((ROW()-9)/24)</f>
        <v>46655</v>
      </c>
      <c r="B16568" s="11" t="n">
        <f aca="false">MOD(ROW()-9,24)</f>
        <v>23</v>
      </c>
      <c r="C16568" s="12"/>
      <c r="D16568" s="13" t="n">
        <f aca="false">IF(B16568&lt;5,Einstellungen!$B$3,Einstellungen!$B$4)</f>
        <v>29.13</v>
      </c>
      <c r="E16568" s="14" t="str">
        <f aca="false">IF(C16568="","",C16568*D16568/100)</f>
        <v/>
      </c>
      <c r="F16568" s="15" t="str">
        <f aca="false">IF(B16568&lt;5,"Go","Standard")</f>
        <v>Standard</v>
      </c>
    </row>
    <row r="16569" customFormat="false" ht="15" hidden="false" customHeight="true" outlineLevel="0" collapsed="false">
      <c r="A16569" s="10" t="n">
        <f aca="false">Einstellungen!$B$5+INT((ROW()-9)/24)</f>
        <v>46656</v>
      </c>
      <c r="B16569" s="11" t="n">
        <f aca="false">MOD(ROW()-9,24)</f>
        <v>0</v>
      </c>
      <c r="C16569" s="12"/>
      <c r="D16569" s="13" t="n">
        <f aca="false">IF(B16569&lt;5,Einstellungen!$B$3,Einstellungen!$B$4)</f>
        <v>15.92</v>
      </c>
      <c r="E16569" s="14" t="str">
        <f aca="false">IF(C16569="","",C16569*D16569/100)</f>
        <v/>
      </c>
      <c r="F16569" s="15" t="str">
        <f aca="false">IF(B16569&lt;5,"Go","Standard")</f>
        <v>Go</v>
      </c>
    </row>
    <row r="16570" customFormat="false" ht="15" hidden="false" customHeight="true" outlineLevel="0" collapsed="false">
      <c r="A16570" s="10" t="n">
        <f aca="false">Einstellungen!$B$5+INT((ROW()-9)/24)</f>
        <v>46656</v>
      </c>
      <c r="B16570" s="11" t="n">
        <f aca="false">MOD(ROW()-9,24)</f>
        <v>1</v>
      </c>
      <c r="C16570" s="12"/>
      <c r="D16570" s="13" t="n">
        <f aca="false">IF(B16570&lt;5,Einstellungen!$B$3,Einstellungen!$B$4)</f>
        <v>15.92</v>
      </c>
      <c r="E16570" s="14" t="str">
        <f aca="false">IF(C16570="","",C16570*D16570/100)</f>
        <v/>
      </c>
      <c r="F16570" s="15" t="str">
        <f aca="false">IF(B16570&lt;5,"Go","Standard")</f>
        <v>Go</v>
      </c>
    </row>
    <row r="16571" customFormat="false" ht="15" hidden="false" customHeight="true" outlineLevel="0" collapsed="false">
      <c r="A16571" s="10" t="n">
        <f aca="false">Einstellungen!$B$5+INT((ROW()-9)/24)</f>
        <v>46656</v>
      </c>
      <c r="B16571" s="11" t="n">
        <f aca="false">MOD(ROW()-9,24)</f>
        <v>2</v>
      </c>
      <c r="C16571" s="12"/>
      <c r="D16571" s="13" t="n">
        <f aca="false">IF(B16571&lt;5,Einstellungen!$B$3,Einstellungen!$B$4)</f>
        <v>15.92</v>
      </c>
      <c r="E16571" s="14" t="str">
        <f aca="false">IF(C16571="","",C16571*D16571/100)</f>
        <v/>
      </c>
      <c r="F16571" s="15" t="str">
        <f aca="false">IF(B16571&lt;5,"Go","Standard")</f>
        <v>Go</v>
      </c>
    </row>
    <row r="16572" customFormat="false" ht="15" hidden="false" customHeight="true" outlineLevel="0" collapsed="false">
      <c r="A16572" s="10" t="n">
        <f aca="false">Einstellungen!$B$5+INT((ROW()-9)/24)</f>
        <v>46656</v>
      </c>
      <c r="B16572" s="11" t="n">
        <f aca="false">MOD(ROW()-9,24)</f>
        <v>3</v>
      </c>
      <c r="C16572" s="12"/>
      <c r="D16572" s="13" t="n">
        <f aca="false">IF(B16572&lt;5,Einstellungen!$B$3,Einstellungen!$B$4)</f>
        <v>15.92</v>
      </c>
      <c r="E16572" s="14" t="str">
        <f aca="false">IF(C16572="","",C16572*D16572/100)</f>
        <v/>
      </c>
      <c r="F16572" s="15" t="str">
        <f aca="false">IF(B16572&lt;5,"Go","Standard")</f>
        <v>Go</v>
      </c>
    </row>
    <row r="16573" customFormat="false" ht="15" hidden="false" customHeight="true" outlineLevel="0" collapsed="false">
      <c r="A16573" s="10" t="n">
        <f aca="false">Einstellungen!$B$5+INT((ROW()-9)/24)</f>
        <v>46656</v>
      </c>
      <c r="B16573" s="11" t="n">
        <f aca="false">MOD(ROW()-9,24)</f>
        <v>4</v>
      </c>
      <c r="C16573" s="12"/>
      <c r="D16573" s="13" t="n">
        <f aca="false">IF(B16573&lt;5,Einstellungen!$B$3,Einstellungen!$B$4)</f>
        <v>15.92</v>
      </c>
      <c r="E16573" s="14" t="str">
        <f aca="false">IF(C16573="","",C16573*D16573/100)</f>
        <v/>
      </c>
      <c r="F16573" s="15" t="str">
        <f aca="false">IF(B16573&lt;5,"Go","Standard")</f>
        <v>Go</v>
      </c>
    </row>
    <row r="16574" customFormat="false" ht="15" hidden="false" customHeight="true" outlineLevel="0" collapsed="false">
      <c r="A16574" s="10" t="n">
        <f aca="false">Einstellungen!$B$5+INT((ROW()-9)/24)</f>
        <v>46656</v>
      </c>
      <c r="B16574" s="11" t="n">
        <f aca="false">MOD(ROW()-9,24)</f>
        <v>5</v>
      </c>
      <c r="C16574" s="12"/>
      <c r="D16574" s="13" t="n">
        <f aca="false">IF(B16574&lt;5,Einstellungen!$B$3,Einstellungen!$B$4)</f>
        <v>29.13</v>
      </c>
      <c r="E16574" s="14" t="str">
        <f aca="false">IF(C16574="","",C16574*D16574/100)</f>
        <v/>
      </c>
      <c r="F16574" s="15" t="str">
        <f aca="false">IF(B16574&lt;5,"Go","Standard")</f>
        <v>Standard</v>
      </c>
    </row>
    <row r="16575" customFormat="false" ht="15" hidden="false" customHeight="true" outlineLevel="0" collapsed="false">
      <c r="A16575" s="10" t="n">
        <f aca="false">Einstellungen!$B$5+INT((ROW()-9)/24)</f>
        <v>46656</v>
      </c>
      <c r="B16575" s="11" t="n">
        <f aca="false">MOD(ROW()-9,24)</f>
        <v>6</v>
      </c>
      <c r="C16575" s="12"/>
      <c r="D16575" s="13" t="n">
        <f aca="false">IF(B16575&lt;5,Einstellungen!$B$3,Einstellungen!$B$4)</f>
        <v>29.13</v>
      </c>
      <c r="E16575" s="14" t="str">
        <f aca="false">IF(C16575="","",C16575*D16575/100)</f>
        <v/>
      </c>
      <c r="F16575" s="15" t="str">
        <f aca="false">IF(B16575&lt;5,"Go","Standard")</f>
        <v>Standard</v>
      </c>
    </row>
    <row r="16576" customFormat="false" ht="15" hidden="false" customHeight="true" outlineLevel="0" collapsed="false">
      <c r="A16576" s="10" t="n">
        <f aca="false">Einstellungen!$B$5+INT((ROW()-9)/24)</f>
        <v>46656</v>
      </c>
      <c r="B16576" s="11" t="n">
        <f aca="false">MOD(ROW()-9,24)</f>
        <v>7</v>
      </c>
      <c r="C16576" s="12"/>
      <c r="D16576" s="13" t="n">
        <f aca="false">IF(B16576&lt;5,Einstellungen!$B$3,Einstellungen!$B$4)</f>
        <v>29.13</v>
      </c>
      <c r="E16576" s="14" t="str">
        <f aca="false">IF(C16576="","",C16576*D16576/100)</f>
        <v/>
      </c>
      <c r="F16576" s="15" t="str">
        <f aca="false">IF(B16576&lt;5,"Go","Standard")</f>
        <v>Standard</v>
      </c>
    </row>
    <row r="16577" customFormat="false" ht="15" hidden="false" customHeight="true" outlineLevel="0" collapsed="false">
      <c r="A16577" s="10" t="n">
        <f aca="false">Einstellungen!$B$5+INT((ROW()-9)/24)</f>
        <v>46656</v>
      </c>
      <c r="B16577" s="11" t="n">
        <f aca="false">MOD(ROW()-9,24)</f>
        <v>8</v>
      </c>
      <c r="C16577" s="12"/>
      <c r="D16577" s="13" t="n">
        <f aca="false">IF(B16577&lt;5,Einstellungen!$B$3,Einstellungen!$B$4)</f>
        <v>29.13</v>
      </c>
      <c r="E16577" s="14" t="str">
        <f aca="false">IF(C16577="","",C16577*D16577/100)</f>
        <v/>
      </c>
      <c r="F16577" s="15" t="str">
        <f aca="false">IF(B16577&lt;5,"Go","Standard")</f>
        <v>Standard</v>
      </c>
    </row>
    <row r="16578" customFormat="false" ht="15" hidden="false" customHeight="true" outlineLevel="0" collapsed="false">
      <c r="A16578" s="10" t="n">
        <f aca="false">Einstellungen!$B$5+INT((ROW()-9)/24)</f>
        <v>46656</v>
      </c>
      <c r="B16578" s="11" t="n">
        <f aca="false">MOD(ROW()-9,24)</f>
        <v>9</v>
      </c>
      <c r="C16578" s="12"/>
      <c r="D16578" s="13" t="n">
        <f aca="false">IF(B16578&lt;5,Einstellungen!$B$3,Einstellungen!$B$4)</f>
        <v>29.13</v>
      </c>
      <c r="E16578" s="14" t="str">
        <f aca="false">IF(C16578="","",C16578*D16578/100)</f>
        <v/>
      </c>
      <c r="F16578" s="15" t="str">
        <f aca="false">IF(B16578&lt;5,"Go","Standard")</f>
        <v>Standard</v>
      </c>
    </row>
    <row r="16579" customFormat="false" ht="15" hidden="false" customHeight="true" outlineLevel="0" collapsed="false">
      <c r="A16579" s="10" t="n">
        <f aca="false">Einstellungen!$B$5+INT((ROW()-9)/24)</f>
        <v>46656</v>
      </c>
      <c r="B16579" s="11" t="n">
        <f aca="false">MOD(ROW()-9,24)</f>
        <v>10</v>
      </c>
      <c r="C16579" s="12"/>
      <c r="D16579" s="13" t="n">
        <f aca="false">IF(B16579&lt;5,Einstellungen!$B$3,Einstellungen!$B$4)</f>
        <v>29.13</v>
      </c>
      <c r="E16579" s="14" t="str">
        <f aca="false">IF(C16579="","",C16579*D16579/100)</f>
        <v/>
      </c>
      <c r="F16579" s="15" t="str">
        <f aca="false">IF(B16579&lt;5,"Go","Standard")</f>
        <v>Standard</v>
      </c>
    </row>
    <row r="16580" customFormat="false" ht="15" hidden="false" customHeight="true" outlineLevel="0" collapsed="false">
      <c r="A16580" s="10" t="n">
        <f aca="false">Einstellungen!$B$5+INT((ROW()-9)/24)</f>
        <v>46656</v>
      </c>
      <c r="B16580" s="11" t="n">
        <f aca="false">MOD(ROW()-9,24)</f>
        <v>11</v>
      </c>
      <c r="C16580" s="12"/>
      <c r="D16580" s="13" t="n">
        <f aca="false">IF(B16580&lt;5,Einstellungen!$B$3,Einstellungen!$B$4)</f>
        <v>29.13</v>
      </c>
      <c r="E16580" s="14" t="str">
        <f aca="false">IF(C16580="","",C16580*D16580/100)</f>
        <v/>
      </c>
      <c r="F16580" s="15" t="str">
        <f aca="false">IF(B16580&lt;5,"Go","Standard")</f>
        <v>Standard</v>
      </c>
    </row>
    <row r="16581" customFormat="false" ht="15" hidden="false" customHeight="true" outlineLevel="0" collapsed="false">
      <c r="A16581" s="10" t="n">
        <f aca="false">Einstellungen!$B$5+INT((ROW()-9)/24)</f>
        <v>46656</v>
      </c>
      <c r="B16581" s="11" t="n">
        <f aca="false">MOD(ROW()-9,24)</f>
        <v>12</v>
      </c>
      <c r="C16581" s="12"/>
      <c r="D16581" s="13" t="n">
        <f aca="false">IF(B16581&lt;5,Einstellungen!$B$3,Einstellungen!$B$4)</f>
        <v>29.13</v>
      </c>
      <c r="E16581" s="14" t="str">
        <f aca="false">IF(C16581="","",C16581*D16581/100)</f>
        <v/>
      </c>
      <c r="F16581" s="15" t="str">
        <f aca="false">IF(B16581&lt;5,"Go","Standard")</f>
        <v>Standard</v>
      </c>
    </row>
    <row r="16582" customFormat="false" ht="15" hidden="false" customHeight="true" outlineLevel="0" collapsed="false">
      <c r="A16582" s="10" t="n">
        <f aca="false">Einstellungen!$B$5+INT((ROW()-9)/24)</f>
        <v>46656</v>
      </c>
      <c r="B16582" s="11" t="n">
        <f aca="false">MOD(ROW()-9,24)</f>
        <v>13</v>
      </c>
      <c r="C16582" s="12"/>
      <c r="D16582" s="13" t="n">
        <f aca="false">IF(B16582&lt;5,Einstellungen!$B$3,Einstellungen!$B$4)</f>
        <v>29.13</v>
      </c>
      <c r="E16582" s="14" t="str">
        <f aca="false">IF(C16582="","",C16582*D16582/100)</f>
        <v/>
      </c>
      <c r="F16582" s="15" t="str">
        <f aca="false">IF(B16582&lt;5,"Go","Standard")</f>
        <v>Standard</v>
      </c>
    </row>
    <row r="16583" customFormat="false" ht="15" hidden="false" customHeight="true" outlineLevel="0" collapsed="false">
      <c r="A16583" s="10" t="n">
        <f aca="false">Einstellungen!$B$5+INT((ROW()-9)/24)</f>
        <v>46656</v>
      </c>
      <c r="B16583" s="11" t="n">
        <f aca="false">MOD(ROW()-9,24)</f>
        <v>14</v>
      </c>
      <c r="C16583" s="12"/>
      <c r="D16583" s="13" t="n">
        <f aca="false">IF(B16583&lt;5,Einstellungen!$B$3,Einstellungen!$B$4)</f>
        <v>29.13</v>
      </c>
      <c r="E16583" s="14" t="str">
        <f aca="false">IF(C16583="","",C16583*D16583/100)</f>
        <v/>
      </c>
      <c r="F16583" s="15" t="str">
        <f aca="false">IF(B16583&lt;5,"Go","Standard")</f>
        <v>Standard</v>
      </c>
    </row>
    <row r="16584" customFormat="false" ht="15" hidden="false" customHeight="true" outlineLevel="0" collapsed="false">
      <c r="A16584" s="10" t="n">
        <f aca="false">Einstellungen!$B$5+INT((ROW()-9)/24)</f>
        <v>46656</v>
      </c>
      <c r="B16584" s="11" t="n">
        <f aca="false">MOD(ROW()-9,24)</f>
        <v>15</v>
      </c>
      <c r="C16584" s="12"/>
      <c r="D16584" s="13" t="n">
        <f aca="false">IF(B16584&lt;5,Einstellungen!$B$3,Einstellungen!$B$4)</f>
        <v>29.13</v>
      </c>
      <c r="E16584" s="14" t="str">
        <f aca="false">IF(C16584="","",C16584*D16584/100)</f>
        <v/>
      </c>
      <c r="F16584" s="15" t="str">
        <f aca="false">IF(B16584&lt;5,"Go","Standard")</f>
        <v>Standard</v>
      </c>
    </row>
    <row r="16585" customFormat="false" ht="15" hidden="false" customHeight="true" outlineLevel="0" collapsed="false">
      <c r="A16585" s="10" t="n">
        <f aca="false">Einstellungen!$B$5+INT((ROW()-9)/24)</f>
        <v>46656</v>
      </c>
      <c r="B16585" s="11" t="n">
        <f aca="false">MOD(ROW()-9,24)</f>
        <v>16</v>
      </c>
      <c r="C16585" s="12"/>
      <c r="D16585" s="13" t="n">
        <f aca="false">IF(B16585&lt;5,Einstellungen!$B$3,Einstellungen!$B$4)</f>
        <v>29.13</v>
      </c>
      <c r="E16585" s="14" t="str">
        <f aca="false">IF(C16585="","",C16585*D16585/100)</f>
        <v/>
      </c>
      <c r="F16585" s="15" t="str">
        <f aca="false">IF(B16585&lt;5,"Go","Standard")</f>
        <v>Standard</v>
      </c>
    </row>
    <row r="16586" customFormat="false" ht="15" hidden="false" customHeight="true" outlineLevel="0" collapsed="false">
      <c r="A16586" s="10" t="n">
        <f aca="false">Einstellungen!$B$5+INT((ROW()-9)/24)</f>
        <v>46656</v>
      </c>
      <c r="B16586" s="11" t="n">
        <f aca="false">MOD(ROW()-9,24)</f>
        <v>17</v>
      </c>
      <c r="C16586" s="12"/>
      <c r="D16586" s="13" t="n">
        <f aca="false">IF(B16586&lt;5,Einstellungen!$B$3,Einstellungen!$B$4)</f>
        <v>29.13</v>
      </c>
      <c r="E16586" s="14" t="str">
        <f aca="false">IF(C16586="","",C16586*D16586/100)</f>
        <v/>
      </c>
      <c r="F16586" s="15" t="str">
        <f aca="false">IF(B16586&lt;5,"Go","Standard")</f>
        <v>Standard</v>
      </c>
    </row>
    <row r="16587" customFormat="false" ht="15" hidden="false" customHeight="true" outlineLevel="0" collapsed="false">
      <c r="A16587" s="10" t="n">
        <f aca="false">Einstellungen!$B$5+INT((ROW()-9)/24)</f>
        <v>46656</v>
      </c>
      <c r="B16587" s="11" t="n">
        <f aca="false">MOD(ROW()-9,24)</f>
        <v>18</v>
      </c>
      <c r="C16587" s="12"/>
      <c r="D16587" s="13" t="n">
        <f aca="false">IF(B16587&lt;5,Einstellungen!$B$3,Einstellungen!$B$4)</f>
        <v>29.13</v>
      </c>
      <c r="E16587" s="14" t="str">
        <f aca="false">IF(C16587="","",C16587*D16587/100)</f>
        <v/>
      </c>
      <c r="F16587" s="15" t="str">
        <f aca="false">IF(B16587&lt;5,"Go","Standard")</f>
        <v>Standard</v>
      </c>
    </row>
    <row r="16588" customFormat="false" ht="15" hidden="false" customHeight="true" outlineLevel="0" collapsed="false">
      <c r="A16588" s="10" t="n">
        <f aca="false">Einstellungen!$B$5+INT((ROW()-9)/24)</f>
        <v>46656</v>
      </c>
      <c r="B16588" s="11" t="n">
        <f aca="false">MOD(ROW()-9,24)</f>
        <v>19</v>
      </c>
      <c r="C16588" s="12"/>
      <c r="D16588" s="13" t="n">
        <f aca="false">IF(B16588&lt;5,Einstellungen!$B$3,Einstellungen!$B$4)</f>
        <v>29.13</v>
      </c>
      <c r="E16588" s="14" t="str">
        <f aca="false">IF(C16588="","",C16588*D16588/100)</f>
        <v/>
      </c>
      <c r="F16588" s="15" t="str">
        <f aca="false">IF(B16588&lt;5,"Go","Standard")</f>
        <v>Standard</v>
      </c>
    </row>
    <row r="16589" customFormat="false" ht="15" hidden="false" customHeight="true" outlineLevel="0" collapsed="false">
      <c r="A16589" s="10" t="n">
        <f aca="false">Einstellungen!$B$5+INT((ROW()-9)/24)</f>
        <v>46656</v>
      </c>
      <c r="B16589" s="11" t="n">
        <f aca="false">MOD(ROW()-9,24)</f>
        <v>20</v>
      </c>
      <c r="C16589" s="12"/>
      <c r="D16589" s="13" t="n">
        <f aca="false">IF(B16589&lt;5,Einstellungen!$B$3,Einstellungen!$B$4)</f>
        <v>29.13</v>
      </c>
      <c r="E16589" s="14" t="str">
        <f aca="false">IF(C16589="","",C16589*D16589/100)</f>
        <v/>
      </c>
      <c r="F16589" s="15" t="str">
        <f aca="false">IF(B16589&lt;5,"Go","Standard")</f>
        <v>Standard</v>
      </c>
    </row>
    <row r="16590" customFormat="false" ht="15" hidden="false" customHeight="true" outlineLevel="0" collapsed="false">
      <c r="A16590" s="10" t="n">
        <f aca="false">Einstellungen!$B$5+INT((ROW()-9)/24)</f>
        <v>46656</v>
      </c>
      <c r="B16590" s="11" t="n">
        <f aca="false">MOD(ROW()-9,24)</f>
        <v>21</v>
      </c>
      <c r="C16590" s="12"/>
      <c r="D16590" s="13" t="n">
        <f aca="false">IF(B16590&lt;5,Einstellungen!$B$3,Einstellungen!$B$4)</f>
        <v>29.13</v>
      </c>
      <c r="E16590" s="14" t="str">
        <f aca="false">IF(C16590="","",C16590*D16590/100)</f>
        <v/>
      </c>
      <c r="F16590" s="15" t="str">
        <f aca="false">IF(B16590&lt;5,"Go","Standard")</f>
        <v>Standard</v>
      </c>
    </row>
    <row r="16591" customFormat="false" ht="15" hidden="false" customHeight="true" outlineLevel="0" collapsed="false">
      <c r="A16591" s="10" t="n">
        <f aca="false">Einstellungen!$B$5+INT((ROW()-9)/24)</f>
        <v>46656</v>
      </c>
      <c r="B16591" s="11" t="n">
        <f aca="false">MOD(ROW()-9,24)</f>
        <v>22</v>
      </c>
      <c r="C16591" s="12"/>
      <c r="D16591" s="13" t="n">
        <f aca="false">IF(B16591&lt;5,Einstellungen!$B$3,Einstellungen!$B$4)</f>
        <v>29.13</v>
      </c>
      <c r="E16591" s="14" t="str">
        <f aca="false">IF(C16591="","",C16591*D16591/100)</f>
        <v/>
      </c>
      <c r="F16591" s="15" t="str">
        <f aca="false">IF(B16591&lt;5,"Go","Standard")</f>
        <v>Standard</v>
      </c>
    </row>
    <row r="16592" customFormat="false" ht="15" hidden="false" customHeight="true" outlineLevel="0" collapsed="false">
      <c r="A16592" s="10" t="n">
        <f aca="false">Einstellungen!$B$5+INT((ROW()-9)/24)</f>
        <v>46656</v>
      </c>
      <c r="B16592" s="11" t="n">
        <f aca="false">MOD(ROW()-9,24)</f>
        <v>23</v>
      </c>
      <c r="C16592" s="12"/>
      <c r="D16592" s="13" t="n">
        <f aca="false">IF(B16592&lt;5,Einstellungen!$B$3,Einstellungen!$B$4)</f>
        <v>29.13</v>
      </c>
      <c r="E16592" s="14" t="str">
        <f aca="false">IF(C16592="","",C16592*D16592/100)</f>
        <v/>
      </c>
      <c r="F16592" s="15" t="str">
        <f aca="false">IF(B16592&lt;5,"Go","Standard")</f>
        <v>Standard</v>
      </c>
    </row>
    <row r="16593" customFormat="false" ht="15" hidden="false" customHeight="true" outlineLevel="0" collapsed="false">
      <c r="A16593" s="10" t="n">
        <f aca="false">Einstellungen!$B$5+INT((ROW()-9)/24)</f>
        <v>46657</v>
      </c>
      <c r="B16593" s="11" t="n">
        <f aca="false">MOD(ROW()-9,24)</f>
        <v>0</v>
      </c>
      <c r="C16593" s="12"/>
      <c r="D16593" s="13" t="n">
        <f aca="false">IF(B16593&lt;5,Einstellungen!$B$3,Einstellungen!$B$4)</f>
        <v>15.92</v>
      </c>
      <c r="E16593" s="14" t="str">
        <f aca="false">IF(C16593="","",C16593*D16593/100)</f>
        <v/>
      </c>
      <c r="F16593" s="15" t="str">
        <f aca="false">IF(B16593&lt;5,"Go","Standard")</f>
        <v>Go</v>
      </c>
    </row>
    <row r="16594" customFormat="false" ht="15" hidden="false" customHeight="true" outlineLevel="0" collapsed="false">
      <c r="A16594" s="10" t="n">
        <f aca="false">Einstellungen!$B$5+INT((ROW()-9)/24)</f>
        <v>46657</v>
      </c>
      <c r="B16594" s="11" t="n">
        <f aca="false">MOD(ROW()-9,24)</f>
        <v>1</v>
      </c>
      <c r="C16594" s="12"/>
      <c r="D16594" s="13" t="n">
        <f aca="false">IF(B16594&lt;5,Einstellungen!$B$3,Einstellungen!$B$4)</f>
        <v>15.92</v>
      </c>
      <c r="E16594" s="14" t="str">
        <f aca="false">IF(C16594="","",C16594*D16594/100)</f>
        <v/>
      </c>
      <c r="F16594" s="15" t="str">
        <f aca="false">IF(B16594&lt;5,"Go","Standard")</f>
        <v>Go</v>
      </c>
    </row>
    <row r="16595" customFormat="false" ht="15" hidden="false" customHeight="true" outlineLevel="0" collapsed="false">
      <c r="A16595" s="10" t="n">
        <f aca="false">Einstellungen!$B$5+INT((ROW()-9)/24)</f>
        <v>46657</v>
      </c>
      <c r="B16595" s="11" t="n">
        <f aca="false">MOD(ROW()-9,24)</f>
        <v>2</v>
      </c>
      <c r="C16595" s="12"/>
      <c r="D16595" s="13" t="n">
        <f aca="false">IF(B16595&lt;5,Einstellungen!$B$3,Einstellungen!$B$4)</f>
        <v>15.92</v>
      </c>
      <c r="E16595" s="14" t="str">
        <f aca="false">IF(C16595="","",C16595*D16595/100)</f>
        <v/>
      </c>
      <c r="F16595" s="15" t="str">
        <f aca="false">IF(B16595&lt;5,"Go","Standard")</f>
        <v>Go</v>
      </c>
    </row>
    <row r="16596" customFormat="false" ht="15" hidden="false" customHeight="true" outlineLevel="0" collapsed="false">
      <c r="A16596" s="10" t="n">
        <f aca="false">Einstellungen!$B$5+INT((ROW()-9)/24)</f>
        <v>46657</v>
      </c>
      <c r="B16596" s="11" t="n">
        <f aca="false">MOD(ROW()-9,24)</f>
        <v>3</v>
      </c>
      <c r="C16596" s="12"/>
      <c r="D16596" s="13" t="n">
        <f aca="false">IF(B16596&lt;5,Einstellungen!$B$3,Einstellungen!$B$4)</f>
        <v>15.92</v>
      </c>
      <c r="E16596" s="14" t="str">
        <f aca="false">IF(C16596="","",C16596*D16596/100)</f>
        <v/>
      </c>
      <c r="F16596" s="15" t="str">
        <f aca="false">IF(B16596&lt;5,"Go","Standard")</f>
        <v>Go</v>
      </c>
    </row>
    <row r="16597" customFormat="false" ht="15" hidden="false" customHeight="true" outlineLevel="0" collapsed="false">
      <c r="A16597" s="10" t="n">
        <f aca="false">Einstellungen!$B$5+INT((ROW()-9)/24)</f>
        <v>46657</v>
      </c>
      <c r="B16597" s="11" t="n">
        <f aca="false">MOD(ROW()-9,24)</f>
        <v>4</v>
      </c>
      <c r="C16597" s="12"/>
      <c r="D16597" s="13" t="n">
        <f aca="false">IF(B16597&lt;5,Einstellungen!$B$3,Einstellungen!$B$4)</f>
        <v>15.92</v>
      </c>
      <c r="E16597" s="14" t="str">
        <f aca="false">IF(C16597="","",C16597*D16597/100)</f>
        <v/>
      </c>
      <c r="F16597" s="15" t="str">
        <f aca="false">IF(B16597&lt;5,"Go","Standard")</f>
        <v>Go</v>
      </c>
    </row>
    <row r="16598" customFormat="false" ht="15" hidden="false" customHeight="true" outlineLevel="0" collapsed="false">
      <c r="A16598" s="10" t="n">
        <f aca="false">Einstellungen!$B$5+INT((ROW()-9)/24)</f>
        <v>46657</v>
      </c>
      <c r="B16598" s="11" t="n">
        <f aca="false">MOD(ROW()-9,24)</f>
        <v>5</v>
      </c>
      <c r="C16598" s="12"/>
      <c r="D16598" s="13" t="n">
        <f aca="false">IF(B16598&lt;5,Einstellungen!$B$3,Einstellungen!$B$4)</f>
        <v>29.13</v>
      </c>
      <c r="E16598" s="14" t="str">
        <f aca="false">IF(C16598="","",C16598*D16598/100)</f>
        <v/>
      </c>
      <c r="F16598" s="15" t="str">
        <f aca="false">IF(B16598&lt;5,"Go","Standard")</f>
        <v>Standard</v>
      </c>
    </row>
    <row r="16599" customFormat="false" ht="15" hidden="false" customHeight="true" outlineLevel="0" collapsed="false">
      <c r="A16599" s="10" t="n">
        <f aca="false">Einstellungen!$B$5+INT((ROW()-9)/24)</f>
        <v>46657</v>
      </c>
      <c r="B16599" s="11" t="n">
        <f aca="false">MOD(ROW()-9,24)</f>
        <v>6</v>
      </c>
      <c r="C16599" s="12"/>
      <c r="D16599" s="13" t="n">
        <f aca="false">IF(B16599&lt;5,Einstellungen!$B$3,Einstellungen!$B$4)</f>
        <v>29.13</v>
      </c>
      <c r="E16599" s="14" t="str">
        <f aca="false">IF(C16599="","",C16599*D16599/100)</f>
        <v/>
      </c>
      <c r="F16599" s="15" t="str">
        <f aca="false">IF(B16599&lt;5,"Go","Standard")</f>
        <v>Standard</v>
      </c>
    </row>
    <row r="16600" customFormat="false" ht="15" hidden="false" customHeight="true" outlineLevel="0" collapsed="false">
      <c r="A16600" s="10" t="n">
        <f aca="false">Einstellungen!$B$5+INT((ROW()-9)/24)</f>
        <v>46657</v>
      </c>
      <c r="B16600" s="11" t="n">
        <f aca="false">MOD(ROW()-9,24)</f>
        <v>7</v>
      </c>
      <c r="C16600" s="12"/>
      <c r="D16600" s="13" t="n">
        <f aca="false">IF(B16600&lt;5,Einstellungen!$B$3,Einstellungen!$B$4)</f>
        <v>29.13</v>
      </c>
      <c r="E16600" s="14" t="str">
        <f aca="false">IF(C16600="","",C16600*D16600/100)</f>
        <v/>
      </c>
      <c r="F16600" s="15" t="str">
        <f aca="false">IF(B16600&lt;5,"Go","Standard")</f>
        <v>Standard</v>
      </c>
    </row>
    <row r="16601" customFormat="false" ht="15" hidden="false" customHeight="true" outlineLevel="0" collapsed="false">
      <c r="A16601" s="10" t="n">
        <f aca="false">Einstellungen!$B$5+INT((ROW()-9)/24)</f>
        <v>46657</v>
      </c>
      <c r="B16601" s="11" t="n">
        <f aca="false">MOD(ROW()-9,24)</f>
        <v>8</v>
      </c>
      <c r="C16601" s="12"/>
      <c r="D16601" s="13" t="n">
        <f aca="false">IF(B16601&lt;5,Einstellungen!$B$3,Einstellungen!$B$4)</f>
        <v>29.13</v>
      </c>
      <c r="E16601" s="14" t="str">
        <f aca="false">IF(C16601="","",C16601*D16601/100)</f>
        <v/>
      </c>
      <c r="F16601" s="15" t="str">
        <f aca="false">IF(B16601&lt;5,"Go","Standard")</f>
        <v>Standard</v>
      </c>
    </row>
    <row r="16602" customFormat="false" ht="15" hidden="false" customHeight="true" outlineLevel="0" collapsed="false">
      <c r="A16602" s="10" t="n">
        <f aca="false">Einstellungen!$B$5+INT((ROW()-9)/24)</f>
        <v>46657</v>
      </c>
      <c r="B16602" s="11" t="n">
        <f aca="false">MOD(ROW()-9,24)</f>
        <v>9</v>
      </c>
      <c r="C16602" s="12"/>
      <c r="D16602" s="13" t="n">
        <f aca="false">IF(B16602&lt;5,Einstellungen!$B$3,Einstellungen!$B$4)</f>
        <v>29.13</v>
      </c>
      <c r="E16602" s="14" t="str">
        <f aca="false">IF(C16602="","",C16602*D16602/100)</f>
        <v/>
      </c>
      <c r="F16602" s="15" t="str">
        <f aca="false">IF(B16602&lt;5,"Go","Standard")</f>
        <v>Standard</v>
      </c>
    </row>
    <row r="16603" customFormat="false" ht="15" hidden="false" customHeight="true" outlineLevel="0" collapsed="false">
      <c r="A16603" s="10" t="n">
        <f aca="false">Einstellungen!$B$5+INT((ROW()-9)/24)</f>
        <v>46657</v>
      </c>
      <c r="B16603" s="11" t="n">
        <f aca="false">MOD(ROW()-9,24)</f>
        <v>10</v>
      </c>
      <c r="C16603" s="12"/>
      <c r="D16603" s="13" t="n">
        <f aca="false">IF(B16603&lt;5,Einstellungen!$B$3,Einstellungen!$B$4)</f>
        <v>29.13</v>
      </c>
      <c r="E16603" s="14" t="str">
        <f aca="false">IF(C16603="","",C16603*D16603/100)</f>
        <v/>
      </c>
      <c r="F16603" s="15" t="str">
        <f aca="false">IF(B16603&lt;5,"Go","Standard")</f>
        <v>Standard</v>
      </c>
    </row>
    <row r="16604" customFormat="false" ht="15" hidden="false" customHeight="true" outlineLevel="0" collapsed="false">
      <c r="A16604" s="10" t="n">
        <f aca="false">Einstellungen!$B$5+INT((ROW()-9)/24)</f>
        <v>46657</v>
      </c>
      <c r="B16604" s="11" t="n">
        <f aca="false">MOD(ROW()-9,24)</f>
        <v>11</v>
      </c>
      <c r="C16604" s="12"/>
      <c r="D16604" s="13" t="n">
        <f aca="false">IF(B16604&lt;5,Einstellungen!$B$3,Einstellungen!$B$4)</f>
        <v>29.13</v>
      </c>
      <c r="E16604" s="14" t="str">
        <f aca="false">IF(C16604="","",C16604*D16604/100)</f>
        <v/>
      </c>
      <c r="F16604" s="15" t="str">
        <f aca="false">IF(B16604&lt;5,"Go","Standard")</f>
        <v>Standard</v>
      </c>
    </row>
    <row r="16605" customFormat="false" ht="15" hidden="false" customHeight="true" outlineLevel="0" collapsed="false">
      <c r="A16605" s="10" t="n">
        <f aca="false">Einstellungen!$B$5+INT((ROW()-9)/24)</f>
        <v>46657</v>
      </c>
      <c r="B16605" s="11" t="n">
        <f aca="false">MOD(ROW()-9,24)</f>
        <v>12</v>
      </c>
      <c r="C16605" s="12"/>
      <c r="D16605" s="13" t="n">
        <f aca="false">IF(B16605&lt;5,Einstellungen!$B$3,Einstellungen!$B$4)</f>
        <v>29.13</v>
      </c>
      <c r="E16605" s="14" t="str">
        <f aca="false">IF(C16605="","",C16605*D16605/100)</f>
        <v/>
      </c>
      <c r="F16605" s="15" t="str">
        <f aca="false">IF(B16605&lt;5,"Go","Standard")</f>
        <v>Standard</v>
      </c>
    </row>
    <row r="16606" customFormat="false" ht="15" hidden="false" customHeight="true" outlineLevel="0" collapsed="false">
      <c r="A16606" s="10" t="n">
        <f aca="false">Einstellungen!$B$5+INT((ROW()-9)/24)</f>
        <v>46657</v>
      </c>
      <c r="B16606" s="11" t="n">
        <f aca="false">MOD(ROW()-9,24)</f>
        <v>13</v>
      </c>
      <c r="C16606" s="12"/>
      <c r="D16606" s="13" t="n">
        <f aca="false">IF(B16606&lt;5,Einstellungen!$B$3,Einstellungen!$B$4)</f>
        <v>29.13</v>
      </c>
      <c r="E16606" s="14" t="str">
        <f aca="false">IF(C16606="","",C16606*D16606/100)</f>
        <v/>
      </c>
      <c r="F16606" s="15" t="str">
        <f aca="false">IF(B16606&lt;5,"Go","Standard")</f>
        <v>Standard</v>
      </c>
    </row>
    <row r="16607" customFormat="false" ht="15" hidden="false" customHeight="true" outlineLevel="0" collapsed="false">
      <c r="A16607" s="10" t="n">
        <f aca="false">Einstellungen!$B$5+INT((ROW()-9)/24)</f>
        <v>46657</v>
      </c>
      <c r="B16607" s="11" t="n">
        <f aca="false">MOD(ROW()-9,24)</f>
        <v>14</v>
      </c>
      <c r="C16607" s="12"/>
      <c r="D16607" s="13" t="n">
        <f aca="false">IF(B16607&lt;5,Einstellungen!$B$3,Einstellungen!$B$4)</f>
        <v>29.13</v>
      </c>
      <c r="E16607" s="14" t="str">
        <f aca="false">IF(C16607="","",C16607*D16607/100)</f>
        <v/>
      </c>
      <c r="F16607" s="15" t="str">
        <f aca="false">IF(B16607&lt;5,"Go","Standard")</f>
        <v>Standard</v>
      </c>
    </row>
    <row r="16608" customFormat="false" ht="15" hidden="false" customHeight="true" outlineLevel="0" collapsed="false">
      <c r="A16608" s="10" t="n">
        <f aca="false">Einstellungen!$B$5+INT((ROW()-9)/24)</f>
        <v>46657</v>
      </c>
      <c r="B16608" s="11" t="n">
        <f aca="false">MOD(ROW()-9,24)</f>
        <v>15</v>
      </c>
      <c r="C16608" s="12"/>
      <c r="D16608" s="13" t="n">
        <f aca="false">IF(B16608&lt;5,Einstellungen!$B$3,Einstellungen!$B$4)</f>
        <v>29.13</v>
      </c>
      <c r="E16608" s="14" t="str">
        <f aca="false">IF(C16608="","",C16608*D16608/100)</f>
        <v/>
      </c>
      <c r="F16608" s="15" t="str">
        <f aca="false">IF(B16608&lt;5,"Go","Standard")</f>
        <v>Standard</v>
      </c>
    </row>
    <row r="16609" customFormat="false" ht="15" hidden="false" customHeight="true" outlineLevel="0" collapsed="false">
      <c r="A16609" s="10" t="n">
        <f aca="false">Einstellungen!$B$5+INT((ROW()-9)/24)</f>
        <v>46657</v>
      </c>
      <c r="B16609" s="11" t="n">
        <f aca="false">MOD(ROW()-9,24)</f>
        <v>16</v>
      </c>
      <c r="C16609" s="12"/>
      <c r="D16609" s="13" t="n">
        <f aca="false">IF(B16609&lt;5,Einstellungen!$B$3,Einstellungen!$B$4)</f>
        <v>29.13</v>
      </c>
      <c r="E16609" s="14" t="str">
        <f aca="false">IF(C16609="","",C16609*D16609/100)</f>
        <v/>
      </c>
      <c r="F16609" s="15" t="str">
        <f aca="false">IF(B16609&lt;5,"Go","Standard")</f>
        <v>Standard</v>
      </c>
    </row>
    <row r="16610" customFormat="false" ht="15" hidden="false" customHeight="true" outlineLevel="0" collapsed="false">
      <c r="A16610" s="10" t="n">
        <f aca="false">Einstellungen!$B$5+INT((ROW()-9)/24)</f>
        <v>46657</v>
      </c>
      <c r="B16610" s="11" t="n">
        <f aca="false">MOD(ROW()-9,24)</f>
        <v>17</v>
      </c>
      <c r="C16610" s="12"/>
      <c r="D16610" s="13" t="n">
        <f aca="false">IF(B16610&lt;5,Einstellungen!$B$3,Einstellungen!$B$4)</f>
        <v>29.13</v>
      </c>
      <c r="E16610" s="14" t="str">
        <f aca="false">IF(C16610="","",C16610*D16610/100)</f>
        <v/>
      </c>
      <c r="F16610" s="15" t="str">
        <f aca="false">IF(B16610&lt;5,"Go","Standard")</f>
        <v>Standard</v>
      </c>
    </row>
    <row r="16611" customFormat="false" ht="15" hidden="false" customHeight="true" outlineLevel="0" collapsed="false">
      <c r="A16611" s="10" t="n">
        <f aca="false">Einstellungen!$B$5+INT((ROW()-9)/24)</f>
        <v>46657</v>
      </c>
      <c r="B16611" s="11" t="n">
        <f aca="false">MOD(ROW()-9,24)</f>
        <v>18</v>
      </c>
      <c r="C16611" s="12"/>
      <c r="D16611" s="13" t="n">
        <f aca="false">IF(B16611&lt;5,Einstellungen!$B$3,Einstellungen!$B$4)</f>
        <v>29.13</v>
      </c>
      <c r="E16611" s="14" t="str">
        <f aca="false">IF(C16611="","",C16611*D16611/100)</f>
        <v/>
      </c>
      <c r="F16611" s="15" t="str">
        <f aca="false">IF(B16611&lt;5,"Go","Standard")</f>
        <v>Standard</v>
      </c>
    </row>
    <row r="16612" customFormat="false" ht="15" hidden="false" customHeight="true" outlineLevel="0" collapsed="false">
      <c r="A16612" s="10" t="n">
        <f aca="false">Einstellungen!$B$5+INT((ROW()-9)/24)</f>
        <v>46657</v>
      </c>
      <c r="B16612" s="11" t="n">
        <f aca="false">MOD(ROW()-9,24)</f>
        <v>19</v>
      </c>
      <c r="C16612" s="12"/>
      <c r="D16612" s="13" t="n">
        <f aca="false">IF(B16612&lt;5,Einstellungen!$B$3,Einstellungen!$B$4)</f>
        <v>29.13</v>
      </c>
      <c r="E16612" s="14" t="str">
        <f aca="false">IF(C16612="","",C16612*D16612/100)</f>
        <v/>
      </c>
      <c r="F16612" s="15" t="str">
        <f aca="false">IF(B16612&lt;5,"Go","Standard")</f>
        <v>Standard</v>
      </c>
    </row>
    <row r="16613" customFormat="false" ht="15" hidden="false" customHeight="true" outlineLevel="0" collapsed="false">
      <c r="A16613" s="10" t="n">
        <f aca="false">Einstellungen!$B$5+INT((ROW()-9)/24)</f>
        <v>46657</v>
      </c>
      <c r="B16613" s="11" t="n">
        <f aca="false">MOD(ROW()-9,24)</f>
        <v>20</v>
      </c>
      <c r="C16613" s="12"/>
      <c r="D16613" s="13" t="n">
        <f aca="false">IF(B16613&lt;5,Einstellungen!$B$3,Einstellungen!$B$4)</f>
        <v>29.13</v>
      </c>
      <c r="E16613" s="14" t="str">
        <f aca="false">IF(C16613="","",C16613*D16613/100)</f>
        <v/>
      </c>
      <c r="F16613" s="15" t="str">
        <f aca="false">IF(B16613&lt;5,"Go","Standard")</f>
        <v>Standard</v>
      </c>
    </row>
    <row r="16614" customFormat="false" ht="15" hidden="false" customHeight="true" outlineLevel="0" collapsed="false">
      <c r="A16614" s="10" t="n">
        <f aca="false">Einstellungen!$B$5+INT((ROW()-9)/24)</f>
        <v>46657</v>
      </c>
      <c r="B16614" s="11" t="n">
        <f aca="false">MOD(ROW()-9,24)</f>
        <v>21</v>
      </c>
      <c r="C16614" s="12"/>
      <c r="D16614" s="13" t="n">
        <f aca="false">IF(B16614&lt;5,Einstellungen!$B$3,Einstellungen!$B$4)</f>
        <v>29.13</v>
      </c>
      <c r="E16614" s="14" t="str">
        <f aca="false">IF(C16614="","",C16614*D16614/100)</f>
        <v/>
      </c>
      <c r="F16614" s="15" t="str">
        <f aca="false">IF(B16614&lt;5,"Go","Standard")</f>
        <v>Standard</v>
      </c>
    </row>
    <row r="16615" customFormat="false" ht="15" hidden="false" customHeight="true" outlineLevel="0" collapsed="false">
      <c r="A16615" s="10" t="n">
        <f aca="false">Einstellungen!$B$5+INT((ROW()-9)/24)</f>
        <v>46657</v>
      </c>
      <c r="B16615" s="11" t="n">
        <f aca="false">MOD(ROW()-9,24)</f>
        <v>22</v>
      </c>
      <c r="C16615" s="12"/>
      <c r="D16615" s="13" t="n">
        <f aca="false">IF(B16615&lt;5,Einstellungen!$B$3,Einstellungen!$B$4)</f>
        <v>29.13</v>
      </c>
      <c r="E16615" s="14" t="str">
        <f aca="false">IF(C16615="","",C16615*D16615/100)</f>
        <v/>
      </c>
      <c r="F16615" s="15" t="str">
        <f aca="false">IF(B16615&lt;5,"Go","Standard")</f>
        <v>Standard</v>
      </c>
    </row>
    <row r="16616" customFormat="false" ht="15" hidden="false" customHeight="true" outlineLevel="0" collapsed="false">
      <c r="A16616" s="10" t="n">
        <f aca="false">Einstellungen!$B$5+INT((ROW()-9)/24)</f>
        <v>46657</v>
      </c>
      <c r="B16616" s="11" t="n">
        <f aca="false">MOD(ROW()-9,24)</f>
        <v>23</v>
      </c>
      <c r="C16616" s="12"/>
      <c r="D16616" s="13" t="n">
        <f aca="false">IF(B16616&lt;5,Einstellungen!$B$3,Einstellungen!$B$4)</f>
        <v>29.13</v>
      </c>
      <c r="E16616" s="14" t="str">
        <f aca="false">IF(C16616="","",C16616*D16616/100)</f>
        <v/>
      </c>
      <c r="F16616" s="15" t="str">
        <f aca="false">IF(B16616&lt;5,"Go","Standard")</f>
        <v>Standard</v>
      </c>
    </row>
    <row r="16617" customFormat="false" ht="15" hidden="false" customHeight="true" outlineLevel="0" collapsed="false">
      <c r="A16617" s="10" t="n">
        <f aca="false">Einstellungen!$B$5+INT((ROW()-9)/24)</f>
        <v>46658</v>
      </c>
      <c r="B16617" s="11" t="n">
        <f aca="false">MOD(ROW()-9,24)</f>
        <v>0</v>
      </c>
      <c r="C16617" s="12"/>
      <c r="D16617" s="13" t="n">
        <f aca="false">IF(B16617&lt;5,Einstellungen!$B$3,Einstellungen!$B$4)</f>
        <v>15.92</v>
      </c>
      <c r="E16617" s="14" t="str">
        <f aca="false">IF(C16617="","",C16617*D16617/100)</f>
        <v/>
      </c>
      <c r="F16617" s="15" t="str">
        <f aca="false">IF(B16617&lt;5,"Go","Standard")</f>
        <v>Go</v>
      </c>
    </row>
    <row r="16618" customFormat="false" ht="15" hidden="false" customHeight="true" outlineLevel="0" collapsed="false">
      <c r="A16618" s="10" t="n">
        <f aca="false">Einstellungen!$B$5+INT((ROW()-9)/24)</f>
        <v>46658</v>
      </c>
      <c r="B16618" s="11" t="n">
        <f aca="false">MOD(ROW()-9,24)</f>
        <v>1</v>
      </c>
      <c r="C16618" s="12"/>
      <c r="D16618" s="13" t="n">
        <f aca="false">IF(B16618&lt;5,Einstellungen!$B$3,Einstellungen!$B$4)</f>
        <v>15.92</v>
      </c>
      <c r="E16618" s="14" t="str">
        <f aca="false">IF(C16618="","",C16618*D16618/100)</f>
        <v/>
      </c>
      <c r="F16618" s="15" t="str">
        <f aca="false">IF(B16618&lt;5,"Go","Standard")</f>
        <v>Go</v>
      </c>
    </row>
    <row r="16619" customFormat="false" ht="15" hidden="false" customHeight="true" outlineLevel="0" collapsed="false">
      <c r="A16619" s="10" t="n">
        <f aca="false">Einstellungen!$B$5+INT((ROW()-9)/24)</f>
        <v>46658</v>
      </c>
      <c r="B16619" s="11" t="n">
        <f aca="false">MOD(ROW()-9,24)</f>
        <v>2</v>
      </c>
      <c r="C16619" s="12"/>
      <c r="D16619" s="13" t="n">
        <f aca="false">IF(B16619&lt;5,Einstellungen!$B$3,Einstellungen!$B$4)</f>
        <v>15.92</v>
      </c>
      <c r="E16619" s="14" t="str">
        <f aca="false">IF(C16619="","",C16619*D16619/100)</f>
        <v/>
      </c>
      <c r="F16619" s="15" t="str">
        <f aca="false">IF(B16619&lt;5,"Go","Standard")</f>
        <v>Go</v>
      </c>
    </row>
    <row r="16620" customFormat="false" ht="15" hidden="false" customHeight="true" outlineLevel="0" collapsed="false">
      <c r="A16620" s="10" t="n">
        <f aca="false">Einstellungen!$B$5+INT((ROW()-9)/24)</f>
        <v>46658</v>
      </c>
      <c r="B16620" s="11" t="n">
        <f aca="false">MOD(ROW()-9,24)</f>
        <v>3</v>
      </c>
      <c r="C16620" s="12"/>
      <c r="D16620" s="13" t="n">
        <f aca="false">IF(B16620&lt;5,Einstellungen!$B$3,Einstellungen!$B$4)</f>
        <v>15.92</v>
      </c>
      <c r="E16620" s="14" t="str">
        <f aca="false">IF(C16620="","",C16620*D16620/100)</f>
        <v/>
      </c>
      <c r="F16620" s="15" t="str">
        <f aca="false">IF(B16620&lt;5,"Go","Standard")</f>
        <v>Go</v>
      </c>
    </row>
    <row r="16621" customFormat="false" ht="15" hidden="false" customHeight="true" outlineLevel="0" collapsed="false">
      <c r="A16621" s="10" t="n">
        <f aca="false">Einstellungen!$B$5+INT((ROW()-9)/24)</f>
        <v>46658</v>
      </c>
      <c r="B16621" s="11" t="n">
        <f aca="false">MOD(ROW()-9,24)</f>
        <v>4</v>
      </c>
      <c r="C16621" s="12"/>
      <c r="D16621" s="13" t="n">
        <f aca="false">IF(B16621&lt;5,Einstellungen!$B$3,Einstellungen!$B$4)</f>
        <v>15.92</v>
      </c>
      <c r="E16621" s="14" t="str">
        <f aca="false">IF(C16621="","",C16621*D16621/100)</f>
        <v/>
      </c>
      <c r="F16621" s="15" t="str">
        <f aca="false">IF(B16621&lt;5,"Go","Standard")</f>
        <v>Go</v>
      </c>
    </row>
    <row r="16622" customFormat="false" ht="15" hidden="false" customHeight="true" outlineLevel="0" collapsed="false">
      <c r="A16622" s="10" t="n">
        <f aca="false">Einstellungen!$B$5+INT((ROW()-9)/24)</f>
        <v>46658</v>
      </c>
      <c r="B16622" s="11" t="n">
        <f aca="false">MOD(ROW()-9,24)</f>
        <v>5</v>
      </c>
      <c r="C16622" s="12"/>
      <c r="D16622" s="13" t="n">
        <f aca="false">IF(B16622&lt;5,Einstellungen!$B$3,Einstellungen!$B$4)</f>
        <v>29.13</v>
      </c>
      <c r="E16622" s="14" t="str">
        <f aca="false">IF(C16622="","",C16622*D16622/100)</f>
        <v/>
      </c>
      <c r="F16622" s="15" t="str">
        <f aca="false">IF(B16622&lt;5,"Go","Standard")</f>
        <v>Standard</v>
      </c>
    </row>
    <row r="16623" customFormat="false" ht="15" hidden="false" customHeight="true" outlineLevel="0" collapsed="false">
      <c r="A16623" s="10" t="n">
        <f aca="false">Einstellungen!$B$5+INT((ROW()-9)/24)</f>
        <v>46658</v>
      </c>
      <c r="B16623" s="11" t="n">
        <f aca="false">MOD(ROW()-9,24)</f>
        <v>6</v>
      </c>
      <c r="C16623" s="12"/>
      <c r="D16623" s="13" t="n">
        <f aca="false">IF(B16623&lt;5,Einstellungen!$B$3,Einstellungen!$B$4)</f>
        <v>29.13</v>
      </c>
      <c r="E16623" s="14" t="str">
        <f aca="false">IF(C16623="","",C16623*D16623/100)</f>
        <v/>
      </c>
      <c r="F16623" s="15" t="str">
        <f aca="false">IF(B16623&lt;5,"Go","Standard")</f>
        <v>Standard</v>
      </c>
    </row>
    <row r="16624" customFormat="false" ht="15" hidden="false" customHeight="true" outlineLevel="0" collapsed="false">
      <c r="A16624" s="10" t="n">
        <f aca="false">Einstellungen!$B$5+INT((ROW()-9)/24)</f>
        <v>46658</v>
      </c>
      <c r="B16624" s="11" t="n">
        <f aca="false">MOD(ROW()-9,24)</f>
        <v>7</v>
      </c>
      <c r="C16624" s="12"/>
      <c r="D16624" s="13" t="n">
        <f aca="false">IF(B16624&lt;5,Einstellungen!$B$3,Einstellungen!$B$4)</f>
        <v>29.13</v>
      </c>
      <c r="E16624" s="14" t="str">
        <f aca="false">IF(C16624="","",C16624*D16624/100)</f>
        <v/>
      </c>
      <c r="F16624" s="15" t="str">
        <f aca="false">IF(B16624&lt;5,"Go","Standard")</f>
        <v>Standard</v>
      </c>
    </row>
    <row r="16625" customFormat="false" ht="15" hidden="false" customHeight="true" outlineLevel="0" collapsed="false">
      <c r="A16625" s="10" t="n">
        <f aca="false">Einstellungen!$B$5+INT((ROW()-9)/24)</f>
        <v>46658</v>
      </c>
      <c r="B16625" s="11" t="n">
        <f aca="false">MOD(ROW()-9,24)</f>
        <v>8</v>
      </c>
      <c r="C16625" s="12"/>
      <c r="D16625" s="13" t="n">
        <f aca="false">IF(B16625&lt;5,Einstellungen!$B$3,Einstellungen!$B$4)</f>
        <v>29.13</v>
      </c>
      <c r="E16625" s="14" t="str">
        <f aca="false">IF(C16625="","",C16625*D16625/100)</f>
        <v/>
      </c>
      <c r="F16625" s="15" t="str">
        <f aca="false">IF(B16625&lt;5,"Go","Standard")</f>
        <v>Standard</v>
      </c>
    </row>
    <row r="16626" customFormat="false" ht="15" hidden="false" customHeight="true" outlineLevel="0" collapsed="false">
      <c r="A16626" s="10" t="n">
        <f aca="false">Einstellungen!$B$5+INT((ROW()-9)/24)</f>
        <v>46658</v>
      </c>
      <c r="B16626" s="11" t="n">
        <f aca="false">MOD(ROW()-9,24)</f>
        <v>9</v>
      </c>
      <c r="C16626" s="12"/>
      <c r="D16626" s="13" t="n">
        <f aca="false">IF(B16626&lt;5,Einstellungen!$B$3,Einstellungen!$B$4)</f>
        <v>29.13</v>
      </c>
      <c r="E16626" s="14" t="str">
        <f aca="false">IF(C16626="","",C16626*D16626/100)</f>
        <v/>
      </c>
      <c r="F16626" s="15" t="str">
        <f aca="false">IF(B16626&lt;5,"Go","Standard")</f>
        <v>Standard</v>
      </c>
    </row>
    <row r="16627" customFormat="false" ht="15" hidden="false" customHeight="true" outlineLevel="0" collapsed="false">
      <c r="A16627" s="10" t="n">
        <f aca="false">Einstellungen!$B$5+INT((ROW()-9)/24)</f>
        <v>46658</v>
      </c>
      <c r="B16627" s="11" t="n">
        <f aca="false">MOD(ROW()-9,24)</f>
        <v>10</v>
      </c>
      <c r="C16627" s="12"/>
      <c r="D16627" s="13" t="n">
        <f aca="false">IF(B16627&lt;5,Einstellungen!$B$3,Einstellungen!$B$4)</f>
        <v>29.13</v>
      </c>
      <c r="E16627" s="14" t="str">
        <f aca="false">IF(C16627="","",C16627*D16627/100)</f>
        <v/>
      </c>
      <c r="F16627" s="15" t="str">
        <f aca="false">IF(B16627&lt;5,"Go","Standard")</f>
        <v>Standard</v>
      </c>
    </row>
    <row r="16628" customFormat="false" ht="15" hidden="false" customHeight="true" outlineLevel="0" collapsed="false">
      <c r="A16628" s="10" t="n">
        <f aca="false">Einstellungen!$B$5+INT((ROW()-9)/24)</f>
        <v>46658</v>
      </c>
      <c r="B16628" s="11" t="n">
        <f aca="false">MOD(ROW()-9,24)</f>
        <v>11</v>
      </c>
      <c r="C16628" s="12"/>
      <c r="D16628" s="13" t="n">
        <f aca="false">IF(B16628&lt;5,Einstellungen!$B$3,Einstellungen!$B$4)</f>
        <v>29.13</v>
      </c>
      <c r="E16628" s="14" t="str">
        <f aca="false">IF(C16628="","",C16628*D16628/100)</f>
        <v/>
      </c>
      <c r="F16628" s="15" t="str">
        <f aca="false">IF(B16628&lt;5,"Go","Standard")</f>
        <v>Standard</v>
      </c>
    </row>
    <row r="16629" customFormat="false" ht="15" hidden="false" customHeight="true" outlineLevel="0" collapsed="false">
      <c r="A16629" s="10" t="n">
        <f aca="false">Einstellungen!$B$5+INT((ROW()-9)/24)</f>
        <v>46658</v>
      </c>
      <c r="B16629" s="11" t="n">
        <f aca="false">MOD(ROW()-9,24)</f>
        <v>12</v>
      </c>
      <c r="C16629" s="12"/>
      <c r="D16629" s="13" t="n">
        <f aca="false">IF(B16629&lt;5,Einstellungen!$B$3,Einstellungen!$B$4)</f>
        <v>29.13</v>
      </c>
      <c r="E16629" s="14" t="str">
        <f aca="false">IF(C16629="","",C16629*D16629/100)</f>
        <v/>
      </c>
      <c r="F16629" s="15" t="str">
        <f aca="false">IF(B16629&lt;5,"Go","Standard")</f>
        <v>Standard</v>
      </c>
    </row>
    <row r="16630" customFormat="false" ht="15" hidden="false" customHeight="true" outlineLevel="0" collapsed="false">
      <c r="A16630" s="10" t="n">
        <f aca="false">Einstellungen!$B$5+INT((ROW()-9)/24)</f>
        <v>46658</v>
      </c>
      <c r="B16630" s="11" t="n">
        <f aca="false">MOD(ROW()-9,24)</f>
        <v>13</v>
      </c>
      <c r="C16630" s="12"/>
      <c r="D16630" s="13" t="n">
        <f aca="false">IF(B16630&lt;5,Einstellungen!$B$3,Einstellungen!$B$4)</f>
        <v>29.13</v>
      </c>
      <c r="E16630" s="14" t="str">
        <f aca="false">IF(C16630="","",C16630*D16630/100)</f>
        <v/>
      </c>
      <c r="F16630" s="15" t="str">
        <f aca="false">IF(B16630&lt;5,"Go","Standard")</f>
        <v>Standard</v>
      </c>
    </row>
    <row r="16631" customFormat="false" ht="15" hidden="false" customHeight="true" outlineLevel="0" collapsed="false">
      <c r="A16631" s="10" t="n">
        <f aca="false">Einstellungen!$B$5+INT((ROW()-9)/24)</f>
        <v>46658</v>
      </c>
      <c r="B16631" s="11" t="n">
        <f aca="false">MOD(ROW()-9,24)</f>
        <v>14</v>
      </c>
      <c r="C16631" s="12"/>
      <c r="D16631" s="13" t="n">
        <f aca="false">IF(B16631&lt;5,Einstellungen!$B$3,Einstellungen!$B$4)</f>
        <v>29.13</v>
      </c>
      <c r="E16631" s="14" t="str">
        <f aca="false">IF(C16631="","",C16631*D16631/100)</f>
        <v/>
      </c>
      <c r="F16631" s="15" t="str">
        <f aca="false">IF(B16631&lt;5,"Go","Standard")</f>
        <v>Standard</v>
      </c>
    </row>
    <row r="16632" customFormat="false" ht="15" hidden="false" customHeight="true" outlineLevel="0" collapsed="false">
      <c r="A16632" s="10" t="n">
        <f aca="false">Einstellungen!$B$5+INT((ROW()-9)/24)</f>
        <v>46658</v>
      </c>
      <c r="B16632" s="11" t="n">
        <f aca="false">MOD(ROW()-9,24)</f>
        <v>15</v>
      </c>
      <c r="C16632" s="12"/>
      <c r="D16632" s="13" t="n">
        <f aca="false">IF(B16632&lt;5,Einstellungen!$B$3,Einstellungen!$B$4)</f>
        <v>29.13</v>
      </c>
      <c r="E16632" s="14" t="str">
        <f aca="false">IF(C16632="","",C16632*D16632/100)</f>
        <v/>
      </c>
      <c r="F16632" s="15" t="str">
        <f aca="false">IF(B16632&lt;5,"Go","Standard")</f>
        <v>Standard</v>
      </c>
    </row>
    <row r="16633" customFormat="false" ht="15" hidden="false" customHeight="true" outlineLevel="0" collapsed="false">
      <c r="A16633" s="10" t="n">
        <f aca="false">Einstellungen!$B$5+INT((ROW()-9)/24)</f>
        <v>46658</v>
      </c>
      <c r="B16633" s="11" t="n">
        <f aca="false">MOD(ROW()-9,24)</f>
        <v>16</v>
      </c>
      <c r="C16633" s="12"/>
      <c r="D16633" s="13" t="n">
        <f aca="false">IF(B16633&lt;5,Einstellungen!$B$3,Einstellungen!$B$4)</f>
        <v>29.13</v>
      </c>
      <c r="E16633" s="14" t="str">
        <f aca="false">IF(C16633="","",C16633*D16633/100)</f>
        <v/>
      </c>
      <c r="F16633" s="15" t="str">
        <f aca="false">IF(B16633&lt;5,"Go","Standard")</f>
        <v>Standard</v>
      </c>
    </row>
    <row r="16634" customFormat="false" ht="15" hidden="false" customHeight="true" outlineLevel="0" collapsed="false">
      <c r="A16634" s="10" t="n">
        <f aca="false">Einstellungen!$B$5+INT((ROW()-9)/24)</f>
        <v>46658</v>
      </c>
      <c r="B16634" s="11" t="n">
        <f aca="false">MOD(ROW()-9,24)</f>
        <v>17</v>
      </c>
      <c r="C16634" s="12"/>
      <c r="D16634" s="13" t="n">
        <f aca="false">IF(B16634&lt;5,Einstellungen!$B$3,Einstellungen!$B$4)</f>
        <v>29.13</v>
      </c>
      <c r="E16634" s="14" t="str">
        <f aca="false">IF(C16634="","",C16634*D16634/100)</f>
        <v/>
      </c>
      <c r="F16634" s="15" t="str">
        <f aca="false">IF(B16634&lt;5,"Go","Standard")</f>
        <v>Standard</v>
      </c>
    </row>
    <row r="16635" customFormat="false" ht="15" hidden="false" customHeight="true" outlineLevel="0" collapsed="false">
      <c r="A16635" s="10" t="n">
        <f aca="false">Einstellungen!$B$5+INT((ROW()-9)/24)</f>
        <v>46658</v>
      </c>
      <c r="B16635" s="11" t="n">
        <f aca="false">MOD(ROW()-9,24)</f>
        <v>18</v>
      </c>
      <c r="C16635" s="12"/>
      <c r="D16635" s="13" t="n">
        <f aca="false">IF(B16635&lt;5,Einstellungen!$B$3,Einstellungen!$B$4)</f>
        <v>29.13</v>
      </c>
      <c r="E16635" s="14" t="str">
        <f aca="false">IF(C16635="","",C16635*D16635/100)</f>
        <v/>
      </c>
      <c r="F16635" s="15" t="str">
        <f aca="false">IF(B16635&lt;5,"Go","Standard")</f>
        <v>Standard</v>
      </c>
    </row>
    <row r="16636" customFormat="false" ht="15" hidden="false" customHeight="true" outlineLevel="0" collapsed="false">
      <c r="A16636" s="10" t="n">
        <f aca="false">Einstellungen!$B$5+INT((ROW()-9)/24)</f>
        <v>46658</v>
      </c>
      <c r="B16636" s="11" t="n">
        <f aca="false">MOD(ROW()-9,24)</f>
        <v>19</v>
      </c>
      <c r="C16636" s="12"/>
      <c r="D16636" s="13" t="n">
        <f aca="false">IF(B16636&lt;5,Einstellungen!$B$3,Einstellungen!$B$4)</f>
        <v>29.13</v>
      </c>
      <c r="E16636" s="14" t="str">
        <f aca="false">IF(C16636="","",C16636*D16636/100)</f>
        <v/>
      </c>
      <c r="F16636" s="15" t="str">
        <f aca="false">IF(B16636&lt;5,"Go","Standard")</f>
        <v>Standard</v>
      </c>
    </row>
    <row r="16637" customFormat="false" ht="15" hidden="false" customHeight="true" outlineLevel="0" collapsed="false">
      <c r="A16637" s="10" t="n">
        <f aca="false">Einstellungen!$B$5+INT((ROW()-9)/24)</f>
        <v>46658</v>
      </c>
      <c r="B16637" s="11" t="n">
        <f aca="false">MOD(ROW()-9,24)</f>
        <v>20</v>
      </c>
      <c r="C16637" s="12"/>
      <c r="D16637" s="13" t="n">
        <f aca="false">IF(B16637&lt;5,Einstellungen!$B$3,Einstellungen!$B$4)</f>
        <v>29.13</v>
      </c>
      <c r="E16637" s="14" t="str">
        <f aca="false">IF(C16637="","",C16637*D16637/100)</f>
        <v/>
      </c>
      <c r="F16637" s="15" t="str">
        <f aca="false">IF(B16637&lt;5,"Go","Standard")</f>
        <v>Standard</v>
      </c>
    </row>
    <row r="16638" customFormat="false" ht="15" hidden="false" customHeight="true" outlineLevel="0" collapsed="false">
      <c r="A16638" s="10" t="n">
        <f aca="false">Einstellungen!$B$5+INT((ROW()-9)/24)</f>
        <v>46658</v>
      </c>
      <c r="B16638" s="11" t="n">
        <f aca="false">MOD(ROW()-9,24)</f>
        <v>21</v>
      </c>
      <c r="C16638" s="12"/>
      <c r="D16638" s="13" t="n">
        <f aca="false">IF(B16638&lt;5,Einstellungen!$B$3,Einstellungen!$B$4)</f>
        <v>29.13</v>
      </c>
      <c r="E16638" s="14" t="str">
        <f aca="false">IF(C16638="","",C16638*D16638/100)</f>
        <v/>
      </c>
      <c r="F16638" s="15" t="str">
        <f aca="false">IF(B16638&lt;5,"Go","Standard")</f>
        <v>Standard</v>
      </c>
    </row>
    <row r="16639" customFormat="false" ht="15" hidden="false" customHeight="true" outlineLevel="0" collapsed="false">
      <c r="A16639" s="10" t="n">
        <f aca="false">Einstellungen!$B$5+INT((ROW()-9)/24)</f>
        <v>46658</v>
      </c>
      <c r="B16639" s="11" t="n">
        <f aca="false">MOD(ROW()-9,24)</f>
        <v>22</v>
      </c>
      <c r="C16639" s="12"/>
      <c r="D16639" s="13" t="n">
        <f aca="false">IF(B16639&lt;5,Einstellungen!$B$3,Einstellungen!$B$4)</f>
        <v>29.13</v>
      </c>
      <c r="E16639" s="14" t="str">
        <f aca="false">IF(C16639="","",C16639*D16639/100)</f>
        <v/>
      </c>
      <c r="F16639" s="15" t="str">
        <f aca="false">IF(B16639&lt;5,"Go","Standard")</f>
        <v>Standard</v>
      </c>
    </row>
    <row r="16640" customFormat="false" ht="15" hidden="false" customHeight="true" outlineLevel="0" collapsed="false">
      <c r="A16640" s="10" t="n">
        <f aca="false">Einstellungen!$B$5+INT((ROW()-9)/24)</f>
        <v>46658</v>
      </c>
      <c r="B16640" s="11" t="n">
        <f aca="false">MOD(ROW()-9,24)</f>
        <v>23</v>
      </c>
      <c r="C16640" s="12"/>
      <c r="D16640" s="13" t="n">
        <f aca="false">IF(B16640&lt;5,Einstellungen!$B$3,Einstellungen!$B$4)</f>
        <v>29.13</v>
      </c>
      <c r="E16640" s="14" t="str">
        <f aca="false">IF(C16640="","",C16640*D16640/100)</f>
        <v/>
      </c>
      <c r="F16640" s="15" t="str">
        <f aca="false">IF(B16640&lt;5,"Go","Standard")</f>
        <v>Standard</v>
      </c>
    </row>
    <row r="16641" customFormat="false" ht="15" hidden="false" customHeight="true" outlineLevel="0" collapsed="false">
      <c r="A16641" s="10" t="n">
        <f aca="false">Einstellungen!$B$5+INT((ROW()-9)/24)</f>
        <v>46659</v>
      </c>
      <c r="B16641" s="11" t="n">
        <f aca="false">MOD(ROW()-9,24)</f>
        <v>0</v>
      </c>
      <c r="C16641" s="12"/>
      <c r="D16641" s="13" t="n">
        <f aca="false">IF(B16641&lt;5,Einstellungen!$B$3,Einstellungen!$B$4)</f>
        <v>15.92</v>
      </c>
      <c r="E16641" s="14" t="str">
        <f aca="false">IF(C16641="","",C16641*D16641/100)</f>
        <v/>
      </c>
      <c r="F16641" s="15" t="str">
        <f aca="false">IF(B16641&lt;5,"Go","Standard")</f>
        <v>Go</v>
      </c>
    </row>
    <row r="16642" customFormat="false" ht="15" hidden="false" customHeight="true" outlineLevel="0" collapsed="false">
      <c r="A16642" s="10" t="n">
        <f aca="false">Einstellungen!$B$5+INT((ROW()-9)/24)</f>
        <v>46659</v>
      </c>
      <c r="B16642" s="11" t="n">
        <f aca="false">MOD(ROW()-9,24)</f>
        <v>1</v>
      </c>
      <c r="C16642" s="12"/>
      <c r="D16642" s="13" t="n">
        <f aca="false">IF(B16642&lt;5,Einstellungen!$B$3,Einstellungen!$B$4)</f>
        <v>15.92</v>
      </c>
      <c r="E16642" s="14" t="str">
        <f aca="false">IF(C16642="","",C16642*D16642/100)</f>
        <v/>
      </c>
      <c r="F16642" s="15" t="str">
        <f aca="false">IF(B16642&lt;5,"Go","Standard")</f>
        <v>Go</v>
      </c>
    </row>
    <row r="16643" customFormat="false" ht="15" hidden="false" customHeight="true" outlineLevel="0" collapsed="false">
      <c r="A16643" s="10" t="n">
        <f aca="false">Einstellungen!$B$5+INT((ROW()-9)/24)</f>
        <v>46659</v>
      </c>
      <c r="B16643" s="11" t="n">
        <f aca="false">MOD(ROW()-9,24)</f>
        <v>2</v>
      </c>
      <c r="C16643" s="12"/>
      <c r="D16643" s="13" t="n">
        <f aca="false">IF(B16643&lt;5,Einstellungen!$B$3,Einstellungen!$B$4)</f>
        <v>15.92</v>
      </c>
      <c r="E16643" s="14" t="str">
        <f aca="false">IF(C16643="","",C16643*D16643/100)</f>
        <v/>
      </c>
      <c r="F16643" s="15" t="str">
        <f aca="false">IF(B16643&lt;5,"Go","Standard")</f>
        <v>Go</v>
      </c>
    </row>
    <row r="16644" customFormat="false" ht="15" hidden="false" customHeight="true" outlineLevel="0" collapsed="false">
      <c r="A16644" s="10" t="n">
        <f aca="false">Einstellungen!$B$5+INT((ROW()-9)/24)</f>
        <v>46659</v>
      </c>
      <c r="B16644" s="11" t="n">
        <f aca="false">MOD(ROW()-9,24)</f>
        <v>3</v>
      </c>
      <c r="C16644" s="12"/>
      <c r="D16644" s="13" t="n">
        <f aca="false">IF(B16644&lt;5,Einstellungen!$B$3,Einstellungen!$B$4)</f>
        <v>15.92</v>
      </c>
      <c r="E16644" s="14" t="str">
        <f aca="false">IF(C16644="","",C16644*D16644/100)</f>
        <v/>
      </c>
      <c r="F16644" s="15" t="str">
        <f aca="false">IF(B16644&lt;5,"Go","Standard")</f>
        <v>Go</v>
      </c>
    </row>
    <row r="16645" customFormat="false" ht="15" hidden="false" customHeight="true" outlineLevel="0" collapsed="false">
      <c r="A16645" s="10" t="n">
        <f aca="false">Einstellungen!$B$5+INT((ROW()-9)/24)</f>
        <v>46659</v>
      </c>
      <c r="B16645" s="11" t="n">
        <f aca="false">MOD(ROW()-9,24)</f>
        <v>4</v>
      </c>
      <c r="C16645" s="12"/>
      <c r="D16645" s="13" t="n">
        <f aca="false">IF(B16645&lt;5,Einstellungen!$B$3,Einstellungen!$B$4)</f>
        <v>15.92</v>
      </c>
      <c r="E16645" s="14" t="str">
        <f aca="false">IF(C16645="","",C16645*D16645/100)</f>
        <v/>
      </c>
      <c r="F16645" s="15" t="str">
        <f aca="false">IF(B16645&lt;5,"Go","Standard")</f>
        <v>Go</v>
      </c>
    </row>
    <row r="16646" customFormat="false" ht="15" hidden="false" customHeight="true" outlineLevel="0" collapsed="false">
      <c r="A16646" s="10" t="n">
        <f aca="false">Einstellungen!$B$5+INT((ROW()-9)/24)</f>
        <v>46659</v>
      </c>
      <c r="B16646" s="11" t="n">
        <f aca="false">MOD(ROW()-9,24)</f>
        <v>5</v>
      </c>
      <c r="C16646" s="12"/>
      <c r="D16646" s="13" t="n">
        <f aca="false">IF(B16646&lt;5,Einstellungen!$B$3,Einstellungen!$B$4)</f>
        <v>29.13</v>
      </c>
      <c r="E16646" s="14" t="str">
        <f aca="false">IF(C16646="","",C16646*D16646/100)</f>
        <v/>
      </c>
      <c r="F16646" s="15" t="str">
        <f aca="false">IF(B16646&lt;5,"Go","Standard")</f>
        <v>Standard</v>
      </c>
    </row>
    <row r="16647" customFormat="false" ht="15" hidden="false" customHeight="true" outlineLevel="0" collapsed="false">
      <c r="A16647" s="10" t="n">
        <f aca="false">Einstellungen!$B$5+INT((ROW()-9)/24)</f>
        <v>46659</v>
      </c>
      <c r="B16647" s="11" t="n">
        <f aca="false">MOD(ROW()-9,24)</f>
        <v>6</v>
      </c>
      <c r="C16647" s="12"/>
      <c r="D16647" s="13" t="n">
        <f aca="false">IF(B16647&lt;5,Einstellungen!$B$3,Einstellungen!$B$4)</f>
        <v>29.13</v>
      </c>
      <c r="E16647" s="14" t="str">
        <f aca="false">IF(C16647="","",C16647*D16647/100)</f>
        <v/>
      </c>
      <c r="F16647" s="15" t="str">
        <f aca="false">IF(B16647&lt;5,"Go","Standard")</f>
        <v>Standard</v>
      </c>
    </row>
    <row r="16648" customFormat="false" ht="15" hidden="false" customHeight="true" outlineLevel="0" collapsed="false">
      <c r="A16648" s="10" t="n">
        <f aca="false">Einstellungen!$B$5+INT((ROW()-9)/24)</f>
        <v>46659</v>
      </c>
      <c r="B16648" s="11" t="n">
        <f aca="false">MOD(ROW()-9,24)</f>
        <v>7</v>
      </c>
      <c r="C16648" s="12"/>
      <c r="D16648" s="13" t="n">
        <f aca="false">IF(B16648&lt;5,Einstellungen!$B$3,Einstellungen!$B$4)</f>
        <v>29.13</v>
      </c>
      <c r="E16648" s="14" t="str">
        <f aca="false">IF(C16648="","",C16648*D16648/100)</f>
        <v/>
      </c>
      <c r="F16648" s="15" t="str">
        <f aca="false">IF(B16648&lt;5,"Go","Standard")</f>
        <v>Standard</v>
      </c>
    </row>
    <row r="16649" customFormat="false" ht="15" hidden="false" customHeight="true" outlineLevel="0" collapsed="false">
      <c r="A16649" s="10" t="n">
        <f aca="false">Einstellungen!$B$5+INT((ROW()-9)/24)</f>
        <v>46659</v>
      </c>
      <c r="B16649" s="11" t="n">
        <f aca="false">MOD(ROW()-9,24)</f>
        <v>8</v>
      </c>
      <c r="C16649" s="12"/>
      <c r="D16649" s="13" t="n">
        <f aca="false">IF(B16649&lt;5,Einstellungen!$B$3,Einstellungen!$B$4)</f>
        <v>29.13</v>
      </c>
      <c r="E16649" s="14" t="str">
        <f aca="false">IF(C16649="","",C16649*D16649/100)</f>
        <v/>
      </c>
      <c r="F16649" s="15" t="str">
        <f aca="false">IF(B16649&lt;5,"Go","Standard")</f>
        <v>Standard</v>
      </c>
    </row>
    <row r="16650" customFormat="false" ht="15" hidden="false" customHeight="true" outlineLevel="0" collapsed="false">
      <c r="A16650" s="10" t="n">
        <f aca="false">Einstellungen!$B$5+INT((ROW()-9)/24)</f>
        <v>46659</v>
      </c>
      <c r="B16650" s="11" t="n">
        <f aca="false">MOD(ROW()-9,24)</f>
        <v>9</v>
      </c>
      <c r="C16650" s="12"/>
      <c r="D16650" s="13" t="n">
        <f aca="false">IF(B16650&lt;5,Einstellungen!$B$3,Einstellungen!$B$4)</f>
        <v>29.13</v>
      </c>
      <c r="E16650" s="14" t="str">
        <f aca="false">IF(C16650="","",C16650*D16650/100)</f>
        <v/>
      </c>
      <c r="F16650" s="15" t="str">
        <f aca="false">IF(B16650&lt;5,"Go","Standard")</f>
        <v>Standard</v>
      </c>
    </row>
    <row r="16651" customFormat="false" ht="15" hidden="false" customHeight="true" outlineLevel="0" collapsed="false">
      <c r="A16651" s="10" t="n">
        <f aca="false">Einstellungen!$B$5+INT((ROW()-9)/24)</f>
        <v>46659</v>
      </c>
      <c r="B16651" s="11" t="n">
        <f aca="false">MOD(ROW()-9,24)</f>
        <v>10</v>
      </c>
      <c r="C16651" s="12"/>
      <c r="D16651" s="13" t="n">
        <f aca="false">IF(B16651&lt;5,Einstellungen!$B$3,Einstellungen!$B$4)</f>
        <v>29.13</v>
      </c>
      <c r="E16651" s="14" t="str">
        <f aca="false">IF(C16651="","",C16651*D16651/100)</f>
        <v/>
      </c>
      <c r="F16651" s="15" t="str">
        <f aca="false">IF(B16651&lt;5,"Go","Standard")</f>
        <v>Standard</v>
      </c>
    </row>
    <row r="16652" customFormat="false" ht="15" hidden="false" customHeight="true" outlineLevel="0" collapsed="false">
      <c r="A16652" s="10" t="n">
        <f aca="false">Einstellungen!$B$5+INT((ROW()-9)/24)</f>
        <v>46659</v>
      </c>
      <c r="B16652" s="11" t="n">
        <f aca="false">MOD(ROW()-9,24)</f>
        <v>11</v>
      </c>
      <c r="C16652" s="12"/>
      <c r="D16652" s="13" t="n">
        <f aca="false">IF(B16652&lt;5,Einstellungen!$B$3,Einstellungen!$B$4)</f>
        <v>29.13</v>
      </c>
      <c r="E16652" s="14" t="str">
        <f aca="false">IF(C16652="","",C16652*D16652/100)</f>
        <v/>
      </c>
      <c r="F16652" s="15" t="str">
        <f aca="false">IF(B16652&lt;5,"Go","Standard")</f>
        <v>Standard</v>
      </c>
    </row>
    <row r="16653" customFormat="false" ht="15" hidden="false" customHeight="true" outlineLevel="0" collapsed="false">
      <c r="A16653" s="10" t="n">
        <f aca="false">Einstellungen!$B$5+INT((ROW()-9)/24)</f>
        <v>46659</v>
      </c>
      <c r="B16653" s="11" t="n">
        <f aca="false">MOD(ROW()-9,24)</f>
        <v>12</v>
      </c>
      <c r="C16653" s="12"/>
      <c r="D16653" s="13" t="n">
        <f aca="false">IF(B16653&lt;5,Einstellungen!$B$3,Einstellungen!$B$4)</f>
        <v>29.13</v>
      </c>
      <c r="E16653" s="14" t="str">
        <f aca="false">IF(C16653="","",C16653*D16653/100)</f>
        <v/>
      </c>
      <c r="F16653" s="15" t="str">
        <f aca="false">IF(B16653&lt;5,"Go","Standard")</f>
        <v>Standard</v>
      </c>
    </row>
    <row r="16654" customFormat="false" ht="15" hidden="false" customHeight="true" outlineLevel="0" collapsed="false">
      <c r="A16654" s="10" t="n">
        <f aca="false">Einstellungen!$B$5+INT((ROW()-9)/24)</f>
        <v>46659</v>
      </c>
      <c r="B16654" s="11" t="n">
        <f aca="false">MOD(ROW()-9,24)</f>
        <v>13</v>
      </c>
      <c r="C16654" s="12"/>
      <c r="D16654" s="13" t="n">
        <f aca="false">IF(B16654&lt;5,Einstellungen!$B$3,Einstellungen!$B$4)</f>
        <v>29.13</v>
      </c>
      <c r="E16654" s="14" t="str">
        <f aca="false">IF(C16654="","",C16654*D16654/100)</f>
        <v/>
      </c>
      <c r="F16654" s="15" t="str">
        <f aca="false">IF(B16654&lt;5,"Go","Standard")</f>
        <v>Standard</v>
      </c>
    </row>
    <row r="16655" customFormat="false" ht="15" hidden="false" customHeight="true" outlineLevel="0" collapsed="false">
      <c r="A16655" s="10" t="n">
        <f aca="false">Einstellungen!$B$5+INT((ROW()-9)/24)</f>
        <v>46659</v>
      </c>
      <c r="B16655" s="11" t="n">
        <f aca="false">MOD(ROW()-9,24)</f>
        <v>14</v>
      </c>
      <c r="C16655" s="12"/>
      <c r="D16655" s="13" t="n">
        <f aca="false">IF(B16655&lt;5,Einstellungen!$B$3,Einstellungen!$B$4)</f>
        <v>29.13</v>
      </c>
      <c r="E16655" s="14" t="str">
        <f aca="false">IF(C16655="","",C16655*D16655/100)</f>
        <v/>
      </c>
      <c r="F16655" s="15" t="str">
        <f aca="false">IF(B16655&lt;5,"Go","Standard")</f>
        <v>Standard</v>
      </c>
    </row>
    <row r="16656" customFormat="false" ht="15" hidden="false" customHeight="true" outlineLevel="0" collapsed="false">
      <c r="A16656" s="10" t="n">
        <f aca="false">Einstellungen!$B$5+INT((ROW()-9)/24)</f>
        <v>46659</v>
      </c>
      <c r="B16656" s="11" t="n">
        <f aca="false">MOD(ROW()-9,24)</f>
        <v>15</v>
      </c>
      <c r="C16656" s="12"/>
      <c r="D16656" s="13" t="n">
        <f aca="false">IF(B16656&lt;5,Einstellungen!$B$3,Einstellungen!$B$4)</f>
        <v>29.13</v>
      </c>
      <c r="E16656" s="14" t="str">
        <f aca="false">IF(C16656="","",C16656*D16656/100)</f>
        <v/>
      </c>
      <c r="F16656" s="15" t="str">
        <f aca="false">IF(B16656&lt;5,"Go","Standard")</f>
        <v>Standard</v>
      </c>
    </row>
    <row r="16657" customFormat="false" ht="15" hidden="false" customHeight="true" outlineLevel="0" collapsed="false">
      <c r="A16657" s="10" t="n">
        <f aca="false">Einstellungen!$B$5+INT((ROW()-9)/24)</f>
        <v>46659</v>
      </c>
      <c r="B16657" s="11" t="n">
        <f aca="false">MOD(ROW()-9,24)</f>
        <v>16</v>
      </c>
      <c r="C16657" s="12"/>
      <c r="D16657" s="13" t="n">
        <f aca="false">IF(B16657&lt;5,Einstellungen!$B$3,Einstellungen!$B$4)</f>
        <v>29.13</v>
      </c>
      <c r="E16657" s="14" t="str">
        <f aca="false">IF(C16657="","",C16657*D16657/100)</f>
        <v/>
      </c>
      <c r="F16657" s="15" t="str">
        <f aca="false">IF(B16657&lt;5,"Go","Standard")</f>
        <v>Standard</v>
      </c>
    </row>
    <row r="16658" customFormat="false" ht="15" hidden="false" customHeight="true" outlineLevel="0" collapsed="false">
      <c r="A16658" s="10" t="n">
        <f aca="false">Einstellungen!$B$5+INT((ROW()-9)/24)</f>
        <v>46659</v>
      </c>
      <c r="B16658" s="11" t="n">
        <f aca="false">MOD(ROW()-9,24)</f>
        <v>17</v>
      </c>
      <c r="C16658" s="12"/>
      <c r="D16658" s="13" t="n">
        <f aca="false">IF(B16658&lt;5,Einstellungen!$B$3,Einstellungen!$B$4)</f>
        <v>29.13</v>
      </c>
      <c r="E16658" s="14" t="str">
        <f aca="false">IF(C16658="","",C16658*D16658/100)</f>
        <v/>
      </c>
      <c r="F16658" s="15" t="str">
        <f aca="false">IF(B16658&lt;5,"Go","Standard")</f>
        <v>Standard</v>
      </c>
    </row>
    <row r="16659" customFormat="false" ht="15" hidden="false" customHeight="true" outlineLevel="0" collapsed="false">
      <c r="A16659" s="10" t="n">
        <f aca="false">Einstellungen!$B$5+INT((ROW()-9)/24)</f>
        <v>46659</v>
      </c>
      <c r="B16659" s="11" t="n">
        <f aca="false">MOD(ROW()-9,24)</f>
        <v>18</v>
      </c>
      <c r="C16659" s="12"/>
      <c r="D16659" s="13" t="n">
        <f aca="false">IF(B16659&lt;5,Einstellungen!$B$3,Einstellungen!$B$4)</f>
        <v>29.13</v>
      </c>
      <c r="E16659" s="14" t="str">
        <f aca="false">IF(C16659="","",C16659*D16659/100)</f>
        <v/>
      </c>
      <c r="F16659" s="15" t="str">
        <f aca="false">IF(B16659&lt;5,"Go","Standard")</f>
        <v>Standard</v>
      </c>
    </row>
    <row r="16660" customFormat="false" ht="15" hidden="false" customHeight="true" outlineLevel="0" collapsed="false">
      <c r="A16660" s="10" t="n">
        <f aca="false">Einstellungen!$B$5+INT((ROW()-9)/24)</f>
        <v>46659</v>
      </c>
      <c r="B16660" s="11" t="n">
        <f aca="false">MOD(ROW()-9,24)</f>
        <v>19</v>
      </c>
      <c r="C16660" s="12"/>
      <c r="D16660" s="13" t="n">
        <f aca="false">IF(B16660&lt;5,Einstellungen!$B$3,Einstellungen!$B$4)</f>
        <v>29.13</v>
      </c>
      <c r="E16660" s="14" t="str">
        <f aca="false">IF(C16660="","",C16660*D16660/100)</f>
        <v/>
      </c>
      <c r="F16660" s="15" t="str">
        <f aca="false">IF(B16660&lt;5,"Go","Standard")</f>
        <v>Standard</v>
      </c>
    </row>
    <row r="16661" customFormat="false" ht="15" hidden="false" customHeight="true" outlineLevel="0" collapsed="false">
      <c r="A16661" s="10" t="n">
        <f aca="false">Einstellungen!$B$5+INT((ROW()-9)/24)</f>
        <v>46659</v>
      </c>
      <c r="B16661" s="11" t="n">
        <f aca="false">MOD(ROW()-9,24)</f>
        <v>20</v>
      </c>
      <c r="C16661" s="12"/>
      <c r="D16661" s="13" t="n">
        <f aca="false">IF(B16661&lt;5,Einstellungen!$B$3,Einstellungen!$B$4)</f>
        <v>29.13</v>
      </c>
      <c r="E16661" s="14" t="str">
        <f aca="false">IF(C16661="","",C16661*D16661/100)</f>
        <v/>
      </c>
      <c r="F16661" s="15" t="str">
        <f aca="false">IF(B16661&lt;5,"Go","Standard")</f>
        <v>Standard</v>
      </c>
    </row>
    <row r="16662" customFormat="false" ht="15" hidden="false" customHeight="true" outlineLevel="0" collapsed="false">
      <c r="A16662" s="10" t="n">
        <f aca="false">Einstellungen!$B$5+INT((ROW()-9)/24)</f>
        <v>46659</v>
      </c>
      <c r="B16662" s="11" t="n">
        <f aca="false">MOD(ROW()-9,24)</f>
        <v>21</v>
      </c>
      <c r="C16662" s="12"/>
      <c r="D16662" s="13" t="n">
        <f aca="false">IF(B16662&lt;5,Einstellungen!$B$3,Einstellungen!$B$4)</f>
        <v>29.13</v>
      </c>
      <c r="E16662" s="14" t="str">
        <f aca="false">IF(C16662="","",C16662*D16662/100)</f>
        <v/>
      </c>
      <c r="F16662" s="15" t="str">
        <f aca="false">IF(B16662&lt;5,"Go","Standard")</f>
        <v>Standard</v>
      </c>
    </row>
    <row r="16663" customFormat="false" ht="15" hidden="false" customHeight="true" outlineLevel="0" collapsed="false">
      <c r="A16663" s="10" t="n">
        <f aca="false">Einstellungen!$B$5+INT((ROW()-9)/24)</f>
        <v>46659</v>
      </c>
      <c r="B16663" s="11" t="n">
        <f aca="false">MOD(ROW()-9,24)</f>
        <v>22</v>
      </c>
      <c r="C16663" s="12"/>
      <c r="D16663" s="13" t="n">
        <f aca="false">IF(B16663&lt;5,Einstellungen!$B$3,Einstellungen!$B$4)</f>
        <v>29.13</v>
      </c>
      <c r="E16663" s="14" t="str">
        <f aca="false">IF(C16663="","",C16663*D16663/100)</f>
        <v/>
      </c>
      <c r="F16663" s="15" t="str">
        <f aca="false">IF(B16663&lt;5,"Go","Standard")</f>
        <v>Standard</v>
      </c>
    </row>
    <row r="16664" customFormat="false" ht="15" hidden="false" customHeight="true" outlineLevel="0" collapsed="false">
      <c r="A16664" s="10" t="n">
        <f aca="false">Einstellungen!$B$5+INT((ROW()-9)/24)</f>
        <v>46659</v>
      </c>
      <c r="B16664" s="11" t="n">
        <f aca="false">MOD(ROW()-9,24)</f>
        <v>23</v>
      </c>
      <c r="C16664" s="12"/>
      <c r="D16664" s="13" t="n">
        <f aca="false">IF(B16664&lt;5,Einstellungen!$B$3,Einstellungen!$B$4)</f>
        <v>29.13</v>
      </c>
      <c r="E16664" s="14" t="str">
        <f aca="false">IF(C16664="","",C16664*D16664/100)</f>
        <v/>
      </c>
      <c r="F16664" s="15" t="str">
        <f aca="false">IF(B16664&lt;5,"Go","Standard")</f>
        <v>Standard</v>
      </c>
    </row>
    <row r="16665" customFormat="false" ht="15" hidden="false" customHeight="true" outlineLevel="0" collapsed="false">
      <c r="A16665" s="10" t="n">
        <f aca="false">Einstellungen!$B$5+INT((ROW()-9)/24)</f>
        <v>46660</v>
      </c>
      <c r="B16665" s="11" t="n">
        <f aca="false">MOD(ROW()-9,24)</f>
        <v>0</v>
      </c>
      <c r="C16665" s="12"/>
      <c r="D16665" s="13" t="n">
        <f aca="false">IF(B16665&lt;5,Einstellungen!$B$3,Einstellungen!$B$4)</f>
        <v>15.92</v>
      </c>
      <c r="E16665" s="14" t="str">
        <f aca="false">IF(C16665="","",C16665*D16665/100)</f>
        <v/>
      </c>
      <c r="F16665" s="15" t="str">
        <f aca="false">IF(B16665&lt;5,"Go","Standard")</f>
        <v>Go</v>
      </c>
    </row>
    <row r="16666" customFormat="false" ht="15" hidden="false" customHeight="true" outlineLevel="0" collapsed="false">
      <c r="A16666" s="10" t="n">
        <f aca="false">Einstellungen!$B$5+INT((ROW()-9)/24)</f>
        <v>46660</v>
      </c>
      <c r="B16666" s="11" t="n">
        <f aca="false">MOD(ROW()-9,24)</f>
        <v>1</v>
      </c>
      <c r="C16666" s="12"/>
      <c r="D16666" s="13" t="n">
        <f aca="false">IF(B16666&lt;5,Einstellungen!$B$3,Einstellungen!$B$4)</f>
        <v>15.92</v>
      </c>
      <c r="E16666" s="14" t="str">
        <f aca="false">IF(C16666="","",C16666*D16666/100)</f>
        <v/>
      </c>
      <c r="F16666" s="15" t="str">
        <f aca="false">IF(B16666&lt;5,"Go","Standard")</f>
        <v>Go</v>
      </c>
    </row>
    <row r="16667" customFormat="false" ht="15" hidden="false" customHeight="true" outlineLevel="0" collapsed="false">
      <c r="A16667" s="10" t="n">
        <f aca="false">Einstellungen!$B$5+INT((ROW()-9)/24)</f>
        <v>46660</v>
      </c>
      <c r="B16667" s="11" t="n">
        <f aca="false">MOD(ROW()-9,24)</f>
        <v>2</v>
      </c>
      <c r="C16667" s="12"/>
      <c r="D16667" s="13" t="n">
        <f aca="false">IF(B16667&lt;5,Einstellungen!$B$3,Einstellungen!$B$4)</f>
        <v>15.92</v>
      </c>
      <c r="E16667" s="14" t="str">
        <f aca="false">IF(C16667="","",C16667*D16667/100)</f>
        <v/>
      </c>
      <c r="F16667" s="15" t="str">
        <f aca="false">IF(B16667&lt;5,"Go","Standard")</f>
        <v>Go</v>
      </c>
    </row>
    <row r="16668" customFormat="false" ht="15" hidden="false" customHeight="true" outlineLevel="0" collapsed="false">
      <c r="A16668" s="10" t="n">
        <f aca="false">Einstellungen!$B$5+INT((ROW()-9)/24)</f>
        <v>46660</v>
      </c>
      <c r="B16668" s="11" t="n">
        <f aca="false">MOD(ROW()-9,24)</f>
        <v>3</v>
      </c>
      <c r="C16668" s="12"/>
      <c r="D16668" s="13" t="n">
        <f aca="false">IF(B16668&lt;5,Einstellungen!$B$3,Einstellungen!$B$4)</f>
        <v>15.92</v>
      </c>
      <c r="E16668" s="14" t="str">
        <f aca="false">IF(C16668="","",C16668*D16668/100)</f>
        <v/>
      </c>
      <c r="F16668" s="15" t="str">
        <f aca="false">IF(B16668&lt;5,"Go","Standard")</f>
        <v>Go</v>
      </c>
    </row>
    <row r="16669" customFormat="false" ht="15" hidden="false" customHeight="true" outlineLevel="0" collapsed="false">
      <c r="A16669" s="10" t="n">
        <f aca="false">Einstellungen!$B$5+INT((ROW()-9)/24)</f>
        <v>46660</v>
      </c>
      <c r="B16669" s="11" t="n">
        <f aca="false">MOD(ROW()-9,24)</f>
        <v>4</v>
      </c>
      <c r="C16669" s="12"/>
      <c r="D16669" s="13" t="n">
        <f aca="false">IF(B16669&lt;5,Einstellungen!$B$3,Einstellungen!$B$4)</f>
        <v>15.92</v>
      </c>
      <c r="E16669" s="14" t="str">
        <f aca="false">IF(C16669="","",C16669*D16669/100)</f>
        <v/>
      </c>
      <c r="F16669" s="15" t="str">
        <f aca="false">IF(B16669&lt;5,"Go","Standard")</f>
        <v>Go</v>
      </c>
    </row>
    <row r="16670" customFormat="false" ht="15" hidden="false" customHeight="true" outlineLevel="0" collapsed="false">
      <c r="A16670" s="10" t="n">
        <f aca="false">Einstellungen!$B$5+INT((ROW()-9)/24)</f>
        <v>46660</v>
      </c>
      <c r="B16670" s="11" t="n">
        <f aca="false">MOD(ROW()-9,24)</f>
        <v>5</v>
      </c>
      <c r="C16670" s="12"/>
      <c r="D16670" s="13" t="n">
        <f aca="false">IF(B16670&lt;5,Einstellungen!$B$3,Einstellungen!$B$4)</f>
        <v>29.13</v>
      </c>
      <c r="E16670" s="14" t="str">
        <f aca="false">IF(C16670="","",C16670*D16670/100)</f>
        <v/>
      </c>
      <c r="F16670" s="15" t="str">
        <f aca="false">IF(B16670&lt;5,"Go","Standard")</f>
        <v>Standard</v>
      </c>
    </row>
    <row r="16671" customFormat="false" ht="15" hidden="false" customHeight="true" outlineLevel="0" collapsed="false">
      <c r="A16671" s="10" t="n">
        <f aca="false">Einstellungen!$B$5+INT((ROW()-9)/24)</f>
        <v>46660</v>
      </c>
      <c r="B16671" s="11" t="n">
        <f aca="false">MOD(ROW()-9,24)</f>
        <v>6</v>
      </c>
      <c r="C16671" s="12"/>
      <c r="D16671" s="13" t="n">
        <f aca="false">IF(B16671&lt;5,Einstellungen!$B$3,Einstellungen!$B$4)</f>
        <v>29.13</v>
      </c>
      <c r="E16671" s="14" t="str">
        <f aca="false">IF(C16671="","",C16671*D16671/100)</f>
        <v/>
      </c>
      <c r="F16671" s="15" t="str">
        <f aca="false">IF(B16671&lt;5,"Go","Standard")</f>
        <v>Standard</v>
      </c>
    </row>
    <row r="16672" customFormat="false" ht="15" hidden="false" customHeight="true" outlineLevel="0" collapsed="false">
      <c r="A16672" s="10" t="n">
        <f aca="false">Einstellungen!$B$5+INT((ROW()-9)/24)</f>
        <v>46660</v>
      </c>
      <c r="B16672" s="11" t="n">
        <f aca="false">MOD(ROW()-9,24)</f>
        <v>7</v>
      </c>
      <c r="C16672" s="12"/>
      <c r="D16672" s="13" t="n">
        <f aca="false">IF(B16672&lt;5,Einstellungen!$B$3,Einstellungen!$B$4)</f>
        <v>29.13</v>
      </c>
      <c r="E16672" s="14" t="str">
        <f aca="false">IF(C16672="","",C16672*D16672/100)</f>
        <v/>
      </c>
      <c r="F16672" s="15" t="str">
        <f aca="false">IF(B16672&lt;5,"Go","Standard")</f>
        <v>Standard</v>
      </c>
    </row>
    <row r="16673" customFormat="false" ht="15" hidden="false" customHeight="true" outlineLevel="0" collapsed="false">
      <c r="A16673" s="10" t="n">
        <f aca="false">Einstellungen!$B$5+INT((ROW()-9)/24)</f>
        <v>46660</v>
      </c>
      <c r="B16673" s="11" t="n">
        <f aca="false">MOD(ROW()-9,24)</f>
        <v>8</v>
      </c>
      <c r="C16673" s="12"/>
      <c r="D16673" s="13" t="n">
        <f aca="false">IF(B16673&lt;5,Einstellungen!$B$3,Einstellungen!$B$4)</f>
        <v>29.13</v>
      </c>
      <c r="E16673" s="14" t="str">
        <f aca="false">IF(C16673="","",C16673*D16673/100)</f>
        <v/>
      </c>
      <c r="F16673" s="15" t="str">
        <f aca="false">IF(B16673&lt;5,"Go","Standard")</f>
        <v>Standard</v>
      </c>
    </row>
    <row r="16674" customFormat="false" ht="15" hidden="false" customHeight="true" outlineLevel="0" collapsed="false">
      <c r="A16674" s="10" t="n">
        <f aca="false">Einstellungen!$B$5+INT((ROW()-9)/24)</f>
        <v>46660</v>
      </c>
      <c r="B16674" s="11" t="n">
        <f aca="false">MOD(ROW()-9,24)</f>
        <v>9</v>
      </c>
      <c r="C16674" s="12"/>
      <c r="D16674" s="13" t="n">
        <f aca="false">IF(B16674&lt;5,Einstellungen!$B$3,Einstellungen!$B$4)</f>
        <v>29.13</v>
      </c>
      <c r="E16674" s="14" t="str">
        <f aca="false">IF(C16674="","",C16674*D16674/100)</f>
        <v/>
      </c>
      <c r="F16674" s="15" t="str">
        <f aca="false">IF(B16674&lt;5,"Go","Standard")</f>
        <v>Standard</v>
      </c>
    </row>
    <row r="16675" customFormat="false" ht="15" hidden="false" customHeight="true" outlineLevel="0" collapsed="false">
      <c r="A16675" s="10" t="n">
        <f aca="false">Einstellungen!$B$5+INT((ROW()-9)/24)</f>
        <v>46660</v>
      </c>
      <c r="B16675" s="11" t="n">
        <f aca="false">MOD(ROW()-9,24)</f>
        <v>10</v>
      </c>
      <c r="C16675" s="12"/>
      <c r="D16675" s="13" t="n">
        <f aca="false">IF(B16675&lt;5,Einstellungen!$B$3,Einstellungen!$B$4)</f>
        <v>29.13</v>
      </c>
      <c r="E16675" s="14" t="str">
        <f aca="false">IF(C16675="","",C16675*D16675/100)</f>
        <v/>
      </c>
      <c r="F16675" s="15" t="str">
        <f aca="false">IF(B16675&lt;5,"Go","Standard")</f>
        <v>Standard</v>
      </c>
    </row>
    <row r="16676" customFormat="false" ht="15" hidden="false" customHeight="true" outlineLevel="0" collapsed="false">
      <c r="A16676" s="10" t="n">
        <f aca="false">Einstellungen!$B$5+INT((ROW()-9)/24)</f>
        <v>46660</v>
      </c>
      <c r="B16676" s="11" t="n">
        <f aca="false">MOD(ROW()-9,24)</f>
        <v>11</v>
      </c>
      <c r="C16676" s="12"/>
      <c r="D16676" s="13" t="n">
        <f aca="false">IF(B16676&lt;5,Einstellungen!$B$3,Einstellungen!$B$4)</f>
        <v>29.13</v>
      </c>
      <c r="E16676" s="14" t="str">
        <f aca="false">IF(C16676="","",C16676*D16676/100)</f>
        <v/>
      </c>
      <c r="F16676" s="15" t="str">
        <f aca="false">IF(B16676&lt;5,"Go","Standard")</f>
        <v>Standard</v>
      </c>
    </row>
    <row r="16677" customFormat="false" ht="15" hidden="false" customHeight="true" outlineLevel="0" collapsed="false">
      <c r="A16677" s="10" t="n">
        <f aca="false">Einstellungen!$B$5+INT((ROW()-9)/24)</f>
        <v>46660</v>
      </c>
      <c r="B16677" s="11" t="n">
        <f aca="false">MOD(ROW()-9,24)</f>
        <v>12</v>
      </c>
      <c r="C16677" s="12"/>
      <c r="D16677" s="13" t="n">
        <f aca="false">IF(B16677&lt;5,Einstellungen!$B$3,Einstellungen!$B$4)</f>
        <v>29.13</v>
      </c>
      <c r="E16677" s="14" t="str">
        <f aca="false">IF(C16677="","",C16677*D16677/100)</f>
        <v/>
      </c>
      <c r="F16677" s="15" t="str">
        <f aca="false">IF(B16677&lt;5,"Go","Standard")</f>
        <v>Standard</v>
      </c>
    </row>
    <row r="16678" customFormat="false" ht="15" hidden="false" customHeight="true" outlineLevel="0" collapsed="false">
      <c r="A16678" s="10" t="n">
        <f aca="false">Einstellungen!$B$5+INT((ROW()-9)/24)</f>
        <v>46660</v>
      </c>
      <c r="B16678" s="11" t="n">
        <f aca="false">MOD(ROW()-9,24)</f>
        <v>13</v>
      </c>
      <c r="C16678" s="12"/>
      <c r="D16678" s="13" t="n">
        <f aca="false">IF(B16678&lt;5,Einstellungen!$B$3,Einstellungen!$B$4)</f>
        <v>29.13</v>
      </c>
      <c r="E16678" s="14" t="str">
        <f aca="false">IF(C16678="","",C16678*D16678/100)</f>
        <v/>
      </c>
      <c r="F16678" s="15" t="str">
        <f aca="false">IF(B16678&lt;5,"Go","Standard")</f>
        <v>Standard</v>
      </c>
    </row>
    <row r="16679" customFormat="false" ht="15" hidden="false" customHeight="true" outlineLevel="0" collapsed="false">
      <c r="A16679" s="10" t="n">
        <f aca="false">Einstellungen!$B$5+INT((ROW()-9)/24)</f>
        <v>46660</v>
      </c>
      <c r="B16679" s="11" t="n">
        <f aca="false">MOD(ROW()-9,24)</f>
        <v>14</v>
      </c>
      <c r="C16679" s="12"/>
      <c r="D16679" s="13" t="n">
        <f aca="false">IF(B16679&lt;5,Einstellungen!$B$3,Einstellungen!$B$4)</f>
        <v>29.13</v>
      </c>
      <c r="E16679" s="14" t="str">
        <f aca="false">IF(C16679="","",C16679*D16679/100)</f>
        <v/>
      </c>
      <c r="F16679" s="15" t="str">
        <f aca="false">IF(B16679&lt;5,"Go","Standard")</f>
        <v>Standard</v>
      </c>
    </row>
    <row r="16680" customFormat="false" ht="15" hidden="false" customHeight="true" outlineLevel="0" collapsed="false">
      <c r="A16680" s="10" t="n">
        <f aca="false">Einstellungen!$B$5+INT((ROW()-9)/24)</f>
        <v>46660</v>
      </c>
      <c r="B16680" s="11" t="n">
        <f aca="false">MOD(ROW()-9,24)</f>
        <v>15</v>
      </c>
      <c r="C16680" s="12"/>
      <c r="D16680" s="13" t="n">
        <f aca="false">IF(B16680&lt;5,Einstellungen!$B$3,Einstellungen!$B$4)</f>
        <v>29.13</v>
      </c>
      <c r="E16680" s="14" t="str">
        <f aca="false">IF(C16680="","",C16680*D16680/100)</f>
        <v/>
      </c>
      <c r="F16680" s="15" t="str">
        <f aca="false">IF(B16680&lt;5,"Go","Standard")</f>
        <v>Standard</v>
      </c>
    </row>
    <row r="16681" customFormat="false" ht="15" hidden="false" customHeight="true" outlineLevel="0" collapsed="false">
      <c r="A16681" s="10" t="n">
        <f aca="false">Einstellungen!$B$5+INT((ROW()-9)/24)</f>
        <v>46660</v>
      </c>
      <c r="B16681" s="11" t="n">
        <f aca="false">MOD(ROW()-9,24)</f>
        <v>16</v>
      </c>
      <c r="C16681" s="12"/>
      <c r="D16681" s="13" t="n">
        <f aca="false">IF(B16681&lt;5,Einstellungen!$B$3,Einstellungen!$B$4)</f>
        <v>29.13</v>
      </c>
      <c r="E16681" s="14" t="str">
        <f aca="false">IF(C16681="","",C16681*D16681/100)</f>
        <v/>
      </c>
      <c r="F16681" s="15" t="str">
        <f aca="false">IF(B16681&lt;5,"Go","Standard")</f>
        <v>Standard</v>
      </c>
    </row>
    <row r="16682" customFormat="false" ht="15" hidden="false" customHeight="true" outlineLevel="0" collapsed="false">
      <c r="A16682" s="10" t="n">
        <f aca="false">Einstellungen!$B$5+INT((ROW()-9)/24)</f>
        <v>46660</v>
      </c>
      <c r="B16682" s="11" t="n">
        <f aca="false">MOD(ROW()-9,24)</f>
        <v>17</v>
      </c>
      <c r="C16682" s="12"/>
      <c r="D16682" s="13" t="n">
        <f aca="false">IF(B16682&lt;5,Einstellungen!$B$3,Einstellungen!$B$4)</f>
        <v>29.13</v>
      </c>
      <c r="E16682" s="14" t="str">
        <f aca="false">IF(C16682="","",C16682*D16682/100)</f>
        <v/>
      </c>
      <c r="F16682" s="15" t="str">
        <f aca="false">IF(B16682&lt;5,"Go","Standard")</f>
        <v>Standard</v>
      </c>
    </row>
    <row r="16683" customFormat="false" ht="15" hidden="false" customHeight="true" outlineLevel="0" collapsed="false">
      <c r="A16683" s="10" t="n">
        <f aca="false">Einstellungen!$B$5+INT((ROW()-9)/24)</f>
        <v>46660</v>
      </c>
      <c r="B16683" s="11" t="n">
        <f aca="false">MOD(ROW()-9,24)</f>
        <v>18</v>
      </c>
      <c r="C16683" s="12"/>
      <c r="D16683" s="13" t="n">
        <f aca="false">IF(B16683&lt;5,Einstellungen!$B$3,Einstellungen!$B$4)</f>
        <v>29.13</v>
      </c>
      <c r="E16683" s="14" t="str">
        <f aca="false">IF(C16683="","",C16683*D16683/100)</f>
        <v/>
      </c>
      <c r="F16683" s="15" t="str">
        <f aca="false">IF(B16683&lt;5,"Go","Standard")</f>
        <v>Standard</v>
      </c>
    </row>
    <row r="16684" customFormat="false" ht="15" hidden="false" customHeight="true" outlineLevel="0" collapsed="false">
      <c r="A16684" s="10" t="n">
        <f aca="false">Einstellungen!$B$5+INT((ROW()-9)/24)</f>
        <v>46660</v>
      </c>
      <c r="B16684" s="11" t="n">
        <f aca="false">MOD(ROW()-9,24)</f>
        <v>19</v>
      </c>
      <c r="C16684" s="12"/>
      <c r="D16684" s="13" t="n">
        <f aca="false">IF(B16684&lt;5,Einstellungen!$B$3,Einstellungen!$B$4)</f>
        <v>29.13</v>
      </c>
      <c r="E16684" s="14" t="str">
        <f aca="false">IF(C16684="","",C16684*D16684/100)</f>
        <v/>
      </c>
      <c r="F16684" s="15" t="str">
        <f aca="false">IF(B16684&lt;5,"Go","Standard")</f>
        <v>Standard</v>
      </c>
    </row>
    <row r="16685" customFormat="false" ht="15" hidden="false" customHeight="true" outlineLevel="0" collapsed="false">
      <c r="A16685" s="10" t="n">
        <f aca="false">Einstellungen!$B$5+INT((ROW()-9)/24)</f>
        <v>46660</v>
      </c>
      <c r="B16685" s="11" t="n">
        <f aca="false">MOD(ROW()-9,24)</f>
        <v>20</v>
      </c>
      <c r="C16685" s="12"/>
      <c r="D16685" s="13" t="n">
        <f aca="false">IF(B16685&lt;5,Einstellungen!$B$3,Einstellungen!$B$4)</f>
        <v>29.13</v>
      </c>
      <c r="E16685" s="14" t="str">
        <f aca="false">IF(C16685="","",C16685*D16685/100)</f>
        <v/>
      </c>
      <c r="F16685" s="15" t="str">
        <f aca="false">IF(B16685&lt;5,"Go","Standard")</f>
        <v>Standard</v>
      </c>
    </row>
    <row r="16686" customFormat="false" ht="15" hidden="false" customHeight="true" outlineLevel="0" collapsed="false">
      <c r="A16686" s="10" t="n">
        <f aca="false">Einstellungen!$B$5+INT((ROW()-9)/24)</f>
        <v>46660</v>
      </c>
      <c r="B16686" s="11" t="n">
        <f aca="false">MOD(ROW()-9,24)</f>
        <v>21</v>
      </c>
      <c r="C16686" s="12"/>
      <c r="D16686" s="13" t="n">
        <f aca="false">IF(B16686&lt;5,Einstellungen!$B$3,Einstellungen!$B$4)</f>
        <v>29.13</v>
      </c>
      <c r="E16686" s="14" t="str">
        <f aca="false">IF(C16686="","",C16686*D16686/100)</f>
        <v/>
      </c>
      <c r="F16686" s="15" t="str">
        <f aca="false">IF(B16686&lt;5,"Go","Standard")</f>
        <v>Standard</v>
      </c>
    </row>
    <row r="16687" customFormat="false" ht="15" hidden="false" customHeight="true" outlineLevel="0" collapsed="false">
      <c r="A16687" s="10" t="n">
        <f aca="false">Einstellungen!$B$5+INT((ROW()-9)/24)</f>
        <v>46660</v>
      </c>
      <c r="B16687" s="11" t="n">
        <f aca="false">MOD(ROW()-9,24)</f>
        <v>22</v>
      </c>
      <c r="C16687" s="12"/>
      <c r="D16687" s="13" t="n">
        <f aca="false">IF(B16687&lt;5,Einstellungen!$B$3,Einstellungen!$B$4)</f>
        <v>29.13</v>
      </c>
      <c r="E16687" s="14" t="str">
        <f aca="false">IF(C16687="","",C16687*D16687/100)</f>
        <v/>
      </c>
      <c r="F16687" s="15" t="str">
        <f aca="false">IF(B16687&lt;5,"Go","Standard")</f>
        <v>Standard</v>
      </c>
    </row>
    <row r="16688" customFormat="false" ht="15" hidden="false" customHeight="true" outlineLevel="0" collapsed="false">
      <c r="A16688" s="10" t="n">
        <f aca="false">Einstellungen!$B$5+INT((ROW()-9)/24)</f>
        <v>46660</v>
      </c>
      <c r="B16688" s="11" t="n">
        <f aca="false">MOD(ROW()-9,24)</f>
        <v>23</v>
      </c>
      <c r="C16688" s="12"/>
      <c r="D16688" s="13" t="n">
        <f aca="false">IF(B16688&lt;5,Einstellungen!$B$3,Einstellungen!$B$4)</f>
        <v>29.13</v>
      </c>
      <c r="E16688" s="14" t="str">
        <f aca="false">IF(C16688="","",C16688*D16688/100)</f>
        <v/>
      </c>
      <c r="F16688" s="15" t="str">
        <f aca="false">IF(B16688&lt;5,"Go","Standard")</f>
        <v>Standard</v>
      </c>
    </row>
    <row r="16689" customFormat="false" ht="15" hidden="false" customHeight="true" outlineLevel="0" collapsed="false">
      <c r="A16689" s="10" t="n">
        <f aca="false">Einstellungen!$B$5+INT((ROW()-9)/24)</f>
        <v>46661</v>
      </c>
      <c r="B16689" s="11" t="n">
        <f aca="false">MOD(ROW()-9,24)</f>
        <v>0</v>
      </c>
      <c r="C16689" s="12"/>
      <c r="D16689" s="13" t="n">
        <f aca="false">IF(B16689&lt;5,Einstellungen!$B$3,Einstellungen!$B$4)</f>
        <v>15.92</v>
      </c>
      <c r="E16689" s="14" t="str">
        <f aca="false">IF(C16689="","",C16689*D16689/100)</f>
        <v/>
      </c>
      <c r="F16689" s="15" t="str">
        <f aca="false">IF(B16689&lt;5,"Go","Standard")</f>
        <v>Go</v>
      </c>
    </row>
    <row r="16690" customFormat="false" ht="15" hidden="false" customHeight="true" outlineLevel="0" collapsed="false">
      <c r="A16690" s="10" t="n">
        <f aca="false">Einstellungen!$B$5+INT((ROW()-9)/24)</f>
        <v>46661</v>
      </c>
      <c r="B16690" s="11" t="n">
        <f aca="false">MOD(ROW()-9,24)</f>
        <v>1</v>
      </c>
      <c r="C16690" s="12"/>
      <c r="D16690" s="13" t="n">
        <f aca="false">IF(B16690&lt;5,Einstellungen!$B$3,Einstellungen!$B$4)</f>
        <v>15.92</v>
      </c>
      <c r="E16690" s="14" t="str">
        <f aca="false">IF(C16690="","",C16690*D16690/100)</f>
        <v/>
      </c>
      <c r="F16690" s="15" t="str">
        <f aca="false">IF(B16690&lt;5,"Go","Standard")</f>
        <v>Go</v>
      </c>
    </row>
    <row r="16691" customFormat="false" ht="15" hidden="false" customHeight="true" outlineLevel="0" collapsed="false">
      <c r="A16691" s="10" t="n">
        <f aca="false">Einstellungen!$B$5+INT((ROW()-9)/24)</f>
        <v>46661</v>
      </c>
      <c r="B16691" s="11" t="n">
        <f aca="false">MOD(ROW()-9,24)</f>
        <v>2</v>
      </c>
      <c r="C16691" s="12"/>
      <c r="D16691" s="13" t="n">
        <f aca="false">IF(B16691&lt;5,Einstellungen!$B$3,Einstellungen!$B$4)</f>
        <v>15.92</v>
      </c>
      <c r="E16691" s="14" t="str">
        <f aca="false">IF(C16691="","",C16691*D16691/100)</f>
        <v/>
      </c>
      <c r="F16691" s="15" t="str">
        <f aca="false">IF(B16691&lt;5,"Go","Standard")</f>
        <v>Go</v>
      </c>
    </row>
    <row r="16692" customFormat="false" ht="15" hidden="false" customHeight="true" outlineLevel="0" collapsed="false">
      <c r="A16692" s="10" t="n">
        <f aca="false">Einstellungen!$B$5+INT((ROW()-9)/24)</f>
        <v>46661</v>
      </c>
      <c r="B16692" s="11" t="n">
        <f aca="false">MOD(ROW()-9,24)</f>
        <v>3</v>
      </c>
      <c r="C16692" s="12"/>
      <c r="D16692" s="13" t="n">
        <f aca="false">IF(B16692&lt;5,Einstellungen!$B$3,Einstellungen!$B$4)</f>
        <v>15.92</v>
      </c>
      <c r="E16692" s="14" t="str">
        <f aca="false">IF(C16692="","",C16692*D16692/100)</f>
        <v/>
      </c>
      <c r="F16692" s="15" t="str">
        <f aca="false">IF(B16692&lt;5,"Go","Standard")</f>
        <v>Go</v>
      </c>
    </row>
    <row r="16693" customFormat="false" ht="15" hidden="false" customHeight="true" outlineLevel="0" collapsed="false">
      <c r="A16693" s="10" t="n">
        <f aca="false">Einstellungen!$B$5+INT((ROW()-9)/24)</f>
        <v>46661</v>
      </c>
      <c r="B16693" s="11" t="n">
        <f aca="false">MOD(ROW()-9,24)</f>
        <v>4</v>
      </c>
      <c r="C16693" s="12"/>
      <c r="D16693" s="13" t="n">
        <f aca="false">IF(B16693&lt;5,Einstellungen!$B$3,Einstellungen!$B$4)</f>
        <v>15.92</v>
      </c>
      <c r="E16693" s="14" t="str">
        <f aca="false">IF(C16693="","",C16693*D16693/100)</f>
        <v/>
      </c>
      <c r="F16693" s="15" t="str">
        <f aca="false">IF(B16693&lt;5,"Go","Standard")</f>
        <v>Go</v>
      </c>
    </row>
    <row r="16694" customFormat="false" ht="15" hidden="false" customHeight="true" outlineLevel="0" collapsed="false">
      <c r="A16694" s="10" t="n">
        <f aca="false">Einstellungen!$B$5+INT((ROW()-9)/24)</f>
        <v>46661</v>
      </c>
      <c r="B16694" s="11" t="n">
        <f aca="false">MOD(ROW()-9,24)</f>
        <v>5</v>
      </c>
      <c r="C16694" s="12"/>
      <c r="D16694" s="13" t="n">
        <f aca="false">IF(B16694&lt;5,Einstellungen!$B$3,Einstellungen!$B$4)</f>
        <v>29.13</v>
      </c>
      <c r="E16694" s="14" t="str">
        <f aca="false">IF(C16694="","",C16694*D16694/100)</f>
        <v/>
      </c>
      <c r="F16694" s="15" t="str">
        <f aca="false">IF(B16694&lt;5,"Go","Standard")</f>
        <v>Standard</v>
      </c>
    </row>
    <row r="16695" customFormat="false" ht="15" hidden="false" customHeight="true" outlineLevel="0" collapsed="false">
      <c r="A16695" s="10" t="n">
        <f aca="false">Einstellungen!$B$5+INT((ROW()-9)/24)</f>
        <v>46661</v>
      </c>
      <c r="B16695" s="11" t="n">
        <f aca="false">MOD(ROW()-9,24)</f>
        <v>6</v>
      </c>
      <c r="C16695" s="12"/>
      <c r="D16695" s="13" t="n">
        <f aca="false">IF(B16695&lt;5,Einstellungen!$B$3,Einstellungen!$B$4)</f>
        <v>29.13</v>
      </c>
      <c r="E16695" s="14" t="str">
        <f aca="false">IF(C16695="","",C16695*D16695/100)</f>
        <v/>
      </c>
      <c r="F16695" s="15" t="str">
        <f aca="false">IF(B16695&lt;5,"Go","Standard")</f>
        <v>Standard</v>
      </c>
    </row>
    <row r="16696" customFormat="false" ht="15" hidden="false" customHeight="true" outlineLevel="0" collapsed="false">
      <c r="A16696" s="10" t="n">
        <f aca="false">Einstellungen!$B$5+INT((ROW()-9)/24)</f>
        <v>46661</v>
      </c>
      <c r="B16696" s="11" t="n">
        <f aca="false">MOD(ROW()-9,24)</f>
        <v>7</v>
      </c>
      <c r="C16696" s="12"/>
      <c r="D16696" s="13" t="n">
        <f aca="false">IF(B16696&lt;5,Einstellungen!$B$3,Einstellungen!$B$4)</f>
        <v>29.13</v>
      </c>
      <c r="E16696" s="14" t="str">
        <f aca="false">IF(C16696="","",C16696*D16696/100)</f>
        <v/>
      </c>
      <c r="F16696" s="15" t="str">
        <f aca="false">IF(B16696&lt;5,"Go","Standard")</f>
        <v>Standard</v>
      </c>
    </row>
    <row r="16697" customFormat="false" ht="15" hidden="false" customHeight="true" outlineLevel="0" collapsed="false">
      <c r="A16697" s="10" t="n">
        <f aca="false">Einstellungen!$B$5+INT((ROW()-9)/24)</f>
        <v>46661</v>
      </c>
      <c r="B16697" s="11" t="n">
        <f aca="false">MOD(ROW()-9,24)</f>
        <v>8</v>
      </c>
      <c r="C16697" s="12"/>
      <c r="D16697" s="13" t="n">
        <f aca="false">IF(B16697&lt;5,Einstellungen!$B$3,Einstellungen!$B$4)</f>
        <v>29.13</v>
      </c>
      <c r="E16697" s="14" t="str">
        <f aca="false">IF(C16697="","",C16697*D16697/100)</f>
        <v/>
      </c>
      <c r="F16697" s="15" t="str">
        <f aca="false">IF(B16697&lt;5,"Go","Standard")</f>
        <v>Standard</v>
      </c>
    </row>
    <row r="16698" customFormat="false" ht="15" hidden="false" customHeight="true" outlineLevel="0" collapsed="false">
      <c r="A16698" s="10" t="n">
        <f aca="false">Einstellungen!$B$5+INT((ROW()-9)/24)</f>
        <v>46661</v>
      </c>
      <c r="B16698" s="11" t="n">
        <f aca="false">MOD(ROW()-9,24)</f>
        <v>9</v>
      </c>
      <c r="C16698" s="12"/>
      <c r="D16698" s="13" t="n">
        <f aca="false">IF(B16698&lt;5,Einstellungen!$B$3,Einstellungen!$B$4)</f>
        <v>29.13</v>
      </c>
      <c r="E16698" s="14" t="str">
        <f aca="false">IF(C16698="","",C16698*D16698/100)</f>
        <v/>
      </c>
      <c r="F16698" s="15" t="str">
        <f aca="false">IF(B16698&lt;5,"Go","Standard")</f>
        <v>Standard</v>
      </c>
    </row>
    <row r="16699" customFormat="false" ht="15" hidden="false" customHeight="true" outlineLevel="0" collapsed="false">
      <c r="A16699" s="10" t="n">
        <f aca="false">Einstellungen!$B$5+INT((ROW()-9)/24)</f>
        <v>46661</v>
      </c>
      <c r="B16699" s="11" t="n">
        <f aca="false">MOD(ROW()-9,24)</f>
        <v>10</v>
      </c>
      <c r="C16699" s="12"/>
      <c r="D16699" s="13" t="n">
        <f aca="false">IF(B16699&lt;5,Einstellungen!$B$3,Einstellungen!$B$4)</f>
        <v>29.13</v>
      </c>
      <c r="E16699" s="14" t="str">
        <f aca="false">IF(C16699="","",C16699*D16699/100)</f>
        <v/>
      </c>
      <c r="F16699" s="15" t="str">
        <f aca="false">IF(B16699&lt;5,"Go","Standard")</f>
        <v>Standard</v>
      </c>
    </row>
    <row r="16700" customFormat="false" ht="15" hidden="false" customHeight="true" outlineLevel="0" collapsed="false">
      <c r="A16700" s="10" t="n">
        <f aca="false">Einstellungen!$B$5+INT((ROW()-9)/24)</f>
        <v>46661</v>
      </c>
      <c r="B16700" s="11" t="n">
        <f aca="false">MOD(ROW()-9,24)</f>
        <v>11</v>
      </c>
      <c r="C16700" s="12"/>
      <c r="D16700" s="13" t="n">
        <f aca="false">IF(B16700&lt;5,Einstellungen!$B$3,Einstellungen!$B$4)</f>
        <v>29.13</v>
      </c>
      <c r="E16700" s="14" t="str">
        <f aca="false">IF(C16700="","",C16700*D16700/100)</f>
        <v/>
      </c>
      <c r="F16700" s="15" t="str">
        <f aca="false">IF(B16700&lt;5,"Go","Standard")</f>
        <v>Standard</v>
      </c>
    </row>
    <row r="16701" customFormat="false" ht="15" hidden="false" customHeight="true" outlineLevel="0" collapsed="false">
      <c r="A16701" s="10" t="n">
        <f aca="false">Einstellungen!$B$5+INT((ROW()-9)/24)</f>
        <v>46661</v>
      </c>
      <c r="B16701" s="11" t="n">
        <f aca="false">MOD(ROW()-9,24)</f>
        <v>12</v>
      </c>
      <c r="C16701" s="12"/>
      <c r="D16701" s="13" t="n">
        <f aca="false">IF(B16701&lt;5,Einstellungen!$B$3,Einstellungen!$B$4)</f>
        <v>29.13</v>
      </c>
      <c r="E16701" s="14" t="str">
        <f aca="false">IF(C16701="","",C16701*D16701/100)</f>
        <v/>
      </c>
      <c r="F16701" s="15" t="str">
        <f aca="false">IF(B16701&lt;5,"Go","Standard")</f>
        <v>Standard</v>
      </c>
    </row>
    <row r="16702" customFormat="false" ht="15" hidden="false" customHeight="true" outlineLevel="0" collapsed="false">
      <c r="A16702" s="10" t="n">
        <f aca="false">Einstellungen!$B$5+INT((ROW()-9)/24)</f>
        <v>46661</v>
      </c>
      <c r="B16702" s="11" t="n">
        <f aca="false">MOD(ROW()-9,24)</f>
        <v>13</v>
      </c>
      <c r="C16702" s="12"/>
      <c r="D16702" s="13" t="n">
        <f aca="false">IF(B16702&lt;5,Einstellungen!$B$3,Einstellungen!$B$4)</f>
        <v>29.13</v>
      </c>
      <c r="E16702" s="14" t="str">
        <f aca="false">IF(C16702="","",C16702*D16702/100)</f>
        <v/>
      </c>
      <c r="F16702" s="15" t="str">
        <f aca="false">IF(B16702&lt;5,"Go","Standard")</f>
        <v>Standard</v>
      </c>
    </row>
    <row r="16703" customFormat="false" ht="15" hidden="false" customHeight="true" outlineLevel="0" collapsed="false">
      <c r="A16703" s="10" t="n">
        <f aca="false">Einstellungen!$B$5+INT((ROW()-9)/24)</f>
        <v>46661</v>
      </c>
      <c r="B16703" s="11" t="n">
        <f aca="false">MOD(ROW()-9,24)</f>
        <v>14</v>
      </c>
      <c r="C16703" s="12"/>
      <c r="D16703" s="13" t="n">
        <f aca="false">IF(B16703&lt;5,Einstellungen!$B$3,Einstellungen!$B$4)</f>
        <v>29.13</v>
      </c>
      <c r="E16703" s="14" t="str">
        <f aca="false">IF(C16703="","",C16703*D16703/100)</f>
        <v/>
      </c>
      <c r="F16703" s="15" t="str">
        <f aca="false">IF(B16703&lt;5,"Go","Standard")</f>
        <v>Standard</v>
      </c>
    </row>
    <row r="16704" customFormat="false" ht="15" hidden="false" customHeight="true" outlineLevel="0" collapsed="false">
      <c r="A16704" s="10" t="n">
        <f aca="false">Einstellungen!$B$5+INT((ROW()-9)/24)</f>
        <v>46661</v>
      </c>
      <c r="B16704" s="11" t="n">
        <f aca="false">MOD(ROW()-9,24)</f>
        <v>15</v>
      </c>
      <c r="C16704" s="12"/>
      <c r="D16704" s="13" t="n">
        <f aca="false">IF(B16704&lt;5,Einstellungen!$B$3,Einstellungen!$B$4)</f>
        <v>29.13</v>
      </c>
      <c r="E16704" s="14" t="str">
        <f aca="false">IF(C16704="","",C16704*D16704/100)</f>
        <v/>
      </c>
      <c r="F16704" s="15" t="str">
        <f aca="false">IF(B16704&lt;5,"Go","Standard")</f>
        <v>Standard</v>
      </c>
    </row>
    <row r="16705" customFormat="false" ht="15" hidden="false" customHeight="true" outlineLevel="0" collapsed="false">
      <c r="A16705" s="10" t="n">
        <f aca="false">Einstellungen!$B$5+INT((ROW()-9)/24)</f>
        <v>46661</v>
      </c>
      <c r="B16705" s="11" t="n">
        <f aca="false">MOD(ROW()-9,24)</f>
        <v>16</v>
      </c>
      <c r="C16705" s="12"/>
      <c r="D16705" s="13" t="n">
        <f aca="false">IF(B16705&lt;5,Einstellungen!$B$3,Einstellungen!$B$4)</f>
        <v>29.13</v>
      </c>
      <c r="E16705" s="14" t="str">
        <f aca="false">IF(C16705="","",C16705*D16705/100)</f>
        <v/>
      </c>
      <c r="F16705" s="15" t="str">
        <f aca="false">IF(B16705&lt;5,"Go","Standard")</f>
        <v>Standard</v>
      </c>
    </row>
    <row r="16706" customFormat="false" ht="15" hidden="false" customHeight="true" outlineLevel="0" collapsed="false">
      <c r="A16706" s="10" t="n">
        <f aca="false">Einstellungen!$B$5+INT((ROW()-9)/24)</f>
        <v>46661</v>
      </c>
      <c r="B16706" s="11" t="n">
        <f aca="false">MOD(ROW()-9,24)</f>
        <v>17</v>
      </c>
      <c r="C16706" s="12"/>
      <c r="D16706" s="13" t="n">
        <f aca="false">IF(B16706&lt;5,Einstellungen!$B$3,Einstellungen!$B$4)</f>
        <v>29.13</v>
      </c>
      <c r="E16706" s="14" t="str">
        <f aca="false">IF(C16706="","",C16706*D16706/100)</f>
        <v/>
      </c>
      <c r="F16706" s="15" t="str">
        <f aca="false">IF(B16706&lt;5,"Go","Standard")</f>
        <v>Standard</v>
      </c>
    </row>
    <row r="16707" customFormat="false" ht="15" hidden="false" customHeight="true" outlineLevel="0" collapsed="false">
      <c r="A16707" s="10" t="n">
        <f aca="false">Einstellungen!$B$5+INT((ROW()-9)/24)</f>
        <v>46661</v>
      </c>
      <c r="B16707" s="11" t="n">
        <f aca="false">MOD(ROW()-9,24)</f>
        <v>18</v>
      </c>
      <c r="C16707" s="12"/>
      <c r="D16707" s="13" t="n">
        <f aca="false">IF(B16707&lt;5,Einstellungen!$B$3,Einstellungen!$B$4)</f>
        <v>29.13</v>
      </c>
      <c r="E16707" s="14" t="str">
        <f aca="false">IF(C16707="","",C16707*D16707/100)</f>
        <v/>
      </c>
      <c r="F16707" s="15" t="str">
        <f aca="false">IF(B16707&lt;5,"Go","Standard")</f>
        <v>Standard</v>
      </c>
    </row>
    <row r="16708" customFormat="false" ht="15" hidden="false" customHeight="true" outlineLevel="0" collapsed="false">
      <c r="A16708" s="10" t="n">
        <f aca="false">Einstellungen!$B$5+INT((ROW()-9)/24)</f>
        <v>46661</v>
      </c>
      <c r="B16708" s="11" t="n">
        <f aca="false">MOD(ROW()-9,24)</f>
        <v>19</v>
      </c>
      <c r="C16708" s="12"/>
      <c r="D16708" s="13" t="n">
        <f aca="false">IF(B16708&lt;5,Einstellungen!$B$3,Einstellungen!$B$4)</f>
        <v>29.13</v>
      </c>
      <c r="E16708" s="14" t="str">
        <f aca="false">IF(C16708="","",C16708*D16708/100)</f>
        <v/>
      </c>
      <c r="F16708" s="15" t="str">
        <f aca="false">IF(B16708&lt;5,"Go","Standard")</f>
        <v>Standard</v>
      </c>
    </row>
    <row r="16709" customFormat="false" ht="15" hidden="false" customHeight="true" outlineLevel="0" collapsed="false">
      <c r="A16709" s="10" t="n">
        <f aca="false">Einstellungen!$B$5+INT((ROW()-9)/24)</f>
        <v>46661</v>
      </c>
      <c r="B16709" s="11" t="n">
        <f aca="false">MOD(ROW()-9,24)</f>
        <v>20</v>
      </c>
      <c r="C16709" s="12"/>
      <c r="D16709" s="13" t="n">
        <f aca="false">IF(B16709&lt;5,Einstellungen!$B$3,Einstellungen!$B$4)</f>
        <v>29.13</v>
      </c>
      <c r="E16709" s="14" t="str">
        <f aca="false">IF(C16709="","",C16709*D16709/100)</f>
        <v/>
      </c>
      <c r="F16709" s="15" t="str">
        <f aca="false">IF(B16709&lt;5,"Go","Standard")</f>
        <v>Standard</v>
      </c>
    </row>
    <row r="16710" customFormat="false" ht="15" hidden="false" customHeight="true" outlineLevel="0" collapsed="false">
      <c r="A16710" s="10" t="n">
        <f aca="false">Einstellungen!$B$5+INT((ROW()-9)/24)</f>
        <v>46661</v>
      </c>
      <c r="B16710" s="11" t="n">
        <f aca="false">MOD(ROW()-9,24)</f>
        <v>21</v>
      </c>
      <c r="C16710" s="12"/>
      <c r="D16710" s="13" t="n">
        <f aca="false">IF(B16710&lt;5,Einstellungen!$B$3,Einstellungen!$B$4)</f>
        <v>29.13</v>
      </c>
      <c r="E16710" s="14" t="str">
        <f aca="false">IF(C16710="","",C16710*D16710/100)</f>
        <v/>
      </c>
      <c r="F16710" s="15" t="str">
        <f aca="false">IF(B16710&lt;5,"Go","Standard")</f>
        <v>Standard</v>
      </c>
    </row>
    <row r="16711" customFormat="false" ht="15" hidden="false" customHeight="true" outlineLevel="0" collapsed="false">
      <c r="A16711" s="10" t="n">
        <f aca="false">Einstellungen!$B$5+INT((ROW()-9)/24)</f>
        <v>46661</v>
      </c>
      <c r="B16711" s="11" t="n">
        <f aca="false">MOD(ROW()-9,24)</f>
        <v>22</v>
      </c>
      <c r="C16711" s="12"/>
      <c r="D16711" s="13" t="n">
        <f aca="false">IF(B16711&lt;5,Einstellungen!$B$3,Einstellungen!$B$4)</f>
        <v>29.13</v>
      </c>
      <c r="E16711" s="14" t="str">
        <f aca="false">IF(C16711="","",C16711*D16711/100)</f>
        <v/>
      </c>
      <c r="F16711" s="15" t="str">
        <f aca="false">IF(B16711&lt;5,"Go","Standard")</f>
        <v>Standard</v>
      </c>
    </row>
    <row r="16712" customFormat="false" ht="15" hidden="false" customHeight="true" outlineLevel="0" collapsed="false">
      <c r="A16712" s="10" t="n">
        <f aca="false">Einstellungen!$B$5+INT((ROW()-9)/24)</f>
        <v>46661</v>
      </c>
      <c r="B16712" s="11" t="n">
        <f aca="false">MOD(ROW()-9,24)</f>
        <v>23</v>
      </c>
      <c r="C16712" s="12"/>
      <c r="D16712" s="13" t="n">
        <f aca="false">IF(B16712&lt;5,Einstellungen!$B$3,Einstellungen!$B$4)</f>
        <v>29.13</v>
      </c>
      <c r="E16712" s="14" t="str">
        <f aca="false">IF(C16712="","",C16712*D16712/100)</f>
        <v/>
      </c>
      <c r="F16712" s="15" t="str">
        <f aca="false">IF(B16712&lt;5,"Go","Standard")</f>
        <v>Standard</v>
      </c>
    </row>
    <row r="16713" customFormat="false" ht="15" hidden="false" customHeight="true" outlineLevel="0" collapsed="false">
      <c r="A16713" s="10" t="n">
        <f aca="false">Einstellungen!$B$5+INT((ROW()-9)/24)</f>
        <v>46662</v>
      </c>
      <c r="B16713" s="11" t="n">
        <f aca="false">MOD(ROW()-9,24)</f>
        <v>0</v>
      </c>
      <c r="C16713" s="12"/>
      <c r="D16713" s="13" t="n">
        <f aca="false">IF(B16713&lt;5,Einstellungen!$B$3,Einstellungen!$B$4)</f>
        <v>15.92</v>
      </c>
      <c r="E16713" s="14" t="str">
        <f aca="false">IF(C16713="","",C16713*D16713/100)</f>
        <v/>
      </c>
      <c r="F16713" s="15" t="str">
        <f aca="false">IF(B16713&lt;5,"Go","Standard")</f>
        <v>Go</v>
      </c>
    </row>
    <row r="16714" customFormat="false" ht="15" hidden="false" customHeight="true" outlineLevel="0" collapsed="false">
      <c r="A16714" s="10" t="n">
        <f aca="false">Einstellungen!$B$5+INT((ROW()-9)/24)</f>
        <v>46662</v>
      </c>
      <c r="B16714" s="11" t="n">
        <f aca="false">MOD(ROW()-9,24)</f>
        <v>1</v>
      </c>
      <c r="C16714" s="12"/>
      <c r="D16714" s="13" t="n">
        <f aca="false">IF(B16714&lt;5,Einstellungen!$B$3,Einstellungen!$B$4)</f>
        <v>15.92</v>
      </c>
      <c r="E16714" s="14" t="str">
        <f aca="false">IF(C16714="","",C16714*D16714/100)</f>
        <v/>
      </c>
      <c r="F16714" s="15" t="str">
        <f aca="false">IF(B16714&lt;5,"Go","Standard")</f>
        <v>Go</v>
      </c>
    </row>
    <row r="16715" customFormat="false" ht="15" hidden="false" customHeight="true" outlineLevel="0" collapsed="false">
      <c r="A16715" s="10" t="n">
        <f aca="false">Einstellungen!$B$5+INT((ROW()-9)/24)</f>
        <v>46662</v>
      </c>
      <c r="B16715" s="11" t="n">
        <f aca="false">MOD(ROW()-9,24)</f>
        <v>2</v>
      </c>
      <c r="C16715" s="12"/>
      <c r="D16715" s="13" t="n">
        <f aca="false">IF(B16715&lt;5,Einstellungen!$B$3,Einstellungen!$B$4)</f>
        <v>15.92</v>
      </c>
      <c r="E16715" s="14" t="str">
        <f aca="false">IF(C16715="","",C16715*D16715/100)</f>
        <v/>
      </c>
      <c r="F16715" s="15" t="str">
        <f aca="false">IF(B16715&lt;5,"Go","Standard")</f>
        <v>Go</v>
      </c>
    </row>
    <row r="16716" customFormat="false" ht="15" hidden="false" customHeight="true" outlineLevel="0" collapsed="false">
      <c r="A16716" s="10" t="n">
        <f aca="false">Einstellungen!$B$5+INT((ROW()-9)/24)</f>
        <v>46662</v>
      </c>
      <c r="B16716" s="11" t="n">
        <f aca="false">MOD(ROW()-9,24)</f>
        <v>3</v>
      </c>
      <c r="C16716" s="12"/>
      <c r="D16716" s="13" t="n">
        <f aca="false">IF(B16716&lt;5,Einstellungen!$B$3,Einstellungen!$B$4)</f>
        <v>15.92</v>
      </c>
      <c r="E16716" s="14" t="str">
        <f aca="false">IF(C16716="","",C16716*D16716/100)</f>
        <v/>
      </c>
      <c r="F16716" s="15" t="str">
        <f aca="false">IF(B16716&lt;5,"Go","Standard")</f>
        <v>Go</v>
      </c>
    </row>
    <row r="16717" customFormat="false" ht="15" hidden="false" customHeight="true" outlineLevel="0" collapsed="false">
      <c r="A16717" s="10" t="n">
        <f aca="false">Einstellungen!$B$5+INT((ROW()-9)/24)</f>
        <v>46662</v>
      </c>
      <c r="B16717" s="11" t="n">
        <f aca="false">MOD(ROW()-9,24)</f>
        <v>4</v>
      </c>
      <c r="C16717" s="12"/>
      <c r="D16717" s="13" t="n">
        <f aca="false">IF(B16717&lt;5,Einstellungen!$B$3,Einstellungen!$B$4)</f>
        <v>15.92</v>
      </c>
      <c r="E16717" s="14" t="str">
        <f aca="false">IF(C16717="","",C16717*D16717/100)</f>
        <v/>
      </c>
      <c r="F16717" s="15" t="str">
        <f aca="false">IF(B16717&lt;5,"Go","Standard")</f>
        <v>Go</v>
      </c>
    </row>
    <row r="16718" customFormat="false" ht="15" hidden="false" customHeight="true" outlineLevel="0" collapsed="false">
      <c r="A16718" s="10" t="n">
        <f aca="false">Einstellungen!$B$5+INT((ROW()-9)/24)</f>
        <v>46662</v>
      </c>
      <c r="B16718" s="11" t="n">
        <f aca="false">MOD(ROW()-9,24)</f>
        <v>5</v>
      </c>
      <c r="C16718" s="12"/>
      <c r="D16718" s="13" t="n">
        <f aca="false">IF(B16718&lt;5,Einstellungen!$B$3,Einstellungen!$B$4)</f>
        <v>29.13</v>
      </c>
      <c r="E16718" s="14" t="str">
        <f aca="false">IF(C16718="","",C16718*D16718/100)</f>
        <v/>
      </c>
      <c r="F16718" s="15" t="str">
        <f aca="false">IF(B16718&lt;5,"Go","Standard")</f>
        <v>Standard</v>
      </c>
    </row>
    <row r="16719" customFormat="false" ht="15" hidden="false" customHeight="true" outlineLevel="0" collapsed="false">
      <c r="A16719" s="10" t="n">
        <f aca="false">Einstellungen!$B$5+INT((ROW()-9)/24)</f>
        <v>46662</v>
      </c>
      <c r="B16719" s="11" t="n">
        <f aca="false">MOD(ROW()-9,24)</f>
        <v>6</v>
      </c>
      <c r="C16719" s="12"/>
      <c r="D16719" s="13" t="n">
        <f aca="false">IF(B16719&lt;5,Einstellungen!$B$3,Einstellungen!$B$4)</f>
        <v>29.13</v>
      </c>
      <c r="E16719" s="14" t="str">
        <f aca="false">IF(C16719="","",C16719*D16719/100)</f>
        <v/>
      </c>
      <c r="F16719" s="15" t="str">
        <f aca="false">IF(B16719&lt;5,"Go","Standard")</f>
        <v>Standard</v>
      </c>
    </row>
    <row r="16720" customFormat="false" ht="15" hidden="false" customHeight="true" outlineLevel="0" collapsed="false">
      <c r="A16720" s="10" t="n">
        <f aca="false">Einstellungen!$B$5+INT((ROW()-9)/24)</f>
        <v>46662</v>
      </c>
      <c r="B16720" s="11" t="n">
        <f aca="false">MOD(ROW()-9,24)</f>
        <v>7</v>
      </c>
      <c r="C16720" s="12"/>
      <c r="D16720" s="13" t="n">
        <f aca="false">IF(B16720&lt;5,Einstellungen!$B$3,Einstellungen!$B$4)</f>
        <v>29.13</v>
      </c>
      <c r="E16720" s="14" t="str">
        <f aca="false">IF(C16720="","",C16720*D16720/100)</f>
        <v/>
      </c>
      <c r="F16720" s="15" t="str">
        <f aca="false">IF(B16720&lt;5,"Go","Standard")</f>
        <v>Standard</v>
      </c>
    </row>
    <row r="16721" customFormat="false" ht="15" hidden="false" customHeight="true" outlineLevel="0" collapsed="false">
      <c r="A16721" s="10" t="n">
        <f aca="false">Einstellungen!$B$5+INT((ROW()-9)/24)</f>
        <v>46662</v>
      </c>
      <c r="B16721" s="11" t="n">
        <f aca="false">MOD(ROW()-9,24)</f>
        <v>8</v>
      </c>
      <c r="C16721" s="12"/>
      <c r="D16721" s="13" t="n">
        <f aca="false">IF(B16721&lt;5,Einstellungen!$B$3,Einstellungen!$B$4)</f>
        <v>29.13</v>
      </c>
      <c r="E16721" s="14" t="str">
        <f aca="false">IF(C16721="","",C16721*D16721/100)</f>
        <v/>
      </c>
      <c r="F16721" s="15" t="str">
        <f aca="false">IF(B16721&lt;5,"Go","Standard")</f>
        <v>Standard</v>
      </c>
    </row>
    <row r="16722" customFormat="false" ht="15" hidden="false" customHeight="true" outlineLevel="0" collapsed="false">
      <c r="A16722" s="10" t="n">
        <f aca="false">Einstellungen!$B$5+INT((ROW()-9)/24)</f>
        <v>46662</v>
      </c>
      <c r="B16722" s="11" t="n">
        <f aca="false">MOD(ROW()-9,24)</f>
        <v>9</v>
      </c>
      <c r="C16722" s="12"/>
      <c r="D16722" s="13" t="n">
        <f aca="false">IF(B16722&lt;5,Einstellungen!$B$3,Einstellungen!$B$4)</f>
        <v>29.13</v>
      </c>
      <c r="E16722" s="14" t="str">
        <f aca="false">IF(C16722="","",C16722*D16722/100)</f>
        <v/>
      </c>
      <c r="F16722" s="15" t="str">
        <f aca="false">IF(B16722&lt;5,"Go","Standard")</f>
        <v>Standard</v>
      </c>
    </row>
    <row r="16723" customFormat="false" ht="15" hidden="false" customHeight="true" outlineLevel="0" collapsed="false">
      <c r="A16723" s="10" t="n">
        <f aca="false">Einstellungen!$B$5+INT((ROW()-9)/24)</f>
        <v>46662</v>
      </c>
      <c r="B16723" s="11" t="n">
        <f aca="false">MOD(ROW()-9,24)</f>
        <v>10</v>
      </c>
      <c r="C16723" s="12"/>
      <c r="D16723" s="13" t="n">
        <f aca="false">IF(B16723&lt;5,Einstellungen!$B$3,Einstellungen!$B$4)</f>
        <v>29.13</v>
      </c>
      <c r="E16723" s="14" t="str">
        <f aca="false">IF(C16723="","",C16723*D16723/100)</f>
        <v/>
      </c>
      <c r="F16723" s="15" t="str">
        <f aca="false">IF(B16723&lt;5,"Go","Standard")</f>
        <v>Standard</v>
      </c>
    </row>
    <row r="16724" customFormat="false" ht="15" hidden="false" customHeight="true" outlineLevel="0" collapsed="false">
      <c r="A16724" s="10" t="n">
        <f aca="false">Einstellungen!$B$5+INT((ROW()-9)/24)</f>
        <v>46662</v>
      </c>
      <c r="B16724" s="11" t="n">
        <f aca="false">MOD(ROW()-9,24)</f>
        <v>11</v>
      </c>
      <c r="C16724" s="12"/>
      <c r="D16724" s="13" t="n">
        <f aca="false">IF(B16724&lt;5,Einstellungen!$B$3,Einstellungen!$B$4)</f>
        <v>29.13</v>
      </c>
      <c r="E16724" s="14" t="str">
        <f aca="false">IF(C16724="","",C16724*D16724/100)</f>
        <v/>
      </c>
      <c r="F16724" s="15" t="str">
        <f aca="false">IF(B16724&lt;5,"Go","Standard")</f>
        <v>Standard</v>
      </c>
    </row>
    <row r="16725" customFormat="false" ht="15" hidden="false" customHeight="true" outlineLevel="0" collapsed="false">
      <c r="A16725" s="10" t="n">
        <f aca="false">Einstellungen!$B$5+INT((ROW()-9)/24)</f>
        <v>46662</v>
      </c>
      <c r="B16725" s="11" t="n">
        <f aca="false">MOD(ROW()-9,24)</f>
        <v>12</v>
      </c>
      <c r="C16725" s="12"/>
      <c r="D16725" s="13" t="n">
        <f aca="false">IF(B16725&lt;5,Einstellungen!$B$3,Einstellungen!$B$4)</f>
        <v>29.13</v>
      </c>
      <c r="E16725" s="14" t="str">
        <f aca="false">IF(C16725="","",C16725*D16725/100)</f>
        <v/>
      </c>
      <c r="F16725" s="15" t="str">
        <f aca="false">IF(B16725&lt;5,"Go","Standard")</f>
        <v>Standard</v>
      </c>
    </row>
    <row r="16726" customFormat="false" ht="15" hidden="false" customHeight="true" outlineLevel="0" collapsed="false">
      <c r="A16726" s="10" t="n">
        <f aca="false">Einstellungen!$B$5+INT((ROW()-9)/24)</f>
        <v>46662</v>
      </c>
      <c r="B16726" s="11" t="n">
        <f aca="false">MOD(ROW()-9,24)</f>
        <v>13</v>
      </c>
      <c r="C16726" s="12"/>
      <c r="D16726" s="13" t="n">
        <f aca="false">IF(B16726&lt;5,Einstellungen!$B$3,Einstellungen!$B$4)</f>
        <v>29.13</v>
      </c>
      <c r="E16726" s="14" t="str">
        <f aca="false">IF(C16726="","",C16726*D16726/100)</f>
        <v/>
      </c>
      <c r="F16726" s="15" t="str">
        <f aca="false">IF(B16726&lt;5,"Go","Standard")</f>
        <v>Standard</v>
      </c>
    </row>
    <row r="16727" customFormat="false" ht="15" hidden="false" customHeight="true" outlineLevel="0" collapsed="false">
      <c r="A16727" s="10" t="n">
        <f aca="false">Einstellungen!$B$5+INT((ROW()-9)/24)</f>
        <v>46662</v>
      </c>
      <c r="B16727" s="11" t="n">
        <f aca="false">MOD(ROW()-9,24)</f>
        <v>14</v>
      </c>
      <c r="C16727" s="12"/>
      <c r="D16727" s="13" t="n">
        <f aca="false">IF(B16727&lt;5,Einstellungen!$B$3,Einstellungen!$B$4)</f>
        <v>29.13</v>
      </c>
      <c r="E16727" s="14" t="str">
        <f aca="false">IF(C16727="","",C16727*D16727/100)</f>
        <v/>
      </c>
      <c r="F16727" s="15" t="str">
        <f aca="false">IF(B16727&lt;5,"Go","Standard")</f>
        <v>Standard</v>
      </c>
    </row>
    <row r="16728" customFormat="false" ht="15" hidden="false" customHeight="true" outlineLevel="0" collapsed="false">
      <c r="A16728" s="10" t="n">
        <f aca="false">Einstellungen!$B$5+INT((ROW()-9)/24)</f>
        <v>46662</v>
      </c>
      <c r="B16728" s="11" t="n">
        <f aca="false">MOD(ROW()-9,24)</f>
        <v>15</v>
      </c>
      <c r="C16728" s="12"/>
      <c r="D16728" s="13" t="n">
        <f aca="false">IF(B16728&lt;5,Einstellungen!$B$3,Einstellungen!$B$4)</f>
        <v>29.13</v>
      </c>
      <c r="E16728" s="14" t="str">
        <f aca="false">IF(C16728="","",C16728*D16728/100)</f>
        <v/>
      </c>
      <c r="F16728" s="15" t="str">
        <f aca="false">IF(B16728&lt;5,"Go","Standard")</f>
        <v>Standard</v>
      </c>
    </row>
    <row r="16729" customFormat="false" ht="15" hidden="false" customHeight="true" outlineLevel="0" collapsed="false">
      <c r="A16729" s="10" t="n">
        <f aca="false">Einstellungen!$B$5+INT((ROW()-9)/24)</f>
        <v>46662</v>
      </c>
      <c r="B16729" s="11" t="n">
        <f aca="false">MOD(ROW()-9,24)</f>
        <v>16</v>
      </c>
      <c r="C16729" s="12"/>
      <c r="D16729" s="13" t="n">
        <f aca="false">IF(B16729&lt;5,Einstellungen!$B$3,Einstellungen!$B$4)</f>
        <v>29.13</v>
      </c>
      <c r="E16729" s="14" t="str">
        <f aca="false">IF(C16729="","",C16729*D16729/100)</f>
        <v/>
      </c>
      <c r="F16729" s="15" t="str">
        <f aca="false">IF(B16729&lt;5,"Go","Standard")</f>
        <v>Standard</v>
      </c>
    </row>
    <row r="16730" customFormat="false" ht="15" hidden="false" customHeight="true" outlineLevel="0" collapsed="false">
      <c r="A16730" s="10" t="n">
        <f aca="false">Einstellungen!$B$5+INT((ROW()-9)/24)</f>
        <v>46662</v>
      </c>
      <c r="B16730" s="11" t="n">
        <f aca="false">MOD(ROW()-9,24)</f>
        <v>17</v>
      </c>
      <c r="C16730" s="12"/>
      <c r="D16730" s="13" t="n">
        <f aca="false">IF(B16730&lt;5,Einstellungen!$B$3,Einstellungen!$B$4)</f>
        <v>29.13</v>
      </c>
      <c r="E16730" s="14" t="str">
        <f aca="false">IF(C16730="","",C16730*D16730/100)</f>
        <v/>
      </c>
      <c r="F16730" s="15" t="str">
        <f aca="false">IF(B16730&lt;5,"Go","Standard")</f>
        <v>Standard</v>
      </c>
    </row>
    <row r="16731" customFormat="false" ht="15" hidden="false" customHeight="true" outlineLevel="0" collapsed="false">
      <c r="A16731" s="10" t="n">
        <f aca="false">Einstellungen!$B$5+INT((ROW()-9)/24)</f>
        <v>46662</v>
      </c>
      <c r="B16731" s="11" t="n">
        <f aca="false">MOD(ROW()-9,24)</f>
        <v>18</v>
      </c>
      <c r="C16731" s="12"/>
      <c r="D16731" s="13" t="n">
        <f aca="false">IF(B16731&lt;5,Einstellungen!$B$3,Einstellungen!$B$4)</f>
        <v>29.13</v>
      </c>
      <c r="E16731" s="14" t="str">
        <f aca="false">IF(C16731="","",C16731*D16731/100)</f>
        <v/>
      </c>
      <c r="F16731" s="15" t="str">
        <f aca="false">IF(B16731&lt;5,"Go","Standard")</f>
        <v>Standard</v>
      </c>
    </row>
    <row r="16732" customFormat="false" ht="15" hidden="false" customHeight="true" outlineLevel="0" collapsed="false">
      <c r="A16732" s="10" t="n">
        <f aca="false">Einstellungen!$B$5+INT((ROW()-9)/24)</f>
        <v>46662</v>
      </c>
      <c r="B16732" s="11" t="n">
        <f aca="false">MOD(ROW()-9,24)</f>
        <v>19</v>
      </c>
      <c r="C16732" s="12"/>
      <c r="D16732" s="13" t="n">
        <f aca="false">IF(B16732&lt;5,Einstellungen!$B$3,Einstellungen!$B$4)</f>
        <v>29.13</v>
      </c>
      <c r="E16732" s="14" t="str">
        <f aca="false">IF(C16732="","",C16732*D16732/100)</f>
        <v/>
      </c>
      <c r="F16732" s="15" t="str">
        <f aca="false">IF(B16732&lt;5,"Go","Standard")</f>
        <v>Standard</v>
      </c>
    </row>
    <row r="16733" customFormat="false" ht="15" hidden="false" customHeight="true" outlineLevel="0" collapsed="false">
      <c r="A16733" s="10" t="n">
        <f aca="false">Einstellungen!$B$5+INT((ROW()-9)/24)</f>
        <v>46662</v>
      </c>
      <c r="B16733" s="11" t="n">
        <f aca="false">MOD(ROW()-9,24)</f>
        <v>20</v>
      </c>
      <c r="C16733" s="12"/>
      <c r="D16733" s="13" t="n">
        <f aca="false">IF(B16733&lt;5,Einstellungen!$B$3,Einstellungen!$B$4)</f>
        <v>29.13</v>
      </c>
      <c r="E16733" s="14" t="str">
        <f aca="false">IF(C16733="","",C16733*D16733/100)</f>
        <v/>
      </c>
      <c r="F16733" s="15" t="str">
        <f aca="false">IF(B16733&lt;5,"Go","Standard")</f>
        <v>Standard</v>
      </c>
    </row>
    <row r="16734" customFormat="false" ht="15" hidden="false" customHeight="true" outlineLevel="0" collapsed="false">
      <c r="A16734" s="10" t="n">
        <f aca="false">Einstellungen!$B$5+INT((ROW()-9)/24)</f>
        <v>46662</v>
      </c>
      <c r="B16734" s="11" t="n">
        <f aca="false">MOD(ROW()-9,24)</f>
        <v>21</v>
      </c>
      <c r="C16734" s="12"/>
      <c r="D16734" s="13" t="n">
        <f aca="false">IF(B16734&lt;5,Einstellungen!$B$3,Einstellungen!$B$4)</f>
        <v>29.13</v>
      </c>
      <c r="E16734" s="14" t="str">
        <f aca="false">IF(C16734="","",C16734*D16734/100)</f>
        <v/>
      </c>
      <c r="F16734" s="15" t="str">
        <f aca="false">IF(B16734&lt;5,"Go","Standard")</f>
        <v>Standard</v>
      </c>
    </row>
    <row r="16735" customFormat="false" ht="15" hidden="false" customHeight="true" outlineLevel="0" collapsed="false">
      <c r="A16735" s="10" t="n">
        <f aca="false">Einstellungen!$B$5+INT((ROW()-9)/24)</f>
        <v>46662</v>
      </c>
      <c r="B16735" s="11" t="n">
        <f aca="false">MOD(ROW()-9,24)</f>
        <v>22</v>
      </c>
      <c r="C16735" s="12"/>
      <c r="D16735" s="13" t="n">
        <f aca="false">IF(B16735&lt;5,Einstellungen!$B$3,Einstellungen!$B$4)</f>
        <v>29.13</v>
      </c>
      <c r="E16735" s="14" t="str">
        <f aca="false">IF(C16735="","",C16735*D16735/100)</f>
        <v/>
      </c>
      <c r="F16735" s="15" t="str">
        <f aca="false">IF(B16735&lt;5,"Go","Standard")</f>
        <v>Standard</v>
      </c>
    </row>
    <row r="16736" customFormat="false" ht="15" hidden="false" customHeight="true" outlineLevel="0" collapsed="false">
      <c r="A16736" s="10" t="n">
        <f aca="false">Einstellungen!$B$5+INT((ROW()-9)/24)</f>
        <v>46662</v>
      </c>
      <c r="B16736" s="11" t="n">
        <f aca="false">MOD(ROW()-9,24)</f>
        <v>23</v>
      </c>
      <c r="C16736" s="12"/>
      <c r="D16736" s="13" t="n">
        <f aca="false">IF(B16736&lt;5,Einstellungen!$B$3,Einstellungen!$B$4)</f>
        <v>29.13</v>
      </c>
      <c r="E16736" s="14" t="str">
        <f aca="false">IF(C16736="","",C16736*D16736/100)</f>
        <v/>
      </c>
      <c r="F16736" s="15" t="str">
        <f aca="false">IF(B16736&lt;5,"Go","Standard")</f>
        <v>Standard</v>
      </c>
    </row>
    <row r="16737" customFormat="false" ht="15" hidden="false" customHeight="true" outlineLevel="0" collapsed="false">
      <c r="A16737" s="10" t="n">
        <f aca="false">Einstellungen!$B$5+INT((ROW()-9)/24)</f>
        <v>46663</v>
      </c>
      <c r="B16737" s="11" t="n">
        <f aca="false">MOD(ROW()-9,24)</f>
        <v>0</v>
      </c>
      <c r="C16737" s="12"/>
      <c r="D16737" s="13" t="n">
        <f aca="false">IF(B16737&lt;5,Einstellungen!$B$3,Einstellungen!$B$4)</f>
        <v>15.92</v>
      </c>
      <c r="E16737" s="14" t="str">
        <f aca="false">IF(C16737="","",C16737*D16737/100)</f>
        <v/>
      </c>
      <c r="F16737" s="15" t="str">
        <f aca="false">IF(B16737&lt;5,"Go","Standard")</f>
        <v>Go</v>
      </c>
    </row>
    <row r="16738" customFormat="false" ht="15" hidden="false" customHeight="true" outlineLevel="0" collapsed="false">
      <c r="A16738" s="10" t="n">
        <f aca="false">Einstellungen!$B$5+INT((ROW()-9)/24)</f>
        <v>46663</v>
      </c>
      <c r="B16738" s="11" t="n">
        <f aca="false">MOD(ROW()-9,24)</f>
        <v>1</v>
      </c>
      <c r="C16738" s="12"/>
      <c r="D16738" s="13" t="n">
        <f aca="false">IF(B16738&lt;5,Einstellungen!$B$3,Einstellungen!$B$4)</f>
        <v>15.92</v>
      </c>
      <c r="E16738" s="14" t="str">
        <f aca="false">IF(C16738="","",C16738*D16738/100)</f>
        <v/>
      </c>
      <c r="F16738" s="15" t="str">
        <f aca="false">IF(B16738&lt;5,"Go","Standard")</f>
        <v>Go</v>
      </c>
    </row>
    <row r="16739" customFormat="false" ht="15" hidden="false" customHeight="true" outlineLevel="0" collapsed="false">
      <c r="A16739" s="10" t="n">
        <f aca="false">Einstellungen!$B$5+INT((ROW()-9)/24)</f>
        <v>46663</v>
      </c>
      <c r="B16739" s="11" t="n">
        <f aca="false">MOD(ROW()-9,24)</f>
        <v>2</v>
      </c>
      <c r="C16739" s="12"/>
      <c r="D16739" s="13" t="n">
        <f aca="false">IF(B16739&lt;5,Einstellungen!$B$3,Einstellungen!$B$4)</f>
        <v>15.92</v>
      </c>
      <c r="E16739" s="14" t="str">
        <f aca="false">IF(C16739="","",C16739*D16739/100)</f>
        <v/>
      </c>
      <c r="F16739" s="15" t="str">
        <f aca="false">IF(B16739&lt;5,"Go","Standard")</f>
        <v>Go</v>
      </c>
    </row>
    <row r="16740" customFormat="false" ht="15" hidden="false" customHeight="true" outlineLevel="0" collapsed="false">
      <c r="A16740" s="10" t="n">
        <f aca="false">Einstellungen!$B$5+INT((ROW()-9)/24)</f>
        <v>46663</v>
      </c>
      <c r="B16740" s="11" t="n">
        <f aca="false">MOD(ROW()-9,24)</f>
        <v>3</v>
      </c>
      <c r="C16740" s="12"/>
      <c r="D16740" s="13" t="n">
        <f aca="false">IF(B16740&lt;5,Einstellungen!$B$3,Einstellungen!$B$4)</f>
        <v>15.92</v>
      </c>
      <c r="E16740" s="14" t="str">
        <f aca="false">IF(C16740="","",C16740*D16740/100)</f>
        <v/>
      </c>
      <c r="F16740" s="15" t="str">
        <f aca="false">IF(B16740&lt;5,"Go","Standard")</f>
        <v>Go</v>
      </c>
    </row>
    <row r="16741" customFormat="false" ht="15" hidden="false" customHeight="true" outlineLevel="0" collapsed="false">
      <c r="A16741" s="10" t="n">
        <f aca="false">Einstellungen!$B$5+INT((ROW()-9)/24)</f>
        <v>46663</v>
      </c>
      <c r="B16741" s="11" t="n">
        <f aca="false">MOD(ROW()-9,24)</f>
        <v>4</v>
      </c>
      <c r="C16741" s="12"/>
      <c r="D16741" s="13" t="n">
        <f aca="false">IF(B16741&lt;5,Einstellungen!$B$3,Einstellungen!$B$4)</f>
        <v>15.92</v>
      </c>
      <c r="E16741" s="14" t="str">
        <f aca="false">IF(C16741="","",C16741*D16741/100)</f>
        <v/>
      </c>
      <c r="F16741" s="15" t="str">
        <f aca="false">IF(B16741&lt;5,"Go","Standard")</f>
        <v>Go</v>
      </c>
    </row>
    <row r="16742" customFormat="false" ht="15" hidden="false" customHeight="true" outlineLevel="0" collapsed="false">
      <c r="A16742" s="10" t="n">
        <f aca="false">Einstellungen!$B$5+INT((ROW()-9)/24)</f>
        <v>46663</v>
      </c>
      <c r="B16742" s="11" t="n">
        <f aca="false">MOD(ROW()-9,24)</f>
        <v>5</v>
      </c>
      <c r="C16742" s="12"/>
      <c r="D16742" s="13" t="n">
        <f aca="false">IF(B16742&lt;5,Einstellungen!$B$3,Einstellungen!$B$4)</f>
        <v>29.13</v>
      </c>
      <c r="E16742" s="14" t="str">
        <f aca="false">IF(C16742="","",C16742*D16742/100)</f>
        <v/>
      </c>
      <c r="F16742" s="15" t="str">
        <f aca="false">IF(B16742&lt;5,"Go","Standard")</f>
        <v>Standard</v>
      </c>
    </row>
    <row r="16743" customFormat="false" ht="15" hidden="false" customHeight="true" outlineLevel="0" collapsed="false">
      <c r="A16743" s="10" t="n">
        <f aca="false">Einstellungen!$B$5+INT((ROW()-9)/24)</f>
        <v>46663</v>
      </c>
      <c r="B16743" s="11" t="n">
        <f aca="false">MOD(ROW()-9,24)</f>
        <v>6</v>
      </c>
      <c r="C16743" s="12"/>
      <c r="D16743" s="13" t="n">
        <f aca="false">IF(B16743&lt;5,Einstellungen!$B$3,Einstellungen!$B$4)</f>
        <v>29.13</v>
      </c>
      <c r="E16743" s="14" t="str">
        <f aca="false">IF(C16743="","",C16743*D16743/100)</f>
        <v/>
      </c>
      <c r="F16743" s="15" t="str">
        <f aca="false">IF(B16743&lt;5,"Go","Standard")</f>
        <v>Standard</v>
      </c>
    </row>
    <row r="16744" customFormat="false" ht="15" hidden="false" customHeight="true" outlineLevel="0" collapsed="false">
      <c r="A16744" s="10" t="n">
        <f aca="false">Einstellungen!$B$5+INT((ROW()-9)/24)</f>
        <v>46663</v>
      </c>
      <c r="B16744" s="11" t="n">
        <f aca="false">MOD(ROW()-9,24)</f>
        <v>7</v>
      </c>
      <c r="C16744" s="12"/>
      <c r="D16744" s="13" t="n">
        <f aca="false">IF(B16744&lt;5,Einstellungen!$B$3,Einstellungen!$B$4)</f>
        <v>29.13</v>
      </c>
      <c r="E16744" s="14" t="str">
        <f aca="false">IF(C16744="","",C16744*D16744/100)</f>
        <v/>
      </c>
      <c r="F16744" s="15" t="str">
        <f aca="false">IF(B16744&lt;5,"Go","Standard")</f>
        <v>Standard</v>
      </c>
    </row>
    <row r="16745" customFormat="false" ht="15" hidden="false" customHeight="true" outlineLevel="0" collapsed="false">
      <c r="A16745" s="10" t="n">
        <f aca="false">Einstellungen!$B$5+INT((ROW()-9)/24)</f>
        <v>46663</v>
      </c>
      <c r="B16745" s="11" t="n">
        <f aca="false">MOD(ROW()-9,24)</f>
        <v>8</v>
      </c>
      <c r="C16745" s="12"/>
      <c r="D16745" s="13" t="n">
        <f aca="false">IF(B16745&lt;5,Einstellungen!$B$3,Einstellungen!$B$4)</f>
        <v>29.13</v>
      </c>
      <c r="E16745" s="14" t="str">
        <f aca="false">IF(C16745="","",C16745*D16745/100)</f>
        <v/>
      </c>
      <c r="F16745" s="15" t="str">
        <f aca="false">IF(B16745&lt;5,"Go","Standard")</f>
        <v>Standard</v>
      </c>
    </row>
    <row r="16746" customFormat="false" ht="15" hidden="false" customHeight="true" outlineLevel="0" collapsed="false">
      <c r="A16746" s="10" t="n">
        <f aca="false">Einstellungen!$B$5+INT((ROW()-9)/24)</f>
        <v>46663</v>
      </c>
      <c r="B16746" s="11" t="n">
        <f aca="false">MOD(ROW()-9,24)</f>
        <v>9</v>
      </c>
      <c r="C16746" s="12"/>
      <c r="D16746" s="13" t="n">
        <f aca="false">IF(B16746&lt;5,Einstellungen!$B$3,Einstellungen!$B$4)</f>
        <v>29.13</v>
      </c>
      <c r="E16746" s="14" t="str">
        <f aca="false">IF(C16746="","",C16746*D16746/100)</f>
        <v/>
      </c>
      <c r="F16746" s="15" t="str">
        <f aca="false">IF(B16746&lt;5,"Go","Standard")</f>
        <v>Standard</v>
      </c>
    </row>
    <row r="16747" customFormat="false" ht="15" hidden="false" customHeight="true" outlineLevel="0" collapsed="false">
      <c r="A16747" s="10" t="n">
        <f aca="false">Einstellungen!$B$5+INT((ROW()-9)/24)</f>
        <v>46663</v>
      </c>
      <c r="B16747" s="11" t="n">
        <f aca="false">MOD(ROW()-9,24)</f>
        <v>10</v>
      </c>
      <c r="C16747" s="12"/>
      <c r="D16747" s="13" t="n">
        <f aca="false">IF(B16747&lt;5,Einstellungen!$B$3,Einstellungen!$B$4)</f>
        <v>29.13</v>
      </c>
      <c r="E16747" s="14" t="str">
        <f aca="false">IF(C16747="","",C16747*D16747/100)</f>
        <v/>
      </c>
      <c r="F16747" s="15" t="str">
        <f aca="false">IF(B16747&lt;5,"Go","Standard")</f>
        <v>Standard</v>
      </c>
    </row>
    <row r="16748" customFormat="false" ht="15" hidden="false" customHeight="true" outlineLevel="0" collapsed="false">
      <c r="A16748" s="10" t="n">
        <f aca="false">Einstellungen!$B$5+INT((ROW()-9)/24)</f>
        <v>46663</v>
      </c>
      <c r="B16748" s="11" t="n">
        <f aca="false">MOD(ROW()-9,24)</f>
        <v>11</v>
      </c>
      <c r="C16748" s="12"/>
      <c r="D16748" s="13" t="n">
        <f aca="false">IF(B16748&lt;5,Einstellungen!$B$3,Einstellungen!$B$4)</f>
        <v>29.13</v>
      </c>
      <c r="E16748" s="14" t="str">
        <f aca="false">IF(C16748="","",C16748*D16748/100)</f>
        <v/>
      </c>
      <c r="F16748" s="15" t="str">
        <f aca="false">IF(B16748&lt;5,"Go","Standard")</f>
        <v>Standard</v>
      </c>
    </row>
    <row r="16749" customFormat="false" ht="15" hidden="false" customHeight="true" outlineLevel="0" collapsed="false">
      <c r="A16749" s="10" t="n">
        <f aca="false">Einstellungen!$B$5+INT((ROW()-9)/24)</f>
        <v>46663</v>
      </c>
      <c r="B16749" s="11" t="n">
        <f aca="false">MOD(ROW()-9,24)</f>
        <v>12</v>
      </c>
      <c r="C16749" s="12"/>
      <c r="D16749" s="13" t="n">
        <f aca="false">IF(B16749&lt;5,Einstellungen!$B$3,Einstellungen!$B$4)</f>
        <v>29.13</v>
      </c>
      <c r="E16749" s="14" t="str">
        <f aca="false">IF(C16749="","",C16749*D16749/100)</f>
        <v/>
      </c>
      <c r="F16749" s="15" t="str">
        <f aca="false">IF(B16749&lt;5,"Go","Standard")</f>
        <v>Standard</v>
      </c>
    </row>
    <row r="16750" customFormat="false" ht="15" hidden="false" customHeight="true" outlineLevel="0" collapsed="false">
      <c r="A16750" s="10" t="n">
        <f aca="false">Einstellungen!$B$5+INT((ROW()-9)/24)</f>
        <v>46663</v>
      </c>
      <c r="B16750" s="11" t="n">
        <f aca="false">MOD(ROW()-9,24)</f>
        <v>13</v>
      </c>
      <c r="C16750" s="12"/>
      <c r="D16750" s="13" t="n">
        <f aca="false">IF(B16750&lt;5,Einstellungen!$B$3,Einstellungen!$B$4)</f>
        <v>29.13</v>
      </c>
      <c r="E16750" s="14" t="str">
        <f aca="false">IF(C16750="","",C16750*D16750/100)</f>
        <v/>
      </c>
      <c r="F16750" s="15" t="str">
        <f aca="false">IF(B16750&lt;5,"Go","Standard")</f>
        <v>Standard</v>
      </c>
    </row>
    <row r="16751" customFormat="false" ht="15" hidden="false" customHeight="true" outlineLevel="0" collapsed="false">
      <c r="A16751" s="10" t="n">
        <f aca="false">Einstellungen!$B$5+INT((ROW()-9)/24)</f>
        <v>46663</v>
      </c>
      <c r="B16751" s="11" t="n">
        <f aca="false">MOD(ROW()-9,24)</f>
        <v>14</v>
      </c>
      <c r="C16751" s="12"/>
      <c r="D16751" s="13" t="n">
        <f aca="false">IF(B16751&lt;5,Einstellungen!$B$3,Einstellungen!$B$4)</f>
        <v>29.13</v>
      </c>
      <c r="E16751" s="14" t="str">
        <f aca="false">IF(C16751="","",C16751*D16751/100)</f>
        <v/>
      </c>
      <c r="F16751" s="15" t="str">
        <f aca="false">IF(B16751&lt;5,"Go","Standard")</f>
        <v>Standard</v>
      </c>
    </row>
    <row r="16752" customFormat="false" ht="15" hidden="false" customHeight="true" outlineLevel="0" collapsed="false">
      <c r="A16752" s="10" t="n">
        <f aca="false">Einstellungen!$B$5+INT((ROW()-9)/24)</f>
        <v>46663</v>
      </c>
      <c r="B16752" s="11" t="n">
        <f aca="false">MOD(ROW()-9,24)</f>
        <v>15</v>
      </c>
      <c r="C16752" s="12"/>
      <c r="D16752" s="13" t="n">
        <f aca="false">IF(B16752&lt;5,Einstellungen!$B$3,Einstellungen!$B$4)</f>
        <v>29.13</v>
      </c>
      <c r="E16752" s="14" t="str">
        <f aca="false">IF(C16752="","",C16752*D16752/100)</f>
        <v/>
      </c>
      <c r="F16752" s="15" t="str">
        <f aca="false">IF(B16752&lt;5,"Go","Standard")</f>
        <v>Standard</v>
      </c>
    </row>
    <row r="16753" customFormat="false" ht="15" hidden="false" customHeight="true" outlineLevel="0" collapsed="false">
      <c r="A16753" s="10" t="n">
        <f aca="false">Einstellungen!$B$5+INT((ROW()-9)/24)</f>
        <v>46663</v>
      </c>
      <c r="B16753" s="11" t="n">
        <f aca="false">MOD(ROW()-9,24)</f>
        <v>16</v>
      </c>
      <c r="C16753" s="12"/>
      <c r="D16753" s="13" t="n">
        <f aca="false">IF(B16753&lt;5,Einstellungen!$B$3,Einstellungen!$B$4)</f>
        <v>29.13</v>
      </c>
      <c r="E16753" s="14" t="str">
        <f aca="false">IF(C16753="","",C16753*D16753/100)</f>
        <v/>
      </c>
      <c r="F16753" s="15" t="str">
        <f aca="false">IF(B16753&lt;5,"Go","Standard")</f>
        <v>Standard</v>
      </c>
    </row>
    <row r="16754" customFormat="false" ht="15" hidden="false" customHeight="true" outlineLevel="0" collapsed="false">
      <c r="A16754" s="10" t="n">
        <f aca="false">Einstellungen!$B$5+INT((ROW()-9)/24)</f>
        <v>46663</v>
      </c>
      <c r="B16754" s="11" t="n">
        <f aca="false">MOD(ROW()-9,24)</f>
        <v>17</v>
      </c>
      <c r="C16754" s="12"/>
      <c r="D16754" s="13" t="n">
        <f aca="false">IF(B16754&lt;5,Einstellungen!$B$3,Einstellungen!$B$4)</f>
        <v>29.13</v>
      </c>
      <c r="E16754" s="14" t="str">
        <f aca="false">IF(C16754="","",C16754*D16754/100)</f>
        <v/>
      </c>
      <c r="F16754" s="15" t="str">
        <f aca="false">IF(B16754&lt;5,"Go","Standard")</f>
        <v>Standard</v>
      </c>
    </row>
    <row r="16755" customFormat="false" ht="15" hidden="false" customHeight="true" outlineLevel="0" collapsed="false">
      <c r="A16755" s="10" t="n">
        <f aca="false">Einstellungen!$B$5+INT((ROW()-9)/24)</f>
        <v>46663</v>
      </c>
      <c r="B16755" s="11" t="n">
        <f aca="false">MOD(ROW()-9,24)</f>
        <v>18</v>
      </c>
      <c r="C16755" s="12"/>
      <c r="D16755" s="13" t="n">
        <f aca="false">IF(B16755&lt;5,Einstellungen!$B$3,Einstellungen!$B$4)</f>
        <v>29.13</v>
      </c>
      <c r="E16755" s="14" t="str">
        <f aca="false">IF(C16755="","",C16755*D16755/100)</f>
        <v/>
      </c>
      <c r="F16755" s="15" t="str">
        <f aca="false">IF(B16755&lt;5,"Go","Standard")</f>
        <v>Standard</v>
      </c>
    </row>
    <row r="16756" customFormat="false" ht="15" hidden="false" customHeight="true" outlineLevel="0" collapsed="false">
      <c r="A16756" s="10" t="n">
        <f aca="false">Einstellungen!$B$5+INT((ROW()-9)/24)</f>
        <v>46663</v>
      </c>
      <c r="B16756" s="11" t="n">
        <f aca="false">MOD(ROW()-9,24)</f>
        <v>19</v>
      </c>
      <c r="C16756" s="12"/>
      <c r="D16756" s="13" t="n">
        <f aca="false">IF(B16756&lt;5,Einstellungen!$B$3,Einstellungen!$B$4)</f>
        <v>29.13</v>
      </c>
      <c r="E16756" s="14" t="str">
        <f aca="false">IF(C16756="","",C16756*D16756/100)</f>
        <v/>
      </c>
      <c r="F16756" s="15" t="str">
        <f aca="false">IF(B16756&lt;5,"Go","Standard")</f>
        <v>Standard</v>
      </c>
    </row>
    <row r="16757" customFormat="false" ht="15" hidden="false" customHeight="true" outlineLevel="0" collapsed="false">
      <c r="A16757" s="10" t="n">
        <f aca="false">Einstellungen!$B$5+INT((ROW()-9)/24)</f>
        <v>46663</v>
      </c>
      <c r="B16757" s="11" t="n">
        <f aca="false">MOD(ROW()-9,24)</f>
        <v>20</v>
      </c>
      <c r="C16757" s="12"/>
      <c r="D16757" s="13" t="n">
        <f aca="false">IF(B16757&lt;5,Einstellungen!$B$3,Einstellungen!$B$4)</f>
        <v>29.13</v>
      </c>
      <c r="E16757" s="14" t="str">
        <f aca="false">IF(C16757="","",C16757*D16757/100)</f>
        <v/>
      </c>
      <c r="F16757" s="15" t="str">
        <f aca="false">IF(B16757&lt;5,"Go","Standard")</f>
        <v>Standard</v>
      </c>
    </row>
    <row r="16758" customFormat="false" ht="15" hidden="false" customHeight="true" outlineLevel="0" collapsed="false">
      <c r="A16758" s="10" t="n">
        <f aca="false">Einstellungen!$B$5+INT((ROW()-9)/24)</f>
        <v>46663</v>
      </c>
      <c r="B16758" s="11" t="n">
        <f aca="false">MOD(ROW()-9,24)</f>
        <v>21</v>
      </c>
      <c r="C16758" s="12"/>
      <c r="D16758" s="13" t="n">
        <f aca="false">IF(B16758&lt;5,Einstellungen!$B$3,Einstellungen!$B$4)</f>
        <v>29.13</v>
      </c>
      <c r="E16758" s="14" t="str">
        <f aca="false">IF(C16758="","",C16758*D16758/100)</f>
        <v/>
      </c>
      <c r="F16758" s="15" t="str">
        <f aca="false">IF(B16758&lt;5,"Go","Standard")</f>
        <v>Standard</v>
      </c>
    </row>
    <row r="16759" customFormat="false" ht="15" hidden="false" customHeight="true" outlineLevel="0" collapsed="false">
      <c r="A16759" s="10" t="n">
        <f aca="false">Einstellungen!$B$5+INT((ROW()-9)/24)</f>
        <v>46663</v>
      </c>
      <c r="B16759" s="11" t="n">
        <f aca="false">MOD(ROW()-9,24)</f>
        <v>22</v>
      </c>
      <c r="C16759" s="12"/>
      <c r="D16759" s="13" t="n">
        <f aca="false">IF(B16759&lt;5,Einstellungen!$B$3,Einstellungen!$B$4)</f>
        <v>29.13</v>
      </c>
      <c r="E16759" s="14" t="str">
        <f aca="false">IF(C16759="","",C16759*D16759/100)</f>
        <v/>
      </c>
      <c r="F16759" s="15" t="str">
        <f aca="false">IF(B16759&lt;5,"Go","Standard")</f>
        <v>Standard</v>
      </c>
    </row>
    <row r="16760" customFormat="false" ht="15" hidden="false" customHeight="true" outlineLevel="0" collapsed="false">
      <c r="A16760" s="10" t="n">
        <f aca="false">Einstellungen!$B$5+INT((ROW()-9)/24)</f>
        <v>46663</v>
      </c>
      <c r="B16760" s="11" t="n">
        <f aca="false">MOD(ROW()-9,24)</f>
        <v>23</v>
      </c>
      <c r="C16760" s="12"/>
      <c r="D16760" s="13" t="n">
        <f aca="false">IF(B16760&lt;5,Einstellungen!$B$3,Einstellungen!$B$4)</f>
        <v>29.13</v>
      </c>
      <c r="E16760" s="14" t="str">
        <f aca="false">IF(C16760="","",C16760*D16760/100)</f>
        <v/>
      </c>
      <c r="F16760" s="15" t="str">
        <f aca="false">IF(B16760&lt;5,"Go","Standard")</f>
        <v>Standard</v>
      </c>
    </row>
    <row r="16761" customFormat="false" ht="15" hidden="false" customHeight="true" outlineLevel="0" collapsed="false">
      <c r="A16761" s="10" t="n">
        <f aca="false">Einstellungen!$B$5+INT((ROW()-9)/24)</f>
        <v>46664</v>
      </c>
      <c r="B16761" s="11" t="n">
        <f aca="false">MOD(ROW()-9,24)</f>
        <v>0</v>
      </c>
      <c r="C16761" s="12"/>
      <c r="D16761" s="13" t="n">
        <f aca="false">IF(B16761&lt;5,Einstellungen!$B$3,Einstellungen!$B$4)</f>
        <v>15.92</v>
      </c>
      <c r="E16761" s="14" t="str">
        <f aca="false">IF(C16761="","",C16761*D16761/100)</f>
        <v/>
      </c>
      <c r="F16761" s="15" t="str">
        <f aca="false">IF(B16761&lt;5,"Go","Standard")</f>
        <v>Go</v>
      </c>
    </row>
    <row r="16762" customFormat="false" ht="15" hidden="false" customHeight="true" outlineLevel="0" collapsed="false">
      <c r="A16762" s="10" t="n">
        <f aca="false">Einstellungen!$B$5+INT((ROW()-9)/24)</f>
        <v>46664</v>
      </c>
      <c r="B16762" s="11" t="n">
        <f aca="false">MOD(ROW()-9,24)</f>
        <v>1</v>
      </c>
      <c r="C16762" s="12"/>
      <c r="D16762" s="13" t="n">
        <f aca="false">IF(B16762&lt;5,Einstellungen!$B$3,Einstellungen!$B$4)</f>
        <v>15.92</v>
      </c>
      <c r="E16762" s="14" t="str">
        <f aca="false">IF(C16762="","",C16762*D16762/100)</f>
        <v/>
      </c>
      <c r="F16762" s="15" t="str">
        <f aca="false">IF(B16762&lt;5,"Go","Standard")</f>
        <v>Go</v>
      </c>
    </row>
    <row r="16763" customFormat="false" ht="15" hidden="false" customHeight="true" outlineLevel="0" collapsed="false">
      <c r="A16763" s="10" t="n">
        <f aca="false">Einstellungen!$B$5+INT((ROW()-9)/24)</f>
        <v>46664</v>
      </c>
      <c r="B16763" s="11" t="n">
        <f aca="false">MOD(ROW()-9,24)</f>
        <v>2</v>
      </c>
      <c r="C16763" s="12"/>
      <c r="D16763" s="13" t="n">
        <f aca="false">IF(B16763&lt;5,Einstellungen!$B$3,Einstellungen!$B$4)</f>
        <v>15.92</v>
      </c>
      <c r="E16763" s="14" t="str">
        <f aca="false">IF(C16763="","",C16763*D16763/100)</f>
        <v/>
      </c>
      <c r="F16763" s="15" t="str">
        <f aca="false">IF(B16763&lt;5,"Go","Standard")</f>
        <v>Go</v>
      </c>
    </row>
    <row r="16764" customFormat="false" ht="15" hidden="false" customHeight="true" outlineLevel="0" collapsed="false">
      <c r="A16764" s="10" t="n">
        <f aca="false">Einstellungen!$B$5+INT((ROW()-9)/24)</f>
        <v>46664</v>
      </c>
      <c r="B16764" s="11" t="n">
        <f aca="false">MOD(ROW()-9,24)</f>
        <v>3</v>
      </c>
      <c r="C16764" s="12"/>
      <c r="D16764" s="13" t="n">
        <f aca="false">IF(B16764&lt;5,Einstellungen!$B$3,Einstellungen!$B$4)</f>
        <v>15.92</v>
      </c>
      <c r="E16764" s="14" t="str">
        <f aca="false">IF(C16764="","",C16764*D16764/100)</f>
        <v/>
      </c>
      <c r="F16764" s="15" t="str">
        <f aca="false">IF(B16764&lt;5,"Go","Standard")</f>
        <v>Go</v>
      </c>
    </row>
    <row r="16765" customFormat="false" ht="15" hidden="false" customHeight="true" outlineLevel="0" collapsed="false">
      <c r="A16765" s="10" t="n">
        <f aca="false">Einstellungen!$B$5+INT((ROW()-9)/24)</f>
        <v>46664</v>
      </c>
      <c r="B16765" s="11" t="n">
        <f aca="false">MOD(ROW()-9,24)</f>
        <v>4</v>
      </c>
      <c r="C16765" s="12"/>
      <c r="D16765" s="13" t="n">
        <f aca="false">IF(B16765&lt;5,Einstellungen!$B$3,Einstellungen!$B$4)</f>
        <v>15.92</v>
      </c>
      <c r="E16765" s="14" t="str">
        <f aca="false">IF(C16765="","",C16765*D16765/100)</f>
        <v/>
      </c>
      <c r="F16765" s="15" t="str">
        <f aca="false">IF(B16765&lt;5,"Go","Standard")</f>
        <v>Go</v>
      </c>
    </row>
    <row r="16766" customFormat="false" ht="15" hidden="false" customHeight="true" outlineLevel="0" collapsed="false">
      <c r="A16766" s="10" t="n">
        <f aca="false">Einstellungen!$B$5+INT((ROW()-9)/24)</f>
        <v>46664</v>
      </c>
      <c r="B16766" s="11" t="n">
        <f aca="false">MOD(ROW()-9,24)</f>
        <v>5</v>
      </c>
      <c r="C16766" s="12"/>
      <c r="D16766" s="13" t="n">
        <f aca="false">IF(B16766&lt;5,Einstellungen!$B$3,Einstellungen!$B$4)</f>
        <v>29.13</v>
      </c>
      <c r="E16766" s="14" t="str">
        <f aca="false">IF(C16766="","",C16766*D16766/100)</f>
        <v/>
      </c>
      <c r="F16766" s="15" t="str">
        <f aca="false">IF(B16766&lt;5,"Go","Standard")</f>
        <v>Standard</v>
      </c>
    </row>
    <row r="16767" customFormat="false" ht="15" hidden="false" customHeight="true" outlineLevel="0" collapsed="false">
      <c r="A16767" s="10" t="n">
        <f aca="false">Einstellungen!$B$5+INT((ROW()-9)/24)</f>
        <v>46664</v>
      </c>
      <c r="B16767" s="11" t="n">
        <f aca="false">MOD(ROW()-9,24)</f>
        <v>6</v>
      </c>
      <c r="C16767" s="12"/>
      <c r="D16767" s="13" t="n">
        <f aca="false">IF(B16767&lt;5,Einstellungen!$B$3,Einstellungen!$B$4)</f>
        <v>29.13</v>
      </c>
      <c r="E16767" s="14" t="str">
        <f aca="false">IF(C16767="","",C16767*D16767/100)</f>
        <v/>
      </c>
      <c r="F16767" s="15" t="str">
        <f aca="false">IF(B16767&lt;5,"Go","Standard")</f>
        <v>Standard</v>
      </c>
    </row>
    <row r="16768" customFormat="false" ht="15" hidden="false" customHeight="true" outlineLevel="0" collapsed="false">
      <c r="A16768" s="10" t="n">
        <f aca="false">Einstellungen!$B$5+INT((ROW()-9)/24)</f>
        <v>46664</v>
      </c>
      <c r="B16768" s="11" t="n">
        <f aca="false">MOD(ROW()-9,24)</f>
        <v>7</v>
      </c>
      <c r="C16768" s="12"/>
      <c r="D16768" s="13" t="n">
        <f aca="false">IF(B16768&lt;5,Einstellungen!$B$3,Einstellungen!$B$4)</f>
        <v>29.13</v>
      </c>
      <c r="E16768" s="14" t="str">
        <f aca="false">IF(C16768="","",C16768*D16768/100)</f>
        <v/>
      </c>
      <c r="F16768" s="15" t="str">
        <f aca="false">IF(B16768&lt;5,"Go","Standard")</f>
        <v>Standard</v>
      </c>
    </row>
    <row r="16769" customFormat="false" ht="15" hidden="false" customHeight="true" outlineLevel="0" collapsed="false">
      <c r="A16769" s="10" t="n">
        <f aca="false">Einstellungen!$B$5+INT((ROW()-9)/24)</f>
        <v>46664</v>
      </c>
      <c r="B16769" s="11" t="n">
        <f aca="false">MOD(ROW()-9,24)</f>
        <v>8</v>
      </c>
      <c r="C16769" s="12"/>
      <c r="D16769" s="13" t="n">
        <f aca="false">IF(B16769&lt;5,Einstellungen!$B$3,Einstellungen!$B$4)</f>
        <v>29.13</v>
      </c>
      <c r="E16769" s="14" t="str">
        <f aca="false">IF(C16769="","",C16769*D16769/100)</f>
        <v/>
      </c>
      <c r="F16769" s="15" t="str">
        <f aca="false">IF(B16769&lt;5,"Go","Standard")</f>
        <v>Standard</v>
      </c>
    </row>
    <row r="16770" customFormat="false" ht="15" hidden="false" customHeight="true" outlineLevel="0" collapsed="false">
      <c r="A16770" s="10" t="n">
        <f aca="false">Einstellungen!$B$5+INT((ROW()-9)/24)</f>
        <v>46664</v>
      </c>
      <c r="B16770" s="11" t="n">
        <f aca="false">MOD(ROW()-9,24)</f>
        <v>9</v>
      </c>
      <c r="C16770" s="12"/>
      <c r="D16770" s="13" t="n">
        <f aca="false">IF(B16770&lt;5,Einstellungen!$B$3,Einstellungen!$B$4)</f>
        <v>29.13</v>
      </c>
      <c r="E16770" s="14" t="str">
        <f aca="false">IF(C16770="","",C16770*D16770/100)</f>
        <v/>
      </c>
      <c r="F16770" s="15" t="str">
        <f aca="false">IF(B16770&lt;5,"Go","Standard")</f>
        <v>Standard</v>
      </c>
    </row>
    <row r="16771" customFormat="false" ht="15" hidden="false" customHeight="true" outlineLevel="0" collapsed="false">
      <c r="A16771" s="10" t="n">
        <f aca="false">Einstellungen!$B$5+INT((ROW()-9)/24)</f>
        <v>46664</v>
      </c>
      <c r="B16771" s="11" t="n">
        <f aca="false">MOD(ROW()-9,24)</f>
        <v>10</v>
      </c>
      <c r="C16771" s="12"/>
      <c r="D16771" s="13" t="n">
        <f aca="false">IF(B16771&lt;5,Einstellungen!$B$3,Einstellungen!$B$4)</f>
        <v>29.13</v>
      </c>
      <c r="E16771" s="14" t="str">
        <f aca="false">IF(C16771="","",C16771*D16771/100)</f>
        <v/>
      </c>
      <c r="F16771" s="15" t="str">
        <f aca="false">IF(B16771&lt;5,"Go","Standard")</f>
        <v>Standard</v>
      </c>
    </row>
    <row r="16772" customFormat="false" ht="15" hidden="false" customHeight="true" outlineLevel="0" collapsed="false">
      <c r="A16772" s="10" t="n">
        <f aca="false">Einstellungen!$B$5+INT((ROW()-9)/24)</f>
        <v>46664</v>
      </c>
      <c r="B16772" s="11" t="n">
        <f aca="false">MOD(ROW()-9,24)</f>
        <v>11</v>
      </c>
      <c r="C16772" s="12"/>
      <c r="D16772" s="13" t="n">
        <f aca="false">IF(B16772&lt;5,Einstellungen!$B$3,Einstellungen!$B$4)</f>
        <v>29.13</v>
      </c>
      <c r="E16772" s="14" t="str">
        <f aca="false">IF(C16772="","",C16772*D16772/100)</f>
        <v/>
      </c>
      <c r="F16772" s="15" t="str">
        <f aca="false">IF(B16772&lt;5,"Go","Standard")</f>
        <v>Standard</v>
      </c>
    </row>
    <row r="16773" customFormat="false" ht="15" hidden="false" customHeight="true" outlineLevel="0" collapsed="false">
      <c r="A16773" s="10" t="n">
        <f aca="false">Einstellungen!$B$5+INT((ROW()-9)/24)</f>
        <v>46664</v>
      </c>
      <c r="B16773" s="11" t="n">
        <f aca="false">MOD(ROW()-9,24)</f>
        <v>12</v>
      </c>
      <c r="C16773" s="12"/>
      <c r="D16773" s="13" t="n">
        <f aca="false">IF(B16773&lt;5,Einstellungen!$B$3,Einstellungen!$B$4)</f>
        <v>29.13</v>
      </c>
      <c r="E16773" s="14" t="str">
        <f aca="false">IF(C16773="","",C16773*D16773/100)</f>
        <v/>
      </c>
      <c r="F16773" s="15" t="str">
        <f aca="false">IF(B16773&lt;5,"Go","Standard")</f>
        <v>Standard</v>
      </c>
    </row>
    <row r="16774" customFormat="false" ht="15" hidden="false" customHeight="true" outlineLevel="0" collapsed="false">
      <c r="A16774" s="10" t="n">
        <f aca="false">Einstellungen!$B$5+INT((ROW()-9)/24)</f>
        <v>46664</v>
      </c>
      <c r="B16774" s="11" t="n">
        <f aca="false">MOD(ROW()-9,24)</f>
        <v>13</v>
      </c>
      <c r="C16774" s="12"/>
      <c r="D16774" s="13" t="n">
        <f aca="false">IF(B16774&lt;5,Einstellungen!$B$3,Einstellungen!$B$4)</f>
        <v>29.13</v>
      </c>
      <c r="E16774" s="14" t="str">
        <f aca="false">IF(C16774="","",C16774*D16774/100)</f>
        <v/>
      </c>
      <c r="F16774" s="15" t="str">
        <f aca="false">IF(B16774&lt;5,"Go","Standard")</f>
        <v>Standard</v>
      </c>
    </row>
    <row r="16775" customFormat="false" ht="15" hidden="false" customHeight="true" outlineLevel="0" collapsed="false">
      <c r="A16775" s="10" t="n">
        <f aca="false">Einstellungen!$B$5+INT((ROW()-9)/24)</f>
        <v>46664</v>
      </c>
      <c r="B16775" s="11" t="n">
        <f aca="false">MOD(ROW()-9,24)</f>
        <v>14</v>
      </c>
      <c r="C16775" s="12"/>
      <c r="D16775" s="13" t="n">
        <f aca="false">IF(B16775&lt;5,Einstellungen!$B$3,Einstellungen!$B$4)</f>
        <v>29.13</v>
      </c>
      <c r="E16775" s="14" t="str">
        <f aca="false">IF(C16775="","",C16775*D16775/100)</f>
        <v/>
      </c>
      <c r="F16775" s="15" t="str">
        <f aca="false">IF(B16775&lt;5,"Go","Standard")</f>
        <v>Standard</v>
      </c>
    </row>
    <row r="16776" customFormat="false" ht="15" hidden="false" customHeight="true" outlineLevel="0" collapsed="false">
      <c r="A16776" s="10" t="n">
        <f aca="false">Einstellungen!$B$5+INT((ROW()-9)/24)</f>
        <v>46664</v>
      </c>
      <c r="B16776" s="11" t="n">
        <f aca="false">MOD(ROW()-9,24)</f>
        <v>15</v>
      </c>
      <c r="C16776" s="12"/>
      <c r="D16776" s="13" t="n">
        <f aca="false">IF(B16776&lt;5,Einstellungen!$B$3,Einstellungen!$B$4)</f>
        <v>29.13</v>
      </c>
      <c r="E16776" s="14" t="str">
        <f aca="false">IF(C16776="","",C16776*D16776/100)</f>
        <v/>
      </c>
      <c r="F16776" s="15" t="str">
        <f aca="false">IF(B16776&lt;5,"Go","Standard")</f>
        <v>Standard</v>
      </c>
    </row>
    <row r="16777" customFormat="false" ht="15" hidden="false" customHeight="true" outlineLevel="0" collapsed="false">
      <c r="A16777" s="10" t="n">
        <f aca="false">Einstellungen!$B$5+INT((ROW()-9)/24)</f>
        <v>46664</v>
      </c>
      <c r="B16777" s="11" t="n">
        <f aca="false">MOD(ROW()-9,24)</f>
        <v>16</v>
      </c>
      <c r="C16777" s="12"/>
      <c r="D16777" s="13" t="n">
        <f aca="false">IF(B16777&lt;5,Einstellungen!$B$3,Einstellungen!$B$4)</f>
        <v>29.13</v>
      </c>
      <c r="E16777" s="14" t="str">
        <f aca="false">IF(C16777="","",C16777*D16777/100)</f>
        <v/>
      </c>
      <c r="F16777" s="15" t="str">
        <f aca="false">IF(B16777&lt;5,"Go","Standard")</f>
        <v>Standard</v>
      </c>
    </row>
    <row r="16778" customFormat="false" ht="15" hidden="false" customHeight="true" outlineLevel="0" collapsed="false">
      <c r="A16778" s="10" t="n">
        <f aca="false">Einstellungen!$B$5+INT((ROW()-9)/24)</f>
        <v>46664</v>
      </c>
      <c r="B16778" s="11" t="n">
        <f aca="false">MOD(ROW()-9,24)</f>
        <v>17</v>
      </c>
      <c r="C16778" s="12"/>
      <c r="D16778" s="13" t="n">
        <f aca="false">IF(B16778&lt;5,Einstellungen!$B$3,Einstellungen!$B$4)</f>
        <v>29.13</v>
      </c>
      <c r="E16778" s="14" t="str">
        <f aca="false">IF(C16778="","",C16778*D16778/100)</f>
        <v/>
      </c>
      <c r="F16778" s="15" t="str">
        <f aca="false">IF(B16778&lt;5,"Go","Standard")</f>
        <v>Standard</v>
      </c>
    </row>
    <row r="16779" customFormat="false" ht="15" hidden="false" customHeight="true" outlineLevel="0" collapsed="false">
      <c r="A16779" s="10" t="n">
        <f aca="false">Einstellungen!$B$5+INT((ROW()-9)/24)</f>
        <v>46664</v>
      </c>
      <c r="B16779" s="11" t="n">
        <f aca="false">MOD(ROW()-9,24)</f>
        <v>18</v>
      </c>
      <c r="C16779" s="12"/>
      <c r="D16779" s="13" t="n">
        <f aca="false">IF(B16779&lt;5,Einstellungen!$B$3,Einstellungen!$B$4)</f>
        <v>29.13</v>
      </c>
      <c r="E16779" s="14" t="str">
        <f aca="false">IF(C16779="","",C16779*D16779/100)</f>
        <v/>
      </c>
      <c r="F16779" s="15" t="str">
        <f aca="false">IF(B16779&lt;5,"Go","Standard")</f>
        <v>Standard</v>
      </c>
    </row>
    <row r="16780" customFormat="false" ht="15" hidden="false" customHeight="true" outlineLevel="0" collapsed="false">
      <c r="A16780" s="10" t="n">
        <f aca="false">Einstellungen!$B$5+INT((ROW()-9)/24)</f>
        <v>46664</v>
      </c>
      <c r="B16780" s="11" t="n">
        <f aca="false">MOD(ROW()-9,24)</f>
        <v>19</v>
      </c>
      <c r="C16780" s="12"/>
      <c r="D16780" s="13" t="n">
        <f aca="false">IF(B16780&lt;5,Einstellungen!$B$3,Einstellungen!$B$4)</f>
        <v>29.13</v>
      </c>
      <c r="E16780" s="14" t="str">
        <f aca="false">IF(C16780="","",C16780*D16780/100)</f>
        <v/>
      </c>
      <c r="F16780" s="15" t="str">
        <f aca="false">IF(B16780&lt;5,"Go","Standard")</f>
        <v>Standard</v>
      </c>
    </row>
    <row r="16781" customFormat="false" ht="15" hidden="false" customHeight="true" outlineLevel="0" collapsed="false">
      <c r="A16781" s="10" t="n">
        <f aca="false">Einstellungen!$B$5+INT((ROW()-9)/24)</f>
        <v>46664</v>
      </c>
      <c r="B16781" s="11" t="n">
        <f aca="false">MOD(ROW()-9,24)</f>
        <v>20</v>
      </c>
      <c r="C16781" s="12"/>
      <c r="D16781" s="13" t="n">
        <f aca="false">IF(B16781&lt;5,Einstellungen!$B$3,Einstellungen!$B$4)</f>
        <v>29.13</v>
      </c>
      <c r="E16781" s="14" t="str">
        <f aca="false">IF(C16781="","",C16781*D16781/100)</f>
        <v/>
      </c>
      <c r="F16781" s="15" t="str">
        <f aca="false">IF(B16781&lt;5,"Go","Standard")</f>
        <v>Standard</v>
      </c>
    </row>
    <row r="16782" customFormat="false" ht="15" hidden="false" customHeight="true" outlineLevel="0" collapsed="false">
      <c r="A16782" s="10" t="n">
        <f aca="false">Einstellungen!$B$5+INT((ROW()-9)/24)</f>
        <v>46664</v>
      </c>
      <c r="B16782" s="11" t="n">
        <f aca="false">MOD(ROW()-9,24)</f>
        <v>21</v>
      </c>
      <c r="C16782" s="12"/>
      <c r="D16782" s="13" t="n">
        <f aca="false">IF(B16782&lt;5,Einstellungen!$B$3,Einstellungen!$B$4)</f>
        <v>29.13</v>
      </c>
      <c r="E16782" s="14" t="str">
        <f aca="false">IF(C16782="","",C16782*D16782/100)</f>
        <v/>
      </c>
      <c r="F16782" s="15" t="str">
        <f aca="false">IF(B16782&lt;5,"Go","Standard")</f>
        <v>Standard</v>
      </c>
    </row>
    <row r="16783" customFormat="false" ht="15" hidden="false" customHeight="true" outlineLevel="0" collapsed="false">
      <c r="A16783" s="10" t="n">
        <f aca="false">Einstellungen!$B$5+INT((ROW()-9)/24)</f>
        <v>46664</v>
      </c>
      <c r="B16783" s="11" t="n">
        <f aca="false">MOD(ROW()-9,24)</f>
        <v>22</v>
      </c>
      <c r="C16783" s="12"/>
      <c r="D16783" s="13" t="n">
        <f aca="false">IF(B16783&lt;5,Einstellungen!$B$3,Einstellungen!$B$4)</f>
        <v>29.13</v>
      </c>
      <c r="E16783" s="14" t="str">
        <f aca="false">IF(C16783="","",C16783*D16783/100)</f>
        <v/>
      </c>
      <c r="F16783" s="15" t="str">
        <f aca="false">IF(B16783&lt;5,"Go","Standard")</f>
        <v>Standard</v>
      </c>
    </row>
    <row r="16784" customFormat="false" ht="15" hidden="false" customHeight="true" outlineLevel="0" collapsed="false">
      <c r="A16784" s="10" t="n">
        <f aca="false">Einstellungen!$B$5+INT((ROW()-9)/24)</f>
        <v>46664</v>
      </c>
      <c r="B16784" s="11" t="n">
        <f aca="false">MOD(ROW()-9,24)</f>
        <v>23</v>
      </c>
      <c r="C16784" s="12"/>
      <c r="D16784" s="13" t="n">
        <f aca="false">IF(B16784&lt;5,Einstellungen!$B$3,Einstellungen!$B$4)</f>
        <v>29.13</v>
      </c>
      <c r="E16784" s="14" t="str">
        <f aca="false">IF(C16784="","",C16784*D16784/100)</f>
        <v/>
      </c>
      <c r="F16784" s="15" t="str">
        <f aca="false">IF(B16784&lt;5,"Go","Standard")</f>
        <v>Standard</v>
      </c>
    </row>
    <row r="16785" customFormat="false" ht="15" hidden="false" customHeight="true" outlineLevel="0" collapsed="false">
      <c r="A16785" s="10" t="n">
        <f aca="false">Einstellungen!$B$5+INT((ROW()-9)/24)</f>
        <v>46665</v>
      </c>
      <c r="B16785" s="11" t="n">
        <f aca="false">MOD(ROW()-9,24)</f>
        <v>0</v>
      </c>
      <c r="C16785" s="12"/>
      <c r="D16785" s="13" t="n">
        <f aca="false">IF(B16785&lt;5,Einstellungen!$B$3,Einstellungen!$B$4)</f>
        <v>15.92</v>
      </c>
      <c r="E16785" s="14" t="str">
        <f aca="false">IF(C16785="","",C16785*D16785/100)</f>
        <v/>
      </c>
      <c r="F16785" s="15" t="str">
        <f aca="false">IF(B16785&lt;5,"Go","Standard")</f>
        <v>Go</v>
      </c>
    </row>
    <row r="16786" customFormat="false" ht="15" hidden="false" customHeight="true" outlineLevel="0" collapsed="false">
      <c r="A16786" s="10" t="n">
        <f aca="false">Einstellungen!$B$5+INT((ROW()-9)/24)</f>
        <v>46665</v>
      </c>
      <c r="B16786" s="11" t="n">
        <f aca="false">MOD(ROW()-9,24)</f>
        <v>1</v>
      </c>
      <c r="C16786" s="12"/>
      <c r="D16786" s="13" t="n">
        <f aca="false">IF(B16786&lt;5,Einstellungen!$B$3,Einstellungen!$B$4)</f>
        <v>15.92</v>
      </c>
      <c r="E16786" s="14" t="str">
        <f aca="false">IF(C16786="","",C16786*D16786/100)</f>
        <v/>
      </c>
      <c r="F16786" s="15" t="str">
        <f aca="false">IF(B16786&lt;5,"Go","Standard")</f>
        <v>Go</v>
      </c>
    </row>
    <row r="16787" customFormat="false" ht="15" hidden="false" customHeight="true" outlineLevel="0" collapsed="false">
      <c r="A16787" s="10" t="n">
        <f aca="false">Einstellungen!$B$5+INT((ROW()-9)/24)</f>
        <v>46665</v>
      </c>
      <c r="B16787" s="11" t="n">
        <f aca="false">MOD(ROW()-9,24)</f>
        <v>2</v>
      </c>
      <c r="C16787" s="12"/>
      <c r="D16787" s="13" t="n">
        <f aca="false">IF(B16787&lt;5,Einstellungen!$B$3,Einstellungen!$B$4)</f>
        <v>15.92</v>
      </c>
      <c r="E16787" s="14" t="str">
        <f aca="false">IF(C16787="","",C16787*D16787/100)</f>
        <v/>
      </c>
      <c r="F16787" s="15" t="str">
        <f aca="false">IF(B16787&lt;5,"Go","Standard")</f>
        <v>Go</v>
      </c>
    </row>
    <row r="16788" customFormat="false" ht="15" hidden="false" customHeight="true" outlineLevel="0" collapsed="false">
      <c r="A16788" s="10" t="n">
        <f aca="false">Einstellungen!$B$5+INT((ROW()-9)/24)</f>
        <v>46665</v>
      </c>
      <c r="B16788" s="11" t="n">
        <f aca="false">MOD(ROW()-9,24)</f>
        <v>3</v>
      </c>
      <c r="C16788" s="12"/>
      <c r="D16788" s="13" t="n">
        <f aca="false">IF(B16788&lt;5,Einstellungen!$B$3,Einstellungen!$B$4)</f>
        <v>15.92</v>
      </c>
      <c r="E16788" s="14" t="str">
        <f aca="false">IF(C16788="","",C16788*D16788/100)</f>
        <v/>
      </c>
      <c r="F16788" s="15" t="str">
        <f aca="false">IF(B16788&lt;5,"Go","Standard")</f>
        <v>Go</v>
      </c>
    </row>
    <row r="16789" customFormat="false" ht="15" hidden="false" customHeight="true" outlineLevel="0" collapsed="false">
      <c r="A16789" s="10" t="n">
        <f aca="false">Einstellungen!$B$5+INT((ROW()-9)/24)</f>
        <v>46665</v>
      </c>
      <c r="B16789" s="11" t="n">
        <f aca="false">MOD(ROW()-9,24)</f>
        <v>4</v>
      </c>
      <c r="C16789" s="12"/>
      <c r="D16789" s="13" t="n">
        <f aca="false">IF(B16789&lt;5,Einstellungen!$B$3,Einstellungen!$B$4)</f>
        <v>15.92</v>
      </c>
      <c r="E16789" s="14" t="str">
        <f aca="false">IF(C16789="","",C16789*D16789/100)</f>
        <v/>
      </c>
      <c r="F16789" s="15" t="str">
        <f aca="false">IF(B16789&lt;5,"Go","Standard")</f>
        <v>Go</v>
      </c>
    </row>
    <row r="16790" customFormat="false" ht="15" hidden="false" customHeight="true" outlineLevel="0" collapsed="false">
      <c r="A16790" s="10" t="n">
        <f aca="false">Einstellungen!$B$5+INT((ROW()-9)/24)</f>
        <v>46665</v>
      </c>
      <c r="B16790" s="11" t="n">
        <f aca="false">MOD(ROW()-9,24)</f>
        <v>5</v>
      </c>
      <c r="C16790" s="12"/>
      <c r="D16790" s="13" t="n">
        <f aca="false">IF(B16790&lt;5,Einstellungen!$B$3,Einstellungen!$B$4)</f>
        <v>29.13</v>
      </c>
      <c r="E16790" s="14" t="str">
        <f aca="false">IF(C16790="","",C16790*D16790/100)</f>
        <v/>
      </c>
      <c r="F16790" s="15" t="str">
        <f aca="false">IF(B16790&lt;5,"Go","Standard")</f>
        <v>Standard</v>
      </c>
    </row>
    <row r="16791" customFormat="false" ht="15" hidden="false" customHeight="true" outlineLevel="0" collapsed="false">
      <c r="A16791" s="10" t="n">
        <f aca="false">Einstellungen!$B$5+INT((ROW()-9)/24)</f>
        <v>46665</v>
      </c>
      <c r="B16791" s="11" t="n">
        <f aca="false">MOD(ROW()-9,24)</f>
        <v>6</v>
      </c>
      <c r="C16791" s="12"/>
      <c r="D16791" s="13" t="n">
        <f aca="false">IF(B16791&lt;5,Einstellungen!$B$3,Einstellungen!$B$4)</f>
        <v>29.13</v>
      </c>
      <c r="E16791" s="14" t="str">
        <f aca="false">IF(C16791="","",C16791*D16791/100)</f>
        <v/>
      </c>
      <c r="F16791" s="15" t="str">
        <f aca="false">IF(B16791&lt;5,"Go","Standard")</f>
        <v>Standard</v>
      </c>
    </row>
    <row r="16792" customFormat="false" ht="15" hidden="false" customHeight="true" outlineLevel="0" collapsed="false">
      <c r="A16792" s="10" t="n">
        <f aca="false">Einstellungen!$B$5+INT((ROW()-9)/24)</f>
        <v>46665</v>
      </c>
      <c r="B16792" s="11" t="n">
        <f aca="false">MOD(ROW()-9,24)</f>
        <v>7</v>
      </c>
      <c r="C16792" s="12"/>
      <c r="D16792" s="13" t="n">
        <f aca="false">IF(B16792&lt;5,Einstellungen!$B$3,Einstellungen!$B$4)</f>
        <v>29.13</v>
      </c>
      <c r="E16792" s="14" t="str">
        <f aca="false">IF(C16792="","",C16792*D16792/100)</f>
        <v/>
      </c>
      <c r="F16792" s="15" t="str">
        <f aca="false">IF(B16792&lt;5,"Go","Standard")</f>
        <v>Standard</v>
      </c>
    </row>
    <row r="16793" customFormat="false" ht="15" hidden="false" customHeight="true" outlineLevel="0" collapsed="false">
      <c r="A16793" s="10" t="n">
        <f aca="false">Einstellungen!$B$5+INT((ROW()-9)/24)</f>
        <v>46665</v>
      </c>
      <c r="B16793" s="11" t="n">
        <f aca="false">MOD(ROW()-9,24)</f>
        <v>8</v>
      </c>
      <c r="C16793" s="12"/>
      <c r="D16793" s="13" t="n">
        <f aca="false">IF(B16793&lt;5,Einstellungen!$B$3,Einstellungen!$B$4)</f>
        <v>29.13</v>
      </c>
      <c r="E16793" s="14" t="str">
        <f aca="false">IF(C16793="","",C16793*D16793/100)</f>
        <v/>
      </c>
      <c r="F16793" s="15" t="str">
        <f aca="false">IF(B16793&lt;5,"Go","Standard")</f>
        <v>Standard</v>
      </c>
    </row>
    <row r="16794" customFormat="false" ht="15" hidden="false" customHeight="true" outlineLevel="0" collapsed="false">
      <c r="A16794" s="10" t="n">
        <f aca="false">Einstellungen!$B$5+INT((ROW()-9)/24)</f>
        <v>46665</v>
      </c>
      <c r="B16794" s="11" t="n">
        <f aca="false">MOD(ROW()-9,24)</f>
        <v>9</v>
      </c>
      <c r="C16794" s="12"/>
      <c r="D16794" s="13" t="n">
        <f aca="false">IF(B16794&lt;5,Einstellungen!$B$3,Einstellungen!$B$4)</f>
        <v>29.13</v>
      </c>
      <c r="E16794" s="14" t="str">
        <f aca="false">IF(C16794="","",C16794*D16794/100)</f>
        <v/>
      </c>
      <c r="F16794" s="15" t="str">
        <f aca="false">IF(B16794&lt;5,"Go","Standard")</f>
        <v>Standard</v>
      </c>
    </row>
    <row r="16795" customFormat="false" ht="15" hidden="false" customHeight="true" outlineLevel="0" collapsed="false">
      <c r="A16795" s="10" t="n">
        <f aca="false">Einstellungen!$B$5+INT((ROW()-9)/24)</f>
        <v>46665</v>
      </c>
      <c r="B16795" s="11" t="n">
        <f aca="false">MOD(ROW()-9,24)</f>
        <v>10</v>
      </c>
      <c r="C16795" s="12"/>
      <c r="D16795" s="13" t="n">
        <f aca="false">IF(B16795&lt;5,Einstellungen!$B$3,Einstellungen!$B$4)</f>
        <v>29.13</v>
      </c>
      <c r="E16795" s="14" t="str">
        <f aca="false">IF(C16795="","",C16795*D16795/100)</f>
        <v/>
      </c>
      <c r="F16795" s="15" t="str">
        <f aca="false">IF(B16795&lt;5,"Go","Standard")</f>
        <v>Standard</v>
      </c>
    </row>
    <row r="16796" customFormat="false" ht="15" hidden="false" customHeight="true" outlineLevel="0" collapsed="false">
      <c r="A16796" s="10" t="n">
        <f aca="false">Einstellungen!$B$5+INT((ROW()-9)/24)</f>
        <v>46665</v>
      </c>
      <c r="B16796" s="11" t="n">
        <f aca="false">MOD(ROW()-9,24)</f>
        <v>11</v>
      </c>
      <c r="C16796" s="12"/>
      <c r="D16796" s="13" t="n">
        <f aca="false">IF(B16796&lt;5,Einstellungen!$B$3,Einstellungen!$B$4)</f>
        <v>29.13</v>
      </c>
      <c r="E16796" s="14" t="str">
        <f aca="false">IF(C16796="","",C16796*D16796/100)</f>
        <v/>
      </c>
      <c r="F16796" s="15" t="str">
        <f aca="false">IF(B16796&lt;5,"Go","Standard")</f>
        <v>Standard</v>
      </c>
    </row>
    <row r="16797" customFormat="false" ht="15" hidden="false" customHeight="true" outlineLevel="0" collapsed="false">
      <c r="A16797" s="10" t="n">
        <f aca="false">Einstellungen!$B$5+INT((ROW()-9)/24)</f>
        <v>46665</v>
      </c>
      <c r="B16797" s="11" t="n">
        <f aca="false">MOD(ROW()-9,24)</f>
        <v>12</v>
      </c>
      <c r="C16797" s="12"/>
      <c r="D16797" s="13" t="n">
        <f aca="false">IF(B16797&lt;5,Einstellungen!$B$3,Einstellungen!$B$4)</f>
        <v>29.13</v>
      </c>
      <c r="E16797" s="14" t="str">
        <f aca="false">IF(C16797="","",C16797*D16797/100)</f>
        <v/>
      </c>
      <c r="F16797" s="15" t="str">
        <f aca="false">IF(B16797&lt;5,"Go","Standard")</f>
        <v>Standard</v>
      </c>
    </row>
    <row r="16798" customFormat="false" ht="15" hidden="false" customHeight="true" outlineLevel="0" collapsed="false">
      <c r="A16798" s="10" t="n">
        <f aca="false">Einstellungen!$B$5+INT((ROW()-9)/24)</f>
        <v>46665</v>
      </c>
      <c r="B16798" s="11" t="n">
        <f aca="false">MOD(ROW()-9,24)</f>
        <v>13</v>
      </c>
      <c r="C16798" s="12"/>
      <c r="D16798" s="13" t="n">
        <f aca="false">IF(B16798&lt;5,Einstellungen!$B$3,Einstellungen!$B$4)</f>
        <v>29.13</v>
      </c>
      <c r="E16798" s="14" t="str">
        <f aca="false">IF(C16798="","",C16798*D16798/100)</f>
        <v/>
      </c>
      <c r="F16798" s="15" t="str">
        <f aca="false">IF(B16798&lt;5,"Go","Standard")</f>
        <v>Standard</v>
      </c>
    </row>
    <row r="16799" customFormat="false" ht="15" hidden="false" customHeight="true" outlineLevel="0" collapsed="false">
      <c r="A16799" s="10" t="n">
        <f aca="false">Einstellungen!$B$5+INT((ROW()-9)/24)</f>
        <v>46665</v>
      </c>
      <c r="B16799" s="11" t="n">
        <f aca="false">MOD(ROW()-9,24)</f>
        <v>14</v>
      </c>
      <c r="C16799" s="12"/>
      <c r="D16799" s="13" t="n">
        <f aca="false">IF(B16799&lt;5,Einstellungen!$B$3,Einstellungen!$B$4)</f>
        <v>29.13</v>
      </c>
      <c r="E16799" s="14" t="str">
        <f aca="false">IF(C16799="","",C16799*D16799/100)</f>
        <v/>
      </c>
      <c r="F16799" s="15" t="str">
        <f aca="false">IF(B16799&lt;5,"Go","Standard")</f>
        <v>Standard</v>
      </c>
    </row>
    <row r="16800" customFormat="false" ht="15" hidden="false" customHeight="true" outlineLevel="0" collapsed="false">
      <c r="A16800" s="10" t="n">
        <f aca="false">Einstellungen!$B$5+INT((ROW()-9)/24)</f>
        <v>46665</v>
      </c>
      <c r="B16800" s="11" t="n">
        <f aca="false">MOD(ROW()-9,24)</f>
        <v>15</v>
      </c>
      <c r="C16800" s="12"/>
      <c r="D16800" s="13" t="n">
        <f aca="false">IF(B16800&lt;5,Einstellungen!$B$3,Einstellungen!$B$4)</f>
        <v>29.13</v>
      </c>
      <c r="E16800" s="14" t="str">
        <f aca="false">IF(C16800="","",C16800*D16800/100)</f>
        <v/>
      </c>
      <c r="F16800" s="15" t="str">
        <f aca="false">IF(B16800&lt;5,"Go","Standard")</f>
        <v>Standard</v>
      </c>
    </row>
    <row r="16801" customFormat="false" ht="15" hidden="false" customHeight="true" outlineLevel="0" collapsed="false">
      <c r="A16801" s="10" t="n">
        <f aca="false">Einstellungen!$B$5+INT((ROW()-9)/24)</f>
        <v>46665</v>
      </c>
      <c r="B16801" s="11" t="n">
        <f aca="false">MOD(ROW()-9,24)</f>
        <v>16</v>
      </c>
      <c r="C16801" s="12"/>
      <c r="D16801" s="13" t="n">
        <f aca="false">IF(B16801&lt;5,Einstellungen!$B$3,Einstellungen!$B$4)</f>
        <v>29.13</v>
      </c>
      <c r="E16801" s="14" t="str">
        <f aca="false">IF(C16801="","",C16801*D16801/100)</f>
        <v/>
      </c>
      <c r="F16801" s="15" t="str">
        <f aca="false">IF(B16801&lt;5,"Go","Standard")</f>
        <v>Standard</v>
      </c>
    </row>
    <row r="16802" customFormat="false" ht="15" hidden="false" customHeight="true" outlineLevel="0" collapsed="false">
      <c r="A16802" s="10" t="n">
        <f aca="false">Einstellungen!$B$5+INT((ROW()-9)/24)</f>
        <v>46665</v>
      </c>
      <c r="B16802" s="11" t="n">
        <f aca="false">MOD(ROW()-9,24)</f>
        <v>17</v>
      </c>
      <c r="C16802" s="12"/>
      <c r="D16802" s="13" t="n">
        <f aca="false">IF(B16802&lt;5,Einstellungen!$B$3,Einstellungen!$B$4)</f>
        <v>29.13</v>
      </c>
      <c r="E16802" s="14" t="str">
        <f aca="false">IF(C16802="","",C16802*D16802/100)</f>
        <v/>
      </c>
      <c r="F16802" s="15" t="str">
        <f aca="false">IF(B16802&lt;5,"Go","Standard")</f>
        <v>Standard</v>
      </c>
    </row>
    <row r="16803" customFormat="false" ht="15" hidden="false" customHeight="true" outlineLevel="0" collapsed="false">
      <c r="A16803" s="10" t="n">
        <f aca="false">Einstellungen!$B$5+INT((ROW()-9)/24)</f>
        <v>46665</v>
      </c>
      <c r="B16803" s="11" t="n">
        <f aca="false">MOD(ROW()-9,24)</f>
        <v>18</v>
      </c>
      <c r="C16803" s="12"/>
      <c r="D16803" s="13" t="n">
        <f aca="false">IF(B16803&lt;5,Einstellungen!$B$3,Einstellungen!$B$4)</f>
        <v>29.13</v>
      </c>
      <c r="E16803" s="14" t="str">
        <f aca="false">IF(C16803="","",C16803*D16803/100)</f>
        <v/>
      </c>
      <c r="F16803" s="15" t="str">
        <f aca="false">IF(B16803&lt;5,"Go","Standard")</f>
        <v>Standard</v>
      </c>
    </row>
    <row r="16804" customFormat="false" ht="15" hidden="false" customHeight="true" outlineLevel="0" collapsed="false">
      <c r="A16804" s="10" t="n">
        <f aca="false">Einstellungen!$B$5+INT((ROW()-9)/24)</f>
        <v>46665</v>
      </c>
      <c r="B16804" s="11" t="n">
        <f aca="false">MOD(ROW()-9,24)</f>
        <v>19</v>
      </c>
      <c r="C16804" s="12"/>
      <c r="D16804" s="13" t="n">
        <f aca="false">IF(B16804&lt;5,Einstellungen!$B$3,Einstellungen!$B$4)</f>
        <v>29.13</v>
      </c>
      <c r="E16804" s="14" t="str">
        <f aca="false">IF(C16804="","",C16804*D16804/100)</f>
        <v/>
      </c>
      <c r="F16804" s="15" t="str">
        <f aca="false">IF(B16804&lt;5,"Go","Standard")</f>
        <v>Standard</v>
      </c>
    </row>
    <row r="16805" customFormat="false" ht="15" hidden="false" customHeight="true" outlineLevel="0" collapsed="false">
      <c r="A16805" s="10" t="n">
        <f aca="false">Einstellungen!$B$5+INT((ROW()-9)/24)</f>
        <v>46665</v>
      </c>
      <c r="B16805" s="11" t="n">
        <f aca="false">MOD(ROW()-9,24)</f>
        <v>20</v>
      </c>
      <c r="C16805" s="12"/>
      <c r="D16805" s="13" t="n">
        <f aca="false">IF(B16805&lt;5,Einstellungen!$B$3,Einstellungen!$B$4)</f>
        <v>29.13</v>
      </c>
      <c r="E16805" s="14" t="str">
        <f aca="false">IF(C16805="","",C16805*D16805/100)</f>
        <v/>
      </c>
      <c r="F16805" s="15" t="str">
        <f aca="false">IF(B16805&lt;5,"Go","Standard")</f>
        <v>Standard</v>
      </c>
    </row>
    <row r="16806" customFormat="false" ht="15" hidden="false" customHeight="true" outlineLevel="0" collapsed="false">
      <c r="A16806" s="10" t="n">
        <f aca="false">Einstellungen!$B$5+INT((ROW()-9)/24)</f>
        <v>46665</v>
      </c>
      <c r="B16806" s="11" t="n">
        <f aca="false">MOD(ROW()-9,24)</f>
        <v>21</v>
      </c>
      <c r="C16806" s="12"/>
      <c r="D16806" s="13" t="n">
        <f aca="false">IF(B16806&lt;5,Einstellungen!$B$3,Einstellungen!$B$4)</f>
        <v>29.13</v>
      </c>
      <c r="E16806" s="14" t="str">
        <f aca="false">IF(C16806="","",C16806*D16806/100)</f>
        <v/>
      </c>
      <c r="F16806" s="15" t="str">
        <f aca="false">IF(B16806&lt;5,"Go","Standard")</f>
        <v>Standard</v>
      </c>
    </row>
    <row r="16807" customFormat="false" ht="15" hidden="false" customHeight="true" outlineLevel="0" collapsed="false">
      <c r="A16807" s="10" t="n">
        <f aca="false">Einstellungen!$B$5+INT((ROW()-9)/24)</f>
        <v>46665</v>
      </c>
      <c r="B16807" s="11" t="n">
        <f aca="false">MOD(ROW()-9,24)</f>
        <v>22</v>
      </c>
      <c r="C16807" s="12"/>
      <c r="D16807" s="13" t="n">
        <f aca="false">IF(B16807&lt;5,Einstellungen!$B$3,Einstellungen!$B$4)</f>
        <v>29.13</v>
      </c>
      <c r="E16807" s="14" t="str">
        <f aca="false">IF(C16807="","",C16807*D16807/100)</f>
        <v/>
      </c>
      <c r="F16807" s="15" t="str">
        <f aca="false">IF(B16807&lt;5,"Go","Standard")</f>
        <v>Standard</v>
      </c>
    </row>
    <row r="16808" customFormat="false" ht="15" hidden="false" customHeight="true" outlineLevel="0" collapsed="false">
      <c r="A16808" s="10" t="n">
        <f aca="false">Einstellungen!$B$5+INT((ROW()-9)/24)</f>
        <v>46665</v>
      </c>
      <c r="B16808" s="11" t="n">
        <f aca="false">MOD(ROW()-9,24)</f>
        <v>23</v>
      </c>
      <c r="C16808" s="12"/>
      <c r="D16808" s="13" t="n">
        <f aca="false">IF(B16808&lt;5,Einstellungen!$B$3,Einstellungen!$B$4)</f>
        <v>29.13</v>
      </c>
      <c r="E16808" s="14" t="str">
        <f aca="false">IF(C16808="","",C16808*D16808/100)</f>
        <v/>
      </c>
      <c r="F16808" s="15" t="str">
        <f aca="false">IF(B16808&lt;5,"Go","Standard")</f>
        <v>Standard</v>
      </c>
    </row>
    <row r="16809" customFormat="false" ht="15" hidden="false" customHeight="true" outlineLevel="0" collapsed="false">
      <c r="A16809" s="10" t="n">
        <f aca="false">Einstellungen!$B$5+INT((ROW()-9)/24)</f>
        <v>46666</v>
      </c>
      <c r="B16809" s="11" t="n">
        <f aca="false">MOD(ROW()-9,24)</f>
        <v>0</v>
      </c>
      <c r="C16809" s="12"/>
      <c r="D16809" s="13" t="n">
        <f aca="false">IF(B16809&lt;5,Einstellungen!$B$3,Einstellungen!$B$4)</f>
        <v>15.92</v>
      </c>
      <c r="E16809" s="14" t="str">
        <f aca="false">IF(C16809="","",C16809*D16809/100)</f>
        <v/>
      </c>
      <c r="F16809" s="15" t="str">
        <f aca="false">IF(B16809&lt;5,"Go","Standard")</f>
        <v>Go</v>
      </c>
    </row>
    <row r="16810" customFormat="false" ht="15" hidden="false" customHeight="true" outlineLevel="0" collapsed="false">
      <c r="A16810" s="10" t="n">
        <f aca="false">Einstellungen!$B$5+INT((ROW()-9)/24)</f>
        <v>46666</v>
      </c>
      <c r="B16810" s="11" t="n">
        <f aca="false">MOD(ROW()-9,24)</f>
        <v>1</v>
      </c>
      <c r="C16810" s="12"/>
      <c r="D16810" s="13" t="n">
        <f aca="false">IF(B16810&lt;5,Einstellungen!$B$3,Einstellungen!$B$4)</f>
        <v>15.92</v>
      </c>
      <c r="E16810" s="14" t="str">
        <f aca="false">IF(C16810="","",C16810*D16810/100)</f>
        <v/>
      </c>
      <c r="F16810" s="15" t="str">
        <f aca="false">IF(B16810&lt;5,"Go","Standard")</f>
        <v>Go</v>
      </c>
    </row>
    <row r="16811" customFormat="false" ht="15" hidden="false" customHeight="true" outlineLevel="0" collapsed="false">
      <c r="A16811" s="10" t="n">
        <f aca="false">Einstellungen!$B$5+INT((ROW()-9)/24)</f>
        <v>46666</v>
      </c>
      <c r="B16811" s="11" t="n">
        <f aca="false">MOD(ROW()-9,24)</f>
        <v>2</v>
      </c>
      <c r="C16811" s="12"/>
      <c r="D16811" s="13" t="n">
        <f aca="false">IF(B16811&lt;5,Einstellungen!$B$3,Einstellungen!$B$4)</f>
        <v>15.92</v>
      </c>
      <c r="E16811" s="14" t="str">
        <f aca="false">IF(C16811="","",C16811*D16811/100)</f>
        <v/>
      </c>
      <c r="F16811" s="15" t="str">
        <f aca="false">IF(B16811&lt;5,"Go","Standard")</f>
        <v>Go</v>
      </c>
    </row>
    <row r="16812" customFormat="false" ht="15" hidden="false" customHeight="true" outlineLevel="0" collapsed="false">
      <c r="A16812" s="10" t="n">
        <f aca="false">Einstellungen!$B$5+INT((ROW()-9)/24)</f>
        <v>46666</v>
      </c>
      <c r="B16812" s="11" t="n">
        <f aca="false">MOD(ROW()-9,24)</f>
        <v>3</v>
      </c>
      <c r="C16812" s="12"/>
      <c r="D16812" s="13" t="n">
        <f aca="false">IF(B16812&lt;5,Einstellungen!$B$3,Einstellungen!$B$4)</f>
        <v>15.92</v>
      </c>
      <c r="E16812" s="14" t="str">
        <f aca="false">IF(C16812="","",C16812*D16812/100)</f>
        <v/>
      </c>
      <c r="F16812" s="15" t="str">
        <f aca="false">IF(B16812&lt;5,"Go","Standard")</f>
        <v>Go</v>
      </c>
    </row>
    <row r="16813" customFormat="false" ht="15" hidden="false" customHeight="true" outlineLevel="0" collapsed="false">
      <c r="A16813" s="10" t="n">
        <f aca="false">Einstellungen!$B$5+INT((ROW()-9)/24)</f>
        <v>46666</v>
      </c>
      <c r="B16813" s="11" t="n">
        <f aca="false">MOD(ROW()-9,24)</f>
        <v>4</v>
      </c>
      <c r="C16813" s="12"/>
      <c r="D16813" s="13" t="n">
        <f aca="false">IF(B16813&lt;5,Einstellungen!$B$3,Einstellungen!$B$4)</f>
        <v>15.92</v>
      </c>
      <c r="E16813" s="14" t="str">
        <f aca="false">IF(C16813="","",C16813*D16813/100)</f>
        <v/>
      </c>
      <c r="F16813" s="15" t="str">
        <f aca="false">IF(B16813&lt;5,"Go","Standard")</f>
        <v>Go</v>
      </c>
    </row>
    <row r="16814" customFormat="false" ht="15" hidden="false" customHeight="true" outlineLevel="0" collapsed="false">
      <c r="A16814" s="10" t="n">
        <f aca="false">Einstellungen!$B$5+INT((ROW()-9)/24)</f>
        <v>46666</v>
      </c>
      <c r="B16814" s="11" t="n">
        <f aca="false">MOD(ROW()-9,24)</f>
        <v>5</v>
      </c>
      <c r="C16814" s="12"/>
      <c r="D16814" s="13" t="n">
        <f aca="false">IF(B16814&lt;5,Einstellungen!$B$3,Einstellungen!$B$4)</f>
        <v>29.13</v>
      </c>
      <c r="E16814" s="14" t="str">
        <f aca="false">IF(C16814="","",C16814*D16814/100)</f>
        <v/>
      </c>
      <c r="F16814" s="15" t="str">
        <f aca="false">IF(B16814&lt;5,"Go","Standard")</f>
        <v>Standard</v>
      </c>
    </row>
    <row r="16815" customFormat="false" ht="15" hidden="false" customHeight="true" outlineLevel="0" collapsed="false">
      <c r="A16815" s="10" t="n">
        <f aca="false">Einstellungen!$B$5+INT((ROW()-9)/24)</f>
        <v>46666</v>
      </c>
      <c r="B16815" s="11" t="n">
        <f aca="false">MOD(ROW()-9,24)</f>
        <v>6</v>
      </c>
      <c r="C16815" s="12"/>
      <c r="D16815" s="13" t="n">
        <f aca="false">IF(B16815&lt;5,Einstellungen!$B$3,Einstellungen!$B$4)</f>
        <v>29.13</v>
      </c>
      <c r="E16815" s="14" t="str">
        <f aca="false">IF(C16815="","",C16815*D16815/100)</f>
        <v/>
      </c>
      <c r="F16815" s="15" t="str">
        <f aca="false">IF(B16815&lt;5,"Go","Standard")</f>
        <v>Standard</v>
      </c>
    </row>
    <row r="16816" customFormat="false" ht="15" hidden="false" customHeight="true" outlineLevel="0" collapsed="false">
      <c r="A16816" s="10" t="n">
        <f aca="false">Einstellungen!$B$5+INT((ROW()-9)/24)</f>
        <v>46666</v>
      </c>
      <c r="B16816" s="11" t="n">
        <f aca="false">MOD(ROW()-9,24)</f>
        <v>7</v>
      </c>
      <c r="C16816" s="12"/>
      <c r="D16816" s="13" t="n">
        <f aca="false">IF(B16816&lt;5,Einstellungen!$B$3,Einstellungen!$B$4)</f>
        <v>29.13</v>
      </c>
      <c r="E16816" s="14" t="str">
        <f aca="false">IF(C16816="","",C16816*D16816/100)</f>
        <v/>
      </c>
      <c r="F16816" s="15" t="str">
        <f aca="false">IF(B16816&lt;5,"Go","Standard")</f>
        <v>Standard</v>
      </c>
    </row>
    <row r="16817" customFormat="false" ht="15" hidden="false" customHeight="true" outlineLevel="0" collapsed="false">
      <c r="A16817" s="10" t="n">
        <f aca="false">Einstellungen!$B$5+INT((ROW()-9)/24)</f>
        <v>46666</v>
      </c>
      <c r="B16817" s="11" t="n">
        <f aca="false">MOD(ROW()-9,24)</f>
        <v>8</v>
      </c>
      <c r="C16817" s="12"/>
      <c r="D16817" s="13" t="n">
        <f aca="false">IF(B16817&lt;5,Einstellungen!$B$3,Einstellungen!$B$4)</f>
        <v>29.13</v>
      </c>
      <c r="E16817" s="14" t="str">
        <f aca="false">IF(C16817="","",C16817*D16817/100)</f>
        <v/>
      </c>
      <c r="F16817" s="15" t="str">
        <f aca="false">IF(B16817&lt;5,"Go","Standard")</f>
        <v>Standard</v>
      </c>
    </row>
    <row r="16818" customFormat="false" ht="15" hidden="false" customHeight="true" outlineLevel="0" collapsed="false">
      <c r="A16818" s="10" t="n">
        <f aca="false">Einstellungen!$B$5+INT((ROW()-9)/24)</f>
        <v>46666</v>
      </c>
      <c r="B16818" s="11" t="n">
        <f aca="false">MOD(ROW()-9,24)</f>
        <v>9</v>
      </c>
      <c r="C16818" s="12"/>
      <c r="D16818" s="13" t="n">
        <f aca="false">IF(B16818&lt;5,Einstellungen!$B$3,Einstellungen!$B$4)</f>
        <v>29.13</v>
      </c>
      <c r="E16818" s="14" t="str">
        <f aca="false">IF(C16818="","",C16818*D16818/100)</f>
        <v/>
      </c>
      <c r="F16818" s="15" t="str">
        <f aca="false">IF(B16818&lt;5,"Go","Standard")</f>
        <v>Standard</v>
      </c>
    </row>
    <row r="16819" customFormat="false" ht="15" hidden="false" customHeight="true" outlineLevel="0" collapsed="false">
      <c r="A16819" s="10" t="n">
        <f aca="false">Einstellungen!$B$5+INT((ROW()-9)/24)</f>
        <v>46666</v>
      </c>
      <c r="B16819" s="11" t="n">
        <f aca="false">MOD(ROW()-9,24)</f>
        <v>10</v>
      </c>
      <c r="C16819" s="12"/>
      <c r="D16819" s="13" t="n">
        <f aca="false">IF(B16819&lt;5,Einstellungen!$B$3,Einstellungen!$B$4)</f>
        <v>29.13</v>
      </c>
      <c r="E16819" s="14" t="str">
        <f aca="false">IF(C16819="","",C16819*D16819/100)</f>
        <v/>
      </c>
      <c r="F16819" s="15" t="str">
        <f aca="false">IF(B16819&lt;5,"Go","Standard")</f>
        <v>Standard</v>
      </c>
    </row>
    <row r="16820" customFormat="false" ht="15" hidden="false" customHeight="true" outlineLevel="0" collapsed="false">
      <c r="A16820" s="10" t="n">
        <f aca="false">Einstellungen!$B$5+INT((ROW()-9)/24)</f>
        <v>46666</v>
      </c>
      <c r="B16820" s="11" t="n">
        <f aca="false">MOD(ROW()-9,24)</f>
        <v>11</v>
      </c>
      <c r="C16820" s="12"/>
      <c r="D16820" s="13" t="n">
        <f aca="false">IF(B16820&lt;5,Einstellungen!$B$3,Einstellungen!$B$4)</f>
        <v>29.13</v>
      </c>
      <c r="E16820" s="14" t="str">
        <f aca="false">IF(C16820="","",C16820*D16820/100)</f>
        <v/>
      </c>
      <c r="F16820" s="15" t="str">
        <f aca="false">IF(B16820&lt;5,"Go","Standard")</f>
        <v>Standard</v>
      </c>
    </row>
    <row r="16821" customFormat="false" ht="15" hidden="false" customHeight="true" outlineLevel="0" collapsed="false">
      <c r="A16821" s="10" t="n">
        <f aca="false">Einstellungen!$B$5+INT((ROW()-9)/24)</f>
        <v>46666</v>
      </c>
      <c r="B16821" s="11" t="n">
        <f aca="false">MOD(ROW()-9,24)</f>
        <v>12</v>
      </c>
      <c r="C16821" s="12"/>
      <c r="D16821" s="13" t="n">
        <f aca="false">IF(B16821&lt;5,Einstellungen!$B$3,Einstellungen!$B$4)</f>
        <v>29.13</v>
      </c>
      <c r="E16821" s="14" t="str">
        <f aca="false">IF(C16821="","",C16821*D16821/100)</f>
        <v/>
      </c>
      <c r="F16821" s="15" t="str">
        <f aca="false">IF(B16821&lt;5,"Go","Standard")</f>
        <v>Standard</v>
      </c>
    </row>
    <row r="16822" customFormat="false" ht="15" hidden="false" customHeight="true" outlineLevel="0" collapsed="false">
      <c r="A16822" s="10" t="n">
        <f aca="false">Einstellungen!$B$5+INT((ROW()-9)/24)</f>
        <v>46666</v>
      </c>
      <c r="B16822" s="11" t="n">
        <f aca="false">MOD(ROW()-9,24)</f>
        <v>13</v>
      </c>
      <c r="C16822" s="12"/>
      <c r="D16822" s="13" t="n">
        <f aca="false">IF(B16822&lt;5,Einstellungen!$B$3,Einstellungen!$B$4)</f>
        <v>29.13</v>
      </c>
      <c r="E16822" s="14" t="str">
        <f aca="false">IF(C16822="","",C16822*D16822/100)</f>
        <v/>
      </c>
      <c r="F16822" s="15" t="str">
        <f aca="false">IF(B16822&lt;5,"Go","Standard")</f>
        <v>Standard</v>
      </c>
    </row>
    <row r="16823" customFormat="false" ht="15" hidden="false" customHeight="true" outlineLevel="0" collapsed="false">
      <c r="A16823" s="10" t="n">
        <f aca="false">Einstellungen!$B$5+INT((ROW()-9)/24)</f>
        <v>46666</v>
      </c>
      <c r="B16823" s="11" t="n">
        <f aca="false">MOD(ROW()-9,24)</f>
        <v>14</v>
      </c>
      <c r="C16823" s="12"/>
      <c r="D16823" s="13" t="n">
        <f aca="false">IF(B16823&lt;5,Einstellungen!$B$3,Einstellungen!$B$4)</f>
        <v>29.13</v>
      </c>
      <c r="E16823" s="14" t="str">
        <f aca="false">IF(C16823="","",C16823*D16823/100)</f>
        <v/>
      </c>
      <c r="F16823" s="15" t="str">
        <f aca="false">IF(B16823&lt;5,"Go","Standard")</f>
        <v>Standard</v>
      </c>
    </row>
    <row r="16824" customFormat="false" ht="15" hidden="false" customHeight="true" outlineLevel="0" collapsed="false">
      <c r="A16824" s="10" t="n">
        <f aca="false">Einstellungen!$B$5+INT((ROW()-9)/24)</f>
        <v>46666</v>
      </c>
      <c r="B16824" s="11" t="n">
        <f aca="false">MOD(ROW()-9,24)</f>
        <v>15</v>
      </c>
      <c r="C16824" s="12"/>
      <c r="D16824" s="13" t="n">
        <f aca="false">IF(B16824&lt;5,Einstellungen!$B$3,Einstellungen!$B$4)</f>
        <v>29.13</v>
      </c>
      <c r="E16824" s="14" t="str">
        <f aca="false">IF(C16824="","",C16824*D16824/100)</f>
        <v/>
      </c>
      <c r="F16824" s="15" t="str">
        <f aca="false">IF(B16824&lt;5,"Go","Standard")</f>
        <v>Standard</v>
      </c>
    </row>
    <row r="16825" customFormat="false" ht="15" hidden="false" customHeight="true" outlineLevel="0" collapsed="false">
      <c r="A16825" s="10" t="n">
        <f aca="false">Einstellungen!$B$5+INT((ROW()-9)/24)</f>
        <v>46666</v>
      </c>
      <c r="B16825" s="11" t="n">
        <f aca="false">MOD(ROW()-9,24)</f>
        <v>16</v>
      </c>
      <c r="C16825" s="12"/>
      <c r="D16825" s="13" t="n">
        <f aca="false">IF(B16825&lt;5,Einstellungen!$B$3,Einstellungen!$B$4)</f>
        <v>29.13</v>
      </c>
      <c r="E16825" s="14" t="str">
        <f aca="false">IF(C16825="","",C16825*D16825/100)</f>
        <v/>
      </c>
      <c r="F16825" s="15" t="str">
        <f aca="false">IF(B16825&lt;5,"Go","Standard")</f>
        <v>Standard</v>
      </c>
    </row>
    <row r="16826" customFormat="false" ht="15" hidden="false" customHeight="true" outlineLevel="0" collapsed="false">
      <c r="A16826" s="10" t="n">
        <f aca="false">Einstellungen!$B$5+INT((ROW()-9)/24)</f>
        <v>46666</v>
      </c>
      <c r="B16826" s="11" t="n">
        <f aca="false">MOD(ROW()-9,24)</f>
        <v>17</v>
      </c>
      <c r="C16826" s="12"/>
      <c r="D16826" s="13" t="n">
        <f aca="false">IF(B16826&lt;5,Einstellungen!$B$3,Einstellungen!$B$4)</f>
        <v>29.13</v>
      </c>
      <c r="E16826" s="14" t="str">
        <f aca="false">IF(C16826="","",C16826*D16826/100)</f>
        <v/>
      </c>
      <c r="F16826" s="15" t="str">
        <f aca="false">IF(B16826&lt;5,"Go","Standard")</f>
        <v>Standard</v>
      </c>
    </row>
    <row r="16827" customFormat="false" ht="15" hidden="false" customHeight="true" outlineLevel="0" collapsed="false">
      <c r="A16827" s="10" t="n">
        <f aca="false">Einstellungen!$B$5+INT((ROW()-9)/24)</f>
        <v>46666</v>
      </c>
      <c r="B16827" s="11" t="n">
        <f aca="false">MOD(ROW()-9,24)</f>
        <v>18</v>
      </c>
      <c r="C16827" s="12"/>
      <c r="D16827" s="13" t="n">
        <f aca="false">IF(B16827&lt;5,Einstellungen!$B$3,Einstellungen!$B$4)</f>
        <v>29.13</v>
      </c>
      <c r="E16827" s="14" t="str">
        <f aca="false">IF(C16827="","",C16827*D16827/100)</f>
        <v/>
      </c>
      <c r="F16827" s="15" t="str">
        <f aca="false">IF(B16827&lt;5,"Go","Standard")</f>
        <v>Standard</v>
      </c>
    </row>
    <row r="16828" customFormat="false" ht="15" hidden="false" customHeight="true" outlineLevel="0" collapsed="false">
      <c r="A16828" s="10" t="n">
        <f aca="false">Einstellungen!$B$5+INT((ROW()-9)/24)</f>
        <v>46666</v>
      </c>
      <c r="B16828" s="11" t="n">
        <f aca="false">MOD(ROW()-9,24)</f>
        <v>19</v>
      </c>
      <c r="C16828" s="12"/>
      <c r="D16828" s="13" t="n">
        <f aca="false">IF(B16828&lt;5,Einstellungen!$B$3,Einstellungen!$B$4)</f>
        <v>29.13</v>
      </c>
      <c r="E16828" s="14" t="str">
        <f aca="false">IF(C16828="","",C16828*D16828/100)</f>
        <v/>
      </c>
      <c r="F16828" s="15" t="str">
        <f aca="false">IF(B16828&lt;5,"Go","Standard")</f>
        <v>Standard</v>
      </c>
    </row>
    <row r="16829" customFormat="false" ht="15" hidden="false" customHeight="true" outlineLevel="0" collapsed="false">
      <c r="A16829" s="10" t="n">
        <f aca="false">Einstellungen!$B$5+INT((ROW()-9)/24)</f>
        <v>46666</v>
      </c>
      <c r="B16829" s="11" t="n">
        <f aca="false">MOD(ROW()-9,24)</f>
        <v>20</v>
      </c>
      <c r="C16829" s="12"/>
      <c r="D16829" s="13" t="n">
        <f aca="false">IF(B16829&lt;5,Einstellungen!$B$3,Einstellungen!$B$4)</f>
        <v>29.13</v>
      </c>
      <c r="E16829" s="14" t="str">
        <f aca="false">IF(C16829="","",C16829*D16829/100)</f>
        <v/>
      </c>
      <c r="F16829" s="15" t="str">
        <f aca="false">IF(B16829&lt;5,"Go","Standard")</f>
        <v>Standard</v>
      </c>
    </row>
    <row r="16830" customFormat="false" ht="15" hidden="false" customHeight="true" outlineLevel="0" collapsed="false">
      <c r="A16830" s="10" t="n">
        <f aca="false">Einstellungen!$B$5+INT((ROW()-9)/24)</f>
        <v>46666</v>
      </c>
      <c r="B16830" s="11" t="n">
        <f aca="false">MOD(ROW()-9,24)</f>
        <v>21</v>
      </c>
      <c r="C16830" s="12"/>
      <c r="D16830" s="13" t="n">
        <f aca="false">IF(B16830&lt;5,Einstellungen!$B$3,Einstellungen!$B$4)</f>
        <v>29.13</v>
      </c>
      <c r="E16830" s="14" t="str">
        <f aca="false">IF(C16830="","",C16830*D16830/100)</f>
        <v/>
      </c>
      <c r="F16830" s="15" t="str">
        <f aca="false">IF(B16830&lt;5,"Go","Standard")</f>
        <v>Standard</v>
      </c>
    </row>
    <row r="16831" customFormat="false" ht="15" hidden="false" customHeight="true" outlineLevel="0" collapsed="false">
      <c r="A16831" s="10" t="n">
        <f aca="false">Einstellungen!$B$5+INT((ROW()-9)/24)</f>
        <v>46666</v>
      </c>
      <c r="B16831" s="11" t="n">
        <f aca="false">MOD(ROW()-9,24)</f>
        <v>22</v>
      </c>
      <c r="C16831" s="12"/>
      <c r="D16831" s="13" t="n">
        <f aca="false">IF(B16831&lt;5,Einstellungen!$B$3,Einstellungen!$B$4)</f>
        <v>29.13</v>
      </c>
      <c r="E16831" s="14" t="str">
        <f aca="false">IF(C16831="","",C16831*D16831/100)</f>
        <v/>
      </c>
      <c r="F16831" s="15" t="str">
        <f aca="false">IF(B16831&lt;5,"Go","Standard")</f>
        <v>Standard</v>
      </c>
    </row>
    <row r="16832" customFormat="false" ht="15" hidden="false" customHeight="true" outlineLevel="0" collapsed="false">
      <c r="A16832" s="10" t="n">
        <f aca="false">Einstellungen!$B$5+INT((ROW()-9)/24)</f>
        <v>46666</v>
      </c>
      <c r="B16832" s="11" t="n">
        <f aca="false">MOD(ROW()-9,24)</f>
        <v>23</v>
      </c>
      <c r="C16832" s="12"/>
      <c r="D16832" s="13" t="n">
        <f aca="false">IF(B16832&lt;5,Einstellungen!$B$3,Einstellungen!$B$4)</f>
        <v>29.13</v>
      </c>
      <c r="E16832" s="14" t="str">
        <f aca="false">IF(C16832="","",C16832*D16832/100)</f>
        <v/>
      </c>
      <c r="F16832" s="15" t="str">
        <f aca="false">IF(B16832&lt;5,"Go","Standard")</f>
        <v>Standard</v>
      </c>
    </row>
    <row r="16833" customFormat="false" ht="15" hidden="false" customHeight="true" outlineLevel="0" collapsed="false">
      <c r="A16833" s="10" t="n">
        <f aca="false">Einstellungen!$B$5+INT((ROW()-9)/24)</f>
        <v>46667</v>
      </c>
      <c r="B16833" s="11" t="n">
        <f aca="false">MOD(ROW()-9,24)</f>
        <v>0</v>
      </c>
      <c r="C16833" s="12"/>
      <c r="D16833" s="13" t="n">
        <f aca="false">IF(B16833&lt;5,Einstellungen!$B$3,Einstellungen!$B$4)</f>
        <v>15.92</v>
      </c>
      <c r="E16833" s="14" t="str">
        <f aca="false">IF(C16833="","",C16833*D16833/100)</f>
        <v/>
      </c>
      <c r="F16833" s="15" t="str">
        <f aca="false">IF(B16833&lt;5,"Go","Standard")</f>
        <v>Go</v>
      </c>
    </row>
    <row r="16834" customFormat="false" ht="15" hidden="false" customHeight="true" outlineLevel="0" collapsed="false">
      <c r="A16834" s="10" t="n">
        <f aca="false">Einstellungen!$B$5+INT((ROW()-9)/24)</f>
        <v>46667</v>
      </c>
      <c r="B16834" s="11" t="n">
        <f aca="false">MOD(ROW()-9,24)</f>
        <v>1</v>
      </c>
      <c r="C16834" s="12"/>
      <c r="D16834" s="13" t="n">
        <f aca="false">IF(B16834&lt;5,Einstellungen!$B$3,Einstellungen!$B$4)</f>
        <v>15.92</v>
      </c>
      <c r="E16834" s="14" t="str">
        <f aca="false">IF(C16834="","",C16834*D16834/100)</f>
        <v/>
      </c>
      <c r="F16834" s="15" t="str">
        <f aca="false">IF(B16834&lt;5,"Go","Standard")</f>
        <v>Go</v>
      </c>
    </row>
    <row r="16835" customFormat="false" ht="15" hidden="false" customHeight="true" outlineLevel="0" collapsed="false">
      <c r="A16835" s="10" t="n">
        <f aca="false">Einstellungen!$B$5+INT((ROW()-9)/24)</f>
        <v>46667</v>
      </c>
      <c r="B16835" s="11" t="n">
        <f aca="false">MOD(ROW()-9,24)</f>
        <v>2</v>
      </c>
      <c r="C16835" s="12"/>
      <c r="D16835" s="13" t="n">
        <f aca="false">IF(B16835&lt;5,Einstellungen!$B$3,Einstellungen!$B$4)</f>
        <v>15.92</v>
      </c>
      <c r="E16835" s="14" t="str">
        <f aca="false">IF(C16835="","",C16835*D16835/100)</f>
        <v/>
      </c>
      <c r="F16835" s="15" t="str">
        <f aca="false">IF(B16835&lt;5,"Go","Standard")</f>
        <v>Go</v>
      </c>
    </row>
    <row r="16836" customFormat="false" ht="15" hidden="false" customHeight="true" outlineLevel="0" collapsed="false">
      <c r="A16836" s="10" t="n">
        <f aca="false">Einstellungen!$B$5+INT((ROW()-9)/24)</f>
        <v>46667</v>
      </c>
      <c r="B16836" s="11" t="n">
        <f aca="false">MOD(ROW()-9,24)</f>
        <v>3</v>
      </c>
      <c r="C16836" s="12"/>
      <c r="D16836" s="13" t="n">
        <f aca="false">IF(B16836&lt;5,Einstellungen!$B$3,Einstellungen!$B$4)</f>
        <v>15.92</v>
      </c>
      <c r="E16836" s="14" t="str">
        <f aca="false">IF(C16836="","",C16836*D16836/100)</f>
        <v/>
      </c>
      <c r="F16836" s="15" t="str">
        <f aca="false">IF(B16836&lt;5,"Go","Standard")</f>
        <v>Go</v>
      </c>
    </row>
    <row r="16837" customFormat="false" ht="15" hidden="false" customHeight="true" outlineLevel="0" collapsed="false">
      <c r="A16837" s="10" t="n">
        <f aca="false">Einstellungen!$B$5+INT((ROW()-9)/24)</f>
        <v>46667</v>
      </c>
      <c r="B16837" s="11" t="n">
        <f aca="false">MOD(ROW()-9,24)</f>
        <v>4</v>
      </c>
      <c r="C16837" s="12"/>
      <c r="D16837" s="13" t="n">
        <f aca="false">IF(B16837&lt;5,Einstellungen!$B$3,Einstellungen!$B$4)</f>
        <v>15.92</v>
      </c>
      <c r="E16837" s="14" t="str">
        <f aca="false">IF(C16837="","",C16837*D16837/100)</f>
        <v/>
      </c>
      <c r="F16837" s="15" t="str">
        <f aca="false">IF(B16837&lt;5,"Go","Standard")</f>
        <v>Go</v>
      </c>
    </row>
    <row r="16838" customFormat="false" ht="15" hidden="false" customHeight="true" outlineLevel="0" collapsed="false">
      <c r="A16838" s="10" t="n">
        <f aca="false">Einstellungen!$B$5+INT((ROW()-9)/24)</f>
        <v>46667</v>
      </c>
      <c r="B16838" s="11" t="n">
        <f aca="false">MOD(ROW()-9,24)</f>
        <v>5</v>
      </c>
      <c r="C16838" s="12"/>
      <c r="D16838" s="13" t="n">
        <f aca="false">IF(B16838&lt;5,Einstellungen!$B$3,Einstellungen!$B$4)</f>
        <v>29.13</v>
      </c>
      <c r="E16838" s="14" t="str">
        <f aca="false">IF(C16838="","",C16838*D16838/100)</f>
        <v/>
      </c>
      <c r="F16838" s="15" t="str">
        <f aca="false">IF(B16838&lt;5,"Go","Standard")</f>
        <v>Standard</v>
      </c>
    </row>
    <row r="16839" customFormat="false" ht="15" hidden="false" customHeight="true" outlineLevel="0" collapsed="false">
      <c r="A16839" s="10" t="n">
        <f aca="false">Einstellungen!$B$5+INT((ROW()-9)/24)</f>
        <v>46667</v>
      </c>
      <c r="B16839" s="11" t="n">
        <f aca="false">MOD(ROW()-9,24)</f>
        <v>6</v>
      </c>
      <c r="C16839" s="12"/>
      <c r="D16839" s="13" t="n">
        <f aca="false">IF(B16839&lt;5,Einstellungen!$B$3,Einstellungen!$B$4)</f>
        <v>29.13</v>
      </c>
      <c r="E16839" s="14" t="str">
        <f aca="false">IF(C16839="","",C16839*D16839/100)</f>
        <v/>
      </c>
      <c r="F16839" s="15" t="str">
        <f aca="false">IF(B16839&lt;5,"Go","Standard")</f>
        <v>Standard</v>
      </c>
    </row>
    <row r="16840" customFormat="false" ht="15" hidden="false" customHeight="true" outlineLevel="0" collapsed="false">
      <c r="A16840" s="10" t="n">
        <f aca="false">Einstellungen!$B$5+INT((ROW()-9)/24)</f>
        <v>46667</v>
      </c>
      <c r="B16840" s="11" t="n">
        <f aca="false">MOD(ROW()-9,24)</f>
        <v>7</v>
      </c>
      <c r="C16840" s="12"/>
      <c r="D16840" s="13" t="n">
        <f aca="false">IF(B16840&lt;5,Einstellungen!$B$3,Einstellungen!$B$4)</f>
        <v>29.13</v>
      </c>
      <c r="E16840" s="14" t="str">
        <f aca="false">IF(C16840="","",C16840*D16840/100)</f>
        <v/>
      </c>
      <c r="F16840" s="15" t="str">
        <f aca="false">IF(B16840&lt;5,"Go","Standard")</f>
        <v>Standard</v>
      </c>
    </row>
    <row r="16841" customFormat="false" ht="15" hidden="false" customHeight="true" outlineLevel="0" collapsed="false">
      <c r="A16841" s="10" t="n">
        <f aca="false">Einstellungen!$B$5+INT((ROW()-9)/24)</f>
        <v>46667</v>
      </c>
      <c r="B16841" s="11" t="n">
        <f aca="false">MOD(ROW()-9,24)</f>
        <v>8</v>
      </c>
      <c r="C16841" s="12"/>
      <c r="D16841" s="13" t="n">
        <f aca="false">IF(B16841&lt;5,Einstellungen!$B$3,Einstellungen!$B$4)</f>
        <v>29.13</v>
      </c>
      <c r="E16841" s="14" t="str">
        <f aca="false">IF(C16841="","",C16841*D16841/100)</f>
        <v/>
      </c>
      <c r="F16841" s="15" t="str">
        <f aca="false">IF(B16841&lt;5,"Go","Standard")</f>
        <v>Standard</v>
      </c>
    </row>
    <row r="16842" customFormat="false" ht="15" hidden="false" customHeight="true" outlineLevel="0" collapsed="false">
      <c r="A16842" s="10" t="n">
        <f aca="false">Einstellungen!$B$5+INT((ROW()-9)/24)</f>
        <v>46667</v>
      </c>
      <c r="B16842" s="11" t="n">
        <f aca="false">MOD(ROW()-9,24)</f>
        <v>9</v>
      </c>
      <c r="C16842" s="12"/>
      <c r="D16842" s="13" t="n">
        <f aca="false">IF(B16842&lt;5,Einstellungen!$B$3,Einstellungen!$B$4)</f>
        <v>29.13</v>
      </c>
      <c r="E16842" s="14" t="str">
        <f aca="false">IF(C16842="","",C16842*D16842/100)</f>
        <v/>
      </c>
      <c r="F16842" s="15" t="str">
        <f aca="false">IF(B16842&lt;5,"Go","Standard")</f>
        <v>Standard</v>
      </c>
    </row>
    <row r="16843" customFormat="false" ht="15" hidden="false" customHeight="true" outlineLevel="0" collapsed="false">
      <c r="A16843" s="10" t="n">
        <f aca="false">Einstellungen!$B$5+INT((ROW()-9)/24)</f>
        <v>46667</v>
      </c>
      <c r="B16843" s="11" t="n">
        <f aca="false">MOD(ROW()-9,24)</f>
        <v>10</v>
      </c>
      <c r="C16843" s="12"/>
      <c r="D16843" s="13" t="n">
        <f aca="false">IF(B16843&lt;5,Einstellungen!$B$3,Einstellungen!$B$4)</f>
        <v>29.13</v>
      </c>
      <c r="E16843" s="14" t="str">
        <f aca="false">IF(C16843="","",C16843*D16843/100)</f>
        <v/>
      </c>
      <c r="F16843" s="15" t="str">
        <f aca="false">IF(B16843&lt;5,"Go","Standard")</f>
        <v>Standard</v>
      </c>
    </row>
    <row r="16844" customFormat="false" ht="15" hidden="false" customHeight="true" outlineLevel="0" collapsed="false">
      <c r="A16844" s="10" t="n">
        <f aca="false">Einstellungen!$B$5+INT((ROW()-9)/24)</f>
        <v>46667</v>
      </c>
      <c r="B16844" s="11" t="n">
        <f aca="false">MOD(ROW()-9,24)</f>
        <v>11</v>
      </c>
      <c r="C16844" s="12"/>
      <c r="D16844" s="13" t="n">
        <f aca="false">IF(B16844&lt;5,Einstellungen!$B$3,Einstellungen!$B$4)</f>
        <v>29.13</v>
      </c>
      <c r="E16844" s="14" t="str">
        <f aca="false">IF(C16844="","",C16844*D16844/100)</f>
        <v/>
      </c>
      <c r="F16844" s="15" t="str">
        <f aca="false">IF(B16844&lt;5,"Go","Standard")</f>
        <v>Standard</v>
      </c>
    </row>
    <row r="16845" customFormat="false" ht="15" hidden="false" customHeight="true" outlineLevel="0" collapsed="false">
      <c r="A16845" s="10" t="n">
        <f aca="false">Einstellungen!$B$5+INT((ROW()-9)/24)</f>
        <v>46667</v>
      </c>
      <c r="B16845" s="11" t="n">
        <f aca="false">MOD(ROW()-9,24)</f>
        <v>12</v>
      </c>
      <c r="C16845" s="12"/>
      <c r="D16845" s="13" t="n">
        <f aca="false">IF(B16845&lt;5,Einstellungen!$B$3,Einstellungen!$B$4)</f>
        <v>29.13</v>
      </c>
      <c r="E16845" s="14" t="str">
        <f aca="false">IF(C16845="","",C16845*D16845/100)</f>
        <v/>
      </c>
      <c r="F16845" s="15" t="str">
        <f aca="false">IF(B16845&lt;5,"Go","Standard")</f>
        <v>Standard</v>
      </c>
    </row>
    <row r="16846" customFormat="false" ht="15" hidden="false" customHeight="true" outlineLevel="0" collapsed="false">
      <c r="A16846" s="10" t="n">
        <f aca="false">Einstellungen!$B$5+INT((ROW()-9)/24)</f>
        <v>46667</v>
      </c>
      <c r="B16846" s="11" t="n">
        <f aca="false">MOD(ROW()-9,24)</f>
        <v>13</v>
      </c>
      <c r="C16846" s="12"/>
      <c r="D16846" s="13" t="n">
        <f aca="false">IF(B16846&lt;5,Einstellungen!$B$3,Einstellungen!$B$4)</f>
        <v>29.13</v>
      </c>
      <c r="E16846" s="14" t="str">
        <f aca="false">IF(C16846="","",C16846*D16846/100)</f>
        <v/>
      </c>
      <c r="F16846" s="15" t="str">
        <f aca="false">IF(B16846&lt;5,"Go","Standard")</f>
        <v>Standard</v>
      </c>
    </row>
    <row r="16847" customFormat="false" ht="15" hidden="false" customHeight="true" outlineLevel="0" collapsed="false">
      <c r="A16847" s="10" t="n">
        <f aca="false">Einstellungen!$B$5+INT((ROW()-9)/24)</f>
        <v>46667</v>
      </c>
      <c r="B16847" s="11" t="n">
        <f aca="false">MOD(ROW()-9,24)</f>
        <v>14</v>
      </c>
      <c r="C16847" s="12"/>
      <c r="D16847" s="13" t="n">
        <f aca="false">IF(B16847&lt;5,Einstellungen!$B$3,Einstellungen!$B$4)</f>
        <v>29.13</v>
      </c>
      <c r="E16847" s="14" t="str">
        <f aca="false">IF(C16847="","",C16847*D16847/100)</f>
        <v/>
      </c>
      <c r="F16847" s="15" t="str">
        <f aca="false">IF(B16847&lt;5,"Go","Standard")</f>
        <v>Standard</v>
      </c>
    </row>
    <row r="16848" customFormat="false" ht="15" hidden="false" customHeight="true" outlineLevel="0" collapsed="false">
      <c r="A16848" s="10" t="n">
        <f aca="false">Einstellungen!$B$5+INT((ROW()-9)/24)</f>
        <v>46667</v>
      </c>
      <c r="B16848" s="11" t="n">
        <f aca="false">MOD(ROW()-9,24)</f>
        <v>15</v>
      </c>
      <c r="C16848" s="12"/>
      <c r="D16848" s="13" t="n">
        <f aca="false">IF(B16848&lt;5,Einstellungen!$B$3,Einstellungen!$B$4)</f>
        <v>29.13</v>
      </c>
      <c r="E16848" s="14" t="str">
        <f aca="false">IF(C16848="","",C16848*D16848/100)</f>
        <v/>
      </c>
      <c r="F16848" s="15" t="str">
        <f aca="false">IF(B16848&lt;5,"Go","Standard")</f>
        <v>Standard</v>
      </c>
    </row>
    <row r="16849" customFormat="false" ht="15" hidden="false" customHeight="true" outlineLevel="0" collapsed="false">
      <c r="A16849" s="10" t="n">
        <f aca="false">Einstellungen!$B$5+INT((ROW()-9)/24)</f>
        <v>46667</v>
      </c>
      <c r="B16849" s="11" t="n">
        <f aca="false">MOD(ROW()-9,24)</f>
        <v>16</v>
      </c>
      <c r="C16849" s="12"/>
      <c r="D16849" s="13" t="n">
        <f aca="false">IF(B16849&lt;5,Einstellungen!$B$3,Einstellungen!$B$4)</f>
        <v>29.13</v>
      </c>
      <c r="E16849" s="14" t="str">
        <f aca="false">IF(C16849="","",C16849*D16849/100)</f>
        <v/>
      </c>
      <c r="F16849" s="15" t="str">
        <f aca="false">IF(B16849&lt;5,"Go","Standard")</f>
        <v>Standard</v>
      </c>
    </row>
    <row r="16850" customFormat="false" ht="15" hidden="false" customHeight="true" outlineLevel="0" collapsed="false">
      <c r="A16850" s="10" t="n">
        <f aca="false">Einstellungen!$B$5+INT((ROW()-9)/24)</f>
        <v>46667</v>
      </c>
      <c r="B16850" s="11" t="n">
        <f aca="false">MOD(ROW()-9,24)</f>
        <v>17</v>
      </c>
      <c r="C16850" s="12"/>
      <c r="D16850" s="13" t="n">
        <f aca="false">IF(B16850&lt;5,Einstellungen!$B$3,Einstellungen!$B$4)</f>
        <v>29.13</v>
      </c>
      <c r="E16850" s="14" t="str">
        <f aca="false">IF(C16850="","",C16850*D16850/100)</f>
        <v/>
      </c>
      <c r="F16850" s="15" t="str">
        <f aca="false">IF(B16850&lt;5,"Go","Standard")</f>
        <v>Standard</v>
      </c>
    </row>
    <row r="16851" customFormat="false" ht="15" hidden="false" customHeight="true" outlineLevel="0" collapsed="false">
      <c r="A16851" s="10" t="n">
        <f aca="false">Einstellungen!$B$5+INT((ROW()-9)/24)</f>
        <v>46667</v>
      </c>
      <c r="B16851" s="11" t="n">
        <f aca="false">MOD(ROW()-9,24)</f>
        <v>18</v>
      </c>
      <c r="C16851" s="12"/>
      <c r="D16851" s="13" t="n">
        <f aca="false">IF(B16851&lt;5,Einstellungen!$B$3,Einstellungen!$B$4)</f>
        <v>29.13</v>
      </c>
      <c r="E16851" s="14" t="str">
        <f aca="false">IF(C16851="","",C16851*D16851/100)</f>
        <v/>
      </c>
      <c r="F16851" s="15" t="str">
        <f aca="false">IF(B16851&lt;5,"Go","Standard")</f>
        <v>Standard</v>
      </c>
    </row>
    <row r="16852" customFormat="false" ht="15" hidden="false" customHeight="true" outlineLevel="0" collapsed="false">
      <c r="A16852" s="10" t="n">
        <f aca="false">Einstellungen!$B$5+INT((ROW()-9)/24)</f>
        <v>46667</v>
      </c>
      <c r="B16852" s="11" t="n">
        <f aca="false">MOD(ROW()-9,24)</f>
        <v>19</v>
      </c>
      <c r="C16852" s="12"/>
      <c r="D16852" s="13" t="n">
        <f aca="false">IF(B16852&lt;5,Einstellungen!$B$3,Einstellungen!$B$4)</f>
        <v>29.13</v>
      </c>
      <c r="E16852" s="14" t="str">
        <f aca="false">IF(C16852="","",C16852*D16852/100)</f>
        <v/>
      </c>
      <c r="F16852" s="15" t="str">
        <f aca="false">IF(B16852&lt;5,"Go","Standard")</f>
        <v>Standard</v>
      </c>
    </row>
    <row r="16853" customFormat="false" ht="15" hidden="false" customHeight="true" outlineLevel="0" collapsed="false">
      <c r="A16853" s="10" t="n">
        <f aca="false">Einstellungen!$B$5+INT((ROW()-9)/24)</f>
        <v>46667</v>
      </c>
      <c r="B16853" s="11" t="n">
        <f aca="false">MOD(ROW()-9,24)</f>
        <v>20</v>
      </c>
      <c r="C16853" s="12"/>
      <c r="D16853" s="13" t="n">
        <f aca="false">IF(B16853&lt;5,Einstellungen!$B$3,Einstellungen!$B$4)</f>
        <v>29.13</v>
      </c>
      <c r="E16853" s="14" t="str">
        <f aca="false">IF(C16853="","",C16853*D16853/100)</f>
        <v/>
      </c>
      <c r="F16853" s="15" t="str">
        <f aca="false">IF(B16853&lt;5,"Go","Standard")</f>
        <v>Standard</v>
      </c>
    </row>
    <row r="16854" customFormat="false" ht="15" hidden="false" customHeight="true" outlineLevel="0" collapsed="false">
      <c r="A16854" s="10" t="n">
        <f aca="false">Einstellungen!$B$5+INT((ROW()-9)/24)</f>
        <v>46667</v>
      </c>
      <c r="B16854" s="11" t="n">
        <f aca="false">MOD(ROW()-9,24)</f>
        <v>21</v>
      </c>
      <c r="C16854" s="12"/>
      <c r="D16854" s="13" t="n">
        <f aca="false">IF(B16854&lt;5,Einstellungen!$B$3,Einstellungen!$B$4)</f>
        <v>29.13</v>
      </c>
      <c r="E16854" s="14" t="str">
        <f aca="false">IF(C16854="","",C16854*D16854/100)</f>
        <v/>
      </c>
      <c r="F16854" s="15" t="str">
        <f aca="false">IF(B16854&lt;5,"Go","Standard")</f>
        <v>Standard</v>
      </c>
    </row>
    <row r="16855" customFormat="false" ht="15" hidden="false" customHeight="true" outlineLevel="0" collapsed="false">
      <c r="A16855" s="10" t="n">
        <f aca="false">Einstellungen!$B$5+INT((ROW()-9)/24)</f>
        <v>46667</v>
      </c>
      <c r="B16855" s="11" t="n">
        <f aca="false">MOD(ROW()-9,24)</f>
        <v>22</v>
      </c>
      <c r="C16855" s="12"/>
      <c r="D16855" s="13" t="n">
        <f aca="false">IF(B16855&lt;5,Einstellungen!$B$3,Einstellungen!$B$4)</f>
        <v>29.13</v>
      </c>
      <c r="E16855" s="14" t="str">
        <f aca="false">IF(C16855="","",C16855*D16855/100)</f>
        <v/>
      </c>
      <c r="F16855" s="15" t="str">
        <f aca="false">IF(B16855&lt;5,"Go","Standard")</f>
        <v>Standard</v>
      </c>
    </row>
    <row r="16856" customFormat="false" ht="15" hidden="false" customHeight="true" outlineLevel="0" collapsed="false">
      <c r="A16856" s="10" t="n">
        <f aca="false">Einstellungen!$B$5+INT((ROW()-9)/24)</f>
        <v>46667</v>
      </c>
      <c r="B16856" s="11" t="n">
        <f aca="false">MOD(ROW()-9,24)</f>
        <v>23</v>
      </c>
      <c r="C16856" s="12"/>
      <c r="D16856" s="13" t="n">
        <f aca="false">IF(B16856&lt;5,Einstellungen!$B$3,Einstellungen!$B$4)</f>
        <v>29.13</v>
      </c>
      <c r="E16856" s="14" t="str">
        <f aca="false">IF(C16856="","",C16856*D16856/100)</f>
        <v/>
      </c>
      <c r="F16856" s="15" t="str">
        <f aca="false">IF(B16856&lt;5,"Go","Standard")</f>
        <v>Standard</v>
      </c>
    </row>
    <row r="16857" customFormat="false" ht="15" hidden="false" customHeight="true" outlineLevel="0" collapsed="false">
      <c r="A16857" s="10" t="n">
        <f aca="false">Einstellungen!$B$5+INT((ROW()-9)/24)</f>
        <v>46668</v>
      </c>
      <c r="B16857" s="11" t="n">
        <f aca="false">MOD(ROW()-9,24)</f>
        <v>0</v>
      </c>
      <c r="C16857" s="12"/>
      <c r="D16857" s="13" t="n">
        <f aca="false">IF(B16857&lt;5,Einstellungen!$B$3,Einstellungen!$B$4)</f>
        <v>15.92</v>
      </c>
      <c r="E16857" s="14" t="str">
        <f aca="false">IF(C16857="","",C16857*D16857/100)</f>
        <v/>
      </c>
      <c r="F16857" s="15" t="str">
        <f aca="false">IF(B16857&lt;5,"Go","Standard")</f>
        <v>Go</v>
      </c>
    </row>
    <row r="16858" customFormat="false" ht="15" hidden="false" customHeight="true" outlineLevel="0" collapsed="false">
      <c r="A16858" s="10" t="n">
        <f aca="false">Einstellungen!$B$5+INT((ROW()-9)/24)</f>
        <v>46668</v>
      </c>
      <c r="B16858" s="11" t="n">
        <f aca="false">MOD(ROW()-9,24)</f>
        <v>1</v>
      </c>
      <c r="C16858" s="12"/>
      <c r="D16858" s="13" t="n">
        <f aca="false">IF(B16858&lt;5,Einstellungen!$B$3,Einstellungen!$B$4)</f>
        <v>15.92</v>
      </c>
      <c r="E16858" s="14" t="str">
        <f aca="false">IF(C16858="","",C16858*D16858/100)</f>
        <v/>
      </c>
      <c r="F16858" s="15" t="str">
        <f aca="false">IF(B16858&lt;5,"Go","Standard")</f>
        <v>Go</v>
      </c>
    </row>
    <row r="16859" customFormat="false" ht="15" hidden="false" customHeight="true" outlineLevel="0" collapsed="false">
      <c r="A16859" s="10" t="n">
        <f aca="false">Einstellungen!$B$5+INT((ROW()-9)/24)</f>
        <v>46668</v>
      </c>
      <c r="B16859" s="11" t="n">
        <f aca="false">MOD(ROW()-9,24)</f>
        <v>2</v>
      </c>
      <c r="C16859" s="12"/>
      <c r="D16859" s="13" t="n">
        <f aca="false">IF(B16859&lt;5,Einstellungen!$B$3,Einstellungen!$B$4)</f>
        <v>15.92</v>
      </c>
      <c r="E16859" s="14" t="str">
        <f aca="false">IF(C16859="","",C16859*D16859/100)</f>
        <v/>
      </c>
      <c r="F16859" s="15" t="str">
        <f aca="false">IF(B16859&lt;5,"Go","Standard")</f>
        <v>Go</v>
      </c>
    </row>
    <row r="16860" customFormat="false" ht="15" hidden="false" customHeight="true" outlineLevel="0" collapsed="false">
      <c r="A16860" s="10" t="n">
        <f aca="false">Einstellungen!$B$5+INT((ROW()-9)/24)</f>
        <v>46668</v>
      </c>
      <c r="B16860" s="11" t="n">
        <f aca="false">MOD(ROW()-9,24)</f>
        <v>3</v>
      </c>
      <c r="C16860" s="12"/>
      <c r="D16860" s="13" t="n">
        <f aca="false">IF(B16860&lt;5,Einstellungen!$B$3,Einstellungen!$B$4)</f>
        <v>15.92</v>
      </c>
      <c r="E16860" s="14" t="str">
        <f aca="false">IF(C16860="","",C16860*D16860/100)</f>
        <v/>
      </c>
      <c r="F16860" s="15" t="str">
        <f aca="false">IF(B16860&lt;5,"Go","Standard")</f>
        <v>Go</v>
      </c>
    </row>
    <row r="16861" customFormat="false" ht="15" hidden="false" customHeight="true" outlineLevel="0" collapsed="false">
      <c r="A16861" s="10" t="n">
        <f aca="false">Einstellungen!$B$5+INT((ROW()-9)/24)</f>
        <v>46668</v>
      </c>
      <c r="B16861" s="11" t="n">
        <f aca="false">MOD(ROW()-9,24)</f>
        <v>4</v>
      </c>
      <c r="C16861" s="12"/>
      <c r="D16861" s="13" t="n">
        <f aca="false">IF(B16861&lt;5,Einstellungen!$B$3,Einstellungen!$B$4)</f>
        <v>15.92</v>
      </c>
      <c r="E16861" s="14" t="str">
        <f aca="false">IF(C16861="","",C16861*D16861/100)</f>
        <v/>
      </c>
      <c r="F16861" s="15" t="str">
        <f aca="false">IF(B16861&lt;5,"Go","Standard")</f>
        <v>Go</v>
      </c>
    </row>
    <row r="16862" customFormat="false" ht="15" hidden="false" customHeight="true" outlineLevel="0" collapsed="false">
      <c r="A16862" s="10" t="n">
        <f aca="false">Einstellungen!$B$5+INT((ROW()-9)/24)</f>
        <v>46668</v>
      </c>
      <c r="B16862" s="11" t="n">
        <f aca="false">MOD(ROW()-9,24)</f>
        <v>5</v>
      </c>
      <c r="C16862" s="12"/>
      <c r="D16862" s="13" t="n">
        <f aca="false">IF(B16862&lt;5,Einstellungen!$B$3,Einstellungen!$B$4)</f>
        <v>29.13</v>
      </c>
      <c r="E16862" s="14" t="str">
        <f aca="false">IF(C16862="","",C16862*D16862/100)</f>
        <v/>
      </c>
      <c r="F16862" s="15" t="str">
        <f aca="false">IF(B16862&lt;5,"Go","Standard")</f>
        <v>Standard</v>
      </c>
    </row>
    <row r="16863" customFormat="false" ht="15" hidden="false" customHeight="true" outlineLevel="0" collapsed="false">
      <c r="A16863" s="10" t="n">
        <f aca="false">Einstellungen!$B$5+INT((ROW()-9)/24)</f>
        <v>46668</v>
      </c>
      <c r="B16863" s="11" t="n">
        <f aca="false">MOD(ROW()-9,24)</f>
        <v>6</v>
      </c>
      <c r="C16863" s="12"/>
      <c r="D16863" s="13" t="n">
        <f aca="false">IF(B16863&lt;5,Einstellungen!$B$3,Einstellungen!$B$4)</f>
        <v>29.13</v>
      </c>
      <c r="E16863" s="14" t="str">
        <f aca="false">IF(C16863="","",C16863*D16863/100)</f>
        <v/>
      </c>
      <c r="F16863" s="15" t="str">
        <f aca="false">IF(B16863&lt;5,"Go","Standard")</f>
        <v>Standard</v>
      </c>
    </row>
    <row r="16864" customFormat="false" ht="15" hidden="false" customHeight="true" outlineLevel="0" collapsed="false">
      <c r="A16864" s="10" t="n">
        <f aca="false">Einstellungen!$B$5+INT((ROW()-9)/24)</f>
        <v>46668</v>
      </c>
      <c r="B16864" s="11" t="n">
        <f aca="false">MOD(ROW()-9,24)</f>
        <v>7</v>
      </c>
      <c r="C16864" s="12"/>
      <c r="D16864" s="13" t="n">
        <f aca="false">IF(B16864&lt;5,Einstellungen!$B$3,Einstellungen!$B$4)</f>
        <v>29.13</v>
      </c>
      <c r="E16864" s="14" t="str">
        <f aca="false">IF(C16864="","",C16864*D16864/100)</f>
        <v/>
      </c>
      <c r="F16864" s="15" t="str">
        <f aca="false">IF(B16864&lt;5,"Go","Standard")</f>
        <v>Standard</v>
      </c>
    </row>
    <row r="16865" customFormat="false" ht="15" hidden="false" customHeight="true" outlineLevel="0" collapsed="false">
      <c r="A16865" s="10" t="n">
        <f aca="false">Einstellungen!$B$5+INT((ROW()-9)/24)</f>
        <v>46668</v>
      </c>
      <c r="B16865" s="11" t="n">
        <f aca="false">MOD(ROW()-9,24)</f>
        <v>8</v>
      </c>
      <c r="C16865" s="12"/>
      <c r="D16865" s="13" t="n">
        <f aca="false">IF(B16865&lt;5,Einstellungen!$B$3,Einstellungen!$B$4)</f>
        <v>29.13</v>
      </c>
      <c r="E16865" s="14" t="str">
        <f aca="false">IF(C16865="","",C16865*D16865/100)</f>
        <v/>
      </c>
      <c r="F16865" s="15" t="str">
        <f aca="false">IF(B16865&lt;5,"Go","Standard")</f>
        <v>Standard</v>
      </c>
    </row>
    <row r="16866" customFormat="false" ht="15" hidden="false" customHeight="true" outlineLevel="0" collapsed="false">
      <c r="A16866" s="10" t="n">
        <f aca="false">Einstellungen!$B$5+INT((ROW()-9)/24)</f>
        <v>46668</v>
      </c>
      <c r="B16866" s="11" t="n">
        <f aca="false">MOD(ROW()-9,24)</f>
        <v>9</v>
      </c>
      <c r="C16866" s="12"/>
      <c r="D16866" s="13" t="n">
        <f aca="false">IF(B16866&lt;5,Einstellungen!$B$3,Einstellungen!$B$4)</f>
        <v>29.13</v>
      </c>
      <c r="E16866" s="14" t="str">
        <f aca="false">IF(C16866="","",C16866*D16866/100)</f>
        <v/>
      </c>
      <c r="F16866" s="15" t="str">
        <f aca="false">IF(B16866&lt;5,"Go","Standard")</f>
        <v>Standard</v>
      </c>
    </row>
    <row r="16867" customFormat="false" ht="15" hidden="false" customHeight="true" outlineLevel="0" collapsed="false">
      <c r="A16867" s="10" t="n">
        <f aca="false">Einstellungen!$B$5+INT((ROW()-9)/24)</f>
        <v>46668</v>
      </c>
      <c r="B16867" s="11" t="n">
        <f aca="false">MOD(ROW()-9,24)</f>
        <v>10</v>
      </c>
      <c r="C16867" s="12"/>
      <c r="D16867" s="13" t="n">
        <f aca="false">IF(B16867&lt;5,Einstellungen!$B$3,Einstellungen!$B$4)</f>
        <v>29.13</v>
      </c>
      <c r="E16867" s="14" t="str">
        <f aca="false">IF(C16867="","",C16867*D16867/100)</f>
        <v/>
      </c>
      <c r="F16867" s="15" t="str">
        <f aca="false">IF(B16867&lt;5,"Go","Standard")</f>
        <v>Standard</v>
      </c>
    </row>
    <row r="16868" customFormat="false" ht="15" hidden="false" customHeight="true" outlineLevel="0" collapsed="false">
      <c r="A16868" s="10" t="n">
        <f aca="false">Einstellungen!$B$5+INT((ROW()-9)/24)</f>
        <v>46668</v>
      </c>
      <c r="B16868" s="11" t="n">
        <f aca="false">MOD(ROW()-9,24)</f>
        <v>11</v>
      </c>
      <c r="C16868" s="12"/>
      <c r="D16868" s="13" t="n">
        <f aca="false">IF(B16868&lt;5,Einstellungen!$B$3,Einstellungen!$B$4)</f>
        <v>29.13</v>
      </c>
      <c r="E16868" s="14" t="str">
        <f aca="false">IF(C16868="","",C16868*D16868/100)</f>
        <v/>
      </c>
      <c r="F16868" s="15" t="str">
        <f aca="false">IF(B16868&lt;5,"Go","Standard")</f>
        <v>Standard</v>
      </c>
    </row>
    <row r="16869" customFormat="false" ht="15" hidden="false" customHeight="true" outlineLevel="0" collapsed="false">
      <c r="A16869" s="10" t="n">
        <f aca="false">Einstellungen!$B$5+INT((ROW()-9)/24)</f>
        <v>46668</v>
      </c>
      <c r="B16869" s="11" t="n">
        <f aca="false">MOD(ROW()-9,24)</f>
        <v>12</v>
      </c>
      <c r="C16869" s="12"/>
      <c r="D16869" s="13" t="n">
        <f aca="false">IF(B16869&lt;5,Einstellungen!$B$3,Einstellungen!$B$4)</f>
        <v>29.13</v>
      </c>
      <c r="E16869" s="14" t="str">
        <f aca="false">IF(C16869="","",C16869*D16869/100)</f>
        <v/>
      </c>
      <c r="F16869" s="15" t="str">
        <f aca="false">IF(B16869&lt;5,"Go","Standard")</f>
        <v>Standard</v>
      </c>
    </row>
    <row r="16870" customFormat="false" ht="15" hidden="false" customHeight="true" outlineLevel="0" collapsed="false">
      <c r="A16870" s="10" t="n">
        <f aca="false">Einstellungen!$B$5+INT((ROW()-9)/24)</f>
        <v>46668</v>
      </c>
      <c r="B16870" s="11" t="n">
        <f aca="false">MOD(ROW()-9,24)</f>
        <v>13</v>
      </c>
      <c r="C16870" s="12"/>
      <c r="D16870" s="13" t="n">
        <f aca="false">IF(B16870&lt;5,Einstellungen!$B$3,Einstellungen!$B$4)</f>
        <v>29.13</v>
      </c>
      <c r="E16870" s="14" t="str">
        <f aca="false">IF(C16870="","",C16870*D16870/100)</f>
        <v/>
      </c>
      <c r="F16870" s="15" t="str">
        <f aca="false">IF(B16870&lt;5,"Go","Standard")</f>
        <v>Standard</v>
      </c>
    </row>
    <row r="16871" customFormat="false" ht="15" hidden="false" customHeight="true" outlineLevel="0" collapsed="false">
      <c r="A16871" s="10" t="n">
        <f aca="false">Einstellungen!$B$5+INT((ROW()-9)/24)</f>
        <v>46668</v>
      </c>
      <c r="B16871" s="11" t="n">
        <f aca="false">MOD(ROW()-9,24)</f>
        <v>14</v>
      </c>
      <c r="C16871" s="12"/>
      <c r="D16871" s="13" t="n">
        <f aca="false">IF(B16871&lt;5,Einstellungen!$B$3,Einstellungen!$B$4)</f>
        <v>29.13</v>
      </c>
      <c r="E16871" s="14" t="str">
        <f aca="false">IF(C16871="","",C16871*D16871/100)</f>
        <v/>
      </c>
      <c r="F16871" s="15" t="str">
        <f aca="false">IF(B16871&lt;5,"Go","Standard")</f>
        <v>Standard</v>
      </c>
    </row>
    <row r="16872" customFormat="false" ht="15" hidden="false" customHeight="true" outlineLevel="0" collapsed="false">
      <c r="A16872" s="10" t="n">
        <f aca="false">Einstellungen!$B$5+INT((ROW()-9)/24)</f>
        <v>46668</v>
      </c>
      <c r="B16872" s="11" t="n">
        <f aca="false">MOD(ROW()-9,24)</f>
        <v>15</v>
      </c>
      <c r="C16872" s="12"/>
      <c r="D16872" s="13" t="n">
        <f aca="false">IF(B16872&lt;5,Einstellungen!$B$3,Einstellungen!$B$4)</f>
        <v>29.13</v>
      </c>
      <c r="E16872" s="14" t="str">
        <f aca="false">IF(C16872="","",C16872*D16872/100)</f>
        <v/>
      </c>
      <c r="F16872" s="15" t="str">
        <f aca="false">IF(B16872&lt;5,"Go","Standard")</f>
        <v>Standard</v>
      </c>
    </row>
    <row r="16873" customFormat="false" ht="15" hidden="false" customHeight="true" outlineLevel="0" collapsed="false">
      <c r="A16873" s="10" t="n">
        <f aca="false">Einstellungen!$B$5+INT((ROW()-9)/24)</f>
        <v>46668</v>
      </c>
      <c r="B16873" s="11" t="n">
        <f aca="false">MOD(ROW()-9,24)</f>
        <v>16</v>
      </c>
      <c r="C16873" s="12"/>
      <c r="D16873" s="13" t="n">
        <f aca="false">IF(B16873&lt;5,Einstellungen!$B$3,Einstellungen!$B$4)</f>
        <v>29.13</v>
      </c>
      <c r="E16873" s="14" t="str">
        <f aca="false">IF(C16873="","",C16873*D16873/100)</f>
        <v/>
      </c>
      <c r="F16873" s="15" t="str">
        <f aca="false">IF(B16873&lt;5,"Go","Standard")</f>
        <v>Standard</v>
      </c>
    </row>
    <row r="16874" customFormat="false" ht="15" hidden="false" customHeight="true" outlineLevel="0" collapsed="false">
      <c r="A16874" s="10" t="n">
        <f aca="false">Einstellungen!$B$5+INT((ROW()-9)/24)</f>
        <v>46668</v>
      </c>
      <c r="B16874" s="11" t="n">
        <f aca="false">MOD(ROW()-9,24)</f>
        <v>17</v>
      </c>
      <c r="C16874" s="12"/>
      <c r="D16874" s="13" t="n">
        <f aca="false">IF(B16874&lt;5,Einstellungen!$B$3,Einstellungen!$B$4)</f>
        <v>29.13</v>
      </c>
      <c r="E16874" s="14" t="str">
        <f aca="false">IF(C16874="","",C16874*D16874/100)</f>
        <v/>
      </c>
      <c r="F16874" s="15" t="str">
        <f aca="false">IF(B16874&lt;5,"Go","Standard")</f>
        <v>Standard</v>
      </c>
    </row>
    <row r="16875" customFormat="false" ht="15" hidden="false" customHeight="true" outlineLevel="0" collapsed="false">
      <c r="A16875" s="10" t="n">
        <f aca="false">Einstellungen!$B$5+INT((ROW()-9)/24)</f>
        <v>46668</v>
      </c>
      <c r="B16875" s="11" t="n">
        <f aca="false">MOD(ROW()-9,24)</f>
        <v>18</v>
      </c>
      <c r="C16875" s="12"/>
      <c r="D16875" s="13" t="n">
        <f aca="false">IF(B16875&lt;5,Einstellungen!$B$3,Einstellungen!$B$4)</f>
        <v>29.13</v>
      </c>
      <c r="E16875" s="14" t="str">
        <f aca="false">IF(C16875="","",C16875*D16875/100)</f>
        <v/>
      </c>
      <c r="F16875" s="15" t="str">
        <f aca="false">IF(B16875&lt;5,"Go","Standard")</f>
        <v>Standard</v>
      </c>
    </row>
    <row r="16876" customFormat="false" ht="15" hidden="false" customHeight="true" outlineLevel="0" collapsed="false">
      <c r="A16876" s="10" t="n">
        <f aca="false">Einstellungen!$B$5+INT((ROW()-9)/24)</f>
        <v>46668</v>
      </c>
      <c r="B16876" s="11" t="n">
        <f aca="false">MOD(ROW()-9,24)</f>
        <v>19</v>
      </c>
      <c r="C16876" s="12"/>
      <c r="D16876" s="13" t="n">
        <f aca="false">IF(B16876&lt;5,Einstellungen!$B$3,Einstellungen!$B$4)</f>
        <v>29.13</v>
      </c>
      <c r="E16876" s="14" t="str">
        <f aca="false">IF(C16876="","",C16876*D16876/100)</f>
        <v/>
      </c>
      <c r="F16876" s="15" t="str">
        <f aca="false">IF(B16876&lt;5,"Go","Standard")</f>
        <v>Standard</v>
      </c>
    </row>
    <row r="16877" customFormat="false" ht="15" hidden="false" customHeight="true" outlineLevel="0" collapsed="false">
      <c r="A16877" s="10" t="n">
        <f aca="false">Einstellungen!$B$5+INT((ROW()-9)/24)</f>
        <v>46668</v>
      </c>
      <c r="B16877" s="11" t="n">
        <f aca="false">MOD(ROW()-9,24)</f>
        <v>20</v>
      </c>
      <c r="C16877" s="12"/>
      <c r="D16877" s="13" t="n">
        <f aca="false">IF(B16877&lt;5,Einstellungen!$B$3,Einstellungen!$B$4)</f>
        <v>29.13</v>
      </c>
      <c r="E16877" s="14" t="str">
        <f aca="false">IF(C16877="","",C16877*D16877/100)</f>
        <v/>
      </c>
      <c r="F16877" s="15" t="str">
        <f aca="false">IF(B16877&lt;5,"Go","Standard")</f>
        <v>Standard</v>
      </c>
    </row>
    <row r="16878" customFormat="false" ht="15" hidden="false" customHeight="true" outlineLevel="0" collapsed="false">
      <c r="A16878" s="10" t="n">
        <f aca="false">Einstellungen!$B$5+INT((ROW()-9)/24)</f>
        <v>46668</v>
      </c>
      <c r="B16878" s="11" t="n">
        <f aca="false">MOD(ROW()-9,24)</f>
        <v>21</v>
      </c>
      <c r="C16878" s="12"/>
      <c r="D16878" s="13" t="n">
        <f aca="false">IF(B16878&lt;5,Einstellungen!$B$3,Einstellungen!$B$4)</f>
        <v>29.13</v>
      </c>
      <c r="E16878" s="14" t="str">
        <f aca="false">IF(C16878="","",C16878*D16878/100)</f>
        <v/>
      </c>
      <c r="F16878" s="15" t="str">
        <f aca="false">IF(B16878&lt;5,"Go","Standard")</f>
        <v>Standard</v>
      </c>
    </row>
    <row r="16879" customFormat="false" ht="15" hidden="false" customHeight="true" outlineLevel="0" collapsed="false">
      <c r="A16879" s="10" t="n">
        <f aca="false">Einstellungen!$B$5+INT((ROW()-9)/24)</f>
        <v>46668</v>
      </c>
      <c r="B16879" s="11" t="n">
        <f aca="false">MOD(ROW()-9,24)</f>
        <v>22</v>
      </c>
      <c r="C16879" s="12"/>
      <c r="D16879" s="13" t="n">
        <f aca="false">IF(B16879&lt;5,Einstellungen!$B$3,Einstellungen!$B$4)</f>
        <v>29.13</v>
      </c>
      <c r="E16879" s="14" t="str">
        <f aca="false">IF(C16879="","",C16879*D16879/100)</f>
        <v/>
      </c>
      <c r="F16879" s="15" t="str">
        <f aca="false">IF(B16879&lt;5,"Go","Standard")</f>
        <v>Standard</v>
      </c>
    </row>
    <row r="16880" customFormat="false" ht="15" hidden="false" customHeight="true" outlineLevel="0" collapsed="false">
      <c r="A16880" s="10" t="n">
        <f aca="false">Einstellungen!$B$5+INT((ROW()-9)/24)</f>
        <v>46668</v>
      </c>
      <c r="B16880" s="11" t="n">
        <f aca="false">MOD(ROW()-9,24)</f>
        <v>23</v>
      </c>
      <c r="C16880" s="12"/>
      <c r="D16880" s="13" t="n">
        <f aca="false">IF(B16880&lt;5,Einstellungen!$B$3,Einstellungen!$B$4)</f>
        <v>29.13</v>
      </c>
      <c r="E16880" s="14" t="str">
        <f aca="false">IF(C16880="","",C16880*D16880/100)</f>
        <v/>
      </c>
      <c r="F16880" s="15" t="str">
        <f aca="false">IF(B16880&lt;5,"Go","Standard")</f>
        <v>Standard</v>
      </c>
    </row>
    <row r="16881" customFormat="false" ht="15" hidden="false" customHeight="true" outlineLevel="0" collapsed="false">
      <c r="A16881" s="10" t="n">
        <f aca="false">Einstellungen!$B$5+INT((ROW()-9)/24)</f>
        <v>46669</v>
      </c>
      <c r="B16881" s="11" t="n">
        <f aca="false">MOD(ROW()-9,24)</f>
        <v>0</v>
      </c>
      <c r="C16881" s="12"/>
      <c r="D16881" s="13" t="n">
        <f aca="false">IF(B16881&lt;5,Einstellungen!$B$3,Einstellungen!$B$4)</f>
        <v>15.92</v>
      </c>
      <c r="E16881" s="14" t="str">
        <f aca="false">IF(C16881="","",C16881*D16881/100)</f>
        <v/>
      </c>
      <c r="F16881" s="15" t="str">
        <f aca="false">IF(B16881&lt;5,"Go","Standard")</f>
        <v>Go</v>
      </c>
    </row>
    <row r="16882" customFormat="false" ht="15" hidden="false" customHeight="true" outlineLevel="0" collapsed="false">
      <c r="A16882" s="10" t="n">
        <f aca="false">Einstellungen!$B$5+INT((ROW()-9)/24)</f>
        <v>46669</v>
      </c>
      <c r="B16882" s="11" t="n">
        <f aca="false">MOD(ROW()-9,24)</f>
        <v>1</v>
      </c>
      <c r="C16882" s="12"/>
      <c r="D16882" s="13" t="n">
        <f aca="false">IF(B16882&lt;5,Einstellungen!$B$3,Einstellungen!$B$4)</f>
        <v>15.92</v>
      </c>
      <c r="E16882" s="14" t="str">
        <f aca="false">IF(C16882="","",C16882*D16882/100)</f>
        <v/>
      </c>
      <c r="F16882" s="15" t="str">
        <f aca="false">IF(B16882&lt;5,"Go","Standard")</f>
        <v>Go</v>
      </c>
    </row>
    <row r="16883" customFormat="false" ht="15" hidden="false" customHeight="true" outlineLevel="0" collapsed="false">
      <c r="A16883" s="10" t="n">
        <f aca="false">Einstellungen!$B$5+INT((ROW()-9)/24)</f>
        <v>46669</v>
      </c>
      <c r="B16883" s="11" t="n">
        <f aca="false">MOD(ROW()-9,24)</f>
        <v>2</v>
      </c>
      <c r="C16883" s="12"/>
      <c r="D16883" s="13" t="n">
        <f aca="false">IF(B16883&lt;5,Einstellungen!$B$3,Einstellungen!$B$4)</f>
        <v>15.92</v>
      </c>
      <c r="E16883" s="14" t="str">
        <f aca="false">IF(C16883="","",C16883*D16883/100)</f>
        <v/>
      </c>
      <c r="F16883" s="15" t="str">
        <f aca="false">IF(B16883&lt;5,"Go","Standard")</f>
        <v>Go</v>
      </c>
    </row>
    <row r="16884" customFormat="false" ht="15" hidden="false" customHeight="true" outlineLevel="0" collapsed="false">
      <c r="A16884" s="10" t="n">
        <f aca="false">Einstellungen!$B$5+INT((ROW()-9)/24)</f>
        <v>46669</v>
      </c>
      <c r="B16884" s="11" t="n">
        <f aca="false">MOD(ROW()-9,24)</f>
        <v>3</v>
      </c>
      <c r="C16884" s="12"/>
      <c r="D16884" s="13" t="n">
        <f aca="false">IF(B16884&lt;5,Einstellungen!$B$3,Einstellungen!$B$4)</f>
        <v>15.92</v>
      </c>
      <c r="E16884" s="14" t="str">
        <f aca="false">IF(C16884="","",C16884*D16884/100)</f>
        <v/>
      </c>
      <c r="F16884" s="15" t="str">
        <f aca="false">IF(B16884&lt;5,"Go","Standard")</f>
        <v>Go</v>
      </c>
    </row>
    <row r="16885" customFormat="false" ht="15" hidden="false" customHeight="true" outlineLevel="0" collapsed="false">
      <c r="A16885" s="10" t="n">
        <f aca="false">Einstellungen!$B$5+INT((ROW()-9)/24)</f>
        <v>46669</v>
      </c>
      <c r="B16885" s="11" t="n">
        <f aca="false">MOD(ROW()-9,24)</f>
        <v>4</v>
      </c>
      <c r="C16885" s="12"/>
      <c r="D16885" s="13" t="n">
        <f aca="false">IF(B16885&lt;5,Einstellungen!$B$3,Einstellungen!$B$4)</f>
        <v>15.92</v>
      </c>
      <c r="E16885" s="14" t="str">
        <f aca="false">IF(C16885="","",C16885*D16885/100)</f>
        <v/>
      </c>
      <c r="F16885" s="15" t="str">
        <f aca="false">IF(B16885&lt;5,"Go","Standard")</f>
        <v>Go</v>
      </c>
    </row>
    <row r="16886" customFormat="false" ht="15" hidden="false" customHeight="true" outlineLevel="0" collapsed="false">
      <c r="A16886" s="10" t="n">
        <f aca="false">Einstellungen!$B$5+INT((ROW()-9)/24)</f>
        <v>46669</v>
      </c>
      <c r="B16886" s="11" t="n">
        <f aca="false">MOD(ROW()-9,24)</f>
        <v>5</v>
      </c>
      <c r="C16886" s="12"/>
      <c r="D16886" s="13" t="n">
        <f aca="false">IF(B16886&lt;5,Einstellungen!$B$3,Einstellungen!$B$4)</f>
        <v>29.13</v>
      </c>
      <c r="E16886" s="14" t="str">
        <f aca="false">IF(C16886="","",C16886*D16886/100)</f>
        <v/>
      </c>
      <c r="F16886" s="15" t="str">
        <f aca="false">IF(B16886&lt;5,"Go","Standard")</f>
        <v>Standard</v>
      </c>
    </row>
    <row r="16887" customFormat="false" ht="15" hidden="false" customHeight="true" outlineLevel="0" collapsed="false">
      <c r="A16887" s="10" t="n">
        <f aca="false">Einstellungen!$B$5+INT((ROW()-9)/24)</f>
        <v>46669</v>
      </c>
      <c r="B16887" s="11" t="n">
        <f aca="false">MOD(ROW()-9,24)</f>
        <v>6</v>
      </c>
      <c r="C16887" s="12"/>
      <c r="D16887" s="13" t="n">
        <f aca="false">IF(B16887&lt;5,Einstellungen!$B$3,Einstellungen!$B$4)</f>
        <v>29.13</v>
      </c>
      <c r="E16887" s="14" t="str">
        <f aca="false">IF(C16887="","",C16887*D16887/100)</f>
        <v/>
      </c>
      <c r="F16887" s="15" t="str">
        <f aca="false">IF(B16887&lt;5,"Go","Standard")</f>
        <v>Standard</v>
      </c>
    </row>
    <row r="16888" customFormat="false" ht="15" hidden="false" customHeight="true" outlineLevel="0" collapsed="false">
      <c r="A16888" s="10" t="n">
        <f aca="false">Einstellungen!$B$5+INT((ROW()-9)/24)</f>
        <v>46669</v>
      </c>
      <c r="B16888" s="11" t="n">
        <f aca="false">MOD(ROW()-9,24)</f>
        <v>7</v>
      </c>
      <c r="C16888" s="12"/>
      <c r="D16888" s="13" t="n">
        <f aca="false">IF(B16888&lt;5,Einstellungen!$B$3,Einstellungen!$B$4)</f>
        <v>29.13</v>
      </c>
      <c r="E16888" s="14" t="str">
        <f aca="false">IF(C16888="","",C16888*D16888/100)</f>
        <v/>
      </c>
      <c r="F16888" s="15" t="str">
        <f aca="false">IF(B16888&lt;5,"Go","Standard")</f>
        <v>Standard</v>
      </c>
    </row>
    <row r="16889" customFormat="false" ht="15" hidden="false" customHeight="true" outlineLevel="0" collapsed="false">
      <c r="A16889" s="10" t="n">
        <f aca="false">Einstellungen!$B$5+INT((ROW()-9)/24)</f>
        <v>46669</v>
      </c>
      <c r="B16889" s="11" t="n">
        <f aca="false">MOD(ROW()-9,24)</f>
        <v>8</v>
      </c>
      <c r="C16889" s="12"/>
      <c r="D16889" s="13" t="n">
        <f aca="false">IF(B16889&lt;5,Einstellungen!$B$3,Einstellungen!$B$4)</f>
        <v>29.13</v>
      </c>
      <c r="E16889" s="14" t="str">
        <f aca="false">IF(C16889="","",C16889*D16889/100)</f>
        <v/>
      </c>
      <c r="F16889" s="15" t="str">
        <f aca="false">IF(B16889&lt;5,"Go","Standard")</f>
        <v>Standard</v>
      </c>
    </row>
    <row r="16890" customFormat="false" ht="15" hidden="false" customHeight="true" outlineLevel="0" collapsed="false">
      <c r="A16890" s="10" t="n">
        <f aca="false">Einstellungen!$B$5+INT((ROW()-9)/24)</f>
        <v>46669</v>
      </c>
      <c r="B16890" s="11" t="n">
        <f aca="false">MOD(ROW()-9,24)</f>
        <v>9</v>
      </c>
      <c r="C16890" s="12"/>
      <c r="D16890" s="13" t="n">
        <f aca="false">IF(B16890&lt;5,Einstellungen!$B$3,Einstellungen!$B$4)</f>
        <v>29.13</v>
      </c>
      <c r="E16890" s="14" t="str">
        <f aca="false">IF(C16890="","",C16890*D16890/100)</f>
        <v/>
      </c>
      <c r="F16890" s="15" t="str">
        <f aca="false">IF(B16890&lt;5,"Go","Standard")</f>
        <v>Standard</v>
      </c>
    </row>
    <row r="16891" customFormat="false" ht="15" hidden="false" customHeight="true" outlineLevel="0" collapsed="false">
      <c r="A16891" s="10" t="n">
        <f aca="false">Einstellungen!$B$5+INT((ROW()-9)/24)</f>
        <v>46669</v>
      </c>
      <c r="B16891" s="11" t="n">
        <f aca="false">MOD(ROW()-9,24)</f>
        <v>10</v>
      </c>
      <c r="C16891" s="12"/>
      <c r="D16891" s="13" t="n">
        <f aca="false">IF(B16891&lt;5,Einstellungen!$B$3,Einstellungen!$B$4)</f>
        <v>29.13</v>
      </c>
      <c r="E16891" s="14" t="str">
        <f aca="false">IF(C16891="","",C16891*D16891/100)</f>
        <v/>
      </c>
      <c r="F16891" s="15" t="str">
        <f aca="false">IF(B16891&lt;5,"Go","Standard")</f>
        <v>Standard</v>
      </c>
    </row>
    <row r="16892" customFormat="false" ht="15" hidden="false" customHeight="true" outlineLevel="0" collapsed="false">
      <c r="A16892" s="10" t="n">
        <f aca="false">Einstellungen!$B$5+INT((ROW()-9)/24)</f>
        <v>46669</v>
      </c>
      <c r="B16892" s="11" t="n">
        <f aca="false">MOD(ROW()-9,24)</f>
        <v>11</v>
      </c>
      <c r="C16892" s="12"/>
      <c r="D16892" s="13" t="n">
        <f aca="false">IF(B16892&lt;5,Einstellungen!$B$3,Einstellungen!$B$4)</f>
        <v>29.13</v>
      </c>
      <c r="E16892" s="14" t="str">
        <f aca="false">IF(C16892="","",C16892*D16892/100)</f>
        <v/>
      </c>
      <c r="F16892" s="15" t="str">
        <f aca="false">IF(B16892&lt;5,"Go","Standard")</f>
        <v>Standard</v>
      </c>
    </row>
    <row r="16893" customFormat="false" ht="15" hidden="false" customHeight="true" outlineLevel="0" collapsed="false">
      <c r="A16893" s="10" t="n">
        <f aca="false">Einstellungen!$B$5+INT((ROW()-9)/24)</f>
        <v>46669</v>
      </c>
      <c r="B16893" s="11" t="n">
        <f aca="false">MOD(ROW()-9,24)</f>
        <v>12</v>
      </c>
      <c r="C16893" s="12"/>
      <c r="D16893" s="13" t="n">
        <f aca="false">IF(B16893&lt;5,Einstellungen!$B$3,Einstellungen!$B$4)</f>
        <v>29.13</v>
      </c>
      <c r="E16893" s="14" t="str">
        <f aca="false">IF(C16893="","",C16893*D16893/100)</f>
        <v/>
      </c>
      <c r="F16893" s="15" t="str">
        <f aca="false">IF(B16893&lt;5,"Go","Standard")</f>
        <v>Standard</v>
      </c>
    </row>
    <row r="16894" customFormat="false" ht="15" hidden="false" customHeight="true" outlineLevel="0" collapsed="false">
      <c r="A16894" s="10" t="n">
        <f aca="false">Einstellungen!$B$5+INT((ROW()-9)/24)</f>
        <v>46669</v>
      </c>
      <c r="B16894" s="11" t="n">
        <f aca="false">MOD(ROW()-9,24)</f>
        <v>13</v>
      </c>
      <c r="C16894" s="12"/>
      <c r="D16894" s="13" t="n">
        <f aca="false">IF(B16894&lt;5,Einstellungen!$B$3,Einstellungen!$B$4)</f>
        <v>29.13</v>
      </c>
      <c r="E16894" s="14" t="str">
        <f aca="false">IF(C16894="","",C16894*D16894/100)</f>
        <v/>
      </c>
      <c r="F16894" s="15" t="str">
        <f aca="false">IF(B16894&lt;5,"Go","Standard")</f>
        <v>Standard</v>
      </c>
    </row>
    <row r="16895" customFormat="false" ht="15" hidden="false" customHeight="true" outlineLevel="0" collapsed="false">
      <c r="A16895" s="10" t="n">
        <f aca="false">Einstellungen!$B$5+INT((ROW()-9)/24)</f>
        <v>46669</v>
      </c>
      <c r="B16895" s="11" t="n">
        <f aca="false">MOD(ROW()-9,24)</f>
        <v>14</v>
      </c>
      <c r="C16895" s="12"/>
      <c r="D16895" s="13" t="n">
        <f aca="false">IF(B16895&lt;5,Einstellungen!$B$3,Einstellungen!$B$4)</f>
        <v>29.13</v>
      </c>
      <c r="E16895" s="14" t="str">
        <f aca="false">IF(C16895="","",C16895*D16895/100)</f>
        <v/>
      </c>
      <c r="F16895" s="15" t="str">
        <f aca="false">IF(B16895&lt;5,"Go","Standard")</f>
        <v>Standard</v>
      </c>
    </row>
    <row r="16896" customFormat="false" ht="15" hidden="false" customHeight="true" outlineLevel="0" collapsed="false">
      <c r="A16896" s="10" t="n">
        <f aca="false">Einstellungen!$B$5+INT((ROW()-9)/24)</f>
        <v>46669</v>
      </c>
      <c r="B16896" s="11" t="n">
        <f aca="false">MOD(ROW()-9,24)</f>
        <v>15</v>
      </c>
      <c r="C16896" s="12"/>
      <c r="D16896" s="13" t="n">
        <f aca="false">IF(B16896&lt;5,Einstellungen!$B$3,Einstellungen!$B$4)</f>
        <v>29.13</v>
      </c>
      <c r="E16896" s="14" t="str">
        <f aca="false">IF(C16896="","",C16896*D16896/100)</f>
        <v/>
      </c>
      <c r="F16896" s="15" t="str">
        <f aca="false">IF(B16896&lt;5,"Go","Standard")</f>
        <v>Standard</v>
      </c>
    </row>
    <row r="16897" customFormat="false" ht="15" hidden="false" customHeight="true" outlineLevel="0" collapsed="false">
      <c r="A16897" s="10" t="n">
        <f aca="false">Einstellungen!$B$5+INT((ROW()-9)/24)</f>
        <v>46669</v>
      </c>
      <c r="B16897" s="11" t="n">
        <f aca="false">MOD(ROW()-9,24)</f>
        <v>16</v>
      </c>
      <c r="C16897" s="12"/>
      <c r="D16897" s="13" t="n">
        <f aca="false">IF(B16897&lt;5,Einstellungen!$B$3,Einstellungen!$B$4)</f>
        <v>29.13</v>
      </c>
      <c r="E16897" s="14" t="str">
        <f aca="false">IF(C16897="","",C16897*D16897/100)</f>
        <v/>
      </c>
      <c r="F16897" s="15" t="str">
        <f aca="false">IF(B16897&lt;5,"Go","Standard")</f>
        <v>Standard</v>
      </c>
    </row>
    <row r="16898" customFormat="false" ht="15" hidden="false" customHeight="true" outlineLevel="0" collapsed="false">
      <c r="A16898" s="10" t="n">
        <f aca="false">Einstellungen!$B$5+INT((ROW()-9)/24)</f>
        <v>46669</v>
      </c>
      <c r="B16898" s="11" t="n">
        <f aca="false">MOD(ROW()-9,24)</f>
        <v>17</v>
      </c>
      <c r="C16898" s="12"/>
      <c r="D16898" s="13" t="n">
        <f aca="false">IF(B16898&lt;5,Einstellungen!$B$3,Einstellungen!$B$4)</f>
        <v>29.13</v>
      </c>
      <c r="E16898" s="14" t="str">
        <f aca="false">IF(C16898="","",C16898*D16898/100)</f>
        <v/>
      </c>
      <c r="F16898" s="15" t="str">
        <f aca="false">IF(B16898&lt;5,"Go","Standard")</f>
        <v>Standard</v>
      </c>
    </row>
    <row r="16899" customFormat="false" ht="15" hidden="false" customHeight="true" outlineLevel="0" collapsed="false">
      <c r="A16899" s="10" t="n">
        <f aca="false">Einstellungen!$B$5+INT((ROW()-9)/24)</f>
        <v>46669</v>
      </c>
      <c r="B16899" s="11" t="n">
        <f aca="false">MOD(ROW()-9,24)</f>
        <v>18</v>
      </c>
      <c r="C16899" s="12"/>
      <c r="D16899" s="13" t="n">
        <f aca="false">IF(B16899&lt;5,Einstellungen!$B$3,Einstellungen!$B$4)</f>
        <v>29.13</v>
      </c>
      <c r="E16899" s="14" t="str">
        <f aca="false">IF(C16899="","",C16899*D16899/100)</f>
        <v/>
      </c>
      <c r="F16899" s="15" t="str">
        <f aca="false">IF(B16899&lt;5,"Go","Standard")</f>
        <v>Standard</v>
      </c>
    </row>
    <row r="16900" customFormat="false" ht="15" hidden="false" customHeight="true" outlineLevel="0" collapsed="false">
      <c r="A16900" s="10" t="n">
        <f aca="false">Einstellungen!$B$5+INT((ROW()-9)/24)</f>
        <v>46669</v>
      </c>
      <c r="B16900" s="11" t="n">
        <f aca="false">MOD(ROW()-9,24)</f>
        <v>19</v>
      </c>
      <c r="C16900" s="12"/>
      <c r="D16900" s="13" t="n">
        <f aca="false">IF(B16900&lt;5,Einstellungen!$B$3,Einstellungen!$B$4)</f>
        <v>29.13</v>
      </c>
      <c r="E16900" s="14" t="str">
        <f aca="false">IF(C16900="","",C16900*D16900/100)</f>
        <v/>
      </c>
      <c r="F16900" s="15" t="str">
        <f aca="false">IF(B16900&lt;5,"Go","Standard")</f>
        <v>Standard</v>
      </c>
    </row>
    <row r="16901" customFormat="false" ht="15" hidden="false" customHeight="true" outlineLevel="0" collapsed="false">
      <c r="A16901" s="10" t="n">
        <f aca="false">Einstellungen!$B$5+INT((ROW()-9)/24)</f>
        <v>46669</v>
      </c>
      <c r="B16901" s="11" t="n">
        <f aca="false">MOD(ROW()-9,24)</f>
        <v>20</v>
      </c>
      <c r="C16901" s="12"/>
      <c r="D16901" s="13" t="n">
        <f aca="false">IF(B16901&lt;5,Einstellungen!$B$3,Einstellungen!$B$4)</f>
        <v>29.13</v>
      </c>
      <c r="E16901" s="14" t="str">
        <f aca="false">IF(C16901="","",C16901*D16901/100)</f>
        <v/>
      </c>
      <c r="F16901" s="15" t="str">
        <f aca="false">IF(B16901&lt;5,"Go","Standard")</f>
        <v>Standard</v>
      </c>
    </row>
    <row r="16902" customFormat="false" ht="15" hidden="false" customHeight="true" outlineLevel="0" collapsed="false">
      <c r="A16902" s="10" t="n">
        <f aca="false">Einstellungen!$B$5+INT((ROW()-9)/24)</f>
        <v>46669</v>
      </c>
      <c r="B16902" s="11" t="n">
        <f aca="false">MOD(ROW()-9,24)</f>
        <v>21</v>
      </c>
      <c r="C16902" s="12"/>
      <c r="D16902" s="13" t="n">
        <f aca="false">IF(B16902&lt;5,Einstellungen!$B$3,Einstellungen!$B$4)</f>
        <v>29.13</v>
      </c>
      <c r="E16902" s="14" t="str">
        <f aca="false">IF(C16902="","",C16902*D16902/100)</f>
        <v/>
      </c>
      <c r="F16902" s="15" t="str">
        <f aca="false">IF(B16902&lt;5,"Go","Standard")</f>
        <v>Standard</v>
      </c>
    </row>
    <row r="16903" customFormat="false" ht="15" hidden="false" customHeight="true" outlineLevel="0" collapsed="false">
      <c r="A16903" s="10" t="n">
        <f aca="false">Einstellungen!$B$5+INT((ROW()-9)/24)</f>
        <v>46669</v>
      </c>
      <c r="B16903" s="11" t="n">
        <f aca="false">MOD(ROW()-9,24)</f>
        <v>22</v>
      </c>
      <c r="C16903" s="12"/>
      <c r="D16903" s="13" t="n">
        <f aca="false">IF(B16903&lt;5,Einstellungen!$B$3,Einstellungen!$B$4)</f>
        <v>29.13</v>
      </c>
      <c r="E16903" s="14" t="str">
        <f aca="false">IF(C16903="","",C16903*D16903/100)</f>
        <v/>
      </c>
      <c r="F16903" s="15" t="str">
        <f aca="false">IF(B16903&lt;5,"Go","Standard")</f>
        <v>Standard</v>
      </c>
    </row>
    <row r="16904" customFormat="false" ht="15" hidden="false" customHeight="true" outlineLevel="0" collapsed="false">
      <c r="A16904" s="10" t="n">
        <f aca="false">Einstellungen!$B$5+INT((ROW()-9)/24)</f>
        <v>46669</v>
      </c>
      <c r="B16904" s="11" t="n">
        <f aca="false">MOD(ROW()-9,24)</f>
        <v>23</v>
      </c>
      <c r="C16904" s="12"/>
      <c r="D16904" s="13" t="n">
        <f aca="false">IF(B16904&lt;5,Einstellungen!$B$3,Einstellungen!$B$4)</f>
        <v>29.13</v>
      </c>
      <c r="E16904" s="14" t="str">
        <f aca="false">IF(C16904="","",C16904*D16904/100)</f>
        <v/>
      </c>
      <c r="F16904" s="15" t="str">
        <f aca="false">IF(B16904&lt;5,"Go","Standard")</f>
        <v>Standard</v>
      </c>
    </row>
    <row r="16905" customFormat="false" ht="15" hidden="false" customHeight="true" outlineLevel="0" collapsed="false">
      <c r="A16905" s="10" t="n">
        <f aca="false">Einstellungen!$B$5+INT((ROW()-9)/24)</f>
        <v>46670</v>
      </c>
      <c r="B16905" s="11" t="n">
        <f aca="false">MOD(ROW()-9,24)</f>
        <v>0</v>
      </c>
      <c r="C16905" s="12"/>
      <c r="D16905" s="13" t="n">
        <f aca="false">IF(B16905&lt;5,Einstellungen!$B$3,Einstellungen!$B$4)</f>
        <v>15.92</v>
      </c>
      <c r="E16905" s="14" t="str">
        <f aca="false">IF(C16905="","",C16905*D16905/100)</f>
        <v/>
      </c>
      <c r="F16905" s="15" t="str">
        <f aca="false">IF(B16905&lt;5,"Go","Standard")</f>
        <v>Go</v>
      </c>
    </row>
    <row r="16906" customFormat="false" ht="15" hidden="false" customHeight="true" outlineLevel="0" collapsed="false">
      <c r="A16906" s="10" t="n">
        <f aca="false">Einstellungen!$B$5+INT((ROW()-9)/24)</f>
        <v>46670</v>
      </c>
      <c r="B16906" s="11" t="n">
        <f aca="false">MOD(ROW()-9,24)</f>
        <v>1</v>
      </c>
      <c r="C16906" s="12"/>
      <c r="D16906" s="13" t="n">
        <f aca="false">IF(B16906&lt;5,Einstellungen!$B$3,Einstellungen!$B$4)</f>
        <v>15.92</v>
      </c>
      <c r="E16906" s="14" t="str">
        <f aca="false">IF(C16906="","",C16906*D16906/100)</f>
        <v/>
      </c>
      <c r="F16906" s="15" t="str">
        <f aca="false">IF(B16906&lt;5,"Go","Standard")</f>
        <v>Go</v>
      </c>
    </row>
    <row r="16907" customFormat="false" ht="15" hidden="false" customHeight="true" outlineLevel="0" collapsed="false">
      <c r="A16907" s="10" t="n">
        <f aca="false">Einstellungen!$B$5+INT((ROW()-9)/24)</f>
        <v>46670</v>
      </c>
      <c r="B16907" s="11" t="n">
        <f aca="false">MOD(ROW()-9,24)</f>
        <v>2</v>
      </c>
      <c r="C16907" s="12"/>
      <c r="D16907" s="13" t="n">
        <f aca="false">IF(B16907&lt;5,Einstellungen!$B$3,Einstellungen!$B$4)</f>
        <v>15.92</v>
      </c>
      <c r="E16907" s="14" t="str">
        <f aca="false">IF(C16907="","",C16907*D16907/100)</f>
        <v/>
      </c>
      <c r="F16907" s="15" t="str">
        <f aca="false">IF(B16907&lt;5,"Go","Standard")</f>
        <v>Go</v>
      </c>
    </row>
    <row r="16908" customFormat="false" ht="15" hidden="false" customHeight="true" outlineLevel="0" collapsed="false">
      <c r="A16908" s="10" t="n">
        <f aca="false">Einstellungen!$B$5+INT((ROW()-9)/24)</f>
        <v>46670</v>
      </c>
      <c r="B16908" s="11" t="n">
        <f aca="false">MOD(ROW()-9,24)</f>
        <v>3</v>
      </c>
      <c r="C16908" s="12"/>
      <c r="D16908" s="13" t="n">
        <f aca="false">IF(B16908&lt;5,Einstellungen!$B$3,Einstellungen!$B$4)</f>
        <v>15.92</v>
      </c>
      <c r="E16908" s="14" t="str">
        <f aca="false">IF(C16908="","",C16908*D16908/100)</f>
        <v/>
      </c>
      <c r="F16908" s="15" t="str">
        <f aca="false">IF(B16908&lt;5,"Go","Standard")</f>
        <v>Go</v>
      </c>
    </row>
    <row r="16909" customFormat="false" ht="15" hidden="false" customHeight="true" outlineLevel="0" collapsed="false">
      <c r="A16909" s="10" t="n">
        <f aca="false">Einstellungen!$B$5+INT((ROW()-9)/24)</f>
        <v>46670</v>
      </c>
      <c r="B16909" s="11" t="n">
        <f aca="false">MOD(ROW()-9,24)</f>
        <v>4</v>
      </c>
      <c r="C16909" s="12"/>
      <c r="D16909" s="13" t="n">
        <f aca="false">IF(B16909&lt;5,Einstellungen!$B$3,Einstellungen!$B$4)</f>
        <v>15.92</v>
      </c>
      <c r="E16909" s="14" t="str">
        <f aca="false">IF(C16909="","",C16909*D16909/100)</f>
        <v/>
      </c>
      <c r="F16909" s="15" t="str">
        <f aca="false">IF(B16909&lt;5,"Go","Standard")</f>
        <v>Go</v>
      </c>
    </row>
    <row r="16910" customFormat="false" ht="15" hidden="false" customHeight="true" outlineLevel="0" collapsed="false">
      <c r="A16910" s="10" t="n">
        <f aca="false">Einstellungen!$B$5+INT((ROW()-9)/24)</f>
        <v>46670</v>
      </c>
      <c r="B16910" s="11" t="n">
        <f aca="false">MOD(ROW()-9,24)</f>
        <v>5</v>
      </c>
      <c r="C16910" s="12"/>
      <c r="D16910" s="13" t="n">
        <f aca="false">IF(B16910&lt;5,Einstellungen!$B$3,Einstellungen!$B$4)</f>
        <v>29.13</v>
      </c>
      <c r="E16910" s="14" t="str">
        <f aca="false">IF(C16910="","",C16910*D16910/100)</f>
        <v/>
      </c>
      <c r="F16910" s="15" t="str">
        <f aca="false">IF(B16910&lt;5,"Go","Standard")</f>
        <v>Standard</v>
      </c>
    </row>
    <row r="16911" customFormat="false" ht="15" hidden="false" customHeight="true" outlineLevel="0" collapsed="false">
      <c r="A16911" s="10" t="n">
        <f aca="false">Einstellungen!$B$5+INT((ROW()-9)/24)</f>
        <v>46670</v>
      </c>
      <c r="B16911" s="11" t="n">
        <f aca="false">MOD(ROW()-9,24)</f>
        <v>6</v>
      </c>
      <c r="C16911" s="12"/>
      <c r="D16911" s="13" t="n">
        <f aca="false">IF(B16911&lt;5,Einstellungen!$B$3,Einstellungen!$B$4)</f>
        <v>29.13</v>
      </c>
      <c r="E16911" s="14" t="str">
        <f aca="false">IF(C16911="","",C16911*D16911/100)</f>
        <v/>
      </c>
      <c r="F16911" s="15" t="str">
        <f aca="false">IF(B16911&lt;5,"Go","Standard")</f>
        <v>Standard</v>
      </c>
    </row>
    <row r="16912" customFormat="false" ht="15" hidden="false" customHeight="true" outlineLevel="0" collapsed="false">
      <c r="A16912" s="10" t="n">
        <f aca="false">Einstellungen!$B$5+INT((ROW()-9)/24)</f>
        <v>46670</v>
      </c>
      <c r="B16912" s="11" t="n">
        <f aca="false">MOD(ROW()-9,24)</f>
        <v>7</v>
      </c>
      <c r="C16912" s="12"/>
      <c r="D16912" s="13" t="n">
        <f aca="false">IF(B16912&lt;5,Einstellungen!$B$3,Einstellungen!$B$4)</f>
        <v>29.13</v>
      </c>
      <c r="E16912" s="14" t="str">
        <f aca="false">IF(C16912="","",C16912*D16912/100)</f>
        <v/>
      </c>
      <c r="F16912" s="15" t="str">
        <f aca="false">IF(B16912&lt;5,"Go","Standard")</f>
        <v>Standard</v>
      </c>
    </row>
    <row r="16913" customFormat="false" ht="15" hidden="false" customHeight="true" outlineLevel="0" collapsed="false">
      <c r="A16913" s="10" t="n">
        <f aca="false">Einstellungen!$B$5+INT((ROW()-9)/24)</f>
        <v>46670</v>
      </c>
      <c r="B16913" s="11" t="n">
        <f aca="false">MOD(ROW()-9,24)</f>
        <v>8</v>
      </c>
      <c r="C16913" s="12"/>
      <c r="D16913" s="13" t="n">
        <f aca="false">IF(B16913&lt;5,Einstellungen!$B$3,Einstellungen!$B$4)</f>
        <v>29.13</v>
      </c>
      <c r="E16913" s="14" t="str">
        <f aca="false">IF(C16913="","",C16913*D16913/100)</f>
        <v/>
      </c>
      <c r="F16913" s="15" t="str">
        <f aca="false">IF(B16913&lt;5,"Go","Standard")</f>
        <v>Standard</v>
      </c>
    </row>
    <row r="16914" customFormat="false" ht="15" hidden="false" customHeight="true" outlineLevel="0" collapsed="false">
      <c r="A16914" s="10" t="n">
        <f aca="false">Einstellungen!$B$5+INT((ROW()-9)/24)</f>
        <v>46670</v>
      </c>
      <c r="B16914" s="11" t="n">
        <f aca="false">MOD(ROW()-9,24)</f>
        <v>9</v>
      </c>
      <c r="C16914" s="12"/>
      <c r="D16914" s="13" t="n">
        <f aca="false">IF(B16914&lt;5,Einstellungen!$B$3,Einstellungen!$B$4)</f>
        <v>29.13</v>
      </c>
      <c r="E16914" s="14" t="str">
        <f aca="false">IF(C16914="","",C16914*D16914/100)</f>
        <v/>
      </c>
      <c r="F16914" s="15" t="str">
        <f aca="false">IF(B16914&lt;5,"Go","Standard")</f>
        <v>Standard</v>
      </c>
    </row>
    <row r="16915" customFormat="false" ht="15" hidden="false" customHeight="true" outlineLevel="0" collapsed="false">
      <c r="A16915" s="10" t="n">
        <f aca="false">Einstellungen!$B$5+INT((ROW()-9)/24)</f>
        <v>46670</v>
      </c>
      <c r="B16915" s="11" t="n">
        <f aca="false">MOD(ROW()-9,24)</f>
        <v>10</v>
      </c>
      <c r="C16915" s="12"/>
      <c r="D16915" s="13" t="n">
        <f aca="false">IF(B16915&lt;5,Einstellungen!$B$3,Einstellungen!$B$4)</f>
        <v>29.13</v>
      </c>
      <c r="E16915" s="14" t="str">
        <f aca="false">IF(C16915="","",C16915*D16915/100)</f>
        <v/>
      </c>
      <c r="F16915" s="15" t="str">
        <f aca="false">IF(B16915&lt;5,"Go","Standard")</f>
        <v>Standard</v>
      </c>
    </row>
    <row r="16916" customFormat="false" ht="15" hidden="false" customHeight="true" outlineLevel="0" collapsed="false">
      <c r="A16916" s="10" t="n">
        <f aca="false">Einstellungen!$B$5+INT((ROW()-9)/24)</f>
        <v>46670</v>
      </c>
      <c r="B16916" s="11" t="n">
        <f aca="false">MOD(ROW()-9,24)</f>
        <v>11</v>
      </c>
      <c r="C16916" s="12"/>
      <c r="D16916" s="13" t="n">
        <f aca="false">IF(B16916&lt;5,Einstellungen!$B$3,Einstellungen!$B$4)</f>
        <v>29.13</v>
      </c>
      <c r="E16916" s="14" t="str">
        <f aca="false">IF(C16916="","",C16916*D16916/100)</f>
        <v/>
      </c>
      <c r="F16916" s="15" t="str">
        <f aca="false">IF(B16916&lt;5,"Go","Standard")</f>
        <v>Standard</v>
      </c>
    </row>
    <row r="16917" customFormat="false" ht="15" hidden="false" customHeight="true" outlineLevel="0" collapsed="false">
      <c r="A16917" s="10" t="n">
        <f aca="false">Einstellungen!$B$5+INT((ROW()-9)/24)</f>
        <v>46670</v>
      </c>
      <c r="B16917" s="11" t="n">
        <f aca="false">MOD(ROW()-9,24)</f>
        <v>12</v>
      </c>
      <c r="C16917" s="12"/>
      <c r="D16917" s="13" t="n">
        <f aca="false">IF(B16917&lt;5,Einstellungen!$B$3,Einstellungen!$B$4)</f>
        <v>29.13</v>
      </c>
      <c r="E16917" s="14" t="str">
        <f aca="false">IF(C16917="","",C16917*D16917/100)</f>
        <v/>
      </c>
      <c r="F16917" s="15" t="str">
        <f aca="false">IF(B16917&lt;5,"Go","Standard")</f>
        <v>Standard</v>
      </c>
    </row>
    <row r="16918" customFormat="false" ht="15" hidden="false" customHeight="true" outlineLevel="0" collapsed="false">
      <c r="A16918" s="10" t="n">
        <f aca="false">Einstellungen!$B$5+INT((ROW()-9)/24)</f>
        <v>46670</v>
      </c>
      <c r="B16918" s="11" t="n">
        <f aca="false">MOD(ROW()-9,24)</f>
        <v>13</v>
      </c>
      <c r="C16918" s="12"/>
      <c r="D16918" s="13" t="n">
        <f aca="false">IF(B16918&lt;5,Einstellungen!$B$3,Einstellungen!$B$4)</f>
        <v>29.13</v>
      </c>
      <c r="E16918" s="14" t="str">
        <f aca="false">IF(C16918="","",C16918*D16918/100)</f>
        <v/>
      </c>
      <c r="F16918" s="15" t="str">
        <f aca="false">IF(B16918&lt;5,"Go","Standard")</f>
        <v>Standard</v>
      </c>
    </row>
    <row r="16919" customFormat="false" ht="15" hidden="false" customHeight="true" outlineLevel="0" collapsed="false">
      <c r="A16919" s="10" t="n">
        <f aca="false">Einstellungen!$B$5+INT((ROW()-9)/24)</f>
        <v>46670</v>
      </c>
      <c r="B16919" s="11" t="n">
        <f aca="false">MOD(ROW()-9,24)</f>
        <v>14</v>
      </c>
      <c r="C16919" s="12"/>
      <c r="D16919" s="13" t="n">
        <f aca="false">IF(B16919&lt;5,Einstellungen!$B$3,Einstellungen!$B$4)</f>
        <v>29.13</v>
      </c>
      <c r="E16919" s="14" t="str">
        <f aca="false">IF(C16919="","",C16919*D16919/100)</f>
        <v/>
      </c>
      <c r="F16919" s="15" t="str">
        <f aca="false">IF(B16919&lt;5,"Go","Standard")</f>
        <v>Standard</v>
      </c>
    </row>
    <row r="16920" customFormat="false" ht="15" hidden="false" customHeight="true" outlineLevel="0" collapsed="false">
      <c r="A16920" s="10" t="n">
        <f aca="false">Einstellungen!$B$5+INT((ROW()-9)/24)</f>
        <v>46670</v>
      </c>
      <c r="B16920" s="11" t="n">
        <f aca="false">MOD(ROW()-9,24)</f>
        <v>15</v>
      </c>
      <c r="C16920" s="12"/>
      <c r="D16920" s="13" t="n">
        <f aca="false">IF(B16920&lt;5,Einstellungen!$B$3,Einstellungen!$B$4)</f>
        <v>29.13</v>
      </c>
      <c r="E16920" s="14" t="str">
        <f aca="false">IF(C16920="","",C16920*D16920/100)</f>
        <v/>
      </c>
      <c r="F16920" s="15" t="str">
        <f aca="false">IF(B16920&lt;5,"Go","Standard")</f>
        <v>Standard</v>
      </c>
    </row>
    <row r="16921" customFormat="false" ht="15" hidden="false" customHeight="true" outlineLevel="0" collapsed="false">
      <c r="A16921" s="10" t="n">
        <f aca="false">Einstellungen!$B$5+INT((ROW()-9)/24)</f>
        <v>46670</v>
      </c>
      <c r="B16921" s="11" t="n">
        <f aca="false">MOD(ROW()-9,24)</f>
        <v>16</v>
      </c>
      <c r="C16921" s="12"/>
      <c r="D16921" s="13" t="n">
        <f aca="false">IF(B16921&lt;5,Einstellungen!$B$3,Einstellungen!$B$4)</f>
        <v>29.13</v>
      </c>
      <c r="E16921" s="14" t="str">
        <f aca="false">IF(C16921="","",C16921*D16921/100)</f>
        <v/>
      </c>
      <c r="F16921" s="15" t="str">
        <f aca="false">IF(B16921&lt;5,"Go","Standard")</f>
        <v>Standard</v>
      </c>
    </row>
    <row r="16922" customFormat="false" ht="15" hidden="false" customHeight="true" outlineLevel="0" collapsed="false">
      <c r="A16922" s="10" t="n">
        <f aca="false">Einstellungen!$B$5+INT((ROW()-9)/24)</f>
        <v>46670</v>
      </c>
      <c r="B16922" s="11" t="n">
        <f aca="false">MOD(ROW()-9,24)</f>
        <v>17</v>
      </c>
      <c r="C16922" s="12"/>
      <c r="D16922" s="13" t="n">
        <f aca="false">IF(B16922&lt;5,Einstellungen!$B$3,Einstellungen!$B$4)</f>
        <v>29.13</v>
      </c>
      <c r="E16922" s="14" t="str">
        <f aca="false">IF(C16922="","",C16922*D16922/100)</f>
        <v/>
      </c>
      <c r="F16922" s="15" t="str">
        <f aca="false">IF(B16922&lt;5,"Go","Standard")</f>
        <v>Standard</v>
      </c>
    </row>
    <row r="16923" customFormat="false" ht="15" hidden="false" customHeight="true" outlineLevel="0" collapsed="false">
      <c r="A16923" s="10" t="n">
        <f aca="false">Einstellungen!$B$5+INT((ROW()-9)/24)</f>
        <v>46670</v>
      </c>
      <c r="B16923" s="11" t="n">
        <f aca="false">MOD(ROW()-9,24)</f>
        <v>18</v>
      </c>
      <c r="C16923" s="12"/>
      <c r="D16923" s="13" t="n">
        <f aca="false">IF(B16923&lt;5,Einstellungen!$B$3,Einstellungen!$B$4)</f>
        <v>29.13</v>
      </c>
      <c r="E16923" s="14" t="str">
        <f aca="false">IF(C16923="","",C16923*D16923/100)</f>
        <v/>
      </c>
      <c r="F16923" s="15" t="str">
        <f aca="false">IF(B16923&lt;5,"Go","Standard")</f>
        <v>Standard</v>
      </c>
    </row>
    <row r="16924" customFormat="false" ht="15" hidden="false" customHeight="true" outlineLevel="0" collapsed="false">
      <c r="A16924" s="10" t="n">
        <f aca="false">Einstellungen!$B$5+INT((ROW()-9)/24)</f>
        <v>46670</v>
      </c>
      <c r="B16924" s="11" t="n">
        <f aca="false">MOD(ROW()-9,24)</f>
        <v>19</v>
      </c>
      <c r="C16924" s="12"/>
      <c r="D16924" s="13" t="n">
        <f aca="false">IF(B16924&lt;5,Einstellungen!$B$3,Einstellungen!$B$4)</f>
        <v>29.13</v>
      </c>
      <c r="E16924" s="14" t="str">
        <f aca="false">IF(C16924="","",C16924*D16924/100)</f>
        <v/>
      </c>
      <c r="F16924" s="15" t="str">
        <f aca="false">IF(B16924&lt;5,"Go","Standard")</f>
        <v>Standard</v>
      </c>
    </row>
    <row r="16925" customFormat="false" ht="15" hidden="false" customHeight="true" outlineLevel="0" collapsed="false">
      <c r="A16925" s="10" t="n">
        <f aca="false">Einstellungen!$B$5+INT((ROW()-9)/24)</f>
        <v>46670</v>
      </c>
      <c r="B16925" s="11" t="n">
        <f aca="false">MOD(ROW()-9,24)</f>
        <v>20</v>
      </c>
      <c r="C16925" s="12"/>
      <c r="D16925" s="13" t="n">
        <f aca="false">IF(B16925&lt;5,Einstellungen!$B$3,Einstellungen!$B$4)</f>
        <v>29.13</v>
      </c>
      <c r="E16925" s="14" t="str">
        <f aca="false">IF(C16925="","",C16925*D16925/100)</f>
        <v/>
      </c>
      <c r="F16925" s="15" t="str">
        <f aca="false">IF(B16925&lt;5,"Go","Standard")</f>
        <v>Standard</v>
      </c>
    </row>
    <row r="16926" customFormat="false" ht="15" hidden="false" customHeight="true" outlineLevel="0" collapsed="false">
      <c r="A16926" s="10" t="n">
        <f aca="false">Einstellungen!$B$5+INT((ROW()-9)/24)</f>
        <v>46670</v>
      </c>
      <c r="B16926" s="11" t="n">
        <f aca="false">MOD(ROW()-9,24)</f>
        <v>21</v>
      </c>
      <c r="C16926" s="12"/>
      <c r="D16926" s="13" t="n">
        <f aca="false">IF(B16926&lt;5,Einstellungen!$B$3,Einstellungen!$B$4)</f>
        <v>29.13</v>
      </c>
      <c r="E16926" s="14" t="str">
        <f aca="false">IF(C16926="","",C16926*D16926/100)</f>
        <v/>
      </c>
      <c r="F16926" s="15" t="str">
        <f aca="false">IF(B16926&lt;5,"Go","Standard")</f>
        <v>Standard</v>
      </c>
    </row>
    <row r="16927" customFormat="false" ht="15" hidden="false" customHeight="true" outlineLevel="0" collapsed="false">
      <c r="A16927" s="10" t="n">
        <f aca="false">Einstellungen!$B$5+INT((ROW()-9)/24)</f>
        <v>46670</v>
      </c>
      <c r="B16927" s="11" t="n">
        <f aca="false">MOD(ROW()-9,24)</f>
        <v>22</v>
      </c>
      <c r="C16927" s="12"/>
      <c r="D16927" s="13" t="n">
        <f aca="false">IF(B16927&lt;5,Einstellungen!$B$3,Einstellungen!$B$4)</f>
        <v>29.13</v>
      </c>
      <c r="E16927" s="14" t="str">
        <f aca="false">IF(C16927="","",C16927*D16927/100)</f>
        <v/>
      </c>
      <c r="F16927" s="15" t="str">
        <f aca="false">IF(B16927&lt;5,"Go","Standard")</f>
        <v>Standard</v>
      </c>
    </row>
    <row r="16928" customFormat="false" ht="15" hidden="false" customHeight="true" outlineLevel="0" collapsed="false">
      <c r="A16928" s="10" t="n">
        <f aca="false">Einstellungen!$B$5+INT((ROW()-9)/24)</f>
        <v>46670</v>
      </c>
      <c r="B16928" s="11" t="n">
        <f aca="false">MOD(ROW()-9,24)</f>
        <v>23</v>
      </c>
      <c r="C16928" s="12"/>
      <c r="D16928" s="13" t="n">
        <f aca="false">IF(B16928&lt;5,Einstellungen!$B$3,Einstellungen!$B$4)</f>
        <v>29.13</v>
      </c>
      <c r="E16928" s="14" t="str">
        <f aca="false">IF(C16928="","",C16928*D16928/100)</f>
        <v/>
      </c>
      <c r="F16928" s="15" t="str">
        <f aca="false">IF(B16928&lt;5,"Go","Standard")</f>
        <v>Standard</v>
      </c>
    </row>
    <row r="16929" customFormat="false" ht="15" hidden="false" customHeight="true" outlineLevel="0" collapsed="false">
      <c r="A16929" s="10" t="n">
        <f aca="false">Einstellungen!$B$5+INT((ROW()-9)/24)</f>
        <v>46671</v>
      </c>
      <c r="B16929" s="11" t="n">
        <f aca="false">MOD(ROW()-9,24)</f>
        <v>0</v>
      </c>
      <c r="C16929" s="12"/>
      <c r="D16929" s="13" t="n">
        <f aca="false">IF(B16929&lt;5,Einstellungen!$B$3,Einstellungen!$B$4)</f>
        <v>15.92</v>
      </c>
      <c r="E16929" s="14" t="str">
        <f aca="false">IF(C16929="","",C16929*D16929/100)</f>
        <v/>
      </c>
      <c r="F16929" s="15" t="str">
        <f aca="false">IF(B16929&lt;5,"Go","Standard")</f>
        <v>Go</v>
      </c>
    </row>
    <row r="16930" customFormat="false" ht="15" hidden="false" customHeight="true" outlineLevel="0" collapsed="false">
      <c r="A16930" s="10" t="n">
        <f aca="false">Einstellungen!$B$5+INT((ROW()-9)/24)</f>
        <v>46671</v>
      </c>
      <c r="B16930" s="11" t="n">
        <f aca="false">MOD(ROW()-9,24)</f>
        <v>1</v>
      </c>
      <c r="C16930" s="12"/>
      <c r="D16930" s="13" t="n">
        <f aca="false">IF(B16930&lt;5,Einstellungen!$B$3,Einstellungen!$B$4)</f>
        <v>15.92</v>
      </c>
      <c r="E16930" s="14" t="str">
        <f aca="false">IF(C16930="","",C16930*D16930/100)</f>
        <v/>
      </c>
      <c r="F16930" s="15" t="str">
        <f aca="false">IF(B16930&lt;5,"Go","Standard")</f>
        <v>Go</v>
      </c>
    </row>
    <row r="16931" customFormat="false" ht="15" hidden="false" customHeight="true" outlineLevel="0" collapsed="false">
      <c r="A16931" s="10" t="n">
        <f aca="false">Einstellungen!$B$5+INT((ROW()-9)/24)</f>
        <v>46671</v>
      </c>
      <c r="B16931" s="11" t="n">
        <f aca="false">MOD(ROW()-9,24)</f>
        <v>2</v>
      </c>
      <c r="C16931" s="12"/>
      <c r="D16931" s="13" t="n">
        <f aca="false">IF(B16931&lt;5,Einstellungen!$B$3,Einstellungen!$B$4)</f>
        <v>15.92</v>
      </c>
      <c r="E16931" s="14" t="str">
        <f aca="false">IF(C16931="","",C16931*D16931/100)</f>
        <v/>
      </c>
      <c r="F16931" s="15" t="str">
        <f aca="false">IF(B16931&lt;5,"Go","Standard")</f>
        <v>Go</v>
      </c>
    </row>
    <row r="16932" customFormat="false" ht="15" hidden="false" customHeight="true" outlineLevel="0" collapsed="false">
      <c r="A16932" s="10" t="n">
        <f aca="false">Einstellungen!$B$5+INT((ROW()-9)/24)</f>
        <v>46671</v>
      </c>
      <c r="B16932" s="11" t="n">
        <f aca="false">MOD(ROW()-9,24)</f>
        <v>3</v>
      </c>
      <c r="C16932" s="12"/>
      <c r="D16932" s="13" t="n">
        <f aca="false">IF(B16932&lt;5,Einstellungen!$B$3,Einstellungen!$B$4)</f>
        <v>15.92</v>
      </c>
      <c r="E16932" s="14" t="str">
        <f aca="false">IF(C16932="","",C16932*D16932/100)</f>
        <v/>
      </c>
      <c r="F16932" s="15" t="str">
        <f aca="false">IF(B16932&lt;5,"Go","Standard")</f>
        <v>Go</v>
      </c>
    </row>
    <row r="16933" customFormat="false" ht="15" hidden="false" customHeight="true" outlineLevel="0" collapsed="false">
      <c r="A16933" s="10" t="n">
        <f aca="false">Einstellungen!$B$5+INT((ROW()-9)/24)</f>
        <v>46671</v>
      </c>
      <c r="B16933" s="11" t="n">
        <f aca="false">MOD(ROW()-9,24)</f>
        <v>4</v>
      </c>
      <c r="C16933" s="12"/>
      <c r="D16933" s="13" t="n">
        <f aca="false">IF(B16933&lt;5,Einstellungen!$B$3,Einstellungen!$B$4)</f>
        <v>15.92</v>
      </c>
      <c r="E16933" s="14" t="str">
        <f aca="false">IF(C16933="","",C16933*D16933/100)</f>
        <v/>
      </c>
      <c r="F16933" s="15" t="str">
        <f aca="false">IF(B16933&lt;5,"Go","Standard")</f>
        <v>Go</v>
      </c>
    </row>
    <row r="16934" customFormat="false" ht="15" hidden="false" customHeight="true" outlineLevel="0" collapsed="false">
      <c r="A16934" s="10" t="n">
        <f aca="false">Einstellungen!$B$5+INT((ROW()-9)/24)</f>
        <v>46671</v>
      </c>
      <c r="B16934" s="11" t="n">
        <f aca="false">MOD(ROW()-9,24)</f>
        <v>5</v>
      </c>
      <c r="C16934" s="12"/>
      <c r="D16934" s="13" t="n">
        <f aca="false">IF(B16934&lt;5,Einstellungen!$B$3,Einstellungen!$B$4)</f>
        <v>29.13</v>
      </c>
      <c r="E16934" s="14" t="str">
        <f aca="false">IF(C16934="","",C16934*D16934/100)</f>
        <v/>
      </c>
      <c r="F16934" s="15" t="str">
        <f aca="false">IF(B16934&lt;5,"Go","Standard")</f>
        <v>Standard</v>
      </c>
    </row>
    <row r="16935" customFormat="false" ht="15" hidden="false" customHeight="true" outlineLevel="0" collapsed="false">
      <c r="A16935" s="10" t="n">
        <f aca="false">Einstellungen!$B$5+INT((ROW()-9)/24)</f>
        <v>46671</v>
      </c>
      <c r="B16935" s="11" t="n">
        <f aca="false">MOD(ROW()-9,24)</f>
        <v>6</v>
      </c>
      <c r="C16935" s="12"/>
      <c r="D16935" s="13" t="n">
        <f aca="false">IF(B16935&lt;5,Einstellungen!$B$3,Einstellungen!$B$4)</f>
        <v>29.13</v>
      </c>
      <c r="E16935" s="14" t="str">
        <f aca="false">IF(C16935="","",C16935*D16935/100)</f>
        <v/>
      </c>
      <c r="F16935" s="15" t="str">
        <f aca="false">IF(B16935&lt;5,"Go","Standard")</f>
        <v>Standard</v>
      </c>
    </row>
    <row r="16936" customFormat="false" ht="15" hidden="false" customHeight="true" outlineLevel="0" collapsed="false">
      <c r="A16936" s="10" t="n">
        <f aca="false">Einstellungen!$B$5+INT((ROW()-9)/24)</f>
        <v>46671</v>
      </c>
      <c r="B16936" s="11" t="n">
        <f aca="false">MOD(ROW()-9,24)</f>
        <v>7</v>
      </c>
      <c r="C16936" s="12"/>
      <c r="D16936" s="13" t="n">
        <f aca="false">IF(B16936&lt;5,Einstellungen!$B$3,Einstellungen!$B$4)</f>
        <v>29.13</v>
      </c>
      <c r="E16936" s="14" t="str">
        <f aca="false">IF(C16936="","",C16936*D16936/100)</f>
        <v/>
      </c>
      <c r="F16936" s="15" t="str">
        <f aca="false">IF(B16936&lt;5,"Go","Standard")</f>
        <v>Standard</v>
      </c>
    </row>
    <row r="16937" customFormat="false" ht="15" hidden="false" customHeight="true" outlineLevel="0" collapsed="false">
      <c r="A16937" s="10" t="n">
        <f aca="false">Einstellungen!$B$5+INT((ROW()-9)/24)</f>
        <v>46671</v>
      </c>
      <c r="B16937" s="11" t="n">
        <f aca="false">MOD(ROW()-9,24)</f>
        <v>8</v>
      </c>
      <c r="C16937" s="12"/>
      <c r="D16937" s="13" t="n">
        <f aca="false">IF(B16937&lt;5,Einstellungen!$B$3,Einstellungen!$B$4)</f>
        <v>29.13</v>
      </c>
      <c r="E16937" s="14" t="str">
        <f aca="false">IF(C16937="","",C16937*D16937/100)</f>
        <v/>
      </c>
      <c r="F16937" s="15" t="str">
        <f aca="false">IF(B16937&lt;5,"Go","Standard")</f>
        <v>Standard</v>
      </c>
    </row>
    <row r="16938" customFormat="false" ht="15" hidden="false" customHeight="true" outlineLevel="0" collapsed="false">
      <c r="A16938" s="10" t="n">
        <f aca="false">Einstellungen!$B$5+INT((ROW()-9)/24)</f>
        <v>46671</v>
      </c>
      <c r="B16938" s="11" t="n">
        <f aca="false">MOD(ROW()-9,24)</f>
        <v>9</v>
      </c>
      <c r="C16938" s="12"/>
      <c r="D16938" s="13" t="n">
        <f aca="false">IF(B16938&lt;5,Einstellungen!$B$3,Einstellungen!$B$4)</f>
        <v>29.13</v>
      </c>
      <c r="E16938" s="14" t="str">
        <f aca="false">IF(C16938="","",C16938*D16938/100)</f>
        <v/>
      </c>
      <c r="F16938" s="15" t="str">
        <f aca="false">IF(B16938&lt;5,"Go","Standard")</f>
        <v>Standard</v>
      </c>
    </row>
    <row r="16939" customFormat="false" ht="15" hidden="false" customHeight="true" outlineLevel="0" collapsed="false">
      <c r="A16939" s="10" t="n">
        <f aca="false">Einstellungen!$B$5+INT((ROW()-9)/24)</f>
        <v>46671</v>
      </c>
      <c r="B16939" s="11" t="n">
        <f aca="false">MOD(ROW()-9,24)</f>
        <v>10</v>
      </c>
      <c r="C16939" s="12"/>
      <c r="D16939" s="13" t="n">
        <f aca="false">IF(B16939&lt;5,Einstellungen!$B$3,Einstellungen!$B$4)</f>
        <v>29.13</v>
      </c>
      <c r="E16939" s="14" t="str">
        <f aca="false">IF(C16939="","",C16939*D16939/100)</f>
        <v/>
      </c>
      <c r="F16939" s="15" t="str">
        <f aca="false">IF(B16939&lt;5,"Go","Standard")</f>
        <v>Standard</v>
      </c>
    </row>
    <row r="16940" customFormat="false" ht="15" hidden="false" customHeight="true" outlineLevel="0" collapsed="false">
      <c r="A16940" s="10" t="n">
        <f aca="false">Einstellungen!$B$5+INT((ROW()-9)/24)</f>
        <v>46671</v>
      </c>
      <c r="B16940" s="11" t="n">
        <f aca="false">MOD(ROW()-9,24)</f>
        <v>11</v>
      </c>
      <c r="C16940" s="12"/>
      <c r="D16940" s="13" t="n">
        <f aca="false">IF(B16940&lt;5,Einstellungen!$B$3,Einstellungen!$B$4)</f>
        <v>29.13</v>
      </c>
      <c r="E16940" s="14" t="str">
        <f aca="false">IF(C16940="","",C16940*D16940/100)</f>
        <v/>
      </c>
      <c r="F16940" s="15" t="str">
        <f aca="false">IF(B16940&lt;5,"Go","Standard")</f>
        <v>Standard</v>
      </c>
    </row>
    <row r="16941" customFormat="false" ht="15" hidden="false" customHeight="true" outlineLevel="0" collapsed="false">
      <c r="A16941" s="10" t="n">
        <f aca="false">Einstellungen!$B$5+INT((ROW()-9)/24)</f>
        <v>46671</v>
      </c>
      <c r="B16941" s="11" t="n">
        <f aca="false">MOD(ROW()-9,24)</f>
        <v>12</v>
      </c>
      <c r="C16941" s="12"/>
      <c r="D16941" s="13" t="n">
        <f aca="false">IF(B16941&lt;5,Einstellungen!$B$3,Einstellungen!$B$4)</f>
        <v>29.13</v>
      </c>
      <c r="E16941" s="14" t="str">
        <f aca="false">IF(C16941="","",C16941*D16941/100)</f>
        <v/>
      </c>
      <c r="F16941" s="15" t="str">
        <f aca="false">IF(B16941&lt;5,"Go","Standard")</f>
        <v>Standard</v>
      </c>
    </row>
    <row r="16942" customFormat="false" ht="15" hidden="false" customHeight="true" outlineLevel="0" collapsed="false">
      <c r="A16942" s="10" t="n">
        <f aca="false">Einstellungen!$B$5+INT((ROW()-9)/24)</f>
        <v>46671</v>
      </c>
      <c r="B16942" s="11" t="n">
        <f aca="false">MOD(ROW()-9,24)</f>
        <v>13</v>
      </c>
      <c r="C16942" s="12"/>
      <c r="D16942" s="13" t="n">
        <f aca="false">IF(B16942&lt;5,Einstellungen!$B$3,Einstellungen!$B$4)</f>
        <v>29.13</v>
      </c>
      <c r="E16942" s="14" t="str">
        <f aca="false">IF(C16942="","",C16942*D16942/100)</f>
        <v/>
      </c>
      <c r="F16942" s="15" t="str">
        <f aca="false">IF(B16942&lt;5,"Go","Standard")</f>
        <v>Standard</v>
      </c>
    </row>
    <row r="16943" customFormat="false" ht="15" hidden="false" customHeight="true" outlineLevel="0" collapsed="false">
      <c r="A16943" s="10" t="n">
        <f aca="false">Einstellungen!$B$5+INT((ROW()-9)/24)</f>
        <v>46671</v>
      </c>
      <c r="B16943" s="11" t="n">
        <f aca="false">MOD(ROW()-9,24)</f>
        <v>14</v>
      </c>
      <c r="C16943" s="12"/>
      <c r="D16943" s="13" t="n">
        <f aca="false">IF(B16943&lt;5,Einstellungen!$B$3,Einstellungen!$B$4)</f>
        <v>29.13</v>
      </c>
      <c r="E16943" s="14" t="str">
        <f aca="false">IF(C16943="","",C16943*D16943/100)</f>
        <v/>
      </c>
      <c r="F16943" s="15" t="str">
        <f aca="false">IF(B16943&lt;5,"Go","Standard")</f>
        <v>Standard</v>
      </c>
    </row>
    <row r="16944" customFormat="false" ht="15" hidden="false" customHeight="true" outlineLevel="0" collapsed="false">
      <c r="A16944" s="10" t="n">
        <f aca="false">Einstellungen!$B$5+INT((ROW()-9)/24)</f>
        <v>46671</v>
      </c>
      <c r="B16944" s="11" t="n">
        <f aca="false">MOD(ROW()-9,24)</f>
        <v>15</v>
      </c>
      <c r="C16944" s="12"/>
      <c r="D16944" s="13" t="n">
        <f aca="false">IF(B16944&lt;5,Einstellungen!$B$3,Einstellungen!$B$4)</f>
        <v>29.13</v>
      </c>
      <c r="E16944" s="14" t="str">
        <f aca="false">IF(C16944="","",C16944*D16944/100)</f>
        <v/>
      </c>
      <c r="F16944" s="15" t="str">
        <f aca="false">IF(B16944&lt;5,"Go","Standard")</f>
        <v>Standard</v>
      </c>
    </row>
    <row r="16945" customFormat="false" ht="15" hidden="false" customHeight="true" outlineLevel="0" collapsed="false">
      <c r="A16945" s="10" t="n">
        <f aca="false">Einstellungen!$B$5+INT((ROW()-9)/24)</f>
        <v>46671</v>
      </c>
      <c r="B16945" s="11" t="n">
        <f aca="false">MOD(ROW()-9,24)</f>
        <v>16</v>
      </c>
      <c r="C16945" s="12"/>
      <c r="D16945" s="13" t="n">
        <f aca="false">IF(B16945&lt;5,Einstellungen!$B$3,Einstellungen!$B$4)</f>
        <v>29.13</v>
      </c>
      <c r="E16945" s="14" t="str">
        <f aca="false">IF(C16945="","",C16945*D16945/100)</f>
        <v/>
      </c>
      <c r="F16945" s="15" t="str">
        <f aca="false">IF(B16945&lt;5,"Go","Standard")</f>
        <v>Standard</v>
      </c>
    </row>
    <row r="16946" customFormat="false" ht="15" hidden="false" customHeight="true" outlineLevel="0" collapsed="false">
      <c r="A16946" s="10" t="n">
        <f aca="false">Einstellungen!$B$5+INT((ROW()-9)/24)</f>
        <v>46671</v>
      </c>
      <c r="B16946" s="11" t="n">
        <f aca="false">MOD(ROW()-9,24)</f>
        <v>17</v>
      </c>
      <c r="C16946" s="12"/>
      <c r="D16946" s="13" t="n">
        <f aca="false">IF(B16946&lt;5,Einstellungen!$B$3,Einstellungen!$B$4)</f>
        <v>29.13</v>
      </c>
      <c r="E16946" s="14" t="str">
        <f aca="false">IF(C16946="","",C16946*D16946/100)</f>
        <v/>
      </c>
      <c r="F16946" s="15" t="str">
        <f aca="false">IF(B16946&lt;5,"Go","Standard")</f>
        <v>Standard</v>
      </c>
    </row>
    <row r="16947" customFormat="false" ht="15" hidden="false" customHeight="true" outlineLevel="0" collapsed="false">
      <c r="A16947" s="10" t="n">
        <f aca="false">Einstellungen!$B$5+INT((ROW()-9)/24)</f>
        <v>46671</v>
      </c>
      <c r="B16947" s="11" t="n">
        <f aca="false">MOD(ROW()-9,24)</f>
        <v>18</v>
      </c>
      <c r="C16947" s="12"/>
      <c r="D16947" s="13" t="n">
        <f aca="false">IF(B16947&lt;5,Einstellungen!$B$3,Einstellungen!$B$4)</f>
        <v>29.13</v>
      </c>
      <c r="E16947" s="14" t="str">
        <f aca="false">IF(C16947="","",C16947*D16947/100)</f>
        <v/>
      </c>
      <c r="F16947" s="15" t="str">
        <f aca="false">IF(B16947&lt;5,"Go","Standard")</f>
        <v>Standard</v>
      </c>
    </row>
    <row r="16948" customFormat="false" ht="15" hidden="false" customHeight="true" outlineLevel="0" collapsed="false">
      <c r="A16948" s="10" t="n">
        <f aca="false">Einstellungen!$B$5+INT((ROW()-9)/24)</f>
        <v>46671</v>
      </c>
      <c r="B16948" s="11" t="n">
        <f aca="false">MOD(ROW()-9,24)</f>
        <v>19</v>
      </c>
      <c r="C16948" s="12"/>
      <c r="D16948" s="13" t="n">
        <f aca="false">IF(B16948&lt;5,Einstellungen!$B$3,Einstellungen!$B$4)</f>
        <v>29.13</v>
      </c>
      <c r="E16948" s="14" t="str">
        <f aca="false">IF(C16948="","",C16948*D16948/100)</f>
        <v/>
      </c>
      <c r="F16948" s="15" t="str">
        <f aca="false">IF(B16948&lt;5,"Go","Standard")</f>
        <v>Standard</v>
      </c>
    </row>
    <row r="16949" customFormat="false" ht="15" hidden="false" customHeight="true" outlineLevel="0" collapsed="false">
      <c r="A16949" s="10" t="n">
        <f aca="false">Einstellungen!$B$5+INT((ROW()-9)/24)</f>
        <v>46671</v>
      </c>
      <c r="B16949" s="11" t="n">
        <f aca="false">MOD(ROW()-9,24)</f>
        <v>20</v>
      </c>
      <c r="C16949" s="12"/>
      <c r="D16949" s="13" t="n">
        <f aca="false">IF(B16949&lt;5,Einstellungen!$B$3,Einstellungen!$B$4)</f>
        <v>29.13</v>
      </c>
      <c r="E16949" s="14" t="str">
        <f aca="false">IF(C16949="","",C16949*D16949/100)</f>
        <v/>
      </c>
      <c r="F16949" s="15" t="str">
        <f aca="false">IF(B16949&lt;5,"Go","Standard")</f>
        <v>Standard</v>
      </c>
    </row>
    <row r="16950" customFormat="false" ht="15" hidden="false" customHeight="true" outlineLevel="0" collapsed="false">
      <c r="A16950" s="10" t="n">
        <f aca="false">Einstellungen!$B$5+INT((ROW()-9)/24)</f>
        <v>46671</v>
      </c>
      <c r="B16950" s="11" t="n">
        <f aca="false">MOD(ROW()-9,24)</f>
        <v>21</v>
      </c>
      <c r="C16950" s="12"/>
      <c r="D16950" s="13" t="n">
        <f aca="false">IF(B16950&lt;5,Einstellungen!$B$3,Einstellungen!$B$4)</f>
        <v>29.13</v>
      </c>
      <c r="E16950" s="14" t="str">
        <f aca="false">IF(C16950="","",C16950*D16950/100)</f>
        <v/>
      </c>
      <c r="F16950" s="15" t="str">
        <f aca="false">IF(B16950&lt;5,"Go","Standard")</f>
        <v>Standard</v>
      </c>
    </row>
    <row r="16951" customFormat="false" ht="15" hidden="false" customHeight="true" outlineLevel="0" collapsed="false">
      <c r="A16951" s="10" t="n">
        <f aca="false">Einstellungen!$B$5+INT((ROW()-9)/24)</f>
        <v>46671</v>
      </c>
      <c r="B16951" s="11" t="n">
        <f aca="false">MOD(ROW()-9,24)</f>
        <v>22</v>
      </c>
      <c r="C16951" s="12"/>
      <c r="D16951" s="13" t="n">
        <f aca="false">IF(B16951&lt;5,Einstellungen!$B$3,Einstellungen!$B$4)</f>
        <v>29.13</v>
      </c>
      <c r="E16951" s="14" t="str">
        <f aca="false">IF(C16951="","",C16951*D16951/100)</f>
        <v/>
      </c>
      <c r="F16951" s="15" t="str">
        <f aca="false">IF(B16951&lt;5,"Go","Standard")</f>
        <v>Standard</v>
      </c>
    </row>
    <row r="16952" customFormat="false" ht="15" hidden="false" customHeight="true" outlineLevel="0" collapsed="false">
      <c r="A16952" s="10" t="n">
        <f aca="false">Einstellungen!$B$5+INT((ROW()-9)/24)</f>
        <v>46671</v>
      </c>
      <c r="B16952" s="11" t="n">
        <f aca="false">MOD(ROW()-9,24)</f>
        <v>23</v>
      </c>
      <c r="C16952" s="12"/>
      <c r="D16952" s="13" t="n">
        <f aca="false">IF(B16952&lt;5,Einstellungen!$B$3,Einstellungen!$B$4)</f>
        <v>29.13</v>
      </c>
      <c r="E16952" s="14" t="str">
        <f aca="false">IF(C16952="","",C16952*D16952/100)</f>
        <v/>
      </c>
      <c r="F16952" s="15" t="str">
        <f aca="false">IF(B16952&lt;5,"Go","Standard")</f>
        <v>Standard</v>
      </c>
    </row>
    <row r="16953" customFormat="false" ht="15" hidden="false" customHeight="true" outlineLevel="0" collapsed="false">
      <c r="A16953" s="10" t="n">
        <f aca="false">Einstellungen!$B$5+INT((ROW()-9)/24)</f>
        <v>46672</v>
      </c>
      <c r="B16953" s="11" t="n">
        <f aca="false">MOD(ROW()-9,24)</f>
        <v>0</v>
      </c>
      <c r="C16953" s="12"/>
      <c r="D16953" s="13" t="n">
        <f aca="false">IF(B16953&lt;5,Einstellungen!$B$3,Einstellungen!$B$4)</f>
        <v>15.92</v>
      </c>
      <c r="E16953" s="14" t="str">
        <f aca="false">IF(C16953="","",C16953*D16953/100)</f>
        <v/>
      </c>
      <c r="F16953" s="15" t="str">
        <f aca="false">IF(B16953&lt;5,"Go","Standard")</f>
        <v>Go</v>
      </c>
    </row>
    <row r="16954" customFormat="false" ht="15" hidden="false" customHeight="true" outlineLevel="0" collapsed="false">
      <c r="A16954" s="10" t="n">
        <f aca="false">Einstellungen!$B$5+INT((ROW()-9)/24)</f>
        <v>46672</v>
      </c>
      <c r="B16954" s="11" t="n">
        <f aca="false">MOD(ROW()-9,24)</f>
        <v>1</v>
      </c>
      <c r="C16954" s="12"/>
      <c r="D16954" s="13" t="n">
        <f aca="false">IF(B16954&lt;5,Einstellungen!$B$3,Einstellungen!$B$4)</f>
        <v>15.92</v>
      </c>
      <c r="E16954" s="14" t="str">
        <f aca="false">IF(C16954="","",C16954*D16954/100)</f>
        <v/>
      </c>
      <c r="F16954" s="15" t="str">
        <f aca="false">IF(B16954&lt;5,"Go","Standard")</f>
        <v>Go</v>
      </c>
    </row>
    <row r="16955" customFormat="false" ht="15" hidden="false" customHeight="true" outlineLevel="0" collapsed="false">
      <c r="A16955" s="10" t="n">
        <f aca="false">Einstellungen!$B$5+INT((ROW()-9)/24)</f>
        <v>46672</v>
      </c>
      <c r="B16955" s="11" t="n">
        <f aca="false">MOD(ROW()-9,24)</f>
        <v>2</v>
      </c>
      <c r="C16955" s="12"/>
      <c r="D16955" s="13" t="n">
        <f aca="false">IF(B16955&lt;5,Einstellungen!$B$3,Einstellungen!$B$4)</f>
        <v>15.92</v>
      </c>
      <c r="E16955" s="14" t="str">
        <f aca="false">IF(C16955="","",C16955*D16955/100)</f>
        <v/>
      </c>
      <c r="F16955" s="15" t="str">
        <f aca="false">IF(B16955&lt;5,"Go","Standard")</f>
        <v>Go</v>
      </c>
    </row>
    <row r="16956" customFormat="false" ht="15" hidden="false" customHeight="true" outlineLevel="0" collapsed="false">
      <c r="A16956" s="10" t="n">
        <f aca="false">Einstellungen!$B$5+INT((ROW()-9)/24)</f>
        <v>46672</v>
      </c>
      <c r="B16956" s="11" t="n">
        <f aca="false">MOD(ROW()-9,24)</f>
        <v>3</v>
      </c>
      <c r="C16956" s="12"/>
      <c r="D16956" s="13" t="n">
        <f aca="false">IF(B16956&lt;5,Einstellungen!$B$3,Einstellungen!$B$4)</f>
        <v>15.92</v>
      </c>
      <c r="E16956" s="14" t="str">
        <f aca="false">IF(C16956="","",C16956*D16956/100)</f>
        <v/>
      </c>
      <c r="F16956" s="15" t="str">
        <f aca="false">IF(B16956&lt;5,"Go","Standard")</f>
        <v>Go</v>
      </c>
    </row>
    <row r="16957" customFormat="false" ht="15" hidden="false" customHeight="true" outlineLevel="0" collapsed="false">
      <c r="A16957" s="10" t="n">
        <f aca="false">Einstellungen!$B$5+INT((ROW()-9)/24)</f>
        <v>46672</v>
      </c>
      <c r="B16957" s="11" t="n">
        <f aca="false">MOD(ROW()-9,24)</f>
        <v>4</v>
      </c>
      <c r="C16957" s="12"/>
      <c r="D16957" s="13" t="n">
        <f aca="false">IF(B16957&lt;5,Einstellungen!$B$3,Einstellungen!$B$4)</f>
        <v>15.92</v>
      </c>
      <c r="E16957" s="14" t="str">
        <f aca="false">IF(C16957="","",C16957*D16957/100)</f>
        <v/>
      </c>
      <c r="F16957" s="15" t="str">
        <f aca="false">IF(B16957&lt;5,"Go","Standard")</f>
        <v>Go</v>
      </c>
    </row>
    <row r="16958" customFormat="false" ht="15" hidden="false" customHeight="true" outlineLevel="0" collapsed="false">
      <c r="A16958" s="10" t="n">
        <f aca="false">Einstellungen!$B$5+INT((ROW()-9)/24)</f>
        <v>46672</v>
      </c>
      <c r="B16958" s="11" t="n">
        <f aca="false">MOD(ROW()-9,24)</f>
        <v>5</v>
      </c>
      <c r="C16958" s="12"/>
      <c r="D16958" s="13" t="n">
        <f aca="false">IF(B16958&lt;5,Einstellungen!$B$3,Einstellungen!$B$4)</f>
        <v>29.13</v>
      </c>
      <c r="E16958" s="14" t="str">
        <f aca="false">IF(C16958="","",C16958*D16958/100)</f>
        <v/>
      </c>
      <c r="F16958" s="15" t="str">
        <f aca="false">IF(B16958&lt;5,"Go","Standard")</f>
        <v>Standard</v>
      </c>
    </row>
    <row r="16959" customFormat="false" ht="15" hidden="false" customHeight="true" outlineLevel="0" collapsed="false">
      <c r="A16959" s="10" t="n">
        <f aca="false">Einstellungen!$B$5+INT((ROW()-9)/24)</f>
        <v>46672</v>
      </c>
      <c r="B16959" s="11" t="n">
        <f aca="false">MOD(ROW()-9,24)</f>
        <v>6</v>
      </c>
      <c r="C16959" s="12"/>
      <c r="D16959" s="13" t="n">
        <f aca="false">IF(B16959&lt;5,Einstellungen!$B$3,Einstellungen!$B$4)</f>
        <v>29.13</v>
      </c>
      <c r="E16959" s="14" t="str">
        <f aca="false">IF(C16959="","",C16959*D16959/100)</f>
        <v/>
      </c>
      <c r="F16959" s="15" t="str">
        <f aca="false">IF(B16959&lt;5,"Go","Standard")</f>
        <v>Standard</v>
      </c>
    </row>
    <row r="16960" customFormat="false" ht="15" hidden="false" customHeight="true" outlineLevel="0" collapsed="false">
      <c r="A16960" s="10" t="n">
        <f aca="false">Einstellungen!$B$5+INT((ROW()-9)/24)</f>
        <v>46672</v>
      </c>
      <c r="B16960" s="11" t="n">
        <f aca="false">MOD(ROW()-9,24)</f>
        <v>7</v>
      </c>
      <c r="C16960" s="12"/>
      <c r="D16960" s="13" t="n">
        <f aca="false">IF(B16960&lt;5,Einstellungen!$B$3,Einstellungen!$B$4)</f>
        <v>29.13</v>
      </c>
      <c r="E16960" s="14" t="str">
        <f aca="false">IF(C16960="","",C16960*D16960/100)</f>
        <v/>
      </c>
      <c r="F16960" s="15" t="str">
        <f aca="false">IF(B16960&lt;5,"Go","Standard")</f>
        <v>Standard</v>
      </c>
    </row>
    <row r="16961" customFormat="false" ht="15" hidden="false" customHeight="true" outlineLevel="0" collapsed="false">
      <c r="A16961" s="10" t="n">
        <f aca="false">Einstellungen!$B$5+INT((ROW()-9)/24)</f>
        <v>46672</v>
      </c>
      <c r="B16961" s="11" t="n">
        <f aca="false">MOD(ROW()-9,24)</f>
        <v>8</v>
      </c>
      <c r="C16961" s="12"/>
      <c r="D16961" s="13" t="n">
        <f aca="false">IF(B16961&lt;5,Einstellungen!$B$3,Einstellungen!$B$4)</f>
        <v>29.13</v>
      </c>
      <c r="E16961" s="14" t="str">
        <f aca="false">IF(C16961="","",C16961*D16961/100)</f>
        <v/>
      </c>
      <c r="F16961" s="15" t="str">
        <f aca="false">IF(B16961&lt;5,"Go","Standard")</f>
        <v>Standard</v>
      </c>
    </row>
    <row r="16962" customFormat="false" ht="15" hidden="false" customHeight="true" outlineLevel="0" collapsed="false">
      <c r="A16962" s="10" t="n">
        <f aca="false">Einstellungen!$B$5+INT((ROW()-9)/24)</f>
        <v>46672</v>
      </c>
      <c r="B16962" s="11" t="n">
        <f aca="false">MOD(ROW()-9,24)</f>
        <v>9</v>
      </c>
      <c r="C16962" s="12"/>
      <c r="D16962" s="13" t="n">
        <f aca="false">IF(B16962&lt;5,Einstellungen!$B$3,Einstellungen!$B$4)</f>
        <v>29.13</v>
      </c>
      <c r="E16962" s="14" t="str">
        <f aca="false">IF(C16962="","",C16962*D16962/100)</f>
        <v/>
      </c>
      <c r="F16962" s="15" t="str">
        <f aca="false">IF(B16962&lt;5,"Go","Standard")</f>
        <v>Standard</v>
      </c>
    </row>
    <row r="16963" customFormat="false" ht="15" hidden="false" customHeight="true" outlineLevel="0" collapsed="false">
      <c r="A16963" s="10" t="n">
        <f aca="false">Einstellungen!$B$5+INT((ROW()-9)/24)</f>
        <v>46672</v>
      </c>
      <c r="B16963" s="11" t="n">
        <f aca="false">MOD(ROW()-9,24)</f>
        <v>10</v>
      </c>
      <c r="C16963" s="12"/>
      <c r="D16963" s="13" t="n">
        <f aca="false">IF(B16963&lt;5,Einstellungen!$B$3,Einstellungen!$B$4)</f>
        <v>29.13</v>
      </c>
      <c r="E16963" s="14" t="str">
        <f aca="false">IF(C16963="","",C16963*D16963/100)</f>
        <v/>
      </c>
      <c r="F16963" s="15" t="str">
        <f aca="false">IF(B16963&lt;5,"Go","Standard")</f>
        <v>Standard</v>
      </c>
    </row>
    <row r="16964" customFormat="false" ht="15" hidden="false" customHeight="true" outlineLevel="0" collapsed="false">
      <c r="A16964" s="10" t="n">
        <f aca="false">Einstellungen!$B$5+INT((ROW()-9)/24)</f>
        <v>46672</v>
      </c>
      <c r="B16964" s="11" t="n">
        <f aca="false">MOD(ROW()-9,24)</f>
        <v>11</v>
      </c>
      <c r="C16964" s="12"/>
      <c r="D16964" s="13" t="n">
        <f aca="false">IF(B16964&lt;5,Einstellungen!$B$3,Einstellungen!$B$4)</f>
        <v>29.13</v>
      </c>
      <c r="E16964" s="14" t="str">
        <f aca="false">IF(C16964="","",C16964*D16964/100)</f>
        <v/>
      </c>
      <c r="F16964" s="15" t="str">
        <f aca="false">IF(B16964&lt;5,"Go","Standard")</f>
        <v>Standard</v>
      </c>
    </row>
    <row r="16965" customFormat="false" ht="15" hidden="false" customHeight="true" outlineLevel="0" collapsed="false">
      <c r="A16965" s="10" t="n">
        <f aca="false">Einstellungen!$B$5+INT((ROW()-9)/24)</f>
        <v>46672</v>
      </c>
      <c r="B16965" s="11" t="n">
        <f aca="false">MOD(ROW()-9,24)</f>
        <v>12</v>
      </c>
      <c r="C16965" s="12"/>
      <c r="D16965" s="13" t="n">
        <f aca="false">IF(B16965&lt;5,Einstellungen!$B$3,Einstellungen!$B$4)</f>
        <v>29.13</v>
      </c>
      <c r="E16965" s="14" t="str">
        <f aca="false">IF(C16965="","",C16965*D16965/100)</f>
        <v/>
      </c>
      <c r="F16965" s="15" t="str">
        <f aca="false">IF(B16965&lt;5,"Go","Standard")</f>
        <v>Standard</v>
      </c>
    </row>
    <row r="16966" customFormat="false" ht="15" hidden="false" customHeight="true" outlineLevel="0" collapsed="false">
      <c r="A16966" s="10" t="n">
        <f aca="false">Einstellungen!$B$5+INT((ROW()-9)/24)</f>
        <v>46672</v>
      </c>
      <c r="B16966" s="11" t="n">
        <f aca="false">MOD(ROW()-9,24)</f>
        <v>13</v>
      </c>
      <c r="C16966" s="12"/>
      <c r="D16966" s="13" t="n">
        <f aca="false">IF(B16966&lt;5,Einstellungen!$B$3,Einstellungen!$B$4)</f>
        <v>29.13</v>
      </c>
      <c r="E16966" s="14" t="str">
        <f aca="false">IF(C16966="","",C16966*D16966/100)</f>
        <v/>
      </c>
      <c r="F16966" s="15" t="str">
        <f aca="false">IF(B16966&lt;5,"Go","Standard")</f>
        <v>Standard</v>
      </c>
    </row>
    <row r="16967" customFormat="false" ht="15" hidden="false" customHeight="true" outlineLevel="0" collapsed="false">
      <c r="A16967" s="10" t="n">
        <f aca="false">Einstellungen!$B$5+INT((ROW()-9)/24)</f>
        <v>46672</v>
      </c>
      <c r="B16967" s="11" t="n">
        <f aca="false">MOD(ROW()-9,24)</f>
        <v>14</v>
      </c>
      <c r="C16967" s="12"/>
      <c r="D16967" s="13" t="n">
        <f aca="false">IF(B16967&lt;5,Einstellungen!$B$3,Einstellungen!$B$4)</f>
        <v>29.13</v>
      </c>
      <c r="E16967" s="14" t="str">
        <f aca="false">IF(C16967="","",C16967*D16967/100)</f>
        <v/>
      </c>
      <c r="F16967" s="15" t="str">
        <f aca="false">IF(B16967&lt;5,"Go","Standard")</f>
        <v>Standard</v>
      </c>
    </row>
    <row r="16968" customFormat="false" ht="15" hidden="false" customHeight="true" outlineLevel="0" collapsed="false">
      <c r="A16968" s="10" t="n">
        <f aca="false">Einstellungen!$B$5+INT((ROW()-9)/24)</f>
        <v>46672</v>
      </c>
      <c r="B16968" s="11" t="n">
        <f aca="false">MOD(ROW()-9,24)</f>
        <v>15</v>
      </c>
      <c r="C16968" s="12"/>
      <c r="D16968" s="13" t="n">
        <f aca="false">IF(B16968&lt;5,Einstellungen!$B$3,Einstellungen!$B$4)</f>
        <v>29.13</v>
      </c>
      <c r="E16968" s="14" t="str">
        <f aca="false">IF(C16968="","",C16968*D16968/100)</f>
        <v/>
      </c>
      <c r="F16968" s="15" t="str">
        <f aca="false">IF(B16968&lt;5,"Go","Standard")</f>
        <v>Standard</v>
      </c>
    </row>
    <row r="16969" customFormat="false" ht="15" hidden="false" customHeight="true" outlineLevel="0" collapsed="false">
      <c r="A16969" s="10" t="n">
        <f aca="false">Einstellungen!$B$5+INT((ROW()-9)/24)</f>
        <v>46672</v>
      </c>
      <c r="B16969" s="11" t="n">
        <f aca="false">MOD(ROW()-9,24)</f>
        <v>16</v>
      </c>
      <c r="C16969" s="12"/>
      <c r="D16969" s="13" t="n">
        <f aca="false">IF(B16969&lt;5,Einstellungen!$B$3,Einstellungen!$B$4)</f>
        <v>29.13</v>
      </c>
      <c r="E16969" s="14" t="str">
        <f aca="false">IF(C16969="","",C16969*D16969/100)</f>
        <v/>
      </c>
      <c r="F16969" s="15" t="str">
        <f aca="false">IF(B16969&lt;5,"Go","Standard")</f>
        <v>Standard</v>
      </c>
    </row>
    <row r="16970" customFormat="false" ht="15" hidden="false" customHeight="true" outlineLevel="0" collapsed="false">
      <c r="A16970" s="10" t="n">
        <f aca="false">Einstellungen!$B$5+INT((ROW()-9)/24)</f>
        <v>46672</v>
      </c>
      <c r="B16970" s="11" t="n">
        <f aca="false">MOD(ROW()-9,24)</f>
        <v>17</v>
      </c>
      <c r="C16970" s="12"/>
      <c r="D16970" s="13" t="n">
        <f aca="false">IF(B16970&lt;5,Einstellungen!$B$3,Einstellungen!$B$4)</f>
        <v>29.13</v>
      </c>
      <c r="E16970" s="14" t="str">
        <f aca="false">IF(C16970="","",C16970*D16970/100)</f>
        <v/>
      </c>
      <c r="F16970" s="15" t="str">
        <f aca="false">IF(B16970&lt;5,"Go","Standard")</f>
        <v>Standard</v>
      </c>
    </row>
    <row r="16971" customFormat="false" ht="15" hidden="false" customHeight="true" outlineLevel="0" collapsed="false">
      <c r="A16971" s="10" t="n">
        <f aca="false">Einstellungen!$B$5+INT((ROW()-9)/24)</f>
        <v>46672</v>
      </c>
      <c r="B16971" s="11" t="n">
        <f aca="false">MOD(ROW()-9,24)</f>
        <v>18</v>
      </c>
      <c r="C16971" s="12"/>
      <c r="D16971" s="13" t="n">
        <f aca="false">IF(B16971&lt;5,Einstellungen!$B$3,Einstellungen!$B$4)</f>
        <v>29.13</v>
      </c>
      <c r="E16971" s="14" t="str">
        <f aca="false">IF(C16971="","",C16971*D16971/100)</f>
        <v/>
      </c>
      <c r="F16971" s="15" t="str">
        <f aca="false">IF(B16971&lt;5,"Go","Standard")</f>
        <v>Standard</v>
      </c>
    </row>
    <row r="16972" customFormat="false" ht="15" hidden="false" customHeight="true" outlineLevel="0" collapsed="false">
      <c r="A16972" s="10" t="n">
        <f aca="false">Einstellungen!$B$5+INT((ROW()-9)/24)</f>
        <v>46672</v>
      </c>
      <c r="B16972" s="11" t="n">
        <f aca="false">MOD(ROW()-9,24)</f>
        <v>19</v>
      </c>
      <c r="C16972" s="12"/>
      <c r="D16972" s="13" t="n">
        <f aca="false">IF(B16972&lt;5,Einstellungen!$B$3,Einstellungen!$B$4)</f>
        <v>29.13</v>
      </c>
      <c r="E16972" s="14" t="str">
        <f aca="false">IF(C16972="","",C16972*D16972/100)</f>
        <v/>
      </c>
      <c r="F16972" s="15" t="str">
        <f aca="false">IF(B16972&lt;5,"Go","Standard")</f>
        <v>Standard</v>
      </c>
    </row>
    <row r="16973" customFormat="false" ht="15" hidden="false" customHeight="true" outlineLevel="0" collapsed="false">
      <c r="A16973" s="10" t="n">
        <f aca="false">Einstellungen!$B$5+INT((ROW()-9)/24)</f>
        <v>46672</v>
      </c>
      <c r="B16973" s="11" t="n">
        <f aca="false">MOD(ROW()-9,24)</f>
        <v>20</v>
      </c>
      <c r="C16973" s="12"/>
      <c r="D16973" s="13" t="n">
        <f aca="false">IF(B16973&lt;5,Einstellungen!$B$3,Einstellungen!$B$4)</f>
        <v>29.13</v>
      </c>
      <c r="E16973" s="14" t="str">
        <f aca="false">IF(C16973="","",C16973*D16973/100)</f>
        <v/>
      </c>
      <c r="F16973" s="15" t="str">
        <f aca="false">IF(B16973&lt;5,"Go","Standard")</f>
        <v>Standard</v>
      </c>
    </row>
    <row r="16974" customFormat="false" ht="15" hidden="false" customHeight="true" outlineLevel="0" collapsed="false">
      <c r="A16974" s="10" t="n">
        <f aca="false">Einstellungen!$B$5+INT((ROW()-9)/24)</f>
        <v>46672</v>
      </c>
      <c r="B16974" s="11" t="n">
        <f aca="false">MOD(ROW()-9,24)</f>
        <v>21</v>
      </c>
      <c r="C16974" s="12"/>
      <c r="D16974" s="13" t="n">
        <f aca="false">IF(B16974&lt;5,Einstellungen!$B$3,Einstellungen!$B$4)</f>
        <v>29.13</v>
      </c>
      <c r="E16974" s="14" t="str">
        <f aca="false">IF(C16974="","",C16974*D16974/100)</f>
        <v/>
      </c>
      <c r="F16974" s="15" t="str">
        <f aca="false">IF(B16974&lt;5,"Go","Standard")</f>
        <v>Standard</v>
      </c>
    </row>
    <row r="16975" customFormat="false" ht="15" hidden="false" customHeight="true" outlineLevel="0" collapsed="false">
      <c r="A16975" s="10" t="n">
        <f aca="false">Einstellungen!$B$5+INT((ROW()-9)/24)</f>
        <v>46672</v>
      </c>
      <c r="B16975" s="11" t="n">
        <f aca="false">MOD(ROW()-9,24)</f>
        <v>22</v>
      </c>
      <c r="C16975" s="12"/>
      <c r="D16975" s="13" t="n">
        <f aca="false">IF(B16975&lt;5,Einstellungen!$B$3,Einstellungen!$B$4)</f>
        <v>29.13</v>
      </c>
      <c r="E16975" s="14" t="str">
        <f aca="false">IF(C16975="","",C16975*D16975/100)</f>
        <v/>
      </c>
      <c r="F16975" s="15" t="str">
        <f aca="false">IF(B16975&lt;5,"Go","Standard")</f>
        <v>Standard</v>
      </c>
    </row>
    <row r="16976" customFormat="false" ht="15" hidden="false" customHeight="true" outlineLevel="0" collapsed="false">
      <c r="A16976" s="10" t="n">
        <f aca="false">Einstellungen!$B$5+INT((ROW()-9)/24)</f>
        <v>46672</v>
      </c>
      <c r="B16976" s="11" t="n">
        <f aca="false">MOD(ROW()-9,24)</f>
        <v>23</v>
      </c>
      <c r="C16976" s="12"/>
      <c r="D16976" s="13" t="n">
        <f aca="false">IF(B16976&lt;5,Einstellungen!$B$3,Einstellungen!$B$4)</f>
        <v>29.13</v>
      </c>
      <c r="E16976" s="14" t="str">
        <f aca="false">IF(C16976="","",C16976*D16976/100)</f>
        <v/>
      </c>
      <c r="F16976" s="15" t="str">
        <f aca="false">IF(B16976&lt;5,"Go","Standard")</f>
        <v>Standard</v>
      </c>
    </row>
    <row r="16977" customFormat="false" ht="15" hidden="false" customHeight="true" outlineLevel="0" collapsed="false">
      <c r="A16977" s="10" t="n">
        <f aca="false">Einstellungen!$B$5+INT((ROW()-9)/24)</f>
        <v>46673</v>
      </c>
      <c r="B16977" s="11" t="n">
        <f aca="false">MOD(ROW()-9,24)</f>
        <v>0</v>
      </c>
      <c r="C16977" s="12"/>
      <c r="D16977" s="13" t="n">
        <f aca="false">IF(B16977&lt;5,Einstellungen!$B$3,Einstellungen!$B$4)</f>
        <v>15.92</v>
      </c>
      <c r="E16977" s="14" t="str">
        <f aca="false">IF(C16977="","",C16977*D16977/100)</f>
        <v/>
      </c>
      <c r="F16977" s="15" t="str">
        <f aca="false">IF(B16977&lt;5,"Go","Standard")</f>
        <v>Go</v>
      </c>
    </row>
    <row r="16978" customFormat="false" ht="15" hidden="false" customHeight="true" outlineLevel="0" collapsed="false">
      <c r="A16978" s="10" t="n">
        <f aca="false">Einstellungen!$B$5+INT((ROW()-9)/24)</f>
        <v>46673</v>
      </c>
      <c r="B16978" s="11" t="n">
        <f aca="false">MOD(ROW()-9,24)</f>
        <v>1</v>
      </c>
      <c r="C16978" s="12"/>
      <c r="D16978" s="13" t="n">
        <f aca="false">IF(B16978&lt;5,Einstellungen!$B$3,Einstellungen!$B$4)</f>
        <v>15.92</v>
      </c>
      <c r="E16978" s="14" t="str">
        <f aca="false">IF(C16978="","",C16978*D16978/100)</f>
        <v/>
      </c>
      <c r="F16978" s="15" t="str">
        <f aca="false">IF(B16978&lt;5,"Go","Standard")</f>
        <v>Go</v>
      </c>
    </row>
    <row r="16979" customFormat="false" ht="15" hidden="false" customHeight="true" outlineLevel="0" collapsed="false">
      <c r="A16979" s="10" t="n">
        <f aca="false">Einstellungen!$B$5+INT((ROW()-9)/24)</f>
        <v>46673</v>
      </c>
      <c r="B16979" s="11" t="n">
        <f aca="false">MOD(ROW()-9,24)</f>
        <v>2</v>
      </c>
      <c r="C16979" s="12"/>
      <c r="D16979" s="13" t="n">
        <f aca="false">IF(B16979&lt;5,Einstellungen!$B$3,Einstellungen!$B$4)</f>
        <v>15.92</v>
      </c>
      <c r="E16979" s="14" t="str">
        <f aca="false">IF(C16979="","",C16979*D16979/100)</f>
        <v/>
      </c>
      <c r="F16979" s="15" t="str">
        <f aca="false">IF(B16979&lt;5,"Go","Standard")</f>
        <v>Go</v>
      </c>
    </row>
    <row r="16980" customFormat="false" ht="15" hidden="false" customHeight="true" outlineLevel="0" collapsed="false">
      <c r="A16980" s="10" t="n">
        <f aca="false">Einstellungen!$B$5+INT((ROW()-9)/24)</f>
        <v>46673</v>
      </c>
      <c r="B16980" s="11" t="n">
        <f aca="false">MOD(ROW()-9,24)</f>
        <v>3</v>
      </c>
      <c r="C16980" s="12"/>
      <c r="D16980" s="13" t="n">
        <f aca="false">IF(B16980&lt;5,Einstellungen!$B$3,Einstellungen!$B$4)</f>
        <v>15.92</v>
      </c>
      <c r="E16980" s="14" t="str">
        <f aca="false">IF(C16980="","",C16980*D16980/100)</f>
        <v/>
      </c>
      <c r="F16980" s="15" t="str">
        <f aca="false">IF(B16980&lt;5,"Go","Standard")</f>
        <v>Go</v>
      </c>
    </row>
    <row r="16981" customFormat="false" ht="15" hidden="false" customHeight="true" outlineLevel="0" collapsed="false">
      <c r="A16981" s="10" t="n">
        <f aca="false">Einstellungen!$B$5+INT((ROW()-9)/24)</f>
        <v>46673</v>
      </c>
      <c r="B16981" s="11" t="n">
        <f aca="false">MOD(ROW()-9,24)</f>
        <v>4</v>
      </c>
      <c r="C16981" s="12"/>
      <c r="D16981" s="13" t="n">
        <f aca="false">IF(B16981&lt;5,Einstellungen!$B$3,Einstellungen!$B$4)</f>
        <v>15.92</v>
      </c>
      <c r="E16981" s="14" t="str">
        <f aca="false">IF(C16981="","",C16981*D16981/100)</f>
        <v/>
      </c>
      <c r="F16981" s="15" t="str">
        <f aca="false">IF(B16981&lt;5,"Go","Standard")</f>
        <v>Go</v>
      </c>
    </row>
    <row r="16982" customFormat="false" ht="15" hidden="false" customHeight="true" outlineLevel="0" collapsed="false">
      <c r="A16982" s="10" t="n">
        <f aca="false">Einstellungen!$B$5+INT((ROW()-9)/24)</f>
        <v>46673</v>
      </c>
      <c r="B16982" s="11" t="n">
        <f aca="false">MOD(ROW()-9,24)</f>
        <v>5</v>
      </c>
      <c r="C16982" s="12"/>
      <c r="D16982" s="13" t="n">
        <f aca="false">IF(B16982&lt;5,Einstellungen!$B$3,Einstellungen!$B$4)</f>
        <v>29.13</v>
      </c>
      <c r="E16982" s="14" t="str">
        <f aca="false">IF(C16982="","",C16982*D16982/100)</f>
        <v/>
      </c>
      <c r="F16982" s="15" t="str">
        <f aca="false">IF(B16982&lt;5,"Go","Standard")</f>
        <v>Standard</v>
      </c>
    </row>
    <row r="16983" customFormat="false" ht="15" hidden="false" customHeight="true" outlineLevel="0" collapsed="false">
      <c r="A16983" s="10" t="n">
        <f aca="false">Einstellungen!$B$5+INT((ROW()-9)/24)</f>
        <v>46673</v>
      </c>
      <c r="B16983" s="11" t="n">
        <f aca="false">MOD(ROW()-9,24)</f>
        <v>6</v>
      </c>
      <c r="C16983" s="12"/>
      <c r="D16983" s="13" t="n">
        <f aca="false">IF(B16983&lt;5,Einstellungen!$B$3,Einstellungen!$B$4)</f>
        <v>29.13</v>
      </c>
      <c r="E16983" s="14" t="str">
        <f aca="false">IF(C16983="","",C16983*D16983/100)</f>
        <v/>
      </c>
      <c r="F16983" s="15" t="str">
        <f aca="false">IF(B16983&lt;5,"Go","Standard")</f>
        <v>Standard</v>
      </c>
    </row>
    <row r="16984" customFormat="false" ht="15" hidden="false" customHeight="true" outlineLevel="0" collapsed="false">
      <c r="A16984" s="10" t="n">
        <f aca="false">Einstellungen!$B$5+INT((ROW()-9)/24)</f>
        <v>46673</v>
      </c>
      <c r="B16984" s="11" t="n">
        <f aca="false">MOD(ROW()-9,24)</f>
        <v>7</v>
      </c>
      <c r="C16984" s="12"/>
      <c r="D16984" s="13" t="n">
        <f aca="false">IF(B16984&lt;5,Einstellungen!$B$3,Einstellungen!$B$4)</f>
        <v>29.13</v>
      </c>
      <c r="E16984" s="14" t="str">
        <f aca="false">IF(C16984="","",C16984*D16984/100)</f>
        <v/>
      </c>
      <c r="F16984" s="15" t="str">
        <f aca="false">IF(B16984&lt;5,"Go","Standard")</f>
        <v>Standard</v>
      </c>
    </row>
    <row r="16985" customFormat="false" ht="15" hidden="false" customHeight="true" outlineLevel="0" collapsed="false">
      <c r="A16985" s="10" t="n">
        <f aca="false">Einstellungen!$B$5+INT((ROW()-9)/24)</f>
        <v>46673</v>
      </c>
      <c r="B16985" s="11" t="n">
        <f aca="false">MOD(ROW()-9,24)</f>
        <v>8</v>
      </c>
      <c r="C16985" s="12"/>
      <c r="D16985" s="13" t="n">
        <f aca="false">IF(B16985&lt;5,Einstellungen!$B$3,Einstellungen!$B$4)</f>
        <v>29.13</v>
      </c>
      <c r="E16985" s="14" t="str">
        <f aca="false">IF(C16985="","",C16985*D16985/100)</f>
        <v/>
      </c>
      <c r="F16985" s="15" t="str">
        <f aca="false">IF(B16985&lt;5,"Go","Standard")</f>
        <v>Standard</v>
      </c>
    </row>
    <row r="16986" customFormat="false" ht="15" hidden="false" customHeight="true" outlineLevel="0" collapsed="false">
      <c r="A16986" s="10" t="n">
        <f aca="false">Einstellungen!$B$5+INT((ROW()-9)/24)</f>
        <v>46673</v>
      </c>
      <c r="B16986" s="11" t="n">
        <f aca="false">MOD(ROW()-9,24)</f>
        <v>9</v>
      </c>
      <c r="C16986" s="12"/>
      <c r="D16986" s="13" t="n">
        <f aca="false">IF(B16986&lt;5,Einstellungen!$B$3,Einstellungen!$B$4)</f>
        <v>29.13</v>
      </c>
      <c r="E16986" s="14" t="str">
        <f aca="false">IF(C16986="","",C16986*D16986/100)</f>
        <v/>
      </c>
      <c r="F16986" s="15" t="str">
        <f aca="false">IF(B16986&lt;5,"Go","Standard")</f>
        <v>Standard</v>
      </c>
    </row>
    <row r="16987" customFormat="false" ht="15" hidden="false" customHeight="true" outlineLevel="0" collapsed="false">
      <c r="A16987" s="10" t="n">
        <f aca="false">Einstellungen!$B$5+INT((ROW()-9)/24)</f>
        <v>46673</v>
      </c>
      <c r="B16987" s="11" t="n">
        <f aca="false">MOD(ROW()-9,24)</f>
        <v>10</v>
      </c>
      <c r="C16987" s="12"/>
      <c r="D16987" s="13" t="n">
        <f aca="false">IF(B16987&lt;5,Einstellungen!$B$3,Einstellungen!$B$4)</f>
        <v>29.13</v>
      </c>
      <c r="E16987" s="14" t="str">
        <f aca="false">IF(C16987="","",C16987*D16987/100)</f>
        <v/>
      </c>
      <c r="F16987" s="15" t="str">
        <f aca="false">IF(B16987&lt;5,"Go","Standard")</f>
        <v>Standard</v>
      </c>
    </row>
    <row r="16988" customFormat="false" ht="15" hidden="false" customHeight="true" outlineLevel="0" collapsed="false">
      <c r="A16988" s="10" t="n">
        <f aca="false">Einstellungen!$B$5+INT((ROW()-9)/24)</f>
        <v>46673</v>
      </c>
      <c r="B16988" s="11" t="n">
        <f aca="false">MOD(ROW()-9,24)</f>
        <v>11</v>
      </c>
      <c r="C16988" s="12"/>
      <c r="D16988" s="13" t="n">
        <f aca="false">IF(B16988&lt;5,Einstellungen!$B$3,Einstellungen!$B$4)</f>
        <v>29.13</v>
      </c>
      <c r="E16988" s="14" t="str">
        <f aca="false">IF(C16988="","",C16988*D16988/100)</f>
        <v/>
      </c>
      <c r="F16988" s="15" t="str">
        <f aca="false">IF(B16988&lt;5,"Go","Standard")</f>
        <v>Standard</v>
      </c>
    </row>
    <row r="16989" customFormat="false" ht="15" hidden="false" customHeight="true" outlineLevel="0" collapsed="false">
      <c r="A16989" s="10" t="n">
        <f aca="false">Einstellungen!$B$5+INT((ROW()-9)/24)</f>
        <v>46673</v>
      </c>
      <c r="B16989" s="11" t="n">
        <f aca="false">MOD(ROW()-9,24)</f>
        <v>12</v>
      </c>
      <c r="C16989" s="12"/>
      <c r="D16989" s="13" t="n">
        <f aca="false">IF(B16989&lt;5,Einstellungen!$B$3,Einstellungen!$B$4)</f>
        <v>29.13</v>
      </c>
      <c r="E16989" s="14" t="str">
        <f aca="false">IF(C16989="","",C16989*D16989/100)</f>
        <v/>
      </c>
      <c r="F16989" s="15" t="str">
        <f aca="false">IF(B16989&lt;5,"Go","Standard")</f>
        <v>Standard</v>
      </c>
    </row>
    <row r="16990" customFormat="false" ht="15" hidden="false" customHeight="true" outlineLevel="0" collapsed="false">
      <c r="A16990" s="10" t="n">
        <f aca="false">Einstellungen!$B$5+INT((ROW()-9)/24)</f>
        <v>46673</v>
      </c>
      <c r="B16990" s="11" t="n">
        <f aca="false">MOD(ROW()-9,24)</f>
        <v>13</v>
      </c>
      <c r="C16990" s="12"/>
      <c r="D16990" s="13" t="n">
        <f aca="false">IF(B16990&lt;5,Einstellungen!$B$3,Einstellungen!$B$4)</f>
        <v>29.13</v>
      </c>
      <c r="E16990" s="14" t="str">
        <f aca="false">IF(C16990="","",C16990*D16990/100)</f>
        <v/>
      </c>
      <c r="F16990" s="15" t="str">
        <f aca="false">IF(B16990&lt;5,"Go","Standard")</f>
        <v>Standard</v>
      </c>
    </row>
    <row r="16991" customFormat="false" ht="15" hidden="false" customHeight="true" outlineLevel="0" collapsed="false">
      <c r="A16991" s="10" t="n">
        <f aca="false">Einstellungen!$B$5+INT((ROW()-9)/24)</f>
        <v>46673</v>
      </c>
      <c r="B16991" s="11" t="n">
        <f aca="false">MOD(ROW()-9,24)</f>
        <v>14</v>
      </c>
      <c r="C16991" s="12"/>
      <c r="D16991" s="13" t="n">
        <f aca="false">IF(B16991&lt;5,Einstellungen!$B$3,Einstellungen!$B$4)</f>
        <v>29.13</v>
      </c>
      <c r="E16991" s="14" t="str">
        <f aca="false">IF(C16991="","",C16991*D16991/100)</f>
        <v/>
      </c>
      <c r="F16991" s="15" t="str">
        <f aca="false">IF(B16991&lt;5,"Go","Standard")</f>
        <v>Standard</v>
      </c>
    </row>
    <row r="16992" customFormat="false" ht="15" hidden="false" customHeight="true" outlineLevel="0" collapsed="false">
      <c r="A16992" s="10" t="n">
        <f aca="false">Einstellungen!$B$5+INT((ROW()-9)/24)</f>
        <v>46673</v>
      </c>
      <c r="B16992" s="11" t="n">
        <f aca="false">MOD(ROW()-9,24)</f>
        <v>15</v>
      </c>
      <c r="C16992" s="12"/>
      <c r="D16992" s="13" t="n">
        <f aca="false">IF(B16992&lt;5,Einstellungen!$B$3,Einstellungen!$B$4)</f>
        <v>29.13</v>
      </c>
      <c r="E16992" s="14" t="str">
        <f aca="false">IF(C16992="","",C16992*D16992/100)</f>
        <v/>
      </c>
      <c r="F16992" s="15" t="str">
        <f aca="false">IF(B16992&lt;5,"Go","Standard")</f>
        <v>Standard</v>
      </c>
    </row>
    <row r="16993" customFormat="false" ht="15" hidden="false" customHeight="true" outlineLevel="0" collapsed="false">
      <c r="A16993" s="10" t="n">
        <f aca="false">Einstellungen!$B$5+INT((ROW()-9)/24)</f>
        <v>46673</v>
      </c>
      <c r="B16993" s="11" t="n">
        <f aca="false">MOD(ROW()-9,24)</f>
        <v>16</v>
      </c>
      <c r="C16993" s="12"/>
      <c r="D16993" s="13" t="n">
        <f aca="false">IF(B16993&lt;5,Einstellungen!$B$3,Einstellungen!$B$4)</f>
        <v>29.13</v>
      </c>
      <c r="E16993" s="14" t="str">
        <f aca="false">IF(C16993="","",C16993*D16993/100)</f>
        <v/>
      </c>
      <c r="F16993" s="15" t="str">
        <f aca="false">IF(B16993&lt;5,"Go","Standard")</f>
        <v>Standard</v>
      </c>
    </row>
    <row r="16994" customFormat="false" ht="15" hidden="false" customHeight="true" outlineLevel="0" collapsed="false">
      <c r="A16994" s="10" t="n">
        <f aca="false">Einstellungen!$B$5+INT((ROW()-9)/24)</f>
        <v>46673</v>
      </c>
      <c r="B16994" s="11" t="n">
        <f aca="false">MOD(ROW()-9,24)</f>
        <v>17</v>
      </c>
      <c r="C16994" s="12"/>
      <c r="D16994" s="13" t="n">
        <f aca="false">IF(B16994&lt;5,Einstellungen!$B$3,Einstellungen!$B$4)</f>
        <v>29.13</v>
      </c>
      <c r="E16994" s="14" t="str">
        <f aca="false">IF(C16994="","",C16994*D16994/100)</f>
        <v/>
      </c>
      <c r="F16994" s="15" t="str">
        <f aca="false">IF(B16994&lt;5,"Go","Standard")</f>
        <v>Standard</v>
      </c>
    </row>
    <row r="16995" customFormat="false" ht="15" hidden="false" customHeight="true" outlineLevel="0" collapsed="false">
      <c r="A16995" s="10" t="n">
        <f aca="false">Einstellungen!$B$5+INT((ROW()-9)/24)</f>
        <v>46673</v>
      </c>
      <c r="B16995" s="11" t="n">
        <f aca="false">MOD(ROW()-9,24)</f>
        <v>18</v>
      </c>
      <c r="C16995" s="12"/>
      <c r="D16995" s="13" t="n">
        <f aca="false">IF(B16995&lt;5,Einstellungen!$B$3,Einstellungen!$B$4)</f>
        <v>29.13</v>
      </c>
      <c r="E16995" s="14" t="str">
        <f aca="false">IF(C16995="","",C16995*D16995/100)</f>
        <v/>
      </c>
      <c r="F16995" s="15" t="str">
        <f aca="false">IF(B16995&lt;5,"Go","Standard")</f>
        <v>Standard</v>
      </c>
    </row>
    <row r="16996" customFormat="false" ht="15" hidden="false" customHeight="true" outlineLevel="0" collapsed="false">
      <c r="A16996" s="10" t="n">
        <f aca="false">Einstellungen!$B$5+INT((ROW()-9)/24)</f>
        <v>46673</v>
      </c>
      <c r="B16996" s="11" t="n">
        <f aca="false">MOD(ROW()-9,24)</f>
        <v>19</v>
      </c>
      <c r="C16996" s="12"/>
      <c r="D16996" s="13" t="n">
        <f aca="false">IF(B16996&lt;5,Einstellungen!$B$3,Einstellungen!$B$4)</f>
        <v>29.13</v>
      </c>
      <c r="E16996" s="14" t="str">
        <f aca="false">IF(C16996="","",C16996*D16996/100)</f>
        <v/>
      </c>
      <c r="F16996" s="15" t="str">
        <f aca="false">IF(B16996&lt;5,"Go","Standard")</f>
        <v>Standard</v>
      </c>
    </row>
    <row r="16997" customFormat="false" ht="15" hidden="false" customHeight="true" outlineLevel="0" collapsed="false">
      <c r="A16997" s="10" t="n">
        <f aca="false">Einstellungen!$B$5+INT((ROW()-9)/24)</f>
        <v>46673</v>
      </c>
      <c r="B16997" s="11" t="n">
        <f aca="false">MOD(ROW()-9,24)</f>
        <v>20</v>
      </c>
      <c r="C16997" s="12"/>
      <c r="D16997" s="13" t="n">
        <f aca="false">IF(B16997&lt;5,Einstellungen!$B$3,Einstellungen!$B$4)</f>
        <v>29.13</v>
      </c>
      <c r="E16997" s="14" t="str">
        <f aca="false">IF(C16997="","",C16997*D16997/100)</f>
        <v/>
      </c>
      <c r="F16997" s="15" t="str">
        <f aca="false">IF(B16997&lt;5,"Go","Standard")</f>
        <v>Standard</v>
      </c>
    </row>
    <row r="16998" customFormat="false" ht="15" hidden="false" customHeight="true" outlineLevel="0" collapsed="false">
      <c r="A16998" s="10" t="n">
        <f aca="false">Einstellungen!$B$5+INT((ROW()-9)/24)</f>
        <v>46673</v>
      </c>
      <c r="B16998" s="11" t="n">
        <f aca="false">MOD(ROW()-9,24)</f>
        <v>21</v>
      </c>
      <c r="C16998" s="12"/>
      <c r="D16998" s="13" t="n">
        <f aca="false">IF(B16998&lt;5,Einstellungen!$B$3,Einstellungen!$B$4)</f>
        <v>29.13</v>
      </c>
      <c r="E16998" s="14" t="str">
        <f aca="false">IF(C16998="","",C16998*D16998/100)</f>
        <v/>
      </c>
      <c r="F16998" s="15" t="str">
        <f aca="false">IF(B16998&lt;5,"Go","Standard")</f>
        <v>Standard</v>
      </c>
    </row>
    <row r="16999" customFormat="false" ht="15" hidden="false" customHeight="true" outlineLevel="0" collapsed="false">
      <c r="A16999" s="10" t="n">
        <f aca="false">Einstellungen!$B$5+INT((ROW()-9)/24)</f>
        <v>46673</v>
      </c>
      <c r="B16999" s="11" t="n">
        <f aca="false">MOD(ROW()-9,24)</f>
        <v>22</v>
      </c>
      <c r="C16999" s="12"/>
      <c r="D16999" s="13" t="n">
        <f aca="false">IF(B16999&lt;5,Einstellungen!$B$3,Einstellungen!$B$4)</f>
        <v>29.13</v>
      </c>
      <c r="E16999" s="14" t="str">
        <f aca="false">IF(C16999="","",C16999*D16999/100)</f>
        <v/>
      </c>
      <c r="F16999" s="15" t="str">
        <f aca="false">IF(B16999&lt;5,"Go","Standard")</f>
        <v>Standard</v>
      </c>
    </row>
    <row r="17000" customFormat="false" ht="15" hidden="false" customHeight="true" outlineLevel="0" collapsed="false">
      <c r="A17000" s="10" t="n">
        <f aca="false">Einstellungen!$B$5+INT((ROW()-9)/24)</f>
        <v>46673</v>
      </c>
      <c r="B17000" s="11" t="n">
        <f aca="false">MOD(ROW()-9,24)</f>
        <v>23</v>
      </c>
      <c r="C17000" s="12"/>
      <c r="D17000" s="13" t="n">
        <f aca="false">IF(B17000&lt;5,Einstellungen!$B$3,Einstellungen!$B$4)</f>
        <v>29.13</v>
      </c>
      <c r="E17000" s="14" t="str">
        <f aca="false">IF(C17000="","",C17000*D17000/100)</f>
        <v/>
      </c>
      <c r="F17000" s="15" t="str">
        <f aca="false">IF(B17000&lt;5,"Go","Standard")</f>
        <v>Standard</v>
      </c>
    </row>
    <row r="17001" customFormat="false" ht="15" hidden="false" customHeight="true" outlineLevel="0" collapsed="false">
      <c r="A17001" s="10" t="n">
        <f aca="false">Einstellungen!$B$5+INT((ROW()-9)/24)</f>
        <v>46674</v>
      </c>
      <c r="B17001" s="11" t="n">
        <f aca="false">MOD(ROW()-9,24)</f>
        <v>0</v>
      </c>
      <c r="C17001" s="12"/>
      <c r="D17001" s="13" t="n">
        <f aca="false">IF(B17001&lt;5,Einstellungen!$B$3,Einstellungen!$B$4)</f>
        <v>15.92</v>
      </c>
      <c r="E17001" s="14" t="str">
        <f aca="false">IF(C17001="","",C17001*D17001/100)</f>
        <v/>
      </c>
      <c r="F17001" s="15" t="str">
        <f aca="false">IF(B17001&lt;5,"Go","Standard")</f>
        <v>Go</v>
      </c>
    </row>
    <row r="17002" customFormat="false" ht="15" hidden="false" customHeight="true" outlineLevel="0" collapsed="false">
      <c r="A17002" s="10" t="n">
        <f aca="false">Einstellungen!$B$5+INT((ROW()-9)/24)</f>
        <v>46674</v>
      </c>
      <c r="B17002" s="11" t="n">
        <f aca="false">MOD(ROW()-9,24)</f>
        <v>1</v>
      </c>
      <c r="C17002" s="12"/>
      <c r="D17002" s="13" t="n">
        <f aca="false">IF(B17002&lt;5,Einstellungen!$B$3,Einstellungen!$B$4)</f>
        <v>15.92</v>
      </c>
      <c r="E17002" s="14" t="str">
        <f aca="false">IF(C17002="","",C17002*D17002/100)</f>
        <v/>
      </c>
      <c r="F17002" s="15" t="str">
        <f aca="false">IF(B17002&lt;5,"Go","Standard")</f>
        <v>Go</v>
      </c>
    </row>
    <row r="17003" customFormat="false" ht="15" hidden="false" customHeight="true" outlineLevel="0" collapsed="false">
      <c r="A17003" s="10" t="n">
        <f aca="false">Einstellungen!$B$5+INT((ROW()-9)/24)</f>
        <v>46674</v>
      </c>
      <c r="B17003" s="11" t="n">
        <f aca="false">MOD(ROW()-9,24)</f>
        <v>2</v>
      </c>
      <c r="C17003" s="12"/>
      <c r="D17003" s="13" t="n">
        <f aca="false">IF(B17003&lt;5,Einstellungen!$B$3,Einstellungen!$B$4)</f>
        <v>15.92</v>
      </c>
      <c r="E17003" s="14" t="str">
        <f aca="false">IF(C17003="","",C17003*D17003/100)</f>
        <v/>
      </c>
      <c r="F17003" s="15" t="str">
        <f aca="false">IF(B17003&lt;5,"Go","Standard")</f>
        <v>Go</v>
      </c>
    </row>
    <row r="17004" customFormat="false" ht="15" hidden="false" customHeight="true" outlineLevel="0" collapsed="false">
      <c r="A17004" s="10" t="n">
        <f aca="false">Einstellungen!$B$5+INT((ROW()-9)/24)</f>
        <v>46674</v>
      </c>
      <c r="B17004" s="11" t="n">
        <f aca="false">MOD(ROW()-9,24)</f>
        <v>3</v>
      </c>
      <c r="C17004" s="12"/>
      <c r="D17004" s="13" t="n">
        <f aca="false">IF(B17004&lt;5,Einstellungen!$B$3,Einstellungen!$B$4)</f>
        <v>15.92</v>
      </c>
      <c r="E17004" s="14" t="str">
        <f aca="false">IF(C17004="","",C17004*D17004/100)</f>
        <v/>
      </c>
      <c r="F17004" s="15" t="str">
        <f aca="false">IF(B17004&lt;5,"Go","Standard")</f>
        <v>Go</v>
      </c>
    </row>
    <row r="17005" customFormat="false" ht="15" hidden="false" customHeight="true" outlineLevel="0" collapsed="false">
      <c r="A17005" s="10" t="n">
        <f aca="false">Einstellungen!$B$5+INT((ROW()-9)/24)</f>
        <v>46674</v>
      </c>
      <c r="B17005" s="11" t="n">
        <f aca="false">MOD(ROW()-9,24)</f>
        <v>4</v>
      </c>
      <c r="C17005" s="12"/>
      <c r="D17005" s="13" t="n">
        <f aca="false">IF(B17005&lt;5,Einstellungen!$B$3,Einstellungen!$B$4)</f>
        <v>15.92</v>
      </c>
      <c r="E17005" s="14" t="str">
        <f aca="false">IF(C17005="","",C17005*D17005/100)</f>
        <v/>
      </c>
      <c r="F17005" s="15" t="str">
        <f aca="false">IF(B17005&lt;5,"Go","Standard")</f>
        <v>Go</v>
      </c>
    </row>
    <row r="17006" customFormat="false" ht="15" hidden="false" customHeight="true" outlineLevel="0" collapsed="false">
      <c r="A17006" s="10" t="n">
        <f aca="false">Einstellungen!$B$5+INT((ROW()-9)/24)</f>
        <v>46674</v>
      </c>
      <c r="B17006" s="11" t="n">
        <f aca="false">MOD(ROW()-9,24)</f>
        <v>5</v>
      </c>
      <c r="C17006" s="12"/>
      <c r="D17006" s="13" t="n">
        <f aca="false">IF(B17006&lt;5,Einstellungen!$B$3,Einstellungen!$B$4)</f>
        <v>29.13</v>
      </c>
      <c r="E17006" s="14" t="str">
        <f aca="false">IF(C17006="","",C17006*D17006/100)</f>
        <v/>
      </c>
      <c r="F17006" s="15" t="str">
        <f aca="false">IF(B17006&lt;5,"Go","Standard")</f>
        <v>Standard</v>
      </c>
    </row>
    <row r="17007" customFormat="false" ht="15" hidden="false" customHeight="true" outlineLevel="0" collapsed="false">
      <c r="A17007" s="10" t="n">
        <f aca="false">Einstellungen!$B$5+INT((ROW()-9)/24)</f>
        <v>46674</v>
      </c>
      <c r="B17007" s="11" t="n">
        <f aca="false">MOD(ROW()-9,24)</f>
        <v>6</v>
      </c>
      <c r="C17007" s="12"/>
      <c r="D17007" s="13" t="n">
        <f aca="false">IF(B17007&lt;5,Einstellungen!$B$3,Einstellungen!$B$4)</f>
        <v>29.13</v>
      </c>
      <c r="E17007" s="14" t="str">
        <f aca="false">IF(C17007="","",C17007*D17007/100)</f>
        <v/>
      </c>
      <c r="F17007" s="15" t="str">
        <f aca="false">IF(B17007&lt;5,"Go","Standard")</f>
        <v>Standard</v>
      </c>
    </row>
    <row r="17008" customFormat="false" ht="15" hidden="false" customHeight="true" outlineLevel="0" collapsed="false">
      <c r="A17008" s="10" t="n">
        <f aca="false">Einstellungen!$B$5+INT((ROW()-9)/24)</f>
        <v>46674</v>
      </c>
      <c r="B17008" s="11" t="n">
        <f aca="false">MOD(ROW()-9,24)</f>
        <v>7</v>
      </c>
      <c r="C17008" s="12"/>
      <c r="D17008" s="13" t="n">
        <f aca="false">IF(B17008&lt;5,Einstellungen!$B$3,Einstellungen!$B$4)</f>
        <v>29.13</v>
      </c>
      <c r="E17008" s="14" t="str">
        <f aca="false">IF(C17008="","",C17008*D17008/100)</f>
        <v/>
      </c>
      <c r="F17008" s="15" t="str">
        <f aca="false">IF(B17008&lt;5,"Go","Standard")</f>
        <v>Standard</v>
      </c>
    </row>
    <row r="17009" customFormat="false" ht="15" hidden="false" customHeight="true" outlineLevel="0" collapsed="false">
      <c r="A17009" s="10" t="n">
        <f aca="false">Einstellungen!$B$5+INT((ROW()-9)/24)</f>
        <v>46674</v>
      </c>
      <c r="B17009" s="11" t="n">
        <f aca="false">MOD(ROW()-9,24)</f>
        <v>8</v>
      </c>
      <c r="C17009" s="12"/>
      <c r="D17009" s="13" t="n">
        <f aca="false">IF(B17009&lt;5,Einstellungen!$B$3,Einstellungen!$B$4)</f>
        <v>29.13</v>
      </c>
      <c r="E17009" s="14" t="str">
        <f aca="false">IF(C17009="","",C17009*D17009/100)</f>
        <v/>
      </c>
      <c r="F17009" s="15" t="str">
        <f aca="false">IF(B17009&lt;5,"Go","Standard")</f>
        <v>Standard</v>
      </c>
    </row>
    <row r="17010" customFormat="false" ht="15" hidden="false" customHeight="true" outlineLevel="0" collapsed="false">
      <c r="A17010" s="10" t="n">
        <f aca="false">Einstellungen!$B$5+INT((ROW()-9)/24)</f>
        <v>46674</v>
      </c>
      <c r="B17010" s="11" t="n">
        <f aca="false">MOD(ROW()-9,24)</f>
        <v>9</v>
      </c>
      <c r="C17010" s="12"/>
      <c r="D17010" s="13" t="n">
        <f aca="false">IF(B17010&lt;5,Einstellungen!$B$3,Einstellungen!$B$4)</f>
        <v>29.13</v>
      </c>
      <c r="E17010" s="14" t="str">
        <f aca="false">IF(C17010="","",C17010*D17010/100)</f>
        <v/>
      </c>
      <c r="F17010" s="15" t="str">
        <f aca="false">IF(B17010&lt;5,"Go","Standard")</f>
        <v>Standard</v>
      </c>
    </row>
    <row r="17011" customFormat="false" ht="15" hidden="false" customHeight="true" outlineLevel="0" collapsed="false">
      <c r="A17011" s="10" t="n">
        <f aca="false">Einstellungen!$B$5+INT((ROW()-9)/24)</f>
        <v>46674</v>
      </c>
      <c r="B17011" s="11" t="n">
        <f aca="false">MOD(ROW()-9,24)</f>
        <v>10</v>
      </c>
      <c r="C17011" s="12"/>
      <c r="D17011" s="13" t="n">
        <f aca="false">IF(B17011&lt;5,Einstellungen!$B$3,Einstellungen!$B$4)</f>
        <v>29.13</v>
      </c>
      <c r="E17011" s="14" t="str">
        <f aca="false">IF(C17011="","",C17011*D17011/100)</f>
        <v/>
      </c>
      <c r="F17011" s="15" t="str">
        <f aca="false">IF(B17011&lt;5,"Go","Standard")</f>
        <v>Standard</v>
      </c>
    </row>
    <row r="17012" customFormat="false" ht="15" hidden="false" customHeight="true" outlineLevel="0" collapsed="false">
      <c r="A17012" s="10" t="n">
        <f aca="false">Einstellungen!$B$5+INT((ROW()-9)/24)</f>
        <v>46674</v>
      </c>
      <c r="B17012" s="11" t="n">
        <f aca="false">MOD(ROW()-9,24)</f>
        <v>11</v>
      </c>
      <c r="C17012" s="12"/>
      <c r="D17012" s="13" t="n">
        <f aca="false">IF(B17012&lt;5,Einstellungen!$B$3,Einstellungen!$B$4)</f>
        <v>29.13</v>
      </c>
      <c r="E17012" s="14" t="str">
        <f aca="false">IF(C17012="","",C17012*D17012/100)</f>
        <v/>
      </c>
      <c r="F17012" s="15" t="str">
        <f aca="false">IF(B17012&lt;5,"Go","Standard")</f>
        <v>Standard</v>
      </c>
    </row>
    <row r="17013" customFormat="false" ht="15" hidden="false" customHeight="true" outlineLevel="0" collapsed="false">
      <c r="A17013" s="10" t="n">
        <f aca="false">Einstellungen!$B$5+INT((ROW()-9)/24)</f>
        <v>46674</v>
      </c>
      <c r="B17013" s="11" t="n">
        <f aca="false">MOD(ROW()-9,24)</f>
        <v>12</v>
      </c>
      <c r="C17013" s="12"/>
      <c r="D17013" s="13" t="n">
        <f aca="false">IF(B17013&lt;5,Einstellungen!$B$3,Einstellungen!$B$4)</f>
        <v>29.13</v>
      </c>
      <c r="E17013" s="14" t="str">
        <f aca="false">IF(C17013="","",C17013*D17013/100)</f>
        <v/>
      </c>
      <c r="F17013" s="15" t="str">
        <f aca="false">IF(B17013&lt;5,"Go","Standard")</f>
        <v>Standard</v>
      </c>
    </row>
    <row r="17014" customFormat="false" ht="15" hidden="false" customHeight="true" outlineLevel="0" collapsed="false">
      <c r="A17014" s="10" t="n">
        <f aca="false">Einstellungen!$B$5+INT((ROW()-9)/24)</f>
        <v>46674</v>
      </c>
      <c r="B17014" s="11" t="n">
        <f aca="false">MOD(ROW()-9,24)</f>
        <v>13</v>
      </c>
      <c r="C17014" s="12"/>
      <c r="D17014" s="13" t="n">
        <f aca="false">IF(B17014&lt;5,Einstellungen!$B$3,Einstellungen!$B$4)</f>
        <v>29.13</v>
      </c>
      <c r="E17014" s="14" t="str">
        <f aca="false">IF(C17014="","",C17014*D17014/100)</f>
        <v/>
      </c>
      <c r="F17014" s="15" t="str">
        <f aca="false">IF(B17014&lt;5,"Go","Standard")</f>
        <v>Standard</v>
      </c>
    </row>
    <row r="17015" customFormat="false" ht="15" hidden="false" customHeight="true" outlineLevel="0" collapsed="false">
      <c r="A17015" s="10" t="n">
        <f aca="false">Einstellungen!$B$5+INT((ROW()-9)/24)</f>
        <v>46674</v>
      </c>
      <c r="B17015" s="11" t="n">
        <f aca="false">MOD(ROW()-9,24)</f>
        <v>14</v>
      </c>
      <c r="C17015" s="12"/>
      <c r="D17015" s="13" t="n">
        <f aca="false">IF(B17015&lt;5,Einstellungen!$B$3,Einstellungen!$B$4)</f>
        <v>29.13</v>
      </c>
      <c r="E17015" s="14" t="str">
        <f aca="false">IF(C17015="","",C17015*D17015/100)</f>
        <v/>
      </c>
      <c r="F17015" s="15" t="str">
        <f aca="false">IF(B17015&lt;5,"Go","Standard")</f>
        <v>Standard</v>
      </c>
    </row>
    <row r="17016" customFormat="false" ht="15" hidden="false" customHeight="true" outlineLevel="0" collapsed="false">
      <c r="A17016" s="10" t="n">
        <f aca="false">Einstellungen!$B$5+INT((ROW()-9)/24)</f>
        <v>46674</v>
      </c>
      <c r="B17016" s="11" t="n">
        <f aca="false">MOD(ROW()-9,24)</f>
        <v>15</v>
      </c>
      <c r="C17016" s="12"/>
      <c r="D17016" s="13" t="n">
        <f aca="false">IF(B17016&lt;5,Einstellungen!$B$3,Einstellungen!$B$4)</f>
        <v>29.13</v>
      </c>
      <c r="E17016" s="14" t="str">
        <f aca="false">IF(C17016="","",C17016*D17016/100)</f>
        <v/>
      </c>
      <c r="F17016" s="15" t="str">
        <f aca="false">IF(B17016&lt;5,"Go","Standard")</f>
        <v>Standard</v>
      </c>
    </row>
    <row r="17017" customFormat="false" ht="15" hidden="false" customHeight="true" outlineLevel="0" collapsed="false">
      <c r="A17017" s="10" t="n">
        <f aca="false">Einstellungen!$B$5+INT((ROW()-9)/24)</f>
        <v>46674</v>
      </c>
      <c r="B17017" s="11" t="n">
        <f aca="false">MOD(ROW()-9,24)</f>
        <v>16</v>
      </c>
      <c r="C17017" s="12"/>
      <c r="D17017" s="13" t="n">
        <f aca="false">IF(B17017&lt;5,Einstellungen!$B$3,Einstellungen!$B$4)</f>
        <v>29.13</v>
      </c>
      <c r="E17017" s="14" t="str">
        <f aca="false">IF(C17017="","",C17017*D17017/100)</f>
        <v/>
      </c>
      <c r="F17017" s="15" t="str">
        <f aca="false">IF(B17017&lt;5,"Go","Standard")</f>
        <v>Standard</v>
      </c>
    </row>
    <row r="17018" customFormat="false" ht="15" hidden="false" customHeight="true" outlineLevel="0" collapsed="false">
      <c r="A17018" s="10" t="n">
        <f aca="false">Einstellungen!$B$5+INT((ROW()-9)/24)</f>
        <v>46674</v>
      </c>
      <c r="B17018" s="11" t="n">
        <f aca="false">MOD(ROW()-9,24)</f>
        <v>17</v>
      </c>
      <c r="C17018" s="12"/>
      <c r="D17018" s="13" t="n">
        <f aca="false">IF(B17018&lt;5,Einstellungen!$B$3,Einstellungen!$B$4)</f>
        <v>29.13</v>
      </c>
      <c r="E17018" s="14" t="str">
        <f aca="false">IF(C17018="","",C17018*D17018/100)</f>
        <v/>
      </c>
      <c r="F17018" s="15" t="str">
        <f aca="false">IF(B17018&lt;5,"Go","Standard")</f>
        <v>Standard</v>
      </c>
    </row>
    <row r="17019" customFormat="false" ht="15" hidden="false" customHeight="true" outlineLevel="0" collapsed="false">
      <c r="A17019" s="10" t="n">
        <f aca="false">Einstellungen!$B$5+INT((ROW()-9)/24)</f>
        <v>46674</v>
      </c>
      <c r="B17019" s="11" t="n">
        <f aca="false">MOD(ROW()-9,24)</f>
        <v>18</v>
      </c>
      <c r="C17019" s="12"/>
      <c r="D17019" s="13" t="n">
        <f aca="false">IF(B17019&lt;5,Einstellungen!$B$3,Einstellungen!$B$4)</f>
        <v>29.13</v>
      </c>
      <c r="E17019" s="14" t="str">
        <f aca="false">IF(C17019="","",C17019*D17019/100)</f>
        <v/>
      </c>
      <c r="F17019" s="15" t="str">
        <f aca="false">IF(B17019&lt;5,"Go","Standard")</f>
        <v>Standard</v>
      </c>
    </row>
    <row r="17020" customFormat="false" ht="15" hidden="false" customHeight="true" outlineLevel="0" collapsed="false">
      <c r="A17020" s="10" t="n">
        <f aca="false">Einstellungen!$B$5+INT((ROW()-9)/24)</f>
        <v>46674</v>
      </c>
      <c r="B17020" s="11" t="n">
        <f aca="false">MOD(ROW()-9,24)</f>
        <v>19</v>
      </c>
      <c r="C17020" s="12"/>
      <c r="D17020" s="13" t="n">
        <f aca="false">IF(B17020&lt;5,Einstellungen!$B$3,Einstellungen!$B$4)</f>
        <v>29.13</v>
      </c>
      <c r="E17020" s="14" t="str">
        <f aca="false">IF(C17020="","",C17020*D17020/100)</f>
        <v/>
      </c>
      <c r="F17020" s="15" t="str">
        <f aca="false">IF(B17020&lt;5,"Go","Standard")</f>
        <v>Standard</v>
      </c>
    </row>
    <row r="17021" customFormat="false" ht="15" hidden="false" customHeight="true" outlineLevel="0" collapsed="false">
      <c r="A17021" s="10" t="n">
        <f aca="false">Einstellungen!$B$5+INT((ROW()-9)/24)</f>
        <v>46674</v>
      </c>
      <c r="B17021" s="11" t="n">
        <f aca="false">MOD(ROW()-9,24)</f>
        <v>20</v>
      </c>
      <c r="C17021" s="12"/>
      <c r="D17021" s="13" t="n">
        <f aca="false">IF(B17021&lt;5,Einstellungen!$B$3,Einstellungen!$B$4)</f>
        <v>29.13</v>
      </c>
      <c r="E17021" s="14" t="str">
        <f aca="false">IF(C17021="","",C17021*D17021/100)</f>
        <v/>
      </c>
      <c r="F17021" s="15" t="str">
        <f aca="false">IF(B17021&lt;5,"Go","Standard")</f>
        <v>Standard</v>
      </c>
    </row>
    <row r="17022" customFormat="false" ht="15" hidden="false" customHeight="true" outlineLevel="0" collapsed="false">
      <c r="A17022" s="10" t="n">
        <f aca="false">Einstellungen!$B$5+INT((ROW()-9)/24)</f>
        <v>46674</v>
      </c>
      <c r="B17022" s="11" t="n">
        <f aca="false">MOD(ROW()-9,24)</f>
        <v>21</v>
      </c>
      <c r="C17022" s="12"/>
      <c r="D17022" s="13" t="n">
        <f aca="false">IF(B17022&lt;5,Einstellungen!$B$3,Einstellungen!$B$4)</f>
        <v>29.13</v>
      </c>
      <c r="E17022" s="14" t="str">
        <f aca="false">IF(C17022="","",C17022*D17022/100)</f>
        <v/>
      </c>
      <c r="F17022" s="15" t="str">
        <f aca="false">IF(B17022&lt;5,"Go","Standard")</f>
        <v>Standard</v>
      </c>
    </row>
    <row r="17023" customFormat="false" ht="15" hidden="false" customHeight="true" outlineLevel="0" collapsed="false">
      <c r="A17023" s="10" t="n">
        <f aca="false">Einstellungen!$B$5+INT((ROW()-9)/24)</f>
        <v>46674</v>
      </c>
      <c r="B17023" s="11" t="n">
        <f aca="false">MOD(ROW()-9,24)</f>
        <v>22</v>
      </c>
      <c r="C17023" s="12"/>
      <c r="D17023" s="13" t="n">
        <f aca="false">IF(B17023&lt;5,Einstellungen!$B$3,Einstellungen!$B$4)</f>
        <v>29.13</v>
      </c>
      <c r="E17023" s="14" t="str">
        <f aca="false">IF(C17023="","",C17023*D17023/100)</f>
        <v/>
      </c>
      <c r="F17023" s="15" t="str">
        <f aca="false">IF(B17023&lt;5,"Go","Standard")</f>
        <v>Standard</v>
      </c>
    </row>
    <row r="17024" customFormat="false" ht="15" hidden="false" customHeight="true" outlineLevel="0" collapsed="false">
      <c r="A17024" s="10" t="n">
        <f aca="false">Einstellungen!$B$5+INT((ROW()-9)/24)</f>
        <v>46674</v>
      </c>
      <c r="B17024" s="11" t="n">
        <f aca="false">MOD(ROW()-9,24)</f>
        <v>23</v>
      </c>
      <c r="C17024" s="12"/>
      <c r="D17024" s="13" t="n">
        <f aca="false">IF(B17024&lt;5,Einstellungen!$B$3,Einstellungen!$B$4)</f>
        <v>29.13</v>
      </c>
      <c r="E17024" s="14" t="str">
        <f aca="false">IF(C17024="","",C17024*D17024/100)</f>
        <v/>
      </c>
      <c r="F17024" s="15" t="str">
        <f aca="false">IF(B17024&lt;5,"Go","Standard")</f>
        <v>Standard</v>
      </c>
    </row>
    <row r="17025" customFormat="false" ht="15" hidden="false" customHeight="true" outlineLevel="0" collapsed="false">
      <c r="A17025" s="10" t="n">
        <f aca="false">Einstellungen!$B$5+INT((ROW()-9)/24)</f>
        <v>46675</v>
      </c>
      <c r="B17025" s="11" t="n">
        <f aca="false">MOD(ROW()-9,24)</f>
        <v>0</v>
      </c>
      <c r="C17025" s="12"/>
      <c r="D17025" s="13" t="n">
        <f aca="false">IF(B17025&lt;5,Einstellungen!$B$3,Einstellungen!$B$4)</f>
        <v>15.92</v>
      </c>
      <c r="E17025" s="14" t="str">
        <f aca="false">IF(C17025="","",C17025*D17025/100)</f>
        <v/>
      </c>
      <c r="F17025" s="15" t="str">
        <f aca="false">IF(B17025&lt;5,"Go","Standard")</f>
        <v>Go</v>
      </c>
    </row>
    <row r="17026" customFormat="false" ht="15" hidden="false" customHeight="true" outlineLevel="0" collapsed="false">
      <c r="A17026" s="10" t="n">
        <f aca="false">Einstellungen!$B$5+INT((ROW()-9)/24)</f>
        <v>46675</v>
      </c>
      <c r="B17026" s="11" t="n">
        <f aca="false">MOD(ROW()-9,24)</f>
        <v>1</v>
      </c>
      <c r="C17026" s="12"/>
      <c r="D17026" s="13" t="n">
        <f aca="false">IF(B17026&lt;5,Einstellungen!$B$3,Einstellungen!$B$4)</f>
        <v>15.92</v>
      </c>
      <c r="E17026" s="14" t="str">
        <f aca="false">IF(C17026="","",C17026*D17026/100)</f>
        <v/>
      </c>
      <c r="F17026" s="15" t="str">
        <f aca="false">IF(B17026&lt;5,"Go","Standard")</f>
        <v>Go</v>
      </c>
    </row>
    <row r="17027" customFormat="false" ht="15" hidden="false" customHeight="true" outlineLevel="0" collapsed="false">
      <c r="A17027" s="10" t="n">
        <f aca="false">Einstellungen!$B$5+INT((ROW()-9)/24)</f>
        <v>46675</v>
      </c>
      <c r="B17027" s="11" t="n">
        <f aca="false">MOD(ROW()-9,24)</f>
        <v>2</v>
      </c>
      <c r="C17027" s="12"/>
      <c r="D17027" s="13" t="n">
        <f aca="false">IF(B17027&lt;5,Einstellungen!$B$3,Einstellungen!$B$4)</f>
        <v>15.92</v>
      </c>
      <c r="E17027" s="14" t="str">
        <f aca="false">IF(C17027="","",C17027*D17027/100)</f>
        <v/>
      </c>
      <c r="F17027" s="15" t="str">
        <f aca="false">IF(B17027&lt;5,"Go","Standard")</f>
        <v>Go</v>
      </c>
    </row>
    <row r="17028" customFormat="false" ht="15" hidden="false" customHeight="true" outlineLevel="0" collapsed="false">
      <c r="A17028" s="10" t="n">
        <f aca="false">Einstellungen!$B$5+INT((ROW()-9)/24)</f>
        <v>46675</v>
      </c>
      <c r="B17028" s="11" t="n">
        <f aca="false">MOD(ROW()-9,24)</f>
        <v>3</v>
      </c>
      <c r="C17028" s="12"/>
      <c r="D17028" s="13" t="n">
        <f aca="false">IF(B17028&lt;5,Einstellungen!$B$3,Einstellungen!$B$4)</f>
        <v>15.92</v>
      </c>
      <c r="E17028" s="14" t="str">
        <f aca="false">IF(C17028="","",C17028*D17028/100)</f>
        <v/>
      </c>
      <c r="F17028" s="15" t="str">
        <f aca="false">IF(B17028&lt;5,"Go","Standard")</f>
        <v>Go</v>
      </c>
    </row>
    <row r="17029" customFormat="false" ht="15" hidden="false" customHeight="true" outlineLevel="0" collapsed="false">
      <c r="A17029" s="10" t="n">
        <f aca="false">Einstellungen!$B$5+INT((ROW()-9)/24)</f>
        <v>46675</v>
      </c>
      <c r="B17029" s="11" t="n">
        <f aca="false">MOD(ROW()-9,24)</f>
        <v>4</v>
      </c>
      <c r="C17029" s="12"/>
      <c r="D17029" s="13" t="n">
        <f aca="false">IF(B17029&lt;5,Einstellungen!$B$3,Einstellungen!$B$4)</f>
        <v>15.92</v>
      </c>
      <c r="E17029" s="14" t="str">
        <f aca="false">IF(C17029="","",C17029*D17029/100)</f>
        <v/>
      </c>
      <c r="F17029" s="15" t="str">
        <f aca="false">IF(B17029&lt;5,"Go","Standard")</f>
        <v>Go</v>
      </c>
    </row>
    <row r="17030" customFormat="false" ht="15" hidden="false" customHeight="true" outlineLevel="0" collapsed="false">
      <c r="A17030" s="10" t="n">
        <f aca="false">Einstellungen!$B$5+INT((ROW()-9)/24)</f>
        <v>46675</v>
      </c>
      <c r="B17030" s="11" t="n">
        <f aca="false">MOD(ROW()-9,24)</f>
        <v>5</v>
      </c>
      <c r="C17030" s="12"/>
      <c r="D17030" s="13" t="n">
        <f aca="false">IF(B17030&lt;5,Einstellungen!$B$3,Einstellungen!$B$4)</f>
        <v>29.13</v>
      </c>
      <c r="E17030" s="14" t="str">
        <f aca="false">IF(C17030="","",C17030*D17030/100)</f>
        <v/>
      </c>
      <c r="F17030" s="15" t="str">
        <f aca="false">IF(B17030&lt;5,"Go","Standard")</f>
        <v>Standard</v>
      </c>
    </row>
    <row r="17031" customFormat="false" ht="15" hidden="false" customHeight="true" outlineLevel="0" collapsed="false">
      <c r="A17031" s="10" t="n">
        <f aca="false">Einstellungen!$B$5+INT((ROW()-9)/24)</f>
        <v>46675</v>
      </c>
      <c r="B17031" s="11" t="n">
        <f aca="false">MOD(ROW()-9,24)</f>
        <v>6</v>
      </c>
      <c r="C17031" s="12"/>
      <c r="D17031" s="13" t="n">
        <f aca="false">IF(B17031&lt;5,Einstellungen!$B$3,Einstellungen!$B$4)</f>
        <v>29.13</v>
      </c>
      <c r="E17031" s="14" t="str">
        <f aca="false">IF(C17031="","",C17031*D17031/100)</f>
        <v/>
      </c>
      <c r="F17031" s="15" t="str">
        <f aca="false">IF(B17031&lt;5,"Go","Standard")</f>
        <v>Standard</v>
      </c>
    </row>
    <row r="17032" customFormat="false" ht="15" hidden="false" customHeight="true" outlineLevel="0" collapsed="false">
      <c r="A17032" s="10" t="n">
        <f aca="false">Einstellungen!$B$5+INT((ROW()-9)/24)</f>
        <v>46675</v>
      </c>
      <c r="B17032" s="11" t="n">
        <f aca="false">MOD(ROW()-9,24)</f>
        <v>7</v>
      </c>
      <c r="C17032" s="12"/>
      <c r="D17032" s="13" t="n">
        <f aca="false">IF(B17032&lt;5,Einstellungen!$B$3,Einstellungen!$B$4)</f>
        <v>29.13</v>
      </c>
      <c r="E17032" s="14" t="str">
        <f aca="false">IF(C17032="","",C17032*D17032/100)</f>
        <v/>
      </c>
      <c r="F17032" s="15" t="str">
        <f aca="false">IF(B17032&lt;5,"Go","Standard")</f>
        <v>Standard</v>
      </c>
    </row>
    <row r="17033" customFormat="false" ht="15" hidden="false" customHeight="true" outlineLevel="0" collapsed="false">
      <c r="A17033" s="10" t="n">
        <f aca="false">Einstellungen!$B$5+INT((ROW()-9)/24)</f>
        <v>46675</v>
      </c>
      <c r="B17033" s="11" t="n">
        <f aca="false">MOD(ROW()-9,24)</f>
        <v>8</v>
      </c>
      <c r="C17033" s="12"/>
      <c r="D17033" s="13" t="n">
        <f aca="false">IF(B17033&lt;5,Einstellungen!$B$3,Einstellungen!$B$4)</f>
        <v>29.13</v>
      </c>
      <c r="E17033" s="14" t="str">
        <f aca="false">IF(C17033="","",C17033*D17033/100)</f>
        <v/>
      </c>
      <c r="F17033" s="15" t="str">
        <f aca="false">IF(B17033&lt;5,"Go","Standard")</f>
        <v>Standard</v>
      </c>
    </row>
    <row r="17034" customFormat="false" ht="15" hidden="false" customHeight="true" outlineLevel="0" collapsed="false">
      <c r="A17034" s="10" t="n">
        <f aca="false">Einstellungen!$B$5+INT((ROW()-9)/24)</f>
        <v>46675</v>
      </c>
      <c r="B17034" s="11" t="n">
        <f aca="false">MOD(ROW()-9,24)</f>
        <v>9</v>
      </c>
      <c r="C17034" s="12"/>
      <c r="D17034" s="13" t="n">
        <f aca="false">IF(B17034&lt;5,Einstellungen!$B$3,Einstellungen!$B$4)</f>
        <v>29.13</v>
      </c>
      <c r="E17034" s="14" t="str">
        <f aca="false">IF(C17034="","",C17034*D17034/100)</f>
        <v/>
      </c>
      <c r="F17034" s="15" t="str">
        <f aca="false">IF(B17034&lt;5,"Go","Standard")</f>
        <v>Standard</v>
      </c>
    </row>
    <row r="17035" customFormat="false" ht="15" hidden="false" customHeight="true" outlineLevel="0" collapsed="false">
      <c r="A17035" s="10" t="n">
        <f aca="false">Einstellungen!$B$5+INT((ROW()-9)/24)</f>
        <v>46675</v>
      </c>
      <c r="B17035" s="11" t="n">
        <f aca="false">MOD(ROW()-9,24)</f>
        <v>10</v>
      </c>
      <c r="C17035" s="12"/>
      <c r="D17035" s="13" t="n">
        <f aca="false">IF(B17035&lt;5,Einstellungen!$B$3,Einstellungen!$B$4)</f>
        <v>29.13</v>
      </c>
      <c r="E17035" s="14" t="str">
        <f aca="false">IF(C17035="","",C17035*D17035/100)</f>
        <v/>
      </c>
      <c r="F17035" s="15" t="str">
        <f aca="false">IF(B17035&lt;5,"Go","Standard")</f>
        <v>Standard</v>
      </c>
    </row>
    <row r="17036" customFormat="false" ht="15" hidden="false" customHeight="true" outlineLevel="0" collapsed="false">
      <c r="A17036" s="10" t="n">
        <f aca="false">Einstellungen!$B$5+INT((ROW()-9)/24)</f>
        <v>46675</v>
      </c>
      <c r="B17036" s="11" t="n">
        <f aca="false">MOD(ROW()-9,24)</f>
        <v>11</v>
      </c>
      <c r="C17036" s="12"/>
      <c r="D17036" s="13" t="n">
        <f aca="false">IF(B17036&lt;5,Einstellungen!$B$3,Einstellungen!$B$4)</f>
        <v>29.13</v>
      </c>
      <c r="E17036" s="14" t="str">
        <f aca="false">IF(C17036="","",C17036*D17036/100)</f>
        <v/>
      </c>
      <c r="F17036" s="15" t="str">
        <f aca="false">IF(B17036&lt;5,"Go","Standard")</f>
        <v>Standard</v>
      </c>
    </row>
    <row r="17037" customFormat="false" ht="15" hidden="false" customHeight="true" outlineLevel="0" collapsed="false">
      <c r="A17037" s="10" t="n">
        <f aca="false">Einstellungen!$B$5+INT((ROW()-9)/24)</f>
        <v>46675</v>
      </c>
      <c r="B17037" s="11" t="n">
        <f aca="false">MOD(ROW()-9,24)</f>
        <v>12</v>
      </c>
      <c r="C17037" s="12"/>
      <c r="D17037" s="13" t="n">
        <f aca="false">IF(B17037&lt;5,Einstellungen!$B$3,Einstellungen!$B$4)</f>
        <v>29.13</v>
      </c>
      <c r="E17037" s="14" t="str">
        <f aca="false">IF(C17037="","",C17037*D17037/100)</f>
        <v/>
      </c>
      <c r="F17037" s="15" t="str">
        <f aca="false">IF(B17037&lt;5,"Go","Standard")</f>
        <v>Standard</v>
      </c>
    </row>
    <row r="17038" customFormat="false" ht="15" hidden="false" customHeight="true" outlineLevel="0" collapsed="false">
      <c r="A17038" s="10" t="n">
        <f aca="false">Einstellungen!$B$5+INT((ROW()-9)/24)</f>
        <v>46675</v>
      </c>
      <c r="B17038" s="11" t="n">
        <f aca="false">MOD(ROW()-9,24)</f>
        <v>13</v>
      </c>
      <c r="C17038" s="12"/>
      <c r="D17038" s="13" t="n">
        <f aca="false">IF(B17038&lt;5,Einstellungen!$B$3,Einstellungen!$B$4)</f>
        <v>29.13</v>
      </c>
      <c r="E17038" s="14" t="str">
        <f aca="false">IF(C17038="","",C17038*D17038/100)</f>
        <v/>
      </c>
      <c r="F17038" s="15" t="str">
        <f aca="false">IF(B17038&lt;5,"Go","Standard")</f>
        <v>Standard</v>
      </c>
    </row>
    <row r="17039" customFormat="false" ht="15" hidden="false" customHeight="true" outlineLevel="0" collapsed="false">
      <c r="A17039" s="10" t="n">
        <f aca="false">Einstellungen!$B$5+INT((ROW()-9)/24)</f>
        <v>46675</v>
      </c>
      <c r="B17039" s="11" t="n">
        <f aca="false">MOD(ROW()-9,24)</f>
        <v>14</v>
      </c>
      <c r="C17039" s="12"/>
      <c r="D17039" s="13" t="n">
        <f aca="false">IF(B17039&lt;5,Einstellungen!$B$3,Einstellungen!$B$4)</f>
        <v>29.13</v>
      </c>
      <c r="E17039" s="14" t="str">
        <f aca="false">IF(C17039="","",C17039*D17039/100)</f>
        <v/>
      </c>
      <c r="F17039" s="15" t="str">
        <f aca="false">IF(B17039&lt;5,"Go","Standard")</f>
        <v>Standard</v>
      </c>
    </row>
    <row r="17040" customFormat="false" ht="15" hidden="false" customHeight="true" outlineLevel="0" collapsed="false">
      <c r="A17040" s="10" t="n">
        <f aca="false">Einstellungen!$B$5+INT((ROW()-9)/24)</f>
        <v>46675</v>
      </c>
      <c r="B17040" s="11" t="n">
        <f aca="false">MOD(ROW()-9,24)</f>
        <v>15</v>
      </c>
      <c r="C17040" s="12"/>
      <c r="D17040" s="13" t="n">
        <f aca="false">IF(B17040&lt;5,Einstellungen!$B$3,Einstellungen!$B$4)</f>
        <v>29.13</v>
      </c>
      <c r="E17040" s="14" t="str">
        <f aca="false">IF(C17040="","",C17040*D17040/100)</f>
        <v/>
      </c>
      <c r="F17040" s="15" t="str">
        <f aca="false">IF(B17040&lt;5,"Go","Standard")</f>
        <v>Standard</v>
      </c>
    </row>
    <row r="17041" customFormat="false" ht="15" hidden="false" customHeight="true" outlineLevel="0" collapsed="false">
      <c r="A17041" s="10" t="n">
        <f aca="false">Einstellungen!$B$5+INT((ROW()-9)/24)</f>
        <v>46675</v>
      </c>
      <c r="B17041" s="11" t="n">
        <f aca="false">MOD(ROW()-9,24)</f>
        <v>16</v>
      </c>
      <c r="C17041" s="12"/>
      <c r="D17041" s="13" t="n">
        <f aca="false">IF(B17041&lt;5,Einstellungen!$B$3,Einstellungen!$B$4)</f>
        <v>29.13</v>
      </c>
      <c r="E17041" s="14" t="str">
        <f aca="false">IF(C17041="","",C17041*D17041/100)</f>
        <v/>
      </c>
      <c r="F17041" s="15" t="str">
        <f aca="false">IF(B17041&lt;5,"Go","Standard")</f>
        <v>Standard</v>
      </c>
    </row>
    <row r="17042" customFormat="false" ht="15" hidden="false" customHeight="true" outlineLevel="0" collapsed="false">
      <c r="A17042" s="10" t="n">
        <f aca="false">Einstellungen!$B$5+INT((ROW()-9)/24)</f>
        <v>46675</v>
      </c>
      <c r="B17042" s="11" t="n">
        <f aca="false">MOD(ROW()-9,24)</f>
        <v>17</v>
      </c>
      <c r="C17042" s="12"/>
      <c r="D17042" s="13" t="n">
        <f aca="false">IF(B17042&lt;5,Einstellungen!$B$3,Einstellungen!$B$4)</f>
        <v>29.13</v>
      </c>
      <c r="E17042" s="14" t="str">
        <f aca="false">IF(C17042="","",C17042*D17042/100)</f>
        <v/>
      </c>
      <c r="F17042" s="15" t="str">
        <f aca="false">IF(B17042&lt;5,"Go","Standard")</f>
        <v>Standard</v>
      </c>
    </row>
    <row r="17043" customFormat="false" ht="15" hidden="false" customHeight="true" outlineLevel="0" collapsed="false">
      <c r="A17043" s="10" t="n">
        <f aca="false">Einstellungen!$B$5+INT((ROW()-9)/24)</f>
        <v>46675</v>
      </c>
      <c r="B17043" s="11" t="n">
        <f aca="false">MOD(ROW()-9,24)</f>
        <v>18</v>
      </c>
      <c r="C17043" s="12"/>
      <c r="D17043" s="13" t="n">
        <f aca="false">IF(B17043&lt;5,Einstellungen!$B$3,Einstellungen!$B$4)</f>
        <v>29.13</v>
      </c>
      <c r="E17043" s="14" t="str">
        <f aca="false">IF(C17043="","",C17043*D17043/100)</f>
        <v/>
      </c>
      <c r="F17043" s="15" t="str">
        <f aca="false">IF(B17043&lt;5,"Go","Standard")</f>
        <v>Standard</v>
      </c>
    </row>
    <row r="17044" customFormat="false" ht="15" hidden="false" customHeight="true" outlineLevel="0" collapsed="false">
      <c r="A17044" s="10" t="n">
        <f aca="false">Einstellungen!$B$5+INT((ROW()-9)/24)</f>
        <v>46675</v>
      </c>
      <c r="B17044" s="11" t="n">
        <f aca="false">MOD(ROW()-9,24)</f>
        <v>19</v>
      </c>
      <c r="C17044" s="12"/>
      <c r="D17044" s="13" t="n">
        <f aca="false">IF(B17044&lt;5,Einstellungen!$B$3,Einstellungen!$B$4)</f>
        <v>29.13</v>
      </c>
      <c r="E17044" s="14" t="str">
        <f aca="false">IF(C17044="","",C17044*D17044/100)</f>
        <v/>
      </c>
      <c r="F17044" s="15" t="str">
        <f aca="false">IF(B17044&lt;5,"Go","Standard")</f>
        <v>Standard</v>
      </c>
    </row>
    <row r="17045" customFormat="false" ht="15" hidden="false" customHeight="true" outlineLevel="0" collapsed="false">
      <c r="A17045" s="10" t="n">
        <f aca="false">Einstellungen!$B$5+INT((ROW()-9)/24)</f>
        <v>46675</v>
      </c>
      <c r="B17045" s="11" t="n">
        <f aca="false">MOD(ROW()-9,24)</f>
        <v>20</v>
      </c>
      <c r="C17045" s="12"/>
      <c r="D17045" s="13" t="n">
        <f aca="false">IF(B17045&lt;5,Einstellungen!$B$3,Einstellungen!$B$4)</f>
        <v>29.13</v>
      </c>
      <c r="E17045" s="14" t="str">
        <f aca="false">IF(C17045="","",C17045*D17045/100)</f>
        <v/>
      </c>
      <c r="F17045" s="15" t="str">
        <f aca="false">IF(B17045&lt;5,"Go","Standard")</f>
        <v>Standard</v>
      </c>
    </row>
    <row r="17046" customFormat="false" ht="15" hidden="false" customHeight="true" outlineLevel="0" collapsed="false">
      <c r="A17046" s="10" t="n">
        <f aca="false">Einstellungen!$B$5+INT((ROW()-9)/24)</f>
        <v>46675</v>
      </c>
      <c r="B17046" s="11" t="n">
        <f aca="false">MOD(ROW()-9,24)</f>
        <v>21</v>
      </c>
      <c r="C17046" s="12"/>
      <c r="D17046" s="13" t="n">
        <f aca="false">IF(B17046&lt;5,Einstellungen!$B$3,Einstellungen!$B$4)</f>
        <v>29.13</v>
      </c>
      <c r="E17046" s="14" t="str">
        <f aca="false">IF(C17046="","",C17046*D17046/100)</f>
        <v/>
      </c>
      <c r="F17046" s="15" t="str">
        <f aca="false">IF(B17046&lt;5,"Go","Standard")</f>
        <v>Standard</v>
      </c>
    </row>
    <row r="17047" customFormat="false" ht="15" hidden="false" customHeight="true" outlineLevel="0" collapsed="false">
      <c r="A17047" s="10" t="n">
        <f aca="false">Einstellungen!$B$5+INT((ROW()-9)/24)</f>
        <v>46675</v>
      </c>
      <c r="B17047" s="11" t="n">
        <f aca="false">MOD(ROW()-9,24)</f>
        <v>22</v>
      </c>
      <c r="C17047" s="12"/>
      <c r="D17047" s="13" t="n">
        <f aca="false">IF(B17047&lt;5,Einstellungen!$B$3,Einstellungen!$B$4)</f>
        <v>29.13</v>
      </c>
      <c r="E17047" s="14" t="str">
        <f aca="false">IF(C17047="","",C17047*D17047/100)</f>
        <v/>
      </c>
      <c r="F17047" s="15" t="str">
        <f aca="false">IF(B17047&lt;5,"Go","Standard")</f>
        <v>Standard</v>
      </c>
    </row>
    <row r="17048" customFormat="false" ht="15" hidden="false" customHeight="true" outlineLevel="0" collapsed="false">
      <c r="A17048" s="10" t="n">
        <f aca="false">Einstellungen!$B$5+INT((ROW()-9)/24)</f>
        <v>46675</v>
      </c>
      <c r="B17048" s="11" t="n">
        <f aca="false">MOD(ROW()-9,24)</f>
        <v>23</v>
      </c>
      <c r="C17048" s="12"/>
      <c r="D17048" s="13" t="n">
        <f aca="false">IF(B17048&lt;5,Einstellungen!$B$3,Einstellungen!$B$4)</f>
        <v>29.13</v>
      </c>
      <c r="E17048" s="14" t="str">
        <f aca="false">IF(C17048="","",C17048*D17048/100)</f>
        <v/>
      </c>
      <c r="F17048" s="15" t="str">
        <f aca="false">IF(B17048&lt;5,"Go","Standard")</f>
        <v>Standard</v>
      </c>
    </row>
    <row r="17049" customFormat="false" ht="15" hidden="false" customHeight="true" outlineLevel="0" collapsed="false">
      <c r="A17049" s="10" t="n">
        <f aca="false">Einstellungen!$B$5+INT((ROW()-9)/24)</f>
        <v>46676</v>
      </c>
      <c r="B17049" s="11" t="n">
        <f aca="false">MOD(ROW()-9,24)</f>
        <v>0</v>
      </c>
      <c r="C17049" s="12"/>
      <c r="D17049" s="13" t="n">
        <f aca="false">IF(B17049&lt;5,Einstellungen!$B$3,Einstellungen!$B$4)</f>
        <v>15.92</v>
      </c>
      <c r="E17049" s="14" t="str">
        <f aca="false">IF(C17049="","",C17049*D17049/100)</f>
        <v/>
      </c>
      <c r="F17049" s="15" t="str">
        <f aca="false">IF(B17049&lt;5,"Go","Standard")</f>
        <v>Go</v>
      </c>
    </row>
    <row r="17050" customFormat="false" ht="15" hidden="false" customHeight="true" outlineLevel="0" collapsed="false">
      <c r="A17050" s="10" t="n">
        <f aca="false">Einstellungen!$B$5+INT((ROW()-9)/24)</f>
        <v>46676</v>
      </c>
      <c r="B17050" s="11" t="n">
        <f aca="false">MOD(ROW()-9,24)</f>
        <v>1</v>
      </c>
      <c r="C17050" s="12"/>
      <c r="D17050" s="13" t="n">
        <f aca="false">IF(B17050&lt;5,Einstellungen!$B$3,Einstellungen!$B$4)</f>
        <v>15.92</v>
      </c>
      <c r="E17050" s="14" t="str">
        <f aca="false">IF(C17050="","",C17050*D17050/100)</f>
        <v/>
      </c>
      <c r="F17050" s="15" t="str">
        <f aca="false">IF(B17050&lt;5,"Go","Standard")</f>
        <v>Go</v>
      </c>
    </row>
    <row r="17051" customFormat="false" ht="15" hidden="false" customHeight="true" outlineLevel="0" collapsed="false">
      <c r="A17051" s="10" t="n">
        <f aca="false">Einstellungen!$B$5+INT((ROW()-9)/24)</f>
        <v>46676</v>
      </c>
      <c r="B17051" s="11" t="n">
        <f aca="false">MOD(ROW()-9,24)</f>
        <v>2</v>
      </c>
      <c r="C17051" s="12"/>
      <c r="D17051" s="13" t="n">
        <f aca="false">IF(B17051&lt;5,Einstellungen!$B$3,Einstellungen!$B$4)</f>
        <v>15.92</v>
      </c>
      <c r="E17051" s="14" t="str">
        <f aca="false">IF(C17051="","",C17051*D17051/100)</f>
        <v/>
      </c>
      <c r="F17051" s="15" t="str">
        <f aca="false">IF(B17051&lt;5,"Go","Standard")</f>
        <v>Go</v>
      </c>
    </row>
    <row r="17052" customFormat="false" ht="15" hidden="false" customHeight="true" outlineLevel="0" collapsed="false">
      <c r="A17052" s="10" t="n">
        <f aca="false">Einstellungen!$B$5+INT((ROW()-9)/24)</f>
        <v>46676</v>
      </c>
      <c r="B17052" s="11" t="n">
        <f aca="false">MOD(ROW()-9,24)</f>
        <v>3</v>
      </c>
      <c r="C17052" s="12"/>
      <c r="D17052" s="13" t="n">
        <f aca="false">IF(B17052&lt;5,Einstellungen!$B$3,Einstellungen!$B$4)</f>
        <v>15.92</v>
      </c>
      <c r="E17052" s="14" t="str">
        <f aca="false">IF(C17052="","",C17052*D17052/100)</f>
        <v/>
      </c>
      <c r="F17052" s="15" t="str">
        <f aca="false">IF(B17052&lt;5,"Go","Standard")</f>
        <v>Go</v>
      </c>
    </row>
    <row r="17053" customFormat="false" ht="15" hidden="false" customHeight="true" outlineLevel="0" collapsed="false">
      <c r="A17053" s="10" t="n">
        <f aca="false">Einstellungen!$B$5+INT((ROW()-9)/24)</f>
        <v>46676</v>
      </c>
      <c r="B17053" s="11" t="n">
        <f aca="false">MOD(ROW()-9,24)</f>
        <v>4</v>
      </c>
      <c r="C17053" s="12"/>
      <c r="D17053" s="13" t="n">
        <f aca="false">IF(B17053&lt;5,Einstellungen!$B$3,Einstellungen!$B$4)</f>
        <v>15.92</v>
      </c>
      <c r="E17053" s="14" t="str">
        <f aca="false">IF(C17053="","",C17053*D17053/100)</f>
        <v/>
      </c>
      <c r="F17053" s="15" t="str">
        <f aca="false">IF(B17053&lt;5,"Go","Standard")</f>
        <v>Go</v>
      </c>
    </row>
    <row r="17054" customFormat="false" ht="15" hidden="false" customHeight="true" outlineLevel="0" collapsed="false">
      <c r="A17054" s="10" t="n">
        <f aca="false">Einstellungen!$B$5+INT((ROW()-9)/24)</f>
        <v>46676</v>
      </c>
      <c r="B17054" s="11" t="n">
        <f aca="false">MOD(ROW()-9,24)</f>
        <v>5</v>
      </c>
      <c r="C17054" s="12"/>
      <c r="D17054" s="13" t="n">
        <f aca="false">IF(B17054&lt;5,Einstellungen!$B$3,Einstellungen!$B$4)</f>
        <v>29.13</v>
      </c>
      <c r="E17054" s="14" t="str">
        <f aca="false">IF(C17054="","",C17054*D17054/100)</f>
        <v/>
      </c>
      <c r="F17054" s="15" t="str">
        <f aca="false">IF(B17054&lt;5,"Go","Standard")</f>
        <v>Standard</v>
      </c>
    </row>
    <row r="17055" customFormat="false" ht="15" hidden="false" customHeight="true" outlineLevel="0" collapsed="false">
      <c r="A17055" s="10" t="n">
        <f aca="false">Einstellungen!$B$5+INT((ROW()-9)/24)</f>
        <v>46676</v>
      </c>
      <c r="B17055" s="11" t="n">
        <f aca="false">MOD(ROW()-9,24)</f>
        <v>6</v>
      </c>
      <c r="C17055" s="12"/>
      <c r="D17055" s="13" t="n">
        <f aca="false">IF(B17055&lt;5,Einstellungen!$B$3,Einstellungen!$B$4)</f>
        <v>29.13</v>
      </c>
      <c r="E17055" s="14" t="str">
        <f aca="false">IF(C17055="","",C17055*D17055/100)</f>
        <v/>
      </c>
      <c r="F17055" s="15" t="str">
        <f aca="false">IF(B17055&lt;5,"Go","Standard")</f>
        <v>Standard</v>
      </c>
    </row>
    <row r="17056" customFormat="false" ht="15" hidden="false" customHeight="true" outlineLevel="0" collapsed="false">
      <c r="A17056" s="10" t="n">
        <f aca="false">Einstellungen!$B$5+INT((ROW()-9)/24)</f>
        <v>46676</v>
      </c>
      <c r="B17056" s="11" t="n">
        <f aca="false">MOD(ROW()-9,24)</f>
        <v>7</v>
      </c>
      <c r="C17056" s="12"/>
      <c r="D17056" s="13" t="n">
        <f aca="false">IF(B17056&lt;5,Einstellungen!$B$3,Einstellungen!$B$4)</f>
        <v>29.13</v>
      </c>
      <c r="E17056" s="14" t="str">
        <f aca="false">IF(C17056="","",C17056*D17056/100)</f>
        <v/>
      </c>
      <c r="F17056" s="15" t="str">
        <f aca="false">IF(B17056&lt;5,"Go","Standard")</f>
        <v>Standard</v>
      </c>
    </row>
    <row r="17057" customFormat="false" ht="15" hidden="false" customHeight="true" outlineLevel="0" collapsed="false">
      <c r="A17057" s="10" t="n">
        <f aca="false">Einstellungen!$B$5+INT((ROW()-9)/24)</f>
        <v>46676</v>
      </c>
      <c r="B17057" s="11" t="n">
        <f aca="false">MOD(ROW()-9,24)</f>
        <v>8</v>
      </c>
      <c r="C17057" s="12"/>
      <c r="D17057" s="13" t="n">
        <f aca="false">IF(B17057&lt;5,Einstellungen!$B$3,Einstellungen!$B$4)</f>
        <v>29.13</v>
      </c>
      <c r="E17057" s="14" t="str">
        <f aca="false">IF(C17057="","",C17057*D17057/100)</f>
        <v/>
      </c>
      <c r="F17057" s="15" t="str">
        <f aca="false">IF(B17057&lt;5,"Go","Standard")</f>
        <v>Standard</v>
      </c>
    </row>
    <row r="17058" customFormat="false" ht="15" hidden="false" customHeight="true" outlineLevel="0" collapsed="false">
      <c r="A17058" s="10" t="n">
        <f aca="false">Einstellungen!$B$5+INT((ROW()-9)/24)</f>
        <v>46676</v>
      </c>
      <c r="B17058" s="11" t="n">
        <f aca="false">MOD(ROW()-9,24)</f>
        <v>9</v>
      </c>
      <c r="C17058" s="12"/>
      <c r="D17058" s="13" t="n">
        <f aca="false">IF(B17058&lt;5,Einstellungen!$B$3,Einstellungen!$B$4)</f>
        <v>29.13</v>
      </c>
      <c r="E17058" s="14" t="str">
        <f aca="false">IF(C17058="","",C17058*D17058/100)</f>
        <v/>
      </c>
      <c r="F17058" s="15" t="str">
        <f aca="false">IF(B17058&lt;5,"Go","Standard")</f>
        <v>Standard</v>
      </c>
    </row>
    <row r="17059" customFormat="false" ht="15" hidden="false" customHeight="true" outlineLevel="0" collapsed="false">
      <c r="A17059" s="10" t="n">
        <f aca="false">Einstellungen!$B$5+INT((ROW()-9)/24)</f>
        <v>46676</v>
      </c>
      <c r="B17059" s="11" t="n">
        <f aca="false">MOD(ROW()-9,24)</f>
        <v>10</v>
      </c>
      <c r="C17059" s="12"/>
      <c r="D17059" s="13" t="n">
        <f aca="false">IF(B17059&lt;5,Einstellungen!$B$3,Einstellungen!$B$4)</f>
        <v>29.13</v>
      </c>
      <c r="E17059" s="14" t="str">
        <f aca="false">IF(C17059="","",C17059*D17059/100)</f>
        <v/>
      </c>
      <c r="F17059" s="15" t="str">
        <f aca="false">IF(B17059&lt;5,"Go","Standard")</f>
        <v>Standard</v>
      </c>
    </row>
    <row r="17060" customFormat="false" ht="15" hidden="false" customHeight="true" outlineLevel="0" collapsed="false">
      <c r="A17060" s="10" t="n">
        <f aca="false">Einstellungen!$B$5+INT((ROW()-9)/24)</f>
        <v>46676</v>
      </c>
      <c r="B17060" s="11" t="n">
        <f aca="false">MOD(ROW()-9,24)</f>
        <v>11</v>
      </c>
      <c r="C17060" s="12"/>
      <c r="D17060" s="13" t="n">
        <f aca="false">IF(B17060&lt;5,Einstellungen!$B$3,Einstellungen!$B$4)</f>
        <v>29.13</v>
      </c>
      <c r="E17060" s="14" t="str">
        <f aca="false">IF(C17060="","",C17060*D17060/100)</f>
        <v/>
      </c>
      <c r="F17060" s="15" t="str">
        <f aca="false">IF(B17060&lt;5,"Go","Standard")</f>
        <v>Standard</v>
      </c>
    </row>
    <row r="17061" customFormat="false" ht="15" hidden="false" customHeight="true" outlineLevel="0" collapsed="false">
      <c r="A17061" s="10" t="n">
        <f aca="false">Einstellungen!$B$5+INT((ROW()-9)/24)</f>
        <v>46676</v>
      </c>
      <c r="B17061" s="11" t="n">
        <f aca="false">MOD(ROW()-9,24)</f>
        <v>12</v>
      </c>
      <c r="C17061" s="12"/>
      <c r="D17061" s="13" t="n">
        <f aca="false">IF(B17061&lt;5,Einstellungen!$B$3,Einstellungen!$B$4)</f>
        <v>29.13</v>
      </c>
      <c r="E17061" s="14" t="str">
        <f aca="false">IF(C17061="","",C17061*D17061/100)</f>
        <v/>
      </c>
      <c r="F17061" s="15" t="str">
        <f aca="false">IF(B17061&lt;5,"Go","Standard")</f>
        <v>Standard</v>
      </c>
    </row>
    <row r="17062" customFormat="false" ht="15" hidden="false" customHeight="true" outlineLevel="0" collapsed="false">
      <c r="A17062" s="10" t="n">
        <f aca="false">Einstellungen!$B$5+INT((ROW()-9)/24)</f>
        <v>46676</v>
      </c>
      <c r="B17062" s="11" t="n">
        <f aca="false">MOD(ROW()-9,24)</f>
        <v>13</v>
      </c>
      <c r="C17062" s="12"/>
      <c r="D17062" s="13" t="n">
        <f aca="false">IF(B17062&lt;5,Einstellungen!$B$3,Einstellungen!$B$4)</f>
        <v>29.13</v>
      </c>
      <c r="E17062" s="14" t="str">
        <f aca="false">IF(C17062="","",C17062*D17062/100)</f>
        <v/>
      </c>
      <c r="F17062" s="15" t="str">
        <f aca="false">IF(B17062&lt;5,"Go","Standard")</f>
        <v>Standard</v>
      </c>
    </row>
    <row r="17063" customFormat="false" ht="15" hidden="false" customHeight="true" outlineLevel="0" collapsed="false">
      <c r="A17063" s="10" t="n">
        <f aca="false">Einstellungen!$B$5+INT((ROW()-9)/24)</f>
        <v>46676</v>
      </c>
      <c r="B17063" s="11" t="n">
        <f aca="false">MOD(ROW()-9,24)</f>
        <v>14</v>
      </c>
      <c r="C17063" s="12"/>
      <c r="D17063" s="13" t="n">
        <f aca="false">IF(B17063&lt;5,Einstellungen!$B$3,Einstellungen!$B$4)</f>
        <v>29.13</v>
      </c>
      <c r="E17063" s="14" t="str">
        <f aca="false">IF(C17063="","",C17063*D17063/100)</f>
        <v/>
      </c>
      <c r="F17063" s="15" t="str">
        <f aca="false">IF(B17063&lt;5,"Go","Standard")</f>
        <v>Standard</v>
      </c>
    </row>
    <row r="17064" customFormat="false" ht="15" hidden="false" customHeight="true" outlineLevel="0" collapsed="false">
      <c r="A17064" s="10" t="n">
        <f aca="false">Einstellungen!$B$5+INT((ROW()-9)/24)</f>
        <v>46676</v>
      </c>
      <c r="B17064" s="11" t="n">
        <f aca="false">MOD(ROW()-9,24)</f>
        <v>15</v>
      </c>
      <c r="C17064" s="12"/>
      <c r="D17064" s="13" t="n">
        <f aca="false">IF(B17064&lt;5,Einstellungen!$B$3,Einstellungen!$B$4)</f>
        <v>29.13</v>
      </c>
      <c r="E17064" s="14" t="str">
        <f aca="false">IF(C17064="","",C17064*D17064/100)</f>
        <v/>
      </c>
      <c r="F17064" s="15" t="str">
        <f aca="false">IF(B17064&lt;5,"Go","Standard")</f>
        <v>Standard</v>
      </c>
    </row>
    <row r="17065" customFormat="false" ht="15" hidden="false" customHeight="true" outlineLevel="0" collapsed="false">
      <c r="A17065" s="10" t="n">
        <f aca="false">Einstellungen!$B$5+INT((ROW()-9)/24)</f>
        <v>46676</v>
      </c>
      <c r="B17065" s="11" t="n">
        <f aca="false">MOD(ROW()-9,24)</f>
        <v>16</v>
      </c>
      <c r="C17065" s="12"/>
      <c r="D17065" s="13" t="n">
        <f aca="false">IF(B17065&lt;5,Einstellungen!$B$3,Einstellungen!$B$4)</f>
        <v>29.13</v>
      </c>
      <c r="E17065" s="14" t="str">
        <f aca="false">IF(C17065="","",C17065*D17065/100)</f>
        <v/>
      </c>
      <c r="F17065" s="15" t="str">
        <f aca="false">IF(B17065&lt;5,"Go","Standard")</f>
        <v>Standard</v>
      </c>
    </row>
    <row r="17066" customFormat="false" ht="15" hidden="false" customHeight="true" outlineLevel="0" collapsed="false">
      <c r="A17066" s="10" t="n">
        <f aca="false">Einstellungen!$B$5+INT((ROW()-9)/24)</f>
        <v>46676</v>
      </c>
      <c r="B17066" s="11" t="n">
        <f aca="false">MOD(ROW()-9,24)</f>
        <v>17</v>
      </c>
      <c r="C17066" s="12"/>
      <c r="D17066" s="13" t="n">
        <f aca="false">IF(B17066&lt;5,Einstellungen!$B$3,Einstellungen!$B$4)</f>
        <v>29.13</v>
      </c>
      <c r="E17066" s="14" t="str">
        <f aca="false">IF(C17066="","",C17066*D17066/100)</f>
        <v/>
      </c>
      <c r="F17066" s="15" t="str">
        <f aca="false">IF(B17066&lt;5,"Go","Standard")</f>
        <v>Standard</v>
      </c>
    </row>
    <row r="17067" customFormat="false" ht="15" hidden="false" customHeight="true" outlineLevel="0" collapsed="false">
      <c r="A17067" s="10" t="n">
        <f aca="false">Einstellungen!$B$5+INT((ROW()-9)/24)</f>
        <v>46676</v>
      </c>
      <c r="B17067" s="11" t="n">
        <f aca="false">MOD(ROW()-9,24)</f>
        <v>18</v>
      </c>
      <c r="C17067" s="12"/>
      <c r="D17067" s="13" t="n">
        <f aca="false">IF(B17067&lt;5,Einstellungen!$B$3,Einstellungen!$B$4)</f>
        <v>29.13</v>
      </c>
      <c r="E17067" s="14" t="str">
        <f aca="false">IF(C17067="","",C17067*D17067/100)</f>
        <v/>
      </c>
      <c r="F17067" s="15" t="str">
        <f aca="false">IF(B17067&lt;5,"Go","Standard")</f>
        <v>Standard</v>
      </c>
    </row>
    <row r="17068" customFormat="false" ht="15" hidden="false" customHeight="true" outlineLevel="0" collapsed="false">
      <c r="A17068" s="10" t="n">
        <f aca="false">Einstellungen!$B$5+INT((ROW()-9)/24)</f>
        <v>46676</v>
      </c>
      <c r="B17068" s="11" t="n">
        <f aca="false">MOD(ROW()-9,24)</f>
        <v>19</v>
      </c>
      <c r="C17068" s="12"/>
      <c r="D17068" s="13" t="n">
        <f aca="false">IF(B17068&lt;5,Einstellungen!$B$3,Einstellungen!$B$4)</f>
        <v>29.13</v>
      </c>
      <c r="E17068" s="14" t="str">
        <f aca="false">IF(C17068="","",C17068*D17068/100)</f>
        <v/>
      </c>
      <c r="F17068" s="15" t="str">
        <f aca="false">IF(B17068&lt;5,"Go","Standard")</f>
        <v>Standard</v>
      </c>
    </row>
    <row r="17069" customFormat="false" ht="15" hidden="false" customHeight="true" outlineLevel="0" collapsed="false">
      <c r="A17069" s="10" t="n">
        <f aca="false">Einstellungen!$B$5+INT((ROW()-9)/24)</f>
        <v>46676</v>
      </c>
      <c r="B17069" s="11" t="n">
        <f aca="false">MOD(ROW()-9,24)</f>
        <v>20</v>
      </c>
      <c r="C17069" s="12"/>
      <c r="D17069" s="13" t="n">
        <f aca="false">IF(B17069&lt;5,Einstellungen!$B$3,Einstellungen!$B$4)</f>
        <v>29.13</v>
      </c>
      <c r="E17069" s="14" t="str">
        <f aca="false">IF(C17069="","",C17069*D17069/100)</f>
        <v/>
      </c>
      <c r="F17069" s="15" t="str">
        <f aca="false">IF(B17069&lt;5,"Go","Standard")</f>
        <v>Standard</v>
      </c>
    </row>
    <row r="17070" customFormat="false" ht="15" hidden="false" customHeight="true" outlineLevel="0" collapsed="false">
      <c r="A17070" s="10" t="n">
        <f aca="false">Einstellungen!$B$5+INT((ROW()-9)/24)</f>
        <v>46676</v>
      </c>
      <c r="B17070" s="11" t="n">
        <f aca="false">MOD(ROW()-9,24)</f>
        <v>21</v>
      </c>
      <c r="C17070" s="12"/>
      <c r="D17070" s="13" t="n">
        <f aca="false">IF(B17070&lt;5,Einstellungen!$B$3,Einstellungen!$B$4)</f>
        <v>29.13</v>
      </c>
      <c r="E17070" s="14" t="str">
        <f aca="false">IF(C17070="","",C17070*D17070/100)</f>
        <v/>
      </c>
      <c r="F17070" s="15" t="str">
        <f aca="false">IF(B17070&lt;5,"Go","Standard")</f>
        <v>Standard</v>
      </c>
    </row>
    <row r="17071" customFormat="false" ht="15" hidden="false" customHeight="true" outlineLevel="0" collapsed="false">
      <c r="A17071" s="10" t="n">
        <f aca="false">Einstellungen!$B$5+INT((ROW()-9)/24)</f>
        <v>46676</v>
      </c>
      <c r="B17071" s="11" t="n">
        <f aca="false">MOD(ROW()-9,24)</f>
        <v>22</v>
      </c>
      <c r="C17071" s="12"/>
      <c r="D17071" s="13" t="n">
        <f aca="false">IF(B17071&lt;5,Einstellungen!$B$3,Einstellungen!$B$4)</f>
        <v>29.13</v>
      </c>
      <c r="E17071" s="14" t="str">
        <f aca="false">IF(C17071="","",C17071*D17071/100)</f>
        <v/>
      </c>
      <c r="F17071" s="15" t="str">
        <f aca="false">IF(B17071&lt;5,"Go","Standard")</f>
        <v>Standard</v>
      </c>
    </row>
    <row r="17072" customFormat="false" ht="15" hidden="false" customHeight="true" outlineLevel="0" collapsed="false">
      <c r="A17072" s="10" t="n">
        <f aca="false">Einstellungen!$B$5+INT((ROW()-9)/24)</f>
        <v>46676</v>
      </c>
      <c r="B17072" s="11" t="n">
        <f aca="false">MOD(ROW()-9,24)</f>
        <v>23</v>
      </c>
      <c r="C17072" s="12"/>
      <c r="D17072" s="13" t="n">
        <f aca="false">IF(B17072&lt;5,Einstellungen!$B$3,Einstellungen!$B$4)</f>
        <v>29.13</v>
      </c>
      <c r="E17072" s="14" t="str">
        <f aca="false">IF(C17072="","",C17072*D17072/100)</f>
        <v/>
      </c>
      <c r="F17072" s="15" t="str">
        <f aca="false">IF(B17072&lt;5,"Go","Standard")</f>
        <v>Standard</v>
      </c>
    </row>
    <row r="17073" customFormat="false" ht="15" hidden="false" customHeight="true" outlineLevel="0" collapsed="false">
      <c r="A17073" s="10" t="n">
        <f aca="false">Einstellungen!$B$5+INT((ROW()-9)/24)</f>
        <v>46677</v>
      </c>
      <c r="B17073" s="11" t="n">
        <f aca="false">MOD(ROW()-9,24)</f>
        <v>0</v>
      </c>
      <c r="C17073" s="12"/>
      <c r="D17073" s="13" t="n">
        <f aca="false">IF(B17073&lt;5,Einstellungen!$B$3,Einstellungen!$B$4)</f>
        <v>15.92</v>
      </c>
      <c r="E17073" s="14" t="str">
        <f aca="false">IF(C17073="","",C17073*D17073/100)</f>
        <v/>
      </c>
      <c r="F17073" s="15" t="str">
        <f aca="false">IF(B17073&lt;5,"Go","Standard")</f>
        <v>Go</v>
      </c>
    </row>
    <row r="17074" customFormat="false" ht="15" hidden="false" customHeight="true" outlineLevel="0" collapsed="false">
      <c r="A17074" s="10" t="n">
        <f aca="false">Einstellungen!$B$5+INT((ROW()-9)/24)</f>
        <v>46677</v>
      </c>
      <c r="B17074" s="11" t="n">
        <f aca="false">MOD(ROW()-9,24)</f>
        <v>1</v>
      </c>
      <c r="C17074" s="12"/>
      <c r="D17074" s="13" t="n">
        <f aca="false">IF(B17074&lt;5,Einstellungen!$B$3,Einstellungen!$B$4)</f>
        <v>15.92</v>
      </c>
      <c r="E17074" s="14" t="str">
        <f aca="false">IF(C17074="","",C17074*D17074/100)</f>
        <v/>
      </c>
      <c r="F17074" s="15" t="str">
        <f aca="false">IF(B17074&lt;5,"Go","Standard")</f>
        <v>Go</v>
      </c>
    </row>
    <row r="17075" customFormat="false" ht="15" hidden="false" customHeight="true" outlineLevel="0" collapsed="false">
      <c r="A17075" s="10" t="n">
        <f aca="false">Einstellungen!$B$5+INT((ROW()-9)/24)</f>
        <v>46677</v>
      </c>
      <c r="B17075" s="11" t="n">
        <f aca="false">MOD(ROW()-9,24)</f>
        <v>2</v>
      </c>
      <c r="C17075" s="12"/>
      <c r="D17075" s="13" t="n">
        <f aca="false">IF(B17075&lt;5,Einstellungen!$B$3,Einstellungen!$B$4)</f>
        <v>15.92</v>
      </c>
      <c r="E17075" s="14" t="str">
        <f aca="false">IF(C17075="","",C17075*D17075/100)</f>
        <v/>
      </c>
      <c r="F17075" s="15" t="str">
        <f aca="false">IF(B17075&lt;5,"Go","Standard")</f>
        <v>Go</v>
      </c>
    </row>
    <row r="17076" customFormat="false" ht="15" hidden="false" customHeight="true" outlineLevel="0" collapsed="false">
      <c r="A17076" s="10" t="n">
        <f aca="false">Einstellungen!$B$5+INT((ROW()-9)/24)</f>
        <v>46677</v>
      </c>
      <c r="B17076" s="11" t="n">
        <f aca="false">MOD(ROW()-9,24)</f>
        <v>3</v>
      </c>
      <c r="C17076" s="12"/>
      <c r="D17076" s="13" t="n">
        <f aca="false">IF(B17076&lt;5,Einstellungen!$B$3,Einstellungen!$B$4)</f>
        <v>15.92</v>
      </c>
      <c r="E17076" s="14" t="str">
        <f aca="false">IF(C17076="","",C17076*D17076/100)</f>
        <v/>
      </c>
      <c r="F17076" s="15" t="str">
        <f aca="false">IF(B17076&lt;5,"Go","Standard")</f>
        <v>Go</v>
      </c>
    </row>
    <row r="17077" customFormat="false" ht="15" hidden="false" customHeight="true" outlineLevel="0" collapsed="false">
      <c r="A17077" s="10" t="n">
        <f aca="false">Einstellungen!$B$5+INT((ROW()-9)/24)</f>
        <v>46677</v>
      </c>
      <c r="B17077" s="11" t="n">
        <f aca="false">MOD(ROW()-9,24)</f>
        <v>4</v>
      </c>
      <c r="C17077" s="12"/>
      <c r="D17077" s="13" t="n">
        <f aca="false">IF(B17077&lt;5,Einstellungen!$B$3,Einstellungen!$B$4)</f>
        <v>15.92</v>
      </c>
      <c r="E17077" s="14" t="str">
        <f aca="false">IF(C17077="","",C17077*D17077/100)</f>
        <v/>
      </c>
      <c r="F17077" s="15" t="str">
        <f aca="false">IF(B17077&lt;5,"Go","Standard")</f>
        <v>Go</v>
      </c>
    </row>
    <row r="17078" customFormat="false" ht="15" hidden="false" customHeight="true" outlineLevel="0" collapsed="false">
      <c r="A17078" s="10" t="n">
        <f aca="false">Einstellungen!$B$5+INT((ROW()-9)/24)</f>
        <v>46677</v>
      </c>
      <c r="B17078" s="11" t="n">
        <f aca="false">MOD(ROW()-9,24)</f>
        <v>5</v>
      </c>
      <c r="C17078" s="12"/>
      <c r="D17078" s="13" t="n">
        <f aca="false">IF(B17078&lt;5,Einstellungen!$B$3,Einstellungen!$B$4)</f>
        <v>29.13</v>
      </c>
      <c r="E17078" s="14" t="str">
        <f aca="false">IF(C17078="","",C17078*D17078/100)</f>
        <v/>
      </c>
      <c r="F17078" s="15" t="str">
        <f aca="false">IF(B17078&lt;5,"Go","Standard")</f>
        <v>Standard</v>
      </c>
    </row>
    <row r="17079" customFormat="false" ht="15" hidden="false" customHeight="true" outlineLevel="0" collapsed="false">
      <c r="A17079" s="10" t="n">
        <f aca="false">Einstellungen!$B$5+INT((ROW()-9)/24)</f>
        <v>46677</v>
      </c>
      <c r="B17079" s="11" t="n">
        <f aca="false">MOD(ROW()-9,24)</f>
        <v>6</v>
      </c>
      <c r="C17079" s="12"/>
      <c r="D17079" s="13" t="n">
        <f aca="false">IF(B17079&lt;5,Einstellungen!$B$3,Einstellungen!$B$4)</f>
        <v>29.13</v>
      </c>
      <c r="E17079" s="14" t="str">
        <f aca="false">IF(C17079="","",C17079*D17079/100)</f>
        <v/>
      </c>
      <c r="F17079" s="15" t="str">
        <f aca="false">IF(B17079&lt;5,"Go","Standard")</f>
        <v>Standard</v>
      </c>
    </row>
    <row r="17080" customFormat="false" ht="15" hidden="false" customHeight="true" outlineLevel="0" collapsed="false">
      <c r="A17080" s="10" t="n">
        <f aca="false">Einstellungen!$B$5+INT((ROW()-9)/24)</f>
        <v>46677</v>
      </c>
      <c r="B17080" s="11" t="n">
        <f aca="false">MOD(ROW()-9,24)</f>
        <v>7</v>
      </c>
      <c r="C17080" s="12"/>
      <c r="D17080" s="13" t="n">
        <f aca="false">IF(B17080&lt;5,Einstellungen!$B$3,Einstellungen!$B$4)</f>
        <v>29.13</v>
      </c>
      <c r="E17080" s="14" t="str">
        <f aca="false">IF(C17080="","",C17080*D17080/100)</f>
        <v/>
      </c>
      <c r="F17080" s="15" t="str">
        <f aca="false">IF(B17080&lt;5,"Go","Standard")</f>
        <v>Standard</v>
      </c>
    </row>
    <row r="17081" customFormat="false" ht="15" hidden="false" customHeight="true" outlineLevel="0" collapsed="false">
      <c r="A17081" s="10" t="n">
        <f aca="false">Einstellungen!$B$5+INT((ROW()-9)/24)</f>
        <v>46677</v>
      </c>
      <c r="B17081" s="11" t="n">
        <f aca="false">MOD(ROW()-9,24)</f>
        <v>8</v>
      </c>
      <c r="C17081" s="12"/>
      <c r="D17081" s="13" t="n">
        <f aca="false">IF(B17081&lt;5,Einstellungen!$B$3,Einstellungen!$B$4)</f>
        <v>29.13</v>
      </c>
      <c r="E17081" s="14" t="str">
        <f aca="false">IF(C17081="","",C17081*D17081/100)</f>
        <v/>
      </c>
      <c r="F17081" s="15" t="str">
        <f aca="false">IF(B17081&lt;5,"Go","Standard")</f>
        <v>Standard</v>
      </c>
    </row>
    <row r="17082" customFormat="false" ht="15" hidden="false" customHeight="true" outlineLevel="0" collapsed="false">
      <c r="A17082" s="10" t="n">
        <f aca="false">Einstellungen!$B$5+INT((ROW()-9)/24)</f>
        <v>46677</v>
      </c>
      <c r="B17082" s="11" t="n">
        <f aca="false">MOD(ROW()-9,24)</f>
        <v>9</v>
      </c>
      <c r="C17082" s="12"/>
      <c r="D17082" s="13" t="n">
        <f aca="false">IF(B17082&lt;5,Einstellungen!$B$3,Einstellungen!$B$4)</f>
        <v>29.13</v>
      </c>
      <c r="E17082" s="14" t="str">
        <f aca="false">IF(C17082="","",C17082*D17082/100)</f>
        <v/>
      </c>
      <c r="F17082" s="15" t="str">
        <f aca="false">IF(B17082&lt;5,"Go","Standard")</f>
        <v>Standard</v>
      </c>
    </row>
    <row r="17083" customFormat="false" ht="15" hidden="false" customHeight="true" outlineLevel="0" collapsed="false">
      <c r="A17083" s="10" t="n">
        <f aca="false">Einstellungen!$B$5+INT((ROW()-9)/24)</f>
        <v>46677</v>
      </c>
      <c r="B17083" s="11" t="n">
        <f aca="false">MOD(ROW()-9,24)</f>
        <v>10</v>
      </c>
      <c r="C17083" s="12"/>
      <c r="D17083" s="13" t="n">
        <f aca="false">IF(B17083&lt;5,Einstellungen!$B$3,Einstellungen!$B$4)</f>
        <v>29.13</v>
      </c>
      <c r="E17083" s="14" t="str">
        <f aca="false">IF(C17083="","",C17083*D17083/100)</f>
        <v/>
      </c>
      <c r="F17083" s="15" t="str">
        <f aca="false">IF(B17083&lt;5,"Go","Standard")</f>
        <v>Standard</v>
      </c>
    </row>
    <row r="17084" customFormat="false" ht="15" hidden="false" customHeight="true" outlineLevel="0" collapsed="false">
      <c r="A17084" s="10" t="n">
        <f aca="false">Einstellungen!$B$5+INT((ROW()-9)/24)</f>
        <v>46677</v>
      </c>
      <c r="B17084" s="11" t="n">
        <f aca="false">MOD(ROW()-9,24)</f>
        <v>11</v>
      </c>
      <c r="C17084" s="12"/>
      <c r="D17084" s="13" t="n">
        <f aca="false">IF(B17084&lt;5,Einstellungen!$B$3,Einstellungen!$B$4)</f>
        <v>29.13</v>
      </c>
      <c r="E17084" s="14" t="str">
        <f aca="false">IF(C17084="","",C17084*D17084/100)</f>
        <v/>
      </c>
      <c r="F17084" s="15" t="str">
        <f aca="false">IF(B17084&lt;5,"Go","Standard")</f>
        <v>Standard</v>
      </c>
    </row>
    <row r="17085" customFormat="false" ht="15" hidden="false" customHeight="true" outlineLevel="0" collapsed="false">
      <c r="A17085" s="10" t="n">
        <f aca="false">Einstellungen!$B$5+INT((ROW()-9)/24)</f>
        <v>46677</v>
      </c>
      <c r="B17085" s="11" t="n">
        <f aca="false">MOD(ROW()-9,24)</f>
        <v>12</v>
      </c>
      <c r="C17085" s="12"/>
      <c r="D17085" s="13" t="n">
        <f aca="false">IF(B17085&lt;5,Einstellungen!$B$3,Einstellungen!$B$4)</f>
        <v>29.13</v>
      </c>
      <c r="E17085" s="14" t="str">
        <f aca="false">IF(C17085="","",C17085*D17085/100)</f>
        <v/>
      </c>
      <c r="F17085" s="15" t="str">
        <f aca="false">IF(B17085&lt;5,"Go","Standard")</f>
        <v>Standard</v>
      </c>
    </row>
    <row r="17086" customFormat="false" ht="15" hidden="false" customHeight="true" outlineLevel="0" collapsed="false">
      <c r="A17086" s="10" t="n">
        <f aca="false">Einstellungen!$B$5+INT((ROW()-9)/24)</f>
        <v>46677</v>
      </c>
      <c r="B17086" s="11" t="n">
        <f aca="false">MOD(ROW()-9,24)</f>
        <v>13</v>
      </c>
      <c r="C17086" s="12"/>
      <c r="D17086" s="13" t="n">
        <f aca="false">IF(B17086&lt;5,Einstellungen!$B$3,Einstellungen!$B$4)</f>
        <v>29.13</v>
      </c>
      <c r="E17086" s="14" t="str">
        <f aca="false">IF(C17086="","",C17086*D17086/100)</f>
        <v/>
      </c>
      <c r="F17086" s="15" t="str">
        <f aca="false">IF(B17086&lt;5,"Go","Standard")</f>
        <v>Standard</v>
      </c>
    </row>
    <row r="17087" customFormat="false" ht="15" hidden="false" customHeight="true" outlineLevel="0" collapsed="false">
      <c r="A17087" s="10" t="n">
        <f aca="false">Einstellungen!$B$5+INT((ROW()-9)/24)</f>
        <v>46677</v>
      </c>
      <c r="B17087" s="11" t="n">
        <f aca="false">MOD(ROW()-9,24)</f>
        <v>14</v>
      </c>
      <c r="C17087" s="12"/>
      <c r="D17087" s="13" t="n">
        <f aca="false">IF(B17087&lt;5,Einstellungen!$B$3,Einstellungen!$B$4)</f>
        <v>29.13</v>
      </c>
      <c r="E17087" s="14" t="str">
        <f aca="false">IF(C17087="","",C17087*D17087/100)</f>
        <v/>
      </c>
      <c r="F17087" s="15" t="str">
        <f aca="false">IF(B17087&lt;5,"Go","Standard")</f>
        <v>Standard</v>
      </c>
    </row>
    <row r="17088" customFormat="false" ht="15" hidden="false" customHeight="true" outlineLevel="0" collapsed="false">
      <c r="A17088" s="10" t="n">
        <f aca="false">Einstellungen!$B$5+INT((ROW()-9)/24)</f>
        <v>46677</v>
      </c>
      <c r="B17088" s="11" t="n">
        <f aca="false">MOD(ROW()-9,24)</f>
        <v>15</v>
      </c>
      <c r="C17088" s="12"/>
      <c r="D17088" s="13" t="n">
        <f aca="false">IF(B17088&lt;5,Einstellungen!$B$3,Einstellungen!$B$4)</f>
        <v>29.13</v>
      </c>
      <c r="E17088" s="14" t="str">
        <f aca="false">IF(C17088="","",C17088*D17088/100)</f>
        <v/>
      </c>
      <c r="F17088" s="15" t="str">
        <f aca="false">IF(B17088&lt;5,"Go","Standard")</f>
        <v>Standard</v>
      </c>
    </row>
    <row r="17089" customFormat="false" ht="15" hidden="false" customHeight="true" outlineLevel="0" collapsed="false">
      <c r="A17089" s="10" t="n">
        <f aca="false">Einstellungen!$B$5+INT((ROW()-9)/24)</f>
        <v>46677</v>
      </c>
      <c r="B17089" s="11" t="n">
        <f aca="false">MOD(ROW()-9,24)</f>
        <v>16</v>
      </c>
      <c r="C17089" s="12"/>
      <c r="D17089" s="13" t="n">
        <f aca="false">IF(B17089&lt;5,Einstellungen!$B$3,Einstellungen!$B$4)</f>
        <v>29.13</v>
      </c>
      <c r="E17089" s="14" t="str">
        <f aca="false">IF(C17089="","",C17089*D17089/100)</f>
        <v/>
      </c>
      <c r="F17089" s="15" t="str">
        <f aca="false">IF(B17089&lt;5,"Go","Standard")</f>
        <v>Standard</v>
      </c>
    </row>
    <row r="17090" customFormat="false" ht="15" hidden="false" customHeight="true" outlineLevel="0" collapsed="false">
      <c r="A17090" s="10" t="n">
        <f aca="false">Einstellungen!$B$5+INT((ROW()-9)/24)</f>
        <v>46677</v>
      </c>
      <c r="B17090" s="11" t="n">
        <f aca="false">MOD(ROW()-9,24)</f>
        <v>17</v>
      </c>
      <c r="C17090" s="12"/>
      <c r="D17090" s="13" t="n">
        <f aca="false">IF(B17090&lt;5,Einstellungen!$B$3,Einstellungen!$B$4)</f>
        <v>29.13</v>
      </c>
      <c r="E17090" s="14" t="str">
        <f aca="false">IF(C17090="","",C17090*D17090/100)</f>
        <v/>
      </c>
      <c r="F17090" s="15" t="str">
        <f aca="false">IF(B17090&lt;5,"Go","Standard")</f>
        <v>Standard</v>
      </c>
    </row>
    <row r="17091" customFormat="false" ht="15" hidden="false" customHeight="true" outlineLevel="0" collapsed="false">
      <c r="A17091" s="10" t="n">
        <f aca="false">Einstellungen!$B$5+INT((ROW()-9)/24)</f>
        <v>46677</v>
      </c>
      <c r="B17091" s="11" t="n">
        <f aca="false">MOD(ROW()-9,24)</f>
        <v>18</v>
      </c>
      <c r="C17091" s="12"/>
      <c r="D17091" s="13" t="n">
        <f aca="false">IF(B17091&lt;5,Einstellungen!$B$3,Einstellungen!$B$4)</f>
        <v>29.13</v>
      </c>
      <c r="E17091" s="14" t="str">
        <f aca="false">IF(C17091="","",C17091*D17091/100)</f>
        <v/>
      </c>
      <c r="F17091" s="15" t="str">
        <f aca="false">IF(B17091&lt;5,"Go","Standard")</f>
        <v>Standard</v>
      </c>
    </row>
    <row r="17092" customFormat="false" ht="15" hidden="false" customHeight="true" outlineLevel="0" collapsed="false">
      <c r="A17092" s="10" t="n">
        <f aca="false">Einstellungen!$B$5+INT((ROW()-9)/24)</f>
        <v>46677</v>
      </c>
      <c r="B17092" s="11" t="n">
        <f aca="false">MOD(ROW()-9,24)</f>
        <v>19</v>
      </c>
      <c r="C17092" s="12"/>
      <c r="D17092" s="13" t="n">
        <f aca="false">IF(B17092&lt;5,Einstellungen!$B$3,Einstellungen!$B$4)</f>
        <v>29.13</v>
      </c>
      <c r="E17092" s="14" t="str">
        <f aca="false">IF(C17092="","",C17092*D17092/100)</f>
        <v/>
      </c>
      <c r="F17092" s="15" t="str">
        <f aca="false">IF(B17092&lt;5,"Go","Standard")</f>
        <v>Standard</v>
      </c>
    </row>
    <row r="17093" customFormat="false" ht="15" hidden="false" customHeight="true" outlineLevel="0" collapsed="false">
      <c r="A17093" s="10" t="n">
        <f aca="false">Einstellungen!$B$5+INT((ROW()-9)/24)</f>
        <v>46677</v>
      </c>
      <c r="B17093" s="11" t="n">
        <f aca="false">MOD(ROW()-9,24)</f>
        <v>20</v>
      </c>
      <c r="C17093" s="12"/>
      <c r="D17093" s="13" t="n">
        <f aca="false">IF(B17093&lt;5,Einstellungen!$B$3,Einstellungen!$B$4)</f>
        <v>29.13</v>
      </c>
      <c r="E17093" s="14" t="str">
        <f aca="false">IF(C17093="","",C17093*D17093/100)</f>
        <v/>
      </c>
      <c r="F17093" s="15" t="str">
        <f aca="false">IF(B17093&lt;5,"Go","Standard")</f>
        <v>Standard</v>
      </c>
    </row>
    <row r="17094" customFormat="false" ht="15" hidden="false" customHeight="true" outlineLevel="0" collapsed="false">
      <c r="A17094" s="10" t="n">
        <f aca="false">Einstellungen!$B$5+INT((ROW()-9)/24)</f>
        <v>46677</v>
      </c>
      <c r="B17094" s="11" t="n">
        <f aca="false">MOD(ROW()-9,24)</f>
        <v>21</v>
      </c>
      <c r="C17094" s="12"/>
      <c r="D17094" s="13" t="n">
        <f aca="false">IF(B17094&lt;5,Einstellungen!$B$3,Einstellungen!$B$4)</f>
        <v>29.13</v>
      </c>
      <c r="E17094" s="14" t="str">
        <f aca="false">IF(C17094="","",C17094*D17094/100)</f>
        <v/>
      </c>
      <c r="F17094" s="15" t="str">
        <f aca="false">IF(B17094&lt;5,"Go","Standard")</f>
        <v>Standard</v>
      </c>
    </row>
    <row r="17095" customFormat="false" ht="15" hidden="false" customHeight="true" outlineLevel="0" collapsed="false">
      <c r="A17095" s="10" t="n">
        <f aca="false">Einstellungen!$B$5+INT((ROW()-9)/24)</f>
        <v>46677</v>
      </c>
      <c r="B17095" s="11" t="n">
        <f aca="false">MOD(ROW()-9,24)</f>
        <v>22</v>
      </c>
      <c r="C17095" s="12"/>
      <c r="D17095" s="13" t="n">
        <f aca="false">IF(B17095&lt;5,Einstellungen!$B$3,Einstellungen!$B$4)</f>
        <v>29.13</v>
      </c>
      <c r="E17095" s="14" t="str">
        <f aca="false">IF(C17095="","",C17095*D17095/100)</f>
        <v/>
      </c>
      <c r="F17095" s="15" t="str">
        <f aca="false">IF(B17095&lt;5,"Go","Standard")</f>
        <v>Standard</v>
      </c>
    </row>
    <row r="17096" customFormat="false" ht="15" hidden="false" customHeight="true" outlineLevel="0" collapsed="false">
      <c r="A17096" s="10" t="n">
        <f aca="false">Einstellungen!$B$5+INT((ROW()-9)/24)</f>
        <v>46677</v>
      </c>
      <c r="B17096" s="11" t="n">
        <f aca="false">MOD(ROW()-9,24)</f>
        <v>23</v>
      </c>
      <c r="C17096" s="12"/>
      <c r="D17096" s="13" t="n">
        <f aca="false">IF(B17096&lt;5,Einstellungen!$B$3,Einstellungen!$B$4)</f>
        <v>29.13</v>
      </c>
      <c r="E17096" s="14" t="str">
        <f aca="false">IF(C17096="","",C17096*D17096/100)</f>
        <v/>
      </c>
      <c r="F17096" s="15" t="str">
        <f aca="false">IF(B17096&lt;5,"Go","Standard")</f>
        <v>Standard</v>
      </c>
    </row>
    <row r="17097" customFormat="false" ht="15" hidden="false" customHeight="true" outlineLevel="0" collapsed="false">
      <c r="A17097" s="10" t="n">
        <f aca="false">Einstellungen!$B$5+INT((ROW()-9)/24)</f>
        <v>46678</v>
      </c>
      <c r="B17097" s="11" t="n">
        <f aca="false">MOD(ROW()-9,24)</f>
        <v>0</v>
      </c>
      <c r="C17097" s="12"/>
      <c r="D17097" s="13" t="n">
        <f aca="false">IF(B17097&lt;5,Einstellungen!$B$3,Einstellungen!$B$4)</f>
        <v>15.92</v>
      </c>
      <c r="E17097" s="14" t="str">
        <f aca="false">IF(C17097="","",C17097*D17097/100)</f>
        <v/>
      </c>
      <c r="F17097" s="15" t="str">
        <f aca="false">IF(B17097&lt;5,"Go","Standard")</f>
        <v>Go</v>
      </c>
    </row>
    <row r="17098" customFormat="false" ht="15" hidden="false" customHeight="true" outlineLevel="0" collapsed="false">
      <c r="A17098" s="10" t="n">
        <f aca="false">Einstellungen!$B$5+INT((ROW()-9)/24)</f>
        <v>46678</v>
      </c>
      <c r="B17098" s="11" t="n">
        <f aca="false">MOD(ROW()-9,24)</f>
        <v>1</v>
      </c>
      <c r="C17098" s="12"/>
      <c r="D17098" s="13" t="n">
        <f aca="false">IF(B17098&lt;5,Einstellungen!$B$3,Einstellungen!$B$4)</f>
        <v>15.92</v>
      </c>
      <c r="E17098" s="14" t="str">
        <f aca="false">IF(C17098="","",C17098*D17098/100)</f>
        <v/>
      </c>
      <c r="F17098" s="15" t="str">
        <f aca="false">IF(B17098&lt;5,"Go","Standard")</f>
        <v>Go</v>
      </c>
    </row>
    <row r="17099" customFormat="false" ht="15" hidden="false" customHeight="true" outlineLevel="0" collapsed="false">
      <c r="A17099" s="10" t="n">
        <f aca="false">Einstellungen!$B$5+INT((ROW()-9)/24)</f>
        <v>46678</v>
      </c>
      <c r="B17099" s="11" t="n">
        <f aca="false">MOD(ROW()-9,24)</f>
        <v>2</v>
      </c>
      <c r="C17099" s="12"/>
      <c r="D17099" s="13" t="n">
        <f aca="false">IF(B17099&lt;5,Einstellungen!$B$3,Einstellungen!$B$4)</f>
        <v>15.92</v>
      </c>
      <c r="E17099" s="14" t="str">
        <f aca="false">IF(C17099="","",C17099*D17099/100)</f>
        <v/>
      </c>
      <c r="F17099" s="15" t="str">
        <f aca="false">IF(B17099&lt;5,"Go","Standard")</f>
        <v>Go</v>
      </c>
    </row>
    <row r="17100" customFormat="false" ht="15" hidden="false" customHeight="true" outlineLevel="0" collapsed="false">
      <c r="A17100" s="10" t="n">
        <f aca="false">Einstellungen!$B$5+INT((ROW()-9)/24)</f>
        <v>46678</v>
      </c>
      <c r="B17100" s="11" t="n">
        <f aca="false">MOD(ROW()-9,24)</f>
        <v>3</v>
      </c>
      <c r="C17100" s="12"/>
      <c r="D17100" s="13" t="n">
        <f aca="false">IF(B17100&lt;5,Einstellungen!$B$3,Einstellungen!$B$4)</f>
        <v>15.92</v>
      </c>
      <c r="E17100" s="14" t="str">
        <f aca="false">IF(C17100="","",C17100*D17100/100)</f>
        <v/>
      </c>
      <c r="F17100" s="15" t="str">
        <f aca="false">IF(B17100&lt;5,"Go","Standard")</f>
        <v>Go</v>
      </c>
    </row>
    <row r="17101" customFormat="false" ht="15" hidden="false" customHeight="true" outlineLevel="0" collapsed="false">
      <c r="A17101" s="10" t="n">
        <f aca="false">Einstellungen!$B$5+INT((ROW()-9)/24)</f>
        <v>46678</v>
      </c>
      <c r="B17101" s="11" t="n">
        <f aca="false">MOD(ROW()-9,24)</f>
        <v>4</v>
      </c>
      <c r="C17101" s="12"/>
      <c r="D17101" s="13" t="n">
        <f aca="false">IF(B17101&lt;5,Einstellungen!$B$3,Einstellungen!$B$4)</f>
        <v>15.92</v>
      </c>
      <c r="E17101" s="14" t="str">
        <f aca="false">IF(C17101="","",C17101*D17101/100)</f>
        <v/>
      </c>
      <c r="F17101" s="15" t="str">
        <f aca="false">IF(B17101&lt;5,"Go","Standard")</f>
        <v>Go</v>
      </c>
    </row>
    <row r="17102" customFormat="false" ht="15" hidden="false" customHeight="true" outlineLevel="0" collapsed="false">
      <c r="A17102" s="10" t="n">
        <f aca="false">Einstellungen!$B$5+INT((ROW()-9)/24)</f>
        <v>46678</v>
      </c>
      <c r="B17102" s="11" t="n">
        <f aca="false">MOD(ROW()-9,24)</f>
        <v>5</v>
      </c>
      <c r="C17102" s="12"/>
      <c r="D17102" s="13" t="n">
        <f aca="false">IF(B17102&lt;5,Einstellungen!$B$3,Einstellungen!$B$4)</f>
        <v>29.13</v>
      </c>
      <c r="E17102" s="14" t="str">
        <f aca="false">IF(C17102="","",C17102*D17102/100)</f>
        <v/>
      </c>
      <c r="F17102" s="15" t="str">
        <f aca="false">IF(B17102&lt;5,"Go","Standard")</f>
        <v>Standard</v>
      </c>
    </row>
    <row r="17103" customFormat="false" ht="15" hidden="false" customHeight="true" outlineLevel="0" collapsed="false">
      <c r="A17103" s="10" t="n">
        <f aca="false">Einstellungen!$B$5+INT((ROW()-9)/24)</f>
        <v>46678</v>
      </c>
      <c r="B17103" s="11" t="n">
        <f aca="false">MOD(ROW()-9,24)</f>
        <v>6</v>
      </c>
      <c r="C17103" s="12"/>
      <c r="D17103" s="13" t="n">
        <f aca="false">IF(B17103&lt;5,Einstellungen!$B$3,Einstellungen!$B$4)</f>
        <v>29.13</v>
      </c>
      <c r="E17103" s="14" t="str">
        <f aca="false">IF(C17103="","",C17103*D17103/100)</f>
        <v/>
      </c>
      <c r="F17103" s="15" t="str">
        <f aca="false">IF(B17103&lt;5,"Go","Standard")</f>
        <v>Standard</v>
      </c>
    </row>
    <row r="17104" customFormat="false" ht="15" hidden="false" customHeight="true" outlineLevel="0" collapsed="false">
      <c r="A17104" s="10" t="n">
        <f aca="false">Einstellungen!$B$5+INT((ROW()-9)/24)</f>
        <v>46678</v>
      </c>
      <c r="B17104" s="11" t="n">
        <f aca="false">MOD(ROW()-9,24)</f>
        <v>7</v>
      </c>
      <c r="C17104" s="12"/>
      <c r="D17104" s="13" t="n">
        <f aca="false">IF(B17104&lt;5,Einstellungen!$B$3,Einstellungen!$B$4)</f>
        <v>29.13</v>
      </c>
      <c r="E17104" s="14" t="str">
        <f aca="false">IF(C17104="","",C17104*D17104/100)</f>
        <v/>
      </c>
      <c r="F17104" s="15" t="str">
        <f aca="false">IF(B17104&lt;5,"Go","Standard")</f>
        <v>Standard</v>
      </c>
    </row>
    <row r="17105" customFormat="false" ht="15" hidden="false" customHeight="true" outlineLevel="0" collapsed="false">
      <c r="A17105" s="10" t="n">
        <f aca="false">Einstellungen!$B$5+INT((ROW()-9)/24)</f>
        <v>46678</v>
      </c>
      <c r="B17105" s="11" t="n">
        <f aca="false">MOD(ROW()-9,24)</f>
        <v>8</v>
      </c>
      <c r="C17105" s="12"/>
      <c r="D17105" s="13" t="n">
        <f aca="false">IF(B17105&lt;5,Einstellungen!$B$3,Einstellungen!$B$4)</f>
        <v>29.13</v>
      </c>
      <c r="E17105" s="14" t="str">
        <f aca="false">IF(C17105="","",C17105*D17105/100)</f>
        <v/>
      </c>
      <c r="F17105" s="15" t="str">
        <f aca="false">IF(B17105&lt;5,"Go","Standard")</f>
        <v>Standard</v>
      </c>
    </row>
    <row r="17106" customFormat="false" ht="15" hidden="false" customHeight="true" outlineLevel="0" collapsed="false">
      <c r="A17106" s="10" t="n">
        <f aca="false">Einstellungen!$B$5+INT((ROW()-9)/24)</f>
        <v>46678</v>
      </c>
      <c r="B17106" s="11" t="n">
        <f aca="false">MOD(ROW()-9,24)</f>
        <v>9</v>
      </c>
      <c r="C17106" s="12"/>
      <c r="D17106" s="13" t="n">
        <f aca="false">IF(B17106&lt;5,Einstellungen!$B$3,Einstellungen!$B$4)</f>
        <v>29.13</v>
      </c>
      <c r="E17106" s="14" t="str">
        <f aca="false">IF(C17106="","",C17106*D17106/100)</f>
        <v/>
      </c>
      <c r="F17106" s="15" t="str">
        <f aca="false">IF(B17106&lt;5,"Go","Standard")</f>
        <v>Standard</v>
      </c>
    </row>
    <row r="17107" customFormat="false" ht="15" hidden="false" customHeight="true" outlineLevel="0" collapsed="false">
      <c r="A17107" s="10" t="n">
        <f aca="false">Einstellungen!$B$5+INT((ROW()-9)/24)</f>
        <v>46678</v>
      </c>
      <c r="B17107" s="11" t="n">
        <f aca="false">MOD(ROW()-9,24)</f>
        <v>10</v>
      </c>
      <c r="C17107" s="12"/>
      <c r="D17107" s="13" t="n">
        <f aca="false">IF(B17107&lt;5,Einstellungen!$B$3,Einstellungen!$B$4)</f>
        <v>29.13</v>
      </c>
      <c r="E17107" s="14" t="str">
        <f aca="false">IF(C17107="","",C17107*D17107/100)</f>
        <v/>
      </c>
      <c r="F17107" s="15" t="str">
        <f aca="false">IF(B17107&lt;5,"Go","Standard")</f>
        <v>Standard</v>
      </c>
    </row>
    <row r="17108" customFormat="false" ht="15" hidden="false" customHeight="true" outlineLevel="0" collapsed="false">
      <c r="A17108" s="10" t="n">
        <f aca="false">Einstellungen!$B$5+INT((ROW()-9)/24)</f>
        <v>46678</v>
      </c>
      <c r="B17108" s="11" t="n">
        <f aca="false">MOD(ROW()-9,24)</f>
        <v>11</v>
      </c>
      <c r="C17108" s="12"/>
      <c r="D17108" s="13" t="n">
        <f aca="false">IF(B17108&lt;5,Einstellungen!$B$3,Einstellungen!$B$4)</f>
        <v>29.13</v>
      </c>
      <c r="E17108" s="14" t="str">
        <f aca="false">IF(C17108="","",C17108*D17108/100)</f>
        <v/>
      </c>
      <c r="F17108" s="15" t="str">
        <f aca="false">IF(B17108&lt;5,"Go","Standard")</f>
        <v>Standard</v>
      </c>
    </row>
    <row r="17109" customFormat="false" ht="15" hidden="false" customHeight="true" outlineLevel="0" collapsed="false">
      <c r="A17109" s="10" t="n">
        <f aca="false">Einstellungen!$B$5+INT((ROW()-9)/24)</f>
        <v>46678</v>
      </c>
      <c r="B17109" s="11" t="n">
        <f aca="false">MOD(ROW()-9,24)</f>
        <v>12</v>
      </c>
      <c r="C17109" s="12"/>
      <c r="D17109" s="13" t="n">
        <f aca="false">IF(B17109&lt;5,Einstellungen!$B$3,Einstellungen!$B$4)</f>
        <v>29.13</v>
      </c>
      <c r="E17109" s="14" t="str">
        <f aca="false">IF(C17109="","",C17109*D17109/100)</f>
        <v/>
      </c>
      <c r="F17109" s="15" t="str">
        <f aca="false">IF(B17109&lt;5,"Go","Standard")</f>
        <v>Standard</v>
      </c>
    </row>
    <row r="17110" customFormat="false" ht="15" hidden="false" customHeight="true" outlineLevel="0" collapsed="false">
      <c r="A17110" s="10" t="n">
        <f aca="false">Einstellungen!$B$5+INT((ROW()-9)/24)</f>
        <v>46678</v>
      </c>
      <c r="B17110" s="11" t="n">
        <f aca="false">MOD(ROW()-9,24)</f>
        <v>13</v>
      </c>
      <c r="C17110" s="12"/>
      <c r="D17110" s="13" t="n">
        <f aca="false">IF(B17110&lt;5,Einstellungen!$B$3,Einstellungen!$B$4)</f>
        <v>29.13</v>
      </c>
      <c r="E17110" s="14" t="str">
        <f aca="false">IF(C17110="","",C17110*D17110/100)</f>
        <v/>
      </c>
      <c r="F17110" s="15" t="str">
        <f aca="false">IF(B17110&lt;5,"Go","Standard")</f>
        <v>Standard</v>
      </c>
    </row>
    <row r="17111" customFormat="false" ht="15" hidden="false" customHeight="true" outlineLevel="0" collapsed="false">
      <c r="A17111" s="10" t="n">
        <f aca="false">Einstellungen!$B$5+INT((ROW()-9)/24)</f>
        <v>46678</v>
      </c>
      <c r="B17111" s="11" t="n">
        <f aca="false">MOD(ROW()-9,24)</f>
        <v>14</v>
      </c>
      <c r="C17111" s="12"/>
      <c r="D17111" s="13" t="n">
        <f aca="false">IF(B17111&lt;5,Einstellungen!$B$3,Einstellungen!$B$4)</f>
        <v>29.13</v>
      </c>
      <c r="E17111" s="14" t="str">
        <f aca="false">IF(C17111="","",C17111*D17111/100)</f>
        <v/>
      </c>
      <c r="F17111" s="15" t="str">
        <f aca="false">IF(B17111&lt;5,"Go","Standard")</f>
        <v>Standard</v>
      </c>
    </row>
    <row r="17112" customFormat="false" ht="15" hidden="false" customHeight="true" outlineLevel="0" collapsed="false">
      <c r="A17112" s="10" t="n">
        <f aca="false">Einstellungen!$B$5+INT((ROW()-9)/24)</f>
        <v>46678</v>
      </c>
      <c r="B17112" s="11" t="n">
        <f aca="false">MOD(ROW()-9,24)</f>
        <v>15</v>
      </c>
      <c r="C17112" s="12"/>
      <c r="D17112" s="13" t="n">
        <f aca="false">IF(B17112&lt;5,Einstellungen!$B$3,Einstellungen!$B$4)</f>
        <v>29.13</v>
      </c>
      <c r="E17112" s="14" t="str">
        <f aca="false">IF(C17112="","",C17112*D17112/100)</f>
        <v/>
      </c>
      <c r="F17112" s="15" t="str">
        <f aca="false">IF(B17112&lt;5,"Go","Standard")</f>
        <v>Standard</v>
      </c>
    </row>
    <row r="17113" customFormat="false" ht="15" hidden="false" customHeight="true" outlineLevel="0" collapsed="false">
      <c r="A17113" s="10" t="n">
        <f aca="false">Einstellungen!$B$5+INT((ROW()-9)/24)</f>
        <v>46678</v>
      </c>
      <c r="B17113" s="11" t="n">
        <f aca="false">MOD(ROW()-9,24)</f>
        <v>16</v>
      </c>
      <c r="C17113" s="12"/>
      <c r="D17113" s="13" t="n">
        <f aca="false">IF(B17113&lt;5,Einstellungen!$B$3,Einstellungen!$B$4)</f>
        <v>29.13</v>
      </c>
      <c r="E17113" s="14" t="str">
        <f aca="false">IF(C17113="","",C17113*D17113/100)</f>
        <v/>
      </c>
      <c r="F17113" s="15" t="str">
        <f aca="false">IF(B17113&lt;5,"Go","Standard")</f>
        <v>Standard</v>
      </c>
    </row>
    <row r="17114" customFormat="false" ht="15" hidden="false" customHeight="true" outlineLevel="0" collapsed="false">
      <c r="A17114" s="10" t="n">
        <f aca="false">Einstellungen!$B$5+INT((ROW()-9)/24)</f>
        <v>46678</v>
      </c>
      <c r="B17114" s="11" t="n">
        <f aca="false">MOD(ROW()-9,24)</f>
        <v>17</v>
      </c>
      <c r="C17114" s="12"/>
      <c r="D17114" s="13" t="n">
        <f aca="false">IF(B17114&lt;5,Einstellungen!$B$3,Einstellungen!$B$4)</f>
        <v>29.13</v>
      </c>
      <c r="E17114" s="14" t="str">
        <f aca="false">IF(C17114="","",C17114*D17114/100)</f>
        <v/>
      </c>
      <c r="F17114" s="15" t="str">
        <f aca="false">IF(B17114&lt;5,"Go","Standard")</f>
        <v>Standard</v>
      </c>
    </row>
    <row r="17115" customFormat="false" ht="15" hidden="false" customHeight="true" outlineLevel="0" collapsed="false">
      <c r="A17115" s="10" t="n">
        <f aca="false">Einstellungen!$B$5+INT((ROW()-9)/24)</f>
        <v>46678</v>
      </c>
      <c r="B17115" s="11" t="n">
        <f aca="false">MOD(ROW()-9,24)</f>
        <v>18</v>
      </c>
      <c r="C17115" s="12"/>
      <c r="D17115" s="13" t="n">
        <f aca="false">IF(B17115&lt;5,Einstellungen!$B$3,Einstellungen!$B$4)</f>
        <v>29.13</v>
      </c>
      <c r="E17115" s="14" t="str">
        <f aca="false">IF(C17115="","",C17115*D17115/100)</f>
        <v/>
      </c>
      <c r="F17115" s="15" t="str">
        <f aca="false">IF(B17115&lt;5,"Go","Standard")</f>
        <v>Standard</v>
      </c>
    </row>
    <row r="17116" customFormat="false" ht="15" hidden="false" customHeight="true" outlineLevel="0" collapsed="false">
      <c r="A17116" s="10" t="n">
        <f aca="false">Einstellungen!$B$5+INT((ROW()-9)/24)</f>
        <v>46678</v>
      </c>
      <c r="B17116" s="11" t="n">
        <f aca="false">MOD(ROW()-9,24)</f>
        <v>19</v>
      </c>
      <c r="C17116" s="12"/>
      <c r="D17116" s="13" t="n">
        <f aca="false">IF(B17116&lt;5,Einstellungen!$B$3,Einstellungen!$B$4)</f>
        <v>29.13</v>
      </c>
      <c r="E17116" s="14" t="str">
        <f aca="false">IF(C17116="","",C17116*D17116/100)</f>
        <v/>
      </c>
      <c r="F17116" s="15" t="str">
        <f aca="false">IF(B17116&lt;5,"Go","Standard")</f>
        <v>Standard</v>
      </c>
    </row>
    <row r="17117" customFormat="false" ht="15" hidden="false" customHeight="true" outlineLevel="0" collapsed="false">
      <c r="A17117" s="10" t="n">
        <f aca="false">Einstellungen!$B$5+INT((ROW()-9)/24)</f>
        <v>46678</v>
      </c>
      <c r="B17117" s="11" t="n">
        <f aca="false">MOD(ROW()-9,24)</f>
        <v>20</v>
      </c>
      <c r="C17117" s="12"/>
      <c r="D17117" s="13" t="n">
        <f aca="false">IF(B17117&lt;5,Einstellungen!$B$3,Einstellungen!$B$4)</f>
        <v>29.13</v>
      </c>
      <c r="E17117" s="14" t="str">
        <f aca="false">IF(C17117="","",C17117*D17117/100)</f>
        <v/>
      </c>
      <c r="F17117" s="15" t="str">
        <f aca="false">IF(B17117&lt;5,"Go","Standard")</f>
        <v>Standard</v>
      </c>
    </row>
    <row r="17118" customFormat="false" ht="15" hidden="false" customHeight="true" outlineLevel="0" collapsed="false">
      <c r="A17118" s="10" t="n">
        <f aca="false">Einstellungen!$B$5+INT((ROW()-9)/24)</f>
        <v>46678</v>
      </c>
      <c r="B17118" s="11" t="n">
        <f aca="false">MOD(ROW()-9,24)</f>
        <v>21</v>
      </c>
      <c r="C17118" s="12"/>
      <c r="D17118" s="13" t="n">
        <f aca="false">IF(B17118&lt;5,Einstellungen!$B$3,Einstellungen!$B$4)</f>
        <v>29.13</v>
      </c>
      <c r="E17118" s="14" t="str">
        <f aca="false">IF(C17118="","",C17118*D17118/100)</f>
        <v/>
      </c>
      <c r="F17118" s="15" t="str">
        <f aca="false">IF(B17118&lt;5,"Go","Standard")</f>
        <v>Standard</v>
      </c>
    </row>
    <row r="17119" customFormat="false" ht="15" hidden="false" customHeight="true" outlineLevel="0" collapsed="false">
      <c r="A17119" s="10" t="n">
        <f aca="false">Einstellungen!$B$5+INT((ROW()-9)/24)</f>
        <v>46678</v>
      </c>
      <c r="B17119" s="11" t="n">
        <f aca="false">MOD(ROW()-9,24)</f>
        <v>22</v>
      </c>
      <c r="C17119" s="12"/>
      <c r="D17119" s="13" t="n">
        <f aca="false">IF(B17119&lt;5,Einstellungen!$B$3,Einstellungen!$B$4)</f>
        <v>29.13</v>
      </c>
      <c r="E17119" s="14" t="str">
        <f aca="false">IF(C17119="","",C17119*D17119/100)</f>
        <v/>
      </c>
      <c r="F17119" s="15" t="str">
        <f aca="false">IF(B17119&lt;5,"Go","Standard")</f>
        <v>Standard</v>
      </c>
    </row>
    <row r="17120" customFormat="false" ht="15" hidden="false" customHeight="true" outlineLevel="0" collapsed="false">
      <c r="A17120" s="10" t="n">
        <f aca="false">Einstellungen!$B$5+INT((ROW()-9)/24)</f>
        <v>46678</v>
      </c>
      <c r="B17120" s="11" t="n">
        <f aca="false">MOD(ROW()-9,24)</f>
        <v>23</v>
      </c>
      <c r="C17120" s="12"/>
      <c r="D17120" s="13" t="n">
        <f aca="false">IF(B17120&lt;5,Einstellungen!$B$3,Einstellungen!$B$4)</f>
        <v>29.13</v>
      </c>
      <c r="E17120" s="14" t="str">
        <f aca="false">IF(C17120="","",C17120*D17120/100)</f>
        <v/>
      </c>
      <c r="F17120" s="15" t="str">
        <f aca="false">IF(B17120&lt;5,"Go","Standard")</f>
        <v>Standard</v>
      </c>
    </row>
    <row r="17121" customFormat="false" ht="15" hidden="false" customHeight="true" outlineLevel="0" collapsed="false">
      <c r="A17121" s="10" t="n">
        <f aca="false">Einstellungen!$B$5+INT((ROW()-9)/24)</f>
        <v>46679</v>
      </c>
      <c r="B17121" s="11" t="n">
        <f aca="false">MOD(ROW()-9,24)</f>
        <v>0</v>
      </c>
      <c r="C17121" s="12"/>
      <c r="D17121" s="13" t="n">
        <f aca="false">IF(B17121&lt;5,Einstellungen!$B$3,Einstellungen!$B$4)</f>
        <v>15.92</v>
      </c>
      <c r="E17121" s="14" t="str">
        <f aca="false">IF(C17121="","",C17121*D17121/100)</f>
        <v/>
      </c>
      <c r="F17121" s="15" t="str">
        <f aca="false">IF(B17121&lt;5,"Go","Standard")</f>
        <v>Go</v>
      </c>
    </row>
    <row r="17122" customFormat="false" ht="15" hidden="false" customHeight="true" outlineLevel="0" collapsed="false">
      <c r="A17122" s="10" t="n">
        <f aca="false">Einstellungen!$B$5+INT((ROW()-9)/24)</f>
        <v>46679</v>
      </c>
      <c r="B17122" s="11" t="n">
        <f aca="false">MOD(ROW()-9,24)</f>
        <v>1</v>
      </c>
      <c r="C17122" s="12"/>
      <c r="D17122" s="13" t="n">
        <f aca="false">IF(B17122&lt;5,Einstellungen!$B$3,Einstellungen!$B$4)</f>
        <v>15.92</v>
      </c>
      <c r="E17122" s="14" t="str">
        <f aca="false">IF(C17122="","",C17122*D17122/100)</f>
        <v/>
      </c>
      <c r="F17122" s="15" t="str">
        <f aca="false">IF(B17122&lt;5,"Go","Standard")</f>
        <v>Go</v>
      </c>
    </row>
    <row r="17123" customFormat="false" ht="15" hidden="false" customHeight="true" outlineLevel="0" collapsed="false">
      <c r="A17123" s="10" t="n">
        <f aca="false">Einstellungen!$B$5+INT((ROW()-9)/24)</f>
        <v>46679</v>
      </c>
      <c r="B17123" s="11" t="n">
        <f aca="false">MOD(ROW()-9,24)</f>
        <v>2</v>
      </c>
      <c r="C17123" s="12"/>
      <c r="D17123" s="13" t="n">
        <f aca="false">IF(B17123&lt;5,Einstellungen!$B$3,Einstellungen!$B$4)</f>
        <v>15.92</v>
      </c>
      <c r="E17123" s="14" t="str">
        <f aca="false">IF(C17123="","",C17123*D17123/100)</f>
        <v/>
      </c>
      <c r="F17123" s="15" t="str">
        <f aca="false">IF(B17123&lt;5,"Go","Standard")</f>
        <v>Go</v>
      </c>
    </row>
    <row r="17124" customFormat="false" ht="15" hidden="false" customHeight="true" outlineLevel="0" collapsed="false">
      <c r="A17124" s="10" t="n">
        <f aca="false">Einstellungen!$B$5+INT((ROW()-9)/24)</f>
        <v>46679</v>
      </c>
      <c r="B17124" s="11" t="n">
        <f aca="false">MOD(ROW()-9,24)</f>
        <v>3</v>
      </c>
      <c r="C17124" s="12"/>
      <c r="D17124" s="13" t="n">
        <f aca="false">IF(B17124&lt;5,Einstellungen!$B$3,Einstellungen!$B$4)</f>
        <v>15.92</v>
      </c>
      <c r="E17124" s="14" t="str">
        <f aca="false">IF(C17124="","",C17124*D17124/100)</f>
        <v/>
      </c>
      <c r="F17124" s="15" t="str">
        <f aca="false">IF(B17124&lt;5,"Go","Standard")</f>
        <v>Go</v>
      </c>
    </row>
    <row r="17125" customFormat="false" ht="15" hidden="false" customHeight="true" outlineLevel="0" collapsed="false">
      <c r="A17125" s="10" t="n">
        <f aca="false">Einstellungen!$B$5+INT((ROW()-9)/24)</f>
        <v>46679</v>
      </c>
      <c r="B17125" s="11" t="n">
        <f aca="false">MOD(ROW()-9,24)</f>
        <v>4</v>
      </c>
      <c r="C17125" s="12"/>
      <c r="D17125" s="13" t="n">
        <f aca="false">IF(B17125&lt;5,Einstellungen!$B$3,Einstellungen!$B$4)</f>
        <v>15.92</v>
      </c>
      <c r="E17125" s="14" t="str">
        <f aca="false">IF(C17125="","",C17125*D17125/100)</f>
        <v/>
      </c>
      <c r="F17125" s="15" t="str">
        <f aca="false">IF(B17125&lt;5,"Go","Standard")</f>
        <v>Go</v>
      </c>
    </row>
    <row r="17126" customFormat="false" ht="15" hidden="false" customHeight="true" outlineLevel="0" collapsed="false">
      <c r="A17126" s="10" t="n">
        <f aca="false">Einstellungen!$B$5+INT((ROW()-9)/24)</f>
        <v>46679</v>
      </c>
      <c r="B17126" s="11" t="n">
        <f aca="false">MOD(ROW()-9,24)</f>
        <v>5</v>
      </c>
      <c r="C17126" s="12"/>
      <c r="D17126" s="13" t="n">
        <f aca="false">IF(B17126&lt;5,Einstellungen!$B$3,Einstellungen!$B$4)</f>
        <v>29.13</v>
      </c>
      <c r="E17126" s="14" t="str">
        <f aca="false">IF(C17126="","",C17126*D17126/100)</f>
        <v/>
      </c>
      <c r="F17126" s="15" t="str">
        <f aca="false">IF(B17126&lt;5,"Go","Standard")</f>
        <v>Standard</v>
      </c>
    </row>
    <row r="17127" customFormat="false" ht="15" hidden="false" customHeight="true" outlineLevel="0" collapsed="false">
      <c r="A17127" s="10" t="n">
        <f aca="false">Einstellungen!$B$5+INT((ROW()-9)/24)</f>
        <v>46679</v>
      </c>
      <c r="B17127" s="11" t="n">
        <f aca="false">MOD(ROW()-9,24)</f>
        <v>6</v>
      </c>
      <c r="C17127" s="12"/>
      <c r="D17127" s="13" t="n">
        <f aca="false">IF(B17127&lt;5,Einstellungen!$B$3,Einstellungen!$B$4)</f>
        <v>29.13</v>
      </c>
      <c r="E17127" s="14" t="str">
        <f aca="false">IF(C17127="","",C17127*D17127/100)</f>
        <v/>
      </c>
      <c r="F17127" s="15" t="str">
        <f aca="false">IF(B17127&lt;5,"Go","Standard")</f>
        <v>Standard</v>
      </c>
    </row>
    <row r="17128" customFormat="false" ht="15" hidden="false" customHeight="true" outlineLevel="0" collapsed="false">
      <c r="A17128" s="10" t="n">
        <f aca="false">Einstellungen!$B$5+INT((ROW()-9)/24)</f>
        <v>46679</v>
      </c>
      <c r="B17128" s="11" t="n">
        <f aca="false">MOD(ROW()-9,24)</f>
        <v>7</v>
      </c>
      <c r="C17128" s="12"/>
      <c r="D17128" s="13" t="n">
        <f aca="false">IF(B17128&lt;5,Einstellungen!$B$3,Einstellungen!$B$4)</f>
        <v>29.13</v>
      </c>
      <c r="E17128" s="14" t="str">
        <f aca="false">IF(C17128="","",C17128*D17128/100)</f>
        <v/>
      </c>
      <c r="F17128" s="15" t="str">
        <f aca="false">IF(B17128&lt;5,"Go","Standard")</f>
        <v>Standard</v>
      </c>
    </row>
    <row r="17129" customFormat="false" ht="15" hidden="false" customHeight="true" outlineLevel="0" collapsed="false">
      <c r="A17129" s="10" t="n">
        <f aca="false">Einstellungen!$B$5+INT((ROW()-9)/24)</f>
        <v>46679</v>
      </c>
      <c r="B17129" s="11" t="n">
        <f aca="false">MOD(ROW()-9,24)</f>
        <v>8</v>
      </c>
      <c r="C17129" s="12"/>
      <c r="D17129" s="13" t="n">
        <f aca="false">IF(B17129&lt;5,Einstellungen!$B$3,Einstellungen!$B$4)</f>
        <v>29.13</v>
      </c>
      <c r="E17129" s="14" t="str">
        <f aca="false">IF(C17129="","",C17129*D17129/100)</f>
        <v/>
      </c>
      <c r="F17129" s="15" t="str">
        <f aca="false">IF(B17129&lt;5,"Go","Standard")</f>
        <v>Standard</v>
      </c>
    </row>
    <row r="17130" customFormat="false" ht="15" hidden="false" customHeight="true" outlineLevel="0" collapsed="false">
      <c r="A17130" s="10" t="n">
        <f aca="false">Einstellungen!$B$5+INT((ROW()-9)/24)</f>
        <v>46679</v>
      </c>
      <c r="B17130" s="11" t="n">
        <f aca="false">MOD(ROW()-9,24)</f>
        <v>9</v>
      </c>
      <c r="C17130" s="12"/>
      <c r="D17130" s="13" t="n">
        <f aca="false">IF(B17130&lt;5,Einstellungen!$B$3,Einstellungen!$B$4)</f>
        <v>29.13</v>
      </c>
      <c r="E17130" s="14" t="str">
        <f aca="false">IF(C17130="","",C17130*D17130/100)</f>
        <v/>
      </c>
      <c r="F17130" s="15" t="str">
        <f aca="false">IF(B17130&lt;5,"Go","Standard")</f>
        <v>Standard</v>
      </c>
    </row>
    <row r="17131" customFormat="false" ht="15" hidden="false" customHeight="true" outlineLevel="0" collapsed="false">
      <c r="A17131" s="10" t="n">
        <f aca="false">Einstellungen!$B$5+INT((ROW()-9)/24)</f>
        <v>46679</v>
      </c>
      <c r="B17131" s="11" t="n">
        <f aca="false">MOD(ROW()-9,24)</f>
        <v>10</v>
      </c>
      <c r="C17131" s="12"/>
      <c r="D17131" s="13" t="n">
        <f aca="false">IF(B17131&lt;5,Einstellungen!$B$3,Einstellungen!$B$4)</f>
        <v>29.13</v>
      </c>
      <c r="E17131" s="14" t="str">
        <f aca="false">IF(C17131="","",C17131*D17131/100)</f>
        <v/>
      </c>
      <c r="F17131" s="15" t="str">
        <f aca="false">IF(B17131&lt;5,"Go","Standard")</f>
        <v>Standard</v>
      </c>
    </row>
    <row r="17132" customFormat="false" ht="15" hidden="false" customHeight="true" outlineLevel="0" collapsed="false">
      <c r="A17132" s="10" t="n">
        <f aca="false">Einstellungen!$B$5+INT((ROW()-9)/24)</f>
        <v>46679</v>
      </c>
      <c r="B17132" s="11" t="n">
        <f aca="false">MOD(ROW()-9,24)</f>
        <v>11</v>
      </c>
      <c r="C17132" s="12"/>
      <c r="D17132" s="13" t="n">
        <f aca="false">IF(B17132&lt;5,Einstellungen!$B$3,Einstellungen!$B$4)</f>
        <v>29.13</v>
      </c>
      <c r="E17132" s="14" t="str">
        <f aca="false">IF(C17132="","",C17132*D17132/100)</f>
        <v/>
      </c>
      <c r="F17132" s="15" t="str">
        <f aca="false">IF(B17132&lt;5,"Go","Standard")</f>
        <v>Standard</v>
      </c>
    </row>
    <row r="17133" customFormat="false" ht="15" hidden="false" customHeight="true" outlineLevel="0" collapsed="false">
      <c r="A17133" s="10" t="n">
        <f aca="false">Einstellungen!$B$5+INT((ROW()-9)/24)</f>
        <v>46679</v>
      </c>
      <c r="B17133" s="11" t="n">
        <f aca="false">MOD(ROW()-9,24)</f>
        <v>12</v>
      </c>
      <c r="C17133" s="12"/>
      <c r="D17133" s="13" t="n">
        <f aca="false">IF(B17133&lt;5,Einstellungen!$B$3,Einstellungen!$B$4)</f>
        <v>29.13</v>
      </c>
      <c r="E17133" s="14" t="str">
        <f aca="false">IF(C17133="","",C17133*D17133/100)</f>
        <v/>
      </c>
      <c r="F17133" s="15" t="str">
        <f aca="false">IF(B17133&lt;5,"Go","Standard")</f>
        <v>Standard</v>
      </c>
    </row>
    <row r="17134" customFormat="false" ht="15" hidden="false" customHeight="true" outlineLevel="0" collapsed="false">
      <c r="A17134" s="10" t="n">
        <f aca="false">Einstellungen!$B$5+INT((ROW()-9)/24)</f>
        <v>46679</v>
      </c>
      <c r="B17134" s="11" t="n">
        <f aca="false">MOD(ROW()-9,24)</f>
        <v>13</v>
      </c>
      <c r="C17134" s="12"/>
      <c r="D17134" s="13" t="n">
        <f aca="false">IF(B17134&lt;5,Einstellungen!$B$3,Einstellungen!$B$4)</f>
        <v>29.13</v>
      </c>
      <c r="E17134" s="14" t="str">
        <f aca="false">IF(C17134="","",C17134*D17134/100)</f>
        <v/>
      </c>
      <c r="F17134" s="15" t="str">
        <f aca="false">IF(B17134&lt;5,"Go","Standard")</f>
        <v>Standard</v>
      </c>
    </row>
    <row r="17135" customFormat="false" ht="15" hidden="false" customHeight="true" outlineLevel="0" collapsed="false">
      <c r="A17135" s="10" t="n">
        <f aca="false">Einstellungen!$B$5+INT((ROW()-9)/24)</f>
        <v>46679</v>
      </c>
      <c r="B17135" s="11" t="n">
        <f aca="false">MOD(ROW()-9,24)</f>
        <v>14</v>
      </c>
      <c r="C17135" s="12"/>
      <c r="D17135" s="13" t="n">
        <f aca="false">IF(B17135&lt;5,Einstellungen!$B$3,Einstellungen!$B$4)</f>
        <v>29.13</v>
      </c>
      <c r="E17135" s="14" t="str">
        <f aca="false">IF(C17135="","",C17135*D17135/100)</f>
        <v/>
      </c>
      <c r="F17135" s="15" t="str">
        <f aca="false">IF(B17135&lt;5,"Go","Standard")</f>
        <v>Standard</v>
      </c>
    </row>
    <row r="17136" customFormat="false" ht="15" hidden="false" customHeight="true" outlineLevel="0" collapsed="false">
      <c r="A17136" s="10" t="n">
        <f aca="false">Einstellungen!$B$5+INT((ROW()-9)/24)</f>
        <v>46679</v>
      </c>
      <c r="B17136" s="11" t="n">
        <f aca="false">MOD(ROW()-9,24)</f>
        <v>15</v>
      </c>
      <c r="C17136" s="12"/>
      <c r="D17136" s="13" t="n">
        <f aca="false">IF(B17136&lt;5,Einstellungen!$B$3,Einstellungen!$B$4)</f>
        <v>29.13</v>
      </c>
      <c r="E17136" s="14" t="str">
        <f aca="false">IF(C17136="","",C17136*D17136/100)</f>
        <v/>
      </c>
      <c r="F17136" s="15" t="str">
        <f aca="false">IF(B17136&lt;5,"Go","Standard")</f>
        <v>Standard</v>
      </c>
    </row>
    <row r="17137" customFormat="false" ht="15" hidden="false" customHeight="true" outlineLevel="0" collapsed="false">
      <c r="A17137" s="10" t="n">
        <f aca="false">Einstellungen!$B$5+INT((ROW()-9)/24)</f>
        <v>46679</v>
      </c>
      <c r="B17137" s="11" t="n">
        <f aca="false">MOD(ROW()-9,24)</f>
        <v>16</v>
      </c>
      <c r="C17137" s="12"/>
      <c r="D17137" s="13" t="n">
        <f aca="false">IF(B17137&lt;5,Einstellungen!$B$3,Einstellungen!$B$4)</f>
        <v>29.13</v>
      </c>
      <c r="E17137" s="14" t="str">
        <f aca="false">IF(C17137="","",C17137*D17137/100)</f>
        <v/>
      </c>
      <c r="F17137" s="15" t="str">
        <f aca="false">IF(B17137&lt;5,"Go","Standard")</f>
        <v>Standard</v>
      </c>
    </row>
    <row r="17138" customFormat="false" ht="15" hidden="false" customHeight="true" outlineLevel="0" collapsed="false">
      <c r="A17138" s="10" t="n">
        <f aca="false">Einstellungen!$B$5+INT((ROW()-9)/24)</f>
        <v>46679</v>
      </c>
      <c r="B17138" s="11" t="n">
        <f aca="false">MOD(ROW()-9,24)</f>
        <v>17</v>
      </c>
      <c r="C17138" s="12"/>
      <c r="D17138" s="13" t="n">
        <f aca="false">IF(B17138&lt;5,Einstellungen!$B$3,Einstellungen!$B$4)</f>
        <v>29.13</v>
      </c>
      <c r="E17138" s="14" t="str">
        <f aca="false">IF(C17138="","",C17138*D17138/100)</f>
        <v/>
      </c>
      <c r="F17138" s="15" t="str">
        <f aca="false">IF(B17138&lt;5,"Go","Standard")</f>
        <v>Standard</v>
      </c>
    </row>
    <row r="17139" customFormat="false" ht="15" hidden="false" customHeight="true" outlineLevel="0" collapsed="false">
      <c r="A17139" s="10" t="n">
        <f aca="false">Einstellungen!$B$5+INT((ROW()-9)/24)</f>
        <v>46679</v>
      </c>
      <c r="B17139" s="11" t="n">
        <f aca="false">MOD(ROW()-9,24)</f>
        <v>18</v>
      </c>
      <c r="C17139" s="12"/>
      <c r="D17139" s="13" t="n">
        <f aca="false">IF(B17139&lt;5,Einstellungen!$B$3,Einstellungen!$B$4)</f>
        <v>29.13</v>
      </c>
      <c r="E17139" s="14" t="str">
        <f aca="false">IF(C17139="","",C17139*D17139/100)</f>
        <v/>
      </c>
      <c r="F17139" s="15" t="str">
        <f aca="false">IF(B17139&lt;5,"Go","Standard")</f>
        <v>Standard</v>
      </c>
    </row>
    <row r="17140" customFormat="false" ht="15" hidden="false" customHeight="true" outlineLevel="0" collapsed="false">
      <c r="A17140" s="10" t="n">
        <f aca="false">Einstellungen!$B$5+INT((ROW()-9)/24)</f>
        <v>46679</v>
      </c>
      <c r="B17140" s="11" t="n">
        <f aca="false">MOD(ROW()-9,24)</f>
        <v>19</v>
      </c>
      <c r="C17140" s="12"/>
      <c r="D17140" s="13" t="n">
        <f aca="false">IF(B17140&lt;5,Einstellungen!$B$3,Einstellungen!$B$4)</f>
        <v>29.13</v>
      </c>
      <c r="E17140" s="14" t="str">
        <f aca="false">IF(C17140="","",C17140*D17140/100)</f>
        <v/>
      </c>
      <c r="F17140" s="15" t="str">
        <f aca="false">IF(B17140&lt;5,"Go","Standard")</f>
        <v>Standard</v>
      </c>
    </row>
    <row r="17141" customFormat="false" ht="15" hidden="false" customHeight="true" outlineLevel="0" collapsed="false">
      <c r="A17141" s="10" t="n">
        <f aca="false">Einstellungen!$B$5+INT((ROW()-9)/24)</f>
        <v>46679</v>
      </c>
      <c r="B17141" s="11" t="n">
        <f aca="false">MOD(ROW()-9,24)</f>
        <v>20</v>
      </c>
      <c r="C17141" s="12"/>
      <c r="D17141" s="13" t="n">
        <f aca="false">IF(B17141&lt;5,Einstellungen!$B$3,Einstellungen!$B$4)</f>
        <v>29.13</v>
      </c>
      <c r="E17141" s="14" t="str">
        <f aca="false">IF(C17141="","",C17141*D17141/100)</f>
        <v/>
      </c>
      <c r="F17141" s="15" t="str">
        <f aca="false">IF(B17141&lt;5,"Go","Standard")</f>
        <v>Standard</v>
      </c>
    </row>
    <row r="17142" customFormat="false" ht="15" hidden="false" customHeight="true" outlineLevel="0" collapsed="false">
      <c r="A17142" s="10" t="n">
        <f aca="false">Einstellungen!$B$5+INT((ROW()-9)/24)</f>
        <v>46679</v>
      </c>
      <c r="B17142" s="11" t="n">
        <f aca="false">MOD(ROW()-9,24)</f>
        <v>21</v>
      </c>
      <c r="C17142" s="12"/>
      <c r="D17142" s="13" t="n">
        <f aca="false">IF(B17142&lt;5,Einstellungen!$B$3,Einstellungen!$B$4)</f>
        <v>29.13</v>
      </c>
      <c r="E17142" s="14" t="str">
        <f aca="false">IF(C17142="","",C17142*D17142/100)</f>
        <v/>
      </c>
      <c r="F17142" s="15" t="str">
        <f aca="false">IF(B17142&lt;5,"Go","Standard")</f>
        <v>Standard</v>
      </c>
    </row>
    <row r="17143" customFormat="false" ht="15" hidden="false" customHeight="true" outlineLevel="0" collapsed="false">
      <c r="A17143" s="10" t="n">
        <f aca="false">Einstellungen!$B$5+INT((ROW()-9)/24)</f>
        <v>46679</v>
      </c>
      <c r="B17143" s="11" t="n">
        <f aca="false">MOD(ROW()-9,24)</f>
        <v>22</v>
      </c>
      <c r="C17143" s="12"/>
      <c r="D17143" s="13" t="n">
        <f aca="false">IF(B17143&lt;5,Einstellungen!$B$3,Einstellungen!$B$4)</f>
        <v>29.13</v>
      </c>
      <c r="E17143" s="14" t="str">
        <f aca="false">IF(C17143="","",C17143*D17143/100)</f>
        <v/>
      </c>
      <c r="F17143" s="15" t="str">
        <f aca="false">IF(B17143&lt;5,"Go","Standard")</f>
        <v>Standard</v>
      </c>
    </row>
    <row r="17144" customFormat="false" ht="15" hidden="false" customHeight="true" outlineLevel="0" collapsed="false">
      <c r="A17144" s="10" t="n">
        <f aca="false">Einstellungen!$B$5+INT((ROW()-9)/24)</f>
        <v>46679</v>
      </c>
      <c r="B17144" s="11" t="n">
        <f aca="false">MOD(ROW()-9,24)</f>
        <v>23</v>
      </c>
      <c r="C17144" s="12"/>
      <c r="D17144" s="13" t="n">
        <f aca="false">IF(B17144&lt;5,Einstellungen!$B$3,Einstellungen!$B$4)</f>
        <v>29.13</v>
      </c>
      <c r="E17144" s="14" t="str">
        <f aca="false">IF(C17144="","",C17144*D17144/100)</f>
        <v/>
      </c>
      <c r="F17144" s="15" t="str">
        <f aca="false">IF(B17144&lt;5,"Go","Standard")</f>
        <v>Standard</v>
      </c>
    </row>
    <row r="17145" customFormat="false" ht="15" hidden="false" customHeight="true" outlineLevel="0" collapsed="false">
      <c r="A17145" s="10" t="n">
        <f aca="false">Einstellungen!$B$5+INT((ROW()-9)/24)</f>
        <v>46680</v>
      </c>
      <c r="B17145" s="11" t="n">
        <f aca="false">MOD(ROW()-9,24)</f>
        <v>0</v>
      </c>
      <c r="C17145" s="12"/>
      <c r="D17145" s="13" t="n">
        <f aca="false">IF(B17145&lt;5,Einstellungen!$B$3,Einstellungen!$B$4)</f>
        <v>15.92</v>
      </c>
      <c r="E17145" s="14" t="str">
        <f aca="false">IF(C17145="","",C17145*D17145/100)</f>
        <v/>
      </c>
      <c r="F17145" s="15" t="str">
        <f aca="false">IF(B17145&lt;5,"Go","Standard")</f>
        <v>Go</v>
      </c>
    </row>
    <row r="17146" customFormat="false" ht="15" hidden="false" customHeight="true" outlineLevel="0" collapsed="false">
      <c r="A17146" s="10" t="n">
        <f aca="false">Einstellungen!$B$5+INT((ROW()-9)/24)</f>
        <v>46680</v>
      </c>
      <c r="B17146" s="11" t="n">
        <f aca="false">MOD(ROW()-9,24)</f>
        <v>1</v>
      </c>
      <c r="C17146" s="12"/>
      <c r="D17146" s="13" t="n">
        <f aca="false">IF(B17146&lt;5,Einstellungen!$B$3,Einstellungen!$B$4)</f>
        <v>15.92</v>
      </c>
      <c r="E17146" s="14" t="str">
        <f aca="false">IF(C17146="","",C17146*D17146/100)</f>
        <v/>
      </c>
      <c r="F17146" s="15" t="str">
        <f aca="false">IF(B17146&lt;5,"Go","Standard")</f>
        <v>Go</v>
      </c>
    </row>
    <row r="17147" customFormat="false" ht="15" hidden="false" customHeight="true" outlineLevel="0" collapsed="false">
      <c r="A17147" s="10" t="n">
        <f aca="false">Einstellungen!$B$5+INT((ROW()-9)/24)</f>
        <v>46680</v>
      </c>
      <c r="B17147" s="11" t="n">
        <f aca="false">MOD(ROW()-9,24)</f>
        <v>2</v>
      </c>
      <c r="C17147" s="12"/>
      <c r="D17147" s="13" t="n">
        <f aca="false">IF(B17147&lt;5,Einstellungen!$B$3,Einstellungen!$B$4)</f>
        <v>15.92</v>
      </c>
      <c r="E17147" s="14" t="str">
        <f aca="false">IF(C17147="","",C17147*D17147/100)</f>
        <v/>
      </c>
      <c r="F17147" s="15" t="str">
        <f aca="false">IF(B17147&lt;5,"Go","Standard")</f>
        <v>Go</v>
      </c>
    </row>
    <row r="17148" customFormat="false" ht="15" hidden="false" customHeight="true" outlineLevel="0" collapsed="false">
      <c r="A17148" s="10" t="n">
        <f aca="false">Einstellungen!$B$5+INT((ROW()-9)/24)</f>
        <v>46680</v>
      </c>
      <c r="B17148" s="11" t="n">
        <f aca="false">MOD(ROW()-9,24)</f>
        <v>3</v>
      </c>
      <c r="C17148" s="12"/>
      <c r="D17148" s="13" t="n">
        <f aca="false">IF(B17148&lt;5,Einstellungen!$B$3,Einstellungen!$B$4)</f>
        <v>15.92</v>
      </c>
      <c r="E17148" s="14" t="str">
        <f aca="false">IF(C17148="","",C17148*D17148/100)</f>
        <v/>
      </c>
      <c r="F17148" s="15" t="str">
        <f aca="false">IF(B17148&lt;5,"Go","Standard")</f>
        <v>Go</v>
      </c>
    </row>
    <row r="17149" customFormat="false" ht="15" hidden="false" customHeight="true" outlineLevel="0" collapsed="false">
      <c r="A17149" s="10" t="n">
        <f aca="false">Einstellungen!$B$5+INT((ROW()-9)/24)</f>
        <v>46680</v>
      </c>
      <c r="B17149" s="11" t="n">
        <f aca="false">MOD(ROW()-9,24)</f>
        <v>4</v>
      </c>
      <c r="C17149" s="12"/>
      <c r="D17149" s="13" t="n">
        <f aca="false">IF(B17149&lt;5,Einstellungen!$B$3,Einstellungen!$B$4)</f>
        <v>15.92</v>
      </c>
      <c r="E17149" s="14" t="str">
        <f aca="false">IF(C17149="","",C17149*D17149/100)</f>
        <v/>
      </c>
      <c r="F17149" s="15" t="str">
        <f aca="false">IF(B17149&lt;5,"Go","Standard")</f>
        <v>Go</v>
      </c>
    </row>
    <row r="17150" customFormat="false" ht="15" hidden="false" customHeight="true" outlineLevel="0" collapsed="false">
      <c r="A17150" s="10" t="n">
        <f aca="false">Einstellungen!$B$5+INT((ROW()-9)/24)</f>
        <v>46680</v>
      </c>
      <c r="B17150" s="11" t="n">
        <f aca="false">MOD(ROW()-9,24)</f>
        <v>5</v>
      </c>
      <c r="C17150" s="12"/>
      <c r="D17150" s="13" t="n">
        <f aca="false">IF(B17150&lt;5,Einstellungen!$B$3,Einstellungen!$B$4)</f>
        <v>29.13</v>
      </c>
      <c r="E17150" s="14" t="str">
        <f aca="false">IF(C17150="","",C17150*D17150/100)</f>
        <v/>
      </c>
      <c r="F17150" s="15" t="str">
        <f aca="false">IF(B17150&lt;5,"Go","Standard")</f>
        <v>Standard</v>
      </c>
    </row>
    <row r="17151" customFormat="false" ht="15" hidden="false" customHeight="true" outlineLevel="0" collapsed="false">
      <c r="A17151" s="10" t="n">
        <f aca="false">Einstellungen!$B$5+INT((ROW()-9)/24)</f>
        <v>46680</v>
      </c>
      <c r="B17151" s="11" t="n">
        <f aca="false">MOD(ROW()-9,24)</f>
        <v>6</v>
      </c>
      <c r="C17151" s="12"/>
      <c r="D17151" s="13" t="n">
        <f aca="false">IF(B17151&lt;5,Einstellungen!$B$3,Einstellungen!$B$4)</f>
        <v>29.13</v>
      </c>
      <c r="E17151" s="14" t="str">
        <f aca="false">IF(C17151="","",C17151*D17151/100)</f>
        <v/>
      </c>
      <c r="F17151" s="15" t="str">
        <f aca="false">IF(B17151&lt;5,"Go","Standard")</f>
        <v>Standard</v>
      </c>
    </row>
    <row r="17152" customFormat="false" ht="15" hidden="false" customHeight="true" outlineLevel="0" collapsed="false">
      <c r="A17152" s="10" t="n">
        <f aca="false">Einstellungen!$B$5+INT((ROW()-9)/24)</f>
        <v>46680</v>
      </c>
      <c r="B17152" s="11" t="n">
        <f aca="false">MOD(ROW()-9,24)</f>
        <v>7</v>
      </c>
      <c r="C17152" s="12"/>
      <c r="D17152" s="13" t="n">
        <f aca="false">IF(B17152&lt;5,Einstellungen!$B$3,Einstellungen!$B$4)</f>
        <v>29.13</v>
      </c>
      <c r="E17152" s="14" t="str">
        <f aca="false">IF(C17152="","",C17152*D17152/100)</f>
        <v/>
      </c>
      <c r="F17152" s="15" t="str">
        <f aca="false">IF(B17152&lt;5,"Go","Standard")</f>
        <v>Standard</v>
      </c>
    </row>
    <row r="17153" customFormat="false" ht="15" hidden="false" customHeight="true" outlineLevel="0" collapsed="false">
      <c r="A17153" s="10" t="n">
        <f aca="false">Einstellungen!$B$5+INT((ROW()-9)/24)</f>
        <v>46680</v>
      </c>
      <c r="B17153" s="11" t="n">
        <f aca="false">MOD(ROW()-9,24)</f>
        <v>8</v>
      </c>
      <c r="C17153" s="12"/>
      <c r="D17153" s="13" t="n">
        <f aca="false">IF(B17153&lt;5,Einstellungen!$B$3,Einstellungen!$B$4)</f>
        <v>29.13</v>
      </c>
      <c r="E17153" s="14" t="str">
        <f aca="false">IF(C17153="","",C17153*D17153/100)</f>
        <v/>
      </c>
      <c r="F17153" s="15" t="str">
        <f aca="false">IF(B17153&lt;5,"Go","Standard")</f>
        <v>Standard</v>
      </c>
    </row>
    <row r="17154" customFormat="false" ht="15" hidden="false" customHeight="true" outlineLevel="0" collapsed="false">
      <c r="A17154" s="10" t="n">
        <f aca="false">Einstellungen!$B$5+INT((ROW()-9)/24)</f>
        <v>46680</v>
      </c>
      <c r="B17154" s="11" t="n">
        <f aca="false">MOD(ROW()-9,24)</f>
        <v>9</v>
      </c>
      <c r="C17154" s="12"/>
      <c r="D17154" s="13" t="n">
        <f aca="false">IF(B17154&lt;5,Einstellungen!$B$3,Einstellungen!$B$4)</f>
        <v>29.13</v>
      </c>
      <c r="E17154" s="14" t="str">
        <f aca="false">IF(C17154="","",C17154*D17154/100)</f>
        <v/>
      </c>
      <c r="F17154" s="15" t="str">
        <f aca="false">IF(B17154&lt;5,"Go","Standard")</f>
        <v>Standard</v>
      </c>
    </row>
    <row r="17155" customFormat="false" ht="15" hidden="false" customHeight="true" outlineLevel="0" collapsed="false">
      <c r="A17155" s="10" t="n">
        <f aca="false">Einstellungen!$B$5+INT((ROW()-9)/24)</f>
        <v>46680</v>
      </c>
      <c r="B17155" s="11" t="n">
        <f aca="false">MOD(ROW()-9,24)</f>
        <v>10</v>
      </c>
      <c r="C17155" s="12"/>
      <c r="D17155" s="13" t="n">
        <f aca="false">IF(B17155&lt;5,Einstellungen!$B$3,Einstellungen!$B$4)</f>
        <v>29.13</v>
      </c>
      <c r="E17155" s="14" t="str">
        <f aca="false">IF(C17155="","",C17155*D17155/100)</f>
        <v/>
      </c>
      <c r="F17155" s="15" t="str">
        <f aca="false">IF(B17155&lt;5,"Go","Standard")</f>
        <v>Standard</v>
      </c>
    </row>
    <row r="17156" customFormat="false" ht="15" hidden="false" customHeight="true" outlineLevel="0" collapsed="false">
      <c r="A17156" s="10" t="n">
        <f aca="false">Einstellungen!$B$5+INT((ROW()-9)/24)</f>
        <v>46680</v>
      </c>
      <c r="B17156" s="11" t="n">
        <f aca="false">MOD(ROW()-9,24)</f>
        <v>11</v>
      </c>
      <c r="C17156" s="12"/>
      <c r="D17156" s="13" t="n">
        <f aca="false">IF(B17156&lt;5,Einstellungen!$B$3,Einstellungen!$B$4)</f>
        <v>29.13</v>
      </c>
      <c r="E17156" s="14" t="str">
        <f aca="false">IF(C17156="","",C17156*D17156/100)</f>
        <v/>
      </c>
      <c r="F17156" s="15" t="str">
        <f aca="false">IF(B17156&lt;5,"Go","Standard")</f>
        <v>Standard</v>
      </c>
    </row>
    <row r="17157" customFormat="false" ht="15" hidden="false" customHeight="true" outlineLevel="0" collapsed="false">
      <c r="A17157" s="10" t="n">
        <f aca="false">Einstellungen!$B$5+INT((ROW()-9)/24)</f>
        <v>46680</v>
      </c>
      <c r="B17157" s="11" t="n">
        <f aca="false">MOD(ROW()-9,24)</f>
        <v>12</v>
      </c>
      <c r="C17157" s="12"/>
      <c r="D17157" s="13" t="n">
        <f aca="false">IF(B17157&lt;5,Einstellungen!$B$3,Einstellungen!$B$4)</f>
        <v>29.13</v>
      </c>
      <c r="E17157" s="14" t="str">
        <f aca="false">IF(C17157="","",C17157*D17157/100)</f>
        <v/>
      </c>
      <c r="F17157" s="15" t="str">
        <f aca="false">IF(B17157&lt;5,"Go","Standard")</f>
        <v>Standard</v>
      </c>
    </row>
    <row r="17158" customFormat="false" ht="15" hidden="false" customHeight="true" outlineLevel="0" collapsed="false">
      <c r="A17158" s="10" t="n">
        <f aca="false">Einstellungen!$B$5+INT((ROW()-9)/24)</f>
        <v>46680</v>
      </c>
      <c r="B17158" s="11" t="n">
        <f aca="false">MOD(ROW()-9,24)</f>
        <v>13</v>
      </c>
      <c r="C17158" s="12"/>
      <c r="D17158" s="13" t="n">
        <f aca="false">IF(B17158&lt;5,Einstellungen!$B$3,Einstellungen!$B$4)</f>
        <v>29.13</v>
      </c>
      <c r="E17158" s="14" t="str">
        <f aca="false">IF(C17158="","",C17158*D17158/100)</f>
        <v/>
      </c>
      <c r="F17158" s="15" t="str">
        <f aca="false">IF(B17158&lt;5,"Go","Standard")</f>
        <v>Standard</v>
      </c>
    </row>
    <row r="17159" customFormat="false" ht="15" hidden="false" customHeight="true" outlineLevel="0" collapsed="false">
      <c r="A17159" s="10" t="n">
        <f aca="false">Einstellungen!$B$5+INT((ROW()-9)/24)</f>
        <v>46680</v>
      </c>
      <c r="B17159" s="11" t="n">
        <f aca="false">MOD(ROW()-9,24)</f>
        <v>14</v>
      </c>
      <c r="C17159" s="12"/>
      <c r="D17159" s="13" t="n">
        <f aca="false">IF(B17159&lt;5,Einstellungen!$B$3,Einstellungen!$B$4)</f>
        <v>29.13</v>
      </c>
      <c r="E17159" s="14" t="str">
        <f aca="false">IF(C17159="","",C17159*D17159/100)</f>
        <v/>
      </c>
      <c r="F17159" s="15" t="str">
        <f aca="false">IF(B17159&lt;5,"Go","Standard")</f>
        <v>Standard</v>
      </c>
    </row>
    <row r="17160" customFormat="false" ht="15" hidden="false" customHeight="true" outlineLevel="0" collapsed="false">
      <c r="A17160" s="10" t="n">
        <f aca="false">Einstellungen!$B$5+INT((ROW()-9)/24)</f>
        <v>46680</v>
      </c>
      <c r="B17160" s="11" t="n">
        <f aca="false">MOD(ROW()-9,24)</f>
        <v>15</v>
      </c>
      <c r="C17160" s="12"/>
      <c r="D17160" s="13" t="n">
        <f aca="false">IF(B17160&lt;5,Einstellungen!$B$3,Einstellungen!$B$4)</f>
        <v>29.13</v>
      </c>
      <c r="E17160" s="14" t="str">
        <f aca="false">IF(C17160="","",C17160*D17160/100)</f>
        <v/>
      </c>
      <c r="F17160" s="15" t="str">
        <f aca="false">IF(B17160&lt;5,"Go","Standard")</f>
        <v>Standard</v>
      </c>
    </row>
    <row r="17161" customFormat="false" ht="15" hidden="false" customHeight="true" outlineLevel="0" collapsed="false">
      <c r="A17161" s="10" t="n">
        <f aca="false">Einstellungen!$B$5+INT((ROW()-9)/24)</f>
        <v>46680</v>
      </c>
      <c r="B17161" s="11" t="n">
        <f aca="false">MOD(ROW()-9,24)</f>
        <v>16</v>
      </c>
      <c r="C17161" s="12"/>
      <c r="D17161" s="13" t="n">
        <f aca="false">IF(B17161&lt;5,Einstellungen!$B$3,Einstellungen!$B$4)</f>
        <v>29.13</v>
      </c>
      <c r="E17161" s="14" t="str">
        <f aca="false">IF(C17161="","",C17161*D17161/100)</f>
        <v/>
      </c>
      <c r="F17161" s="15" t="str">
        <f aca="false">IF(B17161&lt;5,"Go","Standard")</f>
        <v>Standard</v>
      </c>
    </row>
    <row r="17162" customFormat="false" ht="15" hidden="false" customHeight="true" outlineLevel="0" collapsed="false">
      <c r="A17162" s="10" t="n">
        <f aca="false">Einstellungen!$B$5+INT((ROW()-9)/24)</f>
        <v>46680</v>
      </c>
      <c r="B17162" s="11" t="n">
        <f aca="false">MOD(ROW()-9,24)</f>
        <v>17</v>
      </c>
      <c r="C17162" s="12"/>
      <c r="D17162" s="13" t="n">
        <f aca="false">IF(B17162&lt;5,Einstellungen!$B$3,Einstellungen!$B$4)</f>
        <v>29.13</v>
      </c>
      <c r="E17162" s="14" t="str">
        <f aca="false">IF(C17162="","",C17162*D17162/100)</f>
        <v/>
      </c>
      <c r="F17162" s="15" t="str">
        <f aca="false">IF(B17162&lt;5,"Go","Standard")</f>
        <v>Standard</v>
      </c>
    </row>
    <row r="17163" customFormat="false" ht="15" hidden="false" customHeight="true" outlineLevel="0" collapsed="false">
      <c r="A17163" s="10" t="n">
        <f aca="false">Einstellungen!$B$5+INT((ROW()-9)/24)</f>
        <v>46680</v>
      </c>
      <c r="B17163" s="11" t="n">
        <f aca="false">MOD(ROW()-9,24)</f>
        <v>18</v>
      </c>
      <c r="C17163" s="12"/>
      <c r="D17163" s="13" t="n">
        <f aca="false">IF(B17163&lt;5,Einstellungen!$B$3,Einstellungen!$B$4)</f>
        <v>29.13</v>
      </c>
      <c r="E17163" s="14" t="str">
        <f aca="false">IF(C17163="","",C17163*D17163/100)</f>
        <v/>
      </c>
      <c r="F17163" s="15" t="str">
        <f aca="false">IF(B17163&lt;5,"Go","Standard")</f>
        <v>Standard</v>
      </c>
    </row>
    <row r="17164" customFormat="false" ht="15" hidden="false" customHeight="true" outlineLevel="0" collapsed="false">
      <c r="A17164" s="10" t="n">
        <f aca="false">Einstellungen!$B$5+INT((ROW()-9)/24)</f>
        <v>46680</v>
      </c>
      <c r="B17164" s="11" t="n">
        <f aca="false">MOD(ROW()-9,24)</f>
        <v>19</v>
      </c>
      <c r="C17164" s="12"/>
      <c r="D17164" s="13" t="n">
        <f aca="false">IF(B17164&lt;5,Einstellungen!$B$3,Einstellungen!$B$4)</f>
        <v>29.13</v>
      </c>
      <c r="E17164" s="14" t="str">
        <f aca="false">IF(C17164="","",C17164*D17164/100)</f>
        <v/>
      </c>
      <c r="F17164" s="15" t="str">
        <f aca="false">IF(B17164&lt;5,"Go","Standard")</f>
        <v>Standard</v>
      </c>
    </row>
    <row r="17165" customFormat="false" ht="15" hidden="false" customHeight="true" outlineLevel="0" collapsed="false">
      <c r="A17165" s="10" t="n">
        <f aca="false">Einstellungen!$B$5+INT((ROW()-9)/24)</f>
        <v>46680</v>
      </c>
      <c r="B17165" s="11" t="n">
        <f aca="false">MOD(ROW()-9,24)</f>
        <v>20</v>
      </c>
      <c r="C17165" s="12"/>
      <c r="D17165" s="13" t="n">
        <f aca="false">IF(B17165&lt;5,Einstellungen!$B$3,Einstellungen!$B$4)</f>
        <v>29.13</v>
      </c>
      <c r="E17165" s="14" t="str">
        <f aca="false">IF(C17165="","",C17165*D17165/100)</f>
        <v/>
      </c>
      <c r="F17165" s="15" t="str">
        <f aca="false">IF(B17165&lt;5,"Go","Standard")</f>
        <v>Standard</v>
      </c>
    </row>
    <row r="17166" customFormat="false" ht="15" hidden="false" customHeight="true" outlineLevel="0" collapsed="false">
      <c r="A17166" s="10" t="n">
        <f aca="false">Einstellungen!$B$5+INT((ROW()-9)/24)</f>
        <v>46680</v>
      </c>
      <c r="B17166" s="11" t="n">
        <f aca="false">MOD(ROW()-9,24)</f>
        <v>21</v>
      </c>
      <c r="C17166" s="12"/>
      <c r="D17166" s="13" t="n">
        <f aca="false">IF(B17166&lt;5,Einstellungen!$B$3,Einstellungen!$B$4)</f>
        <v>29.13</v>
      </c>
      <c r="E17166" s="14" t="str">
        <f aca="false">IF(C17166="","",C17166*D17166/100)</f>
        <v/>
      </c>
      <c r="F17166" s="15" t="str">
        <f aca="false">IF(B17166&lt;5,"Go","Standard")</f>
        <v>Standard</v>
      </c>
    </row>
    <row r="17167" customFormat="false" ht="15" hidden="false" customHeight="true" outlineLevel="0" collapsed="false">
      <c r="A17167" s="10" t="n">
        <f aca="false">Einstellungen!$B$5+INT((ROW()-9)/24)</f>
        <v>46680</v>
      </c>
      <c r="B17167" s="11" t="n">
        <f aca="false">MOD(ROW()-9,24)</f>
        <v>22</v>
      </c>
      <c r="C17167" s="12"/>
      <c r="D17167" s="13" t="n">
        <f aca="false">IF(B17167&lt;5,Einstellungen!$B$3,Einstellungen!$B$4)</f>
        <v>29.13</v>
      </c>
      <c r="E17167" s="14" t="str">
        <f aca="false">IF(C17167="","",C17167*D17167/100)</f>
        <v/>
      </c>
      <c r="F17167" s="15" t="str">
        <f aca="false">IF(B17167&lt;5,"Go","Standard")</f>
        <v>Standard</v>
      </c>
    </row>
    <row r="17168" customFormat="false" ht="15" hidden="false" customHeight="true" outlineLevel="0" collapsed="false">
      <c r="A17168" s="10" t="n">
        <f aca="false">Einstellungen!$B$5+INT((ROW()-9)/24)</f>
        <v>46680</v>
      </c>
      <c r="B17168" s="11" t="n">
        <f aca="false">MOD(ROW()-9,24)</f>
        <v>23</v>
      </c>
      <c r="C17168" s="12"/>
      <c r="D17168" s="13" t="n">
        <f aca="false">IF(B17168&lt;5,Einstellungen!$B$3,Einstellungen!$B$4)</f>
        <v>29.13</v>
      </c>
      <c r="E17168" s="14" t="str">
        <f aca="false">IF(C17168="","",C17168*D17168/100)</f>
        <v/>
      </c>
      <c r="F17168" s="15" t="str">
        <f aca="false">IF(B17168&lt;5,"Go","Standard")</f>
        <v>Standard</v>
      </c>
    </row>
    <row r="17169" customFormat="false" ht="15" hidden="false" customHeight="true" outlineLevel="0" collapsed="false">
      <c r="A17169" s="10" t="n">
        <f aca="false">Einstellungen!$B$5+INT((ROW()-9)/24)</f>
        <v>46681</v>
      </c>
      <c r="B17169" s="11" t="n">
        <f aca="false">MOD(ROW()-9,24)</f>
        <v>0</v>
      </c>
      <c r="C17169" s="12"/>
      <c r="D17169" s="13" t="n">
        <f aca="false">IF(B17169&lt;5,Einstellungen!$B$3,Einstellungen!$B$4)</f>
        <v>15.92</v>
      </c>
      <c r="E17169" s="14" t="str">
        <f aca="false">IF(C17169="","",C17169*D17169/100)</f>
        <v/>
      </c>
      <c r="F17169" s="15" t="str">
        <f aca="false">IF(B17169&lt;5,"Go","Standard")</f>
        <v>Go</v>
      </c>
    </row>
    <row r="17170" customFormat="false" ht="15" hidden="false" customHeight="true" outlineLevel="0" collapsed="false">
      <c r="A17170" s="10" t="n">
        <f aca="false">Einstellungen!$B$5+INT((ROW()-9)/24)</f>
        <v>46681</v>
      </c>
      <c r="B17170" s="11" t="n">
        <f aca="false">MOD(ROW()-9,24)</f>
        <v>1</v>
      </c>
      <c r="C17170" s="12"/>
      <c r="D17170" s="13" t="n">
        <f aca="false">IF(B17170&lt;5,Einstellungen!$B$3,Einstellungen!$B$4)</f>
        <v>15.92</v>
      </c>
      <c r="E17170" s="14" t="str">
        <f aca="false">IF(C17170="","",C17170*D17170/100)</f>
        <v/>
      </c>
      <c r="F17170" s="15" t="str">
        <f aca="false">IF(B17170&lt;5,"Go","Standard")</f>
        <v>Go</v>
      </c>
    </row>
    <row r="17171" customFormat="false" ht="15" hidden="false" customHeight="true" outlineLevel="0" collapsed="false">
      <c r="A17171" s="10" t="n">
        <f aca="false">Einstellungen!$B$5+INT((ROW()-9)/24)</f>
        <v>46681</v>
      </c>
      <c r="B17171" s="11" t="n">
        <f aca="false">MOD(ROW()-9,24)</f>
        <v>2</v>
      </c>
      <c r="C17171" s="12"/>
      <c r="D17171" s="13" t="n">
        <f aca="false">IF(B17171&lt;5,Einstellungen!$B$3,Einstellungen!$B$4)</f>
        <v>15.92</v>
      </c>
      <c r="E17171" s="14" t="str">
        <f aca="false">IF(C17171="","",C17171*D17171/100)</f>
        <v/>
      </c>
      <c r="F17171" s="15" t="str">
        <f aca="false">IF(B17171&lt;5,"Go","Standard")</f>
        <v>Go</v>
      </c>
    </row>
    <row r="17172" customFormat="false" ht="15" hidden="false" customHeight="true" outlineLevel="0" collapsed="false">
      <c r="A17172" s="10" t="n">
        <f aca="false">Einstellungen!$B$5+INT((ROW()-9)/24)</f>
        <v>46681</v>
      </c>
      <c r="B17172" s="11" t="n">
        <f aca="false">MOD(ROW()-9,24)</f>
        <v>3</v>
      </c>
      <c r="C17172" s="12"/>
      <c r="D17172" s="13" t="n">
        <f aca="false">IF(B17172&lt;5,Einstellungen!$B$3,Einstellungen!$B$4)</f>
        <v>15.92</v>
      </c>
      <c r="E17172" s="14" t="str">
        <f aca="false">IF(C17172="","",C17172*D17172/100)</f>
        <v/>
      </c>
      <c r="F17172" s="15" t="str">
        <f aca="false">IF(B17172&lt;5,"Go","Standard")</f>
        <v>Go</v>
      </c>
    </row>
    <row r="17173" customFormat="false" ht="15" hidden="false" customHeight="true" outlineLevel="0" collapsed="false">
      <c r="A17173" s="10" t="n">
        <f aca="false">Einstellungen!$B$5+INT((ROW()-9)/24)</f>
        <v>46681</v>
      </c>
      <c r="B17173" s="11" t="n">
        <f aca="false">MOD(ROW()-9,24)</f>
        <v>4</v>
      </c>
      <c r="C17173" s="12"/>
      <c r="D17173" s="13" t="n">
        <f aca="false">IF(B17173&lt;5,Einstellungen!$B$3,Einstellungen!$B$4)</f>
        <v>15.92</v>
      </c>
      <c r="E17173" s="14" t="str">
        <f aca="false">IF(C17173="","",C17173*D17173/100)</f>
        <v/>
      </c>
      <c r="F17173" s="15" t="str">
        <f aca="false">IF(B17173&lt;5,"Go","Standard")</f>
        <v>Go</v>
      </c>
    </row>
    <row r="17174" customFormat="false" ht="15" hidden="false" customHeight="true" outlineLevel="0" collapsed="false">
      <c r="A17174" s="10" t="n">
        <f aca="false">Einstellungen!$B$5+INT((ROW()-9)/24)</f>
        <v>46681</v>
      </c>
      <c r="B17174" s="11" t="n">
        <f aca="false">MOD(ROW()-9,24)</f>
        <v>5</v>
      </c>
      <c r="C17174" s="12"/>
      <c r="D17174" s="13" t="n">
        <f aca="false">IF(B17174&lt;5,Einstellungen!$B$3,Einstellungen!$B$4)</f>
        <v>29.13</v>
      </c>
      <c r="E17174" s="14" t="str">
        <f aca="false">IF(C17174="","",C17174*D17174/100)</f>
        <v/>
      </c>
      <c r="F17174" s="15" t="str">
        <f aca="false">IF(B17174&lt;5,"Go","Standard")</f>
        <v>Standard</v>
      </c>
    </row>
    <row r="17175" customFormat="false" ht="15" hidden="false" customHeight="true" outlineLevel="0" collapsed="false">
      <c r="A17175" s="10" t="n">
        <f aca="false">Einstellungen!$B$5+INT((ROW()-9)/24)</f>
        <v>46681</v>
      </c>
      <c r="B17175" s="11" t="n">
        <f aca="false">MOD(ROW()-9,24)</f>
        <v>6</v>
      </c>
      <c r="C17175" s="12"/>
      <c r="D17175" s="13" t="n">
        <f aca="false">IF(B17175&lt;5,Einstellungen!$B$3,Einstellungen!$B$4)</f>
        <v>29.13</v>
      </c>
      <c r="E17175" s="14" t="str">
        <f aca="false">IF(C17175="","",C17175*D17175/100)</f>
        <v/>
      </c>
      <c r="F17175" s="15" t="str">
        <f aca="false">IF(B17175&lt;5,"Go","Standard")</f>
        <v>Standard</v>
      </c>
    </row>
    <row r="17176" customFormat="false" ht="15" hidden="false" customHeight="true" outlineLevel="0" collapsed="false">
      <c r="A17176" s="10" t="n">
        <f aca="false">Einstellungen!$B$5+INT((ROW()-9)/24)</f>
        <v>46681</v>
      </c>
      <c r="B17176" s="11" t="n">
        <f aca="false">MOD(ROW()-9,24)</f>
        <v>7</v>
      </c>
      <c r="C17176" s="12"/>
      <c r="D17176" s="13" t="n">
        <f aca="false">IF(B17176&lt;5,Einstellungen!$B$3,Einstellungen!$B$4)</f>
        <v>29.13</v>
      </c>
      <c r="E17176" s="14" t="str">
        <f aca="false">IF(C17176="","",C17176*D17176/100)</f>
        <v/>
      </c>
      <c r="F17176" s="15" t="str">
        <f aca="false">IF(B17176&lt;5,"Go","Standard")</f>
        <v>Standard</v>
      </c>
    </row>
    <row r="17177" customFormat="false" ht="15" hidden="false" customHeight="true" outlineLevel="0" collapsed="false">
      <c r="A17177" s="10" t="n">
        <f aca="false">Einstellungen!$B$5+INT((ROW()-9)/24)</f>
        <v>46681</v>
      </c>
      <c r="B17177" s="11" t="n">
        <f aca="false">MOD(ROW()-9,24)</f>
        <v>8</v>
      </c>
      <c r="C17177" s="12"/>
      <c r="D17177" s="13" t="n">
        <f aca="false">IF(B17177&lt;5,Einstellungen!$B$3,Einstellungen!$B$4)</f>
        <v>29.13</v>
      </c>
      <c r="E17177" s="14" t="str">
        <f aca="false">IF(C17177="","",C17177*D17177/100)</f>
        <v/>
      </c>
      <c r="F17177" s="15" t="str">
        <f aca="false">IF(B17177&lt;5,"Go","Standard")</f>
        <v>Standard</v>
      </c>
    </row>
    <row r="17178" customFormat="false" ht="15" hidden="false" customHeight="true" outlineLevel="0" collapsed="false">
      <c r="A17178" s="10" t="n">
        <f aca="false">Einstellungen!$B$5+INT((ROW()-9)/24)</f>
        <v>46681</v>
      </c>
      <c r="B17178" s="11" t="n">
        <f aca="false">MOD(ROW()-9,24)</f>
        <v>9</v>
      </c>
      <c r="C17178" s="12"/>
      <c r="D17178" s="13" t="n">
        <f aca="false">IF(B17178&lt;5,Einstellungen!$B$3,Einstellungen!$B$4)</f>
        <v>29.13</v>
      </c>
      <c r="E17178" s="14" t="str">
        <f aca="false">IF(C17178="","",C17178*D17178/100)</f>
        <v/>
      </c>
      <c r="F17178" s="15" t="str">
        <f aca="false">IF(B17178&lt;5,"Go","Standard")</f>
        <v>Standard</v>
      </c>
    </row>
    <row r="17179" customFormat="false" ht="15" hidden="false" customHeight="true" outlineLevel="0" collapsed="false">
      <c r="A17179" s="10" t="n">
        <f aca="false">Einstellungen!$B$5+INT((ROW()-9)/24)</f>
        <v>46681</v>
      </c>
      <c r="B17179" s="11" t="n">
        <f aca="false">MOD(ROW()-9,24)</f>
        <v>10</v>
      </c>
      <c r="C17179" s="12"/>
      <c r="D17179" s="13" t="n">
        <f aca="false">IF(B17179&lt;5,Einstellungen!$B$3,Einstellungen!$B$4)</f>
        <v>29.13</v>
      </c>
      <c r="E17179" s="14" t="str">
        <f aca="false">IF(C17179="","",C17179*D17179/100)</f>
        <v/>
      </c>
      <c r="F17179" s="15" t="str">
        <f aca="false">IF(B17179&lt;5,"Go","Standard")</f>
        <v>Standard</v>
      </c>
    </row>
    <row r="17180" customFormat="false" ht="15" hidden="false" customHeight="true" outlineLevel="0" collapsed="false">
      <c r="A17180" s="10" t="n">
        <f aca="false">Einstellungen!$B$5+INT((ROW()-9)/24)</f>
        <v>46681</v>
      </c>
      <c r="B17180" s="11" t="n">
        <f aca="false">MOD(ROW()-9,24)</f>
        <v>11</v>
      </c>
      <c r="C17180" s="12"/>
      <c r="D17180" s="13" t="n">
        <f aca="false">IF(B17180&lt;5,Einstellungen!$B$3,Einstellungen!$B$4)</f>
        <v>29.13</v>
      </c>
      <c r="E17180" s="14" t="str">
        <f aca="false">IF(C17180="","",C17180*D17180/100)</f>
        <v/>
      </c>
      <c r="F17180" s="15" t="str">
        <f aca="false">IF(B17180&lt;5,"Go","Standard")</f>
        <v>Standard</v>
      </c>
    </row>
    <row r="17181" customFormat="false" ht="15" hidden="false" customHeight="true" outlineLevel="0" collapsed="false">
      <c r="A17181" s="10" t="n">
        <f aca="false">Einstellungen!$B$5+INT((ROW()-9)/24)</f>
        <v>46681</v>
      </c>
      <c r="B17181" s="11" t="n">
        <f aca="false">MOD(ROW()-9,24)</f>
        <v>12</v>
      </c>
      <c r="C17181" s="12"/>
      <c r="D17181" s="13" t="n">
        <f aca="false">IF(B17181&lt;5,Einstellungen!$B$3,Einstellungen!$B$4)</f>
        <v>29.13</v>
      </c>
      <c r="E17181" s="14" t="str">
        <f aca="false">IF(C17181="","",C17181*D17181/100)</f>
        <v/>
      </c>
      <c r="F17181" s="15" t="str">
        <f aca="false">IF(B17181&lt;5,"Go","Standard")</f>
        <v>Standard</v>
      </c>
    </row>
    <row r="17182" customFormat="false" ht="15" hidden="false" customHeight="true" outlineLevel="0" collapsed="false">
      <c r="A17182" s="10" t="n">
        <f aca="false">Einstellungen!$B$5+INT((ROW()-9)/24)</f>
        <v>46681</v>
      </c>
      <c r="B17182" s="11" t="n">
        <f aca="false">MOD(ROW()-9,24)</f>
        <v>13</v>
      </c>
      <c r="C17182" s="12"/>
      <c r="D17182" s="13" t="n">
        <f aca="false">IF(B17182&lt;5,Einstellungen!$B$3,Einstellungen!$B$4)</f>
        <v>29.13</v>
      </c>
      <c r="E17182" s="14" t="str">
        <f aca="false">IF(C17182="","",C17182*D17182/100)</f>
        <v/>
      </c>
      <c r="F17182" s="15" t="str">
        <f aca="false">IF(B17182&lt;5,"Go","Standard")</f>
        <v>Standard</v>
      </c>
    </row>
    <row r="17183" customFormat="false" ht="15" hidden="false" customHeight="true" outlineLevel="0" collapsed="false">
      <c r="A17183" s="10" t="n">
        <f aca="false">Einstellungen!$B$5+INT((ROW()-9)/24)</f>
        <v>46681</v>
      </c>
      <c r="B17183" s="11" t="n">
        <f aca="false">MOD(ROW()-9,24)</f>
        <v>14</v>
      </c>
      <c r="C17183" s="12"/>
      <c r="D17183" s="13" t="n">
        <f aca="false">IF(B17183&lt;5,Einstellungen!$B$3,Einstellungen!$B$4)</f>
        <v>29.13</v>
      </c>
      <c r="E17183" s="14" t="str">
        <f aca="false">IF(C17183="","",C17183*D17183/100)</f>
        <v/>
      </c>
      <c r="F17183" s="15" t="str">
        <f aca="false">IF(B17183&lt;5,"Go","Standard")</f>
        <v>Standard</v>
      </c>
    </row>
    <row r="17184" customFormat="false" ht="15" hidden="false" customHeight="true" outlineLevel="0" collapsed="false">
      <c r="A17184" s="10" t="n">
        <f aca="false">Einstellungen!$B$5+INT((ROW()-9)/24)</f>
        <v>46681</v>
      </c>
      <c r="B17184" s="11" t="n">
        <f aca="false">MOD(ROW()-9,24)</f>
        <v>15</v>
      </c>
      <c r="C17184" s="12"/>
      <c r="D17184" s="13" t="n">
        <f aca="false">IF(B17184&lt;5,Einstellungen!$B$3,Einstellungen!$B$4)</f>
        <v>29.13</v>
      </c>
      <c r="E17184" s="14" t="str">
        <f aca="false">IF(C17184="","",C17184*D17184/100)</f>
        <v/>
      </c>
      <c r="F17184" s="15" t="str">
        <f aca="false">IF(B17184&lt;5,"Go","Standard")</f>
        <v>Standard</v>
      </c>
    </row>
    <row r="17185" customFormat="false" ht="15" hidden="false" customHeight="true" outlineLevel="0" collapsed="false">
      <c r="A17185" s="10" t="n">
        <f aca="false">Einstellungen!$B$5+INT((ROW()-9)/24)</f>
        <v>46681</v>
      </c>
      <c r="B17185" s="11" t="n">
        <f aca="false">MOD(ROW()-9,24)</f>
        <v>16</v>
      </c>
      <c r="C17185" s="12"/>
      <c r="D17185" s="13" t="n">
        <f aca="false">IF(B17185&lt;5,Einstellungen!$B$3,Einstellungen!$B$4)</f>
        <v>29.13</v>
      </c>
      <c r="E17185" s="14" t="str">
        <f aca="false">IF(C17185="","",C17185*D17185/100)</f>
        <v/>
      </c>
      <c r="F17185" s="15" t="str">
        <f aca="false">IF(B17185&lt;5,"Go","Standard")</f>
        <v>Standard</v>
      </c>
    </row>
    <row r="17186" customFormat="false" ht="15" hidden="false" customHeight="true" outlineLevel="0" collapsed="false">
      <c r="A17186" s="10" t="n">
        <f aca="false">Einstellungen!$B$5+INT((ROW()-9)/24)</f>
        <v>46681</v>
      </c>
      <c r="B17186" s="11" t="n">
        <f aca="false">MOD(ROW()-9,24)</f>
        <v>17</v>
      </c>
      <c r="C17186" s="12"/>
      <c r="D17186" s="13" t="n">
        <f aca="false">IF(B17186&lt;5,Einstellungen!$B$3,Einstellungen!$B$4)</f>
        <v>29.13</v>
      </c>
      <c r="E17186" s="14" t="str">
        <f aca="false">IF(C17186="","",C17186*D17186/100)</f>
        <v/>
      </c>
      <c r="F17186" s="15" t="str">
        <f aca="false">IF(B17186&lt;5,"Go","Standard")</f>
        <v>Standard</v>
      </c>
    </row>
    <row r="17187" customFormat="false" ht="15" hidden="false" customHeight="true" outlineLevel="0" collapsed="false">
      <c r="A17187" s="10" t="n">
        <f aca="false">Einstellungen!$B$5+INT((ROW()-9)/24)</f>
        <v>46681</v>
      </c>
      <c r="B17187" s="11" t="n">
        <f aca="false">MOD(ROW()-9,24)</f>
        <v>18</v>
      </c>
      <c r="C17187" s="12"/>
      <c r="D17187" s="13" t="n">
        <f aca="false">IF(B17187&lt;5,Einstellungen!$B$3,Einstellungen!$B$4)</f>
        <v>29.13</v>
      </c>
      <c r="E17187" s="14" t="str">
        <f aca="false">IF(C17187="","",C17187*D17187/100)</f>
        <v/>
      </c>
      <c r="F17187" s="15" t="str">
        <f aca="false">IF(B17187&lt;5,"Go","Standard")</f>
        <v>Standard</v>
      </c>
    </row>
    <row r="17188" customFormat="false" ht="15" hidden="false" customHeight="true" outlineLevel="0" collapsed="false">
      <c r="A17188" s="10" t="n">
        <f aca="false">Einstellungen!$B$5+INT((ROW()-9)/24)</f>
        <v>46681</v>
      </c>
      <c r="B17188" s="11" t="n">
        <f aca="false">MOD(ROW()-9,24)</f>
        <v>19</v>
      </c>
      <c r="C17188" s="12"/>
      <c r="D17188" s="13" t="n">
        <f aca="false">IF(B17188&lt;5,Einstellungen!$B$3,Einstellungen!$B$4)</f>
        <v>29.13</v>
      </c>
      <c r="E17188" s="14" t="str">
        <f aca="false">IF(C17188="","",C17188*D17188/100)</f>
        <v/>
      </c>
      <c r="F17188" s="15" t="str">
        <f aca="false">IF(B17188&lt;5,"Go","Standard")</f>
        <v>Standard</v>
      </c>
    </row>
    <row r="17189" customFormat="false" ht="15" hidden="false" customHeight="true" outlineLevel="0" collapsed="false">
      <c r="A17189" s="10" t="n">
        <f aca="false">Einstellungen!$B$5+INT((ROW()-9)/24)</f>
        <v>46681</v>
      </c>
      <c r="B17189" s="11" t="n">
        <f aca="false">MOD(ROW()-9,24)</f>
        <v>20</v>
      </c>
      <c r="C17189" s="12"/>
      <c r="D17189" s="13" t="n">
        <f aca="false">IF(B17189&lt;5,Einstellungen!$B$3,Einstellungen!$B$4)</f>
        <v>29.13</v>
      </c>
      <c r="E17189" s="14" t="str">
        <f aca="false">IF(C17189="","",C17189*D17189/100)</f>
        <v/>
      </c>
      <c r="F17189" s="15" t="str">
        <f aca="false">IF(B17189&lt;5,"Go","Standard")</f>
        <v>Standard</v>
      </c>
    </row>
    <row r="17190" customFormat="false" ht="15" hidden="false" customHeight="true" outlineLevel="0" collapsed="false">
      <c r="A17190" s="10" t="n">
        <f aca="false">Einstellungen!$B$5+INT((ROW()-9)/24)</f>
        <v>46681</v>
      </c>
      <c r="B17190" s="11" t="n">
        <f aca="false">MOD(ROW()-9,24)</f>
        <v>21</v>
      </c>
      <c r="C17190" s="12"/>
      <c r="D17190" s="13" t="n">
        <f aca="false">IF(B17190&lt;5,Einstellungen!$B$3,Einstellungen!$B$4)</f>
        <v>29.13</v>
      </c>
      <c r="E17190" s="14" t="str">
        <f aca="false">IF(C17190="","",C17190*D17190/100)</f>
        <v/>
      </c>
      <c r="F17190" s="15" t="str">
        <f aca="false">IF(B17190&lt;5,"Go","Standard")</f>
        <v>Standard</v>
      </c>
    </row>
    <row r="17191" customFormat="false" ht="15" hidden="false" customHeight="true" outlineLevel="0" collapsed="false">
      <c r="A17191" s="10" t="n">
        <f aca="false">Einstellungen!$B$5+INT((ROW()-9)/24)</f>
        <v>46681</v>
      </c>
      <c r="B17191" s="11" t="n">
        <f aca="false">MOD(ROW()-9,24)</f>
        <v>22</v>
      </c>
      <c r="C17191" s="12"/>
      <c r="D17191" s="13" t="n">
        <f aca="false">IF(B17191&lt;5,Einstellungen!$B$3,Einstellungen!$B$4)</f>
        <v>29.13</v>
      </c>
      <c r="E17191" s="14" t="str">
        <f aca="false">IF(C17191="","",C17191*D17191/100)</f>
        <v/>
      </c>
      <c r="F17191" s="15" t="str">
        <f aca="false">IF(B17191&lt;5,"Go","Standard")</f>
        <v>Standard</v>
      </c>
    </row>
    <row r="17192" customFormat="false" ht="15" hidden="false" customHeight="true" outlineLevel="0" collapsed="false">
      <c r="A17192" s="10" t="n">
        <f aca="false">Einstellungen!$B$5+INT((ROW()-9)/24)</f>
        <v>46681</v>
      </c>
      <c r="B17192" s="11" t="n">
        <f aca="false">MOD(ROW()-9,24)</f>
        <v>23</v>
      </c>
      <c r="C17192" s="12"/>
      <c r="D17192" s="13" t="n">
        <f aca="false">IF(B17192&lt;5,Einstellungen!$B$3,Einstellungen!$B$4)</f>
        <v>29.13</v>
      </c>
      <c r="E17192" s="14" t="str">
        <f aca="false">IF(C17192="","",C17192*D17192/100)</f>
        <v/>
      </c>
      <c r="F17192" s="15" t="str">
        <f aca="false">IF(B17192&lt;5,"Go","Standard")</f>
        <v>Standard</v>
      </c>
    </row>
    <row r="17193" customFormat="false" ht="15" hidden="false" customHeight="true" outlineLevel="0" collapsed="false">
      <c r="A17193" s="10" t="n">
        <f aca="false">Einstellungen!$B$5+INT((ROW()-9)/24)</f>
        <v>46682</v>
      </c>
      <c r="B17193" s="11" t="n">
        <f aca="false">MOD(ROW()-9,24)</f>
        <v>0</v>
      </c>
      <c r="C17193" s="12"/>
      <c r="D17193" s="13" t="n">
        <f aca="false">IF(B17193&lt;5,Einstellungen!$B$3,Einstellungen!$B$4)</f>
        <v>15.92</v>
      </c>
      <c r="E17193" s="14" t="str">
        <f aca="false">IF(C17193="","",C17193*D17193/100)</f>
        <v/>
      </c>
      <c r="F17193" s="15" t="str">
        <f aca="false">IF(B17193&lt;5,"Go","Standard")</f>
        <v>Go</v>
      </c>
    </row>
    <row r="17194" customFormat="false" ht="15" hidden="false" customHeight="true" outlineLevel="0" collapsed="false">
      <c r="A17194" s="10" t="n">
        <f aca="false">Einstellungen!$B$5+INT((ROW()-9)/24)</f>
        <v>46682</v>
      </c>
      <c r="B17194" s="11" t="n">
        <f aca="false">MOD(ROW()-9,24)</f>
        <v>1</v>
      </c>
      <c r="C17194" s="12"/>
      <c r="D17194" s="13" t="n">
        <f aca="false">IF(B17194&lt;5,Einstellungen!$B$3,Einstellungen!$B$4)</f>
        <v>15.92</v>
      </c>
      <c r="E17194" s="14" t="str">
        <f aca="false">IF(C17194="","",C17194*D17194/100)</f>
        <v/>
      </c>
      <c r="F17194" s="15" t="str">
        <f aca="false">IF(B17194&lt;5,"Go","Standard")</f>
        <v>Go</v>
      </c>
    </row>
    <row r="17195" customFormat="false" ht="15" hidden="false" customHeight="true" outlineLevel="0" collapsed="false">
      <c r="A17195" s="10" t="n">
        <f aca="false">Einstellungen!$B$5+INT((ROW()-9)/24)</f>
        <v>46682</v>
      </c>
      <c r="B17195" s="11" t="n">
        <f aca="false">MOD(ROW()-9,24)</f>
        <v>2</v>
      </c>
      <c r="C17195" s="12"/>
      <c r="D17195" s="13" t="n">
        <f aca="false">IF(B17195&lt;5,Einstellungen!$B$3,Einstellungen!$B$4)</f>
        <v>15.92</v>
      </c>
      <c r="E17195" s="14" t="str">
        <f aca="false">IF(C17195="","",C17195*D17195/100)</f>
        <v/>
      </c>
      <c r="F17195" s="15" t="str">
        <f aca="false">IF(B17195&lt;5,"Go","Standard")</f>
        <v>Go</v>
      </c>
    </row>
    <row r="17196" customFormat="false" ht="15" hidden="false" customHeight="true" outlineLevel="0" collapsed="false">
      <c r="A17196" s="10" t="n">
        <f aca="false">Einstellungen!$B$5+INT((ROW()-9)/24)</f>
        <v>46682</v>
      </c>
      <c r="B17196" s="11" t="n">
        <f aca="false">MOD(ROW()-9,24)</f>
        <v>3</v>
      </c>
      <c r="C17196" s="12"/>
      <c r="D17196" s="13" t="n">
        <f aca="false">IF(B17196&lt;5,Einstellungen!$B$3,Einstellungen!$B$4)</f>
        <v>15.92</v>
      </c>
      <c r="E17196" s="14" t="str">
        <f aca="false">IF(C17196="","",C17196*D17196/100)</f>
        <v/>
      </c>
      <c r="F17196" s="15" t="str">
        <f aca="false">IF(B17196&lt;5,"Go","Standard")</f>
        <v>Go</v>
      </c>
    </row>
    <row r="17197" customFormat="false" ht="15" hidden="false" customHeight="true" outlineLevel="0" collapsed="false">
      <c r="A17197" s="10" t="n">
        <f aca="false">Einstellungen!$B$5+INT((ROW()-9)/24)</f>
        <v>46682</v>
      </c>
      <c r="B17197" s="11" t="n">
        <f aca="false">MOD(ROW()-9,24)</f>
        <v>4</v>
      </c>
      <c r="C17197" s="12"/>
      <c r="D17197" s="13" t="n">
        <f aca="false">IF(B17197&lt;5,Einstellungen!$B$3,Einstellungen!$B$4)</f>
        <v>15.92</v>
      </c>
      <c r="E17197" s="14" t="str">
        <f aca="false">IF(C17197="","",C17197*D17197/100)</f>
        <v/>
      </c>
      <c r="F17197" s="15" t="str">
        <f aca="false">IF(B17197&lt;5,"Go","Standard")</f>
        <v>Go</v>
      </c>
    </row>
    <row r="17198" customFormat="false" ht="15" hidden="false" customHeight="true" outlineLevel="0" collapsed="false">
      <c r="A17198" s="10" t="n">
        <f aca="false">Einstellungen!$B$5+INT((ROW()-9)/24)</f>
        <v>46682</v>
      </c>
      <c r="B17198" s="11" t="n">
        <f aca="false">MOD(ROW()-9,24)</f>
        <v>5</v>
      </c>
      <c r="C17198" s="12"/>
      <c r="D17198" s="13" t="n">
        <f aca="false">IF(B17198&lt;5,Einstellungen!$B$3,Einstellungen!$B$4)</f>
        <v>29.13</v>
      </c>
      <c r="E17198" s="14" t="str">
        <f aca="false">IF(C17198="","",C17198*D17198/100)</f>
        <v/>
      </c>
      <c r="F17198" s="15" t="str">
        <f aca="false">IF(B17198&lt;5,"Go","Standard")</f>
        <v>Standard</v>
      </c>
    </row>
    <row r="17199" customFormat="false" ht="15" hidden="false" customHeight="true" outlineLevel="0" collapsed="false">
      <c r="A17199" s="10" t="n">
        <f aca="false">Einstellungen!$B$5+INT((ROW()-9)/24)</f>
        <v>46682</v>
      </c>
      <c r="B17199" s="11" t="n">
        <f aca="false">MOD(ROW()-9,24)</f>
        <v>6</v>
      </c>
      <c r="C17199" s="12"/>
      <c r="D17199" s="13" t="n">
        <f aca="false">IF(B17199&lt;5,Einstellungen!$B$3,Einstellungen!$B$4)</f>
        <v>29.13</v>
      </c>
      <c r="E17199" s="14" t="str">
        <f aca="false">IF(C17199="","",C17199*D17199/100)</f>
        <v/>
      </c>
      <c r="F17199" s="15" t="str">
        <f aca="false">IF(B17199&lt;5,"Go","Standard")</f>
        <v>Standard</v>
      </c>
    </row>
    <row r="17200" customFormat="false" ht="15" hidden="false" customHeight="true" outlineLevel="0" collapsed="false">
      <c r="A17200" s="10" t="n">
        <f aca="false">Einstellungen!$B$5+INT((ROW()-9)/24)</f>
        <v>46682</v>
      </c>
      <c r="B17200" s="11" t="n">
        <f aca="false">MOD(ROW()-9,24)</f>
        <v>7</v>
      </c>
      <c r="C17200" s="12"/>
      <c r="D17200" s="13" t="n">
        <f aca="false">IF(B17200&lt;5,Einstellungen!$B$3,Einstellungen!$B$4)</f>
        <v>29.13</v>
      </c>
      <c r="E17200" s="14" t="str">
        <f aca="false">IF(C17200="","",C17200*D17200/100)</f>
        <v/>
      </c>
      <c r="F17200" s="15" t="str">
        <f aca="false">IF(B17200&lt;5,"Go","Standard")</f>
        <v>Standard</v>
      </c>
    </row>
    <row r="17201" customFormat="false" ht="15" hidden="false" customHeight="true" outlineLevel="0" collapsed="false">
      <c r="A17201" s="10" t="n">
        <f aca="false">Einstellungen!$B$5+INT((ROW()-9)/24)</f>
        <v>46682</v>
      </c>
      <c r="B17201" s="11" t="n">
        <f aca="false">MOD(ROW()-9,24)</f>
        <v>8</v>
      </c>
      <c r="C17201" s="12"/>
      <c r="D17201" s="13" t="n">
        <f aca="false">IF(B17201&lt;5,Einstellungen!$B$3,Einstellungen!$B$4)</f>
        <v>29.13</v>
      </c>
      <c r="E17201" s="14" t="str">
        <f aca="false">IF(C17201="","",C17201*D17201/100)</f>
        <v/>
      </c>
      <c r="F17201" s="15" t="str">
        <f aca="false">IF(B17201&lt;5,"Go","Standard")</f>
        <v>Standard</v>
      </c>
    </row>
    <row r="17202" customFormat="false" ht="15" hidden="false" customHeight="true" outlineLevel="0" collapsed="false">
      <c r="A17202" s="10" t="n">
        <f aca="false">Einstellungen!$B$5+INT((ROW()-9)/24)</f>
        <v>46682</v>
      </c>
      <c r="B17202" s="11" t="n">
        <f aca="false">MOD(ROW()-9,24)</f>
        <v>9</v>
      </c>
      <c r="C17202" s="12"/>
      <c r="D17202" s="13" t="n">
        <f aca="false">IF(B17202&lt;5,Einstellungen!$B$3,Einstellungen!$B$4)</f>
        <v>29.13</v>
      </c>
      <c r="E17202" s="14" t="str">
        <f aca="false">IF(C17202="","",C17202*D17202/100)</f>
        <v/>
      </c>
      <c r="F17202" s="15" t="str">
        <f aca="false">IF(B17202&lt;5,"Go","Standard")</f>
        <v>Standard</v>
      </c>
    </row>
    <row r="17203" customFormat="false" ht="15" hidden="false" customHeight="true" outlineLevel="0" collapsed="false">
      <c r="A17203" s="10" t="n">
        <f aca="false">Einstellungen!$B$5+INT((ROW()-9)/24)</f>
        <v>46682</v>
      </c>
      <c r="B17203" s="11" t="n">
        <f aca="false">MOD(ROW()-9,24)</f>
        <v>10</v>
      </c>
      <c r="C17203" s="12"/>
      <c r="D17203" s="13" t="n">
        <f aca="false">IF(B17203&lt;5,Einstellungen!$B$3,Einstellungen!$B$4)</f>
        <v>29.13</v>
      </c>
      <c r="E17203" s="14" t="str">
        <f aca="false">IF(C17203="","",C17203*D17203/100)</f>
        <v/>
      </c>
      <c r="F17203" s="15" t="str">
        <f aca="false">IF(B17203&lt;5,"Go","Standard")</f>
        <v>Standard</v>
      </c>
    </row>
    <row r="17204" customFormat="false" ht="15" hidden="false" customHeight="true" outlineLevel="0" collapsed="false">
      <c r="A17204" s="10" t="n">
        <f aca="false">Einstellungen!$B$5+INT((ROW()-9)/24)</f>
        <v>46682</v>
      </c>
      <c r="B17204" s="11" t="n">
        <f aca="false">MOD(ROW()-9,24)</f>
        <v>11</v>
      </c>
      <c r="C17204" s="12"/>
      <c r="D17204" s="13" t="n">
        <f aca="false">IF(B17204&lt;5,Einstellungen!$B$3,Einstellungen!$B$4)</f>
        <v>29.13</v>
      </c>
      <c r="E17204" s="14" t="str">
        <f aca="false">IF(C17204="","",C17204*D17204/100)</f>
        <v/>
      </c>
      <c r="F17204" s="15" t="str">
        <f aca="false">IF(B17204&lt;5,"Go","Standard")</f>
        <v>Standard</v>
      </c>
    </row>
    <row r="17205" customFormat="false" ht="15" hidden="false" customHeight="true" outlineLevel="0" collapsed="false">
      <c r="A17205" s="10" t="n">
        <f aca="false">Einstellungen!$B$5+INT((ROW()-9)/24)</f>
        <v>46682</v>
      </c>
      <c r="B17205" s="11" t="n">
        <f aca="false">MOD(ROW()-9,24)</f>
        <v>12</v>
      </c>
      <c r="C17205" s="12"/>
      <c r="D17205" s="13" t="n">
        <f aca="false">IF(B17205&lt;5,Einstellungen!$B$3,Einstellungen!$B$4)</f>
        <v>29.13</v>
      </c>
      <c r="E17205" s="14" t="str">
        <f aca="false">IF(C17205="","",C17205*D17205/100)</f>
        <v/>
      </c>
      <c r="F17205" s="15" t="str">
        <f aca="false">IF(B17205&lt;5,"Go","Standard")</f>
        <v>Standard</v>
      </c>
    </row>
    <row r="17206" customFormat="false" ht="15" hidden="false" customHeight="true" outlineLevel="0" collapsed="false">
      <c r="A17206" s="10" t="n">
        <f aca="false">Einstellungen!$B$5+INT((ROW()-9)/24)</f>
        <v>46682</v>
      </c>
      <c r="B17206" s="11" t="n">
        <f aca="false">MOD(ROW()-9,24)</f>
        <v>13</v>
      </c>
      <c r="C17206" s="12"/>
      <c r="D17206" s="13" t="n">
        <f aca="false">IF(B17206&lt;5,Einstellungen!$B$3,Einstellungen!$B$4)</f>
        <v>29.13</v>
      </c>
      <c r="E17206" s="14" t="str">
        <f aca="false">IF(C17206="","",C17206*D17206/100)</f>
        <v/>
      </c>
      <c r="F17206" s="15" t="str">
        <f aca="false">IF(B17206&lt;5,"Go","Standard")</f>
        <v>Standard</v>
      </c>
    </row>
    <row r="17207" customFormat="false" ht="15" hidden="false" customHeight="true" outlineLevel="0" collapsed="false">
      <c r="A17207" s="10" t="n">
        <f aca="false">Einstellungen!$B$5+INT((ROW()-9)/24)</f>
        <v>46682</v>
      </c>
      <c r="B17207" s="11" t="n">
        <f aca="false">MOD(ROW()-9,24)</f>
        <v>14</v>
      </c>
      <c r="C17207" s="12"/>
      <c r="D17207" s="13" t="n">
        <f aca="false">IF(B17207&lt;5,Einstellungen!$B$3,Einstellungen!$B$4)</f>
        <v>29.13</v>
      </c>
      <c r="E17207" s="14" t="str">
        <f aca="false">IF(C17207="","",C17207*D17207/100)</f>
        <v/>
      </c>
      <c r="F17207" s="15" t="str">
        <f aca="false">IF(B17207&lt;5,"Go","Standard")</f>
        <v>Standard</v>
      </c>
    </row>
    <row r="17208" customFormat="false" ht="15" hidden="false" customHeight="true" outlineLevel="0" collapsed="false">
      <c r="A17208" s="10" t="n">
        <f aca="false">Einstellungen!$B$5+INT((ROW()-9)/24)</f>
        <v>46682</v>
      </c>
      <c r="B17208" s="11" t="n">
        <f aca="false">MOD(ROW()-9,24)</f>
        <v>15</v>
      </c>
      <c r="C17208" s="12"/>
      <c r="D17208" s="13" t="n">
        <f aca="false">IF(B17208&lt;5,Einstellungen!$B$3,Einstellungen!$B$4)</f>
        <v>29.13</v>
      </c>
      <c r="E17208" s="14" t="str">
        <f aca="false">IF(C17208="","",C17208*D17208/100)</f>
        <v/>
      </c>
      <c r="F17208" s="15" t="str">
        <f aca="false">IF(B17208&lt;5,"Go","Standard")</f>
        <v>Standard</v>
      </c>
    </row>
    <row r="17209" customFormat="false" ht="15" hidden="false" customHeight="true" outlineLevel="0" collapsed="false">
      <c r="A17209" s="10" t="n">
        <f aca="false">Einstellungen!$B$5+INT((ROW()-9)/24)</f>
        <v>46682</v>
      </c>
      <c r="B17209" s="11" t="n">
        <f aca="false">MOD(ROW()-9,24)</f>
        <v>16</v>
      </c>
      <c r="C17209" s="12"/>
      <c r="D17209" s="13" t="n">
        <f aca="false">IF(B17209&lt;5,Einstellungen!$B$3,Einstellungen!$B$4)</f>
        <v>29.13</v>
      </c>
      <c r="E17209" s="14" t="str">
        <f aca="false">IF(C17209="","",C17209*D17209/100)</f>
        <v/>
      </c>
      <c r="F17209" s="15" t="str">
        <f aca="false">IF(B17209&lt;5,"Go","Standard")</f>
        <v>Standard</v>
      </c>
    </row>
    <row r="17210" customFormat="false" ht="15" hidden="false" customHeight="true" outlineLevel="0" collapsed="false">
      <c r="A17210" s="10" t="n">
        <f aca="false">Einstellungen!$B$5+INT((ROW()-9)/24)</f>
        <v>46682</v>
      </c>
      <c r="B17210" s="11" t="n">
        <f aca="false">MOD(ROW()-9,24)</f>
        <v>17</v>
      </c>
      <c r="C17210" s="12"/>
      <c r="D17210" s="13" t="n">
        <f aca="false">IF(B17210&lt;5,Einstellungen!$B$3,Einstellungen!$B$4)</f>
        <v>29.13</v>
      </c>
      <c r="E17210" s="14" t="str">
        <f aca="false">IF(C17210="","",C17210*D17210/100)</f>
        <v/>
      </c>
      <c r="F17210" s="15" t="str">
        <f aca="false">IF(B17210&lt;5,"Go","Standard")</f>
        <v>Standard</v>
      </c>
    </row>
    <row r="17211" customFormat="false" ht="15" hidden="false" customHeight="true" outlineLevel="0" collapsed="false">
      <c r="A17211" s="10" t="n">
        <f aca="false">Einstellungen!$B$5+INT((ROW()-9)/24)</f>
        <v>46682</v>
      </c>
      <c r="B17211" s="11" t="n">
        <f aca="false">MOD(ROW()-9,24)</f>
        <v>18</v>
      </c>
      <c r="C17211" s="12"/>
      <c r="D17211" s="13" t="n">
        <f aca="false">IF(B17211&lt;5,Einstellungen!$B$3,Einstellungen!$B$4)</f>
        <v>29.13</v>
      </c>
      <c r="E17211" s="14" t="str">
        <f aca="false">IF(C17211="","",C17211*D17211/100)</f>
        <v/>
      </c>
      <c r="F17211" s="15" t="str">
        <f aca="false">IF(B17211&lt;5,"Go","Standard")</f>
        <v>Standard</v>
      </c>
    </row>
    <row r="17212" customFormat="false" ht="15" hidden="false" customHeight="true" outlineLevel="0" collapsed="false">
      <c r="A17212" s="10" t="n">
        <f aca="false">Einstellungen!$B$5+INT((ROW()-9)/24)</f>
        <v>46682</v>
      </c>
      <c r="B17212" s="11" t="n">
        <f aca="false">MOD(ROW()-9,24)</f>
        <v>19</v>
      </c>
      <c r="C17212" s="12"/>
      <c r="D17212" s="13" t="n">
        <f aca="false">IF(B17212&lt;5,Einstellungen!$B$3,Einstellungen!$B$4)</f>
        <v>29.13</v>
      </c>
      <c r="E17212" s="14" t="str">
        <f aca="false">IF(C17212="","",C17212*D17212/100)</f>
        <v/>
      </c>
      <c r="F17212" s="15" t="str">
        <f aca="false">IF(B17212&lt;5,"Go","Standard")</f>
        <v>Standard</v>
      </c>
    </row>
    <row r="17213" customFormat="false" ht="15" hidden="false" customHeight="true" outlineLevel="0" collapsed="false">
      <c r="A17213" s="10" t="n">
        <f aca="false">Einstellungen!$B$5+INT((ROW()-9)/24)</f>
        <v>46682</v>
      </c>
      <c r="B17213" s="11" t="n">
        <f aca="false">MOD(ROW()-9,24)</f>
        <v>20</v>
      </c>
      <c r="C17213" s="12"/>
      <c r="D17213" s="13" t="n">
        <f aca="false">IF(B17213&lt;5,Einstellungen!$B$3,Einstellungen!$B$4)</f>
        <v>29.13</v>
      </c>
      <c r="E17213" s="14" t="str">
        <f aca="false">IF(C17213="","",C17213*D17213/100)</f>
        <v/>
      </c>
      <c r="F17213" s="15" t="str">
        <f aca="false">IF(B17213&lt;5,"Go","Standard")</f>
        <v>Standard</v>
      </c>
    </row>
    <row r="17214" customFormat="false" ht="15" hidden="false" customHeight="true" outlineLevel="0" collapsed="false">
      <c r="A17214" s="10" t="n">
        <f aca="false">Einstellungen!$B$5+INT((ROW()-9)/24)</f>
        <v>46682</v>
      </c>
      <c r="B17214" s="11" t="n">
        <f aca="false">MOD(ROW()-9,24)</f>
        <v>21</v>
      </c>
      <c r="C17214" s="12"/>
      <c r="D17214" s="13" t="n">
        <f aca="false">IF(B17214&lt;5,Einstellungen!$B$3,Einstellungen!$B$4)</f>
        <v>29.13</v>
      </c>
      <c r="E17214" s="14" t="str">
        <f aca="false">IF(C17214="","",C17214*D17214/100)</f>
        <v/>
      </c>
      <c r="F17214" s="15" t="str">
        <f aca="false">IF(B17214&lt;5,"Go","Standard")</f>
        <v>Standard</v>
      </c>
    </row>
    <row r="17215" customFormat="false" ht="15" hidden="false" customHeight="true" outlineLevel="0" collapsed="false">
      <c r="A17215" s="10" t="n">
        <f aca="false">Einstellungen!$B$5+INT((ROW()-9)/24)</f>
        <v>46682</v>
      </c>
      <c r="B17215" s="11" t="n">
        <f aca="false">MOD(ROW()-9,24)</f>
        <v>22</v>
      </c>
      <c r="C17215" s="12"/>
      <c r="D17215" s="13" t="n">
        <f aca="false">IF(B17215&lt;5,Einstellungen!$B$3,Einstellungen!$B$4)</f>
        <v>29.13</v>
      </c>
      <c r="E17215" s="14" t="str">
        <f aca="false">IF(C17215="","",C17215*D17215/100)</f>
        <v/>
      </c>
      <c r="F17215" s="15" t="str">
        <f aca="false">IF(B17215&lt;5,"Go","Standard")</f>
        <v>Standard</v>
      </c>
    </row>
    <row r="17216" customFormat="false" ht="15" hidden="false" customHeight="true" outlineLevel="0" collapsed="false">
      <c r="A17216" s="10" t="n">
        <f aca="false">Einstellungen!$B$5+INT((ROW()-9)/24)</f>
        <v>46682</v>
      </c>
      <c r="B17216" s="11" t="n">
        <f aca="false">MOD(ROW()-9,24)</f>
        <v>23</v>
      </c>
      <c r="C17216" s="12"/>
      <c r="D17216" s="13" t="n">
        <f aca="false">IF(B17216&lt;5,Einstellungen!$B$3,Einstellungen!$B$4)</f>
        <v>29.13</v>
      </c>
      <c r="E17216" s="14" t="str">
        <f aca="false">IF(C17216="","",C17216*D17216/100)</f>
        <v/>
      </c>
      <c r="F17216" s="15" t="str">
        <f aca="false">IF(B17216&lt;5,"Go","Standard")</f>
        <v>Standard</v>
      </c>
    </row>
    <row r="17217" customFormat="false" ht="15" hidden="false" customHeight="true" outlineLevel="0" collapsed="false">
      <c r="A17217" s="10" t="n">
        <f aca="false">Einstellungen!$B$5+INT((ROW()-9)/24)</f>
        <v>46683</v>
      </c>
      <c r="B17217" s="11" t="n">
        <f aca="false">MOD(ROW()-9,24)</f>
        <v>0</v>
      </c>
      <c r="C17217" s="12"/>
      <c r="D17217" s="13" t="n">
        <f aca="false">IF(B17217&lt;5,Einstellungen!$B$3,Einstellungen!$B$4)</f>
        <v>15.92</v>
      </c>
      <c r="E17217" s="14" t="str">
        <f aca="false">IF(C17217="","",C17217*D17217/100)</f>
        <v/>
      </c>
      <c r="F17217" s="15" t="str">
        <f aca="false">IF(B17217&lt;5,"Go","Standard")</f>
        <v>Go</v>
      </c>
    </row>
    <row r="17218" customFormat="false" ht="15" hidden="false" customHeight="true" outlineLevel="0" collapsed="false">
      <c r="A17218" s="10" t="n">
        <f aca="false">Einstellungen!$B$5+INT((ROW()-9)/24)</f>
        <v>46683</v>
      </c>
      <c r="B17218" s="11" t="n">
        <f aca="false">MOD(ROW()-9,24)</f>
        <v>1</v>
      </c>
      <c r="C17218" s="12"/>
      <c r="D17218" s="13" t="n">
        <f aca="false">IF(B17218&lt;5,Einstellungen!$B$3,Einstellungen!$B$4)</f>
        <v>15.92</v>
      </c>
      <c r="E17218" s="14" t="str">
        <f aca="false">IF(C17218="","",C17218*D17218/100)</f>
        <v/>
      </c>
      <c r="F17218" s="15" t="str">
        <f aca="false">IF(B17218&lt;5,"Go","Standard")</f>
        <v>Go</v>
      </c>
    </row>
    <row r="17219" customFormat="false" ht="15" hidden="false" customHeight="true" outlineLevel="0" collapsed="false">
      <c r="A17219" s="10" t="n">
        <f aca="false">Einstellungen!$B$5+INT((ROW()-9)/24)</f>
        <v>46683</v>
      </c>
      <c r="B17219" s="11" t="n">
        <f aca="false">MOD(ROW()-9,24)</f>
        <v>2</v>
      </c>
      <c r="C17219" s="12"/>
      <c r="D17219" s="13" t="n">
        <f aca="false">IF(B17219&lt;5,Einstellungen!$B$3,Einstellungen!$B$4)</f>
        <v>15.92</v>
      </c>
      <c r="E17219" s="14" t="str">
        <f aca="false">IF(C17219="","",C17219*D17219/100)</f>
        <v/>
      </c>
      <c r="F17219" s="15" t="str">
        <f aca="false">IF(B17219&lt;5,"Go","Standard")</f>
        <v>Go</v>
      </c>
    </row>
    <row r="17220" customFormat="false" ht="15" hidden="false" customHeight="true" outlineLevel="0" collapsed="false">
      <c r="A17220" s="10" t="n">
        <f aca="false">Einstellungen!$B$5+INT((ROW()-9)/24)</f>
        <v>46683</v>
      </c>
      <c r="B17220" s="11" t="n">
        <f aca="false">MOD(ROW()-9,24)</f>
        <v>3</v>
      </c>
      <c r="C17220" s="12"/>
      <c r="D17220" s="13" t="n">
        <f aca="false">IF(B17220&lt;5,Einstellungen!$B$3,Einstellungen!$B$4)</f>
        <v>15.92</v>
      </c>
      <c r="E17220" s="14" t="str">
        <f aca="false">IF(C17220="","",C17220*D17220/100)</f>
        <v/>
      </c>
      <c r="F17220" s="15" t="str">
        <f aca="false">IF(B17220&lt;5,"Go","Standard")</f>
        <v>Go</v>
      </c>
    </row>
    <row r="17221" customFormat="false" ht="15" hidden="false" customHeight="true" outlineLevel="0" collapsed="false">
      <c r="A17221" s="10" t="n">
        <f aca="false">Einstellungen!$B$5+INT((ROW()-9)/24)</f>
        <v>46683</v>
      </c>
      <c r="B17221" s="11" t="n">
        <f aca="false">MOD(ROW()-9,24)</f>
        <v>4</v>
      </c>
      <c r="C17221" s="12"/>
      <c r="D17221" s="13" t="n">
        <f aca="false">IF(B17221&lt;5,Einstellungen!$B$3,Einstellungen!$B$4)</f>
        <v>15.92</v>
      </c>
      <c r="E17221" s="14" t="str">
        <f aca="false">IF(C17221="","",C17221*D17221/100)</f>
        <v/>
      </c>
      <c r="F17221" s="15" t="str">
        <f aca="false">IF(B17221&lt;5,"Go","Standard")</f>
        <v>Go</v>
      </c>
    </row>
    <row r="17222" customFormat="false" ht="15" hidden="false" customHeight="true" outlineLevel="0" collapsed="false">
      <c r="A17222" s="10" t="n">
        <f aca="false">Einstellungen!$B$5+INT((ROW()-9)/24)</f>
        <v>46683</v>
      </c>
      <c r="B17222" s="11" t="n">
        <f aca="false">MOD(ROW()-9,24)</f>
        <v>5</v>
      </c>
      <c r="C17222" s="12"/>
      <c r="D17222" s="13" t="n">
        <f aca="false">IF(B17222&lt;5,Einstellungen!$B$3,Einstellungen!$B$4)</f>
        <v>29.13</v>
      </c>
      <c r="E17222" s="14" t="str">
        <f aca="false">IF(C17222="","",C17222*D17222/100)</f>
        <v/>
      </c>
      <c r="F17222" s="15" t="str">
        <f aca="false">IF(B17222&lt;5,"Go","Standard")</f>
        <v>Standard</v>
      </c>
    </row>
    <row r="17223" customFormat="false" ht="15" hidden="false" customHeight="true" outlineLevel="0" collapsed="false">
      <c r="A17223" s="10" t="n">
        <f aca="false">Einstellungen!$B$5+INT((ROW()-9)/24)</f>
        <v>46683</v>
      </c>
      <c r="B17223" s="11" t="n">
        <f aca="false">MOD(ROW()-9,24)</f>
        <v>6</v>
      </c>
      <c r="C17223" s="12"/>
      <c r="D17223" s="13" t="n">
        <f aca="false">IF(B17223&lt;5,Einstellungen!$B$3,Einstellungen!$B$4)</f>
        <v>29.13</v>
      </c>
      <c r="E17223" s="14" t="str">
        <f aca="false">IF(C17223="","",C17223*D17223/100)</f>
        <v/>
      </c>
      <c r="F17223" s="15" t="str">
        <f aca="false">IF(B17223&lt;5,"Go","Standard")</f>
        <v>Standard</v>
      </c>
    </row>
    <row r="17224" customFormat="false" ht="15" hidden="false" customHeight="true" outlineLevel="0" collapsed="false">
      <c r="A17224" s="10" t="n">
        <f aca="false">Einstellungen!$B$5+INT((ROW()-9)/24)</f>
        <v>46683</v>
      </c>
      <c r="B17224" s="11" t="n">
        <f aca="false">MOD(ROW()-9,24)</f>
        <v>7</v>
      </c>
      <c r="C17224" s="12"/>
      <c r="D17224" s="13" t="n">
        <f aca="false">IF(B17224&lt;5,Einstellungen!$B$3,Einstellungen!$B$4)</f>
        <v>29.13</v>
      </c>
      <c r="E17224" s="14" t="str">
        <f aca="false">IF(C17224="","",C17224*D17224/100)</f>
        <v/>
      </c>
      <c r="F17224" s="15" t="str">
        <f aca="false">IF(B17224&lt;5,"Go","Standard")</f>
        <v>Standard</v>
      </c>
    </row>
    <row r="17225" customFormat="false" ht="15" hidden="false" customHeight="true" outlineLevel="0" collapsed="false">
      <c r="A17225" s="10" t="n">
        <f aca="false">Einstellungen!$B$5+INT((ROW()-9)/24)</f>
        <v>46683</v>
      </c>
      <c r="B17225" s="11" t="n">
        <f aca="false">MOD(ROW()-9,24)</f>
        <v>8</v>
      </c>
      <c r="C17225" s="12"/>
      <c r="D17225" s="13" t="n">
        <f aca="false">IF(B17225&lt;5,Einstellungen!$B$3,Einstellungen!$B$4)</f>
        <v>29.13</v>
      </c>
      <c r="E17225" s="14" t="str">
        <f aca="false">IF(C17225="","",C17225*D17225/100)</f>
        <v/>
      </c>
      <c r="F17225" s="15" t="str">
        <f aca="false">IF(B17225&lt;5,"Go","Standard")</f>
        <v>Standard</v>
      </c>
    </row>
    <row r="17226" customFormat="false" ht="15" hidden="false" customHeight="true" outlineLevel="0" collapsed="false">
      <c r="A17226" s="10" t="n">
        <f aca="false">Einstellungen!$B$5+INT((ROW()-9)/24)</f>
        <v>46683</v>
      </c>
      <c r="B17226" s="11" t="n">
        <f aca="false">MOD(ROW()-9,24)</f>
        <v>9</v>
      </c>
      <c r="C17226" s="12"/>
      <c r="D17226" s="13" t="n">
        <f aca="false">IF(B17226&lt;5,Einstellungen!$B$3,Einstellungen!$B$4)</f>
        <v>29.13</v>
      </c>
      <c r="E17226" s="14" t="str">
        <f aca="false">IF(C17226="","",C17226*D17226/100)</f>
        <v/>
      </c>
      <c r="F17226" s="15" t="str">
        <f aca="false">IF(B17226&lt;5,"Go","Standard")</f>
        <v>Standard</v>
      </c>
    </row>
    <row r="17227" customFormat="false" ht="15" hidden="false" customHeight="true" outlineLevel="0" collapsed="false">
      <c r="A17227" s="10" t="n">
        <f aca="false">Einstellungen!$B$5+INT((ROW()-9)/24)</f>
        <v>46683</v>
      </c>
      <c r="B17227" s="11" t="n">
        <f aca="false">MOD(ROW()-9,24)</f>
        <v>10</v>
      </c>
      <c r="C17227" s="12"/>
      <c r="D17227" s="13" t="n">
        <f aca="false">IF(B17227&lt;5,Einstellungen!$B$3,Einstellungen!$B$4)</f>
        <v>29.13</v>
      </c>
      <c r="E17227" s="14" t="str">
        <f aca="false">IF(C17227="","",C17227*D17227/100)</f>
        <v/>
      </c>
      <c r="F17227" s="15" t="str">
        <f aca="false">IF(B17227&lt;5,"Go","Standard")</f>
        <v>Standard</v>
      </c>
    </row>
    <row r="17228" customFormat="false" ht="15" hidden="false" customHeight="true" outlineLevel="0" collapsed="false">
      <c r="A17228" s="10" t="n">
        <f aca="false">Einstellungen!$B$5+INT((ROW()-9)/24)</f>
        <v>46683</v>
      </c>
      <c r="B17228" s="11" t="n">
        <f aca="false">MOD(ROW()-9,24)</f>
        <v>11</v>
      </c>
      <c r="C17228" s="12"/>
      <c r="D17228" s="13" t="n">
        <f aca="false">IF(B17228&lt;5,Einstellungen!$B$3,Einstellungen!$B$4)</f>
        <v>29.13</v>
      </c>
      <c r="E17228" s="14" t="str">
        <f aca="false">IF(C17228="","",C17228*D17228/100)</f>
        <v/>
      </c>
      <c r="F17228" s="15" t="str">
        <f aca="false">IF(B17228&lt;5,"Go","Standard")</f>
        <v>Standard</v>
      </c>
    </row>
    <row r="17229" customFormat="false" ht="15" hidden="false" customHeight="true" outlineLevel="0" collapsed="false">
      <c r="A17229" s="10" t="n">
        <f aca="false">Einstellungen!$B$5+INT((ROW()-9)/24)</f>
        <v>46683</v>
      </c>
      <c r="B17229" s="11" t="n">
        <f aca="false">MOD(ROW()-9,24)</f>
        <v>12</v>
      </c>
      <c r="C17229" s="12"/>
      <c r="D17229" s="13" t="n">
        <f aca="false">IF(B17229&lt;5,Einstellungen!$B$3,Einstellungen!$B$4)</f>
        <v>29.13</v>
      </c>
      <c r="E17229" s="14" t="str">
        <f aca="false">IF(C17229="","",C17229*D17229/100)</f>
        <v/>
      </c>
      <c r="F17229" s="15" t="str">
        <f aca="false">IF(B17229&lt;5,"Go","Standard")</f>
        <v>Standard</v>
      </c>
    </row>
    <row r="17230" customFormat="false" ht="15" hidden="false" customHeight="true" outlineLevel="0" collapsed="false">
      <c r="A17230" s="10" t="n">
        <f aca="false">Einstellungen!$B$5+INT((ROW()-9)/24)</f>
        <v>46683</v>
      </c>
      <c r="B17230" s="11" t="n">
        <f aca="false">MOD(ROW()-9,24)</f>
        <v>13</v>
      </c>
      <c r="C17230" s="12"/>
      <c r="D17230" s="13" t="n">
        <f aca="false">IF(B17230&lt;5,Einstellungen!$B$3,Einstellungen!$B$4)</f>
        <v>29.13</v>
      </c>
      <c r="E17230" s="14" t="str">
        <f aca="false">IF(C17230="","",C17230*D17230/100)</f>
        <v/>
      </c>
      <c r="F17230" s="15" t="str">
        <f aca="false">IF(B17230&lt;5,"Go","Standard")</f>
        <v>Standard</v>
      </c>
    </row>
    <row r="17231" customFormat="false" ht="15" hidden="false" customHeight="true" outlineLevel="0" collapsed="false">
      <c r="A17231" s="10" t="n">
        <f aca="false">Einstellungen!$B$5+INT((ROW()-9)/24)</f>
        <v>46683</v>
      </c>
      <c r="B17231" s="11" t="n">
        <f aca="false">MOD(ROW()-9,24)</f>
        <v>14</v>
      </c>
      <c r="C17231" s="12"/>
      <c r="D17231" s="13" t="n">
        <f aca="false">IF(B17231&lt;5,Einstellungen!$B$3,Einstellungen!$B$4)</f>
        <v>29.13</v>
      </c>
      <c r="E17231" s="14" t="str">
        <f aca="false">IF(C17231="","",C17231*D17231/100)</f>
        <v/>
      </c>
      <c r="F17231" s="15" t="str">
        <f aca="false">IF(B17231&lt;5,"Go","Standard")</f>
        <v>Standard</v>
      </c>
    </row>
    <row r="17232" customFormat="false" ht="15" hidden="false" customHeight="true" outlineLevel="0" collapsed="false">
      <c r="A17232" s="10" t="n">
        <f aca="false">Einstellungen!$B$5+INT((ROW()-9)/24)</f>
        <v>46683</v>
      </c>
      <c r="B17232" s="11" t="n">
        <f aca="false">MOD(ROW()-9,24)</f>
        <v>15</v>
      </c>
      <c r="C17232" s="12"/>
      <c r="D17232" s="13" t="n">
        <f aca="false">IF(B17232&lt;5,Einstellungen!$B$3,Einstellungen!$B$4)</f>
        <v>29.13</v>
      </c>
      <c r="E17232" s="14" t="str">
        <f aca="false">IF(C17232="","",C17232*D17232/100)</f>
        <v/>
      </c>
      <c r="F17232" s="15" t="str">
        <f aca="false">IF(B17232&lt;5,"Go","Standard")</f>
        <v>Standard</v>
      </c>
    </row>
    <row r="17233" customFormat="false" ht="15" hidden="false" customHeight="true" outlineLevel="0" collapsed="false">
      <c r="A17233" s="10" t="n">
        <f aca="false">Einstellungen!$B$5+INT((ROW()-9)/24)</f>
        <v>46683</v>
      </c>
      <c r="B17233" s="11" t="n">
        <f aca="false">MOD(ROW()-9,24)</f>
        <v>16</v>
      </c>
      <c r="C17233" s="12"/>
      <c r="D17233" s="13" t="n">
        <f aca="false">IF(B17233&lt;5,Einstellungen!$B$3,Einstellungen!$B$4)</f>
        <v>29.13</v>
      </c>
      <c r="E17233" s="14" t="str">
        <f aca="false">IF(C17233="","",C17233*D17233/100)</f>
        <v/>
      </c>
      <c r="F17233" s="15" t="str">
        <f aca="false">IF(B17233&lt;5,"Go","Standard")</f>
        <v>Standard</v>
      </c>
    </row>
    <row r="17234" customFormat="false" ht="15" hidden="false" customHeight="true" outlineLevel="0" collapsed="false">
      <c r="A17234" s="10" t="n">
        <f aca="false">Einstellungen!$B$5+INT((ROW()-9)/24)</f>
        <v>46683</v>
      </c>
      <c r="B17234" s="11" t="n">
        <f aca="false">MOD(ROW()-9,24)</f>
        <v>17</v>
      </c>
      <c r="C17234" s="12"/>
      <c r="D17234" s="13" t="n">
        <f aca="false">IF(B17234&lt;5,Einstellungen!$B$3,Einstellungen!$B$4)</f>
        <v>29.13</v>
      </c>
      <c r="E17234" s="14" t="str">
        <f aca="false">IF(C17234="","",C17234*D17234/100)</f>
        <v/>
      </c>
      <c r="F17234" s="15" t="str">
        <f aca="false">IF(B17234&lt;5,"Go","Standard")</f>
        <v>Standard</v>
      </c>
    </row>
    <row r="17235" customFormat="false" ht="15" hidden="false" customHeight="true" outlineLevel="0" collapsed="false">
      <c r="A17235" s="10" t="n">
        <f aca="false">Einstellungen!$B$5+INT((ROW()-9)/24)</f>
        <v>46683</v>
      </c>
      <c r="B17235" s="11" t="n">
        <f aca="false">MOD(ROW()-9,24)</f>
        <v>18</v>
      </c>
      <c r="C17235" s="12"/>
      <c r="D17235" s="13" t="n">
        <f aca="false">IF(B17235&lt;5,Einstellungen!$B$3,Einstellungen!$B$4)</f>
        <v>29.13</v>
      </c>
      <c r="E17235" s="14" t="str">
        <f aca="false">IF(C17235="","",C17235*D17235/100)</f>
        <v/>
      </c>
      <c r="F17235" s="15" t="str">
        <f aca="false">IF(B17235&lt;5,"Go","Standard")</f>
        <v>Standard</v>
      </c>
    </row>
    <row r="17236" customFormat="false" ht="15" hidden="false" customHeight="true" outlineLevel="0" collapsed="false">
      <c r="A17236" s="10" t="n">
        <f aca="false">Einstellungen!$B$5+INT((ROW()-9)/24)</f>
        <v>46683</v>
      </c>
      <c r="B17236" s="11" t="n">
        <f aca="false">MOD(ROW()-9,24)</f>
        <v>19</v>
      </c>
      <c r="C17236" s="12"/>
      <c r="D17236" s="13" t="n">
        <f aca="false">IF(B17236&lt;5,Einstellungen!$B$3,Einstellungen!$B$4)</f>
        <v>29.13</v>
      </c>
      <c r="E17236" s="14" t="str">
        <f aca="false">IF(C17236="","",C17236*D17236/100)</f>
        <v/>
      </c>
      <c r="F17236" s="15" t="str">
        <f aca="false">IF(B17236&lt;5,"Go","Standard")</f>
        <v>Standard</v>
      </c>
    </row>
    <row r="17237" customFormat="false" ht="15" hidden="false" customHeight="true" outlineLevel="0" collapsed="false">
      <c r="A17237" s="10" t="n">
        <f aca="false">Einstellungen!$B$5+INT((ROW()-9)/24)</f>
        <v>46683</v>
      </c>
      <c r="B17237" s="11" t="n">
        <f aca="false">MOD(ROW()-9,24)</f>
        <v>20</v>
      </c>
      <c r="C17237" s="12"/>
      <c r="D17237" s="13" t="n">
        <f aca="false">IF(B17237&lt;5,Einstellungen!$B$3,Einstellungen!$B$4)</f>
        <v>29.13</v>
      </c>
      <c r="E17237" s="14" t="str">
        <f aca="false">IF(C17237="","",C17237*D17237/100)</f>
        <v/>
      </c>
      <c r="F17237" s="15" t="str">
        <f aca="false">IF(B17237&lt;5,"Go","Standard")</f>
        <v>Standard</v>
      </c>
    </row>
    <row r="17238" customFormat="false" ht="15" hidden="false" customHeight="true" outlineLevel="0" collapsed="false">
      <c r="A17238" s="10" t="n">
        <f aca="false">Einstellungen!$B$5+INT((ROW()-9)/24)</f>
        <v>46683</v>
      </c>
      <c r="B17238" s="11" t="n">
        <f aca="false">MOD(ROW()-9,24)</f>
        <v>21</v>
      </c>
      <c r="C17238" s="12"/>
      <c r="D17238" s="13" t="n">
        <f aca="false">IF(B17238&lt;5,Einstellungen!$B$3,Einstellungen!$B$4)</f>
        <v>29.13</v>
      </c>
      <c r="E17238" s="14" t="str">
        <f aca="false">IF(C17238="","",C17238*D17238/100)</f>
        <v/>
      </c>
      <c r="F17238" s="15" t="str">
        <f aca="false">IF(B17238&lt;5,"Go","Standard")</f>
        <v>Standard</v>
      </c>
    </row>
    <row r="17239" customFormat="false" ht="15" hidden="false" customHeight="true" outlineLevel="0" collapsed="false">
      <c r="A17239" s="10" t="n">
        <f aca="false">Einstellungen!$B$5+INT((ROW()-9)/24)</f>
        <v>46683</v>
      </c>
      <c r="B17239" s="11" t="n">
        <f aca="false">MOD(ROW()-9,24)</f>
        <v>22</v>
      </c>
      <c r="C17239" s="12"/>
      <c r="D17239" s="13" t="n">
        <f aca="false">IF(B17239&lt;5,Einstellungen!$B$3,Einstellungen!$B$4)</f>
        <v>29.13</v>
      </c>
      <c r="E17239" s="14" t="str">
        <f aca="false">IF(C17239="","",C17239*D17239/100)</f>
        <v/>
      </c>
      <c r="F17239" s="15" t="str">
        <f aca="false">IF(B17239&lt;5,"Go","Standard")</f>
        <v>Standard</v>
      </c>
    </row>
    <row r="17240" customFormat="false" ht="15" hidden="false" customHeight="true" outlineLevel="0" collapsed="false">
      <c r="A17240" s="10" t="n">
        <f aca="false">Einstellungen!$B$5+INT((ROW()-9)/24)</f>
        <v>46683</v>
      </c>
      <c r="B17240" s="11" t="n">
        <f aca="false">MOD(ROW()-9,24)</f>
        <v>23</v>
      </c>
      <c r="C17240" s="12"/>
      <c r="D17240" s="13" t="n">
        <f aca="false">IF(B17240&lt;5,Einstellungen!$B$3,Einstellungen!$B$4)</f>
        <v>29.13</v>
      </c>
      <c r="E17240" s="14" t="str">
        <f aca="false">IF(C17240="","",C17240*D17240/100)</f>
        <v/>
      </c>
      <c r="F17240" s="15" t="str">
        <f aca="false">IF(B17240&lt;5,"Go","Standard")</f>
        <v>Standard</v>
      </c>
    </row>
    <row r="17241" customFormat="false" ht="15" hidden="false" customHeight="true" outlineLevel="0" collapsed="false">
      <c r="A17241" s="10" t="n">
        <f aca="false">Einstellungen!$B$5+INT((ROW()-9)/24)</f>
        <v>46684</v>
      </c>
      <c r="B17241" s="11" t="n">
        <f aca="false">MOD(ROW()-9,24)</f>
        <v>0</v>
      </c>
      <c r="C17241" s="12"/>
      <c r="D17241" s="13" t="n">
        <f aca="false">IF(B17241&lt;5,Einstellungen!$B$3,Einstellungen!$B$4)</f>
        <v>15.92</v>
      </c>
      <c r="E17241" s="14" t="str">
        <f aca="false">IF(C17241="","",C17241*D17241/100)</f>
        <v/>
      </c>
      <c r="F17241" s="15" t="str">
        <f aca="false">IF(B17241&lt;5,"Go","Standard")</f>
        <v>Go</v>
      </c>
    </row>
    <row r="17242" customFormat="false" ht="15" hidden="false" customHeight="true" outlineLevel="0" collapsed="false">
      <c r="A17242" s="10" t="n">
        <f aca="false">Einstellungen!$B$5+INT((ROW()-9)/24)</f>
        <v>46684</v>
      </c>
      <c r="B17242" s="11" t="n">
        <f aca="false">MOD(ROW()-9,24)</f>
        <v>1</v>
      </c>
      <c r="C17242" s="12"/>
      <c r="D17242" s="13" t="n">
        <f aca="false">IF(B17242&lt;5,Einstellungen!$B$3,Einstellungen!$B$4)</f>
        <v>15.92</v>
      </c>
      <c r="E17242" s="14" t="str">
        <f aca="false">IF(C17242="","",C17242*D17242/100)</f>
        <v/>
      </c>
      <c r="F17242" s="15" t="str">
        <f aca="false">IF(B17242&lt;5,"Go","Standard")</f>
        <v>Go</v>
      </c>
    </row>
    <row r="17243" customFormat="false" ht="15" hidden="false" customHeight="true" outlineLevel="0" collapsed="false">
      <c r="A17243" s="10" t="n">
        <f aca="false">Einstellungen!$B$5+INT((ROW()-9)/24)</f>
        <v>46684</v>
      </c>
      <c r="B17243" s="11" t="n">
        <f aca="false">MOD(ROW()-9,24)</f>
        <v>2</v>
      </c>
      <c r="C17243" s="12"/>
      <c r="D17243" s="13" t="n">
        <f aca="false">IF(B17243&lt;5,Einstellungen!$B$3,Einstellungen!$B$4)</f>
        <v>15.92</v>
      </c>
      <c r="E17243" s="14" t="str">
        <f aca="false">IF(C17243="","",C17243*D17243/100)</f>
        <v/>
      </c>
      <c r="F17243" s="15" t="str">
        <f aca="false">IF(B17243&lt;5,"Go","Standard")</f>
        <v>Go</v>
      </c>
    </row>
    <row r="17244" customFormat="false" ht="15" hidden="false" customHeight="true" outlineLevel="0" collapsed="false">
      <c r="A17244" s="10" t="n">
        <f aca="false">Einstellungen!$B$5+INT((ROW()-9)/24)</f>
        <v>46684</v>
      </c>
      <c r="B17244" s="11" t="n">
        <f aca="false">MOD(ROW()-9,24)</f>
        <v>3</v>
      </c>
      <c r="C17244" s="12"/>
      <c r="D17244" s="13" t="n">
        <f aca="false">IF(B17244&lt;5,Einstellungen!$B$3,Einstellungen!$B$4)</f>
        <v>15.92</v>
      </c>
      <c r="E17244" s="14" t="str">
        <f aca="false">IF(C17244="","",C17244*D17244/100)</f>
        <v/>
      </c>
      <c r="F17244" s="15" t="str">
        <f aca="false">IF(B17244&lt;5,"Go","Standard")</f>
        <v>Go</v>
      </c>
    </row>
    <row r="17245" customFormat="false" ht="15" hidden="false" customHeight="true" outlineLevel="0" collapsed="false">
      <c r="A17245" s="10" t="n">
        <f aca="false">Einstellungen!$B$5+INT((ROW()-9)/24)</f>
        <v>46684</v>
      </c>
      <c r="B17245" s="11" t="n">
        <f aca="false">MOD(ROW()-9,24)</f>
        <v>4</v>
      </c>
      <c r="C17245" s="12"/>
      <c r="D17245" s="13" t="n">
        <f aca="false">IF(B17245&lt;5,Einstellungen!$B$3,Einstellungen!$B$4)</f>
        <v>15.92</v>
      </c>
      <c r="E17245" s="14" t="str">
        <f aca="false">IF(C17245="","",C17245*D17245/100)</f>
        <v/>
      </c>
      <c r="F17245" s="15" t="str">
        <f aca="false">IF(B17245&lt;5,"Go","Standard")</f>
        <v>Go</v>
      </c>
    </row>
    <row r="17246" customFormat="false" ht="15" hidden="false" customHeight="true" outlineLevel="0" collapsed="false">
      <c r="A17246" s="10" t="n">
        <f aca="false">Einstellungen!$B$5+INT((ROW()-9)/24)</f>
        <v>46684</v>
      </c>
      <c r="B17246" s="11" t="n">
        <f aca="false">MOD(ROW()-9,24)</f>
        <v>5</v>
      </c>
      <c r="C17246" s="12"/>
      <c r="D17246" s="13" t="n">
        <f aca="false">IF(B17246&lt;5,Einstellungen!$B$3,Einstellungen!$B$4)</f>
        <v>29.13</v>
      </c>
      <c r="E17246" s="14" t="str">
        <f aca="false">IF(C17246="","",C17246*D17246/100)</f>
        <v/>
      </c>
      <c r="F17246" s="15" t="str">
        <f aca="false">IF(B17246&lt;5,"Go","Standard")</f>
        <v>Standard</v>
      </c>
    </row>
    <row r="17247" customFormat="false" ht="15" hidden="false" customHeight="true" outlineLevel="0" collapsed="false">
      <c r="A17247" s="10" t="n">
        <f aca="false">Einstellungen!$B$5+INT((ROW()-9)/24)</f>
        <v>46684</v>
      </c>
      <c r="B17247" s="11" t="n">
        <f aca="false">MOD(ROW()-9,24)</f>
        <v>6</v>
      </c>
      <c r="C17247" s="12"/>
      <c r="D17247" s="13" t="n">
        <f aca="false">IF(B17247&lt;5,Einstellungen!$B$3,Einstellungen!$B$4)</f>
        <v>29.13</v>
      </c>
      <c r="E17247" s="14" t="str">
        <f aca="false">IF(C17247="","",C17247*D17247/100)</f>
        <v/>
      </c>
      <c r="F17247" s="15" t="str">
        <f aca="false">IF(B17247&lt;5,"Go","Standard")</f>
        <v>Standard</v>
      </c>
    </row>
    <row r="17248" customFormat="false" ht="15" hidden="false" customHeight="true" outlineLevel="0" collapsed="false">
      <c r="A17248" s="10" t="n">
        <f aca="false">Einstellungen!$B$5+INT((ROW()-9)/24)</f>
        <v>46684</v>
      </c>
      <c r="B17248" s="11" t="n">
        <f aca="false">MOD(ROW()-9,24)</f>
        <v>7</v>
      </c>
      <c r="C17248" s="12"/>
      <c r="D17248" s="13" t="n">
        <f aca="false">IF(B17248&lt;5,Einstellungen!$B$3,Einstellungen!$B$4)</f>
        <v>29.13</v>
      </c>
      <c r="E17248" s="14" t="str">
        <f aca="false">IF(C17248="","",C17248*D17248/100)</f>
        <v/>
      </c>
      <c r="F17248" s="15" t="str">
        <f aca="false">IF(B17248&lt;5,"Go","Standard")</f>
        <v>Standard</v>
      </c>
    </row>
    <row r="17249" customFormat="false" ht="15" hidden="false" customHeight="true" outlineLevel="0" collapsed="false">
      <c r="A17249" s="10" t="n">
        <f aca="false">Einstellungen!$B$5+INT((ROW()-9)/24)</f>
        <v>46684</v>
      </c>
      <c r="B17249" s="11" t="n">
        <f aca="false">MOD(ROW()-9,24)</f>
        <v>8</v>
      </c>
      <c r="C17249" s="12"/>
      <c r="D17249" s="13" t="n">
        <f aca="false">IF(B17249&lt;5,Einstellungen!$B$3,Einstellungen!$B$4)</f>
        <v>29.13</v>
      </c>
      <c r="E17249" s="14" t="str">
        <f aca="false">IF(C17249="","",C17249*D17249/100)</f>
        <v/>
      </c>
      <c r="F17249" s="15" t="str">
        <f aca="false">IF(B17249&lt;5,"Go","Standard")</f>
        <v>Standard</v>
      </c>
    </row>
    <row r="17250" customFormat="false" ht="15" hidden="false" customHeight="true" outlineLevel="0" collapsed="false">
      <c r="A17250" s="10" t="n">
        <f aca="false">Einstellungen!$B$5+INT((ROW()-9)/24)</f>
        <v>46684</v>
      </c>
      <c r="B17250" s="11" t="n">
        <f aca="false">MOD(ROW()-9,24)</f>
        <v>9</v>
      </c>
      <c r="C17250" s="12"/>
      <c r="D17250" s="13" t="n">
        <f aca="false">IF(B17250&lt;5,Einstellungen!$B$3,Einstellungen!$B$4)</f>
        <v>29.13</v>
      </c>
      <c r="E17250" s="14" t="str">
        <f aca="false">IF(C17250="","",C17250*D17250/100)</f>
        <v/>
      </c>
      <c r="F17250" s="15" t="str">
        <f aca="false">IF(B17250&lt;5,"Go","Standard")</f>
        <v>Standard</v>
      </c>
    </row>
    <row r="17251" customFormat="false" ht="15" hidden="false" customHeight="true" outlineLevel="0" collapsed="false">
      <c r="A17251" s="10" t="n">
        <f aca="false">Einstellungen!$B$5+INT((ROW()-9)/24)</f>
        <v>46684</v>
      </c>
      <c r="B17251" s="11" t="n">
        <f aca="false">MOD(ROW()-9,24)</f>
        <v>10</v>
      </c>
      <c r="C17251" s="12"/>
      <c r="D17251" s="13" t="n">
        <f aca="false">IF(B17251&lt;5,Einstellungen!$B$3,Einstellungen!$B$4)</f>
        <v>29.13</v>
      </c>
      <c r="E17251" s="14" t="str">
        <f aca="false">IF(C17251="","",C17251*D17251/100)</f>
        <v/>
      </c>
      <c r="F17251" s="15" t="str">
        <f aca="false">IF(B17251&lt;5,"Go","Standard")</f>
        <v>Standard</v>
      </c>
    </row>
    <row r="17252" customFormat="false" ht="15" hidden="false" customHeight="true" outlineLevel="0" collapsed="false">
      <c r="A17252" s="10" t="n">
        <f aca="false">Einstellungen!$B$5+INT((ROW()-9)/24)</f>
        <v>46684</v>
      </c>
      <c r="B17252" s="11" t="n">
        <f aca="false">MOD(ROW()-9,24)</f>
        <v>11</v>
      </c>
      <c r="C17252" s="12"/>
      <c r="D17252" s="13" t="n">
        <f aca="false">IF(B17252&lt;5,Einstellungen!$B$3,Einstellungen!$B$4)</f>
        <v>29.13</v>
      </c>
      <c r="E17252" s="14" t="str">
        <f aca="false">IF(C17252="","",C17252*D17252/100)</f>
        <v/>
      </c>
      <c r="F17252" s="15" t="str">
        <f aca="false">IF(B17252&lt;5,"Go","Standard")</f>
        <v>Standard</v>
      </c>
    </row>
    <row r="17253" customFormat="false" ht="15" hidden="false" customHeight="true" outlineLevel="0" collapsed="false">
      <c r="A17253" s="10" t="n">
        <f aca="false">Einstellungen!$B$5+INT((ROW()-9)/24)</f>
        <v>46684</v>
      </c>
      <c r="B17253" s="11" t="n">
        <f aca="false">MOD(ROW()-9,24)</f>
        <v>12</v>
      </c>
      <c r="C17253" s="12"/>
      <c r="D17253" s="13" t="n">
        <f aca="false">IF(B17253&lt;5,Einstellungen!$B$3,Einstellungen!$B$4)</f>
        <v>29.13</v>
      </c>
      <c r="E17253" s="14" t="str">
        <f aca="false">IF(C17253="","",C17253*D17253/100)</f>
        <v/>
      </c>
      <c r="F17253" s="15" t="str">
        <f aca="false">IF(B17253&lt;5,"Go","Standard")</f>
        <v>Standard</v>
      </c>
    </row>
    <row r="17254" customFormat="false" ht="15" hidden="false" customHeight="true" outlineLevel="0" collapsed="false">
      <c r="A17254" s="10" t="n">
        <f aca="false">Einstellungen!$B$5+INT((ROW()-9)/24)</f>
        <v>46684</v>
      </c>
      <c r="B17254" s="11" t="n">
        <f aca="false">MOD(ROW()-9,24)</f>
        <v>13</v>
      </c>
      <c r="C17254" s="12"/>
      <c r="D17254" s="13" t="n">
        <f aca="false">IF(B17254&lt;5,Einstellungen!$B$3,Einstellungen!$B$4)</f>
        <v>29.13</v>
      </c>
      <c r="E17254" s="14" t="str">
        <f aca="false">IF(C17254="","",C17254*D17254/100)</f>
        <v/>
      </c>
      <c r="F17254" s="15" t="str">
        <f aca="false">IF(B17254&lt;5,"Go","Standard")</f>
        <v>Standard</v>
      </c>
    </row>
    <row r="17255" customFormat="false" ht="15" hidden="false" customHeight="true" outlineLevel="0" collapsed="false">
      <c r="A17255" s="10" t="n">
        <f aca="false">Einstellungen!$B$5+INT((ROW()-9)/24)</f>
        <v>46684</v>
      </c>
      <c r="B17255" s="11" t="n">
        <f aca="false">MOD(ROW()-9,24)</f>
        <v>14</v>
      </c>
      <c r="C17255" s="12"/>
      <c r="D17255" s="13" t="n">
        <f aca="false">IF(B17255&lt;5,Einstellungen!$B$3,Einstellungen!$B$4)</f>
        <v>29.13</v>
      </c>
      <c r="E17255" s="14" t="str">
        <f aca="false">IF(C17255="","",C17255*D17255/100)</f>
        <v/>
      </c>
      <c r="F17255" s="15" t="str">
        <f aca="false">IF(B17255&lt;5,"Go","Standard")</f>
        <v>Standard</v>
      </c>
    </row>
    <row r="17256" customFormat="false" ht="15" hidden="false" customHeight="true" outlineLevel="0" collapsed="false">
      <c r="A17256" s="10" t="n">
        <f aca="false">Einstellungen!$B$5+INT((ROW()-9)/24)</f>
        <v>46684</v>
      </c>
      <c r="B17256" s="11" t="n">
        <f aca="false">MOD(ROW()-9,24)</f>
        <v>15</v>
      </c>
      <c r="C17256" s="12"/>
      <c r="D17256" s="13" t="n">
        <f aca="false">IF(B17256&lt;5,Einstellungen!$B$3,Einstellungen!$B$4)</f>
        <v>29.13</v>
      </c>
      <c r="E17256" s="14" t="str">
        <f aca="false">IF(C17256="","",C17256*D17256/100)</f>
        <v/>
      </c>
      <c r="F17256" s="15" t="str">
        <f aca="false">IF(B17256&lt;5,"Go","Standard")</f>
        <v>Standard</v>
      </c>
    </row>
    <row r="17257" customFormat="false" ht="15" hidden="false" customHeight="true" outlineLevel="0" collapsed="false">
      <c r="A17257" s="10" t="n">
        <f aca="false">Einstellungen!$B$5+INT((ROW()-9)/24)</f>
        <v>46684</v>
      </c>
      <c r="B17257" s="11" t="n">
        <f aca="false">MOD(ROW()-9,24)</f>
        <v>16</v>
      </c>
      <c r="C17257" s="12"/>
      <c r="D17257" s="13" t="n">
        <f aca="false">IF(B17257&lt;5,Einstellungen!$B$3,Einstellungen!$B$4)</f>
        <v>29.13</v>
      </c>
      <c r="E17257" s="14" t="str">
        <f aca="false">IF(C17257="","",C17257*D17257/100)</f>
        <v/>
      </c>
      <c r="F17257" s="15" t="str">
        <f aca="false">IF(B17257&lt;5,"Go","Standard")</f>
        <v>Standard</v>
      </c>
    </row>
    <row r="17258" customFormat="false" ht="15" hidden="false" customHeight="true" outlineLevel="0" collapsed="false">
      <c r="A17258" s="10" t="n">
        <f aca="false">Einstellungen!$B$5+INT((ROW()-9)/24)</f>
        <v>46684</v>
      </c>
      <c r="B17258" s="11" t="n">
        <f aca="false">MOD(ROW()-9,24)</f>
        <v>17</v>
      </c>
      <c r="C17258" s="12"/>
      <c r="D17258" s="13" t="n">
        <f aca="false">IF(B17258&lt;5,Einstellungen!$B$3,Einstellungen!$B$4)</f>
        <v>29.13</v>
      </c>
      <c r="E17258" s="14" t="str">
        <f aca="false">IF(C17258="","",C17258*D17258/100)</f>
        <v/>
      </c>
      <c r="F17258" s="15" t="str">
        <f aca="false">IF(B17258&lt;5,"Go","Standard")</f>
        <v>Standard</v>
      </c>
    </row>
    <row r="17259" customFormat="false" ht="15" hidden="false" customHeight="true" outlineLevel="0" collapsed="false">
      <c r="A17259" s="10" t="n">
        <f aca="false">Einstellungen!$B$5+INT((ROW()-9)/24)</f>
        <v>46684</v>
      </c>
      <c r="B17259" s="11" t="n">
        <f aca="false">MOD(ROW()-9,24)</f>
        <v>18</v>
      </c>
      <c r="C17259" s="12"/>
      <c r="D17259" s="13" t="n">
        <f aca="false">IF(B17259&lt;5,Einstellungen!$B$3,Einstellungen!$B$4)</f>
        <v>29.13</v>
      </c>
      <c r="E17259" s="14" t="str">
        <f aca="false">IF(C17259="","",C17259*D17259/100)</f>
        <v/>
      </c>
      <c r="F17259" s="15" t="str">
        <f aca="false">IF(B17259&lt;5,"Go","Standard")</f>
        <v>Standard</v>
      </c>
    </row>
    <row r="17260" customFormat="false" ht="15" hidden="false" customHeight="true" outlineLevel="0" collapsed="false">
      <c r="A17260" s="10" t="n">
        <f aca="false">Einstellungen!$B$5+INT((ROW()-9)/24)</f>
        <v>46684</v>
      </c>
      <c r="B17260" s="11" t="n">
        <f aca="false">MOD(ROW()-9,24)</f>
        <v>19</v>
      </c>
      <c r="C17260" s="12"/>
      <c r="D17260" s="13" t="n">
        <f aca="false">IF(B17260&lt;5,Einstellungen!$B$3,Einstellungen!$B$4)</f>
        <v>29.13</v>
      </c>
      <c r="E17260" s="14" t="str">
        <f aca="false">IF(C17260="","",C17260*D17260/100)</f>
        <v/>
      </c>
      <c r="F17260" s="15" t="str">
        <f aca="false">IF(B17260&lt;5,"Go","Standard")</f>
        <v>Standard</v>
      </c>
    </row>
    <row r="17261" customFormat="false" ht="15" hidden="false" customHeight="true" outlineLevel="0" collapsed="false">
      <c r="A17261" s="10" t="n">
        <f aca="false">Einstellungen!$B$5+INT((ROW()-9)/24)</f>
        <v>46684</v>
      </c>
      <c r="B17261" s="11" t="n">
        <f aca="false">MOD(ROW()-9,24)</f>
        <v>20</v>
      </c>
      <c r="C17261" s="12"/>
      <c r="D17261" s="13" t="n">
        <f aca="false">IF(B17261&lt;5,Einstellungen!$B$3,Einstellungen!$B$4)</f>
        <v>29.13</v>
      </c>
      <c r="E17261" s="14" t="str">
        <f aca="false">IF(C17261="","",C17261*D17261/100)</f>
        <v/>
      </c>
      <c r="F17261" s="15" t="str">
        <f aca="false">IF(B17261&lt;5,"Go","Standard")</f>
        <v>Standard</v>
      </c>
    </row>
    <row r="17262" customFormat="false" ht="15" hidden="false" customHeight="true" outlineLevel="0" collapsed="false">
      <c r="A17262" s="10" t="n">
        <f aca="false">Einstellungen!$B$5+INT((ROW()-9)/24)</f>
        <v>46684</v>
      </c>
      <c r="B17262" s="11" t="n">
        <f aca="false">MOD(ROW()-9,24)</f>
        <v>21</v>
      </c>
      <c r="C17262" s="12"/>
      <c r="D17262" s="13" t="n">
        <f aca="false">IF(B17262&lt;5,Einstellungen!$B$3,Einstellungen!$B$4)</f>
        <v>29.13</v>
      </c>
      <c r="E17262" s="14" t="str">
        <f aca="false">IF(C17262="","",C17262*D17262/100)</f>
        <v/>
      </c>
      <c r="F17262" s="15" t="str">
        <f aca="false">IF(B17262&lt;5,"Go","Standard")</f>
        <v>Standard</v>
      </c>
    </row>
    <row r="17263" customFormat="false" ht="15" hidden="false" customHeight="true" outlineLevel="0" collapsed="false">
      <c r="A17263" s="10" t="n">
        <f aca="false">Einstellungen!$B$5+INT((ROW()-9)/24)</f>
        <v>46684</v>
      </c>
      <c r="B17263" s="11" t="n">
        <f aca="false">MOD(ROW()-9,24)</f>
        <v>22</v>
      </c>
      <c r="C17263" s="12"/>
      <c r="D17263" s="13" t="n">
        <f aca="false">IF(B17263&lt;5,Einstellungen!$B$3,Einstellungen!$B$4)</f>
        <v>29.13</v>
      </c>
      <c r="E17263" s="14" t="str">
        <f aca="false">IF(C17263="","",C17263*D17263/100)</f>
        <v/>
      </c>
      <c r="F17263" s="15" t="str">
        <f aca="false">IF(B17263&lt;5,"Go","Standard")</f>
        <v>Standard</v>
      </c>
    </row>
    <row r="17264" customFormat="false" ht="15" hidden="false" customHeight="true" outlineLevel="0" collapsed="false">
      <c r="A17264" s="10" t="n">
        <f aca="false">Einstellungen!$B$5+INT((ROW()-9)/24)</f>
        <v>46684</v>
      </c>
      <c r="B17264" s="11" t="n">
        <f aca="false">MOD(ROW()-9,24)</f>
        <v>23</v>
      </c>
      <c r="C17264" s="12"/>
      <c r="D17264" s="13" t="n">
        <f aca="false">IF(B17264&lt;5,Einstellungen!$B$3,Einstellungen!$B$4)</f>
        <v>29.13</v>
      </c>
      <c r="E17264" s="14" t="str">
        <f aca="false">IF(C17264="","",C17264*D17264/100)</f>
        <v/>
      </c>
      <c r="F17264" s="15" t="str">
        <f aca="false">IF(B17264&lt;5,"Go","Standard")</f>
        <v>Standard</v>
      </c>
    </row>
    <row r="17265" customFormat="false" ht="15" hidden="false" customHeight="true" outlineLevel="0" collapsed="false">
      <c r="A17265" s="10" t="n">
        <f aca="false">Einstellungen!$B$5+INT((ROW()-9)/24)</f>
        <v>46685</v>
      </c>
      <c r="B17265" s="11" t="n">
        <f aca="false">MOD(ROW()-9,24)</f>
        <v>0</v>
      </c>
      <c r="C17265" s="12"/>
      <c r="D17265" s="13" t="n">
        <f aca="false">IF(B17265&lt;5,Einstellungen!$B$3,Einstellungen!$B$4)</f>
        <v>15.92</v>
      </c>
      <c r="E17265" s="14" t="str">
        <f aca="false">IF(C17265="","",C17265*D17265/100)</f>
        <v/>
      </c>
      <c r="F17265" s="15" t="str">
        <f aca="false">IF(B17265&lt;5,"Go","Standard")</f>
        <v>Go</v>
      </c>
    </row>
    <row r="17266" customFormat="false" ht="15" hidden="false" customHeight="true" outlineLevel="0" collapsed="false">
      <c r="A17266" s="10" t="n">
        <f aca="false">Einstellungen!$B$5+INT((ROW()-9)/24)</f>
        <v>46685</v>
      </c>
      <c r="B17266" s="11" t="n">
        <f aca="false">MOD(ROW()-9,24)</f>
        <v>1</v>
      </c>
      <c r="C17266" s="12"/>
      <c r="D17266" s="13" t="n">
        <f aca="false">IF(B17266&lt;5,Einstellungen!$B$3,Einstellungen!$B$4)</f>
        <v>15.92</v>
      </c>
      <c r="E17266" s="14" t="str">
        <f aca="false">IF(C17266="","",C17266*D17266/100)</f>
        <v/>
      </c>
      <c r="F17266" s="15" t="str">
        <f aca="false">IF(B17266&lt;5,"Go","Standard")</f>
        <v>Go</v>
      </c>
    </row>
    <row r="17267" customFormat="false" ht="15" hidden="false" customHeight="true" outlineLevel="0" collapsed="false">
      <c r="A17267" s="10" t="n">
        <f aca="false">Einstellungen!$B$5+INT((ROW()-9)/24)</f>
        <v>46685</v>
      </c>
      <c r="B17267" s="11" t="n">
        <f aca="false">MOD(ROW()-9,24)</f>
        <v>2</v>
      </c>
      <c r="C17267" s="12"/>
      <c r="D17267" s="13" t="n">
        <f aca="false">IF(B17267&lt;5,Einstellungen!$B$3,Einstellungen!$B$4)</f>
        <v>15.92</v>
      </c>
      <c r="E17267" s="14" t="str">
        <f aca="false">IF(C17267="","",C17267*D17267/100)</f>
        <v/>
      </c>
      <c r="F17267" s="15" t="str">
        <f aca="false">IF(B17267&lt;5,"Go","Standard")</f>
        <v>Go</v>
      </c>
    </row>
    <row r="17268" customFormat="false" ht="15" hidden="false" customHeight="true" outlineLevel="0" collapsed="false">
      <c r="A17268" s="10" t="n">
        <f aca="false">Einstellungen!$B$5+INT((ROW()-9)/24)</f>
        <v>46685</v>
      </c>
      <c r="B17268" s="11" t="n">
        <f aca="false">MOD(ROW()-9,24)</f>
        <v>3</v>
      </c>
      <c r="C17268" s="12"/>
      <c r="D17268" s="13" t="n">
        <f aca="false">IF(B17268&lt;5,Einstellungen!$B$3,Einstellungen!$B$4)</f>
        <v>15.92</v>
      </c>
      <c r="E17268" s="14" t="str">
        <f aca="false">IF(C17268="","",C17268*D17268/100)</f>
        <v/>
      </c>
      <c r="F17268" s="15" t="str">
        <f aca="false">IF(B17268&lt;5,"Go","Standard")</f>
        <v>Go</v>
      </c>
    </row>
    <row r="17269" customFormat="false" ht="15" hidden="false" customHeight="true" outlineLevel="0" collapsed="false">
      <c r="A17269" s="10" t="n">
        <f aca="false">Einstellungen!$B$5+INT((ROW()-9)/24)</f>
        <v>46685</v>
      </c>
      <c r="B17269" s="11" t="n">
        <f aca="false">MOD(ROW()-9,24)</f>
        <v>4</v>
      </c>
      <c r="C17269" s="12"/>
      <c r="D17269" s="13" t="n">
        <f aca="false">IF(B17269&lt;5,Einstellungen!$B$3,Einstellungen!$B$4)</f>
        <v>15.92</v>
      </c>
      <c r="E17269" s="14" t="str">
        <f aca="false">IF(C17269="","",C17269*D17269/100)</f>
        <v/>
      </c>
      <c r="F17269" s="15" t="str">
        <f aca="false">IF(B17269&lt;5,"Go","Standard")</f>
        <v>Go</v>
      </c>
    </row>
    <row r="17270" customFormat="false" ht="15" hidden="false" customHeight="true" outlineLevel="0" collapsed="false">
      <c r="A17270" s="10" t="n">
        <f aca="false">Einstellungen!$B$5+INT((ROW()-9)/24)</f>
        <v>46685</v>
      </c>
      <c r="B17270" s="11" t="n">
        <f aca="false">MOD(ROW()-9,24)</f>
        <v>5</v>
      </c>
      <c r="C17270" s="12"/>
      <c r="D17270" s="13" t="n">
        <f aca="false">IF(B17270&lt;5,Einstellungen!$B$3,Einstellungen!$B$4)</f>
        <v>29.13</v>
      </c>
      <c r="E17270" s="14" t="str">
        <f aca="false">IF(C17270="","",C17270*D17270/100)</f>
        <v/>
      </c>
      <c r="F17270" s="15" t="str">
        <f aca="false">IF(B17270&lt;5,"Go","Standard")</f>
        <v>Standard</v>
      </c>
    </row>
    <row r="17271" customFormat="false" ht="15" hidden="false" customHeight="true" outlineLevel="0" collapsed="false">
      <c r="A17271" s="10" t="n">
        <f aca="false">Einstellungen!$B$5+INT((ROW()-9)/24)</f>
        <v>46685</v>
      </c>
      <c r="B17271" s="11" t="n">
        <f aca="false">MOD(ROW()-9,24)</f>
        <v>6</v>
      </c>
      <c r="C17271" s="12"/>
      <c r="D17271" s="13" t="n">
        <f aca="false">IF(B17271&lt;5,Einstellungen!$B$3,Einstellungen!$B$4)</f>
        <v>29.13</v>
      </c>
      <c r="E17271" s="14" t="str">
        <f aca="false">IF(C17271="","",C17271*D17271/100)</f>
        <v/>
      </c>
      <c r="F17271" s="15" t="str">
        <f aca="false">IF(B17271&lt;5,"Go","Standard")</f>
        <v>Standard</v>
      </c>
    </row>
    <row r="17272" customFormat="false" ht="15" hidden="false" customHeight="true" outlineLevel="0" collapsed="false">
      <c r="A17272" s="10" t="n">
        <f aca="false">Einstellungen!$B$5+INT((ROW()-9)/24)</f>
        <v>46685</v>
      </c>
      <c r="B17272" s="11" t="n">
        <f aca="false">MOD(ROW()-9,24)</f>
        <v>7</v>
      </c>
      <c r="C17272" s="12"/>
      <c r="D17272" s="13" t="n">
        <f aca="false">IF(B17272&lt;5,Einstellungen!$B$3,Einstellungen!$B$4)</f>
        <v>29.13</v>
      </c>
      <c r="E17272" s="14" t="str">
        <f aca="false">IF(C17272="","",C17272*D17272/100)</f>
        <v/>
      </c>
      <c r="F17272" s="15" t="str">
        <f aca="false">IF(B17272&lt;5,"Go","Standard")</f>
        <v>Standard</v>
      </c>
    </row>
    <row r="17273" customFormat="false" ht="15" hidden="false" customHeight="true" outlineLevel="0" collapsed="false">
      <c r="A17273" s="10" t="n">
        <f aca="false">Einstellungen!$B$5+INT((ROW()-9)/24)</f>
        <v>46685</v>
      </c>
      <c r="B17273" s="11" t="n">
        <f aca="false">MOD(ROW()-9,24)</f>
        <v>8</v>
      </c>
      <c r="C17273" s="12"/>
      <c r="D17273" s="13" t="n">
        <f aca="false">IF(B17273&lt;5,Einstellungen!$B$3,Einstellungen!$B$4)</f>
        <v>29.13</v>
      </c>
      <c r="E17273" s="14" t="str">
        <f aca="false">IF(C17273="","",C17273*D17273/100)</f>
        <v/>
      </c>
      <c r="F17273" s="15" t="str">
        <f aca="false">IF(B17273&lt;5,"Go","Standard")</f>
        <v>Standard</v>
      </c>
    </row>
    <row r="17274" customFormat="false" ht="15" hidden="false" customHeight="true" outlineLevel="0" collapsed="false">
      <c r="A17274" s="10" t="n">
        <f aca="false">Einstellungen!$B$5+INT((ROW()-9)/24)</f>
        <v>46685</v>
      </c>
      <c r="B17274" s="11" t="n">
        <f aca="false">MOD(ROW()-9,24)</f>
        <v>9</v>
      </c>
      <c r="C17274" s="12"/>
      <c r="D17274" s="13" t="n">
        <f aca="false">IF(B17274&lt;5,Einstellungen!$B$3,Einstellungen!$B$4)</f>
        <v>29.13</v>
      </c>
      <c r="E17274" s="14" t="str">
        <f aca="false">IF(C17274="","",C17274*D17274/100)</f>
        <v/>
      </c>
      <c r="F17274" s="15" t="str">
        <f aca="false">IF(B17274&lt;5,"Go","Standard")</f>
        <v>Standard</v>
      </c>
    </row>
    <row r="17275" customFormat="false" ht="15" hidden="false" customHeight="true" outlineLevel="0" collapsed="false">
      <c r="A17275" s="10" t="n">
        <f aca="false">Einstellungen!$B$5+INT((ROW()-9)/24)</f>
        <v>46685</v>
      </c>
      <c r="B17275" s="11" t="n">
        <f aca="false">MOD(ROW()-9,24)</f>
        <v>10</v>
      </c>
      <c r="C17275" s="12"/>
      <c r="D17275" s="13" t="n">
        <f aca="false">IF(B17275&lt;5,Einstellungen!$B$3,Einstellungen!$B$4)</f>
        <v>29.13</v>
      </c>
      <c r="E17275" s="14" t="str">
        <f aca="false">IF(C17275="","",C17275*D17275/100)</f>
        <v/>
      </c>
      <c r="F17275" s="15" t="str">
        <f aca="false">IF(B17275&lt;5,"Go","Standard")</f>
        <v>Standard</v>
      </c>
    </row>
    <row r="17276" customFormat="false" ht="15" hidden="false" customHeight="true" outlineLevel="0" collapsed="false">
      <c r="A17276" s="10" t="n">
        <f aca="false">Einstellungen!$B$5+INT((ROW()-9)/24)</f>
        <v>46685</v>
      </c>
      <c r="B17276" s="11" t="n">
        <f aca="false">MOD(ROW()-9,24)</f>
        <v>11</v>
      </c>
      <c r="C17276" s="12"/>
      <c r="D17276" s="13" t="n">
        <f aca="false">IF(B17276&lt;5,Einstellungen!$B$3,Einstellungen!$B$4)</f>
        <v>29.13</v>
      </c>
      <c r="E17276" s="14" t="str">
        <f aca="false">IF(C17276="","",C17276*D17276/100)</f>
        <v/>
      </c>
      <c r="F17276" s="15" t="str">
        <f aca="false">IF(B17276&lt;5,"Go","Standard")</f>
        <v>Standard</v>
      </c>
    </row>
    <row r="17277" customFormat="false" ht="15" hidden="false" customHeight="true" outlineLevel="0" collapsed="false">
      <c r="A17277" s="10" t="n">
        <f aca="false">Einstellungen!$B$5+INT((ROW()-9)/24)</f>
        <v>46685</v>
      </c>
      <c r="B17277" s="11" t="n">
        <f aca="false">MOD(ROW()-9,24)</f>
        <v>12</v>
      </c>
      <c r="C17277" s="12"/>
      <c r="D17277" s="13" t="n">
        <f aca="false">IF(B17277&lt;5,Einstellungen!$B$3,Einstellungen!$B$4)</f>
        <v>29.13</v>
      </c>
      <c r="E17277" s="14" t="str">
        <f aca="false">IF(C17277="","",C17277*D17277/100)</f>
        <v/>
      </c>
      <c r="F17277" s="15" t="str">
        <f aca="false">IF(B17277&lt;5,"Go","Standard")</f>
        <v>Standard</v>
      </c>
    </row>
    <row r="17278" customFormat="false" ht="15" hidden="false" customHeight="true" outlineLevel="0" collapsed="false">
      <c r="A17278" s="10" t="n">
        <f aca="false">Einstellungen!$B$5+INT((ROW()-9)/24)</f>
        <v>46685</v>
      </c>
      <c r="B17278" s="11" t="n">
        <f aca="false">MOD(ROW()-9,24)</f>
        <v>13</v>
      </c>
      <c r="C17278" s="12"/>
      <c r="D17278" s="13" t="n">
        <f aca="false">IF(B17278&lt;5,Einstellungen!$B$3,Einstellungen!$B$4)</f>
        <v>29.13</v>
      </c>
      <c r="E17278" s="14" t="str">
        <f aca="false">IF(C17278="","",C17278*D17278/100)</f>
        <v/>
      </c>
      <c r="F17278" s="15" t="str">
        <f aca="false">IF(B17278&lt;5,"Go","Standard")</f>
        <v>Standard</v>
      </c>
    </row>
    <row r="17279" customFormat="false" ht="15" hidden="false" customHeight="true" outlineLevel="0" collapsed="false">
      <c r="A17279" s="10" t="n">
        <f aca="false">Einstellungen!$B$5+INT((ROW()-9)/24)</f>
        <v>46685</v>
      </c>
      <c r="B17279" s="11" t="n">
        <f aca="false">MOD(ROW()-9,24)</f>
        <v>14</v>
      </c>
      <c r="C17279" s="12"/>
      <c r="D17279" s="13" t="n">
        <f aca="false">IF(B17279&lt;5,Einstellungen!$B$3,Einstellungen!$B$4)</f>
        <v>29.13</v>
      </c>
      <c r="E17279" s="14" t="str">
        <f aca="false">IF(C17279="","",C17279*D17279/100)</f>
        <v/>
      </c>
      <c r="F17279" s="15" t="str">
        <f aca="false">IF(B17279&lt;5,"Go","Standard")</f>
        <v>Standard</v>
      </c>
    </row>
    <row r="17280" customFormat="false" ht="15" hidden="false" customHeight="true" outlineLevel="0" collapsed="false">
      <c r="A17280" s="10" t="n">
        <f aca="false">Einstellungen!$B$5+INT((ROW()-9)/24)</f>
        <v>46685</v>
      </c>
      <c r="B17280" s="11" t="n">
        <f aca="false">MOD(ROW()-9,24)</f>
        <v>15</v>
      </c>
      <c r="C17280" s="12"/>
      <c r="D17280" s="13" t="n">
        <f aca="false">IF(B17280&lt;5,Einstellungen!$B$3,Einstellungen!$B$4)</f>
        <v>29.13</v>
      </c>
      <c r="E17280" s="14" t="str">
        <f aca="false">IF(C17280="","",C17280*D17280/100)</f>
        <v/>
      </c>
      <c r="F17280" s="15" t="str">
        <f aca="false">IF(B17280&lt;5,"Go","Standard")</f>
        <v>Standard</v>
      </c>
    </row>
    <row r="17281" customFormat="false" ht="15" hidden="false" customHeight="true" outlineLevel="0" collapsed="false">
      <c r="A17281" s="10" t="n">
        <f aca="false">Einstellungen!$B$5+INT((ROW()-9)/24)</f>
        <v>46685</v>
      </c>
      <c r="B17281" s="11" t="n">
        <f aca="false">MOD(ROW()-9,24)</f>
        <v>16</v>
      </c>
      <c r="C17281" s="12"/>
      <c r="D17281" s="13" t="n">
        <f aca="false">IF(B17281&lt;5,Einstellungen!$B$3,Einstellungen!$B$4)</f>
        <v>29.13</v>
      </c>
      <c r="E17281" s="14" t="str">
        <f aca="false">IF(C17281="","",C17281*D17281/100)</f>
        <v/>
      </c>
      <c r="F17281" s="15" t="str">
        <f aca="false">IF(B17281&lt;5,"Go","Standard")</f>
        <v>Standard</v>
      </c>
    </row>
    <row r="17282" customFormat="false" ht="15" hidden="false" customHeight="true" outlineLevel="0" collapsed="false">
      <c r="A17282" s="10" t="n">
        <f aca="false">Einstellungen!$B$5+INT((ROW()-9)/24)</f>
        <v>46685</v>
      </c>
      <c r="B17282" s="11" t="n">
        <f aca="false">MOD(ROW()-9,24)</f>
        <v>17</v>
      </c>
      <c r="C17282" s="12"/>
      <c r="D17282" s="13" t="n">
        <f aca="false">IF(B17282&lt;5,Einstellungen!$B$3,Einstellungen!$B$4)</f>
        <v>29.13</v>
      </c>
      <c r="E17282" s="14" t="str">
        <f aca="false">IF(C17282="","",C17282*D17282/100)</f>
        <v/>
      </c>
      <c r="F17282" s="15" t="str">
        <f aca="false">IF(B17282&lt;5,"Go","Standard")</f>
        <v>Standard</v>
      </c>
    </row>
    <row r="17283" customFormat="false" ht="15" hidden="false" customHeight="true" outlineLevel="0" collapsed="false">
      <c r="A17283" s="10" t="n">
        <f aca="false">Einstellungen!$B$5+INT((ROW()-9)/24)</f>
        <v>46685</v>
      </c>
      <c r="B17283" s="11" t="n">
        <f aca="false">MOD(ROW()-9,24)</f>
        <v>18</v>
      </c>
      <c r="C17283" s="12"/>
      <c r="D17283" s="13" t="n">
        <f aca="false">IF(B17283&lt;5,Einstellungen!$B$3,Einstellungen!$B$4)</f>
        <v>29.13</v>
      </c>
      <c r="E17283" s="14" t="str">
        <f aca="false">IF(C17283="","",C17283*D17283/100)</f>
        <v/>
      </c>
      <c r="F17283" s="15" t="str">
        <f aca="false">IF(B17283&lt;5,"Go","Standard")</f>
        <v>Standard</v>
      </c>
    </row>
    <row r="17284" customFormat="false" ht="15" hidden="false" customHeight="true" outlineLevel="0" collapsed="false">
      <c r="A17284" s="10" t="n">
        <f aca="false">Einstellungen!$B$5+INT((ROW()-9)/24)</f>
        <v>46685</v>
      </c>
      <c r="B17284" s="11" t="n">
        <f aca="false">MOD(ROW()-9,24)</f>
        <v>19</v>
      </c>
      <c r="C17284" s="12"/>
      <c r="D17284" s="13" t="n">
        <f aca="false">IF(B17284&lt;5,Einstellungen!$B$3,Einstellungen!$B$4)</f>
        <v>29.13</v>
      </c>
      <c r="E17284" s="14" t="str">
        <f aca="false">IF(C17284="","",C17284*D17284/100)</f>
        <v/>
      </c>
      <c r="F17284" s="15" t="str">
        <f aca="false">IF(B17284&lt;5,"Go","Standard")</f>
        <v>Standard</v>
      </c>
    </row>
    <row r="17285" customFormat="false" ht="15" hidden="false" customHeight="true" outlineLevel="0" collapsed="false">
      <c r="A17285" s="10" t="n">
        <f aca="false">Einstellungen!$B$5+INT((ROW()-9)/24)</f>
        <v>46685</v>
      </c>
      <c r="B17285" s="11" t="n">
        <f aca="false">MOD(ROW()-9,24)</f>
        <v>20</v>
      </c>
      <c r="C17285" s="12"/>
      <c r="D17285" s="13" t="n">
        <f aca="false">IF(B17285&lt;5,Einstellungen!$B$3,Einstellungen!$B$4)</f>
        <v>29.13</v>
      </c>
      <c r="E17285" s="14" t="str">
        <f aca="false">IF(C17285="","",C17285*D17285/100)</f>
        <v/>
      </c>
      <c r="F17285" s="15" t="str">
        <f aca="false">IF(B17285&lt;5,"Go","Standard")</f>
        <v>Standard</v>
      </c>
    </row>
    <row r="17286" customFormat="false" ht="15" hidden="false" customHeight="true" outlineLevel="0" collapsed="false">
      <c r="A17286" s="10" t="n">
        <f aca="false">Einstellungen!$B$5+INT((ROW()-9)/24)</f>
        <v>46685</v>
      </c>
      <c r="B17286" s="11" t="n">
        <f aca="false">MOD(ROW()-9,24)</f>
        <v>21</v>
      </c>
      <c r="C17286" s="12"/>
      <c r="D17286" s="13" t="n">
        <f aca="false">IF(B17286&lt;5,Einstellungen!$B$3,Einstellungen!$B$4)</f>
        <v>29.13</v>
      </c>
      <c r="E17286" s="14" t="str">
        <f aca="false">IF(C17286="","",C17286*D17286/100)</f>
        <v/>
      </c>
      <c r="F17286" s="15" t="str">
        <f aca="false">IF(B17286&lt;5,"Go","Standard")</f>
        <v>Standard</v>
      </c>
    </row>
    <row r="17287" customFormat="false" ht="15" hidden="false" customHeight="true" outlineLevel="0" collapsed="false">
      <c r="A17287" s="10" t="n">
        <f aca="false">Einstellungen!$B$5+INT((ROW()-9)/24)</f>
        <v>46685</v>
      </c>
      <c r="B17287" s="11" t="n">
        <f aca="false">MOD(ROW()-9,24)</f>
        <v>22</v>
      </c>
      <c r="C17287" s="12"/>
      <c r="D17287" s="13" t="n">
        <f aca="false">IF(B17287&lt;5,Einstellungen!$B$3,Einstellungen!$B$4)</f>
        <v>29.13</v>
      </c>
      <c r="E17287" s="14" t="str">
        <f aca="false">IF(C17287="","",C17287*D17287/100)</f>
        <v/>
      </c>
      <c r="F17287" s="15" t="str">
        <f aca="false">IF(B17287&lt;5,"Go","Standard")</f>
        <v>Standard</v>
      </c>
    </row>
    <row r="17288" customFormat="false" ht="15" hidden="false" customHeight="true" outlineLevel="0" collapsed="false">
      <c r="A17288" s="10" t="n">
        <f aca="false">Einstellungen!$B$5+INT((ROW()-9)/24)</f>
        <v>46685</v>
      </c>
      <c r="B17288" s="11" t="n">
        <f aca="false">MOD(ROW()-9,24)</f>
        <v>23</v>
      </c>
      <c r="C17288" s="12"/>
      <c r="D17288" s="13" t="n">
        <f aca="false">IF(B17288&lt;5,Einstellungen!$B$3,Einstellungen!$B$4)</f>
        <v>29.13</v>
      </c>
      <c r="E17288" s="14" t="str">
        <f aca="false">IF(C17288="","",C17288*D17288/100)</f>
        <v/>
      </c>
      <c r="F17288" s="15" t="str">
        <f aca="false">IF(B17288&lt;5,"Go","Standard")</f>
        <v>Standard</v>
      </c>
    </row>
    <row r="17289" customFormat="false" ht="15" hidden="false" customHeight="true" outlineLevel="0" collapsed="false">
      <c r="A17289" s="10" t="n">
        <f aca="false">Einstellungen!$B$5+INT((ROW()-9)/24)</f>
        <v>46686</v>
      </c>
      <c r="B17289" s="11" t="n">
        <f aca="false">MOD(ROW()-9,24)</f>
        <v>0</v>
      </c>
      <c r="C17289" s="12"/>
      <c r="D17289" s="13" t="n">
        <f aca="false">IF(B17289&lt;5,Einstellungen!$B$3,Einstellungen!$B$4)</f>
        <v>15.92</v>
      </c>
      <c r="E17289" s="14" t="str">
        <f aca="false">IF(C17289="","",C17289*D17289/100)</f>
        <v/>
      </c>
      <c r="F17289" s="15" t="str">
        <f aca="false">IF(B17289&lt;5,"Go","Standard")</f>
        <v>Go</v>
      </c>
    </row>
    <row r="17290" customFormat="false" ht="15" hidden="false" customHeight="true" outlineLevel="0" collapsed="false">
      <c r="A17290" s="10" t="n">
        <f aca="false">Einstellungen!$B$5+INT((ROW()-9)/24)</f>
        <v>46686</v>
      </c>
      <c r="B17290" s="11" t="n">
        <f aca="false">MOD(ROW()-9,24)</f>
        <v>1</v>
      </c>
      <c r="C17290" s="12"/>
      <c r="D17290" s="13" t="n">
        <f aca="false">IF(B17290&lt;5,Einstellungen!$B$3,Einstellungen!$B$4)</f>
        <v>15.92</v>
      </c>
      <c r="E17290" s="14" t="str">
        <f aca="false">IF(C17290="","",C17290*D17290/100)</f>
        <v/>
      </c>
      <c r="F17290" s="15" t="str">
        <f aca="false">IF(B17290&lt;5,"Go","Standard")</f>
        <v>Go</v>
      </c>
    </row>
    <row r="17291" customFormat="false" ht="15" hidden="false" customHeight="true" outlineLevel="0" collapsed="false">
      <c r="A17291" s="10" t="n">
        <f aca="false">Einstellungen!$B$5+INT((ROW()-9)/24)</f>
        <v>46686</v>
      </c>
      <c r="B17291" s="11" t="n">
        <f aca="false">MOD(ROW()-9,24)</f>
        <v>2</v>
      </c>
      <c r="C17291" s="12"/>
      <c r="D17291" s="13" t="n">
        <f aca="false">IF(B17291&lt;5,Einstellungen!$B$3,Einstellungen!$B$4)</f>
        <v>15.92</v>
      </c>
      <c r="E17291" s="14" t="str">
        <f aca="false">IF(C17291="","",C17291*D17291/100)</f>
        <v/>
      </c>
      <c r="F17291" s="15" t="str">
        <f aca="false">IF(B17291&lt;5,"Go","Standard")</f>
        <v>Go</v>
      </c>
    </row>
    <row r="17292" customFormat="false" ht="15" hidden="false" customHeight="true" outlineLevel="0" collapsed="false">
      <c r="A17292" s="10" t="n">
        <f aca="false">Einstellungen!$B$5+INT((ROW()-9)/24)</f>
        <v>46686</v>
      </c>
      <c r="B17292" s="11" t="n">
        <f aca="false">MOD(ROW()-9,24)</f>
        <v>3</v>
      </c>
      <c r="C17292" s="12"/>
      <c r="D17292" s="13" t="n">
        <f aca="false">IF(B17292&lt;5,Einstellungen!$B$3,Einstellungen!$B$4)</f>
        <v>15.92</v>
      </c>
      <c r="E17292" s="14" t="str">
        <f aca="false">IF(C17292="","",C17292*D17292/100)</f>
        <v/>
      </c>
      <c r="F17292" s="15" t="str">
        <f aca="false">IF(B17292&lt;5,"Go","Standard")</f>
        <v>Go</v>
      </c>
    </row>
    <row r="17293" customFormat="false" ht="15" hidden="false" customHeight="true" outlineLevel="0" collapsed="false">
      <c r="A17293" s="10" t="n">
        <f aca="false">Einstellungen!$B$5+INT((ROW()-9)/24)</f>
        <v>46686</v>
      </c>
      <c r="B17293" s="11" t="n">
        <f aca="false">MOD(ROW()-9,24)</f>
        <v>4</v>
      </c>
      <c r="C17293" s="12"/>
      <c r="D17293" s="13" t="n">
        <f aca="false">IF(B17293&lt;5,Einstellungen!$B$3,Einstellungen!$B$4)</f>
        <v>15.92</v>
      </c>
      <c r="E17293" s="14" t="str">
        <f aca="false">IF(C17293="","",C17293*D17293/100)</f>
        <v/>
      </c>
      <c r="F17293" s="15" t="str">
        <f aca="false">IF(B17293&lt;5,"Go","Standard")</f>
        <v>Go</v>
      </c>
    </row>
    <row r="17294" customFormat="false" ht="15" hidden="false" customHeight="true" outlineLevel="0" collapsed="false">
      <c r="A17294" s="10" t="n">
        <f aca="false">Einstellungen!$B$5+INT((ROW()-9)/24)</f>
        <v>46686</v>
      </c>
      <c r="B17294" s="11" t="n">
        <f aca="false">MOD(ROW()-9,24)</f>
        <v>5</v>
      </c>
      <c r="C17294" s="12"/>
      <c r="D17294" s="13" t="n">
        <f aca="false">IF(B17294&lt;5,Einstellungen!$B$3,Einstellungen!$B$4)</f>
        <v>29.13</v>
      </c>
      <c r="E17294" s="14" t="str">
        <f aca="false">IF(C17294="","",C17294*D17294/100)</f>
        <v/>
      </c>
      <c r="F17294" s="15" t="str">
        <f aca="false">IF(B17294&lt;5,"Go","Standard")</f>
        <v>Standard</v>
      </c>
    </row>
    <row r="17295" customFormat="false" ht="15" hidden="false" customHeight="true" outlineLevel="0" collapsed="false">
      <c r="A17295" s="10" t="n">
        <f aca="false">Einstellungen!$B$5+INT((ROW()-9)/24)</f>
        <v>46686</v>
      </c>
      <c r="B17295" s="11" t="n">
        <f aca="false">MOD(ROW()-9,24)</f>
        <v>6</v>
      </c>
      <c r="C17295" s="12"/>
      <c r="D17295" s="13" t="n">
        <f aca="false">IF(B17295&lt;5,Einstellungen!$B$3,Einstellungen!$B$4)</f>
        <v>29.13</v>
      </c>
      <c r="E17295" s="14" t="str">
        <f aca="false">IF(C17295="","",C17295*D17295/100)</f>
        <v/>
      </c>
      <c r="F17295" s="15" t="str">
        <f aca="false">IF(B17295&lt;5,"Go","Standard")</f>
        <v>Standard</v>
      </c>
    </row>
    <row r="17296" customFormat="false" ht="15" hidden="false" customHeight="true" outlineLevel="0" collapsed="false">
      <c r="A17296" s="10" t="n">
        <f aca="false">Einstellungen!$B$5+INT((ROW()-9)/24)</f>
        <v>46686</v>
      </c>
      <c r="B17296" s="11" t="n">
        <f aca="false">MOD(ROW()-9,24)</f>
        <v>7</v>
      </c>
      <c r="C17296" s="12"/>
      <c r="D17296" s="13" t="n">
        <f aca="false">IF(B17296&lt;5,Einstellungen!$B$3,Einstellungen!$B$4)</f>
        <v>29.13</v>
      </c>
      <c r="E17296" s="14" t="str">
        <f aca="false">IF(C17296="","",C17296*D17296/100)</f>
        <v/>
      </c>
      <c r="F17296" s="15" t="str">
        <f aca="false">IF(B17296&lt;5,"Go","Standard")</f>
        <v>Standard</v>
      </c>
    </row>
    <row r="17297" customFormat="false" ht="15" hidden="false" customHeight="true" outlineLevel="0" collapsed="false">
      <c r="A17297" s="10" t="n">
        <f aca="false">Einstellungen!$B$5+INT((ROW()-9)/24)</f>
        <v>46686</v>
      </c>
      <c r="B17297" s="11" t="n">
        <f aca="false">MOD(ROW()-9,24)</f>
        <v>8</v>
      </c>
      <c r="C17297" s="12"/>
      <c r="D17297" s="13" t="n">
        <f aca="false">IF(B17297&lt;5,Einstellungen!$B$3,Einstellungen!$B$4)</f>
        <v>29.13</v>
      </c>
      <c r="E17297" s="14" t="str">
        <f aca="false">IF(C17297="","",C17297*D17297/100)</f>
        <v/>
      </c>
      <c r="F17297" s="15" t="str">
        <f aca="false">IF(B17297&lt;5,"Go","Standard")</f>
        <v>Standard</v>
      </c>
    </row>
    <row r="17298" customFormat="false" ht="15" hidden="false" customHeight="true" outlineLevel="0" collapsed="false">
      <c r="A17298" s="10" t="n">
        <f aca="false">Einstellungen!$B$5+INT((ROW()-9)/24)</f>
        <v>46686</v>
      </c>
      <c r="B17298" s="11" t="n">
        <f aca="false">MOD(ROW()-9,24)</f>
        <v>9</v>
      </c>
      <c r="C17298" s="12"/>
      <c r="D17298" s="13" t="n">
        <f aca="false">IF(B17298&lt;5,Einstellungen!$B$3,Einstellungen!$B$4)</f>
        <v>29.13</v>
      </c>
      <c r="E17298" s="14" t="str">
        <f aca="false">IF(C17298="","",C17298*D17298/100)</f>
        <v/>
      </c>
      <c r="F17298" s="15" t="str">
        <f aca="false">IF(B17298&lt;5,"Go","Standard")</f>
        <v>Standard</v>
      </c>
    </row>
    <row r="17299" customFormat="false" ht="15" hidden="false" customHeight="true" outlineLevel="0" collapsed="false">
      <c r="A17299" s="10" t="n">
        <f aca="false">Einstellungen!$B$5+INT((ROW()-9)/24)</f>
        <v>46686</v>
      </c>
      <c r="B17299" s="11" t="n">
        <f aca="false">MOD(ROW()-9,24)</f>
        <v>10</v>
      </c>
      <c r="C17299" s="12"/>
      <c r="D17299" s="13" t="n">
        <f aca="false">IF(B17299&lt;5,Einstellungen!$B$3,Einstellungen!$B$4)</f>
        <v>29.13</v>
      </c>
      <c r="E17299" s="14" t="str">
        <f aca="false">IF(C17299="","",C17299*D17299/100)</f>
        <v/>
      </c>
      <c r="F17299" s="15" t="str">
        <f aca="false">IF(B17299&lt;5,"Go","Standard")</f>
        <v>Standard</v>
      </c>
    </row>
    <row r="17300" customFormat="false" ht="15" hidden="false" customHeight="true" outlineLevel="0" collapsed="false">
      <c r="A17300" s="10" t="n">
        <f aca="false">Einstellungen!$B$5+INT((ROW()-9)/24)</f>
        <v>46686</v>
      </c>
      <c r="B17300" s="11" t="n">
        <f aca="false">MOD(ROW()-9,24)</f>
        <v>11</v>
      </c>
      <c r="C17300" s="12"/>
      <c r="D17300" s="13" t="n">
        <f aca="false">IF(B17300&lt;5,Einstellungen!$B$3,Einstellungen!$B$4)</f>
        <v>29.13</v>
      </c>
      <c r="E17300" s="14" t="str">
        <f aca="false">IF(C17300="","",C17300*D17300/100)</f>
        <v/>
      </c>
      <c r="F17300" s="15" t="str">
        <f aca="false">IF(B17300&lt;5,"Go","Standard")</f>
        <v>Standard</v>
      </c>
    </row>
    <row r="17301" customFormat="false" ht="15" hidden="false" customHeight="true" outlineLevel="0" collapsed="false">
      <c r="A17301" s="10" t="n">
        <f aca="false">Einstellungen!$B$5+INT((ROW()-9)/24)</f>
        <v>46686</v>
      </c>
      <c r="B17301" s="11" t="n">
        <f aca="false">MOD(ROW()-9,24)</f>
        <v>12</v>
      </c>
      <c r="C17301" s="12"/>
      <c r="D17301" s="13" t="n">
        <f aca="false">IF(B17301&lt;5,Einstellungen!$B$3,Einstellungen!$B$4)</f>
        <v>29.13</v>
      </c>
      <c r="E17301" s="14" t="str">
        <f aca="false">IF(C17301="","",C17301*D17301/100)</f>
        <v/>
      </c>
      <c r="F17301" s="15" t="str">
        <f aca="false">IF(B17301&lt;5,"Go","Standard")</f>
        <v>Standard</v>
      </c>
    </row>
    <row r="17302" customFormat="false" ht="15" hidden="false" customHeight="true" outlineLevel="0" collapsed="false">
      <c r="A17302" s="10" t="n">
        <f aca="false">Einstellungen!$B$5+INT((ROW()-9)/24)</f>
        <v>46686</v>
      </c>
      <c r="B17302" s="11" t="n">
        <f aca="false">MOD(ROW()-9,24)</f>
        <v>13</v>
      </c>
      <c r="C17302" s="12"/>
      <c r="D17302" s="13" t="n">
        <f aca="false">IF(B17302&lt;5,Einstellungen!$B$3,Einstellungen!$B$4)</f>
        <v>29.13</v>
      </c>
      <c r="E17302" s="14" t="str">
        <f aca="false">IF(C17302="","",C17302*D17302/100)</f>
        <v/>
      </c>
      <c r="F17302" s="15" t="str">
        <f aca="false">IF(B17302&lt;5,"Go","Standard")</f>
        <v>Standard</v>
      </c>
    </row>
    <row r="17303" customFormat="false" ht="15" hidden="false" customHeight="true" outlineLevel="0" collapsed="false">
      <c r="A17303" s="10" t="n">
        <f aca="false">Einstellungen!$B$5+INT((ROW()-9)/24)</f>
        <v>46686</v>
      </c>
      <c r="B17303" s="11" t="n">
        <f aca="false">MOD(ROW()-9,24)</f>
        <v>14</v>
      </c>
      <c r="C17303" s="12"/>
      <c r="D17303" s="13" t="n">
        <f aca="false">IF(B17303&lt;5,Einstellungen!$B$3,Einstellungen!$B$4)</f>
        <v>29.13</v>
      </c>
      <c r="E17303" s="14" t="str">
        <f aca="false">IF(C17303="","",C17303*D17303/100)</f>
        <v/>
      </c>
      <c r="F17303" s="15" t="str">
        <f aca="false">IF(B17303&lt;5,"Go","Standard")</f>
        <v>Standard</v>
      </c>
    </row>
    <row r="17304" customFormat="false" ht="15" hidden="false" customHeight="true" outlineLevel="0" collapsed="false">
      <c r="A17304" s="10" t="n">
        <f aca="false">Einstellungen!$B$5+INT((ROW()-9)/24)</f>
        <v>46686</v>
      </c>
      <c r="B17304" s="11" t="n">
        <f aca="false">MOD(ROW()-9,24)</f>
        <v>15</v>
      </c>
      <c r="C17304" s="12"/>
      <c r="D17304" s="13" t="n">
        <f aca="false">IF(B17304&lt;5,Einstellungen!$B$3,Einstellungen!$B$4)</f>
        <v>29.13</v>
      </c>
      <c r="E17304" s="14" t="str">
        <f aca="false">IF(C17304="","",C17304*D17304/100)</f>
        <v/>
      </c>
      <c r="F17304" s="15" t="str">
        <f aca="false">IF(B17304&lt;5,"Go","Standard")</f>
        <v>Standard</v>
      </c>
    </row>
    <row r="17305" customFormat="false" ht="15" hidden="false" customHeight="true" outlineLevel="0" collapsed="false">
      <c r="A17305" s="10" t="n">
        <f aca="false">Einstellungen!$B$5+INT((ROW()-9)/24)</f>
        <v>46686</v>
      </c>
      <c r="B17305" s="11" t="n">
        <f aca="false">MOD(ROW()-9,24)</f>
        <v>16</v>
      </c>
      <c r="C17305" s="12"/>
      <c r="D17305" s="13" t="n">
        <f aca="false">IF(B17305&lt;5,Einstellungen!$B$3,Einstellungen!$B$4)</f>
        <v>29.13</v>
      </c>
      <c r="E17305" s="14" t="str">
        <f aca="false">IF(C17305="","",C17305*D17305/100)</f>
        <v/>
      </c>
      <c r="F17305" s="15" t="str">
        <f aca="false">IF(B17305&lt;5,"Go","Standard")</f>
        <v>Standard</v>
      </c>
    </row>
    <row r="17306" customFormat="false" ht="15" hidden="false" customHeight="true" outlineLevel="0" collapsed="false">
      <c r="A17306" s="10" t="n">
        <f aca="false">Einstellungen!$B$5+INT((ROW()-9)/24)</f>
        <v>46686</v>
      </c>
      <c r="B17306" s="11" t="n">
        <f aca="false">MOD(ROW()-9,24)</f>
        <v>17</v>
      </c>
      <c r="C17306" s="12"/>
      <c r="D17306" s="13" t="n">
        <f aca="false">IF(B17306&lt;5,Einstellungen!$B$3,Einstellungen!$B$4)</f>
        <v>29.13</v>
      </c>
      <c r="E17306" s="14" t="str">
        <f aca="false">IF(C17306="","",C17306*D17306/100)</f>
        <v/>
      </c>
      <c r="F17306" s="15" t="str">
        <f aca="false">IF(B17306&lt;5,"Go","Standard")</f>
        <v>Standard</v>
      </c>
    </row>
    <row r="17307" customFormat="false" ht="15" hidden="false" customHeight="true" outlineLevel="0" collapsed="false">
      <c r="A17307" s="10" t="n">
        <f aca="false">Einstellungen!$B$5+INT((ROW()-9)/24)</f>
        <v>46686</v>
      </c>
      <c r="B17307" s="11" t="n">
        <f aca="false">MOD(ROW()-9,24)</f>
        <v>18</v>
      </c>
      <c r="C17307" s="12"/>
      <c r="D17307" s="13" t="n">
        <f aca="false">IF(B17307&lt;5,Einstellungen!$B$3,Einstellungen!$B$4)</f>
        <v>29.13</v>
      </c>
      <c r="E17307" s="14" t="str">
        <f aca="false">IF(C17307="","",C17307*D17307/100)</f>
        <v/>
      </c>
      <c r="F17307" s="15" t="str">
        <f aca="false">IF(B17307&lt;5,"Go","Standard")</f>
        <v>Standard</v>
      </c>
    </row>
    <row r="17308" customFormat="false" ht="15" hidden="false" customHeight="true" outlineLevel="0" collapsed="false">
      <c r="A17308" s="10" t="n">
        <f aca="false">Einstellungen!$B$5+INT((ROW()-9)/24)</f>
        <v>46686</v>
      </c>
      <c r="B17308" s="11" t="n">
        <f aca="false">MOD(ROW()-9,24)</f>
        <v>19</v>
      </c>
      <c r="C17308" s="12"/>
      <c r="D17308" s="13" t="n">
        <f aca="false">IF(B17308&lt;5,Einstellungen!$B$3,Einstellungen!$B$4)</f>
        <v>29.13</v>
      </c>
      <c r="E17308" s="14" t="str">
        <f aca="false">IF(C17308="","",C17308*D17308/100)</f>
        <v/>
      </c>
      <c r="F17308" s="15" t="str">
        <f aca="false">IF(B17308&lt;5,"Go","Standard")</f>
        <v>Standard</v>
      </c>
    </row>
    <row r="17309" customFormat="false" ht="15" hidden="false" customHeight="true" outlineLevel="0" collapsed="false">
      <c r="A17309" s="10" t="n">
        <f aca="false">Einstellungen!$B$5+INT((ROW()-9)/24)</f>
        <v>46686</v>
      </c>
      <c r="B17309" s="11" t="n">
        <f aca="false">MOD(ROW()-9,24)</f>
        <v>20</v>
      </c>
      <c r="C17309" s="12"/>
      <c r="D17309" s="13" t="n">
        <f aca="false">IF(B17309&lt;5,Einstellungen!$B$3,Einstellungen!$B$4)</f>
        <v>29.13</v>
      </c>
      <c r="E17309" s="14" t="str">
        <f aca="false">IF(C17309="","",C17309*D17309/100)</f>
        <v/>
      </c>
      <c r="F17309" s="15" t="str">
        <f aca="false">IF(B17309&lt;5,"Go","Standard")</f>
        <v>Standard</v>
      </c>
    </row>
    <row r="17310" customFormat="false" ht="15" hidden="false" customHeight="true" outlineLevel="0" collapsed="false">
      <c r="A17310" s="10" t="n">
        <f aca="false">Einstellungen!$B$5+INT((ROW()-9)/24)</f>
        <v>46686</v>
      </c>
      <c r="B17310" s="11" t="n">
        <f aca="false">MOD(ROW()-9,24)</f>
        <v>21</v>
      </c>
      <c r="C17310" s="12"/>
      <c r="D17310" s="13" t="n">
        <f aca="false">IF(B17310&lt;5,Einstellungen!$B$3,Einstellungen!$B$4)</f>
        <v>29.13</v>
      </c>
      <c r="E17310" s="14" t="str">
        <f aca="false">IF(C17310="","",C17310*D17310/100)</f>
        <v/>
      </c>
      <c r="F17310" s="15" t="str">
        <f aca="false">IF(B17310&lt;5,"Go","Standard")</f>
        <v>Standard</v>
      </c>
    </row>
    <row r="17311" customFormat="false" ht="15" hidden="false" customHeight="true" outlineLevel="0" collapsed="false">
      <c r="A17311" s="10" t="n">
        <f aca="false">Einstellungen!$B$5+INT((ROW()-9)/24)</f>
        <v>46686</v>
      </c>
      <c r="B17311" s="11" t="n">
        <f aca="false">MOD(ROW()-9,24)</f>
        <v>22</v>
      </c>
      <c r="C17311" s="12"/>
      <c r="D17311" s="13" t="n">
        <f aca="false">IF(B17311&lt;5,Einstellungen!$B$3,Einstellungen!$B$4)</f>
        <v>29.13</v>
      </c>
      <c r="E17311" s="14" t="str">
        <f aca="false">IF(C17311="","",C17311*D17311/100)</f>
        <v/>
      </c>
      <c r="F17311" s="15" t="str">
        <f aca="false">IF(B17311&lt;5,"Go","Standard")</f>
        <v>Standard</v>
      </c>
    </row>
    <row r="17312" customFormat="false" ht="15" hidden="false" customHeight="true" outlineLevel="0" collapsed="false">
      <c r="A17312" s="10" t="n">
        <f aca="false">Einstellungen!$B$5+INT((ROW()-9)/24)</f>
        <v>46686</v>
      </c>
      <c r="B17312" s="11" t="n">
        <f aca="false">MOD(ROW()-9,24)</f>
        <v>23</v>
      </c>
      <c r="C17312" s="12"/>
      <c r="D17312" s="13" t="n">
        <f aca="false">IF(B17312&lt;5,Einstellungen!$B$3,Einstellungen!$B$4)</f>
        <v>29.13</v>
      </c>
      <c r="E17312" s="14" t="str">
        <f aca="false">IF(C17312="","",C17312*D17312/100)</f>
        <v/>
      </c>
      <c r="F17312" s="15" t="str">
        <f aca="false">IF(B17312&lt;5,"Go","Standard")</f>
        <v>Standard</v>
      </c>
    </row>
    <row r="17313" customFormat="false" ht="15" hidden="false" customHeight="true" outlineLevel="0" collapsed="false">
      <c r="A17313" s="10" t="n">
        <f aca="false">Einstellungen!$B$5+INT((ROW()-9)/24)</f>
        <v>46687</v>
      </c>
      <c r="B17313" s="11" t="n">
        <f aca="false">MOD(ROW()-9,24)</f>
        <v>0</v>
      </c>
      <c r="C17313" s="12"/>
      <c r="D17313" s="13" t="n">
        <f aca="false">IF(B17313&lt;5,Einstellungen!$B$3,Einstellungen!$B$4)</f>
        <v>15.92</v>
      </c>
      <c r="E17313" s="14" t="str">
        <f aca="false">IF(C17313="","",C17313*D17313/100)</f>
        <v/>
      </c>
      <c r="F17313" s="15" t="str">
        <f aca="false">IF(B17313&lt;5,"Go","Standard")</f>
        <v>Go</v>
      </c>
    </row>
    <row r="17314" customFormat="false" ht="15" hidden="false" customHeight="true" outlineLevel="0" collapsed="false">
      <c r="A17314" s="10" t="n">
        <f aca="false">Einstellungen!$B$5+INT((ROW()-9)/24)</f>
        <v>46687</v>
      </c>
      <c r="B17314" s="11" t="n">
        <f aca="false">MOD(ROW()-9,24)</f>
        <v>1</v>
      </c>
      <c r="C17314" s="12"/>
      <c r="D17314" s="13" t="n">
        <f aca="false">IF(B17314&lt;5,Einstellungen!$B$3,Einstellungen!$B$4)</f>
        <v>15.92</v>
      </c>
      <c r="E17314" s="14" t="str">
        <f aca="false">IF(C17314="","",C17314*D17314/100)</f>
        <v/>
      </c>
      <c r="F17314" s="15" t="str">
        <f aca="false">IF(B17314&lt;5,"Go","Standard")</f>
        <v>Go</v>
      </c>
    </row>
    <row r="17315" customFormat="false" ht="15" hidden="false" customHeight="true" outlineLevel="0" collapsed="false">
      <c r="A17315" s="10" t="n">
        <f aca="false">Einstellungen!$B$5+INT((ROW()-9)/24)</f>
        <v>46687</v>
      </c>
      <c r="B17315" s="11" t="n">
        <f aca="false">MOD(ROW()-9,24)</f>
        <v>2</v>
      </c>
      <c r="C17315" s="12"/>
      <c r="D17315" s="13" t="n">
        <f aca="false">IF(B17315&lt;5,Einstellungen!$B$3,Einstellungen!$B$4)</f>
        <v>15.92</v>
      </c>
      <c r="E17315" s="14" t="str">
        <f aca="false">IF(C17315="","",C17315*D17315/100)</f>
        <v/>
      </c>
      <c r="F17315" s="15" t="str">
        <f aca="false">IF(B17315&lt;5,"Go","Standard")</f>
        <v>Go</v>
      </c>
    </row>
    <row r="17316" customFormat="false" ht="15" hidden="false" customHeight="true" outlineLevel="0" collapsed="false">
      <c r="A17316" s="10" t="n">
        <f aca="false">Einstellungen!$B$5+INT((ROW()-9)/24)</f>
        <v>46687</v>
      </c>
      <c r="B17316" s="11" t="n">
        <f aca="false">MOD(ROW()-9,24)</f>
        <v>3</v>
      </c>
      <c r="C17316" s="12"/>
      <c r="D17316" s="13" t="n">
        <f aca="false">IF(B17316&lt;5,Einstellungen!$B$3,Einstellungen!$B$4)</f>
        <v>15.92</v>
      </c>
      <c r="E17316" s="14" t="str">
        <f aca="false">IF(C17316="","",C17316*D17316/100)</f>
        <v/>
      </c>
      <c r="F17316" s="15" t="str">
        <f aca="false">IF(B17316&lt;5,"Go","Standard")</f>
        <v>Go</v>
      </c>
    </row>
    <row r="17317" customFormat="false" ht="15" hidden="false" customHeight="true" outlineLevel="0" collapsed="false">
      <c r="A17317" s="10" t="n">
        <f aca="false">Einstellungen!$B$5+INT((ROW()-9)/24)</f>
        <v>46687</v>
      </c>
      <c r="B17317" s="11" t="n">
        <f aca="false">MOD(ROW()-9,24)</f>
        <v>4</v>
      </c>
      <c r="C17317" s="12"/>
      <c r="D17317" s="13" t="n">
        <f aca="false">IF(B17317&lt;5,Einstellungen!$B$3,Einstellungen!$B$4)</f>
        <v>15.92</v>
      </c>
      <c r="E17317" s="14" t="str">
        <f aca="false">IF(C17317="","",C17317*D17317/100)</f>
        <v/>
      </c>
      <c r="F17317" s="15" t="str">
        <f aca="false">IF(B17317&lt;5,"Go","Standard")</f>
        <v>Go</v>
      </c>
    </row>
    <row r="17318" customFormat="false" ht="15" hidden="false" customHeight="true" outlineLevel="0" collapsed="false">
      <c r="A17318" s="10" t="n">
        <f aca="false">Einstellungen!$B$5+INT((ROW()-9)/24)</f>
        <v>46687</v>
      </c>
      <c r="B17318" s="11" t="n">
        <f aca="false">MOD(ROW()-9,24)</f>
        <v>5</v>
      </c>
      <c r="C17318" s="12"/>
      <c r="D17318" s="13" t="n">
        <f aca="false">IF(B17318&lt;5,Einstellungen!$B$3,Einstellungen!$B$4)</f>
        <v>29.13</v>
      </c>
      <c r="E17318" s="14" t="str">
        <f aca="false">IF(C17318="","",C17318*D17318/100)</f>
        <v/>
      </c>
      <c r="F17318" s="15" t="str">
        <f aca="false">IF(B17318&lt;5,"Go","Standard")</f>
        <v>Standard</v>
      </c>
    </row>
    <row r="17319" customFormat="false" ht="15" hidden="false" customHeight="true" outlineLevel="0" collapsed="false">
      <c r="A17319" s="10" t="n">
        <f aca="false">Einstellungen!$B$5+INT((ROW()-9)/24)</f>
        <v>46687</v>
      </c>
      <c r="B17319" s="11" t="n">
        <f aca="false">MOD(ROW()-9,24)</f>
        <v>6</v>
      </c>
      <c r="C17319" s="12"/>
      <c r="D17319" s="13" t="n">
        <f aca="false">IF(B17319&lt;5,Einstellungen!$B$3,Einstellungen!$B$4)</f>
        <v>29.13</v>
      </c>
      <c r="E17319" s="14" t="str">
        <f aca="false">IF(C17319="","",C17319*D17319/100)</f>
        <v/>
      </c>
      <c r="F17319" s="15" t="str">
        <f aca="false">IF(B17319&lt;5,"Go","Standard")</f>
        <v>Standard</v>
      </c>
    </row>
    <row r="17320" customFormat="false" ht="15" hidden="false" customHeight="true" outlineLevel="0" collapsed="false">
      <c r="A17320" s="10" t="n">
        <f aca="false">Einstellungen!$B$5+INT((ROW()-9)/24)</f>
        <v>46687</v>
      </c>
      <c r="B17320" s="11" t="n">
        <f aca="false">MOD(ROW()-9,24)</f>
        <v>7</v>
      </c>
      <c r="C17320" s="12"/>
      <c r="D17320" s="13" t="n">
        <f aca="false">IF(B17320&lt;5,Einstellungen!$B$3,Einstellungen!$B$4)</f>
        <v>29.13</v>
      </c>
      <c r="E17320" s="14" t="str">
        <f aca="false">IF(C17320="","",C17320*D17320/100)</f>
        <v/>
      </c>
      <c r="F17320" s="15" t="str">
        <f aca="false">IF(B17320&lt;5,"Go","Standard")</f>
        <v>Standard</v>
      </c>
    </row>
    <row r="17321" customFormat="false" ht="15" hidden="false" customHeight="true" outlineLevel="0" collapsed="false">
      <c r="A17321" s="10" t="n">
        <f aca="false">Einstellungen!$B$5+INT((ROW()-9)/24)</f>
        <v>46687</v>
      </c>
      <c r="B17321" s="11" t="n">
        <f aca="false">MOD(ROW()-9,24)</f>
        <v>8</v>
      </c>
      <c r="C17321" s="12"/>
      <c r="D17321" s="13" t="n">
        <f aca="false">IF(B17321&lt;5,Einstellungen!$B$3,Einstellungen!$B$4)</f>
        <v>29.13</v>
      </c>
      <c r="E17321" s="14" t="str">
        <f aca="false">IF(C17321="","",C17321*D17321/100)</f>
        <v/>
      </c>
      <c r="F17321" s="15" t="str">
        <f aca="false">IF(B17321&lt;5,"Go","Standard")</f>
        <v>Standard</v>
      </c>
    </row>
    <row r="17322" customFormat="false" ht="15" hidden="false" customHeight="true" outlineLevel="0" collapsed="false">
      <c r="A17322" s="10" t="n">
        <f aca="false">Einstellungen!$B$5+INT((ROW()-9)/24)</f>
        <v>46687</v>
      </c>
      <c r="B17322" s="11" t="n">
        <f aca="false">MOD(ROW()-9,24)</f>
        <v>9</v>
      </c>
      <c r="C17322" s="12"/>
      <c r="D17322" s="13" t="n">
        <f aca="false">IF(B17322&lt;5,Einstellungen!$B$3,Einstellungen!$B$4)</f>
        <v>29.13</v>
      </c>
      <c r="E17322" s="14" t="str">
        <f aca="false">IF(C17322="","",C17322*D17322/100)</f>
        <v/>
      </c>
      <c r="F17322" s="15" t="str">
        <f aca="false">IF(B17322&lt;5,"Go","Standard")</f>
        <v>Standard</v>
      </c>
    </row>
    <row r="17323" customFormat="false" ht="15" hidden="false" customHeight="true" outlineLevel="0" collapsed="false">
      <c r="A17323" s="10" t="n">
        <f aca="false">Einstellungen!$B$5+INT((ROW()-9)/24)</f>
        <v>46687</v>
      </c>
      <c r="B17323" s="11" t="n">
        <f aca="false">MOD(ROW()-9,24)</f>
        <v>10</v>
      </c>
      <c r="C17323" s="12"/>
      <c r="D17323" s="13" t="n">
        <f aca="false">IF(B17323&lt;5,Einstellungen!$B$3,Einstellungen!$B$4)</f>
        <v>29.13</v>
      </c>
      <c r="E17323" s="14" t="str">
        <f aca="false">IF(C17323="","",C17323*D17323/100)</f>
        <v/>
      </c>
      <c r="F17323" s="15" t="str">
        <f aca="false">IF(B17323&lt;5,"Go","Standard")</f>
        <v>Standard</v>
      </c>
    </row>
    <row r="17324" customFormat="false" ht="15" hidden="false" customHeight="true" outlineLevel="0" collapsed="false">
      <c r="A17324" s="10" t="n">
        <f aca="false">Einstellungen!$B$5+INT((ROW()-9)/24)</f>
        <v>46687</v>
      </c>
      <c r="B17324" s="11" t="n">
        <f aca="false">MOD(ROW()-9,24)</f>
        <v>11</v>
      </c>
      <c r="C17324" s="12"/>
      <c r="D17324" s="13" t="n">
        <f aca="false">IF(B17324&lt;5,Einstellungen!$B$3,Einstellungen!$B$4)</f>
        <v>29.13</v>
      </c>
      <c r="E17324" s="14" t="str">
        <f aca="false">IF(C17324="","",C17324*D17324/100)</f>
        <v/>
      </c>
      <c r="F17324" s="15" t="str">
        <f aca="false">IF(B17324&lt;5,"Go","Standard")</f>
        <v>Standard</v>
      </c>
    </row>
    <row r="17325" customFormat="false" ht="15" hidden="false" customHeight="true" outlineLevel="0" collapsed="false">
      <c r="A17325" s="10" t="n">
        <f aca="false">Einstellungen!$B$5+INT((ROW()-9)/24)</f>
        <v>46687</v>
      </c>
      <c r="B17325" s="11" t="n">
        <f aca="false">MOD(ROW()-9,24)</f>
        <v>12</v>
      </c>
      <c r="C17325" s="12"/>
      <c r="D17325" s="13" t="n">
        <f aca="false">IF(B17325&lt;5,Einstellungen!$B$3,Einstellungen!$B$4)</f>
        <v>29.13</v>
      </c>
      <c r="E17325" s="14" t="str">
        <f aca="false">IF(C17325="","",C17325*D17325/100)</f>
        <v/>
      </c>
      <c r="F17325" s="15" t="str">
        <f aca="false">IF(B17325&lt;5,"Go","Standard")</f>
        <v>Standard</v>
      </c>
    </row>
    <row r="17326" customFormat="false" ht="15" hidden="false" customHeight="true" outlineLevel="0" collapsed="false">
      <c r="A17326" s="10" t="n">
        <f aca="false">Einstellungen!$B$5+INT((ROW()-9)/24)</f>
        <v>46687</v>
      </c>
      <c r="B17326" s="11" t="n">
        <f aca="false">MOD(ROW()-9,24)</f>
        <v>13</v>
      </c>
      <c r="C17326" s="12"/>
      <c r="D17326" s="13" t="n">
        <f aca="false">IF(B17326&lt;5,Einstellungen!$B$3,Einstellungen!$B$4)</f>
        <v>29.13</v>
      </c>
      <c r="E17326" s="14" t="str">
        <f aca="false">IF(C17326="","",C17326*D17326/100)</f>
        <v/>
      </c>
      <c r="F17326" s="15" t="str">
        <f aca="false">IF(B17326&lt;5,"Go","Standard")</f>
        <v>Standard</v>
      </c>
    </row>
    <row r="17327" customFormat="false" ht="15" hidden="false" customHeight="true" outlineLevel="0" collapsed="false">
      <c r="A17327" s="10" t="n">
        <f aca="false">Einstellungen!$B$5+INT((ROW()-9)/24)</f>
        <v>46687</v>
      </c>
      <c r="B17327" s="11" t="n">
        <f aca="false">MOD(ROW()-9,24)</f>
        <v>14</v>
      </c>
      <c r="C17327" s="12"/>
      <c r="D17327" s="13" t="n">
        <f aca="false">IF(B17327&lt;5,Einstellungen!$B$3,Einstellungen!$B$4)</f>
        <v>29.13</v>
      </c>
      <c r="E17327" s="14" t="str">
        <f aca="false">IF(C17327="","",C17327*D17327/100)</f>
        <v/>
      </c>
      <c r="F17327" s="15" t="str">
        <f aca="false">IF(B17327&lt;5,"Go","Standard")</f>
        <v>Standard</v>
      </c>
    </row>
    <row r="17328" customFormat="false" ht="15" hidden="false" customHeight="true" outlineLevel="0" collapsed="false">
      <c r="A17328" s="10" t="n">
        <f aca="false">Einstellungen!$B$5+INT((ROW()-9)/24)</f>
        <v>46687</v>
      </c>
      <c r="B17328" s="11" t="n">
        <f aca="false">MOD(ROW()-9,24)</f>
        <v>15</v>
      </c>
      <c r="C17328" s="12"/>
      <c r="D17328" s="13" t="n">
        <f aca="false">IF(B17328&lt;5,Einstellungen!$B$3,Einstellungen!$B$4)</f>
        <v>29.13</v>
      </c>
      <c r="E17328" s="14" t="str">
        <f aca="false">IF(C17328="","",C17328*D17328/100)</f>
        <v/>
      </c>
      <c r="F17328" s="15" t="str">
        <f aca="false">IF(B17328&lt;5,"Go","Standard")</f>
        <v>Standard</v>
      </c>
    </row>
    <row r="17329" customFormat="false" ht="15" hidden="false" customHeight="true" outlineLevel="0" collapsed="false">
      <c r="A17329" s="10" t="n">
        <f aca="false">Einstellungen!$B$5+INT((ROW()-9)/24)</f>
        <v>46687</v>
      </c>
      <c r="B17329" s="11" t="n">
        <f aca="false">MOD(ROW()-9,24)</f>
        <v>16</v>
      </c>
      <c r="C17329" s="12"/>
      <c r="D17329" s="13" t="n">
        <f aca="false">IF(B17329&lt;5,Einstellungen!$B$3,Einstellungen!$B$4)</f>
        <v>29.13</v>
      </c>
      <c r="E17329" s="14" t="str">
        <f aca="false">IF(C17329="","",C17329*D17329/100)</f>
        <v/>
      </c>
      <c r="F17329" s="15" t="str">
        <f aca="false">IF(B17329&lt;5,"Go","Standard")</f>
        <v>Standard</v>
      </c>
    </row>
    <row r="17330" customFormat="false" ht="15" hidden="false" customHeight="true" outlineLevel="0" collapsed="false">
      <c r="A17330" s="10" t="n">
        <f aca="false">Einstellungen!$B$5+INT((ROW()-9)/24)</f>
        <v>46687</v>
      </c>
      <c r="B17330" s="11" t="n">
        <f aca="false">MOD(ROW()-9,24)</f>
        <v>17</v>
      </c>
      <c r="C17330" s="12"/>
      <c r="D17330" s="13" t="n">
        <f aca="false">IF(B17330&lt;5,Einstellungen!$B$3,Einstellungen!$B$4)</f>
        <v>29.13</v>
      </c>
      <c r="E17330" s="14" t="str">
        <f aca="false">IF(C17330="","",C17330*D17330/100)</f>
        <v/>
      </c>
      <c r="F17330" s="15" t="str">
        <f aca="false">IF(B17330&lt;5,"Go","Standard")</f>
        <v>Standard</v>
      </c>
    </row>
    <row r="17331" customFormat="false" ht="15" hidden="false" customHeight="true" outlineLevel="0" collapsed="false">
      <c r="A17331" s="10" t="n">
        <f aca="false">Einstellungen!$B$5+INT((ROW()-9)/24)</f>
        <v>46687</v>
      </c>
      <c r="B17331" s="11" t="n">
        <f aca="false">MOD(ROW()-9,24)</f>
        <v>18</v>
      </c>
      <c r="C17331" s="12"/>
      <c r="D17331" s="13" t="n">
        <f aca="false">IF(B17331&lt;5,Einstellungen!$B$3,Einstellungen!$B$4)</f>
        <v>29.13</v>
      </c>
      <c r="E17331" s="14" t="str">
        <f aca="false">IF(C17331="","",C17331*D17331/100)</f>
        <v/>
      </c>
      <c r="F17331" s="15" t="str">
        <f aca="false">IF(B17331&lt;5,"Go","Standard")</f>
        <v>Standard</v>
      </c>
    </row>
    <row r="17332" customFormat="false" ht="15" hidden="false" customHeight="true" outlineLevel="0" collapsed="false">
      <c r="A17332" s="10" t="n">
        <f aca="false">Einstellungen!$B$5+INT((ROW()-9)/24)</f>
        <v>46687</v>
      </c>
      <c r="B17332" s="11" t="n">
        <f aca="false">MOD(ROW()-9,24)</f>
        <v>19</v>
      </c>
      <c r="C17332" s="12"/>
      <c r="D17332" s="13" t="n">
        <f aca="false">IF(B17332&lt;5,Einstellungen!$B$3,Einstellungen!$B$4)</f>
        <v>29.13</v>
      </c>
      <c r="E17332" s="14" t="str">
        <f aca="false">IF(C17332="","",C17332*D17332/100)</f>
        <v/>
      </c>
      <c r="F17332" s="15" t="str">
        <f aca="false">IF(B17332&lt;5,"Go","Standard")</f>
        <v>Standard</v>
      </c>
    </row>
    <row r="17333" customFormat="false" ht="15" hidden="false" customHeight="true" outlineLevel="0" collapsed="false">
      <c r="A17333" s="10" t="n">
        <f aca="false">Einstellungen!$B$5+INT((ROW()-9)/24)</f>
        <v>46687</v>
      </c>
      <c r="B17333" s="11" t="n">
        <f aca="false">MOD(ROW()-9,24)</f>
        <v>20</v>
      </c>
      <c r="C17333" s="12"/>
      <c r="D17333" s="13" t="n">
        <f aca="false">IF(B17333&lt;5,Einstellungen!$B$3,Einstellungen!$B$4)</f>
        <v>29.13</v>
      </c>
      <c r="E17333" s="14" t="str">
        <f aca="false">IF(C17333="","",C17333*D17333/100)</f>
        <v/>
      </c>
      <c r="F17333" s="15" t="str">
        <f aca="false">IF(B17333&lt;5,"Go","Standard")</f>
        <v>Standard</v>
      </c>
    </row>
    <row r="17334" customFormat="false" ht="15" hidden="false" customHeight="true" outlineLevel="0" collapsed="false">
      <c r="A17334" s="10" t="n">
        <f aca="false">Einstellungen!$B$5+INT((ROW()-9)/24)</f>
        <v>46687</v>
      </c>
      <c r="B17334" s="11" t="n">
        <f aca="false">MOD(ROW()-9,24)</f>
        <v>21</v>
      </c>
      <c r="C17334" s="12"/>
      <c r="D17334" s="13" t="n">
        <f aca="false">IF(B17334&lt;5,Einstellungen!$B$3,Einstellungen!$B$4)</f>
        <v>29.13</v>
      </c>
      <c r="E17334" s="14" t="str">
        <f aca="false">IF(C17334="","",C17334*D17334/100)</f>
        <v/>
      </c>
      <c r="F17334" s="15" t="str">
        <f aca="false">IF(B17334&lt;5,"Go","Standard")</f>
        <v>Standard</v>
      </c>
    </row>
    <row r="17335" customFormat="false" ht="15" hidden="false" customHeight="true" outlineLevel="0" collapsed="false">
      <c r="A17335" s="10" t="n">
        <f aca="false">Einstellungen!$B$5+INT((ROW()-9)/24)</f>
        <v>46687</v>
      </c>
      <c r="B17335" s="11" t="n">
        <f aca="false">MOD(ROW()-9,24)</f>
        <v>22</v>
      </c>
      <c r="C17335" s="12"/>
      <c r="D17335" s="13" t="n">
        <f aca="false">IF(B17335&lt;5,Einstellungen!$B$3,Einstellungen!$B$4)</f>
        <v>29.13</v>
      </c>
      <c r="E17335" s="14" t="str">
        <f aca="false">IF(C17335="","",C17335*D17335/100)</f>
        <v/>
      </c>
      <c r="F17335" s="15" t="str">
        <f aca="false">IF(B17335&lt;5,"Go","Standard")</f>
        <v>Standard</v>
      </c>
    </row>
    <row r="17336" customFormat="false" ht="15" hidden="false" customHeight="true" outlineLevel="0" collapsed="false">
      <c r="A17336" s="10" t="n">
        <f aca="false">Einstellungen!$B$5+INT((ROW()-9)/24)</f>
        <v>46687</v>
      </c>
      <c r="B17336" s="11" t="n">
        <f aca="false">MOD(ROW()-9,24)</f>
        <v>23</v>
      </c>
      <c r="C17336" s="12"/>
      <c r="D17336" s="13" t="n">
        <f aca="false">IF(B17336&lt;5,Einstellungen!$B$3,Einstellungen!$B$4)</f>
        <v>29.13</v>
      </c>
      <c r="E17336" s="14" t="str">
        <f aca="false">IF(C17336="","",C17336*D17336/100)</f>
        <v/>
      </c>
      <c r="F17336" s="15" t="str">
        <f aca="false">IF(B17336&lt;5,"Go","Standard")</f>
        <v>Standard</v>
      </c>
    </row>
    <row r="17337" customFormat="false" ht="15" hidden="false" customHeight="true" outlineLevel="0" collapsed="false">
      <c r="A17337" s="10" t="n">
        <f aca="false">Einstellungen!$B$5+INT((ROW()-9)/24)</f>
        <v>46688</v>
      </c>
      <c r="B17337" s="11" t="n">
        <f aca="false">MOD(ROW()-9,24)</f>
        <v>0</v>
      </c>
      <c r="C17337" s="12"/>
      <c r="D17337" s="13" t="n">
        <f aca="false">IF(B17337&lt;5,Einstellungen!$B$3,Einstellungen!$B$4)</f>
        <v>15.92</v>
      </c>
      <c r="E17337" s="14" t="str">
        <f aca="false">IF(C17337="","",C17337*D17337/100)</f>
        <v/>
      </c>
      <c r="F17337" s="15" t="str">
        <f aca="false">IF(B17337&lt;5,"Go","Standard")</f>
        <v>Go</v>
      </c>
    </row>
    <row r="17338" customFormat="false" ht="15" hidden="false" customHeight="true" outlineLevel="0" collapsed="false">
      <c r="A17338" s="10" t="n">
        <f aca="false">Einstellungen!$B$5+INT((ROW()-9)/24)</f>
        <v>46688</v>
      </c>
      <c r="B17338" s="11" t="n">
        <f aca="false">MOD(ROW()-9,24)</f>
        <v>1</v>
      </c>
      <c r="C17338" s="12"/>
      <c r="D17338" s="13" t="n">
        <f aca="false">IF(B17338&lt;5,Einstellungen!$B$3,Einstellungen!$B$4)</f>
        <v>15.92</v>
      </c>
      <c r="E17338" s="14" t="str">
        <f aca="false">IF(C17338="","",C17338*D17338/100)</f>
        <v/>
      </c>
      <c r="F17338" s="15" t="str">
        <f aca="false">IF(B17338&lt;5,"Go","Standard")</f>
        <v>Go</v>
      </c>
    </row>
    <row r="17339" customFormat="false" ht="15" hidden="false" customHeight="true" outlineLevel="0" collapsed="false">
      <c r="A17339" s="10" t="n">
        <f aca="false">Einstellungen!$B$5+INT((ROW()-9)/24)</f>
        <v>46688</v>
      </c>
      <c r="B17339" s="11" t="n">
        <f aca="false">MOD(ROW()-9,24)</f>
        <v>2</v>
      </c>
      <c r="C17339" s="12"/>
      <c r="D17339" s="13" t="n">
        <f aca="false">IF(B17339&lt;5,Einstellungen!$B$3,Einstellungen!$B$4)</f>
        <v>15.92</v>
      </c>
      <c r="E17339" s="14" t="str">
        <f aca="false">IF(C17339="","",C17339*D17339/100)</f>
        <v/>
      </c>
      <c r="F17339" s="15" t="str">
        <f aca="false">IF(B17339&lt;5,"Go","Standard")</f>
        <v>Go</v>
      </c>
    </row>
    <row r="17340" customFormat="false" ht="15" hidden="false" customHeight="true" outlineLevel="0" collapsed="false">
      <c r="A17340" s="10" t="n">
        <f aca="false">Einstellungen!$B$5+INT((ROW()-9)/24)</f>
        <v>46688</v>
      </c>
      <c r="B17340" s="11" t="n">
        <f aca="false">MOD(ROW()-9,24)</f>
        <v>3</v>
      </c>
      <c r="C17340" s="12"/>
      <c r="D17340" s="13" t="n">
        <f aca="false">IF(B17340&lt;5,Einstellungen!$B$3,Einstellungen!$B$4)</f>
        <v>15.92</v>
      </c>
      <c r="E17340" s="14" t="str">
        <f aca="false">IF(C17340="","",C17340*D17340/100)</f>
        <v/>
      </c>
      <c r="F17340" s="15" t="str">
        <f aca="false">IF(B17340&lt;5,"Go","Standard")</f>
        <v>Go</v>
      </c>
    </row>
    <row r="17341" customFormat="false" ht="15" hidden="false" customHeight="true" outlineLevel="0" collapsed="false">
      <c r="A17341" s="10" t="n">
        <f aca="false">Einstellungen!$B$5+INT((ROW()-9)/24)</f>
        <v>46688</v>
      </c>
      <c r="B17341" s="11" t="n">
        <f aca="false">MOD(ROW()-9,24)</f>
        <v>4</v>
      </c>
      <c r="C17341" s="12"/>
      <c r="D17341" s="13" t="n">
        <f aca="false">IF(B17341&lt;5,Einstellungen!$B$3,Einstellungen!$B$4)</f>
        <v>15.92</v>
      </c>
      <c r="E17341" s="14" t="str">
        <f aca="false">IF(C17341="","",C17341*D17341/100)</f>
        <v/>
      </c>
      <c r="F17341" s="15" t="str">
        <f aca="false">IF(B17341&lt;5,"Go","Standard")</f>
        <v>Go</v>
      </c>
    </row>
    <row r="17342" customFormat="false" ht="15" hidden="false" customHeight="true" outlineLevel="0" collapsed="false">
      <c r="A17342" s="10" t="n">
        <f aca="false">Einstellungen!$B$5+INT((ROW()-9)/24)</f>
        <v>46688</v>
      </c>
      <c r="B17342" s="11" t="n">
        <f aca="false">MOD(ROW()-9,24)</f>
        <v>5</v>
      </c>
      <c r="C17342" s="12"/>
      <c r="D17342" s="13" t="n">
        <f aca="false">IF(B17342&lt;5,Einstellungen!$B$3,Einstellungen!$B$4)</f>
        <v>29.13</v>
      </c>
      <c r="E17342" s="14" t="str">
        <f aca="false">IF(C17342="","",C17342*D17342/100)</f>
        <v/>
      </c>
      <c r="F17342" s="15" t="str">
        <f aca="false">IF(B17342&lt;5,"Go","Standard")</f>
        <v>Standard</v>
      </c>
    </row>
    <row r="17343" customFormat="false" ht="15" hidden="false" customHeight="true" outlineLevel="0" collapsed="false">
      <c r="A17343" s="10" t="n">
        <f aca="false">Einstellungen!$B$5+INT((ROW()-9)/24)</f>
        <v>46688</v>
      </c>
      <c r="B17343" s="11" t="n">
        <f aca="false">MOD(ROW()-9,24)</f>
        <v>6</v>
      </c>
      <c r="C17343" s="12"/>
      <c r="D17343" s="13" t="n">
        <f aca="false">IF(B17343&lt;5,Einstellungen!$B$3,Einstellungen!$B$4)</f>
        <v>29.13</v>
      </c>
      <c r="E17343" s="14" t="str">
        <f aca="false">IF(C17343="","",C17343*D17343/100)</f>
        <v/>
      </c>
      <c r="F17343" s="15" t="str">
        <f aca="false">IF(B17343&lt;5,"Go","Standard")</f>
        <v>Standard</v>
      </c>
    </row>
    <row r="17344" customFormat="false" ht="15" hidden="false" customHeight="true" outlineLevel="0" collapsed="false">
      <c r="A17344" s="10" t="n">
        <f aca="false">Einstellungen!$B$5+INT((ROW()-9)/24)</f>
        <v>46688</v>
      </c>
      <c r="B17344" s="11" t="n">
        <f aca="false">MOD(ROW()-9,24)</f>
        <v>7</v>
      </c>
      <c r="C17344" s="12"/>
      <c r="D17344" s="13" t="n">
        <f aca="false">IF(B17344&lt;5,Einstellungen!$B$3,Einstellungen!$B$4)</f>
        <v>29.13</v>
      </c>
      <c r="E17344" s="14" t="str">
        <f aca="false">IF(C17344="","",C17344*D17344/100)</f>
        <v/>
      </c>
      <c r="F17344" s="15" t="str">
        <f aca="false">IF(B17344&lt;5,"Go","Standard")</f>
        <v>Standard</v>
      </c>
    </row>
    <row r="17345" customFormat="false" ht="15" hidden="false" customHeight="true" outlineLevel="0" collapsed="false">
      <c r="A17345" s="10" t="n">
        <f aca="false">Einstellungen!$B$5+INT((ROW()-9)/24)</f>
        <v>46688</v>
      </c>
      <c r="B17345" s="11" t="n">
        <f aca="false">MOD(ROW()-9,24)</f>
        <v>8</v>
      </c>
      <c r="C17345" s="12"/>
      <c r="D17345" s="13" t="n">
        <f aca="false">IF(B17345&lt;5,Einstellungen!$B$3,Einstellungen!$B$4)</f>
        <v>29.13</v>
      </c>
      <c r="E17345" s="14" t="str">
        <f aca="false">IF(C17345="","",C17345*D17345/100)</f>
        <v/>
      </c>
      <c r="F17345" s="15" t="str">
        <f aca="false">IF(B17345&lt;5,"Go","Standard")</f>
        <v>Standard</v>
      </c>
    </row>
    <row r="17346" customFormat="false" ht="15" hidden="false" customHeight="true" outlineLevel="0" collapsed="false">
      <c r="A17346" s="10" t="n">
        <f aca="false">Einstellungen!$B$5+INT((ROW()-9)/24)</f>
        <v>46688</v>
      </c>
      <c r="B17346" s="11" t="n">
        <f aca="false">MOD(ROW()-9,24)</f>
        <v>9</v>
      </c>
      <c r="C17346" s="12"/>
      <c r="D17346" s="13" t="n">
        <f aca="false">IF(B17346&lt;5,Einstellungen!$B$3,Einstellungen!$B$4)</f>
        <v>29.13</v>
      </c>
      <c r="E17346" s="14" t="str">
        <f aca="false">IF(C17346="","",C17346*D17346/100)</f>
        <v/>
      </c>
      <c r="F17346" s="15" t="str">
        <f aca="false">IF(B17346&lt;5,"Go","Standard")</f>
        <v>Standard</v>
      </c>
    </row>
    <row r="17347" customFormat="false" ht="15" hidden="false" customHeight="true" outlineLevel="0" collapsed="false">
      <c r="A17347" s="10" t="n">
        <f aca="false">Einstellungen!$B$5+INT((ROW()-9)/24)</f>
        <v>46688</v>
      </c>
      <c r="B17347" s="11" t="n">
        <f aca="false">MOD(ROW()-9,24)</f>
        <v>10</v>
      </c>
      <c r="C17347" s="12"/>
      <c r="D17347" s="13" t="n">
        <f aca="false">IF(B17347&lt;5,Einstellungen!$B$3,Einstellungen!$B$4)</f>
        <v>29.13</v>
      </c>
      <c r="E17347" s="14" t="str">
        <f aca="false">IF(C17347="","",C17347*D17347/100)</f>
        <v/>
      </c>
      <c r="F17347" s="15" t="str">
        <f aca="false">IF(B17347&lt;5,"Go","Standard")</f>
        <v>Standard</v>
      </c>
    </row>
    <row r="17348" customFormat="false" ht="15" hidden="false" customHeight="true" outlineLevel="0" collapsed="false">
      <c r="A17348" s="10" t="n">
        <f aca="false">Einstellungen!$B$5+INT((ROW()-9)/24)</f>
        <v>46688</v>
      </c>
      <c r="B17348" s="11" t="n">
        <f aca="false">MOD(ROW()-9,24)</f>
        <v>11</v>
      </c>
      <c r="C17348" s="12"/>
      <c r="D17348" s="13" t="n">
        <f aca="false">IF(B17348&lt;5,Einstellungen!$B$3,Einstellungen!$B$4)</f>
        <v>29.13</v>
      </c>
      <c r="E17348" s="14" t="str">
        <f aca="false">IF(C17348="","",C17348*D17348/100)</f>
        <v/>
      </c>
      <c r="F17348" s="15" t="str">
        <f aca="false">IF(B17348&lt;5,"Go","Standard")</f>
        <v>Standard</v>
      </c>
    </row>
    <row r="17349" customFormat="false" ht="15" hidden="false" customHeight="true" outlineLevel="0" collapsed="false">
      <c r="A17349" s="10" t="n">
        <f aca="false">Einstellungen!$B$5+INT((ROW()-9)/24)</f>
        <v>46688</v>
      </c>
      <c r="B17349" s="11" t="n">
        <f aca="false">MOD(ROW()-9,24)</f>
        <v>12</v>
      </c>
      <c r="C17349" s="12"/>
      <c r="D17349" s="13" t="n">
        <f aca="false">IF(B17349&lt;5,Einstellungen!$B$3,Einstellungen!$B$4)</f>
        <v>29.13</v>
      </c>
      <c r="E17349" s="14" t="str">
        <f aca="false">IF(C17349="","",C17349*D17349/100)</f>
        <v/>
      </c>
      <c r="F17349" s="15" t="str">
        <f aca="false">IF(B17349&lt;5,"Go","Standard")</f>
        <v>Standard</v>
      </c>
    </row>
    <row r="17350" customFormat="false" ht="15" hidden="false" customHeight="true" outlineLevel="0" collapsed="false">
      <c r="A17350" s="10" t="n">
        <f aca="false">Einstellungen!$B$5+INT((ROW()-9)/24)</f>
        <v>46688</v>
      </c>
      <c r="B17350" s="11" t="n">
        <f aca="false">MOD(ROW()-9,24)</f>
        <v>13</v>
      </c>
      <c r="C17350" s="12"/>
      <c r="D17350" s="13" t="n">
        <f aca="false">IF(B17350&lt;5,Einstellungen!$B$3,Einstellungen!$B$4)</f>
        <v>29.13</v>
      </c>
      <c r="E17350" s="14" t="str">
        <f aca="false">IF(C17350="","",C17350*D17350/100)</f>
        <v/>
      </c>
      <c r="F17350" s="15" t="str">
        <f aca="false">IF(B17350&lt;5,"Go","Standard")</f>
        <v>Standard</v>
      </c>
    </row>
    <row r="17351" customFormat="false" ht="15" hidden="false" customHeight="true" outlineLevel="0" collapsed="false">
      <c r="A17351" s="10" t="n">
        <f aca="false">Einstellungen!$B$5+INT((ROW()-9)/24)</f>
        <v>46688</v>
      </c>
      <c r="B17351" s="11" t="n">
        <f aca="false">MOD(ROW()-9,24)</f>
        <v>14</v>
      </c>
      <c r="C17351" s="12"/>
      <c r="D17351" s="13" t="n">
        <f aca="false">IF(B17351&lt;5,Einstellungen!$B$3,Einstellungen!$B$4)</f>
        <v>29.13</v>
      </c>
      <c r="E17351" s="14" t="str">
        <f aca="false">IF(C17351="","",C17351*D17351/100)</f>
        <v/>
      </c>
      <c r="F17351" s="15" t="str">
        <f aca="false">IF(B17351&lt;5,"Go","Standard")</f>
        <v>Standard</v>
      </c>
    </row>
    <row r="17352" customFormat="false" ht="15" hidden="false" customHeight="true" outlineLevel="0" collapsed="false">
      <c r="A17352" s="10" t="n">
        <f aca="false">Einstellungen!$B$5+INT((ROW()-9)/24)</f>
        <v>46688</v>
      </c>
      <c r="B17352" s="11" t="n">
        <f aca="false">MOD(ROW()-9,24)</f>
        <v>15</v>
      </c>
      <c r="C17352" s="12"/>
      <c r="D17352" s="13" t="n">
        <f aca="false">IF(B17352&lt;5,Einstellungen!$B$3,Einstellungen!$B$4)</f>
        <v>29.13</v>
      </c>
      <c r="E17352" s="14" t="str">
        <f aca="false">IF(C17352="","",C17352*D17352/100)</f>
        <v/>
      </c>
      <c r="F17352" s="15" t="str">
        <f aca="false">IF(B17352&lt;5,"Go","Standard")</f>
        <v>Standard</v>
      </c>
    </row>
    <row r="17353" customFormat="false" ht="15" hidden="false" customHeight="true" outlineLevel="0" collapsed="false">
      <c r="A17353" s="10" t="n">
        <f aca="false">Einstellungen!$B$5+INT((ROW()-9)/24)</f>
        <v>46688</v>
      </c>
      <c r="B17353" s="11" t="n">
        <f aca="false">MOD(ROW()-9,24)</f>
        <v>16</v>
      </c>
      <c r="C17353" s="12"/>
      <c r="D17353" s="13" t="n">
        <f aca="false">IF(B17353&lt;5,Einstellungen!$B$3,Einstellungen!$B$4)</f>
        <v>29.13</v>
      </c>
      <c r="E17353" s="14" t="str">
        <f aca="false">IF(C17353="","",C17353*D17353/100)</f>
        <v/>
      </c>
      <c r="F17353" s="15" t="str">
        <f aca="false">IF(B17353&lt;5,"Go","Standard")</f>
        <v>Standard</v>
      </c>
    </row>
    <row r="17354" customFormat="false" ht="15" hidden="false" customHeight="true" outlineLevel="0" collapsed="false">
      <c r="A17354" s="10" t="n">
        <f aca="false">Einstellungen!$B$5+INT((ROW()-9)/24)</f>
        <v>46688</v>
      </c>
      <c r="B17354" s="11" t="n">
        <f aca="false">MOD(ROW()-9,24)</f>
        <v>17</v>
      </c>
      <c r="C17354" s="12"/>
      <c r="D17354" s="13" t="n">
        <f aca="false">IF(B17354&lt;5,Einstellungen!$B$3,Einstellungen!$B$4)</f>
        <v>29.13</v>
      </c>
      <c r="E17354" s="14" t="str">
        <f aca="false">IF(C17354="","",C17354*D17354/100)</f>
        <v/>
      </c>
      <c r="F17354" s="15" t="str">
        <f aca="false">IF(B17354&lt;5,"Go","Standard")</f>
        <v>Standard</v>
      </c>
    </row>
    <row r="17355" customFormat="false" ht="15" hidden="false" customHeight="true" outlineLevel="0" collapsed="false">
      <c r="A17355" s="10" t="n">
        <f aca="false">Einstellungen!$B$5+INT((ROW()-9)/24)</f>
        <v>46688</v>
      </c>
      <c r="B17355" s="11" t="n">
        <f aca="false">MOD(ROW()-9,24)</f>
        <v>18</v>
      </c>
      <c r="C17355" s="12"/>
      <c r="D17355" s="13" t="n">
        <f aca="false">IF(B17355&lt;5,Einstellungen!$B$3,Einstellungen!$B$4)</f>
        <v>29.13</v>
      </c>
      <c r="E17355" s="14" t="str">
        <f aca="false">IF(C17355="","",C17355*D17355/100)</f>
        <v/>
      </c>
      <c r="F17355" s="15" t="str">
        <f aca="false">IF(B17355&lt;5,"Go","Standard")</f>
        <v>Standard</v>
      </c>
    </row>
    <row r="17356" customFormat="false" ht="15" hidden="false" customHeight="true" outlineLevel="0" collapsed="false">
      <c r="A17356" s="10" t="n">
        <f aca="false">Einstellungen!$B$5+INT((ROW()-9)/24)</f>
        <v>46688</v>
      </c>
      <c r="B17356" s="11" t="n">
        <f aca="false">MOD(ROW()-9,24)</f>
        <v>19</v>
      </c>
      <c r="C17356" s="12"/>
      <c r="D17356" s="13" t="n">
        <f aca="false">IF(B17356&lt;5,Einstellungen!$B$3,Einstellungen!$B$4)</f>
        <v>29.13</v>
      </c>
      <c r="E17356" s="14" t="str">
        <f aca="false">IF(C17356="","",C17356*D17356/100)</f>
        <v/>
      </c>
      <c r="F17356" s="15" t="str">
        <f aca="false">IF(B17356&lt;5,"Go","Standard")</f>
        <v>Standard</v>
      </c>
    </row>
    <row r="17357" customFormat="false" ht="15" hidden="false" customHeight="true" outlineLevel="0" collapsed="false">
      <c r="A17357" s="10" t="n">
        <f aca="false">Einstellungen!$B$5+INT((ROW()-9)/24)</f>
        <v>46688</v>
      </c>
      <c r="B17357" s="11" t="n">
        <f aca="false">MOD(ROW()-9,24)</f>
        <v>20</v>
      </c>
      <c r="C17357" s="12"/>
      <c r="D17357" s="13" t="n">
        <f aca="false">IF(B17357&lt;5,Einstellungen!$B$3,Einstellungen!$B$4)</f>
        <v>29.13</v>
      </c>
      <c r="E17357" s="14" t="str">
        <f aca="false">IF(C17357="","",C17357*D17357/100)</f>
        <v/>
      </c>
      <c r="F17357" s="15" t="str">
        <f aca="false">IF(B17357&lt;5,"Go","Standard")</f>
        <v>Standard</v>
      </c>
    </row>
    <row r="17358" customFormat="false" ht="15" hidden="false" customHeight="true" outlineLevel="0" collapsed="false">
      <c r="A17358" s="10" t="n">
        <f aca="false">Einstellungen!$B$5+INT((ROW()-9)/24)</f>
        <v>46688</v>
      </c>
      <c r="B17358" s="11" t="n">
        <f aca="false">MOD(ROW()-9,24)</f>
        <v>21</v>
      </c>
      <c r="C17358" s="12"/>
      <c r="D17358" s="13" t="n">
        <f aca="false">IF(B17358&lt;5,Einstellungen!$B$3,Einstellungen!$B$4)</f>
        <v>29.13</v>
      </c>
      <c r="E17358" s="14" t="str">
        <f aca="false">IF(C17358="","",C17358*D17358/100)</f>
        <v/>
      </c>
      <c r="F17358" s="15" t="str">
        <f aca="false">IF(B17358&lt;5,"Go","Standard")</f>
        <v>Standard</v>
      </c>
    </row>
    <row r="17359" customFormat="false" ht="15" hidden="false" customHeight="true" outlineLevel="0" collapsed="false">
      <c r="A17359" s="10" t="n">
        <f aca="false">Einstellungen!$B$5+INT((ROW()-9)/24)</f>
        <v>46688</v>
      </c>
      <c r="B17359" s="11" t="n">
        <f aca="false">MOD(ROW()-9,24)</f>
        <v>22</v>
      </c>
      <c r="C17359" s="12"/>
      <c r="D17359" s="13" t="n">
        <f aca="false">IF(B17359&lt;5,Einstellungen!$B$3,Einstellungen!$B$4)</f>
        <v>29.13</v>
      </c>
      <c r="E17359" s="14" t="str">
        <f aca="false">IF(C17359="","",C17359*D17359/100)</f>
        <v/>
      </c>
      <c r="F17359" s="15" t="str">
        <f aca="false">IF(B17359&lt;5,"Go","Standard")</f>
        <v>Standard</v>
      </c>
    </row>
    <row r="17360" customFormat="false" ht="15" hidden="false" customHeight="true" outlineLevel="0" collapsed="false">
      <c r="A17360" s="10" t="n">
        <f aca="false">Einstellungen!$B$5+INT((ROW()-9)/24)</f>
        <v>46688</v>
      </c>
      <c r="B17360" s="11" t="n">
        <f aca="false">MOD(ROW()-9,24)</f>
        <v>23</v>
      </c>
      <c r="C17360" s="12"/>
      <c r="D17360" s="13" t="n">
        <f aca="false">IF(B17360&lt;5,Einstellungen!$B$3,Einstellungen!$B$4)</f>
        <v>29.13</v>
      </c>
      <c r="E17360" s="14" t="str">
        <f aca="false">IF(C17360="","",C17360*D17360/100)</f>
        <v/>
      </c>
      <c r="F17360" s="15" t="str">
        <f aca="false">IF(B17360&lt;5,"Go","Standard")</f>
        <v>Standard</v>
      </c>
    </row>
    <row r="17361" customFormat="false" ht="15" hidden="false" customHeight="true" outlineLevel="0" collapsed="false">
      <c r="A17361" s="10" t="n">
        <f aca="false">Einstellungen!$B$5+INT((ROW()-9)/24)</f>
        <v>46689</v>
      </c>
      <c r="B17361" s="11" t="n">
        <f aca="false">MOD(ROW()-9,24)</f>
        <v>0</v>
      </c>
      <c r="C17361" s="12"/>
      <c r="D17361" s="13" t="n">
        <f aca="false">IF(B17361&lt;5,Einstellungen!$B$3,Einstellungen!$B$4)</f>
        <v>15.92</v>
      </c>
      <c r="E17361" s="14" t="str">
        <f aca="false">IF(C17361="","",C17361*D17361/100)</f>
        <v/>
      </c>
      <c r="F17361" s="15" t="str">
        <f aca="false">IF(B17361&lt;5,"Go","Standard")</f>
        <v>Go</v>
      </c>
    </row>
    <row r="17362" customFormat="false" ht="15" hidden="false" customHeight="true" outlineLevel="0" collapsed="false">
      <c r="A17362" s="10" t="n">
        <f aca="false">Einstellungen!$B$5+INT((ROW()-9)/24)</f>
        <v>46689</v>
      </c>
      <c r="B17362" s="11" t="n">
        <f aca="false">MOD(ROW()-9,24)</f>
        <v>1</v>
      </c>
      <c r="C17362" s="12"/>
      <c r="D17362" s="13" t="n">
        <f aca="false">IF(B17362&lt;5,Einstellungen!$B$3,Einstellungen!$B$4)</f>
        <v>15.92</v>
      </c>
      <c r="E17362" s="14" t="str">
        <f aca="false">IF(C17362="","",C17362*D17362/100)</f>
        <v/>
      </c>
      <c r="F17362" s="15" t="str">
        <f aca="false">IF(B17362&lt;5,"Go","Standard")</f>
        <v>Go</v>
      </c>
    </row>
    <row r="17363" customFormat="false" ht="15" hidden="false" customHeight="true" outlineLevel="0" collapsed="false">
      <c r="A17363" s="10" t="n">
        <f aca="false">Einstellungen!$B$5+INT((ROW()-9)/24)</f>
        <v>46689</v>
      </c>
      <c r="B17363" s="11" t="n">
        <f aca="false">MOD(ROW()-9,24)</f>
        <v>2</v>
      </c>
      <c r="C17363" s="12"/>
      <c r="D17363" s="13" t="n">
        <f aca="false">IF(B17363&lt;5,Einstellungen!$B$3,Einstellungen!$B$4)</f>
        <v>15.92</v>
      </c>
      <c r="E17363" s="14" t="str">
        <f aca="false">IF(C17363="","",C17363*D17363/100)</f>
        <v/>
      </c>
      <c r="F17363" s="15" t="str">
        <f aca="false">IF(B17363&lt;5,"Go","Standard")</f>
        <v>Go</v>
      </c>
    </row>
    <row r="17364" customFormat="false" ht="15" hidden="false" customHeight="true" outlineLevel="0" collapsed="false">
      <c r="A17364" s="10" t="n">
        <f aca="false">Einstellungen!$B$5+INT((ROW()-9)/24)</f>
        <v>46689</v>
      </c>
      <c r="B17364" s="11" t="n">
        <f aca="false">MOD(ROW()-9,24)</f>
        <v>3</v>
      </c>
      <c r="C17364" s="12"/>
      <c r="D17364" s="13" t="n">
        <f aca="false">IF(B17364&lt;5,Einstellungen!$B$3,Einstellungen!$B$4)</f>
        <v>15.92</v>
      </c>
      <c r="E17364" s="14" t="str">
        <f aca="false">IF(C17364="","",C17364*D17364/100)</f>
        <v/>
      </c>
      <c r="F17364" s="15" t="str">
        <f aca="false">IF(B17364&lt;5,"Go","Standard")</f>
        <v>Go</v>
      </c>
    </row>
    <row r="17365" customFormat="false" ht="15" hidden="false" customHeight="true" outlineLevel="0" collapsed="false">
      <c r="A17365" s="10" t="n">
        <f aca="false">Einstellungen!$B$5+INT((ROW()-9)/24)</f>
        <v>46689</v>
      </c>
      <c r="B17365" s="11" t="n">
        <f aca="false">MOD(ROW()-9,24)</f>
        <v>4</v>
      </c>
      <c r="C17365" s="12"/>
      <c r="D17365" s="13" t="n">
        <f aca="false">IF(B17365&lt;5,Einstellungen!$B$3,Einstellungen!$B$4)</f>
        <v>15.92</v>
      </c>
      <c r="E17365" s="14" t="str">
        <f aca="false">IF(C17365="","",C17365*D17365/100)</f>
        <v/>
      </c>
      <c r="F17365" s="15" t="str">
        <f aca="false">IF(B17365&lt;5,"Go","Standard")</f>
        <v>Go</v>
      </c>
    </row>
    <row r="17366" customFormat="false" ht="15" hidden="false" customHeight="true" outlineLevel="0" collapsed="false">
      <c r="A17366" s="10" t="n">
        <f aca="false">Einstellungen!$B$5+INT((ROW()-9)/24)</f>
        <v>46689</v>
      </c>
      <c r="B17366" s="11" t="n">
        <f aca="false">MOD(ROW()-9,24)</f>
        <v>5</v>
      </c>
      <c r="C17366" s="12"/>
      <c r="D17366" s="13" t="n">
        <f aca="false">IF(B17366&lt;5,Einstellungen!$B$3,Einstellungen!$B$4)</f>
        <v>29.13</v>
      </c>
      <c r="E17366" s="14" t="str">
        <f aca="false">IF(C17366="","",C17366*D17366/100)</f>
        <v/>
      </c>
      <c r="F17366" s="15" t="str">
        <f aca="false">IF(B17366&lt;5,"Go","Standard")</f>
        <v>Standard</v>
      </c>
    </row>
    <row r="17367" customFormat="false" ht="15" hidden="false" customHeight="true" outlineLevel="0" collapsed="false">
      <c r="A17367" s="10" t="n">
        <f aca="false">Einstellungen!$B$5+INT((ROW()-9)/24)</f>
        <v>46689</v>
      </c>
      <c r="B17367" s="11" t="n">
        <f aca="false">MOD(ROW()-9,24)</f>
        <v>6</v>
      </c>
      <c r="C17367" s="12"/>
      <c r="D17367" s="13" t="n">
        <f aca="false">IF(B17367&lt;5,Einstellungen!$B$3,Einstellungen!$B$4)</f>
        <v>29.13</v>
      </c>
      <c r="E17367" s="14" t="str">
        <f aca="false">IF(C17367="","",C17367*D17367/100)</f>
        <v/>
      </c>
      <c r="F17367" s="15" t="str">
        <f aca="false">IF(B17367&lt;5,"Go","Standard")</f>
        <v>Standard</v>
      </c>
    </row>
    <row r="17368" customFormat="false" ht="15" hidden="false" customHeight="true" outlineLevel="0" collapsed="false">
      <c r="A17368" s="10" t="n">
        <f aca="false">Einstellungen!$B$5+INT((ROW()-9)/24)</f>
        <v>46689</v>
      </c>
      <c r="B17368" s="11" t="n">
        <f aca="false">MOD(ROW()-9,24)</f>
        <v>7</v>
      </c>
      <c r="C17368" s="12"/>
      <c r="D17368" s="13" t="n">
        <f aca="false">IF(B17368&lt;5,Einstellungen!$B$3,Einstellungen!$B$4)</f>
        <v>29.13</v>
      </c>
      <c r="E17368" s="14" t="str">
        <f aca="false">IF(C17368="","",C17368*D17368/100)</f>
        <v/>
      </c>
      <c r="F17368" s="15" t="str">
        <f aca="false">IF(B17368&lt;5,"Go","Standard")</f>
        <v>Standard</v>
      </c>
    </row>
    <row r="17369" customFormat="false" ht="15" hidden="false" customHeight="true" outlineLevel="0" collapsed="false">
      <c r="A17369" s="10" t="n">
        <f aca="false">Einstellungen!$B$5+INT((ROW()-9)/24)</f>
        <v>46689</v>
      </c>
      <c r="B17369" s="11" t="n">
        <f aca="false">MOD(ROW()-9,24)</f>
        <v>8</v>
      </c>
      <c r="C17369" s="12"/>
      <c r="D17369" s="13" t="n">
        <f aca="false">IF(B17369&lt;5,Einstellungen!$B$3,Einstellungen!$B$4)</f>
        <v>29.13</v>
      </c>
      <c r="E17369" s="14" t="str">
        <f aca="false">IF(C17369="","",C17369*D17369/100)</f>
        <v/>
      </c>
      <c r="F17369" s="15" t="str">
        <f aca="false">IF(B17369&lt;5,"Go","Standard")</f>
        <v>Standard</v>
      </c>
    </row>
    <row r="17370" customFormat="false" ht="15" hidden="false" customHeight="true" outlineLevel="0" collapsed="false">
      <c r="A17370" s="10" t="n">
        <f aca="false">Einstellungen!$B$5+INT((ROW()-9)/24)</f>
        <v>46689</v>
      </c>
      <c r="B17370" s="11" t="n">
        <f aca="false">MOD(ROW()-9,24)</f>
        <v>9</v>
      </c>
      <c r="C17370" s="12"/>
      <c r="D17370" s="13" t="n">
        <f aca="false">IF(B17370&lt;5,Einstellungen!$B$3,Einstellungen!$B$4)</f>
        <v>29.13</v>
      </c>
      <c r="E17370" s="14" t="str">
        <f aca="false">IF(C17370="","",C17370*D17370/100)</f>
        <v/>
      </c>
      <c r="F17370" s="15" t="str">
        <f aca="false">IF(B17370&lt;5,"Go","Standard")</f>
        <v>Standard</v>
      </c>
    </row>
    <row r="17371" customFormat="false" ht="15" hidden="false" customHeight="true" outlineLevel="0" collapsed="false">
      <c r="A17371" s="10" t="n">
        <f aca="false">Einstellungen!$B$5+INT((ROW()-9)/24)</f>
        <v>46689</v>
      </c>
      <c r="B17371" s="11" t="n">
        <f aca="false">MOD(ROW()-9,24)</f>
        <v>10</v>
      </c>
      <c r="C17371" s="12"/>
      <c r="D17371" s="13" t="n">
        <f aca="false">IF(B17371&lt;5,Einstellungen!$B$3,Einstellungen!$B$4)</f>
        <v>29.13</v>
      </c>
      <c r="E17371" s="14" t="str">
        <f aca="false">IF(C17371="","",C17371*D17371/100)</f>
        <v/>
      </c>
      <c r="F17371" s="15" t="str">
        <f aca="false">IF(B17371&lt;5,"Go","Standard")</f>
        <v>Standard</v>
      </c>
    </row>
    <row r="17372" customFormat="false" ht="15" hidden="false" customHeight="true" outlineLevel="0" collapsed="false">
      <c r="A17372" s="10" t="n">
        <f aca="false">Einstellungen!$B$5+INT((ROW()-9)/24)</f>
        <v>46689</v>
      </c>
      <c r="B17372" s="11" t="n">
        <f aca="false">MOD(ROW()-9,24)</f>
        <v>11</v>
      </c>
      <c r="C17372" s="12"/>
      <c r="D17372" s="13" t="n">
        <f aca="false">IF(B17372&lt;5,Einstellungen!$B$3,Einstellungen!$B$4)</f>
        <v>29.13</v>
      </c>
      <c r="E17372" s="14" t="str">
        <f aca="false">IF(C17372="","",C17372*D17372/100)</f>
        <v/>
      </c>
      <c r="F17372" s="15" t="str">
        <f aca="false">IF(B17372&lt;5,"Go","Standard")</f>
        <v>Standard</v>
      </c>
    </row>
    <row r="17373" customFormat="false" ht="15" hidden="false" customHeight="true" outlineLevel="0" collapsed="false">
      <c r="A17373" s="10" t="n">
        <f aca="false">Einstellungen!$B$5+INT((ROW()-9)/24)</f>
        <v>46689</v>
      </c>
      <c r="B17373" s="11" t="n">
        <f aca="false">MOD(ROW()-9,24)</f>
        <v>12</v>
      </c>
      <c r="C17373" s="12"/>
      <c r="D17373" s="13" t="n">
        <f aca="false">IF(B17373&lt;5,Einstellungen!$B$3,Einstellungen!$B$4)</f>
        <v>29.13</v>
      </c>
      <c r="E17373" s="14" t="str">
        <f aca="false">IF(C17373="","",C17373*D17373/100)</f>
        <v/>
      </c>
      <c r="F17373" s="15" t="str">
        <f aca="false">IF(B17373&lt;5,"Go","Standard")</f>
        <v>Standard</v>
      </c>
    </row>
    <row r="17374" customFormat="false" ht="15" hidden="false" customHeight="true" outlineLevel="0" collapsed="false">
      <c r="A17374" s="10" t="n">
        <f aca="false">Einstellungen!$B$5+INT((ROW()-9)/24)</f>
        <v>46689</v>
      </c>
      <c r="B17374" s="11" t="n">
        <f aca="false">MOD(ROW()-9,24)</f>
        <v>13</v>
      </c>
      <c r="C17374" s="12"/>
      <c r="D17374" s="13" t="n">
        <f aca="false">IF(B17374&lt;5,Einstellungen!$B$3,Einstellungen!$B$4)</f>
        <v>29.13</v>
      </c>
      <c r="E17374" s="14" t="str">
        <f aca="false">IF(C17374="","",C17374*D17374/100)</f>
        <v/>
      </c>
      <c r="F17374" s="15" t="str">
        <f aca="false">IF(B17374&lt;5,"Go","Standard")</f>
        <v>Standard</v>
      </c>
    </row>
    <row r="17375" customFormat="false" ht="15" hidden="false" customHeight="true" outlineLevel="0" collapsed="false">
      <c r="A17375" s="10" t="n">
        <f aca="false">Einstellungen!$B$5+INT((ROW()-9)/24)</f>
        <v>46689</v>
      </c>
      <c r="B17375" s="11" t="n">
        <f aca="false">MOD(ROW()-9,24)</f>
        <v>14</v>
      </c>
      <c r="C17375" s="12"/>
      <c r="D17375" s="13" t="n">
        <f aca="false">IF(B17375&lt;5,Einstellungen!$B$3,Einstellungen!$B$4)</f>
        <v>29.13</v>
      </c>
      <c r="E17375" s="14" t="str">
        <f aca="false">IF(C17375="","",C17375*D17375/100)</f>
        <v/>
      </c>
      <c r="F17375" s="15" t="str">
        <f aca="false">IF(B17375&lt;5,"Go","Standard")</f>
        <v>Standard</v>
      </c>
    </row>
    <row r="17376" customFormat="false" ht="15" hidden="false" customHeight="true" outlineLevel="0" collapsed="false">
      <c r="A17376" s="10" t="n">
        <f aca="false">Einstellungen!$B$5+INT((ROW()-9)/24)</f>
        <v>46689</v>
      </c>
      <c r="B17376" s="11" t="n">
        <f aca="false">MOD(ROW()-9,24)</f>
        <v>15</v>
      </c>
      <c r="C17376" s="12"/>
      <c r="D17376" s="13" t="n">
        <f aca="false">IF(B17376&lt;5,Einstellungen!$B$3,Einstellungen!$B$4)</f>
        <v>29.13</v>
      </c>
      <c r="E17376" s="14" t="str">
        <f aca="false">IF(C17376="","",C17376*D17376/100)</f>
        <v/>
      </c>
      <c r="F17376" s="15" t="str">
        <f aca="false">IF(B17376&lt;5,"Go","Standard")</f>
        <v>Standard</v>
      </c>
    </row>
    <row r="17377" customFormat="false" ht="15" hidden="false" customHeight="true" outlineLevel="0" collapsed="false">
      <c r="A17377" s="10" t="n">
        <f aca="false">Einstellungen!$B$5+INT((ROW()-9)/24)</f>
        <v>46689</v>
      </c>
      <c r="B17377" s="11" t="n">
        <f aca="false">MOD(ROW()-9,24)</f>
        <v>16</v>
      </c>
      <c r="C17377" s="12"/>
      <c r="D17377" s="13" t="n">
        <f aca="false">IF(B17377&lt;5,Einstellungen!$B$3,Einstellungen!$B$4)</f>
        <v>29.13</v>
      </c>
      <c r="E17377" s="14" t="str">
        <f aca="false">IF(C17377="","",C17377*D17377/100)</f>
        <v/>
      </c>
      <c r="F17377" s="15" t="str">
        <f aca="false">IF(B17377&lt;5,"Go","Standard")</f>
        <v>Standard</v>
      </c>
    </row>
    <row r="17378" customFormat="false" ht="15" hidden="false" customHeight="true" outlineLevel="0" collapsed="false">
      <c r="A17378" s="10" t="n">
        <f aca="false">Einstellungen!$B$5+INT((ROW()-9)/24)</f>
        <v>46689</v>
      </c>
      <c r="B17378" s="11" t="n">
        <f aca="false">MOD(ROW()-9,24)</f>
        <v>17</v>
      </c>
      <c r="C17378" s="12"/>
      <c r="D17378" s="13" t="n">
        <f aca="false">IF(B17378&lt;5,Einstellungen!$B$3,Einstellungen!$B$4)</f>
        <v>29.13</v>
      </c>
      <c r="E17378" s="14" t="str">
        <f aca="false">IF(C17378="","",C17378*D17378/100)</f>
        <v/>
      </c>
      <c r="F17378" s="15" t="str">
        <f aca="false">IF(B17378&lt;5,"Go","Standard")</f>
        <v>Standard</v>
      </c>
    </row>
    <row r="17379" customFormat="false" ht="15" hidden="false" customHeight="true" outlineLevel="0" collapsed="false">
      <c r="A17379" s="10" t="n">
        <f aca="false">Einstellungen!$B$5+INT((ROW()-9)/24)</f>
        <v>46689</v>
      </c>
      <c r="B17379" s="11" t="n">
        <f aca="false">MOD(ROW()-9,24)</f>
        <v>18</v>
      </c>
      <c r="C17379" s="12"/>
      <c r="D17379" s="13" t="n">
        <f aca="false">IF(B17379&lt;5,Einstellungen!$B$3,Einstellungen!$B$4)</f>
        <v>29.13</v>
      </c>
      <c r="E17379" s="14" t="str">
        <f aca="false">IF(C17379="","",C17379*D17379/100)</f>
        <v/>
      </c>
      <c r="F17379" s="15" t="str">
        <f aca="false">IF(B17379&lt;5,"Go","Standard")</f>
        <v>Standard</v>
      </c>
    </row>
    <row r="17380" customFormat="false" ht="15" hidden="false" customHeight="true" outlineLevel="0" collapsed="false">
      <c r="A17380" s="10" t="n">
        <f aca="false">Einstellungen!$B$5+INT((ROW()-9)/24)</f>
        <v>46689</v>
      </c>
      <c r="B17380" s="11" t="n">
        <f aca="false">MOD(ROW()-9,24)</f>
        <v>19</v>
      </c>
      <c r="C17380" s="12"/>
      <c r="D17380" s="13" t="n">
        <f aca="false">IF(B17380&lt;5,Einstellungen!$B$3,Einstellungen!$B$4)</f>
        <v>29.13</v>
      </c>
      <c r="E17380" s="14" t="str">
        <f aca="false">IF(C17380="","",C17380*D17380/100)</f>
        <v/>
      </c>
      <c r="F17380" s="15" t="str">
        <f aca="false">IF(B17380&lt;5,"Go","Standard")</f>
        <v>Standard</v>
      </c>
    </row>
    <row r="17381" customFormat="false" ht="15" hidden="false" customHeight="true" outlineLevel="0" collapsed="false">
      <c r="A17381" s="10" t="n">
        <f aca="false">Einstellungen!$B$5+INT((ROW()-9)/24)</f>
        <v>46689</v>
      </c>
      <c r="B17381" s="11" t="n">
        <f aca="false">MOD(ROW()-9,24)</f>
        <v>20</v>
      </c>
      <c r="C17381" s="12"/>
      <c r="D17381" s="13" t="n">
        <f aca="false">IF(B17381&lt;5,Einstellungen!$B$3,Einstellungen!$B$4)</f>
        <v>29.13</v>
      </c>
      <c r="E17381" s="14" t="str">
        <f aca="false">IF(C17381="","",C17381*D17381/100)</f>
        <v/>
      </c>
      <c r="F17381" s="15" t="str">
        <f aca="false">IF(B17381&lt;5,"Go","Standard")</f>
        <v>Standard</v>
      </c>
    </row>
    <row r="17382" customFormat="false" ht="15" hidden="false" customHeight="true" outlineLevel="0" collapsed="false">
      <c r="A17382" s="10" t="n">
        <f aca="false">Einstellungen!$B$5+INT((ROW()-9)/24)</f>
        <v>46689</v>
      </c>
      <c r="B17382" s="11" t="n">
        <f aca="false">MOD(ROW()-9,24)</f>
        <v>21</v>
      </c>
      <c r="C17382" s="12"/>
      <c r="D17382" s="13" t="n">
        <f aca="false">IF(B17382&lt;5,Einstellungen!$B$3,Einstellungen!$B$4)</f>
        <v>29.13</v>
      </c>
      <c r="E17382" s="14" t="str">
        <f aca="false">IF(C17382="","",C17382*D17382/100)</f>
        <v/>
      </c>
      <c r="F17382" s="15" t="str">
        <f aca="false">IF(B17382&lt;5,"Go","Standard")</f>
        <v>Standard</v>
      </c>
    </row>
    <row r="17383" customFormat="false" ht="15" hidden="false" customHeight="true" outlineLevel="0" collapsed="false">
      <c r="A17383" s="10" t="n">
        <f aca="false">Einstellungen!$B$5+INT((ROW()-9)/24)</f>
        <v>46689</v>
      </c>
      <c r="B17383" s="11" t="n">
        <f aca="false">MOD(ROW()-9,24)</f>
        <v>22</v>
      </c>
      <c r="C17383" s="12"/>
      <c r="D17383" s="13" t="n">
        <f aca="false">IF(B17383&lt;5,Einstellungen!$B$3,Einstellungen!$B$4)</f>
        <v>29.13</v>
      </c>
      <c r="E17383" s="14" t="str">
        <f aca="false">IF(C17383="","",C17383*D17383/100)</f>
        <v/>
      </c>
      <c r="F17383" s="15" t="str">
        <f aca="false">IF(B17383&lt;5,"Go","Standard")</f>
        <v>Standard</v>
      </c>
    </row>
    <row r="17384" customFormat="false" ht="15" hidden="false" customHeight="true" outlineLevel="0" collapsed="false">
      <c r="A17384" s="10" t="n">
        <f aca="false">Einstellungen!$B$5+INT((ROW()-9)/24)</f>
        <v>46689</v>
      </c>
      <c r="B17384" s="11" t="n">
        <f aca="false">MOD(ROW()-9,24)</f>
        <v>23</v>
      </c>
      <c r="C17384" s="12"/>
      <c r="D17384" s="13" t="n">
        <f aca="false">IF(B17384&lt;5,Einstellungen!$B$3,Einstellungen!$B$4)</f>
        <v>29.13</v>
      </c>
      <c r="E17384" s="14" t="str">
        <f aca="false">IF(C17384="","",C17384*D17384/100)</f>
        <v/>
      </c>
      <c r="F17384" s="15" t="str">
        <f aca="false">IF(B17384&lt;5,"Go","Standard")</f>
        <v>Standard</v>
      </c>
    </row>
    <row r="17385" customFormat="false" ht="15" hidden="false" customHeight="true" outlineLevel="0" collapsed="false">
      <c r="A17385" s="10" t="n">
        <f aca="false">Einstellungen!$B$5+INT((ROW()-9)/24)</f>
        <v>46690</v>
      </c>
      <c r="B17385" s="11" t="n">
        <f aca="false">MOD(ROW()-9,24)</f>
        <v>0</v>
      </c>
      <c r="C17385" s="12"/>
      <c r="D17385" s="13" t="n">
        <f aca="false">IF(B17385&lt;5,Einstellungen!$B$3,Einstellungen!$B$4)</f>
        <v>15.92</v>
      </c>
      <c r="E17385" s="14" t="str">
        <f aca="false">IF(C17385="","",C17385*D17385/100)</f>
        <v/>
      </c>
      <c r="F17385" s="15" t="str">
        <f aca="false">IF(B17385&lt;5,"Go","Standard")</f>
        <v>Go</v>
      </c>
    </row>
    <row r="17386" customFormat="false" ht="15" hidden="false" customHeight="true" outlineLevel="0" collapsed="false">
      <c r="A17386" s="10" t="n">
        <f aca="false">Einstellungen!$B$5+INT((ROW()-9)/24)</f>
        <v>46690</v>
      </c>
      <c r="B17386" s="11" t="n">
        <f aca="false">MOD(ROW()-9,24)</f>
        <v>1</v>
      </c>
      <c r="C17386" s="12"/>
      <c r="D17386" s="13" t="n">
        <f aca="false">IF(B17386&lt;5,Einstellungen!$B$3,Einstellungen!$B$4)</f>
        <v>15.92</v>
      </c>
      <c r="E17386" s="14" t="str">
        <f aca="false">IF(C17386="","",C17386*D17386/100)</f>
        <v/>
      </c>
      <c r="F17386" s="15" t="str">
        <f aca="false">IF(B17386&lt;5,"Go","Standard")</f>
        <v>Go</v>
      </c>
    </row>
    <row r="17387" customFormat="false" ht="15" hidden="false" customHeight="true" outlineLevel="0" collapsed="false">
      <c r="A17387" s="10" t="n">
        <f aca="false">Einstellungen!$B$5+INT((ROW()-9)/24)</f>
        <v>46690</v>
      </c>
      <c r="B17387" s="11" t="n">
        <f aca="false">MOD(ROW()-9,24)</f>
        <v>2</v>
      </c>
      <c r="C17387" s="12"/>
      <c r="D17387" s="13" t="n">
        <f aca="false">IF(B17387&lt;5,Einstellungen!$B$3,Einstellungen!$B$4)</f>
        <v>15.92</v>
      </c>
      <c r="E17387" s="14" t="str">
        <f aca="false">IF(C17387="","",C17387*D17387/100)</f>
        <v/>
      </c>
      <c r="F17387" s="15" t="str">
        <f aca="false">IF(B17387&lt;5,"Go","Standard")</f>
        <v>Go</v>
      </c>
    </row>
    <row r="17388" customFormat="false" ht="15" hidden="false" customHeight="true" outlineLevel="0" collapsed="false">
      <c r="A17388" s="10" t="n">
        <f aca="false">Einstellungen!$B$5+INT((ROW()-9)/24)</f>
        <v>46690</v>
      </c>
      <c r="B17388" s="11" t="n">
        <f aca="false">MOD(ROW()-9,24)</f>
        <v>3</v>
      </c>
      <c r="C17388" s="12"/>
      <c r="D17388" s="13" t="n">
        <f aca="false">IF(B17388&lt;5,Einstellungen!$B$3,Einstellungen!$B$4)</f>
        <v>15.92</v>
      </c>
      <c r="E17388" s="14" t="str">
        <f aca="false">IF(C17388="","",C17388*D17388/100)</f>
        <v/>
      </c>
      <c r="F17388" s="15" t="str">
        <f aca="false">IF(B17388&lt;5,"Go","Standard")</f>
        <v>Go</v>
      </c>
    </row>
    <row r="17389" customFormat="false" ht="15" hidden="false" customHeight="true" outlineLevel="0" collapsed="false">
      <c r="A17389" s="10" t="n">
        <f aca="false">Einstellungen!$B$5+INT((ROW()-9)/24)</f>
        <v>46690</v>
      </c>
      <c r="B17389" s="11" t="n">
        <f aca="false">MOD(ROW()-9,24)</f>
        <v>4</v>
      </c>
      <c r="C17389" s="12"/>
      <c r="D17389" s="13" t="n">
        <f aca="false">IF(B17389&lt;5,Einstellungen!$B$3,Einstellungen!$B$4)</f>
        <v>15.92</v>
      </c>
      <c r="E17389" s="14" t="str">
        <f aca="false">IF(C17389="","",C17389*D17389/100)</f>
        <v/>
      </c>
      <c r="F17389" s="15" t="str">
        <f aca="false">IF(B17389&lt;5,"Go","Standard")</f>
        <v>Go</v>
      </c>
    </row>
    <row r="17390" customFormat="false" ht="15" hidden="false" customHeight="true" outlineLevel="0" collapsed="false">
      <c r="A17390" s="10" t="n">
        <f aca="false">Einstellungen!$B$5+INT((ROW()-9)/24)</f>
        <v>46690</v>
      </c>
      <c r="B17390" s="11" t="n">
        <f aca="false">MOD(ROW()-9,24)</f>
        <v>5</v>
      </c>
      <c r="C17390" s="12"/>
      <c r="D17390" s="13" t="n">
        <f aca="false">IF(B17390&lt;5,Einstellungen!$B$3,Einstellungen!$B$4)</f>
        <v>29.13</v>
      </c>
      <c r="E17390" s="14" t="str">
        <f aca="false">IF(C17390="","",C17390*D17390/100)</f>
        <v/>
      </c>
      <c r="F17390" s="15" t="str">
        <f aca="false">IF(B17390&lt;5,"Go","Standard")</f>
        <v>Standard</v>
      </c>
    </row>
    <row r="17391" customFormat="false" ht="15" hidden="false" customHeight="true" outlineLevel="0" collapsed="false">
      <c r="A17391" s="10" t="n">
        <f aca="false">Einstellungen!$B$5+INT((ROW()-9)/24)</f>
        <v>46690</v>
      </c>
      <c r="B17391" s="11" t="n">
        <f aca="false">MOD(ROW()-9,24)</f>
        <v>6</v>
      </c>
      <c r="C17391" s="12"/>
      <c r="D17391" s="13" t="n">
        <f aca="false">IF(B17391&lt;5,Einstellungen!$B$3,Einstellungen!$B$4)</f>
        <v>29.13</v>
      </c>
      <c r="E17391" s="14" t="str">
        <f aca="false">IF(C17391="","",C17391*D17391/100)</f>
        <v/>
      </c>
      <c r="F17391" s="15" t="str">
        <f aca="false">IF(B17391&lt;5,"Go","Standard")</f>
        <v>Standard</v>
      </c>
    </row>
    <row r="17392" customFormat="false" ht="15" hidden="false" customHeight="true" outlineLevel="0" collapsed="false">
      <c r="A17392" s="10" t="n">
        <f aca="false">Einstellungen!$B$5+INT((ROW()-9)/24)</f>
        <v>46690</v>
      </c>
      <c r="B17392" s="11" t="n">
        <f aca="false">MOD(ROW()-9,24)</f>
        <v>7</v>
      </c>
      <c r="C17392" s="12"/>
      <c r="D17392" s="13" t="n">
        <f aca="false">IF(B17392&lt;5,Einstellungen!$B$3,Einstellungen!$B$4)</f>
        <v>29.13</v>
      </c>
      <c r="E17392" s="14" t="str">
        <f aca="false">IF(C17392="","",C17392*D17392/100)</f>
        <v/>
      </c>
      <c r="F17392" s="15" t="str">
        <f aca="false">IF(B17392&lt;5,"Go","Standard")</f>
        <v>Standard</v>
      </c>
    </row>
    <row r="17393" customFormat="false" ht="15" hidden="false" customHeight="true" outlineLevel="0" collapsed="false">
      <c r="A17393" s="10" t="n">
        <f aca="false">Einstellungen!$B$5+INT((ROW()-9)/24)</f>
        <v>46690</v>
      </c>
      <c r="B17393" s="11" t="n">
        <f aca="false">MOD(ROW()-9,24)</f>
        <v>8</v>
      </c>
      <c r="C17393" s="12"/>
      <c r="D17393" s="13" t="n">
        <f aca="false">IF(B17393&lt;5,Einstellungen!$B$3,Einstellungen!$B$4)</f>
        <v>29.13</v>
      </c>
      <c r="E17393" s="14" t="str">
        <f aca="false">IF(C17393="","",C17393*D17393/100)</f>
        <v/>
      </c>
      <c r="F17393" s="15" t="str">
        <f aca="false">IF(B17393&lt;5,"Go","Standard")</f>
        <v>Standard</v>
      </c>
    </row>
    <row r="17394" customFormat="false" ht="15" hidden="false" customHeight="true" outlineLevel="0" collapsed="false">
      <c r="A17394" s="10" t="n">
        <f aca="false">Einstellungen!$B$5+INT((ROW()-9)/24)</f>
        <v>46690</v>
      </c>
      <c r="B17394" s="11" t="n">
        <f aca="false">MOD(ROW()-9,24)</f>
        <v>9</v>
      </c>
      <c r="C17394" s="12"/>
      <c r="D17394" s="13" t="n">
        <f aca="false">IF(B17394&lt;5,Einstellungen!$B$3,Einstellungen!$B$4)</f>
        <v>29.13</v>
      </c>
      <c r="E17394" s="14" t="str">
        <f aca="false">IF(C17394="","",C17394*D17394/100)</f>
        <v/>
      </c>
      <c r="F17394" s="15" t="str">
        <f aca="false">IF(B17394&lt;5,"Go","Standard")</f>
        <v>Standard</v>
      </c>
    </row>
    <row r="17395" customFormat="false" ht="15" hidden="false" customHeight="true" outlineLevel="0" collapsed="false">
      <c r="A17395" s="10" t="n">
        <f aca="false">Einstellungen!$B$5+INT((ROW()-9)/24)</f>
        <v>46690</v>
      </c>
      <c r="B17395" s="11" t="n">
        <f aca="false">MOD(ROW()-9,24)</f>
        <v>10</v>
      </c>
      <c r="C17395" s="12"/>
      <c r="D17395" s="13" t="n">
        <f aca="false">IF(B17395&lt;5,Einstellungen!$B$3,Einstellungen!$B$4)</f>
        <v>29.13</v>
      </c>
      <c r="E17395" s="14" t="str">
        <f aca="false">IF(C17395="","",C17395*D17395/100)</f>
        <v/>
      </c>
      <c r="F17395" s="15" t="str">
        <f aca="false">IF(B17395&lt;5,"Go","Standard")</f>
        <v>Standard</v>
      </c>
    </row>
    <row r="17396" customFormat="false" ht="15" hidden="false" customHeight="true" outlineLevel="0" collapsed="false">
      <c r="A17396" s="10" t="n">
        <f aca="false">Einstellungen!$B$5+INT((ROW()-9)/24)</f>
        <v>46690</v>
      </c>
      <c r="B17396" s="11" t="n">
        <f aca="false">MOD(ROW()-9,24)</f>
        <v>11</v>
      </c>
      <c r="C17396" s="12"/>
      <c r="D17396" s="13" t="n">
        <f aca="false">IF(B17396&lt;5,Einstellungen!$B$3,Einstellungen!$B$4)</f>
        <v>29.13</v>
      </c>
      <c r="E17396" s="14" t="str">
        <f aca="false">IF(C17396="","",C17396*D17396/100)</f>
        <v/>
      </c>
      <c r="F17396" s="15" t="str">
        <f aca="false">IF(B17396&lt;5,"Go","Standard")</f>
        <v>Standard</v>
      </c>
    </row>
    <row r="17397" customFormat="false" ht="15" hidden="false" customHeight="true" outlineLevel="0" collapsed="false">
      <c r="A17397" s="10" t="n">
        <f aca="false">Einstellungen!$B$5+INT((ROW()-9)/24)</f>
        <v>46690</v>
      </c>
      <c r="B17397" s="11" t="n">
        <f aca="false">MOD(ROW()-9,24)</f>
        <v>12</v>
      </c>
      <c r="C17397" s="12"/>
      <c r="D17397" s="13" t="n">
        <f aca="false">IF(B17397&lt;5,Einstellungen!$B$3,Einstellungen!$B$4)</f>
        <v>29.13</v>
      </c>
      <c r="E17397" s="14" t="str">
        <f aca="false">IF(C17397="","",C17397*D17397/100)</f>
        <v/>
      </c>
      <c r="F17397" s="15" t="str">
        <f aca="false">IF(B17397&lt;5,"Go","Standard")</f>
        <v>Standard</v>
      </c>
    </row>
    <row r="17398" customFormat="false" ht="15" hidden="false" customHeight="true" outlineLevel="0" collapsed="false">
      <c r="A17398" s="10" t="n">
        <f aca="false">Einstellungen!$B$5+INT((ROW()-9)/24)</f>
        <v>46690</v>
      </c>
      <c r="B17398" s="11" t="n">
        <f aca="false">MOD(ROW()-9,24)</f>
        <v>13</v>
      </c>
      <c r="C17398" s="12"/>
      <c r="D17398" s="13" t="n">
        <f aca="false">IF(B17398&lt;5,Einstellungen!$B$3,Einstellungen!$B$4)</f>
        <v>29.13</v>
      </c>
      <c r="E17398" s="14" t="str">
        <f aca="false">IF(C17398="","",C17398*D17398/100)</f>
        <v/>
      </c>
      <c r="F17398" s="15" t="str">
        <f aca="false">IF(B17398&lt;5,"Go","Standard")</f>
        <v>Standard</v>
      </c>
    </row>
    <row r="17399" customFormat="false" ht="15" hidden="false" customHeight="true" outlineLevel="0" collapsed="false">
      <c r="A17399" s="10" t="n">
        <f aca="false">Einstellungen!$B$5+INT((ROW()-9)/24)</f>
        <v>46690</v>
      </c>
      <c r="B17399" s="11" t="n">
        <f aca="false">MOD(ROW()-9,24)</f>
        <v>14</v>
      </c>
      <c r="C17399" s="12"/>
      <c r="D17399" s="13" t="n">
        <f aca="false">IF(B17399&lt;5,Einstellungen!$B$3,Einstellungen!$B$4)</f>
        <v>29.13</v>
      </c>
      <c r="E17399" s="14" t="str">
        <f aca="false">IF(C17399="","",C17399*D17399/100)</f>
        <v/>
      </c>
      <c r="F17399" s="15" t="str">
        <f aca="false">IF(B17399&lt;5,"Go","Standard")</f>
        <v>Standard</v>
      </c>
    </row>
    <row r="17400" customFormat="false" ht="15" hidden="false" customHeight="true" outlineLevel="0" collapsed="false">
      <c r="A17400" s="10" t="n">
        <f aca="false">Einstellungen!$B$5+INT((ROW()-9)/24)</f>
        <v>46690</v>
      </c>
      <c r="B17400" s="11" t="n">
        <f aca="false">MOD(ROW()-9,24)</f>
        <v>15</v>
      </c>
      <c r="C17400" s="12"/>
      <c r="D17400" s="13" t="n">
        <f aca="false">IF(B17400&lt;5,Einstellungen!$B$3,Einstellungen!$B$4)</f>
        <v>29.13</v>
      </c>
      <c r="E17400" s="14" t="str">
        <f aca="false">IF(C17400="","",C17400*D17400/100)</f>
        <v/>
      </c>
      <c r="F17400" s="15" t="str">
        <f aca="false">IF(B17400&lt;5,"Go","Standard")</f>
        <v>Standard</v>
      </c>
    </row>
    <row r="17401" customFormat="false" ht="15" hidden="false" customHeight="true" outlineLevel="0" collapsed="false">
      <c r="A17401" s="10" t="n">
        <f aca="false">Einstellungen!$B$5+INT((ROW()-9)/24)</f>
        <v>46690</v>
      </c>
      <c r="B17401" s="11" t="n">
        <f aca="false">MOD(ROW()-9,24)</f>
        <v>16</v>
      </c>
      <c r="C17401" s="12"/>
      <c r="D17401" s="13" t="n">
        <f aca="false">IF(B17401&lt;5,Einstellungen!$B$3,Einstellungen!$B$4)</f>
        <v>29.13</v>
      </c>
      <c r="E17401" s="14" t="str">
        <f aca="false">IF(C17401="","",C17401*D17401/100)</f>
        <v/>
      </c>
      <c r="F17401" s="15" t="str">
        <f aca="false">IF(B17401&lt;5,"Go","Standard")</f>
        <v>Standard</v>
      </c>
    </row>
    <row r="17402" customFormat="false" ht="15" hidden="false" customHeight="true" outlineLevel="0" collapsed="false">
      <c r="A17402" s="10" t="n">
        <f aca="false">Einstellungen!$B$5+INT((ROW()-9)/24)</f>
        <v>46690</v>
      </c>
      <c r="B17402" s="11" t="n">
        <f aca="false">MOD(ROW()-9,24)</f>
        <v>17</v>
      </c>
      <c r="C17402" s="12"/>
      <c r="D17402" s="13" t="n">
        <f aca="false">IF(B17402&lt;5,Einstellungen!$B$3,Einstellungen!$B$4)</f>
        <v>29.13</v>
      </c>
      <c r="E17402" s="14" t="str">
        <f aca="false">IF(C17402="","",C17402*D17402/100)</f>
        <v/>
      </c>
      <c r="F17402" s="15" t="str">
        <f aca="false">IF(B17402&lt;5,"Go","Standard")</f>
        <v>Standard</v>
      </c>
    </row>
    <row r="17403" customFormat="false" ht="15" hidden="false" customHeight="true" outlineLevel="0" collapsed="false">
      <c r="A17403" s="10" t="n">
        <f aca="false">Einstellungen!$B$5+INT((ROW()-9)/24)</f>
        <v>46690</v>
      </c>
      <c r="B17403" s="11" t="n">
        <f aca="false">MOD(ROW()-9,24)</f>
        <v>18</v>
      </c>
      <c r="C17403" s="12"/>
      <c r="D17403" s="13" t="n">
        <f aca="false">IF(B17403&lt;5,Einstellungen!$B$3,Einstellungen!$B$4)</f>
        <v>29.13</v>
      </c>
      <c r="E17403" s="14" t="str">
        <f aca="false">IF(C17403="","",C17403*D17403/100)</f>
        <v/>
      </c>
      <c r="F17403" s="15" t="str">
        <f aca="false">IF(B17403&lt;5,"Go","Standard")</f>
        <v>Standard</v>
      </c>
    </row>
    <row r="17404" customFormat="false" ht="15" hidden="false" customHeight="true" outlineLevel="0" collapsed="false">
      <c r="A17404" s="10" t="n">
        <f aca="false">Einstellungen!$B$5+INT((ROW()-9)/24)</f>
        <v>46690</v>
      </c>
      <c r="B17404" s="11" t="n">
        <f aca="false">MOD(ROW()-9,24)</f>
        <v>19</v>
      </c>
      <c r="C17404" s="12"/>
      <c r="D17404" s="13" t="n">
        <f aca="false">IF(B17404&lt;5,Einstellungen!$B$3,Einstellungen!$B$4)</f>
        <v>29.13</v>
      </c>
      <c r="E17404" s="14" t="str">
        <f aca="false">IF(C17404="","",C17404*D17404/100)</f>
        <v/>
      </c>
      <c r="F17404" s="15" t="str">
        <f aca="false">IF(B17404&lt;5,"Go","Standard")</f>
        <v>Standard</v>
      </c>
    </row>
    <row r="17405" customFormat="false" ht="15" hidden="false" customHeight="true" outlineLevel="0" collapsed="false">
      <c r="A17405" s="10" t="n">
        <f aca="false">Einstellungen!$B$5+INT((ROW()-9)/24)</f>
        <v>46690</v>
      </c>
      <c r="B17405" s="11" t="n">
        <f aca="false">MOD(ROW()-9,24)</f>
        <v>20</v>
      </c>
      <c r="C17405" s="12"/>
      <c r="D17405" s="13" t="n">
        <f aca="false">IF(B17405&lt;5,Einstellungen!$B$3,Einstellungen!$B$4)</f>
        <v>29.13</v>
      </c>
      <c r="E17405" s="14" t="str">
        <f aca="false">IF(C17405="","",C17405*D17405/100)</f>
        <v/>
      </c>
      <c r="F17405" s="15" t="str">
        <f aca="false">IF(B17405&lt;5,"Go","Standard")</f>
        <v>Standard</v>
      </c>
    </row>
    <row r="17406" customFormat="false" ht="15" hidden="false" customHeight="true" outlineLevel="0" collapsed="false">
      <c r="A17406" s="10" t="n">
        <f aca="false">Einstellungen!$B$5+INT((ROW()-9)/24)</f>
        <v>46690</v>
      </c>
      <c r="B17406" s="11" t="n">
        <f aca="false">MOD(ROW()-9,24)</f>
        <v>21</v>
      </c>
      <c r="C17406" s="12"/>
      <c r="D17406" s="13" t="n">
        <f aca="false">IF(B17406&lt;5,Einstellungen!$B$3,Einstellungen!$B$4)</f>
        <v>29.13</v>
      </c>
      <c r="E17406" s="14" t="str">
        <f aca="false">IF(C17406="","",C17406*D17406/100)</f>
        <v/>
      </c>
      <c r="F17406" s="15" t="str">
        <f aca="false">IF(B17406&lt;5,"Go","Standard")</f>
        <v>Standard</v>
      </c>
    </row>
    <row r="17407" customFormat="false" ht="15" hidden="false" customHeight="true" outlineLevel="0" collapsed="false">
      <c r="A17407" s="10" t="n">
        <f aca="false">Einstellungen!$B$5+INT((ROW()-9)/24)</f>
        <v>46690</v>
      </c>
      <c r="B17407" s="11" t="n">
        <f aca="false">MOD(ROW()-9,24)</f>
        <v>22</v>
      </c>
      <c r="C17407" s="12"/>
      <c r="D17407" s="13" t="n">
        <f aca="false">IF(B17407&lt;5,Einstellungen!$B$3,Einstellungen!$B$4)</f>
        <v>29.13</v>
      </c>
      <c r="E17407" s="14" t="str">
        <f aca="false">IF(C17407="","",C17407*D17407/100)</f>
        <v/>
      </c>
      <c r="F17407" s="15" t="str">
        <f aca="false">IF(B17407&lt;5,"Go","Standard")</f>
        <v>Standard</v>
      </c>
    </row>
    <row r="17408" customFormat="false" ht="15" hidden="false" customHeight="true" outlineLevel="0" collapsed="false">
      <c r="A17408" s="10" t="n">
        <f aca="false">Einstellungen!$B$5+INT((ROW()-9)/24)</f>
        <v>46690</v>
      </c>
      <c r="B17408" s="11" t="n">
        <f aca="false">MOD(ROW()-9,24)</f>
        <v>23</v>
      </c>
      <c r="C17408" s="12"/>
      <c r="D17408" s="13" t="n">
        <f aca="false">IF(B17408&lt;5,Einstellungen!$B$3,Einstellungen!$B$4)</f>
        <v>29.13</v>
      </c>
      <c r="E17408" s="14" t="str">
        <f aca="false">IF(C17408="","",C17408*D17408/100)</f>
        <v/>
      </c>
      <c r="F17408" s="15" t="str">
        <f aca="false">IF(B17408&lt;5,"Go","Standard")</f>
        <v>Standard</v>
      </c>
    </row>
    <row r="17409" customFormat="false" ht="15" hidden="false" customHeight="true" outlineLevel="0" collapsed="false">
      <c r="A17409" s="10" t="n">
        <f aca="false">Einstellungen!$B$5+INT((ROW()-9)/24)</f>
        <v>46691</v>
      </c>
      <c r="B17409" s="11" t="n">
        <f aca="false">MOD(ROW()-9,24)</f>
        <v>0</v>
      </c>
      <c r="C17409" s="12"/>
      <c r="D17409" s="13" t="n">
        <f aca="false">IF(B17409&lt;5,Einstellungen!$B$3,Einstellungen!$B$4)</f>
        <v>15.92</v>
      </c>
      <c r="E17409" s="14" t="str">
        <f aca="false">IF(C17409="","",C17409*D17409/100)</f>
        <v/>
      </c>
      <c r="F17409" s="15" t="str">
        <f aca="false">IF(B17409&lt;5,"Go","Standard")</f>
        <v>Go</v>
      </c>
    </row>
    <row r="17410" customFormat="false" ht="15" hidden="false" customHeight="true" outlineLevel="0" collapsed="false">
      <c r="A17410" s="10" t="n">
        <f aca="false">Einstellungen!$B$5+INT((ROW()-9)/24)</f>
        <v>46691</v>
      </c>
      <c r="B17410" s="11" t="n">
        <f aca="false">MOD(ROW()-9,24)</f>
        <v>1</v>
      </c>
      <c r="C17410" s="12"/>
      <c r="D17410" s="13" t="n">
        <f aca="false">IF(B17410&lt;5,Einstellungen!$B$3,Einstellungen!$B$4)</f>
        <v>15.92</v>
      </c>
      <c r="E17410" s="14" t="str">
        <f aca="false">IF(C17410="","",C17410*D17410/100)</f>
        <v/>
      </c>
      <c r="F17410" s="15" t="str">
        <f aca="false">IF(B17410&lt;5,"Go","Standard")</f>
        <v>Go</v>
      </c>
    </row>
    <row r="17411" customFormat="false" ht="15" hidden="false" customHeight="true" outlineLevel="0" collapsed="false">
      <c r="A17411" s="10" t="n">
        <f aca="false">Einstellungen!$B$5+INT((ROW()-9)/24)</f>
        <v>46691</v>
      </c>
      <c r="B17411" s="11" t="n">
        <f aca="false">MOD(ROW()-9,24)</f>
        <v>2</v>
      </c>
      <c r="C17411" s="12"/>
      <c r="D17411" s="13" t="n">
        <f aca="false">IF(B17411&lt;5,Einstellungen!$B$3,Einstellungen!$B$4)</f>
        <v>15.92</v>
      </c>
      <c r="E17411" s="14" t="str">
        <f aca="false">IF(C17411="","",C17411*D17411/100)</f>
        <v/>
      </c>
      <c r="F17411" s="15" t="str">
        <f aca="false">IF(B17411&lt;5,"Go","Standard")</f>
        <v>Go</v>
      </c>
    </row>
    <row r="17412" customFormat="false" ht="15" hidden="false" customHeight="true" outlineLevel="0" collapsed="false">
      <c r="A17412" s="10" t="n">
        <f aca="false">Einstellungen!$B$5+INT((ROW()-9)/24)</f>
        <v>46691</v>
      </c>
      <c r="B17412" s="11" t="n">
        <f aca="false">MOD(ROW()-9,24)</f>
        <v>3</v>
      </c>
      <c r="C17412" s="12"/>
      <c r="D17412" s="13" t="n">
        <f aca="false">IF(B17412&lt;5,Einstellungen!$B$3,Einstellungen!$B$4)</f>
        <v>15.92</v>
      </c>
      <c r="E17412" s="14" t="str">
        <f aca="false">IF(C17412="","",C17412*D17412/100)</f>
        <v/>
      </c>
      <c r="F17412" s="15" t="str">
        <f aca="false">IF(B17412&lt;5,"Go","Standard")</f>
        <v>Go</v>
      </c>
    </row>
    <row r="17413" customFormat="false" ht="15" hidden="false" customHeight="true" outlineLevel="0" collapsed="false">
      <c r="A17413" s="10" t="n">
        <f aca="false">Einstellungen!$B$5+INT((ROW()-9)/24)</f>
        <v>46691</v>
      </c>
      <c r="B17413" s="11" t="n">
        <f aca="false">MOD(ROW()-9,24)</f>
        <v>4</v>
      </c>
      <c r="C17413" s="12"/>
      <c r="D17413" s="13" t="n">
        <f aca="false">IF(B17413&lt;5,Einstellungen!$B$3,Einstellungen!$B$4)</f>
        <v>15.92</v>
      </c>
      <c r="E17413" s="14" t="str">
        <f aca="false">IF(C17413="","",C17413*D17413/100)</f>
        <v/>
      </c>
      <c r="F17413" s="15" t="str">
        <f aca="false">IF(B17413&lt;5,"Go","Standard")</f>
        <v>Go</v>
      </c>
    </row>
    <row r="17414" customFormat="false" ht="15" hidden="false" customHeight="true" outlineLevel="0" collapsed="false">
      <c r="A17414" s="10" t="n">
        <f aca="false">Einstellungen!$B$5+INT((ROW()-9)/24)</f>
        <v>46691</v>
      </c>
      <c r="B17414" s="11" t="n">
        <f aca="false">MOD(ROW()-9,24)</f>
        <v>5</v>
      </c>
      <c r="C17414" s="12"/>
      <c r="D17414" s="13" t="n">
        <f aca="false">IF(B17414&lt;5,Einstellungen!$B$3,Einstellungen!$B$4)</f>
        <v>29.13</v>
      </c>
      <c r="E17414" s="14" t="str">
        <f aca="false">IF(C17414="","",C17414*D17414/100)</f>
        <v/>
      </c>
      <c r="F17414" s="15" t="str">
        <f aca="false">IF(B17414&lt;5,"Go","Standard")</f>
        <v>Standard</v>
      </c>
    </row>
    <row r="17415" customFormat="false" ht="15" hidden="false" customHeight="true" outlineLevel="0" collapsed="false">
      <c r="A17415" s="10" t="n">
        <f aca="false">Einstellungen!$B$5+INT((ROW()-9)/24)</f>
        <v>46691</v>
      </c>
      <c r="B17415" s="11" t="n">
        <f aca="false">MOD(ROW()-9,24)</f>
        <v>6</v>
      </c>
      <c r="C17415" s="12"/>
      <c r="D17415" s="13" t="n">
        <f aca="false">IF(B17415&lt;5,Einstellungen!$B$3,Einstellungen!$B$4)</f>
        <v>29.13</v>
      </c>
      <c r="E17415" s="14" t="str">
        <f aca="false">IF(C17415="","",C17415*D17415/100)</f>
        <v/>
      </c>
      <c r="F17415" s="15" t="str">
        <f aca="false">IF(B17415&lt;5,"Go","Standard")</f>
        <v>Standard</v>
      </c>
    </row>
    <row r="17416" customFormat="false" ht="15" hidden="false" customHeight="true" outlineLevel="0" collapsed="false">
      <c r="A17416" s="10" t="n">
        <f aca="false">Einstellungen!$B$5+INT((ROW()-9)/24)</f>
        <v>46691</v>
      </c>
      <c r="B17416" s="11" t="n">
        <f aca="false">MOD(ROW()-9,24)</f>
        <v>7</v>
      </c>
      <c r="C17416" s="12"/>
      <c r="D17416" s="13" t="n">
        <f aca="false">IF(B17416&lt;5,Einstellungen!$B$3,Einstellungen!$B$4)</f>
        <v>29.13</v>
      </c>
      <c r="E17416" s="14" t="str">
        <f aca="false">IF(C17416="","",C17416*D17416/100)</f>
        <v/>
      </c>
      <c r="F17416" s="15" t="str">
        <f aca="false">IF(B17416&lt;5,"Go","Standard")</f>
        <v>Standard</v>
      </c>
    </row>
    <row r="17417" customFormat="false" ht="15" hidden="false" customHeight="true" outlineLevel="0" collapsed="false">
      <c r="A17417" s="10" t="n">
        <f aca="false">Einstellungen!$B$5+INT((ROW()-9)/24)</f>
        <v>46691</v>
      </c>
      <c r="B17417" s="11" t="n">
        <f aca="false">MOD(ROW()-9,24)</f>
        <v>8</v>
      </c>
      <c r="C17417" s="12"/>
      <c r="D17417" s="13" t="n">
        <f aca="false">IF(B17417&lt;5,Einstellungen!$B$3,Einstellungen!$B$4)</f>
        <v>29.13</v>
      </c>
      <c r="E17417" s="14" t="str">
        <f aca="false">IF(C17417="","",C17417*D17417/100)</f>
        <v/>
      </c>
      <c r="F17417" s="15" t="str">
        <f aca="false">IF(B17417&lt;5,"Go","Standard")</f>
        <v>Standard</v>
      </c>
    </row>
    <row r="17418" customFormat="false" ht="15" hidden="false" customHeight="true" outlineLevel="0" collapsed="false">
      <c r="A17418" s="10" t="n">
        <f aca="false">Einstellungen!$B$5+INT((ROW()-9)/24)</f>
        <v>46691</v>
      </c>
      <c r="B17418" s="11" t="n">
        <f aca="false">MOD(ROW()-9,24)</f>
        <v>9</v>
      </c>
      <c r="C17418" s="12"/>
      <c r="D17418" s="13" t="n">
        <f aca="false">IF(B17418&lt;5,Einstellungen!$B$3,Einstellungen!$B$4)</f>
        <v>29.13</v>
      </c>
      <c r="E17418" s="14" t="str">
        <f aca="false">IF(C17418="","",C17418*D17418/100)</f>
        <v/>
      </c>
      <c r="F17418" s="15" t="str">
        <f aca="false">IF(B17418&lt;5,"Go","Standard")</f>
        <v>Standard</v>
      </c>
    </row>
    <row r="17419" customFormat="false" ht="15" hidden="false" customHeight="true" outlineLevel="0" collapsed="false">
      <c r="A17419" s="10" t="n">
        <f aca="false">Einstellungen!$B$5+INT((ROW()-9)/24)</f>
        <v>46691</v>
      </c>
      <c r="B17419" s="11" t="n">
        <f aca="false">MOD(ROW()-9,24)</f>
        <v>10</v>
      </c>
      <c r="C17419" s="12"/>
      <c r="D17419" s="13" t="n">
        <f aca="false">IF(B17419&lt;5,Einstellungen!$B$3,Einstellungen!$B$4)</f>
        <v>29.13</v>
      </c>
      <c r="E17419" s="14" t="str">
        <f aca="false">IF(C17419="","",C17419*D17419/100)</f>
        <v/>
      </c>
      <c r="F17419" s="15" t="str">
        <f aca="false">IF(B17419&lt;5,"Go","Standard")</f>
        <v>Standard</v>
      </c>
    </row>
    <row r="17420" customFormat="false" ht="15" hidden="false" customHeight="true" outlineLevel="0" collapsed="false">
      <c r="A17420" s="10" t="n">
        <f aca="false">Einstellungen!$B$5+INT((ROW()-9)/24)</f>
        <v>46691</v>
      </c>
      <c r="B17420" s="11" t="n">
        <f aca="false">MOD(ROW()-9,24)</f>
        <v>11</v>
      </c>
      <c r="C17420" s="12"/>
      <c r="D17420" s="13" t="n">
        <f aca="false">IF(B17420&lt;5,Einstellungen!$B$3,Einstellungen!$B$4)</f>
        <v>29.13</v>
      </c>
      <c r="E17420" s="14" t="str">
        <f aca="false">IF(C17420="","",C17420*D17420/100)</f>
        <v/>
      </c>
      <c r="F17420" s="15" t="str">
        <f aca="false">IF(B17420&lt;5,"Go","Standard")</f>
        <v>Standard</v>
      </c>
    </row>
    <row r="17421" customFormat="false" ht="15" hidden="false" customHeight="true" outlineLevel="0" collapsed="false">
      <c r="A17421" s="10" t="n">
        <f aca="false">Einstellungen!$B$5+INT((ROW()-9)/24)</f>
        <v>46691</v>
      </c>
      <c r="B17421" s="11" t="n">
        <f aca="false">MOD(ROW()-9,24)</f>
        <v>12</v>
      </c>
      <c r="C17421" s="12"/>
      <c r="D17421" s="13" t="n">
        <f aca="false">IF(B17421&lt;5,Einstellungen!$B$3,Einstellungen!$B$4)</f>
        <v>29.13</v>
      </c>
      <c r="E17421" s="14" t="str">
        <f aca="false">IF(C17421="","",C17421*D17421/100)</f>
        <v/>
      </c>
      <c r="F17421" s="15" t="str">
        <f aca="false">IF(B17421&lt;5,"Go","Standard")</f>
        <v>Standard</v>
      </c>
    </row>
    <row r="17422" customFormat="false" ht="15" hidden="false" customHeight="true" outlineLevel="0" collapsed="false">
      <c r="A17422" s="10" t="n">
        <f aca="false">Einstellungen!$B$5+INT((ROW()-9)/24)</f>
        <v>46691</v>
      </c>
      <c r="B17422" s="11" t="n">
        <f aca="false">MOD(ROW()-9,24)</f>
        <v>13</v>
      </c>
      <c r="C17422" s="12"/>
      <c r="D17422" s="13" t="n">
        <f aca="false">IF(B17422&lt;5,Einstellungen!$B$3,Einstellungen!$B$4)</f>
        <v>29.13</v>
      </c>
      <c r="E17422" s="14" t="str">
        <f aca="false">IF(C17422="","",C17422*D17422/100)</f>
        <v/>
      </c>
      <c r="F17422" s="15" t="str">
        <f aca="false">IF(B17422&lt;5,"Go","Standard")</f>
        <v>Standard</v>
      </c>
    </row>
    <row r="17423" customFormat="false" ht="15" hidden="false" customHeight="true" outlineLevel="0" collapsed="false">
      <c r="A17423" s="10" t="n">
        <f aca="false">Einstellungen!$B$5+INT((ROW()-9)/24)</f>
        <v>46691</v>
      </c>
      <c r="B17423" s="11" t="n">
        <f aca="false">MOD(ROW()-9,24)</f>
        <v>14</v>
      </c>
      <c r="C17423" s="12"/>
      <c r="D17423" s="13" t="n">
        <f aca="false">IF(B17423&lt;5,Einstellungen!$B$3,Einstellungen!$B$4)</f>
        <v>29.13</v>
      </c>
      <c r="E17423" s="14" t="str">
        <f aca="false">IF(C17423="","",C17423*D17423/100)</f>
        <v/>
      </c>
      <c r="F17423" s="15" t="str">
        <f aca="false">IF(B17423&lt;5,"Go","Standard")</f>
        <v>Standard</v>
      </c>
    </row>
    <row r="17424" customFormat="false" ht="15" hidden="false" customHeight="true" outlineLevel="0" collapsed="false">
      <c r="A17424" s="10" t="n">
        <f aca="false">Einstellungen!$B$5+INT((ROW()-9)/24)</f>
        <v>46691</v>
      </c>
      <c r="B17424" s="11" t="n">
        <f aca="false">MOD(ROW()-9,24)</f>
        <v>15</v>
      </c>
      <c r="C17424" s="12"/>
      <c r="D17424" s="13" t="n">
        <f aca="false">IF(B17424&lt;5,Einstellungen!$B$3,Einstellungen!$B$4)</f>
        <v>29.13</v>
      </c>
      <c r="E17424" s="14" t="str">
        <f aca="false">IF(C17424="","",C17424*D17424/100)</f>
        <v/>
      </c>
      <c r="F17424" s="15" t="str">
        <f aca="false">IF(B17424&lt;5,"Go","Standard")</f>
        <v>Standard</v>
      </c>
    </row>
    <row r="17425" customFormat="false" ht="15" hidden="false" customHeight="true" outlineLevel="0" collapsed="false">
      <c r="A17425" s="10" t="n">
        <f aca="false">Einstellungen!$B$5+INT((ROW()-9)/24)</f>
        <v>46691</v>
      </c>
      <c r="B17425" s="11" t="n">
        <f aca="false">MOD(ROW()-9,24)</f>
        <v>16</v>
      </c>
      <c r="C17425" s="12"/>
      <c r="D17425" s="13" t="n">
        <f aca="false">IF(B17425&lt;5,Einstellungen!$B$3,Einstellungen!$B$4)</f>
        <v>29.13</v>
      </c>
      <c r="E17425" s="14" t="str">
        <f aca="false">IF(C17425="","",C17425*D17425/100)</f>
        <v/>
      </c>
      <c r="F17425" s="15" t="str">
        <f aca="false">IF(B17425&lt;5,"Go","Standard")</f>
        <v>Standard</v>
      </c>
    </row>
    <row r="17426" customFormat="false" ht="15" hidden="false" customHeight="true" outlineLevel="0" collapsed="false">
      <c r="A17426" s="10" t="n">
        <f aca="false">Einstellungen!$B$5+INT((ROW()-9)/24)</f>
        <v>46691</v>
      </c>
      <c r="B17426" s="11" t="n">
        <f aca="false">MOD(ROW()-9,24)</f>
        <v>17</v>
      </c>
      <c r="C17426" s="12"/>
      <c r="D17426" s="13" t="n">
        <f aca="false">IF(B17426&lt;5,Einstellungen!$B$3,Einstellungen!$B$4)</f>
        <v>29.13</v>
      </c>
      <c r="E17426" s="14" t="str">
        <f aca="false">IF(C17426="","",C17426*D17426/100)</f>
        <v/>
      </c>
      <c r="F17426" s="15" t="str">
        <f aca="false">IF(B17426&lt;5,"Go","Standard")</f>
        <v>Standard</v>
      </c>
    </row>
    <row r="17427" customFormat="false" ht="15" hidden="false" customHeight="true" outlineLevel="0" collapsed="false">
      <c r="A17427" s="10" t="n">
        <f aca="false">Einstellungen!$B$5+INT((ROW()-9)/24)</f>
        <v>46691</v>
      </c>
      <c r="B17427" s="11" t="n">
        <f aca="false">MOD(ROW()-9,24)</f>
        <v>18</v>
      </c>
      <c r="C17427" s="12"/>
      <c r="D17427" s="13" t="n">
        <f aca="false">IF(B17427&lt;5,Einstellungen!$B$3,Einstellungen!$B$4)</f>
        <v>29.13</v>
      </c>
      <c r="E17427" s="14" t="str">
        <f aca="false">IF(C17427="","",C17427*D17427/100)</f>
        <v/>
      </c>
      <c r="F17427" s="15" t="str">
        <f aca="false">IF(B17427&lt;5,"Go","Standard")</f>
        <v>Standard</v>
      </c>
    </row>
    <row r="17428" customFormat="false" ht="15" hidden="false" customHeight="true" outlineLevel="0" collapsed="false">
      <c r="A17428" s="10" t="n">
        <f aca="false">Einstellungen!$B$5+INT((ROW()-9)/24)</f>
        <v>46691</v>
      </c>
      <c r="B17428" s="11" t="n">
        <f aca="false">MOD(ROW()-9,24)</f>
        <v>19</v>
      </c>
      <c r="C17428" s="12"/>
      <c r="D17428" s="13" t="n">
        <f aca="false">IF(B17428&lt;5,Einstellungen!$B$3,Einstellungen!$B$4)</f>
        <v>29.13</v>
      </c>
      <c r="E17428" s="14" t="str">
        <f aca="false">IF(C17428="","",C17428*D17428/100)</f>
        <v/>
      </c>
      <c r="F17428" s="15" t="str">
        <f aca="false">IF(B17428&lt;5,"Go","Standard")</f>
        <v>Standard</v>
      </c>
    </row>
    <row r="17429" customFormat="false" ht="15" hidden="false" customHeight="true" outlineLevel="0" collapsed="false">
      <c r="A17429" s="10" t="n">
        <f aca="false">Einstellungen!$B$5+INT((ROW()-9)/24)</f>
        <v>46691</v>
      </c>
      <c r="B17429" s="11" t="n">
        <f aca="false">MOD(ROW()-9,24)</f>
        <v>20</v>
      </c>
      <c r="C17429" s="12"/>
      <c r="D17429" s="13" t="n">
        <f aca="false">IF(B17429&lt;5,Einstellungen!$B$3,Einstellungen!$B$4)</f>
        <v>29.13</v>
      </c>
      <c r="E17429" s="14" t="str">
        <f aca="false">IF(C17429="","",C17429*D17429/100)</f>
        <v/>
      </c>
      <c r="F17429" s="15" t="str">
        <f aca="false">IF(B17429&lt;5,"Go","Standard")</f>
        <v>Standard</v>
      </c>
    </row>
    <row r="17430" customFormat="false" ht="15" hidden="false" customHeight="true" outlineLevel="0" collapsed="false">
      <c r="A17430" s="10" t="n">
        <f aca="false">Einstellungen!$B$5+INT((ROW()-9)/24)</f>
        <v>46691</v>
      </c>
      <c r="B17430" s="11" t="n">
        <f aca="false">MOD(ROW()-9,24)</f>
        <v>21</v>
      </c>
      <c r="C17430" s="12"/>
      <c r="D17430" s="13" t="n">
        <f aca="false">IF(B17430&lt;5,Einstellungen!$B$3,Einstellungen!$B$4)</f>
        <v>29.13</v>
      </c>
      <c r="E17430" s="14" t="str">
        <f aca="false">IF(C17430="","",C17430*D17430/100)</f>
        <v/>
      </c>
      <c r="F17430" s="15" t="str">
        <f aca="false">IF(B17430&lt;5,"Go","Standard")</f>
        <v>Standard</v>
      </c>
    </row>
    <row r="17431" customFormat="false" ht="15" hidden="false" customHeight="true" outlineLevel="0" collapsed="false">
      <c r="A17431" s="10" t="n">
        <f aca="false">Einstellungen!$B$5+INT((ROW()-9)/24)</f>
        <v>46691</v>
      </c>
      <c r="B17431" s="11" t="n">
        <f aca="false">MOD(ROW()-9,24)</f>
        <v>22</v>
      </c>
      <c r="C17431" s="12"/>
      <c r="D17431" s="13" t="n">
        <f aca="false">IF(B17431&lt;5,Einstellungen!$B$3,Einstellungen!$B$4)</f>
        <v>29.13</v>
      </c>
      <c r="E17431" s="14" t="str">
        <f aca="false">IF(C17431="","",C17431*D17431/100)</f>
        <v/>
      </c>
      <c r="F17431" s="15" t="str">
        <f aca="false">IF(B17431&lt;5,"Go","Standard")</f>
        <v>Standard</v>
      </c>
    </row>
    <row r="17432" customFormat="false" ht="15" hidden="false" customHeight="true" outlineLevel="0" collapsed="false">
      <c r="A17432" s="10" t="n">
        <f aca="false">Einstellungen!$B$5+INT((ROW()-9)/24)</f>
        <v>46691</v>
      </c>
      <c r="B17432" s="11" t="n">
        <f aca="false">MOD(ROW()-9,24)</f>
        <v>23</v>
      </c>
      <c r="C17432" s="12"/>
      <c r="D17432" s="13" t="n">
        <f aca="false">IF(B17432&lt;5,Einstellungen!$B$3,Einstellungen!$B$4)</f>
        <v>29.13</v>
      </c>
      <c r="E17432" s="14" t="str">
        <f aca="false">IF(C17432="","",C17432*D17432/100)</f>
        <v/>
      </c>
      <c r="F17432" s="15" t="str">
        <f aca="false">IF(B17432&lt;5,"Go","Standard")</f>
        <v>Standard</v>
      </c>
    </row>
    <row r="17433" customFormat="false" ht="15" hidden="false" customHeight="true" outlineLevel="0" collapsed="false">
      <c r="A17433" s="10" t="n">
        <f aca="false">Einstellungen!$B$5+INT((ROW()-9)/24)</f>
        <v>46692</v>
      </c>
      <c r="B17433" s="11" t="n">
        <f aca="false">MOD(ROW()-9,24)</f>
        <v>0</v>
      </c>
      <c r="C17433" s="12"/>
      <c r="D17433" s="13" t="n">
        <f aca="false">IF(B17433&lt;5,Einstellungen!$B$3,Einstellungen!$B$4)</f>
        <v>15.92</v>
      </c>
      <c r="E17433" s="14" t="str">
        <f aca="false">IF(C17433="","",C17433*D17433/100)</f>
        <v/>
      </c>
      <c r="F17433" s="15" t="str">
        <f aca="false">IF(B17433&lt;5,"Go","Standard")</f>
        <v>Go</v>
      </c>
    </row>
    <row r="17434" customFormat="false" ht="15" hidden="false" customHeight="true" outlineLevel="0" collapsed="false">
      <c r="A17434" s="10" t="n">
        <f aca="false">Einstellungen!$B$5+INT((ROW()-9)/24)</f>
        <v>46692</v>
      </c>
      <c r="B17434" s="11" t="n">
        <f aca="false">MOD(ROW()-9,24)</f>
        <v>1</v>
      </c>
      <c r="C17434" s="12"/>
      <c r="D17434" s="13" t="n">
        <f aca="false">IF(B17434&lt;5,Einstellungen!$B$3,Einstellungen!$B$4)</f>
        <v>15.92</v>
      </c>
      <c r="E17434" s="14" t="str">
        <f aca="false">IF(C17434="","",C17434*D17434/100)</f>
        <v/>
      </c>
      <c r="F17434" s="15" t="str">
        <f aca="false">IF(B17434&lt;5,"Go","Standard")</f>
        <v>Go</v>
      </c>
    </row>
    <row r="17435" customFormat="false" ht="15" hidden="false" customHeight="true" outlineLevel="0" collapsed="false">
      <c r="A17435" s="10" t="n">
        <f aca="false">Einstellungen!$B$5+INT((ROW()-9)/24)</f>
        <v>46692</v>
      </c>
      <c r="B17435" s="11" t="n">
        <f aca="false">MOD(ROW()-9,24)</f>
        <v>2</v>
      </c>
      <c r="C17435" s="12"/>
      <c r="D17435" s="13" t="n">
        <f aca="false">IF(B17435&lt;5,Einstellungen!$B$3,Einstellungen!$B$4)</f>
        <v>15.92</v>
      </c>
      <c r="E17435" s="14" t="str">
        <f aca="false">IF(C17435="","",C17435*D17435/100)</f>
        <v/>
      </c>
      <c r="F17435" s="15" t="str">
        <f aca="false">IF(B17435&lt;5,"Go","Standard")</f>
        <v>Go</v>
      </c>
    </row>
    <row r="17436" customFormat="false" ht="15" hidden="false" customHeight="true" outlineLevel="0" collapsed="false">
      <c r="A17436" s="10" t="n">
        <f aca="false">Einstellungen!$B$5+INT((ROW()-9)/24)</f>
        <v>46692</v>
      </c>
      <c r="B17436" s="11" t="n">
        <f aca="false">MOD(ROW()-9,24)</f>
        <v>3</v>
      </c>
      <c r="C17436" s="12"/>
      <c r="D17436" s="13" t="n">
        <f aca="false">IF(B17436&lt;5,Einstellungen!$B$3,Einstellungen!$B$4)</f>
        <v>15.92</v>
      </c>
      <c r="E17436" s="14" t="str">
        <f aca="false">IF(C17436="","",C17436*D17436/100)</f>
        <v/>
      </c>
      <c r="F17436" s="15" t="str">
        <f aca="false">IF(B17436&lt;5,"Go","Standard")</f>
        <v>Go</v>
      </c>
    </row>
    <row r="17437" customFormat="false" ht="15" hidden="false" customHeight="true" outlineLevel="0" collapsed="false">
      <c r="A17437" s="10" t="n">
        <f aca="false">Einstellungen!$B$5+INT((ROW()-9)/24)</f>
        <v>46692</v>
      </c>
      <c r="B17437" s="11" t="n">
        <f aca="false">MOD(ROW()-9,24)</f>
        <v>4</v>
      </c>
      <c r="C17437" s="12"/>
      <c r="D17437" s="13" t="n">
        <f aca="false">IF(B17437&lt;5,Einstellungen!$B$3,Einstellungen!$B$4)</f>
        <v>15.92</v>
      </c>
      <c r="E17437" s="14" t="str">
        <f aca="false">IF(C17437="","",C17437*D17437/100)</f>
        <v/>
      </c>
      <c r="F17437" s="15" t="str">
        <f aca="false">IF(B17437&lt;5,"Go","Standard")</f>
        <v>Go</v>
      </c>
    </row>
    <row r="17438" customFormat="false" ht="15" hidden="false" customHeight="true" outlineLevel="0" collapsed="false">
      <c r="A17438" s="10" t="n">
        <f aca="false">Einstellungen!$B$5+INT((ROW()-9)/24)</f>
        <v>46692</v>
      </c>
      <c r="B17438" s="11" t="n">
        <f aca="false">MOD(ROW()-9,24)</f>
        <v>5</v>
      </c>
      <c r="C17438" s="12"/>
      <c r="D17438" s="13" t="n">
        <f aca="false">IF(B17438&lt;5,Einstellungen!$B$3,Einstellungen!$B$4)</f>
        <v>29.13</v>
      </c>
      <c r="E17438" s="14" t="str">
        <f aca="false">IF(C17438="","",C17438*D17438/100)</f>
        <v/>
      </c>
      <c r="F17438" s="15" t="str">
        <f aca="false">IF(B17438&lt;5,"Go","Standard")</f>
        <v>Standard</v>
      </c>
    </row>
    <row r="17439" customFormat="false" ht="15" hidden="false" customHeight="true" outlineLevel="0" collapsed="false">
      <c r="A17439" s="10" t="n">
        <f aca="false">Einstellungen!$B$5+INT((ROW()-9)/24)</f>
        <v>46692</v>
      </c>
      <c r="B17439" s="11" t="n">
        <f aca="false">MOD(ROW()-9,24)</f>
        <v>6</v>
      </c>
      <c r="C17439" s="12"/>
      <c r="D17439" s="13" t="n">
        <f aca="false">IF(B17439&lt;5,Einstellungen!$B$3,Einstellungen!$B$4)</f>
        <v>29.13</v>
      </c>
      <c r="E17439" s="14" t="str">
        <f aca="false">IF(C17439="","",C17439*D17439/100)</f>
        <v/>
      </c>
      <c r="F17439" s="15" t="str">
        <f aca="false">IF(B17439&lt;5,"Go","Standard")</f>
        <v>Standard</v>
      </c>
    </row>
    <row r="17440" customFormat="false" ht="15" hidden="false" customHeight="true" outlineLevel="0" collapsed="false">
      <c r="A17440" s="10" t="n">
        <f aca="false">Einstellungen!$B$5+INT((ROW()-9)/24)</f>
        <v>46692</v>
      </c>
      <c r="B17440" s="11" t="n">
        <f aca="false">MOD(ROW()-9,24)</f>
        <v>7</v>
      </c>
      <c r="C17440" s="12"/>
      <c r="D17440" s="13" t="n">
        <f aca="false">IF(B17440&lt;5,Einstellungen!$B$3,Einstellungen!$B$4)</f>
        <v>29.13</v>
      </c>
      <c r="E17440" s="14" t="str">
        <f aca="false">IF(C17440="","",C17440*D17440/100)</f>
        <v/>
      </c>
      <c r="F17440" s="15" t="str">
        <f aca="false">IF(B17440&lt;5,"Go","Standard")</f>
        <v>Standard</v>
      </c>
    </row>
    <row r="17441" customFormat="false" ht="15" hidden="false" customHeight="true" outlineLevel="0" collapsed="false">
      <c r="A17441" s="10" t="n">
        <f aca="false">Einstellungen!$B$5+INT((ROW()-9)/24)</f>
        <v>46692</v>
      </c>
      <c r="B17441" s="11" t="n">
        <f aca="false">MOD(ROW()-9,24)</f>
        <v>8</v>
      </c>
      <c r="C17441" s="12"/>
      <c r="D17441" s="13" t="n">
        <f aca="false">IF(B17441&lt;5,Einstellungen!$B$3,Einstellungen!$B$4)</f>
        <v>29.13</v>
      </c>
      <c r="E17441" s="14" t="str">
        <f aca="false">IF(C17441="","",C17441*D17441/100)</f>
        <v/>
      </c>
      <c r="F17441" s="15" t="str">
        <f aca="false">IF(B17441&lt;5,"Go","Standard")</f>
        <v>Standard</v>
      </c>
    </row>
    <row r="17442" customFormat="false" ht="15" hidden="false" customHeight="true" outlineLevel="0" collapsed="false">
      <c r="A17442" s="10" t="n">
        <f aca="false">Einstellungen!$B$5+INT((ROW()-9)/24)</f>
        <v>46692</v>
      </c>
      <c r="B17442" s="11" t="n">
        <f aca="false">MOD(ROW()-9,24)</f>
        <v>9</v>
      </c>
      <c r="C17442" s="12"/>
      <c r="D17442" s="13" t="n">
        <f aca="false">IF(B17442&lt;5,Einstellungen!$B$3,Einstellungen!$B$4)</f>
        <v>29.13</v>
      </c>
      <c r="E17442" s="14" t="str">
        <f aca="false">IF(C17442="","",C17442*D17442/100)</f>
        <v/>
      </c>
      <c r="F17442" s="15" t="str">
        <f aca="false">IF(B17442&lt;5,"Go","Standard")</f>
        <v>Standard</v>
      </c>
    </row>
    <row r="17443" customFormat="false" ht="15" hidden="false" customHeight="true" outlineLevel="0" collapsed="false">
      <c r="A17443" s="10" t="n">
        <f aca="false">Einstellungen!$B$5+INT((ROW()-9)/24)</f>
        <v>46692</v>
      </c>
      <c r="B17443" s="11" t="n">
        <f aca="false">MOD(ROW()-9,24)</f>
        <v>10</v>
      </c>
      <c r="C17443" s="12"/>
      <c r="D17443" s="13" t="n">
        <f aca="false">IF(B17443&lt;5,Einstellungen!$B$3,Einstellungen!$B$4)</f>
        <v>29.13</v>
      </c>
      <c r="E17443" s="14" t="str">
        <f aca="false">IF(C17443="","",C17443*D17443/100)</f>
        <v/>
      </c>
      <c r="F17443" s="15" t="str">
        <f aca="false">IF(B17443&lt;5,"Go","Standard")</f>
        <v>Standard</v>
      </c>
    </row>
    <row r="17444" customFormat="false" ht="15" hidden="false" customHeight="true" outlineLevel="0" collapsed="false">
      <c r="A17444" s="10" t="n">
        <f aca="false">Einstellungen!$B$5+INT((ROW()-9)/24)</f>
        <v>46692</v>
      </c>
      <c r="B17444" s="11" t="n">
        <f aca="false">MOD(ROW()-9,24)</f>
        <v>11</v>
      </c>
      <c r="C17444" s="12"/>
      <c r="D17444" s="13" t="n">
        <f aca="false">IF(B17444&lt;5,Einstellungen!$B$3,Einstellungen!$B$4)</f>
        <v>29.13</v>
      </c>
      <c r="E17444" s="14" t="str">
        <f aca="false">IF(C17444="","",C17444*D17444/100)</f>
        <v/>
      </c>
      <c r="F17444" s="15" t="str">
        <f aca="false">IF(B17444&lt;5,"Go","Standard")</f>
        <v>Standard</v>
      </c>
    </row>
    <row r="17445" customFormat="false" ht="15" hidden="false" customHeight="true" outlineLevel="0" collapsed="false">
      <c r="A17445" s="10" t="n">
        <f aca="false">Einstellungen!$B$5+INT((ROW()-9)/24)</f>
        <v>46692</v>
      </c>
      <c r="B17445" s="11" t="n">
        <f aca="false">MOD(ROW()-9,24)</f>
        <v>12</v>
      </c>
      <c r="C17445" s="12"/>
      <c r="D17445" s="13" t="n">
        <f aca="false">IF(B17445&lt;5,Einstellungen!$B$3,Einstellungen!$B$4)</f>
        <v>29.13</v>
      </c>
      <c r="E17445" s="14" t="str">
        <f aca="false">IF(C17445="","",C17445*D17445/100)</f>
        <v/>
      </c>
      <c r="F17445" s="15" t="str">
        <f aca="false">IF(B17445&lt;5,"Go","Standard")</f>
        <v>Standard</v>
      </c>
    </row>
    <row r="17446" customFormat="false" ht="15" hidden="false" customHeight="true" outlineLevel="0" collapsed="false">
      <c r="A17446" s="10" t="n">
        <f aca="false">Einstellungen!$B$5+INT((ROW()-9)/24)</f>
        <v>46692</v>
      </c>
      <c r="B17446" s="11" t="n">
        <f aca="false">MOD(ROW()-9,24)</f>
        <v>13</v>
      </c>
      <c r="C17446" s="12"/>
      <c r="D17446" s="13" t="n">
        <f aca="false">IF(B17446&lt;5,Einstellungen!$B$3,Einstellungen!$B$4)</f>
        <v>29.13</v>
      </c>
      <c r="E17446" s="14" t="str">
        <f aca="false">IF(C17446="","",C17446*D17446/100)</f>
        <v/>
      </c>
      <c r="F17446" s="15" t="str">
        <f aca="false">IF(B17446&lt;5,"Go","Standard")</f>
        <v>Standard</v>
      </c>
    </row>
    <row r="17447" customFormat="false" ht="15" hidden="false" customHeight="true" outlineLevel="0" collapsed="false">
      <c r="A17447" s="10" t="n">
        <f aca="false">Einstellungen!$B$5+INT((ROW()-9)/24)</f>
        <v>46692</v>
      </c>
      <c r="B17447" s="11" t="n">
        <f aca="false">MOD(ROW()-9,24)</f>
        <v>14</v>
      </c>
      <c r="C17447" s="12"/>
      <c r="D17447" s="13" t="n">
        <f aca="false">IF(B17447&lt;5,Einstellungen!$B$3,Einstellungen!$B$4)</f>
        <v>29.13</v>
      </c>
      <c r="E17447" s="14" t="str">
        <f aca="false">IF(C17447="","",C17447*D17447/100)</f>
        <v/>
      </c>
      <c r="F17447" s="15" t="str">
        <f aca="false">IF(B17447&lt;5,"Go","Standard")</f>
        <v>Standard</v>
      </c>
    </row>
    <row r="17448" customFormat="false" ht="15" hidden="false" customHeight="true" outlineLevel="0" collapsed="false">
      <c r="A17448" s="10" t="n">
        <f aca="false">Einstellungen!$B$5+INT((ROW()-9)/24)</f>
        <v>46692</v>
      </c>
      <c r="B17448" s="11" t="n">
        <f aca="false">MOD(ROW()-9,24)</f>
        <v>15</v>
      </c>
      <c r="C17448" s="12"/>
      <c r="D17448" s="13" t="n">
        <f aca="false">IF(B17448&lt;5,Einstellungen!$B$3,Einstellungen!$B$4)</f>
        <v>29.13</v>
      </c>
      <c r="E17448" s="14" t="str">
        <f aca="false">IF(C17448="","",C17448*D17448/100)</f>
        <v/>
      </c>
      <c r="F17448" s="15" t="str">
        <f aca="false">IF(B17448&lt;5,"Go","Standard")</f>
        <v>Standard</v>
      </c>
    </row>
    <row r="17449" customFormat="false" ht="15" hidden="false" customHeight="true" outlineLevel="0" collapsed="false">
      <c r="A17449" s="10" t="n">
        <f aca="false">Einstellungen!$B$5+INT((ROW()-9)/24)</f>
        <v>46692</v>
      </c>
      <c r="B17449" s="11" t="n">
        <f aca="false">MOD(ROW()-9,24)</f>
        <v>16</v>
      </c>
      <c r="C17449" s="12"/>
      <c r="D17449" s="13" t="n">
        <f aca="false">IF(B17449&lt;5,Einstellungen!$B$3,Einstellungen!$B$4)</f>
        <v>29.13</v>
      </c>
      <c r="E17449" s="14" t="str">
        <f aca="false">IF(C17449="","",C17449*D17449/100)</f>
        <v/>
      </c>
      <c r="F17449" s="15" t="str">
        <f aca="false">IF(B17449&lt;5,"Go","Standard")</f>
        <v>Standard</v>
      </c>
    </row>
    <row r="17450" customFormat="false" ht="15" hidden="false" customHeight="true" outlineLevel="0" collapsed="false">
      <c r="A17450" s="10" t="n">
        <f aca="false">Einstellungen!$B$5+INT((ROW()-9)/24)</f>
        <v>46692</v>
      </c>
      <c r="B17450" s="11" t="n">
        <f aca="false">MOD(ROW()-9,24)</f>
        <v>17</v>
      </c>
      <c r="C17450" s="12"/>
      <c r="D17450" s="13" t="n">
        <f aca="false">IF(B17450&lt;5,Einstellungen!$B$3,Einstellungen!$B$4)</f>
        <v>29.13</v>
      </c>
      <c r="E17450" s="14" t="str">
        <f aca="false">IF(C17450="","",C17450*D17450/100)</f>
        <v/>
      </c>
      <c r="F17450" s="15" t="str">
        <f aca="false">IF(B17450&lt;5,"Go","Standard")</f>
        <v>Standard</v>
      </c>
    </row>
    <row r="17451" customFormat="false" ht="15" hidden="false" customHeight="true" outlineLevel="0" collapsed="false">
      <c r="A17451" s="10" t="n">
        <f aca="false">Einstellungen!$B$5+INT((ROW()-9)/24)</f>
        <v>46692</v>
      </c>
      <c r="B17451" s="11" t="n">
        <f aca="false">MOD(ROW()-9,24)</f>
        <v>18</v>
      </c>
      <c r="C17451" s="12"/>
      <c r="D17451" s="13" t="n">
        <f aca="false">IF(B17451&lt;5,Einstellungen!$B$3,Einstellungen!$B$4)</f>
        <v>29.13</v>
      </c>
      <c r="E17451" s="14" t="str">
        <f aca="false">IF(C17451="","",C17451*D17451/100)</f>
        <v/>
      </c>
      <c r="F17451" s="15" t="str">
        <f aca="false">IF(B17451&lt;5,"Go","Standard")</f>
        <v>Standard</v>
      </c>
    </row>
    <row r="17452" customFormat="false" ht="15" hidden="false" customHeight="true" outlineLevel="0" collapsed="false">
      <c r="A17452" s="10" t="n">
        <f aca="false">Einstellungen!$B$5+INT((ROW()-9)/24)</f>
        <v>46692</v>
      </c>
      <c r="B17452" s="11" t="n">
        <f aca="false">MOD(ROW()-9,24)</f>
        <v>19</v>
      </c>
      <c r="C17452" s="12"/>
      <c r="D17452" s="13" t="n">
        <f aca="false">IF(B17452&lt;5,Einstellungen!$B$3,Einstellungen!$B$4)</f>
        <v>29.13</v>
      </c>
      <c r="E17452" s="14" t="str">
        <f aca="false">IF(C17452="","",C17452*D17452/100)</f>
        <v/>
      </c>
      <c r="F17452" s="15" t="str">
        <f aca="false">IF(B17452&lt;5,"Go","Standard")</f>
        <v>Standard</v>
      </c>
    </row>
    <row r="17453" customFormat="false" ht="15" hidden="false" customHeight="true" outlineLevel="0" collapsed="false">
      <c r="A17453" s="10" t="n">
        <f aca="false">Einstellungen!$B$5+INT((ROW()-9)/24)</f>
        <v>46692</v>
      </c>
      <c r="B17453" s="11" t="n">
        <f aca="false">MOD(ROW()-9,24)</f>
        <v>20</v>
      </c>
      <c r="C17453" s="12"/>
      <c r="D17453" s="13" t="n">
        <f aca="false">IF(B17453&lt;5,Einstellungen!$B$3,Einstellungen!$B$4)</f>
        <v>29.13</v>
      </c>
      <c r="E17453" s="14" t="str">
        <f aca="false">IF(C17453="","",C17453*D17453/100)</f>
        <v/>
      </c>
      <c r="F17453" s="15" t="str">
        <f aca="false">IF(B17453&lt;5,"Go","Standard")</f>
        <v>Standard</v>
      </c>
    </row>
    <row r="17454" customFormat="false" ht="15" hidden="false" customHeight="true" outlineLevel="0" collapsed="false">
      <c r="A17454" s="10" t="n">
        <f aca="false">Einstellungen!$B$5+INT((ROW()-9)/24)</f>
        <v>46692</v>
      </c>
      <c r="B17454" s="11" t="n">
        <f aca="false">MOD(ROW()-9,24)</f>
        <v>21</v>
      </c>
      <c r="C17454" s="12"/>
      <c r="D17454" s="13" t="n">
        <f aca="false">IF(B17454&lt;5,Einstellungen!$B$3,Einstellungen!$B$4)</f>
        <v>29.13</v>
      </c>
      <c r="E17454" s="14" t="str">
        <f aca="false">IF(C17454="","",C17454*D17454/100)</f>
        <v/>
      </c>
      <c r="F17454" s="15" t="str">
        <f aca="false">IF(B17454&lt;5,"Go","Standard")</f>
        <v>Standard</v>
      </c>
    </row>
    <row r="17455" customFormat="false" ht="15" hidden="false" customHeight="true" outlineLevel="0" collapsed="false">
      <c r="A17455" s="10" t="n">
        <f aca="false">Einstellungen!$B$5+INT((ROW()-9)/24)</f>
        <v>46692</v>
      </c>
      <c r="B17455" s="11" t="n">
        <f aca="false">MOD(ROW()-9,24)</f>
        <v>22</v>
      </c>
      <c r="C17455" s="12"/>
      <c r="D17455" s="13" t="n">
        <f aca="false">IF(B17455&lt;5,Einstellungen!$B$3,Einstellungen!$B$4)</f>
        <v>29.13</v>
      </c>
      <c r="E17455" s="14" t="str">
        <f aca="false">IF(C17455="","",C17455*D17455/100)</f>
        <v/>
      </c>
      <c r="F17455" s="15" t="str">
        <f aca="false">IF(B17455&lt;5,"Go","Standard")</f>
        <v>Standard</v>
      </c>
    </row>
    <row r="17456" customFormat="false" ht="15" hidden="false" customHeight="true" outlineLevel="0" collapsed="false">
      <c r="A17456" s="10" t="n">
        <f aca="false">Einstellungen!$B$5+INT((ROW()-9)/24)</f>
        <v>46692</v>
      </c>
      <c r="B17456" s="11" t="n">
        <f aca="false">MOD(ROW()-9,24)</f>
        <v>23</v>
      </c>
      <c r="C17456" s="12"/>
      <c r="D17456" s="13" t="n">
        <f aca="false">IF(B17456&lt;5,Einstellungen!$B$3,Einstellungen!$B$4)</f>
        <v>29.13</v>
      </c>
      <c r="E17456" s="14" t="str">
        <f aca="false">IF(C17456="","",C17456*D17456/100)</f>
        <v/>
      </c>
      <c r="F17456" s="15" t="str">
        <f aca="false">IF(B17456&lt;5,"Go","Standard")</f>
        <v>Standard</v>
      </c>
    </row>
    <row r="17457" customFormat="false" ht="15" hidden="false" customHeight="true" outlineLevel="0" collapsed="false">
      <c r="A17457" s="10" t="n">
        <f aca="false">Einstellungen!$B$5+INT((ROW()-9)/24)</f>
        <v>46693</v>
      </c>
      <c r="B17457" s="11" t="n">
        <f aca="false">MOD(ROW()-9,24)</f>
        <v>0</v>
      </c>
      <c r="C17457" s="12"/>
      <c r="D17457" s="13" t="n">
        <f aca="false">IF(B17457&lt;5,Einstellungen!$B$3,Einstellungen!$B$4)</f>
        <v>15.92</v>
      </c>
      <c r="E17457" s="14" t="str">
        <f aca="false">IF(C17457="","",C17457*D17457/100)</f>
        <v/>
      </c>
      <c r="F17457" s="15" t="str">
        <f aca="false">IF(B17457&lt;5,"Go","Standard")</f>
        <v>Go</v>
      </c>
    </row>
    <row r="17458" customFormat="false" ht="15" hidden="false" customHeight="true" outlineLevel="0" collapsed="false">
      <c r="A17458" s="10" t="n">
        <f aca="false">Einstellungen!$B$5+INT((ROW()-9)/24)</f>
        <v>46693</v>
      </c>
      <c r="B17458" s="11" t="n">
        <f aca="false">MOD(ROW()-9,24)</f>
        <v>1</v>
      </c>
      <c r="C17458" s="12"/>
      <c r="D17458" s="13" t="n">
        <f aca="false">IF(B17458&lt;5,Einstellungen!$B$3,Einstellungen!$B$4)</f>
        <v>15.92</v>
      </c>
      <c r="E17458" s="14" t="str">
        <f aca="false">IF(C17458="","",C17458*D17458/100)</f>
        <v/>
      </c>
      <c r="F17458" s="15" t="str">
        <f aca="false">IF(B17458&lt;5,"Go","Standard")</f>
        <v>Go</v>
      </c>
    </row>
    <row r="17459" customFormat="false" ht="15" hidden="false" customHeight="true" outlineLevel="0" collapsed="false">
      <c r="A17459" s="10" t="n">
        <f aca="false">Einstellungen!$B$5+INT((ROW()-9)/24)</f>
        <v>46693</v>
      </c>
      <c r="B17459" s="11" t="n">
        <f aca="false">MOD(ROW()-9,24)</f>
        <v>2</v>
      </c>
      <c r="C17459" s="12"/>
      <c r="D17459" s="13" t="n">
        <f aca="false">IF(B17459&lt;5,Einstellungen!$B$3,Einstellungen!$B$4)</f>
        <v>15.92</v>
      </c>
      <c r="E17459" s="14" t="str">
        <f aca="false">IF(C17459="","",C17459*D17459/100)</f>
        <v/>
      </c>
      <c r="F17459" s="15" t="str">
        <f aca="false">IF(B17459&lt;5,"Go","Standard")</f>
        <v>Go</v>
      </c>
    </row>
    <row r="17460" customFormat="false" ht="15" hidden="false" customHeight="true" outlineLevel="0" collapsed="false">
      <c r="A17460" s="10" t="n">
        <f aca="false">Einstellungen!$B$5+INT((ROW()-9)/24)</f>
        <v>46693</v>
      </c>
      <c r="B17460" s="11" t="n">
        <f aca="false">MOD(ROW()-9,24)</f>
        <v>3</v>
      </c>
      <c r="C17460" s="12"/>
      <c r="D17460" s="13" t="n">
        <f aca="false">IF(B17460&lt;5,Einstellungen!$B$3,Einstellungen!$B$4)</f>
        <v>15.92</v>
      </c>
      <c r="E17460" s="14" t="str">
        <f aca="false">IF(C17460="","",C17460*D17460/100)</f>
        <v/>
      </c>
      <c r="F17460" s="15" t="str">
        <f aca="false">IF(B17460&lt;5,"Go","Standard")</f>
        <v>Go</v>
      </c>
    </row>
    <row r="17461" customFormat="false" ht="15" hidden="false" customHeight="true" outlineLevel="0" collapsed="false">
      <c r="A17461" s="10" t="n">
        <f aca="false">Einstellungen!$B$5+INT((ROW()-9)/24)</f>
        <v>46693</v>
      </c>
      <c r="B17461" s="11" t="n">
        <f aca="false">MOD(ROW()-9,24)</f>
        <v>4</v>
      </c>
      <c r="C17461" s="12"/>
      <c r="D17461" s="13" t="n">
        <f aca="false">IF(B17461&lt;5,Einstellungen!$B$3,Einstellungen!$B$4)</f>
        <v>15.92</v>
      </c>
      <c r="E17461" s="14" t="str">
        <f aca="false">IF(C17461="","",C17461*D17461/100)</f>
        <v/>
      </c>
      <c r="F17461" s="15" t="str">
        <f aca="false">IF(B17461&lt;5,"Go","Standard")</f>
        <v>Go</v>
      </c>
    </row>
    <row r="17462" customFormat="false" ht="15" hidden="false" customHeight="true" outlineLevel="0" collapsed="false">
      <c r="A17462" s="10" t="n">
        <f aca="false">Einstellungen!$B$5+INT((ROW()-9)/24)</f>
        <v>46693</v>
      </c>
      <c r="B17462" s="11" t="n">
        <f aca="false">MOD(ROW()-9,24)</f>
        <v>5</v>
      </c>
      <c r="C17462" s="12"/>
      <c r="D17462" s="13" t="n">
        <f aca="false">IF(B17462&lt;5,Einstellungen!$B$3,Einstellungen!$B$4)</f>
        <v>29.13</v>
      </c>
      <c r="E17462" s="14" t="str">
        <f aca="false">IF(C17462="","",C17462*D17462/100)</f>
        <v/>
      </c>
      <c r="F17462" s="15" t="str">
        <f aca="false">IF(B17462&lt;5,"Go","Standard")</f>
        <v>Standard</v>
      </c>
    </row>
    <row r="17463" customFormat="false" ht="15" hidden="false" customHeight="true" outlineLevel="0" collapsed="false">
      <c r="A17463" s="10" t="n">
        <f aca="false">Einstellungen!$B$5+INT((ROW()-9)/24)</f>
        <v>46693</v>
      </c>
      <c r="B17463" s="11" t="n">
        <f aca="false">MOD(ROW()-9,24)</f>
        <v>6</v>
      </c>
      <c r="C17463" s="12"/>
      <c r="D17463" s="13" t="n">
        <f aca="false">IF(B17463&lt;5,Einstellungen!$B$3,Einstellungen!$B$4)</f>
        <v>29.13</v>
      </c>
      <c r="E17463" s="14" t="str">
        <f aca="false">IF(C17463="","",C17463*D17463/100)</f>
        <v/>
      </c>
      <c r="F17463" s="15" t="str">
        <f aca="false">IF(B17463&lt;5,"Go","Standard")</f>
        <v>Standard</v>
      </c>
    </row>
    <row r="17464" customFormat="false" ht="15" hidden="false" customHeight="true" outlineLevel="0" collapsed="false">
      <c r="A17464" s="10" t="n">
        <f aca="false">Einstellungen!$B$5+INT((ROW()-9)/24)</f>
        <v>46693</v>
      </c>
      <c r="B17464" s="11" t="n">
        <f aca="false">MOD(ROW()-9,24)</f>
        <v>7</v>
      </c>
      <c r="C17464" s="12"/>
      <c r="D17464" s="13" t="n">
        <f aca="false">IF(B17464&lt;5,Einstellungen!$B$3,Einstellungen!$B$4)</f>
        <v>29.13</v>
      </c>
      <c r="E17464" s="14" t="str">
        <f aca="false">IF(C17464="","",C17464*D17464/100)</f>
        <v/>
      </c>
      <c r="F17464" s="15" t="str">
        <f aca="false">IF(B17464&lt;5,"Go","Standard")</f>
        <v>Standard</v>
      </c>
    </row>
    <row r="17465" customFormat="false" ht="15" hidden="false" customHeight="true" outlineLevel="0" collapsed="false">
      <c r="A17465" s="10" t="n">
        <f aca="false">Einstellungen!$B$5+INT((ROW()-9)/24)</f>
        <v>46693</v>
      </c>
      <c r="B17465" s="11" t="n">
        <f aca="false">MOD(ROW()-9,24)</f>
        <v>8</v>
      </c>
      <c r="C17465" s="12"/>
      <c r="D17465" s="13" t="n">
        <f aca="false">IF(B17465&lt;5,Einstellungen!$B$3,Einstellungen!$B$4)</f>
        <v>29.13</v>
      </c>
      <c r="E17465" s="14" t="str">
        <f aca="false">IF(C17465="","",C17465*D17465/100)</f>
        <v/>
      </c>
      <c r="F17465" s="15" t="str">
        <f aca="false">IF(B17465&lt;5,"Go","Standard")</f>
        <v>Standard</v>
      </c>
    </row>
    <row r="17466" customFormat="false" ht="15" hidden="false" customHeight="true" outlineLevel="0" collapsed="false">
      <c r="A17466" s="10" t="n">
        <f aca="false">Einstellungen!$B$5+INT((ROW()-9)/24)</f>
        <v>46693</v>
      </c>
      <c r="B17466" s="11" t="n">
        <f aca="false">MOD(ROW()-9,24)</f>
        <v>9</v>
      </c>
      <c r="C17466" s="12"/>
      <c r="D17466" s="13" t="n">
        <f aca="false">IF(B17466&lt;5,Einstellungen!$B$3,Einstellungen!$B$4)</f>
        <v>29.13</v>
      </c>
      <c r="E17466" s="14" t="str">
        <f aca="false">IF(C17466="","",C17466*D17466/100)</f>
        <v/>
      </c>
      <c r="F17466" s="15" t="str">
        <f aca="false">IF(B17466&lt;5,"Go","Standard")</f>
        <v>Standard</v>
      </c>
    </row>
    <row r="17467" customFormat="false" ht="15" hidden="false" customHeight="true" outlineLevel="0" collapsed="false">
      <c r="A17467" s="10" t="n">
        <f aca="false">Einstellungen!$B$5+INT((ROW()-9)/24)</f>
        <v>46693</v>
      </c>
      <c r="B17467" s="11" t="n">
        <f aca="false">MOD(ROW()-9,24)</f>
        <v>10</v>
      </c>
      <c r="C17467" s="12"/>
      <c r="D17467" s="13" t="n">
        <f aca="false">IF(B17467&lt;5,Einstellungen!$B$3,Einstellungen!$B$4)</f>
        <v>29.13</v>
      </c>
      <c r="E17467" s="14" t="str">
        <f aca="false">IF(C17467="","",C17467*D17467/100)</f>
        <v/>
      </c>
      <c r="F17467" s="15" t="str">
        <f aca="false">IF(B17467&lt;5,"Go","Standard")</f>
        <v>Standard</v>
      </c>
    </row>
    <row r="17468" customFormat="false" ht="15" hidden="false" customHeight="true" outlineLevel="0" collapsed="false">
      <c r="A17468" s="10" t="n">
        <f aca="false">Einstellungen!$B$5+INT((ROW()-9)/24)</f>
        <v>46693</v>
      </c>
      <c r="B17468" s="11" t="n">
        <f aca="false">MOD(ROW()-9,24)</f>
        <v>11</v>
      </c>
      <c r="C17468" s="12"/>
      <c r="D17468" s="13" t="n">
        <f aca="false">IF(B17468&lt;5,Einstellungen!$B$3,Einstellungen!$B$4)</f>
        <v>29.13</v>
      </c>
      <c r="E17468" s="14" t="str">
        <f aca="false">IF(C17468="","",C17468*D17468/100)</f>
        <v/>
      </c>
      <c r="F17468" s="15" t="str">
        <f aca="false">IF(B17468&lt;5,"Go","Standard")</f>
        <v>Standard</v>
      </c>
    </row>
    <row r="17469" customFormat="false" ht="15" hidden="false" customHeight="true" outlineLevel="0" collapsed="false">
      <c r="A17469" s="10" t="n">
        <f aca="false">Einstellungen!$B$5+INT((ROW()-9)/24)</f>
        <v>46693</v>
      </c>
      <c r="B17469" s="11" t="n">
        <f aca="false">MOD(ROW()-9,24)</f>
        <v>12</v>
      </c>
      <c r="C17469" s="12"/>
      <c r="D17469" s="13" t="n">
        <f aca="false">IF(B17469&lt;5,Einstellungen!$B$3,Einstellungen!$B$4)</f>
        <v>29.13</v>
      </c>
      <c r="E17469" s="14" t="str">
        <f aca="false">IF(C17469="","",C17469*D17469/100)</f>
        <v/>
      </c>
      <c r="F17469" s="15" t="str">
        <f aca="false">IF(B17469&lt;5,"Go","Standard")</f>
        <v>Standard</v>
      </c>
    </row>
    <row r="17470" customFormat="false" ht="15" hidden="false" customHeight="true" outlineLevel="0" collapsed="false">
      <c r="A17470" s="10" t="n">
        <f aca="false">Einstellungen!$B$5+INT((ROW()-9)/24)</f>
        <v>46693</v>
      </c>
      <c r="B17470" s="11" t="n">
        <f aca="false">MOD(ROW()-9,24)</f>
        <v>13</v>
      </c>
      <c r="C17470" s="12"/>
      <c r="D17470" s="13" t="n">
        <f aca="false">IF(B17470&lt;5,Einstellungen!$B$3,Einstellungen!$B$4)</f>
        <v>29.13</v>
      </c>
      <c r="E17470" s="14" t="str">
        <f aca="false">IF(C17470="","",C17470*D17470/100)</f>
        <v/>
      </c>
      <c r="F17470" s="15" t="str">
        <f aca="false">IF(B17470&lt;5,"Go","Standard")</f>
        <v>Standard</v>
      </c>
    </row>
    <row r="17471" customFormat="false" ht="15" hidden="false" customHeight="true" outlineLevel="0" collapsed="false">
      <c r="A17471" s="10" t="n">
        <f aca="false">Einstellungen!$B$5+INT((ROW()-9)/24)</f>
        <v>46693</v>
      </c>
      <c r="B17471" s="11" t="n">
        <f aca="false">MOD(ROW()-9,24)</f>
        <v>14</v>
      </c>
      <c r="C17471" s="12"/>
      <c r="D17471" s="13" t="n">
        <f aca="false">IF(B17471&lt;5,Einstellungen!$B$3,Einstellungen!$B$4)</f>
        <v>29.13</v>
      </c>
      <c r="E17471" s="14" t="str">
        <f aca="false">IF(C17471="","",C17471*D17471/100)</f>
        <v/>
      </c>
      <c r="F17471" s="15" t="str">
        <f aca="false">IF(B17471&lt;5,"Go","Standard")</f>
        <v>Standard</v>
      </c>
    </row>
    <row r="17472" customFormat="false" ht="15" hidden="false" customHeight="true" outlineLevel="0" collapsed="false">
      <c r="A17472" s="10" t="n">
        <f aca="false">Einstellungen!$B$5+INT((ROW()-9)/24)</f>
        <v>46693</v>
      </c>
      <c r="B17472" s="11" t="n">
        <f aca="false">MOD(ROW()-9,24)</f>
        <v>15</v>
      </c>
      <c r="C17472" s="12"/>
      <c r="D17472" s="13" t="n">
        <f aca="false">IF(B17472&lt;5,Einstellungen!$B$3,Einstellungen!$B$4)</f>
        <v>29.13</v>
      </c>
      <c r="E17472" s="14" t="str">
        <f aca="false">IF(C17472="","",C17472*D17472/100)</f>
        <v/>
      </c>
      <c r="F17472" s="15" t="str">
        <f aca="false">IF(B17472&lt;5,"Go","Standard")</f>
        <v>Standard</v>
      </c>
    </row>
    <row r="17473" customFormat="false" ht="15" hidden="false" customHeight="true" outlineLevel="0" collapsed="false">
      <c r="A17473" s="10" t="n">
        <f aca="false">Einstellungen!$B$5+INT((ROW()-9)/24)</f>
        <v>46693</v>
      </c>
      <c r="B17473" s="11" t="n">
        <f aca="false">MOD(ROW()-9,24)</f>
        <v>16</v>
      </c>
      <c r="C17473" s="12"/>
      <c r="D17473" s="13" t="n">
        <f aca="false">IF(B17473&lt;5,Einstellungen!$B$3,Einstellungen!$B$4)</f>
        <v>29.13</v>
      </c>
      <c r="E17473" s="14" t="str">
        <f aca="false">IF(C17473="","",C17473*D17473/100)</f>
        <v/>
      </c>
      <c r="F17473" s="15" t="str">
        <f aca="false">IF(B17473&lt;5,"Go","Standard")</f>
        <v>Standard</v>
      </c>
    </row>
    <row r="17474" customFormat="false" ht="15" hidden="false" customHeight="true" outlineLevel="0" collapsed="false">
      <c r="A17474" s="10" t="n">
        <f aca="false">Einstellungen!$B$5+INT((ROW()-9)/24)</f>
        <v>46693</v>
      </c>
      <c r="B17474" s="11" t="n">
        <f aca="false">MOD(ROW()-9,24)</f>
        <v>17</v>
      </c>
      <c r="C17474" s="12"/>
      <c r="D17474" s="13" t="n">
        <f aca="false">IF(B17474&lt;5,Einstellungen!$B$3,Einstellungen!$B$4)</f>
        <v>29.13</v>
      </c>
      <c r="E17474" s="14" t="str">
        <f aca="false">IF(C17474="","",C17474*D17474/100)</f>
        <v/>
      </c>
      <c r="F17474" s="15" t="str">
        <f aca="false">IF(B17474&lt;5,"Go","Standard")</f>
        <v>Standard</v>
      </c>
    </row>
    <row r="17475" customFormat="false" ht="15" hidden="false" customHeight="true" outlineLevel="0" collapsed="false">
      <c r="A17475" s="10" t="n">
        <f aca="false">Einstellungen!$B$5+INT((ROW()-9)/24)</f>
        <v>46693</v>
      </c>
      <c r="B17475" s="11" t="n">
        <f aca="false">MOD(ROW()-9,24)</f>
        <v>18</v>
      </c>
      <c r="C17475" s="12"/>
      <c r="D17475" s="13" t="n">
        <f aca="false">IF(B17475&lt;5,Einstellungen!$B$3,Einstellungen!$B$4)</f>
        <v>29.13</v>
      </c>
      <c r="E17475" s="14" t="str">
        <f aca="false">IF(C17475="","",C17475*D17475/100)</f>
        <v/>
      </c>
      <c r="F17475" s="15" t="str">
        <f aca="false">IF(B17475&lt;5,"Go","Standard")</f>
        <v>Standard</v>
      </c>
    </row>
    <row r="17476" customFormat="false" ht="15" hidden="false" customHeight="true" outlineLevel="0" collapsed="false">
      <c r="A17476" s="10" t="n">
        <f aca="false">Einstellungen!$B$5+INT((ROW()-9)/24)</f>
        <v>46693</v>
      </c>
      <c r="B17476" s="11" t="n">
        <f aca="false">MOD(ROW()-9,24)</f>
        <v>19</v>
      </c>
      <c r="C17476" s="12"/>
      <c r="D17476" s="13" t="n">
        <f aca="false">IF(B17476&lt;5,Einstellungen!$B$3,Einstellungen!$B$4)</f>
        <v>29.13</v>
      </c>
      <c r="E17476" s="14" t="str">
        <f aca="false">IF(C17476="","",C17476*D17476/100)</f>
        <v/>
      </c>
      <c r="F17476" s="15" t="str">
        <f aca="false">IF(B17476&lt;5,"Go","Standard")</f>
        <v>Standard</v>
      </c>
    </row>
    <row r="17477" customFormat="false" ht="15" hidden="false" customHeight="true" outlineLevel="0" collapsed="false">
      <c r="A17477" s="10" t="n">
        <f aca="false">Einstellungen!$B$5+INT((ROW()-9)/24)</f>
        <v>46693</v>
      </c>
      <c r="B17477" s="11" t="n">
        <f aca="false">MOD(ROW()-9,24)</f>
        <v>20</v>
      </c>
      <c r="C17477" s="12"/>
      <c r="D17477" s="13" t="n">
        <f aca="false">IF(B17477&lt;5,Einstellungen!$B$3,Einstellungen!$B$4)</f>
        <v>29.13</v>
      </c>
      <c r="E17477" s="14" t="str">
        <f aca="false">IF(C17477="","",C17477*D17477/100)</f>
        <v/>
      </c>
      <c r="F17477" s="15" t="str">
        <f aca="false">IF(B17477&lt;5,"Go","Standard")</f>
        <v>Standard</v>
      </c>
    </row>
    <row r="17478" customFormat="false" ht="15" hidden="false" customHeight="true" outlineLevel="0" collapsed="false">
      <c r="A17478" s="10" t="n">
        <f aca="false">Einstellungen!$B$5+INT((ROW()-9)/24)</f>
        <v>46693</v>
      </c>
      <c r="B17478" s="11" t="n">
        <f aca="false">MOD(ROW()-9,24)</f>
        <v>21</v>
      </c>
      <c r="C17478" s="12"/>
      <c r="D17478" s="13" t="n">
        <f aca="false">IF(B17478&lt;5,Einstellungen!$B$3,Einstellungen!$B$4)</f>
        <v>29.13</v>
      </c>
      <c r="E17478" s="14" t="str">
        <f aca="false">IF(C17478="","",C17478*D17478/100)</f>
        <v/>
      </c>
      <c r="F17478" s="15" t="str">
        <f aca="false">IF(B17478&lt;5,"Go","Standard")</f>
        <v>Standard</v>
      </c>
    </row>
    <row r="17479" customFormat="false" ht="15" hidden="false" customHeight="true" outlineLevel="0" collapsed="false">
      <c r="A17479" s="10" t="n">
        <f aca="false">Einstellungen!$B$5+INT((ROW()-9)/24)</f>
        <v>46693</v>
      </c>
      <c r="B17479" s="11" t="n">
        <f aca="false">MOD(ROW()-9,24)</f>
        <v>22</v>
      </c>
      <c r="C17479" s="12"/>
      <c r="D17479" s="13" t="n">
        <f aca="false">IF(B17479&lt;5,Einstellungen!$B$3,Einstellungen!$B$4)</f>
        <v>29.13</v>
      </c>
      <c r="E17479" s="14" t="str">
        <f aca="false">IF(C17479="","",C17479*D17479/100)</f>
        <v/>
      </c>
      <c r="F17479" s="15" t="str">
        <f aca="false">IF(B17479&lt;5,"Go","Standard")</f>
        <v>Standard</v>
      </c>
    </row>
    <row r="17480" customFormat="false" ht="15" hidden="false" customHeight="true" outlineLevel="0" collapsed="false">
      <c r="A17480" s="10" t="n">
        <f aca="false">Einstellungen!$B$5+INT((ROW()-9)/24)</f>
        <v>46693</v>
      </c>
      <c r="B17480" s="11" t="n">
        <f aca="false">MOD(ROW()-9,24)</f>
        <v>23</v>
      </c>
      <c r="C17480" s="12"/>
      <c r="D17480" s="13" t="n">
        <f aca="false">IF(B17480&lt;5,Einstellungen!$B$3,Einstellungen!$B$4)</f>
        <v>29.13</v>
      </c>
      <c r="E17480" s="14" t="str">
        <f aca="false">IF(C17480="","",C17480*D17480/100)</f>
        <v/>
      </c>
      <c r="F17480" s="15" t="str">
        <f aca="false">IF(B17480&lt;5,"Go","Standard")</f>
        <v>Standard</v>
      </c>
    </row>
    <row r="17481" customFormat="false" ht="15" hidden="false" customHeight="true" outlineLevel="0" collapsed="false">
      <c r="A17481" s="10" t="n">
        <f aca="false">Einstellungen!$B$5+INT((ROW()-9)/24)</f>
        <v>46694</v>
      </c>
      <c r="B17481" s="11" t="n">
        <f aca="false">MOD(ROW()-9,24)</f>
        <v>0</v>
      </c>
      <c r="C17481" s="12"/>
      <c r="D17481" s="13" t="n">
        <f aca="false">IF(B17481&lt;5,Einstellungen!$B$3,Einstellungen!$B$4)</f>
        <v>15.92</v>
      </c>
      <c r="E17481" s="14" t="str">
        <f aca="false">IF(C17481="","",C17481*D17481/100)</f>
        <v/>
      </c>
      <c r="F17481" s="15" t="str">
        <f aca="false">IF(B17481&lt;5,"Go","Standard")</f>
        <v>Go</v>
      </c>
    </row>
    <row r="17482" customFormat="false" ht="15" hidden="false" customHeight="true" outlineLevel="0" collapsed="false">
      <c r="A17482" s="10" t="n">
        <f aca="false">Einstellungen!$B$5+INT((ROW()-9)/24)</f>
        <v>46694</v>
      </c>
      <c r="B17482" s="11" t="n">
        <f aca="false">MOD(ROW()-9,24)</f>
        <v>1</v>
      </c>
      <c r="C17482" s="12"/>
      <c r="D17482" s="13" t="n">
        <f aca="false">IF(B17482&lt;5,Einstellungen!$B$3,Einstellungen!$B$4)</f>
        <v>15.92</v>
      </c>
      <c r="E17482" s="14" t="str">
        <f aca="false">IF(C17482="","",C17482*D17482/100)</f>
        <v/>
      </c>
      <c r="F17482" s="15" t="str">
        <f aca="false">IF(B17482&lt;5,"Go","Standard")</f>
        <v>Go</v>
      </c>
    </row>
    <row r="17483" customFormat="false" ht="15" hidden="false" customHeight="true" outlineLevel="0" collapsed="false">
      <c r="A17483" s="10" t="n">
        <f aca="false">Einstellungen!$B$5+INT((ROW()-9)/24)</f>
        <v>46694</v>
      </c>
      <c r="B17483" s="11" t="n">
        <f aca="false">MOD(ROW()-9,24)</f>
        <v>2</v>
      </c>
      <c r="C17483" s="12"/>
      <c r="D17483" s="13" t="n">
        <f aca="false">IF(B17483&lt;5,Einstellungen!$B$3,Einstellungen!$B$4)</f>
        <v>15.92</v>
      </c>
      <c r="E17483" s="14" t="str">
        <f aca="false">IF(C17483="","",C17483*D17483/100)</f>
        <v/>
      </c>
      <c r="F17483" s="15" t="str">
        <f aca="false">IF(B17483&lt;5,"Go","Standard")</f>
        <v>Go</v>
      </c>
    </row>
    <row r="17484" customFormat="false" ht="15" hidden="false" customHeight="true" outlineLevel="0" collapsed="false">
      <c r="A17484" s="10" t="n">
        <f aca="false">Einstellungen!$B$5+INT((ROW()-9)/24)</f>
        <v>46694</v>
      </c>
      <c r="B17484" s="11" t="n">
        <f aca="false">MOD(ROW()-9,24)</f>
        <v>3</v>
      </c>
      <c r="C17484" s="12"/>
      <c r="D17484" s="13" t="n">
        <f aca="false">IF(B17484&lt;5,Einstellungen!$B$3,Einstellungen!$B$4)</f>
        <v>15.92</v>
      </c>
      <c r="E17484" s="14" t="str">
        <f aca="false">IF(C17484="","",C17484*D17484/100)</f>
        <v/>
      </c>
      <c r="F17484" s="15" t="str">
        <f aca="false">IF(B17484&lt;5,"Go","Standard")</f>
        <v>Go</v>
      </c>
    </row>
    <row r="17485" customFormat="false" ht="15" hidden="false" customHeight="true" outlineLevel="0" collapsed="false">
      <c r="A17485" s="10" t="n">
        <f aca="false">Einstellungen!$B$5+INT((ROW()-9)/24)</f>
        <v>46694</v>
      </c>
      <c r="B17485" s="11" t="n">
        <f aca="false">MOD(ROW()-9,24)</f>
        <v>4</v>
      </c>
      <c r="C17485" s="12"/>
      <c r="D17485" s="13" t="n">
        <f aca="false">IF(B17485&lt;5,Einstellungen!$B$3,Einstellungen!$B$4)</f>
        <v>15.92</v>
      </c>
      <c r="E17485" s="14" t="str">
        <f aca="false">IF(C17485="","",C17485*D17485/100)</f>
        <v/>
      </c>
      <c r="F17485" s="15" t="str">
        <f aca="false">IF(B17485&lt;5,"Go","Standard")</f>
        <v>Go</v>
      </c>
    </row>
    <row r="17486" customFormat="false" ht="15" hidden="false" customHeight="true" outlineLevel="0" collapsed="false">
      <c r="A17486" s="10" t="n">
        <f aca="false">Einstellungen!$B$5+INT((ROW()-9)/24)</f>
        <v>46694</v>
      </c>
      <c r="B17486" s="11" t="n">
        <f aca="false">MOD(ROW()-9,24)</f>
        <v>5</v>
      </c>
      <c r="C17486" s="12"/>
      <c r="D17486" s="13" t="n">
        <f aca="false">IF(B17486&lt;5,Einstellungen!$B$3,Einstellungen!$B$4)</f>
        <v>29.13</v>
      </c>
      <c r="E17486" s="14" t="str">
        <f aca="false">IF(C17486="","",C17486*D17486/100)</f>
        <v/>
      </c>
      <c r="F17486" s="15" t="str">
        <f aca="false">IF(B17486&lt;5,"Go","Standard")</f>
        <v>Standard</v>
      </c>
    </row>
    <row r="17487" customFormat="false" ht="15" hidden="false" customHeight="true" outlineLevel="0" collapsed="false">
      <c r="A17487" s="10" t="n">
        <f aca="false">Einstellungen!$B$5+INT((ROW()-9)/24)</f>
        <v>46694</v>
      </c>
      <c r="B17487" s="11" t="n">
        <f aca="false">MOD(ROW()-9,24)</f>
        <v>6</v>
      </c>
      <c r="C17487" s="12"/>
      <c r="D17487" s="13" t="n">
        <f aca="false">IF(B17487&lt;5,Einstellungen!$B$3,Einstellungen!$B$4)</f>
        <v>29.13</v>
      </c>
      <c r="E17487" s="14" t="str">
        <f aca="false">IF(C17487="","",C17487*D17487/100)</f>
        <v/>
      </c>
      <c r="F17487" s="15" t="str">
        <f aca="false">IF(B17487&lt;5,"Go","Standard")</f>
        <v>Standard</v>
      </c>
    </row>
    <row r="17488" customFormat="false" ht="15" hidden="false" customHeight="true" outlineLevel="0" collapsed="false">
      <c r="A17488" s="10" t="n">
        <f aca="false">Einstellungen!$B$5+INT((ROW()-9)/24)</f>
        <v>46694</v>
      </c>
      <c r="B17488" s="11" t="n">
        <f aca="false">MOD(ROW()-9,24)</f>
        <v>7</v>
      </c>
      <c r="C17488" s="12"/>
      <c r="D17488" s="13" t="n">
        <f aca="false">IF(B17488&lt;5,Einstellungen!$B$3,Einstellungen!$B$4)</f>
        <v>29.13</v>
      </c>
      <c r="E17488" s="14" t="str">
        <f aca="false">IF(C17488="","",C17488*D17488/100)</f>
        <v/>
      </c>
      <c r="F17488" s="15" t="str">
        <f aca="false">IF(B17488&lt;5,"Go","Standard")</f>
        <v>Standard</v>
      </c>
    </row>
    <row r="17489" customFormat="false" ht="15" hidden="false" customHeight="true" outlineLevel="0" collapsed="false">
      <c r="A17489" s="10" t="n">
        <f aca="false">Einstellungen!$B$5+INT((ROW()-9)/24)</f>
        <v>46694</v>
      </c>
      <c r="B17489" s="11" t="n">
        <f aca="false">MOD(ROW()-9,24)</f>
        <v>8</v>
      </c>
      <c r="C17489" s="12"/>
      <c r="D17489" s="13" t="n">
        <f aca="false">IF(B17489&lt;5,Einstellungen!$B$3,Einstellungen!$B$4)</f>
        <v>29.13</v>
      </c>
      <c r="E17489" s="14" t="str">
        <f aca="false">IF(C17489="","",C17489*D17489/100)</f>
        <v/>
      </c>
      <c r="F17489" s="15" t="str">
        <f aca="false">IF(B17489&lt;5,"Go","Standard")</f>
        <v>Standard</v>
      </c>
    </row>
    <row r="17490" customFormat="false" ht="15" hidden="false" customHeight="true" outlineLevel="0" collapsed="false">
      <c r="A17490" s="10" t="n">
        <f aca="false">Einstellungen!$B$5+INT((ROW()-9)/24)</f>
        <v>46694</v>
      </c>
      <c r="B17490" s="11" t="n">
        <f aca="false">MOD(ROW()-9,24)</f>
        <v>9</v>
      </c>
      <c r="C17490" s="12"/>
      <c r="D17490" s="13" t="n">
        <f aca="false">IF(B17490&lt;5,Einstellungen!$B$3,Einstellungen!$B$4)</f>
        <v>29.13</v>
      </c>
      <c r="E17490" s="14" t="str">
        <f aca="false">IF(C17490="","",C17490*D17490/100)</f>
        <v/>
      </c>
      <c r="F17490" s="15" t="str">
        <f aca="false">IF(B17490&lt;5,"Go","Standard")</f>
        <v>Standard</v>
      </c>
    </row>
    <row r="17491" customFormat="false" ht="15" hidden="false" customHeight="true" outlineLevel="0" collapsed="false">
      <c r="A17491" s="10" t="n">
        <f aca="false">Einstellungen!$B$5+INT((ROW()-9)/24)</f>
        <v>46694</v>
      </c>
      <c r="B17491" s="11" t="n">
        <f aca="false">MOD(ROW()-9,24)</f>
        <v>10</v>
      </c>
      <c r="C17491" s="12"/>
      <c r="D17491" s="13" t="n">
        <f aca="false">IF(B17491&lt;5,Einstellungen!$B$3,Einstellungen!$B$4)</f>
        <v>29.13</v>
      </c>
      <c r="E17491" s="14" t="str">
        <f aca="false">IF(C17491="","",C17491*D17491/100)</f>
        <v/>
      </c>
      <c r="F17491" s="15" t="str">
        <f aca="false">IF(B17491&lt;5,"Go","Standard")</f>
        <v>Standard</v>
      </c>
    </row>
    <row r="17492" customFormat="false" ht="15" hidden="false" customHeight="true" outlineLevel="0" collapsed="false">
      <c r="A17492" s="10" t="n">
        <f aca="false">Einstellungen!$B$5+INT((ROW()-9)/24)</f>
        <v>46694</v>
      </c>
      <c r="B17492" s="11" t="n">
        <f aca="false">MOD(ROW()-9,24)</f>
        <v>11</v>
      </c>
      <c r="C17492" s="12"/>
      <c r="D17492" s="13" t="n">
        <f aca="false">IF(B17492&lt;5,Einstellungen!$B$3,Einstellungen!$B$4)</f>
        <v>29.13</v>
      </c>
      <c r="E17492" s="14" t="str">
        <f aca="false">IF(C17492="","",C17492*D17492/100)</f>
        <v/>
      </c>
      <c r="F17492" s="15" t="str">
        <f aca="false">IF(B17492&lt;5,"Go","Standard")</f>
        <v>Standard</v>
      </c>
    </row>
    <row r="17493" customFormat="false" ht="15" hidden="false" customHeight="true" outlineLevel="0" collapsed="false">
      <c r="A17493" s="10" t="n">
        <f aca="false">Einstellungen!$B$5+INT((ROW()-9)/24)</f>
        <v>46694</v>
      </c>
      <c r="B17493" s="11" t="n">
        <f aca="false">MOD(ROW()-9,24)</f>
        <v>12</v>
      </c>
      <c r="C17493" s="12"/>
      <c r="D17493" s="13" t="n">
        <f aca="false">IF(B17493&lt;5,Einstellungen!$B$3,Einstellungen!$B$4)</f>
        <v>29.13</v>
      </c>
      <c r="E17493" s="14" t="str">
        <f aca="false">IF(C17493="","",C17493*D17493/100)</f>
        <v/>
      </c>
      <c r="F17493" s="15" t="str">
        <f aca="false">IF(B17493&lt;5,"Go","Standard")</f>
        <v>Standard</v>
      </c>
    </row>
    <row r="17494" customFormat="false" ht="15" hidden="false" customHeight="true" outlineLevel="0" collapsed="false">
      <c r="A17494" s="10" t="n">
        <f aca="false">Einstellungen!$B$5+INT((ROW()-9)/24)</f>
        <v>46694</v>
      </c>
      <c r="B17494" s="11" t="n">
        <f aca="false">MOD(ROW()-9,24)</f>
        <v>13</v>
      </c>
      <c r="C17494" s="12"/>
      <c r="D17494" s="13" t="n">
        <f aca="false">IF(B17494&lt;5,Einstellungen!$B$3,Einstellungen!$B$4)</f>
        <v>29.13</v>
      </c>
      <c r="E17494" s="14" t="str">
        <f aca="false">IF(C17494="","",C17494*D17494/100)</f>
        <v/>
      </c>
      <c r="F17494" s="15" t="str">
        <f aca="false">IF(B17494&lt;5,"Go","Standard")</f>
        <v>Standard</v>
      </c>
    </row>
    <row r="17495" customFormat="false" ht="15" hidden="false" customHeight="true" outlineLevel="0" collapsed="false">
      <c r="A17495" s="10" t="n">
        <f aca="false">Einstellungen!$B$5+INT((ROW()-9)/24)</f>
        <v>46694</v>
      </c>
      <c r="B17495" s="11" t="n">
        <f aca="false">MOD(ROW()-9,24)</f>
        <v>14</v>
      </c>
      <c r="C17495" s="12"/>
      <c r="D17495" s="13" t="n">
        <f aca="false">IF(B17495&lt;5,Einstellungen!$B$3,Einstellungen!$B$4)</f>
        <v>29.13</v>
      </c>
      <c r="E17495" s="14" t="str">
        <f aca="false">IF(C17495="","",C17495*D17495/100)</f>
        <v/>
      </c>
      <c r="F17495" s="15" t="str">
        <f aca="false">IF(B17495&lt;5,"Go","Standard")</f>
        <v>Standard</v>
      </c>
    </row>
    <row r="17496" customFormat="false" ht="15" hidden="false" customHeight="true" outlineLevel="0" collapsed="false">
      <c r="A17496" s="10" t="n">
        <f aca="false">Einstellungen!$B$5+INT((ROW()-9)/24)</f>
        <v>46694</v>
      </c>
      <c r="B17496" s="11" t="n">
        <f aca="false">MOD(ROW()-9,24)</f>
        <v>15</v>
      </c>
      <c r="C17496" s="12"/>
      <c r="D17496" s="13" t="n">
        <f aca="false">IF(B17496&lt;5,Einstellungen!$B$3,Einstellungen!$B$4)</f>
        <v>29.13</v>
      </c>
      <c r="E17496" s="14" t="str">
        <f aca="false">IF(C17496="","",C17496*D17496/100)</f>
        <v/>
      </c>
      <c r="F17496" s="15" t="str">
        <f aca="false">IF(B17496&lt;5,"Go","Standard")</f>
        <v>Standard</v>
      </c>
    </row>
    <row r="17497" customFormat="false" ht="15" hidden="false" customHeight="true" outlineLevel="0" collapsed="false">
      <c r="A17497" s="10" t="n">
        <f aca="false">Einstellungen!$B$5+INT((ROW()-9)/24)</f>
        <v>46694</v>
      </c>
      <c r="B17497" s="11" t="n">
        <f aca="false">MOD(ROW()-9,24)</f>
        <v>16</v>
      </c>
      <c r="C17497" s="12"/>
      <c r="D17497" s="13" t="n">
        <f aca="false">IF(B17497&lt;5,Einstellungen!$B$3,Einstellungen!$B$4)</f>
        <v>29.13</v>
      </c>
      <c r="E17497" s="14" t="str">
        <f aca="false">IF(C17497="","",C17497*D17497/100)</f>
        <v/>
      </c>
      <c r="F17497" s="15" t="str">
        <f aca="false">IF(B17497&lt;5,"Go","Standard")</f>
        <v>Standard</v>
      </c>
    </row>
    <row r="17498" customFormat="false" ht="15" hidden="false" customHeight="true" outlineLevel="0" collapsed="false">
      <c r="A17498" s="10" t="n">
        <f aca="false">Einstellungen!$B$5+INT((ROW()-9)/24)</f>
        <v>46694</v>
      </c>
      <c r="B17498" s="11" t="n">
        <f aca="false">MOD(ROW()-9,24)</f>
        <v>17</v>
      </c>
      <c r="C17498" s="12"/>
      <c r="D17498" s="13" t="n">
        <f aca="false">IF(B17498&lt;5,Einstellungen!$B$3,Einstellungen!$B$4)</f>
        <v>29.13</v>
      </c>
      <c r="E17498" s="14" t="str">
        <f aca="false">IF(C17498="","",C17498*D17498/100)</f>
        <v/>
      </c>
      <c r="F17498" s="15" t="str">
        <f aca="false">IF(B17498&lt;5,"Go","Standard")</f>
        <v>Standard</v>
      </c>
    </row>
    <row r="17499" customFormat="false" ht="15" hidden="false" customHeight="true" outlineLevel="0" collapsed="false">
      <c r="A17499" s="10" t="n">
        <f aca="false">Einstellungen!$B$5+INT((ROW()-9)/24)</f>
        <v>46694</v>
      </c>
      <c r="B17499" s="11" t="n">
        <f aca="false">MOD(ROW()-9,24)</f>
        <v>18</v>
      </c>
      <c r="C17499" s="12"/>
      <c r="D17499" s="13" t="n">
        <f aca="false">IF(B17499&lt;5,Einstellungen!$B$3,Einstellungen!$B$4)</f>
        <v>29.13</v>
      </c>
      <c r="E17499" s="14" t="str">
        <f aca="false">IF(C17499="","",C17499*D17499/100)</f>
        <v/>
      </c>
      <c r="F17499" s="15" t="str">
        <f aca="false">IF(B17499&lt;5,"Go","Standard")</f>
        <v>Standard</v>
      </c>
    </row>
    <row r="17500" customFormat="false" ht="15" hidden="false" customHeight="true" outlineLevel="0" collapsed="false">
      <c r="A17500" s="10" t="n">
        <f aca="false">Einstellungen!$B$5+INT((ROW()-9)/24)</f>
        <v>46694</v>
      </c>
      <c r="B17500" s="11" t="n">
        <f aca="false">MOD(ROW()-9,24)</f>
        <v>19</v>
      </c>
      <c r="C17500" s="12"/>
      <c r="D17500" s="13" t="n">
        <f aca="false">IF(B17500&lt;5,Einstellungen!$B$3,Einstellungen!$B$4)</f>
        <v>29.13</v>
      </c>
      <c r="E17500" s="14" t="str">
        <f aca="false">IF(C17500="","",C17500*D17500/100)</f>
        <v/>
      </c>
      <c r="F17500" s="15" t="str">
        <f aca="false">IF(B17500&lt;5,"Go","Standard")</f>
        <v>Standard</v>
      </c>
    </row>
    <row r="17501" customFormat="false" ht="15" hidden="false" customHeight="true" outlineLevel="0" collapsed="false">
      <c r="A17501" s="10" t="n">
        <f aca="false">Einstellungen!$B$5+INT((ROW()-9)/24)</f>
        <v>46694</v>
      </c>
      <c r="B17501" s="11" t="n">
        <f aca="false">MOD(ROW()-9,24)</f>
        <v>20</v>
      </c>
      <c r="C17501" s="12"/>
      <c r="D17501" s="13" t="n">
        <f aca="false">IF(B17501&lt;5,Einstellungen!$B$3,Einstellungen!$B$4)</f>
        <v>29.13</v>
      </c>
      <c r="E17501" s="14" t="str">
        <f aca="false">IF(C17501="","",C17501*D17501/100)</f>
        <v/>
      </c>
      <c r="F17501" s="15" t="str">
        <f aca="false">IF(B17501&lt;5,"Go","Standard")</f>
        <v>Standard</v>
      </c>
    </row>
    <row r="17502" customFormat="false" ht="15" hidden="false" customHeight="true" outlineLevel="0" collapsed="false">
      <c r="A17502" s="10" t="n">
        <f aca="false">Einstellungen!$B$5+INT((ROW()-9)/24)</f>
        <v>46694</v>
      </c>
      <c r="B17502" s="11" t="n">
        <f aca="false">MOD(ROW()-9,24)</f>
        <v>21</v>
      </c>
      <c r="C17502" s="12"/>
      <c r="D17502" s="13" t="n">
        <f aca="false">IF(B17502&lt;5,Einstellungen!$B$3,Einstellungen!$B$4)</f>
        <v>29.13</v>
      </c>
      <c r="E17502" s="14" t="str">
        <f aca="false">IF(C17502="","",C17502*D17502/100)</f>
        <v/>
      </c>
      <c r="F17502" s="15" t="str">
        <f aca="false">IF(B17502&lt;5,"Go","Standard")</f>
        <v>Standard</v>
      </c>
    </row>
    <row r="17503" customFormat="false" ht="15" hidden="false" customHeight="true" outlineLevel="0" collapsed="false">
      <c r="A17503" s="10" t="n">
        <f aca="false">Einstellungen!$B$5+INT((ROW()-9)/24)</f>
        <v>46694</v>
      </c>
      <c r="B17503" s="11" t="n">
        <f aca="false">MOD(ROW()-9,24)</f>
        <v>22</v>
      </c>
      <c r="C17503" s="12"/>
      <c r="D17503" s="13" t="n">
        <f aca="false">IF(B17503&lt;5,Einstellungen!$B$3,Einstellungen!$B$4)</f>
        <v>29.13</v>
      </c>
      <c r="E17503" s="14" t="str">
        <f aca="false">IF(C17503="","",C17503*D17503/100)</f>
        <v/>
      </c>
      <c r="F17503" s="15" t="str">
        <f aca="false">IF(B17503&lt;5,"Go","Standard")</f>
        <v>Standard</v>
      </c>
    </row>
    <row r="17504" customFormat="false" ht="15" hidden="false" customHeight="true" outlineLevel="0" collapsed="false">
      <c r="A17504" s="10" t="n">
        <f aca="false">Einstellungen!$B$5+INT((ROW()-9)/24)</f>
        <v>46694</v>
      </c>
      <c r="B17504" s="11" t="n">
        <f aca="false">MOD(ROW()-9,24)</f>
        <v>23</v>
      </c>
      <c r="C17504" s="12"/>
      <c r="D17504" s="13" t="n">
        <f aca="false">IF(B17504&lt;5,Einstellungen!$B$3,Einstellungen!$B$4)</f>
        <v>29.13</v>
      </c>
      <c r="E17504" s="14" t="str">
        <f aca="false">IF(C17504="","",C17504*D17504/100)</f>
        <v/>
      </c>
      <c r="F17504" s="15" t="str">
        <f aca="false">IF(B17504&lt;5,"Go","Standard")</f>
        <v>Standard</v>
      </c>
    </row>
    <row r="17505" customFormat="false" ht="15" hidden="false" customHeight="true" outlineLevel="0" collapsed="false">
      <c r="A17505" s="10" t="n">
        <f aca="false">Einstellungen!$B$5+INT((ROW()-9)/24)</f>
        <v>46695</v>
      </c>
      <c r="B17505" s="11" t="n">
        <f aca="false">MOD(ROW()-9,24)</f>
        <v>0</v>
      </c>
      <c r="C17505" s="12"/>
      <c r="D17505" s="13" t="n">
        <f aca="false">IF(B17505&lt;5,Einstellungen!$B$3,Einstellungen!$B$4)</f>
        <v>15.92</v>
      </c>
      <c r="E17505" s="14" t="str">
        <f aca="false">IF(C17505="","",C17505*D17505/100)</f>
        <v/>
      </c>
      <c r="F17505" s="15" t="str">
        <f aca="false">IF(B17505&lt;5,"Go","Standard")</f>
        <v>Go</v>
      </c>
    </row>
    <row r="17506" customFormat="false" ht="15" hidden="false" customHeight="true" outlineLevel="0" collapsed="false">
      <c r="A17506" s="10" t="n">
        <f aca="false">Einstellungen!$B$5+INT((ROW()-9)/24)</f>
        <v>46695</v>
      </c>
      <c r="B17506" s="11" t="n">
        <f aca="false">MOD(ROW()-9,24)</f>
        <v>1</v>
      </c>
      <c r="C17506" s="12"/>
      <c r="D17506" s="13" t="n">
        <f aca="false">IF(B17506&lt;5,Einstellungen!$B$3,Einstellungen!$B$4)</f>
        <v>15.92</v>
      </c>
      <c r="E17506" s="14" t="str">
        <f aca="false">IF(C17506="","",C17506*D17506/100)</f>
        <v/>
      </c>
      <c r="F17506" s="15" t="str">
        <f aca="false">IF(B17506&lt;5,"Go","Standard")</f>
        <v>Go</v>
      </c>
    </row>
    <row r="17507" customFormat="false" ht="15" hidden="false" customHeight="true" outlineLevel="0" collapsed="false">
      <c r="A17507" s="10" t="n">
        <f aca="false">Einstellungen!$B$5+INT((ROW()-9)/24)</f>
        <v>46695</v>
      </c>
      <c r="B17507" s="11" t="n">
        <f aca="false">MOD(ROW()-9,24)</f>
        <v>2</v>
      </c>
      <c r="C17507" s="12"/>
      <c r="D17507" s="13" t="n">
        <f aca="false">IF(B17507&lt;5,Einstellungen!$B$3,Einstellungen!$B$4)</f>
        <v>15.92</v>
      </c>
      <c r="E17507" s="14" t="str">
        <f aca="false">IF(C17507="","",C17507*D17507/100)</f>
        <v/>
      </c>
      <c r="F17507" s="15" t="str">
        <f aca="false">IF(B17507&lt;5,"Go","Standard")</f>
        <v>Go</v>
      </c>
    </row>
    <row r="17508" customFormat="false" ht="15" hidden="false" customHeight="true" outlineLevel="0" collapsed="false">
      <c r="A17508" s="10" t="n">
        <f aca="false">Einstellungen!$B$5+INT((ROW()-9)/24)</f>
        <v>46695</v>
      </c>
      <c r="B17508" s="11" t="n">
        <f aca="false">MOD(ROW()-9,24)</f>
        <v>3</v>
      </c>
      <c r="C17508" s="12"/>
      <c r="D17508" s="13" t="n">
        <f aca="false">IF(B17508&lt;5,Einstellungen!$B$3,Einstellungen!$B$4)</f>
        <v>15.92</v>
      </c>
      <c r="E17508" s="14" t="str">
        <f aca="false">IF(C17508="","",C17508*D17508/100)</f>
        <v/>
      </c>
      <c r="F17508" s="15" t="str">
        <f aca="false">IF(B17508&lt;5,"Go","Standard")</f>
        <v>Go</v>
      </c>
    </row>
    <row r="17509" customFormat="false" ht="15" hidden="false" customHeight="true" outlineLevel="0" collapsed="false">
      <c r="A17509" s="10" t="n">
        <f aca="false">Einstellungen!$B$5+INT((ROW()-9)/24)</f>
        <v>46695</v>
      </c>
      <c r="B17509" s="11" t="n">
        <f aca="false">MOD(ROW()-9,24)</f>
        <v>4</v>
      </c>
      <c r="C17509" s="12"/>
      <c r="D17509" s="13" t="n">
        <f aca="false">IF(B17509&lt;5,Einstellungen!$B$3,Einstellungen!$B$4)</f>
        <v>15.92</v>
      </c>
      <c r="E17509" s="14" t="str">
        <f aca="false">IF(C17509="","",C17509*D17509/100)</f>
        <v/>
      </c>
      <c r="F17509" s="15" t="str">
        <f aca="false">IF(B17509&lt;5,"Go","Standard")</f>
        <v>Go</v>
      </c>
    </row>
    <row r="17510" customFormat="false" ht="15" hidden="false" customHeight="true" outlineLevel="0" collapsed="false">
      <c r="A17510" s="10" t="n">
        <f aca="false">Einstellungen!$B$5+INT((ROW()-9)/24)</f>
        <v>46695</v>
      </c>
      <c r="B17510" s="11" t="n">
        <f aca="false">MOD(ROW()-9,24)</f>
        <v>5</v>
      </c>
      <c r="C17510" s="12"/>
      <c r="D17510" s="13" t="n">
        <f aca="false">IF(B17510&lt;5,Einstellungen!$B$3,Einstellungen!$B$4)</f>
        <v>29.13</v>
      </c>
      <c r="E17510" s="14" t="str">
        <f aca="false">IF(C17510="","",C17510*D17510/100)</f>
        <v/>
      </c>
      <c r="F17510" s="15" t="str">
        <f aca="false">IF(B17510&lt;5,"Go","Standard")</f>
        <v>Standard</v>
      </c>
    </row>
    <row r="17511" customFormat="false" ht="15" hidden="false" customHeight="true" outlineLevel="0" collapsed="false">
      <c r="A17511" s="10" t="n">
        <f aca="false">Einstellungen!$B$5+INT((ROW()-9)/24)</f>
        <v>46695</v>
      </c>
      <c r="B17511" s="11" t="n">
        <f aca="false">MOD(ROW()-9,24)</f>
        <v>6</v>
      </c>
      <c r="C17511" s="12"/>
      <c r="D17511" s="13" t="n">
        <f aca="false">IF(B17511&lt;5,Einstellungen!$B$3,Einstellungen!$B$4)</f>
        <v>29.13</v>
      </c>
      <c r="E17511" s="14" t="str">
        <f aca="false">IF(C17511="","",C17511*D17511/100)</f>
        <v/>
      </c>
      <c r="F17511" s="15" t="str">
        <f aca="false">IF(B17511&lt;5,"Go","Standard")</f>
        <v>Standard</v>
      </c>
    </row>
    <row r="17512" customFormat="false" ht="15" hidden="false" customHeight="true" outlineLevel="0" collapsed="false">
      <c r="A17512" s="10" t="n">
        <f aca="false">Einstellungen!$B$5+INT((ROW()-9)/24)</f>
        <v>46695</v>
      </c>
      <c r="B17512" s="11" t="n">
        <f aca="false">MOD(ROW()-9,24)</f>
        <v>7</v>
      </c>
      <c r="C17512" s="12"/>
      <c r="D17512" s="13" t="n">
        <f aca="false">IF(B17512&lt;5,Einstellungen!$B$3,Einstellungen!$B$4)</f>
        <v>29.13</v>
      </c>
      <c r="E17512" s="14" t="str">
        <f aca="false">IF(C17512="","",C17512*D17512/100)</f>
        <v/>
      </c>
      <c r="F17512" s="15" t="str">
        <f aca="false">IF(B17512&lt;5,"Go","Standard")</f>
        <v>Standard</v>
      </c>
    </row>
    <row r="17513" customFormat="false" ht="15" hidden="false" customHeight="true" outlineLevel="0" collapsed="false">
      <c r="A17513" s="10" t="n">
        <f aca="false">Einstellungen!$B$5+INT((ROW()-9)/24)</f>
        <v>46695</v>
      </c>
      <c r="B17513" s="11" t="n">
        <f aca="false">MOD(ROW()-9,24)</f>
        <v>8</v>
      </c>
      <c r="C17513" s="12"/>
      <c r="D17513" s="13" t="n">
        <f aca="false">IF(B17513&lt;5,Einstellungen!$B$3,Einstellungen!$B$4)</f>
        <v>29.13</v>
      </c>
      <c r="E17513" s="14" t="str">
        <f aca="false">IF(C17513="","",C17513*D17513/100)</f>
        <v/>
      </c>
      <c r="F17513" s="15" t="str">
        <f aca="false">IF(B17513&lt;5,"Go","Standard")</f>
        <v>Standard</v>
      </c>
    </row>
    <row r="17514" customFormat="false" ht="15" hidden="false" customHeight="true" outlineLevel="0" collapsed="false">
      <c r="A17514" s="10" t="n">
        <f aca="false">Einstellungen!$B$5+INT((ROW()-9)/24)</f>
        <v>46695</v>
      </c>
      <c r="B17514" s="11" t="n">
        <f aca="false">MOD(ROW()-9,24)</f>
        <v>9</v>
      </c>
      <c r="C17514" s="12"/>
      <c r="D17514" s="13" t="n">
        <f aca="false">IF(B17514&lt;5,Einstellungen!$B$3,Einstellungen!$B$4)</f>
        <v>29.13</v>
      </c>
      <c r="E17514" s="14" t="str">
        <f aca="false">IF(C17514="","",C17514*D17514/100)</f>
        <v/>
      </c>
      <c r="F17514" s="15" t="str">
        <f aca="false">IF(B17514&lt;5,"Go","Standard")</f>
        <v>Standard</v>
      </c>
    </row>
    <row r="17515" customFormat="false" ht="15" hidden="false" customHeight="true" outlineLevel="0" collapsed="false">
      <c r="A17515" s="10" t="n">
        <f aca="false">Einstellungen!$B$5+INT((ROW()-9)/24)</f>
        <v>46695</v>
      </c>
      <c r="B17515" s="11" t="n">
        <f aca="false">MOD(ROW()-9,24)</f>
        <v>10</v>
      </c>
      <c r="C17515" s="12"/>
      <c r="D17515" s="13" t="n">
        <f aca="false">IF(B17515&lt;5,Einstellungen!$B$3,Einstellungen!$B$4)</f>
        <v>29.13</v>
      </c>
      <c r="E17515" s="14" t="str">
        <f aca="false">IF(C17515="","",C17515*D17515/100)</f>
        <v/>
      </c>
      <c r="F17515" s="15" t="str">
        <f aca="false">IF(B17515&lt;5,"Go","Standard")</f>
        <v>Standard</v>
      </c>
    </row>
    <row r="17516" customFormat="false" ht="15" hidden="false" customHeight="true" outlineLevel="0" collapsed="false">
      <c r="A17516" s="10" t="n">
        <f aca="false">Einstellungen!$B$5+INT((ROW()-9)/24)</f>
        <v>46695</v>
      </c>
      <c r="B17516" s="11" t="n">
        <f aca="false">MOD(ROW()-9,24)</f>
        <v>11</v>
      </c>
      <c r="C17516" s="12"/>
      <c r="D17516" s="13" t="n">
        <f aca="false">IF(B17516&lt;5,Einstellungen!$B$3,Einstellungen!$B$4)</f>
        <v>29.13</v>
      </c>
      <c r="E17516" s="14" t="str">
        <f aca="false">IF(C17516="","",C17516*D17516/100)</f>
        <v/>
      </c>
      <c r="F17516" s="15" t="str">
        <f aca="false">IF(B17516&lt;5,"Go","Standard")</f>
        <v>Standard</v>
      </c>
    </row>
    <row r="17517" customFormat="false" ht="15" hidden="false" customHeight="true" outlineLevel="0" collapsed="false">
      <c r="A17517" s="10" t="n">
        <f aca="false">Einstellungen!$B$5+INT((ROW()-9)/24)</f>
        <v>46695</v>
      </c>
      <c r="B17517" s="11" t="n">
        <f aca="false">MOD(ROW()-9,24)</f>
        <v>12</v>
      </c>
      <c r="C17517" s="12"/>
      <c r="D17517" s="13" t="n">
        <f aca="false">IF(B17517&lt;5,Einstellungen!$B$3,Einstellungen!$B$4)</f>
        <v>29.13</v>
      </c>
      <c r="E17517" s="14" t="str">
        <f aca="false">IF(C17517="","",C17517*D17517/100)</f>
        <v/>
      </c>
      <c r="F17517" s="15" t="str">
        <f aca="false">IF(B17517&lt;5,"Go","Standard")</f>
        <v>Standard</v>
      </c>
    </row>
    <row r="17518" customFormat="false" ht="15" hidden="false" customHeight="true" outlineLevel="0" collapsed="false">
      <c r="A17518" s="10" t="n">
        <f aca="false">Einstellungen!$B$5+INT((ROW()-9)/24)</f>
        <v>46695</v>
      </c>
      <c r="B17518" s="11" t="n">
        <f aca="false">MOD(ROW()-9,24)</f>
        <v>13</v>
      </c>
      <c r="C17518" s="12"/>
      <c r="D17518" s="13" t="n">
        <f aca="false">IF(B17518&lt;5,Einstellungen!$B$3,Einstellungen!$B$4)</f>
        <v>29.13</v>
      </c>
      <c r="E17518" s="14" t="str">
        <f aca="false">IF(C17518="","",C17518*D17518/100)</f>
        <v/>
      </c>
      <c r="F17518" s="15" t="str">
        <f aca="false">IF(B17518&lt;5,"Go","Standard")</f>
        <v>Standard</v>
      </c>
    </row>
    <row r="17519" customFormat="false" ht="15" hidden="false" customHeight="true" outlineLevel="0" collapsed="false">
      <c r="A17519" s="10" t="n">
        <f aca="false">Einstellungen!$B$5+INT((ROW()-9)/24)</f>
        <v>46695</v>
      </c>
      <c r="B17519" s="11" t="n">
        <f aca="false">MOD(ROW()-9,24)</f>
        <v>14</v>
      </c>
      <c r="C17519" s="12"/>
      <c r="D17519" s="13" t="n">
        <f aca="false">IF(B17519&lt;5,Einstellungen!$B$3,Einstellungen!$B$4)</f>
        <v>29.13</v>
      </c>
      <c r="E17519" s="14" t="str">
        <f aca="false">IF(C17519="","",C17519*D17519/100)</f>
        <v/>
      </c>
      <c r="F17519" s="15" t="str">
        <f aca="false">IF(B17519&lt;5,"Go","Standard")</f>
        <v>Standard</v>
      </c>
    </row>
    <row r="17520" customFormat="false" ht="15" hidden="false" customHeight="true" outlineLevel="0" collapsed="false">
      <c r="A17520" s="10" t="n">
        <f aca="false">Einstellungen!$B$5+INT((ROW()-9)/24)</f>
        <v>46695</v>
      </c>
      <c r="B17520" s="11" t="n">
        <f aca="false">MOD(ROW()-9,24)</f>
        <v>15</v>
      </c>
      <c r="C17520" s="12"/>
      <c r="D17520" s="13" t="n">
        <f aca="false">IF(B17520&lt;5,Einstellungen!$B$3,Einstellungen!$B$4)</f>
        <v>29.13</v>
      </c>
      <c r="E17520" s="14" t="str">
        <f aca="false">IF(C17520="","",C17520*D17520/100)</f>
        <v/>
      </c>
      <c r="F17520" s="15" t="str">
        <f aca="false">IF(B17520&lt;5,"Go","Standard")</f>
        <v>Standard</v>
      </c>
    </row>
    <row r="17521" customFormat="false" ht="15" hidden="false" customHeight="true" outlineLevel="0" collapsed="false">
      <c r="A17521" s="10" t="n">
        <f aca="false">Einstellungen!$B$5+INT((ROW()-9)/24)</f>
        <v>46695</v>
      </c>
      <c r="B17521" s="11" t="n">
        <f aca="false">MOD(ROW()-9,24)</f>
        <v>16</v>
      </c>
      <c r="C17521" s="12"/>
      <c r="D17521" s="13" t="n">
        <f aca="false">IF(B17521&lt;5,Einstellungen!$B$3,Einstellungen!$B$4)</f>
        <v>29.13</v>
      </c>
      <c r="E17521" s="14" t="str">
        <f aca="false">IF(C17521="","",C17521*D17521/100)</f>
        <v/>
      </c>
      <c r="F17521" s="15" t="str">
        <f aca="false">IF(B17521&lt;5,"Go","Standard")</f>
        <v>Standard</v>
      </c>
    </row>
    <row r="17522" customFormat="false" ht="15" hidden="false" customHeight="true" outlineLevel="0" collapsed="false">
      <c r="A17522" s="10" t="n">
        <f aca="false">Einstellungen!$B$5+INT((ROW()-9)/24)</f>
        <v>46695</v>
      </c>
      <c r="B17522" s="11" t="n">
        <f aca="false">MOD(ROW()-9,24)</f>
        <v>17</v>
      </c>
      <c r="C17522" s="12"/>
      <c r="D17522" s="13" t="n">
        <f aca="false">IF(B17522&lt;5,Einstellungen!$B$3,Einstellungen!$B$4)</f>
        <v>29.13</v>
      </c>
      <c r="E17522" s="14" t="str">
        <f aca="false">IF(C17522="","",C17522*D17522/100)</f>
        <v/>
      </c>
      <c r="F17522" s="15" t="str">
        <f aca="false">IF(B17522&lt;5,"Go","Standard")</f>
        <v>Standard</v>
      </c>
    </row>
    <row r="17523" customFormat="false" ht="15" hidden="false" customHeight="true" outlineLevel="0" collapsed="false">
      <c r="A17523" s="10" t="n">
        <f aca="false">Einstellungen!$B$5+INT((ROW()-9)/24)</f>
        <v>46695</v>
      </c>
      <c r="B17523" s="11" t="n">
        <f aca="false">MOD(ROW()-9,24)</f>
        <v>18</v>
      </c>
      <c r="C17523" s="12"/>
      <c r="D17523" s="13" t="n">
        <f aca="false">IF(B17523&lt;5,Einstellungen!$B$3,Einstellungen!$B$4)</f>
        <v>29.13</v>
      </c>
      <c r="E17523" s="14" t="str">
        <f aca="false">IF(C17523="","",C17523*D17523/100)</f>
        <v/>
      </c>
      <c r="F17523" s="15" t="str">
        <f aca="false">IF(B17523&lt;5,"Go","Standard")</f>
        <v>Standard</v>
      </c>
    </row>
    <row r="17524" customFormat="false" ht="15" hidden="false" customHeight="true" outlineLevel="0" collapsed="false">
      <c r="A17524" s="10" t="n">
        <f aca="false">Einstellungen!$B$5+INT((ROW()-9)/24)</f>
        <v>46695</v>
      </c>
      <c r="B17524" s="11" t="n">
        <f aca="false">MOD(ROW()-9,24)</f>
        <v>19</v>
      </c>
      <c r="C17524" s="12"/>
      <c r="D17524" s="13" t="n">
        <f aca="false">IF(B17524&lt;5,Einstellungen!$B$3,Einstellungen!$B$4)</f>
        <v>29.13</v>
      </c>
      <c r="E17524" s="14" t="str">
        <f aca="false">IF(C17524="","",C17524*D17524/100)</f>
        <v/>
      </c>
      <c r="F17524" s="15" t="str">
        <f aca="false">IF(B17524&lt;5,"Go","Standard")</f>
        <v>Standard</v>
      </c>
    </row>
    <row r="17525" customFormat="false" ht="15" hidden="false" customHeight="true" outlineLevel="0" collapsed="false">
      <c r="A17525" s="10" t="n">
        <f aca="false">Einstellungen!$B$5+INT((ROW()-9)/24)</f>
        <v>46695</v>
      </c>
      <c r="B17525" s="11" t="n">
        <f aca="false">MOD(ROW()-9,24)</f>
        <v>20</v>
      </c>
      <c r="C17525" s="12"/>
      <c r="D17525" s="13" t="n">
        <f aca="false">IF(B17525&lt;5,Einstellungen!$B$3,Einstellungen!$B$4)</f>
        <v>29.13</v>
      </c>
      <c r="E17525" s="14" t="str">
        <f aca="false">IF(C17525="","",C17525*D17525/100)</f>
        <v/>
      </c>
      <c r="F17525" s="15" t="str">
        <f aca="false">IF(B17525&lt;5,"Go","Standard")</f>
        <v>Standard</v>
      </c>
    </row>
    <row r="17526" customFormat="false" ht="15" hidden="false" customHeight="true" outlineLevel="0" collapsed="false">
      <c r="A17526" s="10" t="n">
        <f aca="false">Einstellungen!$B$5+INT((ROW()-9)/24)</f>
        <v>46695</v>
      </c>
      <c r="B17526" s="11" t="n">
        <f aca="false">MOD(ROW()-9,24)</f>
        <v>21</v>
      </c>
      <c r="C17526" s="12"/>
      <c r="D17526" s="13" t="n">
        <f aca="false">IF(B17526&lt;5,Einstellungen!$B$3,Einstellungen!$B$4)</f>
        <v>29.13</v>
      </c>
      <c r="E17526" s="14" t="str">
        <f aca="false">IF(C17526="","",C17526*D17526/100)</f>
        <v/>
      </c>
      <c r="F17526" s="15" t="str">
        <f aca="false">IF(B17526&lt;5,"Go","Standard")</f>
        <v>Standard</v>
      </c>
    </row>
    <row r="17527" customFormat="false" ht="15" hidden="false" customHeight="true" outlineLevel="0" collapsed="false">
      <c r="A17527" s="10" t="n">
        <f aca="false">Einstellungen!$B$5+INT((ROW()-9)/24)</f>
        <v>46695</v>
      </c>
      <c r="B17527" s="11" t="n">
        <f aca="false">MOD(ROW()-9,24)</f>
        <v>22</v>
      </c>
      <c r="C17527" s="12"/>
      <c r="D17527" s="13" t="n">
        <f aca="false">IF(B17527&lt;5,Einstellungen!$B$3,Einstellungen!$B$4)</f>
        <v>29.13</v>
      </c>
      <c r="E17527" s="14" t="str">
        <f aca="false">IF(C17527="","",C17527*D17527/100)</f>
        <v/>
      </c>
      <c r="F17527" s="15" t="str">
        <f aca="false">IF(B17527&lt;5,"Go","Standard")</f>
        <v>Standard</v>
      </c>
    </row>
    <row r="17528" customFormat="false" ht="15" hidden="false" customHeight="true" outlineLevel="0" collapsed="false">
      <c r="A17528" s="10" t="n">
        <f aca="false">Einstellungen!$B$5+INT((ROW()-9)/24)</f>
        <v>46695</v>
      </c>
      <c r="B17528" s="11" t="n">
        <f aca="false">MOD(ROW()-9,24)</f>
        <v>23</v>
      </c>
      <c r="C17528" s="12"/>
      <c r="D17528" s="13" t="n">
        <f aca="false">IF(B17528&lt;5,Einstellungen!$B$3,Einstellungen!$B$4)</f>
        <v>29.13</v>
      </c>
      <c r="E17528" s="14" t="str">
        <f aca="false">IF(C17528="","",C17528*D17528/100)</f>
        <v/>
      </c>
      <c r="F17528" s="15" t="str">
        <f aca="false">IF(B17528&lt;5,"Go","Standard")</f>
        <v>Standard</v>
      </c>
    </row>
    <row r="17529" customFormat="false" ht="15" hidden="false" customHeight="true" outlineLevel="0" collapsed="false">
      <c r="A17529" s="10" t="n">
        <f aca="false">Einstellungen!$B$5+INT((ROW()-9)/24)</f>
        <v>46696</v>
      </c>
      <c r="B17529" s="11" t="n">
        <f aca="false">MOD(ROW()-9,24)</f>
        <v>0</v>
      </c>
      <c r="C17529" s="12"/>
      <c r="D17529" s="13" t="n">
        <f aca="false">IF(B17529&lt;5,Einstellungen!$B$3,Einstellungen!$B$4)</f>
        <v>15.92</v>
      </c>
      <c r="E17529" s="14" t="str">
        <f aca="false">IF(C17529="","",C17529*D17529/100)</f>
        <v/>
      </c>
      <c r="F17529" s="15" t="str">
        <f aca="false">IF(B17529&lt;5,"Go","Standard")</f>
        <v>Go</v>
      </c>
    </row>
    <row r="17530" customFormat="false" ht="15" hidden="false" customHeight="true" outlineLevel="0" collapsed="false">
      <c r="A17530" s="10" t="n">
        <f aca="false">Einstellungen!$B$5+INT((ROW()-9)/24)</f>
        <v>46696</v>
      </c>
      <c r="B17530" s="11" t="n">
        <f aca="false">MOD(ROW()-9,24)</f>
        <v>1</v>
      </c>
      <c r="C17530" s="12"/>
      <c r="D17530" s="13" t="n">
        <f aca="false">IF(B17530&lt;5,Einstellungen!$B$3,Einstellungen!$B$4)</f>
        <v>15.92</v>
      </c>
      <c r="E17530" s="14" t="str">
        <f aca="false">IF(C17530="","",C17530*D17530/100)</f>
        <v/>
      </c>
      <c r="F17530" s="15" t="str">
        <f aca="false">IF(B17530&lt;5,"Go","Standard")</f>
        <v>Go</v>
      </c>
    </row>
    <row r="17531" customFormat="false" ht="15" hidden="false" customHeight="true" outlineLevel="0" collapsed="false">
      <c r="A17531" s="10" t="n">
        <f aca="false">Einstellungen!$B$5+INT((ROW()-9)/24)</f>
        <v>46696</v>
      </c>
      <c r="B17531" s="11" t="n">
        <f aca="false">MOD(ROW()-9,24)</f>
        <v>2</v>
      </c>
      <c r="C17531" s="12"/>
      <c r="D17531" s="13" t="n">
        <f aca="false">IF(B17531&lt;5,Einstellungen!$B$3,Einstellungen!$B$4)</f>
        <v>15.92</v>
      </c>
      <c r="E17531" s="14" t="str">
        <f aca="false">IF(C17531="","",C17531*D17531/100)</f>
        <v/>
      </c>
      <c r="F17531" s="15" t="str">
        <f aca="false">IF(B17531&lt;5,"Go","Standard")</f>
        <v>Go</v>
      </c>
    </row>
    <row r="17532" customFormat="false" ht="15" hidden="false" customHeight="true" outlineLevel="0" collapsed="false">
      <c r="A17532" s="10" t="n">
        <f aca="false">Einstellungen!$B$5+INT((ROW()-9)/24)</f>
        <v>46696</v>
      </c>
      <c r="B17532" s="11" t="n">
        <f aca="false">MOD(ROW()-9,24)</f>
        <v>3</v>
      </c>
      <c r="C17532" s="12"/>
      <c r="D17532" s="13" t="n">
        <f aca="false">IF(B17532&lt;5,Einstellungen!$B$3,Einstellungen!$B$4)</f>
        <v>15.92</v>
      </c>
      <c r="E17532" s="14" t="str">
        <f aca="false">IF(C17532="","",C17532*D17532/100)</f>
        <v/>
      </c>
      <c r="F17532" s="15" t="str">
        <f aca="false">IF(B17532&lt;5,"Go","Standard")</f>
        <v>Go</v>
      </c>
    </row>
    <row r="17533" customFormat="false" ht="15" hidden="false" customHeight="true" outlineLevel="0" collapsed="false">
      <c r="A17533" s="10" t="n">
        <f aca="false">Einstellungen!$B$5+INT((ROW()-9)/24)</f>
        <v>46696</v>
      </c>
      <c r="B17533" s="11" t="n">
        <f aca="false">MOD(ROW()-9,24)</f>
        <v>4</v>
      </c>
      <c r="C17533" s="12"/>
      <c r="D17533" s="13" t="n">
        <f aca="false">IF(B17533&lt;5,Einstellungen!$B$3,Einstellungen!$B$4)</f>
        <v>15.92</v>
      </c>
      <c r="E17533" s="14" t="str">
        <f aca="false">IF(C17533="","",C17533*D17533/100)</f>
        <v/>
      </c>
      <c r="F17533" s="15" t="str">
        <f aca="false">IF(B17533&lt;5,"Go","Standard")</f>
        <v>Go</v>
      </c>
    </row>
    <row r="17534" customFormat="false" ht="15" hidden="false" customHeight="true" outlineLevel="0" collapsed="false">
      <c r="A17534" s="10" t="n">
        <f aca="false">Einstellungen!$B$5+INT((ROW()-9)/24)</f>
        <v>46696</v>
      </c>
      <c r="B17534" s="11" t="n">
        <f aca="false">MOD(ROW()-9,24)</f>
        <v>5</v>
      </c>
      <c r="C17534" s="12"/>
      <c r="D17534" s="13" t="n">
        <f aca="false">IF(B17534&lt;5,Einstellungen!$B$3,Einstellungen!$B$4)</f>
        <v>29.13</v>
      </c>
      <c r="E17534" s="14" t="str">
        <f aca="false">IF(C17534="","",C17534*D17534/100)</f>
        <v/>
      </c>
      <c r="F17534" s="15" t="str">
        <f aca="false">IF(B17534&lt;5,"Go","Standard")</f>
        <v>Standard</v>
      </c>
    </row>
    <row r="17535" customFormat="false" ht="15" hidden="false" customHeight="true" outlineLevel="0" collapsed="false">
      <c r="A17535" s="10" t="n">
        <f aca="false">Einstellungen!$B$5+INT((ROW()-9)/24)</f>
        <v>46696</v>
      </c>
      <c r="B17535" s="11" t="n">
        <f aca="false">MOD(ROW()-9,24)</f>
        <v>6</v>
      </c>
      <c r="C17535" s="12"/>
      <c r="D17535" s="13" t="n">
        <f aca="false">IF(B17535&lt;5,Einstellungen!$B$3,Einstellungen!$B$4)</f>
        <v>29.13</v>
      </c>
      <c r="E17535" s="14" t="str">
        <f aca="false">IF(C17535="","",C17535*D17535/100)</f>
        <v/>
      </c>
      <c r="F17535" s="15" t="str">
        <f aca="false">IF(B17535&lt;5,"Go","Standard")</f>
        <v>Standard</v>
      </c>
    </row>
    <row r="17536" customFormat="false" ht="15" hidden="false" customHeight="true" outlineLevel="0" collapsed="false">
      <c r="A17536" s="10" t="n">
        <f aca="false">Einstellungen!$B$5+INT((ROW()-9)/24)</f>
        <v>46696</v>
      </c>
      <c r="B17536" s="11" t="n">
        <f aca="false">MOD(ROW()-9,24)</f>
        <v>7</v>
      </c>
      <c r="C17536" s="12"/>
      <c r="D17536" s="13" t="n">
        <f aca="false">IF(B17536&lt;5,Einstellungen!$B$3,Einstellungen!$B$4)</f>
        <v>29.13</v>
      </c>
      <c r="E17536" s="14" t="str">
        <f aca="false">IF(C17536="","",C17536*D17536/100)</f>
        <v/>
      </c>
      <c r="F17536" s="15" t="str">
        <f aca="false">IF(B17536&lt;5,"Go","Standard")</f>
        <v>Standard</v>
      </c>
    </row>
    <row r="17537" customFormat="false" ht="15" hidden="false" customHeight="true" outlineLevel="0" collapsed="false">
      <c r="A17537" s="10" t="n">
        <f aca="false">Einstellungen!$B$5+INT((ROW()-9)/24)</f>
        <v>46696</v>
      </c>
      <c r="B17537" s="11" t="n">
        <f aca="false">MOD(ROW()-9,24)</f>
        <v>8</v>
      </c>
      <c r="C17537" s="12"/>
      <c r="D17537" s="13" t="n">
        <f aca="false">IF(B17537&lt;5,Einstellungen!$B$3,Einstellungen!$B$4)</f>
        <v>29.13</v>
      </c>
      <c r="E17537" s="14" t="str">
        <f aca="false">IF(C17537="","",C17537*D17537/100)</f>
        <v/>
      </c>
      <c r="F17537" s="15" t="str">
        <f aca="false">IF(B17537&lt;5,"Go","Standard")</f>
        <v>Standard</v>
      </c>
    </row>
    <row r="17538" customFormat="false" ht="15" hidden="false" customHeight="true" outlineLevel="0" collapsed="false">
      <c r="A17538" s="10" t="n">
        <f aca="false">Einstellungen!$B$5+INT((ROW()-9)/24)</f>
        <v>46696</v>
      </c>
      <c r="B17538" s="11" t="n">
        <f aca="false">MOD(ROW()-9,24)</f>
        <v>9</v>
      </c>
      <c r="C17538" s="12"/>
      <c r="D17538" s="13" t="n">
        <f aca="false">IF(B17538&lt;5,Einstellungen!$B$3,Einstellungen!$B$4)</f>
        <v>29.13</v>
      </c>
      <c r="E17538" s="14" t="str">
        <f aca="false">IF(C17538="","",C17538*D17538/100)</f>
        <v/>
      </c>
      <c r="F17538" s="15" t="str">
        <f aca="false">IF(B17538&lt;5,"Go","Standard")</f>
        <v>Standard</v>
      </c>
    </row>
    <row r="17539" customFormat="false" ht="15" hidden="false" customHeight="true" outlineLevel="0" collapsed="false">
      <c r="A17539" s="10" t="n">
        <f aca="false">Einstellungen!$B$5+INT((ROW()-9)/24)</f>
        <v>46696</v>
      </c>
      <c r="B17539" s="11" t="n">
        <f aca="false">MOD(ROW()-9,24)</f>
        <v>10</v>
      </c>
      <c r="C17539" s="12"/>
      <c r="D17539" s="13" t="n">
        <f aca="false">IF(B17539&lt;5,Einstellungen!$B$3,Einstellungen!$B$4)</f>
        <v>29.13</v>
      </c>
      <c r="E17539" s="14" t="str">
        <f aca="false">IF(C17539="","",C17539*D17539/100)</f>
        <v/>
      </c>
      <c r="F17539" s="15" t="str">
        <f aca="false">IF(B17539&lt;5,"Go","Standard")</f>
        <v>Standard</v>
      </c>
    </row>
    <row r="17540" customFormat="false" ht="15" hidden="false" customHeight="true" outlineLevel="0" collapsed="false">
      <c r="A17540" s="10" t="n">
        <f aca="false">Einstellungen!$B$5+INT((ROW()-9)/24)</f>
        <v>46696</v>
      </c>
      <c r="B17540" s="11" t="n">
        <f aca="false">MOD(ROW()-9,24)</f>
        <v>11</v>
      </c>
      <c r="C17540" s="12"/>
      <c r="D17540" s="13" t="n">
        <f aca="false">IF(B17540&lt;5,Einstellungen!$B$3,Einstellungen!$B$4)</f>
        <v>29.13</v>
      </c>
      <c r="E17540" s="14" t="str">
        <f aca="false">IF(C17540="","",C17540*D17540/100)</f>
        <v/>
      </c>
      <c r="F17540" s="15" t="str">
        <f aca="false">IF(B17540&lt;5,"Go","Standard")</f>
        <v>Standard</v>
      </c>
    </row>
    <row r="17541" customFormat="false" ht="15" hidden="false" customHeight="true" outlineLevel="0" collapsed="false">
      <c r="A17541" s="10" t="n">
        <f aca="false">Einstellungen!$B$5+INT((ROW()-9)/24)</f>
        <v>46696</v>
      </c>
      <c r="B17541" s="11" t="n">
        <f aca="false">MOD(ROW()-9,24)</f>
        <v>12</v>
      </c>
      <c r="C17541" s="12"/>
      <c r="D17541" s="13" t="n">
        <f aca="false">IF(B17541&lt;5,Einstellungen!$B$3,Einstellungen!$B$4)</f>
        <v>29.13</v>
      </c>
      <c r="E17541" s="14" t="str">
        <f aca="false">IF(C17541="","",C17541*D17541/100)</f>
        <v/>
      </c>
      <c r="F17541" s="15" t="str">
        <f aca="false">IF(B17541&lt;5,"Go","Standard")</f>
        <v>Standard</v>
      </c>
    </row>
    <row r="17542" customFormat="false" ht="15" hidden="false" customHeight="true" outlineLevel="0" collapsed="false">
      <c r="A17542" s="10" t="n">
        <f aca="false">Einstellungen!$B$5+INT((ROW()-9)/24)</f>
        <v>46696</v>
      </c>
      <c r="B17542" s="11" t="n">
        <f aca="false">MOD(ROW()-9,24)</f>
        <v>13</v>
      </c>
      <c r="C17542" s="12"/>
      <c r="D17542" s="13" t="n">
        <f aca="false">IF(B17542&lt;5,Einstellungen!$B$3,Einstellungen!$B$4)</f>
        <v>29.13</v>
      </c>
      <c r="E17542" s="14" t="str">
        <f aca="false">IF(C17542="","",C17542*D17542/100)</f>
        <v/>
      </c>
      <c r="F17542" s="15" t="str">
        <f aca="false">IF(B17542&lt;5,"Go","Standard")</f>
        <v>Standard</v>
      </c>
    </row>
    <row r="17543" customFormat="false" ht="15" hidden="false" customHeight="true" outlineLevel="0" collapsed="false">
      <c r="A17543" s="10" t="n">
        <f aca="false">Einstellungen!$B$5+INT((ROW()-9)/24)</f>
        <v>46696</v>
      </c>
      <c r="B17543" s="11" t="n">
        <f aca="false">MOD(ROW()-9,24)</f>
        <v>14</v>
      </c>
      <c r="C17543" s="12"/>
      <c r="D17543" s="13" t="n">
        <f aca="false">IF(B17543&lt;5,Einstellungen!$B$3,Einstellungen!$B$4)</f>
        <v>29.13</v>
      </c>
      <c r="E17543" s="14" t="str">
        <f aca="false">IF(C17543="","",C17543*D17543/100)</f>
        <v/>
      </c>
      <c r="F17543" s="15" t="str">
        <f aca="false">IF(B17543&lt;5,"Go","Standard")</f>
        <v>Standard</v>
      </c>
    </row>
    <row r="17544" customFormat="false" ht="15" hidden="false" customHeight="true" outlineLevel="0" collapsed="false">
      <c r="A17544" s="10" t="n">
        <f aca="false">Einstellungen!$B$5+INT((ROW()-9)/24)</f>
        <v>46696</v>
      </c>
      <c r="B17544" s="11" t="n">
        <f aca="false">MOD(ROW()-9,24)</f>
        <v>15</v>
      </c>
      <c r="C17544" s="12"/>
      <c r="D17544" s="13" t="n">
        <f aca="false">IF(B17544&lt;5,Einstellungen!$B$3,Einstellungen!$B$4)</f>
        <v>29.13</v>
      </c>
      <c r="E17544" s="14" t="str">
        <f aca="false">IF(C17544="","",C17544*D17544/100)</f>
        <v/>
      </c>
      <c r="F17544" s="15" t="str">
        <f aca="false">IF(B17544&lt;5,"Go","Standard")</f>
        <v>Standard</v>
      </c>
    </row>
    <row r="17545" customFormat="false" ht="15" hidden="false" customHeight="true" outlineLevel="0" collapsed="false">
      <c r="A17545" s="10" t="n">
        <f aca="false">Einstellungen!$B$5+INT((ROW()-9)/24)</f>
        <v>46696</v>
      </c>
      <c r="B17545" s="11" t="n">
        <f aca="false">MOD(ROW()-9,24)</f>
        <v>16</v>
      </c>
      <c r="C17545" s="12"/>
      <c r="D17545" s="13" t="n">
        <f aca="false">IF(B17545&lt;5,Einstellungen!$B$3,Einstellungen!$B$4)</f>
        <v>29.13</v>
      </c>
      <c r="E17545" s="14" t="str">
        <f aca="false">IF(C17545="","",C17545*D17545/100)</f>
        <v/>
      </c>
      <c r="F17545" s="15" t="str">
        <f aca="false">IF(B17545&lt;5,"Go","Standard")</f>
        <v>Standard</v>
      </c>
    </row>
    <row r="17546" customFormat="false" ht="15" hidden="false" customHeight="true" outlineLevel="0" collapsed="false">
      <c r="A17546" s="10" t="n">
        <f aca="false">Einstellungen!$B$5+INT((ROW()-9)/24)</f>
        <v>46696</v>
      </c>
      <c r="B17546" s="11" t="n">
        <f aca="false">MOD(ROW()-9,24)</f>
        <v>17</v>
      </c>
      <c r="C17546" s="12"/>
      <c r="D17546" s="13" t="n">
        <f aca="false">IF(B17546&lt;5,Einstellungen!$B$3,Einstellungen!$B$4)</f>
        <v>29.13</v>
      </c>
      <c r="E17546" s="14" t="str">
        <f aca="false">IF(C17546="","",C17546*D17546/100)</f>
        <v/>
      </c>
      <c r="F17546" s="15" t="str">
        <f aca="false">IF(B17546&lt;5,"Go","Standard")</f>
        <v>Standard</v>
      </c>
    </row>
    <row r="17547" customFormat="false" ht="15" hidden="false" customHeight="true" outlineLevel="0" collapsed="false">
      <c r="A17547" s="10" t="n">
        <f aca="false">Einstellungen!$B$5+INT((ROW()-9)/24)</f>
        <v>46696</v>
      </c>
      <c r="B17547" s="11" t="n">
        <f aca="false">MOD(ROW()-9,24)</f>
        <v>18</v>
      </c>
      <c r="C17547" s="12"/>
      <c r="D17547" s="13" t="n">
        <f aca="false">IF(B17547&lt;5,Einstellungen!$B$3,Einstellungen!$B$4)</f>
        <v>29.13</v>
      </c>
      <c r="E17547" s="14" t="str">
        <f aca="false">IF(C17547="","",C17547*D17547/100)</f>
        <v/>
      </c>
      <c r="F17547" s="15" t="str">
        <f aca="false">IF(B17547&lt;5,"Go","Standard")</f>
        <v>Standard</v>
      </c>
    </row>
    <row r="17548" customFormat="false" ht="15" hidden="false" customHeight="true" outlineLevel="0" collapsed="false">
      <c r="A17548" s="10" t="n">
        <f aca="false">Einstellungen!$B$5+INT((ROW()-9)/24)</f>
        <v>46696</v>
      </c>
      <c r="B17548" s="11" t="n">
        <f aca="false">MOD(ROW()-9,24)</f>
        <v>19</v>
      </c>
      <c r="C17548" s="12"/>
      <c r="D17548" s="13" t="n">
        <f aca="false">IF(B17548&lt;5,Einstellungen!$B$3,Einstellungen!$B$4)</f>
        <v>29.13</v>
      </c>
      <c r="E17548" s="14" t="str">
        <f aca="false">IF(C17548="","",C17548*D17548/100)</f>
        <v/>
      </c>
      <c r="F17548" s="15" t="str">
        <f aca="false">IF(B17548&lt;5,"Go","Standard")</f>
        <v>Standard</v>
      </c>
    </row>
    <row r="17549" customFormat="false" ht="15" hidden="false" customHeight="true" outlineLevel="0" collapsed="false">
      <c r="A17549" s="10" t="n">
        <f aca="false">Einstellungen!$B$5+INT((ROW()-9)/24)</f>
        <v>46696</v>
      </c>
      <c r="B17549" s="11" t="n">
        <f aca="false">MOD(ROW()-9,24)</f>
        <v>20</v>
      </c>
      <c r="C17549" s="12"/>
      <c r="D17549" s="13" t="n">
        <f aca="false">IF(B17549&lt;5,Einstellungen!$B$3,Einstellungen!$B$4)</f>
        <v>29.13</v>
      </c>
      <c r="E17549" s="14" t="str">
        <f aca="false">IF(C17549="","",C17549*D17549/100)</f>
        <v/>
      </c>
      <c r="F17549" s="15" t="str">
        <f aca="false">IF(B17549&lt;5,"Go","Standard")</f>
        <v>Standard</v>
      </c>
    </row>
    <row r="17550" customFormat="false" ht="15" hidden="false" customHeight="true" outlineLevel="0" collapsed="false">
      <c r="A17550" s="10" t="n">
        <f aca="false">Einstellungen!$B$5+INT((ROW()-9)/24)</f>
        <v>46696</v>
      </c>
      <c r="B17550" s="11" t="n">
        <f aca="false">MOD(ROW()-9,24)</f>
        <v>21</v>
      </c>
      <c r="C17550" s="12"/>
      <c r="D17550" s="13" t="n">
        <f aca="false">IF(B17550&lt;5,Einstellungen!$B$3,Einstellungen!$B$4)</f>
        <v>29.13</v>
      </c>
      <c r="E17550" s="14" t="str">
        <f aca="false">IF(C17550="","",C17550*D17550/100)</f>
        <v/>
      </c>
      <c r="F17550" s="15" t="str">
        <f aca="false">IF(B17550&lt;5,"Go","Standard")</f>
        <v>Standard</v>
      </c>
    </row>
    <row r="17551" customFormat="false" ht="15" hidden="false" customHeight="true" outlineLevel="0" collapsed="false">
      <c r="A17551" s="10" t="n">
        <f aca="false">Einstellungen!$B$5+INT((ROW()-9)/24)</f>
        <v>46696</v>
      </c>
      <c r="B17551" s="11" t="n">
        <f aca="false">MOD(ROW()-9,24)</f>
        <v>22</v>
      </c>
      <c r="C17551" s="12"/>
      <c r="D17551" s="13" t="n">
        <f aca="false">IF(B17551&lt;5,Einstellungen!$B$3,Einstellungen!$B$4)</f>
        <v>29.13</v>
      </c>
      <c r="E17551" s="14" t="str">
        <f aca="false">IF(C17551="","",C17551*D17551/100)</f>
        <v/>
      </c>
      <c r="F17551" s="15" t="str">
        <f aca="false">IF(B17551&lt;5,"Go","Standard")</f>
        <v>Standard</v>
      </c>
    </row>
    <row r="17552" customFormat="false" ht="15" hidden="false" customHeight="true" outlineLevel="0" collapsed="false">
      <c r="A17552" s="10" t="n">
        <f aca="false">Einstellungen!$B$5+INT((ROW()-9)/24)</f>
        <v>46696</v>
      </c>
      <c r="B17552" s="11" t="n">
        <f aca="false">MOD(ROW()-9,24)</f>
        <v>23</v>
      </c>
      <c r="C17552" s="12"/>
      <c r="D17552" s="13" t="n">
        <f aca="false">IF(B17552&lt;5,Einstellungen!$B$3,Einstellungen!$B$4)</f>
        <v>29.13</v>
      </c>
      <c r="E17552" s="14" t="str">
        <f aca="false">IF(C17552="","",C17552*D17552/100)</f>
        <v/>
      </c>
      <c r="F17552" s="15" t="str">
        <f aca="false">IF(B17552&lt;5,"Go","Standard")</f>
        <v>Standard</v>
      </c>
    </row>
    <row r="17553" customFormat="false" ht="15" hidden="false" customHeight="true" outlineLevel="0" collapsed="false">
      <c r="A17553" s="10" t="n">
        <f aca="false">Einstellungen!$B$5+INT((ROW()-9)/24)</f>
        <v>46697</v>
      </c>
      <c r="B17553" s="11" t="n">
        <f aca="false">MOD(ROW()-9,24)</f>
        <v>0</v>
      </c>
      <c r="C17553" s="12"/>
      <c r="D17553" s="13" t="n">
        <f aca="false">IF(B17553&lt;5,Einstellungen!$B$3,Einstellungen!$B$4)</f>
        <v>15.92</v>
      </c>
      <c r="E17553" s="14" t="str">
        <f aca="false">IF(C17553="","",C17553*D17553/100)</f>
        <v/>
      </c>
      <c r="F17553" s="15" t="str">
        <f aca="false">IF(B17553&lt;5,"Go","Standard")</f>
        <v>Go</v>
      </c>
    </row>
    <row r="17554" customFormat="false" ht="15" hidden="false" customHeight="true" outlineLevel="0" collapsed="false">
      <c r="A17554" s="10" t="n">
        <f aca="false">Einstellungen!$B$5+INT((ROW()-9)/24)</f>
        <v>46697</v>
      </c>
      <c r="B17554" s="11" t="n">
        <f aca="false">MOD(ROW()-9,24)</f>
        <v>1</v>
      </c>
      <c r="C17554" s="12"/>
      <c r="D17554" s="13" t="n">
        <f aca="false">IF(B17554&lt;5,Einstellungen!$B$3,Einstellungen!$B$4)</f>
        <v>15.92</v>
      </c>
      <c r="E17554" s="14" t="str">
        <f aca="false">IF(C17554="","",C17554*D17554/100)</f>
        <v/>
      </c>
      <c r="F17554" s="15" t="str">
        <f aca="false">IF(B17554&lt;5,"Go","Standard")</f>
        <v>Go</v>
      </c>
    </row>
    <row r="17555" customFormat="false" ht="15" hidden="false" customHeight="true" outlineLevel="0" collapsed="false">
      <c r="A17555" s="10" t="n">
        <f aca="false">Einstellungen!$B$5+INT((ROW()-9)/24)</f>
        <v>46697</v>
      </c>
      <c r="B17555" s="11" t="n">
        <f aca="false">MOD(ROW()-9,24)</f>
        <v>2</v>
      </c>
      <c r="C17555" s="12"/>
      <c r="D17555" s="13" t="n">
        <f aca="false">IF(B17555&lt;5,Einstellungen!$B$3,Einstellungen!$B$4)</f>
        <v>15.92</v>
      </c>
      <c r="E17555" s="14" t="str">
        <f aca="false">IF(C17555="","",C17555*D17555/100)</f>
        <v/>
      </c>
      <c r="F17555" s="15" t="str">
        <f aca="false">IF(B17555&lt;5,"Go","Standard")</f>
        <v>Go</v>
      </c>
    </row>
    <row r="17556" customFormat="false" ht="15" hidden="false" customHeight="true" outlineLevel="0" collapsed="false">
      <c r="A17556" s="10" t="n">
        <f aca="false">Einstellungen!$B$5+INT((ROW()-9)/24)</f>
        <v>46697</v>
      </c>
      <c r="B17556" s="11" t="n">
        <f aca="false">MOD(ROW()-9,24)</f>
        <v>3</v>
      </c>
      <c r="C17556" s="12"/>
      <c r="D17556" s="13" t="n">
        <f aca="false">IF(B17556&lt;5,Einstellungen!$B$3,Einstellungen!$B$4)</f>
        <v>15.92</v>
      </c>
      <c r="E17556" s="14" t="str">
        <f aca="false">IF(C17556="","",C17556*D17556/100)</f>
        <v/>
      </c>
      <c r="F17556" s="15" t="str">
        <f aca="false">IF(B17556&lt;5,"Go","Standard")</f>
        <v>Go</v>
      </c>
    </row>
    <row r="17557" customFormat="false" ht="15" hidden="false" customHeight="true" outlineLevel="0" collapsed="false">
      <c r="A17557" s="10" t="n">
        <f aca="false">Einstellungen!$B$5+INT((ROW()-9)/24)</f>
        <v>46697</v>
      </c>
      <c r="B17557" s="11" t="n">
        <f aca="false">MOD(ROW()-9,24)</f>
        <v>4</v>
      </c>
      <c r="C17557" s="12"/>
      <c r="D17557" s="13" t="n">
        <f aca="false">IF(B17557&lt;5,Einstellungen!$B$3,Einstellungen!$B$4)</f>
        <v>15.92</v>
      </c>
      <c r="E17557" s="14" t="str">
        <f aca="false">IF(C17557="","",C17557*D17557/100)</f>
        <v/>
      </c>
      <c r="F17557" s="15" t="str">
        <f aca="false">IF(B17557&lt;5,"Go","Standard")</f>
        <v>Go</v>
      </c>
    </row>
    <row r="17558" customFormat="false" ht="15" hidden="false" customHeight="true" outlineLevel="0" collapsed="false">
      <c r="A17558" s="10" t="n">
        <f aca="false">Einstellungen!$B$5+INT((ROW()-9)/24)</f>
        <v>46697</v>
      </c>
      <c r="B17558" s="11" t="n">
        <f aca="false">MOD(ROW()-9,24)</f>
        <v>5</v>
      </c>
      <c r="C17558" s="12"/>
      <c r="D17558" s="13" t="n">
        <f aca="false">IF(B17558&lt;5,Einstellungen!$B$3,Einstellungen!$B$4)</f>
        <v>29.13</v>
      </c>
      <c r="E17558" s="14" t="str">
        <f aca="false">IF(C17558="","",C17558*D17558/100)</f>
        <v/>
      </c>
      <c r="F17558" s="15" t="str">
        <f aca="false">IF(B17558&lt;5,"Go","Standard")</f>
        <v>Standard</v>
      </c>
    </row>
    <row r="17559" customFormat="false" ht="15" hidden="false" customHeight="true" outlineLevel="0" collapsed="false">
      <c r="A17559" s="10" t="n">
        <f aca="false">Einstellungen!$B$5+INT((ROW()-9)/24)</f>
        <v>46697</v>
      </c>
      <c r="B17559" s="11" t="n">
        <f aca="false">MOD(ROW()-9,24)</f>
        <v>6</v>
      </c>
      <c r="C17559" s="12"/>
      <c r="D17559" s="13" t="n">
        <f aca="false">IF(B17559&lt;5,Einstellungen!$B$3,Einstellungen!$B$4)</f>
        <v>29.13</v>
      </c>
      <c r="E17559" s="14" t="str">
        <f aca="false">IF(C17559="","",C17559*D17559/100)</f>
        <v/>
      </c>
      <c r="F17559" s="15" t="str">
        <f aca="false">IF(B17559&lt;5,"Go","Standard")</f>
        <v>Standard</v>
      </c>
    </row>
    <row r="17560" customFormat="false" ht="15" hidden="false" customHeight="true" outlineLevel="0" collapsed="false">
      <c r="A17560" s="10" t="n">
        <f aca="false">Einstellungen!$B$5+INT((ROW()-9)/24)</f>
        <v>46697</v>
      </c>
      <c r="B17560" s="11" t="n">
        <f aca="false">MOD(ROW()-9,24)</f>
        <v>7</v>
      </c>
      <c r="C17560" s="12"/>
      <c r="D17560" s="13" t="n">
        <f aca="false">IF(B17560&lt;5,Einstellungen!$B$3,Einstellungen!$B$4)</f>
        <v>29.13</v>
      </c>
      <c r="E17560" s="14" t="str">
        <f aca="false">IF(C17560="","",C17560*D17560/100)</f>
        <v/>
      </c>
      <c r="F17560" s="15" t="str">
        <f aca="false">IF(B17560&lt;5,"Go","Standard")</f>
        <v>Standard</v>
      </c>
    </row>
    <row r="17561" customFormat="false" ht="15" hidden="false" customHeight="true" outlineLevel="0" collapsed="false">
      <c r="A17561" s="10" t="n">
        <f aca="false">Einstellungen!$B$5+INT((ROW()-9)/24)</f>
        <v>46697</v>
      </c>
      <c r="B17561" s="11" t="n">
        <f aca="false">MOD(ROW()-9,24)</f>
        <v>8</v>
      </c>
      <c r="C17561" s="12"/>
      <c r="D17561" s="13" t="n">
        <f aca="false">IF(B17561&lt;5,Einstellungen!$B$3,Einstellungen!$B$4)</f>
        <v>29.13</v>
      </c>
      <c r="E17561" s="14" t="str">
        <f aca="false">IF(C17561="","",C17561*D17561/100)</f>
        <v/>
      </c>
      <c r="F17561" s="15" t="str">
        <f aca="false">IF(B17561&lt;5,"Go","Standard")</f>
        <v>Standard</v>
      </c>
    </row>
    <row r="17562" customFormat="false" ht="15" hidden="false" customHeight="true" outlineLevel="0" collapsed="false">
      <c r="A17562" s="10" t="n">
        <f aca="false">Einstellungen!$B$5+INT((ROW()-9)/24)</f>
        <v>46697</v>
      </c>
      <c r="B17562" s="11" t="n">
        <f aca="false">MOD(ROW()-9,24)</f>
        <v>9</v>
      </c>
      <c r="C17562" s="12"/>
      <c r="D17562" s="13" t="n">
        <f aca="false">IF(B17562&lt;5,Einstellungen!$B$3,Einstellungen!$B$4)</f>
        <v>29.13</v>
      </c>
      <c r="E17562" s="14" t="str">
        <f aca="false">IF(C17562="","",C17562*D17562/100)</f>
        <v/>
      </c>
      <c r="F17562" s="15" t="str">
        <f aca="false">IF(B17562&lt;5,"Go","Standard")</f>
        <v>Standard</v>
      </c>
    </row>
    <row r="17563" customFormat="false" ht="15" hidden="false" customHeight="true" outlineLevel="0" collapsed="false">
      <c r="A17563" s="10" t="n">
        <f aca="false">Einstellungen!$B$5+INT((ROW()-9)/24)</f>
        <v>46697</v>
      </c>
      <c r="B17563" s="11" t="n">
        <f aca="false">MOD(ROW()-9,24)</f>
        <v>10</v>
      </c>
      <c r="C17563" s="12"/>
      <c r="D17563" s="13" t="n">
        <f aca="false">IF(B17563&lt;5,Einstellungen!$B$3,Einstellungen!$B$4)</f>
        <v>29.13</v>
      </c>
      <c r="E17563" s="14" t="str">
        <f aca="false">IF(C17563="","",C17563*D17563/100)</f>
        <v/>
      </c>
      <c r="F17563" s="15" t="str">
        <f aca="false">IF(B17563&lt;5,"Go","Standard")</f>
        <v>Standard</v>
      </c>
    </row>
    <row r="17564" customFormat="false" ht="15" hidden="false" customHeight="true" outlineLevel="0" collapsed="false">
      <c r="A17564" s="10" t="n">
        <f aca="false">Einstellungen!$B$5+INT((ROW()-9)/24)</f>
        <v>46697</v>
      </c>
      <c r="B17564" s="11" t="n">
        <f aca="false">MOD(ROW()-9,24)</f>
        <v>11</v>
      </c>
      <c r="C17564" s="12"/>
      <c r="D17564" s="13" t="n">
        <f aca="false">IF(B17564&lt;5,Einstellungen!$B$3,Einstellungen!$B$4)</f>
        <v>29.13</v>
      </c>
      <c r="E17564" s="14" t="str">
        <f aca="false">IF(C17564="","",C17564*D17564/100)</f>
        <v/>
      </c>
      <c r="F17564" s="15" t="str">
        <f aca="false">IF(B17564&lt;5,"Go","Standard")</f>
        <v>Standard</v>
      </c>
    </row>
    <row r="17565" customFormat="false" ht="15" hidden="false" customHeight="true" outlineLevel="0" collapsed="false">
      <c r="A17565" s="10" t="n">
        <f aca="false">Einstellungen!$B$5+INT((ROW()-9)/24)</f>
        <v>46697</v>
      </c>
      <c r="B17565" s="11" t="n">
        <f aca="false">MOD(ROW()-9,24)</f>
        <v>12</v>
      </c>
      <c r="C17565" s="12"/>
      <c r="D17565" s="13" t="n">
        <f aca="false">IF(B17565&lt;5,Einstellungen!$B$3,Einstellungen!$B$4)</f>
        <v>29.13</v>
      </c>
      <c r="E17565" s="14" t="str">
        <f aca="false">IF(C17565="","",C17565*D17565/100)</f>
        <v/>
      </c>
      <c r="F17565" s="15" t="str">
        <f aca="false">IF(B17565&lt;5,"Go","Standard")</f>
        <v>Standard</v>
      </c>
    </row>
    <row r="17566" customFormat="false" ht="15" hidden="false" customHeight="true" outlineLevel="0" collapsed="false">
      <c r="A17566" s="10" t="n">
        <f aca="false">Einstellungen!$B$5+INT((ROW()-9)/24)</f>
        <v>46697</v>
      </c>
      <c r="B17566" s="11" t="n">
        <f aca="false">MOD(ROW()-9,24)</f>
        <v>13</v>
      </c>
      <c r="C17566" s="12"/>
      <c r="D17566" s="13" t="n">
        <f aca="false">IF(B17566&lt;5,Einstellungen!$B$3,Einstellungen!$B$4)</f>
        <v>29.13</v>
      </c>
      <c r="E17566" s="14" t="str">
        <f aca="false">IF(C17566="","",C17566*D17566/100)</f>
        <v/>
      </c>
      <c r="F17566" s="15" t="str">
        <f aca="false">IF(B17566&lt;5,"Go","Standard")</f>
        <v>Standard</v>
      </c>
    </row>
    <row r="17567" customFormat="false" ht="15" hidden="false" customHeight="true" outlineLevel="0" collapsed="false">
      <c r="A17567" s="10" t="n">
        <f aca="false">Einstellungen!$B$5+INT((ROW()-9)/24)</f>
        <v>46697</v>
      </c>
      <c r="B17567" s="11" t="n">
        <f aca="false">MOD(ROW()-9,24)</f>
        <v>14</v>
      </c>
      <c r="C17567" s="12"/>
      <c r="D17567" s="13" t="n">
        <f aca="false">IF(B17567&lt;5,Einstellungen!$B$3,Einstellungen!$B$4)</f>
        <v>29.13</v>
      </c>
      <c r="E17567" s="14" t="str">
        <f aca="false">IF(C17567="","",C17567*D17567/100)</f>
        <v/>
      </c>
      <c r="F17567" s="15" t="str">
        <f aca="false">IF(B17567&lt;5,"Go","Standard")</f>
        <v>Standard</v>
      </c>
    </row>
    <row r="17568" customFormat="false" ht="15" hidden="false" customHeight="true" outlineLevel="0" collapsed="false">
      <c r="A17568" s="10" t="n">
        <f aca="false">Einstellungen!$B$5+INT((ROW()-9)/24)</f>
        <v>46697</v>
      </c>
      <c r="B17568" s="11" t="n">
        <f aca="false">MOD(ROW()-9,24)</f>
        <v>15</v>
      </c>
      <c r="C17568" s="12"/>
      <c r="D17568" s="13" t="n">
        <f aca="false">IF(B17568&lt;5,Einstellungen!$B$3,Einstellungen!$B$4)</f>
        <v>29.13</v>
      </c>
      <c r="E17568" s="14" t="str">
        <f aca="false">IF(C17568="","",C17568*D17568/100)</f>
        <v/>
      </c>
      <c r="F17568" s="15" t="str">
        <f aca="false">IF(B17568&lt;5,"Go","Standard")</f>
        <v>Standard</v>
      </c>
    </row>
    <row r="17569" customFormat="false" ht="15" hidden="false" customHeight="true" outlineLevel="0" collapsed="false">
      <c r="A17569" s="10" t="n">
        <f aca="false">Einstellungen!$B$5+INT((ROW()-9)/24)</f>
        <v>46697</v>
      </c>
      <c r="B17569" s="11" t="n">
        <f aca="false">MOD(ROW()-9,24)</f>
        <v>16</v>
      </c>
      <c r="C17569" s="12"/>
      <c r="D17569" s="13" t="n">
        <f aca="false">IF(B17569&lt;5,Einstellungen!$B$3,Einstellungen!$B$4)</f>
        <v>29.13</v>
      </c>
      <c r="E17569" s="14" t="str">
        <f aca="false">IF(C17569="","",C17569*D17569/100)</f>
        <v/>
      </c>
      <c r="F17569" s="15" t="str">
        <f aca="false">IF(B17569&lt;5,"Go","Standard")</f>
        <v>Standard</v>
      </c>
    </row>
    <row r="17570" customFormat="false" ht="15" hidden="false" customHeight="true" outlineLevel="0" collapsed="false">
      <c r="A17570" s="10" t="n">
        <f aca="false">Einstellungen!$B$5+INT((ROW()-9)/24)</f>
        <v>46697</v>
      </c>
      <c r="B17570" s="11" t="n">
        <f aca="false">MOD(ROW()-9,24)</f>
        <v>17</v>
      </c>
      <c r="C17570" s="12"/>
      <c r="D17570" s="13" t="n">
        <f aca="false">IF(B17570&lt;5,Einstellungen!$B$3,Einstellungen!$B$4)</f>
        <v>29.13</v>
      </c>
      <c r="E17570" s="14" t="str">
        <f aca="false">IF(C17570="","",C17570*D17570/100)</f>
        <v/>
      </c>
      <c r="F17570" s="15" t="str">
        <f aca="false">IF(B17570&lt;5,"Go","Standard")</f>
        <v>Standard</v>
      </c>
    </row>
    <row r="17571" customFormat="false" ht="15" hidden="false" customHeight="true" outlineLevel="0" collapsed="false">
      <c r="A17571" s="10" t="n">
        <f aca="false">Einstellungen!$B$5+INT((ROW()-9)/24)</f>
        <v>46697</v>
      </c>
      <c r="B17571" s="11" t="n">
        <f aca="false">MOD(ROW()-9,24)</f>
        <v>18</v>
      </c>
      <c r="C17571" s="12"/>
      <c r="D17571" s="13" t="n">
        <f aca="false">IF(B17571&lt;5,Einstellungen!$B$3,Einstellungen!$B$4)</f>
        <v>29.13</v>
      </c>
      <c r="E17571" s="14" t="str">
        <f aca="false">IF(C17571="","",C17571*D17571/100)</f>
        <v/>
      </c>
      <c r="F17571" s="15" t="str">
        <f aca="false">IF(B17571&lt;5,"Go","Standard")</f>
        <v>Standard</v>
      </c>
    </row>
    <row r="17572" customFormat="false" ht="15" hidden="false" customHeight="true" outlineLevel="0" collapsed="false">
      <c r="A17572" s="10" t="n">
        <f aca="false">Einstellungen!$B$5+INT((ROW()-9)/24)</f>
        <v>46697</v>
      </c>
      <c r="B17572" s="11" t="n">
        <f aca="false">MOD(ROW()-9,24)</f>
        <v>19</v>
      </c>
      <c r="C17572" s="12"/>
      <c r="D17572" s="13" t="n">
        <f aca="false">IF(B17572&lt;5,Einstellungen!$B$3,Einstellungen!$B$4)</f>
        <v>29.13</v>
      </c>
      <c r="E17572" s="14" t="str">
        <f aca="false">IF(C17572="","",C17572*D17572/100)</f>
        <v/>
      </c>
      <c r="F17572" s="15" t="str">
        <f aca="false">IF(B17572&lt;5,"Go","Standard")</f>
        <v>Standard</v>
      </c>
    </row>
    <row r="17573" customFormat="false" ht="15" hidden="false" customHeight="true" outlineLevel="0" collapsed="false">
      <c r="A17573" s="10" t="n">
        <f aca="false">Einstellungen!$B$5+INT((ROW()-9)/24)</f>
        <v>46697</v>
      </c>
      <c r="B17573" s="11" t="n">
        <f aca="false">MOD(ROW()-9,24)</f>
        <v>20</v>
      </c>
      <c r="C17573" s="12"/>
      <c r="D17573" s="13" t="n">
        <f aca="false">IF(B17573&lt;5,Einstellungen!$B$3,Einstellungen!$B$4)</f>
        <v>29.13</v>
      </c>
      <c r="E17573" s="14" t="str">
        <f aca="false">IF(C17573="","",C17573*D17573/100)</f>
        <v/>
      </c>
      <c r="F17573" s="15" t="str">
        <f aca="false">IF(B17573&lt;5,"Go","Standard")</f>
        <v>Standard</v>
      </c>
    </row>
    <row r="17574" customFormat="false" ht="15" hidden="false" customHeight="true" outlineLevel="0" collapsed="false">
      <c r="A17574" s="10" t="n">
        <f aca="false">Einstellungen!$B$5+INT((ROW()-9)/24)</f>
        <v>46697</v>
      </c>
      <c r="B17574" s="11" t="n">
        <f aca="false">MOD(ROW()-9,24)</f>
        <v>21</v>
      </c>
      <c r="C17574" s="12"/>
      <c r="D17574" s="13" t="n">
        <f aca="false">IF(B17574&lt;5,Einstellungen!$B$3,Einstellungen!$B$4)</f>
        <v>29.13</v>
      </c>
      <c r="E17574" s="14" t="str">
        <f aca="false">IF(C17574="","",C17574*D17574/100)</f>
        <v/>
      </c>
      <c r="F17574" s="15" t="str">
        <f aca="false">IF(B17574&lt;5,"Go","Standard")</f>
        <v>Standard</v>
      </c>
    </row>
    <row r="17575" customFormat="false" ht="15" hidden="false" customHeight="true" outlineLevel="0" collapsed="false">
      <c r="A17575" s="10" t="n">
        <f aca="false">Einstellungen!$B$5+INT((ROW()-9)/24)</f>
        <v>46697</v>
      </c>
      <c r="B17575" s="11" t="n">
        <f aca="false">MOD(ROW()-9,24)</f>
        <v>22</v>
      </c>
      <c r="C17575" s="12"/>
      <c r="D17575" s="13" t="n">
        <f aca="false">IF(B17575&lt;5,Einstellungen!$B$3,Einstellungen!$B$4)</f>
        <v>29.13</v>
      </c>
      <c r="E17575" s="14" t="str">
        <f aca="false">IF(C17575="","",C17575*D17575/100)</f>
        <v/>
      </c>
      <c r="F17575" s="15" t="str">
        <f aca="false">IF(B17575&lt;5,"Go","Standard")</f>
        <v>Standard</v>
      </c>
    </row>
    <row r="17576" customFormat="false" ht="15" hidden="false" customHeight="true" outlineLevel="0" collapsed="false">
      <c r="A17576" s="10" t="n">
        <f aca="false">Einstellungen!$B$5+INT((ROW()-9)/24)</f>
        <v>46697</v>
      </c>
      <c r="B17576" s="11" t="n">
        <f aca="false">MOD(ROW()-9,24)</f>
        <v>23</v>
      </c>
      <c r="C17576" s="12"/>
      <c r="D17576" s="13" t="n">
        <f aca="false">IF(B17576&lt;5,Einstellungen!$B$3,Einstellungen!$B$4)</f>
        <v>29.13</v>
      </c>
      <c r="E17576" s="14" t="str">
        <f aca="false">IF(C17576="","",C17576*D17576/100)</f>
        <v/>
      </c>
      <c r="F17576" s="15" t="str">
        <f aca="false">IF(B17576&lt;5,"Go","Standard")</f>
        <v>Standard</v>
      </c>
    </row>
    <row r="17577" customFormat="false" ht="15" hidden="false" customHeight="true" outlineLevel="0" collapsed="false">
      <c r="A17577" s="10" t="n">
        <f aca="false">Einstellungen!$B$5+INT((ROW()-9)/24)</f>
        <v>46698</v>
      </c>
      <c r="B17577" s="11" t="n">
        <f aca="false">MOD(ROW()-9,24)</f>
        <v>0</v>
      </c>
      <c r="C17577" s="12"/>
      <c r="D17577" s="13" t="n">
        <f aca="false">IF(B17577&lt;5,Einstellungen!$B$3,Einstellungen!$B$4)</f>
        <v>15.92</v>
      </c>
      <c r="E17577" s="14" t="str">
        <f aca="false">IF(C17577="","",C17577*D17577/100)</f>
        <v/>
      </c>
      <c r="F17577" s="15" t="str">
        <f aca="false">IF(B17577&lt;5,"Go","Standard")</f>
        <v>Go</v>
      </c>
    </row>
    <row r="17578" customFormat="false" ht="15" hidden="false" customHeight="true" outlineLevel="0" collapsed="false">
      <c r="A17578" s="10" t="n">
        <f aca="false">Einstellungen!$B$5+INT((ROW()-9)/24)</f>
        <v>46698</v>
      </c>
      <c r="B17578" s="11" t="n">
        <f aca="false">MOD(ROW()-9,24)</f>
        <v>1</v>
      </c>
      <c r="C17578" s="12"/>
      <c r="D17578" s="13" t="n">
        <f aca="false">IF(B17578&lt;5,Einstellungen!$B$3,Einstellungen!$B$4)</f>
        <v>15.92</v>
      </c>
      <c r="E17578" s="14" t="str">
        <f aca="false">IF(C17578="","",C17578*D17578/100)</f>
        <v/>
      </c>
      <c r="F17578" s="15" t="str">
        <f aca="false">IF(B17578&lt;5,"Go","Standard")</f>
        <v>Go</v>
      </c>
    </row>
    <row r="17579" customFormat="false" ht="15" hidden="false" customHeight="true" outlineLevel="0" collapsed="false">
      <c r="A17579" s="10" t="n">
        <f aca="false">Einstellungen!$B$5+INT((ROW()-9)/24)</f>
        <v>46698</v>
      </c>
      <c r="B17579" s="11" t="n">
        <f aca="false">MOD(ROW()-9,24)</f>
        <v>2</v>
      </c>
      <c r="C17579" s="12"/>
      <c r="D17579" s="13" t="n">
        <f aca="false">IF(B17579&lt;5,Einstellungen!$B$3,Einstellungen!$B$4)</f>
        <v>15.92</v>
      </c>
      <c r="E17579" s="14" t="str">
        <f aca="false">IF(C17579="","",C17579*D17579/100)</f>
        <v/>
      </c>
      <c r="F17579" s="15" t="str">
        <f aca="false">IF(B17579&lt;5,"Go","Standard")</f>
        <v>Go</v>
      </c>
    </row>
    <row r="17580" customFormat="false" ht="15" hidden="false" customHeight="true" outlineLevel="0" collapsed="false">
      <c r="A17580" s="10" t="n">
        <f aca="false">Einstellungen!$B$5+INT((ROW()-9)/24)</f>
        <v>46698</v>
      </c>
      <c r="B17580" s="11" t="n">
        <f aca="false">MOD(ROW()-9,24)</f>
        <v>3</v>
      </c>
      <c r="C17580" s="12"/>
      <c r="D17580" s="13" t="n">
        <f aca="false">IF(B17580&lt;5,Einstellungen!$B$3,Einstellungen!$B$4)</f>
        <v>15.92</v>
      </c>
      <c r="E17580" s="14" t="str">
        <f aca="false">IF(C17580="","",C17580*D17580/100)</f>
        <v/>
      </c>
      <c r="F17580" s="15" t="str">
        <f aca="false">IF(B17580&lt;5,"Go","Standard")</f>
        <v>Go</v>
      </c>
    </row>
    <row r="17581" customFormat="false" ht="15" hidden="false" customHeight="true" outlineLevel="0" collapsed="false">
      <c r="A17581" s="10" t="n">
        <f aca="false">Einstellungen!$B$5+INT((ROW()-9)/24)</f>
        <v>46698</v>
      </c>
      <c r="B17581" s="11" t="n">
        <f aca="false">MOD(ROW()-9,24)</f>
        <v>4</v>
      </c>
      <c r="C17581" s="12"/>
      <c r="D17581" s="13" t="n">
        <f aca="false">IF(B17581&lt;5,Einstellungen!$B$3,Einstellungen!$B$4)</f>
        <v>15.92</v>
      </c>
      <c r="E17581" s="14" t="str">
        <f aca="false">IF(C17581="","",C17581*D17581/100)</f>
        <v/>
      </c>
      <c r="F17581" s="15" t="str">
        <f aca="false">IF(B17581&lt;5,"Go","Standard")</f>
        <v>Go</v>
      </c>
    </row>
    <row r="17582" customFormat="false" ht="15" hidden="false" customHeight="true" outlineLevel="0" collapsed="false">
      <c r="A17582" s="10" t="n">
        <f aca="false">Einstellungen!$B$5+INT((ROW()-9)/24)</f>
        <v>46698</v>
      </c>
      <c r="B17582" s="11" t="n">
        <f aca="false">MOD(ROW()-9,24)</f>
        <v>5</v>
      </c>
      <c r="C17582" s="12"/>
      <c r="D17582" s="13" t="n">
        <f aca="false">IF(B17582&lt;5,Einstellungen!$B$3,Einstellungen!$B$4)</f>
        <v>29.13</v>
      </c>
      <c r="E17582" s="14" t="str">
        <f aca="false">IF(C17582="","",C17582*D17582/100)</f>
        <v/>
      </c>
      <c r="F17582" s="15" t="str">
        <f aca="false">IF(B17582&lt;5,"Go","Standard")</f>
        <v>Standard</v>
      </c>
    </row>
    <row r="17583" customFormat="false" ht="15" hidden="false" customHeight="true" outlineLevel="0" collapsed="false">
      <c r="A17583" s="10" t="n">
        <f aca="false">Einstellungen!$B$5+INT((ROW()-9)/24)</f>
        <v>46698</v>
      </c>
      <c r="B17583" s="11" t="n">
        <f aca="false">MOD(ROW()-9,24)</f>
        <v>6</v>
      </c>
      <c r="C17583" s="12"/>
      <c r="D17583" s="13" t="n">
        <f aca="false">IF(B17583&lt;5,Einstellungen!$B$3,Einstellungen!$B$4)</f>
        <v>29.13</v>
      </c>
      <c r="E17583" s="14" t="str">
        <f aca="false">IF(C17583="","",C17583*D17583/100)</f>
        <v/>
      </c>
      <c r="F17583" s="15" t="str">
        <f aca="false">IF(B17583&lt;5,"Go","Standard")</f>
        <v>Standard</v>
      </c>
    </row>
    <row r="17584" customFormat="false" ht="15" hidden="false" customHeight="true" outlineLevel="0" collapsed="false">
      <c r="A17584" s="10" t="n">
        <f aca="false">Einstellungen!$B$5+INT((ROW()-9)/24)</f>
        <v>46698</v>
      </c>
      <c r="B17584" s="11" t="n">
        <f aca="false">MOD(ROW()-9,24)</f>
        <v>7</v>
      </c>
      <c r="C17584" s="12"/>
      <c r="D17584" s="13" t="n">
        <f aca="false">IF(B17584&lt;5,Einstellungen!$B$3,Einstellungen!$B$4)</f>
        <v>29.13</v>
      </c>
      <c r="E17584" s="14" t="str">
        <f aca="false">IF(C17584="","",C17584*D17584/100)</f>
        <v/>
      </c>
      <c r="F17584" s="15" t="str">
        <f aca="false">IF(B17584&lt;5,"Go","Standard")</f>
        <v>Standard</v>
      </c>
    </row>
    <row r="17585" customFormat="false" ht="15" hidden="false" customHeight="true" outlineLevel="0" collapsed="false">
      <c r="A17585" s="10" t="n">
        <f aca="false">Einstellungen!$B$5+INT((ROW()-9)/24)</f>
        <v>46698</v>
      </c>
      <c r="B17585" s="11" t="n">
        <f aca="false">MOD(ROW()-9,24)</f>
        <v>8</v>
      </c>
      <c r="C17585" s="12"/>
      <c r="D17585" s="13" t="n">
        <f aca="false">IF(B17585&lt;5,Einstellungen!$B$3,Einstellungen!$B$4)</f>
        <v>29.13</v>
      </c>
      <c r="E17585" s="14" t="str">
        <f aca="false">IF(C17585="","",C17585*D17585/100)</f>
        <v/>
      </c>
      <c r="F17585" s="15" t="str">
        <f aca="false">IF(B17585&lt;5,"Go","Standard")</f>
        <v>Standard</v>
      </c>
    </row>
    <row r="17586" customFormat="false" ht="15" hidden="false" customHeight="true" outlineLevel="0" collapsed="false">
      <c r="A17586" s="10" t="n">
        <f aca="false">Einstellungen!$B$5+INT((ROW()-9)/24)</f>
        <v>46698</v>
      </c>
      <c r="B17586" s="11" t="n">
        <f aca="false">MOD(ROW()-9,24)</f>
        <v>9</v>
      </c>
      <c r="C17586" s="12"/>
      <c r="D17586" s="13" t="n">
        <f aca="false">IF(B17586&lt;5,Einstellungen!$B$3,Einstellungen!$B$4)</f>
        <v>29.13</v>
      </c>
      <c r="E17586" s="14" t="str">
        <f aca="false">IF(C17586="","",C17586*D17586/100)</f>
        <v/>
      </c>
      <c r="F17586" s="15" t="str">
        <f aca="false">IF(B17586&lt;5,"Go","Standard")</f>
        <v>Standard</v>
      </c>
    </row>
    <row r="17587" customFormat="false" ht="15" hidden="false" customHeight="true" outlineLevel="0" collapsed="false">
      <c r="A17587" s="10" t="n">
        <f aca="false">Einstellungen!$B$5+INT((ROW()-9)/24)</f>
        <v>46698</v>
      </c>
      <c r="B17587" s="11" t="n">
        <f aca="false">MOD(ROW()-9,24)</f>
        <v>10</v>
      </c>
      <c r="C17587" s="12"/>
      <c r="D17587" s="13" t="n">
        <f aca="false">IF(B17587&lt;5,Einstellungen!$B$3,Einstellungen!$B$4)</f>
        <v>29.13</v>
      </c>
      <c r="E17587" s="14" t="str">
        <f aca="false">IF(C17587="","",C17587*D17587/100)</f>
        <v/>
      </c>
      <c r="F17587" s="15" t="str">
        <f aca="false">IF(B17587&lt;5,"Go","Standard")</f>
        <v>Standard</v>
      </c>
    </row>
    <row r="17588" customFormat="false" ht="15" hidden="false" customHeight="true" outlineLevel="0" collapsed="false">
      <c r="A17588" s="10" t="n">
        <f aca="false">Einstellungen!$B$5+INT((ROW()-9)/24)</f>
        <v>46698</v>
      </c>
      <c r="B17588" s="11" t="n">
        <f aca="false">MOD(ROW()-9,24)</f>
        <v>11</v>
      </c>
      <c r="C17588" s="12"/>
      <c r="D17588" s="13" t="n">
        <f aca="false">IF(B17588&lt;5,Einstellungen!$B$3,Einstellungen!$B$4)</f>
        <v>29.13</v>
      </c>
      <c r="E17588" s="14" t="str">
        <f aca="false">IF(C17588="","",C17588*D17588/100)</f>
        <v/>
      </c>
      <c r="F17588" s="15" t="str">
        <f aca="false">IF(B17588&lt;5,"Go","Standard")</f>
        <v>Standard</v>
      </c>
    </row>
    <row r="17589" customFormat="false" ht="15" hidden="false" customHeight="true" outlineLevel="0" collapsed="false">
      <c r="A17589" s="10" t="n">
        <f aca="false">Einstellungen!$B$5+INT((ROW()-9)/24)</f>
        <v>46698</v>
      </c>
      <c r="B17589" s="11" t="n">
        <f aca="false">MOD(ROW()-9,24)</f>
        <v>12</v>
      </c>
      <c r="C17589" s="12"/>
      <c r="D17589" s="13" t="n">
        <f aca="false">IF(B17589&lt;5,Einstellungen!$B$3,Einstellungen!$B$4)</f>
        <v>29.13</v>
      </c>
      <c r="E17589" s="14" t="str">
        <f aca="false">IF(C17589="","",C17589*D17589/100)</f>
        <v/>
      </c>
      <c r="F17589" s="15" t="str">
        <f aca="false">IF(B17589&lt;5,"Go","Standard")</f>
        <v>Standard</v>
      </c>
    </row>
    <row r="17590" customFormat="false" ht="15" hidden="false" customHeight="true" outlineLevel="0" collapsed="false">
      <c r="A17590" s="10" t="n">
        <f aca="false">Einstellungen!$B$5+INT((ROW()-9)/24)</f>
        <v>46698</v>
      </c>
      <c r="B17590" s="11" t="n">
        <f aca="false">MOD(ROW()-9,24)</f>
        <v>13</v>
      </c>
      <c r="C17590" s="12"/>
      <c r="D17590" s="13" t="n">
        <f aca="false">IF(B17590&lt;5,Einstellungen!$B$3,Einstellungen!$B$4)</f>
        <v>29.13</v>
      </c>
      <c r="E17590" s="14" t="str">
        <f aca="false">IF(C17590="","",C17590*D17590/100)</f>
        <v/>
      </c>
      <c r="F17590" s="15" t="str">
        <f aca="false">IF(B17590&lt;5,"Go","Standard")</f>
        <v>Standard</v>
      </c>
    </row>
    <row r="17591" customFormat="false" ht="15" hidden="false" customHeight="true" outlineLevel="0" collapsed="false">
      <c r="A17591" s="10" t="n">
        <f aca="false">Einstellungen!$B$5+INT((ROW()-9)/24)</f>
        <v>46698</v>
      </c>
      <c r="B17591" s="11" t="n">
        <f aca="false">MOD(ROW()-9,24)</f>
        <v>14</v>
      </c>
      <c r="C17591" s="12"/>
      <c r="D17591" s="13" t="n">
        <f aca="false">IF(B17591&lt;5,Einstellungen!$B$3,Einstellungen!$B$4)</f>
        <v>29.13</v>
      </c>
      <c r="E17591" s="14" t="str">
        <f aca="false">IF(C17591="","",C17591*D17591/100)</f>
        <v/>
      </c>
      <c r="F17591" s="15" t="str">
        <f aca="false">IF(B17591&lt;5,"Go","Standard")</f>
        <v>Standard</v>
      </c>
    </row>
    <row r="17592" customFormat="false" ht="15" hidden="false" customHeight="true" outlineLevel="0" collapsed="false">
      <c r="A17592" s="10" t="n">
        <f aca="false">Einstellungen!$B$5+INT((ROW()-9)/24)</f>
        <v>46698</v>
      </c>
      <c r="B17592" s="11" t="n">
        <f aca="false">MOD(ROW()-9,24)</f>
        <v>15</v>
      </c>
      <c r="C17592" s="12"/>
      <c r="D17592" s="13" t="n">
        <f aca="false">IF(B17592&lt;5,Einstellungen!$B$3,Einstellungen!$B$4)</f>
        <v>29.13</v>
      </c>
      <c r="E17592" s="14" t="str">
        <f aca="false">IF(C17592="","",C17592*D17592/100)</f>
        <v/>
      </c>
      <c r="F17592" s="15" t="str">
        <f aca="false">IF(B17592&lt;5,"Go","Standard")</f>
        <v>Standard</v>
      </c>
    </row>
    <row r="17593" customFormat="false" ht="15" hidden="false" customHeight="true" outlineLevel="0" collapsed="false">
      <c r="A17593" s="10" t="n">
        <f aca="false">Einstellungen!$B$5+INT((ROW()-9)/24)</f>
        <v>46698</v>
      </c>
      <c r="B17593" s="11" t="n">
        <f aca="false">MOD(ROW()-9,24)</f>
        <v>16</v>
      </c>
      <c r="C17593" s="12"/>
      <c r="D17593" s="13" t="n">
        <f aca="false">IF(B17593&lt;5,Einstellungen!$B$3,Einstellungen!$B$4)</f>
        <v>29.13</v>
      </c>
      <c r="E17593" s="14" t="str">
        <f aca="false">IF(C17593="","",C17593*D17593/100)</f>
        <v/>
      </c>
      <c r="F17593" s="15" t="str">
        <f aca="false">IF(B17593&lt;5,"Go","Standard")</f>
        <v>Standard</v>
      </c>
    </row>
    <row r="17594" customFormat="false" ht="15" hidden="false" customHeight="true" outlineLevel="0" collapsed="false">
      <c r="A17594" s="10" t="n">
        <f aca="false">Einstellungen!$B$5+INT((ROW()-9)/24)</f>
        <v>46698</v>
      </c>
      <c r="B17594" s="11" t="n">
        <f aca="false">MOD(ROW()-9,24)</f>
        <v>17</v>
      </c>
      <c r="C17594" s="12"/>
      <c r="D17594" s="13" t="n">
        <f aca="false">IF(B17594&lt;5,Einstellungen!$B$3,Einstellungen!$B$4)</f>
        <v>29.13</v>
      </c>
      <c r="E17594" s="14" t="str">
        <f aca="false">IF(C17594="","",C17594*D17594/100)</f>
        <v/>
      </c>
      <c r="F17594" s="15" t="str">
        <f aca="false">IF(B17594&lt;5,"Go","Standard")</f>
        <v>Standard</v>
      </c>
    </row>
    <row r="17595" customFormat="false" ht="15" hidden="false" customHeight="true" outlineLevel="0" collapsed="false">
      <c r="A17595" s="10" t="n">
        <f aca="false">Einstellungen!$B$5+INT((ROW()-9)/24)</f>
        <v>46698</v>
      </c>
      <c r="B17595" s="11" t="n">
        <f aca="false">MOD(ROW()-9,24)</f>
        <v>18</v>
      </c>
      <c r="C17595" s="12"/>
      <c r="D17595" s="13" t="n">
        <f aca="false">IF(B17595&lt;5,Einstellungen!$B$3,Einstellungen!$B$4)</f>
        <v>29.13</v>
      </c>
      <c r="E17595" s="14" t="str">
        <f aca="false">IF(C17595="","",C17595*D17595/100)</f>
        <v/>
      </c>
      <c r="F17595" s="15" t="str">
        <f aca="false">IF(B17595&lt;5,"Go","Standard")</f>
        <v>Standard</v>
      </c>
    </row>
    <row r="17596" customFormat="false" ht="15" hidden="false" customHeight="true" outlineLevel="0" collapsed="false">
      <c r="A17596" s="10" t="n">
        <f aca="false">Einstellungen!$B$5+INT((ROW()-9)/24)</f>
        <v>46698</v>
      </c>
      <c r="B17596" s="11" t="n">
        <f aca="false">MOD(ROW()-9,24)</f>
        <v>19</v>
      </c>
      <c r="C17596" s="12"/>
      <c r="D17596" s="13" t="n">
        <f aca="false">IF(B17596&lt;5,Einstellungen!$B$3,Einstellungen!$B$4)</f>
        <v>29.13</v>
      </c>
      <c r="E17596" s="14" t="str">
        <f aca="false">IF(C17596="","",C17596*D17596/100)</f>
        <v/>
      </c>
      <c r="F17596" s="15" t="str">
        <f aca="false">IF(B17596&lt;5,"Go","Standard")</f>
        <v>Standard</v>
      </c>
    </row>
    <row r="17597" customFormat="false" ht="15" hidden="false" customHeight="true" outlineLevel="0" collapsed="false">
      <c r="A17597" s="10" t="n">
        <f aca="false">Einstellungen!$B$5+INT((ROW()-9)/24)</f>
        <v>46698</v>
      </c>
      <c r="B17597" s="11" t="n">
        <f aca="false">MOD(ROW()-9,24)</f>
        <v>20</v>
      </c>
      <c r="C17597" s="12"/>
      <c r="D17597" s="13" t="n">
        <f aca="false">IF(B17597&lt;5,Einstellungen!$B$3,Einstellungen!$B$4)</f>
        <v>29.13</v>
      </c>
      <c r="E17597" s="14" t="str">
        <f aca="false">IF(C17597="","",C17597*D17597/100)</f>
        <v/>
      </c>
      <c r="F17597" s="15" t="str">
        <f aca="false">IF(B17597&lt;5,"Go","Standard")</f>
        <v>Standard</v>
      </c>
    </row>
    <row r="17598" customFormat="false" ht="15" hidden="false" customHeight="true" outlineLevel="0" collapsed="false">
      <c r="A17598" s="10" t="n">
        <f aca="false">Einstellungen!$B$5+INT((ROW()-9)/24)</f>
        <v>46698</v>
      </c>
      <c r="B17598" s="11" t="n">
        <f aca="false">MOD(ROW()-9,24)</f>
        <v>21</v>
      </c>
      <c r="C17598" s="12"/>
      <c r="D17598" s="13" t="n">
        <f aca="false">IF(B17598&lt;5,Einstellungen!$B$3,Einstellungen!$B$4)</f>
        <v>29.13</v>
      </c>
      <c r="E17598" s="14" t="str">
        <f aca="false">IF(C17598="","",C17598*D17598/100)</f>
        <v/>
      </c>
      <c r="F17598" s="15" t="str">
        <f aca="false">IF(B17598&lt;5,"Go","Standard")</f>
        <v>Standard</v>
      </c>
    </row>
    <row r="17599" customFormat="false" ht="15" hidden="false" customHeight="true" outlineLevel="0" collapsed="false">
      <c r="A17599" s="10" t="n">
        <f aca="false">Einstellungen!$B$5+INT((ROW()-9)/24)</f>
        <v>46698</v>
      </c>
      <c r="B17599" s="11" t="n">
        <f aca="false">MOD(ROW()-9,24)</f>
        <v>22</v>
      </c>
      <c r="C17599" s="12"/>
      <c r="D17599" s="13" t="n">
        <f aca="false">IF(B17599&lt;5,Einstellungen!$B$3,Einstellungen!$B$4)</f>
        <v>29.13</v>
      </c>
      <c r="E17599" s="14" t="str">
        <f aca="false">IF(C17599="","",C17599*D17599/100)</f>
        <v/>
      </c>
      <c r="F17599" s="15" t="str">
        <f aca="false">IF(B17599&lt;5,"Go","Standard")</f>
        <v>Standard</v>
      </c>
    </row>
    <row r="17600" customFormat="false" ht="15" hidden="false" customHeight="true" outlineLevel="0" collapsed="false">
      <c r="A17600" s="10" t="n">
        <f aca="false">Einstellungen!$B$5+INT((ROW()-9)/24)</f>
        <v>46698</v>
      </c>
      <c r="B17600" s="11" t="n">
        <f aca="false">MOD(ROW()-9,24)</f>
        <v>23</v>
      </c>
      <c r="C17600" s="12"/>
      <c r="D17600" s="13" t="n">
        <f aca="false">IF(B17600&lt;5,Einstellungen!$B$3,Einstellungen!$B$4)</f>
        <v>29.13</v>
      </c>
      <c r="E17600" s="14" t="str">
        <f aca="false">IF(C17600="","",C17600*D17600/100)</f>
        <v/>
      </c>
      <c r="F17600" s="15" t="str">
        <f aca="false">IF(B17600&lt;5,"Go","Standard")</f>
        <v>Standard</v>
      </c>
    </row>
    <row r="17601" customFormat="false" ht="15" hidden="false" customHeight="true" outlineLevel="0" collapsed="false">
      <c r="A17601" s="10" t="n">
        <f aca="false">Einstellungen!$B$5+INT((ROW()-9)/24)</f>
        <v>46699</v>
      </c>
      <c r="B17601" s="11" t="n">
        <f aca="false">MOD(ROW()-9,24)</f>
        <v>0</v>
      </c>
      <c r="C17601" s="12"/>
      <c r="D17601" s="13" t="n">
        <f aca="false">IF(B17601&lt;5,Einstellungen!$B$3,Einstellungen!$B$4)</f>
        <v>15.92</v>
      </c>
      <c r="E17601" s="14" t="str">
        <f aca="false">IF(C17601="","",C17601*D17601/100)</f>
        <v/>
      </c>
      <c r="F17601" s="15" t="str">
        <f aca="false">IF(B17601&lt;5,"Go","Standard")</f>
        <v>Go</v>
      </c>
    </row>
    <row r="17602" customFormat="false" ht="15" hidden="false" customHeight="true" outlineLevel="0" collapsed="false">
      <c r="A17602" s="10" t="n">
        <f aca="false">Einstellungen!$B$5+INT((ROW()-9)/24)</f>
        <v>46699</v>
      </c>
      <c r="B17602" s="11" t="n">
        <f aca="false">MOD(ROW()-9,24)</f>
        <v>1</v>
      </c>
      <c r="C17602" s="12"/>
      <c r="D17602" s="13" t="n">
        <f aca="false">IF(B17602&lt;5,Einstellungen!$B$3,Einstellungen!$B$4)</f>
        <v>15.92</v>
      </c>
      <c r="E17602" s="14" t="str">
        <f aca="false">IF(C17602="","",C17602*D17602/100)</f>
        <v/>
      </c>
      <c r="F17602" s="15" t="str">
        <f aca="false">IF(B17602&lt;5,"Go","Standard")</f>
        <v>Go</v>
      </c>
    </row>
    <row r="17603" customFormat="false" ht="15" hidden="false" customHeight="true" outlineLevel="0" collapsed="false">
      <c r="A17603" s="10" t="n">
        <f aca="false">Einstellungen!$B$5+INT((ROW()-9)/24)</f>
        <v>46699</v>
      </c>
      <c r="B17603" s="11" t="n">
        <f aca="false">MOD(ROW()-9,24)</f>
        <v>2</v>
      </c>
      <c r="C17603" s="12"/>
      <c r="D17603" s="13" t="n">
        <f aca="false">IF(B17603&lt;5,Einstellungen!$B$3,Einstellungen!$B$4)</f>
        <v>15.92</v>
      </c>
      <c r="E17603" s="14" t="str">
        <f aca="false">IF(C17603="","",C17603*D17603/100)</f>
        <v/>
      </c>
      <c r="F17603" s="15" t="str">
        <f aca="false">IF(B17603&lt;5,"Go","Standard")</f>
        <v>Go</v>
      </c>
    </row>
    <row r="17604" customFormat="false" ht="15" hidden="false" customHeight="true" outlineLevel="0" collapsed="false">
      <c r="A17604" s="10" t="n">
        <f aca="false">Einstellungen!$B$5+INT((ROW()-9)/24)</f>
        <v>46699</v>
      </c>
      <c r="B17604" s="11" t="n">
        <f aca="false">MOD(ROW()-9,24)</f>
        <v>3</v>
      </c>
      <c r="C17604" s="12"/>
      <c r="D17604" s="13" t="n">
        <f aca="false">IF(B17604&lt;5,Einstellungen!$B$3,Einstellungen!$B$4)</f>
        <v>15.92</v>
      </c>
      <c r="E17604" s="14" t="str">
        <f aca="false">IF(C17604="","",C17604*D17604/100)</f>
        <v/>
      </c>
      <c r="F17604" s="15" t="str">
        <f aca="false">IF(B17604&lt;5,"Go","Standard")</f>
        <v>Go</v>
      </c>
    </row>
    <row r="17605" customFormat="false" ht="15" hidden="false" customHeight="true" outlineLevel="0" collapsed="false">
      <c r="A17605" s="10" t="n">
        <f aca="false">Einstellungen!$B$5+INT((ROW()-9)/24)</f>
        <v>46699</v>
      </c>
      <c r="B17605" s="11" t="n">
        <f aca="false">MOD(ROW()-9,24)</f>
        <v>4</v>
      </c>
      <c r="C17605" s="12"/>
      <c r="D17605" s="13" t="n">
        <f aca="false">IF(B17605&lt;5,Einstellungen!$B$3,Einstellungen!$B$4)</f>
        <v>15.92</v>
      </c>
      <c r="E17605" s="14" t="str">
        <f aca="false">IF(C17605="","",C17605*D17605/100)</f>
        <v/>
      </c>
      <c r="F17605" s="15" t="str">
        <f aca="false">IF(B17605&lt;5,"Go","Standard")</f>
        <v>Go</v>
      </c>
    </row>
    <row r="17606" customFormat="false" ht="15" hidden="false" customHeight="true" outlineLevel="0" collapsed="false">
      <c r="A17606" s="10" t="n">
        <f aca="false">Einstellungen!$B$5+INT((ROW()-9)/24)</f>
        <v>46699</v>
      </c>
      <c r="B17606" s="11" t="n">
        <f aca="false">MOD(ROW()-9,24)</f>
        <v>5</v>
      </c>
      <c r="C17606" s="12"/>
      <c r="D17606" s="13" t="n">
        <f aca="false">IF(B17606&lt;5,Einstellungen!$B$3,Einstellungen!$B$4)</f>
        <v>29.13</v>
      </c>
      <c r="E17606" s="14" t="str">
        <f aca="false">IF(C17606="","",C17606*D17606/100)</f>
        <v/>
      </c>
      <c r="F17606" s="15" t="str">
        <f aca="false">IF(B17606&lt;5,"Go","Standard")</f>
        <v>Standard</v>
      </c>
    </row>
    <row r="17607" customFormat="false" ht="15" hidden="false" customHeight="true" outlineLevel="0" collapsed="false">
      <c r="A17607" s="10" t="n">
        <f aca="false">Einstellungen!$B$5+INT((ROW()-9)/24)</f>
        <v>46699</v>
      </c>
      <c r="B17607" s="11" t="n">
        <f aca="false">MOD(ROW()-9,24)</f>
        <v>6</v>
      </c>
      <c r="C17607" s="12"/>
      <c r="D17607" s="13" t="n">
        <f aca="false">IF(B17607&lt;5,Einstellungen!$B$3,Einstellungen!$B$4)</f>
        <v>29.13</v>
      </c>
      <c r="E17607" s="14" t="str">
        <f aca="false">IF(C17607="","",C17607*D17607/100)</f>
        <v/>
      </c>
      <c r="F17607" s="15" t="str">
        <f aca="false">IF(B17607&lt;5,"Go","Standard")</f>
        <v>Standard</v>
      </c>
    </row>
    <row r="17608" customFormat="false" ht="15" hidden="false" customHeight="true" outlineLevel="0" collapsed="false">
      <c r="A17608" s="10" t="n">
        <f aca="false">Einstellungen!$B$5+INT((ROW()-9)/24)</f>
        <v>46699</v>
      </c>
      <c r="B17608" s="11" t="n">
        <f aca="false">MOD(ROW()-9,24)</f>
        <v>7</v>
      </c>
      <c r="C17608" s="12"/>
      <c r="D17608" s="13" t="n">
        <f aca="false">IF(B17608&lt;5,Einstellungen!$B$3,Einstellungen!$B$4)</f>
        <v>29.13</v>
      </c>
      <c r="E17608" s="14" t="str">
        <f aca="false">IF(C17608="","",C17608*D17608/100)</f>
        <v/>
      </c>
      <c r="F17608" s="15" t="str">
        <f aca="false">IF(B17608&lt;5,"Go","Standard")</f>
        <v>Standard</v>
      </c>
    </row>
    <row r="17609" customFormat="false" ht="15" hidden="false" customHeight="true" outlineLevel="0" collapsed="false">
      <c r="A17609" s="10" t="n">
        <f aca="false">Einstellungen!$B$5+INT((ROW()-9)/24)</f>
        <v>46699</v>
      </c>
      <c r="B17609" s="11" t="n">
        <f aca="false">MOD(ROW()-9,24)</f>
        <v>8</v>
      </c>
      <c r="C17609" s="12"/>
      <c r="D17609" s="13" t="n">
        <f aca="false">IF(B17609&lt;5,Einstellungen!$B$3,Einstellungen!$B$4)</f>
        <v>29.13</v>
      </c>
      <c r="E17609" s="14" t="str">
        <f aca="false">IF(C17609="","",C17609*D17609/100)</f>
        <v/>
      </c>
      <c r="F17609" s="15" t="str">
        <f aca="false">IF(B17609&lt;5,"Go","Standard")</f>
        <v>Standard</v>
      </c>
    </row>
    <row r="17610" customFormat="false" ht="15" hidden="false" customHeight="true" outlineLevel="0" collapsed="false">
      <c r="A17610" s="10" t="n">
        <f aca="false">Einstellungen!$B$5+INT((ROW()-9)/24)</f>
        <v>46699</v>
      </c>
      <c r="B17610" s="11" t="n">
        <f aca="false">MOD(ROW()-9,24)</f>
        <v>9</v>
      </c>
      <c r="C17610" s="12"/>
      <c r="D17610" s="13" t="n">
        <f aca="false">IF(B17610&lt;5,Einstellungen!$B$3,Einstellungen!$B$4)</f>
        <v>29.13</v>
      </c>
      <c r="E17610" s="14" t="str">
        <f aca="false">IF(C17610="","",C17610*D17610/100)</f>
        <v/>
      </c>
      <c r="F17610" s="15" t="str">
        <f aca="false">IF(B17610&lt;5,"Go","Standard")</f>
        <v>Standard</v>
      </c>
    </row>
    <row r="17611" customFormat="false" ht="15" hidden="false" customHeight="true" outlineLevel="0" collapsed="false">
      <c r="A17611" s="10" t="n">
        <f aca="false">Einstellungen!$B$5+INT((ROW()-9)/24)</f>
        <v>46699</v>
      </c>
      <c r="B17611" s="11" t="n">
        <f aca="false">MOD(ROW()-9,24)</f>
        <v>10</v>
      </c>
      <c r="C17611" s="12"/>
      <c r="D17611" s="13" t="n">
        <f aca="false">IF(B17611&lt;5,Einstellungen!$B$3,Einstellungen!$B$4)</f>
        <v>29.13</v>
      </c>
      <c r="E17611" s="14" t="str">
        <f aca="false">IF(C17611="","",C17611*D17611/100)</f>
        <v/>
      </c>
      <c r="F17611" s="15" t="str">
        <f aca="false">IF(B17611&lt;5,"Go","Standard")</f>
        <v>Standard</v>
      </c>
    </row>
    <row r="17612" customFormat="false" ht="15" hidden="false" customHeight="true" outlineLevel="0" collapsed="false">
      <c r="A17612" s="10" t="n">
        <f aca="false">Einstellungen!$B$5+INT((ROW()-9)/24)</f>
        <v>46699</v>
      </c>
      <c r="B17612" s="11" t="n">
        <f aca="false">MOD(ROW()-9,24)</f>
        <v>11</v>
      </c>
      <c r="C17612" s="12"/>
      <c r="D17612" s="13" t="n">
        <f aca="false">IF(B17612&lt;5,Einstellungen!$B$3,Einstellungen!$B$4)</f>
        <v>29.13</v>
      </c>
      <c r="E17612" s="14" t="str">
        <f aca="false">IF(C17612="","",C17612*D17612/100)</f>
        <v/>
      </c>
      <c r="F17612" s="15" t="str">
        <f aca="false">IF(B17612&lt;5,"Go","Standard")</f>
        <v>Standard</v>
      </c>
    </row>
    <row r="17613" customFormat="false" ht="15" hidden="false" customHeight="true" outlineLevel="0" collapsed="false">
      <c r="A17613" s="10" t="n">
        <f aca="false">Einstellungen!$B$5+INT((ROW()-9)/24)</f>
        <v>46699</v>
      </c>
      <c r="B17613" s="11" t="n">
        <f aca="false">MOD(ROW()-9,24)</f>
        <v>12</v>
      </c>
      <c r="C17613" s="12"/>
      <c r="D17613" s="13" t="n">
        <f aca="false">IF(B17613&lt;5,Einstellungen!$B$3,Einstellungen!$B$4)</f>
        <v>29.13</v>
      </c>
      <c r="E17613" s="14" t="str">
        <f aca="false">IF(C17613="","",C17613*D17613/100)</f>
        <v/>
      </c>
      <c r="F17613" s="15" t="str">
        <f aca="false">IF(B17613&lt;5,"Go","Standard")</f>
        <v>Standard</v>
      </c>
    </row>
    <row r="17614" customFormat="false" ht="15" hidden="false" customHeight="true" outlineLevel="0" collapsed="false">
      <c r="A17614" s="10" t="n">
        <f aca="false">Einstellungen!$B$5+INT((ROW()-9)/24)</f>
        <v>46699</v>
      </c>
      <c r="B17614" s="11" t="n">
        <f aca="false">MOD(ROW()-9,24)</f>
        <v>13</v>
      </c>
      <c r="C17614" s="12"/>
      <c r="D17614" s="13" t="n">
        <f aca="false">IF(B17614&lt;5,Einstellungen!$B$3,Einstellungen!$B$4)</f>
        <v>29.13</v>
      </c>
      <c r="E17614" s="14" t="str">
        <f aca="false">IF(C17614="","",C17614*D17614/100)</f>
        <v/>
      </c>
      <c r="F17614" s="15" t="str">
        <f aca="false">IF(B17614&lt;5,"Go","Standard")</f>
        <v>Standard</v>
      </c>
    </row>
    <row r="17615" customFormat="false" ht="15" hidden="false" customHeight="true" outlineLevel="0" collapsed="false">
      <c r="A17615" s="10" t="n">
        <f aca="false">Einstellungen!$B$5+INT((ROW()-9)/24)</f>
        <v>46699</v>
      </c>
      <c r="B17615" s="11" t="n">
        <f aca="false">MOD(ROW()-9,24)</f>
        <v>14</v>
      </c>
      <c r="C17615" s="12"/>
      <c r="D17615" s="13" t="n">
        <f aca="false">IF(B17615&lt;5,Einstellungen!$B$3,Einstellungen!$B$4)</f>
        <v>29.13</v>
      </c>
      <c r="E17615" s="14" t="str">
        <f aca="false">IF(C17615="","",C17615*D17615/100)</f>
        <v/>
      </c>
      <c r="F17615" s="15" t="str">
        <f aca="false">IF(B17615&lt;5,"Go","Standard")</f>
        <v>Standard</v>
      </c>
    </row>
    <row r="17616" customFormat="false" ht="15" hidden="false" customHeight="true" outlineLevel="0" collapsed="false">
      <c r="A17616" s="10" t="n">
        <f aca="false">Einstellungen!$B$5+INT((ROW()-9)/24)</f>
        <v>46699</v>
      </c>
      <c r="B17616" s="11" t="n">
        <f aca="false">MOD(ROW()-9,24)</f>
        <v>15</v>
      </c>
      <c r="C17616" s="12"/>
      <c r="D17616" s="13" t="n">
        <f aca="false">IF(B17616&lt;5,Einstellungen!$B$3,Einstellungen!$B$4)</f>
        <v>29.13</v>
      </c>
      <c r="E17616" s="14" t="str">
        <f aca="false">IF(C17616="","",C17616*D17616/100)</f>
        <v/>
      </c>
      <c r="F17616" s="15" t="str">
        <f aca="false">IF(B17616&lt;5,"Go","Standard")</f>
        <v>Standard</v>
      </c>
    </row>
    <row r="17617" customFormat="false" ht="15" hidden="false" customHeight="true" outlineLevel="0" collapsed="false">
      <c r="A17617" s="10" t="n">
        <f aca="false">Einstellungen!$B$5+INT((ROW()-9)/24)</f>
        <v>46699</v>
      </c>
      <c r="B17617" s="11" t="n">
        <f aca="false">MOD(ROW()-9,24)</f>
        <v>16</v>
      </c>
      <c r="C17617" s="12"/>
      <c r="D17617" s="13" t="n">
        <f aca="false">IF(B17617&lt;5,Einstellungen!$B$3,Einstellungen!$B$4)</f>
        <v>29.13</v>
      </c>
      <c r="E17617" s="14" t="str">
        <f aca="false">IF(C17617="","",C17617*D17617/100)</f>
        <v/>
      </c>
      <c r="F17617" s="15" t="str">
        <f aca="false">IF(B17617&lt;5,"Go","Standard")</f>
        <v>Standard</v>
      </c>
    </row>
    <row r="17618" customFormat="false" ht="15" hidden="false" customHeight="true" outlineLevel="0" collapsed="false">
      <c r="A17618" s="10" t="n">
        <f aca="false">Einstellungen!$B$5+INT((ROW()-9)/24)</f>
        <v>46699</v>
      </c>
      <c r="B17618" s="11" t="n">
        <f aca="false">MOD(ROW()-9,24)</f>
        <v>17</v>
      </c>
      <c r="C17618" s="12"/>
      <c r="D17618" s="13" t="n">
        <f aca="false">IF(B17618&lt;5,Einstellungen!$B$3,Einstellungen!$B$4)</f>
        <v>29.13</v>
      </c>
      <c r="E17618" s="14" t="str">
        <f aca="false">IF(C17618="","",C17618*D17618/100)</f>
        <v/>
      </c>
      <c r="F17618" s="15" t="str">
        <f aca="false">IF(B17618&lt;5,"Go","Standard")</f>
        <v>Standard</v>
      </c>
    </row>
    <row r="17619" customFormat="false" ht="15" hidden="false" customHeight="true" outlineLevel="0" collapsed="false">
      <c r="A17619" s="10" t="n">
        <f aca="false">Einstellungen!$B$5+INT((ROW()-9)/24)</f>
        <v>46699</v>
      </c>
      <c r="B17619" s="11" t="n">
        <f aca="false">MOD(ROW()-9,24)</f>
        <v>18</v>
      </c>
      <c r="C17619" s="12"/>
      <c r="D17619" s="13" t="n">
        <f aca="false">IF(B17619&lt;5,Einstellungen!$B$3,Einstellungen!$B$4)</f>
        <v>29.13</v>
      </c>
      <c r="E17619" s="14" t="str">
        <f aca="false">IF(C17619="","",C17619*D17619/100)</f>
        <v/>
      </c>
      <c r="F17619" s="15" t="str">
        <f aca="false">IF(B17619&lt;5,"Go","Standard")</f>
        <v>Standard</v>
      </c>
    </row>
    <row r="17620" customFormat="false" ht="15" hidden="false" customHeight="true" outlineLevel="0" collapsed="false">
      <c r="A17620" s="10" t="n">
        <f aca="false">Einstellungen!$B$5+INT((ROW()-9)/24)</f>
        <v>46699</v>
      </c>
      <c r="B17620" s="11" t="n">
        <f aca="false">MOD(ROW()-9,24)</f>
        <v>19</v>
      </c>
      <c r="C17620" s="12"/>
      <c r="D17620" s="13" t="n">
        <f aca="false">IF(B17620&lt;5,Einstellungen!$B$3,Einstellungen!$B$4)</f>
        <v>29.13</v>
      </c>
      <c r="E17620" s="14" t="str">
        <f aca="false">IF(C17620="","",C17620*D17620/100)</f>
        <v/>
      </c>
      <c r="F17620" s="15" t="str">
        <f aca="false">IF(B17620&lt;5,"Go","Standard")</f>
        <v>Standard</v>
      </c>
    </row>
    <row r="17621" customFormat="false" ht="15" hidden="false" customHeight="true" outlineLevel="0" collapsed="false">
      <c r="A17621" s="10" t="n">
        <f aca="false">Einstellungen!$B$5+INT((ROW()-9)/24)</f>
        <v>46699</v>
      </c>
      <c r="B17621" s="11" t="n">
        <f aca="false">MOD(ROW()-9,24)</f>
        <v>20</v>
      </c>
      <c r="C17621" s="12"/>
      <c r="D17621" s="13" t="n">
        <f aca="false">IF(B17621&lt;5,Einstellungen!$B$3,Einstellungen!$B$4)</f>
        <v>29.13</v>
      </c>
      <c r="E17621" s="14" t="str">
        <f aca="false">IF(C17621="","",C17621*D17621/100)</f>
        <v/>
      </c>
      <c r="F17621" s="15" t="str">
        <f aca="false">IF(B17621&lt;5,"Go","Standard")</f>
        <v>Standard</v>
      </c>
    </row>
    <row r="17622" customFormat="false" ht="15" hidden="false" customHeight="true" outlineLevel="0" collapsed="false">
      <c r="A17622" s="10" t="n">
        <f aca="false">Einstellungen!$B$5+INT((ROW()-9)/24)</f>
        <v>46699</v>
      </c>
      <c r="B17622" s="11" t="n">
        <f aca="false">MOD(ROW()-9,24)</f>
        <v>21</v>
      </c>
      <c r="C17622" s="12"/>
      <c r="D17622" s="13" t="n">
        <f aca="false">IF(B17622&lt;5,Einstellungen!$B$3,Einstellungen!$B$4)</f>
        <v>29.13</v>
      </c>
      <c r="E17622" s="14" t="str">
        <f aca="false">IF(C17622="","",C17622*D17622/100)</f>
        <v/>
      </c>
      <c r="F17622" s="15" t="str">
        <f aca="false">IF(B17622&lt;5,"Go","Standard")</f>
        <v>Standard</v>
      </c>
    </row>
    <row r="17623" customFormat="false" ht="15" hidden="false" customHeight="true" outlineLevel="0" collapsed="false">
      <c r="A17623" s="10" t="n">
        <f aca="false">Einstellungen!$B$5+INT((ROW()-9)/24)</f>
        <v>46699</v>
      </c>
      <c r="B17623" s="11" t="n">
        <f aca="false">MOD(ROW()-9,24)</f>
        <v>22</v>
      </c>
      <c r="C17623" s="12"/>
      <c r="D17623" s="13" t="n">
        <f aca="false">IF(B17623&lt;5,Einstellungen!$B$3,Einstellungen!$B$4)</f>
        <v>29.13</v>
      </c>
      <c r="E17623" s="14" t="str">
        <f aca="false">IF(C17623="","",C17623*D17623/100)</f>
        <v/>
      </c>
      <c r="F17623" s="15" t="str">
        <f aca="false">IF(B17623&lt;5,"Go","Standard")</f>
        <v>Standard</v>
      </c>
    </row>
    <row r="17624" customFormat="false" ht="15" hidden="false" customHeight="true" outlineLevel="0" collapsed="false">
      <c r="A17624" s="10" t="n">
        <f aca="false">Einstellungen!$B$5+INT((ROW()-9)/24)</f>
        <v>46699</v>
      </c>
      <c r="B17624" s="11" t="n">
        <f aca="false">MOD(ROW()-9,24)</f>
        <v>23</v>
      </c>
      <c r="C17624" s="12"/>
      <c r="D17624" s="13" t="n">
        <f aca="false">IF(B17624&lt;5,Einstellungen!$B$3,Einstellungen!$B$4)</f>
        <v>29.13</v>
      </c>
      <c r="E17624" s="14" t="str">
        <f aca="false">IF(C17624="","",C17624*D17624/100)</f>
        <v/>
      </c>
      <c r="F17624" s="15" t="str">
        <f aca="false">IF(B17624&lt;5,"Go","Standard")</f>
        <v>Standard</v>
      </c>
    </row>
    <row r="17625" customFormat="false" ht="15" hidden="false" customHeight="true" outlineLevel="0" collapsed="false">
      <c r="A17625" s="10" t="n">
        <f aca="false">Einstellungen!$B$5+INT((ROW()-9)/24)</f>
        <v>46700</v>
      </c>
      <c r="B17625" s="11" t="n">
        <f aca="false">MOD(ROW()-9,24)</f>
        <v>0</v>
      </c>
      <c r="C17625" s="12"/>
      <c r="D17625" s="13" t="n">
        <f aca="false">IF(B17625&lt;5,Einstellungen!$B$3,Einstellungen!$B$4)</f>
        <v>15.92</v>
      </c>
      <c r="E17625" s="14" t="str">
        <f aca="false">IF(C17625="","",C17625*D17625/100)</f>
        <v/>
      </c>
      <c r="F17625" s="15" t="str">
        <f aca="false">IF(B17625&lt;5,"Go","Standard")</f>
        <v>Go</v>
      </c>
    </row>
    <row r="17626" customFormat="false" ht="15" hidden="false" customHeight="true" outlineLevel="0" collapsed="false">
      <c r="A17626" s="10" t="n">
        <f aca="false">Einstellungen!$B$5+INT((ROW()-9)/24)</f>
        <v>46700</v>
      </c>
      <c r="B17626" s="11" t="n">
        <f aca="false">MOD(ROW()-9,24)</f>
        <v>1</v>
      </c>
      <c r="C17626" s="12"/>
      <c r="D17626" s="13" t="n">
        <f aca="false">IF(B17626&lt;5,Einstellungen!$B$3,Einstellungen!$B$4)</f>
        <v>15.92</v>
      </c>
      <c r="E17626" s="14" t="str">
        <f aca="false">IF(C17626="","",C17626*D17626/100)</f>
        <v/>
      </c>
      <c r="F17626" s="15" t="str">
        <f aca="false">IF(B17626&lt;5,"Go","Standard")</f>
        <v>Go</v>
      </c>
    </row>
    <row r="17627" customFormat="false" ht="15" hidden="false" customHeight="true" outlineLevel="0" collapsed="false">
      <c r="A17627" s="10" t="n">
        <f aca="false">Einstellungen!$B$5+INT((ROW()-9)/24)</f>
        <v>46700</v>
      </c>
      <c r="B17627" s="11" t="n">
        <f aca="false">MOD(ROW()-9,24)</f>
        <v>2</v>
      </c>
      <c r="C17627" s="12"/>
      <c r="D17627" s="13" t="n">
        <f aca="false">IF(B17627&lt;5,Einstellungen!$B$3,Einstellungen!$B$4)</f>
        <v>15.92</v>
      </c>
      <c r="E17627" s="14" t="str">
        <f aca="false">IF(C17627="","",C17627*D17627/100)</f>
        <v/>
      </c>
      <c r="F17627" s="15" t="str">
        <f aca="false">IF(B17627&lt;5,"Go","Standard")</f>
        <v>Go</v>
      </c>
    </row>
    <row r="17628" customFormat="false" ht="15" hidden="false" customHeight="true" outlineLevel="0" collapsed="false">
      <c r="A17628" s="10" t="n">
        <f aca="false">Einstellungen!$B$5+INT((ROW()-9)/24)</f>
        <v>46700</v>
      </c>
      <c r="B17628" s="11" t="n">
        <f aca="false">MOD(ROW()-9,24)</f>
        <v>3</v>
      </c>
      <c r="C17628" s="12"/>
      <c r="D17628" s="13" t="n">
        <f aca="false">IF(B17628&lt;5,Einstellungen!$B$3,Einstellungen!$B$4)</f>
        <v>15.92</v>
      </c>
      <c r="E17628" s="14" t="str">
        <f aca="false">IF(C17628="","",C17628*D17628/100)</f>
        <v/>
      </c>
      <c r="F17628" s="15" t="str">
        <f aca="false">IF(B17628&lt;5,"Go","Standard")</f>
        <v>Go</v>
      </c>
    </row>
    <row r="17629" customFormat="false" ht="15" hidden="false" customHeight="true" outlineLevel="0" collapsed="false">
      <c r="A17629" s="10" t="n">
        <f aca="false">Einstellungen!$B$5+INT((ROW()-9)/24)</f>
        <v>46700</v>
      </c>
      <c r="B17629" s="11" t="n">
        <f aca="false">MOD(ROW()-9,24)</f>
        <v>4</v>
      </c>
      <c r="C17629" s="12"/>
      <c r="D17629" s="13" t="n">
        <f aca="false">IF(B17629&lt;5,Einstellungen!$B$3,Einstellungen!$B$4)</f>
        <v>15.92</v>
      </c>
      <c r="E17629" s="14" t="str">
        <f aca="false">IF(C17629="","",C17629*D17629/100)</f>
        <v/>
      </c>
      <c r="F17629" s="15" t="str">
        <f aca="false">IF(B17629&lt;5,"Go","Standard")</f>
        <v>Go</v>
      </c>
    </row>
    <row r="17630" customFormat="false" ht="15" hidden="false" customHeight="true" outlineLevel="0" collapsed="false">
      <c r="A17630" s="10" t="n">
        <f aca="false">Einstellungen!$B$5+INT((ROW()-9)/24)</f>
        <v>46700</v>
      </c>
      <c r="B17630" s="11" t="n">
        <f aca="false">MOD(ROW()-9,24)</f>
        <v>5</v>
      </c>
      <c r="C17630" s="12"/>
      <c r="D17630" s="13" t="n">
        <f aca="false">IF(B17630&lt;5,Einstellungen!$B$3,Einstellungen!$B$4)</f>
        <v>29.13</v>
      </c>
      <c r="E17630" s="14" t="str">
        <f aca="false">IF(C17630="","",C17630*D17630/100)</f>
        <v/>
      </c>
      <c r="F17630" s="15" t="str">
        <f aca="false">IF(B17630&lt;5,"Go","Standard")</f>
        <v>Standard</v>
      </c>
    </row>
    <row r="17631" customFormat="false" ht="15" hidden="false" customHeight="true" outlineLevel="0" collapsed="false">
      <c r="A17631" s="10" t="n">
        <f aca="false">Einstellungen!$B$5+INT((ROW()-9)/24)</f>
        <v>46700</v>
      </c>
      <c r="B17631" s="11" t="n">
        <f aca="false">MOD(ROW()-9,24)</f>
        <v>6</v>
      </c>
      <c r="C17631" s="12"/>
      <c r="D17631" s="13" t="n">
        <f aca="false">IF(B17631&lt;5,Einstellungen!$B$3,Einstellungen!$B$4)</f>
        <v>29.13</v>
      </c>
      <c r="E17631" s="14" t="str">
        <f aca="false">IF(C17631="","",C17631*D17631/100)</f>
        <v/>
      </c>
      <c r="F17631" s="15" t="str">
        <f aca="false">IF(B17631&lt;5,"Go","Standard")</f>
        <v>Standard</v>
      </c>
    </row>
    <row r="17632" customFormat="false" ht="15" hidden="false" customHeight="true" outlineLevel="0" collapsed="false">
      <c r="A17632" s="10" t="n">
        <f aca="false">Einstellungen!$B$5+INT((ROW()-9)/24)</f>
        <v>46700</v>
      </c>
      <c r="B17632" s="11" t="n">
        <f aca="false">MOD(ROW()-9,24)</f>
        <v>7</v>
      </c>
      <c r="C17632" s="12"/>
      <c r="D17632" s="13" t="n">
        <f aca="false">IF(B17632&lt;5,Einstellungen!$B$3,Einstellungen!$B$4)</f>
        <v>29.13</v>
      </c>
      <c r="E17632" s="14" t="str">
        <f aca="false">IF(C17632="","",C17632*D17632/100)</f>
        <v/>
      </c>
      <c r="F17632" s="15" t="str">
        <f aca="false">IF(B17632&lt;5,"Go","Standard")</f>
        <v>Standard</v>
      </c>
    </row>
    <row r="17633" customFormat="false" ht="15" hidden="false" customHeight="true" outlineLevel="0" collapsed="false">
      <c r="A17633" s="10" t="n">
        <f aca="false">Einstellungen!$B$5+INT((ROW()-9)/24)</f>
        <v>46700</v>
      </c>
      <c r="B17633" s="11" t="n">
        <f aca="false">MOD(ROW()-9,24)</f>
        <v>8</v>
      </c>
      <c r="C17633" s="12"/>
      <c r="D17633" s="13" t="n">
        <f aca="false">IF(B17633&lt;5,Einstellungen!$B$3,Einstellungen!$B$4)</f>
        <v>29.13</v>
      </c>
      <c r="E17633" s="14" t="str">
        <f aca="false">IF(C17633="","",C17633*D17633/100)</f>
        <v/>
      </c>
      <c r="F17633" s="15" t="str">
        <f aca="false">IF(B17633&lt;5,"Go","Standard")</f>
        <v>Standard</v>
      </c>
    </row>
    <row r="17634" customFormat="false" ht="15" hidden="false" customHeight="true" outlineLevel="0" collapsed="false">
      <c r="A17634" s="10" t="n">
        <f aca="false">Einstellungen!$B$5+INT((ROW()-9)/24)</f>
        <v>46700</v>
      </c>
      <c r="B17634" s="11" t="n">
        <f aca="false">MOD(ROW()-9,24)</f>
        <v>9</v>
      </c>
      <c r="C17634" s="12"/>
      <c r="D17634" s="13" t="n">
        <f aca="false">IF(B17634&lt;5,Einstellungen!$B$3,Einstellungen!$B$4)</f>
        <v>29.13</v>
      </c>
      <c r="E17634" s="14" t="str">
        <f aca="false">IF(C17634="","",C17634*D17634/100)</f>
        <v/>
      </c>
      <c r="F17634" s="15" t="str">
        <f aca="false">IF(B17634&lt;5,"Go","Standard")</f>
        <v>Standard</v>
      </c>
    </row>
    <row r="17635" customFormat="false" ht="15" hidden="false" customHeight="true" outlineLevel="0" collapsed="false">
      <c r="A17635" s="10" t="n">
        <f aca="false">Einstellungen!$B$5+INT((ROW()-9)/24)</f>
        <v>46700</v>
      </c>
      <c r="B17635" s="11" t="n">
        <f aca="false">MOD(ROW()-9,24)</f>
        <v>10</v>
      </c>
      <c r="C17635" s="12"/>
      <c r="D17635" s="13" t="n">
        <f aca="false">IF(B17635&lt;5,Einstellungen!$B$3,Einstellungen!$B$4)</f>
        <v>29.13</v>
      </c>
      <c r="E17635" s="14" t="str">
        <f aca="false">IF(C17635="","",C17635*D17635/100)</f>
        <v/>
      </c>
      <c r="F17635" s="15" t="str">
        <f aca="false">IF(B17635&lt;5,"Go","Standard")</f>
        <v>Standard</v>
      </c>
    </row>
    <row r="17636" customFormat="false" ht="15" hidden="false" customHeight="true" outlineLevel="0" collapsed="false">
      <c r="A17636" s="10" t="n">
        <f aca="false">Einstellungen!$B$5+INT((ROW()-9)/24)</f>
        <v>46700</v>
      </c>
      <c r="B17636" s="11" t="n">
        <f aca="false">MOD(ROW()-9,24)</f>
        <v>11</v>
      </c>
      <c r="C17636" s="12"/>
      <c r="D17636" s="13" t="n">
        <f aca="false">IF(B17636&lt;5,Einstellungen!$B$3,Einstellungen!$B$4)</f>
        <v>29.13</v>
      </c>
      <c r="E17636" s="14" t="str">
        <f aca="false">IF(C17636="","",C17636*D17636/100)</f>
        <v/>
      </c>
      <c r="F17636" s="15" t="str">
        <f aca="false">IF(B17636&lt;5,"Go","Standard")</f>
        <v>Standard</v>
      </c>
    </row>
    <row r="17637" customFormat="false" ht="15" hidden="false" customHeight="true" outlineLevel="0" collapsed="false">
      <c r="A17637" s="10" t="n">
        <f aca="false">Einstellungen!$B$5+INT((ROW()-9)/24)</f>
        <v>46700</v>
      </c>
      <c r="B17637" s="11" t="n">
        <f aca="false">MOD(ROW()-9,24)</f>
        <v>12</v>
      </c>
      <c r="C17637" s="12"/>
      <c r="D17637" s="13" t="n">
        <f aca="false">IF(B17637&lt;5,Einstellungen!$B$3,Einstellungen!$B$4)</f>
        <v>29.13</v>
      </c>
      <c r="E17637" s="14" t="str">
        <f aca="false">IF(C17637="","",C17637*D17637/100)</f>
        <v/>
      </c>
      <c r="F17637" s="15" t="str">
        <f aca="false">IF(B17637&lt;5,"Go","Standard")</f>
        <v>Standard</v>
      </c>
    </row>
    <row r="17638" customFormat="false" ht="15" hidden="false" customHeight="true" outlineLevel="0" collapsed="false">
      <c r="A17638" s="10" t="n">
        <f aca="false">Einstellungen!$B$5+INT((ROW()-9)/24)</f>
        <v>46700</v>
      </c>
      <c r="B17638" s="11" t="n">
        <f aca="false">MOD(ROW()-9,24)</f>
        <v>13</v>
      </c>
      <c r="C17638" s="12"/>
      <c r="D17638" s="13" t="n">
        <f aca="false">IF(B17638&lt;5,Einstellungen!$B$3,Einstellungen!$B$4)</f>
        <v>29.13</v>
      </c>
      <c r="E17638" s="14" t="str">
        <f aca="false">IF(C17638="","",C17638*D17638/100)</f>
        <v/>
      </c>
      <c r="F17638" s="15" t="str">
        <f aca="false">IF(B17638&lt;5,"Go","Standard")</f>
        <v>Standard</v>
      </c>
    </row>
    <row r="17639" customFormat="false" ht="15" hidden="false" customHeight="true" outlineLevel="0" collapsed="false">
      <c r="A17639" s="10" t="n">
        <f aca="false">Einstellungen!$B$5+INT((ROW()-9)/24)</f>
        <v>46700</v>
      </c>
      <c r="B17639" s="11" t="n">
        <f aca="false">MOD(ROW()-9,24)</f>
        <v>14</v>
      </c>
      <c r="C17639" s="12"/>
      <c r="D17639" s="13" t="n">
        <f aca="false">IF(B17639&lt;5,Einstellungen!$B$3,Einstellungen!$B$4)</f>
        <v>29.13</v>
      </c>
      <c r="E17639" s="14" t="str">
        <f aca="false">IF(C17639="","",C17639*D17639/100)</f>
        <v/>
      </c>
      <c r="F17639" s="15" t="str">
        <f aca="false">IF(B17639&lt;5,"Go","Standard")</f>
        <v>Standard</v>
      </c>
    </row>
    <row r="17640" customFormat="false" ht="15" hidden="false" customHeight="true" outlineLevel="0" collapsed="false">
      <c r="A17640" s="10" t="n">
        <f aca="false">Einstellungen!$B$5+INT((ROW()-9)/24)</f>
        <v>46700</v>
      </c>
      <c r="B17640" s="11" t="n">
        <f aca="false">MOD(ROW()-9,24)</f>
        <v>15</v>
      </c>
      <c r="C17640" s="12"/>
      <c r="D17640" s="13" t="n">
        <f aca="false">IF(B17640&lt;5,Einstellungen!$B$3,Einstellungen!$B$4)</f>
        <v>29.13</v>
      </c>
      <c r="E17640" s="14" t="str">
        <f aca="false">IF(C17640="","",C17640*D17640/100)</f>
        <v/>
      </c>
      <c r="F17640" s="15" t="str">
        <f aca="false">IF(B17640&lt;5,"Go","Standard")</f>
        <v>Standard</v>
      </c>
    </row>
    <row r="17641" customFormat="false" ht="15" hidden="false" customHeight="true" outlineLevel="0" collapsed="false">
      <c r="A17641" s="10" t="n">
        <f aca="false">Einstellungen!$B$5+INT((ROW()-9)/24)</f>
        <v>46700</v>
      </c>
      <c r="B17641" s="11" t="n">
        <f aca="false">MOD(ROW()-9,24)</f>
        <v>16</v>
      </c>
      <c r="C17641" s="12"/>
      <c r="D17641" s="13" t="n">
        <f aca="false">IF(B17641&lt;5,Einstellungen!$B$3,Einstellungen!$B$4)</f>
        <v>29.13</v>
      </c>
      <c r="E17641" s="14" t="str">
        <f aca="false">IF(C17641="","",C17641*D17641/100)</f>
        <v/>
      </c>
      <c r="F17641" s="15" t="str">
        <f aca="false">IF(B17641&lt;5,"Go","Standard")</f>
        <v>Standard</v>
      </c>
    </row>
    <row r="17642" customFormat="false" ht="15" hidden="false" customHeight="true" outlineLevel="0" collapsed="false">
      <c r="A17642" s="10" t="n">
        <f aca="false">Einstellungen!$B$5+INT((ROW()-9)/24)</f>
        <v>46700</v>
      </c>
      <c r="B17642" s="11" t="n">
        <f aca="false">MOD(ROW()-9,24)</f>
        <v>17</v>
      </c>
      <c r="C17642" s="12"/>
      <c r="D17642" s="13" t="n">
        <f aca="false">IF(B17642&lt;5,Einstellungen!$B$3,Einstellungen!$B$4)</f>
        <v>29.13</v>
      </c>
      <c r="E17642" s="14" t="str">
        <f aca="false">IF(C17642="","",C17642*D17642/100)</f>
        <v/>
      </c>
      <c r="F17642" s="15" t="str">
        <f aca="false">IF(B17642&lt;5,"Go","Standard")</f>
        <v>Standard</v>
      </c>
    </row>
    <row r="17643" customFormat="false" ht="15" hidden="false" customHeight="true" outlineLevel="0" collapsed="false">
      <c r="A17643" s="10" t="n">
        <f aca="false">Einstellungen!$B$5+INT((ROW()-9)/24)</f>
        <v>46700</v>
      </c>
      <c r="B17643" s="11" t="n">
        <f aca="false">MOD(ROW()-9,24)</f>
        <v>18</v>
      </c>
      <c r="C17643" s="12"/>
      <c r="D17643" s="13" t="n">
        <f aca="false">IF(B17643&lt;5,Einstellungen!$B$3,Einstellungen!$B$4)</f>
        <v>29.13</v>
      </c>
      <c r="E17643" s="14" t="str">
        <f aca="false">IF(C17643="","",C17643*D17643/100)</f>
        <v/>
      </c>
      <c r="F17643" s="15" t="str">
        <f aca="false">IF(B17643&lt;5,"Go","Standard")</f>
        <v>Standard</v>
      </c>
    </row>
    <row r="17644" customFormat="false" ht="15" hidden="false" customHeight="true" outlineLevel="0" collapsed="false">
      <c r="A17644" s="10" t="n">
        <f aca="false">Einstellungen!$B$5+INT((ROW()-9)/24)</f>
        <v>46700</v>
      </c>
      <c r="B17644" s="11" t="n">
        <f aca="false">MOD(ROW()-9,24)</f>
        <v>19</v>
      </c>
      <c r="C17644" s="12"/>
      <c r="D17644" s="13" t="n">
        <f aca="false">IF(B17644&lt;5,Einstellungen!$B$3,Einstellungen!$B$4)</f>
        <v>29.13</v>
      </c>
      <c r="E17644" s="14" t="str">
        <f aca="false">IF(C17644="","",C17644*D17644/100)</f>
        <v/>
      </c>
      <c r="F17644" s="15" t="str">
        <f aca="false">IF(B17644&lt;5,"Go","Standard")</f>
        <v>Standard</v>
      </c>
    </row>
    <row r="17645" customFormat="false" ht="15" hidden="false" customHeight="true" outlineLevel="0" collapsed="false">
      <c r="A17645" s="10" t="n">
        <f aca="false">Einstellungen!$B$5+INT((ROW()-9)/24)</f>
        <v>46700</v>
      </c>
      <c r="B17645" s="11" t="n">
        <f aca="false">MOD(ROW()-9,24)</f>
        <v>20</v>
      </c>
      <c r="C17645" s="12"/>
      <c r="D17645" s="13" t="n">
        <f aca="false">IF(B17645&lt;5,Einstellungen!$B$3,Einstellungen!$B$4)</f>
        <v>29.13</v>
      </c>
      <c r="E17645" s="14" t="str">
        <f aca="false">IF(C17645="","",C17645*D17645/100)</f>
        <v/>
      </c>
      <c r="F17645" s="15" t="str">
        <f aca="false">IF(B17645&lt;5,"Go","Standard")</f>
        <v>Standard</v>
      </c>
    </row>
    <row r="17646" customFormat="false" ht="15" hidden="false" customHeight="true" outlineLevel="0" collapsed="false">
      <c r="A17646" s="10" t="n">
        <f aca="false">Einstellungen!$B$5+INT((ROW()-9)/24)</f>
        <v>46700</v>
      </c>
      <c r="B17646" s="11" t="n">
        <f aca="false">MOD(ROW()-9,24)</f>
        <v>21</v>
      </c>
      <c r="C17646" s="12"/>
      <c r="D17646" s="13" t="n">
        <f aca="false">IF(B17646&lt;5,Einstellungen!$B$3,Einstellungen!$B$4)</f>
        <v>29.13</v>
      </c>
      <c r="E17646" s="14" t="str">
        <f aca="false">IF(C17646="","",C17646*D17646/100)</f>
        <v/>
      </c>
      <c r="F17646" s="15" t="str">
        <f aca="false">IF(B17646&lt;5,"Go","Standard")</f>
        <v>Standard</v>
      </c>
    </row>
    <row r="17647" customFormat="false" ht="15" hidden="false" customHeight="true" outlineLevel="0" collapsed="false">
      <c r="A17647" s="10" t="n">
        <f aca="false">Einstellungen!$B$5+INT((ROW()-9)/24)</f>
        <v>46700</v>
      </c>
      <c r="B17647" s="11" t="n">
        <f aca="false">MOD(ROW()-9,24)</f>
        <v>22</v>
      </c>
      <c r="C17647" s="12"/>
      <c r="D17647" s="13" t="n">
        <f aca="false">IF(B17647&lt;5,Einstellungen!$B$3,Einstellungen!$B$4)</f>
        <v>29.13</v>
      </c>
      <c r="E17647" s="14" t="str">
        <f aca="false">IF(C17647="","",C17647*D17647/100)</f>
        <v/>
      </c>
      <c r="F17647" s="15" t="str">
        <f aca="false">IF(B17647&lt;5,"Go","Standard")</f>
        <v>Standard</v>
      </c>
    </row>
    <row r="17648" customFormat="false" ht="15" hidden="false" customHeight="true" outlineLevel="0" collapsed="false">
      <c r="A17648" s="10" t="n">
        <f aca="false">Einstellungen!$B$5+INT((ROW()-9)/24)</f>
        <v>46700</v>
      </c>
      <c r="B17648" s="11" t="n">
        <f aca="false">MOD(ROW()-9,24)</f>
        <v>23</v>
      </c>
      <c r="C17648" s="12"/>
      <c r="D17648" s="13" t="n">
        <f aca="false">IF(B17648&lt;5,Einstellungen!$B$3,Einstellungen!$B$4)</f>
        <v>29.13</v>
      </c>
      <c r="E17648" s="14" t="str">
        <f aca="false">IF(C17648="","",C17648*D17648/100)</f>
        <v/>
      </c>
      <c r="F17648" s="15" t="str">
        <f aca="false">IF(B17648&lt;5,"Go","Standard")</f>
        <v>Standard</v>
      </c>
    </row>
    <row r="17649" customFormat="false" ht="15" hidden="false" customHeight="true" outlineLevel="0" collapsed="false">
      <c r="A17649" s="10" t="n">
        <f aca="false">Einstellungen!$B$5+INT((ROW()-9)/24)</f>
        <v>46701</v>
      </c>
      <c r="B17649" s="11" t="n">
        <f aca="false">MOD(ROW()-9,24)</f>
        <v>0</v>
      </c>
      <c r="C17649" s="12"/>
      <c r="D17649" s="13" t="n">
        <f aca="false">IF(B17649&lt;5,Einstellungen!$B$3,Einstellungen!$B$4)</f>
        <v>15.92</v>
      </c>
      <c r="E17649" s="14" t="str">
        <f aca="false">IF(C17649="","",C17649*D17649/100)</f>
        <v/>
      </c>
      <c r="F17649" s="15" t="str">
        <f aca="false">IF(B17649&lt;5,"Go","Standard")</f>
        <v>Go</v>
      </c>
    </row>
    <row r="17650" customFormat="false" ht="15" hidden="false" customHeight="true" outlineLevel="0" collapsed="false">
      <c r="A17650" s="10" t="n">
        <f aca="false">Einstellungen!$B$5+INT((ROW()-9)/24)</f>
        <v>46701</v>
      </c>
      <c r="B17650" s="11" t="n">
        <f aca="false">MOD(ROW()-9,24)</f>
        <v>1</v>
      </c>
      <c r="C17650" s="12"/>
      <c r="D17650" s="13" t="n">
        <f aca="false">IF(B17650&lt;5,Einstellungen!$B$3,Einstellungen!$B$4)</f>
        <v>15.92</v>
      </c>
      <c r="E17650" s="14" t="str">
        <f aca="false">IF(C17650="","",C17650*D17650/100)</f>
        <v/>
      </c>
      <c r="F17650" s="15" t="str">
        <f aca="false">IF(B17650&lt;5,"Go","Standard")</f>
        <v>Go</v>
      </c>
    </row>
    <row r="17651" customFormat="false" ht="15" hidden="false" customHeight="true" outlineLevel="0" collapsed="false">
      <c r="A17651" s="10" t="n">
        <f aca="false">Einstellungen!$B$5+INT((ROW()-9)/24)</f>
        <v>46701</v>
      </c>
      <c r="B17651" s="11" t="n">
        <f aca="false">MOD(ROW()-9,24)</f>
        <v>2</v>
      </c>
      <c r="C17651" s="12"/>
      <c r="D17651" s="13" t="n">
        <f aca="false">IF(B17651&lt;5,Einstellungen!$B$3,Einstellungen!$B$4)</f>
        <v>15.92</v>
      </c>
      <c r="E17651" s="14" t="str">
        <f aca="false">IF(C17651="","",C17651*D17651/100)</f>
        <v/>
      </c>
      <c r="F17651" s="15" t="str">
        <f aca="false">IF(B17651&lt;5,"Go","Standard")</f>
        <v>Go</v>
      </c>
    </row>
    <row r="17652" customFormat="false" ht="15" hidden="false" customHeight="true" outlineLevel="0" collapsed="false">
      <c r="A17652" s="10" t="n">
        <f aca="false">Einstellungen!$B$5+INT((ROW()-9)/24)</f>
        <v>46701</v>
      </c>
      <c r="B17652" s="11" t="n">
        <f aca="false">MOD(ROW()-9,24)</f>
        <v>3</v>
      </c>
      <c r="C17652" s="12"/>
      <c r="D17652" s="13" t="n">
        <f aca="false">IF(B17652&lt;5,Einstellungen!$B$3,Einstellungen!$B$4)</f>
        <v>15.92</v>
      </c>
      <c r="E17652" s="14" t="str">
        <f aca="false">IF(C17652="","",C17652*D17652/100)</f>
        <v/>
      </c>
      <c r="F17652" s="15" t="str">
        <f aca="false">IF(B17652&lt;5,"Go","Standard")</f>
        <v>Go</v>
      </c>
    </row>
    <row r="17653" customFormat="false" ht="15" hidden="false" customHeight="true" outlineLevel="0" collapsed="false">
      <c r="A17653" s="10" t="n">
        <f aca="false">Einstellungen!$B$5+INT((ROW()-9)/24)</f>
        <v>46701</v>
      </c>
      <c r="B17653" s="11" t="n">
        <f aca="false">MOD(ROW()-9,24)</f>
        <v>4</v>
      </c>
      <c r="C17653" s="12"/>
      <c r="D17653" s="13" t="n">
        <f aca="false">IF(B17653&lt;5,Einstellungen!$B$3,Einstellungen!$B$4)</f>
        <v>15.92</v>
      </c>
      <c r="E17653" s="14" t="str">
        <f aca="false">IF(C17653="","",C17653*D17653/100)</f>
        <v/>
      </c>
      <c r="F17653" s="15" t="str">
        <f aca="false">IF(B17653&lt;5,"Go","Standard")</f>
        <v>Go</v>
      </c>
    </row>
    <row r="17654" customFormat="false" ht="15" hidden="false" customHeight="true" outlineLevel="0" collapsed="false">
      <c r="A17654" s="10" t="n">
        <f aca="false">Einstellungen!$B$5+INT((ROW()-9)/24)</f>
        <v>46701</v>
      </c>
      <c r="B17654" s="11" t="n">
        <f aca="false">MOD(ROW()-9,24)</f>
        <v>5</v>
      </c>
      <c r="C17654" s="12"/>
      <c r="D17654" s="13" t="n">
        <f aca="false">IF(B17654&lt;5,Einstellungen!$B$3,Einstellungen!$B$4)</f>
        <v>29.13</v>
      </c>
      <c r="E17654" s="14" t="str">
        <f aca="false">IF(C17654="","",C17654*D17654/100)</f>
        <v/>
      </c>
      <c r="F17654" s="15" t="str">
        <f aca="false">IF(B17654&lt;5,"Go","Standard")</f>
        <v>Standard</v>
      </c>
    </row>
    <row r="17655" customFormat="false" ht="15" hidden="false" customHeight="true" outlineLevel="0" collapsed="false">
      <c r="A17655" s="10" t="n">
        <f aca="false">Einstellungen!$B$5+INT((ROW()-9)/24)</f>
        <v>46701</v>
      </c>
      <c r="B17655" s="11" t="n">
        <f aca="false">MOD(ROW()-9,24)</f>
        <v>6</v>
      </c>
      <c r="C17655" s="12"/>
      <c r="D17655" s="13" t="n">
        <f aca="false">IF(B17655&lt;5,Einstellungen!$B$3,Einstellungen!$B$4)</f>
        <v>29.13</v>
      </c>
      <c r="E17655" s="14" t="str">
        <f aca="false">IF(C17655="","",C17655*D17655/100)</f>
        <v/>
      </c>
      <c r="F17655" s="15" t="str">
        <f aca="false">IF(B17655&lt;5,"Go","Standard")</f>
        <v>Standard</v>
      </c>
    </row>
    <row r="17656" customFormat="false" ht="15" hidden="false" customHeight="true" outlineLevel="0" collapsed="false">
      <c r="A17656" s="10" t="n">
        <f aca="false">Einstellungen!$B$5+INT((ROW()-9)/24)</f>
        <v>46701</v>
      </c>
      <c r="B17656" s="11" t="n">
        <f aca="false">MOD(ROW()-9,24)</f>
        <v>7</v>
      </c>
      <c r="C17656" s="12"/>
      <c r="D17656" s="13" t="n">
        <f aca="false">IF(B17656&lt;5,Einstellungen!$B$3,Einstellungen!$B$4)</f>
        <v>29.13</v>
      </c>
      <c r="E17656" s="14" t="str">
        <f aca="false">IF(C17656="","",C17656*D17656/100)</f>
        <v/>
      </c>
      <c r="F17656" s="15" t="str">
        <f aca="false">IF(B17656&lt;5,"Go","Standard")</f>
        <v>Standard</v>
      </c>
    </row>
    <row r="17657" customFormat="false" ht="15" hidden="false" customHeight="true" outlineLevel="0" collapsed="false">
      <c r="A17657" s="10" t="n">
        <f aca="false">Einstellungen!$B$5+INT((ROW()-9)/24)</f>
        <v>46701</v>
      </c>
      <c r="B17657" s="11" t="n">
        <f aca="false">MOD(ROW()-9,24)</f>
        <v>8</v>
      </c>
      <c r="C17657" s="12"/>
      <c r="D17657" s="13" t="n">
        <f aca="false">IF(B17657&lt;5,Einstellungen!$B$3,Einstellungen!$B$4)</f>
        <v>29.13</v>
      </c>
      <c r="E17657" s="14" t="str">
        <f aca="false">IF(C17657="","",C17657*D17657/100)</f>
        <v/>
      </c>
      <c r="F17657" s="15" t="str">
        <f aca="false">IF(B17657&lt;5,"Go","Standard")</f>
        <v>Standard</v>
      </c>
    </row>
    <row r="17658" customFormat="false" ht="15" hidden="false" customHeight="true" outlineLevel="0" collapsed="false">
      <c r="A17658" s="10" t="n">
        <f aca="false">Einstellungen!$B$5+INT((ROW()-9)/24)</f>
        <v>46701</v>
      </c>
      <c r="B17658" s="11" t="n">
        <f aca="false">MOD(ROW()-9,24)</f>
        <v>9</v>
      </c>
      <c r="C17658" s="12"/>
      <c r="D17658" s="13" t="n">
        <f aca="false">IF(B17658&lt;5,Einstellungen!$B$3,Einstellungen!$B$4)</f>
        <v>29.13</v>
      </c>
      <c r="E17658" s="14" t="str">
        <f aca="false">IF(C17658="","",C17658*D17658/100)</f>
        <v/>
      </c>
      <c r="F17658" s="15" t="str">
        <f aca="false">IF(B17658&lt;5,"Go","Standard")</f>
        <v>Standard</v>
      </c>
    </row>
    <row r="17659" customFormat="false" ht="15" hidden="false" customHeight="true" outlineLevel="0" collapsed="false">
      <c r="A17659" s="10" t="n">
        <f aca="false">Einstellungen!$B$5+INT((ROW()-9)/24)</f>
        <v>46701</v>
      </c>
      <c r="B17659" s="11" t="n">
        <f aca="false">MOD(ROW()-9,24)</f>
        <v>10</v>
      </c>
      <c r="C17659" s="12"/>
      <c r="D17659" s="13" t="n">
        <f aca="false">IF(B17659&lt;5,Einstellungen!$B$3,Einstellungen!$B$4)</f>
        <v>29.13</v>
      </c>
      <c r="E17659" s="14" t="str">
        <f aca="false">IF(C17659="","",C17659*D17659/100)</f>
        <v/>
      </c>
      <c r="F17659" s="15" t="str">
        <f aca="false">IF(B17659&lt;5,"Go","Standard")</f>
        <v>Standard</v>
      </c>
    </row>
    <row r="17660" customFormat="false" ht="15" hidden="false" customHeight="true" outlineLevel="0" collapsed="false">
      <c r="A17660" s="10" t="n">
        <f aca="false">Einstellungen!$B$5+INT((ROW()-9)/24)</f>
        <v>46701</v>
      </c>
      <c r="B17660" s="11" t="n">
        <f aca="false">MOD(ROW()-9,24)</f>
        <v>11</v>
      </c>
      <c r="C17660" s="12"/>
      <c r="D17660" s="13" t="n">
        <f aca="false">IF(B17660&lt;5,Einstellungen!$B$3,Einstellungen!$B$4)</f>
        <v>29.13</v>
      </c>
      <c r="E17660" s="14" t="str">
        <f aca="false">IF(C17660="","",C17660*D17660/100)</f>
        <v/>
      </c>
      <c r="F17660" s="15" t="str">
        <f aca="false">IF(B17660&lt;5,"Go","Standard")</f>
        <v>Standard</v>
      </c>
    </row>
    <row r="17661" customFormat="false" ht="15" hidden="false" customHeight="true" outlineLevel="0" collapsed="false">
      <c r="A17661" s="10" t="n">
        <f aca="false">Einstellungen!$B$5+INT((ROW()-9)/24)</f>
        <v>46701</v>
      </c>
      <c r="B17661" s="11" t="n">
        <f aca="false">MOD(ROW()-9,24)</f>
        <v>12</v>
      </c>
      <c r="C17661" s="12"/>
      <c r="D17661" s="13" t="n">
        <f aca="false">IF(B17661&lt;5,Einstellungen!$B$3,Einstellungen!$B$4)</f>
        <v>29.13</v>
      </c>
      <c r="E17661" s="14" t="str">
        <f aca="false">IF(C17661="","",C17661*D17661/100)</f>
        <v/>
      </c>
      <c r="F17661" s="15" t="str">
        <f aca="false">IF(B17661&lt;5,"Go","Standard")</f>
        <v>Standard</v>
      </c>
    </row>
    <row r="17662" customFormat="false" ht="15" hidden="false" customHeight="true" outlineLevel="0" collapsed="false">
      <c r="A17662" s="10" t="n">
        <f aca="false">Einstellungen!$B$5+INT((ROW()-9)/24)</f>
        <v>46701</v>
      </c>
      <c r="B17662" s="11" t="n">
        <f aca="false">MOD(ROW()-9,24)</f>
        <v>13</v>
      </c>
      <c r="C17662" s="12"/>
      <c r="D17662" s="13" t="n">
        <f aca="false">IF(B17662&lt;5,Einstellungen!$B$3,Einstellungen!$B$4)</f>
        <v>29.13</v>
      </c>
      <c r="E17662" s="14" t="str">
        <f aca="false">IF(C17662="","",C17662*D17662/100)</f>
        <v/>
      </c>
      <c r="F17662" s="15" t="str">
        <f aca="false">IF(B17662&lt;5,"Go","Standard")</f>
        <v>Standard</v>
      </c>
    </row>
    <row r="17663" customFormat="false" ht="15" hidden="false" customHeight="true" outlineLevel="0" collapsed="false">
      <c r="A17663" s="10" t="n">
        <f aca="false">Einstellungen!$B$5+INT((ROW()-9)/24)</f>
        <v>46701</v>
      </c>
      <c r="B17663" s="11" t="n">
        <f aca="false">MOD(ROW()-9,24)</f>
        <v>14</v>
      </c>
      <c r="C17663" s="12"/>
      <c r="D17663" s="13" t="n">
        <f aca="false">IF(B17663&lt;5,Einstellungen!$B$3,Einstellungen!$B$4)</f>
        <v>29.13</v>
      </c>
      <c r="E17663" s="14" t="str">
        <f aca="false">IF(C17663="","",C17663*D17663/100)</f>
        <v/>
      </c>
      <c r="F17663" s="15" t="str">
        <f aca="false">IF(B17663&lt;5,"Go","Standard")</f>
        <v>Standard</v>
      </c>
    </row>
    <row r="17664" customFormat="false" ht="15" hidden="false" customHeight="true" outlineLevel="0" collapsed="false">
      <c r="A17664" s="10" t="n">
        <f aca="false">Einstellungen!$B$5+INT((ROW()-9)/24)</f>
        <v>46701</v>
      </c>
      <c r="B17664" s="11" t="n">
        <f aca="false">MOD(ROW()-9,24)</f>
        <v>15</v>
      </c>
      <c r="C17664" s="12"/>
      <c r="D17664" s="13" t="n">
        <f aca="false">IF(B17664&lt;5,Einstellungen!$B$3,Einstellungen!$B$4)</f>
        <v>29.13</v>
      </c>
      <c r="E17664" s="14" t="str">
        <f aca="false">IF(C17664="","",C17664*D17664/100)</f>
        <v/>
      </c>
      <c r="F17664" s="15" t="str">
        <f aca="false">IF(B17664&lt;5,"Go","Standard")</f>
        <v>Standard</v>
      </c>
    </row>
    <row r="17665" customFormat="false" ht="15" hidden="false" customHeight="true" outlineLevel="0" collapsed="false">
      <c r="A17665" s="10" t="n">
        <f aca="false">Einstellungen!$B$5+INT((ROW()-9)/24)</f>
        <v>46701</v>
      </c>
      <c r="B17665" s="11" t="n">
        <f aca="false">MOD(ROW()-9,24)</f>
        <v>16</v>
      </c>
      <c r="C17665" s="12"/>
      <c r="D17665" s="13" t="n">
        <f aca="false">IF(B17665&lt;5,Einstellungen!$B$3,Einstellungen!$B$4)</f>
        <v>29.13</v>
      </c>
      <c r="E17665" s="14" t="str">
        <f aca="false">IF(C17665="","",C17665*D17665/100)</f>
        <v/>
      </c>
      <c r="F17665" s="15" t="str">
        <f aca="false">IF(B17665&lt;5,"Go","Standard")</f>
        <v>Standard</v>
      </c>
    </row>
    <row r="17666" customFormat="false" ht="15" hidden="false" customHeight="true" outlineLevel="0" collapsed="false">
      <c r="A17666" s="10" t="n">
        <f aca="false">Einstellungen!$B$5+INT((ROW()-9)/24)</f>
        <v>46701</v>
      </c>
      <c r="B17666" s="11" t="n">
        <f aca="false">MOD(ROW()-9,24)</f>
        <v>17</v>
      </c>
      <c r="C17666" s="12"/>
      <c r="D17666" s="13" t="n">
        <f aca="false">IF(B17666&lt;5,Einstellungen!$B$3,Einstellungen!$B$4)</f>
        <v>29.13</v>
      </c>
      <c r="E17666" s="14" t="str">
        <f aca="false">IF(C17666="","",C17666*D17666/100)</f>
        <v/>
      </c>
      <c r="F17666" s="15" t="str">
        <f aca="false">IF(B17666&lt;5,"Go","Standard")</f>
        <v>Standard</v>
      </c>
    </row>
    <row r="17667" customFormat="false" ht="15" hidden="false" customHeight="true" outlineLevel="0" collapsed="false">
      <c r="A17667" s="10" t="n">
        <f aca="false">Einstellungen!$B$5+INT((ROW()-9)/24)</f>
        <v>46701</v>
      </c>
      <c r="B17667" s="11" t="n">
        <f aca="false">MOD(ROW()-9,24)</f>
        <v>18</v>
      </c>
      <c r="C17667" s="12"/>
      <c r="D17667" s="13" t="n">
        <f aca="false">IF(B17667&lt;5,Einstellungen!$B$3,Einstellungen!$B$4)</f>
        <v>29.13</v>
      </c>
      <c r="E17667" s="14" t="str">
        <f aca="false">IF(C17667="","",C17667*D17667/100)</f>
        <v/>
      </c>
      <c r="F17667" s="15" t="str">
        <f aca="false">IF(B17667&lt;5,"Go","Standard")</f>
        <v>Standard</v>
      </c>
    </row>
    <row r="17668" customFormat="false" ht="15" hidden="false" customHeight="true" outlineLevel="0" collapsed="false">
      <c r="A17668" s="10" t="n">
        <f aca="false">Einstellungen!$B$5+INT((ROW()-9)/24)</f>
        <v>46701</v>
      </c>
      <c r="B17668" s="11" t="n">
        <f aca="false">MOD(ROW()-9,24)</f>
        <v>19</v>
      </c>
      <c r="C17668" s="12"/>
      <c r="D17668" s="13" t="n">
        <f aca="false">IF(B17668&lt;5,Einstellungen!$B$3,Einstellungen!$B$4)</f>
        <v>29.13</v>
      </c>
      <c r="E17668" s="14" t="str">
        <f aca="false">IF(C17668="","",C17668*D17668/100)</f>
        <v/>
      </c>
      <c r="F17668" s="15" t="str">
        <f aca="false">IF(B17668&lt;5,"Go","Standard")</f>
        <v>Standard</v>
      </c>
    </row>
    <row r="17669" customFormat="false" ht="15" hidden="false" customHeight="true" outlineLevel="0" collapsed="false">
      <c r="A17669" s="10" t="n">
        <f aca="false">Einstellungen!$B$5+INT((ROW()-9)/24)</f>
        <v>46701</v>
      </c>
      <c r="B17669" s="11" t="n">
        <f aca="false">MOD(ROW()-9,24)</f>
        <v>20</v>
      </c>
      <c r="C17669" s="12"/>
      <c r="D17669" s="13" t="n">
        <f aca="false">IF(B17669&lt;5,Einstellungen!$B$3,Einstellungen!$B$4)</f>
        <v>29.13</v>
      </c>
      <c r="E17669" s="14" t="str">
        <f aca="false">IF(C17669="","",C17669*D17669/100)</f>
        <v/>
      </c>
      <c r="F17669" s="15" t="str">
        <f aca="false">IF(B17669&lt;5,"Go","Standard")</f>
        <v>Standard</v>
      </c>
    </row>
    <row r="17670" customFormat="false" ht="15" hidden="false" customHeight="true" outlineLevel="0" collapsed="false">
      <c r="A17670" s="10" t="n">
        <f aca="false">Einstellungen!$B$5+INT((ROW()-9)/24)</f>
        <v>46701</v>
      </c>
      <c r="B17670" s="11" t="n">
        <f aca="false">MOD(ROW()-9,24)</f>
        <v>21</v>
      </c>
      <c r="C17670" s="12"/>
      <c r="D17670" s="13" t="n">
        <f aca="false">IF(B17670&lt;5,Einstellungen!$B$3,Einstellungen!$B$4)</f>
        <v>29.13</v>
      </c>
      <c r="E17670" s="14" t="str">
        <f aca="false">IF(C17670="","",C17670*D17670/100)</f>
        <v/>
      </c>
      <c r="F17670" s="15" t="str">
        <f aca="false">IF(B17670&lt;5,"Go","Standard")</f>
        <v>Standard</v>
      </c>
    </row>
    <row r="17671" customFormat="false" ht="15" hidden="false" customHeight="true" outlineLevel="0" collapsed="false">
      <c r="A17671" s="10" t="n">
        <f aca="false">Einstellungen!$B$5+INT((ROW()-9)/24)</f>
        <v>46701</v>
      </c>
      <c r="B17671" s="11" t="n">
        <f aca="false">MOD(ROW()-9,24)</f>
        <v>22</v>
      </c>
      <c r="C17671" s="12"/>
      <c r="D17671" s="13" t="n">
        <f aca="false">IF(B17671&lt;5,Einstellungen!$B$3,Einstellungen!$B$4)</f>
        <v>29.13</v>
      </c>
      <c r="E17671" s="14" t="str">
        <f aca="false">IF(C17671="","",C17671*D17671/100)</f>
        <v/>
      </c>
      <c r="F17671" s="15" t="str">
        <f aca="false">IF(B17671&lt;5,"Go","Standard")</f>
        <v>Standard</v>
      </c>
    </row>
    <row r="17672" customFormat="false" ht="15" hidden="false" customHeight="true" outlineLevel="0" collapsed="false">
      <c r="A17672" s="10" t="n">
        <f aca="false">Einstellungen!$B$5+INT((ROW()-9)/24)</f>
        <v>46701</v>
      </c>
      <c r="B17672" s="11" t="n">
        <f aca="false">MOD(ROW()-9,24)</f>
        <v>23</v>
      </c>
      <c r="C17672" s="12"/>
      <c r="D17672" s="13" t="n">
        <f aca="false">IF(B17672&lt;5,Einstellungen!$B$3,Einstellungen!$B$4)</f>
        <v>29.13</v>
      </c>
      <c r="E17672" s="14" t="str">
        <f aca="false">IF(C17672="","",C17672*D17672/100)</f>
        <v/>
      </c>
      <c r="F17672" s="15" t="str">
        <f aca="false">IF(B17672&lt;5,"Go","Standard")</f>
        <v>Standard</v>
      </c>
    </row>
    <row r="17673" customFormat="false" ht="15" hidden="false" customHeight="true" outlineLevel="0" collapsed="false">
      <c r="A17673" s="10" t="n">
        <f aca="false">Einstellungen!$B$5+INT((ROW()-9)/24)</f>
        <v>46702</v>
      </c>
      <c r="B17673" s="11" t="n">
        <f aca="false">MOD(ROW()-9,24)</f>
        <v>0</v>
      </c>
      <c r="C17673" s="12"/>
      <c r="D17673" s="13" t="n">
        <f aca="false">IF(B17673&lt;5,Einstellungen!$B$3,Einstellungen!$B$4)</f>
        <v>15.92</v>
      </c>
      <c r="E17673" s="14" t="str">
        <f aca="false">IF(C17673="","",C17673*D17673/100)</f>
        <v/>
      </c>
      <c r="F17673" s="15" t="str">
        <f aca="false">IF(B17673&lt;5,"Go","Standard")</f>
        <v>Go</v>
      </c>
    </row>
    <row r="17674" customFormat="false" ht="15" hidden="false" customHeight="true" outlineLevel="0" collapsed="false">
      <c r="A17674" s="10" t="n">
        <f aca="false">Einstellungen!$B$5+INT((ROW()-9)/24)</f>
        <v>46702</v>
      </c>
      <c r="B17674" s="11" t="n">
        <f aca="false">MOD(ROW()-9,24)</f>
        <v>1</v>
      </c>
      <c r="C17674" s="12"/>
      <c r="D17674" s="13" t="n">
        <f aca="false">IF(B17674&lt;5,Einstellungen!$B$3,Einstellungen!$B$4)</f>
        <v>15.92</v>
      </c>
      <c r="E17674" s="14" t="str">
        <f aca="false">IF(C17674="","",C17674*D17674/100)</f>
        <v/>
      </c>
      <c r="F17674" s="15" t="str">
        <f aca="false">IF(B17674&lt;5,"Go","Standard")</f>
        <v>Go</v>
      </c>
    </row>
    <row r="17675" customFormat="false" ht="15" hidden="false" customHeight="true" outlineLevel="0" collapsed="false">
      <c r="A17675" s="10" t="n">
        <f aca="false">Einstellungen!$B$5+INT((ROW()-9)/24)</f>
        <v>46702</v>
      </c>
      <c r="B17675" s="11" t="n">
        <f aca="false">MOD(ROW()-9,24)</f>
        <v>2</v>
      </c>
      <c r="C17675" s="12"/>
      <c r="D17675" s="13" t="n">
        <f aca="false">IF(B17675&lt;5,Einstellungen!$B$3,Einstellungen!$B$4)</f>
        <v>15.92</v>
      </c>
      <c r="E17675" s="14" t="str">
        <f aca="false">IF(C17675="","",C17675*D17675/100)</f>
        <v/>
      </c>
      <c r="F17675" s="15" t="str">
        <f aca="false">IF(B17675&lt;5,"Go","Standard")</f>
        <v>Go</v>
      </c>
    </row>
    <row r="17676" customFormat="false" ht="15" hidden="false" customHeight="true" outlineLevel="0" collapsed="false">
      <c r="A17676" s="10" t="n">
        <f aca="false">Einstellungen!$B$5+INT((ROW()-9)/24)</f>
        <v>46702</v>
      </c>
      <c r="B17676" s="11" t="n">
        <f aca="false">MOD(ROW()-9,24)</f>
        <v>3</v>
      </c>
      <c r="C17676" s="12"/>
      <c r="D17676" s="13" t="n">
        <f aca="false">IF(B17676&lt;5,Einstellungen!$B$3,Einstellungen!$B$4)</f>
        <v>15.92</v>
      </c>
      <c r="E17676" s="14" t="str">
        <f aca="false">IF(C17676="","",C17676*D17676/100)</f>
        <v/>
      </c>
      <c r="F17676" s="15" t="str">
        <f aca="false">IF(B17676&lt;5,"Go","Standard")</f>
        <v>Go</v>
      </c>
    </row>
    <row r="17677" customFormat="false" ht="15" hidden="false" customHeight="true" outlineLevel="0" collapsed="false">
      <c r="A17677" s="10" t="n">
        <f aca="false">Einstellungen!$B$5+INT((ROW()-9)/24)</f>
        <v>46702</v>
      </c>
      <c r="B17677" s="11" t="n">
        <f aca="false">MOD(ROW()-9,24)</f>
        <v>4</v>
      </c>
      <c r="C17677" s="12"/>
      <c r="D17677" s="13" t="n">
        <f aca="false">IF(B17677&lt;5,Einstellungen!$B$3,Einstellungen!$B$4)</f>
        <v>15.92</v>
      </c>
      <c r="E17677" s="14" t="str">
        <f aca="false">IF(C17677="","",C17677*D17677/100)</f>
        <v/>
      </c>
      <c r="F17677" s="15" t="str">
        <f aca="false">IF(B17677&lt;5,"Go","Standard")</f>
        <v>Go</v>
      </c>
    </row>
    <row r="17678" customFormat="false" ht="15" hidden="false" customHeight="true" outlineLevel="0" collapsed="false">
      <c r="A17678" s="10" t="n">
        <f aca="false">Einstellungen!$B$5+INT((ROW()-9)/24)</f>
        <v>46702</v>
      </c>
      <c r="B17678" s="11" t="n">
        <f aca="false">MOD(ROW()-9,24)</f>
        <v>5</v>
      </c>
      <c r="C17678" s="12"/>
      <c r="D17678" s="13" t="n">
        <f aca="false">IF(B17678&lt;5,Einstellungen!$B$3,Einstellungen!$B$4)</f>
        <v>29.13</v>
      </c>
      <c r="E17678" s="14" t="str">
        <f aca="false">IF(C17678="","",C17678*D17678/100)</f>
        <v/>
      </c>
      <c r="F17678" s="15" t="str">
        <f aca="false">IF(B17678&lt;5,"Go","Standard")</f>
        <v>Standard</v>
      </c>
    </row>
    <row r="17679" customFormat="false" ht="15" hidden="false" customHeight="true" outlineLevel="0" collapsed="false">
      <c r="A17679" s="10" t="n">
        <f aca="false">Einstellungen!$B$5+INT((ROW()-9)/24)</f>
        <v>46702</v>
      </c>
      <c r="B17679" s="11" t="n">
        <f aca="false">MOD(ROW()-9,24)</f>
        <v>6</v>
      </c>
      <c r="C17679" s="12"/>
      <c r="D17679" s="13" t="n">
        <f aca="false">IF(B17679&lt;5,Einstellungen!$B$3,Einstellungen!$B$4)</f>
        <v>29.13</v>
      </c>
      <c r="E17679" s="14" t="str">
        <f aca="false">IF(C17679="","",C17679*D17679/100)</f>
        <v/>
      </c>
      <c r="F17679" s="15" t="str">
        <f aca="false">IF(B17679&lt;5,"Go","Standard")</f>
        <v>Standard</v>
      </c>
    </row>
    <row r="17680" customFormat="false" ht="15" hidden="false" customHeight="true" outlineLevel="0" collapsed="false">
      <c r="A17680" s="10" t="n">
        <f aca="false">Einstellungen!$B$5+INT((ROW()-9)/24)</f>
        <v>46702</v>
      </c>
      <c r="B17680" s="11" t="n">
        <f aca="false">MOD(ROW()-9,24)</f>
        <v>7</v>
      </c>
      <c r="C17680" s="12"/>
      <c r="D17680" s="13" t="n">
        <f aca="false">IF(B17680&lt;5,Einstellungen!$B$3,Einstellungen!$B$4)</f>
        <v>29.13</v>
      </c>
      <c r="E17680" s="14" t="str">
        <f aca="false">IF(C17680="","",C17680*D17680/100)</f>
        <v/>
      </c>
      <c r="F17680" s="15" t="str">
        <f aca="false">IF(B17680&lt;5,"Go","Standard")</f>
        <v>Standard</v>
      </c>
    </row>
    <row r="17681" customFormat="false" ht="15" hidden="false" customHeight="true" outlineLevel="0" collapsed="false">
      <c r="A17681" s="10" t="n">
        <f aca="false">Einstellungen!$B$5+INT((ROW()-9)/24)</f>
        <v>46702</v>
      </c>
      <c r="B17681" s="11" t="n">
        <f aca="false">MOD(ROW()-9,24)</f>
        <v>8</v>
      </c>
      <c r="C17681" s="12"/>
      <c r="D17681" s="13" t="n">
        <f aca="false">IF(B17681&lt;5,Einstellungen!$B$3,Einstellungen!$B$4)</f>
        <v>29.13</v>
      </c>
      <c r="E17681" s="14" t="str">
        <f aca="false">IF(C17681="","",C17681*D17681/100)</f>
        <v/>
      </c>
      <c r="F17681" s="15" t="str">
        <f aca="false">IF(B17681&lt;5,"Go","Standard")</f>
        <v>Standard</v>
      </c>
    </row>
    <row r="17682" customFormat="false" ht="15" hidden="false" customHeight="true" outlineLevel="0" collapsed="false">
      <c r="A17682" s="10" t="n">
        <f aca="false">Einstellungen!$B$5+INT((ROW()-9)/24)</f>
        <v>46702</v>
      </c>
      <c r="B17682" s="11" t="n">
        <f aca="false">MOD(ROW()-9,24)</f>
        <v>9</v>
      </c>
      <c r="C17682" s="12"/>
      <c r="D17682" s="13" t="n">
        <f aca="false">IF(B17682&lt;5,Einstellungen!$B$3,Einstellungen!$B$4)</f>
        <v>29.13</v>
      </c>
      <c r="E17682" s="14" t="str">
        <f aca="false">IF(C17682="","",C17682*D17682/100)</f>
        <v/>
      </c>
      <c r="F17682" s="15" t="str">
        <f aca="false">IF(B17682&lt;5,"Go","Standard")</f>
        <v>Standard</v>
      </c>
    </row>
    <row r="17683" customFormat="false" ht="15" hidden="false" customHeight="true" outlineLevel="0" collapsed="false">
      <c r="A17683" s="10" t="n">
        <f aca="false">Einstellungen!$B$5+INT((ROW()-9)/24)</f>
        <v>46702</v>
      </c>
      <c r="B17683" s="11" t="n">
        <f aca="false">MOD(ROW()-9,24)</f>
        <v>10</v>
      </c>
      <c r="C17683" s="12"/>
      <c r="D17683" s="13" t="n">
        <f aca="false">IF(B17683&lt;5,Einstellungen!$B$3,Einstellungen!$B$4)</f>
        <v>29.13</v>
      </c>
      <c r="E17683" s="14" t="str">
        <f aca="false">IF(C17683="","",C17683*D17683/100)</f>
        <v/>
      </c>
      <c r="F17683" s="15" t="str">
        <f aca="false">IF(B17683&lt;5,"Go","Standard")</f>
        <v>Standard</v>
      </c>
    </row>
    <row r="17684" customFormat="false" ht="15" hidden="false" customHeight="true" outlineLevel="0" collapsed="false">
      <c r="A17684" s="10" t="n">
        <f aca="false">Einstellungen!$B$5+INT((ROW()-9)/24)</f>
        <v>46702</v>
      </c>
      <c r="B17684" s="11" t="n">
        <f aca="false">MOD(ROW()-9,24)</f>
        <v>11</v>
      </c>
      <c r="C17684" s="12"/>
      <c r="D17684" s="13" t="n">
        <f aca="false">IF(B17684&lt;5,Einstellungen!$B$3,Einstellungen!$B$4)</f>
        <v>29.13</v>
      </c>
      <c r="E17684" s="14" t="str">
        <f aca="false">IF(C17684="","",C17684*D17684/100)</f>
        <v/>
      </c>
      <c r="F17684" s="15" t="str">
        <f aca="false">IF(B17684&lt;5,"Go","Standard")</f>
        <v>Standard</v>
      </c>
    </row>
    <row r="17685" customFormat="false" ht="15" hidden="false" customHeight="true" outlineLevel="0" collapsed="false">
      <c r="A17685" s="10" t="n">
        <f aca="false">Einstellungen!$B$5+INT((ROW()-9)/24)</f>
        <v>46702</v>
      </c>
      <c r="B17685" s="11" t="n">
        <f aca="false">MOD(ROW()-9,24)</f>
        <v>12</v>
      </c>
      <c r="C17685" s="12"/>
      <c r="D17685" s="13" t="n">
        <f aca="false">IF(B17685&lt;5,Einstellungen!$B$3,Einstellungen!$B$4)</f>
        <v>29.13</v>
      </c>
      <c r="E17685" s="14" t="str">
        <f aca="false">IF(C17685="","",C17685*D17685/100)</f>
        <v/>
      </c>
      <c r="F17685" s="15" t="str">
        <f aca="false">IF(B17685&lt;5,"Go","Standard")</f>
        <v>Standard</v>
      </c>
    </row>
    <row r="17686" customFormat="false" ht="15" hidden="false" customHeight="true" outlineLevel="0" collapsed="false">
      <c r="A17686" s="10" t="n">
        <f aca="false">Einstellungen!$B$5+INT((ROW()-9)/24)</f>
        <v>46702</v>
      </c>
      <c r="B17686" s="11" t="n">
        <f aca="false">MOD(ROW()-9,24)</f>
        <v>13</v>
      </c>
      <c r="C17686" s="12"/>
      <c r="D17686" s="13" t="n">
        <f aca="false">IF(B17686&lt;5,Einstellungen!$B$3,Einstellungen!$B$4)</f>
        <v>29.13</v>
      </c>
      <c r="E17686" s="14" t="str">
        <f aca="false">IF(C17686="","",C17686*D17686/100)</f>
        <v/>
      </c>
      <c r="F17686" s="15" t="str">
        <f aca="false">IF(B17686&lt;5,"Go","Standard")</f>
        <v>Standard</v>
      </c>
    </row>
    <row r="17687" customFormat="false" ht="15" hidden="false" customHeight="true" outlineLevel="0" collapsed="false">
      <c r="A17687" s="10" t="n">
        <f aca="false">Einstellungen!$B$5+INT((ROW()-9)/24)</f>
        <v>46702</v>
      </c>
      <c r="B17687" s="11" t="n">
        <f aca="false">MOD(ROW()-9,24)</f>
        <v>14</v>
      </c>
      <c r="C17687" s="12"/>
      <c r="D17687" s="13" t="n">
        <f aca="false">IF(B17687&lt;5,Einstellungen!$B$3,Einstellungen!$B$4)</f>
        <v>29.13</v>
      </c>
      <c r="E17687" s="14" t="str">
        <f aca="false">IF(C17687="","",C17687*D17687/100)</f>
        <v/>
      </c>
      <c r="F17687" s="15" t="str">
        <f aca="false">IF(B17687&lt;5,"Go","Standard")</f>
        <v>Standard</v>
      </c>
    </row>
    <row r="17688" customFormat="false" ht="15" hidden="false" customHeight="true" outlineLevel="0" collapsed="false">
      <c r="A17688" s="10" t="n">
        <f aca="false">Einstellungen!$B$5+INT((ROW()-9)/24)</f>
        <v>46702</v>
      </c>
      <c r="B17688" s="11" t="n">
        <f aca="false">MOD(ROW()-9,24)</f>
        <v>15</v>
      </c>
      <c r="C17688" s="12"/>
      <c r="D17688" s="13" t="n">
        <f aca="false">IF(B17688&lt;5,Einstellungen!$B$3,Einstellungen!$B$4)</f>
        <v>29.13</v>
      </c>
      <c r="E17688" s="14" t="str">
        <f aca="false">IF(C17688="","",C17688*D17688/100)</f>
        <v/>
      </c>
      <c r="F17688" s="15" t="str">
        <f aca="false">IF(B17688&lt;5,"Go","Standard")</f>
        <v>Standard</v>
      </c>
    </row>
    <row r="17689" customFormat="false" ht="15" hidden="false" customHeight="true" outlineLevel="0" collapsed="false">
      <c r="A17689" s="10" t="n">
        <f aca="false">Einstellungen!$B$5+INT((ROW()-9)/24)</f>
        <v>46702</v>
      </c>
      <c r="B17689" s="11" t="n">
        <f aca="false">MOD(ROW()-9,24)</f>
        <v>16</v>
      </c>
      <c r="C17689" s="12"/>
      <c r="D17689" s="13" t="n">
        <f aca="false">IF(B17689&lt;5,Einstellungen!$B$3,Einstellungen!$B$4)</f>
        <v>29.13</v>
      </c>
      <c r="E17689" s="14" t="str">
        <f aca="false">IF(C17689="","",C17689*D17689/100)</f>
        <v/>
      </c>
      <c r="F17689" s="15" t="str">
        <f aca="false">IF(B17689&lt;5,"Go","Standard")</f>
        <v>Standard</v>
      </c>
    </row>
    <row r="17690" customFormat="false" ht="15" hidden="false" customHeight="true" outlineLevel="0" collapsed="false">
      <c r="A17690" s="10" t="n">
        <f aca="false">Einstellungen!$B$5+INT((ROW()-9)/24)</f>
        <v>46702</v>
      </c>
      <c r="B17690" s="11" t="n">
        <f aca="false">MOD(ROW()-9,24)</f>
        <v>17</v>
      </c>
      <c r="C17690" s="12"/>
      <c r="D17690" s="13" t="n">
        <f aca="false">IF(B17690&lt;5,Einstellungen!$B$3,Einstellungen!$B$4)</f>
        <v>29.13</v>
      </c>
      <c r="E17690" s="14" t="str">
        <f aca="false">IF(C17690="","",C17690*D17690/100)</f>
        <v/>
      </c>
      <c r="F17690" s="15" t="str">
        <f aca="false">IF(B17690&lt;5,"Go","Standard")</f>
        <v>Standard</v>
      </c>
    </row>
    <row r="17691" customFormat="false" ht="15" hidden="false" customHeight="true" outlineLevel="0" collapsed="false">
      <c r="A17691" s="10" t="n">
        <f aca="false">Einstellungen!$B$5+INT((ROW()-9)/24)</f>
        <v>46702</v>
      </c>
      <c r="B17691" s="11" t="n">
        <f aca="false">MOD(ROW()-9,24)</f>
        <v>18</v>
      </c>
      <c r="C17691" s="12"/>
      <c r="D17691" s="13" t="n">
        <f aca="false">IF(B17691&lt;5,Einstellungen!$B$3,Einstellungen!$B$4)</f>
        <v>29.13</v>
      </c>
      <c r="E17691" s="14" t="str">
        <f aca="false">IF(C17691="","",C17691*D17691/100)</f>
        <v/>
      </c>
      <c r="F17691" s="15" t="str">
        <f aca="false">IF(B17691&lt;5,"Go","Standard")</f>
        <v>Standard</v>
      </c>
    </row>
    <row r="17692" customFormat="false" ht="15" hidden="false" customHeight="true" outlineLevel="0" collapsed="false">
      <c r="A17692" s="10" t="n">
        <f aca="false">Einstellungen!$B$5+INT((ROW()-9)/24)</f>
        <v>46702</v>
      </c>
      <c r="B17692" s="11" t="n">
        <f aca="false">MOD(ROW()-9,24)</f>
        <v>19</v>
      </c>
      <c r="C17692" s="12"/>
      <c r="D17692" s="13" t="n">
        <f aca="false">IF(B17692&lt;5,Einstellungen!$B$3,Einstellungen!$B$4)</f>
        <v>29.13</v>
      </c>
      <c r="E17692" s="14" t="str">
        <f aca="false">IF(C17692="","",C17692*D17692/100)</f>
        <v/>
      </c>
      <c r="F17692" s="15" t="str">
        <f aca="false">IF(B17692&lt;5,"Go","Standard")</f>
        <v>Standard</v>
      </c>
    </row>
    <row r="17693" customFormat="false" ht="15" hidden="false" customHeight="true" outlineLevel="0" collapsed="false">
      <c r="A17693" s="10" t="n">
        <f aca="false">Einstellungen!$B$5+INT((ROW()-9)/24)</f>
        <v>46702</v>
      </c>
      <c r="B17693" s="11" t="n">
        <f aca="false">MOD(ROW()-9,24)</f>
        <v>20</v>
      </c>
      <c r="C17693" s="12"/>
      <c r="D17693" s="13" t="n">
        <f aca="false">IF(B17693&lt;5,Einstellungen!$B$3,Einstellungen!$B$4)</f>
        <v>29.13</v>
      </c>
      <c r="E17693" s="14" t="str">
        <f aca="false">IF(C17693="","",C17693*D17693/100)</f>
        <v/>
      </c>
      <c r="F17693" s="15" t="str">
        <f aca="false">IF(B17693&lt;5,"Go","Standard")</f>
        <v>Standard</v>
      </c>
    </row>
    <row r="17694" customFormat="false" ht="15" hidden="false" customHeight="true" outlineLevel="0" collapsed="false">
      <c r="A17694" s="10" t="n">
        <f aca="false">Einstellungen!$B$5+INT((ROW()-9)/24)</f>
        <v>46702</v>
      </c>
      <c r="B17694" s="11" t="n">
        <f aca="false">MOD(ROW()-9,24)</f>
        <v>21</v>
      </c>
      <c r="C17694" s="12"/>
      <c r="D17694" s="13" t="n">
        <f aca="false">IF(B17694&lt;5,Einstellungen!$B$3,Einstellungen!$B$4)</f>
        <v>29.13</v>
      </c>
      <c r="E17694" s="14" t="str">
        <f aca="false">IF(C17694="","",C17694*D17694/100)</f>
        <v/>
      </c>
      <c r="F17694" s="15" t="str">
        <f aca="false">IF(B17694&lt;5,"Go","Standard")</f>
        <v>Standard</v>
      </c>
    </row>
    <row r="17695" customFormat="false" ht="15" hidden="false" customHeight="true" outlineLevel="0" collapsed="false">
      <c r="A17695" s="10" t="n">
        <f aca="false">Einstellungen!$B$5+INT((ROW()-9)/24)</f>
        <v>46702</v>
      </c>
      <c r="B17695" s="11" t="n">
        <f aca="false">MOD(ROW()-9,24)</f>
        <v>22</v>
      </c>
      <c r="C17695" s="12"/>
      <c r="D17695" s="13" t="n">
        <f aca="false">IF(B17695&lt;5,Einstellungen!$B$3,Einstellungen!$B$4)</f>
        <v>29.13</v>
      </c>
      <c r="E17695" s="14" t="str">
        <f aca="false">IF(C17695="","",C17695*D17695/100)</f>
        <v/>
      </c>
      <c r="F17695" s="15" t="str">
        <f aca="false">IF(B17695&lt;5,"Go","Standard")</f>
        <v>Standard</v>
      </c>
    </row>
    <row r="17696" customFormat="false" ht="15" hidden="false" customHeight="true" outlineLevel="0" collapsed="false">
      <c r="A17696" s="10" t="n">
        <f aca="false">Einstellungen!$B$5+INT((ROW()-9)/24)</f>
        <v>46702</v>
      </c>
      <c r="B17696" s="11" t="n">
        <f aca="false">MOD(ROW()-9,24)</f>
        <v>23</v>
      </c>
      <c r="C17696" s="12"/>
      <c r="D17696" s="13" t="n">
        <f aca="false">IF(B17696&lt;5,Einstellungen!$B$3,Einstellungen!$B$4)</f>
        <v>29.13</v>
      </c>
      <c r="E17696" s="14" t="str">
        <f aca="false">IF(C17696="","",C17696*D17696/100)</f>
        <v/>
      </c>
      <c r="F17696" s="15" t="str">
        <f aca="false">IF(B17696&lt;5,"Go","Standard")</f>
        <v>Standard</v>
      </c>
    </row>
    <row r="17697" customFormat="false" ht="15" hidden="false" customHeight="true" outlineLevel="0" collapsed="false">
      <c r="A17697" s="10" t="n">
        <f aca="false">Einstellungen!$B$5+INT((ROW()-9)/24)</f>
        <v>46703</v>
      </c>
      <c r="B17697" s="11" t="n">
        <f aca="false">MOD(ROW()-9,24)</f>
        <v>0</v>
      </c>
      <c r="C17697" s="12"/>
      <c r="D17697" s="13" t="n">
        <f aca="false">IF(B17697&lt;5,Einstellungen!$B$3,Einstellungen!$B$4)</f>
        <v>15.92</v>
      </c>
      <c r="E17697" s="14" t="str">
        <f aca="false">IF(C17697="","",C17697*D17697/100)</f>
        <v/>
      </c>
      <c r="F17697" s="15" t="str">
        <f aca="false">IF(B17697&lt;5,"Go","Standard")</f>
        <v>Go</v>
      </c>
    </row>
    <row r="17698" customFormat="false" ht="15" hidden="false" customHeight="true" outlineLevel="0" collapsed="false">
      <c r="A17698" s="10" t="n">
        <f aca="false">Einstellungen!$B$5+INT((ROW()-9)/24)</f>
        <v>46703</v>
      </c>
      <c r="B17698" s="11" t="n">
        <f aca="false">MOD(ROW()-9,24)</f>
        <v>1</v>
      </c>
      <c r="C17698" s="12"/>
      <c r="D17698" s="13" t="n">
        <f aca="false">IF(B17698&lt;5,Einstellungen!$B$3,Einstellungen!$B$4)</f>
        <v>15.92</v>
      </c>
      <c r="E17698" s="14" t="str">
        <f aca="false">IF(C17698="","",C17698*D17698/100)</f>
        <v/>
      </c>
      <c r="F17698" s="15" t="str">
        <f aca="false">IF(B17698&lt;5,"Go","Standard")</f>
        <v>Go</v>
      </c>
    </row>
    <row r="17699" customFormat="false" ht="15" hidden="false" customHeight="true" outlineLevel="0" collapsed="false">
      <c r="A17699" s="10" t="n">
        <f aca="false">Einstellungen!$B$5+INT((ROW()-9)/24)</f>
        <v>46703</v>
      </c>
      <c r="B17699" s="11" t="n">
        <f aca="false">MOD(ROW()-9,24)</f>
        <v>2</v>
      </c>
      <c r="C17699" s="12"/>
      <c r="D17699" s="13" t="n">
        <f aca="false">IF(B17699&lt;5,Einstellungen!$B$3,Einstellungen!$B$4)</f>
        <v>15.92</v>
      </c>
      <c r="E17699" s="14" t="str">
        <f aca="false">IF(C17699="","",C17699*D17699/100)</f>
        <v/>
      </c>
      <c r="F17699" s="15" t="str">
        <f aca="false">IF(B17699&lt;5,"Go","Standard")</f>
        <v>Go</v>
      </c>
    </row>
    <row r="17700" customFormat="false" ht="15" hidden="false" customHeight="true" outlineLevel="0" collapsed="false">
      <c r="A17700" s="10" t="n">
        <f aca="false">Einstellungen!$B$5+INT((ROW()-9)/24)</f>
        <v>46703</v>
      </c>
      <c r="B17700" s="11" t="n">
        <f aca="false">MOD(ROW()-9,24)</f>
        <v>3</v>
      </c>
      <c r="C17700" s="12"/>
      <c r="D17700" s="13" t="n">
        <f aca="false">IF(B17700&lt;5,Einstellungen!$B$3,Einstellungen!$B$4)</f>
        <v>15.92</v>
      </c>
      <c r="E17700" s="14" t="str">
        <f aca="false">IF(C17700="","",C17700*D17700/100)</f>
        <v/>
      </c>
      <c r="F17700" s="15" t="str">
        <f aca="false">IF(B17700&lt;5,"Go","Standard")</f>
        <v>Go</v>
      </c>
    </row>
    <row r="17701" customFormat="false" ht="15" hidden="false" customHeight="true" outlineLevel="0" collapsed="false">
      <c r="A17701" s="10" t="n">
        <f aca="false">Einstellungen!$B$5+INT((ROW()-9)/24)</f>
        <v>46703</v>
      </c>
      <c r="B17701" s="11" t="n">
        <f aca="false">MOD(ROW()-9,24)</f>
        <v>4</v>
      </c>
      <c r="C17701" s="12"/>
      <c r="D17701" s="13" t="n">
        <f aca="false">IF(B17701&lt;5,Einstellungen!$B$3,Einstellungen!$B$4)</f>
        <v>15.92</v>
      </c>
      <c r="E17701" s="14" t="str">
        <f aca="false">IF(C17701="","",C17701*D17701/100)</f>
        <v/>
      </c>
      <c r="F17701" s="15" t="str">
        <f aca="false">IF(B17701&lt;5,"Go","Standard")</f>
        <v>Go</v>
      </c>
    </row>
    <row r="17702" customFormat="false" ht="15" hidden="false" customHeight="true" outlineLevel="0" collapsed="false">
      <c r="A17702" s="10" t="n">
        <f aca="false">Einstellungen!$B$5+INT((ROW()-9)/24)</f>
        <v>46703</v>
      </c>
      <c r="B17702" s="11" t="n">
        <f aca="false">MOD(ROW()-9,24)</f>
        <v>5</v>
      </c>
      <c r="C17702" s="12"/>
      <c r="D17702" s="13" t="n">
        <f aca="false">IF(B17702&lt;5,Einstellungen!$B$3,Einstellungen!$B$4)</f>
        <v>29.13</v>
      </c>
      <c r="E17702" s="14" t="str">
        <f aca="false">IF(C17702="","",C17702*D17702/100)</f>
        <v/>
      </c>
      <c r="F17702" s="15" t="str">
        <f aca="false">IF(B17702&lt;5,"Go","Standard")</f>
        <v>Standard</v>
      </c>
    </row>
    <row r="17703" customFormat="false" ht="15" hidden="false" customHeight="true" outlineLevel="0" collapsed="false">
      <c r="A17703" s="10" t="n">
        <f aca="false">Einstellungen!$B$5+INT((ROW()-9)/24)</f>
        <v>46703</v>
      </c>
      <c r="B17703" s="11" t="n">
        <f aca="false">MOD(ROW()-9,24)</f>
        <v>6</v>
      </c>
      <c r="C17703" s="12"/>
      <c r="D17703" s="13" t="n">
        <f aca="false">IF(B17703&lt;5,Einstellungen!$B$3,Einstellungen!$B$4)</f>
        <v>29.13</v>
      </c>
      <c r="E17703" s="14" t="str">
        <f aca="false">IF(C17703="","",C17703*D17703/100)</f>
        <v/>
      </c>
      <c r="F17703" s="15" t="str">
        <f aca="false">IF(B17703&lt;5,"Go","Standard")</f>
        <v>Standard</v>
      </c>
    </row>
    <row r="17704" customFormat="false" ht="15" hidden="false" customHeight="true" outlineLevel="0" collapsed="false">
      <c r="A17704" s="10" t="n">
        <f aca="false">Einstellungen!$B$5+INT((ROW()-9)/24)</f>
        <v>46703</v>
      </c>
      <c r="B17704" s="11" t="n">
        <f aca="false">MOD(ROW()-9,24)</f>
        <v>7</v>
      </c>
      <c r="C17704" s="12"/>
      <c r="D17704" s="13" t="n">
        <f aca="false">IF(B17704&lt;5,Einstellungen!$B$3,Einstellungen!$B$4)</f>
        <v>29.13</v>
      </c>
      <c r="E17704" s="14" t="str">
        <f aca="false">IF(C17704="","",C17704*D17704/100)</f>
        <v/>
      </c>
      <c r="F17704" s="15" t="str">
        <f aca="false">IF(B17704&lt;5,"Go","Standard")</f>
        <v>Standard</v>
      </c>
    </row>
    <row r="17705" customFormat="false" ht="15" hidden="false" customHeight="true" outlineLevel="0" collapsed="false">
      <c r="A17705" s="10" t="n">
        <f aca="false">Einstellungen!$B$5+INT((ROW()-9)/24)</f>
        <v>46703</v>
      </c>
      <c r="B17705" s="11" t="n">
        <f aca="false">MOD(ROW()-9,24)</f>
        <v>8</v>
      </c>
      <c r="C17705" s="12"/>
      <c r="D17705" s="13" t="n">
        <f aca="false">IF(B17705&lt;5,Einstellungen!$B$3,Einstellungen!$B$4)</f>
        <v>29.13</v>
      </c>
      <c r="E17705" s="14" t="str">
        <f aca="false">IF(C17705="","",C17705*D17705/100)</f>
        <v/>
      </c>
      <c r="F17705" s="15" t="str">
        <f aca="false">IF(B17705&lt;5,"Go","Standard")</f>
        <v>Standard</v>
      </c>
    </row>
    <row r="17706" customFormat="false" ht="15" hidden="false" customHeight="true" outlineLevel="0" collapsed="false">
      <c r="A17706" s="10" t="n">
        <f aca="false">Einstellungen!$B$5+INT((ROW()-9)/24)</f>
        <v>46703</v>
      </c>
      <c r="B17706" s="11" t="n">
        <f aca="false">MOD(ROW()-9,24)</f>
        <v>9</v>
      </c>
      <c r="C17706" s="12"/>
      <c r="D17706" s="13" t="n">
        <f aca="false">IF(B17706&lt;5,Einstellungen!$B$3,Einstellungen!$B$4)</f>
        <v>29.13</v>
      </c>
      <c r="E17706" s="14" t="str">
        <f aca="false">IF(C17706="","",C17706*D17706/100)</f>
        <v/>
      </c>
      <c r="F17706" s="15" t="str">
        <f aca="false">IF(B17706&lt;5,"Go","Standard")</f>
        <v>Standard</v>
      </c>
    </row>
    <row r="17707" customFormat="false" ht="15" hidden="false" customHeight="true" outlineLevel="0" collapsed="false">
      <c r="A17707" s="10" t="n">
        <f aca="false">Einstellungen!$B$5+INT((ROW()-9)/24)</f>
        <v>46703</v>
      </c>
      <c r="B17707" s="11" t="n">
        <f aca="false">MOD(ROW()-9,24)</f>
        <v>10</v>
      </c>
      <c r="C17707" s="12"/>
      <c r="D17707" s="13" t="n">
        <f aca="false">IF(B17707&lt;5,Einstellungen!$B$3,Einstellungen!$B$4)</f>
        <v>29.13</v>
      </c>
      <c r="E17707" s="14" t="str">
        <f aca="false">IF(C17707="","",C17707*D17707/100)</f>
        <v/>
      </c>
      <c r="F17707" s="15" t="str">
        <f aca="false">IF(B17707&lt;5,"Go","Standard")</f>
        <v>Standard</v>
      </c>
    </row>
    <row r="17708" customFormat="false" ht="15" hidden="false" customHeight="true" outlineLevel="0" collapsed="false">
      <c r="A17708" s="10" t="n">
        <f aca="false">Einstellungen!$B$5+INT((ROW()-9)/24)</f>
        <v>46703</v>
      </c>
      <c r="B17708" s="11" t="n">
        <f aca="false">MOD(ROW()-9,24)</f>
        <v>11</v>
      </c>
      <c r="C17708" s="12"/>
      <c r="D17708" s="13" t="n">
        <f aca="false">IF(B17708&lt;5,Einstellungen!$B$3,Einstellungen!$B$4)</f>
        <v>29.13</v>
      </c>
      <c r="E17708" s="14" t="str">
        <f aca="false">IF(C17708="","",C17708*D17708/100)</f>
        <v/>
      </c>
      <c r="F17708" s="15" t="str">
        <f aca="false">IF(B17708&lt;5,"Go","Standard")</f>
        <v>Standard</v>
      </c>
    </row>
    <row r="17709" customFormat="false" ht="15" hidden="false" customHeight="true" outlineLevel="0" collapsed="false">
      <c r="A17709" s="10" t="n">
        <f aca="false">Einstellungen!$B$5+INT((ROW()-9)/24)</f>
        <v>46703</v>
      </c>
      <c r="B17709" s="11" t="n">
        <f aca="false">MOD(ROW()-9,24)</f>
        <v>12</v>
      </c>
      <c r="C17709" s="12"/>
      <c r="D17709" s="13" t="n">
        <f aca="false">IF(B17709&lt;5,Einstellungen!$B$3,Einstellungen!$B$4)</f>
        <v>29.13</v>
      </c>
      <c r="E17709" s="14" t="str">
        <f aca="false">IF(C17709="","",C17709*D17709/100)</f>
        <v/>
      </c>
      <c r="F17709" s="15" t="str">
        <f aca="false">IF(B17709&lt;5,"Go","Standard")</f>
        <v>Standard</v>
      </c>
    </row>
    <row r="17710" customFormat="false" ht="15" hidden="false" customHeight="true" outlineLevel="0" collapsed="false">
      <c r="A17710" s="10" t="n">
        <f aca="false">Einstellungen!$B$5+INT((ROW()-9)/24)</f>
        <v>46703</v>
      </c>
      <c r="B17710" s="11" t="n">
        <f aca="false">MOD(ROW()-9,24)</f>
        <v>13</v>
      </c>
      <c r="C17710" s="12"/>
      <c r="D17710" s="13" t="n">
        <f aca="false">IF(B17710&lt;5,Einstellungen!$B$3,Einstellungen!$B$4)</f>
        <v>29.13</v>
      </c>
      <c r="E17710" s="14" t="str">
        <f aca="false">IF(C17710="","",C17710*D17710/100)</f>
        <v/>
      </c>
      <c r="F17710" s="15" t="str">
        <f aca="false">IF(B17710&lt;5,"Go","Standard")</f>
        <v>Standard</v>
      </c>
    </row>
    <row r="17711" customFormat="false" ht="15" hidden="false" customHeight="true" outlineLevel="0" collapsed="false">
      <c r="A17711" s="10" t="n">
        <f aca="false">Einstellungen!$B$5+INT((ROW()-9)/24)</f>
        <v>46703</v>
      </c>
      <c r="B17711" s="11" t="n">
        <f aca="false">MOD(ROW()-9,24)</f>
        <v>14</v>
      </c>
      <c r="C17711" s="12"/>
      <c r="D17711" s="13" t="n">
        <f aca="false">IF(B17711&lt;5,Einstellungen!$B$3,Einstellungen!$B$4)</f>
        <v>29.13</v>
      </c>
      <c r="E17711" s="14" t="str">
        <f aca="false">IF(C17711="","",C17711*D17711/100)</f>
        <v/>
      </c>
      <c r="F17711" s="15" t="str">
        <f aca="false">IF(B17711&lt;5,"Go","Standard")</f>
        <v>Standard</v>
      </c>
    </row>
    <row r="17712" customFormat="false" ht="15" hidden="false" customHeight="true" outlineLevel="0" collapsed="false">
      <c r="A17712" s="10" t="n">
        <f aca="false">Einstellungen!$B$5+INT((ROW()-9)/24)</f>
        <v>46703</v>
      </c>
      <c r="B17712" s="11" t="n">
        <f aca="false">MOD(ROW()-9,24)</f>
        <v>15</v>
      </c>
      <c r="C17712" s="12"/>
      <c r="D17712" s="13" t="n">
        <f aca="false">IF(B17712&lt;5,Einstellungen!$B$3,Einstellungen!$B$4)</f>
        <v>29.13</v>
      </c>
      <c r="E17712" s="14" t="str">
        <f aca="false">IF(C17712="","",C17712*D17712/100)</f>
        <v/>
      </c>
      <c r="F17712" s="15" t="str">
        <f aca="false">IF(B17712&lt;5,"Go","Standard")</f>
        <v>Standard</v>
      </c>
    </row>
    <row r="17713" customFormat="false" ht="15" hidden="false" customHeight="true" outlineLevel="0" collapsed="false">
      <c r="A17713" s="10" t="n">
        <f aca="false">Einstellungen!$B$5+INT((ROW()-9)/24)</f>
        <v>46703</v>
      </c>
      <c r="B17713" s="11" t="n">
        <f aca="false">MOD(ROW()-9,24)</f>
        <v>16</v>
      </c>
      <c r="C17713" s="12"/>
      <c r="D17713" s="13" t="n">
        <f aca="false">IF(B17713&lt;5,Einstellungen!$B$3,Einstellungen!$B$4)</f>
        <v>29.13</v>
      </c>
      <c r="E17713" s="14" t="str">
        <f aca="false">IF(C17713="","",C17713*D17713/100)</f>
        <v/>
      </c>
      <c r="F17713" s="15" t="str">
        <f aca="false">IF(B17713&lt;5,"Go","Standard")</f>
        <v>Standard</v>
      </c>
    </row>
    <row r="17714" customFormat="false" ht="15" hidden="false" customHeight="true" outlineLevel="0" collapsed="false">
      <c r="A17714" s="10" t="n">
        <f aca="false">Einstellungen!$B$5+INT((ROW()-9)/24)</f>
        <v>46703</v>
      </c>
      <c r="B17714" s="11" t="n">
        <f aca="false">MOD(ROW()-9,24)</f>
        <v>17</v>
      </c>
      <c r="C17714" s="12"/>
      <c r="D17714" s="13" t="n">
        <f aca="false">IF(B17714&lt;5,Einstellungen!$B$3,Einstellungen!$B$4)</f>
        <v>29.13</v>
      </c>
      <c r="E17714" s="14" t="str">
        <f aca="false">IF(C17714="","",C17714*D17714/100)</f>
        <v/>
      </c>
      <c r="F17714" s="15" t="str">
        <f aca="false">IF(B17714&lt;5,"Go","Standard")</f>
        <v>Standard</v>
      </c>
    </row>
    <row r="17715" customFormat="false" ht="15" hidden="false" customHeight="true" outlineLevel="0" collapsed="false">
      <c r="A17715" s="10" t="n">
        <f aca="false">Einstellungen!$B$5+INT((ROW()-9)/24)</f>
        <v>46703</v>
      </c>
      <c r="B17715" s="11" t="n">
        <f aca="false">MOD(ROW()-9,24)</f>
        <v>18</v>
      </c>
      <c r="C17715" s="12"/>
      <c r="D17715" s="13" t="n">
        <f aca="false">IF(B17715&lt;5,Einstellungen!$B$3,Einstellungen!$B$4)</f>
        <v>29.13</v>
      </c>
      <c r="E17715" s="14" t="str">
        <f aca="false">IF(C17715="","",C17715*D17715/100)</f>
        <v/>
      </c>
      <c r="F17715" s="15" t="str">
        <f aca="false">IF(B17715&lt;5,"Go","Standard")</f>
        <v>Standard</v>
      </c>
    </row>
    <row r="17716" customFormat="false" ht="15" hidden="false" customHeight="true" outlineLevel="0" collapsed="false">
      <c r="A17716" s="10" t="n">
        <f aca="false">Einstellungen!$B$5+INT((ROW()-9)/24)</f>
        <v>46703</v>
      </c>
      <c r="B17716" s="11" t="n">
        <f aca="false">MOD(ROW()-9,24)</f>
        <v>19</v>
      </c>
      <c r="C17716" s="12"/>
      <c r="D17716" s="13" t="n">
        <f aca="false">IF(B17716&lt;5,Einstellungen!$B$3,Einstellungen!$B$4)</f>
        <v>29.13</v>
      </c>
      <c r="E17716" s="14" t="str">
        <f aca="false">IF(C17716="","",C17716*D17716/100)</f>
        <v/>
      </c>
      <c r="F17716" s="15" t="str">
        <f aca="false">IF(B17716&lt;5,"Go","Standard")</f>
        <v>Standard</v>
      </c>
    </row>
    <row r="17717" customFormat="false" ht="15" hidden="false" customHeight="true" outlineLevel="0" collapsed="false">
      <c r="A17717" s="10" t="n">
        <f aca="false">Einstellungen!$B$5+INT((ROW()-9)/24)</f>
        <v>46703</v>
      </c>
      <c r="B17717" s="11" t="n">
        <f aca="false">MOD(ROW()-9,24)</f>
        <v>20</v>
      </c>
      <c r="C17717" s="12"/>
      <c r="D17717" s="13" t="n">
        <f aca="false">IF(B17717&lt;5,Einstellungen!$B$3,Einstellungen!$B$4)</f>
        <v>29.13</v>
      </c>
      <c r="E17717" s="14" t="str">
        <f aca="false">IF(C17717="","",C17717*D17717/100)</f>
        <v/>
      </c>
      <c r="F17717" s="15" t="str">
        <f aca="false">IF(B17717&lt;5,"Go","Standard")</f>
        <v>Standard</v>
      </c>
    </row>
    <row r="17718" customFormat="false" ht="15" hidden="false" customHeight="true" outlineLevel="0" collapsed="false">
      <c r="A17718" s="10" t="n">
        <f aca="false">Einstellungen!$B$5+INT((ROW()-9)/24)</f>
        <v>46703</v>
      </c>
      <c r="B17718" s="11" t="n">
        <f aca="false">MOD(ROW()-9,24)</f>
        <v>21</v>
      </c>
      <c r="C17718" s="12"/>
      <c r="D17718" s="13" t="n">
        <f aca="false">IF(B17718&lt;5,Einstellungen!$B$3,Einstellungen!$B$4)</f>
        <v>29.13</v>
      </c>
      <c r="E17718" s="14" t="str">
        <f aca="false">IF(C17718="","",C17718*D17718/100)</f>
        <v/>
      </c>
      <c r="F17718" s="15" t="str">
        <f aca="false">IF(B17718&lt;5,"Go","Standard")</f>
        <v>Standard</v>
      </c>
    </row>
    <row r="17719" customFormat="false" ht="15" hidden="false" customHeight="true" outlineLevel="0" collapsed="false">
      <c r="A17719" s="10" t="n">
        <f aca="false">Einstellungen!$B$5+INT((ROW()-9)/24)</f>
        <v>46703</v>
      </c>
      <c r="B17719" s="11" t="n">
        <f aca="false">MOD(ROW()-9,24)</f>
        <v>22</v>
      </c>
      <c r="C17719" s="12"/>
      <c r="D17719" s="13" t="n">
        <f aca="false">IF(B17719&lt;5,Einstellungen!$B$3,Einstellungen!$B$4)</f>
        <v>29.13</v>
      </c>
      <c r="E17719" s="14" t="str">
        <f aca="false">IF(C17719="","",C17719*D17719/100)</f>
        <v/>
      </c>
      <c r="F17719" s="15" t="str">
        <f aca="false">IF(B17719&lt;5,"Go","Standard")</f>
        <v>Standard</v>
      </c>
    </row>
    <row r="17720" customFormat="false" ht="15" hidden="false" customHeight="true" outlineLevel="0" collapsed="false">
      <c r="A17720" s="10" t="n">
        <f aca="false">Einstellungen!$B$5+INT((ROW()-9)/24)</f>
        <v>46703</v>
      </c>
      <c r="B17720" s="11" t="n">
        <f aca="false">MOD(ROW()-9,24)</f>
        <v>23</v>
      </c>
      <c r="C17720" s="12"/>
      <c r="D17720" s="13" t="n">
        <f aca="false">IF(B17720&lt;5,Einstellungen!$B$3,Einstellungen!$B$4)</f>
        <v>29.13</v>
      </c>
      <c r="E17720" s="14" t="str">
        <f aca="false">IF(C17720="","",C17720*D17720/100)</f>
        <v/>
      </c>
      <c r="F17720" s="15" t="str">
        <f aca="false">IF(B17720&lt;5,"Go","Standard")</f>
        <v>Standard</v>
      </c>
    </row>
    <row r="17721" customFormat="false" ht="15" hidden="false" customHeight="true" outlineLevel="0" collapsed="false">
      <c r="A17721" s="10" t="n">
        <f aca="false">Einstellungen!$B$5+INT((ROW()-9)/24)</f>
        <v>46704</v>
      </c>
      <c r="B17721" s="11" t="n">
        <f aca="false">MOD(ROW()-9,24)</f>
        <v>0</v>
      </c>
      <c r="C17721" s="12"/>
      <c r="D17721" s="13" t="n">
        <f aca="false">IF(B17721&lt;5,Einstellungen!$B$3,Einstellungen!$B$4)</f>
        <v>15.92</v>
      </c>
      <c r="E17721" s="14" t="str">
        <f aca="false">IF(C17721="","",C17721*D17721/100)</f>
        <v/>
      </c>
      <c r="F17721" s="15" t="str">
        <f aca="false">IF(B17721&lt;5,"Go","Standard")</f>
        <v>Go</v>
      </c>
    </row>
    <row r="17722" customFormat="false" ht="15" hidden="false" customHeight="true" outlineLevel="0" collapsed="false">
      <c r="A17722" s="10" t="n">
        <f aca="false">Einstellungen!$B$5+INT((ROW()-9)/24)</f>
        <v>46704</v>
      </c>
      <c r="B17722" s="11" t="n">
        <f aca="false">MOD(ROW()-9,24)</f>
        <v>1</v>
      </c>
      <c r="C17722" s="12"/>
      <c r="D17722" s="13" t="n">
        <f aca="false">IF(B17722&lt;5,Einstellungen!$B$3,Einstellungen!$B$4)</f>
        <v>15.92</v>
      </c>
      <c r="E17722" s="14" t="str">
        <f aca="false">IF(C17722="","",C17722*D17722/100)</f>
        <v/>
      </c>
      <c r="F17722" s="15" t="str">
        <f aca="false">IF(B17722&lt;5,"Go","Standard")</f>
        <v>Go</v>
      </c>
    </row>
    <row r="17723" customFormat="false" ht="15" hidden="false" customHeight="true" outlineLevel="0" collapsed="false">
      <c r="A17723" s="10" t="n">
        <f aca="false">Einstellungen!$B$5+INT((ROW()-9)/24)</f>
        <v>46704</v>
      </c>
      <c r="B17723" s="11" t="n">
        <f aca="false">MOD(ROW()-9,24)</f>
        <v>2</v>
      </c>
      <c r="C17723" s="12"/>
      <c r="D17723" s="13" t="n">
        <f aca="false">IF(B17723&lt;5,Einstellungen!$B$3,Einstellungen!$B$4)</f>
        <v>15.92</v>
      </c>
      <c r="E17723" s="14" t="str">
        <f aca="false">IF(C17723="","",C17723*D17723/100)</f>
        <v/>
      </c>
      <c r="F17723" s="15" t="str">
        <f aca="false">IF(B17723&lt;5,"Go","Standard")</f>
        <v>Go</v>
      </c>
    </row>
    <row r="17724" customFormat="false" ht="15" hidden="false" customHeight="true" outlineLevel="0" collapsed="false">
      <c r="A17724" s="10" t="n">
        <f aca="false">Einstellungen!$B$5+INT((ROW()-9)/24)</f>
        <v>46704</v>
      </c>
      <c r="B17724" s="11" t="n">
        <f aca="false">MOD(ROW()-9,24)</f>
        <v>3</v>
      </c>
      <c r="C17724" s="12"/>
      <c r="D17724" s="13" t="n">
        <f aca="false">IF(B17724&lt;5,Einstellungen!$B$3,Einstellungen!$B$4)</f>
        <v>15.92</v>
      </c>
      <c r="E17724" s="14" t="str">
        <f aca="false">IF(C17724="","",C17724*D17724/100)</f>
        <v/>
      </c>
      <c r="F17724" s="15" t="str">
        <f aca="false">IF(B17724&lt;5,"Go","Standard")</f>
        <v>Go</v>
      </c>
    </row>
    <row r="17725" customFormat="false" ht="15" hidden="false" customHeight="true" outlineLevel="0" collapsed="false">
      <c r="A17725" s="10" t="n">
        <f aca="false">Einstellungen!$B$5+INT((ROW()-9)/24)</f>
        <v>46704</v>
      </c>
      <c r="B17725" s="11" t="n">
        <f aca="false">MOD(ROW()-9,24)</f>
        <v>4</v>
      </c>
      <c r="C17725" s="12"/>
      <c r="D17725" s="13" t="n">
        <f aca="false">IF(B17725&lt;5,Einstellungen!$B$3,Einstellungen!$B$4)</f>
        <v>15.92</v>
      </c>
      <c r="E17725" s="14" t="str">
        <f aca="false">IF(C17725="","",C17725*D17725/100)</f>
        <v/>
      </c>
      <c r="F17725" s="15" t="str">
        <f aca="false">IF(B17725&lt;5,"Go","Standard")</f>
        <v>Go</v>
      </c>
    </row>
    <row r="17726" customFormat="false" ht="15" hidden="false" customHeight="true" outlineLevel="0" collapsed="false">
      <c r="A17726" s="10" t="n">
        <f aca="false">Einstellungen!$B$5+INT((ROW()-9)/24)</f>
        <v>46704</v>
      </c>
      <c r="B17726" s="11" t="n">
        <f aca="false">MOD(ROW()-9,24)</f>
        <v>5</v>
      </c>
      <c r="C17726" s="12"/>
      <c r="D17726" s="13" t="n">
        <f aca="false">IF(B17726&lt;5,Einstellungen!$B$3,Einstellungen!$B$4)</f>
        <v>29.13</v>
      </c>
      <c r="E17726" s="14" t="str">
        <f aca="false">IF(C17726="","",C17726*D17726/100)</f>
        <v/>
      </c>
      <c r="F17726" s="15" t="str">
        <f aca="false">IF(B17726&lt;5,"Go","Standard")</f>
        <v>Standard</v>
      </c>
    </row>
    <row r="17727" customFormat="false" ht="15" hidden="false" customHeight="true" outlineLevel="0" collapsed="false">
      <c r="A17727" s="10" t="n">
        <f aca="false">Einstellungen!$B$5+INT((ROW()-9)/24)</f>
        <v>46704</v>
      </c>
      <c r="B17727" s="11" t="n">
        <f aca="false">MOD(ROW()-9,24)</f>
        <v>6</v>
      </c>
      <c r="C17727" s="12"/>
      <c r="D17727" s="13" t="n">
        <f aca="false">IF(B17727&lt;5,Einstellungen!$B$3,Einstellungen!$B$4)</f>
        <v>29.13</v>
      </c>
      <c r="E17727" s="14" t="str">
        <f aca="false">IF(C17727="","",C17727*D17727/100)</f>
        <v/>
      </c>
      <c r="F17727" s="15" t="str">
        <f aca="false">IF(B17727&lt;5,"Go","Standard")</f>
        <v>Standard</v>
      </c>
    </row>
    <row r="17728" customFormat="false" ht="15" hidden="false" customHeight="true" outlineLevel="0" collapsed="false">
      <c r="A17728" s="10" t="n">
        <f aca="false">Einstellungen!$B$5+INT((ROW()-9)/24)</f>
        <v>46704</v>
      </c>
      <c r="B17728" s="11" t="n">
        <f aca="false">MOD(ROW()-9,24)</f>
        <v>7</v>
      </c>
      <c r="C17728" s="12"/>
      <c r="D17728" s="13" t="n">
        <f aca="false">IF(B17728&lt;5,Einstellungen!$B$3,Einstellungen!$B$4)</f>
        <v>29.13</v>
      </c>
      <c r="E17728" s="14" t="str">
        <f aca="false">IF(C17728="","",C17728*D17728/100)</f>
        <v/>
      </c>
      <c r="F17728" s="15" t="str">
        <f aca="false">IF(B17728&lt;5,"Go","Standard")</f>
        <v>Standard</v>
      </c>
    </row>
    <row r="17729" customFormat="false" ht="15" hidden="false" customHeight="true" outlineLevel="0" collapsed="false">
      <c r="A17729" s="10" t="n">
        <f aca="false">Einstellungen!$B$5+INT((ROW()-9)/24)</f>
        <v>46704</v>
      </c>
      <c r="B17729" s="11" t="n">
        <f aca="false">MOD(ROW()-9,24)</f>
        <v>8</v>
      </c>
      <c r="C17729" s="12"/>
      <c r="D17729" s="13" t="n">
        <f aca="false">IF(B17729&lt;5,Einstellungen!$B$3,Einstellungen!$B$4)</f>
        <v>29.13</v>
      </c>
      <c r="E17729" s="14" t="str">
        <f aca="false">IF(C17729="","",C17729*D17729/100)</f>
        <v/>
      </c>
      <c r="F17729" s="15" t="str">
        <f aca="false">IF(B17729&lt;5,"Go","Standard")</f>
        <v>Standard</v>
      </c>
    </row>
    <row r="17730" customFormat="false" ht="15" hidden="false" customHeight="true" outlineLevel="0" collapsed="false">
      <c r="A17730" s="10" t="n">
        <f aca="false">Einstellungen!$B$5+INT((ROW()-9)/24)</f>
        <v>46704</v>
      </c>
      <c r="B17730" s="11" t="n">
        <f aca="false">MOD(ROW()-9,24)</f>
        <v>9</v>
      </c>
      <c r="C17730" s="12"/>
      <c r="D17730" s="13" t="n">
        <f aca="false">IF(B17730&lt;5,Einstellungen!$B$3,Einstellungen!$B$4)</f>
        <v>29.13</v>
      </c>
      <c r="E17730" s="14" t="str">
        <f aca="false">IF(C17730="","",C17730*D17730/100)</f>
        <v/>
      </c>
      <c r="F17730" s="15" t="str">
        <f aca="false">IF(B17730&lt;5,"Go","Standard")</f>
        <v>Standard</v>
      </c>
    </row>
    <row r="17731" customFormat="false" ht="15" hidden="false" customHeight="true" outlineLevel="0" collapsed="false">
      <c r="A17731" s="10" t="n">
        <f aca="false">Einstellungen!$B$5+INT((ROW()-9)/24)</f>
        <v>46704</v>
      </c>
      <c r="B17731" s="11" t="n">
        <f aca="false">MOD(ROW()-9,24)</f>
        <v>10</v>
      </c>
      <c r="C17731" s="12"/>
      <c r="D17731" s="13" t="n">
        <f aca="false">IF(B17731&lt;5,Einstellungen!$B$3,Einstellungen!$B$4)</f>
        <v>29.13</v>
      </c>
      <c r="E17731" s="14" t="str">
        <f aca="false">IF(C17731="","",C17731*D17731/100)</f>
        <v/>
      </c>
      <c r="F17731" s="15" t="str">
        <f aca="false">IF(B17731&lt;5,"Go","Standard")</f>
        <v>Standard</v>
      </c>
    </row>
    <row r="17732" customFormat="false" ht="15" hidden="false" customHeight="true" outlineLevel="0" collapsed="false">
      <c r="A17732" s="10" t="n">
        <f aca="false">Einstellungen!$B$5+INT((ROW()-9)/24)</f>
        <v>46704</v>
      </c>
      <c r="B17732" s="11" t="n">
        <f aca="false">MOD(ROW()-9,24)</f>
        <v>11</v>
      </c>
      <c r="C17732" s="12"/>
      <c r="D17732" s="13" t="n">
        <f aca="false">IF(B17732&lt;5,Einstellungen!$B$3,Einstellungen!$B$4)</f>
        <v>29.13</v>
      </c>
      <c r="E17732" s="14" t="str">
        <f aca="false">IF(C17732="","",C17732*D17732/100)</f>
        <v/>
      </c>
      <c r="F17732" s="15" t="str">
        <f aca="false">IF(B17732&lt;5,"Go","Standard")</f>
        <v>Standard</v>
      </c>
    </row>
    <row r="17733" customFormat="false" ht="15" hidden="false" customHeight="true" outlineLevel="0" collapsed="false">
      <c r="A17733" s="10" t="n">
        <f aca="false">Einstellungen!$B$5+INT((ROW()-9)/24)</f>
        <v>46704</v>
      </c>
      <c r="B17733" s="11" t="n">
        <f aca="false">MOD(ROW()-9,24)</f>
        <v>12</v>
      </c>
      <c r="C17733" s="12"/>
      <c r="D17733" s="13" t="n">
        <f aca="false">IF(B17733&lt;5,Einstellungen!$B$3,Einstellungen!$B$4)</f>
        <v>29.13</v>
      </c>
      <c r="E17733" s="14" t="str">
        <f aca="false">IF(C17733="","",C17733*D17733/100)</f>
        <v/>
      </c>
      <c r="F17733" s="15" t="str">
        <f aca="false">IF(B17733&lt;5,"Go","Standard")</f>
        <v>Standard</v>
      </c>
    </row>
    <row r="17734" customFormat="false" ht="15" hidden="false" customHeight="true" outlineLevel="0" collapsed="false">
      <c r="A17734" s="10" t="n">
        <f aca="false">Einstellungen!$B$5+INT((ROW()-9)/24)</f>
        <v>46704</v>
      </c>
      <c r="B17734" s="11" t="n">
        <f aca="false">MOD(ROW()-9,24)</f>
        <v>13</v>
      </c>
      <c r="C17734" s="12"/>
      <c r="D17734" s="13" t="n">
        <f aca="false">IF(B17734&lt;5,Einstellungen!$B$3,Einstellungen!$B$4)</f>
        <v>29.13</v>
      </c>
      <c r="E17734" s="14" t="str">
        <f aca="false">IF(C17734="","",C17734*D17734/100)</f>
        <v/>
      </c>
      <c r="F17734" s="15" t="str">
        <f aca="false">IF(B17734&lt;5,"Go","Standard")</f>
        <v>Standard</v>
      </c>
    </row>
    <row r="17735" customFormat="false" ht="15" hidden="false" customHeight="true" outlineLevel="0" collapsed="false">
      <c r="A17735" s="10" t="n">
        <f aca="false">Einstellungen!$B$5+INT((ROW()-9)/24)</f>
        <v>46704</v>
      </c>
      <c r="B17735" s="11" t="n">
        <f aca="false">MOD(ROW()-9,24)</f>
        <v>14</v>
      </c>
      <c r="C17735" s="12"/>
      <c r="D17735" s="13" t="n">
        <f aca="false">IF(B17735&lt;5,Einstellungen!$B$3,Einstellungen!$B$4)</f>
        <v>29.13</v>
      </c>
      <c r="E17735" s="14" t="str">
        <f aca="false">IF(C17735="","",C17735*D17735/100)</f>
        <v/>
      </c>
      <c r="F17735" s="15" t="str">
        <f aca="false">IF(B17735&lt;5,"Go","Standard")</f>
        <v>Standard</v>
      </c>
    </row>
    <row r="17736" customFormat="false" ht="15" hidden="false" customHeight="true" outlineLevel="0" collapsed="false">
      <c r="A17736" s="10" t="n">
        <f aca="false">Einstellungen!$B$5+INT((ROW()-9)/24)</f>
        <v>46704</v>
      </c>
      <c r="B17736" s="11" t="n">
        <f aca="false">MOD(ROW()-9,24)</f>
        <v>15</v>
      </c>
      <c r="C17736" s="12"/>
      <c r="D17736" s="13" t="n">
        <f aca="false">IF(B17736&lt;5,Einstellungen!$B$3,Einstellungen!$B$4)</f>
        <v>29.13</v>
      </c>
      <c r="E17736" s="14" t="str">
        <f aca="false">IF(C17736="","",C17736*D17736/100)</f>
        <v/>
      </c>
      <c r="F17736" s="15" t="str">
        <f aca="false">IF(B17736&lt;5,"Go","Standard")</f>
        <v>Standard</v>
      </c>
    </row>
    <row r="17737" customFormat="false" ht="15" hidden="false" customHeight="true" outlineLevel="0" collapsed="false">
      <c r="A17737" s="10" t="n">
        <f aca="false">Einstellungen!$B$5+INT((ROW()-9)/24)</f>
        <v>46704</v>
      </c>
      <c r="B17737" s="11" t="n">
        <f aca="false">MOD(ROW()-9,24)</f>
        <v>16</v>
      </c>
      <c r="C17737" s="12"/>
      <c r="D17737" s="13" t="n">
        <f aca="false">IF(B17737&lt;5,Einstellungen!$B$3,Einstellungen!$B$4)</f>
        <v>29.13</v>
      </c>
      <c r="E17737" s="14" t="str">
        <f aca="false">IF(C17737="","",C17737*D17737/100)</f>
        <v/>
      </c>
      <c r="F17737" s="15" t="str">
        <f aca="false">IF(B17737&lt;5,"Go","Standard")</f>
        <v>Standard</v>
      </c>
    </row>
    <row r="17738" customFormat="false" ht="15" hidden="false" customHeight="true" outlineLevel="0" collapsed="false">
      <c r="A17738" s="10" t="n">
        <f aca="false">Einstellungen!$B$5+INT((ROW()-9)/24)</f>
        <v>46704</v>
      </c>
      <c r="B17738" s="11" t="n">
        <f aca="false">MOD(ROW()-9,24)</f>
        <v>17</v>
      </c>
      <c r="C17738" s="12"/>
      <c r="D17738" s="13" t="n">
        <f aca="false">IF(B17738&lt;5,Einstellungen!$B$3,Einstellungen!$B$4)</f>
        <v>29.13</v>
      </c>
      <c r="E17738" s="14" t="str">
        <f aca="false">IF(C17738="","",C17738*D17738/100)</f>
        <v/>
      </c>
      <c r="F17738" s="15" t="str">
        <f aca="false">IF(B17738&lt;5,"Go","Standard")</f>
        <v>Standard</v>
      </c>
    </row>
    <row r="17739" customFormat="false" ht="15" hidden="false" customHeight="true" outlineLevel="0" collapsed="false">
      <c r="A17739" s="10" t="n">
        <f aca="false">Einstellungen!$B$5+INT((ROW()-9)/24)</f>
        <v>46704</v>
      </c>
      <c r="B17739" s="11" t="n">
        <f aca="false">MOD(ROW()-9,24)</f>
        <v>18</v>
      </c>
      <c r="C17739" s="12"/>
      <c r="D17739" s="13" t="n">
        <f aca="false">IF(B17739&lt;5,Einstellungen!$B$3,Einstellungen!$B$4)</f>
        <v>29.13</v>
      </c>
      <c r="E17739" s="14" t="str">
        <f aca="false">IF(C17739="","",C17739*D17739/100)</f>
        <v/>
      </c>
      <c r="F17739" s="15" t="str">
        <f aca="false">IF(B17739&lt;5,"Go","Standard")</f>
        <v>Standard</v>
      </c>
    </row>
    <row r="17740" customFormat="false" ht="15" hidden="false" customHeight="true" outlineLevel="0" collapsed="false">
      <c r="A17740" s="10" t="n">
        <f aca="false">Einstellungen!$B$5+INT((ROW()-9)/24)</f>
        <v>46704</v>
      </c>
      <c r="B17740" s="11" t="n">
        <f aca="false">MOD(ROW()-9,24)</f>
        <v>19</v>
      </c>
      <c r="C17740" s="12"/>
      <c r="D17740" s="13" t="n">
        <f aca="false">IF(B17740&lt;5,Einstellungen!$B$3,Einstellungen!$B$4)</f>
        <v>29.13</v>
      </c>
      <c r="E17740" s="14" t="str">
        <f aca="false">IF(C17740="","",C17740*D17740/100)</f>
        <v/>
      </c>
      <c r="F17740" s="15" t="str">
        <f aca="false">IF(B17740&lt;5,"Go","Standard")</f>
        <v>Standard</v>
      </c>
    </row>
    <row r="17741" customFormat="false" ht="15" hidden="false" customHeight="true" outlineLevel="0" collapsed="false">
      <c r="A17741" s="10" t="n">
        <f aca="false">Einstellungen!$B$5+INT((ROW()-9)/24)</f>
        <v>46704</v>
      </c>
      <c r="B17741" s="11" t="n">
        <f aca="false">MOD(ROW()-9,24)</f>
        <v>20</v>
      </c>
      <c r="C17741" s="12"/>
      <c r="D17741" s="13" t="n">
        <f aca="false">IF(B17741&lt;5,Einstellungen!$B$3,Einstellungen!$B$4)</f>
        <v>29.13</v>
      </c>
      <c r="E17741" s="14" t="str">
        <f aca="false">IF(C17741="","",C17741*D17741/100)</f>
        <v/>
      </c>
      <c r="F17741" s="15" t="str">
        <f aca="false">IF(B17741&lt;5,"Go","Standard")</f>
        <v>Standard</v>
      </c>
    </row>
    <row r="17742" customFormat="false" ht="15" hidden="false" customHeight="true" outlineLevel="0" collapsed="false">
      <c r="A17742" s="10" t="n">
        <f aca="false">Einstellungen!$B$5+INT((ROW()-9)/24)</f>
        <v>46704</v>
      </c>
      <c r="B17742" s="11" t="n">
        <f aca="false">MOD(ROW()-9,24)</f>
        <v>21</v>
      </c>
      <c r="C17742" s="12"/>
      <c r="D17742" s="13" t="n">
        <f aca="false">IF(B17742&lt;5,Einstellungen!$B$3,Einstellungen!$B$4)</f>
        <v>29.13</v>
      </c>
      <c r="E17742" s="14" t="str">
        <f aca="false">IF(C17742="","",C17742*D17742/100)</f>
        <v/>
      </c>
      <c r="F17742" s="15" t="str">
        <f aca="false">IF(B17742&lt;5,"Go","Standard")</f>
        <v>Standard</v>
      </c>
    </row>
    <row r="17743" customFormat="false" ht="15" hidden="false" customHeight="true" outlineLevel="0" collapsed="false">
      <c r="A17743" s="10" t="n">
        <f aca="false">Einstellungen!$B$5+INT((ROW()-9)/24)</f>
        <v>46704</v>
      </c>
      <c r="B17743" s="11" t="n">
        <f aca="false">MOD(ROW()-9,24)</f>
        <v>22</v>
      </c>
      <c r="C17743" s="12"/>
      <c r="D17743" s="13" t="n">
        <f aca="false">IF(B17743&lt;5,Einstellungen!$B$3,Einstellungen!$B$4)</f>
        <v>29.13</v>
      </c>
      <c r="E17743" s="14" t="str">
        <f aca="false">IF(C17743="","",C17743*D17743/100)</f>
        <v/>
      </c>
      <c r="F17743" s="15" t="str">
        <f aca="false">IF(B17743&lt;5,"Go","Standard")</f>
        <v>Standard</v>
      </c>
    </row>
    <row r="17744" customFormat="false" ht="15" hidden="false" customHeight="true" outlineLevel="0" collapsed="false">
      <c r="A17744" s="10" t="n">
        <f aca="false">Einstellungen!$B$5+INT((ROW()-9)/24)</f>
        <v>46704</v>
      </c>
      <c r="B17744" s="11" t="n">
        <f aca="false">MOD(ROW()-9,24)</f>
        <v>23</v>
      </c>
      <c r="C17744" s="12"/>
      <c r="D17744" s="13" t="n">
        <f aca="false">IF(B17744&lt;5,Einstellungen!$B$3,Einstellungen!$B$4)</f>
        <v>29.13</v>
      </c>
      <c r="E17744" s="14" t="str">
        <f aca="false">IF(C17744="","",C17744*D17744/100)</f>
        <v/>
      </c>
      <c r="F17744" s="15" t="str">
        <f aca="false">IF(B17744&lt;5,"Go","Standard")</f>
        <v>Standard</v>
      </c>
    </row>
    <row r="17745" customFormat="false" ht="15" hidden="false" customHeight="true" outlineLevel="0" collapsed="false">
      <c r="A17745" s="10" t="n">
        <f aca="false">Einstellungen!$B$5+INT((ROW()-9)/24)</f>
        <v>46705</v>
      </c>
      <c r="B17745" s="11" t="n">
        <f aca="false">MOD(ROW()-9,24)</f>
        <v>0</v>
      </c>
      <c r="C17745" s="12"/>
      <c r="D17745" s="13" t="n">
        <f aca="false">IF(B17745&lt;5,Einstellungen!$B$3,Einstellungen!$B$4)</f>
        <v>15.92</v>
      </c>
      <c r="E17745" s="14" t="str">
        <f aca="false">IF(C17745="","",C17745*D17745/100)</f>
        <v/>
      </c>
      <c r="F17745" s="15" t="str">
        <f aca="false">IF(B17745&lt;5,"Go","Standard")</f>
        <v>Go</v>
      </c>
    </row>
    <row r="17746" customFormat="false" ht="15" hidden="false" customHeight="true" outlineLevel="0" collapsed="false">
      <c r="A17746" s="10" t="n">
        <f aca="false">Einstellungen!$B$5+INT((ROW()-9)/24)</f>
        <v>46705</v>
      </c>
      <c r="B17746" s="11" t="n">
        <f aca="false">MOD(ROW()-9,24)</f>
        <v>1</v>
      </c>
      <c r="C17746" s="12"/>
      <c r="D17746" s="13" t="n">
        <f aca="false">IF(B17746&lt;5,Einstellungen!$B$3,Einstellungen!$B$4)</f>
        <v>15.92</v>
      </c>
      <c r="E17746" s="14" t="str">
        <f aca="false">IF(C17746="","",C17746*D17746/100)</f>
        <v/>
      </c>
      <c r="F17746" s="15" t="str">
        <f aca="false">IF(B17746&lt;5,"Go","Standard")</f>
        <v>Go</v>
      </c>
    </row>
    <row r="17747" customFormat="false" ht="15" hidden="false" customHeight="true" outlineLevel="0" collapsed="false">
      <c r="A17747" s="10" t="n">
        <f aca="false">Einstellungen!$B$5+INT((ROW()-9)/24)</f>
        <v>46705</v>
      </c>
      <c r="B17747" s="11" t="n">
        <f aca="false">MOD(ROW()-9,24)</f>
        <v>2</v>
      </c>
      <c r="C17747" s="12"/>
      <c r="D17747" s="13" t="n">
        <f aca="false">IF(B17747&lt;5,Einstellungen!$B$3,Einstellungen!$B$4)</f>
        <v>15.92</v>
      </c>
      <c r="E17747" s="14" t="str">
        <f aca="false">IF(C17747="","",C17747*D17747/100)</f>
        <v/>
      </c>
      <c r="F17747" s="15" t="str">
        <f aca="false">IF(B17747&lt;5,"Go","Standard")</f>
        <v>Go</v>
      </c>
    </row>
    <row r="17748" customFormat="false" ht="15" hidden="false" customHeight="true" outlineLevel="0" collapsed="false">
      <c r="A17748" s="10" t="n">
        <f aca="false">Einstellungen!$B$5+INT((ROW()-9)/24)</f>
        <v>46705</v>
      </c>
      <c r="B17748" s="11" t="n">
        <f aca="false">MOD(ROW()-9,24)</f>
        <v>3</v>
      </c>
      <c r="C17748" s="12"/>
      <c r="D17748" s="13" t="n">
        <f aca="false">IF(B17748&lt;5,Einstellungen!$B$3,Einstellungen!$B$4)</f>
        <v>15.92</v>
      </c>
      <c r="E17748" s="14" t="str">
        <f aca="false">IF(C17748="","",C17748*D17748/100)</f>
        <v/>
      </c>
      <c r="F17748" s="15" t="str">
        <f aca="false">IF(B17748&lt;5,"Go","Standard")</f>
        <v>Go</v>
      </c>
    </row>
    <row r="17749" customFormat="false" ht="15" hidden="false" customHeight="true" outlineLevel="0" collapsed="false">
      <c r="A17749" s="10" t="n">
        <f aca="false">Einstellungen!$B$5+INT((ROW()-9)/24)</f>
        <v>46705</v>
      </c>
      <c r="B17749" s="11" t="n">
        <f aca="false">MOD(ROW()-9,24)</f>
        <v>4</v>
      </c>
      <c r="C17749" s="12"/>
      <c r="D17749" s="13" t="n">
        <f aca="false">IF(B17749&lt;5,Einstellungen!$B$3,Einstellungen!$B$4)</f>
        <v>15.92</v>
      </c>
      <c r="E17749" s="14" t="str">
        <f aca="false">IF(C17749="","",C17749*D17749/100)</f>
        <v/>
      </c>
      <c r="F17749" s="15" t="str">
        <f aca="false">IF(B17749&lt;5,"Go","Standard")</f>
        <v>Go</v>
      </c>
    </row>
    <row r="17750" customFormat="false" ht="15" hidden="false" customHeight="true" outlineLevel="0" collapsed="false">
      <c r="A17750" s="10" t="n">
        <f aca="false">Einstellungen!$B$5+INT((ROW()-9)/24)</f>
        <v>46705</v>
      </c>
      <c r="B17750" s="11" t="n">
        <f aca="false">MOD(ROW()-9,24)</f>
        <v>5</v>
      </c>
      <c r="C17750" s="12"/>
      <c r="D17750" s="13" t="n">
        <f aca="false">IF(B17750&lt;5,Einstellungen!$B$3,Einstellungen!$B$4)</f>
        <v>29.13</v>
      </c>
      <c r="E17750" s="14" t="str">
        <f aca="false">IF(C17750="","",C17750*D17750/100)</f>
        <v/>
      </c>
      <c r="F17750" s="15" t="str">
        <f aca="false">IF(B17750&lt;5,"Go","Standard")</f>
        <v>Standard</v>
      </c>
    </row>
    <row r="17751" customFormat="false" ht="15" hidden="false" customHeight="true" outlineLevel="0" collapsed="false">
      <c r="A17751" s="10" t="n">
        <f aca="false">Einstellungen!$B$5+INT((ROW()-9)/24)</f>
        <v>46705</v>
      </c>
      <c r="B17751" s="11" t="n">
        <f aca="false">MOD(ROW()-9,24)</f>
        <v>6</v>
      </c>
      <c r="C17751" s="12"/>
      <c r="D17751" s="13" t="n">
        <f aca="false">IF(B17751&lt;5,Einstellungen!$B$3,Einstellungen!$B$4)</f>
        <v>29.13</v>
      </c>
      <c r="E17751" s="14" t="str">
        <f aca="false">IF(C17751="","",C17751*D17751/100)</f>
        <v/>
      </c>
      <c r="F17751" s="15" t="str">
        <f aca="false">IF(B17751&lt;5,"Go","Standard")</f>
        <v>Standard</v>
      </c>
    </row>
    <row r="17752" customFormat="false" ht="15" hidden="false" customHeight="true" outlineLevel="0" collapsed="false">
      <c r="A17752" s="10" t="n">
        <f aca="false">Einstellungen!$B$5+INT((ROW()-9)/24)</f>
        <v>46705</v>
      </c>
      <c r="B17752" s="11" t="n">
        <f aca="false">MOD(ROW()-9,24)</f>
        <v>7</v>
      </c>
      <c r="C17752" s="12"/>
      <c r="D17752" s="13" t="n">
        <f aca="false">IF(B17752&lt;5,Einstellungen!$B$3,Einstellungen!$B$4)</f>
        <v>29.13</v>
      </c>
      <c r="E17752" s="14" t="str">
        <f aca="false">IF(C17752="","",C17752*D17752/100)</f>
        <v/>
      </c>
      <c r="F17752" s="15" t="str">
        <f aca="false">IF(B17752&lt;5,"Go","Standard")</f>
        <v>Standard</v>
      </c>
    </row>
    <row r="17753" customFormat="false" ht="15" hidden="false" customHeight="true" outlineLevel="0" collapsed="false">
      <c r="A17753" s="10" t="n">
        <f aca="false">Einstellungen!$B$5+INT((ROW()-9)/24)</f>
        <v>46705</v>
      </c>
      <c r="B17753" s="11" t="n">
        <f aca="false">MOD(ROW()-9,24)</f>
        <v>8</v>
      </c>
      <c r="C17753" s="12"/>
      <c r="D17753" s="13" t="n">
        <f aca="false">IF(B17753&lt;5,Einstellungen!$B$3,Einstellungen!$B$4)</f>
        <v>29.13</v>
      </c>
      <c r="E17753" s="14" t="str">
        <f aca="false">IF(C17753="","",C17753*D17753/100)</f>
        <v/>
      </c>
      <c r="F17753" s="15" t="str">
        <f aca="false">IF(B17753&lt;5,"Go","Standard")</f>
        <v>Standard</v>
      </c>
    </row>
    <row r="17754" customFormat="false" ht="15" hidden="false" customHeight="true" outlineLevel="0" collapsed="false">
      <c r="A17754" s="10" t="n">
        <f aca="false">Einstellungen!$B$5+INT((ROW()-9)/24)</f>
        <v>46705</v>
      </c>
      <c r="B17754" s="11" t="n">
        <f aca="false">MOD(ROW()-9,24)</f>
        <v>9</v>
      </c>
      <c r="C17754" s="12"/>
      <c r="D17754" s="13" t="n">
        <f aca="false">IF(B17754&lt;5,Einstellungen!$B$3,Einstellungen!$B$4)</f>
        <v>29.13</v>
      </c>
      <c r="E17754" s="14" t="str">
        <f aca="false">IF(C17754="","",C17754*D17754/100)</f>
        <v/>
      </c>
      <c r="F17754" s="15" t="str">
        <f aca="false">IF(B17754&lt;5,"Go","Standard")</f>
        <v>Standard</v>
      </c>
    </row>
    <row r="17755" customFormat="false" ht="15" hidden="false" customHeight="true" outlineLevel="0" collapsed="false">
      <c r="A17755" s="10" t="n">
        <f aca="false">Einstellungen!$B$5+INT((ROW()-9)/24)</f>
        <v>46705</v>
      </c>
      <c r="B17755" s="11" t="n">
        <f aca="false">MOD(ROW()-9,24)</f>
        <v>10</v>
      </c>
      <c r="C17755" s="12"/>
      <c r="D17755" s="13" t="n">
        <f aca="false">IF(B17755&lt;5,Einstellungen!$B$3,Einstellungen!$B$4)</f>
        <v>29.13</v>
      </c>
      <c r="E17755" s="14" t="str">
        <f aca="false">IF(C17755="","",C17755*D17755/100)</f>
        <v/>
      </c>
      <c r="F17755" s="15" t="str">
        <f aca="false">IF(B17755&lt;5,"Go","Standard")</f>
        <v>Standard</v>
      </c>
    </row>
    <row r="17756" customFormat="false" ht="15" hidden="false" customHeight="true" outlineLevel="0" collapsed="false">
      <c r="A17756" s="10" t="n">
        <f aca="false">Einstellungen!$B$5+INT((ROW()-9)/24)</f>
        <v>46705</v>
      </c>
      <c r="B17756" s="11" t="n">
        <f aca="false">MOD(ROW()-9,24)</f>
        <v>11</v>
      </c>
      <c r="C17756" s="12"/>
      <c r="D17756" s="13" t="n">
        <f aca="false">IF(B17756&lt;5,Einstellungen!$B$3,Einstellungen!$B$4)</f>
        <v>29.13</v>
      </c>
      <c r="E17756" s="14" t="str">
        <f aca="false">IF(C17756="","",C17756*D17756/100)</f>
        <v/>
      </c>
      <c r="F17756" s="15" t="str">
        <f aca="false">IF(B17756&lt;5,"Go","Standard")</f>
        <v>Standard</v>
      </c>
    </row>
    <row r="17757" customFormat="false" ht="15" hidden="false" customHeight="true" outlineLevel="0" collapsed="false">
      <c r="A17757" s="10" t="n">
        <f aca="false">Einstellungen!$B$5+INT((ROW()-9)/24)</f>
        <v>46705</v>
      </c>
      <c r="B17757" s="11" t="n">
        <f aca="false">MOD(ROW()-9,24)</f>
        <v>12</v>
      </c>
      <c r="C17757" s="12"/>
      <c r="D17757" s="13" t="n">
        <f aca="false">IF(B17757&lt;5,Einstellungen!$B$3,Einstellungen!$B$4)</f>
        <v>29.13</v>
      </c>
      <c r="E17757" s="14" t="str">
        <f aca="false">IF(C17757="","",C17757*D17757/100)</f>
        <v/>
      </c>
      <c r="F17757" s="15" t="str">
        <f aca="false">IF(B17757&lt;5,"Go","Standard")</f>
        <v>Standard</v>
      </c>
    </row>
    <row r="17758" customFormat="false" ht="15" hidden="false" customHeight="true" outlineLevel="0" collapsed="false">
      <c r="A17758" s="10" t="n">
        <f aca="false">Einstellungen!$B$5+INT((ROW()-9)/24)</f>
        <v>46705</v>
      </c>
      <c r="B17758" s="11" t="n">
        <f aca="false">MOD(ROW()-9,24)</f>
        <v>13</v>
      </c>
      <c r="C17758" s="12"/>
      <c r="D17758" s="13" t="n">
        <f aca="false">IF(B17758&lt;5,Einstellungen!$B$3,Einstellungen!$B$4)</f>
        <v>29.13</v>
      </c>
      <c r="E17758" s="14" t="str">
        <f aca="false">IF(C17758="","",C17758*D17758/100)</f>
        <v/>
      </c>
      <c r="F17758" s="15" t="str">
        <f aca="false">IF(B17758&lt;5,"Go","Standard")</f>
        <v>Standard</v>
      </c>
    </row>
    <row r="17759" customFormat="false" ht="15" hidden="false" customHeight="true" outlineLevel="0" collapsed="false">
      <c r="A17759" s="10" t="n">
        <f aca="false">Einstellungen!$B$5+INT((ROW()-9)/24)</f>
        <v>46705</v>
      </c>
      <c r="B17759" s="11" t="n">
        <f aca="false">MOD(ROW()-9,24)</f>
        <v>14</v>
      </c>
      <c r="C17759" s="12"/>
      <c r="D17759" s="13" t="n">
        <f aca="false">IF(B17759&lt;5,Einstellungen!$B$3,Einstellungen!$B$4)</f>
        <v>29.13</v>
      </c>
      <c r="E17759" s="14" t="str">
        <f aca="false">IF(C17759="","",C17759*D17759/100)</f>
        <v/>
      </c>
      <c r="F17759" s="15" t="str">
        <f aca="false">IF(B17759&lt;5,"Go","Standard")</f>
        <v>Standard</v>
      </c>
    </row>
    <row r="17760" customFormat="false" ht="15" hidden="false" customHeight="true" outlineLevel="0" collapsed="false">
      <c r="A17760" s="10" t="n">
        <f aca="false">Einstellungen!$B$5+INT((ROW()-9)/24)</f>
        <v>46705</v>
      </c>
      <c r="B17760" s="11" t="n">
        <f aca="false">MOD(ROW()-9,24)</f>
        <v>15</v>
      </c>
      <c r="C17760" s="12"/>
      <c r="D17760" s="13" t="n">
        <f aca="false">IF(B17760&lt;5,Einstellungen!$B$3,Einstellungen!$B$4)</f>
        <v>29.13</v>
      </c>
      <c r="E17760" s="14" t="str">
        <f aca="false">IF(C17760="","",C17760*D17760/100)</f>
        <v/>
      </c>
      <c r="F17760" s="15" t="str">
        <f aca="false">IF(B17760&lt;5,"Go","Standard")</f>
        <v>Standard</v>
      </c>
    </row>
    <row r="17761" customFormat="false" ht="15" hidden="false" customHeight="true" outlineLevel="0" collapsed="false">
      <c r="A17761" s="10" t="n">
        <f aca="false">Einstellungen!$B$5+INT((ROW()-9)/24)</f>
        <v>46705</v>
      </c>
      <c r="B17761" s="11" t="n">
        <f aca="false">MOD(ROW()-9,24)</f>
        <v>16</v>
      </c>
      <c r="C17761" s="12"/>
      <c r="D17761" s="13" t="n">
        <f aca="false">IF(B17761&lt;5,Einstellungen!$B$3,Einstellungen!$B$4)</f>
        <v>29.13</v>
      </c>
      <c r="E17761" s="14" t="str">
        <f aca="false">IF(C17761="","",C17761*D17761/100)</f>
        <v/>
      </c>
      <c r="F17761" s="15" t="str">
        <f aca="false">IF(B17761&lt;5,"Go","Standard")</f>
        <v>Standard</v>
      </c>
    </row>
    <row r="17762" customFormat="false" ht="15" hidden="false" customHeight="true" outlineLevel="0" collapsed="false">
      <c r="A17762" s="10" t="n">
        <f aca="false">Einstellungen!$B$5+INT((ROW()-9)/24)</f>
        <v>46705</v>
      </c>
      <c r="B17762" s="11" t="n">
        <f aca="false">MOD(ROW()-9,24)</f>
        <v>17</v>
      </c>
      <c r="C17762" s="12"/>
      <c r="D17762" s="13" t="n">
        <f aca="false">IF(B17762&lt;5,Einstellungen!$B$3,Einstellungen!$B$4)</f>
        <v>29.13</v>
      </c>
      <c r="E17762" s="14" t="str">
        <f aca="false">IF(C17762="","",C17762*D17762/100)</f>
        <v/>
      </c>
      <c r="F17762" s="15" t="str">
        <f aca="false">IF(B17762&lt;5,"Go","Standard")</f>
        <v>Standard</v>
      </c>
    </row>
    <row r="17763" customFormat="false" ht="15" hidden="false" customHeight="true" outlineLevel="0" collapsed="false">
      <c r="A17763" s="10" t="n">
        <f aca="false">Einstellungen!$B$5+INT((ROW()-9)/24)</f>
        <v>46705</v>
      </c>
      <c r="B17763" s="11" t="n">
        <f aca="false">MOD(ROW()-9,24)</f>
        <v>18</v>
      </c>
      <c r="C17763" s="12"/>
      <c r="D17763" s="13" t="n">
        <f aca="false">IF(B17763&lt;5,Einstellungen!$B$3,Einstellungen!$B$4)</f>
        <v>29.13</v>
      </c>
      <c r="E17763" s="14" t="str">
        <f aca="false">IF(C17763="","",C17763*D17763/100)</f>
        <v/>
      </c>
      <c r="F17763" s="15" t="str">
        <f aca="false">IF(B17763&lt;5,"Go","Standard")</f>
        <v>Standard</v>
      </c>
    </row>
    <row r="17764" customFormat="false" ht="15" hidden="false" customHeight="true" outlineLevel="0" collapsed="false">
      <c r="A17764" s="10" t="n">
        <f aca="false">Einstellungen!$B$5+INT((ROW()-9)/24)</f>
        <v>46705</v>
      </c>
      <c r="B17764" s="11" t="n">
        <f aca="false">MOD(ROW()-9,24)</f>
        <v>19</v>
      </c>
      <c r="C17764" s="12"/>
      <c r="D17764" s="13" t="n">
        <f aca="false">IF(B17764&lt;5,Einstellungen!$B$3,Einstellungen!$B$4)</f>
        <v>29.13</v>
      </c>
      <c r="E17764" s="14" t="str">
        <f aca="false">IF(C17764="","",C17764*D17764/100)</f>
        <v/>
      </c>
      <c r="F17764" s="15" t="str">
        <f aca="false">IF(B17764&lt;5,"Go","Standard")</f>
        <v>Standard</v>
      </c>
    </row>
    <row r="17765" customFormat="false" ht="15" hidden="false" customHeight="true" outlineLevel="0" collapsed="false">
      <c r="A17765" s="10" t="n">
        <f aca="false">Einstellungen!$B$5+INT((ROW()-9)/24)</f>
        <v>46705</v>
      </c>
      <c r="B17765" s="11" t="n">
        <f aca="false">MOD(ROW()-9,24)</f>
        <v>20</v>
      </c>
      <c r="C17765" s="12"/>
      <c r="D17765" s="13" t="n">
        <f aca="false">IF(B17765&lt;5,Einstellungen!$B$3,Einstellungen!$B$4)</f>
        <v>29.13</v>
      </c>
      <c r="E17765" s="14" t="str">
        <f aca="false">IF(C17765="","",C17765*D17765/100)</f>
        <v/>
      </c>
      <c r="F17765" s="15" t="str">
        <f aca="false">IF(B17765&lt;5,"Go","Standard")</f>
        <v>Standard</v>
      </c>
    </row>
    <row r="17766" customFormat="false" ht="15" hidden="false" customHeight="true" outlineLevel="0" collapsed="false">
      <c r="A17766" s="10" t="n">
        <f aca="false">Einstellungen!$B$5+INT((ROW()-9)/24)</f>
        <v>46705</v>
      </c>
      <c r="B17766" s="11" t="n">
        <f aca="false">MOD(ROW()-9,24)</f>
        <v>21</v>
      </c>
      <c r="C17766" s="12"/>
      <c r="D17766" s="13" t="n">
        <f aca="false">IF(B17766&lt;5,Einstellungen!$B$3,Einstellungen!$B$4)</f>
        <v>29.13</v>
      </c>
      <c r="E17766" s="14" t="str">
        <f aca="false">IF(C17766="","",C17766*D17766/100)</f>
        <v/>
      </c>
      <c r="F17766" s="15" t="str">
        <f aca="false">IF(B17766&lt;5,"Go","Standard")</f>
        <v>Standard</v>
      </c>
    </row>
    <row r="17767" customFormat="false" ht="15" hidden="false" customHeight="true" outlineLevel="0" collapsed="false">
      <c r="A17767" s="10" t="n">
        <f aca="false">Einstellungen!$B$5+INT((ROW()-9)/24)</f>
        <v>46705</v>
      </c>
      <c r="B17767" s="11" t="n">
        <f aca="false">MOD(ROW()-9,24)</f>
        <v>22</v>
      </c>
      <c r="C17767" s="12"/>
      <c r="D17767" s="13" t="n">
        <f aca="false">IF(B17767&lt;5,Einstellungen!$B$3,Einstellungen!$B$4)</f>
        <v>29.13</v>
      </c>
      <c r="E17767" s="14" t="str">
        <f aca="false">IF(C17767="","",C17767*D17767/100)</f>
        <v/>
      </c>
      <c r="F17767" s="15" t="str">
        <f aca="false">IF(B17767&lt;5,"Go","Standard")</f>
        <v>Standard</v>
      </c>
    </row>
    <row r="17768" customFormat="false" ht="15" hidden="false" customHeight="true" outlineLevel="0" collapsed="false">
      <c r="A17768" s="10" t="n">
        <f aca="false">Einstellungen!$B$5+INT((ROW()-9)/24)</f>
        <v>46705</v>
      </c>
      <c r="B17768" s="11" t="n">
        <f aca="false">MOD(ROW()-9,24)</f>
        <v>23</v>
      </c>
      <c r="C17768" s="12"/>
      <c r="D17768" s="13" t="n">
        <f aca="false">IF(B17768&lt;5,Einstellungen!$B$3,Einstellungen!$B$4)</f>
        <v>29.13</v>
      </c>
      <c r="E17768" s="14" t="str">
        <f aca="false">IF(C17768="","",C17768*D17768/100)</f>
        <v/>
      </c>
      <c r="F17768" s="15" t="str">
        <f aca="false">IF(B17768&lt;5,"Go","Standard")</f>
        <v>Standard</v>
      </c>
    </row>
    <row r="17769" customFormat="false" ht="15" hidden="false" customHeight="true" outlineLevel="0" collapsed="false">
      <c r="A17769" s="10" t="n">
        <f aca="false">Einstellungen!$B$5+INT((ROW()-9)/24)</f>
        <v>46706</v>
      </c>
      <c r="B17769" s="11" t="n">
        <f aca="false">MOD(ROW()-9,24)</f>
        <v>0</v>
      </c>
      <c r="C17769" s="12"/>
      <c r="D17769" s="13" t="n">
        <f aca="false">IF(B17769&lt;5,Einstellungen!$B$3,Einstellungen!$B$4)</f>
        <v>15.92</v>
      </c>
      <c r="E17769" s="14" t="str">
        <f aca="false">IF(C17769="","",C17769*D17769/100)</f>
        <v/>
      </c>
      <c r="F17769" s="15" t="str">
        <f aca="false">IF(B17769&lt;5,"Go","Standard")</f>
        <v>Go</v>
      </c>
    </row>
    <row r="17770" customFormat="false" ht="15" hidden="false" customHeight="true" outlineLevel="0" collapsed="false">
      <c r="A17770" s="10" t="n">
        <f aca="false">Einstellungen!$B$5+INT((ROW()-9)/24)</f>
        <v>46706</v>
      </c>
      <c r="B17770" s="11" t="n">
        <f aca="false">MOD(ROW()-9,24)</f>
        <v>1</v>
      </c>
      <c r="C17770" s="12"/>
      <c r="D17770" s="13" t="n">
        <f aca="false">IF(B17770&lt;5,Einstellungen!$B$3,Einstellungen!$B$4)</f>
        <v>15.92</v>
      </c>
      <c r="E17770" s="14" t="str">
        <f aca="false">IF(C17770="","",C17770*D17770/100)</f>
        <v/>
      </c>
      <c r="F17770" s="15" t="str">
        <f aca="false">IF(B17770&lt;5,"Go","Standard")</f>
        <v>Go</v>
      </c>
    </row>
    <row r="17771" customFormat="false" ht="15" hidden="false" customHeight="true" outlineLevel="0" collapsed="false">
      <c r="A17771" s="10" t="n">
        <f aca="false">Einstellungen!$B$5+INT((ROW()-9)/24)</f>
        <v>46706</v>
      </c>
      <c r="B17771" s="11" t="n">
        <f aca="false">MOD(ROW()-9,24)</f>
        <v>2</v>
      </c>
      <c r="C17771" s="12"/>
      <c r="D17771" s="13" t="n">
        <f aca="false">IF(B17771&lt;5,Einstellungen!$B$3,Einstellungen!$B$4)</f>
        <v>15.92</v>
      </c>
      <c r="E17771" s="14" t="str">
        <f aca="false">IF(C17771="","",C17771*D17771/100)</f>
        <v/>
      </c>
      <c r="F17771" s="15" t="str">
        <f aca="false">IF(B17771&lt;5,"Go","Standard")</f>
        <v>Go</v>
      </c>
    </row>
    <row r="17772" customFormat="false" ht="15" hidden="false" customHeight="true" outlineLevel="0" collapsed="false">
      <c r="A17772" s="10" t="n">
        <f aca="false">Einstellungen!$B$5+INT((ROW()-9)/24)</f>
        <v>46706</v>
      </c>
      <c r="B17772" s="11" t="n">
        <f aca="false">MOD(ROW()-9,24)</f>
        <v>3</v>
      </c>
      <c r="C17772" s="12"/>
      <c r="D17772" s="13" t="n">
        <f aca="false">IF(B17772&lt;5,Einstellungen!$B$3,Einstellungen!$B$4)</f>
        <v>15.92</v>
      </c>
      <c r="E17772" s="14" t="str">
        <f aca="false">IF(C17772="","",C17772*D17772/100)</f>
        <v/>
      </c>
      <c r="F17772" s="15" t="str">
        <f aca="false">IF(B17772&lt;5,"Go","Standard")</f>
        <v>Go</v>
      </c>
    </row>
    <row r="17773" customFormat="false" ht="15" hidden="false" customHeight="true" outlineLevel="0" collapsed="false">
      <c r="A17773" s="10" t="n">
        <f aca="false">Einstellungen!$B$5+INT((ROW()-9)/24)</f>
        <v>46706</v>
      </c>
      <c r="B17773" s="11" t="n">
        <f aca="false">MOD(ROW()-9,24)</f>
        <v>4</v>
      </c>
      <c r="C17773" s="12"/>
      <c r="D17773" s="13" t="n">
        <f aca="false">IF(B17773&lt;5,Einstellungen!$B$3,Einstellungen!$B$4)</f>
        <v>15.92</v>
      </c>
      <c r="E17773" s="14" t="str">
        <f aca="false">IF(C17773="","",C17773*D17773/100)</f>
        <v/>
      </c>
      <c r="F17773" s="15" t="str">
        <f aca="false">IF(B17773&lt;5,"Go","Standard")</f>
        <v>Go</v>
      </c>
    </row>
    <row r="17774" customFormat="false" ht="15" hidden="false" customHeight="true" outlineLevel="0" collapsed="false">
      <c r="A17774" s="10" t="n">
        <f aca="false">Einstellungen!$B$5+INT((ROW()-9)/24)</f>
        <v>46706</v>
      </c>
      <c r="B17774" s="11" t="n">
        <f aca="false">MOD(ROW()-9,24)</f>
        <v>5</v>
      </c>
      <c r="C17774" s="12"/>
      <c r="D17774" s="13" t="n">
        <f aca="false">IF(B17774&lt;5,Einstellungen!$B$3,Einstellungen!$B$4)</f>
        <v>29.13</v>
      </c>
      <c r="E17774" s="14" t="str">
        <f aca="false">IF(C17774="","",C17774*D17774/100)</f>
        <v/>
      </c>
      <c r="F17774" s="15" t="str">
        <f aca="false">IF(B17774&lt;5,"Go","Standard")</f>
        <v>Standard</v>
      </c>
    </row>
    <row r="17775" customFormat="false" ht="15" hidden="false" customHeight="true" outlineLevel="0" collapsed="false">
      <c r="A17775" s="10" t="n">
        <f aca="false">Einstellungen!$B$5+INT((ROW()-9)/24)</f>
        <v>46706</v>
      </c>
      <c r="B17775" s="11" t="n">
        <f aca="false">MOD(ROW()-9,24)</f>
        <v>6</v>
      </c>
      <c r="C17775" s="12"/>
      <c r="D17775" s="13" t="n">
        <f aca="false">IF(B17775&lt;5,Einstellungen!$B$3,Einstellungen!$B$4)</f>
        <v>29.13</v>
      </c>
      <c r="E17775" s="14" t="str">
        <f aca="false">IF(C17775="","",C17775*D17775/100)</f>
        <v/>
      </c>
      <c r="F17775" s="15" t="str">
        <f aca="false">IF(B17775&lt;5,"Go","Standard")</f>
        <v>Standard</v>
      </c>
    </row>
    <row r="17776" customFormat="false" ht="15" hidden="false" customHeight="true" outlineLevel="0" collapsed="false">
      <c r="A17776" s="10" t="n">
        <f aca="false">Einstellungen!$B$5+INT((ROW()-9)/24)</f>
        <v>46706</v>
      </c>
      <c r="B17776" s="11" t="n">
        <f aca="false">MOD(ROW()-9,24)</f>
        <v>7</v>
      </c>
      <c r="C17776" s="12"/>
      <c r="D17776" s="13" t="n">
        <f aca="false">IF(B17776&lt;5,Einstellungen!$B$3,Einstellungen!$B$4)</f>
        <v>29.13</v>
      </c>
      <c r="E17776" s="14" t="str">
        <f aca="false">IF(C17776="","",C17776*D17776/100)</f>
        <v/>
      </c>
      <c r="F17776" s="15" t="str">
        <f aca="false">IF(B17776&lt;5,"Go","Standard")</f>
        <v>Standard</v>
      </c>
    </row>
    <row r="17777" customFormat="false" ht="15" hidden="false" customHeight="true" outlineLevel="0" collapsed="false">
      <c r="A17777" s="10" t="n">
        <f aca="false">Einstellungen!$B$5+INT((ROW()-9)/24)</f>
        <v>46706</v>
      </c>
      <c r="B17777" s="11" t="n">
        <f aca="false">MOD(ROW()-9,24)</f>
        <v>8</v>
      </c>
      <c r="C17777" s="12"/>
      <c r="D17777" s="13" t="n">
        <f aca="false">IF(B17777&lt;5,Einstellungen!$B$3,Einstellungen!$B$4)</f>
        <v>29.13</v>
      </c>
      <c r="E17777" s="14" t="str">
        <f aca="false">IF(C17777="","",C17777*D17777/100)</f>
        <v/>
      </c>
      <c r="F17777" s="15" t="str">
        <f aca="false">IF(B17777&lt;5,"Go","Standard")</f>
        <v>Standard</v>
      </c>
    </row>
    <row r="17778" customFormat="false" ht="15" hidden="false" customHeight="true" outlineLevel="0" collapsed="false">
      <c r="A17778" s="10" t="n">
        <f aca="false">Einstellungen!$B$5+INT((ROW()-9)/24)</f>
        <v>46706</v>
      </c>
      <c r="B17778" s="11" t="n">
        <f aca="false">MOD(ROW()-9,24)</f>
        <v>9</v>
      </c>
      <c r="C17778" s="12"/>
      <c r="D17778" s="13" t="n">
        <f aca="false">IF(B17778&lt;5,Einstellungen!$B$3,Einstellungen!$B$4)</f>
        <v>29.13</v>
      </c>
      <c r="E17778" s="14" t="str">
        <f aca="false">IF(C17778="","",C17778*D17778/100)</f>
        <v/>
      </c>
      <c r="F17778" s="15" t="str">
        <f aca="false">IF(B17778&lt;5,"Go","Standard")</f>
        <v>Standard</v>
      </c>
    </row>
    <row r="17779" customFormat="false" ht="15" hidden="false" customHeight="true" outlineLevel="0" collapsed="false">
      <c r="A17779" s="10" t="n">
        <f aca="false">Einstellungen!$B$5+INT((ROW()-9)/24)</f>
        <v>46706</v>
      </c>
      <c r="B17779" s="11" t="n">
        <f aca="false">MOD(ROW()-9,24)</f>
        <v>10</v>
      </c>
      <c r="C17779" s="12"/>
      <c r="D17779" s="13" t="n">
        <f aca="false">IF(B17779&lt;5,Einstellungen!$B$3,Einstellungen!$B$4)</f>
        <v>29.13</v>
      </c>
      <c r="E17779" s="14" t="str">
        <f aca="false">IF(C17779="","",C17779*D17779/100)</f>
        <v/>
      </c>
      <c r="F17779" s="15" t="str">
        <f aca="false">IF(B17779&lt;5,"Go","Standard")</f>
        <v>Standard</v>
      </c>
    </row>
    <row r="17780" customFormat="false" ht="15" hidden="false" customHeight="true" outlineLevel="0" collapsed="false">
      <c r="A17780" s="10" t="n">
        <f aca="false">Einstellungen!$B$5+INT((ROW()-9)/24)</f>
        <v>46706</v>
      </c>
      <c r="B17780" s="11" t="n">
        <f aca="false">MOD(ROW()-9,24)</f>
        <v>11</v>
      </c>
      <c r="C17780" s="12"/>
      <c r="D17780" s="13" t="n">
        <f aca="false">IF(B17780&lt;5,Einstellungen!$B$3,Einstellungen!$B$4)</f>
        <v>29.13</v>
      </c>
      <c r="E17780" s="14" t="str">
        <f aca="false">IF(C17780="","",C17780*D17780/100)</f>
        <v/>
      </c>
      <c r="F17780" s="15" t="str">
        <f aca="false">IF(B17780&lt;5,"Go","Standard")</f>
        <v>Standard</v>
      </c>
    </row>
    <row r="17781" customFormat="false" ht="15" hidden="false" customHeight="true" outlineLevel="0" collapsed="false">
      <c r="A17781" s="10" t="n">
        <f aca="false">Einstellungen!$B$5+INT((ROW()-9)/24)</f>
        <v>46706</v>
      </c>
      <c r="B17781" s="11" t="n">
        <f aca="false">MOD(ROW()-9,24)</f>
        <v>12</v>
      </c>
      <c r="C17781" s="12"/>
      <c r="D17781" s="13" t="n">
        <f aca="false">IF(B17781&lt;5,Einstellungen!$B$3,Einstellungen!$B$4)</f>
        <v>29.13</v>
      </c>
      <c r="E17781" s="14" t="str">
        <f aca="false">IF(C17781="","",C17781*D17781/100)</f>
        <v/>
      </c>
      <c r="F17781" s="15" t="str">
        <f aca="false">IF(B17781&lt;5,"Go","Standard")</f>
        <v>Standard</v>
      </c>
    </row>
    <row r="17782" customFormat="false" ht="15" hidden="false" customHeight="true" outlineLevel="0" collapsed="false">
      <c r="A17782" s="10" t="n">
        <f aca="false">Einstellungen!$B$5+INT((ROW()-9)/24)</f>
        <v>46706</v>
      </c>
      <c r="B17782" s="11" t="n">
        <f aca="false">MOD(ROW()-9,24)</f>
        <v>13</v>
      </c>
      <c r="C17782" s="12"/>
      <c r="D17782" s="13" t="n">
        <f aca="false">IF(B17782&lt;5,Einstellungen!$B$3,Einstellungen!$B$4)</f>
        <v>29.13</v>
      </c>
      <c r="E17782" s="14" t="str">
        <f aca="false">IF(C17782="","",C17782*D17782/100)</f>
        <v/>
      </c>
      <c r="F17782" s="15" t="str">
        <f aca="false">IF(B17782&lt;5,"Go","Standard")</f>
        <v>Standard</v>
      </c>
    </row>
    <row r="17783" customFormat="false" ht="15" hidden="false" customHeight="true" outlineLevel="0" collapsed="false">
      <c r="A17783" s="10" t="n">
        <f aca="false">Einstellungen!$B$5+INT((ROW()-9)/24)</f>
        <v>46706</v>
      </c>
      <c r="B17783" s="11" t="n">
        <f aca="false">MOD(ROW()-9,24)</f>
        <v>14</v>
      </c>
      <c r="C17783" s="12"/>
      <c r="D17783" s="13" t="n">
        <f aca="false">IF(B17783&lt;5,Einstellungen!$B$3,Einstellungen!$B$4)</f>
        <v>29.13</v>
      </c>
      <c r="E17783" s="14" t="str">
        <f aca="false">IF(C17783="","",C17783*D17783/100)</f>
        <v/>
      </c>
      <c r="F17783" s="15" t="str">
        <f aca="false">IF(B17783&lt;5,"Go","Standard")</f>
        <v>Standard</v>
      </c>
    </row>
    <row r="17784" customFormat="false" ht="15" hidden="false" customHeight="true" outlineLevel="0" collapsed="false">
      <c r="A17784" s="10" t="n">
        <f aca="false">Einstellungen!$B$5+INT((ROW()-9)/24)</f>
        <v>46706</v>
      </c>
      <c r="B17784" s="11" t="n">
        <f aca="false">MOD(ROW()-9,24)</f>
        <v>15</v>
      </c>
      <c r="C17784" s="12"/>
      <c r="D17784" s="13" t="n">
        <f aca="false">IF(B17784&lt;5,Einstellungen!$B$3,Einstellungen!$B$4)</f>
        <v>29.13</v>
      </c>
      <c r="E17784" s="14" t="str">
        <f aca="false">IF(C17784="","",C17784*D17784/100)</f>
        <v/>
      </c>
      <c r="F17784" s="15" t="str">
        <f aca="false">IF(B17784&lt;5,"Go","Standard")</f>
        <v>Standard</v>
      </c>
    </row>
    <row r="17785" customFormat="false" ht="15" hidden="false" customHeight="true" outlineLevel="0" collapsed="false">
      <c r="A17785" s="10" t="n">
        <f aca="false">Einstellungen!$B$5+INT((ROW()-9)/24)</f>
        <v>46706</v>
      </c>
      <c r="B17785" s="11" t="n">
        <f aca="false">MOD(ROW()-9,24)</f>
        <v>16</v>
      </c>
      <c r="C17785" s="12"/>
      <c r="D17785" s="13" t="n">
        <f aca="false">IF(B17785&lt;5,Einstellungen!$B$3,Einstellungen!$B$4)</f>
        <v>29.13</v>
      </c>
      <c r="E17785" s="14" t="str">
        <f aca="false">IF(C17785="","",C17785*D17785/100)</f>
        <v/>
      </c>
      <c r="F17785" s="15" t="str">
        <f aca="false">IF(B17785&lt;5,"Go","Standard")</f>
        <v>Standard</v>
      </c>
    </row>
    <row r="17786" customFormat="false" ht="15" hidden="false" customHeight="true" outlineLevel="0" collapsed="false">
      <c r="A17786" s="10" t="n">
        <f aca="false">Einstellungen!$B$5+INT((ROW()-9)/24)</f>
        <v>46706</v>
      </c>
      <c r="B17786" s="11" t="n">
        <f aca="false">MOD(ROW()-9,24)</f>
        <v>17</v>
      </c>
      <c r="C17786" s="12"/>
      <c r="D17786" s="13" t="n">
        <f aca="false">IF(B17786&lt;5,Einstellungen!$B$3,Einstellungen!$B$4)</f>
        <v>29.13</v>
      </c>
      <c r="E17786" s="14" t="str">
        <f aca="false">IF(C17786="","",C17786*D17786/100)</f>
        <v/>
      </c>
      <c r="F17786" s="15" t="str">
        <f aca="false">IF(B17786&lt;5,"Go","Standard")</f>
        <v>Standard</v>
      </c>
    </row>
    <row r="17787" customFormat="false" ht="15" hidden="false" customHeight="true" outlineLevel="0" collapsed="false">
      <c r="A17787" s="10" t="n">
        <f aca="false">Einstellungen!$B$5+INT((ROW()-9)/24)</f>
        <v>46706</v>
      </c>
      <c r="B17787" s="11" t="n">
        <f aca="false">MOD(ROW()-9,24)</f>
        <v>18</v>
      </c>
      <c r="C17787" s="12"/>
      <c r="D17787" s="13" t="n">
        <f aca="false">IF(B17787&lt;5,Einstellungen!$B$3,Einstellungen!$B$4)</f>
        <v>29.13</v>
      </c>
      <c r="E17787" s="14" t="str">
        <f aca="false">IF(C17787="","",C17787*D17787/100)</f>
        <v/>
      </c>
      <c r="F17787" s="15" t="str">
        <f aca="false">IF(B17787&lt;5,"Go","Standard")</f>
        <v>Standard</v>
      </c>
    </row>
    <row r="17788" customFormat="false" ht="15" hidden="false" customHeight="true" outlineLevel="0" collapsed="false">
      <c r="A17788" s="10" t="n">
        <f aca="false">Einstellungen!$B$5+INT((ROW()-9)/24)</f>
        <v>46706</v>
      </c>
      <c r="B17788" s="11" t="n">
        <f aca="false">MOD(ROW()-9,24)</f>
        <v>19</v>
      </c>
      <c r="C17788" s="12"/>
      <c r="D17788" s="13" t="n">
        <f aca="false">IF(B17788&lt;5,Einstellungen!$B$3,Einstellungen!$B$4)</f>
        <v>29.13</v>
      </c>
      <c r="E17788" s="14" t="str">
        <f aca="false">IF(C17788="","",C17788*D17788/100)</f>
        <v/>
      </c>
      <c r="F17788" s="15" t="str">
        <f aca="false">IF(B17788&lt;5,"Go","Standard")</f>
        <v>Standard</v>
      </c>
    </row>
    <row r="17789" customFormat="false" ht="15" hidden="false" customHeight="true" outlineLevel="0" collapsed="false">
      <c r="A17789" s="10" t="n">
        <f aca="false">Einstellungen!$B$5+INT((ROW()-9)/24)</f>
        <v>46706</v>
      </c>
      <c r="B17789" s="11" t="n">
        <f aca="false">MOD(ROW()-9,24)</f>
        <v>20</v>
      </c>
      <c r="C17789" s="12"/>
      <c r="D17789" s="13" t="n">
        <f aca="false">IF(B17789&lt;5,Einstellungen!$B$3,Einstellungen!$B$4)</f>
        <v>29.13</v>
      </c>
      <c r="E17789" s="14" t="str">
        <f aca="false">IF(C17789="","",C17789*D17789/100)</f>
        <v/>
      </c>
      <c r="F17789" s="15" t="str">
        <f aca="false">IF(B17789&lt;5,"Go","Standard")</f>
        <v>Standard</v>
      </c>
    </row>
    <row r="17790" customFormat="false" ht="15" hidden="false" customHeight="true" outlineLevel="0" collapsed="false">
      <c r="A17790" s="10" t="n">
        <f aca="false">Einstellungen!$B$5+INT((ROW()-9)/24)</f>
        <v>46706</v>
      </c>
      <c r="B17790" s="11" t="n">
        <f aca="false">MOD(ROW()-9,24)</f>
        <v>21</v>
      </c>
      <c r="C17790" s="12"/>
      <c r="D17790" s="13" t="n">
        <f aca="false">IF(B17790&lt;5,Einstellungen!$B$3,Einstellungen!$B$4)</f>
        <v>29.13</v>
      </c>
      <c r="E17790" s="14" t="str">
        <f aca="false">IF(C17790="","",C17790*D17790/100)</f>
        <v/>
      </c>
      <c r="F17790" s="15" t="str">
        <f aca="false">IF(B17790&lt;5,"Go","Standard")</f>
        <v>Standard</v>
      </c>
    </row>
    <row r="17791" customFormat="false" ht="15" hidden="false" customHeight="true" outlineLevel="0" collapsed="false">
      <c r="A17791" s="10" t="n">
        <f aca="false">Einstellungen!$B$5+INT((ROW()-9)/24)</f>
        <v>46706</v>
      </c>
      <c r="B17791" s="11" t="n">
        <f aca="false">MOD(ROW()-9,24)</f>
        <v>22</v>
      </c>
      <c r="C17791" s="12"/>
      <c r="D17791" s="13" t="n">
        <f aca="false">IF(B17791&lt;5,Einstellungen!$B$3,Einstellungen!$B$4)</f>
        <v>29.13</v>
      </c>
      <c r="E17791" s="14" t="str">
        <f aca="false">IF(C17791="","",C17791*D17791/100)</f>
        <v/>
      </c>
      <c r="F17791" s="15" t="str">
        <f aca="false">IF(B17791&lt;5,"Go","Standard")</f>
        <v>Standard</v>
      </c>
    </row>
    <row r="17792" customFormat="false" ht="15" hidden="false" customHeight="true" outlineLevel="0" collapsed="false">
      <c r="A17792" s="10" t="n">
        <f aca="false">Einstellungen!$B$5+INT((ROW()-9)/24)</f>
        <v>46706</v>
      </c>
      <c r="B17792" s="11" t="n">
        <f aca="false">MOD(ROW()-9,24)</f>
        <v>23</v>
      </c>
      <c r="C17792" s="12"/>
      <c r="D17792" s="13" t="n">
        <f aca="false">IF(B17792&lt;5,Einstellungen!$B$3,Einstellungen!$B$4)</f>
        <v>29.13</v>
      </c>
      <c r="E17792" s="14" t="str">
        <f aca="false">IF(C17792="","",C17792*D17792/100)</f>
        <v/>
      </c>
      <c r="F17792" s="15" t="str">
        <f aca="false">IF(B17792&lt;5,"Go","Standard")</f>
        <v>Standard</v>
      </c>
    </row>
    <row r="17793" customFormat="false" ht="15" hidden="false" customHeight="true" outlineLevel="0" collapsed="false">
      <c r="A17793" s="10" t="n">
        <f aca="false">Einstellungen!$B$5+INT((ROW()-9)/24)</f>
        <v>46707</v>
      </c>
      <c r="B17793" s="11" t="n">
        <f aca="false">MOD(ROW()-9,24)</f>
        <v>0</v>
      </c>
      <c r="C17793" s="12"/>
      <c r="D17793" s="13" t="n">
        <f aca="false">IF(B17793&lt;5,Einstellungen!$B$3,Einstellungen!$B$4)</f>
        <v>15.92</v>
      </c>
      <c r="E17793" s="14" t="str">
        <f aca="false">IF(C17793="","",C17793*D17793/100)</f>
        <v/>
      </c>
      <c r="F17793" s="15" t="str">
        <f aca="false">IF(B17793&lt;5,"Go","Standard")</f>
        <v>Go</v>
      </c>
    </row>
    <row r="17794" customFormat="false" ht="15" hidden="false" customHeight="true" outlineLevel="0" collapsed="false">
      <c r="A17794" s="10" t="n">
        <f aca="false">Einstellungen!$B$5+INT((ROW()-9)/24)</f>
        <v>46707</v>
      </c>
      <c r="B17794" s="11" t="n">
        <f aca="false">MOD(ROW()-9,24)</f>
        <v>1</v>
      </c>
      <c r="C17794" s="12"/>
      <c r="D17794" s="13" t="n">
        <f aca="false">IF(B17794&lt;5,Einstellungen!$B$3,Einstellungen!$B$4)</f>
        <v>15.92</v>
      </c>
      <c r="E17794" s="14" t="str">
        <f aca="false">IF(C17794="","",C17794*D17794/100)</f>
        <v/>
      </c>
      <c r="F17794" s="15" t="str">
        <f aca="false">IF(B17794&lt;5,"Go","Standard")</f>
        <v>Go</v>
      </c>
    </row>
    <row r="17795" customFormat="false" ht="15" hidden="false" customHeight="true" outlineLevel="0" collapsed="false">
      <c r="A17795" s="10" t="n">
        <f aca="false">Einstellungen!$B$5+INT((ROW()-9)/24)</f>
        <v>46707</v>
      </c>
      <c r="B17795" s="11" t="n">
        <f aca="false">MOD(ROW()-9,24)</f>
        <v>2</v>
      </c>
      <c r="C17795" s="12"/>
      <c r="D17795" s="13" t="n">
        <f aca="false">IF(B17795&lt;5,Einstellungen!$B$3,Einstellungen!$B$4)</f>
        <v>15.92</v>
      </c>
      <c r="E17795" s="14" t="str">
        <f aca="false">IF(C17795="","",C17795*D17795/100)</f>
        <v/>
      </c>
      <c r="F17795" s="15" t="str">
        <f aca="false">IF(B17795&lt;5,"Go","Standard")</f>
        <v>Go</v>
      </c>
    </row>
    <row r="17796" customFormat="false" ht="15" hidden="false" customHeight="true" outlineLevel="0" collapsed="false">
      <c r="A17796" s="10" t="n">
        <f aca="false">Einstellungen!$B$5+INT((ROW()-9)/24)</f>
        <v>46707</v>
      </c>
      <c r="B17796" s="11" t="n">
        <f aca="false">MOD(ROW()-9,24)</f>
        <v>3</v>
      </c>
      <c r="C17796" s="12"/>
      <c r="D17796" s="13" t="n">
        <f aca="false">IF(B17796&lt;5,Einstellungen!$B$3,Einstellungen!$B$4)</f>
        <v>15.92</v>
      </c>
      <c r="E17796" s="14" t="str">
        <f aca="false">IF(C17796="","",C17796*D17796/100)</f>
        <v/>
      </c>
      <c r="F17796" s="15" t="str">
        <f aca="false">IF(B17796&lt;5,"Go","Standard")</f>
        <v>Go</v>
      </c>
    </row>
    <row r="17797" customFormat="false" ht="15" hidden="false" customHeight="true" outlineLevel="0" collapsed="false">
      <c r="A17797" s="10" t="n">
        <f aca="false">Einstellungen!$B$5+INT((ROW()-9)/24)</f>
        <v>46707</v>
      </c>
      <c r="B17797" s="11" t="n">
        <f aca="false">MOD(ROW()-9,24)</f>
        <v>4</v>
      </c>
      <c r="C17797" s="12"/>
      <c r="D17797" s="13" t="n">
        <f aca="false">IF(B17797&lt;5,Einstellungen!$B$3,Einstellungen!$B$4)</f>
        <v>15.92</v>
      </c>
      <c r="E17797" s="14" t="str">
        <f aca="false">IF(C17797="","",C17797*D17797/100)</f>
        <v/>
      </c>
      <c r="F17797" s="15" t="str">
        <f aca="false">IF(B17797&lt;5,"Go","Standard")</f>
        <v>Go</v>
      </c>
    </row>
    <row r="17798" customFormat="false" ht="15" hidden="false" customHeight="true" outlineLevel="0" collapsed="false">
      <c r="A17798" s="10" t="n">
        <f aca="false">Einstellungen!$B$5+INT((ROW()-9)/24)</f>
        <v>46707</v>
      </c>
      <c r="B17798" s="11" t="n">
        <f aca="false">MOD(ROW()-9,24)</f>
        <v>5</v>
      </c>
      <c r="C17798" s="12"/>
      <c r="D17798" s="13" t="n">
        <f aca="false">IF(B17798&lt;5,Einstellungen!$B$3,Einstellungen!$B$4)</f>
        <v>29.13</v>
      </c>
      <c r="E17798" s="14" t="str">
        <f aca="false">IF(C17798="","",C17798*D17798/100)</f>
        <v/>
      </c>
      <c r="F17798" s="15" t="str">
        <f aca="false">IF(B17798&lt;5,"Go","Standard")</f>
        <v>Standard</v>
      </c>
    </row>
    <row r="17799" customFormat="false" ht="15" hidden="false" customHeight="true" outlineLevel="0" collapsed="false">
      <c r="A17799" s="10" t="n">
        <f aca="false">Einstellungen!$B$5+INT((ROW()-9)/24)</f>
        <v>46707</v>
      </c>
      <c r="B17799" s="11" t="n">
        <f aca="false">MOD(ROW()-9,24)</f>
        <v>6</v>
      </c>
      <c r="C17799" s="12"/>
      <c r="D17799" s="13" t="n">
        <f aca="false">IF(B17799&lt;5,Einstellungen!$B$3,Einstellungen!$B$4)</f>
        <v>29.13</v>
      </c>
      <c r="E17799" s="14" t="str">
        <f aca="false">IF(C17799="","",C17799*D17799/100)</f>
        <v/>
      </c>
      <c r="F17799" s="15" t="str">
        <f aca="false">IF(B17799&lt;5,"Go","Standard")</f>
        <v>Standard</v>
      </c>
    </row>
    <row r="17800" customFormat="false" ht="15" hidden="false" customHeight="true" outlineLevel="0" collapsed="false">
      <c r="A17800" s="10" t="n">
        <f aca="false">Einstellungen!$B$5+INT((ROW()-9)/24)</f>
        <v>46707</v>
      </c>
      <c r="B17800" s="11" t="n">
        <f aca="false">MOD(ROW()-9,24)</f>
        <v>7</v>
      </c>
      <c r="C17800" s="12"/>
      <c r="D17800" s="13" t="n">
        <f aca="false">IF(B17800&lt;5,Einstellungen!$B$3,Einstellungen!$B$4)</f>
        <v>29.13</v>
      </c>
      <c r="E17800" s="14" t="str">
        <f aca="false">IF(C17800="","",C17800*D17800/100)</f>
        <v/>
      </c>
      <c r="F17800" s="15" t="str">
        <f aca="false">IF(B17800&lt;5,"Go","Standard")</f>
        <v>Standard</v>
      </c>
    </row>
    <row r="17801" customFormat="false" ht="15" hidden="false" customHeight="true" outlineLevel="0" collapsed="false">
      <c r="A17801" s="10" t="n">
        <f aca="false">Einstellungen!$B$5+INT((ROW()-9)/24)</f>
        <v>46707</v>
      </c>
      <c r="B17801" s="11" t="n">
        <f aca="false">MOD(ROW()-9,24)</f>
        <v>8</v>
      </c>
      <c r="C17801" s="12"/>
      <c r="D17801" s="13" t="n">
        <f aca="false">IF(B17801&lt;5,Einstellungen!$B$3,Einstellungen!$B$4)</f>
        <v>29.13</v>
      </c>
      <c r="E17801" s="14" t="str">
        <f aca="false">IF(C17801="","",C17801*D17801/100)</f>
        <v/>
      </c>
      <c r="F17801" s="15" t="str">
        <f aca="false">IF(B17801&lt;5,"Go","Standard")</f>
        <v>Standard</v>
      </c>
    </row>
    <row r="17802" customFormat="false" ht="15" hidden="false" customHeight="true" outlineLevel="0" collapsed="false">
      <c r="A17802" s="10" t="n">
        <f aca="false">Einstellungen!$B$5+INT((ROW()-9)/24)</f>
        <v>46707</v>
      </c>
      <c r="B17802" s="11" t="n">
        <f aca="false">MOD(ROW()-9,24)</f>
        <v>9</v>
      </c>
      <c r="C17802" s="12"/>
      <c r="D17802" s="13" t="n">
        <f aca="false">IF(B17802&lt;5,Einstellungen!$B$3,Einstellungen!$B$4)</f>
        <v>29.13</v>
      </c>
      <c r="E17802" s="14" t="str">
        <f aca="false">IF(C17802="","",C17802*D17802/100)</f>
        <v/>
      </c>
      <c r="F17802" s="15" t="str">
        <f aca="false">IF(B17802&lt;5,"Go","Standard")</f>
        <v>Standard</v>
      </c>
    </row>
    <row r="17803" customFormat="false" ht="15" hidden="false" customHeight="true" outlineLevel="0" collapsed="false">
      <c r="A17803" s="10" t="n">
        <f aca="false">Einstellungen!$B$5+INT((ROW()-9)/24)</f>
        <v>46707</v>
      </c>
      <c r="B17803" s="11" t="n">
        <f aca="false">MOD(ROW()-9,24)</f>
        <v>10</v>
      </c>
      <c r="C17803" s="12"/>
      <c r="D17803" s="13" t="n">
        <f aca="false">IF(B17803&lt;5,Einstellungen!$B$3,Einstellungen!$B$4)</f>
        <v>29.13</v>
      </c>
      <c r="E17803" s="14" t="str">
        <f aca="false">IF(C17803="","",C17803*D17803/100)</f>
        <v/>
      </c>
      <c r="F17803" s="15" t="str">
        <f aca="false">IF(B17803&lt;5,"Go","Standard")</f>
        <v>Standard</v>
      </c>
    </row>
    <row r="17804" customFormat="false" ht="15" hidden="false" customHeight="true" outlineLevel="0" collapsed="false">
      <c r="A17804" s="10" t="n">
        <f aca="false">Einstellungen!$B$5+INT((ROW()-9)/24)</f>
        <v>46707</v>
      </c>
      <c r="B17804" s="11" t="n">
        <f aca="false">MOD(ROW()-9,24)</f>
        <v>11</v>
      </c>
      <c r="C17804" s="12"/>
      <c r="D17804" s="13" t="n">
        <f aca="false">IF(B17804&lt;5,Einstellungen!$B$3,Einstellungen!$B$4)</f>
        <v>29.13</v>
      </c>
      <c r="E17804" s="14" t="str">
        <f aca="false">IF(C17804="","",C17804*D17804/100)</f>
        <v/>
      </c>
      <c r="F17804" s="15" t="str">
        <f aca="false">IF(B17804&lt;5,"Go","Standard")</f>
        <v>Standard</v>
      </c>
    </row>
    <row r="17805" customFormat="false" ht="15" hidden="false" customHeight="true" outlineLevel="0" collapsed="false">
      <c r="A17805" s="10" t="n">
        <f aca="false">Einstellungen!$B$5+INT((ROW()-9)/24)</f>
        <v>46707</v>
      </c>
      <c r="B17805" s="11" t="n">
        <f aca="false">MOD(ROW()-9,24)</f>
        <v>12</v>
      </c>
      <c r="C17805" s="12"/>
      <c r="D17805" s="13" t="n">
        <f aca="false">IF(B17805&lt;5,Einstellungen!$B$3,Einstellungen!$B$4)</f>
        <v>29.13</v>
      </c>
      <c r="E17805" s="14" t="str">
        <f aca="false">IF(C17805="","",C17805*D17805/100)</f>
        <v/>
      </c>
      <c r="F17805" s="15" t="str">
        <f aca="false">IF(B17805&lt;5,"Go","Standard")</f>
        <v>Standard</v>
      </c>
    </row>
    <row r="17806" customFormat="false" ht="15" hidden="false" customHeight="true" outlineLevel="0" collapsed="false">
      <c r="A17806" s="10" t="n">
        <f aca="false">Einstellungen!$B$5+INT((ROW()-9)/24)</f>
        <v>46707</v>
      </c>
      <c r="B17806" s="11" t="n">
        <f aca="false">MOD(ROW()-9,24)</f>
        <v>13</v>
      </c>
      <c r="C17806" s="12"/>
      <c r="D17806" s="13" t="n">
        <f aca="false">IF(B17806&lt;5,Einstellungen!$B$3,Einstellungen!$B$4)</f>
        <v>29.13</v>
      </c>
      <c r="E17806" s="14" t="str">
        <f aca="false">IF(C17806="","",C17806*D17806/100)</f>
        <v/>
      </c>
      <c r="F17806" s="15" t="str">
        <f aca="false">IF(B17806&lt;5,"Go","Standard")</f>
        <v>Standard</v>
      </c>
    </row>
    <row r="17807" customFormat="false" ht="15" hidden="false" customHeight="true" outlineLevel="0" collapsed="false">
      <c r="A17807" s="10" t="n">
        <f aca="false">Einstellungen!$B$5+INT((ROW()-9)/24)</f>
        <v>46707</v>
      </c>
      <c r="B17807" s="11" t="n">
        <f aca="false">MOD(ROW()-9,24)</f>
        <v>14</v>
      </c>
      <c r="C17807" s="12"/>
      <c r="D17807" s="13" t="n">
        <f aca="false">IF(B17807&lt;5,Einstellungen!$B$3,Einstellungen!$B$4)</f>
        <v>29.13</v>
      </c>
      <c r="E17807" s="14" t="str">
        <f aca="false">IF(C17807="","",C17807*D17807/100)</f>
        <v/>
      </c>
      <c r="F17807" s="15" t="str">
        <f aca="false">IF(B17807&lt;5,"Go","Standard")</f>
        <v>Standard</v>
      </c>
    </row>
    <row r="17808" customFormat="false" ht="15" hidden="false" customHeight="true" outlineLevel="0" collapsed="false">
      <c r="A17808" s="10" t="n">
        <f aca="false">Einstellungen!$B$5+INT((ROW()-9)/24)</f>
        <v>46707</v>
      </c>
      <c r="B17808" s="11" t="n">
        <f aca="false">MOD(ROW()-9,24)</f>
        <v>15</v>
      </c>
      <c r="C17808" s="12"/>
      <c r="D17808" s="13" t="n">
        <f aca="false">IF(B17808&lt;5,Einstellungen!$B$3,Einstellungen!$B$4)</f>
        <v>29.13</v>
      </c>
      <c r="E17808" s="14" t="str">
        <f aca="false">IF(C17808="","",C17808*D17808/100)</f>
        <v/>
      </c>
      <c r="F17808" s="15" t="str">
        <f aca="false">IF(B17808&lt;5,"Go","Standard")</f>
        <v>Standard</v>
      </c>
    </row>
    <row r="17809" customFormat="false" ht="15" hidden="false" customHeight="true" outlineLevel="0" collapsed="false">
      <c r="A17809" s="10" t="n">
        <f aca="false">Einstellungen!$B$5+INT((ROW()-9)/24)</f>
        <v>46707</v>
      </c>
      <c r="B17809" s="11" t="n">
        <f aca="false">MOD(ROW()-9,24)</f>
        <v>16</v>
      </c>
      <c r="C17809" s="12"/>
      <c r="D17809" s="13" t="n">
        <f aca="false">IF(B17809&lt;5,Einstellungen!$B$3,Einstellungen!$B$4)</f>
        <v>29.13</v>
      </c>
      <c r="E17809" s="14" t="str">
        <f aca="false">IF(C17809="","",C17809*D17809/100)</f>
        <v/>
      </c>
      <c r="F17809" s="15" t="str">
        <f aca="false">IF(B17809&lt;5,"Go","Standard")</f>
        <v>Standard</v>
      </c>
    </row>
    <row r="17810" customFormat="false" ht="15" hidden="false" customHeight="true" outlineLevel="0" collapsed="false">
      <c r="A17810" s="10" t="n">
        <f aca="false">Einstellungen!$B$5+INT((ROW()-9)/24)</f>
        <v>46707</v>
      </c>
      <c r="B17810" s="11" t="n">
        <f aca="false">MOD(ROW()-9,24)</f>
        <v>17</v>
      </c>
      <c r="C17810" s="12"/>
      <c r="D17810" s="13" t="n">
        <f aca="false">IF(B17810&lt;5,Einstellungen!$B$3,Einstellungen!$B$4)</f>
        <v>29.13</v>
      </c>
      <c r="E17810" s="14" t="str">
        <f aca="false">IF(C17810="","",C17810*D17810/100)</f>
        <v/>
      </c>
      <c r="F17810" s="15" t="str">
        <f aca="false">IF(B17810&lt;5,"Go","Standard")</f>
        <v>Standard</v>
      </c>
    </row>
    <row r="17811" customFormat="false" ht="15" hidden="false" customHeight="true" outlineLevel="0" collapsed="false">
      <c r="A17811" s="10" t="n">
        <f aca="false">Einstellungen!$B$5+INT((ROW()-9)/24)</f>
        <v>46707</v>
      </c>
      <c r="B17811" s="11" t="n">
        <f aca="false">MOD(ROW()-9,24)</f>
        <v>18</v>
      </c>
      <c r="C17811" s="12"/>
      <c r="D17811" s="13" t="n">
        <f aca="false">IF(B17811&lt;5,Einstellungen!$B$3,Einstellungen!$B$4)</f>
        <v>29.13</v>
      </c>
      <c r="E17811" s="14" t="str">
        <f aca="false">IF(C17811="","",C17811*D17811/100)</f>
        <v/>
      </c>
      <c r="F17811" s="15" t="str">
        <f aca="false">IF(B17811&lt;5,"Go","Standard")</f>
        <v>Standard</v>
      </c>
    </row>
    <row r="17812" customFormat="false" ht="15" hidden="false" customHeight="true" outlineLevel="0" collapsed="false">
      <c r="A17812" s="10" t="n">
        <f aca="false">Einstellungen!$B$5+INT((ROW()-9)/24)</f>
        <v>46707</v>
      </c>
      <c r="B17812" s="11" t="n">
        <f aca="false">MOD(ROW()-9,24)</f>
        <v>19</v>
      </c>
      <c r="C17812" s="12"/>
      <c r="D17812" s="13" t="n">
        <f aca="false">IF(B17812&lt;5,Einstellungen!$B$3,Einstellungen!$B$4)</f>
        <v>29.13</v>
      </c>
      <c r="E17812" s="14" t="str">
        <f aca="false">IF(C17812="","",C17812*D17812/100)</f>
        <v/>
      </c>
      <c r="F17812" s="15" t="str">
        <f aca="false">IF(B17812&lt;5,"Go","Standard")</f>
        <v>Standard</v>
      </c>
    </row>
    <row r="17813" customFormat="false" ht="15" hidden="false" customHeight="true" outlineLevel="0" collapsed="false">
      <c r="A17813" s="10" t="n">
        <f aca="false">Einstellungen!$B$5+INT((ROW()-9)/24)</f>
        <v>46707</v>
      </c>
      <c r="B17813" s="11" t="n">
        <f aca="false">MOD(ROW()-9,24)</f>
        <v>20</v>
      </c>
      <c r="C17813" s="12"/>
      <c r="D17813" s="13" t="n">
        <f aca="false">IF(B17813&lt;5,Einstellungen!$B$3,Einstellungen!$B$4)</f>
        <v>29.13</v>
      </c>
      <c r="E17813" s="14" t="str">
        <f aca="false">IF(C17813="","",C17813*D17813/100)</f>
        <v/>
      </c>
      <c r="F17813" s="15" t="str">
        <f aca="false">IF(B17813&lt;5,"Go","Standard")</f>
        <v>Standard</v>
      </c>
    </row>
    <row r="17814" customFormat="false" ht="15" hidden="false" customHeight="true" outlineLevel="0" collapsed="false">
      <c r="A17814" s="10" t="n">
        <f aca="false">Einstellungen!$B$5+INT((ROW()-9)/24)</f>
        <v>46707</v>
      </c>
      <c r="B17814" s="11" t="n">
        <f aca="false">MOD(ROW()-9,24)</f>
        <v>21</v>
      </c>
      <c r="C17814" s="12"/>
      <c r="D17814" s="13" t="n">
        <f aca="false">IF(B17814&lt;5,Einstellungen!$B$3,Einstellungen!$B$4)</f>
        <v>29.13</v>
      </c>
      <c r="E17814" s="14" t="str">
        <f aca="false">IF(C17814="","",C17814*D17814/100)</f>
        <v/>
      </c>
      <c r="F17814" s="15" t="str">
        <f aca="false">IF(B17814&lt;5,"Go","Standard")</f>
        <v>Standard</v>
      </c>
    </row>
    <row r="17815" customFormat="false" ht="15" hidden="false" customHeight="true" outlineLevel="0" collapsed="false">
      <c r="A17815" s="10" t="n">
        <f aca="false">Einstellungen!$B$5+INT((ROW()-9)/24)</f>
        <v>46707</v>
      </c>
      <c r="B17815" s="11" t="n">
        <f aca="false">MOD(ROW()-9,24)</f>
        <v>22</v>
      </c>
      <c r="C17815" s="12"/>
      <c r="D17815" s="13" t="n">
        <f aca="false">IF(B17815&lt;5,Einstellungen!$B$3,Einstellungen!$B$4)</f>
        <v>29.13</v>
      </c>
      <c r="E17815" s="14" t="str">
        <f aca="false">IF(C17815="","",C17815*D17815/100)</f>
        <v/>
      </c>
      <c r="F17815" s="15" t="str">
        <f aca="false">IF(B17815&lt;5,"Go","Standard")</f>
        <v>Standard</v>
      </c>
    </row>
    <row r="17816" customFormat="false" ht="15" hidden="false" customHeight="true" outlineLevel="0" collapsed="false">
      <c r="A17816" s="10" t="n">
        <f aca="false">Einstellungen!$B$5+INT((ROW()-9)/24)</f>
        <v>46707</v>
      </c>
      <c r="B17816" s="11" t="n">
        <f aca="false">MOD(ROW()-9,24)</f>
        <v>23</v>
      </c>
      <c r="C17816" s="12"/>
      <c r="D17816" s="13" t="n">
        <f aca="false">IF(B17816&lt;5,Einstellungen!$B$3,Einstellungen!$B$4)</f>
        <v>29.13</v>
      </c>
      <c r="E17816" s="14" t="str">
        <f aca="false">IF(C17816="","",C17816*D17816/100)</f>
        <v/>
      </c>
      <c r="F17816" s="15" t="str">
        <f aca="false">IF(B17816&lt;5,"Go","Standard")</f>
        <v>Standard</v>
      </c>
    </row>
    <row r="17817" customFormat="false" ht="15" hidden="false" customHeight="true" outlineLevel="0" collapsed="false">
      <c r="A17817" s="10" t="n">
        <f aca="false">Einstellungen!$B$5+INT((ROW()-9)/24)</f>
        <v>46708</v>
      </c>
      <c r="B17817" s="11" t="n">
        <f aca="false">MOD(ROW()-9,24)</f>
        <v>0</v>
      </c>
      <c r="C17817" s="12"/>
      <c r="D17817" s="13" t="n">
        <f aca="false">IF(B17817&lt;5,Einstellungen!$B$3,Einstellungen!$B$4)</f>
        <v>15.92</v>
      </c>
      <c r="E17817" s="14" t="str">
        <f aca="false">IF(C17817="","",C17817*D17817/100)</f>
        <v/>
      </c>
      <c r="F17817" s="15" t="str">
        <f aca="false">IF(B17817&lt;5,"Go","Standard")</f>
        <v>Go</v>
      </c>
    </row>
    <row r="17818" customFormat="false" ht="15" hidden="false" customHeight="true" outlineLevel="0" collapsed="false">
      <c r="A17818" s="10" t="n">
        <f aca="false">Einstellungen!$B$5+INT((ROW()-9)/24)</f>
        <v>46708</v>
      </c>
      <c r="B17818" s="11" t="n">
        <f aca="false">MOD(ROW()-9,24)</f>
        <v>1</v>
      </c>
      <c r="C17818" s="12"/>
      <c r="D17818" s="13" t="n">
        <f aca="false">IF(B17818&lt;5,Einstellungen!$B$3,Einstellungen!$B$4)</f>
        <v>15.92</v>
      </c>
      <c r="E17818" s="14" t="str">
        <f aca="false">IF(C17818="","",C17818*D17818/100)</f>
        <v/>
      </c>
      <c r="F17818" s="15" t="str">
        <f aca="false">IF(B17818&lt;5,"Go","Standard")</f>
        <v>Go</v>
      </c>
    </row>
    <row r="17819" customFormat="false" ht="15" hidden="false" customHeight="true" outlineLevel="0" collapsed="false">
      <c r="A17819" s="10" t="n">
        <f aca="false">Einstellungen!$B$5+INT((ROW()-9)/24)</f>
        <v>46708</v>
      </c>
      <c r="B17819" s="11" t="n">
        <f aca="false">MOD(ROW()-9,24)</f>
        <v>2</v>
      </c>
      <c r="C17819" s="12"/>
      <c r="D17819" s="13" t="n">
        <f aca="false">IF(B17819&lt;5,Einstellungen!$B$3,Einstellungen!$B$4)</f>
        <v>15.92</v>
      </c>
      <c r="E17819" s="14" t="str">
        <f aca="false">IF(C17819="","",C17819*D17819/100)</f>
        <v/>
      </c>
      <c r="F17819" s="15" t="str">
        <f aca="false">IF(B17819&lt;5,"Go","Standard")</f>
        <v>Go</v>
      </c>
    </row>
    <row r="17820" customFormat="false" ht="15" hidden="false" customHeight="true" outlineLevel="0" collapsed="false">
      <c r="A17820" s="10" t="n">
        <f aca="false">Einstellungen!$B$5+INT((ROW()-9)/24)</f>
        <v>46708</v>
      </c>
      <c r="B17820" s="11" t="n">
        <f aca="false">MOD(ROW()-9,24)</f>
        <v>3</v>
      </c>
      <c r="C17820" s="12"/>
      <c r="D17820" s="13" t="n">
        <f aca="false">IF(B17820&lt;5,Einstellungen!$B$3,Einstellungen!$B$4)</f>
        <v>15.92</v>
      </c>
      <c r="E17820" s="14" t="str">
        <f aca="false">IF(C17820="","",C17820*D17820/100)</f>
        <v/>
      </c>
      <c r="F17820" s="15" t="str">
        <f aca="false">IF(B17820&lt;5,"Go","Standard")</f>
        <v>Go</v>
      </c>
    </row>
    <row r="17821" customFormat="false" ht="15" hidden="false" customHeight="true" outlineLevel="0" collapsed="false">
      <c r="A17821" s="10" t="n">
        <f aca="false">Einstellungen!$B$5+INT((ROW()-9)/24)</f>
        <v>46708</v>
      </c>
      <c r="B17821" s="11" t="n">
        <f aca="false">MOD(ROW()-9,24)</f>
        <v>4</v>
      </c>
      <c r="C17821" s="12"/>
      <c r="D17821" s="13" t="n">
        <f aca="false">IF(B17821&lt;5,Einstellungen!$B$3,Einstellungen!$B$4)</f>
        <v>15.92</v>
      </c>
      <c r="E17821" s="14" t="str">
        <f aca="false">IF(C17821="","",C17821*D17821/100)</f>
        <v/>
      </c>
      <c r="F17821" s="15" t="str">
        <f aca="false">IF(B17821&lt;5,"Go","Standard")</f>
        <v>Go</v>
      </c>
    </row>
    <row r="17822" customFormat="false" ht="15" hidden="false" customHeight="true" outlineLevel="0" collapsed="false">
      <c r="A17822" s="10" t="n">
        <f aca="false">Einstellungen!$B$5+INT((ROW()-9)/24)</f>
        <v>46708</v>
      </c>
      <c r="B17822" s="11" t="n">
        <f aca="false">MOD(ROW()-9,24)</f>
        <v>5</v>
      </c>
      <c r="C17822" s="12"/>
      <c r="D17822" s="13" t="n">
        <f aca="false">IF(B17822&lt;5,Einstellungen!$B$3,Einstellungen!$B$4)</f>
        <v>29.13</v>
      </c>
      <c r="E17822" s="14" t="str">
        <f aca="false">IF(C17822="","",C17822*D17822/100)</f>
        <v/>
      </c>
      <c r="F17822" s="15" t="str">
        <f aca="false">IF(B17822&lt;5,"Go","Standard")</f>
        <v>Standard</v>
      </c>
    </row>
    <row r="17823" customFormat="false" ht="15" hidden="false" customHeight="true" outlineLevel="0" collapsed="false">
      <c r="A17823" s="10" t="n">
        <f aca="false">Einstellungen!$B$5+INT((ROW()-9)/24)</f>
        <v>46708</v>
      </c>
      <c r="B17823" s="11" t="n">
        <f aca="false">MOD(ROW()-9,24)</f>
        <v>6</v>
      </c>
      <c r="C17823" s="12"/>
      <c r="D17823" s="13" t="n">
        <f aca="false">IF(B17823&lt;5,Einstellungen!$B$3,Einstellungen!$B$4)</f>
        <v>29.13</v>
      </c>
      <c r="E17823" s="14" t="str">
        <f aca="false">IF(C17823="","",C17823*D17823/100)</f>
        <v/>
      </c>
      <c r="F17823" s="15" t="str">
        <f aca="false">IF(B17823&lt;5,"Go","Standard")</f>
        <v>Standard</v>
      </c>
    </row>
    <row r="17824" customFormat="false" ht="15" hidden="false" customHeight="true" outlineLevel="0" collapsed="false">
      <c r="A17824" s="10" t="n">
        <f aca="false">Einstellungen!$B$5+INT((ROW()-9)/24)</f>
        <v>46708</v>
      </c>
      <c r="B17824" s="11" t="n">
        <f aca="false">MOD(ROW()-9,24)</f>
        <v>7</v>
      </c>
      <c r="C17824" s="12"/>
      <c r="D17824" s="13" t="n">
        <f aca="false">IF(B17824&lt;5,Einstellungen!$B$3,Einstellungen!$B$4)</f>
        <v>29.13</v>
      </c>
      <c r="E17824" s="14" t="str">
        <f aca="false">IF(C17824="","",C17824*D17824/100)</f>
        <v/>
      </c>
      <c r="F17824" s="15" t="str">
        <f aca="false">IF(B17824&lt;5,"Go","Standard")</f>
        <v>Standard</v>
      </c>
    </row>
    <row r="17825" customFormat="false" ht="15" hidden="false" customHeight="true" outlineLevel="0" collapsed="false">
      <c r="A17825" s="10" t="n">
        <f aca="false">Einstellungen!$B$5+INT((ROW()-9)/24)</f>
        <v>46708</v>
      </c>
      <c r="B17825" s="11" t="n">
        <f aca="false">MOD(ROW()-9,24)</f>
        <v>8</v>
      </c>
      <c r="C17825" s="12"/>
      <c r="D17825" s="13" t="n">
        <f aca="false">IF(B17825&lt;5,Einstellungen!$B$3,Einstellungen!$B$4)</f>
        <v>29.13</v>
      </c>
      <c r="E17825" s="14" t="str">
        <f aca="false">IF(C17825="","",C17825*D17825/100)</f>
        <v/>
      </c>
      <c r="F17825" s="15" t="str">
        <f aca="false">IF(B17825&lt;5,"Go","Standard")</f>
        <v>Standard</v>
      </c>
    </row>
    <row r="17826" customFormat="false" ht="15" hidden="false" customHeight="true" outlineLevel="0" collapsed="false">
      <c r="A17826" s="10" t="n">
        <f aca="false">Einstellungen!$B$5+INT((ROW()-9)/24)</f>
        <v>46708</v>
      </c>
      <c r="B17826" s="11" t="n">
        <f aca="false">MOD(ROW()-9,24)</f>
        <v>9</v>
      </c>
      <c r="C17826" s="12"/>
      <c r="D17826" s="13" t="n">
        <f aca="false">IF(B17826&lt;5,Einstellungen!$B$3,Einstellungen!$B$4)</f>
        <v>29.13</v>
      </c>
      <c r="E17826" s="14" t="str">
        <f aca="false">IF(C17826="","",C17826*D17826/100)</f>
        <v/>
      </c>
      <c r="F17826" s="15" t="str">
        <f aca="false">IF(B17826&lt;5,"Go","Standard")</f>
        <v>Standard</v>
      </c>
    </row>
    <row r="17827" customFormat="false" ht="15" hidden="false" customHeight="true" outlineLevel="0" collapsed="false">
      <c r="A17827" s="10" t="n">
        <f aca="false">Einstellungen!$B$5+INT((ROW()-9)/24)</f>
        <v>46708</v>
      </c>
      <c r="B17827" s="11" t="n">
        <f aca="false">MOD(ROW()-9,24)</f>
        <v>10</v>
      </c>
      <c r="C17827" s="12"/>
      <c r="D17827" s="13" t="n">
        <f aca="false">IF(B17827&lt;5,Einstellungen!$B$3,Einstellungen!$B$4)</f>
        <v>29.13</v>
      </c>
      <c r="E17827" s="14" t="str">
        <f aca="false">IF(C17827="","",C17827*D17827/100)</f>
        <v/>
      </c>
      <c r="F17827" s="15" t="str">
        <f aca="false">IF(B17827&lt;5,"Go","Standard")</f>
        <v>Standard</v>
      </c>
    </row>
    <row r="17828" customFormat="false" ht="15" hidden="false" customHeight="true" outlineLevel="0" collapsed="false">
      <c r="A17828" s="10" t="n">
        <f aca="false">Einstellungen!$B$5+INT((ROW()-9)/24)</f>
        <v>46708</v>
      </c>
      <c r="B17828" s="11" t="n">
        <f aca="false">MOD(ROW()-9,24)</f>
        <v>11</v>
      </c>
      <c r="C17828" s="12"/>
      <c r="D17828" s="13" t="n">
        <f aca="false">IF(B17828&lt;5,Einstellungen!$B$3,Einstellungen!$B$4)</f>
        <v>29.13</v>
      </c>
      <c r="E17828" s="14" t="str">
        <f aca="false">IF(C17828="","",C17828*D17828/100)</f>
        <v/>
      </c>
      <c r="F17828" s="15" t="str">
        <f aca="false">IF(B17828&lt;5,"Go","Standard")</f>
        <v>Standard</v>
      </c>
    </row>
    <row r="17829" customFormat="false" ht="15" hidden="false" customHeight="true" outlineLevel="0" collapsed="false">
      <c r="A17829" s="10" t="n">
        <f aca="false">Einstellungen!$B$5+INT((ROW()-9)/24)</f>
        <v>46708</v>
      </c>
      <c r="B17829" s="11" t="n">
        <f aca="false">MOD(ROW()-9,24)</f>
        <v>12</v>
      </c>
      <c r="C17829" s="12"/>
      <c r="D17829" s="13" t="n">
        <f aca="false">IF(B17829&lt;5,Einstellungen!$B$3,Einstellungen!$B$4)</f>
        <v>29.13</v>
      </c>
      <c r="E17829" s="14" t="str">
        <f aca="false">IF(C17829="","",C17829*D17829/100)</f>
        <v/>
      </c>
      <c r="F17829" s="15" t="str">
        <f aca="false">IF(B17829&lt;5,"Go","Standard")</f>
        <v>Standard</v>
      </c>
    </row>
    <row r="17830" customFormat="false" ht="15" hidden="false" customHeight="true" outlineLevel="0" collapsed="false">
      <c r="A17830" s="10" t="n">
        <f aca="false">Einstellungen!$B$5+INT((ROW()-9)/24)</f>
        <v>46708</v>
      </c>
      <c r="B17830" s="11" t="n">
        <f aca="false">MOD(ROW()-9,24)</f>
        <v>13</v>
      </c>
      <c r="C17830" s="12"/>
      <c r="D17830" s="13" t="n">
        <f aca="false">IF(B17830&lt;5,Einstellungen!$B$3,Einstellungen!$B$4)</f>
        <v>29.13</v>
      </c>
      <c r="E17830" s="14" t="str">
        <f aca="false">IF(C17830="","",C17830*D17830/100)</f>
        <v/>
      </c>
      <c r="F17830" s="15" t="str">
        <f aca="false">IF(B17830&lt;5,"Go","Standard")</f>
        <v>Standard</v>
      </c>
    </row>
    <row r="17831" customFormat="false" ht="15" hidden="false" customHeight="true" outlineLevel="0" collapsed="false">
      <c r="A17831" s="10" t="n">
        <f aca="false">Einstellungen!$B$5+INT((ROW()-9)/24)</f>
        <v>46708</v>
      </c>
      <c r="B17831" s="11" t="n">
        <f aca="false">MOD(ROW()-9,24)</f>
        <v>14</v>
      </c>
      <c r="C17831" s="12"/>
      <c r="D17831" s="13" t="n">
        <f aca="false">IF(B17831&lt;5,Einstellungen!$B$3,Einstellungen!$B$4)</f>
        <v>29.13</v>
      </c>
      <c r="E17831" s="14" t="str">
        <f aca="false">IF(C17831="","",C17831*D17831/100)</f>
        <v/>
      </c>
      <c r="F17831" s="15" t="str">
        <f aca="false">IF(B17831&lt;5,"Go","Standard")</f>
        <v>Standard</v>
      </c>
    </row>
    <row r="17832" customFormat="false" ht="15" hidden="false" customHeight="true" outlineLevel="0" collapsed="false">
      <c r="A17832" s="10" t="n">
        <f aca="false">Einstellungen!$B$5+INT((ROW()-9)/24)</f>
        <v>46708</v>
      </c>
      <c r="B17832" s="11" t="n">
        <f aca="false">MOD(ROW()-9,24)</f>
        <v>15</v>
      </c>
      <c r="C17832" s="12"/>
      <c r="D17832" s="13" t="n">
        <f aca="false">IF(B17832&lt;5,Einstellungen!$B$3,Einstellungen!$B$4)</f>
        <v>29.13</v>
      </c>
      <c r="E17832" s="14" t="str">
        <f aca="false">IF(C17832="","",C17832*D17832/100)</f>
        <v/>
      </c>
      <c r="F17832" s="15" t="str">
        <f aca="false">IF(B17832&lt;5,"Go","Standard")</f>
        <v>Standard</v>
      </c>
    </row>
    <row r="17833" customFormat="false" ht="15" hidden="false" customHeight="true" outlineLevel="0" collapsed="false">
      <c r="A17833" s="10" t="n">
        <f aca="false">Einstellungen!$B$5+INT((ROW()-9)/24)</f>
        <v>46708</v>
      </c>
      <c r="B17833" s="11" t="n">
        <f aca="false">MOD(ROW()-9,24)</f>
        <v>16</v>
      </c>
      <c r="C17833" s="12"/>
      <c r="D17833" s="13" t="n">
        <f aca="false">IF(B17833&lt;5,Einstellungen!$B$3,Einstellungen!$B$4)</f>
        <v>29.13</v>
      </c>
      <c r="E17833" s="14" t="str">
        <f aca="false">IF(C17833="","",C17833*D17833/100)</f>
        <v/>
      </c>
      <c r="F17833" s="15" t="str">
        <f aca="false">IF(B17833&lt;5,"Go","Standard")</f>
        <v>Standard</v>
      </c>
    </row>
    <row r="17834" customFormat="false" ht="15" hidden="false" customHeight="true" outlineLevel="0" collapsed="false">
      <c r="A17834" s="10" t="n">
        <f aca="false">Einstellungen!$B$5+INT((ROW()-9)/24)</f>
        <v>46708</v>
      </c>
      <c r="B17834" s="11" t="n">
        <f aca="false">MOD(ROW()-9,24)</f>
        <v>17</v>
      </c>
      <c r="C17834" s="12"/>
      <c r="D17834" s="13" t="n">
        <f aca="false">IF(B17834&lt;5,Einstellungen!$B$3,Einstellungen!$B$4)</f>
        <v>29.13</v>
      </c>
      <c r="E17834" s="14" t="str">
        <f aca="false">IF(C17834="","",C17834*D17834/100)</f>
        <v/>
      </c>
      <c r="F17834" s="15" t="str">
        <f aca="false">IF(B17834&lt;5,"Go","Standard")</f>
        <v>Standard</v>
      </c>
    </row>
    <row r="17835" customFormat="false" ht="15" hidden="false" customHeight="true" outlineLevel="0" collapsed="false">
      <c r="A17835" s="10" t="n">
        <f aca="false">Einstellungen!$B$5+INT((ROW()-9)/24)</f>
        <v>46708</v>
      </c>
      <c r="B17835" s="11" t="n">
        <f aca="false">MOD(ROW()-9,24)</f>
        <v>18</v>
      </c>
      <c r="C17835" s="12"/>
      <c r="D17835" s="13" t="n">
        <f aca="false">IF(B17835&lt;5,Einstellungen!$B$3,Einstellungen!$B$4)</f>
        <v>29.13</v>
      </c>
      <c r="E17835" s="14" t="str">
        <f aca="false">IF(C17835="","",C17835*D17835/100)</f>
        <v/>
      </c>
      <c r="F17835" s="15" t="str">
        <f aca="false">IF(B17835&lt;5,"Go","Standard")</f>
        <v>Standard</v>
      </c>
    </row>
    <row r="17836" customFormat="false" ht="15" hidden="false" customHeight="true" outlineLevel="0" collapsed="false">
      <c r="A17836" s="10" t="n">
        <f aca="false">Einstellungen!$B$5+INT((ROW()-9)/24)</f>
        <v>46708</v>
      </c>
      <c r="B17836" s="11" t="n">
        <f aca="false">MOD(ROW()-9,24)</f>
        <v>19</v>
      </c>
      <c r="C17836" s="12"/>
      <c r="D17836" s="13" t="n">
        <f aca="false">IF(B17836&lt;5,Einstellungen!$B$3,Einstellungen!$B$4)</f>
        <v>29.13</v>
      </c>
      <c r="E17836" s="14" t="str">
        <f aca="false">IF(C17836="","",C17836*D17836/100)</f>
        <v/>
      </c>
      <c r="F17836" s="15" t="str">
        <f aca="false">IF(B17836&lt;5,"Go","Standard")</f>
        <v>Standard</v>
      </c>
    </row>
    <row r="17837" customFormat="false" ht="15" hidden="false" customHeight="true" outlineLevel="0" collapsed="false">
      <c r="A17837" s="10" t="n">
        <f aca="false">Einstellungen!$B$5+INT((ROW()-9)/24)</f>
        <v>46708</v>
      </c>
      <c r="B17837" s="11" t="n">
        <f aca="false">MOD(ROW()-9,24)</f>
        <v>20</v>
      </c>
      <c r="C17837" s="12"/>
      <c r="D17837" s="13" t="n">
        <f aca="false">IF(B17837&lt;5,Einstellungen!$B$3,Einstellungen!$B$4)</f>
        <v>29.13</v>
      </c>
      <c r="E17837" s="14" t="str">
        <f aca="false">IF(C17837="","",C17837*D17837/100)</f>
        <v/>
      </c>
      <c r="F17837" s="15" t="str">
        <f aca="false">IF(B17837&lt;5,"Go","Standard")</f>
        <v>Standard</v>
      </c>
    </row>
    <row r="17838" customFormat="false" ht="15" hidden="false" customHeight="true" outlineLevel="0" collapsed="false">
      <c r="A17838" s="10" t="n">
        <f aca="false">Einstellungen!$B$5+INT((ROW()-9)/24)</f>
        <v>46708</v>
      </c>
      <c r="B17838" s="11" t="n">
        <f aca="false">MOD(ROW()-9,24)</f>
        <v>21</v>
      </c>
      <c r="C17838" s="12"/>
      <c r="D17838" s="13" t="n">
        <f aca="false">IF(B17838&lt;5,Einstellungen!$B$3,Einstellungen!$B$4)</f>
        <v>29.13</v>
      </c>
      <c r="E17838" s="14" t="str">
        <f aca="false">IF(C17838="","",C17838*D17838/100)</f>
        <v/>
      </c>
      <c r="F17838" s="15" t="str">
        <f aca="false">IF(B17838&lt;5,"Go","Standard")</f>
        <v>Standard</v>
      </c>
    </row>
    <row r="17839" customFormat="false" ht="15" hidden="false" customHeight="true" outlineLevel="0" collapsed="false">
      <c r="A17839" s="10" t="n">
        <f aca="false">Einstellungen!$B$5+INT((ROW()-9)/24)</f>
        <v>46708</v>
      </c>
      <c r="B17839" s="11" t="n">
        <f aca="false">MOD(ROW()-9,24)</f>
        <v>22</v>
      </c>
      <c r="C17839" s="12"/>
      <c r="D17839" s="13" t="n">
        <f aca="false">IF(B17839&lt;5,Einstellungen!$B$3,Einstellungen!$B$4)</f>
        <v>29.13</v>
      </c>
      <c r="E17839" s="14" t="str">
        <f aca="false">IF(C17839="","",C17839*D17839/100)</f>
        <v/>
      </c>
      <c r="F17839" s="15" t="str">
        <f aca="false">IF(B17839&lt;5,"Go","Standard")</f>
        <v>Standard</v>
      </c>
    </row>
    <row r="17840" customFormat="false" ht="15" hidden="false" customHeight="true" outlineLevel="0" collapsed="false">
      <c r="A17840" s="10" t="n">
        <f aca="false">Einstellungen!$B$5+INT((ROW()-9)/24)</f>
        <v>46708</v>
      </c>
      <c r="B17840" s="11" t="n">
        <f aca="false">MOD(ROW()-9,24)</f>
        <v>23</v>
      </c>
      <c r="C17840" s="12"/>
      <c r="D17840" s="13" t="n">
        <f aca="false">IF(B17840&lt;5,Einstellungen!$B$3,Einstellungen!$B$4)</f>
        <v>29.13</v>
      </c>
      <c r="E17840" s="14" t="str">
        <f aca="false">IF(C17840="","",C17840*D17840/100)</f>
        <v/>
      </c>
      <c r="F17840" s="15" t="str">
        <f aca="false">IF(B17840&lt;5,"Go","Standard")</f>
        <v>Standard</v>
      </c>
    </row>
    <row r="17841" customFormat="false" ht="15" hidden="false" customHeight="true" outlineLevel="0" collapsed="false">
      <c r="A17841" s="10" t="n">
        <f aca="false">Einstellungen!$B$5+INT((ROW()-9)/24)</f>
        <v>46709</v>
      </c>
      <c r="B17841" s="11" t="n">
        <f aca="false">MOD(ROW()-9,24)</f>
        <v>0</v>
      </c>
      <c r="C17841" s="12"/>
      <c r="D17841" s="13" t="n">
        <f aca="false">IF(B17841&lt;5,Einstellungen!$B$3,Einstellungen!$B$4)</f>
        <v>15.92</v>
      </c>
      <c r="E17841" s="14" t="str">
        <f aca="false">IF(C17841="","",C17841*D17841/100)</f>
        <v/>
      </c>
      <c r="F17841" s="15" t="str">
        <f aca="false">IF(B17841&lt;5,"Go","Standard")</f>
        <v>Go</v>
      </c>
    </row>
    <row r="17842" customFormat="false" ht="15" hidden="false" customHeight="true" outlineLevel="0" collapsed="false">
      <c r="A17842" s="10" t="n">
        <f aca="false">Einstellungen!$B$5+INT((ROW()-9)/24)</f>
        <v>46709</v>
      </c>
      <c r="B17842" s="11" t="n">
        <f aca="false">MOD(ROW()-9,24)</f>
        <v>1</v>
      </c>
      <c r="C17842" s="12"/>
      <c r="D17842" s="13" t="n">
        <f aca="false">IF(B17842&lt;5,Einstellungen!$B$3,Einstellungen!$B$4)</f>
        <v>15.92</v>
      </c>
      <c r="E17842" s="14" t="str">
        <f aca="false">IF(C17842="","",C17842*D17842/100)</f>
        <v/>
      </c>
      <c r="F17842" s="15" t="str">
        <f aca="false">IF(B17842&lt;5,"Go","Standard")</f>
        <v>Go</v>
      </c>
    </row>
    <row r="17843" customFormat="false" ht="15" hidden="false" customHeight="true" outlineLevel="0" collapsed="false">
      <c r="A17843" s="10" t="n">
        <f aca="false">Einstellungen!$B$5+INT((ROW()-9)/24)</f>
        <v>46709</v>
      </c>
      <c r="B17843" s="11" t="n">
        <f aca="false">MOD(ROW()-9,24)</f>
        <v>2</v>
      </c>
      <c r="C17843" s="12"/>
      <c r="D17843" s="13" t="n">
        <f aca="false">IF(B17843&lt;5,Einstellungen!$B$3,Einstellungen!$B$4)</f>
        <v>15.92</v>
      </c>
      <c r="E17843" s="14" t="str">
        <f aca="false">IF(C17843="","",C17843*D17843/100)</f>
        <v/>
      </c>
      <c r="F17843" s="15" t="str">
        <f aca="false">IF(B17843&lt;5,"Go","Standard")</f>
        <v>Go</v>
      </c>
    </row>
    <row r="17844" customFormat="false" ht="15" hidden="false" customHeight="true" outlineLevel="0" collapsed="false">
      <c r="A17844" s="10" t="n">
        <f aca="false">Einstellungen!$B$5+INT((ROW()-9)/24)</f>
        <v>46709</v>
      </c>
      <c r="B17844" s="11" t="n">
        <f aca="false">MOD(ROW()-9,24)</f>
        <v>3</v>
      </c>
      <c r="C17844" s="12"/>
      <c r="D17844" s="13" t="n">
        <f aca="false">IF(B17844&lt;5,Einstellungen!$B$3,Einstellungen!$B$4)</f>
        <v>15.92</v>
      </c>
      <c r="E17844" s="14" t="str">
        <f aca="false">IF(C17844="","",C17844*D17844/100)</f>
        <v/>
      </c>
      <c r="F17844" s="15" t="str">
        <f aca="false">IF(B17844&lt;5,"Go","Standard")</f>
        <v>Go</v>
      </c>
    </row>
    <row r="17845" customFormat="false" ht="15" hidden="false" customHeight="true" outlineLevel="0" collapsed="false">
      <c r="A17845" s="10" t="n">
        <f aca="false">Einstellungen!$B$5+INT((ROW()-9)/24)</f>
        <v>46709</v>
      </c>
      <c r="B17845" s="11" t="n">
        <f aca="false">MOD(ROW()-9,24)</f>
        <v>4</v>
      </c>
      <c r="C17845" s="12"/>
      <c r="D17845" s="13" t="n">
        <f aca="false">IF(B17845&lt;5,Einstellungen!$B$3,Einstellungen!$B$4)</f>
        <v>15.92</v>
      </c>
      <c r="E17845" s="14" t="str">
        <f aca="false">IF(C17845="","",C17845*D17845/100)</f>
        <v/>
      </c>
      <c r="F17845" s="15" t="str">
        <f aca="false">IF(B17845&lt;5,"Go","Standard")</f>
        <v>Go</v>
      </c>
    </row>
    <row r="17846" customFormat="false" ht="15" hidden="false" customHeight="true" outlineLevel="0" collapsed="false">
      <c r="A17846" s="10" t="n">
        <f aca="false">Einstellungen!$B$5+INT((ROW()-9)/24)</f>
        <v>46709</v>
      </c>
      <c r="B17846" s="11" t="n">
        <f aca="false">MOD(ROW()-9,24)</f>
        <v>5</v>
      </c>
      <c r="C17846" s="12"/>
      <c r="D17846" s="13" t="n">
        <f aca="false">IF(B17846&lt;5,Einstellungen!$B$3,Einstellungen!$B$4)</f>
        <v>29.13</v>
      </c>
      <c r="E17846" s="14" t="str">
        <f aca="false">IF(C17846="","",C17846*D17846/100)</f>
        <v/>
      </c>
      <c r="F17846" s="15" t="str">
        <f aca="false">IF(B17846&lt;5,"Go","Standard")</f>
        <v>Standard</v>
      </c>
    </row>
    <row r="17847" customFormat="false" ht="15" hidden="false" customHeight="true" outlineLevel="0" collapsed="false">
      <c r="A17847" s="10" t="n">
        <f aca="false">Einstellungen!$B$5+INT((ROW()-9)/24)</f>
        <v>46709</v>
      </c>
      <c r="B17847" s="11" t="n">
        <f aca="false">MOD(ROW()-9,24)</f>
        <v>6</v>
      </c>
      <c r="C17847" s="12"/>
      <c r="D17847" s="13" t="n">
        <f aca="false">IF(B17847&lt;5,Einstellungen!$B$3,Einstellungen!$B$4)</f>
        <v>29.13</v>
      </c>
      <c r="E17847" s="14" t="str">
        <f aca="false">IF(C17847="","",C17847*D17847/100)</f>
        <v/>
      </c>
      <c r="F17847" s="15" t="str">
        <f aca="false">IF(B17847&lt;5,"Go","Standard")</f>
        <v>Standard</v>
      </c>
    </row>
    <row r="17848" customFormat="false" ht="15" hidden="false" customHeight="true" outlineLevel="0" collapsed="false">
      <c r="A17848" s="10" t="n">
        <f aca="false">Einstellungen!$B$5+INT((ROW()-9)/24)</f>
        <v>46709</v>
      </c>
      <c r="B17848" s="11" t="n">
        <f aca="false">MOD(ROW()-9,24)</f>
        <v>7</v>
      </c>
      <c r="C17848" s="12"/>
      <c r="D17848" s="13" t="n">
        <f aca="false">IF(B17848&lt;5,Einstellungen!$B$3,Einstellungen!$B$4)</f>
        <v>29.13</v>
      </c>
      <c r="E17848" s="14" t="str">
        <f aca="false">IF(C17848="","",C17848*D17848/100)</f>
        <v/>
      </c>
      <c r="F17848" s="15" t="str">
        <f aca="false">IF(B17848&lt;5,"Go","Standard")</f>
        <v>Standard</v>
      </c>
    </row>
    <row r="17849" customFormat="false" ht="15" hidden="false" customHeight="true" outlineLevel="0" collapsed="false">
      <c r="A17849" s="10" t="n">
        <f aca="false">Einstellungen!$B$5+INT((ROW()-9)/24)</f>
        <v>46709</v>
      </c>
      <c r="B17849" s="11" t="n">
        <f aca="false">MOD(ROW()-9,24)</f>
        <v>8</v>
      </c>
      <c r="C17849" s="12"/>
      <c r="D17849" s="13" t="n">
        <f aca="false">IF(B17849&lt;5,Einstellungen!$B$3,Einstellungen!$B$4)</f>
        <v>29.13</v>
      </c>
      <c r="E17849" s="14" t="str">
        <f aca="false">IF(C17849="","",C17849*D17849/100)</f>
        <v/>
      </c>
      <c r="F17849" s="15" t="str">
        <f aca="false">IF(B17849&lt;5,"Go","Standard")</f>
        <v>Standard</v>
      </c>
    </row>
    <row r="17850" customFormat="false" ht="15" hidden="false" customHeight="true" outlineLevel="0" collapsed="false">
      <c r="A17850" s="10" t="n">
        <f aca="false">Einstellungen!$B$5+INT((ROW()-9)/24)</f>
        <v>46709</v>
      </c>
      <c r="B17850" s="11" t="n">
        <f aca="false">MOD(ROW()-9,24)</f>
        <v>9</v>
      </c>
      <c r="C17850" s="12"/>
      <c r="D17850" s="13" t="n">
        <f aca="false">IF(B17850&lt;5,Einstellungen!$B$3,Einstellungen!$B$4)</f>
        <v>29.13</v>
      </c>
      <c r="E17850" s="14" t="str">
        <f aca="false">IF(C17850="","",C17850*D17850/100)</f>
        <v/>
      </c>
      <c r="F17850" s="15" t="str">
        <f aca="false">IF(B17850&lt;5,"Go","Standard")</f>
        <v>Standard</v>
      </c>
    </row>
    <row r="17851" customFormat="false" ht="15" hidden="false" customHeight="true" outlineLevel="0" collapsed="false">
      <c r="A17851" s="10" t="n">
        <f aca="false">Einstellungen!$B$5+INT((ROW()-9)/24)</f>
        <v>46709</v>
      </c>
      <c r="B17851" s="11" t="n">
        <f aca="false">MOD(ROW()-9,24)</f>
        <v>10</v>
      </c>
      <c r="C17851" s="12"/>
      <c r="D17851" s="13" t="n">
        <f aca="false">IF(B17851&lt;5,Einstellungen!$B$3,Einstellungen!$B$4)</f>
        <v>29.13</v>
      </c>
      <c r="E17851" s="14" t="str">
        <f aca="false">IF(C17851="","",C17851*D17851/100)</f>
        <v/>
      </c>
      <c r="F17851" s="15" t="str">
        <f aca="false">IF(B17851&lt;5,"Go","Standard")</f>
        <v>Standard</v>
      </c>
    </row>
    <row r="17852" customFormat="false" ht="15" hidden="false" customHeight="true" outlineLevel="0" collapsed="false">
      <c r="A17852" s="10" t="n">
        <f aca="false">Einstellungen!$B$5+INT((ROW()-9)/24)</f>
        <v>46709</v>
      </c>
      <c r="B17852" s="11" t="n">
        <f aca="false">MOD(ROW()-9,24)</f>
        <v>11</v>
      </c>
      <c r="C17852" s="12"/>
      <c r="D17852" s="13" t="n">
        <f aca="false">IF(B17852&lt;5,Einstellungen!$B$3,Einstellungen!$B$4)</f>
        <v>29.13</v>
      </c>
      <c r="E17852" s="14" t="str">
        <f aca="false">IF(C17852="","",C17852*D17852/100)</f>
        <v/>
      </c>
      <c r="F17852" s="15" t="str">
        <f aca="false">IF(B17852&lt;5,"Go","Standard")</f>
        <v>Standard</v>
      </c>
    </row>
    <row r="17853" customFormat="false" ht="15" hidden="false" customHeight="true" outlineLevel="0" collapsed="false">
      <c r="A17853" s="10" t="n">
        <f aca="false">Einstellungen!$B$5+INT((ROW()-9)/24)</f>
        <v>46709</v>
      </c>
      <c r="B17853" s="11" t="n">
        <f aca="false">MOD(ROW()-9,24)</f>
        <v>12</v>
      </c>
      <c r="C17853" s="12"/>
      <c r="D17853" s="13" t="n">
        <f aca="false">IF(B17853&lt;5,Einstellungen!$B$3,Einstellungen!$B$4)</f>
        <v>29.13</v>
      </c>
      <c r="E17853" s="14" t="str">
        <f aca="false">IF(C17853="","",C17853*D17853/100)</f>
        <v/>
      </c>
      <c r="F17853" s="15" t="str">
        <f aca="false">IF(B17853&lt;5,"Go","Standard")</f>
        <v>Standard</v>
      </c>
    </row>
    <row r="17854" customFormat="false" ht="15" hidden="false" customHeight="true" outlineLevel="0" collapsed="false">
      <c r="A17854" s="10" t="n">
        <f aca="false">Einstellungen!$B$5+INT((ROW()-9)/24)</f>
        <v>46709</v>
      </c>
      <c r="B17854" s="11" t="n">
        <f aca="false">MOD(ROW()-9,24)</f>
        <v>13</v>
      </c>
      <c r="C17854" s="12"/>
      <c r="D17854" s="13" t="n">
        <f aca="false">IF(B17854&lt;5,Einstellungen!$B$3,Einstellungen!$B$4)</f>
        <v>29.13</v>
      </c>
      <c r="E17854" s="14" t="str">
        <f aca="false">IF(C17854="","",C17854*D17854/100)</f>
        <v/>
      </c>
      <c r="F17854" s="15" t="str">
        <f aca="false">IF(B17854&lt;5,"Go","Standard")</f>
        <v>Standard</v>
      </c>
    </row>
    <row r="17855" customFormat="false" ht="15" hidden="false" customHeight="true" outlineLevel="0" collapsed="false">
      <c r="A17855" s="10" t="n">
        <f aca="false">Einstellungen!$B$5+INT((ROW()-9)/24)</f>
        <v>46709</v>
      </c>
      <c r="B17855" s="11" t="n">
        <f aca="false">MOD(ROW()-9,24)</f>
        <v>14</v>
      </c>
      <c r="C17855" s="12"/>
      <c r="D17855" s="13" t="n">
        <f aca="false">IF(B17855&lt;5,Einstellungen!$B$3,Einstellungen!$B$4)</f>
        <v>29.13</v>
      </c>
      <c r="E17855" s="14" t="str">
        <f aca="false">IF(C17855="","",C17855*D17855/100)</f>
        <v/>
      </c>
      <c r="F17855" s="15" t="str">
        <f aca="false">IF(B17855&lt;5,"Go","Standard")</f>
        <v>Standard</v>
      </c>
    </row>
    <row r="17856" customFormat="false" ht="15" hidden="false" customHeight="true" outlineLevel="0" collapsed="false">
      <c r="A17856" s="10" t="n">
        <f aca="false">Einstellungen!$B$5+INT((ROW()-9)/24)</f>
        <v>46709</v>
      </c>
      <c r="B17856" s="11" t="n">
        <f aca="false">MOD(ROW()-9,24)</f>
        <v>15</v>
      </c>
      <c r="C17856" s="12"/>
      <c r="D17856" s="13" t="n">
        <f aca="false">IF(B17856&lt;5,Einstellungen!$B$3,Einstellungen!$B$4)</f>
        <v>29.13</v>
      </c>
      <c r="E17856" s="14" t="str">
        <f aca="false">IF(C17856="","",C17856*D17856/100)</f>
        <v/>
      </c>
      <c r="F17856" s="15" t="str">
        <f aca="false">IF(B17856&lt;5,"Go","Standard")</f>
        <v>Standard</v>
      </c>
    </row>
    <row r="17857" customFormat="false" ht="15" hidden="false" customHeight="true" outlineLevel="0" collapsed="false">
      <c r="A17857" s="10" t="n">
        <f aca="false">Einstellungen!$B$5+INT((ROW()-9)/24)</f>
        <v>46709</v>
      </c>
      <c r="B17857" s="11" t="n">
        <f aca="false">MOD(ROW()-9,24)</f>
        <v>16</v>
      </c>
      <c r="C17857" s="12"/>
      <c r="D17857" s="13" t="n">
        <f aca="false">IF(B17857&lt;5,Einstellungen!$B$3,Einstellungen!$B$4)</f>
        <v>29.13</v>
      </c>
      <c r="E17857" s="14" t="str">
        <f aca="false">IF(C17857="","",C17857*D17857/100)</f>
        <v/>
      </c>
      <c r="F17857" s="15" t="str">
        <f aca="false">IF(B17857&lt;5,"Go","Standard")</f>
        <v>Standard</v>
      </c>
    </row>
    <row r="17858" customFormat="false" ht="15" hidden="false" customHeight="true" outlineLevel="0" collapsed="false">
      <c r="A17858" s="10" t="n">
        <f aca="false">Einstellungen!$B$5+INT((ROW()-9)/24)</f>
        <v>46709</v>
      </c>
      <c r="B17858" s="11" t="n">
        <f aca="false">MOD(ROW()-9,24)</f>
        <v>17</v>
      </c>
      <c r="C17858" s="12"/>
      <c r="D17858" s="13" t="n">
        <f aca="false">IF(B17858&lt;5,Einstellungen!$B$3,Einstellungen!$B$4)</f>
        <v>29.13</v>
      </c>
      <c r="E17858" s="14" t="str">
        <f aca="false">IF(C17858="","",C17858*D17858/100)</f>
        <v/>
      </c>
      <c r="F17858" s="15" t="str">
        <f aca="false">IF(B17858&lt;5,"Go","Standard")</f>
        <v>Standard</v>
      </c>
    </row>
    <row r="17859" customFormat="false" ht="15" hidden="false" customHeight="true" outlineLevel="0" collapsed="false">
      <c r="A17859" s="10" t="n">
        <f aca="false">Einstellungen!$B$5+INT((ROW()-9)/24)</f>
        <v>46709</v>
      </c>
      <c r="B17859" s="11" t="n">
        <f aca="false">MOD(ROW()-9,24)</f>
        <v>18</v>
      </c>
      <c r="C17859" s="12"/>
      <c r="D17859" s="13" t="n">
        <f aca="false">IF(B17859&lt;5,Einstellungen!$B$3,Einstellungen!$B$4)</f>
        <v>29.13</v>
      </c>
      <c r="E17859" s="14" t="str">
        <f aca="false">IF(C17859="","",C17859*D17859/100)</f>
        <v/>
      </c>
      <c r="F17859" s="15" t="str">
        <f aca="false">IF(B17859&lt;5,"Go","Standard")</f>
        <v>Standard</v>
      </c>
    </row>
    <row r="17860" customFormat="false" ht="15" hidden="false" customHeight="true" outlineLevel="0" collapsed="false">
      <c r="A17860" s="10" t="n">
        <f aca="false">Einstellungen!$B$5+INT((ROW()-9)/24)</f>
        <v>46709</v>
      </c>
      <c r="B17860" s="11" t="n">
        <f aca="false">MOD(ROW()-9,24)</f>
        <v>19</v>
      </c>
      <c r="C17860" s="12"/>
      <c r="D17860" s="13" t="n">
        <f aca="false">IF(B17860&lt;5,Einstellungen!$B$3,Einstellungen!$B$4)</f>
        <v>29.13</v>
      </c>
      <c r="E17860" s="14" t="str">
        <f aca="false">IF(C17860="","",C17860*D17860/100)</f>
        <v/>
      </c>
      <c r="F17860" s="15" t="str">
        <f aca="false">IF(B17860&lt;5,"Go","Standard")</f>
        <v>Standard</v>
      </c>
    </row>
    <row r="17861" customFormat="false" ht="15" hidden="false" customHeight="true" outlineLevel="0" collapsed="false">
      <c r="A17861" s="10" t="n">
        <f aca="false">Einstellungen!$B$5+INT((ROW()-9)/24)</f>
        <v>46709</v>
      </c>
      <c r="B17861" s="11" t="n">
        <f aca="false">MOD(ROW()-9,24)</f>
        <v>20</v>
      </c>
      <c r="C17861" s="12"/>
      <c r="D17861" s="13" t="n">
        <f aca="false">IF(B17861&lt;5,Einstellungen!$B$3,Einstellungen!$B$4)</f>
        <v>29.13</v>
      </c>
      <c r="E17861" s="14" t="str">
        <f aca="false">IF(C17861="","",C17861*D17861/100)</f>
        <v/>
      </c>
      <c r="F17861" s="15" t="str">
        <f aca="false">IF(B17861&lt;5,"Go","Standard")</f>
        <v>Standard</v>
      </c>
    </row>
    <row r="17862" customFormat="false" ht="15" hidden="false" customHeight="true" outlineLevel="0" collapsed="false">
      <c r="A17862" s="10" t="n">
        <f aca="false">Einstellungen!$B$5+INT((ROW()-9)/24)</f>
        <v>46709</v>
      </c>
      <c r="B17862" s="11" t="n">
        <f aca="false">MOD(ROW()-9,24)</f>
        <v>21</v>
      </c>
      <c r="C17862" s="12"/>
      <c r="D17862" s="13" t="n">
        <f aca="false">IF(B17862&lt;5,Einstellungen!$B$3,Einstellungen!$B$4)</f>
        <v>29.13</v>
      </c>
      <c r="E17862" s="14" t="str">
        <f aca="false">IF(C17862="","",C17862*D17862/100)</f>
        <v/>
      </c>
      <c r="F17862" s="15" t="str">
        <f aca="false">IF(B17862&lt;5,"Go","Standard")</f>
        <v>Standard</v>
      </c>
    </row>
    <row r="17863" customFormat="false" ht="15" hidden="false" customHeight="true" outlineLevel="0" collapsed="false">
      <c r="A17863" s="10" t="n">
        <f aca="false">Einstellungen!$B$5+INT((ROW()-9)/24)</f>
        <v>46709</v>
      </c>
      <c r="B17863" s="11" t="n">
        <f aca="false">MOD(ROW()-9,24)</f>
        <v>22</v>
      </c>
      <c r="C17863" s="12"/>
      <c r="D17863" s="13" t="n">
        <f aca="false">IF(B17863&lt;5,Einstellungen!$B$3,Einstellungen!$B$4)</f>
        <v>29.13</v>
      </c>
      <c r="E17863" s="14" t="str">
        <f aca="false">IF(C17863="","",C17863*D17863/100)</f>
        <v/>
      </c>
      <c r="F17863" s="15" t="str">
        <f aca="false">IF(B17863&lt;5,"Go","Standard")</f>
        <v>Standard</v>
      </c>
    </row>
    <row r="17864" customFormat="false" ht="15" hidden="false" customHeight="true" outlineLevel="0" collapsed="false">
      <c r="A17864" s="10" t="n">
        <f aca="false">Einstellungen!$B$5+INT((ROW()-9)/24)</f>
        <v>46709</v>
      </c>
      <c r="B17864" s="11" t="n">
        <f aca="false">MOD(ROW()-9,24)</f>
        <v>23</v>
      </c>
      <c r="C17864" s="12"/>
      <c r="D17864" s="13" t="n">
        <f aca="false">IF(B17864&lt;5,Einstellungen!$B$3,Einstellungen!$B$4)</f>
        <v>29.13</v>
      </c>
      <c r="E17864" s="14" t="str">
        <f aca="false">IF(C17864="","",C17864*D17864/100)</f>
        <v/>
      </c>
      <c r="F17864" s="15" t="str">
        <f aca="false">IF(B17864&lt;5,"Go","Standard")</f>
        <v>Standard</v>
      </c>
    </row>
    <row r="17865" customFormat="false" ht="15" hidden="false" customHeight="true" outlineLevel="0" collapsed="false">
      <c r="A17865" s="10" t="n">
        <f aca="false">Einstellungen!$B$5+INT((ROW()-9)/24)</f>
        <v>46710</v>
      </c>
      <c r="B17865" s="11" t="n">
        <f aca="false">MOD(ROW()-9,24)</f>
        <v>0</v>
      </c>
      <c r="C17865" s="12"/>
      <c r="D17865" s="13" t="n">
        <f aca="false">IF(B17865&lt;5,Einstellungen!$B$3,Einstellungen!$B$4)</f>
        <v>15.92</v>
      </c>
      <c r="E17865" s="14" t="str">
        <f aca="false">IF(C17865="","",C17865*D17865/100)</f>
        <v/>
      </c>
      <c r="F17865" s="15" t="str">
        <f aca="false">IF(B17865&lt;5,"Go","Standard")</f>
        <v>Go</v>
      </c>
    </row>
    <row r="17866" customFormat="false" ht="15" hidden="false" customHeight="true" outlineLevel="0" collapsed="false">
      <c r="A17866" s="10" t="n">
        <f aca="false">Einstellungen!$B$5+INT((ROW()-9)/24)</f>
        <v>46710</v>
      </c>
      <c r="B17866" s="11" t="n">
        <f aca="false">MOD(ROW()-9,24)</f>
        <v>1</v>
      </c>
      <c r="C17866" s="12"/>
      <c r="D17866" s="13" t="n">
        <f aca="false">IF(B17866&lt;5,Einstellungen!$B$3,Einstellungen!$B$4)</f>
        <v>15.92</v>
      </c>
      <c r="E17866" s="14" t="str">
        <f aca="false">IF(C17866="","",C17866*D17866/100)</f>
        <v/>
      </c>
      <c r="F17866" s="15" t="str">
        <f aca="false">IF(B17866&lt;5,"Go","Standard")</f>
        <v>Go</v>
      </c>
    </row>
    <row r="17867" customFormat="false" ht="15" hidden="false" customHeight="true" outlineLevel="0" collapsed="false">
      <c r="A17867" s="10" t="n">
        <f aca="false">Einstellungen!$B$5+INT((ROW()-9)/24)</f>
        <v>46710</v>
      </c>
      <c r="B17867" s="11" t="n">
        <f aca="false">MOD(ROW()-9,24)</f>
        <v>2</v>
      </c>
      <c r="C17867" s="12"/>
      <c r="D17867" s="13" t="n">
        <f aca="false">IF(B17867&lt;5,Einstellungen!$B$3,Einstellungen!$B$4)</f>
        <v>15.92</v>
      </c>
      <c r="E17867" s="14" t="str">
        <f aca="false">IF(C17867="","",C17867*D17867/100)</f>
        <v/>
      </c>
      <c r="F17867" s="15" t="str">
        <f aca="false">IF(B17867&lt;5,"Go","Standard")</f>
        <v>Go</v>
      </c>
    </row>
    <row r="17868" customFormat="false" ht="15" hidden="false" customHeight="true" outlineLevel="0" collapsed="false">
      <c r="A17868" s="10" t="n">
        <f aca="false">Einstellungen!$B$5+INT((ROW()-9)/24)</f>
        <v>46710</v>
      </c>
      <c r="B17868" s="11" t="n">
        <f aca="false">MOD(ROW()-9,24)</f>
        <v>3</v>
      </c>
      <c r="C17868" s="12"/>
      <c r="D17868" s="13" t="n">
        <f aca="false">IF(B17868&lt;5,Einstellungen!$B$3,Einstellungen!$B$4)</f>
        <v>15.92</v>
      </c>
      <c r="E17868" s="14" t="str">
        <f aca="false">IF(C17868="","",C17868*D17868/100)</f>
        <v/>
      </c>
      <c r="F17868" s="15" t="str">
        <f aca="false">IF(B17868&lt;5,"Go","Standard")</f>
        <v>Go</v>
      </c>
    </row>
    <row r="17869" customFormat="false" ht="15" hidden="false" customHeight="true" outlineLevel="0" collapsed="false">
      <c r="A17869" s="10" t="n">
        <f aca="false">Einstellungen!$B$5+INT((ROW()-9)/24)</f>
        <v>46710</v>
      </c>
      <c r="B17869" s="11" t="n">
        <f aca="false">MOD(ROW()-9,24)</f>
        <v>4</v>
      </c>
      <c r="C17869" s="12"/>
      <c r="D17869" s="13" t="n">
        <f aca="false">IF(B17869&lt;5,Einstellungen!$B$3,Einstellungen!$B$4)</f>
        <v>15.92</v>
      </c>
      <c r="E17869" s="14" t="str">
        <f aca="false">IF(C17869="","",C17869*D17869/100)</f>
        <v/>
      </c>
      <c r="F17869" s="15" t="str">
        <f aca="false">IF(B17869&lt;5,"Go","Standard")</f>
        <v>Go</v>
      </c>
    </row>
    <row r="17870" customFormat="false" ht="15" hidden="false" customHeight="true" outlineLevel="0" collapsed="false">
      <c r="A17870" s="10" t="n">
        <f aca="false">Einstellungen!$B$5+INT((ROW()-9)/24)</f>
        <v>46710</v>
      </c>
      <c r="B17870" s="11" t="n">
        <f aca="false">MOD(ROW()-9,24)</f>
        <v>5</v>
      </c>
      <c r="C17870" s="12"/>
      <c r="D17870" s="13" t="n">
        <f aca="false">IF(B17870&lt;5,Einstellungen!$B$3,Einstellungen!$B$4)</f>
        <v>29.13</v>
      </c>
      <c r="E17870" s="14" t="str">
        <f aca="false">IF(C17870="","",C17870*D17870/100)</f>
        <v/>
      </c>
      <c r="F17870" s="15" t="str">
        <f aca="false">IF(B17870&lt;5,"Go","Standard")</f>
        <v>Standard</v>
      </c>
    </row>
    <row r="17871" customFormat="false" ht="15" hidden="false" customHeight="true" outlineLevel="0" collapsed="false">
      <c r="A17871" s="10" t="n">
        <f aca="false">Einstellungen!$B$5+INT((ROW()-9)/24)</f>
        <v>46710</v>
      </c>
      <c r="B17871" s="11" t="n">
        <f aca="false">MOD(ROW()-9,24)</f>
        <v>6</v>
      </c>
      <c r="C17871" s="12"/>
      <c r="D17871" s="13" t="n">
        <f aca="false">IF(B17871&lt;5,Einstellungen!$B$3,Einstellungen!$B$4)</f>
        <v>29.13</v>
      </c>
      <c r="E17871" s="14" t="str">
        <f aca="false">IF(C17871="","",C17871*D17871/100)</f>
        <v/>
      </c>
      <c r="F17871" s="15" t="str">
        <f aca="false">IF(B17871&lt;5,"Go","Standard")</f>
        <v>Standard</v>
      </c>
    </row>
    <row r="17872" customFormat="false" ht="15" hidden="false" customHeight="true" outlineLevel="0" collapsed="false">
      <c r="A17872" s="10" t="n">
        <f aca="false">Einstellungen!$B$5+INT((ROW()-9)/24)</f>
        <v>46710</v>
      </c>
      <c r="B17872" s="11" t="n">
        <f aca="false">MOD(ROW()-9,24)</f>
        <v>7</v>
      </c>
      <c r="C17872" s="12"/>
      <c r="D17872" s="13" t="n">
        <f aca="false">IF(B17872&lt;5,Einstellungen!$B$3,Einstellungen!$B$4)</f>
        <v>29.13</v>
      </c>
      <c r="E17872" s="14" t="str">
        <f aca="false">IF(C17872="","",C17872*D17872/100)</f>
        <v/>
      </c>
      <c r="F17872" s="15" t="str">
        <f aca="false">IF(B17872&lt;5,"Go","Standard")</f>
        <v>Standard</v>
      </c>
    </row>
    <row r="17873" customFormat="false" ht="15" hidden="false" customHeight="true" outlineLevel="0" collapsed="false">
      <c r="A17873" s="10" t="n">
        <f aca="false">Einstellungen!$B$5+INT((ROW()-9)/24)</f>
        <v>46710</v>
      </c>
      <c r="B17873" s="11" t="n">
        <f aca="false">MOD(ROW()-9,24)</f>
        <v>8</v>
      </c>
      <c r="C17873" s="12"/>
      <c r="D17873" s="13" t="n">
        <f aca="false">IF(B17873&lt;5,Einstellungen!$B$3,Einstellungen!$B$4)</f>
        <v>29.13</v>
      </c>
      <c r="E17873" s="14" t="str">
        <f aca="false">IF(C17873="","",C17873*D17873/100)</f>
        <v/>
      </c>
      <c r="F17873" s="15" t="str">
        <f aca="false">IF(B17873&lt;5,"Go","Standard")</f>
        <v>Standard</v>
      </c>
    </row>
    <row r="17874" customFormat="false" ht="15" hidden="false" customHeight="true" outlineLevel="0" collapsed="false">
      <c r="A17874" s="10" t="n">
        <f aca="false">Einstellungen!$B$5+INT((ROW()-9)/24)</f>
        <v>46710</v>
      </c>
      <c r="B17874" s="11" t="n">
        <f aca="false">MOD(ROW()-9,24)</f>
        <v>9</v>
      </c>
      <c r="C17874" s="12"/>
      <c r="D17874" s="13" t="n">
        <f aca="false">IF(B17874&lt;5,Einstellungen!$B$3,Einstellungen!$B$4)</f>
        <v>29.13</v>
      </c>
      <c r="E17874" s="14" t="str">
        <f aca="false">IF(C17874="","",C17874*D17874/100)</f>
        <v/>
      </c>
      <c r="F17874" s="15" t="str">
        <f aca="false">IF(B17874&lt;5,"Go","Standard")</f>
        <v>Standard</v>
      </c>
    </row>
    <row r="17875" customFormat="false" ht="15" hidden="false" customHeight="true" outlineLevel="0" collapsed="false">
      <c r="A17875" s="10" t="n">
        <f aca="false">Einstellungen!$B$5+INT((ROW()-9)/24)</f>
        <v>46710</v>
      </c>
      <c r="B17875" s="11" t="n">
        <f aca="false">MOD(ROW()-9,24)</f>
        <v>10</v>
      </c>
      <c r="C17875" s="12"/>
      <c r="D17875" s="13" t="n">
        <f aca="false">IF(B17875&lt;5,Einstellungen!$B$3,Einstellungen!$B$4)</f>
        <v>29.13</v>
      </c>
      <c r="E17875" s="14" t="str">
        <f aca="false">IF(C17875="","",C17875*D17875/100)</f>
        <v/>
      </c>
      <c r="F17875" s="15" t="str">
        <f aca="false">IF(B17875&lt;5,"Go","Standard")</f>
        <v>Standard</v>
      </c>
    </row>
    <row r="17876" customFormat="false" ht="15" hidden="false" customHeight="true" outlineLevel="0" collapsed="false">
      <c r="A17876" s="10" t="n">
        <f aca="false">Einstellungen!$B$5+INT((ROW()-9)/24)</f>
        <v>46710</v>
      </c>
      <c r="B17876" s="11" t="n">
        <f aca="false">MOD(ROW()-9,24)</f>
        <v>11</v>
      </c>
      <c r="C17876" s="12"/>
      <c r="D17876" s="13" t="n">
        <f aca="false">IF(B17876&lt;5,Einstellungen!$B$3,Einstellungen!$B$4)</f>
        <v>29.13</v>
      </c>
      <c r="E17876" s="14" t="str">
        <f aca="false">IF(C17876="","",C17876*D17876/100)</f>
        <v/>
      </c>
      <c r="F17876" s="15" t="str">
        <f aca="false">IF(B17876&lt;5,"Go","Standard")</f>
        <v>Standard</v>
      </c>
    </row>
    <row r="17877" customFormat="false" ht="15" hidden="false" customHeight="true" outlineLevel="0" collapsed="false">
      <c r="A17877" s="10" t="n">
        <f aca="false">Einstellungen!$B$5+INT((ROW()-9)/24)</f>
        <v>46710</v>
      </c>
      <c r="B17877" s="11" t="n">
        <f aca="false">MOD(ROW()-9,24)</f>
        <v>12</v>
      </c>
      <c r="C17877" s="12"/>
      <c r="D17877" s="13" t="n">
        <f aca="false">IF(B17877&lt;5,Einstellungen!$B$3,Einstellungen!$B$4)</f>
        <v>29.13</v>
      </c>
      <c r="E17877" s="14" t="str">
        <f aca="false">IF(C17877="","",C17877*D17877/100)</f>
        <v/>
      </c>
      <c r="F17877" s="15" t="str">
        <f aca="false">IF(B17877&lt;5,"Go","Standard")</f>
        <v>Standard</v>
      </c>
    </row>
    <row r="17878" customFormat="false" ht="15" hidden="false" customHeight="true" outlineLevel="0" collapsed="false">
      <c r="A17878" s="10" t="n">
        <f aca="false">Einstellungen!$B$5+INT((ROW()-9)/24)</f>
        <v>46710</v>
      </c>
      <c r="B17878" s="11" t="n">
        <f aca="false">MOD(ROW()-9,24)</f>
        <v>13</v>
      </c>
      <c r="C17878" s="12"/>
      <c r="D17878" s="13" t="n">
        <f aca="false">IF(B17878&lt;5,Einstellungen!$B$3,Einstellungen!$B$4)</f>
        <v>29.13</v>
      </c>
      <c r="E17878" s="14" t="str">
        <f aca="false">IF(C17878="","",C17878*D17878/100)</f>
        <v/>
      </c>
      <c r="F17878" s="15" t="str">
        <f aca="false">IF(B17878&lt;5,"Go","Standard")</f>
        <v>Standard</v>
      </c>
    </row>
    <row r="17879" customFormat="false" ht="15" hidden="false" customHeight="true" outlineLevel="0" collapsed="false">
      <c r="A17879" s="10" t="n">
        <f aca="false">Einstellungen!$B$5+INT((ROW()-9)/24)</f>
        <v>46710</v>
      </c>
      <c r="B17879" s="11" t="n">
        <f aca="false">MOD(ROW()-9,24)</f>
        <v>14</v>
      </c>
      <c r="C17879" s="12"/>
      <c r="D17879" s="13" t="n">
        <f aca="false">IF(B17879&lt;5,Einstellungen!$B$3,Einstellungen!$B$4)</f>
        <v>29.13</v>
      </c>
      <c r="E17879" s="14" t="str">
        <f aca="false">IF(C17879="","",C17879*D17879/100)</f>
        <v/>
      </c>
      <c r="F17879" s="15" t="str">
        <f aca="false">IF(B17879&lt;5,"Go","Standard")</f>
        <v>Standard</v>
      </c>
    </row>
    <row r="17880" customFormat="false" ht="15" hidden="false" customHeight="true" outlineLevel="0" collapsed="false">
      <c r="A17880" s="10" t="n">
        <f aca="false">Einstellungen!$B$5+INT((ROW()-9)/24)</f>
        <v>46710</v>
      </c>
      <c r="B17880" s="11" t="n">
        <f aca="false">MOD(ROW()-9,24)</f>
        <v>15</v>
      </c>
      <c r="C17880" s="12"/>
      <c r="D17880" s="13" t="n">
        <f aca="false">IF(B17880&lt;5,Einstellungen!$B$3,Einstellungen!$B$4)</f>
        <v>29.13</v>
      </c>
      <c r="E17880" s="14" t="str">
        <f aca="false">IF(C17880="","",C17880*D17880/100)</f>
        <v/>
      </c>
      <c r="F17880" s="15" t="str">
        <f aca="false">IF(B17880&lt;5,"Go","Standard")</f>
        <v>Standard</v>
      </c>
    </row>
    <row r="17881" customFormat="false" ht="15" hidden="false" customHeight="true" outlineLevel="0" collapsed="false">
      <c r="A17881" s="10" t="n">
        <f aca="false">Einstellungen!$B$5+INT((ROW()-9)/24)</f>
        <v>46710</v>
      </c>
      <c r="B17881" s="11" t="n">
        <f aca="false">MOD(ROW()-9,24)</f>
        <v>16</v>
      </c>
      <c r="C17881" s="12"/>
      <c r="D17881" s="13" t="n">
        <f aca="false">IF(B17881&lt;5,Einstellungen!$B$3,Einstellungen!$B$4)</f>
        <v>29.13</v>
      </c>
      <c r="E17881" s="14" t="str">
        <f aca="false">IF(C17881="","",C17881*D17881/100)</f>
        <v/>
      </c>
      <c r="F17881" s="15" t="str">
        <f aca="false">IF(B17881&lt;5,"Go","Standard")</f>
        <v>Standard</v>
      </c>
    </row>
    <row r="17882" customFormat="false" ht="15" hidden="false" customHeight="true" outlineLevel="0" collapsed="false">
      <c r="A17882" s="10" t="n">
        <f aca="false">Einstellungen!$B$5+INT((ROW()-9)/24)</f>
        <v>46710</v>
      </c>
      <c r="B17882" s="11" t="n">
        <f aca="false">MOD(ROW()-9,24)</f>
        <v>17</v>
      </c>
      <c r="C17882" s="12"/>
      <c r="D17882" s="13" t="n">
        <f aca="false">IF(B17882&lt;5,Einstellungen!$B$3,Einstellungen!$B$4)</f>
        <v>29.13</v>
      </c>
      <c r="E17882" s="14" t="str">
        <f aca="false">IF(C17882="","",C17882*D17882/100)</f>
        <v/>
      </c>
      <c r="F17882" s="15" t="str">
        <f aca="false">IF(B17882&lt;5,"Go","Standard")</f>
        <v>Standard</v>
      </c>
    </row>
    <row r="17883" customFormat="false" ht="15" hidden="false" customHeight="true" outlineLevel="0" collapsed="false">
      <c r="A17883" s="10" t="n">
        <f aca="false">Einstellungen!$B$5+INT((ROW()-9)/24)</f>
        <v>46710</v>
      </c>
      <c r="B17883" s="11" t="n">
        <f aca="false">MOD(ROW()-9,24)</f>
        <v>18</v>
      </c>
      <c r="C17883" s="12"/>
      <c r="D17883" s="13" t="n">
        <f aca="false">IF(B17883&lt;5,Einstellungen!$B$3,Einstellungen!$B$4)</f>
        <v>29.13</v>
      </c>
      <c r="E17883" s="14" t="str">
        <f aca="false">IF(C17883="","",C17883*D17883/100)</f>
        <v/>
      </c>
      <c r="F17883" s="15" t="str">
        <f aca="false">IF(B17883&lt;5,"Go","Standard")</f>
        <v>Standard</v>
      </c>
    </row>
    <row r="17884" customFormat="false" ht="15" hidden="false" customHeight="true" outlineLevel="0" collapsed="false">
      <c r="A17884" s="10" t="n">
        <f aca="false">Einstellungen!$B$5+INT((ROW()-9)/24)</f>
        <v>46710</v>
      </c>
      <c r="B17884" s="11" t="n">
        <f aca="false">MOD(ROW()-9,24)</f>
        <v>19</v>
      </c>
      <c r="C17884" s="12"/>
      <c r="D17884" s="13" t="n">
        <f aca="false">IF(B17884&lt;5,Einstellungen!$B$3,Einstellungen!$B$4)</f>
        <v>29.13</v>
      </c>
      <c r="E17884" s="14" t="str">
        <f aca="false">IF(C17884="","",C17884*D17884/100)</f>
        <v/>
      </c>
      <c r="F17884" s="15" t="str">
        <f aca="false">IF(B17884&lt;5,"Go","Standard")</f>
        <v>Standard</v>
      </c>
    </row>
    <row r="17885" customFormat="false" ht="15" hidden="false" customHeight="true" outlineLevel="0" collapsed="false">
      <c r="A17885" s="10" t="n">
        <f aca="false">Einstellungen!$B$5+INT((ROW()-9)/24)</f>
        <v>46710</v>
      </c>
      <c r="B17885" s="11" t="n">
        <f aca="false">MOD(ROW()-9,24)</f>
        <v>20</v>
      </c>
      <c r="C17885" s="12"/>
      <c r="D17885" s="13" t="n">
        <f aca="false">IF(B17885&lt;5,Einstellungen!$B$3,Einstellungen!$B$4)</f>
        <v>29.13</v>
      </c>
      <c r="E17885" s="14" t="str">
        <f aca="false">IF(C17885="","",C17885*D17885/100)</f>
        <v/>
      </c>
      <c r="F17885" s="15" t="str">
        <f aca="false">IF(B17885&lt;5,"Go","Standard")</f>
        <v>Standard</v>
      </c>
    </row>
    <row r="17886" customFormat="false" ht="15" hidden="false" customHeight="true" outlineLevel="0" collapsed="false">
      <c r="A17886" s="10" t="n">
        <f aca="false">Einstellungen!$B$5+INT((ROW()-9)/24)</f>
        <v>46710</v>
      </c>
      <c r="B17886" s="11" t="n">
        <f aca="false">MOD(ROW()-9,24)</f>
        <v>21</v>
      </c>
      <c r="C17886" s="12"/>
      <c r="D17886" s="13" t="n">
        <f aca="false">IF(B17886&lt;5,Einstellungen!$B$3,Einstellungen!$B$4)</f>
        <v>29.13</v>
      </c>
      <c r="E17886" s="14" t="str">
        <f aca="false">IF(C17886="","",C17886*D17886/100)</f>
        <v/>
      </c>
      <c r="F17886" s="15" t="str">
        <f aca="false">IF(B17886&lt;5,"Go","Standard")</f>
        <v>Standard</v>
      </c>
    </row>
    <row r="17887" customFormat="false" ht="15" hidden="false" customHeight="true" outlineLevel="0" collapsed="false">
      <c r="A17887" s="10" t="n">
        <f aca="false">Einstellungen!$B$5+INT((ROW()-9)/24)</f>
        <v>46710</v>
      </c>
      <c r="B17887" s="11" t="n">
        <f aca="false">MOD(ROW()-9,24)</f>
        <v>22</v>
      </c>
      <c r="C17887" s="12"/>
      <c r="D17887" s="13" t="n">
        <f aca="false">IF(B17887&lt;5,Einstellungen!$B$3,Einstellungen!$B$4)</f>
        <v>29.13</v>
      </c>
      <c r="E17887" s="14" t="str">
        <f aca="false">IF(C17887="","",C17887*D17887/100)</f>
        <v/>
      </c>
      <c r="F17887" s="15" t="str">
        <f aca="false">IF(B17887&lt;5,"Go","Standard")</f>
        <v>Standard</v>
      </c>
    </row>
    <row r="17888" customFormat="false" ht="15" hidden="false" customHeight="true" outlineLevel="0" collapsed="false">
      <c r="A17888" s="10" t="n">
        <f aca="false">Einstellungen!$B$5+INT((ROW()-9)/24)</f>
        <v>46710</v>
      </c>
      <c r="B17888" s="11" t="n">
        <f aca="false">MOD(ROW()-9,24)</f>
        <v>23</v>
      </c>
      <c r="C17888" s="12"/>
      <c r="D17888" s="13" t="n">
        <f aca="false">IF(B17888&lt;5,Einstellungen!$B$3,Einstellungen!$B$4)</f>
        <v>29.13</v>
      </c>
      <c r="E17888" s="14" t="str">
        <f aca="false">IF(C17888="","",C17888*D17888/100)</f>
        <v/>
      </c>
      <c r="F17888" s="15" t="str">
        <f aca="false">IF(B17888&lt;5,"Go","Standard")</f>
        <v>Standard</v>
      </c>
    </row>
    <row r="17889" customFormat="false" ht="15" hidden="false" customHeight="true" outlineLevel="0" collapsed="false">
      <c r="A17889" s="10" t="n">
        <f aca="false">Einstellungen!$B$5+INT((ROW()-9)/24)</f>
        <v>46711</v>
      </c>
      <c r="B17889" s="11" t="n">
        <f aca="false">MOD(ROW()-9,24)</f>
        <v>0</v>
      </c>
      <c r="C17889" s="12"/>
      <c r="D17889" s="13" t="n">
        <f aca="false">IF(B17889&lt;5,Einstellungen!$B$3,Einstellungen!$B$4)</f>
        <v>15.92</v>
      </c>
      <c r="E17889" s="14" t="str">
        <f aca="false">IF(C17889="","",C17889*D17889/100)</f>
        <v/>
      </c>
      <c r="F17889" s="15" t="str">
        <f aca="false">IF(B17889&lt;5,"Go","Standard")</f>
        <v>Go</v>
      </c>
    </row>
    <row r="17890" customFormat="false" ht="15" hidden="false" customHeight="true" outlineLevel="0" collapsed="false">
      <c r="A17890" s="10" t="n">
        <f aca="false">Einstellungen!$B$5+INT((ROW()-9)/24)</f>
        <v>46711</v>
      </c>
      <c r="B17890" s="11" t="n">
        <f aca="false">MOD(ROW()-9,24)</f>
        <v>1</v>
      </c>
      <c r="C17890" s="12"/>
      <c r="D17890" s="13" t="n">
        <f aca="false">IF(B17890&lt;5,Einstellungen!$B$3,Einstellungen!$B$4)</f>
        <v>15.92</v>
      </c>
      <c r="E17890" s="14" t="str">
        <f aca="false">IF(C17890="","",C17890*D17890/100)</f>
        <v/>
      </c>
      <c r="F17890" s="15" t="str">
        <f aca="false">IF(B17890&lt;5,"Go","Standard")</f>
        <v>Go</v>
      </c>
    </row>
    <row r="17891" customFormat="false" ht="15" hidden="false" customHeight="true" outlineLevel="0" collapsed="false">
      <c r="A17891" s="10" t="n">
        <f aca="false">Einstellungen!$B$5+INT((ROW()-9)/24)</f>
        <v>46711</v>
      </c>
      <c r="B17891" s="11" t="n">
        <f aca="false">MOD(ROW()-9,24)</f>
        <v>2</v>
      </c>
      <c r="C17891" s="12"/>
      <c r="D17891" s="13" t="n">
        <f aca="false">IF(B17891&lt;5,Einstellungen!$B$3,Einstellungen!$B$4)</f>
        <v>15.92</v>
      </c>
      <c r="E17891" s="14" t="str">
        <f aca="false">IF(C17891="","",C17891*D17891/100)</f>
        <v/>
      </c>
      <c r="F17891" s="15" t="str">
        <f aca="false">IF(B17891&lt;5,"Go","Standard")</f>
        <v>Go</v>
      </c>
    </row>
    <row r="17892" customFormat="false" ht="15" hidden="false" customHeight="true" outlineLevel="0" collapsed="false">
      <c r="A17892" s="10" t="n">
        <f aca="false">Einstellungen!$B$5+INT((ROW()-9)/24)</f>
        <v>46711</v>
      </c>
      <c r="B17892" s="11" t="n">
        <f aca="false">MOD(ROW()-9,24)</f>
        <v>3</v>
      </c>
      <c r="C17892" s="12"/>
      <c r="D17892" s="13" t="n">
        <f aca="false">IF(B17892&lt;5,Einstellungen!$B$3,Einstellungen!$B$4)</f>
        <v>15.92</v>
      </c>
      <c r="E17892" s="14" t="str">
        <f aca="false">IF(C17892="","",C17892*D17892/100)</f>
        <v/>
      </c>
      <c r="F17892" s="15" t="str">
        <f aca="false">IF(B17892&lt;5,"Go","Standard")</f>
        <v>Go</v>
      </c>
    </row>
    <row r="17893" customFormat="false" ht="15" hidden="false" customHeight="true" outlineLevel="0" collapsed="false">
      <c r="A17893" s="10" t="n">
        <f aca="false">Einstellungen!$B$5+INT((ROW()-9)/24)</f>
        <v>46711</v>
      </c>
      <c r="B17893" s="11" t="n">
        <f aca="false">MOD(ROW()-9,24)</f>
        <v>4</v>
      </c>
      <c r="C17893" s="12"/>
      <c r="D17893" s="13" t="n">
        <f aca="false">IF(B17893&lt;5,Einstellungen!$B$3,Einstellungen!$B$4)</f>
        <v>15.92</v>
      </c>
      <c r="E17893" s="14" t="str">
        <f aca="false">IF(C17893="","",C17893*D17893/100)</f>
        <v/>
      </c>
      <c r="F17893" s="15" t="str">
        <f aca="false">IF(B17893&lt;5,"Go","Standard")</f>
        <v>Go</v>
      </c>
    </row>
    <row r="17894" customFormat="false" ht="15" hidden="false" customHeight="true" outlineLevel="0" collapsed="false">
      <c r="A17894" s="10" t="n">
        <f aca="false">Einstellungen!$B$5+INT((ROW()-9)/24)</f>
        <v>46711</v>
      </c>
      <c r="B17894" s="11" t="n">
        <f aca="false">MOD(ROW()-9,24)</f>
        <v>5</v>
      </c>
      <c r="C17894" s="12"/>
      <c r="D17894" s="13" t="n">
        <f aca="false">IF(B17894&lt;5,Einstellungen!$B$3,Einstellungen!$B$4)</f>
        <v>29.13</v>
      </c>
      <c r="E17894" s="14" t="str">
        <f aca="false">IF(C17894="","",C17894*D17894/100)</f>
        <v/>
      </c>
      <c r="F17894" s="15" t="str">
        <f aca="false">IF(B17894&lt;5,"Go","Standard")</f>
        <v>Standard</v>
      </c>
    </row>
    <row r="17895" customFormat="false" ht="15" hidden="false" customHeight="true" outlineLevel="0" collapsed="false">
      <c r="A17895" s="10" t="n">
        <f aca="false">Einstellungen!$B$5+INT((ROW()-9)/24)</f>
        <v>46711</v>
      </c>
      <c r="B17895" s="11" t="n">
        <f aca="false">MOD(ROW()-9,24)</f>
        <v>6</v>
      </c>
      <c r="C17895" s="12"/>
      <c r="D17895" s="13" t="n">
        <f aca="false">IF(B17895&lt;5,Einstellungen!$B$3,Einstellungen!$B$4)</f>
        <v>29.13</v>
      </c>
      <c r="E17895" s="14" t="str">
        <f aca="false">IF(C17895="","",C17895*D17895/100)</f>
        <v/>
      </c>
      <c r="F17895" s="15" t="str">
        <f aca="false">IF(B17895&lt;5,"Go","Standard")</f>
        <v>Standard</v>
      </c>
    </row>
    <row r="17896" customFormat="false" ht="15" hidden="false" customHeight="true" outlineLevel="0" collapsed="false">
      <c r="A17896" s="10" t="n">
        <f aca="false">Einstellungen!$B$5+INT((ROW()-9)/24)</f>
        <v>46711</v>
      </c>
      <c r="B17896" s="11" t="n">
        <f aca="false">MOD(ROW()-9,24)</f>
        <v>7</v>
      </c>
      <c r="C17896" s="12"/>
      <c r="D17896" s="13" t="n">
        <f aca="false">IF(B17896&lt;5,Einstellungen!$B$3,Einstellungen!$B$4)</f>
        <v>29.13</v>
      </c>
      <c r="E17896" s="14" t="str">
        <f aca="false">IF(C17896="","",C17896*D17896/100)</f>
        <v/>
      </c>
      <c r="F17896" s="15" t="str">
        <f aca="false">IF(B17896&lt;5,"Go","Standard")</f>
        <v>Standard</v>
      </c>
    </row>
    <row r="17897" customFormat="false" ht="15" hidden="false" customHeight="true" outlineLevel="0" collapsed="false">
      <c r="A17897" s="10" t="n">
        <f aca="false">Einstellungen!$B$5+INT((ROW()-9)/24)</f>
        <v>46711</v>
      </c>
      <c r="B17897" s="11" t="n">
        <f aca="false">MOD(ROW()-9,24)</f>
        <v>8</v>
      </c>
      <c r="C17897" s="12"/>
      <c r="D17897" s="13" t="n">
        <f aca="false">IF(B17897&lt;5,Einstellungen!$B$3,Einstellungen!$B$4)</f>
        <v>29.13</v>
      </c>
      <c r="E17897" s="14" t="str">
        <f aca="false">IF(C17897="","",C17897*D17897/100)</f>
        <v/>
      </c>
      <c r="F17897" s="15" t="str">
        <f aca="false">IF(B17897&lt;5,"Go","Standard")</f>
        <v>Standard</v>
      </c>
    </row>
    <row r="17898" customFormat="false" ht="15" hidden="false" customHeight="true" outlineLevel="0" collapsed="false">
      <c r="A17898" s="10" t="n">
        <f aca="false">Einstellungen!$B$5+INT((ROW()-9)/24)</f>
        <v>46711</v>
      </c>
      <c r="B17898" s="11" t="n">
        <f aca="false">MOD(ROW()-9,24)</f>
        <v>9</v>
      </c>
      <c r="C17898" s="12"/>
      <c r="D17898" s="13" t="n">
        <f aca="false">IF(B17898&lt;5,Einstellungen!$B$3,Einstellungen!$B$4)</f>
        <v>29.13</v>
      </c>
      <c r="E17898" s="14" t="str">
        <f aca="false">IF(C17898="","",C17898*D17898/100)</f>
        <v/>
      </c>
      <c r="F17898" s="15" t="str">
        <f aca="false">IF(B17898&lt;5,"Go","Standard")</f>
        <v>Standard</v>
      </c>
    </row>
    <row r="17899" customFormat="false" ht="15" hidden="false" customHeight="true" outlineLevel="0" collapsed="false">
      <c r="A17899" s="10" t="n">
        <f aca="false">Einstellungen!$B$5+INT((ROW()-9)/24)</f>
        <v>46711</v>
      </c>
      <c r="B17899" s="11" t="n">
        <f aca="false">MOD(ROW()-9,24)</f>
        <v>10</v>
      </c>
      <c r="C17899" s="12"/>
      <c r="D17899" s="13" t="n">
        <f aca="false">IF(B17899&lt;5,Einstellungen!$B$3,Einstellungen!$B$4)</f>
        <v>29.13</v>
      </c>
      <c r="E17899" s="14" t="str">
        <f aca="false">IF(C17899="","",C17899*D17899/100)</f>
        <v/>
      </c>
      <c r="F17899" s="15" t="str">
        <f aca="false">IF(B17899&lt;5,"Go","Standard")</f>
        <v>Standard</v>
      </c>
    </row>
    <row r="17900" customFormat="false" ht="15" hidden="false" customHeight="true" outlineLevel="0" collapsed="false">
      <c r="A17900" s="10" t="n">
        <f aca="false">Einstellungen!$B$5+INT((ROW()-9)/24)</f>
        <v>46711</v>
      </c>
      <c r="B17900" s="11" t="n">
        <f aca="false">MOD(ROW()-9,24)</f>
        <v>11</v>
      </c>
      <c r="C17900" s="12"/>
      <c r="D17900" s="13" t="n">
        <f aca="false">IF(B17900&lt;5,Einstellungen!$B$3,Einstellungen!$B$4)</f>
        <v>29.13</v>
      </c>
      <c r="E17900" s="14" t="str">
        <f aca="false">IF(C17900="","",C17900*D17900/100)</f>
        <v/>
      </c>
      <c r="F17900" s="15" t="str">
        <f aca="false">IF(B17900&lt;5,"Go","Standard")</f>
        <v>Standard</v>
      </c>
    </row>
    <row r="17901" customFormat="false" ht="15" hidden="false" customHeight="true" outlineLevel="0" collapsed="false">
      <c r="A17901" s="10" t="n">
        <f aca="false">Einstellungen!$B$5+INT((ROW()-9)/24)</f>
        <v>46711</v>
      </c>
      <c r="B17901" s="11" t="n">
        <f aca="false">MOD(ROW()-9,24)</f>
        <v>12</v>
      </c>
      <c r="C17901" s="12"/>
      <c r="D17901" s="13" t="n">
        <f aca="false">IF(B17901&lt;5,Einstellungen!$B$3,Einstellungen!$B$4)</f>
        <v>29.13</v>
      </c>
      <c r="E17901" s="14" t="str">
        <f aca="false">IF(C17901="","",C17901*D17901/100)</f>
        <v/>
      </c>
      <c r="F17901" s="15" t="str">
        <f aca="false">IF(B17901&lt;5,"Go","Standard")</f>
        <v>Standard</v>
      </c>
    </row>
    <row r="17902" customFormat="false" ht="15" hidden="false" customHeight="true" outlineLevel="0" collapsed="false">
      <c r="A17902" s="10" t="n">
        <f aca="false">Einstellungen!$B$5+INT((ROW()-9)/24)</f>
        <v>46711</v>
      </c>
      <c r="B17902" s="11" t="n">
        <f aca="false">MOD(ROW()-9,24)</f>
        <v>13</v>
      </c>
      <c r="C17902" s="12"/>
      <c r="D17902" s="13" t="n">
        <f aca="false">IF(B17902&lt;5,Einstellungen!$B$3,Einstellungen!$B$4)</f>
        <v>29.13</v>
      </c>
      <c r="E17902" s="14" t="str">
        <f aca="false">IF(C17902="","",C17902*D17902/100)</f>
        <v/>
      </c>
      <c r="F17902" s="15" t="str">
        <f aca="false">IF(B17902&lt;5,"Go","Standard")</f>
        <v>Standard</v>
      </c>
    </row>
    <row r="17903" customFormat="false" ht="15" hidden="false" customHeight="true" outlineLevel="0" collapsed="false">
      <c r="A17903" s="10" t="n">
        <f aca="false">Einstellungen!$B$5+INT((ROW()-9)/24)</f>
        <v>46711</v>
      </c>
      <c r="B17903" s="11" t="n">
        <f aca="false">MOD(ROW()-9,24)</f>
        <v>14</v>
      </c>
      <c r="C17903" s="12"/>
      <c r="D17903" s="13" t="n">
        <f aca="false">IF(B17903&lt;5,Einstellungen!$B$3,Einstellungen!$B$4)</f>
        <v>29.13</v>
      </c>
      <c r="E17903" s="14" t="str">
        <f aca="false">IF(C17903="","",C17903*D17903/100)</f>
        <v/>
      </c>
      <c r="F17903" s="15" t="str">
        <f aca="false">IF(B17903&lt;5,"Go","Standard")</f>
        <v>Standard</v>
      </c>
    </row>
    <row r="17904" customFormat="false" ht="15" hidden="false" customHeight="true" outlineLevel="0" collapsed="false">
      <c r="A17904" s="10" t="n">
        <f aca="false">Einstellungen!$B$5+INT((ROW()-9)/24)</f>
        <v>46711</v>
      </c>
      <c r="B17904" s="11" t="n">
        <f aca="false">MOD(ROW()-9,24)</f>
        <v>15</v>
      </c>
      <c r="C17904" s="12"/>
      <c r="D17904" s="13" t="n">
        <f aca="false">IF(B17904&lt;5,Einstellungen!$B$3,Einstellungen!$B$4)</f>
        <v>29.13</v>
      </c>
      <c r="E17904" s="14" t="str">
        <f aca="false">IF(C17904="","",C17904*D17904/100)</f>
        <v/>
      </c>
      <c r="F17904" s="15" t="str">
        <f aca="false">IF(B17904&lt;5,"Go","Standard")</f>
        <v>Standard</v>
      </c>
    </row>
    <row r="17905" customFormat="false" ht="15" hidden="false" customHeight="true" outlineLevel="0" collapsed="false">
      <c r="A17905" s="10" t="n">
        <f aca="false">Einstellungen!$B$5+INT((ROW()-9)/24)</f>
        <v>46711</v>
      </c>
      <c r="B17905" s="11" t="n">
        <f aca="false">MOD(ROW()-9,24)</f>
        <v>16</v>
      </c>
      <c r="C17905" s="12"/>
      <c r="D17905" s="13" t="n">
        <f aca="false">IF(B17905&lt;5,Einstellungen!$B$3,Einstellungen!$B$4)</f>
        <v>29.13</v>
      </c>
      <c r="E17905" s="14" t="str">
        <f aca="false">IF(C17905="","",C17905*D17905/100)</f>
        <v/>
      </c>
      <c r="F17905" s="15" t="str">
        <f aca="false">IF(B17905&lt;5,"Go","Standard")</f>
        <v>Standard</v>
      </c>
    </row>
    <row r="17906" customFormat="false" ht="15" hidden="false" customHeight="true" outlineLevel="0" collapsed="false">
      <c r="A17906" s="10" t="n">
        <f aca="false">Einstellungen!$B$5+INT((ROW()-9)/24)</f>
        <v>46711</v>
      </c>
      <c r="B17906" s="11" t="n">
        <f aca="false">MOD(ROW()-9,24)</f>
        <v>17</v>
      </c>
      <c r="C17906" s="12"/>
      <c r="D17906" s="13" t="n">
        <f aca="false">IF(B17906&lt;5,Einstellungen!$B$3,Einstellungen!$B$4)</f>
        <v>29.13</v>
      </c>
      <c r="E17906" s="14" t="str">
        <f aca="false">IF(C17906="","",C17906*D17906/100)</f>
        <v/>
      </c>
      <c r="F17906" s="15" t="str">
        <f aca="false">IF(B17906&lt;5,"Go","Standard")</f>
        <v>Standard</v>
      </c>
    </row>
    <row r="17907" customFormat="false" ht="15" hidden="false" customHeight="true" outlineLevel="0" collapsed="false">
      <c r="A17907" s="10" t="n">
        <f aca="false">Einstellungen!$B$5+INT((ROW()-9)/24)</f>
        <v>46711</v>
      </c>
      <c r="B17907" s="11" t="n">
        <f aca="false">MOD(ROW()-9,24)</f>
        <v>18</v>
      </c>
      <c r="C17907" s="12"/>
      <c r="D17907" s="13" t="n">
        <f aca="false">IF(B17907&lt;5,Einstellungen!$B$3,Einstellungen!$B$4)</f>
        <v>29.13</v>
      </c>
      <c r="E17907" s="14" t="str">
        <f aca="false">IF(C17907="","",C17907*D17907/100)</f>
        <v/>
      </c>
      <c r="F17907" s="15" t="str">
        <f aca="false">IF(B17907&lt;5,"Go","Standard")</f>
        <v>Standard</v>
      </c>
    </row>
    <row r="17908" customFormat="false" ht="15" hidden="false" customHeight="true" outlineLevel="0" collapsed="false">
      <c r="A17908" s="10" t="n">
        <f aca="false">Einstellungen!$B$5+INT((ROW()-9)/24)</f>
        <v>46711</v>
      </c>
      <c r="B17908" s="11" t="n">
        <f aca="false">MOD(ROW()-9,24)</f>
        <v>19</v>
      </c>
      <c r="C17908" s="12"/>
      <c r="D17908" s="13" t="n">
        <f aca="false">IF(B17908&lt;5,Einstellungen!$B$3,Einstellungen!$B$4)</f>
        <v>29.13</v>
      </c>
      <c r="E17908" s="14" t="str">
        <f aca="false">IF(C17908="","",C17908*D17908/100)</f>
        <v/>
      </c>
      <c r="F17908" s="15" t="str">
        <f aca="false">IF(B17908&lt;5,"Go","Standard")</f>
        <v>Standard</v>
      </c>
    </row>
    <row r="17909" customFormat="false" ht="15" hidden="false" customHeight="true" outlineLevel="0" collapsed="false">
      <c r="A17909" s="10" t="n">
        <f aca="false">Einstellungen!$B$5+INT((ROW()-9)/24)</f>
        <v>46711</v>
      </c>
      <c r="B17909" s="11" t="n">
        <f aca="false">MOD(ROW()-9,24)</f>
        <v>20</v>
      </c>
      <c r="C17909" s="12"/>
      <c r="D17909" s="13" t="n">
        <f aca="false">IF(B17909&lt;5,Einstellungen!$B$3,Einstellungen!$B$4)</f>
        <v>29.13</v>
      </c>
      <c r="E17909" s="14" t="str">
        <f aca="false">IF(C17909="","",C17909*D17909/100)</f>
        <v/>
      </c>
      <c r="F17909" s="15" t="str">
        <f aca="false">IF(B17909&lt;5,"Go","Standard")</f>
        <v>Standard</v>
      </c>
    </row>
    <row r="17910" customFormat="false" ht="15" hidden="false" customHeight="true" outlineLevel="0" collapsed="false">
      <c r="A17910" s="10" t="n">
        <f aca="false">Einstellungen!$B$5+INT((ROW()-9)/24)</f>
        <v>46711</v>
      </c>
      <c r="B17910" s="11" t="n">
        <f aca="false">MOD(ROW()-9,24)</f>
        <v>21</v>
      </c>
      <c r="C17910" s="12"/>
      <c r="D17910" s="13" t="n">
        <f aca="false">IF(B17910&lt;5,Einstellungen!$B$3,Einstellungen!$B$4)</f>
        <v>29.13</v>
      </c>
      <c r="E17910" s="14" t="str">
        <f aca="false">IF(C17910="","",C17910*D17910/100)</f>
        <v/>
      </c>
      <c r="F17910" s="15" t="str">
        <f aca="false">IF(B17910&lt;5,"Go","Standard")</f>
        <v>Standard</v>
      </c>
    </row>
    <row r="17911" customFormat="false" ht="15" hidden="false" customHeight="true" outlineLevel="0" collapsed="false">
      <c r="A17911" s="10" t="n">
        <f aca="false">Einstellungen!$B$5+INT((ROW()-9)/24)</f>
        <v>46711</v>
      </c>
      <c r="B17911" s="11" t="n">
        <f aca="false">MOD(ROW()-9,24)</f>
        <v>22</v>
      </c>
      <c r="C17911" s="12"/>
      <c r="D17911" s="13" t="n">
        <f aca="false">IF(B17911&lt;5,Einstellungen!$B$3,Einstellungen!$B$4)</f>
        <v>29.13</v>
      </c>
      <c r="E17911" s="14" t="str">
        <f aca="false">IF(C17911="","",C17911*D17911/100)</f>
        <v/>
      </c>
      <c r="F17911" s="15" t="str">
        <f aca="false">IF(B17911&lt;5,"Go","Standard")</f>
        <v>Standard</v>
      </c>
    </row>
    <row r="17912" customFormat="false" ht="15" hidden="false" customHeight="true" outlineLevel="0" collapsed="false">
      <c r="A17912" s="10" t="n">
        <f aca="false">Einstellungen!$B$5+INT((ROW()-9)/24)</f>
        <v>46711</v>
      </c>
      <c r="B17912" s="11" t="n">
        <f aca="false">MOD(ROW()-9,24)</f>
        <v>23</v>
      </c>
      <c r="C17912" s="12"/>
      <c r="D17912" s="13" t="n">
        <f aca="false">IF(B17912&lt;5,Einstellungen!$B$3,Einstellungen!$B$4)</f>
        <v>29.13</v>
      </c>
      <c r="E17912" s="14" t="str">
        <f aca="false">IF(C17912="","",C17912*D17912/100)</f>
        <v/>
      </c>
      <c r="F17912" s="15" t="str">
        <f aca="false">IF(B17912&lt;5,"Go","Standard")</f>
        <v>Standard</v>
      </c>
    </row>
    <row r="17913" customFormat="false" ht="15" hidden="false" customHeight="true" outlineLevel="0" collapsed="false">
      <c r="A17913" s="10" t="n">
        <f aca="false">Einstellungen!$B$5+INT((ROW()-9)/24)</f>
        <v>46712</v>
      </c>
      <c r="B17913" s="11" t="n">
        <f aca="false">MOD(ROW()-9,24)</f>
        <v>0</v>
      </c>
      <c r="C17913" s="12"/>
      <c r="D17913" s="13" t="n">
        <f aca="false">IF(B17913&lt;5,Einstellungen!$B$3,Einstellungen!$B$4)</f>
        <v>15.92</v>
      </c>
      <c r="E17913" s="14" t="str">
        <f aca="false">IF(C17913="","",C17913*D17913/100)</f>
        <v/>
      </c>
      <c r="F17913" s="15" t="str">
        <f aca="false">IF(B17913&lt;5,"Go","Standard")</f>
        <v>Go</v>
      </c>
    </row>
    <row r="17914" customFormat="false" ht="15" hidden="false" customHeight="true" outlineLevel="0" collapsed="false">
      <c r="A17914" s="10" t="n">
        <f aca="false">Einstellungen!$B$5+INT((ROW()-9)/24)</f>
        <v>46712</v>
      </c>
      <c r="B17914" s="11" t="n">
        <f aca="false">MOD(ROW()-9,24)</f>
        <v>1</v>
      </c>
      <c r="C17914" s="12"/>
      <c r="D17914" s="13" t="n">
        <f aca="false">IF(B17914&lt;5,Einstellungen!$B$3,Einstellungen!$B$4)</f>
        <v>15.92</v>
      </c>
      <c r="E17914" s="14" t="str">
        <f aca="false">IF(C17914="","",C17914*D17914/100)</f>
        <v/>
      </c>
      <c r="F17914" s="15" t="str">
        <f aca="false">IF(B17914&lt;5,"Go","Standard")</f>
        <v>Go</v>
      </c>
    </row>
    <row r="17915" customFormat="false" ht="15" hidden="false" customHeight="true" outlineLevel="0" collapsed="false">
      <c r="A17915" s="10" t="n">
        <f aca="false">Einstellungen!$B$5+INT((ROW()-9)/24)</f>
        <v>46712</v>
      </c>
      <c r="B17915" s="11" t="n">
        <f aca="false">MOD(ROW()-9,24)</f>
        <v>2</v>
      </c>
      <c r="C17915" s="12"/>
      <c r="D17915" s="13" t="n">
        <f aca="false">IF(B17915&lt;5,Einstellungen!$B$3,Einstellungen!$B$4)</f>
        <v>15.92</v>
      </c>
      <c r="E17915" s="14" t="str">
        <f aca="false">IF(C17915="","",C17915*D17915/100)</f>
        <v/>
      </c>
      <c r="F17915" s="15" t="str">
        <f aca="false">IF(B17915&lt;5,"Go","Standard")</f>
        <v>Go</v>
      </c>
    </row>
    <row r="17916" customFormat="false" ht="15" hidden="false" customHeight="true" outlineLevel="0" collapsed="false">
      <c r="A17916" s="10" t="n">
        <f aca="false">Einstellungen!$B$5+INT((ROW()-9)/24)</f>
        <v>46712</v>
      </c>
      <c r="B17916" s="11" t="n">
        <f aca="false">MOD(ROW()-9,24)</f>
        <v>3</v>
      </c>
      <c r="C17916" s="12"/>
      <c r="D17916" s="13" t="n">
        <f aca="false">IF(B17916&lt;5,Einstellungen!$B$3,Einstellungen!$B$4)</f>
        <v>15.92</v>
      </c>
      <c r="E17916" s="14" t="str">
        <f aca="false">IF(C17916="","",C17916*D17916/100)</f>
        <v/>
      </c>
      <c r="F17916" s="15" t="str">
        <f aca="false">IF(B17916&lt;5,"Go","Standard")</f>
        <v>Go</v>
      </c>
    </row>
    <row r="17917" customFormat="false" ht="15" hidden="false" customHeight="true" outlineLevel="0" collapsed="false">
      <c r="A17917" s="10" t="n">
        <f aca="false">Einstellungen!$B$5+INT((ROW()-9)/24)</f>
        <v>46712</v>
      </c>
      <c r="B17917" s="11" t="n">
        <f aca="false">MOD(ROW()-9,24)</f>
        <v>4</v>
      </c>
      <c r="C17917" s="12"/>
      <c r="D17917" s="13" t="n">
        <f aca="false">IF(B17917&lt;5,Einstellungen!$B$3,Einstellungen!$B$4)</f>
        <v>15.92</v>
      </c>
      <c r="E17917" s="14" t="str">
        <f aca="false">IF(C17917="","",C17917*D17917/100)</f>
        <v/>
      </c>
      <c r="F17917" s="15" t="str">
        <f aca="false">IF(B17917&lt;5,"Go","Standard")</f>
        <v>Go</v>
      </c>
    </row>
    <row r="17918" customFormat="false" ht="15" hidden="false" customHeight="true" outlineLevel="0" collapsed="false">
      <c r="A17918" s="10" t="n">
        <f aca="false">Einstellungen!$B$5+INT((ROW()-9)/24)</f>
        <v>46712</v>
      </c>
      <c r="B17918" s="11" t="n">
        <f aca="false">MOD(ROW()-9,24)</f>
        <v>5</v>
      </c>
      <c r="C17918" s="12"/>
      <c r="D17918" s="13" t="n">
        <f aca="false">IF(B17918&lt;5,Einstellungen!$B$3,Einstellungen!$B$4)</f>
        <v>29.13</v>
      </c>
      <c r="E17918" s="14" t="str">
        <f aca="false">IF(C17918="","",C17918*D17918/100)</f>
        <v/>
      </c>
      <c r="F17918" s="15" t="str">
        <f aca="false">IF(B17918&lt;5,"Go","Standard")</f>
        <v>Standard</v>
      </c>
    </row>
    <row r="17919" customFormat="false" ht="15" hidden="false" customHeight="true" outlineLevel="0" collapsed="false">
      <c r="A17919" s="10" t="n">
        <f aca="false">Einstellungen!$B$5+INT((ROW()-9)/24)</f>
        <v>46712</v>
      </c>
      <c r="B17919" s="11" t="n">
        <f aca="false">MOD(ROW()-9,24)</f>
        <v>6</v>
      </c>
      <c r="C17919" s="12"/>
      <c r="D17919" s="13" t="n">
        <f aca="false">IF(B17919&lt;5,Einstellungen!$B$3,Einstellungen!$B$4)</f>
        <v>29.13</v>
      </c>
      <c r="E17919" s="14" t="str">
        <f aca="false">IF(C17919="","",C17919*D17919/100)</f>
        <v/>
      </c>
      <c r="F17919" s="15" t="str">
        <f aca="false">IF(B17919&lt;5,"Go","Standard")</f>
        <v>Standard</v>
      </c>
    </row>
    <row r="17920" customFormat="false" ht="15" hidden="false" customHeight="true" outlineLevel="0" collapsed="false">
      <c r="A17920" s="10" t="n">
        <f aca="false">Einstellungen!$B$5+INT((ROW()-9)/24)</f>
        <v>46712</v>
      </c>
      <c r="B17920" s="11" t="n">
        <f aca="false">MOD(ROW()-9,24)</f>
        <v>7</v>
      </c>
      <c r="C17920" s="12"/>
      <c r="D17920" s="13" t="n">
        <f aca="false">IF(B17920&lt;5,Einstellungen!$B$3,Einstellungen!$B$4)</f>
        <v>29.13</v>
      </c>
      <c r="E17920" s="14" t="str">
        <f aca="false">IF(C17920="","",C17920*D17920/100)</f>
        <v/>
      </c>
      <c r="F17920" s="15" t="str">
        <f aca="false">IF(B17920&lt;5,"Go","Standard")</f>
        <v>Standard</v>
      </c>
    </row>
    <row r="17921" customFormat="false" ht="15" hidden="false" customHeight="true" outlineLevel="0" collapsed="false">
      <c r="A17921" s="10" t="n">
        <f aca="false">Einstellungen!$B$5+INT((ROW()-9)/24)</f>
        <v>46712</v>
      </c>
      <c r="B17921" s="11" t="n">
        <f aca="false">MOD(ROW()-9,24)</f>
        <v>8</v>
      </c>
      <c r="C17921" s="12"/>
      <c r="D17921" s="13" t="n">
        <f aca="false">IF(B17921&lt;5,Einstellungen!$B$3,Einstellungen!$B$4)</f>
        <v>29.13</v>
      </c>
      <c r="E17921" s="14" t="str">
        <f aca="false">IF(C17921="","",C17921*D17921/100)</f>
        <v/>
      </c>
      <c r="F17921" s="15" t="str">
        <f aca="false">IF(B17921&lt;5,"Go","Standard")</f>
        <v>Standard</v>
      </c>
    </row>
    <row r="17922" customFormat="false" ht="15" hidden="false" customHeight="true" outlineLevel="0" collapsed="false">
      <c r="A17922" s="10" t="n">
        <f aca="false">Einstellungen!$B$5+INT((ROW()-9)/24)</f>
        <v>46712</v>
      </c>
      <c r="B17922" s="11" t="n">
        <f aca="false">MOD(ROW()-9,24)</f>
        <v>9</v>
      </c>
      <c r="C17922" s="12"/>
      <c r="D17922" s="13" t="n">
        <f aca="false">IF(B17922&lt;5,Einstellungen!$B$3,Einstellungen!$B$4)</f>
        <v>29.13</v>
      </c>
      <c r="E17922" s="14" t="str">
        <f aca="false">IF(C17922="","",C17922*D17922/100)</f>
        <v/>
      </c>
      <c r="F17922" s="15" t="str">
        <f aca="false">IF(B17922&lt;5,"Go","Standard")</f>
        <v>Standard</v>
      </c>
    </row>
    <row r="17923" customFormat="false" ht="15" hidden="false" customHeight="true" outlineLevel="0" collapsed="false">
      <c r="A17923" s="10" t="n">
        <f aca="false">Einstellungen!$B$5+INT((ROW()-9)/24)</f>
        <v>46712</v>
      </c>
      <c r="B17923" s="11" t="n">
        <f aca="false">MOD(ROW()-9,24)</f>
        <v>10</v>
      </c>
      <c r="C17923" s="12"/>
      <c r="D17923" s="13" t="n">
        <f aca="false">IF(B17923&lt;5,Einstellungen!$B$3,Einstellungen!$B$4)</f>
        <v>29.13</v>
      </c>
      <c r="E17923" s="14" t="str">
        <f aca="false">IF(C17923="","",C17923*D17923/100)</f>
        <v/>
      </c>
      <c r="F17923" s="15" t="str">
        <f aca="false">IF(B17923&lt;5,"Go","Standard")</f>
        <v>Standard</v>
      </c>
    </row>
    <row r="17924" customFormat="false" ht="15" hidden="false" customHeight="true" outlineLevel="0" collapsed="false">
      <c r="A17924" s="10" t="n">
        <f aca="false">Einstellungen!$B$5+INT((ROW()-9)/24)</f>
        <v>46712</v>
      </c>
      <c r="B17924" s="11" t="n">
        <f aca="false">MOD(ROW()-9,24)</f>
        <v>11</v>
      </c>
      <c r="C17924" s="12"/>
      <c r="D17924" s="13" t="n">
        <f aca="false">IF(B17924&lt;5,Einstellungen!$B$3,Einstellungen!$B$4)</f>
        <v>29.13</v>
      </c>
      <c r="E17924" s="14" t="str">
        <f aca="false">IF(C17924="","",C17924*D17924/100)</f>
        <v/>
      </c>
      <c r="F17924" s="15" t="str">
        <f aca="false">IF(B17924&lt;5,"Go","Standard")</f>
        <v>Standard</v>
      </c>
    </row>
    <row r="17925" customFormat="false" ht="15" hidden="false" customHeight="true" outlineLevel="0" collapsed="false">
      <c r="A17925" s="10" t="n">
        <f aca="false">Einstellungen!$B$5+INT((ROW()-9)/24)</f>
        <v>46712</v>
      </c>
      <c r="B17925" s="11" t="n">
        <f aca="false">MOD(ROW()-9,24)</f>
        <v>12</v>
      </c>
      <c r="C17925" s="12"/>
      <c r="D17925" s="13" t="n">
        <f aca="false">IF(B17925&lt;5,Einstellungen!$B$3,Einstellungen!$B$4)</f>
        <v>29.13</v>
      </c>
      <c r="E17925" s="14" t="str">
        <f aca="false">IF(C17925="","",C17925*D17925/100)</f>
        <v/>
      </c>
      <c r="F17925" s="15" t="str">
        <f aca="false">IF(B17925&lt;5,"Go","Standard")</f>
        <v>Standard</v>
      </c>
    </row>
    <row r="17926" customFormat="false" ht="15" hidden="false" customHeight="true" outlineLevel="0" collapsed="false">
      <c r="A17926" s="10" t="n">
        <f aca="false">Einstellungen!$B$5+INT((ROW()-9)/24)</f>
        <v>46712</v>
      </c>
      <c r="B17926" s="11" t="n">
        <f aca="false">MOD(ROW()-9,24)</f>
        <v>13</v>
      </c>
      <c r="C17926" s="12"/>
      <c r="D17926" s="13" t="n">
        <f aca="false">IF(B17926&lt;5,Einstellungen!$B$3,Einstellungen!$B$4)</f>
        <v>29.13</v>
      </c>
      <c r="E17926" s="14" t="str">
        <f aca="false">IF(C17926="","",C17926*D17926/100)</f>
        <v/>
      </c>
      <c r="F17926" s="15" t="str">
        <f aca="false">IF(B17926&lt;5,"Go","Standard")</f>
        <v>Standard</v>
      </c>
    </row>
    <row r="17927" customFormat="false" ht="15" hidden="false" customHeight="true" outlineLevel="0" collapsed="false">
      <c r="A17927" s="10" t="n">
        <f aca="false">Einstellungen!$B$5+INT((ROW()-9)/24)</f>
        <v>46712</v>
      </c>
      <c r="B17927" s="11" t="n">
        <f aca="false">MOD(ROW()-9,24)</f>
        <v>14</v>
      </c>
      <c r="C17927" s="12"/>
      <c r="D17927" s="13" t="n">
        <f aca="false">IF(B17927&lt;5,Einstellungen!$B$3,Einstellungen!$B$4)</f>
        <v>29.13</v>
      </c>
      <c r="E17927" s="14" t="str">
        <f aca="false">IF(C17927="","",C17927*D17927/100)</f>
        <v/>
      </c>
      <c r="F17927" s="15" t="str">
        <f aca="false">IF(B17927&lt;5,"Go","Standard")</f>
        <v>Standard</v>
      </c>
    </row>
    <row r="17928" customFormat="false" ht="15" hidden="false" customHeight="true" outlineLevel="0" collapsed="false">
      <c r="A17928" s="10" t="n">
        <f aca="false">Einstellungen!$B$5+INT((ROW()-9)/24)</f>
        <v>46712</v>
      </c>
      <c r="B17928" s="11" t="n">
        <f aca="false">MOD(ROW()-9,24)</f>
        <v>15</v>
      </c>
      <c r="C17928" s="12"/>
      <c r="D17928" s="13" t="n">
        <f aca="false">IF(B17928&lt;5,Einstellungen!$B$3,Einstellungen!$B$4)</f>
        <v>29.13</v>
      </c>
      <c r="E17928" s="14" t="str">
        <f aca="false">IF(C17928="","",C17928*D17928/100)</f>
        <v/>
      </c>
      <c r="F17928" s="15" t="str">
        <f aca="false">IF(B17928&lt;5,"Go","Standard")</f>
        <v>Standard</v>
      </c>
    </row>
    <row r="17929" customFormat="false" ht="15" hidden="false" customHeight="true" outlineLevel="0" collapsed="false">
      <c r="A17929" s="10" t="n">
        <f aca="false">Einstellungen!$B$5+INT((ROW()-9)/24)</f>
        <v>46712</v>
      </c>
      <c r="B17929" s="11" t="n">
        <f aca="false">MOD(ROW()-9,24)</f>
        <v>16</v>
      </c>
      <c r="C17929" s="12"/>
      <c r="D17929" s="13" t="n">
        <f aca="false">IF(B17929&lt;5,Einstellungen!$B$3,Einstellungen!$B$4)</f>
        <v>29.13</v>
      </c>
      <c r="E17929" s="14" t="str">
        <f aca="false">IF(C17929="","",C17929*D17929/100)</f>
        <v/>
      </c>
      <c r="F17929" s="15" t="str">
        <f aca="false">IF(B17929&lt;5,"Go","Standard")</f>
        <v>Standard</v>
      </c>
    </row>
    <row r="17930" customFormat="false" ht="15" hidden="false" customHeight="true" outlineLevel="0" collapsed="false">
      <c r="A17930" s="10" t="n">
        <f aca="false">Einstellungen!$B$5+INT((ROW()-9)/24)</f>
        <v>46712</v>
      </c>
      <c r="B17930" s="11" t="n">
        <f aca="false">MOD(ROW()-9,24)</f>
        <v>17</v>
      </c>
      <c r="C17930" s="12"/>
      <c r="D17930" s="13" t="n">
        <f aca="false">IF(B17930&lt;5,Einstellungen!$B$3,Einstellungen!$B$4)</f>
        <v>29.13</v>
      </c>
      <c r="E17930" s="14" t="str">
        <f aca="false">IF(C17930="","",C17930*D17930/100)</f>
        <v/>
      </c>
      <c r="F17930" s="15" t="str">
        <f aca="false">IF(B17930&lt;5,"Go","Standard")</f>
        <v>Standard</v>
      </c>
    </row>
    <row r="17931" customFormat="false" ht="15" hidden="false" customHeight="true" outlineLevel="0" collapsed="false">
      <c r="A17931" s="10" t="n">
        <f aca="false">Einstellungen!$B$5+INT((ROW()-9)/24)</f>
        <v>46712</v>
      </c>
      <c r="B17931" s="11" t="n">
        <f aca="false">MOD(ROW()-9,24)</f>
        <v>18</v>
      </c>
      <c r="C17931" s="12"/>
      <c r="D17931" s="13" t="n">
        <f aca="false">IF(B17931&lt;5,Einstellungen!$B$3,Einstellungen!$B$4)</f>
        <v>29.13</v>
      </c>
      <c r="E17931" s="14" t="str">
        <f aca="false">IF(C17931="","",C17931*D17931/100)</f>
        <v/>
      </c>
      <c r="F17931" s="15" t="str">
        <f aca="false">IF(B17931&lt;5,"Go","Standard")</f>
        <v>Standard</v>
      </c>
    </row>
    <row r="17932" customFormat="false" ht="15" hidden="false" customHeight="true" outlineLevel="0" collapsed="false">
      <c r="A17932" s="10" t="n">
        <f aca="false">Einstellungen!$B$5+INT((ROW()-9)/24)</f>
        <v>46712</v>
      </c>
      <c r="B17932" s="11" t="n">
        <f aca="false">MOD(ROW()-9,24)</f>
        <v>19</v>
      </c>
      <c r="C17932" s="12"/>
      <c r="D17932" s="13" t="n">
        <f aca="false">IF(B17932&lt;5,Einstellungen!$B$3,Einstellungen!$B$4)</f>
        <v>29.13</v>
      </c>
      <c r="E17932" s="14" t="str">
        <f aca="false">IF(C17932="","",C17932*D17932/100)</f>
        <v/>
      </c>
      <c r="F17932" s="15" t="str">
        <f aca="false">IF(B17932&lt;5,"Go","Standard")</f>
        <v>Standard</v>
      </c>
    </row>
    <row r="17933" customFormat="false" ht="15" hidden="false" customHeight="true" outlineLevel="0" collapsed="false">
      <c r="A17933" s="10" t="n">
        <f aca="false">Einstellungen!$B$5+INT((ROW()-9)/24)</f>
        <v>46712</v>
      </c>
      <c r="B17933" s="11" t="n">
        <f aca="false">MOD(ROW()-9,24)</f>
        <v>20</v>
      </c>
      <c r="C17933" s="12"/>
      <c r="D17933" s="13" t="n">
        <f aca="false">IF(B17933&lt;5,Einstellungen!$B$3,Einstellungen!$B$4)</f>
        <v>29.13</v>
      </c>
      <c r="E17933" s="14" t="str">
        <f aca="false">IF(C17933="","",C17933*D17933/100)</f>
        <v/>
      </c>
      <c r="F17933" s="15" t="str">
        <f aca="false">IF(B17933&lt;5,"Go","Standard")</f>
        <v>Standard</v>
      </c>
    </row>
    <row r="17934" customFormat="false" ht="15" hidden="false" customHeight="true" outlineLevel="0" collapsed="false">
      <c r="A17934" s="10" t="n">
        <f aca="false">Einstellungen!$B$5+INT((ROW()-9)/24)</f>
        <v>46712</v>
      </c>
      <c r="B17934" s="11" t="n">
        <f aca="false">MOD(ROW()-9,24)</f>
        <v>21</v>
      </c>
      <c r="C17934" s="12"/>
      <c r="D17934" s="13" t="n">
        <f aca="false">IF(B17934&lt;5,Einstellungen!$B$3,Einstellungen!$B$4)</f>
        <v>29.13</v>
      </c>
      <c r="E17934" s="14" t="str">
        <f aca="false">IF(C17934="","",C17934*D17934/100)</f>
        <v/>
      </c>
      <c r="F17934" s="15" t="str">
        <f aca="false">IF(B17934&lt;5,"Go","Standard")</f>
        <v>Standard</v>
      </c>
    </row>
    <row r="17935" customFormat="false" ht="15" hidden="false" customHeight="true" outlineLevel="0" collapsed="false">
      <c r="A17935" s="10" t="n">
        <f aca="false">Einstellungen!$B$5+INT((ROW()-9)/24)</f>
        <v>46712</v>
      </c>
      <c r="B17935" s="11" t="n">
        <f aca="false">MOD(ROW()-9,24)</f>
        <v>22</v>
      </c>
      <c r="C17935" s="12"/>
      <c r="D17935" s="13" t="n">
        <f aca="false">IF(B17935&lt;5,Einstellungen!$B$3,Einstellungen!$B$4)</f>
        <v>29.13</v>
      </c>
      <c r="E17935" s="14" t="str">
        <f aca="false">IF(C17935="","",C17935*D17935/100)</f>
        <v/>
      </c>
      <c r="F17935" s="15" t="str">
        <f aca="false">IF(B17935&lt;5,"Go","Standard")</f>
        <v>Standard</v>
      </c>
    </row>
    <row r="17936" customFormat="false" ht="15" hidden="false" customHeight="true" outlineLevel="0" collapsed="false">
      <c r="A17936" s="10" t="n">
        <f aca="false">Einstellungen!$B$5+INT((ROW()-9)/24)</f>
        <v>46712</v>
      </c>
      <c r="B17936" s="11" t="n">
        <f aca="false">MOD(ROW()-9,24)</f>
        <v>23</v>
      </c>
      <c r="C17936" s="12"/>
      <c r="D17936" s="13" t="n">
        <f aca="false">IF(B17936&lt;5,Einstellungen!$B$3,Einstellungen!$B$4)</f>
        <v>29.13</v>
      </c>
      <c r="E17936" s="14" t="str">
        <f aca="false">IF(C17936="","",C17936*D17936/100)</f>
        <v/>
      </c>
      <c r="F17936" s="15" t="str">
        <f aca="false">IF(B17936&lt;5,"Go","Standard")</f>
        <v>Standard</v>
      </c>
    </row>
    <row r="17937" customFormat="false" ht="15" hidden="false" customHeight="true" outlineLevel="0" collapsed="false">
      <c r="A17937" s="10" t="n">
        <f aca="false">Einstellungen!$B$5+INT((ROW()-9)/24)</f>
        <v>46713</v>
      </c>
      <c r="B17937" s="11" t="n">
        <f aca="false">MOD(ROW()-9,24)</f>
        <v>0</v>
      </c>
      <c r="C17937" s="12"/>
      <c r="D17937" s="13" t="n">
        <f aca="false">IF(B17937&lt;5,Einstellungen!$B$3,Einstellungen!$B$4)</f>
        <v>15.92</v>
      </c>
      <c r="E17937" s="14" t="str">
        <f aca="false">IF(C17937="","",C17937*D17937/100)</f>
        <v/>
      </c>
      <c r="F17937" s="15" t="str">
        <f aca="false">IF(B17937&lt;5,"Go","Standard")</f>
        <v>Go</v>
      </c>
    </row>
    <row r="17938" customFormat="false" ht="15" hidden="false" customHeight="true" outlineLevel="0" collapsed="false">
      <c r="A17938" s="10" t="n">
        <f aca="false">Einstellungen!$B$5+INT((ROW()-9)/24)</f>
        <v>46713</v>
      </c>
      <c r="B17938" s="11" t="n">
        <f aca="false">MOD(ROW()-9,24)</f>
        <v>1</v>
      </c>
      <c r="C17938" s="12"/>
      <c r="D17938" s="13" t="n">
        <f aca="false">IF(B17938&lt;5,Einstellungen!$B$3,Einstellungen!$B$4)</f>
        <v>15.92</v>
      </c>
      <c r="E17938" s="14" t="str">
        <f aca="false">IF(C17938="","",C17938*D17938/100)</f>
        <v/>
      </c>
      <c r="F17938" s="15" t="str">
        <f aca="false">IF(B17938&lt;5,"Go","Standard")</f>
        <v>Go</v>
      </c>
    </row>
    <row r="17939" customFormat="false" ht="15" hidden="false" customHeight="true" outlineLevel="0" collapsed="false">
      <c r="A17939" s="10" t="n">
        <f aca="false">Einstellungen!$B$5+INT((ROW()-9)/24)</f>
        <v>46713</v>
      </c>
      <c r="B17939" s="11" t="n">
        <f aca="false">MOD(ROW()-9,24)</f>
        <v>2</v>
      </c>
      <c r="C17939" s="12"/>
      <c r="D17939" s="13" t="n">
        <f aca="false">IF(B17939&lt;5,Einstellungen!$B$3,Einstellungen!$B$4)</f>
        <v>15.92</v>
      </c>
      <c r="E17939" s="14" t="str">
        <f aca="false">IF(C17939="","",C17939*D17939/100)</f>
        <v/>
      </c>
      <c r="F17939" s="15" t="str">
        <f aca="false">IF(B17939&lt;5,"Go","Standard")</f>
        <v>Go</v>
      </c>
    </row>
    <row r="17940" customFormat="false" ht="15" hidden="false" customHeight="true" outlineLevel="0" collapsed="false">
      <c r="A17940" s="10" t="n">
        <f aca="false">Einstellungen!$B$5+INT((ROW()-9)/24)</f>
        <v>46713</v>
      </c>
      <c r="B17940" s="11" t="n">
        <f aca="false">MOD(ROW()-9,24)</f>
        <v>3</v>
      </c>
      <c r="C17940" s="12"/>
      <c r="D17940" s="13" t="n">
        <f aca="false">IF(B17940&lt;5,Einstellungen!$B$3,Einstellungen!$B$4)</f>
        <v>15.92</v>
      </c>
      <c r="E17940" s="14" t="str">
        <f aca="false">IF(C17940="","",C17940*D17940/100)</f>
        <v/>
      </c>
      <c r="F17940" s="15" t="str">
        <f aca="false">IF(B17940&lt;5,"Go","Standard")</f>
        <v>Go</v>
      </c>
    </row>
    <row r="17941" customFormat="false" ht="15" hidden="false" customHeight="true" outlineLevel="0" collapsed="false">
      <c r="A17941" s="10" t="n">
        <f aca="false">Einstellungen!$B$5+INT((ROW()-9)/24)</f>
        <v>46713</v>
      </c>
      <c r="B17941" s="11" t="n">
        <f aca="false">MOD(ROW()-9,24)</f>
        <v>4</v>
      </c>
      <c r="C17941" s="12"/>
      <c r="D17941" s="13" t="n">
        <f aca="false">IF(B17941&lt;5,Einstellungen!$B$3,Einstellungen!$B$4)</f>
        <v>15.92</v>
      </c>
      <c r="E17941" s="14" t="str">
        <f aca="false">IF(C17941="","",C17941*D17941/100)</f>
        <v/>
      </c>
      <c r="F17941" s="15" t="str">
        <f aca="false">IF(B17941&lt;5,"Go","Standard")</f>
        <v>Go</v>
      </c>
    </row>
    <row r="17942" customFormat="false" ht="15" hidden="false" customHeight="true" outlineLevel="0" collapsed="false">
      <c r="A17942" s="10" t="n">
        <f aca="false">Einstellungen!$B$5+INT((ROW()-9)/24)</f>
        <v>46713</v>
      </c>
      <c r="B17942" s="11" t="n">
        <f aca="false">MOD(ROW()-9,24)</f>
        <v>5</v>
      </c>
      <c r="C17942" s="12"/>
      <c r="D17942" s="13" t="n">
        <f aca="false">IF(B17942&lt;5,Einstellungen!$B$3,Einstellungen!$B$4)</f>
        <v>29.13</v>
      </c>
      <c r="E17942" s="14" t="str">
        <f aca="false">IF(C17942="","",C17942*D17942/100)</f>
        <v/>
      </c>
      <c r="F17942" s="15" t="str">
        <f aca="false">IF(B17942&lt;5,"Go","Standard")</f>
        <v>Standard</v>
      </c>
    </row>
    <row r="17943" customFormat="false" ht="15" hidden="false" customHeight="true" outlineLevel="0" collapsed="false">
      <c r="A17943" s="10" t="n">
        <f aca="false">Einstellungen!$B$5+INT((ROW()-9)/24)</f>
        <v>46713</v>
      </c>
      <c r="B17943" s="11" t="n">
        <f aca="false">MOD(ROW()-9,24)</f>
        <v>6</v>
      </c>
      <c r="C17943" s="12"/>
      <c r="D17943" s="13" t="n">
        <f aca="false">IF(B17943&lt;5,Einstellungen!$B$3,Einstellungen!$B$4)</f>
        <v>29.13</v>
      </c>
      <c r="E17943" s="14" t="str">
        <f aca="false">IF(C17943="","",C17943*D17943/100)</f>
        <v/>
      </c>
      <c r="F17943" s="15" t="str">
        <f aca="false">IF(B17943&lt;5,"Go","Standard")</f>
        <v>Standard</v>
      </c>
    </row>
    <row r="17944" customFormat="false" ht="15" hidden="false" customHeight="true" outlineLevel="0" collapsed="false">
      <c r="A17944" s="10" t="n">
        <f aca="false">Einstellungen!$B$5+INT((ROW()-9)/24)</f>
        <v>46713</v>
      </c>
      <c r="B17944" s="11" t="n">
        <f aca="false">MOD(ROW()-9,24)</f>
        <v>7</v>
      </c>
      <c r="C17944" s="12"/>
      <c r="D17944" s="13" t="n">
        <f aca="false">IF(B17944&lt;5,Einstellungen!$B$3,Einstellungen!$B$4)</f>
        <v>29.13</v>
      </c>
      <c r="E17944" s="14" t="str">
        <f aca="false">IF(C17944="","",C17944*D17944/100)</f>
        <v/>
      </c>
      <c r="F17944" s="15" t="str">
        <f aca="false">IF(B17944&lt;5,"Go","Standard")</f>
        <v>Standard</v>
      </c>
    </row>
    <row r="17945" customFormat="false" ht="15" hidden="false" customHeight="true" outlineLevel="0" collapsed="false">
      <c r="A17945" s="10" t="n">
        <f aca="false">Einstellungen!$B$5+INT((ROW()-9)/24)</f>
        <v>46713</v>
      </c>
      <c r="B17945" s="11" t="n">
        <f aca="false">MOD(ROW()-9,24)</f>
        <v>8</v>
      </c>
      <c r="C17945" s="12"/>
      <c r="D17945" s="13" t="n">
        <f aca="false">IF(B17945&lt;5,Einstellungen!$B$3,Einstellungen!$B$4)</f>
        <v>29.13</v>
      </c>
      <c r="E17945" s="14" t="str">
        <f aca="false">IF(C17945="","",C17945*D17945/100)</f>
        <v/>
      </c>
      <c r="F17945" s="15" t="str">
        <f aca="false">IF(B17945&lt;5,"Go","Standard")</f>
        <v>Standard</v>
      </c>
    </row>
    <row r="17946" customFormat="false" ht="15" hidden="false" customHeight="true" outlineLevel="0" collapsed="false">
      <c r="A17946" s="10" t="n">
        <f aca="false">Einstellungen!$B$5+INT((ROW()-9)/24)</f>
        <v>46713</v>
      </c>
      <c r="B17946" s="11" t="n">
        <f aca="false">MOD(ROW()-9,24)</f>
        <v>9</v>
      </c>
      <c r="C17946" s="12"/>
      <c r="D17946" s="13" t="n">
        <f aca="false">IF(B17946&lt;5,Einstellungen!$B$3,Einstellungen!$B$4)</f>
        <v>29.13</v>
      </c>
      <c r="E17946" s="14" t="str">
        <f aca="false">IF(C17946="","",C17946*D17946/100)</f>
        <v/>
      </c>
      <c r="F17946" s="15" t="str">
        <f aca="false">IF(B17946&lt;5,"Go","Standard")</f>
        <v>Standard</v>
      </c>
    </row>
    <row r="17947" customFormat="false" ht="15" hidden="false" customHeight="true" outlineLevel="0" collapsed="false">
      <c r="A17947" s="10" t="n">
        <f aca="false">Einstellungen!$B$5+INT((ROW()-9)/24)</f>
        <v>46713</v>
      </c>
      <c r="B17947" s="11" t="n">
        <f aca="false">MOD(ROW()-9,24)</f>
        <v>10</v>
      </c>
      <c r="C17947" s="12"/>
      <c r="D17947" s="13" t="n">
        <f aca="false">IF(B17947&lt;5,Einstellungen!$B$3,Einstellungen!$B$4)</f>
        <v>29.13</v>
      </c>
      <c r="E17947" s="14" t="str">
        <f aca="false">IF(C17947="","",C17947*D17947/100)</f>
        <v/>
      </c>
      <c r="F17947" s="15" t="str">
        <f aca="false">IF(B17947&lt;5,"Go","Standard")</f>
        <v>Standard</v>
      </c>
    </row>
    <row r="17948" customFormat="false" ht="15" hidden="false" customHeight="true" outlineLevel="0" collapsed="false">
      <c r="A17948" s="10" t="n">
        <f aca="false">Einstellungen!$B$5+INT((ROW()-9)/24)</f>
        <v>46713</v>
      </c>
      <c r="B17948" s="11" t="n">
        <f aca="false">MOD(ROW()-9,24)</f>
        <v>11</v>
      </c>
      <c r="C17948" s="12"/>
      <c r="D17948" s="13" t="n">
        <f aca="false">IF(B17948&lt;5,Einstellungen!$B$3,Einstellungen!$B$4)</f>
        <v>29.13</v>
      </c>
      <c r="E17948" s="14" t="str">
        <f aca="false">IF(C17948="","",C17948*D17948/100)</f>
        <v/>
      </c>
      <c r="F17948" s="15" t="str">
        <f aca="false">IF(B17948&lt;5,"Go","Standard")</f>
        <v>Standard</v>
      </c>
    </row>
    <row r="17949" customFormat="false" ht="15" hidden="false" customHeight="true" outlineLevel="0" collapsed="false">
      <c r="A17949" s="10" t="n">
        <f aca="false">Einstellungen!$B$5+INT((ROW()-9)/24)</f>
        <v>46713</v>
      </c>
      <c r="B17949" s="11" t="n">
        <f aca="false">MOD(ROW()-9,24)</f>
        <v>12</v>
      </c>
      <c r="C17949" s="12"/>
      <c r="D17949" s="13" t="n">
        <f aca="false">IF(B17949&lt;5,Einstellungen!$B$3,Einstellungen!$B$4)</f>
        <v>29.13</v>
      </c>
      <c r="E17949" s="14" t="str">
        <f aca="false">IF(C17949="","",C17949*D17949/100)</f>
        <v/>
      </c>
      <c r="F17949" s="15" t="str">
        <f aca="false">IF(B17949&lt;5,"Go","Standard")</f>
        <v>Standard</v>
      </c>
    </row>
    <row r="17950" customFormat="false" ht="15" hidden="false" customHeight="true" outlineLevel="0" collapsed="false">
      <c r="A17950" s="10" t="n">
        <f aca="false">Einstellungen!$B$5+INT((ROW()-9)/24)</f>
        <v>46713</v>
      </c>
      <c r="B17950" s="11" t="n">
        <f aca="false">MOD(ROW()-9,24)</f>
        <v>13</v>
      </c>
      <c r="C17950" s="12"/>
      <c r="D17950" s="13" t="n">
        <f aca="false">IF(B17950&lt;5,Einstellungen!$B$3,Einstellungen!$B$4)</f>
        <v>29.13</v>
      </c>
      <c r="E17950" s="14" t="str">
        <f aca="false">IF(C17950="","",C17950*D17950/100)</f>
        <v/>
      </c>
      <c r="F17950" s="15" t="str">
        <f aca="false">IF(B17950&lt;5,"Go","Standard")</f>
        <v>Standard</v>
      </c>
    </row>
    <row r="17951" customFormat="false" ht="15" hidden="false" customHeight="true" outlineLevel="0" collapsed="false">
      <c r="A17951" s="10" t="n">
        <f aca="false">Einstellungen!$B$5+INT((ROW()-9)/24)</f>
        <v>46713</v>
      </c>
      <c r="B17951" s="11" t="n">
        <f aca="false">MOD(ROW()-9,24)</f>
        <v>14</v>
      </c>
      <c r="C17951" s="12"/>
      <c r="D17951" s="13" t="n">
        <f aca="false">IF(B17951&lt;5,Einstellungen!$B$3,Einstellungen!$B$4)</f>
        <v>29.13</v>
      </c>
      <c r="E17951" s="14" t="str">
        <f aca="false">IF(C17951="","",C17951*D17951/100)</f>
        <v/>
      </c>
      <c r="F17951" s="15" t="str">
        <f aca="false">IF(B17951&lt;5,"Go","Standard")</f>
        <v>Standard</v>
      </c>
    </row>
    <row r="17952" customFormat="false" ht="15" hidden="false" customHeight="true" outlineLevel="0" collapsed="false">
      <c r="A17952" s="10" t="n">
        <f aca="false">Einstellungen!$B$5+INT((ROW()-9)/24)</f>
        <v>46713</v>
      </c>
      <c r="B17952" s="11" t="n">
        <f aca="false">MOD(ROW()-9,24)</f>
        <v>15</v>
      </c>
      <c r="C17952" s="12"/>
      <c r="D17952" s="13" t="n">
        <f aca="false">IF(B17952&lt;5,Einstellungen!$B$3,Einstellungen!$B$4)</f>
        <v>29.13</v>
      </c>
      <c r="E17952" s="14" t="str">
        <f aca="false">IF(C17952="","",C17952*D17952/100)</f>
        <v/>
      </c>
      <c r="F17952" s="15" t="str">
        <f aca="false">IF(B17952&lt;5,"Go","Standard")</f>
        <v>Standard</v>
      </c>
    </row>
    <row r="17953" customFormat="false" ht="15" hidden="false" customHeight="true" outlineLevel="0" collapsed="false">
      <c r="A17953" s="10" t="n">
        <f aca="false">Einstellungen!$B$5+INT((ROW()-9)/24)</f>
        <v>46713</v>
      </c>
      <c r="B17953" s="11" t="n">
        <f aca="false">MOD(ROW()-9,24)</f>
        <v>16</v>
      </c>
      <c r="C17953" s="12"/>
      <c r="D17953" s="13" t="n">
        <f aca="false">IF(B17953&lt;5,Einstellungen!$B$3,Einstellungen!$B$4)</f>
        <v>29.13</v>
      </c>
      <c r="E17953" s="14" t="str">
        <f aca="false">IF(C17953="","",C17953*D17953/100)</f>
        <v/>
      </c>
      <c r="F17953" s="15" t="str">
        <f aca="false">IF(B17953&lt;5,"Go","Standard")</f>
        <v>Standard</v>
      </c>
    </row>
    <row r="17954" customFormat="false" ht="15" hidden="false" customHeight="true" outlineLevel="0" collapsed="false">
      <c r="A17954" s="10" t="n">
        <f aca="false">Einstellungen!$B$5+INT((ROW()-9)/24)</f>
        <v>46713</v>
      </c>
      <c r="B17954" s="11" t="n">
        <f aca="false">MOD(ROW()-9,24)</f>
        <v>17</v>
      </c>
      <c r="C17954" s="12"/>
      <c r="D17954" s="13" t="n">
        <f aca="false">IF(B17954&lt;5,Einstellungen!$B$3,Einstellungen!$B$4)</f>
        <v>29.13</v>
      </c>
      <c r="E17954" s="14" t="str">
        <f aca="false">IF(C17954="","",C17954*D17954/100)</f>
        <v/>
      </c>
      <c r="F17954" s="15" t="str">
        <f aca="false">IF(B17954&lt;5,"Go","Standard")</f>
        <v>Standard</v>
      </c>
    </row>
    <row r="17955" customFormat="false" ht="15" hidden="false" customHeight="true" outlineLevel="0" collapsed="false">
      <c r="A17955" s="10" t="n">
        <f aca="false">Einstellungen!$B$5+INT((ROW()-9)/24)</f>
        <v>46713</v>
      </c>
      <c r="B17955" s="11" t="n">
        <f aca="false">MOD(ROW()-9,24)</f>
        <v>18</v>
      </c>
      <c r="C17955" s="12"/>
      <c r="D17955" s="13" t="n">
        <f aca="false">IF(B17955&lt;5,Einstellungen!$B$3,Einstellungen!$B$4)</f>
        <v>29.13</v>
      </c>
      <c r="E17955" s="14" t="str">
        <f aca="false">IF(C17955="","",C17955*D17955/100)</f>
        <v/>
      </c>
      <c r="F17955" s="15" t="str">
        <f aca="false">IF(B17955&lt;5,"Go","Standard")</f>
        <v>Standard</v>
      </c>
    </row>
    <row r="17956" customFormat="false" ht="15" hidden="false" customHeight="true" outlineLevel="0" collapsed="false">
      <c r="A17956" s="10" t="n">
        <f aca="false">Einstellungen!$B$5+INT((ROW()-9)/24)</f>
        <v>46713</v>
      </c>
      <c r="B17956" s="11" t="n">
        <f aca="false">MOD(ROW()-9,24)</f>
        <v>19</v>
      </c>
      <c r="C17956" s="12"/>
      <c r="D17956" s="13" t="n">
        <f aca="false">IF(B17956&lt;5,Einstellungen!$B$3,Einstellungen!$B$4)</f>
        <v>29.13</v>
      </c>
      <c r="E17956" s="14" t="str">
        <f aca="false">IF(C17956="","",C17956*D17956/100)</f>
        <v/>
      </c>
      <c r="F17956" s="15" t="str">
        <f aca="false">IF(B17956&lt;5,"Go","Standard")</f>
        <v>Standard</v>
      </c>
    </row>
    <row r="17957" customFormat="false" ht="15" hidden="false" customHeight="true" outlineLevel="0" collapsed="false">
      <c r="A17957" s="10" t="n">
        <f aca="false">Einstellungen!$B$5+INT((ROW()-9)/24)</f>
        <v>46713</v>
      </c>
      <c r="B17957" s="11" t="n">
        <f aca="false">MOD(ROW()-9,24)</f>
        <v>20</v>
      </c>
      <c r="C17957" s="12"/>
      <c r="D17957" s="13" t="n">
        <f aca="false">IF(B17957&lt;5,Einstellungen!$B$3,Einstellungen!$B$4)</f>
        <v>29.13</v>
      </c>
      <c r="E17957" s="14" t="str">
        <f aca="false">IF(C17957="","",C17957*D17957/100)</f>
        <v/>
      </c>
      <c r="F17957" s="15" t="str">
        <f aca="false">IF(B17957&lt;5,"Go","Standard")</f>
        <v>Standard</v>
      </c>
    </row>
    <row r="17958" customFormat="false" ht="15" hidden="false" customHeight="true" outlineLevel="0" collapsed="false">
      <c r="A17958" s="10" t="n">
        <f aca="false">Einstellungen!$B$5+INT((ROW()-9)/24)</f>
        <v>46713</v>
      </c>
      <c r="B17958" s="11" t="n">
        <f aca="false">MOD(ROW()-9,24)</f>
        <v>21</v>
      </c>
      <c r="C17958" s="12"/>
      <c r="D17958" s="13" t="n">
        <f aca="false">IF(B17958&lt;5,Einstellungen!$B$3,Einstellungen!$B$4)</f>
        <v>29.13</v>
      </c>
      <c r="E17958" s="14" t="str">
        <f aca="false">IF(C17958="","",C17958*D17958/100)</f>
        <v/>
      </c>
      <c r="F17958" s="15" t="str">
        <f aca="false">IF(B17958&lt;5,"Go","Standard")</f>
        <v>Standard</v>
      </c>
    </row>
    <row r="17959" customFormat="false" ht="15" hidden="false" customHeight="true" outlineLevel="0" collapsed="false">
      <c r="A17959" s="10" t="n">
        <f aca="false">Einstellungen!$B$5+INT((ROW()-9)/24)</f>
        <v>46713</v>
      </c>
      <c r="B17959" s="11" t="n">
        <f aca="false">MOD(ROW()-9,24)</f>
        <v>22</v>
      </c>
      <c r="C17959" s="12"/>
      <c r="D17959" s="13" t="n">
        <f aca="false">IF(B17959&lt;5,Einstellungen!$B$3,Einstellungen!$B$4)</f>
        <v>29.13</v>
      </c>
      <c r="E17959" s="14" t="str">
        <f aca="false">IF(C17959="","",C17959*D17959/100)</f>
        <v/>
      </c>
      <c r="F17959" s="15" t="str">
        <f aca="false">IF(B17959&lt;5,"Go","Standard")</f>
        <v>Standard</v>
      </c>
    </row>
    <row r="17960" customFormat="false" ht="15" hidden="false" customHeight="true" outlineLevel="0" collapsed="false">
      <c r="A17960" s="10" t="n">
        <f aca="false">Einstellungen!$B$5+INT((ROW()-9)/24)</f>
        <v>46713</v>
      </c>
      <c r="B17960" s="11" t="n">
        <f aca="false">MOD(ROW()-9,24)</f>
        <v>23</v>
      </c>
      <c r="C17960" s="12"/>
      <c r="D17960" s="13" t="n">
        <f aca="false">IF(B17960&lt;5,Einstellungen!$B$3,Einstellungen!$B$4)</f>
        <v>29.13</v>
      </c>
      <c r="E17960" s="14" t="str">
        <f aca="false">IF(C17960="","",C17960*D17960/100)</f>
        <v/>
      </c>
      <c r="F17960" s="15" t="str">
        <f aca="false">IF(B17960&lt;5,"Go","Standard")</f>
        <v>Standard</v>
      </c>
    </row>
    <row r="17961" customFormat="false" ht="15" hidden="false" customHeight="true" outlineLevel="0" collapsed="false">
      <c r="A17961" s="10" t="n">
        <f aca="false">Einstellungen!$B$5+INT((ROW()-9)/24)</f>
        <v>46714</v>
      </c>
      <c r="B17961" s="11" t="n">
        <f aca="false">MOD(ROW()-9,24)</f>
        <v>0</v>
      </c>
      <c r="C17961" s="12"/>
      <c r="D17961" s="13" t="n">
        <f aca="false">IF(B17961&lt;5,Einstellungen!$B$3,Einstellungen!$B$4)</f>
        <v>15.92</v>
      </c>
      <c r="E17961" s="14" t="str">
        <f aca="false">IF(C17961="","",C17961*D17961/100)</f>
        <v/>
      </c>
      <c r="F17961" s="15" t="str">
        <f aca="false">IF(B17961&lt;5,"Go","Standard")</f>
        <v>Go</v>
      </c>
    </row>
    <row r="17962" customFormat="false" ht="15" hidden="false" customHeight="true" outlineLevel="0" collapsed="false">
      <c r="A17962" s="10" t="n">
        <f aca="false">Einstellungen!$B$5+INT((ROW()-9)/24)</f>
        <v>46714</v>
      </c>
      <c r="B17962" s="11" t="n">
        <f aca="false">MOD(ROW()-9,24)</f>
        <v>1</v>
      </c>
      <c r="C17962" s="12"/>
      <c r="D17962" s="13" t="n">
        <f aca="false">IF(B17962&lt;5,Einstellungen!$B$3,Einstellungen!$B$4)</f>
        <v>15.92</v>
      </c>
      <c r="E17962" s="14" t="str">
        <f aca="false">IF(C17962="","",C17962*D17962/100)</f>
        <v/>
      </c>
      <c r="F17962" s="15" t="str">
        <f aca="false">IF(B17962&lt;5,"Go","Standard")</f>
        <v>Go</v>
      </c>
    </row>
    <row r="17963" customFormat="false" ht="15" hidden="false" customHeight="true" outlineLevel="0" collapsed="false">
      <c r="A17963" s="10" t="n">
        <f aca="false">Einstellungen!$B$5+INT((ROW()-9)/24)</f>
        <v>46714</v>
      </c>
      <c r="B17963" s="11" t="n">
        <f aca="false">MOD(ROW()-9,24)</f>
        <v>2</v>
      </c>
      <c r="C17963" s="12"/>
      <c r="D17963" s="13" t="n">
        <f aca="false">IF(B17963&lt;5,Einstellungen!$B$3,Einstellungen!$B$4)</f>
        <v>15.92</v>
      </c>
      <c r="E17963" s="14" t="str">
        <f aca="false">IF(C17963="","",C17963*D17963/100)</f>
        <v/>
      </c>
      <c r="F17963" s="15" t="str">
        <f aca="false">IF(B17963&lt;5,"Go","Standard")</f>
        <v>Go</v>
      </c>
    </row>
    <row r="17964" customFormat="false" ht="15" hidden="false" customHeight="true" outlineLevel="0" collapsed="false">
      <c r="A17964" s="10" t="n">
        <f aca="false">Einstellungen!$B$5+INT((ROW()-9)/24)</f>
        <v>46714</v>
      </c>
      <c r="B17964" s="11" t="n">
        <f aca="false">MOD(ROW()-9,24)</f>
        <v>3</v>
      </c>
      <c r="C17964" s="12"/>
      <c r="D17964" s="13" t="n">
        <f aca="false">IF(B17964&lt;5,Einstellungen!$B$3,Einstellungen!$B$4)</f>
        <v>15.92</v>
      </c>
      <c r="E17964" s="14" t="str">
        <f aca="false">IF(C17964="","",C17964*D17964/100)</f>
        <v/>
      </c>
      <c r="F17964" s="15" t="str">
        <f aca="false">IF(B17964&lt;5,"Go","Standard")</f>
        <v>Go</v>
      </c>
    </row>
    <row r="17965" customFormat="false" ht="15" hidden="false" customHeight="true" outlineLevel="0" collapsed="false">
      <c r="A17965" s="10" t="n">
        <f aca="false">Einstellungen!$B$5+INT((ROW()-9)/24)</f>
        <v>46714</v>
      </c>
      <c r="B17965" s="11" t="n">
        <f aca="false">MOD(ROW()-9,24)</f>
        <v>4</v>
      </c>
      <c r="C17965" s="12"/>
      <c r="D17965" s="13" t="n">
        <f aca="false">IF(B17965&lt;5,Einstellungen!$B$3,Einstellungen!$B$4)</f>
        <v>15.92</v>
      </c>
      <c r="E17965" s="14" t="str">
        <f aca="false">IF(C17965="","",C17965*D17965/100)</f>
        <v/>
      </c>
      <c r="F17965" s="15" t="str">
        <f aca="false">IF(B17965&lt;5,"Go","Standard")</f>
        <v>Go</v>
      </c>
    </row>
    <row r="17966" customFormat="false" ht="15" hidden="false" customHeight="true" outlineLevel="0" collapsed="false">
      <c r="A17966" s="10" t="n">
        <f aca="false">Einstellungen!$B$5+INT((ROW()-9)/24)</f>
        <v>46714</v>
      </c>
      <c r="B17966" s="11" t="n">
        <f aca="false">MOD(ROW()-9,24)</f>
        <v>5</v>
      </c>
      <c r="C17966" s="12"/>
      <c r="D17966" s="13" t="n">
        <f aca="false">IF(B17966&lt;5,Einstellungen!$B$3,Einstellungen!$B$4)</f>
        <v>29.13</v>
      </c>
      <c r="E17966" s="14" t="str">
        <f aca="false">IF(C17966="","",C17966*D17966/100)</f>
        <v/>
      </c>
      <c r="F17966" s="15" t="str">
        <f aca="false">IF(B17966&lt;5,"Go","Standard")</f>
        <v>Standard</v>
      </c>
    </row>
    <row r="17967" customFormat="false" ht="15" hidden="false" customHeight="true" outlineLevel="0" collapsed="false">
      <c r="A17967" s="10" t="n">
        <f aca="false">Einstellungen!$B$5+INT((ROW()-9)/24)</f>
        <v>46714</v>
      </c>
      <c r="B17967" s="11" t="n">
        <f aca="false">MOD(ROW()-9,24)</f>
        <v>6</v>
      </c>
      <c r="C17967" s="12"/>
      <c r="D17967" s="13" t="n">
        <f aca="false">IF(B17967&lt;5,Einstellungen!$B$3,Einstellungen!$B$4)</f>
        <v>29.13</v>
      </c>
      <c r="E17967" s="14" t="str">
        <f aca="false">IF(C17967="","",C17967*D17967/100)</f>
        <v/>
      </c>
      <c r="F17967" s="15" t="str">
        <f aca="false">IF(B17967&lt;5,"Go","Standard")</f>
        <v>Standard</v>
      </c>
    </row>
    <row r="17968" customFormat="false" ht="15" hidden="false" customHeight="true" outlineLevel="0" collapsed="false">
      <c r="A17968" s="10" t="n">
        <f aca="false">Einstellungen!$B$5+INT((ROW()-9)/24)</f>
        <v>46714</v>
      </c>
      <c r="B17968" s="11" t="n">
        <f aca="false">MOD(ROW()-9,24)</f>
        <v>7</v>
      </c>
      <c r="C17968" s="12"/>
      <c r="D17968" s="13" t="n">
        <f aca="false">IF(B17968&lt;5,Einstellungen!$B$3,Einstellungen!$B$4)</f>
        <v>29.13</v>
      </c>
      <c r="E17968" s="14" t="str">
        <f aca="false">IF(C17968="","",C17968*D17968/100)</f>
        <v/>
      </c>
      <c r="F17968" s="15" t="str">
        <f aca="false">IF(B17968&lt;5,"Go","Standard")</f>
        <v>Standard</v>
      </c>
    </row>
    <row r="17969" customFormat="false" ht="15" hidden="false" customHeight="true" outlineLevel="0" collapsed="false">
      <c r="A17969" s="10" t="n">
        <f aca="false">Einstellungen!$B$5+INT((ROW()-9)/24)</f>
        <v>46714</v>
      </c>
      <c r="B17969" s="11" t="n">
        <f aca="false">MOD(ROW()-9,24)</f>
        <v>8</v>
      </c>
      <c r="C17969" s="12"/>
      <c r="D17969" s="13" t="n">
        <f aca="false">IF(B17969&lt;5,Einstellungen!$B$3,Einstellungen!$B$4)</f>
        <v>29.13</v>
      </c>
      <c r="E17969" s="14" t="str">
        <f aca="false">IF(C17969="","",C17969*D17969/100)</f>
        <v/>
      </c>
      <c r="F17969" s="15" t="str">
        <f aca="false">IF(B17969&lt;5,"Go","Standard")</f>
        <v>Standard</v>
      </c>
    </row>
    <row r="17970" customFormat="false" ht="15" hidden="false" customHeight="true" outlineLevel="0" collapsed="false">
      <c r="A17970" s="10" t="n">
        <f aca="false">Einstellungen!$B$5+INT((ROW()-9)/24)</f>
        <v>46714</v>
      </c>
      <c r="B17970" s="11" t="n">
        <f aca="false">MOD(ROW()-9,24)</f>
        <v>9</v>
      </c>
      <c r="C17970" s="12"/>
      <c r="D17970" s="13" t="n">
        <f aca="false">IF(B17970&lt;5,Einstellungen!$B$3,Einstellungen!$B$4)</f>
        <v>29.13</v>
      </c>
      <c r="E17970" s="14" t="str">
        <f aca="false">IF(C17970="","",C17970*D17970/100)</f>
        <v/>
      </c>
      <c r="F17970" s="15" t="str">
        <f aca="false">IF(B17970&lt;5,"Go","Standard")</f>
        <v>Standard</v>
      </c>
    </row>
    <row r="17971" customFormat="false" ht="15" hidden="false" customHeight="true" outlineLevel="0" collapsed="false">
      <c r="A17971" s="10" t="n">
        <f aca="false">Einstellungen!$B$5+INT((ROW()-9)/24)</f>
        <v>46714</v>
      </c>
      <c r="B17971" s="11" t="n">
        <f aca="false">MOD(ROW()-9,24)</f>
        <v>10</v>
      </c>
      <c r="C17971" s="12"/>
      <c r="D17971" s="13" t="n">
        <f aca="false">IF(B17971&lt;5,Einstellungen!$B$3,Einstellungen!$B$4)</f>
        <v>29.13</v>
      </c>
      <c r="E17971" s="14" t="str">
        <f aca="false">IF(C17971="","",C17971*D17971/100)</f>
        <v/>
      </c>
      <c r="F17971" s="15" t="str">
        <f aca="false">IF(B17971&lt;5,"Go","Standard")</f>
        <v>Standard</v>
      </c>
    </row>
    <row r="17972" customFormat="false" ht="15" hidden="false" customHeight="true" outlineLevel="0" collapsed="false">
      <c r="A17972" s="10" t="n">
        <f aca="false">Einstellungen!$B$5+INT((ROW()-9)/24)</f>
        <v>46714</v>
      </c>
      <c r="B17972" s="11" t="n">
        <f aca="false">MOD(ROW()-9,24)</f>
        <v>11</v>
      </c>
      <c r="C17972" s="12"/>
      <c r="D17972" s="13" t="n">
        <f aca="false">IF(B17972&lt;5,Einstellungen!$B$3,Einstellungen!$B$4)</f>
        <v>29.13</v>
      </c>
      <c r="E17972" s="14" t="str">
        <f aca="false">IF(C17972="","",C17972*D17972/100)</f>
        <v/>
      </c>
      <c r="F17972" s="15" t="str">
        <f aca="false">IF(B17972&lt;5,"Go","Standard")</f>
        <v>Standard</v>
      </c>
    </row>
    <row r="17973" customFormat="false" ht="15" hidden="false" customHeight="true" outlineLevel="0" collapsed="false">
      <c r="A17973" s="10" t="n">
        <f aca="false">Einstellungen!$B$5+INT((ROW()-9)/24)</f>
        <v>46714</v>
      </c>
      <c r="B17973" s="11" t="n">
        <f aca="false">MOD(ROW()-9,24)</f>
        <v>12</v>
      </c>
      <c r="C17973" s="12"/>
      <c r="D17973" s="13" t="n">
        <f aca="false">IF(B17973&lt;5,Einstellungen!$B$3,Einstellungen!$B$4)</f>
        <v>29.13</v>
      </c>
      <c r="E17973" s="14" t="str">
        <f aca="false">IF(C17973="","",C17973*D17973/100)</f>
        <v/>
      </c>
      <c r="F17973" s="15" t="str">
        <f aca="false">IF(B17973&lt;5,"Go","Standard")</f>
        <v>Standard</v>
      </c>
    </row>
    <row r="17974" customFormat="false" ht="15" hidden="false" customHeight="true" outlineLevel="0" collapsed="false">
      <c r="A17974" s="10" t="n">
        <f aca="false">Einstellungen!$B$5+INT((ROW()-9)/24)</f>
        <v>46714</v>
      </c>
      <c r="B17974" s="11" t="n">
        <f aca="false">MOD(ROW()-9,24)</f>
        <v>13</v>
      </c>
      <c r="C17974" s="12"/>
      <c r="D17974" s="13" t="n">
        <f aca="false">IF(B17974&lt;5,Einstellungen!$B$3,Einstellungen!$B$4)</f>
        <v>29.13</v>
      </c>
      <c r="E17974" s="14" t="str">
        <f aca="false">IF(C17974="","",C17974*D17974/100)</f>
        <v/>
      </c>
      <c r="F17974" s="15" t="str">
        <f aca="false">IF(B17974&lt;5,"Go","Standard")</f>
        <v>Standard</v>
      </c>
    </row>
    <row r="17975" customFormat="false" ht="15" hidden="false" customHeight="true" outlineLevel="0" collapsed="false">
      <c r="A17975" s="10" t="n">
        <f aca="false">Einstellungen!$B$5+INT((ROW()-9)/24)</f>
        <v>46714</v>
      </c>
      <c r="B17975" s="11" t="n">
        <f aca="false">MOD(ROW()-9,24)</f>
        <v>14</v>
      </c>
      <c r="C17975" s="12"/>
      <c r="D17975" s="13" t="n">
        <f aca="false">IF(B17975&lt;5,Einstellungen!$B$3,Einstellungen!$B$4)</f>
        <v>29.13</v>
      </c>
      <c r="E17975" s="14" t="str">
        <f aca="false">IF(C17975="","",C17975*D17975/100)</f>
        <v/>
      </c>
      <c r="F17975" s="15" t="str">
        <f aca="false">IF(B17975&lt;5,"Go","Standard")</f>
        <v>Standard</v>
      </c>
    </row>
    <row r="17976" customFormat="false" ht="15" hidden="false" customHeight="true" outlineLevel="0" collapsed="false">
      <c r="A17976" s="10" t="n">
        <f aca="false">Einstellungen!$B$5+INT((ROW()-9)/24)</f>
        <v>46714</v>
      </c>
      <c r="B17976" s="11" t="n">
        <f aca="false">MOD(ROW()-9,24)</f>
        <v>15</v>
      </c>
      <c r="C17976" s="12"/>
      <c r="D17976" s="13" t="n">
        <f aca="false">IF(B17976&lt;5,Einstellungen!$B$3,Einstellungen!$B$4)</f>
        <v>29.13</v>
      </c>
      <c r="E17976" s="14" t="str">
        <f aca="false">IF(C17976="","",C17976*D17976/100)</f>
        <v/>
      </c>
      <c r="F17976" s="15" t="str">
        <f aca="false">IF(B17976&lt;5,"Go","Standard")</f>
        <v>Standard</v>
      </c>
    </row>
    <row r="17977" customFormat="false" ht="15" hidden="false" customHeight="true" outlineLevel="0" collapsed="false">
      <c r="A17977" s="10" t="n">
        <f aca="false">Einstellungen!$B$5+INT((ROW()-9)/24)</f>
        <v>46714</v>
      </c>
      <c r="B17977" s="11" t="n">
        <f aca="false">MOD(ROW()-9,24)</f>
        <v>16</v>
      </c>
      <c r="C17977" s="12"/>
      <c r="D17977" s="13" t="n">
        <f aca="false">IF(B17977&lt;5,Einstellungen!$B$3,Einstellungen!$B$4)</f>
        <v>29.13</v>
      </c>
      <c r="E17977" s="14" t="str">
        <f aca="false">IF(C17977="","",C17977*D17977/100)</f>
        <v/>
      </c>
      <c r="F17977" s="15" t="str">
        <f aca="false">IF(B17977&lt;5,"Go","Standard")</f>
        <v>Standard</v>
      </c>
    </row>
    <row r="17978" customFormat="false" ht="15" hidden="false" customHeight="true" outlineLevel="0" collapsed="false">
      <c r="A17978" s="10" t="n">
        <f aca="false">Einstellungen!$B$5+INT((ROW()-9)/24)</f>
        <v>46714</v>
      </c>
      <c r="B17978" s="11" t="n">
        <f aca="false">MOD(ROW()-9,24)</f>
        <v>17</v>
      </c>
      <c r="C17978" s="12"/>
      <c r="D17978" s="13" t="n">
        <f aca="false">IF(B17978&lt;5,Einstellungen!$B$3,Einstellungen!$B$4)</f>
        <v>29.13</v>
      </c>
      <c r="E17978" s="14" t="str">
        <f aca="false">IF(C17978="","",C17978*D17978/100)</f>
        <v/>
      </c>
      <c r="F17978" s="15" t="str">
        <f aca="false">IF(B17978&lt;5,"Go","Standard")</f>
        <v>Standard</v>
      </c>
    </row>
    <row r="17979" customFormat="false" ht="15" hidden="false" customHeight="true" outlineLevel="0" collapsed="false">
      <c r="A17979" s="10" t="n">
        <f aca="false">Einstellungen!$B$5+INT((ROW()-9)/24)</f>
        <v>46714</v>
      </c>
      <c r="B17979" s="11" t="n">
        <f aca="false">MOD(ROW()-9,24)</f>
        <v>18</v>
      </c>
      <c r="C17979" s="12"/>
      <c r="D17979" s="13" t="n">
        <f aca="false">IF(B17979&lt;5,Einstellungen!$B$3,Einstellungen!$B$4)</f>
        <v>29.13</v>
      </c>
      <c r="E17979" s="14" t="str">
        <f aca="false">IF(C17979="","",C17979*D17979/100)</f>
        <v/>
      </c>
      <c r="F17979" s="15" t="str">
        <f aca="false">IF(B17979&lt;5,"Go","Standard")</f>
        <v>Standard</v>
      </c>
    </row>
    <row r="17980" customFormat="false" ht="15" hidden="false" customHeight="true" outlineLevel="0" collapsed="false">
      <c r="A17980" s="10" t="n">
        <f aca="false">Einstellungen!$B$5+INT((ROW()-9)/24)</f>
        <v>46714</v>
      </c>
      <c r="B17980" s="11" t="n">
        <f aca="false">MOD(ROW()-9,24)</f>
        <v>19</v>
      </c>
      <c r="C17980" s="12"/>
      <c r="D17980" s="13" t="n">
        <f aca="false">IF(B17980&lt;5,Einstellungen!$B$3,Einstellungen!$B$4)</f>
        <v>29.13</v>
      </c>
      <c r="E17980" s="14" t="str">
        <f aca="false">IF(C17980="","",C17980*D17980/100)</f>
        <v/>
      </c>
      <c r="F17980" s="15" t="str">
        <f aca="false">IF(B17980&lt;5,"Go","Standard")</f>
        <v>Standard</v>
      </c>
    </row>
    <row r="17981" customFormat="false" ht="15" hidden="false" customHeight="true" outlineLevel="0" collapsed="false">
      <c r="A17981" s="10" t="n">
        <f aca="false">Einstellungen!$B$5+INT((ROW()-9)/24)</f>
        <v>46714</v>
      </c>
      <c r="B17981" s="11" t="n">
        <f aca="false">MOD(ROW()-9,24)</f>
        <v>20</v>
      </c>
      <c r="C17981" s="12"/>
      <c r="D17981" s="13" t="n">
        <f aca="false">IF(B17981&lt;5,Einstellungen!$B$3,Einstellungen!$B$4)</f>
        <v>29.13</v>
      </c>
      <c r="E17981" s="14" t="str">
        <f aca="false">IF(C17981="","",C17981*D17981/100)</f>
        <v/>
      </c>
      <c r="F17981" s="15" t="str">
        <f aca="false">IF(B17981&lt;5,"Go","Standard")</f>
        <v>Standard</v>
      </c>
    </row>
    <row r="17982" customFormat="false" ht="15" hidden="false" customHeight="true" outlineLevel="0" collapsed="false">
      <c r="A17982" s="10" t="n">
        <f aca="false">Einstellungen!$B$5+INT((ROW()-9)/24)</f>
        <v>46714</v>
      </c>
      <c r="B17982" s="11" t="n">
        <f aca="false">MOD(ROW()-9,24)</f>
        <v>21</v>
      </c>
      <c r="C17982" s="12"/>
      <c r="D17982" s="13" t="n">
        <f aca="false">IF(B17982&lt;5,Einstellungen!$B$3,Einstellungen!$B$4)</f>
        <v>29.13</v>
      </c>
      <c r="E17982" s="14" t="str">
        <f aca="false">IF(C17982="","",C17982*D17982/100)</f>
        <v/>
      </c>
      <c r="F17982" s="15" t="str">
        <f aca="false">IF(B17982&lt;5,"Go","Standard")</f>
        <v>Standard</v>
      </c>
    </row>
    <row r="17983" customFormat="false" ht="15" hidden="false" customHeight="true" outlineLevel="0" collapsed="false">
      <c r="A17983" s="10" t="n">
        <f aca="false">Einstellungen!$B$5+INT((ROW()-9)/24)</f>
        <v>46714</v>
      </c>
      <c r="B17983" s="11" t="n">
        <f aca="false">MOD(ROW()-9,24)</f>
        <v>22</v>
      </c>
      <c r="C17983" s="12"/>
      <c r="D17983" s="13" t="n">
        <f aca="false">IF(B17983&lt;5,Einstellungen!$B$3,Einstellungen!$B$4)</f>
        <v>29.13</v>
      </c>
      <c r="E17983" s="14" t="str">
        <f aca="false">IF(C17983="","",C17983*D17983/100)</f>
        <v/>
      </c>
      <c r="F17983" s="15" t="str">
        <f aca="false">IF(B17983&lt;5,"Go","Standard")</f>
        <v>Standard</v>
      </c>
    </row>
    <row r="17984" customFormat="false" ht="15" hidden="false" customHeight="true" outlineLevel="0" collapsed="false">
      <c r="A17984" s="10" t="n">
        <f aca="false">Einstellungen!$B$5+INT((ROW()-9)/24)</f>
        <v>46714</v>
      </c>
      <c r="B17984" s="11" t="n">
        <f aca="false">MOD(ROW()-9,24)</f>
        <v>23</v>
      </c>
      <c r="C17984" s="12"/>
      <c r="D17984" s="13" t="n">
        <f aca="false">IF(B17984&lt;5,Einstellungen!$B$3,Einstellungen!$B$4)</f>
        <v>29.13</v>
      </c>
      <c r="E17984" s="14" t="str">
        <f aca="false">IF(C17984="","",C17984*D17984/100)</f>
        <v/>
      </c>
      <c r="F17984" s="15" t="str">
        <f aca="false">IF(B17984&lt;5,"Go","Standard")</f>
        <v>Standard</v>
      </c>
    </row>
    <row r="17985" customFormat="false" ht="15" hidden="false" customHeight="true" outlineLevel="0" collapsed="false">
      <c r="A17985" s="10" t="n">
        <f aca="false">Einstellungen!$B$5+INT((ROW()-9)/24)</f>
        <v>46715</v>
      </c>
      <c r="B17985" s="11" t="n">
        <f aca="false">MOD(ROW()-9,24)</f>
        <v>0</v>
      </c>
      <c r="C17985" s="12"/>
      <c r="D17985" s="13" t="n">
        <f aca="false">IF(B17985&lt;5,Einstellungen!$B$3,Einstellungen!$B$4)</f>
        <v>15.92</v>
      </c>
      <c r="E17985" s="14" t="str">
        <f aca="false">IF(C17985="","",C17985*D17985/100)</f>
        <v/>
      </c>
      <c r="F17985" s="15" t="str">
        <f aca="false">IF(B17985&lt;5,"Go","Standard")</f>
        <v>Go</v>
      </c>
    </row>
    <row r="17986" customFormat="false" ht="15" hidden="false" customHeight="true" outlineLevel="0" collapsed="false">
      <c r="A17986" s="10" t="n">
        <f aca="false">Einstellungen!$B$5+INT((ROW()-9)/24)</f>
        <v>46715</v>
      </c>
      <c r="B17986" s="11" t="n">
        <f aca="false">MOD(ROW()-9,24)</f>
        <v>1</v>
      </c>
      <c r="C17986" s="12"/>
      <c r="D17986" s="13" t="n">
        <f aca="false">IF(B17986&lt;5,Einstellungen!$B$3,Einstellungen!$B$4)</f>
        <v>15.92</v>
      </c>
      <c r="E17986" s="14" t="str">
        <f aca="false">IF(C17986="","",C17986*D17986/100)</f>
        <v/>
      </c>
      <c r="F17986" s="15" t="str">
        <f aca="false">IF(B17986&lt;5,"Go","Standard")</f>
        <v>Go</v>
      </c>
    </row>
    <row r="17987" customFormat="false" ht="15" hidden="false" customHeight="true" outlineLevel="0" collapsed="false">
      <c r="A17987" s="10" t="n">
        <f aca="false">Einstellungen!$B$5+INT((ROW()-9)/24)</f>
        <v>46715</v>
      </c>
      <c r="B17987" s="11" t="n">
        <f aca="false">MOD(ROW()-9,24)</f>
        <v>2</v>
      </c>
      <c r="C17987" s="12"/>
      <c r="D17987" s="13" t="n">
        <f aca="false">IF(B17987&lt;5,Einstellungen!$B$3,Einstellungen!$B$4)</f>
        <v>15.92</v>
      </c>
      <c r="E17987" s="14" t="str">
        <f aca="false">IF(C17987="","",C17987*D17987/100)</f>
        <v/>
      </c>
      <c r="F17987" s="15" t="str">
        <f aca="false">IF(B17987&lt;5,"Go","Standard")</f>
        <v>Go</v>
      </c>
    </row>
    <row r="17988" customFormat="false" ht="15" hidden="false" customHeight="true" outlineLevel="0" collapsed="false">
      <c r="A17988" s="10" t="n">
        <f aca="false">Einstellungen!$B$5+INT((ROW()-9)/24)</f>
        <v>46715</v>
      </c>
      <c r="B17988" s="11" t="n">
        <f aca="false">MOD(ROW()-9,24)</f>
        <v>3</v>
      </c>
      <c r="C17988" s="12"/>
      <c r="D17988" s="13" t="n">
        <f aca="false">IF(B17988&lt;5,Einstellungen!$B$3,Einstellungen!$B$4)</f>
        <v>15.92</v>
      </c>
      <c r="E17988" s="14" t="str">
        <f aca="false">IF(C17988="","",C17988*D17988/100)</f>
        <v/>
      </c>
      <c r="F17988" s="15" t="str">
        <f aca="false">IF(B17988&lt;5,"Go","Standard")</f>
        <v>Go</v>
      </c>
    </row>
    <row r="17989" customFormat="false" ht="15" hidden="false" customHeight="true" outlineLevel="0" collapsed="false">
      <c r="A17989" s="10" t="n">
        <f aca="false">Einstellungen!$B$5+INT((ROW()-9)/24)</f>
        <v>46715</v>
      </c>
      <c r="B17989" s="11" t="n">
        <f aca="false">MOD(ROW()-9,24)</f>
        <v>4</v>
      </c>
      <c r="C17989" s="12"/>
      <c r="D17989" s="13" t="n">
        <f aca="false">IF(B17989&lt;5,Einstellungen!$B$3,Einstellungen!$B$4)</f>
        <v>15.92</v>
      </c>
      <c r="E17989" s="14" t="str">
        <f aca="false">IF(C17989="","",C17989*D17989/100)</f>
        <v/>
      </c>
      <c r="F17989" s="15" t="str">
        <f aca="false">IF(B17989&lt;5,"Go","Standard")</f>
        <v>Go</v>
      </c>
    </row>
    <row r="17990" customFormat="false" ht="15" hidden="false" customHeight="true" outlineLevel="0" collapsed="false">
      <c r="A17990" s="10" t="n">
        <f aca="false">Einstellungen!$B$5+INT((ROW()-9)/24)</f>
        <v>46715</v>
      </c>
      <c r="B17990" s="11" t="n">
        <f aca="false">MOD(ROW()-9,24)</f>
        <v>5</v>
      </c>
      <c r="C17990" s="12"/>
      <c r="D17990" s="13" t="n">
        <f aca="false">IF(B17990&lt;5,Einstellungen!$B$3,Einstellungen!$B$4)</f>
        <v>29.13</v>
      </c>
      <c r="E17990" s="14" t="str">
        <f aca="false">IF(C17990="","",C17990*D17990/100)</f>
        <v/>
      </c>
      <c r="F17990" s="15" t="str">
        <f aca="false">IF(B17990&lt;5,"Go","Standard")</f>
        <v>Standard</v>
      </c>
    </row>
    <row r="17991" customFormat="false" ht="15" hidden="false" customHeight="true" outlineLevel="0" collapsed="false">
      <c r="A17991" s="10" t="n">
        <f aca="false">Einstellungen!$B$5+INT((ROW()-9)/24)</f>
        <v>46715</v>
      </c>
      <c r="B17991" s="11" t="n">
        <f aca="false">MOD(ROW()-9,24)</f>
        <v>6</v>
      </c>
      <c r="C17991" s="12"/>
      <c r="D17991" s="13" t="n">
        <f aca="false">IF(B17991&lt;5,Einstellungen!$B$3,Einstellungen!$B$4)</f>
        <v>29.13</v>
      </c>
      <c r="E17991" s="14" t="str">
        <f aca="false">IF(C17991="","",C17991*D17991/100)</f>
        <v/>
      </c>
      <c r="F17991" s="15" t="str">
        <f aca="false">IF(B17991&lt;5,"Go","Standard")</f>
        <v>Standard</v>
      </c>
    </row>
    <row r="17992" customFormat="false" ht="15" hidden="false" customHeight="true" outlineLevel="0" collapsed="false">
      <c r="A17992" s="10" t="n">
        <f aca="false">Einstellungen!$B$5+INT((ROW()-9)/24)</f>
        <v>46715</v>
      </c>
      <c r="B17992" s="11" t="n">
        <f aca="false">MOD(ROW()-9,24)</f>
        <v>7</v>
      </c>
      <c r="C17992" s="12"/>
      <c r="D17992" s="13" t="n">
        <f aca="false">IF(B17992&lt;5,Einstellungen!$B$3,Einstellungen!$B$4)</f>
        <v>29.13</v>
      </c>
      <c r="E17992" s="14" t="str">
        <f aca="false">IF(C17992="","",C17992*D17992/100)</f>
        <v/>
      </c>
      <c r="F17992" s="15" t="str">
        <f aca="false">IF(B17992&lt;5,"Go","Standard")</f>
        <v>Standard</v>
      </c>
    </row>
    <row r="17993" customFormat="false" ht="15" hidden="false" customHeight="true" outlineLevel="0" collapsed="false">
      <c r="A17993" s="10" t="n">
        <f aca="false">Einstellungen!$B$5+INT((ROW()-9)/24)</f>
        <v>46715</v>
      </c>
      <c r="B17993" s="11" t="n">
        <f aca="false">MOD(ROW()-9,24)</f>
        <v>8</v>
      </c>
      <c r="C17993" s="12"/>
      <c r="D17993" s="13" t="n">
        <f aca="false">IF(B17993&lt;5,Einstellungen!$B$3,Einstellungen!$B$4)</f>
        <v>29.13</v>
      </c>
      <c r="E17993" s="14" t="str">
        <f aca="false">IF(C17993="","",C17993*D17993/100)</f>
        <v/>
      </c>
      <c r="F17993" s="15" t="str">
        <f aca="false">IF(B17993&lt;5,"Go","Standard")</f>
        <v>Standard</v>
      </c>
    </row>
    <row r="17994" customFormat="false" ht="15" hidden="false" customHeight="true" outlineLevel="0" collapsed="false">
      <c r="A17994" s="10" t="n">
        <f aca="false">Einstellungen!$B$5+INT((ROW()-9)/24)</f>
        <v>46715</v>
      </c>
      <c r="B17994" s="11" t="n">
        <f aca="false">MOD(ROW()-9,24)</f>
        <v>9</v>
      </c>
      <c r="C17994" s="12"/>
      <c r="D17994" s="13" t="n">
        <f aca="false">IF(B17994&lt;5,Einstellungen!$B$3,Einstellungen!$B$4)</f>
        <v>29.13</v>
      </c>
      <c r="E17994" s="14" t="str">
        <f aca="false">IF(C17994="","",C17994*D17994/100)</f>
        <v/>
      </c>
      <c r="F17994" s="15" t="str">
        <f aca="false">IF(B17994&lt;5,"Go","Standard")</f>
        <v>Standard</v>
      </c>
    </row>
    <row r="17995" customFormat="false" ht="15" hidden="false" customHeight="true" outlineLevel="0" collapsed="false">
      <c r="A17995" s="10" t="n">
        <f aca="false">Einstellungen!$B$5+INT((ROW()-9)/24)</f>
        <v>46715</v>
      </c>
      <c r="B17995" s="11" t="n">
        <f aca="false">MOD(ROW()-9,24)</f>
        <v>10</v>
      </c>
      <c r="C17995" s="12"/>
      <c r="D17995" s="13" t="n">
        <f aca="false">IF(B17995&lt;5,Einstellungen!$B$3,Einstellungen!$B$4)</f>
        <v>29.13</v>
      </c>
      <c r="E17995" s="14" t="str">
        <f aca="false">IF(C17995="","",C17995*D17995/100)</f>
        <v/>
      </c>
      <c r="F17995" s="15" t="str">
        <f aca="false">IF(B17995&lt;5,"Go","Standard")</f>
        <v>Standard</v>
      </c>
    </row>
    <row r="17996" customFormat="false" ht="15" hidden="false" customHeight="true" outlineLevel="0" collapsed="false">
      <c r="A17996" s="10" t="n">
        <f aca="false">Einstellungen!$B$5+INT((ROW()-9)/24)</f>
        <v>46715</v>
      </c>
      <c r="B17996" s="11" t="n">
        <f aca="false">MOD(ROW()-9,24)</f>
        <v>11</v>
      </c>
      <c r="C17996" s="12"/>
      <c r="D17996" s="13" t="n">
        <f aca="false">IF(B17996&lt;5,Einstellungen!$B$3,Einstellungen!$B$4)</f>
        <v>29.13</v>
      </c>
      <c r="E17996" s="14" t="str">
        <f aca="false">IF(C17996="","",C17996*D17996/100)</f>
        <v/>
      </c>
      <c r="F17996" s="15" t="str">
        <f aca="false">IF(B17996&lt;5,"Go","Standard")</f>
        <v>Standard</v>
      </c>
    </row>
    <row r="17997" customFormat="false" ht="15" hidden="false" customHeight="true" outlineLevel="0" collapsed="false">
      <c r="A17997" s="10" t="n">
        <f aca="false">Einstellungen!$B$5+INT((ROW()-9)/24)</f>
        <v>46715</v>
      </c>
      <c r="B17997" s="11" t="n">
        <f aca="false">MOD(ROW()-9,24)</f>
        <v>12</v>
      </c>
      <c r="C17997" s="12"/>
      <c r="D17997" s="13" t="n">
        <f aca="false">IF(B17997&lt;5,Einstellungen!$B$3,Einstellungen!$B$4)</f>
        <v>29.13</v>
      </c>
      <c r="E17997" s="14" t="str">
        <f aca="false">IF(C17997="","",C17997*D17997/100)</f>
        <v/>
      </c>
      <c r="F17997" s="15" t="str">
        <f aca="false">IF(B17997&lt;5,"Go","Standard")</f>
        <v>Standard</v>
      </c>
    </row>
    <row r="17998" customFormat="false" ht="15" hidden="false" customHeight="true" outlineLevel="0" collapsed="false">
      <c r="A17998" s="10" t="n">
        <f aca="false">Einstellungen!$B$5+INT((ROW()-9)/24)</f>
        <v>46715</v>
      </c>
      <c r="B17998" s="11" t="n">
        <f aca="false">MOD(ROW()-9,24)</f>
        <v>13</v>
      </c>
      <c r="C17998" s="12"/>
      <c r="D17998" s="13" t="n">
        <f aca="false">IF(B17998&lt;5,Einstellungen!$B$3,Einstellungen!$B$4)</f>
        <v>29.13</v>
      </c>
      <c r="E17998" s="14" t="str">
        <f aca="false">IF(C17998="","",C17998*D17998/100)</f>
        <v/>
      </c>
      <c r="F17998" s="15" t="str">
        <f aca="false">IF(B17998&lt;5,"Go","Standard")</f>
        <v>Standard</v>
      </c>
    </row>
    <row r="17999" customFormat="false" ht="15" hidden="false" customHeight="true" outlineLevel="0" collapsed="false">
      <c r="A17999" s="10" t="n">
        <f aca="false">Einstellungen!$B$5+INT((ROW()-9)/24)</f>
        <v>46715</v>
      </c>
      <c r="B17999" s="11" t="n">
        <f aca="false">MOD(ROW()-9,24)</f>
        <v>14</v>
      </c>
      <c r="C17999" s="12"/>
      <c r="D17999" s="13" t="n">
        <f aca="false">IF(B17999&lt;5,Einstellungen!$B$3,Einstellungen!$B$4)</f>
        <v>29.13</v>
      </c>
      <c r="E17999" s="14" t="str">
        <f aca="false">IF(C17999="","",C17999*D17999/100)</f>
        <v/>
      </c>
      <c r="F17999" s="15" t="str">
        <f aca="false">IF(B17999&lt;5,"Go","Standard")</f>
        <v>Standard</v>
      </c>
    </row>
    <row r="18000" customFormat="false" ht="15" hidden="false" customHeight="true" outlineLevel="0" collapsed="false">
      <c r="A18000" s="10" t="n">
        <f aca="false">Einstellungen!$B$5+INT((ROW()-9)/24)</f>
        <v>46715</v>
      </c>
      <c r="B18000" s="11" t="n">
        <f aca="false">MOD(ROW()-9,24)</f>
        <v>15</v>
      </c>
      <c r="C18000" s="12"/>
      <c r="D18000" s="13" t="n">
        <f aca="false">IF(B18000&lt;5,Einstellungen!$B$3,Einstellungen!$B$4)</f>
        <v>29.13</v>
      </c>
      <c r="E18000" s="14" t="str">
        <f aca="false">IF(C18000="","",C18000*D18000/100)</f>
        <v/>
      </c>
      <c r="F18000" s="15" t="str">
        <f aca="false">IF(B18000&lt;5,"Go","Standard")</f>
        <v>Standard</v>
      </c>
    </row>
    <row r="18001" customFormat="false" ht="15" hidden="false" customHeight="true" outlineLevel="0" collapsed="false">
      <c r="A18001" s="10" t="n">
        <f aca="false">Einstellungen!$B$5+INT((ROW()-9)/24)</f>
        <v>46715</v>
      </c>
      <c r="B18001" s="11" t="n">
        <f aca="false">MOD(ROW()-9,24)</f>
        <v>16</v>
      </c>
      <c r="C18001" s="12"/>
      <c r="D18001" s="13" t="n">
        <f aca="false">IF(B18001&lt;5,Einstellungen!$B$3,Einstellungen!$B$4)</f>
        <v>29.13</v>
      </c>
      <c r="E18001" s="14" t="str">
        <f aca="false">IF(C18001="","",C18001*D18001/100)</f>
        <v/>
      </c>
      <c r="F18001" s="15" t="str">
        <f aca="false">IF(B18001&lt;5,"Go","Standard")</f>
        <v>Standard</v>
      </c>
    </row>
    <row r="18002" customFormat="false" ht="15" hidden="false" customHeight="true" outlineLevel="0" collapsed="false">
      <c r="A18002" s="10" t="n">
        <f aca="false">Einstellungen!$B$5+INT((ROW()-9)/24)</f>
        <v>46715</v>
      </c>
      <c r="B18002" s="11" t="n">
        <f aca="false">MOD(ROW()-9,24)</f>
        <v>17</v>
      </c>
      <c r="C18002" s="12"/>
      <c r="D18002" s="13" t="n">
        <f aca="false">IF(B18002&lt;5,Einstellungen!$B$3,Einstellungen!$B$4)</f>
        <v>29.13</v>
      </c>
      <c r="E18002" s="14" t="str">
        <f aca="false">IF(C18002="","",C18002*D18002/100)</f>
        <v/>
      </c>
      <c r="F18002" s="15" t="str">
        <f aca="false">IF(B18002&lt;5,"Go","Standard")</f>
        <v>Standard</v>
      </c>
    </row>
    <row r="18003" customFormat="false" ht="15" hidden="false" customHeight="true" outlineLevel="0" collapsed="false">
      <c r="A18003" s="10" t="n">
        <f aca="false">Einstellungen!$B$5+INT((ROW()-9)/24)</f>
        <v>46715</v>
      </c>
      <c r="B18003" s="11" t="n">
        <f aca="false">MOD(ROW()-9,24)</f>
        <v>18</v>
      </c>
      <c r="C18003" s="12"/>
      <c r="D18003" s="13" t="n">
        <f aca="false">IF(B18003&lt;5,Einstellungen!$B$3,Einstellungen!$B$4)</f>
        <v>29.13</v>
      </c>
      <c r="E18003" s="14" t="str">
        <f aca="false">IF(C18003="","",C18003*D18003/100)</f>
        <v/>
      </c>
      <c r="F18003" s="15" t="str">
        <f aca="false">IF(B18003&lt;5,"Go","Standard")</f>
        <v>Standard</v>
      </c>
    </row>
    <row r="18004" customFormat="false" ht="15" hidden="false" customHeight="true" outlineLevel="0" collapsed="false">
      <c r="A18004" s="10" t="n">
        <f aca="false">Einstellungen!$B$5+INT((ROW()-9)/24)</f>
        <v>46715</v>
      </c>
      <c r="B18004" s="11" t="n">
        <f aca="false">MOD(ROW()-9,24)</f>
        <v>19</v>
      </c>
      <c r="C18004" s="12"/>
      <c r="D18004" s="13" t="n">
        <f aca="false">IF(B18004&lt;5,Einstellungen!$B$3,Einstellungen!$B$4)</f>
        <v>29.13</v>
      </c>
      <c r="E18004" s="14" t="str">
        <f aca="false">IF(C18004="","",C18004*D18004/100)</f>
        <v/>
      </c>
      <c r="F18004" s="15" t="str">
        <f aca="false">IF(B18004&lt;5,"Go","Standard")</f>
        <v>Standard</v>
      </c>
    </row>
    <row r="18005" customFormat="false" ht="15" hidden="false" customHeight="true" outlineLevel="0" collapsed="false">
      <c r="A18005" s="10" t="n">
        <f aca="false">Einstellungen!$B$5+INT((ROW()-9)/24)</f>
        <v>46715</v>
      </c>
      <c r="B18005" s="11" t="n">
        <f aca="false">MOD(ROW()-9,24)</f>
        <v>20</v>
      </c>
      <c r="C18005" s="12"/>
      <c r="D18005" s="13" t="n">
        <f aca="false">IF(B18005&lt;5,Einstellungen!$B$3,Einstellungen!$B$4)</f>
        <v>29.13</v>
      </c>
      <c r="E18005" s="14" t="str">
        <f aca="false">IF(C18005="","",C18005*D18005/100)</f>
        <v/>
      </c>
      <c r="F18005" s="15" t="str">
        <f aca="false">IF(B18005&lt;5,"Go","Standard")</f>
        <v>Standard</v>
      </c>
    </row>
    <row r="18006" customFormat="false" ht="15" hidden="false" customHeight="true" outlineLevel="0" collapsed="false">
      <c r="A18006" s="10" t="n">
        <f aca="false">Einstellungen!$B$5+INT((ROW()-9)/24)</f>
        <v>46715</v>
      </c>
      <c r="B18006" s="11" t="n">
        <f aca="false">MOD(ROW()-9,24)</f>
        <v>21</v>
      </c>
      <c r="C18006" s="12"/>
      <c r="D18006" s="13" t="n">
        <f aca="false">IF(B18006&lt;5,Einstellungen!$B$3,Einstellungen!$B$4)</f>
        <v>29.13</v>
      </c>
      <c r="E18006" s="14" t="str">
        <f aca="false">IF(C18006="","",C18006*D18006/100)</f>
        <v/>
      </c>
      <c r="F18006" s="15" t="str">
        <f aca="false">IF(B18006&lt;5,"Go","Standard")</f>
        <v>Standard</v>
      </c>
    </row>
    <row r="18007" customFormat="false" ht="15" hidden="false" customHeight="true" outlineLevel="0" collapsed="false">
      <c r="A18007" s="10" t="n">
        <f aca="false">Einstellungen!$B$5+INT((ROW()-9)/24)</f>
        <v>46715</v>
      </c>
      <c r="B18007" s="11" t="n">
        <f aca="false">MOD(ROW()-9,24)</f>
        <v>22</v>
      </c>
      <c r="C18007" s="12"/>
      <c r="D18007" s="13" t="n">
        <f aca="false">IF(B18007&lt;5,Einstellungen!$B$3,Einstellungen!$B$4)</f>
        <v>29.13</v>
      </c>
      <c r="E18007" s="14" t="str">
        <f aca="false">IF(C18007="","",C18007*D18007/100)</f>
        <v/>
      </c>
      <c r="F18007" s="15" t="str">
        <f aca="false">IF(B18007&lt;5,"Go","Standard")</f>
        <v>Standard</v>
      </c>
    </row>
    <row r="18008" customFormat="false" ht="15" hidden="false" customHeight="true" outlineLevel="0" collapsed="false">
      <c r="A18008" s="10" t="n">
        <f aca="false">Einstellungen!$B$5+INT((ROW()-9)/24)</f>
        <v>46715</v>
      </c>
      <c r="B18008" s="11" t="n">
        <f aca="false">MOD(ROW()-9,24)</f>
        <v>23</v>
      </c>
      <c r="C18008" s="12"/>
      <c r="D18008" s="13" t="n">
        <f aca="false">IF(B18008&lt;5,Einstellungen!$B$3,Einstellungen!$B$4)</f>
        <v>29.13</v>
      </c>
      <c r="E18008" s="14" t="str">
        <f aca="false">IF(C18008="","",C18008*D18008/100)</f>
        <v/>
      </c>
      <c r="F18008" s="15" t="str">
        <f aca="false">IF(B18008&lt;5,"Go","Standard")</f>
        <v>Standard</v>
      </c>
    </row>
    <row r="18009" customFormat="false" ht="15" hidden="false" customHeight="true" outlineLevel="0" collapsed="false">
      <c r="A18009" s="10" t="n">
        <f aca="false">Einstellungen!$B$5+INT((ROW()-9)/24)</f>
        <v>46716</v>
      </c>
      <c r="B18009" s="11" t="n">
        <f aca="false">MOD(ROW()-9,24)</f>
        <v>0</v>
      </c>
      <c r="C18009" s="12"/>
      <c r="D18009" s="13" t="n">
        <f aca="false">IF(B18009&lt;5,Einstellungen!$B$3,Einstellungen!$B$4)</f>
        <v>15.92</v>
      </c>
      <c r="E18009" s="14" t="str">
        <f aca="false">IF(C18009="","",C18009*D18009/100)</f>
        <v/>
      </c>
      <c r="F18009" s="15" t="str">
        <f aca="false">IF(B18009&lt;5,"Go","Standard")</f>
        <v>Go</v>
      </c>
    </row>
    <row r="18010" customFormat="false" ht="15" hidden="false" customHeight="true" outlineLevel="0" collapsed="false">
      <c r="A18010" s="10" t="n">
        <f aca="false">Einstellungen!$B$5+INT((ROW()-9)/24)</f>
        <v>46716</v>
      </c>
      <c r="B18010" s="11" t="n">
        <f aca="false">MOD(ROW()-9,24)</f>
        <v>1</v>
      </c>
      <c r="C18010" s="12"/>
      <c r="D18010" s="13" t="n">
        <f aca="false">IF(B18010&lt;5,Einstellungen!$B$3,Einstellungen!$B$4)</f>
        <v>15.92</v>
      </c>
      <c r="E18010" s="14" t="str">
        <f aca="false">IF(C18010="","",C18010*D18010/100)</f>
        <v/>
      </c>
      <c r="F18010" s="15" t="str">
        <f aca="false">IF(B18010&lt;5,"Go","Standard")</f>
        <v>Go</v>
      </c>
    </row>
    <row r="18011" customFormat="false" ht="15" hidden="false" customHeight="true" outlineLevel="0" collapsed="false">
      <c r="A18011" s="10" t="n">
        <f aca="false">Einstellungen!$B$5+INT((ROW()-9)/24)</f>
        <v>46716</v>
      </c>
      <c r="B18011" s="11" t="n">
        <f aca="false">MOD(ROW()-9,24)</f>
        <v>2</v>
      </c>
      <c r="C18011" s="12"/>
      <c r="D18011" s="13" t="n">
        <f aca="false">IF(B18011&lt;5,Einstellungen!$B$3,Einstellungen!$B$4)</f>
        <v>15.92</v>
      </c>
      <c r="E18011" s="14" t="str">
        <f aca="false">IF(C18011="","",C18011*D18011/100)</f>
        <v/>
      </c>
      <c r="F18011" s="15" t="str">
        <f aca="false">IF(B18011&lt;5,"Go","Standard")</f>
        <v>Go</v>
      </c>
    </row>
    <row r="18012" customFormat="false" ht="15" hidden="false" customHeight="true" outlineLevel="0" collapsed="false">
      <c r="A18012" s="10" t="n">
        <f aca="false">Einstellungen!$B$5+INT((ROW()-9)/24)</f>
        <v>46716</v>
      </c>
      <c r="B18012" s="11" t="n">
        <f aca="false">MOD(ROW()-9,24)</f>
        <v>3</v>
      </c>
      <c r="C18012" s="12"/>
      <c r="D18012" s="13" t="n">
        <f aca="false">IF(B18012&lt;5,Einstellungen!$B$3,Einstellungen!$B$4)</f>
        <v>15.92</v>
      </c>
      <c r="E18012" s="14" t="str">
        <f aca="false">IF(C18012="","",C18012*D18012/100)</f>
        <v/>
      </c>
      <c r="F18012" s="15" t="str">
        <f aca="false">IF(B18012&lt;5,"Go","Standard")</f>
        <v>Go</v>
      </c>
    </row>
    <row r="18013" customFormat="false" ht="15" hidden="false" customHeight="true" outlineLevel="0" collapsed="false">
      <c r="A18013" s="10" t="n">
        <f aca="false">Einstellungen!$B$5+INT((ROW()-9)/24)</f>
        <v>46716</v>
      </c>
      <c r="B18013" s="11" t="n">
        <f aca="false">MOD(ROW()-9,24)</f>
        <v>4</v>
      </c>
      <c r="C18013" s="12"/>
      <c r="D18013" s="13" t="n">
        <f aca="false">IF(B18013&lt;5,Einstellungen!$B$3,Einstellungen!$B$4)</f>
        <v>15.92</v>
      </c>
      <c r="E18013" s="14" t="str">
        <f aca="false">IF(C18013="","",C18013*D18013/100)</f>
        <v/>
      </c>
      <c r="F18013" s="15" t="str">
        <f aca="false">IF(B18013&lt;5,"Go","Standard")</f>
        <v>Go</v>
      </c>
    </row>
    <row r="18014" customFormat="false" ht="15" hidden="false" customHeight="true" outlineLevel="0" collapsed="false">
      <c r="A18014" s="10" t="n">
        <f aca="false">Einstellungen!$B$5+INT((ROW()-9)/24)</f>
        <v>46716</v>
      </c>
      <c r="B18014" s="11" t="n">
        <f aca="false">MOD(ROW()-9,24)</f>
        <v>5</v>
      </c>
      <c r="C18014" s="12"/>
      <c r="D18014" s="13" t="n">
        <f aca="false">IF(B18014&lt;5,Einstellungen!$B$3,Einstellungen!$B$4)</f>
        <v>29.13</v>
      </c>
      <c r="E18014" s="14" t="str">
        <f aca="false">IF(C18014="","",C18014*D18014/100)</f>
        <v/>
      </c>
      <c r="F18014" s="15" t="str">
        <f aca="false">IF(B18014&lt;5,"Go","Standard")</f>
        <v>Standard</v>
      </c>
    </row>
    <row r="18015" customFormat="false" ht="15" hidden="false" customHeight="true" outlineLevel="0" collapsed="false">
      <c r="A18015" s="10" t="n">
        <f aca="false">Einstellungen!$B$5+INT((ROW()-9)/24)</f>
        <v>46716</v>
      </c>
      <c r="B18015" s="11" t="n">
        <f aca="false">MOD(ROW()-9,24)</f>
        <v>6</v>
      </c>
      <c r="C18015" s="12"/>
      <c r="D18015" s="13" t="n">
        <f aca="false">IF(B18015&lt;5,Einstellungen!$B$3,Einstellungen!$B$4)</f>
        <v>29.13</v>
      </c>
      <c r="E18015" s="14" t="str">
        <f aca="false">IF(C18015="","",C18015*D18015/100)</f>
        <v/>
      </c>
      <c r="F18015" s="15" t="str">
        <f aca="false">IF(B18015&lt;5,"Go","Standard")</f>
        <v>Standard</v>
      </c>
    </row>
    <row r="18016" customFormat="false" ht="15" hidden="false" customHeight="true" outlineLevel="0" collapsed="false">
      <c r="A18016" s="10" t="n">
        <f aca="false">Einstellungen!$B$5+INT((ROW()-9)/24)</f>
        <v>46716</v>
      </c>
      <c r="B18016" s="11" t="n">
        <f aca="false">MOD(ROW()-9,24)</f>
        <v>7</v>
      </c>
      <c r="C18016" s="12"/>
      <c r="D18016" s="13" t="n">
        <f aca="false">IF(B18016&lt;5,Einstellungen!$B$3,Einstellungen!$B$4)</f>
        <v>29.13</v>
      </c>
      <c r="E18016" s="14" t="str">
        <f aca="false">IF(C18016="","",C18016*D18016/100)</f>
        <v/>
      </c>
      <c r="F18016" s="15" t="str">
        <f aca="false">IF(B18016&lt;5,"Go","Standard")</f>
        <v>Standard</v>
      </c>
    </row>
    <row r="18017" customFormat="false" ht="15" hidden="false" customHeight="true" outlineLevel="0" collapsed="false">
      <c r="A18017" s="10" t="n">
        <f aca="false">Einstellungen!$B$5+INT((ROW()-9)/24)</f>
        <v>46716</v>
      </c>
      <c r="B18017" s="11" t="n">
        <f aca="false">MOD(ROW()-9,24)</f>
        <v>8</v>
      </c>
      <c r="C18017" s="12"/>
      <c r="D18017" s="13" t="n">
        <f aca="false">IF(B18017&lt;5,Einstellungen!$B$3,Einstellungen!$B$4)</f>
        <v>29.13</v>
      </c>
      <c r="E18017" s="14" t="str">
        <f aca="false">IF(C18017="","",C18017*D18017/100)</f>
        <v/>
      </c>
      <c r="F18017" s="15" t="str">
        <f aca="false">IF(B18017&lt;5,"Go","Standard")</f>
        <v>Standard</v>
      </c>
    </row>
    <row r="18018" customFormat="false" ht="15" hidden="false" customHeight="true" outlineLevel="0" collapsed="false">
      <c r="A18018" s="10" t="n">
        <f aca="false">Einstellungen!$B$5+INT((ROW()-9)/24)</f>
        <v>46716</v>
      </c>
      <c r="B18018" s="11" t="n">
        <f aca="false">MOD(ROW()-9,24)</f>
        <v>9</v>
      </c>
      <c r="C18018" s="12"/>
      <c r="D18018" s="13" t="n">
        <f aca="false">IF(B18018&lt;5,Einstellungen!$B$3,Einstellungen!$B$4)</f>
        <v>29.13</v>
      </c>
      <c r="E18018" s="14" t="str">
        <f aca="false">IF(C18018="","",C18018*D18018/100)</f>
        <v/>
      </c>
      <c r="F18018" s="15" t="str">
        <f aca="false">IF(B18018&lt;5,"Go","Standard")</f>
        <v>Standard</v>
      </c>
    </row>
    <row r="18019" customFormat="false" ht="15" hidden="false" customHeight="true" outlineLevel="0" collapsed="false">
      <c r="A18019" s="10" t="n">
        <f aca="false">Einstellungen!$B$5+INT((ROW()-9)/24)</f>
        <v>46716</v>
      </c>
      <c r="B18019" s="11" t="n">
        <f aca="false">MOD(ROW()-9,24)</f>
        <v>10</v>
      </c>
      <c r="C18019" s="12"/>
      <c r="D18019" s="13" t="n">
        <f aca="false">IF(B18019&lt;5,Einstellungen!$B$3,Einstellungen!$B$4)</f>
        <v>29.13</v>
      </c>
      <c r="E18019" s="14" t="str">
        <f aca="false">IF(C18019="","",C18019*D18019/100)</f>
        <v/>
      </c>
      <c r="F18019" s="15" t="str">
        <f aca="false">IF(B18019&lt;5,"Go","Standard")</f>
        <v>Standard</v>
      </c>
    </row>
    <row r="18020" customFormat="false" ht="15" hidden="false" customHeight="true" outlineLevel="0" collapsed="false">
      <c r="A18020" s="10" t="n">
        <f aca="false">Einstellungen!$B$5+INT((ROW()-9)/24)</f>
        <v>46716</v>
      </c>
      <c r="B18020" s="11" t="n">
        <f aca="false">MOD(ROW()-9,24)</f>
        <v>11</v>
      </c>
      <c r="C18020" s="12"/>
      <c r="D18020" s="13" t="n">
        <f aca="false">IF(B18020&lt;5,Einstellungen!$B$3,Einstellungen!$B$4)</f>
        <v>29.13</v>
      </c>
      <c r="E18020" s="14" t="str">
        <f aca="false">IF(C18020="","",C18020*D18020/100)</f>
        <v/>
      </c>
      <c r="F18020" s="15" t="str">
        <f aca="false">IF(B18020&lt;5,"Go","Standard")</f>
        <v>Standard</v>
      </c>
    </row>
    <row r="18021" customFormat="false" ht="15" hidden="false" customHeight="true" outlineLevel="0" collapsed="false">
      <c r="A18021" s="10" t="n">
        <f aca="false">Einstellungen!$B$5+INT((ROW()-9)/24)</f>
        <v>46716</v>
      </c>
      <c r="B18021" s="11" t="n">
        <f aca="false">MOD(ROW()-9,24)</f>
        <v>12</v>
      </c>
      <c r="C18021" s="12"/>
      <c r="D18021" s="13" t="n">
        <f aca="false">IF(B18021&lt;5,Einstellungen!$B$3,Einstellungen!$B$4)</f>
        <v>29.13</v>
      </c>
      <c r="E18021" s="14" t="str">
        <f aca="false">IF(C18021="","",C18021*D18021/100)</f>
        <v/>
      </c>
      <c r="F18021" s="15" t="str">
        <f aca="false">IF(B18021&lt;5,"Go","Standard")</f>
        <v>Standard</v>
      </c>
    </row>
    <row r="18022" customFormat="false" ht="15" hidden="false" customHeight="true" outlineLevel="0" collapsed="false">
      <c r="A18022" s="10" t="n">
        <f aca="false">Einstellungen!$B$5+INT((ROW()-9)/24)</f>
        <v>46716</v>
      </c>
      <c r="B18022" s="11" t="n">
        <f aca="false">MOD(ROW()-9,24)</f>
        <v>13</v>
      </c>
      <c r="C18022" s="12"/>
      <c r="D18022" s="13" t="n">
        <f aca="false">IF(B18022&lt;5,Einstellungen!$B$3,Einstellungen!$B$4)</f>
        <v>29.13</v>
      </c>
      <c r="E18022" s="14" t="str">
        <f aca="false">IF(C18022="","",C18022*D18022/100)</f>
        <v/>
      </c>
      <c r="F18022" s="15" t="str">
        <f aca="false">IF(B18022&lt;5,"Go","Standard")</f>
        <v>Standard</v>
      </c>
    </row>
    <row r="18023" customFormat="false" ht="15" hidden="false" customHeight="true" outlineLevel="0" collapsed="false">
      <c r="A18023" s="10" t="n">
        <f aca="false">Einstellungen!$B$5+INT((ROW()-9)/24)</f>
        <v>46716</v>
      </c>
      <c r="B18023" s="11" t="n">
        <f aca="false">MOD(ROW()-9,24)</f>
        <v>14</v>
      </c>
      <c r="C18023" s="12"/>
      <c r="D18023" s="13" t="n">
        <f aca="false">IF(B18023&lt;5,Einstellungen!$B$3,Einstellungen!$B$4)</f>
        <v>29.13</v>
      </c>
      <c r="E18023" s="14" t="str">
        <f aca="false">IF(C18023="","",C18023*D18023/100)</f>
        <v/>
      </c>
      <c r="F18023" s="15" t="str">
        <f aca="false">IF(B18023&lt;5,"Go","Standard")</f>
        <v>Standard</v>
      </c>
    </row>
    <row r="18024" customFormat="false" ht="15" hidden="false" customHeight="true" outlineLevel="0" collapsed="false">
      <c r="A18024" s="10" t="n">
        <f aca="false">Einstellungen!$B$5+INT((ROW()-9)/24)</f>
        <v>46716</v>
      </c>
      <c r="B18024" s="11" t="n">
        <f aca="false">MOD(ROW()-9,24)</f>
        <v>15</v>
      </c>
      <c r="C18024" s="12"/>
      <c r="D18024" s="13" t="n">
        <f aca="false">IF(B18024&lt;5,Einstellungen!$B$3,Einstellungen!$B$4)</f>
        <v>29.13</v>
      </c>
      <c r="E18024" s="14" t="str">
        <f aca="false">IF(C18024="","",C18024*D18024/100)</f>
        <v/>
      </c>
      <c r="F18024" s="15" t="str">
        <f aca="false">IF(B18024&lt;5,"Go","Standard")</f>
        <v>Standard</v>
      </c>
    </row>
    <row r="18025" customFormat="false" ht="15" hidden="false" customHeight="true" outlineLevel="0" collapsed="false">
      <c r="A18025" s="10" t="n">
        <f aca="false">Einstellungen!$B$5+INT((ROW()-9)/24)</f>
        <v>46716</v>
      </c>
      <c r="B18025" s="11" t="n">
        <f aca="false">MOD(ROW()-9,24)</f>
        <v>16</v>
      </c>
      <c r="C18025" s="12"/>
      <c r="D18025" s="13" t="n">
        <f aca="false">IF(B18025&lt;5,Einstellungen!$B$3,Einstellungen!$B$4)</f>
        <v>29.13</v>
      </c>
      <c r="E18025" s="14" t="str">
        <f aca="false">IF(C18025="","",C18025*D18025/100)</f>
        <v/>
      </c>
      <c r="F18025" s="15" t="str">
        <f aca="false">IF(B18025&lt;5,"Go","Standard")</f>
        <v>Standard</v>
      </c>
    </row>
    <row r="18026" customFormat="false" ht="15" hidden="false" customHeight="true" outlineLevel="0" collapsed="false">
      <c r="A18026" s="10" t="n">
        <f aca="false">Einstellungen!$B$5+INT((ROW()-9)/24)</f>
        <v>46716</v>
      </c>
      <c r="B18026" s="11" t="n">
        <f aca="false">MOD(ROW()-9,24)</f>
        <v>17</v>
      </c>
      <c r="C18026" s="12"/>
      <c r="D18026" s="13" t="n">
        <f aca="false">IF(B18026&lt;5,Einstellungen!$B$3,Einstellungen!$B$4)</f>
        <v>29.13</v>
      </c>
      <c r="E18026" s="14" t="str">
        <f aca="false">IF(C18026="","",C18026*D18026/100)</f>
        <v/>
      </c>
      <c r="F18026" s="15" t="str">
        <f aca="false">IF(B18026&lt;5,"Go","Standard")</f>
        <v>Standard</v>
      </c>
    </row>
    <row r="18027" customFormat="false" ht="15" hidden="false" customHeight="true" outlineLevel="0" collapsed="false">
      <c r="A18027" s="10" t="n">
        <f aca="false">Einstellungen!$B$5+INT((ROW()-9)/24)</f>
        <v>46716</v>
      </c>
      <c r="B18027" s="11" t="n">
        <f aca="false">MOD(ROW()-9,24)</f>
        <v>18</v>
      </c>
      <c r="C18027" s="12"/>
      <c r="D18027" s="13" t="n">
        <f aca="false">IF(B18027&lt;5,Einstellungen!$B$3,Einstellungen!$B$4)</f>
        <v>29.13</v>
      </c>
      <c r="E18027" s="14" t="str">
        <f aca="false">IF(C18027="","",C18027*D18027/100)</f>
        <v/>
      </c>
      <c r="F18027" s="15" t="str">
        <f aca="false">IF(B18027&lt;5,"Go","Standard")</f>
        <v>Standard</v>
      </c>
    </row>
    <row r="18028" customFormat="false" ht="15" hidden="false" customHeight="true" outlineLevel="0" collapsed="false">
      <c r="A18028" s="10" t="n">
        <f aca="false">Einstellungen!$B$5+INT((ROW()-9)/24)</f>
        <v>46716</v>
      </c>
      <c r="B18028" s="11" t="n">
        <f aca="false">MOD(ROW()-9,24)</f>
        <v>19</v>
      </c>
      <c r="C18028" s="12"/>
      <c r="D18028" s="13" t="n">
        <f aca="false">IF(B18028&lt;5,Einstellungen!$B$3,Einstellungen!$B$4)</f>
        <v>29.13</v>
      </c>
      <c r="E18028" s="14" t="str">
        <f aca="false">IF(C18028="","",C18028*D18028/100)</f>
        <v/>
      </c>
      <c r="F18028" s="15" t="str">
        <f aca="false">IF(B18028&lt;5,"Go","Standard")</f>
        <v>Standard</v>
      </c>
    </row>
    <row r="18029" customFormat="false" ht="15" hidden="false" customHeight="true" outlineLevel="0" collapsed="false">
      <c r="A18029" s="10" t="n">
        <f aca="false">Einstellungen!$B$5+INT((ROW()-9)/24)</f>
        <v>46716</v>
      </c>
      <c r="B18029" s="11" t="n">
        <f aca="false">MOD(ROW()-9,24)</f>
        <v>20</v>
      </c>
      <c r="C18029" s="12"/>
      <c r="D18029" s="13" t="n">
        <f aca="false">IF(B18029&lt;5,Einstellungen!$B$3,Einstellungen!$B$4)</f>
        <v>29.13</v>
      </c>
      <c r="E18029" s="14" t="str">
        <f aca="false">IF(C18029="","",C18029*D18029/100)</f>
        <v/>
      </c>
      <c r="F18029" s="15" t="str">
        <f aca="false">IF(B18029&lt;5,"Go","Standard")</f>
        <v>Standard</v>
      </c>
    </row>
    <row r="18030" customFormat="false" ht="15" hidden="false" customHeight="true" outlineLevel="0" collapsed="false">
      <c r="A18030" s="10" t="n">
        <f aca="false">Einstellungen!$B$5+INT((ROW()-9)/24)</f>
        <v>46716</v>
      </c>
      <c r="B18030" s="11" t="n">
        <f aca="false">MOD(ROW()-9,24)</f>
        <v>21</v>
      </c>
      <c r="C18030" s="12"/>
      <c r="D18030" s="13" t="n">
        <f aca="false">IF(B18030&lt;5,Einstellungen!$B$3,Einstellungen!$B$4)</f>
        <v>29.13</v>
      </c>
      <c r="E18030" s="14" t="str">
        <f aca="false">IF(C18030="","",C18030*D18030/100)</f>
        <v/>
      </c>
      <c r="F18030" s="15" t="str">
        <f aca="false">IF(B18030&lt;5,"Go","Standard")</f>
        <v>Standard</v>
      </c>
    </row>
    <row r="18031" customFormat="false" ht="15" hidden="false" customHeight="true" outlineLevel="0" collapsed="false">
      <c r="A18031" s="10" t="n">
        <f aca="false">Einstellungen!$B$5+INT((ROW()-9)/24)</f>
        <v>46716</v>
      </c>
      <c r="B18031" s="11" t="n">
        <f aca="false">MOD(ROW()-9,24)</f>
        <v>22</v>
      </c>
      <c r="C18031" s="12"/>
      <c r="D18031" s="13" t="n">
        <f aca="false">IF(B18031&lt;5,Einstellungen!$B$3,Einstellungen!$B$4)</f>
        <v>29.13</v>
      </c>
      <c r="E18031" s="14" t="str">
        <f aca="false">IF(C18031="","",C18031*D18031/100)</f>
        <v/>
      </c>
      <c r="F18031" s="15" t="str">
        <f aca="false">IF(B18031&lt;5,"Go","Standard")</f>
        <v>Standard</v>
      </c>
    </row>
    <row r="18032" customFormat="false" ht="15" hidden="false" customHeight="true" outlineLevel="0" collapsed="false">
      <c r="A18032" s="10" t="n">
        <f aca="false">Einstellungen!$B$5+INT((ROW()-9)/24)</f>
        <v>46716</v>
      </c>
      <c r="B18032" s="11" t="n">
        <f aca="false">MOD(ROW()-9,24)</f>
        <v>23</v>
      </c>
      <c r="C18032" s="12"/>
      <c r="D18032" s="13" t="n">
        <f aca="false">IF(B18032&lt;5,Einstellungen!$B$3,Einstellungen!$B$4)</f>
        <v>29.13</v>
      </c>
      <c r="E18032" s="14" t="str">
        <f aca="false">IF(C18032="","",C18032*D18032/100)</f>
        <v/>
      </c>
      <c r="F18032" s="15" t="str">
        <f aca="false">IF(B18032&lt;5,"Go","Standard")</f>
        <v>Standard</v>
      </c>
    </row>
    <row r="18033" customFormat="false" ht="15" hidden="false" customHeight="true" outlineLevel="0" collapsed="false">
      <c r="A18033" s="10" t="n">
        <f aca="false">Einstellungen!$B$5+INT((ROW()-9)/24)</f>
        <v>46717</v>
      </c>
      <c r="B18033" s="11" t="n">
        <f aca="false">MOD(ROW()-9,24)</f>
        <v>0</v>
      </c>
      <c r="C18033" s="12"/>
      <c r="D18033" s="13" t="n">
        <f aca="false">IF(B18033&lt;5,Einstellungen!$B$3,Einstellungen!$B$4)</f>
        <v>15.92</v>
      </c>
      <c r="E18033" s="14" t="str">
        <f aca="false">IF(C18033="","",C18033*D18033/100)</f>
        <v/>
      </c>
      <c r="F18033" s="15" t="str">
        <f aca="false">IF(B18033&lt;5,"Go","Standard")</f>
        <v>Go</v>
      </c>
    </row>
    <row r="18034" customFormat="false" ht="15" hidden="false" customHeight="true" outlineLevel="0" collapsed="false">
      <c r="A18034" s="10" t="n">
        <f aca="false">Einstellungen!$B$5+INT((ROW()-9)/24)</f>
        <v>46717</v>
      </c>
      <c r="B18034" s="11" t="n">
        <f aca="false">MOD(ROW()-9,24)</f>
        <v>1</v>
      </c>
      <c r="C18034" s="12"/>
      <c r="D18034" s="13" t="n">
        <f aca="false">IF(B18034&lt;5,Einstellungen!$B$3,Einstellungen!$B$4)</f>
        <v>15.92</v>
      </c>
      <c r="E18034" s="14" t="str">
        <f aca="false">IF(C18034="","",C18034*D18034/100)</f>
        <v/>
      </c>
      <c r="F18034" s="15" t="str">
        <f aca="false">IF(B18034&lt;5,"Go","Standard")</f>
        <v>Go</v>
      </c>
    </row>
    <row r="18035" customFormat="false" ht="15" hidden="false" customHeight="true" outlineLevel="0" collapsed="false">
      <c r="A18035" s="10" t="n">
        <f aca="false">Einstellungen!$B$5+INT((ROW()-9)/24)</f>
        <v>46717</v>
      </c>
      <c r="B18035" s="11" t="n">
        <f aca="false">MOD(ROW()-9,24)</f>
        <v>2</v>
      </c>
      <c r="C18035" s="12"/>
      <c r="D18035" s="13" t="n">
        <f aca="false">IF(B18035&lt;5,Einstellungen!$B$3,Einstellungen!$B$4)</f>
        <v>15.92</v>
      </c>
      <c r="E18035" s="14" t="str">
        <f aca="false">IF(C18035="","",C18035*D18035/100)</f>
        <v/>
      </c>
      <c r="F18035" s="15" t="str">
        <f aca="false">IF(B18035&lt;5,"Go","Standard")</f>
        <v>Go</v>
      </c>
    </row>
    <row r="18036" customFormat="false" ht="15" hidden="false" customHeight="true" outlineLevel="0" collapsed="false">
      <c r="A18036" s="10" t="n">
        <f aca="false">Einstellungen!$B$5+INT((ROW()-9)/24)</f>
        <v>46717</v>
      </c>
      <c r="B18036" s="11" t="n">
        <f aca="false">MOD(ROW()-9,24)</f>
        <v>3</v>
      </c>
      <c r="C18036" s="12"/>
      <c r="D18036" s="13" t="n">
        <f aca="false">IF(B18036&lt;5,Einstellungen!$B$3,Einstellungen!$B$4)</f>
        <v>15.92</v>
      </c>
      <c r="E18036" s="14" t="str">
        <f aca="false">IF(C18036="","",C18036*D18036/100)</f>
        <v/>
      </c>
      <c r="F18036" s="15" t="str">
        <f aca="false">IF(B18036&lt;5,"Go","Standard")</f>
        <v>Go</v>
      </c>
    </row>
    <row r="18037" customFormat="false" ht="15" hidden="false" customHeight="true" outlineLevel="0" collapsed="false">
      <c r="A18037" s="10" t="n">
        <f aca="false">Einstellungen!$B$5+INT((ROW()-9)/24)</f>
        <v>46717</v>
      </c>
      <c r="B18037" s="11" t="n">
        <f aca="false">MOD(ROW()-9,24)</f>
        <v>4</v>
      </c>
      <c r="C18037" s="12"/>
      <c r="D18037" s="13" t="n">
        <f aca="false">IF(B18037&lt;5,Einstellungen!$B$3,Einstellungen!$B$4)</f>
        <v>15.92</v>
      </c>
      <c r="E18037" s="14" t="str">
        <f aca="false">IF(C18037="","",C18037*D18037/100)</f>
        <v/>
      </c>
      <c r="F18037" s="15" t="str">
        <f aca="false">IF(B18037&lt;5,"Go","Standard")</f>
        <v>Go</v>
      </c>
    </row>
    <row r="18038" customFormat="false" ht="15" hidden="false" customHeight="true" outlineLevel="0" collapsed="false">
      <c r="A18038" s="10" t="n">
        <f aca="false">Einstellungen!$B$5+INT((ROW()-9)/24)</f>
        <v>46717</v>
      </c>
      <c r="B18038" s="11" t="n">
        <f aca="false">MOD(ROW()-9,24)</f>
        <v>5</v>
      </c>
      <c r="C18038" s="12"/>
      <c r="D18038" s="13" t="n">
        <f aca="false">IF(B18038&lt;5,Einstellungen!$B$3,Einstellungen!$B$4)</f>
        <v>29.13</v>
      </c>
      <c r="E18038" s="14" t="str">
        <f aca="false">IF(C18038="","",C18038*D18038/100)</f>
        <v/>
      </c>
      <c r="F18038" s="15" t="str">
        <f aca="false">IF(B18038&lt;5,"Go","Standard")</f>
        <v>Standard</v>
      </c>
    </row>
    <row r="18039" customFormat="false" ht="15" hidden="false" customHeight="true" outlineLevel="0" collapsed="false">
      <c r="A18039" s="10" t="n">
        <f aca="false">Einstellungen!$B$5+INT((ROW()-9)/24)</f>
        <v>46717</v>
      </c>
      <c r="B18039" s="11" t="n">
        <f aca="false">MOD(ROW()-9,24)</f>
        <v>6</v>
      </c>
      <c r="C18039" s="12"/>
      <c r="D18039" s="13" t="n">
        <f aca="false">IF(B18039&lt;5,Einstellungen!$B$3,Einstellungen!$B$4)</f>
        <v>29.13</v>
      </c>
      <c r="E18039" s="14" t="str">
        <f aca="false">IF(C18039="","",C18039*D18039/100)</f>
        <v/>
      </c>
      <c r="F18039" s="15" t="str">
        <f aca="false">IF(B18039&lt;5,"Go","Standard")</f>
        <v>Standard</v>
      </c>
    </row>
    <row r="18040" customFormat="false" ht="15" hidden="false" customHeight="true" outlineLevel="0" collapsed="false">
      <c r="A18040" s="10" t="n">
        <f aca="false">Einstellungen!$B$5+INT((ROW()-9)/24)</f>
        <v>46717</v>
      </c>
      <c r="B18040" s="11" t="n">
        <f aca="false">MOD(ROW()-9,24)</f>
        <v>7</v>
      </c>
      <c r="C18040" s="12"/>
      <c r="D18040" s="13" t="n">
        <f aca="false">IF(B18040&lt;5,Einstellungen!$B$3,Einstellungen!$B$4)</f>
        <v>29.13</v>
      </c>
      <c r="E18040" s="14" t="str">
        <f aca="false">IF(C18040="","",C18040*D18040/100)</f>
        <v/>
      </c>
      <c r="F18040" s="15" t="str">
        <f aca="false">IF(B18040&lt;5,"Go","Standard")</f>
        <v>Standard</v>
      </c>
    </row>
    <row r="18041" customFormat="false" ht="15" hidden="false" customHeight="true" outlineLevel="0" collapsed="false">
      <c r="A18041" s="10" t="n">
        <f aca="false">Einstellungen!$B$5+INT((ROW()-9)/24)</f>
        <v>46717</v>
      </c>
      <c r="B18041" s="11" t="n">
        <f aca="false">MOD(ROW()-9,24)</f>
        <v>8</v>
      </c>
      <c r="C18041" s="12"/>
      <c r="D18041" s="13" t="n">
        <f aca="false">IF(B18041&lt;5,Einstellungen!$B$3,Einstellungen!$B$4)</f>
        <v>29.13</v>
      </c>
      <c r="E18041" s="14" t="str">
        <f aca="false">IF(C18041="","",C18041*D18041/100)</f>
        <v/>
      </c>
      <c r="F18041" s="15" t="str">
        <f aca="false">IF(B18041&lt;5,"Go","Standard")</f>
        <v>Standard</v>
      </c>
    </row>
    <row r="18042" customFormat="false" ht="15" hidden="false" customHeight="true" outlineLevel="0" collapsed="false">
      <c r="A18042" s="10" t="n">
        <f aca="false">Einstellungen!$B$5+INT((ROW()-9)/24)</f>
        <v>46717</v>
      </c>
      <c r="B18042" s="11" t="n">
        <f aca="false">MOD(ROW()-9,24)</f>
        <v>9</v>
      </c>
      <c r="C18042" s="12"/>
      <c r="D18042" s="13" t="n">
        <f aca="false">IF(B18042&lt;5,Einstellungen!$B$3,Einstellungen!$B$4)</f>
        <v>29.13</v>
      </c>
      <c r="E18042" s="14" t="str">
        <f aca="false">IF(C18042="","",C18042*D18042/100)</f>
        <v/>
      </c>
      <c r="F18042" s="15" t="str">
        <f aca="false">IF(B18042&lt;5,"Go","Standard")</f>
        <v>Standard</v>
      </c>
    </row>
    <row r="18043" customFormat="false" ht="15" hidden="false" customHeight="true" outlineLevel="0" collapsed="false">
      <c r="A18043" s="10" t="n">
        <f aca="false">Einstellungen!$B$5+INT((ROW()-9)/24)</f>
        <v>46717</v>
      </c>
      <c r="B18043" s="11" t="n">
        <f aca="false">MOD(ROW()-9,24)</f>
        <v>10</v>
      </c>
      <c r="C18043" s="12"/>
      <c r="D18043" s="13" t="n">
        <f aca="false">IF(B18043&lt;5,Einstellungen!$B$3,Einstellungen!$B$4)</f>
        <v>29.13</v>
      </c>
      <c r="E18043" s="14" t="str">
        <f aca="false">IF(C18043="","",C18043*D18043/100)</f>
        <v/>
      </c>
      <c r="F18043" s="15" t="str">
        <f aca="false">IF(B18043&lt;5,"Go","Standard")</f>
        <v>Standard</v>
      </c>
    </row>
    <row r="18044" customFormat="false" ht="15" hidden="false" customHeight="true" outlineLevel="0" collapsed="false">
      <c r="A18044" s="10" t="n">
        <f aca="false">Einstellungen!$B$5+INT((ROW()-9)/24)</f>
        <v>46717</v>
      </c>
      <c r="B18044" s="11" t="n">
        <f aca="false">MOD(ROW()-9,24)</f>
        <v>11</v>
      </c>
      <c r="C18044" s="12"/>
      <c r="D18044" s="13" t="n">
        <f aca="false">IF(B18044&lt;5,Einstellungen!$B$3,Einstellungen!$B$4)</f>
        <v>29.13</v>
      </c>
      <c r="E18044" s="14" t="str">
        <f aca="false">IF(C18044="","",C18044*D18044/100)</f>
        <v/>
      </c>
      <c r="F18044" s="15" t="str">
        <f aca="false">IF(B18044&lt;5,"Go","Standard")</f>
        <v>Standard</v>
      </c>
    </row>
    <row r="18045" customFormat="false" ht="15" hidden="false" customHeight="true" outlineLevel="0" collapsed="false">
      <c r="A18045" s="10" t="n">
        <f aca="false">Einstellungen!$B$5+INT((ROW()-9)/24)</f>
        <v>46717</v>
      </c>
      <c r="B18045" s="11" t="n">
        <f aca="false">MOD(ROW()-9,24)</f>
        <v>12</v>
      </c>
      <c r="C18045" s="12"/>
      <c r="D18045" s="13" t="n">
        <f aca="false">IF(B18045&lt;5,Einstellungen!$B$3,Einstellungen!$B$4)</f>
        <v>29.13</v>
      </c>
      <c r="E18045" s="14" t="str">
        <f aca="false">IF(C18045="","",C18045*D18045/100)</f>
        <v/>
      </c>
      <c r="F18045" s="15" t="str">
        <f aca="false">IF(B18045&lt;5,"Go","Standard")</f>
        <v>Standard</v>
      </c>
    </row>
    <row r="18046" customFormat="false" ht="15" hidden="false" customHeight="true" outlineLevel="0" collapsed="false">
      <c r="A18046" s="10" t="n">
        <f aca="false">Einstellungen!$B$5+INT((ROW()-9)/24)</f>
        <v>46717</v>
      </c>
      <c r="B18046" s="11" t="n">
        <f aca="false">MOD(ROW()-9,24)</f>
        <v>13</v>
      </c>
      <c r="C18046" s="12"/>
      <c r="D18046" s="13" t="n">
        <f aca="false">IF(B18046&lt;5,Einstellungen!$B$3,Einstellungen!$B$4)</f>
        <v>29.13</v>
      </c>
      <c r="E18046" s="14" t="str">
        <f aca="false">IF(C18046="","",C18046*D18046/100)</f>
        <v/>
      </c>
      <c r="F18046" s="15" t="str">
        <f aca="false">IF(B18046&lt;5,"Go","Standard")</f>
        <v>Standard</v>
      </c>
    </row>
    <row r="18047" customFormat="false" ht="15" hidden="false" customHeight="true" outlineLevel="0" collapsed="false">
      <c r="A18047" s="10" t="n">
        <f aca="false">Einstellungen!$B$5+INT((ROW()-9)/24)</f>
        <v>46717</v>
      </c>
      <c r="B18047" s="11" t="n">
        <f aca="false">MOD(ROW()-9,24)</f>
        <v>14</v>
      </c>
      <c r="C18047" s="12"/>
      <c r="D18047" s="13" t="n">
        <f aca="false">IF(B18047&lt;5,Einstellungen!$B$3,Einstellungen!$B$4)</f>
        <v>29.13</v>
      </c>
      <c r="E18047" s="14" t="str">
        <f aca="false">IF(C18047="","",C18047*D18047/100)</f>
        <v/>
      </c>
      <c r="F18047" s="15" t="str">
        <f aca="false">IF(B18047&lt;5,"Go","Standard")</f>
        <v>Standard</v>
      </c>
    </row>
    <row r="18048" customFormat="false" ht="15" hidden="false" customHeight="true" outlineLevel="0" collapsed="false">
      <c r="A18048" s="10" t="n">
        <f aca="false">Einstellungen!$B$5+INT((ROW()-9)/24)</f>
        <v>46717</v>
      </c>
      <c r="B18048" s="11" t="n">
        <f aca="false">MOD(ROW()-9,24)</f>
        <v>15</v>
      </c>
      <c r="C18048" s="12"/>
      <c r="D18048" s="13" t="n">
        <f aca="false">IF(B18048&lt;5,Einstellungen!$B$3,Einstellungen!$B$4)</f>
        <v>29.13</v>
      </c>
      <c r="E18048" s="14" t="str">
        <f aca="false">IF(C18048="","",C18048*D18048/100)</f>
        <v/>
      </c>
      <c r="F18048" s="15" t="str">
        <f aca="false">IF(B18048&lt;5,"Go","Standard")</f>
        <v>Standard</v>
      </c>
    </row>
    <row r="18049" customFormat="false" ht="15" hidden="false" customHeight="true" outlineLevel="0" collapsed="false">
      <c r="A18049" s="10" t="n">
        <f aca="false">Einstellungen!$B$5+INT((ROW()-9)/24)</f>
        <v>46717</v>
      </c>
      <c r="B18049" s="11" t="n">
        <f aca="false">MOD(ROW()-9,24)</f>
        <v>16</v>
      </c>
      <c r="C18049" s="12"/>
      <c r="D18049" s="13" t="n">
        <f aca="false">IF(B18049&lt;5,Einstellungen!$B$3,Einstellungen!$B$4)</f>
        <v>29.13</v>
      </c>
      <c r="E18049" s="14" t="str">
        <f aca="false">IF(C18049="","",C18049*D18049/100)</f>
        <v/>
      </c>
      <c r="F18049" s="15" t="str">
        <f aca="false">IF(B18049&lt;5,"Go","Standard")</f>
        <v>Standard</v>
      </c>
    </row>
    <row r="18050" customFormat="false" ht="15" hidden="false" customHeight="true" outlineLevel="0" collapsed="false">
      <c r="A18050" s="10" t="n">
        <f aca="false">Einstellungen!$B$5+INT((ROW()-9)/24)</f>
        <v>46717</v>
      </c>
      <c r="B18050" s="11" t="n">
        <f aca="false">MOD(ROW()-9,24)</f>
        <v>17</v>
      </c>
      <c r="C18050" s="12"/>
      <c r="D18050" s="13" t="n">
        <f aca="false">IF(B18050&lt;5,Einstellungen!$B$3,Einstellungen!$B$4)</f>
        <v>29.13</v>
      </c>
      <c r="E18050" s="14" t="str">
        <f aca="false">IF(C18050="","",C18050*D18050/100)</f>
        <v/>
      </c>
      <c r="F18050" s="15" t="str">
        <f aca="false">IF(B18050&lt;5,"Go","Standard")</f>
        <v>Standard</v>
      </c>
    </row>
    <row r="18051" customFormat="false" ht="15" hidden="false" customHeight="true" outlineLevel="0" collapsed="false">
      <c r="A18051" s="10" t="n">
        <f aca="false">Einstellungen!$B$5+INT((ROW()-9)/24)</f>
        <v>46717</v>
      </c>
      <c r="B18051" s="11" t="n">
        <f aca="false">MOD(ROW()-9,24)</f>
        <v>18</v>
      </c>
      <c r="C18051" s="12"/>
      <c r="D18051" s="13" t="n">
        <f aca="false">IF(B18051&lt;5,Einstellungen!$B$3,Einstellungen!$B$4)</f>
        <v>29.13</v>
      </c>
      <c r="E18051" s="14" t="str">
        <f aca="false">IF(C18051="","",C18051*D18051/100)</f>
        <v/>
      </c>
      <c r="F18051" s="15" t="str">
        <f aca="false">IF(B18051&lt;5,"Go","Standard")</f>
        <v>Standard</v>
      </c>
    </row>
    <row r="18052" customFormat="false" ht="15" hidden="false" customHeight="true" outlineLevel="0" collapsed="false">
      <c r="A18052" s="10" t="n">
        <f aca="false">Einstellungen!$B$5+INT((ROW()-9)/24)</f>
        <v>46717</v>
      </c>
      <c r="B18052" s="11" t="n">
        <f aca="false">MOD(ROW()-9,24)</f>
        <v>19</v>
      </c>
      <c r="C18052" s="12"/>
      <c r="D18052" s="13" t="n">
        <f aca="false">IF(B18052&lt;5,Einstellungen!$B$3,Einstellungen!$B$4)</f>
        <v>29.13</v>
      </c>
      <c r="E18052" s="14" t="str">
        <f aca="false">IF(C18052="","",C18052*D18052/100)</f>
        <v/>
      </c>
      <c r="F18052" s="15" t="str">
        <f aca="false">IF(B18052&lt;5,"Go","Standard")</f>
        <v>Standard</v>
      </c>
    </row>
    <row r="18053" customFormat="false" ht="15" hidden="false" customHeight="true" outlineLevel="0" collapsed="false">
      <c r="A18053" s="10" t="n">
        <f aca="false">Einstellungen!$B$5+INT((ROW()-9)/24)</f>
        <v>46717</v>
      </c>
      <c r="B18053" s="11" t="n">
        <f aca="false">MOD(ROW()-9,24)</f>
        <v>20</v>
      </c>
      <c r="C18053" s="12"/>
      <c r="D18053" s="13" t="n">
        <f aca="false">IF(B18053&lt;5,Einstellungen!$B$3,Einstellungen!$B$4)</f>
        <v>29.13</v>
      </c>
      <c r="E18053" s="14" t="str">
        <f aca="false">IF(C18053="","",C18053*D18053/100)</f>
        <v/>
      </c>
      <c r="F18053" s="15" t="str">
        <f aca="false">IF(B18053&lt;5,"Go","Standard")</f>
        <v>Standard</v>
      </c>
    </row>
    <row r="18054" customFormat="false" ht="15" hidden="false" customHeight="true" outlineLevel="0" collapsed="false">
      <c r="A18054" s="10" t="n">
        <f aca="false">Einstellungen!$B$5+INT((ROW()-9)/24)</f>
        <v>46717</v>
      </c>
      <c r="B18054" s="11" t="n">
        <f aca="false">MOD(ROW()-9,24)</f>
        <v>21</v>
      </c>
      <c r="C18054" s="12"/>
      <c r="D18054" s="13" t="n">
        <f aca="false">IF(B18054&lt;5,Einstellungen!$B$3,Einstellungen!$B$4)</f>
        <v>29.13</v>
      </c>
      <c r="E18054" s="14" t="str">
        <f aca="false">IF(C18054="","",C18054*D18054/100)</f>
        <v/>
      </c>
      <c r="F18054" s="15" t="str">
        <f aca="false">IF(B18054&lt;5,"Go","Standard")</f>
        <v>Standard</v>
      </c>
    </row>
    <row r="18055" customFormat="false" ht="15" hidden="false" customHeight="true" outlineLevel="0" collapsed="false">
      <c r="A18055" s="10" t="n">
        <f aca="false">Einstellungen!$B$5+INT((ROW()-9)/24)</f>
        <v>46717</v>
      </c>
      <c r="B18055" s="11" t="n">
        <f aca="false">MOD(ROW()-9,24)</f>
        <v>22</v>
      </c>
      <c r="C18055" s="12"/>
      <c r="D18055" s="13" t="n">
        <f aca="false">IF(B18055&lt;5,Einstellungen!$B$3,Einstellungen!$B$4)</f>
        <v>29.13</v>
      </c>
      <c r="E18055" s="14" t="str">
        <f aca="false">IF(C18055="","",C18055*D18055/100)</f>
        <v/>
      </c>
      <c r="F18055" s="15" t="str">
        <f aca="false">IF(B18055&lt;5,"Go","Standard")</f>
        <v>Standard</v>
      </c>
    </row>
    <row r="18056" customFormat="false" ht="15" hidden="false" customHeight="true" outlineLevel="0" collapsed="false">
      <c r="A18056" s="10" t="n">
        <f aca="false">Einstellungen!$B$5+INT((ROW()-9)/24)</f>
        <v>46717</v>
      </c>
      <c r="B18056" s="11" t="n">
        <f aca="false">MOD(ROW()-9,24)</f>
        <v>23</v>
      </c>
      <c r="C18056" s="12"/>
      <c r="D18056" s="13" t="n">
        <f aca="false">IF(B18056&lt;5,Einstellungen!$B$3,Einstellungen!$B$4)</f>
        <v>29.13</v>
      </c>
      <c r="E18056" s="14" t="str">
        <f aca="false">IF(C18056="","",C18056*D18056/100)</f>
        <v/>
      </c>
      <c r="F18056" s="15" t="str">
        <f aca="false">IF(B18056&lt;5,"Go","Standard")</f>
        <v>Standard</v>
      </c>
    </row>
    <row r="18057" customFormat="false" ht="15" hidden="false" customHeight="true" outlineLevel="0" collapsed="false">
      <c r="A18057" s="10" t="n">
        <f aca="false">Einstellungen!$B$5+INT((ROW()-9)/24)</f>
        <v>46718</v>
      </c>
      <c r="B18057" s="11" t="n">
        <f aca="false">MOD(ROW()-9,24)</f>
        <v>0</v>
      </c>
      <c r="C18057" s="12"/>
      <c r="D18057" s="13" t="n">
        <f aca="false">IF(B18057&lt;5,Einstellungen!$B$3,Einstellungen!$B$4)</f>
        <v>15.92</v>
      </c>
      <c r="E18057" s="14" t="str">
        <f aca="false">IF(C18057="","",C18057*D18057/100)</f>
        <v/>
      </c>
      <c r="F18057" s="15" t="str">
        <f aca="false">IF(B18057&lt;5,"Go","Standard")</f>
        <v>Go</v>
      </c>
    </row>
    <row r="18058" customFormat="false" ht="15" hidden="false" customHeight="true" outlineLevel="0" collapsed="false">
      <c r="A18058" s="10" t="n">
        <f aca="false">Einstellungen!$B$5+INT((ROW()-9)/24)</f>
        <v>46718</v>
      </c>
      <c r="B18058" s="11" t="n">
        <f aca="false">MOD(ROW()-9,24)</f>
        <v>1</v>
      </c>
      <c r="C18058" s="12"/>
      <c r="D18058" s="13" t="n">
        <f aca="false">IF(B18058&lt;5,Einstellungen!$B$3,Einstellungen!$B$4)</f>
        <v>15.92</v>
      </c>
      <c r="E18058" s="14" t="str">
        <f aca="false">IF(C18058="","",C18058*D18058/100)</f>
        <v/>
      </c>
      <c r="F18058" s="15" t="str">
        <f aca="false">IF(B18058&lt;5,"Go","Standard")</f>
        <v>Go</v>
      </c>
    </row>
    <row r="18059" customFormat="false" ht="15" hidden="false" customHeight="true" outlineLevel="0" collapsed="false">
      <c r="A18059" s="10" t="n">
        <f aca="false">Einstellungen!$B$5+INT((ROW()-9)/24)</f>
        <v>46718</v>
      </c>
      <c r="B18059" s="11" t="n">
        <f aca="false">MOD(ROW()-9,24)</f>
        <v>2</v>
      </c>
      <c r="C18059" s="12"/>
      <c r="D18059" s="13" t="n">
        <f aca="false">IF(B18059&lt;5,Einstellungen!$B$3,Einstellungen!$B$4)</f>
        <v>15.92</v>
      </c>
      <c r="E18059" s="14" t="str">
        <f aca="false">IF(C18059="","",C18059*D18059/100)</f>
        <v/>
      </c>
      <c r="F18059" s="15" t="str">
        <f aca="false">IF(B18059&lt;5,"Go","Standard")</f>
        <v>Go</v>
      </c>
    </row>
    <row r="18060" customFormat="false" ht="15" hidden="false" customHeight="true" outlineLevel="0" collapsed="false">
      <c r="A18060" s="10" t="n">
        <f aca="false">Einstellungen!$B$5+INT((ROW()-9)/24)</f>
        <v>46718</v>
      </c>
      <c r="B18060" s="11" t="n">
        <f aca="false">MOD(ROW()-9,24)</f>
        <v>3</v>
      </c>
      <c r="C18060" s="12"/>
      <c r="D18060" s="13" t="n">
        <f aca="false">IF(B18060&lt;5,Einstellungen!$B$3,Einstellungen!$B$4)</f>
        <v>15.92</v>
      </c>
      <c r="E18060" s="14" t="str">
        <f aca="false">IF(C18060="","",C18060*D18060/100)</f>
        <v/>
      </c>
      <c r="F18060" s="15" t="str">
        <f aca="false">IF(B18060&lt;5,"Go","Standard")</f>
        <v>Go</v>
      </c>
    </row>
    <row r="18061" customFormat="false" ht="15" hidden="false" customHeight="true" outlineLevel="0" collapsed="false">
      <c r="A18061" s="10" t="n">
        <f aca="false">Einstellungen!$B$5+INT((ROW()-9)/24)</f>
        <v>46718</v>
      </c>
      <c r="B18061" s="11" t="n">
        <f aca="false">MOD(ROW()-9,24)</f>
        <v>4</v>
      </c>
      <c r="C18061" s="12"/>
      <c r="D18061" s="13" t="n">
        <f aca="false">IF(B18061&lt;5,Einstellungen!$B$3,Einstellungen!$B$4)</f>
        <v>15.92</v>
      </c>
      <c r="E18061" s="14" t="str">
        <f aca="false">IF(C18061="","",C18061*D18061/100)</f>
        <v/>
      </c>
      <c r="F18061" s="15" t="str">
        <f aca="false">IF(B18061&lt;5,"Go","Standard")</f>
        <v>Go</v>
      </c>
    </row>
    <row r="18062" customFormat="false" ht="15" hidden="false" customHeight="true" outlineLevel="0" collapsed="false">
      <c r="A18062" s="10" t="n">
        <f aca="false">Einstellungen!$B$5+INT((ROW()-9)/24)</f>
        <v>46718</v>
      </c>
      <c r="B18062" s="11" t="n">
        <f aca="false">MOD(ROW()-9,24)</f>
        <v>5</v>
      </c>
      <c r="C18062" s="12"/>
      <c r="D18062" s="13" t="n">
        <f aca="false">IF(B18062&lt;5,Einstellungen!$B$3,Einstellungen!$B$4)</f>
        <v>29.13</v>
      </c>
      <c r="E18062" s="14" t="str">
        <f aca="false">IF(C18062="","",C18062*D18062/100)</f>
        <v/>
      </c>
      <c r="F18062" s="15" t="str">
        <f aca="false">IF(B18062&lt;5,"Go","Standard")</f>
        <v>Standard</v>
      </c>
    </row>
    <row r="18063" customFormat="false" ht="15" hidden="false" customHeight="true" outlineLevel="0" collapsed="false">
      <c r="A18063" s="10" t="n">
        <f aca="false">Einstellungen!$B$5+INT((ROW()-9)/24)</f>
        <v>46718</v>
      </c>
      <c r="B18063" s="11" t="n">
        <f aca="false">MOD(ROW()-9,24)</f>
        <v>6</v>
      </c>
      <c r="C18063" s="12"/>
      <c r="D18063" s="13" t="n">
        <f aca="false">IF(B18063&lt;5,Einstellungen!$B$3,Einstellungen!$B$4)</f>
        <v>29.13</v>
      </c>
      <c r="E18063" s="14" t="str">
        <f aca="false">IF(C18063="","",C18063*D18063/100)</f>
        <v/>
      </c>
      <c r="F18063" s="15" t="str">
        <f aca="false">IF(B18063&lt;5,"Go","Standard")</f>
        <v>Standard</v>
      </c>
    </row>
    <row r="18064" customFormat="false" ht="15" hidden="false" customHeight="true" outlineLevel="0" collapsed="false">
      <c r="A18064" s="10" t="n">
        <f aca="false">Einstellungen!$B$5+INT((ROW()-9)/24)</f>
        <v>46718</v>
      </c>
      <c r="B18064" s="11" t="n">
        <f aca="false">MOD(ROW()-9,24)</f>
        <v>7</v>
      </c>
      <c r="C18064" s="12"/>
      <c r="D18064" s="13" t="n">
        <f aca="false">IF(B18064&lt;5,Einstellungen!$B$3,Einstellungen!$B$4)</f>
        <v>29.13</v>
      </c>
      <c r="E18064" s="14" t="str">
        <f aca="false">IF(C18064="","",C18064*D18064/100)</f>
        <v/>
      </c>
      <c r="F18064" s="15" t="str">
        <f aca="false">IF(B18064&lt;5,"Go","Standard")</f>
        <v>Standard</v>
      </c>
    </row>
    <row r="18065" customFormat="false" ht="15" hidden="false" customHeight="true" outlineLevel="0" collapsed="false">
      <c r="A18065" s="10" t="n">
        <f aca="false">Einstellungen!$B$5+INT((ROW()-9)/24)</f>
        <v>46718</v>
      </c>
      <c r="B18065" s="11" t="n">
        <f aca="false">MOD(ROW()-9,24)</f>
        <v>8</v>
      </c>
      <c r="C18065" s="12"/>
      <c r="D18065" s="13" t="n">
        <f aca="false">IF(B18065&lt;5,Einstellungen!$B$3,Einstellungen!$B$4)</f>
        <v>29.13</v>
      </c>
      <c r="E18065" s="14" t="str">
        <f aca="false">IF(C18065="","",C18065*D18065/100)</f>
        <v/>
      </c>
      <c r="F18065" s="15" t="str">
        <f aca="false">IF(B18065&lt;5,"Go","Standard")</f>
        <v>Standard</v>
      </c>
    </row>
    <row r="18066" customFormat="false" ht="15" hidden="false" customHeight="true" outlineLevel="0" collapsed="false">
      <c r="A18066" s="10" t="n">
        <f aca="false">Einstellungen!$B$5+INT((ROW()-9)/24)</f>
        <v>46718</v>
      </c>
      <c r="B18066" s="11" t="n">
        <f aca="false">MOD(ROW()-9,24)</f>
        <v>9</v>
      </c>
      <c r="C18066" s="12"/>
      <c r="D18066" s="13" t="n">
        <f aca="false">IF(B18066&lt;5,Einstellungen!$B$3,Einstellungen!$B$4)</f>
        <v>29.13</v>
      </c>
      <c r="E18066" s="14" t="str">
        <f aca="false">IF(C18066="","",C18066*D18066/100)</f>
        <v/>
      </c>
      <c r="F18066" s="15" t="str">
        <f aca="false">IF(B18066&lt;5,"Go","Standard")</f>
        <v>Standard</v>
      </c>
    </row>
    <row r="18067" customFormat="false" ht="15" hidden="false" customHeight="true" outlineLevel="0" collapsed="false">
      <c r="A18067" s="10" t="n">
        <f aca="false">Einstellungen!$B$5+INT((ROW()-9)/24)</f>
        <v>46718</v>
      </c>
      <c r="B18067" s="11" t="n">
        <f aca="false">MOD(ROW()-9,24)</f>
        <v>10</v>
      </c>
      <c r="C18067" s="12"/>
      <c r="D18067" s="13" t="n">
        <f aca="false">IF(B18067&lt;5,Einstellungen!$B$3,Einstellungen!$B$4)</f>
        <v>29.13</v>
      </c>
      <c r="E18067" s="14" t="str">
        <f aca="false">IF(C18067="","",C18067*D18067/100)</f>
        <v/>
      </c>
      <c r="F18067" s="15" t="str">
        <f aca="false">IF(B18067&lt;5,"Go","Standard")</f>
        <v>Standard</v>
      </c>
    </row>
    <row r="18068" customFormat="false" ht="15" hidden="false" customHeight="true" outlineLevel="0" collapsed="false">
      <c r="A18068" s="10" t="n">
        <f aca="false">Einstellungen!$B$5+INT((ROW()-9)/24)</f>
        <v>46718</v>
      </c>
      <c r="B18068" s="11" t="n">
        <f aca="false">MOD(ROW()-9,24)</f>
        <v>11</v>
      </c>
      <c r="C18068" s="12"/>
      <c r="D18068" s="13" t="n">
        <f aca="false">IF(B18068&lt;5,Einstellungen!$B$3,Einstellungen!$B$4)</f>
        <v>29.13</v>
      </c>
      <c r="E18068" s="14" t="str">
        <f aca="false">IF(C18068="","",C18068*D18068/100)</f>
        <v/>
      </c>
      <c r="F18068" s="15" t="str">
        <f aca="false">IF(B18068&lt;5,"Go","Standard")</f>
        <v>Standard</v>
      </c>
    </row>
    <row r="18069" customFormat="false" ht="15" hidden="false" customHeight="true" outlineLevel="0" collapsed="false">
      <c r="A18069" s="10" t="n">
        <f aca="false">Einstellungen!$B$5+INT((ROW()-9)/24)</f>
        <v>46718</v>
      </c>
      <c r="B18069" s="11" t="n">
        <f aca="false">MOD(ROW()-9,24)</f>
        <v>12</v>
      </c>
      <c r="C18069" s="12"/>
      <c r="D18069" s="13" t="n">
        <f aca="false">IF(B18069&lt;5,Einstellungen!$B$3,Einstellungen!$B$4)</f>
        <v>29.13</v>
      </c>
      <c r="E18069" s="14" t="str">
        <f aca="false">IF(C18069="","",C18069*D18069/100)</f>
        <v/>
      </c>
      <c r="F18069" s="15" t="str">
        <f aca="false">IF(B18069&lt;5,"Go","Standard")</f>
        <v>Standard</v>
      </c>
    </row>
    <row r="18070" customFormat="false" ht="15" hidden="false" customHeight="true" outlineLevel="0" collapsed="false">
      <c r="A18070" s="10" t="n">
        <f aca="false">Einstellungen!$B$5+INT((ROW()-9)/24)</f>
        <v>46718</v>
      </c>
      <c r="B18070" s="11" t="n">
        <f aca="false">MOD(ROW()-9,24)</f>
        <v>13</v>
      </c>
      <c r="C18070" s="12"/>
      <c r="D18070" s="13" t="n">
        <f aca="false">IF(B18070&lt;5,Einstellungen!$B$3,Einstellungen!$B$4)</f>
        <v>29.13</v>
      </c>
      <c r="E18070" s="14" t="str">
        <f aca="false">IF(C18070="","",C18070*D18070/100)</f>
        <v/>
      </c>
      <c r="F18070" s="15" t="str">
        <f aca="false">IF(B18070&lt;5,"Go","Standard")</f>
        <v>Standard</v>
      </c>
    </row>
    <row r="18071" customFormat="false" ht="15" hidden="false" customHeight="true" outlineLevel="0" collapsed="false">
      <c r="A18071" s="10" t="n">
        <f aca="false">Einstellungen!$B$5+INT((ROW()-9)/24)</f>
        <v>46718</v>
      </c>
      <c r="B18071" s="11" t="n">
        <f aca="false">MOD(ROW()-9,24)</f>
        <v>14</v>
      </c>
      <c r="C18071" s="12"/>
      <c r="D18071" s="13" t="n">
        <f aca="false">IF(B18071&lt;5,Einstellungen!$B$3,Einstellungen!$B$4)</f>
        <v>29.13</v>
      </c>
      <c r="E18071" s="14" t="str">
        <f aca="false">IF(C18071="","",C18071*D18071/100)</f>
        <v/>
      </c>
      <c r="F18071" s="15" t="str">
        <f aca="false">IF(B18071&lt;5,"Go","Standard")</f>
        <v>Standard</v>
      </c>
    </row>
    <row r="18072" customFormat="false" ht="15" hidden="false" customHeight="true" outlineLevel="0" collapsed="false">
      <c r="A18072" s="10" t="n">
        <f aca="false">Einstellungen!$B$5+INT((ROW()-9)/24)</f>
        <v>46718</v>
      </c>
      <c r="B18072" s="11" t="n">
        <f aca="false">MOD(ROW()-9,24)</f>
        <v>15</v>
      </c>
      <c r="C18072" s="12"/>
      <c r="D18072" s="13" t="n">
        <f aca="false">IF(B18072&lt;5,Einstellungen!$B$3,Einstellungen!$B$4)</f>
        <v>29.13</v>
      </c>
      <c r="E18072" s="14" t="str">
        <f aca="false">IF(C18072="","",C18072*D18072/100)</f>
        <v/>
      </c>
      <c r="F18072" s="15" t="str">
        <f aca="false">IF(B18072&lt;5,"Go","Standard")</f>
        <v>Standard</v>
      </c>
    </row>
    <row r="18073" customFormat="false" ht="15" hidden="false" customHeight="true" outlineLevel="0" collapsed="false">
      <c r="A18073" s="10" t="n">
        <f aca="false">Einstellungen!$B$5+INT((ROW()-9)/24)</f>
        <v>46718</v>
      </c>
      <c r="B18073" s="11" t="n">
        <f aca="false">MOD(ROW()-9,24)</f>
        <v>16</v>
      </c>
      <c r="C18073" s="12"/>
      <c r="D18073" s="13" t="n">
        <f aca="false">IF(B18073&lt;5,Einstellungen!$B$3,Einstellungen!$B$4)</f>
        <v>29.13</v>
      </c>
      <c r="E18073" s="14" t="str">
        <f aca="false">IF(C18073="","",C18073*D18073/100)</f>
        <v/>
      </c>
      <c r="F18073" s="15" t="str">
        <f aca="false">IF(B18073&lt;5,"Go","Standard")</f>
        <v>Standard</v>
      </c>
    </row>
    <row r="18074" customFormat="false" ht="15" hidden="false" customHeight="true" outlineLevel="0" collapsed="false">
      <c r="A18074" s="10" t="n">
        <f aca="false">Einstellungen!$B$5+INT((ROW()-9)/24)</f>
        <v>46718</v>
      </c>
      <c r="B18074" s="11" t="n">
        <f aca="false">MOD(ROW()-9,24)</f>
        <v>17</v>
      </c>
      <c r="C18074" s="12"/>
      <c r="D18074" s="13" t="n">
        <f aca="false">IF(B18074&lt;5,Einstellungen!$B$3,Einstellungen!$B$4)</f>
        <v>29.13</v>
      </c>
      <c r="E18074" s="14" t="str">
        <f aca="false">IF(C18074="","",C18074*D18074/100)</f>
        <v/>
      </c>
      <c r="F18074" s="15" t="str">
        <f aca="false">IF(B18074&lt;5,"Go","Standard")</f>
        <v>Standard</v>
      </c>
    </row>
    <row r="18075" customFormat="false" ht="15" hidden="false" customHeight="true" outlineLevel="0" collapsed="false">
      <c r="A18075" s="10" t="n">
        <f aca="false">Einstellungen!$B$5+INT((ROW()-9)/24)</f>
        <v>46718</v>
      </c>
      <c r="B18075" s="11" t="n">
        <f aca="false">MOD(ROW()-9,24)</f>
        <v>18</v>
      </c>
      <c r="C18075" s="12"/>
      <c r="D18075" s="13" t="n">
        <f aca="false">IF(B18075&lt;5,Einstellungen!$B$3,Einstellungen!$B$4)</f>
        <v>29.13</v>
      </c>
      <c r="E18075" s="14" t="str">
        <f aca="false">IF(C18075="","",C18075*D18075/100)</f>
        <v/>
      </c>
      <c r="F18075" s="15" t="str">
        <f aca="false">IF(B18075&lt;5,"Go","Standard")</f>
        <v>Standard</v>
      </c>
    </row>
    <row r="18076" customFormat="false" ht="15" hidden="false" customHeight="true" outlineLevel="0" collapsed="false">
      <c r="A18076" s="10" t="n">
        <f aca="false">Einstellungen!$B$5+INT((ROW()-9)/24)</f>
        <v>46718</v>
      </c>
      <c r="B18076" s="11" t="n">
        <f aca="false">MOD(ROW()-9,24)</f>
        <v>19</v>
      </c>
      <c r="C18076" s="12"/>
      <c r="D18076" s="13" t="n">
        <f aca="false">IF(B18076&lt;5,Einstellungen!$B$3,Einstellungen!$B$4)</f>
        <v>29.13</v>
      </c>
      <c r="E18076" s="14" t="str">
        <f aca="false">IF(C18076="","",C18076*D18076/100)</f>
        <v/>
      </c>
      <c r="F18076" s="15" t="str">
        <f aca="false">IF(B18076&lt;5,"Go","Standard")</f>
        <v>Standard</v>
      </c>
    </row>
    <row r="18077" customFormat="false" ht="15" hidden="false" customHeight="true" outlineLevel="0" collapsed="false">
      <c r="A18077" s="10" t="n">
        <f aca="false">Einstellungen!$B$5+INT((ROW()-9)/24)</f>
        <v>46718</v>
      </c>
      <c r="B18077" s="11" t="n">
        <f aca="false">MOD(ROW()-9,24)</f>
        <v>20</v>
      </c>
      <c r="C18077" s="12"/>
      <c r="D18077" s="13" t="n">
        <f aca="false">IF(B18077&lt;5,Einstellungen!$B$3,Einstellungen!$B$4)</f>
        <v>29.13</v>
      </c>
      <c r="E18077" s="14" t="str">
        <f aca="false">IF(C18077="","",C18077*D18077/100)</f>
        <v/>
      </c>
      <c r="F18077" s="15" t="str">
        <f aca="false">IF(B18077&lt;5,"Go","Standard")</f>
        <v>Standard</v>
      </c>
    </row>
    <row r="18078" customFormat="false" ht="15" hidden="false" customHeight="true" outlineLevel="0" collapsed="false">
      <c r="A18078" s="10" t="n">
        <f aca="false">Einstellungen!$B$5+INT((ROW()-9)/24)</f>
        <v>46718</v>
      </c>
      <c r="B18078" s="11" t="n">
        <f aca="false">MOD(ROW()-9,24)</f>
        <v>21</v>
      </c>
      <c r="C18078" s="12"/>
      <c r="D18078" s="13" t="n">
        <f aca="false">IF(B18078&lt;5,Einstellungen!$B$3,Einstellungen!$B$4)</f>
        <v>29.13</v>
      </c>
      <c r="E18078" s="14" t="str">
        <f aca="false">IF(C18078="","",C18078*D18078/100)</f>
        <v/>
      </c>
      <c r="F18078" s="15" t="str">
        <f aca="false">IF(B18078&lt;5,"Go","Standard")</f>
        <v>Standard</v>
      </c>
    </row>
    <row r="18079" customFormat="false" ht="15" hidden="false" customHeight="true" outlineLevel="0" collapsed="false">
      <c r="A18079" s="10" t="n">
        <f aca="false">Einstellungen!$B$5+INT((ROW()-9)/24)</f>
        <v>46718</v>
      </c>
      <c r="B18079" s="11" t="n">
        <f aca="false">MOD(ROW()-9,24)</f>
        <v>22</v>
      </c>
      <c r="C18079" s="12"/>
      <c r="D18079" s="13" t="n">
        <f aca="false">IF(B18079&lt;5,Einstellungen!$B$3,Einstellungen!$B$4)</f>
        <v>29.13</v>
      </c>
      <c r="E18079" s="14" t="str">
        <f aca="false">IF(C18079="","",C18079*D18079/100)</f>
        <v/>
      </c>
      <c r="F18079" s="15" t="str">
        <f aca="false">IF(B18079&lt;5,"Go","Standard")</f>
        <v>Standard</v>
      </c>
    </row>
    <row r="18080" customFormat="false" ht="15" hidden="false" customHeight="true" outlineLevel="0" collapsed="false">
      <c r="A18080" s="10" t="n">
        <f aca="false">Einstellungen!$B$5+INT((ROW()-9)/24)</f>
        <v>46718</v>
      </c>
      <c r="B18080" s="11" t="n">
        <f aca="false">MOD(ROW()-9,24)</f>
        <v>23</v>
      </c>
      <c r="C18080" s="12"/>
      <c r="D18080" s="13" t="n">
        <f aca="false">IF(B18080&lt;5,Einstellungen!$B$3,Einstellungen!$B$4)</f>
        <v>29.13</v>
      </c>
      <c r="E18080" s="14" t="str">
        <f aca="false">IF(C18080="","",C18080*D18080/100)</f>
        <v/>
      </c>
      <c r="F18080" s="15" t="str">
        <f aca="false">IF(B18080&lt;5,"Go","Standard")</f>
        <v>Standard</v>
      </c>
    </row>
    <row r="18081" customFormat="false" ht="15" hidden="false" customHeight="true" outlineLevel="0" collapsed="false">
      <c r="A18081" s="10" t="n">
        <f aca="false">Einstellungen!$B$5+INT((ROW()-9)/24)</f>
        <v>46719</v>
      </c>
      <c r="B18081" s="11" t="n">
        <f aca="false">MOD(ROW()-9,24)</f>
        <v>0</v>
      </c>
      <c r="C18081" s="12"/>
      <c r="D18081" s="13" t="n">
        <f aca="false">IF(B18081&lt;5,Einstellungen!$B$3,Einstellungen!$B$4)</f>
        <v>15.92</v>
      </c>
      <c r="E18081" s="14" t="str">
        <f aca="false">IF(C18081="","",C18081*D18081/100)</f>
        <v/>
      </c>
      <c r="F18081" s="15" t="str">
        <f aca="false">IF(B18081&lt;5,"Go","Standard")</f>
        <v>Go</v>
      </c>
    </row>
    <row r="18082" customFormat="false" ht="15" hidden="false" customHeight="true" outlineLevel="0" collapsed="false">
      <c r="A18082" s="10" t="n">
        <f aca="false">Einstellungen!$B$5+INT((ROW()-9)/24)</f>
        <v>46719</v>
      </c>
      <c r="B18082" s="11" t="n">
        <f aca="false">MOD(ROW()-9,24)</f>
        <v>1</v>
      </c>
      <c r="C18082" s="12"/>
      <c r="D18082" s="13" t="n">
        <f aca="false">IF(B18082&lt;5,Einstellungen!$B$3,Einstellungen!$B$4)</f>
        <v>15.92</v>
      </c>
      <c r="E18082" s="14" t="str">
        <f aca="false">IF(C18082="","",C18082*D18082/100)</f>
        <v/>
      </c>
      <c r="F18082" s="15" t="str">
        <f aca="false">IF(B18082&lt;5,"Go","Standard")</f>
        <v>Go</v>
      </c>
    </row>
    <row r="18083" customFormat="false" ht="15" hidden="false" customHeight="true" outlineLevel="0" collapsed="false">
      <c r="A18083" s="10" t="n">
        <f aca="false">Einstellungen!$B$5+INT((ROW()-9)/24)</f>
        <v>46719</v>
      </c>
      <c r="B18083" s="11" t="n">
        <f aca="false">MOD(ROW()-9,24)</f>
        <v>2</v>
      </c>
      <c r="C18083" s="12"/>
      <c r="D18083" s="13" t="n">
        <f aca="false">IF(B18083&lt;5,Einstellungen!$B$3,Einstellungen!$B$4)</f>
        <v>15.92</v>
      </c>
      <c r="E18083" s="14" t="str">
        <f aca="false">IF(C18083="","",C18083*D18083/100)</f>
        <v/>
      </c>
      <c r="F18083" s="15" t="str">
        <f aca="false">IF(B18083&lt;5,"Go","Standard")</f>
        <v>Go</v>
      </c>
    </row>
    <row r="18084" customFormat="false" ht="15" hidden="false" customHeight="true" outlineLevel="0" collapsed="false">
      <c r="A18084" s="10" t="n">
        <f aca="false">Einstellungen!$B$5+INT((ROW()-9)/24)</f>
        <v>46719</v>
      </c>
      <c r="B18084" s="11" t="n">
        <f aca="false">MOD(ROW()-9,24)</f>
        <v>3</v>
      </c>
      <c r="C18084" s="12"/>
      <c r="D18084" s="13" t="n">
        <f aca="false">IF(B18084&lt;5,Einstellungen!$B$3,Einstellungen!$B$4)</f>
        <v>15.92</v>
      </c>
      <c r="E18084" s="14" t="str">
        <f aca="false">IF(C18084="","",C18084*D18084/100)</f>
        <v/>
      </c>
      <c r="F18084" s="15" t="str">
        <f aca="false">IF(B18084&lt;5,"Go","Standard")</f>
        <v>Go</v>
      </c>
    </row>
    <row r="18085" customFormat="false" ht="15" hidden="false" customHeight="true" outlineLevel="0" collapsed="false">
      <c r="A18085" s="10" t="n">
        <f aca="false">Einstellungen!$B$5+INT((ROW()-9)/24)</f>
        <v>46719</v>
      </c>
      <c r="B18085" s="11" t="n">
        <f aca="false">MOD(ROW()-9,24)</f>
        <v>4</v>
      </c>
      <c r="C18085" s="12"/>
      <c r="D18085" s="13" t="n">
        <f aca="false">IF(B18085&lt;5,Einstellungen!$B$3,Einstellungen!$B$4)</f>
        <v>15.92</v>
      </c>
      <c r="E18085" s="14" t="str">
        <f aca="false">IF(C18085="","",C18085*D18085/100)</f>
        <v/>
      </c>
      <c r="F18085" s="15" t="str">
        <f aca="false">IF(B18085&lt;5,"Go","Standard")</f>
        <v>Go</v>
      </c>
    </row>
    <row r="18086" customFormat="false" ht="15" hidden="false" customHeight="true" outlineLevel="0" collapsed="false">
      <c r="A18086" s="10" t="n">
        <f aca="false">Einstellungen!$B$5+INT((ROW()-9)/24)</f>
        <v>46719</v>
      </c>
      <c r="B18086" s="11" t="n">
        <f aca="false">MOD(ROW()-9,24)</f>
        <v>5</v>
      </c>
      <c r="C18086" s="12"/>
      <c r="D18086" s="13" t="n">
        <f aca="false">IF(B18086&lt;5,Einstellungen!$B$3,Einstellungen!$B$4)</f>
        <v>29.13</v>
      </c>
      <c r="E18086" s="14" t="str">
        <f aca="false">IF(C18086="","",C18086*D18086/100)</f>
        <v/>
      </c>
      <c r="F18086" s="15" t="str">
        <f aca="false">IF(B18086&lt;5,"Go","Standard")</f>
        <v>Standard</v>
      </c>
    </row>
    <row r="18087" customFormat="false" ht="15" hidden="false" customHeight="true" outlineLevel="0" collapsed="false">
      <c r="A18087" s="10" t="n">
        <f aca="false">Einstellungen!$B$5+INT((ROW()-9)/24)</f>
        <v>46719</v>
      </c>
      <c r="B18087" s="11" t="n">
        <f aca="false">MOD(ROW()-9,24)</f>
        <v>6</v>
      </c>
      <c r="C18087" s="12"/>
      <c r="D18087" s="13" t="n">
        <f aca="false">IF(B18087&lt;5,Einstellungen!$B$3,Einstellungen!$B$4)</f>
        <v>29.13</v>
      </c>
      <c r="E18087" s="14" t="str">
        <f aca="false">IF(C18087="","",C18087*D18087/100)</f>
        <v/>
      </c>
      <c r="F18087" s="15" t="str">
        <f aca="false">IF(B18087&lt;5,"Go","Standard")</f>
        <v>Standard</v>
      </c>
    </row>
    <row r="18088" customFormat="false" ht="15" hidden="false" customHeight="true" outlineLevel="0" collapsed="false">
      <c r="A18088" s="10" t="n">
        <f aca="false">Einstellungen!$B$5+INT((ROW()-9)/24)</f>
        <v>46719</v>
      </c>
      <c r="B18088" s="11" t="n">
        <f aca="false">MOD(ROW()-9,24)</f>
        <v>7</v>
      </c>
      <c r="C18088" s="12"/>
      <c r="D18088" s="13" t="n">
        <f aca="false">IF(B18088&lt;5,Einstellungen!$B$3,Einstellungen!$B$4)</f>
        <v>29.13</v>
      </c>
      <c r="E18088" s="14" t="str">
        <f aca="false">IF(C18088="","",C18088*D18088/100)</f>
        <v/>
      </c>
      <c r="F18088" s="15" t="str">
        <f aca="false">IF(B18088&lt;5,"Go","Standard")</f>
        <v>Standard</v>
      </c>
    </row>
    <row r="18089" customFormat="false" ht="15" hidden="false" customHeight="true" outlineLevel="0" collapsed="false">
      <c r="A18089" s="10" t="n">
        <f aca="false">Einstellungen!$B$5+INT((ROW()-9)/24)</f>
        <v>46719</v>
      </c>
      <c r="B18089" s="11" t="n">
        <f aca="false">MOD(ROW()-9,24)</f>
        <v>8</v>
      </c>
      <c r="C18089" s="12"/>
      <c r="D18089" s="13" t="n">
        <f aca="false">IF(B18089&lt;5,Einstellungen!$B$3,Einstellungen!$B$4)</f>
        <v>29.13</v>
      </c>
      <c r="E18089" s="14" t="str">
        <f aca="false">IF(C18089="","",C18089*D18089/100)</f>
        <v/>
      </c>
      <c r="F18089" s="15" t="str">
        <f aca="false">IF(B18089&lt;5,"Go","Standard")</f>
        <v>Standard</v>
      </c>
    </row>
    <row r="18090" customFormat="false" ht="15" hidden="false" customHeight="true" outlineLevel="0" collapsed="false">
      <c r="A18090" s="10" t="n">
        <f aca="false">Einstellungen!$B$5+INT((ROW()-9)/24)</f>
        <v>46719</v>
      </c>
      <c r="B18090" s="11" t="n">
        <f aca="false">MOD(ROW()-9,24)</f>
        <v>9</v>
      </c>
      <c r="C18090" s="12"/>
      <c r="D18090" s="13" t="n">
        <f aca="false">IF(B18090&lt;5,Einstellungen!$B$3,Einstellungen!$B$4)</f>
        <v>29.13</v>
      </c>
      <c r="E18090" s="14" t="str">
        <f aca="false">IF(C18090="","",C18090*D18090/100)</f>
        <v/>
      </c>
      <c r="F18090" s="15" t="str">
        <f aca="false">IF(B18090&lt;5,"Go","Standard")</f>
        <v>Standard</v>
      </c>
    </row>
    <row r="18091" customFormat="false" ht="15" hidden="false" customHeight="true" outlineLevel="0" collapsed="false">
      <c r="A18091" s="10" t="n">
        <f aca="false">Einstellungen!$B$5+INT((ROW()-9)/24)</f>
        <v>46719</v>
      </c>
      <c r="B18091" s="11" t="n">
        <f aca="false">MOD(ROW()-9,24)</f>
        <v>10</v>
      </c>
      <c r="C18091" s="12"/>
      <c r="D18091" s="13" t="n">
        <f aca="false">IF(B18091&lt;5,Einstellungen!$B$3,Einstellungen!$B$4)</f>
        <v>29.13</v>
      </c>
      <c r="E18091" s="14" t="str">
        <f aca="false">IF(C18091="","",C18091*D18091/100)</f>
        <v/>
      </c>
      <c r="F18091" s="15" t="str">
        <f aca="false">IF(B18091&lt;5,"Go","Standard")</f>
        <v>Standard</v>
      </c>
    </row>
    <row r="18092" customFormat="false" ht="15" hidden="false" customHeight="true" outlineLevel="0" collapsed="false">
      <c r="A18092" s="10" t="n">
        <f aca="false">Einstellungen!$B$5+INT((ROW()-9)/24)</f>
        <v>46719</v>
      </c>
      <c r="B18092" s="11" t="n">
        <f aca="false">MOD(ROW()-9,24)</f>
        <v>11</v>
      </c>
      <c r="C18092" s="12"/>
      <c r="D18092" s="13" t="n">
        <f aca="false">IF(B18092&lt;5,Einstellungen!$B$3,Einstellungen!$B$4)</f>
        <v>29.13</v>
      </c>
      <c r="E18092" s="14" t="str">
        <f aca="false">IF(C18092="","",C18092*D18092/100)</f>
        <v/>
      </c>
      <c r="F18092" s="15" t="str">
        <f aca="false">IF(B18092&lt;5,"Go","Standard")</f>
        <v>Standard</v>
      </c>
    </row>
    <row r="18093" customFormat="false" ht="15" hidden="false" customHeight="true" outlineLevel="0" collapsed="false">
      <c r="A18093" s="10" t="n">
        <f aca="false">Einstellungen!$B$5+INT((ROW()-9)/24)</f>
        <v>46719</v>
      </c>
      <c r="B18093" s="11" t="n">
        <f aca="false">MOD(ROW()-9,24)</f>
        <v>12</v>
      </c>
      <c r="C18093" s="12"/>
      <c r="D18093" s="13" t="n">
        <f aca="false">IF(B18093&lt;5,Einstellungen!$B$3,Einstellungen!$B$4)</f>
        <v>29.13</v>
      </c>
      <c r="E18093" s="14" t="str">
        <f aca="false">IF(C18093="","",C18093*D18093/100)</f>
        <v/>
      </c>
      <c r="F18093" s="15" t="str">
        <f aca="false">IF(B18093&lt;5,"Go","Standard")</f>
        <v>Standard</v>
      </c>
    </row>
    <row r="18094" customFormat="false" ht="15" hidden="false" customHeight="true" outlineLevel="0" collapsed="false">
      <c r="A18094" s="10" t="n">
        <f aca="false">Einstellungen!$B$5+INT((ROW()-9)/24)</f>
        <v>46719</v>
      </c>
      <c r="B18094" s="11" t="n">
        <f aca="false">MOD(ROW()-9,24)</f>
        <v>13</v>
      </c>
      <c r="C18094" s="12"/>
      <c r="D18094" s="13" t="n">
        <f aca="false">IF(B18094&lt;5,Einstellungen!$B$3,Einstellungen!$B$4)</f>
        <v>29.13</v>
      </c>
      <c r="E18094" s="14" t="str">
        <f aca="false">IF(C18094="","",C18094*D18094/100)</f>
        <v/>
      </c>
      <c r="F18094" s="15" t="str">
        <f aca="false">IF(B18094&lt;5,"Go","Standard")</f>
        <v>Standard</v>
      </c>
    </row>
    <row r="18095" customFormat="false" ht="15" hidden="false" customHeight="true" outlineLevel="0" collapsed="false">
      <c r="A18095" s="10" t="n">
        <f aca="false">Einstellungen!$B$5+INT((ROW()-9)/24)</f>
        <v>46719</v>
      </c>
      <c r="B18095" s="11" t="n">
        <f aca="false">MOD(ROW()-9,24)</f>
        <v>14</v>
      </c>
      <c r="C18095" s="12"/>
      <c r="D18095" s="13" t="n">
        <f aca="false">IF(B18095&lt;5,Einstellungen!$B$3,Einstellungen!$B$4)</f>
        <v>29.13</v>
      </c>
      <c r="E18095" s="14" t="str">
        <f aca="false">IF(C18095="","",C18095*D18095/100)</f>
        <v/>
      </c>
      <c r="F18095" s="15" t="str">
        <f aca="false">IF(B18095&lt;5,"Go","Standard")</f>
        <v>Standard</v>
      </c>
    </row>
    <row r="18096" customFormat="false" ht="15" hidden="false" customHeight="true" outlineLevel="0" collapsed="false">
      <c r="A18096" s="10" t="n">
        <f aca="false">Einstellungen!$B$5+INT((ROW()-9)/24)</f>
        <v>46719</v>
      </c>
      <c r="B18096" s="11" t="n">
        <f aca="false">MOD(ROW()-9,24)</f>
        <v>15</v>
      </c>
      <c r="C18096" s="12"/>
      <c r="D18096" s="13" t="n">
        <f aca="false">IF(B18096&lt;5,Einstellungen!$B$3,Einstellungen!$B$4)</f>
        <v>29.13</v>
      </c>
      <c r="E18096" s="14" t="str">
        <f aca="false">IF(C18096="","",C18096*D18096/100)</f>
        <v/>
      </c>
      <c r="F18096" s="15" t="str">
        <f aca="false">IF(B18096&lt;5,"Go","Standard")</f>
        <v>Standard</v>
      </c>
    </row>
    <row r="18097" customFormat="false" ht="15" hidden="false" customHeight="true" outlineLevel="0" collapsed="false">
      <c r="A18097" s="10" t="n">
        <f aca="false">Einstellungen!$B$5+INT((ROW()-9)/24)</f>
        <v>46719</v>
      </c>
      <c r="B18097" s="11" t="n">
        <f aca="false">MOD(ROW()-9,24)</f>
        <v>16</v>
      </c>
      <c r="C18097" s="12"/>
      <c r="D18097" s="13" t="n">
        <f aca="false">IF(B18097&lt;5,Einstellungen!$B$3,Einstellungen!$B$4)</f>
        <v>29.13</v>
      </c>
      <c r="E18097" s="14" t="str">
        <f aca="false">IF(C18097="","",C18097*D18097/100)</f>
        <v/>
      </c>
      <c r="F18097" s="15" t="str">
        <f aca="false">IF(B18097&lt;5,"Go","Standard")</f>
        <v>Standard</v>
      </c>
    </row>
    <row r="18098" customFormat="false" ht="15" hidden="false" customHeight="true" outlineLevel="0" collapsed="false">
      <c r="A18098" s="10" t="n">
        <f aca="false">Einstellungen!$B$5+INT((ROW()-9)/24)</f>
        <v>46719</v>
      </c>
      <c r="B18098" s="11" t="n">
        <f aca="false">MOD(ROW()-9,24)</f>
        <v>17</v>
      </c>
      <c r="C18098" s="12"/>
      <c r="D18098" s="13" t="n">
        <f aca="false">IF(B18098&lt;5,Einstellungen!$B$3,Einstellungen!$B$4)</f>
        <v>29.13</v>
      </c>
      <c r="E18098" s="14" t="str">
        <f aca="false">IF(C18098="","",C18098*D18098/100)</f>
        <v/>
      </c>
      <c r="F18098" s="15" t="str">
        <f aca="false">IF(B18098&lt;5,"Go","Standard")</f>
        <v>Standard</v>
      </c>
    </row>
    <row r="18099" customFormat="false" ht="15" hidden="false" customHeight="true" outlineLevel="0" collapsed="false">
      <c r="A18099" s="10" t="n">
        <f aca="false">Einstellungen!$B$5+INT((ROW()-9)/24)</f>
        <v>46719</v>
      </c>
      <c r="B18099" s="11" t="n">
        <f aca="false">MOD(ROW()-9,24)</f>
        <v>18</v>
      </c>
      <c r="C18099" s="12"/>
      <c r="D18099" s="13" t="n">
        <f aca="false">IF(B18099&lt;5,Einstellungen!$B$3,Einstellungen!$B$4)</f>
        <v>29.13</v>
      </c>
      <c r="E18099" s="14" t="str">
        <f aca="false">IF(C18099="","",C18099*D18099/100)</f>
        <v/>
      </c>
      <c r="F18099" s="15" t="str">
        <f aca="false">IF(B18099&lt;5,"Go","Standard")</f>
        <v>Standard</v>
      </c>
    </row>
    <row r="18100" customFormat="false" ht="15" hidden="false" customHeight="true" outlineLevel="0" collapsed="false">
      <c r="A18100" s="10" t="n">
        <f aca="false">Einstellungen!$B$5+INT((ROW()-9)/24)</f>
        <v>46719</v>
      </c>
      <c r="B18100" s="11" t="n">
        <f aca="false">MOD(ROW()-9,24)</f>
        <v>19</v>
      </c>
      <c r="C18100" s="12"/>
      <c r="D18100" s="13" t="n">
        <f aca="false">IF(B18100&lt;5,Einstellungen!$B$3,Einstellungen!$B$4)</f>
        <v>29.13</v>
      </c>
      <c r="E18100" s="14" t="str">
        <f aca="false">IF(C18100="","",C18100*D18100/100)</f>
        <v/>
      </c>
      <c r="F18100" s="15" t="str">
        <f aca="false">IF(B18100&lt;5,"Go","Standard")</f>
        <v>Standard</v>
      </c>
    </row>
    <row r="18101" customFormat="false" ht="15" hidden="false" customHeight="true" outlineLevel="0" collapsed="false">
      <c r="A18101" s="10" t="n">
        <f aca="false">Einstellungen!$B$5+INT((ROW()-9)/24)</f>
        <v>46719</v>
      </c>
      <c r="B18101" s="11" t="n">
        <f aca="false">MOD(ROW()-9,24)</f>
        <v>20</v>
      </c>
      <c r="C18101" s="12"/>
      <c r="D18101" s="13" t="n">
        <f aca="false">IF(B18101&lt;5,Einstellungen!$B$3,Einstellungen!$B$4)</f>
        <v>29.13</v>
      </c>
      <c r="E18101" s="14" t="str">
        <f aca="false">IF(C18101="","",C18101*D18101/100)</f>
        <v/>
      </c>
      <c r="F18101" s="15" t="str">
        <f aca="false">IF(B18101&lt;5,"Go","Standard")</f>
        <v>Standard</v>
      </c>
    </row>
    <row r="18102" customFormat="false" ht="15" hidden="false" customHeight="true" outlineLevel="0" collapsed="false">
      <c r="A18102" s="10" t="n">
        <f aca="false">Einstellungen!$B$5+INT((ROW()-9)/24)</f>
        <v>46719</v>
      </c>
      <c r="B18102" s="11" t="n">
        <f aca="false">MOD(ROW()-9,24)</f>
        <v>21</v>
      </c>
      <c r="C18102" s="12"/>
      <c r="D18102" s="13" t="n">
        <f aca="false">IF(B18102&lt;5,Einstellungen!$B$3,Einstellungen!$B$4)</f>
        <v>29.13</v>
      </c>
      <c r="E18102" s="14" t="str">
        <f aca="false">IF(C18102="","",C18102*D18102/100)</f>
        <v/>
      </c>
      <c r="F18102" s="15" t="str">
        <f aca="false">IF(B18102&lt;5,"Go","Standard")</f>
        <v>Standard</v>
      </c>
    </row>
    <row r="18103" customFormat="false" ht="15" hidden="false" customHeight="true" outlineLevel="0" collapsed="false">
      <c r="A18103" s="10" t="n">
        <f aca="false">Einstellungen!$B$5+INT((ROW()-9)/24)</f>
        <v>46719</v>
      </c>
      <c r="B18103" s="11" t="n">
        <f aca="false">MOD(ROW()-9,24)</f>
        <v>22</v>
      </c>
      <c r="C18103" s="12"/>
      <c r="D18103" s="13" t="n">
        <f aca="false">IF(B18103&lt;5,Einstellungen!$B$3,Einstellungen!$B$4)</f>
        <v>29.13</v>
      </c>
      <c r="E18103" s="14" t="str">
        <f aca="false">IF(C18103="","",C18103*D18103/100)</f>
        <v/>
      </c>
      <c r="F18103" s="15" t="str">
        <f aca="false">IF(B18103&lt;5,"Go","Standard")</f>
        <v>Standard</v>
      </c>
    </row>
    <row r="18104" customFormat="false" ht="15" hidden="false" customHeight="true" outlineLevel="0" collapsed="false">
      <c r="A18104" s="10" t="n">
        <f aca="false">Einstellungen!$B$5+INT((ROW()-9)/24)</f>
        <v>46719</v>
      </c>
      <c r="B18104" s="11" t="n">
        <f aca="false">MOD(ROW()-9,24)</f>
        <v>23</v>
      </c>
      <c r="C18104" s="12"/>
      <c r="D18104" s="13" t="n">
        <f aca="false">IF(B18104&lt;5,Einstellungen!$B$3,Einstellungen!$B$4)</f>
        <v>29.13</v>
      </c>
      <c r="E18104" s="14" t="str">
        <f aca="false">IF(C18104="","",C18104*D18104/100)</f>
        <v/>
      </c>
      <c r="F18104" s="15" t="str">
        <f aca="false">IF(B18104&lt;5,"Go","Standard")</f>
        <v>Standard</v>
      </c>
    </row>
    <row r="18105" customFormat="false" ht="15" hidden="false" customHeight="true" outlineLevel="0" collapsed="false">
      <c r="A18105" s="10" t="n">
        <f aca="false">Einstellungen!$B$5+INT((ROW()-9)/24)</f>
        <v>46720</v>
      </c>
      <c r="B18105" s="11" t="n">
        <f aca="false">MOD(ROW()-9,24)</f>
        <v>0</v>
      </c>
      <c r="C18105" s="12"/>
      <c r="D18105" s="13" t="n">
        <f aca="false">IF(B18105&lt;5,Einstellungen!$B$3,Einstellungen!$B$4)</f>
        <v>15.92</v>
      </c>
      <c r="E18105" s="14" t="str">
        <f aca="false">IF(C18105="","",C18105*D18105/100)</f>
        <v/>
      </c>
      <c r="F18105" s="15" t="str">
        <f aca="false">IF(B18105&lt;5,"Go","Standard")</f>
        <v>Go</v>
      </c>
    </row>
    <row r="18106" customFormat="false" ht="15" hidden="false" customHeight="true" outlineLevel="0" collapsed="false">
      <c r="A18106" s="10" t="n">
        <f aca="false">Einstellungen!$B$5+INT((ROW()-9)/24)</f>
        <v>46720</v>
      </c>
      <c r="B18106" s="11" t="n">
        <f aca="false">MOD(ROW()-9,24)</f>
        <v>1</v>
      </c>
      <c r="C18106" s="12"/>
      <c r="D18106" s="13" t="n">
        <f aca="false">IF(B18106&lt;5,Einstellungen!$B$3,Einstellungen!$B$4)</f>
        <v>15.92</v>
      </c>
      <c r="E18106" s="14" t="str">
        <f aca="false">IF(C18106="","",C18106*D18106/100)</f>
        <v/>
      </c>
      <c r="F18106" s="15" t="str">
        <f aca="false">IF(B18106&lt;5,"Go","Standard")</f>
        <v>Go</v>
      </c>
    </row>
    <row r="18107" customFormat="false" ht="15" hidden="false" customHeight="true" outlineLevel="0" collapsed="false">
      <c r="A18107" s="10" t="n">
        <f aca="false">Einstellungen!$B$5+INT((ROW()-9)/24)</f>
        <v>46720</v>
      </c>
      <c r="B18107" s="11" t="n">
        <f aca="false">MOD(ROW()-9,24)</f>
        <v>2</v>
      </c>
      <c r="C18107" s="12"/>
      <c r="D18107" s="13" t="n">
        <f aca="false">IF(B18107&lt;5,Einstellungen!$B$3,Einstellungen!$B$4)</f>
        <v>15.92</v>
      </c>
      <c r="E18107" s="14" t="str">
        <f aca="false">IF(C18107="","",C18107*D18107/100)</f>
        <v/>
      </c>
      <c r="F18107" s="15" t="str">
        <f aca="false">IF(B18107&lt;5,"Go","Standard")</f>
        <v>Go</v>
      </c>
    </row>
    <row r="18108" customFormat="false" ht="15" hidden="false" customHeight="true" outlineLevel="0" collapsed="false">
      <c r="A18108" s="10" t="n">
        <f aca="false">Einstellungen!$B$5+INT((ROW()-9)/24)</f>
        <v>46720</v>
      </c>
      <c r="B18108" s="11" t="n">
        <f aca="false">MOD(ROW()-9,24)</f>
        <v>3</v>
      </c>
      <c r="C18108" s="12"/>
      <c r="D18108" s="13" t="n">
        <f aca="false">IF(B18108&lt;5,Einstellungen!$B$3,Einstellungen!$B$4)</f>
        <v>15.92</v>
      </c>
      <c r="E18108" s="14" t="str">
        <f aca="false">IF(C18108="","",C18108*D18108/100)</f>
        <v/>
      </c>
      <c r="F18108" s="15" t="str">
        <f aca="false">IF(B18108&lt;5,"Go","Standard")</f>
        <v>Go</v>
      </c>
    </row>
    <row r="18109" customFormat="false" ht="15" hidden="false" customHeight="true" outlineLevel="0" collapsed="false">
      <c r="A18109" s="10" t="n">
        <f aca="false">Einstellungen!$B$5+INT((ROW()-9)/24)</f>
        <v>46720</v>
      </c>
      <c r="B18109" s="11" t="n">
        <f aca="false">MOD(ROW()-9,24)</f>
        <v>4</v>
      </c>
      <c r="C18109" s="12"/>
      <c r="D18109" s="13" t="n">
        <f aca="false">IF(B18109&lt;5,Einstellungen!$B$3,Einstellungen!$B$4)</f>
        <v>15.92</v>
      </c>
      <c r="E18109" s="14" t="str">
        <f aca="false">IF(C18109="","",C18109*D18109/100)</f>
        <v/>
      </c>
      <c r="F18109" s="15" t="str">
        <f aca="false">IF(B18109&lt;5,"Go","Standard")</f>
        <v>Go</v>
      </c>
    </row>
    <row r="18110" customFormat="false" ht="15" hidden="false" customHeight="true" outlineLevel="0" collapsed="false">
      <c r="A18110" s="10" t="n">
        <f aca="false">Einstellungen!$B$5+INT((ROW()-9)/24)</f>
        <v>46720</v>
      </c>
      <c r="B18110" s="11" t="n">
        <f aca="false">MOD(ROW()-9,24)</f>
        <v>5</v>
      </c>
      <c r="C18110" s="12"/>
      <c r="D18110" s="13" t="n">
        <f aca="false">IF(B18110&lt;5,Einstellungen!$B$3,Einstellungen!$B$4)</f>
        <v>29.13</v>
      </c>
      <c r="E18110" s="14" t="str">
        <f aca="false">IF(C18110="","",C18110*D18110/100)</f>
        <v/>
      </c>
      <c r="F18110" s="15" t="str">
        <f aca="false">IF(B18110&lt;5,"Go","Standard")</f>
        <v>Standard</v>
      </c>
    </row>
    <row r="18111" customFormat="false" ht="15" hidden="false" customHeight="true" outlineLevel="0" collapsed="false">
      <c r="A18111" s="10" t="n">
        <f aca="false">Einstellungen!$B$5+INT((ROW()-9)/24)</f>
        <v>46720</v>
      </c>
      <c r="B18111" s="11" t="n">
        <f aca="false">MOD(ROW()-9,24)</f>
        <v>6</v>
      </c>
      <c r="C18111" s="12"/>
      <c r="D18111" s="13" t="n">
        <f aca="false">IF(B18111&lt;5,Einstellungen!$B$3,Einstellungen!$B$4)</f>
        <v>29.13</v>
      </c>
      <c r="E18111" s="14" t="str">
        <f aca="false">IF(C18111="","",C18111*D18111/100)</f>
        <v/>
      </c>
      <c r="F18111" s="15" t="str">
        <f aca="false">IF(B18111&lt;5,"Go","Standard")</f>
        <v>Standard</v>
      </c>
    </row>
    <row r="18112" customFormat="false" ht="15" hidden="false" customHeight="true" outlineLevel="0" collapsed="false">
      <c r="A18112" s="10" t="n">
        <f aca="false">Einstellungen!$B$5+INT((ROW()-9)/24)</f>
        <v>46720</v>
      </c>
      <c r="B18112" s="11" t="n">
        <f aca="false">MOD(ROW()-9,24)</f>
        <v>7</v>
      </c>
      <c r="C18112" s="12"/>
      <c r="D18112" s="13" t="n">
        <f aca="false">IF(B18112&lt;5,Einstellungen!$B$3,Einstellungen!$B$4)</f>
        <v>29.13</v>
      </c>
      <c r="E18112" s="14" t="str">
        <f aca="false">IF(C18112="","",C18112*D18112/100)</f>
        <v/>
      </c>
      <c r="F18112" s="15" t="str">
        <f aca="false">IF(B18112&lt;5,"Go","Standard")</f>
        <v>Standard</v>
      </c>
    </row>
    <row r="18113" customFormat="false" ht="15" hidden="false" customHeight="true" outlineLevel="0" collapsed="false">
      <c r="A18113" s="10" t="n">
        <f aca="false">Einstellungen!$B$5+INT((ROW()-9)/24)</f>
        <v>46720</v>
      </c>
      <c r="B18113" s="11" t="n">
        <f aca="false">MOD(ROW()-9,24)</f>
        <v>8</v>
      </c>
      <c r="C18113" s="12"/>
      <c r="D18113" s="13" t="n">
        <f aca="false">IF(B18113&lt;5,Einstellungen!$B$3,Einstellungen!$B$4)</f>
        <v>29.13</v>
      </c>
      <c r="E18113" s="14" t="str">
        <f aca="false">IF(C18113="","",C18113*D18113/100)</f>
        <v/>
      </c>
      <c r="F18113" s="15" t="str">
        <f aca="false">IF(B18113&lt;5,"Go","Standard")</f>
        <v>Standard</v>
      </c>
    </row>
    <row r="18114" customFormat="false" ht="15" hidden="false" customHeight="true" outlineLevel="0" collapsed="false">
      <c r="A18114" s="10" t="n">
        <f aca="false">Einstellungen!$B$5+INT((ROW()-9)/24)</f>
        <v>46720</v>
      </c>
      <c r="B18114" s="11" t="n">
        <f aca="false">MOD(ROW()-9,24)</f>
        <v>9</v>
      </c>
      <c r="C18114" s="12"/>
      <c r="D18114" s="13" t="n">
        <f aca="false">IF(B18114&lt;5,Einstellungen!$B$3,Einstellungen!$B$4)</f>
        <v>29.13</v>
      </c>
      <c r="E18114" s="14" t="str">
        <f aca="false">IF(C18114="","",C18114*D18114/100)</f>
        <v/>
      </c>
      <c r="F18114" s="15" t="str">
        <f aca="false">IF(B18114&lt;5,"Go","Standard")</f>
        <v>Standard</v>
      </c>
    </row>
    <row r="18115" customFormat="false" ht="15" hidden="false" customHeight="true" outlineLevel="0" collapsed="false">
      <c r="A18115" s="10" t="n">
        <f aca="false">Einstellungen!$B$5+INT((ROW()-9)/24)</f>
        <v>46720</v>
      </c>
      <c r="B18115" s="11" t="n">
        <f aca="false">MOD(ROW()-9,24)</f>
        <v>10</v>
      </c>
      <c r="C18115" s="12"/>
      <c r="D18115" s="13" t="n">
        <f aca="false">IF(B18115&lt;5,Einstellungen!$B$3,Einstellungen!$B$4)</f>
        <v>29.13</v>
      </c>
      <c r="E18115" s="14" t="str">
        <f aca="false">IF(C18115="","",C18115*D18115/100)</f>
        <v/>
      </c>
      <c r="F18115" s="15" t="str">
        <f aca="false">IF(B18115&lt;5,"Go","Standard")</f>
        <v>Standard</v>
      </c>
    </row>
    <row r="18116" customFormat="false" ht="15" hidden="false" customHeight="true" outlineLevel="0" collapsed="false">
      <c r="A18116" s="10" t="n">
        <f aca="false">Einstellungen!$B$5+INT((ROW()-9)/24)</f>
        <v>46720</v>
      </c>
      <c r="B18116" s="11" t="n">
        <f aca="false">MOD(ROW()-9,24)</f>
        <v>11</v>
      </c>
      <c r="C18116" s="12"/>
      <c r="D18116" s="13" t="n">
        <f aca="false">IF(B18116&lt;5,Einstellungen!$B$3,Einstellungen!$B$4)</f>
        <v>29.13</v>
      </c>
      <c r="E18116" s="14" t="str">
        <f aca="false">IF(C18116="","",C18116*D18116/100)</f>
        <v/>
      </c>
      <c r="F18116" s="15" t="str">
        <f aca="false">IF(B18116&lt;5,"Go","Standard")</f>
        <v>Standard</v>
      </c>
    </row>
    <row r="18117" customFormat="false" ht="15" hidden="false" customHeight="true" outlineLevel="0" collapsed="false">
      <c r="A18117" s="10" t="n">
        <f aca="false">Einstellungen!$B$5+INT((ROW()-9)/24)</f>
        <v>46720</v>
      </c>
      <c r="B18117" s="11" t="n">
        <f aca="false">MOD(ROW()-9,24)</f>
        <v>12</v>
      </c>
      <c r="C18117" s="12"/>
      <c r="D18117" s="13" t="n">
        <f aca="false">IF(B18117&lt;5,Einstellungen!$B$3,Einstellungen!$B$4)</f>
        <v>29.13</v>
      </c>
      <c r="E18117" s="14" t="str">
        <f aca="false">IF(C18117="","",C18117*D18117/100)</f>
        <v/>
      </c>
      <c r="F18117" s="15" t="str">
        <f aca="false">IF(B18117&lt;5,"Go","Standard")</f>
        <v>Standard</v>
      </c>
    </row>
    <row r="18118" customFormat="false" ht="15" hidden="false" customHeight="true" outlineLevel="0" collapsed="false">
      <c r="A18118" s="10" t="n">
        <f aca="false">Einstellungen!$B$5+INT((ROW()-9)/24)</f>
        <v>46720</v>
      </c>
      <c r="B18118" s="11" t="n">
        <f aca="false">MOD(ROW()-9,24)</f>
        <v>13</v>
      </c>
      <c r="C18118" s="12"/>
      <c r="D18118" s="13" t="n">
        <f aca="false">IF(B18118&lt;5,Einstellungen!$B$3,Einstellungen!$B$4)</f>
        <v>29.13</v>
      </c>
      <c r="E18118" s="14" t="str">
        <f aca="false">IF(C18118="","",C18118*D18118/100)</f>
        <v/>
      </c>
      <c r="F18118" s="15" t="str">
        <f aca="false">IF(B18118&lt;5,"Go","Standard")</f>
        <v>Standard</v>
      </c>
    </row>
    <row r="18119" customFormat="false" ht="15" hidden="false" customHeight="true" outlineLevel="0" collapsed="false">
      <c r="A18119" s="10" t="n">
        <f aca="false">Einstellungen!$B$5+INT((ROW()-9)/24)</f>
        <v>46720</v>
      </c>
      <c r="B18119" s="11" t="n">
        <f aca="false">MOD(ROW()-9,24)</f>
        <v>14</v>
      </c>
      <c r="C18119" s="12"/>
      <c r="D18119" s="13" t="n">
        <f aca="false">IF(B18119&lt;5,Einstellungen!$B$3,Einstellungen!$B$4)</f>
        <v>29.13</v>
      </c>
      <c r="E18119" s="14" t="str">
        <f aca="false">IF(C18119="","",C18119*D18119/100)</f>
        <v/>
      </c>
      <c r="F18119" s="15" t="str">
        <f aca="false">IF(B18119&lt;5,"Go","Standard")</f>
        <v>Standard</v>
      </c>
    </row>
    <row r="18120" customFormat="false" ht="15" hidden="false" customHeight="true" outlineLevel="0" collapsed="false">
      <c r="A18120" s="10" t="n">
        <f aca="false">Einstellungen!$B$5+INT((ROW()-9)/24)</f>
        <v>46720</v>
      </c>
      <c r="B18120" s="11" t="n">
        <f aca="false">MOD(ROW()-9,24)</f>
        <v>15</v>
      </c>
      <c r="C18120" s="12"/>
      <c r="D18120" s="13" t="n">
        <f aca="false">IF(B18120&lt;5,Einstellungen!$B$3,Einstellungen!$B$4)</f>
        <v>29.13</v>
      </c>
      <c r="E18120" s="14" t="str">
        <f aca="false">IF(C18120="","",C18120*D18120/100)</f>
        <v/>
      </c>
      <c r="F18120" s="15" t="str">
        <f aca="false">IF(B18120&lt;5,"Go","Standard")</f>
        <v>Standard</v>
      </c>
    </row>
    <row r="18121" customFormat="false" ht="15" hidden="false" customHeight="true" outlineLevel="0" collapsed="false">
      <c r="A18121" s="10" t="n">
        <f aca="false">Einstellungen!$B$5+INT((ROW()-9)/24)</f>
        <v>46720</v>
      </c>
      <c r="B18121" s="11" t="n">
        <f aca="false">MOD(ROW()-9,24)</f>
        <v>16</v>
      </c>
      <c r="C18121" s="12"/>
      <c r="D18121" s="13" t="n">
        <f aca="false">IF(B18121&lt;5,Einstellungen!$B$3,Einstellungen!$B$4)</f>
        <v>29.13</v>
      </c>
      <c r="E18121" s="14" t="str">
        <f aca="false">IF(C18121="","",C18121*D18121/100)</f>
        <v/>
      </c>
      <c r="F18121" s="15" t="str">
        <f aca="false">IF(B18121&lt;5,"Go","Standard")</f>
        <v>Standard</v>
      </c>
    </row>
    <row r="18122" customFormat="false" ht="15" hidden="false" customHeight="true" outlineLevel="0" collapsed="false">
      <c r="A18122" s="10" t="n">
        <f aca="false">Einstellungen!$B$5+INT((ROW()-9)/24)</f>
        <v>46720</v>
      </c>
      <c r="B18122" s="11" t="n">
        <f aca="false">MOD(ROW()-9,24)</f>
        <v>17</v>
      </c>
      <c r="C18122" s="12"/>
      <c r="D18122" s="13" t="n">
        <f aca="false">IF(B18122&lt;5,Einstellungen!$B$3,Einstellungen!$B$4)</f>
        <v>29.13</v>
      </c>
      <c r="E18122" s="14" t="str">
        <f aca="false">IF(C18122="","",C18122*D18122/100)</f>
        <v/>
      </c>
      <c r="F18122" s="15" t="str">
        <f aca="false">IF(B18122&lt;5,"Go","Standard")</f>
        <v>Standard</v>
      </c>
    </row>
    <row r="18123" customFormat="false" ht="15" hidden="false" customHeight="true" outlineLevel="0" collapsed="false">
      <c r="A18123" s="10" t="n">
        <f aca="false">Einstellungen!$B$5+INT((ROW()-9)/24)</f>
        <v>46720</v>
      </c>
      <c r="B18123" s="11" t="n">
        <f aca="false">MOD(ROW()-9,24)</f>
        <v>18</v>
      </c>
      <c r="C18123" s="12"/>
      <c r="D18123" s="13" t="n">
        <f aca="false">IF(B18123&lt;5,Einstellungen!$B$3,Einstellungen!$B$4)</f>
        <v>29.13</v>
      </c>
      <c r="E18123" s="14" t="str">
        <f aca="false">IF(C18123="","",C18123*D18123/100)</f>
        <v/>
      </c>
      <c r="F18123" s="15" t="str">
        <f aca="false">IF(B18123&lt;5,"Go","Standard")</f>
        <v>Standard</v>
      </c>
    </row>
    <row r="18124" customFormat="false" ht="15" hidden="false" customHeight="true" outlineLevel="0" collapsed="false">
      <c r="A18124" s="10" t="n">
        <f aca="false">Einstellungen!$B$5+INT((ROW()-9)/24)</f>
        <v>46720</v>
      </c>
      <c r="B18124" s="11" t="n">
        <f aca="false">MOD(ROW()-9,24)</f>
        <v>19</v>
      </c>
      <c r="C18124" s="12"/>
      <c r="D18124" s="13" t="n">
        <f aca="false">IF(B18124&lt;5,Einstellungen!$B$3,Einstellungen!$B$4)</f>
        <v>29.13</v>
      </c>
      <c r="E18124" s="14" t="str">
        <f aca="false">IF(C18124="","",C18124*D18124/100)</f>
        <v/>
      </c>
      <c r="F18124" s="15" t="str">
        <f aca="false">IF(B18124&lt;5,"Go","Standard")</f>
        <v>Standard</v>
      </c>
    </row>
    <row r="18125" customFormat="false" ht="15" hidden="false" customHeight="true" outlineLevel="0" collapsed="false">
      <c r="A18125" s="10" t="n">
        <f aca="false">Einstellungen!$B$5+INT((ROW()-9)/24)</f>
        <v>46720</v>
      </c>
      <c r="B18125" s="11" t="n">
        <f aca="false">MOD(ROW()-9,24)</f>
        <v>20</v>
      </c>
      <c r="C18125" s="12"/>
      <c r="D18125" s="13" t="n">
        <f aca="false">IF(B18125&lt;5,Einstellungen!$B$3,Einstellungen!$B$4)</f>
        <v>29.13</v>
      </c>
      <c r="E18125" s="14" t="str">
        <f aca="false">IF(C18125="","",C18125*D18125/100)</f>
        <v/>
      </c>
      <c r="F18125" s="15" t="str">
        <f aca="false">IF(B18125&lt;5,"Go","Standard")</f>
        <v>Standard</v>
      </c>
    </row>
    <row r="18126" customFormat="false" ht="15" hidden="false" customHeight="true" outlineLevel="0" collapsed="false">
      <c r="A18126" s="10" t="n">
        <f aca="false">Einstellungen!$B$5+INT((ROW()-9)/24)</f>
        <v>46720</v>
      </c>
      <c r="B18126" s="11" t="n">
        <f aca="false">MOD(ROW()-9,24)</f>
        <v>21</v>
      </c>
      <c r="C18126" s="12"/>
      <c r="D18126" s="13" t="n">
        <f aca="false">IF(B18126&lt;5,Einstellungen!$B$3,Einstellungen!$B$4)</f>
        <v>29.13</v>
      </c>
      <c r="E18126" s="14" t="str">
        <f aca="false">IF(C18126="","",C18126*D18126/100)</f>
        <v/>
      </c>
      <c r="F18126" s="15" t="str">
        <f aca="false">IF(B18126&lt;5,"Go","Standard")</f>
        <v>Standard</v>
      </c>
    </row>
    <row r="18127" customFormat="false" ht="15" hidden="false" customHeight="true" outlineLevel="0" collapsed="false">
      <c r="A18127" s="10" t="n">
        <f aca="false">Einstellungen!$B$5+INT((ROW()-9)/24)</f>
        <v>46720</v>
      </c>
      <c r="B18127" s="11" t="n">
        <f aca="false">MOD(ROW()-9,24)</f>
        <v>22</v>
      </c>
      <c r="C18127" s="12"/>
      <c r="D18127" s="13" t="n">
        <f aca="false">IF(B18127&lt;5,Einstellungen!$B$3,Einstellungen!$B$4)</f>
        <v>29.13</v>
      </c>
      <c r="E18127" s="14" t="str">
        <f aca="false">IF(C18127="","",C18127*D18127/100)</f>
        <v/>
      </c>
      <c r="F18127" s="15" t="str">
        <f aca="false">IF(B18127&lt;5,"Go","Standard")</f>
        <v>Standard</v>
      </c>
    </row>
    <row r="18128" customFormat="false" ht="15" hidden="false" customHeight="true" outlineLevel="0" collapsed="false">
      <c r="A18128" s="10" t="n">
        <f aca="false">Einstellungen!$B$5+INT((ROW()-9)/24)</f>
        <v>46720</v>
      </c>
      <c r="B18128" s="11" t="n">
        <f aca="false">MOD(ROW()-9,24)</f>
        <v>23</v>
      </c>
      <c r="C18128" s="12"/>
      <c r="D18128" s="13" t="n">
        <f aca="false">IF(B18128&lt;5,Einstellungen!$B$3,Einstellungen!$B$4)</f>
        <v>29.13</v>
      </c>
      <c r="E18128" s="14" t="str">
        <f aca="false">IF(C18128="","",C18128*D18128/100)</f>
        <v/>
      </c>
      <c r="F18128" s="15" t="str">
        <f aca="false">IF(B18128&lt;5,"Go","Standard")</f>
        <v>Standard</v>
      </c>
    </row>
    <row r="18129" customFormat="false" ht="15" hidden="false" customHeight="true" outlineLevel="0" collapsed="false">
      <c r="A18129" s="10" t="n">
        <f aca="false">Einstellungen!$B$5+INT((ROW()-9)/24)</f>
        <v>46721</v>
      </c>
      <c r="B18129" s="11" t="n">
        <f aca="false">MOD(ROW()-9,24)</f>
        <v>0</v>
      </c>
      <c r="C18129" s="12"/>
      <c r="D18129" s="13" t="n">
        <f aca="false">IF(B18129&lt;5,Einstellungen!$B$3,Einstellungen!$B$4)</f>
        <v>15.92</v>
      </c>
      <c r="E18129" s="14" t="str">
        <f aca="false">IF(C18129="","",C18129*D18129/100)</f>
        <v/>
      </c>
      <c r="F18129" s="15" t="str">
        <f aca="false">IF(B18129&lt;5,"Go","Standard")</f>
        <v>Go</v>
      </c>
    </row>
    <row r="18130" customFormat="false" ht="15" hidden="false" customHeight="true" outlineLevel="0" collapsed="false">
      <c r="A18130" s="10" t="n">
        <f aca="false">Einstellungen!$B$5+INT((ROW()-9)/24)</f>
        <v>46721</v>
      </c>
      <c r="B18130" s="11" t="n">
        <f aca="false">MOD(ROW()-9,24)</f>
        <v>1</v>
      </c>
      <c r="C18130" s="12"/>
      <c r="D18130" s="13" t="n">
        <f aca="false">IF(B18130&lt;5,Einstellungen!$B$3,Einstellungen!$B$4)</f>
        <v>15.92</v>
      </c>
      <c r="E18130" s="14" t="str">
        <f aca="false">IF(C18130="","",C18130*D18130/100)</f>
        <v/>
      </c>
      <c r="F18130" s="15" t="str">
        <f aca="false">IF(B18130&lt;5,"Go","Standard")</f>
        <v>Go</v>
      </c>
    </row>
    <row r="18131" customFormat="false" ht="15" hidden="false" customHeight="true" outlineLevel="0" collapsed="false">
      <c r="A18131" s="10" t="n">
        <f aca="false">Einstellungen!$B$5+INT((ROW()-9)/24)</f>
        <v>46721</v>
      </c>
      <c r="B18131" s="11" t="n">
        <f aca="false">MOD(ROW()-9,24)</f>
        <v>2</v>
      </c>
      <c r="C18131" s="12"/>
      <c r="D18131" s="13" t="n">
        <f aca="false">IF(B18131&lt;5,Einstellungen!$B$3,Einstellungen!$B$4)</f>
        <v>15.92</v>
      </c>
      <c r="E18131" s="14" t="str">
        <f aca="false">IF(C18131="","",C18131*D18131/100)</f>
        <v/>
      </c>
      <c r="F18131" s="15" t="str">
        <f aca="false">IF(B18131&lt;5,"Go","Standard")</f>
        <v>Go</v>
      </c>
    </row>
    <row r="18132" customFormat="false" ht="15" hidden="false" customHeight="true" outlineLevel="0" collapsed="false">
      <c r="A18132" s="10" t="n">
        <f aca="false">Einstellungen!$B$5+INT((ROW()-9)/24)</f>
        <v>46721</v>
      </c>
      <c r="B18132" s="11" t="n">
        <f aca="false">MOD(ROW()-9,24)</f>
        <v>3</v>
      </c>
      <c r="C18132" s="12"/>
      <c r="D18132" s="13" t="n">
        <f aca="false">IF(B18132&lt;5,Einstellungen!$B$3,Einstellungen!$B$4)</f>
        <v>15.92</v>
      </c>
      <c r="E18132" s="14" t="str">
        <f aca="false">IF(C18132="","",C18132*D18132/100)</f>
        <v/>
      </c>
      <c r="F18132" s="15" t="str">
        <f aca="false">IF(B18132&lt;5,"Go","Standard")</f>
        <v>Go</v>
      </c>
    </row>
    <row r="18133" customFormat="false" ht="15" hidden="false" customHeight="true" outlineLevel="0" collapsed="false">
      <c r="A18133" s="10" t="n">
        <f aca="false">Einstellungen!$B$5+INT((ROW()-9)/24)</f>
        <v>46721</v>
      </c>
      <c r="B18133" s="11" t="n">
        <f aca="false">MOD(ROW()-9,24)</f>
        <v>4</v>
      </c>
      <c r="C18133" s="12"/>
      <c r="D18133" s="13" t="n">
        <f aca="false">IF(B18133&lt;5,Einstellungen!$B$3,Einstellungen!$B$4)</f>
        <v>15.92</v>
      </c>
      <c r="E18133" s="14" t="str">
        <f aca="false">IF(C18133="","",C18133*D18133/100)</f>
        <v/>
      </c>
      <c r="F18133" s="15" t="str">
        <f aca="false">IF(B18133&lt;5,"Go","Standard")</f>
        <v>Go</v>
      </c>
    </row>
    <row r="18134" customFormat="false" ht="15" hidden="false" customHeight="true" outlineLevel="0" collapsed="false">
      <c r="A18134" s="10" t="n">
        <f aca="false">Einstellungen!$B$5+INT((ROW()-9)/24)</f>
        <v>46721</v>
      </c>
      <c r="B18134" s="11" t="n">
        <f aca="false">MOD(ROW()-9,24)</f>
        <v>5</v>
      </c>
      <c r="C18134" s="12"/>
      <c r="D18134" s="13" t="n">
        <f aca="false">IF(B18134&lt;5,Einstellungen!$B$3,Einstellungen!$B$4)</f>
        <v>29.13</v>
      </c>
      <c r="E18134" s="14" t="str">
        <f aca="false">IF(C18134="","",C18134*D18134/100)</f>
        <v/>
      </c>
      <c r="F18134" s="15" t="str">
        <f aca="false">IF(B18134&lt;5,"Go","Standard")</f>
        <v>Standard</v>
      </c>
    </row>
    <row r="18135" customFormat="false" ht="15" hidden="false" customHeight="true" outlineLevel="0" collapsed="false">
      <c r="A18135" s="10" t="n">
        <f aca="false">Einstellungen!$B$5+INT((ROW()-9)/24)</f>
        <v>46721</v>
      </c>
      <c r="B18135" s="11" t="n">
        <f aca="false">MOD(ROW()-9,24)</f>
        <v>6</v>
      </c>
      <c r="C18135" s="12"/>
      <c r="D18135" s="13" t="n">
        <f aca="false">IF(B18135&lt;5,Einstellungen!$B$3,Einstellungen!$B$4)</f>
        <v>29.13</v>
      </c>
      <c r="E18135" s="14" t="str">
        <f aca="false">IF(C18135="","",C18135*D18135/100)</f>
        <v/>
      </c>
      <c r="F18135" s="15" t="str">
        <f aca="false">IF(B18135&lt;5,"Go","Standard")</f>
        <v>Standard</v>
      </c>
    </row>
    <row r="18136" customFormat="false" ht="15" hidden="false" customHeight="true" outlineLevel="0" collapsed="false">
      <c r="A18136" s="10" t="n">
        <f aca="false">Einstellungen!$B$5+INT((ROW()-9)/24)</f>
        <v>46721</v>
      </c>
      <c r="B18136" s="11" t="n">
        <f aca="false">MOD(ROW()-9,24)</f>
        <v>7</v>
      </c>
      <c r="C18136" s="12"/>
      <c r="D18136" s="13" t="n">
        <f aca="false">IF(B18136&lt;5,Einstellungen!$B$3,Einstellungen!$B$4)</f>
        <v>29.13</v>
      </c>
      <c r="E18136" s="14" t="str">
        <f aca="false">IF(C18136="","",C18136*D18136/100)</f>
        <v/>
      </c>
      <c r="F18136" s="15" t="str">
        <f aca="false">IF(B18136&lt;5,"Go","Standard")</f>
        <v>Standard</v>
      </c>
    </row>
    <row r="18137" customFormat="false" ht="15" hidden="false" customHeight="true" outlineLevel="0" collapsed="false">
      <c r="A18137" s="10" t="n">
        <f aca="false">Einstellungen!$B$5+INT((ROW()-9)/24)</f>
        <v>46721</v>
      </c>
      <c r="B18137" s="11" t="n">
        <f aca="false">MOD(ROW()-9,24)</f>
        <v>8</v>
      </c>
      <c r="C18137" s="12"/>
      <c r="D18137" s="13" t="n">
        <f aca="false">IF(B18137&lt;5,Einstellungen!$B$3,Einstellungen!$B$4)</f>
        <v>29.13</v>
      </c>
      <c r="E18137" s="14" t="str">
        <f aca="false">IF(C18137="","",C18137*D18137/100)</f>
        <v/>
      </c>
      <c r="F18137" s="15" t="str">
        <f aca="false">IF(B18137&lt;5,"Go","Standard")</f>
        <v>Standard</v>
      </c>
    </row>
    <row r="18138" customFormat="false" ht="15" hidden="false" customHeight="true" outlineLevel="0" collapsed="false">
      <c r="A18138" s="10" t="n">
        <f aca="false">Einstellungen!$B$5+INT((ROW()-9)/24)</f>
        <v>46721</v>
      </c>
      <c r="B18138" s="11" t="n">
        <f aca="false">MOD(ROW()-9,24)</f>
        <v>9</v>
      </c>
      <c r="C18138" s="12"/>
      <c r="D18138" s="13" t="n">
        <f aca="false">IF(B18138&lt;5,Einstellungen!$B$3,Einstellungen!$B$4)</f>
        <v>29.13</v>
      </c>
      <c r="E18138" s="14" t="str">
        <f aca="false">IF(C18138="","",C18138*D18138/100)</f>
        <v/>
      </c>
      <c r="F18138" s="15" t="str">
        <f aca="false">IF(B18138&lt;5,"Go","Standard")</f>
        <v>Standard</v>
      </c>
    </row>
    <row r="18139" customFormat="false" ht="15" hidden="false" customHeight="true" outlineLevel="0" collapsed="false">
      <c r="A18139" s="10" t="n">
        <f aca="false">Einstellungen!$B$5+INT((ROW()-9)/24)</f>
        <v>46721</v>
      </c>
      <c r="B18139" s="11" t="n">
        <f aca="false">MOD(ROW()-9,24)</f>
        <v>10</v>
      </c>
      <c r="C18139" s="12"/>
      <c r="D18139" s="13" t="n">
        <f aca="false">IF(B18139&lt;5,Einstellungen!$B$3,Einstellungen!$B$4)</f>
        <v>29.13</v>
      </c>
      <c r="E18139" s="14" t="str">
        <f aca="false">IF(C18139="","",C18139*D18139/100)</f>
        <v/>
      </c>
      <c r="F18139" s="15" t="str">
        <f aca="false">IF(B18139&lt;5,"Go","Standard")</f>
        <v>Standard</v>
      </c>
    </row>
    <row r="18140" customFormat="false" ht="15" hidden="false" customHeight="true" outlineLevel="0" collapsed="false">
      <c r="A18140" s="10" t="n">
        <f aca="false">Einstellungen!$B$5+INT((ROW()-9)/24)</f>
        <v>46721</v>
      </c>
      <c r="B18140" s="11" t="n">
        <f aca="false">MOD(ROW()-9,24)</f>
        <v>11</v>
      </c>
      <c r="C18140" s="12"/>
      <c r="D18140" s="13" t="n">
        <f aca="false">IF(B18140&lt;5,Einstellungen!$B$3,Einstellungen!$B$4)</f>
        <v>29.13</v>
      </c>
      <c r="E18140" s="14" t="str">
        <f aca="false">IF(C18140="","",C18140*D18140/100)</f>
        <v/>
      </c>
      <c r="F18140" s="15" t="str">
        <f aca="false">IF(B18140&lt;5,"Go","Standard")</f>
        <v>Standard</v>
      </c>
    </row>
    <row r="18141" customFormat="false" ht="15" hidden="false" customHeight="true" outlineLevel="0" collapsed="false">
      <c r="A18141" s="10" t="n">
        <f aca="false">Einstellungen!$B$5+INT((ROW()-9)/24)</f>
        <v>46721</v>
      </c>
      <c r="B18141" s="11" t="n">
        <f aca="false">MOD(ROW()-9,24)</f>
        <v>12</v>
      </c>
      <c r="C18141" s="12"/>
      <c r="D18141" s="13" t="n">
        <f aca="false">IF(B18141&lt;5,Einstellungen!$B$3,Einstellungen!$B$4)</f>
        <v>29.13</v>
      </c>
      <c r="E18141" s="14" t="str">
        <f aca="false">IF(C18141="","",C18141*D18141/100)</f>
        <v/>
      </c>
      <c r="F18141" s="15" t="str">
        <f aca="false">IF(B18141&lt;5,"Go","Standard")</f>
        <v>Standard</v>
      </c>
    </row>
    <row r="18142" customFormat="false" ht="15" hidden="false" customHeight="true" outlineLevel="0" collapsed="false">
      <c r="A18142" s="10" t="n">
        <f aca="false">Einstellungen!$B$5+INT((ROW()-9)/24)</f>
        <v>46721</v>
      </c>
      <c r="B18142" s="11" t="n">
        <f aca="false">MOD(ROW()-9,24)</f>
        <v>13</v>
      </c>
      <c r="C18142" s="12"/>
      <c r="D18142" s="13" t="n">
        <f aca="false">IF(B18142&lt;5,Einstellungen!$B$3,Einstellungen!$B$4)</f>
        <v>29.13</v>
      </c>
      <c r="E18142" s="14" t="str">
        <f aca="false">IF(C18142="","",C18142*D18142/100)</f>
        <v/>
      </c>
      <c r="F18142" s="15" t="str">
        <f aca="false">IF(B18142&lt;5,"Go","Standard")</f>
        <v>Standard</v>
      </c>
    </row>
    <row r="18143" customFormat="false" ht="15" hidden="false" customHeight="true" outlineLevel="0" collapsed="false">
      <c r="A18143" s="10" t="n">
        <f aca="false">Einstellungen!$B$5+INT((ROW()-9)/24)</f>
        <v>46721</v>
      </c>
      <c r="B18143" s="11" t="n">
        <f aca="false">MOD(ROW()-9,24)</f>
        <v>14</v>
      </c>
      <c r="C18143" s="12"/>
      <c r="D18143" s="13" t="n">
        <f aca="false">IF(B18143&lt;5,Einstellungen!$B$3,Einstellungen!$B$4)</f>
        <v>29.13</v>
      </c>
      <c r="E18143" s="14" t="str">
        <f aca="false">IF(C18143="","",C18143*D18143/100)</f>
        <v/>
      </c>
      <c r="F18143" s="15" t="str">
        <f aca="false">IF(B18143&lt;5,"Go","Standard")</f>
        <v>Standard</v>
      </c>
    </row>
    <row r="18144" customFormat="false" ht="15" hidden="false" customHeight="true" outlineLevel="0" collapsed="false">
      <c r="A18144" s="10" t="n">
        <f aca="false">Einstellungen!$B$5+INT((ROW()-9)/24)</f>
        <v>46721</v>
      </c>
      <c r="B18144" s="11" t="n">
        <f aca="false">MOD(ROW()-9,24)</f>
        <v>15</v>
      </c>
      <c r="C18144" s="12"/>
      <c r="D18144" s="13" t="n">
        <f aca="false">IF(B18144&lt;5,Einstellungen!$B$3,Einstellungen!$B$4)</f>
        <v>29.13</v>
      </c>
      <c r="E18144" s="14" t="str">
        <f aca="false">IF(C18144="","",C18144*D18144/100)</f>
        <v/>
      </c>
      <c r="F18144" s="15" t="str">
        <f aca="false">IF(B18144&lt;5,"Go","Standard")</f>
        <v>Standard</v>
      </c>
    </row>
    <row r="18145" customFormat="false" ht="15" hidden="false" customHeight="true" outlineLevel="0" collapsed="false">
      <c r="A18145" s="10" t="n">
        <f aca="false">Einstellungen!$B$5+INT((ROW()-9)/24)</f>
        <v>46721</v>
      </c>
      <c r="B18145" s="11" t="n">
        <f aca="false">MOD(ROW()-9,24)</f>
        <v>16</v>
      </c>
      <c r="C18145" s="12"/>
      <c r="D18145" s="13" t="n">
        <f aca="false">IF(B18145&lt;5,Einstellungen!$B$3,Einstellungen!$B$4)</f>
        <v>29.13</v>
      </c>
      <c r="E18145" s="14" t="str">
        <f aca="false">IF(C18145="","",C18145*D18145/100)</f>
        <v/>
      </c>
      <c r="F18145" s="15" t="str">
        <f aca="false">IF(B18145&lt;5,"Go","Standard")</f>
        <v>Standard</v>
      </c>
    </row>
    <row r="18146" customFormat="false" ht="15" hidden="false" customHeight="true" outlineLevel="0" collapsed="false">
      <c r="A18146" s="10" t="n">
        <f aca="false">Einstellungen!$B$5+INT((ROW()-9)/24)</f>
        <v>46721</v>
      </c>
      <c r="B18146" s="11" t="n">
        <f aca="false">MOD(ROW()-9,24)</f>
        <v>17</v>
      </c>
      <c r="C18146" s="12"/>
      <c r="D18146" s="13" t="n">
        <f aca="false">IF(B18146&lt;5,Einstellungen!$B$3,Einstellungen!$B$4)</f>
        <v>29.13</v>
      </c>
      <c r="E18146" s="14" t="str">
        <f aca="false">IF(C18146="","",C18146*D18146/100)</f>
        <v/>
      </c>
      <c r="F18146" s="15" t="str">
        <f aca="false">IF(B18146&lt;5,"Go","Standard")</f>
        <v>Standard</v>
      </c>
    </row>
    <row r="18147" customFormat="false" ht="15" hidden="false" customHeight="true" outlineLevel="0" collapsed="false">
      <c r="A18147" s="10" t="n">
        <f aca="false">Einstellungen!$B$5+INT((ROW()-9)/24)</f>
        <v>46721</v>
      </c>
      <c r="B18147" s="11" t="n">
        <f aca="false">MOD(ROW()-9,24)</f>
        <v>18</v>
      </c>
      <c r="C18147" s="12"/>
      <c r="D18147" s="13" t="n">
        <f aca="false">IF(B18147&lt;5,Einstellungen!$B$3,Einstellungen!$B$4)</f>
        <v>29.13</v>
      </c>
      <c r="E18147" s="14" t="str">
        <f aca="false">IF(C18147="","",C18147*D18147/100)</f>
        <v/>
      </c>
      <c r="F18147" s="15" t="str">
        <f aca="false">IF(B18147&lt;5,"Go","Standard")</f>
        <v>Standard</v>
      </c>
    </row>
    <row r="18148" customFormat="false" ht="15" hidden="false" customHeight="true" outlineLevel="0" collapsed="false">
      <c r="A18148" s="10" t="n">
        <f aca="false">Einstellungen!$B$5+INT((ROW()-9)/24)</f>
        <v>46721</v>
      </c>
      <c r="B18148" s="11" t="n">
        <f aca="false">MOD(ROW()-9,24)</f>
        <v>19</v>
      </c>
      <c r="C18148" s="12"/>
      <c r="D18148" s="13" t="n">
        <f aca="false">IF(B18148&lt;5,Einstellungen!$B$3,Einstellungen!$B$4)</f>
        <v>29.13</v>
      </c>
      <c r="E18148" s="14" t="str">
        <f aca="false">IF(C18148="","",C18148*D18148/100)</f>
        <v/>
      </c>
      <c r="F18148" s="15" t="str">
        <f aca="false">IF(B18148&lt;5,"Go","Standard")</f>
        <v>Standard</v>
      </c>
    </row>
    <row r="18149" customFormat="false" ht="15" hidden="false" customHeight="true" outlineLevel="0" collapsed="false">
      <c r="A18149" s="10" t="n">
        <f aca="false">Einstellungen!$B$5+INT((ROW()-9)/24)</f>
        <v>46721</v>
      </c>
      <c r="B18149" s="11" t="n">
        <f aca="false">MOD(ROW()-9,24)</f>
        <v>20</v>
      </c>
      <c r="C18149" s="12"/>
      <c r="D18149" s="13" t="n">
        <f aca="false">IF(B18149&lt;5,Einstellungen!$B$3,Einstellungen!$B$4)</f>
        <v>29.13</v>
      </c>
      <c r="E18149" s="14" t="str">
        <f aca="false">IF(C18149="","",C18149*D18149/100)</f>
        <v/>
      </c>
      <c r="F18149" s="15" t="str">
        <f aca="false">IF(B18149&lt;5,"Go","Standard")</f>
        <v>Standard</v>
      </c>
    </row>
    <row r="18150" customFormat="false" ht="15" hidden="false" customHeight="true" outlineLevel="0" collapsed="false">
      <c r="A18150" s="10" t="n">
        <f aca="false">Einstellungen!$B$5+INT((ROW()-9)/24)</f>
        <v>46721</v>
      </c>
      <c r="B18150" s="11" t="n">
        <f aca="false">MOD(ROW()-9,24)</f>
        <v>21</v>
      </c>
      <c r="C18150" s="12"/>
      <c r="D18150" s="13" t="n">
        <f aca="false">IF(B18150&lt;5,Einstellungen!$B$3,Einstellungen!$B$4)</f>
        <v>29.13</v>
      </c>
      <c r="E18150" s="14" t="str">
        <f aca="false">IF(C18150="","",C18150*D18150/100)</f>
        <v/>
      </c>
      <c r="F18150" s="15" t="str">
        <f aca="false">IF(B18150&lt;5,"Go","Standard")</f>
        <v>Standard</v>
      </c>
    </row>
    <row r="18151" customFormat="false" ht="15" hidden="false" customHeight="true" outlineLevel="0" collapsed="false">
      <c r="A18151" s="10" t="n">
        <f aca="false">Einstellungen!$B$5+INT((ROW()-9)/24)</f>
        <v>46721</v>
      </c>
      <c r="B18151" s="11" t="n">
        <f aca="false">MOD(ROW()-9,24)</f>
        <v>22</v>
      </c>
      <c r="C18151" s="12"/>
      <c r="D18151" s="13" t="n">
        <f aca="false">IF(B18151&lt;5,Einstellungen!$B$3,Einstellungen!$B$4)</f>
        <v>29.13</v>
      </c>
      <c r="E18151" s="14" t="str">
        <f aca="false">IF(C18151="","",C18151*D18151/100)</f>
        <v/>
      </c>
      <c r="F18151" s="15" t="str">
        <f aca="false">IF(B18151&lt;5,"Go","Standard")</f>
        <v>Standard</v>
      </c>
    </row>
    <row r="18152" customFormat="false" ht="15" hidden="false" customHeight="true" outlineLevel="0" collapsed="false">
      <c r="A18152" s="10" t="n">
        <f aca="false">Einstellungen!$B$5+INT((ROW()-9)/24)</f>
        <v>46721</v>
      </c>
      <c r="B18152" s="11" t="n">
        <f aca="false">MOD(ROW()-9,24)</f>
        <v>23</v>
      </c>
      <c r="C18152" s="12"/>
      <c r="D18152" s="13" t="n">
        <f aca="false">IF(B18152&lt;5,Einstellungen!$B$3,Einstellungen!$B$4)</f>
        <v>29.13</v>
      </c>
      <c r="E18152" s="14" t="str">
        <f aca="false">IF(C18152="","",C18152*D18152/100)</f>
        <v/>
      </c>
      <c r="F18152" s="15" t="str">
        <f aca="false">IF(B18152&lt;5,"Go","Standard")</f>
        <v>Standard</v>
      </c>
    </row>
    <row r="18153" customFormat="false" ht="15" hidden="false" customHeight="true" outlineLevel="0" collapsed="false">
      <c r="A18153" s="10" t="n">
        <f aca="false">Einstellungen!$B$5+INT((ROW()-9)/24)</f>
        <v>46722</v>
      </c>
      <c r="B18153" s="11" t="n">
        <f aca="false">MOD(ROW()-9,24)</f>
        <v>0</v>
      </c>
      <c r="C18153" s="12"/>
      <c r="D18153" s="13" t="n">
        <f aca="false">IF(B18153&lt;5,Einstellungen!$B$3,Einstellungen!$B$4)</f>
        <v>15.92</v>
      </c>
      <c r="E18153" s="14" t="str">
        <f aca="false">IF(C18153="","",C18153*D18153/100)</f>
        <v/>
      </c>
      <c r="F18153" s="15" t="str">
        <f aca="false">IF(B18153&lt;5,"Go","Standard")</f>
        <v>Go</v>
      </c>
    </row>
    <row r="18154" customFormat="false" ht="15" hidden="false" customHeight="true" outlineLevel="0" collapsed="false">
      <c r="A18154" s="10" t="n">
        <f aca="false">Einstellungen!$B$5+INT((ROW()-9)/24)</f>
        <v>46722</v>
      </c>
      <c r="B18154" s="11" t="n">
        <f aca="false">MOD(ROW()-9,24)</f>
        <v>1</v>
      </c>
      <c r="C18154" s="12"/>
      <c r="D18154" s="13" t="n">
        <f aca="false">IF(B18154&lt;5,Einstellungen!$B$3,Einstellungen!$B$4)</f>
        <v>15.92</v>
      </c>
      <c r="E18154" s="14" t="str">
        <f aca="false">IF(C18154="","",C18154*D18154/100)</f>
        <v/>
      </c>
      <c r="F18154" s="15" t="str">
        <f aca="false">IF(B18154&lt;5,"Go","Standard")</f>
        <v>Go</v>
      </c>
    </row>
    <row r="18155" customFormat="false" ht="15" hidden="false" customHeight="true" outlineLevel="0" collapsed="false">
      <c r="A18155" s="10" t="n">
        <f aca="false">Einstellungen!$B$5+INT((ROW()-9)/24)</f>
        <v>46722</v>
      </c>
      <c r="B18155" s="11" t="n">
        <f aca="false">MOD(ROW()-9,24)</f>
        <v>2</v>
      </c>
      <c r="C18155" s="12"/>
      <c r="D18155" s="13" t="n">
        <f aca="false">IF(B18155&lt;5,Einstellungen!$B$3,Einstellungen!$B$4)</f>
        <v>15.92</v>
      </c>
      <c r="E18155" s="14" t="str">
        <f aca="false">IF(C18155="","",C18155*D18155/100)</f>
        <v/>
      </c>
      <c r="F18155" s="15" t="str">
        <f aca="false">IF(B18155&lt;5,"Go","Standard")</f>
        <v>Go</v>
      </c>
    </row>
    <row r="18156" customFormat="false" ht="15" hidden="false" customHeight="true" outlineLevel="0" collapsed="false">
      <c r="A18156" s="10" t="n">
        <f aca="false">Einstellungen!$B$5+INT((ROW()-9)/24)</f>
        <v>46722</v>
      </c>
      <c r="B18156" s="11" t="n">
        <f aca="false">MOD(ROW()-9,24)</f>
        <v>3</v>
      </c>
      <c r="C18156" s="12"/>
      <c r="D18156" s="13" t="n">
        <f aca="false">IF(B18156&lt;5,Einstellungen!$B$3,Einstellungen!$B$4)</f>
        <v>15.92</v>
      </c>
      <c r="E18156" s="14" t="str">
        <f aca="false">IF(C18156="","",C18156*D18156/100)</f>
        <v/>
      </c>
      <c r="F18156" s="15" t="str">
        <f aca="false">IF(B18156&lt;5,"Go","Standard")</f>
        <v>Go</v>
      </c>
    </row>
    <row r="18157" customFormat="false" ht="15" hidden="false" customHeight="true" outlineLevel="0" collapsed="false">
      <c r="A18157" s="10" t="n">
        <f aca="false">Einstellungen!$B$5+INT((ROW()-9)/24)</f>
        <v>46722</v>
      </c>
      <c r="B18157" s="11" t="n">
        <f aca="false">MOD(ROW()-9,24)</f>
        <v>4</v>
      </c>
      <c r="C18157" s="12"/>
      <c r="D18157" s="13" t="n">
        <f aca="false">IF(B18157&lt;5,Einstellungen!$B$3,Einstellungen!$B$4)</f>
        <v>15.92</v>
      </c>
      <c r="E18157" s="14" t="str">
        <f aca="false">IF(C18157="","",C18157*D18157/100)</f>
        <v/>
      </c>
      <c r="F18157" s="15" t="str">
        <f aca="false">IF(B18157&lt;5,"Go","Standard")</f>
        <v>Go</v>
      </c>
    </row>
    <row r="18158" customFormat="false" ht="15" hidden="false" customHeight="true" outlineLevel="0" collapsed="false">
      <c r="A18158" s="10" t="n">
        <f aca="false">Einstellungen!$B$5+INT((ROW()-9)/24)</f>
        <v>46722</v>
      </c>
      <c r="B18158" s="11" t="n">
        <f aca="false">MOD(ROW()-9,24)</f>
        <v>5</v>
      </c>
      <c r="C18158" s="12"/>
      <c r="D18158" s="13" t="n">
        <f aca="false">IF(B18158&lt;5,Einstellungen!$B$3,Einstellungen!$B$4)</f>
        <v>29.13</v>
      </c>
      <c r="E18158" s="14" t="str">
        <f aca="false">IF(C18158="","",C18158*D18158/100)</f>
        <v/>
      </c>
      <c r="F18158" s="15" t="str">
        <f aca="false">IF(B18158&lt;5,"Go","Standard")</f>
        <v>Standard</v>
      </c>
    </row>
    <row r="18159" customFormat="false" ht="15" hidden="false" customHeight="true" outlineLevel="0" collapsed="false">
      <c r="A18159" s="10" t="n">
        <f aca="false">Einstellungen!$B$5+INT((ROW()-9)/24)</f>
        <v>46722</v>
      </c>
      <c r="B18159" s="11" t="n">
        <f aca="false">MOD(ROW()-9,24)</f>
        <v>6</v>
      </c>
      <c r="C18159" s="12"/>
      <c r="D18159" s="13" t="n">
        <f aca="false">IF(B18159&lt;5,Einstellungen!$B$3,Einstellungen!$B$4)</f>
        <v>29.13</v>
      </c>
      <c r="E18159" s="14" t="str">
        <f aca="false">IF(C18159="","",C18159*D18159/100)</f>
        <v/>
      </c>
      <c r="F18159" s="15" t="str">
        <f aca="false">IF(B18159&lt;5,"Go","Standard")</f>
        <v>Standard</v>
      </c>
    </row>
    <row r="18160" customFormat="false" ht="15" hidden="false" customHeight="true" outlineLevel="0" collapsed="false">
      <c r="A18160" s="10" t="n">
        <f aca="false">Einstellungen!$B$5+INT((ROW()-9)/24)</f>
        <v>46722</v>
      </c>
      <c r="B18160" s="11" t="n">
        <f aca="false">MOD(ROW()-9,24)</f>
        <v>7</v>
      </c>
      <c r="C18160" s="12"/>
      <c r="D18160" s="13" t="n">
        <f aca="false">IF(B18160&lt;5,Einstellungen!$B$3,Einstellungen!$B$4)</f>
        <v>29.13</v>
      </c>
      <c r="E18160" s="14" t="str">
        <f aca="false">IF(C18160="","",C18160*D18160/100)</f>
        <v/>
      </c>
      <c r="F18160" s="15" t="str">
        <f aca="false">IF(B18160&lt;5,"Go","Standard")</f>
        <v>Standard</v>
      </c>
    </row>
    <row r="18161" customFormat="false" ht="15" hidden="false" customHeight="true" outlineLevel="0" collapsed="false">
      <c r="A18161" s="10" t="n">
        <f aca="false">Einstellungen!$B$5+INT((ROW()-9)/24)</f>
        <v>46722</v>
      </c>
      <c r="B18161" s="11" t="n">
        <f aca="false">MOD(ROW()-9,24)</f>
        <v>8</v>
      </c>
      <c r="C18161" s="12"/>
      <c r="D18161" s="13" t="n">
        <f aca="false">IF(B18161&lt;5,Einstellungen!$B$3,Einstellungen!$B$4)</f>
        <v>29.13</v>
      </c>
      <c r="E18161" s="14" t="str">
        <f aca="false">IF(C18161="","",C18161*D18161/100)</f>
        <v/>
      </c>
      <c r="F18161" s="15" t="str">
        <f aca="false">IF(B18161&lt;5,"Go","Standard")</f>
        <v>Standard</v>
      </c>
    </row>
    <row r="18162" customFormat="false" ht="15" hidden="false" customHeight="true" outlineLevel="0" collapsed="false">
      <c r="A18162" s="10" t="n">
        <f aca="false">Einstellungen!$B$5+INT((ROW()-9)/24)</f>
        <v>46722</v>
      </c>
      <c r="B18162" s="11" t="n">
        <f aca="false">MOD(ROW()-9,24)</f>
        <v>9</v>
      </c>
      <c r="C18162" s="12"/>
      <c r="D18162" s="13" t="n">
        <f aca="false">IF(B18162&lt;5,Einstellungen!$B$3,Einstellungen!$B$4)</f>
        <v>29.13</v>
      </c>
      <c r="E18162" s="14" t="str">
        <f aca="false">IF(C18162="","",C18162*D18162/100)</f>
        <v/>
      </c>
      <c r="F18162" s="15" t="str">
        <f aca="false">IF(B18162&lt;5,"Go","Standard")</f>
        <v>Standard</v>
      </c>
    </row>
    <row r="18163" customFormat="false" ht="15" hidden="false" customHeight="true" outlineLevel="0" collapsed="false">
      <c r="A18163" s="10" t="n">
        <f aca="false">Einstellungen!$B$5+INT((ROW()-9)/24)</f>
        <v>46722</v>
      </c>
      <c r="B18163" s="11" t="n">
        <f aca="false">MOD(ROW()-9,24)</f>
        <v>10</v>
      </c>
      <c r="C18163" s="12"/>
      <c r="D18163" s="13" t="n">
        <f aca="false">IF(B18163&lt;5,Einstellungen!$B$3,Einstellungen!$B$4)</f>
        <v>29.13</v>
      </c>
      <c r="E18163" s="14" t="str">
        <f aca="false">IF(C18163="","",C18163*D18163/100)</f>
        <v/>
      </c>
      <c r="F18163" s="15" t="str">
        <f aca="false">IF(B18163&lt;5,"Go","Standard")</f>
        <v>Standard</v>
      </c>
    </row>
    <row r="18164" customFormat="false" ht="15" hidden="false" customHeight="true" outlineLevel="0" collapsed="false">
      <c r="A18164" s="10" t="n">
        <f aca="false">Einstellungen!$B$5+INT((ROW()-9)/24)</f>
        <v>46722</v>
      </c>
      <c r="B18164" s="11" t="n">
        <f aca="false">MOD(ROW()-9,24)</f>
        <v>11</v>
      </c>
      <c r="C18164" s="12"/>
      <c r="D18164" s="13" t="n">
        <f aca="false">IF(B18164&lt;5,Einstellungen!$B$3,Einstellungen!$B$4)</f>
        <v>29.13</v>
      </c>
      <c r="E18164" s="14" t="str">
        <f aca="false">IF(C18164="","",C18164*D18164/100)</f>
        <v/>
      </c>
      <c r="F18164" s="15" t="str">
        <f aca="false">IF(B18164&lt;5,"Go","Standard")</f>
        <v>Standard</v>
      </c>
    </row>
    <row r="18165" customFormat="false" ht="15" hidden="false" customHeight="true" outlineLevel="0" collapsed="false">
      <c r="A18165" s="10" t="n">
        <f aca="false">Einstellungen!$B$5+INT((ROW()-9)/24)</f>
        <v>46722</v>
      </c>
      <c r="B18165" s="11" t="n">
        <f aca="false">MOD(ROW()-9,24)</f>
        <v>12</v>
      </c>
      <c r="C18165" s="12"/>
      <c r="D18165" s="13" t="n">
        <f aca="false">IF(B18165&lt;5,Einstellungen!$B$3,Einstellungen!$B$4)</f>
        <v>29.13</v>
      </c>
      <c r="E18165" s="14" t="str">
        <f aca="false">IF(C18165="","",C18165*D18165/100)</f>
        <v/>
      </c>
      <c r="F18165" s="15" t="str">
        <f aca="false">IF(B18165&lt;5,"Go","Standard")</f>
        <v>Standard</v>
      </c>
    </row>
    <row r="18166" customFormat="false" ht="15" hidden="false" customHeight="true" outlineLevel="0" collapsed="false">
      <c r="A18166" s="10" t="n">
        <f aca="false">Einstellungen!$B$5+INT((ROW()-9)/24)</f>
        <v>46722</v>
      </c>
      <c r="B18166" s="11" t="n">
        <f aca="false">MOD(ROW()-9,24)</f>
        <v>13</v>
      </c>
      <c r="C18166" s="12"/>
      <c r="D18166" s="13" t="n">
        <f aca="false">IF(B18166&lt;5,Einstellungen!$B$3,Einstellungen!$B$4)</f>
        <v>29.13</v>
      </c>
      <c r="E18166" s="14" t="str">
        <f aca="false">IF(C18166="","",C18166*D18166/100)</f>
        <v/>
      </c>
      <c r="F18166" s="15" t="str">
        <f aca="false">IF(B18166&lt;5,"Go","Standard")</f>
        <v>Standard</v>
      </c>
    </row>
    <row r="18167" customFormat="false" ht="15" hidden="false" customHeight="true" outlineLevel="0" collapsed="false">
      <c r="A18167" s="10" t="n">
        <f aca="false">Einstellungen!$B$5+INT((ROW()-9)/24)</f>
        <v>46722</v>
      </c>
      <c r="B18167" s="11" t="n">
        <f aca="false">MOD(ROW()-9,24)</f>
        <v>14</v>
      </c>
      <c r="C18167" s="12"/>
      <c r="D18167" s="13" t="n">
        <f aca="false">IF(B18167&lt;5,Einstellungen!$B$3,Einstellungen!$B$4)</f>
        <v>29.13</v>
      </c>
      <c r="E18167" s="14" t="str">
        <f aca="false">IF(C18167="","",C18167*D18167/100)</f>
        <v/>
      </c>
      <c r="F18167" s="15" t="str">
        <f aca="false">IF(B18167&lt;5,"Go","Standard")</f>
        <v>Standard</v>
      </c>
    </row>
    <row r="18168" customFormat="false" ht="15" hidden="false" customHeight="true" outlineLevel="0" collapsed="false">
      <c r="A18168" s="10" t="n">
        <f aca="false">Einstellungen!$B$5+INT((ROW()-9)/24)</f>
        <v>46722</v>
      </c>
      <c r="B18168" s="11" t="n">
        <f aca="false">MOD(ROW()-9,24)</f>
        <v>15</v>
      </c>
      <c r="C18168" s="12"/>
      <c r="D18168" s="13" t="n">
        <f aca="false">IF(B18168&lt;5,Einstellungen!$B$3,Einstellungen!$B$4)</f>
        <v>29.13</v>
      </c>
      <c r="E18168" s="14" t="str">
        <f aca="false">IF(C18168="","",C18168*D18168/100)</f>
        <v/>
      </c>
      <c r="F18168" s="15" t="str">
        <f aca="false">IF(B18168&lt;5,"Go","Standard")</f>
        <v>Standard</v>
      </c>
    </row>
    <row r="18169" customFormat="false" ht="15" hidden="false" customHeight="true" outlineLevel="0" collapsed="false">
      <c r="A18169" s="10" t="n">
        <f aca="false">Einstellungen!$B$5+INT((ROW()-9)/24)</f>
        <v>46722</v>
      </c>
      <c r="B18169" s="11" t="n">
        <f aca="false">MOD(ROW()-9,24)</f>
        <v>16</v>
      </c>
      <c r="C18169" s="12"/>
      <c r="D18169" s="13" t="n">
        <f aca="false">IF(B18169&lt;5,Einstellungen!$B$3,Einstellungen!$B$4)</f>
        <v>29.13</v>
      </c>
      <c r="E18169" s="14" t="str">
        <f aca="false">IF(C18169="","",C18169*D18169/100)</f>
        <v/>
      </c>
      <c r="F18169" s="15" t="str">
        <f aca="false">IF(B18169&lt;5,"Go","Standard")</f>
        <v>Standard</v>
      </c>
    </row>
    <row r="18170" customFormat="false" ht="15" hidden="false" customHeight="true" outlineLevel="0" collapsed="false">
      <c r="A18170" s="10" t="n">
        <f aca="false">Einstellungen!$B$5+INT((ROW()-9)/24)</f>
        <v>46722</v>
      </c>
      <c r="B18170" s="11" t="n">
        <f aca="false">MOD(ROW()-9,24)</f>
        <v>17</v>
      </c>
      <c r="C18170" s="12"/>
      <c r="D18170" s="13" t="n">
        <f aca="false">IF(B18170&lt;5,Einstellungen!$B$3,Einstellungen!$B$4)</f>
        <v>29.13</v>
      </c>
      <c r="E18170" s="14" t="str">
        <f aca="false">IF(C18170="","",C18170*D18170/100)</f>
        <v/>
      </c>
      <c r="F18170" s="15" t="str">
        <f aca="false">IF(B18170&lt;5,"Go","Standard")</f>
        <v>Standard</v>
      </c>
    </row>
    <row r="18171" customFormat="false" ht="15" hidden="false" customHeight="true" outlineLevel="0" collapsed="false">
      <c r="A18171" s="10" t="n">
        <f aca="false">Einstellungen!$B$5+INT((ROW()-9)/24)</f>
        <v>46722</v>
      </c>
      <c r="B18171" s="11" t="n">
        <f aca="false">MOD(ROW()-9,24)</f>
        <v>18</v>
      </c>
      <c r="C18171" s="12"/>
      <c r="D18171" s="13" t="n">
        <f aca="false">IF(B18171&lt;5,Einstellungen!$B$3,Einstellungen!$B$4)</f>
        <v>29.13</v>
      </c>
      <c r="E18171" s="14" t="str">
        <f aca="false">IF(C18171="","",C18171*D18171/100)</f>
        <v/>
      </c>
      <c r="F18171" s="15" t="str">
        <f aca="false">IF(B18171&lt;5,"Go","Standard")</f>
        <v>Standard</v>
      </c>
    </row>
    <row r="18172" customFormat="false" ht="15" hidden="false" customHeight="true" outlineLevel="0" collapsed="false">
      <c r="A18172" s="10" t="n">
        <f aca="false">Einstellungen!$B$5+INT((ROW()-9)/24)</f>
        <v>46722</v>
      </c>
      <c r="B18172" s="11" t="n">
        <f aca="false">MOD(ROW()-9,24)</f>
        <v>19</v>
      </c>
      <c r="C18172" s="12"/>
      <c r="D18172" s="13" t="n">
        <f aca="false">IF(B18172&lt;5,Einstellungen!$B$3,Einstellungen!$B$4)</f>
        <v>29.13</v>
      </c>
      <c r="E18172" s="14" t="str">
        <f aca="false">IF(C18172="","",C18172*D18172/100)</f>
        <v/>
      </c>
      <c r="F18172" s="15" t="str">
        <f aca="false">IF(B18172&lt;5,"Go","Standard")</f>
        <v>Standard</v>
      </c>
    </row>
    <row r="18173" customFormat="false" ht="15" hidden="false" customHeight="true" outlineLevel="0" collapsed="false">
      <c r="A18173" s="10" t="n">
        <f aca="false">Einstellungen!$B$5+INT((ROW()-9)/24)</f>
        <v>46722</v>
      </c>
      <c r="B18173" s="11" t="n">
        <f aca="false">MOD(ROW()-9,24)</f>
        <v>20</v>
      </c>
      <c r="C18173" s="12"/>
      <c r="D18173" s="13" t="n">
        <f aca="false">IF(B18173&lt;5,Einstellungen!$B$3,Einstellungen!$B$4)</f>
        <v>29.13</v>
      </c>
      <c r="E18173" s="14" t="str">
        <f aca="false">IF(C18173="","",C18173*D18173/100)</f>
        <v/>
      </c>
      <c r="F18173" s="15" t="str">
        <f aca="false">IF(B18173&lt;5,"Go","Standard")</f>
        <v>Standard</v>
      </c>
    </row>
    <row r="18174" customFormat="false" ht="15" hidden="false" customHeight="true" outlineLevel="0" collapsed="false">
      <c r="A18174" s="10" t="n">
        <f aca="false">Einstellungen!$B$5+INT((ROW()-9)/24)</f>
        <v>46722</v>
      </c>
      <c r="B18174" s="11" t="n">
        <f aca="false">MOD(ROW()-9,24)</f>
        <v>21</v>
      </c>
      <c r="C18174" s="12"/>
      <c r="D18174" s="13" t="n">
        <f aca="false">IF(B18174&lt;5,Einstellungen!$B$3,Einstellungen!$B$4)</f>
        <v>29.13</v>
      </c>
      <c r="E18174" s="14" t="str">
        <f aca="false">IF(C18174="","",C18174*D18174/100)</f>
        <v/>
      </c>
      <c r="F18174" s="15" t="str">
        <f aca="false">IF(B18174&lt;5,"Go","Standard")</f>
        <v>Standard</v>
      </c>
    </row>
    <row r="18175" customFormat="false" ht="15" hidden="false" customHeight="true" outlineLevel="0" collapsed="false">
      <c r="A18175" s="10" t="n">
        <f aca="false">Einstellungen!$B$5+INT((ROW()-9)/24)</f>
        <v>46722</v>
      </c>
      <c r="B18175" s="11" t="n">
        <f aca="false">MOD(ROW()-9,24)</f>
        <v>22</v>
      </c>
      <c r="C18175" s="12"/>
      <c r="D18175" s="13" t="n">
        <f aca="false">IF(B18175&lt;5,Einstellungen!$B$3,Einstellungen!$B$4)</f>
        <v>29.13</v>
      </c>
      <c r="E18175" s="14" t="str">
        <f aca="false">IF(C18175="","",C18175*D18175/100)</f>
        <v/>
      </c>
      <c r="F18175" s="15" t="str">
        <f aca="false">IF(B18175&lt;5,"Go","Standard")</f>
        <v>Standard</v>
      </c>
    </row>
    <row r="18176" customFormat="false" ht="15" hidden="false" customHeight="true" outlineLevel="0" collapsed="false">
      <c r="A18176" s="10" t="n">
        <f aca="false">Einstellungen!$B$5+INT((ROW()-9)/24)</f>
        <v>46722</v>
      </c>
      <c r="B18176" s="11" t="n">
        <f aca="false">MOD(ROW()-9,24)</f>
        <v>23</v>
      </c>
      <c r="C18176" s="12"/>
      <c r="D18176" s="13" t="n">
        <f aca="false">IF(B18176&lt;5,Einstellungen!$B$3,Einstellungen!$B$4)</f>
        <v>29.13</v>
      </c>
      <c r="E18176" s="14" t="str">
        <f aca="false">IF(C18176="","",C18176*D18176/100)</f>
        <v/>
      </c>
      <c r="F18176" s="15" t="str">
        <f aca="false">IF(B18176&lt;5,"Go","Standard")</f>
        <v>Standard</v>
      </c>
    </row>
    <row r="18177" customFormat="false" ht="15" hidden="false" customHeight="true" outlineLevel="0" collapsed="false">
      <c r="A18177" s="10" t="n">
        <f aca="false">Einstellungen!$B$5+INT((ROW()-9)/24)</f>
        <v>46723</v>
      </c>
      <c r="B18177" s="11" t="n">
        <f aca="false">MOD(ROW()-9,24)</f>
        <v>0</v>
      </c>
      <c r="C18177" s="12"/>
      <c r="D18177" s="13" t="n">
        <f aca="false">IF(B18177&lt;5,Einstellungen!$B$3,Einstellungen!$B$4)</f>
        <v>15.92</v>
      </c>
      <c r="E18177" s="14" t="str">
        <f aca="false">IF(C18177="","",C18177*D18177/100)</f>
        <v/>
      </c>
      <c r="F18177" s="15" t="str">
        <f aca="false">IF(B18177&lt;5,"Go","Standard")</f>
        <v>Go</v>
      </c>
    </row>
    <row r="18178" customFormat="false" ht="15" hidden="false" customHeight="true" outlineLevel="0" collapsed="false">
      <c r="A18178" s="10" t="n">
        <f aca="false">Einstellungen!$B$5+INT((ROW()-9)/24)</f>
        <v>46723</v>
      </c>
      <c r="B18178" s="11" t="n">
        <f aca="false">MOD(ROW()-9,24)</f>
        <v>1</v>
      </c>
      <c r="C18178" s="12"/>
      <c r="D18178" s="13" t="n">
        <f aca="false">IF(B18178&lt;5,Einstellungen!$B$3,Einstellungen!$B$4)</f>
        <v>15.92</v>
      </c>
      <c r="E18178" s="14" t="str">
        <f aca="false">IF(C18178="","",C18178*D18178/100)</f>
        <v/>
      </c>
      <c r="F18178" s="15" t="str">
        <f aca="false">IF(B18178&lt;5,"Go","Standard")</f>
        <v>Go</v>
      </c>
    </row>
    <row r="18179" customFormat="false" ht="15" hidden="false" customHeight="true" outlineLevel="0" collapsed="false">
      <c r="A18179" s="10" t="n">
        <f aca="false">Einstellungen!$B$5+INT((ROW()-9)/24)</f>
        <v>46723</v>
      </c>
      <c r="B18179" s="11" t="n">
        <f aca="false">MOD(ROW()-9,24)</f>
        <v>2</v>
      </c>
      <c r="C18179" s="12"/>
      <c r="D18179" s="13" t="n">
        <f aca="false">IF(B18179&lt;5,Einstellungen!$B$3,Einstellungen!$B$4)</f>
        <v>15.92</v>
      </c>
      <c r="E18179" s="14" t="str">
        <f aca="false">IF(C18179="","",C18179*D18179/100)</f>
        <v/>
      </c>
      <c r="F18179" s="15" t="str">
        <f aca="false">IF(B18179&lt;5,"Go","Standard")</f>
        <v>Go</v>
      </c>
    </row>
    <row r="18180" customFormat="false" ht="15" hidden="false" customHeight="true" outlineLevel="0" collapsed="false">
      <c r="A18180" s="10" t="n">
        <f aca="false">Einstellungen!$B$5+INT((ROW()-9)/24)</f>
        <v>46723</v>
      </c>
      <c r="B18180" s="11" t="n">
        <f aca="false">MOD(ROW()-9,24)</f>
        <v>3</v>
      </c>
      <c r="C18180" s="12"/>
      <c r="D18180" s="13" t="n">
        <f aca="false">IF(B18180&lt;5,Einstellungen!$B$3,Einstellungen!$B$4)</f>
        <v>15.92</v>
      </c>
      <c r="E18180" s="14" t="str">
        <f aca="false">IF(C18180="","",C18180*D18180/100)</f>
        <v/>
      </c>
      <c r="F18180" s="15" t="str">
        <f aca="false">IF(B18180&lt;5,"Go","Standard")</f>
        <v>Go</v>
      </c>
    </row>
    <row r="18181" customFormat="false" ht="15" hidden="false" customHeight="true" outlineLevel="0" collapsed="false">
      <c r="A18181" s="10" t="n">
        <f aca="false">Einstellungen!$B$5+INT((ROW()-9)/24)</f>
        <v>46723</v>
      </c>
      <c r="B18181" s="11" t="n">
        <f aca="false">MOD(ROW()-9,24)</f>
        <v>4</v>
      </c>
      <c r="C18181" s="12"/>
      <c r="D18181" s="13" t="n">
        <f aca="false">IF(B18181&lt;5,Einstellungen!$B$3,Einstellungen!$B$4)</f>
        <v>15.92</v>
      </c>
      <c r="E18181" s="14" t="str">
        <f aca="false">IF(C18181="","",C18181*D18181/100)</f>
        <v/>
      </c>
      <c r="F18181" s="15" t="str">
        <f aca="false">IF(B18181&lt;5,"Go","Standard")</f>
        <v>Go</v>
      </c>
    </row>
    <row r="18182" customFormat="false" ht="15" hidden="false" customHeight="true" outlineLevel="0" collapsed="false">
      <c r="A18182" s="10" t="n">
        <f aca="false">Einstellungen!$B$5+INT((ROW()-9)/24)</f>
        <v>46723</v>
      </c>
      <c r="B18182" s="11" t="n">
        <f aca="false">MOD(ROW()-9,24)</f>
        <v>5</v>
      </c>
      <c r="C18182" s="12"/>
      <c r="D18182" s="13" t="n">
        <f aca="false">IF(B18182&lt;5,Einstellungen!$B$3,Einstellungen!$B$4)</f>
        <v>29.13</v>
      </c>
      <c r="E18182" s="14" t="str">
        <f aca="false">IF(C18182="","",C18182*D18182/100)</f>
        <v/>
      </c>
      <c r="F18182" s="15" t="str">
        <f aca="false">IF(B18182&lt;5,"Go","Standard")</f>
        <v>Standard</v>
      </c>
    </row>
    <row r="18183" customFormat="false" ht="15" hidden="false" customHeight="true" outlineLevel="0" collapsed="false">
      <c r="A18183" s="10" t="n">
        <f aca="false">Einstellungen!$B$5+INT((ROW()-9)/24)</f>
        <v>46723</v>
      </c>
      <c r="B18183" s="11" t="n">
        <f aca="false">MOD(ROW()-9,24)</f>
        <v>6</v>
      </c>
      <c r="C18183" s="12"/>
      <c r="D18183" s="13" t="n">
        <f aca="false">IF(B18183&lt;5,Einstellungen!$B$3,Einstellungen!$B$4)</f>
        <v>29.13</v>
      </c>
      <c r="E18183" s="14" t="str">
        <f aca="false">IF(C18183="","",C18183*D18183/100)</f>
        <v/>
      </c>
      <c r="F18183" s="15" t="str">
        <f aca="false">IF(B18183&lt;5,"Go","Standard")</f>
        <v>Standard</v>
      </c>
    </row>
    <row r="18184" customFormat="false" ht="15" hidden="false" customHeight="true" outlineLevel="0" collapsed="false">
      <c r="A18184" s="10" t="n">
        <f aca="false">Einstellungen!$B$5+INT((ROW()-9)/24)</f>
        <v>46723</v>
      </c>
      <c r="B18184" s="11" t="n">
        <f aca="false">MOD(ROW()-9,24)</f>
        <v>7</v>
      </c>
      <c r="C18184" s="12"/>
      <c r="D18184" s="13" t="n">
        <f aca="false">IF(B18184&lt;5,Einstellungen!$B$3,Einstellungen!$B$4)</f>
        <v>29.13</v>
      </c>
      <c r="E18184" s="14" t="str">
        <f aca="false">IF(C18184="","",C18184*D18184/100)</f>
        <v/>
      </c>
      <c r="F18184" s="15" t="str">
        <f aca="false">IF(B18184&lt;5,"Go","Standard")</f>
        <v>Standard</v>
      </c>
    </row>
    <row r="18185" customFormat="false" ht="15" hidden="false" customHeight="true" outlineLevel="0" collapsed="false">
      <c r="A18185" s="10" t="n">
        <f aca="false">Einstellungen!$B$5+INT((ROW()-9)/24)</f>
        <v>46723</v>
      </c>
      <c r="B18185" s="11" t="n">
        <f aca="false">MOD(ROW()-9,24)</f>
        <v>8</v>
      </c>
      <c r="C18185" s="12"/>
      <c r="D18185" s="13" t="n">
        <f aca="false">IF(B18185&lt;5,Einstellungen!$B$3,Einstellungen!$B$4)</f>
        <v>29.13</v>
      </c>
      <c r="E18185" s="14" t="str">
        <f aca="false">IF(C18185="","",C18185*D18185/100)</f>
        <v/>
      </c>
      <c r="F18185" s="15" t="str">
        <f aca="false">IF(B18185&lt;5,"Go","Standard")</f>
        <v>Standard</v>
      </c>
    </row>
    <row r="18186" customFormat="false" ht="15" hidden="false" customHeight="true" outlineLevel="0" collapsed="false">
      <c r="A18186" s="10" t="n">
        <f aca="false">Einstellungen!$B$5+INT((ROW()-9)/24)</f>
        <v>46723</v>
      </c>
      <c r="B18186" s="11" t="n">
        <f aca="false">MOD(ROW()-9,24)</f>
        <v>9</v>
      </c>
      <c r="C18186" s="12"/>
      <c r="D18186" s="13" t="n">
        <f aca="false">IF(B18186&lt;5,Einstellungen!$B$3,Einstellungen!$B$4)</f>
        <v>29.13</v>
      </c>
      <c r="E18186" s="14" t="str">
        <f aca="false">IF(C18186="","",C18186*D18186/100)</f>
        <v/>
      </c>
      <c r="F18186" s="15" t="str">
        <f aca="false">IF(B18186&lt;5,"Go","Standard")</f>
        <v>Standard</v>
      </c>
    </row>
    <row r="18187" customFormat="false" ht="15" hidden="false" customHeight="true" outlineLevel="0" collapsed="false">
      <c r="A18187" s="10" t="n">
        <f aca="false">Einstellungen!$B$5+INT((ROW()-9)/24)</f>
        <v>46723</v>
      </c>
      <c r="B18187" s="11" t="n">
        <f aca="false">MOD(ROW()-9,24)</f>
        <v>10</v>
      </c>
      <c r="C18187" s="12"/>
      <c r="D18187" s="13" t="n">
        <f aca="false">IF(B18187&lt;5,Einstellungen!$B$3,Einstellungen!$B$4)</f>
        <v>29.13</v>
      </c>
      <c r="E18187" s="14" t="str">
        <f aca="false">IF(C18187="","",C18187*D18187/100)</f>
        <v/>
      </c>
      <c r="F18187" s="15" t="str">
        <f aca="false">IF(B18187&lt;5,"Go","Standard")</f>
        <v>Standard</v>
      </c>
    </row>
    <row r="18188" customFormat="false" ht="15" hidden="false" customHeight="true" outlineLevel="0" collapsed="false">
      <c r="A18188" s="10" t="n">
        <f aca="false">Einstellungen!$B$5+INT((ROW()-9)/24)</f>
        <v>46723</v>
      </c>
      <c r="B18188" s="11" t="n">
        <f aca="false">MOD(ROW()-9,24)</f>
        <v>11</v>
      </c>
      <c r="C18188" s="12"/>
      <c r="D18188" s="13" t="n">
        <f aca="false">IF(B18188&lt;5,Einstellungen!$B$3,Einstellungen!$B$4)</f>
        <v>29.13</v>
      </c>
      <c r="E18188" s="14" t="str">
        <f aca="false">IF(C18188="","",C18188*D18188/100)</f>
        <v/>
      </c>
      <c r="F18188" s="15" t="str">
        <f aca="false">IF(B18188&lt;5,"Go","Standard")</f>
        <v>Standard</v>
      </c>
    </row>
    <row r="18189" customFormat="false" ht="15" hidden="false" customHeight="true" outlineLevel="0" collapsed="false">
      <c r="A18189" s="10" t="n">
        <f aca="false">Einstellungen!$B$5+INT((ROW()-9)/24)</f>
        <v>46723</v>
      </c>
      <c r="B18189" s="11" t="n">
        <f aca="false">MOD(ROW()-9,24)</f>
        <v>12</v>
      </c>
      <c r="C18189" s="12"/>
      <c r="D18189" s="13" t="n">
        <f aca="false">IF(B18189&lt;5,Einstellungen!$B$3,Einstellungen!$B$4)</f>
        <v>29.13</v>
      </c>
      <c r="E18189" s="14" t="str">
        <f aca="false">IF(C18189="","",C18189*D18189/100)</f>
        <v/>
      </c>
      <c r="F18189" s="15" t="str">
        <f aca="false">IF(B18189&lt;5,"Go","Standard")</f>
        <v>Standard</v>
      </c>
    </row>
    <row r="18190" customFormat="false" ht="15" hidden="false" customHeight="true" outlineLevel="0" collapsed="false">
      <c r="A18190" s="10" t="n">
        <f aca="false">Einstellungen!$B$5+INT((ROW()-9)/24)</f>
        <v>46723</v>
      </c>
      <c r="B18190" s="11" t="n">
        <f aca="false">MOD(ROW()-9,24)</f>
        <v>13</v>
      </c>
      <c r="C18190" s="12"/>
      <c r="D18190" s="13" t="n">
        <f aca="false">IF(B18190&lt;5,Einstellungen!$B$3,Einstellungen!$B$4)</f>
        <v>29.13</v>
      </c>
      <c r="E18190" s="14" t="str">
        <f aca="false">IF(C18190="","",C18190*D18190/100)</f>
        <v/>
      </c>
      <c r="F18190" s="15" t="str">
        <f aca="false">IF(B18190&lt;5,"Go","Standard")</f>
        <v>Standard</v>
      </c>
    </row>
    <row r="18191" customFormat="false" ht="15" hidden="false" customHeight="true" outlineLevel="0" collapsed="false">
      <c r="A18191" s="10" t="n">
        <f aca="false">Einstellungen!$B$5+INT((ROW()-9)/24)</f>
        <v>46723</v>
      </c>
      <c r="B18191" s="11" t="n">
        <f aca="false">MOD(ROW()-9,24)</f>
        <v>14</v>
      </c>
      <c r="C18191" s="12"/>
      <c r="D18191" s="13" t="n">
        <f aca="false">IF(B18191&lt;5,Einstellungen!$B$3,Einstellungen!$B$4)</f>
        <v>29.13</v>
      </c>
      <c r="E18191" s="14" t="str">
        <f aca="false">IF(C18191="","",C18191*D18191/100)</f>
        <v/>
      </c>
      <c r="F18191" s="15" t="str">
        <f aca="false">IF(B18191&lt;5,"Go","Standard")</f>
        <v>Standard</v>
      </c>
    </row>
    <row r="18192" customFormat="false" ht="15" hidden="false" customHeight="true" outlineLevel="0" collapsed="false">
      <c r="A18192" s="10" t="n">
        <f aca="false">Einstellungen!$B$5+INT((ROW()-9)/24)</f>
        <v>46723</v>
      </c>
      <c r="B18192" s="11" t="n">
        <f aca="false">MOD(ROW()-9,24)</f>
        <v>15</v>
      </c>
      <c r="C18192" s="12"/>
      <c r="D18192" s="13" t="n">
        <f aca="false">IF(B18192&lt;5,Einstellungen!$B$3,Einstellungen!$B$4)</f>
        <v>29.13</v>
      </c>
      <c r="E18192" s="14" t="str">
        <f aca="false">IF(C18192="","",C18192*D18192/100)</f>
        <v/>
      </c>
      <c r="F18192" s="15" t="str">
        <f aca="false">IF(B18192&lt;5,"Go","Standard")</f>
        <v>Standard</v>
      </c>
    </row>
    <row r="18193" customFormat="false" ht="15" hidden="false" customHeight="true" outlineLevel="0" collapsed="false">
      <c r="A18193" s="10" t="n">
        <f aca="false">Einstellungen!$B$5+INT((ROW()-9)/24)</f>
        <v>46723</v>
      </c>
      <c r="B18193" s="11" t="n">
        <f aca="false">MOD(ROW()-9,24)</f>
        <v>16</v>
      </c>
      <c r="C18193" s="12"/>
      <c r="D18193" s="13" t="n">
        <f aca="false">IF(B18193&lt;5,Einstellungen!$B$3,Einstellungen!$B$4)</f>
        <v>29.13</v>
      </c>
      <c r="E18193" s="14" t="str">
        <f aca="false">IF(C18193="","",C18193*D18193/100)</f>
        <v/>
      </c>
      <c r="F18193" s="15" t="str">
        <f aca="false">IF(B18193&lt;5,"Go","Standard")</f>
        <v>Standard</v>
      </c>
    </row>
    <row r="18194" customFormat="false" ht="15" hidden="false" customHeight="true" outlineLevel="0" collapsed="false">
      <c r="A18194" s="10" t="n">
        <f aca="false">Einstellungen!$B$5+INT((ROW()-9)/24)</f>
        <v>46723</v>
      </c>
      <c r="B18194" s="11" t="n">
        <f aca="false">MOD(ROW()-9,24)</f>
        <v>17</v>
      </c>
      <c r="C18194" s="12"/>
      <c r="D18194" s="13" t="n">
        <f aca="false">IF(B18194&lt;5,Einstellungen!$B$3,Einstellungen!$B$4)</f>
        <v>29.13</v>
      </c>
      <c r="E18194" s="14" t="str">
        <f aca="false">IF(C18194="","",C18194*D18194/100)</f>
        <v/>
      </c>
      <c r="F18194" s="15" t="str">
        <f aca="false">IF(B18194&lt;5,"Go","Standard")</f>
        <v>Standard</v>
      </c>
    </row>
    <row r="18195" customFormat="false" ht="15" hidden="false" customHeight="true" outlineLevel="0" collapsed="false">
      <c r="A18195" s="10" t="n">
        <f aca="false">Einstellungen!$B$5+INT((ROW()-9)/24)</f>
        <v>46723</v>
      </c>
      <c r="B18195" s="11" t="n">
        <f aca="false">MOD(ROW()-9,24)</f>
        <v>18</v>
      </c>
      <c r="C18195" s="12"/>
      <c r="D18195" s="13" t="n">
        <f aca="false">IF(B18195&lt;5,Einstellungen!$B$3,Einstellungen!$B$4)</f>
        <v>29.13</v>
      </c>
      <c r="E18195" s="14" t="str">
        <f aca="false">IF(C18195="","",C18195*D18195/100)</f>
        <v/>
      </c>
      <c r="F18195" s="15" t="str">
        <f aca="false">IF(B18195&lt;5,"Go","Standard")</f>
        <v>Standard</v>
      </c>
    </row>
    <row r="18196" customFormat="false" ht="15" hidden="false" customHeight="true" outlineLevel="0" collapsed="false">
      <c r="A18196" s="10" t="n">
        <f aca="false">Einstellungen!$B$5+INT((ROW()-9)/24)</f>
        <v>46723</v>
      </c>
      <c r="B18196" s="11" t="n">
        <f aca="false">MOD(ROW()-9,24)</f>
        <v>19</v>
      </c>
      <c r="C18196" s="12"/>
      <c r="D18196" s="13" t="n">
        <f aca="false">IF(B18196&lt;5,Einstellungen!$B$3,Einstellungen!$B$4)</f>
        <v>29.13</v>
      </c>
      <c r="E18196" s="14" t="str">
        <f aca="false">IF(C18196="","",C18196*D18196/100)</f>
        <v/>
      </c>
      <c r="F18196" s="15" t="str">
        <f aca="false">IF(B18196&lt;5,"Go","Standard")</f>
        <v>Standard</v>
      </c>
    </row>
    <row r="18197" customFormat="false" ht="15" hidden="false" customHeight="true" outlineLevel="0" collapsed="false">
      <c r="A18197" s="10" t="n">
        <f aca="false">Einstellungen!$B$5+INT((ROW()-9)/24)</f>
        <v>46723</v>
      </c>
      <c r="B18197" s="11" t="n">
        <f aca="false">MOD(ROW()-9,24)</f>
        <v>20</v>
      </c>
      <c r="C18197" s="12"/>
      <c r="D18197" s="13" t="n">
        <f aca="false">IF(B18197&lt;5,Einstellungen!$B$3,Einstellungen!$B$4)</f>
        <v>29.13</v>
      </c>
      <c r="E18197" s="14" t="str">
        <f aca="false">IF(C18197="","",C18197*D18197/100)</f>
        <v/>
      </c>
      <c r="F18197" s="15" t="str">
        <f aca="false">IF(B18197&lt;5,"Go","Standard")</f>
        <v>Standard</v>
      </c>
    </row>
    <row r="18198" customFormat="false" ht="15" hidden="false" customHeight="true" outlineLevel="0" collapsed="false">
      <c r="A18198" s="10" t="n">
        <f aca="false">Einstellungen!$B$5+INT((ROW()-9)/24)</f>
        <v>46723</v>
      </c>
      <c r="B18198" s="11" t="n">
        <f aca="false">MOD(ROW()-9,24)</f>
        <v>21</v>
      </c>
      <c r="C18198" s="12"/>
      <c r="D18198" s="13" t="n">
        <f aca="false">IF(B18198&lt;5,Einstellungen!$B$3,Einstellungen!$B$4)</f>
        <v>29.13</v>
      </c>
      <c r="E18198" s="14" t="str">
        <f aca="false">IF(C18198="","",C18198*D18198/100)</f>
        <v/>
      </c>
      <c r="F18198" s="15" t="str">
        <f aca="false">IF(B18198&lt;5,"Go","Standard")</f>
        <v>Standard</v>
      </c>
    </row>
    <row r="18199" customFormat="false" ht="15" hidden="false" customHeight="true" outlineLevel="0" collapsed="false">
      <c r="A18199" s="10" t="n">
        <f aca="false">Einstellungen!$B$5+INT((ROW()-9)/24)</f>
        <v>46723</v>
      </c>
      <c r="B18199" s="11" t="n">
        <f aca="false">MOD(ROW()-9,24)</f>
        <v>22</v>
      </c>
      <c r="C18199" s="12"/>
      <c r="D18199" s="13" t="n">
        <f aca="false">IF(B18199&lt;5,Einstellungen!$B$3,Einstellungen!$B$4)</f>
        <v>29.13</v>
      </c>
      <c r="E18199" s="14" t="str">
        <f aca="false">IF(C18199="","",C18199*D18199/100)</f>
        <v/>
      </c>
      <c r="F18199" s="15" t="str">
        <f aca="false">IF(B18199&lt;5,"Go","Standard")</f>
        <v>Standard</v>
      </c>
    </row>
    <row r="18200" customFormat="false" ht="15" hidden="false" customHeight="true" outlineLevel="0" collapsed="false">
      <c r="A18200" s="10" t="n">
        <f aca="false">Einstellungen!$B$5+INT((ROW()-9)/24)</f>
        <v>46723</v>
      </c>
      <c r="B18200" s="11" t="n">
        <f aca="false">MOD(ROW()-9,24)</f>
        <v>23</v>
      </c>
      <c r="C18200" s="12"/>
      <c r="D18200" s="13" t="n">
        <f aca="false">IF(B18200&lt;5,Einstellungen!$B$3,Einstellungen!$B$4)</f>
        <v>29.13</v>
      </c>
      <c r="E18200" s="14" t="str">
        <f aca="false">IF(C18200="","",C18200*D18200/100)</f>
        <v/>
      </c>
      <c r="F18200" s="15" t="str">
        <f aca="false">IF(B18200&lt;5,"Go","Standard")</f>
        <v>Standard</v>
      </c>
    </row>
    <row r="18201" customFormat="false" ht="15" hidden="false" customHeight="true" outlineLevel="0" collapsed="false">
      <c r="A18201" s="10" t="n">
        <f aca="false">Einstellungen!$B$5+INT((ROW()-9)/24)</f>
        <v>46724</v>
      </c>
      <c r="B18201" s="11" t="n">
        <f aca="false">MOD(ROW()-9,24)</f>
        <v>0</v>
      </c>
      <c r="C18201" s="12"/>
      <c r="D18201" s="13" t="n">
        <f aca="false">IF(B18201&lt;5,Einstellungen!$B$3,Einstellungen!$B$4)</f>
        <v>15.92</v>
      </c>
      <c r="E18201" s="14" t="str">
        <f aca="false">IF(C18201="","",C18201*D18201/100)</f>
        <v/>
      </c>
      <c r="F18201" s="15" t="str">
        <f aca="false">IF(B18201&lt;5,"Go","Standard")</f>
        <v>Go</v>
      </c>
    </row>
    <row r="18202" customFormat="false" ht="15" hidden="false" customHeight="true" outlineLevel="0" collapsed="false">
      <c r="A18202" s="10" t="n">
        <f aca="false">Einstellungen!$B$5+INT((ROW()-9)/24)</f>
        <v>46724</v>
      </c>
      <c r="B18202" s="11" t="n">
        <f aca="false">MOD(ROW()-9,24)</f>
        <v>1</v>
      </c>
      <c r="C18202" s="12"/>
      <c r="D18202" s="13" t="n">
        <f aca="false">IF(B18202&lt;5,Einstellungen!$B$3,Einstellungen!$B$4)</f>
        <v>15.92</v>
      </c>
      <c r="E18202" s="14" t="str">
        <f aca="false">IF(C18202="","",C18202*D18202/100)</f>
        <v/>
      </c>
      <c r="F18202" s="15" t="str">
        <f aca="false">IF(B18202&lt;5,"Go","Standard")</f>
        <v>Go</v>
      </c>
    </row>
    <row r="18203" customFormat="false" ht="15" hidden="false" customHeight="true" outlineLevel="0" collapsed="false">
      <c r="A18203" s="10" t="n">
        <f aca="false">Einstellungen!$B$5+INT((ROW()-9)/24)</f>
        <v>46724</v>
      </c>
      <c r="B18203" s="11" t="n">
        <f aca="false">MOD(ROW()-9,24)</f>
        <v>2</v>
      </c>
      <c r="C18203" s="12"/>
      <c r="D18203" s="13" t="n">
        <f aca="false">IF(B18203&lt;5,Einstellungen!$B$3,Einstellungen!$B$4)</f>
        <v>15.92</v>
      </c>
      <c r="E18203" s="14" t="str">
        <f aca="false">IF(C18203="","",C18203*D18203/100)</f>
        <v/>
      </c>
      <c r="F18203" s="15" t="str">
        <f aca="false">IF(B18203&lt;5,"Go","Standard")</f>
        <v>Go</v>
      </c>
    </row>
    <row r="18204" customFormat="false" ht="15" hidden="false" customHeight="true" outlineLevel="0" collapsed="false">
      <c r="A18204" s="10" t="n">
        <f aca="false">Einstellungen!$B$5+INT((ROW()-9)/24)</f>
        <v>46724</v>
      </c>
      <c r="B18204" s="11" t="n">
        <f aca="false">MOD(ROW()-9,24)</f>
        <v>3</v>
      </c>
      <c r="C18204" s="12"/>
      <c r="D18204" s="13" t="n">
        <f aca="false">IF(B18204&lt;5,Einstellungen!$B$3,Einstellungen!$B$4)</f>
        <v>15.92</v>
      </c>
      <c r="E18204" s="14" t="str">
        <f aca="false">IF(C18204="","",C18204*D18204/100)</f>
        <v/>
      </c>
      <c r="F18204" s="15" t="str">
        <f aca="false">IF(B18204&lt;5,"Go","Standard")</f>
        <v>Go</v>
      </c>
    </row>
    <row r="18205" customFormat="false" ht="15" hidden="false" customHeight="true" outlineLevel="0" collapsed="false">
      <c r="A18205" s="10" t="n">
        <f aca="false">Einstellungen!$B$5+INT((ROW()-9)/24)</f>
        <v>46724</v>
      </c>
      <c r="B18205" s="11" t="n">
        <f aca="false">MOD(ROW()-9,24)</f>
        <v>4</v>
      </c>
      <c r="C18205" s="12"/>
      <c r="D18205" s="13" t="n">
        <f aca="false">IF(B18205&lt;5,Einstellungen!$B$3,Einstellungen!$B$4)</f>
        <v>15.92</v>
      </c>
      <c r="E18205" s="14" t="str">
        <f aca="false">IF(C18205="","",C18205*D18205/100)</f>
        <v/>
      </c>
      <c r="F18205" s="15" t="str">
        <f aca="false">IF(B18205&lt;5,"Go","Standard")</f>
        <v>Go</v>
      </c>
    </row>
    <row r="18206" customFormat="false" ht="15" hidden="false" customHeight="true" outlineLevel="0" collapsed="false">
      <c r="A18206" s="10" t="n">
        <f aca="false">Einstellungen!$B$5+INT((ROW()-9)/24)</f>
        <v>46724</v>
      </c>
      <c r="B18206" s="11" t="n">
        <f aca="false">MOD(ROW()-9,24)</f>
        <v>5</v>
      </c>
      <c r="C18206" s="12"/>
      <c r="D18206" s="13" t="n">
        <f aca="false">IF(B18206&lt;5,Einstellungen!$B$3,Einstellungen!$B$4)</f>
        <v>29.13</v>
      </c>
      <c r="E18206" s="14" t="str">
        <f aca="false">IF(C18206="","",C18206*D18206/100)</f>
        <v/>
      </c>
      <c r="F18206" s="15" t="str">
        <f aca="false">IF(B18206&lt;5,"Go","Standard")</f>
        <v>Standard</v>
      </c>
    </row>
    <row r="18207" customFormat="false" ht="15" hidden="false" customHeight="true" outlineLevel="0" collapsed="false">
      <c r="A18207" s="10" t="n">
        <f aca="false">Einstellungen!$B$5+INT((ROW()-9)/24)</f>
        <v>46724</v>
      </c>
      <c r="B18207" s="11" t="n">
        <f aca="false">MOD(ROW()-9,24)</f>
        <v>6</v>
      </c>
      <c r="C18207" s="12"/>
      <c r="D18207" s="13" t="n">
        <f aca="false">IF(B18207&lt;5,Einstellungen!$B$3,Einstellungen!$B$4)</f>
        <v>29.13</v>
      </c>
      <c r="E18207" s="14" t="str">
        <f aca="false">IF(C18207="","",C18207*D18207/100)</f>
        <v/>
      </c>
      <c r="F18207" s="15" t="str">
        <f aca="false">IF(B18207&lt;5,"Go","Standard")</f>
        <v>Standard</v>
      </c>
    </row>
    <row r="18208" customFormat="false" ht="15" hidden="false" customHeight="true" outlineLevel="0" collapsed="false">
      <c r="A18208" s="10" t="n">
        <f aca="false">Einstellungen!$B$5+INT((ROW()-9)/24)</f>
        <v>46724</v>
      </c>
      <c r="B18208" s="11" t="n">
        <f aca="false">MOD(ROW()-9,24)</f>
        <v>7</v>
      </c>
      <c r="C18208" s="12"/>
      <c r="D18208" s="13" t="n">
        <f aca="false">IF(B18208&lt;5,Einstellungen!$B$3,Einstellungen!$B$4)</f>
        <v>29.13</v>
      </c>
      <c r="E18208" s="14" t="str">
        <f aca="false">IF(C18208="","",C18208*D18208/100)</f>
        <v/>
      </c>
      <c r="F18208" s="15" t="str">
        <f aca="false">IF(B18208&lt;5,"Go","Standard")</f>
        <v>Standard</v>
      </c>
    </row>
    <row r="18209" customFormat="false" ht="15" hidden="false" customHeight="true" outlineLevel="0" collapsed="false">
      <c r="A18209" s="10" t="n">
        <f aca="false">Einstellungen!$B$5+INT((ROW()-9)/24)</f>
        <v>46724</v>
      </c>
      <c r="B18209" s="11" t="n">
        <f aca="false">MOD(ROW()-9,24)</f>
        <v>8</v>
      </c>
      <c r="C18209" s="12"/>
      <c r="D18209" s="13" t="n">
        <f aca="false">IF(B18209&lt;5,Einstellungen!$B$3,Einstellungen!$B$4)</f>
        <v>29.13</v>
      </c>
      <c r="E18209" s="14" t="str">
        <f aca="false">IF(C18209="","",C18209*D18209/100)</f>
        <v/>
      </c>
      <c r="F18209" s="15" t="str">
        <f aca="false">IF(B18209&lt;5,"Go","Standard")</f>
        <v>Standard</v>
      </c>
    </row>
    <row r="18210" customFormat="false" ht="15" hidden="false" customHeight="true" outlineLevel="0" collapsed="false">
      <c r="A18210" s="10" t="n">
        <f aca="false">Einstellungen!$B$5+INT((ROW()-9)/24)</f>
        <v>46724</v>
      </c>
      <c r="B18210" s="11" t="n">
        <f aca="false">MOD(ROW()-9,24)</f>
        <v>9</v>
      </c>
      <c r="C18210" s="12"/>
      <c r="D18210" s="13" t="n">
        <f aca="false">IF(B18210&lt;5,Einstellungen!$B$3,Einstellungen!$B$4)</f>
        <v>29.13</v>
      </c>
      <c r="E18210" s="14" t="str">
        <f aca="false">IF(C18210="","",C18210*D18210/100)</f>
        <v/>
      </c>
      <c r="F18210" s="15" t="str">
        <f aca="false">IF(B18210&lt;5,"Go","Standard")</f>
        <v>Standard</v>
      </c>
    </row>
    <row r="18211" customFormat="false" ht="15" hidden="false" customHeight="true" outlineLevel="0" collapsed="false">
      <c r="A18211" s="10" t="n">
        <f aca="false">Einstellungen!$B$5+INT((ROW()-9)/24)</f>
        <v>46724</v>
      </c>
      <c r="B18211" s="11" t="n">
        <f aca="false">MOD(ROW()-9,24)</f>
        <v>10</v>
      </c>
      <c r="C18211" s="12"/>
      <c r="D18211" s="13" t="n">
        <f aca="false">IF(B18211&lt;5,Einstellungen!$B$3,Einstellungen!$B$4)</f>
        <v>29.13</v>
      </c>
      <c r="E18211" s="14" t="str">
        <f aca="false">IF(C18211="","",C18211*D18211/100)</f>
        <v/>
      </c>
      <c r="F18211" s="15" t="str">
        <f aca="false">IF(B18211&lt;5,"Go","Standard")</f>
        <v>Standard</v>
      </c>
    </row>
    <row r="18212" customFormat="false" ht="15" hidden="false" customHeight="true" outlineLevel="0" collapsed="false">
      <c r="A18212" s="10" t="n">
        <f aca="false">Einstellungen!$B$5+INT((ROW()-9)/24)</f>
        <v>46724</v>
      </c>
      <c r="B18212" s="11" t="n">
        <f aca="false">MOD(ROW()-9,24)</f>
        <v>11</v>
      </c>
      <c r="C18212" s="12"/>
      <c r="D18212" s="13" t="n">
        <f aca="false">IF(B18212&lt;5,Einstellungen!$B$3,Einstellungen!$B$4)</f>
        <v>29.13</v>
      </c>
      <c r="E18212" s="14" t="str">
        <f aca="false">IF(C18212="","",C18212*D18212/100)</f>
        <v/>
      </c>
      <c r="F18212" s="15" t="str">
        <f aca="false">IF(B18212&lt;5,"Go","Standard")</f>
        <v>Standard</v>
      </c>
    </row>
    <row r="18213" customFormat="false" ht="15" hidden="false" customHeight="true" outlineLevel="0" collapsed="false">
      <c r="A18213" s="10" t="n">
        <f aca="false">Einstellungen!$B$5+INT((ROW()-9)/24)</f>
        <v>46724</v>
      </c>
      <c r="B18213" s="11" t="n">
        <f aca="false">MOD(ROW()-9,24)</f>
        <v>12</v>
      </c>
      <c r="C18213" s="12"/>
      <c r="D18213" s="13" t="n">
        <f aca="false">IF(B18213&lt;5,Einstellungen!$B$3,Einstellungen!$B$4)</f>
        <v>29.13</v>
      </c>
      <c r="E18213" s="14" t="str">
        <f aca="false">IF(C18213="","",C18213*D18213/100)</f>
        <v/>
      </c>
      <c r="F18213" s="15" t="str">
        <f aca="false">IF(B18213&lt;5,"Go","Standard")</f>
        <v>Standard</v>
      </c>
    </row>
    <row r="18214" customFormat="false" ht="15" hidden="false" customHeight="true" outlineLevel="0" collapsed="false">
      <c r="A18214" s="10" t="n">
        <f aca="false">Einstellungen!$B$5+INT((ROW()-9)/24)</f>
        <v>46724</v>
      </c>
      <c r="B18214" s="11" t="n">
        <f aca="false">MOD(ROW()-9,24)</f>
        <v>13</v>
      </c>
      <c r="C18214" s="12"/>
      <c r="D18214" s="13" t="n">
        <f aca="false">IF(B18214&lt;5,Einstellungen!$B$3,Einstellungen!$B$4)</f>
        <v>29.13</v>
      </c>
      <c r="E18214" s="14" t="str">
        <f aca="false">IF(C18214="","",C18214*D18214/100)</f>
        <v/>
      </c>
      <c r="F18214" s="15" t="str">
        <f aca="false">IF(B18214&lt;5,"Go","Standard")</f>
        <v>Standard</v>
      </c>
    </row>
    <row r="18215" customFormat="false" ht="15" hidden="false" customHeight="true" outlineLevel="0" collapsed="false">
      <c r="A18215" s="10" t="n">
        <f aca="false">Einstellungen!$B$5+INT((ROW()-9)/24)</f>
        <v>46724</v>
      </c>
      <c r="B18215" s="11" t="n">
        <f aca="false">MOD(ROW()-9,24)</f>
        <v>14</v>
      </c>
      <c r="C18215" s="12"/>
      <c r="D18215" s="13" t="n">
        <f aca="false">IF(B18215&lt;5,Einstellungen!$B$3,Einstellungen!$B$4)</f>
        <v>29.13</v>
      </c>
      <c r="E18215" s="14" t="str">
        <f aca="false">IF(C18215="","",C18215*D18215/100)</f>
        <v/>
      </c>
      <c r="F18215" s="15" t="str">
        <f aca="false">IF(B18215&lt;5,"Go","Standard")</f>
        <v>Standard</v>
      </c>
    </row>
    <row r="18216" customFormat="false" ht="15" hidden="false" customHeight="true" outlineLevel="0" collapsed="false">
      <c r="A18216" s="10" t="n">
        <f aca="false">Einstellungen!$B$5+INT((ROW()-9)/24)</f>
        <v>46724</v>
      </c>
      <c r="B18216" s="11" t="n">
        <f aca="false">MOD(ROW()-9,24)</f>
        <v>15</v>
      </c>
      <c r="C18216" s="12"/>
      <c r="D18216" s="13" t="n">
        <f aca="false">IF(B18216&lt;5,Einstellungen!$B$3,Einstellungen!$B$4)</f>
        <v>29.13</v>
      </c>
      <c r="E18216" s="14" t="str">
        <f aca="false">IF(C18216="","",C18216*D18216/100)</f>
        <v/>
      </c>
      <c r="F18216" s="15" t="str">
        <f aca="false">IF(B18216&lt;5,"Go","Standard")</f>
        <v>Standard</v>
      </c>
    </row>
    <row r="18217" customFormat="false" ht="15" hidden="false" customHeight="true" outlineLevel="0" collapsed="false">
      <c r="A18217" s="10" t="n">
        <f aca="false">Einstellungen!$B$5+INT((ROW()-9)/24)</f>
        <v>46724</v>
      </c>
      <c r="B18217" s="11" t="n">
        <f aca="false">MOD(ROW()-9,24)</f>
        <v>16</v>
      </c>
      <c r="C18217" s="12"/>
      <c r="D18217" s="13" t="n">
        <f aca="false">IF(B18217&lt;5,Einstellungen!$B$3,Einstellungen!$B$4)</f>
        <v>29.13</v>
      </c>
      <c r="E18217" s="14" t="str">
        <f aca="false">IF(C18217="","",C18217*D18217/100)</f>
        <v/>
      </c>
      <c r="F18217" s="15" t="str">
        <f aca="false">IF(B18217&lt;5,"Go","Standard")</f>
        <v>Standard</v>
      </c>
    </row>
    <row r="18218" customFormat="false" ht="15" hidden="false" customHeight="true" outlineLevel="0" collapsed="false">
      <c r="A18218" s="10" t="n">
        <f aca="false">Einstellungen!$B$5+INT((ROW()-9)/24)</f>
        <v>46724</v>
      </c>
      <c r="B18218" s="11" t="n">
        <f aca="false">MOD(ROW()-9,24)</f>
        <v>17</v>
      </c>
      <c r="C18218" s="12"/>
      <c r="D18218" s="13" t="n">
        <f aca="false">IF(B18218&lt;5,Einstellungen!$B$3,Einstellungen!$B$4)</f>
        <v>29.13</v>
      </c>
      <c r="E18218" s="14" t="str">
        <f aca="false">IF(C18218="","",C18218*D18218/100)</f>
        <v/>
      </c>
      <c r="F18218" s="15" t="str">
        <f aca="false">IF(B18218&lt;5,"Go","Standard")</f>
        <v>Standard</v>
      </c>
    </row>
    <row r="18219" customFormat="false" ht="15" hidden="false" customHeight="true" outlineLevel="0" collapsed="false">
      <c r="A18219" s="10" t="n">
        <f aca="false">Einstellungen!$B$5+INT((ROW()-9)/24)</f>
        <v>46724</v>
      </c>
      <c r="B18219" s="11" t="n">
        <f aca="false">MOD(ROW()-9,24)</f>
        <v>18</v>
      </c>
      <c r="C18219" s="12"/>
      <c r="D18219" s="13" t="n">
        <f aca="false">IF(B18219&lt;5,Einstellungen!$B$3,Einstellungen!$B$4)</f>
        <v>29.13</v>
      </c>
      <c r="E18219" s="14" t="str">
        <f aca="false">IF(C18219="","",C18219*D18219/100)</f>
        <v/>
      </c>
      <c r="F18219" s="15" t="str">
        <f aca="false">IF(B18219&lt;5,"Go","Standard")</f>
        <v>Standard</v>
      </c>
    </row>
    <row r="18220" customFormat="false" ht="15" hidden="false" customHeight="true" outlineLevel="0" collapsed="false">
      <c r="A18220" s="10" t="n">
        <f aca="false">Einstellungen!$B$5+INT((ROW()-9)/24)</f>
        <v>46724</v>
      </c>
      <c r="B18220" s="11" t="n">
        <f aca="false">MOD(ROW()-9,24)</f>
        <v>19</v>
      </c>
      <c r="C18220" s="12"/>
      <c r="D18220" s="13" t="n">
        <f aca="false">IF(B18220&lt;5,Einstellungen!$B$3,Einstellungen!$B$4)</f>
        <v>29.13</v>
      </c>
      <c r="E18220" s="14" t="str">
        <f aca="false">IF(C18220="","",C18220*D18220/100)</f>
        <v/>
      </c>
      <c r="F18220" s="15" t="str">
        <f aca="false">IF(B18220&lt;5,"Go","Standard")</f>
        <v>Standard</v>
      </c>
    </row>
    <row r="18221" customFormat="false" ht="15" hidden="false" customHeight="true" outlineLevel="0" collapsed="false">
      <c r="A18221" s="10" t="n">
        <f aca="false">Einstellungen!$B$5+INT((ROW()-9)/24)</f>
        <v>46724</v>
      </c>
      <c r="B18221" s="11" t="n">
        <f aca="false">MOD(ROW()-9,24)</f>
        <v>20</v>
      </c>
      <c r="C18221" s="12"/>
      <c r="D18221" s="13" t="n">
        <f aca="false">IF(B18221&lt;5,Einstellungen!$B$3,Einstellungen!$B$4)</f>
        <v>29.13</v>
      </c>
      <c r="E18221" s="14" t="str">
        <f aca="false">IF(C18221="","",C18221*D18221/100)</f>
        <v/>
      </c>
      <c r="F18221" s="15" t="str">
        <f aca="false">IF(B18221&lt;5,"Go","Standard")</f>
        <v>Standard</v>
      </c>
    </row>
    <row r="18222" customFormat="false" ht="15" hidden="false" customHeight="true" outlineLevel="0" collapsed="false">
      <c r="A18222" s="10" t="n">
        <f aca="false">Einstellungen!$B$5+INT((ROW()-9)/24)</f>
        <v>46724</v>
      </c>
      <c r="B18222" s="11" t="n">
        <f aca="false">MOD(ROW()-9,24)</f>
        <v>21</v>
      </c>
      <c r="C18222" s="12"/>
      <c r="D18222" s="13" t="n">
        <f aca="false">IF(B18222&lt;5,Einstellungen!$B$3,Einstellungen!$B$4)</f>
        <v>29.13</v>
      </c>
      <c r="E18222" s="14" t="str">
        <f aca="false">IF(C18222="","",C18222*D18222/100)</f>
        <v/>
      </c>
      <c r="F18222" s="15" t="str">
        <f aca="false">IF(B18222&lt;5,"Go","Standard")</f>
        <v>Standard</v>
      </c>
    </row>
    <row r="18223" customFormat="false" ht="15" hidden="false" customHeight="true" outlineLevel="0" collapsed="false">
      <c r="A18223" s="10" t="n">
        <f aca="false">Einstellungen!$B$5+INT((ROW()-9)/24)</f>
        <v>46724</v>
      </c>
      <c r="B18223" s="11" t="n">
        <f aca="false">MOD(ROW()-9,24)</f>
        <v>22</v>
      </c>
      <c r="C18223" s="12"/>
      <c r="D18223" s="13" t="n">
        <f aca="false">IF(B18223&lt;5,Einstellungen!$B$3,Einstellungen!$B$4)</f>
        <v>29.13</v>
      </c>
      <c r="E18223" s="14" t="str">
        <f aca="false">IF(C18223="","",C18223*D18223/100)</f>
        <v/>
      </c>
      <c r="F18223" s="15" t="str">
        <f aca="false">IF(B18223&lt;5,"Go","Standard")</f>
        <v>Standard</v>
      </c>
    </row>
    <row r="18224" customFormat="false" ht="15" hidden="false" customHeight="true" outlineLevel="0" collapsed="false">
      <c r="A18224" s="10" t="n">
        <f aca="false">Einstellungen!$B$5+INT((ROW()-9)/24)</f>
        <v>46724</v>
      </c>
      <c r="B18224" s="11" t="n">
        <f aca="false">MOD(ROW()-9,24)</f>
        <v>23</v>
      </c>
      <c r="C18224" s="12"/>
      <c r="D18224" s="13" t="n">
        <f aca="false">IF(B18224&lt;5,Einstellungen!$B$3,Einstellungen!$B$4)</f>
        <v>29.13</v>
      </c>
      <c r="E18224" s="14" t="str">
        <f aca="false">IF(C18224="","",C18224*D18224/100)</f>
        <v/>
      </c>
      <c r="F18224" s="15" t="str">
        <f aca="false">IF(B18224&lt;5,"Go","Standard")</f>
        <v>Standard</v>
      </c>
    </row>
    <row r="18225" customFormat="false" ht="15" hidden="false" customHeight="true" outlineLevel="0" collapsed="false">
      <c r="A18225" s="10" t="n">
        <f aca="false">Einstellungen!$B$5+INT((ROW()-9)/24)</f>
        <v>46725</v>
      </c>
      <c r="B18225" s="11" t="n">
        <f aca="false">MOD(ROW()-9,24)</f>
        <v>0</v>
      </c>
      <c r="C18225" s="12"/>
      <c r="D18225" s="13" t="n">
        <f aca="false">IF(B18225&lt;5,Einstellungen!$B$3,Einstellungen!$B$4)</f>
        <v>15.92</v>
      </c>
      <c r="E18225" s="14" t="str">
        <f aca="false">IF(C18225="","",C18225*D18225/100)</f>
        <v/>
      </c>
      <c r="F18225" s="15" t="str">
        <f aca="false">IF(B18225&lt;5,"Go","Standard")</f>
        <v>Go</v>
      </c>
    </row>
    <row r="18226" customFormat="false" ht="15" hidden="false" customHeight="true" outlineLevel="0" collapsed="false">
      <c r="A18226" s="10" t="n">
        <f aca="false">Einstellungen!$B$5+INT((ROW()-9)/24)</f>
        <v>46725</v>
      </c>
      <c r="B18226" s="11" t="n">
        <f aca="false">MOD(ROW()-9,24)</f>
        <v>1</v>
      </c>
      <c r="C18226" s="12"/>
      <c r="D18226" s="13" t="n">
        <f aca="false">IF(B18226&lt;5,Einstellungen!$B$3,Einstellungen!$B$4)</f>
        <v>15.92</v>
      </c>
      <c r="E18226" s="14" t="str">
        <f aca="false">IF(C18226="","",C18226*D18226/100)</f>
        <v/>
      </c>
      <c r="F18226" s="15" t="str">
        <f aca="false">IF(B18226&lt;5,"Go","Standard")</f>
        <v>Go</v>
      </c>
    </row>
    <row r="18227" customFormat="false" ht="15" hidden="false" customHeight="true" outlineLevel="0" collapsed="false">
      <c r="A18227" s="10" t="n">
        <f aca="false">Einstellungen!$B$5+INT((ROW()-9)/24)</f>
        <v>46725</v>
      </c>
      <c r="B18227" s="11" t="n">
        <f aca="false">MOD(ROW()-9,24)</f>
        <v>2</v>
      </c>
      <c r="C18227" s="12"/>
      <c r="D18227" s="13" t="n">
        <f aca="false">IF(B18227&lt;5,Einstellungen!$B$3,Einstellungen!$B$4)</f>
        <v>15.92</v>
      </c>
      <c r="E18227" s="14" t="str">
        <f aca="false">IF(C18227="","",C18227*D18227/100)</f>
        <v/>
      </c>
      <c r="F18227" s="15" t="str">
        <f aca="false">IF(B18227&lt;5,"Go","Standard")</f>
        <v>Go</v>
      </c>
    </row>
    <row r="18228" customFormat="false" ht="15" hidden="false" customHeight="true" outlineLevel="0" collapsed="false">
      <c r="A18228" s="10" t="n">
        <f aca="false">Einstellungen!$B$5+INT((ROW()-9)/24)</f>
        <v>46725</v>
      </c>
      <c r="B18228" s="11" t="n">
        <f aca="false">MOD(ROW()-9,24)</f>
        <v>3</v>
      </c>
      <c r="C18228" s="12"/>
      <c r="D18228" s="13" t="n">
        <f aca="false">IF(B18228&lt;5,Einstellungen!$B$3,Einstellungen!$B$4)</f>
        <v>15.92</v>
      </c>
      <c r="E18228" s="14" t="str">
        <f aca="false">IF(C18228="","",C18228*D18228/100)</f>
        <v/>
      </c>
      <c r="F18228" s="15" t="str">
        <f aca="false">IF(B18228&lt;5,"Go","Standard")</f>
        <v>Go</v>
      </c>
    </row>
    <row r="18229" customFormat="false" ht="15" hidden="false" customHeight="true" outlineLevel="0" collapsed="false">
      <c r="A18229" s="10" t="n">
        <f aca="false">Einstellungen!$B$5+INT((ROW()-9)/24)</f>
        <v>46725</v>
      </c>
      <c r="B18229" s="11" t="n">
        <f aca="false">MOD(ROW()-9,24)</f>
        <v>4</v>
      </c>
      <c r="C18229" s="12"/>
      <c r="D18229" s="13" t="n">
        <f aca="false">IF(B18229&lt;5,Einstellungen!$B$3,Einstellungen!$B$4)</f>
        <v>15.92</v>
      </c>
      <c r="E18229" s="14" t="str">
        <f aca="false">IF(C18229="","",C18229*D18229/100)</f>
        <v/>
      </c>
      <c r="F18229" s="15" t="str">
        <f aca="false">IF(B18229&lt;5,"Go","Standard")</f>
        <v>Go</v>
      </c>
    </row>
    <row r="18230" customFormat="false" ht="15" hidden="false" customHeight="true" outlineLevel="0" collapsed="false">
      <c r="A18230" s="10" t="n">
        <f aca="false">Einstellungen!$B$5+INT((ROW()-9)/24)</f>
        <v>46725</v>
      </c>
      <c r="B18230" s="11" t="n">
        <f aca="false">MOD(ROW()-9,24)</f>
        <v>5</v>
      </c>
      <c r="C18230" s="12"/>
      <c r="D18230" s="13" t="n">
        <f aca="false">IF(B18230&lt;5,Einstellungen!$B$3,Einstellungen!$B$4)</f>
        <v>29.13</v>
      </c>
      <c r="E18230" s="14" t="str">
        <f aca="false">IF(C18230="","",C18230*D18230/100)</f>
        <v/>
      </c>
      <c r="F18230" s="15" t="str">
        <f aca="false">IF(B18230&lt;5,"Go","Standard")</f>
        <v>Standard</v>
      </c>
    </row>
    <row r="18231" customFormat="false" ht="15" hidden="false" customHeight="true" outlineLevel="0" collapsed="false">
      <c r="A18231" s="10" t="n">
        <f aca="false">Einstellungen!$B$5+INT((ROW()-9)/24)</f>
        <v>46725</v>
      </c>
      <c r="B18231" s="11" t="n">
        <f aca="false">MOD(ROW()-9,24)</f>
        <v>6</v>
      </c>
      <c r="C18231" s="12"/>
      <c r="D18231" s="13" t="n">
        <f aca="false">IF(B18231&lt;5,Einstellungen!$B$3,Einstellungen!$B$4)</f>
        <v>29.13</v>
      </c>
      <c r="E18231" s="14" t="str">
        <f aca="false">IF(C18231="","",C18231*D18231/100)</f>
        <v/>
      </c>
      <c r="F18231" s="15" t="str">
        <f aca="false">IF(B18231&lt;5,"Go","Standard")</f>
        <v>Standard</v>
      </c>
    </row>
    <row r="18232" customFormat="false" ht="15" hidden="false" customHeight="true" outlineLevel="0" collapsed="false">
      <c r="A18232" s="10" t="n">
        <f aca="false">Einstellungen!$B$5+INT((ROW()-9)/24)</f>
        <v>46725</v>
      </c>
      <c r="B18232" s="11" t="n">
        <f aca="false">MOD(ROW()-9,24)</f>
        <v>7</v>
      </c>
      <c r="C18232" s="12"/>
      <c r="D18232" s="13" t="n">
        <f aca="false">IF(B18232&lt;5,Einstellungen!$B$3,Einstellungen!$B$4)</f>
        <v>29.13</v>
      </c>
      <c r="E18232" s="14" t="str">
        <f aca="false">IF(C18232="","",C18232*D18232/100)</f>
        <v/>
      </c>
      <c r="F18232" s="15" t="str">
        <f aca="false">IF(B18232&lt;5,"Go","Standard")</f>
        <v>Standard</v>
      </c>
    </row>
    <row r="18233" customFormat="false" ht="15" hidden="false" customHeight="true" outlineLevel="0" collapsed="false">
      <c r="A18233" s="10" t="n">
        <f aca="false">Einstellungen!$B$5+INT((ROW()-9)/24)</f>
        <v>46725</v>
      </c>
      <c r="B18233" s="11" t="n">
        <f aca="false">MOD(ROW()-9,24)</f>
        <v>8</v>
      </c>
      <c r="C18233" s="12"/>
      <c r="D18233" s="13" t="n">
        <f aca="false">IF(B18233&lt;5,Einstellungen!$B$3,Einstellungen!$B$4)</f>
        <v>29.13</v>
      </c>
      <c r="E18233" s="14" t="str">
        <f aca="false">IF(C18233="","",C18233*D18233/100)</f>
        <v/>
      </c>
      <c r="F18233" s="15" t="str">
        <f aca="false">IF(B18233&lt;5,"Go","Standard")</f>
        <v>Standard</v>
      </c>
    </row>
    <row r="18234" customFormat="false" ht="15" hidden="false" customHeight="true" outlineLevel="0" collapsed="false">
      <c r="A18234" s="10" t="n">
        <f aca="false">Einstellungen!$B$5+INT((ROW()-9)/24)</f>
        <v>46725</v>
      </c>
      <c r="B18234" s="11" t="n">
        <f aca="false">MOD(ROW()-9,24)</f>
        <v>9</v>
      </c>
      <c r="C18234" s="12"/>
      <c r="D18234" s="13" t="n">
        <f aca="false">IF(B18234&lt;5,Einstellungen!$B$3,Einstellungen!$B$4)</f>
        <v>29.13</v>
      </c>
      <c r="E18234" s="14" t="str">
        <f aca="false">IF(C18234="","",C18234*D18234/100)</f>
        <v/>
      </c>
      <c r="F18234" s="15" t="str">
        <f aca="false">IF(B18234&lt;5,"Go","Standard")</f>
        <v>Standard</v>
      </c>
    </row>
    <row r="18235" customFormat="false" ht="15" hidden="false" customHeight="true" outlineLevel="0" collapsed="false">
      <c r="A18235" s="10" t="n">
        <f aca="false">Einstellungen!$B$5+INT((ROW()-9)/24)</f>
        <v>46725</v>
      </c>
      <c r="B18235" s="11" t="n">
        <f aca="false">MOD(ROW()-9,24)</f>
        <v>10</v>
      </c>
      <c r="C18235" s="12"/>
      <c r="D18235" s="13" t="n">
        <f aca="false">IF(B18235&lt;5,Einstellungen!$B$3,Einstellungen!$B$4)</f>
        <v>29.13</v>
      </c>
      <c r="E18235" s="14" t="str">
        <f aca="false">IF(C18235="","",C18235*D18235/100)</f>
        <v/>
      </c>
      <c r="F18235" s="15" t="str">
        <f aca="false">IF(B18235&lt;5,"Go","Standard")</f>
        <v>Standard</v>
      </c>
    </row>
    <row r="18236" customFormat="false" ht="15" hidden="false" customHeight="true" outlineLevel="0" collapsed="false">
      <c r="A18236" s="10" t="n">
        <f aca="false">Einstellungen!$B$5+INT((ROW()-9)/24)</f>
        <v>46725</v>
      </c>
      <c r="B18236" s="11" t="n">
        <f aca="false">MOD(ROW()-9,24)</f>
        <v>11</v>
      </c>
      <c r="C18236" s="12"/>
      <c r="D18236" s="13" t="n">
        <f aca="false">IF(B18236&lt;5,Einstellungen!$B$3,Einstellungen!$B$4)</f>
        <v>29.13</v>
      </c>
      <c r="E18236" s="14" t="str">
        <f aca="false">IF(C18236="","",C18236*D18236/100)</f>
        <v/>
      </c>
      <c r="F18236" s="15" t="str">
        <f aca="false">IF(B18236&lt;5,"Go","Standard")</f>
        <v>Standard</v>
      </c>
    </row>
    <row r="18237" customFormat="false" ht="15" hidden="false" customHeight="true" outlineLevel="0" collapsed="false">
      <c r="A18237" s="10" t="n">
        <f aca="false">Einstellungen!$B$5+INT((ROW()-9)/24)</f>
        <v>46725</v>
      </c>
      <c r="B18237" s="11" t="n">
        <f aca="false">MOD(ROW()-9,24)</f>
        <v>12</v>
      </c>
      <c r="C18237" s="12"/>
      <c r="D18237" s="13" t="n">
        <f aca="false">IF(B18237&lt;5,Einstellungen!$B$3,Einstellungen!$B$4)</f>
        <v>29.13</v>
      </c>
      <c r="E18237" s="14" t="str">
        <f aca="false">IF(C18237="","",C18237*D18237/100)</f>
        <v/>
      </c>
      <c r="F18237" s="15" t="str">
        <f aca="false">IF(B18237&lt;5,"Go","Standard")</f>
        <v>Standard</v>
      </c>
    </row>
    <row r="18238" customFormat="false" ht="15" hidden="false" customHeight="true" outlineLevel="0" collapsed="false">
      <c r="A18238" s="10" t="n">
        <f aca="false">Einstellungen!$B$5+INT((ROW()-9)/24)</f>
        <v>46725</v>
      </c>
      <c r="B18238" s="11" t="n">
        <f aca="false">MOD(ROW()-9,24)</f>
        <v>13</v>
      </c>
      <c r="C18238" s="12"/>
      <c r="D18238" s="13" t="n">
        <f aca="false">IF(B18238&lt;5,Einstellungen!$B$3,Einstellungen!$B$4)</f>
        <v>29.13</v>
      </c>
      <c r="E18238" s="14" t="str">
        <f aca="false">IF(C18238="","",C18238*D18238/100)</f>
        <v/>
      </c>
      <c r="F18238" s="15" t="str">
        <f aca="false">IF(B18238&lt;5,"Go","Standard")</f>
        <v>Standard</v>
      </c>
    </row>
    <row r="18239" customFormat="false" ht="15" hidden="false" customHeight="true" outlineLevel="0" collapsed="false">
      <c r="A18239" s="10" t="n">
        <f aca="false">Einstellungen!$B$5+INT((ROW()-9)/24)</f>
        <v>46725</v>
      </c>
      <c r="B18239" s="11" t="n">
        <f aca="false">MOD(ROW()-9,24)</f>
        <v>14</v>
      </c>
      <c r="C18239" s="12"/>
      <c r="D18239" s="13" t="n">
        <f aca="false">IF(B18239&lt;5,Einstellungen!$B$3,Einstellungen!$B$4)</f>
        <v>29.13</v>
      </c>
      <c r="E18239" s="14" t="str">
        <f aca="false">IF(C18239="","",C18239*D18239/100)</f>
        <v/>
      </c>
      <c r="F18239" s="15" t="str">
        <f aca="false">IF(B18239&lt;5,"Go","Standard")</f>
        <v>Standard</v>
      </c>
    </row>
    <row r="18240" customFormat="false" ht="15" hidden="false" customHeight="true" outlineLevel="0" collapsed="false">
      <c r="A18240" s="10" t="n">
        <f aca="false">Einstellungen!$B$5+INT((ROW()-9)/24)</f>
        <v>46725</v>
      </c>
      <c r="B18240" s="11" t="n">
        <f aca="false">MOD(ROW()-9,24)</f>
        <v>15</v>
      </c>
      <c r="C18240" s="12"/>
      <c r="D18240" s="13" t="n">
        <f aca="false">IF(B18240&lt;5,Einstellungen!$B$3,Einstellungen!$B$4)</f>
        <v>29.13</v>
      </c>
      <c r="E18240" s="14" t="str">
        <f aca="false">IF(C18240="","",C18240*D18240/100)</f>
        <v/>
      </c>
      <c r="F18240" s="15" t="str">
        <f aca="false">IF(B18240&lt;5,"Go","Standard")</f>
        <v>Standard</v>
      </c>
    </row>
    <row r="18241" customFormat="false" ht="15" hidden="false" customHeight="true" outlineLevel="0" collapsed="false">
      <c r="A18241" s="10" t="n">
        <f aca="false">Einstellungen!$B$5+INT((ROW()-9)/24)</f>
        <v>46725</v>
      </c>
      <c r="B18241" s="11" t="n">
        <f aca="false">MOD(ROW()-9,24)</f>
        <v>16</v>
      </c>
      <c r="C18241" s="12"/>
      <c r="D18241" s="13" t="n">
        <f aca="false">IF(B18241&lt;5,Einstellungen!$B$3,Einstellungen!$B$4)</f>
        <v>29.13</v>
      </c>
      <c r="E18241" s="14" t="str">
        <f aca="false">IF(C18241="","",C18241*D18241/100)</f>
        <v/>
      </c>
      <c r="F18241" s="15" t="str">
        <f aca="false">IF(B18241&lt;5,"Go","Standard")</f>
        <v>Standard</v>
      </c>
    </row>
    <row r="18242" customFormat="false" ht="15" hidden="false" customHeight="true" outlineLevel="0" collapsed="false">
      <c r="A18242" s="10" t="n">
        <f aca="false">Einstellungen!$B$5+INT((ROW()-9)/24)</f>
        <v>46725</v>
      </c>
      <c r="B18242" s="11" t="n">
        <f aca="false">MOD(ROW()-9,24)</f>
        <v>17</v>
      </c>
      <c r="C18242" s="12"/>
      <c r="D18242" s="13" t="n">
        <f aca="false">IF(B18242&lt;5,Einstellungen!$B$3,Einstellungen!$B$4)</f>
        <v>29.13</v>
      </c>
      <c r="E18242" s="14" t="str">
        <f aca="false">IF(C18242="","",C18242*D18242/100)</f>
        <v/>
      </c>
      <c r="F18242" s="15" t="str">
        <f aca="false">IF(B18242&lt;5,"Go","Standard")</f>
        <v>Standard</v>
      </c>
    </row>
    <row r="18243" customFormat="false" ht="15" hidden="false" customHeight="true" outlineLevel="0" collapsed="false">
      <c r="A18243" s="10" t="n">
        <f aca="false">Einstellungen!$B$5+INT((ROW()-9)/24)</f>
        <v>46725</v>
      </c>
      <c r="B18243" s="11" t="n">
        <f aca="false">MOD(ROW()-9,24)</f>
        <v>18</v>
      </c>
      <c r="C18243" s="12"/>
      <c r="D18243" s="13" t="n">
        <f aca="false">IF(B18243&lt;5,Einstellungen!$B$3,Einstellungen!$B$4)</f>
        <v>29.13</v>
      </c>
      <c r="E18243" s="14" t="str">
        <f aca="false">IF(C18243="","",C18243*D18243/100)</f>
        <v/>
      </c>
      <c r="F18243" s="15" t="str">
        <f aca="false">IF(B18243&lt;5,"Go","Standard")</f>
        <v>Standard</v>
      </c>
    </row>
    <row r="18244" customFormat="false" ht="15" hidden="false" customHeight="true" outlineLevel="0" collapsed="false">
      <c r="A18244" s="10" t="n">
        <f aca="false">Einstellungen!$B$5+INT((ROW()-9)/24)</f>
        <v>46725</v>
      </c>
      <c r="B18244" s="11" t="n">
        <f aca="false">MOD(ROW()-9,24)</f>
        <v>19</v>
      </c>
      <c r="C18244" s="12"/>
      <c r="D18244" s="13" t="n">
        <f aca="false">IF(B18244&lt;5,Einstellungen!$B$3,Einstellungen!$B$4)</f>
        <v>29.13</v>
      </c>
      <c r="E18244" s="14" t="str">
        <f aca="false">IF(C18244="","",C18244*D18244/100)</f>
        <v/>
      </c>
      <c r="F18244" s="15" t="str">
        <f aca="false">IF(B18244&lt;5,"Go","Standard")</f>
        <v>Standard</v>
      </c>
    </row>
    <row r="18245" customFormat="false" ht="15" hidden="false" customHeight="true" outlineLevel="0" collapsed="false">
      <c r="A18245" s="10" t="n">
        <f aca="false">Einstellungen!$B$5+INT((ROW()-9)/24)</f>
        <v>46725</v>
      </c>
      <c r="B18245" s="11" t="n">
        <f aca="false">MOD(ROW()-9,24)</f>
        <v>20</v>
      </c>
      <c r="C18245" s="12"/>
      <c r="D18245" s="13" t="n">
        <f aca="false">IF(B18245&lt;5,Einstellungen!$B$3,Einstellungen!$B$4)</f>
        <v>29.13</v>
      </c>
      <c r="E18245" s="14" t="str">
        <f aca="false">IF(C18245="","",C18245*D18245/100)</f>
        <v/>
      </c>
      <c r="F18245" s="15" t="str">
        <f aca="false">IF(B18245&lt;5,"Go","Standard")</f>
        <v>Standard</v>
      </c>
    </row>
    <row r="18246" customFormat="false" ht="15" hidden="false" customHeight="true" outlineLevel="0" collapsed="false">
      <c r="A18246" s="10" t="n">
        <f aca="false">Einstellungen!$B$5+INT((ROW()-9)/24)</f>
        <v>46725</v>
      </c>
      <c r="B18246" s="11" t="n">
        <f aca="false">MOD(ROW()-9,24)</f>
        <v>21</v>
      </c>
      <c r="C18246" s="12"/>
      <c r="D18246" s="13" t="n">
        <f aca="false">IF(B18246&lt;5,Einstellungen!$B$3,Einstellungen!$B$4)</f>
        <v>29.13</v>
      </c>
      <c r="E18246" s="14" t="str">
        <f aca="false">IF(C18246="","",C18246*D18246/100)</f>
        <v/>
      </c>
      <c r="F18246" s="15" t="str">
        <f aca="false">IF(B18246&lt;5,"Go","Standard")</f>
        <v>Standard</v>
      </c>
    </row>
    <row r="18247" customFormat="false" ht="15" hidden="false" customHeight="true" outlineLevel="0" collapsed="false">
      <c r="A18247" s="10" t="n">
        <f aca="false">Einstellungen!$B$5+INT((ROW()-9)/24)</f>
        <v>46725</v>
      </c>
      <c r="B18247" s="11" t="n">
        <f aca="false">MOD(ROW()-9,24)</f>
        <v>22</v>
      </c>
      <c r="C18247" s="12"/>
      <c r="D18247" s="13" t="n">
        <f aca="false">IF(B18247&lt;5,Einstellungen!$B$3,Einstellungen!$B$4)</f>
        <v>29.13</v>
      </c>
      <c r="E18247" s="14" t="str">
        <f aca="false">IF(C18247="","",C18247*D18247/100)</f>
        <v/>
      </c>
      <c r="F18247" s="15" t="str">
        <f aca="false">IF(B18247&lt;5,"Go","Standard")</f>
        <v>Standard</v>
      </c>
    </row>
    <row r="18248" customFormat="false" ht="15" hidden="false" customHeight="true" outlineLevel="0" collapsed="false">
      <c r="A18248" s="10" t="n">
        <f aca="false">Einstellungen!$B$5+INT((ROW()-9)/24)</f>
        <v>46725</v>
      </c>
      <c r="B18248" s="11" t="n">
        <f aca="false">MOD(ROW()-9,24)</f>
        <v>23</v>
      </c>
      <c r="C18248" s="12"/>
      <c r="D18248" s="13" t="n">
        <f aca="false">IF(B18248&lt;5,Einstellungen!$B$3,Einstellungen!$B$4)</f>
        <v>29.13</v>
      </c>
      <c r="E18248" s="14" t="str">
        <f aca="false">IF(C18248="","",C18248*D18248/100)</f>
        <v/>
      </c>
      <c r="F18248" s="15" t="str">
        <f aca="false">IF(B18248&lt;5,"Go","Standard")</f>
        <v>Standard</v>
      </c>
    </row>
    <row r="18249" customFormat="false" ht="15" hidden="false" customHeight="true" outlineLevel="0" collapsed="false">
      <c r="A18249" s="10" t="n">
        <f aca="false">Einstellungen!$B$5+INT((ROW()-9)/24)</f>
        <v>46726</v>
      </c>
      <c r="B18249" s="11" t="n">
        <f aca="false">MOD(ROW()-9,24)</f>
        <v>0</v>
      </c>
      <c r="C18249" s="12"/>
      <c r="D18249" s="13" t="n">
        <f aca="false">IF(B18249&lt;5,Einstellungen!$B$3,Einstellungen!$B$4)</f>
        <v>15.92</v>
      </c>
      <c r="E18249" s="14" t="str">
        <f aca="false">IF(C18249="","",C18249*D18249/100)</f>
        <v/>
      </c>
      <c r="F18249" s="15" t="str">
        <f aca="false">IF(B18249&lt;5,"Go","Standard")</f>
        <v>Go</v>
      </c>
    </row>
    <row r="18250" customFormat="false" ht="15" hidden="false" customHeight="true" outlineLevel="0" collapsed="false">
      <c r="A18250" s="10" t="n">
        <f aca="false">Einstellungen!$B$5+INT((ROW()-9)/24)</f>
        <v>46726</v>
      </c>
      <c r="B18250" s="11" t="n">
        <f aca="false">MOD(ROW()-9,24)</f>
        <v>1</v>
      </c>
      <c r="C18250" s="12"/>
      <c r="D18250" s="13" t="n">
        <f aca="false">IF(B18250&lt;5,Einstellungen!$B$3,Einstellungen!$B$4)</f>
        <v>15.92</v>
      </c>
      <c r="E18250" s="14" t="str">
        <f aca="false">IF(C18250="","",C18250*D18250/100)</f>
        <v/>
      </c>
      <c r="F18250" s="15" t="str">
        <f aca="false">IF(B18250&lt;5,"Go","Standard")</f>
        <v>Go</v>
      </c>
    </row>
    <row r="18251" customFormat="false" ht="15" hidden="false" customHeight="true" outlineLevel="0" collapsed="false">
      <c r="A18251" s="10" t="n">
        <f aca="false">Einstellungen!$B$5+INT((ROW()-9)/24)</f>
        <v>46726</v>
      </c>
      <c r="B18251" s="11" t="n">
        <f aca="false">MOD(ROW()-9,24)</f>
        <v>2</v>
      </c>
      <c r="C18251" s="12"/>
      <c r="D18251" s="13" t="n">
        <f aca="false">IF(B18251&lt;5,Einstellungen!$B$3,Einstellungen!$B$4)</f>
        <v>15.92</v>
      </c>
      <c r="E18251" s="14" t="str">
        <f aca="false">IF(C18251="","",C18251*D18251/100)</f>
        <v/>
      </c>
      <c r="F18251" s="15" t="str">
        <f aca="false">IF(B18251&lt;5,"Go","Standard")</f>
        <v>Go</v>
      </c>
    </row>
    <row r="18252" customFormat="false" ht="15" hidden="false" customHeight="true" outlineLevel="0" collapsed="false">
      <c r="A18252" s="10" t="n">
        <f aca="false">Einstellungen!$B$5+INT((ROW()-9)/24)</f>
        <v>46726</v>
      </c>
      <c r="B18252" s="11" t="n">
        <f aca="false">MOD(ROW()-9,24)</f>
        <v>3</v>
      </c>
      <c r="C18252" s="12"/>
      <c r="D18252" s="13" t="n">
        <f aca="false">IF(B18252&lt;5,Einstellungen!$B$3,Einstellungen!$B$4)</f>
        <v>15.92</v>
      </c>
      <c r="E18252" s="14" t="str">
        <f aca="false">IF(C18252="","",C18252*D18252/100)</f>
        <v/>
      </c>
      <c r="F18252" s="15" t="str">
        <f aca="false">IF(B18252&lt;5,"Go","Standard")</f>
        <v>Go</v>
      </c>
    </row>
    <row r="18253" customFormat="false" ht="15" hidden="false" customHeight="true" outlineLevel="0" collapsed="false">
      <c r="A18253" s="10" t="n">
        <f aca="false">Einstellungen!$B$5+INT((ROW()-9)/24)</f>
        <v>46726</v>
      </c>
      <c r="B18253" s="11" t="n">
        <f aca="false">MOD(ROW()-9,24)</f>
        <v>4</v>
      </c>
      <c r="C18253" s="12"/>
      <c r="D18253" s="13" t="n">
        <f aca="false">IF(B18253&lt;5,Einstellungen!$B$3,Einstellungen!$B$4)</f>
        <v>15.92</v>
      </c>
      <c r="E18253" s="14" t="str">
        <f aca="false">IF(C18253="","",C18253*D18253/100)</f>
        <v/>
      </c>
      <c r="F18253" s="15" t="str">
        <f aca="false">IF(B18253&lt;5,"Go","Standard")</f>
        <v>Go</v>
      </c>
    </row>
    <row r="18254" customFormat="false" ht="15" hidden="false" customHeight="true" outlineLevel="0" collapsed="false">
      <c r="A18254" s="10" t="n">
        <f aca="false">Einstellungen!$B$5+INT((ROW()-9)/24)</f>
        <v>46726</v>
      </c>
      <c r="B18254" s="11" t="n">
        <f aca="false">MOD(ROW()-9,24)</f>
        <v>5</v>
      </c>
      <c r="C18254" s="12"/>
      <c r="D18254" s="13" t="n">
        <f aca="false">IF(B18254&lt;5,Einstellungen!$B$3,Einstellungen!$B$4)</f>
        <v>29.13</v>
      </c>
      <c r="E18254" s="14" t="str">
        <f aca="false">IF(C18254="","",C18254*D18254/100)</f>
        <v/>
      </c>
      <c r="F18254" s="15" t="str">
        <f aca="false">IF(B18254&lt;5,"Go","Standard")</f>
        <v>Standard</v>
      </c>
    </row>
    <row r="18255" customFormat="false" ht="15" hidden="false" customHeight="true" outlineLevel="0" collapsed="false">
      <c r="A18255" s="10" t="n">
        <f aca="false">Einstellungen!$B$5+INT((ROW()-9)/24)</f>
        <v>46726</v>
      </c>
      <c r="B18255" s="11" t="n">
        <f aca="false">MOD(ROW()-9,24)</f>
        <v>6</v>
      </c>
      <c r="C18255" s="12"/>
      <c r="D18255" s="13" t="n">
        <f aca="false">IF(B18255&lt;5,Einstellungen!$B$3,Einstellungen!$B$4)</f>
        <v>29.13</v>
      </c>
      <c r="E18255" s="14" t="str">
        <f aca="false">IF(C18255="","",C18255*D18255/100)</f>
        <v/>
      </c>
      <c r="F18255" s="15" t="str">
        <f aca="false">IF(B18255&lt;5,"Go","Standard")</f>
        <v>Standard</v>
      </c>
    </row>
    <row r="18256" customFormat="false" ht="15" hidden="false" customHeight="true" outlineLevel="0" collapsed="false">
      <c r="A18256" s="10" t="n">
        <f aca="false">Einstellungen!$B$5+INT((ROW()-9)/24)</f>
        <v>46726</v>
      </c>
      <c r="B18256" s="11" t="n">
        <f aca="false">MOD(ROW()-9,24)</f>
        <v>7</v>
      </c>
      <c r="C18256" s="12"/>
      <c r="D18256" s="13" t="n">
        <f aca="false">IF(B18256&lt;5,Einstellungen!$B$3,Einstellungen!$B$4)</f>
        <v>29.13</v>
      </c>
      <c r="E18256" s="14" t="str">
        <f aca="false">IF(C18256="","",C18256*D18256/100)</f>
        <v/>
      </c>
      <c r="F18256" s="15" t="str">
        <f aca="false">IF(B18256&lt;5,"Go","Standard")</f>
        <v>Standard</v>
      </c>
    </row>
    <row r="18257" customFormat="false" ht="15" hidden="false" customHeight="true" outlineLevel="0" collapsed="false">
      <c r="A18257" s="10" t="n">
        <f aca="false">Einstellungen!$B$5+INT((ROW()-9)/24)</f>
        <v>46726</v>
      </c>
      <c r="B18257" s="11" t="n">
        <f aca="false">MOD(ROW()-9,24)</f>
        <v>8</v>
      </c>
      <c r="C18257" s="12"/>
      <c r="D18257" s="13" t="n">
        <f aca="false">IF(B18257&lt;5,Einstellungen!$B$3,Einstellungen!$B$4)</f>
        <v>29.13</v>
      </c>
      <c r="E18257" s="14" t="str">
        <f aca="false">IF(C18257="","",C18257*D18257/100)</f>
        <v/>
      </c>
      <c r="F18257" s="15" t="str">
        <f aca="false">IF(B18257&lt;5,"Go","Standard")</f>
        <v>Standard</v>
      </c>
    </row>
    <row r="18258" customFormat="false" ht="15" hidden="false" customHeight="true" outlineLevel="0" collapsed="false">
      <c r="A18258" s="10" t="n">
        <f aca="false">Einstellungen!$B$5+INT((ROW()-9)/24)</f>
        <v>46726</v>
      </c>
      <c r="B18258" s="11" t="n">
        <f aca="false">MOD(ROW()-9,24)</f>
        <v>9</v>
      </c>
      <c r="C18258" s="12"/>
      <c r="D18258" s="13" t="n">
        <f aca="false">IF(B18258&lt;5,Einstellungen!$B$3,Einstellungen!$B$4)</f>
        <v>29.13</v>
      </c>
      <c r="E18258" s="14" t="str">
        <f aca="false">IF(C18258="","",C18258*D18258/100)</f>
        <v/>
      </c>
      <c r="F18258" s="15" t="str">
        <f aca="false">IF(B18258&lt;5,"Go","Standard")</f>
        <v>Standard</v>
      </c>
    </row>
    <row r="18259" customFormat="false" ht="15" hidden="false" customHeight="true" outlineLevel="0" collapsed="false">
      <c r="A18259" s="10" t="n">
        <f aca="false">Einstellungen!$B$5+INT((ROW()-9)/24)</f>
        <v>46726</v>
      </c>
      <c r="B18259" s="11" t="n">
        <f aca="false">MOD(ROW()-9,24)</f>
        <v>10</v>
      </c>
      <c r="C18259" s="12"/>
      <c r="D18259" s="13" t="n">
        <f aca="false">IF(B18259&lt;5,Einstellungen!$B$3,Einstellungen!$B$4)</f>
        <v>29.13</v>
      </c>
      <c r="E18259" s="14" t="str">
        <f aca="false">IF(C18259="","",C18259*D18259/100)</f>
        <v/>
      </c>
      <c r="F18259" s="15" t="str">
        <f aca="false">IF(B18259&lt;5,"Go","Standard")</f>
        <v>Standard</v>
      </c>
    </row>
    <row r="18260" customFormat="false" ht="15" hidden="false" customHeight="true" outlineLevel="0" collapsed="false">
      <c r="A18260" s="10" t="n">
        <f aca="false">Einstellungen!$B$5+INT((ROW()-9)/24)</f>
        <v>46726</v>
      </c>
      <c r="B18260" s="11" t="n">
        <f aca="false">MOD(ROW()-9,24)</f>
        <v>11</v>
      </c>
      <c r="C18260" s="12"/>
      <c r="D18260" s="13" t="n">
        <f aca="false">IF(B18260&lt;5,Einstellungen!$B$3,Einstellungen!$B$4)</f>
        <v>29.13</v>
      </c>
      <c r="E18260" s="14" t="str">
        <f aca="false">IF(C18260="","",C18260*D18260/100)</f>
        <v/>
      </c>
      <c r="F18260" s="15" t="str">
        <f aca="false">IF(B18260&lt;5,"Go","Standard")</f>
        <v>Standard</v>
      </c>
    </row>
    <row r="18261" customFormat="false" ht="15" hidden="false" customHeight="true" outlineLevel="0" collapsed="false">
      <c r="A18261" s="10" t="n">
        <f aca="false">Einstellungen!$B$5+INT((ROW()-9)/24)</f>
        <v>46726</v>
      </c>
      <c r="B18261" s="11" t="n">
        <f aca="false">MOD(ROW()-9,24)</f>
        <v>12</v>
      </c>
      <c r="C18261" s="12"/>
      <c r="D18261" s="13" t="n">
        <f aca="false">IF(B18261&lt;5,Einstellungen!$B$3,Einstellungen!$B$4)</f>
        <v>29.13</v>
      </c>
      <c r="E18261" s="14" t="str">
        <f aca="false">IF(C18261="","",C18261*D18261/100)</f>
        <v/>
      </c>
      <c r="F18261" s="15" t="str">
        <f aca="false">IF(B18261&lt;5,"Go","Standard")</f>
        <v>Standard</v>
      </c>
    </row>
    <row r="18262" customFormat="false" ht="15" hidden="false" customHeight="true" outlineLevel="0" collapsed="false">
      <c r="A18262" s="10" t="n">
        <f aca="false">Einstellungen!$B$5+INT((ROW()-9)/24)</f>
        <v>46726</v>
      </c>
      <c r="B18262" s="11" t="n">
        <f aca="false">MOD(ROW()-9,24)</f>
        <v>13</v>
      </c>
      <c r="C18262" s="12"/>
      <c r="D18262" s="13" t="n">
        <f aca="false">IF(B18262&lt;5,Einstellungen!$B$3,Einstellungen!$B$4)</f>
        <v>29.13</v>
      </c>
      <c r="E18262" s="14" t="str">
        <f aca="false">IF(C18262="","",C18262*D18262/100)</f>
        <v/>
      </c>
      <c r="F18262" s="15" t="str">
        <f aca="false">IF(B18262&lt;5,"Go","Standard")</f>
        <v>Standard</v>
      </c>
    </row>
    <row r="18263" customFormat="false" ht="15" hidden="false" customHeight="true" outlineLevel="0" collapsed="false">
      <c r="A18263" s="10" t="n">
        <f aca="false">Einstellungen!$B$5+INT((ROW()-9)/24)</f>
        <v>46726</v>
      </c>
      <c r="B18263" s="11" t="n">
        <f aca="false">MOD(ROW()-9,24)</f>
        <v>14</v>
      </c>
      <c r="C18263" s="12"/>
      <c r="D18263" s="13" t="n">
        <f aca="false">IF(B18263&lt;5,Einstellungen!$B$3,Einstellungen!$B$4)</f>
        <v>29.13</v>
      </c>
      <c r="E18263" s="14" t="str">
        <f aca="false">IF(C18263="","",C18263*D18263/100)</f>
        <v/>
      </c>
      <c r="F18263" s="15" t="str">
        <f aca="false">IF(B18263&lt;5,"Go","Standard")</f>
        <v>Standard</v>
      </c>
    </row>
    <row r="18264" customFormat="false" ht="15" hidden="false" customHeight="true" outlineLevel="0" collapsed="false">
      <c r="A18264" s="10" t="n">
        <f aca="false">Einstellungen!$B$5+INT((ROW()-9)/24)</f>
        <v>46726</v>
      </c>
      <c r="B18264" s="11" t="n">
        <f aca="false">MOD(ROW()-9,24)</f>
        <v>15</v>
      </c>
      <c r="C18264" s="12"/>
      <c r="D18264" s="13" t="n">
        <f aca="false">IF(B18264&lt;5,Einstellungen!$B$3,Einstellungen!$B$4)</f>
        <v>29.13</v>
      </c>
      <c r="E18264" s="14" t="str">
        <f aca="false">IF(C18264="","",C18264*D18264/100)</f>
        <v/>
      </c>
      <c r="F18264" s="15" t="str">
        <f aca="false">IF(B18264&lt;5,"Go","Standard")</f>
        <v>Standard</v>
      </c>
    </row>
    <row r="18265" customFormat="false" ht="15" hidden="false" customHeight="true" outlineLevel="0" collapsed="false">
      <c r="A18265" s="10" t="n">
        <f aca="false">Einstellungen!$B$5+INT((ROW()-9)/24)</f>
        <v>46726</v>
      </c>
      <c r="B18265" s="11" t="n">
        <f aca="false">MOD(ROW()-9,24)</f>
        <v>16</v>
      </c>
      <c r="C18265" s="12"/>
      <c r="D18265" s="13" t="n">
        <f aca="false">IF(B18265&lt;5,Einstellungen!$B$3,Einstellungen!$B$4)</f>
        <v>29.13</v>
      </c>
      <c r="E18265" s="14" t="str">
        <f aca="false">IF(C18265="","",C18265*D18265/100)</f>
        <v/>
      </c>
      <c r="F18265" s="15" t="str">
        <f aca="false">IF(B18265&lt;5,"Go","Standard")</f>
        <v>Standard</v>
      </c>
    </row>
    <row r="18266" customFormat="false" ht="15" hidden="false" customHeight="true" outlineLevel="0" collapsed="false">
      <c r="A18266" s="10" t="n">
        <f aca="false">Einstellungen!$B$5+INT((ROW()-9)/24)</f>
        <v>46726</v>
      </c>
      <c r="B18266" s="11" t="n">
        <f aca="false">MOD(ROW()-9,24)</f>
        <v>17</v>
      </c>
      <c r="C18266" s="12"/>
      <c r="D18266" s="13" t="n">
        <f aca="false">IF(B18266&lt;5,Einstellungen!$B$3,Einstellungen!$B$4)</f>
        <v>29.13</v>
      </c>
      <c r="E18266" s="14" t="str">
        <f aca="false">IF(C18266="","",C18266*D18266/100)</f>
        <v/>
      </c>
      <c r="F18266" s="15" t="str">
        <f aca="false">IF(B18266&lt;5,"Go","Standard")</f>
        <v>Standard</v>
      </c>
    </row>
    <row r="18267" customFormat="false" ht="15" hidden="false" customHeight="true" outlineLevel="0" collapsed="false">
      <c r="A18267" s="10" t="n">
        <f aca="false">Einstellungen!$B$5+INT((ROW()-9)/24)</f>
        <v>46726</v>
      </c>
      <c r="B18267" s="11" t="n">
        <f aca="false">MOD(ROW()-9,24)</f>
        <v>18</v>
      </c>
      <c r="C18267" s="12"/>
      <c r="D18267" s="13" t="n">
        <f aca="false">IF(B18267&lt;5,Einstellungen!$B$3,Einstellungen!$B$4)</f>
        <v>29.13</v>
      </c>
      <c r="E18267" s="14" t="str">
        <f aca="false">IF(C18267="","",C18267*D18267/100)</f>
        <v/>
      </c>
      <c r="F18267" s="15" t="str">
        <f aca="false">IF(B18267&lt;5,"Go","Standard")</f>
        <v>Standard</v>
      </c>
    </row>
    <row r="18268" customFormat="false" ht="15" hidden="false" customHeight="true" outlineLevel="0" collapsed="false">
      <c r="A18268" s="10" t="n">
        <f aca="false">Einstellungen!$B$5+INT((ROW()-9)/24)</f>
        <v>46726</v>
      </c>
      <c r="B18268" s="11" t="n">
        <f aca="false">MOD(ROW()-9,24)</f>
        <v>19</v>
      </c>
      <c r="C18268" s="12"/>
      <c r="D18268" s="13" t="n">
        <f aca="false">IF(B18268&lt;5,Einstellungen!$B$3,Einstellungen!$B$4)</f>
        <v>29.13</v>
      </c>
      <c r="E18268" s="14" t="str">
        <f aca="false">IF(C18268="","",C18268*D18268/100)</f>
        <v/>
      </c>
      <c r="F18268" s="15" t="str">
        <f aca="false">IF(B18268&lt;5,"Go","Standard")</f>
        <v>Standard</v>
      </c>
    </row>
    <row r="18269" customFormat="false" ht="15" hidden="false" customHeight="true" outlineLevel="0" collapsed="false">
      <c r="A18269" s="10" t="n">
        <f aca="false">Einstellungen!$B$5+INT((ROW()-9)/24)</f>
        <v>46726</v>
      </c>
      <c r="B18269" s="11" t="n">
        <f aca="false">MOD(ROW()-9,24)</f>
        <v>20</v>
      </c>
      <c r="C18269" s="12"/>
      <c r="D18269" s="13" t="n">
        <f aca="false">IF(B18269&lt;5,Einstellungen!$B$3,Einstellungen!$B$4)</f>
        <v>29.13</v>
      </c>
      <c r="E18269" s="14" t="str">
        <f aca="false">IF(C18269="","",C18269*D18269/100)</f>
        <v/>
      </c>
      <c r="F18269" s="15" t="str">
        <f aca="false">IF(B18269&lt;5,"Go","Standard")</f>
        <v>Standard</v>
      </c>
    </row>
    <row r="18270" customFormat="false" ht="15" hidden="false" customHeight="true" outlineLevel="0" collapsed="false">
      <c r="A18270" s="10" t="n">
        <f aca="false">Einstellungen!$B$5+INT((ROW()-9)/24)</f>
        <v>46726</v>
      </c>
      <c r="B18270" s="11" t="n">
        <f aca="false">MOD(ROW()-9,24)</f>
        <v>21</v>
      </c>
      <c r="C18270" s="12"/>
      <c r="D18270" s="13" t="n">
        <f aca="false">IF(B18270&lt;5,Einstellungen!$B$3,Einstellungen!$B$4)</f>
        <v>29.13</v>
      </c>
      <c r="E18270" s="14" t="str">
        <f aca="false">IF(C18270="","",C18270*D18270/100)</f>
        <v/>
      </c>
      <c r="F18270" s="15" t="str">
        <f aca="false">IF(B18270&lt;5,"Go","Standard")</f>
        <v>Standard</v>
      </c>
    </row>
    <row r="18271" customFormat="false" ht="15" hidden="false" customHeight="true" outlineLevel="0" collapsed="false">
      <c r="A18271" s="10" t="n">
        <f aca="false">Einstellungen!$B$5+INT((ROW()-9)/24)</f>
        <v>46726</v>
      </c>
      <c r="B18271" s="11" t="n">
        <f aca="false">MOD(ROW()-9,24)</f>
        <v>22</v>
      </c>
      <c r="C18271" s="12"/>
      <c r="D18271" s="13" t="n">
        <f aca="false">IF(B18271&lt;5,Einstellungen!$B$3,Einstellungen!$B$4)</f>
        <v>29.13</v>
      </c>
      <c r="E18271" s="14" t="str">
        <f aca="false">IF(C18271="","",C18271*D18271/100)</f>
        <v/>
      </c>
      <c r="F18271" s="15" t="str">
        <f aca="false">IF(B18271&lt;5,"Go","Standard")</f>
        <v>Standard</v>
      </c>
    </row>
    <row r="18272" customFormat="false" ht="15" hidden="false" customHeight="true" outlineLevel="0" collapsed="false">
      <c r="A18272" s="10" t="n">
        <f aca="false">Einstellungen!$B$5+INT((ROW()-9)/24)</f>
        <v>46726</v>
      </c>
      <c r="B18272" s="11" t="n">
        <f aca="false">MOD(ROW()-9,24)</f>
        <v>23</v>
      </c>
      <c r="C18272" s="12"/>
      <c r="D18272" s="13" t="n">
        <f aca="false">IF(B18272&lt;5,Einstellungen!$B$3,Einstellungen!$B$4)</f>
        <v>29.13</v>
      </c>
      <c r="E18272" s="14" t="str">
        <f aca="false">IF(C18272="","",C18272*D18272/100)</f>
        <v/>
      </c>
      <c r="F18272" s="15" t="str">
        <f aca="false">IF(B18272&lt;5,"Go","Standard")</f>
        <v>Standard</v>
      </c>
    </row>
    <row r="18273" customFormat="false" ht="15" hidden="false" customHeight="true" outlineLevel="0" collapsed="false">
      <c r="A18273" s="10" t="n">
        <f aca="false">Einstellungen!$B$5+INT((ROW()-9)/24)</f>
        <v>46727</v>
      </c>
      <c r="B18273" s="11" t="n">
        <f aca="false">MOD(ROW()-9,24)</f>
        <v>0</v>
      </c>
      <c r="C18273" s="12"/>
      <c r="D18273" s="13" t="n">
        <f aca="false">IF(B18273&lt;5,Einstellungen!$B$3,Einstellungen!$B$4)</f>
        <v>15.92</v>
      </c>
      <c r="E18273" s="14" t="str">
        <f aca="false">IF(C18273="","",C18273*D18273/100)</f>
        <v/>
      </c>
      <c r="F18273" s="15" t="str">
        <f aca="false">IF(B18273&lt;5,"Go","Standard")</f>
        <v>Go</v>
      </c>
    </row>
    <row r="18274" customFormat="false" ht="15" hidden="false" customHeight="true" outlineLevel="0" collapsed="false">
      <c r="A18274" s="10" t="n">
        <f aca="false">Einstellungen!$B$5+INT((ROW()-9)/24)</f>
        <v>46727</v>
      </c>
      <c r="B18274" s="11" t="n">
        <f aca="false">MOD(ROW()-9,24)</f>
        <v>1</v>
      </c>
      <c r="C18274" s="12"/>
      <c r="D18274" s="13" t="n">
        <f aca="false">IF(B18274&lt;5,Einstellungen!$B$3,Einstellungen!$B$4)</f>
        <v>15.92</v>
      </c>
      <c r="E18274" s="14" t="str">
        <f aca="false">IF(C18274="","",C18274*D18274/100)</f>
        <v/>
      </c>
      <c r="F18274" s="15" t="str">
        <f aca="false">IF(B18274&lt;5,"Go","Standard")</f>
        <v>Go</v>
      </c>
    </row>
    <row r="18275" customFormat="false" ht="15" hidden="false" customHeight="true" outlineLevel="0" collapsed="false">
      <c r="A18275" s="10" t="n">
        <f aca="false">Einstellungen!$B$5+INT((ROW()-9)/24)</f>
        <v>46727</v>
      </c>
      <c r="B18275" s="11" t="n">
        <f aca="false">MOD(ROW()-9,24)</f>
        <v>2</v>
      </c>
      <c r="C18275" s="12"/>
      <c r="D18275" s="13" t="n">
        <f aca="false">IF(B18275&lt;5,Einstellungen!$B$3,Einstellungen!$B$4)</f>
        <v>15.92</v>
      </c>
      <c r="E18275" s="14" t="str">
        <f aca="false">IF(C18275="","",C18275*D18275/100)</f>
        <v/>
      </c>
      <c r="F18275" s="15" t="str">
        <f aca="false">IF(B18275&lt;5,"Go","Standard")</f>
        <v>Go</v>
      </c>
    </row>
    <row r="18276" customFormat="false" ht="15" hidden="false" customHeight="true" outlineLevel="0" collapsed="false">
      <c r="A18276" s="10" t="n">
        <f aca="false">Einstellungen!$B$5+INT((ROW()-9)/24)</f>
        <v>46727</v>
      </c>
      <c r="B18276" s="11" t="n">
        <f aca="false">MOD(ROW()-9,24)</f>
        <v>3</v>
      </c>
      <c r="C18276" s="12"/>
      <c r="D18276" s="13" t="n">
        <f aca="false">IF(B18276&lt;5,Einstellungen!$B$3,Einstellungen!$B$4)</f>
        <v>15.92</v>
      </c>
      <c r="E18276" s="14" t="str">
        <f aca="false">IF(C18276="","",C18276*D18276/100)</f>
        <v/>
      </c>
      <c r="F18276" s="15" t="str">
        <f aca="false">IF(B18276&lt;5,"Go","Standard")</f>
        <v>Go</v>
      </c>
    </row>
    <row r="18277" customFormat="false" ht="15" hidden="false" customHeight="true" outlineLevel="0" collapsed="false">
      <c r="A18277" s="10" t="n">
        <f aca="false">Einstellungen!$B$5+INT((ROW()-9)/24)</f>
        <v>46727</v>
      </c>
      <c r="B18277" s="11" t="n">
        <f aca="false">MOD(ROW()-9,24)</f>
        <v>4</v>
      </c>
      <c r="C18277" s="12"/>
      <c r="D18277" s="13" t="n">
        <f aca="false">IF(B18277&lt;5,Einstellungen!$B$3,Einstellungen!$B$4)</f>
        <v>15.92</v>
      </c>
      <c r="E18277" s="14" t="str">
        <f aca="false">IF(C18277="","",C18277*D18277/100)</f>
        <v/>
      </c>
      <c r="F18277" s="15" t="str">
        <f aca="false">IF(B18277&lt;5,"Go","Standard")</f>
        <v>Go</v>
      </c>
    </row>
    <row r="18278" customFormat="false" ht="15" hidden="false" customHeight="true" outlineLevel="0" collapsed="false">
      <c r="A18278" s="10" t="n">
        <f aca="false">Einstellungen!$B$5+INT((ROW()-9)/24)</f>
        <v>46727</v>
      </c>
      <c r="B18278" s="11" t="n">
        <f aca="false">MOD(ROW()-9,24)</f>
        <v>5</v>
      </c>
      <c r="C18278" s="12"/>
      <c r="D18278" s="13" t="n">
        <f aca="false">IF(B18278&lt;5,Einstellungen!$B$3,Einstellungen!$B$4)</f>
        <v>29.13</v>
      </c>
      <c r="E18278" s="14" t="str">
        <f aca="false">IF(C18278="","",C18278*D18278/100)</f>
        <v/>
      </c>
      <c r="F18278" s="15" t="str">
        <f aca="false">IF(B18278&lt;5,"Go","Standard")</f>
        <v>Standard</v>
      </c>
    </row>
    <row r="18279" customFormat="false" ht="15" hidden="false" customHeight="true" outlineLevel="0" collapsed="false">
      <c r="A18279" s="10" t="n">
        <f aca="false">Einstellungen!$B$5+INT((ROW()-9)/24)</f>
        <v>46727</v>
      </c>
      <c r="B18279" s="11" t="n">
        <f aca="false">MOD(ROW()-9,24)</f>
        <v>6</v>
      </c>
      <c r="C18279" s="12"/>
      <c r="D18279" s="13" t="n">
        <f aca="false">IF(B18279&lt;5,Einstellungen!$B$3,Einstellungen!$B$4)</f>
        <v>29.13</v>
      </c>
      <c r="E18279" s="14" t="str">
        <f aca="false">IF(C18279="","",C18279*D18279/100)</f>
        <v/>
      </c>
      <c r="F18279" s="15" t="str">
        <f aca="false">IF(B18279&lt;5,"Go","Standard")</f>
        <v>Standard</v>
      </c>
    </row>
    <row r="18280" customFormat="false" ht="15" hidden="false" customHeight="true" outlineLevel="0" collapsed="false">
      <c r="A18280" s="10" t="n">
        <f aca="false">Einstellungen!$B$5+INT((ROW()-9)/24)</f>
        <v>46727</v>
      </c>
      <c r="B18280" s="11" t="n">
        <f aca="false">MOD(ROW()-9,24)</f>
        <v>7</v>
      </c>
      <c r="C18280" s="12"/>
      <c r="D18280" s="13" t="n">
        <f aca="false">IF(B18280&lt;5,Einstellungen!$B$3,Einstellungen!$B$4)</f>
        <v>29.13</v>
      </c>
      <c r="E18280" s="14" t="str">
        <f aca="false">IF(C18280="","",C18280*D18280/100)</f>
        <v/>
      </c>
      <c r="F18280" s="15" t="str">
        <f aca="false">IF(B18280&lt;5,"Go","Standard")</f>
        <v>Standard</v>
      </c>
    </row>
    <row r="18281" customFormat="false" ht="15" hidden="false" customHeight="true" outlineLevel="0" collapsed="false">
      <c r="A18281" s="10" t="n">
        <f aca="false">Einstellungen!$B$5+INT((ROW()-9)/24)</f>
        <v>46727</v>
      </c>
      <c r="B18281" s="11" t="n">
        <f aca="false">MOD(ROW()-9,24)</f>
        <v>8</v>
      </c>
      <c r="C18281" s="12"/>
      <c r="D18281" s="13" t="n">
        <f aca="false">IF(B18281&lt;5,Einstellungen!$B$3,Einstellungen!$B$4)</f>
        <v>29.13</v>
      </c>
      <c r="E18281" s="14" t="str">
        <f aca="false">IF(C18281="","",C18281*D18281/100)</f>
        <v/>
      </c>
      <c r="F18281" s="15" t="str">
        <f aca="false">IF(B18281&lt;5,"Go","Standard")</f>
        <v>Standard</v>
      </c>
    </row>
    <row r="18282" customFormat="false" ht="15" hidden="false" customHeight="true" outlineLevel="0" collapsed="false">
      <c r="A18282" s="10" t="n">
        <f aca="false">Einstellungen!$B$5+INT((ROW()-9)/24)</f>
        <v>46727</v>
      </c>
      <c r="B18282" s="11" t="n">
        <f aca="false">MOD(ROW()-9,24)</f>
        <v>9</v>
      </c>
      <c r="C18282" s="12"/>
      <c r="D18282" s="13" t="n">
        <f aca="false">IF(B18282&lt;5,Einstellungen!$B$3,Einstellungen!$B$4)</f>
        <v>29.13</v>
      </c>
      <c r="E18282" s="14" t="str">
        <f aca="false">IF(C18282="","",C18282*D18282/100)</f>
        <v/>
      </c>
      <c r="F18282" s="15" t="str">
        <f aca="false">IF(B18282&lt;5,"Go","Standard")</f>
        <v>Standard</v>
      </c>
    </row>
    <row r="18283" customFormat="false" ht="15" hidden="false" customHeight="true" outlineLevel="0" collapsed="false">
      <c r="A18283" s="10" t="n">
        <f aca="false">Einstellungen!$B$5+INT((ROW()-9)/24)</f>
        <v>46727</v>
      </c>
      <c r="B18283" s="11" t="n">
        <f aca="false">MOD(ROW()-9,24)</f>
        <v>10</v>
      </c>
      <c r="C18283" s="12"/>
      <c r="D18283" s="13" t="n">
        <f aca="false">IF(B18283&lt;5,Einstellungen!$B$3,Einstellungen!$B$4)</f>
        <v>29.13</v>
      </c>
      <c r="E18283" s="14" t="str">
        <f aca="false">IF(C18283="","",C18283*D18283/100)</f>
        <v/>
      </c>
      <c r="F18283" s="15" t="str">
        <f aca="false">IF(B18283&lt;5,"Go","Standard")</f>
        <v>Standard</v>
      </c>
    </row>
    <row r="18284" customFormat="false" ht="15" hidden="false" customHeight="true" outlineLevel="0" collapsed="false">
      <c r="A18284" s="10" t="n">
        <f aca="false">Einstellungen!$B$5+INT((ROW()-9)/24)</f>
        <v>46727</v>
      </c>
      <c r="B18284" s="11" t="n">
        <f aca="false">MOD(ROW()-9,24)</f>
        <v>11</v>
      </c>
      <c r="C18284" s="12"/>
      <c r="D18284" s="13" t="n">
        <f aca="false">IF(B18284&lt;5,Einstellungen!$B$3,Einstellungen!$B$4)</f>
        <v>29.13</v>
      </c>
      <c r="E18284" s="14" t="str">
        <f aca="false">IF(C18284="","",C18284*D18284/100)</f>
        <v/>
      </c>
      <c r="F18284" s="15" t="str">
        <f aca="false">IF(B18284&lt;5,"Go","Standard")</f>
        <v>Standard</v>
      </c>
    </row>
    <row r="18285" customFormat="false" ht="15" hidden="false" customHeight="true" outlineLevel="0" collapsed="false">
      <c r="A18285" s="10" t="n">
        <f aca="false">Einstellungen!$B$5+INT((ROW()-9)/24)</f>
        <v>46727</v>
      </c>
      <c r="B18285" s="11" t="n">
        <f aca="false">MOD(ROW()-9,24)</f>
        <v>12</v>
      </c>
      <c r="C18285" s="12"/>
      <c r="D18285" s="13" t="n">
        <f aca="false">IF(B18285&lt;5,Einstellungen!$B$3,Einstellungen!$B$4)</f>
        <v>29.13</v>
      </c>
      <c r="E18285" s="14" t="str">
        <f aca="false">IF(C18285="","",C18285*D18285/100)</f>
        <v/>
      </c>
      <c r="F18285" s="15" t="str">
        <f aca="false">IF(B18285&lt;5,"Go","Standard")</f>
        <v>Standard</v>
      </c>
    </row>
    <row r="18286" customFormat="false" ht="15" hidden="false" customHeight="true" outlineLevel="0" collapsed="false">
      <c r="A18286" s="10" t="n">
        <f aca="false">Einstellungen!$B$5+INT((ROW()-9)/24)</f>
        <v>46727</v>
      </c>
      <c r="B18286" s="11" t="n">
        <f aca="false">MOD(ROW()-9,24)</f>
        <v>13</v>
      </c>
      <c r="C18286" s="12"/>
      <c r="D18286" s="13" t="n">
        <f aca="false">IF(B18286&lt;5,Einstellungen!$B$3,Einstellungen!$B$4)</f>
        <v>29.13</v>
      </c>
      <c r="E18286" s="14" t="str">
        <f aca="false">IF(C18286="","",C18286*D18286/100)</f>
        <v/>
      </c>
      <c r="F18286" s="15" t="str">
        <f aca="false">IF(B18286&lt;5,"Go","Standard")</f>
        <v>Standard</v>
      </c>
    </row>
    <row r="18287" customFormat="false" ht="15" hidden="false" customHeight="true" outlineLevel="0" collapsed="false">
      <c r="A18287" s="10" t="n">
        <f aca="false">Einstellungen!$B$5+INT((ROW()-9)/24)</f>
        <v>46727</v>
      </c>
      <c r="B18287" s="11" t="n">
        <f aca="false">MOD(ROW()-9,24)</f>
        <v>14</v>
      </c>
      <c r="C18287" s="12"/>
      <c r="D18287" s="13" t="n">
        <f aca="false">IF(B18287&lt;5,Einstellungen!$B$3,Einstellungen!$B$4)</f>
        <v>29.13</v>
      </c>
      <c r="E18287" s="14" t="str">
        <f aca="false">IF(C18287="","",C18287*D18287/100)</f>
        <v/>
      </c>
      <c r="F18287" s="15" t="str">
        <f aca="false">IF(B18287&lt;5,"Go","Standard")</f>
        <v>Standard</v>
      </c>
    </row>
    <row r="18288" customFormat="false" ht="15" hidden="false" customHeight="true" outlineLevel="0" collapsed="false">
      <c r="A18288" s="10" t="n">
        <f aca="false">Einstellungen!$B$5+INT((ROW()-9)/24)</f>
        <v>46727</v>
      </c>
      <c r="B18288" s="11" t="n">
        <f aca="false">MOD(ROW()-9,24)</f>
        <v>15</v>
      </c>
      <c r="C18288" s="12"/>
      <c r="D18288" s="13" t="n">
        <f aca="false">IF(B18288&lt;5,Einstellungen!$B$3,Einstellungen!$B$4)</f>
        <v>29.13</v>
      </c>
      <c r="E18288" s="14" t="str">
        <f aca="false">IF(C18288="","",C18288*D18288/100)</f>
        <v/>
      </c>
      <c r="F18288" s="15" t="str">
        <f aca="false">IF(B18288&lt;5,"Go","Standard")</f>
        <v>Standard</v>
      </c>
    </row>
    <row r="18289" customFormat="false" ht="15" hidden="false" customHeight="true" outlineLevel="0" collapsed="false">
      <c r="A18289" s="10" t="n">
        <f aca="false">Einstellungen!$B$5+INT((ROW()-9)/24)</f>
        <v>46727</v>
      </c>
      <c r="B18289" s="11" t="n">
        <f aca="false">MOD(ROW()-9,24)</f>
        <v>16</v>
      </c>
      <c r="C18289" s="12"/>
      <c r="D18289" s="13" t="n">
        <f aca="false">IF(B18289&lt;5,Einstellungen!$B$3,Einstellungen!$B$4)</f>
        <v>29.13</v>
      </c>
      <c r="E18289" s="14" t="str">
        <f aca="false">IF(C18289="","",C18289*D18289/100)</f>
        <v/>
      </c>
      <c r="F18289" s="15" t="str">
        <f aca="false">IF(B18289&lt;5,"Go","Standard")</f>
        <v>Standard</v>
      </c>
    </row>
    <row r="18290" customFormat="false" ht="15" hidden="false" customHeight="true" outlineLevel="0" collapsed="false">
      <c r="A18290" s="10" t="n">
        <f aca="false">Einstellungen!$B$5+INT((ROW()-9)/24)</f>
        <v>46727</v>
      </c>
      <c r="B18290" s="11" t="n">
        <f aca="false">MOD(ROW()-9,24)</f>
        <v>17</v>
      </c>
      <c r="C18290" s="12"/>
      <c r="D18290" s="13" t="n">
        <f aca="false">IF(B18290&lt;5,Einstellungen!$B$3,Einstellungen!$B$4)</f>
        <v>29.13</v>
      </c>
      <c r="E18290" s="14" t="str">
        <f aca="false">IF(C18290="","",C18290*D18290/100)</f>
        <v/>
      </c>
      <c r="F18290" s="15" t="str">
        <f aca="false">IF(B18290&lt;5,"Go","Standard")</f>
        <v>Standard</v>
      </c>
    </row>
    <row r="18291" customFormat="false" ht="15" hidden="false" customHeight="true" outlineLevel="0" collapsed="false">
      <c r="A18291" s="10" t="n">
        <f aca="false">Einstellungen!$B$5+INT((ROW()-9)/24)</f>
        <v>46727</v>
      </c>
      <c r="B18291" s="11" t="n">
        <f aca="false">MOD(ROW()-9,24)</f>
        <v>18</v>
      </c>
      <c r="C18291" s="12"/>
      <c r="D18291" s="13" t="n">
        <f aca="false">IF(B18291&lt;5,Einstellungen!$B$3,Einstellungen!$B$4)</f>
        <v>29.13</v>
      </c>
      <c r="E18291" s="14" t="str">
        <f aca="false">IF(C18291="","",C18291*D18291/100)</f>
        <v/>
      </c>
      <c r="F18291" s="15" t="str">
        <f aca="false">IF(B18291&lt;5,"Go","Standard")</f>
        <v>Standard</v>
      </c>
    </row>
    <row r="18292" customFormat="false" ht="15" hidden="false" customHeight="true" outlineLevel="0" collapsed="false">
      <c r="A18292" s="10" t="n">
        <f aca="false">Einstellungen!$B$5+INT((ROW()-9)/24)</f>
        <v>46727</v>
      </c>
      <c r="B18292" s="11" t="n">
        <f aca="false">MOD(ROW()-9,24)</f>
        <v>19</v>
      </c>
      <c r="C18292" s="12"/>
      <c r="D18292" s="13" t="n">
        <f aca="false">IF(B18292&lt;5,Einstellungen!$B$3,Einstellungen!$B$4)</f>
        <v>29.13</v>
      </c>
      <c r="E18292" s="14" t="str">
        <f aca="false">IF(C18292="","",C18292*D18292/100)</f>
        <v/>
      </c>
      <c r="F18292" s="15" t="str">
        <f aca="false">IF(B18292&lt;5,"Go","Standard")</f>
        <v>Standard</v>
      </c>
    </row>
    <row r="18293" customFormat="false" ht="15" hidden="false" customHeight="true" outlineLevel="0" collapsed="false">
      <c r="A18293" s="10" t="n">
        <f aca="false">Einstellungen!$B$5+INT((ROW()-9)/24)</f>
        <v>46727</v>
      </c>
      <c r="B18293" s="11" t="n">
        <f aca="false">MOD(ROW()-9,24)</f>
        <v>20</v>
      </c>
      <c r="C18293" s="12"/>
      <c r="D18293" s="13" t="n">
        <f aca="false">IF(B18293&lt;5,Einstellungen!$B$3,Einstellungen!$B$4)</f>
        <v>29.13</v>
      </c>
      <c r="E18293" s="14" t="str">
        <f aca="false">IF(C18293="","",C18293*D18293/100)</f>
        <v/>
      </c>
      <c r="F18293" s="15" t="str">
        <f aca="false">IF(B18293&lt;5,"Go","Standard")</f>
        <v>Standard</v>
      </c>
    </row>
    <row r="18294" customFormat="false" ht="15" hidden="false" customHeight="true" outlineLevel="0" collapsed="false">
      <c r="A18294" s="10" t="n">
        <f aca="false">Einstellungen!$B$5+INT((ROW()-9)/24)</f>
        <v>46727</v>
      </c>
      <c r="B18294" s="11" t="n">
        <f aca="false">MOD(ROW()-9,24)</f>
        <v>21</v>
      </c>
      <c r="C18294" s="12"/>
      <c r="D18294" s="13" t="n">
        <f aca="false">IF(B18294&lt;5,Einstellungen!$B$3,Einstellungen!$B$4)</f>
        <v>29.13</v>
      </c>
      <c r="E18294" s="14" t="str">
        <f aca="false">IF(C18294="","",C18294*D18294/100)</f>
        <v/>
      </c>
      <c r="F18294" s="15" t="str">
        <f aca="false">IF(B18294&lt;5,"Go","Standard")</f>
        <v>Standard</v>
      </c>
    </row>
    <row r="18295" customFormat="false" ht="15" hidden="false" customHeight="true" outlineLevel="0" collapsed="false">
      <c r="A18295" s="10" t="n">
        <f aca="false">Einstellungen!$B$5+INT((ROW()-9)/24)</f>
        <v>46727</v>
      </c>
      <c r="B18295" s="11" t="n">
        <f aca="false">MOD(ROW()-9,24)</f>
        <v>22</v>
      </c>
      <c r="C18295" s="12"/>
      <c r="D18295" s="13" t="n">
        <f aca="false">IF(B18295&lt;5,Einstellungen!$B$3,Einstellungen!$B$4)</f>
        <v>29.13</v>
      </c>
      <c r="E18295" s="14" t="str">
        <f aca="false">IF(C18295="","",C18295*D18295/100)</f>
        <v/>
      </c>
      <c r="F18295" s="15" t="str">
        <f aca="false">IF(B18295&lt;5,"Go","Standard")</f>
        <v>Standard</v>
      </c>
    </row>
    <row r="18296" customFormat="false" ht="15" hidden="false" customHeight="true" outlineLevel="0" collapsed="false">
      <c r="A18296" s="10" t="n">
        <f aca="false">Einstellungen!$B$5+INT((ROW()-9)/24)</f>
        <v>46727</v>
      </c>
      <c r="B18296" s="11" t="n">
        <f aca="false">MOD(ROW()-9,24)</f>
        <v>23</v>
      </c>
      <c r="C18296" s="12"/>
      <c r="D18296" s="13" t="n">
        <f aca="false">IF(B18296&lt;5,Einstellungen!$B$3,Einstellungen!$B$4)</f>
        <v>29.13</v>
      </c>
      <c r="E18296" s="14" t="str">
        <f aca="false">IF(C18296="","",C18296*D18296/100)</f>
        <v/>
      </c>
      <c r="F18296" s="15" t="str">
        <f aca="false">IF(B18296&lt;5,"Go","Standard")</f>
        <v>Standard</v>
      </c>
    </row>
    <row r="18297" customFormat="false" ht="15" hidden="false" customHeight="true" outlineLevel="0" collapsed="false">
      <c r="A18297" s="10" t="n">
        <f aca="false">Einstellungen!$B$5+INT((ROW()-9)/24)</f>
        <v>46728</v>
      </c>
      <c r="B18297" s="11" t="n">
        <f aca="false">MOD(ROW()-9,24)</f>
        <v>0</v>
      </c>
      <c r="C18297" s="12"/>
      <c r="D18297" s="13" t="n">
        <f aca="false">IF(B18297&lt;5,Einstellungen!$B$3,Einstellungen!$B$4)</f>
        <v>15.92</v>
      </c>
      <c r="E18297" s="14" t="str">
        <f aca="false">IF(C18297="","",C18297*D18297/100)</f>
        <v/>
      </c>
      <c r="F18297" s="15" t="str">
        <f aca="false">IF(B18297&lt;5,"Go","Standard")</f>
        <v>Go</v>
      </c>
    </row>
    <row r="18298" customFormat="false" ht="15" hidden="false" customHeight="true" outlineLevel="0" collapsed="false">
      <c r="A18298" s="10" t="n">
        <f aca="false">Einstellungen!$B$5+INT((ROW()-9)/24)</f>
        <v>46728</v>
      </c>
      <c r="B18298" s="11" t="n">
        <f aca="false">MOD(ROW()-9,24)</f>
        <v>1</v>
      </c>
      <c r="C18298" s="12"/>
      <c r="D18298" s="13" t="n">
        <f aca="false">IF(B18298&lt;5,Einstellungen!$B$3,Einstellungen!$B$4)</f>
        <v>15.92</v>
      </c>
      <c r="E18298" s="14" t="str">
        <f aca="false">IF(C18298="","",C18298*D18298/100)</f>
        <v/>
      </c>
      <c r="F18298" s="15" t="str">
        <f aca="false">IF(B18298&lt;5,"Go","Standard")</f>
        <v>Go</v>
      </c>
    </row>
    <row r="18299" customFormat="false" ht="15" hidden="false" customHeight="true" outlineLevel="0" collapsed="false">
      <c r="A18299" s="10" t="n">
        <f aca="false">Einstellungen!$B$5+INT((ROW()-9)/24)</f>
        <v>46728</v>
      </c>
      <c r="B18299" s="11" t="n">
        <f aca="false">MOD(ROW()-9,24)</f>
        <v>2</v>
      </c>
      <c r="C18299" s="12"/>
      <c r="D18299" s="13" t="n">
        <f aca="false">IF(B18299&lt;5,Einstellungen!$B$3,Einstellungen!$B$4)</f>
        <v>15.92</v>
      </c>
      <c r="E18299" s="14" t="str">
        <f aca="false">IF(C18299="","",C18299*D18299/100)</f>
        <v/>
      </c>
      <c r="F18299" s="15" t="str">
        <f aca="false">IF(B18299&lt;5,"Go","Standard")</f>
        <v>Go</v>
      </c>
    </row>
    <row r="18300" customFormat="false" ht="15" hidden="false" customHeight="true" outlineLevel="0" collapsed="false">
      <c r="A18300" s="10" t="n">
        <f aca="false">Einstellungen!$B$5+INT((ROW()-9)/24)</f>
        <v>46728</v>
      </c>
      <c r="B18300" s="11" t="n">
        <f aca="false">MOD(ROW()-9,24)</f>
        <v>3</v>
      </c>
      <c r="C18300" s="12"/>
      <c r="D18300" s="13" t="n">
        <f aca="false">IF(B18300&lt;5,Einstellungen!$B$3,Einstellungen!$B$4)</f>
        <v>15.92</v>
      </c>
      <c r="E18300" s="14" t="str">
        <f aca="false">IF(C18300="","",C18300*D18300/100)</f>
        <v/>
      </c>
      <c r="F18300" s="15" t="str">
        <f aca="false">IF(B18300&lt;5,"Go","Standard")</f>
        <v>Go</v>
      </c>
    </row>
    <row r="18301" customFormat="false" ht="15" hidden="false" customHeight="true" outlineLevel="0" collapsed="false">
      <c r="A18301" s="10" t="n">
        <f aca="false">Einstellungen!$B$5+INT((ROW()-9)/24)</f>
        <v>46728</v>
      </c>
      <c r="B18301" s="11" t="n">
        <f aca="false">MOD(ROW()-9,24)</f>
        <v>4</v>
      </c>
      <c r="C18301" s="12"/>
      <c r="D18301" s="13" t="n">
        <f aca="false">IF(B18301&lt;5,Einstellungen!$B$3,Einstellungen!$B$4)</f>
        <v>15.92</v>
      </c>
      <c r="E18301" s="14" t="str">
        <f aca="false">IF(C18301="","",C18301*D18301/100)</f>
        <v/>
      </c>
      <c r="F18301" s="15" t="str">
        <f aca="false">IF(B18301&lt;5,"Go","Standard")</f>
        <v>Go</v>
      </c>
    </row>
    <row r="18302" customFormat="false" ht="15" hidden="false" customHeight="true" outlineLevel="0" collapsed="false">
      <c r="A18302" s="10" t="n">
        <f aca="false">Einstellungen!$B$5+INT((ROW()-9)/24)</f>
        <v>46728</v>
      </c>
      <c r="B18302" s="11" t="n">
        <f aca="false">MOD(ROW()-9,24)</f>
        <v>5</v>
      </c>
      <c r="C18302" s="12"/>
      <c r="D18302" s="13" t="n">
        <f aca="false">IF(B18302&lt;5,Einstellungen!$B$3,Einstellungen!$B$4)</f>
        <v>29.13</v>
      </c>
      <c r="E18302" s="14" t="str">
        <f aca="false">IF(C18302="","",C18302*D18302/100)</f>
        <v/>
      </c>
      <c r="F18302" s="15" t="str">
        <f aca="false">IF(B18302&lt;5,"Go","Standard")</f>
        <v>Standard</v>
      </c>
    </row>
    <row r="18303" customFormat="false" ht="15" hidden="false" customHeight="true" outlineLevel="0" collapsed="false">
      <c r="A18303" s="10" t="n">
        <f aca="false">Einstellungen!$B$5+INT((ROW()-9)/24)</f>
        <v>46728</v>
      </c>
      <c r="B18303" s="11" t="n">
        <f aca="false">MOD(ROW()-9,24)</f>
        <v>6</v>
      </c>
      <c r="C18303" s="12"/>
      <c r="D18303" s="13" t="n">
        <f aca="false">IF(B18303&lt;5,Einstellungen!$B$3,Einstellungen!$B$4)</f>
        <v>29.13</v>
      </c>
      <c r="E18303" s="14" t="str">
        <f aca="false">IF(C18303="","",C18303*D18303/100)</f>
        <v/>
      </c>
      <c r="F18303" s="15" t="str">
        <f aca="false">IF(B18303&lt;5,"Go","Standard")</f>
        <v>Standard</v>
      </c>
    </row>
    <row r="18304" customFormat="false" ht="15" hidden="false" customHeight="true" outlineLevel="0" collapsed="false">
      <c r="A18304" s="10" t="n">
        <f aca="false">Einstellungen!$B$5+INT((ROW()-9)/24)</f>
        <v>46728</v>
      </c>
      <c r="B18304" s="11" t="n">
        <f aca="false">MOD(ROW()-9,24)</f>
        <v>7</v>
      </c>
      <c r="C18304" s="12"/>
      <c r="D18304" s="13" t="n">
        <f aca="false">IF(B18304&lt;5,Einstellungen!$B$3,Einstellungen!$B$4)</f>
        <v>29.13</v>
      </c>
      <c r="E18304" s="14" t="str">
        <f aca="false">IF(C18304="","",C18304*D18304/100)</f>
        <v/>
      </c>
      <c r="F18304" s="15" t="str">
        <f aca="false">IF(B18304&lt;5,"Go","Standard")</f>
        <v>Standard</v>
      </c>
    </row>
    <row r="18305" customFormat="false" ht="15" hidden="false" customHeight="true" outlineLevel="0" collapsed="false">
      <c r="A18305" s="10" t="n">
        <f aca="false">Einstellungen!$B$5+INT((ROW()-9)/24)</f>
        <v>46728</v>
      </c>
      <c r="B18305" s="11" t="n">
        <f aca="false">MOD(ROW()-9,24)</f>
        <v>8</v>
      </c>
      <c r="C18305" s="12"/>
      <c r="D18305" s="13" t="n">
        <f aca="false">IF(B18305&lt;5,Einstellungen!$B$3,Einstellungen!$B$4)</f>
        <v>29.13</v>
      </c>
      <c r="E18305" s="14" t="str">
        <f aca="false">IF(C18305="","",C18305*D18305/100)</f>
        <v/>
      </c>
      <c r="F18305" s="15" t="str">
        <f aca="false">IF(B18305&lt;5,"Go","Standard")</f>
        <v>Standard</v>
      </c>
    </row>
    <row r="18306" customFormat="false" ht="15" hidden="false" customHeight="true" outlineLevel="0" collapsed="false">
      <c r="A18306" s="10" t="n">
        <f aca="false">Einstellungen!$B$5+INT((ROW()-9)/24)</f>
        <v>46728</v>
      </c>
      <c r="B18306" s="11" t="n">
        <f aca="false">MOD(ROW()-9,24)</f>
        <v>9</v>
      </c>
      <c r="C18306" s="12"/>
      <c r="D18306" s="13" t="n">
        <f aca="false">IF(B18306&lt;5,Einstellungen!$B$3,Einstellungen!$B$4)</f>
        <v>29.13</v>
      </c>
      <c r="E18306" s="14" t="str">
        <f aca="false">IF(C18306="","",C18306*D18306/100)</f>
        <v/>
      </c>
      <c r="F18306" s="15" t="str">
        <f aca="false">IF(B18306&lt;5,"Go","Standard")</f>
        <v>Standard</v>
      </c>
    </row>
    <row r="18307" customFormat="false" ht="15" hidden="false" customHeight="true" outlineLevel="0" collapsed="false">
      <c r="A18307" s="10" t="n">
        <f aca="false">Einstellungen!$B$5+INT((ROW()-9)/24)</f>
        <v>46728</v>
      </c>
      <c r="B18307" s="11" t="n">
        <f aca="false">MOD(ROW()-9,24)</f>
        <v>10</v>
      </c>
      <c r="C18307" s="12"/>
      <c r="D18307" s="13" t="n">
        <f aca="false">IF(B18307&lt;5,Einstellungen!$B$3,Einstellungen!$B$4)</f>
        <v>29.13</v>
      </c>
      <c r="E18307" s="14" t="str">
        <f aca="false">IF(C18307="","",C18307*D18307/100)</f>
        <v/>
      </c>
      <c r="F18307" s="15" t="str">
        <f aca="false">IF(B18307&lt;5,"Go","Standard")</f>
        <v>Standard</v>
      </c>
    </row>
    <row r="18308" customFormat="false" ht="15" hidden="false" customHeight="true" outlineLevel="0" collapsed="false">
      <c r="A18308" s="10" t="n">
        <f aca="false">Einstellungen!$B$5+INT((ROW()-9)/24)</f>
        <v>46728</v>
      </c>
      <c r="B18308" s="11" t="n">
        <f aca="false">MOD(ROW()-9,24)</f>
        <v>11</v>
      </c>
      <c r="C18308" s="12"/>
      <c r="D18308" s="13" t="n">
        <f aca="false">IF(B18308&lt;5,Einstellungen!$B$3,Einstellungen!$B$4)</f>
        <v>29.13</v>
      </c>
      <c r="E18308" s="14" t="str">
        <f aca="false">IF(C18308="","",C18308*D18308/100)</f>
        <v/>
      </c>
      <c r="F18308" s="15" t="str">
        <f aca="false">IF(B18308&lt;5,"Go","Standard")</f>
        <v>Standard</v>
      </c>
    </row>
    <row r="18309" customFormat="false" ht="15" hidden="false" customHeight="true" outlineLevel="0" collapsed="false">
      <c r="A18309" s="10" t="n">
        <f aca="false">Einstellungen!$B$5+INT((ROW()-9)/24)</f>
        <v>46728</v>
      </c>
      <c r="B18309" s="11" t="n">
        <f aca="false">MOD(ROW()-9,24)</f>
        <v>12</v>
      </c>
      <c r="C18309" s="12"/>
      <c r="D18309" s="13" t="n">
        <f aca="false">IF(B18309&lt;5,Einstellungen!$B$3,Einstellungen!$B$4)</f>
        <v>29.13</v>
      </c>
      <c r="E18309" s="14" t="str">
        <f aca="false">IF(C18309="","",C18309*D18309/100)</f>
        <v/>
      </c>
      <c r="F18309" s="15" t="str">
        <f aca="false">IF(B18309&lt;5,"Go","Standard")</f>
        <v>Standard</v>
      </c>
    </row>
    <row r="18310" customFormat="false" ht="15" hidden="false" customHeight="true" outlineLevel="0" collapsed="false">
      <c r="A18310" s="10" t="n">
        <f aca="false">Einstellungen!$B$5+INT((ROW()-9)/24)</f>
        <v>46728</v>
      </c>
      <c r="B18310" s="11" t="n">
        <f aca="false">MOD(ROW()-9,24)</f>
        <v>13</v>
      </c>
      <c r="C18310" s="12"/>
      <c r="D18310" s="13" t="n">
        <f aca="false">IF(B18310&lt;5,Einstellungen!$B$3,Einstellungen!$B$4)</f>
        <v>29.13</v>
      </c>
      <c r="E18310" s="14" t="str">
        <f aca="false">IF(C18310="","",C18310*D18310/100)</f>
        <v/>
      </c>
      <c r="F18310" s="15" t="str">
        <f aca="false">IF(B18310&lt;5,"Go","Standard")</f>
        <v>Standard</v>
      </c>
    </row>
    <row r="18311" customFormat="false" ht="15" hidden="false" customHeight="true" outlineLevel="0" collapsed="false">
      <c r="A18311" s="10" t="n">
        <f aca="false">Einstellungen!$B$5+INT((ROW()-9)/24)</f>
        <v>46728</v>
      </c>
      <c r="B18311" s="11" t="n">
        <f aca="false">MOD(ROW()-9,24)</f>
        <v>14</v>
      </c>
      <c r="C18311" s="12"/>
      <c r="D18311" s="13" t="n">
        <f aca="false">IF(B18311&lt;5,Einstellungen!$B$3,Einstellungen!$B$4)</f>
        <v>29.13</v>
      </c>
      <c r="E18311" s="14" t="str">
        <f aca="false">IF(C18311="","",C18311*D18311/100)</f>
        <v/>
      </c>
      <c r="F18311" s="15" t="str">
        <f aca="false">IF(B18311&lt;5,"Go","Standard")</f>
        <v>Standard</v>
      </c>
    </row>
    <row r="18312" customFormat="false" ht="15" hidden="false" customHeight="true" outlineLevel="0" collapsed="false">
      <c r="A18312" s="10" t="n">
        <f aca="false">Einstellungen!$B$5+INT((ROW()-9)/24)</f>
        <v>46728</v>
      </c>
      <c r="B18312" s="11" t="n">
        <f aca="false">MOD(ROW()-9,24)</f>
        <v>15</v>
      </c>
      <c r="C18312" s="12"/>
      <c r="D18312" s="13" t="n">
        <f aca="false">IF(B18312&lt;5,Einstellungen!$B$3,Einstellungen!$B$4)</f>
        <v>29.13</v>
      </c>
      <c r="E18312" s="14" t="str">
        <f aca="false">IF(C18312="","",C18312*D18312/100)</f>
        <v/>
      </c>
      <c r="F18312" s="15" t="str">
        <f aca="false">IF(B18312&lt;5,"Go","Standard")</f>
        <v>Standard</v>
      </c>
    </row>
    <row r="18313" customFormat="false" ht="15" hidden="false" customHeight="true" outlineLevel="0" collapsed="false">
      <c r="A18313" s="10" t="n">
        <f aca="false">Einstellungen!$B$5+INT((ROW()-9)/24)</f>
        <v>46728</v>
      </c>
      <c r="B18313" s="11" t="n">
        <f aca="false">MOD(ROW()-9,24)</f>
        <v>16</v>
      </c>
      <c r="C18313" s="12"/>
      <c r="D18313" s="13" t="n">
        <f aca="false">IF(B18313&lt;5,Einstellungen!$B$3,Einstellungen!$B$4)</f>
        <v>29.13</v>
      </c>
      <c r="E18313" s="14" t="str">
        <f aca="false">IF(C18313="","",C18313*D18313/100)</f>
        <v/>
      </c>
      <c r="F18313" s="15" t="str">
        <f aca="false">IF(B18313&lt;5,"Go","Standard")</f>
        <v>Standard</v>
      </c>
    </row>
    <row r="18314" customFormat="false" ht="15" hidden="false" customHeight="true" outlineLevel="0" collapsed="false">
      <c r="A18314" s="10" t="n">
        <f aca="false">Einstellungen!$B$5+INT((ROW()-9)/24)</f>
        <v>46728</v>
      </c>
      <c r="B18314" s="11" t="n">
        <f aca="false">MOD(ROW()-9,24)</f>
        <v>17</v>
      </c>
      <c r="C18314" s="12"/>
      <c r="D18314" s="13" t="n">
        <f aca="false">IF(B18314&lt;5,Einstellungen!$B$3,Einstellungen!$B$4)</f>
        <v>29.13</v>
      </c>
      <c r="E18314" s="14" t="str">
        <f aca="false">IF(C18314="","",C18314*D18314/100)</f>
        <v/>
      </c>
      <c r="F18314" s="15" t="str">
        <f aca="false">IF(B18314&lt;5,"Go","Standard")</f>
        <v>Standard</v>
      </c>
    </row>
    <row r="18315" customFormat="false" ht="15" hidden="false" customHeight="true" outlineLevel="0" collapsed="false">
      <c r="A18315" s="10" t="n">
        <f aca="false">Einstellungen!$B$5+INT((ROW()-9)/24)</f>
        <v>46728</v>
      </c>
      <c r="B18315" s="11" t="n">
        <f aca="false">MOD(ROW()-9,24)</f>
        <v>18</v>
      </c>
      <c r="C18315" s="12"/>
      <c r="D18315" s="13" t="n">
        <f aca="false">IF(B18315&lt;5,Einstellungen!$B$3,Einstellungen!$B$4)</f>
        <v>29.13</v>
      </c>
      <c r="E18315" s="14" t="str">
        <f aca="false">IF(C18315="","",C18315*D18315/100)</f>
        <v/>
      </c>
      <c r="F18315" s="15" t="str">
        <f aca="false">IF(B18315&lt;5,"Go","Standard")</f>
        <v>Standard</v>
      </c>
    </row>
    <row r="18316" customFormat="false" ht="15" hidden="false" customHeight="true" outlineLevel="0" collapsed="false">
      <c r="A18316" s="10" t="n">
        <f aca="false">Einstellungen!$B$5+INT((ROW()-9)/24)</f>
        <v>46728</v>
      </c>
      <c r="B18316" s="11" t="n">
        <f aca="false">MOD(ROW()-9,24)</f>
        <v>19</v>
      </c>
      <c r="C18316" s="12"/>
      <c r="D18316" s="13" t="n">
        <f aca="false">IF(B18316&lt;5,Einstellungen!$B$3,Einstellungen!$B$4)</f>
        <v>29.13</v>
      </c>
      <c r="E18316" s="14" t="str">
        <f aca="false">IF(C18316="","",C18316*D18316/100)</f>
        <v/>
      </c>
      <c r="F18316" s="15" t="str">
        <f aca="false">IF(B18316&lt;5,"Go","Standard")</f>
        <v>Standard</v>
      </c>
    </row>
    <row r="18317" customFormat="false" ht="15" hidden="false" customHeight="true" outlineLevel="0" collapsed="false">
      <c r="A18317" s="10" t="n">
        <f aca="false">Einstellungen!$B$5+INT((ROW()-9)/24)</f>
        <v>46728</v>
      </c>
      <c r="B18317" s="11" t="n">
        <f aca="false">MOD(ROW()-9,24)</f>
        <v>20</v>
      </c>
      <c r="C18317" s="12"/>
      <c r="D18317" s="13" t="n">
        <f aca="false">IF(B18317&lt;5,Einstellungen!$B$3,Einstellungen!$B$4)</f>
        <v>29.13</v>
      </c>
      <c r="E18317" s="14" t="str">
        <f aca="false">IF(C18317="","",C18317*D18317/100)</f>
        <v/>
      </c>
      <c r="F18317" s="15" t="str">
        <f aca="false">IF(B18317&lt;5,"Go","Standard")</f>
        <v>Standard</v>
      </c>
    </row>
    <row r="18318" customFormat="false" ht="15" hidden="false" customHeight="true" outlineLevel="0" collapsed="false">
      <c r="A18318" s="10" t="n">
        <f aca="false">Einstellungen!$B$5+INT((ROW()-9)/24)</f>
        <v>46728</v>
      </c>
      <c r="B18318" s="11" t="n">
        <f aca="false">MOD(ROW()-9,24)</f>
        <v>21</v>
      </c>
      <c r="C18318" s="12"/>
      <c r="D18318" s="13" t="n">
        <f aca="false">IF(B18318&lt;5,Einstellungen!$B$3,Einstellungen!$B$4)</f>
        <v>29.13</v>
      </c>
      <c r="E18318" s="14" t="str">
        <f aca="false">IF(C18318="","",C18318*D18318/100)</f>
        <v/>
      </c>
      <c r="F18318" s="15" t="str">
        <f aca="false">IF(B18318&lt;5,"Go","Standard")</f>
        <v>Standard</v>
      </c>
    </row>
    <row r="18319" customFormat="false" ht="15" hidden="false" customHeight="true" outlineLevel="0" collapsed="false">
      <c r="A18319" s="10" t="n">
        <f aca="false">Einstellungen!$B$5+INT((ROW()-9)/24)</f>
        <v>46728</v>
      </c>
      <c r="B18319" s="11" t="n">
        <f aca="false">MOD(ROW()-9,24)</f>
        <v>22</v>
      </c>
      <c r="C18319" s="12"/>
      <c r="D18319" s="13" t="n">
        <f aca="false">IF(B18319&lt;5,Einstellungen!$B$3,Einstellungen!$B$4)</f>
        <v>29.13</v>
      </c>
      <c r="E18319" s="14" t="str">
        <f aca="false">IF(C18319="","",C18319*D18319/100)</f>
        <v/>
      </c>
      <c r="F18319" s="15" t="str">
        <f aca="false">IF(B18319&lt;5,"Go","Standard")</f>
        <v>Standard</v>
      </c>
    </row>
    <row r="18320" customFormat="false" ht="15" hidden="false" customHeight="true" outlineLevel="0" collapsed="false">
      <c r="A18320" s="10" t="n">
        <f aca="false">Einstellungen!$B$5+INT((ROW()-9)/24)</f>
        <v>46728</v>
      </c>
      <c r="B18320" s="11" t="n">
        <f aca="false">MOD(ROW()-9,24)</f>
        <v>23</v>
      </c>
      <c r="C18320" s="12"/>
      <c r="D18320" s="13" t="n">
        <f aca="false">IF(B18320&lt;5,Einstellungen!$B$3,Einstellungen!$B$4)</f>
        <v>29.13</v>
      </c>
      <c r="E18320" s="14" t="str">
        <f aca="false">IF(C18320="","",C18320*D18320/100)</f>
        <v/>
      </c>
      <c r="F18320" s="15" t="str">
        <f aca="false">IF(B18320&lt;5,"Go","Standard")</f>
        <v>Standard</v>
      </c>
    </row>
    <row r="18321" customFormat="false" ht="15" hidden="false" customHeight="true" outlineLevel="0" collapsed="false">
      <c r="A18321" s="10" t="n">
        <f aca="false">Einstellungen!$B$5+INT((ROW()-9)/24)</f>
        <v>46729</v>
      </c>
      <c r="B18321" s="11" t="n">
        <f aca="false">MOD(ROW()-9,24)</f>
        <v>0</v>
      </c>
      <c r="C18321" s="12"/>
      <c r="D18321" s="13" t="n">
        <f aca="false">IF(B18321&lt;5,Einstellungen!$B$3,Einstellungen!$B$4)</f>
        <v>15.92</v>
      </c>
      <c r="E18321" s="14" t="str">
        <f aca="false">IF(C18321="","",C18321*D18321/100)</f>
        <v/>
      </c>
      <c r="F18321" s="15" t="str">
        <f aca="false">IF(B18321&lt;5,"Go","Standard")</f>
        <v>Go</v>
      </c>
    </row>
    <row r="18322" customFormat="false" ht="15" hidden="false" customHeight="true" outlineLevel="0" collapsed="false">
      <c r="A18322" s="10" t="n">
        <f aca="false">Einstellungen!$B$5+INT((ROW()-9)/24)</f>
        <v>46729</v>
      </c>
      <c r="B18322" s="11" t="n">
        <f aca="false">MOD(ROW()-9,24)</f>
        <v>1</v>
      </c>
      <c r="C18322" s="12"/>
      <c r="D18322" s="13" t="n">
        <f aca="false">IF(B18322&lt;5,Einstellungen!$B$3,Einstellungen!$B$4)</f>
        <v>15.92</v>
      </c>
      <c r="E18322" s="14" t="str">
        <f aca="false">IF(C18322="","",C18322*D18322/100)</f>
        <v/>
      </c>
      <c r="F18322" s="15" t="str">
        <f aca="false">IF(B18322&lt;5,"Go","Standard")</f>
        <v>Go</v>
      </c>
    </row>
    <row r="18323" customFormat="false" ht="15" hidden="false" customHeight="true" outlineLevel="0" collapsed="false">
      <c r="A18323" s="10" t="n">
        <f aca="false">Einstellungen!$B$5+INT((ROW()-9)/24)</f>
        <v>46729</v>
      </c>
      <c r="B18323" s="11" t="n">
        <f aca="false">MOD(ROW()-9,24)</f>
        <v>2</v>
      </c>
      <c r="C18323" s="12"/>
      <c r="D18323" s="13" t="n">
        <f aca="false">IF(B18323&lt;5,Einstellungen!$B$3,Einstellungen!$B$4)</f>
        <v>15.92</v>
      </c>
      <c r="E18323" s="14" t="str">
        <f aca="false">IF(C18323="","",C18323*D18323/100)</f>
        <v/>
      </c>
      <c r="F18323" s="15" t="str">
        <f aca="false">IF(B18323&lt;5,"Go","Standard")</f>
        <v>Go</v>
      </c>
    </row>
    <row r="18324" customFormat="false" ht="15" hidden="false" customHeight="true" outlineLevel="0" collapsed="false">
      <c r="A18324" s="10" t="n">
        <f aca="false">Einstellungen!$B$5+INT((ROW()-9)/24)</f>
        <v>46729</v>
      </c>
      <c r="B18324" s="11" t="n">
        <f aca="false">MOD(ROW()-9,24)</f>
        <v>3</v>
      </c>
      <c r="C18324" s="12"/>
      <c r="D18324" s="13" t="n">
        <f aca="false">IF(B18324&lt;5,Einstellungen!$B$3,Einstellungen!$B$4)</f>
        <v>15.92</v>
      </c>
      <c r="E18324" s="14" t="str">
        <f aca="false">IF(C18324="","",C18324*D18324/100)</f>
        <v/>
      </c>
      <c r="F18324" s="15" t="str">
        <f aca="false">IF(B18324&lt;5,"Go","Standard")</f>
        <v>Go</v>
      </c>
    </row>
    <row r="18325" customFormat="false" ht="15" hidden="false" customHeight="true" outlineLevel="0" collapsed="false">
      <c r="A18325" s="10" t="n">
        <f aca="false">Einstellungen!$B$5+INT((ROW()-9)/24)</f>
        <v>46729</v>
      </c>
      <c r="B18325" s="11" t="n">
        <f aca="false">MOD(ROW()-9,24)</f>
        <v>4</v>
      </c>
      <c r="C18325" s="12"/>
      <c r="D18325" s="13" t="n">
        <f aca="false">IF(B18325&lt;5,Einstellungen!$B$3,Einstellungen!$B$4)</f>
        <v>15.92</v>
      </c>
      <c r="E18325" s="14" t="str">
        <f aca="false">IF(C18325="","",C18325*D18325/100)</f>
        <v/>
      </c>
      <c r="F18325" s="15" t="str">
        <f aca="false">IF(B18325&lt;5,"Go","Standard")</f>
        <v>Go</v>
      </c>
    </row>
    <row r="18326" customFormat="false" ht="15" hidden="false" customHeight="true" outlineLevel="0" collapsed="false">
      <c r="A18326" s="10" t="n">
        <f aca="false">Einstellungen!$B$5+INT((ROW()-9)/24)</f>
        <v>46729</v>
      </c>
      <c r="B18326" s="11" t="n">
        <f aca="false">MOD(ROW()-9,24)</f>
        <v>5</v>
      </c>
      <c r="C18326" s="12"/>
      <c r="D18326" s="13" t="n">
        <f aca="false">IF(B18326&lt;5,Einstellungen!$B$3,Einstellungen!$B$4)</f>
        <v>29.13</v>
      </c>
      <c r="E18326" s="14" t="str">
        <f aca="false">IF(C18326="","",C18326*D18326/100)</f>
        <v/>
      </c>
      <c r="F18326" s="15" t="str">
        <f aca="false">IF(B18326&lt;5,"Go","Standard")</f>
        <v>Standard</v>
      </c>
    </row>
    <row r="18327" customFormat="false" ht="15" hidden="false" customHeight="true" outlineLevel="0" collapsed="false">
      <c r="A18327" s="10" t="n">
        <f aca="false">Einstellungen!$B$5+INT((ROW()-9)/24)</f>
        <v>46729</v>
      </c>
      <c r="B18327" s="11" t="n">
        <f aca="false">MOD(ROW()-9,24)</f>
        <v>6</v>
      </c>
      <c r="C18327" s="12"/>
      <c r="D18327" s="13" t="n">
        <f aca="false">IF(B18327&lt;5,Einstellungen!$B$3,Einstellungen!$B$4)</f>
        <v>29.13</v>
      </c>
      <c r="E18327" s="14" t="str">
        <f aca="false">IF(C18327="","",C18327*D18327/100)</f>
        <v/>
      </c>
      <c r="F18327" s="15" t="str">
        <f aca="false">IF(B18327&lt;5,"Go","Standard")</f>
        <v>Standard</v>
      </c>
    </row>
    <row r="18328" customFormat="false" ht="15" hidden="false" customHeight="true" outlineLevel="0" collapsed="false">
      <c r="A18328" s="10" t="n">
        <f aca="false">Einstellungen!$B$5+INT((ROW()-9)/24)</f>
        <v>46729</v>
      </c>
      <c r="B18328" s="11" t="n">
        <f aca="false">MOD(ROW()-9,24)</f>
        <v>7</v>
      </c>
      <c r="C18328" s="12"/>
      <c r="D18328" s="13" t="n">
        <f aca="false">IF(B18328&lt;5,Einstellungen!$B$3,Einstellungen!$B$4)</f>
        <v>29.13</v>
      </c>
      <c r="E18328" s="14" t="str">
        <f aca="false">IF(C18328="","",C18328*D18328/100)</f>
        <v/>
      </c>
      <c r="F18328" s="15" t="str">
        <f aca="false">IF(B18328&lt;5,"Go","Standard")</f>
        <v>Standard</v>
      </c>
    </row>
    <row r="18329" customFormat="false" ht="15" hidden="false" customHeight="true" outlineLevel="0" collapsed="false">
      <c r="A18329" s="10" t="n">
        <f aca="false">Einstellungen!$B$5+INT((ROW()-9)/24)</f>
        <v>46729</v>
      </c>
      <c r="B18329" s="11" t="n">
        <f aca="false">MOD(ROW()-9,24)</f>
        <v>8</v>
      </c>
      <c r="C18329" s="12"/>
      <c r="D18329" s="13" t="n">
        <f aca="false">IF(B18329&lt;5,Einstellungen!$B$3,Einstellungen!$B$4)</f>
        <v>29.13</v>
      </c>
      <c r="E18329" s="14" t="str">
        <f aca="false">IF(C18329="","",C18329*D18329/100)</f>
        <v/>
      </c>
      <c r="F18329" s="15" t="str">
        <f aca="false">IF(B18329&lt;5,"Go","Standard")</f>
        <v>Standard</v>
      </c>
    </row>
    <row r="18330" customFormat="false" ht="15" hidden="false" customHeight="true" outlineLevel="0" collapsed="false">
      <c r="A18330" s="10" t="n">
        <f aca="false">Einstellungen!$B$5+INT((ROW()-9)/24)</f>
        <v>46729</v>
      </c>
      <c r="B18330" s="11" t="n">
        <f aca="false">MOD(ROW()-9,24)</f>
        <v>9</v>
      </c>
      <c r="C18330" s="12"/>
      <c r="D18330" s="13" t="n">
        <f aca="false">IF(B18330&lt;5,Einstellungen!$B$3,Einstellungen!$B$4)</f>
        <v>29.13</v>
      </c>
      <c r="E18330" s="14" t="str">
        <f aca="false">IF(C18330="","",C18330*D18330/100)</f>
        <v/>
      </c>
      <c r="F18330" s="15" t="str">
        <f aca="false">IF(B18330&lt;5,"Go","Standard")</f>
        <v>Standard</v>
      </c>
    </row>
    <row r="18331" customFormat="false" ht="15" hidden="false" customHeight="true" outlineLevel="0" collapsed="false">
      <c r="A18331" s="10" t="n">
        <f aca="false">Einstellungen!$B$5+INT((ROW()-9)/24)</f>
        <v>46729</v>
      </c>
      <c r="B18331" s="11" t="n">
        <f aca="false">MOD(ROW()-9,24)</f>
        <v>10</v>
      </c>
      <c r="C18331" s="12"/>
      <c r="D18331" s="13" t="n">
        <f aca="false">IF(B18331&lt;5,Einstellungen!$B$3,Einstellungen!$B$4)</f>
        <v>29.13</v>
      </c>
      <c r="E18331" s="14" t="str">
        <f aca="false">IF(C18331="","",C18331*D18331/100)</f>
        <v/>
      </c>
      <c r="F18331" s="15" t="str">
        <f aca="false">IF(B18331&lt;5,"Go","Standard")</f>
        <v>Standard</v>
      </c>
    </row>
    <row r="18332" customFormat="false" ht="15" hidden="false" customHeight="true" outlineLevel="0" collapsed="false">
      <c r="A18332" s="10" t="n">
        <f aca="false">Einstellungen!$B$5+INT((ROW()-9)/24)</f>
        <v>46729</v>
      </c>
      <c r="B18332" s="11" t="n">
        <f aca="false">MOD(ROW()-9,24)</f>
        <v>11</v>
      </c>
      <c r="C18332" s="12"/>
      <c r="D18332" s="13" t="n">
        <f aca="false">IF(B18332&lt;5,Einstellungen!$B$3,Einstellungen!$B$4)</f>
        <v>29.13</v>
      </c>
      <c r="E18332" s="14" t="str">
        <f aca="false">IF(C18332="","",C18332*D18332/100)</f>
        <v/>
      </c>
      <c r="F18332" s="15" t="str">
        <f aca="false">IF(B18332&lt;5,"Go","Standard")</f>
        <v>Standard</v>
      </c>
    </row>
    <row r="18333" customFormat="false" ht="15" hidden="false" customHeight="true" outlineLevel="0" collapsed="false">
      <c r="A18333" s="10" t="n">
        <f aca="false">Einstellungen!$B$5+INT((ROW()-9)/24)</f>
        <v>46729</v>
      </c>
      <c r="B18333" s="11" t="n">
        <f aca="false">MOD(ROW()-9,24)</f>
        <v>12</v>
      </c>
      <c r="C18333" s="12"/>
      <c r="D18333" s="13" t="n">
        <f aca="false">IF(B18333&lt;5,Einstellungen!$B$3,Einstellungen!$B$4)</f>
        <v>29.13</v>
      </c>
      <c r="E18333" s="14" t="str">
        <f aca="false">IF(C18333="","",C18333*D18333/100)</f>
        <v/>
      </c>
      <c r="F18333" s="15" t="str">
        <f aca="false">IF(B18333&lt;5,"Go","Standard")</f>
        <v>Standard</v>
      </c>
    </row>
    <row r="18334" customFormat="false" ht="15" hidden="false" customHeight="true" outlineLevel="0" collapsed="false">
      <c r="A18334" s="10" t="n">
        <f aca="false">Einstellungen!$B$5+INT((ROW()-9)/24)</f>
        <v>46729</v>
      </c>
      <c r="B18334" s="11" t="n">
        <f aca="false">MOD(ROW()-9,24)</f>
        <v>13</v>
      </c>
      <c r="C18334" s="12"/>
      <c r="D18334" s="13" t="n">
        <f aca="false">IF(B18334&lt;5,Einstellungen!$B$3,Einstellungen!$B$4)</f>
        <v>29.13</v>
      </c>
      <c r="E18334" s="14" t="str">
        <f aca="false">IF(C18334="","",C18334*D18334/100)</f>
        <v/>
      </c>
      <c r="F18334" s="15" t="str">
        <f aca="false">IF(B18334&lt;5,"Go","Standard")</f>
        <v>Standard</v>
      </c>
    </row>
    <row r="18335" customFormat="false" ht="15" hidden="false" customHeight="true" outlineLevel="0" collapsed="false">
      <c r="A18335" s="10" t="n">
        <f aca="false">Einstellungen!$B$5+INT((ROW()-9)/24)</f>
        <v>46729</v>
      </c>
      <c r="B18335" s="11" t="n">
        <f aca="false">MOD(ROW()-9,24)</f>
        <v>14</v>
      </c>
      <c r="C18335" s="12"/>
      <c r="D18335" s="13" t="n">
        <f aca="false">IF(B18335&lt;5,Einstellungen!$B$3,Einstellungen!$B$4)</f>
        <v>29.13</v>
      </c>
      <c r="E18335" s="14" t="str">
        <f aca="false">IF(C18335="","",C18335*D18335/100)</f>
        <v/>
      </c>
      <c r="F18335" s="15" t="str">
        <f aca="false">IF(B18335&lt;5,"Go","Standard")</f>
        <v>Standard</v>
      </c>
    </row>
    <row r="18336" customFormat="false" ht="15" hidden="false" customHeight="true" outlineLevel="0" collapsed="false">
      <c r="A18336" s="10" t="n">
        <f aca="false">Einstellungen!$B$5+INT((ROW()-9)/24)</f>
        <v>46729</v>
      </c>
      <c r="B18336" s="11" t="n">
        <f aca="false">MOD(ROW()-9,24)</f>
        <v>15</v>
      </c>
      <c r="C18336" s="12"/>
      <c r="D18336" s="13" t="n">
        <f aca="false">IF(B18336&lt;5,Einstellungen!$B$3,Einstellungen!$B$4)</f>
        <v>29.13</v>
      </c>
      <c r="E18336" s="14" t="str">
        <f aca="false">IF(C18336="","",C18336*D18336/100)</f>
        <v/>
      </c>
      <c r="F18336" s="15" t="str">
        <f aca="false">IF(B18336&lt;5,"Go","Standard")</f>
        <v>Standard</v>
      </c>
    </row>
    <row r="18337" customFormat="false" ht="15" hidden="false" customHeight="true" outlineLevel="0" collapsed="false">
      <c r="A18337" s="10" t="n">
        <f aca="false">Einstellungen!$B$5+INT((ROW()-9)/24)</f>
        <v>46729</v>
      </c>
      <c r="B18337" s="11" t="n">
        <f aca="false">MOD(ROW()-9,24)</f>
        <v>16</v>
      </c>
      <c r="C18337" s="12"/>
      <c r="D18337" s="13" t="n">
        <f aca="false">IF(B18337&lt;5,Einstellungen!$B$3,Einstellungen!$B$4)</f>
        <v>29.13</v>
      </c>
      <c r="E18337" s="14" t="str">
        <f aca="false">IF(C18337="","",C18337*D18337/100)</f>
        <v/>
      </c>
      <c r="F18337" s="15" t="str">
        <f aca="false">IF(B18337&lt;5,"Go","Standard")</f>
        <v>Standard</v>
      </c>
    </row>
    <row r="18338" customFormat="false" ht="15" hidden="false" customHeight="true" outlineLevel="0" collapsed="false">
      <c r="A18338" s="10" t="n">
        <f aca="false">Einstellungen!$B$5+INT((ROW()-9)/24)</f>
        <v>46729</v>
      </c>
      <c r="B18338" s="11" t="n">
        <f aca="false">MOD(ROW()-9,24)</f>
        <v>17</v>
      </c>
      <c r="C18338" s="12"/>
      <c r="D18338" s="13" t="n">
        <f aca="false">IF(B18338&lt;5,Einstellungen!$B$3,Einstellungen!$B$4)</f>
        <v>29.13</v>
      </c>
      <c r="E18338" s="14" t="str">
        <f aca="false">IF(C18338="","",C18338*D18338/100)</f>
        <v/>
      </c>
      <c r="F18338" s="15" t="str">
        <f aca="false">IF(B18338&lt;5,"Go","Standard")</f>
        <v>Standard</v>
      </c>
    </row>
    <row r="18339" customFormat="false" ht="15" hidden="false" customHeight="true" outlineLevel="0" collapsed="false">
      <c r="A18339" s="10" t="n">
        <f aca="false">Einstellungen!$B$5+INT((ROW()-9)/24)</f>
        <v>46729</v>
      </c>
      <c r="B18339" s="11" t="n">
        <f aca="false">MOD(ROW()-9,24)</f>
        <v>18</v>
      </c>
      <c r="C18339" s="12"/>
      <c r="D18339" s="13" t="n">
        <f aca="false">IF(B18339&lt;5,Einstellungen!$B$3,Einstellungen!$B$4)</f>
        <v>29.13</v>
      </c>
      <c r="E18339" s="14" t="str">
        <f aca="false">IF(C18339="","",C18339*D18339/100)</f>
        <v/>
      </c>
      <c r="F18339" s="15" t="str">
        <f aca="false">IF(B18339&lt;5,"Go","Standard")</f>
        <v>Standard</v>
      </c>
    </row>
    <row r="18340" customFormat="false" ht="15" hidden="false" customHeight="true" outlineLevel="0" collapsed="false">
      <c r="A18340" s="10" t="n">
        <f aca="false">Einstellungen!$B$5+INT((ROW()-9)/24)</f>
        <v>46729</v>
      </c>
      <c r="B18340" s="11" t="n">
        <f aca="false">MOD(ROW()-9,24)</f>
        <v>19</v>
      </c>
      <c r="C18340" s="12"/>
      <c r="D18340" s="13" t="n">
        <f aca="false">IF(B18340&lt;5,Einstellungen!$B$3,Einstellungen!$B$4)</f>
        <v>29.13</v>
      </c>
      <c r="E18340" s="14" t="str">
        <f aca="false">IF(C18340="","",C18340*D18340/100)</f>
        <v/>
      </c>
      <c r="F18340" s="15" t="str">
        <f aca="false">IF(B18340&lt;5,"Go","Standard")</f>
        <v>Standard</v>
      </c>
    </row>
    <row r="18341" customFormat="false" ht="15" hidden="false" customHeight="true" outlineLevel="0" collapsed="false">
      <c r="A18341" s="10" t="n">
        <f aca="false">Einstellungen!$B$5+INT((ROW()-9)/24)</f>
        <v>46729</v>
      </c>
      <c r="B18341" s="11" t="n">
        <f aca="false">MOD(ROW()-9,24)</f>
        <v>20</v>
      </c>
      <c r="C18341" s="12"/>
      <c r="D18341" s="13" t="n">
        <f aca="false">IF(B18341&lt;5,Einstellungen!$B$3,Einstellungen!$B$4)</f>
        <v>29.13</v>
      </c>
      <c r="E18341" s="14" t="str">
        <f aca="false">IF(C18341="","",C18341*D18341/100)</f>
        <v/>
      </c>
      <c r="F18341" s="15" t="str">
        <f aca="false">IF(B18341&lt;5,"Go","Standard")</f>
        <v>Standard</v>
      </c>
    </row>
    <row r="18342" customFormat="false" ht="15" hidden="false" customHeight="true" outlineLevel="0" collapsed="false">
      <c r="A18342" s="10" t="n">
        <f aca="false">Einstellungen!$B$5+INT((ROW()-9)/24)</f>
        <v>46729</v>
      </c>
      <c r="B18342" s="11" t="n">
        <f aca="false">MOD(ROW()-9,24)</f>
        <v>21</v>
      </c>
      <c r="C18342" s="12"/>
      <c r="D18342" s="13" t="n">
        <f aca="false">IF(B18342&lt;5,Einstellungen!$B$3,Einstellungen!$B$4)</f>
        <v>29.13</v>
      </c>
      <c r="E18342" s="14" t="str">
        <f aca="false">IF(C18342="","",C18342*D18342/100)</f>
        <v/>
      </c>
      <c r="F18342" s="15" t="str">
        <f aca="false">IF(B18342&lt;5,"Go","Standard")</f>
        <v>Standard</v>
      </c>
    </row>
    <row r="18343" customFormat="false" ht="15" hidden="false" customHeight="true" outlineLevel="0" collapsed="false">
      <c r="A18343" s="10" t="n">
        <f aca="false">Einstellungen!$B$5+INT((ROW()-9)/24)</f>
        <v>46729</v>
      </c>
      <c r="B18343" s="11" t="n">
        <f aca="false">MOD(ROW()-9,24)</f>
        <v>22</v>
      </c>
      <c r="C18343" s="12"/>
      <c r="D18343" s="13" t="n">
        <f aca="false">IF(B18343&lt;5,Einstellungen!$B$3,Einstellungen!$B$4)</f>
        <v>29.13</v>
      </c>
      <c r="E18343" s="14" t="str">
        <f aca="false">IF(C18343="","",C18343*D18343/100)</f>
        <v/>
      </c>
      <c r="F18343" s="15" t="str">
        <f aca="false">IF(B18343&lt;5,"Go","Standard")</f>
        <v>Standard</v>
      </c>
    </row>
    <row r="18344" customFormat="false" ht="15" hidden="false" customHeight="true" outlineLevel="0" collapsed="false">
      <c r="A18344" s="10" t="n">
        <f aca="false">Einstellungen!$B$5+INT((ROW()-9)/24)</f>
        <v>46729</v>
      </c>
      <c r="B18344" s="11" t="n">
        <f aca="false">MOD(ROW()-9,24)</f>
        <v>23</v>
      </c>
      <c r="C18344" s="12"/>
      <c r="D18344" s="13" t="n">
        <f aca="false">IF(B18344&lt;5,Einstellungen!$B$3,Einstellungen!$B$4)</f>
        <v>29.13</v>
      </c>
      <c r="E18344" s="14" t="str">
        <f aca="false">IF(C18344="","",C18344*D18344/100)</f>
        <v/>
      </c>
      <c r="F18344" s="15" t="str">
        <f aca="false">IF(B18344&lt;5,"Go","Standard")</f>
        <v>Standard</v>
      </c>
    </row>
    <row r="18345" customFormat="false" ht="15" hidden="false" customHeight="true" outlineLevel="0" collapsed="false">
      <c r="A18345" s="10" t="n">
        <f aca="false">Einstellungen!$B$5+INT((ROW()-9)/24)</f>
        <v>46730</v>
      </c>
      <c r="B18345" s="11" t="n">
        <f aca="false">MOD(ROW()-9,24)</f>
        <v>0</v>
      </c>
      <c r="C18345" s="12"/>
      <c r="D18345" s="13" t="n">
        <f aca="false">IF(B18345&lt;5,Einstellungen!$B$3,Einstellungen!$B$4)</f>
        <v>15.92</v>
      </c>
      <c r="E18345" s="14" t="str">
        <f aca="false">IF(C18345="","",C18345*D18345/100)</f>
        <v/>
      </c>
      <c r="F18345" s="15" t="str">
        <f aca="false">IF(B18345&lt;5,"Go","Standard")</f>
        <v>Go</v>
      </c>
    </row>
    <row r="18346" customFormat="false" ht="15" hidden="false" customHeight="true" outlineLevel="0" collapsed="false">
      <c r="A18346" s="10" t="n">
        <f aca="false">Einstellungen!$B$5+INT((ROW()-9)/24)</f>
        <v>46730</v>
      </c>
      <c r="B18346" s="11" t="n">
        <f aca="false">MOD(ROW()-9,24)</f>
        <v>1</v>
      </c>
      <c r="C18346" s="12"/>
      <c r="D18346" s="13" t="n">
        <f aca="false">IF(B18346&lt;5,Einstellungen!$B$3,Einstellungen!$B$4)</f>
        <v>15.92</v>
      </c>
      <c r="E18346" s="14" t="str">
        <f aca="false">IF(C18346="","",C18346*D18346/100)</f>
        <v/>
      </c>
      <c r="F18346" s="15" t="str">
        <f aca="false">IF(B18346&lt;5,"Go","Standard")</f>
        <v>Go</v>
      </c>
    </row>
    <row r="18347" customFormat="false" ht="15" hidden="false" customHeight="true" outlineLevel="0" collapsed="false">
      <c r="A18347" s="10" t="n">
        <f aca="false">Einstellungen!$B$5+INT((ROW()-9)/24)</f>
        <v>46730</v>
      </c>
      <c r="B18347" s="11" t="n">
        <f aca="false">MOD(ROW()-9,24)</f>
        <v>2</v>
      </c>
      <c r="C18347" s="12"/>
      <c r="D18347" s="13" t="n">
        <f aca="false">IF(B18347&lt;5,Einstellungen!$B$3,Einstellungen!$B$4)</f>
        <v>15.92</v>
      </c>
      <c r="E18347" s="14" t="str">
        <f aca="false">IF(C18347="","",C18347*D18347/100)</f>
        <v/>
      </c>
      <c r="F18347" s="15" t="str">
        <f aca="false">IF(B18347&lt;5,"Go","Standard")</f>
        <v>Go</v>
      </c>
    </row>
    <row r="18348" customFormat="false" ht="15" hidden="false" customHeight="true" outlineLevel="0" collapsed="false">
      <c r="A18348" s="10" t="n">
        <f aca="false">Einstellungen!$B$5+INT((ROW()-9)/24)</f>
        <v>46730</v>
      </c>
      <c r="B18348" s="11" t="n">
        <f aca="false">MOD(ROW()-9,24)</f>
        <v>3</v>
      </c>
      <c r="C18348" s="12"/>
      <c r="D18348" s="13" t="n">
        <f aca="false">IF(B18348&lt;5,Einstellungen!$B$3,Einstellungen!$B$4)</f>
        <v>15.92</v>
      </c>
      <c r="E18348" s="14" t="str">
        <f aca="false">IF(C18348="","",C18348*D18348/100)</f>
        <v/>
      </c>
      <c r="F18348" s="15" t="str">
        <f aca="false">IF(B18348&lt;5,"Go","Standard")</f>
        <v>Go</v>
      </c>
    </row>
    <row r="18349" customFormat="false" ht="15" hidden="false" customHeight="true" outlineLevel="0" collapsed="false">
      <c r="A18349" s="10" t="n">
        <f aca="false">Einstellungen!$B$5+INT((ROW()-9)/24)</f>
        <v>46730</v>
      </c>
      <c r="B18349" s="11" t="n">
        <f aca="false">MOD(ROW()-9,24)</f>
        <v>4</v>
      </c>
      <c r="C18349" s="12"/>
      <c r="D18349" s="13" t="n">
        <f aca="false">IF(B18349&lt;5,Einstellungen!$B$3,Einstellungen!$B$4)</f>
        <v>15.92</v>
      </c>
      <c r="E18349" s="14" t="str">
        <f aca="false">IF(C18349="","",C18349*D18349/100)</f>
        <v/>
      </c>
      <c r="F18349" s="15" t="str">
        <f aca="false">IF(B18349&lt;5,"Go","Standard")</f>
        <v>Go</v>
      </c>
    </row>
    <row r="18350" customFormat="false" ht="15" hidden="false" customHeight="true" outlineLevel="0" collapsed="false">
      <c r="A18350" s="10" t="n">
        <f aca="false">Einstellungen!$B$5+INT((ROW()-9)/24)</f>
        <v>46730</v>
      </c>
      <c r="B18350" s="11" t="n">
        <f aca="false">MOD(ROW()-9,24)</f>
        <v>5</v>
      </c>
      <c r="C18350" s="12"/>
      <c r="D18350" s="13" t="n">
        <f aca="false">IF(B18350&lt;5,Einstellungen!$B$3,Einstellungen!$B$4)</f>
        <v>29.13</v>
      </c>
      <c r="E18350" s="14" t="str">
        <f aca="false">IF(C18350="","",C18350*D18350/100)</f>
        <v/>
      </c>
      <c r="F18350" s="15" t="str">
        <f aca="false">IF(B18350&lt;5,"Go","Standard")</f>
        <v>Standard</v>
      </c>
    </row>
    <row r="18351" customFormat="false" ht="15" hidden="false" customHeight="true" outlineLevel="0" collapsed="false">
      <c r="A18351" s="10" t="n">
        <f aca="false">Einstellungen!$B$5+INT((ROW()-9)/24)</f>
        <v>46730</v>
      </c>
      <c r="B18351" s="11" t="n">
        <f aca="false">MOD(ROW()-9,24)</f>
        <v>6</v>
      </c>
      <c r="C18351" s="12"/>
      <c r="D18351" s="13" t="n">
        <f aca="false">IF(B18351&lt;5,Einstellungen!$B$3,Einstellungen!$B$4)</f>
        <v>29.13</v>
      </c>
      <c r="E18351" s="14" t="str">
        <f aca="false">IF(C18351="","",C18351*D18351/100)</f>
        <v/>
      </c>
      <c r="F18351" s="15" t="str">
        <f aca="false">IF(B18351&lt;5,"Go","Standard")</f>
        <v>Standard</v>
      </c>
    </row>
    <row r="18352" customFormat="false" ht="15" hidden="false" customHeight="true" outlineLevel="0" collapsed="false">
      <c r="A18352" s="10" t="n">
        <f aca="false">Einstellungen!$B$5+INT((ROW()-9)/24)</f>
        <v>46730</v>
      </c>
      <c r="B18352" s="11" t="n">
        <f aca="false">MOD(ROW()-9,24)</f>
        <v>7</v>
      </c>
      <c r="C18352" s="12"/>
      <c r="D18352" s="13" t="n">
        <f aca="false">IF(B18352&lt;5,Einstellungen!$B$3,Einstellungen!$B$4)</f>
        <v>29.13</v>
      </c>
      <c r="E18352" s="14" t="str">
        <f aca="false">IF(C18352="","",C18352*D18352/100)</f>
        <v/>
      </c>
      <c r="F18352" s="15" t="str">
        <f aca="false">IF(B18352&lt;5,"Go","Standard")</f>
        <v>Standard</v>
      </c>
    </row>
    <row r="18353" customFormat="false" ht="15" hidden="false" customHeight="true" outlineLevel="0" collapsed="false">
      <c r="A18353" s="10" t="n">
        <f aca="false">Einstellungen!$B$5+INT((ROW()-9)/24)</f>
        <v>46730</v>
      </c>
      <c r="B18353" s="11" t="n">
        <f aca="false">MOD(ROW()-9,24)</f>
        <v>8</v>
      </c>
      <c r="C18353" s="12"/>
      <c r="D18353" s="13" t="n">
        <f aca="false">IF(B18353&lt;5,Einstellungen!$B$3,Einstellungen!$B$4)</f>
        <v>29.13</v>
      </c>
      <c r="E18353" s="14" t="str">
        <f aca="false">IF(C18353="","",C18353*D18353/100)</f>
        <v/>
      </c>
      <c r="F18353" s="15" t="str">
        <f aca="false">IF(B18353&lt;5,"Go","Standard")</f>
        <v>Standard</v>
      </c>
    </row>
    <row r="18354" customFormat="false" ht="15" hidden="false" customHeight="true" outlineLevel="0" collapsed="false">
      <c r="A18354" s="10" t="n">
        <f aca="false">Einstellungen!$B$5+INT((ROW()-9)/24)</f>
        <v>46730</v>
      </c>
      <c r="B18354" s="11" t="n">
        <f aca="false">MOD(ROW()-9,24)</f>
        <v>9</v>
      </c>
      <c r="C18354" s="12"/>
      <c r="D18354" s="13" t="n">
        <f aca="false">IF(B18354&lt;5,Einstellungen!$B$3,Einstellungen!$B$4)</f>
        <v>29.13</v>
      </c>
      <c r="E18354" s="14" t="str">
        <f aca="false">IF(C18354="","",C18354*D18354/100)</f>
        <v/>
      </c>
      <c r="F18354" s="15" t="str">
        <f aca="false">IF(B18354&lt;5,"Go","Standard")</f>
        <v>Standard</v>
      </c>
    </row>
    <row r="18355" customFormat="false" ht="15" hidden="false" customHeight="true" outlineLevel="0" collapsed="false">
      <c r="A18355" s="10" t="n">
        <f aca="false">Einstellungen!$B$5+INT((ROW()-9)/24)</f>
        <v>46730</v>
      </c>
      <c r="B18355" s="11" t="n">
        <f aca="false">MOD(ROW()-9,24)</f>
        <v>10</v>
      </c>
      <c r="C18355" s="12"/>
      <c r="D18355" s="13" t="n">
        <f aca="false">IF(B18355&lt;5,Einstellungen!$B$3,Einstellungen!$B$4)</f>
        <v>29.13</v>
      </c>
      <c r="E18355" s="14" t="str">
        <f aca="false">IF(C18355="","",C18355*D18355/100)</f>
        <v/>
      </c>
      <c r="F18355" s="15" t="str">
        <f aca="false">IF(B18355&lt;5,"Go","Standard")</f>
        <v>Standard</v>
      </c>
    </row>
    <row r="18356" customFormat="false" ht="15" hidden="false" customHeight="true" outlineLevel="0" collapsed="false">
      <c r="A18356" s="10" t="n">
        <f aca="false">Einstellungen!$B$5+INT((ROW()-9)/24)</f>
        <v>46730</v>
      </c>
      <c r="B18356" s="11" t="n">
        <f aca="false">MOD(ROW()-9,24)</f>
        <v>11</v>
      </c>
      <c r="C18356" s="12"/>
      <c r="D18356" s="13" t="n">
        <f aca="false">IF(B18356&lt;5,Einstellungen!$B$3,Einstellungen!$B$4)</f>
        <v>29.13</v>
      </c>
      <c r="E18356" s="14" t="str">
        <f aca="false">IF(C18356="","",C18356*D18356/100)</f>
        <v/>
      </c>
      <c r="F18356" s="15" t="str">
        <f aca="false">IF(B18356&lt;5,"Go","Standard")</f>
        <v>Standard</v>
      </c>
    </row>
    <row r="18357" customFormat="false" ht="15" hidden="false" customHeight="true" outlineLevel="0" collapsed="false">
      <c r="A18357" s="10" t="n">
        <f aca="false">Einstellungen!$B$5+INT((ROW()-9)/24)</f>
        <v>46730</v>
      </c>
      <c r="B18357" s="11" t="n">
        <f aca="false">MOD(ROW()-9,24)</f>
        <v>12</v>
      </c>
      <c r="C18357" s="12"/>
      <c r="D18357" s="13" t="n">
        <f aca="false">IF(B18357&lt;5,Einstellungen!$B$3,Einstellungen!$B$4)</f>
        <v>29.13</v>
      </c>
      <c r="E18357" s="14" t="str">
        <f aca="false">IF(C18357="","",C18357*D18357/100)</f>
        <v/>
      </c>
      <c r="F18357" s="15" t="str">
        <f aca="false">IF(B18357&lt;5,"Go","Standard")</f>
        <v>Standard</v>
      </c>
    </row>
    <row r="18358" customFormat="false" ht="15" hidden="false" customHeight="true" outlineLevel="0" collapsed="false">
      <c r="A18358" s="10" t="n">
        <f aca="false">Einstellungen!$B$5+INT((ROW()-9)/24)</f>
        <v>46730</v>
      </c>
      <c r="B18358" s="11" t="n">
        <f aca="false">MOD(ROW()-9,24)</f>
        <v>13</v>
      </c>
      <c r="C18358" s="12"/>
      <c r="D18358" s="13" t="n">
        <f aca="false">IF(B18358&lt;5,Einstellungen!$B$3,Einstellungen!$B$4)</f>
        <v>29.13</v>
      </c>
      <c r="E18358" s="14" t="str">
        <f aca="false">IF(C18358="","",C18358*D18358/100)</f>
        <v/>
      </c>
      <c r="F18358" s="15" t="str">
        <f aca="false">IF(B18358&lt;5,"Go","Standard")</f>
        <v>Standard</v>
      </c>
    </row>
    <row r="18359" customFormat="false" ht="15" hidden="false" customHeight="true" outlineLevel="0" collapsed="false">
      <c r="A18359" s="10" t="n">
        <f aca="false">Einstellungen!$B$5+INT((ROW()-9)/24)</f>
        <v>46730</v>
      </c>
      <c r="B18359" s="11" t="n">
        <f aca="false">MOD(ROW()-9,24)</f>
        <v>14</v>
      </c>
      <c r="C18359" s="12"/>
      <c r="D18359" s="13" t="n">
        <f aca="false">IF(B18359&lt;5,Einstellungen!$B$3,Einstellungen!$B$4)</f>
        <v>29.13</v>
      </c>
      <c r="E18359" s="14" t="str">
        <f aca="false">IF(C18359="","",C18359*D18359/100)</f>
        <v/>
      </c>
      <c r="F18359" s="15" t="str">
        <f aca="false">IF(B18359&lt;5,"Go","Standard")</f>
        <v>Standard</v>
      </c>
    </row>
    <row r="18360" customFormat="false" ht="15" hidden="false" customHeight="true" outlineLevel="0" collapsed="false">
      <c r="A18360" s="10" t="n">
        <f aca="false">Einstellungen!$B$5+INT((ROW()-9)/24)</f>
        <v>46730</v>
      </c>
      <c r="B18360" s="11" t="n">
        <f aca="false">MOD(ROW()-9,24)</f>
        <v>15</v>
      </c>
      <c r="C18360" s="12"/>
      <c r="D18360" s="13" t="n">
        <f aca="false">IF(B18360&lt;5,Einstellungen!$B$3,Einstellungen!$B$4)</f>
        <v>29.13</v>
      </c>
      <c r="E18360" s="14" t="str">
        <f aca="false">IF(C18360="","",C18360*D18360/100)</f>
        <v/>
      </c>
      <c r="F18360" s="15" t="str">
        <f aca="false">IF(B18360&lt;5,"Go","Standard")</f>
        <v>Standard</v>
      </c>
    </row>
    <row r="18361" customFormat="false" ht="15" hidden="false" customHeight="true" outlineLevel="0" collapsed="false">
      <c r="A18361" s="10" t="n">
        <f aca="false">Einstellungen!$B$5+INT((ROW()-9)/24)</f>
        <v>46730</v>
      </c>
      <c r="B18361" s="11" t="n">
        <f aca="false">MOD(ROW()-9,24)</f>
        <v>16</v>
      </c>
      <c r="C18361" s="12"/>
      <c r="D18361" s="13" t="n">
        <f aca="false">IF(B18361&lt;5,Einstellungen!$B$3,Einstellungen!$B$4)</f>
        <v>29.13</v>
      </c>
      <c r="E18361" s="14" t="str">
        <f aca="false">IF(C18361="","",C18361*D18361/100)</f>
        <v/>
      </c>
      <c r="F18361" s="15" t="str">
        <f aca="false">IF(B18361&lt;5,"Go","Standard")</f>
        <v>Standard</v>
      </c>
    </row>
    <row r="18362" customFormat="false" ht="15" hidden="false" customHeight="true" outlineLevel="0" collapsed="false">
      <c r="A18362" s="10" t="n">
        <f aca="false">Einstellungen!$B$5+INT((ROW()-9)/24)</f>
        <v>46730</v>
      </c>
      <c r="B18362" s="11" t="n">
        <f aca="false">MOD(ROW()-9,24)</f>
        <v>17</v>
      </c>
      <c r="C18362" s="12"/>
      <c r="D18362" s="13" t="n">
        <f aca="false">IF(B18362&lt;5,Einstellungen!$B$3,Einstellungen!$B$4)</f>
        <v>29.13</v>
      </c>
      <c r="E18362" s="14" t="str">
        <f aca="false">IF(C18362="","",C18362*D18362/100)</f>
        <v/>
      </c>
      <c r="F18362" s="15" t="str">
        <f aca="false">IF(B18362&lt;5,"Go","Standard")</f>
        <v>Standard</v>
      </c>
    </row>
    <row r="18363" customFormat="false" ht="15" hidden="false" customHeight="true" outlineLevel="0" collapsed="false">
      <c r="A18363" s="10" t="n">
        <f aca="false">Einstellungen!$B$5+INT((ROW()-9)/24)</f>
        <v>46730</v>
      </c>
      <c r="B18363" s="11" t="n">
        <f aca="false">MOD(ROW()-9,24)</f>
        <v>18</v>
      </c>
      <c r="C18363" s="12"/>
      <c r="D18363" s="13" t="n">
        <f aca="false">IF(B18363&lt;5,Einstellungen!$B$3,Einstellungen!$B$4)</f>
        <v>29.13</v>
      </c>
      <c r="E18363" s="14" t="str">
        <f aca="false">IF(C18363="","",C18363*D18363/100)</f>
        <v/>
      </c>
      <c r="F18363" s="15" t="str">
        <f aca="false">IF(B18363&lt;5,"Go","Standard")</f>
        <v>Standard</v>
      </c>
    </row>
    <row r="18364" customFormat="false" ht="15" hidden="false" customHeight="true" outlineLevel="0" collapsed="false">
      <c r="A18364" s="10" t="n">
        <f aca="false">Einstellungen!$B$5+INT((ROW()-9)/24)</f>
        <v>46730</v>
      </c>
      <c r="B18364" s="11" t="n">
        <f aca="false">MOD(ROW()-9,24)</f>
        <v>19</v>
      </c>
      <c r="C18364" s="12"/>
      <c r="D18364" s="13" t="n">
        <f aca="false">IF(B18364&lt;5,Einstellungen!$B$3,Einstellungen!$B$4)</f>
        <v>29.13</v>
      </c>
      <c r="E18364" s="14" t="str">
        <f aca="false">IF(C18364="","",C18364*D18364/100)</f>
        <v/>
      </c>
      <c r="F18364" s="15" t="str">
        <f aca="false">IF(B18364&lt;5,"Go","Standard")</f>
        <v>Standard</v>
      </c>
    </row>
    <row r="18365" customFormat="false" ht="15" hidden="false" customHeight="true" outlineLevel="0" collapsed="false">
      <c r="A18365" s="10" t="n">
        <f aca="false">Einstellungen!$B$5+INT((ROW()-9)/24)</f>
        <v>46730</v>
      </c>
      <c r="B18365" s="11" t="n">
        <f aca="false">MOD(ROW()-9,24)</f>
        <v>20</v>
      </c>
      <c r="C18365" s="12"/>
      <c r="D18365" s="13" t="n">
        <f aca="false">IF(B18365&lt;5,Einstellungen!$B$3,Einstellungen!$B$4)</f>
        <v>29.13</v>
      </c>
      <c r="E18365" s="14" t="str">
        <f aca="false">IF(C18365="","",C18365*D18365/100)</f>
        <v/>
      </c>
      <c r="F18365" s="15" t="str">
        <f aca="false">IF(B18365&lt;5,"Go","Standard")</f>
        <v>Standard</v>
      </c>
    </row>
    <row r="18366" customFormat="false" ht="15" hidden="false" customHeight="true" outlineLevel="0" collapsed="false">
      <c r="A18366" s="10" t="n">
        <f aca="false">Einstellungen!$B$5+INT((ROW()-9)/24)</f>
        <v>46730</v>
      </c>
      <c r="B18366" s="11" t="n">
        <f aca="false">MOD(ROW()-9,24)</f>
        <v>21</v>
      </c>
      <c r="C18366" s="12"/>
      <c r="D18366" s="13" t="n">
        <f aca="false">IF(B18366&lt;5,Einstellungen!$B$3,Einstellungen!$B$4)</f>
        <v>29.13</v>
      </c>
      <c r="E18366" s="14" t="str">
        <f aca="false">IF(C18366="","",C18366*D18366/100)</f>
        <v/>
      </c>
      <c r="F18366" s="15" t="str">
        <f aca="false">IF(B18366&lt;5,"Go","Standard")</f>
        <v>Standard</v>
      </c>
    </row>
    <row r="18367" customFormat="false" ht="15" hidden="false" customHeight="true" outlineLevel="0" collapsed="false">
      <c r="A18367" s="10" t="n">
        <f aca="false">Einstellungen!$B$5+INT((ROW()-9)/24)</f>
        <v>46730</v>
      </c>
      <c r="B18367" s="11" t="n">
        <f aca="false">MOD(ROW()-9,24)</f>
        <v>22</v>
      </c>
      <c r="C18367" s="12"/>
      <c r="D18367" s="13" t="n">
        <f aca="false">IF(B18367&lt;5,Einstellungen!$B$3,Einstellungen!$B$4)</f>
        <v>29.13</v>
      </c>
      <c r="E18367" s="14" t="str">
        <f aca="false">IF(C18367="","",C18367*D18367/100)</f>
        <v/>
      </c>
      <c r="F18367" s="15" t="str">
        <f aca="false">IF(B18367&lt;5,"Go","Standard")</f>
        <v>Standard</v>
      </c>
    </row>
    <row r="18368" customFormat="false" ht="15" hidden="false" customHeight="true" outlineLevel="0" collapsed="false">
      <c r="A18368" s="10" t="n">
        <f aca="false">Einstellungen!$B$5+INT((ROW()-9)/24)</f>
        <v>46730</v>
      </c>
      <c r="B18368" s="11" t="n">
        <f aca="false">MOD(ROW()-9,24)</f>
        <v>23</v>
      </c>
      <c r="C18368" s="12"/>
      <c r="D18368" s="13" t="n">
        <f aca="false">IF(B18368&lt;5,Einstellungen!$B$3,Einstellungen!$B$4)</f>
        <v>29.13</v>
      </c>
      <c r="E18368" s="14" t="str">
        <f aca="false">IF(C18368="","",C18368*D18368/100)</f>
        <v/>
      </c>
      <c r="F18368" s="15" t="str">
        <f aca="false">IF(B18368&lt;5,"Go","Standard")</f>
        <v>Standard</v>
      </c>
    </row>
    <row r="18369" customFormat="false" ht="15" hidden="false" customHeight="true" outlineLevel="0" collapsed="false">
      <c r="A18369" s="10" t="n">
        <f aca="false">Einstellungen!$B$5+INT((ROW()-9)/24)</f>
        <v>46731</v>
      </c>
      <c r="B18369" s="11" t="n">
        <f aca="false">MOD(ROW()-9,24)</f>
        <v>0</v>
      </c>
      <c r="C18369" s="12"/>
      <c r="D18369" s="13" t="n">
        <f aca="false">IF(B18369&lt;5,Einstellungen!$B$3,Einstellungen!$B$4)</f>
        <v>15.92</v>
      </c>
      <c r="E18369" s="14" t="str">
        <f aca="false">IF(C18369="","",C18369*D18369/100)</f>
        <v/>
      </c>
      <c r="F18369" s="15" t="str">
        <f aca="false">IF(B18369&lt;5,"Go","Standard")</f>
        <v>Go</v>
      </c>
    </row>
    <row r="18370" customFormat="false" ht="15" hidden="false" customHeight="true" outlineLevel="0" collapsed="false">
      <c r="A18370" s="10" t="n">
        <f aca="false">Einstellungen!$B$5+INT((ROW()-9)/24)</f>
        <v>46731</v>
      </c>
      <c r="B18370" s="11" t="n">
        <f aca="false">MOD(ROW()-9,24)</f>
        <v>1</v>
      </c>
      <c r="C18370" s="12"/>
      <c r="D18370" s="13" t="n">
        <f aca="false">IF(B18370&lt;5,Einstellungen!$B$3,Einstellungen!$B$4)</f>
        <v>15.92</v>
      </c>
      <c r="E18370" s="14" t="str">
        <f aca="false">IF(C18370="","",C18370*D18370/100)</f>
        <v/>
      </c>
      <c r="F18370" s="15" t="str">
        <f aca="false">IF(B18370&lt;5,"Go","Standard")</f>
        <v>Go</v>
      </c>
    </row>
    <row r="18371" customFormat="false" ht="15" hidden="false" customHeight="true" outlineLevel="0" collapsed="false">
      <c r="A18371" s="10" t="n">
        <f aca="false">Einstellungen!$B$5+INT((ROW()-9)/24)</f>
        <v>46731</v>
      </c>
      <c r="B18371" s="11" t="n">
        <f aca="false">MOD(ROW()-9,24)</f>
        <v>2</v>
      </c>
      <c r="C18371" s="12"/>
      <c r="D18371" s="13" t="n">
        <f aca="false">IF(B18371&lt;5,Einstellungen!$B$3,Einstellungen!$B$4)</f>
        <v>15.92</v>
      </c>
      <c r="E18371" s="14" t="str">
        <f aca="false">IF(C18371="","",C18371*D18371/100)</f>
        <v/>
      </c>
      <c r="F18371" s="15" t="str">
        <f aca="false">IF(B18371&lt;5,"Go","Standard")</f>
        <v>Go</v>
      </c>
    </row>
    <row r="18372" customFormat="false" ht="15" hidden="false" customHeight="true" outlineLevel="0" collapsed="false">
      <c r="A18372" s="10" t="n">
        <f aca="false">Einstellungen!$B$5+INT((ROW()-9)/24)</f>
        <v>46731</v>
      </c>
      <c r="B18372" s="11" t="n">
        <f aca="false">MOD(ROW()-9,24)</f>
        <v>3</v>
      </c>
      <c r="C18372" s="12"/>
      <c r="D18372" s="13" t="n">
        <f aca="false">IF(B18372&lt;5,Einstellungen!$B$3,Einstellungen!$B$4)</f>
        <v>15.92</v>
      </c>
      <c r="E18372" s="14" t="str">
        <f aca="false">IF(C18372="","",C18372*D18372/100)</f>
        <v/>
      </c>
      <c r="F18372" s="15" t="str">
        <f aca="false">IF(B18372&lt;5,"Go","Standard")</f>
        <v>Go</v>
      </c>
    </row>
    <row r="18373" customFormat="false" ht="15" hidden="false" customHeight="true" outlineLevel="0" collapsed="false">
      <c r="A18373" s="10" t="n">
        <f aca="false">Einstellungen!$B$5+INT((ROW()-9)/24)</f>
        <v>46731</v>
      </c>
      <c r="B18373" s="11" t="n">
        <f aca="false">MOD(ROW()-9,24)</f>
        <v>4</v>
      </c>
      <c r="C18373" s="12"/>
      <c r="D18373" s="13" t="n">
        <f aca="false">IF(B18373&lt;5,Einstellungen!$B$3,Einstellungen!$B$4)</f>
        <v>15.92</v>
      </c>
      <c r="E18373" s="14" t="str">
        <f aca="false">IF(C18373="","",C18373*D18373/100)</f>
        <v/>
      </c>
      <c r="F18373" s="15" t="str">
        <f aca="false">IF(B18373&lt;5,"Go","Standard")</f>
        <v>Go</v>
      </c>
    </row>
    <row r="18374" customFormat="false" ht="15" hidden="false" customHeight="true" outlineLevel="0" collapsed="false">
      <c r="A18374" s="10" t="n">
        <f aca="false">Einstellungen!$B$5+INT((ROW()-9)/24)</f>
        <v>46731</v>
      </c>
      <c r="B18374" s="11" t="n">
        <f aca="false">MOD(ROW()-9,24)</f>
        <v>5</v>
      </c>
      <c r="C18374" s="12"/>
      <c r="D18374" s="13" t="n">
        <f aca="false">IF(B18374&lt;5,Einstellungen!$B$3,Einstellungen!$B$4)</f>
        <v>29.13</v>
      </c>
      <c r="E18374" s="14" t="str">
        <f aca="false">IF(C18374="","",C18374*D18374/100)</f>
        <v/>
      </c>
      <c r="F18374" s="15" t="str">
        <f aca="false">IF(B18374&lt;5,"Go","Standard")</f>
        <v>Standard</v>
      </c>
    </row>
    <row r="18375" customFormat="false" ht="15" hidden="false" customHeight="true" outlineLevel="0" collapsed="false">
      <c r="A18375" s="10" t="n">
        <f aca="false">Einstellungen!$B$5+INT((ROW()-9)/24)</f>
        <v>46731</v>
      </c>
      <c r="B18375" s="11" t="n">
        <f aca="false">MOD(ROW()-9,24)</f>
        <v>6</v>
      </c>
      <c r="C18375" s="12"/>
      <c r="D18375" s="13" t="n">
        <f aca="false">IF(B18375&lt;5,Einstellungen!$B$3,Einstellungen!$B$4)</f>
        <v>29.13</v>
      </c>
      <c r="E18375" s="14" t="str">
        <f aca="false">IF(C18375="","",C18375*D18375/100)</f>
        <v/>
      </c>
      <c r="F18375" s="15" t="str">
        <f aca="false">IF(B18375&lt;5,"Go","Standard")</f>
        <v>Standard</v>
      </c>
    </row>
    <row r="18376" customFormat="false" ht="15" hidden="false" customHeight="true" outlineLevel="0" collapsed="false">
      <c r="A18376" s="10" t="n">
        <f aca="false">Einstellungen!$B$5+INT((ROW()-9)/24)</f>
        <v>46731</v>
      </c>
      <c r="B18376" s="11" t="n">
        <f aca="false">MOD(ROW()-9,24)</f>
        <v>7</v>
      </c>
      <c r="C18376" s="12"/>
      <c r="D18376" s="13" t="n">
        <f aca="false">IF(B18376&lt;5,Einstellungen!$B$3,Einstellungen!$B$4)</f>
        <v>29.13</v>
      </c>
      <c r="E18376" s="14" t="str">
        <f aca="false">IF(C18376="","",C18376*D18376/100)</f>
        <v/>
      </c>
      <c r="F18376" s="15" t="str">
        <f aca="false">IF(B18376&lt;5,"Go","Standard")</f>
        <v>Standard</v>
      </c>
    </row>
    <row r="18377" customFormat="false" ht="15" hidden="false" customHeight="true" outlineLevel="0" collapsed="false">
      <c r="A18377" s="10" t="n">
        <f aca="false">Einstellungen!$B$5+INT((ROW()-9)/24)</f>
        <v>46731</v>
      </c>
      <c r="B18377" s="11" t="n">
        <f aca="false">MOD(ROW()-9,24)</f>
        <v>8</v>
      </c>
      <c r="C18377" s="12"/>
      <c r="D18377" s="13" t="n">
        <f aca="false">IF(B18377&lt;5,Einstellungen!$B$3,Einstellungen!$B$4)</f>
        <v>29.13</v>
      </c>
      <c r="E18377" s="14" t="str">
        <f aca="false">IF(C18377="","",C18377*D18377/100)</f>
        <v/>
      </c>
      <c r="F18377" s="15" t="str">
        <f aca="false">IF(B18377&lt;5,"Go","Standard")</f>
        <v>Standard</v>
      </c>
    </row>
    <row r="18378" customFormat="false" ht="15" hidden="false" customHeight="true" outlineLevel="0" collapsed="false">
      <c r="A18378" s="10" t="n">
        <f aca="false">Einstellungen!$B$5+INT((ROW()-9)/24)</f>
        <v>46731</v>
      </c>
      <c r="B18378" s="11" t="n">
        <f aca="false">MOD(ROW()-9,24)</f>
        <v>9</v>
      </c>
      <c r="C18378" s="12"/>
      <c r="D18378" s="13" t="n">
        <f aca="false">IF(B18378&lt;5,Einstellungen!$B$3,Einstellungen!$B$4)</f>
        <v>29.13</v>
      </c>
      <c r="E18378" s="14" t="str">
        <f aca="false">IF(C18378="","",C18378*D18378/100)</f>
        <v/>
      </c>
      <c r="F18378" s="15" t="str">
        <f aca="false">IF(B18378&lt;5,"Go","Standard")</f>
        <v>Standard</v>
      </c>
    </row>
    <row r="18379" customFormat="false" ht="15" hidden="false" customHeight="true" outlineLevel="0" collapsed="false">
      <c r="A18379" s="10" t="n">
        <f aca="false">Einstellungen!$B$5+INT((ROW()-9)/24)</f>
        <v>46731</v>
      </c>
      <c r="B18379" s="11" t="n">
        <f aca="false">MOD(ROW()-9,24)</f>
        <v>10</v>
      </c>
      <c r="C18379" s="12"/>
      <c r="D18379" s="13" t="n">
        <f aca="false">IF(B18379&lt;5,Einstellungen!$B$3,Einstellungen!$B$4)</f>
        <v>29.13</v>
      </c>
      <c r="E18379" s="14" t="str">
        <f aca="false">IF(C18379="","",C18379*D18379/100)</f>
        <v/>
      </c>
      <c r="F18379" s="15" t="str">
        <f aca="false">IF(B18379&lt;5,"Go","Standard")</f>
        <v>Standard</v>
      </c>
    </row>
    <row r="18380" customFormat="false" ht="15" hidden="false" customHeight="true" outlineLevel="0" collapsed="false">
      <c r="A18380" s="10" t="n">
        <f aca="false">Einstellungen!$B$5+INT((ROW()-9)/24)</f>
        <v>46731</v>
      </c>
      <c r="B18380" s="11" t="n">
        <f aca="false">MOD(ROW()-9,24)</f>
        <v>11</v>
      </c>
      <c r="C18380" s="12"/>
      <c r="D18380" s="13" t="n">
        <f aca="false">IF(B18380&lt;5,Einstellungen!$B$3,Einstellungen!$B$4)</f>
        <v>29.13</v>
      </c>
      <c r="E18380" s="14" t="str">
        <f aca="false">IF(C18380="","",C18380*D18380/100)</f>
        <v/>
      </c>
      <c r="F18380" s="15" t="str">
        <f aca="false">IF(B18380&lt;5,"Go","Standard")</f>
        <v>Standard</v>
      </c>
    </row>
    <row r="18381" customFormat="false" ht="15" hidden="false" customHeight="true" outlineLevel="0" collapsed="false">
      <c r="A18381" s="10" t="n">
        <f aca="false">Einstellungen!$B$5+INT((ROW()-9)/24)</f>
        <v>46731</v>
      </c>
      <c r="B18381" s="11" t="n">
        <f aca="false">MOD(ROW()-9,24)</f>
        <v>12</v>
      </c>
      <c r="C18381" s="12"/>
      <c r="D18381" s="13" t="n">
        <f aca="false">IF(B18381&lt;5,Einstellungen!$B$3,Einstellungen!$B$4)</f>
        <v>29.13</v>
      </c>
      <c r="E18381" s="14" t="str">
        <f aca="false">IF(C18381="","",C18381*D18381/100)</f>
        <v/>
      </c>
      <c r="F18381" s="15" t="str">
        <f aca="false">IF(B18381&lt;5,"Go","Standard")</f>
        <v>Standard</v>
      </c>
    </row>
    <row r="18382" customFormat="false" ht="15" hidden="false" customHeight="true" outlineLevel="0" collapsed="false">
      <c r="A18382" s="10" t="n">
        <f aca="false">Einstellungen!$B$5+INT((ROW()-9)/24)</f>
        <v>46731</v>
      </c>
      <c r="B18382" s="11" t="n">
        <f aca="false">MOD(ROW()-9,24)</f>
        <v>13</v>
      </c>
      <c r="C18382" s="12"/>
      <c r="D18382" s="13" t="n">
        <f aca="false">IF(B18382&lt;5,Einstellungen!$B$3,Einstellungen!$B$4)</f>
        <v>29.13</v>
      </c>
      <c r="E18382" s="14" t="str">
        <f aca="false">IF(C18382="","",C18382*D18382/100)</f>
        <v/>
      </c>
      <c r="F18382" s="15" t="str">
        <f aca="false">IF(B18382&lt;5,"Go","Standard")</f>
        <v>Standard</v>
      </c>
    </row>
    <row r="18383" customFormat="false" ht="15" hidden="false" customHeight="true" outlineLevel="0" collapsed="false">
      <c r="A18383" s="10" t="n">
        <f aca="false">Einstellungen!$B$5+INT((ROW()-9)/24)</f>
        <v>46731</v>
      </c>
      <c r="B18383" s="11" t="n">
        <f aca="false">MOD(ROW()-9,24)</f>
        <v>14</v>
      </c>
      <c r="C18383" s="12"/>
      <c r="D18383" s="13" t="n">
        <f aca="false">IF(B18383&lt;5,Einstellungen!$B$3,Einstellungen!$B$4)</f>
        <v>29.13</v>
      </c>
      <c r="E18383" s="14" t="str">
        <f aca="false">IF(C18383="","",C18383*D18383/100)</f>
        <v/>
      </c>
      <c r="F18383" s="15" t="str">
        <f aca="false">IF(B18383&lt;5,"Go","Standard")</f>
        <v>Standard</v>
      </c>
    </row>
    <row r="18384" customFormat="false" ht="15" hidden="false" customHeight="true" outlineLevel="0" collapsed="false">
      <c r="A18384" s="10" t="n">
        <f aca="false">Einstellungen!$B$5+INT((ROW()-9)/24)</f>
        <v>46731</v>
      </c>
      <c r="B18384" s="11" t="n">
        <f aca="false">MOD(ROW()-9,24)</f>
        <v>15</v>
      </c>
      <c r="C18384" s="12"/>
      <c r="D18384" s="13" t="n">
        <f aca="false">IF(B18384&lt;5,Einstellungen!$B$3,Einstellungen!$B$4)</f>
        <v>29.13</v>
      </c>
      <c r="E18384" s="14" t="str">
        <f aca="false">IF(C18384="","",C18384*D18384/100)</f>
        <v/>
      </c>
      <c r="F18384" s="15" t="str">
        <f aca="false">IF(B18384&lt;5,"Go","Standard")</f>
        <v>Standard</v>
      </c>
    </row>
    <row r="18385" customFormat="false" ht="15" hidden="false" customHeight="true" outlineLevel="0" collapsed="false">
      <c r="A18385" s="10" t="n">
        <f aca="false">Einstellungen!$B$5+INT((ROW()-9)/24)</f>
        <v>46731</v>
      </c>
      <c r="B18385" s="11" t="n">
        <f aca="false">MOD(ROW()-9,24)</f>
        <v>16</v>
      </c>
      <c r="C18385" s="12"/>
      <c r="D18385" s="13" t="n">
        <f aca="false">IF(B18385&lt;5,Einstellungen!$B$3,Einstellungen!$B$4)</f>
        <v>29.13</v>
      </c>
      <c r="E18385" s="14" t="str">
        <f aca="false">IF(C18385="","",C18385*D18385/100)</f>
        <v/>
      </c>
      <c r="F18385" s="15" t="str">
        <f aca="false">IF(B18385&lt;5,"Go","Standard")</f>
        <v>Standard</v>
      </c>
    </row>
    <row r="18386" customFormat="false" ht="15" hidden="false" customHeight="true" outlineLevel="0" collapsed="false">
      <c r="A18386" s="10" t="n">
        <f aca="false">Einstellungen!$B$5+INT((ROW()-9)/24)</f>
        <v>46731</v>
      </c>
      <c r="B18386" s="11" t="n">
        <f aca="false">MOD(ROW()-9,24)</f>
        <v>17</v>
      </c>
      <c r="C18386" s="12"/>
      <c r="D18386" s="13" t="n">
        <f aca="false">IF(B18386&lt;5,Einstellungen!$B$3,Einstellungen!$B$4)</f>
        <v>29.13</v>
      </c>
      <c r="E18386" s="14" t="str">
        <f aca="false">IF(C18386="","",C18386*D18386/100)</f>
        <v/>
      </c>
      <c r="F18386" s="15" t="str">
        <f aca="false">IF(B18386&lt;5,"Go","Standard")</f>
        <v>Standard</v>
      </c>
    </row>
    <row r="18387" customFormat="false" ht="15" hidden="false" customHeight="true" outlineLevel="0" collapsed="false">
      <c r="A18387" s="10" t="n">
        <f aca="false">Einstellungen!$B$5+INT((ROW()-9)/24)</f>
        <v>46731</v>
      </c>
      <c r="B18387" s="11" t="n">
        <f aca="false">MOD(ROW()-9,24)</f>
        <v>18</v>
      </c>
      <c r="C18387" s="12"/>
      <c r="D18387" s="13" t="n">
        <f aca="false">IF(B18387&lt;5,Einstellungen!$B$3,Einstellungen!$B$4)</f>
        <v>29.13</v>
      </c>
      <c r="E18387" s="14" t="str">
        <f aca="false">IF(C18387="","",C18387*D18387/100)</f>
        <v/>
      </c>
      <c r="F18387" s="15" t="str">
        <f aca="false">IF(B18387&lt;5,"Go","Standard")</f>
        <v>Standard</v>
      </c>
    </row>
    <row r="18388" customFormat="false" ht="15" hidden="false" customHeight="true" outlineLevel="0" collapsed="false">
      <c r="A18388" s="10" t="n">
        <f aca="false">Einstellungen!$B$5+INT((ROW()-9)/24)</f>
        <v>46731</v>
      </c>
      <c r="B18388" s="11" t="n">
        <f aca="false">MOD(ROW()-9,24)</f>
        <v>19</v>
      </c>
      <c r="C18388" s="12"/>
      <c r="D18388" s="13" t="n">
        <f aca="false">IF(B18388&lt;5,Einstellungen!$B$3,Einstellungen!$B$4)</f>
        <v>29.13</v>
      </c>
      <c r="E18388" s="14" t="str">
        <f aca="false">IF(C18388="","",C18388*D18388/100)</f>
        <v/>
      </c>
      <c r="F18388" s="15" t="str">
        <f aca="false">IF(B18388&lt;5,"Go","Standard")</f>
        <v>Standard</v>
      </c>
    </row>
    <row r="18389" customFormat="false" ht="15" hidden="false" customHeight="true" outlineLevel="0" collapsed="false">
      <c r="A18389" s="10" t="n">
        <f aca="false">Einstellungen!$B$5+INT((ROW()-9)/24)</f>
        <v>46731</v>
      </c>
      <c r="B18389" s="11" t="n">
        <f aca="false">MOD(ROW()-9,24)</f>
        <v>20</v>
      </c>
      <c r="C18389" s="12"/>
      <c r="D18389" s="13" t="n">
        <f aca="false">IF(B18389&lt;5,Einstellungen!$B$3,Einstellungen!$B$4)</f>
        <v>29.13</v>
      </c>
      <c r="E18389" s="14" t="str">
        <f aca="false">IF(C18389="","",C18389*D18389/100)</f>
        <v/>
      </c>
      <c r="F18389" s="15" t="str">
        <f aca="false">IF(B18389&lt;5,"Go","Standard")</f>
        <v>Standard</v>
      </c>
    </row>
    <row r="18390" customFormat="false" ht="15" hidden="false" customHeight="true" outlineLevel="0" collapsed="false">
      <c r="A18390" s="10" t="n">
        <f aca="false">Einstellungen!$B$5+INT((ROW()-9)/24)</f>
        <v>46731</v>
      </c>
      <c r="B18390" s="11" t="n">
        <f aca="false">MOD(ROW()-9,24)</f>
        <v>21</v>
      </c>
      <c r="C18390" s="12"/>
      <c r="D18390" s="13" t="n">
        <f aca="false">IF(B18390&lt;5,Einstellungen!$B$3,Einstellungen!$B$4)</f>
        <v>29.13</v>
      </c>
      <c r="E18390" s="14" t="str">
        <f aca="false">IF(C18390="","",C18390*D18390/100)</f>
        <v/>
      </c>
      <c r="F18390" s="15" t="str">
        <f aca="false">IF(B18390&lt;5,"Go","Standard")</f>
        <v>Standard</v>
      </c>
    </row>
    <row r="18391" customFormat="false" ht="15" hidden="false" customHeight="true" outlineLevel="0" collapsed="false">
      <c r="A18391" s="10" t="n">
        <f aca="false">Einstellungen!$B$5+INT((ROW()-9)/24)</f>
        <v>46731</v>
      </c>
      <c r="B18391" s="11" t="n">
        <f aca="false">MOD(ROW()-9,24)</f>
        <v>22</v>
      </c>
      <c r="C18391" s="12"/>
      <c r="D18391" s="13" t="n">
        <f aca="false">IF(B18391&lt;5,Einstellungen!$B$3,Einstellungen!$B$4)</f>
        <v>29.13</v>
      </c>
      <c r="E18391" s="14" t="str">
        <f aca="false">IF(C18391="","",C18391*D18391/100)</f>
        <v/>
      </c>
      <c r="F18391" s="15" t="str">
        <f aca="false">IF(B18391&lt;5,"Go","Standard")</f>
        <v>Standard</v>
      </c>
    </row>
    <row r="18392" customFormat="false" ht="15" hidden="false" customHeight="true" outlineLevel="0" collapsed="false">
      <c r="A18392" s="10" t="n">
        <f aca="false">Einstellungen!$B$5+INT((ROW()-9)/24)</f>
        <v>46731</v>
      </c>
      <c r="B18392" s="11" t="n">
        <f aca="false">MOD(ROW()-9,24)</f>
        <v>23</v>
      </c>
      <c r="C18392" s="12"/>
      <c r="D18392" s="13" t="n">
        <f aca="false">IF(B18392&lt;5,Einstellungen!$B$3,Einstellungen!$B$4)</f>
        <v>29.13</v>
      </c>
      <c r="E18392" s="14" t="str">
        <f aca="false">IF(C18392="","",C18392*D18392/100)</f>
        <v/>
      </c>
      <c r="F18392" s="15" t="str">
        <f aca="false">IF(B18392&lt;5,"Go","Standard")</f>
        <v>Standard</v>
      </c>
    </row>
    <row r="18393" customFormat="false" ht="15" hidden="false" customHeight="true" outlineLevel="0" collapsed="false">
      <c r="A18393" s="10" t="n">
        <f aca="false">Einstellungen!$B$5+INT((ROW()-9)/24)</f>
        <v>46732</v>
      </c>
      <c r="B18393" s="11" t="n">
        <f aca="false">MOD(ROW()-9,24)</f>
        <v>0</v>
      </c>
      <c r="C18393" s="12"/>
      <c r="D18393" s="13" t="n">
        <f aca="false">IF(B18393&lt;5,Einstellungen!$B$3,Einstellungen!$B$4)</f>
        <v>15.92</v>
      </c>
      <c r="E18393" s="14" t="str">
        <f aca="false">IF(C18393="","",C18393*D18393/100)</f>
        <v/>
      </c>
      <c r="F18393" s="15" t="str">
        <f aca="false">IF(B18393&lt;5,"Go","Standard")</f>
        <v>Go</v>
      </c>
    </row>
    <row r="18394" customFormat="false" ht="15" hidden="false" customHeight="true" outlineLevel="0" collapsed="false">
      <c r="A18394" s="10" t="n">
        <f aca="false">Einstellungen!$B$5+INT((ROW()-9)/24)</f>
        <v>46732</v>
      </c>
      <c r="B18394" s="11" t="n">
        <f aca="false">MOD(ROW()-9,24)</f>
        <v>1</v>
      </c>
      <c r="C18394" s="12"/>
      <c r="D18394" s="13" t="n">
        <f aca="false">IF(B18394&lt;5,Einstellungen!$B$3,Einstellungen!$B$4)</f>
        <v>15.92</v>
      </c>
      <c r="E18394" s="14" t="str">
        <f aca="false">IF(C18394="","",C18394*D18394/100)</f>
        <v/>
      </c>
      <c r="F18394" s="15" t="str">
        <f aca="false">IF(B18394&lt;5,"Go","Standard")</f>
        <v>Go</v>
      </c>
    </row>
    <row r="18395" customFormat="false" ht="15" hidden="false" customHeight="true" outlineLevel="0" collapsed="false">
      <c r="A18395" s="10" t="n">
        <f aca="false">Einstellungen!$B$5+INT((ROW()-9)/24)</f>
        <v>46732</v>
      </c>
      <c r="B18395" s="11" t="n">
        <f aca="false">MOD(ROW()-9,24)</f>
        <v>2</v>
      </c>
      <c r="C18395" s="12"/>
      <c r="D18395" s="13" t="n">
        <f aca="false">IF(B18395&lt;5,Einstellungen!$B$3,Einstellungen!$B$4)</f>
        <v>15.92</v>
      </c>
      <c r="E18395" s="14" t="str">
        <f aca="false">IF(C18395="","",C18395*D18395/100)</f>
        <v/>
      </c>
      <c r="F18395" s="15" t="str">
        <f aca="false">IF(B18395&lt;5,"Go","Standard")</f>
        <v>Go</v>
      </c>
    </row>
    <row r="18396" customFormat="false" ht="15" hidden="false" customHeight="true" outlineLevel="0" collapsed="false">
      <c r="A18396" s="10" t="n">
        <f aca="false">Einstellungen!$B$5+INT((ROW()-9)/24)</f>
        <v>46732</v>
      </c>
      <c r="B18396" s="11" t="n">
        <f aca="false">MOD(ROW()-9,24)</f>
        <v>3</v>
      </c>
      <c r="C18396" s="12"/>
      <c r="D18396" s="13" t="n">
        <f aca="false">IF(B18396&lt;5,Einstellungen!$B$3,Einstellungen!$B$4)</f>
        <v>15.92</v>
      </c>
      <c r="E18396" s="14" t="str">
        <f aca="false">IF(C18396="","",C18396*D18396/100)</f>
        <v/>
      </c>
      <c r="F18396" s="15" t="str">
        <f aca="false">IF(B18396&lt;5,"Go","Standard")</f>
        <v>Go</v>
      </c>
    </row>
    <row r="18397" customFormat="false" ht="15" hidden="false" customHeight="true" outlineLevel="0" collapsed="false">
      <c r="A18397" s="10" t="n">
        <f aca="false">Einstellungen!$B$5+INT((ROW()-9)/24)</f>
        <v>46732</v>
      </c>
      <c r="B18397" s="11" t="n">
        <f aca="false">MOD(ROW()-9,24)</f>
        <v>4</v>
      </c>
      <c r="C18397" s="12"/>
      <c r="D18397" s="13" t="n">
        <f aca="false">IF(B18397&lt;5,Einstellungen!$B$3,Einstellungen!$B$4)</f>
        <v>15.92</v>
      </c>
      <c r="E18397" s="14" t="str">
        <f aca="false">IF(C18397="","",C18397*D18397/100)</f>
        <v/>
      </c>
      <c r="F18397" s="15" t="str">
        <f aca="false">IF(B18397&lt;5,"Go","Standard")</f>
        <v>Go</v>
      </c>
    </row>
    <row r="18398" customFormat="false" ht="15" hidden="false" customHeight="true" outlineLevel="0" collapsed="false">
      <c r="A18398" s="10" t="n">
        <f aca="false">Einstellungen!$B$5+INT((ROW()-9)/24)</f>
        <v>46732</v>
      </c>
      <c r="B18398" s="11" t="n">
        <f aca="false">MOD(ROW()-9,24)</f>
        <v>5</v>
      </c>
      <c r="C18398" s="12"/>
      <c r="D18398" s="13" t="n">
        <f aca="false">IF(B18398&lt;5,Einstellungen!$B$3,Einstellungen!$B$4)</f>
        <v>29.13</v>
      </c>
      <c r="E18398" s="14" t="str">
        <f aca="false">IF(C18398="","",C18398*D18398/100)</f>
        <v/>
      </c>
      <c r="F18398" s="15" t="str">
        <f aca="false">IF(B18398&lt;5,"Go","Standard")</f>
        <v>Standard</v>
      </c>
    </row>
    <row r="18399" customFormat="false" ht="15" hidden="false" customHeight="true" outlineLevel="0" collapsed="false">
      <c r="A18399" s="10" t="n">
        <f aca="false">Einstellungen!$B$5+INT((ROW()-9)/24)</f>
        <v>46732</v>
      </c>
      <c r="B18399" s="11" t="n">
        <f aca="false">MOD(ROW()-9,24)</f>
        <v>6</v>
      </c>
      <c r="C18399" s="12"/>
      <c r="D18399" s="13" t="n">
        <f aca="false">IF(B18399&lt;5,Einstellungen!$B$3,Einstellungen!$B$4)</f>
        <v>29.13</v>
      </c>
      <c r="E18399" s="14" t="str">
        <f aca="false">IF(C18399="","",C18399*D18399/100)</f>
        <v/>
      </c>
      <c r="F18399" s="15" t="str">
        <f aca="false">IF(B18399&lt;5,"Go","Standard")</f>
        <v>Standard</v>
      </c>
    </row>
    <row r="18400" customFormat="false" ht="15" hidden="false" customHeight="true" outlineLevel="0" collapsed="false">
      <c r="A18400" s="10" t="n">
        <f aca="false">Einstellungen!$B$5+INT((ROW()-9)/24)</f>
        <v>46732</v>
      </c>
      <c r="B18400" s="11" t="n">
        <f aca="false">MOD(ROW()-9,24)</f>
        <v>7</v>
      </c>
      <c r="C18400" s="12"/>
      <c r="D18400" s="13" t="n">
        <f aca="false">IF(B18400&lt;5,Einstellungen!$B$3,Einstellungen!$B$4)</f>
        <v>29.13</v>
      </c>
      <c r="E18400" s="14" t="str">
        <f aca="false">IF(C18400="","",C18400*D18400/100)</f>
        <v/>
      </c>
      <c r="F18400" s="15" t="str">
        <f aca="false">IF(B18400&lt;5,"Go","Standard")</f>
        <v>Standard</v>
      </c>
    </row>
    <row r="18401" customFormat="false" ht="15" hidden="false" customHeight="true" outlineLevel="0" collapsed="false">
      <c r="A18401" s="10" t="n">
        <f aca="false">Einstellungen!$B$5+INT((ROW()-9)/24)</f>
        <v>46732</v>
      </c>
      <c r="B18401" s="11" t="n">
        <f aca="false">MOD(ROW()-9,24)</f>
        <v>8</v>
      </c>
      <c r="C18401" s="12"/>
      <c r="D18401" s="13" t="n">
        <f aca="false">IF(B18401&lt;5,Einstellungen!$B$3,Einstellungen!$B$4)</f>
        <v>29.13</v>
      </c>
      <c r="E18401" s="14" t="str">
        <f aca="false">IF(C18401="","",C18401*D18401/100)</f>
        <v/>
      </c>
      <c r="F18401" s="15" t="str">
        <f aca="false">IF(B18401&lt;5,"Go","Standard")</f>
        <v>Standard</v>
      </c>
    </row>
    <row r="18402" customFormat="false" ht="15" hidden="false" customHeight="true" outlineLevel="0" collapsed="false">
      <c r="A18402" s="10" t="n">
        <f aca="false">Einstellungen!$B$5+INT((ROW()-9)/24)</f>
        <v>46732</v>
      </c>
      <c r="B18402" s="11" t="n">
        <f aca="false">MOD(ROW()-9,24)</f>
        <v>9</v>
      </c>
      <c r="C18402" s="12"/>
      <c r="D18402" s="13" t="n">
        <f aca="false">IF(B18402&lt;5,Einstellungen!$B$3,Einstellungen!$B$4)</f>
        <v>29.13</v>
      </c>
      <c r="E18402" s="14" t="str">
        <f aca="false">IF(C18402="","",C18402*D18402/100)</f>
        <v/>
      </c>
      <c r="F18402" s="15" t="str">
        <f aca="false">IF(B18402&lt;5,"Go","Standard")</f>
        <v>Standard</v>
      </c>
    </row>
    <row r="18403" customFormat="false" ht="15" hidden="false" customHeight="true" outlineLevel="0" collapsed="false">
      <c r="A18403" s="10" t="n">
        <f aca="false">Einstellungen!$B$5+INT((ROW()-9)/24)</f>
        <v>46732</v>
      </c>
      <c r="B18403" s="11" t="n">
        <f aca="false">MOD(ROW()-9,24)</f>
        <v>10</v>
      </c>
      <c r="C18403" s="12"/>
      <c r="D18403" s="13" t="n">
        <f aca="false">IF(B18403&lt;5,Einstellungen!$B$3,Einstellungen!$B$4)</f>
        <v>29.13</v>
      </c>
      <c r="E18403" s="14" t="str">
        <f aca="false">IF(C18403="","",C18403*D18403/100)</f>
        <v/>
      </c>
      <c r="F18403" s="15" t="str">
        <f aca="false">IF(B18403&lt;5,"Go","Standard")</f>
        <v>Standard</v>
      </c>
    </row>
    <row r="18404" customFormat="false" ht="15" hidden="false" customHeight="true" outlineLevel="0" collapsed="false">
      <c r="A18404" s="10" t="n">
        <f aca="false">Einstellungen!$B$5+INT((ROW()-9)/24)</f>
        <v>46732</v>
      </c>
      <c r="B18404" s="11" t="n">
        <f aca="false">MOD(ROW()-9,24)</f>
        <v>11</v>
      </c>
      <c r="C18404" s="12"/>
      <c r="D18404" s="13" t="n">
        <f aca="false">IF(B18404&lt;5,Einstellungen!$B$3,Einstellungen!$B$4)</f>
        <v>29.13</v>
      </c>
      <c r="E18404" s="14" t="str">
        <f aca="false">IF(C18404="","",C18404*D18404/100)</f>
        <v/>
      </c>
      <c r="F18404" s="15" t="str">
        <f aca="false">IF(B18404&lt;5,"Go","Standard")</f>
        <v>Standard</v>
      </c>
    </row>
    <row r="18405" customFormat="false" ht="15" hidden="false" customHeight="true" outlineLevel="0" collapsed="false">
      <c r="A18405" s="10" t="n">
        <f aca="false">Einstellungen!$B$5+INT((ROW()-9)/24)</f>
        <v>46732</v>
      </c>
      <c r="B18405" s="11" t="n">
        <f aca="false">MOD(ROW()-9,24)</f>
        <v>12</v>
      </c>
      <c r="C18405" s="12"/>
      <c r="D18405" s="13" t="n">
        <f aca="false">IF(B18405&lt;5,Einstellungen!$B$3,Einstellungen!$B$4)</f>
        <v>29.13</v>
      </c>
      <c r="E18405" s="14" t="str">
        <f aca="false">IF(C18405="","",C18405*D18405/100)</f>
        <v/>
      </c>
      <c r="F18405" s="15" t="str">
        <f aca="false">IF(B18405&lt;5,"Go","Standard")</f>
        <v>Standard</v>
      </c>
    </row>
    <row r="18406" customFormat="false" ht="15" hidden="false" customHeight="true" outlineLevel="0" collapsed="false">
      <c r="A18406" s="10" t="n">
        <f aca="false">Einstellungen!$B$5+INT((ROW()-9)/24)</f>
        <v>46732</v>
      </c>
      <c r="B18406" s="11" t="n">
        <f aca="false">MOD(ROW()-9,24)</f>
        <v>13</v>
      </c>
      <c r="C18406" s="12"/>
      <c r="D18406" s="13" t="n">
        <f aca="false">IF(B18406&lt;5,Einstellungen!$B$3,Einstellungen!$B$4)</f>
        <v>29.13</v>
      </c>
      <c r="E18406" s="14" t="str">
        <f aca="false">IF(C18406="","",C18406*D18406/100)</f>
        <v/>
      </c>
      <c r="F18406" s="15" t="str">
        <f aca="false">IF(B18406&lt;5,"Go","Standard")</f>
        <v>Standard</v>
      </c>
    </row>
    <row r="18407" customFormat="false" ht="15" hidden="false" customHeight="true" outlineLevel="0" collapsed="false">
      <c r="A18407" s="10" t="n">
        <f aca="false">Einstellungen!$B$5+INT((ROW()-9)/24)</f>
        <v>46732</v>
      </c>
      <c r="B18407" s="11" t="n">
        <f aca="false">MOD(ROW()-9,24)</f>
        <v>14</v>
      </c>
      <c r="C18407" s="12"/>
      <c r="D18407" s="13" t="n">
        <f aca="false">IF(B18407&lt;5,Einstellungen!$B$3,Einstellungen!$B$4)</f>
        <v>29.13</v>
      </c>
      <c r="E18407" s="14" t="str">
        <f aca="false">IF(C18407="","",C18407*D18407/100)</f>
        <v/>
      </c>
      <c r="F18407" s="15" t="str">
        <f aca="false">IF(B18407&lt;5,"Go","Standard")</f>
        <v>Standard</v>
      </c>
    </row>
    <row r="18408" customFormat="false" ht="15" hidden="false" customHeight="true" outlineLevel="0" collapsed="false">
      <c r="A18408" s="10" t="n">
        <f aca="false">Einstellungen!$B$5+INT((ROW()-9)/24)</f>
        <v>46732</v>
      </c>
      <c r="B18408" s="11" t="n">
        <f aca="false">MOD(ROW()-9,24)</f>
        <v>15</v>
      </c>
      <c r="C18408" s="12"/>
      <c r="D18408" s="13" t="n">
        <f aca="false">IF(B18408&lt;5,Einstellungen!$B$3,Einstellungen!$B$4)</f>
        <v>29.13</v>
      </c>
      <c r="E18408" s="14" t="str">
        <f aca="false">IF(C18408="","",C18408*D18408/100)</f>
        <v/>
      </c>
      <c r="F18408" s="15" t="str">
        <f aca="false">IF(B18408&lt;5,"Go","Standard")</f>
        <v>Standard</v>
      </c>
    </row>
    <row r="18409" customFormat="false" ht="15" hidden="false" customHeight="true" outlineLevel="0" collapsed="false">
      <c r="A18409" s="10" t="n">
        <f aca="false">Einstellungen!$B$5+INT((ROW()-9)/24)</f>
        <v>46732</v>
      </c>
      <c r="B18409" s="11" t="n">
        <f aca="false">MOD(ROW()-9,24)</f>
        <v>16</v>
      </c>
      <c r="C18409" s="12"/>
      <c r="D18409" s="13" t="n">
        <f aca="false">IF(B18409&lt;5,Einstellungen!$B$3,Einstellungen!$B$4)</f>
        <v>29.13</v>
      </c>
      <c r="E18409" s="14" t="str">
        <f aca="false">IF(C18409="","",C18409*D18409/100)</f>
        <v/>
      </c>
      <c r="F18409" s="15" t="str">
        <f aca="false">IF(B18409&lt;5,"Go","Standard")</f>
        <v>Standard</v>
      </c>
    </row>
    <row r="18410" customFormat="false" ht="15" hidden="false" customHeight="true" outlineLevel="0" collapsed="false">
      <c r="A18410" s="10" t="n">
        <f aca="false">Einstellungen!$B$5+INT((ROW()-9)/24)</f>
        <v>46732</v>
      </c>
      <c r="B18410" s="11" t="n">
        <f aca="false">MOD(ROW()-9,24)</f>
        <v>17</v>
      </c>
      <c r="C18410" s="12"/>
      <c r="D18410" s="13" t="n">
        <f aca="false">IF(B18410&lt;5,Einstellungen!$B$3,Einstellungen!$B$4)</f>
        <v>29.13</v>
      </c>
      <c r="E18410" s="14" t="str">
        <f aca="false">IF(C18410="","",C18410*D18410/100)</f>
        <v/>
      </c>
      <c r="F18410" s="15" t="str">
        <f aca="false">IF(B18410&lt;5,"Go","Standard")</f>
        <v>Standard</v>
      </c>
    </row>
    <row r="18411" customFormat="false" ht="15" hidden="false" customHeight="true" outlineLevel="0" collapsed="false">
      <c r="A18411" s="10" t="n">
        <f aca="false">Einstellungen!$B$5+INT((ROW()-9)/24)</f>
        <v>46732</v>
      </c>
      <c r="B18411" s="11" t="n">
        <f aca="false">MOD(ROW()-9,24)</f>
        <v>18</v>
      </c>
      <c r="C18411" s="12"/>
      <c r="D18411" s="13" t="n">
        <f aca="false">IF(B18411&lt;5,Einstellungen!$B$3,Einstellungen!$B$4)</f>
        <v>29.13</v>
      </c>
      <c r="E18411" s="14" t="str">
        <f aca="false">IF(C18411="","",C18411*D18411/100)</f>
        <v/>
      </c>
      <c r="F18411" s="15" t="str">
        <f aca="false">IF(B18411&lt;5,"Go","Standard")</f>
        <v>Standard</v>
      </c>
    </row>
    <row r="18412" customFormat="false" ht="15" hidden="false" customHeight="true" outlineLevel="0" collapsed="false">
      <c r="A18412" s="10" t="n">
        <f aca="false">Einstellungen!$B$5+INT((ROW()-9)/24)</f>
        <v>46732</v>
      </c>
      <c r="B18412" s="11" t="n">
        <f aca="false">MOD(ROW()-9,24)</f>
        <v>19</v>
      </c>
      <c r="C18412" s="12"/>
      <c r="D18412" s="13" t="n">
        <f aca="false">IF(B18412&lt;5,Einstellungen!$B$3,Einstellungen!$B$4)</f>
        <v>29.13</v>
      </c>
      <c r="E18412" s="14" t="str">
        <f aca="false">IF(C18412="","",C18412*D18412/100)</f>
        <v/>
      </c>
      <c r="F18412" s="15" t="str">
        <f aca="false">IF(B18412&lt;5,"Go","Standard")</f>
        <v>Standard</v>
      </c>
    </row>
    <row r="18413" customFormat="false" ht="15" hidden="false" customHeight="true" outlineLevel="0" collapsed="false">
      <c r="A18413" s="10" t="n">
        <f aca="false">Einstellungen!$B$5+INT((ROW()-9)/24)</f>
        <v>46732</v>
      </c>
      <c r="B18413" s="11" t="n">
        <f aca="false">MOD(ROW()-9,24)</f>
        <v>20</v>
      </c>
      <c r="C18413" s="12"/>
      <c r="D18413" s="13" t="n">
        <f aca="false">IF(B18413&lt;5,Einstellungen!$B$3,Einstellungen!$B$4)</f>
        <v>29.13</v>
      </c>
      <c r="E18413" s="14" t="str">
        <f aca="false">IF(C18413="","",C18413*D18413/100)</f>
        <v/>
      </c>
      <c r="F18413" s="15" t="str">
        <f aca="false">IF(B18413&lt;5,"Go","Standard")</f>
        <v>Standard</v>
      </c>
    </row>
    <row r="18414" customFormat="false" ht="15" hidden="false" customHeight="true" outlineLevel="0" collapsed="false">
      <c r="A18414" s="10" t="n">
        <f aca="false">Einstellungen!$B$5+INT((ROW()-9)/24)</f>
        <v>46732</v>
      </c>
      <c r="B18414" s="11" t="n">
        <f aca="false">MOD(ROW()-9,24)</f>
        <v>21</v>
      </c>
      <c r="C18414" s="12"/>
      <c r="D18414" s="13" t="n">
        <f aca="false">IF(B18414&lt;5,Einstellungen!$B$3,Einstellungen!$B$4)</f>
        <v>29.13</v>
      </c>
      <c r="E18414" s="14" t="str">
        <f aca="false">IF(C18414="","",C18414*D18414/100)</f>
        <v/>
      </c>
      <c r="F18414" s="15" t="str">
        <f aca="false">IF(B18414&lt;5,"Go","Standard")</f>
        <v>Standard</v>
      </c>
    </row>
    <row r="18415" customFormat="false" ht="15" hidden="false" customHeight="true" outlineLevel="0" collapsed="false">
      <c r="A18415" s="10" t="n">
        <f aca="false">Einstellungen!$B$5+INT((ROW()-9)/24)</f>
        <v>46732</v>
      </c>
      <c r="B18415" s="11" t="n">
        <f aca="false">MOD(ROW()-9,24)</f>
        <v>22</v>
      </c>
      <c r="C18415" s="12"/>
      <c r="D18415" s="13" t="n">
        <f aca="false">IF(B18415&lt;5,Einstellungen!$B$3,Einstellungen!$B$4)</f>
        <v>29.13</v>
      </c>
      <c r="E18415" s="14" t="str">
        <f aca="false">IF(C18415="","",C18415*D18415/100)</f>
        <v/>
      </c>
      <c r="F18415" s="15" t="str">
        <f aca="false">IF(B18415&lt;5,"Go","Standard")</f>
        <v>Standard</v>
      </c>
    </row>
    <row r="18416" customFormat="false" ht="15" hidden="false" customHeight="true" outlineLevel="0" collapsed="false">
      <c r="A18416" s="10" t="n">
        <f aca="false">Einstellungen!$B$5+INT((ROW()-9)/24)</f>
        <v>46732</v>
      </c>
      <c r="B18416" s="11" t="n">
        <f aca="false">MOD(ROW()-9,24)</f>
        <v>23</v>
      </c>
      <c r="C18416" s="12"/>
      <c r="D18416" s="13" t="n">
        <f aca="false">IF(B18416&lt;5,Einstellungen!$B$3,Einstellungen!$B$4)</f>
        <v>29.13</v>
      </c>
      <c r="E18416" s="14" t="str">
        <f aca="false">IF(C18416="","",C18416*D18416/100)</f>
        <v/>
      </c>
      <c r="F18416" s="15" t="str">
        <f aca="false">IF(B18416&lt;5,"Go","Standard")</f>
        <v>Standard</v>
      </c>
    </row>
    <row r="18417" customFormat="false" ht="15" hidden="false" customHeight="true" outlineLevel="0" collapsed="false">
      <c r="A18417" s="10" t="n">
        <f aca="false">Einstellungen!$B$5+INT((ROW()-9)/24)</f>
        <v>46733</v>
      </c>
      <c r="B18417" s="11" t="n">
        <f aca="false">MOD(ROW()-9,24)</f>
        <v>0</v>
      </c>
      <c r="C18417" s="12"/>
      <c r="D18417" s="13" t="n">
        <f aca="false">IF(B18417&lt;5,Einstellungen!$B$3,Einstellungen!$B$4)</f>
        <v>15.92</v>
      </c>
      <c r="E18417" s="14" t="str">
        <f aca="false">IF(C18417="","",C18417*D18417/100)</f>
        <v/>
      </c>
      <c r="F18417" s="15" t="str">
        <f aca="false">IF(B18417&lt;5,"Go","Standard")</f>
        <v>Go</v>
      </c>
    </row>
    <row r="18418" customFormat="false" ht="15" hidden="false" customHeight="true" outlineLevel="0" collapsed="false">
      <c r="A18418" s="10" t="n">
        <f aca="false">Einstellungen!$B$5+INT((ROW()-9)/24)</f>
        <v>46733</v>
      </c>
      <c r="B18418" s="11" t="n">
        <f aca="false">MOD(ROW()-9,24)</f>
        <v>1</v>
      </c>
      <c r="C18418" s="12"/>
      <c r="D18418" s="13" t="n">
        <f aca="false">IF(B18418&lt;5,Einstellungen!$B$3,Einstellungen!$B$4)</f>
        <v>15.92</v>
      </c>
      <c r="E18418" s="14" t="str">
        <f aca="false">IF(C18418="","",C18418*D18418/100)</f>
        <v/>
      </c>
      <c r="F18418" s="15" t="str">
        <f aca="false">IF(B18418&lt;5,"Go","Standard")</f>
        <v>Go</v>
      </c>
    </row>
    <row r="18419" customFormat="false" ht="15" hidden="false" customHeight="true" outlineLevel="0" collapsed="false">
      <c r="A18419" s="10" t="n">
        <f aca="false">Einstellungen!$B$5+INT((ROW()-9)/24)</f>
        <v>46733</v>
      </c>
      <c r="B18419" s="11" t="n">
        <f aca="false">MOD(ROW()-9,24)</f>
        <v>2</v>
      </c>
      <c r="C18419" s="12"/>
      <c r="D18419" s="13" t="n">
        <f aca="false">IF(B18419&lt;5,Einstellungen!$B$3,Einstellungen!$B$4)</f>
        <v>15.92</v>
      </c>
      <c r="E18419" s="14" t="str">
        <f aca="false">IF(C18419="","",C18419*D18419/100)</f>
        <v/>
      </c>
      <c r="F18419" s="15" t="str">
        <f aca="false">IF(B18419&lt;5,"Go","Standard")</f>
        <v>Go</v>
      </c>
    </row>
    <row r="18420" customFormat="false" ht="15" hidden="false" customHeight="true" outlineLevel="0" collapsed="false">
      <c r="A18420" s="10" t="n">
        <f aca="false">Einstellungen!$B$5+INT((ROW()-9)/24)</f>
        <v>46733</v>
      </c>
      <c r="B18420" s="11" t="n">
        <f aca="false">MOD(ROW()-9,24)</f>
        <v>3</v>
      </c>
      <c r="C18420" s="12"/>
      <c r="D18420" s="13" t="n">
        <f aca="false">IF(B18420&lt;5,Einstellungen!$B$3,Einstellungen!$B$4)</f>
        <v>15.92</v>
      </c>
      <c r="E18420" s="14" t="str">
        <f aca="false">IF(C18420="","",C18420*D18420/100)</f>
        <v/>
      </c>
      <c r="F18420" s="15" t="str">
        <f aca="false">IF(B18420&lt;5,"Go","Standard")</f>
        <v>Go</v>
      </c>
    </row>
    <row r="18421" customFormat="false" ht="15" hidden="false" customHeight="true" outlineLevel="0" collapsed="false">
      <c r="A18421" s="10" t="n">
        <f aca="false">Einstellungen!$B$5+INT((ROW()-9)/24)</f>
        <v>46733</v>
      </c>
      <c r="B18421" s="11" t="n">
        <f aca="false">MOD(ROW()-9,24)</f>
        <v>4</v>
      </c>
      <c r="C18421" s="12"/>
      <c r="D18421" s="13" t="n">
        <f aca="false">IF(B18421&lt;5,Einstellungen!$B$3,Einstellungen!$B$4)</f>
        <v>15.92</v>
      </c>
      <c r="E18421" s="14" t="str">
        <f aca="false">IF(C18421="","",C18421*D18421/100)</f>
        <v/>
      </c>
      <c r="F18421" s="15" t="str">
        <f aca="false">IF(B18421&lt;5,"Go","Standard")</f>
        <v>Go</v>
      </c>
    </row>
    <row r="18422" customFormat="false" ht="15" hidden="false" customHeight="true" outlineLevel="0" collapsed="false">
      <c r="A18422" s="10" t="n">
        <f aca="false">Einstellungen!$B$5+INT((ROW()-9)/24)</f>
        <v>46733</v>
      </c>
      <c r="B18422" s="11" t="n">
        <f aca="false">MOD(ROW()-9,24)</f>
        <v>5</v>
      </c>
      <c r="C18422" s="12"/>
      <c r="D18422" s="13" t="n">
        <f aca="false">IF(B18422&lt;5,Einstellungen!$B$3,Einstellungen!$B$4)</f>
        <v>29.13</v>
      </c>
      <c r="E18422" s="14" t="str">
        <f aca="false">IF(C18422="","",C18422*D18422/100)</f>
        <v/>
      </c>
      <c r="F18422" s="15" t="str">
        <f aca="false">IF(B18422&lt;5,"Go","Standard")</f>
        <v>Standard</v>
      </c>
    </row>
    <row r="18423" customFormat="false" ht="15" hidden="false" customHeight="true" outlineLevel="0" collapsed="false">
      <c r="A18423" s="10" t="n">
        <f aca="false">Einstellungen!$B$5+INT((ROW()-9)/24)</f>
        <v>46733</v>
      </c>
      <c r="B18423" s="11" t="n">
        <f aca="false">MOD(ROW()-9,24)</f>
        <v>6</v>
      </c>
      <c r="C18423" s="12"/>
      <c r="D18423" s="13" t="n">
        <f aca="false">IF(B18423&lt;5,Einstellungen!$B$3,Einstellungen!$B$4)</f>
        <v>29.13</v>
      </c>
      <c r="E18423" s="14" t="str">
        <f aca="false">IF(C18423="","",C18423*D18423/100)</f>
        <v/>
      </c>
      <c r="F18423" s="15" t="str">
        <f aca="false">IF(B18423&lt;5,"Go","Standard")</f>
        <v>Standard</v>
      </c>
    </row>
    <row r="18424" customFormat="false" ht="15" hidden="false" customHeight="true" outlineLevel="0" collapsed="false">
      <c r="A18424" s="10" t="n">
        <f aca="false">Einstellungen!$B$5+INT((ROW()-9)/24)</f>
        <v>46733</v>
      </c>
      <c r="B18424" s="11" t="n">
        <f aca="false">MOD(ROW()-9,24)</f>
        <v>7</v>
      </c>
      <c r="C18424" s="12"/>
      <c r="D18424" s="13" t="n">
        <f aca="false">IF(B18424&lt;5,Einstellungen!$B$3,Einstellungen!$B$4)</f>
        <v>29.13</v>
      </c>
      <c r="E18424" s="14" t="str">
        <f aca="false">IF(C18424="","",C18424*D18424/100)</f>
        <v/>
      </c>
      <c r="F18424" s="15" t="str">
        <f aca="false">IF(B18424&lt;5,"Go","Standard")</f>
        <v>Standard</v>
      </c>
    </row>
    <row r="18425" customFormat="false" ht="15" hidden="false" customHeight="true" outlineLevel="0" collapsed="false">
      <c r="A18425" s="10" t="n">
        <f aca="false">Einstellungen!$B$5+INT((ROW()-9)/24)</f>
        <v>46733</v>
      </c>
      <c r="B18425" s="11" t="n">
        <f aca="false">MOD(ROW()-9,24)</f>
        <v>8</v>
      </c>
      <c r="C18425" s="12"/>
      <c r="D18425" s="13" t="n">
        <f aca="false">IF(B18425&lt;5,Einstellungen!$B$3,Einstellungen!$B$4)</f>
        <v>29.13</v>
      </c>
      <c r="E18425" s="14" t="str">
        <f aca="false">IF(C18425="","",C18425*D18425/100)</f>
        <v/>
      </c>
      <c r="F18425" s="15" t="str">
        <f aca="false">IF(B18425&lt;5,"Go","Standard")</f>
        <v>Standard</v>
      </c>
    </row>
    <row r="18426" customFormat="false" ht="15" hidden="false" customHeight="true" outlineLevel="0" collapsed="false">
      <c r="A18426" s="10" t="n">
        <f aca="false">Einstellungen!$B$5+INT((ROW()-9)/24)</f>
        <v>46733</v>
      </c>
      <c r="B18426" s="11" t="n">
        <f aca="false">MOD(ROW()-9,24)</f>
        <v>9</v>
      </c>
      <c r="C18426" s="12"/>
      <c r="D18426" s="13" t="n">
        <f aca="false">IF(B18426&lt;5,Einstellungen!$B$3,Einstellungen!$B$4)</f>
        <v>29.13</v>
      </c>
      <c r="E18426" s="14" t="str">
        <f aca="false">IF(C18426="","",C18426*D18426/100)</f>
        <v/>
      </c>
      <c r="F18426" s="15" t="str">
        <f aca="false">IF(B18426&lt;5,"Go","Standard")</f>
        <v>Standard</v>
      </c>
    </row>
    <row r="18427" customFormat="false" ht="15" hidden="false" customHeight="true" outlineLevel="0" collapsed="false">
      <c r="A18427" s="10" t="n">
        <f aca="false">Einstellungen!$B$5+INT((ROW()-9)/24)</f>
        <v>46733</v>
      </c>
      <c r="B18427" s="11" t="n">
        <f aca="false">MOD(ROW()-9,24)</f>
        <v>10</v>
      </c>
      <c r="C18427" s="12"/>
      <c r="D18427" s="13" t="n">
        <f aca="false">IF(B18427&lt;5,Einstellungen!$B$3,Einstellungen!$B$4)</f>
        <v>29.13</v>
      </c>
      <c r="E18427" s="14" t="str">
        <f aca="false">IF(C18427="","",C18427*D18427/100)</f>
        <v/>
      </c>
      <c r="F18427" s="15" t="str">
        <f aca="false">IF(B18427&lt;5,"Go","Standard")</f>
        <v>Standard</v>
      </c>
    </row>
    <row r="18428" customFormat="false" ht="15" hidden="false" customHeight="true" outlineLevel="0" collapsed="false">
      <c r="A18428" s="10" t="n">
        <f aca="false">Einstellungen!$B$5+INT((ROW()-9)/24)</f>
        <v>46733</v>
      </c>
      <c r="B18428" s="11" t="n">
        <f aca="false">MOD(ROW()-9,24)</f>
        <v>11</v>
      </c>
      <c r="C18428" s="12"/>
      <c r="D18428" s="13" t="n">
        <f aca="false">IF(B18428&lt;5,Einstellungen!$B$3,Einstellungen!$B$4)</f>
        <v>29.13</v>
      </c>
      <c r="E18428" s="14" t="str">
        <f aca="false">IF(C18428="","",C18428*D18428/100)</f>
        <v/>
      </c>
      <c r="F18428" s="15" t="str">
        <f aca="false">IF(B18428&lt;5,"Go","Standard")</f>
        <v>Standard</v>
      </c>
    </row>
    <row r="18429" customFormat="false" ht="15" hidden="false" customHeight="true" outlineLevel="0" collapsed="false">
      <c r="A18429" s="10" t="n">
        <f aca="false">Einstellungen!$B$5+INT((ROW()-9)/24)</f>
        <v>46733</v>
      </c>
      <c r="B18429" s="11" t="n">
        <f aca="false">MOD(ROW()-9,24)</f>
        <v>12</v>
      </c>
      <c r="C18429" s="12"/>
      <c r="D18429" s="13" t="n">
        <f aca="false">IF(B18429&lt;5,Einstellungen!$B$3,Einstellungen!$B$4)</f>
        <v>29.13</v>
      </c>
      <c r="E18429" s="14" t="str">
        <f aca="false">IF(C18429="","",C18429*D18429/100)</f>
        <v/>
      </c>
      <c r="F18429" s="15" t="str">
        <f aca="false">IF(B18429&lt;5,"Go","Standard")</f>
        <v>Standard</v>
      </c>
    </row>
    <row r="18430" customFormat="false" ht="15" hidden="false" customHeight="true" outlineLevel="0" collapsed="false">
      <c r="A18430" s="10" t="n">
        <f aca="false">Einstellungen!$B$5+INT((ROW()-9)/24)</f>
        <v>46733</v>
      </c>
      <c r="B18430" s="11" t="n">
        <f aca="false">MOD(ROW()-9,24)</f>
        <v>13</v>
      </c>
      <c r="C18430" s="12"/>
      <c r="D18430" s="13" t="n">
        <f aca="false">IF(B18430&lt;5,Einstellungen!$B$3,Einstellungen!$B$4)</f>
        <v>29.13</v>
      </c>
      <c r="E18430" s="14" t="str">
        <f aca="false">IF(C18430="","",C18430*D18430/100)</f>
        <v/>
      </c>
      <c r="F18430" s="15" t="str">
        <f aca="false">IF(B18430&lt;5,"Go","Standard")</f>
        <v>Standard</v>
      </c>
    </row>
    <row r="18431" customFormat="false" ht="15" hidden="false" customHeight="true" outlineLevel="0" collapsed="false">
      <c r="A18431" s="10" t="n">
        <f aca="false">Einstellungen!$B$5+INT((ROW()-9)/24)</f>
        <v>46733</v>
      </c>
      <c r="B18431" s="11" t="n">
        <f aca="false">MOD(ROW()-9,24)</f>
        <v>14</v>
      </c>
      <c r="C18431" s="12"/>
      <c r="D18431" s="13" t="n">
        <f aca="false">IF(B18431&lt;5,Einstellungen!$B$3,Einstellungen!$B$4)</f>
        <v>29.13</v>
      </c>
      <c r="E18431" s="14" t="str">
        <f aca="false">IF(C18431="","",C18431*D18431/100)</f>
        <v/>
      </c>
      <c r="F18431" s="15" t="str">
        <f aca="false">IF(B18431&lt;5,"Go","Standard")</f>
        <v>Standard</v>
      </c>
    </row>
    <row r="18432" customFormat="false" ht="15" hidden="false" customHeight="true" outlineLevel="0" collapsed="false">
      <c r="A18432" s="10" t="n">
        <f aca="false">Einstellungen!$B$5+INT((ROW()-9)/24)</f>
        <v>46733</v>
      </c>
      <c r="B18432" s="11" t="n">
        <f aca="false">MOD(ROW()-9,24)</f>
        <v>15</v>
      </c>
      <c r="C18432" s="12"/>
      <c r="D18432" s="13" t="n">
        <f aca="false">IF(B18432&lt;5,Einstellungen!$B$3,Einstellungen!$B$4)</f>
        <v>29.13</v>
      </c>
      <c r="E18432" s="14" t="str">
        <f aca="false">IF(C18432="","",C18432*D18432/100)</f>
        <v/>
      </c>
      <c r="F18432" s="15" t="str">
        <f aca="false">IF(B18432&lt;5,"Go","Standard")</f>
        <v>Standard</v>
      </c>
    </row>
    <row r="18433" customFormat="false" ht="15" hidden="false" customHeight="true" outlineLevel="0" collapsed="false">
      <c r="A18433" s="10" t="n">
        <f aca="false">Einstellungen!$B$5+INT((ROW()-9)/24)</f>
        <v>46733</v>
      </c>
      <c r="B18433" s="11" t="n">
        <f aca="false">MOD(ROW()-9,24)</f>
        <v>16</v>
      </c>
      <c r="C18433" s="12"/>
      <c r="D18433" s="13" t="n">
        <f aca="false">IF(B18433&lt;5,Einstellungen!$B$3,Einstellungen!$B$4)</f>
        <v>29.13</v>
      </c>
      <c r="E18433" s="14" t="str">
        <f aca="false">IF(C18433="","",C18433*D18433/100)</f>
        <v/>
      </c>
      <c r="F18433" s="15" t="str">
        <f aca="false">IF(B18433&lt;5,"Go","Standard")</f>
        <v>Standard</v>
      </c>
    </row>
    <row r="18434" customFormat="false" ht="15" hidden="false" customHeight="true" outlineLevel="0" collapsed="false">
      <c r="A18434" s="10" t="n">
        <f aca="false">Einstellungen!$B$5+INT((ROW()-9)/24)</f>
        <v>46733</v>
      </c>
      <c r="B18434" s="11" t="n">
        <f aca="false">MOD(ROW()-9,24)</f>
        <v>17</v>
      </c>
      <c r="C18434" s="12"/>
      <c r="D18434" s="13" t="n">
        <f aca="false">IF(B18434&lt;5,Einstellungen!$B$3,Einstellungen!$B$4)</f>
        <v>29.13</v>
      </c>
      <c r="E18434" s="14" t="str">
        <f aca="false">IF(C18434="","",C18434*D18434/100)</f>
        <v/>
      </c>
      <c r="F18434" s="15" t="str">
        <f aca="false">IF(B18434&lt;5,"Go","Standard")</f>
        <v>Standard</v>
      </c>
    </row>
    <row r="18435" customFormat="false" ht="15" hidden="false" customHeight="true" outlineLevel="0" collapsed="false">
      <c r="A18435" s="10" t="n">
        <f aca="false">Einstellungen!$B$5+INT((ROW()-9)/24)</f>
        <v>46733</v>
      </c>
      <c r="B18435" s="11" t="n">
        <f aca="false">MOD(ROW()-9,24)</f>
        <v>18</v>
      </c>
      <c r="C18435" s="12"/>
      <c r="D18435" s="13" t="n">
        <f aca="false">IF(B18435&lt;5,Einstellungen!$B$3,Einstellungen!$B$4)</f>
        <v>29.13</v>
      </c>
      <c r="E18435" s="14" t="str">
        <f aca="false">IF(C18435="","",C18435*D18435/100)</f>
        <v/>
      </c>
      <c r="F18435" s="15" t="str">
        <f aca="false">IF(B18435&lt;5,"Go","Standard")</f>
        <v>Standard</v>
      </c>
    </row>
    <row r="18436" customFormat="false" ht="15" hidden="false" customHeight="true" outlineLevel="0" collapsed="false">
      <c r="A18436" s="10" t="n">
        <f aca="false">Einstellungen!$B$5+INT((ROW()-9)/24)</f>
        <v>46733</v>
      </c>
      <c r="B18436" s="11" t="n">
        <f aca="false">MOD(ROW()-9,24)</f>
        <v>19</v>
      </c>
      <c r="C18436" s="12"/>
      <c r="D18436" s="13" t="n">
        <f aca="false">IF(B18436&lt;5,Einstellungen!$B$3,Einstellungen!$B$4)</f>
        <v>29.13</v>
      </c>
      <c r="E18436" s="14" t="str">
        <f aca="false">IF(C18436="","",C18436*D18436/100)</f>
        <v/>
      </c>
      <c r="F18436" s="15" t="str">
        <f aca="false">IF(B18436&lt;5,"Go","Standard")</f>
        <v>Standard</v>
      </c>
    </row>
    <row r="18437" customFormat="false" ht="15" hidden="false" customHeight="true" outlineLevel="0" collapsed="false">
      <c r="A18437" s="10" t="n">
        <f aca="false">Einstellungen!$B$5+INT((ROW()-9)/24)</f>
        <v>46733</v>
      </c>
      <c r="B18437" s="11" t="n">
        <f aca="false">MOD(ROW()-9,24)</f>
        <v>20</v>
      </c>
      <c r="C18437" s="12"/>
      <c r="D18437" s="13" t="n">
        <f aca="false">IF(B18437&lt;5,Einstellungen!$B$3,Einstellungen!$B$4)</f>
        <v>29.13</v>
      </c>
      <c r="E18437" s="14" t="str">
        <f aca="false">IF(C18437="","",C18437*D18437/100)</f>
        <v/>
      </c>
      <c r="F18437" s="15" t="str">
        <f aca="false">IF(B18437&lt;5,"Go","Standard")</f>
        <v>Standard</v>
      </c>
    </row>
    <row r="18438" customFormat="false" ht="15" hidden="false" customHeight="true" outlineLevel="0" collapsed="false">
      <c r="A18438" s="10" t="n">
        <f aca="false">Einstellungen!$B$5+INT((ROW()-9)/24)</f>
        <v>46733</v>
      </c>
      <c r="B18438" s="11" t="n">
        <f aca="false">MOD(ROW()-9,24)</f>
        <v>21</v>
      </c>
      <c r="C18438" s="12"/>
      <c r="D18438" s="13" t="n">
        <f aca="false">IF(B18438&lt;5,Einstellungen!$B$3,Einstellungen!$B$4)</f>
        <v>29.13</v>
      </c>
      <c r="E18438" s="14" t="str">
        <f aca="false">IF(C18438="","",C18438*D18438/100)</f>
        <v/>
      </c>
      <c r="F18438" s="15" t="str">
        <f aca="false">IF(B18438&lt;5,"Go","Standard")</f>
        <v>Standard</v>
      </c>
    </row>
    <row r="18439" customFormat="false" ht="15" hidden="false" customHeight="true" outlineLevel="0" collapsed="false">
      <c r="A18439" s="10" t="n">
        <f aca="false">Einstellungen!$B$5+INT((ROW()-9)/24)</f>
        <v>46733</v>
      </c>
      <c r="B18439" s="11" t="n">
        <f aca="false">MOD(ROW()-9,24)</f>
        <v>22</v>
      </c>
      <c r="C18439" s="12"/>
      <c r="D18439" s="13" t="n">
        <f aca="false">IF(B18439&lt;5,Einstellungen!$B$3,Einstellungen!$B$4)</f>
        <v>29.13</v>
      </c>
      <c r="E18439" s="14" t="str">
        <f aca="false">IF(C18439="","",C18439*D18439/100)</f>
        <v/>
      </c>
      <c r="F18439" s="15" t="str">
        <f aca="false">IF(B18439&lt;5,"Go","Standard")</f>
        <v>Standard</v>
      </c>
    </row>
    <row r="18440" customFormat="false" ht="15" hidden="false" customHeight="true" outlineLevel="0" collapsed="false">
      <c r="A18440" s="10" t="n">
        <f aca="false">Einstellungen!$B$5+INT((ROW()-9)/24)</f>
        <v>46733</v>
      </c>
      <c r="B18440" s="11" t="n">
        <f aca="false">MOD(ROW()-9,24)</f>
        <v>23</v>
      </c>
      <c r="C18440" s="12"/>
      <c r="D18440" s="13" t="n">
        <f aca="false">IF(B18440&lt;5,Einstellungen!$B$3,Einstellungen!$B$4)</f>
        <v>29.13</v>
      </c>
      <c r="E18440" s="14" t="str">
        <f aca="false">IF(C18440="","",C18440*D18440/100)</f>
        <v/>
      </c>
      <c r="F18440" s="15" t="str">
        <f aca="false">IF(B18440&lt;5,"Go","Standard")</f>
        <v>Standard</v>
      </c>
    </row>
    <row r="18441" customFormat="false" ht="15" hidden="false" customHeight="true" outlineLevel="0" collapsed="false">
      <c r="A18441" s="10" t="n">
        <f aca="false">Einstellungen!$B$5+INT((ROW()-9)/24)</f>
        <v>46734</v>
      </c>
      <c r="B18441" s="11" t="n">
        <f aca="false">MOD(ROW()-9,24)</f>
        <v>0</v>
      </c>
      <c r="C18441" s="12"/>
      <c r="D18441" s="13" t="n">
        <f aca="false">IF(B18441&lt;5,Einstellungen!$B$3,Einstellungen!$B$4)</f>
        <v>15.92</v>
      </c>
      <c r="E18441" s="14" t="str">
        <f aca="false">IF(C18441="","",C18441*D18441/100)</f>
        <v/>
      </c>
      <c r="F18441" s="15" t="str">
        <f aca="false">IF(B18441&lt;5,"Go","Standard")</f>
        <v>Go</v>
      </c>
    </row>
    <row r="18442" customFormat="false" ht="15" hidden="false" customHeight="true" outlineLevel="0" collapsed="false">
      <c r="A18442" s="10" t="n">
        <f aca="false">Einstellungen!$B$5+INT((ROW()-9)/24)</f>
        <v>46734</v>
      </c>
      <c r="B18442" s="11" t="n">
        <f aca="false">MOD(ROW()-9,24)</f>
        <v>1</v>
      </c>
      <c r="C18442" s="12"/>
      <c r="D18442" s="13" t="n">
        <f aca="false">IF(B18442&lt;5,Einstellungen!$B$3,Einstellungen!$B$4)</f>
        <v>15.92</v>
      </c>
      <c r="E18442" s="14" t="str">
        <f aca="false">IF(C18442="","",C18442*D18442/100)</f>
        <v/>
      </c>
      <c r="F18442" s="15" t="str">
        <f aca="false">IF(B18442&lt;5,"Go","Standard")</f>
        <v>Go</v>
      </c>
    </row>
    <row r="18443" customFormat="false" ht="15" hidden="false" customHeight="true" outlineLevel="0" collapsed="false">
      <c r="A18443" s="10" t="n">
        <f aca="false">Einstellungen!$B$5+INT((ROW()-9)/24)</f>
        <v>46734</v>
      </c>
      <c r="B18443" s="11" t="n">
        <f aca="false">MOD(ROW()-9,24)</f>
        <v>2</v>
      </c>
      <c r="C18443" s="12"/>
      <c r="D18443" s="13" t="n">
        <f aca="false">IF(B18443&lt;5,Einstellungen!$B$3,Einstellungen!$B$4)</f>
        <v>15.92</v>
      </c>
      <c r="E18443" s="14" t="str">
        <f aca="false">IF(C18443="","",C18443*D18443/100)</f>
        <v/>
      </c>
      <c r="F18443" s="15" t="str">
        <f aca="false">IF(B18443&lt;5,"Go","Standard")</f>
        <v>Go</v>
      </c>
    </row>
    <row r="18444" customFormat="false" ht="15" hidden="false" customHeight="true" outlineLevel="0" collapsed="false">
      <c r="A18444" s="10" t="n">
        <f aca="false">Einstellungen!$B$5+INT((ROW()-9)/24)</f>
        <v>46734</v>
      </c>
      <c r="B18444" s="11" t="n">
        <f aca="false">MOD(ROW()-9,24)</f>
        <v>3</v>
      </c>
      <c r="C18444" s="12"/>
      <c r="D18444" s="13" t="n">
        <f aca="false">IF(B18444&lt;5,Einstellungen!$B$3,Einstellungen!$B$4)</f>
        <v>15.92</v>
      </c>
      <c r="E18444" s="14" t="str">
        <f aca="false">IF(C18444="","",C18444*D18444/100)</f>
        <v/>
      </c>
      <c r="F18444" s="15" t="str">
        <f aca="false">IF(B18444&lt;5,"Go","Standard")</f>
        <v>Go</v>
      </c>
    </row>
    <row r="18445" customFormat="false" ht="15" hidden="false" customHeight="true" outlineLevel="0" collapsed="false">
      <c r="A18445" s="10" t="n">
        <f aca="false">Einstellungen!$B$5+INT((ROW()-9)/24)</f>
        <v>46734</v>
      </c>
      <c r="B18445" s="11" t="n">
        <f aca="false">MOD(ROW()-9,24)</f>
        <v>4</v>
      </c>
      <c r="C18445" s="12"/>
      <c r="D18445" s="13" t="n">
        <f aca="false">IF(B18445&lt;5,Einstellungen!$B$3,Einstellungen!$B$4)</f>
        <v>15.92</v>
      </c>
      <c r="E18445" s="14" t="str">
        <f aca="false">IF(C18445="","",C18445*D18445/100)</f>
        <v/>
      </c>
      <c r="F18445" s="15" t="str">
        <f aca="false">IF(B18445&lt;5,"Go","Standard")</f>
        <v>Go</v>
      </c>
    </row>
    <row r="18446" customFormat="false" ht="15" hidden="false" customHeight="true" outlineLevel="0" collapsed="false">
      <c r="A18446" s="10" t="n">
        <f aca="false">Einstellungen!$B$5+INT((ROW()-9)/24)</f>
        <v>46734</v>
      </c>
      <c r="B18446" s="11" t="n">
        <f aca="false">MOD(ROW()-9,24)</f>
        <v>5</v>
      </c>
      <c r="C18446" s="12"/>
      <c r="D18446" s="13" t="n">
        <f aca="false">IF(B18446&lt;5,Einstellungen!$B$3,Einstellungen!$B$4)</f>
        <v>29.13</v>
      </c>
      <c r="E18446" s="14" t="str">
        <f aca="false">IF(C18446="","",C18446*D18446/100)</f>
        <v/>
      </c>
      <c r="F18446" s="15" t="str">
        <f aca="false">IF(B18446&lt;5,"Go","Standard")</f>
        <v>Standard</v>
      </c>
    </row>
    <row r="18447" customFormat="false" ht="15" hidden="false" customHeight="true" outlineLevel="0" collapsed="false">
      <c r="A18447" s="10" t="n">
        <f aca="false">Einstellungen!$B$5+INT((ROW()-9)/24)</f>
        <v>46734</v>
      </c>
      <c r="B18447" s="11" t="n">
        <f aca="false">MOD(ROW()-9,24)</f>
        <v>6</v>
      </c>
      <c r="C18447" s="12"/>
      <c r="D18447" s="13" t="n">
        <f aca="false">IF(B18447&lt;5,Einstellungen!$B$3,Einstellungen!$B$4)</f>
        <v>29.13</v>
      </c>
      <c r="E18447" s="14" t="str">
        <f aca="false">IF(C18447="","",C18447*D18447/100)</f>
        <v/>
      </c>
      <c r="F18447" s="15" t="str">
        <f aca="false">IF(B18447&lt;5,"Go","Standard")</f>
        <v>Standard</v>
      </c>
    </row>
    <row r="18448" customFormat="false" ht="15" hidden="false" customHeight="true" outlineLevel="0" collapsed="false">
      <c r="A18448" s="10" t="n">
        <f aca="false">Einstellungen!$B$5+INT((ROW()-9)/24)</f>
        <v>46734</v>
      </c>
      <c r="B18448" s="11" t="n">
        <f aca="false">MOD(ROW()-9,24)</f>
        <v>7</v>
      </c>
      <c r="C18448" s="12"/>
      <c r="D18448" s="13" t="n">
        <f aca="false">IF(B18448&lt;5,Einstellungen!$B$3,Einstellungen!$B$4)</f>
        <v>29.13</v>
      </c>
      <c r="E18448" s="14" t="str">
        <f aca="false">IF(C18448="","",C18448*D18448/100)</f>
        <v/>
      </c>
      <c r="F18448" s="15" t="str">
        <f aca="false">IF(B18448&lt;5,"Go","Standard")</f>
        <v>Standard</v>
      </c>
    </row>
    <row r="18449" customFormat="false" ht="15" hidden="false" customHeight="true" outlineLevel="0" collapsed="false">
      <c r="A18449" s="10" t="n">
        <f aca="false">Einstellungen!$B$5+INT((ROW()-9)/24)</f>
        <v>46734</v>
      </c>
      <c r="B18449" s="11" t="n">
        <f aca="false">MOD(ROW()-9,24)</f>
        <v>8</v>
      </c>
      <c r="C18449" s="12"/>
      <c r="D18449" s="13" t="n">
        <f aca="false">IF(B18449&lt;5,Einstellungen!$B$3,Einstellungen!$B$4)</f>
        <v>29.13</v>
      </c>
      <c r="E18449" s="14" t="str">
        <f aca="false">IF(C18449="","",C18449*D18449/100)</f>
        <v/>
      </c>
      <c r="F18449" s="15" t="str">
        <f aca="false">IF(B18449&lt;5,"Go","Standard")</f>
        <v>Standard</v>
      </c>
    </row>
    <row r="18450" customFormat="false" ht="15" hidden="false" customHeight="true" outlineLevel="0" collapsed="false">
      <c r="A18450" s="10" t="n">
        <f aca="false">Einstellungen!$B$5+INT((ROW()-9)/24)</f>
        <v>46734</v>
      </c>
      <c r="B18450" s="11" t="n">
        <f aca="false">MOD(ROW()-9,24)</f>
        <v>9</v>
      </c>
      <c r="C18450" s="12"/>
      <c r="D18450" s="13" t="n">
        <f aca="false">IF(B18450&lt;5,Einstellungen!$B$3,Einstellungen!$B$4)</f>
        <v>29.13</v>
      </c>
      <c r="E18450" s="14" t="str">
        <f aca="false">IF(C18450="","",C18450*D18450/100)</f>
        <v/>
      </c>
      <c r="F18450" s="15" t="str">
        <f aca="false">IF(B18450&lt;5,"Go","Standard")</f>
        <v>Standard</v>
      </c>
    </row>
    <row r="18451" customFormat="false" ht="15" hidden="false" customHeight="true" outlineLevel="0" collapsed="false">
      <c r="A18451" s="10" t="n">
        <f aca="false">Einstellungen!$B$5+INT((ROW()-9)/24)</f>
        <v>46734</v>
      </c>
      <c r="B18451" s="11" t="n">
        <f aca="false">MOD(ROW()-9,24)</f>
        <v>10</v>
      </c>
      <c r="C18451" s="12"/>
      <c r="D18451" s="13" t="n">
        <f aca="false">IF(B18451&lt;5,Einstellungen!$B$3,Einstellungen!$B$4)</f>
        <v>29.13</v>
      </c>
      <c r="E18451" s="14" t="str">
        <f aca="false">IF(C18451="","",C18451*D18451/100)</f>
        <v/>
      </c>
      <c r="F18451" s="15" t="str">
        <f aca="false">IF(B18451&lt;5,"Go","Standard")</f>
        <v>Standard</v>
      </c>
    </row>
    <row r="18452" customFormat="false" ht="15" hidden="false" customHeight="true" outlineLevel="0" collapsed="false">
      <c r="A18452" s="10" t="n">
        <f aca="false">Einstellungen!$B$5+INT((ROW()-9)/24)</f>
        <v>46734</v>
      </c>
      <c r="B18452" s="11" t="n">
        <f aca="false">MOD(ROW()-9,24)</f>
        <v>11</v>
      </c>
      <c r="C18452" s="12"/>
      <c r="D18452" s="13" t="n">
        <f aca="false">IF(B18452&lt;5,Einstellungen!$B$3,Einstellungen!$B$4)</f>
        <v>29.13</v>
      </c>
      <c r="E18452" s="14" t="str">
        <f aca="false">IF(C18452="","",C18452*D18452/100)</f>
        <v/>
      </c>
      <c r="F18452" s="15" t="str">
        <f aca="false">IF(B18452&lt;5,"Go","Standard")</f>
        <v>Standard</v>
      </c>
    </row>
    <row r="18453" customFormat="false" ht="15" hidden="false" customHeight="true" outlineLevel="0" collapsed="false">
      <c r="A18453" s="10" t="n">
        <f aca="false">Einstellungen!$B$5+INT((ROW()-9)/24)</f>
        <v>46734</v>
      </c>
      <c r="B18453" s="11" t="n">
        <f aca="false">MOD(ROW()-9,24)</f>
        <v>12</v>
      </c>
      <c r="C18453" s="12"/>
      <c r="D18453" s="13" t="n">
        <f aca="false">IF(B18453&lt;5,Einstellungen!$B$3,Einstellungen!$B$4)</f>
        <v>29.13</v>
      </c>
      <c r="E18453" s="14" t="str">
        <f aca="false">IF(C18453="","",C18453*D18453/100)</f>
        <v/>
      </c>
      <c r="F18453" s="15" t="str">
        <f aca="false">IF(B18453&lt;5,"Go","Standard")</f>
        <v>Standard</v>
      </c>
    </row>
    <row r="18454" customFormat="false" ht="15" hidden="false" customHeight="true" outlineLevel="0" collapsed="false">
      <c r="A18454" s="10" t="n">
        <f aca="false">Einstellungen!$B$5+INT((ROW()-9)/24)</f>
        <v>46734</v>
      </c>
      <c r="B18454" s="11" t="n">
        <f aca="false">MOD(ROW()-9,24)</f>
        <v>13</v>
      </c>
      <c r="C18454" s="12"/>
      <c r="D18454" s="13" t="n">
        <f aca="false">IF(B18454&lt;5,Einstellungen!$B$3,Einstellungen!$B$4)</f>
        <v>29.13</v>
      </c>
      <c r="E18454" s="14" t="str">
        <f aca="false">IF(C18454="","",C18454*D18454/100)</f>
        <v/>
      </c>
      <c r="F18454" s="15" t="str">
        <f aca="false">IF(B18454&lt;5,"Go","Standard")</f>
        <v>Standard</v>
      </c>
    </row>
    <row r="18455" customFormat="false" ht="15" hidden="false" customHeight="true" outlineLevel="0" collapsed="false">
      <c r="A18455" s="10" t="n">
        <f aca="false">Einstellungen!$B$5+INT((ROW()-9)/24)</f>
        <v>46734</v>
      </c>
      <c r="B18455" s="11" t="n">
        <f aca="false">MOD(ROW()-9,24)</f>
        <v>14</v>
      </c>
      <c r="C18455" s="12"/>
      <c r="D18455" s="13" t="n">
        <f aca="false">IF(B18455&lt;5,Einstellungen!$B$3,Einstellungen!$B$4)</f>
        <v>29.13</v>
      </c>
      <c r="E18455" s="14" t="str">
        <f aca="false">IF(C18455="","",C18455*D18455/100)</f>
        <v/>
      </c>
      <c r="F18455" s="15" t="str">
        <f aca="false">IF(B18455&lt;5,"Go","Standard")</f>
        <v>Standard</v>
      </c>
    </row>
    <row r="18456" customFormat="false" ht="15" hidden="false" customHeight="true" outlineLevel="0" collapsed="false">
      <c r="A18456" s="10" t="n">
        <f aca="false">Einstellungen!$B$5+INT((ROW()-9)/24)</f>
        <v>46734</v>
      </c>
      <c r="B18456" s="11" t="n">
        <f aca="false">MOD(ROW()-9,24)</f>
        <v>15</v>
      </c>
      <c r="C18456" s="12"/>
      <c r="D18456" s="13" t="n">
        <f aca="false">IF(B18456&lt;5,Einstellungen!$B$3,Einstellungen!$B$4)</f>
        <v>29.13</v>
      </c>
      <c r="E18456" s="14" t="str">
        <f aca="false">IF(C18456="","",C18456*D18456/100)</f>
        <v/>
      </c>
      <c r="F18456" s="15" t="str">
        <f aca="false">IF(B18456&lt;5,"Go","Standard")</f>
        <v>Standard</v>
      </c>
    </row>
    <row r="18457" customFormat="false" ht="15" hidden="false" customHeight="true" outlineLevel="0" collapsed="false">
      <c r="A18457" s="10" t="n">
        <f aca="false">Einstellungen!$B$5+INT((ROW()-9)/24)</f>
        <v>46734</v>
      </c>
      <c r="B18457" s="11" t="n">
        <f aca="false">MOD(ROW()-9,24)</f>
        <v>16</v>
      </c>
      <c r="C18457" s="12"/>
      <c r="D18457" s="13" t="n">
        <f aca="false">IF(B18457&lt;5,Einstellungen!$B$3,Einstellungen!$B$4)</f>
        <v>29.13</v>
      </c>
      <c r="E18457" s="14" t="str">
        <f aca="false">IF(C18457="","",C18457*D18457/100)</f>
        <v/>
      </c>
      <c r="F18457" s="15" t="str">
        <f aca="false">IF(B18457&lt;5,"Go","Standard")</f>
        <v>Standard</v>
      </c>
    </row>
    <row r="18458" customFormat="false" ht="15" hidden="false" customHeight="true" outlineLevel="0" collapsed="false">
      <c r="A18458" s="10" t="n">
        <f aca="false">Einstellungen!$B$5+INT((ROW()-9)/24)</f>
        <v>46734</v>
      </c>
      <c r="B18458" s="11" t="n">
        <f aca="false">MOD(ROW()-9,24)</f>
        <v>17</v>
      </c>
      <c r="C18458" s="12"/>
      <c r="D18458" s="13" t="n">
        <f aca="false">IF(B18458&lt;5,Einstellungen!$B$3,Einstellungen!$B$4)</f>
        <v>29.13</v>
      </c>
      <c r="E18458" s="14" t="str">
        <f aca="false">IF(C18458="","",C18458*D18458/100)</f>
        <v/>
      </c>
      <c r="F18458" s="15" t="str">
        <f aca="false">IF(B18458&lt;5,"Go","Standard")</f>
        <v>Standard</v>
      </c>
    </row>
    <row r="18459" customFormat="false" ht="15" hidden="false" customHeight="true" outlineLevel="0" collapsed="false">
      <c r="A18459" s="10" t="n">
        <f aca="false">Einstellungen!$B$5+INT((ROW()-9)/24)</f>
        <v>46734</v>
      </c>
      <c r="B18459" s="11" t="n">
        <f aca="false">MOD(ROW()-9,24)</f>
        <v>18</v>
      </c>
      <c r="C18459" s="12"/>
      <c r="D18459" s="13" t="n">
        <f aca="false">IF(B18459&lt;5,Einstellungen!$B$3,Einstellungen!$B$4)</f>
        <v>29.13</v>
      </c>
      <c r="E18459" s="14" t="str">
        <f aca="false">IF(C18459="","",C18459*D18459/100)</f>
        <v/>
      </c>
      <c r="F18459" s="15" t="str">
        <f aca="false">IF(B18459&lt;5,"Go","Standard")</f>
        <v>Standard</v>
      </c>
    </row>
    <row r="18460" customFormat="false" ht="15" hidden="false" customHeight="true" outlineLevel="0" collapsed="false">
      <c r="A18460" s="10" t="n">
        <f aca="false">Einstellungen!$B$5+INT((ROW()-9)/24)</f>
        <v>46734</v>
      </c>
      <c r="B18460" s="11" t="n">
        <f aca="false">MOD(ROW()-9,24)</f>
        <v>19</v>
      </c>
      <c r="C18460" s="12"/>
      <c r="D18460" s="13" t="n">
        <f aca="false">IF(B18460&lt;5,Einstellungen!$B$3,Einstellungen!$B$4)</f>
        <v>29.13</v>
      </c>
      <c r="E18460" s="14" t="str">
        <f aca="false">IF(C18460="","",C18460*D18460/100)</f>
        <v/>
      </c>
      <c r="F18460" s="15" t="str">
        <f aca="false">IF(B18460&lt;5,"Go","Standard")</f>
        <v>Standard</v>
      </c>
    </row>
    <row r="18461" customFormat="false" ht="15" hidden="false" customHeight="true" outlineLevel="0" collapsed="false">
      <c r="A18461" s="10" t="n">
        <f aca="false">Einstellungen!$B$5+INT((ROW()-9)/24)</f>
        <v>46734</v>
      </c>
      <c r="B18461" s="11" t="n">
        <f aca="false">MOD(ROW()-9,24)</f>
        <v>20</v>
      </c>
      <c r="C18461" s="12"/>
      <c r="D18461" s="13" t="n">
        <f aca="false">IF(B18461&lt;5,Einstellungen!$B$3,Einstellungen!$B$4)</f>
        <v>29.13</v>
      </c>
      <c r="E18461" s="14" t="str">
        <f aca="false">IF(C18461="","",C18461*D18461/100)</f>
        <v/>
      </c>
      <c r="F18461" s="15" t="str">
        <f aca="false">IF(B18461&lt;5,"Go","Standard")</f>
        <v>Standard</v>
      </c>
    </row>
    <row r="18462" customFormat="false" ht="15" hidden="false" customHeight="true" outlineLevel="0" collapsed="false">
      <c r="A18462" s="10" t="n">
        <f aca="false">Einstellungen!$B$5+INT((ROW()-9)/24)</f>
        <v>46734</v>
      </c>
      <c r="B18462" s="11" t="n">
        <f aca="false">MOD(ROW()-9,24)</f>
        <v>21</v>
      </c>
      <c r="C18462" s="12"/>
      <c r="D18462" s="13" t="n">
        <f aca="false">IF(B18462&lt;5,Einstellungen!$B$3,Einstellungen!$B$4)</f>
        <v>29.13</v>
      </c>
      <c r="E18462" s="14" t="str">
        <f aca="false">IF(C18462="","",C18462*D18462/100)</f>
        <v/>
      </c>
      <c r="F18462" s="15" t="str">
        <f aca="false">IF(B18462&lt;5,"Go","Standard")</f>
        <v>Standard</v>
      </c>
    </row>
    <row r="18463" customFormat="false" ht="15" hidden="false" customHeight="true" outlineLevel="0" collapsed="false">
      <c r="A18463" s="10" t="n">
        <f aca="false">Einstellungen!$B$5+INT((ROW()-9)/24)</f>
        <v>46734</v>
      </c>
      <c r="B18463" s="11" t="n">
        <f aca="false">MOD(ROW()-9,24)</f>
        <v>22</v>
      </c>
      <c r="C18463" s="12"/>
      <c r="D18463" s="13" t="n">
        <f aca="false">IF(B18463&lt;5,Einstellungen!$B$3,Einstellungen!$B$4)</f>
        <v>29.13</v>
      </c>
      <c r="E18463" s="14" t="str">
        <f aca="false">IF(C18463="","",C18463*D18463/100)</f>
        <v/>
      </c>
      <c r="F18463" s="15" t="str">
        <f aca="false">IF(B18463&lt;5,"Go","Standard")</f>
        <v>Standard</v>
      </c>
    </row>
    <row r="18464" customFormat="false" ht="15" hidden="false" customHeight="true" outlineLevel="0" collapsed="false">
      <c r="A18464" s="10" t="n">
        <f aca="false">Einstellungen!$B$5+INT((ROW()-9)/24)</f>
        <v>46734</v>
      </c>
      <c r="B18464" s="11" t="n">
        <f aca="false">MOD(ROW()-9,24)</f>
        <v>23</v>
      </c>
      <c r="C18464" s="12"/>
      <c r="D18464" s="13" t="n">
        <f aca="false">IF(B18464&lt;5,Einstellungen!$B$3,Einstellungen!$B$4)</f>
        <v>29.13</v>
      </c>
      <c r="E18464" s="14" t="str">
        <f aca="false">IF(C18464="","",C18464*D18464/100)</f>
        <v/>
      </c>
      <c r="F18464" s="15" t="str">
        <f aca="false">IF(B18464&lt;5,"Go","Standard")</f>
        <v>Standard</v>
      </c>
    </row>
    <row r="18465" customFormat="false" ht="15" hidden="false" customHeight="true" outlineLevel="0" collapsed="false">
      <c r="A18465" s="10" t="n">
        <f aca="false">Einstellungen!$B$5+INT((ROW()-9)/24)</f>
        <v>46735</v>
      </c>
      <c r="B18465" s="11" t="n">
        <f aca="false">MOD(ROW()-9,24)</f>
        <v>0</v>
      </c>
      <c r="C18465" s="12"/>
      <c r="D18465" s="13" t="n">
        <f aca="false">IF(B18465&lt;5,Einstellungen!$B$3,Einstellungen!$B$4)</f>
        <v>15.92</v>
      </c>
      <c r="E18465" s="14" t="str">
        <f aca="false">IF(C18465="","",C18465*D18465/100)</f>
        <v/>
      </c>
      <c r="F18465" s="15" t="str">
        <f aca="false">IF(B18465&lt;5,"Go","Standard")</f>
        <v>Go</v>
      </c>
    </row>
    <row r="18466" customFormat="false" ht="15" hidden="false" customHeight="true" outlineLevel="0" collapsed="false">
      <c r="A18466" s="10" t="n">
        <f aca="false">Einstellungen!$B$5+INT((ROW()-9)/24)</f>
        <v>46735</v>
      </c>
      <c r="B18466" s="11" t="n">
        <f aca="false">MOD(ROW()-9,24)</f>
        <v>1</v>
      </c>
      <c r="C18466" s="12"/>
      <c r="D18466" s="13" t="n">
        <f aca="false">IF(B18466&lt;5,Einstellungen!$B$3,Einstellungen!$B$4)</f>
        <v>15.92</v>
      </c>
      <c r="E18466" s="14" t="str">
        <f aca="false">IF(C18466="","",C18466*D18466/100)</f>
        <v/>
      </c>
      <c r="F18466" s="15" t="str">
        <f aca="false">IF(B18466&lt;5,"Go","Standard")</f>
        <v>Go</v>
      </c>
    </row>
    <row r="18467" customFormat="false" ht="15" hidden="false" customHeight="true" outlineLevel="0" collapsed="false">
      <c r="A18467" s="10" t="n">
        <f aca="false">Einstellungen!$B$5+INT((ROW()-9)/24)</f>
        <v>46735</v>
      </c>
      <c r="B18467" s="11" t="n">
        <f aca="false">MOD(ROW()-9,24)</f>
        <v>2</v>
      </c>
      <c r="C18467" s="12"/>
      <c r="D18467" s="13" t="n">
        <f aca="false">IF(B18467&lt;5,Einstellungen!$B$3,Einstellungen!$B$4)</f>
        <v>15.92</v>
      </c>
      <c r="E18467" s="14" t="str">
        <f aca="false">IF(C18467="","",C18467*D18467/100)</f>
        <v/>
      </c>
      <c r="F18467" s="15" t="str">
        <f aca="false">IF(B18467&lt;5,"Go","Standard")</f>
        <v>Go</v>
      </c>
    </row>
    <row r="18468" customFormat="false" ht="15" hidden="false" customHeight="true" outlineLevel="0" collapsed="false">
      <c r="A18468" s="10" t="n">
        <f aca="false">Einstellungen!$B$5+INT((ROW()-9)/24)</f>
        <v>46735</v>
      </c>
      <c r="B18468" s="11" t="n">
        <f aca="false">MOD(ROW()-9,24)</f>
        <v>3</v>
      </c>
      <c r="C18468" s="12"/>
      <c r="D18468" s="13" t="n">
        <f aca="false">IF(B18468&lt;5,Einstellungen!$B$3,Einstellungen!$B$4)</f>
        <v>15.92</v>
      </c>
      <c r="E18468" s="14" t="str">
        <f aca="false">IF(C18468="","",C18468*D18468/100)</f>
        <v/>
      </c>
      <c r="F18468" s="15" t="str">
        <f aca="false">IF(B18468&lt;5,"Go","Standard")</f>
        <v>Go</v>
      </c>
    </row>
    <row r="18469" customFormat="false" ht="15" hidden="false" customHeight="true" outlineLevel="0" collapsed="false">
      <c r="A18469" s="10" t="n">
        <f aca="false">Einstellungen!$B$5+INT((ROW()-9)/24)</f>
        <v>46735</v>
      </c>
      <c r="B18469" s="11" t="n">
        <f aca="false">MOD(ROW()-9,24)</f>
        <v>4</v>
      </c>
      <c r="C18469" s="12"/>
      <c r="D18469" s="13" t="n">
        <f aca="false">IF(B18469&lt;5,Einstellungen!$B$3,Einstellungen!$B$4)</f>
        <v>15.92</v>
      </c>
      <c r="E18469" s="14" t="str">
        <f aca="false">IF(C18469="","",C18469*D18469/100)</f>
        <v/>
      </c>
      <c r="F18469" s="15" t="str">
        <f aca="false">IF(B18469&lt;5,"Go","Standard")</f>
        <v>Go</v>
      </c>
    </row>
    <row r="18470" customFormat="false" ht="15" hidden="false" customHeight="true" outlineLevel="0" collapsed="false">
      <c r="A18470" s="10" t="n">
        <f aca="false">Einstellungen!$B$5+INT((ROW()-9)/24)</f>
        <v>46735</v>
      </c>
      <c r="B18470" s="11" t="n">
        <f aca="false">MOD(ROW()-9,24)</f>
        <v>5</v>
      </c>
      <c r="C18470" s="12"/>
      <c r="D18470" s="13" t="n">
        <f aca="false">IF(B18470&lt;5,Einstellungen!$B$3,Einstellungen!$B$4)</f>
        <v>29.13</v>
      </c>
      <c r="E18470" s="14" t="str">
        <f aca="false">IF(C18470="","",C18470*D18470/100)</f>
        <v/>
      </c>
      <c r="F18470" s="15" t="str">
        <f aca="false">IF(B18470&lt;5,"Go","Standard")</f>
        <v>Standard</v>
      </c>
    </row>
    <row r="18471" customFormat="false" ht="15" hidden="false" customHeight="true" outlineLevel="0" collapsed="false">
      <c r="A18471" s="10" t="n">
        <f aca="false">Einstellungen!$B$5+INT((ROW()-9)/24)</f>
        <v>46735</v>
      </c>
      <c r="B18471" s="11" t="n">
        <f aca="false">MOD(ROW()-9,24)</f>
        <v>6</v>
      </c>
      <c r="C18471" s="12"/>
      <c r="D18471" s="13" t="n">
        <f aca="false">IF(B18471&lt;5,Einstellungen!$B$3,Einstellungen!$B$4)</f>
        <v>29.13</v>
      </c>
      <c r="E18471" s="14" t="str">
        <f aca="false">IF(C18471="","",C18471*D18471/100)</f>
        <v/>
      </c>
      <c r="F18471" s="15" t="str">
        <f aca="false">IF(B18471&lt;5,"Go","Standard")</f>
        <v>Standard</v>
      </c>
    </row>
    <row r="18472" customFormat="false" ht="15" hidden="false" customHeight="true" outlineLevel="0" collapsed="false">
      <c r="A18472" s="10" t="n">
        <f aca="false">Einstellungen!$B$5+INT((ROW()-9)/24)</f>
        <v>46735</v>
      </c>
      <c r="B18472" s="11" t="n">
        <f aca="false">MOD(ROW()-9,24)</f>
        <v>7</v>
      </c>
      <c r="C18472" s="12"/>
      <c r="D18472" s="13" t="n">
        <f aca="false">IF(B18472&lt;5,Einstellungen!$B$3,Einstellungen!$B$4)</f>
        <v>29.13</v>
      </c>
      <c r="E18472" s="14" t="str">
        <f aca="false">IF(C18472="","",C18472*D18472/100)</f>
        <v/>
      </c>
      <c r="F18472" s="15" t="str">
        <f aca="false">IF(B18472&lt;5,"Go","Standard")</f>
        <v>Standard</v>
      </c>
    </row>
    <row r="18473" customFormat="false" ht="15" hidden="false" customHeight="true" outlineLevel="0" collapsed="false">
      <c r="A18473" s="10" t="n">
        <f aca="false">Einstellungen!$B$5+INT((ROW()-9)/24)</f>
        <v>46735</v>
      </c>
      <c r="B18473" s="11" t="n">
        <f aca="false">MOD(ROW()-9,24)</f>
        <v>8</v>
      </c>
      <c r="C18473" s="12"/>
      <c r="D18473" s="13" t="n">
        <f aca="false">IF(B18473&lt;5,Einstellungen!$B$3,Einstellungen!$B$4)</f>
        <v>29.13</v>
      </c>
      <c r="E18473" s="14" t="str">
        <f aca="false">IF(C18473="","",C18473*D18473/100)</f>
        <v/>
      </c>
      <c r="F18473" s="15" t="str">
        <f aca="false">IF(B18473&lt;5,"Go","Standard")</f>
        <v>Standard</v>
      </c>
    </row>
    <row r="18474" customFormat="false" ht="15" hidden="false" customHeight="true" outlineLevel="0" collapsed="false">
      <c r="A18474" s="10" t="n">
        <f aca="false">Einstellungen!$B$5+INT((ROW()-9)/24)</f>
        <v>46735</v>
      </c>
      <c r="B18474" s="11" t="n">
        <f aca="false">MOD(ROW()-9,24)</f>
        <v>9</v>
      </c>
      <c r="C18474" s="12"/>
      <c r="D18474" s="13" t="n">
        <f aca="false">IF(B18474&lt;5,Einstellungen!$B$3,Einstellungen!$B$4)</f>
        <v>29.13</v>
      </c>
      <c r="E18474" s="14" t="str">
        <f aca="false">IF(C18474="","",C18474*D18474/100)</f>
        <v/>
      </c>
      <c r="F18474" s="15" t="str">
        <f aca="false">IF(B18474&lt;5,"Go","Standard")</f>
        <v>Standard</v>
      </c>
    </row>
    <row r="18475" customFormat="false" ht="15" hidden="false" customHeight="true" outlineLevel="0" collapsed="false">
      <c r="A18475" s="10" t="n">
        <f aca="false">Einstellungen!$B$5+INT((ROW()-9)/24)</f>
        <v>46735</v>
      </c>
      <c r="B18475" s="11" t="n">
        <f aca="false">MOD(ROW()-9,24)</f>
        <v>10</v>
      </c>
      <c r="C18475" s="12"/>
      <c r="D18475" s="13" t="n">
        <f aca="false">IF(B18475&lt;5,Einstellungen!$B$3,Einstellungen!$B$4)</f>
        <v>29.13</v>
      </c>
      <c r="E18475" s="14" t="str">
        <f aca="false">IF(C18475="","",C18475*D18475/100)</f>
        <v/>
      </c>
      <c r="F18475" s="15" t="str">
        <f aca="false">IF(B18475&lt;5,"Go","Standard")</f>
        <v>Standard</v>
      </c>
    </row>
    <row r="18476" customFormat="false" ht="15" hidden="false" customHeight="true" outlineLevel="0" collapsed="false">
      <c r="A18476" s="10" t="n">
        <f aca="false">Einstellungen!$B$5+INT((ROW()-9)/24)</f>
        <v>46735</v>
      </c>
      <c r="B18476" s="11" t="n">
        <f aca="false">MOD(ROW()-9,24)</f>
        <v>11</v>
      </c>
      <c r="C18476" s="12"/>
      <c r="D18476" s="13" t="n">
        <f aca="false">IF(B18476&lt;5,Einstellungen!$B$3,Einstellungen!$B$4)</f>
        <v>29.13</v>
      </c>
      <c r="E18476" s="14" t="str">
        <f aca="false">IF(C18476="","",C18476*D18476/100)</f>
        <v/>
      </c>
      <c r="F18476" s="15" t="str">
        <f aca="false">IF(B18476&lt;5,"Go","Standard")</f>
        <v>Standard</v>
      </c>
    </row>
    <row r="18477" customFormat="false" ht="15" hidden="false" customHeight="true" outlineLevel="0" collapsed="false">
      <c r="A18477" s="10" t="n">
        <f aca="false">Einstellungen!$B$5+INT((ROW()-9)/24)</f>
        <v>46735</v>
      </c>
      <c r="B18477" s="11" t="n">
        <f aca="false">MOD(ROW()-9,24)</f>
        <v>12</v>
      </c>
      <c r="C18477" s="12"/>
      <c r="D18477" s="13" t="n">
        <f aca="false">IF(B18477&lt;5,Einstellungen!$B$3,Einstellungen!$B$4)</f>
        <v>29.13</v>
      </c>
      <c r="E18477" s="14" t="str">
        <f aca="false">IF(C18477="","",C18477*D18477/100)</f>
        <v/>
      </c>
      <c r="F18477" s="15" t="str">
        <f aca="false">IF(B18477&lt;5,"Go","Standard")</f>
        <v>Standard</v>
      </c>
    </row>
    <row r="18478" customFormat="false" ht="15" hidden="false" customHeight="true" outlineLevel="0" collapsed="false">
      <c r="A18478" s="10" t="n">
        <f aca="false">Einstellungen!$B$5+INT((ROW()-9)/24)</f>
        <v>46735</v>
      </c>
      <c r="B18478" s="11" t="n">
        <f aca="false">MOD(ROW()-9,24)</f>
        <v>13</v>
      </c>
      <c r="C18478" s="12"/>
      <c r="D18478" s="13" t="n">
        <f aca="false">IF(B18478&lt;5,Einstellungen!$B$3,Einstellungen!$B$4)</f>
        <v>29.13</v>
      </c>
      <c r="E18478" s="14" t="str">
        <f aca="false">IF(C18478="","",C18478*D18478/100)</f>
        <v/>
      </c>
      <c r="F18478" s="15" t="str">
        <f aca="false">IF(B18478&lt;5,"Go","Standard")</f>
        <v>Standard</v>
      </c>
    </row>
    <row r="18479" customFormat="false" ht="15" hidden="false" customHeight="true" outlineLevel="0" collapsed="false">
      <c r="A18479" s="10" t="n">
        <f aca="false">Einstellungen!$B$5+INT((ROW()-9)/24)</f>
        <v>46735</v>
      </c>
      <c r="B18479" s="11" t="n">
        <f aca="false">MOD(ROW()-9,24)</f>
        <v>14</v>
      </c>
      <c r="C18479" s="12"/>
      <c r="D18479" s="13" t="n">
        <f aca="false">IF(B18479&lt;5,Einstellungen!$B$3,Einstellungen!$B$4)</f>
        <v>29.13</v>
      </c>
      <c r="E18479" s="14" t="str">
        <f aca="false">IF(C18479="","",C18479*D18479/100)</f>
        <v/>
      </c>
      <c r="F18479" s="15" t="str">
        <f aca="false">IF(B18479&lt;5,"Go","Standard")</f>
        <v>Standard</v>
      </c>
    </row>
    <row r="18480" customFormat="false" ht="15" hidden="false" customHeight="true" outlineLevel="0" collapsed="false">
      <c r="A18480" s="10" t="n">
        <f aca="false">Einstellungen!$B$5+INT((ROW()-9)/24)</f>
        <v>46735</v>
      </c>
      <c r="B18480" s="11" t="n">
        <f aca="false">MOD(ROW()-9,24)</f>
        <v>15</v>
      </c>
      <c r="C18480" s="12"/>
      <c r="D18480" s="13" t="n">
        <f aca="false">IF(B18480&lt;5,Einstellungen!$B$3,Einstellungen!$B$4)</f>
        <v>29.13</v>
      </c>
      <c r="E18480" s="14" t="str">
        <f aca="false">IF(C18480="","",C18480*D18480/100)</f>
        <v/>
      </c>
      <c r="F18480" s="15" t="str">
        <f aca="false">IF(B18480&lt;5,"Go","Standard")</f>
        <v>Standard</v>
      </c>
    </row>
    <row r="18481" customFormat="false" ht="15" hidden="false" customHeight="true" outlineLevel="0" collapsed="false">
      <c r="A18481" s="10" t="n">
        <f aca="false">Einstellungen!$B$5+INT((ROW()-9)/24)</f>
        <v>46735</v>
      </c>
      <c r="B18481" s="11" t="n">
        <f aca="false">MOD(ROW()-9,24)</f>
        <v>16</v>
      </c>
      <c r="C18481" s="12"/>
      <c r="D18481" s="13" t="n">
        <f aca="false">IF(B18481&lt;5,Einstellungen!$B$3,Einstellungen!$B$4)</f>
        <v>29.13</v>
      </c>
      <c r="E18481" s="14" t="str">
        <f aca="false">IF(C18481="","",C18481*D18481/100)</f>
        <v/>
      </c>
      <c r="F18481" s="15" t="str">
        <f aca="false">IF(B18481&lt;5,"Go","Standard")</f>
        <v>Standard</v>
      </c>
    </row>
    <row r="18482" customFormat="false" ht="15" hidden="false" customHeight="true" outlineLevel="0" collapsed="false">
      <c r="A18482" s="10" t="n">
        <f aca="false">Einstellungen!$B$5+INT((ROW()-9)/24)</f>
        <v>46735</v>
      </c>
      <c r="B18482" s="11" t="n">
        <f aca="false">MOD(ROW()-9,24)</f>
        <v>17</v>
      </c>
      <c r="C18482" s="12"/>
      <c r="D18482" s="13" t="n">
        <f aca="false">IF(B18482&lt;5,Einstellungen!$B$3,Einstellungen!$B$4)</f>
        <v>29.13</v>
      </c>
      <c r="E18482" s="14" t="str">
        <f aca="false">IF(C18482="","",C18482*D18482/100)</f>
        <v/>
      </c>
      <c r="F18482" s="15" t="str">
        <f aca="false">IF(B18482&lt;5,"Go","Standard")</f>
        <v>Standard</v>
      </c>
    </row>
    <row r="18483" customFormat="false" ht="15" hidden="false" customHeight="true" outlineLevel="0" collapsed="false">
      <c r="A18483" s="10" t="n">
        <f aca="false">Einstellungen!$B$5+INT((ROW()-9)/24)</f>
        <v>46735</v>
      </c>
      <c r="B18483" s="11" t="n">
        <f aca="false">MOD(ROW()-9,24)</f>
        <v>18</v>
      </c>
      <c r="C18483" s="12"/>
      <c r="D18483" s="13" t="n">
        <f aca="false">IF(B18483&lt;5,Einstellungen!$B$3,Einstellungen!$B$4)</f>
        <v>29.13</v>
      </c>
      <c r="E18483" s="14" t="str">
        <f aca="false">IF(C18483="","",C18483*D18483/100)</f>
        <v/>
      </c>
      <c r="F18483" s="15" t="str">
        <f aca="false">IF(B18483&lt;5,"Go","Standard")</f>
        <v>Standard</v>
      </c>
    </row>
    <row r="18484" customFormat="false" ht="15" hidden="false" customHeight="true" outlineLevel="0" collapsed="false">
      <c r="A18484" s="10" t="n">
        <f aca="false">Einstellungen!$B$5+INT((ROW()-9)/24)</f>
        <v>46735</v>
      </c>
      <c r="B18484" s="11" t="n">
        <f aca="false">MOD(ROW()-9,24)</f>
        <v>19</v>
      </c>
      <c r="C18484" s="12"/>
      <c r="D18484" s="13" t="n">
        <f aca="false">IF(B18484&lt;5,Einstellungen!$B$3,Einstellungen!$B$4)</f>
        <v>29.13</v>
      </c>
      <c r="E18484" s="14" t="str">
        <f aca="false">IF(C18484="","",C18484*D18484/100)</f>
        <v/>
      </c>
      <c r="F18484" s="15" t="str">
        <f aca="false">IF(B18484&lt;5,"Go","Standard")</f>
        <v>Standard</v>
      </c>
    </row>
    <row r="18485" customFormat="false" ht="15" hidden="false" customHeight="true" outlineLevel="0" collapsed="false">
      <c r="A18485" s="10" t="n">
        <f aca="false">Einstellungen!$B$5+INT((ROW()-9)/24)</f>
        <v>46735</v>
      </c>
      <c r="B18485" s="11" t="n">
        <f aca="false">MOD(ROW()-9,24)</f>
        <v>20</v>
      </c>
      <c r="C18485" s="12"/>
      <c r="D18485" s="13" t="n">
        <f aca="false">IF(B18485&lt;5,Einstellungen!$B$3,Einstellungen!$B$4)</f>
        <v>29.13</v>
      </c>
      <c r="E18485" s="14" t="str">
        <f aca="false">IF(C18485="","",C18485*D18485/100)</f>
        <v/>
      </c>
      <c r="F18485" s="15" t="str">
        <f aca="false">IF(B18485&lt;5,"Go","Standard")</f>
        <v>Standard</v>
      </c>
    </row>
    <row r="18486" customFormat="false" ht="15" hidden="false" customHeight="true" outlineLevel="0" collapsed="false">
      <c r="A18486" s="10" t="n">
        <f aca="false">Einstellungen!$B$5+INT((ROW()-9)/24)</f>
        <v>46735</v>
      </c>
      <c r="B18486" s="11" t="n">
        <f aca="false">MOD(ROW()-9,24)</f>
        <v>21</v>
      </c>
      <c r="C18486" s="12"/>
      <c r="D18486" s="13" t="n">
        <f aca="false">IF(B18486&lt;5,Einstellungen!$B$3,Einstellungen!$B$4)</f>
        <v>29.13</v>
      </c>
      <c r="E18486" s="14" t="str">
        <f aca="false">IF(C18486="","",C18486*D18486/100)</f>
        <v/>
      </c>
      <c r="F18486" s="15" t="str">
        <f aca="false">IF(B18486&lt;5,"Go","Standard")</f>
        <v>Standard</v>
      </c>
    </row>
    <row r="18487" customFormat="false" ht="15" hidden="false" customHeight="true" outlineLevel="0" collapsed="false">
      <c r="A18487" s="10" t="n">
        <f aca="false">Einstellungen!$B$5+INT((ROW()-9)/24)</f>
        <v>46735</v>
      </c>
      <c r="B18487" s="11" t="n">
        <f aca="false">MOD(ROW()-9,24)</f>
        <v>22</v>
      </c>
      <c r="C18487" s="12"/>
      <c r="D18487" s="13" t="n">
        <f aca="false">IF(B18487&lt;5,Einstellungen!$B$3,Einstellungen!$B$4)</f>
        <v>29.13</v>
      </c>
      <c r="E18487" s="14" t="str">
        <f aca="false">IF(C18487="","",C18487*D18487/100)</f>
        <v/>
      </c>
      <c r="F18487" s="15" t="str">
        <f aca="false">IF(B18487&lt;5,"Go","Standard")</f>
        <v>Standard</v>
      </c>
    </row>
    <row r="18488" customFormat="false" ht="15" hidden="false" customHeight="true" outlineLevel="0" collapsed="false">
      <c r="A18488" s="10" t="n">
        <f aca="false">Einstellungen!$B$5+INT((ROW()-9)/24)</f>
        <v>46735</v>
      </c>
      <c r="B18488" s="11" t="n">
        <f aca="false">MOD(ROW()-9,24)</f>
        <v>23</v>
      </c>
      <c r="C18488" s="12"/>
      <c r="D18488" s="13" t="n">
        <f aca="false">IF(B18488&lt;5,Einstellungen!$B$3,Einstellungen!$B$4)</f>
        <v>29.13</v>
      </c>
      <c r="E18488" s="14" t="str">
        <f aca="false">IF(C18488="","",C18488*D18488/100)</f>
        <v/>
      </c>
      <c r="F18488" s="15" t="str">
        <f aca="false">IF(B18488&lt;5,"Go","Standard")</f>
        <v>Standard</v>
      </c>
    </row>
    <row r="18489" customFormat="false" ht="15" hidden="false" customHeight="true" outlineLevel="0" collapsed="false">
      <c r="A18489" s="10" t="n">
        <f aca="false">Einstellungen!$B$5+INT((ROW()-9)/24)</f>
        <v>46736</v>
      </c>
      <c r="B18489" s="11" t="n">
        <f aca="false">MOD(ROW()-9,24)</f>
        <v>0</v>
      </c>
      <c r="C18489" s="12"/>
      <c r="D18489" s="13" t="n">
        <f aca="false">IF(B18489&lt;5,Einstellungen!$B$3,Einstellungen!$B$4)</f>
        <v>15.92</v>
      </c>
      <c r="E18489" s="14" t="str">
        <f aca="false">IF(C18489="","",C18489*D18489/100)</f>
        <v/>
      </c>
      <c r="F18489" s="15" t="str">
        <f aca="false">IF(B18489&lt;5,"Go","Standard")</f>
        <v>Go</v>
      </c>
    </row>
    <row r="18490" customFormat="false" ht="15" hidden="false" customHeight="true" outlineLevel="0" collapsed="false">
      <c r="A18490" s="10" t="n">
        <f aca="false">Einstellungen!$B$5+INT((ROW()-9)/24)</f>
        <v>46736</v>
      </c>
      <c r="B18490" s="11" t="n">
        <f aca="false">MOD(ROW()-9,24)</f>
        <v>1</v>
      </c>
      <c r="C18490" s="12"/>
      <c r="D18490" s="13" t="n">
        <f aca="false">IF(B18490&lt;5,Einstellungen!$B$3,Einstellungen!$B$4)</f>
        <v>15.92</v>
      </c>
      <c r="E18490" s="14" t="str">
        <f aca="false">IF(C18490="","",C18490*D18490/100)</f>
        <v/>
      </c>
      <c r="F18490" s="15" t="str">
        <f aca="false">IF(B18490&lt;5,"Go","Standard")</f>
        <v>Go</v>
      </c>
    </row>
    <row r="18491" customFormat="false" ht="15" hidden="false" customHeight="true" outlineLevel="0" collapsed="false">
      <c r="A18491" s="10" t="n">
        <f aca="false">Einstellungen!$B$5+INT((ROW()-9)/24)</f>
        <v>46736</v>
      </c>
      <c r="B18491" s="11" t="n">
        <f aca="false">MOD(ROW()-9,24)</f>
        <v>2</v>
      </c>
      <c r="C18491" s="12"/>
      <c r="D18491" s="13" t="n">
        <f aca="false">IF(B18491&lt;5,Einstellungen!$B$3,Einstellungen!$B$4)</f>
        <v>15.92</v>
      </c>
      <c r="E18491" s="14" t="str">
        <f aca="false">IF(C18491="","",C18491*D18491/100)</f>
        <v/>
      </c>
      <c r="F18491" s="15" t="str">
        <f aca="false">IF(B18491&lt;5,"Go","Standard")</f>
        <v>Go</v>
      </c>
    </row>
    <row r="18492" customFormat="false" ht="15" hidden="false" customHeight="true" outlineLevel="0" collapsed="false">
      <c r="A18492" s="10" t="n">
        <f aca="false">Einstellungen!$B$5+INT((ROW()-9)/24)</f>
        <v>46736</v>
      </c>
      <c r="B18492" s="11" t="n">
        <f aca="false">MOD(ROW()-9,24)</f>
        <v>3</v>
      </c>
      <c r="C18492" s="12"/>
      <c r="D18492" s="13" t="n">
        <f aca="false">IF(B18492&lt;5,Einstellungen!$B$3,Einstellungen!$B$4)</f>
        <v>15.92</v>
      </c>
      <c r="E18492" s="14" t="str">
        <f aca="false">IF(C18492="","",C18492*D18492/100)</f>
        <v/>
      </c>
      <c r="F18492" s="15" t="str">
        <f aca="false">IF(B18492&lt;5,"Go","Standard")</f>
        <v>Go</v>
      </c>
    </row>
    <row r="18493" customFormat="false" ht="15" hidden="false" customHeight="true" outlineLevel="0" collapsed="false">
      <c r="A18493" s="10" t="n">
        <f aca="false">Einstellungen!$B$5+INT((ROW()-9)/24)</f>
        <v>46736</v>
      </c>
      <c r="B18493" s="11" t="n">
        <f aca="false">MOD(ROW()-9,24)</f>
        <v>4</v>
      </c>
      <c r="C18493" s="12"/>
      <c r="D18493" s="13" t="n">
        <f aca="false">IF(B18493&lt;5,Einstellungen!$B$3,Einstellungen!$B$4)</f>
        <v>15.92</v>
      </c>
      <c r="E18493" s="14" t="str">
        <f aca="false">IF(C18493="","",C18493*D18493/100)</f>
        <v/>
      </c>
      <c r="F18493" s="15" t="str">
        <f aca="false">IF(B18493&lt;5,"Go","Standard")</f>
        <v>Go</v>
      </c>
    </row>
    <row r="18494" customFormat="false" ht="15" hidden="false" customHeight="true" outlineLevel="0" collapsed="false">
      <c r="A18494" s="10" t="n">
        <f aca="false">Einstellungen!$B$5+INT((ROW()-9)/24)</f>
        <v>46736</v>
      </c>
      <c r="B18494" s="11" t="n">
        <f aca="false">MOD(ROW()-9,24)</f>
        <v>5</v>
      </c>
      <c r="C18494" s="12"/>
      <c r="D18494" s="13" t="n">
        <f aca="false">IF(B18494&lt;5,Einstellungen!$B$3,Einstellungen!$B$4)</f>
        <v>29.13</v>
      </c>
      <c r="E18494" s="14" t="str">
        <f aca="false">IF(C18494="","",C18494*D18494/100)</f>
        <v/>
      </c>
      <c r="F18494" s="15" t="str">
        <f aca="false">IF(B18494&lt;5,"Go","Standard")</f>
        <v>Standard</v>
      </c>
    </row>
    <row r="18495" customFormat="false" ht="15" hidden="false" customHeight="true" outlineLevel="0" collapsed="false">
      <c r="A18495" s="10" t="n">
        <f aca="false">Einstellungen!$B$5+INT((ROW()-9)/24)</f>
        <v>46736</v>
      </c>
      <c r="B18495" s="11" t="n">
        <f aca="false">MOD(ROW()-9,24)</f>
        <v>6</v>
      </c>
      <c r="C18495" s="12"/>
      <c r="D18495" s="13" t="n">
        <f aca="false">IF(B18495&lt;5,Einstellungen!$B$3,Einstellungen!$B$4)</f>
        <v>29.13</v>
      </c>
      <c r="E18495" s="14" t="str">
        <f aca="false">IF(C18495="","",C18495*D18495/100)</f>
        <v/>
      </c>
      <c r="F18495" s="15" t="str">
        <f aca="false">IF(B18495&lt;5,"Go","Standard")</f>
        <v>Standard</v>
      </c>
    </row>
    <row r="18496" customFormat="false" ht="15" hidden="false" customHeight="true" outlineLevel="0" collapsed="false">
      <c r="A18496" s="10" t="n">
        <f aca="false">Einstellungen!$B$5+INT((ROW()-9)/24)</f>
        <v>46736</v>
      </c>
      <c r="B18496" s="11" t="n">
        <f aca="false">MOD(ROW()-9,24)</f>
        <v>7</v>
      </c>
      <c r="C18496" s="12"/>
      <c r="D18496" s="13" t="n">
        <f aca="false">IF(B18496&lt;5,Einstellungen!$B$3,Einstellungen!$B$4)</f>
        <v>29.13</v>
      </c>
      <c r="E18496" s="14" t="str">
        <f aca="false">IF(C18496="","",C18496*D18496/100)</f>
        <v/>
      </c>
      <c r="F18496" s="15" t="str">
        <f aca="false">IF(B18496&lt;5,"Go","Standard")</f>
        <v>Standard</v>
      </c>
    </row>
    <row r="18497" customFormat="false" ht="15" hidden="false" customHeight="true" outlineLevel="0" collapsed="false">
      <c r="A18497" s="10" t="n">
        <f aca="false">Einstellungen!$B$5+INT((ROW()-9)/24)</f>
        <v>46736</v>
      </c>
      <c r="B18497" s="11" t="n">
        <f aca="false">MOD(ROW()-9,24)</f>
        <v>8</v>
      </c>
      <c r="C18497" s="12"/>
      <c r="D18497" s="13" t="n">
        <f aca="false">IF(B18497&lt;5,Einstellungen!$B$3,Einstellungen!$B$4)</f>
        <v>29.13</v>
      </c>
      <c r="E18497" s="14" t="str">
        <f aca="false">IF(C18497="","",C18497*D18497/100)</f>
        <v/>
      </c>
      <c r="F18497" s="15" t="str">
        <f aca="false">IF(B18497&lt;5,"Go","Standard")</f>
        <v>Standard</v>
      </c>
    </row>
    <row r="18498" customFormat="false" ht="15" hidden="false" customHeight="true" outlineLevel="0" collapsed="false">
      <c r="A18498" s="10" t="n">
        <f aca="false">Einstellungen!$B$5+INT((ROW()-9)/24)</f>
        <v>46736</v>
      </c>
      <c r="B18498" s="11" t="n">
        <f aca="false">MOD(ROW()-9,24)</f>
        <v>9</v>
      </c>
      <c r="C18498" s="12"/>
      <c r="D18498" s="13" t="n">
        <f aca="false">IF(B18498&lt;5,Einstellungen!$B$3,Einstellungen!$B$4)</f>
        <v>29.13</v>
      </c>
      <c r="E18498" s="14" t="str">
        <f aca="false">IF(C18498="","",C18498*D18498/100)</f>
        <v/>
      </c>
      <c r="F18498" s="15" t="str">
        <f aca="false">IF(B18498&lt;5,"Go","Standard")</f>
        <v>Standard</v>
      </c>
    </row>
    <row r="18499" customFormat="false" ht="15" hidden="false" customHeight="true" outlineLevel="0" collapsed="false">
      <c r="A18499" s="10" t="n">
        <f aca="false">Einstellungen!$B$5+INT((ROW()-9)/24)</f>
        <v>46736</v>
      </c>
      <c r="B18499" s="11" t="n">
        <f aca="false">MOD(ROW()-9,24)</f>
        <v>10</v>
      </c>
      <c r="C18499" s="12"/>
      <c r="D18499" s="13" t="n">
        <f aca="false">IF(B18499&lt;5,Einstellungen!$B$3,Einstellungen!$B$4)</f>
        <v>29.13</v>
      </c>
      <c r="E18499" s="14" t="str">
        <f aca="false">IF(C18499="","",C18499*D18499/100)</f>
        <v/>
      </c>
      <c r="F18499" s="15" t="str">
        <f aca="false">IF(B18499&lt;5,"Go","Standard")</f>
        <v>Standard</v>
      </c>
    </row>
    <row r="18500" customFormat="false" ht="15" hidden="false" customHeight="true" outlineLevel="0" collapsed="false">
      <c r="A18500" s="10" t="n">
        <f aca="false">Einstellungen!$B$5+INT((ROW()-9)/24)</f>
        <v>46736</v>
      </c>
      <c r="B18500" s="11" t="n">
        <f aca="false">MOD(ROW()-9,24)</f>
        <v>11</v>
      </c>
      <c r="C18500" s="12"/>
      <c r="D18500" s="13" t="n">
        <f aca="false">IF(B18500&lt;5,Einstellungen!$B$3,Einstellungen!$B$4)</f>
        <v>29.13</v>
      </c>
      <c r="E18500" s="14" t="str">
        <f aca="false">IF(C18500="","",C18500*D18500/100)</f>
        <v/>
      </c>
      <c r="F18500" s="15" t="str">
        <f aca="false">IF(B18500&lt;5,"Go","Standard")</f>
        <v>Standard</v>
      </c>
    </row>
    <row r="18501" customFormat="false" ht="15" hidden="false" customHeight="true" outlineLevel="0" collapsed="false">
      <c r="A18501" s="10" t="n">
        <f aca="false">Einstellungen!$B$5+INT((ROW()-9)/24)</f>
        <v>46736</v>
      </c>
      <c r="B18501" s="11" t="n">
        <f aca="false">MOD(ROW()-9,24)</f>
        <v>12</v>
      </c>
      <c r="C18501" s="12"/>
      <c r="D18501" s="13" t="n">
        <f aca="false">IF(B18501&lt;5,Einstellungen!$B$3,Einstellungen!$B$4)</f>
        <v>29.13</v>
      </c>
      <c r="E18501" s="14" t="str">
        <f aca="false">IF(C18501="","",C18501*D18501/100)</f>
        <v/>
      </c>
      <c r="F18501" s="15" t="str">
        <f aca="false">IF(B18501&lt;5,"Go","Standard")</f>
        <v>Standard</v>
      </c>
    </row>
    <row r="18502" customFormat="false" ht="15" hidden="false" customHeight="true" outlineLevel="0" collapsed="false">
      <c r="A18502" s="10" t="n">
        <f aca="false">Einstellungen!$B$5+INT((ROW()-9)/24)</f>
        <v>46736</v>
      </c>
      <c r="B18502" s="11" t="n">
        <f aca="false">MOD(ROW()-9,24)</f>
        <v>13</v>
      </c>
      <c r="C18502" s="12"/>
      <c r="D18502" s="13" t="n">
        <f aca="false">IF(B18502&lt;5,Einstellungen!$B$3,Einstellungen!$B$4)</f>
        <v>29.13</v>
      </c>
      <c r="E18502" s="14" t="str">
        <f aca="false">IF(C18502="","",C18502*D18502/100)</f>
        <v/>
      </c>
      <c r="F18502" s="15" t="str">
        <f aca="false">IF(B18502&lt;5,"Go","Standard")</f>
        <v>Standard</v>
      </c>
    </row>
    <row r="18503" customFormat="false" ht="15" hidden="false" customHeight="true" outlineLevel="0" collapsed="false">
      <c r="A18503" s="10" t="n">
        <f aca="false">Einstellungen!$B$5+INT((ROW()-9)/24)</f>
        <v>46736</v>
      </c>
      <c r="B18503" s="11" t="n">
        <f aca="false">MOD(ROW()-9,24)</f>
        <v>14</v>
      </c>
      <c r="C18503" s="12"/>
      <c r="D18503" s="13" t="n">
        <f aca="false">IF(B18503&lt;5,Einstellungen!$B$3,Einstellungen!$B$4)</f>
        <v>29.13</v>
      </c>
      <c r="E18503" s="14" t="str">
        <f aca="false">IF(C18503="","",C18503*D18503/100)</f>
        <v/>
      </c>
      <c r="F18503" s="15" t="str">
        <f aca="false">IF(B18503&lt;5,"Go","Standard")</f>
        <v>Standard</v>
      </c>
    </row>
    <row r="18504" customFormat="false" ht="15" hidden="false" customHeight="true" outlineLevel="0" collapsed="false">
      <c r="A18504" s="10" t="n">
        <f aca="false">Einstellungen!$B$5+INT((ROW()-9)/24)</f>
        <v>46736</v>
      </c>
      <c r="B18504" s="11" t="n">
        <f aca="false">MOD(ROW()-9,24)</f>
        <v>15</v>
      </c>
      <c r="C18504" s="12"/>
      <c r="D18504" s="13" t="n">
        <f aca="false">IF(B18504&lt;5,Einstellungen!$B$3,Einstellungen!$B$4)</f>
        <v>29.13</v>
      </c>
      <c r="E18504" s="14" t="str">
        <f aca="false">IF(C18504="","",C18504*D18504/100)</f>
        <v/>
      </c>
      <c r="F18504" s="15" t="str">
        <f aca="false">IF(B18504&lt;5,"Go","Standard")</f>
        <v>Standard</v>
      </c>
    </row>
    <row r="18505" customFormat="false" ht="15" hidden="false" customHeight="true" outlineLevel="0" collapsed="false">
      <c r="A18505" s="10" t="n">
        <f aca="false">Einstellungen!$B$5+INT((ROW()-9)/24)</f>
        <v>46736</v>
      </c>
      <c r="B18505" s="11" t="n">
        <f aca="false">MOD(ROW()-9,24)</f>
        <v>16</v>
      </c>
      <c r="C18505" s="12"/>
      <c r="D18505" s="13" t="n">
        <f aca="false">IF(B18505&lt;5,Einstellungen!$B$3,Einstellungen!$B$4)</f>
        <v>29.13</v>
      </c>
      <c r="E18505" s="14" t="str">
        <f aca="false">IF(C18505="","",C18505*D18505/100)</f>
        <v/>
      </c>
      <c r="F18505" s="15" t="str">
        <f aca="false">IF(B18505&lt;5,"Go","Standard")</f>
        <v>Standard</v>
      </c>
    </row>
    <row r="18506" customFormat="false" ht="15" hidden="false" customHeight="true" outlineLevel="0" collapsed="false">
      <c r="A18506" s="10" t="n">
        <f aca="false">Einstellungen!$B$5+INT((ROW()-9)/24)</f>
        <v>46736</v>
      </c>
      <c r="B18506" s="11" t="n">
        <f aca="false">MOD(ROW()-9,24)</f>
        <v>17</v>
      </c>
      <c r="C18506" s="12"/>
      <c r="D18506" s="13" t="n">
        <f aca="false">IF(B18506&lt;5,Einstellungen!$B$3,Einstellungen!$B$4)</f>
        <v>29.13</v>
      </c>
      <c r="E18506" s="14" t="str">
        <f aca="false">IF(C18506="","",C18506*D18506/100)</f>
        <v/>
      </c>
      <c r="F18506" s="15" t="str">
        <f aca="false">IF(B18506&lt;5,"Go","Standard")</f>
        <v>Standard</v>
      </c>
    </row>
    <row r="18507" customFormat="false" ht="15" hidden="false" customHeight="true" outlineLevel="0" collapsed="false">
      <c r="A18507" s="10" t="n">
        <f aca="false">Einstellungen!$B$5+INT((ROW()-9)/24)</f>
        <v>46736</v>
      </c>
      <c r="B18507" s="11" t="n">
        <f aca="false">MOD(ROW()-9,24)</f>
        <v>18</v>
      </c>
      <c r="C18507" s="12"/>
      <c r="D18507" s="13" t="n">
        <f aca="false">IF(B18507&lt;5,Einstellungen!$B$3,Einstellungen!$B$4)</f>
        <v>29.13</v>
      </c>
      <c r="E18507" s="14" t="str">
        <f aca="false">IF(C18507="","",C18507*D18507/100)</f>
        <v/>
      </c>
      <c r="F18507" s="15" t="str">
        <f aca="false">IF(B18507&lt;5,"Go","Standard")</f>
        <v>Standard</v>
      </c>
    </row>
    <row r="18508" customFormat="false" ht="15" hidden="false" customHeight="true" outlineLevel="0" collapsed="false">
      <c r="A18508" s="10" t="n">
        <f aca="false">Einstellungen!$B$5+INT((ROW()-9)/24)</f>
        <v>46736</v>
      </c>
      <c r="B18508" s="11" t="n">
        <f aca="false">MOD(ROW()-9,24)</f>
        <v>19</v>
      </c>
      <c r="C18508" s="12"/>
      <c r="D18508" s="13" t="n">
        <f aca="false">IF(B18508&lt;5,Einstellungen!$B$3,Einstellungen!$B$4)</f>
        <v>29.13</v>
      </c>
      <c r="E18508" s="14" t="str">
        <f aca="false">IF(C18508="","",C18508*D18508/100)</f>
        <v/>
      </c>
      <c r="F18508" s="15" t="str">
        <f aca="false">IF(B18508&lt;5,"Go","Standard")</f>
        <v>Standard</v>
      </c>
    </row>
    <row r="18509" customFormat="false" ht="15" hidden="false" customHeight="true" outlineLevel="0" collapsed="false">
      <c r="A18509" s="10" t="n">
        <f aca="false">Einstellungen!$B$5+INT((ROW()-9)/24)</f>
        <v>46736</v>
      </c>
      <c r="B18509" s="11" t="n">
        <f aca="false">MOD(ROW()-9,24)</f>
        <v>20</v>
      </c>
      <c r="C18509" s="12"/>
      <c r="D18509" s="13" t="n">
        <f aca="false">IF(B18509&lt;5,Einstellungen!$B$3,Einstellungen!$B$4)</f>
        <v>29.13</v>
      </c>
      <c r="E18509" s="14" t="str">
        <f aca="false">IF(C18509="","",C18509*D18509/100)</f>
        <v/>
      </c>
      <c r="F18509" s="15" t="str">
        <f aca="false">IF(B18509&lt;5,"Go","Standard")</f>
        <v>Standard</v>
      </c>
    </row>
    <row r="18510" customFormat="false" ht="15" hidden="false" customHeight="true" outlineLevel="0" collapsed="false">
      <c r="A18510" s="10" t="n">
        <f aca="false">Einstellungen!$B$5+INT((ROW()-9)/24)</f>
        <v>46736</v>
      </c>
      <c r="B18510" s="11" t="n">
        <f aca="false">MOD(ROW()-9,24)</f>
        <v>21</v>
      </c>
      <c r="C18510" s="12"/>
      <c r="D18510" s="13" t="n">
        <f aca="false">IF(B18510&lt;5,Einstellungen!$B$3,Einstellungen!$B$4)</f>
        <v>29.13</v>
      </c>
      <c r="E18510" s="14" t="str">
        <f aca="false">IF(C18510="","",C18510*D18510/100)</f>
        <v/>
      </c>
      <c r="F18510" s="15" t="str">
        <f aca="false">IF(B18510&lt;5,"Go","Standard")</f>
        <v>Standard</v>
      </c>
    </row>
    <row r="18511" customFormat="false" ht="15" hidden="false" customHeight="true" outlineLevel="0" collapsed="false">
      <c r="A18511" s="10" t="n">
        <f aca="false">Einstellungen!$B$5+INT((ROW()-9)/24)</f>
        <v>46736</v>
      </c>
      <c r="B18511" s="11" t="n">
        <f aca="false">MOD(ROW()-9,24)</f>
        <v>22</v>
      </c>
      <c r="C18511" s="12"/>
      <c r="D18511" s="13" t="n">
        <f aca="false">IF(B18511&lt;5,Einstellungen!$B$3,Einstellungen!$B$4)</f>
        <v>29.13</v>
      </c>
      <c r="E18511" s="14" t="str">
        <f aca="false">IF(C18511="","",C18511*D18511/100)</f>
        <v/>
      </c>
      <c r="F18511" s="15" t="str">
        <f aca="false">IF(B18511&lt;5,"Go","Standard")</f>
        <v>Standard</v>
      </c>
    </row>
    <row r="18512" customFormat="false" ht="15" hidden="false" customHeight="true" outlineLevel="0" collapsed="false">
      <c r="A18512" s="10" t="n">
        <f aca="false">Einstellungen!$B$5+INT((ROW()-9)/24)</f>
        <v>46736</v>
      </c>
      <c r="B18512" s="11" t="n">
        <f aca="false">MOD(ROW()-9,24)</f>
        <v>23</v>
      </c>
      <c r="C18512" s="12"/>
      <c r="D18512" s="13" t="n">
        <f aca="false">IF(B18512&lt;5,Einstellungen!$B$3,Einstellungen!$B$4)</f>
        <v>29.13</v>
      </c>
      <c r="E18512" s="14" t="str">
        <f aca="false">IF(C18512="","",C18512*D18512/100)</f>
        <v/>
      </c>
      <c r="F18512" s="15" t="str">
        <f aca="false">IF(B18512&lt;5,"Go","Standard")</f>
        <v>Standard</v>
      </c>
    </row>
    <row r="18513" customFormat="false" ht="15" hidden="false" customHeight="true" outlineLevel="0" collapsed="false">
      <c r="A18513" s="10" t="n">
        <f aca="false">Einstellungen!$B$5+INT((ROW()-9)/24)</f>
        <v>46737</v>
      </c>
      <c r="B18513" s="11" t="n">
        <f aca="false">MOD(ROW()-9,24)</f>
        <v>0</v>
      </c>
      <c r="C18513" s="12"/>
      <c r="D18513" s="13" t="n">
        <f aca="false">IF(B18513&lt;5,Einstellungen!$B$3,Einstellungen!$B$4)</f>
        <v>15.92</v>
      </c>
      <c r="E18513" s="14" t="str">
        <f aca="false">IF(C18513="","",C18513*D18513/100)</f>
        <v/>
      </c>
      <c r="F18513" s="15" t="str">
        <f aca="false">IF(B18513&lt;5,"Go","Standard")</f>
        <v>Go</v>
      </c>
    </row>
    <row r="18514" customFormat="false" ht="15" hidden="false" customHeight="true" outlineLevel="0" collapsed="false">
      <c r="A18514" s="10" t="n">
        <f aca="false">Einstellungen!$B$5+INT((ROW()-9)/24)</f>
        <v>46737</v>
      </c>
      <c r="B18514" s="11" t="n">
        <f aca="false">MOD(ROW()-9,24)</f>
        <v>1</v>
      </c>
      <c r="C18514" s="12"/>
      <c r="D18514" s="13" t="n">
        <f aca="false">IF(B18514&lt;5,Einstellungen!$B$3,Einstellungen!$B$4)</f>
        <v>15.92</v>
      </c>
      <c r="E18514" s="14" t="str">
        <f aca="false">IF(C18514="","",C18514*D18514/100)</f>
        <v/>
      </c>
      <c r="F18514" s="15" t="str">
        <f aca="false">IF(B18514&lt;5,"Go","Standard")</f>
        <v>Go</v>
      </c>
    </row>
    <row r="18515" customFormat="false" ht="15" hidden="false" customHeight="true" outlineLevel="0" collapsed="false">
      <c r="A18515" s="10" t="n">
        <f aca="false">Einstellungen!$B$5+INT((ROW()-9)/24)</f>
        <v>46737</v>
      </c>
      <c r="B18515" s="11" t="n">
        <f aca="false">MOD(ROW()-9,24)</f>
        <v>2</v>
      </c>
      <c r="C18515" s="12"/>
      <c r="D18515" s="13" t="n">
        <f aca="false">IF(B18515&lt;5,Einstellungen!$B$3,Einstellungen!$B$4)</f>
        <v>15.92</v>
      </c>
      <c r="E18515" s="14" t="str">
        <f aca="false">IF(C18515="","",C18515*D18515/100)</f>
        <v/>
      </c>
      <c r="F18515" s="15" t="str">
        <f aca="false">IF(B18515&lt;5,"Go","Standard")</f>
        <v>Go</v>
      </c>
    </row>
    <row r="18516" customFormat="false" ht="15" hidden="false" customHeight="true" outlineLevel="0" collapsed="false">
      <c r="A18516" s="10" t="n">
        <f aca="false">Einstellungen!$B$5+INT((ROW()-9)/24)</f>
        <v>46737</v>
      </c>
      <c r="B18516" s="11" t="n">
        <f aca="false">MOD(ROW()-9,24)</f>
        <v>3</v>
      </c>
      <c r="C18516" s="12"/>
      <c r="D18516" s="13" t="n">
        <f aca="false">IF(B18516&lt;5,Einstellungen!$B$3,Einstellungen!$B$4)</f>
        <v>15.92</v>
      </c>
      <c r="E18516" s="14" t="str">
        <f aca="false">IF(C18516="","",C18516*D18516/100)</f>
        <v/>
      </c>
      <c r="F18516" s="15" t="str">
        <f aca="false">IF(B18516&lt;5,"Go","Standard")</f>
        <v>Go</v>
      </c>
    </row>
    <row r="18517" customFormat="false" ht="15" hidden="false" customHeight="true" outlineLevel="0" collapsed="false">
      <c r="A18517" s="10" t="n">
        <f aca="false">Einstellungen!$B$5+INT((ROW()-9)/24)</f>
        <v>46737</v>
      </c>
      <c r="B18517" s="11" t="n">
        <f aca="false">MOD(ROW()-9,24)</f>
        <v>4</v>
      </c>
      <c r="C18517" s="12"/>
      <c r="D18517" s="13" t="n">
        <f aca="false">IF(B18517&lt;5,Einstellungen!$B$3,Einstellungen!$B$4)</f>
        <v>15.92</v>
      </c>
      <c r="E18517" s="14" t="str">
        <f aca="false">IF(C18517="","",C18517*D18517/100)</f>
        <v/>
      </c>
      <c r="F18517" s="15" t="str">
        <f aca="false">IF(B18517&lt;5,"Go","Standard")</f>
        <v>Go</v>
      </c>
    </row>
    <row r="18518" customFormat="false" ht="15" hidden="false" customHeight="true" outlineLevel="0" collapsed="false">
      <c r="A18518" s="10" t="n">
        <f aca="false">Einstellungen!$B$5+INT((ROW()-9)/24)</f>
        <v>46737</v>
      </c>
      <c r="B18518" s="11" t="n">
        <f aca="false">MOD(ROW()-9,24)</f>
        <v>5</v>
      </c>
      <c r="C18518" s="12"/>
      <c r="D18518" s="13" t="n">
        <f aca="false">IF(B18518&lt;5,Einstellungen!$B$3,Einstellungen!$B$4)</f>
        <v>29.13</v>
      </c>
      <c r="E18518" s="14" t="str">
        <f aca="false">IF(C18518="","",C18518*D18518/100)</f>
        <v/>
      </c>
      <c r="F18518" s="15" t="str">
        <f aca="false">IF(B18518&lt;5,"Go","Standard")</f>
        <v>Standard</v>
      </c>
    </row>
    <row r="18519" customFormat="false" ht="15" hidden="false" customHeight="true" outlineLevel="0" collapsed="false">
      <c r="A18519" s="10" t="n">
        <f aca="false">Einstellungen!$B$5+INT((ROW()-9)/24)</f>
        <v>46737</v>
      </c>
      <c r="B18519" s="11" t="n">
        <f aca="false">MOD(ROW()-9,24)</f>
        <v>6</v>
      </c>
      <c r="C18519" s="12"/>
      <c r="D18519" s="13" t="n">
        <f aca="false">IF(B18519&lt;5,Einstellungen!$B$3,Einstellungen!$B$4)</f>
        <v>29.13</v>
      </c>
      <c r="E18519" s="14" t="str">
        <f aca="false">IF(C18519="","",C18519*D18519/100)</f>
        <v/>
      </c>
      <c r="F18519" s="15" t="str">
        <f aca="false">IF(B18519&lt;5,"Go","Standard")</f>
        <v>Standard</v>
      </c>
    </row>
    <row r="18520" customFormat="false" ht="15" hidden="false" customHeight="true" outlineLevel="0" collapsed="false">
      <c r="A18520" s="10" t="n">
        <f aca="false">Einstellungen!$B$5+INT((ROW()-9)/24)</f>
        <v>46737</v>
      </c>
      <c r="B18520" s="11" t="n">
        <f aca="false">MOD(ROW()-9,24)</f>
        <v>7</v>
      </c>
      <c r="C18520" s="12"/>
      <c r="D18520" s="13" t="n">
        <f aca="false">IF(B18520&lt;5,Einstellungen!$B$3,Einstellungen!$B$4)</f>
        <v>29.13</v>
      </c>
      <c r="E18520" s="14" t="str">
        <f aca="false">IF(C18520="","",C18520*D18520/100)</f>
        <v/>
      </c>
      <c r="F18520" s="15" t="str">
        <f aca="false">IF(B18520&lt;5,"Go","Standard")</f>
        <v>Standard</v>
      </c>
    </row>
    <row r="18521" customFormat="false" ht="15" hidden="false" customHeight="true" outlineLevel="0" collapsed="false">
      <c r="A18521" s="10" t="n">
        <f aca="false">Einstellungen!$B$5+INT((ROW()-9)/24)</f>
        <v>46737</v>
      </c>
      <c r="B18521" s="11" t="n">
        <f aca="false">MOD(ROW()-9,24)</f>
        <v>8</v>
      </c>
      <c r="C18521" s="12"/>
      <c r="D18521" s="13" t="n">
        <f aca="false">IF(B18521&lt;5,Einstellungen!$B$3,Einstellungen!$B$4)</f>
        <v>29.13</v>
      </c>
      <c r="E18521" s="14" t="str">
        <f aca="false">IF(C18521="","",C18521*D18521/100)</f>
        <v/>
      </c>
      <c r="F18521" s="15" t="str">
        <f aca="false">IF(B18521&lt;5,"Go","Standard")</f>
        <v>Standard</v>
      </c>
    </row>
    <row r="18522" customFormat="false" ht="15" hidden="false" customHeight="true" outlineLevel="0" collapsed="false">
      <c r="A18522" s="10" t="n">
        <f aca="false">Einstellungen!$B$5+INT((ROW()-9)/24)</f>
        <v>46737</v>
      </c>
      <c r="B18522" s="11" t="n">
        <f aca="false">MOD(ROW()-9,24)</f>
        <v>9</v>
      </c>
      <c r="C18522" s="12"/>
      <c r="D18522" s="13" t="n">
        <f aca="false">IF(B18522&lt;5,Einstellungen!$B$3,Einstellungen!$B$4)</f>
        <v>29.13</v>
      </c>
      <c r="E18522" s="14" t="str">
        <f aca="false">IF(C18522="","",C18522*D18522/100)</f>
        <v/>
      </c>
      <c r="F18522" s="15" t="str">
        <f aca="false">IF(B18522&lt;5,"Go","Standard")</f>
        <v>Standard</v>
      </c>
    </row>
    <row r="18523" customFormat="false" ht="15" hidden="false" customHeight="true" outlineLevel="0" collapsed="false">
      <c r="A18523" s="10" t="n">
        <f aca="false">Einstellungen!$B$5+INT((ROW()-9)/24)</f>
        <v>46737</v>
      </c>
      <c r="B18523" s="11" t="n">
        <f aca="false">MOD(ROW()-9,24)</f>
        <v>10</v>
      </c>
      <c r="C18523" s="12"/>
      <c r="D18523" s="13" t="n">
        <f aca="false">IF(B18523&lt;5,Einstellungen!$B$3,Einstellungen!$B$4)</f>
        <v>29.13</v>
      </c>
      <c r="E18523" s="14" t="str">
        <f aca="false">IF(C18523="","",C18523*D18523/100)</f>
        <v/>
      </c>
      <c r="F18523" s="15" t="str">
        <f aca="false">IF(B18523&lt;5,"Go","Standard")</f>
        <v>Standard</v>
      </c>
    </row>
    <row r="18524" customFormat="false" ht="15" hidden="false" customHeight="true" outlineLevel="0" collapsed="false">
      <c r="A18524" s="10" t="n">
        <f aca="false">Einstellungen!$B$5+INT((ROW()-9)/24)</f>
        <v>46737</v>
      </c>
      <c r="B18524" s="11" t="n">
        <f aca="false">MOD(ROW()-9,24)</f>
        <v>11</v>
      </c>
      <c r="C18524" s="12"/>
      <c r="D18524" s="13" t="n">
        <f aca="false">IF(B18524&lt;5,Einstellungen!$B$3,Einstellungen!$B$4)</f>
        <v>29.13</v>
      </c>
      <c r="E18524" s="14" t="str">
        <f aca="false">IF(C18524="","",C18524*D18524/100)</f>
        <v/>
      </c>
      <c r="F18524" s="15" t="str">
        <f aca="false">IF(B18524&lt;5,"Go","Standard")</f>
        <v>Standard</v>
      </c>
    </row>
    <row r="18525" customFormat="false" ht="15" hidden="false" customHeight="true" outlineLevel="0" collapsed="false">
      <c r="A18525" s="10" t="n">
        <f aca="false">Einstellungen!$B$5+INT((ROW()-9)/24)</f>
        <v>46737</v>
      </c>
      <c r="B18525" s="11" t="n">
        <f aca="false">MOD(ROW()-9,24)</f>
        <v>12</v>
      </c>
      <c r="C18525" s="12"/>
      <c r="D18525" s="13" t="n">
        <f aca="false">IF(B18525&lt;5,Einstellungen!$B$3,Einstellungen!$B$4)</f>
        <v>29.13</v>
      </c>
      <c r="E18525" s="14" t="str">
        <f aca="false">IF(C18525="","",C18525*D18525/100)</f>
        <v/>
      </c>
      <c r="F18525" s="15" t="str">
        <f aca="false">IF(B18525&lt;5,"Go","Standard")</f>
        <v>Standard</v>
      </c>
    </row>
    <row r="18526" customFormat="false" ht="15" hidden="false" customHeight="true" outlineLevel="0" collapsed="false">
      <c r="A18526" s="10" t="n">
        <f aca="false">Einstellungen!$B$5+INT((ROW()-9)/24)</f>
        <v>46737</v>
      </c>
      <c r="B18526" s="11" t="n">
        <f aca="false">MOD(ROW()-9,24)</f>
        <v>13</v>
      </c>
      <c r="C18526" s="12"/>
      <c r="D18526" s="13" t="n">
        <f aca="false">IF(B18526&lt;5,Einstellungen!$B$3,Einstellungen!$B$4)</f>
        <v>29.13</v>
      </c>
      <c r="E18526" s="14" t="str">
        <f aca="false">IF(C18526="","",C18526*D18526/100)</f>
        <v/>
      </c>
      <c r="F18526" s="15" t="str">
        <f aca="false">IF(B18526&lt;5,"Go","Standard")</f>
        <v>Standard</v>
      </c>
    </row>
    <row r="18527" customFormat="false" ht="15" hidden="false" customHeight="true" outlineLevel="0" collapsed="false">
      <c r="A18527" s="10" t="n">
        <f aca="false">Einstellungen!$B$5+INT((ROW()-9)/24)</f>
        <v>46737</v>
      </c>
      <c r="B18527" s="11" t="n">
        <f aca="false">MOD(ROW()-9,24)</f>
        <v>14</v>
      </c>
      <c r="C18527" s="12"/>
      <c r="D18527" s="13" t="n">
        <f aca="false">IF(B18527&lt;5,Einstellungen!$B$3,Einstellungen!$B$4)</f>
        <v>29.13</v>
      </c>
      <c r="E18527" s="14" t="str">
        <f aca="false">IF(C18527="","",C18527*D18527/100)</f>
        <v/>
      </c>
      <c r="F18527" s="15" t="str">
        <f aca="false">IF(B18527&lt;5,"Go","Standard")</f>
        <v>Standard</v>
      </c>
    </row>
    <row r="18528" customFormat="false" ht="15" hidden="false" customHeight="true" outlineLevel="0" collapsed="false">
      <c r="A18528" s="10" t="n">
        <f aca="false">Einstellungen!$B$5+INT((ROW()-9)/24)</f>
        <v>46737</v>
      </c>
      <c r="B18528" s="11" t="n">
        <f aca="false">MOD(ROW()-9,24)</f>
        <v>15</v>
      </c>
      <c r="C18528" s="12"/>
      <c r="D18528" s="13" t="n">
        <f aca="false">IF(B18528&lt;5,Einstellungen!$B$3,Einstellungen!$B$4)</f>
        <v>29.13</v>
      </c>
      <c r="E18528" s="14" t="str">
        <f aca="false">IF(C18528="","",C18528*D18528/100)</f>
        <v/>
      </c>
      <c r="F18528" s="15" t="str">
        <f aca="false">IF(B18528&lt;5,"Go","Standard")</f>
        <v>Standard</v>
      </c>
    </row>
    <row r="18529" customFormat="false" ht="15" hidden="false" customHeight="true" outlineLevel="0" collapsed="false">
      <c r="A18529" s="10" t="n">
        <f aca="false">Einstellungen!$B$5+INT((ROW()-9)/24)</f>
        <v>46737</v>
      </c>
      <c r="B18529" s="11" t="n">
        <f aca="false">MOD(ROW()-9,24)</f>
        <v>16</v>
      </c>
      <c r="C18529" s="12"/>
      <c r="D18529" s="13" t="n">
        <f aca="false">IF(B18529&lt;5,Einstellungen!$B$3,Einstellungen!$B$4)</f>
        <v>29.13</v>
      </c>
      <c r="E18529" s="14" t="str">
        <f aca="false">IF(C18529="","",C18529*D18529/100)</f>
        <v/>
      </c>
      <c r="F18529" s="15" t="str">
        <f aca="false">IF(B18529&lt;5,"Go","Standard")</f>
        <v>Standard</v>
      </c>
    </row>
    <row r="18530" customFormat="false" ht="15" hidden="false" customHeight="true" outlineLevel="0" collapsed="false">
      <c r="A18530" s="10" t="n">
        <f aca="false">Einstellungen!$B$5+INT((ROW()-9)/24)</f>
        <v>46737</v>
      </c>
      <c r="B18530" s="11" t="n">
        <f aca="false">MOD(ROW()-9,24)</f>
        <v>17</v>
      </c>
      <c r="C18530" s="12"/>
      <c r="D18530" s="13" t="n">
        <f aca="false">IF(B18530&lt;5,Einstellungen!$B$3,Einstellungen!$B$4)</f>
        <v>29.13</v>
      </c>
      <c r="E18530" s="14" t="str">
        <f aca="false">IF(C18530="","",C18530*D18530/100)</f>
        <v/>
      </c>
      <c r="F18530" s="15" t="str">
        <f aca="false">IF(B18530&lt;5,"Go","Standard")</f>
        <v>Standard</v>
      </c>
    </row>
    <row r="18531" customFormat="false" ht="15" hidden="false" customHeight="true" outlineLevel="0" collapsed="false">
      <c r="A18531" s="10" t="n">
        <f aca="false">Einstellungen!$B$5+INT((ROW()-9)/24)</f>
        <v>46737</v>
      </c>
      <c r="B18531" s="11" t="n">
        <f aca="false">MOD(ROW()-9,24)</f>
        <v>18</v>
      </c>
      <c r="C18531" s="12"/>
      <c r="D18531" s="13" t="n">
        <f aca="false">IF(B18531&lt;5,Einstellungen!$B$3,Einstellungen!$B$4)</f>
        <v>29.13</v>
      </c>
      <c r="E18531" s="14" t="str">
        <f aca="false">IF(C18531="","",C18531*D18531/100)</f>
        <v/>
      </c>
      <c r="F18531" s="15" t="str">
        <f aca="false">IF(B18531&lt;5,"Go","Standard")</f>
        <v>Standard</v>
      </c>
    </row>
    <row r="18532" customFormat="false" ht="15" hidden="false" customHeight="true" outlineLevel="0" collapsed="false">
      <c r="A18532" s="10" t="n">
        <f aca="false">Einstellungen!$B$5+INT((ROW()-9)/24)</f>
        <v>46737</v>
      </c>
      <c r="B18532" s="11" t="n">
        <f aca="false">MOD(ROW()-9,24)</f>
        <v>19</v>
      </c>
      <c r="C18532" s="12"/>
      <c r="D18532" s="13" t="n">
        <f aca="false">IF(B18532&lt;5,Einstellungen!$B$3,Einstellungen!$B$4)</f>
        <v>29.13</v>
      </c>
      <c r="E18532" s="14" t="str">
        <f aca="false">IF(C18532="","",C18532*D18532/100)</f>
        <v/>
      </c>
      <c r="F18532" s="15" t="str">
        <f aca="false">IF(B18532&lt;5,"Go","Standard")</f>
        <v>Standard</v>
      </c>
    </row>
    <row r="18533" customFormat="false" ht="15" hidden="false" customHeight="true" outlineLevel="0" collapsed="false">
      <c r="A18533" s="10" t="n">
        <f aca="false">Einstellungen!$B$5+INT((ROW()-9)/24)</f>
        <v>46737</v>
      </c>
      <c r="B18533" s="11" t="n">
        <f aca="false">MOD(ROW()-9,24)</f>
        <v>20</v>
      </c>
      <c r="C18533" s="12"/>
      <c r="D18533" s="13" t="n">
        <f aca="false">IF(B18533&lt;5,Einstellungen!$B$3,Einstellungen!$B$4)</f>
        <v>29.13</v>
      </c>
      <c r="E18533" s="14" t="str">
        <f aca="false">IF(C18533="","",C18533*D18533/100)</f>
        <v/>
      </c>
      <c r="F18533" s="15" t="str">
        <f aca="false">IF(B18533&lt;5,"Go","Standard")</f>
        <v>Standard</v>
      </c>
    </row>
    <row r="18534" customFormat="false" ht="15" hidden="false" customHeight="true" outlineLevel="0" collapsed="false">
      <c r="A18534" s="10" t="n">
        <f aca="false">Einstellungen!$B$5+INT((ROW()-9)/24)</f>
        <v>46737</v>
      </c>
      <c r="B18534" s="11" t="n">
        <f aca="false">MOD(ROW()-9,24)</f>
        <v>21</v>
      </c>
      <c r="C18534" s="12"/>
      <c r="D18534" s="13" t="n">
        <f aca="false">IF(B18534&lt;5,Einstellungen!$B$3,Einstellungen!$B$4)</f>
        <v>29.13</v>
      </c>
      <c r="E18534" s="14" t="str">
        <f aca="false">IF(C18534="","",C18534*D18534/100)</f>
        <v/>
      </c>
      <c r="F18534" s="15" t="str">
        <f aca="false">IF(B18534&lt;5,"Go","Standard")</f>
        <v>Standard</v>
      </c>
    </row>
    <row r="18535" customFormat="false" ht="15" hidden="false" customHeight="true" outlineLevel="0" collapsed="false">
      <c r="A18535" s="10" t="n">
        <f aca="false">Einstellungen!$B$5+INT((ROW()-9)/24)</f>
        <v>46737</v>
      </c>
      <c r="B18535" s="11" t="n">
        <f aca="false">MOD(ROW()-9,24)</f>
        <v>22</v>
      </c>
      <c r="C18535" s="12"/>
      <c r="D18535" s="13" t="n">
        <f aca="false">IF(B18535&lt;5,Einstellungen!$B$3,Einstellungen!$B$4)</f>
        <v>29.13</v>
      </c>
      <c r="E18535" s="14" t="str">
        <f aca="false">IF(C18535="","",C18535*D18535/100)</f>
        <v/>
      </c>
      <c r="F18535" s="15" t="str">
        <f aca="false">IF(B18535&lt;5,"Go","Standard")</f>
        <v>Standard</v>
      </c>
    </row>
    <row r="18536" customFormat="false" ht="15" hidden="false" customHeight="true" outlineLevel="0" collapsed="false">
      <c r="A18536" s="10" t="n">
        <f aca="false">Einstellungen!$B$5+INT((ROW()-9)/24)</f>
        <v>46737</v>
      </c>
      <c r="B18536" s="11" t="n">
        <f aca="false">MOD(ROW()-9,24)</f>
        <v>23</v>
      </c>
      <c r="C18536" s="12"/>
      <c r="D18536" s="13" t="n">
        <f aca="false">IF(B18536&lt;5,Einstellungen!$B$3,Einstellungen!$B$4)</f>
        <v>29.13</v>
      </c>
      <c r="E18536" s="14" t="str">
        <f aca="false">IF(C18536="","",C18536*D18536/100)</f>
        <v/>
      </c>
      <c r="F18536" s="15" t="str">
        <f aca="false">IF(B18536&lt;5,"Go","Standard")</f>
        <v>Standard</v>
      </c>
    </row>
    <row r="18537" customFormat="false" ht="15" hidden="false" customHeight="true" outlineLevel="0" collapsed="false">
      <c r="A18537" s="10" t="n">
        <f aca="false">Einstellungen!$B$5+INT((ROW()-9)/24)</f>
        <v>46738</v>
      </c>
      <c r="B18537" s="11" t="n">
        <f aca="false">MOD(ROW()-9,24)</f>
        <v>0</v>
      </c>
      <c r="C18537" s="12"/>
      <c r="D18537" s="13" t="n">
        <f aca="false">IF(B18537&lt;5,Einstellungen!$B$3,Einstellungen!$B$4)</f>
        <v>15.92</v>
      </c>
      <c r="E18537" s="14" t="str">
        <f aca="false">IF(C18537="","",C18537*D18537/100)</f>
        <v/>
      </c>
      <c r="F18537" s="15" t="str">
        <f aca="false">IF(B18537&lt;5,"Go","Standard")</f>
        <v>Go</v>
      </c>
    </row>
    <row r="18538" customFormat="false" ht="15" hidden="false" customHeight="true" outlineLevel="0" collapsed="false">
      <c r="A18538" s="10" t="n">
        <f aca="false">Einstellungen!$B$5+INT((ROW()-9)/24)</f>
        <v>46738</v>
      </c>
      <c r="B18538" s="11" t="n">
        <f aca="false">MOD(ROW()-9,24)</f>
        <v>1</v>
      </c>
      <c r="C18538" s="12"/>
      <c r="D18538" s="13" t="n">
        <f aca="false">IF(B18538&lt;5,Einstellungen!$B$3,Einstellungen!$B$4)</f>
        <v>15.92</v>
      </c>
      <c r="E18538" s="14" t="str">
        <f aca="false">IF(C18538="","",C18538*D18538/100)</f>
        <v/>
      </c>
      <c r="F18538" s="15" t="str">
        <f aca="false">IF(B18538&lt;5,"Go","Standard")</f>
        <v>Go</v>
      </c>
    </row>
    <row r="18539" customFormat="false" ht="15" hidden="false" customHeight="true" outlineLevel="0" collapsed="false">
      <c r="A18539" s="10" t="n">
        <f aca="false">Einstellungen!$B$5+INT((ROW()-9)/24)</f>
        <v>46738</v>
      </c>
      <c r="B18539" s="11" t="n">
        <f aca="false">MOD(ROW()-9,24)</f>
        <v>2</v>
      </c>
      <c r="C18539" s="12"/>
      <c r="D18539" s="13" t="n">
        <f aca="false">IF(B18539&lt;5,Einstellungen!$B$3,Einstellungen!$B$4)</f>
        <v>15.92</v>
      </c>
      <c r="E18539" s="14" t="str">
        <f aca="false">IF(C18539="","",C18539*D18539/100)</f>
        <v/>
      </c>
      <c r="F18539" s="15" t="str">
        <f aca="false">IF(B18539&lt;5,"Go","Standard")</f>
        <v>Go</v>
      </c>
    </row>
    <row r="18540" customFormat="false" ht="15" hidden="false" customHeight="true" outlineLevel="0" collapsed="false">
      <c r="A18540" s="10" t="n">
        <f aca="false">Einstellungen!$B$5+INT((ROW()-9)/24)</f>
        <v>46738</v>
      </c>
      <c r="B18540" s="11" t="n">
        <f aca="false">MOD(ROW()-9,24)</f>
        <v>3</v>
      </c>
      <c r="C18540" s="12"/>
      <c r="D18540" s="13" t="n">
        <f aca="false">IF(B18540&lt;5,Einstellungen!$B$3,Einstellungen!$B$4)</f>
        <v>15.92</v>
      </c>
      <c r="E18540" s="14" t="str">
        <f aca="false">IF(C18540="","",C18540*D18540/100)</f>
        <v/>
      </c>
      <c r="F18540" s="15" t="str">
        <f aca="false">IF(B18540&lt;5,"Go","Standard")</f>
        <v>Go</v>
      </c>
    </row>
    <row r="18541" customFormat="false" ht="15" hidden="false" customHeight="true" outlineLevel="0" collapsed="false">
      <c r="A18541" s="10" t="n">
        <f aca="false">Einstellungen!$B$5+INT((ROW()-9)/24)</f>
        <v>46738</v>
      </c>
      <c r="B18541" s="11" t="n">
        <f aca="false">MOD(ROW()-9,24)</f>
        <v>4</v>
      </c>
      <c r="C18541" s="12"/>
      <c r="D18541" s="13" t="n">
        <f aca="false">IF(B18541&lt;5,Einstellungen!$B$3,Einstellungen!$B$4)</f>
        <v>15.92</v>
      </c>
      <c r="E18541" s="14" t="str">
        <f aca="false">IF(C18541="","",C18541*D18541/100)</f>
        <v/>
      </c>
      <c r="F18541" s="15" t="str">
        <f aca="false">IF(B18541&lt;5,"Go","Standard")</f>
        <v>Go</v>
      </c>
    </row>
    <row r="18542" customFormat="false" ht="15" hidden="false" customHeight="true" outlineLevel="0" collapsed="false">
      <c r="A18542" s="10" t="n">
        <f aca="false">Einstellungen!$B$5+INT((ROW()-9)/24)</f>
        <v>46738</v>
      </c>
      <c r="B18542" s="11" t="n">
        <f aca="false">MOD(ROW()-9,24)</f>
        <v>5</v>
      </c>
      <c r="C18542" s="12"/>
      <c r="D18542" s="13" t="n">
        <f aca="false">IF(B18542&lt;5,Einstellungen!$B$3,Einstellungen!$B$4)</f>
        <v>29.13</v>
      </c>
      <c r="E18542" s="14" t="str">
        <f aca="false">IF(C18542="","",C18542*D18542/100)</f>
        <v/>
      </c>
      <c r="F18542" s="15" t="str">
        <f aca="false">IF(B18542&lt;5,"Go","Standard")</f>
        <v>Standard</v>
      </c>
    </row>
    <row r="18543" customFormat="false" ht="15" hidden="false" customHeight="true" outlineLevel="0" collapsed="false">
      <c r="A18543" s="10" t="n">
        <f aca="false">Einstellungen!$B$5+INT((ROW()-9)/24)</f>
        <v>46738</v>
      </c>
      <c r="B18543" s="11" t="n">
        <f aca="false">MOD(ROW()-9,24)</f>
        <v>6</v>
      </c>
      <c r="C18543" s="12"/>
      <c r="D18543" s="13" t="n">
        <f aca="false">IF(B18543&lt;5,Einstellungen!$B$3,Einstellungen!$B$4)</f>
        <v>29.13</v>
      </c>
      <c r="E18543" s="14" t="str">
        <f aca="false">IF(C18543="","",C18543*D18543/100)</f>
        <v/>
      </c>
      <c r="F18543" s="15" t="str">
        <f aca="false">IF(B18543&lt;5,"Go","Standard")</f>
        <v>Standard</v>
      </c>
    </row>
    <row r="18544" customFormat="false" ht="15" hidden="false" customHeight="true" outlineLevel="0" collapsed="false">
      <c r="A18544" s="10" t="n">
        <f aca="false">Einstellungen!$B$5+INT((ROW()-9)/24)</f>
        <v>46738</v>
      </c>
      <c r="B18544" s="11" t="n">
        <f aca="false">MOD(ROW()-9,24)</f>
        <v>7</v>
      </c>
      <c r="C18544" s="12"/>
      <c r="D18544" s="13" t="n">
        <f aca="false">IF(B18544&lt;5,Einstellungen!$B$3,Einstellungen!$B$4)</f>
        <v>29.13</v>
      </c>
      <c r="E18544" s="14" t="str">
        <f aca="false">IF(C18544="","",C18544*D18544/100)</f>
        <v/>
      </c>
      <c r="F18544" s="15" t="str">
        <f aca="false">IF(B18544&lt;5,"Go","Standard")</f>
        <v>Standard</v>
      </c>
    </row>
    <row r="18545" customFormat="false" ht="15" hidden="false" customHeight="true" outlineLevel="0" collapsed="false">
      <c r="A18545" s="10" t="n">
        <f aca="false">Einstellungen!$B$5+INT((ROW()-9)/24)</f>
        <v>46738</v>
      </c>
      <c r="B18545" s="11" t="n">
        <f aca="false">MOD(ROW()-9,24)</f>
        <v>8</v>
      </c>
      <c r="C18545" s="12"/>
      <c r="D18545" s="13" t="n">
        <f aca="false">IF(B18545&lt;5,Einstellungen!$B$3,Einstellungen!$B$4)</f>
        <v>29.13</v>
      </c>
      <c r="E18545" s="14" t="str">
        <f aca="false">IF(C18545="","",C18545*D18545/100)</f>
        <v/>
      </c>
      <c r="F18545" s="15" t="str">
        <f aca="false">IF(B18545&lt;5,"Go","Standard")</f>
        <v>Standard</v>
      </c>
    </row>
    <row r="18546" customFormat="false" ht="15" hidden="false" customHeight="true" outlineLevel="0" collapsed="false">
      <c r="A18546" s="10" t="n">
        <f aca="false">Einstellungen!$B$5+INT((ROW()-9)/24)</f>
        <v>46738</v>
      </c>
      <c r="B18546" s="11" t="n">
        <f aca="false">MOD(ROW()-9,24)</f>
        <v>9</v>
      </c>
      <c r="C18546" s="12"/>
      <c r="D18546" s="13" t="n">
        <f aca="false">IF(B18546&lt;5,Einstellungen!$B$3,Einstellungen!$B$4)</f>
        <v>29.13</v>
      </c>
      <c r="E18546" s="14" t="str">
        <f aca="false">IF(C18546="","",C18546*D18546/100)</f>
        <v/>
      </c>
      <c r="F18546" s="15" t="str">
        <f aca="false">IF(B18546&lt;5,"Go","Standard")</f>
        <v>Standard</v>
      </c>
    </row>
    <row r="18547" customFormat="false" ht="15" hidden="false" customHeight="true" outlineLevel="0" collapsed="false">
      <c r="A18547" s="10" t="n">
        <f aca="false">Einstellungen!$B$5+INT((ROW()-9)/24)</f>
        <v>46738</v>
      </c>
      <c r="B18547" s="11" t="n">
        <f aca="false">MOD(ROW()-9,24)</f>
        <v>10</v>
      </c>
      <c r="C18547" s="12"/>
      <c r="D18547" s="13" t="n">
        <f aca="false">IF(B18547&lt;5,Einstellungen!$B$3,Einstellungen!$B$4)</f>
        <v>29.13</v>
      </c>
      <c r="E18547" s="14" t="str">
        <f aca="false">IF(C18547="","",C18547*D18547/100)</f>
        <v/>
      </c>
      <c r="F18547" s="15" t="str">
        <f aca="false">IF(B18547&lt;5,"Go","Standard")</f>
        <v>Standard</v>
      </c>
    </row>
    <row r="18548" customFormat="false" ht="15" hidden="false" customHeight="true" outlineLevel="0" collapsed="false">
      <c r="A18548" s="10" t="n">
        <f aca="false">Einstellungen!$B$5+INT((ROW()-9)/24)</f>
        <v>46738</v>
      </c>
      <c r="B18548" s="11" t="n">
        <f aca="false">MOD(ROW()-9,24)</f>
        <v>11</v>
      </c>
      <c r="C18548" s="12"/>
      <c r="D18548" s="13" t="n">
        <f aca="false">IF(B18548&lt;5,Einstellungen!$B$3,Einstellungen!$B$4)</f>
        <v>29.13</v>
      </c>
      <c r="E18548" s="14" t="str">
        <f aca="false">IF(C18548="","",C18548*D18548/100)</f>
        <v/>
      </c>
      <c r="F18548" s="15" t="str">
        <f aca="false">IF(B18548&lt;5,"Go","Standard")</f>
        <v>Standard</v>
      </c>
    </row>
    <row r="18549" customFormat="false" ht="15" hidden="false" customHeight="true" outlineLevel="0" collapsed="false">
      <c r="A18549" s="10" t="n">
        <f aca="false">Einstellungen!$B$5+INT((ROW()-9)/24)</f>
        <v>46738</v>
      </c>
      <c r="B18549" s="11" t="n">
        <f aca="false">MOD(ROW()-9,24)</f>
        <v>12</v>
      </c>
      <c r="C18549" s="12"/>
      <c r="D18549" s="13" t="n">
        <f aca="false">IF(B18549&lt;5,Einstellungen!$B$3,Einstellungen!$B$4)</f>
        <v>29.13</v>
      </c>
      <c r="E18549" s="14" t="str">
        <f aca="false">IF(C18549="","",C18549*D18549/100)</f>
        <v/>
      </c>
      <c r="F18549" s="15" t="str">
        <f aca="false">IF(B18549&lt;5,"Go","Standard")</f>
        <v>Standard</v>
      </c>
    </row>
    <row r="18550" customFormat="false" ht="15" hidden="false" customHeight="true" outlineLevel="0" collapsed="false">
      <c r="A18550" s="10" t="n">
        <f aca="false">Einstellungen!$B$5+INT((ROW()-9)/24)</f>
        <v>46738</v>
      </c>
      <c r="B18550" s="11" t="n">
        <f aca="false">MOD(ROW()-9,24)</f>
        <v>13</v>
      </c>
      <c r="C18550" s="12"/>
      <c r="D18550" s="13" t="n">
        <f aca="false">IF(B18550&lt;5,Einstellungen!$B$3,Einstellungen!$B$4)</f>
        <v>29.13</v>
      </c>
      <c r="E18550" s="14" t="str">
        <f aca="false">IF(C18550="","",C18550*D18550/100)</f>
        <v/>
      </c>
      <c r="F18550" s="15" t="str">
        <f aca="false">IF(B18550&lt;5,"Go","Standard")</f>
        <v>Standard</v>
      </c>
    </row>
    <row r="18551" customFormat="false" ht="15" hidden="false" customHeight="true" outlineLevel="0" collapsed="false">
      <c r="A18551" s="10" t="n">
        <f aca="false">Einstellungen!$B$5+INT((ROW()-9)/24)</f>
        <v>46738</v>
      </c>
      <c r="B18551" s="11" t="n">
        <f aca="false">MOD(ROW()-9,24)</f>
        <v>14</v>
      </c>
      <c r="C18551" s="12"/>
      <c r="D18551" s="13" t="n">
        <f aca="false">IF(B18551&lt;5,Einstellungen!$B$3,Einstellungen!$B$4)</f>
        <v>29.13</v>
      </c>
      <c r="E18551" s="14" t="str">
        <f aca="false">IF(C18551="","",C18551*D18551/100)</f>
        <v/>
      </c>
      <c r="F18551" s="15" t="str">
        <f aca="false">IF(B18551&lt;5,"Go","Standard")</f>
        <v>Standard</v>
      </c>
    </row>
    <row r="18552" customFormat="false" ht="15" hidden="false" customHeight="true" outlineLevel="0" collapsed="false">
      <c r="A18552" s="10" t="n">
        <f aca="false">Einstellungen!$B$5+INT((ROW()-9)/24)</f>
        <v>46738</v>
      </c>
      <c r="B18552" s="11" t="n">
        <f aca="false">MOD(ROW()-9,24)</f>
        <v>15</v>
      </c>
      <c r="C18552" s="12"/>
      <c r="D18552" s="13" t="n">
        <f aca="false">IF(B18552&lt;5,Einstellungen!$B$3,Einstellungen!$B$4)</f>
        <v>29.13</v>
      </c>
      <c r="E18552" s="14" t="str">
        <f aca="false">IF(C18552="","",C18552*D18552/100)</f>
        <v/>
      </c>
      <c r="F18552" s="15" t="str">
        <f aca="false">IF(B18552&lt;5,"Go","Standard")</f>
        <v>Standard</v>
      </c>
    </row>
    <row r="18553" customFormat="false" ht="15" hidden="false" customHeight="true" outlineLevel="0" collapsed="false">
      <c r="A18553" s="10" t="n">
        <f aca="false">Einstellungen!$B$5+INT((ROW()-9)/24)</f>
        <v>46738</v>
      </c>
      <c r="B18553" s="11" t="n">
        <f aca="false">MOD(ROW()-9,24)</f>
        <v>16</v>
      </c>
      <c r="C18553" s="12"/>
      <c r="D18553" s="13" t="n">
        <f aca="false">IF(B18553&lt;5,Einstellungen!$B$3,Einstellungen!$B$4)</f>
        <v>29.13</v>
      </c>
      <c r="E18553" s="14" t="str">
        <f aca="false">IF(C18553="","",C18553*D18553/100)</f>
        <v/>
      </c>
      <c r="F18553" s="15" t="str">
        <f aca="false">IF(B18553&lt;5,"Go","Standard")</f>
        <v>Standard</v>
      </c>
    </row>
    <row r="18554" customFormat="false" ht="15" hidden="false" customHeight="true" outlineLevel="0" collapsed="false">
      <c r="A18554" s="10" t="n">
        <f aca="false">Einstellungen!$B$5+INT((ROW()-9)/24)</f>
        <v>46738</v>
      </c>
      <c r="B18554" s="11" t="n">
        <f aca="false">MOD(ROW()-9,24)</f>
        <v>17</v>
      </c>
      <c r="C18554" s="12"/>
      <c r="D18554" s="13" t="n">
        <f aca="false">IF(B18554&lt;5,Einstellungen!$B$3,Einstellungen!$B$4)</f>
        <v>29.13</v>
      </c>
      <c r="E18554" s="14" t="str">
        <f aca="false">IF(C18554="","",C18554*D18554/100)</f>
        <v/>
      </c>
      <c r="F18554" s="15" t="str">
        <f aca="false">IF(B18554&lt;5,"Go","Standard")</f>
        <v>Standard</v>
      </c>
    </row>
    <row r="18555" customFormat="false" ht="15" hidden="false" customHeight="true" outlineLevel="0" collapsed="false">
      <c r="A18555" s="10" t="n">
        <f aca="false">Einstellungen!$B$5+INT((ROW()-9)/24)</f>
        <v>46738</v>
      </c>
      <c r="B18555" s="11" t="n">
        <f aca="false">MOD(ROW()-9,24)</f>
        <v>18</v>
      </c>
      <c r="C18555" s="12"/>
      <c r="D18555" s="13" t="n">
        <f aca="false">IF(B18555&lt;5,Einstellungen!$B$3,Einstellungen!$B$4)</f>
        <v>29.13</v>
      </c>
      <c r="E18555" s="14" t="str">
        <f aca="false">IF(C18555="","",C18555*D18555/100)</f>
        <v/>
      </c>
      <c r="F18555" s="15" t="str">
        <f aca="false">IF(B18555&lt;5,"Go","Standard")</f>
        <v>Standard</v>
      </c>
    </row>
    <row r="18556" customFormat="false" ht="15" hidden="false" customHeight="true" outlineLevel="0" collapsed="false">
      <c r="A18556" s="10" t="n">
        <f aca="false">Einstellungen!$B$5+INT((ROW()-9)/24)</f>
        <v>46738</v>
      </c>
      <c r="B18556" s="11" t="n">
        <f aca="false">MOD(ROW()-9,24)</f>
        <v>19</v>
      </c>
      <c r="C18556" s="12"/>
      <c r="D18556" s="13" t="n">
        <f aca="false">IF(B18556&lt;5,Einstellungen!$B$3,Einstellungen!$B$4)</f>
        <v>29.13</v>
      </c>
      <c r="E18556" s="14" t="str">
        <f aca="false">IF(C18556="","",C18556*D18556/100)</f>
        <v/>
      </c>
      <c r="F18556" s="15" t="str">
        <f aca="false">IF(B18556&lt;5,"Go","Standard")</f>
        <v>Standard</v>
      </c>
    </row>
    <row r="18557" customFormat="false" ht="15" hidden="false" customHeight="true" outlineLevel="0" collapsed="false">
      <c r="A18557" s="10" t="n">
        <f aca="false">Einstellungen!$B$5+INT((ROW()-9)/24)</f>
        <v>46738</v>
      </c>
      <c r="B18557" s="11" t="n">
        <f aca="false">MOD(ROW()-9,24)</f>
        <v>20</v>
      </c>
      <c r="C18557" s="12"/>
      <c r="D18557" s="13" t="n">
        <f aca="false">IF(B18557&lt;5,Einstellungen!$B$3,Einstellungen!$B$4)</f>
        <v>29.13</v>
      </c>
      <c r="E18557" s="14" t="str">
        <f aca="false">IF(C18557="","",C18557*D18557/100)</f>
        <v/>
      </c>
      <c r="F18557" s="15" t="str">
        <f aca="false">IF(B18557&lt;5,"Go","Standard")</f>
        <v>Standard</v>
      </c>
    </row>
    <row r="18558" customFormat="false" ht="15" hidden="false" customHeight="true" outlineLevel="0" collapsed="false">
      <c r="A18558" s="10" t="n">
        <f aca="false">Einstellungen!$B$5+INT((ROW()-9)/24)</f>
        <v>46738</v>
      </c>
      <c r="B18558" s="11" t="n">
        <f aca="false">MOD(ROW()-9,24)</f>
        <v>21</v>
      </c>
      <c r="C18558" s="12"/>
      <c r="D18558" s="13" t="n">
        <f aca="false">IF(B18558&lt;5,Einstellungen!$B$3,Einstellungen!$B$4)</f>
        <v>29.13</v>
      </c>
      <c r="E18558" s="14" t="str">
        <f aca="false">IF(C18558="","",C18558*D18558/100)</f>
        <v/>
      </c>
      <c r="F18558" s="15" t="str">
        <f aca="false">IF(B18558&lt;5,"Go","Standard")</f>
        <v>Standard</v>
      </c>
    </row>
    <row r="18559" customFormat="false" ht="15" hidden="false" customHeight="true" outlineLevel="0" collapsed="false">
      <c r="A18559" s="10" t="n">
        <f aca="false">Einstellungen!$B$5+INT((ROW()-9)/24)</f>
        <v>46738</v>
      </c>
      <c r="B18559" s="11" t="n">
        <f aca="false">MOD(ROW()-9,24)</f>
        <v>22</v>
      </c>
      <c r="C18559" s="12"/>
      <c r="D18559" s="13" t="n">
        <f aca="false">IF(B18559&lt;5,Einstellungen!$B$3,Einstellungen!$B$4)</f>
        <v>29.13</v>
      </c>
      <c r="E18559" s="14" t="str">
        <f aca="false">IF(C18559="","",C18559*D18559/100)</f>
        <v/>
      </c>
      <c r="F18559" s="15" t="str">
        <f aca="false">IF(B18559&lt;5,"Go","Standard")</f>
        <v>Standard</v>
      </c>
    </row>
    <row r="18560" customFormat="false" ht="15" hidden="false" customHeight="true" outlineLevel="0" collapsed="false">
      <c r="A18560" s="10" t="n">
        <f aca="false">Einstellungen!$B$5+INT((ROW()-9)/24)</f>
        <v>46738</v>
      </c>
      <c r="B18560" s="11" t="n">
        <f aca="false">MOD(ROW()-9,24)</f>
        <v>23</v>
      </c>
      <c r="C18560" s="12"/>
      <c r="D18560" s="13" t="n">
        <f aca="false">IF(B18560&lt;5,Einstellungen!$B$3,Einstellungen!$B$4)</f>
        <v>29.13</v>
      </c>
      <c r="E18560" s="14" t="str">
        <f aca="false">IF(C18560="","",C18560*D18560/100)</f>
        <v/>
      </c>
      <c r="F18560" s="15" t="str">
        <f aca="false">IF(B18560&lt;5,"Go","Standard")</f>
        <v>Standard</v>
      </c>
    </row>
    <row r="18561" customFormat="false" ht="15" hidden="false" customHeight="true" outlineLevel="0" collapsed="false">
      <c r="A18561" s="10" t="n">
        <f aca="false">Einstellungen!$B$5+INT((ROW()-9)/24)</f>
        <v>46739</v>
      </c>
      <c r="B18561" s="11" t="n">
        <f aca="false">MOD(ROW()-9,24)</f>
        <v>0</v>
      </c>
      <c r="C18561" s="12"/>
      <c r="D18561" s="13" t="n">
        <f aca="false">IF(B18561&lt;5,Einstellungen!$B$3,Einstellungen!$B$4)</f>
        <v>15.92</v>
      </c>
      <c r="E18561" s="14" t="str">
        <f aca="false">IF(C18561="","",C18561*D18561/100)</f>
        <v/>
      </c>
      <c r="F18561" s="15" t="str">
        <f aca="false">IF(B18561&lt;5,"Go","Standard")</f>
        <v>Go</v>
      </c>
    </row>
    <row r="18562" customFormat="false" ht="15" hidden="false" customHeight="true" outlineLevel="0" collapsed="false">
      <c r="A18562" s="10" t="n">
        <f aca="false">Einstellungen!$B$5+INT((ROW()-9)/24)</f>
        <v>46739</v>
      </c>
      <c r="B18562" s="11" t="n">
        <f aca="false">MOD(ROW()-9,24)</f>
        <v>1</v>
      </c>
      <c r="C18562" s="12"/>
      <c r="D18562" s="13" t="n">
        <f aca="false">IF(B18562&lt;5,Einstellungen!$B$3,Einstellungen!$B$4)</f>
        <v>15.92</v>
      </c>
      <c r="E18562" s="14" t="str">
        <f aca="false">IF(C18562="","",C18562*D18562/100)</f>
        <v/>
      </c>
      <c r="F18562" s="15" t="str">
        <f aca="false">IF(B18562&lt;5,"Go","Standard")</f>
        <v>Go</v>
      </c>
    </row>
    <row r="18563" customFormat="false" ht="15" hidden="false" customHeight="true" outlineLevel="0" collapsed="false">
      <c r="A18563" s="10" t="n">
        <f aca="false">Einstellungen!$B$5+INT((ROW()-9)/24)</f>
        <v>46739</v>
      </c>
      <c r="B18563" s="11" t="n">
        <f aca="false">MOD(ROW()-9,24)</f>
        <v>2</v>
      </c>
      <c r="C18563" s="12"/>
      <c r="D18563" s="13" t="n">
        <f aca="false">IF(B18563&lt;5,Einstellungen!$B$3,Einstellungen!$B$4)</f>
        <v>15.92</v>
      </c>
      <c r="E18563" s="14" t="str">
        <f aca="false">IF(C18563="","",C18563*D18563/100)</f>
        <v/>
      </c>
      <c r="F18563" s="15" t="str">
        <f aca="false">IF(B18563&lt;5,"Go","Standard")</f>
        <v>Go</v>
      </c>
    </row>
    <row r="18564" customFormat="false" ht="15" hidden="false" customHeight="true" outlineLevel="0" collapsed="false">
      <c r="A18564" s="10" t="n">
        <f aca="false">Einstellungen!$B$5+INT((ROW()-9)/24)</f>
        <v>46739</v>
      </c>
      <c r="B18564" s="11" t="n">
        <f aca="false">MOD(ROW()-9,24)</f>
        <v>3</v>
      </c>
      <c r="C18564" s="12"/>
      <c r="D18564" s="13" t="n">
        <f aca="false">IF(B18564&lt;5,Einstellungen!$B$3,Einstellungen!$B$4)</f>
        <v>15.92</v>
      </c>
      <c r="E18564" s="14" t="str">
        <f aca="false">IF(C18564="","",C18564*D18564/100)</f>
        <v/>
      </c>
      <c r="F18564" s="15" t="str">
        <f aca="false">IF(B18564&lt;5,"Go","Standard")</f>
        <v>Go</v>
      </c>
    </row>
    <row r="18565" customFormat="false" ht="15" hidden="false" customHeight="true" outlineLevel="0" collapsed="false">
      <c r="A18565" s="10" t="n">
        <f aca="false">Einstellungen!$B$5+INT((ROW()-9)/24)</f>
        <v>46739</v>
      </c>
      <c r="B18565" s="11" t="n">
        <f aca="false">MOD(ROW()-9,24)</f>
        <v>4</v>
      </c>
      <c r="C18565" s="12"/>
      <c r="D18565" s="13" t="n">
        <f aca="false">IF(B18565&lt;5,Einstellungen!$B$3,Einstellungen!$B$4)</f>
        <v>15.92</v>
      </c>
      <c r="E18565" s="14" t="str">
        <f aca="false">IF(C18565="","",C18565*D18565/100)</f>
        <v/>
      </c>
      <c r="F18565" s="15" t="str">
        <f aca="false">IF(B18565&lt;5,"Go","Standard")</f>
        <v>Go</v>
      </c>
    </row>
    <row r="18566" customFormat="false" ht="15" hidden="false" customHeight="true" outlineLevel="0" collapsed="false">
      <c r="A18566" s="10" t="n">
        <f aca="false">Einstellungen!$B$5+INT((ROW()-9)/24)</f>
        <v>46739</v>
      </c>
      <c r="B18566" s="11" t="n">
        <f aca="false">MOD(ROW()-9,24)</f>
        <v>5</v>
      </c>
      <c r="C18566" s="12"/>
      <c r="D18566" s="13" t="n">
        <f aca="false">IF(B18566&lt;5,Einstellungen!$B$3,Einstellungen!$B$4)</f>
        <v>29.13</v>
      </c>
      <c r="E18566" s="14" t="str">
        <f aca="false">IF(C18566="","",C18566*D18566/100)</f>
        <v/>
      </c>
      <c r="F18566" s="15" t="str">
        <f aca="false">IF(B18566&lt;5,"Go","Standard")</f>
        <v>Standard</v>
      </c>
    </row>
    <row r="18567" customFormat="false" ht="15" hidden="false" customHeight="true" outlineLevel="0" collapsed="false">
      <c r="A18567" s="10" t="n">
        <f aca="false">Einstellungen!$B$5+INT((ROW()-9)/24)</f>
        <v>46739</v>
      </c>
      <c r="B18567" s="11" t="n">
        <f aca="false">MOD(ROW()-9,24)</f>
        <v>6</v>
      </c>
      <c r="C18567" s="12"/>
      <c r="D18567" s="13" t="n">
        <f aca="false">IF(B18567&lt;5,Einstellungen!$B$3,Einstellungen!$B$4)</f>
        <v>29.13</v>
      </c>
      <c r="E18567" s="14" t="str">
        <f aca="false">IF(C18567="","",C18567*D18567/100)</f>
        <v/>
      </c>
      <c r="F18567" s="15" t="str">
        <f aca="false">IF(B18567&lt;5,"Go","Standard")</f>
        <v>Standard</v>
      </c>
    </row>
    <row r="18568" customFormat="false" ht="15" hidden="false" customHeight="true" outlineLevel="0" collapsed="false">
      <c r="A18568" s="10" t="n">
        <f aca="false">Einstellungen!$B$5+INT((ROW()-9)/24)</f>
        <v>46739</v>
      </c>
      <c r="B18568" s="11" t="n">
        <f aca="false">MOD(ROW()-9,24)</f>
        <v>7</v>
      </c>
      <c r="C18568" s="12"/>
      <c r="D18568" s="13" t="n">
        <f aca="false">IF(B18568&lt;5,Einstellungen!$B$3,Einstellungen!$B$4)</f>
        <v>29.13</v>
      </c>
      <c r="E18568" s="14" t="str">
        <f aca="false">IF(C18568="","",C18568*D18568/100)</f>
        <v/>
      </c>
      <c r="F18568" s="15" t="str">
        <f aca="false">IF(B18568&lt;5,"Go","Standard")</f>
        <v>Standard</v>
      </c>
    </row>
    <row r="18569" customFormat="false" ht="15" hidden="false" customHeight="true" outlineLevel="0" collapsed="false">
      <c r="A18569" s="10" t="n">
        <f aca="false">Einstellungen!$B$5+INT((ROW()-9)/24)</f>
        <v>46739</v>
      </c>
      <c r="B18569" s="11" t="n">
        <f aca="false">MOD(ROW()-9,24)</f>
        <v>8</v>
      </c>
      <c r="C18569" s="12"/>
      <c r="D18569" s="13" t="n">
        <f aca="false">IF(B18569&lt;5,Einstellungen!$B$3,Einstellungen!$B$4)</f>
        <v>29.13</v>
      </c>
      <c r="E18569" s="14" t="str">
        <f aca="false">IF(C18569="","",C18569*D18569/100)</f>
        <v/>
      </c>
      <c r="F18569" s="15" t="str">
        <f aca="false">IF(B18569&lt;5,"Go","Standard")</f>
        <v>Standard</v>
      </c>
    </row>
    <row r="18570" customFormat="false" ht="15" hidden="false" customHeight="true" outlineLevel="0" collapsed="false">
      <c r="A18570" s="10" t="n">
        <f aca="false">Einstellungen!$B$5+INT((ROW()-9)/24)</f>
        <v>46739</v>
      </c>
      <c r="B18570" s="11" t="n">
        <f aca="false">MOD(ROW()-9,24)</f>
        <v>9</v>
      </c>
      <c r="C18570" s="12"/>
      <c r="D18570" s="13" t="n">
        <f aca="false">IF(B18570&lt;5,Einstellungen!$B$3,Einstellungen!$B$4)</f>
        <v>29.13</v>
      </c>
      <c r="E18570" s="14" t="str">
        <f aca="false">IF(C18570="","",C18570*D18570/100)</f>
        <v/>
      </c>
      <c r="F18570" s="15" t="str">
        <f aca="false">IF(B18570&lt;5,"Go","Standard")</f>
        <v>Standard</v>
      </c>
    </row>
    <row r="18571" customFormat="false" ht="15" hidden="false" customHeight="true" outlineLevel="0" collapsed="false">
      <c r="A18571" s="10" t="n">
        <f aca="false">Einstellungen!$B$5+INT((ROW()-9)/24)</f>
        <v>46739</v>
      </c>
      <c r="B18571" s="11" t="n">
        <f aca="false">MOD(ROW()-9,24)</f>
        <v>10</v>
      </c>
      <c r="C18571" s="12"/>
      <c r="D18571" s="13" t="n">
        <f aca="false">IF(B18571&lt;5,Einstellungen!$B$3,Einstellungen!$B$4)</f>
        <v>29.13</v>
      </c>
      <c r="E18571" s="14" t="str">
        <f aca="false">IF(C18571="","",C18571*D18571/100)</f>
        <v/>
      </c>
      <c r="F18571" s="15" t="str">
        <f aca="false">IF(B18571&lt;5,"Go","Standard")</f>
        <v>Standard</v>
      </c>
    </row>
    <row r="18572" customFormat="false" ht="15" hidden="false" customHeight="true" outlineLevel="0" collapsed="false">
      <c r="A18572" s="10" t="n">
        <f aca="false">Einstellungen!$B$5+INT((ROW()-9)/24)</f>
        <v>46739</v>
      </c>
      <c r="B18572" s="11" t="n">
        <f aca="false">MOD(ROW()-9,24)</f>
        <v>11</v>
      </c>
      <c r="C18572" s="12"/>
      <c r="D18572" s="13" t="n">
        <f aca="false">IF(B18572&lt;5,Einstellungen!$B$3,Einstellungen!$B$4)</f>
        <v>29.13</v>
      </c>
      <c r="E18572" s="14" t="str">
        <f aca="false">IF(C18572="","",C18572*D18572/100)</f>
        <v/>
      </c>
      <c r="F18572" s="15" t="str">
        <f aca="false">IF(B18572&lt;5,"Go","Standard")</f>
        <v>Standard</v>
      </c>
    </row>
    <row r="18573" customFormat="false" ht="15" hidden="false" customHeight="true" outlineLevel="0" collapsed="false">
      <c r="A18573" s="10" t="n">
        <f aca="false">Einstellungen!$B$5+INT((ROW()-9)/24)</f>
        <v>46739</v>
      </c>
      <c r="B18573" s="11" t="n">
        <f aca="false">MOD(ROW()-9,24)</f>
        <v>12</v>
      </c>
      <c r="C18573" s="12"/>
      <c r="D18573" s="13" t="n">
        <f aca="false">IF(B18573&lt;5,Einstellungen!$B$3,Einstellungen!$B$4)</f>
        <v>29.13</v>
      </c>
      <c r="E18573" s="14" t="str">
        <f aca="false">IF(C18573="","",C18573*D18573/100)</f>
        <v/>
      </c>
      <c r="F18573" s="15" t="str">
        <f aca="false">IF(B18573&lt;5,"Go","Standard")</f>
        <v>Standard</v>
      </c>
    </row>
    <row r="18574" customFormat="false" ht="15" hidden="false" customHeight="true" outlineLevel="0" collapsed="false">
      <c r="A18574" s="10" t="n">
        <f aca="false">Einstellungen!$B$5+INT((ROW()-9)/24)</f>
        <v>46739</v>
      </c>
      <c r="B18574" s="11" t="n">
        <f aca="false">MOD(ROW()-9,24)</f>
        <v>13</v>
      </c>
      <c r="C18574" s="12"/>
      <c r="D18574" s="13" t="n">
        <f aca="false">IF(B18574&lt;5,Einstellungen!$B$3,Einstellungen!$B$4)</f>
        <v>29.13</v>
      </c>
      <c r="E18574" s="14" t="str">
        <f aca="false">IF(C18574="","",C18574*D18574/100)</f>
        <v/>
      </c>
      <c r="F18574" s="15" t="str">
        <f aca="false">IF(B18574&lt;5,"Go","Standard")</f>
        <v>Standard</v>
      </c>
    </row>
    <row r="18575" customFormat="false" ht="15" hidden="false" customHeight="true" outlineLevel="0" collapsed="false">
      <c r="A18575" s="10" t="n">
        <f aca="false">Einstellungen!$B$5+INT((ROW()-9)/24)</f>
        <v>46739</v>
      </c>
      <c r="B18575" s="11" t="n">
        <f aca="false">MOD(ROW()-9,24)</f>
        <v>14</v>
      </c>
      <c r="C18575" s="12"/>
      <c r="D18575" s="13" t="n">
        <f aca="false">IF(B18575&lt;5,Einstellungen!$B$3,Einstellungen!$B$4)</f>
        <v>29.13</v>
      </c>
      <c r="E18575" s="14" t="str">
        <f aca="false">IF(C18575="","",C18575*D18575/100)</f>
        <v/>
      </c>
      <c r="F18575" s="15" t="str">
        <f aca="false">IF(B18575&lt;5,"Go","Standard")</f>
        <v>Standard</v>
      </c>
    </row>
    <row r="18576" customFormat="false" ht="15" hidden="false" customHeight="true" outlineLevel="0" collapsed="false">
      <c r="A18576" s="10" t="n">
        <f aca="false">Einstellungen!$B$5+INT((ROW()-9)/24)</f>
        <v>46739</v>
      </c>
      <c r="B18576" s="11" t="n">
        <f aca="false">MOD(ROW()-9,24)</f>
        <v>15</v>
      </c>
      <c r="C18576" s="12"/>
      <c r="D18576" s="13" t="n">
        <f aca="false">IF(B18576&lt;5,Einstellungen!$B$3,Einstellungen!$B$4)</f>
        <v>29.13</v>
      </c>
      <c r="E18576" s="14" t="str">
        <f aca="false">IF(C18576="","",C18576*D18576/100)</f>
        <v/>
      </c>
      <c r="F18576" s="15" t="str">
        <f aca="false">IF(B18576&lt;5,"Go","Standard")</f>
        <v>Standard</v>
      </c>
    </row>
    <row r="18577" customFormat="false" ht="15" hidden="false" customHeight="true" outlineLevel="0" collapsed="false">
      <c r="A18577" s="10" t="n">
        <f aca="false">Einstellungen!$B$5+INT((ROW()-9)/24)</f>
        <v>46739</v>
      </c>
      <c r="B18577" s="11" t="n">
        <f aca="false">MOD(ROW()-9,24)</f>
        <v>16</v>
      </c>
      <c r="C18577" s="12"/>
      <c r="D18577" s="13" t="n">
        <f aca="false">IF(B18577&lt;5,Einstellungen!$B$3,Einstellungen!$B$4)</f>
        <v>29.13</v>
      </c>
      <c r="E18577" s="14" t="str">
        <f aca="false">IF(C18577="","",C18577*D18577/100)</f>
        <v/>
      </c>
      <c r="F18577" s="15" t="str">
        <f aca="false">IF(B18577&lt;5,"Go","Standard")</f>
        <v>Standard</v>
      </c>
    </row>
    <row r="18578" customFormat="false" ht="15" hidden="false" customHeight="true" outlineLevel="0" collapsed="false">
      <c r="A18578" s="10" t="n">
        <f aca="false">Einstellungen!$B$5+INT((ROW()-9)/24)</f>
        <v>46739</v>
      </c>
      <c r="B18578" s="11" t="n">
        <f aca="false">MOD(ROW()-9,24)</f>
        <v>17</v>
      </c>
      <c r="C18578" s="12"/>
      <c r="D18578" s="13" t="n">
        <f aca="false">IF(B18578&lt;5,Einstellungen!$B$3,Einstellungen!$B$4)</f>
        <v>29.13</v>
      </c>
      <c r="E18578" s="14" t="str">
        <f aca="false">IF(C18578="","",C18578*D18578/100)</f>
        <v/>
      </c>
      <c r="F18578" s="15" t="str">
        <f aca="false">IF(B18578&lt;5,"Go","Standard")</f>
        <v>Standard</v>
      </c>
    </row>
    <row r="18579" customFormat="false" ht="15" hidden="false" customHeight="true" outlineLevel="0" collapsed="false">
      <c r="A18579" s="10" t="n">
        <f aca="false">Einstellungen!$B$5+INT((ROW()-9)/24)</f>
        <v>46739</v>
      </c>
      <c r="B18579" s="11" t="n">
        <f aca="false">MOD(ROW()-9,24)</f>
        <v>18</v>
      </c>
      <c r="C18579" s="12"/>
      <c r="D18579" s="13" t="n">
        <f aca="false">IF(B18579&lt;5,Einstellungen!$B$3,Einstellungen!$B$4)</f>
        <v>29.13</v>
      </c>
      <c r="E18579" s="14" t="str">
        <f aca="false">IF(C18579="","",C18579*D18579/100)</f>
        <v/>
      </c>
      <c r="F18579" s="15" t="str">
        <f aca="false">IF(B18579&lt;5,"Go","Standard")</f>
        <v>Standard</v>
      </c>
    </row>
    <row r="18580" customFormat="false" ht="15" hidden="false" customHeight="true" outlineLevel="0" collapsed="false">
      <c r="A18580" s="10" t="n">
        <f aca="false">Einstellungen!$B$5+INT((ROW()-9)/24)</f>
        <v>46739</v>
      </c>
      <c r="B18580" s="11" t="n">
        <f aca="false">MOD(ROW()-9,24)</f>
        <v>19</v>
      </c>
      <c r="C18580" s="12"/>
      <c r="D18580" s="13" t="n">
        <f aca="false">IF(B18580&lt;5,Einstellungen!$B$3,Einstellungen!$B$4)</f>
        <v>29.13</v>
      </c>
      <c r="E18580" s="14" t="str">
        <f aca="false">IF(C18580="","",C18580*D18580/100)</f>
        <v/>
      </c>
      <c r="F18580" s="15" t="str">
        <f aca="false">IF(B18580&lt;5,"Go","Standard")</f>
        <v>Standard</v>
      </c>
    </row>
    <row r="18581" customFormat="false" ht="15" hidden="false" customHeight="true" outlineLevel="0" collapsed="false">
      <c r="A18581" s="10" t="n">
        <f aca="false">Einstellungen!$B$5+INT((ROW()-9)/24)</f>
        <v>46739</v>
      </c>
      <c r="B18581" s="11" t="n">
        <f aca="false">MOD(ROW()-9,24)</f>
        <v>20</v>
      </c>
      <c r="C18581" s="12"/>
      <c r="D18581" s="13" t="n">
        <f aca="false">IF(B18581&lt;5,Einstellungen!$B$3,Einstellungen!$B$4)</f>
        <v>29.13</v>
      </c>
      <c r="E18581" s="14" t="str">
        <f aca="false">IF(C18581="","",C18581*D18581/100)</f>
        <v/>
      </c>
      <c r="F18581" s="15" t="str">
        <f aca="false">IF(B18581&lt;5,"Go","Standard")</f>
        <v>Standard</v>
      </c>
    </row>
    <row r="18582" customFormat="false" ht="15" hidden="false" customHeight="true" outlineLevel="0" collapsed="false">
      <c r="A18582" s="10" t="n">
        <f aca="false">Einstellungen!$B$5+INT((ROW()-9)/24)</f>
        <v>46739</v>
      </c>
      <c r="B18582" s="11" t="n">
        <f aca="false">MOD(ROW()-9,24)</f>
        <v>21</v>
      </c>
      <c r="C18582" s="12"/>
      <c r="D18582" s="13" t="n">
        <f aca="false">IF(B18582&lt;5,Einstellungen!$B$3,Einstellungen!$B$4)</f>
        <v>29.13</v>
      </c>
      <c r="E18582" s="14" t="str">
        <f aca="false">IF(C18582="","",C18582*D18582/100)</f>
        <v/>
      </c>
      <c r="F18582" s="15" t="str">
        <f aca="false">IF(B18582&lt;5,"Go","Standard")</f>
        <v>Standard</v>
      </c>
    </row>
    <row r="18583" customFormat="false" ht="15" hidden="false" customHeight="true" outlineLevel="0" collapsed="false">
      <c r="A18583" s="10" t="n">
        <f aca="false">Einstellungen!$B$5+INT((ROW()-9)/24)</f>
        <v>46739</v>
      </c>
      <c r="B18583" s="11" t="n">
        <f aca="false">MOD(ROW()-9,24)</f>
        <v>22</v>
      </c>
      <c r="C18583" s="12"/>
      <c r="D18583" s="13" t="n">
        <f aca="false">IF(B18583&lt;5,Einstellungen!$B$3,Einstellungen!$B$4)</f>
        <v>29.13</v>
      </c>
      <c r="E18583" s="14" t="str">
        <f aca="false">IF(C18583="","",C18583*D18583/100)</f>
        <v/>
      </c>
      <c r="F18583" s="15" t="str">
        <f aca="false">IF(B18583&lt;5,"Go","Standard")</f>
        <v>Standard</v>
      </c>
    </row>
    <row r="18584" customFormat="false" ht="15" hidden="false" customHeight="true" outlineLevel="0" collapsed="false">
      <c r="A18584" s="10" t="n">
        <f aca="false">Einstellungen!$B$5+INT((ROW()-9)/24)</f>
        <v>46739</v>
      </c>
      <c r="B18584" s="11" t="n">
        <f aca="false">MOD(ROW()-9,24)</f>
        <v>23</v>
      </c>
      <c r="C18584" s="12"/>
      <c r="D18584" s="13" t="n">
        <f aca="false">IF(B18584&lt;5,Einstellungen!$B$3,Einstellungen!$B$4)</f>
        <v>29.13</v>
      </c>
      <c r="E18584" s="14" t="str">
        <f aca="false">IF(C18584="","",C18584*D18584/100)</f>
        <v/>
      </c>
      <c r="F18584" s="15" t="str">
        <f aca="false">IF(B18584&lt;5,"Go","Standard")</f>
        <v>Standard</v>
      </c>
    </row>
    <row r="18585" customFormat="false" ht="15" hidden="false" customHeight="true" outlineLevel="0" collapsed="false">
      <c r="A18585" s="10" t="n">
        <f aca="false">Einstellungen!$B$5+INT((ROW()-9)/24)</f>
        <v>46740</v>
      </c>
      <c r="B18585" s="11" t="n">
        <f aca="false">MOD(ROW()-9,24)</f>
        <v>0</v>
      </c>
      <c r="C18585" s="12"/>
      <c r="D18585" s="13" t="n">
        <f aca="false">IF(B18585&lt;5,Einstellungen!$B$3,Einstellungen!$B$4)</f>
        <v>15.92</v>
      </c>
      <c r="E18585" s="14" t="str">
        <f aca="false">IF(C18585="","",C18585*D18585/100)</f>
        <v/>
      </c>
      <c r="F18585" s="15" t="str">
        <f aca="false">IF(B18585&lt;5,"Go","Standard")</f>
        <v>Go</v>
      </c>
    </row>
    <row r="18586" customFormat="false" ht="15" hidden="false" customHeight="true" outlineLevel="0" collapsed="false">
      <c r="A18586" s="10" t="n">
        <f aca="false">Einstellungen!$B$5+INT((ROW()-9)/24)</f>
        <v>46740</v>
      </c>
      <c r="B18586" s="11" t="n">
        <f aca="false">MOD(ROW()-9,24)</f>
        <v>1</v>
      </c>
      <c r="C18586" s="12"/>
      <c r="D18586" s="13" t="n">
        <f aca="false">IF(B18586&lt;5,Einstellungen!$B$3,Einstellungen!$B$4)</f>
        <v>15.92</v>
      </c>
      <c r="E18586" s="14" t="str">
        <f aca="false">IF(C18586="","",C18586*D18586/100)</f>
        <v/>
      </c>
      <c r="F18586" s="15" t="str">
        <f aca="false">IF(B18586&lt;5,"Go","Standard")</f>
        <v>Go</v>
      </c>
    </row>
    <row r="18587" customFormat="false" ht="15" hidden="false" customHeight="true" outlineLevel="0" collapsed="false">
      <c r="A18587" s="10" t="n">
        <f aca="false">Einstellungen!$B$5+INT((ROW()-9)/24)</f>
        <v>46740</v>
      </c>
      <c r="B18587" s="11" t="n">
        <f aca="false">MOD(ROW()-9,24)</f>
        <v>2</v>
      </c>
      <c r="C18587" s="12"/>
      <c r="D18587" s="13" t="n">
        <f aca="false">IF(B18587&lt;5,Einstellungen!$B$3,Einstellungen!$B$4)</f>
        <v>15.92</v>
      </c>
      <c r="E18587" s="14" t="str">
        <f aca="false">IF(C18587="","",C18587*D18587/100)</f>
        <v/>
      </c>
      <c r="F18587" s="15" t="str">
        <f aca="false">IF(B18587&lt;5,"Go","Standard")</f>
        <v>Go</v>
      </c>
    </row>
    <row r="18588" customFormat="false" ht="15" hidden="false" customHeight="true" outlineLevel="0" collapsed="false">
      <c r="A18588" s="10" t="n">
        <f aca="false">Einstellungen!$B$5+INT((ROW()-9)/24)</f>
        <v>46740</v>
      </c>
      <c r="B18588" s="11" t="n">
        <f aca="false">MOD(ROW()-9,24)</f>
        <v>3</v>
      </c>
      <c r="C18588" s="12"/>
      <c r="D18588" s="13" t="n">
        <f aca="false">IF(B18588&lt;5,Einstellungen!$B$3,Einstellungen!$B$4)</f>
        <v>15.92</v>
      </c>
      <c r="E18588" s="14" t="str">
        <f aca="false">IF(C18588="","",C18588*D18588/100)</f>
        <v/>
      </c>
      <c r="F18588" s="15" t="str">
        <f aca="false">IF(B18588&lt;5,"Go","Standard")</f>
        <v>Go</v>
      </c>
    </row>
    <row r="18589" customFormat="false" ht="15" hidden="false" customHeight="true" outlineLevel="0" collapsed="false">
      <c r="A18589" s="10" t="n">
        <f aca="false">Einstellungen!$B$5+INT((ROW()-9)/24)</f>
        <v>46740</v>
      </c>
      <c r="B18589" s="11" t="n">
        <f aca="false">MOD(ROW()-9,24)</f>
        <v>4</v>
      </c>
      <c r="C18589" s="12"/>
      <c r="D18589" s="13" t="n">
        <f aca="false">IF(B18589&lt;5,Einstellungen!$B$3,Einstellungen!$B$4)</f>
        <v>15.92</v>
      </c>
      <c r="E18589" s="14" t="str">
        <f aca="false">IF(C18589="","",C18589*D18589/100)</f>
        <v/>
      </c>
      <c r="F18589" s="15" t="str">
        <f aca="false">IF(B18589&lt;5,"Go","Standard")</f>
        <v>Go</v>
      </c>
    </row>
    <row r="18590" customFormat="false" ht="15" hidden="false" customHeight="true" outlineLevel="0" collapsed="false">
      <c r="A18590" s="10" t="n">
        <f aca="false">Einstellungen!$B$5+INT((ROW()-9)/24)</f>
        <v>46740</v>
      </c>
      <c r="B18590" s="11" t="n">
        <f aca="false">MOD(ROW()-9,24)</f>
        <v>5</v>
      </c>
      <c r="C18590" s="12"/>
      <c r="D18590" s="13" t="n">
        <f aca="false">IF(B18590&lt;5,Einstellungen!$B$3,Einstellungen!$B$4)</f>
        <v>29.13</v>
      </c>
      <c r="E18590" s="14" t="str">
        <f aca="false">IF(C18590="","",C18590*D18590/100)</f>
        <v/>
      </c>
      <c r="F18590" s="15" t="str">
        <f aca="false">IF(B18590&lt;5,"Go","Standard")</f>
        <v>Standard</v>
      </c>
    </row>
    <row r="18591" customFormat="false" ht="15" hidden="false" customHeight="true" outlineLevel="0" collapsed="false">
      <c r="A18591" s="10" t="n">
        <f aca="false">Einstellungen!$B$5+INT((ROW()-9)/24)</f>
        <v>46740</v>
      </c>
      <c r="B18591" s="11" t="n">
        <f aca="false">MOD(ROW()-9,24)</f>
        <v>6</v>
      </c>
      <c r="C18591" s="12"/>
      <c r="D18591" s="13" t="n">
        <f aca="false">IF(B18591&lt;5,Einstellungen!$B$3,Einstellungen!$B$4)</f>
        <v>29.13</v>
      </c>
      <c r="E18591" s="14" t="str">
        <f aca="false">IF(C18591="","",C18591*D18591/100)</f>
        <v/>
      </c>
      <c r="F18591" s="15" t="str">
        <f aca="false">IF(B18591&lt;5,"Go","Standard")</f>
        <v>Standard</v>
      </c>
    </row>
    <row r="18592" customFormat="false" ht="15" hidden="false" customHeight="true" outlineLevel="0" collapsed="false">
      <c r="A18592" s="10" t="n">
        <f aca="false">Einstellungen!$B$5+INT((ROW()-9)/24)</f>
        <v>46740</v>
      </c>
      <c r="B18592" s="11" t="n">
        <f aca="false">MOD(ROW()-9,24)</f>
        <v>7</v>
      </c>
      <c r="C18592" s="12"/>
      <c r="D18592" s="13" t="n">
        <f aca="false">IF(B18592&lt;5,Einstellungen!$B$3,Einstellungen!$B$4)</f>
        <v>29.13</v>
      </c>
      <c r="E18592" s="14" t="str">
        <f aca="false">IF(C18592="","",C18592*D18592/100)</f>
        <v/>
      </c>
      <c r="F18592" s="15" t="str">
        <f aca="false">IF(B18592&lt;5,"Go","Standard")</f>
        <v>Standard</v>
      </c>
    </row>
    <row r="18593" customFormat="false" ht="15" hidden="false" customHeight="true" outlineLevel="0" collapsed="false">
      <c r="A18593" s="10" t="n">
        <f aca="false">Einstellungen!$B$5+INT((ROW()-9)/24)</f>
        <v>46740</v>
      </c>
      <c r="B18593" s="11" t="n">
        <f aca="false">MOD(ROW()-9,24)</f>
        <v>8</v>
      </c>
      <c r="C18593" s="12"/>
      <c r="D18593" s="13" t="n">
        <f aca="false">IF(B18593&lt;5,Einstellungen!$B$3,Einstellungen!$B$4)</f>
        <v>29.13</v>
      </c>
      <c r="E18593" s="14" t="str">
        <f aca="false">IF(C18593="","",C18593*D18593/100)</f>
        <v/>
      </c>
      <c r="F18593" s="15" t="str">
        <f aca="false">IF(B18593&lt;5,"Go","Standard")</f>
        <v>Standard</v>
      </c>
    </row>
    <row r="18594" customFormat="false" ht="15" hidden="false" customHeight="true" outlineLevel="0" collapsed="false">
      <c r="A18594" s="10" t="n">
        <f aca="false">Einstellungen!$B$5+INT((ROW()-9)/24)</f>
        <v>46740</v>
      </c>
      <c r="B18594" s="11" t="n">
        <f aca="false">MOD(ROW()-9,24)</f>
        <v>9</v>
      </c>
      <c r="C18594" s="12"/>
      <c r="D18594" s="13" t="n">
        <f aca="false">IF(B18594&lt;5,Einstellungen!$B$3,Einstellungen!$B$4)</f>
        <v>29.13</v>
      </c>
      <c r="E18594" s="14" t="str">
        <f aca="false">IF(C18594="","",C18594*D18594/100)</f>
        <v/>
      </c>
      <c r="F18594" s="15" t="str">
        <f aca="false">IF(B18594&lt;5,"Go","Standard")</f>
        <v>Standard</v>
      </c>
    </row>
    <row r="18595" customFormat="false" ht="15" hidden="false" customHeight="true" outlineLevel="0" collapsed="false">
      <c r="A18595" s="10" t="n">
        <f aca="false">Einstellungen!$B$5+INT((ROW()-9)/24)</f>
        <v>46740</v>
      </c>
      <c r="B18595" s="11" t="n">
        <f aca="false">MOD(ROW()-9,24)</f>
        <v>10</v>
      </c>
      <c r="C18595" s="12"/>
      <c r="D18595" s="13" t="n">
        <f aca="false">IF(B18595&lt;5,Einstellungen!$B$3,Einstellungen!$B$4)</f>
        <v>29.13</v>
      </c>
      <c r="E18595" s="14" t="str">
        <f aca="false">IF(C18595="","",C18595*D18595/100)</f>
        <v/>
      </c>
      <c r="F18595" s="15" t="str">
        <f aca="false">IF(B18595&lt;5,"Go","Standard")</f>
        <v>Standard</v>
      </c>
    </row>
    <row r="18596" customFormat="false" ht="15" hidden="false" customHeight="true" outlineLevel="0" collapsed="false">
      <c r="A18596" s="10" t="n">
        <f aca="false">Einstellungen!$B$5+INT((ROW()-9)/24)</f>
        <v>46740</v>
      </c>
      <c r="B18596" s="11" t="n">
        <f aca="false">MOD(ROW()-9,24)</f>
        <v>11</v>
      </c>
      <c r="C18596" s="12"/>
      <c r="D18596" s="13" t="n">
        <f aca="false">IF(B18596&lt;5,Einstellungen!$B$3,Einstellungen!$B$4)</f>
        <v>29.13</v>
      </c>
      <c r="E18596" s="14" t="str">
        <f aca="false">IF(C18596="","",C18596*D18596/100)</f>
        <v/>
      </c>
      <c r="F18596" s="15" t="str">
        <f aca="false">IF(B18596&lt;5,"Go","Standard")</f>
        <v>Standard</v>
      </c>
    </row>
    <row r="18597" customFormat="false" ht="15" hidden="false" customHeight="true" outlineLevel="0" collapsed="false">
      <c r="A18597" s="10" t="n">
        <f aca="false">Einstellungen!$B$5+INT((ROW()-9)/24)</f>
        <v>46740</v>
      </c>
      <c r="B18597" s="11" t="n">
        <f aca="false">MOD(ROW()-9,24)</f>
        <v>12</v>
      </c>
      <c r="C18597" s="12"/>
      <c r="D18597" s="13" t="n">
        <f aca="false">IF(B18597&lt;5,Einstellungen!$B$3,Einstellungen!$B$4)</f>
        <v>29.13</v>
      </c>
      <c r="E18597" s="14" t="str">
        <f aca="false">IF(C18597="","",C18597*D18597/100)</f>
        <v/>
      </c>
      <c r="F18597" s="15" t="str">
        <f aca="false">IF(B18597&lt;5,"Go","Standard")</f>
        <v>Standard</v>
      </c>
    </row>
    <row r="18598" customFormat="false" ht="15" hidden="false" customHeight="true" outlineLevel="0" collapsed="false">
      <c r="A18598" s="10" t="n">
        <f aca="false">Einstellungen!$B$5+INT((ROW()-9)/24)</f>
        <v>46740</v>
      </c>
      <c r="B18598" s="11" t="n">
        <f aca="false">MOD(ROW()-9,24)</f>
        <v>13</v>
      </c>
      <c r="C18598" s="12"/>
      <c r="D18598" s="13" t="n">
        <f aca="false">IF(B18598&lt;5,Einstellungen!$B$3,Einstellungen!$B$4)</f>
        <v>29.13</v>
      </c>
      <c r="E18598" s="14" t="str">
        <f aca="false">IF(C18598="","",C18598*D18598/100)</f>
        <v/>
      </c>
      <c r="F18598" s="15" t="str">
        <f aca="false">IF(B18598&lt;5,"Go","Standard")</f>
        <v>Standard</v>
      </c>
    </row>
    <row r="18599" customFormat="false" ht="15" hidden="false" customHeight="true" outlineLevel="0" collapsed="false">
      <c r="A18599" s="10" t="n">
        <f aca="false">Einstellungen!$B$5+INT((ROW()-9)/24)</f>
        <v>46740</v>
      </c>
      <c r="B18599" s="11" t="n">
        <f aca="false">MOD(ROW()-9,24)</f>
        <v>14</v>
      </c>
      <c r="C18599" s="12"/>
      <c r="D18599" s="13" t="n">
        <f aca="false">IF(B18599&lt;5,Einstellungen!$B$3,Einstellungen!$B$4)</f>
        <v>29.13</v>
      </c>
      <c r="E18599" s="14" t="str">
        <f aca="false">IF(C18599="","",C18599*D18599/100)</f>
        <v/>
      </c>
      <c r="F18599" s="15" t="str">
        <f aca="false">IF(B18599&lt;5,"Go","Standard")</f>
        <v>Standard</v>
      </c>
    </row>
    <row r="18600" customFormat="false" ht="15" hidden="false" customHeight="true" outlineLevel="0" collapsed="false">
      <c r="A18600" s="10" t="n">
        <f aca="false">Einstellungen!$B$5+INT((ROW()-9)/24)</f>
        <v>46740</v>
      </c>
      <c r="B18600" s="11" t="n">
        <f aca="false">MOD(ROW()-9,24)</f>
        <v>15</v>
      </c>
      <c r="C18600" s="12"/>
      <c r="D18600" s="13" t="n">
        <f aca="false">IF(B18600&lt;5,Einstellungen!$B$3,Einstellungen!$B$4)</f>
        <v>29.13</v>
      </c>
      <c r="E18600" s="14" t="str">
        <f aca="false">IF(C18600="","",C18600*D18600/100)</f>
        <v/>
      </c>
      <c r="F18600" s="15" t="str">
        <f aca="false">IF(B18600&lt;5,"Go","Standard")</f>
        <v>Standard</v>
      </c>
    </row>
    <row r="18601" customFormat="false" ht="15" hidden="false" customHeight="true" outlineLevel="0" collapsed="false">
      <c r="A18601" s="10" t="n">
        <f aca="false">Einstellungen!$B$5+INT((ROW()-9)/24)</f>
        <v>46740</v>
      </c>
      <c r="B18601" s="11" t="n">
        <f aca="false">MOD(ROW()-9,24)</f>
        <v>16</v>
      </c>
      <c r="C18601" s="12"/>
      <c r="D18601" s="13" t="n">
        <f aca="false">IF(B18601&lt;5,Einstellungen!$B$3,Einstellungen!$B$4)</f>
        <v>29.13</v>
      </c>
      <c r="E18601" s="14" t="str">
        <f aca="false">IF(C18601="","",C18601*D18601/100)</f>
        <v/>
      </c>
      <c r="F18601" s="15" t="str">
        <f aca="false">IF(B18601&lt;5,"Go","Standard")</f>
        <v>Standard</v>
      </c>
    </row>
    <row r="18602" customFormat="false" ht="15" hidden="false" customHeight="true" outlineLevel="0" collapsed="false">
      <c r="A18602" s="10" t="n">
        <f aca="false">Einstellungen!$B$5+INT((ROW()-9)/24)</f>
        <v>46740</v>
      </c>
      <c r="B18602" s="11" t="n">
        <f aca="false">MOD(ROW()-9,24)</f>
        <v>17</v>
      </c>
      <c r="C18602" s="12"/>
      <c r="D18602" s="13" t="n">
        <f aca="false">IF(B18602&lt;5,Einstellungen!$B$3,Einstellungen!$B$4)</f>
        <v>29.13</v>
      </c>
      <c r="E18602" s="14" t="str">
        <f aca="false">IF(C18602="","",C18602*D18602/100)</f>
        <v/>
      </c>
      <c r="F18602" s="15" t="str">
        <f aca="false">IF(B18602&lt;5,"Go","Standard")</f>
        <v>Standard</v>
      </c>
    </row>
    <row r="18603" customFormat="false" ht="15" hidden="false" customHeight="true" outlineLevel="0" collapsed="false">
      <c r="A18603" s="10" t="n">
        <f aca="false">Einstellungen!$B$5+INT((ROW()-9)/24)</f>
        <v>46740</v>
      </c>
      <c r="B18603" s="11" t="n">
        <f aca="false">MOD(ROW()-9,24)</f>
        <v>18</v>
      </c>
      <c r="C18603" s="12"/>
      <c r="D18603" s="13" t="n">
        <f aca="false">IF(B18603&lt;5,Einstellungen!$B$3,Einstellungen!$B$4)</f>
        <v>29.13</v>
      </c>
      <c r="E18603" s="14" t="str">
        <f aca="false">IF(C18603="","",C18603*D18603/100)</f>
        <v/>
      </c>
      <c r="F18603" s="15" t="str">
        <f aca="false">IF(B18603&lt;5,"Go","Standard")</f>
        <v>Standard</v>
      </c>
    </row>
    <row r="18604" customFormat="false" ht="15" hidden="false" customHeight="true" outlineLevel="0" collapsed="false">
      <c r="A18604" s="10" t="n">
        <f aca="false">Einstellungen!$B$5+INT((ROW()-9)/24)</f>
        <v>46740</v>
      </c>
      <c r="B18604" s="11" t="n">
        <f aca="false">MOD(ROW()-9,24)</f>
        <v>19</v>
      </c>
      <c r="C18604" s="12"/>
      <c r="D18604" s="13" t="n">
        <f aca="false">IF(B18604&lt;5,Einstellungen!$B$3,Einstellungen!$B$4)</f>
        <v>29.13</v>
      </c>
      <c r="E18604" s="14" t="str">
        <f aca="false">IF(C18604="","",C18604*D18604/100)</f>
        <v/>
      </c>
      <c r="F18604" s="15" t="str">
        <f aca="false">IF(B18604&lt;5,"Go","Standard")</f>
        <v>Standard</v>
      </c>
    </row>
    <row r="18605" customFormat="false" ht="15" hidden="false" customHeight="true" outlineLevel="0" collapsed="false">
      <c r="A18605" s="10" t="n">
        <f aca="false">Einstellungen!$B$5+INT((ROW()-9)/24)</f>
        <v>46740</v>
      </c>
      <c r="B18605" s="11" t="n">
        <f aca="false">MOD(ROW()-9,24)</f>
        <v>20</v>
      </c>
      <c r="C18605" s="12"/>
      <c r="D18605" s="13" t="n">
        <f aca="false">IF(B18605&lt;5,Einstellungen!$B$3,Einstellungen!$B$4)</f>
        <v>29.13</v>
      </c>
      <c r="E18605" s="14" t="str">
        <f aca="false">IF(C18605="","",C18605*D18605/100)</f>
        <v/>
      </c>
      <c r="F18605" s="15" t="str">
        <f aca="false">IF(B18605&lt;5,"Go","Standard")</f>
        <v>Standard</v>
      </c>
    </row>
    <row r="18606" customFormat="false" ht="15" hidden="false" customHeight="true" outlineLevel="0" collapsed="false">
      <c r="A18606" s="10" t="n">
        <f aca="false">Einstellungen!$B$5+INT((ROW()-9)/24)</f>
        <v>46740</v>
      </c>
      <c r="B18606" s="11" t="n">
        <f aca="false">MOD(ROW()-9,24)</f>
        <v>21</v>
      </c>
      <c r="C18606" s="12"/>
      <c r="D18606" s="13" t="n">
        <f aca="false">IF(B18606&lt;5,Einstellungen!$B$3,Einstellungen!$B$4)</f>
        <v>29.13</v>
      </c>
      <c r="E18606" s="14" t="str">
        <f aca="false">IF(C18606="","",C18606*D18606/100)</f>
        <v/>
      </c>
      <c r="F18606" s="15" t="str">
        <f aca="false">IF(B18606&lt;5,"Go","Standard")</f>
        <v>Standard</v>
      </c>
    </row>
    <row r="18607" customFormat="false" ht="15" hidden="false" customHeight="true" outlineLevel="0" collapsed="false">
      <c r="A18607" s="10" t="n">
        <f aca="false">Einstellungen!$B$5+INT((ROW()-9)/24)</f>
        <v>46740</v>
      </c>
      <c r="B18607" s="11" t="n">
        <f aca="false">MOD(ROW()-9,24)</f>
        <v>22</v>
      </c>
      <c r="C18607" s="12"/>
      <c r="D18607" s="13" t="n">
        <f aca="false">IF(B18607&lt;5,Einstellungen!$B$3,Einstellungen!$B$4)</f>
        <v>29.13</v>
      </c>
      <c r="E18607" s="14" t="str">
        <f aca="false">IF(C18607="","",C18607*D18607/100)</f>
        <v/>
      </c>
      <c r="F18607" s="15" t="str">
        <f aca="false">IF(B18607&lt;5,"Go","Standard")</f>
        <v>Standard</v>
      </c>
    </row>
    <row r="18608" customFormat="false" ht="15" hidden="false" customHeight="true" outlineLevel="0" collapsed="false">
      <c r="A18608" s="10" t="n">
        <f aca="false">Einstellungen!$B$5+INT((ROW()-9)/24)</f>
        <v>46740</v>
      </c>
      <c r="B18608" s="11" t="n">
        <f aca="false">MOD(ROW()-9,24)</f>
        <v>23</v>
      </c>
      <c r="C18608" s="12"/>
      <c r="D18608" s="13" t="n">
        <f aca="false">IF(B18608&lt;5,Einstellungen!$B$3,Einstellungen!$B$4)</f>
        <v>29.13</v>
      </c>
      <c r="E18608" s="14" t="str">
        <f aca="false">IF(C18608="","",C18608*D18608/100)</f>
        <v/>
      </c>
      <c r="F18608" s="15" t="str">
        <f aca="false">IF(B18608&lt;5,"Go","Standard")</f>
        <v>Standard</v>
      </c>
    </row>
    <row r="18609" customFormat="false" ht="15" hidden="false" customHeight="true" outlineLevel="0" collapsed="false">
      <c r="A18609" s="10" t="n">
        <f aca="false">Einstellungen!$B$5+INT((ROW()-9)/24)</f>
        <v>46741</v>
      </c>
      <c r="B18609" s="11" t="n">
        <f aca="false">MOD(ROW()-9,24)</f>
        <v>0</v>
      </c>
      <c r="C18609" s="12"/>
      <c r="D18609" s="13" t="n">
        <f aca="false">IF(B18609&lt;5,Einstellungen!$B$3,Einstellungen!$B$4)</f>
        <v>15.92</v>
      </c>
      <c r="E18609" s="14" t="str">
        <f aca="false">IF(C18609="","",C18609*D18609/100)</f>
        <v/>
      </c>
      <c r="F18609" s="15" t="str">
        <f aca="false">IF(B18609&lt;5,"Go","Standard")</f>
        <v>Go</v>
      </c>
    </row>
    <row r="18610" customFormat="false" ht="15" hidden="false" customHeight="true" outlineLevel="0" collapsed="false">
      <c r="A18610" s="10" t="n">
        <f aca="false">Einstellungen!$B$5+INT((ROW()-9)/24)</f>
        <v>46741</v>
      </c>
      <c r="B18610" s="11" t="n">
        <f aca="false">MOD(ROW()-9,24)</f>
        <v>1</v>
      </c>
      <c r="C18610" s="12"/>
      <c r="D18610" s="13" t="n">
        <f aca="false">IF(B18610&lt;5,Einstellungen!$B$3,Einstellungen!$B$4)</f>
        <v>15.92</v>
      </c>
      <c r="E18610" s="14" t="str">
        <f aca="false">IF(C18610="","",C18610*D18610/100)</f>
        <v/>
      </c>
      <c r="F18610" s="15" t="str">
        <f aca="false">IF(B18610&lt;5,"Go","Standard")</f>
        <v>Go</v>
      </c>
    </row>
    <row r="18611" customFormat="false" ht="15" hidden="false" customHeight="true" outlineLevel="0" collapsed="false">
      <c r="A18611" s="10" t="n">
        <f aca="false">Einstellungen!$B$5+INT((ROW()-9)/24)</f>
        <v>46741</v>
      </c>
      <c r="B18611" s="11" t="n">
        <f aca="false">MOD(ROW()-9,24)</f>
        <v>2</v>
      </c>
      <c r="C18611" s="12"/>
      <c r="D18611" s="13" t="n">
        <f aca="false">IF(B18611&lt;5,Einstellungen!$B$3,Einstellungen!$B$4)</f>
        <v>15.92</v>
      </c>
      <c r="E18611" s="14" t="str">
        <f aca="false">IF(C18611="","",C18611*D18611/100)</f>
        <v/>
      </c>
      <c r="F18611" s="15" t="str">
        <f aca="false">IF(B18611&lt;5,"Go","Standard")</f>
        <v>Go</v>
      </c>
    </row>
    <row r="18612" customFormat="false" ht="15" hidden="false" customHeight="true" outlineLevel="0" collapsed="false">
      <c r="A18612" s="10" t="n">
        <f aca="false">Einstellungen!$B$5+INT((ROW()-9)/24)</f>
        <v>46741</v>
      </c>
      <c r="B18612" s="11" t="n">
        <f aca="false">MOD(ROW()-9,24)</f>
        <v>3</v>
      </c>
      <c r="C18612" s="12"/>
      <c r="D18612" s="13" t="n">
        <f aca="false">IF(B18612&lt;5,Einstellungen!$B$3,Einstellungen!$B$4)</f>
        <v>15.92</v>
      </c>
      <c r="E18612" s="14" t="str">
        <f aca="false">IF(C18612="","",C18612*D18612/100)</f>
        <v/>
      </c>
      <c r="F18612" s="15" t="str">
        <f aca="false">IF(B18612&lt;5,"Go","Standard")</f>
        <v>Go</v>
      </c>
    </row>
    <row r="18613" customFormat="false" ht="15" hidden="false" customHeight="true" outlineLevel="0" collapsed="false">
      <c r="A18613" s="10" t="n">
        <f aca="false">Einstellungen!$B$5+INT((ROW()-9)/24)</f>
        <v>46741</v>
      </c>
      <c r="B18613" s="11" t="n">
        <f aca="false">MOD(ROW()-9,24)</f>
        <v>4</v>
      </c>
      <c r="C18613" s="12"/>
      <c r="D18613" s="13" t="n">
        <f aca="false">IF(B18613&lt;5,Einstellungen!$B$3,Einstellungen!$B$4)</f>
        <v>15.92</v>
      </c>
      <c r="E18613" s="14" t="str">
        <f aca="false">IF(C18613="","",C18613*D18613/100)</f>
        <v/>
      </c>
      <c r="F18613" s="15" t="str">
        <f aca="false">IF(B18613&lt;5,"Go","Standard")</f>
        <v>Go</v>
      </c>
    </row>
    <row r="18614" customFormat="false" ht="15" hidden="false" customHeight="true" outlineLevel="0" collapsed="false">
      <c r="A18614" s="10" t="n">
        <f aca="false">Einstellungen!$B$5+INT((ROW()-9)/24)</f>
        <v>46741</v>
      </c>
      <c r="B18614" s="11" t="n">
        <f aca="false">MOD(ROW()-9,24)</f>
        <v>5</v>
      </c>
      <c r="C18614" s="12"/>
      <c r="D18614" s="13" t="n">
        <f aca="false">IF(B18614&lt;5,Einstellungen!$B$3,Einstellungen!$B$4)</f>
        <v>29.13</v>
      </c>
      <c r="E18614" s="14" t="str">
        <f aca="false">IF(C18614="","",C18614*D18614/100)</f>
        <v/>
      </c>
      <c r="F18614" s="15" t="str">
        <f aca="false">IF(B18614&lt;5,"Go","Standard")</f>
        <v>Standard</v>
      </c>
    </row>
    <row r="18615" customFormat="false" ht="15" hidden="false" customHeight="true" outlineLevel="0" collapsed="false">
      <c r="A18615" s="10" t="n">
        <f aca="false">Einstellungen!$B$5+INT((ROW()-9)/24)</f>
        <v>46741</v>
      </c>
      <c r="B18615" s="11" t="n">
        <f aca="false">MOD(ROW()-9,24)</f>
        <v>6</v>
      </c>
      <c r="C18615" s="12"/>
      <c r="D18615" s="13" t="n">
        <f aca="false">IF(B18615&lt;5,Einstellungen!$B$3,Einstellungen!$B$4)</f>
        <v>29.13</v>
      </c>
      <c r="E18615" s="14" t="str">
        <f aca="false">IF(C18615="","",C18615*D18615/100)</f>
        <v/>
      </c>
      <c r="F18615" s="15" t="str">
        <f aca="false">IF(B18615&lt;5,"Go","Standard")</f>
        <v>Standard</v>
      </c>
    </row>
    <row r="18616" customFormat="false" ht="15" hidden="false" customHeight="true" outlineLevel="0" collapsed="false">
      <c r="A18616" s="10" t="n">
        <f aca="false">Einstellungen!$B$5+INT((ROW()-9)/24)</f>
        <v>46741</v>
      </c>
      <c r="B18616" s="11" t="n">
        <f aca="false">MOD(ROW()-9,24)</f>
        <v>7</v>
      </c>
      <c r="C18616" s="12"/>
      <c r="D18616" s="13" t="n">
        <f aca="false">IF(B18616&lt;5,Einstellungen!$B$3,Einstellungen!$B$4)</f>
        <v>29.13</v>
      </c>
      <c r="E18616" s="14" t="str">
        <f aca="false">IF(C18616="","",C18616*D18616/100)</f>
        <v/>
      </c>
      <c r="F18616" s="15" t="str">
        <f aca="false">IF(B18616&lt;5,"Go","Standard")</f>
        <v>Standard</v>
      </c>
    </row>
    <row r="18617" customFormat="false" ht="15" hidden="false" customHeight="true" outlineLevel="0" collapsed="false">
      <c r="A18617" s="10" t="n">
        <f aca="false">Einstellungen!$B$5+INT((ROW()-9)/24)</f>
        <v>46741</v>
      </c>
      <c r="B18617" s="11" t="n">
        <f aca="false">MOD(ROW()-9,24)</f>
        <v>8</v>
      </c>
      <c r="C18617" s="12"/>
      <c r="D18617" s="13" t="n">
        <f aca="false">IF(B18617&lt;5,Einstellungen!$B$3,Einstellungen!$B$4)</f>
        <v>29.13</v>
      </c>
      <c r="E18617" s="14" t="str">
        <f aca="false">IF(C18617="","",C18617*D18617/100)</f>
        <v/>
      </c>
      <c r="F18617" s="15" t="str">
        <f aca="false">IF(B18617&lt;5,"Go","Standard")</f>
        <v>Standard</v>
      </c>
    </row>
    <row r="18618" customFormat="false" ht="15" hidden="false" customHeight="true" outlineLevel="0" collapsed="false">
      <c r="A18618" s="10" t="n">
        <f aca="false">Einstellungen!$B$5+INT((ROW()-9)/24)</f>
        <v>46741</v>
      </c>
      <c r="B18618" s="11" t="n">
        <f aca="false">MOD(ROW()-9,24)</f>
        <v>9</v>
      </c>
      <c r="C18618" s="12"/>
      <c r="D18618" s="13" t="n">
        <f aca="false">IF(B18618&lt;5,Einstellungen!$B$3,Einstellungen!$B$4)</f>
        <v>29.13</v>
      </c>
      <c r="E18618" s="14" t="str">
        <f aca="false">IF(C18618="","",C18618*D18618/100)</f>
        <v/>
      </c>
      <c r="F18618" s="15" t="str">
        <f aca="false">IF(B18618&lt;5,"Go","Standard")</f>
        <v>Standard</v>
      </c>
    </row>
    <row r="18619" customFormat="false" ht="15" hidden="false" customHeight="true" outlineLevel="0" collapsed="false">
      <c r="A18619" s="10" t="n">
        <f aca="false">Einstellungen!$B$5+INT((ROW()-9)/24)</f>
        <v>46741</v>
      </c>
      <c r="B18619" s="11" t="n">
        <f aca="false">MOD(ROW()-9,24)</f>
        <v>10</v>
      </c>
      <c r="C18619" s="12"/>
      <c r="D18619" s="13" t="n">
        <f aca="false">IF(B18619&lt;5,Einstellungen!$B$3,Einstellungen!$B$4)</f>
        <v>29.13</v>
      </c>
      <c r="E18619" s="14" t="str">
        <f aca="false">IF(C18619="","",C18619*D18619/100)</f>
        <v/>
      </c>
      <c r="F18619" s="15" t="str">
        <f aca="false">IF(B18619&lt;5,"Go","Standard")</f>
        <v>Standard</v>
      </c>
    </row>
    <row r="18620" customFormat="false" ht="15" hidden="false" customHeight="true" outlineLevel="0" collapsed="false">
      <c r="A18620" s="10" t="n">
        <f aca="false">Einstellungen!$B$5+INT((ROW()-9)/24)</f>
        <v>46741</v>
      </c>
      <c r="B18620" s="11" t="n">
        <f aca="false">MOD(ROW()-9,24)</f>
        <v>11</v>
      </c>
      <c r="C18620" s="12"/>
      <c r="D18620" s="13" t="n">
        <f aca="false">IF(B18620&lt;5,Einstellungen!$B$3,Einstellungen!$B$4)</f>
        <v>29.13</v>
      </c>
      <c r="E18620" s="14" t="str">
        <f aca="false">IF(C18620="","",C18620*D18620/100)</f>
        <v/>
      </c>
      <c r="F18620" s="15" t="str">
        <f aca="false">IF(B18620&lt;5,"Go","Standard")</f>
        <v>Standard</v>
      </c>
    </row>
    <row r="18621" customFormat="false" ht="15" hidden="false" customHeight="true" outlineLevel="0" collapsed="false">
      <c r="A18621" s="10" t="n">
        <f aca="false">Einstellungen!$B$5+INT((ROW()-9)/24)</f>
        <v>46741</v>
      </c>
      <c r="B18621" s="11" t="n">
        <f aca="false">MOD(ROW()-9,24)</f>
        <v>12</v>
      </c>
      <c r="C18621" s="12"/>
      <c r="D18621" s="13" t="n">
        <f aca="false">IF(B18621&lt;5,Einstellungen!$B$3,Einstellungen!$B$4)</f>
        <v>29.13</v>
      </c>
      <c r="E18621" s="14" t="str">
        <f aca="false">IF(C18621="","",C18621*D18621/100)</f>
        <v/>
      </c>
      <c r="F18621" s="15" t="str">
        <f aca="false">IF(B18621&lt;5,"Go","Standard")</f>
        <v>Standard</v>
      </c>
    </row>
    <row r="18622" customFormat="false" ht="15" hidden="false" customHeight="true" outlineLevel="0" collapsed="false">
      <c r="A18622" s="10" t="n">
        <f aca="false">Einstellungen!$B$5+INT((ROW()-9)/24)</f>
        <v>46741</v>
      </c>
      <c r="B18622" s="11" t="n">
        <f aca="false">MOD(ROW()-9,24)</f>
        <v>13</v>
      </c>
      <c r="C18622" s="12"/>
      <c r="D18622" s="13" t="n">
        <f aca="false">IF(B18622&lt;5,Einstellungen!$B$3,Einstellungen!$B$4)</f>
        <v>29.13</v>
      </c>
      <c r="E18622" s="14" t="str">
        <f aca="false">IF(C18622="","",C18622*D18622/100)</f>
        <v/>
      </c>
      <c r="F18622" s="15" t="str">
        <f aca="false">IF(B18622&lt;5,"Go","Standard")</f>
        <v>Standard</v>
      </c>
    </row>
    <row r="18623" customFormat="false" ht="15" hidden="false" customHeight="true" outlineLevel="0" collapsed="false">
      <c r="A18623" s="10" t="n">
        <f aca="false">Einstellungen!$B$5+INT((ROW()-9)/24)</f>
        <v>46741</v>
      </c>
      <c r="B18623" s="11" t="n">
        <f aca="false">MOD(ROW()-9,24)</f>
        <v>14</v>
      </c>
      <c r="C18623" s="12"/>
      <c r="D18623" s="13" t="n">
        <f aca="false">IF(B18623&lt;5,Einstellungen!$B$3,Einstellungen!$B$4)</f>
        <v>29.13</v>
      </c>
      <c r="E18623" s="14" t="str">
        <f aca="false">IF(C18623="","",C18623*D18623/100)</f>
        <v/>
      </c>
      <c r="F18623" s="15" t="str">
        <f aca="false">IF(B18623&lt;5,"Go","Standard")</f>
        <v>Standard</v>
      </c>
    </row>
    <row r="18624" customFormat="false" ht="15" hidden="false" customHeight="true" outlineLevel="0" collapsed="false">
      <c r="A18624" s="10" t="n">
        <f aca="false">Einstellungen!$B$5+INT((ROW()-9)/24)</f>
        <v>46741</v>
      </c>
      <c r="B18624" s="11" t="n">
        <f aca="false">MOD(ROW()-9,24)</f>
        <v>15</v>
      </c>
      <c r="C18624" s="12"/>
      <c r="D18624" s="13" t="n">
        <f aca="false">IF(B18624&lt;5,Einstellungen!$B$3,Einstellungen!$B$4)</f>
        <v>29.13</v>
      </c>
      <c r="E18624" s="14" t="str">
        <f aca="false">IF(C18624="","",C18624*D18624/100)</f>
        <v/>
      </c>
      <c r="F18624" s="15" t="str">
        <f aca="false">IF(B18624&lt;5,"Go","Standard")</f>
        <v>Standard</v>
      </c>
    </row>
    <row r="18625" customFormat="false" ht="15" hidden="false" customHeight="true" outlineLevel="0" collapsed="false">
      <c r="A18625" s="10" t="n">
        <f aca="false">Einstellungen!$B$5+INT((ROW()-9)/24)</f>
        <v>46741</v>
      </c>
      <c r="B18625" s="11" t="n">
        <f aca="false">MOD(ROW()-9,24)</f>
        <v>16</v>
      </c>
      <c r="C18625" s="12"/>
      <c r="D18625" s="13" t="n">
        <f aca="false">IF(B18625&lt;5,Einstellungen!$B$3,Einstellungen!$B$4)</f>
        <v>29.13</v>
      </c>
      <c r="E18625" s="14" t="str">
        <f aca="false">IF(C18625="","",C18625*D18625/100)</f>
        <v/>
      </c>
      <c r="F18625" s="15" t="str">
        <f aca="false">IF(B18625&lt;5,"Go","Standard")</f>
        <v>Standard</v>
      </c>
    </row>
    <row r="18626" customFormat="false" ht="15" hidden="false" customHeight="true" outlineLevel="0" collapsed="false">
      <c r="A18626" s="10" t="n">
        <f aca="false">Einstellungen!$B$5+INT((ROW()-9)/24)</f>
        <v>46741</v>
      </c>
      <c r="B18626" s="11" t="n">
        <f aca="false">MOD(ROW()-9,24)</f>
        <v>17</v>
      </c>
      <c r="C18626" s="12"/>
      <c r="D18626" s="13" t="n">
        <f aca="false">IF(B18626&lt;5,Einstellungen!$B$3,Einstellungen!$B$4)</f>
        <v>29.13</v>
      </c>
      <c r="E18626" s="14" t="str">
        <f aca="false">IF(C18626="","",C18626*D18626/100)</f>
        <v/>
      </c>
      <c r="F18626" s="15" t="str">
        <f aca="false">IF(B18626&lt;5,"Go","Standard")</f>
        <v>Standard</v>
      </c>
    </row>
    <row r="18627" customFormat="false" ht="15" hidden="false" customHeight="true" outlineLevel="0" collapsed="false">
      <c r="A18627" s="10" t="n">
        <f aca="false">Einstellungen!$B$5+INT((ROW()-9)/24)</f>
        <v>46741</v>
      </c>
      <c r="B18627" s="11" t="n">
        <f aca="false">MOD(ROW()-9,24)</f>
        <v>18</v>
      </c>
      <c r="C18627" s="12"/>
      <c r="D18627" s="13" t="n">
        <f aca="false">IF(B18627&lt;5,Einstellungen!$B$3,Einstellungen!$B$4)</f>
        <v>29.13</v>
      </c>
      <c r="E18627" s="14" t="str">
        <f aca="false">IF(C18627="","",C18627*D18627/100)</f>
        <v/>
      </c>
      <c r="F18627" s="15" t="str">
        <f aca="false">IF(B18627&lt;5,"Go","Standard")</f>
        <v>Standard</v>
      </c>
    </row>
    <row r="18628" customFormat="false" ht="15" hidden="false" customHeight="true" outlineLevel="0" collapsed="false">
      <c r="A18628" s="10" t="n">
        <f aca="false">Einstellungen!$B$5+INT((ROW()-9)/24)</f>
        <v>46741</v>
      </c>
      <c r="B18628" s="11" t="n">
        <f aca="false">MOD(ROW()-9,24)</f>
        <v>19</v>
      </c>
      <c r="C18628" s="12"/>
      <c r="D18628" s="13" t="n">
        <f aca="false">IF(B18628&lt;5,Einstellungen!$B$3,Einstellungen!$B$4)</f>
        <v>29.13</v>
      </c>
      <c r="E18628" s="14" t="str">
        <f aca="false">IF(C18628="","",C18628*D18628/100)</f>
        <v/>
      </c>
      <c r="F18628" s="15" t="str">
        <f aca="false">IF(B18628&lt;5,"Go","Standard")</f>
        <v>Standard</v>
      </c>
    </row>
    <row r="18629" customFormat="false" ht="15" hidden="false" customHeight="true" outlineLevel="0" collapsed="false">
      <c r="A18629" s="10" t="n">
        <f aca="false">Einstellungen!$B$5+INT((ROW()-9)/24)</f>
        <v>46741</v>
      </c>
      <c r="B18629" s="11" t="n">
        <f aca="false">MOD(ROW()-9,24)</f>
        <v>20</v>
      </c>
      <c r="C18629" s="12"/>
      <c r="D18629" s="13" t="n">
        <f aca="false">IF(B18629&lt;5,Einstellungen!$B$3,Einstellungen!$B$4)</f>
        <v>29.13</v>
      </c>
      <c r="E18629" s="14" t="str">
        <f aca="false">IF(C18629="","",C18629*D18629/100)</f>
        <v/>
      </c>
      <c r="F18629" s="15" t="str">
        <f aca="false">IF(B18629&lt;5,"Go","Standard")</f>
        <v>Standard</v>
      </c>
    </row>
    <row r="18630" customFormat="false" ht="15" hidden="false" customHeight="true" outlineLevel="0" collapsed="false">
      <c r="A18630" s="10" t="n">
        <f aca="false">Einstellungen!$B$5+INT((ROW()-9)/24)</f>
        <v>46741</v>
      </c>
      <c r="B18630" s="11" t="n">
        <f aca="false">MOD(ROW()-9,24)</f>
        <v>21</v>
      </c>
      <c r="C18630" s="12"/>
      <c r="D18630" s="13" t="n">
        <f aca="false">IF(B18630&lt;5,Einstellungen!$B$3,Einstellungen!$B$4)</f>
        <v>29.13</v>
      </c>
      <c r="E18630" s="14" t="str">
        <f aca="false">IF(C18630="","",C18630*D18630/100)</f>
        <v/>
      </c>
      <c r="F18630" s="15" t="str">
        <f aca="false">IF(B18630&lt;5,"Go","Standard")</f>
        <v>Standard</v>
      </c>
    </row>
    <row r="18631" customFormat="false" ht="15" hidden="false" customHeight="true" outlineLevel="0" collapsed="false">
      <c r="A18631" s="10" t="n">
        <f aca="false">Einstellungen!$B$5+INT((ROW()-9)/24)</f>
        <v>46741</v>
      </c>
      <c r="B18631" s="11" t="n">
        <f aca="false">MOD(ROW()-9,24)</f>
        <v>22</v>
      </c>
      <c r="C18631" s="12"/>
      <c r="D18631" s="13" t="n">
        <f aca="false">IF(B18631&lt;5,Einstellungen!$B$3,Einstellungen!$B$4)</f>
        <v>29.13</v>
      </c>
      <c r="E18631" s="14" t="str">
        <f aca="false">IF(C18631="","",C18631*D18631/100)</f>
        <v/>
      </c>
      <c r="F18631" s="15" t="str">
        <f aca="false">IF(B18631&lt;5,"Go","Standard")</f>
        <v>Standard</v>
      </c>
    </row>
    <row r="18632" customFormat="false" ht="15" hidden="false" customHeight="true" outlineLevel="0" collapsed="false">
      <c r="A18632" s="10" t="n">
        <f aca="false">Einstellungen!$B$5+INT((ROW()-9)/24)</f>
        <v>46741</v>
      </c>
      <c r="B18632" s="11" t="n">
        <f aca="false">MOD(ROW()-9,24)</f>
        <v>23</v>
      </c>
      <c r="C18632" s="12"/>
      <c r="D18632" s="13" t="n">
        <f aca="false">IF(B18632&lt;5,Einstellungen!$B$3,Einstellungen!$B$4)</f>
        <v>29.13</v>
      </c>
      <c r="E18632" s="14" t="str">
        <f aca="false">IF(C18632="","",C18632*D18632/100)</f>
        <v/>
      </c>
      <c r="F18632" s="15" t="str">
        <f aca="false">IF(B18632&lt;5,"Go","Standard")</f>
        <v>Standard</v>
      </c>
    </row>
    <row r="18633" customFormat="false" ht="15" hidden="false" customHeight="true" outlineLevel="0" collapsed="false">
      <c r="A18633" s="10" t="n">
        <f aca="false">Einstellungen!$B$5+INT((ROW()-9)/24)</f>
        <v>46742</v>
      </c>
      <c r="B18633" s="11" t="n">
        <f aca="false">MOD(ROW()-9,24)</f>
        <v>0</v>
      </c>
      <c r="C18633" s="12"/>
      <c r="D18633" s="13" t="n">
        <f aca="false">IF(B18633&lt;5,Einstellungen!$B$3,Einstellungen!$B$4)</f>
        <v>15.92</v>
      </c>
      <c r="E18633" s="14" t="str">
        <f aca="false">IF(C18633="","",C18633*D18633/100)</f>
        <v/>
      </c>
      <c r="F18633" s="15" t="str">
        <f aca="false">IF(B18633&lt;5,"Go","Standard")</f>
        <v>Go</v>
      </c>
    </row>
    <row r="18634" customFormat="false" ht="15" hidden="false" customHeight="true" outlineLevel="0" collapsed="false">
      <c r="A18634" s="10" t="n">
        <f aca="false">Einstellungen!$B$5+INT((ROW()-9)/24)</f>
        <v>46742</v>
      </c>
      <c r="B18634" s="11" t="n">
        <f aca="false">MOD(ROW()-9,24)</f>
        <v>1</v>
      </c>
      <c r="C18634" s="12"/>
      <c r="D18634" s="13" t="n">
        <f aca="false">IF(B18634&lt;5,Einstellungen!$B$3,Einstellungen!$B$4)</f>
        <v>15.92</v>
      </c>
      <c r="E18634" s="14" t="str">
        <f aca="false">IF(C18634="","",C18634*D18634/100)</f>
        <v/>
      </c>
      <c r="F18634" s="15" t="str">
        <f aca="false">IF(B18634&lt;5,"Go","Standard")</f>
        <v>Go</v>
      </c>
    </row>
    <row r="18635" customFormat="false" ht="15" hidden="false" customHeight="true" outlineLevel="0" collapsed="false">
      <c r="A18635" s="10" t="n">
        <f aca="false">Einstellungen!$B$5+INT((ROW()-9)/24)</f>
        <v>46742</v>
      </c>
      <c r="B18635" s="11" t="n">
        <f aca="false">MOD(ROW()-9,24)</f>
        <v>2</v>
      </c>
      <c r="C18635" s="12"/>
      <c r="D18635" s="13" t="n">
        <f aca="false">IF(B18635&lt;5,Einstellungen!$B$3,Einstellungen!$B$4)</f>
        <v>15.92</v>
      </c>
      <c r="E18635" s="14" t="str">
        <f aca="false">IF(C18635="","",C18635*D18635/100)</f>
        <v/>
      </c>
      <c r="F18635" s="15" t="str">
        <f aca="false">IF(B18635&lt;5,"Go","Standard")</f>
        <v>Go</v>
      </c>
    </row>
    <row r="18636" customFormat="false" ht="15" hidden="false" customHeight="true" outlineLevel="0" collapsed="false">
      <c r="A18636" s="10" t="n">
        <f aca="false">Einstellungen!$B$5+INT((ROW()-9)/24)</f>
        <v>46742</v>
      </c>
      <c r="B18636" s="11" t="n">
        <f aca="false">MOD(ROW()-9,24)</f>
        <v>3</v>
      </c>
      <c r="C18636" s="12"/>
      <c r="D18636" s="13" t="n">
        <f aca="false">IF(B18636&lt;5,Einstellungen!$B$3,Einstellungen!$B$4)</f>
        <v>15.92</v>
      </c>
      <c r="E18636" s="14" t="str">
        <f aca="false">IF(C18636="","",C18636*D18636/100)</f>
        <v/>
      </c>
      <c r="F18636" s="15" t="str">
        <f aca="false">IF(B18636&lt;5,"Go","Standard")</f>
        <v>Go</v>
      </c>
    </row>
    <row r="18637" customFormat="false" ht="15" hidden="false" customHeight="true" outlineLevel="0" collapsed="false">
      <c r="A18637" s="10" t="n">
        <f aca="false">Einstellungen!$B$5+INT((ROW()-9)/24)</f>
        <v>46742</v>
      </c>
      <c r="B18637" s="11" t="n">
        <f aca="false">MOD(ROW()-9,24)</f>
        <v>4</v>
      </c>
      <c r="C18637" s="12"/>
      <c r="D18637" s="13" t="n">
        <f aca="false">IF(B18637&lt;5,Einstellungen!$B$3,Einstellungen!$B$4)</f>
        <v>15.92</v>
      </c>
      <c r="E18637" s="14" t="str">
        <f aca="false">IF(C18637="","",C18637*D18637/100)</f>
        <v/>
      </c>
      <c r="F18637" s="15" t="str">
        <f aca="false">IF(B18637&lt;5,"Go","Standard")</f>
        <v>Go</v>
      </c>
    </row>
    <row r="18638" customFormat="false" ht="15" hidden="false" customHeight="true" outlineLevel="0" collapsed="false">
      <c r="A18638" s="10" t="n">
        <f aca="false">Einstellungen!$B$5+INT((ROW()-9)/24)</f>
        <v>46742</v>
      </c>
      <c r="B18638" s="11" t="n">
        <f aca="false">MOD(ROW()-9,24)</f>
        <v>5</v>
      </c>
      <c r="C18638" s="12"/>
      <c r="D18638" s="13" t="n">
        <f aca="false">IF(B18638&lt;5,Einstellungen!$B$3,Einstellungen!$B$4)</f>
        <v>29.13</v>
      </c>
      <c r="E18638" s="14" t="str">
        <f aca="false">IF(C18638="","",C18638*D18638/100)</f>
        <v/>
      </c>
      <c r="F18638" s="15" t="str">
        <f aca="false">IF(B18638&lt;5,"Go","Standard")</f>
        <v>Standard</v>
      </c>
    </row>
    <row r="18639" customFormat="false" ht="15" hidden="false" customHeight="true" outlineLevel="0" collapsed="false">
      <c r="A18639" s="10" t="n">
        <f aca="false">Einstellungen!$B$5+INT((ROW()-9)/24)</f>
        <v>46742</v>
      </c>
      <c r="B18639" s="11" t="n">
        <f aca="false">MOD(ROW()-9,24)</f>
        <v>6</v>
      </c>
      <c r="C18639" s="12"/>
      <c r="D18639" s="13" t="n">
        <f aca="false">IF(B18639&lt;5,Einstellungen!$B$3,Einstellungen!$B$4)</f>
        <v>29.13</v>
      </c>
      <c r="E18639" s="14" t="str">
        <f aca="false">IF(C18639="","",C18639*D18639/100)</f>
        <v/>
      </c>
      <c r="F18639" s="15" t="str">
        <f aca="false">IF(B18639&lt;5,"Go","Standard")</f>
        <v>Standard</v>
      </c>
    </row>
    <row r="18640" customFormat="false" ht="15" hidden="false" customHeight="true" outlineLevel="0" collapsed="false">
      <c r="A18640" s="10" t="n">
        <f aca="false">Einstellungen!$B$5+INT((ROW()-9)/24)</f>
        <v>46742</v>
      </c>
      <c r="B18640" s="11" t="n">
        <f aca="false">MOD(ROW()-9,24)</f>
        <v>7</v>
      </c>
      <c r="C18640" s="12"/>
      <c r="D18640" s="13" t="n">
        <f aca="false">IF(B18640&lt;5,Einstellungen!$B$3,Einstellungen!$B$4)</f>
        <v>29.13</v>
      </c>
      <c r="E18640" s="14" t="str">
        <f aca="false">IF(C18640="","",C18640*D18640/100)</f>
        <v/>
      </c>
      <c r="F18640" s="15" t="str">
        <f aca="false">IF(B18640&lt;5,"Go","Standard")</f>
        <v>Standard</v>
      </c>
    </row>
    <row r="18641" customFormat="false" ht="15" hidden="false" customHeight="true" outlineLevel="0" collapsed="false">
      <c r="A18641" s="10" t="n">
        <f aca="false">Einstellungen!$B$5+INT((ROW()-9)/24)</f>
        <v>46742</v>
      </c>
      <c r="B18641" s="11" t="n">
        <f aca="false">MOD(ROW()-9,24)</f>
        <v>8</v>
      </c>
      <c r="C18641" s="12"/>
      <c r="D18641" s="13" t="n">
        <f aca="false">IF(B18641&lt;5,Einstellungen!$B$3,Einstellungen!$B$4)</f>
        <v>29.13</v>
      </c>
      <c r="E18641" s="14" t="str">
        <f aca="false">IF(C18641="","",C18641*D18641/100)</f>
        <v/>
      </c>
      <c r="F18641" s="15" t="str">
        <f aca="false">IF(B18641&lt;5,"Go","Standard")</f>
        <v>Standard</v>
      </c>
    </row>
    <row r="18642" customFormat="false" ht="15" hidden="false" customHeight="true" outlineLevel="0" collapsed="false">
      <c r="A18642" s="10" t="n">
        <f aca="false">Einstellungen!$B$5+INT((ROW()-9)/24)</f>
        <v>46742</v>
      </c>
      <c r="B18642" s="11" t="n">
        <f aca="false">MOD(ROW()-9,24)</f>
        <v>9</v>
      </c>
      <c r="C18642" s="12"/>
      <c r="D18642" s="13" t="n">
        <f aca="false">IF(B18642&lt;5,Einstellungen!$B$3,Einstellungen!$B$4)</f>
        <v>29.13</v>
      </c>
      <c r="E18642" s="14" t="str">
        <f aca="false">IF(C18642="","",C18642*D18642/100)</f>
        <v/>
      </c>
      <c r="F18642" s="15" t="str">
        <f aca="false">IF(B18642&lt;5,"Go","Standard")</f>
        <v>Standard</v>
      </c>
    </row>
    <row r="18643" customFormat="false" ht="15" hidden="false" customHeight="true" outlineLevel="0" collapsed="false">
      <c r="A18643" s="10" t="n">
        <f aca="false">Einstellungen!$B$5+INT((ROW()-9)/24)</f>
        <v>46742</v>
      </c>
      <c r="B18643" s="11" t="n">
        <f aca="false">MOD(ROW()-9,24)</f>
        <v>10</v>
      </c>
      <c r="C18643" s="12"/>
      <c r="D18643" s="13" t="n">
        <f aca="false">IF(B18643&lt;5,Einstellungen!$B$3,Einstellungen!$B$4)</f>
        <v>29.13</v>
      </c>
      <c r="E18643" s="14" t="str">
        <f aca="false">IF(C18643="","",C18643*D18643/100)</f>
        <v/>
      </c>
      <c r="F18643" s="15" t="str">
        <f aca="false">IF(B18643&lt;5,"Go","Standard")</f>
        <v>Standard</v>
      </c>
    </row>
    <row r="18644" customFormat="false" ht="15" hidden="false" customHeight="true" outlineLevel="0" collapsed="false">
      <c r="A18644" s="10" t="n">
        <f aca="false">Einstellungen!$B$5+INT((ROW()-9)/24)</f>
        <v>46742</v>
      </c>
      <c r="B18644" s="11" t="n">
        <f aca="false">MOD(ROW()-9,24)</f>
        <v>11</v>
      </c>
      <c r="C18644" s="12"/>
      <c r="D18644" s="13" t="n">
        <f aca="false">IF(B18644&lt;5,Einstellungen!$B$3,Einstellungen!$B$4)</f>
        <v>29.13</v>
      </c>
      <c r="E18644" s="14" t="str">
        <f aca="false">IF(C18644="","",C18644*D18644/100)</f>
        <v/>
      </c>
      <c r="F18644" s="15" t="str">
        <f aca="false">IF(B18644&lt;5,"Go","Standard")</f>
        <v>Standard</v>
      </c>
    </row>
    <row r="18645" customFormat="false" ht="15" hidden="false" customHeight="true" outlineLevel="0" collapsed="false">
      <c r="A18645" s="10" t="n">
        <f aca="false">Einstellungen!$B$5+INT((ROW()-9)/24)</f>
        <v>46742</v>
      </c>
      <c r="B18645" s="11" t="n">
        <f aca="false">MOD(ROW()-9,24)</f>
        <v>12</v>
      </c>
      <c r="C18645" s="12"/>
      <c r="D18645" s="13" t="n">
        <f aca="false">IF(B18645&lt;5,Einstellungen!$B$3,Einstellungen!$B$4)</f>
        <v>29.13</v>
      </c>
      <c r="E18645" s="14" t="str">
        <f aca="false">IF(C18645="","",C18645*D18645/100)</f>
        <v/>
      </c>
      <c r="F18645" s="15" t="str">
        <f aca="false">IF(B18645&lt;5,"Go","Standard")</f>
        <v>Standard</v>
      </c>
    </row>
    <row r="18646" customFormat="false" ht="15" hidden="false" customHeight="true" outlineLevel="0" collapsed="false">
      <c r="A18646" s="10" t="n">
        <f aca="false">Einstellungen!$B$5+INT((ROW()-9)/24)</f>
        <v>46742</v>
      </c>
      <c r="B18646" s="11" t="n">
        <f aca="false">MOD(ROW()-9,24)</f>
        <v>13</v>
      </c>
      <c r="C18646" s="12"/>
      <c r="D18646" s="13" t="n">
        <f aca="false">IF(B18646&lt;5,Einstellungen!$B$3,Einstellungen!$B$4)</f>
        <v>29.13</v>
      </c>
      <c r="E18646" s="14" t="str">
        <f aca="false">IF(C18646="","",C18646*D18646/100)</f>
        <v/>
      </c>
      <c r="F18646" s="15" t="str">
        <f aca="false">IF(B18646&lt;5,"Go","Standard")</f>
        <v>Standard</v>
      </c>
    </row>
    <row r="18647" customFormat="false" ht="15" hidden="false" customHeight="true" outlineLevel="0" collapsed="false">
      <c r="A18647" s="10" t="n">
        <f aca="false">Einstellungen!$B$5+INT((ROW()-9)/24)</f>
        <v>46742</v>
      </c>
      <c r="B18647" s="11" t="n">
        <f aca="false">MOD(ROW()-9,24)</f>
        <v>14</v>
      </c>
      <c r="C18647" s="12"/>
      <c r="D18647" s="13" t="n">
        <f aca="false">IF(B18647&lt;5,Einstellungen!$B$3,Einstellungen!$B$4)</f>
        <v>29.13</v>
      </c>
      <c r="E18647" s="14" t="str">
        <f aca="false">IF(C18647="","",C18647*D18647/100)</f>
        <v/>
      </c>
      <c r="F18647" s="15" t="str">
        <f aca="false">IF(B18647&lt;5,"Go","Standard")</f>
        <v>Standard</v>
      </c>
    </row>
    <row r="18648" customFormat="false" ht="15" hidden="false" customHeight="true" outlineLevel="0" collapsed="false">
      <c r="A18648" s="10" t="n">
        <f aca="false">Einstellungen!$B$5+INT((ROW()-9)/24)</f>
        <v>46742</v>
      </c>
      <c r="B18648" s="11" t="n">
        <f aca="false">MOD(ROW()-9,24)</f>
        <v>15</v>
      </c>
      <c r="C18648" s="12"/>
      <c r="D18648" s="13" t="n">
        <f aca="false">IF(B18648&lt;5,Einstellungen!$B$3,Einstellungen!$B$4)</f>
        <v>29.13</v>
      </c>
      <c r="E18648" s="14" t="str">
        <f aca="false">IF(C18648="","",C18648*D18648/100)</f>
        <v/>
      </c>
      <c r="F18648" s="15" t="str">
        <f aca="false">IF(B18648&lt;5,"Go","Standard")</f>
        <v>Standard</v>
      </c>
    </row>
    <row r="18649" customFormat="false" ht="15" hidden="false" customHeight="true" outlineLevel="0" collapsed="false">
      <c r="A18649" s="10" t="n">
        <f aca="false">Einstellungen!$B$5+INT((ROW()-9)/24)</f>
        <v>46742</v>
      </c>
      <c r="B18649" s="11" t="n">
        <f aca="false">MOD(ROW()-9,24)</f>
        <v>16</v>
      </c>
      <c r="C18649" s="12"/>
      <c r="D18649" s="13" t="n">
        <f aca="false">IF(B18649&lt;5,Einstellungen!$B$3,Einstellungen!$B$4)</f>
        <v>29.13</v>
      </c>
      <c r="E18649" s="14" t="str">
        <f aca="false">IF(C18649="","",C18649*D18649/100)</f>
        <v/>
      </c>
      <c r="F18649" s="15" t="str">
        <f aca="false">IF(B18649&lt;5,"Go","Standard")</f>
        <v>Standard</v>
      </c>
    </row>
    <row r="18650" customFormat="false" ht="15" hidden="false" customHeight="true" outlineLevel="0" collapsed="false">
      <c r="A18650" s="10" t="n">
        <f aca="false">Einstellungen!$B$5+INT((ROW()-9)/24)</f>
        <v>46742</v>
      </c>
      <c r="B18650" s="11" t="n">
        <f aca="false">MOD(ROW()-9,24)</f>
        <v>17</v>
      </c>
      <c r="C18650" s="12"/>
      <c r="D18650" s="13" t="n">
        <f aca="false">IF(B18650&lt;5,Einstellungen!$B$3,Einstellungen!$B$4)</f>
        <v>29.13</v>
      </c>
      <c r="E18650" s="14" t="str">
        <f aca="false">IF(C18650="","",C18650*D18650/100)</f>
        <v/>
      </c>
      <c r="F18650" s="15" t="str">
        <f aca="false">IF(B18650&lt;5,"Go","Standard")</f>
        <v>Standard</v>
      </c>
    </row>
    <row r="18651" customFormat="false" ht="15" hidden="false" customHeight="true" outlineLevel="0" collapsed="false">
      <c r="A18651" s="10" t="n">
        <f aca="false">Einstellungen!$B$5+INT((ROW()-9)/24)</f>
        <v>46742</v>
      </c>
      <c r="B18651" s="11" t="n">
        <f aca="false">MOD(ROW()-9,24)</f>
        <v>18</v>
      </c>
      <c r="C18651" s="12"/>
      <c r="D18651" s="13" t="n">
        <f aca="false">IF(B18651&lt;5,Einstellungen!$B$3,Einstellungen!$B$4)</f>
        <v>29.13</v>
      </c>
      <c r="E18651" s="14" t="str">
        <f aca="false">IF(C18651="","",C18651*D18651/100)</f>
        <v/>
      </c>
      <c r="F18651" s="15" t="str">
        <f aca="false">IF(B18651&lt;5,"Go","Standard")</f>
        <v>Standard</v>
      </c>
    </row>
    <row r="18652" customFormat="false" ht="15" hidden="false" customHeight="true" outlineLevel="0" collapsed="false">
      <c r="A18652" s="10" t="n">
        <f aca="false">Einstellungen!$B$5+INT((ROW()-9)/24)</f>
        <v>46742</v>
      </c>
      <c r="B18652" s="11" t="n">
        <f aca="false">MOD(ROW()-9,24)</f>
        <v>19</v>
      </c>
      <c r="C18652" s="12"/>
      <c r="D18652" s="13" t="n">
        <f aca="false">IF(B18652&lt;5,Einstellungen!$B$3,Einstellungen!$B$4)</f>
        <v>29.13</v>
      </c>
      <c r="E18652" s="14" t="str">
        <f aca="false">IF(C18652="","",C18652*D18652/100)</f>
        <v/>
      </c>
      <c r="F18652" s="15" t="str">
        <f aca="false">IF(B18652&lt;5,"Go","Standard")</f>
        <v>Standard</v>
      </c>
    </row>
    <row r="18653" customFormat="false" ht="15" hidden="false" customHeight="true" outlineLevel="0" collapsed="false">
      <c r="A18653" s="10" t="n">
        <f aca="false">Einstellungen!$B$5+INT((ROW()-9)/24)</f>
        <v>46742</v>
      </c>
      <c r="B18653" s="11" t="n">
        <f aca="false">MOD(ROW()-9,24)</f>
        <v>20</v>
      </c>
      <c r="C18653" s="12"/>
      <c r="D18653" s="13" t="n">
        <f aca="false">IF(B18653&lt;5,Einstellungen!$B$3,Einstellungen!$B$4)</f>
        <v>29.13</v>
      </c>
      <c r="E18653" s="14" t="str">
        <f aca="false">IF(C18653="","",C18653*D18653/100)</f>
        <v/>
      </c>
      <c r="F18653" s="15" t="str">
        <f aca="false">IF(B18653&lt;5,"Go","Standard")</f>
        <v>Standard</v>
      </c>
    </row>
    <row r="18654" customFormat="false" ht="15" hidden="false" customHeight="true" outlineLevel="0" collapsed="false">
      <c r="A18654" s="10" t="n">
        <f aca="false">Einstellungen!$B$5+INT((ROW()-9)/24)</f>
        <v>46742</v>
      </c>
      <c r="B18654" s="11" t="n">
        <f aca="false">MOD(ROW()-9,24)</f>
        <v>21</v>
      </c>
      <c r="C18654" s="12"/>
      <c r="D18654" s="13" t="n">
        <f aca="false">IF(B18654&lt;5,Einstellungen!$B$3,Einstellungen!$B$4)</f>
        <v>29.13</v>
      </c>
      <c r="E18654" s="14" t="str">
        <f aca="false">IF(C18654="","",C18654*D18654/100)</f>
        <v/>
      </c>
      <c r="F18654" s="15" t="str">
        <f aca="false">IF(B18654&lt;5,"Go","Standard")</f>
        <v>Standard</v>
      </c>
    </row>
    <row r="18655" customFormat="false" ht="15" hidden="false" customHeight="true" outlineLevel="0" collapsed="false">
      <c r="A18655" s="10" t="n">
        <f aca="false">Einstellungen!$B$5+INT((ROW()-9)/24)</f>
        <v>46742</v>
      </c>
      <c r="B18655" s="11" t="n">
        <f aca="false">MOD(ROW()-9,24)</f>
        <v>22</v>
      </c>
      <c r="C18655" s="12"/>
      <c r="D18655" s="13" t="n">
        <f aca="false">IF(B18655&lt;5,Einstellungen!$B$3,Einstellungen!$B$4)</f>
        <v>29.13</v>
      </c>
      <c r="E18655" s="14" t="str">
        <f aca="false">IF(C18655="","",C18655*D18655/100)</f>
        <v/>
      </c>
      <c r="F18655" s="15" t="str">
        <f aca="false">IF(B18655&lt;5,"Go","Standard")</f>
        <v>Standard</v>
      </c>
    </row>
    <row r="18656" customFormat="false" ht="15" hidden="false" customHeight="true" outlineLevel="0" collapsed="false">
      <c r="A18656" s="10" t="n">
        <f aca="false">Einstellungen!$B$5+INT((ROW()-9)/24)</f>
        <v>46742</v>
      </c>
      <c r="B18656" s="11" t="n">
        <f aca="false">MOD(ROW()-9,24)</f>
        <v>23</v>
      </c>
      <c r="C18656" s="12"/>
      <c r="D18656" s="13" t="n">
        <f aca="false">IF(B18656&lt;5,Einstellungen!$B$3,Einstellungen!$B$4)</f>
        <v>29.13</v>
      </c>
      <c r="E18656" s="14" t="str">
        <f aca="false">IF(C18656="","",C18656*D18656/100)</f>
        <v/>
      </c>
      <c r="F18656" s="15" t="str">
        <f aca="false">IF(B18656&lt;5,"Go","Standard")</f>
        <v>Standard</v>
      </c>
    </row>
    <row r="18657" customFormat="false" ht="15" hidden="false" customHeight="true" outlineLevel="0" collapsed="false">
      <c r="A18657" s="10" t="n">
        <f aca="false">Einstellungen!$B$5+INT((ROW()-9)/24)</f>
        <v>46743</v>
      </c>
      <c r="B18657" s="11" t="n">
        <f aca="false">MOD(ROW()-9,24)</f>
        <v>0</v>
      </c>
      <c r="C18657" s="12"/>
      <c r="D18657" s="13" t="n">
        <f aca="false">IF(B18657&lt;5,Einstellungen!$B$3,Einstellungen!$B$4)</f>
        <v>15.92</v>
      </c>
      <c r="E18657" s="14" t="str">
        <f aca="false">IF(C18657="","",C18657*D18657/100)</f>
        <v/>
      </c>
      <c r="F18657" s="15" t="str">
        <f aca="false">IF(B18657&lt;5,"Go","Standard")</f>
        <v>Go</v>
      </c>
    </row>
    <row r="18658" customFormat="false" ht="15" hidden="false" customHeight="true" outlineLevel="0" collapsed="false">
      <c r="A18658" s="10" t="n">
        <f aca="false">Einstellungen!$B$5+INT((ROW()-9)/24)</f>
        <v>46743</v>
      </c>
      <c r="B18658" s="11" t="n">
        <f aca="false">MOD(ROW()-9,24)</f>
        <v>1</v>
      </c>
      <c r="C18658" s="12"/>
      <c r="D18658" s="13" t="n">
        <f aca="false">IF(B18658&lt;5,Einstellungen!$B$3,Einstellungen!$B$4)</f>
        <v>15.92</v>
      </c>
      <c r="E18658" s="14" t="str">
        <f aca="false">IF(C18658="","",C18658*D18658/100)</f>
        <v/>
      </c>
      <c r="F18658" s="15" t="str">
        <f aca="false">IF(B18658&lt;5,"Go","Standard")</f>
        <v>Go</v>
      </c>
    </row>
    <row r="18659" customFormat="false" ht="15" hidden="false" customHeight="true" outlineLevel="0" collapsed="false">
      <c r="A18659" s="10" t="n">
        <f aca="false">Einstellungen!$B$5+INT((ROW()-9)/24)</f>
        <v>46743</v>
      </c>
      <c r="B18659" s="11" t="n">
        <f aca="false">MOD(ROW()-9,24)</f>
        <v>2</v>
      </c>
      <c r="C18659" s="12"/>
      <c r="D18659" s="13" t="n">
        <f aca="false">IF(B18659&lt;5,Einstellungen!$B$3,Einstellungen!$B$4)</f>
        <v>15.92</v>
      </c>
      <c r="E18659" s="14" t="str">
        <f aca="false">IF(C18659="","",C18659*D18659/100)</f>
        <v/>
      </c>
      <c r="F18659" s="15" t="str">
        <f aca="false">IF(B18659&lt;5,"Go","Standard")</f>
        <v>Go</v>
      </c>
    </row>
    <row r="18660" customFormat="false" ht="15" hidden="false" customHeight="true" outlineLevel="0" collapsed="false">
      <c r="A18660" s="10" t="n">
        <f aca="false">Einstellungen!$B$5+INT((ROW()-9)/24)</f>
        <v>46743</v>
      </c>
      <c r="B18660" s="11" t="n">
        <f aca="false">MOD(ROW()-9,24)</f>
        <v>3</v>
      </c>
      <c r="C18660" s="12"/>
      <c r="D18660" s="13" t="n">
        <f aca="false">IF(B18660&lt;5,Einstellungen!$B$3,Einstellungen!$B$4)</f>
        <v>15.92</v>
      </c>
      <c r="E18660" s="14" t="str">
        <f aca="false">IF(C18660="","",C18660*D18660/100)</f>
        <v/>
      </c>
      <c r="F18660" s="15" t="str">
        <f aca="false">IF(B18660&lt;5,"Go","Standard")</f>
        <v>Go</v>
      </c>
    </row>
    <row r="18661" customFormat="false" ht="15" hidden="false" customHeight="true" outlineLevel="0" collapsed="false">
      <c r="A18661" s="10" t="n">
        <f aca="false">Einstellungen!$B$5+INT((ROW()-9)/24)</f>
        <v>46743</v>
      </c>
      <c r="B18661" s="11" t="n">
        <f aca="false">MOD(ROW()-9,24)</f>
        <v>4</v>
      </c>
      <c r="C18661" s="12"/>
      <c r="D18661" s="13" t="n">
        <f aca="false">IF(B18661&lt;5,Einstellungen!$B$3,Einstellungen!$B$4)</f>
        <v>15.92</v>
      </c>
      <c r="E18661" s="14" t="str">
        <f aca="false">IF(C18661="","",C18661*D18661/100)</f>
        <v/>
      </c>
      <c r="F18661" s="15" t="str">
        <f aca="false">IF(B18661&lt;5,"Go","Standard")</f>
        <v>Go</v>
      </c>
    </row>
    <row r="18662" customFormat="false" ht="15" hidden="false" customHeight="true" outlineLevel="0" collapsed="false">
      <c r="A18662" s="10" t="n">
        <f aca="false">Einstellungen!$B$5+INT((ROW()-9)/24)</f>
        <v>46743</v>
      </c>
      <c r="B18662" s="11" t="n">
        <f aca="false">MOD(ROW()-9,24)</f>
        <v>5</v>
      </c>
      <c r="C18662" s="12"/>
      <c r="D18662" s="13" t="n">
        <f aca="false">IF(B18662&lt;5,Einstellungen!$B$3,Einstellungen!$B$4)</f>
        <v>29.13</v>
      </c>
      <c r="E18662" s="14" t="str">
        <f aca="false">IF(C18662="","",C18662*D18662/100)</f>
        <v/>
      </c>
      <c r="F18662" s="15" t="str">
        <f aca="false">IF(B18662&lt;5,"Go","Standard")</f>
        <v>Standard</v>
      </c>
    </row>
    <row r="18663" customFormat="false" ht="15" hidden="false" customHeight="true" outlineLevel="0" collapsed="false">
      <c r="A18663" s="10" t="n">
        <f aca="false">Einstellungen!$B$5+INT((ROW()-9)/24)</f>
        <v>46743</v>
      </c>
      <c r="B18663" s="11" t="n">
        <f aca="false">MOD(ROW()-9,24)</f>
        <v>6</v>
      </c>
      <c r="C18663" s="12"/>
      <c r="D18663" s="13" t="n">
        <f aca="false">IF(B18663&lt;5,Einstellungen!$B$3,Einstellungen!$B$4)</f>
        <v>29.13</v>
      </c>
      <c r="E18663" s="14" t="str">
        <f aca="false">IF(C18663="","",C18663*D18663/100)</f>
        <v/>
      </c>
      <c r="F18663" s="15" t="str">
        <f aca="false">IF(B18663&lt;5,"Go","Standard")</f>
        <v>Standard</v>
      </c>
    </row>
    <row r="18664" customFormat="false" ht="15" hidden="false" customHeight="true" outlineLevel="0" collapsed="false">
      <c r="A18664" s="10" t="n">
        <f aca="false">Einstellungen!$B$5+INT((ROW()-9)/24)</f>
        <v>46743</v>
      </c>
      <c r="B18664" s="11" t="n">
        <f aca="false">MOD(ROW()-9,24)</f>
        <v>7</v>
      </c>
      <c r="C18664" s="12"/>
      <c r="D18664" s="13" t="n">
        <f aca="false">IF(B18664&lt;5,Einstellungen!$B$3,Einstellungen!$B$4)</f>
        <v>29.13</v>
      </c>
      <c r="E18664" s="14" t="str">
        <f aca="false">IF(C18664="","",C18664*D18664/100)</f>
        <v/>
      </c>
      <c r="F18664" s="15" t="str">
        <f aca="false">IF(B18664&lt;5,"Go","Standard")</f>
        <v>Standard</v>
      </c>
    </row>
    <row r="18665" customFormat="false" ht="15" hidden="false" customHeight="true" outlineLevel="0" collapsed="false">
      <c r="A18665" s="10" t="n">
        <f aca="false">Einstellungen!$B$5+INT((ROW()-9)/24)</f>
        <v>46743</v>
      </c>
      <c r="B18665" s="11" t="n">
        <f aca="false">MOD(ROW()-9,24)</f>
        <v>8</v>
      </c>
      <c r="C18665" s="12"/>
      <c r="D18665" s="13" t="n">
        <f aca="false">IF(B18665&lt;5,Einstellungen!$B$3,Einstellungen!$B$4)</f>
        <v>29.13</v>
      </c>
      <c r="E18665" s="14" t="str">
        <f aca="false">IF(C18665="","",C18665*D18665/100)</f>
        <v/>
      </c>
      <c r="F18665" s="15" t="str">
        <f aca="false">IF(B18665&lt;5,"Go","Standard")</f>
        <v>Standard</v>
      </c>
    </row>
    <row r="18666" customFormat="false" ht="15" hidden="false" customHeight="true" outlineLevel="0" collapsed="false">
      <c r="A18666" s="10" t="n">
        <f aca="false">Einstellungen!$B$5+INT((ROW()-9)/24)</f>
        <v>46743</v>
      </c>
      <c r="B18666" s="11" t="n">
        <f aca="false">MOD(ROW()-9,24)</f>
        <v>9</v>
      </c>
      <c r="C18666" s="12"/>
      <c r="D18666" s="13" t="n">
        <f aca="false">IF(B18666&lt;5,Einstellungen!$B$3,Einstellungen!$B$4)</f>
        <v>29.13</v>
      </c>
      <c r="E18666" s="14" t="str">
        <f aca="false">IF(C18666="","",C18666*D18666/100)</f>
        <v/>
      </c>
      <c r="F18666" s="15" t="str">
        <f aca="false">IF(B18666&lt;5,"Go","Standard")</f>
        <v>Standard</v>
      </c>
    </row>
    <row r="18667" customFormat="false" ht="15" hidden="false" customHeight="true" outlineLevel="0" collapsed="false">
      <c r="A18667" s="10" t="n">
        <f aca="false">Einstellungen!$B$5+INT((ROW()-9)/24)</f>
        <v>46743</v>
      </c>
      <c r="B18667" s="11" t="n">
        <f aca="false">MOD(ROW()-9,24)</f>
        <v>10</v>
      </c>
      <c r="C18667" s="12"/>
      <c r="D18667" s="13" t="n">
        <f aca="false">IF(B18667&lt;5,Einstellungen!$B$3,Einstellungen!$B$4)</f>
        <v>29.13</v>
      </c>
      <c r="E18667" s="14" t="str">
        <f aca="false">IF(C18667="","",C18667*D18667/100)</f>
        <v/>
      </c>
      <c r="F18667" s="15" t="str">
        <f aca="false">IF(B18667&lt;5,"Go","Standard")</f>
        <v>Standard</v>
      </c>
    </row>
    <row r="18668" customFormat="false" ht="15" hidden="false" customHeight="true" outlineLevel="0" collapsed="false">
      <c r="A18668" s="10" t="n">
        <f aca="false">Einstellungen!$B$5+INT((ROW()-9)/24)</f>
        <v>46743</v>
      </c>
      <c r="B18668" s="11" t="n">
        <f aca="false">MOD(ROW()-9,24)</f>
        <v>11</v>
      </c>
      <c r="C18668" s="12"/>
      <c r="D18668" s="13" t="n">
        <f aca="false">IF(B18668&lt;5,Einstellungen!$B$3,Einstellungen!$B$4)</f>
        <v>29.13</v>
      </c>
      <c r="E18668" s="14" t="str">
        <f aca="false">IF(C18668="","",C18668*D18668/100)</f>
        <v/>
      </c>
      <c r="F18668" s="15" t="str">
        <f aca="false">IF(B18668&lt;5,"Go","Standard")</f>
        <v>Standard</v>
      </c>
    </row>
    <row r="18669" customFormat="false" ht="15" hidden="false" customHeight="true" outlineLevel="0" collapsed="false">
      <c r="A18669" s="10" t="n">
        <f aca="false">Einstellungen!$B$5+INT((ROW()-9)/24)</f>
        <v>46743</v>
      </c>
      <c r="B18669" s="11" t="n">
        <f aca="false">MOD(ROW()-9,24)</f>
        <v>12</v>
      </c>
      <c r="C18669" s="12"/>
      <c r="D18669" s="13" t="n">
        <f aca="false">IF(B18669&lt;5,Einstellungen!$B$3,Einstellungen!$B$4)</f>
        <v>29.13</v>
      </c>
      <c r="E18669" s="14" t="str">
        <f aca="false">IF(C18669="","",C18669*D18669/100)</f>
        <v/>
      </c>
      <c r="F18669" s="15" t="str">
        <f aca="false">IF(B18669&lt;5,"Go","Standard")</f>
        <v>Standard</v>
      </c>
    </row>
    <row r="18670" customFormat="false" ht="15" hidden="false" customHeight="true" outlineLevel="0" collapsed="false">
      <c r="A18670" s="10" t="n">
        <f aca="false">Einstellungen!$B$5+INT((ROW()-9)/24)</f>
        <v>46743</v>
      </c>
      <c r="B18670" s="11" t="n">
        <f aca="false">MOD(ROW()-9,24)</f>
        <v>13</v>
      </c>
      <c r="C18670" s="12"/>
      <c r="D18670" s="13" t="n">
        <f aca="false">IF(B18670&lt;5,Einstellungen!$B$3,Einstellungen!$B$4)</f>
        <v>29.13</v>
      </c>
      <c r="E18670" s="14" t="str">
        <f aca="false">IF(C18670="","",C18670*D18670/100)</f>
        <v/>
      </c>
      <c r="F18670" s="15" t="str">
        <f aca="false">IF(B18670&lt;5,"Go","Standard")</f>
        <v>Standard</v>
      </c>
    </row>
    <row r="18671" customFormat="false" ht="15" hidden="false" customHeight="true" outlineLevel="0" collapsed="false">
      <c r="A18671" s="10" t="n">
        <f aca="false">Einstellungen!$B$5+INT((ROW()-9)/24)</f>
        <v>46743</v>
      </c>
      <c r="B18671" s="11" t="n">
        <f aca="false">MOD(ROW()-9,24)</f>
        <v>14</v>
      </c>
      <c r="C18671" s="12"/>
      <c r="D18671" s="13" t="n">
        <f aca="false">IF(B18671&lt;5,Einstellungen!$B$3,Einstellungen!$B$4)</f>
        <v>29.13</v>
      </c>
      <c r="E18671" s="14" t="str">
        <f aca="false">IF(C18671="","",C18671*D18671/100)</f>
        <v/>
      </c>
      <c r="F18671" s="15" t="str">
        <f aca="false">IF(B18671&lt;5,"Go","Standard")</f>
        <v>Standard</v>
      </c>
    </row>
    <row r="18672" customFormat="false" ht="15" hidden="false" customHeight="true" outlineLevel="0" collapsed="false">
      <c r="A18672" s="10" t="n">
        <f aca="false">Einstellungen!$B$5+INT((ROW()-9)/24)</f>
        <v>46743</v>
      </c>
      <c r="B18672" s="11" t="n">
        <f aca="false">MOD(ROW()-9,24)</f>
        <v>15</v>
      </c>
      <c r="C18672" s="12"/>
      <c r="D18672" s="13" t="n">
        <f aca="false">IF(B18672&lt;5,Einstellungen!$B$3,Einstellungen!$B$4)</f>
        <v>29.13</v>
      </c>
      <c r="E18672" s="14" t="str">
        <f aca="false">IF(C18672="","",C18672*D18672/100)</f>
        <v/>
      </c>
      <c r="F18672" s="15" t="str">
        <f aca="false">IF(B18672&lt;5,"Go","Standard")</f>
        <v>Standard</v>
      </c>
    </row>
    <row r="18673" customFormat="false" ht="15" hidden="false" customHeight="true" outlineLevel="0" collapsed="false">
      <c r="A18673" s="10" t="n">
        <f aca="false">Einstellungen!$B$5+INT((ROW()-9)/24)</f>
        <v>46743</v>
      </c>
      <c r="B18673" s="11" t="n">
        <f aca="false">MOD(ROW()-9,24)</f>
        <v>16</v>
      </c>
      <c r="C18673" s="12"/>
      <c r="D18673" s="13" t="n">
        <f aca="false">IF(B18673&lt;5,Einstellungen!$B$3,Einstellungen!$B$4)</f>
        <v>29.13</v>
      </c>
      <c r="E18673" s="14" t="str">
        <f aca="false">IF(C18673="","",C18673*D18673/100)</f>
        <v/>
      </c>
      <c r="F18673" s="15" t="str">
        <f aca="false">IF(B18673&lt;5,"Go","Standard")</f>
        <v>Standard</v>
      </c>
    </row>
    <row r="18674" customFormat="false" ht="15" hidden="false" customHeight="true" outlineLevel="0" collapsed="false">
      <c r="A18674" s="10" t="n">
        <f aca="false">Einstellungen!$B$5+INT((ROW()-9)/24)</f>
        <v>46743</v>
      </c>
      <c r="B18674" s="11" t="n">
        <f aca="false">MOD(ROW()-9,24)</f>
        <v>17</v>
      </c>
      <c r="C18674" s="12"/>
      <c r="D18674" s="13" t="n">
        <f aca="false">IF(B18674&lt;5,Einstellungen!$B$3,Einstellungen!$B$4)</f>
        <v>29.13</v>
      </c>
      <c r="E18674" s="14" t="str">
        <f aca="false">IF(C18674="","",C18674*D18674/100)</f>
        <v/>
      </c>
      <c r="F18674" s="15" t="str">
        <f aca="false">IF(B18674&lt;5,"Go","Standard")</f>
        <v>Standard</v>
      </c>
    </row>
    <row r="18675" customFormat="false" ht="15" hidden="false" customHeight="true" outlineLevel="0" collapsed="false">
      <c r="A18675" s="10" t="n">
        <f aca="false">Einstellungen!$B$5+INT((ROW()-9)/24)</f>
        <v>46743</v>
      </c>
      <c r="B18675" s="11" t="n">
        <f aca="false">MOD(ROW()-9,24)</f>
        <v>18</v>
      </c>
      <c r="C18675" s="12"/>
      <c r="D18675" s="13" t="n">
        <f aca="false">IF(B18675&lt;5,Einstellungen!$B$3,Einstellungen!$B$4)</f>
        <v>29.13</v>
      </c>
      <c r="E18675" s="14" t="str">
        <f aca="false">IF(C18675="","",C18675*D18675/100)</f>
        <v/>
      </c>
      <c r="F18675" s="15" t="str">
        <f aca="false">IF(B18675&lt;5,"Go","Standard")</f>
        <v>Standard</v>
      </c>
    </row>
    <row r="18676" customFormat="false" ht="15" hidden="false" customHeight="true" outlineLevel="0" collapsed="false">
      <c r="A18676" s="10" t="n">
        <f aca="false">Einstellungen!$B$5+INT((ROW()-9)/24)</f>
        <v>46743</v>
      </c>
      <c r="B18676" s="11" t="n">
        <f aca="false">MOD(ROW()-9,24)</f>
        <v>19</v>
      </c>
      <c r="C18676" s="12"/>
      <c r="D18676" s="13" t="n">
        <f aca="false">IF(B18676&lt;5,Einstellungen!$B$3,Einstellungen!$B$4)</f>
        <v>29.13</v>
      </c>
      <c r="E18676" s="14" t="str">
        <f aca="false">IF(C18676="","",C18676*D18676/100)</f>
        <v/>
      </c>
      <c r="F18676" s="15" t="str">
        <f aca="false">IF(B18676&lt;5,"Go","Standard")</f>
        <v>Standard</v>
      </c>
    </row>
    <row r="18677" customFormat="false" ht="15" hidden="false" customHeight="true" outlineLevel="0" collapsed="false">
      <c r="A18677" s="10" t="n">
        <f aca="false">Einstellungen!$B$5+INT((ROW()-9)/24)</f>
        <v>46743</v>
      </c>
      <c r="B18677" s="11" t="n">
        <f aca="false">MOD(ROW()-9,24)</f>
        <v>20</v>
      </c>
      <c r="C18677" s="12"/>
      <c r="D18677" s="13" t="n">
        <f aca="false">IF(B18677&lt;5,Einstellungen!$B$3,Einstellungen!$B$4)</f>
        <v>29.13</v>
      </c>
      <c r="E18677" s="14" t="str">
        <f aca="false">IF(C18677="","",C18677*D18677/100)</f>
        <v/>
      </c>
      <c r="F18677" s="15" t="str">
        <f aca="false">IF(B18677&lt;5,"Go","Standard")</f>
        <v>Standard</v>
      </c>
    </row>
    <row r="18678" customFormat="false" ht="15" hidden="false" customHeight="true" outlineLevel="0" collapsed="false">
      <c r="A18678" s="10" t="n">
        <f aca="false">Einstellungen!$B$5+INT((ROW()-9)/24)</f>
        <v>46743</v>
      </c>
      <c r="B18678" s="11" t="n">
        <f aca="false">MOD(ROW()-9,24)</f>
        <v>21</v>
      </c>
      <c r="C18678" s="12"/>
      <c r="D18678" s="13" t="n">
        <f aca="false">IF(B18678&lt;5,Einstellungen!$B$3,Einstellungen!$B$4)</f>
        <v>29.13</v>
      </c>
      <c r="E18678" s="14" t="str">
        <f aca="false">IF(C18678="","",C18678*D18678/100)</f>
        <v/>
      </c>
      <c r="F18678" s="15" t="str">
        <f aca="false">IF(B18678&lt;5,"Go","Standard")</f>
        <v>Standard</v>
      </c>
    </row>
    <row r="18679" customFormat="false" ht="15" hidden="false" customHeight="true" outlineLevel="0" collapsed="false">
      <c r="A18679" s="10" t="n">
        <f aca="false">Einstellungen!$B$5+INT((ROW()-9)/24)</f>
        <v>46743</v>
      </c>
      <c r="B18679" s="11" t="n">
        <f aca="false">MOD(ROW()-9,24)</f>
        <v>22</v>
      </c>
      <c r="C18679" s="12"/>
      <c r="D18679" s="13" t="n">
        <f aca="false">IF(B18679&lt;5,Einstellungen!$B$3,Einstellungen!$B$4)</f>
        <v>29.13</v>
      </c>
      <c r="E18679" s="14" t="str">
        <f aca="false">IF(C18679="","",C18679*D18679/100)</f>
        <v/>
      </c>
      <c r="F18679" s="15" t="str">
        <f aca="false">IF(B18679&lt;5,"Go","Standard")</f>
        <v>Standard</v>
      </c>
    </row>
    <row r="18680" customFormat="false" ht="15" hidden="false" customHeight="true" outlineLevel="0" collapsed="false">
      <c r="A18680" s="10" t="n">
        <f aca="false">Einstellungen!$B$5+INT((ROW()-9)/24)</f>
        <v>46743</v>
      </c>
      <c r="B18680" s="11" t="n">
        <f aca="false">MOD(ROW()-9,24)</f>
        <v>23</v>
      </c>
      <c r="C18680" s="12"/>
      <c r="D18680" s="13" t="n">
        <f aca="false">IF(B18680&lt;5,Einstellungen!$B$3,Einstellungen!$B$4)</f>
        <v>29.13</v>
      </c>
      <c r="E18680" s="14" t="str">
        <f aca="false">IF(C18680="","",C18680*D18680/100)</f>
        <v/>
      </c>
      <c r="F18680" s="15" t="str">
        <f aca="false">IF(B18680&lt;5,"Go","Standard")</f>
        <v>Standard</v>
      </c>
    </row>
    <row r="18681" customFormat="false" ht="15" hidden="false" customHeight="true" outlineLevel="0" collapsed="false">
      <c r="A18681" s="10" t="n">
        <f aca="false">Einstellungen!$B$5+INT((ROW()-9)/24)</f>
        <v>46744</v>
      </c>
      <c r="B18681" s="11" t="n">
        <f aca="false">MOD(ROW()-9,24)</f>
        <v>0</v>
      </c>
      <c r="C18681" s="12"/>
      <c r="D18681" s="13" t="n">
        <f aca="false">IF(B18681&lt;5,Einstellungen!$B$3,Einstellungen!$B$4)</f>
        <v>15.92</v>
      </c>
      <c r="E18681" s="14" t="str">
        <f aca="false">IF(C18681="","",C18681*D18681/100)</f>
        <v/>
      </c>
      <c r="F18681" s="15" t="str">
        <f aca="false">IF(B18681&lt;5,"Go","Standard")</f>
        <v>Go</v>
      </c>
    </row>
    <row r="18682" customFormat="false" ht="15" hidden="false" customHeight="true" outlineLevel="0" collapsed="false">
      <c r="A18682" s="10" t="n">
        <f aca="false">Einstellungen!$B$5+INT((ROW()-9)/24)</f>
        <v>46744</v>
      </c>
      <c r="B18682" s="11" t="n">
        <f aca="false">MOD(ROW()-9,24)</f>
        <v>1</v>
      </c>
      <c r="C18682" s="12"/>
      <c r="D18682" s="13" t="n">
        <f aca="false">IF(B18682&lt;5,Einstellungen!$B$3,Einstellungen!$B$4)</f>
        <v>15.92</v>
      </c>
      <c r="E18682" s="14" t="str">
        <f aca="false">IF(C18682="","",C18682*D18682/100)</f>
        <v/>
      </c>
      <c r="F18682" s="15" t="str">
        <f aca="false">IF(B18682&lt;5,"Go","Standard")</f>
        <v>Go</v>
      </c>
    </row>
    <row r="18683" customFormat="false" ht="15" hidden="false" customHeight="true" outlineLevel="0" collapsed="false">
      <c r="A18683" s="10" t="n">
        <f aca="false">Einstellungen!$B$5+INT((ROW()-9)/24)</f>
        <v>46744</v>
      </c>
      <c r="B18683" s="11" t="n">
        <f aca="false">MOD(ROW()-9,24)</f>
        <v>2</v>
      </c>
      <c r="C18683" s="12"/>
      <c r="D18683" s="13" t="n">
        <f aca="false">IF(B18683&lt;5,Einstellungen!$B$3,Einstellungen!$B$4)</f>
        <v>15.92</v>
      </c>
      <c r="E18683" s="14" t="str">
        <f aca="false">IF(C18683="","",C18683*D18683/100)</f>
        <v/>
      </c>
      <c r="F18683" s="15" t="str">
        <f aca="false">IF(B18683&lt;5,"Go","Standard")</f>
        <v>Go</v>
      </c>
    </row>
    <row r="18684" customFormat="false" ht="15" hidden="false" customHeight="true" outlineLevel="0" collapsed="false">
      <c r="A18684" s="10" t="n">
        <f aca="false">Einstellungen!$B$5+INT((ROW()-9)/24)</f>
        <v>46744</v>
      </c>
      <c r="B18684" s="11" t="n">
        <f aca="false">MOD(ROW()-9,24)</f>
        <v>3</v>
      </c>
      <c r="C18684" s="12"/>
      <c r="D18684" s="13" t="n">
        <f aca="false">IF(B18684&lt;5,Einstellungen!$B$3,Einstellungen!$B$4)</f>
        <v>15.92</v>
      </c>
      <c r="E18684" s="14" t="str">
        <f aca="false">IF(C18684="","",C18684*D18684/100)</f>
        <v/>
      </c>
      <c r="F18684" s="15" t="str">
        <f aca="false">IF(B18684&lt;5,"Go","Standard")</f>
        <v>Go</v>
      </c>
    </row>
    <row r="18685" customFormat="false" ht="15" hidden="false" customHeight="true" outlineLevel="0" collapsed="false">
      <c r="A18685" s="10" t="n">
        <f aca="false">Einstellungen!$B$5+INT((ROW()-9)/24)</f>
        <v>46744</v>
      </c>
      <c r="B18685" s="11" t="n">
        <f aca="false">MOD(ROW()-9,24)</f>
        <v>4</v>
      </c>
      <c r="C18685" s="12"/>
      <c r="D18685" s="13" t="n">
        <f aca="false">IF(B18685&lt;5,Einstellungen!$B$3,Einstellungen!$B$4)</f>
        <v>15.92</v>
      </c>
      <c r="E18685" s="14" t="str">
        <f aca="false">IF(C18685="","",C18685*D18685/100)</f>
        <v/>
      </c>
      <c r="F18685" s="15" t="str">
        <f aca="false">IF(B18685&lt;5,"Go","Standard")</f>
        <v>Go</v>
      </c>
    </row>
    <row r="18686" customFormat="false" ht="15" hidden="false" customHeight="true" outlineLevel="0" collapsed="false">
      <c r="A18686" s="10" t="n">
        <f aca="false">Einstellungen!$B$5+INT((ROW()-9)/24)</f>
        <v>46744</v>
      </c>
      <c r="B18686" s="11" t="n">
        <f aca="false">MOD(ROW()-9,24)</f>
        <v>5</v>
      </c>
      <c r="C18686" s="12"/>
      <c r="D18686" s="13" t="n">
        <f aca="false">IF(B18686&lt;5,Einstellungen!$B$3,Einstellungen!$B$4)</f>
        <v>29.13</v>
      </c>
      <c r="E18686" s="14" t="str">
        <f aca="false">IF(C18686="","",C18686*D18686/100)</f>
        <v/>
      </c>
      <c r="F18686" s="15" t="str">
        <f aca="false">IF(B18686&lt;5,"Go","Standard")</f>
        <v>Standard</v>
      </c>
    </row>
    <row r="18687" customFormat="false" ht="15" hidden="false" customHeight="true" outlineLevel="0" collapsed="false">
      <c r="A18687" s="10" t="n">
        <f aca="false">Einstellungen!$B$5+INT((ROW()-9)/24)</f>
        <v>46744</v>
      </c>
      <c r="B18687" s="11" t="n">
        <f aca="false">MOD(ROW()-9,24)</f>
        <v>6</v>
      </c>
      <c r="C18687" s="12"/>
      <c r="D18687" s="13" t="n">
        <f aca="false">IF(B18687&lt;5,Einstellungen!$B$3,Einstellungen!$B$4)</f>
        <v>29.13</v>
      </c>
      <c r="E18687" s="14" t="str">
        <f aca="false">IF(C18687="","",C18687*D18687/100)</f>
        <v/>
      </c>
      <c r="F18687" s="15" t="str">
        <f aca="false">IF(B18687&lt;5,"Go","Standard")</f>
        <v>Standard</v>
      </c>
    </row>
    <row r="18688" customFormat="false" ht="15" hidden="false" customHeight="true" outlineLevel="0" collapsed="false">
      <c r="A18688" s="10" t="n">
        <f aca="false">Einstellungen!$B$5+INT((ROW()-9)/24)</f>
        <v>46744</v>
      </c>
      <c r="B18688" s="11" t="n">
        <f aca="false">MOD(ROW()-9,24)</f>
        <v>7</v>
      </c>
      <c r="C18688" s="12"/>
      <c r="D18688" s="13" t="n">
        <f aca="false">IF(B18688&lt;5,Einstellungen!$B$3,Einstellungen!$B$4)</f>
        <v>29.13</v>
      </c>
      <c r="E18688" s="14" t="str">
        <f aca="false">IF(C18688="","",C18688*D18688/100)</f>
        <v/>
      </c>
      <c r="F18688" s="15" t="str">
        <f aca="false">IF(B18688&lt;5,"Go","Standard")</f>
        <v>Standard</v>
      </c>
    </row>
    <row r="18689" customFormat="false" ht="15" hidden="false" customHeight="true" outlineLevel="0" collapsed="false">
      <c r="A18689" s="10" t="n">
        <f aca="false">Einstellungen!$B$5+INT((ROW()-9)/24)</f>
        <v>46744</v>
      </c>
      <c r="B18689" s="11" t="n">
        <f aca="false">MOD(ROW()-9,24)</f>
        <v>8</v>
      </c>
      <c r="C18689" s="12"/>
      <c r="D18689" s="13" t="n">
        <f aca="false">IF(B18689&lt;5,Einstellungen!$B$3,Einstellungen!$B$4)</f>
        <v>29.13</v>
      </c>
      <c r="E18689" s="14" t="str">
        <f aca="false">IF(C18689="","",C18689*D18689/100)</f>
        <v/>
      </c>
      <c r="F18689" s="15" t="str">
        <f aca="false">IF(B18689&lt;5,"Go","Standard")</f>
        <v>Standard</v>
      </c>
    </row>
    <row r="18690" customFormat="false" ht="15" hidden="false" customHeight="true" outlineLevel="0" collapsed="false">
      <c r="A18690" s="10" t="n">
        <f aca="false">Einstellungen!$B$5+INT((ROW()-9)/24)</f>
        <v>46744</v>
      </c>
      <c r="B18690" s="11" t="n">
        <f aca="false">MOD(ROW()-9,24)</f>
        <v>9</v>
      </c>
      <c r="C18690" s="12"/>
      <c r="D18690" s="13" t="n">
        <f aca="false">IF(B18690&lt;5,Einstellungen!$B$3,Einstellungen!$B$4)</f>
        <v>29.13</v>
      </c>
      <c r="E18690" s="14" t="str">
        <f aca="false">IF(C18690="","",C18690*D18690/100)</f>
        <v/>
      </c>
      <c r="F18690" s="15" t="str">
        <f aca="false">IF(B18690&lt;5,"Go","Standard")</f>
        <v>Standard</v>
      </c>
    </row>
    <row r="18691" customFormat="false" ht="15" hidden="false" customHeight="true" outlineLevel="0" collapsed="false">
      <c r="A18691" s="10" t="n">
        <f aca="false">Einstellungen!$B$5+INT((ROW()-9)/24)</f>
        <v>46744</v>
      </c>
      <c r="B18691" s="11" t="n">
        <f aca="false">MOD(ROW()-9,24)</f>
        <v>10</v>
      </c>
      <c r="C18691" s="12"/>
      <c r="D18691" s="13" t="n">
        <f aca="false">IF(B18691&lt;5,Einstellungen!$B$3,Einstellungen!$B$4)</f>
        <v>29.13</v>
      </c>
      <c r="E18691" s="14" t="str">
        <f aca="false">IF(C18691="","",C18691*D18691/100)</f>
        <v/>
      </c>
      <c r="F18691" s="15" t="str">
        <f aca="false">IF(B18691&lt;5,"Go","Standard")</f>
        <v>Standard</v>
      </c>
    </row>
    <row r="18692" customFormat="false" ht="15" hidden="false" customHeight="true" outlineLevel="0" collapsed="false">
      <c r="A18692" s="10" t="n">
        <f aca="false">Einstellungen!$B$5+INT((ROW()-9)/24)</f>
        <v>46744</v>
      </c>
      <c r="B18692" s="11" t="n">
        <f aca="false">MOD(ROW()-9,24)</f>
        <v>11</v>
      </c>
      <c r="C18692" s="12"/>
      <c r="D18692" s="13" t="n">
        <f aca="false">IF(B18692&lt;5,Einstellungen!$B$3,Einstellungen!$B$4)</f>
        <v>29.13</v>
      </c>
      <c r="E18692" s="14" t="str">
        <f aca="false">IF(C18692="","",C18692*D18692/100)</f>
        <v/>
      </c>
      <c r="F18692" s="15" t="str">
        <f aca="false">IF(B18692&lt;5,"Go","Standard")</f>
        <v>Standard</v>
      </c>
    </row>
    <row r="18693" customFormat="false" ht="15" hidden="false" customHeight="true" outlineLevel="0" collapsed="false">
      <c r="A18693" s="10" t="n">
        <f aca="false">Einstellungen!$B$5+INT((ROW()-9)/24)</f>
        <v>46744</v>
      </c>
      <c r="B18693" s="11" t="n">
        <f aca="false">MOD(ROW()-9,24)</f>
        <v>12</v>
      </c>
      <c r="C18693" s="12"/>
      <c r="D18693" s="13" t="n">
        <f aca="false">IF(B18693&lt;5,Einstellungen!$B$3,Einstellungen!$B$4)</f>
        <v>29.13</v>
      </c>
      <c r="E18693" s="14" t="str">
        <f aca="false">IF(C18693="","",C18693*D18693/100)</f>
        <v/>
      </c>
      <c r="F18693" s="15" t="str">
        <f aca="false">IF(B18693&lt;5,"Go","Standard")</f>
        <v>Standard</v>
      </c>
    </row>
    <row r="18694" customFormat="false" ht="15" hidden="false" customHeight="true" outlineLevel="0" collapsed="false">
      <c r="A18694" s="10" t="n">
        <f aca="false">Einstellungen!$B$5+INT((ROW()-9)/24)</f>
        <v>46744</v>
      </c>
      <c r="B18694" s="11" t="n">
        <f aca="false">MOD(ROW()-9,24)</f>
        <v>13</v>
      </c>
      <c r="C18694" s="12"/>
      <c r="D18694" s="13" t="n">
        <f aca="false">IF(B18694&lt;5,Einstellungen!$B$3,Einstellungen!$B$4)</f>
        <v>29.13</v>
      </c>
      <c r="E18694" s="14" t="str">
        <f aca="false">IF(C18694="","",C18694*D18694/100)</f>
        <v/>
      </c>
      <c r="F18694" s="15" t="str">
        <f aca="false">IF(B18694&lt;5,"Go","Standard")</f>
        <v>Standard</v>
      </c>
    </row>
    <row r="18695" customFormat="false" ht="15" hidden="false" customHeight="true" outlineLevel="0" collapsed="false">
      <c r="A18695" s="10" t="n">
        <f aca="false">Einstellungen!$B$5+INT((ROW()-9)/24)</f>
        <v>46744</v>
      </c>
      <c r="B18695" s="11" t="n">
        <f aca="false">MOD(ROW()-9,24)</f>
        <v>14</v>
      </c>
      <c r="C18695" s="12"/>
      <c r="D18695" s="13" t="n">
        <f aca="false">IF(B18695&lt;5,Einstellungen!$B$3,Einstellungen!$B$4)</f>
        <v>29.13</v>
      </c>
      <c r="E18695" s="14" t="str">
        <f aca="false">IF(C18695="","",C18695*D18695/100)</f>
        <v/>
      </c>
      <c r="F18695" s="15" t="str">
        <f aca="false">IF(B18695&lt;5,"Go","Standard")</f>
        <v>Standard</v>
      </c>
    </row>
    <row r="18696" customFormat="false" ht="15" hidden="false" customHeight="true" outlineLevel="0" collapsed="false">
      <c r="A18696" s="10" t="n">
        <f aca="false">Einstellungen!$B$5+INT((ROW()-9)/24)</f>
        <v>46744</v>
      </c>
      <c r="B18696" s="11" t="n">
        <f aca="false">MOD(ROW()-9,24)</f>
        <v>15</v>
      </c>
      <c r="C18696" s="12"/>
      <c r="D18696" s="13" t="n">
        <f aca="false">IF(B18696&lt;5,Einstellungen!$B$3,Einstellungen!$B$4)</f>
        <v>29.13</v>
      </c>
      <c r="E18696" s="14" t="str">
        <f aca="false">IF(C18696="","",C18696*D18696/100)</f>
        <v/>
      </c>
      <c r="F18696" s="15" t="str">
        <f aca="false">IF(B18696&lt;5,"Go","Standard")</f>
        <v>Standard</v>
      </c>
    </row>
    <row r="18697" customFormat="false" ht="15" hidden="false" customHeight="true" outlineLevel="0" collapsed="false">
      <c r="A18697" s="10" t="n">
        <f aca="false">Einstellungen!$B$5+INT((ROW()-9)/24)</f>
        <v>46744</v>
      </c>
      <c r="B18697" s="11" t="n">
        <f aca="false">MOD(ROW()-9,24)</f>
        <v>16</v>
      </c>
      <c r="C18697" s="12"/>
      <c r="D18697" s="13" t="n">
        <f aca="false">IF(B18697&lt;5,Einstellungen!$B$3,Einstellungen!$B$4)</f>
        <v>29.13</v>
      </c>
      <c r="E18697" s="14" t="str">
        <f aca="false">IF(C18697="","",C18697*D18697/100)</f>
        <v/>
      </c>
      <c r="F18697" s="15" t="str">
        <f aca="false">IF(B18697&lt;5,"Go","Standard")</f>
        <v>Standard</v>
      </c>
    </row>
    <row r="18698" customFormat="false" ht="15" hidden="false" customHeight="true" outlineLevel="0" collapsed="false">
      <c r="A18698" s="10" t="n">
        <f aca="false">Einstellungen!$B$5+INT((ROW()-9)/24)</f>
        <v>46744</v>
      </c>
      <c r="B18698" s="11" t="n">
        <f aca="false">MOD(ROW()-9,24)</f>
        <v>17</v>
      </c>
      <c r="C18698" s="12"/>
      <c r="D18698" s="13" t="n">
        <f aca="false">IF(B18698&lt;5,Einstellungen!$B$3,Einstellungen!$B$4)</f>
        <v>29.13</v>
      </c>
      <c r="E18698" s="14" t="str">
        <f aca="false">IF(C18698="","",C18698*D18698/100)</f>
        <v/>
      </c>
      <c r="F18698" s="15" t="str">
        <f aca="false">IF(B18698&lt;5,"Go","Standard")</f>
        <v>Standard</v>
      </c>
    </row>
    <row r="18699" customFormat="false" ht="15" hidden="false" customHeight="true" outlineLevel="0" collapsed="false">
      <c r="A18699" s="10" t="n">
        <f aca="false">Einstellungen!$B$5+INT((ROW()-9)/24)</f>
        <v>46744</v>
      </c>
      <c r="B18699" s="11" t="n">
        <f aca="false">MOD(ROW()-9,24)</f>
        <v>18</v>
      </c>
      <c r="C18699" s="12"/>
      <c r="D18699" s="13" t="n">
        <f aca="false">IF(B18699&lt;5,Einstellungen!$B$3,Einstellungen!$B$4)</f>
        <v>29.13</v>
      </c>
      <c r="E18699" s="14" t="str">
        <f aca="false">IF(C18699="","",C18699*D18699/100)</f>
        <v/>
      </c>
      <c r="F18699" s="15" t="str">
        <f aca="false">IF(B18699&lt;5,"Go","Standard")</f>
        <v>Standard</v>
      </c>
    </row>
    <row r="18700" customFormat="false" ht="15" hidden="false" customHeight="true" outlineLevel="0" collapsed="false">
      <c r="A18700" s="10" t="n">
        <f aca="false">Einstellungen!$B$5+INT((ROW()-9)/24)</f>
        <v>46744</v>
      </c>
      <c r="B18700" s="11" t="n">
        <f aca="false">MOD(ROW()-9,24)</f>
        <v>19</v>
      </c>
      <c r="C18700" s="12"/>
      <c r="D18700" s="13" t="n">
        <f aca="false">IF(B18700&lt;5,Einstellungen!$B$3,Einstellungen!$B$4)</f>
        <v>29.13</v>
      </c>
      <c r="E18700" s="14" t="str">
        <f aca="false">IF(C18700="","",C18700*D18700/100)</f>
        <v/>
      </c>
      <c r="F18700" s="15" t="str">
        <f aca="false">IF(B18700&lt;5,"Go","Standard")</f>
        <v>Standard</v>
      </c>
    </row>
    <row r="18701" customFormat="false" ht="15" hidden="false" customHeight="true" outlineLevel="0" collapsed="false">
      <c r="A18701" s="10" t="n">
        <f aca="false">Einstellungen!$B$5+INT((ROW()-9)/24)</f>
        <v>46744</v>
      </c>
      <c r="B18701" s="11" t="n">
        <f aca="false">MOD(ROW()-9,24)</f>
        <v>20</v>
      </c>
      <c r="C18701" s="12"/>
      <c r="D18701" s="13" t="n">
        <f aca="false">IF(B18701&lt;5,Einstellungen!$B$3,Einstellungen!$B$4)</f>
        <v>29.13</v>
      </c>
      <c r="E18701" s="14" t="str">
        <f aca="false">IF(C18701="","",C18701*D18701/100)</f>
        <v/>
      </c>
      <c r="F18701" s="15" t="str">
        <f aca="false">IF(B18701&lt;5,"Go","Standard")</f>
        <v>Standard</v>
      </c>
    </row>
    <row r="18702" customFormat="false" ht="15" hidden="false" customHeight="true" outlineLevel="0" collapsed="false">
      <c r="A18702" s="10" t="n">
        <f aca="false">Einstellungen!$B$5+INT((ROW()-9)/24)</f>
        <v>46744</v>
      </c>
      <c r="B18702" s="11" t="n">
        <f aca="false">MOD(ROW()-9,24)</f>
        <v>21</v>
      </c>
      <c r="C18702" s="12"/>
      <c r="D18702" s="13" t="n">
        <f aca="false">IF(B18702&lt;5,Einstellungen!$B$3,Einstellungen!$B$4)</f>
        <v>29.13</v>
      </c>
      <c r="E18702" s="14" t="str">
        <f aca="false">IF(C18702="","",C18702*D18702/100)</f>
        <v/>
      </c>
      <c r="F18702" s="15" t="str">
        <f aca="false">IF(B18702&lt;5,"Go","Standard")</f>
        <v>Standard</v>
      </c>
    </row>
    <row r="18703" customFormat="false" ht="15" hidden="false" customHeight="true" outlineLevel="0" collapsed="false">
      <c r="A18703" s="10" t="n">
        <f aca="false">Einstellungen!$B$5+INT((ROW()-9)/24)</f>
        <v>46744</v>
      </c>
      <c r="B18703" s="11" t="n">
        <f aca="false">MOD(ROW()-9,24)</f>
        <v>22</v>
      </c>
      <c r="C18703" s="12"/>
      <c r="D18703" s="13" t="n">
        <f aca="false">IF(B18703&lt;5,Einstellungen!$B$3,Einstellungen!$B$4)</f>
        <v>29.13</v>
      </c>
      <c r="E18703" s="14" t="str">
        <f aca="false">IF(C18703="","",C18703*D18703/100)</f>
        <v/>
      </c>
      <c r="F18703" s="15" t="str">
        <f aca="false">IF(B18703&lt;5,"Go","Standard")</f>
        <v>Standard</v>
      </c>
    </row>
    <row r="18704" customFormat="false" ht="15" hidden="false" customHeight="true" outlineLevel="0" collapsed="false">
      <c r="A18704" s="10" t="n">
        <f aca="false">Einstellungen!$B$5+INT((ROW()-9)/24)</f>
        <v>46744</v>
      </c>
      <c r="B18704" s="11" t="n">
        <f aca="false">MOD(ROW()-9,24)</f>
        <v>23</v>
      </c>
      <c r="C18704" s="12"/>
      <c r="D18704" s="13" t="n">
        <f aca="false">IF(B18704&lt;5,Einstellungen!$B$3,Einstellungen!$B$4)</f>
        <v>29.13</v>
      </c>
      <c r="E18704" s="14" t="str">
        <f aca="false">IF(C18704="","",C18704*D18704/100)</f>
        <v/>
      </c>
      <c r="F18704" s="15" t="str">
        <f aca="false">IF(B18704&lt;5,"Go","Standard")</f>
        <v>Standard</v>
      </c>
    </row>
    <row r="18705" customFormat="false" ht="15" hidden="false" customHeight="true" outlineLevel="0" collapsed="false">
      <c r="A18705" s="10" t="n">
        <f aca="false">Einstellungen!$B$5+INT((ROW()-9)/24)</f>
        <v>46745</v>
      </c>
      <c r="B18705" s="11" t="n">
        <f aca="false">MOD(ROW()-9,24)</f>
        <v>0</v>
      </c>
      <c r="C18705" s="12"/>
      <c r="D18705" s="13" t="n">
        <f aca="false">IF(B18705&lt;5,Einstellungen!$B$3,Einstellungen!$B$4)</f>
        <v>15.92</v>
      </c>
      <c r="E18705" s="14" t="str">
        <f aca="false">IF(C18705="","",C18705*D18705/100)</f>
        <v/>
      </c>
      <c r="F18705" s="15" t="str">
        <f aca="false">IF(B18705&lt;5,"Go","Standard")</f>
        <v>Go</v>
      </c>
    </row>
    <row r="18706" customFormat="false" ht="15" hidden="false" customHeight="true" outlineLevel="0" collapsed="false">
      <c r="A18706" s="10" t="n">
        <f aca="false">Einstellungen!$B$5+INT((ROW()-9)/24)</f>
        <v>46745</v>
      </c>
      <c r="B18706" s="11" t="n">
        <f aca="false">MOD(ROW()-9,24)</f>
        <v>1</v>
      </c>
      <c r="C18706" s="12"/>
      <c r="D18706" s="13" t="n">
        <f aca="false">IF(B18706&lt;5,Einstellungen!$B$3,Einstellungen!$B$4)</f>
        <v>15.92</v>
      </c>
      <c r="E18706" s="14" t="str">
        <f aca="false">IF(C18706="","",C18706*D18706/100)</f>
        <v/>
      </c>
      <c r="F18706" s="15" t="str">
        <f aca="false">IF(B18706&lt;5,"Go","Standard")</f>
        <v>Go</v>
      </c>
    </row>
    <row r="18707" customFormat="false" ht="15" hidden="false" customHeight="true" outlineLevel="0" collapsed="false">
      <c r="A18707" s="10" t="n">
        <f aca="false">Einstellungen!$B$5+INT((ROW()-9)/24)</f>
        <v>46745</v>
      </c>
      <c r="B18707" s="11" t="n">
        <f aca="false">MOD(ROW()-9,24)</f>
        <v>2</v>
      </c>
      <c r="C18707" s="12"/>
      <c r="D18707" s="13" t="n">
        <f aca="false">IF(B18707&lt;5,Einstellungen!$B$3,Einstellungen!$B$4)</f>
        <v>15.92</v>
      </c>
      <c r="E18707" s="14" t="str">
        <f aca="false">IF(C18707="","",C18707*D18707/100)</f>
        <v/>
      </c>
      <c r="F18707" s="15" t="str">
        <f aca="false">IF(B18707&lt;5,"Go","Standard")</f>
        <v>Go</v>
      </c>
    </row>
    <row r="18708" customFormat="false" ht="15" hidden="false" customHeight="true" outlineLevel="0" collapsed="false">
      <c r="A18708" s="10" t="n">
        <f aca="false">Einstellungen!$B$5+INT((ROW()-9)/24)</f>
        <v>46745</v>
      </c>
      <c r="B18708" s="11" t="n">
        <f aca="false">MOD(ROW()-9,24)</f>
        <v>3</v>
      </c>
      <c r="C18708" s="12"/>
      <c r="D18708" s="13" t="n">
        <f aca="false">IF(B18708&lt;5,Einstellungen!$B$3,Einstellungen!$B$4)</f>
        <v>15.92</v>
      </c>
      <c r="E18708" s="14" t="str">
        <f aca="false">IF(C18708="","",C18708*D18708/100)</f>
        <v/>
      </c>
      <c r="F18708" s="15" t="str">
        <f aca="false">IF(B18708&lt;5,"Go","Standard")</f>
        <v>Go</v>
      </c>
    </row>
    <row r="18709" customFormat="false" ht="15" hidden="false" customHeight="true" outlineLevel="0" collapsed="false">
      <c r="A18709" s="10" t="n">
        <f aca="false">Einstellungen!$B$5+INT((ROW()-9)/24)</f>
        <v>46745</v>
      </c>
      <c r="B18709" s="11" t="n">
        <f aca="false">MOD(ROW()-9,24)</f>
        <v>4</v>
      </c>
      <c r="C18709" s="12"/>
      <c r="D18709" s="13" t="n">
        <f aca="false">IF(B18709&lt;5,Einstellungen!$B$3,Einstellungen!$B$4)</f>
        <v>15.92</v>
      </c>
      <c r="E18709" s="14" t="str">
        <f aca="false">IF(C18709="","",C18709*D18709/100)</f>
        <v/>
      </c>
      <c r="F18709" s="15" t="str">
        <f aca="false">IF(B18709&lt;5,"Go","Standard")</f>
        <v>Go</v>
      </c>
    </row>
    <row r="18710" customFormat="false" ht="15" hidden="false" customHeight="true" outlineLevel="0" collapsed="false">
      <c r="A18710" s="10" t="n">
        <f aca="false">Einstellungen!$B$5+INT((ROW()-9)/24)</f>
        <v>46745</v>
      </c>
      <c r="B18710" s="11" t="n">
        <f aca="false">MOD(ROW()-9,24)</f>
        <v>5</v>
      </c>
      <c r="C18710" s="12"/>
      <c r="D18710" s="13" t="n">
        <f aca="false">IF(B18710&lt;5,Einstellungen!$B$3,Einstellungen!$B$4)</f>
        <v>29.13</v>
      </c>
      <c r="E18710" s="14" t="str">
        <f aca="false">IF(C18710="","",C18710*D18710/100)</f>
        <v/>
      </c>
      <c r="F18710" s="15" t="str">
        <f aca="false">IF(B18710&lt;5,"Go","Standard")</f>
        <v>Standard</v>
      </c>
    </row>
    <row r="18711" customFormat="false" ht="15" hidden="false" customHeight="true" outlineLevel="0" collapsed="false">
      <c r="A18711" s="10" t="n">
        <f aca="false">Einstellungen!$B$5+INT((ROW()-9)/24)</f>
        <v>46745</v>
      </c>
      <c r="B18711" s="11" t="n">
        <f aca="false">MOD(ROW()-9,24)</f>
        <v>6</v>
      </c>
      <c r="C18711" s="12"/>
      <c r="D18711" s="13" t="n">
        <f aca="false">IF(B18711&lt;5,Einstellungen!$B$3,Einstellungen!$B$4)</f>
        <v>29.13</v>
      </c>
      <c r="E18711" s="14" t="str">
        <f aca="false">IF(C18711="","",C18711*D18711/100)</f>
        <v/>
      </c>
      <c r="F18711" s="15" t="str">
        <f aca="false">IF(B18711&lt;5,"Go","Standard")</f>
        <v>Standard</v>
      </c>
    </row>
    <row r="18712" customFormat="false" ht="15" hidden="false" customHeight="true" outlineLevel="0" collapsed="false">
      <c r="A18712" s="10" t="n">
        <f aca="false">Einstellungen!$B$5+INT((ROW()-9)/24)</f>
        <v>46745</v>
      </c>
      <c r="B18712" s="11" t="n">
        <f aca="false">MOD(ROW()-9,24)</f>
        <v>7</v>
      </c>
      <c r="C18712" s="12"/>
      <c r="D18712" s="13" t="n">
        <f aca="false">IF(B18712&lt;5,Einstellungen!$B$3,Einstellungen!$B$4)</f>
        <v>29.13</v>
      </c>
      <c r="E18712" s="14" t="str">
        <f aca="false">IF(C18712="","",C18712*D18712/100)</f>
        <v/>
      </c>
      <c r="F18712" s="15" t="str">
        <f aca="false">IF(B18712&lt;5,"Go","Standard")</f>
        <v>Standard</v>
      </c>
    </row>
    <row r="18713" customFormat="false" ht="15" hidden="false" customHeight="true" outlineLevel="0" collapsed="false">
      <c r="A18713" s="10" t="n">
        <f aca="false">Einstellungen!$B$5+INT((ROW()-9)/24)</f>
        <v>46745</v>
      </c>
      <c r="B18713" s="11" t="n">
        <f aca="false">MOD(ROW()-9,24)</f>
        <v>8</v>
      </c>
      <c r="C18713" s="12"/>
      <c r="D18713" s="13" t="n">
        <f aca="false">IF(B18713&lt;5,Einstellungen!$B$3,Einstellungen!$B$4)</f>
        <v>29.13</v>
      </c>
      <c r="E18713" s="14" t="str">
        <f aca="false">IF(C18713="","",C18713*D18713/100)</f>
        <v/>
      </c>
      <c r="F18713" s="15" t="str">
        <f aca="false">IF(B18713&lt;5,"Go","Standard")</f>
        <v>Standard</v>
      </c>
    </row>
    <row r="18714" customFormat="false" ht="15" hidden="false" customHeight="true" outlineLevel="0" collapsed="false">
      <c r="A18714" s="10" t="n">
        <f aca="false">Einstellungen!$B$5+INT((ROW()-9)/24)</f>
        <v>46745</v>
      </c>
      <c r="B18714" s="11" t="n">
        <f aca="false">MOD(ROW()-9,24)</f>
        <v>9</v>
      </c>
      <c r="C18714" s="12"/>
      <c r="D18714" s="13" t="n">
        <f aca="false">IF(B18714&lt;5,Einstellungen!$B$3,Einstellungen!$B$4)</f>
        <v>29.13</v>
      </c>
      <c r="E18714" s="14" t="str">
        <f aca="false">IF(C18714="","",C18714*D18714/100)</f>
        <v/>
      </c>
      <c r="F18714" s="15" t="str">
        <f aca="false">IF(B18714&lt;5,"Go","Standard")</f>
        <v>Standard</v>
      </c>
    </row>
    <row r="18715" customFormat="false" ht="15" hidden="false" customHeight="true" outlineLevel="0" collapsed="false">
      <c r="A18715" s="10" t="n">
        <f aca="false">Einstellungen!$B$5+INT((ROW()-9)/24)</f>
        <v>46745</v>
      </c>
      <c r="B18715" s="11" t="n">
        <f aca="false">MOD(ROW()-9,24)</f>
        <v>10</v>
      </c>
      <c r="C18715" s="12"/>
      <c r="D18715" s="13" t="n">
        <f aca="false">IF(B18715&lt;5,Einstellungen!$B$3,Einstellungen!$B$4)</f>
        <v>29.13</v>
      </c>
      <c r="E18715" s="14" t="str">
        <f aca="false">IF(C18715="","",C18715*D18715/100)</f>
        <v/>
      </c>
      <c r="F18715" s="15" t="str">
        <f aca="false">IF(B18715&lt;5,"Go","Standard")</f>
        <v>Standard</v>
      </c>
    </row>
    <row r="18716" customFormat="false" ht="15" hidden="false" customHeight="true" outlineLevel="0" collapsed="false">
      <c r="A18716" s="10" t="n">
        <f aca="false">Einstellungen!$B$5+INT((ROW()-9)/24)</f>
        <v>46745</v>
      </c>
      <c r="B18716" s="11" t="n">
        <f aca="false">MOD(ROW()-9,24)</f>
        <v>11</v>
      </c>
      <c r="C18716" s="12"/>
      <c r="D18716" s="13" t="n">
        <f aca="false">IF(B18716&lt;5,Einstellungen!$B$3,Einstellungen!$B$4)</f>
        <v>29.13</v>
      </c>
      <c r="E18716" s="14" t="str">
        <f aca="false">IF(C18716="","",C18716*D18716/100)</f>
        <v/>
      </c>
      <c r="F18716" s="15" t="str">
        <f aca="false">IF(B18716&lt;5,"Go","Standard")</f>
        <v>Standard</v>
      </c>
    </row>
    <row r="18717" customFormat="false" ht="15" hidden="false" customHeight="true" outlineLevel="0" collapsed="false">
      <c r="A18717" s="10" t="n">
        <f aca="false">Einstellungen!$B$5+INT((ROW()-9)/24)</f>
        <v>46745</v>
      </c>
      <c r="B18717" s="11" t="n">
        <f aca="false">MOD(ROW()-9,24)</f>
        <v>12</v>
      </c>
      <c r="C18717" s="12"/>
      <c r="D18717" s="13" t="n">
        <f aca="false">IF(B18717&lt;5,Einstellungen!$B$3,Einstellungen!$B$4)</f>
        <v>29.13</v>
      </c>
      <c r="E18717" s="14" t="str">
        <f aca="false">IF(C18717="","",C18717*D18717/100)</f>
        <v/>
      </c>
      <c r="F18717" s="15" t="str">
        <f aca="false">IF(B18717&lt;5,"Go","Standard")</f>
        <v>Standard</v>
      </c>
    </row>
    <row r="18718" customFormat="false" ht="15" hidden="false" customHeight="true" outlineLevel="0" collapsed="false">
      <c r="A18718" s="10" t="n">
        <f aca="false">Einstellungen!$B$5+INT((ROW()-9)/24)</f>
        <v>46745</v>
      </c>
      <c r="B18718" s="11" t="n">
        <f aca="false">MOD(ROW()-9,24)</f>
        <v>13</v>
      </c>
      <c r="C18718" s="12"/>
      <c r="D18718" s="13" t="n">
        <f aca="false">IF(B18718&lt;5,Einstellungen!$B$3,Einstellungen!$B$4)</f>
        <v>29.13</v>
      </c>
      <c r="E18718" s="14" t="str">
        <f aca="false">IF(C18718="","",C18718*D18718/100)</f>
        <v/>
      </c>
      <c r="F18718" s="15" t="str">
        <f aca="false">IF(B18718&lt;5,"Go","Standard")</f>
        <v>Standard</v>
      </c>
    </row>
    <row r="18719" customFormat="false" ht="15" hidden="false" customHeight="true" outlineLevel="0" collapsed="false">
      <c r="A18719" s="10" t="n">
        <f aca="false">Einstellungen!$B$5+INT((ROW()-9)/24)</f>
        <v>46745</v>
      </c>
      <c r="B18719" s="11" t="n">
        <f aca="false">MOD(ROW()-9,24)</f>
        <v>14</v>
      </c>
      <c r="C18719" s="12"/>
      <c r="D18719" s="13" t="n">
        <f aca="false">IF(B18719&lt;5,Einstellungen!$B$3,Einstellungen!$B$4)</f>
        <v>29.13</v>
      </c>
      <c r="E18719" s="14" t="str">
        <f aca="false">IF(C18719="","",C18719*D18719/100)</f>
        <v/>
      </c>
      <c r="F18719" s="15" t="str">
        <f aca="false">IF(B18719&lt;5,"Go","Standard")</f>
        <v>Standard</v>
      </c>
    </row>
    <row r="18720" customFormat="false" ht="15" hidden="false" customHeight="true" outlineLevel="0" collapsed="false">
      <c r="A18720" s="10" t="n">
        <f aca="false">Einstellungen!$B$5+INT((ROW()-9)/24)</f>
        <v>46745</v>
      </c>
      <c r="B18720" s="11" t="n">
        <f aca="false">MOD(ROW()-9,24)</f>
        <v>15</v>
      </c>
      <c r="C18720" s="12"/>
      <c r="D18720" s="13" t="n">
        <f aca="false">IF(B18720&lt;5,Einstellungen!$B$3,Einstellungen!$B$4)</f>
        <v>29.13</v>
      </c>
      <c r="E18720" s="14" t="str">
        <f aca="false">IF(C18720="","",C18720*D18720/100)</f>
        <v/>
      </c>
      <c r="F18720" s="15" t="str">
        <f aca="false">IF(B18720&lt;5,"Go","Standard")</f>
        <v>Standard</v>
      </c>
    </row>
    <row r="18721" customFormat="false" ht="15" hidden="false" customHeight="true" outlineLevel="0" collapsed="false">
      <c r="A18721" s="10" t="n">
        <f aca="false">Einstellungen!$B$5+INT((ROW()-9)/24)</f>
        <v>46745</v>
      </c>
      <c r="B18721" s="11" t="n">
        <f aca="false">MOD(ROW()-9,24)</f>
        <v>16</v>
      </c>
      <c r="C18721" s="12"/>
      <c r="D18721" s="13" t="n">
        <f aca="false">IF(B18721&lt;5,Einstellungen!$B$3,Einstellungen!$B$4)</f>
        <v>29.13</v>
      </c>
      <c r="E18721" s="14" t="str">
        <f aca="false">IF(C18721="","",C18721*D18721/100)</f>
        <v/>
      </c>
      <c r="F18721" s="15" t="str">
        <f aca="false">IF(B18721&lt;5,"Go","Standard")</f>
        <v>Standard</v>
      </c>
    </row>
    <row r="18722" customFormat="false" ht="15" hidden="false" customHeight="true" outlineLevel="0" collapsed="false">
      <c r="A18722" s="10" t="n">
        <f aca="false">Einstellungen!$B$5+INT((ROW()-9)/24)</f>
        <v>46745</v>
      </c>
      <c r="B18722" s="11" t="n">
        <f aca="false">MOD(ROW()-9,24)</f>
        <v>17</v>
      </c>
      <c r="C18722" s="12"/>
      <c r="D18722" s="13" t="n">
        <f aca="false">IF(B18722&lt;5,Einstellungen!$B$3,Einstellungen!$B$4)</f>
        <v>29.13</v>
      </c>
      <c r="E18722" s="14" t="str">
        <f aca="false">IF(C18722="","",C18722*D18722/100)</f>
        <v/>
      </c>
      <c r="F18722" s="15" t="str">
        <f aca="false">IF(B18722&lt;5,"Go","Standard")</f>
        <v>Standard</v>
      </c>
    </row>
    <row r="18723" customFormat="false" ht="15" hidden="false" customHeight="true" outlineLevel="0" collapsed="false">
      <c r="A18723" s="10" t="n">
        <f aca="false">Einstellungen!$B$5+INT((ROW()-9)/24)</f>
        <v>46745</v>
      </c>
      <c r="B18723" s="11" t="n">
        <f aca="false">MOD(ROW()-9,24)</f>
        <v>18</v>
      </c>
      <c r="C18723" s="12"/>
      <c r="D18723" s="13" t="n">
        <f aca="false">IF(B18723&lt;5,Einstellungen!$B$3,Einstellungen!$B$4)</f>
        <v>29.13</v>
      </c>
      <c r="E18723" s="14" t="str">
        <f aca="false">IF(C18723="","",C18723*D18723/100)</f>
        <v/>
      </c>
      <c r="F18723" s="15" t="str">
        <f aca="false">IF(B18723&lt;5,"Go","Standard")</f>
        <v>Standard</v>
      </c>
    </row>
    <row r="18724" customFormat="false" ht="15" hidden="false" customHeight="true" outlineLevel="0" collapsed="false">
      <c r="A18724" s="10" t="n">
        <f aca="false">Einstellungen!$B$5+INT((ROW()-9)/24)</f>
        <v>46745</v>
      </c>
      <c r="B18724" s="11" t="n">
        <f aca="false">MOD(ROW()-9,24)</f>
        <v>19</v>
      </c>
      <c r="C18724" s="12"/>
      <c r="D18724" s="13" t="n">
        <f aca="false">IF(B18724&lt;5,Einstellungen!$B$3,Einstellungen!$B$4)</f>
        <v>29.13</v>
      </c>
      <c r="E18724" s="14" t="str">
        <f aca="false">IF(C18724="","",C18724*D18724/100)</f>
        <v/>
      </c>
      <c r="F18724" s="15" t="str">
        <f aca="false">IF(B18724&lt;5,"Go","Standard")</f>
        <v>Standard</v>
      </c>
    </row>
    <row r="18725" customFormat="false" ht="15" hidden="false" customHeight="true" outlineLevel="0" collapsed="false">
      <c r="A18725" s="10" t="n">
        <f aca="false">Einstellungen!$B$5+INT((ROW()-9)/24)</f>
        <v>46745</v>
      </c>
      <c r="B18725" s="11" t="n">
        <f aca="false">MOD(ROW()-9,24)</f>
        <v>20</v>
      </c>
      <c r="C18725" s="12"/>
      <c r="D18725" s="13" t="n">
        <f aca="false">IF(B18725&lt;5,Einstellungen!$B$3,Einstellungen!$B$4)</f>
        <v>29.13</v>
      </c>
      <c r="E18725" s="14" t="str">
        <f aca="false">IF(C18725="","",C18725*D18725/100)</f>
        <v/>
      </c>
      <c r="F18725" s="15" t="str">
        <f aca="false">IF(B18725&lt;5,"Go","Standard")</f>
        <v>Standard</v>
      </c>
    </row>
    <row r="18726" customFormat="false" ht="15" hidden="false" customHeight="true" outlineLevel="0" collapsed="false">
      <c r="A18726" s="10" t="n">
        <f aca="false">Einstellungen!$B$5+INT((ROW()-9)/24)</f>
        <v>46745</v>
      </c>
      <c r="B18726" s="11" t="n">
        <f aca="false">MOD(ROW()-9,24)</f>
        <v>21</v>
      </c>
      <c r="C18726" s="12"/>
      <c r="D18726" s="13" t="n">
        <f aca="false">IF(B18726&lt;5,Einstellungen!$B$3,Einstellungen!$B$4)</f>
        <v>29.13</v>
      </c>
      <c r="E18726" s="14" t="str">
        <f aca="false">IF(C18726="","",C18726*D18726/100)</f>
        <v/>
      </c>
      <c r="F18726" s="15" t="str">
        <f aca="false">IF(B18726&lt;5,"Go","Standard")</f>
        <v>Standard</v>
      </c>
    </row>
    <row r="18727" customFormat="false" ht="15" hidden="false" customHeight="true" outlineLevel="0" collapsed="false">
      <c r="A18727" s="10" t="n">
        <f aca="false">Einstellungen!$B$5+INT((ROW()-9)/24)</f>
        <v>46745</v>
      </c>
      <c r="B18727" s="11" t="n">
        <f aca="false">MOD(ROW()-9,24)</f>
        <v>22</v>
      </c>
      <c r="C18727" s="12"/>
      <c r="D18727" s="13" t="n">
        <f aca="false">IF(B18727&lt;5,Einstellungen!$B$3,Einstellungen!$B$4)</f>
        <v>29.13</v>
      </c>
      <c r="E18727" s="14" t="str">
        <f aca="false">IF(C18727="","",C18727*D18727/100)</f>
        <v/>
      </c>
      <c r="F18727" s="15" t="str">
        <f aca="false">IF(B18727&lt;5,"Go","Standard")</f>
        <v>Standard</v>
      </c>
    </row>
    <row r="18728" customFormat="false" ht="15" hidden="false" customHeight="true" outlineLevel="0" collapsed="false">
      <c r="A18728" s="10" t="n">
        <f aca="false">Einstellungen!$B$5+INT((ROW()-9)/24)</f>
        <v>46745</v>
      </c>
      <c r="B18728" s="11" t="n">
        <f aca="false">MOD(ROW()-9,24)</f>
        <v>23</v>
      </c>
      <c r="C18728" s="12"/>
      <c r="D18728" s="13" t="n">
        <f aca="false">IF(B18728&lt;5,Einstellungen!$B$3,Einstellungen!$B$4)</f>
        <v>29.13</v>
      </c>
      <c r="E18728" s="14" t="str">
        <f aca="false">IF(C18728="","",C18728*D18728/100)</f>
        <v/>
      </c>
      <c r="F18728" s="15" t="str">
        <f aca="false">IF(B18728&lt;5,"Go","Standard")</f>
        <v>Standard</v>
      </c>
    </row>
    <row r="18729" customFormat="false" ht="15" hidden="false" customHeight="true" outlineLevel="0" collapsed="false">
      <c r="A18729" s="10" t="n">
        <f aca="false">Einstellungen!$B$5+INT((ROW()-9)/24)</f>
        <v>46746</v>
      </c>
      <c r="B18729" s="11" t="n">
        <f aca="false">MOD(ROW()-9,24)</f>
        <v>0</v>
      </c>
      <c r="C18729" s="12"/>
      <c r="D18729" s="13" t="n">
        <f aca="false">IF(B18729&lt;5,Einstellungen!$B$3,Einstellungen!$B$4)</f>
        <v>15.92</v>
      </c>
      <c r="E18729" s="14" t="str">
        <f aca="false">IF(C18729="","",C18729*D18729/100)</f>
        <v/>
      </c>
      <c r="F18729" s="15" t="str">
        <f aca="false">IF(B18729&lt;5,"Go","Standard")</f>
        <v>Go</v>
      </c>
    </row>
    <row r="18730" customFormat="false" ht="15" hidden="false" customHeight="true" outlineLevel="0" collapsed="false">
      <c r="A18730" s="10" t="n">
        <f aca="false">Einstellungen!$B$5+INT((ROW()-9)/24)</f>
        <v>46746</v>
      </c>
      <c r="B18730" s="11" t="n">
        <f aca="false">MOD(ROW()-9,24)</f>
        <v>1</v>
      </c>
      <c r="C18730" s="12"/>
      <c r="D18730" s="13" t="n">
        <f aca="false">IF(B18730&lt;5,Einstellungen!$B$3,Einstellungen!$B$4)</f>
        <v>15.92</v>
      </c>
      <c r="E18730" s="14" t="str">
        <f aca="false">IF(C18730="","",C18730*D18730/100)</f>
        <v/>
      </c>
      <c r="F18730" s="15" t="str">
        <f aca="false">IF(B18730&lt;5,"Go","Standard")</f>
        <v>Go</v>
      </c>
    </row>
    <row r="18731" customFormat="false" ht="15" hidden="false" customHeight="true" outlineLevel="0" collapsed="false">
      <c r="A18731" s="10" t="n">
        <f aca="false">Einstellungen!$B$5+INT((ROW()-9)/24)</f>
        <v>46746</v>
      </c>
      <c r="B18731" s="11" t="n">
        <f aca="false">MOD(ROW()-9,24)</f>
        <v>2</v>
      </c>
      <c r="C18731" s="12"/>
      <c r="D18731" s="13" t="n">
        <f aca="false">IF(B18731&lt;5,Einstellungen!$B$3,Einstellungen!$B$4)</f>
        <v>15.92</v>
      </c>
      <c r="E18731" s="14" t="str">
        <f aca="false">IF(C18731="","",C18731*D18731/100)</f>
        <v/>
      </c>
      <c r="F18731" s="15" t="str">
        <f aca="false">IF(B18731&lt;5,"Go","Standard")</f>
        <v>Go</v>
      </c>
    </row>
    <row r="18732" customFormat="false" ht="15" hidden="false" customHeight="true" outlineLevel="0" collapsed="false">
      <c r="A18732" s="10" t="n">
        <f aca="false">Einstellungen!$B$5+INT((ROW()-9)/24)</f>
        <v>46746</v>
      </c>
      <c r="B18732" s="11" t="n">
        <f aca="false">MOD(ROW()-9,24)</f>
        <v>3</v>
      </c>
      <c r="C18732" s="12"/>
      <c r="D18732" s="13" t="n">
        <f aca="false">IF(B18732&lt;5,Einstellungen!$B$3,Einstellungen!$B$4)</f>
        <v>15.92</v>
      </c>
      <c r="E18732" s="14" t="str">
        <f aca="false">IF(C18732="","",C18732*D18732/100)</f>
        <v/>
      </c>
      <c r="F18732" s="15" t="str">
        <f aca="false">IF(B18732&lt;5,"Go","Standard")</f>
        <v>Go</v>
      </c>
    </row>
    <row r="18733" customFormat="false" ht="15" hidden="false" customHeight="true" outlineLevel="0" collapsed="false">
      <c r="A18733" s="10" t="n">
        <f aca="false">Einstellungen!$B$5+INT((ROW()-9)/24)</f>
        <v>46746</v>
      </c>
      <c r="B18733" s="11" t="n">
        <f aca="false">MOD(ROW()-9,24)</f>
        <v>4</v>
      </c>
      <c r="C18733" s="12"/>
      <c r="D18733" s="13" t="n">
        <f aca="false">IF(B18733&lt;5,Einstellungen!$B$3,Einstellungen!$B$4)</f>
        <v>15.92</v>
      </c>
      <c r="E18733" s="14" t="str">
        <f aca="false">IF(C18733="","",C18733*D18733/100)</f>
        <v/>
      </c>
      <c r="F18733" s="15" t="str">
        <f aca="false">IF(B18733&lt;5,"Go","Standard")</f>
        <v>Go</v>
      </c>
    </row>
    <row r="18734" customFormat="false" ht="15" hidden="false" customHeight="true" outlineLevel="0" collapsed="false">
      <c r="A18734" s="10" t="n">
        <f aca="false">Einstellungen!$B$5+INT((ROW()-9)/24)</f>
        <v>46746</v>
      </c>
      <c r="B18734" s="11" t="n">
        <f aca="false">MOD(ROW()-9,24)</f>
        <v>5</v>
      </c>
      <c r="C18734" s="12"/>
      <c r="D18734" s="13" t="n">
        <f aca="false">IF(B18734&lt;5,Einstellungen!$B$3,Einstellungen!$B$4)</f>
        <v>29.13</v>
      </c>
      <c r="E18734" s="14" t="str">
        <f aca="false">IF(C18734="","",C18734*D18734/100)</f>
        <v/>
      </c>
      <c r="F18734" s="15" t="str">
        <f aca="false">IF(B18734&lt;5,"Go","Standard")</f>
        <v>Standard</v>
      </c>
    </row>
    <row r="18735" customFormat="false" ht="15" hidden="false" customHeight="true" outlineLevel="0" collapsed="false">
      <c r="A18735" s="10" t="n">
        <f aca="false">Einstellungen!$B$5+INT((ROW()-9)/24)</f>
        <v>46746</v>
      </c>
      <c r="B18735" s="11" t="n">
        <f aca="false">MOD(ROW()-9,24)</f>
        <v>6</v>
      </c>
      <c r="C18735" s="12"/>
      <c r="D18735" s="13" t="n">
        <f aca="false">IF(B18735&lt;5,Einstellungen!$B$3,Einstellungen!$B$4)</f>
        <v>29.13</v>
      </c>
      <c r="E18735" s="14" t="str">
        <f aca="false">IF(C18735="","",C18735*D18735/100)</f>
        <v/>
      </c>
      <c r="F18735" s="15" t="str">
        <f aca="false">IF(B18735&lt;5,"Go","Standard")</f>
        <v>Standard</v>
      </c>
    </row>
    <row r="18736" customFormat="false" ht="15" hidden="false" customHeight="true" outlineLevel="0" collapsed="false">
      <c r="A18736" s="10" t="n">
        <f aca="false">Einstellungen!$B$5+INT((ROW()-9)/24)</f>
        <v>46746</v>
      </c>
      <c r="B18736" s="11" t="n">
        <f aca="false">MOD(ROW()-9,24)</f>
        <v>7</v>
      </c>
      <c r="C18736" s="12"/>
      <c r="D18736" s="13" t="n">
        <f aca="false">IF(B18736&lt;5,Einstellungen!$B$3,Einstellungen!$B$4)</f>
        <v>29.13</v>
      </c>
      <c r="E18736" s="14" t="str">
        <f aca="false">IF(C18736="","",C18736*D18736/100)</f>
        <v/>
      </c>
      <c r="F18736" s="15" t="str">
        <f aca="false">IF(B18736&lt;5,"Go","Standard")</f>
        <v>Standard</v>
      </c>
    </row>
    <row r="18737" customFormat="false" ht="15" hidden="false" customHeight="true" outlineLevel="0" collapsed="false">
      <c r="A18737" s="10" t="n">
        <f aca="false">Einstellungen!$B$5+INT((ROW()-9)/24)</f>
        <v>46746</v>
      </c>
      <c r="B18737" s="11" t="n">
        <f aca="false">MOD(ROW()-9,24)</f>
        <v>8</v>
      </c>
      <c r="C18737" s="12"/>
      <c r="D18737" s="13" t="n">
        <f aca="false">IF(B18737&lt;5,Einstellungen!$B$3,Einstellungen!$B$4)</f>
        <v>29.13</v>
      </c>
      <c r="E18737" s="14" t="str">
        <f aca="false">IF(C18737="","",C18737*D18737/100)</f>
        <v/>
      </c>
      <c r="F18737" s="15" t="str">
        <f aca="false">IF(B18737&lt;5,"Go","Standard")</f>
        <v>Standard</v>
      </c>
    </row>
    <row r="18738" customFormat="false" ht="15" hidden="false" customHeight="true" outlineLevel="0" collapsed="false">
      <c r="A18738" s="10" t="n">
        <f aca="false">Einstellungen!$B$5+INT((ROW()-9)/24)</f>
        <v>46746</v>
      </c>
      <c r="B18738" s="11" t="n">
        <f aca="false">MOD(ROW()-9,24)</f>
        <v>9</v>
      </c>
      <c r="C18738" s="12"/>
      <c r="D18738" s="13" t="n">
        <f aca="false">IF(B18738&lt;5,Einstellungen!$B$3,Einstellungen!$B$4)</f>
        <v>29.13</v>
      </c>
      <c r="E18738" s="14" t="str">
        <f aca="false">IF(C18738="","",C18738*D18738/100)</f>
        <v/>
      </c>
      <c r="F18738" s="15" t="str">
        <f aca="false">IF(B18738&lt;5,"Go","Standard")</f>
        <v>Standard</v>
      </c>
    </row>
    <row r="18739" customFormat="false" ht="15" hidden="false" customHeight="true" outlineLevel="0" collapsed="false">
      <c r="A18739" s="10" t="n">
        <f aca="false">Einstellungen!$B$5+INT((ROW()-9)/24)</f>
        <v>46746</v>
      </c>
      <c r="B18739" s="11" t="n">
        <f aca="false">MOD(ROW()-9,24)</f>
        <v>10</v>
      </c>
      <c r="C18739" s="12"/>
      <c r="D18739" s="13" t="n">
        <f aca="false">IF(B18739&lt;5,Einstellungen!$B$3,Einstellungen!$B$4)</f>
        <v>29.13</v>
      </c>
      <c r="E18739" s="14" t="str">
        <f aca="false">IF(C18739="","",C18739*D18739/100)</f>
        <v/>
      </c>
      <c r="F18739" s="15" t="str">
        <f aca="false">IF(B18739&lt;5,"Go","Standard")</f>
        <v>Standard</v>
      </c>
    </row>
    <row r="18740" customFormat="false" ht="15" hidden="false" customHeight="true" outlineLevel="0" collapsed="false">
      <c r="A18740" s="10" t="n">
        <f aca="false">Einstellungen!$B$5+INT((ROW()-9)/24)</f>
        <v>46746</v>
      </c>
      <c r="B18740" s="11" t="n">
        <f aca="false">MOD(ROW()-9,24)</f>
        <v>11</v>
      </c>
      <c r="C18740" s="12"/>
      <c r="D18740" s="13" t="n">
        <f aca="false">IF(B18740&lt;5,Einstellungen!$B$3,Einstellungen!$B$4)</f>
        <v>29.13</v>
      </c>
      <c r="E18740" s="14" t="str">
        <f aca="false">IF(C18740="","",C18740*D18740/100)</f>
        <v/>
      </c>
      <c r="F18740" s="15" t="str">
        <f aca="false">IF(B18740&lt;5,"Go","Standard")</f>
        <v>Standard</v>
      </c>
    </row>
    <row r="18741" customFormat="false" ht="15" hidden="false" customHeight="true" outlineLevel="0" collapsed="false">
      <c r="A18741" s="10" t="n">
        <f aca="false">Einstellungen!$B$5+INT((ROW()-9)/24)</f>
        <v>46746</v>
      </c>
      <c r="B18741" s="11" t="n">
        <f aca="false">MOD(ROW()-9,24)</f>
        <v>12</v>
      </c>
      <c r="C18741" s="12"/>
      <c r="D18741" s="13" t="n">
        <f aca="false">IF(B18741&lt;5,Einstellungen!$B$3,Einstellungen!$B$4)</f>
        <v>29.13</v>
      </c>
      <c r="E18741" s="14" t="str">
        <f aca="false">IF(C18741="","",C18741*D18741/100)</f>
        <v/>
      </c>
      <c r="F18741" s="15" t="str">
        <f aca="false">IF(B18741&lt;5,"Go","Standard")</f>
        <v>Standard</v>
      </c>
    </row>
    <row r="18742" customFormat="false" ht="15" hidden="false" customHeight="true" outlineLevel="0" collapsed="false">
      <c r="A18742" s="10" t="n">
        <f aca="false">Einstellungen!$B$5+INT((ROW()-9)/24)</f>
        <v>46746</v>
      </c>
      <c r="B18742" s="11" t="n">
        <f aca="false">MOD(ROW()-9,24)</f>
        <v>13</v>
      </c>
      <c r="C18742" s="12"/>
      <c r="D18742" s="13" t="n">
        <f aca="false">IF(B18742&lt;5,Einstellungen!$B$3,Einstellungen!$B$4)</f>
        <v>29.13</v>
      </c>
      <c r="E18742" s="14" t="str">
        <f aca="false">IF(C18742="","",C18742*D18742/100)</f>
        <v/>
      </c>
      <c r="F18742" s="15" t="str">
        <f aca="false">IF(B18742&lt;5,"Go","Standard")</f>
        <v>Standard</v>
      </c>
    </row>
    <row r="18743" customFormat="false" ht="15" hidden="false" customHeight="true" outlineLevel="0" collapsed="false">
      <c r="A18743" s="10" t="n">
        <f aca="false">Einstellungen!$B$5+INT((ROW()-9)/24)</f>
        <v>46746</v>
      </c>
      <c r="B18743" s="11" t="n">
        <f aca="false">MOD(ROW()-9,24)</f>
        <v>14</v>
      </c>
      <c r="C18743" s="12"/>
      <c r="D18743" s="13" t="n">
        <f aca="false">IF(B18743&lt;5,Einstellungen!$B$3,Einstellungen!$B$4)</f>
        <v>29.13</v>
      </c>
      <c r="E18743" s="14" t="str">
        <f aca="false">IF(C18743="","",C18743*D18743/100)</f>
        <v/>
      </c>
      <c r="F18743" s="15" t="str">
        <f aca="false">IF(B18743&lt;5,"Go","Standard")</f>
        <v>Standard</v>
      </c>
    </row>
    <row r="18744" customFormat="false" ht="15" hidden="false" customHeight="true" outlineLevel="0" collapsed="false">
      <c r="A18744" s="10" t="n">
        <f aca="false">Einstellungen!$B$5+INT((ROW()-9)/24)</f>
        <v>46746</v>
      </c>
      <c r="B18744" s="11" t="n">
        <f aca="false">MOD(ROW()-9,24)</f>
        <v>15</v>
      </c>
      <c r="C18744" s="12"/>
      <c r="D18744" s="13" t="n">
        <f aca="false">IF(B18744&lt;5,Einstellungen!$B$3,Einstellungen!$B$4)</f>
        <v>29.13</v>
      </c>
      <c r="E18744" s="14" t="str">
        <f aca="false">IF(C18744="","",C18744*D18744/100)</f>
        <v/>
      </c>
      <c r="F18744" s="15" t="str">
        <f aca="false">IF(B18744&lt;5,"Go","Standard")</f>
        <v>Standard</v>
      </c>
    </row>
    <row r="18745" customFormat="false" ht="15" hidden="false" customHeight="true" outlineLevel="0" collapsed="false">
      <c r="A18745" s="10" t="n">
        <f aca="false">Einstellungen!$B$5+INT((ROW()-9)/24)</f>
        <v>46746</v>
      </c>
      <c r="B18745" s="11" t="n">
        <f aca="false">MOD(ROW()-9,24)</f>
        <v>16</v>
      </c>
      <c r="C18745" s="12"/>
      <c r="D18745" s="13" t="n">
        <f aca="false">IF(B18745&lt;5,Einstellungen!$B$3,Einstellungen!$B$4)</f>
        <v>29.13</v>
      </c>
      <c r="E18745" s="14" t="str">
        <f aca="false">IF(C18745="","",C18745*D18745/100)</f>
        <v/>
      </c>
      <c r="F18745" s="15" t="str">
        <f aca="false">IF(B18745&lt;5,"Go","Standard")</f>
        <v>Standard</v>
      </c>
    </row>
    <row r="18746" customFormat="false" ht="15" hidden="false" customHeight="true" outlineLevel="0" collapsed="false">
      <c r="A18746" s="10" t="n">
        <f aca="false">Einstellungen!$B$5+INT((ROW()-9)/24)</f>
        <v>46746</v>
      </c>
      <c r="B18746" s="11" t="n">
        <f aca="false">MOD(ROW()-9,24)</f>
        <v>17</v>
      </c>
      <c r="C18746" s="12"/>
      <c r="D18746" s="13" t="n">
        <f aca="false">IF(B18746&lt;5,Einstellungen!$B$3,Einstellungen!$B$4)</f>
        <v>29.13</v>
      </c>
      <c r="E18746" s="14" t="str">
        <f aca="false">IF(C18746="","",C18746*D18746/100)</f>
        <v/>
      </c>
      <c r="F18746" s="15" t="str">
        <f aca="false">IF(B18746&lt;5,"Go","Standard")</f>
        <v>Standard</v>
      </c>
    </row>
    <row r="18747" customFormat="false" ht="15" hidden="false" customHeight="true" outlineLevel="0" collapsed="false">
      <c r="A18747" s="10" t="n">
        <f aca="false">Einstellungen!$B$5+INT((ROW()-9)/24)</f>
        <v>46746</v>
      </c>
      <c r="B18747" s="11" t="n">
        <f aca="false">MOD(ROW()-9,24)</f>
        <v>18</v>
      </c>
      <c r="C18747" s="12"/>
      <c r="D18747" s="13" t="n">
        <f aca="false">IF(B18747&lt;5,Einstellungen!$B$3,Einstellungen!$B$4)</f>
        <v>29.13</v>
      </c>
      <c r="E18747" s="14" t="str">
        <f aca="false">IF(C18747="","",C18747*D18747/100)</f>
        <v/>
      </c>
      <c r="F18747" s="15" t="str">
        <f aca="false">IF(B18747&lt;5,"Go","Standard")</f>
        <v>Standard</v>
      </c>
    </row>
    <row r="18748" customFormat="false" ht="15" hidden="false" customHeight="true" outlineLevel="0" collapsed="false">
      <c r="A18748" s="10" t="n">
        <f aca="false">Einstellungen!$B$5+INT((ROW()-9)/24)</f>
        <v>46746</v>
      </c>
      <c r="B18748" s="11" t="n">
        <f aca="false">MOD(ROW()-9,24)</f>
        <v>19</v>
      </c>
      <c r="C18748" s="12"/>
      <c r="D18748" s="13" t="n">
        <f aca="false">IF(B18748&lt;5,Einstellungen!$B$3,Einstellungen!$B$4)</f>
        <v>29.13</v>
      </c>
      <c r="E18748" s="14" t="str">
        <f aca="false">IF(C18748="","",C18748*D18748/100)</f>
        <v/>
      </c>
      <c r="F18748" s="15" t="str">
        <f aca="false">IF(B18748&lt;5,"Go","Standard")</f>
        <v>Standard</v>
      </c>
    </row>
    <row r="18749" customFormat="false" ht="15" hidden="false" customHeight="true" outlineLevel="0" collapsed="false">
      <c r="A18749" s="10" t="n">
        <f aca="false">Einstellungen!$B$5+INT((ROW()-9)/24)</f>
        <v>46746</v>
      </c>
      <c r="B18749" s="11" t="n">
        <f aca="false">MOD(ROW()-9,24)</f>
        <v>20</v>
      </c>
      <c r="C18749" s="12"/>
      <c r="D18749" s="13" t="n">
        <f aca="false">IF(B18749&lt;5,Einstellungen!$B$3,Einstellungen!$B$4)</f>
        <v>29.13</v>
      </c>
      <c r="E18749" s="14" t="str">
        <f aca="false">IF(C18749="","",C18749*D18749/100)</f>
        <v/>
      </c>
      <c r="F18749" s="15" t="str">
        <f aca="false">IF(B18749&lt;5,"Go","Standard")</f>
        <v>Standard</v>
      </c>
    </row>
    <row r="18750" customFormat="false" ht="15" hidden="false" customHeight="true" outlineLevel="0" collapsed="false">
      <c r="A18750" s="10" t="n">
        <f aca="false">Einstellungen!$B$5+INT((ROW()-9)/24)</f>
        <v>46746</v>
      </c>
      <c r="B18750" s="11" t="n">
        <f aca="false">MOD(ROW()-9,24)</f>
        <v>21</v>
      </c>
      <c r="C18750" s="12"/>
      <c r="D18750" s="13" t="n">
        <f aca="false">IF(B18750&lt;5,Einstellungen!$B$3,Einstellungen!$B$4)</f>
        <v>29.13</v>
      </c>
      <c r="E18750" s="14" t="str">
        <f aca="false">IF(C18750="","",C18750*D18750/100)</f>
        <v/>
      </c>
      <c r="F18750" s="15" t="str">
        <f aca="false">IF(B18750&lt;5,"Go","Standard")</f>
        <v>Standard</v>
      </c>
    </row>
    <row r="18751" customFormat="false" ht="15" hidden="false" customHeight="true" outlineLevel="0" collapsed="false">
      <c r="A18751" s="10" t="n">
        <f aca="false">Einstellungen!$B$5+INT((ROW()-9)/24)</f>
        <v>46746</v>
      </c>
      <c r="B18751" s="11" t="n">
        <f aca="false">MOD(ROW()-9,24)</f>
        <v>22</v>
      </c>
      <c r="C18751" s="12"/>
      <c r="D18751" s="13" t="n">
        <f aca="false">IF(B18751&lt;5,Einstellungen!$B$3,Einstellungen!$B$4)</f>
        <v>29.13</v>
      </c>
      <c r="E18751" s="14" t="str">
        <f aca="false">IF(C18751="","",C18751*D18751/100)</f>
        <v/>
      </c>
      <c r="F18751" s="15" t="str">
        <f aca="false">IF(B18751&lt;5,"Go","Standard")</f>
        <v>Standard</v>
      </c>
    </row>
    <row r="18752" customFormat="false" ht="15" hidden="false" customHeight="true" outlineLevel="0" collapsed="false">
      <c r="A18752" s="10" t="n">
        <f aca="false">Einstellungen!$B$5+INT((ROW()-9)/24)</f>
        <v>46746</v>
      </c>
      <c r="B18752" s="11" t="n">
        <f aca="false">MOD(ROW()-9,24)</f>
        <v>23</v>
      </c>
      <c r="C18752" s="12"/>
      <c r="D18752" s="13" t="n">
        <f aca="false">IF(B18752&lt;5,Einstellungen!$B$3,Einstellungen!$B$4)</f>
        <v>29.13</v>
      </c>
      <c r="E18752" s="14" t="str">
        <f aca="false">IF(C18752="","",C18752*D18752/100)</f>
        <v/>
      </c>
      <c r="F18752" s="15" t="str">
        <f aca="false">IF(B18752&lt;5,"Go","Standard")</f>
        <v>Standard</v>
      </c>
    </row>
    <row r="18753" customFormat="false" ht="15" hidden="false" customHeight="true" outlineLevel="0" collapsed="false">
      <c r="A18753" s="10" t="n">
        <f aca="false">Einstellungen!$B$5+INT((ROW()-9)/24)</f>
        <v>46747</v>
      </c>
      <c r="B18753" s="11" t="n">
        <f aca="false">MOD(ROW()-9,24)</f>
        <v>0</v>
      </c>
      <c r="C18753" s="12"/>
      <c r="D18753" s="13" t="n">
        <f aca="false">IF(B18753&lt;5,Einstellungen!$B$3,Einstellungen!$B$4)</f>
        <v>15.92</v>
      </c>
      <c r="E18753" s="14" t="str">
        <f aca="false">IF(C18753="","",C18753*D18753/100)</f>
        <v/>
      </c>
      <c r="F18753" s="15" t="str">
        <f aca="false">IF(B18753&lt;5,"Go","Standard")</f>
        <v>Go</v>
      </c>
    </row>
    <row r="18754" customFormat="false" ht="15" hidden="false" customHeight="true" outlineLevel="0" collapsed="false">
      <c r="A18754" s="10" t="n">
        <f aca="false">Einstellungen!$B$5+INT((ROW()-9)/24)</f>
        <v>46747</v>
      </c>
      <c r="B18754" s="11" t="n">
        <f aca="false">MOD(ROW()-9,24)</f>
        <v>1</v>
      </c>
      <c r="C18754" s="12"/>
      <c r="D18754" s="13" t="n">
        <f aca="false">IF(B18754&lt;5,Einstellungen!$B$3,Einstellungen!$B$4)</f>
        <v>15.92</v>
      </c>
      <c r="E18754" s="14" t="str">
        <f aca="false">IF(C18754="","",C18754*D18754/100)</f>
        <v/>
      </c>
      <c r="F18754" s="15" t="str">
        <f aca="false">IF(B18754&lt;5,"Go","Standard")</f>
        <v>Go</v>
      </c>
    </row>
    <row r="18755" customFormat="false" ht="15" hidden="false" customHeight="true" outlineLevel="0" collapsed="false">
      <c r="A18755" s="10" t="n">
        <f aca="false">Einstellungen!$B$5+INT((ROW()-9)/24)</f>
        <v>46747</v>
      </c>
      <c r="B18755" s="11" t="n">
        <f aca="false">MOD(ROW()-9,24)</f>
        <v>2</v>
      </c>
      <c r="C18755" s="12"/>
      <c r="D18755" s="13" t="n">
        <f aca="false">IF(B18755&lt;5,Einstellungen!$B$3,Einstellungen!$B$4)</f>
        <v>15.92</v>
      </c>
      <c r="E18755" s="14" t="str">
        <f aca="false">IF(C18755="","",C18755*D18755/100)</f>
        <v/>
      </c>
      <c r="F18755" s="15" t="str">
        <f aca="false">IF(B18755&lt;5,"Go","Standard")</f>
        <v>Go</v>
      </c>
    </row>
    <row r="18756" customFormat="false" ht="15" hidden="false" customHeight="true" outlineLevel="0" collapsed="false">
      <c r="A18756" s="10" t="n">
        <f aca="false">Einstellungen!$B$5+INT((ROW()-9)/24)</f>
        <v>46747</v>
      </c>
      <c r="B18756" s="11" t="n">
        <f aca="false">MOD(ROW()-9,24)</f>
        <v>3</v>
      </c>
      <c r="C18756" s="12"/>
      <c r="D18756" s="13" t="n">
        <f aca="false">IF(B18756&lt;5,Einstellungen!$B$3,Einstellungen!$B$4)</f>
        <v>15.92</v>
      </c>
      <c r="E18756" s="14" t="str">
        <f aca="false">IF(C18756="","",C18756*D18756/100)</f>
        <v/>
      </c>
      <c r="F18756" s="15" t="str">
        <f aca="false">IF(B18756&lt;5,"Go","Standard")</f>
        <v>Go</v>
      </c>
    </row>
    <row r="18757" customFormat="false" ht="15" hidden="false" customHeight="true" outlineLevel="0" collapsed="false">
      <c r="A18757" s="10" t="n">
        <f aca="false">Einstellungen!$B$5+INT((ROW()-9)/24)</f>
        <v>46747</v>
      </c>
      <c r="B18757" s="11" t="n">
        <f aca="false">MOD(ROW()-9,24)</f>
        <v>4</v>
      </c>
      <c r="C18757" s="12"/>
      <c r="D18757" s="13" t="n">
        <f aca="false">IF(B18757&lt;5,Einstellungen!$B$3,Einstellungen!$B$4)</f>
        <v>15.92</v>
      </c>
      <c r="E18757" s="14" t="str">
        <f aca="false">IF(C18757="","",C18757*D18757/100)</f>
        <v/>
      </c>
      <c r="F18757" s="15" t="str">
        <f aca="false">IF(B18757&lt;5,"Go","Standard")</f>
        <v>Go</v>
      </c>
    </row>
    <row r="18758" customFormat="false" ht="15" hidden="false" customHeight="true" outlineLevel="0" collapsed="false">
      <c r="A18758" s="10" t="n">
        <f aca="false">Einstellungen!$B$5+INT((ROW()-9)/24)</f>
        <v>46747</v>
      </c>
      <c r="B18758" s="11" t="n">
        <f aca="false">MOD(ROW()-9,24)</f>
        <v>5</v>
      </c>
      <c r="C18758" s="12"/>
      <c r="D18758" s="13" t="n">
        <f aca="false">IF(B18758&lt;5,Einstellungen!$B$3,Einstellungen!$B$4)</f>
        <v>29.13</v>
      </c>
      <c r="E18758" s="14" t="str">
        <f aca="false">IF(C18758="","",C18758*D18758/100)</f>
        <v/>
      </c>
      <c r="F18758" s="15" t="str">
        <f aca="false">IF(B18758&lt;5,"Go","Standard")</f>
        <v>Standard</v>
      </c>
    </row>
    <row r="18759" customFormat="false" ht="15" hidden="false" customHeight="true" outlineLevel="0" collapsed="false">
      <c r="A18759" s="10" t="n">
        <f aca="false">Einstellungen!$B$5+INT((ROW()-9)/24)</f>
        <v>46747</v>
      </c>
      <c r="B18759" s="11" t="n">
        <f aca="false">MOD(ROW()-9,24)</f>
        <v>6</v>
      </c>
      <c r="C18759" s="12"/>
      <c r="D18759" s="13" t="n">
        <f aca="false">IF(B18759&lt;5,Einstellungen!$B$3,Einstellungen!$B$4)</f>
        <v>29.13</v>
      </c>
      <c r="E18759" s="14" t="str">
        <f aca="false">IF(C18759="","",C18759*D18759/100)</f>
        <v/>
      </c>
      <c r="F18759" s="15" t="str">
        <f aca="false">IF(B18759&lt;5,"Go","Standard")</f>
        <v>Standard</v>
      </c>
    </row>
    <row r="18760" customFormat="false" ht="15" hidden="false" customHeight="true" outlineLevel="0" collapsed="false">
      <c r="A18760" s="10" t="n">
        <f aca="false">Einstellungen!$B$5+INT((ROW()-9)/24)</f>
        <v>46747</v>
      </c>
      <c r="B18760" s="11" t="n">
        <f aca="false">MOD(ROW()-9,24)</f>
        <v>7</v>
      </c>
      <c r="C18760" s="12"/>
      <c r="D18760" s="13" t="n">
        <f aca="false">IF(B18760&lt;5,Einstellungen!$B$3,Einstellungen!$B$4)</f>
        <v>29.13</v>
      </c>
      <c r="E18760" s="14" t="str">
        <f aca="false">IF(C18760="","",C18760*D18760/100)</f>
        <v/>
      </c>
      <c r="F18760" s="15" t="str">
        <f aca="false">IF(B18760&lt;5,"Go","Standard")</f>
        <v>Standard</v>
      </c>
    </row>
    <row r="18761" customFormat="false" ht="15" hidden="false" customHeight="true" outlineLevel="0" collapsed="false">
      <c r="A18761" s="10" t="n">
        <f aca="false">Einstellungen!$B$5+INT((ROW()-9)/24)</f>
        <v>46747</v>
      </c>
      <c r="B18761" s="11" t="n">
        <f aca="false">MOD(ROW()-9,24)</f>
        <v>8</v>
      </c>
      <c r="C18761" s="12"/>
      <c r="D18761" s="13" t="n">
        <f aca="false">IF(B18761&lt;5,Einstellungen!$B$3,Einstellungen!$B$4)</f>
        <v>29.13</v>
      </c>
      <c r="E18761" s="14" t="str">
        <f aca="false">IF(C18761="","",C18761*D18761/100)</f>
        <v/>
      </c>
      <c r="F18761" s="15" t="str">
        <f aca="false">IF(B18761&lt;5,"Go","Standard")</f>
        <v>Standard</v>
      </c>
    </row>
    <row r="18762" customFormat="false" ht="15" hidden="false" customHeight="true" outlineLevel="0" collapsed="false">
      <c r="A18762" s="10" t="n">
        <f aca="false">Einstellungen!$B$5+INT((ROW()-9)/24)</f>
        <v>46747</v>
      </c>
      <c r="B18762" s="11" t="n">
        <f aca="false">MOD(ROW()-9,24)</f>
        <v>9</v>
      </c>
      <c r="C18762" s="12"/>
      <c r="D18762" s="13" t="n">
        <f aca="false">IF(B18762&lt;5,Einstellungen!$B$3,Einstellungen!$B$4)</f>
        <v>29.13</v>
      </c>
      <c r="E18762" s="14" t="str">
        <f aca="false">IF(C18762="","",C18762*D18762/100)</f>
        <v/>
      </c>
      <c r="F18762" s="15" t="str">
        <f aca="false">IF(B18762&lt;5,"Go","Standard")</f>
        <v>Standard</v>
      </c>
    </row>
    <row r="18763" customFormat="false" ht="15" hidden="false" customHeight="true" outlineLevel="0" collapsed="false">
      <c r="A18763" s="10" t="n">
        <f aca="false">Einstellungen!$B$5+INT((ROW()-9)/24)</f>
        <v>46747</v>
      </c>
      <c r="B18763" s="11" t="n">
        <f aca="false">MOD(ROW()-9,24)</f>
        <v>10</v>
      </c>
      <c r="C18763" s="12"/>
      <c r="D18763" s="13" t="n">
        <f aca="false">IF(B18763&lt;5,Einstellungen!$B$3,Einstellungen!$B$4)</f>
        <v>29.13</v>
      </c>
      <c r="E18763" s="14" t="str">
        <f aca="false">IF(C18763="","",C18763*D18763/100)</f>
        <v/>
      </c>
      <c r="F18763" s="15" t="str">
        <f aca="false">IF(B18763&lt;5,"Go","Standard")</f>
        <v>Standard</v>
      </c>
    </row>
    <row r="18764" customFormat="false" ht="15" hidden="false" customHeight="true" outlineLevel="0" collapsed="false">
      <c r="A18764" s="10" t="n">
        <f aca="false">Einstellungen!$B$5+INT((ROW()-9)/24)</f>
        <v>46747</v>
      </c>
      <c r="B18764" s="11" t="n">
        <f aca="false">MOD(ROW()-9,24)</f>
        <v>11</v>
      </c>
      <c r="C18764" s="12"/>
      <c r="D18764" s="13" t="n">
        <f aca="false">IF(B18764&lt;5,Einstellungen!$B$3,Einstellungen!$B$4)</f>
        <v>29.13</v>
      </c>
      <c r="E18764" s="14" t="str">
        <f aca="false">IF(C18764="","",C18764*D18764/100)</f>
        <v/>
      </c>
      <c r="F18764" s="15" t="str">
        <f aca="false">IF(B18764&lt;5,"Go","Standard")</f>
        <v>Standard</v>
      </c>
    </row>
    <row r="18765" customFormat="false" ht="15" hidden="false" customHeight="true" outlineLevel="0" collapsed="false">
      <c r="A18765" s="10" t="n">
        <f aca="false">Einstellungen!$B$5+INT((ROW()-9)/24)</f>
        <v>46747</v>
      </c>
      <c r="B18765" s="11" t="n">
        <f aca="false">MOD(ROW()-9,24)</f>
        <v>12</v>
      </c>
      <c r="C18765" s="12"/>
      <c r="D18765" s="13" t="n">
        <f aca="false">IF(B18765&lt;5,Einstellungen!$B$3,Einstellungen!$B$4)</f>
        <v>29.13</v>
      </c>
      <c r="E18765" s="14" t="str">
        <f aca="false">IF(C18765="","",C18765*D18765/100)</f>
        <v/>
      </c>
      <c r="F18765" s="15" t="str">
        <f aca="false">IF(B18765&lt;5,"Go","Standard")</f>
        <v>Standard</v>
      </c>
    </row>
    <row r="18766" customFormat="false" ht="15" hidden="false" customHeight="true" outlineLevel="0" collapsed="false">
      <c r="A18766" s="10" t="n">
        <f aca="false">Einstellungen!$B$5+INT((ROW()-9)/24)</f>
        <v>46747</v>
      </c>
      <c r="B18766" s="11" t="n">
        <f aca="false">MOD(ROW()-9,24)</f>
        <v>13</v>
      </c>
      <c r="C18766" s="12"/>
      <c r="D18766" s="13" t="n">
        <f aca="false">IF(B18766&lt;5,Einstellungen!$B$3,Einstellungen!$B$4)</f>
        <v>29.13</v>
      </c>
      <c r="E18766" s="14" t="str">
        <f aca="false">IF(C18766="","",C18766*D18766/100)</f>
        <v/>
      </c>
      <c r="F18766" s="15" t="str">
        <f aca="false">IF(B18766&lt;5,"Go","Standard")</f>
        <v>Standard</v>
      </c>
    </row>
    <row r="18767" customFormat="false" ht="15" hidden="false" customHeight="true" outlineLevel="0" collapsed="false">
      <c r="A18767" s="10" t="n">
        <f aca="false">Einstellungen!$B$5+INT((ROW()-9)/24)</f>
        <v>46747</v>
      </c>
      <c r="B18767" s="11" t="n">
        <f aca="false">MOD(ROW()-9,24)</f>
        <v>14</v>
      </c>
      <c r="C18767" s="12"/>
      <c r="D18767" s="13" t="n">
        <f aca="false">IF(B18767&lt;5,Einstellungen!$B$3,Einstellungen!$B$4)</f>
        <v>29.13</v>
      </c>
      <c r="E18767" s="14" t="str">
        <f aca="false">IF(C18767="","",C18767*D18767/100)</f>
        <v/>
      </c>
      <c r="F18767" s="15" t="str">
        <f aca="false">IF(B18767&lt;5,"Go","Standard")</f>
        <v>Standard</v>
      </c>
    </row>
    <row r="18768" customFormat="false" ht="15" hidden="false" customHeight="true" outlineLevel="0" collapsed="false">
      <c r="A18768" s="10" t="n">
        <f aca="false">Einstellungen!$B$5+INT((ROW()-9)/24)</f>
        <v>46747</v>
      </c>
      <c r="B18768" s="11" t="n">
        <f aca="false">MOD(ROW()-9,24)</f>
        <v>15</v>
      </c>
      <c r="C18768" s="12"/>
      <c r="D18768" s="13" t="n">
        <f aca="false">IF(B18768&lt;5,Einstellungen!$B$3,Einstellungen!$B$4)</f>
        <v>29.13</v>
      </c>
      <c r="E18768" s="14" t="str">
        <f aca="false">IF(C18768="","",C18768*D18768/100)</f>
        <v/>
      </c>
      <c r="F18768" s="15" t="str">
        <f aca="false">IF(B18768&lt;5,"Go","Standard")</f>
        <v>Standard</v>
      </c>
    </row>
    <row r="18769" customFormat="false" ht="15" hidden="false" customHeight="true" outlineLevel="0" collapsed="false">
      <c r="A18769" s="10" t="n">
        <f aca="false">Einstellungen!$B$5+INT((ROW()-9)/24)</f>
        <v>46747</v>
      </c>
      <c r="B18769" s="11" t="n">
        <f aca="false">MOD(ROW()-9,24)</f>
        <v>16</v>
      </c>
      <c r="C18769" s="12"/>
      <c r="D18769" s="13" t="n">
        <f aca="false">IF(B18769&lt;5,Einstellungen!$B$3,Einstellungen!$B$4)</f>
        <v>29.13</v>
      </c>
      <c r="E18769" s="14" t="str">
        <f aca="false">IF(C18769="","",C18769*D18769/100)</f>
        <v/>
      </c>
      <c r="F18769" s="15" t="str">
        <f aca="false">IF(B18769&lt;5,"Go","Standard")</f>
        <v>Standard</v>
      </c>
    </row>
    <row r="18770" customFormat="false" ht="15" hidden="false" customHeight="true" outlineLevel="0" collapsed="false">
      <c r="A18770" s="10" t="n">
        <f aca="false">Einstellungen!$B$5+INT((ROW()-9)/24)</f>
        <v>46747</v>
      </c>
      <c r="B18770" s="11" t="n">
        <f aca="false">MOD(ROW()-9,24)</f>
        <v>17</v>
      </c>
      <c r="C18770" s="12"/>
      <c r="D18770" s="13" t="n">
        <f aca="false">IF(B18770&lt;5,Einstellungen!$B$3,Einstellungen!$B$4)</f>
        <v>29.13</v>
      </c>
      <c r="E18770" s="14" t="str">
        <f aca="false">IF(C18770="","",C18770*D18770/100)</f>
        <v/>
      </c>
      <c r="F18770" s="15" t="str">
        <f aca="false">IF(B18770&lt;5,"Go","Standard")</f>
        <v>Standard</v>
      </c>
    </row>
    <row r="18771" customFormat="false" ht="15" hidden="false" customHeight="true" outlineLevel="0" collapsed="false">
      <c r="A18771" s="10" t="n">
        <f aca="false">Einstellungen!$B$5+INT((ROW()-9)/24)</f>
        <v>46747</v>
      </c>
      <c r="B18771" s="11" t="n">
        <f aca="false">MOD(ROW()-9,24)</f>
        <v>18</v>
      </c>
      <c r="C18771" s="12"/>
      <c r="D18771" s="13" t="n">
        <f aca="false">IF(B18771&lt;5,Einstellungen!$B$3,Einstellungen!$B$4)</f>
        <v>29.13</v>
      </c>
      <c r="E18771" s="14" t="str">
        <f aca="false">IF(C18771="","",C18771*D18771/100)</f>
        <v/>
      </c>
      <c r="F18771" s="15" t="str">
        <f aca="false">IF(B18771&lt;5,"Go","Standard")</f>
        <v>Standard</v>
      </c>
    </row>
    <row r="18772" customFormat="false" ht="15" hidden="false" customHeight="true" outlineLevel="0" collapsed="false">
      <c r="A18772" s="10" t="n">
        <f aca="false">Einstellungen!$B$5+INT((ROW()-9)/24)</f>
        <v>46747</v>
      </c>
      <c r="B18772" s="11" t="n">
        <f aca="false">MOD(ROW()-9,24)</f>
        <v>19</v>
      </c>
      <c r="C18772" s="12"/>
      <c r="D18772" s="13" t="n">
        <f aca="false">IF(B18772&lt;5,Einstellungen!$B$3,Einstellungen!$B$4)</f>
        <v>29.13</v>
      </c>
      <c r="E18772" s="14" t="str">
        <f aca="false">IF(C18772="","",C18772*D18772/100)</f>
        <v/>
      </c>
      <c r="F18772" s="15" t="str">
        <f aca="false">IF(B18772&lt;5,"Go","Standard")</f>
        <v>Standard</v>
      </c>
    </row>
    <row r="18773" customFormat="false" ht="15" hidden="false" customHeight="true" outlineLevel="0" collapsed="false">
      <c r="A18773" s="10" t="n">
        <f aca="false">Einstellungen!$B$5+INT((ROW()-9)/24)</f>
        <v>46747</v>
      </c>
      <c r="B18773" s="11" t="n">
        <f aca="false">MOD(ROW()-9,24)</f>
        <v>20</v>
      </c>
      <c r="C18773" s="12"/>
      <c r="D18773" s="13" t="n">
        <f aca="false">IF(B18773&lt;5,Einstellungen!$B$3,Einstellungen!$B$4)</f>
        <v>29.13</v>
      </c>
      <c r="E18773" s="14" t="str">
        <f aca="false">IF(C18773="","",C18773*D18773/100)</f>
        <v/>
      </c>
      <c r="F18773" s="15" t="str">
        <f aca="false">IF(B18773&lt;5,"Go","Standard")</f>
        <v>Standard</v>
      </c>
    </row>
    <row r="18774" customFormat="false" ht="15" hidden="false" customHeight="true" outlineLevel="0" collapsed="false">
      <c r="A18774" s="10" t="n">
        <f aca="false">Einstellungen!$B$5+INT((ROW()-9)/24)</f>
        <v>46747</v>
      </c>
      <c r="B18774" s="11" t="n">
        <f aca="false">MOD(ROW()-9,24)</f>
        <v>21</v>
      </c>
      <c r="C18774" s="12"/>
      <c r="D18774" s="13" t="n">
        <f aca="false">IF(B18774&lt;5,Einstellungen!$B$3,Einstellungen!$B$4)</f>
        <v>29.13</v>
      </c>
      <c r="E18774" s="14" t="str">
        <f aca="false">IF(C18774="","",C18774*D18774/100)</f>
        <v/>
      </c>
      <c r="F18774" s="15" t="str">
        <f aca="false">IF(B18774&lt;5,"Go","Standard")</f>
        <v>Standard</v>
      </c>
    </row>
    <row r="18775" customFormat="false" ht="15" hidden="false" customHeight="true" outlineLevel="0" collapsed="false">
      <c r="A18775" s="10" t="n">
        <f aca="false">Einstellungen!$B$5+INT((ROW()-9)/24)</f>
        <v>46747</v>
      </c>
      <c r="B18775" s="11" t="n">
        <f aca="false">MOD(ROW()-9,24)</f>
        <v>22</v>
      </c>
      <c r="C18775" s="12"/>
      <c r="D18775" s="13" t="n">
        <f aca="false">IF(B18775&lt;5,Einstellungen!$B$3,Einstellungen!$B$4)</f>
        <v>29.13</v>
      </c>
      <c r="E18775" s="14" t="str">
        <f aca="false">IF(C18775="","",C18775*D18775/100)</f>
        <v/>
      </c>
      <c r="F18775" s="15" t="str">
        <f aca="false">IF(B18775&lt;5,"Go","Standard")</f>
        <v>Standard</v>
      </c>
    </row>
    <row r="18776" customFormat="false" ht="15" hidden="false" customHeight="true" outlineLevel="0" collapsed="false">
      <c r="A18776" s="10" t="n">
        <f aca="false">Einstellungen!$B$5+INT((ROW()-9)/24)</f>
        <v>46747</v>
      </c>
      <c r="B18776" s="11" t="n">
        <f aca="false">MOD(ROW()-9,24)</f>
        <v>23</v>
      </c>
      <c r="C18776" s="12"/>
      <c r="D18776" s="13" t="n">
        <f aca="false">IF(B18776&lt;5,Einstellungen!$B$3,Einstellungen!$B$4)</f>
        <v>29.13</v>
      </c>
      <c r="E18776" s="14" t="str">
        <f aca="false">IF(C18776="","",C18776*D18776/100)</f>
        <v/>
      </c>
      <c r="F18776" s="15" t="str">
        <f aca="false">IF(B18776&lt;5,"Go","Standard")</f>
        <v>Standard</v>
      </c>
    </row>
    <row r="18777" customFormat="false" ht="15" hidden="false" customHeight="true" outlineLevel="0" collapsed="false">
      <c r="A18777" s="10" t="n">
        <f aca="false">Einstellungen!$B$5+INT((ROW()-9)/24)</f>
        <v>46748</v>
      </c>
      <c r="B18777" s="11" t="n">
        <f aca="false">MOD(ROW()-9,24)</f>
        <v>0</v>
      </c>
      <c r="C18777" s="12"/>
      <c r="D18777" s="13" t="n">
        <f aca="false">IF(B18777&lt;5,Einstellungen!$B$3,Einstellungen!$B$4)</f>
        <v>15.92</v>
      </c>
      <c r="E18777" s="14" t="str">
        <f aca="false">IF(C18777="","",C18777*D18777/100)</f>
        <v/>
      </c>
      <c r="F18777" s="15" t="str">
        <f aca="false">IF(B18777&lt;5,"Go","Standard")</f>
        <v>Go</v>
      </c>
    </row>
    <row r="18778" customFormat="false" ht="15" hidden="false" customHeight="true" outlineLevel="0" collapsed="false">
      <c r="A18778" s="10" t="n">
        <f aca="false">Einstellungen!$B$5+INT((ROW()-9)/24)</f>
        <v>46748</v>
      </c>
      <c r="B18778" s="11" t="n">
        <f aca="false">MOD(ROW()-9,24)</f>
        <v>1</v>
      </c>
      <c r="C18778" s="12"/>
      <c r="D18778" s="13" t="n">
        <f aca="false">IF(B18778&lt;5,Einstellungen!$B$3,Einstellungen!$B$4)</f>
        <v>15.92</v>
      </c>
      <c r="E18778" s="14" t="str">
        <f aca="false">IF(C18778="","",C18778*D18778/100)</f>
        <v/>
      </c>
      <c r="F18778" s="15" t="str">
        <f aca="false">IF(B18778&lt;5,"Go","Standard")</f>
        <v>Go</v>
      </c>
    </row>
    <row r="18779" customFormat="false" ht="15" hidden="false" customHeight="true" outlineLevel="0" collapsed="false">
      <c r="A18779" s="10" t="n">
        <f aca="false">Einstellungen!$B$5+INT((ROW()-9)/24)</f>
        <v>46748</v>
      </c>
      <c r="B18779" s="11" t="n">
        <f aca="false">MOD(ROW()-9,24)</f>
        <v>2</v>
      </c>
      <c r="C18779" s="12"/>
      <c r="D18779" s="13" t="n">
        <f aca="false">IF(B18779&lt;5,Einstellungen!$B$3,Einstellungen!$B$4)</f>
        <v>15.92</v>
      </c>
      <c r="E18779" s="14" t="str">
        <f aca="false">IF(C18779="","",C18779*D18779/100)</f>
        <v/>
      </c>
      <c r="F18779" s="15" t="str">
        <f aca="false">IF(B18779&lt;5,"Go","Standard")</f>
        <v>Go</v>
      </c>
    </row>
    <row r="18780" customFormat="false" ht="15" hidden="false" customHeight="true" outlineLevel="0" collapsed="false">
      <c r="A18780" s="10" t="n">
        <f aca="false">Einstellungen!$B$5+INT((ROW()-9)/24)</f>
        <v>46748</v>
      </c>
      <c r="B18780" s="11" t="n">
        <f aca="false">MOD(ROW()-9,24)</f>
        <v>3</v>
      </c>
      <c r="C18780" s="12"/>
      <c r="D18780" s="13" t="n">
        <f aca="false">IF(B18780&lt;5,Einstellungen!$B$3,Einstellungen!$B$4)</f>
        <v>15.92</v>
      </c>
      <c r="E18780" s="14" t="str">
        <f aca="false">IF(C18780="","",C18780*D18780/100)</f>
        <v/>
      </c>
      <c r="F18780" s="15" t="str">
        <f aca="false">IF(B18780&lt;5,"Go","Standard")</f>
        <v>Go</v>
      </c>
    </row>
    <row r="18781" customFormat="false" ht="15" hidden="false" customHeight="true" outlineLevel="0" collapsed="false">
      <c r="A18781" s="10" t="n">
        <f aca="false">Einstellungen!$B$5+INT((ROW()-9)/24)</f>
        <v>46748</v>
      </c>
      <c r="B18781" s="11" t="n">
        <f aca="false">MOD(ROW()-9,24)</f>
        <v>4</v>
      </c>
      <c r="C18781" s="12"/>
      <c r="D18781" s="13" t="n">
        <f aca="false">IF(B18781&lt;5,Einstellungen!$B$3,Einstellungen!$B$4)</f>
        <v>15.92</v>
      </c>
      <c r="E18781" s="14" t="str">
        <f aca="false">IF(C18781="","",C18781*D18781/100)</f>
        <v/>
      </c>
      <c r="F18781" s="15" t="str">
        <f aca="false">IF(B18781&lt;5,"Go","Standard")</f>
        <v>Go</v>
      </c>
    </row>
    <row r="18782" customFormat="false" ht="15" hidden="false" customHeight="true" outlineLevel="0" collapsed="false">
      <c r="A18782" s="10" t="n">
        <f aca="false">Einstellungen!$B$5+INT((ROW()-9)/24)</f>
        <v>46748</v>
      </c>
      <c r="B18782" s="11" t="n">
        <f aca="false">MOD(ROW()-9,24)</f>
        <v>5</v>
      </c>
      <c r="C18782" s="12"/>
      <c r="D18782" s="13" t="n">
        <f aca="false">IF(B18782&lt;5,Einstellungen!$B$3,Einstellungen!$B$4)</f>
        <v>29.13</v>
      </c>
      <c r="E18782" s="14" t="str">
        <f aca="false">IF(C18782="","",C18782*D18782/100)</f>
        <v/>
      </c>
      <c r="F18782" s="15" t="str">
        <f aca="false">IF(B18782&lt;5,"Go","Standard")</f>
        <v>Standard</v>
      </c>
    </row>
    <row r="18783" customFormat="false" ht="15" hidden="false" customHeight="true" outlineLevel="0" collapsed="false">
      <c r="A18783" s="10" t="n">
        <f aca="false">Einstellungen!$B$5+INT((ROW()-9)/24)</f>
        <v>46748</v>
      </c>
      <c r="B18783" s="11" t="n">
        <f aca="false">MOD(ROW()-9,24)</f>
        <v>6</v>
      </c>
      <c r="C18783" s="12"/>
      <c r="D18783" s="13" t="n">
        <f aca="false">IF(B18783&lt;5,Einstellungen!$B$3,Einstellungen!$B$4)</f>
        <v>29.13</v>
      </c>
      <c r="E18783" s="14" t="str">
        <f aca="false">IF(C18783="","",C18783*D18783/100)</f>
        <v/>
      </c>
      <c r="F18783" s="15" t="str">
        <f aca="false">IF(B18783&lt;5,"Go","Standard")</f>
        <v>Standard</v>
      </c>
    </row>
    <row r="18784" customFormat="false" ht="15" hidden="false" customHeight="true" outlineLevel="0" collapsed="false">
      <c r="A18784" s="10" t="n">
        <f aca="false">Einstellungen!$B$5+INT((ROW()-9)/24)</f>
        <v>46748</v>
      </c>
      <c r="B18784" s="11" t="n">
        <f aca="false">MOD(ROW()-9,24)</f>
        <v>7</v>
      </c>
      <c r="C18784" s="12"/>
      <c r="D18784" s="13" t="n">
        <f aca="false">IF(B18784&lt;5,Einstellungen!$B$3,Einstellungen!$B$4)</f>
        <v>29.13</v>
      </c>
      <c r="E18784" s="14" t="str">
        <f aca="false">IF(C18784="","",C18784*D18784/100)</f>
        <v/>
      </c>
      <c r="F18784" s="15" t="str">
        <f aca="false">IF(B18784&lt;5,"Go","Standard")</f>
        <v>Standard</v>
      </c>
    </row>
    <row r="18785" customFormat="false" ht="15" hidden="false" customHeight="true" outlineLevel="0" collapsed="false">
      <c r="A18785" s="10" t="n">
        <f aca="false">Einstellungen!$B$5+INT((ROW()-9)/24)</f>
        <v>46748</v>
      </c>
      <c r="B18785" s="11" t="n">
        <f aca="false">MOD(ROW()-9,24)</f>
        <v>8</v>
      </c>
      <c r="C18785" s="12"/>
      <c r="D18785" s="13" t="n">
        <f aca="false">IF(B18785&lt;5,Einstellungen!$B$3,Einstellungen!$B$4)</f>
        <v>29.13</v>
      </c>
      <c r="E18785" s="14" t="str">
        <f aca="false">IF(C18785="","",C18785*D18785/100)</f>
        <v/>
      </c>
      <c r="F18785" s="15" t="str">
        <f aca="false">IF(B18785&lt;5,"Go","Standard")</f>
        <v>Standard</v>
      </c>
    </row>
    <row r="18786" customFormat="false" ht="15" hidden="false" customHeight="true" outlineLevel="0" collapsed="false">
      <c r="A18786" s="10" t="n">
        <f aca="false">Einstellungen!$B$5+INT((ROW()-9)/24)</f>
        <v>46748</v>
      </c>
      <c r="B18786" s="11" t="n">
        <f aca="false">MOD(ROW()-9,24)</f>
        <v>9</v>
      </c>
      <c r="C18786" s="12"/>
      <c r="D18786" s="13" t="n">
        <f aca="false">IF(B18786&lt;5,Einstellungen!$B$3,Einstellungen!$B$4)</f>
        <v>29.13</v>
      </c>
      <c r="E18786" s="14" t="str">
        <f aca="false">IF(C18786="","",C18786*D18786/100)</f>
        <v/>
      </c>
      <c r="F18786" s="15" t="str">
        <f aca="false">IF(B18786&lt;5,"Go","Standard")</f>
        <v>Standard</v>
      </c>
    </row>
    <row r="18787" customFormat="false" ht="15" hidden="false" customHeight="true" outlineLevel="0" collapsed="false">
      <c r="A18787" s="10" t="n">
        <f aca="false">Einstellungen!$B$5+INT((ROW()-9)/24)</f>
        <v>46748</v>
      </c>
      <c r="B18787" s="11" t="n">
        <f aca="false">MOD(ROW()-9,24)</f>
        <v>10</v>
      </c>
      <c r="C18787" s="12"/>
      <c r="D18787" s="13" t="n">
        <f aca="false">IF(B18787&lt;5,Einstellungen!$B$3,Einstellungen!$B$4)</f>
        <v>29.13</v>
      </c>
      <c r="E18787" s="14" t="str">
        <f aca="false">IF(C18787="","",C18787*D18787/100)</f>
        <v/>
      </c>
      <c r="F18787" s="15" t="str">
        <f aca="false">IF(B18787&lt;5,"Go","Standard")</f>
        <v>Standard</v>
      </c>
    </row>
    <row r="18788" customFormat="false" ht="15" hidden="false" customHeight="true" outlineLevel="0" collapsed="false">
      <c r="A18788" s="10" t="n">
        <f aca="false">Einstellungen!$B$5+INT((ROW()-9)/24)</f>
        <v>46748</v>
      </c>
      <c r="B18788" s="11" t="n">
        <f aca="false">MOD(ROW()-9,24)</f>
        <v>11</v>
      </c>
      <c r="C18788" s="12"/>
      <c r="D18788" s="13" t="n">
        <f aca="false">IF(B18788&lt;5,Einstellungen!$B$3,Einstellungen!$B$4)</f>
        <v>29.13</v>
      </c>
      <c r="E18788" s="14" t="str">
        <f aca="false">IF(C18788="","",C18788*D18788/100)</f>
        <v/>
      </c>
      <c r="F18788" s="15" t="str">
        <f aca="false">IF(B18788&lt;5,"Go","Standard")</f>
        <v>Standard</v>
      </c>
    </row>
    <row r="18789" customFormat="false" ht="15" hidden="false" customHeight="true" outlineLevel="0" collapsed="false">
      <c r="A18789" s="10" t="n">
        <f aca="false">Einstellungen!$B$5+INT((ROW()-9)/24)</f>
        <v>46748</v>
      </c>
      <c r="B18789" s="11" t="n">
        <f aca="false">MOD(ROW()-9,24)</f>
        <v>12</v>
      </c>
      <c r="C18789" s="12"/>
      <c r="D18789" s="13" t="n">
        <f aca="false">IF(B18789&lt;5,Einstellungen!$B$3,Einstellungen!$B$4)</f>
        <v>29.13</v>
      </c>
      <c r="E18789" s="14" t="str">
        <f aca="false">IF(C18789="","",C18789*D18789/100)</f>
        <v/>
      </c>
      <c r="F18789" s="15" t="str">
        <f aca="false">IF(B18789&lt;5,"Go","Standard")</f>
        <v>Standard</v>
      </c>
    </row>
    <row r="18790" customFormat="false" ht="15" hidden="false" customHeight="true" outlineLevel="0" collapsed="false">
      <c r="A18790" s="10" t="n">
        <f aca="false">Einstellungen!$B$5+INT((ROW()-9)/24)</f>
        <v>46748</v>
      </c>
      <c r="B18790" s="11" t="n">
        <f aca="false">MOD(ROW()-9,24)</f>
        <v>13</v>
      </c>
      <c r="C18790" s="12"/>
      <c r="D18790" s="13" t="n">
        <f aca="false">IF(B18790&lt;5,Einstellungen!$B$3,Einstellungen!$B$4)</f>
        <v>29.13</v>
      </c>
      <c r="E18790" s="14" t="str">
        <f aca="false">IF(C18790="","",C18790*D18790/100)</f>
        <v/>
      </c>
      <c r="F18790" s="15" t="str">
        <f aca="false">IF(B18790&lt;5,"Go","Standard")</f>
        <v>Standard</v>
      </c>
    </row>
    <row r="18791" customFormat="false" ht="15" hidden="false" customHeight="true" outlineLevel="0" collapsed="false">
      <c r="A18791" s="10" t="n">
        <f aca="false">Einstellungen!$B$5+INT((ROW()-9)/24)</f>
        <v>46748</v>
      </c>
      <c r="B18791" s="11" t="n">
        <f aca="false">MOD(ROW()-9,24)</f>
        <v>14</v>
      </c>
      <c r="C18791" s="12"/>
      <c r="D18791" s="13" t="n">
        <f aca="false">IF(B18791&lt;5,Einstellungen!$B$3,Einstellungen!$B$4)</f>
        <v>29.13</v>
      </c>
      <c r="E18791" s="14" t="str">
        <f aca="false">IF(C18791="","",C18791*D18791/100)</f>
        <v/>
      </c>
      <c r="F18791" s="15" t="str">
        <f aca="false">IF(B18791&lt;5,"Go","Standard")</f>
        <v>Standard</v>
      </c>
    </row>
    <row r="18792" customFormat="false" ht="15" hidden="false" customHeight="true" outlineLevel="0" collapsed="false">
      <c r="A18792" s="10" t="n">
        <f aca="false">Einstellungen!$B$5+INT((ROW()-9)/24)</f>
        <v>46748</v>
      </c>
      <c r="B18792" s="11" t="n">
        <f aca="false">MOD(ROW()-9,24)</f>
        <v>15</v>
      </c>
      <c r="C18792" s="12"/>
      <c r="D18792" s="13" t="n">
        <f aca="false">IF(B18792&lt;5,Einstellungen!$B$3,Einstellungen!$B$4)</f>
        <v>29.13</v>
      </c>
      <c r="E18792" s="14" t="str">
        <f aca="false">IF(C18792="","",C18792*D18792/100)</f>
        <v/>
      </c>
      <c r="F18792" s="15" t="str">
        <f aca="false">IF(B18792&lt;5,"Go","Standard")</f>
        <v>Standard</v>
      </c>
    </row>
    <row r="18793" customFormat="false" ht="15" hidden="false" customHeight="true" outlineLevel="0" collapsed="false">
      <c r="A18793" s="10" t="n">
        <f aca="false">Einstellungen!$B$5+INT((ROW()-9)/24)</f>
        <v>46748</v>
      </c>
      <c r="B18793" s="11" t="n">
        <f aca="false">MOD(ROW()-9,24)</f>
        <v>16</v>
      </c>
      <c r="C18793" s="12"/>
      <c r="D18793" s="13" t="n">
        <f aca="false">IF(B18793&lt;5,Einstellungen!$B$3,Einstellungen!$B$4)</f>
        <v>29.13</v>
      </c>
      <c r="E18793" s="14" t="str">
        <f aca="false">IF(C18793="","",C18793*D18793/100)</f>
        <v/>
      </c>
      <c r="F18793" s="15" t="str">
        <f aca="false">IF(B18793&lt;5,"Go","Standard")</f>
        <v>Standard</v>
      </c>
    </row>
    <row r="18794" customFormat="false" ht="15" hidden="false" customHeight="true" outlineLevel="0" collapsed="false">
      <c r="A18794" s="10" t="n">
        <f aca="false">Einstellungen!$B$5+INT((ROW()-9)/24)</f>
        <v>46748</v>
      </c>
      <c r="B18794" s="11" t="n">
        <f aca="false">MOD(ROW()-9,24)</f>
        <v>17</v>
      </c>
      <c r="C18794" s="12"/>
      <c r="D18794" s="13" t="n">
        <f aca="false">IF(B18794&lt;5,Einstellungen!$B$3,Einstellungen!$B$4)</f>
        <v>29.13</v>
      </c>
      <c r="E18794" s="14" t="str">
        <f aca="false">IF(C18794="","",C18794*D18794/100)</f>
        <v/>
      </c>
      <c r="F18794" s="15" t="str">
        <f aca="false">IF(B18794&lt;5,"Go","Standard")</f>
        <v>Standard</v>
      </c>
    </row>
    <row r="18795" customFormat="false" ht="15" hidden="false" customHeight="true" outlineLevel="0" collapsed="false">
      <c r="A18795" s="10" t="n">
        <f aca="false">Einstellungen!$B$5+INT((ROW()-9)/24)</f>
        <v>46748</v>
      </c>
      <c r="B18795" s="11" t="n">
        <f aca="false">MOD(ROW()-9,24)</f>
        <v>18</v>
      </c>
      <c r="C18795" s="12"/>
      <c r="D18795" s="13" t="n">
        <f aca="false">IF(B18795&lt;5,Einstellungen!$B$3,Einstellungen!$B$4)</f>
        <v>29.13</v>
      </c>
      <c r="E18795" s="14" t="str">
        <f aca="false">IF(C18795="","",C18795*D18795/100)</f>
        <v/>
      </c>
      <c r="F18795" s="15" t="str">
        <f aca="false">IF(B18795&lt;5,"Go","Standard")</f>
        <v>Standard</v>
      </c>
    </row>
    <row r="18796" customFormat="false" ht="15" hidden="false" customHeight="true" outlineLevel="0" collapsed="false">
      <c r="A18796" s="10" t="n">
        <f aca="false">Einstellungen!$B$5+INT((ROW()-9)/24)</f>
        <v>46748</v>
      </c>
      <c r="B18796" s="11" t="n">
        <f aca="false">MOD(ROW()-9,24)</f>
        <v>19</v>
      </c>
      <c r="C18796" s="12"/>
      <c r="D18796" s="13" t="n">
        <f aca="false">IF(B18796&lt;5,Einstellungen!$B$3,Einstellungen!$B$4)</f>
        <v>29.13</v>
      </c>
      <c r="E18796" s="14" t="str">
        <f aca="false">IF(C18796="","",C18796*D18796/100)</f>
        <v/>
      </c>
      <c r="F18796" s="15" t="str">
        <f aca="false">IF(B18796&lt;5,"Go","Standard")</f>
        <v>Standard</v>
      </c>
    </row>
    <row r="18797" customFormat="false" ht="15" hidden="false" customHeight="true" outlineLevel="0" collapsed="false">
      <c r="A18797" s="10" t="n">
        <f aca="false">Einstellungen!$B$5+INT((ROW()-9)/24)</f>
        <v>46748</v>
      </c>
      <c r="B18797" s="11" t="n">
        <f aca="false">MOD(ROW()-9,24)</f>
        <v>20</v>
      </c>
      <c r="C18797" s="12"/>
      <c r="D18797" s="13" t="n">
        <f aca="false">IF(B18797&lt;5,Einstellungen!$B$3,Einstellungen!$B$4)</f>
        <v>29.13</v>
      </c>
      <c r="E18797" s="14" t="str">
        <f aca="false">IF(C18797="","",C18797*D18797/100)</f>
        <v/>
      </c>
      <c r="F18797" s="15" t="str">
        <f aca="false">IF(B18797&lt;5,"Go","Standard")</f>
        <v>Standard</v>
      </c>
    </row>
    <row r="18798" customFormat="false" ht="15" hidden="false" customHeight="true" outlineLevel="0" collapsed="false">
      <c r="A18798" s="10" t="n">
        <f aca="false">Einstellungen!$B$5+INT((ROW()-9)/24)</f>
        <v>46748</v>
      </c>
      <c r="B18798" s="11" t="n">
        <f aca="false">MOD(ROW()-9,24)</f>
        <v>21</v>
      </c>
      <c r="C18798" s="12"/>
      <c r="D18798" s="13" t="n">
        <f aca="false">IF(B18798&lt;5,Einstellungen!$B$3,Einstellungen!$B$4)</f>
        <v>29.13</v>
      </c>
      <c r="E18798" s="14" t="str">
        <f aca="false">IF(C18798="","",C18798*D18798/100)</f>
        <v/>
      </c>
      <c r="F18798" s="15" t="str">
        <f aca="false">IF(B18798&lt;5,"Go","Standard")</f>
        <v>Standard</v>
      </c>
    </row>
    <row r="18799" customFormat="false" ht="15" hidden="false" customHeight="true" outlineLevel="0" collapsed="false">
      <c r="A18799" s="10" t="n">
        <f aca="false">Einstellungen!$B$5+INT((ROW()-9)/24)</f>
        <v>46748</v>
      </c>
      <c r="B18799" s="11" t="n">
        <f aca="false">MOD(ROW()-9,24)</f>
        <v>22</v>
      </c>
      <c r="C18799" s="12"/>
      <c r="D18799" s="13" t="n">
        <f aca="false">IF(B18799&lt;5,Einstellungen!$B$3,Einstellungen!$B$4)</f>
        <v>29.13</v>
      </c>
      <c r="E18799" s="14" t="str">
        <f aca="false">IF(C18799="","",C18799*D18799/100)</f>
        <v/>
      </c>
      <c r="F18799" s="15" t="str">
        <f aca="false">IF(B18799&lt;5,"Go","Standard")</f>
        <v>Standard</v>
      </c>
    </row>
    <row r="18800" customFormat="false" ht="15" hidden="false" customHeight="true" outlineLevel="0" collapsed="false">
      <c r="A18800" s="10" t="n">
        <f aca="false">Einstellungen!$B$5+INT((ROW()-9)/24)</f>
        <v>46748</v>
      </c>
      <c r="B18800" s="11" t="n">
        <f aca="false">MOD(ROW()-9,24)</f>
        <v>23</v>
      </c>
      <c r="C18800" s="12"/>
      <c r="D18800" s="13" t="n">
        <f aca="false">IF(B18800&lt;5,Einstellungen!$B$3,Einstellungen!$B$4)</f>
        <v>29.13</v>
      </c>
      <c r="E18800" s="14" t="str">
        <f aca="false">IF(C18800="","",C18800*D18800/100)</f>
        <v/>
      </c>
      <c r="F18800" s="15" t="str">
        <f aca="false">IF(B18800&lt;5,"Go","Standard")</f>
        <v>Standard</v>
      </c>
    </row>
    <row r="18801" customFormat="false" ht="15" hidden="false" customHeight="true" outlineLevel="0" collapsed="false">
      <c r="A18801" s="10" t="n">
        <f aca="false">Einstellungen!$B$5+INT((ROW()-9)/24)</f>
        <v>46749</v>
      </c>
      <c r="B18801" s="11" t="n">
        <f aca="false">MOD(ROW()-9,24)</f>
        <v>0</v>
      </c>
      <c r="C18801" s="12"/>
      <c r="D18801" s="13" t="n">
        <f aca="false">IF(B18801&lt;5,Einstellungen!$B$3,Einstellungen!$B$4)</f>
        <v>15.92</v>
      </c>
      <c r="E18801" s="14" t="str">
        <f aca="false">IF(C18801="","",C18801*D18801/100)</f>
        <v/>
      </c>
      <c r="F18801" s="15" t="str">
        <f aca="false">IF(B18801&lt;5,"Go","Standard")</f>
        <v>Go</v>
      </c>
    </row>
    <row r="18802" customFormat="false" ht="15" hidden="false" customHeight="true" outlineLevel="0" collapsed="false">
      <c r="A18802" s="10" t="n">
        <f aca="false">Einstellungen!$B$5+INT((ROW()-9)/24)</f>
        <v>46749</v>
      </c>
      <c r="B18802" s="11" t="n">
        <f aca="false">MOD(ROW()-9,24)</f>
        <v>1</v>
      </c>
      <c r="C18802" s="12"/>
      <c r="D18802" s="13" t="n">
        <f aca="false">IF(B18802&lt;5,Einstellungen!$B$3,Einstellungen!$B$4)</f>
        <v>15.92</v>
      </c>
      <c r="E18802" s="14" t="str">
        <f aca="false">IF(C18802="","",C18802*D18802/100)</f>
        <v/>
      </c>
      <c r="F18802" s="15" t="str">
        <f aca="false">IF(B18802&lt;5,"Go","Standard")</f>
        <v>Go</v>
      </c>
    </row>
    <row r="18803" customFormat="false" ht="15" hidden="false" customHeight="true" outlineLevel="0" collapsed="false">
      <c r="A18803" s="10" t="n">
        <f aca="false">Einstellungen!$B$5+INT((ROW()-9)/24)</f>
        <v>46749</v>
      </c>
      <c r="B18803" s="11" t="n">
        <f aca="false">MOD(ROW()-9,24)</f>
        <v>2</v>
      </c>
      <c r="C18803" s="12"/>
      <c r="D18803" s="13" t="n">
        <f aca="false">IF(B18803&lt;5,Einstellungen!$B$3,Einstellungen!$B$4)</f>
        <v>15.92</v>
      </c>
      <c r="E18803" s="14" t="str">
        <f aca="false">IF(C18803="","",C18803*D18803/100)</f>
        <v/>
      </c>
      <c r="F18803" s="15" t="str">
        <f aca="false">IF(B18803&lt;5,"Go","Standard")</f>
        <v>Go</v>
      </c>
    </row>
    <row r="18804" customFormat="false" ht="15" hidden="false" customHeight="true" outlineLevel="0" collapsed="false">
      <c r="A18804" s="10" t="n">
        <f aca="false">Einstellungen!$B$5+INT((ROW()-9)/24)</f>
        <v>46749</v>
      </c>
      <c r="B18804" s="11" t="n">
        <f aca="false">MOD(ROW()-9,24)</f>
        <v>3</v>
      </c>
      <c r="C18804" s="12"/>
      <c r="D18804" s="13" t="n">
        <f aca="false">IF(B18804&lt;5,Einstellungen!$B$3,Einstellungen!$B$4)</f>
        <v>15.92</v>
      </c>
      <c r="E18804" s="14" t="str">
        <f aca="false">IF(C18804="","",C18804*D18804/100)</f>
        <v/>
      </c>
      <c r="F18804" s="15" t="str">
        <f aca="false">IF(B18804&lt;5,"Go","Standard")</f>
        <v>Go</v>
      </c>
    </row>
    <row r="18805" customFormat="false" ht="15" hidden="false" customHeight="true" outlineLevel="0" collapsed="false">
      <c r="A18805" s="10" t="n">
        <f aca="false">Einstellungen!$B$5+INT((ROW()-9)/24)</f>
        <v>46749</v>
      </c>
      <c r="B18805" s="11" t="n">
        <f aca="false">MOD(ROW()-9,24)</f>
        <v>4</v>
      </c>
      <c r="C18805" s="12"/>
      <c r="D18805" s="13" t="n">
        <f aca="false">IF(B18805&lt;5,Einstellungen!$B$3,Einstellungen!$B$4)</f>
        <v>15.92</v>
      </c>
      <c r="E18805" s="14" t="str">
        <f aca="false">IF(C18805="","",C18805*D18805/100)</f>
        <v/>
      </c>
      <c r="F18805" s="15" t="str">
        <f aca="false">IF(B18805&lt;5,"Go","Standard")</f>
        <v>Go</v>
      </c>
    </row>
    <row r="18806" customFormat="false" ht="15" hidden="false" customHeight="true" outlineLevel="0" collapsed="false">
      <c r="A18806" s="10" t="n">
        <f aca="false">Einstellungen!$B$5+INT((ROW()-9)/24)</f>
        <v>46749</v>
      </c>
      <c r="B18806" s="11" t="n">
        <f aca="false">MOD(ROW()-9,24)</f>
        <v>5</v>
      </c>
      <c r="C18806" s="12"/>
      <c r="D18806" s="13" t="n">
        <f aca="false">IF(B18806&lt;5,Einstellungen!$B$3,Einstellungen!$B$4)</f>
        <v>29.13</v>
      </c>
      <c r="E18806" s="14" t="str">
        <f aca="false">IF(C18806="","",C18806*D18806/100)</f>
        <v/>
      </c>
      <c r="F18806" s="15" t="str">
        <f aca="false">IF(B18806&lt;5,"Go","Standard")</f>
        <v>Standard</v>
      </c>
    </row>
    <row r="18807" customFormat="false" ht="15" hidden="false" customHeight="true" outlineLevel="0" collapsed="false">
      <c r="A18807" s="10" t="n">
        <f aca="false">Einstellungen!$B$5+INT((ROW()-9)/24)</f>
        <v>46749</v>
      </c>
      <c r="B18807" s="11" t="n">
        <f aca="false">MOD(ROW()-9,24)</f>
        <v>6</v>
      </c>
      <c r="C18807" s="12"/>
      <c r="D18807" s="13" t="n">
        <f aca="false">IF(B18807&lt;5,Einstellungen!$B$3,Einstellungen!$B$4)</f>
        <v>29.13</v>
      </c>
      <c r="E18807" s="14" t="str">
        <f aca="false">IF(C18807="","",C18807*D18807/100)</f>
        <v/>
      </c>
      <c r="F18807" s="15" t="str">
        <f aca="false">IF(B18807&lt;5,"Go","Standard")</f>
        <v>Standard</v>
      </c>
    </row>
    <row r="18808" customFormat="false" ht="15" hidden="false" customHeight="true" outlineLevel="0" collapsed="false">
      <c r="A18808" s="10" t="n">
        <f aca="false">Einstellungen!$B$5+INT((ROW()-9)/24)</f>
        <v>46749</v>
      </c>
      <c r="B18808" s="11" t="n">
        <f aca="false">MOD(ROW()-9,24)</f>
        <v>7</v>
      </c>
      <c r="C18808" s="12"/>
      <c r="D18808" s="13" t="n">
        <f aca="false">IF(B18808&lt;5,Einstellungen!$B$3,Einstellungen!$B$4)</f>
        <v>29.13</v>
      </c>
      <c r="E18808" s="14" t="str">
        <f aca="false">IF(C18808="","",C18808*D18808/100)</f>
        <v/>
      </c>
      <c r="F18808" s="15" t="str">
        <f aca="false">IF(B18808&lt;5,"Go","Standard")</f>
        <v>Standard</v>
      </c>
    </row>
    <row r="18809" customFormat="false" ht="15" hidden="false" customHeight="true" outlineLevel="0" collapsed="false">
      <c r="A18809" s="10" t="n">
        <f aca="false">Einstellungen!$B$5+INT((ROW()-9)/24)</f>
        <v>46749</v>
      </c>
      <c r="B18809" s="11" t="n">
        <f aca="false">MOD(ROW()-9,24)</f>
        <v>8</v>
      </c>
      <c r="C18809" s="12"/>
      <c r="D18809" s="13" t="n">
        <f aca="false">IF(B18809&lt;5,Einstellungen!$B$3,Einstellungen!$B$4)</f>
        <v>29.13</v>
      </c>
      <c r="E18809" s="14" t="str">
        <f aca="false">IF(C18809="","",C18809*D18809/100)</f>
        <v/>
      </c>
      <c r="F18809" s="15" t="str">
        <f aca="false">IF(B18809&lt;5,"Go","Standard")</f>
        <v>Standard</v>
      </c>
    </row>
    <row r="18810" customFormat="false" ht="15" hidden="false" customHeight="true" outlineLevel="0" collapsed="false">
      <c r="A18810" s="10" t="n">
        <f aca="false">Einstellungen!$B$5+INT((ROW()-9)/24)</f>
        <v>46749</v>
      </c>
      <c r="B18810" s="11" t="n">
        <f aca="false">MOD(ROW()-9,24)</f>
        <v>9</v>
      </c>
      <c r="C18810" s="12"/>
      <c r="D18810" s="13" t="n">
        <f aca="false">IF(B18810&lt;5,Einstellungen!$B$3,Einstellungen!$B$4)</f>
        <v>29.13</v>
      </c>
      <c r="E18810" s="14" t="str">
        <f aca="false">IF(C18810="","",C18810*D18810/100)</f>
        <v/>
      </c>
      <c r="F18810" s="15" t="str">
        <f aca="false">IF(B18810&lt;5,"Go","Standard")</f>
        <v>Standard</v>
      </c>
    </row>
    <row r="18811" customFormat="false" ht="15" hidden="false" customHeight="true" outlineLevel="0" collapsed="false">
      <c r="A18811" s="10" t="n">
        <f aca="false">Einstellungen!$B$5+INT((ROW()-9)/24)</f>
        <v>46749</v>
      </c>
      <c r="B18811" s="11" t="n">
        <f aca="false">MOD(ROW()-9,24)</f>
        <v>10</v>
      </c>
      <c r="C18811" s="12"/>
      <c r="D18811" s="13" t="n">
        <f aca="false">IF(B18811&lt;5,Einstellungen!$B$3,Einstellungen!$B$4)</f>
        <v>29.13</v>
      </c>
      <c r="E18811" s="14" t="str">
        <f aca="false">IF(C18811="","",C18811*D18811/100)</f>
        <v/>
      </c>
      <c r="F18811" s="15" t="str">
        <f aca="false">IF(B18811&lt;5,"Go","Standard")</f>
        <v>Standard</v>
      </c>
    </row>
    <row r="18812" customFormat="false" ht="15" hidden="false" customHeight="true" outlineLevel="0" collapsed="false">
      <c r="A18812" s="10" t="n">
        <f aca="false">Einstellungen!$B$5+INT((ROW()-9)/24)</f>
        <v>46749</v>
      </c>
      <c r="B18812" s="11" t="n">
        <f aca="false">MOD(ROW()-9,24)</f>
        <v>11</v>
      </c>
      <c r="C18812" s="12"/>
      <c r="D18812" s="13" t="n">
        <f aca="false">IF(B18812&lt;5,Einstellungen!$B$3,Einstellungen!$B$4)</f>
        <v>29.13</v>
      </c>
      <c r="E18812" s="14" t="str">
        <f aca="false">IF(C18812="","",C18812*D18812/100)</f>
        <v/>
      </c>
      <c r="F18812" s="15" t="str">
        <f aca="false">IF(B18812&lt;5,"Go","Standard")</f>
        <v>Standard</v>
      </c>
    </row>
    <row r="18813" customFormat="false" ht="15" hidden="false" customHeight="true" outlineLevel="0" collapsed="false">
      <c r="A18813" s="10" t="n">
        <f aca="false">Einstellungen!$B$5+INT((ROW()-9)/24)</f>
        <v>46749</v>
      </c>
      <c r="B18813" s="11" t="n">
        <f aca="false">MOD(ROW()-9,24)</f>
        <v>12</v>
      </c>
      <c r="C18813" s="12"/>
      <c r="D18813" s="13" t="n">
        <f aca="false">IF(B18813&lt;5,Einstellungen!$B$3,Einstellungen!$B$4)</f>
        <v>29.13</v>
      </c>
      <c r="E18813" s="14" t="str">
        <f aca="false">IF(C18813="","",C18813*D18813/100)</f>
        <v/>
      </c>
      <c r="F18813" s="15" t="str">
        <f aca="false">IF(B18813&lt;5,"Go","Standard")</f>
        <v>Standard</v>
      </c>
    </row>
    <row r="18814" customFormat="false" ht="15" hidden="false" customHeight="true" outlineLevel="0" collapsed="false">
      <c r="A18814" s="10" t="n">
        <f aca="false">Einstellungen!$B$5+INT((ROW()-9)/24)</f>
        <v>46749</v>
      </c>
      <c r="B18814" s="11" t="n">
        <f aca="false">MOD(ROW()-9,24)</f>
        <v>13</v>
      </c>
      <c r="C18814" s="12"/>
      <c r="D18814" s="13" t="n">
        <f aca="false">IF(B18814&lt;5,Einstellungen!$B$3,Einstellungen!$B$4)</f>
        <v>29.13</v>
      </c>
      <c r="E18814" s="14" t="str">
        <f aca="false">IF(C18814="","",C18814*D18814/100)</f>
        <v/>
      </c>
      <c r="F18814" s="15" t="str">
        <f aca="false">IF(B18814&lt;5,"Go","Standard")</f>
        <v>Standard</v>
      </c>
    </row>
    <row r="18815" customFormat="false" ht="15" hidden="false" customHeight="true" outlineLevel="0" collapsed="false">
      <c r="A18815" s="10" t="n">
        <f aca="false">Einstellungen!$B$5+INT((ROW()-9)/24)</f>
        <v>46749</v>
      </c>
      <c r="B18815" s="11" t="n">
        <f aca="false">MOD(ROW()-9,24)</f>
        <v>14</v>
      </c>
      <c r="C18815" s="12"/>
      <c r="D18815" s="13" t="n">
        <f aca="false">IF(B18815&lt;5,Einstellungen!$B$3,Einstellungen!$B$4)</f>
        <v>29.13</v>
      </c>
      <c r="E18815" s="14" t="str">
        <f aca="false">IF(C18815="","",C18815*D18815/100)</f>
        <v/>
      </c>
      <c r="F18815" s="15" t="str">
        <f aca="false">IF(B18815&lt;5,"Go","Standard")</f>
        <v>Standard</v>
      </c>
    </row>
    <row r="18816" customFormat="false" ht="15" hidden="false" customHeight="true" outlineLevel="0" collapsed="false">
      <c r="A18816" s="10" t="n">
        <f aca="false">Einstellungen!$B$5+INT((ROW()-9)/24)</f>
        <v>46749</v>
      </c>
      <c r="B18816" s="11" t="n">
        <f aca="false">MOD(ROW()-9,24)</f>
        <v>15</v>
      </c>
      <c r="C18816" s="12"/>
      <c r="D18816" s="13" t="n">
        <f aca="false">IF(B18816&lt;5,Einstellungen!$B$3,Einstellungen!$B$4)</f>
        <v>29.13</v>
      </c>
      <c r="E18816" s="14" t="str">
        <f aca="false">IF(C18816="","",C18816*D18816/100)</f>
        <v/>
      </c>
      <c r="F18816" s="15" t="str">
        <f aca="false">IF(B18816&lt;5,"Go","Standard")</f>
        <v>Standard</v>
      </c>
    </row>
    <row r="18817" customFormat="false" ht="15" hidden="false" customHeight="true" outlineLevel="0" collapsed="false">
      <c r="A18817" s="10" t="n">
        <f aca="false">Einstellungen!$B$5+INT((ROW()-9)/24)</f>
        <v>46749</v>
      </c>
      <c r="B18817" s="11" t="n">
        <f aca="false">MOD(ROW()-9,24)</f>
        <v>16</v>
      </c>
      <c r="C18817" s="12"/>
      <c r="D18817" s="13" t="n">
        <f aca="false">IF(B18817&lt;5,Einstellungen!$B$3,Einstellungen!$B$4)</f>
        <v>29.13</v>
      </c>
      <c r="E18817" s="14" t="str">
        <f aca="false">IF(C18817="","",C18817*D18817/100)</f>
        <v/>
      </c>
      <c r="F18817" s="15" t="str">
        <f aca="false">IF(B18817&lt;5,"Go","Standard")</f>
        <v>Standard</v>
      </c>
    </row>
    <row r="18818" customFormat="false" ht="15" hidden="false" customHeight="true" outlineLevel="0" collapsed="false">
      <c r="A18818" s="10" t="n">
        <f aca="false">Einstellungen!$B$5+INT((ROW()-9)/24)</f>
        <v>46749</v>
      </c>
      <c r="B18818" s="11" t="n">
        <f aca="false">MOD(ROW()-9,24)</f>
        <v>17</v>
      </c>
      <c r="C18818" s="12"/>
      <c r="D18818" s="13" t="n">
        <f aca="false">IF(B18818&lt;5,Einstellungen!$B$3,Einstellungen!$B$4)</f>
        <v>29.13</v>
      </c>
      <c r="E18818" s="14" t="str">
        <f aca="false">IF(C18818="","",C18818*D18818/100)</f>
        <v/>
      </c>
      <c r="F18818" s="15" t="str">
        <f aca="false">IF(B18818&lt;5,"Go","Standard")</f>
        <v>Standard</v>
      </c>
    </row>
    <row r="18819" customFormat="false" ht="15" hidden="false" customHeight="true" outlineLevel="0" collapsed="false">
      <c r="A18819" s="10" t="n">
        <f aca="false">Einstellungen!$B$5+INT((ROW()-9)/24)</f>
        <v>46749</v>
      </c>
      <c r="B18819" s="11" t="n">
        <f aca="false">MOD(ROW()-9,24)</f>
        <v>18</v>
      </c>
      <c r="C18819" s="12"/>
      <c r="D18819" s="13" t="n">
        <f aca="false">IF(B18819&lt;5,Einstellungen!$B$3,Einstellungen!$B$4)</f>
        <v>29.13</v>
      </c>
      <c r="E18819" s="14" t="str">
        <f aca="false">IF(C18819="","",C18819*D18819/100)</f>
        <v/>
      </c>
      <c r="F18819" s="15" t="str">
        <f aca="false">IF(B18819&lt;5,"Go","Standard")</f>
        <v>Standard</v>
      </c>
    </row>
    <row r="18820" customFormat="false" ht="15" hidden="false" customHeight="true" outlineLevel="0" collapsed="false">
      <c r="A18820" s="10" t="n">
        <f aca="false">Einstellungen!$B$5+INT((ROW()-9)/24)</f>
        <v>46749</v>
      </c>
      <c r="B18820" s="11" t="n">
        <f aca="false">MOD(ROW()-9,24)</f>
        <v>19</v>
      </c>
      <c r="C18820" s="12"/>
      <c r="D18820" s="13" t="n">
        <f aca="false">IF(B18820&lt;5,Einstellungen!$B$3,Einstellungen!$B$4)</f>
        <v>29.13</v>
      </c>
      <c r="E18820" s="14" t="str">
        <f aca="false">IF(C18820="","",C18820*D18820/100)</f>
        <v/>
      </c>
      <c r="F18820" s="15" t="str">
        <f aca="false">IF(B18820&lt;5,"Go","Standard")</f>
        <v>Standard</v>
      </c>
    </row>
    <row r="18821" customFormat="false" ht="15" hidden="false" customHeight="true" outlineLevel="0" collapsed="false">
      <c r="A18821" s="10" t="n">
        <f aca="false">Einstellungen!$B$5+INT((ROW()-9)/24)</f>
        <v>46749</v>
      </c>
      <c r="B18821" s="11" t="n">
        <f aca="false">MOD(ROW()-9,24)</f>
        <v>20</v>
      </c>
      <c r="C18821" s="12"/>
      <c r="D18821" s="13" t="n">
        <f aca="false">IF(B18821&lt;5,Einstellungen!$B$3,Einstellungen!$B$4)</f>
        <v>29.13</v>
      </c>
      <c r="E18821" s="14" t="str">
        <f aca="false">IF(C18821="","",C18821*D18821/100)</f>
        <v/>
      </c>
      <c r="F18821" s="15" t="str">
        <f aca="false">IF(B18821&lt;5,"Go","Standard")</f>
        <v>Standard</v>
      </c>
    </row>
    <row r="18822" customFormat="false" ht="15" hidden="false" customHeight="true" outlineLevel="0" collapsed="false">
      <c r="A18822" s="10" t="n">
        <f aca="false">Einstellungen!$B$5+INT((ROW()-9)/24)</f>
        <v>46749</v>
      </c>
      <c r="B18822" s="11" t="n">
        <f aca="false">MOD(ROW()-9,24)</f>
        <v>21</v>
      </c>
      <c r="C18822" s="12"/>
      <c r="D18822" s="13" t="n">
        <f aca="false">IF(B18822&lt;5,Einstellungen!$B$3,Einstellungen!$B$4)</f>
        <v>29.13</v>
      </c>
      <c r="E18822" s="14" t="str">
        <f aca="false">IF(C18822="","",C18822*D18822/100)</f>
        <v/>
      </c>
      <c r="F18822" s="15" t="str">
        <f aca="false">IF(B18822&lt;5,"Go","Standard")</f>
        <v>Standard</v>
      </c>
    </row>
    <row r="18823" customFormat="false" ht="15" hidden="false" customHeight="true" outlineLevel="0" collapsed="false">
      <c r="A18823" s="10" t="n">
        <f aca="false">Einstellungen!$B$5+INT((ROW()-9)/24)</f>
        <v>46749</v>
      </c>
      <c r="B18823" s="11" t="n">
        <f aca="false">MOD(ROW()-9,24)</f>
        <v>22</v>
      </c>
      <c r="C18823" s="12"/>
      <c r="D18823" s="13" t="n">
        <f aca="false">IF(B18823&lt;5,Einstellungen!$B$3,Einstellungen!$B$4)</f>
        <v>29.13</v>
      </c>
      <c r="E18823" s="14" t="str">
        <f aca="false">IF(C18823="","",C18823*D18823/100)</f>
        <v/>
      </c>
      <c r="F18823" s="15" t="str">
        <f aca="false">IF(B18823&lt;5,"Go","Standard")</f>
        <v>Standard</v>
      </c>
    </row>
    <row r="18824" customFormat="false" ht="15" hidden="false" customHeight="true" outlineLevel="0" collapsed="false">
      <c r="A18824" s="10" t="n">
        <f aca="false">Einstellungen!$B$5+INT((ROW()-9)/24)</f>
        <v>46749</v>
      </c>
      <c r="B18824" s="11" t="n">
        <f aca="false">MOD(ROW()-9,24)</f>
        <v>23</v>
      </c>
      <c r="C18824" s="12"/>
      <c r="D18824" s="13" t="n">
        <f aca="false">IF(B18824&lt;5,Einstellungen!$B$3,Einstellungen!$B$4)</f>
        <v>29.13</v>
      </c>
      <c r="E18824" s="14" t="str">
        <f aca="false">IF(C18824="","",C18824*D18824/100)</f>
        <v/>
      </c>
      <c r="F18824" s="15" t="str">
        <f aca="false">IF(B18824&lt;5,"Go","Standard")</f>
        <v>Standard</v>
      </c>
    </row>
    <row r="18825" customFormat="false" ht="15" hidden="false" customHeight="true" outlineLevel="0" collapsed="false">
      <c r="A18825" s="10" t="n">
        <f aca="false">Einstellungen!$B$5+INT((ROW()-9)/24)</f>
        <v>46750</v>
      </c>
      <c r="B18825" s="11" t="n">
        <f aca="false">MOD(ROW()-9,24)</f>
        <v>0</v>
      </c>
      <c r="C18825" s="12"/>
      <c r="D18825" s="13" t="n">
        <f aca="false">IF(B18825&lt;5,Einstellungen!$B$3,Einstellungen!$B$4)</f>
        <v>15.92</v>
      </c>
      <c r="E18825" s="14" t="str">
        <f aca="false">IF(C18825="","",C18825*D18825/100)</f>
        <v/>
      </c>
      <c r="F18825" s="15" t="str">
        <f aca="false">IF(B18825&lt;5,"Go","Standard")</f>
        <v>Go</v>
      </c>
    </row>
    <row r="18826" customFormat="false" ht="15" hidden="false" customHeight="true" outlineLevel="0" collapsed="false">
      <c r="A18826" s="10" t="n">
        <f aca="false">Einstellungen!$B$5+INT((ROW()-9)/24)</f>
        <v>46750</v>
      </c>
      <c r="B18826" s="11" t="n">
        <f aca="false">MOD(ROW()-9,24)</f>
        <v>1</v>
      </c>
      <c r="C18826" s="12"/>
      <c r="D18826" s="13" t="n">
        <f aca="false">IF(B18826&lt;5,Einstellungen!$B$3,Einstellungen!$B$4)</f>
        <v>15.92</v>
      </c>
      <c r="E18826" s="14" t="str">
        <f aca="false">IF(C18826="","",C18826*D18826/100)</f>
        <v/>
      </c>
      <c r="F18826" s="15" t="str">
        <f aca="false">IF(B18826&lt;5,"Go","Standard")</f>
        <v>Go</v>
      </c>
    </row>
    <row r="18827" customFormat="false" ht="15" hidden="false" customHeight="true" outlineLevel="0" collapsed="false">
      <c r="A18827" s="10" t="n">
        <f aca="false">Einstellungen!$B$5+INT((ROW()-9)/24)</f>
        <v>46750</v>
      </c>
      <c r="B18827" s="11" t="n">
        <f aca="false">MOD(ROW()-9,24)</f>
        <v>2</v>
      </c>
      <c r="C18827" s="12"/>
      <c r="D18827" s="13" t="n">
        <f aca="false">IF(B18827&lt;5,Einstellungen!$B$3,Einstellungen!$B$4)</f>
        <v>15.92</v>
      </c>
      <c r="E18827" s="14" t="str">
        <f aca="false">IF(C18827="","",C18827*D18827/100)</f>
        <v/>
      </c>
      <c r="F18827" s="15" t="str">
        <f aca="false">IF(B18827&lt;5,"Go","Standard")</f>
        <v>Go</v>
      </c>
    </row>
    <row r="18828" customFormat="false" ht="15" hidden="false" customHeight="true" outlineLevel="0" collapsed="false">
      <c r="A18828" s="10" t="n">
        <f aca="false">Einstellungen!$B$5+INT((ROW()-9)/24)</f>
        <v>46750</v>
      </c>
      <c r="B18828" s="11" t="n">
        <f aca="false">MOD(ROW()-9,24)</f>
        <v>3</v>
      </c>
      <c r="C18828" s="12"/>
      <c r="D18828" s="13" t="n">
        <f aca="false">IF(B18828&lt;5,Einstellungen!$B$3,Einstellungen!$B$4)</f>
        <v>15.92</v>
      </c>
      <c r="E18828" s="14" t="str">
        <f aca="false">IF(C18828="","",C18828*D18828/100)</f>
        <v/>
      </c>
      <c r="F18828" s="15" t="str">
        <f aca="false">IF(B18828&lt;5,"Go","Standard")</f>
        <v>Go</v>
      </c>
    </row>
    <row r="18829" customFormat="false" ht="15" hidden="false" customHeight="true" outlineLevel="0" collapsed="false">
      <c r="A18829" s="10" t="n">
        <f aca="false">Einstellungen!$B$5+INT((ROW()-9)/24)</f>
        <v>46750</v>
      </c>
      <c r="B18829" s="11" t="n">
        <f aca="false">MOD(ROW()-9,24)</f>
        <v>4</v>
      </c>
      <c r="C18829" s="12"/>
      <c r="D18829" s="13" t="n">
        <f aca="false">IF(B18829&lt;5,Einstellungen!$B$3,Einstellungen!$B$4)</f>
        <v>15.92</v>
      </c>
      <c r="E18829" s="14" t="str">
        <f aca="false">IF(C18829="","",C18829*D18829/100)</f>
        <v/>
      </c>
      <c r="F18829" s="15" t="str">
        <f aca="false">IF(B18829&lt;5,"Go","Standard")</f>
        <v>Go</v>
      </c>
    </row>
    <row r="18830" customFormat="false" ht="15" hidden="false" customHeight="true" outlineLevel="0" collapsed="false">
      <c r="A18830" s="10" t="n">
        <f aca="false">Einstellungen!$B$5+INT((ROW()-9)/24)</f>
        <v>46750</v>
      </c>
      <c r="B18830" s="11" t="n">
        <f aca="false">MOD(ROW()-9,24)</f>
        <v>5</v>
      </c>
      <c r="C18830" s="12"/>
      <c r="D18830" s="13" t="n">
        <f aca="false">IF(B18830&lt;5,Einstellungen!$B$3,Einstellungen!$B$4)</f>
        <v>29.13</v>
      </c>
      <c r="E18830" s="14" t="str">
        <f aca="false">IF(C18830="","",C18830*D18830/100)</f>
        <v/>
      </c>
      <c r="F18830" s="15" t="str">
        <f aca="false">IF(B18830&lt;5,"Go","Standard")</f>
        <v>Standard</v>
      </c>
    </row>
    <row r="18831" customFormat="false" ht="15" hidden="false" customHeight="true" outlineLevel="0" collapsed="false">
      <c r="A18831" s="10" t="n">
        <f aca="false">Einstellungen!$B$5+INT((ROW()-9)/24)</f>
        <v>46750</v>
      </c>
      <c r="B18831" s="11" t="n">
        <f aca="false">MOD(ROW()-9,24)</f>
        <v>6</v>
      </c>
      <c r="C18831" s="12"/>
      <c r="D18831" s="13" t="n">
        <f aca="false">IF(B18831&lt;5,Einstellungen!$B$3,Einstellungen!$B$4)</f>
        <v>29.13</v>
      </c>
      <c r="E18831" s="14" t="str">
        <f aca="false">IF(C18831="","",C18831*D18831/100)</f>
        <v/>
      </c>
      <c r="F18831" s="15" t="str">
        <f aca="false">IF(B18831&lt;5,"Go","Standard")</f>
        <v>Standard</v>
      </c>
    </row>
    <row r="18832" customFormat="false" ht="15" hidden="false" customHeight="true" outlineLevel="0" collapsed="false">
      <c r="A18832" s="10" t="n">
        <f aca="false">Einstellungen!$B$5+INT((ROW()-9)/24)</f>
        <v>46750</v>
      </c>
      <c r="B18832" s="11" t="n">
        <f aca="false">MOD(ROW()-9,24)</f>
        <v>7</v>
      </c>
      <c r="C18832" s="12"/>
      <c r="D18832" s="13" t="n">
        <f aca="false">IF(B18832&lt;5,Einstellungen!$B$3,Einstellungen!$B$4)</f>
        <v>29.13</v>
      </c>
      <c r="E18832" s="14" t="str">
        <f aca="false">IF(C18832="","",C18832*D18832/100)</f>
        <v/>
      </c>
      <c r="F18832" s="15" t="str">
        <f aca="false">IF(B18832&lt;5,"Go","Standard")</f>
        <v>Standard</v>
      </c>
    </row>
    <row r="18833" customFormat="false" ht="15" hidden="false" customHeight="true" outlineLevel="0" collapsed="false">
      <c r="A18833" s="10" t="n">
        <f aca="false">Einstellungen!$B$5+INT((ROW()-9)/24)</f>
        <v>46750</v>
      </c>
      <c r="B18833" s="11" t="n">
        <f aca="false">MOD(ROW()-9,24)</f>
        <v>8</v>
      </c>
      <c r="C18833" s="12"/>
      <c r="D18833" s="13" t="n">
        <f aca="false">IF(B18833&lt;5,Einstellungen!$B$3,Einstellungen!$B$4)</f>
        <v>29.13</v>
      </c>
      <c r="E18833" s="14" t="str">
        <f aca="false">IF(C18833="","",C18833*D18833/100)</f>
        <v/>
      </c>
      <c r="F18833" s="15" t="str">
        <f aca="false">IF(B18833&lt;5,"Go","Standard")</f>
        <v>Standard</v>
      </c>
    </row>
    <row r="18834" customFormat="false" ht="15" hidden="false" customHeight="true" outlineLevel="0" collapsed="false">
      <c r="A18834" s="10" t="n">
        <f aca="false">Einstellungen!$B$5+INT((ROW()-9)/24)</f>
        <v>46750</v>
      </c>
      <c r="B18834" s="11" t="n">
        <f aca="false">MOD(ROW()-9,24)</f>
        <v>9</v>
      </c>
      <c r="C18834" s="12"/>
      <c r="D18834" s="13" t="n">
        <f aca="false">IF(B18834&lt;5,Einstellungen!$B$3,Einstellungen!$B$4)</f>
        <v>29.13</v>
      </c>
      <c r="E18834" s="14" t="str">
        <f aca="false">IF(C18834="","",C18834*D18834/100)</f>
        <v/>
      </c>
      <c r="F18834" s="15" t="str">
        <f aca="false">IF(B18834&lt;5,"Go","Standard")</f>
        <v>Standard</v>
      </c>
    </row>
    <row r="18835" customFormat="false" ht="15" hidden="false" customHeight="true" outlineLevel="0" collapsed="false">
      <c r="A18835" s="10" t="n">
        <f aca="false">Einstellungen!$B$5+INT((ROW()-9)/24)</f>
        <v>46750</v>
      </c>
      <c r="B18835" s="11" t="n">
        <f aca="false">MOD(ROW()-9,24)</f>
        <v>10</v>
      </c>
      <c r="C18835" s="12"/>
      <c r="D18835" s="13" t="n">
        <f aca="false">IF(B18835&lt;5,Einstellungen!$B$3,Einstellungen!$B$4)</f>
        <v>29.13</v>
      </c>
      <c r="E18835" s="14" t="str">
        <f aca="false">IF(C18835="","",C18835*D18835/100)</f>
        <v/>
      </c>
      <c r="F18835" s="15" t="str">
        <f aca="false">IF(B18835&lt;5,"Go","Standard")</f>
        <v>Standard</v>
      </c>
    </row>
    <row r="18836" customFormat="false" ht="15" hidden="false" customHeight="true" outlineLevel="0" collapsed="false">
      <c r="A18836" s="10" t="n">
        <f aca="false">Einstellungen!$B$5+INT((ROW()-9)/24)</f>
        <v>46750</v>
      </c>
      <c r="B18836" s="11" t="n">
        <f aca="false">MOD(ROW()-9,24)</f>
        <v>11</v>
      </c>
      <c r="C18836" s="12"/>
      <c r="D18836" s="13" t="n">
        <f aca="false">IF(B18836&lt;5,Einstellungen!$B$3,Einstellungen!$B$4)</f>
        <v>29.13</v>
      </c>
      <c r="E18836" s="14" t="str">
        <f aca="false">IF(C18836="","",C18836*D18836/100)</f>
        <v/>
      </c>
      <c r="F18836" s="15" t="str">
        <f aca="false">IF(B18836&lt;5,"Go","Standard")</f>
        <v>Standard</v>
      </c>
    </row>
    <row r="18837" customFormat="false" ht="15" hidden="false" customHeight="true" outlineLevel="0" collapsed="false">
      <c r="A18837" s="10" t="n">
        <f aca="false">Einstellungen!$B$5+INT((ROW()-9)/24)</f>
        <v>46750</v>
      </c>
      <c r="B18837" s="11" t="n">
        <f aca="false">MOD(ROW()-9,24)</f>
        <v>12</v>
      </c>
      <c r="C18837" s="12"/>
      <c r="D18837" s="13" t="n">
        <f aca="false">IF(B18837&lt;5,Einstellungen!$B$3,Einstellungen!$B$4)</f>
        <v>29.13</v>
      </c>
      <c r="E18837" s="14" t="str">
        <f aca="false">IF(C18837="","",C18837*D18837/100)</f>
        <v/>
      </c>
      <c r="F18837" s="15" t="str">
        <f aca="false">IF(B18837&lt;5,"Go","Standard")</f>
        <v>Standard</v>
      </c>
    </row>
    <row r="18838" customFormat="false" ht="15" hidden="false" customHeight="true" outlineLevel="0" collapsed="false">
      <c r="A18838" s="10" t="n">
        <f aca="false">Einstellungen!$B$5+INT((ROW()-9)/24)</f>
        <v>46750</v>
      </c>
      <c r="B18838" s="11" t="n">
        <f aca="false">MOD(ROW()-9,24)</f>
        <v>13</v>
      </c>
      <c r="C18838" s="12"/>
      <c r="D18838" s="13" t="n">
        <f aca="false">IF(B18838&lt;5,Einstellungen!$B$3,Einstellungen!$B$4)</f>
        <v>29.13</v>
      </c>
      <c r="E18838" s="14" t="str">
        <f aca="false">IF(C18838="","",C18838*D18838/100)</f>
        <v/>
      </c>
      <c r="F18838" s="15" t="str">
        <f aca="false">IF(B18838&lt;5,"Go","Standard")</f>
        <v>Standard</v>
      </c>
    </row>
    <row r="18839" customFormat="false" ht="15" hidden="false" customHeight="true" outlineLevel="0" collapsed="false">
      <c r="A18839" s="10" t="n">
        <f aca="false">Einstellungen!$B$5+INT((ROW()-9)/24)</f>
        <v>46750</v>
      </c>
      <c r="B18839" s="11" t="n">
        <f aca="false">MOD(ROW()-9,24)</f>
        <v>14</v>
      </c>
      <c r="C18839" s="12"/>
      <c r="D18839" s="13" t="n">
        <f aca="false">IF(B18839&lt;5,Einstellungen!$B$3,Einstellungen!$B$4)</f>
        <v>29.13</v>
      </c>
      <c r="E18839" s="14" t="str">
        <f aca="false">IF(C18839="","",C18839*D18839/100)</f>
        <v/>
      </c>
      <c r="F18839" s="15" t="str">
        <f aca="false">IF(B18839&lt;5,"Go","Standard")</f>
        <v>Standard</v>
      </c>
    </row>
    <row r="18840" customFormat="false" ht="15" hidden="false" customHeight="true" outlineLevel="0" collapsed="false">
      <c r="A18840" s="10" t="n">
        <f aca="false">Einstellungen!$B$5+INT((ROW()-9)/24)</f>
        <v>46750</v>
      </c>
      <c r="B18840" s="11" t="n">
        <f aca="false">MOD(ROW()-9,24)</f>
        <v>15</v>
      </c>
      <c r="C18840" s="12"/>
      <c r="D18840" s="13" t="n">
        <f aca="false">IF(B18840&lt;5,Einstellungen!$B$3,Einstellungen!$B$4)</f>
        <v>29.13</v>
      </c>
      <c r="E18840" s="14" t="str">
        <f aca="false">IF(C18840="","",C18840*D18840/100)</f>
        <v/>
      </c>
      <c r="F18840" s="15" t="str">
        <f aca="false">IF(B18840&lt;5,"Go","Standard")</f>
        <v>Standard</v>
      </c>
    </row>
    <row r="18841" customFormat="false" ht="15" hidden="false" customHeight="true" outlineLevel="0" collapsed="false">
      <c r="A18841" s="10" t="n">
        <f aca="false">Einstellungen!$B$5+INT((ROW()-9)/24)</f>
        <v>46750</v>
      </c>
      <c r="B18841" s="11" t="n">
        <f aca="false">MOD(ROW()-9,24)</f>
        <v>16</v>
      </c>
      <c r="C18841" s="12"/>
      <c r="D18841" s="13" t="n">
        <f aca="false">IF(B18841&lt;5,Einstellungen!$B$3,Einstellungen!$B$4)</f>
        <v>29.13</v>
      </c>
      <c r="E18841" s="14" t="str">
        <f aca="false">IF(C18841="","",C18841*D18841/100)</f>
        <v/>
      </c>
      <c r="F18841" s="15" t="str">
        <f aca="false">IF(B18841&lt;5,"Go","Standard")</f>
        <v>Standard</v>
      </c>
    </row>
    <row r="18842" customFormat="false" ht="15" hidden="false" customHeight="true" outlineLevel="0" collapsed="false">
      <c r="A18842" s="10" t="n">
        <f aca="false">Einstellungen!$B$5+INT((ROW()-9)/24)</f>
        <v>46750</v>
      </c>
      <c r="B18842" s="11" t="n">
        <f aca="false">MOD(ROW()-9,24)</f>
        <v>17</v>
      </c>
      <c r="C18842" s="12"/>
      <c r="D18842" s="13" t="n">
        <f aca="false">IF(B18842&lt;5,Einstellungen!$B$3,Einstellungen!$B$4)</f>
        <v>29.13</v>
      </c>
      <c r="E18842" s="14" t="str">
        <f aca="false">IF(C18842="","",C18842*D18842/100)</f>
        <v/>
      </c>
      <c r="F18842" s="15" t="str">
        <f aca="false">IF(B18842&lt;5,"Go","Standard")</f>
        <v>Standard</v>
      </c>
    </row>
    <row r="18843" customFormat="false" ht="15" hidden="false" customHeight="true" outlineLevel="0" collapsed="false">
      <c r="A18843" s="10" t="n">
        <f aca="false">Einstellungen!$B$5+INT((ROW()-9)/24)</f>
        <v>46750</v>
      </c>
      <c r="B18843" s="11" t="n">
        <f aca="false">MOD(ROW()-9,24)</f>
        <v>18</v>
      </c>
      <c r="C18843" s="12"/>
      <c r="D18843" s="13" t="n">
        <f aca="false">IF(B18843&lt;5,Einstellungen!$B$3,Einstellungen!$B$4)</f>
        <v>29.13</v>
      </c>
      <c r="E18843" s="14" t="str">
        <f aca="false">IF(C18843="","",C18843*D18843/100)</f>
        <v/>
      </c>
      <c r="F18843" s="15" t="str">
        <f aca="false">IF(B18843&lt;5,"Go","Standard")</f>
        <v>Standard</v>
      </c>
    </row>
    <row r="18844" customFormat="false" ht="15" hidden="false" customHeight="true" outlineLevel="0" collapsed="false">
      <c r="A18844" s="10" t="n">
        <f aca="false">Einstellungen!$B$5+INT((ROW()-9)/24)</f>
        <v>46750</v>
      </c>
      <c r="B18844" s="11" t="n">
        <f aca="false">MOD(ROW()-9,24)</f>
        <v>19</v>
      </c>
      <c r="C18844" s="12"/>
      <c r="D18844" s="13" t="n">
        <f aca="false">IF(B18844&lt;5,Einstellungen!$B$3,Einstellungen!$B$4)</f>
        <v>29.13</v>
      </c>
      <c r="E18844" s="14" t="str">
        <f aca="false">IF(C18844="","",C18844*D18844/100)</f>
        <v/>
      </c>
      <c r="F18844" s="15" t="str">
        <f aca="false">IF(B18844&lt;5,"Go","Standard")</f>
        <v>Standard</v>
      </c>
    </row>
    <row r="18845" customFormat="false" ht="15" hidden="false" customHeight="true" outlineLevel="0" collapsed="false">
      <c r="A18845" s="10" t="n">
        <f aca="false">Einstellungen!$B$5+INT((ROW()-9)/24)</f>
        <v>46750</v>
      </c>
      <c r="B18845" s="11" t="n">
        <f aca="false">MOD(ROW()-9,24)</f>
        <v>20</v>
      </c>
      <c r="C18845" s="12"/>
      <c r="D18845" s="13" t="n">
        <f aca="false">IF(B18845&lt;5,Einstellungen!$B$3,Einstellungen!$B$4)</f>
        <v>29.13</v>
      </c>
      <c r="E18845" s="14" t="str">
        <f aca="false">IF(C18845="","",C18845*D18845/100)</f>
        <v/>
      </c>
      <c r="F18845" s="15" t="str">
        <f aca="false">IF(B18845&lt;5,"Go","Standard")</f>
        <v>Standard</v>
      </c>
    </row>
    <row r="18846" customFormat="false" ht="15" hidden="false" customHeight="true" outlineLevel="0" collapsed="false">
      <c r="A18846" s="10" t="n">
        <f aca="false">Einstellungen!$B$5+INT((ROW()-9)/24)</f>
        <v>46750</v>
      </c>
      <c r="B18846" s="11" t="n">
        <f aca="false">MOD(ROW()-9,24)</f>
        <v>21</v>
      </c>
      <c r="C18846" s="12"/>
      <c r="D18846" s="13" t="n">
        <f aca="false">IF(B18846&lt;5,Einstellungen!$B$3,Einstellungen!$B$4)</f>
        <v>29.13</v>
      </c>
      <c r="E18846" s="14" t="str">
        <f aca="false">IF(C18846="","",C18846*D18846/100)</f>
        <v/>
      </c>
      <c r="F18846" s="15" t="str">
        <f aca="false">IF(B18846&lt;5,"Go","Standard")</f>
        <v>Standard</v>
      </c>
    </row>
    <row r="18847" customFormat="false" ht="15" hidden="false" customHeight="true" outlineLevel="0" collapsed="false">
      <c r="A18847" s="10" t="n">
        <f aca="false">Einstellungen!$B$5+INT((ROW()-9)/24)</f>
        <v>46750</v>
      </c>
      <c r="B18847" s="11" t="n">
        <f aca="false">MOD(ROW()-9,24)</f>
        <v>22</v>
      </c>
      <c r="C18847" s="12"/>
      <c r="D18847" s="13" t="n">
        <f aca="false">IF(B18847&lt;5,Einstellungen!$B$3,Einstellungen!$B$4)</f>
        <v>29.13</v>
      </c>
      <c r="E18847" s="14" t="str">
        <f aca="false">IF(C18847="","",C18847*D18847/100)</f>
        <v/>
      </c>
      <c r="F18847" s="15" t="str">
        <f aca="false">IF(B18847&lt;5,"Go","Standard")</f>
        <v>Standard</v>
      </c>
    </row>
    <row r="18848" customFormat="false" ht="15" hidden="false" customHeight="true" outlineLevel="0" collapsed="false">
      <c r="A18848" s="10" t="n">
        <f aca="false">Einstellungen!$B$5+INT((ROW()-9)/24)</f>
        <v>46750</v>
      </c>
      <c r="B18848" s="11" t="n">
        <f aca="false">MOD(ROW()-9,24)</f>
        <v>23</v>
      </c>
      <c r="C18848" s="12"/>
      <c r="D18848" s="13" t="n">
        <f aca="false">IF(B18848&lt;5,Einstellungen!$B$3,Einstellungen!$B$4)</f>
        <v>29.13</v>
      </c>
      <c r="E18848" s="14" t="str">
        <f aca="false">IF(C18848="","",C18848*D18848/100)</f>
        <v/>
      </c>
      <c r="F18848" s="15" t="str">
        <f aca="false">IF(B18848&lt;5,"Go","Standard")</f>
        <v>Standard</v>
      </c>
    </row>
    <row r="18849" customFormat="false" ht="15" hidden="false" customHeight="true" outlineLevel="0" collapsed="false">
      <c r="A18849" s="10" t="n">
        <f aca="false">Einstellungen!$B$5+INT((ROW()-9)/24)</f>
        <v>46751</v>
      </c>
      <c r="B18849" s="11" t="n">
        <f aca="false">MOD(ROW()-9,24)</f>
        <v>0</v>
      </c>
      <c r="C18849" s="12"/>
      <c r="D18849" s="13" t="n">
        <f aca="false">IF(B18849&lt;5,Einstellungen!$B$3,Einstellungen!$B$4)</f>
        <v>15.92</v>
      </c>
      <c r="E18849" s="14" t="str">
        <f aca="false">IF(C18849="","",C18849*D18849/100)</f>
        <v/>
      </c>
      <c r="F18849" s="15" t="str">
        <f aca="false">IF(B18849&lt;5,"Go","Standard")</f>
        <v>Go</v>
      </c>
    </row>
    <row r="18850" customFormat="false" ht="15" hidden="false" customHeight="true" outlineLevel="0" collapsed="false">
      <c r="A18850" s="10" t="n">
        <f aca="false">Einstellungen!$B$5+INT((ROW()-9)/24)</f>
        <v>46751</v>
      </c>
      <c r="B18850" s="11" t="n">
        <f aca="false">MOD(ROW()-9,24)</f>
        <v>1</v>
      </c>
      <c r="C18850" s="12"/>
      <c r="D18850" s="13" t="n">
        <f aca="false">IF(B18850&lt;5,Einstellungen!$B$3,Einstellungen!$B$4)</f>
        <v>15.92</v>
      </c>
      <c r="E18850" s="14" t="str">
        <f aca="false">IF(C18850="","",C18850*D18850/100)</f>
        <v/>
      </c>
      <c r="F18850" s="15" t="str">
        <f aca="false">IF(B18850&lt;5,"Go","Standard")</f>
        <v>Go</v>
      </c>
    </row>
    <row r="18851" customFormat="false" ht="15" hidden="false" customHeight="true" outlineLevel="0" collapsed="false">
      <c r="A18851" s="10" t="n">
        <f aca="false">Einstellungen!$B$5+INT((ROW()-9)/24)</f>
        <v>46751</v>
      </c>
      <c r="B18851" s="11" t="n">
        <f aca="false">MOD(ROW()-9,24)</f>
        <v>2</v>
      </c>
      <c r="C18851" s="12"/>
      <c r="D18851" s="13" t="n">
        <f aca="false">IF(B18851&lt;5,Einstellungen!$B$3,Einstellungen!$B$4)</f>
        <v>15.92</v>
      </c>
      <c r="E18851" s="14" t="str">
        <f aca="false">IF(C18851="","",C18851*D18851/100)</f>
        <v/>
      </c>
      <c r="F18851" s="15" t="str">
        <f aca="false">IF(B18851&lt;5,"Go","Standard")</f>
        <v>Go</v>
      </c>
    </row>
    <row r="18852" customFormat="false" ht="15" hidden="false" customHeight="true" outlineLevel="0" collapsed="false">
      <c r="A18852" s="10" t="n">
        <f aca="false">Einstellungen!$B$5+INT((ROW()-9)/24)</f>
        <v>46751</v>
      </c>
      <c r="B18852" s="11" t="n">
        <f aca="false">MOD(ROW()-9,24)</f>
        <v>3</v>
      </c>
      <c r="C18852" s="12"/>
      <c r="D18852" s="13" t="n">
        <f aca="false">IF(B18852&lt;5,Einstellungen!$B$3,Einstellungen!$B$4)</f>
        <v>15.92</v>
      </c>
      <c r="E18852" s="14" t="str">
        <f aca="false">IF(C18852="","",C18852*D18852/100)</f>
        <v/>
      </c>
      <c r="F18852" s="15" t="str">
        <f aca="false">IF(B18852&lt;5,"Go","Standard")</f>
        <v>Go</v>
      </c>
    </row>
    <row r="18853" customFormat="false" ht="15" hidden="false" customHeight="true" outlineLevel="0" collapsed="false">
      <c r="A18853" s="10" t="n">
        <f aca="false">Einstellungen!$B$5+INT((ROW()-9)/24)</f>
        <v>46751</v>
      </c>
      <c r="B18853" s="11" t="n">
        <f aca="false">MOD(ROW()-9,24)</f>
        <v>4</v>
      </c>
      <c r="C18853" s="12"/>
      <c r="D18853" s="13" t="n">
        <f aca="false">IF(B18853&lt;5,Einstellungen!$B$3,Einstellungen!$B$4)</f>
        <v>15.92</v>
      </c>
      <c r="E18853" s="14" t="str">
        <f aca="false">IF(C18853="","",C18853*D18853/100)</f>
        <v/>
      </c>
      <c r="F18853" s="15" t="str">
        <f aca="false">IF(B18853&lt;5,"Go","Standard")</f>
        <v>Go</v>
      </c>
    </row>
    <row r="18854" customFormat="false" ht="15" hidden="false" customHeight="true" outlineLevel="0" collapsed="false">
      <c r="A18854" s="10" t="n">
        <f aca="false">Einstellungen!$B$5+INT((ROW()-9)/24)</f>
        <v>46751</v>
      </c>
      <c r="B18854" s="11" t="n">
        <f aca="false">MOD(ROW()-9,24)</f>
        <v>5</v>
      </c>
      <c r="C18854" s="12"/>
      <c r="D18854" s="13" t="n">
        <f aca="false">IF(B18854&lt;5,Einstellungen!$B$3,Einstellungen!$B$4)</f>
        <v>29.13</v>
      </c>
      <c r="E18854" s="14" t="str">
        <f aca="false">IF(C18854="","",C18854*D18854/100)</f>
        <v/>
      </c>
      <c r="F18854" s="15" t="str">
        <f aca="false">IF(B18854&lt;5,"Go","Standard")</f>
        <v>Standard</v>
      </c>
    </row>
    <row r="18855" customFormat="false" ht="15" hidden="false" customHeight="true" outlineLevel="0" collapsed="false">
      <c r="A18855" s="10" t="n">
        <f aca="false">Einstellungen!$B$5+INT((ROW()-9)/24)</f>
        <v>46751</v>
      </c>
      <c r="B18855" s="11" t="n">
        <f aca="false">MOD(ROW()-9,24)</f>
        <v>6</v>
      </c>
      <c r="C18855" s="12"/>
      <c r="D18855" s="13" t="n">
        <f aca="false">IF(B18855&lt;5,Einstellungen!$B$3,Einstellungen!$B$4)</f>
        <v>29.13</v>
      </c>
      <c r="E18855" s="14" t="str">
        <f aca="false">IF(C18855="","",C18855*D18855/100)</f>
        <v/>
      </c>
      <c r="F18855" s="15" t="str">
        <f aca="false">IF(B18855&lt;5,"Go","Standard")</f>
        <v>Standard</v>
      </c>
    </row>
    <row r="18856" customFormat="false" ht="15" hidden="false" customHeight="true" outlineLevel="0" collapsed="false">
      <c r="A18856" s="10" t="n">
        <f aca="false">Einstellungen!$B$5+INT((ROW()-9)/24)</f>
        <v>46751</v>
      </c>
      <c r="B18856" s="11" t="n">
        <f aca="false">MOD(ROW()-9,24)</f>
        <v>7</v>
      </c>
      <c r="C18856" s="12"/>
      <c r="D18856" s="13" t="n">
        <f aca="false">IF(B18856&lt;5,Einstellungen!$B$3,Einstellungen!$B$4)</f>
        <v>29.13</v>
      </c>
      <c r="E18856" s="14" t="str">
        <f aca="false">IF(C18856="","",C18856*D18856/100)</f>
        <v/>
      </c>
      <c r="F18856" s="15" t="str">
        <f aca="false">IF(B18856&lt;5,"Go","Standard")</f>
        <v>Standard</v>
      </c>
    </row>
    <row r="18857" customFormat="false" ht="15" hidden="false" customHeight="true" outlineLevel="0" collapsed="false">
      <c r="A18857" s="10" t="n">
        <f aca="false">Einstellungen!$B$5+INT((ROW()-9)/24)</f>
        <v>46751</v>
      </c>
      <c r="B18857" s="11" t="n">
        <f aca="false">MOD(ROW()-9,24)</f>
        <v>8</v>
      </c>
      <c r="C18857" s="12"/>
      <c r="D18857" s="13" t="n">
        <f aca="false">IF(B18857&lt;5,Einstellungen!$B$3,Einstellungen!$B$4)</f>
        <v>29.13</v>
      </c>
      <c r="E18857" s="14" t="str">
        <f aca="false">IF(C18857="","",C18857*D18857/100)</f>
        <v/>
      </c>
      <c r="F18857" s="15" t="str">
        <f aca="false">IF(B18857&lt;5,"Go","Standard")</f>
        <v>Standard</v>
      </c>
    </row>
    <row r="18858" customFormat="false" ht="15" hidden="false" customHeight="true" outlineLevel="0" collapsed="false">
      <c r="A18858" s="10" t="n">
        <f aca="false">Einstellungen!$B$5+INT((ROW()-9)/24)</f>
        <v>46751</v>
      </c>
      <c r="B18858" s="11" t="n">
        <f aca="false">MOD(ROW()-9,24)</f>
        <v>9</v>
      </c>
      <c r="C18858" s="12"/>
      <c r="D18858" s="13" t="n">
        <f aca="false">IF(B18858&lt;5,Einstellungen!$B$3,Einstellungen!$B$4)</f>
        <v>29.13</v>
      </c>
      <c r="E18858" s="14" t="str">
        <f aca="false">IF(C18858="","",C18858*D18858/100)</f>
        <v/>
      </c>
      <c r="F18858" s="15" t="str">
        <f aca="false">IF(B18858&lt;5,"Go","Standard")</f>
        <v>Standard</v>
      </c>
    </row>
    <row r="18859" customFormat="false" ht="15" hidden="false" customHeight="true" outlineLevel="0" collapsed="false">
      <c r="A18859" s="10" t="n">
        <f aca="false">Einstellungen!$B$5+INT((ROW()-9)/24)</f>
        <v>46751</v>
      </c>
      <c r="B18859" s="11" t="n">
        <f aca="false">MOD(ROW()-9,24)</f>
        <v>10</v>
      </c>
      <c r="C18859" s="12"/>
      <c r="D18859" s="13" t="n">
        <f aca="false">IF(B18859&lt;5,Einstellungen!$B$3,Einstellungen!$B$4)</f>
        <v>29.13</v>
      </c>
      <c r="E18859" s="14" t="str">
        <f aca="false">IF(C18859="","",C18859*D18859/100)</f>
        <v/>
      </c>
      <c r="F18859" s="15" t="str">
        <f aca="false">IF(B18859&lt;5,"Go","Standard")</f>
        <v>Standard</v>
      </c>
    </row>
    <row r="18860" customFormat="false" ht="15" hidden="false" customHeight="true" outlineLevel="0" collapsed="false">
      <c r="A18860" s="10" t="n">
        <f aca="false">Einstellungen!$B$5+INT((ROW()-9)/24)</f>
        <v>46751</v>
      </c>
      <c r="B18860" s="11" t="n">
        <f aca="false">MOD(ROW()-9,24)</f>
        <v>11</v>
      </c>
      <c r="C18860" s="12"/>
      <c r="D18860" s="13" t="n">
        <f aca="false">IF(B18860&lt;5,Einstellungen!$B$3,Einstellungen!$B$4)</f>
        <v>29.13</v>
      </c>
      <c r="E18860" s="14" t="str">
        <f aca="false">IF(C18860="","",C18860*D18860/100)</f>
        <v/>
      </c>
      <c r="F18860" s="15" t="str">
        <f aca="false">IF(B18860&lt;5,"Go","Standard")</f>
        <v>Standard</v>
      </c>
    </row>
    <row r="18861" customFormat="false" ht="15" hidden="false" customHeight="true" outlineLevel="0" collapsed="false">
      <c r="A18861" s="10" t="n">
        <f aca="false">Einstellungen!$B$5+INT((ROW()-9)/24)</f>
        <v>46751</v>
      </c>
      <c r="B18861" s="11" t="n">
        <f aca="false">MOD(ROW()-9,24)</f>
        <v>12</v>
      </c>
      <c r="C18861" s="12"/>
      <c r="D18861" s="13" t="n">
        <f aca="false">IF(B18861&lt;5,Einstellungen!$B$3,Einstellungen!$B$4)</f>
        <v>29.13</v>
      </c>
      <c r="E18861" s="14" t="str">
        <f aca="false">IF(C18861="","",C18861*D18861/100)</f>
        <v/>
      </c>
      <c r="F18861" s="15" t="str">
        <f aca="false">IF(B18861&lt;5,"Go","Standard")</f>
        <v>Standard</v>
      </c>
    </row>
    <row r="18862" customFormat="false" ht="15" hidden="false" customHeight="true" outlineLevel="0" collapsed="false">
      <c r="A18862" s="10" t="n">
        <f aca="false">Einstellungen!$B$5+INT((ROW()-9)/24)</f>
        <v>46751</v>
      </c>
      <c r="B18862" s="11" t="n">
        <f aca="false">MOD(ROW()-9,24)</f>
        <v>13</v>
      </c>
      <c r="C18862" s="12"/>
      <c r="D18862" s="13" t="n">
        <f aca="false">IF(B18862&lt;5,Einstellungen!$B$3,Einstellungen!$B$4)</f>
        <v>29.13</v>
      </c>
      <c r="E18862" s="14" t="str">
        <f aca="false">IF(C18862="","",C18862*D18862/100)</f>
        <v/>
      </c>
      <c r="F18862" s="15" t="str">
        <f aca="false">IF(B18862&lt;5,"Go","Standard")</f>
        <v>Standard</v>
      </c>
    </row>
    <row r="18863" customFormat="false" ht="15" hidden="false" customHeight="true" outlineLevel="0" collapsed="false">
      <c r="A18863" s="10" t="n">
        <f aca="false">Einstellungen!$B$5+INT((ROW()-9)/24)</f>
        <v>46751</v>
      </c>
      <c r="B18863" s="11" t="n">
        <f aca="false">MOD(ROW()-9,24)</f>
        <v>14</v>
      </c>
      <c r="C18863" s="12"/>
      <c r="D18863" s="13" t="n">
        <f aca="false">IF(B18863&lt;5,Einstellungen!$B$3,Einstellungen!$B$4)</f>
        <v>29.13</v>
      </c>
      <c r="E18863" s="14" t="str">
        <f aca="false">IF(C18863="","",C18863*D18863/100)</f>
        <v/>
      </c>
      <c r="F18863" s="15" t="str">
        <f aca="false">IF(B18863&lt;5,"Go","Standard")</f>
        <v>Standard</v>
      </c>
    </row>
    <row r="18864" customFormat="false" ht="15" hidden="false" customHeight="true" outlineLevel="0" collapsed="false">
      <c r="A18864" s="10" t="n">
        <f aca="false">Einstellungen!$B$5+INT((ROW()-9)/24)</f>
        <v>46751</v>
      </c>
      <c r="B18864" s="11" t="n">
        <f aca="false">MOD(ROW()-9,24)</f>
        <v>15</v>
      </c>
      <c r="C18864" s="12"/>
      <c r="D18864" s="13" t="n">
        <f aca="false">IF(B18864&lt;5,Einstellungen!$B$3,Einstellungen!$B$4)</f>
        <v>29.13</v>
      </c>
      <c r="E18864" s="14" t="str">
        <f aca="false">IF(C18864="","",C18864*D18864/100)</f>
        <v/>
      </c>
      <c r="F18864" s="15" t="str">
        <f aca="false">IF(B18864&lt;5,"Go","Standard")</f>
        <v>Standard</v>
      </c>
    </row>
    <row r="18865" customFormat="false" ht="15" hidden="false" customHeight="true" outlineLevel="0" collapsed="false">
      <c r="A18865" s="10" t="n">
        <f aca="false">Einstellungen!$B$5+INT((ROW()-9)/24)</f>
        <v>46751</v>
      </c>
      <c r="B18865" s="11" t="n">
        <f aca="false">MOD(ROW()-9,24)</f>
        <v>16</v>
      </c>
      <c r="C18865" s="12"/>
      <c r="D18865" s="13" t="n">
        <f aca="false">IF(B18865&lt;5,Einstellungen!$B$3,Einstellungen!$B$4)</f>
        <v>29.13</v>
      </c>
      <c r="E18865" s="14" t="str">
        <f aca="false">IF(C18865="","",C18865*D18865/100)</f>
        <v/>
      </c>
      <c r="F18865" s="15" t="str">
        <f aca="false">IF(B18865&lt;5,"Go","Standard")</f>
        <v>Standard</v>
      </c>
    </row>
    <row r="18866" customFormat="false" ht="15" hidden="false" customHeight="true" outlineLevel="0" collapsed="false">
      <c r="A18866" s="10" t="n">
        <f aca="false">Einstellungen!$B$5+INT((ROW()-9)/24)</f>
        <v>46751</v>
      </c>
      <c r="B18866" s="11" t="n">
        <f aca="false">MOD(ROW()-9,24)</f>
        <v>17</v>
      </c>
      <c r="C18866" s="12"/>
      <c r="D18866" s="13" t="n">
        <f aca="false">IF(B18866&lt;5,Einstellungen!$B$3,Einstellungen!$B$4)</f>
        <v>29.13</v>
      </c>
      <c r="E18866" s="14" t="str">
        <f aca="false">IF(C18866="","",C18866*D18866/100)</f>
        <v/>
      </c>
      <c r="F18866" s="15" t="str">
        <f aca="false">IF(B18866&lt;5,"Go","Standard")</f>
        <v>Standard</v>
      </c>
    </row>
    <row r="18867" customFormat="false" ht="15" hidden="false" customHeight="true" outlineLevel="0" collapsed="false">
      <c r="A18867" s="10" t="n">
        <f aca="false">Einstellungen!$B$5+INT((ROW()-9)/24)</f>
        <v>46751</v>
      </c>
      <c r="B18867" s="11" t="n">
        <f aca="false">MOD(ROW()-9,24)</f>
        <v>18</v>
      </c>
      <c r="C18867" s="12"/>
      <c r="D18867" s="13" t="n">
        <f aca="false">IF(B18867&lt;5,Einstellungen!$B$3,Einstellungen!$B$4)</f>
        <v>29.13</v>
      </c>
      <c r="E18867" s="14" t="str">
        <f aca="false">IF(C18867="","",C18867*D18867/100)</f>
        <v/>
      </c>
      <c r="F18867" s="15" t="str">
        <f aca="false">IF(B18867&lt;5,"Go","Standard")</f>
        <v>Standard</v>
      </c>
    </row>
    <row r="18868" customFormat="false" ht="15" hidden="false" customHeight="true" outlineLevel="0" collapsed="false">
      <c r="A18868" s="10" t="n">
        <f aca="false">Einstellungen!$B$5+INT((ROW()-9)/24)</f>
        <v>46751</v>
      </c>
      <c r="B18868" s="11" t="n">
        <f aca="false">MOD(ROW()-9,24)</f>
        <v>19</v>
      </c>
      <c r="C18868" s="12"/>
      <c r="D18868" s="13" t="n">
        <f aca="false">IF(B18868&lt;5,Einstellungen!$B$3,Einstellungen!$B$4)</f>
        <v>29.13</v>
      </c>
      <c r="E18868" s="14" t="str">
        <f aca="false">IF(C18868="","",C18868*D18868/100)</f>
        <v/>
      </c>
      <c r="F18868" s="15" t="str">
        <f aca="false">IF(B18868&lt;5,"Go","Standard")</f>
        <v>Standard</v>
      </c>
    </row>
    <row r="18869" customFormat="false" ht="15" hidden="false" customHeight="true" outlineLevel="0" collapsed="false">
      <c r="A18869" s="10" t="n">
        <f aca="false">Einstellungen!$B$5+INT((ROW()-9)/24)</f>
        <v>46751</v>
      </c>
      <c r="B18869" s="11" t="n">
        <f aca="false">MOD(ROW()-9,24)</f>
        <v>20</v>
      </c>
      <c r="C18869" s="12"/>
      <c r="D18869" s="13" t="n">
        <f aca="false">IF(B18869&lt;5,Einstellungen!$B$3,Einstellungen!$B$4)</f>
        <v>29.13</v>
      </c>
      <c r="E18869" s="14" t="str">
        <f aca="false">IF(C18869="","",C18869*D18869/100)</f>
        <v/>
      </c>
      <c r="F18869" s="15" t="str">
        <f aca="false">IF(B18869&lt;5,"Go","Standard")</f>
        <v>Standard</v>
      </c>
    </row>
    <row r="18870" customFormat="false" ht="15" hidden="false" customHeight="true" outlineLevel="0" collapsed="false">
      <c r="A18870" s="10" t="n">
        <f aca="false">Einstellungen!$B$5+INT((ROW()-9)/24)</f>
        <v>46751</v>
      </c>
      <c r="B18870" s="11" t="n">
        <f aca="false">MOD(ROW()-9,24)</f>
        <v>21</v>
      </c>
      <c r="C18870" s="12"/>
      <c r="D18870" s="13" t="n">
        <f aca="false">IF(B18870&lt;5,Einstellungen!$B$3,Einstellungen!$B$4)</f>
        <v>29.13</v>
      </c>
      <c r="E18870" s="14" t="str">
        <f aca="false">IF(C18870="","",C18870*D18870/100)</f>
        <v/>
      </c>
      <c r="F18870" s="15" t="str">
        <f aca="false">IF(B18870&lt;5,"Go","Standard")</f>
        <v>Standard</v>
      </c>
    </row>
    <row r="18871" customFormat="false" ht="15" hidden="false" customHeight="true" outlineLevel="0" collapsed="false">
      <c r="A18871" s="10" t="n">
        <f aca="false">Einstellungen!$B$5+INT((ROW()-9)/24)</f>
        <v>46751</v>
      </c>
      <c r="B18871" s="11" t="n">
        <f aca="false">MOD(ROW()-9,24)</f>
        <v>22</v>
      </c>
      <c r="C18871" s="12"/>
      <c r="D18871" s="13" t="n">
        <f aca="false">IF(B18871&lt;5,Einstellungen!$B$3,Einstellungen!$B$4)</f>
        <v>29.13</v>
      </c>
      <c r="E18871" s="14" t="str">
        <f aca="false">IF(C18871="","",C18871*D18871/100)</f>
        <v/>
      </c>
      <c r="F18871" s="15" t="str">
        <f aca="false">IF(B18871&lt;5,"Go","Standard")</f>
        <v>Standard</v>
      </c>
    </row>
    <row r="18872" customFormat="false" ht="15" hidden="false" customHeight="true" outlineLevel="0" collapsed="false">
      <c r="A18872" s="10" t="n">
        <f aca="false">Einstellungen!$B$5+INT((ROW()-9)/24)</f>
        <v>46751</v>
      </c>
      <c r="B18872" s="11" t="n">
        <f aca="false">MOD(ROW()-9,24)</f>
        <v>23</v>
      </c>
      <c r="C18872" s="12"/>
      <c r="D18872" s="13" t="n">
        <f aca="false">IF(B18872&lt;5,Einstellungen!$B$3,Einstellungen!$B$4)</f>
        <v>29.13</v>
      </c>
      <c r="E18872" s="14" t="str">
        <f aca="false">IF(C18872="","",C18872*D18872/100)</f>
        <v/>
      </c>
      <c r="F18872" s="15" t="str">
        <f aca="false">IF(B18872&lt;5,"Go","Standard")</f>
        <v>Standard</v>
      </c>
    </row>
    <row r="18873" customFormat="false" ht="15" hidden="false" customHeight="true" outlineLevel="0" collapsed="false">
      <c r="A18873" s="10" t="n">
        <f aca="false">Einstellungen!$B$5+INT((ROW()-9)/24)</f>
        <v>46752</v>
      </c>
      <c r="B18873" s="11" t="n">
        <f aca="false">MOD(ROW()-9,24)</f>
        <v>0</v>
      </c>
      <c r="C18873" s="12"/>
      <c r="D18873" s="13" t="n">
        <f aca="false">IF(B18873&lt;5,Einstellungen!$B$3,Einstellungen!$B$4)</f>
        <v>15.92</v>
      </c>
      <c r="E18873" s="14" t="str">
        <f aca="false">IF(C18873="","",C18873*D18873/100)</f>
        <v/>
      </c>
      <c r="F18873" s="15" t="str">
        <f aca="false">IF(B18873&lt;5,"Go","Standard")</f>
        <v>Go</v>
      </c>
    </row>
    <row r="18874" customFormat="false" ht="15" hidden="false" customHeight="true" outlineLevel="0" collapsed="false">
      <c r="A18874" s="10" t="n">
        <f aca="false">Einstellungen!$B$5+INT((ROW()-9)/24)</f>
        <v>46752</v>
      </c>
      <c r="B18874" s="11" t="n">
        <f aca="false">MOD(ROW()-9,24)</f>
        <v>1</v>
      </c>
      <c r="C18874" s="12"/>
      <c r="D18874" s="13" t="n">
        <f aca="false">IF(B18874&lt;5,Einstellungen!$B$3,Einstellungen!$B$4)</f>
        <v>15.92</v>
      </c>
      <c r="E18874" s="14" t="str">
        <f aca="false">IF(C18874="","",C18874*D18874/100)</f>
        <v/>
      </c>
      <c r="F18874" s="15" t="str">
        <f aca="false">IF(B18874&lt;5,"Go","Standard")</f>
        <v>Go</v>
      </c>
    </row>
    <row r="18875" customFormat="false" ht="15" hidden="false" customHeight="true" outlineLevel="0" collapsed="false">
      <c r="A18875" s="10" t="n">
        <f aca="false">Einstellungen!$B$5+INT((ROW()-9)/24)</f>
        <v>46752</v>
      </c>
      <c r="B18875" s="11" t="n">
        <f aca="false">MOD(ROW()-9,24)</f>
        <v>2</v>
      </c>
      <c r="C18875" s="12"/>
      <c r="D18875" s="13" t="n">
        <f aca="false">IF(B18875&lt;5,Einstellungen!$B$3,Einstellungen!$B$4)</f>
        <v>15.92</v>
      </c>
      <c r="E18875" s="14" t="str">
        <f aca="false">IF(C18875="","",C18875*D18875/100)</f>
        <v/>
      </c>
      <c r="F18875" s="15" t="str">
        <f aca="false">IF(B18875&lt;5,"Go","Standard")</f>
        <v>Go</v>
      </c>
    </row>
    <row r="18876" customFormat="false" ht="15" hidden="false" customHeight="true" outlineLevel="0" collapsed="false">
      <c r="A18876" s="10" t="n">
        <f aca="false">Einstellungen!$B$5+INT((ROW()-9)/24)</f>
        <v>46752</v>
      </c>
      <c r="B18876" s="11" t="n">
        <f aca="false">MOD(ROW()-9,24)</f>
        <v>3</v>
      </c>
      <c r="C18876" s="12"/>
      <c r="D18876" s="13" t="n">
        <f aca="false">IF(B18876&lt;5,Einstellungen!$B$3,Einstellungen!$B$4)</f>
        <v>15.92</v>
      </c>
      <c r="E18876" s="14" t="str">
        <f aca="false">IF(C18876="","",C18876*D18876/100)</f>
        <v/>
      </c>
      <c r="F18876" s="15" t="str">
        <f aca="false">IF(B18876&lt;5,"Go","Standard")</f>
        <v>Go</v>
      </c>
    </row>
    <row r="18877" customFormat="false" ht="15" hidden="false" customHeight="true" outlineLevel="0" collapsed="false">
      <c r="A18877" s="10" t="n">
        <f aca="false">Einstellungen!$B$5+INT((ROW()-9)/24)</f>
        <v>46752</v>
      </c>
      <c r="B18877" s="11" t="n">
        <f aca="false">MOD(ROW()-9,24)</f>
        <v>4</v>
      </c>
      <c r="C18877" s="12"/>
      <c r="D18877" s="13" t="n">
        <f aca="false">IF(B18877&lt;5,Einstellungen!$B$3,Einstellungen!$B$4)</f>
        <v>15.92</v>
      </c>
      <c r="E18877" s="14" t="str">
        <f aca="false">IF(C18877="","",C18877*D18877/100)</f>
        <v/>
      </c>
      <c r="F18877" s="15" t="str">
        <f aca="false">IF(B18877&lt;5,"Go","Standard")</f>
        <v>Go</v>
      </c>
    </row>
    <row r="18878" customFormat="false" ht="15" hidden="false" customHeight="true" outlineLevel="0" collapsed="false">
      <c r="A18878" s="10" t="n">
        <f aca="false">Einstellungen!$B$5+INT((ROW()-9)/24)</f>
        <v>46752</v>
      </c>
      <c r="B18878" s="11" t="n">
        <f aca="false">MOD(ROW()-9,24)</f>
        <v>5</v>
      </c>
      <c r="C18878" s="12"/>
      <c r="D18878" s="13" t="n">
        <f aca="false">IF(B18878&lt;5,Einstellungen!$B$3,Einstellungen!$B$4)</f>
        <v>29.13</v>
      </c>
      <c r="E18878" s="14" t="str">
        <f aca="false">IF(C18878="","",C18878*D18878/100)</f>
        <v/>
      </c>
      <c r="F18878" s="15" t="str">
        <f aca="false">IF(B18878&lt;5,"Go","Standard")</f>
        <v>Standard</v>
      </c>
    </row>
    <row r="18879" customFormat="false" ht="15" hidden="false" customHeight="true" outlineLevel="0" collapsed="false">
      <c r="A18879" s="10" t="n">
        <f aca="false">Einstellungen!$B$5+INT((ROW()-9)/24)</f>
        <v>46752</v>
      </c>
      <c r="B18879" s="11" t="n">
        <f aca="false">MOD(ROW()-9,24)</f>
        <v>6</v>
      </c>
      <c r="C18879" s="12"/>
      <c r="D18879" s="13" t="n">
        <f aca="false">IF(B18879&lt;5,Einstellungen!$B$3,Einstellungen!$B$4)</f>
        <v>29.13</v>
      </c>
      <c r="E18879" s="14" t="str">
        <f aca="false">IF(C18879="","",C18879*D18879/100)</f>
        <v/>
      </c>
      <c r="F18879" s="15" t="str">
        <f aca="false">IF(B18879&lt;5,"Go","Standard")</f>
        <v>Standard</v>
      </c>
    </row>
    <row r="18880" customFormat="false" ht="15" hidden="false" customHeight="true" outlineLevel="0" collapsed="false">
      <c r="A18880" s="10" t="n">
        <f aca="false">Einstellungen!$B$5+INT((ROW()-9)/24)</f>
        <v>46752</v>
      </c>
      <c r="B18880" s="11" t="n">
        <f aca="false">MOD(ROW()-9,24)</f>
        <v>7</v>
      </c>
      <c r="C18880" s="12"/>
      <c r="D18880" s="13" t="n">
        <f aca="false">IF(B18880&lt;5,Einstellungen!$B$3,Einstellungen!$B$4)</f>
        <v>29.13</v>
      </c>
      <c r="E18880" s="14" t="str">
        <f aca="false">IF(C18880="","",C18880*D18880/100)</f>
        <v/>
      </c>
      <c r="F18880" s="15" t="str">
        <f aca="false">IF(B18880&lt;5,"Go","Standard")</f>
        <v>Standard</v>
      </c>
    </row>
    <row r="18881" customFormat="false" ht="15" hidden="false" customHeight="true" outlineLevel="0" collapsed="false">
      <c r="A18881" s="10" t="n">
        <f aca="false">Einstellungen!$B$5+INT((ROW()-9)/24)</f>
        <v>46752</v>
      </c>
      <c r="B18881" s="11" t="n">
        <f aca="false">MOD(ROW()-9,24)</f>
        <v>8</v>
      </c>
      <c r="C18881" s="12"/>
      <c r="D18881" s="13" t="n">
        <f aca="false">IF(B18881&lt;5,Einstellungen!$B$3,Einstellungen!$B$4)</f>
        <v>29.13</v>
      </c>
      <c r="E18881" s="14" t="str">
        <f aca="false">IF(C18881="","",C18881*D18881/100)</f>
        <v/>
      </c>
      <c r="F18881" s="15" t="str">
        <f aca="false">IF(B18881&lt;5,"Go","Standard")</f>
        <v>Standard</v>
      </c>
    </row>
    <row r="18882" customFormat="false" ht="15" hidden="false" customHeight="true" outlineLevel="0" collapsed="false">
      <c r="A18882" s="10" t="n">
        <f aca="false">Einstellungen!$B$5+INT((ROW()-9)/24)</f>
        <v>46752</v>
      </c>
      <c r="B18882" s="11" t="n">
        <f aca="false">MOD(ROW()-9,24)</f>
        <v>9</v>
      </c>
      <c r="C18882" s="12"/>
      <c r="D18882" s="13" t="n">
        <f aca="false">IF(B18882&lt;5,Einstellungen!$B$3,Einstellungen!$B$4)</f>
        <v>29.13</v>
      </c>
      <c r="E18882" s="14" t="str">
        <f aca="false">IF(C18882="","",C18882*D18882/100)</f>
        <v/>
      </c>
      <c r="F18882" s="15" t="str">
        <f aca="false">IF(B18882&lt;5,"Go","Standard")</f>
        <v>Standard</v>
      </c>
    </row>
    <row r="18883" customFormat="false" ht="15" hidden="false" customHeight="true" outlineLevel="0" collapsed="false">
      <c r="A18883" s="10" t="n">
        <f aca="false">Einstellungen!$B$5+INT((ROW()-9)/24)</f>
        <v>46752</v>
      </c>
      <c r="B18883" s="11" t="n">
        <f aca="false">MOD(ROW()-9,24)</f>
        <v>10</v>
      </c>
      <c r="C18883" s="12"/>
      <c r="D18883" s="13" t="n">
        <f aca="false">IF(B18883&lt;5,Einstellungen!$B$3,Einstellungen!$B$4)</f>
        <v>29.13</v>
      </c>
      <c r="E18883" s="14" t="str">
        <f aca="false">IF(C18883="","",C18883*D18883/100)</f>
        <v/>
      </c>
      <c r="F18883" s="15" t="str">
        <f aca="false">IF(B18883&lt;5,"Go","Standard")</f>
        <v>Standard</v>
      </c>
    </row>
    <row r="18884" customFormat="false" ht="15" hidden="false" customHeight="true" outlineLevel="0" collapsed="false">
      <c r="A18884" s="10" t="n">
        <f aca="false">Einstellungen!$B$5+INT((ROW()-9)/24)</f>
        <v>46752</v>
      </c>
      <c r="B18884" s="11" t="n">
        <f aca="false">MOD(ROW()-9,24)</f>
        <v>11</v>
      </c>
      <c r="C18884" s="12"/>
      <c r="D18884" s="13" t="n">
        <f aca="false">IF(B18884&lt;5,Einstellungen!$B$3,Einstellungen!$B$4)</f>
        <v>29.13</v>
      </c>
      <c r="E18884" s="14" t="str">
        <f aca="false">IF(C18884="","",C18884*D18884/100)</f>
        <v/>
      </c>
      <c r="F18884" s="15" t="str">
        <f aca="false">IF(B18884&lt;5,"Go","Standard")</f>
        <v>Standard</v>
      </c>
    </row>
    <row r="18885" customFormat="false" ht="15" hidden="false" customHeight="true" outlineLevel="0" collapsed="false">
      <c r="A18885" s="10" t="n">
        <f aca="false">Einstellungen!$B$5+INT((ROW()-9)/24)</f>
        <v>46752</v>
      </c>
      <c r="B18885" s="11" t="n">
        <f aca="false">MOD(ROW()-9,24)</f>
        <v>12</v>
      </c>
      <c r="C18885" s="12"/>
      <c r="D18885" s="13" t="n">
        <f aca="false">IF(B18885&lt;5,Einstellungen!$B$3,Einstellungen!$B$4)</f>
        <v>29.13</v>
      </c>
      <c r="E18885" s="14" t="str">
        <f aca="false">IF(C18885="","",C18885*D18885/100)</f>
        <v/>
      </c>
      <c r="F18885" s="15" t="str">
        <f aca="false">IF(B18885&lt;5,"Go","Standard")</f>
        <v>Standard</v>
      </c>
    </row>
    <row r="18886" customFormat="false" ht="15" hidden="false" customHeight="true" outlineLevel="0" collapsed="false">
      <c r="A18886" s="10" t="n">
        <f aca="false">Einstellungen!$B$5+INT((ROW()-9)/24)</f>
        <v>46752</v>
      </c>
      <c r="B18886" s="11" t="n">
        <f aca="false">MOD(ROW()-9,24)</f>
        <v>13</v>
      </c>
      <c r="C18886" s="12"/>
      <c r="D18886" s="13" t="n">
        <f aca="false">IF(B18886&lt;5,Einstellungen!$B$3,Einstellungen!$B$4)</f>
        <v>29.13</v>
      </c>
      <c r="E18886" s="14" t="str">
        <f aca="false">IF(C18886="","",C18886*D18886/100)</f>
        <v/>
      </c>
      <c r="F18886" s="15" t="str">
        <f aca="false">IF(B18886&lt;5,"Go","Standard")</f>
        <v>Standard</v>
      </c>
    </row>
    <row r="18887" customFormat="false" ht="15" hidden="false" customHeight="true" outlineLevel="0" collapsed="false">
      <c r="A18887" s="10" t="n">
        <f aca="false">Einstellungen!$B$5+INT((ROW()-9)/24)</f>
        <v>46752</v>
      </c>
      <c r="B18887" s="11" t="n">
        <f aca="false">MOD(ROW()-9,24)</f>
        <v>14</v>
      </c>
      <c r="C18887" s="12"/>
      <c r="D18887" s="13" t="n">
        <f aca="false">IF(B18887&lt;5,Einstellungen!$B$3,Einstellungen!$B$4)</f>
        <v>29.13</v>
      </c>
      <c r="E18887" s="14" t="str">
        <f aca="false">IF(C18887="","",C18887*D18887/100)</f>
        <v/>
      </c>
      <c r="F18887" s="15" t="str">
        <f aca="false">IF(B18887&lt;5,"Go","Standard")</f>
        <v>Standard</v>
      </c>
    </row>
    <row r="18888" customFormat="false" ht="15" hidden="false" customHeight="true" outlineLevel="0" collapsed="false">
      <c r="A18888" s="10" t="n">
        <f aca="false">Einstellungen!$B$5+INT((ROW()-9)/24)</f>
        <v>46752</v>
      </c>
      <c r="B18888" s="11" t="n">
        <f aca="false">MOD(ROW()-9,24)</f>
        <v>15</v>
      </c>
      <c r="C18888" s="12"/>
      <c r="D18888" s="13" t="n">
        <f aca="false">IF(B18888&lt;5,Einstellungen!$B$3,Einstellungen!$B$4)</f>
        <v>29.13</v>
      </c>
      <c r="E18888" s="14" t="str">
        <f aca="false">IF(C18888="","",C18888*D18888/100)</f>
        <v/>
      </c>
      <c r="F18888" s="15" t="str">
        <f aca="false">IF(B18888&lt;5,"Go","Standard")</f>
        <v>Standard</v>
      </c>
    </row>
    <row r="18889" customFormat="false" ht="15" hidden="false" customHeight="true" outlineLevel="0" collapsed="false">
      <c r="A18889" s="10" t="n">
        <f aca="false">Einstellungen!$B$5+INT((ROW()-9)/24)</f>
        <v>46752</v>
      </c>
      <c r="B18889" s="11" t="n">
        <f aca="false">MOD(ROW()-9,24)</f>
        <v>16</v>
      </c>
      <c r="C18889" s="12"/>
      <c r="D18889" s="13" t="n">
        <f aca="false">IF(B18889&lt;5,Einstellungen!$B$3,Einstellungen!$B$4)</f>
        <v>29.13</v>
      </c>
      <c r="E18889" s="14" t="str">
        <f aca="false">IF(C18889="","",C18889*D18889/100)</f>
        <v/>
      </c>
      <c r="F18889" s="15" t="str">
        <f aca="false">IF(B18889&lt;5,"Go","Standard")</f>
        <v>Standard</v>
      </c>
    </row>
    <row r="18890" customFormat="false" ht="15" hidden="false" customHeight="true" outlineLevel="0" collapsed="false">
      <c r="A18890" s="10" t="n">
        <f aca="false">Einstellungen!$B$5+INT((ROW()-9)/24)</f>
        <v>46752</v>
      </c>
      <c r="B18890" s="11" t="n">
        <f aca="false">MOD(ROW()-9,24)</f>
        <v>17</v>
      </c>
      <c r="C18890" s="12"/>
      <c r="D18890" s="13" t="n">
        <f aca="false">IF(B18890&lt;5,Einstellungen!$B$3,Einstellungen!$B$4)</f>
        <v>29.13</v>
      </c>
      <c r="E18890" s="14" t="str">
        <f aca="false">IF(C18890="","",C18890*D18890/100)</f>
        <v/>
      </c>
      <c r="F18890" s="15" t="str">
        <f aca="false">IF(B18890&lt;5,"Go","Standard")</f>
        <v>Standard</v>
      </c>
    </row>
    <row r="18891" customFormat="false" ht="15" hidden="false" customHeight="true" outlineLevel="0" collapsed="false">
      <c r="A18891" s="10" t="n">
        <f aca="false">Einstellungen!$B$5+INT((ROW()-9)/24)</f>
        <v>46752</v>
      </c>
      <c r="B18891" s="11" t="n">
        <f aca="false">MOD(ROW()-9,24)</f>
        <v>18</v>
      </c>
      <c r="C18891" s="12"/>
      <c r="D18891" s="13" t="n">
        <f aca="false">IF(B18891&lt;5,Einstellungen!$B$3,Einstellungen!$B$4)</f>
        <v>29.13</v>
      </c>
      <c r="E18891" s="14" t="str">
        <f aca="false">IF(C18891="","",C18891*D18891/100)</f>
        <v/>
      </c>
      <c r="F18891" s="15" t="str">
        <f aca="false">IF(B18891&lt;5,"Go","Standard")</f>
        <v>Standard</v>
      </c>
    </row>
    <row r="18892" customFormat="false" ht="15" hidden="false" customHeight="true" outlineLevel="0" collapsed="false">
      <c r="A18892" s="10" t="n">
        <f aca="false">Einstellungen!$B$5+INT((ROW()-9)/24)</f>
        <v>46752</v>
      </c>
      <c r="B18892" s="11" t="n">
        <f aca="false">MOD(ROW()-9,24)</f>
        <v>19</v>
      </c>
      <c r="C18892" s="12"/>
      <c r="D18892" s="13" t="n">
        <f aca="false">IF(B18892&lt;5,Einstellungen!$B$3,Einstellungen!$B$4)</f>
        <v>29.13</v>
      </c>
      <c r="E18892" s="14" t="str">
        <f aca="false">IF(C18892="","",C18892*D18892/100)</f>
        <v/>
      </c>
      <c r="F18892" s="15" t="str">
        <f aca="false">IF(B18892&lt;5,"Go","Standard")</f>
        <v>Standard</v>
      </c>
    </row>
    <row r="18893" customFormat="false" ht="15" hidden="false" customHeight="true" outlineLevel="0" collapsed="false">
      <c r="A18893" s="10" t="n">
        <f aca="false">Einstellungen!$B$5+INT((ROW()-9)/24)</f>
        <v>46752</v>
      </c>
      <c r="B18893" s="11" t="n">
        <f aca="false">MOD(ROW()-9,24)</f>
        <v>20</v>
      </c>
      <c r="C18893" s="12"/>
      <c r="D18893" s="13" t="n">
        <f aca="false">IF(B18893&lt;5,Einstellungen!$B$3,Einstellungen!$B$4)</f>
        <v>29.13</v>
      </c>
      <c r="E18893" s="14" t="str">
        <f aca="false">IF(C18893="","",C18893*D18893/100)</f>
        <v/>
      </c>
      <c r="F18893" s="15" t="str">
        <f aca="false">IF(B18893&lt;5,"Go","Standard")</f>
        <v>Standard</v>
      </c>
    </row>
    <row r="18894" customFormat="false" ht="15" hidden="false" customHeight="true" outlineLevel="0" collapsed="false">
      <c r="A18894" s="10" t="n">
        <f aca="false">Einstellungen!$B$5+INT((ROW()-9)/24)</f>
        <v>46752</v>
      </c>
      <c r="B18894" s="11" t="n">
        <f aca="false">MOD(ROW()-9,24)</f>
        <v>21</v>
      </c>
      <c r="C18894" s="12"/>
      <c r="D18894" s="13" t="n">
        <f aca="false">IF(B18894&lt;5,Einstellungen!$B$3,Einstellungen!$B$4)</f>
        <v>29.13</v>
      </c>
      <c r="E18894" s="14" t="str">
        <f aca="false">IF(C18894="","",C18894*D18894/100)</f>
        <v/>
      </c>
      <c r="F18894" s="15" t="str">
        <f aca="false">IF(B18894&lt;5,"Go","Standard")</f>
        <v>Standard</v>
      </c>
    </row>
    <row r="18895" customFormat="false" ht="15" hidden="false" customHeight="true" outlineLevel="0" collapsed="false">
      <c r="A18895" s="10" t="n">
        <f aca="false">Einstellungen!$B$5+INT((ROW()-9)/24)</f>
        <v>46752</v>
      </c>
      <c r="B18895" s="11" t="n">
        <f aca="false">MOD(ROW()-9,24)</f>
        <v>22</v>
      </c>
      <c r="C18895" s="12"/>
      <c r="D18895" s="13" t="n">
        <f aca="false">IF(B18895&lt;5,Einstellungen!$B$3,Einstellungen!$B$4)</f>
        <v>29.13</v>
      </c>
      <c r="E18895" s="14" t="str">
        <f aca="false">IF(C18895="","",C18895*D18895/100)</f>
        <v/>
      </c>
      <c r="F18895" s="15" t="str">
        <f aca="false">IF(B18895&lt;5,"Go","Standard")</f>
        <v>Standard</v>
      </c>
    </row>
    <row r="18896" customFormat="false" ht="15" hidden="false" customHeight="true" outlineLevel="0" collapsed="false">
      <c r="A18896" s="10" t="n">
        <f aca="false">Einstellungen!$B$5+INT((ROW()-9)/24)</f>
        <v>46752</v>
      </c>
      <c r="B18896" s="11" t="n">
        <f aca="false">MOD(ROW()-9,24)</f>
        <v>23</v>
      </c>
      <c r="C18896" s="12"/>
      <c r="D18896" s="13" t="n">
        <f aca="false">IF(B18896&lt;5,Einstellungen!$B$3,Einstellungen!$B$4)</f>
        <v>29.13</v>
      </c>
      <c r="E18896" s="14" t="str">
        <f aca="false">IF(C18896="","",C18896*D18896/100)</f>
        <v/>
      </c>
      <c r="F18896" s="15" t="str">
        <f aca="false">IF(B18896&lt;5,"Go","Standard")</f>
        <v>Standard</v>
      </c>
    </row>
    <row r="18897" customFormat="false" ht="15" hidden="false" customHeight="true" outlineLevel="0" collapsed="false"/>
    <row r="18898" customFormat="false" ht="15" hidden="false" customHeight="true" outlineLevel="0" collapsed="false"/>
    <row r="18899" customFormat="false" ht="15" hidden="false" customHeight="true" outlineLevel="0" collapsed="false"/>
    <row r="18900" customFormat="false" ht="15" hidden="false" customHeight="true" outlineLevel="0" collapsed="false"/>
    <row r="18901" customFormat="false" ht="15" hidden="false" customHeight="true" outlineLevel="0" collapsed="false"/>
    <row r="18902" customFormat="false" ht="15" hidden="false" customHeight="true" outlineLevel="0" collapsed="false"/>
    <row r="18903" customFormat="false" ht="15" hidden="false" customHeight="true" outlineLevel="0" collapsed="false"/>
    <row r="18904" customFormat="false" ht="15" hidden="false" customHeight="true" outlineLevel="0" collapsed="false"/>
    <row r="18905" customFormat="false" ht="15" hidden="false" customHeight="true" outlineLevel="0" collapsed="false"/>
    <row r="18906" customFormat="false" ht="15" hidden="false" customHeight="true" outlineLevel="0" collapsed="false"/>
    <row r="18907" customFormat="false" ht="15" hidden="false" customHeight="true" outlineLevel="0" collapsed="false"/>
    <row r="18908" customFormat="false" ht="15" hidden="false" customHeight="true" outlineLevel="0" collapsed="false"/>
    <row r="18909" customFormat="false" ht="15" hidden="false" customHeight="true" outlineLevel="0" collapsed="false"/>
    <row r="18910" customFormat="false" ht="15" hidden="false" customHeight="true" outlineLevel="0" collapsed="false"/>
    <row r="18911" customFormat="false" ht="15" hidden="false" customHeight="true" outlineLevel="0" collapsed="false"/>
    <row r="18912" customFormat="false" ht="15" hidden="false" customHeight="true" outlineLevel="0" collapsed="false"/>
    <row r="18913" customFormat="false" ht="15" hidden="false" customHeight="true" outlineLevel="0" collapsed="false"/>
    <row r="18914" customFormat="false" ht="15" hidden="false" customHeight="true" outlineLevel="0" collapsed="false"/>
    <row r="18915" customFormat="false" ht="15" hidden="false" customHeight="true" outlineLevel="0" collapsed="false"/>
    <row r="18916" customFormat="false" ht="15" hidden="false" customHeight="true" outlineLevel="0" collapsed="false"/>
    <row r="18917" customFormat="false" ht="15" hidden="false" customHeight="true" outlineLevel="0" collapsed="false"/>
    <row r="18918" customFormat="false" ht="15" hidden="false" customHeight="true" outlineLevel="0" collapsed="false"/>
    <row r="18919" customFormat="false" ht="15" hidden="false" customHeight="true" outlineLevel="0" collapsed="false"/>
    <row r="18920" customFormat="false" ht="15" hidden="false" customHeight="true" outlineLevel="0" collapsed="false"/>
    <row r="18921" customFormat="false" ht="15" hidden="false" customHeight="true" outlineLevel="0" collapsed="false"/>
    <row r="18922" customFormat="false" ht="15" hidden="false" customHeight="true" outlineLevel="0" collapsed="false"/>
    <row r="18923" customFormat="false" ht="15" hidden="false" customHeight="true" outlineLevel="0" collapsed="false"/>
    <row r="18924" customFormat="false" ht="15" hidden="false" customHeight="true" outlineLevel="0" collapsed="false"/>
    <row r="18925" customFormat="false" ht="15" hidden="false" customHeight="true" outlineLevel="0" collapsed="false"/>
    <row r="18926" customFormat="false" ht="15" hidden="false" customHeight="true" outlineLevel="0" collapsed="false"/>
    <row r="18927" customFormat="false" ht="15" hidden="false" customHeight="true" outlineLevel="0" collapsed="false"/>
    <row r="18928" customFormat="false" ht="15" hidden="false" customHeight="true" outlineLevel="0" collapsed="false"/>
    <row r="18929" customFormat="false" ht="15" hidden="false" customHeight="true" outlineLevel="0" collapsed="false"/>
    <row r="18930" customFormat="false" ht="15" hidden="false" customHeight="true" outlineLevel="0" collapsed="false"/>
    <row r="18931" customFormat="false" ht="15" hidden="false" customHeight="true" outlineLevel="0" collapsed="false"/>
    <row r="18932" customFormat="false" ht="15" hidden="false" customHeight="true" outlineLevel="0" collapsed="false"/>
    <row r="18933" customFormat="false" ht="15" hidden="false" customHeight="true" outlineLevel="0" collapsed="false"/>
    <row r="18934" customFormat="false" ht="15" hidden="false" customHeight="true" outlineLevel="0" collapsed="false"/>
    <row r="18935" customFormat="false" ht="15" hidden="false" customHeight="true" outlineLevel="0" collapsed="false"/>
    <row r="18936" customFormat="false" ht="15" hidden="false" customHeight="true" outlineLevel="0" collapsed="false"/>
    <row r="18937" customFormat="false" ht="15" hidden="false" customHeight="true" outlineLevel="0" collapsed="false"/>
    <row r="18938" customFormat="false" ht="15" hidden="false" customHeight="true" outlineLevel="0" collapsed="false"/>
    <row r="18939" customFormat="false" ht="15" hidden="false" customHeight="true" outlineLevel="0" collapsed="false"/>
    <row r="18940" customFormat="false" ht="15" hidden="false" customHeight="true" outlineLevel="0" collapsed="false"/>
    <row r="18941" customFormat="false" ht="15" hidden="false" customHeight="true" outlineLevel="0" collapsed="false"/>
    <row r="18942" customFormat="false" ht="15" hidden="false" customHeight="true" outlineLevel="0" collapsed="false"/>
    <row r="18943" customFormat="false" ht="15" hidden="false" customHeight="true" outlineLevel="0" collapsed="false"/>
    <row r="18944" customFormat="false" ht="15" hidden="false" customHeight="true" outlineLevel="0" collapsed="false"/>
    <row r="18945" customFormat="false" ht="15" hidden="false" customHeight="true" outlineLevel="0" collapsed="false"/>
    <row r="18946" customFormat="false" ht="15" hidden="false" customHeight="true" outlineLevel="0" collapsed="false"/>
    <row r="18947" customFormat="false" ht="15" hidden="false" customHeight="true" outlineLevel="0" collapsed="false"/>
    <row r="18948" customFormat="false" ht="15" hidden="false" customHeight="true" outlineLevel="0" collapsed="false"/>
    <row r="18949" customFormat="false" ht="15" hidden="false" customHeight="true" outlineLevel="0" collapsed="false"/>
    <row r="18950" customFormat="false" ht="15" hidden="false" customHeight="true" outlineLevel="0" collapsed="false"/>
    <row r="18951" customFormat="false" ht="15" hidden="false" customHeight="true" outlineLevel="0" collapsed="false"/>
    <row r="18952" customFormat="false" ht="15" hidden="false" customHeight="true" outlineLevel="0" collapsed="false"/>
    <row r="18953" customFormat="false" ht="15" hidden="false" customHeight="true" outlineLevel="0" collapsed="false"/>
    <row r="18954" customFormat="false" ht="15" hidden="false" customHeight="true" outlineLevel="0" collapsed="false"/>
    <row r="18955" customFormat="false" ht="15" hidden="false" customHeight="true" outlineLevel="0" collapsed="false"/>
    <row r="18956" customFormat="false" ht="15" hidden="false" customHeight="true" outlineLevel="0" collapsed="false"/>
    <row r="18957" customFormat="false" ht="15" hidden="false" customHeight="true" outlineLevel="0" collapsed="false"/>
    <row r="18958" customFormat="false" ht="15" hidden="false" customHeight="true" outlineLevel="0" collapsed="false"/>
    <row r="18959" customFormat="false" ht="15" hidden="false" customHeight="true" outlineLevel="0" collapsed="false"/>
    <row r="18960" customFormat="false" ht="15" hidden="false" customHeight="true" outlineLevel="0" collapsed="false"/>
    <row r="18961" customFormat="false" ht="15" hidden="false" customHeight="true" outlineLevel="0" collapsed="false"/>
    <row r="18962" customFormat="false" ht="15" hidden="false" customHeight="true" outlineLevel="0" collapsed="false"/>
    <row r="18963" customFormat="false" ht="15" hidden="false" customHeight="true" outlineLevel="0" collapsed="false"/>
    <row r="18964" customFormat="false" ht="15" hidden="false" customHeight="true" outlineLevel="0" collapsed="false"/>
    <row r="18965" customFormat="false" ht="15" hidden="false" customHeight="true" outlineLevel="0" collapsed="false"/>
    <row r="18966" customFormat="false" ht="15" hidden="false" customHeight="true" outlineLevel="0" collapsed="false"/>
    <row r="18967" customFormat="false" ht="15" hidden="false" customHeight="true" outlineLevel="0" collapsed="false"/>
    <row r="18968" customFormat="false" ht="15" hidden="false" customHeight="true" outlineLevel="0" collapsed="false"/>
    <row r="18969" customFormat="false" ht="15" hidden="false" customHeight="true" outlineLevel="0" collapsed="false"/>
    <row r="18970" customFormat="false" ht="15" hidden="false" customHeight="true" outlineLevel="0" collapsed="false"/>
    <row r="18971" customFormat="false" ht="15" hidden="false" customHeight="true" outlineLevel="0" collapsed="false"/>
    <row r="18972" customFormat="false" ht="15" hidden="false" customHeight="true" outlineLevel="0" collapsed="false"/>
    <row r="18973" customFormat="false" ht="15" hidden="false" customHeight="true" outlineLevel="0" collapsed="false"/>
    <row r="18974" customFormat="false" ht="15" hidden="false" customHeight="true" outlineLevel="0" collapsed="false"/>
    <row r="18975" customFormat="false" ht="15" hidden="false" customHeight="true" outlineLevel="0" collapsed="false"/>
    <row r="18976" customFormat="false" ht="15" hidden="false" customHeight="true" outlineLevel="0" collapsed="false"/>
    <row r="18977" customFormat="false" ht="15" hidden="false" customHeight="true" outlineLevel="0" collapsed="false"/>
    <row r="18978" customFormat="false" ht="15" hidden="false" customHeight="true" outlineLevel="0" collapsed="false"/>
    <row r="18979" customFormat="false" ht="15" hidden="false" customHeight="true" outlineLevel="0" collapsed="false"/>
    <row r="18980" customFormat="false" ht="15" hidden="false" customHeight="true" outlineLevel="0" collapsed="false"/>
    <row r="18981" customFormat="false" ht="15" hidden="false" customHeight="true" outlineLevel="0" collapsed="false"/>
    <row r="18982" customFormat="false" ht="15" hidden="false" customHeight="true" outlineLevel="0" collapsed="false"/>
    <row r="18983" customFormat="false" ht="15" hidden="false" customHeight="true" outlineLevel="0" collapsed="false"/>
    <row r="18984" customFormat="false" ht="15" hidden="false" customHeight="true" outlineLevel="0" collapsed="false"/>
    <row r="18985" customFormat="false" ht="15" hidden="false" customHeight="true" outlineLevel="0" collapsed="false"/>
    <row r="18986" customFormat="false" ht="15" hidden="false" customHeight="true" outlineLevel="0" collapsed="false"/>
    <row r="18987" customFormat="false" ht="15" hidden="false" customHeight="true" outlineLevel="0" collapsed="false"/>
    <row r="18988" customFormat="false" ht="15" hidden="false" customHeight="true" outlineLevel="0" collapsed="false"/>
    <row r="18989" customFormat="false" ht="15" hidden="false" customHeight="true" outlineLevel="0" collapsed="false"/>
    <row r="18990" customFormat="false" ht="15" hidden="false" customHeight="true" outlineLevel="0" collapsed="false"/>
    <row r="18991" customFormat="false" ht="15" hidden="false" customHeight="true" outlineLevel="0" collapsed="false"/>
    <row r="18992" customFormat="false" ht="15" hidden="false" customHeight="true" outlineLevel="0" collapsed="false"/>
    <row r="18993" customFormat="false" ht="15" hidden="false" customHeight="true" outlineLevel="0" collapsed="false"/>
    <row r="18994" customFormat="false" ht="15" hidden="false" customHeight="true" outlineLevel="0" collapsed="false"/>
    <row r="18995" customFormat="false" ht="15" hidden="false" customHeight="true" outlineLevel="0" collapsed="false"/>
    <row r="18996" customFormat="false" ht="15" hidden="false" customHeight="true" outlineLevel="0" collapsed="false"/>
    <row r="18997" customFormat="false" ht="15" hidden="false" customHeight="true" outlineLevel="0" collapsed="false"/>
    <row r="18998" customFormat="false" ht="15" hidden="false" customHeight="true" outlineLevel="0" collapsed="false"/>
    <row r="18999" customFormat="false" ht="15" hidden="false" customHeight="true" outlineLevel="0" collapsed="false"/>
    <row r="19000" customFormat="false" ht="15" hidden="false" customHeight="true" outlineLevel="0" collapsed="false"/>
    <row r="19001" customFormat="false" ht="15" hidden="false" customHeight="true" outlineLevel="0" collapsed="false"/>
    <row r="19002" customFormat="false" ht="15" hidden="false" customHeight="true" outlineLevel="0" collapsed="false"/>
    <row r="19003" customFormat="false" ht="15" hidden="false" customHeight="true" outlineLevel="0" collapsed="false"/>
    <row r="19004" customFormat="false" ht="15" hidden="false" customHeight="true" outlineLevel="0" collapsed="false"/>
    <row r="19005" customFormat="false" ht="15" hidden="false" customHeight="true" outlineLevel="0" collapsed="false"/>
    <row r="19006" customFormat="false" ht="15" hidden="false" customHeight="true" outlineLevel="0" collapsed="false"/>
    <row r="19007" customFormat="false" ht="15" hidden="false" customHeight="true" outlineLevel="0" collapsed="false"/>
    <row r="19008" customFormat="false" ht="15" hidden="false" customHeight="true" outlineLevel="0" collapsed="false"/>
    <row r="19009" customFormat="false" ht="15" hidden="false" customHeight="true" outlineLevel="0" collapsed="false"/>
    <row r="19010" customFormat="false" ht="15" hidden="false" customHeight="true" outlineLevel="0" collapsed="false"/>
    <row r="19011" customFormat="false" ht="15" hidden="false" customHeight="true" outlineLevel="0" collapsed="false"/>
    <row r="19012" customFormat="false" ht="15" hidden="false" customHeight="true" outlineLevel="0" collapsed="false"/>
    <row r="19013" customFormat="false" ht="15" hidden="false" customHeight="true" outlineLevel="0" collapsed="false"/>
    <row r="19014" customFormat="false" ht="15" hidden="false" customHeight="true" outlineLevel="0" collapsed="false"/>
    <row r="19015" customFormat="false" ht="15" hidden="false" customHeight="true" outlineLevel="0" collapsed="false"/>
    <row r="19016" customFormat="false" ht="15" hidden="false" customHeight="true" outlineLevel="0" collapsed="false"/>
    <row r="19017" customFormat="false" ht="15" hidden="false" customHeight="true" outlineLevel="0" collapsed="false"/>
    <row r="19018" customFormat="false" ht="15" hidden="false" customHeight="true" outlineLevel="0" collapsed="false"/>
    <row r="19019" customFormat="false" ht="15" hidden="false" customHeight="true" outlineLevel="0" collapsed="false"/>
    <row r="19020" customFormat="false" ht="15" hidden="false" customHeight="true" outlineLevel="0" collapsed="false"/>
    <row r="19021" customFormat="false" ht="15" hidden="false" customHeight="true" outlineLevel="0" collapsed="false"/>
    <row r="19022" customFormat="false" ht="15" hidden="false" customHeight="true" outlineLevel="0" collapsed="false"/>
    <row r="19023" customFormat="false" ht="15" hidden="false" customHeight="true" outlineLevel="0" collapsed="false"/>
    <row r="19024" customFormat="false" ht="15" hidden="false" customHeight="true" outlineLevel="0" collapsed="false"/>
    <row r="19025" customFormat="false" ht="15" hidden="false" customHeight="true" outlineLevel="0" collapsed="false"/>
    <row r="19026" customFormat="false" ht="15" hidden="false" customHeight="true" outlineLevel="0" collapsed="false"/>
    <row r="19027" customFormat="false" ht="15" hidden="false" customHeight="true" outlineLevel="0" collapsed="false"/>
    <row r="19028" customFormat="false" ht="15" hidden="false" customHeight="true" outlineLevel="0" collapsed="false"/>
    <row r="19029" customFormat="false" ht="15" hidden="false" customHeight="true" outlineLevel="0" collapsed="false"/>
    <row r="19030" customFormat="false" ht="15" hidden="false" customHeight="true" outlineLevel="0" collapsed="false"/>
    <row r="19031" customFormat="false" ht="15" hidden="false" customHeight="true" outlineLevel="0" collapsed="false"/>
    <row r="19032" customFormat="false" ht="15" hidden="false" customHeight="true" outlineLevel="0" collapsed="false"/>
    <row r="19033" customFormat="false" ht="15" hidden="false" customHeight="true" outlineLevel="0" collapsed="false"/>
    <row r="19034" customFormat="false" ht="15" hidden="false" customHeight="true" outlineLevel="0" collapsed="false"/>
    <row r="19035" customFormat="false" ht="15" hidden="false" customHeight="true" outlineLevel="0" collapsed="false"/>
    <row r="19036" customFormat="false" ht="15" hidden="false" customHeight="true" outlineLevel="0" collapsed="false"/>
    <row r="19037" customFormat="false" ht="15" hidden="false" customHeight="true" outlineLevel="0" collapsed="false"/>
    <row r="19038" customFormat="false" ht="15" hidden="false" customHeight="true" outlineLevel="0" collapsed="false"/>
    <row r="19039" customFormat="false" ht="15" hidden="false" customHeight="true" outlineLevel="0" collapsed="false"/>
    <row r="19040" customFormat="false" ht="15" hidden="false" customHeight="true" outlineLevel="0" collapsed="false"/>
    <row r="19041" customFormat="false" ht="15" hidden="false" customHeight="true" outlineLevel="0" collapsed="false"/>
    <row r="19042" customFormat="false" ht="15" hidden="false" customHeight="true" outlineLevel="0" collapsed="false"/>
    <row r="19043" customFormat="false" ht="15" hidden="false" customHeight="true" outlineLevel="0" collapsed="false"/>
    <row r="19044" customFormat="false" ht="15" hidden="false" customHeight="true" outlineLevel="0" collapsed="false"/>
    <row r="19045" customFormat="false" ht="15" hidden="false" customHeight="true" outlineLevel="0" collapsed="false"/>
    <row r="19046" customFormat="false" ht="15" hidden="false" customHeight="true" outlineLevel="0" collapsed="false"/>
    <row r="19047" customFormat="false" ht="15" hidden="false" customHeight="true" outlineLevel="0" collapsed="false"/>
    <row r="19048" customFormat="false" ht="15" hidden="false" customHeight="true" outlineLevel="0" collapsed="false"/>
    <row r="19049" customFormat="false" ht="15" hidden="false" customHeight="true" outlineLevel="0" collapsed="false"/>
    <row r="19050" customFormat="false" ht="15" hidden="false" customHeight="true" outlineLevel="0" collapsed="false"/>
    <row r="19051" customFormat="false" ht="15" hidden="false" customHeight="true" outlineLevel="0" collapsed="false"/>
    <row r="19052" customFormat="false" ht="15" hidden="false" customHeight="true" outlineLevel="0" collapsed="false"/>
    <row r="19053" customFormat="false" ht="15" hidden="false" customHeight="true" outlineLevel="0" collapsed="false"/>
    <row r="19054" customFormat="false" ht="15" hidden="false" customHeight="true" outlineLevel="0" collapsed="false"/>
    <row r="19055" customFormat="false" ht="15" hidden="false" customHeight="true" outlineLevel="0" collapsed="false"/>
    <row r="19056" customFormat="false" ht="15" hidden="false" customHeight="true" outlineLevel="0" collapsed="false"/>
    <row r="19057" customFormat="false" ht="15" hidden="false" customHeight="true" outlineLevel="0" collapsed="false"/>
    <row r="19058" customFormat="false" ht="15" hidden="false" customHeight="true" outlineLevel="0" collapsed="false"/>
    <row r="19059" customFormat="false" ht="15" hidden="false" customHeight="true" outlineLevel="0" collapsed="false"/>
    <row r="19060" customFormat="false" ht="15" hidden="false" customHeight="true" outlineLevel="0" collapsed="false"/>
    <row r="19061" customFormat="false" ht="15" hidden="false" customHeight="true" outlineLevel="0" collapsed="false"/>
    <row r="19062" customFormat="false" ht="15" hidden="false" customHeight="true" outlineLevel="0" collapsed="false"/>
    <row r="19063" customFormat="false" ht="15" hidden="false" customHeight="true" outlineLevel="0" collapsed="false"/>
    <row r="19064" customFormat="false" ht="15" hidden="false" customHeight="true" outlineLevel="0" collapsed="false"/>
    <row r="19065" customFormat="false" ht="15" hidden="false" customHeight="true" outlineLevel="0" collapsed="false"/>
    <row r="19066" customFormat="false" ht="15" hidden="false" customHeight="true" outlineLevel="0" collapsed="false"/>
    <row r="19067" customFormat="false" ht="15" hidden="false" customHeight="true" outlineLevel="0" collapsed="false"/>
    <row r="19068" customFormat="false" ht="15" hidden="false" customHeight="true" outlineLevel="0" collapsed="false"/>
    <row r="19069" customFormat="false" ht="15" hidden="false" customHeight="true" outlineLevel="0" collapsed="false"/>
    <row r="19070" customFormat="false" ht="15" hidden="false" customHeight="true" outlineLevel="0" collapsed="false"/>
    <row r="19071" customFormat="false" ht="15" hidden="false" customHeight="true" outlineLevel="0" collapsed="false"/>
    <row r="19072" customFormat="false" ht="15" hidden="false" customHeight="true" outlineLevel="0" collapsed="false"/>
    <row r="19073" customFormat="false" ht="15" hidden="false" customHeight="true" outlineLevel="0" collapsed="false"/>
    <row r="19074" customFormat="false" ht="15" hidden="false" customHeight="true" outlineLevel="0" collapsed="false"/>
    <row r="19075" customFormat="false" ht="15" hidden="false" customHeight="true" outlineLevel="0" collapsed="false"/>
    <row r="19076" customFormat="false" ht="15" hidden="false" customHeight="true" outlineLevel="0" collapsed="false"/>
    <row r="19077" customFormat="false" ht="15" hidden="false" customHeight="true" outlineLevel="0" collapsed="false"/>
    <row r="19078" customFormat="false" ht="15" hidden="false" customHeight="true" outlineLevel="0" collapsed="false"/>
    <row r="19079" customFormat="false" ht="15" hidden="false" customHeight="true" outlineLevel="0" collapsed="false"/>
    <row r="19080" customFormat="false" ht="15" hidden="false" customHeight="true" outlineLevel="0" collapsed="false"/>
    <row r="19081" customFormat="false" ht="15" hidden="false" customHeight="true" outlineLevel="0" collapsed="false"/>
    <row r="19082" customFormat="false" ht="15" hidden="false" customHeight="true" outlineLevel="0" collapsed="false"/>
    <row r="19083" customFormat="false" ht="15" hidden="false" customHeight="true" outlineLevel="0" collapsed="false"/>
    <row r="19084" customFormat="false" ht="15" hidden="false" customHeight="true" outlineLevel="0" collapsed="false"/>
    <row r="19085" customFormat="false" ht="15" hidden="false" customHeight="true" outlineLevel="0" collapsed="false"/>
    <row r="19086" customFormat="false" ht="15" hidden="false" customHeight="true" outlineLevel="0" collapsed="false"/>
    <row r="19087" customFormat="false" ht="15" hidden="false" customHeight="true" outlineLevel="0" collapsed="false"/>
    <row r="19088" customFormat="false" ht="15" hidden="false" customHeight="true" outlineLevel="0" collapsed="false"/>
    <row r="19089" customFormat="false" ht="15" hidden="false" customHeight="true" outlineLevel="0" collapsed="false"/>
    <row r="19090" customFormat="false" ht="15" hidden="false" customHeight="true" outlineLevel="0" collapsed="false"/>
    <row r="19091" customFormat="false" ht="15" hidden="false" customHeight="true" outlineLevel="0" collapsed="false"/>
    <row r="19092" customFormat="false" ht="15" hidden="false" customHeight="true" outlineLevel="0" collapsed="false"/>
    <row r="19093" customFormat="false" ht="15" hidden="false" customHeight="true" outlineLevel="0" collapsed="false"/>
    <row r="19094" customFormat="false" ht="15" hidden="false" customHeight="true" outlineLevel="0" collapsed="false"/>
    <row r="19095" customFormat="false" ht="15" hidden="false" customHeight="true" outlineLevel="0" collapsed="false"/>
    <row r="19096" customFormat="false" ht="15" hidden="false" customHeight="true" outlineLevel="0" collapsed="false"/>
    <row r="19097" customFormat="false" ht="15" hidden="false" customHeight="true" outlineLevel="0" collapsed="false"/>
    <row r="19098" customFormat="false" ht="15" hidden="false" customHeight="true" outlineLevel="0" collapsed="false"/>
    <row r="19099" customFormat="false" ht="15" hidden="false" customHeight="true" outlineLevel="0" collapsed="false"/>
    <row r="19100" customFormat="false" ht="15" hidden="false" customHeight="true" outlineLevel="0" collapsed="false"/>
    <row r="19101" customFormat="false" ht="15" hidden="false" customHeight="true" outlineLevel="0" collapsed="false"/>
    <row r="19102" customFormat="false" ht="15" hidden="false" customHeight="true" outlineLevel="0" collapsed="false"/>
    <row r="19103" customFormat="false" ht="15" hidden="false" customHeight="true" outlineLevel="0" collapsed="false"/>
    <row r="19104" customFormat="false" ht="15" hidden="false" customHeight="true" outlineLevel="0" collapsed="false"/>
    <row r="19105" customFormat="false" ht="15" hidden="false" customHeight="true" outlineLevel="0" collapsed="false"/>
    <row r="19106" customFormat="false" ht="15" hidden="false" customHeight="true" outlineLevel="0" collapsed="false"/>
    <row r="19107" customFormat="false" ht="15" hidden="false" customHeight="true" outlineLevel="0" collapsed="false"/>
    <row r="19108" customFormat="false" ht="15" hidden="false" customHeight="true" outlineLevel="0" collapsed="false"/>
    <row r="19109" customFormat="false" ht="15" hidden="false" customHeight="true" outlineLevel="0" collapsed="false"/>
    <row r="19110" customFormat="false" ht="15" hidden="false" customHeight="true" outlineLevel="0" collapsed="false"/>
    <row r="19111" customFormat="false" ht="15" hidden="false" customHeight="true" outlineLevel="0" collapsed="false"/>
    <row r="19112" customFormat="false" ht="15" hidden="false" customHeight="true" outlineLevel="0" collapsed="false"/>
    <row r="19113" customFormat="false" ht="15" hidden="false" customHeight="true" outlineLevel="0" collapsed="false"/>
    <row r="19114" customFormat="false" ht="15" hidden="false" customHeight="true" outlineLevel="0" collapsed="false"/>
    <row r="19115" customFormat="false" ht="15" hidden="false" customHeight="true" outlineLevel="0" collapsed="false"/>
    <row r="19116" customFormat="false" ht="15" hidden="false" customHeight="true" outlineLevel="0" collapsed="false"/>
    <row r="19117" customFormat="false" ht="15" hidden="false" customHeight="true" outlineLevel="0" collapsed="false"/>
    <row r="19118" customFormat="false" ht="15" hidden="false" customHeight="true" outlineLevel="0" collapsed="false"/>
    <row r="19119" customFormat="false" ht="15" hidden="false" customHeight="true" outlineLevel="0" collapsed="false"/>
    <row r="19120" customFormat="false" ht="15" hidden="false" customHeight="true" outlineLevel="0" collapsed="false"/>
    <row r="19121" customFormat="false" ht="15" hidden="false" customHeight="true" outlineLevel="0" collapsed="false"/>
    <row r="19122" customFormat="false" ht="15" hidden="false" customHeight="true" outlineLevel="0" collapsed="false"/>
    <row r="19123" customFormat="false" ht="15" hidden="false" customHeight="true" outlineLevel="0" collapsed="false"/>
    <row r="19124" customFormat="false" ht="15" hidden="false" customHeight="true" outlineLevel="0" collapsed="false"/>
    <row r="19125" customFormat="false" ht="15" hidden="false" customHeight="true" outlineLevel="0" collapsed="false"/>
    <row r="19126" customFormat="false" ht="15" hidden="false" customHeight="true" outlineLevel="0" collapsed="false"/>
    <row r="19127" customFormat="false" ht="15" hidden="false" customHeight="true" outlineLevel="0" collapsed="false"/>
    <row r="19128" customFormat="false" ht="15" hidden="false" customHeight="true" outlineLevel="0" collapsed="false"/>
    <row r="19129" customFormat="false" ht="15" hidden="false" customHeight="true" outlineLevel="0" collapsed="false"/>
    <row r="19130" customFormat="false" ht="15" hidden="false" customHeight="true" outlineLevel="0" collapsed="false"/>
    <row r="19131" customFormat="false" ht="15" hidden="false" customHeight="true" outlineLevel="0" collapsed="false"/>
    <row r="19132" customFormat="false" ht="15" hidden="false" customHeight="true" outlineLevel="0" collapsed="false"/>
    <row r="19133" customFormat="false" ht="15" hidden="false" customHeight="true" outlineLevel="0" collapsed="false"/>
    <row r="19134" customFormat="false" ht="15" hidden="false" customHeight="true" outlineLevel="0" collapsed="false"/>
    <row r="19135" customFormat="false" ht="15" hidden="false" customHeight="true" outlineLevel="0" collapsed="false"/>
    <row r="19136" customFormat="false" ht="15" hidden="false" customHeight="true" outlineLevel="0" collapsed="false"/>
    <row r="19137" customFormat="false" ht="15" hidden="false" customHeight="true" outlineLevel="0" collapsed="false"/>
    <row r="19138" customFormat="false" ht="15" hidden="false" customHeight="true" outlineLevel="0" collapsed="false"/>
    <row r="19139" customFormat="false" ht="15" hidden="false" customHeight="true" outlineLevel="0" collapsed="false"/>
    <row r="19140" customFormat="false" ht="15" hidden="false" customHeight="true" outlineLevel="0" collapsed="false"/>
    <row r="19141" customFormat="false" ht="15" hidden="false" customHeight="true" outlineLevel="0" collapsed="false"/>
    <row r="19142" customFormat="false" ht="15" hidden="false" customHeight="true" outlineLevel="0" collapsed="false"/>
    <row r="19143" customFormat="false" ht="15" hidden="false" customHeight="true" outlineLevel="0" collapsed="false"/>
    <row r="19144" customFormat="false" ht="15" hidden="false" customHeight="true" outlineLevel="0" collapsed="false"/>
    <row r="19145" customFormat="false" ht="15" hidden="false" customHeight="true" outlineLevel="0" collapsed="false"/>
    <row r="19146" customFormat="false" ht="15" hidden="false" customHeight="true" outlineLevel="0" collapsed="false"/>
    <row r="19147" customFormat="false" ht="15" hidden="false" customHeight="true" outlineLevel="0" collapsed="false"/>
    <row r="19148" customFormat="false" ht="15" hidden="false" customHeight="true" outlineLevel="0" collapsed="false"/>
    <row r="19149" customFormat="false" ht="15" hidden="false" customHeight="true" outlineLevel="0" collapsed="false"/>
    <row r="19150" customFormat="false" ht="15" hidden="false" customHeight="true" outlineLevel="0" collapsed="false"/>
    <row r="19151" customFormat="false" ht="15" hidden="false" customHeight="true" outlineLevel="0" collapsed="false"/>
    <row r="19152" customFormat="false" ht="15" hidden="false" customHeight="true" outlineLevel="0" collapsed="false"/>
    <row r="19153" customFormat="false" ht="15" hidden="false" customHeight="true" outlineLevel="0" collapsed="false"/>
    <row r="19154" customFormat="false" ht="15" hidden="false" customHeight="true" outlineLevel="0" collapsed="false"/>
    <row r="19155" customFormat="false" ht="15" hidden="false" customHeight="true" outlineLevel="0" collapsed="false"/>
    <row r="19156" customFormat="false" ht="15" hidden="false" customHeight="true" outlineLevel="0" collapsed="false"/>
    <row r="19157" customFormat="false" ht="15" hidden="false" customHeight="true" outlineLevel="0" collapsed="false"/>
    <row r="19158" customFormat="false" ht="15" hidden="false" customHeight="true" outlineLevel="0" collapsed="false"/>
    <row r="19159" customFormat="false" ht="15" hidden="false" customHeight="true" outlineLevel="0" collapsed="false"/>
    <row r="19160" customFormat="false" ht="15" hidden="false" customHeight="true" outlineLevel="0" collapsed="false"/>
    <row r="19161" customFormat="false" ht="15" hidden="false" customHeight="true" outlineLevel="0" collapsed="false"/>
    <row r="19162" customFormat="false" ht="15" hidden="false" customHeight="true" outlineLevel="0" collapsed="false"/>
    <row r="19163" customFormat="false" ht="15" hidden="false" customHeight="true" outlineLevel="0" collapsed="false"/>
    <row r="19164" customFormat="false" ht="15" hidden="false" customHeight="true" outlineLevel="0" collapsed="false"/>
    <row r="19165" customFormat="false" ht="15" hidden="false" customHeight="true" outlineLevel="0" collapsed="false"/>
    <row r="19166" customFormat="false" ht="15" hidden="false" customHeight="true" outlineLevel="0" collapsed="false"/>
    <row r="19167" customFormat="false" ht="15" hidden="false" customHeight="true" outlineLevel="0" collapsed="false"/>
    <row r="19168" customFormat="false" ht="15" hidden="false" customHeight="true" outlineLevel="0" collapsed="false"/>
    <row r="19169" customFormat="false" ht="15" hidden="false" customHeight="true" outlineLevel="0" collapsed="false"/>
    <row r="19170" customFormat="false" ht="15" hidden="false" customHeight="true" outlineLevel="0" collapsed="false"/>
    <row r="19171" customFormat="false" ht="15" hidden="false" customHeight="true" outlineLevel="0" collapsed="false"/>
    <row r="19172" customFormat="false" ht="15" hidden="false" customHeight="true" outlineLevel="0" collapsed="false"/>
    <row r="19173" customFormat="false" ht="15" hidden="false" customHeight="true" outlineLevel="0" collapsed="false"/>
    <row r="19174" customFormat="false" ht="15" hidden="false" customHeight="true" outlineLevel="0" collapsed="false"/>
    <row r="19175" customFormat="false" ht="15" hidden="false" customHeight="true" outlineLevel="0" collapsed="false"/>
    <row r="19176" customFormat="false" ht="15" hidden="false" customHeight="true" outlineLevel="0" collapsed="false"/>
    <row r="19177" customFormat="false" ht="15" hidden="false" customHeight="true" outlineLevel="0" collapsed="false"/>
    <row r="19178" customFormat="false" ht="15" hidden="false" customHeight="true" outlineLevel="0" collapsed="false"/>
    <row r="19179" customFormat="false" ht="15" hidden="false" customHeight="true" outlineLevel="0" collapsed="false"/>
    <row r="19180" customFormat="false" ht="15" hidden="false" customHeight="true" outlineLevel="0" collapsed="false"/>
    <row r="19181" customFormat="false" ht="15" hidden="false" customHeight="true" outlineLevel="0" collapsed="false"/>
    <row r="19182" customFormat="false" ht="15" hidden="false" customHeight="true" outlineLevel="0" collapsed="false"/>
    <row r="19183" customFormat="false" ht="15" hidden="false" customHeight="true" outlineLevel="0" collapsed="false"/>
    <row r="19184" customFormat="false" ht="15" hidden="false" customHeight="true" outlineLevel="0" collapsed="false"/>
    <row r="19185" customFormat="false" ht="15" hidden="false" customHeight="true" outlineLevel="0" collapsed="false"/>
    <row r="19186" customFormat="false" ht="15" hidden="false" customHeight="true" outlineLevel="0" collapsed="false"/>
    <row r="19187" customFormat="false" ht="15" hidden="false" customHeight="true" outlineLevel="0" collapsed="false"/>
    <row r="19188" customFormat="false" ht="15" hidden="false" customHeight="true" outlineLevel="0" collapsed="false"/>
    <row r="19189" customFormat="false" ht="15" hidden="false" customHeight="true" outlineLevel="0" collapsed="false"/>
    <row r="19190" customFormat="false" ht="15" hidden="false" customHeight="true" outlineLevel="0" collapsed="false"/>
    <row r="19191" customFormat="false" ht="15" hidden="false" customHeight="true" outlineLevel="0" collapsed="false"/>
    <row r="19192" customFormat="false" ht="15" hidden="false" customHeight="true" outlineLevel="0" collapsed="false"/>
    <row r="19193" customFormat="false" ht="15" hidden="false" customHeight="true" outlineLevel="0" collapsed="false"/>
    <row r="19194" customFormat="false" ht="15" hidden="false" customHeight="true" outlineLevel="0" collapsed="false"/>
    <row r="19195" customFormat="false" ht="15" hidden="false" customHeight="true" outlineLevel="0" collapsed="false"/>
    <row r="19196" customFormat="false" ht="15" hidden="false" customHeight="true" outlineLevel="0" collapsed="false"/>
    <row r="19197" customFormat="false" ht="15" hidden="false" customHeight="true" outlineLevel="0" collapsed="false"/>
    <row r="19198" customFormat="false" ht="15" hidden="false" customHeight="true" outlineLevel="0" collapsed="false"/>
    <row r="19199" customFormat="false" ht="15" hidden="false" customHeight="true" outlineLevel="0" collapsed="false"/>
    <row r="19200" customFormat="false" ht="15" hidden="false" customHeight="true" outlineLevel="0" collapsed="false"/>
    <row r="19201" customFormat="false" ht="15" hidden="false" customHeight="true" outlineLevel="0" collapsed="false"/>
    <row r="19202" customFormat="false" ht="15" hidden="false" customHeight="true" outlineLevel="0" collapsed="false"/>
    <row r="19203" customFormat="false" ht="15" hidden="false" customHeight="true" outlineLevel="0" collapsed="false"/>
    <row r="19204" customFormat="false" ht="15" hidden="false" customHeight="true" outlineLevel="0" collapsed="false"/>
    <row r="19205" customFormat="false" ht="15" hidden="false" customHeight="true" outlineLevel="0" collapsed="false"/>
    <row r="19206" customFormat="false" ht="15" hidden="false" customHeight="true" outlineLevel="0" collapsed="false"/>
    <row r="19207" customFormat="false" ht="15" hidden="false" customHeight="true" outlineLevel="0" collapsed="false"/>
    <row r="19208" customFormat="false" ht="15" hidden="false" customHeight="true" outlineLevel="0" collapsed="false"/>
    <row r="19209" customFormat="false" ht="15" hidden="false" customHeight="true" outlineLevel="0" collapsed="false"/>
    <row r="19210" customFormat="false" ht="15" hidden="false" customHeight="true" outlineLevel="0" collapsed="false"/>
    <row r="19211" customFormat="false" ht="15" hidden="false" customHeight="true" outlineLevel="0" collapsed="false"/>
    <row r="19212" customFormat="false" ht="15" hidden="false" customHeight="true" outlineLevel="0" collapsed="false"/>
    <row r="19213" customFormat="false" ht="15" hidden="false" customHeight="true" outlineLevel="0" collapsed="false"/>
    <row r="19214" customFormat="false" ht="15" hidden="false" customHeight="true" outlineLevel="0" collapsed="false"/>
    <row r="19215" customFormat="false" ht="15" hidden="false" customHeight="true" outlineLevel="0" collapsed="false"/>
    <row r="19216" customFormat="false" ht="15" hidden="false" customHeight="true" outlineLevel="0" collapsed="false"/>
    <row r="19217" customFormat="false" ht="15" hidden="false" customHeight="true" outlineLevel="0" collapsed="false"/>
    <row r="19218" customFormat="false" ht="15" hidden="false" customHeight="true" outlineLevel="0" collapsed="false"/>
    <row r="19219" customFormat="false" ht="15" hidden="false" customHeight="true" outlineLevel="0" collapsed="false"/>
    <row r="19220" customFormat="false" ht="15" hidden="false" customHeight="true" outlineLevel="0" collapsed="false"/>
    <row r="19221" customFormat="false" ht="15" hidden="false" customHeight="true" outlineLevel="0" collapsed="false"/>
    <row r="19222" customFormat="false" ht="15" hidden="false" customHeight="true" outlineLevel="0" collapsed="false"/>
    <row r="19223" customFormat="false" ht="15" hidden="false" customHeight="true" outlineLevel="0" collapsed="false"/>
    <row r="19224" customFormat="false" ht="15" hidden="false" customHeight="true" outlineLevel="0" collapsed="false"/>
    <row r="19225" customFormat="false" ht="15" hidden="false" customHeight="true" outlineLevel="0" collapsed="false"/>
    <row r="19226" customFormat="false" ht="15" hidden="false" customHeight="true" outlineLevel="0" collapsed="false"/>
    <row r="19227" customFormat="false" ht="15" hidden="false" customHeight="true" outlineLevel="0" collapsed="false"/>
    <row r="19228" customFormat="false" ht="15" hidden="false" customHeight="true" outlineLevel="0" collapsed="false"/>
    <row r="19229" customFormat="false" ht="15" hidden="false" customHeight="true" outlineLevel="0" collapsed="false"/>
    <row r="19230" customFormat="false" ht="15" hidden="false" customHeight="true" outlineLevel="0" collapsed="false"/>
    <row r="19231" customFormat="false" ht="15" hidden="false" customHeight="true" outlineLevel="0" collapsed="false"/>
    <row r="19232" customFormat="false" ht="15" hidden="false" customHeight="true" outlineLevel="0" collapsed="false"/>
    <row r="19233" customFormat="false" ht="15" hidden="false" customHeight="true" outlineLevel="0" collapsed="false"/>
    <row r="19234" customFormat="false" ht="15" hidden="false" customHeight="true" outlineLevel="0" collapsed="false"/>
    <row r="19235" customFormat="false" ht="15" hidden="false" customHeight="true" outlineLevel="0" collapsed="false"/>
    <row r="19236" customFormat="false" ht="15" hidden="false" customHeight="true" outlineLevel="0" collapsed="false"/>
    <row r="19237" customFormat="false" ht="15" hidden="false" customHeight="true" outlineLevel="0" collapsed="false"/>
    <row r="19238" customFormat="false" ht="15" hidden="false" customHeight="true" outlineLevel="0" collapsed="false"/>
    <row r="19239" customFormat="false" ht="15" hidden="false" customHeight="true" outlineLevel="0" collapsed="false"/>
    <row r="19240" customFormat="false" ht="15" hidden="false" customHeight="true" outlineLevel="0" collapsed="false"/>
    <row r="19241" customFormat="false" ht="15" hidden="false" customHeight="true" outlineLevel="0" collapsed="false"/>
    <row r="19242" customFormat="false" ht="15" hidden="false" customHeight="true" outlineLevel="0" collapsed="false"/>
    <row r="19243" customFormat="false" ht="15" hidden="false" customHeight="true" outlineLevel="0" collapsed="false"/>
    <row r="19244" customFormat="false" ht="15" hidden="false" customHeight="true" outlineLevel="0" collapsed="false"/>
    <row r="19245" customFormat="false" ht="15" hidden="false" customHeight="true" outlineLevel="0" collapsed="false"/>
    <row r="19246" customFormat="false" ht="15" hidden="false" customHeight="true" outlineLevel="0" collapsed="false"/>
    <row r="19247" customFormat="false" ht="15" hidden="false" customHeight="true" outlineLevel="0" collapsed="false"/>
    <row r="19248" customFormat="false" ht="15" hidden="false" customHeight="true" outlineLevel="0" collapsed="false"/>
    <row r="19249" customFormat="false" ht="15" hidden="false" customHeight="true" outlineLevel="0" collapsed="false"/>
    <row r="19250" customFormat="false" ht="15" hidden="false" customHeight="true" outlineLevel="0" collapsed="false"/>
    <row r="19251" customFormat="false" ht="15" hidden="false" customHeight="true" outlineLevel="0" collapsed="false"/>
    <row r="19252" customFormat="false" ht="15" hidden="false" customHeight="true" outlineLevel="0" collapsed="false"/>
    <row r="19253" customFormat="false" ht="15" hidden="false" customHeight="true" outlineLevel="0" collapsed="false"/>
    <row r="19254" customFormat="false" ht="15" hidden="false" customHeight="true" outlineLevel="0" collapsed="false"/>
    <row r="19255" customFormat="false" ht="15" hidden="false" customHeight="true" outlineLevel="0" collapsed="false"/>
    <row r="19256" customFormat="false" ht="15" hidden="false" customHeight="true" outlineLevel="0" collapsed="false"/>
    <row r="19257" customFormat="false" ht="15" hidden="false" customHeight="true" outlineLevel="0" collapsed="false"/>
    <row r="19258" customFormat="false" ht="15" hidden="false" customHeight="true" outlineLevel="0" collapsed="false"/>
    <row r="19259" customFormat="false" ht="15" hidden="false" customHeight="true" outlineLevel="0" collapsed="false"/>
    <row r="19260" customFormat="false" ht="15" hidden="false" customHeight="true" outlineLevel="0" collapsed="false"/>
    <row r="19261" customFormat="false" ht="15" hidden="false" customHeight="true" outlineLevel="0" collapsed="false"/>
    <row r="19262" customFormat="false" ht="15" hidden="false" customHeight="true" outlineLevel="0" collapsed="false"/>
    <row r="19263" customFormat="false" ht="15" hidden="false" customHeight="true" outlineLevel="0" collapsed="false"/>
    <row r="19264" customFormat="false" ht="15" hidden="false" customHeight="true" outlineLevel="0" collapsed="false"/>
    <row r="19265" customFormat="false" ht="15" hidden="false" customHeight="true" outlineLevel="0" collapsed="false"/>
    <row r="19266" customFormat="false" ht="15" hidden="false" customHeight="true" outlineLevel="0" collapsed="false"/>
    <row r="19267" customFormat="false" ht="15" hidden="false" customHeight="true" outlineLevel="0" collapsed="false"/>
    <row r="19268" customFormat="false" ht="15" hidden="false" customHeight="true" outlineLevel="0" collapsed="false"/>
    <row r="19269" customFormat="false" ht="15" hidden="false" customHeight="true" outlineLevel="0" collapsed="false"/>
    <row r="19270" customFormat="false" ht="15" hidden="false" customHeight="true" outlineLevel="0" collapsed="false"/>
    <row r="19271" customFormat="false" ht="15" hidden="false" customHeight="true" outlineLevel="0" collapsed="false"/>
    <row r="19272" customFormat="false" ht="15" hidden="false" customHeight="true" outlineLevel="0" collapsed="false"/>
    <row r="19273" customFormat="false" ht="15" hidden="false" customHeight="true" outlineLevel="0" collapsed="false"/>
    <row r="19274" customFormat="false" ht="15" hidden="false" customHeight="true" outlineLevel="0" collapsed="false"/>
    <row r="19275" customFormat="false" ht="15" hidden="false" customHeight="true" outlineLevel="0" collapsed="false"/>
    <row r="19276" customFormat="false" ht="15" hidden="false" customHeight="true" outlineLevel="0" collapsed="false"/>
    <row r="19277" customFormat="false" ht="15" hidden="false" customHeight="true" outlineLevel="0" collapsed="false"/>
    <row r="19278" customFormat="false" ht="15" hidden="false" customHeight="true" outlineLevel="0" collapsed="false"/>
    <row r="19279" customFormat="false" ht="15" hidden="false" customHeight="true" outlineLevel="0" collapsed="false"/>
    <row r="19280" customFormat="false" ht="15" hidden="false" customHeight="true" outlineLevel="0" collapsed="false"/>
    <row r="19281" customFormat="false" ht="15" hidden="false" customHeight="true" outlineLevel="0" collapsed="false"/>
    <row r="19282" customFormat="false" ht="15" hidden="false" customHeight="true" outlineLevel="0" collapsed="false"/>
    <row r="19283" customFormat="false" ht="15" hidden="false" customHeight="true" outlineLevel="0" collapsed="false"/>
    <row r="19284" customFormat="false" ht="15" hidden="false" customHeight="true" outlineLevel="0" collapsed="false"/>
    <row r="19285" customFormat="false" ht="15" hidden="false" customHeight="true" outlineLevel="0" collapsed="false"/>
    <row r="19286" customFormat="false" ht="15" hidden="false" customHeight="true" outlineLevel="0" collapsed="false"/>
    <row r="19287" customFormat="false" ht="15" hidden="false" customHeight="true" outlineLevel="0" collapsed="false"/>
    <row r="19288" customFormat="false" ht="15" hidden="false" customHeight="true" outlineLevel="0" collapsed="false"/>
    <row r="19289" customFormat="false" ht="15" hidden="false" customHeight="true" outlineLevel="0" collapsed="false"/>
    <row r="19290" customFormat="false" ht="15" hidden="false" customHeight="true" outlineLevel="0" collapsed="false"/>
    <row r="19291" customFormat="false" ht="15" hidden="false" customHeight="true" outlineLevel="0" collapsed="false"/>
    <row r="19292" customFormat="false" ht="15" hidden="false" customHeight="true" outlineLevel="0" collapsed="false"/>
    <row r="19293" customFormat="false" ht="15" hidden="false" customHeight="true" outlineLevel="0" collapsed="false"/>
    <row r="19294" customFormat="false" ht="15" hidden="false" customHeight="true" outlineLevel="0" collapsed="false"/>
    <row r="19295" customFormat="false" ht="15" hidden="false" customHeight="true" outlineLevel="0" collapsed="false"/>
    <row r="19296" customFormat="false" ht="15" hidden="false" customHeight="true" outlineLevel="0" collapsed="false"/>
    <row r="19297" customFormat="false" ht="15" hidden="false" customHeight="true" outlineLevel="0" collapsed="false"/>
    <row r="19298" customFormat="false" ht="15" hidden="false" customHeight="true" outlineLevel="0" collapsed="false"/>
    <row r="19299" customFormat="false" ht="15" hidden="false" customHeight="true" outlineLevel="0" collapsed="false"/>
    <row r="19300" customFormat="false" ht="15" hidden="false" customHeight="true" outlineLevel="0" collapsed="false"/>
    <row r="19301" customFormat="false" ht="15" hidden="false" customHeight="true" outlineLevel="0" collapsed="false"/>
    <row r="19302" customFormat="false" ht="15" hidden="false" customHeight="true" outlineLevel="0" collapsed="false"/>
    <row r="19303" customFormat="false" ht="15" hidden="false" customHeight="true" outlineLevel="0" collapsed="false"/>
    <row r="19304" customFormat="false" ht="15" hidden="false" customHeight="true" outlineLevel="0" collapsed="false"/>
    <row r="19305" customFormat="false" ht="15" hidden="false" customHeight="true" outlineLevel="0" collapsed="false"/>
    <row r="19306" customFormat="false" ht="15" hidden="false" customHeight="true" outlineLevel="0" collapsed="false"/>
    <row r="19307" customFormat="false" ht="15" hidden="false" customHeight="true" outlineLevel="0" collapsed="false"/>
    <row r="19308" customFormat="false" ht="15" hidden="false" customHeight="true" outlineLevel="0" collapsed="false"/>
    <row r="19309" customFormat="false" ht="15" hidden="false" customHeight="true" outlineLevel="0" collapsed="false"/>
    <row r="19310" customFormat="false" ht="15" hidden="false" customHeight="true" outlineLevel="0" collapsed="false"/>
    <row r="19311" customFormat="false" ht="15" hidden="false" customHeight="true" outlineLevel="0" collapsed="false"/>
    <row r="19312" customFormat="false" ht="15" hidden="false" customHeight="true" outlineLevel="0" collapsed="false"/>
    <row r="19313" customFormat="false" ht="15" hidden="false" customHeight="true" outlineLevel="0" collapsed="false"/>
    <row r="19314" customFormat="false" ht="15" hidden="false" customHeight="true" outlineLevel="0" collapsed="false"/>
    <row r="19315" customFormat="false" ht="15" hidden="false" customHeight="true" outlineLevel="0" collapsed="false"/>
    <row r="19316" customFormat="false" ht="15" hidden="false" customHeight="true" outlineLevel="0" collapsed="false"/>
    <row r="19317" customFormat="false" ht="15" hidden="false" customHeight="true" outlineLevel="0" collapsed="false"/>
    <row r="19318" customFormat="false" ht="15" hidden="false" customHeight="true" outlineLevel="0" collapsed="false"/>
    <row r="19319" customFormat="false" ht="15" hidden="false" customHeight="true" outlineLevel="0" collapsed="false"/>
    <row r="19320" customFormat="false" ht="15" hidden="false" customHeight="true" outlineLevel="0" collapsed="false"/>
    <row r="19321" customFormat="false" ht="15" hidden="false" customHeight="true" outlineLevel="0" collapsed="false"/>
    <row r="19322" customFormat="false" ht="15" hidden="false" customHeight="true" outlineLevel="0" collapsed="false"/>
    <row r="19323" customFormat="false" ht="15" hidden="false" customHeight="true" outlineLevel="0" collapsed="false"/>
    <row r="19324" customFormat="false" ht="15" hidden="false" customHeight="true" outlineLevel="0" collapsed="false"/>
    <row r="19325" customFormat="false" ht="15" hidden="false" customHeight="true" outlineLevel="0" collapsed="false"/>
    <row r="19326" customFormat="false" ht="15" hidden="false" customHeight="true" outlineLevel="0" collapsed="false"/>
    <row r="19327" customFormat="false" ht="15" hidden="false" customHeight="true" outlineLevel="0" collapsed="false"/>
    <row r="19328" customFormat="false" ht="15" hidden="false" customHeight="true" outlineLevel="0" collapsed="false"/>
    <row r="19329" customFormat="false" ht="15" hidden="false" customHeight="true" outlineLevel="0" collapsed="false"/>
    <row r="19330" customFormat="false" ht="15" hidden="false" customHeight="true" outlineLevel="0" collapsed="false"/>
    <row r="19331" customFormat="false" ht="15" hidden="false" customHeight="true" outlineLevel="0" collapsed="false"/>
    <row r="19332" customFormat="false" ht="15" hidden="false" customHeight="true" outlineLevel="0" collapsed="false"/>
    <row r="19333" customFormat="false" ht="15" hidden="false" customHeight="true" outlineLevel="0" collapsed="false"/>
    <row r="19334" customFormat="false" ht="15" hidden="false" customHeight="true" outlineLevel="0" collapsed="false"/>
    <row r="19335" customFormat="false" ht="15" hidden="false" customHeight="true" outlineLevel="0" collapsed="false"/>
    <row r="19336" customFormat="false" ht="15" hidden="false" customHeight="true" outlineLevel="0" collapsed="false"/>
    <row r="19337" customFormat="false" ht="15" hidden="false" customHeight="true" outlineLevel="0" collapsed="false"/>
    <row r="19338" customFormat="false" ht="15" hidden="false" customHeight="true" outlineLevel="0" collapsed="false"/>
    <row r="19339" customFormat="false" ht="15" hidden="false" customHeight="true" outlineLevel="0" collapsed="false"/>
    <row r="19340" customFormat="false" ht="15" hidden="false" customHeight="true" outlineLevel="0" collapsed="false"/>
    <row r="19341" customFormat="false" ht="15" hidden="false" customHeight="true" outlineLevel="0" collapsed="false"/>
    <row r="19342" customFormat="false" ht="15" hidden="false" customHeight="true" outlineLevel="0" collapsed="false"/>
    <row r="19343" customFormat="false" ht="15" hidden="false" customHeight="true" outlineLevel="0" collapsed="false"/>
    <row r="19344" customFormat="false" ht="15" hidden="false" customHeight="true" outlineLevel="0" collapsed="false"/>
    <row r="19345" customFormat="false" ht="15" hidden="false" customHeight="true" outlineLevel="0" collapsed="false"/>
    <row r="19346" customFormat="false" ht="15" hidden="false" customHeight="true" outlineLevel="0" collapsed="false"/>
    <row r="19347" customFormat="false" ht="15" hidden="false" customHeight="true" outlineLevel="0" collapsed="false"/>
    <row r="19348" customFormat="false" ht="15" hidden="false" customHeight="true" outlineLevel="0" collapsed="false"/>
    <row r="19349" customFormat="false" ht="15" hidden="false" customHeight="true" outlineLevel="0" collapsed="false"/>
    <row r="19350" customFormat="false" ht="15" hidden="false" customHeight="true" outlineLevel="0" collapsed="false"/>
    <row r="19351" customFormat="false" ht="15" hidden="false" customHeight="true" outlineLevel="0" collapsed="false"/>
    <row r="19352" customFormat="false" ht="15" hidden="false" customHeight="true" outlineLevel="0" collapsed="false"/>
    <row r="19353" customFormat="false" ht="15" hidden="false" customHeight="true" outlineLevel="0" collapsed="false"/>
    <row r="19354" customFormat="false" ht="15" hidden="false" customHeight="true" outlineLevel="0" collapsed="false"/>
    <row r="19355" customFormat="false" ht="15" hidden="false" customHeight="true" outlineLevel="0" collapsed="false"/>
    <row r="19356" customFormat="false" ht="15" hidden="false" customHeight="true" outlineLevel="0" collapsed="false"/>
    <row r="19357" customFormat="false" ht="15" hidden="false" customHeight="true" outlineLevel="0" collapsed="false"/>
    <row r="19358" customFormat="false" ht="15" hidden="false" customHeight="true" outlineLevel="0" collapsed="false"/>
    <row r="19359" customFormat="false" ht="15" hidden="false" customHeight="true" outlineLevel="0" collapsed="false"/>
    <row r="19360" customFormat="false" ht="15" hidden="false" customHeight="true" outlineLevel="0" collapsed="false"/>
    <row r="19361" customFormat="false" ht="15" hidden="false" customHeight="true" outlineLevel="0" collapsed="false"/>
    <row r="19362" customFormat="false" ht="15" hidden="false" customHeight="true" outlineLevel="0" collapsed="false"/>
    <row r="19363" customFormat="false" ht="15" hidden="false" customHeight="true" outlineLevel="0" collapsed="false"/>
    <row r="19364" customFormat="false" ht="15" hidden="false" customHeight="true" outlineLevel="0" collapsed="false"/>
    <row r="19365" customFormat="false" ht="15" hidden="false" customHeight="true" outlineLevel="0" collapsed="false"/>
    <row r="19366" customFormat="false" ht="15" hidden="false" customHeight="true" outlineLevel="0" collapsed="false"/>
    <row r="19367" customFormat="false" ht="15" hidden="false" customHeight="true" outlineLevel="0" collapsed="false"/>
    <row r="19368" customFormat="false" ht="15" hidden="false" customHeight="true" outlineLevel="0" collapsed="false"/>
    <row r="19369" customFormat="false" ht="15" hidden="false" customHeight="true" outlineLevel="0" collapsed="false"/>
    <row r="19370" customFormat="false" ht="15" hidden="false" customHeight="true" outlineLevel="0" collapsed="false"/>
    <row r="19371" customFormat="false" ht="15" hidden="false" customHeight="true" outlineLevel="0" collapsed="false"/>
    <row r="19372" customFormat="false" ht="15" hidden="false" customHeight="true" outlineLevel="0" collapsed="false"/>
    <row r="19373" customFormat="false" ht="15" hidden="false" customHeight="true" outlineLevel="0" collapsed="false"/>
    <row r="19374" customFormat="false" ht="15" hidden="false" customHeight="true" outlineLevel="0" collapsed="false"/>
    <row r="19375" customFormat="false" ht="15" hidden="false" customHeight="true" outlineLevel="0" collapsed="false"/>
    <row r="19376" customFormat="false" ht="15" hidden="false" customHeight="true" outlineLevel="0" collapsed="false"/>
    <row r="19377" customFormat="false" ht="15" hidden="false" customHeight="true" outlineLevel="0" collapsed="false"/>
    <row r="19378" customFormat="false" ht="15" hidden="false" customHeight="true" outlineLevel="0" collapsed="false"/>
    <row r="19379" customFormat="false" ht="15" hidden="false" customHeight="true" outlineLevel="0" collapsed="false"/>
    <row r="19380" customFormat="false" ht="15" hidden="false" customHeight="true" outlineLevel="0" collapsed="false"/>
    <row r="19381" customFormat="false" ht="15" hidden="false" customHeight="true" outlineLevel="0" collapsed="false"/>
    <row r="19382" customFormat="false" ht="15" hidden="false" customHeight="true" outlineLevel="0" collapsed="false"/>
    <row r="19383" customFormat="false" ht="15" hidden="false" customHeight="true" outlineLevel="0" collapsed="false"/>
    <row r="19384" customFormat="false" ht="15" hidden="false" customHeight="true" outlineLevel="0" collapsed="false"/>
    <row r="19385" customFormat="false" ht="15" hidden="false" customHeight="true" outlineLevel="0" collapsed="false"/>
    <row r="19386" customFormat="false" ht="15" hidden="false" customHeight="true" outlineLevel="0" collapsed="false"/>
    <row r="19387" customFormat="false" ht="15" hidden="false" customHeight="true" outlineLevel="0" collapsed="false"/>
    <row r="19388" customFormat="false" ht="15" hidden="false" customHeight="true" outlineLevel="0" collapsed="false"/>
    <row r="19389" customFormat="false" ht="15" hidden="false" customHeight="true" outlineLevel="0" collapsed="false"/>
    <row r="19390" customFormat="false" ht="15" hidden="false" customHeight="true" outlineLevel="0" collapsed="false"/>
    <row r="19391" customFormat="false" ht="15" hidden="false" customHeight="true" outlineLevel="0" collapsed="false"/>
    <row r="19392" customFormat="false" ht="15" hidden="false" customHeight="true" outlineLevel="0" collapsed="false"/>
    <row r="19393" customFormat="false" ht="15" hidden="false" customHeight="true" outlineLevel="0" collapsed="false"/>
    <row r="19394" customFormat="false" ht="15" hidden="false" customHeight="true" outlineLevel="0" collapsed="false"/>
    <row r="19395" customFormat="false" ht="15" hidden="false" customHeight="true" outlineLevel="0" collapsed="false"/>
    <row r="19396" customFormat="false" ht="15" hidden="false" customHeight="true" outlineLevel="0" collapsed="false"/>
    <row r="19397" customFormat="false" ht="15" hidden="false" customHeight="true" outlineLevel="0" collapsed="false"/>
    <row r="19398" customFormat="false" ht="15" hidden="false" customHeight="true" outlineLevel="0" collapsed="false"/>
    <row r="19399" customFormat="false" ht="15" hidden="false" customHeight="true" outlineLevel="0" collapsed="false"/>
    <row r="19400" customFormat="false" ht="15" hidden="false" customHeight="true" outlineLevel="0" collapsed="false"/>
    <row r="19401" customFormat="false" ht="15" hidden="false" customHeight="true" outlineLevel="0" collapsed="false"/>
    <row r="19402" customFormat="false" ht="15" hidden="false" customHeight="true" outlineLevel="0" collapsed="false"/>
    <row r="19403" customFormat="false" ht="15" hidden="false" customHeight="true" outlineLevel="0" collapsed="false"/>
    <row r="19404" customFormat="false" ht="15" hidden="false" customHeight="true" outlineLevel="0" collapsed="false"/>
    <row r="19405" customFormat="false" ht="15" hidden="false" customHeight="true" outlineLevel="0" collapsed="false"/>
    <row r="19406" customFormat="false" ht="15" hidden="false" customHeight="true" outlineLevel="0" collapsed="false"/>
    <row r="19407" customFormat="false" ht="15" hidden="false" customHeight="true" outlineLevel="0" collapsed="false"/>
    <row r="19408" customFormat="false" ht="15" hidden="false" customHeight="true" outlineLevel="0" collapsed="false"/>
    <row r="19409" customFormat="false" ht="15" hidden="false" customHeight="true" outlineLevel="0" collapsed="false"/>
    <row r="19410" customFormat="false" ht="15" hidden="false" customHeight="true" outlineLevel="0" collapsed="false"/>
    <row r="19411" customFormat="false" ht="15" hidden="false" customHeight="true" outlineLevel="0" collapsed="false"/>
    <row r="19412" customFormat="false" ht="15" hidden="false" customHeight="true" outlineLevel="0" collapsed="false"/>
    <row r="19413" customFormat="false" ht="15" hidden="false" customHeight="true" outlineLevel="0" collapsed="false"/>
    <row r="19414" customFormat="false" ht="15" hidden="false" customHeight="true" outlineLevel="0" collapsed="false"/>
    <row r="19415" customFormat="false" ht="15" hidden="false" customHeight="true" outlineLevel="0" collapsed="false"/>
    <row r="19416" customFormat="false" ht="15" hidden="false" customHeight="true" outlineLevel="0" collapsed="false"/>
    <row r="19417" customFormat="false" ht="15" hidden="false" customHeight="true" outlineLevel="0" collapsed="false"/>
    <row r="19418" customFormat="false" ht="15" hidden="false" customHeight="true" outlineLevel="0" collapsed="false"/>
    <row r="19419" customFormat="false" ht="15" hidden="false" customHeight="true" outlineLevel="0" collapsed="false"/>
    <row r="19420" customFormat="false" ht="15" hidden="false" customHeight="true" outlineLevel="0" collapsed="false"/>
    <row r="19421" customFormat="false" ht="15" hidden="false" customHeight="true" outlineLevel="0" collapsed="false"/>
    <row r="19422" customFormat="false" ht="15" hidden="false" customHeight="true" outlineLevel="0" collapsed="false"/>
    <row r="19423" customFormat="false" ht="15" hidden="false" customHeight="true" outlineLevel="0" collapsed="false"/>
    <row r="19424" customFormat="false" ht="15" hidden="false" customHeight="true" outlineLevel="0" collapsed="false"/>
    <row r="19425" customFormat="false" ht="15" hidden="false" customHeight="true" outlineLevel="0" collapsed="false"/>
    <row r="19426" customFormat="false" ht="15" hidden="false" customHeight="true" outlineLevel="0" collapsed="false"/>
    <row r="19427" customFormat="false" ht="15" hidden="false" customHeight="true" outlineLevel="0" collapsed="false"/>
    <row r="19428" customFormat="false" ht="15" hidden="false" customHeight="true" outlineLevel="0" collapsed="false"/>
    <row r="19429" customFormat="false" ht="15" hidden="false" customHeight="true" outlineLevel="0" collapsed="false"/>
    <row r="19430" customFormat="false" ht="15" hidden="false" customHeight="true" outlineLevel="0" collapsed="false"/>
    <row r="19431" customFormat="false" ht="15" hidden="false" customHeight="true" outlineLevel="0" collapsed="false"/>
    <row r="19432" customFormat="false" ht="15" hidden="false" customHeight="true" outlineLevel="0" collapsed="false"/>
    <row r="19433" customFormat="false" ht="15" hidden="false" customHeight="true" outlineLevel="0" collapsed="false"/>
    <row r="19434" customFormat="false" ht="15" hidden="false" customHeight="true" outlineLevel="0" collapsed="false"/>
    <row r="19435" customFormat="false" ht="15" hidden="false" customHeight="true" outlineLevel="0" collapsed="false"/>
    <row r="19436" customFormat="false" ht="15" hidden="false" customHeight="true" outlineLevel="0" collapsed="false"/>
    <row r="19437" customFormat="false" ht="15" hidden="false" customHeight="true" outlineLevel="0" collapsed="false"/>
    <row r="19438" customFormat="false" ht="15" hidden="false" customHeight="true" outlineLevel="0" collapsed="false"/>
    <row r="19439" customFormat="false" ht="15" hidden="false" customHeight="true" outlineLevel="0" collapsed="false"/>
    <row r="19440" customFormat="false" ht="15" hidden="false" customHeight="true" outlineLevel="0" collapsed="false"/>
    <row r="19441" customFormat="false" ht="15" hidden="false" customHeight="true" outlineLevel="0" collapsed="false"/>
    <row r="19442" customFormat="false" ht="15" hidden="false" customHeight="true" outlineLevel="0" collapsed="false"/>
    <row r="19443" customFormat="false" ht="15" hidden="false" customHeight="true" outlineLevel="0" collapsed="false"/>
    <row r="19444" customFormat="false" ht="15" hidden="false" customHeight="true" outlineLevel="0" collapsed="false"/>
    <row r="19445" customFormat="false" ht="15" hidden="false" customHeight="true" outlineLevel="0" collapsed="false"/>
    <row r="19446" customFormat="false" ht="15" hidden="false" customHeight="true" outlineLevel="0" collapsed="false"/>
    <row r="19447" customFormat="false" ht="15" hidden="false" customHeight="true" outlineLevel="0" collapsed="false"/>
    <row r="19448" customFormat="false" ht="15" hidden="false" customHeight="true" outlineLevel="0" collapsed="false"/>
    <row r="19449" customFormat="false" ht="15" hidden="false" customHeight="true" outlineLevel="0" collapsed="false"/>
    <row r="19450" customFormat="false" ht="15" hidden="false" customHeight="true" outlineLevel="0" collapsed="false"/>
    <row r="19451" customFormat="false" ht="15" hidden="false" customHeight="true" outlineLevel="0" collapsed="false"/>
    <row r="19452" customFormat="false" ht="15" hidden="false" customHeight="true" outlineLevel="0" collapsed="false"/>
    <row r="19453" customFormat="false" ht="15" hidden="false" customHeight="true" outlineLevel="0" collapsed="false"/>
    <row r="19454" customFormat="false" ht="15" hidden="false" customHeight="true" outlineLevel="0" collapsed="false"/>
    <row r="19455" customFormat="false" ht="15" hidden="false" customHeight="true" outlineLevel="0" collapsed="false"/>
    <row r="19456" customFormat="false" ht="15" hidden="false" customHeight="true" outlineLevel="0" collapsed="false"/>
    <row r="19457" customFormat="false" ht="15" hidden="false" customHeight="true" outlineLevel="0" collapsed="false"/>
    <row r="19458" customFormat="false" ht="15" hidden="false" customHeight="true" outlineLevel="0" collapsed="false"/>
    <row r="19459" customFormat="false" ht="15" hidden="false" customHeight="true" outlineLevel="0" collapsed="false"/>
    <row r="19460" customFormat="false" ht="15" hidden="false" customHeight="true" outlineLevel="0" collapsed="false"/>
    <row r="19461" customFormat="false" ht="15" hidden="false" customHeight="true" outlineLevel="0" collapsed="false"/>
    <row r="19462" customFormat="false" ht="15" hidden="false" customHeight="true" outlineLevel="0" collapsed="false"/>
    <row r="19463" customFormat="false" ht="15" hidden="false" customHeight="true" outlineLevel="0" collapsed="false"/>
    <row r="19464" customFormat="false" ht="15" hidden="false" customHeight="true" outlineLevel="0" collapsed="false"/>
    <row r="19465" customFormat="false" ht="15" hidden="false" customHeight="true" outlineLevel="0" collapsed="false"/>
    <row r="19466" customFormat="false" ht="15" hidden="false" customHeight="true" outlineLevel="0" collapsed="false"/>
    <row r="19467" customFormat="false" ht="15" hidden="false" customHeight="true" outlineLevel="0" collapsed="false"/>
    <row r="19468" customFormat="false" ht="15" hidden="false" customHeight="true" outlineLevel="0" collapsed="false"/>
    <row r="19469" customFormat="false" ht="15" hidden="false" customHeight="true" outlineLevel="0" collapsed="false"/>
    <row r="19470" customFormat="false" ht="15" hidden="false" customHeight="true" outlineLevel="0" collapsed="false"/>
    <row r="19471" customFormat="false" ht="15" hidden="false" customHeight="true" outlineLevel="0" collapsed="false"/>
    <row r="19472" customFormat="false" ht="15" hidden="false" customHeight="true" outlineLevel="0" collapsed="false"/>
    <row r="19473" customFormat="false" ht="15" hidden="false" customHeight="true" outlineLevel="0" collapsed="false"/>
    <row r="19474" customFormat="false" ht="15" hidden="false" customHeight="true" outlineLevel="0" collapsed="false"/>
    <row r="19475" customFormat="false" ht="15" hidden="false" customHeight="true" outlineLevel="0" collapsed="false"/>
    <row r="19476" customFormat="false" ht="15" hidden="false" customHeight="true" outlineLevel="0" collapsed="false"/>
    <row r="19477" customFormat="false" ht="15" hidden="false" customHeight="true" outlineLevel="0" collapsed="false"/>
    <row r="19478" customFormat="false" ht="15" hidden="false" customHeight="true" outlineLevel="0" collapsed="false"/>
    <row r="19479" customFormat="false" ht="15" hidden="false" customHeight="true" outlineLevel="0" collapsed="false"/>
    <row r="19480" customFormat="false" ht="15" hidden="false" customHeight="true" outlineLevel="0" collapsed="false"/>
    <row r="19481" customFormat="false" ht="15" hidden="false" customHeight="true" outlineLevel="0" collapsed="false"/>
    <row r="19482" customFormat="false" ht="15" hidden="false" customHeight="true" outlineLevel="0" collapsed="false"/>
    <row r="19483" customFormat="false" ht="15" hidden="false" customHeight="true" outlineLevel="0" collapsed="false"/>
    <row r="19484" customFormat="false" ht="15" hidden="false" customHeight="true" outlineLevel="0" collapsed="false"/>
    <row r="19485" customFormat="false" ht="15" hidden="false" customHeight="true" outlineLevel="0" collapsed="false"/>
    <row r="19486" customFormat="false" ht="15" hidden="false" customHeight="true" outlineLevel="0" collapsed="false"/>
    <row r="19487" customFormat="false" ht="15" hidden="false" customHeight="true" outlineLevel="0" collapsed="false"/>
    <row r="19488" customFormat="false" ht="15" hidden="false" customHeight="true" outlineLevel="0" collapsed="false"/>
    <row r="19489" customFormat="false" ht="15" hidden="false" customHeight="true" outlineLevel="0" collapsed="false"/>
    <row r="19490" customFormat="false" ht="15" hidden="false" customHeight="true" outlineLevel="0" collapsed="false"/>
    <row r="19491" customFormat="false" ht="15" hidden="false" customHeight="true" outlineLevel="0" collapsed="false"/>
    <row r="19492" customFormat="false" ht="15" hidden="false" customHeight="true" outlineLevel="0" collapsed="false"/>
    <row r="19493" customFormat="false" ht="15" hidden="false" customHeight="true" outlineLevel="0" collapsed="false"/>
    <row r="19494" customFormat="false" ht="15" hidden="false" customHeight="true" outlineLevel="0" collapsed="false"/>
    <row r="19495" customFormat="false" ht="15" hidden="false" customHeight="true" outlineLevel="0" collapsed="false"/>
    <row r="19496" customFormat="false" ht="15" hidden="false" customHeight="true" outlineLevel="0" collapsed="false"/>
    <row r="19497" customFormat="false" ht="15" hidden="false" customHeight="true" outlineLevel="0" collapsed="false"/>
    <row r="19498" customFormat="false" ht="15" hidden="false" customHeight="true" outlineLevel="0" collapsed="false"/>
    <row r="19499" customFormat="false" ht="15" hidden="false" customHeight="true" outlineLevel="0" collapsed="false"/>
    <row r="19500" customFormat="false" ht="15" hidden="false" customHeight="true" outlineLevel="0" collapsed="false"/>
    <row r="19501" customFormat="false" ht="15" hidden="false" customHeight="true" outlineLevel="0" collapsed="false"/>
    <row r="19502" customFormat="false" ht="15" hidden="false" customHeight="true" outlineLevel="0" collapsed="false"/>
    <row r="19503" customFormat="false" ht="15" hidden="false" customHeight="true" outlineLevel="0" collapsed="false"/>
    <row r="19504" customFormat="false" ht="15" hidden="false" customHeight="true" outlineLevel="0" collapsed="false"/>
    <row r="19505" customFormat="false" ht="15" hidden="false" customHeight="true" outlineLevel="0" collapsed="false"/>
    <row r="19506" customFormat="false" ht="15" hidden="false" customHeight="true" outlineLevel="0" collapsed="false"/>
    <row r="19507" customFormat="false" ht="15" hidden="false" customHeight="true" outlineLevel="0" collapsed="false"/>
    <row r="19508" customFormat="false" ht="15" hidden="false" customHeight="true" outlineLevel="0" collapsed="false"/>
    <row r="19509" customFormat="false" ht="15" hidden="false" customHeight="true" outlineLevel="0" collapsed="false"/>
    <row r="19510" customFormat="false" ht="15" hidden="false" customHeight="true" outlineLevel="0" collapsed="false"/>
    <row r="19511" customFormat="false" ht="15" hidden="false" customHeight="true" outlineLevel="0" collapsed="false"/>
    <row r="19512" customFormat="false" ht="15" hidden="false" customHeight="true" outlineLevel="0" collapsed="false"/>
    <row r="19513" customFormat="false" ht="15" hidden="false" customHeight="true" outlineLevel="0" collapsed="false"/>
    <row r="19514" customFormat="false" ht="15" hidden="false" customHeight="true" outlineLevel="0" collapsed="false"/>
    <row r="19515" customFormat="false" ht="15" hidden="false" customHeight="true" outlineLevel="0" collapsed="false"/>
    <row r="19516" customFormat="false" ht="15" hidden="false" customHeight="true" outlineLevel="0" collapsed="false"/>
    <row r="19517" customFormat="false" ht="15" hidden="false" customHeight="true" outlineLevel="0" collapsed="false"/>
    <row r="19518" customFormat="false" ht="15" hidden="false" customHeight="true" outlineLevel="0" collapsed="false"/>
    <row r="19519" customFormat="false" ht="15" hidden="false" customHeight="true" outlineLevel="0" collapsed="false"/>
    <row r="19520" customFormat="false" ht="15" hidden="false" customHeight="true" outlineLevel="0" collapsed="false"/>
    <row r="19521" customFormat="false" ht="15" hidden="false" customHeight="true" outlineLevel="0" collapsed="false"/>
    <row r="19522" customFormat="false" ht="15" hidden="false" customHeight="true" outlineLevel="0" collapsed="false"/>
    <row r="19523" customFormat="false" ht="15" hidden="false" customHeight="true" outlineLevel="0" collapsed="false"/>
    <row r="19524" customFormat="false" ht="15" hidden="false" customHeight="true" outlineLevel="0" collapsed="false"/>
    <row r="19525" customFormat="false" ht="15" hidden="false" customHeight="true" outlineLevel="0" collapsed="false"/>
    <row r="19526" customFormat="false" ht="15" hidden="false" customHeight="true" outlineLevel="0" collapsed="false"/>
    <row r="19527" customFormat="false" ht="15" hidden="false" customHeight="true" outlineLevel="0" collapsed="false"/>
    <row r="19528" customFormat="false" ht="15" hidden="false" customHeight="true" outlineLevel="0" collapsed="false"/>
    <row r="19529" customFormat="false" ht="15" hidden="false" customHeight="true" outlineLevel="0" collapsed="false"/>
    <row r="19530" customFormat="false" ht="15" hidden="false" customHeight="true" outlineLevel="0" collapsed="false"/>
    <row r="19531" customFormat="false" ht="15" hidden="false" customHeight="true" outlineLevel="0" collapsed="false"/>
    <row r="19532" customFormat="false" ht="15" hidden="false" customHeight="true" outlineLevel="0" collapsed="false"/>
    <row r="19533" customFormat="false" ht="15" hidden="false" customHeight="true" outlineLevel="0" collapsed="false"/>
    <row r="19534" customFormat="false" ht="15" hidden="false" customHeight="true" outlineLevel="0" collapsed="false"/>
    <row r="19535" customFormat="false" ht="15" hidden="false" customHeight="true" outlineLevel="0" collapsed="false"/>
    <row r="19536" customFormat="false" ht="15" hidden="false" customHeight="true" outlineLevel="0" collapsed="false"/>
    <row r="19537" customFormat="false" ht="15" hidden="false" customHeight="true" outlineLevel="0" collapsed="false"/>
    <row r="19538" customFormat="false" ht="15" hidden="false" customHeight="true" outlineLevel="0" collapsed="false"/>
    <row r="19539" customFormat="false" ht="15" hidden="false" customHeight="true" outlineLevel="0" collapsed="false"/>
    <row r="19540" customFormat="false" ht="15" hidden="false" customHeight="true" outlineLevel="0" collapsed="false"/>
    <row r="19541" customFormat="false" ht="15" hidden="false" customHeight="true" outlineLevel="0" collapsed="false"/>
    <row r="19542" customFormat="false" ht="15" hidden="false" customHeight="true" outlineLevel="0" collapsed="false"/>
    <row r="19543" customFormat="false" ht="15" hidden="false" customHeight="true" outlineLevel="0" collapsed="false"/>
    <row r="19544" customFormat="false" ht="15" hidden="false" customHeight="true" outlineLevel="0" collapsed="false"/>
    <row r="19545" customFormat="false" ht="15" hidden="false" customHeight="true" outlineLevel="0" collapsed="false"/>
    <row r="19546" customFormat="false" ht="15" hidden="false" customHeight="true" outlineLevel="0" collapsed="false"/>
    <row r="19547" customFormat="false" ht="15" hidden="false" customHeight="true" outlineLevel="0" collapsed="false"/>
    <row r="19548" customFormat="false" ht="15" hidden="false" customHeight="true" outlineLevel="0" collapsed="false"/>
    <row r="19549" customFormat="false" ht="15" hidden="false" customHeight="true" outlineLevel="0" collapsed="false"/>
    <row r="19550" customFormat="false" ht="15" hidden="false" customHeight="true" outlineLevel="0" collapsed="false"/>
    <row r="19551" customFormat="false" ht="15" hidden="false" customHeight="true" outlineLevel="0" collapsed="false"/>
    <row r="19552" customFormat="false" ht="15" hidden="false" customHeight="true" outlineLevel="0" collapsed="false"/>
    <row r="19553" customFormat="false" ht="15" hidden="false" customHeight="true" outlineLevel="0" collapsed="false"/>
    <row r="19554" customFormat="false" ht="15" hidden="false" customHeight="true" outlineLevel="0" collapsed="false"/>
    <row r="19555" customFormat="false" ht="15" hidden="false" customHeight="true" outlineLevel="0" collapsed="false"/>
    <row r="19556" customFormat="false" ht="15" hidden="false" customHeight="true" outlineLevel="0" collapsed="false"/>
    <row r="19557" customFormat="false" ht="15" hidden="false" customHeight="true" outlineLevel="0" collapsed="false"/>
    <row r="19558" customFormat="false" ht="15" hidden="false" customHeight="true" outlineLevel="0" collapsed="false"/>
    <row r="19559" customFormat="false" ht="15" hidden="false" customHeight="true" outlineLevel="0" collapsed="false"/>
    <row r="19560" customFormat="false" ht="15" hidden="false" customHeight="true" outlineLevel="0" collapsed="false"/>
    <row r="19561" customFormat="false" ht="15" hidden="false" customHeight="true" outlineLevel="0" collapsed="false"/>
    <row r="19562" customFormat="false" ht="15" hidden="false" customHeight="true" outlineLevel="0" collapsed="false"/>
    <row r="19563" customFormat="false" ht="15" hidden="false" customHeight="true" outlineLevel="0" collapsed="false"/>
    <row r="19564" customFormat="false" ht="15" hidden="false" customHeight="true" outlineLevel="0" collapsed="false"/>
    <row r="19565" customFormat="false" ht="15" hidden="false" customHeight="true" outlineLevel="0" collapsed="false"/>
    <row r="19566" customFormat="false" ht="15" hidden="false" customHeight="true" outlineLevel="0" collapsed="false"/>
    <row r="19567" customFormat="false" ht="15" hidden="false" customHeight="true" outlineLevel="0" collapsed="false"/>
    <row r="19568" customFormat="false" ht="15" hidden="false" customHeight="true" outlineLevel="0" collapsed="false"/>
    <row r="19569" customFormat="false" ht="15" hidden="false" customHeight="true" outlineLevel="0" collapsed="false"/>
    <row r="19570" customFormat="false" ht="15" hidden="false" customHeight="true" outlineLevel="0" collapsed="false"/>
    <row r="19571" customFormat="false" ht="15" hidden="false" customHeight="true" outlineLevel="0" collapsed="false"/>
    <row r="19572" customFormat="false" ht="15" hidden="false" customHeight="true" outlineLevel="0" collapsed="false"/>
    <row r="19573" customFormat="false" ht="15" hidden="false" customHeight="true" outlineLevel="0" collapsed="false"/>
    <row r="19574" customFormat="false" ht="15" hidden="false" customHeight="true" outlineLevel="0" collapsed="false"/>
    <row r="19575" customFormat="false" ht="15" hidden="false" customHeight="true" outlineLevel="0" collapsed="false"/>
    <row r="19576" customFormat="false" ht="15" hidden="false" customHeight="true" outlineLevel="0" collapsed="false"/>
    <row r="19577" customFormat="false" ht="15" hidden="false" customHeight="true" outlineLevel="0" collapsed="false"/>
    <row r="19578" customFormat="false" ht="15" hidden="false" customHeight="true" outlineLevel="0" collapsed="false"/>
    <row r="19579" customFormat="false" ht="15" hidden="false" customHeight="true" outlineLevel="0" collapsed="false"/>
    <row r="19580" customFormat="false" ht="15" hidden="false" customHeight="true" outlineLevel="0" collapsed="false"/>
    <row r="19581" customFormat="false" ht="15" hidden="false" customHeight="true" outlineLevel="0" collapsed="false"/>
    <row r="19582" customFormat="false" ht="15" hidden="false" customHeight="true" outlineLevel="0" collapsed="false"/>
    <row r="19583" customFormat="false" ht="15" hidden="false" customHeight="true" outlineLevel="0" collapsed="false"/>
    <row r="19584" customFormat="false" ht="15" hidden="false" customHeight="true" outlineLevel="0" collapsed="false"/>
    <row r="19585" customFormat="false" ht="15" hidden="false" customHeight="true" outlineLevel="0" collapsed="false"/>
    <row r="19586" customFormat="false" ht="15" hidden="false" customHeight="true" outlineLevel="0" collapsed="false"/>
    <row r="19587" customFormat="false" ht="15" hidden="false" customHeight="true" outlineLevel="0" collapsed="false"/>
    <row r="19588" customFormat="false" ht="15" hidden="false" customHeight="true" outlineLevel="0" collapsed="false"/>
    <row r="19589" customFormat="false" ht="15" hidden="false" customHeight="true" outlineLevel="0" collapsed="false"/>
    <row r="19590" customFormat="false" ht="15" hidden="false" customHeight="true" outlineLevel="0" collapsed="false"/>
    <row r="19591" customFormat="false" ht="15" hidden="false" customHeight="true" outlineLevel="0" collapsed="false"/>
    <row r="19592" customFormat="false" ht="15" hidden="false" customHeight="true" outlineLevel="0" collapsed="false"/>
    <row r="19593" customFormat="false" ht="15" hidden="false" customHeight="true" outlineLevel="0" collapsed="false"/>
    <row r="19594" customFormat="false" ht="15" hidden="false" customHeight="true" outlineLevel="0" collapsed="false"/>
    <row r="19595" customFormat="false" ht="15" hidden="false" customHeight="true" outlineLevel="0" collapsed="false"/>
    <row r="19596" customFormat="false" ht="15" hidden="false" customHeight="true" outlineLevel="0" collapsed="false"/>
    <row r="19597" customFormat="false" ht="15" hidden="false" customHeight="true" outlineLevel="0" collapsed="false"/>
    <row r="19598" customFormat="false" ht="15" hidden="false" customHeight="true" outlineLevel="0" collapsed="false"/>
    <row r="19599" customFormat="false" ht="15" hidden="false" customHeight="true" outlineLevel="0" collapsed="false"/>
    <row r="19600" customFormat="false" ht="15" hidden="false" customHeight="true" outlineLevel="0" collapsed="false"/>
    <row r="19601" customFormat="false" ht="15" hidden="false" customHeight="true" outlineLevel="0" collapsed="false"/>
    <row r="19602" customFormat="false" ht="15" hidden="false" customHeight="true" outlineLevel="0" collapsed="false"/>
    <row r="19603" customFormat="false" ht="15" hidden="false" customHeight="true" outlineLevel="0" collapsed="false"/>
    <row r="19604" customFormat="false" ht="15" hidden="false" customHeight="true" outlineLevel="0" collapsed="false"/>
    <row r="19605" customFormat="false" ht="15" hidden="false" customHeight="true" outlineLevel="0" collapsed="false"/>
    <row r="19606" customFormat="false" ht="15" hidden="false" customHeight="true" outlineLevel="0" collapsed="false"/>
    <row r="19607" customFormat="false" ht="15" hidden="false" customHeight="true" outlineLevel="0" collapsed="false"/>
    <row r="19608" customFormat="false" ht="15" hidden="false" customHeight="true" outlineLevel="0" collapsed="false"/>
    <row r="19609" customFormat="false" ht="15" hidden="false" customHeight="true" outlineLevel="0" collapsed="false"/>
    <row r="19610" customFormat="false" ht="15" hidden="false" customHeight="true" outlineLevel="0" collapsed="false"/>
    <row r="19611" customFormat="false" ht="15" hidden="false" customHeight="true" outlineLevel="0" collapsed="false"/>
    <row r="19612" customFormat="false" ht="15" hidden="false" customHeight="true" outlineLevel="0" collapsed="false"/>
    <row r="19613" customFormat="false" ht="15" hidden="false" customHeight="true" outlineLevel="0" collapsed="false"/>
    <row r="19614" customFormat="false" ht="15" hidden="false" customHeight="true" outlineLevel="0" collapsed="false"/>
    <row r="19615" customFormat="false" ht="15" hidden="false" customHeight="true" outlineLevel="0" collapsed="false"/>
    <row r="19616" customFormat="false" ht="15" hidden="false" customHeight="true" outlineLevel="0" collapsed="false"/>
    <row r="19617" customFormat="false" ht="15" hidden="false" customHeight="true" outlineLevel="0" collapsed="false"/>
    <row r="19618" customFormat="false" ht="15" hidden="false" customHeight="true" outlineLevel="0" collapsed="false"/>
    <row r="19619" customFormat="false" ht="15" hidden="false" customHeight="true" outlineLevel="0" collapsed="false"/>
    <row r="19620" customFormat="false" ht="15" hidden="false" customHeight="true" outlineLevel="0" collapsed="false"/>
    <row r="19621" customFormat="false" ht="15" hidden="false" customHeight="true" outlineLevel="0" collapsed="false"/>
    <row r="19622" customFormat="false" ht="15" hidden="false" customHeight="true" outlineLevel="0" collapsed="false"/>
    <row r="19623" customFormat="false" ht="15" hidden="false" customHeight="true" outlineLevel="0" collapsed="false"/>
    <row r="19624" customFormat="false" ht="15" hidden="false" customHeight="true" outlineLevel="0" collapsed="false"/>
    <row r="19625" customFormat="false" ht="15" hidden="false" customHeight="true" outlineLevel="0" collapsed="false"/>
    <row r="19626" customFormat="false" ht="15" hidden="false" customHeight="true" outlineLevel="0" collapsed="false"/>
    <row r="19627" customFormat="false" ht="15" hidden="false" customHeight="true" outlineLevel="0" collapsed="false"/>
    <row r="19628" customFormat="false" ht="15" hidden="false" customHeight="true" outlineLevel="0" collapsed="false"/>
    <row r="19629" customFormat="false" ht="15" hidden="false" customHeight="true" outlineLevel="0" collapsed="false"/>
    <row r="19630" customFormat="false" ht="15" hidden="false" customHeight="true" outlineLevel="0" collapsed="false"/>
    <row r="19631" customFormat="false" ht="15" hidden="false" customHeight="true" outlineLevel="0" collapsed="false"/>
    <row r="19632" customFormat="false" ht="15" hidden="false" customHeight="true" outlineLevel="0" collapsed="false"/>
    <row r="19633" customFormat="false" ht="15" hidden="false" customHeight="true" outlineLevel="0" collapsed="false"/>
    <row r="19634" customFormat="false" ht="15" hidden="false" customHeight="true" outlineLevel="0" collapsed="false"/>
    <row r="19635" customFormat="false" ht="15" hidden="false" customHeight="true" outlineLevel="0" collapsed="false"/>
    <row r="19636" customFormat="false" ht="15" hidden="false" customHeight="true" outlineLevel="0" collapsed="false"/>
    <row r="19637" customFormat="false" ht="15" hidden="false" customHeight="true" outlineLevel="0" collapsed="false"/>
    <row r="19638" customFormat="false" ht="15" hidden="false" customHeight="true" outlineLevel="0" collapsed="false"/>
    <row r="19639" customFormat="false" ht="15" hidden="false" customHeight="true" outlineLevel="0" collapsed="false"/>
    <row r="19640" customFormat="false" ht="15" hidden="false" customHeight="true" outlineLevel="0" collapsed="false"/>
    <row r="19641" customFormat="false" ht="15" hidden="false" customHeight="true" outlineLevel="0" collapsed="false"/>
    <row r="19642" customFormat="false" ht="15" hidden="false" customHeight="true" outlineLevel="0" collapsed="false"/>
    <row r="19643" customFormat="false" ht="15" hidden="false" customHeight="true" outlineLevel="0" collapsed="false"/>
    <row r="19644" customFormat="false" ht="15" hidden="false" customHeight="true" outlineLevel="0" collapsed="false"/>
    <row r="19645" customFormat="false" ht="15" hidden="false" customHeight="true" outlineLevel="0" collapsed="false"/>
    <row r="19646" customFormat="false" ht="15" hidden="false" customHeight="true" outlineLevel="0" collapsed="false"/>
    <row r="19647" customFormat="false" ht="15" hidden="false" customHeight="true" outlineLevel="0" collapsed="false"/>
    <row r="19648" customFormat="false" ht="15" hidden="false" customHeight="true" outlineLevel="0" collapsed="false"/>
    <row r="19649" customFormat="false" ht="15" hidden="false" customHeight="true" outlineLevel="0" collapsed="false"/>
    <row r="19650" customFormat="false" ht="15" hidden="false" customHeight="true" outlineLevel="0" collapsed="false"/>
    <row r="19651" customFormat="false" ht="15" hidden="false" customHeight="true" outlineLevel="0" collapsed="false"/>
    <row r="19652" customFormat="false" ht="15" hidden="false" customHeight="true" outlineLevel="0" collapsed="false"/>
    <row r="19653" customFormat="false" ht="15" hidden="false" customHeight="true" outlineLevel="0" collapsed="false"/>
    <row r="19654" customFormat="false" ht="15" hidden="false" customHeight="true" outlineLevel="0" collapsed="false"/>
    <row r="19655" customFormat="false" ht="15" hidden="false" customHeight="true" outlineLevel="0" collapsed="false"/>
    <row r="19656" customFormat="false" ht="15" hidden="false" customHeight="true" outlineLevel="0" collapsed="false"/>
    <row r="19657" customFormat="false" ht="15" hidden="false" customHeight="true" outlineLevel="0" collapsed="false"/>
    <row r="19658" customFormat="false" ht="15" hidden="false" customHeight="true" outlineLevel="0" collapsed="false"/>
    <row r="19659" customFormat="false" ht="15" hidden="false" customHeight="true" outlineLevel="0" collapsed="false"/>
    <row r="19660" customFormat="false" ht="15" hidden="false" customHeight="true" outlineLevel="0" collapsed="false"/>
    <row r="19661" customFormat="false" ht="15" hidden="false" customHeight="true" outlineLevel="0" collapsed="false"/>
    <row r="19662" customFormat="false" ht="15" hidden="false" customHeight="true" outlineLevel="0" collapsed="false"/>
    <row r="19663" customFormat="false" ht="15" hidden="false" customHeight="true" outlineLevel="0" collapsed="false"/>
    <row r="19664" customFormat="false" ht="15" hidden="false" customHeight="true" outlineLevel="0" collapsed="false"/>
    <row r="19665" customFormat="false" ht="15" hidden="false" customHeight="true" outlineLevel="0" collapsed="false"/>
    <row r="19666" customFormat="false" ht="15" hidden="false" customHeight="true" outlineLevel="0" collapsed="false"/>
    <row r="19667" customFormat="false" ht="15" hidden="false" customHeight="true" outlineLevel="0" collapsed="false"/>
    <row r="19668" customFormat="false" ht="15" hidden="false" customHeight="true" outlineLevel="0" collapsed="false"/>
    <row r="19669" customFormat="false" ht="15" hidden="false" customHeight="true" outlineLevel="0" collapsed="false"/>
    <row r="19670" customFormat="false" ht="15" hidden="false" customHeight="true" outlineLevel="0" collapsed="false"/>
    <row r="19671" customFormat="false" ht="15" hidden="false" customHeight="true" outlineLevel="0" collapsed="false"/>
    <row r="19672" customFormat="false" ht="15" hidden="false" customHeight="true" outlineLevel="0" collapsed="false"/>
    <row r="19673" customFormat="false" ht="15" hidden="false" customHeight="true" outlineLevel="0" collapsed="false"/>
    <row r="19674" customFormat="false" ht="15" hidden="false" customHeight="true" outlineLevel="0" collapsed="false"/>
    <row r="19675" customFormat="false" ht="15" hidden="false" customHeight="true" outlineLevel="0" collapsed="false"/>
    <row r="19676" customFormat="false" ht="15" hidden="false" customHeight="true" outlineLevel="0" collapsed="false"/>
    <row r="19677" customFormat="false" ht="15" hidden="false" customHeight="true" outlineLevel="0" collapsed="false"/>
    <row r="19678" customFormat="false" ht="15" hidden="false" customHeight="true" outlineLevel="0" collapsed="false"/>
    <row r="19679" customFormat="false" ht="15" hidden="false" customHeight="true" outlineLevel="0" collapsed="false"/>
    <row r="19680" customFormat="false" ht="15" hidden="false" customHeight="true" outlineLevel="0" collapsed="false"/>
    <row r="19681" customFormat="false" ht="15" hidden="false" customHeight="true" outlineLevel="0" collapsed="false"/>
    <row r="19682" customFormat="false" ht="15" hidden="false" customHeight="true" outlineLevel="0" collapsed="false"/>
    <row r="19683" customFormat="false" ht="15" hidden="false" customHeight="true" outlineLevel="0" collapsed="false"/>
    <row r="19684" customFormat="false" ht="15" hidden="false" customHeight="true" outlineLevel="0" collapsed="false"/>
    <row r="19685" customFormat="false" ht="15" hidden="false" customHeight="true" outlineLevel="0" collapsed="false"/>
    <row r="19686" customFormat="false" ht="15" hidden="false" customHeight="true" outlineLevel="0" collapsed="false"/>
    <row r="19687" customFormat="false" ht="15" hidden="false" customHeight="true" outlineLevel="0" collapsed="false"/>
    <row r="19688" customFormat="false" ht="15" hidden="false" customHeight="true" outlineLevel="0" collapsed="false"/>
    <row r="19689" customFormat="false" ht="15" hidden="false" customHeight="true" outlineLevel="0" collapsed="false"/>
    <row r="19690" customFormat="false" ht="15" hidden="false" customHeight="true" outlineLevel="0" collapsed="false"/>
    <row r="19691" customFormat="false" ht="15" hidden="false" customHeight="true" outlineLevel="0" collapsed="false"/>
    <row r="19692" customFormat="false" ht="15" hidden="false" customHeight="true" outlineLevel="0" collapsed="false"/>
    <row r="19693" customFormat="false" ht="15" hidden="false" customHeight="true" outlineLevel="0" collapsed="false"/>
    <row r="19694" customFormat="false" ht="15" hidden="false" customHeight="true" outlineLevel="0" collapsed="false"/>
    <row r="19695" customFormat="false" ht="15" hidden="false" customHeight="true" outlineLevel="0" collapsed="false"/>
    <row r="19696" customFormat="false" ht="15" hidden="false" customHeight="true" outlineLevel="0" collapsed="false"/>
    <row r="19697" customFormat="false" ht="15" hidden="false" customHeight="true" outlineLevel="0" collapsed="false"/>
    <row r="19698" customFormat="false" ht="15" hidden="false" customHeight="true" outlineLevel="0" collapsed="false"/>
    <row r="19699" customFormat="false" ht="15" hidden="false" customHeight="true" outlineLevel="0" collapsed="false"/>
    <row r="19700" customFormat="false" ht="15" hidden="false" customHeight="true" outlineLevel="0" collapsed="false"/>
    <row r="19701" customFormat="false" ht="15" hidden="false" customHeight="true" outlineLevel="0" collapsed="false"/>
    <row r="19702" customFormat="false" ht="15" hidden="false" customHeight="true" outlineLevel="0" collapsed="false"/>
    <row r="19703" customFormat="false" ht="15" hidden="false" customHeight="true" outlineLevel="0" collapsed="false"/>
    <row r="19704" customFormat="false" ht="15" hidden="false" customHeight="true" outlineLevel="0" collapsed="false"/>
    <row r="19705" customFormat="false" ht="15" hidden="false" customHeight="true" outlineLevel="0" collapsed="false"/>
    <row r="19706" customFormat="false" ht="15" hidden="false" customHeight="true" outlineLevel="0" collapsed="false"/>
    <row r="19707" customFormat="false" ht="15" hidden="false" customHeight="true" outlineLevel="0" collapsed="false"/>
    <row r="19708" customFormat="false" ht="15" hidden="false" customHeight="true" outlineLevel="0" collapsed="false"/>
    <row r="19709" customFormat="false" ht="15" hidden="false" customHeight="true" outlineLevel="0" collapsed="false"/>
    <row r="19710" customFormat="false" ht="15" hidden="false" customHeight="true" outlineLevel="0" collapsed="false"/>
    <row r="19711" customFormat="false" ht="15" hidden="false" customHeight="true" outlineLevel="0" collapsed="false"/>
    <row r="19712" customFormat="false" ht="15" hidden="false" customHeight="true" outlineLevel="0" collapsed="false"/>
    <row r="19713" customFormat="false" ht="15" hidden="false" customHeight="true" outlineLevel="0" collapsed="false"/>
    <row r="19714" customFormat="false" ht="15" hidden="false" customHeight="true" outlineLevel="0" collapsed="false"/>
    <row r="19715" customFormat="false" ht="15" hidden="false" customHeight="true" outlineLevel="0" collapsed="false"/>
    <row r="19716" customFormat="false" ht="15" hidden="false" customHeight="true" outlineLevel="0" collapsed="false"/>
    <row r="19717" customFormat="false" ht="15" hidden="false" customHeight="true" outlineLevel="0" collapsed="false"/>
    <row r="19718" customFormat="false" ht="15" hidden="false" customHeight="true" outlineLevel="0" collapsed="false"/>
    <row r="19719" customFormat="false" ht="15" hidden="false" customHeight="true" outlineLevel="0" collapsed="false"/>
    <row r="19720" customFormat="false" ht="15" hidden="false" customHeight="true" outlineLevel="0" collapsed="false"/>
    <row r="19721" customFormat="false" ht="15" hidden="false" customHeight="true" outlineLevel="0" collapsed="false"/>
    <row r="19722" customFormat="false" ht="15" hidden="false" customHeight="true" outlineLevel="0" collapsed="false"/>
    <row r="19723" customFormat="false" ht="15" hidden="false" customHeight="true" outlineLevel="0" collapsed="false"/>
    <row r="19724" customFormat="false" ht="15" hidden="false" customHeight="true" outlineLevel="0" collapsed="false"/>
    <row r="19725" customFormat="false" ht="15" hidden="false" customHeight="true" outlineLevel="0" collapsed="false"/>
    <row r="19726" customFormat="false" ht="15" hidden="false" customHeight="true" outlineLevel="0" collapsed="false"/>
    <row r="19727" customFormat="false" ht="15" hidden="false" customHeight="true" outlineLevel="0" collapsed="false"/>
    <row r="19728" customFormat="false" ht="15" hidden="false" customHeight="true" outlineLevel="0" collapsed="false"/>
    <row r="19729" customFormat="false" ht="15" hidden="false" customHeight="true" outlineLevel="0" collapsed="false"/>
    <row r="19730" customFormat="false" ht="15" hidden="false" customHeight="true" outlineLevel="0" collapsed="false"/>
    <row r="19731" customFormat="false" ht="15" hidden="false" customHeight="true" outlineLevel="0" collapsed="false"/>
    <row r="19732" customFormat="false" ht="15" hidden="false" customHeight="true" outlineLevel="0" collapsed="false"/>
    <row r="19733" customFormat="false" ht="15" hidden="false" customHeight="true" outlineLevel="0" collapsed="false"/>
    <row r="19734" customFormat="false" ht="15" hidden="false" customHeight="true" outlineLevel="0" collapsed="false"/>
    <row r="19735" customFormat="false" ht="15" hidden="false" customHeight="true" outlineLevel="0" collapsed="false"/>
    <row r="19736" customFormat="false" ht="15" hidden="false" customHeight="true" outlineLevel="0" collapsed="false"/>
    <row r="19737" customFormat="false" ht="15" hidden="false" customHeight="true" outlineLevel="0" collapsed="false"/>
    <row r="19738" customFormat="false" ht="15" hidden="false" customHeight="true" outlineLevel="0" collapsed="false"/>
    <row r="19739" customFormat="false" ht="15" hidden="false" customHeight="true" outlineLevel="0" collapsed="false"/>
    <row r="19740" customFormat="false" ht="15" hidden="false" customHeight="true" outlineLevel="0" collapsed="false"/>
    <row r="19741" customFormat="false" ht="15" hidden="false" customHeight="true" outlineLevel="0" collapsed="false"/>
    <row r="19742" customFormat="false" ht="15" hidden="false" customHeight="true" outlineLevel="0" collapsed="false"/>
    <row r="19743" customFormat="false" ht="15" hidden="false" customHeight="true" outlineLevel="0" collapsed="false"/>
    <row r="19744" customFormat="false" ht="15" hidden="false" customHeight="true" outlineLevel="0" collapsed="false"/>
    <row r="19745" customFormat="false" ht="15" hidden="false" customHeight="true" outlineLevel="0" collapsed="false"/>
    <row r="19746" customFormat="false" ht="15" hidden="false" customHeight="true" outlineLevel="0" collapsed="false"/>
    <row r="19747" customFormat="false" ht="15" hidden="false" customHeight="true" outlineLevel="0" collapsed="false"/>
    <row r="19748" customFormat="false" ht="15" hidden="false" customHeight="true" outlineLevel="0" collapsed="false"/>
    <row r="19749" customFormat="false" ht="15" hidden="false" customHeight="true" outlineLevel="0" collapsed="false"/>
    <row r="19750" customFormat="false" ht="15" hidden="false" customHeight="true" outlineLevel="0" collapsed="false"/>
    <row r="19751" customFormat="false" ht="15" hidden="false" customHeight="true" outlineLevel="0" collapsed="false"/>
    <row r="19752" customFormat="false" ht="15" hidden="false" customHeight="true" outlineLevel="0" collapsed="false"/>
    <row r="19753" customFormat="false" ht="15" hidden="false" customHeight="true" outlineLevel="0" collapsed="false"/>
    <row r="19754" customFormat="false" ht="15" hidden="false" customHeight="true" outlineLevel="0" collapsed="false"/>
    <row r="19755" customFormat="false" ht="15" hidden="false" customHeight="true" outlineLevel="0" collapsed="false"/>
    <row r="19756" customFormat="false" ht="15" hidden="false" customHeight="true" outlineLevel="0" collapsed="false"/>
    <row r="19757" customFormat="false" ht="15" hidden="false" customHeight="true" outlineLevel="0" collapsed="false"/>
    <row r="19758" customFormat="false" ht="15" hidden="false" customHeight="true" outlineLevel="0" collapsed="false"/>
    <row r="19759" customFormat="false" ht="15" hidden="false" customHeight="true" outlineLevel="0" collapsed="false"/>
    <row r="19760" customFormat="false" ht="15" hidden="false" customHeight="true" outlineLevel="0" collapsed="false"/>
    <row r="19761" customFormat="false" ht="15" hidden="false" customHeight="true" outlineLevel="0" collapsed="false"/>
    <row r="19762" customFormat="false" ht="15" hidden="false" customHeight="true" outlineLevel="0" collapsed="false"/>
    <row r="19763" customFormat="false" ht="15" hidden="false" customHeight="true" outlineLevel="0" collapsed="false"/>
    <row r="19764" customFormat="false" ht="15" hidden="false" customHeight="true" outlineLevel="0" collapsed="false"/>
    <row r="19765" customFormat="false" ht="15" hidden="false" customHeight="true" outlineLevel="0" collapsed="false"/>
    <row r="19766" customFormat="false" ht="15" hidden="false" customHeight="true" outlineLevel="0" collapsed="false"/>
    <row r="19767" customFormat="false" ht="15" hidden="false" customHeight="true" outlineLevel="0" collapsed="false"/>
    <row r="19768" customFormat="false" ht="15" hidden="false" customHeight="true" outlineLevel="0" collapsed="false"/>
    <row r="19769" customFormat="false" ht="15" hidden="false" customHeight="true" outlineLevel="0" collapsed="false"/>
    <row r="19770" customFormat="false" ht="15" hidden="false" customHeight="true" outlineLevel="0" collapsed="false"/>
    <row r="19771" customFormat="false" ht="15" hidden="false" customHeight="true" outlineLevel="0" collapsed="false"/>
    <row r="19772" customFormat="false" ht="15" hidden="false" customHeight="true" outlineLevel="0" collapsed="false"/>
    <row r="19773" customFormat="false" ht="15" hidden="false" customHeight="true" outlineLevel="0" collapsed="false"/>
    <row r="19774" customFormat="false" ht="15" hidden="false" customHeight="true" outlineLevel="0" collapsed="false"/>
    <row r="19775" customFormat="false" ht="15" hidden="false" customHeight="true" outlineLevel="0" collapsed="false"/>
    <row r="19776" customFormat="false" ht="15" hidden="false" customHeight="true" outlineLevel="0" collapsed="false"/>
    <row r="19777" customFormat="false" ht="15" hidden="false" customHeight="true" outlineLevel="0" collapsed="false"/>
    <row r="19778" customFormat="false" ht="15" hidden="false" customHeight="true" outlineLevel="0" collapsed="false"/>
    <row r="19779" customFormat="false" ht="15" hidden="false" customHeight="true" outlineLevel="0" collapsed="false"/>
    <row r="19780" customFormat="false" ht="15" hidden="false" customHeight="true" outlineLevel="0" collapsed="false"/>
    <row r="19781" customFormat="false" ht="15" hidden="false" customHeight="true" outlineLevel="0" collapsed="false"/>
    <row r="19782" customFormat="false" ht="15" hidden="false" customHeight="true" outlineLevel="0" collapsed="false"/>
    <row r="19783" customFormat="false" ht="15" hidden="false" customHeight="true" outlineLevel="0" collapsed="false"/>
    <row r="19784" customFormat="false" ht="15" hidden="false" customHeight="true" outlineLevel="0" collapsed="false"/>
    <row r="19785" customFormat="false" ht="15" hidden="false" customHeight="true" outlineLevel="0" collapsed="false"/>
    <row r="19786" customFormat="false" ht="15" hidden="false" customHeight="true" outlineLevel="0" collapsed="false"/>
    <row r="19787" customFormat="false" ht="15" hidden="false" customHeight="true" outlineLevel="0" collapsed="false"/>
    <row r="19788" customFormat="false" ht="15" hidden="false" customHeight="true" outlineLevel="0" collapsed="false"/>
    <row r="19789" customFormat="false" ht="15" hidden="false" customHeight="true" outlineLevel="0" collapsed="false"/>
    <row r="19790" customFormat="false" ht="15" hidden="false" customHeight="true" outlineLevel="0" collapsed="false"/>
    <row r="19791" customFormat="false" ht="15" hidden="false" customHeight="true" outlineLevel="0" collapsed="false"/>
    <row r="19792" customFormat="false" ht="15" hidden="false" customHeight="true" outlineLevel="0" collapsed="false"/>
    <row r="19793" customFormat="false" ht="15" hidden="false" customHeight="true" outlineLevel="0" collapsed="false"/>
    <row r="19794" customFormat="false" ht="15" hidden="false" customHeight="true" outlineLevel="0" collapsed="false"/>
    <row r="19795" customFormat="false" ht="15" hidden="false" customHeight="true" outlineLevel="0" collapsed="false"/>
    <row r="19796" customFormat="false" ht="15" hidden="false" customHeight="true" outlineLevel="0" collapsed="false"/>
    <row r="19797" customFormat="false" ht="15" hidden="false" customHeight="true" outlineLevel="0" collapsed="false"/>
    <row r="19798" customFormat="false" ht="15" hidden="false" customHeight="true" outlineLevel="0" collapsed="false"/>
    <row r="19799" customFormat="false" ht="15" hidden="false" customHeight="true" outlineLevel="0" collapsed="false"/>
    <row r="19800" customFormat="false" ht="15" hidden="false" customHeight="true" outlineLevel="0" collapsed="false"/>
    <row r="19801" customFormat="false" ht="15" hidden="false" customHeight="true" outlineLevel="0" collapsed="false"/>
    <row r="19802" customFormat="false" ht="15" hidden="false" customHeight="true" outlineLevel="0" collapsed="false"/>
    <row r="19803" customFormat="false" ht="15" hidden="false" customHeight="true" outlineLevel="0" collapsed="false"/>
    <row r="19804" customFormat="false" ht="15" hidden="false" customHeight="true" outlineLevel="0" collapsed="false"/>
    <row r="19805" customFormat="false" ht="15" hidden="false" customHeight="true" outlineLevel="0" collapsed="false"/>
    <row r="19806" customFormat="false" ht="15" hidden="false" customHeight="true" outlineLevel="0" collapsed="false"/>
    <row r="19807" customFormat="false" ht="15" hidden="false" customHeight="true" outlineLevel="0" collapsed="false"/>
    <row r="19808" customFormat="false" ht="15" hidden="false" customHeight="true" outlineLevel="0" collapsed="false"/>
    <row r="19809" customFormat="false" ht="15" hidden="false" customHeight="true" outlineLevel="0" collapsed="false"/>
    <row r="19810" customFormat="false" ht="15" hidden="false" customHeight="true" outlineLevel="0" collapsed="false"/>
    <row r="19811" customFormat="false" ht="15" hidden="false" customHeight="true" outlineLevel="0" collapsed="false"/>
    <row r="19812" customFormat="false" ht="15" hidden="false" customHeight="true" outlineLevel="0" collapsed="false"/>
    <row r="19813" customFormat="false" ht="15" hidden="false" customHeight="true" outlineLevel="0" collapsed="false"/>
    <row r="19814" customFormat="false" ht="15" hidden="false" customHeight="true" outlineLevel="0" collapsed="false"/>
    <row r="19815" customFormat="false" ht="15" hidden="false" customHeight="true" outlineLevel="0" collapsed="false"/>
    <row r="19816" customFormat="false" ht="15" hidden="false" customHeight="true" outlineLevel="0" collapsed="false"/>
    <row r="19817" customFormat="false" ht="15" hidden="false" customHeight="true" outlineLevel="0" collapsed="false"/>
    <row r="19818" customFormat="false" ht="15" hidden="false" customHeight="true" outlineLevel="0" collapsed="false"/>
    <row r="19819" customFormat="false" ht="15" hidden="false" customHeight="true" outlineLevel="0" collapsed="false"/>
    <row r="19820" customFormat="false" ht="15" hidden="false" customHeight="true" outlineLevel="0" collapsed="false"/>
    <row r="19821" customFormat="false" ht="15" hidden="false" customHeight="true" outlineLevel="0" collapsed="false"/>
    <row r="19822" customFormat="false" ht="15" hidden="false" customHeight="true" outlineLevel="0" collapsed="false"/>
    <row r="19823" customFormat="false" ht="15" hidden="false" customHeight="true" outlineLevel="0" collapsed="false"/>
    <row r="19824" customFormat="false" ht="15" hidden="false" customHeight="true" outlineLevel="0" collapsed="false"/>
    <row r="19825" customFormat="false" ht="15" hidden="false" customHeight="true" outlineLevel="0" collapsed="false"/>
    <row r="19826" customFormat="false" ht="15" hidden="false" customHeight="true" outlineLevel="0" collapsed="false"/>
    <row r="19827" customFormat="false" ht="15" hidden="false" customHeight="true" outlineLevel="0" collapsed="false"/>
    <row r="19828" customFormat="false" ht="15" hidden="false" customHeight="true" outlineLevel="0" collapsed="false"/>
    <row r="19829" customFormat="false" ht="15" hidden="false" customHeight="true" outlineLevel="0" collapsed="false"/>
    <row r="19830" customFormat="false" ht="15" hidden="false" customHeight="true" outlineLevel="0" collapsed="false"/>
    <row r="19831" customFormat="false" ht="15" hidden="false" customHeight="true" outlineLevel="0" collapsed="false"/>
    <row r="19832" customFormat="false" ht="15" hidden="false" customHeight="true" outlineLevel="0" collapsed="false"/>
    <row r="19833" customFormat="false" ht="15" hidden="false" customHeight="true" outlineLevel="0" collapsed="false"/>
    <row r="19834" customFormat="false" ht="15" hidden="false" customHeight="true" outlineLevel="0" collapsed="false"/>
    <row r="19835" customFormat="false" ht="15" hidden="false" customHeight="true" outlineLevel="0" collapsed="false"/>
    <row r="19836" customFormat="false" ht="15" hidden="false" customHeight="true" outlineLevel="0" collapsed="false"/>
    <row r="19837" customFormat="false" ht="15" hidden="false" customHeight="true" outlineLevel="0" collapsed="false"/>
    <row r="19838" customFormat="false" ht="15" hidden="false" customHeight="true" outlineLevel="0" collapsed="false"/>
    <row r="19839" customFormat="false" ht="15" hidden="false" customHeight="true" outlineLevel="0" collapsed="false"/>
    <row r="19840" customFormat="false" ht="15" hidden="false" customHeight="true" outlineLevel="0" collapsed="false"/>
    <row r="19841" customFormat="false" ht="15" hidden="false" customHeight="true" outlineLevel="0" collapsed="false"/>
    <row r="19842" customFormat="false" ht="15" hidden="false" customHeight="true" outlineLevel="0" collapsed="false"/>
    <row r="19843" customFormat="false" ht="15" hidden="false" customHeight="true" outlineLevel="0" collapsed="false"/>
    <row r="19844" customFormat="false" ht="15" hidden="false" customHeight="true" outlineLevel="0" collapsed="false"/>
    <row r="19845" customFormat="false" ht="15" hidden="false" customHeight="true" outlineLevel="0" collapsed="false"/>
    <row r="19846" customFormat="false" ht="15" hidden="false" customHeight="true" outlineLevel="0" collapsed="false"/>
    <row r="19847" customFormat="false" ht="15" hidden="false" customHeight="true" outlineLevel="0" collapsed="false"/>
    <row r="19848" customFormat="false" ht="15" hidden="false" customHeight="true" outlineLevel="0" collapsed="false"/>
    <row r="19849" customFormat="false" ht="15" hidden="false" customHeight="true" outlineLevel="0" collapsed="false"/>
    <row r="19850" customFormat="false" ht="15" hidden="false" customHeight="true" outlineLevel="0" collapsed="false"/>
    <row r="19851" customFormat="false" ht="15" hidden="false" customHeight="true" outlineLevel="0" collapsed="false"/>
    <row r="19852" customFormat="false" ht="15" hidden="false" customHeight="true" outlineLevel="0" collapsed="false"/>
    <row r="19853" customFormat="false" ht="15" hidden="false" customHeight="true" outlineLevel="0" collapsed="false"/>
    <row r="19854" customFormat="false" ht="15" hidden="false" customHeight="true" outlineLevel="0" collapsed="false"/>
    <row r="19855" customFormat="false" ht="15" hidden="false" customHeight="true" outlineLevel="0" collapsed="false"/>
    <row r="19856" customFormat="false" ht="15" hidden="false" customHeight="true" outlineLevel="0" collapsed="false"/>
    <row r="19857" customFormat="false" ht="15" hidden="false" customHeight="true" outlineLevel="0" collapsed="false"/>
    <row r="19858" customFormat="false" ht="15" hidden="false" customHeight="true" outlineLevel="0" collapsed="false"/>
    <row r="19859" customFormat="false" ht="15" hidden="false" customHeight="true" outlineLevel="0" collapsed="false"/>
    <row r="19860" customFormat="false" ht="15" hidden="false" customHeight="true" outlineLevel="0" collapsed="false"/>
    <row r="19861" customFormat="false" ht="15" hidden="false" customHeight="true" outlineLevel="0" collapsed="false"/>
    <row r="19862" customFormat="false" ht="15" hidden="false" customHeight="true" outlineLevel="0" collapsed="false"/>
    <row r="19863" customFormat="false" ht="15" hidden="false" customHeight="true" outlineLevel="0" collapsed="false"/>
    <row r="19864" customFormat="false" ht="15" hidden="false" customHeight="true" outlineLevel="0" collapsed="false"/>
    <row r="19865" customFormat="false" ht="15" hidden="false" customHeight="true" outlineLevel="0" collapsed="false"/>
    <row r="19866" customFormat="false" ht="15" hidden="false" customHeight="true" outlineLevel="0" collapsed="false"/>
    <row r="19867" customFormat="false" ht="15" hidden="false" customHeight="true" outlineLevel="0" collapsed="false"/>
    <row r="19868" customFormat="false" ht="15" hidden="false" customHeight="true" outlineLevel="0" collapsed="false"/>
    <row r="19869" customFormat="false" ht="15" hidden="false" customHeight="true" outlineLevel="0" collapsed="false"/>
    <row r="19870" customFormat="false" ht="15" hidden="false" customHeight="true" outlineLevel="0" collapsed="false"/>
    <row r="19871" customFormat="false" ht="15" hidden="false" customHeight="true" outlineLevel="0" collapsed="false"/>
    <row r="19872" customFormat="false" ht="15" hidden="false" customHeight="true" outlineLevel="0" collapsed="false"/>
    <row r="19873" customFormat="false" ht="15" hidden="false" customHeight="true" outlineLevel="0" collapsed="false"/>
    <row r="19874" customFormat="false" ht="15" hidden="false" customHeight="true" outlineLevel="0" collapsed="false"/>
    <row r="19875" customFormat="false" ht="15" hidden="false" customHeight="true" outlineLevel="0" collapsed="false"/>
    <row r="19876" customFormat="false" ht="15" hidden="false" customHeight="true" outlineLevel="0" collapsed="false"/>
    <row r="19877" customFormat="false" ht="15" hidden="false" customHeight="true" outlineLevel="0" collapsed="false"/>
    <row r="19878" customFormat="false" ht="15" hidden="false" customHeight="true" outlineLevel="0" collapsed="false"/>
    <row r="19879" customFormat="false" ht="15" hidden="false" customHeight="true" outlineLevel="0" collapsed="false"/>
    <row r="19880" customFormat="false" ht="15" hidden="false" customHeight="true" outlineLevel="0" collapsed="false"/>
    <row r="19881" customFormat="false" ht="15" hidden="false" customHeight="true" outlineLevel="0" collapsed="false"/>
    <row r="19882" customFormat="false" ht="15" hidden="false" customHeight="true" outlineLevel="0" collapsed="false"/>
    <row r="19883" customFormat="false" ht="15" hidden="false" customHeight="true" outlineLevel="0" collapsed="false"/>
    <row r="19884" customFormat="false" ht="15" hidden="false" customHeight="true" outlineLevel="0" collapsed="false"/>
    <row r="19885" customFormat="false" ht="15" hidden="false" customHeight="true" outlineLevel="0" collapsed="false"/>
    <row r="19886" customFormat="false" ht="15" hidden="false" customHeight="true" outlineLevel="0" collapsed="false"/>
    <row r="19887" customFormat="false" ht="15" hidden="false" customHeight="true" outlineLevel="0" collapsed="false"/>
    <row r="19888" customFormat="false" ht="15" hidden="false" customHeight="true" outlineLevel="0" collapsed="false"/>
    <row r="19889" customFormat="false" ht="15" hidden="false" customHeight="true" outlineLevel="0" collapsed="false"/>
    <row r="19890" customFormat="false" ht="15" hidden="false" customHeight="true" outlineLevel="0" collapsed="false"/>
    <row r="19891" customFormat="false" ht="15" hidden="false" customHeight="true" outlineLevel="0" collapsed="false"/>
    <row r="19892" customFormat="false" ht="15" hidden="false" customHeight="true" outlineLevel="0" collapsed="false"/>
    <row r="19893" customFormat="false" ht="15" hidden="false" customHeight="true" outlineLevel="0" collapsed="false"/>
    <row r="19894" customFormat="false" ht="15" hidden="false" customHeight="true" outlineLevel="0" collapsed="false"/>
    <row r="19895" customFormat="false" ht="15" hidden="false" customHeight="true" outlineLevel="0" collapsed="false"/>
    <row r="19896" customFormat="false" ht="15" hidden="false" customHeight="true" outlineLevel="0" collapsed="false"/>
    <row r="19897" customFormat="false" ht="15" hidden="false" customHeight="true" outlineLevel="0" collapsed="false"/>
    <row r="19898" customFormat="false" ht="15" hidden="false" customHeight="true" outlineLevel="0" collapsed="false"/>
    <row r="19899" customFormat="false" ht="15" hidden="false" customHeight="true" outlineLevel="0" collapsed="false"/>
    <row r="19900" customFormat="false" ht="15" hidden="false" customHeight="true" outlineLevel="0" collapsed="false"/>
    <row r="19901" customFormat="false" ht="15" hidden="false" customHeight="true" outlineLevel="0" collapsed="false"/>
    <row r="19902" customFormat="false" ht="15" hidden="false" customHeight="true" outlineLevel="0" collapsed="false"/>
    <row r="19903" customFormat="false" ht="15" hidden="false" customHeight="true" outlineLevel="0" collapsed="false"/>
    <row r="19904" customFormat="false" ht="15" hidden="false" customHeight="true" outlineLevel="0" collapsed="false"/>
    <row r="19905" customFormat="false" ht="15" hidden="false" customHeight="true" outlineLevel="0" collapsed="false"/>
    <row r="19906" customFormat="false" ht="15" hidden="false" customHeight="true" outlineLevel="0" collapsed="false"/>
    <row r="19907" customFormat="false" ht="15" hidden="false" customHeight="true" outlineLevel="0" collapsed="false"/>
    <row r="19908" customFormat="false" ht="15" hidden="false" customHeight="true" outlineLevel="0" collapsed="false"/>
    <row r="19909" customFormat="false" ht="15" hidden="false" customHeight="true" outlineLevel="0" collapsed="false"/>
    <row r="19910" customFormat="false" ht="15" hidden="false" customHeight="true" outlineLevel="0" collapsed="false"/>
    <row r="19911" customFormat="false" ht="15" hidden="false" customHeight="true" outlineLevel="0" collapsed="false"/>
    <row r="19912" customFormat="false" ht="15" hidden="false" customHeight="true" outlineLevel="0" collapsed="false"/>
    <row r="19913" customFormat="false" ht="15" hidden="false" customHeight="true" outlineLevel="0" collapsed="false"/>
    <row r="19914" customFormat="false" ht="15" hidden="false" customHeight="true" outlineLevel="0" collapsed="false"/>
    <row r="19915" customFormat="false" ht="15" hidden="false" customHeight="true" outlineLevel="0" collapsed="false"/>
    <row r="19916" customFormat="false" ht="15" hidden="false" customHeight="true" outlineLevel="0" collapsed="false"/>
    <row r="19917" customFormat="false" ht="15" hidden="false" customHeight="true" outlineLevel="0" collapsed="false"/>
    <row r="19918" customFormat="false" ht="15" hidden="false" customHeight="true" outlineLevel="0" collapsed="false"/>
    <row r="19919" customFormat="false" ht="15" hidden="false" customHeight="true" outlineLevel="0" collapsed="false"/>
    <row r="19920" customFormat="false" ht="15" hidden="false" customHeight="true" outlineLevel="0" collapsed="false"/>
    <row r="19921" customFormat="false" ht="15" hidden="false" customHeight="true" outlineLevel="0" collapsed="false"/>
    <row r="19922" customFormat="false" ht="15" hidden="false" customHeight="true" outlineLevel="0" collapsed="false"/>
    <row r="19923" customFormat="false" ht="15" hidden="false" customHeight="true" outlineLevel="0" collapsed="false"/>
    <row r="19924" customFormat="false" ht="15" hidden="false" customHeight="true" outlineLevel="0" collapsed="false"/>
    <row r="19925" customFormat="false" ht="15" hidden="false" customHeight="true" outlineLevel="0" collapsed="false"/>
    <row r="19926" customFormat="false" ht="15" hidden="false" customHeight="true" outlineLevel="0" collapsed="false"/>
    <row r="19927" customFormat="false" ht="15" hidden="false" customHeight="true" outlineLevel="0" collapsed="false"/>
    <row r="19928" customFormat="false" ht="15" hidden="false" customHeight="true" outlineLevel="0" collapsed="false"/>
    <row r="19929" customFormat="false" ht="15" hidden="false" customHeight="true" outlineLevel="0" collapsed="false"/>
    <row r="19930" customFormat="false" ht="15" hidden="false" customHeight="true" outlineLevel="0" collapsed="false"/>
    <row r="19931" customFormat="false" ht="15" hidden="false" customHeight="true" outlineLevel="0" collapsed="false"/>
    <row r="19932" customFormat="false" ht="15" hidden="false" customHeight="true" outlineLevel="0" collapsed="false"/>
    <row r="19933" customFormat="false" ht="15" hidden="false" customHeight="true" outlineLevel="0" collapsed="false"/>
    <row r="19934" customFormat="false" ht="15" hidden="false" customHeight="true" outlineLevel="0" collapsed="false"/>
    <row r="19935" customFormat="false" ht="15" hidden="false" customHeight="true" outlineLevel="0" collapsed="false"/>
    <row r="19936" customFormat="false" ht="15" hidden="false" customHeight="true" outlineLevel="0" collapsed="false"/>
    <row r="19937" customFormat="false" ht="15" hidden="false" customHeight="true" outlineLevel="0" collapsed="false"/>
    <row r="19938" customFormat="false" ht="15" hidden="false" customHeight="true" outlineLevel="0" collapsed="false"/>
    <row r="19939" customFormat="false" ht="15" hidden="false" customHeight="true" outlineLevel="0" collapsed="false"/>
    <row r="19940" customFormat="false" ht="15" hidden="false" customHeight="true" outlineLevel="0" collapsed="false"/>
    <row r="19941" customFormat="false" ht="15" hidden="false" customHeight="true" outlineLevel="0" collapsed="false"/>
    <row r="19942" customFormat="false" ht="15" hidden="false" customHeight="true" outlineLevel="0" collapsed="false"/>
    <row r="19943" customFormat="false" ht="15" hidden="false" customHeight="true" outlineLevel="0" collapsed="false"/>
    <row r="19944" customFormat="false" ht="15" hidden="false" customHeight="true" outlineLevel="0" collapsed="false"/>
    <row r="19945" customFormat="false" ht="15" hidden="false" customHeight="true" outlineLevel="0" collapsed="false"/>
    <row r="19946" customFormat="false" ht="15" hidden="false" customHeight="true" outlineLevel="0" collapsed="false"/>
    <row r="19947" customFormat="false" ht="15" hidden="false" customHeight="true" outlineLevel="0" collapsed="false"/>
    <row r="19948" customFormat="false" ht="15" hidden="false" customHeight="true" outlineLevel="0" collapsed="false"/>
    <row r="19949" customFormat="false" ht="15" hidden="false" customHeight="true" outlineLevel="0" collapsed="false"/>
    <row r="19950" customFormat="false" ht="15" hidden="false" customHeight="true" outlineLevel="0" collapsed="false"/>
    <row r="19951" customFormat="false" ht="15" hidden="false" customHeight="true" outlineLevel="0" collapsed="false"/>
    <row r="19952" customFormat="false" ht="15" hidden="false" customHeight="true" outlineLevel="0" collapsed="false"/>
    <row r="19953" customFormat="false" ht="15" hidden="false" customHeight="true" outlineLevel="0" collapsed="false"/>
    <row r="19954" customFormat="false" ht="15" hidden="false" customHeight="true" outlineLevel="0" collapsed="false"/>
    <row r="19955" customFormat="false" ht="15" hidden="false" customHeight="true" outlineLevel="0" collapsed="false"/>
    <row r="19956" customFormat="false" ht="15" hidden="false" customHeight="true" outlineLevel="0" collapsed="false"/>
    <row r="19957" customFormat="false" ht="15" hidden="false" customHeight="true" outlineLevel="0" collapsed="false"/>
    <row r="19958" customFormat="false" ht="15" hidden="false" customHeight="true" outlineLevel="0" collapsed="false"/>
    <row r="19959" customFormat="false" ht="15" hidden="false" customHeight="true" outlineLevel="0" collapsed="false"/>
    <row r="19960" customFormat="false" ht="15" hidden="false" customHeight="true" outlineLevel="0" collapsed="false"/>
    <row r="19961" customFormat="false" ht="15" hidden="false" customHeight="true" outlineLevel="0" collapsed="false"/>
    <row r="19962" customFormat="false" ht="15" hidden="false" customHeight="true" outlineLevel="0" collapsed="false"/>
    <row r="19963" customFormat="false" ht="15" hidden="false" customHeight="true" outlineLevel="0" collapsed="false"/>
    <row r="19964" customFormat="false" ht="15" hidden="false" customHeight="true" outlineLevel="0" collapsed="false"/>
    <row r="19965" customFormat="false" ht="15" hidden="false" customHeight="true" outlineLevel="0" collapsed="false"/>
    <row r="19966" customFormat="false" ht="15" hidden="false" customHeight="true" outlineLevel="0" collapsed="false"/>
    <row r="19967" customFormat="false" ht="15" hidden="false" customHeight="true" outlineLevel="0" collapsed="false"/>
    <row r="19968" customFormat="false" ht="15" hidden="false" customHeight="true" outlineLevel="0" collapsed="false"/>
    <row r="19969" customFormat="false" ht="15" hidden="false" customHeight="true" outlineLevel="0" collapsed="false"/>
    <row r="19970" customFormat="false" ht="15" hidden="false" customHeight="true" outlineLevel="0" collapsed="false"/>
    <row r="19971" customFormat="false" ht="15" hidden="false" customHeight="true" outlineLevel="0" collapsed="false"/>
    <row r="19972" customFormat="false" ht="15" hidden="false" customHeight="true" outlineLevel="0" collapsed="false"/>
    <row r="19973" customFormat="false" ht="15" hidden="false" customHeight="true" outlineLevel="0" collapsed="false"/>
    <row r="19974" customFormat="false" ht="15" hidden="false" customHeight="true" outlineLevel="0" collapsed="false"/>
    <row r="19975" customFormat="false" ht="15" hidden="false" customHeight="true" outlineLevel="0" collapsed="false"/>
    <row r="19976" customFormat="false" ht="15" hidden="false" customHeight="true" outlineLevel="0" collapsed="false"/>
    <row r="19977" customFormat="false" ht="15" hidden="false" customHeight="true" outlineLevel="0" collapsed="false"/>
    <row r="19978" customFormat="false" ht="15" hidden="false" customHeight="true" outlineLevel="0" collapsed="false"/>
    <row r="19979" customFormat="false" ht="15" hidden="false" customHeight="true" outlineLevel="0" collapsed="false"/>
    <row r="19980" customFormat="false" ht="15" hidden="false" customHeight="true" outlineLevel="0" collapsed="false"/>
    <row r="19981" customFormat="false" ht="15" hidden="false" customHeight="true" outlineLevel="0" collapsed="false"/>
    <row r="19982" customFormat="false" ht="15" hidden="false" customHeight="true" outlineLevel="0" collapsed="false"/>
    <row r="19983" customFormat="false" ht="15" hidden="false" customHeight="true" outlineLevel="0" collapsed="false"/>
    <row r="19984" customFormat="false" ht="15" hidden="false" customHeight="true" outlineLevel="0" collapsed="false"/>
    <row r="19985" customFormat="false" ht="15" hidden="false" customHeight="true" outlineLevel="0" collapsed="false"/>
    <row r="19986" customFormat="false" ht="15" hidden="false" customHeight="true" outlineLevel="0" collapsed="false"/>
    <row r="19987" customFormat="false" ht="15" hidden="false" customHeight="true" outlineLevel="0" collapsed="false"/>
    <row r="19988" customFormat="false" ht="15" hidden="false" customHeight="true" outlineLevel="0" collapsed="false"/>
    <row r="19989" customFormat="false" ht="15" hidden="false" customHeight="true" outlineLevel="0" collapsed="false"/>
    <row r="19990" customFormat="false" ht="15" hidden="false" customHeight="true" outlineLevel="0" collapsed="false"/>
    <row r="19991" customFormat="false" ht="15" hidden="false" customHeight="true" outlineLevel="0" collapsed="false"/>
    <row r="19992" customFormat="false" ht="15" hidden="false" customHeight="true" outlineLevel="0" collapsed="false"/>
    <row r="19993" customFormat="false" ht="15" hidden="false" customHeight="true" outlineLevel="0" collapsed="false"/>
    <row r="19994" customFormat="false" ht="15" hidden="false" customHeight="true" outlineLevel="0" collapsed="false"/>
    <row r="19995" customFormat="false" ht="15" hidden="false" customHeight="true" outlineLevel="0" collapsed="false"/>
    <row r="19996" customFormat="false" ht="15" hidden="false" customHeight="true" outlineLevel="0" collapsed="false"/>
    <row r="19997" customFormat="false" ht="15" hidden="false" customHeight="true" outlineLevel="0" collapsed="false"/>
    <row r="19998" customFormat="false" ht="15" hidden="false" customHeight="true" outlineLevel="0" collapsed="false"/>
    <row r="19999" customFormat="false" ht="15" hidden="false" customHeight="true" outlineLevel="0" collapsed="false"/>
    <row r="20000" customFormat="false" ht="15" hidden="false" customHeight="true" outlineLevel="0" collapsed="false"/>
    <row r="20001" customFormat="false" ht="15" hidden="false" customHeight="true" outlineLevel="0" collapsed="false"/>
    <row r="20002" customFormat="false" ht="15" hidden="false" customHeight="true" outlineLevel="0" collapsed="false"/>
    <row r="20003" customFormat="false" ht="15" hidden="false" customHeight="true" outlineLevel="0" collapsed="false"/>
    <row r="20004" customFormat="false" ht="15" hidden="false" customHeight="true" outlineLevel="0" collapsed="false"/>
    <row r="20005" customFormat="false" ht="15" hidden="false" customHeight="true" outlineLevel="0" collapsed="false"/>
    <row r="20006" customFormat="false" ht="15" hidden="false" customHeight="true" outlineLevel="0" collapsed="false"/>
    <row r="20007" customFormat="false" ht="15" hidden="false" customHeight="true" outlineLevel="0" collapsed="false"/>
    <row r="20008" customFormat="false" ht="15" hidden="false" customHeight="true" outlineLevel="0" collapsed="false"/>
    <row r="20009" customFormat="false" ht="15" hidden="false" customHeight="true" outlineLevel="0" collapsed="false"/>
    <row r="20010" customFormat="false" ht="15" hidden="false" customHeight="true" outlineLevel="0" collapsed="false"/>
    <row r="20011" customFormat="false" ht="15" hidden="false" customHeight="true" outlineLevel="0" collapsed="false"/>
    <row r="20012" customFormat="false" ht="15" hidden="false" customHeight="true" outlineLevel="0" collapsed="false"/>
    <row r="20013" customFormat="false" ht="15" hidden="false" customHeight="true" outlineLevel="0" collapsed="false"/>
    <row r="20014" customFormat="false" ht="15" hidden="false" customHeight="true" outlineLevel="0" collapsed="false"/>
    <row r="20015" customFormat="false" ht="15" hidden="false" customHeight="true" outlineLevel="0" collapsed="false"/>
    <row r="20016" customFormat="false" ht="15" hidden="false" customHeight="true" outlineLevel="0" collapsed="false"/>
    <row r="20017" customFormat="false" ht="15" hidden="false" customHeight="true" outlineLevel="0" collapsed="false"/>
    <row r="20018" customFormat="false" ht="15" hidden="false" customHeight="true" outlineLevel="0" collapsed="false"/>
    <row r="20019" customFormat="false" ht="15" hidden="false" customHeight="true" outlineLevel="0" collapsed="false"/>
    <row r="20020" customFormat="false" ht="15" hidden="false" customHeight="true" outlineLevel="0" collapsed="false"/>
    <row r="20021" customFormat="false" ht="15" hidden="false" customHeight="true" outlineLevel="0" collapsed="false"/>
    <row r="20022" customFormat="false" ht="15" hidden="false" customHeight="true" outlineLevel="0" collapsed="false"/>
    <row r="20023" customFormat="false" ht="15" hidden="false" customHeight="true" outlineLevel="0" collapsed="false"/>
    <row r="20024" customFormat="false" ht="15" hidden="false" customHeight="true" outlineLevel="0" collapsed="false"/>
    <row r="20025" customFormat="false" ht="15" hidden="false" customHeight="true" outlineLevel="0" collapsed="false"/>
    <row r="20026" customFormat="false" ht="15" hidden="false" customHeight="true" outlineLevel="0" collapsed="false"/>
    <row r="20027" customFormat="false" ht="15" hidden="false" customHeight="true" outlineLevel="0" collapsed="false"/>
    <row r="20028" customFormat="false" ht="15" hidden="false" customHeight="true" outlineLevel="0" collapsed="false"/>
    <row r="20029" customFormat="false" ht="15" hidden="false" customHeight="true" outlineLevel="0" collapsed="false"/>
    <row r="20030" customFormat="false" ht="15" hidden="false" customHeight="true" outlineLevel="0" collapsed="false"/>
    <row r="20031" customFormat="false" ht="15" hidden="false" customHeight="true" outlineLevel="0" collapsed="false"/>
    <row r="20032" customFormat="false" ht="15" hidden="false" customHeight="true" outlineLevel="0" collapsed="false"/>
    <row r="20033" customFormat="false" ht="15" hidden="false" customHeight="true" outlineLevel="0" collapsed="false"/>
    <row r="20034" customFormat="false" ht="15" hidden="false" customHeight="true" outlineLevel="0" collapsed="false"/>
    <row r="20035" customFormat="false" ht="15" hidden="false" customHeight="true" outlineLevel="0" collapsed="false"/>
    <row r="20036" customFormat="false" ht="15" hidden="false" customHeight="true" outlineLevel="0" collapsed="false"/>
    <row r="20037" customFormat="false" ht="15" hidden="false" customHeight="true" outlineLevel="0" collapsed="false"/>
    <row r="20038" customFormat="false" ht="15" hidden="false" customHeight="true" outlineLevel="0" collapsed="false"/>
    <row r="20039" customFormat="false" ht="15" hidden="false" customHeight="true" outlineLevel="0" collapsed="false"/>
    <row r="20040" customFormat="false" ht="15" hidden="false" customHeight="true" outlineLevel="0" collapsed="false"/>
    <row r="20041" customFormat="false" ht="15" hidden="false" customHeight="true" outlineLevel="0" collapsed="false"/>
    <row r="20042" customFormat="false" ht="15" hidden="false" customHeight="true" outlineLevel="0" collapsed="false"/>
    <row r="20043" customFormat="false" ht="15" hidden="false" customHeight="true" outlineLevel="0" collapsed="false"/>
    <row r="20044" customFormat="false" ht="15" hidden="false" customHeight="true" outlineLevel="0" collapsed="false"/>
    <row r="20045" customFormat="false" ht="15" hidden="false" customHeight="true" outlineLevel="0" collapsed="false"/>
    <row r="20046" customFormat="false" ht="15" hidden="false" customHeight="true" outlineLevel="0" collapsed="false"/>
    <row r="20047" customFormat="false" ht="15" hidden="false" customHeight="true" outlineLevel="0" collapsed="false"/>
    <row r="20048" customFormat="false" ht="15" hidden="false" customHeight="true" outlineLevel="0" collapsed="false"/>
    <row r="20049" customFormat="false" ht="15" hidden="false" customHeight="true" outlineLevel="0" collapsed="false"/>
    <row r="20050" customFormat="false" ht="15" hidden="false" customHeight="true" outlineLevel="0" collapsed="false"/>
    <row r="20051" customFormat="false" ht="15" hidden="false" customHeight="true" outlineLevel="0" collapsed="false"/>
    <row r="20052" customFormat="false" ht="15" hidden="false" customHeight="true" outlineLevel="0" collapsed="false"/>
    <row r="20053" customFormat="false" ht="15" hidden="false" customHeight="true" outlineLevel="0" collapsed="false"/>
    <row r="20054" customFormat="false" ht="15" hidden="false" customHeight="true" outlineLevel="0" collapsed="false"/>
    <row r="20055" customFormat="false" ht="15" hidden="false" customHeight="true" outlineLevel="0" collapsed="false"/>
    <row r="20056" customFormat="false" ht="15" hidden="false" customHeight="true" outlineLevel="0" collapsed="false"/>
    <row r="20057" customFormat="false" ht="15" hidden="false" customHeight="true" outlineLevel="0" collapsed="false"/>
    <row r="20058" customFormat="false" ht="15" hidden="false" customHeight="true" outlineLevel="0" collapsed="false"/>
    <row r="20059" customFormat="false" ht="15" hidden="false" customHeight="true" outlineLevel="0" collapsed="false"/>
    <row r="20060" customFormat="false" ht="15" hidden="false" customHeight="true" outlineLevel="0" collapsed="false"/>
    <row r="20061" customFormat="false" ht="15" hidden="false" customHeight="true" outlineLevel="0" collapsed="false"/>
    <row r="20062" customFormat="false" ht="15" hidden="false" customHeight="true" outlineLevel="0" collapsed="false"/>
    <row r="20063" customFormat="false" ht="15" hidden="false" customHeight="true" outlineLevel="0" collapsed="false"/>
    <row r="20064" customFormat="false" ht="15" hidden="false" customHeight="true" outlineLevel="0" collapsed="false"/>
    <row r="20065" customFormat="false" ht="15" hidden="false" customHeight="true" outlineLevel="0" collapsed="false"/>
    <row r="20066" customFormat="false" ht="15" hidden="false" customHeight="true" outlineLevel="0" collapsed="false"/>
    <row r="20067" customFormat="false" ht="15" hidden="false" customHeight="true" outlineLevel="0" collapsed="false"/>
    <row r="20068" customFormat="false" ht="15" hidden="false" customHeight="true" outlineLevel="0" collapsed="false"/>
    <row r="20069" customFormat="false" ht="15" hidden="false" customHeight="true" outlineLevel="0" collapsed="false"/>
    <row r="20070" customFormat="false" ht="15" hidden="false" customHeight="true" outlineLevel="0" collapsed="false"/>
    <row r="20071" customFormat="false" ht="15" hidden="false" customHeight="true" outlineLevel="0" collapsed="false"/>
    <row r="20072" customFormat="false" ht="15" hidden="false" customHeight="true" outlineLevel="0" collapsed="false"/>
    <row r="20073" customFormat="false" ht="15" hidden="false" customHeight="true" outlineLevel="0" collapsed="false"/>
    <row r="20074" customFormat="false" ht="15" hidden="false" customHeight="true" outlineLevel="0" collapsed="false"/>
    <row r="20075" customFormat="false" ht="15" hidden="false" customHeight="true" outlineLevel="0" collapsed="false"/>
    <row r="20076" customFormat="false" ht="15" hidden="false" customHeight="true" outlineLevel="0" collapsed="false"/>
    <row r="20077" customFormat="false" ht="15" hidden="false" customHeight="true" outlineLevel="0" collapsed="false"/>
    <row r="20078" customFormat="false" ht="15" hidden="false" customHeight="true" outlineLevel="0" collapsed="false"/>
    <row r="20079" customFormat="false" ht="15" hidden="false" customHeight="true" outlineLevel="0" collapsed="false"/>
    <row r="20080" customFormat="false" ht="15" hidden="false" customHeight="true" outlineLevel="0" collapsed="false"/>
    <row r="20081" customFormat="false" ht="15" hidden="false" customHeight="true" outlineLevel="0" collapsed="false"/>
    <row r="20082" customFormat="false" ht="15" hidden="false" customHeight="true" outlineLevel="0" collapsed="false"/>
    <row r="20083" customFormat="false" ht="15" hidden="false" customHeight="true" outlineLevel="0" collapsed="false"/>
    <row r="20084" customFormat="false" ht="15" hidden="false" customHeight="true" outlineLevel="0" collapsed="false"/>
    <row r="20085" customFormat="false" ht="15" hidden="false" customHeight="true" outlineLevel="0" collapsed="false"/>
    <row r="20086" customFormat="false" ht="15" hidden="false" customHeight="true" outlineLevel="0" collapsed="false"/>
    <row r="20087" customFormat="false" ht="15" hidden="false" customHeight="true" outlineLevel="0" collapsed="false"/>
    <row r="20088" customFormat="false" ht="15" hidden="false" customHeight="true" outlineLevel="0" collapsed="false"/>
    <row r="20089" customFormat="false" ht="15" hidden="false" customHeight="true" outlineLevel="0" collapsed="false"/>
    <row r="20090" customFormat="false" ht="15" hidden="false" customHeight="true" outlineLevel="0" collapsed="false"/>
    <row r="20091" customFormat="false" ht="15" hidden="false" customHeight="true" outlineLevel="0" collapsed="false"/>
    <row r="20092" customFormat="false" ht="15" hidden="false" customHeight="true" outlineLevel="0" collapsed="false"/>
    <row r="20093" customFormat="false" ht="15" hidden="false" customHeight="true" outlineLevel="0" collapsed="false"/>
    <row r="20094" customFormat="false" ht="15" hidden="false" customHeight="true" outlineLevel="0" collapsed="false"/>
    <row r="20095" customFormat="false" ht="15" hidden="false" customHeight="true" outlineLevel="0" collapsed="false"/>
    <row r="20096" customFormat="false" ht="15" hidden="false" customHeight="true" outlineLevel="0" collapsed="false"/>
    <row r="20097" customFormat="false" ht="15" hidden="false" customHeight="true" outlineLevel="0" collapsed="false"/>
    <row r="20098" customFormat="false" ht="15" hidden="false" customHeight="true" outlineLevel="0" collapsed="false"/>
    <row r="20099" customFormat="false" ht="15" hidden="false" customHeight="true" outlineLevel="0" collapsed="false"/>
    <row r="20100" customFormat="false" ht="15" hidden="false" customHeight="true" outlineLevel="0" collapsed="false"/>
    <row r="20101" customFormat="false" ht="15" hidden="false" customHeight="true" outlineLevel="0" collapsed="false"/>
    <row r="20102" customFormat="false" ht="15" hidden="false" customHeight="true" outlineLevel="0" collapsed="false"/>
    <row r="20103" customFormat="false" ht="15" hidden="false" customHeight="true" outlineLevel="0" collapsed="false"/>
    <row r="20104" customFormat="false" ht="15" hidden="false" customHeight="true" outlineLevel="0" collapsed="false"/>
    <row r="20105" customFormat="false" ht="15" hidden="false" customHeight="true" outlineLevel="0" collapsed="false"/>
    <row r="20106" customFormat="false" ht="15" hidden="false" customHeight="true" outlineLevel="0" collapsed="false"/>
    <row r="20107" customFormat="false" ht="15" hidden="false" customHeight="true" outlineLevel="0" collapsed="false"/>
    <row r="20108" customFormat="false" ht="15" hidden="false" customHeight="true" outlineLevel="0" collapsed="false"/>
    <row r="20109" customFormat="false" ht="15" hidden="false" customHeight="true" outlineLevel="0" collapsed="false"/>
    <row r="20110" customFormat="false" ht="15" hidden="false" customHeight="true" outlineLevel="0" collapsed="false"/>
    <row r="20111" customFormat="false" ht="15" hidden="false" customHeight="true" outlineLevel="0" collapsed="false"/>
    <row r="20112" customFormat="false" ht="15" hidden="false" customHeight="true" outlineLevel="0" collapsed="false"/>
    <row r="20113" customFormat="false" ht="15" hidden="false" customHeight="true" outlineLevel="0" collapsed="false"/>
    <row r="20114" customFormat="false" ht="15" hidden="false" customHeight="true" outlineLevel="0" collapsed="false"/>
    <row r="20115" customFormat="false" ht="15" hidden="false" customHeight="true" outlineLevel="0" collapsed="false"/>
    <row r="20116" customFormat="false" ht="15" hidden="false" customHeight="true" outlineLevel="0" collapsed="false"/>
    <row r="20117" customFormat="false" ht="15" hidden="false" customHeight="true" outlineLevel="0" collapsed="false"/>
    <row r="20118" customFormat="false" ht="15" hidden="false" customHeight="true" outlineLevel="0" collapsed="false"/>
    <row r="20119" customFormat="false" ht="15" hidden="false" customHeight="true" outlineLevel="0" collapsed="false"/>
    <row r="20120" customFormat="false" ht="15" hidden="false" customHeight="true" outlineLevel="0" collapsed="false"/>
    <row r="20121" customFormat="false" ht="15" hidden="false" customHeight="true" outlineLevel="0" collapsed="false"/>
    <row r="20122" customFormat="false" ht="15" hidden="false" customHeight="true" outlineLevel="0" collapsed="false"/>
    <row r="20123" customFormat="false" ht="15" hidden="false" customHeight="true" outlineLevel="0" collapsed="false"/>
    <row r="20124" customFormat="false" ht="15" hidden="false" customHeight="true" outlineLevel="0" collapsed="false"/>
    <row r="20125" customFormat="false" ht="15" hidden="false" customHeight="true" outlineLevel="0" collapsed="false"/>
    <row r="20126" customFormat="false" ht="15" hidden="false" customHeight="true" outlineLevel="0" collapsed="false"/>
    <row r="20127" customFormat="false" ht="15" hidden="false" customHeight="true" outlineLevel="0" collapsed="false"/>
    <row r="20128" customFormat="false" ht="15" hidden="false" customHeight="true" outlineLevel="0" collapsed="false"/>
    <row r="20129" customFormat="false" ht="15" hidden="false" customHeight="true" outlineLevel="0" collapsed="false"/>
    <row r="20130" customFormat="false" ht="15" hidden="false" customHeight="true" outlineLevel="0" collapsed="false"/>
    <row r="20131" customFormat="false" ht="15" hidden="false" customHeight="true" outlineLevel="0" collapsed="false"/>
    <row r="20132" customFormat="false" ht="15" hidden="false" customHeight="true" outlineLevel="0" collapsed="false"/>
    <row r="20133" customFormat="false" ht="15" hidden="false" customHeight="true" outlineLevel="0" collapsed="false"/>
    <row r="20134" customFormat="false" ht="15" hidden="false" customHeight="true" outlineLevel="0" collapsed="false"/>
    <row r="20135" customFormat="false" ht="15" hidden="false" customHeight="true" outlineLevel="0" collapsed="false"/>
    <row r="20136" customFormat="false" ht="15" hidden="false" customHeight="true" outlineLevel="0" collapsed="false"/>
    <row r="20137" customFormat="false" ht="15" hidden="false" customHeight="true" outlineLevel="0" collapsed="false"/>
    <row r="20138" customFormat="false" ht="15" hidden="false" customHeight="true" outlineLevel="0" collapsed="false"/>
    <row r="20139" customFormat="false" ht="15" hidden="false" customHeight="true" outlineLevel="0" collapsed="false"/>
    <row r="20140" customFormat="false" ht="15" hidden="false" customHeight="true" outlineLevel="0" collapsed="false"/>
    <row r="20141" customFormat="false" ht="15" hidden="false" customHeight="true" outlineLevel="0" collapsed="false"/>
    <row r="20142" customFormat="false" ht="15" hidden="false" customHeight="true" outlineLevel="0" collapsed="false"/>
    <row r="20143" customFormat="false" ht="15" hidden="false" customHeight="true" outlineLevel="0" collapsed="false"/>
    <row r="20144" customFormat="false" ht="15" hidden="false" customHeight="true" outlineLevel="0" collapsed="false"/>
    <row r="20145" customFormat="false" ht="15" hidden="false" customHeight="true" outlineLevel="0" collapsed="false"/>
    <row r="20146" customFormat="false" ht="15" hidden="false" customHeight="true" outlineLevel="0" collapsed="false"/>
    <row r="20147" customFormat="false" ht="15" hidden="false" customHeight="true" outlineLevel="0" collapsed="false"/>
    <row r="20148" customFormat="false" ht="15" hidden="false" customHeight="true" outlineLevel="0" collapsed="false"/>
    <row r="20149" customFormat="false" ht="15" hidden="false" customHeight="true" outlineLevel="0" collapsed="false"/>
    <row r="20150" customFormat="false" ht="15" hidden="false" customHeight="true" outlineLevel="0" collapsed="false"/>
    <row r="20151" customFormat="false" ht="15" hidden="false" customHeight="true" outlineLevel="0" collapsed="false"/>
    <row r="20152" customFormat="false" ht="15" hidden="false" customHeight="true" outlineLevel="0" collapsed="false"/>
    <row r="20153" customFormat="false" ht="15" hidden="false" customHeight="true" outlineLevel="0" collapsed="false"/>
    <row r="20154" customFormat="false" ht="15" hidden="false" customHeight="true" outlineLevel="0" collapsed="false"/>
    <row r="20155" customFormat="false" ht="15" hidden="false" customHeight="true" outlineLevel="0" collapsed="false"/>
    <row r="20156" customFormat="false" ht="15" hidden="false" customHeight="true" outlineLevel="0" collapsed="false"/>
    <row r="20157" customFormat="false" ht="15" hidden="false" customHeight="true" outlineLevel="0" collapsed="false"/>
    <row r="20158" customFormat="false" ht="15" hidden="false" customHeight="true" outlineLevel="0" collapsed="false"/>
    <row r="20159" customFormat="false" ht="15" hidden="false" customHeight="true" outlineLevel="0" collapsed="false"/>
    <row r="20160" customFormat="false" ht="15" hidden="false" customHeight="true" outlineLevel="0" collapsed="false"/>
    <row r="20161" customFormat="false" ht="15" hidden="false" customHeight="true" outlineLevel="0" collapsed="false"/>
    <row r="20162" customFormat="false" ht="15" hidden="false" customHeight="true" outlineLevel="0" collapsed="false"/>
    <row r="20163" customFormat="false" ht="15" hidden="false" customHeight="true" outlineLevel="0" collapsed="false"/>
    <row r="20164" customFormat="false" ht="15" hidden="false" customHeight="true" outlineLevel="0" collapsed="false"/>
    <row r="20165" customFormat="false" ht="15" hidden="false" customHeight="true" outlineLevel="0" collapsed="false"/>
    <row r="20166" customFormat="false" ht="15" hidden="false" customHeight="true" outlineLevel="0" collapsed="false"/>
    <row r="20167" customFormat="false" ht="15" hidden="false" customHeight="true" outlineLevel="0" collapsed="false"/>
    <row r="20168" customFormat="false" ht="15" hidden="false" customHeight="true" outlineLevel="0" collapsed="false"/>
    <row r="20169" customFormat="false" ht="15" hidden="false" customHeight="true" outlineLevel="0" collapsed="false"/>
    <row r="20170" customFormat="false" ht="15" hidden="false" customHeight="true" outlineLevel="0" collapsed="false"/>
    <row r="20171" customFormat="false" ht="15" hidden="false" customHeight="true" outlineLevel="0" collapsed="false"/>
    <row r="20172" customFormat="false" ht="15" hidden="false" customHeight="true" outlineLevel="0" collapsed="false"/>
    <row r="20173" customFormat="false" ht="15" hidden="false" customHeight="true" outlineLevel="0" collapsed="false"/>
    <row r="20174" customFormat="false" ht="15" hidden="false" customHeight="true" outlineLevel="0" collapsed="false"/>
    <row r="20175" customFormat="false" ht="15" hidden="false" customHeight="true" outlineLevel="0" collapsed="false"/>
    <row r="20176" customFormat="false" ht="15" hidden="false" customHeight="true" outlineLevel="0" collapsed="false"/>
    <row r="20177" customFormat="false" ht="15" hidden="false" customHeight="true" outlineLevel="0" collapsed="false"/>
    <row r="20178" customFormat="false" ht="15" hidden="false" customHeight="true" outlineLevel="0" collapsed="false"/>
    <row r="20179" customFormat="false" ht="15" hidden="false" customHeight="true" outlineLevel="0" collapsed="false"/>
    <row r="20180" customFormat="false" ht="15" hidden="false" customHeight="true" outlineLevel="0" collapsed="false"/>
    <row r="20181" customFormat="false" ht="15" hidden="false" customHeight="true" outlineLevel="0" collapsed="false"/>
    <row r="20182" customFormat="false" ht="15" hidden="false" customHeight="true" outlineLevel="0" collapsed="false"/>
    <row r="20183" customFormat="false" ht="15" hidden="false" customHeight="true" outlineLevel="0" collapsed="false"/>
    <row r="20184" customFormat="false" ht="15" hidden="false" customHeight="true" outlineLevel="0" collapsed="false"/>
    <row r="20185" customFormat="false" ht="15" hidden="false" customHeight="true" outlineLevel="0" collapsed="false"/>
    <row r="20186" customFormat="false" ht="15" hidden="false" customHeight="true" outlineLevel="0" collapsed="false"/>
    <row r="20187" customFormat="false" ht="15" hidden="false" customHeight="true" outlineLevel="0" collapsed="false"/>
    <row r="20188" customFormat="false" ht="15" hidden="false" customHeight="true" outlineLevel="0" collapsed="false"/>
    <row r="20189" customFormat="false" ht="15" hidden="false" customHeight="true" outlineLevel="0" collapsed="false"/>
    <row r="20190" customFormat="false" ht="15" hidden="false" customHeight="true" outlineLevel="0" collapsed="false"/>
    <row r="20191" customFormat="false" ht="15" hidden="false" customHeight="true" outlineLevel="0" collapsed="false"/>
    <row r="20192" customFormat="false" ht="15" hidden="false" customHeight="true" outlineLevel="0" collapsed="false"/>
    <row r="20193" customFormat="false" ht="15" hidden="false" customHeight="true" outlineLevel="0" collapsed="false"/>
    <row r="20194" customFormat="false" ht="15" hidden="false" customHeight="true" outlineLevel="0" collapsed="false"/>
    <row r="20195" customFormat="false" ht="15" hidden="false" customHeight="true" outlineLevel="0" collapsed="false"/>
    <row r="20196" customFormat="false" ht="15" hidden="false" customHeight="true" outlineLevel="0" collapsed="false"/>
    <row r="20197" customFormat="false" ht="15" hidden="false" customHeight="true" outlineLevel="0" collapsed="false"/>
    <row r="20198" customFormat="false" ht="15" hidden="false" customHeight="true" outlineLevel="0" collapsed="false"/>
    <row r="20199" customFormat="false" ht="15" hidden="false" customHeight="true" outlineLevel="0" collapsed="false"/>
    <row r="20200" customFormat="false" ht="15" hidden="false" customHeight="true" outlineLevel="0" collapsed="false"/>
    <row r="20201" customFormat="false" ht="15" hidden="false" customHeight="true" outlineLevel="0" collapsed="false"/>
    <row r="20202" customFormat="false" ht="15" hidden="false" customHeight="true" outlineLevel="0" collapsed="false"/>
    <row r="20203" customFormat="false" ht="15" hidden="false" customHeight="true" outlineLevel="0" collapsed="false"/>
    <row r="20204" customFormat="false" ht="15" hidden="false" customHeight="true" outlineLevel="0" collapsed="false"/>
    <row r="20205" customFormat="false" ht="15" hidden="false" customHeight="true" outlineLevel="0" collapsed="false"/>
    <row r="20206" customFormat="false" ht="15" hidden="false" customHeight="true" outlineLevel="0" collapsed="false"/>
    <row r="20207" customFormat="false" ht="15" hidden="false" customHeight="true" outlineLevel="0" collapsed="false"/>
    <row r="20208" customFormat="false" ht="15" hidden="false" customHeight="true" outlineLevel="0" collapsed="false"/>
    <row r="20209" customFormat="false" ht="15" hidden="false" customHeight="true" outlineLevel="0" collapsed="false"/>
    <row r="20210" customFormat="false" ht="15" hidden="false" customHeight="true" outlineLevel="0" collapsed="false"/>
    <row r="20211" customFormat="false" ht="15" hidden="false" customHeight="true" outlineLevel="0" collapsed="false"/>
    <row r="20212" customFormat="false" ht="15" hidden="false" customHeight="true" outlineLevel="0" collapsed="false"/>
    <row r="20213" customFormat="false" ht="15" hidden="false" customHeight="true" outlineLevel="0" collapsed="false"/>
    <row r="20214" customFormat="false" ht="15" hidden="false" customHeight="true" outlineLevel="0" collapsed="false"/>
    <row r="20215" customFormat="false" ht="15" hidden="false" customHeight="true" outlineLevel="0" collapsed="false"/>
    <row r="20216" customFormat="false" ht="15" hidden="false" customHeight="true" outlineLevel="0" collapsed="false"/>
    <row r="20217" customFormat="false" ht="15" hidden="false" customHeight="true" outlineLevel="0" collapsed="false"/>
    <row r="20218" customFormat="false" ht="15" hidden="false" customHeight="true" outlineLevel="0" collapsed="false"/>
    <row r="20219" customFormat="false" ht="15" hidden="false" customHeight="true" outlineLevel="0" collapsed="false"/>
    <row r="20220" customFormat="false" ht="15" hidden="false" customHeight="true" outlineLevel="0" collapsed="false"/>
    <row r="20221" customFormat="false" ht="15" hidden="false" customHeight="true" outlineLevel="0" collapsed="false"/>
    <row r="20222" customFormat="false" ht="15" hidden="false" customHeight="true" outlineLevel="0" collapsed="false"/>
    <row r="20223" customFormat="false" ht="15" hidden="false" customHeight="true" outlineLevel="0" collapsed="false"/>
    <row r="20224" customFormat="false" ht="15" hidden="false" customHeight="true" outlineLevel="0" collapsed="false"/>
    <row r="20225" customFormat="false" ht="15" hidden="false" customHeight="true" outlineLevel="0" collapsed="false"/>
    <row r="20226" customFormat="false" ht="15" hidden="false" customHeight="true" outlineLevel="0" collapsed="false"/>
    <row r="20227" customFormat="false" ht="15" hidden="false" customHeight="true" outlineLevel="0" collapsed="false"/>
    <row r="20228" customFormat="false" ht="15" hidden="false" customHeight="true" outlineLevel="0" collapsed="false"/>
    <row r="20229" customFormat="false" ht="15" hidden="false" customHeight="true" outlineLevel="0" collapsed="false"/>
    <row r="20230" customFormat="false" ht="15" hidden="false" customHeight="true" outlineLevel="0" collapsed="false"/>
    <row r="20231" customFormat="false" ht="15" hidden="false" customHeight="true" outlineLevel="0" collapsed="false"/>
    <row r="20232" customFormat="false" ht="15" hidden="false" customHeight="true" outlineLevel="0" collapsed="false"/>
    <row r="20233" customFormat="false" ht="15" hidden="false" customHeight="true" outlineLevel="0" collapsed="false"/>
    <row r="20234" customFormat="false" ht="15" hidden="false" customHeight="true" outlineLevel="0" collapsed="false"/>
    <row r="20235" customFormat="false" ht="15" hidden="false" customHeight="true" outlineLevel="0" collapsed="false"/>
    <row r="20236" customFormat="false" ht="15" hidden="false" customHeight="true" outlineLevel="0" collapsed="false"/>
    <row r="20237" customFormat="false" ht="15" hidden="false" customHeight="true" outlineLevel="0" collapsed="false"/>
    <row r="20238" customFormat="false" ht="15" hidden="false" customHeight="true" outlineLevel="0" collapsed="false"/>
    <row r="20239" customFormat="false" ht="15" hidden="false" customHeight="true" outlineLevel="0" collapsed="false"/>
    <row r="20240" customFormat="false" ht="15" hidden="false" customHeight="true" outlineLevel="0" collapsed="false"/>
    <row r="20241" customFormat="false" ht="15" hidden="false" customHeight="true" outlineLevel="0" collapsed="false"/>
    <row r="20242" customFormat="false" ht="15" hidden="false" customHeight="true" outlineLevel="0" collapsed="false"/>
    <row r="20243" customFormat="false" ht="15" hidden="false" customHeight="true" outlineLevel="0" collapsed="false"/>
    <row r="20244" customFormat="false" ht="15" hidden="false" customHeight="true" outlineLevel="0" collapsed="false"/>
    <row r="20245" customFormat="false" ht="15" hidden="false" customHeight="true" outlineLevel="0" collapsed="false"/>
    <row r="20246" customFormat="false" ht="15" hidden="false" customHeight="true" outlineLevel="0" collapsed="false"/>
    <row r="20247" customFormat="false" ht="15" hidden="false" customHeight="true" outlineLevel="0" collapsed="false"/>
    <row r="20248" customFormat="false" ht="15" hidden="false" customHeight="true" outlineLevel="0" collapsed="false"/>
    <row r="20249" customFormat="false" ht="15" hidden="false" customHeight="true" outlineLevel="0" collapsed="false"/>
    <row r="20250" customFormat="false" ht="15" hidden="false" customHeight="true" outlineLevel="0" collapsed="false"/>
    <row r="20251" customFormat="false" ht="15" hidden="false" customHeight="true" outlineLevel="0" collapsed="false"/>
    <row r="20252" customFormat="false" ht="15" hidden="false" customHeight="true" outlineLevel="0" collapsed="false"/>
    <row r="20253" customFormat="false" ht="15" hidden="false" customHeight="true" outlineLevel="0" collapsed="false"/>
    <row r="20254" customFormat="false" ht="15" hidden="false" customHeight="true" outlineLevel="0" collapsed="false"/>
    <row r="20255" customFormat="false" ht="15" hidden="false" customHeight="true" outlineLevel="0" collapsed="false"/>
    <row r="20256" customFormat="false" ht="15" hidden="false" customHeight="true" outlineLevel="0" collapsed="false"/>
    <row r="20257" customFormat="false" ht="15" hidden="false" customHeight="true" outlineLevel="0" collapsed="false"/>
    <row r="20258" customFormat="false" ht="15" hidden="false" customHeight="true" outlineLevel="0" collapsed="false"/>
    <row r="20259" customFormat="false" ht="15" hidden="false" customHeight="true" outlineLevel="0" collapsed="false"/>
    <row r="20260" customFormat="false" ht="15" hidden="false" customHeight="true" outlineLevel="0" collapsed="false"/>
    <row r="20261" customFormat="false" ht="15" hidden="false" customHeight="true" outlineLevel="0" collapsed="false"/>
    <row r="20262" customFormat="false" ht="15" hidden="false" customHeight="true" outlineLevel="0" collapsed="false"/>
    <row r="20263" customFormat="false" ht="15" hidden="false" customHeight="true" outlineLevel="0" collapsed="false"/>
    <row r="20264" customFormat="false" ht="15" hidden="false" customHeight="true" outlineLevel="0" collapsed="false"/>
    <row r="20265" customFormat="false" ht="15" hidden="false" customHeight="true" outlineLevel="0" collapsed="false"/>
    <row r="20266" customFormat="false" ht="15" hidden="false" customHeight="true" outlineLevel="0" collapsed="false"/>
    <row r="20267" customFormat="false" ht="15" hidden="false" customHeight="true" outlineLevel="0" collapsed="false"/>
    <row r="20268" customFormat="false" ht="15" hidden="false" customHeight="true" outlineLevel="0" collapsed="false"/>
    <row r="20269" customFormat="false" ht="15" hidden="false" customHeight="true" outlineLevel="0" collapsed="false"/>
    <row r="20270" customFormat="false" ht="15" hidden="false" customHeight="true" outlineLevel="0" collapsed="false"/>
    <row r="20271" customFormat="false" ht="15" hidden="false" customHeight="true" outlineLevel="0" collapsed="false"/>
    <row r="20272" customFormat="false" ht="15" hidden="false" customHeight="true" outlineLevel="0" collapsed="false"/>
    <row r="20273" customFormat="false" ht="15" hidden="false" customHeight="true" outlineLevel="0" collapsed="false"/>
    <row r="20274" customFormat="false" ht="15" hidden="false" customHeight="true" outlineLevel="0" collapsed="false"/>
    <row r="20275" customFormat="false" ht="15" hidden="false" customHeight="true" outlineLevel="0" collapsed="false"/>
    <row r="20276" customFormat="false" ht="15" hidden="false" customHeight="true" outlineLevel="0" collapsed="false"/>
    <row r="20277" customFormat="false" ht="15" hidden="false" customHeight="true" outlineLevel="0" collapsed="false"/>
    <row r="20278" customFormat="false" ht="15" hidden="false" customHeight="true" outlineLevel="0" collapsed="false"/>
    <row r="20279" customFormat="false" ht="15" hidden="false" customHeight="true" outlineLevel="0" collapsed="false"/>
    <row r="20280" customFormat="false" ht="15" hidden="false" customHeight="true" outlineLevel="0" collapsed="false"/>
    <row r="20281" customFormat="false" ht="15" hidden="false" customHeight="true" outlineLevel="0" collapsed="false"/>
    <row r="20282" customFormat="false" ht="15" hidden="false" customHeight="true" outlineLevel="0" collapsed="false"/>
    <row r="20283" customFormat="false" ht="15" hidden="false" customHeight="true" outlineLevel="0" collapsed="false"/>
    <row r="20284" customFormat="false" ht="15" hidden="false" customHeight="true" outlineLevel="0" collapsed="false"/>
    <row r="20285" customFormat="false" ht="15" hidden="false" customHeight="true" outlineLevel="0" collapsed="false"/>
    <row r="20286" customFormat="false" ht="15" hidden="false" customHeight="true" outlineLevel="0" collapsed="false"/>
    <row r="20287" customFormat="false" ht="15" hidden="false" customHeight="true" outlineLevel="0" collapsed="false"/>
    <row r="20288" customFormat="false" ht="15" hidden="false" customHeight="true" outlineLevel="0" collapsed="false"/>
    <row r="20289" customFormat="false" ht="15" hidden="false" customHeight="true" outlineLevel="0" collapsed="false"/>
    <row r="20290" customFormat="false" ht="15" hidden="false" customHeight="true" outlineLevel="0" collapsed="false"/>
    <row r="20291" customFormat="false" ht="15" hidden="false" customHeight="true" outlineLevel="0" collapsed="false"/>
    <row r="20292" customFormat="false" ht="15" hidden="false" customHeight="true" outlineLevel="0" collapsed="false"/>
    <row r="20293" customFormat="false" ht="15" hidden="false" customHeight="true" outlineLevel="0" collapsed="false"/>
    <row r="20294" customFormat="false" ht="15" hidden="false" customHeight="true" outlineLevel="0" collapsed="false"/>
    <row r="20295" customFormat="false" ht="15" hidden="false" customHeight="true" outlineLevel="0" collapsed="false"/>
    <row r="20296" customFormat="false" ht="15" hidden="false" customHeight="true" outlineLevel="0" collapsed="false"/>
    <row r="20297" customFormat="false" ht="15" hidden="false" customHeight="true" outlineLevel="0" collapsed="false"/>
    <row r="20298" customFormat="false" ht="15" hidden="false" customHeight="true" outlineLevel="0" collapsed="false"/>
    <row r="20299" customFormat="false" ht="15" hidden="false" customHeight="true" outlineLevel="0" collapsed="false"/>
    <row r="20300" customFormat="false" ht="15" hidden="false" customHeight="true" outlineLevel="0" collapsed="false"/>
    <row r="20301" customFormat="false" ht="15" hidden="false" customHeight="true" outlineLevel="0" collapsed="false"/>
    <row r="20302" customFormat="false" ht="15" hidden="false" customHeight="true" outlineLevel="0" collapsed="false"/>
    <row r="20303" customFormat="false" ht="15" hidden="false" customHeight="true" outlineLevel="0" collapsed="false"/>
    <row r="20304" customFormat="false" ht="15" hidden="false" customHeight="true" outlineLevel="0" collapsed="false"/>
    <row r="20305" customFormat="false" ht="15" hidden="false" customHeight="true" outlineLevel="0" collapsed="false"/>
    <row r="20306" customFormat="false" ht="15" hidden="false" customHeight="true" outlineLevel="0" collapsed="false"/>
    <row r="20307" customFormat="false" ht="15" hidden="false" customHeight="true" outlineLevel="0" collapsed="false"/>
    <row r="20308" customFormat="false" ht="15" hidden="false" customHeight="true" outlineLevel="0" collapsed="false"/>
    <row r="20309" customFormat="false" ht="15" hidden="false" customHeight="true" outlineLevel="0" collapsed="false"/>
    <row r="20310" customFormat="false" ht="15" hidden="false" customHeight="true" outlineLevel="0" collapsed="false"/>
    <row r="20311" customFormat="false" ht="15" hidden="false" customHeight="true" outlineLevel="0" collapsed="false"/>
    <row r="20312" customFormat="false" ht="15" hidden="false" customHeight="true" outlineLevel="0" collapsed="false"/>
    <row r="20313" customFormat="false" ht="15" hidden="false" customHeight="true" outlineLevel="0" collapsed="false"/>
    <row r="20314" customFormat="false" ht="15" hidden="false" customHeight="true" outlineLevel="0" collapsed="false"/>
    <row r="20315" customFormat="false" ht="15" hidden="false" customHeight="true" outlineLevel="0" collapsed="false"/>
    <row r="20316" customFormat="false" ht="15" hidden="false" customHeight="true" outlineLevel="0" collapsed="false"/>
    <row r="20317" customFormat="false" ht="15" hidden="false" customHeight="true" outlineLevel="0" collapsed="false"/>
    <row r="20318" customFormat="false" ht="15" hidden="false" customHeight="true" outlineLevel="0" collapsed="false"/>
    <row r="20319" customFormat="false" ht="15" hidden="false" customHeight="true" outlineLevel="0" collapsed="false"/>
    <row r="20320" customFormat="false" ht="15" hidden="false" customHeight="true" outlineLevel="0" collapsed="false"/>
    <row r="20321" customFormat="false" ht="15" hidden="false" customHeight="true" outlineLevel="0" collapsed="false"/>
    <row r="20322" customFormat="false" ht="15" hidden="false" customHeight="true" outlineLevel="0" collapsed="false"/>
    <row r="20323" customFormat="false" ht="15" hidden="false" customHeight="true" outlineLevel="0" collapsed="false"/>
    <row r="20324" customFormat="false" ht="15" hidden="false" customHeight="true" outlineLevel="0" collapsed="false"/>
    <row r="20325" customFormat="false" ht="15" hidden="false" customHeight="true" outlineLevel="0" collapsed="false"/>
    <row r="20326" customFormat="false" ht="15" hidden="false" customHeight="true" outlineLevel="0" collapsed="false"/>
    <row r="20327" customFormat="false" ht="15" hidden="false" customHeight="true" outlineLevel="0" collapsed="false"/>
    <row r="20328" customFormat="false" ht="15" hidden="false" customHeight="true" outlineLevel="0" collapsed="false"/>
    <row r="20329" customFormat="false" ht="15" hidden="false" customHeight="true" outlineLevel="0" collapsed="false"/>
    <row r="20330" customFormat="false" ht="15" hidden="false" customHeight="true" outlineLevel="0" collapsed="false"/>
    <row r="20331" customFormat="false" ht="15" hidden="false" customHeight="true" outlineLevel="0" collapsed="false"/>
    <row r="20332" customFormat="false" ht="15" hidden="false" customHeight="true" outlineLevel="0" collapsed="false"/>
    <row r="20333" customFormat="false" ht="15" hidden="false" customHeight="true" outlineLevel="0" collapsed="false"/>
    <row r="20334" customFormat="false" ht="15" hidden="false" customHeight="true" outlineLevel="0" collapsed="false"/>
    <row r="20335" customFormat="false" ht="15" hidden="false" customHeight="true" outlineLevel="0" collapsed="false"/>
    <row r="20336" customFormat="false" ht="15" hidden="false" customHeight="true" outlineLevel="0" collapsed="false"/>
    <row r="20337" customFormat="false" ht="15" hidden="false" customHeight="true" outlineLevel="0" collapsed="false"/>
    <row r="20338" customFormat="false" ht="15" hidden="false" customHeight="true" outlineLevel="0" collapsed="false"/>
    <row r="20339" customFormat="false" ht="15" hidden="false" customHeight="true" outlineLevel="0" collapsed="false"/>
    <row r="20340" customFormat="false" ht="15" hidden="false" customHeight="true" outlineLevel="0" collapsed="false"/>
    <row r="20341" customFormat="false" ht="15" hidden="false" customHeight="true" outlineLevel="0" collapsed="false"/>
    <row r="20342" customFormat="false" ht="15" hidden="false" customHeight="true" outlineLevel="0" collapsed="false"/>
    <row r="20343" customFormat="false" ht="15" hidden="false" customHeight="true" outlineLevel="0" collapsed="false"/>
    <row r="20344" customFormat="false" ht="15" hidden="false" customHeight="true" outlineLevel="0" collapsed="false"/>
    <row r="20345" customFormat="false" ht="15" hidden="false" customHeight="true" outlineLevel="0" collapsed="false"/>
    <row r="20346" customFormat="false" ht="15" hidden="false" customHeight="true" outlineLevel="0" collapsed="false"/>
    <row r="20347" customFormat="false" ht="15" hidden="false" customHeight="true" outlineLevel="0" collapsed="false"/>
    <row r="20348" customFormat="false" ht="15" hidden="false" customHeight="true" outlineLevel="0" collapsed="false"/>
    <row r="20349" customFormat="false" ht="15" hidden="false" customHeight="true" outlineLevel="0" collapsed="false"/>
    <row r="20350" customFormat="false" ht="15" hidden="false" customHeight="true" outlineLevel="0" collapsed="false"/>
    <row r="20351" customFormat="false" ht="15" hidden="false" customHeight="true" outlineLevel="0" collapsed="false"/>
    <row r="20352" customFormat="false" ht="15" hidden="false" customHeight="true" outlineLevel="0" collapsed="false"/>
    <row r="20353" customFormat="false" ht="15" hidden="false" customHeight="true" outlineLevel="0" collapsed="false"/>
    <row r="20354" customFormat="false" ht="15" hidden="false" customHeight="true" outlineLevel="0" collapsed="false"/>
    <row r="20355" customFormat="false" ht="15" hidden="false" customHeight="true" outlineLevel="0" collapsed="false"/>
    <row r="20356" customFormat="false" ht="15" hidden="false" customHeight="true" outlineLevel="0" collapsed="false"/>
    <row r="20357" customFormat="false" ht="15" hidden="false" customHeight="true" outlineLevel="0" collapsed="false"/>
    <row r="20358" customFormat="false" ht="15" hidden="false" customHeight="true" outlineLevel="0" collapsed="false"/>
    <row r="20359" customFormat="false" ht="15" hidden="false" customHeight="true" outlineLevel="0" collapsed="false"/>
    <row r="20360" customFormat="false" ht="15" hidden="false" customHeight="true" outlineLevel="0" collapsed="false"/>
    <row r="20361" customFormat="false" ht="15" hidden="false" customHeight="true" outlineLevel="0" collapsed="false"/>
    <row r="20362" customFormat="false" ht="15" hidden="false" customHeight="true" outlineLevel="0" collapsed="false"/>
    <row r="20363" customFormat="false" ht="15" hidden="false" customHeight="true" outlineLevel="0" collapsed="false"/>
    <row r="20364" customFormat="false" ht="15" hidden="false" customHeight="true" outlineLevel="0" collapsed="false"/>
    <row r="20365" customFormat="false" ht="15" hidden="false" customHeight="true" outlineLevel="0" collapsed="false"/>
    <row r="20366" customFormat="false" ht="15" hidden="false" customHeight="true" outlineLevel="0" collapsed="false"/>
    <row r="20367" customFormat="false" ht="15" hidden="false" customHeight="true" outlineLevel="0" collapsed="false"/>
    <row r="20368" customFormat="false" ht="15" hidden="false" customHeight="true" outlineLevel="0" collapsed="false"/>
    <row r="20369" customFormat="false" ht="15" hidden="false" customHeight="true" outlineLevel="0" collapsed="false"/>
    <row r="20370" customFormat="false" ht="15" hidden="false" customHeight="true" outlineLevel="0" collapsed="false"/>
    <row r="20371" customFormat="false" ht="15" hidden="false" customHeight="true" outlineLevel="0" collapsed="false"/>
    <row r="20372" customFormat="false" ht="15" hidden="false" customHeight="true" outlineLevel="0" collapsed="false"/>
    <row r="20373" customFormat="false" ht="15" hidden="false" customHeight="true" outlineLevel="0" collapsed="false"/>
    <row r="20374" customFormat="false" ht="15" hidden="false" customHeight="true" outlineLevel="0" collapsed="false"/>
    <row r="20375" customFormat="false" ht="15" hidden="false" customHeight="true" outlineLevel="0" collapsed="false"/>
    <row r="20376" customFormat="false" ht="15" hidden="false" customHeight="true" outlineLevel="0" collapsed="false"/>
    <row r="20377" customFormat="false" ht="15" hidden="false" customHeight="true" outlineLevel="0" collapsed="false"/>
    <row r="20378" customFormat="false" ht="15" hidden="false" customHeight="true" outlineLevel="0" collapsed="false"/>
    <row r="20379" customFormat="false" ht="15" hidden="false" customHeight="true" outlineLevel="0" collapsed="false"/>
    <row r="20380" customFormat="false" ht="15" hidden="false" customHeight="true" outlineLevel="0" collapsed="false"/>
    <row r="20381" customFormat="false" ht="15" hidden="false" customHeight="true" outlineLevel="0" collapsed="false"/>
    <row r="20382" customFormat="false" ht="15" hidden="false" customHeight="true" outlineLevel="0" collapsed="false"/>
    <row r="20383" customFormat="false" ht="15" hidden="false" customHeight="true" outlineLevel="0" collapsed="false"/>
    <row r="20384" customFormat="false" ht="15" hidden="false" customHeight="true" outlineLevel="0" collapsed="false"/>
    <row r="20385" customFormat="false" ht="15" hidden="false" customHeight="true" outlineLevel="0" collapsed="false"/>
    <row r="20386" customFormat="false" ht="15" hidden="false" customHeight="true" outlineLevel="0" collapsed="false"/>
    <row r="20387" customFormat="false" ht="15" hidden="false" customHeight="true" outlineLevel="0" collapsed="false"/>
    <row r="20388" customFormat="false" ht="15" hidden="false" customHeight="true" outlineLevel="0" collapsed="false"/>
    <row r="20389" customFormat="false" ht="15" hidden="false" customHeight="true" outlineLevel="0" collapsed="false"/>
    <row r="20390" customFormat="false" ht="15" hidden="false" customHeight="true" outlineLevel="0" collapsed="false"/>
    <row r="20391" customFormat="false" ht="15" hidden="false" customHeight="true" outlineLevel="0" collapsed="false"/>
    <row r="20392" customFormat="false" ht="15" hidden="false" customHeight="true" outlineLevel="0" collapsed="false"/>
    <row r="20393" customFormat="false" ht="15" hidden="false" customHeight="true" outlineLevel="0" collapsed="false"/>
    <row r="20394" customFormat="false" ht="15" hidden="false" customHeight="true" outlineLevel="0" collapsed="false"/>
    <row r="20395" customFormat="false" ht="15" hidden="false" customHeight="true" outlineLevel="0" collapsed="false"/>
    <row r="20396" customFormat="false" ht="15" hidden="false" customHeight="true" outlineLevel="0" collapsed="false"/>
    <row r="20397" customFormat="false" ht="15" hidden="false" customHeight="true" outlineLevel="0" collapsed="false"/>
    <row r="20398" customFormat="false" ht="15" hidden="false" customHeight="true" outlineLevel="0" collapsed="false"/>
    <row r="20399" customFormat="false" ht="15" hidden="false" customHeight="true" outlineLevel="0" collapsed="false"/>
    <row r="20400" customFormat="false" ht="15" hidden="false" customHeight="true" outlineLevel="0" collapsed="false"/>
    <row r="20401" customFormat="false" ht="15" hidden="false" customHeight="true" outlineLevel="0" collapsed="false"/>
    <row r="20402" customFormat="false" ht="15" hidden="false" customHeight="true" outlineLevel="0" collapsed="false"/>
    <row r="20403" customFormat="false" ht="15" hidden="false" customHeight="true" outlineLevel="0" collapsed="false"/>
    <row r="20404" customFormat="false" ht="15" hidden="false" customHeight="true" outlineLevel="0" collapsed="false"/>
    <row r="20405" customFormat="false" ht="15" hidden="false" customHeight="true" outlineLevel="0" collapsed="false"/>
    <row r="20406" customFormat="false" ht="15" hidden="false" customHeight="true" outlineLevel="0" collapsed="false"/>
    <row r="20407" customFormat="false" ht="15" hidden="false" customHeight="true" outlineLevel="0" collapsed="false"/>
    <row r="20408" customFormat="false" ht="15" hidden="false" customHeight="true" outlineLevel="0" collapsed="false"/>
    <row r="20409" customFormat="false" ht="15" hidden="false" customHeight="true" outlineLevel="0" collapsed="false"/>
    <row r="20410" customFormat="false" ht="15" hidden="false" customHeight="true" outlineLevel="0" collapsed="false"/>
    <row r="20411" customFormat="false" ht="15" hidden="false" customHeight="true" outlineLevel="0" collapsed="false"/>
    <row r="20412" customFormat="false" ht="15" hidden="false" customHeight="true" outlineLevel="0" collapsed="false"/>
    <row r="20413" customFormat="false" ht="15" hidden="false" customHeight="true" outlineLevel="0" collapsed="false"/>
    <row r="20414" customFormat="false" ht="15" hidden="false" customHeight="true" outlineLevel="0" collapsed="false"/>
    <row r="20415" customFormat="false" ht="15" hidden="false" customHeight="true" outlineLevel="0" collapsed="false"/>
    <row r="20416" customFormat="false" ht="15" hidden="false" customHeight="true" outlineLevel="0" collapsed="false"/>
    <row r="20417" customFormat="false" ht="15" hidden="false" customHeight="true" outlineLevel="0" collapsed="false"/>
    <row r="20418" customFormat="false" ht="15" hidden="false" customHeight="true" outlineLevel="0" collapsed="false"/>
    <row r="20419" customFormat="false" ht="15" hidden="false" customHeight="true" outlineLevel="0" collapsed="false"/>
    <row r="20420" customFormat="false" ht="15" hidden="false" customHeight="true" outlineLevel="0" collapsed="false"/>
    <row r="20421" customFormat="false" ht="15" hidden="false" customHeight="true" outlineLevel="0" collapsed="false"/>
    <row r="20422" customFormat="false" ht="15" hidden="false" customHeight="true" outlineLevel="0" collapsed="false"/>
    <row r="20423" customFormat="false" ht="15" hidden="false" customHeight="true" outlineLevel="0" collapsed="false"/>
    <row r="20424" customFormat="false" ht="15" hidden="false" customHeight="true" outlineLevel="0" collapsed="false"/>
    <row r="20425" customFormat="false" ht="15" hidden="false" customHeight="true" outlineLevel="0" collapsed="false"/>
    <row r="20426" customFormat="false" ht="15" hidden="false" customHeight="true" outlineLevel="0" collapsed="false"/>
    <row r="20427" customFormat="false" ht="15" hidden="false" customHeight="true" outlineLevel="0" collapsed="false"/>
    <row r="20428" customFormat="false" ht="15" hidden="false" customHeight="true" outlineLevel="0" collapsed="false"/>
    <row r="20429" customFormat="false" ht="15" hidden="false" customHeight="true" outlineLevel="0" collapsed="false"/>
    <row r="20430" customFormat="false" ht="15" hidden="false" customHeight="true" outlineLevel="0" collapsed="false"/>
    <row r="20431" customFormat="false" ht="15" hidden="false" customHeight="true" outlineLevel="0" collapsed="false"/>
    <row r="20432" customFormat="false" ht="15" hidden="false" customHeight="true" outlineLevel="0" collapsed="false"/>
    <row r="20433" customFormat="false" ht="15" hidden="false" customHeight="true" outlineLevel="0" collapsed="false"/>
    <row r="20434" customFormat="false" ht="15" hidden="false" customHeight="true" outlineLevel="0" collapsed="false"/>
    <row r="20435" customFormat="false" ht="15" hidden="false" customHeight="true" outlineLevel="0" collapsed="false"/>
    <row r="20436" customFormat="false" ht="15" hidden="false" customHeight="true" outlineLevel="0" collapsed="false"/>
    <row r="20437" customFormat="false" ht="15" hidden="false" customHeight="true" outlineLevel="0" collapsed="false"/>
    <row r="20438" customFormat="false" ht="15" hidden="false" customHeight="true" outlineLevel="0" collapsed="false"/>
    <row r="20439" customFormat="false" ht="15" hidden="false" customHeight="true" outlineLevel="0" collapsed="false"/>
    <row r="20440" customFormat="false" ht="15" hidden="false" customHeight="true" outlineLevel="0" collapsed="false"/>
    <row r="20441" customFormat="false" ht="15" hidden="false" customHeight="true" outlineLevel="0" collapsed="false"/>
    <row r="20442" customFormat="false" ht="15" hidden="false" customHeight="true" outlineLevel="0" collapsed="false"/>
    <row r="20443" customFormat="false" ht="15" hidden="false" customHeight="true" outlineLevel="0" collapsed="false"/>
    <row r="20444" customFormat="false" ht="15" hidden="false" customHeight="true" outlineLevel="0" collapsed="false"/>
    <row r="20445" customFormat="false" ht="15" hidden="false" customHeight="true" outlineLevel="0" collapsed="false"/>
    <row r="20446" customFormat="false" ht="15" hidden="false" customHeight="true" outlineLevel="0" collapsed="false"/>
    <row r="20447" customFormat="false" ht="15" hidden="false" customHeight="true" outlineLevel="0" collapsed="false"/>
    <row r="20448" customFormat="false" ht="15" hidden="false" customHeight="true" outlineLevel="0" collapsed="false"/>
    <row r="20449" customFormat="false" ht="15" hidden="false" customHeight="true" outlineLevel="0" collapsed="false"/>
    <row r="20450" customFormat="false" ht="15" hidden="false" customHeight="true" outlineLevel="0" collapsed="false"/>
    <row r="20451" customFormat="false" ht="15" hidden="false" customHeight="true" outlineLevel="0" collapsed="false"/>
    <row r="20452" customFormat="false" ht="15" hidden="false" customHeight="true" outlineLevel="0" collapsed="false"/>
    <row r="20453" customFormat="false" ht="15" hidden="false" customHeight="true" outlineLevel="0" collapsed="false"/>
    <row r="20454" customFormat="false" ht="15" hidden="false" customHeight="true" outlineLevel="0" collapsed="false"/>
    <row r="20455" customFormat="false" ht="15" hidden="false" customHeight="true" outlineLevel="0" collapsed="false"/>
    <row r="20456" customFormat="false" ht="15" hidden="false" customHeight="true" outlineLevel="0" collapsed="false"/>
    <row r="20457" customFormat="false" ht="15" hidden="false" customHeight="true" outlineLevel="0" collapsed="false"/>
    <row r="20458" customFormat="false" ht="15" hidden="false" customHeight="true" outlineLevel="0" collapsed="false"/>
    <row r="20459" customFormat="false" ht="15" hidden="false" customHeight="true" outlineLevel="0" collapsed="false"/>
    <row r="20460" customFormat="false" ht="15" hidden="false" customHeight="true" outlineLevel="0" collapsed="false"/>
    <row r="20461" customFormat="false" ht="15" hidden="false" customHeight="true" outlineLevel="0" collapsed="false"/>
    <row r="20462" customFormat="false" ht="15" hidden="false" customHeight="true" outlineLevel="0" collapsed="false"/>
    <row r="20463" customFormat="false" ht="15" hidden="false" customHeight="true" outlineLevel="0" collapsed="false"/>
    <row r="20464" customFormat="false" ht="15" hidden="false" customHeight="true" outlineLevel="0" collapsed="false"/>
    <row r="20465" customFormat="false" ht="15" hidden="false" customHeight="true" outlineLevel="0" collapsed="false"/>
    <row r="20466" customFormat="false" ht="15" hidden="false" customHeight="true" outlineLevel="0" collapsed="false"/>
    <row r="20467" customFormat="false" ht="15" hidden="false" customHeight="true" outlineLevel="0" collapsed="false"/>
    <row r="20468" customFormat="false" ht="15" hidden="false" customHeight="true" outlineLevel="0" collapsed="false"/>
    <row r="20469" customFormat="false" ht="15" hidden="false" customHeight="true" outlineLevel="0" collapsed="false"/>
    <row r="20470" customFormat="false" ht="15" hidden="false" customHeight="true" outlineLevel="0" collapsed="false"/>
    <row r="20471" customFormat="false" ht="15" hidden="false" customHeight="true" outlineLevel="0" collapsed="false"/>
    <row r="20472" customFormat="false" ht="15" hidden="false" customHeight="true" outlineLevel="0" collapsed="false"/>
    <row r="20473" customFormat="false" ht="15" hidden="false" customHeight="true" outlineLevel="0" collapsed="false"/>
    <row r="20474" customFormat="false" ht="15" hidden="false" customHeight="true" outlineLevel="0" collapsed="false"/>
    <row r="20475" customFormat="false" ht="15" hidden="false" customHeight="true" outlineLevel="0" collapsed="false"/>
    <row r="20476" customFormat="false" ht="15" hidden="false" customHeight="true" outlineLevel="0" collapsed="false"/>
    <row r="20477" customFormat="false" ht="15" hidden="false" customHeight="true" outlineLevel="0" collapsed="false"/>
    <row r="20478" customFormat="false" ht="15" hidden="false" customHeight="true" outlineLevel="0" collapsed="false"/>
    <row r="20479" customFormat="false" ht="15" hidden="false" customHeight="true" outlineLevel="0" collapsed="false"/>
    <row r="20480" customFormat="false" ht="15" hidden="false" customHeight="true" outlineLevel="0" collapsed="false"/>
    <row r="20481" customFormat="false" ht="15" hidden="false" customHeight="true" outlineLevel="0" collapsed="false"/>
    <row r="20482" customFormat="false" ht="15" hidden="false" customHeight="true" outlineLevel="0" collapsed="false"/>
    <row r="20483" customFormat="false" ht="15" hidden="false" customHeight="true" outlineLevel="0" collapsed="false"/>
    <row r="20484" customFormat="false" ht="15" hidden="false" customHeight="true" outlineLevel="0" collapsed="false"/>
    <row r="20485" customFormat="false" ht="15" hidden="false" customHeight="true" outlineLevel="0" collapsed="false"/>
    <row r="20486" customFormat="false" ht="15" hidden="false" customHeight="true" outlineLevel="0" collapsed="false"/>
    <row r="20487" customFormat="false" ht="15" hidden="false" customHeight="true" outlineLevel="0" collapsed="false"/>
    <row r="20488" customFormat="false" ht="15" hidden="false" customHeight="true" outlineLevel="0" collapsed="false"/>
    <row r="20489" customFormat="false" ht="15" hidden="false" customHeight="true" outlineLevel="0" collapsed="false"/>
    <row r="20490" customFormat="false" ht="15" hidden="false" customHeight="true" outlineLevel="0" collapsed="false"/>
    <row r="20491" customFormat="false" ht="15" hidden="false" customHeight="true" outlineLevel="0" collapsed="false"/>
    <row r="20492" customFormat="false" ht="15" hidden="false" customHeight="true" outlineLevel="0" collapsed="false"/>
    <row r="20493" customFormat="false" ht="15" hidden="false" customHeight="true" outlineLevel="0" collapsed="false"/>
    <row r="20494" customFormat="false" ht="15" hidden="false" customHeight="true" outlineLevel="0" collapsed="false"/>
    <row r="20495" customFormat="false" ht="15" hidden="false" customHeight="true" outlineLevel="0" collapsed="false"/>
    <row r="20496" customFormat="false" ht="15" hidden="false" customHeight="true" outlineLevel="0" collapsed="false"/>
    <row r="20497" customFormat="false" ht="15" hidden="false" customHeight="true" outlineLevel="0" collapsed="false"/>
    <row r="20498" customFormat="false" ht="15" hidden="false" customHeight="true" outlineLevel="0" collapsed="false"/>
    <row r="20499" customFormat="false" ht="15" hidden="false" customHeight="true" outlineLevel="0" collapsed="false"/>
    <row r="20500" customFormat="false" ht="15" hidden="false" customHeight="true" outlineLevel="0" collapsed="false"/>
    <row r="20501" customFormat="false" ht="15" hidden="false" customHeight="true" outlineLevel="0" collapsed="false"/>
    <row r="20502" customFormat="false" ht="15" hidden="false" customHeight="true" outlineLevel="0" collapsed="false"/>
    <row r="20503" customFormat="false" ht="15" hidden="false" customHeight="true" outlineLevel="0" collapsed="false"/>
    <row r="20504" customFormat="false" ht="15" hidden="false" customHeight="true" outlineLevel="0" collapsed="false"/>
    <row r="20505" customFormat="false" ht="15" hidden="false" customHeight="true" outlineLevel="0" collapsed="false"/>
    <row r="20506" customFormat="false" ht="15" hidden="false" customHeight="true" outlineLevel="0" collapsed="false"/>
    <row r="20507" customFormat="false" ht="15" hidden="false" customHeight="true" outlineLevel="0" collapsed="false"/>
    <row r="20508" customFormat="false" ht="15" hidden="false" customHeight="true" outlineLevel="0" collapsed="false"/>
    <row r="20509" customFormat="false" ht="15" hidden="false" customHeight="true" outlineLevel="0" collapsed="false"/>
    <row r="20510" customFormat="false" ht="15" hidden="false" customHeight="true" outlineLevel="0" collapsed="false"/>
    <row r="20511" customFormat="false" ht="15" hidden="false" customHeight="true" outlineLevel="0" collapsed="false"/>
    <row r="20512" customFormat="false" ht="15" hidden="false" customHeight="true" outlineLevel="0" collapsed="false"/>
    <row r="20513" customFormat="false" ht="15" hidden="false" customHeight="true" outlineLevel="0" collapsed="false"/>
    <row r="20514" customFormat="false" ht="15" hidden="false" customHeight="true" outlineLevel="0" collapsed="false"/>
    <row r="20515" customFormat="false" ht="15" hidden="false" customHeight="true" outlineLevel="0" collapsed="false"/>
    <row r="20516" customFormat="false" ht="15" hidden="false" customHeight="true" outlineLevel="0" collapsed="false"/>
    <row r="20517" customFormat="false" ht="15" hidden="false" customHeight="true" outlineLevel="0" collapsed="false"/>
    <row r="20518" customFormat="false" ht="15" hidden="false" customHeight="true" outlineLevel="0" collapsed="false"/>
    <row r="20519" customFormat="false" ht="15" hidden="false" customHeight="true" outlineLevel="0" collapsed="false"/>
    <row r="20520" customFormat="false" ht="15" hidden="false" customHeight="true" outlineLevel="0" collapsed="false"/>
    <row r="20521" customFormat="false" ht="15" hidden="false" customHeight="true" outlineLevel="0" collapsed="false"/>
    <row r="20522" customFormat="false" ht="15" hidden="false" customHeight="true" outlineLevel="0" collapsed="false"/>
    <row r="20523" customFormat="false" ht="15" hidden="false" customHeight="true" outlineLevel="0" collapsed="false"/>
    <row r="20524" customFormat="false" ht="15" hidden="false" customHeight="true" outlineLevel="0" collapsed="false"/>
    <row r="20525" customFormat="false" ht="15" hidden="false" customHeight="true" outlineLevel="0" collapsed="false"/>
    <row r="20526" customFormat="false" ht="15" hidden="false" customHeight="true" outlineLevel="0" collapsed="false"/>
    <row r="20527" customFormat="false" ht="15" hidden="false" customHeight="true" outlineLevel="0" collapsed="false"/>
    <row r="20528" customFormat="false" ht="15" hidden="false" customHeight="true" outlineLevel="0" collapsed="false"/>
    <row r="20529" customFormat="false" ht="15" hidden="false" customHeight="true" outlineLevel="0" collapsed="false"/>
    <row r="20530" customFormat="false" ht="15" hidden="false" customHeight="true" outlineLevel="0" collapsed="false"/>
    <row r="20531" customFormat="false" ht="15" hidden="false" customHeight="true" outlineLevel="0" collapsed="false"/>
    <row r="20532" customFormat="false" ht="15" hidden="false" customHeight="true" outlineLevel="0" collapsed="false"/>
    <row r="20533" customFormat="false" ht="15" hidden="false" customHeight="true" outlineLevel="0" collapsed="false"/>
    <row r="20534" customFormat="false" ht="15" hidden="false" customHeight="true" outlineLevel="0" collapsed="false"/>
    <row r="20535" customFormat="false" ht="15" hidden="false" customHeight="true" outlineLevel="0" collapsed="false"/>
    <row r="20536" customFormat="false" ht="15" hidden="false" customHeight="true" outlineLevel="0" collapsed="false"/>
    <row r="20537" customFormat="false" ht="15" hidden="false" customHeight="true" outlineLevel="0" collapsed="false"/>
    <row r="20538" customFormat="false" ht="15" hidden="false" customHeight="true" outlineLevel="0" collapsed="false"/>
    <row r="20539" customFormat="false" ht="15" hidden="false" customHeight="true" outlineLevel="0" collapsed="false"/>
    <row r="20540" customFormat="false" ht="15" hidden="false" customHeight="true" outlineLevel="0" collapsed="false"/>
    <row r="20541" customFormat="false" ht="15" hidden="false" customHeight="true" outlineLevel="0" collapsed="false"/>
    <row r="20542" customFormat="false" ht="15" hidden="false" customHeight="true" outlineLevel="0" collapsed="false"/>
    <row r="20543" customFormat="false" ht="15" hidden="false" customHeight="true" outlineLevel="0" collapsed="false"/>
    <row r="20544" customFormat="false" ht="15" hidden="false" customHeight="true" outlineLevel="0" collapsed="false"/>
    <row r="20545" customFormat="false" ht="15" hidden="false" customHeight="true" outlineLevel="0" collapsed="false"/>
    <row r="20546" customFormat="false" ht="15" hidden="false" customHeight="true" outlineLevel="0" collapsed="false"/>
    <row r="20547" customFormat="false" ht="15" hidden="false" customHeight="true" outlineLevel="0" collapsed="false"/>
    <row r="20548" customFormat="false" ht="15" hidden="false" customHeight="true" outlineLevel="0" collapsed="false"/>
    <row r="20549" customFormat="false" ht="15" hidden="false" customHeight="true" outlineLevel="0" collapsed="false"/>
    <row r="20550" customFormat="false" ht="15" hidden="false" customHeight="true" outlineLevel="0" collapsed="false"/>
    <row r="20551" customFormat="false" ht="15" hidden="false" customHeight="true" outlineLevel="0" collapsed="false"/>
    <row r="20552" customFormat="false" ht="15" hidden="false" customHeight="true" outlineLevel="0" collapsed="false"/>
    <row r="20553" customFormat="false" ht="15" hidden="false" customHeight="true" outlineLevel="0" collapsed="false"/>
    <row r="20554" customFormat="false" ht="15" hidden="false" customHeight="true" outlineLevel="0" collapsed="false"/>
    <row r="20555" customFormat="false" ht="15" hidden="false" customHeight="true" outlineLevel="0" collapsed="false"/>
    <row r="20556" customFormat="false" ht="15" hidden="false" customHeight="true" outlineLevel="0" collapsed="false"/>
    <row r="20557" customFormat="false" ht="15" hidden="false" customHeight="true" outlineLevel="0" collapsed="false"/>
    <row r="20558" customFormat="false" ht="15" hidden="false" customHeight="true" outlineLevel="0" collapsed="false"/>
    <row r="20559" customFormat="false" ht="15" hidden="false" customHeight="true" outlineLevel="0" collapsed="false"/>
    <row r="20560" customFormat="false" ht="15" hidden="false" customHeight="true" outlineLevel="0" collapsed="false"/>
    <row r="20561" customFormat="false" ht="15" hidden="false" customHeight="true" outlineLevel="0" collapsed="false"/>
    <row r="20562" customFormat="false" ht="15" hidden="false" customHeight="true" outlineLevel="0" collapsed="false"/>
    <row r="20563" customFormat="false" ht="15" hidden="false" customHeight="true" outlineLevel="0" collapsed="false"/>
    <row r="20564" customFormat="false" ht="15" hidden="false" customHeight="true" outlineLevel="0" collapsed="false"/>
    <row r="20565" customFormat="false" ht="15" hidden="false" customHeight="true" outlineLevel="0" collapsed="false"/>
    <row r="20566" customFormat="false" ht="15" hidden="false" customHeight="true" outlineLevel="0" collapsed="false"/>
    <row r="20567" customFormat="false" ht="15" hidden="false" customHeight="true" outlineLevel="0" collapsed="false"/>
    <row r="20568" customFormat="false" ht="15" hidden="false" customHeight="true" outlineLevel="0" collapsed="false"/>
    <row r="20569" customFormat="false" ht="15" hidden="false" customHeight="true" outlineLevel="0" collapsed="false"/>
    <row r="20570" customFormat="false" ht="15" hidden="false" customHeight="true" outlineLevel="0" collapsed="false"/>
    <row r="20571" customFormat="false" ht="15" hidden="false" customHeight="true" outlineLevel="0" collapsed="false"/>
    <row r="20572" customFormat="false" ht="15" hidden="false" customHeight="true" outlineLevel="0" collapsed="false"/>
    <row r="20573" customFormat="false" ht="15" hidden="false" customHeight="true" outlineLevel="0" collapsed="false"/>
    <row r="20574" customFormat="false" ht="15" hidden="false" customHeight="true" outlineLevel="0" collapsed="false"/>
    <row r="20575" customFormat="false" ht="15" hidden="false" customHeight="true" outlineLevel="0" collapsed="false"/>
    <row r="20576" customFormat="false" ht="15" hidden="false" customHeight="true" outlineLevel="0" collapsed="false"/>
    <row r="20577" customFormat="false" ht="15" hidden="false" customHeight="true" outlineLevel="0" collapsed="false"/>
    <row r="20578" customFormat="false" ht="15" hidden="false" customHeight="true" outlineLevel="0" collapsed="false"/>
    <row r="20579" customFormat="false" ht="15" hidden="false" customHeight="true" outlineLevel="0" collapsed="false"/>
    <row r="20580" customFormat="false" ht="15" hidden="false" customHeight="true" outlineLevel="0" collapsed="false"/>
    <row r="20581" customFormat="false" ht="15" hidden="false" customHeight="true" outlineLevel="0" collapsed="false"/>
    <row r="20582" customFormat="false" ht="15" hidden="false" customHeight="true" outlineLevel="0" collapsed="false"/>
    <row r="20583" customFormat="false" ht="15" hidden="false" customHeight="true" outlineLevel="0" collapsed="false"/>
    <row r="20584" customFormat="false" ht="15" hidden="false" customHeight="true" outlineLevel="0" collapsed="false"/>
    <row r="20585" customFormat="false" ht="15" hidden="false" customHeight="true" outlineLevel="0" collapsed="false"/>
    <row r="20586" customFormat="false" ht="15" hidden="false" customHeight="true" outlineLevel="0" collapsed="false"/>
    <row r="20587" customFormat="false" ht="15" hidden="false" customHeight="true" outlineLevel="0" collapsed="false"/>
    <row r="20588" customFormat="false" ht="15" hidden="false" customHeight="true" outlineLevel="0" collapsed="false"/>
    <row r="20589" customFormat="false" ht="15" hidden="false" customHeight="true" outlineLevel="0" collapsed="false"/>
    <row r="20590" customFormat="false" ht="15" hidden="false" customHeight="true" outlineLevel="0" collapsed="false"/>
    <row r="20591" customFormat="false" ht="15" hidden="false" customHeight="true" outlineLevel="0" collapsed="false"/>
    <row r="20592" customFormat="false" ht="15" hidden="false" customHeight="true" outlineLevel="0" collapsed="false"/>
    <row r="20593" customFormat="false" ht="15" hidden="false" customHeight="true" outlineLevel="0" collapsed="false"/>
    <row r="20594" customFormat="false" ht="15" hidden="false" customHeight="true" outlineLevel="0" collapsed="false"/>
    <row r="20595" customFormat="false" ht="15" hidden="false" customHeight="true" outlineLevel="0" collapsed="false"/>
    <row r="20596" customFormat="false" ht="15" hidden="false" customHeight="true" outlineLevel="0" collapsed="false"/>
    <row r="20597" customFormat="false" ht="15" hidden="false" customHeight="true" outlineLevel="0" collapsed="false"/>
    <row r="20598" customFormat="false" ht="15" hidden="false" customHeight="true" outlineLevel="0" collapsed="false"/>
    <row r="20599" customFormat="false" ht="15" hidden="false" customHeight="true" outlineLevel="0" collapsed="false"/>
    <row r="20600" customFormat="false" ht="15" hidden="false" customHeight="true" outlineLevel="0" collapsed="false"/>
    <row r="20601" customFormat="false" ht="15" hidden="false" customHeight="true" outlineLevel="0" collapsed="false"/>
    <row r="20602" customFormat="false" ht="15" hidden="false" customHeight="true" outlineLevel="0" collapsed="false"/>
    <row r="20603" customFormat="false" ht="15" hidden="false" customHeight="true" outlineLevel="0" collapsed="false"/>
    <row r="20604" customFormat="false" ht="15" hidden="false" customHeight="true" outlineLevel="0" collapsed="false"/>
    <row r="20605" customFormat="false" ht="15" hidden="false" customHeight="true" outlineLevel="0" collapsed="false"/>
    <row r="20606" customFormat="false" ht="15" hidden="false" customHeight="true" outlineLevel="0" collapsed="false"/>
    <row r="20607" customFormat="false" ht="15" hidden="false" customHeight="true" outlineLevel="0" collapsed="false"/>
    <row r="20608" customFormat="false" ht="15" hidden="false" customHeight="true" outlineLevel="0" collapsed="false"/>
    <row r="20609" customFormat="false" ht="15" hidden="false" customHeight="true" outlineLevel="0" collapsed="false"/>
    <row r="20610" customFormat="false" ht="15" hidden="false" customHeight="true" outlineLevel="0" collapsed="false"/>
    <row r="20611" customFormat="false" ht="15" hidden="false" customHeight="true" outlineLevel="0" collapsed="false"/>
    <row r="20612" customFormat="false" ht="15" hidden="false" customHeight="true" outlineLevel="0" collapsed="false"/>
    <row r="20613" customFormat="false" ht="15" hidden="false" customHeight="true" outlineLevel="0" collapsed="false"/>
    <row r="20614" customFormat="false" ht="15" hidden="false" customHeight="true" outlineLevel="0" collapsed="false"/>
    <row r="20615" customFormat="false" ht="15" hidden="false" customHeight="true" outlineLevel="0" collapsed="false"/>
    <row r="20616" customFormat="false" ht="15" hidden="false" customHeight="true" outlineLevel="0" collapsed="false"/>
    <row r="20617" customFormat="false" ht="15" hidden="false" customHeight="true" outlineLevel="0" collapsed="false"/>
    <row r="20618" customFormat="false" ht="15" hidden="false" customHeight="true" outlineLevel="0" collapsed="false"/>
    <row r="20619" customFormat="false" ht="15" hidden="false" customHeight="true" outlineLevel="0" collapsed="false"/>
    <row r="20620" customFormat="false" ht="15" hidden="false" customHeight="true" outlineLevel="0" collapsed="false"/>
    <row r="20621" customFormat="false" ht="15" hidden="false" customHeight="true" outlineLevel="0" collapsed="false"/>
    <row r="20622" customFormat="false" ht="15" hidden="false" customHeight="true" outlineLevel="0" collapsed="false"/>
    <row r="20623" customFormat="false" ht="15" hidden="false" customHeight="true" outlineLevel="0" collapsed="false"/>
    <row r="20624" customFormat="false" ht="15" hidden="false" customHeight="true" outlineLevel="0" collapsed="false"/>
    <row r="20625" customFormat="false" ht="15" hidden="false" customHeight="true" outlineLevel="0" collapsed="false"/>
    <row r="20626" customFormat="false" ht="15" hidden="false" customHeight="true" outlineLevel="0" collapsed="false"/>
    <row r="20627" customFormat="false" ht="15" hidden="false" customHeight="true" outlineLevel="0" collapsed="false"/>
    <row r="20628" customFormat="false" ht="15" hidden="false" customHeight="true" outlineLevel="0" collapsed="false"/>
    <row r="20629" customFormat="false" ht="15" hidden="false" customHeight="true" outlineLevel="0" collapsed="false"/>
    <row r="20630" customFormat="false" ht="15" hidden="false" customHeight="true" outlineLevel="0" collapsed="false"/>
    <row r="20631" customFormat="false" ht="15" hidden="false" customHeight="true" outlineLevel="0" collapsed="false"/>
    <row r="20632" customFormat="false" ht="15" hidden="false" customHeight="true" outlineLevel="0" collapsed="false"/>
    <row r="20633" customFormat="false" ht="15" hidden="false" customHeight="true" outlineLevel="0" collapsed="false"/>
    <row r="20634" customFormat="false" ht="15" hidden="false" customHeight="true" outlineLevel="0" collapsed="false"/>
    <row r="20635" customFormat="false" ht="15" hidden="false" customHeight="true" outlineLevel="0" collapsed="false"/>
    <row r="20636" customFormat="false" ht="15" hidden="false" customHeight="true" outlineLevel="0" collapsed="false"/>
    <row r="20637" customFormat="false" ht="15" hidden="false" customHeight="true" outlineLevel="0" collapsed="false"/>
    <row r="20638" customFormat="false" ht="15" hidden="false" customHeight="true" outlineLevel="0" collapsed="false"/>
    <row r="20639" customFormat="false" ht="15" hidden="false" customHeight="true" outlineLevel="0" collapsed="false"/>
    <row r="20640" customFormat="false" ht="15" hidden="false" customHeight="true" outlineLevel="0" collapsed="false"/>
    <row r="20641" customFormat="false" ht="15" hidden="false" customHeight="true" outlineLevel="0" collapsed="false"/>
    <row r="20642" customFormat="false" ht="15" hidden="false" customHeight="true" outlineLevel="0" collapsed="false"/>
    <row r="20643" customFormat="false" ht="15" hidden="false" customHeight="true" outlineLevel="0" collapsed="false"/>
    <row r="20644" customFormat="false" ht="15" hidden="false" customHeight="true" outlineLevel="0" collapsed="false"/>
    <row r="20645" customFormat="false" ht="15" hidden="false" customHeight="true" outlineLevel="0" collapsed="false"/>
    <row r="20646" customFormat="false" ht="15" hidden="false" customHeight="true" outlineLevel="0" collapsed="false"/>
    <row r="20647" customFormat="false" ht="15" hidden="false" customHeight="true" outlineLevel="0" collapsed="false"/>
    <row r="20648" customFormat="false" ht="15" hidden="false" customHeight="true" outlineLevel="0" collapsed="false"/>
    <row r="20649" customFormat="false" ht="15" hidden="false" customHeight="true" outlineLevel="0" collapsed="false"/>
    <row r="20650" customFormat="false" ht="15" hidden="false" customHeight="true" outlineLevel="0" collapsed="false"/>
    <row r="20651" customFormat="false" ht="15" hidden="false" customHeight="true" outlineLevel="0" collapsed="false"/>
    <row r="20652" customFormat="false" ht="15" hidden="false" customHeight="true" outlineLevel="0" collapsed="false"/>
    <row r="20653" customFormat="false" ht="15" hidden="false" customHeight="true" outlineLevel="0" collapsed="false"/>
    <row r="20654" customFormat="false" ht="15" hidden="false" customHeight="true" outlineLevel="0" collapsed="false"/>
    <row r="20655" customFormat="false" ht="15" hidden="false" customHeight="true" outlineLevel="0" collapsed="false"/>
    <row r="20656" customFormat="false" ht="15" hidden="false" customHeight="true" outlineLevel="0" collapsed="false"/>
    <row r="20657" customFormat="false" ht="15" hidden="false" customHeight="true" outlineLevel="0" collapsed="false"/>
    <row r="20658" customFormat="false" ht="15" hidden="false" customHeight="true" outlineLevel="0" collapsed="false"/>
    <row r="20659" customFormat="false" ht="15" hidden="false" customHeight="true" outlineLevel="0" collapsed="false"/>
    <row r="20660" customFormat="false" ht="15" hidden="false" customHeight="true" outlineLevel="0" collapsed="false"/>
    <row r="20661" customFormat="false" ht="15" hidden="false" customHeight="true" outlineLevel="0" collapsed="false"/>
    <row r="20662" customFormat="false" ht="15" hidden="false" customHeight="true" outlineLevel="0" collapsed="false"/>
    <row r="20663" customFormat="false" ht="15" hidden="false" customHeight="true" outlineLevel="0" collapsed="false"/>
    <row r="20664" customFormat="false" ht="15" hidden="false" customHeight="true" outlineLevel="0" collapsed="false"/>
    <row r="20665" customFormat="false" ht="15" hidden="false" customHeight="true" outlineLevel="0" collapsed="false"/>
    <row r="20666" customFormat="false" ht="15" hidden="false" customHeight="true" outlineLevel="0" collapsed="false"/>
    <row r="20667" customFormat="false" ht="15" hidden="false" customHeight="true" outlineLevel="0" collapsed="false"/>
    <row r="20668" customFormat="false" ht="15" hidden="false" customHeight="true" outlineLevel="0" collapsed="false"/>
    <row r="20669" customFormat="false" ht="15" hidden="false" customHeight="true" outlineLevel="0" collapsed="false"/>
    <row r="20670" customFormat="false" ht="15" hidden="false" customHeight="true" outlineLevel="0" collapsed="false"/>
    <row r="20671" customFormat="false" ht="15" hidden="false" customHeight="true" outlineLevel="0" collapsed="false"/>
    <row r="20672" customFormat="false" ht="15" hidden="false" customHeight="true" outlineLevel="0" collapsed="false"/>
    <row r="20673" customFormat="false" ht="15" hidden="false" customHeight="true" outlineLevel="0" collapsed="false"/>
    <row r="20674" customFormat="false" ht="15" hidden="false" customHeight="true" outlineLevel="0" collapsed="false"/>
    <row r="20675" customFormat="false" ht="15" hidden="false" customHeight="true" outlineLevel="0" collapsed="false"/>
    <row r="20676" customFormat="false" ht="15" hidden="false" customHeight="true" outlineLevel="0" collapsed="false"/>
    <row r="20677" customFormat="false" ht="15" hidden="false" customHeight="true" outlineLevel="0" collapsed="false"/>
    <row r="20678" customFormat="false" ht="15" hidden="false" customHeight="true" outlineLevel="0" collapsed="false"/>
    <row r="20679" customFormat="false" ht="15" hidden="false" customHeight="true" outlineLevel="0" collapsed="false"/>
    <row r="20680" customFormat="false" ht="15" hidden="false" customHeight="true" outlineLevel="0" collapsed="false"/>
    <row r="20681" customFormat="false" ht="15" hidden="false" customHeight="true" outlineLevel="0" collapsed="false"/>
    <row r="20682" customFormat="false" ht="15" hidden="false" customHeight="true" outlineLevel="0" collapsed="false"/>
    <row r="20683" customFormat="false" ht="15" hidden="false" customHeight="true" outlineLevel="0" collapsed="false"/>
    <row r="20684" customFormat="false" ht="15" hidden="false" customHeight="true" outlineLevel="0" collapsed="false"/>
    <row r="20685" customFormat="false" ht="15" hidden="false" customHeight="true" outlineLevel="0" collapsed="false"/>
    <row r="20686" customFormat="false" ht="15" hidden="false" customHeight="true" outlineLevel="0" collapsed="false"/>
    <row r="20687" customFormat="false" ht="15" hidden="false" customHeight="true" outlineLevel="0" collapsed="false"/>
    <row r="20688" customFormat="false" ht="15" hidden="false" customHeight="true" outlineLevel="0" collapsed="false"/>
    <row r="20689" customFormat="false" ht="15" hidden="false" customHeight="true" outlineLevel="0" collapsed="false"/>
    <row r="20690" customFormat="false" ht="15" hidden="false" customHeight="true" outlineLevel="0" collapsed="false"/>
    <row r="20691" customFormat="false" ht="15" hidden="false" customHeight="true" outlineLevel="0" collapsed="false"/>
    <row r="20692" customFormat="false" ht="15" hidden="false" customHeight="true" outlineLevel="0" collapsed="false"/>
    <row r="20693" customFormat="false" ht="15" hidden="false" customHeight="true" outlineLevel="0" collapsed="false"/>
    <row r="20694" customFormat="false" ht="15" hidden="false" customHeight="true" outlineLevel="0" collapsed="false"/>
    <row r="20695" customFormat="false" ht="15" hidden="false" customHeight="true" outlineLevel="0" collapsed="false"/>
    <row r="20696" customFormat="false" ht="15" hidden="false" customHeight="true" outlineLevel="0" collapsed="false"/>
    <row r="20697" customFormat="false" ht="15" hidden="false" customHeight="true" outlineLevel="0" collapsed="false"/>
    <row r="20698" customFormat="false" ht="15" hidden="false" customHeight="true" outlineLevel="0" collapsed="false"/>
    <row r="20699" customFormat="false" ht="15" hidden="false" customHeight="true" outlineLevel="0" collapsed="false"/>
    <row r="20700" customFormat="false" ht="15" hidden="false" customHeight="true" outlineLevel="0" collapsed="false"/>
    <row r="20701" customFormat="false" ht="15" hidden="false" customHeight="true" outlineLevel="0" collapsed="false"/>
    <row r="20702" customFormat="false" ht="15" hidden="false" customHeight="true" outlineLevel="0" collapsed="false"/>
    <row r="20703" customFormat="false" ht="15" hidden="false" customHeight="true" outlineLevel="0" collapsed="false"/>
    <row r="20704" customFormat="false" ht="15" hidden="false" customHeight="true" outlineLevel="0" collapsed="false"/>
    <row r="20705" customFormat="false" ht="15" hidden="false" customHeight="true" outlineLevel="0" collapsed="false"/>
    <row r="20706" customFormat="false" ht="15" hidden="false" customHeight="true" outlineLevel="0" collapsed="false"/>
    <row r="20707" customFormat="false" ht="15" hidden="false" customHeight="true" outlineLevel="0" collapsed="false"/>
    <row r="20708" customFormat="false" ht="15" hidden="false" customHeight="true" outlineLevel="0" collapsed="false"/>
    <row r="20709" customFormat="false" ht="15" hidden="false" customHeight="true" outlineLevel="0" collapsed="false"/>
    <row r="20710" customFormat="false" ht="15" hidden="false" customHeight="true" outlineLevel="0" collapsed="false"/>
    <row r="20711" customFormat="false" ht="15" hidden="false" customHeight="true" outlineLevel="0" collapsed="false"/>
    <row r="20712" customFormat="false" ht="15" hidden="false" customHeight="true" outlineLevel="0" collapsed="false"/>
    <row r="20713" customFormat="false" ht="15" hidden="false" customHeight="true" outlineLevel="0" collapsed="false"/>
    <row r="20714" customFormat="false" ht="15" hidden="false" customHeight="true" outlineLevel="0" collapsed="false"/>
    <row r="20715" customFormat="false" ht="15" hidden="false" customHeight="true" outlineLevel="0" collapsed="false"/>
    <row r="20716" customFormat="false" ht="15" hidden="false" customHeight="true" outlineLevel="0" collapsed="false"/>
    <row r="20717" customFormat="false" ht="15" hidden="false" customHeight="true" outlineLevel="0" collapsed="false"/>
    <row r="20718" customFormat="false" ht="15" hidden="false" customHeight="true" outlineLevel="0" collapsed="false"/>
    <row r="20719" customFormat="false" ht="15" hidden="false" customHeight="true" outlineLevel="0" collapsed="false"/>
    <row r="20720" customFormat="false" ht="15" hidden="false" customHeight="true" outlineLevel="0" collapsed="false"/>
    <row r="20721" customFormat="false" ht="15" hidden="false" customHeight="true" outlineLevel="0" collapsed="false"/>
    <row r="20722" customFormat="false" ht="15" hidden="false" customHeight="true" outlineLevel="0" collapsed="false"/>
    <row r="20723" customFormat="false" ht="15" hidden="false" customHeight="true" outlineLevel="0" collapsed="false"/>
    <row r="20724" customFormat="false" ht="15" hidden="false" customHeight="true" outlineLevel="0" collapsed="false"/>
    <row r="20725" customFormat="false" ht="15" hidden="false" customHeight="true" outlineLevel="0" collapsed="false"/>
    <row r="20726" customFormat="false" ht="15" hidden="false" customHeight="true" outlineLevel="0" collapsed="false"/>
    <row r="20727" customFormat="false" ht="15" hidden="false" customHeight="true" outlineLevel="0" collapsed="false"/>
    <row r="20728" customFormat="false" ht="15" hidden="false" customHeight="true" outlineLevel="0" collapsed="false"/>
    <row r="20729" customFormat="false" ht="15" hidden="false" customHeight="true" outlineLevel="0" collapsed="false"/>
    <row r="20730" customFormat="false" ht="15" hidden="false" customHeight="true" outlineLevel="0" collapsed="false"/>
    <row r="20731" customFormat="false" ht="15" hidden="false" customHeight="true" outlineLevel="0" collapsed="false"/>
    <row r="20732" customFormat="false" ht="15" hidden="false" customHeight="true" outlineLevel="0" collapsed="false"/>
    <row r="20733" customFormat="false" ht="15" hidden="false" customHeight="true" outlineLevel="0" collapsed="false"/>
    <row r="20734" customFormat="false" ht="15" hidden="false" customHeight="true" outlineLevel="0" collapsed="false"/>
    <row r="20735" customFormat="false" ht="15" hidden="false" customHeight="true" outlineLevel="0" collapsed="false"/>
    <row r="20736" customFormat="false" ht="15" hidden="false" customHeight="true" outlineLevel="0" collapsed="false"/>
    <row r="20737" customFormat="false" ht="15" hidden="false" customHeight="true" outlineLevel="0" collapsed="false"/>
    <row r="20738" customFormat="false" ht="15" hidden="false" customHeight="true" outlineLevel="0" collapsed="false"/>
    <row r="20739" customFormat="false" ht="15" hidden="false" customHeight="true" outlineLevel="0" collapsed="false"/>
    <row r="20740" customFormat="false" ht="15" hidden="false" customHeight="true" outlineLevel="0" collapsed="false"/>
    <row r="20741" customFormat="false" ht="15" hidden="false" customHeight="true" outlineLevel="0" collapsed="false"/>
    <row r="20742" customFormat="false" ht="15" hidden="false" customHeight="true" outlineLevel="0" collapsed="false"/>
    <row r="20743" customFormat="false" ht="15" hidden="false" customHeight="true" outlineLevel="0" collapsed="false"/>
    <row r="20744" customFormat="false" ht="15" hidden="false" customHeight="true" outlineLevel="0" collapsed="false"/>
    <row r="20745" customFormat="false" ht="15" hidden="false" customHeight="true" outlineLevel="0" collapsed="false"/>
    <row r="20746" customFormat="false" ht="15" hidden="false" customHeight="true" outlineLevel="0" collapsed="false"/>
    <row r="20747" customFormat="false" ht="15" hidden="false" customHeight="true" outlineLevel="0" collapsed="false"/>
    <row r="20748" customFormat="false" ht="15" hidden="false" customHeight="true" outlineLevel="0" collapsed="false"/>
    <row r="20749" customFormat="false" ht="15" hidden="false" customHeight="true" outlineLevel="0" collapsed="false"/>
    <row r="20750" customFormat="false" ht="15" hidden="false" customHeight="true" outlineLevel="0" collapsed="false"/>
    <row r="20751" customFormat="false" ht="15" hidden="false" customHeight="true" outlineLevel="0" collapsed="false"/>
    <row r="20752" customFormat="false" ht="15" hidden="false" customHeight="true" outlineLevel="0" collapsed="false"/>
    <row r="20753" customFormat="false" ht="15" hidden="false" customHeight="true" outlineLevel="0" collapsed="false"/>
    <row r="20754" customFormat="false" ht="15" hidden="false" customHeight="true" outlineLevel="0" collapsed="false"/>
    <row r="20755" customFormat="false" ht="15" hidden="false" customHeight="true" outlineLevel="0" collapsed="false"/>
    <row r="20756" customFormat="false" ht="15" hidden="false" customHeight="true" outlineLevel="0" collapsed="false"/>
    <row r="20757" customFormat="false" ht="15" hidden="false" customHeight="true" outlineLevel="0" collapsed="false"/>
    <row r="20758" customFormat="false" ht="15" hidden="false" customHeight="true" outlineLevel="0" collapsed="false"/>
    <row r="20759" customFormat="false" ht="15" hidden="false" customHeight="true" outlineLevel="0" collapsed="false"/>
    <row r="20760" customFormat="false" ht="15" hidden="false" customHeight="true" outlineLevel="0" collapsed="false"/>
    <row r="20761" customFormat="false" ht="15" hidden="false" customHeight="true" outlineLevel="0" collapsed="false"/>
    <row r="20762" customFormat="false" ht="15" hidden="false" customHeight="true" outlineLevel="0" collapsed="false"/>
    <row r="20763" customFormat="false" ht="15" hidden="false" customHeight="true" outlineLevel="0" collapsed="false"/>
    <row r="20764" customFormat="false" ht="15" hidden="false" customHeight="true" outlineLevel="0" collapsed="false"/>
    <row r="20765" customFormat="false" ht="15" hidden="false" customHeight="true" outlineLevel="0" collapsed="false"/>
    <row r="20766" customFormat="false" ht="15" hidden="false" customHeight="true" outlineLevel="0" collapsed="false"/>
    <row r="20767" customFormat="false" ht="15" hidden="false" customHeight="true" outlineLevel="0" collapsed="false"/>
    <row r="20768" customFormat="false" ht="15" hidden="false" customHeight="true" outlineLevel="0" collapsed="false"/>
    <row r="20769" customFormat="false" ht="15" hidden="false" customHeight="true" outlineLevel="0" collapsed="false"/>
    <row r="20770" customFormat="false" ht="15" hidden="false" customHeight="true" outlineLevel="0" collapsed="false"/>
    <row r="20771" customFormat="false" ht="15" hidden="false" customHeight="true" outlineLevel="0" collapsed="false"/>
    <row r="20772" customFormat="false" ht="15" hidden="false" customHeight="true" outlineLevel="0" collapsed="false"/>
    <row r="20773" customFormat="false" ht="15" hidden="false" customHeight="true" outlineLevel="0" collapsed="false"/>
    <row r="20774" customFormat="false" ht="15" hidden="false" customHeight="true" outlineLevel="0" collapsed="false"/>
    <row r="20775" customFormat="false" ht="15" hidden="false" customHeight="true" outlineLevel="0" collapsed="false"/>
    <row r="20776" customFormat="false" ht="15" hidden="false" customHeight="true" outlineLevel="0" collapsed="false"/>
    <row r="20777" customFormat="false" ht="15" hidden="false" customHeight="true" outlineLevel="0" collapsed="false"/>
    <row r="20778" customFormat="false" ht="15" hidden="false" customHeight="true" outlineLevel="0" collapsed="false"/>
    <row r="20779" customFormat="false" ht="15" hidden="false" customHeight="true" outlineLevel="0" collapsed="false"/>
    <row r="20780" customFormat="false" ht="15" hidden="false" customHeight="true" outlineLevel="0" collapsed="false"/>
    <row r="20781" customFormat="false" ht="15" hidden="false" customHeight="true" outlineLevel="0" collapsed="false"/>
    <row r="20782" customFormat="false" ht="15" hidden="false" customHeight="true" outlineLevel="0" collapsed="false"/>
    <row r="20783" customFormat="false" ht="15" hidden="false" customHeight="true" outlineLevel="0" collapsed="false"/>
    <row r="20784" customFormat="false" ht="15" hidden="false" customHeight="true" outlineLevel="0" collapsed="false"/>
    <row r="20785" customFormat="false" ht="15" hidden="false" customHeight="true" outlineLevel="0" collapsed="false"/>
    <row r="20786" customFormat="false" ht="15" hidden="false" customHeight="true" outlineLevel="0" collapsed="false"/>
    <row r="20787" customFormat="false" ht="15" hidden="false" customHeight="true" outlineLevel="0" collapsed="false"/>
    <row r="20788" customFormat="false" ht="15" hidden="false" customHeight="true" outlineLevel="0" collapsed="false"/>
    <row r="20789" customFormat="false" ht="15" hidden="false" customHeight="true" outlineLevel="0" collapsed="false"/>
    <row r="20790" customFormat="false" ht="15" hidden="false" customHeight="true" outlineLevel="0" collapsed="false"/>
    <row r="20791" customFormat="false" ht="15" hidden="false" customHeight="true" outlineLevel="0" collapsed="false"/>
    <row r="20792" customFormat="false" ht="15" hidden="false" customHeight="true" outlineLevel="0" collapsed="false"/>
    <row r="20793" customFormat="false" ht="15" hidden="false" customHeight="true" outlineLevel="0" collapsed="false"/>
    <row r="20794" customFormat="false" ht="15" hidden="false" customHeight="true" outlineLevel="0" collapsed="false"/>
    <row r="20795" customFormat="false" ht="15" hidden="false" customHeight="true" outlineLevel="0" collapsed="false"/>
    <row r="20796" customFormat="false" ht="15" hidden="false" customHeight="true" outlineLevel="0" collapsed="false"/>
    <row r="20797" customFormat="false" ht="15" hidden="false" customHeight="true" outlineLevel="0" collapsed="false"/>
    <row r="20798" customFormat="false" ht="15" hidden="false" customHeight="true" outlineLevel="0" collapsed="false"/>
    <row r="20799" customFormat="false" ht="15" hidden="false" customHeight="true" outlineLevel="0" collapsed="false"/>
    <row r="20800" customFormat="false" ht="15" hidden="false" customHeight="true" outlineLevel="0" collapsed="false"/>
    <row r="20801" customFormat="false" ht="15" hidden="false" customHeight="true" outlineLevel="0" collapsed="false"/>
    <row r="20802" customFormat="false" ht="15" hidden="false" customHeight="true" outlineLevel="0" collapsed="false"/>
    <row r="20803" customFormat="false" ht="15" hidden="false" customHeight="true" outlineLevel="0" collapsed="false"/>
    <row r="20804" customFormat="false" ht="15" hidden="false" customHeight="true" outlineLevel="0" collapsed="false"/>
    <row r="20805" customFormat="false" ht="15" hidden="false" customHeight="true" outlineLevel="0" collapsed="false"/>
    <row r="20806" customFormat="false" ht="15" hidden="false" customHeight="true" outlineLevel="0" collapsed="false"/>
    <row r="20807" customFormat="false" ht="15" hidden="false" customHeight="true" outlineLevel="0" collapsed="false"/>
    <row r="20808" customFormat="false" ht="15" hidden="false" customHeight="true" outlineLevel="0" collapsed="false"/>
    <row r="20809" customFormat="false" ht="15" hidden="false" customHeight="true" outlineLevel="0" collapsed="false"/>
    <row r="20810" customFormat="false" ht="15" hidden="false" customHeight="true" outlineLevel="0" collapsed="false"/>
    <row r="20811" customFormat="false" ht="15" hidden="false" customHeight="true" outlineLevel="0" collapsed="false"/>
    <row r="20812" customFormat="false" ht="15" hidden="false" customHeight="true" outlineLevel="0" collapsed="false"/>
    <row r="20813" customFormat="false" ht="15" hidden="false" customHeight="true" outlineLevel="0" collapsed="false"/>
    <row r="20814" customFormat="false" ht="15" hidden="false" customHeight="true" outlineLevel="0" collapsed="false"/>
    <row r="20815" customFormat="false" ht="15" hidden="false" customHeight="true" outlineLevel="0" collapsed="false"/>
    <row r="20816" customFormat="false" ht="15" hidden="false" customHeight="true" outlineLevel="0" collapsed="false"/>
    <row r="20817" customFormat="false" ht="15" hidden="false" customHeight="true" outlineLevel="0" collapsed="false"/>
    <row r="20818" customFormat="false" ht="15" hidden="false" customHeight="true" outlineLevel="0" collapsed="false"/>
    <row r="20819" customFormat="false" ht="15" hidden="false" customHeight="true" outlineLevel="0" collapsed="false"/>
    <row r="20820" customFormat="false" ht="15" hidden="false" customHeight="true" outlineLevel="0" collapsed="false"/>
    <row r="20821" customFormat="false" ht="15" hidden="false" customHeight="true" outlineLevel="0" collapsed="false"/>
    <row r="20822" customFormat="false" ht="15" hidden="false" customHeight="true" outlineLevel="0" collapsed="false"/>
    <row r="20823" customFormat="false" ht="15" hidden="false" customHeight="true" outlineLevel="0" collapsed="false"/>
    <row r="20824" customFormat="false" ht="15" hidden="false" customHeight="true" outlineLevel="0" collapsed="false"/>
    <row r="20825" customFormat="false" ht="15" hidden="false" customHeight="true" outlineLevel="0" collapsed="false"/>
    <row r="20826" customFormat="false" ht="15" hidden="false" customHeight="true" outlineLevel="0" collapsed="false"/>
    <row r="20827" customFormat="false" ht="15" hidden="false" customHeight="true" outlineLevel="0" collapsed="false"/>
    <row r="20828" customFormat="false" ht="15" hidden="false" customHeight="true" outlineLevel="0" collapsed="false"/>
    <row r="20829" customFormat="false" ht="15" hidden="false" customHeight="true" outlineLevel="0" collapsed="false"/>
    <row r="20830" customFormat="false" ht="15" hidden="false" customHeight="true" outlineLevel="0" collapsed="false"/>
    <row r="20831" customFormat="false" ht="15" hidden="false" customHeight="true" outlineLevel="0" collapsed="false"/>
    <row r="20832" customFormat="false" ht="15" hidden="false" customHeight="true" outlineLevel="0" collapsed="false"/>
    <row r="20833" customFormat="false" ht="15" hidden="false" customHeight="true" outlineLevel="0" collapsed="false"/>
    <row r="20834" customFormat="false" ht="15" hidden="false" customHeight="true" outlineLevel="0" collapsed="false"/>
    <row r="20835" customFormat="false" ht="15" hidden="false" customHeight="true" outlineLevel="0" collapsed="false"/>
    <row r="20836" customFormat="false" ht="15" hidden="false" customHeight="true" outlineLevel="0" collapsed="false"/>
    <row r="20837" customFormat="false" ht="15" hidden="false" customHeight="true" outlineLevel="0" collapsed="false"/>
    <row r="20838" customFormat="false" ht="15" hidden="false" customHeight="true" outlineLevel="0" collapsed="false"/>
    <row r="20839" customFormat="false" ht="15" hidden="false" customHeight="true" outlineLevel="0" collapsed="false"/>
    <row r="20840" customFormat="false" ht="15" hidden="false" customHeight="true" outlineLevel="0" collapsed="false"/>
    <row r="20841" customFormat="false" ht="15" hidden="false" customHeight="true" outlineLevel="0" collapsed="false"/>
    <row r="20842" customFormat="false" ht="15" hidden="false" customHeight="true" outlineLevel="0" collapsed="false"/>
    <row r="20843" customFormat="false" ht="15" hidden="false" customHeight="true" outlineLevel="0" collapsed="false"/>
    <row r="20844" customFormat="false" ht="15" hidden="false" customHeight="true" outlineLevel="0" collapsed="false"/>
    <row r="20845" customFormat="false" ht="15" hidden="false" customHeight="true" outlineLevel="0" collapsed="false"/>
    <row r="20846" customFormat="false" ht="15" hidden="false" customHeight="true" outlineLevel="0" collapsed="false"/>
    <row r="20847" customFormat="false" ht="15" hidden="false" customHeight="true" outlineLevel="0" collapsed="false"/>
    <row r="20848" customFormat="false" ht="15" hidden="false" customHeight="true" outlineLevel="0" collapsed="false"/>
    <row r="20849" customFormat="false" ht="15" hidden="false" customHeight="true" outlineLevel="0" collapsed="false"/>
    <row r="20850" customFormat="false" ht="15" hidden="false" customHeight="true" outlineLevel="0" collapsed="false"/>
    <row r="20851" customFormat="false" ht="15" hidden="false" customHeight="true" outlineLevel="0" collapsed="false"/>
    <row r="20852" customFormat="false" ht="15" hidden="false" customHeight="true" outlineLevel="0" collapsed="false"/>
    <row r="20853" customFormat="false" ht="15" hidden="false" customHeight="true" outlineLevel="0" collapsed="false"/>
    <row r="20854" customFormat="false" ht="15" hidden="false" customHeight="true" outlineLevel="0" collapsed="false"/>
    <row r="20855" customFormat="false" ht="15" hidden="false" customHeight="true" outlineLevel="0" collapsed="false"/>
    <row r="20856" customFormat="false" ht="15" hidden="false" customHeight="true" outlineLevel="0" collapsed="false"/>
    <row r="20857" customFormat="false" ht="15" hidden="false" customHeight="true" outlineLevel="0" collapsed="false"/>
    <row r="20858" customFormat="false" ht="15" hidden="false" customHeight="true" outlineLevel="0" collapsed="false"/>
    <row r="20859" customFormat="false" ht="15" hidden="false" customHeight="true" outlineLevel="0" collapsed="false"/>
    <row r="20860" customFormat="false" ht="15" hidden="false" customHeight="true" outlineLevel="0" collapsed="false"/>
    <row r="20861" customFormat="false" ht="15" hidden="false" customHeight="true" outlineLevel="0" collapsed="false"/>
    <row r="20862" customFormat="false" ht="15" hidden="false" customHeight="true" outlineLevel="0" collapsed="false"/>
    <row r="20863" customFormat="false" ht="15" hidden="false" customHeight="true" outlineLevel="0" collapsed="false"/>
    <row r="20864" customFormat="false" ht="15" hidden="false" customHeight="true" outlineLevel="0" collapsed="false"/>
    <row r="20865" customFormat="false" ht="15" hidden="false" customHeight="true" outlineLevel="0" collapsed="false"/>
    <row r="20866" customFormat="false" ht="15" hidden="false" customHeight="true" outlineLevel="0" collapsed="false"/>
    <row r="20867" customFormat="false" ht="15" hidden="false" customHeight="true" outlineLevel="0" collapsed="false"/>
    <row r="20868" customFormat="false" ht="15" hidden="false" customHeight="true" outlineLevel="0" collapsed="false"/>
    <row r="20869" customFormat="false" ht="15" hidden="false" customHeight="true" outlineLevel="0" collapsed="false"/>
    <row r="20870" customFormat="false" ht="15" hidden="false" customHeight="true" outlineLevel="0" collapsed="false"/>
    <row r="20871" customFormat="false" ht="15" hidden="false" customHeight="true" outlineLevel="0" collapsed="false"/>
    <row r="20872" customFormat="false" ht="15" hidden="false" customHeight="true" outlineLevel="0" collapsed="false"/>
    <row r="20873" customFormat="false" ht="15" hidden="false" customHeight="true" outlineLevel="0" collapsed="false"/>
    <row r="20874" customFormat="false" ht="15" hidden="false" customHeight="true" outlineLevel="0" collapsed="false"/>
    <row r="20875" customFormat="false" ht="15" hidden="false" customHeight="true" outlineLevel="0" collapsed="false"/>
    <row r="20876" customFormat="false" ht="15" hidden="false" customHeight="true" outlineLevel="0" collapsed="false"/>
    <row r="20877" customFormat="false" ht="15" hidden="false" customHeight="true" outlineLevel="0" collapsed="false"/>
    <row r="20878" customFormat="false" ht="15" hidden="false" customHeight="true" outlineLevel="0" collapsed="false"/>
    <row r="20879" customFormat="false" ht="15" hidden="false" customHeight="true" outlineLevel="0" collapsed="false"/>
    <row r="20880" customFormat="false" ht="15" hidden="false" customHeight="true" outlineLevel="0" collapsed="false"/>
    <row r="20881" customFormat="false" ht="15" hidden="false" customHeight="true" outlineLevel="0" collapsed="false"/>
    <row r="20882" customFormat="false" ht="15" hidden="false" customHeight="true" outlineLevel="0" collapsed="false"/>
    <row r="20883" customFormat="false" ht="15" hidden="false" customHeight="true" outlineLevel="0" collapsed="false"/>
    <row r="20884" customFormat="false" ht="15" hidden="false" customHeight="true" outlineLevel="0" collapsed="false"/>
    <row r="20885" customFormat="false" ht="15" hidden="false" customHeight="true" outlineLevel="0" collapsed="false"/>
    <row r="20886" customFormat="false" ht="15" hidden="false" customHeight="true" outlineLevel="0" collapsed="false"/>
    <row r="20887" customFormat="false" ht="15" hidden="false" customHeight="true" outlineLevel="0" collapsed="false"/>
    <row r="20888" customFormat="false" ht="15" hidden="false" customHeight="true" outlineLevel="0" collapsed="false"/>
    <row r="20889" customFormat="false" ht="15" hidden="false" customHeight="true" outlineLevel="0" collapsed="false"/>
    <row r="20890" customFormat="false" ht="15" hidden="false" customHeight="true" outlineLevel="0" collapsed="false"/>
    <row r="20891" customFormat="false" ht="15" hidden="false" customHeight="true" outlineLevel="0" collapsed="false"/>
    <row r="20892" customFormat="false" ht="15" hidden="false" customHeight="true" outlineLevel="0" collapsed="false"/>
    <row r="20893" customFormat="false" ht="15" hidden="false" customHeight="true" outlineLevel="0" collapsed="false"/>
    <row r="20894" customFormat="false" ht="15" hidden="false" customHeight="true" outlineLevel="0" collapsed="false"/>
    <row r="20895" customFormat="false" ht="15" hidden="false" customHeight="true" outlineLevel="0" collapsed="false"/>
    <row r="20896" customFormat="false" ht="15" hidden="false" customHeight="true" outlineLevel="0" collapsed="false"/>
    <row r="20897" customFormat="false" ht="15" hidden="false" customHeight="true" outlineLevel="0" collapsed="false"/>
    <row r="20898" customFormat="false" ht="15" hidden="false" customHeight="true" outlineLevel="0" collapsed="false"/>
    <row r="20899" customFormat="false" ht="15" hidden="false" customHeight="true" outlineLevel="0" collapsed="false"/>
    <row r="20900" customFormat="false" ht="15" hidden="false" customHeight="true" outlineLevel="0" collapsed="false"/>
    <row r="20901" customFormat="false" ht="15" hidden="false" customHeight="true" outlineLevel="0" collapsed="false"/>
    <row r="20902" customFormat="false" ht="15" hidden="false" customHeight="true" outlineLevel="0" collapsed="false"/>
    <row r="20903" customFormat="false" ht="15" hidden="false" customHeight="true" outlineLevel="0" collapsed="false"/>
    <row r="20904" customFormat="false" ht="15" hidden="false" customHeight="true" outlineLevel="0" collapsed="false"/>
    <row r="20905" customFormat="false" ht="15" hidden="false" customHeight="true" outlineLevel="0" collapsed="false"/>
    <row r="20906" customFormat="false" ht="15" hidden="false" customHeight="true" outlineLevel="0" collapsed="false"/>
    <row r="20907" customFormat="false" ht="15" hidden="false" customHeight="true" outlineLevel="0" collapsed="false"/>
    <row r="20908" customFormat="false" ht="15" hidden="false" customHeight="true" outlineLevel="0" collapsed="false"/>
    <row r="20909" customFormat="false" ht="15" hidden="false" customHeight="true" outlineLevel="0" collapsed="false"/>
    <row r="20910" customFormat="false" ht="15" hidden="false" customHeight="true" outlineLevel="0" collapsed="false"/>
    <row r="20911" customFormat="false" ht="15" hidden="false" customHeight="true" outlineLevel="0" collapsed="false"/>
    <row r="20912" customFormat="false" ht="15" hidden="false" customHeight="true" outlineLevel="0" collapsed="false"/>
    <row r="20913" customFormat="false" ht="15" hidden="false" customHeight="true" outlineLevel="0" collapsed="false"/>
    <row r="20914" customFormat="false" ht="15" hidden="false" customHeight="true" outlineLevel="0" collapsed="false"/>
    <row r="20915" customFormat="false" ht="15" hidden="false" customHeight="true" outlineLevel="0" collapsed="false"/>
    <row r="20916" customFormat="false" ht="15" hidden="false" customHeight="true" outlineLevel="0" collapsed="false"/>
    <row r="20917" customFormat="false" ht="15" hidden="false" customHeight="true" outlineLevel="0" collapsed="false"/>
    <row r="20918" customFormat="false" ht="15" hidden="false" customHeight="true" outlineLevel="0" collapsed="false"/>
    <row r="20919" customFormat="false" ht="15" hidden="false" customHeight="true" outlineLevel="0" collapsed="false"/>
    <row r="20920" customFormat="false" ht="15" hidden="false" customHeight="true" outlineLevel="0" collapsed="false"/>
    <row r="20921" customFormat="false" ht="15" hidden="false" customHeight="true" outlineLevel="0" collapsed="false"/>
    <row r="20922" customFormat="false" ht="15" hidden="false" customHeight="true" outlineLevel="0" collapsed="false"/>
    <row r="20923" customFormat="false" ht="15" hidden="false" customHeight="true" outlineLevel="0" collapsed="false"/>
    <row r="20924" customFormat="false" ht="15" hidden="false" customHeight="true" outlineLevel="0" collapsed="false"/>
    <row r="20925" customFormat="false" ht="15" hidden="false" customHeight="true" outlineLevel="0" collapsed="false"/>
    <row r="20926" customFormat="false" ht="15" hidden="false" customHeight="true" outlineLevel="0" collapsed="false"/>
    <row r="20927" customFormat="false" ht="15" hidden="false" customHeight="true" outlineLevel="0" collapsed="false"/>
    <row r="20928" customFormat="false" ht="15" hidden="false" customHeight="true" outlineLevel="0" collapsed="false"/>
    <row r="20929" customFormat="false" ht="15" hidden="false" customHeight="true" outlineLevel="0" collapsed="false"/>
    <row r="20930" customFormat="false" ht="15" hidden="false" customHeight="true" outlineLevel="0" collapsed="false"/>
    <row r="20931" customFormat="false" ht="15" hidden="false" customHeight="true" outlineLevel="0" collapsed="false"/>
    <row r="20932" customFormat="false" ht="15" hidden="false" customHeight="true" outlineLevel="0" collapsed="false"/>
    <row r="20933" customFormat="false" ht="15" hidden="false" customHeight="true" outlineLevel="0" collapsed="false"/>
    <row r="20934" customFormat="false" ht="15" hidden="false" customHeight="true" outlineLevel="0" collapsed="false"/>
    <row r="20935" customFormat="false" ht="15" hidden="false" customHeight="true" outlineLevel="0" collapsed="false"/>
    <row r="20936" customFormat="false" ht="15" hidden="false" customHeight="true" outlineLevel="0" collapsed="false"/>
    <row r="20937" customFormat="false" ht="15" hidden="false" customHeight="true" outlineLevel="0" collapsed="false"/>
    <row r="20938" customFormat="false" ht="15" hidden="false" customHeight="true" outlineLevel="0" collapsed="false"/>
    <row r="20939" customFormat="false" ht="15" hidden="false" customHeight="true" outlineLevel="0" collapsed="false"/>
    <row r="20940" customFormat="false" ht="15" hidden="false" customHeight="true" outlineLevel="0" collapsed="false"/>
    <row r="20941" customFormat="false" ht="15" hidden="false" customHeight="true" outlineLevel="0" collapsed="false"/>
    <row r="20942" customFormat="false" ht="15" hidden="false" customHeight="true" outlineLevel="0" collapsed="false"/>
    <row r="20943" customFormat="false" ht="15" hidden="false" customHeight="true" outlineLevel="0" collapsed="false"/>
    <row r="20944" customFormat="false" ht="15" hidden="false" customHeight="true" outlineLevel="0" collapsed="false"/>
    <row r="20945" customFormat="false" ht="15" hidden="false" customHeight="true" outlineLevel="0" collapsed="false"/>
    <row r="20946" customFormat="false" ht="15" hidden="false" customHeight="true" outlineLevel="0" collapsed="false"/>
    <row r="20947" customFormat="false" ht="15" hidden="false" customHeight="true" outlineLevel="0" collapsed="false"/>
    <row r="20948" customFormat="false" ht="15" hidden="false" customHeight="true" outlineLevel="0" collapsed="false"/>
    <row r="20949" customFormat="false" ht="15" hidden="false" customHeight="true" outlineLevel="0" collapsed="false"/>
    <row r="20950" customFormat="false" ht="15" hidden="false" customHeight="true" outlineLevel="0" collapsed="false"/>
    <row r="20951" customFormat="false" ht="15" hidden="false" customHeight="true" outlineLevel="0" collapsed="false"/>
    <row r="20952" customFormat="false" ht="15" hidden="false" customHeight="true" outlineLevel="0" collapsed="false"/>
    <row r="20953" customFormat="false" ht="15" hidden="false" customHeight="true" outlineLevel="0" collapsed="false"/>
    <row r="20954" customFormat="false" ht="15" hidden="false" customHeight="true" outlineLevel="0" collapsed="false"/>
    <row r="20955" customFormat="false" ht="15" hidden="false" customHeight="true" outlineLevel="0" collapsed="false"/>
    <row r="20956" customFormat="false" ht="15" hidden="false" customHeight="true" outlineLevel="0" collapsed="false"/>
    <row r="20957" customFormat="false" ht="15" hidden="false" customHeight="true" outlineLevel="0" collapsed="false"/>
    <row r="20958" customFormat="false" ht="15" hidden="false" customHeight="true" outlineLevel="0" collapsed="false"/>
    <row r="20959" customFormat="false" ht="15" hidden="false" customHeight="true" outlineLevel="0" collapsed="false"/>
    <row r="20960" customFormat="false" ht="15" hidden="false" customHeight="true" outlineLevel="0" collapsed="false"/>
    <row r="20961" customFormat="false" ht="15" hidden="false" customHeight="true" outlineLevel="0" collapsed="false"/>
    <row r="20962" customFormat="false" ht="15" hidden="false" customHeight="true" outlineLevel="0" collapsed="false"/>
    <row r="20963" customFormat="false" ht="15" hidden="false" customHeight="true" outlineLevel="0" collapsed="false"/>
    <row r="20964" customFormat="false" ht="15" hidden="false" customHeight="true" outlineLevel="0" collapsed="false"/>
    <row r="20965" customFormat="false" ht="15" hidden="false" customHeight="true" outlineLevel="0" collapsed="false"/>
    <row r="20966" customFormat="false" ht="15" hidden="false" customHeight="true" outlineLevel="0" collapsed="false"/>
    <row r="20967" customFormat="false" ht="15" hidden="false" customHeight="true" outlineLevel="0" collapsed="false"/>
    <row r="20968" customFormat="false" ht="15" hidden="false" customHeight="true" outlineLevel="0" collapsed="false"/>
    <row r="20969" customFormat="false" ht="15" hidden="false" customHeight="true" outlineLevel="0" collapsed="false"/>
    <row r="20970" customFormat="false" ht="15" hidden="false" customHeight="true" outlineLevel="0" collapsed="false"/>
    <row r="20971" customFormat="false" ht="15" hidden="false" customHeight="true" outlineLevel="0" collapsed="false"/>
    <row r="20972" customFormat="false" ht="15" hidden="false" customHeight="true" outlineLevel="0" collapsed="false"/>
    <row r="20973" customFormat="false" ht="15" hidden="false" customHeight="true" outlineLevel="0" collapsed="false"/>
    <row r="20974" customFormat="false" ht="15" hidden="false" customHeight="true" outlineLevel="0" collapsed="false"/>
    <row r="20975" customFormat="false" ht="15" hidden="false" customHeight="true" outlineLevel="0" collapsed="false"/>
    <row r="20976" customFormat="false" ht="15" hidden="false" customHeight="true" outlineLevel="0" collapsed="false"/>
    <row r="20977" customFormat="false" ht="15" hidden="false" customHeight="true" outlineLevel="0" collapsed="false"/>
    <row r="20978" customFormat="false" ht="15" hidden="false" customHeight="true" outlineLevel="0" collapsed="false"/>
    <row r="20979" customFormat="false" ht="15" hidden="false" customHeight="true" outlineLevel="0" collapsed="false"/>
    <row r="20980" customFormat="false" ht="15" hidden="false" customHeight="true" outlineLevel="0" collapsed="false"/>
    <row r="20981" customFormat="false" ht="15" hidden="false" customHeight="true" outlineLevel="0" collapsed="false"/>
    <row r="20982" customFormat="false" ht="15" hidden="false" customHeight="true" outlineLevel="0" collapsed="false"/>
    <row r="20983" customFormat="false" ht="15" hidden="false" customHeight="true" outlineLevel="0" collapsed="false"/>
    <row r="20984" customFormat="false" ht="15" hidden="false" customHeight="true" outlineLevel="0" collapsed="false"/>
    <row r="20985" customFormat="false" ht="15" hidden="false" customHeight="true" outlineLevel="0" collapsed="false"/>
    <row r="20986" customFormat="false" ht="15" hidden="false" customHeight="true" outlineLevel="0" collapsed="false"/>
    <row r="20987" customFormat="false" ht="15" hidden="false" customHeight="true" outlineLevel="0" collapsed="false"/>
    <row r="20988" customFormat="false" ht="15" hidden="false" customHeight="true" outlineLevel="0" collapsed="false"/>
    <row r="20989" customFormat="false" ht="15" hidden="false" customHeight="true" outlineLevel="0" collapsed="false"/>
    <row r="20990" customFormat="false" ht="15" hidden="false" customHeight="true" outlineLevel="0" collapsed="false"/>
    <row r="20991" customFormat="false" ht="15" hidden="false" customHeight="true" outlineLevel="0" collapsed="false"/>
    <row r="20992" customFormat="false" ht="15" hidden="false" customHeight="true" outlineLevel="0" collapsed="false"/>
    <row r="20993" customFormat="false" ht="15" hidden="false" customHeight="true" outlineLevel="0" collapsed="false"/>
    <row r="20994" customFormat="false" ht="15" hidden="false" customHeight="true" outlineLevel="0" collapsed="false"/>
    <row r="20995" customFormat="false" ht="15" hidden="false" customHeight="true" outlineLevel="0" collapsed="false"/>
    <row r="20996" customFormat="false" ht="15" hidden="false" customHeight="true" outlineLevel="0" collapsed="false"/>
    <row r="20997" customFormat="false" ht="15" hidden="false" customHeight="true" outlineLevel="0" collapsed="false"/>
    <row r="20998" customFormat="false" ht="15" hidden="false" customHeight="true" outlineLevel="0" collapsed="false"/>
    <row r="20999" customFormat="false" ht="15" hidden="false" customHeight="true" outlineLevel="0" collapsed="false"/>
    <row r="21000" customFormat="false" ht="15" hidden="false" customHeight="true" outlineLevel="0" collapsed="false"/>
    <row r="21001" customFormat="false" ht="15" hidden="false" customHeight="true" outlineLevel="0" collapsed="false"/>
    <row r="21002" customFormat="false" ht="15" hidden="false" customHeight="true" outlineLevel="0" collapsed="false"/>
    <row r="21003" customFormat="false" ht="15" hidden="false" customHeight="true" outlineLevel="0" collapsed="false"/>
    <row r="21004" customFormat="false" ht="15" hidden="false" customHeight="true" outlineLevel="0" collapsed="false"/>
    <row r="21005" customFormat="false" ht="15" hidden="false" customHeight="true" outlineLevel="0" collapsed="false"/>
    <row r="21006" customFormat="false" ht="15" hidden="false" customHeight="true" outlineLevel="0" collapsed="false"/>
    <row r="21007" customFormat="false" ht="15" hidden="false" customHeight="true" outlineLevel="0" collapsed="false"/>
    <row r="21008" customFormat="false" ht="15" hidden="false" customHeight="true" outlineLevel="0" collapsed="false"/>
    <row r="21009" customFormat="false" ht="15" hidden="false" customHeight="true" outlineLevel="0" collapsed="false"/>
    <row r="21010" customFormat="false" ht="15" hidden="false" customHeight="true" outlineLevel="0" collapsed="false"/>
    <row r="21011" customFormat="false" ht="15" hidden="false" customHeight="true" outlineLevel="0" collapsed="false"/>
    <row r="21012" customFormat="false" ht="15" hidden="false" customHeight="true" outlineLevel="0" collapsed="false"/>
    <row r="21013" customFormat="false" ht="15" hidden="false" customHeight="true" outlineLevel="0" collapsed="false"/>
    <row r="21014" customFormat="false" ht="15" hidden="false" customHeight="true" outlineLevel="0" collapsed="false"/>
    <row r="21015" customFormat="false" ht="15" hidden="false" customHeight="true" outlineLevel="0" collapsed="false"/>
    <row r="21016" customFormat="false" ht="15" hidden="false" customHeight="true" outlineLevel="0" collapsed="false"/>
    <row r="21017" customFormat="false" ht="15" hidden="false" customHeight="true" outlineLevel="0" collapsed="false"/>
    <row r="21018" customFormat="false" ht="15" hidden="false" customHeight="true" outlineLevel="0" collapsed="false"/>
    <row r="21019" customFormat="false" ht="15" hidden="false" customHeight="true" outlineLevel="0" collapsed="false"/>
    <row r="21020" customFormat="false" ht="15" hidden="false" customHeight="true" outlineLevel="0" collapsed="false"/>
    <row r="21021" customFormat="false" ht="15" hidden="false" customHeight="true" outlineLevel="0" collapsed="false"/>
    <row r="21022" customFormat="false" ht="15" hidden="false" customHeight="true" outlineLevel="0" collapsed="false"/>
    <row r="21023" customFormat="false" ht="15" hidden="false" customHeight="true" outlineLevel="0" collapsed="false"/>
    <row r="21024" customFormat="false" ht="15" hidden="false" customHeight="true" outlineLevel="0" collapsed="false"/>
    <row r="21025" customFormat="false" ht="15" hidden="false" customHeight="true" outlineLevel="0" collapsed="false"/>
    <row r="21026" customFormat="false" ht="15" hidden="false" customHeight="true" outlineLevel="0" collapsed="false"/>
    <row r="21027" customFormat="false" ht="15" hidden="false" customHeight="true" outlineLevel="0" collapsed="false"/>
    <row r="21028" customFormat="false" ht="15" hidden="false" customHeight="true" outlineLevel="0" collapsed="false"/>
    <row r="21029" customFormat="false" ht="15" hidden="false" customHeight="true" outlineLevel="0" collapsed="false"/>
    <row r="21030" customFormat="false" ht="15" hidden="false" customHeight="true" outlineLevel="0" collapsed="false"/>
    <row r="21031" customFormat="false" ht="15" hidden="false" customHeight="true" outlineLevel="0" collapsed="false"/>
    <row r="21032" customFormat="false" ht="15" hidden="false" customHeight="true" outlineLevel="0" collapsed="false"/>
    <row r="21033" customFormat="false" ht="15" hidden="false" customHeight="true" outlineLevel="0" collapsed="false"/>
    <row r="21034" customFormat="false" ht="15" hidden="false" customHeight="true" outlineLevel="0" collapsed="false"/>
    <row r="21035" customFormat="false" ht="15" hidden="false" customHeight="true" outlineLevel="0" collapsed="false"/>
    <row r="21036" customFormat="false" ht="15" hidden="false" customHeight="true" outlineLevel="0" collapsed="false"/>
    <row r="21037" customFormat="false" ht="15" hidden="false" customHeight="true" outlineLevel="0" collapsed="false"/>
    <row r="21038" customFormat="false" ht="15" hidden="false" customHeight="true" outlineLevel="0" collapsed="false"/>
    <row r="21039" customFormat="false" ht="15" hidden="false" customHeight="true" outlineLevel="0" collapsed="false"/>
    <row r="21040" customFormat="false" ht="15" hidden="false" customHeight="true" outlineLevel="0" collapsed="false"/>
    <row r="21041" customFormat="false" ht="15" hidden="false" customHeight="true" outlineLevel="0" collapsed="false"/>
    <row r="21042" customFormat="false" ht="15" hidden="false" customHeight="true" outlineLevel="0" collapsed="false"/>
    <row r="21043" customFormat="false" ht="15" hidden="false" customHeight="true" outlineLevel="0" collapsed="false"/>
    <row r="21044" customFormat="false" ht="15" hidden="false" customHeight="true" outlineLevel="0" collapsed="false"/>
    <row r="21045" customFormat="false" ht="15" hidden="false" customHeight="true" outlineLevel="0" collapsed="false"/>
    <row r="21046" customFormat="false" ht="15" hidden="false" customHeight="true" outlineLevel="0" collapsed="false"/>
    <row r="21047" customFormat="false" ht="15" hidden="false" customHeight="true" outlineLevel="0" collapsed="false"/>
    <row r="21048" customFormat="false" ht="15" hidden="false" customHeight="true" outlineLevel="0" collapsed="false"/>
    <row r="21049" customFormat="false" ht="15" hidden="false" customHeight="true" outlineLevel="0" collapsed="false"/>
    <row r="21050" customFormat="false" ht="15" hidden="false" customHeight="true" outlineLevel="0" collapsed="false"/>
    <row r="21051" customFormat="false" ht="15" hidden="false" customHeight="true" outlineLevel="0" collapsed="false"/>
    <row r="21052" customFormat="false" ht="15" hidden="false" customHeight="true" outlineLevel="0" collapsed="false"/>
    <row r="21053" customFormat="false" ht="15" hidden="false" customHeight="true" outlineLevel="0" collapsed="false"/>
    <row r="21054" customFormat="false" ht="15" hidden="false" customHeight="true" outlineLevel="0" collapsed="false"/>
    <row r="21055" customFormat="false" ht="15" hidden="false" customHeight="true" outlineLevel="0" collapsed="false"/>
    <row r="21056" customFormat="false" ht="15" hidden="false" customHeight="true" outlineLevel="0" collapsed="false"/>
    <row r="21057" customFormat="false" ht="15" hidden="false" customHeight="true" outlineLevel="0" collapsed="false"/>
    <row r="21058" customFormat="false" ht="15" hidden="false" customHeight="true" outlineLevel="0" collapsed="false"/>
    <row r="21059" customFormat="false" ht="15" hidden="false" customHeight="true" outlineLevel="0" collapsed="false"/>
    <row r="21060" customFormat="false" ht="15" hidden="false" customHeight="true" outlineLevel="0" collapsed="false"/>
    <row r="21061" customFormat="false" ht="15" hidden="false" customHeight="true" outlineLevel="0" collapsed="false"/>
    <row r="21062" customFormat="false" ht="15" hidden="false" customHeight="true" outlineLevel="0" collapsed="false"/>
    <row r="21063" customFormat="false" ht="15" hidden="false" customHeight="true" outlineLevel="0" collapsed="false"/>
    <row r="21064" customFormat="false" ht="15" hidden="false" customHeight="true" outlineLevel="0" collapsed="false"/>
    <row r="21065" customFormat="false" ht="15" hidden="false" customHeight="true" outlineLevel="0" collapsed="false"/>
    <row r="21066" customFormat="false" ht="15" hidden="false" customHeight="true" outlineLevel="0" collapsed="false"/>
    <row r="21067" customFormat="false" ht="15" hidden="false" customHeight="true" outlineLevel="0" collapsed="false"/>
    <row r="21068" customFormat="false" ht="15" hidden="false" customHeight="true" outlineLevel="0" collapsed="false"/>
    <row r="21069" customFormat="false" ht="15" hidden="false" customHeight="true" outlineLevel="0" collapsed="false"/>
    <row r="21070" customFormat="false" ht="15" hidden="false" customHeight="true" outlineLevel="0" collapsed="false"/>
    <row r="21071" customFormat="false" ht="15" hidden="false" customHeight="true" outlineLevel="0" collapsed="false"/>
    <row r="21072" customFormat="false" ht="15" hidden="false" customHeight="true" outlineLevel="0" collapsed="false"/>
    <row r="21073" customFormat="false" ht="15" hidden="false" customHeight="true" outlineLevel="0" collapsed="false"/>
    <row r="21074" customFormat="false" ht="15" hidden="false" customHeight="true" outlineLevel="0" collapsed="false"/>
    <row r="21075" customFormat="false" ht="15" hidden="false" customHeight="true" outlineLevel="0" collapsed="false"/>
    <row r="21076" customFormat="false" ht="15" hidden="false" customHeight="true" outlineLevel="0" collapsed="false"/>
    <row r="21077" customFormat="false" ht="15" hidden="false" customHeight="true" outlineLevel="0" collapsed="false"/>
    <row r="21078" customFormat="false" ht="15" hidden="false" customHeight="true" outlineLevel="0" collapsed="false"/>
    <row r="21079" customFormat="false" ht="15" hidden="false" customHeight="true" outlineLevel="0" collapsed="false"/>
    <row r="21080" customFormat="false" ht="15" hidden="false" customHeight="true" outlineLevel="0" collapsed="false"/>
    <row r="21081" customFormat="false" ht="15" hidden="false" customHeight="true" outlineLevel="0" collapsed="false"/>
    <row r="21082" customFormat="false" ht="15" hidden="false" customHeight="true" outlineLevel="0" collapsed="false"/>
    <row r="21083" customFormat="false" ht="15" hidden="false" customHeight="true" outlineLevel="0" collapsed="false"/>
    <row r="21084" customFormat="false" ht="15" hidden="false" customHeight="true" outlineLevel="0" collapsed="false"/>
    <row r="21085" customFormat="false" ht="15" hidden="false" customHeight="true" outlineLevel="0" collapsed="false"/>
    <row r="21086" customFormat="false" ht="15" hidden="false" customHeight="true" outlineLevel="0" collapsed="false"/>
    <row r="21087" customFormat="false" ht="15" hidden="false" customHeight="true" outlineLevel="0" collapsed="false"/>
    <row r="21088" customFormat="false" ht="15" hidden="false" customHeight="true" outlineLevel="0" collapsed="false"/>
    <row r="21089" customFormat="false" ht="15" hidden="false" customHeight="true" outlineLevel="0" collapsed="false"/>
    <row r="21090" customFormat="false" ht="15" hidden="false" customHeight="true" outlineLevel="0" collapsed="false"/>
    <row r="21091" customFormat="false" ht="15" hidden="false" customHeight="true" outlineLevel="0" collapsed="false"/>
    <row r="21092" customFormat="false" ht="15" hidden="false" customHeight="true" outlineLevel="0" collapsed="false"/>
    <row r="21093" customFormat="false" ht="15" hidden="false" customHeight="true" outlineLevel="0" collapsed="false"/>
    <row r="21094" customFormat="false" ht="15" hidden="false" customHeight="true" outlineLevel="0" collapsed="false"/>
    <row r="21095" customFormat="false" ht="15" hidden="false" customHeight="true" outlineLevel="0" collapsed="false"/>
    <row r="21096" customFormat="false" ht="15" hidden="false" customHeight="true" outlineLevel="0" collapsed="false"/>
    <row r="21097" customFormat="false" ht="15" hidden="false" customHeight="true" outlineLevel="0" collapsed="false"/>
    <row r="21098" customFormat="false" ht="15" hidden="false" customHeight="true" outlineLevel="0" collapsed="false"/>
    <row r="21099" customFormat="false" ht="15" hidden="false" customHeight="true" outlineLevel="0" collapsed="false"/>
    <row r="21100" customFormat="false" ht="15" hidden="false" customHeight="true" outlineLevel="0" collapsed="false"/>
    <row r="21101" customFormat="false" ht="15" hidden="false" customHeight="true" outlineLevel="0" collapsed="false"/>
    <row r="21102" customFormat="false" ht="15" hidden="false" customHeight="true" outlineLevel="0" collapsed="false"/>
    <row r="21103" customFormat="false" ht="15" hidden="false" customHeight="true" outlineLevel="0" collapsed="false"/>
    <row r="21104" customFormat="false" ht="15" hidden="false" customHeight="true" outlineLevel="0" collapsed="false"/>
    <row r="21105" customFormat="false" ht="15" hidden="false" customHeight="true" outlineLevel="0" collapsed="false"/>
    <row r="21106" customFormat="false" ht="15" hidden="false" customHeight="true" outlineLevel="0" collapsed="false"/>
    <row r="21107" customFormat="false" ht="15" hidden="false" customHeight="true" outlineLevel="0" collapsed="false"/>
    <row r="21108" customFormat="false" ht="15" hidden="false" customHeight="true" outlineLevel="0" collapsed="false"/>
    <row r="21109" customFormat="false" ht="15" hidden="false" customHeight="true" outlineLevel="0" collapsed="false"/>
    <row r="21110" customFormat="false" ht="15" hidden="false" customHeight="true" outlineLevel="0" collapsed="false"/>
    <row r="21111" customFormat="false" ht="15" hidden="false" customHeight="true" outlineLevel="0" collapsed="false"/>
    <row r="21112" customFormat="false" ht="15" hidden="false" customHeight="true" outlineLevel="0" collapsed="false"/>
    <row r="21113" customFormat="false" ht="15" hidden="false" customHeight="true" outlineLevel="0" collapsed="false"/>
    <row r="21114" customFormat="false" ht="15" hidden="false" customHeight="true" outlineLevel="0" collapsed="false"/>
    <row r="21115" customFormat="false" ht="15" hidden="false" customHeight="true" outlineLevel="0" collapsed="false"/>
    <row r="21116" customFormat="false" ht="15" hidden="false" customHeight="true" outlineLevel="0" collapsed="false"/>
    <row r="21117" customFormat="false" ht="15" hidden="false" customHeight="true" outlineLevel="0" collapsed="false"/>
    <row r="21118" customFormat="false" ht="15" hidden="false" customHeight="true" outlineLevel="0" collapsed="false"/>
    <row r="21119" customFormat="false" ht="15" hidden="false" customHeight="true" outlineLevel="0" collapsed="false"/>
    <row r="21120" customFormat="false" ht="15" hidden="false" customHeight="true" outlineLevel="0" collapsed="false"/>
    <row r="21121" customFormat="false" ht="15" hidden="false" customHeight="true" outlineLevel="0" collapsed="false"/>
    <row r="21122" customFormat="false" ht="15" hidden="false" customHeight="true" outlineLevel="0" collapsed="false"/>
    <row r="21123" customFormat="false" ht="15" hidden="false" customHeight="true" outlineLevel="0" collapsed="false"/>
    <row r="21124" customFormat="false" ht="15" hidden="false" customHeight="true" outlineLevel="0" collapsed="false"/>
    <row r="21125" customFormat="false" ht="15" hidden="false" customHeight="true" outlineLevel="0" collapsed="false"/>
    <row r="21126" customFormat="false" ht="15" hidden="false" customHeight="true" outlineLevel="0" collapsed="false"/>
    <row r="21127" customFormat="false" ht="15" hidden="false" customHeight="true" outlineLevel="0" collapsed="false"/>
    <row r="21128" customFormat="false" ht="15" hidden="false" customHeight="true" outlineLevel="0" collapsed="false"/>
    <row r="21129" customFormat="false" ht="15" hidden="false" customHeight="true" outlineLevel="0" collapsed="false"/>
    <row r="21130" customFormat="false" ht="15" hidden="false" customHeight="true" outlineLevel="0" collapsed="false"/>
    <row r="21131" customFormat="false" ht="15" hidden="false" customHeight="true" outlineLevel="0" collapsed="false"/>
    <row r="21132" customFormat="false" ht="15" hidden="false" customHeight="true" outlineLevel="0" collapsed="false"/>
    <row r="21133" customFormat="false" ht="15" hidden="false" customHeight="true" outlineLevel="0" collapsed="false"/>
    <row r="21134" customFormat="false" ht="15" hidden="false" customHeight="true" outlineLevel="0" collapsed="false"/>
    <row r="21135" customFormat="false" ht="15" hidden="false" customHeight="true" outlineLevel="0" collapsed="false"/>
    <row r="21136" customFormat="false" ht="15" hidden="false" customHeight="true" outlineLevel="0" collapsed="false"/>
    <row r="21137" customFormat="false" ht="15" hidden="false" customHeight="true" outlineLevel="0" collapsed="false"/>
    <row r="21138" customFormat="false" ht="15" hidden="false" customHeight="true" outlineLevel="0" collapsed="false"/>
    <row r="21139" customFormat="false" ht="15" hidden="false" customHeight="true" outlineLevel="0" collapsed="false"/>
    <row r="21140" customFormat="false" ht="15" hidden="false" customHeight="true" outlineLevel="0" collapsed="false"/>
    <row r="21141" customFormat="false" ht="15" hidden="false" customHeight="true" outlineLevel="0" collapsed="false"/>
    <row r="21142" customFormat="false" ht="15" hidden="false" customHeight="true" outlineLevel="0" collapsed="false"/>
    <row r="21143" customFormat="false" ht="15" hidden="false" customHeight="true" outlineLevel="0" collapsed="false"/>
    <row r="21144" customFormat="false" ht="15" hidden="false" customHeight="true" outlineLevel="0" collapsed="false"/>
    <row r="21145" customFormat="false" ht="15" hidden="false" customHeight="true" outlineLevel="0" collapsed="false"/>
    <row r="21146" customFormat="false" ht="15" hidden="false" customHeight="true" outlineLevel="0" collapsed="false"/>
    <row r="21147" customFormat="false" ht="15" hidden="false" customHeight="true" outlineLevel="0" collapsed="false"/>
    <row r="21148" customFormat="false" ht="15" hidden="false" customHeight="true" outlineLevel="0" collapsed="false"/>
    <row r="21149" customFormat="false" ht="15" hidden="false" customHeight="true" outlineLevel="0" collapsed="false"/>
    <row r="21150" customFormat="false" ht="15" hidden="false" customHeight="true" outlineLevel="0" collapsed="false"/>
    <row r="21151" customFormat="false" ht="15" hidden="false" customHeight="true" outlineLevel="0" collapsed="false"/>
    <row r="21152" customFormat="false" ht="15" hidden="false" customHeight="true" outlineLevel="0" collapsed="false"/>
    <row r="21153" customFormat="false" ht="15" hidden="false" customHeight="true" outlineLevel="0" collapsed="false"/>
    <row r="21154" customFormat="false" ht="15" hidden="false" customHeight="true" outlineLevel="0" collapsed="false"/>
    <row r="21155" customFormat="false" ht="15" hidden="false" customHeight="true" outlineLevel="0" collapsed="false"/>
    <row r="21156" customFormat="false" ht="15" hidden="false" customHeight="true" outlineLevel="0" collapsed="false"/>
    <row r="21157" customFormat="false" ht="15" hidden="false" customHeight="true" outlineLevel="0" collapsed="false"/>
    <row r="21158" customFormat="false" ht="15" hidden="false" customHeight="true" outlineLevel="0" collapsed="false"/>
    <row r="21159" customFormat="false" ht="15" hidden="false" customHeight="true" outlineLevel="0" collapsed="false"/>
    <row r="21160" customFormat="false" ht="15" hidden="false" customHeight="true" outlineLevel="0" collapsed="false"/>
    <row r="21161" customFormat="false" ht="15" hidden="false" customHeight="true" outlineLevel="0" collapsed="false"/>
    <row r="21162" customFormat="false" ht="15" hidden="false" customHeight="true" outlineLevel="0" collapsed="false"/>
    <row r="21163" customFormat="false" ht="15" hidden="false" customHeight="true" outlineLevel="0" collapsed="false"/>
    <row r="21164" customFormat="false" ht="15" hidden="false" customHeight="true" outlineLevel="0" collapsed="false"/>
    <row r="21165" customFormat="false" ht="15" hidden="false" customHeight="true" outlineLevel="0" collapsed="false"/>
    <row r="21166" customFormat="false" ht="15" hidden="false" customHeight="true" outlineLevel="0" collapsed="false"/>
    <row r="21167" customFormat="false" ht="15" hidden="false" customHeight="true" outlineLevel="0" collapsed="false"/>
    <row r="21168" customFormat="false" ht="15" hidden="false" customHeight="true" outlineLevel="0" collapsed="false"/>
    <row r="21169" customFormat="false" ht="15" hidden="false" customHeight="true" outlineLevel="0" collapsed="false"/>
    <row r="21170" customFormat="false" ht="15" hidden="false" customHeight="true" outlineLevel="0" collapsed="false"/>
    <row r="21171" customFormat="false" ht="15" hidden="false" customHeight="true" outlineLevel="0" collapsed="false"/>
    <row r="21172" customFormat="false" ht="15" hidden="false" customHeight="true" outlineLevel="0" collapsed="false"/>
    <row r="21173" customFormat="false" ht="15" hidden="false" customHeight="true" outlineLevel="0" collapsed="false"/>
    <row r="21174" customFormat="false" ht="15" hidden="false" customHeight="true" outlineLevel="0" collapsed="false"/>
    <row r="21175" customFormat="false" ht="15" hidden="false" customHeight="true" outlineLevel="0" collapsed="false"/>
    <row r="21176" customFormat="false" ht="15" hidden="false" customHeight="true" outlineLevel="0" collapsed="false"/>
    <row r="21177" customFormat="false" ht="15" hidden="false" customHeight="true" outlineLevel="0" collapsed="false"/>
    <row r="21178" customFormat="false" ht="15" hidden="false" customHeight="true" outlineLevel="0" collapsed="false"/>
    <row r="21179" customFormat="false" ht="15" hidden="false" customHeight="true" outlineLevel="0" collapsed="false"/>
    <row r="21180" customFormat="false" ht="15" hidden="false" customHeight="true" outlineLevel="0" collapsed="false"/>
    <row r="21181" customFormat="false" ht="15" hidden="false" customHeight="true" outlineLevel="0" collapsed="false"/>
    <row r="21182" customFormat="false" ht="15" hidden="false" customHeight="true" outlineLevel="0" collapsed="false"/>
    <row r="21183" customFormat="false" ht="15" hidden="false" customHeight="true" outlineLevel="0" collapsed="false"/>
    <row r="21184" customFormat="false" ht="15" hidden="false" customHeight="true" outlineLevel="0" collapsed="false"/>
    <row r="21185" customFormat="false" ht="15" hidden="false" customHeight="true" outlineLevel="0" collapsed="false"/>
    <row r="21186" customFormat="false" ht="15" hidden="false" customHeight="true" outlineLevel="0" collapsed="false"/>
    <row r="21187" customFormat="false" ht="15" hidden="false" customHeight="true" outlineLevel="0" collapsed="false"/>
    <row r="21188" customFormat="false" ht="15" hidden="false" customHeight="true" outlineLevel="0" collapsed="false"/>
    <row r="21189" customFormat="false" ht="15" hidden="false" customHeight="true" outlineLevel="0" collapsed="false"/>
    <row r="21190" customFormat="false" ht="15" hidden="false" customHeight="true" outlineLevel="0" collapsed="false"/>
    <row r="21191" customFormat="false" ht="15" hidden="false" customHeight="true" outlineLevel="0" collapsed="false"/>
    <row r="21192" customFormat="false" ht="15" hidden="false" customHeight="true" outlineLevel="0" collapsed="false"/>
    <row r="21193" customFormat="false" ht="15" hidden="false" customHeight="true" outlineLevel="0" collapsed="false"/>
    <row r="21194" customFormat="false" ht="15" hidden="false" customHeight="true" outlineLevel="0" collapsed="false"/>
    <row r="21195" customFormat="false" ht="15" hidden="false" customHeight="true" outlineLevel="0" collapsed="false"/>
    <row r="21196" customFormat="false" ht="15" hidden="false" customHeight="true" outlineLevel="0" collapsed="false"/>
    <row r="21197" customFormat="false" ht="15" hidden="false" customHeight="true" outlineLevel="0" collapsed="false"/>
    <row r="21198" customFormat="false" ht="15" hidden="false" customHeight="true" outlineLevel="0" collapsed="false"/>
    <row r="21199" customFormat="false" ht="15" hidden="false" customHeight="true" outlineLevel="0" collapsed="false"/>
    <row r="21200" customFormat="false" ht="15" hidden="false" customHeight="true" outlineLevel="0" collapsed="false"/>
    <row r="21201" customFormat="false" ht="15" hidden="false" customHeight="true" outlineLevel="0" collapsed="false"/>
    <row r="21202" customFormat="false" ht="15" hidden="false" customHeight="true" outlineLevel="0" collapsed="false"/>
    <row r="21203" customFormat="false" ht="15" hidden="false" customHeight="true" outlineLevel="0" collapsed="false"/>
    <row r="21204" customFormat="false" ht="15" hidden="false" customHeight="true" outlineLevel="0" collapsed="false"/>
    <row r="21205" customFormat="false" ht="15" hidden="false" customHeight="true" outlineLevel="0" collapsed="false"/>
    <row r="21206" customFormat="false" ht="15" hidden="false" customHeight="true" outlineLevel="0" collapsed="false"/>
    <row r="21207" customFormat="false" ht="15" hidden="false" customHeight="true" outlineLevel="0" collapsed="false"/>
    <row r="21208" customFormat="false" ht="15" hidden="false" customHeight="true" outlineLevel="0" collapsed="false"/>
    <row r="21209" customFormat="false" ht="15" hidden="false" customHeight="true" outlineLevel="0" collapsed="false"/>
    <row r="21210" customFormat="false" ht="15" hidden="false" customHeight="true" outlineLevel="0" collapsed="false"/>
    <row r="21211" customFormat="false" ht="15" hidden="false" customHeight="true" outlineLevel="0" collapsed="false"/>
    <row r="21212" customFormat="false" ht="15" hidden="false" customHeight="true" outlineLevel="0" collapsed="false"/>
    <row r="21213" customFormat="false" ht="15" hidden="false" customHeight="true" outlineLevel="0" collapsed="false"/>
    <row r="21214" customFormat="false" ht="15" hidden="false" customHeight="true" outlineLevel="0" collapsed="false"/>
    <row r="21215" customFormat="false" ht="15" hidden="false" customHeight="true" outlineLevel="0" collapsed="false"/>
    <row r="21216" customFormat="false" ht="15" hidden="false" customHeight="true" outlineLevel="0" collapsed="false"/>
    <row r="21217" customFormat="false" ht="15" hidden="false" customHeight="true" outlineLevel="0" collapsed="false"/>
    <row r="21218" customFormat="false" ht="15" hidden="false" customHeight="true" outlineLevel="0" collapsed="false"/>
    <row r="21219" customFormat="false" ht="15" hidden="false" customHeight="true" outlineLevel="0" collapsed="false"/>
    <row r="21220" customFormat="false" ht="15" hidden="false" customHeight="true" outlineLevel="0" collapsed="false"/>
    <row r="21221" customFormat="false" ht="15" hidden="false" customHeight="true" outlineLevel="0" collapsed="false"/>
    <row r="21222" customFormat="false" ht="15" hidden="false" customHeight="true" outlineLevel="0" collapsed="false"/>
    <row r="21223" customFormat="false" ht="15" hidden="false" customHeight="true" outlineLevel="0" collapsed="false"/>
    <row r="21224" customFormat="false" ht="15" hidden="false" customHeight="true" outlineLevel="0" collapsed="false"/>
    <row r="21225" customFormat="false" ht="15" hidden="false" customHeight="true" outlineLevel="0" collapsed="false"/>
    <row r="21226" customFormat="false" ht="15" hidden="false" customHeight="true" outlineLevel="0" collapsed="false"/>
    <row r="21227" customFormat="false" ht="15" hidden="false" customHeight="true" outlineLevel="0" collapsed="false"/>
    <row r="21228" customFormat="false" ht="15" hidden="false" customHeight="true" outlineLevel="0" collapsed="false"/>
    <row r="21229" customFormat="false" ht="15" hidden="false" customHeight="true" outlineLevel="0" collapsed="false"/>
    <row r="21230" customFormat="false" ht="15" hidden="false" customHeight="true" outlineLevel="0" collapsed="false"/>
    <row r="21231" customFormat="false" ht="15" hidden="false" customHeight="true" outlineLevel="0" collapsed="false"/>
    <row r="21232" customFormat="false" ht="15" hidden="false" customHeight="true" outlineLevel="0" collapsed="false"/>
    <row r="21233" customFormat="false" ht="15" hidden="false" customHeight="true" outlineLevel="0" collapsed="false"/>
    <row r="21234" customFormat="false" ht="15" hidden="false" customHeight="true" outlineLevel="0" collapsed="false"/>
    <row r="21235" customFormat="false" ht="15" hidden="false" customHeight="true" outlineLevel="0" collapsed="false"/>
    <row r="21236" customFormat="false" ht="15" hidden="false" customHeight="true" outlineLevel="0" collapsed="false"/>
    <row r="21237" customFormat="false" ht="15" hidden="false" customHeight="true" outlineLevel="0" collapsed="false"/>
    <row r="21238" customFormat="false" ht="15" hidden="false" customHeight="true" outlineLevel="0" collapsed="false"/>
    <row r="21239" customFormat="false" ht="15" hidden="false" customHeight="true" outlineLevel="0" collapsed="false"/>
    <row r="21240" customFormat="false" ht="15" hidden="false" customHeight="true" outlineLevel="0" collapsed="false"/>
    <row r="21241" customFormat="false" ht="15" hidden="false" customHeight="true" outlineLevel="0" collapsed="false"/>
    <row r="21242" customFormat="false" ht="15" hidden="false" customHeight="true" outlineLevel="0" collapsed="false"/>
    <row r="21243" customFormat="false" ht="15" hidden="false" customHeight="true" outlineLevel="0" collapsed="false"/>
    <row r="21244" customFormat="false" ht="15" hidden="false" customHeight="true" outlineLevel="0" collapsed="false"/>
    <row r="21245" customFormat="false" ht="15" hidden="false" customHeight="true" outlineLevel="0" collapsed="false"/>
    <row r="21246" customFormat="false" ht="15" hidden="false" customHeight="true" outlineLevel="0" collapsed="false"/>
    <row r="21247" customFormat="false" ht="15" hidden="false" customHeight="true" outlineLevel="0" collapsed="false"/>
    <row r="21248" customFormat="false" ht="15" hidden="false" customHeight="true" outlineLevel="0" collapsed="false"/>
    <row r="21249" customFormat="false" ht="15" hidden="false" customHeight="true" outlineLevel="0" collapsed="false"/>
    <row r="21250" customFormat="false" ht="15" hidden="false" customHeight="true" outlineLevel="0" collapsed="false"/>
    <row r="21251" customFormat="false" ht="15" hidden="false" customHeight="true" outlineLevel="0" collapsed="false"/>
    <row r="21252" customFormat="false" ht="15" hidden="false" customHeight="true" outlineLevel="0" collapsed="false"/>
    <row r="21253" customFormat="false" ht="15" hidden="false" customHeight="true" outlineLevel="0" collapsed="false"/>
    <row r="21254" customFormat="false" ht="15" hidden="false" customHeight="true" outlineLevel="0" collapsed="false"/>
    <row r="21255" customFormat="false" ht="15" hidden="false" customHeight="true" outlineLevel="0" collapsed="false"/>
    <row r="21256" customFormat="false" ht="15" hidden="false" customHeight="true" outlineLevel="0" collapsed="false"/>
    <row r="21257" customFormat="false" ht="15" hidden="false" customHeight="true" outlineLevel="0" collapsed="false"/>
    <row r="21258" customFormat="false" ht="15" hidden="false" customHeight="true" outlineLevel="0" collapsed="false"/>
    <row r="21259" customFormat="false" ht="15" hidden="false" customHeight="true" outlineLevel="0" collapsed="false"/>
    <row r="21260" customFormat="false" ht="15" hidden="false" customHeight="true" outlineLevel="0" collapsed="false"/>
    <row r="21261" customFormat="false" ht="15" hidden="false" customHeight="true" outlineLevel="0" collapsed="false"/>
    <row r="21262" customFormat="false" ht="15" hidden="false" customHeight="true" outlineLevel="0" collapsed="false"/>
    <row r="21263" customFormat="false" ht="15" hidden="false" customHeight="true" outlineLevel="0" collapsed="false"/>
    <row r="21264" customFormat="false" ht="15" hidden="false" customHeight="true" outlineLevel="0" collapsed="false"/>
    <row r="21265" customFormat="false" ht="15" hidden="false" customHeight="true" outlineLevel="0" collapsed="false"/>
    <row r="21266" customFormat="false" ht="15" hidden="false" customHeight="true" outlineLevel="0" collapsed="false"/>
    <row r="21267" customFormat="false" ht="15" hidden="false" customHeight="true" outlineLevel="0" collapsed="false"/>
    <row r="21268" customFormat="false" ht="15" hidden="false" customHeight="true" outlineLevel="0" collapsed="false"/>
    <row r="21269" customFormat="false" ht="15" hidden="false" customHeight="true" outlineLevel="0" collapsed="false"/>
    <row r="21270" customFormat="false" ht="15" hidden="false" customHeight="true" outlineLevel="0" collapsed="false"/>
    <row r="21271" customFormat="false" ht="15" hidden="false" customHeight="true" outlineLevel="0" collapsed="false"/>
    <row r="21272" customFormat="false" ht="15" hidden="false" customHeight="true" outlineLevel="0" collapsed="false"/>
    <row r="21273" customFormat="false" ht="15" hidden="false" customHeight="true" outlineLevel="0" collapsed="false"/>
    <row r="21274" customFormat="false" ht="15" hidden="false" customHeight="true" outlineLevel="0" collapsed="false"/>
    <row r="21275" customFormat="false" ht="15" hidden="false" customHeight="true" outlineLevel="0" collapsed="false"/>
    <row r="21276" customFormat="false" ht="15" hidden="false" customHeight="true" outlineLevel="0" collapsed="false"/>
    <row r="21277" customFormat="false" ht="15" hidden="false" customHeight="true" outlineLevel="0" collapsed="false"/>
    <row r="21278" customFormat="false" ht="15" hidden="false" customHeight="true" outlineLevel="0" collapsed="false"/>
    <row r="21279" customFormat="false" ht="15" hidden="false" customHeight="true" outlineLevel="0" collapsed="false"/>
    <row r="21280" customFormat="false" ht="15" hidden="false" customHeight="true" outlineLevel="0" collapsed="false"/>
    <row r="21281" customFormat="false" ht="15" hidden="false" customHeight="true" outlineLevel="0" collapsed="false"/>
    <row r="21282" customFormat="false" ht="15" hidden="false" customHeight="true" outlineLevel="0" collapsed="false"/>
    <row r="21283" customFormat="false" ht="15" hidden="false" customHeight="true" outlineLevel="0" collapsed="false"/>
    <row r="21284" customFormat="false" ht="15" hidden="false" customHeight="true" outlineLevel="0" collapsed="false"/>
    <row r="21285" customFormat="false" ht="15" hidden="false" customHeight="true" outlineLevel="0" collapsed="false"/>
    <row r="21286" customFormat="false" ht="15" hidden="false" customHeight="true" outlineLevel="0" collapsed="false"/>
    <row r="21287" customFormat="false" ht="15" hidden="false" customHeight="true" outlineLevel="0" collapsed="false"/>
    <row r="21288" customFormat="false" ht="15" hidden="false" customHeight="true" outlineLevel="0" collapsed="false"/>
    <row r="21289" customFormat="false" ht="15" hidden="false" customHeight="true" outlineLevel="0" collapsed="false"/>
    <row r="21290" customFormat="false" ht="15" hidden="false" customHeight="true" outlineLevel="0" collapsed="false"/>
    <row r="21291" customFormat="false" ht="15" hidden="false" customHeight="true" outlineLevel="0" collapsed="false"/>
    <row r="21292" customFormat="false" ht="15" hidden="false" customHeight="true" outlineLevel="0" collapsed="false"/>
    <row r="21293" customFormat="false" ht="15" hidden="false" customHeight="true" outlineLevel="0" collapsed="false"/>
    <row r="21294" customFormat="false" ht="15" hidden="false" customHeight="true" outlineLevel="0" collapsed="false"/>
    <row r="21295" customFormat="false" ht="15" hidden="false" customHeight="true" outlineLevel="0" collapsed="false"/>
    <row r="21296" customFormat="false" ht="15" hidden="false" customHeight="true" outlineLevel="0" collapsed="false"/>
    <row r="21297" customFormat="false" ht="15" hidden="false" customHeight="true" outlineLevel="0" collapsed="false"/>
    <row r="21298" customFormat="false" ht="15" hidden="false" customHeight="true" outlineLevel="0" collapsed="false"/>
    <row r="21299" customFormat="false" ht="15" hidden="false" customHeight="true" outlineLevel="0" collapsed="false"/>
    <row r="21300" customFormat="false" ht="15" hidden="false" customHeight="true" outlineLevel="0" collapsed="false"/>
    <row r="21301" customFormat="false" ht="15" hidden="false" customHeight="true" outlineLevel="0" collapsed="false"/>
    <row r="21302" customFormat="false" ht="15" hidden="false" customHeight="true" outlineLevel="0" collapsed="false"/>
    <row r="21303" customFormat="false" ht="15" hidden="false" customHeight="true" outlineLevel="0" collapsed="false"/>
    <row r="21304" customFormat="false" ht="15" hidden="false" customHeight="true" outlineLevel="0" collapsed="false"/>
    <row r="21305" customFormat="false" ht="15" hidden="false" customHeight="true" outlineLevel="0" collapsed="false"/>
    <row r="21306" customFormat="false" ht="15" hidden="false" customHeight="true" outlineLevel="0" collapsed="false"/>
    <row r="21307" customFormat="false" ht="15" hidden="false" customHeight="true" outlineLevel="0" collapsed="false"/>
    <row r="21308" customFormat="false" ht="15" hidden="false" customHeight="true" outlineLevel="0" collapsed="false"/>
    <row r="21309" customFormat="false" ht="15" hidden="false" customHeight="true" outlineLevel="0" collapsed="false"/>
    <row r="21310" customFormat="false" ht="15" hidden="false" customHeight="true" outlineLevel="0" collapsed="false"/>
    <row r="21311" customFormat="false" ht="15" hidden="false" customHeight="true" outlineLevel="0" collapsed="false"/>
    <row r="21312" customFormat="false" ht="15" hidden="false" customHeight="true" outlineLevel="0" collapsed="false"/>
    <row r="21313" customFormat="false" ht="15" hidden="false" customHeight="true" outlineLevel="0" collapsed="false"/>
    <row r="21314" customFormat="false" ht="15" hidden="false" customHeight="true" outlineLevel="0" collapsed="false"/>
    <row r="21315" customFormat="false" ht="15" hidden="false" customHeight="true" outlineLevel="0" collapsed="false"/>
    <row r="21316" customFormat="false" ht="15" hidden="false" customHeight="true" outlineLevel="0" collapsed="false"/>
    <row r="21317" customFormat="false" ht="15" hidden="false" customHeight="true" outlineLevel="0" collapsed="false"/>
    <row r="21318" customFormat="false" ht="15" hidden="false" customHeight="true" outlineLevel="0" collapsed="false"/>
    <row r="21319" customFormat="false" ht="15" hidden="false" customHeight="true" outlineLevel="0" collapsed="false"/>
    <row r="21320" customFormat="false" ht="15" hidden="false" customHeight="true" outlineLevel="0" collapsed="false"/>
    <row r="21321" customFormat="false" ht="15" hidden="false" customHeight="true" outlineLevel="0" collapsed="false"/>
    <row r="21322" customFormat="false" ht="15" hidden="false" customHeight="true" outlineLevel="0" collapsed="false"/>
    <row r="21323" customFormat="false" ht="15" hidden="false" customHeight="true" outlineLevel="0" collapsed="false"/>
    <row r="21324" customFormat="false" ht="15" hidden="false" customHeight="true" outlineLevel="0" collapsed="false"/>
    <row r="21325" customFormat="false" ht="15" hidden="false" customHeight="true" outlineLevel="0" collapsed="false"/>
    <row r="21326" customFormat="false" ht="15" hidden="false" customHeight="true" outlineLevel="0" collapsed="false"/>
    <row r="21327" customFormat="false" ht="15" hidden="false" customHeight="true" outlineLevel="0" collapsed="false"/>
    <row r="21328" customFormat="false" ht="15" hidden="false" customHeight="true" outlineLevel="0" collapsed="false"/>
    <row r="21329" customFormat="false" ht="15" hidden="false" customHeight="true" outlineLevel="0" collapsed="false"/>
    <row r="21330" customFormat="false" ht="15" hidden="false" customHeight="true" outlineLevel="0" collapsed="false"/>
    <row r="21331" customFormat="false" ht="15" hidden="false" customHeight="true" outlineLevel="0" collapsed="false"/>
    <row r="21332" customFormat="false" ht="15" hidden="false" customHeight="true" outlineLevel="0" collapsed="false"/>
    <row r="21333" customFormat="false" ht="15" hidden="false" customHeight="true" outlineLevel="0" collapsed="false"/>
    <row r="21334" customFormat="false" ht="15" hidden="false" customHeight="true" outlineLevel="0" collapsed="false"/>
    <row r="21335" customFormat="false" ht="15" hidden="false" customHeight="true" outlineLevel="0" collapsed="false"/>
    <row r="21336" customFormat="false" ht="15" hidden="false" customHeight="true" outlineLevel="0" collapsed="false"/>
    <row r="21337" customFormat="false" ht="15" hidden="false" customHeight="true" outlineLevel="0" collapsed="false"/>
    <row r="21338" customFormat="false" ht="15" hidden="false" customHeight="true" outlineLevel="0" collapsed="false"/>
    <row r="21339" customFormat="false" ht="15" hidden="false" customHeight="true" outlineLevel="0" collapsed="false"/>
    <row r="21340" customFormat="false" ht="15" hidden="false" customHeight="true" outlineLevel="0" collapsed="false"/>
    <row r="21341" customFormat="false" ht="15" hidden="false" customHeight="true" outlineLevel="0" collapsed="false"/>
    <row r="21342" customFormat="false" ht="15" hidden="false" customHeight="true" outlineLevel="0" collapsed="false"/>
    <row r="21343" customFormat="false" ht="15" hidden="false" customHeight="true" outlineLevel="0" collapsed="false"/>
    <row r="21344" customFormat="false" ht="15" hidden="false" customHeight="true" outlineLevel="0" collapsed="false"/>
    <row r="21345" customFormat="false" ht="15" hidden="false" customHeight="true" outlineLevel="0" collapsed="false"/>
    <row r="21346" customFormat="false" ht="15" hidden="false" customHeight="true" outlineLevel="0" collapsed="false"/>
    <row r="21347" customFormat="false" ht="15" hidden="false" customHeight="true" outlineLevel="0" collapsed="false"/>
    <row r="21348" customFormat="false" ht="15" hidden="false" customHeight="true" outlineLevel="0" collapsed="false"/>
    <row r="21349" customFormat="false" ht="15" hidden="false" customHeight="true" outlineLevel="0" collapsed="false"/>
    <row r="21350" customFormat="false" ht="15" hidden="false" customHeight="true" outlineLevel="0" collapsed="false"/>
    <row r="21351" customFormat="false" ht="15" hidden="false" customHeight="true" outlineLevel="0" collapsed="false"/>
    <row r="21352" customFormat="false" ht="15" hidden="false" customHeight="true" outlineLevel="0" collapsed="false"/>
    <row r="21353" customFormat="false" ht="15" hidden="false" customHeight="true" outlineLevel="0" collapsed="false"/>
    <row r="21354" customFormat="false" ht="15" hidden="false" customHeight="true" outlineLevel="0" collapsed="false"/>
    <row r="21355" customFormat="false" ht="15" hidden="false" customHeight="true" outlineLevel="0" collapsed="false"/>
    <row r="21356" customFormat="false" ht="15" hidden="false" customHeight="true" outlineLevel="0" collapsed="false"/>
    <row r="21357" customFormat="false" ht="15" hidden="false" customHeight="true" outlineLevel="0" collapsed="false"/>
    <row r="21358" customFormat="false" ht="15" hidden="false" customHeight="true" outlineLevel="0" collapsed="false"/>
    <row r="21359" customFormat="false" ht="15" hidden="false" customHeight="true" outlineLevel="0" collapsed="false"/>
    <row r="21360" customFormat="false" ht="15" hidden="false" customHeight="true" outlineLevel="0" collapsed="false"/>
    <row r="21361" customFormat="false" ht="15" hidden="false" customHeight="true" outlineLevel="0" collapsed="false"/>
    <row r="21362" customFormat="false" ht="15" hidden="false" customHeight="true" outlineLevel="0" collapsed="false"/>
    <row r="21363" customFormat="false" ht="15" hidden="false" customHeight="true" outlineLevel="0" collapsed="false"/>
    <row r="21364" customFormat="false" ht="15" hidden="false" customHeight="true" outlineLevel="0" collapsed="false"/>
    <row r="21365" customFormat="false" ht="15" hidden="false" customHeight="true" outlineLevel="0" collapsed="false"/>
    <row r="21366" customFormat="false" ht="15" hidden="false" customHeight="true" outlineLevel="0" collapsed="false"/>
    <row r="21367" customFormat="false" ht="15" hidden="false" customHeight="true" outlineLevel="0" collapsed="false"/>
    <row r="21368" customFormat="false" ht="15" hidden="false" customHeight="true" outlineLevel="0" collapsed="false"/>
    <row r="21369" customFormat="false" ht="15" hidden="false" customHeight="true" outlineLevel="0" collapsed="false"/>
    <row r="21370" customFormat="false" ht="15" hidden="false" customHeight="true" outlineLevel="0" collapsed="false"/>
    <row r="21371" customFormat="false" ht="15" hidden="false" customHeight="true" outlineLevel="0" collapsed="false"/>
    <row r="21372" customFormat="false" ht="15" hidden="false" customHeight="true" outlineLevel="0" collapsed="false"/>
    <row r="21373" customFormat="false" ht="15" hidden="false" customHeight="true" outlineLevel="0" collapsed="false"/>
    <row r="21374" customFormat="false" ht="15" hidden="false" customHeight="true" outlineLevel="0" collapsed="false"/>
    <row r="21375" customFormat="false" ht="15" hidden="false" customHeight="true" outlineLevel="0" collapsed="false"/>
    <row r="21376" customFormat="false" ht="15" hidden="false" customHeight="true" outlineLevel="0" collapsed="false"/>
    <row r="21377" customFormat="false" ht="15" hidden="false" customHeight="true" outlineLevel="0" collapsed="false"/>
    <row r="21378" customFormat="false" ht="15" hidden="false" customHeight="true" outlineLevel="0" collapsed="false"/>
    <row r="21379" customFormat="false" ht="15" hidden="false" customHeight="true" outlineLevel="0" collapsed="false"/>
    <row r="21380" customFormat="false" ht="15" hidden="false" customHeight="true" outlineLevel="0" collapsed="false"/>
    <row r="21381" customFormat="false" ht="15" hidden="false" customHeight="true" outlineLevel="0" collapsed="false"/>
    <row r="21382" customFormat="false" ht="15" hidden="false" customHeight="true" outlineLevel="0" collapsed="false"/>
    <row r="21383" customFormat="false" ht="15" hidden="false" customHeight="true" outlineLevel="0" collapsed="false"/>
    <row r="21384" customFormat="false" ht="15" hidden="false" customHeight="true" outlineLevel="0" collapsed="false"/>
    <row r="21385" customFormat="false" ht="15" hidden="false" customHeight="true" outlineLevel="0" collapsed="false"/>
    <row r="21386" customFormat="false" ht="15" hidden="false" customHeight="true" outlineLevel="0" collapsed="false"/>
    <row r="21387" customFormat="false" ht="15" hidden="false" customHeight="true" outlineLevel="0" collapsed="false"/>
    <row r="21388" customFormat="false" ht="15" hidden="false" customHeight="true" outlineLevel="0" collapsed="false"/>
    <row r="21389" customFormat="false" ht="15" hidden="false" customHeight="true" outlineLevel="0" collapsed="false"/>
    <row r="21390" customFormat="false" ht="15" hidden="false" customHeight="true" outlineLevel="0" collapsed="false"/>
    <row r="21391" customFormat="false" ht="15" hidden="false" customHeight="true" outlineLevel="0" collapsed="false"/>
    <row r="21392" customFormat="false" ht="15" hidden="false" customHeight="true" outlineLevel="0" collapsed="false"/>
    <row r="21393" customFormat="false" ht="15" hidden="false" customHeight="true" outlineLevel="0" collapsed="false"/>
    <row r="21394" customFormat="false" ht="15" hidden="false" customHeight="true" outlineLevel="0" collapsed="false"/>
    <row r="21395" customFormat="false" ht="15" hidden="false" customHeight="true" outlineLevel="0" collapsed="false"/>
    <row r="21396" customFormat="false" ht="15" hidden="false" customHeight="true" outlineLevel="0" collapsed="false"/>
    <row r="21397" customFormat="false" ht="15" hidden="false" customHeight="true" outlineLevel="0" collapsed="false"/>
    <row r="21398" customFormat="false" ht="15" hidden="false" customHeight="true" outlineLevel="0" collapsed="false"/>
    <row r="21399" customFormat="false" ht="15" hidden="false" customHeight="true" outlineLevel="0" collapsed="false"/>
    <row r="21400" customFormat="false" ht="15" hidden="false" customHeight="true" outlineLevel="0" collapsed="false"/>
    <row r="21401" customFormat="false" ht="15" hidden="false" customHeight="true" outlineLevel="0" collapsed="false"/>
    <row r="21402" customFormat="false" ht="15" hidden="false" customHeight="true" outlineLevel="0" collapsed="false"/>
    <row r="21403" customFormat="false" ht="15" hidden="false" customHeight="true" outlineLevel="0" collapsed="false"/>
    <row r="21404" customFormat="false" ht="15" hidden="false" customHeight="true" outlineLevel="0" collapsed="false"/>
    <row r="21405" customFormat="false" ht="15" hidden="false" customHeight="true" outlineLevel="0" collapsed="false"/>
    <row r="21406" customFormat="false" ht="15" hidden="false" customHeight="true" outlineLevel="0" collapsed="false"/>
    <row r="21407" customFormat="false" ht="15" hidden="false" customHeight="true" outlineLevel="0" collapsed="false"/>
    <row r="21408" customFormat="false" ht="15" hidden="false" customHeight="true" outlineLevel="0" collapsed="false"/>
    <row r="21409" customFormat="false" ht="15" hidden="false" customHeight="true" outlineLevel="0" collapsed="false"/>
    <row r="21410" customFormat="false" ht="15" hidden="false" customHeight="true" outlineLevel="0" collapsed="false"/>
    <row r="21411" customFormat="false" ht="15" hidden="false" customHeight="true" outlineLevel="0" collapsed="false"/>
    <row r="21412" customFormat="false" ht="15" hidden="false" customHeight="true" outlineLevel="0" collapsed="false"/>
    <row r="21413" customFormat="false" ht="15" hidden="false" customHeight="true" outlineLevel="0" collapsed="false"/>
    <row r="21414" customFormat="false" ht="15" hidden="false" customHeight="true" outlineLevel="0" collapsed="false"/>
    <row r="21415" customFormat="false" ht="15" hidden="false" customHeight="true" outlineLevel="0" collapsed="false"/>
    <row r="21416" customFormat="false" ht="15" hidden="false" customHeight="true" outlineLevel="0" collapsed="false"/>
    <row r="21417" customFormat="false" ht="15" hidden="false" customHeight="true" outlineLevel="0" collapsed="false"/>
    <row r="21418" customFormat="false" ht="15" hidden="false" customHeight="true" outlineLevel="0" collapsed="false"/>
    <row r="21419" customFormat="false" ht="15" hidden="false" customHeight="true" outlineLevel="0" collapsed="false"/>
    <row r="21420" customFormat="false" ht="15" hidden="false" customHeight="true" outlineLevel="0" collapsed="false"/>
    <row r="21421" customFormat="false" ht="15" hidden="false" customHeight="true" outlineLevel="0" collapsed="false"/>
    <row r="21422" customFormat="false" ht="15" hidden="false" customHeight="true" outlineLevel="0" collapsed="false"/>
    <row r="21423" customFormat="false" ht="15" hidden="false" customHeight="true" outlineLevel="0" collapsed="false"/>
    <row r="21424" customFormat="false" ht="15" hidden="false" customHeight="true" outlineLevel="0" collapsed="false"/>
    <row r="21425" customFormat="false" ht="15" hidden="false" customHeight="true" outlineLevel="0" collapsed="false"/>
    <row r="21426" customFormat="false" ht="15" hidden="false" customHeight="true" outlineLevel="0" collapsed="false"/>
    <row r="21427" customFormat="false" ht="15" hidden="false" customHeight="true" outlineLevel="0" collapsed="false"/>
    <row r="21428" customFormat="false" ht="15" hidden="false" customHeight="true" outlineLevel="0" collapsed="false"/>
    <row r="21429" customFormat="false" ht="15" hidden="false" customHeight="true" outlineLevel="0" collapsed="false"/>
    <row r="21430" customFormat="false" ht="15" hidden="false" customHeight="true" outlineLevel="0" collapsed="false"/>
    <row r="21431" customFormat="false" ht="15" hidden="false" customHeight="true" outlineLevel="0" collapsed="false"/>
    <row r="21432" customFormat="false" ht="15" hidden="false" customHeight="true" outlineLevel="0" collapsed="false"/>
    <row r="21433" customFormat="false" ht="15" hidden="false" customHeight="true" outlineLevel="0" collapsed="false"/>
    <row r="21434" customFormat="false" ht="15" hidden="false" customHeight="true" outlineLevel="0" collapsed="false"/>
    <row r="21435" customFormat="false" ht="15" hidden="false" customHeight="true" outlineLevel="0" collapsed="false"/>
    <row r="21436" customFormat="false" ht="15" hidden="false" customHeight="true" outlineLevel="0" collapsed="false"/>
    <row r="21437" customFormat="false" ht="15" hidden="false" customHeight="true" outlineLevel="0" collapsed="false"/>
    <row r="21438" customFormat="false" ht="15" hidden="false" customHeight="true" outlineLevel="0" collapsed="false"/>
    <row r="21439" customFormat="false" ht="15" hidden="false" customHeight="true" outlineLevel="0" collapsed="false"/>
    <row r="21440" customFormat="false" ht="15" hidden="false" customHeight="true" outlineLevel="0" collapsed="false"/>
    <row r="21441" customFormat="false" ht="15" hidden="false" customHeight="true" outlineLevel="0" collapsed="false"/>
    <row r="21442" customFormat="false" ht="15" hidden="false" customHeight="true" outlineLevel="0" collapsed="false"/>
    <row r="21443" customFormat="false" ht="15" hidden="false" customHeight="true" outlineLevel="0" collapsed="false"/>
    <row r="21444" customFormat="false" ht="15" hidden="false" customHeight="true" outlineLevel="0" collapsed="false"/>
    <row r="21445" customFormat="false" ht="15" hidden="false" customHeight="true" outlineLevel="0" collapsed="false"/>
    <row r="21446" customFormat="false" ht="15" hidden="false" customHeight="true" outlineLevel="0" collapsed="false"/>
    <row r="21447" customFormat="false" ht="15" hidden="false" customHeight="true" outlineLevel="0" collapsed="false"/>
    <row r="21448" customFormat="false" ht="15" hidden="false" customHeight="true" outlineLevel="0" collapsed="false"/>
    <row r="21449" customFormat="false" ht="15" hidden="false" customHeight="true" outlineLevel="0" collapsed="false"/>
    <row r="21450" customFormat="false" ht="15" hidden="false" customHeight="true" outlineLevel="0" collapsed="false"/>
    <row r="21451" customFormat="false" ht="15" hidden="false" customHeight="true" outlineLevel="0" collapsed="false"/>
    <row r="21452" customFormat="false" ht="15" hidden="false" customHeight="true" outlineLevel="0" collapsed="false"/>
    <row r="21453" customFormat="false" ht="15" hidden="false" customHeight="true" outlineLevel="0" collapsed="false"/>
    <row r="21454" customFormat="false" ht="15" hidden="false" customHeight="true" outlineLevel="0" collapsed="false"/>
    <row r="21455" customFormat="false" ht="15" hidden="false" customHeight="true" outlineLevel="0" collapsed="false"/>
    <row r="21456" customFormat="false" ht="15" hidden="false" customHeight="true" outlineLevel="0" collapsed="false"/>
    <row r="21457" customFormat="false" ht="15" hidden="false" customHeight="true" outlineLevel="0" collapsed="false"/>
    <row r="21458" customFormat="false" ht="15" hidden="false" customHeight="true" outlineLevel="0" collapsed="false"/>
    <row r="21459" customFormat="false" ht="15" hidden="false" customHeight="true" outlineLevel="0" collapsed="false"/>
    <row r="21460" customFormat="false" ht="15" hidden="false" customHeight="true" outlineLevel="0" collapsed="false"/>
    <row r="21461" customFormat="false" ht="15" hidden="false" customHeight="true" outlineLevel="0" collapsed="false"/>
    <row r="21462" customFormat="false" ht="15" hidden="false" customHeight="true" outlineLevel="0" collapsed="false"/>
    <row r="21463" customFormat="false" ht="15" hidden="false" customHeight="true" outlineLevel="0" collapsed="false"/>
    <row r="21464" customFormat="false" ht="15" hidden="false" customHeight="true" outlineLevel="0" collapsed="false"/>
    <row r="21465" customFormat="false" ht="15" hidden="false" customHeight="true" outlineLevel="0" collapsed="false"/>
    <row r="21466" customFormat="false" ht="15" hidden="false" customHeight="true" outlineLevel="0" collapsed="false"/>
    <row r="21467" customFormat="false" ht="15" hidden="false" customHeight="true" outlineLevel="0" collapsed="false"/>
    <row r="21468" customFormat="false" ht="15" hidden="false" customHeight="true" outlineLevel="0" collapsed="false"/>
    <row r="21469" customFormat="false" ht="15" hidden="false" customHeight="true" outlineLevel="0" collapsed="false"/>
    <row r="21470" customFormat="false" ht="15" hidden="false" customHeight="true" outlineLevel="0" collapsed="false"/>
    <row r="21471" customFormat="false" ht="15" hidden="false" customHeight="true" outlineLevel="0" collapsed="false"/>
    <row r="21472" customFormat="false" ht="15" hidden="false" customHeight="true" outlineLevel="0" collapsed="false"/>
    <row r="21473" customFormat="false" ht="15" hidden="false" customHeight="true" outlineLevel="0" collapsed="false"/>
    <row r="21474" customFormat="false" ht="15" hidden="false" customHeight="true" outlineLevel="0" collapsed="false"/>
    <row r="21475" customFormat="false" ht="15" hidden="false" customHeight="true" outlineLevel="0" collapsed="false"/>
    <row r="21476" customFormat="false" ht="15" hidden="false" customHeight="true" outlineLevel="0" collapsed="false"/>
    <row r="21477" customFormat="false" ht="15" hidden="false" customHeight="true" outlineLevel="0" collapsed="false"/>
    <row r="21478" customFormat="false" ht="15" hidden="false" customHeight="true" outlineLevel="0" collapsed="false"/>
    <row r="21479" customFormat="false" ht="15" hidden="false" customHeight="true" outlineLevel="0" collapsed="false"/>
    <row r="21480" customFormat="false" ht="15" hidden="false" customHeight="true" outlineLevel="0" collapsed="false"/>
    <row r="21481" customFormat="false" ht="15" hidden="false" customHeight="true" outlineLevel="0" collapsed="false"/>
    <row r="21482" customFormat="false" ht="15" hidden="false" customHeight="true" outlineLevel="0" collapsed="false"/>
    <row r="21483" customFormat="false" ht="15" hidden="false" customHeight="true" outlineLevel="0" collapsed="false"/>
    <row r="21484" customFormat="false" ht="15" hidden="false" customHeight="true" outlineLevel="0" collapsed="false"/>
    <row r="21485" customFormat="false" ht="15" hidden="false" customHeight="true" outlineLevel="0" collapsed="false"/>
    <row r="21486" customFormat="false" ht="15" hidden="false" customHeight="true" outlineLevel="0" collapsed="false"/>
    <row r="21487" customFormat="false" ht="15" hidden="false" customHeight="true" outlineLevel="0" collapsed="false"/>
    <row r="21488" customFormat="false" ht="15" hidden="false" customHeight="true" outlineLevel="0" collapsed="false"/>
    <row r="21489" customFormat="false" ht="15" hidden="false" customHeight="true" outlineLevel="0" collapsed="false"/>
    <row r="21490" customFormat="false" ht="15" hidden="false" customHeight="true" outlineLevel="0" collapsed="false"/>
    <row r="21491" customFormat="false" ht="15" hidden="false" customHeight="true" outlineLevel="0" collapsed="false"/>
    <row r="21492" customFormat="false" ht="15" hidden="false" customHeight="true" outlineLevel="0" collapsed="false"/>
    <row r="21493" customFormat="false" ht="15" hidden="false" customHeight="true" outlineLevel="0" collapsed="false"/>
    <row r="21494" customFormat="false" ht="15" hidden="false" customHeight="true" outlineLevel="0" collapsed="false"/>
    <row r="21495" customFormat="false" ht="15" hidden="false" customHeight="true" outlineLevel="0" collapsed="false"/>
    <row r="21496" customFormat="false" ht="15" hidden="false" customHeight="true" outlineLevel="0" collapsed="false"/>
    <row r="21497" customFormat="false" ht="15" hidden="false" customHeight="true" outlineLevel="0" collapsed="false"/>
    <row r="21498" customFormat="false" ht="15" hidden="false" customHeight="true" outlineLevel="0" collapsed="false"/>
    <row r="21499" customFormat="false" ht="15" hidden="false" customHeight="true" outlineLevel="0" collapsed="false"/>
    <row r="21500" customFormat="false" ht="15" hidden="false" customHeight="true" outlineLevel="0" collapsed="false"/>
    <row r="21501" customFormat="false" ht="15" hidden="false" customHeight="true" outlineLevel="0" collapsed="false"/>
    <row r="21502" customFormat="false" ht="15" hidden="false" customHeight="true" outlineLevel="0" collapsed="false"/>
    <row r="21503" customFormat="false" ht="15" hidden="false" customHeight="true" outlineLevel="0" collapsed="false"/>
    <row r="21504" customFormat="false" ht="15" hidden="false" customHeight="true" outlineLevel="0" collapsed="false"/>
    <row r="21505" customFormat="false" ht="15" hidden="false" customHeight="true" outlineLevel="0" collapsed="false"/>
    <row r="21506" customFormat="false" ht="15" hidden="false" customHeight="true" outlineLevel="0" collapsed="false"/>
    <row r="21507" customFormat="false" ht="15" hidden="false" customHeight="true" outlineLevel="0" collapsed="false"/>
    <row r="21508" customFormat="false" ht="15" hidden="false" customHeight="true" outlineLevel="0" collapsed="false"/>
    <row r="21509" customFormat="false" ht="15" hidden="false" customHeight="true" outlineLevel="0" collapsed="false"/>
    <row r="21510" customFormat="false" ht="15" hidden="false" customHeight="true" outlineLevel="0" collapsed="false"/>
    <row r="21511" customFormat="false" ht="15" hidden="false" customHeight="true" outlineLevel="0" collapsed="false"/>
    <row r="21512" customFormat="false" ht="15" hidden="false" customHeight="true" outlineLevel="0" collapsed="false"/>
    <row r="21513" customFormat="false" ht="15" hidden="false" customHeight="true" outlineLevel="0" collapsed="false"/>
    <row r="21514" customFormat="false" ht="15" hidden="false" customHeight="true" outlineLevel="0" collapsed="false"/>
    <row r="21515" customFormat="false" ht="15" hidden="false" customHeight="true" outlineLevel="0" collapsed="false"/>
    <row r="21516" customFormat="false" ht="15" hidden="false" customHeight="true" outlineLevel="0" collapsed="false"/>
    <row r="21517" customFormat="false" ht="15" hidden="false" customHeight="true" outlineLevel="0" collapsed="false"/>
    <row r="21518" customFormat="false" ht="15" hidden="false" customHeight="true" outlineLevel="0" collapsed="false"/>
    <row r="21519" customFormat="false" ht="15" hidden="false" customHeight="true" outlineLevel="0" collapsed="false"/>
    <row r="21520" customFormat="false" ht="15" hidden="false" customHeight="true" outlineLevel="0" collapsed="false"/>
    <row r="21521" customFormat="false" ht="15" hidden="false" customHeight="true" outlineLevel="0" collapsed="false"/>
    <row r="21522" customFormat="false" ht="15" hidden="false" customHeight="true" outlineLevel="0" collapsed="false"/>
    <row r="21523" customFormat="false" ht="15" hidden="false" customHeight="true" outlineLevel="0" collapsed="false"/>
    <row r="21524" customFormat="false" ht="15" hidden="false" customHeight="true" outlineLevel="0" collapsed="false"/>
    <row r="21525" customFormat="false" ht="15" hidden="false" customHeight="true" outlineLevel="0" collapsed="false"/>
    <row r="21526" customFormat="false" ht="15" hidden="false" customHeight="true" outlineLevel="0" collapsed="false"/>
    <row r="21527" customFormat="false" ht="15" hidden="false" customHeight="true" outlineLevel="0" collapsed="false"/>
    <row r="21528" customFormat="false" ht="15" hidden="false" customHeight="true" outlineLevel="0" collapsed="false"/>
    <row r="21529" customFormat="false" ht="15" hidden="false" customHeight="true" outlineLevel="0" collapsed="false"/>
    <row r="21530" customFormat="false" ht="15" hidden="false" customHeight="true" outlineLevel="0" collapsed="false"/>
    <row r="21531" customFormat="false" ht="15" hidden="false" customHeight="true" outlineLevel="0" collapsed="false"/>
    <row r="21532" customFormat="false" ht="15" hidden="false" customHeight="true" outlineLevel="0" collapsed="false"/>
    <row r="21533" customFormat="false" ht="15" hidden="false" customHeight="true" outlineLevel="0" collapsed="false"/>
    <row r="21534" customFormat="false" ht="15" hidden="false" customHeight="true" outlineLevel="0" collapsed="false"/>
    <row r="21535" customFormat="false" ht="15" hidden="false" customHeight="true" outlineLevel="0" collapsed="false"/>
    <row r="21536" customFormat="false" ht="15" hidden="false" customHeight="true" outlineLevel="0" collapsed="false"/>
    <row r="21537" customFormat="false" ht="15" hidden="false" customHeight="true" outlineLevel="0" collapsed="false"/>
    <row r="21538" customFormat="false" ht="15" hidden="false" customHeight="true" outlineLevel="0" collapsed="false"/>
    <row r="21539" customFormat="false" ht="15" hidden="false" customHeight="true" outlineLevel="0" collapsed="false"/>
    <row r="21540" customFormat="false" ht="15" hidden="false" customHeight="true" outlineLevel="0" collapsed="false"/>
    <row r="21541" customFormat="false" ht="15" hidden="false" customHeight="true" outlineLevel="0" collapsed="false"/>
    <row r="21542" customFormat="false" ht="15" hidden="false" customHeight="true" outlineLevel="0" collapsed="false"/>
    <row r="21543" customFormat="false" ht="15" hidden="false" customHeight="true" outlineLevel="0" collapsed="false"/>
    <row r="21544" customFormat="false" ht="15" hidden="false" customHeight="true" outlineLevel="0" collapsed="false"/>
    <row r="21545" customFormat="false" ht="15" hidden="false" customHeight="true" outlineLevel="0" collapsed="false"/>
    <row r="21546" customFormat="false" ht="15" hidden="false" customHeight="true" outlineLevel="0" collapsed="false"/>
    <row r="21547" customFormat="false" ht="15" hidden="false" customHeight="true" outlineLevel="0" collapsed="false"/>
    <row r="21548" customFormat="false" ht="15" hidden="false" customHeight="true" outlineLevel="0" collapsed="false"/>
    <row r="21549" customFormat="false" ht="15" hidden="false" customHeight="true" outlineLevel="0" collapsed="false"/>
    <row r="21550" customFormat="false" ht="15" hidden="false" customHeight="true" outlineLevel="0" collapsed="false"/>
    <row r="21551" customFormat="false" ht="15" hidden="false" customHeight="true" outlineLevel="0" collapsed="false"/>
    <row r="21552" customFormat="false" ht="15" hidden="false" customHeight="true" outlineLevel="0" collapsed="false"/>
    <row r="21553" customFormat="false" ht="15" hidden="false" customHeight="true" outlineLevel="0" collapsed="false"/>
    <row r="21554" customFormat="false" ht="15" hidden="false" customHeight="true" outlineLevel="0" collapsed="false"/>
    <row r="21555" customFormat="false" ht="15" hidden="false" customHeight="true" outlineLevel="0" collapsed="false"/>
    <row r="21556" customFormat="false" ht="15" hidden="false" customHeight="true" outlineLevel="0" collapsed="false"/>
    <row r="21557" customFormat="false" ht="15" hidden="false" customHeight="true" outlineLevel="0" collapsed="false"/>
    <row r="21558" customFormat="false" ht="15" hidden="false" customHeight="true" outlineLevel="0" collapsed="false"/>
    <row r="21559" customFormat="false" ht="15" hidden="false" customHeight="true" outlineLevel="0" collapsed="false"/>
    <row r="21560" customFormat="false" ht="15" hidden="false" customHeight="true" outlineLevel="0" collapsed="false"/>
    <row r="21561" customFormat="false" ht="15" hidden="false" customHeight="true" outlineLevel="0" collapsed="false"/>
    <row r="21562" customFormat="false" ht="15" hidden="false" customHeight="true" outlineLevel="0" collapsed="false"/>
    <row r="21563" customFormat="false" ht="15" hidden="false" customHeight="true" outlineLevel="0" collapsed="false"/>
    <row r="21564" customFormat="false" ht="15" hidden="false" customHeight="true" outlineLevel="0" collapsed="false"/>
    <row r="21565" customFormat="false" ht="15" hidden="false" customHeight="true" outlineLevel="0" collapsed="false"/>
    <row r="21566" customFormat="false" ht="15" hidden="false" customHeight="true" outlineLevel="0" collapsed="false"/>
    <row r="21567" customFormat="false" ht="15" hidden="false" customHeight="true" outlineLevel="0" collapsed="false"/>
    <row r="21568" customFormat="false" ht="15" hidden="false" customHeight="true" outlineLevel="0" collapsed="false"/>
    <row r="21569" customFormat="false" ht="15" hidden="false" customHeight="true" outlineLevel="0" collapsed="false"/>
    <row r="21570" customFormat="false" ht="15" hidden="false" customHeight="true" outlineLevel="0" collapsed="false"/>
    <row r="21571" customFormat="false" ht="15" hidden="false" customHeight="true" outlineLevel="0" collapsed="false"/>
    <row r="21572" customFormat="false" ht="15" hidden="false" customHeight="true" outlineLevel="0" collapsed="false"/>
    <row r="21573" customFormat="false" ht="15" hidden="false" customHeight="true" outlineLevel="0" collapsed="false"/>
    <row r="21574" customFormat="false" ht="15" hidden="false" customHeight="true" outlineLevel="0" collapsed="false"/>
    <row r="21575" customFormat="false" ht="15" hidden="false" customHeight="true" outlineLevel="0" collapsed="false"/>
    <row r="21576" customFormat="false" ht="15" hidden="false" customHeight="true" outlineLevel="0" collapsed="false"/>
    <row r="21577" customFormat="false" ht="15" hidden="false" customHeight="true" outlineLevel="0" collapsed="false"/>
    <row r="21578" customFormat="false" ht="15" hidden="false" customHeight="true" outlineLevel="0" collapsed="false"/>
    <row r="21579" customFormat="false" ht="15" hidden="false" customHeight="true" outlineLevel="0" collapsed="false"/>
    <row r="21580" customFormat="false" ht="15" hidden="false" customHeight="true" outlineLevel="0" collapsed="false"/>
    <row r="21581" customFormat="false" ht="15" hidden="false" customHeight="true" outlineLevel="0" collapsed="false"/>
    <row r="21582" customFormat="false" ht="15" hidden="false" customHeight="true" outlineLevel="0" collapsed="false"/>
    <row r="21583" customFormat="false" ht="15" hidden="false" customHeight="true" outlineLevel="0" collapsed="false"/>
    <row r="21584" customFormat="false" ht="15" hidden="false" customHeight="true" outlineLevel="0" collapsed="false"/>
    <row r="21585" customFormat="false" ht="15" hidden="false" customHeight="true" outlineLevel="0" collapsed="false"/>
    <row r="21586" customFormat="false" ht="15" hidden="false" customHeight="true" outlineLevel="0" collapsed="false"/>
    <row r="21587" customFormat="false" ht="15" hidden="false" customHeight="true" outlineLevel="0" collapsed="false"/>
    <row r="21588" customFormat="false" ht="15" hidden="false" customHeight="true" outlineLevel="0" collapsed="false"/>
    <row r="21589" customFormat="false" ht="15" hidden="false" customHeight="true" outlineLevel="0" collapsed="false"/>
    <row r="21590" customFormat="false" ht="15" hidden="false" customHeight="true" outlineLevel="0" collapsed="false"/>
    <row r="21591" customFormat="false" ht="15" hidden="false" customHeight="true" outlineLevel="0" collapsed="false"/>
    <row r="21592" customFormat="false" ht="15" hidden="false" customHeight="true" outlineLevel="0" collapsed="false"/>
    <row r="21593" customFormat="false" ht="15" hidden="false" customHeight="true" outlineLevel="0" collapsed="false"/>
    <row r="21594" customFormat="false" ht="15" hidden="false" customHeight="true" outlineLevel="0" collapsed="false"/>
    <row r="21595" customFormat="false" ht="15" hidden="false" customHeight="true" outlineLevel="0" collapsed="false"/>
    <row r="21596" customFormat="false" ht="15" hidden="false" customHeight="true" outlineLevel="0" collapsed="false"/>
    <row r="21597" customFormat="false" ht="15" hidden="false" customHeight="true" outlineLevel="0" collapsed="false"/>
    <row r="21598" customFormat="false" ht="15" hidden="false" customHeight="true" outlineLevel="0" collapsed="false"/>
    <row r="21599" customFormat="false" ht="15" hidden="false" customHeight="true" outlineLevel="0" collapsed="false"/>
    <row r="21600" customFormat="false" ht="15" hidden="false" customHeight="true" outlineLevel="0" collapsed="false"/>
    <row r="21601" customFormat="false" ht="15" hidden="false" customHeight="true" outlineLevel="0" collapsed="false"/>
    <row r="21602" customFormat="false" ht="15" hidden="false" customHeight="true" outlineLevel="0" collapsed="false"/>
    <row r="21603" customFormat="false" ht="15" hidden="false" customHeight="true" outlineLevel="0" collapsed="false"/>
    <row r="21604" customFormat="false" ht="15" hidden="false" customHeight="true" outlineLevel="0" collapsed="false"/>
    <row r="21605" customFormat="false" ht="15" hidden="false" customHeight="true" outlineLevel="0" collapsed="false"/>
    <row r="21606" customFormat="false" ht="15" hidden="false" customHeight="true" outlineLevel="0" collapsed="false"/>
    <row r="21607" customFormat="false" ht="15" hidden="false" customHeight="true" outlineLevel="0" collapsed="false"/>
    <row r="21608" customFormat="false" ht="15" hidden="false" customHeight="true" outlineLevel="0" collapsed="false"/>
    <row r="21609" customFormat="false" ht="15" hidden="false" customHeight="true" outlineLevel="0" collapsed="false"/>
    <row r="21610" customFormat="false" ht="15" hidden="false" customHeight="true" outlineLevel="0" collapsed="false"/>
    <row r="21611" customFormat="false" ht="15" hidden="false" customHeight="true" outlineLevel="0" collapsed="false"/>
    <row r="21612" customFormat="false" ht="15" hidden="false" customHeight="true" outlineLevel="0" collapsed="false"/>
    <row r="21613" customFormat="false" ht="15" hidden="false" customHeight="true" outlineLevel="0" collapsed="false"/>
    <row r="21614" customFormat="false" ht="15" hidden="false" customHeight="true" outlineLevel="0" collapsed="false"/>
    <row r="21615" customFormat="false" ht="15" hidden="false" customHeight="true" outlineLevel="0" collapsed="false"/>
    <row r="21616" customFormat="false" ht="15" hidden="false" customHeight="true" outlineLevel="0" collapsed="false"/>
    <row r="21617" customFormat="false" ht="15" hidden="false" customHeight="true" outlineLevel="0" collapsed="false"/>
    <row r="21618" customFormat="false" ht="15" hidden="false" customHeight="true" outlineLevel="0" collapsed="false"/>
    <row r="21619" customFormat="false" ht="15" hidden="false" customHeight="true" outlineLevel="0" collapsed="false"/>
    <row r="21620" customFormat="false" ht="15" hidden="false" customHeight="true" outlineLevel="0" collapsed="false"/>
    <row r="21621" customFormat="false" ht="15" hidden="false" customHeight="true" outlineLevel="0" collapsed="false"/>
    <row r="21622" customFormat="false" ht="15" hidden="false" customHeight="true" outlineLevel="0" collapsed="false"/>
    <row r="21623" customFormat="false" ht="15" hidden="false" customHeight="true" outlineLevel="0" collapsed="false"/>
    <row r="21624" customFormat="false" ht="15" hidden="false" customHeight="true" outlineLevel="0" collapsed="false"/>
    <row r="21625" customFormat="false" ht="15" hidden="false" customHeight="true" outlineLevel="0" collapsed="false"/>
    <row r="21626" customFormat="false" ht="15" hidden="false" customHeight="true" outlineLevel="0" collapsed="false"/>
    <row r="21627" customFormat="false" ht="15" hidden="false" customHeight="true" outlineLevel="0" collapsed="false"/>
    <row r="21628" customFormat="false" ht="15" hidden="false" customHeight="true" outlineLevel="0" collapsed="false"/>
    <row r="21629" customFormat="false" ht="15" hidden="false" customHeight="true" outlineLevel="0" collapsed="false"/>
    <row r="21630" customFormat="false" ht="15" hidden="false" customHeight="true" outlineLevel="0" collapsed="false"/>
    <row r="21631" customFormat="false" ht="15" hidden="false" customHeight="true" outlineLevel="0" collapsed="false"/>
    <row r="21632" customFormat="false" ht="15" hidden="false" customHeight="true" outlineLevel="0" collapsed="false"/>
    <row r="21633" customFormat="false" ht="15" hidden="false" customHeight="true" outlineLevel="0" collapsed="false"/>
    <row r="21634" customFormat="false" ht="15" hidden="false" customHeight="true" outlineLevel="0" collapsed="false"/>
    <row r="21635" customFormat="false" ht="15" hidden="false" customHeight="true" outlineLevel="0" collapsed="false"/>
    <row r="21636" customFormat="false" ht="15" hidden="false" customHeight="true" outlineLevel="0" collapsed="false"/>
    <row r="21637" customFormat="false" ht="15" hidden="false" customHeight="true" outlineLevel="0" collapsed="false"/>
    <row r="21638" customFormat="false" ht="15" hidden="false" customHeight="true" outlineLevel="0" collapsed="false"/>
    <row r="21639" customFormat="false" ht="15" hidden="false" customHeight="true" outlineLevel="0" collapsed="false"/>
    <row r="21640" customFormat="false" ht="15" hidden="false" customHeight="true" outlineLevel="0" collapsed="false"/>
    <row r="21641" customFormat="false" ht="15" hidden="false" customHeight="true" outlineLevel="0" collapsed="false"/>
    <row r="21642" customFormat="false" ht="15" hidden="false" customHeight="true" outlineLevel="0" collapsed="false"/>
    <row r="21643" customFormat="false" ht="15" hidden="false" customHeight="true" outlineLevel="0" collapsed="false"/>
    <row r="21644" customFormat="false" ht="15" hidden="false" customHeight="true" outlineLevel="0" collapsed="false"/>
    <row r="21645" customFormat="false" ht="15" hidden="false" customHeight="true" outlineLevel="0" collapsed="false"/>
    <row r="21646" customFormat="false" ht="15" hidden="false" customHeight="true" outlineLevel="0" collapsed="false"/>
    <row r="21647" customFormat="false" ht="15" hidden="false" customHeight="true" outlineLevel="0" collapsed="false"/>
    <row r="21648" customFormat="false" ht="15" hidden="false" customHeight="true" outlineLevel="0" collapsed="false"/>
    <row r="21649" customFormat="false" ht="15" hidden="false" customHeight="true" outlineLevel="0" collapsed="false"/>
    <row r="21650" customFormat="false" ht="15" hidden="false" customHeight="true" outlineLevel="0" collapsed="false"/>
    <row r="21651" customFormat="false" ht="15" hidden="false" customHeight="true" outlineLevel="0" collapsed="false"/>
    <row r="21652" customFormat="false" ht="15" hidden="false" customHeight="true" outlineLevel="0" collapsed="false"/>
    <row r="21653" customFormat="false" ht="15" hidden="false" customHeight="true" outlineLevel="0" collapsed="false"/>
    <row r="21654" customFormat="false" ht="15" hidden="false" customHeight="true" outlineLevel="0" collapsed="false"/>
    <row r="21655" customFormat="false" ht="15" hidden="false" customHeight="true" outlineLevel="0" collapsed="false"/>
    <row r="21656" customFormat="false" ht="15" hidden="false" customHeight="true" outlineLevel="0" collapsed="false"/>
    <row r="21657" customFormat="false" ht="15" hidden="false" customHeight="true" outlineLevel="0" collapsed="false"/>
    <row r="21658" customFormat="false" ht="15" hidden="false" customHeight="true" outlineLevel="0" collapsed="false"/>
    <row r="21659" customFormat="false" ht="15" hidden="false" customHeight="true" outlineLevel="0" collapsed="false"/>
    <row r="21660" customFormat="false" ht="15" hidden="false" customHeight="true" outlineLevel="0" collapsed="false"/>
    <row r="21661" customFormat="false" ht="15" hidden="false" customHeight="true" outlineLevel="0" collapsed="false"/>
    <row r="21662" customFormat="false" ht="15" hidden="false" customHeight="true" outlineLevel="0" collapsed="false"/>
    <row r="21663" customFormat="false" ht="15" hidden="false" customHeight="true" outlineLevel="0" collapsed="false"/>
    <row r="21664" customFormat="false" ht="15" hidden="false" customHeight="true" outlineLevel="0" collapsed="false"/>
    <row r="21665" customFormat="false" ht="15" hidden="false" customHeight="true" outlineLevel="0" collapsed="false"/>
    <row r="21666" customFormat="false" ht="15" hidden="false" customHeight="true" outlineLevel="0" collapsed="false"/>
    <row r="21667" customFormat="false" ht="15" hidden="false" customHeight="true" outlineLevel="0" collapsed="false"/>
    <row r="21668" customFormat="false" ht="15" hidden="false" customHeight="true" outlineLevel="0" collapsed="false"/>
    <row r="21669" customFormat="false" ht="15" hidden="false" customHeight="true" outlineLevel="0" collapsed="false"/>
    <row r="21670" customFormat="false" ht="15" hidden="false" customHeight="true" outlineLevel="0" collapsed="false"/>
    <row r="21671" customFormat="false" ht="15" hidden="false" customHeight="true" outlineLevel="0" collapsed="false"/>
    <row r="21672" customFormat="false" ht="15" hidden="false" customHeight="true" outlineLevel="0" collapsed="false"/>
    <row r="21673" customFormat="false" ht="15" hidden="false" customHeight="true" outlineLevel="0" collapsed="false"/>
    <row r="21674" customFormat="false" ht="15" hidden="false" customHeight="true" outlineLevel="0" collapsed="false"/>
    <row r="21675" customFormat="false" ht="15" hidden="false" customHeight="true" outlineLevel="0" collapsed="false"/>
    <row r="21676" customFormat="false" ht="15" hidden="false" customHeight="true" outlineLevel="0" collapsed="false"/>
    <row r="21677" customFormat="false" ht="15" hidden="false" customHeight="true" outlineLevel="0" collapsed="false"/>
    <row r="21678" customFormat="false" ht="15" hidden="false" customHeight="true" outlineLevel="0" collapsed="false"/>
    <row r="21679" customFormat="false" ht="15" hidden="false" customHeight="true" outlineLevel="0" collapsed="false"/>
    <row r="21680" customFormat="false" ht="15" hidden="false" customHeight="true" outlineLevel="0" collapsed="false"/>
    <row r="21681" customFormat="false" ht="15" hidden="false" customHeight="true" outlineLevel="0" collapsed="false"/>
    <row r="21682" customFormat="false" ht="15" hidden="false" customHeight="true" outlineLevel="0" collapsed="false"/>
    <row r="21683" customFormat="false" ht="15" hidden="false" customHeight="true" outlineLevel="0" collapsed="false"/>
    <row r="21684" customFormat="false" ht="15" hidden="false" customHeight="true" outlineLevel="0" collapsed="false"/>
    <row r="21685" customFormat="false" ht="15" hidden="false" customHeight="true" outlineLevel="0" collapsed="false"/>
    <row r="21686" customFormat="false" ht="15" hidden="false" customHeight="true" outlineLevel="0" collapsed="false"/>
    <row r="21687" customFormat="false" ht="15" hidden="false" customHeight="true" outlineLevel="0" collapsed="false"/>
    <row r="21688" customFormat="false" ht="15" hidden="false" customHeight="true" outlineLevel="0" collapsed="false"/>
    <row r="21689" customFormat="false" ht="15" hidden="false" customHeight="true" outlineLevel="0" collapsed="false"/>
    <row r="21690" customFormat="false" ht="15" hidden="false" customHeight="true" outlineLevel="0" collapsed="false"/>
    <row r="21691" customFormat="false" ht="15" hidden="false" customHeight="true" outlineLevel="0" collapsed="false"/>
    <row r="21692" customFormat="false" ht="15" hidden="false" customHeight="true" outlineLevel="0" collapsed="false"/>
    <row r="21693" customFormat="false" ht="15" hidden="false" customHeight="true" outlineLevel="0" collapsed="false"/>
    <row r="21694" customFormat="false" ht="15" hidden="false" customHeight="true" outlineLevel="0" collapsed="false"/>
    <row r="21695" customFormat="false" ht="15" hidden="false" customHeight="true" outlineLevel="0" collapsed="false"/>
    <row r="21696" customFormat="false" ht="15" hidden="false" customHeight="true" outlineLevel="0" collapsed="false"/>
    <row r="21697" customFormat="false" ht="15" hidden="false" customHeight="true" outlineLevel="0" collapsed="false"/>
    <row r="21698" customFormat="false" ht="15" hidden="false" customHeight="true" outlineLevel="0" collapsed="false"/>
    <row r="21699" customFormat="false" ht="15" hidden="false" customHeight="true" outlineLevel="0" collapsed="false"/>
    <row r="21700" customFormat="false" ht="15" hidden="false" customHeight="true" outlineLevel="0" collapsed="false"/>
    <row r="21701" customFormat="false" ht="15" hidden="false" customHeight="true" outlineLevel="0" collapsed="false"/>
    <row r="21702" customFormat="false" ht="15" hidden="false" customHeight="true" outlineLevel="0" collapsed="false"/>
    <row r="21703" customFormat="false" ht="15" hidden="false" customHeight="true" outlineLevel="0" collapsed="false"/>
    <row r="21704" customFormat="false" ht="15" hidden="false" customHeight="true" outlineLevel="0" collapsed="false"/>
    <row r="21705" customFormat="false" ht="15" hidden="false" customHeight="true" outlineLevel="0" collapsed="false"/>
    <row r="21706" customFormat="false" ht="15" hidden="false" customHeight="true" outlineLevel="0" collapsed="false"/>
    <row r="21707" customFormat="false" ht="15" hidden="false" customHeight="true" outlineLevel="0" collapsed="false"/>
    <row r="21708" customFormat="false" ht="15" hidden="false" customHeight="true" outlineLevel="0" collapsed="false"/>
    <row r="21709" customFormat="false" ht="15" hidden="false" customHeight="true" outlineLevel="0" collapsed="false"/>
    <row r="21710" customFormat="false" ht="15" hidden="false" customHeight="true" outlineLevel="0" collapsed="false"/>
    <row r="21711" customFormat="false" ht="15" hidden="false" customHeight="true" outlineLevel="0" collapsed="false"/>
    <row r="21712" customFormat="false" ht="15" hidden="false" customHeight="true" outlineLevel="0" collapsed="false"/>
    <row r="21713" customFormat="false" ht="15" hidden="false" customHeight="true" outlineLevel="0" collapsed="false"/>
    <row r="21714" customFormat="false" ht="15" hidden="false" customHeight="true" outlineLevel="0" collapsed="false"/>
    <row r="21715" customFormat="false" ht="15" hidden="false" customHeight="true" outlineLevel="0" collapsed="false"/>
    <row r="21716" customFormat="false" ht="15" hidden="false" customHeight="true" outlineLevel="0" collapsed="false"/>
    <row r="21717" customFormat="false" ht="15" hidden="false" customHeight="true" outlineLevel="0" collapsed="false"/>
    <row r="21718" customFormat="false" ht="15" hidden="false" customHeight="true" outlineLevel="0" collapsed="false"/>
    <row r="21719" customFormat="false" ht="15" hidden="false" customHeight="true" outlineLevel="0" collapsed="false"/>
    <row r="21720" customFormat="false" ht="15" hidden="false" customHeight="true" outlineLevel="0" collapsed="false"/>
    <row r="21721" customFormat="false" ht="15" hidden="false" customHeight="true" outlineLevel="0" collapsed="false"/>
    <row r="21722" customFormat="false" ht="15" hidden="false" customHeight="true" outlineLevel="0" collapsed="false"/>
    <row r="21723" customFormat="false" ht="15" hidden="false" customHeight="true" outlineLevel="0" collapsed="false"/>
    <row r="21724" customFormat="false" ht="15" hidden="false" customHeight="true" outlineLevel="0" collapsed="false"/>
    <row r="21725" customFormat="false" ht="15" hidden="false" customHeight="true" outlineLevel="0" collapsed="false"/>
    <row r="21726" customFormat="false" ht="15" hidden="false" customHeight="true" outlineLevel="0" collapsed="false"/>
    <row r="21727" customFormat="false" ht="15" hidden="false" customHeight="true" outlineLevel="0" collapsed="false"/>
    <row r="21728" customFormat="false" ht="15" hidden="false" customHeight="true" outlineLevel="0" collapsed="false"/>
    <row r="21729" customFormat="false" ht="15" hidden="false" customHeight="true" outlineLevel="0" collapsed="false"/>
    <row r="21730" customFormat="false" ht="15" hidden="false" customHeight="true" outlineLevel="0" collapsed="false"/>
    <row r="21731" customFormat="false" ht="15" hidden="false" customHeight="true" outlineLevel="0" collapsed="false"/>
    <row r="21732" customFormat="false" ht="15" hidden="false" customHeight="true" outlineLevel="0" collapsed="false"/>
    <row r="21733" customFormat="false" ht="15" hidden="false" customHeight="true" outlineLevel="0" collapsed="false"/>
    <row r="21734" customFormat="false" ht="15" hidden="false" customHeight="true" outlineLevel="0" collapsed="false"/>
    <row r="21735" customFormat="false" ht="15" hidden="false" customHeight="true" outlineLevel="0" collapsed="false"/>
    <row r="21736" customFormat="false" ht="15" hidden="false" customHeight="true" outlineLevel="0" collapsed="false"/>
    <row r="21737" customFormat="false" ht="15" hidden="false" customHeight="true" outlineLevel="0" collapsed="false"/>
    <row r="21738" customFormat="false" ht="15" hidden="false" customHeight="true" outlineLevel="0" collapsed="false"/>
    <row r="21739" customFormat="false" ht="15" hidden="false" customHeight="true" outlineLevel="0" collapsed="false"/>
    <row r="21740" customFormat="false" ht="15" hidden="false" customHeight="true" outlineLevel="0" collapsed="false"/>
    <row r="21741" customFormat="false" ht="15" hidden="false" customHeight="true" outlineLevel="0" collapsed="false"/>
    <row r="21742" customFormat="false" ht="15" hidden="false" customHeight="true" outlineLevel="0" collapsed="false"/>
    <row r="21743" customFormat="false" ht="15" hidden="false" customHeight="true" outlineLevel="0" collapsed="false"/>
    <row r="21744" customFormat="false" ht="15" hidden="false" customHeight="true" outlineLevel="0" collapsed="false"/>
    <row r="21745" customFormat="false" ht="15" hidden="false" customHeight="true" outlineLevel="0" collapsed="false"/>
    <row r="21746" customFormat="false" ht="15" hidden="false" customHeight="true" outlineLevel="0" collapsed="false"/>
    <row r="21747" customFormat="false" ht="15" hidden="false" customHeight="true" outlineLevel="0" collapsed="false"/>
    <row r="21748" customFormat="false" ht="15" hidden="false" customHeight="true" outlineLevel="0" collapsed="false"/>
    <row r="21749" customFormat="false" ht="15" hidden="false" customHeight="true" outlineLevel="0" collapsed="false"/>
    <row r="21750" customFormat="false" ht="15" hidden="false" customHeight="true" outlineLevel="0" collapsed="false"/>
    <row r="21751" customFormat="false" ht="15" hidden="false" customHeight="true" outlineLevel="0" collapsed="false"/>
    <row r="21752" customFormat="false" ht="15" hidden="false" customHeight="true" outlineLevel="0" collapsed="false"/>
    <row r="21753" customFormat="false" ht="15" hidden="false" customHeight="true" outlineLevel="0" collapsed="false"/>
    <row r="21754" customFormat="false" ht="15" hidden="false" customHeight="true" outlineLevel="0" collapsed="false"/>
    <row r="21755" customFormat="false" ht="15" hidden="false" customHeight="true" outlineLevel="0" collapsed="false"/>
    <row r="21756" customFormat="false" ht="15" hidden="false" customHeight="true" outlineLevel="0" collapsed="false"/>
    <row r="21757" customFormat="false" ht="15" hidden="false" customHeight="true" outlineLevel="0" collapsed="false"/>
    <row r="21758" customFormat="false" ht="15" hidden="false" customHeight="true" outlineLevel="0" collapsed="false"/>
    <row r="21759" customFormat="false" ht="15" hidden="false" customHeight="true" outlineLevel="0" collapsed="false"/>
    <row r="21760" customFormat="false" ht="15" hidden="false" customHeight="true" outlineLevel="0" collapsed="false"/>
    <row r="21761" customFormat="false" ht="15" hidden="false" customHeight="true" outlineLevel="0" collapsed="false"/>
    <row r="21762" customFormat="false" ht="15" hidden="false" customHeight="true" outlineLevel="0" collapsed="false"/>
    <row r="21763" customFormat="false" ht="15" hidden="false" customHeight="true" outlineLevel="0" collapsed="false"/>
    <row r="21764" customFormat="false" ht="15" hidden="false" customHeight="true" outlineLevel="0" collapsed="false"/>
    <row r="21765" customFormat="false" ht="15" hidden="false" customHeight="true" outlineLevel="0" collapsed="false"/>
    <row r="21766" customFormat="false" ht="15" hidden="false" customHeight="true" outlineLevel="0" collapsed="false"/>
    <row r="21767" customFormat="false" ht="15" hidden="false" customHeight="true" outlineLevel="0" collapsed="false"/>
    <row r="21768" customFormat="false" ht="15" hidden="false" customHeight="true" outlineLevel="0" collapsed="false"/>
    <row r="21769" customFormat="false" ht="15" hidden="false" customHeight="true" outlineLevel="0" collapsed="false"/>
    <row r="21770" customFormat="false" ht="15" hidden="false" customHeight="true" outlineLevel="0" collapsed="false"/>
    <row r="21771" customFormat="false" ht="15" hidden="false" customHeight="true" outlineLevel="0" collapsed="false"/>
    <row r="21772" customFormat="false" ht="15" hidden="false" customHeight="true" outlineLevel="0" collapsed="false"/>
    <row r="21773" customFormat="false" ht="15" hidden="false" customHeight="true" outlineLevel="0" collapsed="false"/>
    <row r="21774" customFormat="false" ht="15" hidden="false" customHeight="true" outlineLevel="0" collapsed="false"/>
    <row r="21775" customFormat="false" ht="15" hidden="false" customHeight="true" outlineLevel="0" collapsed="false"/>
    <row r="21776" customFormat="false" ht="15" hidden="false" customHeight="true" outlineLevel="0" collapsed="false"/>
    <row r="21777" customFormat="false" ht="15" hidden="false" customHeight="true" outlineLevel="0" collapsed="false"/>
    <row r="21778" customFormat="false" ht="15" hidden="false" customHeight="true" outlineLevel="0" collapsed="false"/>
    <row r="21779" customFormat="false" ht="15" hidden="false" customHeight="true" outlineLevel="0" collapsed="false"/>
    <row r="21780" customFormat="false" ht="15" hidden="false" customHeight="true" outlineLevel="0" collapsed="false"/>
    <row r="21781" customFormat="false" ht="15" hidden="false" customHeight="true" outlineLevel="0" collapsed="false"/>
    <row r="21782" customFormat="false" ht="15" hidden="false" customHeight="true" outlineLevel="0" collapsed="false"/>
    <row r="21783" customFormat="false" ht="15" hidden="false" customHeight="true" outlineLevel="0" collapsed="false"/>
    <row r="21784" customFormat="false" ht="15" hidden="false" customHeight="true" outlineLevel="0" collapsed="false"/>
    <row r="21785" customFormat="false" ht="15" hidden="false" customHeight="true" outlineLevel="0" collapsed="false"/>
    <row r="21786" customFormat="false" ht="15" hidden="false" customHeight="true" outlineLevel="0" collapsed="false"/>
    <row r="21787" customFormat="false" ht="15" hidden="false" customHeight="true" outlineLevel="0" collapsed="false"/>
    <row r="21788" customFormat="false" ht="15" hidden="false" customHeight="true" outlineLevel="0" collapsed="false"/>
    <row r="21789" customFormat="false" ht="15" hidden="false" customHeight="true" outlineLevel="0" collapsed="false"/>
    <row r="21790" customFormat="false" ht="15" hidden="false" customHeight="true" outlineLevel="0" collapsed="false"/>
    <row r="21791" customFormat="false" ht="15" hidden="false" customHeight="true" outlineLevel="0" collapsed="false"/>
    <row r="21792" customFormat="false" ht="15" hidden="false" customHeight="true" outlineLevel="0" collapsed="false"/>
    <row r="21793" customFormat="false" ht="15" hidden="false" customHeight="true" outlineLevel="0" collapsed="false"/>
    <row r="21794" customFormat="false" ht="15" hidden="false" customHeight="true" outlineLevel="0" collapsed="false"/>
    <row r="21795" customFormat="false" ht="15" hidden="false" customHeight="true" outlineLevel="0" collapsed="false"/>
    <row r="21796" customFormat="false" ht="15" hidden="false" customHeight="true" outlineLevel="0" collapsed="false"/>
    <row r="21797" customFormat="false" ht="15" hidden="false" customHeight="true" outlineLevel="0" collapsed="false"/>
    <row r="21798" customFormat="false" ht="15" hidden="false" customHeight="true" outlineLevel="0" collapsed="false"/>
    <row r="21799" customFormat="false" ht="15" hidden="false" customHeight="true" outlineLevel="0" collapsed="false"/>
    <row r="21800" customFormat="false" ht="15" hidden="false" customHeight="true" outlineLevel="0" collapsed="false"/>
    <row r="21801" customFormat="false" ht="15" hidden="false" customHeight="true" outlineLevel="0" collapsed="false"/>
    <row r="21802" customFormat="false" ht="15" hidden="false" customHeight="true" outlineLevel="0" collapsed="false"/>
    <row r="21803" customFormat="false" ht="15" hidden="false" customHeight="true" outlineLevel="0" collapsed="false"/>
    <row r="21804" customFormat="false" ht="15" hidden="false" customHeight="true" outlineLevel="0" collapsed="false"/>
    <row r="21805" customFormat="false" ht="15" hidden="false" customHeight="true" outlineLevel="0" collapsed="false"/>
    <row r="21806" customFormat="false" ht="15" hidden="false" customHeight="true" outlineLevel="0" collapsed="false"/>
    <row r="21807" customFormat="false" ht="15" hidden="false" customHeight="true" outlineLevel="0" collapsed="false"/>
    <row r="21808" customFormat="false" ht="15" hidden="false" customHeight="true" outlineLevel="0" collapsed="false"/>
    <row r="21809" customFormat="false" ht="15" hidden="false" customHeight="true" outlineLevel="0" collapsed="false"/>
    <row r="21810" customFormat="false" ht="15" hidden="false" customHeight="true" outlineLevel="0" collapsed="false"/>
    <row r="21811" customFormat="false" ht="15" hidden="false" customHeight="true" outlineLevel="0" collapsed="false"/>
    <row r="21812" customFormat="false" ht="15" hidden="false" customHeight="true" outlineLevel="0" collapsed="false"/>
    <row r="21813" customFormat="false" ht="15" hidden="false" customHeight="true" outlineLevel="0" collapsed="false"/>
    <row r="21814" customFormat="false" ht="15" hidden="false" customHeight="true" outlineLevel="0" collapsed="false"/>
    <row r="21815" customFormat="false" ht="15" hidden="false" customHeight="true" outlineLevel="0" collapsed="false"/>
    <row r="21816" customFormat="false" ht="15" hidden="false" customHeight="true" outlineLevel="0" collapsed="false"/>
    <row r="21817" customFormat="false" ht="15" hidden="false" customHeight="true" outlineLevel="0" collapsed="false"/>
    <row r="21818" customFormat="false" ht="15" hidden="false" customHeight="true" outlineLevel="0" collapsed="false"/>
    <row r="21819" customFormat="false" ht="15" hidden="false" customHeight="true" outlineLevel="0" collapsed="false"/>
    <row r="21820" customFormat="false" ht="15" hidden="false" customHeight="true" outlineLevel="0" collapsed="false"/>
    <row r="21821" customFormat="false" ht="15" hidden="false" customHeight="true" outlineLevel="0" collapsed="false"/>
    <row r="21822" customFormat="false" ht="15" hidden="false" customHeight="true" outlineLevel="0" collapsed="false"/>
    <row r="21823" customFormat="false" ht="15" hidden="false" customHeight="true" outlineLevel="0" collapsed="false"/>
    <row r="21824" customFormat="false" ht="15" hidden="false" customHeight="true" outlineLevel="0" collapsed="false"/>
    <row r="21825" customFormat="false" ht="15" hidden="false" customHeight="true" outlineLevel="0" collapsed="false"/>
    <row r="21826" customFormat="false" ht="15" hidden="false" customHeight="true" outlineLevel="0" collapsed="false"/>
    <row r="21827" customFormat="false" ht="15" hidden="false" customHeight="true" outlineLevel="0" collapsed="false"/>
    <row r="21828" customFormat="false" ht="15" hidden="false" customHeight="true" outlineLevel="0" collapsed="false"/>
    <row r="21829" customFormat="false" ht="15" hidden="false" customHeight="true" outlineLevel="0" collapsed="false"/>
    <row r="21830" customFormat="false" ht="15" hidden="false" customHeight="true" outlineLevel="0" collapsed="false"/>
    <row r="21831" customFormat="false" ht="15" hidden="false" customHeight="true" outlineLevel="0" collapsed="false"/>
    <row r="21832" customFormat="false" ht="15" hidden="false" customHeight="true" outlineLevel="0" collapsed="false"/>
    <row r="21833" customFormat="false" ht="15" hidden="false" customHeight="true" outlineLevel="0" collapsed="false"/>
    <row r="21834" customFormat="false" ht="15" hidden="false" customHeight="true" outlineLevel="0" collapsed="false"/>
    <row r="21835" customFormat="false" ht="15" hidden="false" customHeight="true" outlineLevel="0" collapsed="false"/>
    <row r="21836" customFormat="false" ht="15" hidden="false" customHeight="true" outlineLevel="0" collapsed="false"/>
    <row r="21837" customFormat="false" ht="15" hidden="false" customHeight="true" outlineLevel="0" collapsed="false"/>
    <row r="21838" customFormat="false" ht="15" hidden="false" customHeight="true" outlineLevel="0" collapsed="false"/>
    <row r="21839" customFormat="false" ht="15" hidden="false" customHeight="true" outlineLevel="0" collapsed="false"/>
    <row r="21840" customFormat="false" ht="15" hidden="false" customHeight="true" outlineLevel="0" collapsed="false"/>
    <row r="21841" customFormat="false" ht="15" hidden="false" customHeight="true" outlineLevel="0" collapsed="false"/>
    <row r="21842" customFormat="false" ht="15" hidden="false" customHeight="true" outlineLevel="0" collapsed="false"/>
    <row r="21843" customFormat="false" ht="15" hidden="false" customHeight="true" outlineLevel="0" collapsed="false"/>
    <row r="21844" customFormat="false" ht="15" hidden="false" customHeight="true" outlineLevel="0" collapsed="false"/>
    <row r="21845" customFormat="false" ht="15" hidden="false" customHeight="true" outlineLevel="0" collapsed="false"/>
    <row r="21846" customFormat="false" ht="15" hidden="false" customHeight="true" outlineLevel="0" collapsed="false"/>
    <row r="21847" customFormat="false" ht="15" hidden="false" customHeight="true" outlineLevel="0" collapsed="false"/>
    <row r="21848" customFormat="false" ht="15" hidden="false" customHeight="true" outlineLevel="0" collapsed="false"/>
    <row r="21849" customFormat="false" ht="15" hidden="false" customHeight="true" outlineLevel="0" collapsed="false"/>
    <row r="21850" customFormat="false" ht="15" hidden="false" customHeight="true" outlineLevel="0" collapsed="false"/>
    <row r="21851" customFormat="false" ht="15" hidden="false" customHeight="true" outlineLevel="0" collapsed="false"/>
    <row r="21852" customFormat="false" ht="15" hidden="false" customHeight="true" outlineLevel="0" collapsed="false"/>
    <row r="21853" customFormat="false" ht="15" hidden="false" customHeight="true" outlineLevel="0" collapsed="false"/>
    <row r="21854" customFormat="false" ht="15" hidden="false" customHeight="true" outlineLevel="0" collapsed="false"/>
    <row r="21855" customFormat="false" ht="15" hidden="false" customHeight="true" outlineLevel="0" collapsed="false"/>
    <row r="21856" customFormat="false" ht="15" hidden="false" customHeight="true" outlineLevel="0" collapsed="false"/>
    <row r="21857" customFormat="false" ht="15" hidden="false" customHeight="true" outlineLevel="0" collapsed="false"/>
    <row r="21858" customFormat="false" ht="15" hidden="false" customHeight="true" outlineLevel="0" collapsed="false"/>
    <row r="21859" customFormat="false" ht="15" hidden="false" customHeight="true" outlineLevel="0" collapsed="false"/>
    <row r="21860" customFormat="false" ht="15" hidden="false" customHeight="true" outlineLevel="0" collapsed="false"/>
    <row r="21861" customFormat="false" ht="15" hidden="false" customHeight="true" outlineLevel="0" collapsed="false"/>
    <row r="21862" customFormat="false" ht="15" hidden="false" customHeight="true" outlineLevel="0" collapsed="false"/>
    <row r="21863" customFormat="false" ht="15" hidden="false" customHeight="true" outlineLevel="0" collapsed="false"/>
    <row r="21864" customFormat="false" ht="15" hidden="false" customHeight="true" outlineLevel="0" collapsed="false"/>
    <row r="21865" customFormat="false" ht="15" hidden="false" customHeight="true" outlineLevel="0" collapsed="false"/>
    <row r="21866" customFormat="false" ht="15" hidden="false" customHeight="true" outlineLevel="0" collapsed="false"/>
    <row r="21867" customFormat="false" ht="15" hidden="false" customHeight="true" outlineLevel="0" collapsed="false"/>
    <row r="21868" customFormat="false" ht="15" hidden="false" customHeight="true" outlineLevel="0" collapsed="false"/>
    <row r="21869" customFormat="false" ht="15" hidden="false" customHeight="true" outlineLevel="0" collapsed="false"/>
    <row r="21870" customFormat="false" ht="15" hidden="false" customHeight="true" outlineLevel="0" collapsed="false"/>
    <row r="21871" customFormat="false" ht="15" hidden="false" customHeight="true" outlineLevel="0" collapsed="false"/>
    <row r="21872" customFormat="false" ht="15" hidden="false" customHeight="true" outlineLevel="0" collapsed="false"/>
    <row r="21873" customFormat="false" ht="15" hidden="false" customHeight="true" outlineLevel="0" collapsed="false"/>
    <row r="21874" customFormat="false" ht="15" hidden="false" customHeight="true" outlineLevel="0" collapsed="false"/>
    <row r="21875" customFormat="false" ht="15" hidden="false" customHeight="true" outlineLevel="0" collapsed="false"/>
    <row r="21876" customFormat="false" ht="15" hidden="false" customHeight="true" outlineLevel="0" collapsed="false"/>
    <row r="21877" customFormat="false" ht="15" hidden="false" customHeight="true" outlineLevel="0" collapsed="false"/>
    <row r="21878" customFormat="false" ht="15" hidden="false" customHeight="true" outlineLevel="0" collapsed="false"/>
    <row r="21879" customFormat="false" ht="15" hidden="false" customHeight="true" outlineLevel="0" collapsed="false"/>
    <row r="21880" customFormat="false" ht="15" hidden="false" customHeight="true" outlineLevel="0" collapsed="false"/>
    <row r="21881" customFormat="false" ht="15" hidden="false" customHeight="true" outlineLevel="0" collapsed="false"/>
    <row r="21882" customFormat="false" ht="15" hidden="false" customHeight="true" outlineLevel="0" collapsed="false"/>
    <row r="21883" customFormat="false" ht="15" hidden="false" customHeight="true" outlineLevel="0" collapsed="false"/>
    <row r="21884" customFormat="false" ht="15" hidden="false" customHeight="true" outlineLevel="0" collapsed="false"/>
    <row r="21885" customFormat="false" ht="15" hidden="false" customHeight="true" outlineLevel="0" collapsed="false"/>
    <row r="21886" customFormat="false" ht="15" hidden="false" customHeight="true" outlineLevel="0" collapsed="false"/>
    <row r="21887" customFormat="false" ht="15" hidden="false" customHeight="true" outlineLevel="0" collapsed="false"/>
    <row r="21888" customFormat="false" ht="15" hidden="false" customHeight="true" outlineLevel="0" collapsed="false"/>
    <row r="21889" customFormat="false" ht="15" hidden="false" customHeight="true" outlineLevel="0" collapsed="false"/>
    <row r="21890" customFormat="false" ht="15" hidden="false" customHeight="true" outlineLevel="0" collapsed="false"/>
    <row r="21891" customFormat="false" ht="15" hidden="false" customHeight="true" outlineLevel="0" collapsed="false"/>
    <row r="21892" customFormat="false" ht="15" hidden="false" customHeight="true" outlineLevel="0" collapsed="false"/>
    <row r="21893" customFormat="false" ht="15" hidden="false" customHeight="true" outlineLevel="0" collapsed="false"/>
    <row r="21894" customFormat="false" ht="15" hidden="false" customHeight="true" outlineLevel="0" collapsed="false"/>
    <row r="21895" customFormat="false" ht="15" hidden="false" customHeight="true" outlineLevel="0" collapsed="false"/>
    <row r="21896" customFormat="false" ht="15" hidden="false" customHeight="true" outlineLevel="0" collapsed="false"/>
    <row r="21897" customFormat="false" ht="15" hidden="false" customHeight="true" outlineLevel="0" collapsed="false"/>
    <row r="21898" customFormat="false" ht="15" hidden="false" customHeight="true" outlineLevel="0" collapsed="false"/>
    <row r="21899" customFormat="false" ht="15" hidden="false" customHeight="true" outlineLevel="0" collapsed="false"/>
    <row r="21900" customFormat="false" ht="15" hidden="false" customHeight="true" outlineLevel="0" collapsed="false"/>
    <row r="21901" customFormat="false" ht="15" hidden="false" customHeight="true" outlineLevel="0" collapsed="false"/>
    <row r="21902" customFormat="false" ht="15" hidden="false" customHeight="true" outlineLevel="0" collapsed="false"/>
    <row r="21903" customFormat="false" ht="15" hidden="false" customHeight="true" outlineLevel="0" collapsed="false"/>
    <row r="21904" customFormat="false" ht="15" hidden="false" customHeight="true" outlineLevel="0" collapsed="false"/>
    <row r="21905" customFormat="false" ht="15" hidden="false" customHeight="true" outlineLevel="0" collapsed="false"/>
    <row r="21906" customFormat="false" ht="15" hidden="false" customHeight="true" outlineLevel="0" collapsed="false"/>
    <row r="21907" customFormat="false" ht="15" hidden="false" customHeight="true" outlineLevel="0" collapsed="false"/>
    <row r="21908" customFormat="false" ht="15" hidden="false" customHeight="true" outlineLevel="0" collapsed="false"/>
    <row r="21909" customFormat="false" ht="15" hidden="false" customHeight="true" outlineLevel="0" collapsed="false"/>
    <row r="21910" customFormat="false" ht="15" hidden="false" customHeight="true" outlineLevel="0" collapsed="false"/>
    <row r="21911" customFormat="false" ht="15" hidden="false" customHeight="true" outlineLevel="0" collapsed="false"/>
    <row r="21912" customFormat="false" ht="15" hidden="false" customHeight="true" outlineLevel="0" collapsed="false"/>
    <row r="21913" customFormat="false" ht="15" hidden="false" customHeight="true" outlineLevel="0" collapsed="false"/>
    <row r="21914" customFormat="false" ht="15" hidden="false" customHeight="true" outlineLevel="0" collapsed="false"/>
    <row r="21915" customFormat="false" ht="15" hidden="false" customHeight="true" outlineLevel="0" collapsed="false"/>
    <row r="21916" customFormat="false" ht="15" hidden="false" customHeight="true" outlineLevel="0" collapsed="false"/>
    <row r="21917" customFormat="false" ht="15" hidden="false" customHeight="true" outlineLevel="0" collapsed="false"/>
    <row r="21918" customFormat="false" ht="15" hidden="false" customHeight="true" outlineLevel="0" collapsed="false"/>
    <row r="21919" customFormat="false" ht="15" hidden="false" customHeight="true" outlineLevel="0" collapsed="false"/>
    <row r="21920" customFormat="false" ht="15" hidden="false" customHeight="true" outlineLevel="0" collapsed="false"/>
    <row r="21921" customFormat="false" ht="15" hidden="false" customHeight="true" outlineLevel="0" collapsed="false"/>
    <row r="21922" customFormat="false" ht="15" hidden="false" customHeight="true" outlineLevel="0" collapsed="false"/>
    <row r="21923" customFormat="false" ht="15" hidden="false" customHeight="true" outlineLevel="0" collapsed="false"/>
    <row r="21924" customFormat="false" ht="15" hidden="false" customHeight="true" outlineLevel="0" collapsed="false"/>
    <row r="21925" customFormat="false" ht="15" hidden="false" customHeight="true" outlineLevel="0" collapsed="false"/>
    <row r="21926" customFormat="false" ht="15" hidden="false" customHeight="true" outlineLevel="0" collapsed="false"/>
    <row r="21927" customFormat="false" ht="15" hidden="false" customHeight="true" outlineLevel="0" collapsed="false"/>
    <row r="21928" customFormat="false" ht="15" hidden="false" customHeight="true" outlineLevel="0" collapsed="false"/>
    <row r="21929" customFormat="false" ht="15" hidden="false" customHeight="true" outlineLevel="0" collapsed="false"/>
    <row r="21930" customFormat="false" ht="15" hidden="false" customHeight="true" outlineLevel="0" collapsed="false"/>
    <row r="21931" customFormat="false" ht="15" hidden="false" customHeight="true" outlineLevel="0" collapsed="false"/>
    <row r="21932" customFormat="false" ht="15" hidden="false" customHeight="true" outlineLevel="0" collapsed="false"/>
    <row r="21933" customFormat="false" ht="15" hidden="false" customHeight="true" outlineLevel="0" collapsed="false"/>
    <row r="21934" customFormat="false" ht="15" hidden="false" customHeight="true" outlineLevel="0" collapsed="false"/>
    <row r="21935" customFormat="false" ht="15" hidden="false" customHeight="true" outlineLevel="0" collapsed="false"/>
    <row r="21936" customFormat="false" ht="15" hidden="false" customHeight="true" outlineLevel="0" collapsed="false"/>
    <row r="21937" customFormat="false" ht="15" hidden="false" customHeight="true" outlineLevel="0" collapsed="false"/>
    <row r="21938" customFormat="false" ht="15" hidden="false" customHeight="true" outlineLevel="0" collapsed="false"/>
    <row r="21939" customFormat="false" ht="15" hidden="false" customHeight="true" outlineLevel="0" collapsed="false"/>
    <row r="21940" customFormat="false" ht="15" hidden="false" customHeight="true" outlineLevel="0" collapsed="false"/>
    <row r="21941" customFormat="false" ht="15" hidden="false" customHeight="true" outlineLevel="0" collapsed="false"/>
    <row r="21942" customFormat="false" ht="15" hidden="false" customHeight="true" outlineLevel="0" collapsed="false"/>
    <row r="21943" customFormat="false" ht="15" hidden="false" customHeight="true" outlineLevel="0" collapsed="false"/>
    <row r="21944" customFormat="false" ht="15" hidden="false" customHeight="true" outlineLevel="0" collapsed="false"/>
    <row r="21945" customFormat="false" ht="15" hidden="false" customHeight="true" outlineLevel="0" collapsed="false"/>
    <row r="21946" customFormat="false" ht="15" hidden="false" customHeight="true" outlineLevel="0" collapsed="false"/>
    <row r="21947" customFormat="false" ht="15" hidden="false" customHeight="true" outlineLevel="0" collapsed="false"/>
    <row r="21948" customFormat="false" ht="15" hidden="false" customHeight="true" outlineLevel="0" collapsed="false"/>
    <row r="21949" customFormat="false" ht="15" hidden="false" customHeight="true" outlineLevel="0" collapsed="false"/>
    <row r="21950" customFormat="false" ht="15" hidden="false" customHeight="true" outlineLevel="0" collapsed="false"/>
    <row r="21951" customFormat="false" ht="15" hidden="false" customHeight="true" outlineLevel="0" collapsed="false"/>
    <row r="21952" customFormat="false" ht="15" hidden="false" customHeight="true" outlineLevel="0" collapsed="false"/>
    <row r="21953" customFormat="false" ht="15" hidden="false" customHeight="true" outlineLevel="0" collapsed="false"/>
    <row r="21954" customFormat="false" ht="15" hidden="false" customHeight="true" outlineLevel="0" collapsed="false"/>
    <row r="21955" customFormat="false" ht="15" hidden="false" customHeight="true" outlineLevel="0" collapsed="false"/>
    <row r="21956" customFormat="false" ht="15" hidden="false" customHeight="true" outlineLevel="0" collapsed="false"/>
    <row r="21957" customFormat="false" ht="15" hidden="false" customHeight="true" outlineLevel="0" collapsed="false"/>
    <row r="21958" customFormat="false" ht="15" hidden="false" customHeight="true" outlineLevel="0" collapsed="false"/>
    <row r="21959" customFormat="false" ht="15" hidden="false" customHeight="true" outlineLevel="0" collapsed="false"/>
    <row r="21960" customFormat="false" ht="15" hidden="false" customHeight="true" outlineLevel="0" collapsed="false"/>
    <row r="21961" customFormat="false" ht="15" hidden="false" customHeight="true" outlineLevel="0" collapsed="false"/>
    <row r="21962" customFormat="false" ht="15" hidden="false" customHeight="true" outlineLevel="0" collapsed="false"/>
    <row r="21963" customFormat="false" ht="15" hidden="false" customHeight="true" outlineLevel="0" collapsed="false"/>
    <row r="21964" customFormat="false" ht="15" hidden="false" customHeight="true" outlineLevel="0" collapsed="false"/>
    <row r="21965" customFormat="false" ht="15" hidden="false" customHeight="true" outlineLevel="0" collapsed="false"/>
    <row r="21966" customFormat="false" ht="15" hidden="false" customHeight="true" outlineLevel="0" collapsed="false"/>
    <row r="21967" customFormat="false" ht="15" hidden="false" customHeight="true" outlineLevel="0" collapsed="false"/>
    <row r="21968" customFormat="false" ht="15" hidden="false" customHeight="true" outlineLevel="0" collapsed="false"/>
    <row r="21969" customFormat="false" ht="15" hidden="false" customHeight="true" outlineLevel="0" collapsed="false"/>
    <row r="21970" customFormat="false" ht="15" hidden="false" customHeight="true" outlineLevel="0" collapsed="false"/>
    <row r="21971" customFormat="false" ht="15" hidden="false" customHeight="true" outlineLevel="0" collapsed="false"/>
    <row r="21972" customFormat="false" ht="15" hidden="false" customHeight="true" outlineLevel="0" collapsed="false"/>
    <row r="21973" customFormat="false" ht="15" hidden="false" customHeight="true" outlineLevel="0" collapsed="false"/>
    <row r="21974" customFormat="false" ht="15" hidden="false" customHeight="true" outlineLevel="0" collapsed="false"/>
    <row r="21975" customFormat="false" ht="15" hidden="false" customHeight="true" outlineLevel="0" collapsed="false"/>
    <row r="21976" customFormat="false" ht="15" hidden="false" customHeight="true" outlineLevel="0" collapsed="false"/>
    <row r="21977" customFormat="false" ht="15" hidden="false" customHeight="true" outlineLevel="0" collapsed="false"/>
    <row r="21978" customFormat="false" ht="15" hidden="false" customHeight="true" outlineLevel="0" collapsed="false"/>
    <row r="21979" customFormat="false" ht="15" hidden="false" customHeight="true" outlineLevel="0" collapsed="false"/>
    <row r="21980" customFormat="false" ht="15" hidden="false" customHeight="true" outlineLevel="0" collapsed="false"/>
    <row r="21981" customFormat="false" ht="15" hidden="false" customHeight="true" outlineLevel="0" collapsed="false"/>
    <row r="21982" customFormat="false" ht="15" hidden="false" customHeight="true" outlineLevel="0" collapsed="false"/>
    <row r="21983" customFormat="false" ht="15" hidden="false" customHeight="true" outlineLevel="0" collapsed="false"/>
    <row r="21984" customFormat="false" ht="15" hidden="false" customHeight="true" outlineLevel="0" collapsed="false"/>
    <row r="21985" customFormat="false" ht="15" hidden="false" customHeight="true" outlineLevel="0" collapsed="false"/>
    <row r="21986" customFormat="false" ht="15" hidden="false" customHeight="true" outlineLevel="0" collapsed="false"/>
    <row r="21987" customFormat="false" ht="15" hidden="false" customHeight="true" outlineLevel="0" collapsed="false"/>
    <row r="21988" customFormat="false" ht="15" hidden="false" customHeight="true" outlineLevel="0" collapsed="false"/>
    <row r="21989" customFormat="false" ht="15" hidden="false" customHeight="true" outlineLevel="0" collapsed="false"/>
    <row r="21990" customFormat="false" ht="15" hidden="false" customHeight="true" outlineLevel="0" collapsed="false"/>
    <row r="21991" customFormat="false" ht="15" hidden="false" customHeight="true" outlineLevel="0" collapsed="false"/>
    <row r="21992" customFormat="false" ht="15" hidden="false" customHeight="true" outlineLevel="0" collapsed="false"/>
    <row r="21993" customFormat="false" ht="15" hidden="false" customHeight="true" outlineLevel="0" collapsed="false"/>
    <row r="21994" customFormat="false" ht="15" hidden="false" customHeight="true" outlineLevel="0" collapsed="false"/>
    <row r="21995" customFormat="false" ht="15" hidden="false" customHeight="true" outlineLevel="0" collapsed="false"/>
    <row r="21996" customFormat="false" ht="15" hidden="false" customHeight="true" outlineLevel="0" collapsed="false"/>
    <row r="21997" customFormat="false" ht="15" hidden="false" customHeight="true" outlineLevel="0" collapsed="false"/>
    <row r="21998" customFormat="false" ht="15" hidden="false" customHeight="true" outlineLevel="0" collapsed="false"/>
    <row r="21999" customFormat="false" ht="15" hidden="false" customHeight="true" outlineLevel="0" collapsed="false"/>
    <row r="22000" customFormat="false" ht="15" hidden="false" customHeight="true" outlineLevel="0" collapsed="false"/>
    <row r="22001" customFormat="false" ht="15" hidden="false" customHeight="true" outlineLevel="0" collapsed="false"/>
    <row r="22002" customFormat="false" ht="15" hidden="false" customHeight="true" outlineLevel="0" collapsed="false"/>
    <row r="22003" customFormat="false" ht="15" hidden="false" customHeight="true" outlineLevel="0" collapsed="false"/>
    <row r="22004" customFormat="false" ht="15" hidden="false" customHeight="true" outlineLevel="0" collapsed="false"/>
    <row r="22005" customFormat="false" ht="15" hidden="false" customHeight="true" outlineLevel="0" collapsed="false"/>
    <row r="22006" customFormat="false" ht="15" hidden="false" customHeight="true" outlineLevel="0" collapsed="false"/>
    <row r="22007" customFormat="false" ht="15" hidden="false" customHeight="true" outlineLevel="0" collapsed="false"/>
    <row r="22008" customFormat="false" ht="15" hidden="false" customHeight="true" outlineLevel="0" collapsed="false"/>
    <row r="22009" customFormat="false" ht="15" hidden="false" customHeight="true" outlineLevel="0" collapsed="false"/>
    <row r="22010" customFormat="false" ht="15" hidden="false" customHeight="true" outlineLevel="0" collapsed="false"/>
    <row r="22011" customFormat="false" ht="15" hidden="false" customHeight="true" outlineLevel="0" collapsed="false"/>
    <row r="22012" customFormat="false" ht="15" hidden="false" customHeight="true" outlineLevel="0" collapsed="false"/>
    <row r="22013" customFormat="false" ht="15" hidden="false" customHeight="true" outlineLevel="0" collapsed="false"/>
    <row r="22014" customFormat="false" ht="15" hidden="false" customHeight="true" outlineLevel="0" collapsed="false"/>
    <row r="22015" customFormat="false" ht="15" hidden="false" customHeight="true" outlineLevel="0" collapsed="false"/>
    <row r="22016" customFormat="false" ht="15" hidden="false" customHeight="true" outlineLevel="0" collapsed="false"/>
    <row r="22017" customFormat="false" ht="15" hidden="false" customHeight="true" outlineLevel="0" collapsed="false"/>
    <row r="22018" customFormat="false" ht="15" hidden="false" customHeight="true" outlineLevel="0" collapsed="false"/>
    <row r="22019" customFormat="false" ht="15" hidden="false" customHeight="true" outlineLevel="0" collapsed="false"/>
    <row r="22020" customFormat="false" ht="15" hidden="false" customHeight="true" outlineLevel="0" collapsed="false"/>
    <row r="22021" customFormat="false" ht="15" hidden="false" customHeight="true" outlineLevel="0" collapsed="false"/>
    <row r="22022" customFormat="false" ht="15" hidden="false" customHeight="true" outlineLevel="0" collapsed="false"/>
    <row r="22023" customFormat="false" ht="15" hidden="false" customHeight="true" outlineLevel="0" collapsed="false"/>
    <row r="22024" customFormat="false" ht="15" hidden="false" customHeight="true" outlineLevel="0" collapsed="false"/>
    <row r="22025" customFormat="false" ht="15" hidden="false" customHeight="true" outlineLevel="0" collapsed="false"/>
    <row r="22026" customFormat="false" ht="15" hidden="false" customHeight="true" outlineLevel="0" collapsed="false"/>
    <row r="22027" customFormat="false" ht="15" hidden="false" customHeight="true" outlineLevel="0" collapsed="false"/>
    <row r="22028" customFormat="false" ht="15" hidden="false" customHeight="true" outlineLevel="0" collapsed="false"/>
    <row r="22029" customFormat="false" ht="15" hidden="false" customHeight="true" outlineLevel="0" collapsed="false"/>
    <row r="22030" customFormat="false" ht="15" hidden="false" customHeight="true" outlineLevel="0" collapsed="false"/>
    <row r="22031" customFormat="false" ht="15" hidden="false" customHeight="true" outlineLevel="0" collapsed="false"/>
    <row r="22032" customFormat="false" ht="15" hidden="false" customHeight="true" outlineLevel="0" collapsed="false"/>
    <row r="22033" customFormat="false" ht="15" hidden="false" customHeight="true" outlineLevel="0" collapsed="false"/>
    <row r="22034" customFormat="false" ht="15" hidden="false" customHeight="true" outlineLevel="0" collapsed="false"/>
    <row r="22035" customFormat="false" ht="15" hidden="false" customHeight="true" outlineLevel="0" collapsed="false"/>
    <row r="22036" customFormat="false" ht="15" hidden="false" customHeight="true" outlineLevel="0" collapsed="false"/>
    <row r="22037" customFormat="false" ht="15" hidden="false" customHeight="true" outlineLevel="0" collapsed="false"/>
    <row r="22038" customFormat="false" ht="15" hidden="false" customHeight="true" outlineLevel="0" collapsed="false"/>
    <row r="22039" customFormat="false" ht="15" hidden="false" customHeight="true" outlineLevel="0" collapsed="false"/>
    <row r="22040" customFormat="false" ht="15" hidden="false" customHeight="true" outlineLevel="0" collapsed="false"/>
    <row r="22041" customFormat="false" ht="15" hidden="false" customHeight="true" outlineLevel="0" collapsed="false"/>
    <row r="22042" customFormat="false" ht="15" hidden="false" customHeight="true" outlineLevel="0" collapsed="false"/>
    <row r="22043" customFormat="false" ht="15" hidden="false" customHeight="true" outlineLevel="0" collapsed="false"/>
    <row r="22044" customFormat="false" ht="15" hidden="false" customHeight="true" outlineLevel="0" collapsed="false"/>
    <row r="22045" customFormat="false" ht="15" hidden="false" customHeight="true" outlineLevel="0" collapsed="false"/>
    <row r="22046" customFormat="false" ht="15" hidden="false" customHeight="true" outlineLevel="0" collapsed="false"/>
    <row r="22047" customFormat="false" ht="15" hidden="false" customHeight="true" outlineLevel="0" collapsed="false"/>
    <row r="22048" customFormat="false" ht="15" hidden="false" customHeight="true" outlineLevel="0" collapsed="false"/>
    <row r="22049" customFormat="false" ht="15" hidden="false" customHeight="true" outlineLevel="0" collapsed="false"/>
    <row r="22050" customFormat="false" ht="15" hidden="false" customHeight="true" outlineLevel="0" collapsed="false"/>
    <row r="22051" customFormat="false" ht="15" hidden="false" customHeight="true" outlineLevel="0" collapsed="false"/>
    <row r="22052" customFormat="false" ht="15" hidden="false" customHeight="true" outlineLevel="0" collapsed="false"/>
    <row r="22053" customFormat="false" ht="15" hidden="false" customHeight="true" outlineLevel="0" collapsed="false"/>
    <row r="22054" customFormat="false" ht="15" hidden="false" customHeight="true" outlineLevel="0" collapsed="false"/>
    <row r="22055" customFormat="false" ht="15" hidden="false" customHeight="true" outlineLevel="0" collapsed="false"/>
    <row r="22056" customFormat="false" ht="15" hidden="false" customHeight="true" outlineLevel="0" collapsed="false"/>
    <row r="22057" customFormat="false" ht="15" hidden="false" customHeight="true" outlineLevel="0" collapsed="false"/>
    <row r="22058" customFormat="false" ht="15" hidden="false" customHeight="true" outlineLevel="0" collapsed="false"/>
    <row r="22059" customFormat="false" ht="15" hidden="false" customHeight="true" outlineLevel="0" collapsed="false"/>
    <row r="22060" customFormat="false" ht="15" hidden="false" customHeight="true" outlineLevel="0" collapsed="false"/>
    <row r="22061" customFormat="false" ht="15" hidden="false" customHeight="true" outlineLevel="0" collapsed="false"/>
    <row r="22062" customFormat="false" ht="15" hidden="false" customHeight="true" outlineLevel="0" collapsed="false"/>
    <row r="22063" customFormat="false" ht="15" hidden="false" customHeight="true" outlineLevel="0" collapsed="false"/>
    <row r="22064" customFormat="false" ht="15" hidden="false" customHeight="true" outlineLevel="0" collapsed="false"/>
    <row r="22065" customFormat="false" ht="15" hidden="false" customHeight="true" outlineLevel="0" collapsed="false"/>
    <row r="22066" customFormat="false" ht="15" hidden="false" customHeight="true" outlineLevel="0" collapsed="false"/>
    <row r="22067" customFormat="false" ht="15" hidden="false" customHeight="true" outlineLevel="0" collapsed="false"/>
    <row r="22068" customFormat="false" ht="15" hidden="false" customHeight="true" outlineLevel="0" collapsed="false"/>
    <row r="22069" customFormat="false" ht="15" hidden="false" customHeight="true" outlineLevel="0" collapsed="false"/>
    <row r="22070" customFormat="false" ht="15" hidden="false" customHeight="true" outlineLevel="0" collapsed="false"/>
    <row r="22071" customFormat="false" ht="15" hidden="false" customHeight="true" outlineLevel="0" collapsed="false"/>
    <row r="22072" customFormat="false" ht="15" hidden="false" customHeight="true" outlineLevel="0" collapsed="false"/>
    <row r="22073" customFormat="false" ht="15" hidden="false" customHeight="true" outlineLevel="0" collapsed="false"/>
    <row r="22074" customFormat="false" ht="15" hidden="false" customHeight="true" outlineLevel="0" collapsed="false"/>
    <row r="22075" customFormat="false" ht="15" hidden="false" customHeight="true" outlineLevel="0" collapsed="false"/>
    <row r="22076" customFormat="false" ht="15" hidden="false" customHeight="true" outlineLevel="0" collapsed="false"/>
    <row r="22077" customFormat="false" ht="15" hidden="false" customHeight="true" outlineLevel="0" collapsed="false"/>
    <row r="22078" customFormat="false" ht="15" hidden="false" customHeight="true" outlineLevel="0" collapsed="false"/>
    <row r="22079" customFormat="false" ht="15" hidden="false" customHeight="true" outlineLevel="0" collapsed="false"/>
    <row r="22080" customFormat="false" ht="15" hidden="false" customHeight="true" outlineLevel="0" collapsed="false"/>
    <row r="22081" customFormat="false" ht="15" hidden="false" customHeight="true" outlineLevel="0" collapsed="false"/>
    <row r="22082" customFormat="false" ht="15" hidden="false" customHeight="true" outlineLevel="0" collapsed="false"/>
    <row r="22083" customFormat="false" ht="15" hidden="false" customHeight="true" outlineLevel="0" collapsed="false"/>
    <row r="22084" customFormat="false" ht="15" hidden="false" customHeight="true" outlineLevel="0" collapsed="false"/>
    <row r="22085" customFormat="false" ht="15" hidden="false" customHeight="true" outlineLevel="0" collapsed="false"/>
    <row r="22086" customFormat="false" ht="15" hidden="false" customHeight="true" outlineLevel="0" collapsed="false"/>
    <row r="22087" customFormat="false" ht="15" hidden="false" customHeight="true" outlineLevel="0" collapsed="false"/>
    <row r="22088" customFormat="false" ht="15" hidden="false" customHeight="true" outlineLevel="0" collapsed="false"/>
    <row r="22089" customFormat="false" ht="15" hidden="false" customHeight="true" outlineLevel="0" collapsed="false"/>
    <row r="22090" customFormat="false" ht="15" hidden="false" customHeight="true" outlineLevel="0" collapsed="false"/>
    <row r="22091" customFormat="false" ht="15" hidden="false" customHeight="true" outlineLevel="0" collapsed="false"/>
    <row r="22092" customFormat="false" ht="15" hidden="false" customHeight="true" outlineLevel="0" collapsed="false"/>
    <row r="22093" customFormat="false" ht="15" hidden="false" customHeight="true" outlineLevel="0" collapsed="false"/>
    <row r="22094" customFormat="false" ht="15" hidden="false" customHeight="true" outlineLevel="0" collapsed="false"/>
    <row r="22095" customFormat="false" ht="15" hidden="false" customHeight="true" outlineLevel="0" collapsed="false"/>
    <row r="22096" customFormat="false" ht="15" hidden="false" customHeight="true" outlineLevel="0" collapsed="false"/>
    <row r="22097" customFormat="false" ht="15" hidden="false" customHeight="true" outlineLevel="0" collapsed="false"/>
    <row r="22098" customFormat="false" ht="15" hidden="false" customHeight="true" outlineLevel="0" collapsed="false"/>
    <row r="22099" customFormat="false" ht="15" hidden="false" customHeight="true" outlineLevel="0" collapsed="false"/>
    <row r="22100" customFormat="false" ht="15" hidden="false" customHeight="true" outlineLevel="0" collapsed="false"/>
    <row r="22101" customFormat="false" ht="15" hidden="false" customHeight="true" outlineLevel="0" collapsed="false"/>
    <row r="22102" customFormat="false" ht="15" hidden="false" customHeight="true" outlineLevel="0" collapsed="false"/>
    <row r="22103" customFormat="false" ht="15" hidden="false" customHeight="true" outlineLevel="0" collapsed="false"/>
    <row r="22104" customFormat="false" ht="15" hidden="false" customHeight="true" outlineLevel="0" collapsed="false"/>
    <row r="22105" customFormat="false" ht="15" hidden="false" customHeight="true" outlineLevel="0" collapsed="false"/>
    <row r="22106" customFormat="false" ht="15" hidden="false" customHeight="true" outlineLevel="0" collapsed="false"/>
    <row r="22107" customFormat="false" ht="15" hidden="false" customHeight="true" outlineLevel="0" collapsed="false"/>
    <row r="22108" customFormat="false" ht="15" hidden="false" customHeight="true" outlineLevel="0" collapsed="false"/>
    <row r="22109" customFormat="false" ht="15" hidden="false" customHeight="true" outlineLevel="0" collapsed="false"/>
    <row r="22110" customFormat="false" ht="15" hidden="false" customHeight="true" outlineLevel="0" collapsed="false"/>
    <row r="22111" customFormat="false" ht="15" hidden="false" customHeight="true" outlineLevel="0" collapsed="false"/>
    <row r="22112" customFormat="false" ht="15" hidden="false" customHeight="true" outlineLevel="0" collapsed="false"/>
    <row r="22113" customFormat="false" ht="15" hidden="false" customHeight="true" outlineLevel="0" collapsed="false"/>
    <row r="22114" customFormat="false" ht="15" hidden="false" customHeight="true" outlineLevel="0" collapsed="false"/>
    <row r="22115" customFormat="false" ht="15" hidden="false" customHeight="true" outlineLevel="0" collapsed="false"/>
    <row r="22116" customFormat="false" ht="15" hidden="false" customHeight="true" outlineLevel="0" collapsed="false"/>
    <row r="22117" customFormat="false" ht="15" hidden="false" customHeight="true" outlineLevel="0" collapsed="false"/>
    <row r="22118" customFormat="false" ht="15" hidden="false" customHeight="true" outlineLevel="0" collapsed="false"/>
    <row r="22119" customFormat="false" ht="15" hidden="false" customHeight="true" outlineLevel="0" collapsed="false"/>
    <row r="22120" customFormat="false" ht="15" hidden="false" customHeight="true" outlineLevel="0" collapsed="false"/>
    <row r="22121" customFormat="false" ht="15" hidden="false" customHeight="true" outlineLevel="0" collapsed="false"/>
    <row r="22122" customFormat="false" ht="15" hidden="false" customHeight="true" outlineLevel="0" collapsed="false"/>
    <row r="22123" customFormat="false" ht="15" hidden="false" customHeight="true" outlineLevel="0" collapsed="false"/>
    <row r="22124" customFormat="false" ht="15" hidden="false" customHeight="true" outlineLevel="0" collapsed="false"/>
    <row r="22125" customFormat="false" ht="15" hidden="false" customHeight="true" outlineLevel="0" collapsed="false"/>
    <row r="22126" customFormat="false" ht="15" hidden="false" customHeight="true" outlineLevel="0" collapsed="false"/>
    <row r="22127" customFormat="false" ht="15" hidden="false" customHeight="true" outlineLevel="0" collapsed="false"/>
    <row r="22128" customFormat="false" ht="15" hidden="false" customHeight="true" outlineLevel="0" collapsed="false"/>
    <row r="22129" customFormat="false" ht="15" hidden="false" customHeight="true" outlineLevel="0" collapsed="false"/>
    <row r="22130" customFormat="false" ht="15" hidden="false" customHeight="true" outlineLevel="0" collapsed="false"/>
    <row r="22131" customFormat="false" ht="15" hidden="false" customHeight="true" outlineLevel="0" collapsed="false"/>
    <row r="22132" customFormat="false" ht="15" hidden="false" customHeight="true" outlineLevel="0" collapsed="false"/>
    <row r="22133" customFormat="false" ht="15" hidden="false" customHeight="true" outlineLevel="0" collapsed="false"/>
    <row r="22134" customFormat="false" ht="15" hidden="false" customHeight="true" outlineLevel="0" collapsed="false"/>
    <row r="22135" customFormat="false" ht="15" hidden="false" customHeight="true" outlineLevel="0" collapsed="false"/>
    <row r="22136" customFormat="false" ht="15" hidden="false" customHeight="true" outlineLevel="0" collapsed="false"/>
    <row r="22137" customFormat="false" ht="15" hidden="false" customHeight="true" outlineLevel="0" collapsed="false"/>
    <row r="22138" customFormat="false" ht="15" hidden="false" customHeight="true" outlineLevel="0" collapsed="false"/>
    <row r="22139" customFormat="false" ht="15" hidden="false" customHeight="true" outlineLevel="0" collapsed="false"/>
    <row r="22140" customFormat="false" ht="15" hidden="false" customHeight="true" outlineLevel="0" collapsed="false"/>
    <row r="22141" customFormat="false" ht="15" hidden="false" customHeight="true" outlineLevel="0" collapsed="false"/>
    <row r="22142" customFormat="false" ht="15" hidden="false" customHeight="true" outlineLevel="0" collapsed="false"/>
    <row r="22143" customFormat="false" ht="15" hidden="false" customHeight="true" outlineLevel="0" collapsed="false"/>
    <row r="22144" customFormat="false" ht="15" hidden="false" customHeight="true" outlineLevel="0" collapsed="false"/>
    <row r="22145" customFormat="false" ht="15" hidden="false" customHeight="true" outlineLevel="0" collapsed="false"/>
    <row r="22146" customFormat="false" ht="15" hidden="false" customHeight="true" outlineLevel="0" collapsed="false"/>
    <row r="22147" customFormat="false" ht="15" hidden="false" customHeight="true" outlineLevel="0" collapsed="false"/>
    <row r="22148" customFormat="false" ht="15" hidden="false" customHeight="true" outlineLevel="0" collapsed="false"/>
    <row r="22149" customFormat="false" ht="15" hidden="false" customHeight="true" outlineLevel="0" collapsed="false"/>
    <row r="22150" customFormat="false" ht="15" hidden="false" customHeight="true" outlineLevel="0" collapsed="false"/>
    <row r="22151" customFormat="false" ht="15" hidden="false" customHeight="true" outlineLevel="0" collapsed="false"/>
    <row r="22152" customFormat="false" ht="15" hidden="false" customHeight="true" outlineLevel="0" collapsed="false"/>
    <row r="22153" customFormat="false" ht="15" hidden="false" customHeight="true" outlineLevel="0" collapsed="false"/>
    <row r="22154" customFormat="false" ht="15" hidden="false" customHeight="true" outlineLevel="0" collapsed="false"/>
    <row r="22155" customFormat="false" ht="15" hidden="false" customHeight="true" outlineLevel="0" collapsed="false"/>
    <row r="22156" customFormat="false" ht="15" hidden="false" customHeight="true" outlineLevel="0" collapsed="false"/>
    <row r="22157" customFormat="false" ht="15" hidden="false" customHeight="true" outlineLevel="0" collapsed="false"/>
    <row r="22158" customFormat="false" ht="15" hidden="false" customHeight="true" outlineLevel="0" collapsed="false"/>
    <row r="22159" customFormat="false" ht="15" hidden="false" customHeight="true" outlineLevel="0" collapsed="false"/>
    <row r="22160" customFormat="false" ht="15" hidden="false" customHeight="true" outlineLevel="0" collapsed="false"/>
    <row r="22161" customFormat="false" ht="15" hidden="false" customHeight="true" outlineLevel="0" collapsed="false"/>
    <row r="22162" customFormat="false" ht="15" hidden="false" customHeight="true" outlineLevel="0" collapsed="false"/>
    <row r="22163" customFormat="false" ht="15" hidden="false" customHeight="true" outlineLevel="0" collapsed="false"/>
    <row r="22164" customFormat="false" ht="15" hidden="false" customHeight="true" outlineLevel="0" collapsed="false"/>
    <row r="22165" customFormat="false" ht="15" hidden="false" customHeight="true" outlineLevel="0" collapsed="false"/>
    <row r="22166" customFormat="false" ht="15" hidden="false" customHeight="true" outlineLevel="0" collapsed="false"/>
    <row r="22167" customFormat="false" ht="15" hidden="false" customHeight="true" outlineLevel="0" collapsed="false"/>
    <row r="22168" customFormat="false" ht="15" hidden="false" customHeight="true" outlineLevel="0" collapsed="false"/>
    <row r="22169" customFormat="false" ht="15" hidden="false" customHeight="true" outlineLevel="0" collapsed="false"/>
    <row r="22170" customFormat="false" ht="15" hidden="false" customHeight="true" outlineLevel="0" collapsed="false"/>
    <row r="22171" customFormat="false" ht="15" hidden="false" customHeight="true" outlineLevel="0" collapsed="false"/>
    <row r="22172" customFormat="false" ht="15" hidden="false" customHeight="true" outlineLevel="0" collapsed="false"/>
    <row r="22173" customFormat="false" ht="15" hidden="false" customHeight="true" outlineLevel="0" collapsed="false"/>
    <row r="22174" customFormat="false" ht="15" hidden="false" customHeight="true" outlineLevel="0" collapsed="false"/>
    <row r="22175" customFormat="false" ht="15" hidden="false" customHeight="true" outlineLevel="0" collapsed="false"/>
    <row r="22176" customFormat="false" ht="15" hidden="false" customHeight="true" outlineLevel="0" collapsed="false"/>
    <row r="22177" customFormat="false" ht="15" hidden="false" customHeight="true" outlineLevel="0" collapsed="false"/>
    <row r="22178" customFormat="false" ht="15" hidden="false" customHeight="true" outlineLevel="0" collapsed="false"/>
    <row r="22179" customFormat="false" ht="15" hidden="false" customHeight="true" outlineLevel="0" collapsed="false"/>
    <row r="22180" customFormat="false" ht="15" hidden="false" customHeight="true" outlineLevel="0" collapsed="false"/>
    <row r="22181" customFormat="false" ht="15" hidden="false" customHeight="true" outlineLevel="0" collapsed="false"/>
    <row r="22182" customFormat="false" ht="15" hidden="false" customHeight="true" outlineLevel="0" collapsed="false"/>
    <row r="22183" customFormat="false" ht="15" hidden="false" customHeight="true" outlineLevel="0" collapsed="false"/>
    <row r="22184" customFormat="false" ht="15" hidden="false" customHeight="true" outlineLevel="0" collapsed="false"/>
    <row r="22185" customFormat="false" ht="15" hidden="false" customHeight="true" outlineLevel="0" collapsed="false"/>
    <row r="22186" customFormat="false" ht="15" hidden="false" customHeight="true" outlineLevel="0" collapsed="false"/>
    <row r="22187" customFormat="false" ht="15" hidden="false" customHeight="true" outlineLevel="0" collapsed="false"/>
    <row r="22188" customFormat="false" ht="15" hidden="false" customHeight="true" outlineLevel="0" collapsed="false"/>
    <row r="22189" customFormat="false" ht="15" hidden="false" customHeight="true" outlineLevel="0" collapsed="false"/>
    <row r="22190" customFormat="false" ht="15" hidden="false" customHeight="true" outlineLevel="0" collapsed="false"/>
    <row r="22191" customFormat="false" ht="15" hidden="false" customHeight="true" outlineLevel="0" collapsed="false"/>
    <row r="22192" customFormat="false" ht="15" hidden="false" customHeight="true" outlineLevel="0" collapsed="false"/>
    <row r="22193" customFormat="false" ht="15" hidden="false" customHeight="true" outlineLevel="0" collapsed="false"/>
    <row r="22194" customFormat="false" ht="15" hidden="false" customHeight="true" outlineLevel="0" collapsed="false"/>
    <row r="22195" customFormat="false" ht="15" hidden="false" customHeight="true" outlineLevel="0" collapsed="false"/>
    <row r="22196" customFormat="false" ht="15" hidden="false" customHeight="true" outlineLevel="0" collapsed="false"/>
    <row r="22197" customFormat="false" ht="15" hidden="false" customHeight="true" outlineLevel="0" collapsed="false"/>
    <row r="22198" customFormat="false" ht="15" hidden="false" customHeight="true" outlineLevel="0" collapsed="false"/>
    <row r="22199" customFormat="false" ht="15" hidden="false" customHeight="true" outlineLevel="0" collapsed="false"/>
    <row r="22200" customFormat="false" ht="15" hidden="false" customHeight="true" outlineLevel="0" collapsed="false"/>
    <row r="22201" customFormat="false" ht="15" hidden="false" customHeight="true" outlineLevel="0" collapsed="false"/>
    <row r="22202" customFormat="false" ht="15" hidden="false" customHeight="true" outlineLevel="0" collapsed="false"/>
    <row r="22203" customFormat="false" ht="15" hidden="false" customHeight="true" outlineLevel="0" collapsed="false"/>
    <row r="22204" customFormat="false" ht="15" hidden="false" customHeight="true" outlineLevel="0" collapsed="false"/>
    <row r="22205" customFormat="false" ht="15" hidden="false" customHeight="true" outlineLevel="0" collapsed="false"/>
    <row r="22206" customFormat="false" ht="15" hidden="false" customHeight="true" outlineLevel="0" collapsed="false"/>
    <row r="22207" customFormat="false" ht="15" hidden="false" customHeight="true" outlineLevel="0" collapsed="false"/>
    <row r="22208" customFormat="false" ht="15" hidden="false" customHeight="true" outlineLevel="0" collapsed="false"/>
    <row r="22209" customFormat="false" ht="15" hidden="false" customHeight="true" outlineLevel="0" collapsed="false"/>
    <row r="22210" customFormat="false" ht="15" hidden="false" customHeight="true" outlineLevel="0" collapsed="false"/>
    <row r="22211" customFormat="false" ht="15" hidden="false" customHeight="true" outlineLevel="0" collapsed="false"/>
    <row r="22212" customFormat="false" ht="15" hidden="false" customHeight="true" outlineLevel="0" collapsed="false"/>
    <row r="22213" customFormat="false" ht="15" hidden="false" customHeight="true" outlineLevel="0" collapsed="false"/>
    <row r="22214" customFormat="false" ht="15" hidden="false" customHeight="true" outlineLevel="0" collapsed="false"/>
    <row r="22215" customFormat="false" ht="15" hidden="false" customHeight="true" outlineLevel="0" collapsed="false"/>
    <row r="22216" customFormat="false" ht="15" hidden="false" customHeight="true" outlineLevel="0" collapsed="false"/>
    <row r="22217" customFormat="false" ht="15" hidden="false" customHeight="true" outlineLevel="0" collapsed="false"/>
    <row r="22218" customFormat="false" ht="15" hidden="false" customHeight="true" outlineLevel="0" collapsed="false"/>
    <row r="22219" customFormat="false" ht="15" hidden="false" customHeight="true" outlineLevel="0" collapsed="false"/>
    <row r="22220" customFormat="false" ht="15" hidden="false" customHeight="true" outlineLevel="0" collapsed="false"/>
    <row r="22221" customFormat="false" ht="15" hidden="false" customHeight="true" outlineLevel="0" collapsed="false"/>
    <row r="22222" customFormat="false" ht="15" hidden="false" customHeight="true" outlineLevel="0" collapsed="false"/>
    <row r="22223" customFormat="false" ht="15" hidden="false" customHeight="true" outlineLevel="0" collapsed="false"/>
    <row r="22224" customFormat="false" ht="15" hidden="false" customHeight="true" outlineLevel="0" collapsed="false"/>
    <row r="22225" customFormat="false" ht="15" hidden="false" customHeight="true" outlineLevel="0" collapsed="false"/>
    <row r="22226" customFormat="false" ht="15" hidden="false" customHeight="true" outlineLevel="0" collapsed="false"/>
    <row r="22227" customFormat="false" ht="15" hidden="false" customHeight="true" outlineLevel="0" collapsed="false"/>
    <row r="22228" customFormat="false" ht="15" hidden="false" customHeight="true" outlineLevel="0" collapsed="false"/>
    <row r="22229" customFormat="false" ht="15" hidden="false" customHeight="true" outlineLevel="0" collapsed="false"/>
    <row r="22230" customFormat="false" ht="15" hidden="false" customHeight="true" outlineLevel="0" collapsed="false"/>
    <row r="22231" customFormat="false" ht="15" hidden="false" customHeight="true" outlineLevel="0" collapsed="false"/>
    <row r="22232" customFormat="false" ht="15" hidden="false" customHeight="true" outlineLevel="0" collapsed="false"/>
    <row r="22233" customFormat="false" ht="15" hidden="false" customHeight="true" outlineLevel="0" collapsed="false"/>
    <row r="22234" customFormat="false" ht="15" hidden="false" customHeight="true" outlineLevel="0" collapsed="false"/>
    <row r="22235" customFormat="false" ht="15" hidden="false" customHeight="true" outlineLevel="0" collapsed="false"/>
    <row r="22236" customFormat="false" ht="15" hidden="false" customHeight="true" outlineLevel="0" collapsed="false"/>
    <row r="22237" customFormat="false" ht="15" hidden="false" customHeight="true" outlineLevel="0" collapsed="false"/>
    <row r="22238" customFormat="false" ht="15" hidden="false" customHeight="true" outlineLevel="0" collapsed="false"/>
    <row r="22239" customFormat="false" ht="15" hidden="false" customHeight="true" outlineLevel="0" collapsed="false"/>
    <row r="22240" customFormat="false" ht="15" hidden="false" customHeight="true" outlineLevel="0" collapsed="false"/>
    <row r="22241" customFormat="false" ht="15" hidden="false" customHeight="true" outlineLevel="0" collapsed="false"/>
    <row r="22242" customFormat="false" ht="15" hidden="false" customHeight="true" outlineLevel="0" collapsed="false"/>
    <row r="22243" customFormat="false" ht="15" hidden="false" customHeight="true" outlineLevel="0" collapsed="false"/>
    <row r="22244" customFormat="false" ht="15" hidden="false" customHeight="true" outlineLevel="0" collapsed="false"/>
    <row r="22245" customFormat="false" ht="15" hidden="false" customHeight="true" outlineLevel="0" collapsed="false"/>
    <row r="22246" customFormat="false" ht="15" hidden="false" customHeight="true" outlineLevel="0" collapsed="false"/>
    <row r="22247" customFormat="false" ht="15" hidden="false" customHeight="true" outlineLevel="0" collapsed="false"/>
    <row r="22248" customFormat="false" ht="15" hidden="false" customHeight="true" outlineLevel="0" collapsed="false"/>
    <row r="22249" customFormat="false" ht="15" hidden="false" customHeight="true" outlineLevel="0" collapsed="false"/>
    <row r="22250" customFormat="false" ht="15" hidden="false" customHeight="true" outlineLevel="0" collapsed="false"/>
    <row r="22251" customFormat="false" ht="15" hidden="false" customHeight="true" outlineLevel="0" collapsed="false"/>
    <row r="22252" customFormat="false" ht="15" hidden="false" customHeight="true" outlineLevel="0" collapsed="false"/>
    <row r="22253" customFormat="false" ht="15" hidden="false" customHeight="true" outlineLevel="0" collapsed="false"/>
    <row r="22254" customFormat="false" ht="15" hidden="false" customHeight="true" outlineLevel="0" collapsed="false"/>
    <row r="22255" customFormat="false" ht="15" hidden="false" customHeight="true" outlineLevel="0" collapsed="false"/>
    <row r="22256" customFormat="false" ht="15" hidden="false" customHeight="true" outlineLevel="0" collapsed="false"/>
    <row r="22257" customFormat="false" ht="15" hidden="false" customHeight="true" outlineLevel="0" collapsed="false"/>
    <row r="22258" customFormat="false" ht="15" hidden="false" customHeight="true" outlineLevel="0" collapsed="false"/>
    <row r="22259" customFormat="false" ht="15" hidden="false" customHeight="true" outlineLevel="0" collapsed="false"/>
    <row r="22260" customFormat="false" ht="15" hidden="false" customHeight="true" outlineLevel="0" collapsed="false"/>
    <row r="22261" customFormat="false" ht="15" hidden="false" customHeight="true" outlineLevel="0" collapsed="false"/>
    <row r="22262" customFormat="false" ht="15" hidden="false" customHeight="true" outlineLevel="0" collapsed="false"/>
    <row r="22263" customFormat="false" ht="15" hidden="false" customHeight="true" outlineLevel="0" collapsed="false"/>
    <row r="22264" customFormat="false" ht="15" hidden="false" customHeight="true" outlineLevel="0" collapsed="false"/>
    <row r="22265" customFormat="false" ht="15" hidden="false" customHeight="true" outlineLevel="0" collapsed="false"/>
    <row r="22266" customFormat="false" ht="15" hidden="false" customHeight="true" outlineLevel="0" collapsed="false"/>
    <row r="22267" customFormat="false" ht="15" hidden="false" customHeight="true" outlineLevel="0" collapsed="false"/>
    <row r="22268" customFormat="false" ht="15" hidden="false" customHeight="true" outlineLevel="0" collapsed="false"/>
    <row r="22269" customFormat="false" ht="15" hidden="false" customHeight="true" outlineLevel="0" collapsed="false"/>
    <row r="22270" customFormat="false" ht="15" hidden="false" customHeight="true" outlineLevel="0" collapsed="false"/>
    <row r="22271" customFormat="false" ht="15" hidden="false" customHeight="true" outlineLevel="0" collapsed="false"/>
    <row r="22272" customFormat="false" ht="15" hidden="false" customHeight="true" outlineLevel="0" collapsed="false"/>
    <row r="22273" customFormat="false" ht="15" hidden="false" customHeight="true" outlineLevel="0" collapsed="false"/>
    <row r="22274" customFormat="false" ht="15" hidden="false" customHeight="true" outlineLevel="0" collapsed="false"/>
    <row r="22275" customFormat="false" ht="15" hidden="false" customHeight="true" outlineLevel="0" collapsed="false"/>
    <row r="22276" customFormat="false" ht="15" hidden="false" customHeight="true" outlineLevel="0" collapsed="false"/>
    <row r="22277" customFormat="false" ht="15" hidden="false" customHeight="true" outlineLevel="0" collapsed="false"/>
    <row r="22278" customFormat="false" ht="15" hidden="false" customHeight="true" outlineLevel="0" collapsed="false"/>
    <row r="22279" customFormat="false" ht="15" hidden="false" customHeight="true" outlineLevel="0" collapsed="false"/>
    <row r="22280" customFormat="false" ht="15" hidden="false" customHeight="true" outlineLevel="0" collapsed="false"/>
    <row r="22281" customFormat="false" ht="15" hidden="false" customHeight="true" outlineLevel="0" collapsed="false"/>
    <row r="22282" customFormat="false" ht="15" hidden="false" customHeight="true" outlineLevel="0" collapsed="false"/>
    <row r="22283" customFormat="false" ht="15" hidden="false" customHeight="true" outlineLevel="0" collapsed="false"/>
    <row r="22284" customFormat="false" ht="15" hidden="false" customHeight="true" outlineLevel="0" collapsed="false"/>
    <row r="22285" customFormat="false" ht="15" hidden="false" customHeight="true" outlineLevel="0" collapsed="false"/>
    <row r="22286" customFormat="false" ht="15" hidden="false" customHeight="true" outlineLevel="0" collapsed="false"/>
    <row r="22287" customFormat="false" ht="15" hidden="false" customHeight="true" outlineLevel="0" collapsed="false"/>
    <row r="22288" customFormat="false" ht="15" hidden="false" customHeight="true" outlineLevel="0" collapsed="false"/>
    <row r="22289" customFormat="false" ht="15" hidden="false" customHeight="true" outlineLevel="0" collapsed="false"/>
    <row r="22290" customFormat="false" ht="15" hidden="false" customHeight="true" outlineLevel="0" collapsed="false"/>
    <row r="22291" customFormat="false" ht="15" hidden="false" customHeight="true" outlineLevel="0" collapsed="false"/>
    <row r="22292" customFormat="false" ht="15" hidden="false" customHeight="true" outlineLevel="0" collapsed="false"/>
    <row r="22293" customFormat="false" ht="15" hidden="false" customHeight="true" outlineLevel="0" collapsed="false"/>
    <row r="22294" customFormat="false" ht="15" hidden="false" customHeight="true" outlineLevel="0" collapsed="false"/>
    <row r="22295" customFormat="false" ht="15" hidden="false" customHeight="true" outlineLevel="0" collapsed="false"/>
    <row r="22296" customFormat="false" ht="15" hidden="false" customHeight="true" outlineLevel="0" collapsed="false"/>
    <row r="22297" customFormat="false" ht="15" hidden="false" customHeight="true" outlineLevel="0" collapsed="false"/>
    <row r="22298" customFormat="false" ht="15" hidden="false" customHeight="true" outlineLevel="0" collapsed="false"/>
    <row r="22299" customFormat="false" ht="15" hidden="false" customHeight="true" outlineLevel="0" collapsed="false"/>
    <row r="22300" customFormat="false" ht="15" hidden="false" customHeight="true" outlineLevel="0" collapsed="false"/>
    <row r="22301" customFormat="false" ht="15" hidden="false" customHeight="true" outlineLevel="0" collapsed="false"/>
    <row r="22302" customFormat="false" ht="15" hidden="false" customHeight="true" outlineLevel="0" collapsed="false"/>
    <row r="22303" customFormat="false" ht="15" hidden="false" customHeight="true" outlineLevel="0" collapsed="false"/>
    <row r="22304" customFormat="false" ht="15" hidden="false" customHeight="true" outlineLevel="0" collapsed="false"/>
    <row r="22305" customFormat="false" ht="15" hidden="false" customHeight="true" outlineLevel="0" collapsed="false"/>
    <row r="22306" customFormat="false" ht="15" hidden="false" customHeight="true" outlineLevel="0" collapsed="false"/>
    <row r="22307" customFormat="false" ht="15" hidden="false" customHeight="true" outlineLevel="0" collapsed="false"/>
    <row r="22308" customFormat="false" ht="15" hidden="false" customHeight="true" outlineLevel="0" collapsed="false"/>
    <row r="22309" customFormat="false" ht="15" hidden="false" customHeight="true" outlineLevel="0" collapsed="false"/>
    <row r="22310" customFormat="false" ht="15" hidden="false" customHeight="true" outlineLevel="0" collapsed="false"/>
    <row r="22311" customFormat="false" ht="15" hidden="false" customHeight="true" outlineLevel="0" collapsed="false"/>
    <row r="22312" customFormat="false" ht="15" hidden="false" customHeight="true" outlineLevel="0" collapsed="false"/>
    <row r="22313" customFormat="false" ht="15" hidden="false" customHeight="true" outlineLevel="0" collapsed="false"/>
    <row r="22314" customFormat="false" ht="15" hidden="false" customHeight="true" outlineLevel="0" collapsed="false"/>
    <row r="22315" customFormat="false" ht="15" hidden="false" customHeight="true" outlineLevel="0" collapsed="false"/>
    <row r="22316" customFormat="false" ht="15" hidden="false" customHeight="true" outlineLevel="0" collapsed="false"/>
    <row r="22317" customFormat="false" ht="15" hidden="false" customHeight="true" outlineLevel="0" collapsed="false"/>
    <row r="22318" customFormat="false" ht="15" hidden="false" customHeight="true" outlineLevel="0" collapsed="false"/>
    <row r="22319" customFormat="false" ht="15" hidden="false" customHeight="true" outlineLevel="0" collapsed="false"/>
    <row r="22320" customFormat="false" ht="15" hidden="false" customHeight="true" outlineLevel="0" collapsed="false"/>
    <row r="22321" customFormat="false" ht="15" hidden="false" customHeight="true" outlineLevel="0" collapsed="false"/>
    <row r="22322" customFormat="false" ht="15" hidden="false" customHeight="true" outlineLevel="0" collapsed="false"/>
    <row r="22323" customFormat="false" ht="15" hidden="false" customHeight="true" outlineLevel="0" collapsed="false"/>
    <row r="22324" customFormat="false" ht="15" hidden="false" customHeight="true" outlineLevel="0" collapsed="false"/>
    <row r="22325" customFormat="false" ht="15" hidden="false" customHeight="true" outlineLevel="0" collapsed="false"/>
    <row r="22326" customFormat="false" ht="15" hidden="false" customHeight="true" outlineLevel="0" collapsed="false"/>
    <row r="22327" customFormat="false" ht="15" hidden="false" customHeight="true" outlineLevel="0" collapsed="false"/>
    <row r="22328" customFormat="false" ht="15" hidden="false" customHeight="true" outlineLevel="0" collapsed="false"/>
    <row r="22329" customFormat="false" ht="15" hidden="false" customHeight="true" outlineLevel="0" collapsed="false"/>
    <row r="22330" customFormat="false" ht="15" hidden="false" customHeight="true" outlineLevel="0" collapsed="false"/>
    <row r="22331" customFormat="false" ht="15" hidden="false" customHeight="true" outlineLevel="0" collapsed="false"/>
    <row r="22332" customFormat="false" ht="15" hidden="false" customHeight="true" outlineLevel="0" collapsed="false"/>
    <row r="22333" customFormat="false" ht="15" hidden="false" customHeight="true" outlineLevel="0" collapsed="false"/>
    <row r="22334" customFormat="false" ht="15" hidden="false" customHeight="true" outlineLevel="0" collapsed="false"/>
    <row r="22335" customFormat="false" ht="15" hidden="false" customHeight="true" outlineLevel="0" collapsed="false"/>
    <row r="22336" customFormat="false" ht="15" hidden="false" customHeight="true" outlineLevel="0" collapsed="false"/>
    <row r="22337" customFormat="false" ht="15" hidden="false" customHeight="true" outlineLevel="0" collapsed="false"/>
    <row r="22338" customFormat="false" ht="15" hidden="false" customHeight="true" outlineLevel="0" collapsed="false"/>
    <row r="22339" customFormat="false" ht="15" hidden="false" customHeight="true" outlineLevel="0" collapsed="false"/>
    <row r="22340" customFormat="false" ht="15" hidden="false" customHeight="true" outlineLevel="0" collapsed="false"/>
    <row r="22341" customFormat="false" ht="15" hidden="false" customHeight="true" outlineLevel="0" collapsed="false"/>
    <row r="22342" customFormat="false" ht="15" hidden="false" customHeight="true" outlineLevel="0" collapsed="false"/>
    <row r="22343" customFormat="false" ht="15" hidden="false" customHeight="true" outlineLevel="0" collapsed="false"/>
    <row r="22344" customFormat="false" ht="15" hidden="false" customHeight="true" outlineLevel="0" collapsed="false"/>
    <row r="22345" customFormat="false" ht="15" hidden="false" customHeight="true" outlineLevel="0" collapsed="false"/>
    <row r="22346" customFormat="false" ht="15" hidden="false" customHeight="true" outlineLevel="0" collapsed="false"/>
    <row r="22347" customFormat="false" ht="15" hidden="false" customHeight="true" outlineLevel="0" collapsed="false"/>
    <row r="22348" customFormat="false" ht="15" hidden="false" customHeight="true" outlineLevel="0" collapsed="false"/>
    <row r="22349" customFormat="false" ht="15" hidden="false" customHeight="true" outlineLevel="0" collapsed="false"/>
    <row r="22350" customFormat="false" ht="15" hidden="false" customHeight="true" outlineLevel="0" collapsed="false"/>
    <row r="22351" customFormat="false" ht="15" hidden="false" customHeight="true" outlineLevel="0" collapsed="false"/>
    <row r="22352" customFormat="false" ht="15" hidden="false" customHeight="true" outlineLevel="0" collapsed="false"/>
    <row r="22353" customFormat="false" ht="15" hidden="false" customHeight="true" outlineLevel="0" collapsed="false"/>
    <row r="22354" customFormat="false" ht="15" hidden="false" customHeight="true" outlineLevel="0" collapsed="false"/>
    <row r="22355" customFormat="false" ht="15" hidden="false" customHeight="true" outlineLevel="0" collapsed="false"/>
    <row r="22356" customFormat="false" ht="15" hidden="false" customHeight="true" outlineLevel="0" collapsed="false"/>
    <row r="22357" customFormat="false" ht="15" hidden="false" customHeight="true" outlineLevel="0" collapsed="false"/>
    <row r="22358" customFormat="false" ht="15" hidden="false" customHeight="true" outlineLevel="0" collapsed="false"/>
    <row r="22359" customFormat="false" ht="15" hidden="false" customHeight="true" outlineLevel="0" collapsed="false"/>
    <row r="22360" customFormat="false" ht="15" hidden="false" customHeight="true" outlineLevel="0" collapsed="false"/>
    <row r="22361" customFormat="false" ht="15" hidden="false" customHeight="true" outlineLevel="0" collapsed="false"/>
    <row r="22362" customFormat="false" ht="15" hidden="false" customHeight="true" outlineLevel="0" collapsed="false"/>
    <row r="22363" customFormat="false" ht="15" hidden="false" customHeight="true" outlineLevel="0" collapsed="false"/>
    <row r="22364" customFormat="false" ht="15" hidden="false" customHeight="true" outlineLevel="0" collapsed="false"/>
    <row r="22365" customFormat="false" ht="15" hidden="false" customHeight="true" outlineLevel="0" collapsed="false"/>
    <row r="22366" customFormat="false" ht="15" hidden="false" customHeight="true" outlineLevel="0" collapsed="false"/>
    <row r="22367" customFormat="false" ht="15" hidden="false" customHeight="true" outlineLevel="0" collapsed="false"/>
    <row r="22368" customFormat="false" ht="15" hidden="false" customHeight="true" outlineLevel="0" collapsed="false"/>
    <row r="22369" customFormat="false" ht="15" hidden="false" customHeight="true" outlineLevel="0" collapsed="false"/>
    <row r="22370" customFormat="false" ht="15" hidden="false" customHeight="true" outlineLevel="0" collapsed="false"/>
    <row r="22371" customFormat="false" ht="15" hidden="false" customHeight="true" outlineLevel="0" collapsed="false"/>
    <row r="22372" customFormat="false" ht="15" hidden="false" customHeight="true" outlineLevel="0" collapsed="false"/>
    <row r="22373" customFormat="false" ht="15" hidden="false" customHeight="true" outlineLevel="0" collapsed="false"/>
    <row r="22374" customFormat="false" ht="15" hidden="false" customHeight="true" outlineLevel="0" collapsed="false"/>
    <row r="22375" customFormat="false" ht="15" hidden="false" customHeight="true" outlineLevel="0" collapsed="false"/>
    <row r="22376" customFormat="false" ht="15" hidden="false" customHeight="true" outlineLevel="0" collapsed="false"/>
    <row r="22377" customFormat="false" ht="15" hidden="false" customHeight="true" outlineLevel="0" collapsed="false"/>
    <row r="22378" customFormat="false" ht="15" hidden="false" customHeight="true" outlineLevel="0" collapsed="false"/>
    <row r="22379" customFormat="false" ht="15" hidden="false" customHeight="true" outlineLevel="0" collapsed="false"/>
    <row r="22380" customFormat="false" ht="15" hidden="false" customHeight="true" outlineLevel="0" collapsed="false"/>
    <row r="22381" customFormat="false" ht="15" hidden="false" customHeight="true" outlineLevel="0" collapsed="false"/>
    <row r="22382" customFormat="false" ht="15" hidden="false" customHeight="true" outlineLevel="0" collapsed="false"/>
    <row r="22383" customFormat="false" ht="15" hidden="false" customHeight="true" outlineLevel="0" collapsed="false"/>
    <row r="22384" customFormat="false" ht="15" hidden="false" customHeight="true" outlineLevel="0" collapsed="false"/>
    <row r="22385" customFormat="false" ht="15" hidden="false" customHeight="true" outlineLevel="0" collapsed="false"/>
    <row r="22386" customFormat="false" ht="15" hidden="false" customHeight="true" outlineLevel="0" collapsed="false"/>
    <row r="22387" customFormat="false" ht="15" hidden="false" customHeight="true" outlineLevel="0" collapsed="false"/>
    <row r="22388" customFormat="false" ht="15" hidden="false" customHeight="true" outlineLevel="0" collapsed="false"/>
    <row r="22389" customFormat="false" ht="15" hidden="false" customHeight="true" outlineLevel="0" collapsed="false"/>
    <row r="22390" customFormat="false" ht="15" hidden="false" customHeight="true" outlineLevel="0" collapsed="false"/>
    <row r="22391" customFormat="false" ht="15" hidden="false" customHeight="true" outlineLevel="0" collapsed="false"/>
    <row r="22392" customFormat="false" ht="15" hidden="false" customHeight="true" outlineLevel="0" collapsed="false"/>
    <row r="22393" customFormat="false" ht="15" hidden="false" customHeight="true" outlineLevel="0" collapsed="false"/>
    <row r="22394" customFormat="false" ht="15" hidden="false" customHeight="true" outlineLevel="0" collapsed="false"/>
    <row r="22395" customFormat="false" ht="15" hidden="false" customHeight="true" outlineLevel="0" collapsed="false"/>
    <row r="22396" customFormat="false" ht="15" hidden="false" customHeight="true" outlineLevel="0" collapsed="false"/>
    <row r="22397" customFormat="false" ht="15" hidden="false" customHeight="true" outlineLevel="0" collapsed="false"/>
    <row r="22398" customFormat="false" ht="15" hidden="false" customHeight="true" outlineLevel="0" collapsed="false"/>
    <row r="22399" customFormat="false" ht="15" hidden="false" customHeight="true" outlineLevel="0" collapsed="false"/>
    <row r="22400" customFormat="false" ht="15" hidden="false" customHeight="true" outlineLevel="0" collapsed="false"/>
    <row r="22401" customFormat="false" ht="15" hidden="false" customHeight="true" outlineLevel="0" collapsed="false"/>
    <row r="22402" customFormat="false" ht="15" hidden="false" customHeight="true" outlineLevel="0" collapsed="false"/>
    <row r="22403" customFormat="false" ht="15" hidden="false" customHeight="true" outlineLevel="0" collapsed="false"/>
    <row r="22404" customFormat="false" ht="15" hidden="false" customHeight="true" outlineLevel="0" collapsed="false"/>
    <row r="22405" customFormat="false" ht="15" hidden="false" customHeight="true" outlineLevel="0" collapsed="false"/>
    <row r="22406" customFormat="false" ht="15" hidden="false" customHeight="true" outlineLevel="0" collapsed="false"/>
    <row r="22407" customFormat="false" ht="15" hidden="false" customHeight="true" outlineLevel="0" collapsed="false"/>
    <row r="22408" customFormat="false" ht="15" hidden="false" customHeight="true" outlineLevel="0" collapsed="false"/>
    <row r="22409" customFormat="false" ht="15" hidden="false" customHeight="true" outlineLevel="0" collapsed="false"/>
    <row r="22410" customFormat="false" ht="15" hidden="false" customHeight="true" outlineLevel="0" collapsed="false"/>
    <row r="22411" customFormat="false" ht="15" hidden="false" customHeight="true" outlineLevel="0" collapsed="false"/>
    <row r="22412" customFormat="false" ht="15" hidden="false" customHeight="true" outlineLevel="0" collapsed="false"/>
    <row r="22413" customFormat="false" ht="15" hidden="false" customHeight="true" outlineLevel="0" collapsed="false"/>
    <row r="22414" customFormat="false" ht="15" hidden="false" customHeight="true" outlineLevel="0" collapsed="false"/>
    <row r="22415" customFormat="false" ht="15" hidden="false" customHeight="true" outlineLevel="0" collapsed="false"/>
    <row r="22416" customFormat="false" ht="15" hidden="false" customHeight="true" outlineLevel="0" collapsed="false"/>
    <row r="22417" customFormat="false" ht="15" hidden="false" customHeight="true" outlineLevel="0" collapsed="false"/>
    <row r="22418" customFormat="false" ht="15" hidden="false" customHeight="true" outlineLevel="0" collapsed="false"/>
    <row r="22419" customFormat="false" ht="15" hidden="false" customHeight="true" outlineLevel="0" collapsed="false"/>
    <row r="22420" customFormat="false" ht="15" hidden="false" customHeight="true" outlineLevel="0" collapsed="false"/>
    <row r="22421" customFormat="false" ht="15" hidden="false" customHeight="true" outlineLevel="0" collapsed="false"/>
    <row r="22422" customFormat="false" ht="15" hidden="false" customHeight="true" outlineLevel="0" collapsed="false"/>
    <row r="22423" customFormat="false" ht="15" hidden="false" customHeight="true" outlineLevel="0" collapsed="false"/>
    <row r="22424" customFormat="false" ht="15" hidden="false" customHeight="true" outlineLevel="0" collapsed="false"/>
    <row r="22425" customFormat="false" ht="15" hidden="false" customHeight="true" outlineLevel="0" collapsed="false"/>
    <row r="22426" customFormat="false" ht="15" hidden="false" customHeight="true" outlineLevel="0" collapsed="false"/>
    <row r="22427" customFormat="false" ht="15" hidden="false" customHeight="true" outlineLevel="0" collapsed="false"/>
    <row r="22428" customFormat="false" ht="15" hidden="false" customHeight="true" outlineLevel="0" collapsed="false"/>
    <row r="22429" customFormat="false" ht="15" hidden="false" customHeight="true" outlineLevel="0" collapsed="false"/>
    <row r="22430" customFormat="false" ht="15" hidden="false" customHeight="true" outlineLevel="0" collapsed="false"/>
    <row r="22431" customFormat="false" ht="15" hidden="false" customHeight="true" outlineLevel="0" collapsed="false"/>
    <row r="22432" customFormat="false" ht="15" hidden="false" customHeight="true" outlineLevel="0" collapsed="false"/>
    <row r="22433" customFormat="false" ht="15" hidden="false" customHeight="true" outlineLevel="0" collapsed="false"/>
    <row r="22434" customFormat="false" ht="15" hidden="false" customHeight="true" outlineLevel="0" collapsed="false"/>
    <row r="22435" customFormat="false" ht="15" hidden="false" customHeight="true" outlineLevel="0" collapsed="false"/>
    <row r="22436" customFormat="false" ht="15" hidden="false" customHeight="true" outlineLevel="0" collapsed="false"/>
    <row r="22437" customFormat="false" ht="15" hidden="false" customHeight="true" outlineLevel="0" collapsed="false"/>
    <row r="22438" customFormat="false" ht="15" hidden="false" customHeight="true" outlineLevel="0" collapsed="false"/>
    <row r="22439" customFormat="false" ht="15" hidden="false" customHeight="true" outlineLevel="0" collapsed="false"/>
    <row r="22440" customFormat="false" ht="15" hidden="false" customHeight="true" outlineLevel="0" collapsed="false"/>
    <row r="22441" customFormat="false" ht="15" hidden="false" customHeight="true" outlineLevel="0" collapsed="false"/>
    <row r="22442" customFormat="false" ht="15" hidden="false" customHeight="true" outlineLevel="0" collapsed="false"/>
    <row r="22443" customFormat="false" ht="15" hidden="false" customHeight="true" outlineLevel="0" collapsed="false"/>
    <row r="22444" customFormat="false" ht="15" hidden="false" customHeight="true" outlineLevel="0" collapsed="false"/>
    <row r="22445" customFormat="false" ht="15" hidden="false" customHeight="true" outlineLevel="0" collapsed="false"/>
    <row r="22446" customFormat="false" ht="15" hidden="false" customHeight="true" outlineLevel="0" collapsed="false"/>
    <row r="22447" customFormat="false" ht="15" hidden="false" customHeight="true" outlineLevel="0" collapsed="false"/>
    <row r="22448" customFormat="false" ht="15" hidden="false" customHeight="true" outlineLevel="0" collapsed="false"/>
    <row r="22449" customFormat="false" ht="15" hidden="false" customHeight="true" outlineLevel="0" collapsed="false"/>
    <row r="22450" customFormat="false" ht="15" hidden="false" customHeight="true" outlineLevel="0" collapsed="false"/>
    <row r="22451" customFormat="false" ht="15" hidden="false" customHeight="true" outlineLevel="0" collapsed="false"/>
    <row r="22452" customFormat="false" ht="15" hidden="false" customHeight="true" outlineLevel="0" collapsed="false"/>
    <row r="22453" customFormat="false" ht="15" hidden="false" customHeight="true" outlineLevel="0" collapsed="false"/>
    <row r="22454" customFormat="false" ht="15" hidden="false" customHeight="true" outlineLevel="0" collapsed="false"/>
    <row r="22455" customFormat="false" ht="15" hidden="false" customHeight="true" outlineLevel="0" collapsed="false"/>
    <row r="22456" customFormat="false" ht="15" hidden="false" customHeight="true" outlineLevel="0" collapsed="false"/>
    <row r="22457" customFormat="false" ht="15" hidden="false" customHeight="true" outlineLevel="0" collapsed="false"/>
    <row r="22458" customFormat="false" ht="15" hidden="false" customHeight="true" outlineLevel="0" collapsed="false"/>
    <row r="22459" customFormat="false" ht="15" hidden="false" customHeight="true" outlineLevel="0" collapsed="false"/>
    <row r="22460" customFormat="false" ht="15" hidden="false" customHeight="true" outlineLevel="0" collapsed="false"/>
    <row r="22461" customFormat="false" ht="15" hidden="false" customHeight="true" outlineLevel="0" collapsed="false"/>
    <row r="22462" customFormat="false" ht="15" hidden="false" customHeight="true" outlineLevel="0" collapsed="false"/>
    <row r="22463" customFormat="false" ht="15" hidden="false" customHeight="true" outlineLevel="0" collapsed="false"/>
    <row r="22464" customFormat="false" ht="15" hidden="false" customHeight="true" outlineLevel="0" collapsed="false"/>
    <row r="22465" customFormat="false" ht="15" hidden="false" customHeight="true" outlineLevel="0" collapsed="false"/>
    <row r="22466" customFormat="false" ht="15" hidden="false" customHeight="true" outlineLevel="0" collapsed="false"/>
    <row r="22467" customFormat="false" ht="15" hidden="false" customHeight="true" outlineLevel="0" collapsed="false"/>
    <row r="22468" customFormat="false" ht="15" hidden="false" customHeight="true" outlineLevel="0" collapsed="false"/>
    <row r="22469" customFormat="false" ht="15" hidden="false" customHeight="true" outlineLevel="0" collapsed="false"/>
    <row r="22470" customFormat="false" ht="15" hidden="false" customHeight="true" outlineLevel="0" collapsed="false"/>
    <row r="22471" customFormat="false" ht="15" hidden="false" customHeight="true" outlineLevel="0" collapsed="false"/>
    <row r="22472" customFormat="false" ht="15" hidden="false" customHeight="true" outlineLevel="0" collapsed="false"/>
    <row r="22473" customFormat="false" ht="15" hidden="false" customHeight="true" outlineLevel="0" collapsed="false"/>
    <row r="22474" customFormat="false" ht="15" hidden="false" customHeight="true" outlineLevel="0" collapsed="false"/>
    <row r="22475" customFormat="false" ht="15" hidden="false" customHeight="true" outlineLevel="0" collapsed="false"/>
    <row r="22476" customFormat="false" ht="15" hidden="false" customHeight="true" outlineLevel="0" collapsed="false"/>
    <row r="22477" customFormat="false" ht="15" hidden="false" customHeight="true" outlineLevel="0" collapsed="false"/>
    <row r="22478" customFormat="false" ht="15" hidden="false" customHeight="true" outlineLevel="0" collapsed="false"/>
    <row r="22479" customFormat="false" ht="15" hidden="false" customHeight="true" outlineLevel="0" collapsed="false"/>
    <row r="22480" customFormat="false" ht="15" hidden="false" customHeight="true" outlineLevel="0" collapsed="false"/>
    <row r="22481" customFormat="false" ht="15" hidden="false" customHeight="true" outlineLevel="0" collapsed="false"/>
    <row r="22482" customFormat="false" ht="15" hidden="false" customHeight="true" outlineLevel="0" collapsed="false"/>
    <row r="22483" customFormat="false" ht="15" hidden="false" customHeight="true" outlineLevel="0" collapsed="false"/>
    <row r="22484" customFormat="false" ht="15" hidden="false" customHeight="true" outlineLevel="0" collapsed="false"/>
    <row r="22485" customFormat="false" ht="15" hidden="false" customHeight="true" outlineLevel="0" collapsed="false"/>
    <row r="22486" customFormat="false" ht="15" hidden="false" customHeight="true" outlineLevel="0" collapsed="false"/>
    <row r="22487" customFormat="false" ht="15" hidden="false" customHeight="true" outlineLevel="0" collapsed="false"/>
    <row r="22488" customFormat="false" ht="15" hidden="false" customHeight="true" outlineLevel="0" collapsed="false"/>
    <row r="22489" customFormat="false" ht="15" hidden="false" customHeight="true" outlineLevel="0" collapsed="false"/>
    <row r="22490" customFormat="false" ht="15" hidden="false" customHeight="true" outlineLevel="0" collapsed="false"/>
    <row r="22491" customFormat="false" ht="15" hidden="false" customHeight="true" outlineLevel="0" collapsed="false"/>
    <row r="22492" customFormat="false" ht="15" hidden="false" customHeight="true" outlineLevel="0" collapsed="false"/>
    <row r="22493" customFormat="false" ht="15" hidden="false" customHeight="true" outlineLevel="0" collapsed="false"/>
    <row r="22494" customFormat="false" ht="15" hidden="false" customHeight="true" outlineLevel="0" collapsed="false"/>
    <row r="22495" customFormat="false" ht="15" hidden="false" customHeight="true" outlineLevel="0" collapsed="false"/>
    <row r="22496" customFormat="false" ht="15" hidden="false" customHeight="true" outlineLevel="0" collapsed="false"/>
    <row r="22497" customFormat="false" ht="15" hidden="false" customHeight="true" outlineLevel="0" collapsed="false"/>
    <row r="22498" customFormat="false" ht="15" hidden="false" customHeight="true" outlineLevel="0" collapsed="false"/>
    <row r="22499" customFormat="false" ht="15" hidden="false" customHeight="true" outlineLevel="0" collapsed="false"/>
    <row r="22500" customFormat="false" ht="15" hidden="false" customHeight="true" outlineLevel="0" collapsed="false"/>
    <row r="22501" customFormat="false" ht="15" hidden="false" customHeight="true" outlineLevel="0" collapsed="false"/>
    <row r="22502" customFormat="false" ht="15" hidden="false" customHeight="true" outlineLevel="0" collapsed="false"/>
    <row r="22503" customFormat="false" ht="15" hidden="false" customHeight="true" outlineLevel="0" collapsed="false"/>
    <row r="22504" customFormat="false" ht="15" hidden="false" customHeight="true" outlineLevel="0" collapsed="false"/>
    <row r="22505" customFormat="false" ht="15" hidden="false" customHeight="true" outlineLevel="0" collapsed="false"/>
    <row r="22506" customFormat="false" ht="15" hidden="false" customHeight="true" outlineLevel="0" collapsed="false"/>
    <row r="22507" customFormat="false" ht="15" hidden="false" customHeight="true" outlineLevel="0" collapsed="false"/>
    <row r="22508" customFormat="false" ht="15" hidden="false" customHeight="true" outlineLevel="0" collapsed="false"/>
    <row r="22509" customFormat="false" ht="15" hidden="false" customHeight="true" outlineLevel="0" collapsed="false"/>
    <row r="22510" customFormat="false" ht="15" hidden="false" customHeight="true" outlineLevel="0" collapsed="false"/>
    <row r="22511" customFormat="false" ht="15" hidden="false" customHeight="true" outlineLevel="0" collapsed="false"/>
    <row r="22512" customFormat="false" ht="15" hidden="false" customHeight="true" outlineLevel="0" collapsed="false"/>
    <row r="22513" customFormat="false" ht="15" hidden="false" customHeight="true" outlineLevel="0" collapsed="false"/>
    <row r="22514" customFormat="false" ht="15" hidden="false" customHeight="true" outlineLevel="0" collapsed="false"/>
    <row r="22515" customFormat="false" ht="15" hidden="false" customHeight="true" outlineLevel="0" collapsed="false"/>
    <row r="22516" customFormat="false" ht="15" hidden="false" customHeight="true" outlineLevel="0" collapsed="false"/>
    <row r="22517" customFormat="false" ht="15" hidden="false" customHeight="true" outlineLevel="0" collapsed="false"/>
    <row r="22518" customFormat="false" ht="15" hidden="false" customHeight="true" outlineLevel="0" collapsed="false"/>
    <row r="22519" customFormat="false" ht="15" hidden="false" customHeight="true" outlineLevel="0" collapsed="false"/>
    <row r="22520" customFormat="false" ht="15" hidden="false" customHeight="true" outlineLevel="0" collapsed="false"/>
    <row r="22521" customFormat="false" ht="15" hidden="false" customHeight="true" outlineLevel="0" collapsed="false"/>
    <row r="22522" customFormat="false" ht="15" hidden="false" customHeight="true" outlineLevel="0" collapsed="false"/>
    <row r="22523" customFormat="false" ht="15" hidden="false" customHeight="true" outlineLevel="0" collapsed="false"/>
    <row r="22524" customFormat="false" ht="15" hidden="false" customHeight="true" outlineLevel="0" collapsed="false"/>
    <row r="22525" customFormat="false" ht="15" hidden="false" customHeight="true" outlineLevel="0" collapsed="false"/>
    <row r="22526" customFormat="false" ht="15" hidden="false" customHeight="true" outlineLevel="0" collapsed="false"/>
    <row r="22527" customFormat="false" ht="15" hidden="false" customHeight="true" outlineLevel="0" collapsed="false"/>
    <row r="22528" customFormat="false" ht="15" hidden="false" customHeight="true" outlineLevel="0" collapsed="false"/>
    <row r="22529" customFormat="false" ht="15" hidden="false" customHeight="true" outlineLevel="0" collapsed="false"/>
    <row r="22530" customFormat="false" ht="15" hidden="false" customHeight="true" outlineLevel="0" collapsed="false"/>
    <row r="22531" customFormat="false" ht="15" hidden="false" customHeight="true" outlineLevel="0" collapsed="false"/>
    <row r="22532" customFormat="false" ht="15" hidden="false" customHeight="true" outlineLevel="0" collapsed="false"/>
    <row r="22533" customFormat="false" ht="15" hidden="false" customHeight="true" outlineLevel="0" collapsed="false"/>
    <row r="22534" customFormat="false" ht="15" hidden="false" customHeight="true" outlineLevel="0" collapsed="false"/>
    <row r="22535" customFormat="false" ht="15" hidden="false" customHeight="true" outlineLevel="0" collapsed="false"/>
    <row r="22536" customFormat="false" ht="15" hidden="false" customHeight="true" outlineLevel="0" collapsed="false"/>
    <row r="22537" customFormat="false" ht="15" hidden="false" customHeight="true" outlineLevel="0" collapsed="false"/>
    <row r="22538" customFormat="false" ht="15" hidden="false" customHeight="true" outlineLevel="0" collapsed="false"/>
    <row r="22539" customFormat="false" ht="15" hidden="false" customHeight="true" outlineLevel="0" collapsed="false"/>
    <row r="22540" customFormat="false" ht="15" hidden="false" customHeight="true" outlineLevel="0" collapsed="false"/>
    <row r="22541" customFormat="false" ht="15" hidden="false" customHeight="true" outlineLevel="0" collapsed="false"/>
    <row r="22542" customFormat="false" ht="15" hidden="false" customHeight="true" outlineLevel="0" collapsed="false"/>
    <row r="22543" customFormat="false" ht="15" hidden="false" customHeight="true" outlineLevel="0" collapsed="false"/>
    <row r="22544" customFormat="false" ht="15" hidden="false" customHeight="true" outlineLevel="0" collapsed="false"/>
    <row r="22545" customFormat="false" ht="15" hidden="false" customHeight="true" outlineLevel="0" collapsed="false"/>
    <row r="22546" customFormat="false" ht="15" hidden="false" customHeight="true" outlineLevel="0" collapsed="false"/>
    <row r="22547" customFormat="false" ht="15" hidden="false" customHeight="true" outlineLevel="0" collapsed="false"/>
    <row r="22548" customFormat="false" ht="15" hidden="false" customHeight="true" outlineLevel="0" collapsed="false"/>
    <row r="22549" customFormat="false" ht="15" hidden="false" customHeight="true" outlineLevel="0" collapsed="false"/>
    <row r="22550" customFormat="false" ht="15" hidden="false" customHeight="true" outlineLevel="0" collapsed="false"/>
    <row r="22551" customFormat="false" ht="15" hidden="false" customHeight="true" outlineLevel="0" collapsed="false"/>
    <row r="22552" customFormat="false" ht="15" hidden="false" customHeight="true" outlineLevel="0" collapsed="false"/>
    <row r="22553" customFormat="false" ht="15" hidden="false" customHeight="true" outlineLevel="0" collapsed="false"/>
    <row r="22554" customFormat="false" ht="15" hidden="false" customHeight="true" outlineLevel="0" collapsed="false"/>
    <row r="22555" customFormat="false" ht="15" hidden="false" customHeight="true" outlineLevel="0" collapsed="false"/>
    <row r="22556" customFormat="false" ht="15" hidden="false" customHeight="true" outlineLevel="0" collapsed="false"/>
    <row r="22557" customFormat="false" ht="15" hidden="false" customHeight="true" outlineLevel="0" collapsed="false"/>
    <row r="22558" customFormat="false" ht="15" hidden="false" customHeight="true" outlineLevel="0" collapsed="false"/>
    <row r="22559" customFormat="false" ht="15" hidden="false" customHeight="true" outlineLevel="0" collapsed="false"/>
    <row r="22560" customFormat="false" ht="15" hidden="false" customHeight="true" outlineLevel="0" collapsed="false"/>
    <row r="22561" customFormat="false" ht="15" hidden="false" customHeight="true" outlineLevel="0" collapsed="false"/>
    <row r="22562" customFormat="false" ht="15" hidden="false" customHeight="true" outlineLevel="0" collapsed="false"/>
    <row r="22563" customFormat="false" ht="15" hidden="false" customHeight="true" outlineLevel="0" collapsed="false"/>
    <row r="22564" customFormat="false" ht="15" hidden="false" customHeight="true" outlineLevel="0" collapsed="false"/>
    <row r="22565" customFormat="false" ht="15" hidden="false" customHeight="true" outlineLevel="0" collapsed="false"/>
    <row r="22566" customFormat="false" ht="15" hidden="false" customHeight="true" outlineLevel="0" collapsed="false"/>
    <row r="22567" customFormat="false" ht="15" hidden="false" customHeight="true" outlineLevel="0" collapsed="false"/>
    <row r="22568" customFormat="false" ht="15" hidden="false" customHeight="true" outlineLevel="0" collapsed="false"/>
    <row r="22569" customFormat="false" ht="15" hidden="false" customHeight="true" outlineLevel="0" collapsed="false"/>
    <row r="22570" customFormat="false" ht="15" hidden="false" customHeight="true" outlineLevel="0" collapsed="false"/>
    <row r="22571" customFormat="false" ht="15" hidden="false" customHeight="true" outlineLevel="0" collapsed="false"/>
    <row r="22572" customFormat="false" ht="15" hidden="false" customHeight="true" outlineLevel="0" collapsed="false"/>
    <row r="22573" customFormat="false" ht="15" hidden="false" customHeight="true" outlineLevel="0" collapsed="false"/>
    <row r="22574" customFormat="false" ht="15" hidden="false" customHeight="true" outlineLevel="0" collapsed="false"/>
    <row r="22575" customFormat="false" ht="15" hidden="false" customHeight="true" outlineLevel="0" collapsed="false"/>
    <row r="22576" customFormat="false" ht="15" hidden="false" customHeight="true" outlineLevel="0" collapsed="false"/>
    <row r="22577" customFormat="false" ht="15" hidden="false" customHeight="true" outlineLevel="0" collapsed="false"/>
    <row r="22578" customFormat="false" ht="15" hidden="false" customHeight="true" outlineLevel="0" collapsed="false"/>
    <row r="22579" customFormat="false" ht="15" hidden="false" customHeight="true" outlineLevel="0" collapsed="false"/>
    <row r="22580" customFormat="false" ht="15" hidden="false" customHeight="true" outlineLevel="0" collapsed="false"/>
    <row r="22581" customFormat="false" ht="15" hidden="false" customHeight="true" outlineLevel="0" collapsed="false"/>
    <row r="22582" customFormat="false" ht="15" hidden="false" customHeight="true" outlineLevel="0" collapsed="false"/>
    <row r="22583" customFormat="false" ht="15" hidden="false" customHeight="true" outlineLevel="0" collapsed="false"/>
    <row r="22584" customFormat="false" ht="15" hidden="false" customHeight="true" outlineLevel="0" collapsed="false"/>
    <row r="22585" customFormat="false" ht="15" hidden="false" customHeight="true" outlineLevel="0" collapsed="false"/>
    <row r="22586" customFormat="false" ht="15" hidden="false" customHeight="true" outlineLevel="0" collapsed="false"/>
    <row r="22587" customFormat="false" ht="15" hidden="false" customHeight="true" outlineLevel="0" collapsed="false"/>
    <row r="22588" customFormat="false" ht="15" hidden="false" customHeight="true" outlineLevel="0" collapsed="false"/>
    <row r="22589" customFormat="false" ht="15" hidden="false" customHeight="true" outlineLevel="0" collapsed="false"/>
    <row r="22590" customFormat="false" ht="15" hidden="false" customHeight="true" outlineLevel="0" collapsed="false"/>
    <row r="22591" customFormat="false" ht="15" hidden="false" customHeight="true" outlineLevel="0" collapsed="false"/>
    <row r="22592" customFormat="false" ht="15" hidden="false" customHeight="true" outlineLevel="0" collapsed="false"/>
    <row r="22593" customFormat="false" ht="15" hidden="false" customHeight="true" outlineLevel="0" collapsed="false"/>
    <row r="22594" customFormat="false" ht="15" hidden="false" customHeight="true" outlineLevel="0" collapsed="false"/>
    <row r="22595" customFormat="false" ht="15" hidden="false" customHeight="true" outlineLevel="0" collapsed="false"/>
    <row r="22596" customFormat="false" ht="15" hidden="false" customHeight="true" outlineLevel="0" collapsed="false"/>
    <row r="22597" customFormat="false" ht="15" hidden="false" customHeight="true" outlineLevel="0" collapsed="false"/>
    <row r="22598" customFormat="false" ht="15" hidden="false" customHeight="true" outlineLevel="0" collapsed="false"/>
    <row r="22599" customFormat="false" ht="15" hidden="false" customHeight="true" outlineLevel="0" collapsed="false"/>
    <row r="22600" customFormat="false" ht="15" hidden="false" customHeight="true" outlineLevel="0" collapsed="false"/>
    <row r="22601" customFormat="false" ht="15" hidden="false" customHeight="true" outlineLevel="0" collapsed="false"/>
    <row r="22602" customFormat="false" ht="15" hidden="false" customHeight="true" outlineLevel="0" collapsed="false"/>
    <row r="22603" customFormat="false" ht="15" hidden="false" customHeight="true" outlineLevel="0" collapsed="false"/>
    <row r="22604" customFormat="false" ht="15" hidden="false" customHeight="true" outlineLevel="0" collapsed="false"/>
    <row r="22605" customFormat="false" ht="15" hidden="false" customHeight="true" outlineLevel="0" collapsed="false"/>
    <row r="22606" customFormat="false" ht="15" hidden="false" customHeight="true" outlineLevel="0" collapsed="false"/>
    <row r="22607" customFormat="false" ht="15" hidden="false" customHeight="true" outlineLevel="0" collapsed="false"/>
    <row r="22608" customFormat="false" ht="15" hidden="false" customHeight="true" outlineLevel="0" collapsed="false"/>
    <row r="22609" customFormat="false" ht="15" hidden="false" customHeight="true" outlineLevel="0" collapsed="false"/>
    <row r="22610" customFormat="false" ht="15" hidden="false" customHeight="true" outlineLevel="0" collapsed="false"/>
    <row r="22611" customFormat="false" ht="15" hidden="false" customHeight="true" outlineLevel="0" collapsed="false"/>
    <row r="22612" customFormat="false" ht="15" hidden="false" customHeight="true" outlineLevel="0" collapsed="false"/>
    <row r="22613" customFormat="false" ht="15" hidden="false" customHeight="true" outlineLevel="0" collapsed="false"/>
    <row r="22614" customFormat="false" ht="15" hidden="false" customHeight="true" outlineLevel="0" collapsed="false"/>
    <row r="22615" customFormat="false" ht="15" hidden="false" customHeight="true" outlineLevel="0" collapsed="false"/>
    <row r="22616" customFormat="false" ht="15" hidden="false" customHeight="true" outlineLevel="0" collapsed="false"/>
    <row r="22617" customFormat="false" ht="15" hidden="false" customHeight="true" outlineLevel="0" collapsed="false"/>
    <row r="22618" customFormat="false" ht="15" hidden="false" customHeight="true" outlineLevel="0" collapsed="false"/>
    <row r="22619" customFormat="false" ht="15" hidden="false" customHeight="true" outlineLevel="0" collapsed="false"/>
    <row r="22620" customFormat="false" ht="15" hidden="false" customHeight="true" outlineLevel="0" collapsed="false"/>
    <row r="22621" customFormat="false" ht="15" hidden="false" customHeight="true" outlineLevel="0" collapsed="false"/>
    <row r="22622" customFormat="false" ht="15" hidden="false" customHeight="true" outlineLevel="0" collapsed="false"/>
    <row r="22623" customFormat="false" ht="15" hidden="false" customHeight="true" outlineLevel="0" collapsed="false"/>
    <row r="22624" customFormat="false" ht="15" hidden="false" customHeight="true" outlineLevel="0" collapsed="false"/>
    <row r="22625" customFormat="false" ht="15" hidden="false" customHeight="true" outlineLevel="0" collapsed="false"/>
    <row r="22626" customFormat="false" ht="15" hidden="false" customHeight="true" outlineLevel="0" collapsed="false"/>
    <row r="22627" customFormat="false" ht="15" hidden="false" customHeight="true" outlineLevel="0" collapsed="false"/>
    <row r="22628" customFormat="false" ht="15" hidden="false" customHeight="true" outlineLevel="0" collapsed="false"/>
    <row r="22629" customFormat="false" ht="15" hidden="false" customHeight="true" outlineLevel="0" collapsed="false"/>
    <row r="22630" customFormat="false" ht="15" hidden="false" customHeight="true" outlineLevel="0" collapsed="false"/>
    <row r="22631" customFormat="false" ht="15" hidden="false" customHeight="true" outlineLevel="0" collapsed="false"/>
    <row r="22632" customFormat="false" ht="15" hidden="false" customHeight="true" outlineLevel="0" collapsed="false"/>
    <row r="22633" customFormat="false" ht="15" hidden="false" customHeight="true" outlineLevel="0" collapsed="false"/>
    <row r="22634" customFormat="false" ht="15" hidden="false" customHeight="true" outlineLevel="0" collapsed="false"/>
    <row r="22635" customFormat="false" ht="15" hidden="false" customHeight="true" outlineLevel="0" collapsed="false"/>
    <row r="22636" customFormat="false" ht="15" hidden="false" customHeight="true" outlineLevel="0" collapsed="false"/>
    <row r="22637" customFormat="false" ht="15" hidden="false" customHeight="true" outlineLevel="0" collapsed="false"/>
    <row r="22638" customFormat="false" ht="15" hidden="false" customHeight="true" outlineLevel="0" collapsed="false"/>
    <row r="22639" customFormat="false" ht="15" hidden="false" customHeight="true" outlineLevel="0" collapsed="false"/>
    <row r="22640" customFormat="false" ht="15" hidden="false" customHeight="true" outlineLevel="0" collapsed="false"/>
    <row r="22641" customFormat="false" ht="15" hidden="false" customHeight="true" outlineLevel="0" collapsed="false"/>
    <row r="22642" customFormat="false" ht="15" hidden="false" customHeight="true" outlineLevel="0" collapsed="false"/>
    <row r="22643" customFormat="false" ht="15" hidden="false" customHeight="true" outlineLevel="0" collapsed="false"/>
    <row r="22644" customFormat="false" ht="15" hidden="false" customHeight="true" outlineLevel="0" collapsed="false"/>
    <row r="22645" customFormat="false" ht="15" hidden="false" customHeight="true" outlineLevel="0" collapsed="false"/>
    <row r="22646" customFormat="false" ht="15" hidden="false" customHeight="true" outlineLevel="0" collapsed="false"/>
    <row r="22647" customFormat="false" ht="15" hidden="false" customHeight="true" outlineLevel="0" collapsed="false"/>
    <row r="22648" customFormat="false" ht="15" hidden="false" customHeight="true" outlineLevel="0" collapsed="false"/>
    <row r="22649" customFormat="false" ht="15" hidden="false" customHeight="true" outlineLevel="0" collapsed="false"/>
    <row r="22650" customFormat="false" ht="15" hidden="false" customHeight="true" outlineLevel="0" collapsed="false"/>
    <row r="22651" customFormat="false" ht="15" hidden="false" customHeight="true" outlineLevel="0" collapsed="false"/>
    <row r="22652" customFormat="false" ht="15" hidden="false" customHeight="true" outlineLevel="0" collapsed="false"/>
    <row r="22653" customFormat="false" ht="15" hidden="false" customHeight="true" outlineLevel="0" collapsed="false"/>
    <row r="22654" customFormat="false" ht="15" hidden="false" customHeight="true" outlineLevel="0" collapsed="false"/>
    <row r="22655" customFormat="false" ht="15" hidden="false" customHeight="true" outlineLevel="0" collapsed="false"/>
    <row r="22656" customFormat="false" ht="15" hidden="false" customHeight="true" outlineLevel="0" collapsed="false"/>
    <row r="22657" customFormat="false" ht="15" hidden="false" customHeight="true" outlineLevel="0" collapsed="false"/>
    <row r="22658" customFormat="false" ht="15" hidden="false" customHeight="true" outlineLevel="0" collapsed="false"/>
    <row r="22659" customFormat="false" ht="15" hidden="false" customHeight="true" outlineLevel="0" collapsed="false"/>
    <row r="22660" customFormat="false" ht="15" hidden="false" customHeight="true" outlineLevel="0" collapsed="false"/>
    <row r="22661" customFormat="false" ht="15" hidden="false" customHeight="true" outlineLevel="0" collapsed="false"/>
    <row r="22662" customFormat="false" ht="15" hidden="false" customHeight="true" outlineLevel="0" collapsed="false"/>
    <row r="22663" customFormat="false" ht="15" hidden="false" customHeight="true" outlineLevel="0" collapsed="false"/>
    <row r="22664" customFormat="false" ht="15" hidden="false" customHeight="true" outlineLevel="0" collapsed="false"/>
    <row r="22665" customFormat="false" ht="15" hidden="false" customHeight="true" outlineLevel="0" collapsed="false"/>
    <row r="22666" customFormat="false" ht="15" hidden="false" customHeight="true" outlineLevel="0" collapsed="false"/>
    <row r="22667" customFormat="false" ht="15" hidden="false" customHeight="true" outlineLevel="0" collapsed="false"/>
    <row r="22668" customFormat="false" ht="15" hidden="false" customHeight="true" outlineLevel="0" collapsed="false"/>
    <row r="22669" customFormat="false" ht="15" hidden="false" customHeight="true" outlineLevel="0" collapsed="false"/>
    <row r="22670" customFormat="false" ht="15" hidden="false" customHeight="true" outlineLevel="0" collapsed="false"/>
    <row r="22671" customFormat="false" ht="15" hidden="false" customHeight="true" outlineLevel="0" collapsed="false"/>
    <row r="22672" customFormat="false" ht="15" hidden="false" customHeight="true" outlineLevel="0" collapsed="false"/>
    <row r="22673" customFormat="false" ht="15" hidden="false" customHeight="true" outlineLevel="0" collapsed="false"/>
    <row r="22674" customFormat="false" ht="15" hidden="false" customHeight="true" outlineLevel="0" collapsed="false"/>
    <row r="22675" customFormat="false" ht="15" hidden="false" customHeight="true" outlineLevel="0" collapsed="false"/>
    <row r="22676" customFormat="false" ht="15" hidden="false" customHeight="true" outlineLevel="0" collapsed="false"/>
    <row r="22677" customFormat="false" ht="15" hidden="false" customHeight="true" outlineLevel="0" collapsed="false"/>
    <row r="22678" customFormat="false" ht="15" hidden="false" customHeight="true" outlineLevel="0" collapsed="false"/>
    <row r="22679" customFormat="false" ht="15" hidden="false" customHeight="true" outlineLevel="0" collapsed="false"/>
    <row r="22680" customFormat="false" ht="15" hidden="false" customHeight="true" outlineLevel="0" collapsed="false"/>
    <row r="22681" customFormat="false" ht="15" hidden="false" customHeight="true" outlineLevel="0" collapsed="false"/>
    <row r="22682" customFormat="false" ht="15" hidden="false" customHeight="true" outlineLevel="0" collapsed="false"/>
    <row r="22683" customFormat="false" ht="15" hidden="false" customHeight="true" outlineLevel="0" collapsed="false"/>
    <row r="22684" customFormat="false" ht="15" hidden="false" customHeight="true" outlineLevel="0" collapsed="false"/>
    <row r="22685" customFormat="false" ht="15" hidden="false" customHeight="true" outlineLevel="0" collapsed="false"/>
    <row r="22686" customFormat="false" ht="15" hidden="false" customHeight="true" outlineLevel="0" collapsed="false"/>
    <row r="22687" customFormat="false" ht="15" hidden="false" customHeight="true" outlineLevel="0" collapsed="false"/>
    <row r="22688" customFormat="false" ht="15" hidden="false" customHeight="true" outlineLevel="0" collapsed="false"/>
    <row r="22689" customFormat="false" ht="15" hidden="false" customHeight="true" outlineLevel="0" collapsed="false"/>
    <row r="22690" customFormat="false" ht="15" hidden="false" customHeight="true" outlineLevel="0" collapsed="false"/>
    <row r="22691" customFormat="false" ht="15" hidden="false" customHeight="true" outlineLevel="0" collapsed="false"/>
    <row r="22692" customFormat="false" ht="15" hidden="false" customHeight="true" outlineLevel="0" collapsed="false"/>
    <row r="22693" customFormat="false" ht="15" hidden="false" customHeight="true" outlineLevel="0" collapsed="false"/>
    <row r="22694" customFormat="false" ht="15" hidden="false" customHeight="true" outlineLevel="0" collapsed="false"/>
    <row r="22695" customFormat="false" ht="15" hidden="false" customHeight="true" outlineLevel="0" collapsed="false"/>
    <row r="22696" customFormat="false" ht="15" hidden="false" customHeight="true" outlineLevel="0" collapsed="false"/>
    <row r="22697" customFormat="false" ht="15" hidden="false" customHeight="true" outlineLevel="0" collapsed="false"/>
    <row r="22698" customFormat="false" ht="15" hidden="false" customHeight="true" outlineLevel="0" collapsed="false"/>
    <row r="22699" customFormat="false" ht="15" hidden="false" customHeight="true" outlineLevel="0" collapsed="false"/>
    <row r="22700" customFormat="false" ht="15" hidden="false" customHeight="true" outlineLevel="0" collapsed="false"/>
    <row r="22701" customFormat="false" ht="15" hidden="false" customHeight="true" outlineLevel="0" collapsed="false"/>
    <row r="22702" customFormat="false" ht="15" hidden="false" customHeight="true" outlineLevel="0" collapsed="false"/>
    <row r="22703" customFormat="false" ht="15" hidden="false" customHeight="true" outlineLevel="0" collapsed="false"/>
    <row r="22704" customFormat="false" ht="15" hidden="false" customHeight="true" outlineLevel="0" collapsed="false"/>
    <row r="22705" customFormat="false" ht="15" hidden="false" customHeight="true" outlineLevel="0" collapsed="false"/>
    <row r="22706" customFormat="false" ht="15" hidden="false" customHeight="true" outlineLevel="0" collapsed="false"/>
    <row r="22707" customFormat="false" ht="15" hidden="false" customHeight="true" outlineLevel="0" collapsed="false"/>
    <row r="22708" customFormat="false" ht="15" hidden="false" customHeight="true" outlineLevel="0" collapsed="false"/>
    <row r="22709" customFormat="false" ht="15" hidden="false" customHeight="true" outlineLevel="0" collapsed="false"/>
    <row r="22710" customFormat="false" ht="15" hidden="false" customHeight="true" outlineLevel="0" collapsed="false"/>
    <row r="22711" customFormat="false" ht="15" hidden="false" customHeight="true" outlineLevel="0" collapsed="false"/>
    <row r="22712" customFormat="false" ht="15" hidden="false" customHeight="true" outlineLevel="0" collapsed="false"/>
    <row r="22713" customFormat="false" ht="15" hidden="false" customHeight="true" outlineLevel="0" collapsed="false"/>
    <row r="22714" customFormat="false" ht="15" hidden="false" customHeight="true" outlineLevel="0" collapsed="false"/>
    <row r="22715" customFormat="false" ht="15" hidden="false" customHeight="true" outlineLevel="0" collapsed="false"/>
    <row r="22716" customFormat="false" ht="15" hidden="false" customHeight="true" outlineLevel="0" collapsed="false"/>
    <row r="22717" customFormat="false" ht="15" hidden="false" customHeight="true" outlineLevel="0" collapsed="false"/>
    <row r="22718" customFormat="false" ht="15" hidden="false" customHeight="true" outlineLevel="0" collapsed="false"/>
    <row r="22719" customFormat="false" ht="15" hidden="false" customHeight="true" outlineLevel="0" collapsed="false"/>
    <row r="22720" customFormat="false" ht="15" hidden="false" customHeight="true" outlineLevel="0" collapsed="false"/>
    <row r="22721" customFormat="false" ht="15" hidden="false" customHeight="true" outlineLevel="0" collapsed="false"/>
    <row r="22722" customFormat="false" ht="15" hidden="false" customHeight="true" outlineLevel="0" collapsed="false"/>
    <row r="22723" customFormat="false" ht="15" hidden="false" customHeight="true" outlineLevel="0" collapsed="false"/>
    <row r="22724" customFormat="false" ht="15" hidden="false" customHeight="true" outlineLevel="0" collapsed="false"/>
    <row r="22725" customFormat="false" ht="15" hidden="false" customHeight="true" outlineLevel="0" collapsed="false"/>
    <row r="22726" customFormat="false" ht="15" hidden="false" customHeight="true" outlineLevel="0" collapsed="false"/>
    <row r="22727" customFormat="false" ht="15" hidden="false" customHeight="true" outlineLevel="0" collapsed="false"/>
    <row r="22728" customFormat="false" ht="15" hidden="false" customHeight="true" outlineLevel="0" collapsed="false"/>
    <row r="22729" customFormat="false" ht="15" hidden="false" customHeight="true" outlineLevel="0" collapsed="false"/>
    <row r="22730" customFormat="false" ht="15" hidden="false" customHeight="true" outlineLevel="0" collapsed="false"/>
    <row r="22731" customFormat="false" ht="15" hidden="false" customHeight="true" outlineLevel="0" collapsed="false"/>
    <row r="22732" customFormat="false" ht="15" hidden="false" customHeight="true" outlineLevel="0" collapsed="false"/>
    <row r="22733" customFormat="false" ht="15" hidden="false" customHeight="true" outlineLevel="0" collapsed="false"/>
    <row r="22734" customFormat="false" ht="15" hidden="false" customHeight="true" outlineLevel="0" collapsed="false"/>
    <row r="22735" customFormat="false" ht="15" hidden="false" customHeight="true" outlineLevel="0" collapsed="false"/>
    <row r="22736" customFormat="false" ht="15" hidden="false" customHeight="true" outlineLevel="0" collapsed="false"/>
    <row r="22737" customFormat="false" ht="15" hidden="false" customHeight="true" outlineLevel="0" collapsed="false"/>
    <row r="22738" customFormat="false" ht="15" hidden="false" customHeight="true" outlineLevel="0" collapsed="false"/>
    <row r="22739" customFormat="false" ht="15" hidden="false" customHeight="true" outlineLevel="0" collapsed="false"/>
    <row r="22740" customFormat="false" ht="15" hidden="false" customHeight="true" outlineLevel="0" collapsed="false"/>
    <row r="22741" customFormat="false" ht="15" hidden="false" customHeight="true" outlineLevel="0" collapsed="false"/>
    <row r="22742" customFormat="false" ht="15" hidden="false" customHeight="true" outlineLevel="0" collapsed="false"/>
    <row r="22743" customFormat="false" ht="15" hidden="false" customHeight="true" outlineLevel="0" collapsed="false"/>
    <row r="22744" customFormat="false" ht="15" hidden="false" customHeight="true" outlineLevel="0" collapsed="false"/>
    <row r="22745" customFormat="false" ht="15" hidden="false" customHeight="true" outlineLevel="0" collapsed="false"/>
    <row r="22746" customFormat="false" ht="15" hidden="false" customHeight="true" outlineLevel="0" collapsed="false"/>
    <row r="22747" customFormat="false" ht="15" hidden="false" customHeight="true" outlineLevel="0" collapsed="false"/>
    <row r="22748" customFormat="false" ht="15" hidden="false" customHeight="true" outlineLevel="0" collapsed="false"/>
    <row r="22749" customFormat="false" ht="15" hidden="false" customHeight="true" outlineLevel="0" collapsed="false"/>
    <row r="22750" customFormat="false" ht="15" hidden="false" customHeight="true" outlineLevel="0" collapsed="false"/>
    <row r="22751" customFormat="false" ht="15" hidden="false" customHeight="true" outlineLevel="0" collapsed="false"/>
    <row r="22752" customFormat="false" ht="15" hidden="false" customHeight="true" outlineLevel="0" collapsed="false"/>
    <row r="22753" customFormat="false" ht="15" hidden="false" customHeight="true" outlineLevel="0" collapsed="false"/>
    <row r="22754" customFormat="false" ht="15" hidden="false" customHeight="true" outlineLevel="0" collapsed="false"/>
    <row r="22755" customFormat="false" ht="15" hidden="false" customHeight="true" outlineLevel="0" collapsed="false"/>
    <row r="22756" customFormat="false" ht="15" hidden="false" customHeight="true" outlineLevel="0" collapsed="false"/>
    <row r="22757" customFormat="false" ht="15" hidden="false" customHeight="true" outlineLevel="0" collapsed="false"/>
    <row r="22758" customFormat="false" ht="15" hidden="false" customHeight="true" outlineLevel="0" collapsed="false"/>
    <row r="22759" customFormat="false" ht="15" hidden="false" customHeight="true" outlineLevel="0" collapsed="false"/>
    <row r="22760" customFormat="false" ht="15" hidden="false" customHeight="true" outlineLevel="0" collapsed="false"/>
    <row r="22761" customFormat="false" ht="15" hidden="false" customHeight="true" outlineLevel="0" collapsed="false"/>
    <row r="22762" customFormat="false" ht="15" hidden="false" customHeight="true" outlineLevel="0" collapsed="false"/>
    <row r="22763" customFormat="false" ht="15" hidden="false" customHeight="true" outlineLevel="0" collapsed="false"/>
    <row r="22764" customFormat="false" ht="15" hidden="false" customHeight="true" outlineLevel="0" collapsed="false"/>
    <row r="22765" customFormat="false" ht="15" hidden="false" customHeight="true" outlineLevel="0" collapsed="false"/>
    <row r="22766" customFormat="false" ht="15" hidden="false" customHeight="true" outlineLevel="0" collapsed="false"/>
    <row r="22767" customFormat="false" ht="15" hidden="false" customHeight="true" outlineLevel="0" collapsed="false"/>
    <row r="22768" customFormat="false" ht="15" hidden="false" customHeight="true" outlineLevel="0" collapsed="false"/>
    <row r="22769" customFormat="false" ht="15" hidden="false" customHeight="true" outlineLevel="0" collapsed="false"/>
    <row r="22770" customFormat="false" ht="15" hidden="false" customHeight="true" outlineLevel="0" collapsed="false"/>
    <row r="22771" customFormat="false" ht="15" hidden="false" customHeight="true" outlineLevel="0" collapsed="false"/>
    <row r="22772" customFormat="false" ht="15" hidden="false" customHeight="true" outlineLevel="0" collapsed="false"/>
    <row r="22773" customFormat="false" ht="15" hidden="false" customHeight="true" outlineLevel="0" collapsed="false"/>
    <row r="22774" customFormat="false" ht="15" hidden="false" customHeight="true" outlineLevel="0" collapsed="false"/>
    <row r="22775" customFormat="false" ht="15" hidden="false" customHeight="true" outlineLevel="0" collapsed="false"/>
    <row r="22776" customFormat="false" ht="15" hidden="false" customHeight="true" outlineLevel="0" collapsed="false"/>
    <row r="22777" customFormat="false" ht="15" hidden="false" customHeight="true" outlineLevel="0" collapsed="false"/>
    <row r="22778" customFormat="false" ht="15" hidden="false" customHeight="true" outlineLevel="0" collapsed="false"/>
    <row r="22779" customFormat="false" ht="15" hidden="false" customHeight="true" outlineLevel="0" collapsed="false"/>
    <row r="22780" customFormat="false" ht="15" hidden="false" customHeight="true" outlineLevel="0" collapsed="false"/>
    <row r="22781" customFormat="false" ht="15" hidden="false" customHeight="true" outlineLevel="0" collapsed="false"/>
    <row r="22782" customFormat="false" ht="15" hidden="false" customHeight="true" outlineLevel="0" collapsed="false"/>
    <row r="22783" customFormat="false" ht="15" hidden="false" customHeight="true" outlineLevel="0" collapsed="false"/>
    <row r="22784" customFormat="false" ht="15" hidden="false" customHeight="true" outlineLevel="0" collapsed="false"/>
    <row r="22785" customFormat="false" ht="15" hidden="false" customHeight="true" outlineLevel="0" collapsed="false"/>
    <row r="22786" customFormat="false" ht="15" hidden="false" customHeight="true" outlineLevel="0" collapsed="false"/>
    <row r="22787" customFormat="false" ht="15" hidden="false" customHeight="true" outlineLevel="0" collapsed="false"/>
    <row r="22788" customFormat="false" ht="15" hidden="false" customHeight="true" outlineLevel="0" collapsed="false"/>
    <row r="22789" customFormat="false" ht="15" hidden="false" customHeight="true" outlineLevel="0" collapsed="false"/>
    <row r="22790" customFormat="false" ht="15" hidden="false" customHeight="true" outlineLevel="0" collapsed="false"/>
    <row r="22791" customFormat="false" ht="15" hidden="false" customHeight="true" outlineLevel="0" collapsed="false"/>
    <row r="22792" customFormat="false" ht="15" hidden="false" customHeight="true" outlineLevel="0" collapsed="false"/>
    <row r="22793" customFormat="false" ht="15" hidden="false" customHeight="true" outlineLevel="0" collapsed="false"/>
    <row r="22794" customFormat="false" ht="15" hidden="false" customHeight="true" outlineLevel="0" collapsed="false"/>
    <row r="22795" customFormat="false" ht="15" hidden="false" customHeight="true" outlineLevel="0" collapsed="false"/>
    <row r="22796" customFormat="false" ht="15" hidden="false" customHeight="true" outlineLevel="0" collapsed="false"/>
    <row r="22797" customFormat="false" ht="15" hidden="false" customHeight="true" outlineLevel="0" collapsed="false"/>
    <row r="22798" customFormat="false" ht="15" hidden="false" customHeight="true" outlineLevel="0" collapsed="false"/>
    <row r="22799" customFormat="false" ht="15" hidden="false" customHeight="true" outlineLevel="0" collapsed="false"/>
    <row r="22800" customFormat="false" ht="15" hidden="false" customHeight="true" outlineLevel="0" collapsed="false"/>
    <row r="22801" customFormat="false" ht="15" hidden="false" customHeight="true" outlineLevel="0" collapsed="false"/>
    <row r="22802" customFormat="false" ht="15" hidden="false" customHeight="true" outlineLevel="0" collapsed="false"/>
    <row r="22803" customFormat="false" ht="15" hidden="false" customHeight="true" outlineLevel="0" collapsed="false"/>
    <row r="22804" customFormat="false" ht="15" hidden="false" customHeight="true" outlineLevel="0" collapsed="false"/>
    <row r="22805" customFormat="false" ht="15" hidden="false" customHeight="true" outlineLevel="0" collapsed="false"/>
    <row r="22806" customFormat="false" ht="15" hidden="false" customHeight="true" outlineLevel="0" collapsed="false"/>
    <row r="22807" customFormat="false" ht="15" hidden="false" customHeight="true" outlineLevel="0" collapsed="false"/>
    <row r="22808" customFormat="false" ht="15" hidden="false" customHeight="true" outlineLevel="0" collapsed="false"/>
    <row r="22809" customFormat="false" ht="15" hidden="false" customHeight="true" outlineLevel="0" collapsed="false"/>
    <row r="22810" customFormat="false" ht="15" hidden="false" customHeight="true" outlineLevel="0" collapsed="false"/>
    <row r="22811" customFormat="false" ht="15" hidden="false" customHeight="true" outlineLevel="0" collapsed="false"/>
    <row r="22812" customFormat="false" ht="15" hidden="false" customHeight="true" outlineLevel="0" collapsed="false"/>
    <row r="22813" customFormat="false" ht="15" hidden="false" customHeight="true" outlineLevel="0" collapsed="false"/>
    <row r="22814" customFormat="false" ht="15" hidden="false" customHeight="true" outlineLevel="0" collapsed="false"/>
    <row r="22815" customFormat="false" ht="15" hidden="false" customHeight="true" outlineLevel="0" collapsed="false"/>
    <row r="22816" customFormat="false" ht="15" hidden="false" customHeight="true" outlineLevel="0" collapsed="false"/>
    <row r="22817" customFormat="false" ht="15" hidden="false" customHeight="true" outlineLevel="0" collapsed="false"/>
    <row r="22818" customFormat="false" ht="15" hidden="false" customHeight="true" outlineLevel="0" collapsed="false"/>
    <row r="22819" customFormat="false" ht="15" hidden="false" customHeight="true" outlineLevel="0" collapsed="false"/>
    <row r="22820" customFormat="false" ht="15" hidden="false" customHeight="true" outlineLevel="0" collapsed="false"/>
    <row r="22821" customFormat="false" ht="15" hidden="false" customHeight="true" outlineLevel="0" collapsed="false"/>
    <row r="22822" customFormat="false" ht="15" hidden="false" customHeight="true" outlineLevel="0" collapsed="false"/>
    <row r="22823" customFormat="false" ht="15" hidden="false" customHeight="true" outlineLevel="0" collapsed="false"/>
    <row r="22824" customFormat="false" ht="15" hidden="false" customHeight="true" outlineLevel="0" collapsed="false"/>
    <row r="22825" customFormat="false" ht="15" hidden="false" customHeight="true" outlineLevel="0" collapsed="false"/>
    <row r="22826" customFormat="false" ht="15" hidden="false" customHeight="true" outlineLevel="0" collapsed="false"/>
    <row r="22827" customFormat="false" ht="15" hidden="false" customHeight="true" outlineLevel="0" collapsed="false"/>
    <row r="22828" customFormat="false" ht="15" hidden="false" customHeight="true" outlineLevel="0" collapsed="false"/>
    <row r="22829" customFormat="false" ht="15" hidden="false" customHeight="true" outlineLevel="0" collapsed="false"/>
    <row r="22830" customFormat="false" ht="15" hidden="false" customHeight="true" outlineLevel="0" collapsed="false"/>
    <row r="22831" customFormat="false" ht="15" hidden="false" customHeight="true" outlineLevel="0" collapsed="false"/>
    <row r="22832" customFormat="false" ht="15" hidden="false" customHeight="true" outlineLevel="0" collapsed="false"/>
    <row r="22833" customFormat="false" ht="15" hidden="false" customHeight="true" outlineLevel="0" collapsed="false"/>
    <row r="22834" customFormat="false" ht="15" hidden="false" customHeight="true" outlineLevel="0" collapsed="false"/>
    <row r="22835" customFormat="false" ht="15" hidden="false" customHeight="true" outlineLevel="0" collapsed="false"/>
    <row r="22836" customFormat="false" ht="15" hidden="false" customHeight="true" outlineLevel="0" collapsed="false"/>
    <row r="22837" customFormat="false" ht="15" hidden="false" customHeight="true" outlineLevel="0" collapsed="false"/>
    <row r="22838" customFormat="false" ht="15" hidden="false" customHeight="true" outlineLevel="0" collapsed="false"/>
    <row r="22839" customFormat="false" ht="15" hidden="false" customHeight="true" outlineLevel="0" collapsed="false"/>
    <row r="22840" customFormat="false" ht="15" hidden="false" customHeight="true" outlineLevel="0" collapsed="false"/>
    <row r="22841" customFormat="false" ht="15" hidden="false" customHeight="true" outlineLevel="0" collapsed="false"/>
    <row r="22842" customFormat="false" ht="15" hidden="false" customHeight="true" outlineLevel="0" collapsed="false"/>
    <row r="22843" customFormat="false" ht="15" hidden="false" customHeight="true" outlineLevel="0" collapsed="false"/>
    <row r="22844" customFormat="false" ht="15" hidden="false" customHeight="true" outlineLevel="0" collapsed="false"/>
    <row r="22845" customFormat="false" ht="15" hidden="false" customHeight="true" outlineLevel="0" collapsed="false"/>
    <row r="22846" customFormat="false" ht="15" hidden="false" customHeight="true" outlineLevel="0" collapsed="false"/>
    <row r="22847" customFormat="false" ht="15" hidden="false" customHeight="true" outlineLevel="0" collapsed="false"/>
    <row r="22848" customFormat="false" ht="15" hidden="false" customHeight="true" outlineLevel="0" collapsed="false"/>
    <row r="22849" customFormat="false" ht="15" hidden="false" customHeight="true" outlineLevel="0" collapsed="false"/>
    <row r="22850" customFormat="false" ht="15" hidden="false" customHeight="true" outlineLevel="0" collapsed="false"/>
    <row r="22851" customFormat="false" ht="15" hidden="false" customHeight="true" outlineLevel="0" collapsed="false"/>
    <row r="22852" customFormat="false" ht="15" hidden="false" customHeight="true" outlineLevel="0" collapsed="false"/>
    <row r="22853" customFormat="false" ht="15" hidden="false" customHeight="true" outlineLevel="0" collapsed="false"/>
    <row r="22854" customFormat="false" ht="15" hidden="false" customHeight="true" outlineLevel="0" collapsed="false"/>
    <row r="22855" customFormat="false" ht="15" hidden="false" customHeight="true" outlineLevel="0" collapsed="false"/>
    <row r="22856" customFormat="false" ht="15" hidden="false" customHeight="true" outlineLevel="0" collapsed="false"/>
    <row r="22857" customFormat="false" ht="15" hidden="false" customHeight="true" outlineLevel="0" collapsed="false"/>
    <row r="22858" customFormat="false" ht="15" hidden="false" customHeight="true" outlineLevel="0" collapsed="false"/>
    <row r="22859" customFormat="false" ht="15" hidden="false" customHeight="true" outlineLevel="0" collapsed="false"/>
    <row r="22860" customFormat="false" ht="15" hidden="false" customHeight="true" outlineLevel="0" collapsed="false"/>
    <row r="22861" customFormat="false" ht="15" hidden="false" customHeight="true" outlineLevel="0" collapsed="false"/>
    <row r="22862" customFormat="false" ht="15" hidden="false" customHeight="true" outlineLevel="0" collapsed="false"/>
    <row r="22863" customFormat="false" ht="15" hidden="false" customHeight="true" outlineLevel="0" collapsed="false"/>
    <row r="22864" customFormat="false" ht="15" hidden="false" customHeight="true" outlineLevel="0" collapsed="false"/>
    <row r="22865" customFormat="false" ht="15" hidden="false" customHeight="true" outlineLevel="0" collapsed="false"/>
    <row r="22866" customFormat="false" ht="15" hidden="false" customHeight="true" outlineLevel="0" collapsed="false"/>
    <row r="22867" customFormat="false" ht="15" hidden="false" customHeight="true" outlineLevel="0" collapsed="false"/>
    <row r="22868" customFormat="false" ht="15" hidden="false" customHeight="true" outlineLevel="0" collapsed="false"/>
    <row r="22869" customFormat="false" ht="15" hidden="false" customHeight="true" outlineLevel="0" collapsed="false"/>
    <row r="22870" customFormat="false" ht="15" hidden="false" customHeight="true" outlineLevel="0" collapsed="false"/>
    <row r="22871" customFormat="false" ht="15" hidden="false" customHeight="true" outlineLevel="0" collapsed="false"/>
    <row r="22872" customFormat="false" ht="15" hidden="false" customHeight="true" outlineLevel="0" collapsed="false"/>
    <row r="22873" customFormat="false" ht="15" hidden="false" customHeight="true" outlineLevel="0" collapsed="false"/>
    <row r="22874" customFormat="false" ht="15" hidden="false" customHeight="true" outlineLevel="0" collapsed="false"/>
    <row r="22875" customFormat="false" ht="15" hidden="false" customHeight="true" outlineLevel="0" collapsed="false"/>
    <row r="22876" customFormat="false" ht="15" hidden="false" customHeight="true" outlineLevel="0" collapsed="false"/>
    <row r="22877" customFormat="false" ht="15" hidden="false" customHeight="true" outlineLevel="0" collapsed="false"/>
    <row r="22878" customFormat="false" ht="15" hidden="false" customHeight="true" outlineLevel="0" collapsed="false"/>
    <row r="22879" customFormat="false" ht="15" hidden="false" customHeight="true" outlineLevel="0" collapsed="false"/>
    <row r="22880" customFormat="false" ht="15" hidden="false" customHeight="true" outlineLevel="0" collapsed="false"/>
    <row r="22881" customFormat="false" ht="15" hidden="false" customHeight="true" outlineLevel="0" collapsed="false"/>
    <row r="22882" customFormat="false" ht="15" hidden="false" customHeight="true" outlineLevel="0" collapsed="false"/>
    <row r="22883" customFormat="false" ht="15" hidden="false" customHeight="true" outlineLevel="0" collapsed="false"/>
    <row r="22884" customFormat="false" ht="15" hidden="false" customHeight="true" outlineLevel="0" collapsed="false"/>
    <row r="22885" customFormat="false" ht="15" hidden="false" customHeight="true" outlineLevel="0" collapsed="false"/>
    <row r="22886" customFormat="false" ht="15" hidden="false" customHeight="true" outlineLevel="0" collapsed="false"/>
    <row r="22887" customFormat="false" ht="15" hidden="false" customHeight="true" outlineLevel="0" collapsed="false"/>
    <row r="22888" customFormat="false" ht="15" hidden="false" customHeight="true" outlineLevel="0" collapsed="false"/>
    <row r="22889" customFormat="false" ht="15" hidden="false" customHeight="true" outlineLevel="0" collapsed="false"/>
    <row r="22890" customFormat="false" ht="15" hidden="false" customHeight="true" outlineLevel="0" collapsed="false"/>
    <row r="22891" customFormat="false" ht="15" hidden="false" customHeight="true" outlineLevel="0" collapsed="false"/>
    <row r="22892" customFormat="false" ht="15" hidden="false" customHeight="true" outlineLevel="0" collapsed="false"/>
    <row r="22893" customFormat="false" ht="15" hidden="false" customHeight="true" outlineLevel="0" collapsed="false"/>
    <row r="22894" customFormat="false" ht="15" hidden="false" customHeight="true" outlineLevel="0" collapsed="false"/>
    <row r="22895" customFormat="false" ht="15" hidden="false" customHeight="true" outlineLevel="0" collapsed="false"/>
    <row r="22896" customFormat="false" ht="15" hidden="false" customHeight="true" outlineLevel="0" collapsed="false"/>
    <row r="22897" customFormat="false" ht="15" hidden="false" customHeight="true" outlineLevel="0" collapsed="false"/>
    <row r="22898" customFormat="false" ht="15" hidden="false" customHeight="true" outlineLevel="0" collapsed="false"/>
    <row r="22899" customFormat="false" ht="15" hidden="false" customHeight="true" outlineLevel="0" collapsed="false"/>
    <row r="22900" customFormat="false" ht="15" hidden="false" customHeight="true" outlineLevel="0" collapsed="false"/>
    <row r="22901" customFormat="false" ht="15" hidden="false" customHeight="true" outlineLevel="0" collapsed="false"/>
    <row r="22902" customFormat="false" ht="15" hidden="false" customHeight="true" outlineLevel="0" collapsed="false"/>
    <row r="22903" customFormat="false" ht="15" hidden="false" customHeight="true" outlineLevel="0" collapsed="false"/>
    <row r="22904" customFormat="false" ht="15" hidden="false" customHeight="true" outlineLevel="0" collapsed="false"/>
    <row r="22905" customFormat="false" ht="15" hidden="false" customHeight="true" outlineLevel="0" collapsed="false"/>
    <row r="22906" customFormat="false" ht="15" hidden="false" customHeight="true" outlineLevel="0" collapsed="false"/>
    <row r="22907" customFormat="false" ht="15" hidden="false" customHeight="true" outlineLevel="0" collapsed="false"/>
    <row r="22908" customFormat="false" ht="15" hidden="false" customHeight="true" outlineLevel="0" collapsed="false"/>
    <row r="22909" customFormat="false" ht="15" hidden="false" customHeight="true" outlineLevel="0" collapsed="false"/>
    <row r="22910" customFormat="false" ht="15" hidden="false" customHeight="true" outlineLevel="0" collapsed="false"/>
    <row r="22911" customFormat="false" ht="15" hidden="false" customHeight="true" outlineLevel="0" collapsed="false"/>
    <row r="22912" customFormat="false" ht="15" hidden="false" customHeight="true" outlineLevel="0" collapsed="false"/>
    <row r="22913" customFormat="false" ht="15" hidden="false" customHeight="true" outlineLevel="0" collapsed="false"/>
    <row r="22914" customFormat="false" ht="15" hidden="false" customHeight="true" outlineLevel="0" collapsed="false"/>
    <row r="22915" customFormat="false" ht="15" hidden="false" customHeight="true" outlineLevel="0" collapsed="false"/>
    <row r="22916" customFormat="false" ht="15" hidden="false" customHeight="true" outlineLevel="0" collapsed="false"/>
    <row r="22917" customFormat="false" ht="15" hidden="false" customHeight="true" outlineLevel="0" collapsed="false"/>
    <row r="22918" customFormat="false" ht="15" hidden="false" customHeight="true" outlineLevel="0" collapsed="false"/>
    <row r="22919" customFormat="false" ht="15" hidden="false" customHeight="true" outlineLevel="0" collapsed="false"/>
    <row r="22920" customFormat="false" ht="15" hidden="false" customHeight="true" outlineLevel="0" collapsed="false"/>
    <row r="22921" customFormat="false" ht="15" hidden="false" customHeight="true" outlineLevel="0" collapsed="false"/>
    <row r="22922" customFormat="false" ht="15" hidden="false" customHeight="true" outlineLevel="0" collapsed="false"/>
    <row r="22923" customFormat="false" ht="15" hidden="false" customHeight="true" outlineLevel="0" collapsed="false"/>
    <row r="22924" customFormat="false" ht="15" hidden="false" customHeight="true" outlineLevel="0" collapsed="false"/>
    <row r="22925" customFormat="false" ht="15" hidden="false" customHeight="true" outlineLevel="0" collapsed="false"/>
    <row r="22926" customFormat="false" ht="15" hidden="false" customHeight="true" outlineLevel="0" collapsed="false"/>
    <row r="22927" customFormat="false" ht="15" hidden="false" customHeight="true" outlineLevel="0" collapsed="false"/>
    <row r="22928" customFormat="false" ht="15" hidden="false" customHeight="true" outlineLevel="0" collapsed="false"/>
    <row r="22929" customFormat="false" ht="15" hidden="false" customHeight="true" outlineLevel="0" collapsed="false"/>
    <row r="22930" customFormat="false" ht="15" hidden="false" customHeight="true" outlineLevel="0" collapsed="false"/>
    <row r="22931" customFormat="false" ht="15" hidden="false" customHeight="true" outlineLevel="0" collapsed="false"/>
    <row r="22932" customFormat="false" ht="15" hidden="false" customHeight="true" outlineLevel="0" collapsed="false"/>
    <row r="22933" customFormat="false" ht="15" hidden="false" customHeight="true" outlineLevel="0" collapsed="false"/>
    <row r="22934" customFormat="false" ht="15" hidden="false" customHeight="true" outlineLevel="0" collapsed="false"/>
    <row r="22935" customFormat="false" ht="15" hidden="false" customHeight="true" outlineLevel="0" collapsed="false"/>
    <row r="22936" customFormat="false" ht="15" hidden="false" customHeight="true" outlineLevel="0" collapsed="false"/>
    <row r="22937" customFormat="false" ht="15" hidden="false" customHeight="true" outlineLevel="0" collapsed="false"/>
    <row r="22938" customFormat="false" ht="15" hidden="false" customHeight="true" outlineLevel="0" collapsed="false"/>
    <row r="22939" customFormat="false" ht="15" hidden="false" customHeight="true" outlineLevel="0" collapsed="false"/>
    <row r="22940" customFormat="false" ht="15" hidden="false" customHeight="true" outlineLevel="0" collapsed="false"/>
    <row r="22941" customFormat="false" ht="15" hidden="false" customHeight="true" outlineLevel="0" collapsed="false"/>
    <row r="22942" customFormat="false" ht="15" hidden="false" customHeight="true" outlineLevel="0" collapsed="false"/>
    <row r="22943" customFormat="false" ht="15" hidden="false" customHeight="true" outlineLevel="0" collapsed="false"/>
    <row r="22944" customFormat="false" ht="15" hidden="false" customHeight="true" outlineLevel="0" collapsed="false"/>
    <row r="22945" customFormat="false" ht="15" hidden="false" customHeight="true" outlineLevel="0" collapsed="false"/>
    <row r="22946" customFormat="false" ht="15" hidden="false" customHeight="true" outlineLevel="0" collapsed="false"/>
    <row r="22947" customFormat="false" ht="15" hidden="false" customHeight="true" outlineLevel="0" collapsed="false"/>
    <row r="22948" customFormat="false" ht="15" hidden="false" customHeight="true" outlineLevel="0" collapsed="false"/>
    <row r="22949" customFormat="false" ht="15" hidden="false" customHeight="true" outlineLevel="0" collapsed="false"/>
    <row r="22950" customFormat="false" ht="15" hidden="false" customHeight="true" outlineLevel="0" collapsed="false"/>
    <row r="22951" customFormat="false" ht="15" hidden="false" customHeight="true" outlineLevel="0" collapsed="false"/>
    <row r="22952" customFormat="false" ht="15" hidden="false" customHeight="true" outlineLevel="0" collapsed="false"/>
    <row r="22953" customFormat="false" ht="15" hidden="false" customHeight="true" outlineLevel="0" collapsed="false"/>
    <row r="22954" customFormat="false" ht="15" hidden="false" customHeight="true" outlineLevel="0" collapsed="false"/>
    <row r="22955" customFormat="false" ht="15" hidden="false" customHeight="true" outlineLevel="0" collapsed="false"/>
    <row r="22956" customFormat="false" ht="15" hidden="false" customHeight="true" outlineLevel="0" collapsed="false"/>
    <row r="22957" customFormat="false" ht="15" hidden="false" customHeight="true" outlineLevel="0" collapsed="false"/>
    <row r="22958" customFormat="false" ht="15" hidden="false" customHeight="true" outlineLevel="0" collapsed="false"/>
    <row r="22959" customFormat="false" ht="15" hidden="false" customHeight="true" outlineLevel="0" collapsed="false"/>
    <row r="22960" customFormat="false" ht="15" hidden="false" customHeight="true" outlineLevel="0" collapsed="false"/>
    <row r="22961" customFormat="false" ht="15" hidden="false" customHeight="true" outlineLevel="0" collapsed="false"/>
    <row r="22962" customFormat="false" ht="15" hidden="false" customHeight="true" outlineLevel="0" collapsed="false"/>
    <row r="22963" customFormat="false" ht="15" hidden="false" customHeight="true" outlineLevel="0" collapsed="false"/>
    <row r="22964" customFormat="false" ht="15" hidden="false" customHeight="true" outlineLevel="0" collapsed="false"/>
    <row r="22965" customFormat="false" ht="15" hidden="false" customHeight="true" outlineLevel="0" collapsed="false"/>
    <row r="22966" customFormat="false" ht="15" hidden="false" customHeight="true" outlineLevel="0" collapsed="false"/>
    <row r="22967" customFormat="false" ht="15" hidden="false" customHeight="true" outlineLevel="0" collapsed="false"/>
    <row r="22968" customFormat="false" ht="15" hidden="false" customHeight="true" outlineLevel="0" collapsed="false"/>
    <row r="22969" customFormat="false" ht="15" hidden="false" customHeight="true" outlineLevel="0" collapsed="false"/>
    <row r="22970" customFormat="false" ht="15" hidden="false" customHeight="true" outlineLevel="0" collapsed="false"/>
    <row r="22971" customFormat="false" ht="15" hidden="false" customHeight="true" outlineLevel="0" collapsed="false"/>
    <row r="22972" customFormat="false" ht="15" hidden="false" customHeight="true" outlineLevel="0" collapsed="false"/>
    <row r="22973" customFormat="false" ht="15" hidden="false" customHeight="true" outlineLevel="0" collapsed="false"/>
    <row r="22974" customFormat="false" ht="15" hidden="false" customHeight="true" outlineLevel="0" collapsed="false"/>
    <row r="22975" customFormat="false" ht="15" hidden="false" customHeight="true" outlineLevel="0" collapsed="false"/>
    <row r="22976" customFormat="false" ht="15" hidden="false" customHeight="true" outlineLevel="0" collapsed="false"/>
    <row r="22977" customFormat="false" ht="15" hidden="false" customHeight="true" outlineLevel="0" collapsed="false"/>
    <row r="22978" customFormat="false" ht="15" hidden="false" customHeight="true" outlineLevel="0" collapsed="false"/>
    <row r="22979" customFormat="false" ht="15" hidden="false" customHeight="true" outlineLevel="0" collapsed="false"/>
    <row r="22980" customFormat="false" ht="15" hidden="false" customHeight="true" outlineLevel="0" collapsed="false"/>
    <row r="22981" customFormat="false" ht="15" hidden="false" customHeight="true" outlineLevel="0" collapsed="false"/>
    <row r="22982" customFormat="false" ht="15" hidden="false" customHeight="true" outlineLevel="0" collapsed="false"/>
    <row r="22983" customFormat="false" ht="15" hidden="false" customHeight="true" outlineLevel="0" collapsed="false"/>
    <row r="22984" customFormat="false" ht="15" hidden="false" customHeight="true" outlineLevel="0" collapsed="false"/>
    <row r="22985" customFormat="false" ht="15" hidden="false" customHeight="true" outlineLevel="0" collapsed="false"/>
    <row r="22986" customFormat="false" ht="15" hidden="false" customHeight="true" outlineLevel="0" collapsed="false"/>
    <row r="22987" customFormat="false" ht="15" hidden="false" customHeight="true" outlineLevel="0" collapsed="false"/>
    <row r="22988" customFormat="false" ht="15" hidden="false" customHeight="true" outlineLevel="0" collapsed="false"/>
    <row r="22989" customFormat="false" ht="15" hidden="false" customHeight="true" outlineLevel="0" collapsed="false"/>
    <row r="22990" customFormat="false" ht="15" hidden="false" customHeight="true" outlineLevel="0" collapsed="false"/>
    <row r="22991" customFormat="false" ht="15" hidden="false" customHeight="true" outlineLevel="0" collapsed="false"/>
    <row r="22992" customFormat="false" ht="15" hidden="false" customHeight="true" outlineLevel="0" collapsed="false"/>
    <row r="22993" customFormat="false" ht="15" hidden="false" customHeight="true" outlineLevel="0" collapsed="false"/>
    <row r="22994" customFormat="false" ht="15" hidden="false" customHeight="true" outlineLevel="0" collapsed="false"/>
    <row r="22995" customFormat="false" ht="15" hidden="false" customHeight="true" outlineLevel="0" collapsed="false"/>
    <row r="22996" customFormat="false" ht="15" hidden="false" customHeight="true" outlineLevel="0" collapsed="false"/>
    <row r="22997" customFormat="false" ht="15" hidden="false" customHeight="true" outlineLevel="0" collapsed="false"/>
    <row r="22998" customFormat="false" ht="15" hidden="false" customHeight="true" outlineLevel="0" collapsed="false"/>
    <row r="22999" customFormat="false" ht="15" hidden="false" customHeight="true" outlineLevel="0" collapsed="false"/>
    <row r="23000" customFormat="false" ht="15" hidden="false" customHeight="true" outlineLevel="0" collapsed="false"/>
    <row r="23001" customFormat="false" ht="15" hidden="false" customHeight="true" outlineLevel="0" collapsed="false"/>
    <row r="23002" customFormat="false" ht="15" hidden="false" customHeight="true" outlineLevel="0" collapsed="false"/>
    <row r="23003" customFormat="false" ht="15" hidden="false" customHeight="true" outlineLevel="0" collapsed="false"/>
    <row r="23004" customFormat="false" ht="15" hidden="false" customHeight="true" outlineLevel="0" collapsed="false"/>
    <row r="23005" customFormat="false" ht="15" hidden="false" customHeight="true" outlineLevel="0" collapsed="false"/>
    <row r="23006" customFormat="false" ht="15" hidden="false" customHeight="true" outlineLevel="0" collapsed="false"/>
    <row r="23007" customFormat="false" ht="15" hidden="false" customHeight="true" outlineLevel="0" collapsed="false"/>
    <row r="23008" customFormat="false" ht="15" hidden="false" customHeight="true" outlineLevel="0" collapsed="false"/>
    <row r="23009" customFormat="false" ht="15" hidden="false" customHeight="true" outlineLevel="0" collapsed="false"/>
    <row r="23010" customFormat="false" ht="15" hidden="false" customHeight="true" outlineLevel="0" collapsed="false"/>
    <row r="23011" customFormat="false" ht="15" hidden="false" customHeight="true" outlineLevel="0" collapsed="false"/>
    <row r="23012" customFormat="false" ht="15" hidden="false" customHeight="true" outlineLevel="0" collapsed="false"/>
    <row r="23013" customFormat="false" ht="15" hidden="false" customHeight="true" outlineLevel="0" collapsed="false"/>
    <row r="23014" customFormat="false" ht="15" hidden="false" customHeight="true" outlineLevel="0" collapsed="false"/>
    <row r="23015" customFormat="false" ht="15" hidden="false" customHeight="true" outlineLevel="0" collapsed="false"/>
    <row r="23016" customFormat="false" ht="15" hidden="false" customHeight="true" outlineLevel="0" collapsed="false"/>
    <row r="23017" customFormat="false" ht="15" hidden="false" customHeight="true" outlineLevel="0" collapsed="false"/>
    <row r="23018" customFormat="false" ht="15" hidden="false" customHeight="true" outlineLevel="0" collapsed="false"/>
    <row r="23019" customFormat="false" ht="15" hidden="false" customHeight="true" outlineLevel="0" collapsed="false"/>
    <row r="23020" customFormat="false" ht="15" hidden="false" customHeight="true" outlineLevel="0" collapsed="false"/>
    <row r="23021" customFormat="false" ht="15" hidden="false" customHeight="true" outlineLevel="0" collapsed="false"/>
    <row r="23022" customFormat="false" ht="15" hidden="false" customHeight="true" outlineLevel="0" collapsed="false"/>
    <row r="23023" customFormat="false" ht="15" hidden="false" customHeight="true" outlineLevel="0" collapsed="false"/>
    <row r="23024" customFormat="false" ht="15" hidden="false" customHeight="true" outlineLevel="0" collapsed="false"/>
    <row r="23025" customFormat="false" ht="15" hidden="false" customHeight="true" outlineLevel="0" collapsed="false"/>
    <row r="23026" customFormat="false" ht="15" hidden="false" customHeight="true" outlineLevel="0" collapsed="false"/>
    <row r="23027" customFormat="false" ht="15" hidden="false" customHeight="true" outlineLevel="0" collapsed="false"/>
    <row r="23028" customFormat="false" ht="15" hidden="false" customHeight="true" outlineLevel="0" collapsed="false"/>
    <row r="23029" customFormat="false" ht="15" hidden="false" customHeight="true" outlineLevel="0" collapsed="false"/>
    <row r="23030" customFormat="false" ht="15" hidden="false" customHeight="true" outlineLevel="0" collapsed="false"/>
    <row r="23031" customFormat="false" ht="15" hidden="false" customHeight="true" outlineLevel="0" collapsed="false"/>
    <row r="23032" customFormat="false" ht="15" hidden="false" customHeight="true" outlineLevel="0" collapsed="false"/>
    <row r="23033" customFormat="false" ht="15" hidden="false" customHeight="true" outlineLevel="0" collapsed="false"/>
    <row r="23034" customFormat="false" ht="15" hidden="false" customHeight="true" outlineLevel="0" collapsed="false"/>
    <row r="23035" customFormat="false" ht="15" hidden="false" customHeight="true" outlineLevel="0" collapsed="false"/>
    <row r="23036" customFormat="false" ht="15" hidden="false" customHeight="true" outlineLevel="0" collapsed="false"/>
    <row r="23037" customFormat="false" ht="15" hidden="false" customHeight="true" outlineLevel="0" collapsed="false"/>
    <row r="23038" customFormat="false" ht="15" hidden="false" customHeight="true" outlineLevel="0" collapsed="false"/>
    <row r="23039" customFormat="false" ht="15" hidden="false" customHeight="true" outlineLevel="0" collapsed="false"/>
    <row r="23040" customFormat="false" ht="15" hidden="false" customHeight="true" outlineLevel="0" collapsed="false"/>
    <row r="23041" customFormat="false" ht="15" hidden="false" customHeight="true" outlineLevel="0" collapsed="false"/>
    <row r="23042" customFormat="false" ht="15" hidden="false" customHeight="true" outlineLevel="0" collapsed="false"/>
    <row r="23043" customFormat="false" ht="15" hidden="false" customHeight="true" outlineLevel="0" collapsed="false"/>
    <row r="23044" customFormat="false" ht="15" hidden="false" customHeight="true" outlineLevel="0" collapsed="false"/>
    <row r="23045" customFormat="false" ht="15" hidden="false" customHeight="true" outlineLevel="0" collapsed="false"/>
    <row r="23046" customFormat="false" ht="15" hidden="false" customHeight="true" outlineLevel="0" collapsed="false"/>
    <row r="23047" customFormat="false" ht="15" hidden="false" customHeight="true" outlineLevel="0" collapsed="false"/>
    <row r="23048" customFormat="false" ht="15" hidden="false" customHeight="true" outlineLevel="0" collapsed="false"/>
    <row r="23049" customFormat="false" ht="15" hidden="false" customHeight="true" outlineLevel="0" collapsed="false"/>
    <row r="23050" customFormat="false" ht="15" hidden="false" customHeight="true" outlineLevel="0" collapsed="false"/>
    <row r="23051" customFormat="false" ht="15" hidden="false" customHeight="true" outlineLevel="0" collapsed="false"/>
    <row r="23052" customFormat="false" ht="15" hidden="false" customHeight="true" outlineLevel="0" collapsed="false"/>
    <row r="23053" customFormat="false" ht="15" hidden="false" customHeight="true" outlineLevel="0" collapsed="false"/>
    <row r="23054" customFormat="false" ht="15" hidden="false" customHeight="true" outlineLevel="0" collapsed="false"/>
    <row r="23055" customFormat="false" ht="15" hidden="false" customHeight="true" outlineLevel="0" collapsed="false"/>
    <row r="23056" customFormat="false" ht="15" hidden="false" customHeight="true" outlineLevel="0" collapsed="false"/>
    <row r="23057" customFormat="false" ht="15" hidden="false" customHeight="true" outlineLevel="0" collapsed="false"/>
    <row r="23058" customFormat="false" ht="15" hidden="false" customHeight="true" outlineLevel="0" collapsed="false"/>
    <row r="23059" customFormat="false" ht="15" hidden="false" customHeight="true" outlineLevel="0" collapsed="false"/>
    <row r="23060" customFormat="false" ht="15" hidden="false" customHeight="true" outlineLevel="0" collapsed="false"/>
    <row r="23061" customFormat="false" ht="15" hidden="false" customHeight="true" outlineLevel="0" collapsed="false"/>
    <row r="23062" customFormat="false" ht="15" hidden="false" customHeight="true" outlineLevel="0" collapsed="false"/>
    <row r="23063" customFormat="false" ht="15" hidden="false" customHeight="true" outlineLevel="0" collapsed="false"/>
    <row r="23064" customFormat="false" ht="15" hidden="false" customHeight="true" outlineLevel="0" collapsed="false"/>
    <row r="23065" customFormat="false" ht="15" hidden="false" customHeight="true" outlineLevel="0" collapsed="false"/>
    <row r="23066" customFormat="false" ht="15" hidden="false" customHeight="true" outlineLevel="0" collapsed="false"/>
    <row r="23067" customFormat="false" ht="15" hidden="false" customHeight="true" outlineLevel="0" collapsed="false"/>
    <row r="23068" customFormat="false" ht="15" hidden="false" customHeight="true" outlineLevel="0" collapsed="false"/>
    <row r="23069" customFormat="false" ht="15" hidden="false" customHeight="true" outlineLevel="0" collapsed="false"/>
    <row r="23070" customFormat="false" ht="15" hidden="false" customHeight="true" outlineLevel="0" collapsed="false"/>
    <row r="23071" customFormat="false" ht="15" hidden="false" customHeight="true" outlineLevel="0" collapsed="false"/>
    <row r="23072" customFormat="false" ht="15" hidden="false" customHeight="true" outlineLevel="0" collapsed="false"/>
    <row r="23073" customFormat="false" ht="15" hidden="false" customHeight="true" outlineLevel="0" collapsed="false"/>
    <row r="23074" customFormat="false" ht="15" hidden="false" customHeight="true" outlineLevel="0" collapsed="false"/>
    <row r="23075" customFormat="false" ht="15" hidden="false" customHeight="true" outlineLevel="0" collapsed="false"/>
    <row r="23076" customFormat="false" ht="15" hidden="false" customHeight="true" outlineLevel="0" collapsed="false"/>
    <row r="23077" customFormat="false" ht="15" hidden="false" customHeight="true" outlineLevel="0" collapsed="false"/>
    <row r="23078" customFormat="false" ht="15" hidden="false" customHeight="true" outlineLevel="0" collapsed="false"/>
    <row r="23079" customFormat="false" ht="15" hidden="false" customHeight="true" outlineLevel="0" collapsed="false"/>
    <row r="23080" customFormat="false" ht="15" hidden="false" customHeight="true" outlineLevel="0" collapsed="false"/>
    <row r="23081" customFormat="false" ht="15" hidden="false" customHeight="true" outlineLevel="0" collapsed="false"/>
    <row r="23082" customFormat="false" ht="15" hidden="false" customHeight="true" outlineLevel="0" collapsed="false"/>
    <row r="23083" customFormat="false" ht="15" hidden="false" customHeight="true" outlineLevel="0" collapsed="false"/>
    <row r="23084" customFormat="false" ht="15" hidden="false" customHeight="true" outlineLevel="0" collapsed="false"/>
    <row r="23085" customFormat="false" ht="15" hidden="false" customHeight="true" outlineLevel="0" collapsed="false"/>
    <row r="23086" customFormat="false" ht="15" hidden="false" customHeight="true" outlineLevel="0" collapsed="false"/>
    <row r="23087" customFormat="false" ht="15" hidden="false" customHeight="true" outlineLevel="0" collapsed="false"/>
    <row r="23088" customFormat="false" ht="15" hidden="false" customHeight="true" outlineLevel="0" collapsed="false"/>
    <row r="23089" customFormat="false" ht="15" hidden="false" customHeight="true" outlineLevel="0" collapsed="false"/>
    <row r="23090" customFormat="false" ht="15" hidden="false" customHeight="true" outlineLevel="0" collapsed="false"/>
    <row r="23091" customFormat="false" ht="15" hidden="false" customHeight="true" outlineLevel="0" collapsed="false"/>
    <row r="23092" customFormat="false" ht="15" hidden="false" customHeight="true" outlineLevel="0" collapsed="false"/>
    <row r="23093" customFormat="false" ht="15" hidden="false" customHeight="true" outlineLevel="0" collapsed="false"/>
    <row r="23094" customFormat="false" ht="15" hidden="false" customHeight="true" outlineLevel="0" collapsed="false"/>
    <row r="23095" customFormat="false" ht="15" hidden="false" customHeight="true" outlineLevel="0" collapsed="false"/>
    <row r="23096" customFormat="false" ht="15" hidden="false" customHeight="true" outlineLevel="0" collapsed="false"/>
    <row r="23097" customFormat="false" ht="15" hidden="false" customHeight="true" outlineLevel="0" collapsed="false"/>
    <row r="23098" customFormat="false" ht="15" hidden="false" customHeight="true" outlineLevel="0" collapsed="false"/>
    <row r="23099" customFormat="false" ht="15" hidden="false" customHeight="true" outlineLevel="0" collapsed="false"/>
    <row r="23100" customFormat="false" ht="15" hidden="false" customHeight="true" outlineLevel="0" collapsed="false"/>
    <row r="23101" customFormat="false" ht="15" hidden="false" customHeight="true" outlineLevel="0" collapsed="false"/>
    <row r="23102" customFormat="false" ht="15" hidden="false" customHeight="true" outlineLevel="0" collapsed="false"/>
    <row r="23103" customFormat="false" ht="15" hidden="false" customHeight="true" outlineLevel="0" collapsed="false"/>
    <row r="23104" customFormat="false" ht="15" hidden="false" customHeight="true" outlineLevel="0" collapsed="false"/>
    <row r="23105" customFormat="false" ht="15" hidden="false" customHeight="true" outlineLevel="0" collapsed="false"/>
    <row r="23106" customFormat="false" ht="15" hidden="false" customHeight="true" outlineLevel="0" collapsed="false"/>
    <row r="23107" customFormat="false" ht="15" hidden="false" customHeight="true" outlineLevel="0" collapsed="false"/>
    <row r="23108" customFormat="false" ht="15" hidden="false" customHeight="true" outlineLevel="0" collapsed="false"/>
    <row r="23109" customFormat="false" ht="15" hidden="false" customHeight="true" outlineLevel="0" collapsed="false"/>
    <row r="23110" customFormat="false" ht="15" hidden="false" customHeight="true" outlineLevel="0" collapsed="false"/>
    <row r="23111" customFormat="false" ht="15" hidden="false" customHeight="true" outlineLevel="0" collapsed="false"/>
    <row r="23112" customFormat="false" ht="15" hidden="false" customHeight="true" outlineLevel="0" collapsed="false"/>
    <row r="23113" customFormat="false" ht="15" hidden="false" customHeight="true" outlineLevel="0" collapsed="false"/>
    <row r="23114" customFormat="false" ht="15" hidden="false" customHeight="true" outlineLevel="0" collapsed="false"/>
    <row r="23115" customFormat="false" ht="15" hidden="false" customHeight="true" outlineLevel="0" collapsed="false"/>
    <row r="23116" customFormat="false" ht="15" hidden="false" customHeight="true" outlineLevel="0" collapsed="false"/>
    <row r="23117" customFormat="false" ht="15" hidden="false" customHeight="true" outlineLevel="0" collapsed="false"/>
    <row r="23118" customFormat="false" ht="15" hidden="false" customHeight="true" outlineLevel="0" collapsed="false"/>
    <row r="23119" customFormat="false" ht="15" hidden="false" customHeight="true" outlineLevel="0" collapsed="false"/>
    <row r="23120" customFormat="false" ht="15" hidden="false" customHeight="true" outlineLevel="0" collapsed="false"/>
    <row r="23121" customFormat="false" ht="15" hidden="false" customHeight="true" outlineLevel="0" collapsed="false"/>
    <row r="23122" customFormat="false" ht="15" hidden="false" customHeight="true" outlineLevel="0" collapsed="false"/>
    <row r="23123" customFormat="false" ht="15" hidden="false" customHeight="true" outlineLevel="0" collapsed="false"/>
    <row r="23124" customFormat="false" ht="15" hidden="false" customHeight="true" outlineLevel="0" collapsed="false"/>
    <row r="23125" customFormat="false" ht="15" hidden="false" customHeight="true" outlineLevel="0" collapsed="false"/>
    <row r="23126" customFormat="false" ht="15" hidden="false" customHeight="true" outlineLevel="0" collapsed="false"/>
    <row r="23127" customFormat="false" ht="15" hidden="false" customHeight="true" outlineLevel="0" collapsed="false"/>
    <row r="23128" customFormat="false" ht="15" hidden="false" customHeight="true" outlineLevel="0" collapsed="false"/>
    <row r="23129" customFormat="false" ht="15" hidden="false" customHeight="true" outlineLevel="0" collapsed="false"/>
    <row r="23130" customFormat="false" ht="15" hidden="false" customHeight="true" outlineLevel="0" collapsed="false"/>
    <row r="23131" customFormat="false" ht="15" hidden="false" customHeight="true" outlineLevel="0" collapsed="false"/>
    <row r="23132" customFormat="false" ht="15" hidden="false" customHeight="true" outlineLevel="0" collapsed="false"/>
    <row r="23133" customFormat="false" ht="15" hidden="false" customHeight="true" outlineLevel="0" collapsed="false"/>
    <row r="23134" customFormat="false" ht="15" hidden="false" customHeight="true" outlineLevel="0" collapsed="false"/>
    <row r="23135" customFormat="false" ht="15" hidden="false" customHeight="true" outlineLevel="0" collapsed="false"/>
    <row r="23136" customFormat="false" ht="15" hidden="false" customHeight="true" outlineLevel="0" collapsed="false"/>
    <row r="23137" customFormat="false" ht="15" hidden="false" customHeight="true" outlineLevel="0" collapsed="false"/>
    <row r="23138" customFormat="false" ht="15" hidden="false" customHeight="true" outlineLevel="0" collapsed="false"/>
    <row r="23139" customFormat="false" ht="15" hidden="false" customHeight="true" outlineLevel="0" collapsed="false"/>
    <row r="23140" customFormat="false" ht="15" hidden="false" customHeight="true" outlineLevel="0" collapsed="false"/>
    <row r="23141" customFormat="false" ht="15" hidden="false" customHeight="true" outlineLevel="0" collapsed="false"/>
    <row r="23142" customFormat="false" ht="15" hidden="false" customHeight="true" outlineLevel="0" collapsed="false"/>
    <row r="23143" customFormat="false" ht="15" hidden="false" customHeight="true" outlineLevel="0" collapsed="false"/>
    <row r="23144" customFormat="false" ht="15" hidden="false" customHeight="true" outlineLevel="0" collapsed="false"/>
    <row r="23145" customFormat="false" ht="15" hidden="false" customHeight="true" outlineLevel="0" collapsed="false"/>
    <row r="23146" customFormat="false" ht="15" hidden="false" customHeight="true" outlineLevel="0" collapsed="false"/>
    <row r="23147" customFormat="false" ht="15" hidden="false" customHeight="true" outlineLevel="0" collapsed="false"/>
    <row r="23148" customFormat="false" ht="15" hidden="false" customHeight="true" outlineLevel="0" collapsed="false"/>
    <row r="23149" customFormat="false" ht="15" hidden="false" customHeight="true" outlineLevel="0" collapsed="false"/>
    <row r="23150" customFormat="false" ht="15" hidden="false" customHeight="true" outlineLevel="0" collapsed="false"/>
    <row r="23151" customFormat="false" ht="15" hidden="false" customHeight="true" outlineLevel="0" collapsed="false"/>
    <row r="23152" customFormat="false" ht="15" hidden="false" customHeight="true" outlineLevel="0" collapsed="false"/>
    <row r="23153" customFormat="false" ht="15" hidden="false" customHeight="true" outlineLevel="0" collapsed="false"/>
    <row r="23154" customFormat="false" ht="15" hidden="false" customHeight="true" outlineLevel="0" collapsed="false"/>
    <row r="23155" customFormat="false" ht="15" hidden="false" customHeight="true" outlineLevel="0" collapsed="false"/>
    <row r="23156" customFormat="false" ht="15" hidden="false" customHeight="true" outlineLevel="0" collapsed="false"/>
    <row r="23157" customFormat="false" ht="15" hidden="false" customHeight="true" outlineLevel="0" collapsed="false"/>
    <row r="23158" customFormat="false" ht="15" hidden="false" customHeight="true" outlineLevel="0" collapsed="false"/>
    <row r="23159" customFormat="false" ht="15" hidden="false" customHeight="true" outlineLevel="0" collapsed="false"/>
    <row r="23160" customFormat="false" ht="15" hidden="false" customHeight="true" outlineLevel="0" collapsed="false"/>
    <row r="23161" customFormat="false" ht="15" hidden="false" customHeight="true" outlineLevel="0" collapsed="false"/>
    <row r="23162" customFormat="false" ht="15" hidden="false" customHeight="true" outlineLevel="0" collapsed="false"/>
    <row r="23163" customFormat="false" ht="15" hidden="false" customHeight="true" outlineLevel="0" collapsed="false"/>
    <row r="23164" customFormat="false" ht="15" hidden="false" customHeight="true" outlineLevel="0" collapsed="false"/>
    <row r="23165" customFormat="false" ht="15" hidden="false" customHeight="true" outlineLevel="0" collapsed="false"/>
    <row r="23166" customFormat="false" ht="15" hidden="false" customHeight="true" outlineLevel="0" collapsed="false"/>
    <row r="23167" customFormat="false" ht="15" hidden="false" customHeight="true" outlineLevel="0" collapsed="false"/>
    <row r="23168" customFormat="false" ht="15" hidden="false" customHeight="true" outlineLevel="0" collapsed="false"/>
    <row r="23169" customFormat="false" ht="15" hidden="false" customHeight="true" outlineLevel="0" collapsed="false"/>
    <row r="23170" customFormat="false" ht="15" hidden="false" customHeight="true" outlineLevel="0" collapsed="false"/>
    <row r="23171" customFormat="false" ht="15" hidden="false" customHeight="true" outlineLevel="0" collapsed="false"/>
    <row r="23172" customFormat="false" ht="15" hidden="false" customHeight="true" outlineLevel="0" collapsed="false"/>
    <row r="23173" customFormat="false" ht="15" hidden="false" customHeight="true" outlineLevel="0" collapsed="false"/>
    <row r="23174" customFormat="false" ht="15" hidden="false" customHeight="true" outlineLevel="0" collapsed="false"/>
    <row r="23175" customFormat="false" ht="15" hidden="false" customHeight="true" outlineLevel="0" collapsed="false"/>
    <row r="23176" customFormat="false" ht="15" hidden="false" customHeight="true" outlineLevel="0" collapsed="false"/>
    <row r="23177" customFormat="false" ht="15" hidden="false" customHeight="true" outlineLevel="0" collapsed="false"/>
    <row r="23178" customFormat="false" ht="15" hidden="false" customHeight="true" outlineLevel="0" collapsed="false"/>
    <row r="23179" customFormat="false" ht="15" hidden="false" customHeight="true" outlineLevel="0" collapsed="false"/>
    <row r="23180" customFormat="false" ht="15" hidden="false" customHeight="true" outlineLevel="0" collapsed="false"/>
    <row r="23181" customFormat="false" ht="15" hidden="false" customHeight="true" outlineLevel="0" collapsed="false"/>
    <row r="23182" customFormat="false" ht="15" hidden="false" customHeight="true" outlineLevel="0" collapsed="false"/>
    <row r="23183" customFormat="false" ht="15" hidden="false" customHeight="true" outlineLevel="0" collapsed="false"/>
    <row r="23184" customFormat="false" ht="15" hidden="false" customHeight="true" outlineLevel="0" collapsed="false"/>
    <row r="23185" customFormat="false" ht="15" hidden="false" customHeight="true" outlineLevel="0" collapsed="false"/>
    <row r="23186" customFormat="false" ht="15" hidden="false" customHeight="true" outlineLevel="0" collapsed="false"/>
    <row r="23187" customFormat="false" ht="15" hidden="false" customHeight="true" outlineLevel="0" collapsed="false"/>
    <row r="23188" customFormat="false" ht="15" hidden="false" customHeight="true" outlineLevel="0" collapsed="false"/>
    <row r="23189" customFormat="false" ht="15" hidden="false" customHeight="true" outlineLevel="0" collapsed="false"/>
    <row r="23190" customFormat="false" ht="15" hidden="false" customHeight="true" outlineLevel="0" collapsed="false"/>
    <row r="23191" customFormat="false" ht="15" hidden="false" customHeight="true" outlineLevel="0" collapsed="false"/>
    <row r="23192" customFormat="false" ht="15" hidden="false" customHeight="true" outlineLevel="0" collapsed="false"/>
    <row r="23193" customFormat="false" ht="15" hidden="false" customHeight="true" outlineLevel="0" collapsed="false"/>
    <row r="23194" customFormat="false" ht="15" hidden="false" customHeight="true" outlineLevel="0" collapsed="false"/>
    <row r="23195" customFormat="false" ht="15" hidden="false" customHeight="true" outlineLevel="0" collapsed="false"/>
    <row r="23196" customFormat="false" ht="15" hidden="false" customHeight="true" outlineLevel="0" collapsed="false"/>
    <row r="23197" customFormat="false" ht="15" hidden="false" customHeight="true" outlineLevel="0" collapsed="false"/>
    <row r="23198" customFormat="false" ht="15" hidden="false" customHeight="true" outlineLevel="0" collapsed="false"/>
    <row r="23199" customFormat="false" ht="15" hidden="false" customHeight="true" outlineLevel="0" collapsed="false"/>
    <row r="23200" customFormat="false" ht="15" hidden="false" customHeight="true" outlineLevel="0" collapsed="false"/>
    <row r="23201" customFormat="false" ht="15" hidden="false" customHeight="true" outlineLevel="0" collapsed="false"/>
    <row r="23202" customFormat="false" ht="15" hidden="false" customHeight="true" outlineLevel="0" collapsed="false"/>
    <row r="23203" customFormat="false" ht="15" hidden="false" customHeight="true" outlineLevel="0" collapsed="false"/>
    <row r="23204" customFormat="false" ht="15" hidden="false" customHeight="true" outlineLevel="0" collapsed="false"/>
    <row r="23205" customFormat="false" ht="15" hidden="false" customHeight="true" outlineLevel="0" collapsed="false"/>
    <row r="23206" customFormat="false" ht="15" hidden="false" customHeight="true" outlineLevel="0" collapsed="false"/>
    <row r="23207" customFormat="false" ht="15" hidden="false" customHeight="true" outlineLevel="0" collapsed="false"/>
    <row r="23208" customFormat="false" ht="15" hidden="false" customHeight="true" outlineLevel="0" collapsed="false"/>
    <row r="23209" customFormat="false" ht="15" hidden="false" customHeight="true" outlineLevel="0" collapsed="false"/>
    <row r="23210" customFormat="false" ht="15" hidden="false" customHeight="true" outlineLevel="0" collapsed="false"/>
    <row r="23211" customFormat="false" ht="15" hidden="false" customHeight="true" outlineLevel="0" collapsed="false"/>
    <row r="23212" customFormat="false" ht="15" hidden="false" customHeight="true" outlineLevel="0" collapsed="false"/>
    <row r="23213" customFormat="false" ht="15" hidden="false" customHeight="true" outlineLevel="0" collapsed="false"/>
    <row r="23214" customFormat="false" ht="15" hidden="false" customHeight="true" outlineLevel="0" collapsed="false"/>
    <row r="23215" customFormat="false" ht="15" hidden="false" customHeight="true" outlineLevel="0" collapsed="false"/>
    <row r="23216" customFormat="false" ht="15" hidden="false" customHeight="true" outlineLevel="0" collapsed="false"/>
    <row r="23217" customFormat="false" ht="15" hidden="false" customHeight="true" outlineLevel="0" collapsed="false"/>
    <row r="23218" customFormat="false" ht="15" hidden="false" customHeight="true" outlineLevel="0" collapsed="false"/>
    <row r="23219" customFormat="false" ht="15" hidden="false" customHeight="true" outlineLevel="0" collapsed="false"/>
    <row r="23220" customFormat="false" ht="15" hidden="false" customHeight="true" outlineLevel="0" collapsed="false"/>
    <row r="23221" customFormat="false" ht="15" hidden="false" customHeight="true" outlineLevel="0" collapsed="false"/>
    <row r="23222" customFormat="false" ht="15" hidden="false" customHeight="true" outlineLevel="0" collapsed="false"/>
    <row r="23223" customFormat="false" ht="15" hidden="false" customHeight="true" outlineLevel="0" collapsed="false"/>
    <row r="23224" customFormat="false" ht="15" hidden="false" customHeight="true" outlineLevel="0" collapsed="false"/>
    <row r="23225" customFormat="false" ht="15" hidden="false" customHeight="true" outlineLevel="0" collapsed="false"/>
    <row r="23226" customFormat="false" ht="15" hidden="false" customHeight="true" outlineLevel="0" collapsed="false"/>
    <row r="23227" customFormat="false" ht="15" hidden="false" customHeight="true" outlineLevel="0" collapsed="false"/>
    <row r="23228" customFormat="false" ht="15" hidden="false" customHeight="true" outlineLevel="0" collapsed="false"/>
    <row r="23229" customFormat="false" ht="15" hidden="false" customHeight="true" outlineLevel="0" collapsed="false"/>
    <row r="23230" customFormat="false" ht="15" hidden="false" customHeight="true" outlineLevel="0" collapsed="false"/>
    <row r="23231" customFormat="false" ht="15" hidden="false" customHeight="true" outlineLevel="0" collapsed="false"/>
    <row r="23232" customFormat="false" ht="15" hidden="false" customHeight="true" outlineLevel="0" collapsed="false"/>
    <row r="23233" customFormat="false" ht="15" hidden="false" customHeight="true" outlineLevel="0" collapsed="false"/>
    <row r="23234" customFormat="false" ht="15" hidden="false" customHeight="true" outlineLevel="0" collapsed="false"/>
    <row r="23235" customFormat="false" ht="15" hidden="false" customHeight="true" outlineLevel="0" collapsed="false"/>
    <row r="23236" customFormat="false" ht="15" hidden="false" customHeight="true" outlineLevel="0" collapsed="false"/>
    <row r="23237" customFormat="false" ht="15" hidden="false" customHeight="true" outlineLevel="0" collapsed="false"/>
    <row r="23238" customFormat="false" ht="15" hidden="false" customHeight="true" outlineLevel="0" collapsed="false"/>
    <row r="23239" customFormat="false" ht="15" hidden="false" customHeight="true" outlineLevel="0" collapsed="false"/>
    <row r="23240" customFormat="false" ht="15" hidden="false" customHeight="true" outlineLevel="0" collapsed="false"/>
    <row r="23241" customFormat="false" ht="15" hidden="false" customHeight="true" outlineLevel="0" collapsed="false"/>
    <row r="23242" customFormat="false" ht="15" hidden="false" customHeight="true" outlineLevel="0" collapsed="false"/>
    <row r="23243" customFormat="false" ht="15" hidden="false" customHeight="true" outlineLevel="0" collapsed="false"/>
    <row r="23244" customFormat="false" ht="15" hidden="false" customHeight="true" outlineLevel="0" collapsed="false"/>
    <row r="23245" customFormat="false" ht="15" hidden="false" customHeight="true" outlineLevel="0" collapsed="false"/>
    <row r="23246" customFormat="false" ht="15" hidden="false" customHeight="true" outlineLevel="0" collapsed="false"/>
    <row r="23247" customFormat="false" ht="15" hidden="false" customHeight="true" outlineLevel="0" collapsed="false"/>
    <row r="23248" customFormat="false" ht="15" hidden="false" customHeight="true" outlineLevel="0" collapsed="false"/>
    <row r="23249" customFormat="false" ht="15" hidden="false" customHeight="true" outlineLevel="0" collapsed="false"/>
    <row r="23250" customFormat="false" ht="15" hidden="false" customHeight="true" outlineLevel="0" collapsed="false"/>
    <row r="23251" customFormat="false" ht="15" hidden="false" customHeight="true" outlineLevel="0" collapsed="false"/>
    <row r="23252" customFormat="false" ht="15" hidden="false" customHeight="true" outlineLevel="0" collapsed="false"/>
    <row r="23253" customFormat="false" ht="15" hidden="false" customHeight="true" outlineLevel="0" collapsed="false"/>
    <row r="23254" customFormat="false" ht="15" hidden="false" customHeight="true" outlineLevel="0" collapsed="false"/>
    <row r="23255" customFormat="false" ht="15" hidden="false" customHeight="true" outlineLevel="0" collapsed="false"/>
    <row r="23256" customFormat="false" ht="15" hidden="false" customHeight="true" outlineLevel="0" collapsed="false"/>
    <row r="23257" customFormat="false" ht="15" hidden="false" customHeight="true" outlineLevel="0" collapsed="false"/>
    <row r="23258" customFormat="false" ht="15" hidden="false" customHeight="true" outlineLevel="0" collapsed="false"/>
    <row r="23259" customFormat="false" ht="15" hidden="false" customHeight="true" outlineLevel="0" collapsed="false"/>
    <row r="23260" customFormat="false" ht="15" hidden="false" customHeight="true" outlineLevel="0" collapsed="false"/>
    <row r="23261" customFormat="false" ht="15" hidden="false" customHeight="true" outlineLevel="0" collapsed="false"/>
    <row r="23262" customFormat="false" ht="15" hidden="false" customHeight="true" outlineLevel="0" collapsed="false"/>
    <row r="23263" customFormat="false" ht="15" hidden="false" customHeight="true" outlineLevel="0" collapsed="false"/>
    <row r="23264" customFormat="false" ht="15" hidden="false" customHeight="true" outlineLevel="0" collapsed="false"/>
    <row r="23265" customFormat="false" ht="15" hidden="false" customHeight="true" outlineLevel="0" collapsed="false"/>
    <row r="23266" customFormat="false" ht="15" hidden="false" customHeight="true" outlineLevel="0" collapsed="false"/>
    <row r="23267" customFormat="false" ht="15" hidden="false" customHeight="true" outlineLevel="0" collapsed="false"/>
    <row r="23268" customFormat="false" ht="15" hidden="false" customHeight="true" outlineLevel="0" collapsed="false"/>
    <row r="23269" customFormat="false" ht="15" hidden="false" customHeight="true" outlineLevel="0" collapsed="false"/>
    <row r="23270" customFormat="false" ht="15" hidden="false" customHeight="true" outlineLevel="0" collapsed="false"/>
    <row r="23271" customFormat="false" ht="15" hidden="false" customHeight="true" outlineLevel="0" collapsed="false"/>
    <row r="23272" customFormat="false" ht="15" hidden="false" customHeight="true" outlineLevel="0" collapsed="false"/>
    <row r="23273" customFormat="false" ht="15" hidden="false" customHeight="true" outlineLevel="0" collapsed="false"/>
    <row r="23274" customFormat="false" ht="15" hidden="false" customHeight="true" outlineLevel="0" collapsed="false"/>
    <row r="23275" customFormat="false" ht="15" hidden="false" customHeight="true" outlineLevel="0" collapsed="false"/>
    <row r="23276" customFormat="false" ht="15" hidden="false" customHeight="true" outlineLevel="0" collapsed="false"/>
    <row r="23277" customFormat="false" ht="15" hidden="false" customHeight="true" outlineLevel="0" collapsed="false"/>
    <row r="23278" customFormat="false" ht="15" hidden="false" customHeight="true" outlineLevel="0" collapsed="false"/>
    <row r="23279" customFormat="false" ht="15" hidden="false" customHeight="true" outlineLevel="0" collapsed="false"/>
    <row r="23280" customFormat="false" ht="15" hidden="false" customHeight="true" outlineLevel="0" collapsed="false"/>
    <row r="23281" customFormat="false" ht="15" hidden="false" customHeight="true" outlineLevel="0" collapsed="false"/>
    <row r="23282" customFormat="false" ht="15" hidden="false" customHeight="true" outlineLevel="0" collapsed="false"/>
    <row r="23283" customFormat="false" ht="15" hidden="false" customHeight="true" outlineLevel="0" collapsed="false"/>
    <row r="23284" customFormat="false" ht="15" hidden="false" customHeight="true" outlineLevel="0" collapsed="false"/>
    <row r="23285" customFormat="false" ht="15" hidden="false" customHeight="true" outlineLevel="0" collapsed="false"/>
    <row r="23286" customFormat="false" ht="15" hidden="false" customHeight="true" outlineLevel="0" collapsed="false"/>
    <row r="23287" customFormat="false" ht="15" hidden="false" customHeight="true" outlineLevel="0" collapsed="false"/>
    <row r="23288" customFormat="false" ht="15" hidden="false" customHeight="true" outlineLevel="0" collapsed="false"/>
    <row r="23289" customFormat="false" ht="15" hidden="false" customHeight="true" outlineLevel="0" collapsed="false"/>
    <row r="23290" customFormat="false" ht="15" hidden="false" customHeight="true" outlineLevel="0" collapsed="false"/>
    <row r="23291" customFormat="false" ht="15" hidden="false" customHeight="true" outlineLevel="0" collapsed="false"/>
    <row r="23292" customFormat="false" ht="15" hidden="false" customHeight="true" outlineLevel="0" collapsed="false"/>
    <row r="23293" customFormat="false" ht="15" hidden="false" customHeight="true" outlineLevel="0" collapsed="false"/>
    <row r="23294" customFormat="false" ht="15" hidden="false" customHeight="true" outlineLevel="0" collapsed="false"/>
    <row r="23295" customFormat="false" ht="15" hidden="false" customHeight="true" outlineLevel="0" collapsed="false"/>
    <row r="23296" customFormat="false" ht="15" hidden="false" customHeight="true" outlineLevel="0" collapsed="false"/>
    <row r="23297" customFormat="false" ht="15" hidden="false" customHeight="true" outlineLevel="0" collapsed="false"/>
    <row r="23298" customFormat="false" ht="15" hidden="false" customHeight="true" outlineLevel="0" collapsed="false"/>
    <row r="23299" customFormat="false" ht="15" hidden="false" customHeight="true" outlineLevel="0" collapsed="false"/>
    <row r="23300" customFormat="false" ht="15" hidden="false" customHeight="true" outlineLevel="0" collapsed="false"/>
    <row r="23301" customFormat="false" ht="15" hidden="false" customHeight="true" outlineLevel="0" collapsed="false"/>
    <row r="23302" customFormat="false" ht="15" hidden="false" customHeight="true" outlineLevel="0" collapsed="false"/>
    <row r="23303" customFormat="false" ht="15" hidden="false" customHeight="true" outlineLevel="0" collapsed="false"/>
    <row r="23304" customFormat="false" ht="15" hidden="false" customHeight="true" outlineLevel="0" collapsed="false"/>
    <row r="23305" customFormat="false" ht="15" hidden="false" customHeight="true" outlineLevel="0" collapsed="false"/>
    <row r="23306" customFormat="false" ht="15" hidden="false" customHeight="true" outlineLevel="0" collapsed="false"/>
    <row r="23307" customFormat="false" ht="15" hidden="false" customHeight="true" outlineLevel="0" collapsed="false"/>
    <row r="23308" customFormat="false" ht="15" hidden="false" customHeight="true" outlineLevel="0" collapsed="false"/>
    <row r="23309" customFormat="false" ht="15" hidden="false" customHeight="true" outlineLevel="0" collapsed="false"/>
    <row r="23310" customFormat="false" ht="15" hidden="false" customHeight="true" outlineLevel="0" collapsed="false"/>
    <row r="23311" customFormat="false" ht="15" hidden="false" customHeight="true" outlineLevel="0" collapsed="false"/>
    <row r="23312" customFormat="false" ht="15" hidden="false" customHeight="true" outlineLevel="0" collapsed="false"/>
    <row r="23313" customFormat="false" ht="15" hidden="false" customHeight="true" outlineLevel="0" collapsed="false"/>
    <row r="23314" customFormat="false" ht="15" hidden="false" customHeight="true" outlineLevel="0" collapsed="false"/>
    <row r="23315" customFormat="false" ht="15" hidden="false" customHeight="true" outlineLevel="0" collapsed="false"/>
    <row r="23316" customFormat="false" ht="15" hidden="false" customHeight="true" outlineLevel="0" collapsed="false"/>
    <row r="23317" customFormat="false" ht="15" hidden="false" customHeight="true" outlineLevel="0" collapsed="false"/>
    <row r="23318" customFormat="false" ht="15" hidden="false" customHeight="true" outlineLevel="0" collapsed="false"/>
    <row r="23319" customFormat="false" ht="15" hidden="false" customHeight="true" outlineLevel="0" collapsed="false"/>
    <row r="23320" customFormat="false" ht="15" hidden="false" customHeight="true" outlineLevel="0" collapsed="false"/>
    <row r="23321" customFormat="false" ht="15" hidden="false" customHeight="true" outlineLevel="0" collapsed="false"/>
    <row r="23322" customFormat="false" ht="15" hidden="false" customHeight="true" outlineLevel="0" collapsed="false"/>
    <row r="23323" customFormat="false" ht="15" hidden="false" customHeight="true" outlineLevel="0" collapsed="false"/>
    <row r="23324" customFormat="false" ht="15" hidden="false" customHeight="true" outlineLevel="0" collapsed="false"/>
    <row r="23325" customFormat="false" ht="15" hidden="false" customHeight="true" outlineLevel="0" collapsed="false"/>
    <row r="23326" customFormat="false" ht="15" hidden="false" customHeight="true" outlineLevel="0" collapsed="false"/>
    <row r="23327" customFormat="false" ht="15" hidden="false" customHeight="true" outlineLevel="0" collapsed="false"/>
    <row r="23328" customFormat="false" ht="15" hidden="false" customHeight="true" outlineLevel="0" collapsed="false"/>
    <row r="23329" customFormat="false" ht="15" hidden="false" customHeight="true" outlineLevel="0" collapsed="false"/>
    <row r="23330" customFormat="false" ht="15" hidden="false" customHeight="true" outlineLevel="0" collapsed="false"/>
    <row r="23331" customFormat="false" ht="15" hidden="false" customHeight="true" outlineLevel="0" collapsed="false"/>
    <row r="23332" customFormat="false" ht="15" hidden="false" customHeight="true" outlineLevel="0" collapsed="false"/>
    <row r="23333" customFormat="false" ht="15" hidden="false" customHeight="true" outlineLevel="0" collapsed="false"/>
    <row r="23334" customFormat="false" ht="15" hidden="false" customHeight="true" outlineLevel="0" collapsed="false"/>
    <row r="23335" customFormat="false" ht="15" hidden="false" customHeight="true" outlineLevel="0" collapsed="false"/>
    <row r="23336" customFormat="false" ht="15" hidden="false" customHeight="true" outlineLevel="0" collapsed="false"/>
    <row r="23337" customFormat="false" ht="15" hidden="false" customHeight="true" outlineLevel="0" collapsed="false"/>
    <row r="23338" customFormat="false" ht="15" hidden="false" customHeight="true" outlineLevel="0" collapsed="false"/>
    <row r="23339" customFormat="false" ht="15" hidden="false" customHeight="true" outlineLevel="0" collapsed="false"/>
    <row r="23340" customFormat="false" ht="15" hidden="false" customHeight="true" outlineLevel="0" collapsed="false"/>
    <row r="23341" customFormat="false" ht="15" hidden="false" customHeight="true" outlineLevel="0" collapsed="false"/>
    <row r="23342" customFormat="false" ht="15" hidden="false" customHeight="true" outlineLevel="0" collapsed="false"/>
    <row r="23343" customFormat="false" ht="15" hidden="false" customHeight="true" outlineLevel="0" collapsed="false"/>
    <row r="23344" customFormat="false" ht="15" hidden="false" customHeight="true" outlineLevel="0" collapsed="false"/>
    <row r="23345" customFormat="false" ht="15" hidden="false" customHeight="true" outlineLevel="0" collapsed="false"/>
    <row r="23346" customFormat="false" ht="15" hidden="false" customHeight="true" outlineLevel="0" collapsed="false"/>
    <row r="23347" customFormat="false" ht="15" hidden="false" customHeight="true" outlineLevel="0" collapsed="false"/>
    <row r="23348" customFormat="false" ht="15" hidden="false" customHeight="true" outlineLevel="0" collapsed="false"/>
    <row r="23349" customFormat="false" ht="15" hidden="false" customHeight="true" outlineLevel="0" collapsed="false"/>
    <row r="23350" customFormat="false" ht="15" hidden="false" customHeight="true" outlineLevel="0" collapsed="false"/>
    <row r="23351" customFormat="false" ht="15" hidden="false" customHeight="true" outlineLevel="0" collapsed="false"/>
    <row r="23352" customFormat="false" ht="15" hidden="false" customHeight="true" outlineLevel="0" collapsed="false"/>
    <row r="23353" customFormat="false" ht="15" hidden="false" customHeight="true" outlineLevel="0" collapsed="false"/>
    <row r="23354" customFormat="false" ht="15" hidden="false" customHeight="true" outlineLevel="0" collapsed="false"/>
    <row r="23355" customFormat="false" ht="15" hidden="false" customHeight="true" outlineLevel="0" collapsed="false"/>
    <row r="23356" customFormat="false" ht="15" hidden="false" customHeight="true" outlineLevel="0" collapsed="false"/>
    <row r="23357" customFormat="false" ht="15" hidden="false" customHeight="true" outlineLevel="0" collapsed="false"/>
    <row r="23358" customFormat="false" ht="15" hidden="false" customHeight="true" outlineLevel="0" collapsed="false"/>
    <row r="23359" customFormat="false" ht="15" hidden="false" customHeight="true" outlineLevel="0" collapsed="false"/>
    <row r="23360" customFormat="false" ht="15" hidden="false" customHeight="true" outlineLevel="0" collapsed="false"/>
    <row r="23361" customFormat="false" ht="15" hidden="false" customHeight="true" outlineLevel="0" collapsed="false"/>
    <row r="23362" customFormat="false" ht="15" hidden="false" customHeight="true" outlineLevel="0" collapsed="false"/>
    <row r="23363" customFormat="false" ht="15" hidden="false" customHeight="true" outlineLevel="0" collapsed="false"/>
    <row r="23364" customFormat="false" ht="15" hidden="false" customHeight="true" outlineLevel="0" collapsed="false"/>
    <row r="23365" customFormat="false" ht="15" hidden="false" customHeight="true" outlineLevel="0" collapsed="false"/>
    <row r="23366" customFormat="false" ht="15" hidden="false" customHeight="true" outlineLevel="0" collapsed="false"/>
    <row r="23367" customFormat="false" ht="15" hidden="false" customHeight="true" outlineLevel="0" collapsed="false"/>
    <row r="23368" customFormat="false" ht="15" hidden="false" customHeight="true" outlineLevel="0" collapsed="false"/>
    <row r="23369" customFormat="false" ht="15" hidden="false" customHeight="true" outlineLevel="0" collapsed="false"/>
    <row r="23370" customFormat="false" ht="15" hidden="false" customHeight="true" outlineLevel="0" collapsed="false"/>
    <row r="23371" customFormat="false" ht="15" hidden="false" customHeight="true" outlineLevel="0" collapsed="false"/>
    <row r="23372" customFormat="false" ht="15" hidden="false" customHeight="true" outlineLevel="0" collapsed="false"/>
    <row r="23373" customFormat="false" ht="15" hidden="false" customHeight="true" outlineLevel="0" collapsed="false"/>
    <row r="23374" customFormat="false" ht="15" hidden="false" customHeight="true" outlineLevel="0" collapsed="false"/>
    <row r="23375" customFormat="false" ht="15" hidden="false" customHeight="true" outlineLevel="0" collapsed="false"/>
    <row r="23376" customFormat="false" ht="15" hidden="false" customHeight="true" outlineLevel="0" collapsed="false"/>
    <row r="23377" customFormat="false" ht="15" hidden="false" customHeight="true" outlineLevel="0" collapsed="false"/>
    <row r="23378" customFormat="false" ht="15" hidden="false" customHeight="true" outlineLevel="0" collapsed="false"/>
    <row r="23379" customFormat="false" ht="15" hidden="false" customHeight="true" outlineLevel="0" collapsed="false"/>
    <row r="23380" customFormat="false" ht="15" hidden="false" customHeight="true" outlineLevel="0" collapsed="false"/>
    <row r="23381" customFormat="false" ht="15" hidden="false" customHeight="true" outlineLevel="0" collapsed="false"/>
    <row r="23382" customFormat="false" ht="15" hidden="false" customHeight="true" outlineLevel="0" collapsed="false"/>
    <row r="23383" customFormat="false" ht="15" hidden="false" customHeight="true" outlineLevel="0" collapsed="false"/>
    <row r="23384" customFormat="false" ht="15" hidden="false" customHeight="true" outlineLevel="0" collapsed="false"/>
    <row r="23385" customFormat="false" ht="15" hidden="false" customHeight="true" outlineLevel="0" collapsed="false"/>
    <row r="23386" customFormat="false" ht="15" hidden="false" customHeight="true" outlineLevel="0" collapsed="false"/>
    <row r="23387" customFormat="false" ht="15" hidden="false" customHeight="true" outlineLevel="0" collapsed="false"/>
    <row r="23388" customFormat="false" ht="15" hidden="false" customHeight="true" outlineLevel="0" collapsed="false"/>
    <row r="23389" customFormat="false" ht="15" hidden="false" customHeight="true" outlineLevel="0" collapsed="false"/>
    <row r="23390" customFormat="false" ht="15" hidden="false" customHeight="true" outlineLevel="0" collapsed="false"/>
    <row r="23391" customFormat="false" ht="15" hidden="false" customHeight="true" outlineLevel="0" collapsed="false"/>
    <row r="23392" customFormat="false" ht="15" hidden="false" customHeight="true" outlineLevel="0" collapsed="false"/>
    <row r="23393" customFormat="false" ht="15" hidden="false" customHeight="true" outlineLevel="0" collapsed="false"/>
    <row r="23394" customFormat="false" ht="15" hidden="false" customHeight="true" outlineLevel="0" collapsed="false"/>
    <row r="23395" customFormat="false" ht="15" hidden="false" customHeight="true" outlineLevel="0" collapsed="false"/>
    <row r="23396" customFormat="false" ht="15" hidden="false" customHeight="true" outlineLevel="0" collapsed="false"/>
    <row r="23397" customFormat="false" ht="15" hidden="false" customHeight="true" outlineLevel="0" collapsed="false"/>
    <row r="23398" customFormat="false" ht="15" hidden="false" customHeight="true" outlineLevel="0" collapsed="false"/>
    <row r="23399" customFormat="false" ht="15" hidden="false" customHeight="true" outlineLevel="0" collapsed="false"/>
    <row r="23400" customFormat="false" ht="15" hidden="false" customHeight="true" outlineLevel="0" collapsed="false"/>
    <row r="23401" customFormat="false" ht="15" hidden="false" customHeight="true" outlineLevel="0" collapsed="false"/>
    <row r="23402" customFormat="false" ht="15" hidden="false" customHeight="true" outlineLevel="0" collapsed="false"/>
    <row r="23403" customFormat="false" ht="15" hidden="false" customHeight="true" outlineLevel="0" collapsed="false"/>
    <row r="23404" customFormat="false" ht="15" hidden="false" customHeight="true" outlineLevel="0" collapsed="false"/>
    <row r="23405" customFormat="false" ht="15" hidden="false" customHeight="true" outlineLevel="0" collapsed="false"/>
    <row r="23406" customFormat="false" ht="15" hidden="false" customHeight="true" outlineLevel="0" collapsed="false"/>
    <row r="23407" customFormat="false" ht="15" hidden="false" customHeight="true" outlineLevel="0" collapsed="false"/>
    <row r="23408" customFormat="false" ht="15" hidden="false" customHeight="true" outlineLevel="0" collapsed="false"/>
    <row r="23409" customFormat="false" ht="15" hidden="false" customHeight="true" outlineLevel="0" collapsed="false"/>
    <row r="23410" customFormat="false" ht="15" hidden="false" customHeight="true" outlineLevel="0" collapsed="false"/>
    <row r="23411" customFormat="false" ht="15" hidden="false" customHeight="true" outlineLevel="0" collapsed="false"/>
    <row r="23412" customFormat="false" ht="15" hidden="false" customHeight="true" outlineLevel="0" collapsed="false"/>
    <row r="23413" customFormat="false" ht="15" hidden="false" customHeight="true" outlineLevel="0" collapsed="false"/>
    <row r="23414" customFormat="false" ht="15" hidden="false" customHeight="true" outlineLevel="0" collapsed="false"/>
    <row r="23415" customFormat="false" ht="15" hidden="false" customHeight="true" outlineLevel="0" collapsed="false"/>
    <row r="23416" customFormat="false" ht="15" hidden="false" customHeight="true" outlineLevel="0" collapsed="false"/>
    <row r="23417" customFormat="false" ht="15" hidden="false" customHeight="true" outlineLevel="0" collapsed="false"/>
    <row r="23418" customFormat="false" ht="15" hidden="false" customHeight="true" outlineLevel="0" collapsed="false"/>
    <row r="23419" customFormat="false" ht="15" hidden="false" customHeight="true" outlineLevel="0" collapsed="false"/>
    <row r="23420" customFormat="false" ht="15" hidden="false" customHeight="true" outlineLevel="0" collapsed="false"/>
    <row r="23421" customFormat="false" ht="15" hidden="false" customHeight="true" outlineLevel="0" collapsed="false"/>
    <row r="23422" customFormat="false" ht="15" hidden="false" customHeight="true" outlineLevel="0" collapsed="false"/>
    <row r="23423" customFormat="false" ht="15" hidden="false" customHeight="true" outlineLevel="0" collapsed="false"/>
    <row r="23424" customFormat="false" ht="15" hidden="false" customHeight="true" outlineLevel="0" collapsed="false"/>
    <row r="23425" customFormat="false" ht="15" hidden="false" customHeight="true" outlineLevel="0" collapsed="false"/>
    <row r="23426" customFormat="false" ht="15" hidden="false" customHeight="true" outlineLevel="0" collapsed="false"/>
    <row r="23427" customFormat="false" ht="15" hidden="false" customHeight="true" outlineLevel="0" collapsed="false"/>
    <row r="23428" customFormat="false" ht="15" hidden="false" customHeight="true" outlineLevel="0" collapsed="false"/>
    <row r="23429" customFormat="false" ht="15" hidden="false" customHeight="true" outlineLevel="0" collapsed="false"/>
    <row r="23430" customFormat="false" ht="15" hidden="false" customHeight="true" outlineLevel="0" collapsed="false"/>
    <row r="23431" customFormat="false" ht="15" hidden="false" customHeight="true" outlineLevel="0" collapsed="false"/>
    <row r="23432" customFormat="false" ht="15" hidden="false" customHeight="true" outlineLevel="0" collapsed="false"/>
    <row r="23433" customFormat="false" ht="15" hidden="false" customHeight="true" outlineLevel="0" collapsed="false"/>
    <row r="23434" customFormat="false" ht="15" hidden="false" customHeight="true" outlineLevel="0" collapsed="false"/>
    <row r="23435" customFormat="false" ht="15" hidden="false" customHeight="true" outlineLevel="0" collapsed="false"/>
    <row r="23436" customFormat="false" ht="15" hidden="false" customHeight="true" outlineLevel="0" collapsed="false"/>
    <row r="23437" customFormat="false" ht="15" hidden="false" customHeight="true" outlineLevel="0" collapsed="false"/>
    <row r="23438" customFormat="false" ht="15" hidden="false" customHeight="true" outlineLevel="0" collapsed="false"/>
    <row r="23439" customFormat="false" ht="15" hidden="false" customHeight="true" outlineLevel="0" collapsed="false"/>
    <row r="23440" customFormat="false" ht="15" hidden="false" customHeight="true" outlineLevel="0" collapsed="false"/>
    <row r="23441" customFormat="false" ht="15" hidden="false" customHeight="true" outlineLevel="0" collapsed="false"/>
    <row r="23442" customFormat="false" ht="15" hidden="false" customHeight="true" outlineLevel="0" collapsed="false"/>
    <row r="23443" customFormat="false" ht="15" hidden="false" customHeight="true" outlineLevel="0" collapsed="false"/>
    <row r="23444" customFormat="false" ht="15" hidden="false" customHeight="true" outlineLevel="0" collapsed="false"/>
    <row r="23445" customFormat="false" ht="15" hidden="false" customHeight="true" outlineLevel="0" collapsed="false"/>
    <row r="23446" customFormat="false" ht="15" hidden="false" customHeight="true" outlineLevel="0" collapsed="false"/>
    <row r="23447" customFormat="false" ht="15" hidden="false" customHeight="true" outlineLevel="0" collapsed="false"/>
    <row r="23448" customFormat="false" ht="15" hidden="false" customHeight="true" outlineLevel="0" collapsed="false"/>
    <row r="23449" customFormat="false" ht="15" hidden="false" customHeight="true" outlineLevel="0" collapsed="false"/>
    <row r="23450" customFormat="false" ht="15" hidden="false" customHeight="true" outlineLevel="0" collapsed="false"/>
    <row r="23451" customFormat="false" ht="15" hidden="false" customHeight="true" outlineLevel="0" collapsed="false"/>
    <row r="23452" customFormat="false" ht="15" hidden="false" customHeight="true" outlineLevel="0" collapsed="false"/>
    <row r="23453" customFormat="false" ht="15" hidden="false" customHeight="true" outlineLevel="0" collapsed="false"/>
    <row r="23454" customFormat="false" ht="15" hidden="false" customHeight="true" outlineLevel="0" collapsed="false"/>
    <row r="23455" customFormat="false" ht="15" hidden="false" customHeight="true" outlineLevel="0" collapsed="false"/>
    <row r="23456" customFormat="false" ht="15" hidden="false" customHeight="true" outlineLevel="0" collapsed="false"/>
    <row r="23457" customFormat="false" ht="15" hidden="false" customHeight="true" outlineLevel="0" collapsed="false"/>
    <row r="23458" customFormat="false" ht="15" hidden="false" customHeight="true" outlineLevel="0" collapsed="false"/>
    <row r="23459" customFormat="false" ht="15" hidden="false" customHeight="true" outlineLevel="0" collapsed="false"/>
    <row r="23460" customFormat="false" ht="15" hidden="false" customHeight="true" outlineLevel="0" collapsed="false"/>
    <row r="23461" customFormat="false" ht="15" hidden="false" customHeight="true" outlineLevel="0" collapsed="false"/>
    <row r="23462" customFormat="false" ht="15" hidden="false" customHeight="true" outlineLevel="0" collapsed="false"/>
    <row r="23463" customFormat="false" ht="15" hidden="false" customHeight="true" outlineLevel="0" collapsed="false"/>
    <row r="23464" customFormat="false" ht="15" hidden="false" customHeight="true" outlineLevel="0" collapsed="false"/>
    <row r="23465" customFormat="false" ht="15" hidden="false" customHeight="true" outlineLevel="0" collapsed="false"/>
    <row r="23466" customFormat="false" ht="15" hidden="false" customHeight="true" outlineLevel="0" collapsed="false"/>
    <row r="23467" customFormat="false" ht="15" hidden="false" customHeight="true" outlineLevel="0" collapsed="false"/>
    <row r="23468" customFormat="false" ht="15" hidden="false" customHeight="true" outlineLevel="0" collapsed="false"/>
    <row r="23469" customFormat="false" ht="15" hidden="false" customHeight="true" outlineLevel="0" collapsed="false"/>
    <row r="23470" customFormat="false" ht="15" hidden="false" customHeight="true" outlineLevel="0" collapsed="false"/>
    <row r="23471" customFormat="false" ht="15" hidden="false" customHeight="true" outlineLevel="0" collapsed="false"/>
    <row r="23472" customFormat="false" ht="15" hidden="false" customHeight="true" outlineLevel="0" collapsed="false"/>
    <row r="23473" customFormat="false" ht="15" hidden="false" customHeight="true" outlineLevel="0" collapsed="false"/>
    <row r="23474" customFormat="false" ht="15" hidden="false" customHeight="true" outlineLevel="0" collapsed="false"/>
    <row r="23475" customFormat="false" ht="15" hidden="false" customHeight="true" outlineLevel="0" collapsed="false"/>
    <row r="23476" customFormat="false" ht="15" hidden="false" customHeight="true" outlineLevel="0" collapsed="false"/>
    <row r="23477" customFormat="false" ht="15" hidden="false" customHeight="true" outlineLevel="0" collapsed="false"/>
    <row r="23478" customFormat="false" ht="15" hidden="false" customHeight="true" outlineLevel="0" collapsed="false"/>
    <row r="23479" customFormat="false" ht="15" hidden="false" customHeight="true" outlineLevel="0" collapsed="false"/>
    <row r="23480" customFormat="false" ht="15" hidden="false" customHeight="true" outlineLevel="0" collapsed="false"/>
    <row r="23481" customFormat="false" ht="15" hidden="false" customHeight="true" outlineLevel="0" collapsed="false"/>
    <row r="23482" customFormat="false" ht="15" hidden="false" customHeight="true" outlineLevel="0" collapsed="false"/>
    <row r="23483" customFormat="false" ht="15" hidden="false" customHeight="true" outlineLevel="0" collapsed="false"/>
    <row r="23484" customFormat="false" ht="15" hidden="false" customHeight="true" outlineLevel="0" collapsed="false"/>
    <row r="23485" customFormat="false" ht="15" hidden="false" customHeight="true" outlineLevel="0" collapsed="false"/>
    <row r="23486" customFormat="false" ht="15" hidden="false" customHeight="true" outlineLevel="0" collapsed="false"/>
    <row r="23487" customFormat="false" ht="15" hidden="false" customHeight="true" outlineLevel="0" collapsed="false"/>
    <row r="23488" customFormat="false" ht="15" hidden="false" customHeight="true" outlineLevel="0" collapsed="false"/>
    <row r="23489" customFormat="false" ht="15" hidden="false" customHeight="true" outlineLevel="0" collapsed="false"/>
    <row r="23490" customFormat="false" ht="15" hidden="false" customHeight="true" outlineLevel="0" collapsed="false"/>
    <row r="23491" customFormat="false" ht="15" hidden="false" customHeight="true" outlineLevel="0" collapsed="false"/>
    <row r="23492" customFormat="false" ht="15" hidden="false" customHeight="true" outlineLevel="0" collapsed="false"/>
    <row r="23493" customFormat="false" ht="15" hidden="false" customHeight="true" outlineLevel="0" collapsed="false"/>
    <row r="23494" customFormat="false" ht="15" hidden="false" customHeight="true" outlineLevel="0" collapsed="false"/>
    <row r="23495" customFormat="false" ht="15" hidden="false" customHeight="true" outlineLevel="0" collapsed="false"/>
    <row r="23496" customFormat="false" ht="15" hidden="false" customHeight="true" outlineLevel="0" collapsed="false"/>
    <row r="23497" customFormat="false" ht="15" hidden="false" customHeight="true" outlineLevel="0" collapsed="false"/>
    <row r="23498" customFormat="false" ht="15" hidden="false" customHeight="true" outlineLevel="0" collapsed="false"/>
    <row r="23499" customFormat="false" ht="15" hidden="false" customHeight="true" outlineLevel="0" collapsed="false"/>
    <row r="23500" customFormat="false" ht="15" hidden="false" customHeight="true" outlineLevel="0" collapsed="false"/>
    <row r="23501" customFormat="false" ht="15" hidden="false" customHeight="true" outlineLevel="0" collapsed="false"/>
    <row r="23502" customFormat="false" ht="15" hidden="false" customHeight="true" outlineLevel="0" collapsed="false"/>
    <row r="23503" customFormat="false" ht="15" hidden="false" customHeight="true" outlineLevel="0" collapsed="false"/>
    <row r="23504" customFormat="false" ht="15" hidden="false" customHeight="true" outlineLevel="0" collapsed="false"/>
    <row r="23505" customFormat="false" ht="15" hidden="false" customHeight="true" outlineLevel="0" collapsed="false"/>
    <row r="23506" customFormat="false" ht="15" hidden="false" customHeight="true" outlineLevel="0" collapsed="false"/>
    <row r="23507" customFormat="false" ht="15" hidden="false" customHeight="true" outlineLevel="0" collapsed="false"/>
    <row r="23508" customFormat="false" ht="15" hidden="false" customHeight="true" outlineLevel="0" collapsed="false"/>
    <row r="23509" customFormat="false" ht="15" hidden="false" customHeight="true" outlineLevel="0" collapsed="false"/>
    <row r="23510" customFormat="false" ht="15" hidden="false" customHeight="true" outlineLevel="0" collapsed="false"/>
    <row r="23511" customFormat="false" ht="15" hidden="false" customHeight="true" outlineLevel="0" collapsed="false"/>
    <row r="23512" customFormat="false" ht="15" hidden="false" customHeight="true" outlineLevel="0" collapsed="false"/>
    <row r="23513" customFormat="false" ht="15" hidden="false" customHeight="true" outlineLevel="0" collapsed="false"/>
    <row r="23514" customFormat="false" ht="15" hidden="false" customHeight="true" outlineLevel="0" collapsed="false"/>
    <row r="23515" customFormat="false" ht="15" hidden="false" customHeight="true" outlineLevel="0" collapsed="false"/>
    <row r="23516" customFormat="false" ht="15" hidden="false" customHeight="true" outlineLevel="0" collapsed="false"/>
    <row r="23517" customFormat="false" ht="15" hidden="false" customHeight="true" outlineLevel="0" collapsed="false"/>
    <row r="23518" customFormat="false" ht="15" hidden="false" customHeight="true" outlineLevel="0" collapsed="false"/>
    <row r="23519" customFormat="false" ht="15" hidden="false" customHeight="true" outlineLevel="0" collapsed="false"/>
    <row r="23520" customFormat="false" ht="15" hidden="false" customHeight="true" outlineLevel="0" collapsed="false"/>
    <row r="23521" customFormat="false" ht="15" hidden="false" customHeight="true" outlineLevel="0" collapsed="false"/>
    <row r="23522" customFormat="false" ht="15" hidden="false" customHeight="true" outlineLevel="0" collapsed="false"/>
    <row r="23523" customFormat="false" ht="15" hidden="false" customHeight="true" outlineLevel="0" collapsed="false"/>
    <row r="23524" customFormat="false" ht="15" hidden="false" customHeight="true" outlineLevel="0" collapsed="false"/>
    <row r="23525" customFormat="false" ht="15" hidden="false" customHeight="true" outlineLevel="0" collapsed="false"/>
    <row r="23526" customFormat="false" ht="15" hidden="false" customHeight="true" outlineLevel="0" collapsed="false"/>
    <row r="23527" customFormat="false" ht="15" hidden="false" customHeight="true" outlineLevel="0" collapsed="false"/>
    <row r="23528" customFormat="false" ht="15" hidden="false" customHeight="true" outlineLevel="0" collapsed="false"/>
    <row r="23529" customFormat="false" ht="15" hidden="false" customHeight="true" outlineLevel="0" collapsed="false"/>
    <row r="23530" customFormat="false" ht="15" hidden="false" customHeight="true" outlineLevel="0" collapsed="false"/>
    <row r="23531" customFormat="false" ht="15" hidden="false" customHeight="true" outlineLevel="0" collapsed="false"/>
    <row r="23532" customFormat="false" ht="15" hidden="false" customHeight="true" outlineLevel="0" collapsed="false"/>
    <row r="23533" customFormat="false" ht="15" hidden="false" customHeight="true" outlineLevel="0" collapsed="false"/>
    <row r="23534" customFormat="false" ht="15" hidden="false" customHeight="true" outlineLevel="0" collapsed="false"/>
    <row r="23535" customFormat="false" ht="15" hidden="false" customHeight="true" outlineLevel="0" collapsed="false"/>
    <row r="23536" customFormat="false" ht="15" hidden="false" customHeight="true" outlineLevel="0" collapsed="false"/>
    <row r="23537" customFormat="false" ht="15" hidden="false" customHeight="true" outlineLevel="0" collapsed="false"/>
    <row r="23538" customFormat="false" ht="15" hidden="false" customHeight="true" outlineLevel="0" collapsed="false"/>
    <row r="23539" customFormat="false" ht="15" hidden="false" customHeight="true" outlineLevel="0" collapsed="false"/>
    <row r="23540" customFormat="false" ht="15" hidden="false" customHeight="true" outlineLevel="0" collapsed="false"/>
    <row r="23541" customFormat="false" ht="15" hidden="false" customHeight="true" outlineLevel="0" collapsed="false"/>
    <row r="23542" customFormat="false" ht="15" hidden="false" customHeight="true" outlineLevel="0" collapsed="false"/>
    <row r="23543" customFormat="false" ht="15" hidden="false" customHeight="true" outlineLevel="0" collapsed="false"/>
    <row r="23544" customFormat="false" ht="15" hidden="false" customHeight="true" outlineLevel="0" collapsed="false"/>
    <row r="23545" customFormat="false" ht="15" hidden="false" customHeight="true" outlineLevel="0" collapsed="false"/>
    <row r="23546" customFormat="false" ht="15" hidden="false" customHeight="true" outlineLevel="0" collapsed="false"/>
    <row r="23547" customFormat="false" ht="15" hidden="false" customHeight="true" outlineLevel="0" collapsed="false"/>
    <row r="23548" customFormat="false" ht="15" hidden="false" customHeight="true" outlineLevel="0" collapsed="false"/>
    <row r="23549" customFormat="false" ht="15" hidden="false" customHeight="true" outlineLevel="0" collapsed="false"/>
    <row r="23550" customFormat="false" ht="15" hidden="false" customHeight="true" outlineLevel="0" collapsed="false"/>
    <row r="23551" customFormat="false" ht="15" hidden="false" customHeight="true" outlineLevel="0" collapsed="false"/>
    <row r="23552" customFormat="false" ht="15" hidden="false" customHeight="true" outlineLevel="0" collapsed="false"/>
    <row r="23553" customFormat="false" ht="15" hidden="false" customHeight="true" outlineLevel="0" collapsed="false"/>
    <row r="23554" customFormat="false" ht="15" hidden="false" customHeight="true" outlineLevel="0" collapsed="false"/>
    <row r="23555" customFormat="false" ht="15" hidden="false" customHeight="true" outlineLevel="0" collapsed="false"/>
    <row r="23556" customFormat="false" ht="15" hidden="false" customHeight="true" outlineLevel="0" collapsed="false"/>
    <row r="23557" customFormat="false" ht="15" hidden="false" customHeight="true" outlineLevel="0" collapsed="false"/>
    <row r="23558" customFormat="false" ht="15" hidden="false" customHeight="true" outlineLevel="0" collapsed="false"/>
    <row r="23559" customFormat="false" ht="15" hidden="false" customHeight="true" outlineLevel="0" collapsed="false"/>
    <row r="23560" customFormat="false" ht="15" hidden="false" customHeight="true" outlineLevel="0" collapsed="false"/>
    <row r="23561" customFormat="false" ht="15" hidden="false" customHeight="true" outlineLevel="0" collapsed="false"/>
    <row r="23562" customFormat="false" ht="15" hidden="false" customHeight="true" outlineLevel="0" collapsed="false"/>
    <row r="23563" customFormat="false" ht="15" hidden="false" customHeight="true" outlineLevel="0" collapsed="false"/>
    <row r="23564" customFormat="false" ht="15" hidden="false" customHeight="true" outlineLevel="0" collapsed="false"/>
    <row r="23565" customFormat="false" ht="15" hidden="false" customHeight="true" outlineLevel="0" collapsed="false"/>
    <row r="23566" customFormat="false" ht="15" hidden="false" customHeight="true" outlineLevel="0" collapsed="false"/>
    <row r="23567" customFormat="false" ht="15" hidden="false" customHeight="true" outlineLevel="0" collapsed="false"/>
    <row r="23568" customFormat="false" ht="15" hidden="false" customHeight="true" outlineLevel="0" collapsed="false"/>
    <row r="23569" customFormat="false" ht="15" hidden="false" customHeight="true" outlineLevel="0" collapsed="false"/>
    <row r="23570" customFormat="false" ht="15" hidden="false" customHeight="true" outlineLevel="0" collapsed="false"/>
    <row r="23571" customFormat="false" ht="15" hidden="false" customHeight="true" outlineLevel="0" collapsed="false"/>
    <row r="23572" customFormat="false" ht="15" hidden="false" customHeight="true" outlineLevel="0" collapsed="false"/>
    <row r="23573" customFormat="false" ht="15" hidden="false" customHeight="true" outlineLevel="0" collapsed="false"/>
    <row r="23574" customFormat="false" ht="15" hidden="false" customHeight="true" outlineLevel="0" collapsed="false"/>
    <row r="23575" customFormat="false" ht="15" hidden="false" customHeight="true" outlineLevel="0" collapsed="false"/>
    <row r="23576" customFormat="false" ht="15" hidden="false" customHeight="true" outlineLevel="0" collapsed="false"/>
    <row r="23577" customFormat="false" ht="15" hidden="false" customHeight="true" outlineLevel="0" collapsed="false"/>
    <row r="23578" customFormat="false" ht="15" hidden="false" customHeight="true" outlineLevel="0" collapsed="false"/>
    <row r="23579" customFormat="false" ht="15" hidden="false" customHeight="true" outlineLevel="0" collapsed="false"/>
    <row r="23580" customFormat="false" ht="15" hidden="false" customHeight="true" outlineLevel="0" collapsed="false"/>
    <row r="23581" customFormat="false" ht="15" hidden="false" customHeight="true" outlineLevel="0" collapsed="false"/>
    <row r="23582" customFormat="false" ht="15" hidden="false" customHeight="true" outlineLevel="0" collapsed="false"/>
    <row r="23583" customFormat="false" ht="15" hidden="false" customHeight="true" outlineLevel="0" collapsed="false"/>
    <row r="23584" customFormat="false" ht="15" hidden="false" customHeight="true" outlineLevel="0" collapsed="false"/>
    <row r="23585" customFormat="false" ht="15" hidden="false" customHeight="true" outlineLevel="0" collapsed="false"/>
    <row r="23586" customFormat="false" ht="15" hidden="false" customHeight="true" outlineLevel="0" collapsed="false"/>
    <row r="23587" customFormat="false" ht="15" hidden="false" customHeight="true" outlineLevel="0" collapsed="false"/>
    <row r="23588" customFormat="false" ht="15" hidden="false" customHeight="true" outlineLevel="0" collapsed="false"/>
    <row r="23589" customFormat="false" ht="15" hidden="false" customHeight="true" outlineLevel="0" collapsed="false"/>
    <row r="23590" customFormat="false" ht="15" hidden="false" customHeight="true" outlineLevel="0" collapsed="false"/>
    <row r="23591" customFormat="false" ht="15" hidden="false" customHeight="true" outlineLevel="0" collapsed="false"/>
    <row r="23592" customFormat="false" ht="15" hidden="false" customHeight="true" outlineLevel="0" collapsed="false"/>
    <row r="23593" customFormat="false" ht="15" hidden="false" customHeight="true" outlineLevel="0" collapsed="false"/>
    <row r="23594" customFormat="false" ht="15" hidden="false" customHeight="true" outlineLevel="0" collapsed="false"/>
    <row r="23595" customFormat="false" ht="15" hidden="false" customHeight="true" outlineLevel="0" collapsed="false"/>
    <row r="23596" customFormat="false" ht="15" hidden="false" customHeight="true" outlineLevel="0" collapsed="false"/>
    <row r="23597" customFormat="false" ht="15" hidden="false" customHeight="true" outlineLevel="0" collapsed="false"/>
    <row r="23598" customFormat="false" ht="15" hidden="false" customHeight="true" outlineLevel="0" collapsed="false"/>
    <row r="23599" customFormat="false" ht="15" hidden="false" customHeight="true" outlineLevel="0" collapsed="false"/>
    <row r="23600" customFormat="false" ht="15" hidden="false" customHeight="true" outlineLevel="0" collapsed="false"/>
    <row r="23601" customFormat="false" ht="15" hidden="false" customHeight="true" outlineLevel="0" collapsed="false"/>
    <row r="23602" customFormat="false" ht="15" hidden="false" customHeight="true" outlineLevel="0" collapsed="false"/>
    <row r="23603" customFormat="false" ht="15" hidden="false" customHeight="true" outlineLevel="0" collapsed="false"/>
    <row r="23604" customFormat="false" ht="15" hidden="false" customHeight="true" outlineLevel="0" collapsed="false"/>
    <row r="23605" customFormat="false" ht="15" hidden="false" customHeight="true" outlineLevel="0" collapsed="false"/>
    <row r="23606" customFormat="false" ht="15" hidden="false" customHeight="true" outlineLevel="0" collapsed="false"/>
    <row r="23607" customFormat="false" ht="15" hidden="false" customHeight="true" outlineLevel="0" collapsed="false"/>
    <row r="23608" customFormat="false" ht="15" hidden="false" customHeight="true" outlineLevel="0" collapsed="false"/>
    <row r="23609" customFormat="false" ht="15" hidden="false" customHeight="true" outlineLevel="0" collapsed="false"/>
    <row r="23610" customFormat="false" ht="15" hidden="false" customHeight="true" outlineLevel="0" collapsed="false"/>
    <row r="23611" customFormat="false" ht="15" hidden="false" customHeight="true" outlineLevel="0" collapsed="false"/>
    <row r="23612" customFormat="false" ht="15" hidden="false" customHeight="true" outlineLevel="0" collapsed="false"/>
    <row r="23613" customFormat="false" ht="15" hidden="false" customHeight="true" outlineLevel="0" collapsed="false"/>
    <row r="23614" customFormat="false" ht="15" hidden="false" customHeight="true" outlineLevel="0" collapsed="false"/>
    <row r="23615" customFormat="false" ht="15" hidden="false" customHeight="true" outlineLevel="0" collapsed="false"/>
    <row r="23616" customFormat="false" ht="15" hidden="false" customHeight="true" outlineLevel="0" collapsed="false"/>
    <row r="23617" customFormat="false" ht="15" hidden="false" customHeight="true" outlineLevel="0" collapsed="false"/>
    <row r="23618" customFormat="false" ht="15" hidden="false" customHeight="true" outlineLevel="0" collapsed="false"/>
    <row r="23619" customFormat="false" ht="15" hidden="false" customHeight="true" outlineLevel="0" collapsed="false"/>
    <row r="23620" customFormat="false" ht="15" hidden="false" customHeight="true" outlineLevel="0" collapsed="false"/>
    <row r="23621" customFormat="false" ht="15" hidden="false" customHeight="true" outlineLevel="0" collapsed="false"/>
    <row r="23622" customFormat="false" ht="15" hidden="false" customHeight="true" outlineLevel="0" collapsed="false"/>
    <row r="23623" customFormat="false" ht="15" hidden="false" customHeight="true" outlineLevel="0" collapsed="false"/>
    <row r="23624" customFormat="false" ht="15" hidden="false" customHeight="true" outlineLevel="0" collapsed="false"/>
    <row r="23625" customFormat="false" ht="15" hidden="false" customHeight="true" outlineLevel="0" collapsed="false"/>
    <row r="23626" customFormat="false" ht="15" hidden="false" customHeight="true" outlineLevel="0" collapsed="false"/>
    <row r="23627" customFormat="false" ht="15" hidden="false" customHeight="true" outlineLevel="0" collapsed="false"/>
    <row r="23628" customFormat="false" ht="15" hidden="false" customHeight="true" outlineLevel="0" collapsed="false"/>
    <row r="23629" customFormat="false" ht="15" hidden="false" customHeight="true" outlineLevel="0" collapsed="false"/>
    <row r="23630" customFormat="false" ht="15" hidden="false" customHeight="true" outlineLevel="0" collapsed="false"/>
    <row r="23631" customFormat="false" ht="15" hidden="false" customHeight="true" outlineLevel="0" collapsed="false"/>
    <row r="23632" customFormat="false" ht="15" hidden="false" customHeight="true" outlineLevel="0" collapsed="false"/>
    <row r="23633" customFormat="false" ht="15" hidden="false" customHeight="true" outlineLevel="0" collapsed="false"/>
    <row r="23634" customFormat="false" ht="15" hidden="false" customHeight="true" outlineLevel="0" collapsed="false"/>
    <row r="23635" customFormat="false" ht="15" hidden="false" customHeight="true" outlineLevel="0" collapsed="false"/>
    <row r="23636" customFormat="false" ht="15" hidden="false" customHeight="true" outlineLevel="0" collapsed="false"/>
    <row r="23637" customFormat="false" ht="15" hidden="false" customHeight="true" outlineLevel="0" collapsed="false"/>
    <row r="23638" customFormat="false" ht="15" hidden="false" customHeight="true" outlineLevel="0" collapsed="false"/>
    <row r="23639" customFormat="false" ht="15" hidden="false" customHeight="true" outlineLevel="0" collapsed="false"/>
    <row r="23640" customFormat="false" ht="15" hidden="false" customHeight="true" outlineLevel="0" collapsed="false"/>
    <row r="23641" customFormat="false" ht="15" hidden="false" customHeight="true" outlineLevel="0" collapsed="false"/>
    <row r="23642" customFormat="false" ht="15" hidden="false" customHeight="true" outlineLevel="0" collapsed="false"/>
    <row r="23643" customFormat="false" ht="15" hidden="false" customHeight="true" outlineLevel="0" collapsed="false"/>
    <row r="23644" customFormat="false" ht="15" hidden="false" customHeight="true" outlineLevel="0" collapsed="false"/>
    <row r="23645" customFormat="false" ht="15" hidden="false" customHeight="true" outlineLevel="0" collapsed="false"/>
    <row r="23646" customFormat="false" ht="15" hidden="false" customHeight="true" outlineLevel="0" collapsed="false"/>
    <row r="23647" customFormat="false" ht="15" hidden="false" customHeight="true" outlineLevel="0" collapsed="false"/>
    <row r="23648" customFormat="false" ht="15" hidden="false" customHeight="true" outlineLevel="0" collapsed="false"/>
    <row r="23649" customFormat="false" ht="15" hidden="false" customHeight="true" outlineLevel="0" collapsed="false"/>
    <row r="23650" customFormat="false" ht="15" hidden="false" customHeight="true" outlineLevel="0" collapsed="false"/>
    <row r="23651" customFormat="false" ht="15" hidden="false" customHeight="true" outlineLevel="0" collapsed="false"/>
    <row r="23652" customFormat="false" ht="15" hidden="false" customHeight="true" outlineLevel="0" collapsed="false"/>
    <row r="23653" customFormat="false" ht="15" hidden="false" customHeight="true" outlineLevel="0" collapsed="false"/>
    <row r="23654" customFormat="false" ht="15" hidden="false" customHeight="true" outlineLevel="0" collapsed="false"/>
    <row r="23655" customFormat="false" ht="15" hidden="false" customHeight="true" outlineLevel="0" collapsed="false"/>
    <row r="23656" customFormat="false" ht="15" hidden="false" customHeight="true" outlineLevel="0" collapsed="false"/>
    <row r="23657" customFormat="false" ht="15" hidden="false" customHeight="true" outlineLevel="0" collapsed="false"/>
    <row r="23658" customFormat="false" ht="15" hidden="false" customHeight="true" outlineLevel="0" collapsed="false"/>
    <row r="23659" customFormat="false" ht="15" hidden="false" customHeight="true" outlineLevel="0" collapsed="false"/>
    <row r="23660" customFormat="false" ht="15" hidden="false" customHeight="true" outlineLevel="0" collapsed="false"/>
    <row r="23661" customFormat="false" ht="15" hidden="false" customHeight="true" outlineLevel="0" collapsed="false"/>
    <row r="23662" customFormat="false" ht="15" hidden="false" customHeight="true" outlineLevel="0" collapsed="false"/>
    <row r="23663" customFormat="false" ht="15" hidden="false" customHeight="true" outlineLevel="0" collapsed="false"/>
    <row r="23664" customFormat="false" ht="15" hidden="false" customHeight="true" outlineLevel="0" collapsed="false"/>
    <row r="23665" customFormat="false" ht="15" hidden="false" customHeight="true" outlineLevel="0" collapsed="false"/>
    <row r="23666" customFormat="false" ht="15" hidden="false" customHeight="true" outlineLevel="0" collapsed="false"/>
    <row r="23667" customFormat="false" ht="15" hidden="false" customHeight="true" outlineLevel="0" collapsed="false"/>
    <row r="23668" customFormat="false" ht="15" hidden="false" customHeight="true" outlineLevel="0" collapsed="false"/>
    <row r="23669" customFormat="false" ht="15" hidden="false" customHeight="true" outlineLevel="0" collapsed="false"/>
    <row r="23670" customFormat="false" ht="15" hidden="false" customHeight="true" outlineLevel="0" collapsed="false"/>
    <row r="23671" customFormat="false" ht="15" hidden="false" customHeight="true" outlineLevel="0" collapsed="false"/>
    <row r="23672" customFormat="false" ht="15" hidden="false" customHeight="true" outlineLevel="0" collapsed="false"/>
    <row r="23673" customFormat="false" ht="15" hidden="false" customHeight="true" outlineLevel="0" collapsed="false"/>
    <row r="23674" customFormat="false" ht="15" hidden="false" customHeight="true" outlineLevel="0" collapsed="false"/>
    <row r="23675" customFormat="false" ht="15" hidden="false" customHeight="true" outlineLevel="0" collapsed="false"/>
    <row r="23676" customFormat="false" ht="15" hidden="false" customHeight="true" outlineLevel="0" collapsed="false"/>
    <row r="23677" customFormat="false" ht="15" hidden="false" customHeight="true" outlineLevel="0" collapsed="false"/>
    <row r="23678" customFormat="false" ht="15" hidden="false" customHeight="true" outlineLevel="0" collapsed="false"/>
    <row r="23679" customFormat="false" ht="15" hidden="false" customHeight="true" outlineLevel="0" collapsed="false"/>
    <row r="23680" customFormat="false" ht="15" hidden="false" customHeight="true" outlineLevel="0" collapsed="false"/>
    <row r="23681" customFormat="false" ht="15" hidden="false" customHeight="true" outlineLevel="0" collapsed="false"/>
    <row r="23682" customFormat="false" ht="15" hidden="false" customHeight="true" outlineLevel="0" collapsed="false"/>
    <row r="23683" customFormat="false" ht="15" hidden="false" customHeight="true" outlineLevel="0" collapsed="false"/>
    <row r="23684" customFormat="false" ht="15" hidden="false" customHeight="true" outlineLevel="0" collapsed="false"/>
    <row r="23685" customFormat="false" ht="15" hidden="false" customHeight="true" outlineLevel="0" collapsed="false"/>
    <row r="23686" customFormat="false" ht="15" hidden="false" customHeight="true" outlineLevel="0" collapsed="false"/>
    <row r="23687" customFormat="false" ht="15" hidden="false" customHeight="true" outlineLevel="0" collapsed="false"/>
    <row r="23688" customFormat="false" ht="15" hidden="false" customHeight="true" outlineLevel="0" collapsed="false"/>
    <row r="23689" customFormat="false" ht="15" hidden="false" customHeight="true" outlineLevel="0" collapsed="false"/>
    <row r="23690" customFormat="false" ht="15" hidden="false" customHeight="true" outlineLevel="0" collapsed="false"/>
    <row r="23691" customFormat="false" ht="15" hidden="false" customHeight="true" outlineLevel="0" collapsed="false"/>
    <row r="23692" customFormat="false" ht="15" hidden="false" customHeight="true" outlineLevel="0" collapsed="false"/>
    <row r="23693" customFormat="false" ht="15" hidden="false" customHeight="true" outlineLevel="0" collapsed="false"/>
    <row r="23694" customFormat="false" ht="15" hidden="false" customHeight="true" outlineLevel="0" collapsed="false"/>
    <row r="23695" customFormat="false" ht="15" hidden="false" customHeight="true" outlineLevel="0" collapsed="false"/>
    <row r="23696" customFormat="false" ht="15" hidden="false" customHeight="true" outlineLevel="0" collapsed="false"/>
    <row r="23697" customFormat="false" ht="15" hidden="false" customHeight="true" outlineLevel="0" collapsed="false"/>
    <row r="23698" customFormat="false" ht="15" hidden="false" customHeight="true" outlineLevel="0" collapsed="false"/>
    <row r="23699" customFormat="false" ht="15" hidden="false" customHeight="true" outlineLevel="0" collapsed="false"/>
    <row r="23700" customFormat="false" ht="15" hidden="false" customHeight="true" outlineLevel="0" collapsed="false"/>
    <row r="23701" customFormat="false" ht="15" hidden="false" customHeight="true" outlineLevel="0" collapsed="false"/>
    <row r="23702" customFormat="false" ht="15" hidden="false" customHeight="true" outlineLevel="0" collapsed="false"/>
    <row r="23703" customFormat="false" ht="15" hidden="false" customHeight="true" outlineLevel="0" collapsed="false"/>
    <row r="23704" customFormat="false" ht="15" hidden="false" customHeight="true" outlineLevel="0" collapsed="false"/>
    <row r="23705" customFormat="false" ht="15" hidden="false" customHeight="true" outlineLevel="0" collapsed="false"/>
    <row r="23706" customFormat="false" ht="15" hidden="false" customHeight="true" outlineLevel="0" collapsed="false"/>
    <row r="23707" customFormat="false" ht="15" hidden="false" customHeight="true" outlineLevel="0" collapsed="false"/>
    <row r="23708" customFormat="false" ht="15" hidden="false" customHeight="true" outlineLevel="0" collapsed="false"/>
    <row r="23709" customFormat="false" ht="15" hidden="false" customHeight="true" outlineLevel="0" collapsed="false"/>
    <row r="23710" customFormat="false" ht="15" hidden="false" customHeight="true" outlineLevel="0" collapsed="false"/>
    <row r="23711" customFormat="false" ht="15" hidden="false" customHeight="true" outlineLevel="0" collapsed="false"/>
    <row r="23712" customFormat="false" ht="15" hidden="false" customHeight="true" outlineLevel="0" collapsed="false"/>
    <row r="23713" customFormat="false" ht="15" hidden="false" customHeight="true" outlineLevel="0" collapsed="false"/>
    <row r="23714" customFormat="false" ht="15" hidden="false" customHeight="true" outlineLevel="0" collapsed="false"/>
    <row r="23715" customFormat="false" ht="15" hidden="false" customHeight="true" outlineLevel="0" collapsed="false"/>
    <row r="23716" customFormat="false" ht="15" hidden="false" customHeight="true" outlineLevel="0" collapsed="false"/>
    <row r="23717" customFormat="false" ht="15" hidden="false" customHeight="true" outlineLevel="0" collapsed="false"/>
    <row r="23718" customFormat="false" ht="15" hidden="false" customHeight="true" outlineLevel="0" collapsed="false"/>
    <row r="23719" customFormat="false" ht="15" hidden="false" customHeight="true" outlineLevel="0" collapsed="false"/>
    <row r="23720" customFormat="false" ht="15" hidden="false" customHeight="true" outlineLevel="0" collapsed="false"/>
    <row r="23721" customFormat="false" ht="15" hidden="false" customHeight="true" outlineLevel="0" collapsed="false"/>
    <row r="23722" customFormat="false" ht="15" hidden="false" customHeight="true" outlineLevel="0" collapsed="false"/>
    <row r="23723" customFormat="false" ht="15" hidden="false" customHeight="true" outlineLevel="0" collapsed="false"/>
    <row r="23724" customFormat="false" ht="15" hidden="false" customHeight="true" outlineLevel="0" collapsed="false"/>
    <row r="23725" customFormat="false" ht="15" hidden="false" customHeight="true" outlineLevel="0" collapsed="false"/>
    <row r="23726" customFormat="false" ht="15" hidden="false" customHeight="true" outlineLevel="0" collapsed="false"/>
    <row r="23727" customFormat="false" ht="15" hidden="false" customHeight="true" outlineLevel="0" collapsed="false"/>
    <row r="23728" customFormat="false" ht="15" hidden="false" customHeight="true" outlineLevel="0" collapsed="false"/>
    <row r="23729" customFormat="false" ht="15" hidden="false" customHeight="true" outlineLevel="0" collapsed="false"/>
    <row r="23730" customFormat="false" ht="15" hidden="false" customHeight="true" outlineLevel="0" collapsed="false"/>
    <row r="23731" customFormat="false" ht="15" hidden="false" customHeight="true" outlineLevel="0" collapsed="false"/>
    <row r="23732" customFormat="false" ht="15" hidden="false" customHeight="true" outlineLevel="0" collapsed="false"/>
    <row r="23733" customFormat="false" ht="15" hidden="false" customHeight="true" outlineLevel="0" collapsed="false"/>
    <row r="23734" customFormat="false" ht="15" hidden="false" customHeight="true" outlineLevel="0" collapsed="false"/>
    <row r="23735" customFormat="false" ht="15" hidden="false" customHeight="true" outlineLevel="0" collapsed="false"/>
    <row r="23736" customFormat="false" ht="15" hidden="false" customHeight="true" outlineLevel="0" collapsed="false"/>
    <row r="23737" customFormat="false" ht="15" hidden="false" customHeight="true" outlineLevel="0" collapsed="false"/>
    <row r="23738" customFormat="false" ht="15" hidden="false" customHeight="true" outlineLevel="0" collapsed="false"/>
    <row r="23739" customFormat="false" ht="15" hidden="false" customHeight="true" outlineLevel="0" collapsed="false"/>
    <row r="23740" customFormat="false" ht="15" hidden="false" customHeight="true" outlineLevel="0" collapsed="false"/>
    <row r="23741" customFormat="false" ht="15" hidden="false" customHeight="true" outlineLevel="0" collapsed="false"/>
    <row r="23742" customFormat="false" ht="15" hidden="false" customHeight="true" outlineLevel="0" collapsed="false"/>
    <row r="23743" customFormat="false" ht="15" hidden="false" customHeight="true" outlineLevel="0" collapsed="false"/>
    <row r="23744" customFormat="false" ht="15" hidden="false" customHeight="true" outlineLevel="0" collapsed="false"/>
    <row r="23745" customFormat="false" ht="15" hidden="false" customHeight="true" outlineLevel="0" collapsed="false"/>
    <row r="23746" customFormat="false" ht="15" hidden="false" customHeight="true" outlineLevel="0" collapsed="false"/>
    <row r="23747" customFormat="false" ht="15" hidden="false" customHeight="true" outlineLevel="0" collapsed="false"/>
    <row r="23748" customFormat="false" ht="15" hidden="false" customHeight="true" outlineLevel="0" collapsed="false"/>
    <row r="23749" customFormat="false" ht="15" hidden="false" customHeight="true" outlineLevel="0" collapsed="false"/>
    <row r="23750" customFormat="false" ht="15" hidden="false" customHeight="true" outlineLevel="0" collapsed="false"/>
    <row r="23751" customFormat="false" ht="15" hidden="false" customHeight="true" outlineLevel="0" collapsed="false"/>
    <row r="23752" customFormat="false" ht="15" hidden="false" customHeight="true" outlineLevel="0" collapsed="false"/>
    <row r="23753" customFormat="false" ht="15" hidden="false" customHeight="true" outlineLevel="0" collapsed="false"/>
    <row r="23754" customFormat="false" ht="15" hidden="false" customHeight="true" outlineLevel="0" collapsed="false"/>
    <row r="23755" customFormat="false" ht="15" hidden="false" customHeight="true" outlineLevel="0" collapsed="false"/>
    <row r="23756" customFormat="false" ht="15" hidden="false" customHeight="true" outlineLevel="0" collapsed="false"/>
    <row r="23757" customFormat="false" ht="15" hidden="false" customHeight="true" outlineLevel="0" collapsed="false"/>
    <row r="23758" customFormat="false" ht="15" hidden="false" customHeight="true" outlineLevel="0" collapsed="false"/>
    <row r="23759" customFormat="false" ht="15" hidden="false" customHeight="true" outlineLevel="0" collapsed="false"/>
    <row r="23760" customFormat="false" ht="15" hidden="false" customHeight="true" outlineLevel="0" collapsed="false"/>
    <row r="23761" customFormat="false" ht="15" hidden="false" customHeight="true" outlineLevel="0" collapsed="false"/>
    <row r="23762" customFormat="false" ht="15" hidden="false" customHeight="true" outlineLevel="0" collapsed="false"/>
    <row r="23763" customFormat="false" ht="15" hidden="false" customHeight="true" outlineLevel="0" collapsed="false"/>
    <row r="23764" customFormat="false" ht="15" hidden="false" customHeight="true" outlineLevel="0" collapsed="false"/>
    <row r="23765" customFormat="false" ht="15" hidden="false" customHeight="true" outlineLevel="0" collapsed="false"/>
    <row r="23766" customFormat="false" ht="15" hidden="false" customHeight="true" outlineLevel="0" collapsed="false"/>
    <row r="23767" customFormat="false" ht="15" hidden="false" customHeight="true" outlineLevel="0" collapsed="false"/>
    <row r="23768" customFormat="false" ht="15" hidden="false" customHeight="true" outlineLevel="0" collapsed="false"/>
    <row r="23769" customFormat="false" ht="15" hidden="false" customHeight="true" outlineLevel="0" collapsed="false"/>
    <row r="23770" customFormat="false" ht="15" hidden="false" customHeight="true" outlineLevel="0" collapsed="false"/>
    <row r="23771" customFormat="false" ht="15" hidden="false" customHeight="true" outlineLevel="0" collapsed="false"/>
    <row r="23772" customFormat="false" ht="15" hidden="false" customHeight="true" outlineLevel="0" collapsed="false"/>
    <row r="23773" customFormat="false" ht="15" hidden="false" customHeight="true" outlineLevel="0" collapsed="false"/>
    <row r="23774" customFormat="false" ht="15" hidden="false" customHeight="true" outlineLevel="0" collapsed="false"/>
    <row r="23775" customFormat="false" ht="15" hidden="false" customHeight="true" outlineLevel="0" collapsed="false"/>
    <row r="23776" customFormat="false" ht="15" hidden="false" customHeight="true" outlineLevel="0" collapsed="false"/>
    <row r="23777" customFormat="false" ht="15" hidden="false" customHeight="true" outlineLevel="0" collapsed="false"/>
    <row r="23778" customFormat="false" ht="15" hidden="false" customHeight="true" outlineLevel="0" collapsed="false"/>
    <row r="23779" customFormat="false" ht="15" hidden="false" customHeight="true" outlineLevel="0" collapsed="false"/>
    <row r="23780" customFormat="false" ht="15" hidden="false" customHeight="true" outlineLevel="0" collapsed="false"/>
    <row r="23781" customFormat="false" ht="15" hidden="false" customHeight="true" outlineLevel="0" collapsed="false"/>
    <row r="23782" customFormat="false" ht="15" hidden="false" customHeight="true" outlineLevel="0" collapsed="false"/>
    <row r="23783" customFormat="false" ht="15" hidden="false" customHeight="true" outlineLevel="0" collapsed="false"/>
    <row r="23784" customFormat="false" ht="15" hidden="false" customHeight="true" outlineLevel="0" collapsed="false"/>
    <row r="23785" customFormat="false" ht="15" hidden="false" customHeight="true" outlineLevel="0" collapsed="false"/>
    <row r="23786" customFormat="false" ht="15" hidden="false" customHeight="true" outlineLevel="0" collapsed="false"/>
    <row r="23787" customFormat="false" ht="15" hidden="false" customHeight="true" outlineLevel="0" collapsed="false"/>
    <row r="23788" customFormat="false" ht="15" hidden="false" customHeight="true" outlineLevel="0" collapsed="false"/>
    <row r="23789" customFormat="false" ht="15" hidden="false" customHeight="true" outlineLevel="0" collapsed="false"/>
    <row r="23790" customFormat="false" ht="15" hidden="false" customHeight="true" outlineLevel="0" collapsed="false"/>
    <row r="23791" customFormat="false" ht="15" hidden="false" customHeight="true" outlineLevel="0" collapsed="false"/>
    <row r="23792" customFormat="false" ht="15" hidden="false" customHeight="true" outlineLevel="0" collapsed="false"/>
    <row r="23793" customFormat="false" ht="15" hidden="false" customHeight="true" outlineLevel="0" collapsed="false"/>
    <row r="23794" customFormat="false" ht="15" hidden="false" customHeight="true" outlineLevel="0" collapsed="false"/>
    <row r="23795" customFormat="false" ht="15" hidden="false" customHeight="true" outlineLevel="0" collapsed="false"/>
    <row r="23796" customFormat="false" ht="15" hidden="false" customHeight="true" outlineLevel="0" collapsed="false"/>
    <row r="23797" customFormat="false" ht="15" hidden="false" customHeight="true" outlineLevel="0" collapsed="false"/>
    <row r="23798" customFormat="false" ht="15" hidden="false" customHeight="true" outlineLevel="0" collapsed="false"/>
    <row r="23799" customFormat="false" ht="15" hidden="false" customHeight="true" outlineLevel="0" collapsed="false"/>
    <row r="23800" customFormat="false" ht="15" hidden="false" customHeight="true" outlineLevel="0" collapsed="false"/>
    <row r="23801" customFormat="false" ht="15" hidden="false" customHeight="true" outlineLevel="0" collapsed="false"/>
    <row r="23802" customFormat="false" ht="15" hidden="false" customHeight="true" outlineLevel="0" collapsed="false"/>
    <row r="23803" customFormat="false" ht="15" hidden="false" customHeight="true" outlineLevel="0" collapsed="false"/>
    <row r="23804" customFormat="false" ht="15" hidden="false" customHeight="true" outlineLevel="0" collapsed="false"/>
    <row r="23805" customFormat="false" ht="15" hidden="false" customHeight="true" outlineLevel="0" collapsed="false"/>
    <row r="23806" customFormat="false" ht="15" hidden="false" customHeight="true" outlineLevel="0" collapsed="false"/>
    <row r="23807" customFormat="false" ht="15" hidden="false" customHeight="true" outlineLevel="0" collapsed="false"/>
    <row r="23808" customFormat="false" ht="15" hidden="false" customHeight="true" outlineLevel="0" collapsed="false"/>
    <row r="23809" customFormat="false" ht="15" hidden="false" customHeight="true" outlineLevel="0" collapsed="false"/>
    <row r="23810" customFormat="false" ht="15" hidden="false" customHeight="true" outlineLevel="0" collapsed="false"/>
    <row r="23811" customFormat="false" ht="15" hidden="false" customHeight="true" outlineLevel="0" collapsed="false"/>
    <row r="23812" customFormat="false" ht="15" hidden="false" customHeight="true" outlineLevel="0" collapsed="false"/>
    <row r="23813" customFormat="false" ht="15" hidden="false" customHeight="true" outlineLevel="0" collapsed="false"/>
    <row r="23814" customFormat="false" ht="15" hidden="false" customHeight="true" outlineLevel="0" collapsed="false"/>
    <row r="23815" customFormat="false" ht="15" hidden="false" customHeight="true" outlineLevel="0" collapsed="false"/>
    <row r="23816" customFormat="false" ht="15" hidden="false" customHeight="true" outlineLevel="0" collapsed="false"/>
    <row r="23817" customFormat="false" ht="15" hidden="false" customHeight="true" outlineLevel="0" collapsed="false"/>
    <row r="23818" customFormat="false" ht="15" hidden="false" customHeight="true" outlineLevel="0" collapsed="false"/>
    <row r="23819" customFormat="false" ht="15" hidden="false" customHeight="true" outlineLevel="0" collapsed="false"/>
    <row r="23820" customFormat="false" ht="15" hidden="false" customHeight="true" outlineLevel="0" collapsed="false"/>
    <row r="23821" customFormat="false" ht="15" hidden="false" customHeight="true" outlineLevel="0" collapsed="false"/>
    <row r="23822" customFormat="false" ht="15" hidden="false" customHeight="true" outlineLevel="0" collapsed="false"/>
    <row r="23823" customFormat="false" ht="15" hidden="false" customHeight="true" outlineLevel="0" collapsed="false"/>
    <row r="23824" customFormat="false" ht="15" hidden="false" customHeight="true" outlineLevel="0" collapsed="false"/>
    <row r="23825" customFormat="false" ht="15" hidden="false" customHeight="true" outlineLevel="0" collapsed="false"/>
    <row r="23826" customFormat="false" ht="15" hidden="false" customHeight="true" outlineLevel="0" collapsed="false"/>
    <row r="23827" customFormat="false" ht="15" hidden="false" customHeight="true" outlineLevel="0" collapsed="false"/>
    <row r="23828" customFormat="false" ht="15" hidden="false" customHeight="true" outlineLevel="0" collapsed="false"/>
    <row r="23829" customFormat="false" ht="15" hidden="false" customHeight="true" outlineLevel="0" collapsed="false"/>
    <row r="23830" customFormat="false" ht="15" hidden="false" customHeight="true" outlineLevel="0" collapsed="false"/>
    <row r="23831" customFormat="false" ht="15" hidden="false" customHeight="true" outlineLevel="0" collapsed="false"/>
    <row r="23832" customFormat="false" ht="15" hidden="false" customHeight="true" outlineLevel="0" collapsed="false"/>
    <row r="23833" customFormat="false" ht="15" hidden="false" customHeight="true" outlineLevel="0" collapsed="false"/>
    <row r="23834" customFormat="false" ht="15" hidden="false" customHeight="true" outlineLevel="0" collapsed="false"/>
    <row r="23835" customFormat="false" ht="15" hidden="false" customHeight="true" outlineLevel="0" collapsed="false"/>
    <row r="23836" customFormat="false" ht="15" hidden="false" customHeight="true" outlineLevel="0" collapsed="false"/>
    <row r="23837" customFormat="false" ht="15" hidden="false" customHeight="true" outlineLevel="0" collapsed="false"/>
    <row r="23838" customFormat="false" ht="15" hidden="false" customHeight="true" outlineLevel="0" collapsed="false"/>
    <row r="23839" customFormat="false" ht="15" hidden="false" customHeight="true" outlineLevel="0" collapsed="false"/>
    <row r="23840" customFormat="false" ht="15" hidden="false" customHeight="true" outlineLevel="0" collapsed="false"/>
    <row r="23841" customFormat="false" ht="15" hidden="false" customHeight="true" outlineLevel="0" collapsed="false"/>
    <row r="23842" customFormat="false" ht="15" hidden="false" customHeight="true" outlineLevel="0" collapsed="false"/>
    <row r="23843" customFormat="false" ht="15" hidden="false" customHeight="true" outlineLevel="0" collapsed="false"/>
    <row r="23844" customFormat="false" ht="15" hidden="false" customHeight="true" outlineLevel="0" collapsed="false"/>
    <row r="23845" customFormat="false" ht="15" hidden="false" customHeight="true" outlineLevel="0" collapsed="false"/>
    <row r="23846" customFormat="false" ht="15" hidden="false" customHeight="true" outlineLevel="0" collapsed="false"/>
    <row r="23847" customFormat="false" ht="15" hidden="false" customHeight="true" outlineLevel="0" collapsed="false"/>
    <row r="23848" customFormat="false" ht="15" hidden="false" customHeight="true" outlineLevel="0" collapsed="false"/>
    <row r="23849" customFormat="false" ht="15" hidden="false" customHeight="true" outlineLevel="0" collapsed="false"/>
    <row r="23850" customFormat="false" ht="15" hidden="false" customHeight="true" outlineLevel="0" collapsed="false"/>
    <row r="23851" customFormat="false" ht="15" hidden="false" customHeight="true" outlineLevel="0" collapsed="false"/>
    <row r="23852" customFormat="false" ht="15" hidden="false" customHeight="true" outlineLevel="0" collapsed="false"/>
    <row r="23853" customFormat="false" ht="15" hidden="false" customHeight="true" outlineLevel="0" collapsed="false"/>
    <row r="23854" customFormat="false" ht="15" hidden="false" customHeight="true" outlineLevel="0" collapsed="false"/>
    <row r="23855" customFormat="false" ht="15" hidden="false" customHeight="true" outlineLevel="0" collapsed="false"/>
    <row r="23856" customFormat="false" ht="15" hidden="false" customHeight="true" outlineLevel="0" collapsed="false"/>
    <row r="23857" customFormat="false" ht="15" hidden="false" customHeight="true" outlineLevel="0" collapsed="false"/>
    <row r="23858" customFormat="false" ht="15" hidden="false" customHeight="true" outlineLevel="0" collapsed="false"/>
    <row r="23859" customFormat="false" ht="15" hidden="false" customHeight="true" outlineLevel="0" collapsed="false"/>
    <row r="23860" customFormat="false" ht="15" hidden="false" customHeight="true" outlineLevel="0" collapsed="false"/>
    <row r="23861" customFormat="false" ht="15" hidden="false" customHeight="true" outlineLevel="0" collapsed="false"/>
    <row r="23862" customFormat="false" ht="15" hidden="false" customHeight="true" outlineLevel="0" collapsed="false"/>
    <row r="23863" customFormat="false" ht="15" hidden="false" customHeight="true" outlineLevel="0" collapsed="false"/>
    <row r="23864" customFormat="false" ht="15" hidden="false" customHeight="true" outlineLevel="0" collapsed="false"/>
    <row r="23865" customFormat="false" ht="15" hidden="false" customHeight="true" outlineLevel="0" collapsed="false"/>
    <row r="23866" customFormat="false" ht="15" hidden="false" customHeight="true" outlineLevel="0" collapsed="false"/>
    <row r="23867" customFormat="false" ht="15" hidden="false" customHeight="true" outlineLevel="0" collapsed="false"/>
    <row r="23868" customFormat="false" ht="15" hidden="false" customHeight="true" outlineLevel="0" collapsed="false"/>
    <row r="23869" customFormat="false" ht="15" hidden="false" customHeight="true" outlineLevel="0" collapsed="false"/>
    <row r="23870" customFormat="false" ht="15" hidden="false" customHeight="true" outlineLevel="0" collapsed="false"/>
    <row r="23871" customFormat="false" ht="15" hidden="false" customHeight="true" outlineLevel="0" collapsed="false"/>
    <row r="23872" customFormat="false" ht="15" hidden="false" customHeight="true" outlineLevel="0" collapsed="false"/>
    <row r="23873" customFormat="false" ht="15" hidden="false" customHeight="true" outlineLevel="0" collapsed="false"/>
    <row r="23874" customFormat="false" ht="15" hidden="false" customHeight="true" outlineLevel="0" collapsed="false"/>
    <row r="23875" customFormat="false" ht="15" hidden="false" customHeight="true" outlineLevel="0" collapsed="false"/>
    <row r="23876" customFormat="false" ht="15" hidden="false" customHeight="true" outlineLevel="0" collapsed="false"/>
    <row r="23877" customFormat="false" ht="15" hidden="false" customHeight="true" outlineLevel="0" collapsed="false"/>
    <row r="23878" customFormat="false" ht="15" hidden="false" customHeight="true" outlineLevel="0" collapsed="false"/>
    <row r="23879" customFormat="false" ht="15" hidden="false" customHeight="true" outlineLevel="0" collapsed="false"/>
    <row r="23880" customFormat="false" ht="15" hidden="false" customHeight="true" outlineLevel="0" collapsed="false"/>
    <row r="23881" customFormat="false" ht="15" hidden="false" customHeight="true" outlineLevel="0" collapsed="false"/>
    <row r="23882" customFormat="false" ht="15" hidden="false" customHeight="true" outlineLevel="0" collapsed="false"/>
    <row r="23883" customFormat="false" ht="15" hidden="false" customHeight="true" outlineLevel="0" collapsed="false"/>
    <row r="23884" customFormat="false" ht="15" hidden="false" customHeight="true" outlineLevel="0" collapsed="false"/>
    <row r="23885" customFormat="false" ht="15" hidden="false" customHeight="true" outlineLevel="0" collapsed="false"/>
    <row r="23886" customFormat="false" ht="15" hidden="false" customHeight="true" outlineLevel="0" collapsed="false"/>
    <row r="23887" customFormat="false" ht="15" hidden="false" customHeight="true" outlineLevel="0" collapsed="false"/>
    <row r="23888" customFormat="false" ht="15" hidden="false" customHeight="true" outlineLevel="0" collapsed="false"/>
    <row r="23889" customFormat="false" ht="15" hidden="false" customHeight="true" outlineLevel="0" collapsed="false"/>
    <row r="23890" customFormat="false" ht="15" hidden="false" customHeight="true" outlineLevel="0" collapsed="false"/>
    <row r="23891" customFormat="false" ht="15" hidden="false" customHeight="true" outlineLevel="0" collapsed="false"/>
    <row r="23892" customFormat="false" ht="15" hidden="false" customHeight="true" outlineLevel="0" collapsed="false"/>
    <row r="23893" customFormat="false" ht="15" hidden="false" customHeight="true" outlineLevel="0" collapsed="false"/>
    <row r="23894" customFormat="false" ht="15" hidden="false" customHeight="true" outlineLevel="0" collapsed="false"/>
    <row r="23895" customFormat="false" ht="15" hidden="false" customHeight="true" outlineLevel="0" collapsed="false"/>
    <row r="23896" customFormat="false" ht="15" hidden="false" customHeight="true" outlineLevel="0" collapsed="false"/>
    <row r="23897" customFormat="false" ht="15" hidden="false" customHeight="true" outlineLevel="0" collapsed="false"/>
    <row r="23898" customFormat="false" ht="15" hidden="false" customHeight="true" outlineLevel="0" collapsed="false"/>
    <row r="23899" customFormat="false" ht="15" hidden="false" customHeight="true" outlineLevel="0" collapsed="false"/>
    <row r="23900" customFormat="false" ht="15" hidden="false" customHeight="true" outlineLevel="0" collapsed="false"/>
    <row r="23901" customFormat="false" ht="15" hidden="false" customHeight="true" outlineLevel="0" collapsed="false"/>
    <row r="23902" customFormat="false" ht="15" hidden="false" customHeight="true" outlineLevel="0" collapsed="false"/>
    <row r="23903" customFormat="false" ht="15" hidden="false" customHeight="true" outlineLevel="0" collapsed="false"/>
    <row r="23904" customFormat="false" ht="15" hidden="false" customHeight="true" outlineLevel="0" collapsed="false"/>
    <row r="23905" customFormat="false" ht="15" hidden="false" customHeight="true" outlineLevel="0" collapsed="false"/>
    <row r="23906" customFormat="false" ht="15" hidden="false" customHeight="true" outlineLevel="0" collapsed="false"/>
    <row r="23907" customFormat="false" ht="15" hidden="false" customHeight="true" outlineLevel="0" collapsed="false"/>
    <row r="23908" customFormat="false" ht="15" hidden="false" customHeight="true" outlineLevel="0" collapsed="false"/>
    <row r="23909" customFormat="false" ht="15" hidden="false" customHeight="true" outlineLevel="0" collapsed="false"/>
    <row r="23910" customFormat="false" ht="15" hidden="false" customHeight="true" outlineLevel="0" collapsed="false"/>
    <row r="23911" customFormat="false" ht="15" hidden="false" customHeight="true" outlineLevel="0" collapsed="false"/>
    <row r="23912" customFormat="false" ht="15" hidden="false" customHeight="true" outlineLevel="0" collapsed="false"/>
    <row r="23913" customFormat="false" ht="15" hidden="false" customHeight="true" outlineLevel="0" collapsed="false"/>
    <row r="23914" customFormat="false" ht="15" hidden="false" customHeight="true" outlineLevel="0" collapsed="false"/>
    <row r="23915" customFormat="false" ht="15" hidden="false" customHeight="true" outlineLevel="0" collapsed="false"/>
    <row r="23916" customFormat="false" ht="15" hidden="false" customHeight="true" outlineLevel="0" collapsed="false"/>
    <row r="23917" customFormat="false" ht="15" hidden="false" customHeight="true" outlineLevel="0" collapsed="false"/>
    <row r="23918" customFormat="false" ht="15" hidden="false" customHeight="true" outlineLevel="0" collapsed="false"/>
    <row r="23919" customFormat="false" ht="15" hidden="false" customHeight="true" outlineLevel="0" collapsed="false"/>
    <row r="23920" customFormat="false" ht="15" hidden="false" customHeight="true" outlineLevel="0" collapsed="false"/>
    <row r="23921" customFormat="false" ht="15" hidden="false" customHeight="true" outlineLevel="0" collapsed="false"/>
    <row r="23922" customFormat="false" ht="15" hidden="false" customHeight="true" outlineLevel="0" collapsed="false"/>
    <row r="23923" customFormat="false" ht="15" hidden="false" customHeight="true" outlineLevel="0" collapsed="false"/>
    <row r="23924" customFormat="false" ht="15" hidden="false" customHeight="true" outlineLevel="0" collapsed="false"/>
    <row r="23925" customFormat="false" ht="15" hidden="false" customHeight="true" outlineLevel="0" collapsed="false"/>
    <row r="23926" customFormat="false" ht="15" hidden="false" customHeight="true" outlineLevel="0" collapsed="false"/>
    <row r="23927" customFormat="false" ht="15" hidden="false" customHeight="true" outlineLevel="0" collapsed="false"/>
    <row r="23928" customFormat="false" ht="15" hidden="false" customHeight="true" outlineLevel="0" collapsed="false"/>
    <row r="23929" customFormat="false" ht="15" hidden="false" customHeight="true" outlineLevel="0" collapsed="false"/>
    <row r="23930" customFormat="false" ht="15" hidden="false" customHeight="true" outlineLevel="0" collapsed="false"/>
    <row r="23931" customFormat="false" ht="15" hidden="false" customHeight="true" outlineLevel="0" collapsed="false"/>
    <row r="23932" customFormat="false" ht="15" hidden="false" customHeight="true" outlineLevel="0" collapsed="false"/>
    <row r="23933" customFormat="false" ht="15" hidden="false" customHeight="true" outlineLevel="0" collapsed="false"/>
    <row r="23934" customFormat="false" ht="15" hidden="false" customHeight="true" outlineLevel="0" collapsed="false"/>
    <row r="23935" customFormat="false" ht="15" hidden="false" customHeight="true" outlineLevel="0" collapsed="false"/>
    <row r="23936" customFormat="false" ht="15" hidden="false" customHeight="true" outlineLevel="0" collapsed="false"/>
    <row r="23937" customFormat="false" ht="15" hidden="false" customHeight="true" outlineLevel="0" collapsed="false"/>
    <row r="23938" customFormat="false" ht="15" hidden="false" customHeight="true" outlineLevel="0" collapsed="false"/>
    <row r="23939" customFormat="false" ht="15" hidden="false" customHeight="true" outlineLevel="0" collapsed="false"/>
    <row r="23940" customFormat="false" ht="15" hidden="false" customHeight="true" outlineLevel="0" collapsed="false"/>
    <row r="23941" customFormat="false" ht="15" hidden="false" customHeight="true" outlineLevel="0" collapsed="false"/>
    <row r="23942" customFormat="false" ht="15" hidden="false" customHeight="true" outlineLevel="0" collapsed="false"/>
    <row r="23943" customFormat="false" ht="15" hidden="false" customHeight="true" outlineLevel="0" collapsed="false"/>
    <row r="23944" customFormat="false" ht="15" hidden="false" customHeight="true" outlineLevel="0" collapsed="false"/>
    <row r="23945" customFormat="false" ht="15" hidden="false" customHeight="true" outlineLevel="0" collapsed="false"/>
    <row r="23946" customFormat="false" ht="15" hidden="false" customHeight="true" outlineLevel="0" collapsed="false"/>
    <row r="23947" customFormat="false" ht="15" hidden="false" customHeight="true" outlineLevel="0" collapsed="false"/>
    <row r="23948" customFormat="false" ht="15" hidden="false" customHeight="true" outlineLevel="0" collapsed="false"/>
    <row r="23949" customFormat="false" ht="15" hidden="false" customHeight="true" outlineLevel="0" collapsed="false"/>
    <row r="23950" customFormat="false" ht="15" hidden="false" customHeight="true" outlineLevel="0" collapsed="false"/>
    <row r="23951" customFormat="false" ht="15" hidden="false" customHeight="true" outlineLevel="0" collapsed="false"/>
    <row r="23952" customFormat="false" ht="15" hidden="false" customHeight="true" outlineLevel="0" collapsed="false"/>
    <row r="23953" customFormat="false" ht="15" hidden="false" customHeight="true" outlineLevel="0" collapsed="false"/>
    <row r="23954" customFormat="false" ht="15" hidden="false" customHeight="true" outlineLevel="0" collapsed="false"/>
    <row r="23955" customFormat="false" ht="15" hidden="false" customHeight="true" outlineLevel="0" collapsed="false"/>
    <row r="23956" customFormat="false" ht="15" hidden="false" customHeight="true" outlineLevel="0" collapsed="false"/>
    <row r="23957" customFormat="false" ht="15" hidden="false" customHeight="true" outlineLevel="0" collapsed="false"/>
    <row r="23958" customFormat="false" ht="15" hidden="false" customHeight="true" outlineLevel="0" collapsed="false"/>
    <row r="23959" customFormat="false" ht="15" hidden="false" customHeight="true" outlineLevel="0" collapsed="false"/>
    <row r="23960" customFormat="false" ht="15" hidden="false" customHeight="true" outlineLevel="0" collapsed="false"/>
    <row r="23961" customFormat="false" ht="15" hidden="false" customHeight="true" outlineLevel="0" collapsed="false"/>
    <row r="23962" customFormat="false" ht="15" hidden="false" customHeight="true" outlineLevel="0" collapsed="false"/>
    <row r="23963" customFormat="false" ht="15" hidden="false" customHeight="true" outlineLevel="0" collapsed="false"/>
    <row r="23964" customFormat="false" ht="15" hidden="false" customHeight="true" outlineLevel="0" collapsed="false"/>
    <row r="23965" customFormat="false" ht="15" hidden="false" customHeight="true" outlineLevel="0" collapsed="false"/>
    <row r="23966" customFormat="false" ht="15" hidden="false" customHeight="true" outlineLevel="0" collapsed="false"/>
    <row r="23967" customFormat="false" ht="15" hidden="false" customHeight="true" outlineLevel="0" collapsed="false"/>
    <row r="23968" customFormat="false" ht="15" hidden="false" customHeight="true" outlineLevel="0" collapsed="false"/>
    <row r="23969" customFormat="false" ht="15" hidden="false" customHeight="true" outlineLevel="0" collapsed="false"/>
    <row r="23970" customFormat="false" ht="15" hidden="false" customHeight="true" outlineLevel="0" collapsed="false"/>
    <row r="23971" customFormat="false" ht="15" hidden="false" customHeight="true" outlineLevel="0" collapsed="false"/>
    <row r="23972" customFormat="false" ht="15" hidden="false" customHeight="true" outlineLevel="0" collapsed="false"/>
    <row r="23973" customFormat="false" ht="15" hidden="false" customHeight="true" outlineLevel="0" collapsed="false"/>
    <row r="23974" customFormat="false" ht="15" hidden="false" customHeight="true" outlineLevel="0" collapsed="false"/>
    <row r="23975" customFormat="false" ht="15" hidden="false" customHeight="true" outlineLevel="0" collapsed="false"/>
    <row r="23976" customFormat="false" ht="15" hidden="false" customHeight="true" outlineLevel="0" collapsed="false"/>
    <row r="23977" customFormat="false" ht="15" hidden="false" customHeight="true" outlineLevel="0" collapsed="false"/>
    <row r="23978" customFormat="false" ht="15" hidden="false" customHeight="true" outlineLevel="0" collapsed="false"/>
    <row r="23979" customFormat="false" ht="15" hidden="false" customHeight="true" outlineLevel="0" collapsed="false"/>
    <row r="23980" customFormat="false" ht="15" hidden="false" customHeight="true" outlineLevel="0" collapsed="false"/>
    <row r="23981" customFormat="false" ht="15" hidden="false" customHeight="true" outlineLevel="0" collapsed="false"/>
    <row r="23982" customFormat="false" ht="15" hidden="false" customHeight="true" outlineLevel="0" collapsed="false"/>
    <row r="23983" customFormat="false" ht="15" hidden="false" customHeight="true" outlineLevel="0" collapsed="false"/>
    <row r="23984" customFormat="false" ht="15" hidden="false" customHeight="true" outlineLevel="0" collapsed="false"/>
    <row r="23985" customFormat="false" ht="15" hidden="false" customHeight="true" outlineLevel="0" collapsed="false"/>
    <row r="23986" customFormat="false" ht="15" hidden="false" customHeight="true" outlineLevel="0" collapsed="false"/>
    <row r="23987" customFormat="false" ht="15" hidden="false" customHeight="true" outlineLevel="0" collapsed="false"/>
    <row r="23988" customFormat="false" ht="15" hidden="false" customHeight="true" outlineLevel="0" collapsed="false"/>
    <row r="23989" customFormat="false" ht="15" hidden="false" customHeight="true" outlineLevel="0" collapsed="false"/>
    <row r="23990" customFormat="false" ht="15" hidden="false" customHeight="true" outlineLevel="0" collapsed="false"/>
    <row r="23991" customFormat="false" ht="15" hidden="false" customHeight="true" outlineLevel="0" collapsed="false"/>
    <row r="23992" customFormat="false" ht="15" hidden="false" customHeight="true" outlineLevel="0" collapsed="false"/>
    <row r="23993" customFormat="false" ht="15" hidden="false" customHeight="true" outlineLevel="0" collapsed="false"/>
    <row r="23994" customFormat="false" ht="15" hidden="false" customHeight="true" outlineLevel="0" collapsed="false"/>
    <row r="23995" customFormat="false" ht="15" hidden="false" customHeight="true" outlineLevel="0" collapsed="false"/>
    <row r="23996" customFormat="false" ht="15" hidden="false" customHeight="true" outlineLevel="0" collapsed="false"/>
    <row r="23997" customFormat="false" ht="15" hidden="false" customHeight="true" outlineLevel="0" collapsed="false"/>
    <row r="23998" customFormat="false" ht="15" hidden="false" customHeight="true" outlineLevel="0" collapsed="false"/>
    <row r="23999" customFormat="false" ht="15" hidden="false" customHeight="true" outlineLevel="0" collapsed="false"/>
    <row r="24000" customFormat="false" ht="15" hidden="false" customHeight="true" outlineLevel="0" collapsed="false"/>
    <row r="24001" customFormat="false" ht="15" hidden="false" customHeight="true" outlineLevel="0" collapsed="false"/>
    <row r="24002" customFormat="false" ht="15" hidden="false" customHeight="true" outlineLevel="0" collapsed="false"/>
    <row r="24003" customFormat="false" ht="15" hidden="false" customHeight="true" outlineLevel="0" collapsed="false"/>
    <row r="24004" customFormat="false" ht="15" hidden="false" customHeight="true" outlineLevel="0" collapsed="false"/>
    <row r="24005" customFormat="false" ht="15" hidden="false" customHeight="true" outlineLevel="0" collapsed="false"/>
    <row r="24006" customFormat="false" ht="15" hidden="false" customHeight="true" outlineLevel="0" collapsed="false"/>
    <row r="24007" customFormat="false" ht="15" hidden="false" customHeight="true" outlineLevel="0" collapsed="false"/>
    <row r="24008" customFormat="false" ht="15" hidden="false" customHeight="true" outlineLevel="0" collapsed="false"/>
    <row r="24009" customFormat="false" ht="15" hidden="false" customHeight="true" outlineLevel="0" collapsed="false"/>
    <row r="24010" customFormat="false" ht="15" hidden="false" customHeight="true" outlineLevel="0" collapsed="false"/>
    <row r="24011" customFormat="false" ht="15" hidden="false" customHeight="true" outlineLevel="0" collapsed="false"/>
    <row r="24012" customFormat="false" ht="15" hidden="false" customHeight="true" outlineLevel="0" collapsed="false"/>
    <row r="24013" customFormat="false" ht="15" hidden="false" customHeight="true" outlineLevel="0" collapsed="false"/>
    <row r="24014" customFormat="false" ht="15" hidden="false" customHeight="true" outlineLevel="0" collapsed="false"/>
    <row r="24015" customFormat="false" ht="15" hidden="false" customHeight="true" outlineLevel="0" collapsed="false"/>
    <row r="24016" customFormat="false" ht="15" hidden="false" customHeight="true" outlineLevel="0" collapsed="false"/>
    <row r="24017" customFormat="false" ht="15" hidden="false" customHeight="true" outlineLevel="0" collapsed="false"/>
    <row r="24018" customFormat="false" ht="15" hidden="false" customHeight="true" outlineLevel="0" collapsed="false"/>
    <row r="24019" customFormat="false" ht="15" hidden="false" customHeight="true" outlineLevel="0" collapsed="false"/>
    <row r="24020" customFormat="false" ht="15" hidden="false" customHeight="true" outlineLevel="0" collapsed="false"/>
    <row r="24021" customFormat="false" ht="15" hidden="false" customHeight="true" outlineLevel="0" collapsed="false"/>
    <row r="24022" customFormat="false" ht="15" hidden="false" customHeight="true" outlineLevel="0" collapsed="false"/>
    <row r="24023" customFormat="false" ht="15" hidden="false" customHeight="true" outlineLevel="0" collapsed="false"/>
    <row r="24024" customFormat="false" ht="15" hidden="false" customHeight="true" outlineLevel="0" collapsed="false"/>
    <row r="24025" customFormat="false" ht="15" hidden="false" customHeight="true" outlineLevel="0" collapsed="false"/>
    <row r="24026" customFormat="false" ht="15" hidden="false" customHeight="true" outlineLevel="0" collapsed="false"/>
    <row r="24027" customFormat="false" ht="15" hidden="false" customHeight="true" outlineLevel="0" collapsed="false"/>
    <row r="24028" customFormat="false" ht="15" hidden="false" customHeight="true" outlineLevel="0" collapsed="false"/>
    <row r="24029" customFormat="false" ht="15" hidden="false" customHeight="true" outlineLevel="0" collapsed="false"/>
    <row r="24030" customFormat="false" ht="15" hidden="false" customHeight="true" outlineLevel="0" collapsed="false"/>
    <row r="24031" customFormat="false" ht="15" hidden="false" customHeight="true" outlineLevel="0" collapsed="false"/>
    <row r="24032" customFormat="false" ht="15" hidden="false" customHeight="true" outlineLevel="0" collapsed="false"/>
    <row r="24033" customFormat="false" ht="15" hidden="false" customHeight="true" outlineLevel="0" collapsed="false"/>
    <row r="24034" customFormat="false" ht="15" hidden="false" customHeight="true" outlineLevel="0" collapsed="false"/>
    <row r="24035" customFormat="false" ht="15" hidden="false" customHeight="true" outlineLevel="0" collapsed="false"/>
    <row r="24036" customFormat="false" ht="15" hidden="false" customHeight="true" outlineLevel="0" collapsed="false"/>
    <row r="24037" customFormat="false" ht="15" hidden="false" customHeight="true" outlineLevel="0" collapsed="false"/>
    <row r="24038" customFormat="false" ht="15" hidden="false" customHeight="true" outlineLevel="0" collapsed="false"/>
    <row r="24039" customFormat="false" ht="15" hidden="false" customHeight="true" outlineLevel="0" collapsed="false"/>
    <row r="24040" customFormat="false" ht="15" hidden="false" customHeight="true" outlineLevel="0" collapsed="false"/>
    <row r="24041" customFormat="false" ht="15" hidden="false" customHeight="true" outlineLevel="0" collapsed="false"/>
    <row r="24042" customFormat="false" ht="15" hidden="false" customHeight="true" outlineLevel="0" collapsed="false"/>
    <row r="24043" customFormat="false" ht="15" hidden="false" customHeight="true" outlineLevel="0" collapsed="false"/>
    <row r="24044" customFormat="false" ht="15" hidden="false" customHeight="true" outlineLevel="0" collapsed="false"/>
    <row r="24045" customFormat="false" ht="15" hidden="false" customHeight="true" outlineLevel="0" collapsed="false"/>
    <row r="24046" customFormat="false" ht="15" hidden="false" customHeight="true" outlineLevel="0" collapsed="false"/>
    <row r="24047" customFormat="false" ht="15" hidden="false" customHeight="true" outlineLevel="0" collapsed="false"/>
    <row r="24048" customFormat="false" ht="15" hidden="false" customHeight="true" outlineLevel="0" collapsed="false"/>
    <row r="24049" customFormat="false" ht="15" hidden="false" customHeight="true" outlineLevel="0" collapsed="false"/>
    <row r="24050" customFormat="false" ht="15" hidden="false" customHeight="true" outlineLevel="0" collapsed="false"/>
    <row r="24051" customFormat="false" ht="15" hidden="false" customHeight="true" outlineLevel="0" collapsed="false"/>
    <row r="24052" customFormat="false" ht="15" hidden="false" customHeight="true" outlineLevel="0" collapsed="false"/>
    <row r="24053" customFormat="false" ht="15" hidden="false" customHeight="true" outlineLevel="0" collapsed="false"/>
    <row r="24054" customFormat="false" ht="15" hidden="false" customHeight="true" outlineLevel="0" collapsed="false"/>
    <row r="24055" customFormat="false" ht="15" hidden="false" customHeight="true" outlineLevel="0" collapsed="false"/>
    <row r="24056" customFormat="false" ht="15" hidden="false" customHeight="true" outlineLevel="0" collapsed="false"/>
    <row r="24057" customFormat="false" ht="15" hidden="false" customHeight="true" outlineLevel="0" collapsed="false"/>
    <row r="24058" customFormat="false" ht="15" hidden="false" customHeight="true" outlineLevel="0" collapsed="false"/>
    <row r="24059" customFormat="false" ht="15" hidden="false" customHeight="true" outlineLevel="0" collapsed="false"/>
    <row r="24060" customFormat="false" ht="15" hidden="false" customHeight="true" outlineLevel="0" collapsed="false"/>
    <row r="24061" customFormat="false" ht="15" hidden="false" customHeight="true" outlineLevel="0" collapsed="false"/>
    <row r="24062" customFormat="false" ht="15" hidden="false" customHeight="true" outlineLevel="0" collapsed="false"/>
    <row r="24063" customFormat="false" ht="15" hidden="false" customHeight="true" outlineLevel="0" collapsed="false"/>
    <row r="24064" customFormat="false" ht="15" hidden="false" customHeight="true" outlineLevel="0" collapsed="false"/>
    <row r="24065" customFormat="false" ht="15" hidden="false" customHeight="true" outlineLevel="0" collapsed="false"/>
    <row r="24066" customFormat="false" ht="15" hidden="false" customHeight="true" outlineLevel="0" collapsed="false"/>
    <row r="24067" customFormat="false" ht="15" hidden="false" customHeight="true" outlineLevel="0" collapsed="false"/>
    <row r="24068" customFormat="false" ht="15" hidden="false" customHeight="true" outlineLevel="0" collapsed="false"/>
    <row r="24069" customFormat="false" ht="15" hidden="false" customHeight="true" outlineLevel="0" collapsed="false"/>
    <row r="24070" customFormat="false" ht="15" hidden="false" customHeight="true" outlineLevel="0" collapsed="false"/>
    <row r="24071" customFormat="false" ht="15" hidden="false" customHeight="true" outlineLevel="0" collapsed="false"/>
    <row r="24072" customFormat="false" ht="15" hidden="false" customHeight="true" outlineLevel="0" collapsed="false"/>
    <row r="24073" customFormat="false" ht="15" hidden="false" customHeight="true" outlineLevel="0" collapsed="false"/>
    <row r="24074" customFormat="false" ht="15" hidden="false" customHeight="true" outlineLevel="0" collapsed="false"/>
    <row r="24075" customFormat="false" ht="15" hidden="false" customHeight="true" outlineLevel="0" collapsed="false"/>
    <row r="24076" customFormat="false" ht="15" hidden="false" customHeight="true" outlineLevel="0" collapsed="false"/>
    <row r="24077" customFormat="false" ht="15" hidden="false" customHeight="true" outlineLevel="0" collapsed="false"/>
    <row r="24078" customFormat="false" ht="15" hidden="false" customHeight="true" outlineLevel="0" collapsed="false"/>
    <row r="24079" customFormat="false" ht="15" hidden="false" customHeight="true" outlineLevel="0" collapsed="false"/>
    <row r="24080" customFormat="false" ht="15" hidden="false" customHeight="true" outlineLevel="0" collapsed="false"/>
    <row r="24081" customFormat="false" ht="15" hidden="false" customHeight="true" outlineLevel="0" collapsed="false"/>
    <row r="24082" customFormat="false" ht="15" hidden="false" customHeight="true" outlineLevel="0" collapsed="false"/>
    <row r="24083" customFormat="false" ht="15" hidden="false" customHeight="true" outlineLevel="0" collapsed="false"/>
    <row r="24084" customFormat="false" ht="15" hidden="false" customHeight="true" outlineLevel="0" collapsed="false"/>
    <row r="24085" customFormat="false" ht="15" hidden="false" customHeight="true" outlineLevel="0" collapsed="false"/>
    <row r="24086" customFormat="false" ht="15" hidden="false" customHeight="true" outlineLevel="0" collapsed="false"/>
    <row r="24087" customFormat="false" ht="15" hidden="false" customHeight="true" outlineLevel="0" collapsed="false"/>
    <row r="24088" customFormat="false" ht="15" hidden="false" customHeight="true" outlineLevel="0" collapsed="false"/>
    <row r="24089" customFormat="false" ht="15" hidden="false" customHeight="true" outlineLevel="0" collapsed="false"/>
    <row r="24090" customFormat="false" ht="15" hidden="false" customHeight="true" outlineLevel="0" collapsed="false"/>
    <row r="24091" customFormat="false" ht="15" hidden="false" customHeight="true" outlineLevel="0" collapsed="false"/>
    <row r="24092" customFormat="false" ht="15" hidden="false" customHeight="true" outlineLevel="0" collapsed="false"/>
    <row r="24093" customFormat="false" ht="15" hidden="false" customHeight="true" outlineLevel="0" collapsed="false"/>
    <row r="24094" customFormat="false" ht="15" hidden="false" customHeight="true" outlineLevel="0" collapsed="false"/>
    <row r="24095" customFormat="false" ht="15" hidden="false" customHeight="true" outlineLevel="0" collapsed="false"/>
    <row r="24096" customFormat="false" ht="15" hidden="false" customHeight="true" outlineLevel="0" collapsed="false"/>
    <row r="24097" customFormat="false" ht="15" hidden="false" customHeight="true" outlineLevel="0" collapsed="false"/>
    <row r="24098" customFormat="false" ht="15" hidden="false" customHeight="true" outlineLevel="0" collapsed="false"/>
    <row r="24099" customFormat="false" ht="15" hidden="false" customHeight="true" outlineLevel="0" collapsed="false"/>
    <row r="24100" customFormat="false" ht="15" hidden="false" customHeight="true" outlineLevel="0" collapsed="false"/>
    <row r="24101" customFormat="false" ht="15" hidden="false" customHeight="true" outlineLevel="0" collapsed="false"/>
    <row r="24102" customFormat="false" ht="15" hidden="false" customHeight="true" outlineLevel="0" collapsed="false"/>
    <row r="24103" customFormat="false" ht="15" hidden="false" customHeight="true" outlineLevel="0" collapsed="false"/>
    <row r="24104" customFormat="false" ht="15" hidden="false" customHeight="true" outlineLevel="0" collapsed="false"/>
    <row r="24105" customFormat="false" ht="15" hidden="false" customHeight="true" outlineLevel="0" collapsed="false"/>
    <row r="24106" customFormat="false" ht="15" hidden="false" customHeight="true" outlineLevel="0" collapsed="false"/>
    <row r="24107" customFormat="false" ht="15" hidden="false" customHeight="true" outlineLevel="0" collapsed="false"/>
    <row r="24108" customFormat="false" ht="15" hidden="false" customHeight="true" outlineLevel="0" collapsed="false"/>
    <row r="24109" customFormat="false" ht="15" hidden="false" customHeight="true" outlineLevel="0" collapsed="false"/>
    <row r="24110" customFormat="false" ht="15" hidden="false" customHeight="true" outlineLevel="0" collapsed="false"/>
    <row r="24111" customFormat="false" ht="15" hidden="false" customHeight="true" outlineLevel="0" collapsed="false"/>
    <row r="24112" customFormat="false" ht="15" hidden="false" customHeight="true" outlineLevel="0" collapsed="false"/>
    <row r="24113" customFormat="false" ht="15" hidden="false" customHeight="true" outlineLevel="0" collapsed="false"/>
    <row r="24114" customFormat="false" ht="15" hidden="false" customHeight="true" outlineLevel="0" collapsed="false"/>
    <row r="24115" customFormat="false" ht="15" hidden="false" customHeight="true" outlineLevel="0" collapsed="false"/>
    <row r="24116" customFormat="false" ht="15" hidden="false" customHeight="true" outlineLevel="0" collapsed="false"/>
    <row r="24117" customFormat="false" ht="15" hidden="false" customHeight="true" outlineLevel="0" collapsed="false"/>
    <row r="24118" customFormat="false" ht="15" hidden="false" customHeight="true" outlineLevel="0" collapsed="false"/>
    <row r="24119" customFormat="false" ht="15" hidden="false" customHeight="true" outlineLevel="0" collapsed="false"/>
    <row r="24120" customFormat="false" ht="15" hidden="false" customHeight="true" outlineLevel="0" collapsed="false"/>
    <row r="24121" customFormat="false" ht="15" hidden="false" customHeight="true" outlineLevel="0" collapsed="false"/>
    <row r="24122" customFormat="false" ht="15" hidden="false" customHeight="true" outlineLevel="0" collapsed="false"/>
    <row r="24123" customFormat="false" ht="15" hidden="false" customHeight="true" outlineLevel="0" collapsed="false"/>
    <row r="24124" customFormat="false" ht="15" hidden="false" customHeight="true" outlineLevel="0" collapsed="false"/>
    <row r="24125" customFormat="false" ht="15" hidden="false" customHeight="true" outlineLevel="0" collapsed="false"/>
    <row r="24126" customFormat="false" ht="15" hidden="false" customHeight="true" outlineLevel="0" collapsed="false"/>
    <row r="24127" customFormat="false" ht="15" hidden="false" customHeight="true" outlineLevel="0" collapsed="false"/>
    <row r="24128" customFormat="false" ht="15" hidden="false" customHeight="true" outlineLevel="0" collapsed="false"/>
    <row r="24129" customFormat="false" ht="15" hidden="false" customHeight="true" outlineLevel="0" collapsed="false"/>
    <row r="24130" customFormat="false" ht="15" hidden="false" customHeight="true" outlineLevel="0" collapsed="false"/>
    <row r="24131" customFormat="false" ht="15" hidden="false" customHeight="true" outlineLevel="0" collapsed="false"/>
    <row r="24132" customFormat="false" ht="15" hidden="false" customHeight="true" outlineLevel="0" collapsed="false"/>
    <row r="24133" customFormat="false" ht="15" hidden="false" customHeight="true" outlineLevel="0" collapsed="false"/>
    <row r="24134" customFormat="false" ht="15" hidden="false" customHeight="true" outlineLevel="0" collapsed="false"/>
    <row r="24135" customFormat="false" ht="15" hidden="false" customHeight="true" outlineLevel="0" collapsed="false"/>
    <row r="24136" customFormat="false" ht="15" hidden="false" customHeight="true" outlineLevel="0" collapsed="false"/>
    <row r="24137" customFormat="false" ht="15" hidden="false" customHeight="true" outlineLevel="0" collapsed="false"/>
    <row r="24138" customFormat="false" ht="15" hidden="false" customHeight="true" outlineLevel="0" collapsed="false"/>
    <row r="24139" customFormat="false" ht="15" hidden="false" customHeight="true" outlineLevel="0" collapsed="false"/>
    <row r="24140" customFormat="false" ht="15" hidden="false" customHeight="true" outlineLevel="0" collapsed="false"/>
    <row r="24141" customFormat="false" ht="15" hidden="false" customHeight="true" outlineLevel="0" collapsed="false"/>
    <row r="24142" customFormat="false" ht="15" hidden="false" customHeight="true" outlineLevel="0" collapsed="false"/>
    <row r="24143" customFormat="false" ht="15" hidden="false" customHeight="true" outlineLevel="0" collapsed="false"/>
    <row r="24144" customFormat="false" ht="15" hidden="false" customHeight="true" outlineLevel="0" collapsed="false"/>
    <row r="24145" customFormat="false" ht="15" hidden="false" customHeight="true" outlineLevel="0" collapsed="false"/>
    <row r="24146" customFormat="false" ht="15" hidden="false" customHeight="true" outlineLevel="0" collapsed="false"/>
    <row r="24147" customFormat="false" ht="15" hidden="false" customHeight="true" outlineLevel="0" collapsed="false"/>
    <row r="24148" customFormat="false" ht="15" hidden="false" customHeight="true" outlineLevel="0" collapsed="false"/>
    <row r="24149" customFormat="false" ht="15" hidden="false" customHeight="true" outlineLevel="0" collapsed="false"/>
    <row r="24150" customFormat="false" ht="15" hidden="false" customHeight="true" outlineLevel="0" collapsed="false"/>
    <row r="24151" customFormat="false" ht="15" hidden="false" customHeight="true" outlineLevel="0" collapsed="false"/>
    <row r="24152" customFormat="false" ht="15" hidden="false" customHeight="true" outlineLevel="0" collapsed="false"/>
    <row r="24153" customFormat="false" ht="15" hidden="false" customHeight="true" outlineLevel="0" collapsed="false"/>
    <row r="24154" customFormat="false" ht="15" hidden="false" customHeight="true" outlineLevel="0" collapsed="false"/>
    <row r="24155" customFormat="false" ht="15" hidden="false" customHeight="true" outlineLevel="0" collapsed="false"/>
    <row r="24156" customFormat="false" ht="15" hidden="false" customHeight="true" outlineLevel="0" collapsed="false"/>
    <row r="24157" customFormat="false" ht="15" hidden="false" customHeight="true" outlineLevel="0" collapsed="false"/>
    <row r="24158" customFormat="false" ht="15" hidden="false" customHeight="true" outlineLevel="0" collapsed="false"/>
    <row r="24159" customFormat="false" ht="15" hidden="false" customHeight="true" outlineLevel="0" collapsed="false"/>
    <row r="24160" customFormat="false" ht="15" hidden="false" customHeight="true" outlineLevel="0" collapsed="false"/>
    <row r="24161" customFormat="false" ht="15" hidden="false" customHeight="true" outlineLevel="0" collapsed="false"/>
    <row r="24162" customFormat="false" ht="15" hidden="false" customHeight="true" outlineLevel="0" collapsed="false"/>
    <row r="24163" customFormat="false" ht="15" hidden="false" customHeight="true" outlineLevel="0" collapsed="false"/>
    <row r="24164" customFormat="false" ht="15" hidden="false" customHeight="true" outlineLevel="0" collapsed="false"/>
    <row r="24165" customFormat="false" ht="15" hidden="false" customHeight="true" outlineLevel="0" collapsed="false"/>
    <row r="24166" customFormat="false" ht="15" hidden="false" customHeight="true" outlineLevel="0" collapsed="false"/>
    <row r="24167" customFormat="false" ht="15" hidden="false" customHeight="true" outlineLevel="0" collapsed="false"/>
    <row r="24168" customFormat="false" ht="15" hidden="false" customHeight="true" outlineLevel="0" collapsed="false"/>
    <row r="24169" customFormat="false" ht="15" hidden="false" customHeight="true" outlineLevel="0" collapsed="false"/>
    <row r="24170" customFormat="false" ht="15" hidden="false" customHeight="true" outlineLevel="0" collapsed="false"/>
    <row r="24171" customFormat="false" ht="15" hidden="false" customHeight="true" outlineLevel="0" collapsed="false"/>
    <row r="24172" customFormat="false" ht="15" hidden="false" customHeight="true" outlineLevel="0" collapsed="false"/>
    <row r="24173" customFormat="false" ht="15" hidden="false" customHeight="true" outlineLevel="0" collapsed="false"/>
    <row r="24174" customFormat="false" ht="15" hidden="false" customHeight="true" outlineLevel="0" collapsed="false"/>
    <row r="24175" customFormat="false" ht="15" hidden="false" customHeight="true" outlineLevel="0" collapsed="false"/>
    <row r="24176" customFormat="false" ht="15" hidden="false" customHeight="true" outlineLevel="0" collapsed="false"/>
    <row r="24177" customFormat="false" ht="15" hidden="false" customHeight="true" outlineLevel="0" collapsed="false"/>
    <row r="24178" customFormat="false" ht="15" hidden="false" customHeight="true" outlineLevel="0" collapsed="false"/>
    <row r="24179" customFormat="false" ht="15" hidden="false" customHeight="true" outlineLevel="0" collapsed="false"/>
    <row r="24180" customFormat="false" ht="15" hidden="false" customHeight="true" outlineLevel="0" collapsed="false"/>
    <row r="24181" customFormat="false" ht="15" hidden="false" customHeight="true" outlineLevel="0" collapsed="false"/>
    <row r="24182" customFormat="false" ht="15" hidden="false" customHeight="true" outlineLevel="0" collapsed="false"/>
    <row r="24183" customFormat="false" ht="15" hidden="false" customHeight="true" outlineLevel="0" collapsed="false"/>
    <row r="24184" customFormat="false" ht="15" hidden="false" customHeight="true" outlineLevel="0" collapsed="false"/>
    <row r="24185" customFormat="false" ht="15" hidden="false" customHeight="true" outlineLevel="0" collapsed="false"/>
    <row r="24186" customFormat="false" ht="15" hidden="false" customHeight="true" outlineLevel="0" collapsed="false"/>
    <row r="24187" customFormat="false" ht="15" hidden="false" customHeight="true" outlineLevel="0" collapsed="false"/>
    <row r="24188" customFormat="false" ht="15" hidden="false" customHeight="true" outlineLevel="0" collapsed="false"/>
    <row r="24189" customFormat="false" ht="15" hidden="false" customHeight="true" outlineLevel="0" collapsed="false"/>
    <row r="24190" customFormat="false" ht="15" hidden="false" customHeight="true" outlineLevel="0" collapsed="false"/>
    <row r="24191" customFormat="false" ht="15" hidden="false" customHeight="true" outlineLevel="0" collapsed="false"/>
    <row r="24192" customFormat="false" ht="15" hidden="false" customHeight="true" outlineLevel="0" collapsed="false"/>
    <row r="24193" customFormat="false" ht="15" hidden="false" customHeight="true" outlineLevel="0" collapsed="false"/>
    <row r="24194" customFormat="false" ht="15" hidden="false" customHeight="true" outlineLevel="0" collapsed="false"/>
    <row r="24195" customFormat="false" ht="15" hidden="false" customHeight="true" outlineLevel="0" collapsed="false"/>
    <row r="24196" customFormat="false" ht="15" hidden="false" customHeight="true" outlineLevel="0" collapsed="false"/>
    <row r="24197" customFormat="false" ht="15" hidden="false" customHeight="true" outlineLevel="0" collapsed="false"/>
    <row r="24198" customFormat="false" ht="15" hidden="false" customHeight="true" outlineLevel="0" collapsed="false"/>
    <row r="24199" customFormat="false" ht="15" hidden="false" customHeight="true" outlineLevel="0" collapsed="false"/>
    <row r="24200" customFormat="false" ht="15" hidden="false" customHeight="true" outlineLevel="0" collapsed="false"/>
    <row r="24201" customFormat="false" ht="15" hidden="false" customHeight="true" outlineLevel="0" collapsed="false"/>
    <row r="24202" customFormat="false" ht="15" hidden="false" customHeight="true" outlineLevel="0" collapsed="false"/>
    <row r="24203" customFormat="false" ht="15" hidden="false" customHeight="true" outlineLevel="0" collapsed="false"/>
    <row r="24204" customFormat="false" ht="15" hidden="false" customHeight="true" outlineLevel="0" collapsed="false"/>
    <row r="24205" customFormat="false" ht="15" hidden="false" customHeight="true" outlineLevel="0" collapsed="false"/>
    <row r="24206" customFormat="false" ht="15" hidden="false" customHeight="true" outlineLevel="0" collapsed="false"/>
    <row r="24207" customFormat="false" ht="15" hidden="false" customHeight="true" outlineLevel="0" collapsed="false"/>
    <row r="24208" customFormat="false" ht="15" hidden="false" customHeight="true" outlineLevel="0" collapsed="false"/>
    <row r="24209" customFormat="false" ht="15" hidden="false" customHeight="true" outlineLevel="0" collapsed="false"/>
    <row r="24210" customFormat="false" ht="15" hidden="false" customHeight="true" outlineLevel="0" collapsed="false"/>
    <row r="24211" customFormat="false" ht="15" hidden="false" customHeight="true" outlineLevel="0" collapsed="false"/>
    <row r="24212" customFormat="false" ht="15" hidden="false" customHeight="true" outlineLevel="0" collapsed="false"/>
    <row r="24213" customFormat="false" ht="15" hidden="false" customHeight="true" outlineLevel="0" collapsed="false"/>
    <row r="24214" customFormat="false" ht="15" hidden="false" customHeight="true" outlineLevel="0" collapsed="false"/>
    <row r="24215" customFormat="false" ht="15" hidden="false" customHeight="true" outlineLevel="0" collapsed="false"/>
    <row r="24216" customFormat="false" ht="15" hidden="false" customHeight="true" outlineLevel="0" collapsed="false"/>
    <row r="24217" customFormat="false" ht="15" hidden="false" customHeight="true" outlineLevel="0" collapsed="false"/>
    <row r="24218" customFormat="false" ht="15" hidden="false" customHeight="true" outlineLevel="0" collapsed="false"/>
    <row r="24219" customFormat="false" ht="15" hidden="false" customHeight="true" outlineLevel="0" collapsed="false"/>
    <row r="24220" customFormat="false" ht="15" hidden="false" customHeight="true" outlineLevel="0" collapsed="false"/>
    <row r="24221" customFormat="false" ht="15" hidden="false" customHeight="true" outlineLevel="0" collapsed="false"/>
    <row r="24222" customFormat="false" ht="15" hidden="false" customHeight="true" outlineLevel="0" collapsed="false"/>
    <row r="24223" customFormat="false" ht="15" hidden="false" customHeight="true" outlineLevel="0" collapsed="false"/>
    <row r="24224" customFormat="false" ht="15" hidden="false" customHeight="true" outlineLevel="0" collapsed="false"/>
    <row r="24225" customFormat="false" ht="15" hidden="false" customHeight="true" outlineLevel="0" collapsed="false"/>
    <row r="24226" customFormat="false" ht="15" hidden="false" customHeight="true" outlineLevel="0" collapsed="false"/>
    <row r="24227" customFormat="false" ht="15" hidden="false" customHeight="true" outlineLevel="0" collapsed="false"/>
    <row r="24228" customFormat="false" ht="15" hidden="false" customHeight="true" outlineLevel="0" collapsed="false"/>
    <row r="24229" customFormat="false" ht="15" hidden="false" customHeight="true" outlineLevel="0" collapsed="false"/>
    <row r="24230" customFormat="false" ht="15" hidden="false" customHeight="true" outlineLevel="0" collapsed="false"/>
    <row r="24231" customFormat="false" ht="15" hidden="false" customHeight="true" outlineLevel="0" collapsed="false"/>
    <row r="24232" customFormat="false" ht="15" hidden="false" customHeight="true" outlineLevel="0" collapsed="false"/>
    <row r="24233" customFormat="false" ht="15" hidden="false" customHeight="true" outlineLevel="0" collapsed="false"/>
    <row r="24234" customFormat="false" ht="15" hidden="false" customHeight="true" outlineLevel="0" collapsed="false"/>
    <row r="24235" customFormat="false" ht="15" hidden="false" customHeight="true" outlineLevel="0" collapsed="false"/>
    <row r="24236" customFormat="false" ht="15" hidden="false" customHeight="true" outlineLevel="0" collapsed="false"/>
    <row r="24237" customFormat="false" ht="15" hidden="false" customHeight="true" outlineLevel="0" collapsed="false"/>
    <row r="24238" customFormat="false" ht="15" hidden="false" customHeight="true" outlineLevel="0" collapsed="false"/>
    <row r="24239" customFormat="false" ht="15" hidden="false" customHeight="true" outlineLevel="0" collapsed="false"/>
    <row r="24240" customFormat="false" ht="15" hidden="false" customHeight="true" outlineLevel="0" collapsed="false"/>
    <row r="24241" customFormat="false" ht="15" hidden="false" customHeight="true" outlineLevel="0" collapsed="false"/>
    <row r="24242" customFormat="false" ht="15" hidden="false" customHeight="true" outlineLevel="0" collapsed="false"/>
    <row r="24243" customFormat="false" ht="15" hidden="false" customHeight="true" outlineLevel="0" collapsed="false"/>
    <row r="24244" customFormat="false" ht="15" hidden="false" customHeight="true" outlineLevel="0" collapsed="false"/>
    <row r="24245" customFormat="false" ht="15" hidden="false" customHeight="true" outlineLevel="0" collapsed="false"/>
    <row r="24246" customFormat="false" ht="15" hidden="false" customHeight="true" outlineLevel="0" collapsed="false"/>
    <row r="24247" customFormat="false" ht="15" hidden="false" customHeight="true" outlineLevel="0" collapsed="false"/>
    <row r="24248" customFormat="false" ht="15" hidden="false" customHeight="true" outlineLevel="0" collapsed="false"/>
    <row r="24249" customFormat="false" ht="15" hidden="false" customHeight="true" outlineLevel="0" collapsed="false"/>
    <row r="24250" customFormat="false" ht="15" hidden="false" customHeight="true" outlineLevel="0" collapsed="false"/>
    <row r="24251" customFormat="false" ht="15" hidden="false" customHeight="true" outlineLevel="0" collapsed="false"/>
    <row r="24252" customFormat="false" ht="15" hidden="false" customHeight="true" outlineLevel="0" collapsed="false"/>
    <row r="24253" customFormat="false" ht="15" hidden="false" customHeight="true" outlineLevel="0" collapsed="false"/>
    <row r="24254" customFormat="false" ht="15" hidden="false" customHeight="true" outlineLevel="0" collapsed="false"/>
    <row r="24255" customFormat="false" ht="15" hidden="false" customHeight="true" outlineLevel="0" collapsed="false"/>
    <row r="24256" customFormat="false" ht="15" hidden="false" customHeight="true" outlineLevel="0" collapsed="false"/>
    <row r="24257" customFormat="false" ht="15" hidden="false" customHeight="true" outlineLevel="0" collapsed="false"/>
    <row r="24258" customFormat="false" ht="15" hidden="false" customHeight="true" outlineLevel="0" collapsed="false"/>
    <row r="24259" customFormat="false" ht="15" hidden="false" customHeight="true" outlineLevel="0" collapsed="false"/>
    <row r="24260" customFormat="false" ht="15" hidden="false" customHeight="true" outlineLevel="0" collapsed="false"/>
    <row r="24261" customFormat="false" ht="15" hidden="false" customHeight="true" outlineLevel="0" collapsed="false"/>
    <row r="24262" customFormat="false" ht="15" hidden="false" customHeight="true" outlineLevel="0" collapsed="false"/>
    <row r="24263" customFormat="false" ht="15" hidden="false" customHeight="true" outlineLevel="0" collapsed="false"/>
    <row r="24264" customFormat="false" ht="15" hidden="false" customHeight="true" outlineLevel="0" collapsed="false"/>
    <row r="24265" customFormat="false" ht="15" hidden="false" customHeight="true" outlineLevel="0" collapsed="false"/>
    <row r="24266" customFormat="false" ht="15" hidden="false" customHeight="true" outlineLevel="0" collapsed="false"/>
    <row r="24267" customFormat="false" ht="15" hidden="false" customHeight="true" outlineLevel="0" collapsed="false"/>
    <row r="24268" customFormat="false" ht="15" hidden="false" customHeight="true" outlineLevel="0" collapsed="false"/>
    <row r="24269" customFormat="false" ht="15" hidden="false" customHeight="true" outlineLevel="0" collapsed="false"/>
    <row r="24270" customFormat="false" ht="15" hidden="false" customHeight="true" outlineLevel="0" collapsed="false"/>
    <row r="24271" customFormat="false" ht="15" hidden="false" customHeight="true" outlineLevel="0" collapsed="false"/>
    <row r="24272" customFormat="false" ht="15" hidden="false" customHeight="true" outlineLevel="0" collapsed="false"/>
    <row r="24273" customFormat="false" ht="15" hidden="false" customHeight="true" outlineLevel="0" collapsed="false"/>
    <row r="24274" customFormat="false" ht="15" hidden="false" customHeight="true" outlineLevel="0" collapsed="false"/>
    <row r="24275" customFormat="false" ht="15" hidden="false" customHeight="true" outlineLevel="0" collapsed="false"/>
    <row r="24276" customFormat="false" ht="15" hidden="false" customHeight="true" outlineLevel="0" collapsed="false"/>
    <row r="24277" customFormat="false" ht="15" hidden="false" customHeight="true" outlineLevel="0" collapsed="false"/>
    <row r="24278" customFormat="false" ht="15" hidden="false" customHeight="true" outlineLevel="0" collapsed="false"/>
    <row r="24279" customFormat="false" ht="15" hidden="false" customHeight="true" outlineLevel="0" collapsed="false"/>
    <row r="24280" customFormat="false" ht="15" hidden="false" customHeight="true" outlineLevel="0" collapsed="false"/>
    <row r="24281" customFormat="false" ht="15" hidden="false" customHeight="true" outlineLevel="0" collapsed="false"/>
    <row r="24282" customFormat="false" ht="15" hidden="false" customHeight="true" outlineLevel="0" collapsed="false"/>
    <row r="24283" customFormat="false" ht="15" hidden="false" customHeight="true" outlineLevel="0" collapsed="false"/>
    <row r="24284" customFormat="false" ht="15" hidden="false" customHeight="true" outlineLevel="0" collapsed="false"/>
    <row r="24285" customFormat="false" ht="15" hidden="false" customHeight="true" outlineLevel="0" collapsed="false"/>
    <row r="24286" customFormat="false" ht="15" hidden="false" customHeight="true" outlineLevel="0" collapsed="false"/>
    <row r="24287" customFormat="false" ht="15" hidden="false" customHeight="true" outlineLevel="0" collapsed="false"/>
    <row r="24288" customFormat="false" ht="15" hidden="false" customHeight="true" outlineLevel="0" collapsed="false"/>
    <row r="24289" customFormat="false" ht="15" hidden="false" customHeight="true" outlineLevel="0" collapsed="false"/>
    <row r="24290" customFormat="false" ht="15" hidden="false" customHeight="true" outlineLevel="0" collapsed="false"/>
    <row r="24291" customFormat="false" ht="15" hidden="false" customHeight="true" outlineLevel="0" collapsed="false"/>
    <row r="24292" customFormat="false" ht="15" hidden="false" customHeight="true" outlineLevel="0" collapsed="false"/>
    <row r="24293" customFormat="false" ht="15" hidden="false" customHeight="true" outlineLevel="0" collapsed="false"/>
    <row r="24294" customFormat="false" ht="15" hidden="false" customHeight="true" outlineLevel="0" collapsed="false"/>
    <row r="24295" customFormat="false" ht="15" hidden="false" customHeight="true" outlineLevel="0" collapsed="false"/>
    <row r="24296" customFormat="false" ht="15" hidden="false" customHeight="true" outlineLevel="0" collapsed="false"/>
    <row r="24297" customFormat="false" ht="15" hidden="false" customHeight="true" outlineLevel="0" collapsed="false"/>
    <row r="24298" customFormat="false" ht="15" hidden="false" customHeight="true" outlineLevel="0" collapsed="false"/>
    <row r="24299" customFormat="false" ht="15" hidden="false" customHeight="true" outlineLevel="0" collapsed="false"/>
    <row r="24300" customFormat="false" ht="15" hidden="false" customHeight="true" outlineLevel="0" collapsed="false"/>
    <row r="24301" customFormat="false" ht="15" hidden="false" customHeight="true" outlineLevel="0" collapsed="false"/>
    <row r="24302" customFormat="false" ht="15" hidden="false" customHeight="true" outlineLevel="0" collapsed="false"/>
    <row r="24303" customFormat="false" ht="15" hidden="false" customHeight="true" outlineLevel="0" collapsed="false"/>
    <row r="24304" customFormat="false" ht="15" hidden="false" customHeight="true" outlineLevel="0" collapsed="false"/>
    <row r="24305" customFormat="false" ht="15" hidden="false" customHeight="true" outlineLevel="0" collapsed="false"/>
    <row r="24306" customFormat="false" ht="15" hidden="false" customHeight="true" outlineLevel="0" collapsed="false"/>
    <row r="24307" customFormat="false" ht="15" hidden="false" customHeight="true" outlineLevel="0" collapsed="false"/>
    <row r="24308" customFormat="false" ht="15" hidden="false" customHeight="true" outlineLevel="0" collapsed="false"/>
    <row r="24309" customFormat="false" ht="15" hidden="false" customHeight="true" outlineLevel="0" collapsed="false"/>
    <row r="24310" customFormat="false" ht="15" hidden="false" customHeight="true" outlineLevel="0" collapsed="false"/>
    <row r="24311" customFormat="false" ht="15" hidden="false" customHeight="true" outlineLevel="0" collapsed="false"/>
    <row r="24312" customFormat="false" ht="15" hidden="false" customHeight="true" outlineLevel="0" collapsed="false"/>
    <row r="24313" customFormat="false" ht="15" hidden="false" customHeight="true" outlineLevel="0" collapsed="false"/>
    <row r="24314" customFormat="false" ht="15" hidden="false" customHeight="true" outlineLevel="0" collapsed="false"/>
    <row r="24315" customFormat="false" ht="15" hidden="false" customHeight="true" outlineLevel="0" collapsed="false"/>
    <row r="24316" customFormat="false" ht="15" hidden="false" customHeight="true" outlineLevel="0" collapsed="false"/>
    <row r="24317" customFormat="false" ht="15" hidden="false" customHeight="true" outlineLevel="0" collapsed="false"/>
    <row r="24318" customFormat="false" ht="15" hidden="false" customHeight="true" outlineLevel="0" collapsed="false"/>
    <row r="24319" customFormat="false" ht="15" hidden="false" customHeight="true" outlineLevel="0" collapsed="false"/>
    <row r="24320" customFormat="false" ht="15" hidden="false" customHeight="true" outlineLevel="0" collapsed="false"/>
    <row r="24321" customFormat="false" ht="15" hidden="false" customHeight="true" outlineLevel="0" collapsed="false"/>
    <row r="24322" customFormat="false" ht="15" hidden="false" customHeight="true" outlineLevel="0" collapsed="false"/>
    <row r="24323" customFormat="false" ht="15" hidden="false" customHeight="true" outlineLevel="0" collapsed="false"/>
    <row r="24324" customFormat="false" ht="15" hidden="false" customHeight="true" outlineLevel="0" collapsed="false"/>
    <row r="24325" customFormat="false" ht="15" hidden="false" customHeight="true" outlineLevel="0" collapsed="false"/>
    <row r="24326" customFormat="false" ht="15" hidden="false" customHeight="true" outlineLevel="0" collapsed="false"/>
    <row r="24327" customFormat="false" ht="15" hidden="false" customHeight="true" outlineLevel="0" collapsed="false"/>
    <row r="24328" customFormat="false" ht="15" hidden="false" customHeight="true" outlineLevel="0" collapsed="false"/>
    <row r="24329" customFormat="false" ht="15" hidden="false" customHeight="true" outlineLevel="0" collapsed="false"/>
    <row r="24330" customFormat="false" ht="15" hidden="false" customHeight="true" outlineLevel="0" collapsed="false"/>
    <row r="24331" customFormat="false" ht="15" hidden="false" customHeight="true" outlineLevel="0" collapsed="false"/>
    <row r="24332" customFormat="false" ht="15" hidden="false" customHeight="true" outlineLevel="0" collapsed="false"/>
    <row r="24333" customFormat="false" ht="15" hidden="false" customHeight="true" outlineLevel="0" collapsed="false"/>
    <row r="24334" customFormat="false" ht="15" hidden="false" customHeight="true" outlineLevel="0" collapsed="false"/>
    <row r="24335" customFormat="false" ht="15" hidden="false" customHeight="true" outlineLevel="0" collapsed="false"/>
    <row r="24336" customFormat="false" ht="15" hidden="false" customHeight="true" outlineLevel="0" collapsed="false"/>
    <row r="24337" customFormat="false" ht="15" hidden="false" customHeight="true" outlineLevel="0" collapsed="false"/>
    <row r="24338" customFormat="false" ht="15" hidden="false" customHeight="true" outlineLevel="0" collapsed="false"/>
    <row r="24339" customFormat="false" ht="15" hidden="false" customHeight="true" outlineLevel="0" collapsed="false"/>
    <row r="24340" customFormat="false" ht="15" hidden="false" customHeight="true" outlineLevel="0" collapsed="false"/>
    <row r="24341" customFormat="false" ht="15" hidden="false" customHeight="true" outlineLevel="0" collapsed="false"/>
    <row r="24342" customFormat="false" ht="15" hidden="false" customHeight="true" outlineLevel="0" collapsed="false"/>
    <row r="24343" customFormat="false" ht="15" hidden="false" customHeight="true" outlineLevel="0" collapsed="false"/>
    <row r="24344" customFormat="false" ht="15" hidden="false" customHeight="true" outlineLevel="0" collapsed="false"/>
    <row r="24345" customFormat="false" ht="15" hidden="false" customHeight="true" outlineLevel="0" collapsed="false"/>
    <row r="24346" customFormat="false" ht="15" hidden="false" customHeight="true" outlineLevel="0" collapsed="false"/>
    <row r="24347" customFormat="false" ht="15" hidden="false" customHeight="true" outlineLevel="0" collapsed="false"/>
    <row r="24348" customFormat="false" ht="15" hidden="false" customHeight="true" outlineLevel="0" collapsed="false"/>
    <row r="24349" customFormat="false" ht="15" hidden="false" customHeight="true" outlineLevel="0" collapsed="false"/>
    <row r="24350" customFormat="false" ht="15" hidden="false" customHeight="true" outlineLevel="0" collapsed="false"/>
    <row r="24351" customFormat="false" ht="15" hidden="false" customHeight="true" outlineLevel="0" collapsed="false"/>
    <row r="24352" customFormat="false" ht="15" hidden="false" customHeight="true" outlineLevel="0" collapsed="false"/>
    <row r="24353" customFormat="false" ht="15" hidden="false" customHeight="true" outlineLevel="0" collapsed="false"/>
    <row r="24354" customFormat="false" ht="15" hidden="false" customHeight="true" outlineLevel="0" collapsed="false"/>
    <row r="24355" customFormat="false" ht="15" hidden="false" customHeight="true" outlineLevel="0" collapsed="false"/>
    <row r="24356" customFormat="false" ht="15" hidden="false" customHeight="true" outlineLevel="0" collapsed="false"/>
    <row r="24357" customFormat="false" ht="15" hidden="false" customHeight="true" outlineLevel="0" collapsed="false"/>
    <row r="24358" customFormat="false" ht="15" hidden="false" customHeight="true" outlineLevel="0" collapsed="false"/>
    <row r="24359" customFormat="false" ht="15" hidden="false" customHeight="true" outlineLevel="0" collapsed="false"/>
    <row r="24360" customFormat="false" ht="15" hidden="false" customHeight="true" outlineLevel="0" collapsed="false"/>
    <row r="24361" customFormat="false" ht="15" hidden="false" customHeight="true" outlineLevel="0" collapsed="false"/>
    <row r="24362" customFormat="false" ht="15" hidden="false" customHeight="true" outlineLevel="0" collapsed="false"/>
    <row r="24363" customFormat="false" ht="15" hidden="false" customHeight="true" outlineLevel="0" collapsed="false"/>
    <row r="24364" customFormat="false" ht="15" hidden="false" customHeight="true" outlineLevel="0" collapsed="false"/>
    <row r="24365" customFormat="false" ht="15" hidden="false" customHeight="true" outlineLevel="0" collapsed="false"/>
    <row r="24366" customFormat="false" ht="15" hidden="false" customHeight="true" outlineLevel="0" collapsed="false"/>
    <row r="24367" customFormat="false" ht="15" hidden="false" customHeight="true" outlineLevel="0" collapsed="false"/>
    <row r="24368" customFormat="false" ht="15" hidden="false" customHeight="true" outlineLevel="0" collapsed="false"/>
    <row r="24369" customFormat="false" ht="15" hidden="false" customHeight="true" outlineLevel="0" collapsed="false"/>
    <row r="24370" customFormat="false" ht="15" hidden="false" customHeight="true" outlineLevel="0" collapsed="false"/>
    <row r="24371" customFormat="false" ht="15" hidden="false" customHeight="true" outlineLevel="0" collapsed="false"/>
    <row r="24372" customFormat="false" ht="15" hidden="false" customHeight="true" outlineLevel="0" collapsed="false"/>
    <row r="24373" customFormat="false" ht="15" hidden="false" customHeight="true" outlineLevel="0" collapsed="false"/>
    <row r="24374" customFormat="false" ht="15" hidden="false" customHeight="true" outlineLevel="0" collapsed="false"/>
    <row r="24375" customFormat="false" ht="15" hidden="false" customHeight="true" outlineLevel="0" collapsed="false"/>
    <row r="24376" customFormat="false" ht="15" hidden="false" customHeight="true" outlineLevel="0" collapsed="false"/>
    <row r="24377" customFormat="false" ht="15" hidden="false" customHeight="true" outlineLevel="0" collapsed="false"/>
    <row r="24378" customFormat="false" ht="15" hidden="false" customHeight="true" outlineLevel="0" collapsed="false"/>
    <row r="24379" customFormat="false" ht="15" hidden="false" customHeight="true" outlineLevel="0" collapsed="false"/>
    <row r="24380" customFormat="false" ht="15" hidden="false" customHeight="true" outlineLevel="0" collapsed="false"/>
    <row r="24381" customFormat="false" ht="15" hidden="false" customHeight="true" outlineLevel="0" collapsed="false"/>
    <row r="24382" customFormat="false" ht="15" hidden="false" customHeight="true" outlineLevel="0" collapsed="false"/>
    <row r="24383" customFormat="false" ht="15" hidden="false" customHeight="true" outlineLevel="0" collapsed="false"/>
    <row r="24384" customFormat="false" ht="15" hidden="false" customHeight="true" outlineLevel="0" collapsed="false"/>
    <row r="24385" customFormat="false" ht="15" hidden="false" customHeight="true" outlineLevel="0" collapsed="false"/>
    <row r="24386" customFormat="false" ht="15" hidden="false" customHeight="true" outlineLevel="0" collapsed="false"/>
    <row r="24387" customFormat="false" ht="15" hidden="false" customHeight="true" outlineLevel="0" collapsed="false"/>
    <row r="24388" customFormat="false" ht="15" hidden="false" customHeight="true" outlineLevel="0" collapsed="false"/>
    <row r="24389" customFormat="false" ht="15" hidden="false" customHeight="true" outlineLevel="0" collapsed="false"/>
    <row r="24390" customFormat="false" ht="15" hidden="false" customHeight="true" outlineLevel="0" collapsed="false"/>
    <row r="24391" customFormat="false" ht="15" hidden="false" customHeight="true" outlineLevel="0" collapsed="false"/>
    <row r="24392" customFormat="false" ht="15" hidden="false" customHeight="true" outlineLevel="0" collapsed="false"/>
    <row r="24393" customFormat="false" ht="15" hidden="false" customHeight="true" outlineLevel="0" collapsed="false"/>
    <row r="24394" customFormat="false" ht="15" hidden="false" customHeight="true" outlineLevel="0" collapsed="false"/>
    <row r="24395" customFormat="false" ht="15" hidden="false" customHeight="true" outlineLevel="0" collapsed="false"/>
    <row r="24396" customFormat="false" ht="15" hidden="false" customHeight="true" outlineLevel="0" collapsed="false"/>
    <row r="24397" customFormat="false" ht="15" hidden="false" customHeight="true" outlineLevel="0" collapsed="false"/>
    <row r="24398" customFormat="false" ht="15" hidden="false" customHeight="true" outlineLevel="0" collapsed="false"/>
    <row r="24399" customFormat="false" ht="15" hidden="false" customHeight="true" outlineLevel="0" collapsed="false"/>
    <row r="24400" customFormat="false" ht="15" hidden="false" customHeight="true" outlineLevel="0" collapsed="false"/>
    <row r="24401" customFormat="false" ht="15" hidden="false" customHeight="true" outlineLevel="0" collapsed="false"/>
    <row r="24402" customFormat="false" ht="15" hidden="false" customHeight="true" outlineLevel="0" collapsed="false"/>
    <row r="24403" customFormat="false" ht="15" hidden="false" customHeight="true" outlineLevel="0" collapsed="false"/>
    <row r="24404" customFormat="false" ht="15" hidden="false" customHeight="true" outlineLevel="0" collapsed="false"/>
    <row r="24405" customFormat="false" ht="15" hidden="false" customHeight="true" outlineLevel="0" collapsed="false"/>
    <row r="24406" customFormat="false" ht="15" hidden="false" customHeight="true" outlineLevel="0" collapsed="false"/>
    <row r="24407" customFormat="false" ht="15" hidden="false" customHeight="true" outlineLevel="0" collapsed="false"/>
    <row r="24408" customFormat="false" ht="15" hidden="false" customHeight="true" outlineLevel="0" collapsed="false"/>
    <row r="24409" customFormat="false" ht="15" hidden="false" customHeight="true" outlineLevel="0" collapsed="false"/>
    <row r="24410" customFormat="false" ht="15" hidden="false" customHeight="true" outlineLevel="0" collapsed="false"/>
    <row r="24411" customFormat="false" ht="15" hidden="false" customHeight="true" outlineLevel="0" collapsed="false"/>
    <row r="24412" customFormat="false" ht="15" hidden="false" customHeight="true" outlineLevel="0" collapsed="false"/>
    <row r="24413" customFormat="false" ht="15" hidden="false" customHeight="true" outlineLevel="0" collapsed="false"/>
    <row r="24414" customFormat="false" ht="15" hidden="false" customHeight="true" outlineLevel="0" collapsed="false"/>
    <row r="24415" customFormat="false" ht="15" hidden="false" customHeight="true" outlineLevel="0" collapsed="false"/>
    <row r="24416" customFormat="false" ht="15" hidden="false" customHeight="true" outlineLevel="0" collapsed="false"/>
    <row r="24417" customFormat="false" ht="15" hidden="false" customHeight="true" outlineLevel="0" collapsed="false"/>
    <row r="24418" customFormat="false" ht="15" hidden="false" customHeight="true" outlineLevel="0" collapsed="false"/>
    <row r="24419" customFormat="false" ht="15" hidden="false" customHeight="true" outlineLevel="0" collapsed="false"/>
    <row r="24420" customFormat="false" ht="15" hidden="false" customHeight="true" outlineLevel="0" collapsed="false"/>
    <row r="24421" customFormat="false" ht="15" hidden="false" customHeight="true" outlineLevel="0" collapsed="false"/>
    <row r="24422" customFormat="false" ht="15" hidden="false" customHeight="true" outlineLevel="0" collapsed="false"/>
    <row r="24423" customFormat="false" ht="15" hidden="false" customHeight="true" outlineLevel="0" collapsed="false"/>
    <row r="24424" customFormat="false" ht="15" hidden="false" customHeight="true" outlineLevel="0" collapsed="false"/>
    <row r="24425" customFormat="false" ht="15" hidden="false" customHeight="true" outlineLevel="0" collapsed="false"/>
    <row r="24426" customFormat="false" ht="15" hidden="false" customHeight="true" outlineLevel="0" collapsed="false"/>
    <row r="24427" customFormat="false" ht="15" hidden="false" customHeight="true" outlineLevel="0" collapsed="false"/>
    <row r="24428" customFormat="false" ht="15" hidden="false" customHeight="true" outlineLevel="0" collapsed="false"/>
    <row r="24429" customFormat="false" ht="15" hidden="false" customHeight="true" outlineLevel="0" collapsed="false"/>
    <row r="24430" customFormat="false" ht="15" hidden="false" customHeight="true" outlineLevel="0" collapsed="false"/>
    <row r="24431" customFormat="false" ht="15" hidden="false" customHeight="true" outlineLevel="0" collapsed="false"/>
    <row r="24432" customFormat="false" ht="15" hidden="false" customHeight="true" outlineLevel="0" collapsed="false"/>
    <row r="24433" customFormat="false" ht="15" hidden="false" customHeight="true" outlineLevel="0" collapsed="false"/>
    <row r="24434" customFormat="false" ht="15" hidden="false" customHeight="true" outlineLevel="0" collapsed="false"/>
    <row r="24435" customFormat="false" ht="15" hidden="false" customHeight="true" outlineLevel="0" collapsed="false"/>
    <row r="24436" customFormat="false" ht="15" hidden="false" customHeight="true" outlineLevel="0" collapsed="false"/>
    <row r="24437" customFormat="false" ht="15" hidden="false" customHeight="true" outlineLevel="0" collapsed="false"/>
    <row r="24438" customFormat="false" ht="15" hidden="false" customHeight="true" outlineLevel="0" collapsed="false"/>
    <row r="24439" customFormat="false" ht="15" hidden="false" customHeight="true" outlineLevel="0" collapsed="false"/>
    <row r="24440" customFormat="false" ht="15" hidden="false" customHeight="true" outlineLevel="0" collapsed="false"/>
    <row r="24441" customFormat="false" ht="15" hidden="false" customHeight="true" outlineLevel="0" collapsed="false"/>
    <row r="24442" customFormat="false" ht="15" hidden="false" customHeight="true" outlineLevel="0" collapsed="false"/>
    <row r="24443" customFormat="false" ht="15" hidden="false" customHeight="true" outlineLevel="0" collapsed="false"/>
    <row r="24444" customFormat="false" ht="15" hidden="false" customHeight="true" outlineLevel="0" collapsed="false"/>
    <row r="24445" customFormat="false" ht="15" hidden="false" customHeight="true" outlineLevel="0" collapsed="false"/>
    <row r="24446" customFormat="false" ht="15" hidden="false" customHeight="true" outlineLevel="0" collapsed="false"/>
    <row r="24447" customFormat="false" ht="15" hidden="false" customHeight="true" outlineLevel="0" collapsed="false"/>
    <row r="24448" customFormat="false" ht="15" hidden="false" customHeight="true" outlineLevel="0" collapsed="false"/>
    <row r="24449" customFormat="false" ht="15" hidden="false" customHeight="true" outlineLevel="0" collapsed="false"/>
    <row r="24450" customFormat="false" ht="15" hidden="false" customHeight="true" outlineLevel="0" collapsed="false"/>
    <row r="24451" customFormat="false" ht="15" hidden="false" customHeight="true" outlineLevel="0" collapsed="false"/>
    <row r="24452" customFormat="false" ht="15" hidden="false" customHeight="true" outlineLevel="0" collapsed="false"/>
    <row r="24453" customFormat="false" ht="15" hidden="false" customHeight="true" outlineLevel="0" collapsed="false"/>
    <row r="24454" customFormat="false" ht="15" hidden="false" customHeight="true" outlineLevel="0" collapsed="false"/>
    <row r="24455" customFormat="false" ht="15" hidden="false" customHeight="true" outlineLevel="0" collapsed="false"/>
    <row r="24456" customFormat="false" ht="15" hidden="false" customHeight="true" outlineLevel="0" collapsed="false"/>
    <row r="24457" customFormat="false" ht="15" hidden="false" customHeight="true" outlineLevel="0" collapsed="false"/>
    <row r="24458" customFormat="false" ht="15" hidden="false" customHeight="true" outlineLevel="0" collapsed="false"/>
    <row r="24459" customFormat="false" ht="15" hidden="false" customHeight="true" outlineLevel="0" collapsed="false"/>
    <row r="24460" customFormat="false" ht="15" hidden="false" customHeight="true" outlineLevel="0" collapsed="false"/>
    <row r="24461" customFormat="false" ht="15" hidden="false" customHeight="true" outlineLevel="0" collapsed="false"/>
    <row r="24462" customFormat="false" ht="15" hidden="false" customHeight="true" outlineLevel="0" collapsed="false"/>
    <row r="24463" customFormat="false" ht="15" hidden="false" customHeight="true" outlineLevel="0" collapsed="false"/>
    <row r="24464" customFormat="false" ht="15" hidden="false" customHeight="true" outlineLevel="0" collapsed="false"/>
    <row r="24465" customFormat="false" ht="15" hidden="false" customHeight="true" outlineLevel="0" collapsed="false"/>
    <row r="24466" customFormat="false" ht="15" hidden="false" customHeight="true" outlineLevel="0" collapsed="false"/>
    <row r="24467" customFormat="false" ht="15" hidden="false" customHeight="true" outlineLevel="0" collapsed="false"/>
    <row r="24468" customFormat="false" ht="15" hidden="false" customHeight="true" outlineLevel="0" collapsed="false"/>
    <row r="24469" customFormat="false" ht="15" hidden="false" customHeight="true" outlineLevel="0" collapsed="false"/>
    <row r="24470" customFormat="false" ht="15" hidden="false" customHeight="true" outlineLevel="0" collapsed="false"/>
    <row r="24471" customFormat="false" ht="15" hidden="false" customHeight="true" outlineLevel="0" collapsed="false"/>
    <row r="24472" customFormat="false" ht="15" hidden="false" customHeight="true" outlineLevel="0" collapsed="false"/>
    <row r="24473" customFormat="false" ht="15" hidden="false" customHeight="true" outlineLevel="0" collapsed="false"/>
    <row r="24474" customFormat="false" ht="15" hidden="false" customHeight="true" outlineLevel="0" collapsed="false"/>
    <row r="24475" customFormat="false" ht="15" hidden="false" customHeight="true" outlineLevel="0" collapsed="false"/>
    <row r="24476" customFormat="false" ht="15" hidden="false" customHeight="true" outlineLevel="0" collapsed="false"/>
    <row r="24477" customFormat="false" ht="15" hidden="false" customHeight="true" outlineLevel="0" collapsed="false"/>
    <row r="24478" customFormat="false" ht="15" hidden="false" customHeight="true" outlineLevel="0" collapsed="false"/>
    <row r="24479" customFormat="false" ht="15" hidden="false" customHeight="true" outlineLevel="0" collapsed="false"/>
    <row r="24480" customFormat="false" ht="15" hidden="false" customHeight="true" outlineLevel="0" collapsed="false"/>
    <row r="24481" customFormat="false" ht="15" hidden="false" customHeight="true" outlineLevel="0" collapsed="false"/>
    <row r="24482" customFormat="false" ht="15" hidden="false" customHeight="true" outlineLevel="0" collapsed="false"/>
    <row r="24483" customFormat="false" ht="15" hidden="false" customHeight="true" outlineLevel="0" collapsed="false"/>
    <row r="24484" customFormat="false" ht="15" hidden="false" customHeight="true" outlineLevel="0" collapsed="false"/>
    <row r="24485" customFormat="false" ht="15" hidden="false" customHeight="true" outlineLevel="0" collapsed="false"/>
    <row r="24486" customFormat="false" ht="15" hidden="false" customHeight="true" outlineLevel="0" collapsed="false"/>
    <row r="24487" customFormat="false" ht="15" hidden="false" customHeight="true" outlineLevel="0" collapsed="false"/>
    <row r="24488" customFormat="false" ht="15" hidden="false" customHeight="true" outlineLevel="0" collapsed="false"/>
    <row r="24489" customFormat="false" ht="15" hidden="false" customHeight="true" outlineLevel="0" collapsed="false"/>
    <row r="24490" customFormat="false" ht="15" hidden="false" customHeight="true" outlineLevel="0" collapsed="false"/>
    <row r="24491" customFormat="false" ht="15" hidden="false" customHeight="true" outlineLevel="0" collapsed="false"/>
    <row r="24492" customFormat="false" ht="15" hidden="false" customHeight="true" outlineLevel="0" collapsed="false"/>
    <row r="24493" customFormat="false" ht="15" hidden="false" customHeight="true" outlineLevel="0" collapsed="false"/>
    <row r="24494" customFormat="false" ht="15" hidden="false" customHeight="true" outlineLevel="0" collapsed="false"/>
    <row r="24495" customFormat="false" ht="15" hidden="false" customHeight="true" outlineLevel="0" collapsed="false"/>
    <row r="24496" customFormat="false" ht="15" hidden="false" customHeight="true" outlineLevel="0" collapsed="false"/>
    <row r="24497" customFormat="false" ht="15" hidden="false" customHeight="true" outlineLevel="0" collapsed="false"/>
    <row r="24498" customFormat="false" ht="15" hidden="false" customHeight="true" outlineLevel="0" collapsed="false"/>
    <row r="24499" customFormat="false" ht="15" hidden="false" customHeight="true" outlineLevel="0" collapsed="false"/>
    <row r="24500" customFormat="false" ht="15" hidden="false" customHeight="true" outlineLevel="0" collapsed="false"/>
    <row r="24501" customFormat="false" ht="15" hidden="false" customHeight="true" outlineLevel="0" collapsed="false"/>
    <row r="24502" customFormat="false" ht="15" hidden="false" customHeight="true" outlineLevel="0" collapsed="false"/>
    <row r="24503" customFormat="false" ht="15" hidden="false" customHeight="true" outlineLevel="0" collapsed="false"/>
    <row r="24504" customFormat="false" ht="15" hidden="false" customHeight="true" outlineLevel="0" collapsed="false"/>
    <row r="24505" customFormat="false" ht="15" hidden="false" customHeight="true" outlineLevel="0" collapsed="false"/>
    <row r="24506" customFormat="false" ht="15" hidden="false" customHeight="true" outlineLevel="0" collapsed="false"/>
    <row r="24507" customFormat="false" ht="15" hidden="false" customHeight="true" outlineLevel="0" collapsed="false"/>
    <row r="24508" customFormat="false" ht="15" hidden="false" customHeight="true" outlineLevel="0" collapsed="false"/>
    <row r="24509" customFormat="false" ht="15" hidden="false" customHeight="true" outlineLevel="0" collapsed="false"/>
    <row r="24510" customFormat="false" ht="15" hidden="false" customHeight="true" outlineLevel="0" collapsed="false"/>
    <row r="24511" customFormat="false" ht="15" hidden="false" customHeight="true" outlineLevel="0" collapsed="false"/>
    <row r="24512" customFormat="false" ht="15" hidden="false" customHeight="true" outlineLevel="0" collapsed="false"/>
    <row r="24513" customFormat="false" ht="15" hidden="false" customHeight="true" outlineLevel="0" collapsed="false"/>
    <row r="24514" customFormat="false" ht="15" hidden="false" customHeight="true" outlineLevel="0" collapsed="false"/>
    <row r="24515" customFormat="false" ht="15" hidden="false" customHeight="true" outlineLevel="0" collapsed="false"/>
    <row r="24516" customFormat="false" ht="15" hidden="false" customHeight="true" outlineLevel="0" collapsed="false"/>
    <row r="24517" customFormat="false" ht="15" hidden="false" customHeight="true" outlineLevel="0" collapsed="false"/>
    <row r="24518" customFormat="false" ht="15" hidden="false" customHeight="true" outlineLevel="0" collapsed="false"/>
    <row r="24519" customFormat="false" ht="15" hidden="false" customHeight="true" outlineLevel="0" collapsed="false"/>
    <row r="24520" customFormat="false" ht="15" hidden="false" customHeight="true" outlineLevel="0" collapsed="false"/>
    <row r="24521" customFormat="false" ht="15" hidden="false" customHeight="true" outlineLevel="0" collapsed="false"/>
    <row r="24522" customFormat="false" ht="15" hidden="false" customHeight="true" outlineLevel="0" collapsed="false"/>
    <row r="24523" customFormat="false" ht="15" hidden="false" customHeight="true" outlineLevel="0" collapsed="false"/>
    <row r="24524" customFormat="false" ht="15" hidden="false" customHeight="true" outlineLevel="0" collapsed="false"/>
    <row r="24525" customFormat="false" ht="15" hidden="false" customHeight="true" outlineLevel="0" collapsed="false"/>
    <row r="24526" customFormat="false" ht="15" hidden="false" customHeight="true" outlineLevel="0" collapsed="false"/>
    <row r="24527" customFormat="false" ht="15" hidden="false" customHeight="true" outlineLevel="0" collapsed="false"/>
    <row r="24528" customFormat="false" ht="15" hidden="false" customHeight="true" outlineLevel="0" collapsed="false"/>
    <row r="24529" customFormat="false" ht="15" hidden="false" customHeight="true" outlineLevel="0" collapsed="false"/>
    <row r="24530" customFormat="false" ht="15" hidden="false" customHeight="true" outlineLevel="0" collapsed="false"/>
    <row r="24531" customFormat="false" ht="15" hidden="false" customHeight="true" outlineLevel="0" collapsed="false"/>
    <row r="24532" customFormat="false" ht="15" hidden="false" customHeight="true" outlineLevel="0" collapsed="false"/>
    <row r="24533" customFormat="false" ht="15" hidden="false" customHeight="true" outlineLevel="0" collapsed="false"/>
    <row r="24534" customFormat="false" ht="15" hidden="false" customHeight="true" outlineLevel="0" collapsed="false"/>
    <row r="24535" customFormat="false" ht="15" hidden="false" customHeight="true" outlineLevel="0" collapsed="false"/>
    <row r="24536" customFormat="false" ht="15" hidden="false" customHeight="true" outlineLevel="0" collapsed="false"/>
    <row r="24537" customFormat="false" ht="15" hidden="false" customHeight="true" outlineLevel="0" collapsed="false"/>
    <row r="24538" customFormat="false" ht="15" hidden="false" customHeight="true" outlineLevel="0" collapsed="false"/>
    <row r="24539" customFormat="false" ht="15" hidden="false" customHeight="true" outlineLevel="0" collapsed="false"/>
    <row r="24540" customFormat="false" ht="15" hidden="false" customHeight="true" outlineLevel="0" collapsed="false"/>
    <row r="24541" customFormat="false" ht="15" hidden="false" customHeight="true" outlineLevel="0" collapsed="false"/>
    <row r="24542" customFormat="false" ht="15" hidden="false" customHeight="true" outlineLevel="0" collapsed="false"/>
    <row r="24543" customFormat="false" ht="15" hidden="false" customHeight="true" outlineLevel="0" collapsed="false"/>
    <row r="24544" customFormat="false" ht="15" hidden="false" customHeight="true" outlineLevel="0" collapsed="false"/>
    <row r="24545" customFormat="false" ht="15" hidden="false" customHeight="true" outlineLevel="0" collapsed="false"/>
    <row r="24546" customFormat="false" ht="15" hidden="false" customHeight="true" outlineLevel="0" collapsed="false"/>
    <row r="24547" customFormat="false" ht="15" hidden="false" customHeight="true" outlineLevel="0" collapsed="false"/>
    <row r="24548" customFormat="false" ht="15" hidden="false" customHeight="true" outlineLevel="0" collapsed="false"/>
    <row r="24549" customFormat="false" ht="15" hidden="false" customHeight="true" outlineLevel="0" collapsed="false"/>
    <row r="24550" customFormat="false" ht="15" hidden="false" customHeight="true" outlineLevel="0" collapsed="false"/>
    <row r="24551" customFormat="false" ht="15" hidden="false" customHeight="true" outlineLevel="0" collapsed="false"/>
    <row r="24552" customFormat="false" ht="15" hidden="false" customHeight="true" outlineLevel="0" collapsed="false"/>
    <row r="24553" customFormat="false" ht="15" hidden="false" customHeight="true" outlineLevel="0" collapsed="false"/>
    <row r="24554" customFormat="false" ht="15" hidden="false" customHeight="true" outlineLevel="0" collapsed="false"/>
    <row r="24555" customFormat="false" ht="15" hidden="false" customHeight="true" outlineLevel="0" collapsed="false"/>
    <row r="24556" customFormat="false" ht="15" hidden="false" customHeight="true" outlineLevel="0" collapsed="false"/>
    <row r="24557" customFormat="false" ht="15" hidden="false" customHeight="true" outlineLevel="0" collapsed="false"/>
    <row r="24558" customFormat="false" ht="15" hidden="false" customHeight="true" outlineLevel="0" collapsed="false"/>
    <row r="24559" customFormat="false" ht="15" hidden="false" customHeight="true" outlineLevel="0" collapsed="false"/>
    <row r="24560" customFormat="false" ht="15" hidden="false" customHeight="true" outlineLevel="0" collapsed="false"/>
    <row r="24561" customFormat="false" ht="15" hidden="false" customHeight="true" outlineLevel="0" collapsed="false"/>
    <row r="24562" customFormat="false" ht="15" hidden="false" customHeight="true" outlineLevel="0" collapsed="false"/>
    <row r="24563" customFormat="false" ht="15" hidden="false" customHeight="true" outlineLevel="0" collapsed="false"/>
    <row r="24564" customFormat="false" ht="15" hidden="false" customHeight="true" outlineLevel="0" collapsed="false"/>
    <row r="24565" customFormat="false" ht="15" hidden="false" customHeight="true" outlineLevel="0" collapsed="false"/>
    <row r="24566" customFormat="false" ht="15" hidden="false" customHeight="true" outlineLevel="0" collapsed="false"/>
    <row r="24567" customFormat="false" ht="15" hidden="false" customHeight="true" outlineLevel="0" collapsed="false"/>
    <row r="24568" customFormat="false" ht="15" hidden="false" customHeight="true" outlineLevel="0" collapsed="false"/>
    <row r="24569" customFormat="false" ht="15" hidden="false" customHeight="true" outlineLevel="0" collapsed="false"/>
    <row r="24570" customFormat="false" ht="15" hidden="false" customHeight="true" outlineLevel="0" collapsed="false"/>
    <row r="24571" customFormat="false" ht="15" hidden="false" customHeight="true" outlineLevel="0" collapsed="false"/>
    <row r="24572" customFormat="false" ht="15" hidden="false" customHeight="true" outlineLevel="0" collapsed="false"/>
    <row r="24573" customFormat="false" ht="15" hidden="false" customHeight="true" outlineLevel="0" collapsed="false"/>
    <row r="24574" customFormat="false" ht="15" hidden="false" customHeight="true" outlineLevel="0" collapsed="false"/>
    <row r="24575" customFormat="false" ht="15" hidden="false" customHeight="true" outlineLevel="0" collapsed="false"/>
    <row r="24576" customFormat="false" ht="15" hidden="false" customHeight="true" outlineLevel="0" collapsed="false"/>
    <row r="24577" customFormat="false" ht="15" hidden="false" customHeight="true" outlineLevel="0" collapsed="false"/>
    <row r="24578" customFormat="false" ht="15" hidden="false" customHeight="true" outlineLevel="0" collapsed="false"/>
    <row r="24579" customFormat="false" ht="15" hidden="false" customHeight="true" outlineLevel="0" collapsed="false"/>
    <row r="24580" customFormat="false" ht="15" hidden="false" customHeight="true" outlineLevel="0" collapsed="false"/>
    <row r="24581" customFormat="false" ht="15" hidden="false" customHeight="true" outlineLevel="0" collapsed="false"/>
    <row r="24582" customFormat="false" ht="15" hidden="false" customHeight="true" outlineLevel="0" collapsed="false"/>
    <row r="24583" customFormat="false" ht="15" hidden="false" customHeight="true" outlineLevel="0" collapsed="false"/>
    <row r="24584" customFormat="false" ht="15" hidden="false" customHeight="true" outlineLevel="0" collapsed="false"/>
    <row r="24585" customFormat="false" ht="15" hidden="false" customHeight="true" outlineLevel="0" collapsed="false"/>
    <row r="24586" customFormat="false" ht="15" hidden="false" customHeight="true" outlineLevel="0" collapsed="false"/>
    <row r="24587" customFormat="false" ht="15" hidden="false" customHeight="true" outlineLevel="0" collapsed="false"/>
    <row r="24588" customFormat="false" ht="15" hidden="false" customHeight="true" outlineLevel="0" collapsed="false"/>
    <row r="24589" customFormat="false" ht="15" hidden="false" customHeight="true" outlineLevel="0" collapsed="false"/>
    <row r="24590" customFormat="false" ht="15" hidden="false" customHeight="true" outlineLevel="0" collapsed="false"/>
    <row r="24591" customFormat="false" ht="15" hidden="false" customHeight="true" outlineLevel="0" collapsed="false"/>
    <row r="24592" customFormat="false" ht="15" hidden="false" customHeight="true" outlineLevel="0" collapsed="false"/>
    <row r="24593" customFormat="false" ht="15" hidden="false" customHeight="true" outlineLevel="0" collapsed="false"/>
    <row r="24594" customFormat="false" ht="15" hidden="false" customHeight="true" outlineLevel="0" collapsed="false"/>
    <row r="24595" customFormat="false" ht="15" hidden="false" customHeight="true" outlineLevel="0" collapsed="false"/>
    <row r="24596" customFormat="false" ht="15" hidden="false" customHeight="true" outlineLevel="0" collapsed="false"/>
    <row r="24597" customFormat="false" ht="15" hidden="false" customHeight="true" outlineLevel="0" collapsed="false"/>
    <row r="24598" customFormat="false" ht="15" hidden="false" customHeight="true" outlineLevel="0" collapsed="false"/>
    <row r="24599" customFormat="false" ht="15" hidden="false" customHeight="true" outlineLevel="0" collapsed="false"/>
    <row r="24600" customFormat="false" ht="15" hidden="false" customHeight="true" outlineLevel="0" collapsed="false"/>
    <row r="24601" customFormat="false" ht="15" hidden="false" customHeight="true" outlineLevel="0" collapsed="false"/>
    <row r="24602" customFormat="false" ht="15" hidden="false" customHeight="true" outlineLevel="0" collapsed="false"/>
    <row r="24603" customFormat="false" ht="15" hidden="false" customHeight="true" outlineLevel="0" collapsed="false"/>
    <row r="24604" customFormat="false" ht="15" hidden="false" customHeight="true" outlineLevel="0" collapsed="false"/>
    <row r="24605" customFormat="false" ht="15" hidden="false" customHeight="true" outlineLevel="0" collapsed="false"/>
    <row r="24606" customFormat="false" ht="15" hidden="false" customHeight="true" outlineLevel="0" collapsed="false"/>
    <row r="24607" customFormat="false" ht="15" hidden="false" customHeight="true" outlineLevel="0" collapsed="false"/>
    <row r="24608" customFormat="false" ht="15" hidden="false" customHeight="true" outlineLevel="0" collapsed="false"/>
    <row r="24609" customFormat="false" ht="15" hidden="false" customHeight="true" outlineLevel="0" collapsed="false"/>
    <row r="24610" customFormat="false" ht="15" hidden="false" customHeight="true" outlineLevel="0" collapsed="false"/>
    <row r="24611" customFormat="false" ht="15" hidden="false" customHeight="true" outlineLevel="0" collapsed="false"/>
    <row r="24612" customFormat="false" ht="15" hidden="false" customHeight="true" outlineLevel="0" collapsed="false"/>
    <row r="24613" customFormat="false" ht="15" hidden="false" customHeight="true" outlineLevel="0" collapsed="false"/>
    <row r="24614" customFormat="false" ht="15" hidden="false" customHeight="true" outlineLevel="0" collapsed="false"/>
    <row r="24615" customFormat="false" ht="15" hidden="false" customHeight="true" outlineLevel="0" collapsed="false"/>
    <row r="24616" customFormat="false" ht="15" hidden="false" customHeight="true" outlineLevel="0" collapsed="false"/>
    <row r="24617" customFormat="false" ht="15" hidden="false" customHeight="true" outlineLevel="0" collapsed="false"/>
    <row r="24618" customFormat="false" ht="15" hidden="false" customHeight="true" outlineLevel="0" collapsed="false"/>
    <row r="24619" customFormat="false" ht="15" hidden="false" customHeight="true" outlineLevel="0" collapsed="false"/>
    <row r="24620" customFormat="false" ht="15" hidden="false" customHeight="true" outlineLevel="0" collapsed="false"/>
    <row r="24621" customFormat="false" ht="15" hidden="false" customHeight="true" outlineLevel="0" collapsed="false"/>
    <row r="24622" customFormat="false" ht="15" hidden="false" customHeight="true" outlineLevel="0" collapsed="false"/>
    <row r="24623" customFormat="false" ht="15" hidden="false" customHeight="true" outlineLevel="0" collapsed="false"/>
    <row r="24624" customFormat="false" ht="15" hidden="false" customHeight="true" outlineLevel="0" collapsed="false"/>
    <row r="24625" customFormat="false" ht="15" hidden="false" customHeight="true" outlineLevel="0" collapsed="false"/>
    <row r="24626" customFormat="false" ht="15" hidden="false" customHeight="true" outlineLevel="0" collapsed="false"/>
    <row r="24627" customFormat="false" ht="15" hidden="false" customHeight="true" outlineLevel="0" collapsed="false"/>
    <row r="24628" customFormat="false" ht="15" hidden="false" customHeight="true" outlineLevel="0" collapsed="false"/>
    <row r="24629" customFormat="false" ht="15" hidden="false" customHeight="true" outlineLevel="0" collapsed="false"/>
    <row r="24630" customFormat="false" ht="15" hidden="false" customHeight="true" outlineLevel="0" collapsed="false"/>
    <row r="24631" customFormat="false" ht="15" hidden="false" customHeight="true" outlineLevel="0" collapsed="false"/>
    <row r="24632" customFormat="false" ht="15" hidden="false" customHeight="true" outlineLevel="0" collapsed="false"/>
    <row r="24633" customFormat="false" ht="15" hidden="false" customHeight="true" outlineLevel="0" collapsed="false"/>
    <row r="24634" customFormat="false" ht="15" hidden="false" customHeight="true" outlineLevel="0" collapsed="false"/>
    <row r="24635" customFormat="false" ht="15" hidden="false" customHeight="true" outlineLevel="0" collapsed="false"/>
    <row r="24636" customFormat="false" ht="15" hidden="false" customHeight="true" outlineLevel="0" collapsed="false"/>
    <row r="24637" customFormat="false" ht="15" hidden="false" customHeight="true" outlineLevel="0" collapsed="false"/>
    <row r="24638" customFormat="false" ht="15" hidden="false" customHeight="true" outlineLevel="0" collapsed="false"/>
    <row r="24639" customFormat="false" ht="15" hidden="false" customHeight="true" outlineLevel="0" collapsed="false"/>
    <row r="24640" customFormat="false" ht="15" hidden="false" customHeight="true" outlineLevel="0" collapsed="false"/>
    <row r="24641" customFormat="false" ht="15" hidden="false" customHeight="true" outlineLevel="0" collapsed="false"/>
    <row r="24642" customFormat="false" ht="15" hidden="false" customHeight="true" outlineLevel="0" collapsed="false"/>
    <row r="24643" customFormat="false" ht="15" hidden="false" customHeight="true" outlineLevel="0" collapsed="false"/>
    <row r="24644" customFormat="false" ht="15" hidden="false" customHeight="true" outlineLevel="0" collapsed="false"/>
    <row r="24645" customFormat="false" ht="15" hidden="false" customHeight="true" outlineLevel="0" collapsed="false"/>
    <row r="24646" customFormat="false" ht="15" hidden="false" customHeight="true" outlineLevel="0" collapsed="false"/>
    <row r="24647" customFormat="false" ht="15" hidden="false" customHeight="true" outlineLevel="0" collapsed="false"/>
    <row r="24648" customFormat="false" ht="15" hidden="false" customHeight="true" outlineLevel="0" collapsed="false"/>
    <row r="24649" customFormat="false" ht="15" hidden="false" customHeight="true" outlineLevel="0" collapsed="false"/>
    <row r="24650" customFormat="false" ht="15" hidden="false" customHeight="true" outlineLevel="0" collapsed="false"/>
    <row r="24651" customFormat="false" ht="15" hidden="false" customHeight="true" outlineLevel="0" collapsed="false"/>
    <row r="24652" customFormat="false" ht="15" hidden="false" customHeight="true" outlineLevel="0" collapsed="false"/>
    <row r="24653" customFormat="false" ht="15" hidden="false" customHeight="true" outlineLevel="0" collapsed="false"/>
    <row r="24654" customFormat="false" ht="15" hidden="false" customHeight="true" outlineLevel="0" collapsed="false"/>
    <row r="24655" customFormat="false" ht="15" hidden="false" customHeight="true" outlineLevel="0" collapsed="false"/>
    <row r="24656" customFormat="false" ht="15" hidden="false" customHeight="true" outlineLevel="0" collapsed="false"/>
    <row r="24657" customFormat="false" ht="15" hidden="false" customHeight="true" outlineLevel="0" collapsed="false"/>
    <row r="24658" customFormat="false" ht="15" hidden="false" customHeight="true" outlineLevel="0" collapsed="false"/>
    <row r="24659" customFormat="false" ht="15" hidden="false" customHeight="true" outlineLevel="0" collapsed="false"/>
    <row r="24660" customFormat="false" ht="15" hidden="false" customHeight="true" outlineLevel="0" collapsed="false"/>
    <row r="24661" customFormat="false" ht="15" hidden="false" customHeight="true" outlineLevel="0" collapsed="false"/>
    <row r="24662" customFormat="false" ht="15" hidden="false" customHeight="true" outlineLevel="0" collapsed="false"/>
    <row r="24663" customFormat="false" ht="15" hidden="false" customHeight="true" outlineLevel="0" collapsed="false"/>
    <row r="24664" customFormat="false" ht="15" hidden="false" customHeight="true" outlineLevel="0" collapsed="false"/>
    <row r="24665" customFormat="false" ht="15" hidden="false" customHeight="true" outlineLevel="0" collapsed="false"/>
    <row r="24666" customFormat="false" ht="15" hidden="false" customHeight="true" outlineLevel="0" collapsed="false"/>
    <row r="24667" customFormat="false" ht="15" hidden="false" customHeight="true" outlineLevel="0" collapsed="false"/>
    <row r="24668" customFormat="false" ht="15" hidden="false" customHeight="true" outlineLevel="0" collapsed="false"/>
    <row r="24669" customFormat="false" ht="15" hidden="false" customHeight="true" outlineLevel="0" collapsed="false"/>
    <row r="24670" customFormat="false" ht="15" hidden="false" customHeight="true" outlineLevel="0" collapsed="false"/>
    <row r="24671" customFormat="false" ht="15" hidden="false" customHeight="true" outlineLevel="0" collapsed="false"/>
    <row r="24672" customFormat="false" ht="15" hidden="false" customHeight="true" outlineLevel="0" collapsed="false"/>
    <row r="24673" customFormat="false" ht="15" hidden="false" customHeight="true" outlineLevel="0" collapsed="false"/>
    <row r="24674" customFormat="false" ht="15" hidden="false" customHeight="true" outlineLevel="0" collapsed="false"/>
    <row r="24675" customFormat="false" ht="15" hidden="false" customHeight="true" outlineLevel="0" collapsed="false"/>
    <row r="24676" customFormat="false" ht="15" hidden="false" customHeight="true" outlineLevel="0" collapsed="false"/>
    <row r="24677" customFormat="false" ht="15" hidden="false" customHeight="true" outlineLevel="0" collapsed="false"/>
    <row r="24678" customFormat="false" ht="15" hidden="false" customHeight="true" outlineLevel="0" collapsed="false"/>
    <row r="24679" customFormat="false" ht="15" hidden="false" customHeight="true" outlineLevel="0" collapsed="false"/>
    <row r="24680" customFormat="false" ht="15" hidden="false" customHeight="true" outlineLevel="0" collapsed="false"/>
    <row r="24681" customFormat="false" ht="15" hidden="false" customHeight="true" outlineLevel="0" collapsed="false"/>
    <row r="24682" customFormat="false" ht="15" hidden="false" customHeight="true" outlineLevel="0" collapsed="false"/>
    <row r="24683" customFormat="false" ht="15" hidden="false" customHeight="true" outlineLevel="0" collapsed="false"/>
    <row r="24684" customFormat="false" ht="15" hidden="false" customHeight="true" outlineLevel="0" collapsed="false"/>
    <row r="24685" customFormat="false" ht="15" hidden="false" customHeight="true" outlineLevel="0" collapsed="false"/>
    <row r="24686" customFormat="false" ht="15" hidden="false" customHeight="true" outlineLevel="0" collapsed="false"/>
    <row r="24687" customFormat="false" ht="15" hidden="false" customHeight="true" outlineLevel="0" collapsed="false"/>
    <row r="24688" customFormat="false" ht="15" hidden="false" customHeight="true" outlineLevel="0" collapsed="false"/>
    <row r="24689" customFormat="false" ht="15" hidden="false" customHeight="true" outlineLevel="0" collapsed="false"/>
    <row r="24690" customFormat="false" ht="15" hidden="false" customHeight="true" outlineLevel="0" collapsed="false"/>
    <row r="24691" customFormat="false" ht="15" hidden="false" customHeight="true" outlineLevel="0" collapsed="false"/>
    <row r="24692" customFormat="false" ht="15" hidden="false" customHeight="true" outlineLevel="0" collapsed="false"/>
    <row r="24693" customFormat="false" ht="15" hidden="false" customHeight="true" outlineLevel="0" collapsed="false"/>
    <row r="24694" customFormat="false" ht="15" hidden="false" customHeight="true" outlineLevel="0" collapsed="false"/>
    <row r="24695" customFormat="false" ht="15" hidden="false" customHeight="true" outlineLevel="0" collapsed="false"/>
    <row r="24696" customFormat="false" ht="15" hidden="false" customHeight="true" outlineLevel="0" collapsed="false"/>
    <row r="24697" customFormat="false" ht="15" hidden="false" customHeight="true" outlineLevel="0" collapsed="false"/>
    <row r="24698" customFormat="false" ht="15" hidden="false" customHeight="true" outlineLevel="0" collapsed="false"/>
    <row r="24699" customFormat="false" ht="15" hidden="false" customHeight="true" outlineLevel="0" collapsed="false"/>
    <row r="24700" customFormat="false" ht="15" hidden="false" customHeight="true" outlineLevel="0" collapsed="false"/>
    <row r="24701" customFormat="false" ht="15" hidden="false" customHeight="true" outlineLevel="0" collapsed="false"/>
    <row r="24702" customFormat="false" ht="15" hidden="false" customHeight="true" outlineLevel="0" collapsed="false"/>
    <row r="24703" customFormat="false" ht="15" hidden="false" customHeight="true" outlineLevel="0" collapsed="false"/>
    <row r="24704" customFormat="false" ht="15" hidden="false" customHeight="true" outlineLevel="0" collapsed="false"/>
    <row r="24705" customFormat="false" ht="15" hidden="false" customHeight="true" outlineLevel="0" collapsed="false"/>
    <row r="24706" customFormat="false" ht="15" hidden="false" customHeight="true" outlineLevel="0" collapsed="false"/>
    <row r="24707" customFormat="false" ht="15" hidden="false" customHeight="true" outlineLevel="0" collapsed="false"/>
    <row r="24708" customFormat="false" ht="15" hidden="false" customHeight="true" outlineLevel="0" collapsed="false"/>
    <row r="24709" customFormat="false" ht="15" hidden="false" customHeight="true" outlineLevel="0" collapsed="false"/>
    <row r="24710" customFormat="false" ht="15" hidden="false" customHeight="true" outlineLevel="0" collapsed="false"/>
    <row r="24711" customFormat="false" ht="15" hidden="false" customHeight="true" outlineLevel="0" collapsed="false"/>
    <row r="24712" customFormat="false" ht="15" hidden="false" customHeight="true" outlineLevel="0" collapsed="false"/>
    <row r="24713" customFormat="false" ht="15" hidden="false" customHeight="true" outlineLevel="0" collapsed="false"/>
    <row r="24714" customFormat="false" ht="15" hidden="false" customHeight="true" outlineLevel="0" collapsed="false"/>
    <row r="24715" customFormat="false" ht="15" hidden="false" customHeight="true" outlineLevel="0" collapsed="false"/>
    <row r="24716" customFormat="false" ht="15" hidden="false" customHeight="true" outlineLevel="0" collapsed="false"/>
    <row r="24717" customFormat="false" ht="15" hidden="false" customHeight="true" outlineLevel="0" collapsed="false"/>
    <row r="24718" customFormat="false" ht="15" hidden="false" customHeight="true" outlineLevel="0" collapsed="false"/>
    <row r="24719" customFormat="false" ht="15" hidden="false" customHeight="true" outlineLevel="0" collapsed="false"/>
    <row r="24720" customFormat="false" ht="15" hidden="false" customHeight="true" outlineLevel="0" collapsed="false"/>
    <row r="24721" customFormat="false" ht="15" hidden="false" customHeight="true" outlineLevel="0" collapsed="false"/>
    <row r="24722" customFormat="false" ht="15" hidden="false" customHeight="true" outlineLevel="0" collapsed="false"/>
    <row r="24723" customFormat="false" ht="15" hidden="false" customHeight="true" outlineLevel="0" collapsed="false"/>
    <row r="24724" customFormat="false" ht="15" hidden="false" customHeight="true" outlineLevel="0" collapsed="false"/>
    <row r="24725" customFormat="false" ht="15" hidden="false" customHeight="true" outlineLevel="0" collapsed="false"/>
    <row r="24726" customFormat="false" ht="15" hidden="false" customHeight="true" outlineLevel="0" collapsed="false"/>
    <row r="24727" customFormat="false" ht="15" hidden="false" customHeight="true" outlineLevel="0" collapsed="false"/>
    <row r="24728" customFormat="false" ht="15" hidden="false" customHeight="true" outlineLevel="0" collapsed="false"/>
    <row r="24729" customFormat="false" ht="15" hidden="false" customHeight="true" outlineLevel="0" collapsed="false"/>
    <row r="24730" customFormat="false" ht="15" hidden="false" customHeight="true" outlineLevel="0" collapsed="false"/>
    <row r="24731" customFormat="false" ht="15" hidden="false" customHeight="true" outlineLevel="0" collapsed="false"/>
    <row r="24732" customFormat="false" ht="15" hidden="false" customHeight="true" outlineLevel="0" collapsed="false"/>
    <row r="24733" customFormat="false" ht="15" hidden="false" customHeight="true" outlineLevel="0" collapsed="false"/>
    <row r="24734" customFormat="false" ht="15" hidden="false" customHeight="true" outlineLevel="0" collapsed="false"/>
    <row r="24735" customFormat="false" ht="15" hidden="false" customHeight="true" outlineLevel="0" collapsed="false"/>
    <row r="24736" customFormat="false" ht="15" hidden="false" customHeight="true" outlineLevel="0" collapsed="false"/>
    <row r="24737" customFormat="false" ht="15" hidden="false" customHeight="true" outlineLevel="0" collapsed="false"/>
    <row r="24738" customFormat="false" ht="15" hidden="false" customHeight="true" outlineLevel="0" collapsed="false"/>
    <row r="24739" customFormat="false" ht="15" hidden="false" customHeight="true" outlineLevel="0" collapsed="false"/>
    <row r="24740" customFormat="false" ht="15" hidden="false" customHeight="true" outlineLevel="0" collapsed="false"/>
    <row r="24741" customFormat="false" ht="15" hidden="false" customHeight="true" outlineLevel="0" collapsed="false"/>
    <row r="24742" customFormat="false" ht="15" hidden="false" customHeight="true" outlineLevel="0" collapsed="false"/>
    <row r="24743" customFormat="false" ht="15" hidden="false" customHeight="true" outlineLevel="0" collapsed="false"/>
    <row r="24744" customFormat="false" ht="15" hidden="false" customHeight="true" outlineLevel="0" collapsed="false"/>
    <row r="24745" customFormat="false" ht="15" hidden="false" customHeight="true" outlineLevel="0" collapsed="false"/>
    <row r="24746" customFormat="false" ht="15" hidden="false" customHeight="true" outlineLevel="0" collapsed="false"/>
    <row r="24747" customFormat="false" ht="15" hidden="false" customHeight="true" outlineLevel="0" collapsed="false"/>
    <row r="24748" customFormat="false" ht="15" hidden="false" customHeight="true" outlineLevel="0" collapsed="false"/>
    <row r="24749" customFormat="false" ht="15" hidden="false" customHeight="true" outlineLevel="0" collapsed="false"/>
    <row r="24750" customFormat="false" ht="15" hidden="false" customHeight="true" outlineLevel="0" collapsed="false"/>
    <row r="24751" customFormat="false" ht="15" hidden="false" customHeight="true" outlineLevel="0" collapsed="false"/>
    <row r="24752" customFormat="false" ht="15" hidden="false" customHeight="true" outlineLevel="0" collapsed="false"/>
    <row r="24753" customFormat="false" ht="15" hidden="false" customHeight="true" outlineLevel="0" collapsed="false"/>
    <row r="24754" customFormat="false" ht="15" hidden="false" customHeight="true" outlineLevel="0" collapsed="false"/>
    <row r="24755" customFormat="false" ht="15" hidden="false" customHeight="true" outlineLevel="0" collapsed="false"/>
    <row r="24756" customFormat="false" ht="15" hidden="false" customHeight="true" outlineLevel="0" collapsed="false"/>
    <row r="24757" customFormat="false" ht="15" hidden="false" customHeight="true" outlineLevel="0" collapsed="false"/>
    <row r="24758" customFormat="false" ht="15" hidden="false" customHeight="true" outlineLevel="0" collapsed="false"/>
    <row r="24759" customFormat="false" ht="15" hidden="false" customHeight="true" outlineLevel="0" collapsed="false"/>
    <row r="24760" customFormat="false" ht="15" hidden="false" customHeight="true" outlineLevel="0" collapsed="false"/>
    <row r="24761" customFormat="false" ht="15" hidden="false" customHeight="true" outlineLevel="0" collapsed="false"/>
    <row r="24762" customFormat="false" ht="15" hidden="false" customHeight="true" outlineLevel="0" collapsed="false"/>
    <row r="24763" customFormat="false" ht="15" hidden="false" customHeight="true" outlineLevel="0" collapsed="false"/>
    <row r="24764" customFormat="false" ht="15" hidden="false" customHeight="true" outlineLevel="0" collapsed="false"/>
    <row r="24765" customFormat="false" ht="15" hidden="false" customHeight="true" outlineLevel="0" collapsed="false"/>
    <row r="24766" customFormat="false" ht="15" hidden="false" customHeight="true" outlineLevel="0" collapsed="false"/>
    <row r="24767" customFormat="false" ht="15" hidden="false" customHeight="true" outlineLevel="0" collapsed="false"/>
    <row r="24768" customFormat="false" ht="15" hidden="false" customHeight="true" outlineLevel="0" collapsed="false"/>
    <row r="24769" customFormat="false" ht="15" hidden="false" customHeight="true" outlineLevel="0" collapsed="false"/>
    <row r="24770" customFormat="false" ht="15" hidden="false" customHeight="true" outlineLevel="0" collapsed="false"/>
    <row r="24771" customFormat="false" ht="15" hidden="false" customHeight="true" outlineLevel="0" collapsed="false"/>
    <row r="24772" customFormat="false" ht="15" hidden="false" customHeight="true" outlineLevel="0" collapsed="false"/>
    <row r="24773" customFormat="false" ht="15" hidden="false" customHeight="true" outlineLevel="0" collapsed="false"/>
    <row r="24774" customFormat="false" ht="15" hidden="false" customHeight="true" outlineLevel="0" collapsed="false"/>
    <row r="24775" customFormat="false" ht="15" hidden="false" customHeight="true" outlineLevel="0" collapsed="false"/>
    <row r="24776" customFormat="false" ht="15" hidden="false" customHeight="true" outlineLevel="0" collapsed="false"/>
    <row r="24777" customFormat="false" ht="15" hidden="false" customHeight="true" outlineLevel="0" collapsed="false"/>
    <row r="24778" customFormat="false" ht="15" hidden="false" customHeight="true" outlineLevel="0" collapsed="false"/>
    <row r="24779" customFormat="false" ht="15" hidden="false" customHeight="true" outlineLevel="0" collapsed="false"/>
    <row r="24780" customFormat="false" ht="15" hidden="false" customHeight="true" outlineLevel="0" collapsed="false"/>
    <row r="24781" customFormat="false" ht="15" hidden="false" customHeight="true" outlineLevel="0" collapsed="false"/>
    <row r="24782" customFormat="false" ht="15" hidden="false" customHeight="true" outlineLevel="0" collapsed="false"/>
    <row r="24783" customFormat="false" ht="15" hidden="false" customHeight="true" outlineLevel="0" collapsed="false"/>
    <row r="24784" customFormat="false" ht="15" hidden="false" customHeight="true" outlineLevel="0" collapsed="false"/>
    <row r="24785" customFormat="false" ht="15" hidden="false" customHeight="true" outlineLevel="0" collapsed="false"/>
    <row r="24786" customFormat="false" ht="15" hidden="false" customHeight="true" outlineLevel="0" collapsed="false"/>
    <row r="24787" customFormat="false" ht="15" hidden="false" customHeight="true" outlineLevel="0" collapsed="false"/>
    <row r="24788" customFormat="false" ht="15" hidden="false" customHeight="true" outlineLevel="0" collapsed="false"/>
    <row r="24789" customFormat="false" ht="15" hidden="false" customHeight="true" outlineLevel="0" collapsed="false"/>
    <row r="24790" customFormat="false" ht="15" hidden="false" customHeight="true" outlineLevel="0" collapsed="false"/>
    <row r="24791" customFormat="false" ht="15" hidden="false" customHeight="true" outlineLevel="0" collapsed="false"/>
    <row r="24792" customFormat="false" ht="15" hidden="false" customHeight="true" outlineLevel="0" collapsed="false"/>
    <row r="24793" customFormat="false" ht="15" hidden="false" customHeight="true" outlineLevel="0" collapsed="false"/>
    <row r="24794" customFormat="false" ht="15" hidden="false" customHeight="true" outlineLevel="0" collapsed="false"/>
    <row r="24795" customFormat="false" ht="15" hidden="false" customHeight="true" outlineLevel="0" collapsed="false"/>
    <row r="24796" customFormat="false" ht="15" hidden="false" customHeight="true" outlineLevel="0" collapsed="false"/>
    <row r="24797" customFormat="false" ht="15" hidden="false" customHeight="true" outlineLevel="0" collapsed="false"/>
    <row r="24798" customFormat="false" ht="15" hidden="false" customHeight="true" outlineLevel="0" collapsed="false"/>
    <row r="24799" customFormat="false" ht="15" hidden="false" customHeight="true" outlineLevel="0" collapsed="false"/>
    <row r="24800" customFormat="false" ht="15" hidden="false" customHeight="true" outlineLevel="0" collapsed="false"/>
    <row r="24801" customFormat="false" ht="15" hidden="false" customHeight="true" outlineLevel="0" collapsed="false"/>
    <row r="24802" customFormat="false" ht="15" hidden="false" customHeight="true" outlineLevel="0" collapsed="false"/>
    <row r="24803" customFormat="false" ht="15" hidden="false" customHeight="true" outlineLevel="0" collapsed="false"/>
    <row r="24804" customFormat="false" ht="15" hidden="false" customHeight="true" outlineLevel="0" collapsed="false"/>
    <row r="24805" customFormat="false" ht="15" hidden="false" customHeight="true" outlineLevel="0" collapsed="false"/>
    <row r="24806" customFormat="false" ht="15" hidden="false" customHeight="true" outlineLevel="0" collapsed="false"/>
    <row r="24807" customFormat="false" ht="15" hidden="false" customHeight="true" outlineLevel="0" collapsed="false"/>
    <row r="24808" customFormat="false" ht="15" hidden="false" customHeight="true" outlineLevel="0" collapsed="false"/>
    <row r="24809" customFormat="false" ht="15" hidden="false" customHeight="true" outlineLevel="0" collapsed="false"/>
    <row r="24810" customFormat="false" ht="15" hidden="false" customHeight="true" outlineLevel="0" collapsed="false"/>
    <row r="24811" customFormat="false" ht="15" hidden="false" customHeight="true" outlineLevel="0" collapsed="false"/>
    <row r="24812" customFormat="false" ht="15" hidden="false" customHeight="true" outlineLevel="0" collapsed="false"/>
    <row r="24813" customFormat="false" ht="15" hidden="false" customHeight="true" outlineLevel="0" collapsed="false"/>
    <row r="24814" customFormat="false" ht="15" hidden="false" customHeight="true" outlineLevel="0" collapsed="false"/>
    <row r="24815" customFormat="false" ht="15" hidden="false" customHeight="true" outlineLevel="0" collapsed="false"/>
    <row r="24816" customFormat="false" ht="15" hidden="false" customHeight="true" outlineLevel="0" collapsed="false"/>
    <row r="24817" customFormat="false" ht="15" hidden="false" customHeight="true" outlineLevel="0" collapsed="false"/>
    <row r="24818" customFormat="false" ht="15" hidden="false" customHeight="true" outlineLevel="0" collapsed="false"/>
    <row r="24819" customFormat="false" ht="15" hidden="false" customHeight="true" outlineLevel="0" collapsed="false"/>
    <row r="24820" customFormat="false" ht="15" hidden="false" customHeight="true" outlineLevel="0" collapsed="false"/>
    <row r="24821" customFormat="false" ht="15" hidden="false" customHeight="true" outlineLevel="0" collapsed="false"/>
    <row r="24822" customFormat="false" ht="15" hidden="false" customHeight="true" outlineLevel="0" collapsed="false"/>
    <row r="24823" customFormat="false" ht="15" hidden="false" customHeight="true" outlineLevel="0" collapsed="false"/>
    <row r="24824" customFormat="false" ht="15" hidden="false" customHeight="true" outlineLevel="0" collapsed="false"/>
    <row r="24825" customFormat="false" ht="15" hidden="false" customHeight="true" outlineLevel="0" collapsed="false"/>
    <row r="24826" customFormat="false" ht="15" hidden="false" customHeight="true" outlineLevel="0" collapsed="false"/>
    <row r="24827" customFormat="false" ht="15" hidden="false" customHeight="true" outlineLevel="0" collapsed="false"/>
    <row r="24828" customFormat="false" ht="15" hidden="false" customHeight="true" outlineLevel="0" collapsed="false"/>
    <row r="24829" customFormat="false" ht="15" hidden="false" customHeight="true" outlineLevel="0" collapsed="false"/>
    <row r="24830" customFormat="false" ht="15" hidden="false" customHeight="true" outlineLevel="0" collapsed="false"/>
    <row r="24831" customFormat="false" ht="15" hidden="false" customHeight="true" outlineLevel="0" collapsed="false"/>
    <row r="24832" customFormat="false" ht="15" hidden="false" customHeight="true" outlineLevel="0" collapsed="false"/>
    <row r="24833" customFormat="false" ht="15" hidden="false" customHeight="true" outlineLevel="0" collapsed="false"/>
    <row r="24834" customFormat="false" ht="15" hidden="false" customHeight="true" outlineLevel="0" collapsed="false"/>
    <row r="24835" customFormat="false" ht="15" hidden="false" customHeight="true" outlineLevel="0" collapsed="false"/>
    <row r="24836" customFormat="false" ht="15" hidden="false" customHeight="true" outlineLevel="0" collapsed="false"/>
    <row r="24837" customFormat="false" ht="15" hidden="false" customHeight="true" outlineLevel="0" collapsed="false"/>
    <row r="24838" customFormat="false" ht="15" hidden="false" customHeight="true" outlineLevel="0" collapsed="false"/>
    <row r="24839" customFormat="false" ht="15" hidden="false" customHeight="true" outlineLevel="0" collapsed="false"/>
    <row r="24840" customFormat="false" ht="15" hidden="false" customHeight="true" outlineLevel="0" collapsed="false"/>
    <row r="24841" customFormat="false" ht="15" hidden="false" customHeight="true" outlineLevel="0" collapsed="false"/>
    <row r="24842" customFormat="false" ht="15" hidden="false" customHeight="true" outlineLevel="0" collapsed="false"/>
    <row r="24843" customFormat="false" ht="15" hidden="false" customHeight="true" outlineLevel="0" collapsed="false"/>
    <row r="24844" customFormat="false" ht="15" hidden="false" customHeight="true" outlineLevel="0" collapsed="false"/>
    <row r="24845" customFormat="false" ht="15" hidden="false" customHeight="true" outlineLevel="0" collapsed="false"/>
    <row r="24846" customFormat="false" ht="15" hidden="false" customHeight="true" outlineLevel="0" collapsed="false"/>
    <row r="24847" customFormat="false" ht="15" hidden="false" customHeight="true" outlineLevel="0" collapsed="false"/>
    <row r="24848" customFormat="false" ht="15" hidden="false" customHeight="true" outlineLevel="0" collapsed="false"/>
    <row r="24849" customFormat="false" ht="15" hidden="false" customHeight="true" outlineLevel="0" collapsed="false"/>
    <row r="24850" customFormat="false" ht="15" hidden="false" customHeight="true" outlineLevel="0" collapsed="false"/>
    <row r="24851" customFormat="false" ht="15" hidden="false" customHeight="true" outlineLevel="0" collapsed="false"/>
    <row r="24852" customFormat="false" ht="15" hidden="false" customHeight="true" outlineLevel="0" collapsed="false"/>
    <row r="24853" customFormat="false" ht="15" hidden="false" customHeight="true" outlineLevel="0" collapsed="false"/>
    <row r="24854" customFormat="false" ht="15" hidden="false" customHeight="true" outlineLevel="0" collapsed="false"/>
    <row r="24855" customFormat="false" ht="15" hidden="false" customHeight="true" outlineLevel="0" collapsed="false"/>
    <row r="24856" customFormat="false" ht="15" hidden="false" customHeight="true" outlineLevel="0" collapsed="false"/>
    <row r="24857" customFormat="false" ht="15" hidden="false" customHeight="true" outlineLevel="0" collapsed="false"/>
    <row r="24858" customFormat="false" ht="15" hidden="false" customHeight="true" outlineLevel="0" collapsed="false"/>
    <row r="24859" customFormat="false" ht="15" hidden="false" customHeight="true" outlineLevel="0" collapsed="false"/>
    <row r="24860" customFormat="false" ht="15" hidden="false" customHeight="true" outlineLevel="0" collapsed="false"/>
    <row r="24861" customFormat="false" ht="15" hidden="false" customHeight="true" outlineLevel="0" collapsed="false"/>
    <row r="24862" customFormat="false" ht="15" hidden="false" customHeight="true" outlineLevel="0" collapsed="false"/>
    <row r="24863" customFormat="false" ht="15" hidden="false" customHeight="true" outlineLevel="0" collapsed="false"/>
    <row r="24864" customFormat="false" ht="15" hidden="false" customHeight="true" outlineLevel="0" collapsed="false"/>
    <row r="24865" customFormat="false" ht="15" hidden="false" customHeight="true" outlineLevel="0" collapsed="false"/>
    <row r="24866" customFormat="false" ht="15" hidden="false" customHeight="true" outlineLevel="0" collapsed="false"/>
    <row r="24867" customFormat="false" ht="15" hidden="false" customHeight="true" outlineLevel="0" collapsed="false"/>
    <row r="24868" customFormat="false" ht="15" hidden="false" customHeight="true" outlineLevel="0" collapsed="false"/>
    <row r="24869" customFormat="false" ht="15" hidden="false" customHeight="true" outlineLevel="0" collapsed="false"/>
    <row r="24870" customFormat="false" ht="15" hidden="false" customHeight="true" outlineLevel="0" collapsed="false"/>
    <row r="24871" customFormat="false" ht="15" hidden="false" customHeight="true" outlineLevel="0" collapsed="false"/>
    <row r="24872" customFormat="false" ht="15" hidden="false" customHeight="true" outlineLevel="0" collapsed="false"/>
    <row r="24873" customFormat="false" ht="15" hidden="false" customHeight="true" outlineLevel="0" collapsed="false"/>
    <row r="24874" customFormat="false" ht="15" hidden="false" customHeight="true" outlineLevel="0" collapsed="false"/>
    <row r="24875" customFormat="false" ht="15" hidden="false" customHeight="true" outlineLevel="0" collapsed="false"/>
    <row r="24876" customFormat="false" ht="15" hidden="false" customHeight="true" outlineLevel="0" collapsed="false"/>
    <row r="24877" customFormat="false" ht="15" hidden="false" customHeight="true" outlineLevel="0" collapsed="false"/>
    <row r="24878" customFormat="false" ht="15" hidden="false" customHeight="true" outlineLevel="0" collapsed="false"/>
    <row r="24879" customFormat="false" ht="15" hidden="false" customHeight="true" outlineLevel="0" collapsed="false"/>
    <row r="24880" customFormat="false" ht="15" hidden="false" customHeight="true" outlineLevel="0" collapsed="false"/>
    <row r="24881" customFormat="false" ht="15" hidden="false" customHeight="true" outlineLevel="0" collapsed="false"/>
    <row r="24882" customFormat="false" ht="15" hidden="false" customHeight="true" outlineLevel="0" collapsed="false"/>
    <row r="24883" customFormat="false" ht="15" hidden="false" customHeight="true" outlineLevel="0" collapsed="false"/>
    <row r="24884" customFormat="false" ht="15" hidden="false" customHeight="true" outlineLevel="0" collapsed="false"/>
    <row r="24885" customFormat="false" ht="15" hidden="false" customHeight="true" outlineLevel="0" collapsed="false"/>
    <row r="24886" customFormat="false" ht="15" hidden="false" customHeight="true" outlineLevel="0" collapsed="false"/>
    <row r="24887" customFormat="false" ht="15" hidden="false" customHeight="true" outlineLevel="0" collapsed="false"/>
    <row r="24888" customFormat="false" ht="15" hidden="false" customHeight="true" outlineLevel="0" collapsed="false"/>
    <row r="24889" customFormat="false" ht="15" hidden="false" customHeight="true" outlineLevel="0" collapsed="false"/>
    <row r="24890" customFormat="false" ht="15" hidden="false" customHeight="true" outlineLevel="0" collapsed="false"/>
    <row r="24891" customFormat="false" ht="15" hidden="false" customHeight="true" outlineLevel="0" collapsed="false"/>
    <row r="24892" customFormat="false" ht="15" hidden="false" customHeight="true" outlineLevel="0" collapsed="false"/>
    <row r="24893" customFormat="false" ht="15" hidden="false" customHeight="true" outlineLevel="0" collapsed="false"/>
    <row r="24894" customFormat="false" ht="15" hidden="false" customHeight="true" outlineLevel="0" collapsed="false"/>
    <row r="24895" customFormat="false" ht="15" hidden="false" customHeight="true" outlineLevel="0" collapsed="false"/>
    <row r="24896" customFormat="false" ht="15" hidden="false" customHeight="true" outlineLevel="0" collapsed="false"/>
    <row r="24897" customFormat="false" ht="15" hidden="false" customHeight="true" outlineLevel="0" collapsed="false"/>
    <row r="24898" customFormat="false" ht="15" hidden="false" customHeight="true" outlineLevel="0" collapsed="false"/>
    <row r="24899" customFormat="false" ht="15" hidden="false" customHeight="true" outlineLevel="0" collapsed="false"/>
    <row r="24900" customFormat="false" ht="15" hidden="false" customHeight="true" outlineLevel="0" collapsed="false"/>
    <row r="24901" customFormat="false" ht="15" hidden="false" customHeight="true" outlineLevel="0" collapsed="false"/>
    <row r="24902" customFormat="false" ht="15" hidden="false" customHeight="true" outlineLevel="0" collapsed="false"/>
    <row r="24903" customFormat="false" ht="15" hidden="false" customHeight="true" outlineLevel="0" collapsed="false"/>
    <row r="24904" customFormat="false" ht="15" hidden="false" customHeight="true" outlineLevel="0" collapsed="false"/>
    <row r="24905" customFormat="false" ht="15" hidden="false" customHeight="true" outlineLevel="0" collapsed="false"/>
    <row r="24906" customFormat="false" ht="15" hidden="false" customHeight="true" outlineLevel="0" collapsed="false"/>
    <row r="24907" customFormat="false" ht="15" hidden="false" customHeight="true" outlineLevel="0" collapsed="false"/>
    <row r="24908" customFormat="false" ht="15" hidden="false" customHeight="true" outlineLevel="0" collapsed="false"/>
    <row r="24909" customFormat="false" ht="15" hidden="false" customHeight="true" outlineLevel="0" collapsed="false"/>
    <row r="24910" customFormat="false" ht="15" hidden="false" customHeight="true" outlineLevel="0" collapsed="false"/>
    <row r="24911" customFormat="false" ht="15" hidden="false" customHeight="true" outlineLevel="0" collapsed="false"/>
    <row r="24912" customFormat="false" ht="15" hidden="false" customHeight="true" outlineLevel="0" collapsed="false"/>
    <row r="24913" customFormat="false" ht="15" hidden="false" customHeight="true" outlineLevel="0" collapsed="false"/>
    <row r="24914" customFormat="false" ht="15" hidden="false" customHeight="true" outlineLevel="0" collapsed="false"/>
    <row r="24915" customFormat="false" ht="15" hidden="false" customHeight="true" outlineLevel="0" collapsed="false"/>
    <row r="24916" customFormat="false" ht="15" hidden="false" customHeight="true" outlineLevel="0" collapsed="false"/>
    <row r="24917" customFormat="false" ht="15" hidden="false" customHeight="true" outlineLevel="0" collapsed="false"/>
    <row r="24918" customFormat="false" ht="15" hidden="false" customHeight="true" outlineLevel="0" collapsed="false"/>
    <row r="24919" customFormat="false" ht="15" hidden="false" customHeight="true" outlineLevel="0" collapsed="false"/>
    <row r="24920" customFormat="false" ht="15" hidden="false" customHeight="true" outlineLevel="0" collapsed="false"/>
    <row r="24921" customFormat="false" ht="15" hidden="false" customHeight="true" outlineLevel="0" collapsed="false"/>
    <row r="24922" customFormat="false" ht="15" hidden="false" customHeight="true" outlineLevel="0" collapsed="false"/>
    <row r="24923" customFormat="false" ht="15" hidden="false" customHeight="true" outlineLevel="0" collapsed="false"/>
    <row r="24924" customFormat="false" ht="15" hidden="false" customHeight="true" outlineLevel="0" collapsed="false"/>
    <row r="24925" customFormat="false" ht="15" hidden="false" customHeight="true" outlineLevel="0" collapsed="false"/>
    <row r="24926" customFormat="false" ht="15" hidden="false" customHeight="true" outlineLevel="0" collapsed="false"/>
    <row r="24927" customFormat="false" ht="15" hidden="false" customHeight="true" outlineLevel="0" collapsed="false"/>
    <row r="24928" customFormat="false" ht="15" hidden="false" customHeight="true" outlineLevel="0" collapsed="false"/>
    <row r="24929" customFormat="false" ht="15" hidden="false" customHeight="true" outlineLevel="0" collapsed="false"/>
    <row r="24930" customFormat="false" ht="15" hidden="false" customHeight="true" outlineLevel="0" collapsed="false"/>
    <row r="24931" customFormat="false" ht="15" hidden="false" customHeight="true" outlineLevel="0" collapsed="false"/>
    <row r="24932" customFormat="false" ht="15" hidden="false" customHeight="true" outlineLevel="0" collapsed="false"/>
    <row r="24933" customFormat="false" ht="15" hidden="false" customHeight="true" outlineLevel="0" collapsed="false"/>
    <row r="24934" customFormat="false" ht="15" hidden="false" customHeight="true" outlineLevel="0" collapsed="false"/>
    <row r="24935" customFormat="false" ht="15" hidden="false" customHeight="true" outlineLevel="0" collapsed="false"/>
    <row r="24936" customFormat="false" ht="15" hidden="false" customHeight="true" outlineLevel="0" collapsed="false"/>
    <row r="24937" customFormat="false" ht="15" hidden="false" customHeight="true" outlineLevel="0" collapsed="false"/>
    <row r="24938" customFormat="false" ht="15" hidden="false" customHeight="true" outlineLevel="0" collapsed="false"/>
    <row r="24939" customFormat="false" ht="15" hidden="false" customHeight="true" outlineLevel="0" collapsed="false"/>
    <row r="24940" customFormat="false" ht="15" hidden="false" customHeight="true" outlineLevel="0" collapsed="false"/>
    <row r="24941" customFormat="false" ht="15" hidden="false" customHeight="true" outlineLevel="0" collapsed="false"/>
    <row r="24942" customFormat="false" ht="15" hidden="false" customHeight="true" outlineLevel="0" collapsed="false"/>
    <row r="24943" customFormat="false" ht="15" hidden="false" customHeight="true" outlineLevel="0" collapsed="false"/>
    <row r="24944" customFormat="false" ht="15" hidden="false" customHeight="true" outlineLevel="0" collapsed="false"/>
    <row r="24945" customFormat="false" ht="15" hidden="false" customHeight="true" outlineLevel="0" collapsed="false"/>
    <row r="24946" customFormat="false" ht="15" hidden="false" customHeight="true" outlineLevel="0" collapsed="false"/>
    <row r="24947" customFormat="false" ht="15" hidden="false" customHeight="true" outlineLevel="0" collapsed="false"/>
    <row r="24948" customFormat="false" ht="15" hidden="false" customHeight="true" outlineLevel="0" collapsed="false"/>
    <row r="24949" customFormat="false" ht="15" hidden="false" customHeight="true" outlineLevel="0" collapsed="false"/>
    <row r="24950" customFormat="false" ht="15" hidden="false" customHeight="true" outlineLevel="0" collapsed="false"/>
    <row r="24951" customFormat="false" ht="15" hidden="false" customHeight="true" outlineLevel="0" collapsed="false"/>
    <row r="24952" customFormat="false" ht="15" hidden="false" customHeight="true" outlineLevel="0" collapsed="false"/>
    <row r="24953" customFormat="false" ht="15" hidden="false" customHeight="true" outlineLevel="0" collapsed="false"/>
    <row r="24954" customFormat="false" ht="15" hidden="false" customHeight="true" outlineLevel="0" collapsed="false"/>
    <row r="24955" customFormat="false" ht="15" hidden="false" customHeight="true" outlineLevel="0" collapsed="false"/>
    <row r="24956" customFormat="false" ht="15" hidden="false" customHeight="true" outlineLevel="0" collapsed="false"/>
    <row r="24957" customFormat="false" ht="15" hidden="false" customHeight="true" outlineLevel="0" collapsed="false"/>
    <row r="24958" customFormat="false" ht="15" hidden="false" customHeight="true" outlineLevel="0" collapsed="false"/>
    <row r="24959" customFormat="false" ht="15" hidden="false" customHeight="true" outlineLevel="0" collapsed="false"/>
    <row r="24960" customFormat="false" ht="15" hidden="false" customHeight="true" outlineLevel="0" collapsed="false"/>
    <row r="24961" customFormat="false" ht="15" hidden="false" customHeight="true" outlineLevel="0" collapsed="false"/>
    <row r="24962" customFormat="false" ht="15" hidden="false" customHeight="true" outlineLevel="0" collapsed="false"/>
    <row r="24963" customFormat="false" ht="15" hidden="false" customHeight="true" outlineLevel="0" collapsed="false"/>
    <row r="24964" customFormat="false" ht="15" hidden="false" customHeight="true" outlineLevel="0" collapsed="false"/>
    <row r="24965" customFormat="false" ht="15" hidden="false" customHeight="true" outlineLevel="0" collapsed="false"/>
    <row r="24966" customFormat="false" ht="15" hidden="false" customHeight="true" outlineLevel="0" collapsed="false"/>
    <row r="24967" customFormat="false" ht="15" hidden="false" customHeight="true" outlineLevel="0" collapsed="false"/>
    <row r="24968" customFormat="false" ht="15" hidden="false" customHeight="true" outlineLevel="0" collapsed="false"/>
    <row r="24969" customFormat="false" ht="15" hidden="false" customHeight="true" outlineLevel="0" collapsed="false"/>
    <row r="24970" customFormat="false" ht="15" hidden="false" customHeight="true" outlineLevel="0" collapsed="false"/>
    <row r="24971" customFormat="false" ht="15" hidden="false" customHeight="true" outlineLevel="0" collapsed="false"/>
    <row r="24972" customFormat="false" ht="15" hidden="false" customHeight="true" outlineLevel="0" collapsed="false"/>
    <row r="24973" customFormat="false" ht="15" hidden="false" customHeight="true" outlineLevel="0" collapsed="false"/>
    <row r="24974" customFormat="false" ht="15" hidden="false" customHeight="true" outlineLevel="0" collapsed="false"/>
    <row r="24975" customFormat="false" ht="15" hidden="false" customHeight="true" outlineLevel="0" collapsed="false"/>
    <row r="24976" customFormat="false" ht="15" hidden="false" customHeight="true" outlineLevel="0" collapsed="false"/>
    <row r="24977" customFormat="false" ht="15" hidden="false" customHeight="true" outlineLevel="0" collapsed="false"/>
    <row r="24978" customFormat="false" ht="15" hidden="false" customHeight="true" outlineLevel="0" collapsed="false"/>
    <row r="24979" customFormat="false" ht="15" hidden="false" customHeight="true" outlineLevel="0" collapsed="false"/>
    <row r="24980" customFormat="false" ht="15" hidden="false" customHeight="true" outlineLevel="0" collapsed="false"/>
    <row r="24981" customFormat="false" ht="15" hidden="false" customHeight="true" outlineLevel="0" collapsed="false"/>
    <row r="24982" customFormat="false" ht="15" hidden="false" customHeight="true" outlineLevel="0" collapsed="false"/>
    <row r="24983" customFormat="false" ht="15" hidden="false" customHeight="true" outlineLevel="0" collapsed="false"/>
    <row r="24984" customFormat="false" ht="15" hidden="false" customHeight="true" outlineLevel="0" collapsed="false"/>
    <row r="24985" customFormat="false" ht="15" hidden="false" customHeight="true" outlineLevel="0" collapsed="false"/>
    <row r="24986" customFormat="false" ht="15" hidden="false" customHeight="true" outlineLevel="0" collapsed="false"/>
    <row r="24987" customFormat="false" ht="15" hidden="false" customHeight="true" outlineLevel="0" collapsed="false"/>
    <row r="24988" customFormat="false" ht="15" hidden="false" customHeight="true" outlineLevel="0" collapsed="false"/>
    <row r="24989" customFormat="false" ht="15" hidden="false" customHeight="true" outlineLevel="0" collapsed="false"/>
    <row r="24990" customFormat="false" ht="15" hidden="false" customHeight="true" outlineLevel="0" collapsed="false"/>
    <row r="24991" customFormat="false" ht="15" hidden="false" customHeight="true" outlineLevel="0" collapsed="false"/>
    <row r="24992" customFormat="false" ht="15" hidden="false" customHeight="true" outlineLevel="0" collapsed="false"/>
    <row r="24993" customFormat="false" ht="15" hidden="false" customHeight="true" outlineLevel="0" collapsed="false"/>
    <row r="24994" customFormat="false" ht="15" hidden="false" customHeight="true" outlineLevel="0" collapsed="false"/>
    <row r="24995" customFormat="false" ht="15" hidden="false" customHeight="true" outlineLevel="0" collapsed="false"/>
    <row r="24996" customFormat="false" ht="15" hidden="false" customHeight="true" outlineLevel="0" collapsed="false"/>
    <row r="24997" customFormat="false" ht="15" hidden="false" customHeight="true" outlineLevel="0" collapsed="false"/>
    <row r="24998" customFormat="false" ht="15" hidden="false" customHeight="true" outlineLevel="0" collapsed="false"/>
    <row r="24999" customFormat="false" ht="15" hidden="false" customHeight="true" outlineLevel="0" collapsed="false"/>
    <row r="25000" customFormat="false" ht="15" hidden="false" customHeight="true" outlineLevel="0" collapsed="false"/>
    <row r="25001" customFormat="false" ht="15" hidden="false" customHeight="true" outlineLevel="0" collapsed="false"/>
    <row r="25002" customFormat="false" ht="15" hidden="false" customHeight="true" outlineLevel="0" collapsed="false"/>
    <row r="25003" customFormat="false" ht="15" hidden="false" customHeight="true" outlineLevel="0" collapsed="false"/>
    <row r="25004" customFormat="false" ht="15" hidden="false" customHeight="true" outlineLevel="0" collapsed="false"/>
    <row r="25005" customFormat="false" ht="15" hidden="false" customHeight="true" outlineLevel="0" collapsed="false"/>
    <row r="25006" customFormat="false" ht="15" hidden="false" customHeight="true" outlineLevel="0" collapsed="false"/>
    <row r="25007" customFormat="false" ht="15" hidden="false" customHeight="true" outlineLevel="0" collapsed="false"/>
    <row r="25008" customFormat="false" ht="15" hidden="false" customHeight="true" outlineLevel="0" collapsed="false"/>
    <row r="25009" customFormat="false" ht="15" hidden="false" customHeight="true" outlineLevel="0" collapsed="false"/>
    <row r="25010" customFormat="false" ht="15" hidden="false" customHeight="true" outlineLevel="0" collapsed="false"/>
    <row r="25011" customFormat="false" ht="15" hidden="false" customHeight="true" outlineLevel="0" collapsed="false"/>
    <row r="25012" customFormat="false" ht="15" hidden="false" customHeight="true" outlineLevel="0" collapsed="false"/>
    <row r="25013" customFormat="false" ht="15" hidden="false" customHeight="true" outlineLevel="0" collapsed="false"/>
    <row r="25014" customFormat="false" ht="15" hidden="false" customHeight="true" outlineLevel="0" collapsed="false"/>
    <row r="25015" customFormat="false" ht="15" hidden="false" customHeight="true" outlineLevel="0" collapsed="false"/>
    <row r="25016" customFormat="false" ht="15" hidden="false" customHeight="true" outlineLevel="0" collapsed="false"/>
    <row r="25017" customFormat="false" ht="15" hidden="false" customHeight="true" outlineLevel="0" collapsed="false"/>
    <row r="25018" customFormat="false" ht="15" hidden="false" customHeight="true" outlineLevel="0" collapsed="false"/>
    <row r="25019" customFormat="false" ht="15" hidden="false" customHeight="true" outlineLevel="0" collapsed="false"/>
    <row r="25020" customFormat="false" ht="15" hidden="false" customHeight="true" outlineLevel="0" collapsed="false"/>
    <row r="25021" customFormat="false" ht="15" hidden="false" customHeight="true" outlineLevel="0" collapsed="false"/>
    <row r="25022" customFormat="false" ht="15" hidden="false" customHeight="true" outlineLevel="0" collapsed="false"/>
    <row r="25023" customFormat="false" ht="15" hidden="false" customHeight="true" outlineLevel="0" collapsed="false"/>
    <row r="25024" customFormat="false" ht="15" hidden="false" customHeight="true" outlineLevel="0" collapsed="false"/>
    <row r="25025" customFormat="false" ht="15" hidden="false" customHeight="true" outlineLevel="0" collapsed="false"/>
    <row r="25026" customFormat="false" ht="15" hidden="false" customHeight="true" outlineLevel="0" collapsed="false"/>
    <row r="25027" customFormat="false" ht="15" hidden="false" customHeight="true" outlineLevel="0" collapsed="false"/>
    <row r="25028" customFormat="false" ht="15" hidden="false" customHeight="true" outlineLevel="0" collapsed="false"/>
    <row r="25029" customFormat="false" ht="15" hidden="false" customHeight="true" outlineLevel="0" collapsed="false"/>
    <row r="25030" customFormat="false" ht="15" hidden="false" customHeight="true" outlineLevel="0" collapsed="false"/>
    <row r="25031" customFormat="false" ht="15" hidden="false" customHeight="true" outlineLevel="0" collapsed="false"/>
    <row r="25032" customFormat="false" ht="15" hidden="false" customHeight="true" outlineLevel="0" collapsed="false"/>
    <row r="25033" customFormat="false" ht="15" hidden="false" customHeight="true" outlineLevel="0" collapsed="false"/>
    <row r="25034" customFormat="false" ht="15" hidden="false" customHeight="true" outlineLevel="0" collapsed="false"/>
    <row r="25035" customFormat="false" ht="15" hidden="false" customHeight="true" outlineLevel="0" collapsed="false"/>
    <row r="25036" customFormat="false" ht="15" hidden="false" customHeight="true" outlineLevel="0" collapsed="false"/>
    <row r="25037" customFormat="false" ht="15" hidden="false" customHeight="true" outlineLevel="0" collapsed="false"/>
    <row r="25038" customFormat="false" ht="15" hidden="false" customHeight="true" outlineLevel="0" collapsed="false"/>
    <row r="25039" customFormat="false" ht="15" hidden="false" customHeight="true" outlineLevel="0" collapsed="false"/>
    <row r="25040" customFormat="false" ht="15" hidden="false" customHeight="true" outlineLevel="0" collapsed="false"/>
    <row r="25041" customFormat="false" ht="15" hidden="false" customHeight="true" outlineLevel="0" collapsed="false"/>
    <row r="25042" customFormat="false" ht="15" hidden="false" customHeight="true" outlineLevel="0" collapsed="false"/>
    <row r="25043" customFormat="false" ht="15" hidden="false" customHeight="true" outlineLevel="0" collapsed="false"/>
    <row r="25044" customFormat="false" ht="15" hidden="false" customHeight="true" outlineLevel="0" collapsed="false"/>
    <row r="25045" customFormat="false" ht="15" hidden="false" customHeight="true" outlineLevel="0" collapsed="false"/>
    <row r="25046" customFormat="false" ht="15" hidden="false" customHeight="true" outlineLevel="0" collapsed="false"/>
    <row r="25047" customFormat="false" ht="15" hidden="false" customHeight="true" outlineLevel="0" collapsed="false"/>
    <row r="25048" customFormat="false" ht="15" hidden="false" customHeight="true" outlineLevel="0" collapsed="false"/>
    <row r="25049" customFormat="false" ht="15" hidden="false" customHeight="true" outlineLevel="0" collapsed="false"/>
    <row r="25050" customFormat="false" ht="15" hidden="false" customHeight="true" outlineLevel="0" collapsed="false"/>
    <row r="25051" customFormat="false" ht="15" hidden="false" customHeight="true" outlineLevel="0" collapsed="false"/>
    <row r="25052" customFormat="false" ht="15" hidden="false" customHeight="true" outlineLevel="0" collapsed="false"/>
    <row r="25053" customFormat="false" ht="15" hidden="false" customHeight="true" outlineLevel="0" collapsed="false"/>
    <row r="25054" customFormat="false" ht="15" hidden="false" customHeight="true" outlineLevel="0" collapsed="false"/>
    <row r="25055" customFormat="false" ht="15" hidden="false" customHeight="true" outlineLevel="0" collapsed="false"/>
    <row r="25056" customFormat="false" ht="15" hidden="false" customHeight="true" outlineLevel="0" collapsed="false"/>
    <row r="25057" customFormat="false" ht="15" hidden="false" customHeight="true" outlineLevel="0" collapsed="false"/>
    <row r="25058" customFormat="false" ht="15" hidden="false" customHeight="true" outlineLevel="0" collapsed="false"/>
    <row r="25059" customFormat="false" ht="15" hidden="false" customHeight="true" outlineLevel="0" collapsed="false"/>
    <row r="25060" customFormat="false" ht="15" hidden="false" customHeight="true" outlineLevel="0" collapsed="false"/>
    <row r="25061" customFormat="false" ht="15" hidden="false" customHeight="true" outlineLevel="0" collapsed="false"/>
    <row r="25062" customFormat="false" ht="15" hidden="false" customHeight="true" outlineLevel="0" collapsed="false"/>
    <row r="25063" customFormat="false" ht="15" hidden="false" customHeight="true" outlineLevel="0" collapsed="false"/>
    <row r="25064" customFormat="false" ht="15" hidden="false" customHeight="true" outlineLevel="0" collapsed="false"/>
    <row r="25065" customFormat="false" ht="15" hidden="false" customHeight="true" outlineLevel="0" collapsed="false"/>
    <row r="25066" customFormat="false" ht="15" hidden="false" customHeight="true" outlineLevel="0" collapsed="false"/>
    <row r="25067" customFormat="false" ht="15" hidden="false" customHeight="true" outlineLevel="0" collapsed="false"/>
    <row r="25068" customFormat="false" ht="15" hidden="false" customHeight="true" outlineLevel="0" collapsed="false"/>
    <row r="25069" customFormat="false" ht="15" hidden="false" customHeight="true" outlineLevel="0" collapsed="false"/>
    <row r="25070" customFormat="false" ht="15" hidden="false" customHeight="true" outlineLevel="0" collapsed="false"/>
    <row r="25071" customFormat="false" ht="15" hidden="false" customHeight="true" outlineLevel="0" collapsed="false"/>
    <row r="25072" customFormat="false" ht="15" hidden="false" customHeight="true" outlineLevel="0" collapsed="false"/>
    <row r="25073" customFormat="false" ht="15" hidden="false" customHeight="true" outlineLevel="0" collapsed="false"/>
    <row r="25074" customFormat="false" ht="15" hidden="false" customHeight="true" outlineLevel="0" collapsed="false"/>
    <row r="25075" customFormat="false" ht="15" hidden="false" customHeight="true" outlineLevel="0" collapsed="false"/>
    <row r="25076" customFormat="false" ht="15" hidden="false" customHeight="true" outlineLevel="0" collapsed="false"/>
    <row r="25077" customFormat="false" ht="15" hidden="false" customHeight="true" outlineLevel="0" collapsed="false"/>
    <row r="25078" customFormat="false" ht="15" hidden="false" customHeight="true" outlineLevel="0" collapsed="false"/>
    <row r="25079" customFormat="false" ht="15" hidden="false" customHeight="true" outlineLevel="0" collapsed="false"/>
    <row r="25080" customFormat="false" ht="15" hidden="false" customHeight="true" outlineLevel="0" collapsed="false"/>
    <row r="25081" customFormat="false" ht="15" hidden="false" customHeight="true" outlineLevel="0" collapsed="false"/>
    <row r="25082" customFormat="false" ht="15" hidden="false" customHeight="true" outlineLevel="0" collapsed="false"/>
    <row r="25083" customFormat="false" ht="15" hidden="false" customHeight="true" outlineLevel="0" collapsed="false"/>
    <row r="25084" customFormat="false" ht="15" hidden="false" customHeight="true" outlineLevel="0" collapsed="false"/>
    <row r="25085" customFormat="false" ht="15" hidden="false" customHeight="true" outlineLevel="0" collapsed="false"/>
    <row r="25086" customFormat="false" ht="15" hidden="false" customHeight="true" outlineLevel="0" collapsed="false"/>
    <row r="25087" customFormat="false" ht="15" hidden="false" customHeight="true" outlineLevel="0" collapsed="false"/>
    <row r="25088" customFormat="false" ht="15" hidden="false" customHeight="true" outlineLevel="0" collapsed="false"/>
    <row r="25089" customFormat="false" ht="15" hidden="false" customHeight="true" outlineLevel="0" collapsed="false"/>
    <row r="25090" customFormat="false" ht="15" hidden="false" customHeight="true" outlineLevel="0" collapsed="false"/>
    <row r="25091" customFormat="false" ht="15" hidden="false" customHeight="true" outlineLevel="0" collapsed="false"/>
    <row r="25092" customFormat="false" ht="15" hidden="false" customHeight="true" outlineLevel="0" collapsed="false"/>
    <row r="25093" customFormat="false" ht="15" hidden="false" customHeight="true" outlineLevel="0" collapsed="false"/>
    <row r="25094" customFormat="false" ht="15" hidden="false" customHeight="true" outlineLevel="0" collapsed="false"/>
    <row r="25095" customFormat="false" ht="15" hidden="false" customHeight="true" outlineLevel="0" collapsed="false"/>
    <row r="25096" customFormat="false" ht="15" hidden="false" customHeight="true" outlineLevel="0" collapsed="false"/>
    <row r="25097" customFormat="false" ht="15" hidden="false" customHeight="true" outlineLevel="0" collapsed="false"/>
    <row r="25098" customFormat="false" ht="15" hidden="false" customHeight="true" outlineLevel="0" collapsed="false"/>
    <row r="25099" customFormat="false" ht="15" hidden="false" customHeight="true" outlineLevel="0" collapsed="false"/>
    <row r="25100" customFormat="false" ht="15" hidden="false" customHeight="true" outlineLevel="0" collapsed="false"/>
    <row r="25101" customFormat="false" ht="15" hidden="false" customHeight="true" outlineLevel="0" collapsed="false"/>
    <row r="25102" customFormat="false" ht="15" hidden="false" customHeight="true" outlineLevel="0" collapsed="false"/>
    <row r="25103" customFormat="false" ht="15" hidden="false" customHeight="true" outlineLevel="0" collapsed="false"/>
    <row r="25104" customFormat="false" ht="15" hidden="false" customHeight="true" outlineLevel="0" collapsed="false"/>
    <row r="25105" customFormat="false" ht="15" hidden="false" customHeight="true" outlineLevel="0" collapsed="false"/>
    <row r="25106" customFormat="false" ht="15" hidden="false" customHeight="true" outlineLevel="0" collapsed="false"/>
    <row r="25107" customFormat="false" ht="15" hidden="false" customHeight="true" outlineLevel="0" collapsed="false"/>
    <row r="25108" customFormat="false" ht="15" hidden="false" customHeight="true" outlineLevel="0" collapsed="false"/>
    <row r="25109" customFormat="false" ht="15" hidden="false" customHeight="true" outlineLevel="0" collapsed="false"/>
    <row r="25110" customFormat="false" ht="15" hidden="false" customHeight="true" outlineLevel="0" collapsed="false"/>
    <row r="25111" customFormat="false" ht="15" hidden="false" customHeight="true" outlineLevel="0" collapsed="false"/>
    <row r="25112" customFormat="false" ht="15" hidden="false" customHeight="true" outlineLevel="0" collapsed="false"/>
    <row r="25113" customFormat="false" ht="15" hidden="false" customHeight="true" outlineLevel="0" collapsed="false"/>
    <row r="25114" customFormat="false" ht="15" hidden="false" customHeight="true" outlineLevel="0" collapsed="false"/>
    <row r="25115" customFormat="false" ht="15" hidden="false" customHeight="true" outlineLevel="0" collapsed="false"/>
    <row r="25116" customFormat="false" ht="15" hidden="false" customHeight="true" outlineLevel="0" collapsed="false"/>
    <row r="25117" customFormat="false" ht="15" hidden="false" customHeight="true" outlineLevel="0" collapsed="false"/>
    <row r="25118" customFormat="false" ht="15" hidden="false" customHeight="true" outlineLevel="0" collapsed="false"/>
    <row r="25119" customFormat="false" ht="15" hidden="false" customHeight="true" outlineLevel="0" collapsed="false"/>
    <row r="25120" customFormat="false" ht="15" hidden="false" customHeight="true" outlineLevel="0" collapsed="false"/>
    <row r="25121" customFormat="false" ht="15" hidden="false" customHeight="true" outlineLevel="0" collapsed="false"/>
    <row r="25122" customFormat="false" ht="15" hidden="false" customHeight="true" outlineLevel="0" collapsed="false"/>
    <row r="25123" customFormat="false" ht="15" hidden="false" customHeight="true" outlineLevel="0" collapsed="false"/>
    <row r="25124" customFormat="false" ht="15" hidden="false" customHeight="true" outlineLevel="0" collapsed="false"/>
    <row r="25125" customFormat="false" ht="15" hidden="false" customHeight="true" outlineLevel="0" collapsed="false"/>
    <row r="25126" customFormat="false" ht="15" hidden="false" customHeight="true" outlineLevel="0" collapsed="false"/>
    <row r="25127" customFormat="false" ht="15" hidden="false" customHeight="true" outlineLevel="0" collapsed="false"/>
    <row r="25128" customFormat="false" ht="15" hidden="false" customHeight="true" outlineLevel="0" collapsed="false"/>
    <row r="25129" customFormat="false" ht="15" hidden="false" customHeight="true" outlineLevel="0" collapsed="false"/>
    <row r="25130" customFormat="false" ht="15" hidden="false" customHeight="true" outlineLevel="0" collapsed="false"/>
    <row r="25131" customFormat="false" ht="15" hidden="false" customHeight="true" outlineLevel="0" collapsed="false"/>
    <row r="25132" customFormat="false" ht="15" hidden="false" customHeight="true" outlineLevel="0" collapsed="false"/>
    <row r="25133" customFormat="false" ht="15" hidden="false" customHeight="true" outlineLevel="0" collapsed="false"/>
    <row r="25134" customFormat="false" ht="15" hidden="false" customHeight="true" outlineLevel="0" collapsed="false"/>
    <row r="25135" customFormat="false" ht="15" hidden="false" customHeight="true" outlineLevel="0" collapsed="false"/>
    <row r="25136" customFormat="false" ht="15" hidden="false" customHeight="true" outlineLevel="0" collapsed="false"/>
    <row r="25137" customFormat="false" ht="15" hidden="false" customHeight="true" outlineLevel="0" collapsed="false"/>
    <row r="25138" customFormat="false" ht="15" hidden="false" customHeight="true" outlineLevel="0" collapsed="false"/>
    <row r="25139" customFormat="false" ht="15" hidden="false" customHeight="true" outlineLevel="0" collapsed="false"/>
    <row r="25140" customFormat="false" ht="15" hidden="false" customHeight="true" outlineLevel="0" collapsed="false"/>
    <row r="25141" customFormat="false" ht="15" hidden="false" customHeight="true" outlineLevel="0" collapsed="false"/>
    <row r="25142" customFormat="false" ht="15" hidden="false" customHeight="true" outlineLevel="0" collapsed="false"/>
    <row r="25143" customFormat="false" ht="15" hidden="false" customHeight="true" outlineLevel="0" collapsed="false"/>
    <row r="25144" customFormat="false" ht="15" hidden="false" customHeight="true" outlineLevel="0" collapsed="false"/>
    <row r="25145" customFormat="false" ht="15" hidden="false" customHeight="true" outlineLevel="0" collapsed="false"/>
    <row r="25146" customFormat="false" ht="15" hidden="false" customHeight="true" outlineLevel="0" collapsed="false"/>
    <row r="25147" customFormat="false" ht="15" hidden="false" customHeight="true" outlineLevel="0" collapsed="false"/>
    <row r="25148" customFormat="false" ht="15" hidden="false" customHeight="true" outlineLevel="0" collapsed="false"/>
    <row r="25149" customFormat="false" ht="15" hidden="false" customHeight="true" outlineLevel="0" collapsed="false"/>
    <row r="25150" customFormat="false" ht="15" hidden="false" customHeight="true" outlineLevel="0" collapsed="false"/>
    <row r="25151" customFormat="false" ht="15" hidden="false" customHeight="true" outlineLevel="0" collapsed="false"/>
    <row r="25152" customFormat="false" ht="15" hidden="false" customHeight="true" outlineLevel="0" collapsed="false"/>
    <row r="25153" customFormat="false" ht="15" hidden="false" customHeight="true" outlineLevel="0" collapsed="false"/>
    <row r="25154" customFormat="false" ht="15" hidden="false" customHeight="true" outlineLevel="0" collapsed="false"/>
    <row r="25155" customFormat="false" ht="15" hidden="false" customHeight="true" outlineLevel="0" collapsed="false"/>
    <row r="25156" customFormat="false" ht="15" hidden="false" customHeight="true" outlineLevel="0" collapsed="false"/>
    <row r="25157" customFormat="false" ht="15" hidden="false" customHeight="true" outlineLevel="0" collapsed="false"/>
    <row r="25158" customFormat="false" ht="15" hidden="false" customHeight="true" outlineLevel="0" collapsed="false"/>
    <row r="25159" customFormat="false" ht="15" hidden="false" customHeight="true" outlineLevel="0" collapsed="false"/>
    <row r="25160" customFormat="false" ht="15" hidden="false" customHeight="true" outlineLevel="0" collapsed="false"/>
    <row r="25161" customFormat="false" ht="15" hidden="false" customHeight="true" outlineLevel="0" collapsed="false"/>
    <row r="25162" customFormat="false" ht="15" hidden="false" customHeight="true" outlineLevel="0" collapsed="false"/>
    <row r="25163" customFormat="false" ht="15" hidden="false" customHeight="true" outlineLevel="0" collapsed="false"/>
    <row r="25164" customFormat="false" ht="15" hidden="false" customHeight="true" outlineLevel="0" collapsed="false"/>
    <row r="25165" customFormat="false" ht="15" hidden="false" customHeight="true" outlineLevel="0" collapsed="false"/>
    <row r="25166" customFormat="false" ht="15" hidden="false" customHeight="true" outlineLevel="0" collapsed="false"/>
    <row r="25167" customFormat="false" ht="15" hidden="false" customHeight="true" outlineLevel="0" collapsed="false"/>
    <row r="25168" customFormat="false" ht="15" hidden="false" customHeight="true" outlineLevel="0" collapsed="false"/>
    <row r="25169" customFormat="false" ht="15" hidden="false" customHeight="true" outlineLevel="0" collapsed="false"/>
    <row r="25170" customFormat="false" ht="15" hidden="false" customHeight="true" outlineLevel="0" collapsed="false"/>
    <row r="25171" customFormat="false" ht="15" hidden="false" customHeight="true" outlineLevel="0" collapsed="false"/>
    <row r="25172" customFormat="false" ht="15" hidden="false" customHeight="true" outlineLevel="0" collapsed="false"/>
    <row r="25173" customFormat="false" ht="15" hidden="false" customHeight="true" outlineLevel="0" collapsed="false"/>
    <row r="25174" customFormat="false" ht="15" hidden="false" customHeight="true" outlineLevel="0" collapsed="false"/>
    <row r="25175" customFormat="false" ht="15" hidden="false" customHeight="true" outlineLevel="0" collapsed="false"/>
    <row r="25176" customFormat="false" ht="15" hidden="false" customHeight="true" outlineLevel="0" collapsed="false"/>
    <row r="25177" customFormat="false" ht="15" hidden="false" customHeight="true" outlineLevel="0" collapsed="false"/>
    <row r="25178" customFormat="false" ht="15" hidden="false" customHeight="true" outlineLevel="0" collapsed="false"/>
    <row r="25179" customFormat="false" ht="15" hidden="false" customHeight="true" outlineLevel="0" collapsed="false"/>
    <row r="25180" customFormat="false" ht="15" hidden="false" customHeight="true" outlineLevel="0" collapsed="false"/>
    <row r="25181" customFormat="false" ht="15" hidden="false" customHeight="true" outlineLevel="0" collapsed="false"/>
    <row r="25182" customFormat="false" ht="15" hidden="false" customHeight="true" outlineLevel="0" collapsed="false"/>
    <row r="25183" customFormat="false" ht="15" hidden="false" customHeight="true" outlineLevel="0" collapsed="false"/>
    <row r="25184" customFormat="false" ht="15" hidden="false" customHeight="true" outlineLevel="0" collapsed="false"/>
    <row r="25185" customFormat="false" ht="15" hidden="false" customHeight="true" outlineLevel="0" collapsed="false"/>
    <row r="25186" customFormat="false" ht="15" hidden="false" customHeight="true" outlineLevel="0" collapsed="false"/>
    <row r="25187" customFormat="false" ht="15" hidden="false" customHeight="true" outlineLevel="0" collapsed="false"/>
    <row r="25188" customFormat="false" ht="15" hidden="false" customHeight="true" outlineLevel="0" collapsed="false"/>
    <row r="25189" customFormat="false" ht="15" hidden="false" customHeight="true" outlineLevel="0" collapsed="false"/>
    <row r="25190" customFormat="false" ht="15" hidden="false" customHeight="true" outlineLevel="0" collapsed="false"/>
    <row r="25191" customFormat="false" ht="15" hidden="false" customHeight="true" outlineLevel="0" collapsed="false"/>
    <row r="25192" customFormat="false" ht="15" hidden="false" customHeight="true" outlineLevel="0" collapsed="false"/>
    <row r="25193" customFormat="false" ht="15" hidden="false" customHeight="true" outlineLevel="0" collapsed="false"/>
    <row r="25194" customFormat="false" ht="15" hidden="false" customHeight="true" outlineLevel="0" collapsed="false"/>
    <row r="25195" customFormat="false" ht="15" hidden="false" customHeight="true" outlineLevel="0" collapsed="false"/>
    <row r="25196" customFormat="false" ht="15" hidden="false" customHeight="true" outlineLevel="0" collapsed="false"/>
    <row r="25197" customFormat="false" ht="15" hidden="false" customHeight="true" outlineLevel="0" collapsed="false"/>
    <row r="25198" customFormat="false" ht="15" hidden="false" customHeight="true" outlineLevel="0" collapsed="false"/>
    <row r="25199" customFormat="false" ht="15" hidden="false" customHeight="true" outlineLevel="0" collapsed="false"/>
    <row r="25200" customFormat="false" ht="15" hidden="false" customHeight="true" outlineLevel="0" collapsed="false"/>
    <row r="25201" customFormat="false" ht="15" hidden="false" customHeight="true" outlineLevel="0" collapsed="false"/>
    <row r="25202" customFormat="false" ht="15" hidden="false" customHeight="true" outlineLevel="0" collapsed="false"/>
    <row r="25203" customFormat="false" ht="15" hidden="false" customHeight="true" outlineLevel="0" collapsed="false"/>
    <row r="25204" customFormat="false" ht="15" hidden="false" customHeight="true" outlineLevel="0" collapsed="false"/>
    <row r="25205" customFormat="false" ht="15" hidden="false" customHeight="true" outlineLevel="0" collapsed="false"/>
    <row r="25206" customFormat="false" ht="15" hidden="false" customHeight="true" outlineLevel="0" collapsed="false"/>
    <row r="25207" customFormat="false" ht="15" hidden="false" customHeight="true" outlineLevel="0" collapsed="false"/>
    <row r="25208" customFormat="false" ht="15" hidden="false" customHeight="true" outlineLevel="0" collapsed="false"/>
    <row r="25209" customFormat="false" ht="15" hidden="false" customHeight="true" outlineLevel="0" collapsed="false"/>
    <row r="25210" customFormat="false" ht="15" hidden="false" customHeight="true" outlineLevel="0" collapsed="false"/>
    <row r="25211" customFormat="false" ht="15" hidden="false" customHeight="true" outlineLevel="0" collapsed="false"/>
    <row r="25212" customFormat="false" ht="15" hidden="false" customHeight="true" outlineLevel="0" collapsed="false"/>
    <row r="25213" customFormat="false" ht="15" hidden="false" customHeight="true" outlineLevel="0" collapsed="false"/>
    <row r="25214" customFormat="false" ht="15" hidden="false" customHeight="true" outlineLevel="0" collapsed="false"/>
    <row r="25215" customFormat="false" ht="15" hidden="false" customHeight="true" outlineLevel="0" collapsed="false"/>
    <row r="25216" customFormat="false" ht="15" hidden="false" customHeight="true" outlineLevel="0" collapsed="false"/>
    <row r="25217" customFormat="false" ht="15" hidden="false" customHeight="true" outlineLevel="0" collapsed="false"/>
    <row r="25218" customFormat="false" ht="15" hidden="false" customHeight="true" outlineLevel="0" collapsed="false"/>
    <row r="25219" customFormat="false" ht="15" hidden="false" customHeight="true" outlineLevel="0" collapsed="false"/>
    <row r="25220" customFormat="false" ht="15" hidden="false" customHeight="true" outlineLevel="0" collapsed="false"/>
    <row r="25221" customFormat="false" ht="15" hidden="false" customHeight="true" outlineLevel="0" collapsed="false"/>
    <row r="25222" customFormat="false" ht="15" hidden="false" customHeight="true" outlineLevel="0" collapsed="false"/>
    <row r="25223" customFormat="false" ht="15" hidden="false" customHeight="true" outlineLevel="0" collapsed="false"/>
    <row r="25224" customFormat="false" ht="15" hidden="false" customHeight="true" outlineLevel="0" collapsed="false"/>
    <row r="25225" customFormat="false" ht="15" hidden="false" customHeight="true" outlineLevel="0" collapsed="false"/>
    <row r="25226" customFormat="false" ht="15" hidden="false" customHeight="true" outlineLevel="0" collapsed="false"/>
    <row r="25227" customFormat="false" ht="15" hidden="false" customHeight="true" outlineLevel="0" collapsed="false"/>
    <row r="25228" customFormat="false" ht="15" hidden="false" customHeight="true" outlineLevel="0" collapsed="false"/>
    <row r="25229" customFormat="false" ht="15" hidden="false" customHeight="true" outlineLevel="0" collapsed="false"/>
    <row r="25230" customFormat="false" ht="15" hidden="false" customHeight="true" outlineLevel="0" collapsed="false"/>
    <row r="25231" customFormat="false" ht="15" hidden="false" customHeight="true" outlineLevel="0" collapsed="false"/>
    <row r="25232" customFormat="false" ht="15" hidden="false" customHeight="true" outlineLevel="0" collapsed="false"/>
    <row r="25233" customFormat="false" ht="15" hidden="false" customHeight="true" outlineLevel="0" collapsed="false"/>
    <row r="25234" customFormat="false" ht="15" hidden="false" customHeight="true" outlineLevel="0" collapsed="false"/>
    <row r="25235" customFormat="false" ht="15" hidden="false" customHeight="true" outlineLevel="0" collapsed="false"/>
    <row r="25236" customFormat="false" ht="15" hidden="false" customHeight="true" outlineLevel="0" collapsed="false"/>
    <row r="25237" customFormat="false" ht="15" hidden="false" customHeight="true" outlineLevel="0" collapsed="false"/>
    <row r="25238" customFormat="false" ht="15" hidden="false" customHeight="true" outlineLevel="0" collapsed="false"/>
    <row r="25239" customFormat="false" ht="15" hidden="false" customHeight="true" outlineLevel="0" collapsed="false"/>
    <row r="25240" customFormat="false" ht="15" hidden="false" customHeight="true" outlineLevel="0" collapsed="false"/>
    <row r="25241" customFormat="false" ht="15" hidden="false" customHeight="true" outlineLevel="0" collapsed="false"/>
    <row r="25242" customFormat="false" ht="15" hidden="false" customHeight="true" outlineLevel="0" collapsed="false"/>
    <row r="25243" customFormat="false" ht="15" hidden="false" customHeight="true" outlineLevel="0" collapsed="false"/>
    <row r="25244" customFormat="false" ht="15" hidden="false" customHeight="true" outlineLevel="0" collapsed="false"/>
    <row r="25245" customFormat="false" ht="15" hidden="false" customHeight="true" outlineLevel="0" collapsed="false"/>
    <row r="25246" customFormat="false" ht="15" hidden="false" customHeight="true" outlineLevel="0" collapsed="false"/>
    <row r="25247" customFormat="false" ht="15" hidden="false" customHeight="true" outlineLevel="0" collapsed="false"/>
    <row r="25248" customFormat="false" ht="15" hidden="false" customHeight="true" outlineLevel="0" collapsed="false"/>
    <row r="25249" customFormat="false" ht="15" hidden="false" customHeight="true" outlineLevel="0" collapsed="false"/>
    <row r="25250" customFormat="false" ht="15" hidden="false" customHeight="true" outlineLevel="0" collapsed="false"/>
    <row r="25251" customFormat="false" ht="15" hidden="false" customHeight="true" outlineLevel="0" collapsed="false"/>
    <row r="25252" customFormat="false" ht="15" hidden="false" customHeight="true" outlineLevel="0" collapsed="false"/>
    <row r="25253" customFormat="false" ht="15" hidden="false" customHeight="true" outlineLevel="0" collapsed="false"/>
    <row r="25254" customFormat="false" ht="15" hidden="false" customHeight="true" outlineLevel="0" collapsed="false"/>
    <row r="25255" customFormat="false" ht="15" hidden="false" customHeight="true" outlineLevel="0" collapsed="false"/>
    <row r="25256" customFormat="false" ht="15" hidden="false" customHeight="true" outlineLevel="0" collapsed="false"/>
    <row r="25257" customFormat="false" ht="15" hidden="false" customHeight="true" outlineLevel="0" collapsed="false"/>
    <row r="25258" customFormat="false" ht="15" hidden="false" customHeight="true" outlineLevel="0" collapsed="false"/>
    <row r="25259" customFormat="false" ht="15" hidden="false" customHeight="true" outlineLevel="0" collapsed="false"/>
    <row r="25260" customFormat="false" ht="15" hidden="false" customHeight="true" outlineLevel="0" collapsed="false"/>
    <row r="25261" customFormat="false" ht="15" hidden="false" customHeight="true" outlineLevel="0" collapsed="false"/>
    <row r="25262" customFormat="false" ht="15" hidden="false" customHeight="true" outlineLevel="0" collapsed="false"/>
    <row r="25263" customFormat="false" ht="15" hidden="false" customHeight="true" outlineLevel="0" collapsed="false"/>
    <row r="25264" customFormat="false" ht="15" hidden="false" customHeight="true" outlineLevel="0" collapsed="false"/>
    <row r="25265" customFormat="false" ht="15" hidden="false" customHeight="true" outlineLevel="0" collapsed="false"/>
    <row r="25266" customFormat="false" ht="15" hidden="false" customHeight="true" outlineLevel="0" collapsed="false"/>
    <row r="25267" customFormat="false" ht="15" hidden="false" customHeight="true" outlineLevel="0" collapsed="false"/>
    <row r="25268" customFormat="false" ht="15" hidden="false" customHeight="true" outlineLevel="0" collapsed="false"/>
    <row r="25269" customFormat="false" ht="15" hidden="false" customHeight="true" outlineLevel="0" collapsed="false"/>
    <row r="25270" customFormat="false" ht="15" hidden="false" customHeight="true" outlineLevel="0" collapsed="false"/>
    <row r="25271" customFormat="false" ht="15" hidden="false" customHeight="true" outlineLevel="0" collapsed="false"/>
    <row r="25272" customFormat="false" ht="15" hidden="false" customHeight="true" outlineLevel="0" collapsed="false"/>
    <row r="25273" customFormat="false" ht="15" hidden="false" customHeight="true" outlineLevel="0" collapsed="false"/>
    <row r="25274" customFormat="false" ht="15" hidden="false" customHeight="true" outlineLevel="0" collapsed="false"/>
    <row r="25275" customFormat="false" ht="15" hidden="false" customHeight="true" outlineLevel="0" collapsed="false"/>
    <row r="25276" customFormat="false" ht="15" hidden="false" customHeight="true" outlineLevel="0" collapsed="false"/>
    <row r="25277" customFormat="false" ht="15" hidden="false" customHeight="true" outlineLevel="0" collapsed="false"/>
    <row r="25278" customFormat="false" ht="15" hidden="false" customHeight="true" outlineLevel="0" collapsed="false"/>
    <row r="25279" customFormat="false" ht="15" hidden="false" customHeight="true" outlineLevel="0" collapsed="false"/>
    <row r="25280" customFormat="false" ht="15" hidden="false" customHeight="true" outlineLevel="0" collapsed="false"/>
    <row r="25281" customFormat="false" ht="15" hidden="false" customHeight="true" outlineLevel="0" collapsed="false"/>
    <row r="25282" customFormat="false" ht="15" hidden="false" customHeight="true" outlineLevel="0" collapsed="false"/>
    <row r="25283" customFormat="false" ht="15" hidden="false" customHeight="true" outlineLevel="0" collapsed="false"/>
    <row r="25284" customFormat="false" ht="15" hidden="false" customHeight="true" outlineLevel="0" collapsed="false"/>
    <row r="25285" customFormat="false" ht="15" hidden="false" customHeight="true" outlineLevel="0" collapsed="false"/>
    <row r="25286" customFormat="false" ht="15" hidden="false" customHeight="true" outlineLevel="0" collapsed="false"/>
    <row r="25287" customFormat="false" ht="15" hidden="false" customHeight="true" outlineLevel="0" collapsed="false"/>
    <row r="25288" customFormat="false" ht="15" hidden="false" customHeight="true" outlineLevel="0" collapsed="false"/>
    <row r="25289" customFormat="false" ht="15" hidden="false" customHeight="true" outlineLevel="0" collapsed="false"/>
    <row r="25290" customFormat="false" ht="15" hidden="false" customHeight="true" outlineLevel="0" collapsed="false"/>
    <row r="25291" customFormat="false" ht="15" hidden="false" customHeight="true" outlineLevel="0" collapsed="false"/>
    <row r="25292" customFormat="false" ht="15" hidden="false" customHeight="true" outlineLevel="0" collapsed="false"/>
    <row r="25293" customFormat="false" ht="15" hidden="false" customHeight="true" outlineLevel="0" collapsed="false"/>
    <row r="25294" customFormat="false" ht="15" hidden="false" customHeight="true" outlineLevel="0" collapsed="false"/>
    <row r="25295" customFormat="false" ht="15" hidden="false" customHeight="true" outlineLevel="0" collapsed="false"/>
    <row r="25296" customFormat="false" ht="15" hidden="false" customHeight="true" outlineLevel="0" collapsed="false"/>
    <row r="25297" customFormat="false" ht="15" hidden="false" customHeight="true" outlineLevel="0" collapsed="false"/>
    <row r="25298" customFormat="false" ht="15" hidden="false" customHeight="true" outlineLevel="0" collapsed="false"/>
    <row r="25299" customFormat="false" ht="15" hidden="false" customHeight="true" outlineLevel="0" collapsed="false"/>
    <row r="25300" customFormat="false" ht="15" hidden="false" customHeight="true" outlineLevel="0" collapsed="false"/>
    <row r="25301" customFormat="false" ht="15" hidden="false" customHeight="true" outlineLevel="0" collapsed="false"/>
    <row r="25302" customFormat="false" ht="15" hidden="false" customHeight="true" outlineLevel="0" collapsed="false"/>
    <row r="25303" customFormat="false" ht="15" hidden="false" customHeight="true" outlineLevel="0" collapsed="false"/>
    <row r="25304" customFormat="false" ht="15" hidden="false" customHeight="true" outlineLevel="0" collapsed="false"/>
    <row r="25305" customFormat="false" ht="15" hidden="false" customHeight="true" outlineLevel="0" collapsed="false"/>
    <row r="25306" customFormat="false" ht="15" hidden="false" customHeight="true" outlineLevel="0" collapsed="false"/>
    <row r="25307" customFormat="false" ht="15" hidden="false" customHeight="true" outlineLevel="0" collapsed="false"/>
    <row r="25308" customFormat="false" ht="15" hidden="false" customHeight="true" outlineLevel="0" collapsed="false"/>
    <row r="25309" customFormat="false" ht="15" hidden="false" customHeight="true" outlineLevel="0" collapsed="false"/>
    <row r="25310" customFormat="false" ht="15" hidden="false" customHeight="true" outlineLevel="0" collapsed="false"/>
    <row r="25311" customFormat="false" ht="15" hidden="false" customHeight="true" outlineLevel="0" collapsed="false"/>
    <row r="25312" customFormat="false" ht="15" hidden="false" customHeight="true" outlineLevel="0" collapsed="false"/>
    <row r="25313" customFormat="false" ht="15" hidden="false" customHeight="true" outlineLevel="0" collapsed="false"/>
    <row r="25314" customFormat="false" ht="15" hidden="false" customHeight="true" outlineLevel="0" collapsed="false"/>
    <row r="25315" customFormat="false" ht="15" hidden="false" customHeight="true" outlineLevel="0" collapsed="false"/>
    <row r="25316" customFormat="false" ht="15" hidden="false" customHeight="true" outlineLevel="0" collapsed="false"/>
    <row r="25317" customFormat="false" ht="15" hidden="false" customHeight="true" outlineLevel="0" collapsed="false"/>
    <row r="25318" customFormat="false" ht="15" hidden="false" customHeight="true" outlineLevel="0" collapsed="false"/>
    <row r="25319" customFormat="false" ht="15" hidden="false" customHeight="true" outlineLevel="0" collapsed="false"/>
    <row r="25320" customFormat="false" ht="15" hidden="false" customHeight="true" outlineLevel="0" collapsed="false"/>
    <row r="25321" customFormat="false" ht="15" hidden="false" customHeight="true" outlineLevel="0" collapsed="false"/>
    <row r="25322" customFormat="false" ht="15" hidden="false" customHeight="true" outlineLevel="0" collapsed="false"/>
    <row r="25323" customFormat="false" ht="15" hidden="false" customHeight="true" outlineLevel="0" collapsed="false"/>
    <row r="25324" customFormat="false" ht="15" hidden="false" customHeight="true" outlineLevel="0" collapsed="false"/>
    <row r="25325" customFormat="false" ht="15" hidden="false" customHeight="true" outlineLevel="0" collapsed="false"/>
    <row r="25326" customFormat="false" ht="15" hidden="false" customHeight="true" outlineLevel="0" collapsed="false"/>
    <row r="25327" customFormat="false" ht="15" hidden="false" customHeight="true" outlineLevel="0" collapsed="false"/>
    <row r="25328" customFormat="false" ht="15" hidden="false" customHeight="true" outlineLevel="0" collapsed="false"/>
    <row r="25329" customFormat="false" ht="15" hidden="false" customHeight="true" outlineLevel="0" collapsed="false"/>
    <row r="25330" customFormat="false" ht="15" hidden="false" customHeight="true" outlineLevel="0" collapsed="false"/>
    <row r="25331" customFormat="false" ht="15" hidden="false" customHeight="true" outlineLevel="0" collapsed="false"/>
    <row r="25332" customFormat="false" ht="15" hidden="false" customHeight="true" outlineLevel="0" collapsed="false"/>
    <row r="25333" customFormat="false" ht="15" hidden="false" customHeight="true" outlineLevel="0" collapsed="false"/>
    <row r="25334" customFormat="false" ht="15" hidden="false" customHeight="true" outlineLevel="0" collapsed="false"/>
    <row r="25335" customFormat="false" ht="15" hidden="false" customHeight="true" outlineLevel="0" collapsed="false"/>
    <row r="25336" customFormat="false" ht="15" hidden="false" customHeight="true" outlineLevel="0" collapsed="false"/>
    <row r="25337" customFormat="false" ht="15" hidden="false" customHeight="true" outlineLevel="0" collapsed="false"/>
    <row r="25338" customFormat="false" ht="15" hidden="false" customHeight="true" outlineLevel="0" collapsed="false"/>
    <row r="25339" customFormat="false" ht="15" hidden="false" customHeight="true" outlineLevel="0" collapsed="false"/>
    <row r="25340" customFormat="false" ht="15" hidden="false" customHeight="true" outlineLevel="0" collapsed="false"/>
    <row r="25341" customFormat="false" ht="15" hidden="false" customHeight="true" outlineLevel="0" collapsed="false"/>
    <row r="25342" customFormat="false" ht="15" hidden="false" customHeight="true" outlineLevel="0" collapsed="false"/>
    <row r="25343" customFormat="false" ht="15" hidden="false" customHeight="true" outlineLevel="0" collapsed="false"/>
    <row r="25344" customFormat="false" ht="15" hidden="false" customHeight="true" outlineLevel="0" collapsed="false"/>
    <row r="25345" customFormat="false" ht="15" hidden="false" customHeight="true" outlineLevel="0" collapsed="false"/>
    <row r="25346" customFormat="false" ht="15" hidden="false" customHeight="true" outlineLevel="0" collapsed="false"/>
    <row r="25347" customFormat="false" ht="15" hidden="false" customHeight="true" outlineLevel="0" collapsed="false"/>
    <row r="25348" customFormat="false" ht="15" hidden="false" customHeight="true" outlineLevel="0" collapsed="false"/>
    <row r="25349" customFormat="false" ht="15" hidden="false" customHeight="true" outlineLevel="0" collapsed="false"/>
    <row r="25350" customFormat="false" ht="15" hidden="false" customHeight="true" outlineLevel="0" collapsed="false"/>
    <row r="25351" customFormat="false" ht="15" hidden="false" customHeight="true" outlineLevel="0" collapsed="false"/>
    <row r="25352" customFormat="false" ht="15" hidden="false" customHeight="true" outlineLevel="0" collapsed="false"/>
    <row r="25353" customFormat="false" ht="15" hidden="false" customHeight="true" outlineLevel="0" collapsed="false"/>
    <row r="25354" customFormat="false" ht="15" hidden="false" customHeight="true" outlineLevel="0" collapsed="false"/>
    <row r="25355" customFormat="false" ht="15" hidden="false" customHeight="true" outlineLevel="0" collapsed="false"/>
    <row r="25356" customFormat="false" ht="15" hidden="false" customHeight="true" outlineLevel="0" collapsed="false"/>
    <row r="25357" customFormat="false" ht="15" hidden="false" customHeight="true" outlineLevel="0" collapsed="false"/>
    <row r="25358" customFormat="false" ht="15" hidden="false" customHeight="true" outlineLevel="0" collapsed="false"/>
    <row r="25359" customFormat="false" ht="15" hidden="false" customHeight="true" outlineLevel="0" collapsed="false"/>
    <row r="25360" customFormat="false" ht="15" hidden="false" customHeight="true" outlineLevel="0" collapsed="false"/>
    <row r="25361" customFormat="false" ht="15" hidden="false" customHeight="true" outlineLevel="0" collapsed="false"/>
    <row r="25362" customFormat="false" ht="15" hidden="false" customHeight="true" outlineLevel="0" collapsed="false"/>
    <row r="25363" customFormat="false" ht="15" hidden="false" customHeight="true" outlineLevel="0" collapsed="false"/>
    <row r="25364" customFormat="false" ht="15" hidden="false" customHeight="true" outlineLevel="0" collapsed="false"/>
    <row r="25365" customFormat="false" ht="15" hidden="false" customHeight="true" outlineLevel="0" collapsed="false"/>
    <row r="25366" customFormat="false" ht="15" hidden="false" customHeight="true" outlineLevel="0" collapsed="false"/>
    <row r="25367" customFormat="false" ht="15" hidden="false" customHeight="true" outlineLevel="0" collapsed="false"/>
    <row r="25368" customFormat="false" ht="15" hidden="false" customHeight="true" outlineLevel="0" collapsed="false"/>
    <row r="25369" customFormat="false" ht="15" hidden="false" customHeight="true" outlineLevel="0" collapsed="false"/>
    <row r="25370" customFormat="false" ht="15" hidden="false" customHeight="true" outlineLevel="0" collapsed="false"/>
    <row r="25371" customFormat="false" ht="15" hidden="false" customHeight="true" outlineLevel="0" collapsed="false"/>
    <row r="25372" customFormat="false" ht="15" hidden="false" customHeight="true" outlineLevel="0" collapsed="false"/>
    <row r="25373" customFormat="false" ht="15" hidden="false" customHeight="true" outlineLevel="0" collapsed="false"/>
    <row r="25374" customFormat="false" ht="15" hidden="false" customHeight="true" outlineLevel="0" collapsed="false"/>
    <row r="25375" customFormat="false" ht="15" hidden="false" customHeight="true" outlineLevel="0" collapsed="false"/>
    <row r="25376" customFormat="false" ht="15" hidden="false" customHeight="true" outlineLevel="0" collapsed="false"/>
    <row r="25377" customFormat="false" ht="15" hidden="false" customHeight="true" outlineLevel="0" collapsed="false"/>
    <row r="25378" customFormat="false" ht="15" hidden="false" customHeight="true" outlineLevel="0" collapsed="false"/>
    <row r="25379" customFormat="false" ht="15" hidden="false" customHeight="true" outlineLevel="0" collapsed="false"/>
    <row r="25380" customFormat="false" ht="15" hidden="false" customHeight="true" outlineLevel="0" collapsed="false"/>
    <row r="25381" customFormat="false" ht="15" hidden="false" customHeight="true" outlineLevel="0" collapsed="false"/>
    <row r="25382" customFormat="false" ht="15" hidden="false" customHeight="true" outlineLevel="0" collapsed="false"/>
    <row r="25383" customFormat="false" ht="15" hidden="false" customHeight="true" outlineLevel="0" collapsed="false"/>
    <row r="25384" customFormat="false" ht="15" hidden="false" customHeight="true" outlineLevel="0" collapsed="false"/>
    <row r="25385" customFormat="false" ht="15" hidden="false" customHeight="true" outlineLevel="0" collapsed="false"/>
    <row r="25386" customFormat="false" ht="15" hidden="false" customHeight="true" outlineLevel="0" collapsed="false"/>
    <row r="25387" customFormat="false" ht="15" hidden="false" customHeight="true" outlineLevel="0" collapsed="false"/>
    <row r="25388" customFormat="false" ht="15" hidden="false" customHeight="true" outlineLevel="0" collapsed="false"/>
    <row r="25389" customFormat="false" ht="15" hidden="false" customHeight="true" outlineLevel="0" collapsed="false"/>
    <row r="25390" customFormat="false" ht="15" hidden="false" customHeight="true" outlineLevel="0" collapsed="false"/>
    <row r="25391" customFormat="false" ht="15" hidden="false" customHeight="true" outlineLevel="0" collapsed="false"/>
    <row r="25392" customFormat="false" ht="15" hidden="false" customHeight="true" outlineLevel="0" collapsed="false"/>
    <row r="25393" customFormat="false" ht="15" hidden="false" customHeight="true" outlineLevel="0" collapsed="false"/>
    <row r="25394" customFormat="false" ht="15" hidden="false" customHeight="true" outlineLevel="0" collapsed="false"/>
    <row r="25395" customFormat="false" ht="15" hidden="false" customHeight="true" outlineLevel="0" collapsed="false"/>
    <row r="25396" customFormat="false" ht="15" hidden="false" customHeight="true" outlineLevel="0" collapsed="false"/>
    <row r="25397" customFormat="false" ht="15" hidden="false" customHeight="true" outlineLevel="0" collapsed="false"/>
    <row r="25398" customFormat="false" ht="15" hidden="false" customHeight="true" outlineLevel="0" collapsed="false"/>
    <row r="25399" customFormat="false" ht="15" hidden="false" customHeight="true" outlineLevel="0" collapsed="false"/>
    <row r="25400" customFormat="false" ht="15" hidden="false" customHeight="true" outlineLevel="0" collapsed="false"/>
    <row r="25401" customFormat="false" ht="15" hidden="false" customHeight="true" outlineLevel="0" collapsed="false"/>
    <row r="25402" customFormat="false" ht="15" hidden="false" customHeight="true" outlineLevel="0" collapsed="false"/>
    <row r="25403" customFormat="false" ht="15" hidden="false" customHeight="true" outlineLevel="0" collapsed="false"/>
    <row r="25404" customFormat="false" ht="15" hidden="false" customHeight="true" outlineLevel="0" collapsed="false"/>
    <row r="25405" customFormat="false" ht="15" hidden="false" customHeight="true" outlineLevel="0" collapsed="false"/>
    <row r="25406" customFormat="false" ht="15" hidden="false" customHeight="true" outlineLevel="0" collapsed="false"/>
    <row r="25407" customFormat="false" ht="15" hidden="false" customHeight="true" outlineLevel="0" collapsed="false"/>
    <row r="25408" customFormat="false" ht="15" hidden="false" customHeight="true" outlineLevel="0" collapsed="false"/>
    <row r="25409" customFormat="false" ht="15" hidden="false" customHeight="true" outlineLevel="0" collapsed="false"/>
    <row r="25410" customFormat="false" ht="15" hidden="false" customHeight="true" outlineLevel="0" collapsed="false"/>
    <row r="25411" customFormat="false" ht="15" hidden="false" customHeight="true" outlineLevel="0" collapsed="false"/>
    <row r="25412" customFormat="false" ht="15" hidden="false" customHeight="true" outlineLevel="0" collapsed="false"/>
    <row r="25413" customFormat="false" ht="15" hidden="false" customHeight="true" outlineLevel="0" collapsed="false"/>
    <row r="25414" customFormat="false" ht="15" hidden="false" customHeight="true" outlineLevel="0" collapsed="false"/>
    <row r="25415" customFormat="false" ht="15" hidden="false" customHeight="true" outlineLevel="0" collapsed="false"/>
    <row r="25416" customFormat="false" ht="15" hidden="false" customHeight="true" outlineLevel="0" collapsed="false"/>
    <row r="25417" customFormat="false" ht="15" hidden="false" customHeight="true" outlineLevel="0" collapsed="false"/>
    <row r="25418" customFormat="false" ht="15" hidden="false" customHeight="true" outlineLevel="0" collapsed="false"/>
    <row r="25419" customFormat="false" ht="15" hidden="false" customHeight="true" outlineLevel="0" collapsed="false"/>
    <row r="25420" customFormat="false" ht="15" hidden="false" customHeight="true" outlineLevel="0" collapsed="false"/>
    <row r="25421" customFormat="false" ht="15" hidden="false" customHeight="true" outlineLevel="0" collapsed="false"/>
    <row r="25422" customFormat="false" ht="15" hidden="false" customHeight="true" outlineLevel="0" collapsed="false"/>
    <row r="25423" customFormat="false" ht="15" hidden="false" customHeight="true" outlineLevel="0" collapsed="false"/>
    <row r="25424" customFormat="false" ht="15" hidden="false" customHeight="true" outlineLevel="0" collapsed="false"/>
    <row r="25425" customFormat="false" ht="15" hidden="false" customHeight="true" outlineLevel="0" collapsed="false"/>
    <row r="25426" customFormat="false" ht="15" hidden="false" customHeight="true" outlineLevel="0" collapsed="false"/>
    <row r="25427" customFormat="false" ht="15" hidden="false" customHeight="true" outlineLevel="0" collapsed="false"/>
    <row r="25428" customFormat="false" ht="15" hidden="false" customHeight="true" outlineLevel="0" collapsed="false"/>
    <row r="25429" customFormat="false" ht="15" hidden="false" customHeight="true" outlineLevel="0" collapsed="false"/>
    <row r="25430" customFormat="false" ht="15" hidden="false" customHeight="true" outlineLevel="0" collapsed="false"/>
    <row r="25431" customFormat="false" ht="15" hidden="false" customHeight="true" outlineLevel="0" collapsed="false"/>
    <row r="25432" customFormat="false" ht="15" hidden="false" customHeight="true" outlineLevel="0" collapsed="false"/>
    <row r="25433" customFormat="false" ht="15" hidden="false" customHeight="true" outlineLevel="0" collapsed="false"/>
    <row r="25434" customFormat="false" ht="15" hidden="false" customHeight="true" outlineLevel="0" collapsed="false"/>
    <row r="25435" customFormat="false" ht="15" hidden="false" customHeight="true" outlineLevel="0" collapsed="false"/>
    <row r="25436" customFormat="false" ht="15" hidden="false" customHeight="true" outlineLevel="0" collapsed="false"/>
    <row r="25437" customFormat="false" ht="15" hidden="false" customHeight="true" outlineLevel="0" collapsed="false"/>
    <row r="25438" customFormat="false" ht="15" hidden="false" customHeight="true" outlineLevel="0" collapsed="false"/>
    <row r="25439" customFormat="false" ht="15" hidden="false" customHeight="true" outlineLevel="0" collapsed="false"/>
    <row r="25440" customFormat="false" ht="15" hidden="false" customHeight="true" outlineLevel="0" collapsed="false"/>
    <row r="25441" customFormat="false" ht="15" hidden="false" customHeight="true" outlineLevel="0" collapsed="false"/>
    <row r="25442" customFormat="false" ht="15" hidden="false" customHeight="true" outlineLevel="0" collapsed="false"/>
    <row r="25443" customFormat="false" ht="15" hidden="false" customHeight="true" outlineLevel="0" collapsed="false"/>
    <row r="25444" customFormat="false" ht="15" hidden="false" customHeight="true" outlineLevel="0" collapsed="false"/>
    <row r="25445" customFormat="false" ht="15" hidden="false" customHeight="true" outlineLevel="0" collapsed="false"/>
    <row r="25446" customFormat="false" ht="15" hidden="false" customHeight="true" outlineLevel="0" collapsed="false"/>
    <row r="25447" customFormat="false" ht="15" hidden="false" customHeight="true" outlineLevel="0" collapsed="false"/>
    <row r="25448" customFormat="false" ht="15" hidden="false" customHeight="true" outlineLevel="0" collapsed="false"/>
    <row r="25449" customFormat="false" ht="15" hidden="false" customHeight="true" outlineLevel="0" collapsed="false"/>
    <row r="25450" customFormat="false" ht="15" hidden="false" customHeight="true" outlineLevel="0" collapsed="false"/>
    <row r="25451" customFormat="false" ht="15" hidden="false" customHeight="true" outlineLevel="0" collapsed="false"/>
    <row r="25452" customFormat="false" ht="15" hidden="false" customHeight="true" outlineLevel="0" collapsed="false"/>
    <row r="25453" customFormat="false" ht="15" hidden="false" customHeight="true" outlineLevel="0" collapsed="false"/>
    <row r="25454" customFormat="false" ht="15" hidden="false" customHeight="true" outlineLevel="0" collapsed="false"/>
    <row r="25455" customFormat="false" ht="15" hidden="false" customHeight="true" outlineLevel="0" collapsed="false"/>
    <row r="25456" customFormat="false" ht="15" hidden="false" customHeight="true" outlineLevel="0" collapsed="false"/>
    <row r="25457" customFormat="false" ht="15" hidden="false" customHeight="true" outlineLevel="0" collapsed="false"/>
    <row r="25458" customFormat="false" ht="15" hidden="false" customHeight="true" outlineLevel="0" collapsed="false"/>
    <row r="25459" customFormat="false" ht="15" hidden="false" customHeight="true" outlineLevel="0" collapsed="false"/>
    <row r="25460" customFormat="false" ht="15" hidden="false" customHeight="true" outlineLevel="0" collapsed="false"/>
    <row r="25461" customFormat="false" ht="15" hidden="false" customHeight="true" outlineLevel="0" collapsed="false"/>
    <row r="25462" customFormat="false" ht="15" hidden="false" customHeight="true" outlineLevel="0" collapsed="false"/>
    <row r="25463" customFormat="false" ht="15" hidden="false" customHeight="true" outlineLevel="0" collapsed="false"/>
    <row r="25464" customFormat="false" ht="15" hidden="false" customHeight="true" outlineLevel="0" collapsed="false"/>
    <row r="25465" customFormat="false" ht="15" hidden="false" customHeight="true" outlineLevel="0" collapsed="false"/>
    <row r="25466" customFormat="false" ht="15" hidden="false" customHeight="true" outlineLevel="0" collapsed="false"/>
    <row r="25467" customFormat="false" ht="15" hidden="false" customHeight="true" outlineLevel="0" collapsed="false"/>
    <row r="25468" customFormat="false" ht="15" hidden="false" customHeight="true" outlineLevel="0" collapsed="false"/>
    <row r="25469" customFormat="false" ht="15" hidden="false" customHeight="true" outlineLevel="0" collapsed="false"/>
    <row r="25470" customFormat="false" ht="15" hidden="false" customHeight="true" outlineLevel="0" collapsed="false"/>
    <row r="25471" customFormat="false" ht="15" hidden="false" customHeight="true" outlineLevel="0" collapsed="false"/>
    <row r="25472" customFormat="false" ht="15" hidden="false" customHeight="true" outlineLevel="0" collapsed="false"/>
    <row r="25473" customFormat="false" ht="15" hidden="false" customHeight="true" outlineLevel="0" collapsed="false"/>
    <row r="25474" customFormat="false" ht="15" hidden="false" customHeight="true" outlineLevel="0" collapsed="false"/>
    <row r="25475" customFormat="false" ht="15" hidden="false" customHeight="true" outlineLevel="0" collapsed="false"/>
    <row r="25476" customFormat="false" ht="15" hidden="false" customHeight="true" outlineLevel="0" collapsed="false"/>
    <row r="25477" customFormat="false" ht="15" hidden="false" customHeight="true" outlineLevel="0" collapsed="false"/>
    <row r="25478" customFormat="false" ht="15" hidden="false" customHeight="true" outlineLevel="0" collapsed="false"/>
    <row r="25479" customFormat="false" ht="15" hidden="false" customHeight="true" outlineLevel="0" collapsed="false"/>
    <row r="25480" customFormat="false" ht="15" hidden="false" customHeight="true" outlineLevel="0" collapsed="false"/>
    <row r="25481" customFormat="false" ht="15" hidden="false" customHeight="true" outlineLevel="0" collapsed="false"/>
    <row r="25482" customFormat="false" ht="15" hidden="false" customHeight="true" outlineLevel="0" collapsed="false"/>
    <row r="25483" customFormat="false" ht="15" hidden="false" customHeight="true" outlineLevel="0" collapsed="false"/>
    <row r="25484" customFormat="false" ht="15" hidden="false" customHeight="true" outlineLevel="0" collapsed="false"/>
    <row r="25485" customFormat="false" ht="15" hidden="false" customHeight="true" outlineLevel="0" collapsed="false"/>
    <row r="25486" customFormat="false" ht="15" hidden="false" customHeight="true" outlineLevel="0" collapsed="false"/>
    <row r="25487" customFormat="false" ht="15" hidden="false" customHeight="true" outlineLevel="0" collapsed="false"/>
    <row r="25488" customFormat="false" ht="15" hidden="false" customHeight="true" outlineLevel="0" collapsed="false"/>
    <row r="25489" customFormat="false" ht="15" hidden="false" customHeight="true" outlineLevel="0" collapsed="false"/>
    <row r="25490" customFormat="false" ht="15" hidden="false" customHeight="true" outlineLevel="0" collapsed="false"/>
    <row r="25491" customFormat="false" ht="15" hidden="false" customHeight="true" outlineLevel="0" collapsed="false"/>
    <row r="25492" customFormat="false" ht="15" hidden="false" customHeight="true" outlineLevel="0" collapsed="false"/>
    <row r="25493" customFormat="false" ht="15" hidden="false" customHeight="true" outlineLevel="0" collapsed="false"/>
    <row r="25494" customFormat="false" ht="15" hidden="false" customHeight="true" outlineLevel="0" collapsed="false"/>
    <row r="25495" customFormat="false" ht="15" hidden="false" customHeight="true" outlineLevel="0" collapsed="false"/>
    <row r="25496" customFormat="false" ht="15" hidden="false" customHeight="true" outlineLevel="0" collapsed="false"/>
    <row r="25497" customFormat="false" ht="15" hidden="false" customHeight="true" outlineLevel="0" collapsed="false"/>
    <row r="25498" customFormat="false" ht="15" hidden="false" customHeight="true" outlineLevel="0" collapsed="false"/>
    <row r="25499" customFormat="false" ht="15" hidden="false" customHeight="true" outlineLevel="0" collapsed="false"/>
    <row r="25500" customFormat="false" ht="15" hidden="false" customHeight="true" outlineLevel="0" collapsed="false"/>
    <row r="25501" customFormat="false" ht="15" hidden="false" customHeight="true" outlineLevel="0" collapsed="false"/>
    <row r="25502" customFormat="false" ht="15" hidden="false" customHeight="true" outlineLevel="0" collapsed="false"/>
    <row r="25503" customFormat="false" ht="15" hidden="false" customHeight="true" outlineLevel="0" collapsed="false"/>
    <row r="25504" customFormat="false" ht="15" hidden="false" customHeight="true" outlineLevel="0" collapsed="false"/>
    <row r="25505" customFormat="false" ht="15" hidden="false" customHeight="true" outlineLevel="0" collapsed="false"/>
    <row r="25506" customFormat="false" ht="15" hidden="false" customHeight="true" outlineLevel="0" collapsed="false"/>
    <row r="25507" customFormat="false" ht="15" hidden="false" customHeight="true" outlineLevel="0" collapsed="false"/>
    <row r="25508" customFormat="false" ht="15" hidden="false" customHeight="true" outlineLevel="0" collapsed="false"/>
    <row r="25509" customFormat="false" ht="15" hidden="false" customHeight="true" outlineLevel="0" collapsed="false"/>
    <row r="25510" customFormat="false" ht="15" hidden="false" customHeight="true" outlineLevel="0" collapsed="false"/>
    <row r="25511" customFormat="false" ht="15" hidden="false" customHeight="true" outlineLevel="0" collapsed="false"/>
    <row r="25512" customFormat="false" ht="15" hidden="false" customHeight="true" outlineLevel="0" collapsed="false"/>
    <row r="25513" customFormat="false" ht="15" hidden="false" customHeight="true" outlineLevel="0" collapsed="false"/>
    <row r="25514" customFormat="false" ht="15" hidden="false" customHeight="true" outlineLevel="0" collapsed="false"/>
    <row r="25515" customFormat="false" ht="15" hidden="false" customHeight="true" outlineLevel="0" collapsed="false"/>
    <row r="25516" customFormat="false" ht="15" hidden="false" customHeight="true" outlineLevel="0" collapsed="false"/>
    <row r="25517" customFormat="false" ht="15" hidden="false" customHeight="true" outlineLevel="0" collapsed="false"/>
    <row r="25518" customFormat="false" ht="15" hidden="false" customHeight="true" outlineLevel="0" collapsed="false"/>
    <row r="25519" customFormat="false" ht="15" hidden="false" customHeight="true" outlineLevel="0" collapsed="false"/>
    <row r="25520" customFormat="false" ht="15" hidden="false" customHeight="true" outlineLevel="0" collapsed="false"/>
    <row r="25521" customFormat="false" ht="15" hidden="false" customHeight="true" outlineLevel="0" collapsed="false"/>
    <row r="25522" customFormat="false" ht="15" hidden="false" customHeight="true" outlineLevel="0" collapsed="false"/>
    <row r="25523" customFormat="false" ht="15" hidden="false" customHeight="true" outlineLevel="0" collapsed="false"/>
    <row r="25524" customFormat="false" ht="15" hidden="false" customHeight="true" outlineLevel="0" collapsed="false"/>
    <row r="25525" customFormat="false" ht="15" hidden="false" customHeight="true" outlineLevel="0" collapsed="false"/>
    <row r="25526" customFormat="false" ht="15" hidden="false" customHeight="true" outlineLevel="0" collapsed="false"/>
    <row r="25527" customFormat="false" ht="15" hidden="false" customHeight="true" outlineLevel="0" collapsed="false"/>
    <row r="25528" customFormat="false" ht="15" hidden="false" customHeight="true" outlineLevel="0" collapsed="false"/>
    <row r="25529" customFormat="false" ht="15" hidden="false" customHeight="true" outlineLevel="0" collapsed="false"/>
    <row r="25530" customFormat="false" ht="15" hidden="false" customHeight="true" outlineLevel="0" collapsed="false"/>
    <row r="25531" customFormat="false" ht="15" hidden="false" customHeight="true" outlineLevel="0" collapsed="false"/>
    <row r="25532" customFormat="false" ht="15" hidden="false" customHeight="true" outlineLevel="0" collapsed="false"/>
    <row r="25533" customFormat="false" ht="15" hidden="false" customHeight="true" outlineLevel="0" collapsed="false"/>
    <row r="25534" customFormat="false" ht="15" hidden="false" customHeight="true" outlineLevel="0" collapsed="false"/>
    <row r="25535" customFormat="false" ht="15" hidden="false" customHeight="true" outlineLevel="0" collapsed="false"/>
    <row r="25536" customFormat="false" ht="15" hidden="false" customHeight="true" outlineLevel="0" collapsed="false"/>
    <row r="25537" customFormat="false" ht="15" hidden="false" customHeight="true" outlineLevel="0" collapsed="false"/>
    <row r="25538" customFormat="false" ht="15" hidden="false" customHeight="true" outlineLevel="0" collapsed="false"/>
    <row r="25539" customFormat="false" ht="15" hidden="false" customHeight="true" outlineLevel="0" collapsed="false"/>
    <row r="25540" customFormat="false" ht="15" hidden="false" customHeight="true" outlineLevel="0" collapsed="false"/>
    <row r="25541" customFormat="false" ht="15" hidden="false" customHeight="true" outlineLevel="0" collapsed="false"/>
    <row r="25542" customFormat="false" ht="15" hidden="false" customHeight="true" outlineLevel="0" collapsed="false"/>
    <row r="25543" customFormat="false" ht="15" hidden="false" customHeight="true" outlineLevel="0" collapsed="false"/>
    <row r="25544" customFormat="false" ht="15" hidden="false" customHeight="true" outlineLevel="0" collapsed="false"/>
    <row r="25545" customFormat="false" ht="15" hidden="false" customHeight="true" outlineLevel="0" collapsed="false"/>
    <row r="25546" customFormat="false" ht="15" hidden="false" customHeight="true" outlineLevel="0" collapsed="false"/>
    <row r="25547" customFormat="false" ht="15" hidden="false" customHeight="true" outlineLevel="0" collapsed="false"/>
    <row r="25548" customFormat="false" ht="15" hidden="false" customHeight="true" outlineLevel="0" collapsed="false"/>
    <row r="25549" customFormat="false" ht="15" hidden="false" customHeight="true" outlineLevel="0" collapsed="false"/>
    <row r="25550" customFormat="false" ht="15" hidden="false" customHeight="true" outlineLevel="0" collapsed="false"/>
    <row r="25551" customFormat="false" ht="15" hidden="false" customHeight="true" outlineLevel="0" collapsed="false"/>
    <row r="25552" customFormat="false" ht="15" hidden="false" customHeight="true" outlineLevel="0" collapsed="false"/>
    <row r="25553" customFormat="false" ht="15" hidden="false" customHeight="true" outlineLevel="0" collapsed="false"/>
    <row r="25554" customFormat="false" ht="15" hidden="false" customHeight="true" outlineLevel="0" collapsed="false"/>
    <row r="25555" customFormat="false" ht="15" hidden="false" customHeight="true" outlineLevel="0" collapsed="false"/>
    <row r="25556" customFormat="false" ht="15" hidden="false" customHeight="true" outlineLevel="0" collapsed="false"/>
    <row r="25557" customFormat="false" ht="15" hidden="false" customHeight="true" outlineLevel="0" collapsed="false"/>
    <row r="25558" customFormat="false" ht="15" hidden="false" customHeight="true" outlineLevel="0" collapsed="false"/>
    <row r="25559" customFormat="false" ht="15" hidden="false" customHeight="true" outlineLevel="0" collapsed="false"/>
    <row r="25560" customFormat="false" ht="15" hidden="false" customHeight="true" outlineLevel="0" collapsed="false"/>
    <row r="25561" customFormat="false" ht="15" hidden="false" customHeight="true" outlineLevel="0" collapsed="false"/>
    <row r="25562" customFormat="false" ht="15" hidden="false" customHeight="true" outlineLevel="0" collapsed="false"/>
    <row r="25563" customFormat="false" ht="15" hidden="false" customHeight="true" outlineLevel="0" collapsed="false"/>
    <row r="25564" customFormat="false" ht="15" hidden="false" customHeight="true" outlineLevel="0" collapsed="false"/>
    <row r="25565" customFormat="false" ht="15" hidden="false" customHeight="true" outlineLevel="0" collapsed="false"/>
    <row r="25566" customFormat="false" ht="15" hidden="false" customHeight="true" outlineLevel="0" collapsed="false"/>
    <row r="25567" customFormat="false" ht="15" hidden="false" customHeight="true" outlineLevel="0" collapsed="false"/>
    <row r="25568" customFormat="false" ht="15" hidden="false" customHeight="true" outlineLevel="0" collapsed="false"/>
    <row r="25569" customFormat="false" ht="15" hidden="false" customHeight="true" outlineLevel="0" collapsed="false"/>
    <row r="25570" customFormat="false" ht="15" hidden="false" customHeight="true" outlineLevel="0" collapsed="false"/>
    <row r="25571" customFormat="false" ht="15" hidden="false" customHeight="true" outlineLevel="0" collapsed="false"/>
    <row r="25572" customFormat="false" ht="15" hidden="false" customHeight="true" outlineLevel="0" collapsed="false"/>
    <row r="25573" customFormat="false" ht="15" hidden="false" customHeight="true" outlineLevel="0" collapsed="false"/>
    <row r="25574" customFormat="false" ht="15" hidden="false" customHeight="true" outlineLevel="0" collapsed="false"/>
    <row r="25575" customFormat="false" ht="15" hidden="false" customHeight="true" outlineLevel="0" collapsed="false"/>
    <row r="25576" customFormat="false" ht="15" hidden="false" customHeight="true" outlineLevel="0" collapsed="false"/>
    <row r="25577" customFormat="false" ht="15" hidden="false" customHeight="true" outlineLevel="0" collapsed="false"/>
    <row r="25578" customFormat="false" ht="15" hidden="false" customHeight="true" outlineLevel="0" collapsed="false"/>
    <row r="25579" customFormat="false" ht="15" hidden="false" customHeight="true" outlineLevel="0" collapsed="false"/>
    <row r="25580" customFormat="false" ht="15" hidden="false" customHeight="true" outlineLevel="0" collapsed="false"/>
    <row r="25581" customFormat="false" ht="15" hidden="false" customHeight="true" outlineLevel="0" collapsed="false"/>
    <row r="25582" customFormat="false" ht="15" hidden="false" customHeight="true" outlineLevel="0" collapsed="false"/>
    <row r="25583" customFormat="false" ht="15" hidden="false" customHeight="true" outlineLevel="0" collapsed="false"/>
    <row r="25584" customFormat="false" ht="15" hidden="false" customHeight="true" outlineLevel="0" collapsed="false"/>
    <row r="25585" customFormat="false" ht="15" hidden="false" customHeight="true" outlineLevel="0" collapsed="false"/>
    <row r="25586" customFormat="false" ht="15" hidden="false" customHeight="true" outlineLevel="0" collapsed="false"/>
    <row r="25587" customFormat="false" ht="15" hidden="false" customHeight="true" outlineLevel="0" collapsed="false"/>
    <row r="25588" customFormat="false" ht="15" hidden="false" customHeight="true" outlineLevel="0" collapsed="false"/>
    <row r="25589" customFormat="false" ht="15" hidden="false" customHeight="true" outlineLevel="0" collapsed="false"/>
    <row r="25590" customFormat="false" ht="15" hidden="false" customHeight="true" outlineLevel="0" collapsed="false"/>
    <row r="25591" customFormat="false" ht="15" hidden="false" customHeight="true" outlineLevel="0" collapsed="false"/>
    <row r="25592" customFormat="false" ht="15" hidden="false" customHeight="true" outlineLevel="0" collapsed="false"/>
    <row r="25593" customFormat="false" ht="15" hidden="false" customHeight="true" outlineLevel="0" collapsed="false"/>
    <row r="25594" customFormat="false" ht="15" hidden="false" customHeight="true" outlineLevel="0" collapsed="false"/>
    <row r="25595" customFormat="false" ht="15" hidden="false" customHeight="true" outlineLevel="0" collapsed="false"/>
    <row r="25596" customFormat="false" ht="15" hidden="false" customHeight="true" outlineLevel="0" collapsed="false"/>
    <row r="25597" customFormat="false" ht="15" hidden="false" customHeight="true" outlineLevel="0" collapsed="false"/>
    <row r="25598" customFormat="false" ht="15" hidden="false" customHeight="true" outlineLevel="0" collapsed="false"/>
    <row r="25599" customFormat="false" ht="15" hidden="false" customHeight="true" outlineLevel="0" collapsed="false"/>
    <row r="25600" customFormat="false" ht="15" hidden="false" customHeight="true" outlineLevel="0" collapsed="false"/>
    <row r="25601" customFormat="false" ht="15" hidden="false" customHeight="true" outlineLevel="0" collapsed="false"/>
    <row r="25602" customFormat="false" ht="15" hidden="false" customHeight="true" outlineLevel="0" collapsed="false"/>
    <row r="25603" customFormat="false" ht="15" hidden="false" customHeight="true" outlineLevel="0" collapsed="false"/>
    <row r="25604" customFormat="false" ht="15" hidden="false" customHeight="true" outlineLevel="0" collapsed="false"/>
    <row r="25605" customFormat="false" ht="15" hidden="false" customHeight="true" outlineLevel="0" collapsed="false"/>
    <row r="25606" customFormat="false" ht="15" hidden="false" customHeight="true" outlineLevel="0" collapsed="false"/>
    <row r="25607" customFormat="false" ht="15" hidden="false" customHeight="true" outlineLevel="0" collapsed="false"/>
    <row r="25608" customFormat="false" ht="15" hidden="false" customHeight="true" outlineLevel="0" collapsed="false"/>
    <row r="25609" customFormat="false" ht="15" hidden="false" customHeight="true" outlineLevel="0" collapsed="false"/>
    <row r="25610" customFormat="false" ht="15" hidden="false" customHeight="true" outlineLevel="0" collapsed="false"/>
    <row r="25611" customFormat="false" ht="15" hidden="false" customHeight="true" outlineLevel="0" collapsed="false"/>
    <row r="25612" customFormat="false" ht="15" hidden="false" customHeight="true" outlineLevel="0" collapsed="false"/>
    <row r="25613" customFormat="false" ht="15" hidden="false" customHeight="true" outlineLevel="0" collapsed="false"/>
    <row r="25614" customFormat="false" ht="15" hidden="false" customHeight="true" outlineLevel="0" collapsed="false"/>
    <row r="25615" customFormat="false" ht="15" hidden="false" customHeight="true" outlineLevel="0" collapsed="false"/>
    <row r="25616" customFormat="false" ht="15" hidden="false" customHeight="true" outlineLevel="0" collapsed="false"/>
    <row r="25617" customFormat="false" ht="15" hidden="false" customHeight="true" outlineLevel="0" collapsed="false"/>
    <row r="25618" customFormat="false" ht="15" hidden="false" customHeight="true" outlineLevel="0" collapsed="false"/>
    <row r="25619" customFormat="false" ht="15" hidden="false" customHeight="true" outlineLevel="0" collapsed="false"/>
    <row r="25620" customFormat="false" ht="15" hidden="false" customHeight="true" outlineLevel="0" collapsed="false"/>
    <row r="25621" customFormat="false" ht="15" hidden="false" customHeight="true" outlineLevel="0" collapsed="false"/>
    <row r="25622" customFormat="false" ht="15" hidden="false" customHeight="true" outlineLevel="0" collapsed="false"/>
    <row r="25623" customFormat="false" ht="15" hidden="false" customHeight="true" outlineLevel="0" collapsed="false"/>
    <row r="25624" customFormat="false" ht="15" hidden="false" customHeight="true" outlineLevel="0" collapsed="false"/>
    <row r="25625" customFormat="false" ht="15" hidden="false" customHeight="true" outlineLevel="0" collapsed="false"/>
    <row r="25626" customFormat="false" ht="15" hidden="false" customHeight="true" outlineLevel="0" collapsed="false"/>
    <row r="25627" customFormat="false" ht="15" hidden="false" customHeight="true" outlineLevel="0" collapsed="false"/>
    <row r="25628" customFormat="false" ht="15" hidden="false" customHeight="true" outlineLevel="0" collapsed="false"/>
    <row r="25629" customFormat="false" ht="15" hidden="false" customHeight="true" outlineLevel="0" collapsed="false"/>
    <row r="25630" customFormat="false" ht="15" hidden="false" customHeight="true" outlineLevel="0" collapsed="false"/>
    <row r="25631" customFormat="false" ht="15" hidden="false" customHeight="true" outlineLevel="0" collapsed="false"/>
    <row r="25632" customFormat="false" ht="15" hidden="false" customHeight="true" outlineLevel="0" collapsed="false"/>
    <row r="25633" customFormat="false" ht="15" hidden="false" customHeight="true" outlineLevel="0" collapsed="false"/>
    <row r="25634" customFormat="false" ht="15" hidden="false" customHeight="true" outlineLevel="0" collapsed="false"/>
    <row r="25635" customFormat="false" ht="15" hidden="false" customHeight="true" outlineLevel="0" collapsed="false"/>
    <row r="25636" customFormat="false" ht="15" hidden="false" customHeight="true" outlineLevel="0" collapsed="false"/>
    <row r="25637" customFormat="false" ht="15" hidden="false" customHeight="true" outlineLevel="0" collapsed="false"/>
    <row r="25638" customFormat="false" ht="15" hidden="false" customHeight="true" outlineLevel="0" collapsed="false"/>
    <row r="25639" customFormat="false" ht="15" hidden="false" customHeight="true" outlineLevel="0" collapsed="false"/>
    <row r="25640" customFormat="false" ht="15" hidden="false" customHeight="true" outlineLevel="0" collapsed="false"/>
    <row r="25641" customFormat="false" ht="15" hidden="false" customHeight="true" outlineLevel="0" collapsed="false"/>
    <row r="25642" customFormat="false" ht="15" hidden="false" customHeight="true" outlineLevel="0" collapsed="false"/>
    <row r="25643" customFormat="false" ht="15" hidden="false" customHeight="true" outlineLevel="0" collapsed="false"/>
    <row r="25644" customFormat="false" ht="15" hidden="false" customHeight="true" outlineLevel="0" collapsed="false"/>
    <row r="25645" customFormat="false" ht="15" hidden="false" customHeight="true" outlineLevel="0" collapsed="false"/>
    <row r="25646" customFormat="false" ht="15" hidden="false" customHeight="true" outlineLevel="0" collapsed="false"/>
    <row r="25647" customFormat="false" ht="15" hidden="false" customHeight="true" outlineLevel="0" collapsed="false"/>
    <row r="25648" customFormat="false" ht="15" hidden="false" customHeight="true" outlineLevel="0" collapsed="false"/>
    <row r="25649" customFormat="false" ht="15" hidden="false" customHeight="true" outlineLevel="0" collapsed="false"/>
    <row r="25650" customFormat="false" ht="15" hidden="false" customHeight="true" outlineLevel="0" collapsed="false"/>
    <row r="25651" customFormat="false" ht="15" hidden="false" customHeight="true" outlineLevel="0" collapsed="false"/>
    <row r="25652" customFormat="false" ht="15" hidden="false" customHeight="true" outlineLevel="0" collapsed="false"/>
    <row r="25653" customFormat="false" ht="15" hidden="false" customHeight="true" outlineLevel="0" collapsed="false"/>
    <row r="25654" customFormat="false" ht="15" hidden="false" customHeight="true" outlineLevel="0" collapsed="false"/>
    <row r="25655" customFormat="false" ht="15" hidden="false" customHeight="true" outlineLevel="0" collapsed="false"/>
    <row r="25656" customFormat="false" ht="15" hidden="false" customHeight="true" outlineLevel="0" collapsed="false"/>
    <row r="25657" customFormat="false" ht="15" hidden="false" customHeight="true" outlineLevel="0" collapsed="false"/>
    <row r="25658" customFormat="false" ht="15" hidden="false" customHeight="true" outlineLevel="0" collapsed="false"/>
    <row r="25659" customFormat="false" ht="15" hidden="false" customHeight="true" outlineLevel="0" collapsed="false"/>
    <row r="25660" customFormat="false" ht="15" hidden="false" customHeight="true" outlineLevel="0" collapsed="false"/>
    <row r="25661" customFormat="false" ht="15" hidden="false" customHeight="true" outlineLevel="0" collapsed="false"/>
    <row r="25662" customFormat="false" ht="15" hidden="false" customHeight="true" outlineLevel="0" collapsed="false"/>
    <row r="25663" customFormat="false" ht="15" hidden="false" customHeight="true" outlineLevel="0" collapsed="false"/>
    <row r="25664" customFormat="false" ht="15" hidden="false" customHeight="true" outlineLevel="0" collapsed="false"/>
    <row r="25665" customFormat="false" ht="15" hidden="false" customHeight="true" outlineLevel="0" collapsed="false"/>
    <row r="25666" customFormat="false" ht="15" hidden="false" customHeight="true" outlineLevel="0" collapsed="false"/>
    <row r="25667" customFormat="false" ht="15" hidden="false" customHeight="true" outlineLevel="0" collapsed="false"/>
    <row r="25668" customFormat="false" ht="15" hidden="false" customHeight="true" outlineLevel="0" collapsed="false"/>
    <row r="25669" customFormat="false" ht="15" hidden="false" customHeight="true" outlineLevel="0" collapsed="false"/>
    <row r="25670" customFormat="false" ht="15" hidden="false" customHeight="true" outlineLevel="0" collapsed="false"/>
    <row r="25671" customFormat="false" ht="15" hidden="false" customHeight="true" outlineLevel="0" collapsed="false"/>
    <row r="25672" customFormat="false" ht="15" hidden="false" customHeight="true" outlineLevel="0" collapsed="false"/>
    <row r="25673" customFormat="false" ht="15" hidden="false" customHeight="true" outlineLevel="0" collapsed="false"/>
    <row r="25674" customFormat="false" ht="15" hidden="false" customHeight="true" outlineLevel="0" collapsed="false"/>
    <row r="25675" customFormat="false" ht="15" hidden="false" customHeight="true" outlineLevel="0" collapsed="false"/>
    <row r="25676" customFormat="false" ht="15" hidden="false" customHeight="true" outlineLevel="0" collapsed="false"/>
    <row r="25677" customFormat="false" ht="15" hidden="false" customHeight="true" outlineLevel="0" collapsed="false"/>
    <row r="25678" customFormat="false" ht="15" hidden="false" customHeight="true" outlineLevel="0" collapsed="false"/>
    <row r="25679" customFormat="false" ht="15" hidden="false" customHeight="true" outlineLevel="0" collapsed="false"/>
    <row r="25680" customFormat="false" ht="15" hidden="false" customHeight="true" outlineLevel="0" collapsed="false"/>
    <row r="25681" customFormat="false" ht="15" hidden="false" customHeight="true" outlineLevel="0" collapsed="false"/>
    <row r="25682" customFormat="false" ht="15" hidden="false" customHeight="true" outlineLevel="0" collapsed="false"/>
    <row r="25683" customFormat="false" ht="15" hidden="false" customHeight="true" outlineLevel="0" collapsed="false"/>
    <row r="25684" customFormat="false" ht="15" hidden="false" customHeight="true" outlineLevel="0" collapsed="false"/>
    <row r="25685" customFormat="false" ht="15" hidden="false" customHeight="true" outlineLevel="0" collapsed="false"/>
    <row r="25686" customFormat="false" ht="15" hidden="false" customHeight="true" outlineLevel="0" collapsed="false"/>
    <row r="25687" customFormat="false" ht="15" hidden="false" customHeight="true" outlineLevel="0" collapsed="false"/>
    <row r="25688" customFormat="false" ht="15" hidden="false" customHeight="true" outlineLevel="0" collapsed="false"/>
    <row r="25689" customFormat="false" ht="15" hidden="false" customHeight="true" outlineLevel="0" collapsed="false"/>
    <row r="25690" customFormat="false" ht="15" hidden="false" customHeight="true" outlineLevel="0" collapsed="false"/>
    <row r="25691" customFormat="false" ht="15" hidden="false" customHeight="true" outlineLevel="0" collapsed="false"/>
    <row r="25692" customFormat="false" ht="15" hidden="false" customHeight="true" outlineLevel="0" collapsed="false"/>
    <row r="25693" customFormat="false" ht="15" hidden="false" customHeight="true" outlineLevel="0" collapsed="false"/>
    <row r="25694" customFormat="false" ht="15" hidden="false" customHeight="true" outlineLevel="0" collapsed="false"/>
    <row r="25695" customFormat="false" ht="15" hidden="false" customHeight="true" outlineLevel="0" collapsed="false"/>
    <row r="25696" customFormat="false" ht="15" hidden="false" customHeight="true" outlineLevel="0" collapsed="false"/>
    <row r="25697" customFormat="false" ht="15" hidden="false" customHeight="true" outlineLevel="0" collapsed="false"/>
    <row r="25698" customFormat="false" ht="15" hidden="false" customHeight="true" outlineLevel="0" collapsed="false"/>
    <row r="25699" customFormat="false" ht="15" hidden="false" customHeight="true" outlineLevel="0" collapsed="false"/>
    <row r="25700" customFormat="false" ht="15" hidden="false" customHeight="true" outlineLevel="0" collapsed="false"/>
    <row r="25701" customFormat="false" ht="15" hidden="false" customHeight="true" outlineLevel="0" collapsed="false"/>
    <row r="25702" customFormat="false" ht="15" hidden="false" customHeight="true" outlineLevel="0" collapsed="false"/>
    <row r="25703" customFormat="false" ht="15" hidden="false" customHeight="true" outlineLevel="0" collapsed="false"/>
    <row r="25704" customFormat="false" ht="15" hidden="false" customHeight="true" outlineLevel="0" collapsed="false"/>
    <row r="25705" customFormat="false" ht="15" hidden="false" customHeight="true" outlineLevel="0" collapsed="false"/>
    <row r="25706" customFormat="false" ht="15" hidden="false" customHeight="true" outlineLevel="0" collapsed="false"/>
    <row r="25707" customFormat="false" ht="15" hidden="false" customHeight="true" outlineLevel="0" collapsed="false"/>
    <row r="25708" customFormat="false" ht="15" hidden="false" customHeight="true" outlineLevel="0" collapsed="false"/>
    <row r="25709" customFormat="false" ht="15" hidden="false" customHeight="true" outlineLevel="0" collapsed="false"/>
    <row r="25710" customFormat="false" ht="15" hidden="false" customHeight="true" outlineLevel="0" collapsed="false"/>
    <row r="25711" customFormat="false" ht="15" hidden="false" customHeight="true" outlineLevel="0" collapsed="false"/>
    <row r="25712" customFormat="false" ht="15" hidden="false" customHeight="true" outlineLevel="0" collapsed="false"/>
    <row r="25713" customFormat="false" ht="15" hidden="false" customHeight="true" outlineLevel="0" collapsed="false"/>
    <row r="25714" customFormat="false" ht="15" hidden="false" customHeight="true" outlineLevel="0" collapsed="false"/>
    <row r="25715" customFormat="false" ht="15" hidden="false" customHeight="true" outlineLevel="0" collapsed="false"/>
    <row r="25716" customFormat="false" ht="15" hidden="false" customHeight="true" outlineLevel="0" collapsed="false"/>
    <row r="25717" customFormat="false" ht="15" hidden="false" customHeight="true" outlineLevel="0" collapsed="false"/>
    <row r="25718" customFormat="false" ht="15" hidden="false" customHeight="true" outlineLevel="0" collapsed="false"/>
    <row r="25719" customFormat="false" ht="15" hidden="false" customHeight="true" outlineLevel="0" collapsed="false"/>
    <row r="25720" customFormat="false" ht="15" hidden="false" customHeight="true" outlineLevel="0" collapsed="false"/>
    <row r="25721" customFormat="false" ht="15" hidden="false" customHeight="true" outlineLevel="0" collapsed="false"/>
    <row r="25722" customFormat="false" ht="15" hidden="false" customHeight="true" outlineLevel="0" collapsed="false"/>
    <row r="25723" customFormat="false" ht="15" hidden="false" customHeight="true" outlineLevel="0" collapsed="false"/>
    <row r="25724" customFormat="false" ht="15" hidden="false" customHeight="true" outlineLevel="0" collapsed="false"/>
    <row r="25725" customFormat="false" ht="15" hidden="false" customHeight="true" outlineLevel="0" collapsed="false"/>
    <row r="25726" customFormat="false" ht="15" hidden="false" customHeight="true" outlineLevel="0" collapsed="false"/>
    <row r="25727" customFormat="false" ht="15" hidden="false" customHeight="true" outlineLevel="0" collapsed="false"/>
    <row r="25728" customFormat="false" ht="15" hidden="false" customHeight="true" outlineLevel="0" collapsed="false"/>
    <row r="25729" customFormat="false" ht="15" hidden="false" customHeight="true" outlineLevel="0" collapsed="false"/>
    <row r="25730" customFormat="false" ht="15" hidden="false" customHeight="true" outlineLevel="0" collapsed="false"/>
    <row r="25731" customFormat="false" ht="15" hidden="false" customHeight="true" outlineLevel="0" collapsed="false"/>
    <row r="25732" customFormat="false" ht="15" hidden="false" customHeight="true" outlineLevel="0" collapsed="false"/>
    <row r="25733" customFormat="false" ht="15" hidden="false" customHeight="true" outlineLevel="0" collapsed="false"/>
    <row r="25734" customFormat="false" ht="15" hidden="false" customHeight="true" outlineLevel="0" collapsed="false"/>
    <row r="25735" customFormat="false" ht="15" hidden="false" customHeight="true" outlineLevel="0" collapsed="false"/>
    <row r="25736" customFormat="false" ht="15" hidden="false" customHeight="true" outlineLevel="0" collapsed="false"/>
    <row r="25737" customFormat="false" ht="15" hidden="false" customHeight="true" outlineLevel="0" collapsed="false"/>
    <row r="25738" customFormat="false" ht="15" hidden="false" customHeight="true" outlineLevel="0" collapsed="false"/>
    <row r="25739" customFormat="false" ht="15" hidden="false" customHeight="true" outlineLevel="0" collapsed="false"/>
    <row r="25740" customFormat="false" ht="15" hidden="false" customHeight="true" outlineLevel="0" collapsed="false"/>
    <row r="25741" customFormat="false" ht="15" hidden="false" customHeight="true" outlineLevel="0" collapsed="false"/>
    <row r="25742" customFormat="false" ht="15" hidden="false" customHeight="true" outlineLevel="0" collapsed="false"/>
    <row r="25743" customFormat="false" ht="15" hidden="false" customHeight="true" outlineLevel="0" collapsed="false"/>
    <row r="25744" customFormat="false" ht="15" hidden="false" customHeight="true" outlineLevel="0" collapsed="false"/>
    <row r="25745" customFormat="false" ht="15" hidden="false" customHeight="true" outlineLevel="0" collapsed="false"/>
    <row r="25746" customFormat="false" ht="15" hidden="false" customHeight="true" outlineLevel="0" collapsed="false"/>
    <row r="25747" customFormat="false" ht="15" hidden="false" customHeight="true" outlineLevel="0" collapsed="false"/>
    <row r="25748" customFormat="false" ht="15" hidden="false" customHeight="true" outlineLevel="0" collapsed="false"/>
    <row r="25749" customFormat="false" ht="15" hidden="false" customHeight="true" outlineLevel="0" collapsed="false"/>
    <row r="25750" customFormat="false" ht="15" hidden="false" customHeight="true" outlineLevel="0" collapsed="false"/>
    <row r="25751" customFormat="false" ht="15" hidden="false" customHeight="true" outlineLevel="0" collapsed="false"/>
    <row r="25752" customFormat="false" ht="15" hidden="false" customHeight="true" outlineLevel="0" collapsed="false"/>
    <row r="25753" customFormat="false" ht="15" hidden="false" customHeight="true" outlineLevel="0" collapsed="false"/>
    <row r="25754" customFormat="false" ht="15" hidden="false" customHeight="true" outlineLevel="0" collapsed="false"/>
    <row r="25755" customFormat="false" ht="15" hidden="false" customHeight="true" outlineLevel="0" collapsed="false"/>
    <row r="25756" customFormat="false" ht="15" hidden="false" customHeight="true" outlineLevel="0" collapsed="false"/>
    <row r="25757" customFormat="false" ht="15" hidden="false" customHeight="true" outlineLevel="0" collapsed="false"/>
    <row r="25758" customFormat="false" ht="15" hidden="false" customHeight="true" outlineLevel="0" collapsed="false"/>
    <row r="25759" customFormat="false" ht="15" hidden="false" customHeight="true" outlineLevel="0" collapsed="false"/>
    <row r="25760" customFormat="false" ht="15" hidden="false" customHeight="true" outlineLevel="0" collapsed="false"/>
    <row r="25761" customFormat="false" ht="15" hidden="false" customHeight="true" outlineLevel="0" collapsed="false"/>
    <row r="25762" customFormat="false" ht="15" hidden="false" customHeight="true" outlineLevel="0" collapsed="false"/>
    <row r="25763" customFormat="false" ht="15" hidden="false" customHeight="true" outlineLevel="0" collapsed="false"/>
    <row r="25764" customFormat="false" ht="15" hidden="false" customHeight="true" outlineLevel="0" collapsed="false"/>
    <row r="25765" customFormat="false" ht="15" hidden="false" customHeight="true" outlineLevel="0" collapsed="false"/>
    <row r="25766" customFormat="false" ht="15" hidden="false" customHeight="true" outlineLevel="0" collapsed="false"/>
    <row r="25767" customFormat="false" ht="15" hidden="false" customHeight="true" outlineLevel="0" collapsed="false"/>
    <row r="25768" customFormat="false" ht="15" hidden="false" customHeight="true" outlineLevel="0" collapsed="false"/>
    <row r="25769" customFormat="false" ht="15" hidden="false" customHeight="true" outlineLevel="0" collapsed="false"/>
    <row r="25770" customFormat="false" ht="15" hidden="false" customHeight="true" outlineLevel="0" collapsed="false"/>
    <row r="25771" customFormat="false" ht="15" hidden="false" customHeight="true" outlineLevel="0" collapsed="false"/>
    <row r="25772" customFormat="false" ht="15" hidden="false" customHeight="true" outlineLevel="0" collapsed="false"/>
    <row r="25773" customFormat="false" ht="15" hidden="false" customHeight="true" outlineLevel="0" collapsed="false"/>
    <row r="25774" customFormat="false" ht="15" hidden="false" customHeight="true" outlineLevel="0" collapsed="false"/>
    <row r="25775" customFormat="false" ht="15" hidden="false" customHeight="true" outlineLevel="0" collapsed="false"/>
    <row r="25776" customFormat="false" ht="15" hidden="false" customHeight="true" outlineLevel="0" collapsed="false"/>
    <row r="25777" customFormat="false" ht="15" hidden="false" customHeight="true" outlineLevel="0" collapsed="false"/>
    <row r="25778" customFormat="false" ht="15" hidden="false" customHeight="true" outlineLevel="0" collapsed="false"/>
    <row r="25779" customFormat="false" ht="15" hidden="false" customHeight="true" outlineLevel="0" collapsed="false"/>
    <row r="25780" customFormat="false" ht="15" hidden="false" customHeight="true" outlineLevel="0" collapsed="false"/>
    <row r="25781" customFormat="false" ht="15" hidden="false" customHeight="true" outlineLevel="0" collapsed="false"/>
    <row r="25782" customFormat="false" ht="15" hidden="false" customHeight="true" outlineLevel="0" collapsed="false"/>
    <row r="25783" customFormat="false" ht="15" hidden="false" customHeight="true" outlineLevel="0" collapsed="false"/>
    <row r="25784" customFormat="false" ht="15" hidden="false" customHeight="true" outlineLevel="0" collapsed="false"/>
    <row r="25785" customFormat="false" ht="15" hidden="false" customHeight="true" outlineLevel="0" collapsed="false"/>
    <row r="25786" customFormat="false" ht="15" hidden="false" customHeight="true" outlineLevel="0" collapsed="false"/>
    <row r="25787" customFormat="false" ht="15" hidden="false" customHeight="true" outlineLevel="0" collapsed="false"/>
    <row r="25788" customFormat="false" ht="15" hidden="false" customHeight="true" outlineLevel="0" collapsed="false"/>
    <row r="25789" customFormat="false" ht="15" hidden="false" customHeight="true" outlineLevel="0" collapsed="false"/>
    <row r="25790" customFormat="false" ht="15" hidden="false" customHeight="true" outlineLevel="0" collapsed="false"/>
    <row r="25791" customFormat="false" ht="15" hidden="false" customHeight="true" outlineLevel="0" collapsed="false"/>
    <row r="25792" customFormat="false" ht="15" hidden="false" customHeight="true" outlineLevel="0" collapsed="false"/>
    <row r="25793" customFormat="false" ht="15" hidden="false" customHeight="true" outlineLevel="0" collapsed="false"/>
    <row r="25794" customFormat="false" ht="15" hidden="false" customHeight="true" outlineLevel="0" collapsed="false"/>
    <row r="25795" customFormat="false" ht="15" hidden="false" customHeight="true" outlineLevel="0" collapsed="false"/>
    <row r="25796" customFormat="false" ht="15" hidden="false" customHeight="true" outlineLevel="0" collapsed="false"/>
    <row r="25797" customFormat="false" ht="15" hidden="false" customHeight="true" outlineLevel="0" collapsed="false"/>
    <row r="25798" customFormat="false" ht="15" hidden="false" customHeight="true" outlineLevel="0" collapsed="false"/>
    <row r="25799" customFormat="false" ht="15" hidden="false" customHeight="true" outlineLevel="0" collapsed="false"/>
    <row r="25800" customFormat="false" ht="15" hidden="false" customHeight="true" outlineLevel="0" collapsed="false"/>
    <row r="25801" customFormat="false" ht="15" hidden="false" customHeight="true" outlineLevel="0" collapsed="false"/>
    <row r="25802" customFormat="false" ht="15" hidden="false" customHeight="true" outlineLevel="0" collapsed="false"/>
    <row r="25803" customFormat="false" ht="15" hidden="false" customHeight="true" outlineLevel="0" collapsed="false"/>
    <row r="25804" customFormat="false" ht="15" hidden="false" customHeight="true" outlineLevel="0" collapsed="false"/>
    <row r="25805" customFormat="false" ht="15" hidden="false" customHeight="true" outlineLevel="0" collapsed="false"/>
    <row r="25806" customFormat="false" ht="15" hidden="false" customHeight="true" outlineLevel="0" collapsed="false"/>
    <row r="25807" customFormat="false" ht="15" hidden="false" customHeight="true" outlineLevel="0" collapsed="false"/>
    <row r="25808" customFormat="false" ht="15" hidden="false" customHeight="true" outlineLevel="0" collapsed="false"/>
    <row r="25809" customFormat="false" ht="15" hidden="false" customHeight="true" outlineLevel="0" collapsed="false"/>
    <row r="25810" customFormat="false" ht="15" hidden="false" customHeight="true" outlineLevel="0" collapsed="false"/>
    <row r="25811" customFormat="false" ht="15" hidden="false" customHeight="true" outlineLevel="0" collapsed="false"/>
    <row r="25812" customFormat="false" ht="15" hidden="false" customHeight="true" outlineLevel="0" collapsed="false"/>
    <row r="25813" customFormat="false" ht="15" hidden="false" customHeight="true" outlineLevel="0" collapsed="false"/>
    <row r="25814" customFormat="false" ht="15" hidden="false" customHeight="true" outlineLevel="0" collapsed="false"/>
    <row r="25815" customFormat="false" ht="15" hidden="false" customHeight="true" outlineLevel="0" collapsed="false"/>
    <row r="25816" customFormat="false" ht="15" hidden="false" customHeight="true" outlineLevel="0" collapsed="false"/>
    <row r="25817" customFormat="false" ht="15" hidden="false" customHeight="true" outlineLevel="0" collapsed="false"/>
    <row r="25818" customFormat="false" ht="15" hidden="false" customHeight="true" outlineLevel="0" collapsed="false"/>
    <row r="25819" customFormat="false" ht="15" hidden="false" customHeight="true" outlineLevel="0" collapsed="false"/>
    <row r="25820" customFormat="false" ht="15" hidden="false" customHeight="true" outlineLevel="0" collapsed="false"/>
    <row r="25821" customFormat="false" ht="15" hidden="false" customHeight="true" outlineLevel="0" collapsed="false"/>
    <row r="25822" customFormat="false" ht="15" hidden="false" customHeight="true" outlineLevel="0" collapsed="false"/>
    <row r="25823" customFormat="false" ht="15" hidden="false" customHeight="true" outlineLevel="0" collapsed="false"/>
    <row r="25824" customFormat="false" ht="15" hidden="false" customHeight="true" outlineLevel="0" collapsed="false"/>
    <row r="25825" customFormat="false" ht="15" hidden="false" customHeight="true" outlineLevel="0" collapsed="false"/>
    <row r="25826" customFormat="false" ht="15" hidden="false" customHeight="true" outlineLevel="0" collapsed="false"/>
    <row r="25827" customFormat="false" ht="15" hidden="false" customHeight="true" outlineLevel="0" collapsed="false"/>
    <row r="25828" customFormat="false" ht="15" hidden="false" customHeight="true" outlineLevel="0" collapsed="false"/>
    <row r="25829" customFormat="false" ht="15" hidden="false" customHeight="true" outlineLevel="0" collapsed="false"/>
    <row r="25830" customFormat="false" ht="15" hidden="false" customHeight="true" outlineLevel="0" collapsed="false"/>
    <row r="25831" customFormat="false" ht="15" hidden="false" customHeight="true" outlineLevel="0" collapsed="false"/>
    <row r="25832" customFormat="false" ht="15" hidden="false" customHeight="true" outlineLevel="0" collapsed="false"/>
    <row r="25833" customFormat="false" ht="15" hidden="false" customHeight="true" outlineLevel="0" collapsed="false"/>
    <row r="25834" customFormat="false" ht="15" hidden="false" customHeight="true" outlineLevel="0" collapsed="false"/>
    <row r="25835" customFormat="false" ht="15" hidden="false" customHeight="true" outlineLevel="0" collapsed="false"/>
    <row r="25836" customFormat="false" ht="15" hidden="false" customHeight="true" outlineLevel="0" collapsed="false"/>
    <row r="25837" customFormat="false" ht="15" hidden="false" customHeight="true" outlineLevel="0" collapsed="false"/>
    <row r="25838" customFormat="false" ht="15" hidden="false" customHeight="true" outlineLevel="0" collapsed="false"/>
    <row r="25839" customFormat="false" ht="15" hidden="false" customHeight="true" outlineLevel="0" collapsed="false"/>
    <row r="25840" customFormat="false" ht="15" hidden="false" customHeight="true" outlineLevel="0" collapsed="false"/>
    <row r="25841" customFormat="false" ht="15" hidden="false" customHeight="true" outlineLevel="0" collapsed="false"/>
    <row r="25842" customFormat="false" ht="15" hidden="false" customHeight="true" outlineLevel="0" collapsed="false"/>
    <row r="25843" customFormat="false" ht="15" hidden="false" customHeight="true" outlineLevel="0" collapsed="false"/>
    <row r="25844" customFormat="false" ht="15" hidden="false" customHeight="true" outlineLevel="0" collapsed="false"/>
    <row r="25845" customFormat="false" ht="15" hidden="false" customHeight="true" outlineLevel="0" collapsed="false"/>
    <row r="25846" customFormat="false" ht="15" hidden="false" customHeight="true" outlineLevel="0" collapsed="false"/>
    <row r="25847" customFormat="false" ht="15" hidden="false" customHeight="true" outlineLevel="0" collapsed="false"/>
    <row r="25848" customFormat="false" ht="15" hidden="false" customHeight="true" outlineLevel="0" collapsed="false"/>
    <row r="25849" customFormat="false" ht="15" hidden="false" customHeight="true" outlineLevel="0" collapsed="false"/>
    <row r="25850" customFormat="false" ht="15" hidden="false" customHeight="true" outlineLevel="0" collapsed="false"/>
    <row r="25851" customFormat="false" ht="15" hidden="false" customHeight="true" outlineLevel="0" collapsed="false"/>
    <row r="25852" customFormat="false" ht="15" hidden="false" customHeight="true" outlineLevel="0" collapsed="false"/>
    <row r="25853" customFormat="false" ht="15" hidden="false" customHeight="true" outlineLevel="0" collapsed="false"/>
    <row r="25854" customFormat="false" ht="15" hidden="false" customHeight="true" outlineLevel="0" collapsed="false"/>
    <row r="25855" customFormat="false" ht="15" hidden="false" customHeight="true" outlineLevel="0" collapsed="false"/>
    <row r="25856" customFormat="false" ht="15" hidden="false" customHeight="true" outlineLevel="0" collapsed="false"/>
    <row r="25857" customFormat="false" ht="15" hidden="false" customHeight="true" outlineLevel="0" collapsed="false"/>
    <row r="25858" customFormat="false" ht="15" hidden="false" customHeight="true" outlineLevel="0" collapsed="false"/>
    <row r="25859" customFormat="false" ht="15" hidden="false" customHeight="true" outlineLevel="0" collapsed="false"/>
    <row r="25860" customFormat="false" ht="15" hidden="false" customHeight="true" outlineLevel="0" collapsed="false"/>
    <row r="25861" customFormat="false" ht="15" hidden="false" customHeight="true" outlineLevel="0" collapsed="false"/>
    <row r="25862" customFormat="false" ht="15" hidden="false" customHeight="true" outlineLevel="0" collapsed="false"/>
    <row r="25863" customFormat="false" ht="15" hidden="false" customHeight="true" outlineLevel="0" collapsed="false"/>
    <row r="25864" customFormat="false" ht="15" hidden="false" customHeight="true" outlineLevel="0" collapsed="false"/>
    <row r="25865" customFormat="false" ht="15" hidden="false" customHeight="true" outlineLevel="0" collapsed="false"/>
    <row r="25866" customFormat="false" ht="15" hidden="false" customHeight="true" outlineLevel="0" collapsed="false"/>
    <row r="25867" customFormat="false" ht="15" hidden="false" customHeight="true" outlineLevel="0" collapsed="false"/>
    <row r="25868" customFormat="false" ht="15" hidden="false" customHeight="true" outlineLevel="0" collapsed="false"/>
    <row r="25869" customFormat="false" ht="15" hidden="false" customHeight="true" outlineLevel="0" collapsed="false"/>
    <row r="25870" customFormat="false" ht="15" hidden="false" customHeight="true" outlineLevel="0" collapsed="false"/>
    <row r="25871" customFormat="false" ht="15" hidden="false" customHeight="true" outlineLevel="0" collapsed="false"/>
    <row r="25872" customFormat="false" ht="15" hidden="false" customHeight="true" outlineLevel="0" collapsed="false"/>
    <row r="25873" customFormat="false" ht="15" hidden="false" customHeight="true" outlineLevel="0" collapsed="false"/>
    <row r="25874" customFormat="false" ht="15" hidden="false" customHeight="true" outlineLevel="0" collapsed="false"/>
    <row r="25875" customFormat="false" ht="15" hidden="false" customHeight="true" outlineLevel="0" collapsed="false"/>
    <row r="25876" customFormat="false" ht="15" hidden="false" customHeight="true" outlineLevel="0" collapsed="false"/>
    <row r="25877" customFormat="false" ht="15" hidden="false" customHeight="true" outlineLevel="0" collapsed="false"/>
    <row r="25878" customFormat="false" ht="15" hidden="false" customHeight="true" outlineLevel="0" collapsed="false"/>
    <row r="25879" customFormat="false" ht="15" hidden="false" customHeight="true" outlineLevel="0" collapsed="false"/>
    <row r="25880" customFormat="false" ht="15" hidden="false" customHeight="true" outlineLevel="0" collapsed="false"/>
    <row r="25881" customFormat="false" ht="15" hidden="false" customHeight="true" outlineLevel="0" collapsed="false"/>
    <row r="25882" customFormat="false" ht="15" hidden="false" customHeight="true" outlineLevel="0" collapsed="false"/>
    <row r="25883" customFormat="false" ht="15" hidden="false" customHeight="true" outlineLevel="0" collapsed="false"/>
    <row r="25884" customFormat="false" ht="15" hidden="false" customHeight="true" outlineLevel="0" collapsed="false"/>
    <row r="25885" customFormat="false" ht="15" hidden="false" customHeight="true" outlineLevel="0" collapsed="false"/>
    <row r="25886" customFormat="false" ht="15" hidden="false" customHeight="true" outlineLevel="0" collapsed="false"/>
    <row r="25887" customFormat="false" ht="15" hidden="false" customHeight="true" outlineLevel="0" collapsed="false"/>
    <row r="25888" customFormat="false" ht="15" hidden="false" customHeight="true" outlineLevel="0" collapsed="false"/>
    <row r="25889" customFormat="false" ht="15" hidden="false" customHeight="true" outlineLevel="0" collapsed="false"/>
    <row r="25890" customFormat="false" ht="15" hidden="false" customHeight="true" outlineLevel="0" collapsed="false"/>
    <row r="25891" customFormat="false" ht="15" hidden="false" customHeight="true" outlineLevel="0" collapsed="false"/>
    <row r="25892" customFormat="false" ht="15" hidden="false" customHeight="true" outlineLevel="0" collapsed="false"/>
    <row r="25893" customFormat="false" ht="15" hidden="false" customHeight="true" outlineLevel="0" collapsed="false"/>
    <row r="25894" customFormat="false" ht="15" hidden="false" customHeight="true" outlineLevel="0" collapsed="false"/>
    <row r="25895" customFormat="false" ht="15" hidden="false" customHeight="true" outlineLevel="0" collapsed="false"/>
    <row r="25896" customFormat="false" ht="15" hidden="false" customHeight="true" outlineLevel="0" collapsed="false"/>
    <row r="25897" customFormat="false" ht="15" hidden="false" customHeight="true" outlineLevel="0" collapsed="false"/>
    <row r="25898" customFormat="false" ht="15" hidden="false" customHeight="true" outlineLevel="0" collapsed="false"/>
    <row r="25899" customFormat="false" ht="15" hidden="false" customHeight="true" outlineLevel="0" collapsed="false"/>
    <row r="25900" customFormat="false" ht="15" hidden="false" customHeight="true" outlineLevel="0" collapsed="false"/>
    <row r="25901" customFormat="false" ht="15" hidden="false" customHeight="true" outlineLevel="0" collapsed="false"/>
    <row r="25902" customFormat="false" ht="15" hidden="false" customHeight="true" outlineLevel="0" collapsed="false"/>
    <row r="25903" customFormat="false" ht="15" hidden="false" customHeight="true" outlineLevel="0" collapsed="false"/>
    <row r="25904" customFormat="false" ht="15" hidden="false" customHeight="true" outlineLevel="0" collapsed="false"/>
    <row r="25905" customFormat="false" ht="15" hidden="false" customHeight="true" outlineLevel="0" collapsed="false"/>
    <row r="25906" customFormat="false" ht="15" hidden="false" customHeight="true" outlineLevel="0" collapsed="false"/>
    <row r="25907" customFormat="false" ht="15" hidden="false" customHeight="true" outlineLevel="0" collapsed="false"/>
    <row r="25908" customFormat="false" ht="15" hidden="false" customHeight="true" outlineLevel="0" collapsed="false"/>
    <row r="25909" customFormat="false" ht="15" hidden="false" customHeight="true" outlineLevel="0" collapsed="false"/>
    <row r="25910" customFormat="false" ht="15" hidden="false" customHeight="true" outlineLevel="0" collapsed="false"/>
    <row r="25911" customFormat="false" ht="15" hidden="false" customHeight="true" outlineLevel="0" collapsed="false"/>
    <row r="25912" customFormat="false" ht="15" hidden="false" customHeight="true" outlineLevel="0" collapsed="false"/>
    <row r="25913" customFormat="false" ht="15" hidden="false" customHeight="true" outlineLevel="0" collapsed="false"/>
    <row r="25914" customFormat="false" ht="15" hidden="false" customHeight="true" outlineLevel="0" collapsed="false"/>
    <row r="25915" customFormat="false" ht="15" hidden="false" customHeight="true" outlineLevel="0" collapsed="false"/>
    <row r="25916" customFormat="false" ht="15" hidden="false" customHeight="true" outlineLevel="0" collapsed="false"/>
    <row r="25917" customFormat="false" ht="15" hidden="false" customHeight="true" outlineLevel="0" collapsed="false"/>
    <row r="25918" customFormat="false" ht="15" hidden="false" customHeight="true" outlineLevel="0" collapsed="false"/>
    <row r="25919" customFormat="false" ht="15" hidden="false" customHeight="true" outlineLevel="0" collapsed="false"/>
    <row r="25920" customFormat="false" ht="15" hidden="false" customHeight="true" outlineLevel="0" collapsed="false"/>
    <row r="25921" customFormat="false" ht="15" hidden="false" customHeight="true" outlineLevel="0" collapsed="false"/>
    <row r="25922" customFormat="false" ht="15" hidden="false" customHeight="true" outlineLevel="0" collapsed="false"/>
    <row r="25923" customFormat="false" ht="15" hidden="false" customHeight="true" outlineLevel="0" collapsed="false"/>
    <row r="25924" customFormat="false" ht="15" hidden="false" customHeight="true" outlineLevel="0" collapsed="false"/>
    <row r="25925" customFormat="false" ht="15" hidden="false" customHeight="true" outlineLevel="0" collapsed="false"/>
    <row r="25926" customFormat="false" ht="15" hidden="false" customHeight="true" outlineLevel="0" collapsed="false"/>
    <row r="25927" customFormat="false" ht="15" hidden="false" customHeight="true" outlineLevel="0" collapsed="false"/>
    <row r="25928" customFormat="false" ht="15" hidden="false" customHeight="true" outlineLevel="0" collapsed="false"/>
    <row r="25929" customFormat="false" ht="15" hidden="false" customHeight="true" outlineLevel="0" collapsed="false"/>
    <row r="25930" customFormat="false" ht="15" hidden="false" customHeight="true" outlineLevel="0" collapsed="false"/>
    <row r="25931" customFormat="false" ht="15" hidden="false" customHeight="true" outlineLevel="0" collapsed="false"/>
    <row r="25932" customFormat="false" ht="15" hidden="false" customHeight="true" outlineLevel="0" collapsed="false"/>
    <row r="25933" customFormat="false" ht="15" hidden="false" customHeight="true" outlineLevel="0" collapsed="false"/>
    <row r="25934" customFormat="false" ht="15" hidden="false" customHeight="true" outlineLevel="0" collapsed="false"/>
    <row r="25935" customFormat="false" ht="15" hidden="false" customHeight="true" outlineLevel="0" collapsed="false"/>
    <row r="25936" customFormat="false" ht="15" hidden="false" customHeight="true" outlineLevel="0" collapsed="false"/>
    <row r="25937" customFormat="false" ht="15" hidden="false" customHeight="true" outlineLevel="0" collapsed="false"/>
    <row r="25938" customFormat="false" ht="15" hidden="false" customHeight="true" outlineLevel="0" collapsed="false"/>
    <row r="25939" customFormat="false" ht="15" hidden="false" customHeight="true" outlineLevel="0" collapsed="false"/>
    <row r="25940" customFormat="false" ht="15" hidden="false" customHeight="true" outlineLevel="0" collapsed="false"/>
    <row r="25941" customFormat="false" ht="15" hidden="false" customHeight="true" outlineLevel="0" collapsed="false"/>
    <row r="25942" customFormat="false" ht="15" hidden="false" customHeight="true" outlineLevel="0" collapsed="false"/>
    <row r="25943" customFormat="false" ht="15" hidden="false" customHeight="true" outlineLevel="0" collapsed="false"/>
    <row r="25944" customFormat="false" ht="15" hidden="false" customHeight="true" outlineLevel="0" collapsed="false"/>
    <row r="25945" customFormat="false" ht="15" hidden="false" customHeight="true" outlineLevel="0" collapsed="false"/>
    <row r="25946" customFormat="false" ht="15" hidden="false" customHeight="true" outlineLevel="0" collapsed="false"/>
    <row r="25947" customFormat="false" ht="15" hidden="false" customHeight="true" outlineLevel="0" collapsed="false"/>
    <row r="25948" customFormat="false" ht="15" hidden="false" customHeight="true" outlineLevel="0" collapsed="false"/>
    <row r="25949" customFormat="false" ht="15" hidden="false" customHeight="true" outlineLevel="0" collapsed="false"/>
    <row r="25950" customFormat="false" ht="15" hidden="false" customHeight="true" outlineLevel="0" collapsed="false"/>
    <row r="25951" customFormat="false" ht="15" hidden="false" customHeight="true" outlineLevel="0" collapsed="false"/>
    <row r="25952" customFormat="false" ht="15" hidden="false" customHeight="true" outlineLevel="0" collapsed="false"/>
    <row r="25953" customFormat="false" ht="15" hidden="false" customHeight="true" outlineLevel="0" collapsed="false"/>
    <row r="25954" customFormat="false" ht="15" hidden="false" customHeight="true" outlineLevel="0" collapsed="false"/>
    <row r="25955" customFormat="false" ht="15" hidden="false" customHeight="true" outlineLevel="0" collapsed="false"/>
    <row r="25956" customFormat="false" ht="15" hidden="false" customHeight="true" outlineLevel="0" collapsed="false"/>
    <row r="25957" customFormat="false" ht="15" hidden="false" customHeight="true" outlineLevel="0" collapsed="false"/>
    <row r="25958" customFormat="false" ht="15" hidden="false" customHeight="true" outlineLevel="0" collapsed="false"/>
    <row r="25959" customFormat="false" ht="15" hidden="false" customHeight="true" outlineLevel="0" collapsed="false"/>
    <row r="25960" customFormat="false" ht="15" hidden="false" customHeight="true" outlineLevel="0" collapsed="false"/>
    <row r="25961" customFormat="false" ht="15" hidden="false" customHeight="true" outlineLevel="0" collapsed="false"/>
    <row r="25962" customFormat="false" ht="15" hidden="false" customHeight="true" outlineLevel="0" collapsed="false"/>
    <row r="25963" customFormat="false" ht="15" hidden="false" customHeight="true" outlineLevel="0" collapsed="false"/>
    <row r="25964" customFormat="false" ht="15" hidden="false" customHeight="true" outlineLevel="0" collapsed="false"/>
    <row r="25965" customFormat="false" ht="15" hidden="false" customHeight="true" outlineLevel="0" collapsed="false"/>
    <row r="25966" customFormat="false" ht="15" hidden="false" customHeight="true" outlineLevel="0" collapsed="false"/>
    <row r="25967" customFormat="false" ht="15" hidden="false" customHeight="true" outlineLevel="0" collapsed="false"/>
    <row r="25968" customFormat="false" ht="15" hidden="false" customHeight="true" outlineLevel="0" collapsed="false"/>
    <row r="25969" customFormat="false" ht="15" hidden="false" customHeight="true" outlineLevel="0" collapsed="false"/>
    <row r="25970" customFormat="false" ht="15" hidden="false" customHeight="true" outlineLevel="0" collapsed="false"/>
    <row r="25971" customFormat="false" ht="15" hidden="false" customHeight="true" outlineLevel="0" collapsed="false"/>
    <row r="25972" customFormat="false" ht="15" hidden="false" customHeight="true" outlineLevel="0" collapsed="false"/>
    <row r="25973" customFormat="false" ht="15" hidden="false" customHeight="true" outlineLevel="0" collapsed="false"/>
    <row r="25974" customFormat="false" ht="15" hidden="false" customHeight="true" outlineLevel="0" collapsed="false"/>
    <row r="25975" customFormat="false" ht="15" hidden="false" customHeight="true" outlineLevel="0" collapsed="false"/>
    <row r="25976" customFormat="false" ht="15" hidden="false" customHeight="true" outlineLevel="0" collapsed="false"/>
    <row r="25977" customFormat="false" ht="15" hidden="false" customHeight="true" outlineLevel="0" collapsed="false"/>
    <row r="25978" customFormat="false" ht="15" hidden="false" customHeight="true" outlineLevel="0" collapsed="false"/>
    <row r="25979" customFormat="false" ht="15" hidden="false" customHeight="true" outlineLevel="0" collapsed="false"/>
    <row r="25980" customFormat="false" ht="15" hidden="false" customHeight="true" outlineLevel="0" collapsed="false"/>
    <row r="25981" customFormat="false" ht="15" hidden="false" customHeight="true" outlineLevel="0" collapsed="false"/>
    <row r="25982" customFormat="false" ht="15" hidden="false" customHeight="true" outlineLevel="0" collapsed="false"/>
    <row r="25983" customFormat="false" ht="15" hidden="false" customHeight="true" outlineLevel="0" collapsed="false"/>
    <row r="25984" customFormat="false" ht="15" hidden="false" customHeight="true" outlineLevel="0" collapsed="false"/>
    <row r="25985" customFormat="false" ht="15" hidden="false" customHeight="true" outlineLevel="0" collapsed="false"/>
    <row r="25986" customFormat="false" ht="15" hidden="false" customHeight="true" outlineLevel="0" collapsed="false"/>
    <row r="25987" customFormat="false" ht="15" hidden="false" customHeight="true" outlineLevel="0" collapsed="false"/>
    <row r="25988" customFormat="false" ht="15" hidden="false" customHeight="true" outlineLevel="0" collapsed="false"/>
    <row r="25989" customFormat="false" ht="15" hidden="false" customHeight="true" outlineLevel="0" collapsed="false"/>
    <row r="25990" customFormat="false" ht="15" hidden="false" customHeight="true" outlineLevel="0" collapsed="false"/>
    <row r="25991" customFormat="false" ht="15" hidden="false" customHeight="true" outlineLevel="0" collapsed="false"/>
    <row r="25992" customFormat="false" ht="15" hidden="false" customHeight="true" outlineLevel="0" collapsed="false"/>
    <row r="25993" customFormat="false" ht="15" hidden="false" customHeight="true" outlineLevel="0" collapsed="false"/>
    <row r="25994" customFormat="false" ht="15" hidden="false" customHeight="true" outlineLevel="0" collapsed="false"/>
    <row r="25995" customFormat="false" ht="15" hidden="false" customHeight="true" outlineLevel="0" collapsed="false"/>
    <row r="25996" customFormat="false" ht="15" hidden="false" customHeight="true" outlineLevel="0" collapsed="false"/>
    <row r="25997" customFormat="false" ht="15" hidden="false" customHeight="true" outlineLevel="0" collapsed="false"/>
    <row r="25998" customFormat="false" ht="15" hidden="false" customHeight="true" outlineLevel="0" collapsed="false"/>
    <row r="25999" customFormat="false" ht="15" hidden="false" customHeight="true" outlineLevel="0" collapsed="false"/>
    <row r="26000" customFormat="false" ht="15" hidden="false" customHeight="true" outlineLevel="0" collapsed="false"/>
    <row r="26001" customFormat="false" ht="15" hidden="false" customHeight="true" outlineLevel="0" collapsed="false"/>
    <row r="26002" customFormat="false" ht="15" hidden="false" customHeight="true" outlineLevel="0" collapsed="false"/>
    <row r="26003" customFormat="false" ht="15" hidden="false" customHeight="true" outlineLevel="0" collapsed="false"/>
    <row r="26004" customFormat="false" ht="15" hidden="false" customHeight="true" outlineLevel="0" collapsed="false"/>
    <row r="26005" customFormat="false" ht="15" hidden="false" customHeight="true" outlineLevel="0" collapsed="false"/>
    <row r="26006" customFormat="false" ht="15" hidden="false" customHeight="true" outlineLevel="0" collapsed="false"/>
    <row r="26007" customFormat="false" ht="15" hidden="false" customHeight="true" outlineLevel="0" collapsed="false"/>
    <row r="26008" customFormat="false" ht="15" hidden="false" customHeight="true" outlineLevel="0" collapsed="false"/>
    <row r="26009" customFormat="false" ht="15" hidden="false" customHeight="true" outlineLevel="0" collapsed="false"/>
    <row r="26010" customFormat="false" ht="15" hidden="false" customHeight="true" outlineLevel="0" collapsed="false"/>
    <row r="26011" customFormat="false" ht="15" hidden="false" customHeight="true" outlineLevel="0" collapsed="false"/>
    <row r="26012" customFormat="false" ht="15" hidden="false" customHeight="true" outlineLevel="0" collapsed="false"/>
    <row r="26013" customFormat="false" ht="15" hidden="false" customHeight="true" outlineLevel="0" collapsed="false"/>
    <row r="26014" customFormat="false" ht="15" hidden="false" customHeight="true" outlineLevel="0" collapsed="false"/>
    <row r="26015" customFormat="false" ht="15" hidden="false" customHeight="true" outlineLevel="0" collapsed="false"/>
    <row r="26016" customFormat="false" ht="15" hidden="false" customHeight="true" outlineLevel="0" collapsed="false"/>
    <row r="26017" customFormat="false" ht="15" hidden="false" customHeight="true" outlineLevel="0" collapsed="false"/>
    <row r="26018" customFormat="false" ht="15" hidden="false" customHeight="true" outlineLevel="0" collapsed="false"/>
    <row r="26019" customFormat="false" ht="15" hidden="false" customHeight="true" outlineLevel="0" collapsed="false"/>
    <row r="26020" customFormat="false" ht="15" hidden="false" customHeight="true" outlineLevel="0" collapsed="false"/>
    <row r="26021" customFormat="false" ht="15" hidden="false" customHeight="true" outlineLevel="0" collapsed="false"/>
    <row r="26022" customFormat="false" ht="15" hidden="false" customHeight="true" outlineLevel="0" collapsed="false"/>
    <row r="26023" customFormat="false" ht="15" hidden="false" customHeight="true" outlineLevel="0" collapsed="false"/>
    <row r="26024" customFormat="false" ht="15" hidden="false" customHeight="true" outlineLevel="0" collapsed="false"/>
    <row r="26025" customFormat="false" ht="15" hidden="false" customHeight="true" outlineLevel="0" collapsed="false"/>
    <row r="26026" customFormat="false" ht="15" hidden="false" customHeight="true" outlineLevel="0" collapsed="false"/>
    <row r="26027" customFormat="false" ht="15" hidden="false" customHeight="true" outlineLevel="0" collapsed="false"/>
    <row r="26028" customFormat="false" ht="15" hidden="false" customHeight="true" outlineLevel="0" collapsed="false"/>
    <row r="26029" customFormat="false" ht="15" hidden="false" customHeight="true" outlineLevel="0" collapsed="false"/>
    <row r="26030" customFormat="false" ht="15" hidden="false" customHeight="true" outlineLevel="0" collapsed="false"/>
    <row r="26031" customFormat="false" ht="15" hidden="false" customHeight="true" outlineLevel="0" collapsed="false"/>
    <row r="26032" customFormat="false" ht="15" hidden="false" customHeight="true" outlineLevel="0" collapsed="false"/>
    <row r="26033" customFormat="false" ht="15" hidden="false" customHeight="true" outlineLevel="0" collapsed="false"/>
    <row r="26034" customFormat="false" ht="15" hidden="false" customHeight="true" outlineLevel="0" collapsed="false"/>
    <row r="26035" customFormat="false" ht="15" hidden="false" customHeight="true" outlineLevel="0" collapsed="false"/>
    <row r="26036" customFormat="false" ht="15" hidden="false" customHeight="true" outlineLevel="0" collapsed="false"/>
    <row r="26037" customFormat="false" ht="15" hidden="false" customHeight="true" outlineLevel="0" collapsed="false"/>
    <row r="26038" customFormat="false" ht="15" hidden="false" customHeight="true" outlineLevel="0" collapsed="false"/>
    <row r="26039" customFormat="false" ht="15" hidden="false" customHeight="true" outlineLevel="0" collapsed="false"/>
    <row r="26040" customFormat="false" ht="15" hidden="false" customHeight="true" outlineLevel="0" collapsed="false"/>
    <row r="26041" customFormat="false" ht="15" hidden="false" customHeight="true" outlineLevel="0" collapsed="false"/>
    <row r="26042" customFormat="false" ht="15" hidden="false" customHeight="true" outlineLevel="0" collapsed="false"/>
    <row r="26043" customFormat="false" ht="15" hidden="false" customHeight="true" outlineLevel="0" collapsed="false"/>
    <row r="26044" customFormat="false" ht="15" hidden="false" customHeight="true" outlineLevel="0" collapsed="false"/>
    <row r="26045" customFormat="false" ht="15" hidden="false" customHeight="true" outlineLevel="0" collapsed="false"/>
    <row r="26046" customFormat="false" ht="15" hidden="false" customHeight="true" outlineLevel="0" collapsed="false"/>
    <row r="26047" customFormat="false" ht="15" hidden="false" customHeight="true" outlineLevel="0" collapsed="false"/>
    <row r="26048" customFormat="false" ht="15" hidden="false" customHeight="true" outlineLevel="0" collapsed="false"/>
    <row r="26049" customFormat="false" ht="15" hidden="false" customHeight="true" outlineLevel="0" collapsed="false"/>
    <row r="26050" customFormat="false" ht="15" hidden="false" customHeight="true" outlineLevel="0" collapsed="false"/>
    <row r="26051" customFormat="false" ht="15" hidden="false" customHeight="true" outlineLevel="0" collapsed="false"/>
    <row r="26052" customFormat="false" ht="15" hidden="false" customHeight="true" outlineLevel="0" collapsed="false"/>
    <row r="26053" customFormat="false" ht="15" hidden="false" customHeight="true" outlineLevel="0" collapsed="false"/>
    <row r="26054" customFormat="false" ht="15" hidden="false" customHeight="true" outlineLevel="0" collapsed="false"/>
    <row r="26055" customFormat="false" ht="15" hidden="false" customHeight="true" outlineLevel="0" collapsed="false"/>
    <row r="26056" customFormat="false" ht="15" hidden="false" customHeight="true" outlineLevel="0" collapsed="false"/>
    <row r="26057" customFormat="false" ht="15" hidden="false" customHeight="true" outlineLevel="0" collapsed="false"/>
    <row r="26058" customFormat="false" ht="15" hidden="false" customHeight="true" outlineLevel="0" collapsed="false"/>
    <row r="26059" customFormat="false" ht="15" hidden="false" customHeight="true" outlineLevel="0" collapsed="false"/>
    <row r="26060" customFormat="false" ht="15" hidden="false" customHeight="true" outlineLevel="0" collapsed="false"/>
    <row r="26061" customFormat="false" ht="15" hidden="false" customHeight="true" outlineLevel="0" collapsed="false"/>
    <row r="26062" customFormat="false" ht="15" hidden="false" customHeight="true" outlineLevel="0" collapsed="false"/>
    <row r="26063" customFormat="false" ht="15" hidden="false" customHeight="true" outlineLevel="0" collapsed="false"/>
    <row r="26064" customFormat="false" ht="15" hidden="false" customHeight="true" outlineLevel="0" collapsed="false"/>
    <row r="26065" customFormat="false" ht="15" hidden="false" customHeight="true" outlineLevel="0" collapsed="false"/>
    <row r="26066" customFormat="false" ht="15" hidden="false" customHeight="true" outlineLevel="0" collapsed="false"/>
    <row r="26067" customFormat="false" ht="15" hidden="false" customHeight="true" outlineLevel="0" collapsed="false"/>
    <row r="26068" customFormat="false" ht="15" hidden="false" customHeight="true" outlineLevel="0" collapsed="false"/>
    <row r="26069" customFormat="false" ht="15" hidden="false" customHeight="true" outlineLevel="0" collapsed="false"/>
    <row r="26070" customFormat="false" ht="15" hidden="false" customHeight="true" outlineLevel="0" collapsed="false"/>
    <row r="26071" customFormat="false" ht="15" hidden="false" customHeight="true" outlineLevel="0" collapsed="false"/>
    <row r="26072" customFormat="false" ht="15" hidden="false" customHeight="true" outlineLevel="0" collapsed="false"/>
    <row r="26073" customFormat="false" ht="15" hidden="false" customHeight="true" outlineLevel="0" collapsed="false"/>
    <row r="26074" customFormat="false" ht="15" hidden="false" customHeight="true" outlineLevel="0" collapsed="false"/>
    <row r="26075" customFormat="false" ht="15" hidden="false" customHeight="true" outlineLevel="0" collapsed="false"/>
    <row r="26076" customFormat="false" ht="15" hidden="false" customHeight="true" outlineLevel="0" collapsed="false"/>
    <row r="26077" customFormat="false" ht="15" hidden="false" customHeight="true" outlineLevel="0" collapsed="false"/>
    <row r="26078" customFormat="false" ht="15" hidden="false" customHeight="true" outlineLevel="0" collapsed="false"/>
    <row r="26079" customFormat="false" ht="15" hidden="false" customHeight="true" outlineLevel="0" collapsed="false"/>
    <row r="26080" customFormat="false" ht="15" hidden="false" customHeight="true" outlineLevel="0" collapsed="false"/>
    <row r="26081" customFormat="false" ht="15" hidden="false" customHeight="true" outlineLevel="0" collapsed="false"/>
    <row r="26082" customFormat="false" ht="15" hidden="false" customHeight="true" outlineLevel="0" collapsed="false"/>
    <row r="26083" customFormat="false" ht="15" hidden="false" customHeight="true" outlineLevel="0" collapsed="false"/>
    <row r="26084" customFormat="false" ht="15" hidden="false" customHeight="true" outlineLevel="0" collapsed="false"/>
    <row r="26085" customFormat="false" ht="15" hidden="false" customHeight="true" outlineLevel="0" collapsed="false"/>
    <row r="26086" customFormat="false" ht="15" hidden="false" customHeight="true" outlineLevel="0" collapsed="false"/>
    <row r="26087" customFormat="false" ht="15" hidden="false" customHeight="true" outlineLevel="0" collapsed="false"/>
    <row r="26088" customFormat="false" ht="15" hidden="false" customHeight="true" outlineLevel="0" collapsed="false"/>
    <row r="26089" customFormat="false" ht="15" hidden="false" customHeight="true" outlineLevel="0" collapsed="false"/>
    <row r="26090" customFormat="false" ht="15" hidden="false" customHeight="true" outlineLevel="0" collapsed="false"/>
    <row r="26091" customFormat="false" ht="15" hidden="false" customHeight="true" outlineLevel="0" collapsed="false"/>
    <row r="26092" customFormat="false" ht="15" hidden="false" customHeight="true" outlineLevel="0" collapsed="false"/>
    <row r="26093" customFormat="false" ht="15" hidden="false" customHeight="true" outlineLevel="0" collapsed="false"/>
    <row r="26094" customFormat="false" ht="15" hidden="false" customHeight="true" outlineLevel="0" collapsed="false"/>
    <row r="26095" customFormat="false" ht="15" hidden="false" customHeight="true" outlineLevel="0" collapsed="false"/>
    <row r="26096" customFormat="false" ht="15" hidden="false" customHeight="true" outlineLevel="0" collapsed="false"/>
    <row r="26097" customFormat="false" ht="15" hidden="false" customHeight="true" outlineLevel="0" collapsed="false"/>
    <row r="26098" customFormat="false" ht="15" hidden="false" customHeight="true" outlineLevel="0" collapsed="false"/>
    <row r="26099" customFormat="false" ht="15" hidden="false" customHeight="true" outlineLevel="0" collapsed="false"/>
    <row r="26100" customFormat="false" ht="15" hidden="false" customHeight="true" outlineLevel="0" collapsed="false"/>
    <row r="26101" customFormat="false" ht="15" hidden="false" customHeight="true" outlineLevel="0" collapsed="false"/>
    <row r="26102" customFormat="false" ht="15" hidden="false" customHeight="true" outlineLevel="0" collapsed="false"/>
    <row r="26103" customFormat="false" ht="15" hidden="false" customHeight="true" outlineLevel="0" collapsed="false"/>
    <row r="26104" customFormat="false" ht="15" hidden="false" customHeight="true" outlineLevel="0" collapsed="false"/>
    <row r="26105" customFormat="false" ht="15" hidden="false" customHeight="true" outlineLevel="0" collapsed="false"/>
    <row r="26106" customFormat="false" ht="15" hidden="false" customHeight="true" outlineLevel="0" collapsed="false"/>
    <row r="26107" customFormat="false" ht="15" hidden="false" customHeight="true" outlineLevel="0" collapsed="false"/>
    <row r="26108" customFormat="false" ht="15" hidden="false" customHeight="true" outlineLevel="0" collapsed="false"/>
    <row r="26109" customFormat="false" ht="15" hidden="false" customHeight="true" outlineLevel="0" collapsed="false"/>
    <row r="26110" customFormat="false" ht="15" hidden="false" customHeight="true" outlineLevel="0" collapsed="false"/>
    <row r="26111" customFormat="false" ht="15" hidden="false" customHeight="true" outlineLevel="0" collapsed="false"/>
    <row r="26112" customFormat="false" ht="15" hidden="false" customHeight="true" outlineLevel="0" collapsed="false"/>
    <row r="26113" customFormat="false" ht="15" hidden="false" customHeight="true" outlineLevel="0" collapsed="false"/>
    <row r="26114" customFormat="false" ht="15" hidden="false" customHeight="true" outlineLevel="0" collapsed="false"/>
    <row r="26115" customFormat="false" ht="15" hidden="false" customHeight="true" outlineLevel="0" collapsed="false"/>
    <row r="26116" customFormat="false" ht="15" hidden="false" customHeight="true" outlineLevel="0" collapsed="false"/>
    <row r="26117" customFormat="false" ht="15" hidden="false" customHeight="true" outlineLevel="0" collapsed="false"/>
    <row r="26118" customFormat="false" ht="15" hidden="false" customHeight="true" outlineLevel="0" collapsed="false"/>
    <row r="26119" customFormat="false" ht="15" hidden="false" customHeight="true" outlineLevel="0" collapsed="false"/>
    <row r="26120" customFormat="false" ht="15" hidden="false" customHeight="true" outlineLevel="0" collapsed="false"/>
    <row r="26121" customFormat="false" ht="15" hidden="false" customHeight="true" outlineLevel="0" collapsed="false"/>
    <row r="26122" customFormat="false" ht="15" hidden="false" customHeight="true" outlineLevel="0" collapsed="false"/>
    <row r="26123" customFormat="false" ht="15" hidden="false" customHeight="true" outlineLevel="0" collapsed="false"/>
    <row r="26124" customFormat="false" ht="15" hidden="false" customHeight="true" outlineLevel="0" collapsed="false"/>
    <row r="26125" customFormat="false" ht="15" hidden="false" customHeight="true" outlineLevel="0" collapsed="false"/>
    <row r="26126" customFormat="false" ht="15" hidden="false" customHeight="true" outlineLevel="0" collapsed="false"/>
    <row r="26127" customFormat="false" ht="15" hidden="false" customHeight="true" outlineLevel="0" collapsed="false"/>
    <row r="26128" customFormat="false" ht="15" hidden="false" customHeight="true" outlineLevel="0" collapsed="false"/>
    <row r="26129" customFormat="false" ht="15" hidden="false" customHeight="true" outlineLevel="0" collapsed="false"/>
    <row r="26130" customFormat="false" ht="15" hidden="false" customHeight="true" outlineLevel="0" collapsed="false"/>
    <row r="26131" customFormat="false" ht="15" hidden="false" customHeight="true" outlineLevel="0" collapsed="false"/>
    <row r="26132" customFormat="false" ht="15" hidden="false" customHeight="true" outlineLevel="0" collapsed="false"/>
    <row r="26133" customFormat="false" ht="15" hidden="false" customHeight="true" outlineLevel="0" collapsed="false"/>
    <row r="26134" customFormat="false" ht="15" hidden="false" customHeight="true" outlineLevel="0" collapsed="false"/>
    <row r="26135" customFormat="false" ht="15" hidden="false" customHeight="true" outlineLevel="0" collapsed="false"/>
    <row r="26136" customFormat="false" ht="15" hidden="false" customHeight="true" outlineLevel="0" collapsed="false"/>
    <row r="26137" customFormat="false" ht="15" hidden="false" customHeight="true" outlineLevel="0" collapsed="false"/>
    <row r="26138" customFormat="false" ht="15" hidden="false" customHeight="true" outlineLevel="0" collapsed="false"/>
    <row r="26139" customFormat="false" ht="15" hidden="false" customHeight="true" outlineLevel="0" collapsed="false"/>
    <row r="26140" customFormat="false" ht="15" hidden="false" customHeight="true" outlineLevel="0" collapsed="false"/>
    <row r="26141" customFormat="false" ht="15" hidden="false" customHeight="true" outlineLevel="0" collapsed="false"/>
    <row r="26142" customFormat="false" ht="15" hidden="false" customHeight="true" outlineLevel="0" collapsed="false"/>
    <row r="26143" customFormat="false" ht="15" hidden="false" customHeight="true" outlineLevel="0" collapsed="false"/>
    <row r="26144" customFormat="false" ht="15" hidden="false" customHeight="true" outlineLevel="0" collapsed="false"/>
    <row r="26145" customFormat="false" ht="15" hidden="false" customHeight="true" outlineLevel="0" collapsed="false"/>
    <row r="26146" customFormat="false" ht="15" hidden="false" customHeight="true" outlineLevel="0" collapsed="false"/>
    <row r="26147" customFormat="false" ht="15" hidden="false" customHeight="true" outlineLevel="0" collapsed="false"/>
    <row r="26148" customFormat="false" ht="15" hidden="false" customHeight="true" outlineLevel="0" collapsed="false"/>
    <row r="26149" customFormat="false" ht="15" hidden="false" customHeight="true" outlineLevel="0" collapsed="false"/>
    <row r="26150" customFormat="false" ht="15" hidden="false" customHeight="true" outlineLevel="0" collapsed="false"/>
    <row r="26151" customFormat="false" ht="15" hidden="false" customHeight="true" outlineLevel="0" collapsed="false"/>
    <row r="26152" customFormat="false" ht="15" hidden="false" customHeight="true" outlineLevel="0" collapsed="false"/>
    <row r="26153" customFormat="false" ht="15" hidden="false" customHeight="true" outlineLevel="0" collapsed="false"/>
    <row r="26154" customFormat="false" ht="15" hidden="false" customHeight="true" outlineLevel="0" collapsed="false"/>
    <row r="26155" customFormat="false" ht="15" hidden="false" customHeight="true" outlineLevel="0" collapsed="false"/>
    <row r="26156" customFormat="false" ht="15" hidden="false" customHeight="true" outlineLevel="0" collapsed="false"/>
    <row r="26157" customFormat="false" ht="15" hidden="false" customHeight="true" outlineLevel="0" collapsed="false"/>
    <row r="26158" customFormat="false" ht="15" hidden="false" customHeight="true" outlineLevel="0" collapsed="false"/>
    <row r="26159" customFormat="false" ht="15" hidden="false" customHeight="true" outlineLevel="0" collapsed="false"/>
    <row r="26160" customFormat="false" ht="15" hidden="false" customHeight="true" outlineLevel="0" collapsed="false"/>
    <row r="26161" customFormat="false" ht="15" hidden="false" customHeight="true" outlineLevel="0" collapsed="false"/>
    <row r="26162" customFormat="false" ht="15" hidden="false" customHeight="true" outlineLevel="0" collapsed="false"/>
    <row r="26163" customFormat="false" ht="15" hidden="false" customHeight="true" outlineLevel="0" collapsed="false"/>
    <row r="26164" customFormat="false" ht="15" hidden="false" customHeight="true" outlineLevel="0" collapsed="false"/>
    <row r="26165" customFormat="false" ht="15" hidden="false" customHeight="true" outlineLevel="0" collapsed="false"/>
    <row r="26166" customFormat="false" ht="15" hidden="false" customHeight="true" outlineLevel="0" collapsed="false"/>
    <row r="26167" customFormat="false" ht="15" hidden="false" customHeight="true" outlineLevel="0" collapsed="false"/>
    <row r="26168" customFormat="false" ht="15" hidden="false" customHeight="true" outlineLevel="0" collapsed="false"/>
    <row r="26169" customFormat="false" ht="15" hidden="false" customHeight="true" outlineLevel="0" collapsed="false"/>
    <row r="26170" customFormat="false" ht="15" hidden="false" customHeight="true" outlineLevel="0" collapsed="false"/>
    <row r="26171" customFormat="false" ht="15" hidden="false" customHeight="true" outlineLevel="0" collapsed="false"/>
    <row r="26172" customFormat="false" ht="15" hidden="false" customHeight="true" outlineLevel="0" collapsed="false"/>
    <row r="26173" customFormat="false" ht="15" hidden="false" customHeight="true" outlineLevel="0" collapsed="false"/>
    <row r="26174" customFormat="false" ht="15" hidden="false" customHeight="true" outlineLevel="0" collapsed="false"/>
    <row r="26175" customFormat="false" ht="15" hidden="false" customHeight="true" outlineLevel="0" collapsed="false"/>
    <row r="26176" customFormat="false" ht="15" hidden="false" customHeight="true" outlineLevel="0" collapsed="false"/>
    <row r="26177" customFormat="false" ht="15" hidden="false" customHeight="true" outlineLevel="0" collapsed="false"/>
    <row r="26178" customFormat="false" ht="15" hidden="false" customHeight="true" outlineLevel="0" collapsed="false"/>
    <row r="26179" customFormat="false" ht="15" hidden="false" customHeight="true" outlineLevel="0" collapsed="false"/>
    <row r="26180" customFormat="false" ht="15" hidden="false" customHeight="true" outlineLevel="0" collapsed="false"/>
    <row r="26181" customFormat="false" ht="15" hidden="false" customHeight="true" outlineLevel="0" collapsed="false"/>
    <row r="26182" customFormat="false" ht="15" hidden="false" customHeight="true" outlineLevel="0" collapsed="false"/>
    <row r="26183" customFormat="false" ht="15" hidden="false" customHeight="true" outlineLevel="0" collapsed="false"/>
    <row r="26184" customFormat="false" ht="15" hidden="false" customHeight="true" outlineLevel="0" collapsed="false"/>
    <row r="26185" customFormat="false" ht="15" hidden="false" customHeight="true" outlineLevel="0" collapsed="false"/>
    <row r="26186" customFormat="false" ht="15" hidden="false" customHeight="true" outlineLevel="0" collapsed="false"/>
    <row r="26187" customFormat="false" ht="15" hidden="false" customHeight="true" outlineLevel="0" collapsed="false"/>
    <row r="26188" customFormat="false" ht="15" hidden="false" customHeight="true" outlineLevel="0" collapsed="false"/>
    <row r="26189" customFormat="false" ht="15" hidden="false" customHeight="true" outlineLevel="0" collapsed="false"/>
    <row r="26190" customFormat="false" ht="15" hidden="false" customHeight="true" outlineLevel="0" collapsed="false"/>
    <row r="26191" customFormat="false" ht="15" hidden="false" customHeight="true" outlineLevel="0" collapsed="false"/>
    <row r="26192" customFormat="false" ht="15" hidden="false" customHeight="true" outlineLevel="0" collapsed="false"/>
    <row r="26193" customFormat="false" ht="15" hidden="false" customHeight="true" outlineLevel="0" collapsed="false"/>
    <row r="26194" customFormat="false" ht="15" hidden="false" customHeight="true" outlineLevel="0" collapsed="false"/>
    <row r="26195" customFormat="false" ht="15" hidden="false" customHeight="true" outlineLevel="0" collapsed="false"/>
    <row r="26196" customFormat="false" ht="15" hidden="false" customHeight="true" outlineLevel="0" collapsed="false"/>
    <row r="26197" customFormat="false" ht="15" hidden="false" customHeight="true" outlineLevel="0" collapsed="false"/>
    <row r="26198" customFormat="false" ht="15" hidden="false" customHeight="true" outlineLevel="0" collapsed="false"/>
    <row r="26199" customFormat="false" ht="15" hidden="false" customHeight="true" outlineLevel="0" collapsed="false"/>
    <row r="26200" customFormat="false" ht="15" hidden="false" customHeight="true" outlineLevel="0" collapsed="false"/>
    <row r="26201" customFormat="false" ht="15" hidden="false" customHeight="true" outlineLevel="0" collapsed="false"/>
    <row r="26202" customFormat="false" ht="15" hidden="false" customHeight="true" outlineLevel="0" collapsed="false"/>
    <row r="26203" customFormat="false" ht="15" hidden="false" customHeight="true" outlineLevel="0" collapsed="false"/>
    <row r="26204" customFormat="false" ht="15" hidden="false" customHeight="true" outlineLevel="0" collapsed="false"/>
    <row r="26205" customFormat="false" ht="15" hidden="false" customHeight="true" outlineLevel="0" collapsed="false"/>
    <row r="26206" customFormat="false" ht="15" hidden="false" customHeight="true" outlineLevel="0" collapsed="false"/>
    <row r="26207" customFormat="false" ht="15" hidden="false" customHeight="true" outlineLevel="0" collapsed="false"/>
    <row r="26208" customFormat="false" ht="15" hidden="false" customHeight="true" outlineLevel="0" collapsed="false"/>
    <row r="26209" customFormat="false" ht="15" hidden="false" customHeight="true" outlineLevel="0" collapsed="false"/>
    <row r="26210" customFormat="false" ht="15" hidden="false" customHeight="true" outlineLevel="0" collapsed="false"/>
    <row r="26211" customFormat="false" ht="15" hidden="false" customHeight="true" outlineLevel="0" collapsed="false"/>
    <row r="26212" customFormat="false" ht="15" hidden="false" customHeight="true" outlineLevel="0" collapsed="false"/>
    <row r="26213" customFormat="false" ht="15" hidden="false" customHeight="true" outlineLevel="0" collapsed="false"/>
    <row r="26214" customFormat="false" ht="15" hidden="false" customHeight="true" outlineLevel="0" collapsed="false"/>
    <row r="26215" customFormat="false" ht="15" hidden="false" customHeight="true" outlineLevel="0" collapsed="false"/>
    <row r="26216" customFormat="false" ht="15" hidden="false" customHeight="true" outlineLevel="0" collapsed="false"/>
    <row r="26217" customFormat="false" ht="15" hidden="false" customHeight="true" outlineLevel="0" collapsed="false"/>
    <row r="26218" customFormat="false" ht="15" hidden="false" customHeight="true" outlineLevel="0" collapsed="false"/>
    <row r="26219" customFormat="false" ht="15" hidden="false" customHeight="true" outlineLevel="0" collapsed="false"/>
    <row r="26220" customFormat="false" ht="15" hidden="false" customHeight="true" outlineLevel="0" collapsed="false"/>
    <row r="26221" customFormat="false" ht="15" hidden="false" customHeight="true" outlineLevel="0" collapsed="false"/>
    <row r="26222" customFormat="false" ht="15" hidden="false" customHeight="true" outlineLevel="0" collapsed="false"/>
    <row r="26223" customFormat="false" ht="15" hidden="false" customHeight="true" outlineLevel="0" collapsed="false"/>
    <row r="26224" customFormat="false" ht="15" hidden="false" customHeight="true" outlineLevel="0" collapsed="false"/>
    <row r="26225" customFormat="false" ht="15" hidden="false" customHeight="true" outlineLevel="0" collapsed="false"/>
    <row r="26226" customFormat="false" ht="15" hidden="false" customHeight="true" outlineLevel="0" collapsed="false"/>
    <row r="26227" customFormat="false" ht="15" hidden="false" customHeight="true" outlineLevel="0" collapsed="false"/>
    <row r="26228" customFormat="false" ht="15" hidden="false" customHeight="true" outlineLevel="0" collapsed="false"/>
    <row r="26229" customFormat="false" ht="15" hidden="false" customHeight="true" outlineLevel="0" collapsed="false"/>
    <row r="26230" customFormat="false" ht="15" hidden="false" customHeight="true" outlineLevel="0" collapsed="false"/>
    <row r="26231" customFormat="false" ht="15" hidden="false" customHeight="true" outlineLevel="0" collapsed="false"/>
    <row r="26232" customFormat="false" ht="15" hidden="false" customHeight="true" outlineLevel="0" collapsed="false"/>
    <row r="26233" customFormat="false" ht="15" hidden="false" customHeight="true" outlineLevel="0" collapsed="false"/>
    <row r="26234" customFormat="false" ht="15" hidden="false" customHeight="true" outlineLevel="0" collapsed="false"/>
    <row r="26235" customFormat="false" ht="15" hidden="false" customHeight="true" outlineLevel="0" collapsed="false"/>
    <row r="26236" customFormat="false" ht="15" hidden="false" customHeight="true" outlineLevel="0" collapsed="false"/>
    <row r="26237" customFormat="false" ht="15" hidden="false" customHeight="true" outlineLevel="0" collapsed="false"/>
    <row r="26238" customFormat="false" ht="15" hidden="false" customHeight="true" outlineLevel="0" collapsed="false"/>
    <row r="26239" customFormat="false" ht="15" hidden="false" customHeight="true" outlineLevel="0" collapsed="false"/>
    <row r="26240" customFormat="false" ht="15" hidden="false" customHeight="true" outlineLevel="0" collapsed="false"/>
    <row r="26241" customFormat="false" ht="15" hidden="false" customHeight="true" outlineLevel="0" collapsed="false"/>
    <row r="26242" customFormat="false" ht="15" hidden="false" customHeight="true" outlineLevel="0" collapsed="false"/>
    <row r="26243" customFormat="false" ht="15" hidden="false" customHeight="true" outlineLevel="0" collapsed="false"/>
    <row r="26244" customFormat="false" ht="15" hidden="false" customHeight="true" outlineLevel="0" collapsed="false"/>
    <row r="26245" customFormat="false" ht="15" hidden="false" customHeight="true" outlineLevel="0" collapsed="false"/>
    <row r="26246" customFormat="false" ht="15" hidden="false" customHeight="true" outlineLevel="0" collapsed="false"/>
    <row r="26247" customFormat="false" ht="15" hidden="false" customHeight="true" outlineLevel="0" collapsed="false"/>
    <row r="26248" customFormat="false" ht="15" hidden="false" customHeight="true" outlineLevel="0" collapsed="false"/>
    <row r="26249" customFormat="false" ht="15" hidden="false" customHeight="true" outlineLevel="0" collapsed="false"/>
    <row r="26250" customFormat="false" ht="15" hidden="false" customHeight="true" outlineLevel="0" collapsed="false"/>
    <row r="26251" customFormat="false" ht="15" hidden="false" customHeight="true" outlineLevel="0" collapsed="false"/>
    <row r="26252" customFormat="false" ht="15" hidden="false" customHeight="true" outlineLevel="0" collapsed="false"/>
    <row r="26253" customFormat="false" ht="15" hidden="false" customHeight="true" outlineLevel="0" collapsed="false"/>
    <row r="26254" customFormat="false" ht="15" hidden="false" customHeight="true" outlineLevel="0" collapsed="false"/>
    <row r="26255" customFormat="false" ht="15" hidden="false" customHeight="true" outlineLevel="0" collapsed="false"/>
    <row r="26256" customFormat="false" ht="15" hidden="false" customHeight="true" outlineLevel="0" collapsed="false"/>
    <row r="26257" customFormat="false" ht="15" hidden="false" customHeight="true" outlineLevel="0" collapsed="false"/>
    <row r="26258" customFormat="false" ht="15" hidden="false" customHeight="true" outlineLevel="0" collapsed="false"/>
    <row r="26259" customFormat="false" ht="15" hidden="false" customHeight="true" outlineLevel="0" collapsed="false"/>
    <row r="26260" customFormat="false" ht="15" hidden="false" customHeight="true" outlineLevel="0" collapsed="false"/>
    <row r="26261" customFormat="false" ht="15" hidden="false" customHeight="true" outlineLevel="0" collapsed="false"/>
    <row r="26262" customFormat="false" ht="15" hidden="false" customHeight="true" outlineLevel="0" collapsed="false"/>
    <row r="26263" customFormat="false" ht="15" hidden="false" customHeight="true" outlineLevel="0" collapsed="false"/>
    <row r="26264" customFormat="false" ht="15" hidden="false" customHeight="true" outlineLevel="0" collapsed="false"/>
    <row r="26265" customFormat="false" ht="15" hidden="false" customHeight="true" outlineLevel="0" collapsed="false"/>
    <row r="26266" customFormat="false" ht="15" hidden="false" customHeight="true" outlineLevel="0" collapsed="false"/>
    <row r="26267" customFormat="false" ht="15" hidden="false" customHeight="true" outlineLevel="0" collapsed="false"/>
    <row r="26268" customFormat="false" ht="15" hidden="false" customHeight="true" outlineLevel="0" collapsed="false"/>
    <row r="26269" customFormat="false" ht="15" hidden="false" customHeight="true" outlineLevel="0" collapsed="false"/>
    <row r="26270" customFormat="false" ht="15" hidden="false" customHeight="true" outlineLevel="0" collapsed="false"/>
    <row r="26271" customFormat="false" ht="15" hidden="false" customHeight="true" outlineLevel="0" collapsed="false"/>
    <row r="26272" customFormat="false" ht="15" hidden="false" customHeight="true" outlineLevel="0" collapsed="false"/>
    <row r="26273" customFormat="false" ht="15" hidden="false" customHeight="true" outlineLevel="0" collapsed="false"/>
    <row r="26274" customFormat="false" ht="15" hidden="false" customHeight="true" outlineLevel="0" collapsed="false"/>
    <row r="26275" customFormat="false" ht="15" hidden="false" customHeight="true" outlineLevel="0" collapsed="false"/>
    <row r="26276" customFormat="false" ht="15" hidden="false" customHeight="true" outlineLevel="0" collapsed="false"/>
    <row r="26277" customFormat="false" ht="15" hidden="false" customHeight="true" outlineLevel="0" collapsed="false"/>
    <row r="26278" customFormat="false" ht="15" hidden="false" customHeight="true" outlineLevel="0" collapsed="false"/>
    <row r="26279" customFormat="false" ht="15" hidden="false" customHeight="true" outlineLevel="0" collapsed="false"/>
    <row r="26280" customFormat="false" ht="15" hidden="false" customHeight="true" outlineLevel="0" collapsed="false"/>
    <row r="26281" customFormat="false" ht="15" hidden="false" customHeight="true" outlineLevel="0" collapsed="false"/>
    <row r="26282" customFormat="false" ht="15" hidden="false" customHeight="true" outlineLevel="0" collapsed="false"/>
    <row r="26283" customFormat="false" ht="15" hidden="false" customHeight="true" outlineLevel="0" collapsed="false"/>
    <row r="26284" customFormat="false" ht="15" hidden="false" customHeight="true" outlineLevel="0" collapsed="false"/>
    <row r="26285" customFormat="false" ht="15" hidden="false" customHeight="true" outlineLevel="0" collapsed="false"/>
    <row r="26286" customFormat="false" ht="15" hidden="false" customHeight="true" outlineLevel="0" collapsed="false"/>
    <row r="26287" customFormat="false" ht="15" hidden="false" customHeight="true" outlineLevel="0" collapsed="false"/>
    <row r="26288" customFormat="false" ht="15" hidden="false" customHeight="true" outlineLevel="0" collapsed="false"/>
    <row r="26289" customFormat="false" ht="15" hidden="false" customHeight="true" outlineLevel="0" collapsed="false"/>
    <row r="26290" customFormat="false" ht="15" hidden="false" customHeight="true" outlineLevel="0" collapsed="false"/>
    <row r="26291" customFormat="false" ht="15" hidden="false" customHeight="true" outlineLevel="0" collapsed="false"/>
    <row r="26292" customFormat="false" ht="15" hidden="false" customHeight="true" outlineLevel="0" collapsed="false"/>
    <row r="26293" customFormat="false" ht="15" hidden="false" customHeight="true" outlineLevel="0" collapsed="false"/>
    <row r="26294" customFormat="false" ht="15" hidden="false" customHeight="true" outlineLevel="0" collapsed="false"/>
    <row r="26295" customFormat="false" ht="15" hidden="false" customHeight="true" outlineLevel="0" collapsed="false"/>
    <row r="26296" customFormat="false" ht="15" hidden="false" customHeight="true" outlineLevel="0" collapsed="false"/>
    <row r="26297" customFormat="false" ht="15" hidden="false" customHeight="true" outlineLevel="0" collapsed="false"/>
    <row r="26298" customFormat="false" ht="15" hidden="false" customHeight="true" outlineLevel="0" collapsed="false"/>
    <row r="26299" customFormat="false" ht="15" hidden="false" customHeight="true" outlineLevel="0" collapsed="false"/>
    <row r="26300" customFormat="false" ht="15" hidden="false" customHeight="true" outlineLevel="0" collapsed="false"/>
    <row r="26301" customFormat="false" ht="15" hidden="false" customHeight="true" outlineLevel="0" collapsed="false"/>
    <row r="26302" customFormat="false" ht="15" hidden="false" customHeight="true" outlineLevel="0" collapsed="false"/>
    <row r="26303" customFormat="false" ht="15" hidden="false" customHeight="true" outlineLevel="0" collapsed="false"/>
    <row r="26304" customFormat="false" ht="15" hidden="false" customHeight="true" outlineLevel="0" collapsed="false"/>
    <row r="26305" customFormat="false" ht="15" hidden="false" customHeight="true" outlineLevel="0" collapsed="false"/>
    <row r="26306" customFormat="false" ht="15" hidden="false" customHeight="true" outlineLevel="0" collapsed="false"/>
    <row r="26307" customFormat="false" ht="15" hidden="false" customHeight="true" outlineLevel="0" collapsed="false"/>
    <row r="26308" customFormat="false" ht="15" hidden="false" customHeight="true" outlineLevel="0" collapsed="false"/>
    <row r="26309" customFormat="false" ht="15" hidden="false" customHeight="true" outlineLevel="0" collapsed="false"/>
    <row r="26310" customFormat="false" ht="15" hidden="false" customHeight="true" outlineLevel="0" collapsed="false"/>
    <row r="26311" customFormat="false" ht="15" hidden="false" customHeight="true" outlineLevel="0" collapsed="false"/>
    <row r="26312" customFormat="false" ht="15" hidden="false" customHeight="true" outlineLevel="0" collapsed="false"/>
    <row r="26313" customFormat="false" ht="15" hidden="false" customHeight="true" outlineLevel="0" collapsed="false"/>
    <row r="26314" customFormat="false" ht="15" hidden="false" customHeight="true" outlineLevel="0" collapsed="false"/>
    <row r="26315" customFormat="false" ht="15" hidden="false" customHeight="true" outlineLevel="0" collapsed="false"/>
    <row r="26316" customFormat="false" ht="15" hidden="false" customHeight="true" outlineLevel="0" collapsed="false"/>
    <row r="26317" customFormat="false" ht="15" hidden="false" customHeight="true" outlineLevel="0" collapsed="false"/>
    <row r="26318" customFormat="false" ht="15" hidden="false" customHeight="true" outlineLevel="0" collapsed="false"/>
    <row r="26319" customFormat="false" ht="15" hidden="false" customHeight="true" outlineLevel="0" collapsed="false"/>
    <row r="26320" customFormat="false" ht="15" hidden="false" customHeight="true" outlineLevel="0" collapsed="false"/>
    <row r="26321" customFormat="false" ht="15" hidden="false" customHeight="true" outlineLevel="0" collapsed="false"/>
    <row r="26322" customFormat="false" ht="15" hidden="false" customHeight="true" outlineLevel="0" collapsed="false"/>
    <row r="26323" customFormat="false" ht="15" hidden="false" customHeight="true" outlineLevel="0" collapsed="false"/>
    <row r="26324" customFormat="false" ht="15" hidden="false" customHeight="true" outlineLevel="0" collapsed="false"/>
    <row r="26325" customFormat="false" ht="15" hidden="false" customHeight="true" outlineLevel="0" collapsed="false"/>
    <row r="26326" customFormat="false" ht="15" hidden="false" customHeight="true" outlineLevel="0" collapsed="false"/>
    <row r="26327" customFormat="false" ht="15" hidden="false" customHeight="true" outlineLevel="0" collapsed="false"/>
    <row r="26328" customFormat="false" ht="15" hidden="false" customHeight="true" outlineLevel="0" collapsed="false"/>
    <row r="26329" customFormat="false" ht="15" hidden="false" customHeight="true" outlineLevel="0" collapsed="false"/>
    <row r="26330" customFormat="false" ht="15" hidden="false" customHeight="true" outlineLevel="0" collapsed="false"/>
    <row r="26331" customFormat="false" ht="15" hidden="false" customHeight="true" outlineLevel="0" collapsed="false"/>
    <row r="26332" customFormat="false" ht="15" hidden="false" customHeight="true" outlineLevel="0" collapsed="false"/>
    <row r="26333" customFormat="false" ht="15" hidden="false" customHeight="true" outlineLevel="0" collapsed="false"/>
    <row r="26334" customFormat="false" ht="15" hidden="false" customHeight="true" outlineLevel="0" collapsed="false"/>
    <row r="26335" customFormat="false" ht="15" hidden="false" customHeight="true" outlineLevel="0" collapsed="false"/>
    <row r="26336" customFormat="false" ht="15" hidden="false" customHeight="true" outlineLevel="0" collapsed="false"/>
    <row r="26337" customFormat="false" ht="15" hidden="false" customHeight="true" outlineLevel="0" collapsed="false"/>
    <row r="26338" customFormat="false" ht="15" hidden="false" customHeight="true" outlineLevel="0" collapsed="false"/>
    <row r="26339" customFormat="false" ht="15" hidden="false" customHeight="true" outlineLevel="0" collapsed="false"/>
    <row r="26340" customFormat="false" ht="15" hidden="false" customHeight="true" outlineLevel="0" collapsed="false"/>
    <row r="26341" customFormat="false" ht="15" hidden="false" customHeight="true" outlineLevel="0" collapsed="false"/>
    <row r="26342" customFormat="false" ht="15" hidden="false" customHeight="true" outlineLevel="0" collapsed="false"/>
    <row r="26343" customFormat="false" ht="15" hidden="false" customHeight="true" outlineLevel="0" collapsed="false"/>
    <row r="26344" customFormat="false" ht="15" hidden="false" customHeight="true" outlineLevel="0" collapsed="false"/>
    <row r="26345" customFormat="false" ht="15" hidden="false" customHeight="true" outlineLevel="0" collapsed="false"/>
    <row r="26346" customFormat="false" ht="15" hidden="false" customHeight="true" outlineLevel="0" collapsed="false"/>
    <row r="26347" customFormat="false" ht="15" hidden="false" customHeight="true" outlineLevel="0" collapsed="false"/>
    <row r="26348" customFormat="false" ht="15" hidden="false" customHeight="true" outlineLevel="0" collapsed="false"/>
    <row r="26349" customFormat="false" ht="15" hidden="false" customHeight="true" outlineLevel="0" collapsed="false"/>
    <row r="26350" customFormat="false" ht="15" hidden="false" customHeight="true" outlineLevel="0" collapsed="false"/>
    <row r="26351" customFormat="false" ht="15" hidden="false" customHeight="true" outlineLevel="0" collapsed="false"/>
    <row r="26352" customFormat="false" ht="15" hidden="false" customHeight="true" outlineLevel="0" collapsed="false"/>
    <row r="26353" customFormat="false" ht="15" hidden="false" customHeight="true" outlineLevel="0" collapsed="false"/>
    <row r="26354" customFormat="false" ht="15" hidden="false" customHeight="true" outlineLevel="0" collapsed="false"/>
    <row r="26355" customFormat="false" ht="15" hidden="false" customHeight="true" outlineLevel="0" collapsed="false"/>
    <row r="26356" customFormat="false" ht="15" hidden="false" customHeight="true" outlineLevel="0" collapsed="false"/>
    <row r="26357" customFormat="false" ht="15" hidden="false" customHeight="true" outlineLevel="0" collapsed="false"/>
    <row r="26358" customFormat="false" ht="15" hidden="false" customHeight="true" outlineLevel="0" collapsed="false"/>
    <row r="26359" customFormat="false" ht="15" hidden="false" customHeight="true" outlineLevel="0" collapsed="false"/>
    <row r="26360" customFormat="false" ht="15" hidden="false" customHeight="true" outlineLevel="0" collapsed="false"/>
    <row r="26361" customFormat="false" ht="15" hidden="false" customHeight="true" outlineLevel="0" collapsed="false"/>
    <row r="26362" customFormat="false" ht="15" hidden="false" customHeight="true" outlineLevel="0" collapsed="false"/>
    <row r="26363" customFormat="false" ht="15" hidden="false" customHeight="true" outlineLevel="0" collapsed="false"/>
    <row r="26364" customFormat="false" ht="15" hidden="false" customHeight="true" outlineLevel="0" collapsed="false"/>
    <row r="26365" customFormat="false" ht="15" hidden="false" customHeight="true" outlineLevel="0" collapsed="false"/>
    <row r="26366" customFormat="false" ht="15" hidden="false" customHeight="true" outlineLevel="0" collapsed="false"/>
    <row r="26367" customFormat="false" ht="15" hidden="false" customHeight="true" outlineLevel="0" collapsed="false"/>
    <row r="26368" customFormat="false" ht="15" hidden="false" customHeight="true" outlineLevel="0" collapsed="false"/>
    <row r="26369" customFormat="false" ht="15" hidden="false" customHeight="true" outlineLevel="0" collapsed="false"/>
    <row r="26370" customFormat="false" ht="15" hidden="false" customHeight="true" outlineLevel="0" collapsed="false"/>
    <row r="26371" customFormat="false" ht="15" hidden="false" customHeight="true" outlineLevel="0" collapsed="false"/>
    <row r="26372" customFormat="false" ht="15" hidden="false" customHeight="true" outlineLevel="0" collapsed="false"/>
    <row r="26373" customFormat="false" ht="15" hidden="false" customHeight="true" outlineLevel="0" collapsed="false"/>
    <row r="26374" customFormat="false" ht="15" hidden="false" customHeight="true" outlineLevel="0" collapsed="false"/>
    <row r="26375" customFormat="false" ht="15" hidden="false" customHeight="true" outlineLevel="0" collapsed="false"/>
    <row r="26376" customFormat="false" ht="15" hidden="false" customHeight="true" outlineLevel="0" collapsed="false"/>
    <row r="26377" customFormat="false" ht="15" hidden="false" customHeight="true" outlineLevel="0" collapsed="false"/>
    <row r="26378" customFormat="false" ht="15" hidden="false" customHeight="true" outlineLevel="0" collapsed="false"/>
    <row r="26379" customFormat="false" ht="15" hidden="false" customHeight="true" outlineLevel="0" collapsed="false"/>
    <row r="26380" customFormat="false" ht="15" hidden="false" customHeight="true" outlineLevel="0" collapsed="false"/>
    <row r="26381" customFormat="false" ht="15" hidden="false" customHeight="true" outlineLevel="0" collapsed="false"/>
    <row r="26382" customFormat="false" ht="15" hidden="false" customHeight="true" outlineLevel="0" collapsed="false"/>
    <row r="26383" customFormat="false" ht="15" hidden="false" customHeight="true" outlineLevel="0" collapsed="false"/>
    <row r="26384" customFormat="false" ht="15" hidden="false" customHeight="true" outlineLevel="0" collapsed="false"/>
    <row r="26385" customFormat="false" ht="15" hidden="false" customHeight="true" outlineLevel="0" collapsed="false"/>
    <row r="26386" customFormat="false" ht="15" hidden="false" customHeight="true" outlineLevel="0" collapsed="false"/>
    <row r="26387" customFormat="false" ht="15" hidden="false" customHeight="true" outlineLevel="0" collapsed="false"/>
    <row r="26388" customFormat="false" ht="15" hidden="false" customHeight="true" outlineLevel="0" collapsed="false"/>
    <row r="26389" customFormat="false" ht="15" hidden="false" customHeight="true" outlineLevel="0" collapsed="false"/>
    <row r="26390" customFormat="false" ht="15" hidden="false" customHeight="true" outlineLevel="0" collapsed="false"/>
    <row r="26391" customFormat="false" ht="15" hidden="false" customHeight="true" outlineLevel="0" collapsed="false"/>
    <row r="26392" customFormat="false" ht="15" hidden="false" customHeight="true" outlineLevel="0" collapsed="false"/>
    <row r="26393" customFormat="false" ht="15" hidden="false" customHeight="true" outlineLevel="0" collapsed="false"/>
    <row r="26394" customFormat="false" ht="15" hidden="false" customHeight="true" outlineLevel="0" collapsed="false"/>
    <row r="26395" customFormat="false" ht="15" hidden="false" customHeight="true" outlineLevel="0" collapsed="false"/>
    <row r="26396" customFormat="false" ht="15" hidden="false" customHeight="true" outlineLevel="0" collapsed="false"/>
    <row r="26397" customFormat="false" ht="15" hidden="false" customHeight="true" outlineLevel="0" collapsed="false"/>
    <row r="26398" customFormat="false" ht="15" hidden="false" customHeight="true" outlineLevel="0" collapsed="false"/>
    <row r="26399" customFormat="false" ht="15" hidden="false" customHeight="true" outlineLevel="0" collapsed="false"/>
    <row r="26400" customFormat="false" ht="15" hidden="false" customHeight="true" outlineLevel="0" collapsed="false"/>
    <row r="26401" customFormat="false" ht="15" hidden="false" customHeight="true" outlineLevel="0" collapsed="false"/>
    <row r="26402" customFormat="false" ht="15" hidden="false" customHeight="true" outlineLevel="0" collapsed="false"/>
    <row r="26403" customFormat="false" ht="15" hidden="false" customHeight="true" outlineLevel="0" collapsed="false"/>
    <row r="26404" customFormat="false" ht="15" hidden="false" customHeight="true" outlineLevel="0" collapsed="false"/>
    <row r="26405" customFormat="false" ht="15" hidden="false" customHeight="true" outlineLevel="0" collapsed="false"/>
    <row r="26406" customFormat="false" ht="15" hidden="false" customHeight="true" outlineLevel="0" collapsed="false"/>
    <row r="26407" customFormat="false" ht="15" hidden="false" customHeight="true" outlineLevel="0" collapsed="false"/>
    <row r="26408" customFormat="false" ht="15" hidden="false" customHeight="true" outlineLevel="0" collapsed="false"/>
    <row r="26409" customFormat="false" ht="15" hidden="false" customHeight="true" outlineLevel="0" collapsed="false"/>
    <row r="26410" customFormat="false" ht="15" hidden="false" customHeight="true" outlineLevel="0" collapsed="false"/>
    <row r="26411" customFormat="false" ht="15" hidden="false" customHeight="true" outlineLevel="0" collapsed="false"/>
    <row r="26412" customFormat="false" ht="15" hidden="false" customHeight="true" outlineLevel="0" collapsed="false"/>
    <row r="26413" customFormat="false" ht="15" hidden="false" customHeight="true" outlineLevel="0" collapsed="false"/>
    <row r="26414" customFormat="false" ht="15" hidden="false" customHeight="true" outlineLevel="0" collapsed="false"/>
    <row r="26415" customFormat="false" ht="15" hidden="false" customHeight="true" outlineLevel="0" collapsed="false"/>
    <row r="26416" customFormat="false" ht="15" hidden="false" customHeight="true" outlineLevel="0" collapsed="false"/>
    <row r="26417" customFormat="false" ht="15" hidden="false" customHeight="true" outlineLevel="0" collapsed="false"/>
    <row r="26418" customFormat="false" ht="15" hidden="false" customHeight="true" outlineLevel="0" collapsed="false"/>
    <row r="26419" customFormat="false" ht="15" hidden="false" customHeight="true" outlineLevel="0" collapsed="false"/>
    <row r="26420" customFormat="false" ht="15" hidden="false" customHeight="true" outlineLevel="0" collapsed="false"/>
    <row r="26421" customFormat="false" ht="15" hidden="false" customHeight="true" outlineLevel="0" collapsed="false"/>
    <row r="26422" customFormat="false" ht="15" hidden="false" customHeight="true" outlineLevel="0" collapsed="false"/>
    <row r="26423" customFormat="false" ht="15" hidden="false" customHeight="true" outlineLevel="0" collapsed="false"/>
    <row r="26424" customFormat="false" ht="15" hidden="false" customHeight="true" outlineLevel="0" collapsed="false"/>
    <row r="26425" customFormat="false" ht="15" hidden="false" customHeight="true" outlineLevel="0" collapsed="false"/>
    <row r="26426" customFormat="false" ht="15" hidden="false" customHeight="true" outlineLevel="0" collapsed="false"/>
    <row r="26427" customFormat="false" ht="15" hidden="false" customHeight="true" outlineLevel="0" collapsed="false"/>
    <row r="26428" customFormat="false" ht="15" hidden="false" customHeight="true" outlineLevel="0" collapsed="false"/>
    <row r="26429" customFormat="false" ht="15" hidden="false" customHeight="true" outlineLevel="0" collapsed="false"/>
    <row r="26430" customFormat="false" ht="15" hidden="false" customHeight="true" outlineLevel="0" collapsed="false"/>
    <row r="26431" customFormat="false" ht="15" hidden="false" customHeight="true" outlineLevel="0" collapsed="false"/>
    <row r="26432" customFormat="false" ht="15" hidden="false" customHeight="true" outlineLevel="0" collapsed="false"/>
    <row r="26433" customFormat="false" ht="15" hidden="false" customHeight="true" outlineLevel="0" collapsed="false"/>
    <row r="26434" customFormat="false" ht="15" hidden="false" customHeight="true" outlineLevel="0" collapsed="false"/>
    <row r="26435" customFormat="false" ht="15" hidden="false" customHeight="true" outlineLevel="0" collapsed="false"/>
    <row r="26436" customFormat="false" ht="15" hidden="false" customHeight="true" outlineLevel="0" collapsed="false"/>
    <row r="26437" customFormat="false" ht="15" hidden="false" customHeight="true" outlineLevel="0" collapsed="false"/>
    <row r="26438" customFormat="false" ht="15" hidden="false" customHeight="true" outlineLevel="0" collapsed="false"/>
    <row r="26439" customFormat="false" ht="15" hidden="false" customHeight="true" outlineLevel="0" collapsed="false"/>
    <row r="26440" customFormat="false" ht="15" hidden="false" customHeight="true" outlineLevel="0" collapsed="false"/>
    <row r="26441" customFormat="false" ht="15" hidden="false" customHeight="true" outlineLevel="0" collapsed="false"/>
    <row r="26442" customFormat="false" ht="15" hidden="false" customHeight="true" outlineLevel="0" collapsed="false"/>
    <row r="26443" customFormat="false" ht="15" hidden="false" customHeight="true" outlineLevel="0" collapsed="false"/>
    <row r="26444" customFormat="false" ht="15" hidden="false" customHeight="true" outlineLevel="0" collapsed="false"/>
    <row r="26445" customFormat="false" ht="15" hidden="false" customHeight="true" outlineLevel="0" collapsed="false"/>
    <row r="26446" customFormat="false" ht="15" hidden="false" customHeight="true" outlineLevel="0" collapsed="false"/>
    <row r="26447" customFormat="false" ht="15" hidden="false" customHeight="true" outlineLevel="0" collapsed="false"/>
    <row r="26448" customFormat="false" ht="15" hidden="false" customHeight="true" outlineLevel="0" collapsed="false"/>
    <row r="26449" customFormat="false" ht="15" hidden="false" customHeight="true" outlineLevel="0" collapsed="false"/>
    <row r="26450" customFormat="false" ht="15" hidden="false" customHeight="true" outlineLevel="0" collapsed="false"/>
    <row r="26451" customFormat="false" ht="15" hidden="false" customHeight="true" outlineLevel="0" collapsed="false"/>
    <row r="26452" customFormat="false" ht="15" hidden="false" customHeight="true" outlineLevel="0" collapsed="false"/>
    <row r="26453" customFormat="false" ht="15" hidden="false" customHeight="true" outlineLevel="0" collapsed="false"/>
    <row r="26454" customFormat="false" ht="15" hidden="false" customHeight="true" outlineLevel="0" collapsed="false"/>
    <row r="26455" customFormat="false" ht="15" hidden="false" customHeight="true" outlineLevel="0" collapsed="false"/>
    <row r="26456" customFormat="false" ht="15" hidden="false" customHeight="true" outlineLevel="0" collapsed="false"/>
    <row r="26457" customFormat="false" ht="15" hidden="false" customHeight="true" outlineLevel="0" collapsed="false"/>
    <row r="26458" customFormat="false" ht="15" hidden="false" customHeight="true" outlineLevel="0" collapsed="false"/>
    <row r="26459" customFormat="false" ht="15" hidden="false" customHeight="true" outlineLevel="0" collapsed="false"/>
    <row r="26460" customFormat="false" ht="15" hidden="false" customHeight="true" outlineLevel="0" collapsed="false"/>
    <row r="26461" customFormat="false" ht="15" hidden="false" customHeight="true" outlineLevel="0" collapsed="false"/>
    <row r="26462" customFormat="false" ht="15" hidden="false" customHeight="true" outlineLevel="0" collapsed="false"/>
    <row r="26463" customFormat="false" ht="15" hidden="false" customHeight="true" outlineLevel="0" collapsed="false"/>
    <row r="26464" customFormat="false" ht="15" hidden="false" customHeight="true" outlineLevel="0" collapsed="false"/>
    <row r="26465" customFormat="false" ht="15" hidden="false" customHeight="true" outlineLevel="0" collapsed="false"/>
    <row r="26466" customFormat="false" ht="15" hidden="false" customHeight="true" outlineLevel="0" collapsed="false"/>
    <row r="26467" customFormat="false" ht="15" hidden="false" customHeight="true" outlineLevel="0" collapsed="false"/>
    <row r="26468" customFormat="false" ht="15" hidden="false" customHeight="true" outlineLevel="0" collapsed="false"/>
    <row r="26469" customFormat="false" ht="15" hidden="false" customHeight="true" outlineLevel="0" collapsed="false"/>
    <row r="26470" customFormat="false" ht="15" hidden="false" customHeight="true" outlineLevel="0" collapsed="false"/>
    <row r="26471" customFormat="false" ht="15" hidden="false" customHeight="true" outlineLevel="0" collapsed="false"/>
    <row r="26472" customFormat="false" ht="15" hidden="false" customHeight="true" outlineLevel="0" collapsed="false"/>
    <row r="26473" customFormat="false" ht="15" hidden="false" customHeight="true" outlineLevel="0" collapsed="false"/>
    <row r="26474" customFormat="false" ht="15" hidden="false" customHeight="true" outlineLevel="0" collapsed="false"/>
    <row r="26475" customFormat="false" ht="15" hidden="false" customHeight="true" outlineLevel="0" collapsed="false"/>
    <row r="26476" customFormat="false" ht="15" hidden="false" customHeight="true" outlineLevel="0" collapsed="false"/>
    <row r="26477" customFormat="false" ht="15" hidden="false" customHeight="true" outlineLevel="0" collapsed="false"/>
    <row r="26478" customFormat="false" ht="15" hidden="false" customHeight="true" outlineLevel="0" collapsed="false"/>
    <row r="26479" customFormat="false" ht="15" hidden="false" customHeight="true" outlineLevel="0" collapsed="false"/>
    <row r="26480" customFormat="false" ht="15" hidden="false" customHeight="true" outlineLevel="0" collapsed="false"/>
    <row r="26481" customFormat="false" ht="15" hidden="false" customHeight="true" outlineLevel="0" collapsed="false"/>
    <row r="26482" customFormat="false" ht="15" hidden="false" customHeight="true" outlineLevel="0" collapsed="false"/>
    <row r="26483" customFormat="false" ht="15" hidden="false" customHeight="true" outlineLevel="0" collapsed="false"/>
    <row r="26484" customFormat="false" ht="15" hidden="false" customHeight="true" outlineLevel="0" collapsed="false"/>
    <row r="26485" customFormat="false" ht="15" hidden="false" customHeight="true" outlineLevel="0" collapsed="false"/>
    <row r="26486" customFormat="false" ht="15" hidden="false" customHeight="true" outlineLevel="0" collapsed="false"/>
    <row r="26487" customFormat="false" ht="15" hidden="false" customHeight="true" outlineLevel="0" collapsed="false"/>
    <row r="26488" customFormat="false" ht="15" hidden="false" customHeight="true" outlineLevel="0" collapsed="false"/>
    <row r="26489" customFormat="false" ht="15" hidden="false" customHeight="true" outlineLevel="0" collapsed="false"/>
    <row r="26490" customFormat="false" ht="15" hidden="false" customHeight="true" outlineLevel="0" collapsed="false"/>
    <row r="26491" customFormat="false" ht="15" hidden="false" customHeight="true" outlineLevel="0" collapsed="false"/>
    <row r="26492" customFormat="false" ht="15" hidden="false" customHeight="true" outlineLevel="0" collapsed="false"/>
    <row r="26493" customFormat="false" ht="15" hidden="false" customHeight="true" outlineLevel="0" collapsed="false"/>
    <row r="26494" customFormat="false" ht="15" hidden="false" customHeight="true" outlineLevel="0" collapsed="false"/>
    <row r="26495" customFormat="false" ht="15" hidden="false" customHeight="true" outlineLevel="0" collapsed="false"/>
    <row r="26496" customFormat="false" ht="15" hidden="false" customHeight="true" outlineLevel="0" collapsed="false"/>
    <row r="26497" customFormat="false" ht="15" hidden="false" customHeight="true" outlineLevel="0" collapsed="false"/>
    <row r="26498" customFormat="false" ht="15" hidden="false" customHeight="true" outlineLevel="0" collapsed="false"/>
    <row r="26499" customFormat="false" ht="15" hidden="false" customHeight="true" outlineLevel="0" collapsed="false"/>
    <row r="26500" customFormat="false" ht="15" hidden="false" customHeight="true" outlineLevel="0" collapsed="false"/>
    <row r="26501" customFormat="false" ht="15" hidden="false" customHeight="true" outlineLevel="0" collapsed="false"/>
    <row r="26502" customFormat="false" ht="15" hidden="false" customHeight="true" outlineLevel="0" collapsed="false"/>
    <row r="26503" customFormat="false" ht="15" hidden="false" customHeight="true" outlineLevel="0" collapsed="false"/>
    <row r="26504" customFormat="false" ht="15" hidden="false" customHeight="true" outlineLevel="0" collapsed="false"/>
    <row r="26505" customFormat="false" ht="15" hidden="false" customHeight="true" outlineLevel="0" collapsed="false"/>
    <row r="26506" customFormat="false" ht="15" hidden="false" customHeight="true" outlineLevel="0" collapsed="false"/>
    <row r="26507" customFormat="false" ht="15" hidden="false" customHeight="true" outlineLevel="0" collapsed="false"/>
    <row r="26508" customFormat="false" ht="15" hidden="false" customHeight="true" outlineLevel="0" collapsed="false"/>
    <row r="26509" customFormat="false" ht="15" hidden="false" customHeight="true" outlineLevel="0" collapsed="false"/>
    <row r="26510" customFormat="false" ht="15" hidden="false" customHeight="true" outlineLevel="0" collapsed="false"/>
    <row r="26511" customFormat="false" ht="15" hidden="false" customHeight="true" outlineLevel="0" collapsed="false"/>
    <row r="26512" customFormat="false" ht="15" hidden="false" customHeight="true" outlineLevel="0" collapsed="false"/>
    <row r="26513" customFormat="false" ht="15" hidden="false" customHeight="true" outlineLevel="0" collapsed="false"/>
    <row r="26514" customFormat="false" ht="15" hidden="false" customHeight="true" outlineLevel="0" collapsed="false"/>
    <row r="26515" customFormat="false" ht="15" hidden="false" customHeight="true" outlineLevel="0" collapsed="false"/>
    <row r="26516" customFormat="false" ht="15" hidden="false" customHeight="true" outlineLevel="0" collapsed="false"/>
    <row r="26517" customFormat="false" ht="15" hidden="false" customHeight="true" outlineLevel="0" collapsed="false"/>
    <row r="26518" customFormat="false" ht="15" hidden="false" customHeight="true" outlineLevel="0" collapsed="false"/>
    <row r="26519" customFormat="false" ht="15" hidden="false" customHeight="true" outlineLevel="0" collapsed="false"/>
    <row r="26520" customFormat="false" ht="15" hidden="false" customHeight="true" outlineLevel="0" collapsed="false"/>
    <row r="26521" customFormat="false" ht="15" hidden="false" customHeight="true" outlineLevel="0" collapsed="false"/>
    <row r="26522" customFormat="false" ht="15" hidden="false" customHeight="true" outlineLevel="0" collapsed="false"/>
    <row r="26523" customFormat="false" ht="15" hidden="false" customHeight="true" outlineLevel="0" collapsed="false"/>
    <row r="26524" customFormat="false" ht="15" hidden="false" customHeight="true" outlineLevel="0" collapsed="false"/>
    <row r="26525" customFormat="false" ht="15" hidden="false" customHeight="true" outlineLevel="0" collapsed="false"/>
    <row r="26526" customFormat="false" ht="15" hidden="false" customHeight="true" outlineLevel="0" collapsed="false"/>
    <row r="26527" customFormat="false" ht="15" hidden="false" customHeight="true" outlineLevel="0" collapsed="false"/>
    <row r="26528" customFormat="false" ht="15" hidden="false" customHeight="true" outlineLevel="0" collapsed="false"/>
    <row r="26529" customFormat="false" ht="15" hidden="false" customHeight="true" outlineLevel="0" collapsed="false"/>
    <row r="26530" customFormat="false" ht="15" hidden="false" customHeight="true" outlineLevel="0" collapsed="false"/>
    <row r="26531" customFormat="false" ht="15" hidden="false" customHeight="true" outlineLevel="0" collapsed="false"/>
    <row r="26532" customFormat="false" ht="15" hidden="false" customHeight="true" outlineLevel="0" collapsed="false"/>
    <row r="26533" customFormat="false" ht="15" hidden="false" customHeight="true" outlineLevel="0" collapsed="false"/>
    <row r="26534" customFormat="false" ht="15" hidden="false" customHeight="true" outlineLevel="0" collapsed="false"/>
    <row r="26535" customFormat="false" ht="15" hidden="false" customHeight="true" outlineLevel="0" collapsed="false"/>
    <row r="26536" customFormat="false" ht="15" hidden="false" customHeight="true" outlineLevel="0" collapsed="false"/>
    <row r="26537" customFormat="false" ht="15" hidden="false" customHeight="true" outlineLevel="0" collapsed="false"/>
    <row r="26538" customFormat="false" ht="15" hidden="false" customHeight="true" outlineLevel="0" collapsed="false"/>
    <row r="26539" customFormat="false" ht="15" hidden="false" customHeight="true" outlineLevel="0" collapsed="false"/>
    <row r="26540" customFormat="false" ht="15" hidden="false" customHeight="true" outlineLevel="0" collapsed="false"/>
    <row r="26541" customFormat="false" ht="15" hidden="false" customHeight="true" outlineLevel="0" collapsed="false"/>
    <row r="26542" customFormat="false" ht="15" hidden="false" customHeight="true" outlineLevel="0" collapsed="false"/>
    <row r="26543" customFormat="false" ht="15" hidden="false" customHeight="true" outlineLevel="0" collapsed="false"/>
    <row r="26544" customFormat="false" ht="15" hidden="false" customHeight="true" outlineLevel="0" collapsed="false"/>
    <row r="26545" customFormat="false" ht="15" hidden="false" customHeight="true" outlineLevel="0" collapsed="false"/>
    <row r="26546" customFormat="false" ht="15" hidden="false" customHeight="true" outlineLevel="0" collapsed="false"/>
    <row r="26547" customFormat="false" ht="15" hidden="false" customHeight="true" outlineLevel="0" collapsed="false"/>
    <row r="26548" customFormat="false" ht="15" hidden="false" customHeight="true" outlineLevel="0" collapsed="false"/>
    <row r="26549" customFormat="false" ht="15" hidden="false" customHeight="true" outlineLevel="0" collapsed="false"/>
    <row r="26550" customFormat="false" ht="15" hidden="false" customHeight="true" outlineLevel="0" collapsed="false"/>
    <row r="26551" customFormat="false" ht="15" hidden="false" customHeight="true" outlineLevel="0" collapsed="false"/>
    <row r="26552" customFormat="false" ht="15" hidden="false" customHeight="true" outlineLevel="0" collapsed="false"/>
    <row r="26553" customFormat="false" ht="15" hidden="false" customHeight="true" outlineLevel="0" collapsed="false"/>
    <row r="26554" customFormat="false" ht="15" hidden="false" customHeight="true" outlineLevel="0" collapsed="false"/>
    <row r="26555" customFormat="false" ht="15" hidden="false" customHeight="true" outlineLevel="0" collapsed="false"/>
    <row r="26556" customFormat="false" ht="15" hidden="false" customHeight="true" outlineLevel="0" collapsed="false"/>
    <row r="26557" customFormat="false" ht="15" hidden="false" customHeight="true" outlineLevel="0" collapsed="false"/>
    <row r="26558" customFormat="false" ht="15" hidden="false" customHeight="true" outlineLevel="0" collapsed="false"/>
    <row r="26559" customFormat="false" ht="15" hidden="false" customHeight="true" outlineLevel="0" collapsed="false"/>
    <row r="26560" customFormat="false" ht="15" hidden="false" customHeight="true" outlineLevel="0" collapsed="false"/>
    <row r="26561" customFormat="false" ht="15" hidden="false" customHeight="true" outlineLevel="0" collapsed="false"/>
    <row r="26562" customFormat="false" ht="15" hidden="false" customHeight="true" outlineLevel="0" collapsed="false"/>
    <row r="26563" customFormat="false" ht="15" hidden="false" customHeight="true" outlineLevel="0" collapsed="false"/>
    <row r="26564" customFormat="false" ht="15" hidden="false" customHeight="true" outlineLevel="0" collapsed="false"/>
    <row r="26565" customFormat="false" ht="15" hidden="false" customHeight="true" outlineLevel="0" collapsed="false"/>
    <row r="26566" customFormat="false" ht="15" hidden="false" customHeight="true" outlineLevel="0" collapsed="false"/>
    <row r="26567" customFormat="false" ht="15" hidden="false" customHeight="true" outlineLevel="0" collapsed="false"/>
    <row r="26568" customFormat="false" ht="15" hidden="false" customHeight="true" outlineLevel="0" collapsed="false"/>
    <row r="26569" customFormat="false" ht="15" hidden="false" customHeight="true" outlineLevel="0" collapsed="false"/>
    <row r="26570" customFormat="false" ht="15" hidden="false" customHeight="true" outlineLevel="0" collapsed="false"/>
    <row r="26571" customFormat="false" ht="15" hidden="false" customHeight="true" outlineLevel="0" collapsed="false"/>
    <row r="26572" customFormat="false" ht="15" hidden="false" customHeight="true" outlineLevel="0" collapsed="false"/>
    <row r="26573" customFormat="false" ht="15" hidden="false" customHeight="true" outlineLevel="0" collapsed="false"/>
    <row r="26574" customFormat="false" ht="15" hidden="false" customHeight="true" outlineLevel="0" collapsed="false"/>
    <row r="26575" customFormat="false" ht="15" hidden="false" customHeight="true" outlineLevel="0" collapsed="false"/>
    <row r="26576" customFormat="false" ht="15" hidden="false" customHeight="true" outlineLevel="0" collapsed="false"/>
    <row r="26577" customFormat="false" ht="15" hidden="false" customHeight="true" outlineLevel="0" collapsed="false"/>
    <row r="26578" customFormat="false" ht="15" hidden="false" customHeight="true" outlineLevel="0" collapsed="false"/>
    <row r="26579" customFormat="false" ht="15" hidden="false" customHeight="true" outlineLevel="0" collapsed="false"/>
    <row r="26580" customFormat="false" ht="15" hidden="false" customHeight="true" outlineLevel="0" collapsed="false"/>
    <row r="26581" customFormat="false" ht="15" hidden="false" customHeight="true" outlineLevel="0" collapsed="false"/>
    <row r="26582" customFormat="false" ht="15" hidden="false" customHeight="true" outlineLevel="0" collapsed="false"/>
    <row r="26583" customFormat="false" ht="15" hidden="false" customHeight="true" outlineLevel="0" collapsed="false"/>
    <row r="26584" customFormat="false" ht="15" hidden="false" customHeight="true" outlineLevel="0" collapsed="false"/>
    <row r="26585" customFormat="false" ht="15" hidden="false" customHeight="true" outlineLevel="0" collapsed="false"/>
    <row r="26586" customFormat="false" ht="15" hidden="false" customHeight="true" outlineLevel="0" collapsed="false"/>
    <row r="26587" customFormat="false" ht="15" hidden="false" customHeight="true" outlineLevel="0" collapsed="false"/>
    <row r="26588" customFormat="false" ht="15" hidden="false" customHeight="true" outlineLevel="0" collapsed="false"/>
    <row r="26589" customFormat="false" ht="15" hidden="false" customHeight="true" outlineLevel="0" collapsed="false"/>
    <row r="26590" customFormat="false" ht="15" hidden="false" customHeight="true" outlineLevel="0" collapsed="false"/>
    <row r="26591" customFormat="false" ht="15" hidden="false" customHeight="true" outlineLevel="0" collapsed="false"/>
    <row r="26592" customFormat="false" ht="15" hidden="false" customHeight="true" outlineLevel="0" collapsed="false"/>
    <row r="26593" customFormat="false" ht="15" hidden="false" customHeight="true" outlineLevel="0" collapsed="false"/>
    <row r="26594" customFormat="false" ht="15" hidden="false" customHeight="true" outlineLevel="0" collapsed="false"/>
    <row r="26595" customFormat="false" ht="15" hidden="false" customHeight="true" outlineLevel="0" collapsed="false"/>
    <row r="26596" customFormat="false" ht="15" hidden="false" customHeight="true" outlineLevel="0" collapsed="false"/>
    <row r="26597" customFormat="false" ht="15" hidden="false" customHeight="true" outlineLevel="0" collapsed="false"/>
    <row r="26598" customFormat="false" ht="15" hidden="false" customHeight="true" outlineLevel="0" collapsed="false"/>
    <row r="26599" customFormat="false" ht="15" hidden="false" customHeight="true" outlineLevel="0" collapsed="false"/>
    <row r="26600" customFormat="false" ht="15" hidden="false" customHeight="true" outlineLevel="0" collapsed="false"/>
    <row r="26601" customFormat="false" ht="15" hidden="false" customHeight="true" outlineLevel="0" collapsed="false"/>
    <row r="26602" customFormat="false" ht="15" hidden="false" customHeight="true" outlineLevel="0" collapsed="false"/>
    <row r="26603" customFormat="false" ht="15" hidden="false" customHeight="true" outlineLevel="0" collapsed="false"/>
    <row r="26604" customFormat="false" ht="15" hidden="false" customHeight="true" outlineLevel="0" collapsed="false"/>
    <row r="26605" customFormat="false" ht="15" hidden="false" customHeight="true" outlineLevel="0" collapsed="false"/>
    <row r="26606" customFormat="false" ht="15" hidden="false" customHeight="true" outlineLevel="0" collapsed="false"/>
    <row r="26607" customFormat="false" ht="15" hidden="false" customHeight="true" outlineLevel="0" collapsed="false"/>
    <row r="26608" customFormat="false" ht="15" hidden="false" customHeight="true" outlineLevel="0" collapsed="false"/>
    <row r="26609" customFormat="false" ht="15" hidden="false" customHeight="true" outlineLevel="0" collapsed="false"/>
    <row r="26610" customFormat="false" ht="15" hidden="false" customHeight="true" outlineLevel="0" collapsed="false"/>
    <row r="26611" customFormat="false" ht="15" hidden="false" customHeight="true" outlineLevel="0" collapsed="false"/>
    <row r="26612" customFormat="false" ht="15" hidden="false" customHeight="true" outlineLevel="0" collapsed="false"/>
    <row r="26613" customFormat="false" ht="15" hidden="false" customHeight="true" outlineLevel="0" collapsed="false"/>
    <row r="26614" customFormat="false" ht="15" hidden="false" customHeight="true" outlineLevel="0" collapsed="false"/>
    <row r="26615" customFormat="false" ht="15" hidden="false" customHeight="true" outlineLevel="0" collapsed="false"/>
    <row r="26616" customFormat="false" ht="15" hidden="false" customHeight="true" outlineLevel="0" collapsed="false"/>
    <row r="26617" customFormat="false" ht="15" hidden="false" customHeight="true" outlineLevel="0" collapsed="false"/>
    <row r="26618" customFormat="false" ht="15" hidden="false" customHeight="true" outlineLevel="0" collapsed="false"/>
    <row r="26619" customFormat="false" ht="15" hidden="false" customHeight="true" outlineLevel="0" collapsed="false"/>
    <row r="26620" customFormat="false" ht="15" hidden="false" customHeight="true" outlineLevel="0" collapsed="false"/>
    <row r="26621" customFormat="false" ht="15" hidden="false" customHeight="true" outlineLevel="0" collapsed="false"/>
    <row r="26622" customFormat="false" ht="15" hidden="false" customHeight="true" outlineLevel="0" collapsed="false"/>
    <row r="26623" customFormat="false" ht="15" hidden="false" customHeight="true" outlineLevel="0" collapsed="false"/>
    <row r="26624" customFormat="false" ht="15" hidden="false" customHeight="true" outlineLevel="0" collapsed="false"/>
    <row r="26625" customFormat="false" ht="15" hidden="false" customHeight="true" outlineLevel="0" collapsed="false"/>
    <row r="26626" customFormat="false" ht="15" hidden="false" customHeight="true" outlineLevel="0" collapsed="false"/>
    <row r="26627" customFormat="false" ht="15" hidden="false" customHeight="true" outlineLevel="0" collapsed="false"/>
    <row r="26628" customFormat="false" ht="15" hidden="false" customHeight="true" outlineLevel="0" collapsed="false"/>
    <row r="26629" customFormat="false" ht="15" hidden="false" customHeight="true" outlineLevel="0" collapsed="false"/>
    <row r="26630" customFormat="false" ht="15" hidden="false" customHeight="true" outlineLevel="0" collapsed="false"/>
    <row r="26631" customFormat="false" ht="15" hidden="false" customHeight="true" outlineLevel="0" collapsed="false"/>
    <row r="26632" customFormat="false" ht="15" hidden="false" customHeight="true" outlineLevel="0" collapsed="false"/>
    <row r="26633" customFormat="false" ht="15" hidden="false" customHeight="true" outlineLevel="0" collapsed="false"/>
    <row r="26634" customFormat="false" ht="15" hidden="false" customHeight="true" outlineLevel="0" collapsed="false"/>
    <row r="26635" customFormat="false" ht="15" hidden="false" customHeight="true" outlineLevel="0" collapsed="false"/>
    <row r="26636" customFormat="false" ht="15" hidden="false" customHeight="true" outlineLevel="0" collapsed="false"/>
    <row r="26637" customFormat="false" ht="15" hidden="false" customHeight="true" outlineLevel="0" collapsed="false"/>
    <row r="26638" customFormat="false" ht="15" hidden="false" customHeight="true" outlineLevel="0" collapsed="false"/>
    <row r="26639" customFormat="false" ht="15" hidden="false" customHeight="true" outlineLevel="0" collapsed="false"/>
    <row r="26640" customFormat="false" ht="15" hidden="false" customHeight="true" outlineLevel="0" collapsed="false"/>
    <row r="26641" customFormat="false" ht="15" hidden="false" customHeight="true" outlineLevel="0" collapsed="false"/>
    <row r="26642" customFormat="false" ht="15" hidden="false" customHeight="true" outlineLevel="0" collapsed="false"/>
    <row r="26643" customFormat="false" ht="15" hidden="false" customHeight="true" outlineLevel="0" collapsed="false"/>
    <row r="26644" customFormat="false" ht="15" hidden="false" customHeight="true" outlineLevel="0" collapsed="false"/>
    <row r="26645" customFormat="false" ht="15" hidden="false" customHeight="true" outlineLevel="0" collapsed="false"/>
    <row r="26646" customFormat="false" ht="15" hidden="false" customHeight="true" outlineLevel="0" collapsed="false"/>
    <row r="26647" customFormat="false" ht="15" hidden="false" customHeight="true" outlineLevel="0" collapsed="false"/>
    <row r="26648" customFormat="false" ht="15" hidden="false" customHeight="true" outlineLevel="0" collapsed="false"/>
    <row r="26649" customFormat="false" ht="15" hidden="false" customHeight="true" outlineLevel="0" collapsed="false"/>
    <row r="26650" customFormat="false" ht="15" hidden="false" customHeight="true" outlineLevel="0" collapsed="false"/>
    <row r="26651" customFormat="false" ht="15" hidden="false" customHeight="true" outlineLevel="0" collapsed="false"/>
    <row r="26652" customFormat="false" ht="15" hidden="false" customHeight="true" outlineLevel="0" collapsed="false"/>
    <row r="26653" customFormat="false" ht="15" hidden="false" customHeight="true" outlineLevel="0" collapsed="false"/>
    <row r="26654" customFormat="false" ht="15" hidden="false" customHeight="true" outlineLevel="0" collapsed="false"/>
    <row r="26655" customFormat="false" ht="15" hidden="false" customHeight="true" outlineLevel="0" collapsed="false"/>
    <row r="26656" customFormat="false" ht="15" hidden="false" customHeight="true" outlineLevel="0" collapsed="false"/>
    <row r="26657" customFormat="false" ht="15" hidden="false" customHeight="true" outlineLevel="0" collapsed="false"/>
    <row r="26658" customFormat="false" ht="15" hidden="false" customHeight="true" outlineLevel="0" collapsed="false"/>
    <row r="26659" customFormat="false" ht="15" hidden="false" customHeight="true" outlineLevel="0" collapsed="false"/>
    <row r="26660" customFormat="false" ht="15" hidden="false" customHeight="true" outlineLevel="0" collapsed="false"/>
    <row r="26661" customFormat="false" ht="15" hidden="false" customHeight="true" outlineLevel="0" collapsed="false"/>
    <row r="26662" customFormat="false" ht="15" hidden="false" customHeight="true" outlineLevel="0" collapsed="false"/>
    <row r="26663" customFormat="false" ht="15" hidden="false" customHeight="true" outlineLevel="0" collapsed="false"/>
    <row r="26664" customFormat="false" ht="15" hidden="false" customHeight="true" outlineLevel="0" collapsed="false"/>
    <row r="26665" customFormat="false" ht="15" hidden="false" customHeight="true" outlineLevel="0" collapsed="false"/>
    <row r="26666" customFormat="false" ht="15" hidden="false" customHeight="true" outlineLevel="0" collapsed="false"/>
    <row r="26667" customFormat="false" ht="15" hidden="false" customHeight="true" outlineLevel="0" collapsed="false"/>
    <row r="26668" customFormat="false" ht="15" hidden="false" customHeight="true" outlineLevel="0" collapsed="false"/>
    <row r="26669" customFormat="false" ht="15" hidden="false" customHeight="true" outlineLevel="0" collapsed="false"/>
    <row r="26670" customFormat="false" ht="15" hidden="false" customHeight="true" outlineLevel="0" collapsed="false"/>
    <row r="26671" customFormat="false" ht="15" hidden="false" customHeight="true" outlineLevel="0" collapsed="false"/>
    <row r="26672" customFormat="false" ht="15" hidden="false" customHeight="true" outlineLevel="0" collapsed="false"/>
    <row r="26673" customFormat="false" ht="15" hidden="false" customHeight="true" outlineLevel="0" collapsed="false"/>
    <row r="26674" customFormat="false" ht="15" hidden="false" customHeight="true" outlineLevel="0" collapsed="false"/>
    <row r="26675" customFormat="false" ht="15" hidden="false" customHeight="true" outlineLevel="0" collapsed="false"/>
    <row r="26676" customFormat="false" ht="15" hidden="false" customHeight="true" outlineLevel="0" collapsed="false"/>
    <row r="26677" customFormat="false" ht="15" hidden="false" customHeight="true" outlineLevel="0" collapsed="false"/>
    <row r="26678" customFormat="false" ht="15" hidden="false" customHeight="true" outlineLevel="0" collapsed="false"/>
    <row r="26679" customFormat="false" ht="15" hidden="false" customHeight="true" outlineLevel="0" collapsed="false"/>
    <row r="26680" customFormat="false" ht="15" hidden="false" customHeight="true" outlineLevel="0" collapsed="false"/>
    <row r="26681" customFormat="false" ht="15" hidden="false" customHeight="true" outlineLevel="0" collapsed="false"/>
    <row r="26682" customFormat="false" ht="15" hidden="false" customHeight="true" outlineLevel="0" collapsed="false"/>
    <row r="26683" customFormat="false" ht="15" hidden="false" customHeight="true" outlineLevel="0" collapsed="false"/>
    <row r="26684" customFormat="false" ht="15" hidden="false" customHeight="true" outlineLevel="0" collapsed="false"/>
    <row r="26685" customFormat="false" ht="15" hidden="false" customHeight="true" outlineLevel="0" collapsed="false"/>
    <row r="26686" customFormat="false" ht="15" hidden="false" customHeight="true" outlineLevel="0" collapsed="false"/>
    <row r="26687" customFormat="false" ht="15" hidden="false" customHeight="true" outlineLevel="0" collapsed="false"/>
    <row r="26688" customFormat="false" ht="15" hidden="false" customHeight="true" outlineLevel="0" collapsed="false"/>
    <row r="26689" customFormat="false" ht="15" hidden="false" customHeight="true" outlineLevel="0" collapsed="false"/>
    <row r="26690" customFormat="false" ht="15" hidden="false" customHeight="true" outlineLevel="0" collapsed="false"/>
    <row r="26691" customFormat="false" ht="15" hidden="false" customHeight="true" outlineLevel="0" collapsed="false"/>
    <row r="26692" customFormat="false" ht="15" hidden="false" customHeight="true" outlineLevel="0" collapsed="false"/>
    <row r="26693" customFormat="false" ht="15" hidden="false" customHeight="true" outlineLevel="0" collapsed="false"/>
    <row r="26694" customFormat="false" ht="15" hidden="false" customHeight="true" outlineLevel="0" collapsed="false"/>
    <row r="26695" customFormat="false" ht="15" hidden="false" customHeight="true" outlineLevel="0" collapsed="false"/>
    <row r="26696" customFormat="false" ht="15" hidden="false" customHeight="true" outlineLevel="0" collapsed="false"/>
    <row r="26697" customFormat="false" ht="15" hidden="false" customHeight="true" outlineLevel="0" collapsed="false"/>
    <row r="26698" customFormat="false" ht="15" hidden="false" customHeight="true" outlineLevel="0" collapsed="false"/>
    <row r="26699" customFormat="false" ht="15" hidden="false" customHeight="true" outlineLevel="0" collapsed="false"/>
    <row r="26700" customFormat="false" ht="15" hidden="false" customHeight="true" outlineLevel="0" collapsed="false"/>
    <row r="26701" customFormat="false" ht="15" hidden="false" customHeight="true" outlineLevel="0" collapsed="false"/>
    <row r="26702" customFormat="false" ht="15" hidden="false" customHeight="true" outlineLevel="0" collapsed="false"/>
    <row r="26703" customFormat="false" ht="15" hidden="false" customHeight="true" outlineLevel="0" collapsed="false"/>
    <row r="26704" customFormat="false" ht="15" hidden="false" customHeight="true" outlineLevel="0" collapsed="false"/>
    <row r="26705" customFormat="false" ht="15" hidden="false" customHeight="true" outlineLevel="0" collapsed="false"/>
    <row r="26706" customFormat="false" ht="15" hidden="false" customHeight="true" outlineLevel="0" collapsed="false"/>
    <row r="26707" customFormat="false" ht="15" hidden="false" customHeight="true" outlineLevel="0" collapsed="false"/>
    <row r="26708" customFormat="false" ht="15" hidden="false" customHeight="true" outlineLevel="0" collapsed="false"/>
    <row r="26709" customFormat="false" ht="15" hidden="false" customHeight="true" outlineLevel="0" collapsed="false"/>
    <row r="26710" customFormat="false" ht="15" hidden="false" customHeight="true" outlineLevel="0" collapsed="false"/>
    <row r="26711" customFormat="false" ht="15" hidden="false" customHeight="true" outlineLevel="0" collapsed="false"/>
    <row r="26712" customFormat="false" ht="15" hidden="false" customHeight="true" outlineLevel="0" collapsed="false"/>
    <row r="26713" customFormat="false" ht="15" hidden="false" customHeight="true" outlineLevel="0" collapsed="false"/>
    <row r="26714" customFormat="false" ht="15" hidden="false" customHeight="true" outlineLevel="0" collapsed="false"/>
    <row r="26715" customFormat="false" ht="15" hidden="false" customHeight="true" outlineLevel="0" collapsed="false"/>
    <row r="26716" customFormat="false" ht="15" hidden="false" customHeight="true" outlineLevel="0" collapsed="false"/>
    <row r="26717" customFormat="false" ht="15" hidden="false" customHeight="true" outlineLevel="0" collapsed="false"/>
    <row r="26718" customFormat="false" ht="15" hidden="false" customHeight="true" outlineLevel="0" collapsed="false"/>
    <row r="26719" customFormat="false" ht="15" hidden="false" customHeight="true" outlineLevel="0" collapsed="false"/>
    <row r="26720" customFormat="false" ht="15" hidden="false" customHeight="true" outlineLevel="0" collapsed="false"/>
    <row r="26721" customFormat="false" ht="15" hidden="false" customHeight="true" outlineLevel="0" collapsed="false"/>
    <row r="26722" customFormat="false" ht="15" hidden="false" customHeight="true" outlineLevel="0" collapsed="false"/>
    <row r="26723" customFormat="false" ht="15" hidden="false" customHeight="true" outlineLevel="0" collapsed="false"/>
    <row r="26724" customFormat="false" ht="15" hidden="false" customHeight="true" outlineLevel="0" collapsed="false"/>
    <row r="26725" customFormat="false" ht="15" hidden="false" customHeight="true" outlineLevel="0" collapsed="false"/>
    <row r="26726" customFormat="false" ht="15" hidden="false" customHeight="true" outlineLevel="0" collapsed="false"/>
    <row r="26727" customFormat="false" ht="15" hidden="false" customHeight="true" outlineLevel="0" collapsed="false"/>
    <row r="26728" customFormat="false" ht="15" hidden="false" customHeight="true" outlineLevel="0" collapsed="false"/>
    <row r="26729" customFormat="false" ht="15" hidden="false" customHeight="true" outlineLevel="0" collapsed="false"/>
    <row r="26730" customFormat="false" ht="15" hidden="false" customHeight="true" outlineLevel="0" collapsed="false"/>
    <row r="26731" customFormat="false" ht="15" hidden="false" customHeight="true" outlineLevel="0" collapsed="false"/>
    <row r="26732" customFormat="false" ht="15" hidden="false" customHeight="true" outlineLevel="0" collapsed="false"/>
    <row r="26733" customFormat="false" ht="15" hidden="false" customHeight="true" outlineLevel="0" collapsed="false"/>
    <row r="26734" customFormat="false" ht="15" hidden="false" customHeight="true" outlineLevel="0" collapsed="false"/>
    <row r="26735" customFormat="false" ht="15" hidden="false" customHeight="true" outlineLevel="0" collapsed="false"/>
    <row r="26736" customFormat="false" ht="15" hidden="false" customHeight="true" outlineLevel="0" collapsed="false"/>
    <row r="26737" customFormat="false" ht="15" hidden="false" customHeight="true" outlineLevel="0" collapsed="false"/>
    <row r="26738" customFormat="false" ht="15" hidden="false" customHeight="true" outlineLevel="0" collapsed="false"/>
    <row r="26739" customFormat="false" ht="15" hidden="false" customHeight="true" outlineLevel="0" collapsed="false"/>
    <row r="26740" customFormat="false" ht="15" hidden="false" customHeight="true" outlineLevel="0" collapsed="false"/>
    <row r="26741" customFormat="false" ht="15" hidden="false" customHeight="true" outlineLevel="0" collapsed="false"/>
    <row r="26742" customFormat="false" ht="15" hidden="false" customHeight="true" outlineLevel="0" collapsed="false"/>
    <row r="26743" customFormat="false" ht="15" hidden="false" customHeight="true" outlineLevel="0" collapsed="false"/>
    <row r="26744" customFormat="false" ht="15" hidden="false" customHeight="true" outlineLevel="0" collapsed="false"/>
    <row r="26745" customFormat="false" ht="15" hidden="false" customHeight="true" outlineLevel="0" collapsed="false"/>
    <row r="26746" customFormat="false" ht="15" hidden="false" customHeight="true" outlineLevel="0" collapsed="false"/>
    <row r="26747" customFormat="false" ht="15" hidden="false" customHeight="true" outlineLevel="0" collapsed="false"/>
    <row r="26748" customFormat="false" ht="15" hidden="false" customHeight="true" outlineLevel="0" collapsed="false"/>
    <row r="26749" customFormat="false" ht="15" hidden="false" customHeight="true" outlineLevel="0" collapsed="false"/>
    <row r="26750" customFormat="false" ht="15" hidden="false" customHeight="true" outlineLevel="0" collapsed="false"/>
    <row r="26751" customFormat="false" ht="15" hidden="false" customHeight="true" outlineLevel="0" collapsed="false"/>
    <row r="26752" customFormat="false" ht="15" hidden="false" customHeight="true" outlineLevel="0" collapsed="false"/>
    <row r="26753" customFormat="false" ht="15" hidden="false" customHeight="true" outlineLevel="0" collapsed="false"/>
    <row r="26754" customFormat="false" ht="15" hidden="false" customHeight="true" outlineLevel="0" collapsed="false"/>
    <row r="26755" customFormat="false" ht="15" hidden="false" customHeight="true" outlineLevel="0" collapsed="false"/>
    <row r="26756" customFormat="false" ht="15" hidden="false" customHeight="true" outlineLevel="0" collapsed="false"/>
    <row r="26757" customFormat="false" ht="15" hidden="false" customHeight="true" outlineLevel="0" collapsed="false"/>
    <row r="26758" customFormat="false" ht="15" hidden="false" customHeight="true" outlineLevel="0" collapsed="false"/>
    <row r="26759" customFormat="false" ht="15" hidden="false" customHeight="true" outlineLevel="0" collapsed="false"/>
    <row r="26760" customFormat="false" ht="15" hidden="false" customHeight="true" outlineLevel="0" collapsed="false"/>
    <row r="26761" customFormat="false" ht="15" hidden="false" customHeight="true" outlineLevel="0" collapsed="false"/>
    <row r="26762" customFormat="false" ht="15" hidden="false" customHeight="true" outlineLevel="0" collapsed="false"/>
    <row r="26763" customFormat="false" ht="15" hidden="false" customHeight="true" outlineLevel="0" collapsed="false"/>
    <row r="26764" customFormat="false" ht="15" hidden="false" customHeight="true" outlineLevel="0" collapsed="false"/>
    <row r="26765" customFormat="false" ht="15" hidden="false" customHeight="true" outlineLevel="0" collapsed="false"/>
    <row r="26766" customFormat="false" ht="15" hidden="false" customHeight="true" outlineLevel="0" collapsed="false"/>
    <row r="26767" customFormat="false" ht="15" hidden="false" customHeight="true" outlineLevel="0" collapsed="false"/>
    <row r="26768" customFormat="false" ht="15" hidden="false" customHeight="true" outlineLevel="0" collapsed="false"/>
    <row r="26769" customFormat="false" ht="15" hidden="false" customHeight="true" outlineLevel="0" collapsed="false"/>
    <row r="26770" customFormat="false" ht="15" hidden="false" customHeight="true" outlineLevel="0" collapsed="false"/>
    <row r="26771" customFormat="false" ht="15" hidden="false" customHeight="true" outlineLevel="0" collapsed="false"/>
    <row r="26772" customFormat="false" ht="15" hidden="false" customHeight="true" outlineLevel="0" collapsed="false"/>
    <row r="26773" customFormat="false" ht="15" hidden="false" customHeight="true" outlineLevel="0" collapsed="false"/>
    <row r="26774" customFormat="false" ht="15" hidden="false" customHeight="true" outlineLevel="0" collapsed="false"/>
    <row r="26775" customFormat="false" ht="15" hidden="false" customHeight="true" outlineLevel="0" collapsed="false"/>
    <row r="26776" customFormat="false" ht="15" hidden="false" customHeight="true" outlineLevel="0" collapsed="false"/>
    <row r="26777" customFormat="false" ht="15" hidden="false" customHeight="true" outlineLevel="0" collapsed="false"/>
    <row r="26778" customFormat="false" ht="15" hidden="false" customHeight="true" outlineLevel="0" collapsed="false"/>
    <row r="26779" customFormat="false" ht="15" hidden="false" customHeight="true" outlineLevel="0" collapsed="false"/>
    <row r="26780" customFormat="false" ht="15" hidden="false" customHeight="true" outlineLevel="0" collapsed="false"/>
    <row r="26781" customFormat="false" ht="15" hidden="false" customHeight="true" outlineLevel="0" collapsed="false"/>
    <row r="26782" customFormat="false" ht="15" hidden="false" customHeight="true" outlineLevel="0" collapsed="false"/>
    <row r="26783" customFormat="false" ht="15" hidden="false" customHeight="true" outlineLevel="0" collapsed="false"/>
    <row r="26784" customFormat="false" ht="15" hidden="false" customHeight="true" outlineLevel="0" collapsed="false"/>
    <row r="26785" customFormat="false" ht="15" hidden="false" customHeight="true" outlineLevel="0" collapsed="false"/>
    <row r="26786" customFormat="false" ht="15" hidden="false" customHeight="true" outlineLevel="0" collapsed="false"/>
    <row r="26787" customFormat="false" ht="15" hidden="false" customHeight="true" outlineLevel="0" collapsed="false"/>
    <row r="26788" customFormat="false" ht="15" hidden="false" customHeight="true" outlineLevel="0" collapsed="false"/>
    <row r="26789" customFormat="false" ht="15" hidden="false" customHeight="true" outlineLevel="0" collapsed="false"/>
    <row r="26790" customFormat="false" ht="15" hidden="false" customHeight="true" outlineLevel="0" collapsed="false"/>
    <row r="26791" customFormat="false" ht="15" hidden="false" customHeight="true" outlineLevel="0" collapsed="false"/>
    <row r="26792" customFormat="false" ht="15" hidden="false" customHeight="true" outlineLevel="0" collapsed="false"/>
    <row r="26793" customFormat="false" ht="15" hidden="false" customHeight="true" outlineLevel="0" collapsed="false"/>
    <row r="26794" customFormat="false" ht="15" hidden="false" customHeight="true" outlineLevel="0" collapsed="false"/>
    <row r="26795" customFormat="false" ht="15" hidden="false" customHeight="true" outlineLevel="0" collapsed="false"/>
    <row r="26796" customFormat="false" ht="15" hidden="false" customHeight="true" outlineLevel="0" collapsed="false"/>
    <row r="26797" customFormat="false" ht="15" hidden="false" customHeight="true" outlineLevel="0" collapsed="false"/>
    <row r="26798" customFormat="false" ht="15" hidden="false" customHeight="true" outlineLevel="0" collapsed="false"/>
    <row r="26799" customFormat="false" ht="15" hidden="false" customHeight="true" outlineLevel="0" collapsed="false"/>
    <row r="26800" customFormat="false" ht="15" hidden="false" customHeight="true" outlineLevel="0" collapsed="false"/>
    <row r="26801" customFormat="false" ht="15" hidden="false" customHeight="true" outlineLevel="0" collapsed="false"/>
    <row r="26802" customFormat="false" ht="15" hidden="false" customHeight="true" outlineLevel="0" collapsed="false"/>
    <row r="26803" customFormat="false" ht="15" hidden="false" customHeight="true" outlineLevel="0" collapsed="false"/>
    <row r="26804" customFormat="false" ht="15" hidden="false" customHeight="true" outlineLevel="0" collapsed="false"/>
    <row r="26805" customFormat="false" ht="15" hidden="false" customHeight="true" outlineLevel="0" collapsed="false"/>
    <row r="26806" customFormat="false" ht="15" hidden="false" customHeight="true" outlineLevel="0" collapsed="false"/>
    <row r="26807" customFormat="false" ht="15" hidden="false" customHeight="true" outlineLevel="0" collapsed="false"/>
    <row r="26808" customFormat="false" ht="15" hidden="false" customHeight="true" outlineLevel="0" collapsed="false"/>
    <row r="26809" customFormat="false" ht="15" hidden="false" customHeight="true" outlineLevel="0" collapsed="false"/>
    <row r="26810" customFormat="false" ht="15" hidden="false" customHeight="true" outlineLevel="0" collapsed="false"/>
    <row r="26811" customFormat="false" ht="15" hidden="false" customHeight="true" outlineLevel="0" collapsed="false"/>
    <row r="26812" customFormat="false" ht="15" hidden="false" customHeight="true" outlineLevel="0" collapsed="false"/>
    <row r="26813" customFormat="false" ht="15" hidden="false" customHeight="true" outlineLevel="0" collapsed="false"/>
    <row r="26814" customFormat="false" ht="15" hidden="false" customHeight="true" outlineLevel="0" collapsed="false"/>
    <row r="26815" customFormat="false" ht="15" hidden="false" customHeight="true" outlineLevel="0" collapsed="false"/>
    <row r="26816" customFormat="false" ht="15" hidden="false" customHeight="true" outlineLevel="0" collapsed="false"/>
    <row r="26817" customFormat="false" ht="15" hidden="false" customHeight="true" outlineLevel="0" collapsed="false"/>
    <row r="26818" customFormat="false" ht="15" hidden="false" customHeight="true" outlineLevel="0" collapsed="false"/>
    <row r="26819" customFormat="false" ht="15" hidden="false" customHeight="true" outlineLevel="0" collapsed="false"/>
    <row r="26820" customFormat="false" ht="15" hidden="false" customHeight="true" outlineLevel="0" collapsed="false"/>
    <row r="26821" customFormat="false" ht="15" hidden="false" customHeight="true" outlineLevel="0" collapsed="false"/>
    <row r="26822" customFormat="false" ht="15" hidden="false" customHeight="true" outlineLevel="0" collapsed="false"/>
    <row r="26823" customFormat="false" ht="15" hidden="false" customHeight="true" outlineLevel="0" collapsed="false"/>
    <row r="26824" customFormat="false" ht="15" hidden="false" customHeight="true" outlineLevel="0" collapsed="false"/>
    <row r="26825" customFormat="false" ht="15" hidden="false" customHeight="true" outlineLevel="0" collapsed="false"/>
    <row r="26826" customFormat="false" ht="15" hidden="false" customHeight="true" outlineLevel="0" collapsed="false"/>
    <row r="26827" customFormat="false" ht="15" hidden="false" customHeight="true" outlineLevel="0" collapsed="false"/>
    <row r="26828" customFormat="false" ht="15" hidden="false" customHeight="true" outlineLevel="0" collapsed="false"/>
    <row r="26829" customFormat="false" ht="15" hidden="false" customHeight="true" outlineLevel="0" collapsed="false"/>
    <row r="26830" customFormat="false" ht="15" hidden="false" customHeight="true" outlineLevel="0" collapsed="false"/>
    <row r="26831" customFormat="false" ht="15" hidden="false" customHeight="true" outlineLevel="0" collapsed="false"/>
    <row r="26832" customFormat="false" ht="15" hidden="false" customHeight="true" outlineLevel="0" collapsed="false"/>
    <row r="26833" customFormat="false" ht="15" hidden="false" customHeight="true" outlineLevel="0" collapsed="false"/>
    <row r="26834" customFormat="false" ht="15" hidden="false" customHeight="true" outlineLevel="0" collapsed="false"/>
    <row r="26835" customFormat="false" ht="15" hidden="false" customHeight="true" outlineLevel="0" collapsed="false"/>
    <row r="26836" customFormat="false" ht="15" hidden="false" customHeight="true" outlineLevel="0" collapsed="false"/>
    <row r="26837" customFormat="false" ht="15" hidden="false" customHeight="true" outlineLevel="0" collapsed="false"/>
    <row r="26838" customFormat="false" ht="15" hidden="false" customHeight="true" outlineLevel="0" collapsed="false"/>
    <row r="26839" customFormat="false" ht="15" hidden="false" customHeight="true" outlineLevel="0" collapsed="false"/>
    <row r="26840" customFormat="false" ht="15" hidden="false" customHeight="true" outlineLevel="0" collapsed="false"/>
    <row r="26841" customFormat="false" ht="15" hidden="false" customHeight="true" outlineLevel="0" collapsed="false"/>
    <row r="26842" customFormat="false" ht="15" hidden="false" customHeight="true" outlineLevel="0" collapsed="false"/>
    <row r="26843" customFormat="false" ht="15" hidden="false" customHeight="true" outlineLevel="0" collapsed="false"/>
    <row r="26844" customFormat="false" ht="15" hidden="false" customHeight="true" outlineLevel="0" collapsed="false"/>
    <row r="26845" customFormat="false" ht="15" hidden="false" customHeight="true" outlineLevel="0" collapsed="false"/>
    <row r="26846" customFormat="false" ht="15" hidden="false" customHeight="true" outlineLevel="0" collapsed="false"/>
    <row r="26847" customFormat="false" ht="15" hidden="false" customHeight="true" outlineLevel="0" collapsed="false"/>
    <row r="26848" customFormat="false" ht="15" hidden="false" customHeight="true" outlineLevel="0" collapsed="false"/>
    <row r="26849" customFormat="false" ht="15" hidden="false" customHeight="true" outlineLevel="0" collapsed="false"/>
    <row r="26850" customFormat="false" ht="15" hidden="false" customHeight="true" outlineLevel="0" collapsed="false"/>
    <row r="26851" customFormat="false" ht="15" hidden="false" customHeight="true" outlineLevel="0" collapsed="false"/>
    <row r="26852" customFormat="false" ht="15" hidden="false" customHeight="true" outlineLevel="0" collapsed="false"/>
    <row r="26853" customFormat="false" ht="15" hidden="false" customHeight="true" outlineLevel="0" collapsed="false"/>
    <row r="26854" customFormat="false" ht="15" hidden="false" customHeight="true" outlineLevel="0" collapsed="false"/>
    <row r="26855" customFormat="false" ht="15" hidden="false" customHeight="true" outlineLevel="0" collapsed="false"/>
    <row r="26856" customFormat="false" ht="15" hidden="false" customHeight="true" outlineLevel="0" collapsed="false"/>
    <row r="26857" customFormat="false" ht="15" hidden="false" customHeight="true" outlineLevel="0" collapsed="false"/>
    <row r="26858" customFormat="false" ht="15" hidden="false" customHeight="true" outlineLevel="0" collapsed="false"/>
    <row r="26859" customFormat="false" ht="15" hidden="false" customHeight="true" outlineLevel="0" collapsed="false"/>
    <row r="26860" customFormat="false" ht="15" hidden="false" customHeight="true" outlineLevel="0" collapsed="false"/>
    <row r="26861" customFormat="false" ht="15" hidden="false" customHeight="true" outlineLevel="0" collapsed="false"/>
    <row r="26862" customFormat="false" ht="15" hidden="false" customHeight="true" outlineLevel="0" collapsed="false"/>
    <row r="26863" customFormat="false" ht="15" hidden="false" customHeight="true" outlineLevel="0" collapsed="false"/>
    <row r="26864" customFormat="false" ht="15" hidden="false" customHeight="true" outlineLevel="0" collapsed="false"/>
    <row r="26865" customFormat="false" ht="15" hidden="false" customHeight="true" outlineLevel="0" collapsed="false"/>
    <row r="26866" customFormat="false" ht="15" hidden="false" customHeight="true" outlineLevel="0" collapsed="false"/>
    <row r="26867" customFormat="false" ht="15" hidden="false" customHeight="true" outlineLevel="0" collapsed="false"/>
    <row r="26868" customFormat="false" ht="15" hidden="false" customHeight="true" outlineLevel="0" collapsed="false"/>
    <row r="26869" customFormat="false" ht="15" hidden="false" customHeight="true" outlineLevel="0" collapsed="false"/>
    <row r="26870" customFormat="false" ht="15" hidden="false" customHeight="true" outlineLevel="0" collapsed="false"/>
    <row r="26871" customFormat="false" ht="15" hidden="false" customHeight="true" outlineLevel="0" collapsed="false"/>
    <row r="26872" customFormat="false" ht="15" hidden="false" customHeight="true" outlineLevel="0" collapsed="false"/>
    <row r="26873" customFormat="false" ht="15" hidden="false" customHeight="true" outlineLevel="0" collapsed="false"/>
    <row r="26874" customFormat="false" ht="15" hidden="false" customHeight="true" outlineLevel="0" collapsed="false"/>
    <row r="26875" customFormat="false" ht="15" hidden="false" customHeight="true" outlineLevel="0" collapsed="false"/>
    <row r="26876" customFormat="false" ht="15" hidden="false" customHeight="true" outlineLevel="0" collapsed="false"/>
    <row r="26877" customFormat="false" ht="15" hidden="false" customHeight="true" outlineLevel="0" collapsed="false"/>
    <row r="26878" customFormat="false" ht="15" hidden="false" customHeight="true" outlineLevel="0" collapsed="false"/>
    <row r="26879" customFormat="false" ht="15" hidden="false" customHeight="true" outlineLevel="0" collapsed="false"/>
    <row r="26880" customFormat="false" ht="15" hidden="false" customHeight="true" outlineLevel="0" collapsed="false"/>
    <row r="26881" customFormat="false" ht="15" hidden="false" customHeight="true" outlineLevel="0" collapsed="false"/>
    <row r="26882" customFormat="false" ht="15" hidden="false" customHeight="true" outlineLevel="0" collapsed="false"/>
    <row r="26883" customFormat="false" ht="15" hidden="false" customHeight="true" outlineLevel="0" collapsed="false"/>
    <row r="26884" customFormat="false" ht="15" hidden="false" customHeight="true" outlineLevel="0" collapsed="false"/>
    <row r="26885" customFormat="false" ht="15" hidden="false" customHeight="true" outlineLevel="0" collapsed="false"/>
    <row r="26886" customFormat="false" ht="15" hidden="false" customHeight="true" outlineLevel="0" collapsed="false"/>
    <row r="26887" customFormat="false" ht="15" hidden="false" customHeight="true" outlineLevel="0" collapsed="false"/>
    <row r="26888" customFormat="false" ht="15" hidden="false" customHeight="true" outlineLevel="0" collapsed="false"/>
    <row r="26889" customFormat="false" ht="15" hidden="false" customHeight="true" outlineLevel="0" collapsed="false"/>
    <row r="26890" customFormat="false" ht="15" hidden="false" customHeight="true" outlineLevel="0" collapsed="false"/>
    <row r="26891" customFormat="false" ht="15" hidden="false" customHeight="true" outlineLevel="0" collapsed="false"/>
    <row r="26892" customFormat="false" ht="15" hidden="false" customHeight="true" outlineLevel="0" collapsed="false"/>
    <row r="26893" customFormat="false" ht="15" hidden="false" customHeight="true" outlineLevel="0" collapsed="false"/>
    <row r="26894" customFormat="false" ht="15" hidden="false" customHeight="true" outlineLevel="0" collapsed="false"/>
    <row r="26895" customFormat="false" ht="15" hidden="false" customHeight="true" outlineLevel="0" collapsed="false"/>
    <row r="26896" customFormat="false" ht="15" hidden="false" customHeight="true" outlineLevel="0" collapsed="false"/>
    <row r="26897" customFormat="false" ht="15" hidden="false" customHeight="true" outlineLevel="0" collapsed="false"/>
    <row r="26898" customFormat="false" ht="15" hidden="false" customHeight="true" outlineLevel="0" collapsed="false"/>
    <row r="26899" customFormat="false" ht="15" hidden="false" customHeight="true" outlineLevel="0" collapsed="false"/>
    <row r="26900" customFormat="false" ht="15" hidden="false" customHeight="true" outlineLevel="0" collapsed="false"/>
    <row r="26901" customFormat="false" ht="15" hidden="false" customHeight="true" outlineLevel="0" collapsed="false"/>
    <row r="26902" customFormat="false" ht="15" hidden="false" customHeight="true" outlineLevel="0" collapsed="false"/>
    <row r="26903" customFormat="false" ht="15" hidden="false" customHeight="true" outlineLevel="0" collapsed="false"/>
    <row r="26904" customFormat="false" ht="15" hidden="false" customHeight="true" outlineLevel="0" collapsed="false"/>
    <row r="26905" customFormat="false" ht="15" hidden="false" customHeight="true" outlineLevel="0" collapsed="false"/>
    <row r="26906" customFormat="false" ht="15" hidden="false" customHeight="true" outlineLevel="0" collapsed="false"/>
    <row r="26907" customFormat="false" ht="15" hidden="false" customHeight="true" outlineLevel="0" collapsed="false"/>
    <row r="26908" customFormat="false" ht="15" hidden="false" customHeight="true" outlineLevel="0" collapsed="false"/>
    <row r="26909" customFormat="false" ht="15" hidden="false" customHeight="true" outlineLevel="0" collapsed="false"/>
    <row r="26910" customFormat="false" ht="15" hidden="false" customHeight="true" outlineLevel="0" collapsed="false"/>
    <row r="26911" customFormat="false" ht="15" hidden="false" customHeight="true" outlineLevel="0" collapsed="false"/>
    <row r="26912" customFormat="false" ht="15" hidden="false" customHeight="true" outlineLevel="0" collapsed="false"/>
    <row r="26913" customFormat="false" ht="15" hidden="false" customHeight="true" outlineLevel="0" collapsed="false"/>
    <row r="26914" customFormat="false" ht="15" hidden="false" customHeight="true" outlineLevel="0" collapsed="false"/>
    <row r="26915" customFormat="false" ht="15" hidden="false" customHeight="true" outlineLevel="0" collapsed="false"/>
    <row r="26916" customFormat="false" ht="15" hidden="false" customHeight="true" outlineLevel="0" collapsed="false"/>
    <row r="26917" customFormat="false" ht="15" hidden="false" customHeight="true" outlineLevel="0" collapsed="false"/>
    <row r="26918" customFormat="false" ht="15" hidden="false" customHeight="true" outlineLevel="0" collapsed="false"/>
    <row r="26919" customFormat="false" ht="15" hidden="false" customHeight="true" outlineLevel="0" collapsed="false"/>
    <row r="26920" customFormat="false" ht="15" hidden="false" customHeight="true" outlineLevel="0" collapsed="false"/>
    <row r="26921" customFormat="false" ht="15" hidden="false" customHeight="true" outlineLevel="0" collapsed="false"/>
    <row r="26922" customFormat="false" ht="15" hidden="false" customHeight="true" outlineLevel="0" collapsed="false"/>
    <row r="26923" customFormat="false" ht="15" hidden="false" customHeight="true" outlineLevel="0" collapsed="false"/>
    <row r="26924" customFormat="false" ht="15" hidden="false" customHeight="true" outlineLevel="0" collapsed="false"/>
    <row r="26925" customFormat="false" ht="15" hidden="false" customHeight="true" outlineLevel="0" collapsed="false"/>
    <row r="26926" customFormat="false" ht="15" hidden="false" customHeight="true" outlineLevel="0" collapsed="false"/>
    <row r="26927" customFormat="false" ht="15" hidden="false" customHeight="true" outlineLevel="0" collapsed="false"/>
    <row r="26928" customFormat="false" ht="15" hidden="false" customHeight="true" outlineLevel="0" collapsed="false"/>
    <row r="26929" customFormat="false" ht="15" hidden="false" customHeight="true" outlineLevel="0" collapsed="false"/>
    <row r="26930" customFormat="false" ht="15" hidden="false" customHeight="true" outlineLevel="0" collapsed="false"/>
    <row r="26931" customFormat="false" ht="15" hidden="false" customHeight="true" outlineLevel="0" collapsed="false"/>
    <row r="26932" customFormat="false" ht="15" hidden="false" customHeight="true" outlineLevel="0" collapsed="false"/>
    <row r="26933" customFormat="false" ht="15" hidden="false" customHeight="true" outlineLevel="0" collapsed="false"/>
    <row r="26934" customFormat="false" ht="15" hidden="false" customHeight="true" outlineLevel="0" collapsed="false"/>
    <row r="26935" customFormat="false" ht="15" hidden="false" customHeight="true" outlineLevel="0" collapsed="false"/>
    <row r="26936" customFormat="false" ht="15" hidden="false" customHeight="true" outlineLevel="0" collapsed="false"/>
    <row r="26937" customFormat="false" ht="15" hidden="false" customHeight="true" outlineLevel="0" collapsed="false"/>
    <row r="26938" customFormat="false" ht="15" hidden="false" customHeight="true" outlineLevel="0" collapsed="false"/>
    <row r="26939" customFormat="false" ht="15" hidden="false" customHeight="true" outlineLevel="0" collapsed="false"/>
    <row r="26940" customFormat="false" ht="15" hidden="false" customHeight="true" outlineLevel="0" collapsed="false"/>
    <row r="26941" customFormat="false" ht="15" hidden="false" customHeight="true" outlineLevel="0" collapsed="false"/>
    <row r="26942" customFormat="false" ht="15" hidden="false" customHeight="true" outlineLevel="0" collapsed="false"/>
    <row r="26943" customFormat="false" ht="15" hidden="false" customHeight="true" outlineLevel="0" collapsed="false"/>
    <row r="26944" customFormat="false" ht="15" hidden="false" customHeight="true" outlineLevel="0" collapsed="false"/>
    <row r="26945" customFormat="false" ht="15" hidden="false" customHeight="true" outlineLevel="0" collapsed="false"/>
    <row r="26946" customFormat="false" ht="15" hidden="false" customHeight="true" outlineLevel="0" collapsed="false"/>
    <row r="26947" customFormat="false" ht="15" hidden="false" customHeight="true" outlineLevel="0" collapsed="false"/>
    <row r="26948" customFormat="false" ht="15" hidden="false" customHeight="true" outlineLevel="0" collapsed="false"/>
    <row r="26949" customFormat="false" ht="15" hidden="false" customHeight="true" outlineLevel="0" collapsed="false"/>
    <row r="26950" customFormat="false" ht="15" hidden="false" customHeight="true" outlineLevel="0" collapsed="false"/>
    <row r="26951" customFormat="false" ht="15" hidden="false" customHeight="true" outlineLevel="0" collapsed="false"/>
    <row r="26952" customFormat="false" ht="15" hidden="false" customHeight="true" outlineLevel="0" collapsed="false"/>
    <row r="26953" customFormat="false" ht="15" hidden="false" customHeight="true" outlineLevel="0" collapsed="false"/>
    <row r="26954" customFormat="false" ht="15" hidden="false" customHeight="true" outlineLevel="0" collapsed="false"/>
    <row r="26955" customFormat="false" ht="15" hidden="false" customHeight="true" outlineLevel="0" collapsed="false"/>
    <row r="26956" customFormat="false" ht="15" hidden="false" customHeight="true" outlineLevel="0" collapsed="false"/>
    <row r="26957" customFormat="false" ht="15" hidden="false" customHeight="true" outlineLevel="0" collapsed="false"/>
    <row r="26958" customFormat="false" ht="15" hidden="false" customHeight="true" outlineLevel="0" collapsed="false"/>
    <row r="26959" customFormat="false" ht="15" hidden="false" customHeight="true" outlineLevel="0" collapsed="false"/>
    <row r="26960" customFormat="false" ht="15" hidden="false" customHeight="true" outlineLevel="0" collapsed="false"/>
    <row r="26961" customFormat="false" ht="15" hidden="false" customHeight="true" outlineLevel="0" collapsed="false"/>
    <row r="26962" customFormat="false" ht="15" hidden="false" customHeight="true" outlineLevel="0" collapsed="false"/>
    <row r="26963" customFormat="false" ht="15" hidden="false" customHeight="true" outlineLevel="0" collapsed="false"/>
    <row r="26964" customFormat="false" ht="15" hidden="false" customHeight="true" outlineLevel="0" collapsed="false"/>
    <row r="26965" customFormat="false" ht="15" hidden="false" customHeight="true" outlineLevel="0" collapsed="false"/>
    <row r="26966" customFormat="false" ht="15" hidden="false" customHeight="true" outlineLevel="0" collapsed="false"/>
    <row r="26967" customFormat="false" ht="15" hidden="false" customHeight="true" outlineLevel="0" collapsed="false"/>
    <row r="26968" customFormat="false" ht="15" hidden="false" customHeight="true" outlineLevel="0" collapsed="false"/>
    <row r="26969" customFormat="false" ht="15" hidden="false" customHeight="true" outlineLevel="0" collapsed="false"/>
    <row r="26970" customFormat="false" ht="15" hidden="false" customHeight="true" outlineLevel="0" collapsed="false"/>
    <row r="26971" customFormat="false" ht="15" hidden="false" customHeight="true" outlineLevel="0" collapsed="false"/>
    <row r="26972" customFormat="false" ht="15" hidden="false" customHeight="true" outlineLevel="0" collapsed="false"/>
    <row r="26973" customFormat="false" ht="15" hidden="false" customHeight="true" outlineLevel="0" collapsed="false"/>
    <row r="26974" customFormat="false" ht="15" hidden="false" customHeight="true" outlineLevel="0" collapsed="false"/>
    <row r="26975" customFormat="false" ht="15" hidden="false" customHeight="true" outlineLevel="0" collapsed="false"/>
    <row r="26976" customFormat="false" ht="15" hidden="false" customHeight="true" outlineLevel="0" collapsed="false"/>
    <row r="26977" customFormat="false" ht="15" hidden="false" customHeight="true" outlineLevel="0" collapsed="false"/>
    <row r="26978" customFormat="false" ht="15" hidden="false" customHeight="true" outlineLevel="0" collapsed="false"/>
    <row r="26979" customFormat="false" ht="15" hidden="false" customHeight="true" outlineLevel="0" collapsed="false"/>
    <row r="26980" customFormat="false" ht="15" hidden="false" customHeight="true" outlineLevel="0" collapsed="false"/>
    <row r="26981" customFormat="false" ht="15" hidden="false" customHeight="true" outlineLevel="0" collapsed="false"/>
    <row r="26982" customFormat="false" ht="15" hidden="false" customHeight="true" outlineLevel="0" collapsed="false"/>
    <row r="26983" customFormat="false" ht="15" hidden="false" customHeight="true" outlineLevel="0" collapsed="false"/>
    <row r="26984" customFormat="false" ht="15" hidden="false" customHeight="true" outlineLevel="0" collapsed="false"/>
    <row r="26985" customFormat="false" ht="15" hidden="false" customHeight="true" outlineLevel="0" collapsed="false"/>
    <row r="26986" customFormat="false" ht="15" hidden="false" customHeight="true" outlineLevel="0" collapsed="false"/>
    <row r="26987" customFormat="false" ht="15" hidden="false" customHeight="true" outlineLevel="0" collapsed="false"/>
    <row r="26988" customFormat="false" ht="15" hidden="false" customHeight="true" outlineLevel="0" collapsed="false"/>
    <row r="26989" customFormat="false" ht="15" hidden="false" customHeight="true" outlineLevel="0" collapsed="false"/>
    <row r="26990" customFormat="false" ht="15" hidden="false" customHeight="true" outlineLevel="0" collapsed="false"/>
    <row r="26991" customFormat="false" ht="15" hidden="false" customHeight="true" outlineLevel="0" collapsed="false"/>
    <row r="26992" customFormat="false" ht="15" hidden="false" customHeight="true" outlineLevel="0" collapsed="false"/>
    <row r="26993" customFormat="false" ht="15" hidden="false" customHeight="true" outlineLevel="0" collapsed="false"/>
    <row r="26994" customFormat="false" ht="15" hidden="false" customHeight="true" outlineLevel="0" collapsed="false"/>
    <row r="26995" customFormat="false" ht="15" hidden="false" customHeight="true" outlineLevel="0" collapsed="false"/>
    <row r="26996" customFormat="false" ht="15" hidden="false" customHeight="true" outlineLevel="0" collapsed="false"/>
    <row r="26997" customFormat="false" ht="15" hidden="false" customHeight="true" outlineLevel="0" collapsed="false"/>
    <row r="26998" customFormat="false" ht="15" hidden="false" customHeight="true" outlineLevel="0" collapsed="false"/>
    <row r="26999" customFormat="false" ht="15" hidden="false" customHeight="true" outlineLevel="0" collapsed="false"/>
    <row r="27000" customFormat="false" ht="15" hidden="false" customHeight="true" outlineLevel="0" collapsed="false"/>
    <row r="27001" customFormat="false" ht="15" hidden="false" customHeight="true" outlineLevel="0" collapsed="false"/>
    <row r="27002" customFormat="false" ht="15" hidden="false" customHeight="true" outlineLevel="0" collapsed="false"/>
    <row r="27003" customFormat="false" ht="15" hidden="false" customHeight="true" outlineLevel="0" collapsed="false"/>
    <row r="27004" customFormat="false" ht="15" hidden="false" customHeight="true" outlineLevel="0" collapsed="false"/>
    <row r="27005" customFormat="false" ht="15" hidden="false" customHeight="true" outlineLevel="0" collapsed="false"/>
    <row r="27006" customFormat="false" ht="15" hidden="false" customHeight="true" outlineLevel="0" collapsed="false"/>
    <row r="27007" customFormat="false" ht="15" hidden="false" customHeight="true" outlineLevel="0" collapsed="false"/>
    <row r="27008" customFormat="false" ht="15" hidden="false" customHeight="true" outlineLevel="0" collapsed="false"/>
    <row r="27009" customFormat="false" ht="15" hidden="false" customHeight="true" outlineLevel="0" collapsed="false"/>
    <row r="27010" customFormat="false" ht="15" hidden="false" customHeight="true" outlineLevel="0" collapsed="false"/>
    <row r="27011" customFormat="false" ht="15" hidden="false" customHeight="true" outlineLevel="0" collapsed="false"/>
    <row r="27012" customFormat="false" ht="15" hidden="false" customHeight="true" outlineLevel="0" collapsed="false"/>
    <row r="27013" customFormat="false" ht="15" hidden="false" customHeight="true" outlineLevel="0" collapsed="false"/>
    <row r="27014" customFormat="false" ht="15" hidden="false" customHeight="true" outlineLevel="0" collapsed="false"/>
    <row r="27015" customFormat="false" ht="15" hidden="false" customHeight="true" outlineLevel="0" collapsed="false"/>
    <row r="27016" customFormat="false" ht="15" hidden="false" customHeight="true" outlineLevel="0" collapsed="false"/>
    <row r="27017" customFormat="false" ht="15" hidden="false" customHeight="true" outlineLevel="0" collapsed="false"/>
    <row r="27018" customFormat="false" ht="15" hidden="false" customHeight="true" outlineLevel="0" collapsed="false"/>
    <row r="27019" customFormat="false" ht="15" hidden="false" customHeight="true" outlineLevel="0" collapsed="false"/>
    <row r="27020" customFormat="false" ht="15" hidden="false" customHeight="true" outlineLevel="0" collapsed="false"/>
    <row r="27021" customFormat="false" ht="15" hidden="false" customHeight="true" outlineLevel="0" collapsed="false"/>
    <row r="27022" customFormat="false" ht="15" hidden="false" customHeight="true" outlineLevel="0" collapsed="false"/>
    <row r="27023" customFormat="false" ht="15" hidden="false" customHeight="true" outlineLevel="0" collapsed="false"/>
    <row r="27024" customFormat="false" ht="15" hidden="false" customHeight="true" outlineLevel="0" collapsed="false"/>
    <row r="27025" customFormat="false" ht="15" hidden="false" customHeight="true" outlineLevel="0" collapsed="false"/>
    <row r="27026" customFormat="false" ht="15" hidden="false" customHeight="true" outlineLevel="0" collapsed="false"/>
    <row r="27027" customFormat="false" ht="15" hidden="false" customHeight="true" outlineLevel="0" collapsed="false"/>
    <row r="27028" customFormat="false" ht="15" hidden="false" customHeight="true" outlineLevel="0" collapsed="false"/>
    <row r="27029" customFormat="false" ht="15" hidden="false" customHeight="true" outlineLevel="0" collapsed="false"/>
    <row r="27030" customFormat="false" ht="15" hidden="false" customHeight="true" outlineLevel="0" collapsed="false"/>
    <row r="27031" customFormat="false" ht="15" hidden="false" customHeight="true" outlineLevel="0" collapsed="false"/>
    <row r="27032" customFormat="false" ht="15" hidden="false" customHeight="true" outlineLevel="0" collapsed="false"/>
    <row r="27033" customFormat="false" ht="15" hidden="false" customHeight="true" outlineLevel="0" collapsed="false"/>
    <row r="27034" customFormat="false" ht="15" hidden="false" customHeight="true" outlineLevel="0" collapsed="false"/>
    <row r="27035" customFormat="false" ht="15" hidden="false" customHeight="true" outlineLevel="0" collapsed="false"/>
    <row r="27036" customFormat="false" ht="15" hidden="false" customHeight="true" outlineLevel="0" collapsed="false"/>
    <row r="27037" customFormat="false" ht="15" hidden="false" customHeight="true" outlineLevel="0" collapsed="false"/>
    <row r="27038" customFormat="false" ht="15" hidden="false" customHeight="true" outlineLevel="0" collapsed="false"/>
    <row r="27039" customFormat="false" ht="15" hidden="false" customHeight="true" outlineLevel="0" collapsed="false"/>
    <row r="27040" customFormat="false" ht="15" hidden="false" customHeight="true" outlineLevel="0" collapsed="false"/>
    <row r="27041" customFormat="false" ht="15" hidden="false" customHeight="true" outlineLevel="0" collapsed="false"/>
    <row r="27042" customFormat="false" ht="15" hidden="false" customHeight="true" outlineLevel="0" collapsed="false"/>
    <row r="27043" customFormat="false" ht="15" hidden="false" customHeight="true" outlineLevel="0" collapsed="false"/>
    <row r="27044" customFormat="false" ht="15" hidden="false" customHeight="true" outlineLevel="0" collapsed="false"/>
    <row r="27045" customFormat="false" ht="15" hidden="false" customHeight="true" outlineLevel="0" collapsed="false"/>
    <row r="27046" customFormat="false" ht="15" hidden="false" customHeight="true" outlineLevel="0" collapsed="false"/>
    <row r="27047" customFormat="false" ht="15" hidden="false" customHeight="true" outlineLevel="0" collapsed="false"/>
    <row r="27048" customFormat="false" ht="15" hidden="false" customHeight="true" outlineLevel="0" collapsed="false"/>
    <row r="27049" customFormat="false" ht="15" hidden="false" customHeight="true" outlineLevel="0" collapsed="false"/>
    <row r="27050" customFormat="false" ht="15" hidden="false" customHeight="true" outlineLevel="0" collapsed="false"/>
    <row r="27051" customFormat="false" ht="15" hidden="false" customHeight="true" outlineLevel="0" collapsed="false"/>
    <row r="27052" customFormat="false" ht="15" hidden="false" customHeight="true" outlineLevel="0" collapsed="false"/>
    <row r="27053" customFormat="false" ht="15" hidden="false" customHeight="true" outlineLevel="0" collapsed="false"/>
    <row r="27054" customFormat="false" ht="15" hidden="false" customHeight="true" outlineLevel="0" collapsed="false"/>
    <row r="27055" customFormat="false" ht="15" hidden="false" customHeight="true" outlineLevel="0" collapsed="false"/>
    <row r="27056" customFormat="false" ht="15" hidden="false" customHeight="true" outlineLevel="0" collapsed="false"/>
    <row r="27057" customFormat="false" ht="15" hidden="false" customHeight="true" outlineLevel="0" collapsed="false"/>
    <row r="27058" customFormat="false" ht="15" hidden="false" customHeight="true" outlineLevel="0" collapsed="false"/>
    <row r="27059" customFormat="false" ht="15" hidden="false" customHeight="true" outlineLevel="0" collapsed="false"/>
    <row r="27060" customFormat="false" ht="15" hidden="false" customHeight="true" outlineLevel="0" collapsed="false"/>
    <row r="27061" customFormat="false" ht="15" hidden="false" customHeight="true" outlineLevel="0" collapsed="false"/>
    <row r="27062" customFormat="false" ht="15" hidden="false" customHeight="true" outlineLevel="0" collapsed="false"/>
    <row r="27063" customFormat="false" ht="15" hidden="false" customHeight="true" outlineLevel="0" collapsed="false"/>
    <row r="27064" customFormat="false" ht="15" hidden="false" customHeight="true" outlineLevel="0" collapsed="false"/>
    <row r="27065" customFormat="false" ht="15" hidden="false" customHeight="true" outlineLevel="0" collapsed="false"/>
    <row r="27066" customFormat="false" ht="15" hidden="false" customHeight="true" outlineLevel="0" collapsed="false"/>
    <row r="27067" customFormat="false" ht="15" hidden="false" customHeight="true" outlineLevel="0" collapsed="false"/>
    <row r="27068" customFormat="false" ht="15" hidden="false" customHeight="true" outlineLevel="0" collapsed="false"/>
    <row r="27069" customFormat="false" ht="15" hidden="false" customHeight="true" outlineLevel="0" collapsed="false"/>
    <row r="27070" customFormat="false" ht="15" hidden="false" customHeight="true" outlineLevel="0" collapsed="false"/>
    <row r="27071" customFormat="false" ht="15" hidden="false" customHeight="true" outlineLevel="0" collapsed="false"/>
    <row r="27072" customFormat="false" ht="15" hidden="false" customHeight="true" outlineLevel="0" collapsed="false"/>
    <row r="27073" customFormat="false" ht="15" hidden="false" customHeight="true" outlineLevel="0" collapsed="false"/>
    <row r="27074" customFormat="false" ht="15" hidden="false" customHeight="true" outlineLevel="0" collapsed="false"/>
    <row r="27075" customFormat="false" ht="15" hidden="false" customHeight="true" outlineLevel="0" collapsed="false"/>
    <row r="27076" customFormat="false" ht="15" hidden="false" customHeight="true" outlineLevel="0" collapsed="false"/>
    <row r="27077" customFormat="false" ht="15" hidden="false" customHeight="true" outlineLevel="0" collapsed="false"/>
    <row r="27078" customFormat="false" ht="15" hidden="false" customHeight="true" outlineLevel="0" collapsed="false"/>
    <row r="27079" customFormat="false" ht="15" hidden="false" customHeight="true" outlineLevel="0" collapsed="false"/>
    <row r="27080" customFormat="false" ht="15" hidden="false" customHeight="true" outlineLevel="0" collapsed="false"/>
    <row r="27081" customFormat="false" ht="15" hidden="false" customHeight="true" outlineLevel="0" collapsed="false"/>
    <row r="27082" customFormat="false" ht="15" hidden="false" customHeight="true" outlineLevel="0" collapsed="false"/>
    <row r="27083" customFormat="false" ht="15" hidden="false" customHeight="true" outlineLevel="0" collapsed="false"/>
    <row r="27084" customFormat="false" ht="15" hidden="false" customHeight="true" outlineLevel="0" collapsed="false"/>
    <row r="27085" customFormat="false" ht="15" hidden="false" customHeight="true" outlineLevel="0" collapsed="false"/>
    <row r="27086" customFormat="false" ht="15" hidden="false" customHeight="true" outlineLevel="0" collapsed="false"/>
    <row r="27087" customFormat="false" ht="15" hidden="false" customHeight="true" outlineLevel="0" collapsed="false"/>
    <row r="27088" customFormat="false" ht="15" hidden="false" customHeight="true" outlineLevel="0" collapsed="false"/>
    <row r="27089" customFormat="false" ht="15" hidden="false" customHeight="true" outlineLevel="0" collapsed="false"/>
    <row r="27090" customFormat="false" ht="15" hidden="false" customHeight="true" outlineLevel="0" collapsed="false"/>
    <row r="27091" customFormat="false" ht="15" hidden="false" customHeight="true" outlineLevel="0" collapsed="false"/>
    <row r="27092" customFormat="false" ht="15" hidden="false" customHeight="true" outlineLevel="0" collapsed="false"/>
    <row r="27093" customFormat="false" ht="15" hidden="false" customHeight="true" outlineLevel="0" collapsed="false"/>
    <row r="27094" customFormat="false" ht="15" hidden="false" customHeight="true" outlineLevel="0" collapsed="false"/>
    <row r="27095" customFormat="false" ht="15" hidden="false" customHeight="true" outlineLevel="0" collapsed="false"/>
    <row r="27096" customFormat="false" ht="15" hidden="false" customHeight="true" outlineLevel="0" collapsed="false"/>
    <row r="27097" customFormat="false" ht="15" hidden="false" customHeight="true" outlineLevel="0" collapsed="false"/>
    <row r="27098" customFormat="false" ht="15" hidden="false" customHeight="true" outlineLevel="0" collapsed="false"/>
    <row r="27099" customFormat="false" ht="15" hidden="false" customHeight="true" outlineLevel="0" collapsed="false"/>
    <row r="27100" customFormat="false" ht="15" hidden="false" customHeight="true" outlineLevel="0" collapsed="false"/>
    <row r="27101" customFormat="false" ht="15" hidden="false" customHeight="true" outlineLevel="0" collapsed="false"/>
    <row r="27102" customFormat="false" ht="15" hidden="false" customHeight="true" outlineLevel="0" collapsed="false"/>
    <row r="27103" customFormat="false" ht="15" hidden="false" customHeight="true" outlineLevel="0" collapsed="false"/>
    <row r="27104" customFormat="false" ht="15" hidden="false" customHeight="true" outlineLevel="0" collapsed="false"/>
    <row r="27105" customFormat="false" ht="15" hidden="false" customHeight="true" outlineLevel="0" collapsed="false"/>
    <row r="27106" customFormat="false" ht="15" hidden="false" customHeight="true" outlineLevel="0" collapsed="false"/>
    <row r="27107" customFormat="false" ht="15" hidden="false" customHeight="true" outlineLevel="0" collapsed="false"/>
    <row r="27108" customFormat="false" ht="15" hidden="false" customHeight="true" outlineLevel="0" collapsed="false"/>
    <row r="27109" customFormat="false" ht="15" hidden="false" customHeight="true" outlineLevel="0" collapsed="false"/>
    <row r="27110" customFormat="false" ht="15" hidden="false" customHeight="true" outlineLevel="0" collapsed="false"/>
    <row r="27111" customFormat="false" ht="15" hidden="false" customHeight="true" outlineLevel="0" collapsed="false"/>
    <row r="27112" customFormat="false" ht="15" hidden="false" customHeight="true" outlineLevel="0" collapsed="false"/>
    <row r="27113" customFormat="false" ht="15" hidden="false" customHeight="true" outlineLevel="0" collapsed="false"/>
    <row r="27114" customFormat="false" ht="15" hidden="false" customHeight="true" outlineLevel="0" collapsed="false"/>
    <row r="27115" customFormat="false" ht="15" hidden="false" customHeight="true" outlineLevel="0" collapsed="false"/>
    <row r="27116" customFormat="false" ht="15" hidden="false" customHeight="true" outlineLevel="0" collapsed="false"/>
    <row r="27117" customFormat="false" ht="15" hidden="false" customHeight="true" outlineLevel="0" collapsed="false"/>
    <row r="27118" customFormat="false" ht="15" hidden="false" customHeight="true" outlineLevel="0" collapsed="false"/>
    <row r="27119" customFormat="false" ht="15" hidden="false" customHeight="true" outlineLevel="0" collapsed="false"/>
    <row r="27120" customFormat="false" ht="15" hidden="false" customHeight="true" outlineLevel="0" collapsed="false"/>
    <row r="27121" customFormat="false" ht="15" hidden="false" customHeight="true" outlineLevel="0" collapsed="false"/>
    <row r="27122" customFormat="false" ht="15" hidden="false" customHeight="true" outlineLevel="0" collapsed="false"/>
    <row r="27123" customFormat="false" ht="15" hidden="false" customHeight="true" outlineLevel="0" collapsed="false"/>
    <row r="27124" customFormat="false" ht="15" hidden="false" customHeight="true" outlineLevel="0" collapsed="false"/>
    <row r="27125" customFormat="false" ht="15" hidden="false" customHeight="true" outlineLevel="0" collapsed="false"/>
    <row r="27126" customFormat="false" ht="15" hidden="false" customHeight="true" outlineLevel="0" collapsed="false"/>
    <row r="27127" customFormat="false" ht="15" hidden="false" customHeight="true" outlineLevel="0" collapsed="false"/>
    <row r="27128" customFormat="false" ht="15" hidden="false" customHeight="true" outlineLevel="0" collapsed="false"/>
    <row r="27129" customFormat="false" ht="15" hidden="false" customHeight="true" outlineLevel="0" collapsed="false"/>
    <row r="27130" customFormat="false" ht="15" hidden="false" customHeight="true" outlineLevel="0" collapsed="false"/>
    <row r="27131" customFormat="false" ht="15" hidden="false" customHeight="true" outlineLevel="0" collapsed="false"/>
    <row r="27132" customFormat="false" ht="15" hidden="false" customHeight="true" outlineLevel="0" collapsed="false"/>
    <row r="27133" customFormat="false" ht="15" hidden="false" customHeight="true" outlineLevel="0" collapsed="false"/>
    <row r="27134" customFormat="false" ht="15" hidden="false" customHeight="true" outlineLevel="0" collapsed="false"/>
    <row r="27135" customFormat="false" ht="15" hidden="false" customHeight="true" outlineLevel="0" collapsed="false"/>
    <row r="27136" customFormat="false" ht="15" hidden="false" customHeight="true" outlineLevel="0" collapsed="false"/>
    <row r="27137" customFormat="false" ht="15" hidden="false" customHeight="true" outlineLevel="0" collapsed="false"/>
    <row r="27138" customFormat="false" ht="15" hidden="false" customHeight="true" outlineLevel="0" collapsed="false"/>
    <row r="27139" customFormat="false" ht="15" hidden="false" customHeight="true" outlineLevel="0" collapsed="false"/>
    <row r="27140" customFormat="false" ht="15" hidden="false" customHeight="true" outlineLevel="0" collapsed="false"/>
    <row r="27141" customFormat="false" ht="15" hidden="false" customHeight="true" outlineLevel="0" collapsed="false"/>
    <row r="27142" customFormat="false" ht="15" hidden="false" customHeight="true" outlineLevel="0" collapsed="false"/>
    <row r="27143" customFormat="false" ht="15" hidden="false" customHeight="true" outlineLevel="0" collapsed="false"/>
    <row r="27144" customFormat="false" ht="15" hidden="false" customHeight="true" outlineLevel="0" collapsed="false"/>
    <row r="27145" customFormat="false" ht="15" hidden="false" customHeight="true" outlineLevel="0" collapsed="false"/>
    <row r="27146" customFormat="false" ht="15" hidden="false" customHeight="true" outlineLevel="0" collapsed="false"/>
    <row r="27147" customFormat="false" ht="15" hidden="false" customHeight="true" outlineLevel="0" collapsed="false"/>
    <row r="27148" customFormat="false" ht="15" hidden="false" customHeight="true" outlineLevel="0" collapsed="false"/>
    <row r="27149" customFormat="false" ht="15" hidden="false" customHeight="true" outlineLevel="0" collapsed="false"/>
    <row r="27150" customFormat="false" ht="15" hidden="false" customHeight="true" outlineLevel="0" collapsed="false"/>
    <row r="27151" customFormat="false" ht="15" hidden="false" customHeight="true" outlineLevel="0" collapsed="false"/>
    <row r="27152" customFormat="false" ht="15" hidden="false" customHeight="true" outlineLevel="0" collapsed="false"/>
    <row r="27153" customFormat="false" ht="15" hidden="false" customHeight="true" outlineLevel="0" collapsed="false"/>
    <row r="27154" customFormat="false" ht="15" hidden="false" customHeight="true" outlineLevel="0" collapsed="false"/>
    <row r="27155" customFormat="false" ht="15" hidden="false" customHeight="true" outlineLevel="0" collapsed="false"/>
    <row r="27156" customFormat="false" ht="15" hidden="false" customHeight="true" outlineLevel="0" collapsed="false"/>
    <row r="27157" customFormat="false" ht="15" hidden="false" customHeight="true" outlineLevel="0" collapsed="false"/>
    <row r="27158" customFormat="false" ht="15" hidden="false" customHeight="true" outlineLevel="0" collapsed="false"/>
    <row r="27159" customFormat="false" ht="15" hidden="false" customHeight="true" outlineLevel="0" collapsed="false"/>
    <row r="27160" customFormat="false" ht="15" hidden="false" customHeight="true" outlineLevel="0" collapsed="false"/>
    <row r="27161" customFormat="false" ht="15" hidden="false" customHeight="true" outlineLevel="0" collapsed="false"/>
    <row r="27162" customFormat="false" ht="15" hidden="false" customHeight="true" outlineLevel="0" collapsed="false"/>
    <row r="27163" customFormat="false" ht="15" hidden="false" customHeight="true" outlineLevel="0" collapsed="false"/>
    <row r="27164" customFormat="false" ht="15" hidden="false" customHeight="true" outlineLevel="0" collapsed="false"/>
    <row r="27165" customFormat="false" ht="15" hidden="false" customHeight="true" outlineLevel="0" collapsed="false"/>
    <row r="27166" customFormat="false" ht="15" hidden="false" customHeight="true" outlineLevel="0" collapsed="false"/>
    <row r="27167" customFormat="false" ht="15" hidden="false" customHeight="true" outlineLevel="0" collapsed="false"/>
    <row r="27168" customFormat="false" ht="15" hidden="false" customHeight="true" outlineLevel="0" collapsed="false"/>
    <row r="27169" customFormat="false" ht="15" hidden="false" customHeight="true" outlineLevel="0" collapsed="false"/>
    <row r="27170" customFormat="false" ht="15" hidden="false" customHeight="true" outlineLevel="0" collapsed="false"/>
    <row r="27171" customFormat="false" ht="15" hidden="false" customHeight="true" outlineLevel="0" collapsed="false"/>
    <row r="27172" customFormat="false" ht="15" hidden="false" customHeight="true" outlineLevel="0" collapsed="false"/>
    <row r="27173" customFormat="false" ht="15" hidden="false" customHeight="true" outlineLevel="0" collapsed="false"/>
    <row r="27174" customFormat="false" ht="15" hidden="false" customHeight="true" outlineLevel="0" collapsed="false"/>
    <row r="27175" customFormat="false" ht="15" hidden="false" customHeight="true" outlineLevel="0" collapsed="false"/>
    <row r="27176" customFormat="false" ht="15" hidden="false" customHeight="true" outlineLevel="0" collapsed="false"/>
    <row r="27177" customFormat="false" ht="15" hidden="false" customHeight="true" outlineLevel="0" collapsed="false"/>
    <row r="27178" customFormat="false" ht="15" hidden="false" customHeight="true" outlineLevel="0" collapsed="false"/>
    <row r="27179" customFormat="false" ht="15" hidden="false" customHeight="true" outlineLevel="0" collapsed="false"/>
    <row r="27180" customFormat="false" ht="15" hidden="false" customHeight="true" outlineLevel="0" collapsed="false"/>
    <row r="27181" customFormat="false" ht="15" hidden="false" customHeight="true" outlineLevel="0" collapsed="false"/>
    <row r="27182" customFormat="false" ht="15" hidden="false" customHeight="true" outlineLevel="0" collapsed="false"/>
    <row r="27183" customFormat="false" ht="15" hidden="false" customHeight="true" outlineLevel="0" collapsed="false"/>
    <row r="27184" customFormat="false" ht="15" hidden="false" customHeight="true" outlineLevel="0" collapsed="false"/>
    <row r="27185" customFormat="false" ht="15" hidden="false" customHeight="true" outlineLevel="0" collapsed="false"/>
    <row r="27186" customFormat="false" ht="15" hidden="false" customHeight="true" outlineLevel="0" collapsed="false"/>
    <row r="27187" customFormat="false" ht="15" hidden="false" customHeight="true" outlineLevel="0" collapsed="false"/>
    <row r="27188" customFormat="false" ht="15" hidden="false" customHeight="true" outlineLevel="0" collapsed="false"/>
    <row r="27189" customFormat="false" ht="15" hidden="false" customHeight="true" outlineLevel="0" collapsed="false"/>
    <row r="27190" customFormat="false" ht="15" hidden="false" customHeight="true" outlineLevel="0" collapsed="false"/>
    <row r="27191" customFormat="false" ht="15" hidden="false" customHeight="true" outlineLevel="0" collapsed="false"/>
    <row r="27192" customFormat="false" ht="15" hidden="false" customHeight="true" outlineLevel="0" collapsed="false"/>
    <row r="27193" customFormat="false" ht="15" hidden="false" customHeight="true" outlineLevel="0" collapsed="false"/>
    <row r="27194" customFormat="false" ht="15" hidden="false" customHeight="true" outlineLevel="0" collapsed="false"/>
    <row r="27195" customFormat="false" ht="15" hidden="false" customHeight="true" outlineLevel="0" collapsed="false"/>
    <row r="27196" customFormat="false" ht="15" hidden="false" customHeight="true" outlineLevel="0" collapsed="false"/>
    <row r="27197" customFormat="false" ht="15" hidden="false" customHeight="true" outlineLevel="0" collapsed="false"/>
    <row r="27198" customFormat="false" ht="15" hidden="false" customHeight="true" outlineLevel="0" collapsed="false"/>
    <row r="27199" customFormat="false" ht="15" hidden="false" customHeight="true" outlineLevel="0" collapsed="false"/>
    <row r="27200" customFormat="false" ht="15" hidden="false" customHeight="true" outlineLevel="0" collapsed="false"/>
    <row r="27201" customFormat="false" ht="15" hidden="false" customHeight="true" outlineLevel="0" collapsed="false"/>
    <row r="27202" customFormat="false" ht="15" hidden="false" customHeight="true" outlineLevel="0" collapsed="false"/>
    <row r="27203" customFormat="false" ht="15" hidden="false" customHeight="true" outlineLevel="0" collapsed="false"/>
    <row r="27204" customFormat="false" ht="15" hidden="false" customHeight="true" outlineLevel="0" collapsed="false"/>
    <row r="27205" customFormat="false" ht="15" hidden="false" customHeight="true" outlineLevel="0" collapsed="false"/>
    <row r="27206" customFormat="false" ht="15" hidden="false" customHeight="true" outlineLevel="0" collapsed="false"/>
    <row r="27207" customFormat="false" ht="15" hidden="false" customHeight="true" outlineLevel="0" collapsed="false"/>
    <row r="27208" customFormat="false" ht="15" hidden="false" customHeight="true" outlineLevel="0" collapsed="false"/>
    <row r="27209" customFormat="false" ht="15" hidden="false" customHeight="true" outlineLevel="0" collapsed="false"/>
    <row r="27210" customFormat="false" ht="15" hidden="false" customHeight="true" outlineLevel="0" collapsed="false"/>
    <row r="27211" customFormat="false" ht="15" hidden="false" customHeight="true" outlineLevel="0" collapsed="false"/>
    <row r="27212" customFormat="false" ht="15" hidden="false" customHeight="true" outlineLevel="0" collapsed="false"/>
    <row r="27213" customFormat="false" ht="15" hidden="false" customHeight="true" outlineLevel="0" collapsed="false"/>
    <row r="27214" customFormat="false" ht="15" hidden="false" customHeight="true" outlineLevel="0" collapsed="false"/>
    <row r="27215" customFormat="false" ht="15" hidden="false" customHeight="true" outlineLevel="0" collapsed="false"/>
    <row r="27216" customFormat="false" ht="15" hidden="false" customHeight="true" outlineLevel="0" collapsed="false"/>
    <row r="27217" customFormat="false" ht="15" hidden="false" customHeight="true" outlineLevel="0" collapsed="false"/>
    <row r="27218" customFormat="false" ht="15" hidden="false" customHeight="true" outlineLevel="0" collapsed="false"/>
    <row r="27219" customFormat="false" ht="15" hidden="false" customHeight="true" outlineLevel="0" collapsed="false"/>
    <row r="27220" customFormat="false" ht="15" hidden="false" customHeight="true" outlineLevel="0" collapsed="false"/>
    <row r="27221" customFormat="false" ht="15" hidden="false" customHeight="true" outlineLevel="0" collapsed="false"/>
    <row r="27222" customFormat="false" ht="15" hidden="false" customHeight="true" outlineLevel="0" collapsed="false"/>
    <row r="27223" customFormat="false" ht="15" hidden="false" customHeight="true" outlineLevel="0" collapsed="false"/>
    <row r="27224" customFormat="false" ht="15" hidden="false" customHeight="true" outlineLevel="0" collapsed="false"/>
    <row r="27225" customFormat="false" ht="15" hidden="false" customHeight="true" outlineLevel="0" collapsed="false"/>
    <row r="27226" customFormat="false" ht="15" hidden="false" customHeight="true" outlineLevel="0" collapsed="false"/>
    <row r="27227" customFormat="false" ht="15" hidden="false" customHeight="true" outlineLevel="0" collapsed="false"/>
    <row r="27228" customFormat="false" ht="15" hidden="false" customHeight="true" outlineLevel="0" collapsed="false"/>
    <row r="27229" customFormat="false" ht="15" hidden="false" customHeight="true" outlineLevel="0" collapsed="false"/>
    <row r="27230" customFormat="false" ht="15" hidden="false" customHeight="true" outlineLevel="0" collapsed="false"/>
    <row r="27231" customFormat="false" ht="15" hidden="false" customHeight="true" outlineLevel="0" collapsed="false"/>
    <row r="27232" customFormat="false" ht="15" hidden="false" customHeight="true" outlineLevel="0" collapsed="false"/>
    <row r="27233" customFormat="false" ht="15" hidden="false" customHeight="true" outlineLevel="0" collapsed="false"/>
    <row r="27234" customFormat="false" ht="15" hidden="false" customHeight="true" outlineLevel="0" collapsed="false"/>
    <row r="27235" customFormat="false" ht="15" hidden="false" customHeight="true" outlineLevel="0" collapsed="false"/>
    <row r="27236" customFormat="false" ht="15" hidden="false" customHeight="true" outlineLevel="0" collapsed="false"/>
    <row r="27237" customFormat="false" ht="15" hidden="false" customHeight="true" outlineLevel="0" collapsed="false"/>
    <row r="27238" customFormat="false" ht="15" hidden="false" customHeight="true" outlineLevel="0" collapsed="false"/>
    <row r="27239" customFormat="false" ht="15" hidden="false" customHeight="true" outlineLevel="0" collapsed="false"/>
    <row r="27240" customFormat="false" ht="15" hidden="false" customHeight="true" outlineLevel="0" collapsed="false"/>
    <row r="27241" customFormat="false" ht="15" hidden="false" customHeight="true" outlineLevel="0" collapsed="false"/>
    <row r="27242" customFormat="false" ht="15" hidden="false" customHeight="true" outlineLevel="0" collapsed="false"/>
    <row r="27243" customFormat="false" ht="15" hidden="false" customHeight="true" outlineLevel="0" collapsed="false"/>
    <row r="27244" customFormat="false" ht="15" hidden="false" customHeight="true" outlineLevel="0" collapsed="false"/>
    <row r="27245" customFormat="false" ht="15" hidden="false" customHeight="true" outlineLevel="0" collapsed="false"/>
    <row r="27246" customFormat="false" ht="15" hidden="false" customHeight="true" outlineLevel="0" collapsed="false"/>
    <row r="27247" customFormat="false" ht="15" hidden="false" customHeight="true" outlineLevel="0" collapsed="false"/>
    <row r="27248" customFormat="false" ht="15" hidden="false" customHeight="true" outlineLevel="0" collapsed="false"/>
    <row r="27249" customFormat="false" ht="15" hidden="false" customHeight="true" outlineLevel="0" collapsed="false"/>
    <row r="27250" customFormat="false" ht="15" hidden="false" customHeight="true" outlineLevel="0" collapsed="false"/>
    <row r="27251" customFormat="false" ht="15" hidden="false" customHeight="true" outlineLevel="0" collapsed="false"/>
    <row r="27252" customFormat="false" ht="15" hidden="false" customHeight="true" outlineLevel="0" collapsed="false"/>
    <row r="27253" customFormat="false" ht="15" hidden="false" customHeight="true" outlineLevel="0" collapsed="false"/>
    <row r="27254" customFormat="false" ht="15" hidden="false" customHeight="true" outlineLevel="0" collapsed="false"/>
    <row r="27255" customFormat="false" ht="15" hidden="false" customHeight="true" outlineLevel="0" collapsed="false"/>
    <row r="27256" customFormat="false" ht="15" hidden="false" customHeight="true" outlineLevel="0" collapsed="false"/>
    <row r="27257" customFormat="false" ht="15" hidden="false" customHeight="true" outlineLevel="0" collapsed="false"/>
    <row r="27258" customFormat="false" ht="15" hidden="false" customHeight="true" outlineLevel="0" collapsed="false"/>
    <row r="27259" customFormat="false" ht="15" hidden="false" customHeight="true" outlineLevel="0" collapsed="false"/>
    <row r="27260" customFormat="false" ht="15" hidden="false" customHeight="true" outlineLevel="0" collapsed="false"/>
    <row r="27261" customFormat="false" ht="15" hidden="false" customHeight="true" outlineLevel="0" collapsed="false"/>
    <row r="27262" customFormat="false" ht="15" hidden="false" customHeight="true" outlineLevel="0" collapsed="false"/>
    <row r="27263" customFormat="false" ht="15" hidden="false" customHeight="true" outlineLevel="0" collapsed="false"/>
    <row r="27264" customFormat="false" ht="15" hidden="false" customHeight="true" outlineLevel="0" collapsed="false"/>
    <row r="27265" customFormat="false" ht="15" hidden="false" customHeight="true" outlineLevel="0" collapsed="false"/>
    <row r="27266" customFormat="false" ht="15" hidden="false" customHeight="true" outlineLevel="0" collapsed="false"/>
    <row r="27267" customFormat="false" ht="15" hidden="false" customHeight="true" outlineLevel="0" collapsed="false"/>
    <row r="27268" customFormat="false" ht="15" hidden="false" customHeight="true" outlineLevel="0" collapsed="false"/>
    <row r="27269" customFormat="false" ht="15" hidden="false" customHeight="true" outlineLevel="0" collapsed="false"/>
    <row r="27270" customFormat="false" ht="15" hidden="false" customHeight="true" outlineLevel="0" collapsed="false"/>
    <row r="27271" customFormat="false" ht="15" hidden="false" customHeight="true" outlineLevel="0" collapsed="false"/>
    <row r="27272" customFormat="false" ht="15" hidden="false" customHeight="true" outlineLevel="0" collapsed="false"/>
    <row r="27273" customFormat="false" ht="15" hidden="false" customHeight="true" outlineLevel="0" collapsed="false"/>
    <row r="27274" customFormat="false" ht="15" hidden="false" customHeight="true" outlineLevel="0" collapsed="false"/>
    <row r="27275" customFormat="false" ht="15" hidden="false" customHeight="true" outlineLevel="0" collapsed="false"/>
    <row r="27276" customFormat="false" ht="15" hidden="false" customHeight="true" outlineLevel="0" collapsed="false"/>
    <row r="27277" customFormat="false" ht="15" hidden="false" customHeight="true" outlineLevel="0" collapsed="false"/>
    <row r="27278" customFormat="false" ht="15" hidden="false" customHeight="true" outlineLevel="0" collapsed="false"/>
    <row r="27279" customFormat="false" ht="15" hidden="false" customHeight="true" outlineLevel="0" collapsed="false"/>
    <row r="27280" customFormat="false" ht="15" hidden="false" customHeight="true" outlineLevel="0" collapsed="false"/>
    <row r="27281" customFormat="false" ht="15" hidden="false" customHeight="true" outlineLevel="0" collapsed="false"/>
    <row r="27282" customFormat="false" ht="15" hidden="false" customHeight="true" outlineLevel="0" collapsed="false"/>
    <row r="27283" customFormat="false" ht="15" hidden="false" customHeight="true" outlineLevel="0" collapsed="false"/>
    <row r="27284" customFormat="false" ht="15" hidden="false" customHeight="true" outlineLevel="0" collapsed="false"/>
    <row r="27285" customFormat="false" ht="15" hidden="false" customHeight="true" outlineLevel="0" collapsed="false"/>
    <row r="27286" customFormat="false" ht="15" hidden="false" customHeight="true" outlineLevel="0" collapsed="false"/>
    <row r="27287" customFormat="false" ht="15" hidden="false" customHeight="true" outlineLevel="0" collapsed="false"/>
    <row r="27288" customFormat="false" ht="15" hidden="false" customHeight="true" outlineLevel="0" collapsed="false"/>
    <row r="27289" customFormat="false" ht="15" hidden="false" customHeight="true" outlineLevel="0" collapsed="false"/>
    <row r="27290" customFormat="false" ht="15" hidden="false" customHeight="true" outlineLevel="0" collapsed="false"/>
    <row r="27291" customFormat="false" ht="15" hidden="false" customHeight="true" outlineLevel="0" collapsed="false"/>
    <row r="27292" customFormat="false" ht="15" hidden="false" customHeight="true" outlineLevel="0" collapsed="false"/>
    <row r="27293" customFormat="false" ht="15" hidden="false" customHeight="true" outlineLevel="0" collapsed="false"/>
    <row r="27294" customFormat="false" ht="15" hidden="false" customHeight="true" outlineLevel="0" collapsed="false"/>
    <row r="27295" customFormat="false" ht="15" hidden="false" customHeight="true" outlineLevel="0" collapsed="false"/>
    <row r="27296" customFormat="false" ht="15" hidden="false" customHeight="true" outlineLevel="0" collapsed="false"/>
    <row r="27297" customFormat="false" ht="15" hidden="false" customHeight="true" outlineLevel="0" collapsed="false"/>
    <row r="27298" customFormat="false" ht="15" hidden="false" customHeight="true" outlineLevel="0" collapsed="false"/>
    <row r="27299" customFormat="false" ht="15" hidden="false" customHeight="true" outlineLevel="0" collapsed="false"/>
    <row r="27300" customFormat="false" ht="15" hidden="false" customHeight="true" outlineLevel="0" collapsed="false"/>
    <row r="27301" customFormat="false" ht="15" hidden="false" customHeight="true" outlineLevel="0" collapsed="false"/>
    <row r="27302" customFormat="false" ht="15" hidden="false" customHeight="true" outlineLevel="0" collapsed="false"/>
    <row r="27303" customFormat="false" ht="15" hidden="false" customHeight="true" outlineLevel="0" collapsed="false"/>
    <row r="27304" customFormat="false" ht="15" hidden="false" customHeight="true" outlineLevel="0" collapsed="false"/>
    <row r="27305" customFormat="false" ht="15" hidden="false" customHeight="true" outlineLevel="0" collapsed="false"/>
    <row r="27306" customFormat="false" ht="15" hidden="false" customHeight="true" outlineLevel="0" collapsed="false"/>
    <row r="27307" customFormat="false" ht="15" hidden="false" customHeight="true" outlineLevel="0" collapsed="false"/>
    <row r="27308" customFormat="false" ht="15" hidden="false" customHeight="true" outlineLevel="0" collapsed="false"/>
    <row r="27309" customFormat="false" ht="15" hidden="false" customHeight="true" outlineLevel="0" collapsed="false"/>
    <row r="27310" customFormat="false" ht="15" hidden="false" customHeight="true" outlineLevel="0" collapsed="false"/>
    <row r="27311" customFormat="false" ht="15" hidden="false" customHeight="true" outlineLevel="0" collapsed="false"/>
    <row r="27312" customFormat="false" ht="15" hidden="false" customHeight="true" outlineLevel="0" collapsed="false"/>
    <row r="27313" customFormat="false" ht="15" hidden="false" customHeight="true" outlineLevel="0" collapsed="false"/>
    <row r="27314" customFormat="false" ht="15" hidden="false" customHeight="true" outlineLevel="0" collapsed="false"/>
    <row r="27315" customFormat="false" ht="15" hidden="false" customHeight="true" outlineLevel="0" collapsed="false"/>
    <row r="27316" customFormat="false" ht="15" hidden="false" customHeight="true" outlineLevel="0" collapsed="false"/>
    <row r="27317" customFormat="false" ht="15" hidden="false" customHeight="true" outlineLevel="0" collapsed="false"/>
    <row r="27318" customFormat="false" ht="15" hidden="false" customHeight="true" outlineLevel="0" collapsed="false"/>
    <row r="27319" customFormat="false" ht="15" hidden="false" customHeight="true" outlineLevel="0" collapsed="false"/>
    <row r="27320" customFormat="false" ht="15" hidden="false" customHeight="true" outlineLevel="0" collapsed="false"/>
    <row r="27321" customFormat="false" ht="15" hidden="false" customHeight="true" outlineLevel="0" collapsed="false"/>
    <row r="27322" customFormat="false" ht="15" hidden="false" customHeight="true" outlineLevel="0" collapsed="false"/>
    <row r="27323" customFormat="false" ht="15" hidden="false" customHeight="true" outlineLevel="0" collapsed="false"/>
    <row r="27324" customFormat="false" ht="15" hidden="false" customHeight="true" outlineLevel="0" collapsed="false"/>
    <row r="27325" customFormat="false" ht="15" hidden="false" customHeight="true" outlineLevel="0" collapsed="false"/>
    <row r="27326" customFormat="false" ht="15" hidden="false" customHeight="true" outlineLevel="0" collapsed="false"/>
    <row r="27327" customFormat="false" ht="15" hidden="false" customHeight="true" outlineLevel="0" collapsed="false"/>
    <row r="27328" customFormat="false" ht="15" hidden="false" customHeight="true" outlineLevel="0" collapsed="false"/>
    <row r="27329" customFormat="false" ht="15" hidden="false" customHeight="true" outlineLevel="0" collapsed="false"/>
    <row r="27330" customFormat="false" ht="15" hidden="false" customHeight="true" outlineLevel="0" collapsed="false"/>
    <row r="27331" customFormat="false" ht="15" hidden="false" customHeight="true" outlineLevel="0" collapsed="false"/>
    <row r="27332" customFormat="false" ht="15" hidden="false" customHeight="true" outlineLevel="0" collapsed="false"/>
    <row r="27333" customFormat="false" ht="15" hidden="false" customHeight="true" outlineLevel="0" collapsed="false"/>
    <row r="27334" customFormat="false" ht="15" hidden="false" customHeight="true" outlineLevel="0" collapsed="false"/>
    <row r="27335" customFormat="false" ht="15" hidden="false" customHeight="true" outlineLevel="0" collapsed="false"/>
    <row r="27336" customFormat="false" ht="15" hidden="false" customHeight="true" outlineLevel="0" collapsed="false"/>
    <row r="27337" customFormat="false" ht="15" hidden="false" customHeight="true" outlineLevel="0" collapsed="false"/>
    <row r="27338" customFormat="false" ht="15" hidden="false" customHeight="true" outlineLevel="0" collapsed="false"/>
    <row r="27339" customFormat="false" ht="15" hidden="false" customHeight="true" outlineLevel="0" collapsed="false"/>
    <row r="27340" customFormat="false" ht="15" hidden="false" customHeight="true" outlineLevel="0" collapsed="false"/>
    <row r="27341" customFormat="false" ht="15" hidden="false" customHeight="true" outlineLevel="0" collapsed="false"/>
    <row r="27342" customFormat="false" ht="15" hidden="false" customHeight="true" outlineLevel="0" collapsed="false"/>
    <row r="27343" customFormat="false" ht="15" hidden="false" customHeight="true" outlineLevel="0" collapsed="false"/>
    <row r="27344" customFormat="false" ht="15" hidden="false" customHeight="true" outlineLevel="0" collapsed="false"/>
    <row r="27345" customFormat="false" ht="15" hidden="false" customHeight="true" outlineLevel="0" collapsed="false"/>
    <row r="27346" customFormat="false" ht="15" hidden="false" customHeight="true" outlineLevel="0" collapsed="false"/>
    <row r="27347" customFormat="false" ht="15" hidden="false" customHeight="true" outlineLevel="0" collapsed="false"/>
    <row r="27348" customFormat="false" ht="15" hidden="false" customHeight="true" outlineLevel="0" collapsed="false"/>
    <row r="27349" customFormat="false" ht="15" hidden="false" customHeight="true" outlineLevel="0" collapsed="false"/>
    <row r="27350" customFormat="false" ht="15" hidden="false" customHeight="true" outlineLevel="0" collapsed="false"/>
    <row r="27351" customFormat="false" ht="15" hidden="false" customHeight="true" outlineLevel="0" collapsed="false"/>
    <row r="27352" customFormat="false" ht="15" hidden="false" customHeight="true" outlineLevel="0" collapsed="false"/>
    <row r="27353" customFormat="false" ht="15" hidden="false" customHeight="true" outlineLevel="0" collapsed="false"/>
    <row r="27354" customFormat="false" ht="15" hidden="false" customHeight="true" outlineLevel="0" collapsed="false"/>
    <row r="27355" customFormat="false" ht="15" hidden="false" customHeight="true" outlineLevel="0" collapsed="false"/>
    <row r="27356" customFormat="false" ht="15" hidden="false" customHeight="true" outlineLevel="0" collapsed="false"/>
    <row r="27357" customFormat="false" ht="15" hidden="false" customHeight="true" outlineLevel="0" collapsed="false"/>
    <row r="27358" customFormat="false" ht="15" hidden="false" customHeight="true" outlineLevel="0" collapsed="false"/>
    <row r="27359" customFormat="false" ht="15" hidden="false" customHeight="true" outlineLevel="0" collapsed="false"/>
    <row r="27360" customFormat="false" ht="15" hidden="false" customHeight="true" outlineLevel="0" collapsed="false"/>
    <row r="27361" customFormat="false" ht="15" hidden="false" customHeight="true" outlineLevel="0" collapsed="false"/>
    <row r="27362" customFormat="false" ht="15" hidden="false" customHeight="true" outlineLevel="0" collapsed="false"/>
    <row r="27363" customFormat="false" ht="15" hidden="false" customHeight="true" outlineLevel="0" collapsed="false"/>
    <row r="27364" customFormat="false" ht="15" hidden="false" customHeight="true" outlineLevel="0" collapsed="false"/>
    <row r="27365" customFormat="false" ht="15" hidden="false" customHeight="true" outlineLevel="0" collapsed="false"/>
    <row r="27366" customFormat="false" ht="15" hidden="false" customHeight="true" outlineLevel="0" collapsed="false"/>
    <row r="27367" customFormat="false" ht="15" hidden="false" customHeight="true" outlineLevel="0" collapsed="false"/>
    <row r="27368" customFormat="false" ht="15" hidden="false" customHeight="true" outlineLevel="0" collapsed="false"/>
    <row r="27369" customFormat="false" ht="15" hidden="false" customHeight="true" outlineLevel="0" collapsed="false"/>
    <row r="27370" customFormat="false" ht="15" hidden="false" customHeight="true" outlineLevel="0" collapsed="false"/>
    <row r="27371" customFormat="false" ht="15" hidden="false" customHeight="true" outlineLevel="0" collapsed="false"/>
    <row r="27372" customFormat="false" ht="15" hidden="false" customHeight="true" outlineLevel="0" collapsed="false"/>
    <row r="27373" customFormat="false" ht="15" hidden="false" customHeight="true" outlineLevel="0" collapsed="false"/>
    <row r="27374" customFormat="false" ht="15" hidden="false" customHeight="true" outlineLevel="0" collapsed="false"/>
    <row r="27375" customFormat="false" ht="15" hidden="false" customHeight="true" outlineLevel="0" collapsed="false"/>
    <row r="27376" customFormat="false" ht="15" hidden="false" customHeight="true" outlineLevel="0" collapsed="false"/>
    <row r="27377" customFormat="false" ht="15" hidden="false" customHeight="true" outlineLevel="0" collapsed="false"/>
    <row r="27378" customFormat="false" ht="15" hidden="false" customHeight="true" outlineLevel="0" collapsed="false"/>
    <row r="27379" customFormat="false" ht="15" hidden="false" customHeight="true" outlineLevel="0" collapsed="false"/>
    <row r="27380" customFormat="false" ht="15" hidden="false" customHeight="true" outlineLevel="0" collapsed="false"/>
    <row r="27381" customFormat="false" ht="15" hidden="false" customHeight="true" outlineLevel="0" collapsed="false"/>
    <row r="27382" customFormat="false" ht="15" hidden="false" customHeight="true" outlineLevel="0" collapsed="false"/>
    <row r="27383" customFormat="false" ht="15" hidden="false" customHeight="true" outlineLevel="0" collapsed="false"/>
    <row r="27384" customFormat="false" ht="15" hidden="false" customHeight="true" outlineLevel="0" collapsed="false"/>
    <row r="27385" customFormat="false" ht="15" hidden="false" customHeight="true" outlineLevel="0" collapsed="false"/>
    <row r="27386" customFormat="false" ht="15" hidden="false" customHeight="true" outlineLevel="0" collapsed="false"/>
    <row r="27387" customFormat="false" ht="15" hidden="false" customHeight="true" outlineLevel="0" collapsed="false"/>
    <row r="27388" customFormat="false" ht="15" hidden="false" customHeight="true" outlineLevel="0" collapsed="false"/>
    <row r="27389" customFormat="false" ht="15" hidden="false" customHeight="true" outlineLevel="0" collapsed="false"/>
    <row r="27390" customFormat="false" ht="15" hidden="false" customHeight="true" outlineLevel="0" collapsed="false"/>
    <row r="27391" customFormat="false" ht="15" hidden="false" customHeight="true" outlineLevel="0" collapsed="false"/>
    <row r="27392" customFormat="false" ht="15" hidden="false" customHeight="true" outlineLevel="0" collapsed="false"/>
    <row r="27393" customFormat="false" ht="15" hidden="false" customHeight="true" outlineLevel="0" collapsed="false"/>
    <row r="27394" customFormat="false" ht="15" hidden="false" customHeight="true" outlineLevel="0" collapsed="false"/>
    <row r="27395" customFormat="false" ht="15" hidden="false" customHeight="true" outlineLevel="0" collapsed="false"/>
    <row r="27396" customFormat="false" ht="15" hidden="false" customHeight="true" outlineLevel="0" collapsed="false"/>
    <row r="27397" customFormat="false" ht="15" hidden="false" customHeight="true" outlineLevel="0" collapsed="false"/>
    <row r="27398" customFormat="false" ht="15" hidden="false" customHeight="true" outlineLevel="0" collapsed="false"/>
    <row r="27399" customFormat="false" ht="15" hidden="false" customHeight="true" outlineLevel="0" collapsed="false"/>
    <row r="27400" customFormat="false" ht="15" hidden="false" customHeight="true" outlineLevel="0" collapsed="false"/>
    <row r="27401" customFormat="false" ht="15" hidden="false" customHeight="true" outlineLevel="0" collapsed="false"/>
    <row r="27402" customFormat="false" ht="15" hidden="false" customHeight="true" outlineLevel="0" collapsed="false"/>
    <row r="27403" customFormat="false" ht="15" hidden="false" customHeight="true" outlineLevel="0" collapsed="false"/>
    <row r="27404" customFormat="false" ht="15" hidden="false" customHeight="true" outlineLevel="0" collapsed="false"/>
    <row r="27405" customFormat="false" ht="15" hidden="false" customHeight="true" outlineLevel="0" collapsed="false"/>
    <row r="27406" customFormat="false" ht="15" hidden="false" customHeight="true" outlineLevel="0" collapsed="false"/>
    <row r="27407" customFormat="false" ht="15" hidden="false" customHeight="true" outlineLevel="0" collapsed="false"/>
    <row r="27408" customFormat="false" ht="15" hidden="false" customHeight="true" outlineLevel="0" collapsed="false"/>
    <row r="27409" customFormat="false" ht="15" hidden="false" customHeight="true" outlineLevel="0" collapsed="false"/>
    <row r="27410" customFormat="false" ht="15" hidden="false" customHeight="true" outlineLevel="0" collapsed="false"/>
    <row r="27411" customFormat="false" ht="15" hidden="false" customHeight="true" outlineLevel="0" collapsed="false"/>
    <row r="27412" customFormat="false" ht="15" hidden="false" customHeight="true" outlineLevel="0" collapsed="false"/>
    <row r="27413" customFormat="false" ht="15" hidden="false" customHeight="true" outlineLevel="0" collapsed="false"/>
    <row r="27414" customFormat="false" ht="15" hidden="false" customHeight="true" outlineLevel="0" collapsed="false"/>
    <row r="27415" customFormat="false" ht="15" hidden="false" customHeight="true" outlineLevel="0" collapsed="false"/>
    <row r="27416" customFormat="false" ht="15" hidden="false" customHeight="true" outlineLevel="0" collapsed="false"/>
    <row r="27417" customFormat="false" ht="15" hidden="false" customHeight="true" outlineLevel="0" collapsed="false"/>
    <row r="27418" customFormat="false" ht="15" hidden="false" customHeight="true" outlineLevel="0" collapsed="false"/>
    <row r="27419" customFormat="false" ht="15" hidden="false" customHeight="true" outlineLevel="0" collapsed="false"/>
    <row r="27420" customFormat="false" ht="15" hidden="false" customHeight="true" outlineLevel="0" collapsed="false"/>
    <row r="27421" customFormat="false" ht="15" hidden="false" customHeight="true" outlineLevel="0" collapsed="false"/>
    <row r="27422" customFormat="false" ht="15" hidden="false" customHeight="true" outlineLevel="0" collapsed="false"/>
    <row r="27423" customFormat="false" ht="15" hidden="false" customHeight="true" outlineLevel="0" collapsed="false"/>
    <row r="27424" customFormat="false" ht="15" hidden="false" customHeight="true" outlineLevel="0" collapsed="false"/>
    <row r="27425" customFormat="false" ht="15" hidden="false" customHeight="true" outlineLevel="0" collapsed="false"/>
    <row r="27426" customFormat="false" ht="15" hidden="false" customHeight="true" outlineLevel="0" collapsed="false"/>
    <row r="27427" customFormat="false" ht="15" hidden="false" customHeight="true" outlineLevel="0" collapsed="false"/>
    <row r="27428" customFormat="false" ht="15" hidden="false" customHeight="true" outlineLevel="0" collapsed="false"/>
    <row r="27429" customFormat="false" ht="15" hidden="false" customHeight="true" outlineLevel="0" collapsed="false"/>
    <row r="27430" customFormat="false" ht="15" hidden="false" customHeight="true" outlineLevel="0" collapsed="false"/>
    <row r="27431" customFormat="false" ht="15" hidden="false" customHeight="true" outlineLevel="0" collapsed="false"/>
    <row r="27432" customFormat="false" ht="15" hidden="false" customHeight="true" outlineLevel="0" collapsed="false"/>
    <row r="27433" customFormat="false" ht="15" hidden="false" customHeight="true" outlineLevel="0" collapsed="false"/>
    <row r="27434" customFormat="false" ht="15" hidden="false" customHeight="true" outlineLevel="0" collapsed="false"/>
    <row r="27435" customFormat="false" ht="15" hidden="false" customHeight="true" outlineLevel="0" collapsed="false"/>
    <row r="27436" customFormat="false" ht="15" hidden="false" customHeight="true" outlineLevel="0" collapsed="false"/>
    <row r="27437" customFormat="false" ht="15" hidden="false" customHeight="true" outlineLevel="0" collapsed="false"/>
    <row r="27438" customFormat="false" ht="15" hidden="false" customHeight="true" outlineLevel="0" collapsed="false"/>
    <row r="27439" customFormat="false" ht="15" hidden="false" customHeight="true" outlineLevel="0" collapsed="false"/>
    <row r="27440" customFormat="false" ht="15" hidden="false" customHeight="true" outlineLevel="0" collapsed="false"/>
    <row r="27441" customFormat="false" ht="15" hidden="false" customHeight="true" outlineLevel="0" collapsed="false"/>
    <row r="27442" customFormat="false" ht="15" hidden="false" customHeight="true" outlineLevel="0" collapsed="false"/>
    <row r="27443" customFormat="false" ht="15" hidden="false" customHeight="true" outlineLevel="0" collapsed="false"/>
    <row r="27444" customFormat="false" ht="15" hidden="false" customHeight="true" outlineLevel="0" collapsed="false"/>
    <row r="27445" customFormat="false" ht="15" hidden="false" customHeight="true" outlineLevel="0" collapsed="false"/>
    <row r="27446" customFormat="false" ht="15" hidden="false" customHeight="true" outlineLevel="0" collapsed="false"/>
    <row r="27447" customFormat="false" ht="15" hidden="false" customHeight="true" outlineLevel="0" collapsed="false"/>
    <row r="27448" customFormat="false" ht="15" hidden="false" customHeight="true" outlineLevel="0" collapsed="false"/>
    <row r="27449" customFormat="false" ht="15" hidden="false" customHeight="true" outlineLevel="0" collapsed="false"/>
    <row r="27450" customFormat="false" ht="15" hidden="false" customHeight="true" outlineLevel="0" collapsed="false"/>
    <row r="27451" customFormat="false" ht="15" hidden="false" customHeight="true" outlineLevel="0" collapsed="false"/>
    <row r="27452" customFormat="false" ht="15" hidden="false" customHeight="true" outlineLevel="0" collapsed="false"/>
    <row r="27453" customFormat="false" ht="15" hidden="false" customHeight="true" outlineLevel="0" collapsed="false"/>
    <row r="27454" customFormat="false" ht="15" hidden="false" customHeight="true" outlineLevel="0" collapsed="false"/>
    <row r="27455" customFormat="false" ht="15" hidden="false" customHeight="true" outlineLevel="0" collapsed="false"/>
    <row r="27456" customFormat="false" ht="15" hidden="false" customHeight="true" outlineLevel="0" collapsed="false"/>
    <row r="27457" customFormat="false" ht="15" hidden="false" customHeight="true" outlineLevel="0" collapsed="false"/>
    <row r="27458" customFormat="false" ht="15" hidden="false" customHeight="true" outlineLevel="0" collapsed="false"/>
    <row r="27459" customFormat="false" ht="15" hidden="false" customHeight="true" outlineLevel="0" collapsed="false"/>
    <row r="27460" customFormat="false" ht="15" hidden="false" customHeight="true" outlineLevel="0" collapsed="false"/>
    <row r="27461" customFormat="false" ht="15" hidden="false" customHeight="true" outlineLevel="0" collapsed="false"/>
    <row r="27462" customFormat="false" ht="15" hidden="false" customHeight="true" outlineLevel="0" collapsed="false"/>
    <row r="27463" customFormat="false" ht="15" hidden="false" customHeight="true" outlineLevel="0" collapsed="false"/>
    <row r="27464" customFormat="false" ht="15" hidden="false" customHeight="true" outlineLevel="0" collapsed="false"/>
    <row r="27465" customFormat="false" ht="15" hidden="false" customHeight="true" outlineLevel="0" collapsed="false"/>
    <row r="27466" customFormat="false" ht="15" hidden="false" customHeight="true" outlineLevel="0" collapsed="false"/>
    <row r="27467" customFormat="false" ht="15" hidden="false" customHeight="true" outlineLevel="0" collapsed="false"/>
    <row r="27468" customFormat="false" ht="15" hidden="false" customHeight="true" outlineLevel="0" collapsed="false"/>
    <row r="27469" customFormat="false" ht="15" hidden="false" customHeight="true" outlineLevel="0" collapsed="false"/>
    <row r="27470" customFormat="false" ht="15" hidden="false" customHeight="true" outlineLevel="0" collapsed="false"/>
    <row r="27471" customFormat="false" ht="15" hidden="false" customHeight="true" outlineLevel="0" collapsed="false"/>
    <row r="27472" customFormat="false" ht="15" hidden="false" customHeight="true" outlineLevel="0" collapsed="false"/>
    <row r="27473" customFormat="false" ht="15" hidden="false" customHeight="true" outlineLevel="0" collapsed="false"/>
    <row r="27474" customFormat="false" ht="15" hidden="false" customHeight="true" outlineLevel="0" collapsed="false"/>
    <row r="27475" customFormat="false" ht="15" hidden="false" customHeight="true" outlineLevel="0" collapsed="false"/>
    <row r="27476" customFormat="false" ht="15" hidden="false" customHeight="true" outlineLevel="0" collapsed="false"/>
    <row r="27477" customFormat="false" ht="15" hidden="false" customHeight="true" outlineLevel="0" collapsed="false"/>
    <row r="27478" customFormat="false" ht="15" hidden="false" customHeight="true" outlineLevel="0" collapsed="false"/>
    <row r="27479" customFormat="false" ht="15" hidden="false" customHeight="true" outlineLevel="0" collapsed="false"/>
    <row r="27480" customFormat="false" ht="15" hidden="false" customHeight="true" outlineLevel="0" collapsed="false"/>
    <row r="27481" customFormat="false" ht="15" hidden="false" customHeight="true" outlineLevel="0" collapsed="false"/>
    <row r="27482" customFormat="false" ht="15" hidden="false" customHeight="true" outlineLevel="0" collapsed="false"/>
    <row r="27483" customFormat="false" ht="15" hidden="false" customHeight="true" outlineLevel="0" collapsed="false"/>
    <row r="27484" customFormat="false" ht="15" hidden="false" customHeight="true" outlineLevel="0" collapsed="false"/>
    <row r="27485" customFormat="false" ht="15" hidden="false" customHeight="true" outlineLevel="0" collapsed="false"/>
    <row r="27486" customFormat="false" ht="15" hidden="false" customHeight="true" outlineLevel="0" collapsed="false"/>
    <row r="27487" customFormat="false" ht="15" hidden="false" customHeight="true" outlineLevel="0" collapsed="false"/>
    <row r="27488" customFormat="false" ht="15" hidden="false" customHeight="true" outlineLevel="0" collapsed="false"/>
    <row r="27489" customFormat="false" ht="15" hidden="false" customHeight="true" outlineLevel="0" collapsed="false"/>
    <row r="27490" customFormat="false" ht="15" hidden="false" customHeight="true" outlineLevel="0" collapsed="false"/>
    <row r="27491" customFormat="false" ht="15" hidden="false" customHeight="true" outlineLevel="0" collapsed="false"/>
    <row r="27492" customFormat="false" ht="15" hidden="false" customHeight="true" outlineLevel="0" collapsed="false"/>
    <row r="27493" customFormat="false" ht="15" hidden="false" customHeight="true" outlineLevel="0" collapsed="false"/>
    <row r="27494" customFormat="false" ht="15" hidden="false" customHeight="true" outlineLevel="0" collapsed="false"/>
    <row r="27495" customFormat="false" ht="15" hidden="false" customHeight="true" outlineLevel="0" collapsed="false"/>
    <row r="27496" customFormat="false" ht="15" hidden="false" customHeight="true" outlineLevel="0" collapsed="false"/>
    <row r="27497" customFormat="false" ht="15" hidden="false" customHeight="true" outlineLevel="0" collapsed="false"/>
    <row r="27498" customFormat="false" ht="15" hidden="false" customHeight="true" outlineLevel="0" collapsed="false"/>
    <row r="27499" customFormat="false" ht="15" hidden="false" customHeight="true" outlineLevel="0" collapsed="false"/>
    <row r="27500" customFormat="false" ht="15" hidden="false" customHeight="true" outlineLevel="0" collapsed="false"/>
    <row r="27501" customFormat="false" ht="15" hidden="false" customHeight="true" outlineLevel="0" collapsed="false"/>
    <row r="27502" customFormat="false" ht="15" hidden="false" customHeight="true" outlineLevel="0" collapsed="false"/>
    <row r="27503" customFormat="false" ht="15" hidden="false" customHeight="true" outlineLevel="0" collapsed="false"/>
    <row r="27504" customFormat="false" ht="15" hidden="false" customHeight="true" outlineLevel="0" collapsed="false"/>
    <row r="27505" customFormat="false" ht="15" hidden="false" customHeight="true" outlineLevel="0" collapsed="false"/>
    <row r="27506" customFormat="false" ht="15" hidden="false" customHeight="true" outlineLevel="0" collapsed="false"/>
    <row r="27507" customFormat="false" ht="15" hidden="false" customHeight="true" outlineLevel="0" collapsed="false"/>
    <row r="27508" customFormat="false" ht="15" hidden="false" customHeight="true" outlineLevel="0" collapsed="false"/>
    <row r="27509" customFormat="false" ht="15" hidden="false" customHeight="true" outlineLevel="0" collapsed="false"/>
    <row r="27510" customFormat="false" ht="15" hidden="false" customHeight="true" outlineLevel="0" collapsed="false"/>
    <row r="27511" customFormat="false" ht="15" hidden="false" customHeight="true" outlineLevel="0" collapsed="false"/>
    <row r="27512" customFormat="false" ht="15" hidden="false" customHeight="true" outlineLevel="0" collapsed="false"/>
    <row r="27513" customFormat="false" ht="15" hidden="false" customHeight="true" outlineLevel="0" collapsed="false"/>
    <row r="27514" customFormat="false" ht="15" hidden="false" customHeight="true" outlineLevel="0" collapsed="false"/>
    <row r="27515" customFormat="false" ht="15" hidden="false" customHeight="true" outlineLevel="0" collapsed="false"/>
    <row r="27516" customFormat="false" ht="15" hidden="false" customHeight="true" outlineLevel="0" collapsed="false"/>
    <row r="27517" customFormat="false" ht="15" hidden="false" customHeight="true" outlineLevel="0" collapsed="false"/>
    <row r="27518" customFormat="false" ht="15" hidden="false" customHeight="true" outlineLevel="0" collapsed="false"/>
    <row r="27519" customFormat="false" ht="15" hidden="false" customHeight="true" outlineLevel="0" collapsed="false"/>
    <row r="27520" customFormat="false" ht="15" hidden="false" customHeight="true" outlineLevel="0" collapsed="false"/>
    <row r="27521" customFormat="false" ht="15" hidden="false" customHeight="true" outlineLevel="0" collapsed="false"/>
    <row r="27522" customFormat="false" ht="15" hidden="false" customHeight="true" outlineLevel="0" collapsed="false"/>
    <row r="27523" customFormat="false" ht="15" hidden="false" customHeight="true" outlineLevel="0" collapsed="false"/>
    <row r="27524" customFormat="false" ht="15" hidden="false" customHeight="true" outlineLevel="0" collapsed="false"/>
    <row r="27525" customFormat="false" ht="15" hidden="false" customHeight="true" outlineLevel="0" collapsed="false"/>
    <row r="27526" customFormat="false" ht="15" hidden="false" customHeight="true" outlineLevel="0" collapsed="false"/>
    <row r="27527" customFormat="false" ht="15" hidden="false" customHeight="true" outlineLevel="0" collapsed="false"/>
    <row r="27528" customFormat="false" ht="15" hidden="false" customHeight="true" outlineLevel="0" collapsed="false"/>
    <row r="27529" customFormat="false" ht="15" hidden="false" customHeight="true" outlineLevel="0" collapsed="false"/>
    <row r="27530" customFormat="false" ht="15" hidden="false" customHeight="true" outlineLevel="0" collapsed="false"/>
    <row r="27531" customFormat="false" ht="15" hidden="false" customHeight="true" outlineLevel="0" collapsed="false"/>
    <row r="27532" customFormat="false" ht="15" hidden="false" customHeight="true" outlineLevel="0" collapsed="false"/>
    <row r="27533" customFormat="false" ht="15" hidden="false" customHeight="true" outlineLevel="0" collapsed="false"/>
    <row r="27534" customFormat="false" ht="15" hidden="false" customHeight="true" outlineLevel="0" collapsed="false"/>
    <row r="27535" customFormat="false" ht="15" hidden="false" customHeight="true" outlineLevel="0" collapsed="false"/>
    <row r="27536" customFormat="false" ht="15" hidden="false" customHeight="true" outlineLevel="0" collapsed="false"/>
    <row r="27537" customFormat="false" ht="15" hidden="false" customHeight="true" outlineLevel="0" collapsed="false"/>
    <row r="27538" customFormat="false" ht="15" hidden="false" customHeight="true" outlineLevel="0" collapsed="false"/>
    <row r="27539" customFormat="false" ht="15" hidden="false" customHeight="true" outlineLevel="0" collapsed="false"/>
    <row r="27540" customFormat="false" ht="15" hidden="false" customHeight="true" outlineLevel="0" collapsed="false"/>
    <row r="27541" customFormat="false" ht="15" hidden="false" customHeight="true" outlineLevel="0" collapsed="false"/>
    <row r="27542" customFormat="false" ht="15" hidden="false" customHeight="true" outlineLevel="0" collapsed="false"/>
    <row r="27543" customFormat="false" ht="15" hidden="false" customHeight="true" outlineLevel="0" collapsed="false"/>
    <row r="27544" customFormat="false" ht="15" hidden="false" customHeight="true" outlineLevel="0" collapsed="false"/>
    <row r="27545" customFormat="false" ht="15" hidden="false" customHeight="true" outlineLevel="0" collapsed="false"/>
    <row r="27546" customFormat="false" ht="15" hidden="false" customHeight="true" outlineLevel="0" collapsed="false"/>
    <row r="27547" customFormat="false" ht="15" hidden="false" customHeight="true" outlineLevel="0" collapsed="false"/>
    <row r="27548" customFormat="false" ht="15" hidden="false" customHeight="true" outlineLevel="0" collapsed="false"/>
    <row r="27549" customFormat="false" ht="15" hidden="false" customHeight="true" outlineLevel="0" collapsed="false"/>
    <row r="27550" customFormat="false" ht="15" hidden="false" customHeight="true" outlineLevel="0" collapsed="false"/>
    <row r="27551" customFormat="false" ht="15" hidden="false" customHeight="true" outlineLevel="0" collapsed="false"/>
    <row r="27552" customFormat="false" ht="15" hidden="false" customHeight="true" outlineLevel="0" collapsed="false"/>
    <row r="27553" customFormat="false" ht="15" hidden="false" customHeight="true" outlineLevel="0" collapsed="false"/>
    <row r="27554" customFormat="false" ht="15" hidden="false" customHeight="true" outlineLevel="0" collapsed="false"/>
    <row r="27555" customFormat="false" ht="15" hidden="false" customHeight="true" outlineLevel="0" collapsed="false"/>
    <row r="27556" customFormat="false" ht="15" hidden="false" customHeight="true" outlineLevel="0" collapsed="false"/>
    <row r="27557" customFormat="false" ht="15" hidden="false" customHeight="true" outlineLevel="0" collapsed="false"/>
    <row r="27558" customFormat="false" ht="15" hidden="false" customHeight="true" outlineLevel="0" collapsed="false"/>
    <row r="27559" customFormat="false" ht="15" hidden="false" customHeight="true" outlineLevel="0" collapsed="false"/>
    <row r="27560" customFormat="false" ht="15" hidden="false" customHeight="true" outlineLevel="0" collapsed="false"/>
    <row r="27561" customFormat="false" ht="15" hidden="false" customHeight="true" outlineLevel="0" collapsed="false"/>
    <row r="27562" customFormat="false" ht="15" hidden="false" customHeight="true" outlineLevel="0" collapsed="false"/>
    <row r="27563" customFormat="false" ht="15" hidden="false" customHeight="true" outlineLevel="0" collapsed="false"/>
    <row r="27564" customFormat="false" ht="15" hidden="false" customHeight="true" outlineLevel="0" collapsed="false"/>
    <row r="27565" customFormat="false" ht="15" hidden="false" customHeight="true" outlineLevel="0" collapsed="false"/>
    <row r="27566" customFormat="false" ht="15" hidden="false" customHeight="true" outlineLevel="0" collapsed="false"/>
    <row r="27567" customFormat="false" ht="15" hidden="false" customHeight="true" outlineLevel="0" collapsed="false"/>
    <row r="27568" customFormat="false" ht="15" hidden="false" customHeight="true" outlineLevel="0" collapsed="false"/>
    <row r="27569" customFormat="false" ht="15" hidden="false" customHeight="true" outlineLevel="0" collapsed="false"/>
    <row r="27570" customFormat="false" ht="15" hidden="false" customHeight="true" outlineLevel="0" collapsed="false"/>
    <row r="27571" customFormat="false" ht="15" hidden="false" customHeight="true" outlineLevel="0" collapsed="false"/>
    <row r="27572" customFormat="false" ht="15" hidden="false" customHeight="true" outlineLevel="0" collapsed="false"/>
    <row r="27573" customFormat="false" ht="15" hidden="false" customHeight="true" outlineLevel="0" collapsed="false"/>
    <row r="27574" customFormat="false" ht="15" hidden="false" customHeight="true" outlineLevel="0" collapsed="false"/>
    <row r="27575" customFormat="false" ht="15" hidden="false" customHeight="true" outlineLevel="0" collapsed="false"/>
    <row r="27576" customFormat="false" ht="15" hidden="false" customHeight="true" outlineLevel="0" collapsed="false"/>
    <row r="27577" customFormat="false" ht="15" hidden="false" customHeight="true" outlineLevel="0" collapsed="false"/>
    <row r="27578" customFormat="false" ht="15" hidden="false" customHeight="true" outlineLevel="0" collapsed="false"/>
    <row r="27579" customFormat="false" ht="15" hidden="false" customHeight="true" outlineLevel="0" collapsed="false"/>
    <row r="27580" customFormat="false" ht="15" hidden="false" customHeight="true" outlineLevel="0" collapsed="false"/>
    <row r="27581" customFormat="false" ht="15" hidden="false" customHeight="true" outlineLevel="0" collapsed="false"/>
    <row r="27582" customFormat="false" ht="15" hidden="false" customHeight="true" outlineLevel="0" collapsed="false"/>
    <row r="27583" customFormat="false" ht="15" hidden="false" customHeight="true" outlineLevel="0" collapsed="false"/>
    <row r="27584" customFormat="false" ht="15" hidden="false" customHeight="true" outlineLevel="0" collapsed="false"/>
    <row r="27585" customFormat="false" ht="15" hidden="false" customHeight="true" outlineLevel="0" collapsed="false"/>
    <row r="27586" customFormat="false" ht="15" hidden="false" customHeight="true" outlineLevel="0" collapsed="false"/>
    <row r="27587" customFormat="false" ht="15" hidden="false" customHeight="true" outlineLevel="0" collapsed="false"/>
    <row r="27588" customFormat="false" ht="15" hidden="false" customHeight="true" outlineLevel="0" collapsed="false"/>
    <row r="27589" customFormat="false" ht="15" hidden="false" customHeight="true" outlineLevel="0" collapsed="false"/>
    <row r="27590" customFormat="false" ht="15" hidden="false" customHeight="true" outlineLevel="0" collapsed="false"/>
    <row r="27591" customFormat="false" ht="15" hidden="false" customHeight="true" outlineLevel="0" collapsed="false"/>
    <row r="27592" customFormat="false" ht="15" hidden="false" customHeight="true" outlineLevel="0" collapsed="false"/>
    <row r="27593" customFormat="false" ht="15" hidden="false" customHeight="true" outlineLevel="0" collapsed="false"/>
    <row r="27594" customFormat="false" ht="15" hidden="false" customHeight="true" outlineLevel="0" collapsed="false"/>
    <row r="27595" customFormat="false" ht="15" hidden="false" customHeight="true" outlineLevel="0" collapsed="false"/>
    <row r="27596" customFormat="false" ht="15" hidden="false" customHeight="true" outlineLevel="0" collapsed="false"/>
    <row r="27597" customFormat="false" ht="15" hidden="false" customHeight="true" outlineLevel="0" collapsed="false"/>
    <row r="27598" customFormat="false" ht="15" hidden="false" customHeight="true" outlineLevel="0" collapsed="false"/>
    <row r="27599" customFormat="false" ht="15" hidden="false" customHeight="true" outlineLevel="0" collapsed="false"/>
    <row r="27600" customFormat="false" ht="15" hidden="false" customHeight="true" outlineLevel="0" collapsed="false"/>
    <row r="27601" customFormat="false" ht="15" hidden="false" customHeight="true" outlineLevel="0" collapsed="false"/>
    <row r="27602" customFormat="false" ht="15" hidden="false" customHeight="true" outlineLevel="0" collapsed="false"/>
    <row r="27603" customFormat="false" ht="15" hidden="false" customHeight="true" outlineLevel="0" collapsed="false"/>
    <row r="27604" customFormat="false" ht="15" hidden="false" customHeight="true" outlineLevel="0" collapsed="false"/>
    <row r="27605" customFormat="false" ht="15" hidden="false" customHeight="true" outlineLevel="0" collapsed="false"/>
    <row r="27606" customFormat="false" ht="15" hidden="false" customHeight="true" outlineLevel="0" collapsed="false"/>
    <row r="27607" customFormat="false" ht="15" hidden="false" customHeight="true" outlineLevel="0" collapsed="false"/>
    <row r="27608" customFormat="false" ht="15" hidden="false" customHeight="true" outlineLevel="0" collapsed="false"/>
    <row r="27609" customFormat="false" ht="15" hidden="false" customHeight="true" outlineLevel="0" collapsed="false"/>
    <row r="27610" customFormat="false" ht="15" hidden="false" customHeight="true" outlineLevel="0" collapsed="false"/>
    <row r="27611" customFormat="false" ht="15" hidden="false" customHeight="true" outlineLevel="0" collapsed="false"/>
    <row r="27612" customFormat="false" ht="15" hidden="false" customHeight="true" outlineLevel="0" collapsed="false"/>
    <row r="27613" customFormat="false" ht="15" hidden="false" customHeight="true" outlineLevel="0" collapsed="false"/>
    <row r="27614" customFormat="false" ht="15" hidden="false" customHeight="true" outlineLevel="0" collapsed="false"/>
    <row r="27615" customFormat="false" ht="15" hidden="false" customHeight="true" outlineLevel="0" collapsed="false"/>
    <row r="27616" customFormat="false" ht="15" hidden="false" customHeight="true" outlineLevel="0" collapsed="false"/>
    <row r="27617" customFormat="false" ht="15" hidden="false" customHeight="true" outlineLevel="0" collapsed="false"/>
    <row r="27618" customFormat="false" ht="15" hidden="false" customHeight="true" outlineLevel="0" collapsed="false"/>
    <row r="27619" customFormat="false" ht="15" hidden="false" customHeight="true" outlineLevel="0" collapsed="false"/>
    <row r="27620" customFormat="false" ht="15" hidden="false" customHeight="true" outlineLevel="0" collapsed="false"/>
    <row r="27621" customFormat="false" ht="15" hidden="false" customHeight="true" outlineLevel="0" collapsed="false"/>
    <row r="27622" customFormat="false" ht="15" hidden="false" customHeight="true" outlineLevel="0" collapsed="false"/>
    <row r="27623" customFormat="false" ht="15" hidden="false" customHeight="true" outlineLevel="0" collapsed="false"/>
    <row r="27624" customFormat="false" ht="15" hidden="false" customHeight="true" outlineLevel="0" collapsed="false"/>
    <row r="27625" customFormat="false" ht="15" hidden="false" customHeight="true" outlineLevel="0" collapsed="false"/>
    <row r="27626" customFormat="false" ht="15" hidden="false" customHeight="true" outlineLevel="0" collapsed="false"/>
    <row r="27627" customFormat="false" ht="15" hidden="false" customHeight="true" outlineLevel="0" collapsed="false"/>
    <row r="27628" customFormat="false" ht="15" hidden="false" customHeight="true" outlineLevel="0" collapsed="false"/>
    <row r="27629" customFormat="false" ht="15" hidden="false" customHeight="true" outlineLevel="0" collapsed="false"/>
    <row r="27630" customFormat="false" ht="15" hidden="false" customHeight="true" outlineLevel="0" collapsed="false"/>
    <row r="27631" customFormat="false" ht="15" hidden="false" customHeight="true" outlineLevel="0" collapsed="false"/>
    <row r="27632" customFormat="false" ht="15" hidden="false" customHeight="true" outlineLevel="0" collapsed="false"/>
    <row r="27633" customFormat="false" ht="15" hidden="false" customHeight="true" outlineLevel="0" collapsed="false"/>
    <row r="27634" customFormat="false" ht="15" hidden="false" customHeight="true" outlineLevel="0" collapsed="false"/>
    <row r="27635" customFormat="false" ht="15" hidden="false" customHeight="true" outlineLevel="0" collapsed="false"/>
    <row r="27636" customFormat="false" ht="15" hidden="false" customHeight="true" outlineLevel="0" collapsed="false"/>
    <row r="27637" customFormat="false" ht="15" hidden="false" customHeight="true" outlineLevel="0" collapsed="false"/>
    <row r="27638" customFormat="false" ht="15" hidden="false" customHeight="true" outlineLevel="0" collapsed="false"/>
    <row r="27639" customFormat="false" ht="15" hidden="false" customHeight="true" outlineLevel="0" collapsed="false"/>
    <row r="27640" customFormat="false" ht="15" hidden="false" customHeight="true" outlineLevel="0" collapsed="false"/>
    <row r="27641" customFormat="false" ht="15" hidden="false" customHeight="true" outlineLevel="0" collapsed="false"/>
    <row r="27642" customFormat="false" ht="15" hidden="false" customHeight="true" outlineLevel="0" collapsed="false"/>
    <row r="27643" customFormat="false" ht="15" hidden="false" customHeight="true" outlineLevel="0" collapsed="false"/>
    <row r="27644" customFormat="false" ht="15" hidden="false" customHeight="true" outlineLevel="0" collapsed="false"/>
    <row r="27645" customFormat="false" ht="15" hidden="false" customHeight="true" outlineLevel="0" collapsed="false"/>
    <row r="27646" customFormat="false" ht="15" hidden="false" customHeight="true" outlineLevel="0" collapsed="false"/>
    <row r="27647" customFormat="false" ht="15" hidden="false" customHeight="true" outlineLevel="0" collapsed="false"/>
    <row r="27648" customFormat="false" ht="15" hidden="false" customHeight="true" outlineLevel="0" collapsed="false"/>
    <row r="27649" customFormat="false" ht="15" hidden="false" customHeight="true" outlineLevel="0" collapsed="false"/>
    <row r="27650" customFormat="false" ht="15" hidden="false" customHeight="true" outlineLevel="0" collapsed="false"/>
    <row r="27651" customFormat="false" ht="15" hidden="false" customHeight="true" outlineLevel="0" collapsed="false"/>
    <row r="27652" customFormat="false" ht="15" hidden="false" customHeight="true" outlineLevel="0" collapsed="false"/>
    <row r="27653" customFormat="false" ht="15" hidden="false" customHeight="true" outlineLevel="0" collapsed="false"/>
    <row r="27654" customFormat="false" ht="15" hidden="false" customHeight="true" outlineLevel="0" collapsed="false"/>
    <row r="27655" customFormat="false" ht="15" hidden="false" customHeight="true" outlineLevel="0" collapsed="false"/>
    <row r="27656" customFormat="false" ht="15" hidden="false" customHeight="true" outlineLevel="0" collapsed="false"/>
    <row r="27657" customFormat="false" ht="15" hidden="false" customHeight="true" outlineLevel="0" collapsed="false"/>
    <row r="27658" customFormat="false" ht="15" hidden="false" customHeight="true" outlineLevel="0" collapsed="false"/>
    <row r="27659" customFormat="false" ht="15" hidden="false" customHeight="true" outlineLevel="0" collapsed="false"/>
    <row r="27660" customFormat="false" ht="15" hidden="false" customHeight="true" outlineLevel="0" collapsed="false"/>
    <row r="27661" customFormat="false" ht="15" hidden="false" customHeight="true" outlineLevel="0" collapsed="false"/>
    <row r="27662" customFormat="false" ht="15" hidden="false" customHeight="true" outlineLevel="0" collapsed="false"/>
    <row r="27663" customFormat="false" ht="15" hidden="false" customHeight="true" outlineLevel="0" collapsed="false"/>
    <row r="27664" customFormat="false" ht="15" hidden="false" customHeight="true" outlineLevel="0" collapsed="false"/>
    <row r="27665" customFormat="false" ht="15" hidden="false" customHeight="true" outlineLevel="0" collapsed="false"/>
    <row r="27666" customFormat="false" ht="15" hidden="false" customHeight="true" outlineLevel="0" collapsed="false"/>
    <row r="27667" customFormat="false" ht="15" hidden="false" customHeight="true" outlineLevel="0" collapsed="false"/>
    <row r="27668" customFormat="false" ht="15" hidden="false" customHeight="true" outlineLevel="0" collapsed="false"/>
    <row r="27669" customFormat="false" ht="15" hidden="false" customHeight="true" outlineLevel="0" collapsed="false"/>
    <row r="27670" customFormat="false" ht="15" hidden="false" customHeight="true" outlineLevel="0" collapsed="false"/>
    <row r="27671" customFormat="false" ht="15" hidden="false" customHeight="true" outlineLevel="0" collapsed="false"/>
    <row r="27672" customFormat="false" ht="15" hidden="false" customHeight="true" outlineLevel="0" collapsed="false"/>
    <row r="27673" customFormat="false" ht="15" hidden="false" customHeight="true" outlineLevel="0" collapsed="false"/>
    <row r="27674" customFormat="false" ht="15" hidden="false" customHeight="true" outlineLevel="0" collapsed="false"/>
    <row r="27675" customFormat="false" ht="15" hidden="false" customHeight="true" outlineLevel="0" collapsed="false"/>
    <row r="27676" customFormat="false" ht="15" hidden="false" customHeight="true" outlineLevel="0" collapsed="false"/>
    <row r="27677" customFormat="false" ht="15" hidden="false" customHeight="true" outlineLevel="0" collapsed="false"/>
    <row r="27678" customFormat="false" ht="15" hidden="false" customHeight="true" outlineLevel="0" collapsed="false"/>
    <row r="27679" customFormat="false" ht="15" hidden="false" customHeight="true" outlineLevel="0" collapsed="false"/>
    <row r="27680" customFormat="false" ht="15" hidden="false" customHeight="true" outlineLevel="0" collapsed="false"/>
    <row r="27681" customFormat="false" ht="15" hidden="false" customHeight="true" outlineLevel="0" collapsed="false"/>
    <row r="27682" customFormat="false" ht="15" hidden="false" customHeight="true" outlineLevel="0" collapsed="false"/>
    <row r="27683" customFormat="false" ht="15" hidden="false" customHeight="true" outlineLevel="0" collapsed="false"/>
    <row r="27684" customFormat="false" ht="15" hidden="false" customHeight="true" outlineLevel="0" collapsed="false"/>
    <row r="27685" customFormat="false" ht="15" hidden="false" customHeight="true" outlineLevel="0" collapsed="false"/>
    <row r="27686" customFormat="false" ht="15" hidden="false" customHeight="true" outlineLevel="0" collapsed="false"/>
    <row r="27687" customFormat="false" ht="15" hidden="false" customHeight="true" outlineLevel="0" collapsed="false"/>
    <row r="27688" customFormat="false" ht="15" hidden="false" customHeight="true" outlineLevel="0" collapsed="false"/>
    <row r="27689" customFormat="false" ht="15" hidden="false" customHeight="true" outlineLevel="0" collapsed="false"/>
    <row r="27690" customFormat="false" ht="15" hidden="false" customHeight="true" outlineLevel="0" collapsed="false"/>
    <row r="27691" customFormat="false" ht="15" hidden="false" customHeight="true" outlineLevel="0" collapsed="false"/>
    <row r="27692" customFormat="false" ht="15" hidden="false" customHeight="true" outlineLevel="0" collapsed="false"/>
    <row r="27693" customFormat="false" ht="15" hidden="false" customHeight="true" outlineLevel="0" collapsed="false"/>
    <row r="27694" customFormat="false" ht="15" hidden="false" customHeight="true" outlineLevel="0" collapsed="false"/>
    <row r="27695" customFormat="false" ht="15" hidden="false" customHeight="true" outlineLevel="0" collapsed="false"/>
    <row r="27696" customFormat="false" ht="15" hidden="false" customHeight="true" outlineLevel="0" collapsed="false"/>
    <row r="27697" customFormat="false" ht="15" hidden="false" customHeight="true" outlineLevel="0" collapsed="false"/>
    <row r="27698" customFormat="false" ht="15" hidden="false" customHeight="true" outlineLevel="0" collapsed="false"/>
    <row r="27699" customFormat="false" ht="15" hidden="false" customHeight="true" outlineLevel="0" collapsed="false"/>
    <row r="27700" customFormat="false" ht="15" hidden="false" customHeight="true" outlineLevel="0" collapsed="false"/>
    <row r="27701" customFormat="false" ht="15" hidden="false" customHeight="true" outlineLevel="0" collapsed="false"/>
    <row r="27702" customFormat="false" ht="15" hidden="false" customHeight="true" outlineLevel="0" collapsed="false"/>
    <row r="27703" customFormat="false" ht="15" hidden="false" customHeight="true" outlineLevel="0" collapsed="false"/>
    <row r="27704" customFormat="false" ht="15" hidden="false" customHeight="true" outlineLevel="0" collapsed="false"/>
    <row r="27705" customFormat="false" ht="15" hidden="false" customHeight="true" outlineLevel="0" collapsed="false"/>
    <row r="27706" customFormat="false" ht="15" hidden="false" customHeight="true" outlineLevel="0" collapsed="false"/>
    <row r="27707" customFormat="false" ht="15" hidden="false" customHeight="true" outlineLevel="0" collapsed="false"/>
    <row r="27708" customFormat="false" ht="15" hidden="false" customHeight="true" outlineLevel="0" collapsed="false"/>
    <row r="27709" customFormat="false" ht="15" hidden="false" customHeight="true" outlineLevel="0" collapsed="false"/>
    <row r="27710" customFormat="false" ht="15" hidden="false" customHeight="true" outlineLevel="0" collapsed="false"/>
    <row r="27711" customFormat="false" ht="15" hidden="false" customHeight="true" outlineLevel="0" collapsed="false"/>
    <row r="27712" customFormat="false" ht="15" hidden="false" customHeight="true" outlineLevel="0" collapsed="false"/>
    <row r="27713" customFormat="false" ht="15" hidden="false" customHeight="true" outlineLevel="0" collapsed="false"/>
    <row r="27714" customFormat="false" ht="15" hidden="false" customHeight="true" outlineLevel="0" collapsed="false"/>
    <row r="27715" customFormat="false" ht="15" hidden="false" customHeight="true" outlineLevel="0" collapsed="false"/>
    <row r="27716" customFormat="false" ht="15" hidden="false" customHeight="true" outlineLevel="0" collapsed="false"/>
    <row r="27717" customFormat="false" ht="15" hidden="false" customHeight="true" outlineLevel="0" collapsed="false"/>
    <row r="27718" customFormat="false" ht="15" hidden="false" customHeight="true" outlineLevel="0" collapsed="false"/>
    <row r="27719" customFormat="false" ht="15" hidden="false" customHeight="true" outlineLevel="0" collapsed="false"/>
    <row r="27720" customFormat="false" ht="15" hidden="false" customHeight="true" outlineLevel="0" collapsed="false"/>
    <row r="27721" customFormat="false" ht="15" hidden="false" customHeight="true" outlineLevel="0" collapsed="false"/>
    <row r="27722" customFormat="false" ht="15" hidden="false" customHeight="true" outlineLevel="0" collapsed="false"/>
    <row r="27723" customFormat="false" ht="15" hidden="false" customHeight="true" outlineLevel="0" collapsed="false"/>
    <row r="27724" customFormat="false" ht="15" hidden="false" customHeight="true" outlineLevel="0" collapsed="false"/>
    <row r="27725" customFormat="false" ht="15" hidden="false" customHeight="true" outlineLevel="0" collapsed="false"/>
    <row r="27726" customFormat="false" ht="15" hidden="false" customHeight="true" outlineLevel="0" collapsed="false"/>
    <row r="27727" customFormat="false" ht="15" hidden="false" customHeight="true" outlineLevel="0" collapsed="false"/>
    <row r="27728" customFormat="false" ht="15" hidden="false" customHeight="true" outlineLevel="0" collapsed="false"/>
    <row r="27729" customFormat="false" ht="15" hidden="false" customHeight="true" outlineLevel="0" collapsed="false"/>
    <row r="27730" customFormat="false" ht="15" hidden="false" customHeight="true" outlineLevel="0" collapsed="false"/>
    <row r="27731" customFormat="false" ht="15" hidden="false" customHeight="true" outlineLevel="0" collapsed="false"/>
    <row r="27732" customFormat="false" ht="15" hidden="false" customHeight="true" outlineLevel="0" collapsed="false"/>
    <row r="27733" customFormat="false" ht="15" hidden="false" customHeight="true" outlineLevel="0" collapsed="false"/>
    <row r="27734" customFormat="false" ht="15" hidden="false" customHeight="true" outlineLevel="0" collapsed="false"/>
    <row r="27735" customFormat="false" ht="15" hidden="false" customHeight="true" outlineLevel="0" collapsed="false"/>
    <row r="27736" customFormat="false" ht="15" hidden="false" customHeight="true" outlineLevel="0" collapsed="false"/>
    <row r="27737" customFormat="false" ht="15" hidden="false" customHeight="true" outlineLevel="0" collapsed="false"/>
    <row r="27738" customFormat="false" ht="15" hidden="false" customHeight="true" outlineLevel="0" collapsed="false"/>
    <row r="27739" customFormat="false" ht="15" hidden="false" customHeight="true" outlineLevel="0" collapsed="false"/>
    <row r="27740" customFormat="false" ht="15" hidden="false" customHeight="true" outlineLevel="0" collapsed="false"/>
    <row r="27741" customFormat="false" ht="15" hidden="false" customHeight="true" outlineLevel="0" collapsed="false"/>
    <row r="27742" customFormat="false" ht="15" hidden="false" customHeight="true" outlineLevel="0" collapsed="false"/>
    <row r="27743" customFormat="false" ht="15" hidden="false" customHeight="true" outlineLevel="0" collapsed="false"/>
    <row r="27744" customFormat="false" ht="15" hidden="false" customHeight="true" outlineLevel="0" collapsed="false"/>
    <row r="27745" customFormat="false" ht="15" hidden="false" customHeight="true" outlineLevel="0" collapsed="false"/>
    <row r="27746" customFormat="false" ht="15" hidden="false" customHeight="true" outlineLevel="0" collapsed="false"/>
    <row r="27747" customFormat="false" ht="15" hidden="false" customHeight="true" outlineLevel="0" collapsed="false"/>
    <row r="27748" customFormat="false" ht="15" hidden="false" customHeight="true" outlineLevel="0" collapsed="false"/>
    <row r="27749" customFormat="false" ht="15" hidden="false" customHeight="true" outlineLevel="0" collapsed="false"/>
    <row r="27750" customFormat="false" ht="15" hidden="false" customHeight="true" outlineLevel="0" collapsed="false"/>
    <row r="27751" customFormat="false" ht="15" hidden="false" customHeight="true" outlineLevel="0" collapsed="false"/>
    <row r="27752" customFormat="false" ht="15" hidden="false" customHeight="true" outlineLevel="0" collapsed="false"/>
    <row r="27753" customFormat="false" ht="15" hidden="false" customHeight="true" outlineLevel="0" collapsed="false"/>
    <row r="27754" customFormat="false" ht="15" hidden="false" customHeight="true" outlineLevel="0" collapsed="false"/>
    <row r="27755" customFormat="false" ht="15" hidden="false" customHeight="true" outlineLevel="0" collapsed="false"/>
    <row r="27756" customFormat="false" ht="15" hidden="false" customHeight="true" outlineLevel="0" collapsed="false"/>
    <row r="27757" customFormat="false" ht="15" hidden="false" customHeight="true" outlineLevel="0" collapsed="false"/>
    <row r="27758" customFormat="false" ht="15" hidden="false" customHeight="true" outlineLevel="0" collapsed="false"/>
    <row r="27759" customFormat="false" ht="15" hidden="false" customHeight="true" outlineLevel="0" collapsed="false"/>
    <row r="27760" customFormat="false" ht="15" hidden="false" customHeight="true" outlineLevel="0" collapsed="false"/>
    <row r="27761" customFormat="false" ht="15" hidden="false" customHeight="true" outlineLevel="0" collapsed="false"/>
    <row r="27762" customFormat="false" ht="15" hidden="false" customHeight="true" outlineLevel="0" collapsed="false"/>
    <row r="27763" customFormat="false" ht="15" hidden="false" customHeight="true" outlineLevel="0" collapsed="false"/>
    <row r="27764" customFormat="false" ht="15" hidden="false" customHeight="true" outlineLevel="0" collapsed="false"/>
    <row r="27765" customFormat="false" ht="15" hidden="false" customHeight="true" outlineLevel="0" collapsed="false"/>
    <row r="27766" customFormat="false" ht="15" hidden="false" customHeight="true" outlineLevel="0" collapsed="false"/>
    <row r="27767" customFormat="false" ht="15" hidden="false" customHeight="true" outlineLevel="0" collapsed="false"/>
    <row r="27768" customFormat="false" ht="15" hidden="false" customHeight="true" outlineLevel="0" collapsed="false"/>
    <row r="27769" customFormat="false" ht="15" hidden="false" customHeight="true" outlineLevel="0" collapsed="false"/>
    <row r="27770" customFormat="false" ht="15" hidden="false" customHeight="true" outlineLevel="0" collapsed="false"/>
    <row r="27771" customFormat="false" ht="15" hidden="false" customHeight="true" outlineLevel="0" collapsed="false"/>
    <row r="27772" customFormat="false" ht="15" hidden="false" customHeight="true" outlineLevel="0" collapsed="false"/>
    <row r="27773" customFormat="false" ht="15" hidden="false" customHeight="true" outlineLevel="0" collapsed="false"/>
    <row r="27774" customFormat="false" ht="15" hidden="false" customHeight="true" outlineLevel="0" collapsed="false"/>
    <row r="27775" customFormat="false" ht="15" hidden="false" customHeight="true" outlineLevel="0" collapsed="false"/>
    <row r="27776" customFormat="false" ht="15" hidden="false" customHeight="true" outlineLevel="0" collapsed="false"/>
    <row r="27777" customFormat="false" ht="15" hidden="false" customHeight="true" outlineLevel="0" collapsed="false"/>
    <row r="27778" customFormat="false" ht="15" hidden="false" customHeight="true" outlineLevel="0" collapsed="false"/>
    <row r="27779" customFormat="false" ht="15" hidden="false" customHeight="true" outlineLevel="0" collapsed="false"/>
    <row r="27780" customFormat="false" ht="15" hidden="false" customHeight="true" outlineLevel="0" collapsed="false"/>
    <row r="27781" customFormat="false" ht="15" hidden="false" customHeight="true" outlineLevel="0" collapsed="false"/>
    <row r="27782" customFormat="false" ht="15" hidden="false" customHeight="true" outlineLevel="0" collapsed="false"/>
    <row r="27783" customFormat="false" ht="15" hidden="false" customHeight="true" outlineLevel="0" collapsed="false"/>
    <row r="27784" customFormat="false" ht="15" hidden="false" customHeight="true" outlineLevel="0" collapsed="false"/>
    <row r="27785" customFormat="false" ht="15" hidden="false" customHeight="true" outlineLevel="0" collapsed="false"/>
    <row r="27786" customFormat="false" ht="15" hidden="false" customHeight="true" outlineLevel="0" collapsed="false"/>
    <row r="27787" customFormat="false" ht="15" hidden="false" customHeight="true" outlineLevel="0" collapsed="false"/>
    <row r="27788" customFormat="false" ht="15" hidden="false" customHeight="true" outlineLevel="0" collapsed="false"/>
    <row r="27789" customFormat="false" ht="15" hidden="false" customHeight="true" outlineLevel="0" collapsed="false"/>
    <row r="27790" customFormat="false" ht="15" hidden="false" customHeight="true" outlineLevel="0" collapsed="false"/>
    <row r="27791" customFormat="false" ht="15" hidden="false" customHeight="true" outlineLevel="0" collapsed="false"/>
    <row r="27792" customFormat="false" ht="15" hidden="false" customHeight="true" outlineLevel="0" collapsed="false"/>
    <row r="27793" customFormat="false" ht="15" hidden="false" customHeight="true" outlineLevel="0" collapsed="false"/>
    <row r="27794" customFormat="false" ht="15" hidden="false" customHeight="true" outlineLevel="0" collapsed="false"/>
    <row r="27795" customFormat="false" ht="15" hidden="false" customHeight="true" outlineLevel="0" collapsed="false"/>
    <row r="27796" customFormat="false" ht="15" hidden="false" customHeight="true" outlineLevel="0" collapsed="false"/>
    <row r="27797" customFormat="false" ht="15" hidden="false" customHeight="true" outlineLevel="0" collapsed="false"/>
    <row r="27798" customFormat="false" ht="15" hidden="false" customHeight="true" outlineLevel="0" collapsed="false"/>
    <row r="27799" customFormat="false" ht="15" hidden="false" customHeight="true" outlineLevel="0" collapsed="false"/>
    <row r="27800" customFormat="false" ht="15" hidden="false" customHeight="true" outlineLevel="0" collapsed="false"/>
    <row r="27801" customFormat="false" ht="15" hidden="false" customHeight="true" outlineLevel="0" collapsed="false"/>
    <row r="27802" customFormat="false" ht="15" hidden="false" customHeight="true" outlineLevel="0" collapsed="false"/>
    <row r="27803" customFormat="false" ht="15" hidden="false" customHeight="true" outlineLevel="0" collapsed="false"/>
    <row r="27804" customFormat="false" ht="15" hidden="false" customHeight="true" outlineLevel="0" collapsed="false"/>
    <row r="27805" customFormat="false" ht="15" hidden="false" customHeight="true" outlineLevel="0" collapsed="false"/>
    <row r="27806" customFormat="false" ht="15" hidden="false" customHeight="true" outlineLevel="0" collapsed="false"/>
    <row r="27807" customFormat="false" ht="15" hidden="false" customHeight="true" outlineLevel="0" collapsed="false"/>
    <row r="27808" customFormat="false" ht="15" hidden="false" customHeight="true" outlineLevel="0" collapsed="false"/>
    <row r="27809" customFormat="false" ht="15" hidden="false" customHeight="true" outlineLevel="0" collapsed="false"/>
    <row r="27810" customFormat="false" ht="15" hidden="false" customHeight="true" outlineLevel="0" collapsed="false"/>
    <row r="27811" customFormat="false" ht="15" hidden="false" customHeight="true" outlineLevel="0" collapsed="false"/>
    <row r="27812" customFormat="false" ht="15" hidden="false" customHeight="true" outlineLevel="0" collapsed="false"/>
    <row r="27813" customFormat="false" ht="15" hidden="false" customHeight="true" outlineLevel="0" collapsed="false"/>
    <row r="27814" customFormat="false" ht="15" hidden="false" customHeight="true" outlineLevel="0" collapsed="false"/>
    <row r="27815" customFormat="false" ht="15" hidden="false" customHeight="true" outlineLevel="0" collapsed="false"/>
    <row r="27816" customFormat="false" ht="15" hidden="false" customHeight="true" outlineLevel="0" collapsed="false"/>
    <row r="27817" customFormat="false" ht="15" hidden="false" customHeight="true" outlineLevel="0" collapsed="false"/>
    <row r="27818" customFormat="false" ht="15" hidden="false" customHeight="true" outlineLevel="0" collapsed="false"/>
    <row r="27819" customFormat="false" ht="15" hidden="false" customHeight="true" outlineLevel="0" collapsed="false"/>
    <row r="27820" customFormat="false" ht="15" hidden="false" customHeight="true" outlineLevel="0" collapsed="false"/>
    <row r="27821" customFormat="false" ht="15" hidden="false" customHeight="true" outlineLevel="0" collapsed="false"/>
    <row r="27822" customFormat="false" ht="15" hidden="false" customHeight="true" outlineLevel="0" collapsed="false"/>
    <row r="27823" customFormat="false" ht="15" hidden="false" customHeight="true" outlineLevel="0" collapsed="false"/>
    <row r="27824" customFormat="false" ht="15" hidden="false" customHeight="true" outlineLevel="0" collapsed="false"/>
    <row r="27825" customFormat="false" ht="15" hidden="false" customHeight="true" outlineLevel="0" collapsed="false"/>
    <row r="27826" customFormat="false" ht="15" hidden="false" customHeight="true" outlineLevel="0" collapsed="false"/>
    <row r="27827" customFormat="false" ht="15" hidden="false" customHeight="true" outlineLevel="0" collapsed="false"/>
    <row r="27828" customFormat="false" ht="15" hidden="false" customHeight="true" outlineLevel="0" collapsed="false"/>
    <row r="27829" customFormat="false" ht="15" hidden="false" customHeight="true" outlineLevel="0" collapsed="false"/>
    <row r="27830" customFormat="false" ht="15" hidden="false" customHeight="true" outlineLevel="0" collapsed="false"/>
    <row r="27831" customFormat="false" ht="15" hidden="false" customHeight="true" outlineLevel="0" collapsed="false"/>
    <row r="27832" customFormat="false" ht="15" hidden="false" customHeight="true" outlineLevel="0" collapsed="false"/>
    <row r="27833" customFormat="false" ht="15" hidden="false" customHeight="true" outlineLevel="0" collapsed="false"/>
    <row r="27834" customFormat="false" ht="15" hidden="false" customHeight="true" outlineLevel="0" collapsed="false"/>
    <row r="27835" customFormat="false" ht="15" hidden="false" customHeight="true" outlineLevel="0" collapsed="false"/>
    <row r="27836" customFormat="false" ht="15" hidden="false" customHeight="true" outlineLevel="0" collapsed="false"/>
    <row r="27837" customFormat="false" ht="15" hidden="false" customHeight="true" outlineLevel="0" collapsed="false"/>
    <row r="27838" customFormat="false" ht="15" hidden="false" customHeight="true" outlineLevel="0" collapsed="false"/>
    <row r="27839" customFormat="false" ht="15" hidden="false" customHeight="true" outlineLevel="0" collapsed="false"/>
    <row r="27840" customFormat="false" ht="15" hidden="false" customHeight="true" outlineLevel="0" collapsed="false"/>
    <row r="27841" customFormat="false" ht="15" hidden="false" customHeight="true" outlineLevel="0" collapsed="false"/>
    <row r="27842" customFormat="false" ht="15" hidden="false" customHeight="true" outlineLevel="0" collapsed="false"/>
    <row r="27843" customFormat="false" ht="15" hidden="false" customHeight="true" outlineLevel="0" collapsed="false"/>
    <row r="27844" customFormat="false" ht="15" hidden="false" customHeight="true" outlineLevel="0" collapsed="false"/>
    <row r="27845" customFormat="false" ht="15" hidden="false" customHeight="true" outlineLevel="0" collapsed="false"/>
    <row r="27846" customFormat="false" ht="15" hidden="false" customHeight="true" outlineLevel="0" collapsed="false"/>
    <row r="27847" customFormat="false" ht="15" hidden="false" customHeight="true" outlineLevel="0" collapsed="false"/>
    <row r="27848" customFormat="false" ht="15" hidden="false" customHeight="true" outlineLevel="0" collapsed="false"/>
    <row r="27849" customFormat="false" ht="15" hidden="false" customHeight="true" outlineLevel="0" collapsed="false"/>
    <row r="27850" customFormat="false" ht="15" hidden="false" customHeight="true" outlineLevel="0" collapsed="false"/>
    <row r="27851" customFormat="false" ht="15" hidden="false" customHeight="true" outlineLevel="0" collapsed="false"/>
    <row r="27852" customFormat="false" ht="15" hidden="false" customHeight="true" outlineLevel="0" collapsed="false"/>
    <row r="27853" customFormat="false" ht="15" hidden="false" customHeight="true" outlineLevel="0" collapsed="false"/>
    <row r="27854" customFormat="false" ht="15" hidden="false" customHeight="true" outlineLevel="0" collapsed="false"/>
    <row r="27855" customFormat="false" ht="15" hidden="false" customHeight="true" outlineLevel="0" collapsed="false"/>
    <row r="27856" customFormat="false" ht="15" hidden="false" customHeight="true" outlineLevel="0" collapsed="false"/>
    <row r="27857" customFormat="false" ht="15" hidden="false" customHeight="true" outlineLevel="0" collapsed="false"/>
    <row r="27858" customFormat="false" ht="15" hidden="false" customHeight="true" outlineLevel="0" collapsed="false"/>
    <row r="27859" customFormat="false" ht="15" hidden="false" customHeight="true" outlineLevel="0" collapsed="false"/>
    <row r="27860" customFormat="false" ht="15" hidden="false" customHeight="true" outlineLevel="0" collapsed="false"/>
    <row r="27861" customFormat="false" ht="15" hidden="false" customHeight="true" outlineLevel="0" collapsed="false"/>
    <row r="27862" customFormat="false" ht="15" hidden="false" customHeight="true" outlineLevel="0" collapsed="false"/>
    <row r="27863" customFormat="false" ht="15" hidden="false" customHeight="true" outlineLevel="0" collapsed="false"/>
    <row r="27864" customFormat="false" ht="15" hidden="false" customHeight="true" outlineLevel="0" collapsed="false"/>
    <row r="27865" customFormat="false" ht="15" hidden="false" customHeight="true" outlineLevel="0" collapsed="false"/>
    <row r="27866" customFormat="false" ht="15" hidden="false" customHeight="true" outlineLevel="0" collapsed="false"/>
    <row r="27867" customFormat="false" ht="15" hidden="false" customHeight="true" outlineLevel="0" collapsed="false"/>
    <row r="27868" customFormat="false" ht="15" hidden="false" customHeight="true" outlineLevel="0" collapsed="false"/>
    <row r="27869" customFormat="false" ht="15" hidden="false" customHeight="true" outlineLevel="0" collapsed="false"/>
    <row r="27870" customFormat="false" ht="15" hidden="false" customHeight="true" outlineLevel="0" collapsed="false"/>
    <row r="27871" customFormat="false" ht="15" hidden="false" customHeight="true" outlineLevel="0" collapsed="false"/>
    <row r="27872" customFormat="false" ht="15" hidden="false" customHeight="true" outlineLevel="0" collapsed="false"/>
    <row r="27873" customFormat="false" ht="15" hidden="false" customHeight="true" outlineLevel="0" collapsed="false"/>
    <row r="27874" customFormat="false" ht="15" hidden="false" customHeight="true" outlineLevel="0" collapsed="false"/>
    <row r="27875" customFormat="false" ht="15" hidden="false" customHeight="true" outlineLevel="0" collapsed="false"/>
    <row r="27876" customFormat="false" ht="15" hidden="false" customHeight="true" outlineLevel="0" collapsed="false"/>
    <row r="27877" customFormat="false" ht="15" hidden="false" customHeight="true" outlineLevel="0" collapsed="false"/>
    <row r="27878" customFormat="false" ht="15" hidden="false" customHeight="true" outlineLevel="0" collapsed="false"/>
    <row r="27879" customFormat="false" ht="15" hidden="false" customHeight="true" outlineLevel="0" collapsed="false"/>
    <row r="27880" customFormat="false" ht="15" hidden="false" customHeight="true" outlineLevel="0" collapsed="false"/>
    <row r="27881" customFormat="false" ht="15" hidden="false" customHeight="true" outlineLevel="0" collapsed="false"/>
    <row r="27882" customFormat="false" ht="15" hidden="false" customHeight="true" outlineLevel="0" collapsed="false"/>
    <row r="27883" customFormat="false" ht="15" hidden="false" customHeight="true" outlineLevel="0" collapsed="false"/>
    <row r="27884" customFormat="false" ht="15" hidden="false" customHeight="true" outlineLevel="0" collapsed="false"/>
    <row r="27885" customFormat="false" ht="15" hidden="false" customHeight="true" outlineLevel="0" collapsed="false"/>
    <row r="27886" customFormat="false" ht="15" hidden="false" customHeight="true" outlineLevel="0" collapsed="false"/>
    <row r="27887" customFormat="false" ht="15" hidden="false" customHeight="true" outlineLevel="0" collapsed="false"/>
    <row r="27888" customFormat="false" ht="15" hidden="false" customHeight="true" outlineLevel="0" collapsed="false"/>
    <row r="27889" customFormat="false" ht="15" hidden="false" customHeight="true" outlineLevel="0" collapsed="false"/>
    <row r="27890" customFormat="false" ht="15" hidden="false" customHeight="true" outlineLevel="0" collapsed="false"/>
    <row r="27891" customFormat="false" ht="15" hidden="false" customHeight="true" outlineLevel="0" collapsed="false"/>
    <row r="27892" customFormat="false" ht="15" hidden="false" customHeight="true" outlineLevel="0" collapsed="false"/>
    <row r="27893" customFormat="false" ht="15" hidden="false" customHeight="true" outlineLevel="0" collapsed="false"/>
    <row r="27894" customFormat="false" ht="15" hidden="false" customHeight="true" outlineLevel="0" collapsed="false"/>
    <row r="27895" customFormat="false" ht="15" hidden="false" customHeight="true" outlineLevel="0" collapsed="false"/>
    <row r="27896" customFormat="false" ht="15" hidden="false" customHeight="true" outlineLevel="0" collapsed="false"/>
    <row r="27897" customFormat="false" ht="15" hidden="false" customHeight="true" outlineLevel="0" collapsed="false"/>
    <row r="27898" customFormat="false" ht="15" hidden="false" customHeight="true" outlineLevel="0" collapsed="false"/>
    <row r="27899" customFormat="false" ht="15" hidden="false" customHeight="true" outlineLevel="0" collapsed="false"/>
    <row r="27900" customFormat="false" ht="15" hidden="false" customHeight="true" outlineLevel="0" collapsed="false"/>
    <row r="27901" customFormat="false" ht="15" hidden="false" customHeight="true" outlineLevel="0" collapsed="false"/>
    <row r="27902" customFormat="false" ht="15" hidden="false" customHeight="true" outlineLevel="0" collapsed="false"/>
    <row r="27903" customFormat="false" ht="15" hidden="false" customHeight="true" outlineLevel="0" collapsed="false"/>
    <row r="27904" customFormat="false" ht="15" hidden="false" customHeight="true" outlineLevel="0" collapsed="false"/>
    <row r="27905" customFormat="false" ht="15" hidden="false" customHeight="true" outlineLevel="0" collapsed="false"/>
    <row r="27906" customFormat="false" ht="15" hidden="false" customHeight="true" outlineLevel="0" collapsed="false"/>
    <row r="27907" customFormat="false" ht="15" hidden="false" customHeight="true" outlineLevel="0" collapsed="false"/>
    <row r="27908" customFormat="false" ht="15" hidden="false" customHeight="true" outlineLevel="0" collapsed="false"/>
    <row r="27909" customFormat="false" ht="15" hidden="false" customHeight="true" outlineLevel="0" collapsed="false"/>
    <row r="27910" customFormat="false" ht="15" hidden="false" customHeight="true" outlineLevel="0" collapsed="false"/>
    <row r="27911" customFormat="false" ht="15" hidden="false" customHeight="true" outlineLevel="0" collapsed="false"/>
    <row r="27912" customFormat="false" ht="15" hidden="false" customHeight="true" outlineLevel="0" collapsed="false"/>
    <row r="27913" customFormat="false" ht="15" hidden="false" customHeight="true" outlineLevel="0" collapsed="false"/>
    <row r="27914" customFormat="false" ht="15" hidden="false" customHeight="true" outlineLevel="0" collapsed="false"/>
    <row r="27915" customFormat="false" ht="15" hidden="false" customHeight="true" outlineLevel="0" collapsed="false"/>
    <row r="27916" customFormat="false" ht="15" hidden="false" customHeight="true" outlineLevel="0" collapsed="false"/>
    <row r="27917" customFormat="false" ht="15" hidden="false" customHeight="true" outlineLevel="0" collapsed="false"/>
    <row r="27918" customFormat="false" ht="15" hidden="false" customHeight="true" outlineLevel="0" collapsed="false"/>
    <row r="27919" customFormat="false" ht="15" hidden="false" customHeight="true" outlineLevel="0" collapsed="false"/>
    <row r="27920" customFormat="false" ht="15" hidden="false" customHeight="true" outlineLevel="0" collapsed="false"/>
    <row r="27921" customFormat="false" ht="15" hidden="false" customHeight="true" outlineLevel="0" collapsed="false"/>
    <row r="27922" customFormat="false" ht="15" hidden="false" customHeight="true" outlineLevel="0" collapsed="false"/>
    <row r="27923" customFormat="false" ht="15" hidden="false" customHeight="true" outlineLevel="0" collapsed="false"/>
    <row r="27924" customFormat="false" ht="15" hidden="false" customHeight="true" outlineLevel="0" collapsed="false"/>
    <row r="27925" customFormat="false" ht="15" hidden="false" customHeight="true" outlineLevel="0" collapsed="false"/>
    <row r="27926" customFormat="false" ht="15" hidden="false" customHeight="true" outlineLevel="0" collapsed="false"/>
    <row r="27927" customFormat="false" ht="15" hidden="false" customHeight="true" outlineLevel="0" collapsed="false"/>
    <row r="27928" customFormat="false" ht="15" hidden="false" customHeight="true" outlineLevel="0" collapsed="false"/>
    <row r="27929" customFormat="false" ht="15" hidden="false" customHeight="true" outlineLevel="0" collapsed="false"/>
    <row r="27930" customFormat="false" ht="15" hidden="false" customHeight="true" outlineLevel="0" collapsed="false"/>
    <row r="27931" customFormat="false" ht="15" hidden="false" customHeight="true" outlineLevel="0" collapsed="false"/>
    <row r="27932" customFormat="false" ht="15" hidden="false" customHeight="true" outlineLevel="0" collapsed="false"/>
    <row r="27933" customFormat="false" ht="15" hidden="false" customHeight="true" outlineLevel="0" collapsed="false"/>
    <row r="27934" customFormat="false" ht="15" hidden="false" customHeight="true" outlineLevel="0" collapsed="false"/>
    <row r="27935" customFormat="false" ht="15" hidden="false" customHeight="true" outlineLevel="0" collapsed="false"/>
    <row r="27936" customFormat="false" ht="15" hidden="false" customHeight="true" outlineLevel="0" collapsed="false"/>
    <row r="27937" customFormat="false" ht="15" hidden="false" customHeight="true" outlineLevel="0" collapsed="false"/>
    <row r="27938" customFormat="false" ht="15" hidden="false" customHeight="true" outlineLevel="0" collapsed="false"/>
    <row r="27939" customFormat="false" ht="15" hidden="false" customHeight="true" outlineLevel="0" collapsed="false"/>
    <row r="27940" customFormat="false" ht="15" hidden="false" customHeight="true" outlineLevel="0" collapsed="false"/>
    <row r="27941" customFormat="false" ht="15" hidden="false" customHeight="true" outlineLevel="0" collapsed="false"/>
    <row r="27942" customFormat="false" ht="15" hidden="false" customHeight="true" outlineLevel="0" collapsed="false"/>
    <row r="27943" customFormat="false" ht="15" hidden="false" customHeight="true" outlineLevel="0" collapsed="false"/>
    <row r="27944" customFormat="false" ht="15" hidden="false" customHeight="true" outlineLevel="0" collapsed="false"/>
    <row r="27945" customFormat="false" ht="15" hidden="false" customHeight="true" outlineLevel="0" collapsed="false"/>
    <row r="27946" customFormat="false" ht="15" hidden="false" customHeight="true" outlineLevel="0" collapsed="false"/>
    <row r="27947" customFormat="false" ht="15" hidden="false" customHeight="true" outlineLevel="0" collapsed="false"/>
    <row r="27948" customFormat="false" ht="15" hidden="false" customHeight="true" outlineLevel="0" collapsed="false"/>
    <row r="27949" customFormat="false" ht="15" hidden="false" customHeight="true" outlineLevel="0" collapsed="false"/>
    <row r="27950" customFormat="false" ht="15" hidden="false" customHeight="true" outlineLevel="0" collapsed="false"/>
    <row r="27951" customFormat="false" ht="15" hidden="false" customHeight="true" outlineLevel="0" collapsed="false"/>
    <row r="27952" customFormat="false" ht="15" hidden="false" customHeight="true" outlineLevel="0" collapsed="false"/>
    <row r="27953" customFormat="false" ht="15" hidden="false" customHeight="true" outlineLevel="0" collapsed="false"/>
    <row r="27954" customFormat="false" ht="15" hidden="false" customHeight="true" outlineLevel="0" collapsed="false"/>
    <row r="27955" customFormat="false" ht="15" hidden="false" customHeight="true" outlineLevel="0" collapsed="false"/>
    <row r="27956" customFormat="false" ht="15" hidden="false" customHeight="true" outlineLevel="0" collapsed="false"/>
    <row r="27957" customFormat="false" ht="15" hidden="false" customHeight="true" outlineLevel="0" collapsed="false"/>
    <row r="27958" customFormat="false" ht="15" hidden="false" customHeight="true" outlineLevel="0" collapsed="false"/>
    <row r="27959" customFormat="false" ht="15" hidden="false" customHeight="true" outlineLevel="0" collapsed="false"/>
    <row r="27960" customFormat="false" ht="15" hidden="false" customHeight="true" outlineLevel="0" collapsed="false"/>
    <row r="27961" customFormat="false" ht="15" hidden="false" customHeight="true" outlineLevel="0" collapsed="false"/>
    <row r="27962" customFormat="false" ht="15" hidden="false" customHeight="true" outlineLevel="0" collapsed="false"/>
    <row r="27963" customFormat="false" ht="15" hidden="false" customHeight="true" outlineLevel="0" collapsed="false"/>
    <row r="27964" customFormat="false" ht="15" hidden="false" customHeight="true" outlineLevel="0" collapsed="false"/>
    <row r="27965" customFormat="false" ht="15" hidden="false" customHeight="true" outlineLevel="0" collapsed="false"/>
    <row r="27966" customFormat="false" ht="15" hidden="false" customHeight="true" outlineLevel="0" collapsed="false"/>
    <row r="27967" customFormat="false" ht="15" hidden="false" customHeight="true" outlineLevel="0" collapsed="false"/>
    <row r="27968" customFormat="false" ht="15" hidden="false" customHeight="true" outlineLevel="0" collapsed="false"/>
    <row r="27969" customFormat="false" ht="15" hidden="false" customHeight="true" outlineLevel="0" collapsed="false"/>
    <row r="27970" customFormat="false" ht="15" hidden="false" customHeight="true" outlineLevel="0" collapsed="false"/>
    <row r="27971" customFormat="false" ht="15" hidden="false" customHeight="true" outlineLevel="0" collapsed="false"/>
    <row r="27972" customFormat="false" ht="15" hidden="false" customHeight="true" outlineLevel="0" collapsed="false"/>
    <row r="27973" customFormat="false" ht="15" hidden="false" customHeight="true" outlineLevel="0" collapsed="false"/>
    <row r="27974" customFormat="false" ht="15" hidden="false" customHeight="true" outlineLevel="0" collapsed="false"/>
    <row r="27975" customFormat="false" ht="15" hidden="false" customHeight="true" outlineLevel="0" collapsed="false"/>
    <row r="27976" customFormat="false" ht="15" hidden="false" customHeight="true" outlineLevel="0" collapsed="false"/>
    <row r="27977" customFormat="false" ht="15" hidden="false" customHeight="true" outlineLevel="0" collapsed="false"/>
    <row r="27978" customFormat="false" ht="15" hidden="false" customHeight="true" outlineLevel="0" collapsed="false"/>
    <row r="27979" customFormat="false" ht="15" hidden="false" customHeight="true" outlineLevel="0" collapsed="false"/>
    <row r="27980" customFormat="false" ht="15" hidden="false" customHeight="true" outlineLevel="0" collapsed="false"/>
    <row r="27981" customFormat="false" ht="15" hidden="false" customHeight="true" outlineLevel="0" collapsed="false"/>
    <row r="27982" customFormat="false" ht="15" hidden="false" customHeight="true" outlineLevel="0" collapsed="false"/>
    <row r="27983" customFormat="false" ht="15" hidden="false" customHeight="true" outlineLevel="0" collapsed="false"/>
    <row r="27984" customFormat="false" ht="15" hidden="false" customHeight="true" outlineLevel="0" collapsed="false"/>
    <row r="27985" customFormat="false" ht="15" hidden="false" customHeight="true" outlineLevel="0" collapsed="false"/>
    <row r="27986" customFormat="false" ht="15" hidden="false" customHeight="true" outlineLevel="0" collapsed="false"/>
    <row r="27987" customFormat="false" ht="15" hidden="false" customHeight="true" outlineLevel="0" collapsed="false"/>
    <row r="27988" customFormat="false" ht="15" hidden="false" customHeight="true" outlineLevel="0" collapsed="false"/>
    <row r="27989" customFormat="false" ht="15" hidden="false" customHeight="true" outlineLevel="0" collapsed="false"/>
    <row r="27990" customFormat="false" ht="15" hidden="false" customHeight="true" outlineLevel="0" collapsed="false"/>
    <row r="27991" customFormat="false" ht="15" hidden="false" customHeight="true" outlineLevel="0" collapsed="false"/>
    <row r="27992" customFormat="false" ht="15" hidden="false" customHeight="true" outlineLevel="0" collapsed="false"/>
    <row r="27993" customFormat="false" ht="15" hidden="false" customHeight="true" outlineLevel="0" collapsed="false"/>
    <row r="27994" customFormat="false" ht="15" hidden="false" customHeight="true" outlineLevel="0" collapsed="false"/>
    <row r="27995" customFormat="false" ht="15" hidden="false" customHeight="true" outlineLevel="0" collapsed="false"/>
    <row r="27996" customFormat="false" ht="15" hidden="false" customHeight="true" outlineLevel="0" collapsed="false"/>
    <row r="27997" customFormat="false" ht="15" hidden="false" customHeight="true" outlineLevel="0" collapsed="false"/>
    <row r="27998" customFormat="false" ht="15" hidden="false" customHeight="true" outlineLevel="0" collapsed="false"/>
    <row r="27999" customFormat="false" ht="15" hidden="false" customHeight="true" outlineLevel="0" collapsed="false"/>
    <row r="28000" customFormat="false" ht="15" hidden="false" customHeight="true" outlineLevel="0" collapsed="false"/>
    <row r="28001" customFormat="false" ht="15" hidden="false" customHeight="true" outlineLevel="0" collapsed="false"/>
    <row r="28002" customFormat="false" ht="15" hidden="false" customHeight="true" outlineLevel="0" collapsed="false"/>
    <row r="28003" customFormat="false" ht="15" hidden="false" customHeight="true" outlineLevel="0" collapsed="false"/>
    <row r="28004" customFormat="false" ht="15" hidden="false" customHeight="true" outlineLevel="0" collapsed="false"/>
    <row r="28005" customFormat="false" ht="15" hidden="false" customHeight="true" outlineLevel="0" collapsed="false"/>
    <row r="28006" customFormat="false" ht="15" hidden="false" customHeight="true" outlineLevel="0" collapsed="false"/>
    <row r="28007" customFormat="false" ht="15" hidden="false" customHeight="true" outlineLevel="0" collapsed="false"/>
    <row r="28008" customFormat="false" ht="15" hidden="false" customHeight="true" outlineLevel="0" collapsed="false"/>
    <row r="28009" customFormat="false" ht="15" hidden="false" customHeight="true" outlineLevel="0" collapsed="false"/>
    <row r="28010" customFormat="false" ht="15" hidden="false" customHeight="true" outlineLevel="0" collapsed="false"/>
    <row r="28011" customFormat="false" ht="15" hidden="false" customHeight="true" outlineLevel="0" collapsed="false"/>
    <row r="28012" customFormat="false" ht="15" hidden="false" customHeight="true" outlineLevel="0" collapsed="false"/>
    <row r="28013" customFormat="false" ht="15" hidden="false" customHeight="true" outlineLevel="0" collapsed="false"/>
    <row r="28014" customFormat="false" ht="15" hidden="false" customHeight="true" outlineLevel="0" collapsed="false"/>
    <row r="28015" customFormat="false" ht="15" hidden="false" customHeight="true" outlineLevel="0" collapsed="false"/>
    <row r="28016" customFormat="false" ht="15" hidden="false" customHeight="true" outlineLevel="0" collapsed="false"/>
    <row r="28017" customFormat="false" ht="15" hidden="false" customHeight="true" outlineLevel="0" collapsed="false"/>
    <row r="28018" customFormat="false" ht="15" hidden="false" customHeight="true" outlineLevel="0" collapsed="false"/>
    <row r="28019" customFormat="false" ht="15" hidden="false" customHeight="true" outlineLevel="0" collapsed="false"/>
    <row r="28020" customFormat="false" ht="15" hidden="false" customHeight="true" outlineLevel="0" collapsed="false"/>
    <row r="28021" customFormat="false" ht="15" hidden="false" customHeight="true" outlineLevel="0" collapsed="false"/>
    <row r="28022" customFormat="false" ht="15" hidden="false" customHeight="true" outlineLevel="0" collapsed="false"/>
    <row r="28023" customFormat="false" ht="15" hidden="false" customHeight="true" outlineLevel="0" collapsed="false"/>
    <row r="28024" customFormat="false" ht="15" hidden="false" customHeight="true" outlineLevel="0" collapsed="false"/>
    <row r="28025" customFormat="false" ht="15" hidden="false" customHeight="true" outlineLevel="0" collapsed="false"/>
    <row r="28026" customFormat="false" ht="15" hidden="false" customHeight="true" outlineLevel="0" collapsed="false"/>
    <row r="28027" customFormat="false" ht="15" hidden="false" customHeight="true" outlineLevel="0" collapsed="false"/>
    <row r="28028" customFormat="false" ht="15" hidden="false" customHeight="true" outlineLevel="0" collapsed="false"/>
    <row r="28029" customFormat="false" ht="15" hidden="false" customHeight="true" outlineLevel="0" collapsed="false"/>
    <row r="28030" customFormat="false" ht="15" hidden="false" customHeight="true" outlineLevel="0" collapsed="false"/>
    <row r="28031" customFormat="false" ht="15" hidden="false" customHeight="true" outlineLevel="0" collapsed="false"/>
    <row r="28032" customFormat="false" ht="15" hidden="false" customHeight="true" outlineLevel="0" collapsed="false"/>
    <row r="28033" customFormat="false" ht="15" hidden="false" customHeight="true" outlineLevel="0" collapsed="false"/>
    <row r="28034" customFormat="false" ht="15" hidden="false" customHeight="true" outlineLevel="0" collapsed="false"/>
    <row r="28035" customFormat="false" ht="15" hidden="false" customHeight="true" outlineLevel="0" collapsed="false"/>
    <row r="28036" customFormat="false" ht="15" hidden="false" customHeight="true" outlineLevel="0" collapsed="false"/>
    <row r="28037" customFormat="false" ht="15" hidden="false" customHeight="true" outlineLevel="0" collapsed="false"/>
    <row r="28038" customFormat="false" ht="15" hidden="false" customHeight="true" outlineLevel="0" collapsed="false"/>
    <row r="28039" customFormat="false" ht="15" hidden="false" customHeight="true" outlineLevel="0" collapsed="false"/>
    <row r="28040" customFormat="false" ht="15" hidden="false" customHeight="true" outlineLevel="0" collapsed="false"/>
    <row r="28041" customFormat="false" ht="15" hidden="false" customHeight="true" outlineLevel="0" collapsed="false"/>
    <row r="28042" customFormat="false" ht="15" hidden="false" customHeight="true" outlineLevel="0" collapsed="false"/>
    <row r="28043" customFormat="false" ht="15" hidden="false" customHeight="true" outlineLevel="0" collapsed="false"/>
    <row r="28044" customFormat="false" ht="15" hidden="false" customHeight="true" outlineLevel="0" collapsed="false"/>
    <row r="28045" customFormat="false" ht="15" hidden="false" customHeight="true" outlineLevel="0" collapsed="false"/>
    <row r="28046" customFormat="false" ht="15" hidden="false" customHeight="true" outlineLevel="0" collapsed="false"/>
    <row r="28047" customFormat="false" ht="15" hidden="false" customHeight="true" outlineLevel="0" collapsed="false"/>
    <row r="28048" customFormat="false" ht="15" hidden="false" customHeight="true" outlineLevel="0" collapsed="false"/>
    <row r="28049" customFormat="false" ht="15" hidden="false" customHeight="true" outlineLevel="0" collapsed="false"/>
    <row r="28050" customFormat="false" ht="15" hidden="false" customHeight="true" outlineLevel="0" collapsed="false"/>
    <row r="28051" customFormat="false" ht="15" hidden="false" customHeight="true" outlineLevel="0" collapsed="false"/>
    <row r="28052" customFormat="false" ht="15" hidden="false" customHeight="true" outlineLevel="0" collapsed="false"/>
    <row r="28053" customFormat="false" ht="15" hidden="false" customHeight="true" outlineLevel="0" collapsed="false"/>
    <row r="28054" customFormat="false" ht="15" hidden="false" customHeight="true" outlineLevel="0" collapsed="false"/>
    <row r="28055" customFormat="false" ht="15" hidden="false" customHeight="true" outlineLevel="0" collapsed="false"/>
    <row r="28056" customFormat="false" ht="15" hidden="false" customHeight="true" outlineLevel="0" collapsed="false"/>
    <row r="28057" customFormat="false" ht="15" hidden="false" customHeight="true" outlineLevel="0" collapsed="false"/>
    <row r="28058" customFormat="false" ht="15" hidden="false" customHeight="true" outlineLevel="0" collapsed="false"/>
    <row r="28059" customFormat="false" ht="15" hidden="false" customHeight="true" outlineLevel="0" collapsed="false"/>
    <row r="28060" customFormat="false" ht="15" hidden="false" customHeight="true" outlineLevel="0" collapsed="false"/>
    <row r="28061" customFormat="false" ht="15" hidden="false" customHeight="true" outlineLevel="0" collapsed="false"/>
    <row r="28062" customFormat="false" ht="15" hidden="false" customHeight="true" outlineLevel="0" collapsed="false"/>
    <row r="28063" customFormat="false" ht="15" hidden="false" customHeight="true" outlineLevel="0" collapsed="false"/>
    <row r="28064" customFormat="false" ht="15" hidden="false" customHeight="true" outlineLevel="0" collapsed="false"/>
    <row r="28065" customFormat="false" ht="15" hidden="false" customHeight="true" outlineLevel="0" collapsed="false"/>
    <row r="28066" customFormat="false" ht="15" hidden="false" customHeight="true" outlineLevel="0" collapsed="false"/>
    <row r="28067" customFormat="false" ht="15" hidden="false" customHeight="true" outlineLevel="0" collapsed="false"/>
    <row r="28068" customFormat="false" ht="15" hidden="false" customHeight="true" outlineLevel="0" collapsed="false"/>
    <row r="28069" customFormat="false" ht="15" hidden="false" customHeight="true" outlineLevel="0" collapsed="false"/>
    <row r="28070" customFormat="false" ht="15" hidden="false" customHeight="true" outlineLevel="0" collapsed="false"/>
    <row r="28071" customFormat="false" ht="15" hidden="false" customHeight="true" outlineLevel="0" collapsed="false"/>
    <row r="28072" customFormat="false" ht="15" hidden="false" customHeight="true" outlineLevel="0" collapsed="false"/>
    <row r="28073" customFormat="false" ht="15" hidden="false" customHeight="true" outlineLevel="0" collapsed="false"/>
    <row r="28074" customFormat="false" ht="15" hidden="false" customHeight="true" outlineLevel="0" collapsed="false"/>
    <row r="28075" customFormat="false" ht="15" hidden="false" customHeight="true" outlineLevel="0" collapsed="false"/>
    <row r="28076" customFormat="false" ht="15" hidden="false" customHeight="true" outlineLevel="0" collapsed="false"/>
    <row r="28077" customFormat="false" ht="15" hidden="false" customHeight="true" outlineLevel="0" collapsed="false"/>
    <row r="28078" customFormat="false" ht="15" hidden="false" customHeight="true" outlineLevel="0" collapsed="false"/>
    <row r="28079" customFormat="false" ht="15" hidden="false" customHeight="true" outlineLevel="0" collapsed="false"/>
    <row r="28080" customFormat="false" ht="15" hidden="false" customHeight="true" outlineLevel="0" collapsed="false"/>
    <row r="28081" customFormat="false" ht="15" hidden="false" customHeight="true" outlineLevel="0" collapsed="false"/>
    <row r="28082" customFormat="false" ht="15" hidden="false" customHeight="true" outlineLevel="0" collapsed="false"/>
    <row r="28083" customFormat="false" ht="15" hidden="false" customHeight="true" outlineLevel="0" collapsed="false"/>
    <row r="28084" customFormat="false" ht="15" hidden="false" customHeight="true" outlineLevel="0" collapsed="false"/>
    <row r="28085" customFormat="false" ht="15" hidden="false" customHeight="true" outlineLevel="0" collapsed="false"/>
    <row r="28086" customFormat="false" ht="15" hidden="false" customHeight="true" outlineLevel="0" collapsed="false"/>
    <row r="28087" customFormat="false" ht="15" hidden="false" customHeight="true" outlineLevel="0" collapsed="false"/>
    <row r="28088" customFormat="false" ht="15" hidden="false" customHeight="true" outlineLevel="0" collapsed="false"/>
    <row r="28089" customFormat="false" ht="15" hidden="false" customHeight="true" outlineLevel="0" collapsed="false"/>
    <row r="28090" customFormat="false" ht="15" hidden="false" customHeight="true" outlineLevel="0" collapsed="false"/>
    <row r="28091" customFormat="false" ht="15" hidden="false" customHeight="true" outlineLevel="0" collapsed="false"/>
    <row r="28092" customFormat="false" ht="15" hidden="false" customHeight="true" outlineLevel="0" collapsed="false"/>
    <row r="28093" customFormat="false" ht="15" hidden="false" customHeight="true" outlineLevel="0" collapsed="false"/>
    <row r="28094" customFormat="false" ht="15" hidden="false" customHeight="true" outlineLevel="0" collapsed="false"/>
    <row r="28095" customFormat="false" ht="15" hidden="false" customHeight="true" outlineLevel="0" collapsed="false"/>
    <row r="28096" customFormat="false" ht="15" hidden="false" customHeight="true" outlineLevel="0" collapsed="false"/>
    <row r="28097" customFormat="false" ht="15" hidden="false" customHeight="true" outlineLevel="0" collapsed="false"/>
    <row r="28098" customFormat="false" ht="15" hidden="false" customHeight="true" outlineLevel="0" collapsed="false"/>
    <row r="28099" customFormat="false" ht="15" hidden="false" customHeight="true" outlineLevel="0" collapsed="false"/>
    <row r="28100" customFormat="false" ht="15" hidden="false" customHeight="true" outlineLevel="0" collapsed="false"/>
    <row r="28101" customFormat="false" ht="15" hidden="false" customHeight="true" outlineLevel="0" collapsed="false"/>
    <row r="28102" customFormat="false" ht="15" hidden="false" customHeight="true" outlineLevel="0" collapsed="false"/>
    <row r="28103" customFormat="false" ht="15" hidden="false" customHeight="true" outlineLevel="0" collapsed="false"/>
    <row r="28104" customFormat="false" ht="15" hidden="false" customHeight="true" outlineLevel="0" collapsed="false"/>
    <row r="28105" customFormat="false" ht="15" hidden="false" customHeight="true" outlineLevel="0" collapsed="false"/>
    <row r="28106" customFormat="false" ht="15" hidden="false" customHeight="true" outlineLevel="0" collapsed="false"/>
    <row r="28107" customFormat="false" ht="15" hidden="false" customHeight="true" outlineLevel="0" collapsed="false"/>
    <row r="28108" customFormat="false" ht="15" hidden="false" customHeight="true" outlineLevel="0" collapsed="false"/>
    <row r="28109" customFormat="false" ht="15" hidden="false" customHeight="true" outlineLevel="0" collapsed="false"/>
    <row r="28110" customFormat="false" ht="15" hidden="false" customHeight="true" outlineLevel="0" collapsed="false"/>
    <row r="28111" customFormat="false" ht="15" hidden="false" customHeight="true" outlineLevel="0" collapsed="false"/>
    <row r="28112" customFormat="false" ht="15" hidden="false" customHeight="true" outlineLevel="0" collapsed="false"/>
    <row r="28113" customFormat="false" ht="15" hidden="false" customHeight="true" outlineLevel="0" collapsed="false"/>
    <row r="28114" customFormat="false" ht="15" hidden="false" customHeight="true" outlineLevel="0" collapsed="false"/>
    <row r="28115" customFormat="false" ht="15" hidden="false" customHeight="true" outlineLevel="0" collapsed="false"/>
    <row r="28116" customFormat="false" ht="15" hidden="false" customHeight="true" outlineLevel="0" collapsed="false"/>
    <row r="28117" customFormat="false" ht="15" hidden="false" customHeight="true" outlineLevel="0" collapsed="false"/>
    <row r="28118" customFormat="false" ht="15" hidden="false" customHeight="true" outlineLevel="0" collapsed="false"/>
    <row r="28119" customFormat="false" ht="15" hidden="false" customHeight="true" outlineLevel="0" collapsed="false"/>
    <row r="28120" customFormat="false" ht="15" hidden="false" customHeight="true" outlineLevel="0" collapsed="false"/>
    <row r="28121" customFormat="false" ht="15" hidden="false" customHeight="true" outlineLevel="0" collapsed="false"/>
    <row r="28122" customFormat="false" ht="15" hidden="false" customHeight="true" outlineLevel="0" collapsed="false"/>
    <row r="28123" customFormat="false" ht="15" hidden="false" customHeight="true" outlineLevel="0" collapsed="false"/>
    <row r="28124" customFormat="false" ht="15" hidden="false" customHeight="true" outlineLevel="0" collapsed="false"/>
    <row r="28125" customFormat="false" ht="15" hidden="false" customHeight="true" outlineLevel="0" collapsed="false"/>
    <row r="28126" customFormat="false" ht="15" hidden="false" customHeight="true" outlineLevel="0" collapsed="false"/>
    <row r="28127" customFormat="false" ht="15" hidden="false" customHeight="true" outlineLevel="0" collapsed="false"/>
    <row r="28128" customFormat="false" ht="15" hidden="false" customHeight="true" outlineLevel="0" collapsed="false"/>
    <row r="28129" customFormat="false" ht="15" hidden="false" customHeight="true" outlineLevel="0" collapsed="false"/>
    <row r="28130" customFormat="false" ht="15" hidden="false" customHeight="true" outlineLevel="0" collapsed="false"/>
    <row r="28131" customFormat="false" ht="15" hidden="false" customHeight="true" outlineLevel="0" collapsed="false"/>
    <row r="28132" customFormat="false" ht="15" hidden="false" customHeight="true" outlineLevel="0" collapsed="false"/>
    <row r="28133" customFormat="false" ht="15" hidden="false" customHeight="true" outlineLevel="0" collapsed="false"/>
    <row r="28134" customFormat="false" ht="15" hidden="false" customHeight="true" outlineLevel="0" collapsed="false"/>
    <row r="28135" customFormat="false" ht="15" hidden="false" customHeight="true" outlineLevel="0" collapsed="false"/>
    <row r="28136" customFormat="false" ht="15" hidden="false" customHeight="true" outlineLevel="0" collapsed="false"/>
    <row r="28137" customFormat="false" ht="15" hidden="false" customHeight="true" outlineLevel="0" collapsed="false"/>
    <row r="28138" customFormat="false" ht="15" hidden="false" customHeight="true" outlineLevel="0" collapsed="false"/>
    <row r="28139" customFormat="false" ht="15" hidden="false" customHeight="true" outlineLevel="0" collapsed="false"/>
    <row r="28140" customFormat="false" ht="15" hidden="false" customHeight="true" outlineLevel="0" collapsed="false"/>
    <row r="28141" customFormat="false" ht="15" hidden="false" customHeight="true" outlineLevel="0" collapsed="false"/>
    <row r="28142" customFormat="false" ht="15" hidden="false" customHeight="true" outlineLevel="0" collapsed="false"/>
    <row r="28143" customFormat="false" ht="15" hidden="false" customHeight="true" outlineLevel="0" collapsed="false"/>
    <row r="28144" customFormat="false" ht="15" hidden="false" customHeight="true" outlineLevel="0" collapsed="false"/>
    <row r="28145" customFormat="false" ht="15" hidden="false" customHeight="true" outlineLevel="0" collapsed="false"/>
    <row r="28146" customFormat="false" ht="15" hidden="false" customHeight="true" outlineLevel="0" collapsed="false"/>
    <row r="28147" customFormat="false" ht="15" hidden="false" customHeight="true" outlineLevel="0" collapsed="false"/>
    <row r="28148" customFormat="false" ht="15" hidden="false" customHeight="true" outlineLevel="0" collapsed="false"/>
    <row r="28149" customFormat="false" ht="15" hidden="false" customHeight="true" outlineLevel="0" collapsed="false"/>
    <row r="28150" customFormat="false" ht="15" hidden="false" customHeight="true" outlineLevel="0" collapsed="false"/>
    <row r="28151" customFormat="false" ht="15" hidden="false" customHeight="true" outlineLevel="0" collapsed="false"/>
    <row r="28152" customFormat="false" ht="15" hidden="false" customHeight="true" outlineLevel="0" collapsed="false"/>
    <row r="28153" customFormat="false" ht="15" hidden="false" customHeight="true" outlineLevel="0" collapsed="false"/>
    <row r="28154" customFormat="false" ht="15" hidden="false" customHeight="true" outlineLevel="0" collapsed="false"/>
    <row r="28155" customFormat="false" ht="15" hidden="false" customHeight="true" outlineLevel="0" collapsed="false"/>
    <row r="28156" customFormat="false" ht="15" hidden="false" customHeight="true" outlineLevel="0" collapsed="false"/>
    <row r="28157" customFormat="false" ht="15" hidden="false" customHeight="true" outlineLevel="0" collapsed="false"/>
    <row r="28158" customFormat="false" ht="15" hidden="false" customHeight="true" outlineLevel="0" collapsed="false"/>
    <row r="28159" customFormat="false" ht="15" hidden="false" customHeight="true" outlineLevel="0" collapsed="false"/>
    <row r="28160" customFormat="false" ht="15" hidden="false" customHeight="true" outlineLevel="0" collapsed="false"/>
    <row r="28161" customFormat="false" ht="15" hidden="false" customHeight="true" outlineLevel="0" collapsed="false"/>
    <row r="28162" customFormat="false" ht="15" hidden="false" customHeight="true" outlineLevel="0" collapsed="false"/>
    <row r="28163" customFormat="false" ht="15" hidden="false" customHeight="true" outlineLevel="0" collapsed="false"/>
    <row r="28164" customFormat="false" ht="15" hidden="false" customHeight="true" outlineLevel="0" collapsed="false"/>
    <row r="28165" customFormat="false" ht="15" hidden="false" customHeight="true" outlineLevel="0" collapsed="false"/>
    <row r="28166" customFormat="false" ht="15" hidden="false" customHeight="true" outlineLevel="0" collapsed="false"/>
    <row r="28167" customFormat="false" ht="15" hidden="false" customHeight="true" outlineLevel="0" collapsed="false"/>
    <row r="28168" customFormat="false" ht="15" hidden="false" customHeight="true" outlineLevel="0" collapsed="false"/>
    <row r="28169" customFormat="false" ht="15" hidden="false" customHeight="true" outlineLevel="0" collapsed="false"/>
    <row r="28170" customFormat="false" ht="15" hidden="false" customHeight="true" outlineLevel="0" collapsed="false"/>
    <row r="28171" customFormat="false" ht="15" hidden="false" customHeight="true" outlineLevel="0" collapsed="false"/>
    <row r="28172" customFormat="false" ht="15" hidden="false" customHeight="true" outlineLevel="0" collapsed="false"/>
    <row r="28173" customFormat="false" ht="15" hidden="false" customHeight="true" outlineLevel="0" collapsed="false"/>
    <row r="28174" customFormat="false" ht="15" hidden="false" customHeight="true" outlineLevel="0" collapsed="false"/>
    <row r="28175" customFormat="false" ht="15" hidden="false" customHeight="true" outlineLevel="0" collapsed="false"/>
    <row r="28176" customFormat="false" ht="15" hidden="false" customHeight="true" outlineLevel="0" collapsed="false"/>
    <row r="28177" customFormat="false" ht="15" hidden="false" customHeight="true" outlineLevel="0" collapsed="false"/>
    <row r="28178" customFormat="false" ht="15" hidden="false" customHeight="true" outlineLevel="0" collapsed="false"/>
    <row r="28179" customFormat="false" ht="15" hidden="false" customHeight="true" outlineLevel="0" collapsed="false"/>
    <row r="28180" customFormat="false" ht="15" hidden="false" customHeight="true" outlineLevel="0" collapsed="false"/>
    <row r="28181" customFormat="false" ht="15" hidden="false" customHeight="true" outlineLevel="0" collapsed="false"/>
    <row r="28182" customFormat="false" ht="15" hidden="false" customHeight="true" outlineLevel="0" collapsed="false"/>
    <row r="28183" customFormat="false" ht="15" hidden="false" customHeight="true" outlineLevel="0" collapsed="false"/>
    <row r="28184" customFormat="false" ht="15" hidden="false" customHeight="true" outlineLevel="0" collapsed="false"/>
    <row r="28185" customFormat="false" ht="15" hidden="false" customHeight="true" outlineLevel="0" collapsed="false"/>
    <row r="28186" customFormat="false" ht="15" hidden="false" customHeight="true" outlineLevel="0" collapsed="false"/>
    <row r="28187" customFormat="false" ht="15" hidden="false" customHeight="true" outlineLevel="0" collapsed="false"/>
    <row r="28188" customFormat="false" ht="15" hidden="false" customHeight="true" outlineLevel="0" collapsed="false"/>
    <row r="28189" customFormat="false" ht="15" hidden="false" customHeight="true" outlineLevel="0" collapsed="false"/>
    <row r="28190" customFormat="false" ht="15" hidden="false" customHeight="true" outlineLevel="0" collapsed="false"/>
    <row r="28191" customFormat="false" ht="15" hidden="false" customHeight="true" outlineLevel="0" collapsed="false"/>
    <row r="28192" customFormat="false" ht="15" hidden="false" customHeight="true" outlineLevel="0" collapsed="false"/>
    <row r="28193" customFormat="false" ht="15" hidden="false" customHeight="true" outlineLevel="0" collapsed="false"/>
    <row r="28194" customFormat="false" ht="15" hidden="false" customHeight="true" outlineLevel="0" collapsed="false"/>
    <row r="28195" customFormat="false" ht="15" hidden="false" customHeight="true" outlineLevel="0" collapsed="false"/>
    <row r="28196" customFormat="false" ht="15" hidden="false" customHeight="true" outlineLevel="0" collapsed="false"/>
    <row r="28197" customFormat="false" ht="15" hidden="false" customHeight="true" outlineLevel="0" collapsed="false"/>
    <row r="28198" customFormat="false" ht="15" hidden="false" customHeight="true" outlineLevel="0" collapsed="false"/>
    <row r="28199" customFormat="false" ht="15" hidden="false" customHeight="true" outlineLevel="0" collapsed="false"/>
    <row r="28200" customFormat="false" ht="15" hidden="false" customHeight="true" outlineLevel="0" collapsed="false"/>
    <row r="28201" customFormat="false" ht="15" hidden="false" customHeight="true" outlineLevel="0" collapsed="false"/>
    <row r="28202" customFormat="false" ht="15" hidden="false" customHeight="true" outlineLevel="0" collapsed="false"/>
    <row r="28203" customFormat="false" ht="15" hidden="false" customHeight="true" outlineLevel="0" collapsed="false"/>
    <row r="28204" customFormat="false" ht="15" hidden="false" customHeight="true" outlineLevel="0" collapsed="false"/>
    <row r="28205" customFormat="false" ht="15" hidden="false" customHeight="true" outlineLevel="0" collapsed="false"/>
    <row r="28206" customFormat="false" ht="15" hidden="false" customHeight="true" outlineLevel="0" collapsed="false"/>
    <row r="28207" customFormat="false" ht="15" hidden="false" customHeight="true" outlineLevel="0" collapsed="false"/>
    <row r="28208" customFormat="false" ht="15" hidden="false" customHeight="true" outlineLevel="0" collapsed="false"/>
    <row r="28209" customFormat="false" ht="15" hidden="false" customHeight="true" outlineLevel="0" collapsed="false"/>
    <row r="28210" customFormat="false" ht="15" hidden="false" customHeight="true" outlineLevel="0" collapsed="false"/>
    <row r="28211" customFormat="false" ht="15" hidden="false" customHeight="true" outlineLevel="0" collapsed="false"/>
    <row r="28212" customFormat="false" ht="15" hidden="false" customHeight="true" outlineLevel="0" collapsed="false"/>
    <row r="28213" customFormat="false" ht="15" hidden="false" customHeight="true" outlineLevel="0" collapsed="false"/>
    <row r="28214" customFormat="false" ht="15" hidden="false" customHeight="true" outlineLevel="0" collapsed="false"/>
    <row r="28215" customFormat="false" ht="15" hidden="false" customHeight="true" outlineLevel="0" collapsed="false"/>
    <row r="28216" customFormat="false" ht="15" hidden="false" customHeight="true" outlineLevel="0" collapsed="false"/>
    <row r="28217" customFormat="false" ht="15" hidden="false" customHeight="true" outlineLevel="0" collapsed="false"/>
    <row r="28218" customFormat="false" ht="15" hidden="false" customHeight="true" outlineLevel="0" collapsed="false"/>
    <row r="28219" customFormat="false" ht="15" hidden="false" customHeight="true" outlineLevel="0" collapsed="false"/>
    <row r="28220" customFormat="false" ht="15" hidden="false" customHeight="true" outlineLevel="0" collapsed="false"/>
    <row r="28221" customFormat="false" ht="15" hidden="false" customHeight="true" outlineLevel="0" collapsed="false"/>
    <row r="28222" customFormat="false" ht="15" hidden="false" customHeight="true" outlineLevel="0" collapsed="false"/>
    <row r="28223" customFormat="false" ht="15" hidden="false" customHeight="true" outlineLevel="0" collapsed="false"/>
    <row r="28224" customFormat="false" ht="15" hidden="false" customHeight="true" outlineLevel="0" collapsed="false"/>
    <row r="28225" customFormat="false" ht="15" hidden="false" customHeight="true" outlineLevel="0" collapsed="false"/>
    <row r="28226" customFormat="false" ht="15" hidden="false" customHeight="true" outlineLevel="0" collapsed="false"/>
    <row r="28227" customFormat="false" ht="15" hidden="false" customHeight="true" outlineLevel="0" collapsed="false"/>
    <row r="28228" customFormat="false" ht="15" hidden="false" customHeight="true" outlineLevel="0" collapsed="false"/>
    <row r="28229" customFormat="false" ht="15" hidden="false" customHeight="true" outlineLevel="0" collapsed="false"/>
    <row r="28230" customFormat="false" ht="15" hidden="false" customHeight="true" outlineLevel="0" collapsed="false"/>
    <row r="28231" customFormat="false" ht="15" hidden="false" customHeight="true" outlineLevel="0" collapsed="false"/>
    <row r="28232" customFormat="false" ht="15" hidden="false" customHeight="true" outlineLevel="0" collapsed="false"/>
    <row r="28233" customFormat="false" ht="15" hidden="false" customHeight="true" outlineLevel="0" collapsed="false"/>
    <row r="28234" customFormat="false" ht="15" hidden="false" customHeight="true" outlineLevel="0" collapsed="false"/>
    <row r="28235" customFormat="false" ht="15" hidden="false" customHeight="true" outlineLevel="0" collapsed="false"/>
    <row r="28236" customFormat="false" ht="15" hidden="false" customHeight="true" outlineLevel="0" collapsed="false"/>
    <row r="28237" customFormat="false" ht="15" hidden="false" customHeight="true" outlineLevel="0" collapsed="false"/>
    <row r="28238" customFormat="false" ht="15" hidden="false" customHeight="true" outlineLevel="0" collapsed="false"/>
    <row r="28239" customFormat="false" ht="15" hidden="false" customHeight="true" outlineLevel="0" collapsed="false"/>
    <row r="28240" customFormat="false" ht="15" hidden="false" customHeight="true" outlineLevel="0" collapsed="false"/>
    <row r="28241" customFormat="false" ht="15" hidden="false" customHeight="true" outlineLevel="0" collapsed="false"/>
    <row r="28242" customFormat="false" ht="15" hidden="false" customHeight="true" outlineLevel="0" collapsed="false"/>
    <row r="28243" customFormat="false" ht="15" hidden="false" customHeight="true" outlineLevel="0" collapsed="false"/>
    <row r="28244" customFormat="false" ht="15" hidden="false" customHeight="true" outlineLevel="0" collapsed="false"/>
    <row r="28245" customFormat="false" ht="15" hidden="false" customHeight="true" outlineLevel="0" collapsed="false"/>
    <row r="28246" customFormat="false" ht="15" hidden="false" customHeight="true" outlineLevel="0" collapsed="false"/>
    <row r="28247" customFormat="false" ht="15" hidden="false" customHeight="true" outlineLevel="0" collapsed="false"/>
    <row r="28248" customFormat="false" ht="15" hidden="false" customHeight="true" outlineLevel="0" collapsed="false"/>
    <row r="28249" customFormat="false" ht="15" hidden="false" customHeight="true" outlineLevel="0" collapsed="false"/>
    <row r="28250" customFormat="false" ht="15" hidden="false" customHeight="true" outlineLevel="0" collapsed="false"/>
    <row r="28251" customFormat="false" ht="15" hidden="false" customHeight="true" outlineLevel="0" collapsed="false"/>
    <row r="28252" customFormat="false" ht="15" hidden="false" customHeight="true" outlineLevel="0" collapsed="false"/>
    <row r="28253" customFormat="false" ht="15" hidden="false" customHeight="true" outlineLevel="0" collapsed="false"/>
    <row r="28254" customFormat="false" ht="15" hidden="false" customHeight="true" outlineLevel="0" collapsed="false"/>
    <row r="28255" customFormat="false" ht="15" hidden="false" customHeight="true" outlineLevel="0" collapsed="false"/>
    <row r="28256" customFormat="false" ht="15" hidden="false" customHeight="true" outlineLevel="0" collapsed="false"/>
    <row r="28257" customFormat="false" ht="15" hidden="false" customHeight="true" outlineLevel="0" collapsed="false"/>
    <row r="28258" customFormat="false" ht="15" hidden="false" customHeight="true" outlineLevel="0" collapsed="false"/>
    <row r="28259" customFormat="false" ht="15" hidden="false" customHeight="true" outlineLevel="0" collapsed="false"/>
    <row r="28260" customFormat="false" ht="15" hidden="false" customHeight="true" outlineLevel="0" collapsed="false"/>
    <row r="28261" customFormat="false" ht="15" hidden="false" customHeight="true" outlineLevel="0" collapsed="false"/>
    <row r="28262" customFormat="false" ht="15" hidden="false" customHeight="true" outlineLevel="0" collapsed="false"/>
    <row r="28263" customFormat="false" ht="15" hidden="false" customHeight="true" outlineLevel="0" collapsed="false"/>
    <row r="28264" customFormat="false" ht="15" hidden="false" customHeight="true" outlineLevel="0" collapsed="false"/>
    <row r="28265" customFormat="false" ht="15" hidden="false" customHeight="true" outlineLevel="0" collapsed="false"/>
    <row r="28266" customFormat="false" ht="15" hidden="false" customHeight="true" outlineLevel="0" collapsed="false"/>
    <row r="28267" customFormat="false" ht="15" hidden="false" customHeight="true" outlineLevel="0" collapsed="false"/>
    <row r="28268" customFormat="false" ht="15" hidden="false" customHeight="true" outlineLevel="0" collapsed="false"/>
    <row r="28269" customFormat="false" ht="15" hidden="false" customHeight="true" outlineLevel="0" collapsed="false"/>
    <row r="28270" customFormat="false" ht="15" hidden="false" customHeight="true" outlineLevel="0" collapsed="false"/>
    <row r="28271" customFormat="false" ht="15" hidden="false" customHeight="true" outlineLevel="0" collapsed="false"/>
    <row r="28272" customFormat="false" ht="15" hidden="false" customHeight="true" outlineLevel="0" collapsed="false"/>
    <row r="28273" customFormat="false" ht="15" hidden="false" customHeight="true" outlineLevel="0" collapsed="false"/>
    <row r="28274" customFormat="false" ht="15" hidden="false" customHeight="true" outlineLevel="0" collapsed="false"/>
    <row r="28275" customFormat="false" ht="15" hidden="false" customHeight="true" outlineLevel="0" collapsed="false"/>
    <row r="28276" customFormat="false" ht="15" hidden="false" customHeight="true" outlineLevel="0" collapsed="false"/>
    <row r="28277" customFormat="false" ht="15" hidden="false" customHeight="true" outlineLevel="0" collapsed="false"/>
    <row r="28278" customFormat="false" ht="15" hidden="false" customHeight="true" outlineLevel="0" collapsed="false"/>
    <row r="28279" customFormat="false" ht="15" hidden="false" customHeight="true" outlineLevel="0" collapsed="false"/>
    <row r="28280" customFormat="false" ht="15" hidden="false" customHeight="true" outlineLevel="0" collapsed="false"/>
    <row r="28281" customFormat="false" ht="15" hidden="false" customHeight="true" outlineLevel="0" collapsed="false"/>
    <row r="28282" customFormat="false" ht="15" hidden="false" customHeight="true" outlineLevel="0" collapsed="false"/>
    <row r="28283" customFormat="false" ht="15" hidden="false" customHeight="true" outlineLevel="0" collapsed="false"/>
    <row r="28284" customFormat="false" ht="15" hidden="false" customHeight="true" outlineLevel="0" collapsed="false"/>
    <row r="28285" customFormat="false" ht="15" hidden="false" customHeight="true" outlineLevel="0" collapsed="false"/>
    <row r="28286" customFormat="false" ht="15" hidden="false" customHeight="true" outlineLevel="0" collapsed="false"/>
    <row r="28287" customFormat="false" ht="15" hidden="false" customHeight="true" outlineLevel="0" collapsed="false"/>
    <row r="28288" customFormat="false" ht="15" hidden="false" customHeight="true" outlineLevel="0" collapsed="false"/>
    <row r="28289" customFormat="false" ht="15" hidden="false" customHeight="true" outlineLevel="0" collapsed="false"/>
    <row r="28290" customFormat="false" ht="15" hidden="false" customHeight="true" outlineLevel="0" collapsed="false"/>
    <row r="28291" customFormat="false" ht="15" hidden="false" customHeight="true" outlineLevel="0" collapsed="false"/>
    <row r="28292" customFormat="false" ht="15" hidden="false" customHeight="true" outlineLevel="0" collapsed="false"/>
    <row r="28293" customFormat="false" ht="15" hidden="false" customHeight="true" outlineLevel="0" collapsed="false"/>
    <row r="28294" customFormat="false" ht="15" hidden="false" customHeight="true" outlineLevel="0" collapsed="false"/>
    <row r="28295" customFormat="false" ht="15" hidden="false" customHeight="true" outlineLevel="0" collapsed="false"/>
    <row r="28296" customFormat="false" ht="15" hidden="false" customHeight="true" outlineLevel="0" collapsed="false"/>
    <row r="28297" customFormat="false" ht="15" hidden="false" customHeight="true" outlineLevel="0" collapsed="false"/>
    <row r="28298" customFormat="false" ht="15" hidden="false" customHeight="true" outlineLevel="0" collapsed="false"/>
    <row r="28299" customFormat="false" ht="15" hidden="false" customHeight="true" outlineLevel="0" collapsed="false"/>
    <row r="28300" customFormat="false" ht="15" hidden="false" customHeight="true" outlineLevel="0" collapsed="false"/>
    <row r="28301" customFormat="false" ht="15" hidden="false" customHeight="true" outlineLevel="0" collapsed="false"/>
    <row r="28302" customFormat="false" ht="15" hidden="false" customHeight="true" outlineLevel="0" collapsed="false"/>
    <row r="28303" customFormat="false" ht="15" hidden="false" customHeight="true" outlineLevel="0" collapsed="false"/>
    <row r="28304" customFormat="false" ht="15" hidden="false" customHeight="true" outlineLevel="0" collapsed="false"/>
    <row r="28305" customFormat="false" ht="15" hidden="false" customHeight="true" outlineLevel="0" collapsed="false"/>
    <row r="28306" customFormat="false" ht="15" hidden="false" customHeight="true" outlineLevel="0" collapsed="false"/>
    <row r="28307" customFormat="false" ht="15" hidden="false" customHeight="true" outlineLevel="0" collapsed="false"/>
    <row r="28308" customFormat="false" ht="15" hidden="false" customHeight="true" outlineLevel="0" collapsed="false"/>
    <row r="28309" customFormat="false" ht="15" hidden="false" customHeight="true" outlineLevel="0" collapsed="false"/>
    <row r="28310" customFormat="false" ht="15" hidden="false" customHeight="true" outlineLevel="0" collapsed="false"/>
    <row r="28311" customFormat="false" ht="15" hidden="false" customHeight="true" outlineLevel="0" collapsed="false"/>
    <row r="28312" customFormat="false" ht="15" hidden="false" customHeight="true" outlineLevel="0" collapsed="false"/>
    <row r="28313" customFormat="false" ht="15" hidden="false" customHeight="true" outlineLevel="0" collapsed="false"/>
    <row r="28314" customFormat="false" ht="15" hidden="false" customHeight="true" outlineLevel="0" collapsed="false"/>
    <row r="28315" customFormat="false" ht="15" hidden="false" customHeight="true" outlineLevel="0" collapsed="false"/>
    <row r="28316" customFormat="false" ht="15" hidden="false" customHeight="true" outlineLevel="0" collapsed="false"/>
    <row r="28317" customFormat="false" ht="15" hidden="false" customHeight="true" outlineLevel="0" collapsed="false"/>
    <row r="28318" customFormat="false" ht="15" hidden="false" customHeight="true" outlineLevel="0" collapsed="false"/>
    <row r="28319" customFormat="false" ht="15" hidden="false" customHeight="true" outlineLevel="0" collapsed="false"/>
    <row r="28320" customFormat="false" ht="15" hidden="false" customHeight="true" outlineLevel="0" collapsed="false"/>
    <row r="28321" customFormat="false" ht="15" hidden="false" customHeight="true" outlineLevel="0" collapsed="false"/>
    <row r="28322" customFormat="false" ht="15" hidden="false" customHeight="true" outlineLevel="0" collapsed="false"/>
    <row r="28323" customFormat="false" ht="15" hidden="false" customHeight="true" outlineLevel="0" collapsed="false"/>
    <row r="28324" customFormat="false" ht="15" hidden="false" customHeight="true" outlineLevel="0" collapsed="false"/>
    <row r="28325" customFormat="false" ht="15" hidden="false" customHeight="true" outlineLevel="0" collapsed="false"/>
    <row r="28326" customFormat="false" ht="15" hidden="false" customHeight="true" outlineLevel="0" collapsed="false"/>
    <row r="28327" customFormat="false" ht="15" hidden="false" customHeight="true" outlineLevel="0" collapsed="false"/>
    <row r="28328" customFormat="false" ht="15" hidden="false" customHeight="true" outlineLevel="0" collapsed="false"/>
    <row r="28329" customFormat="false" ht="15" hidden="false" customHeight="true" outlineLevel="0" collapsed="false"/>
    <row r="28330" customFormat="false" ht="15" hidden="false" customHeight="true" outlineLevel="0" collapsed="false"/>
    <row r="28331" customFormat="false" ht="15" hidden="false" customHeight="true" outlineLevel="0" collapsed="false"/>
    <row r="28332" customFormat="false" ht="15" hidden="false" customHeight="true" outlineLevel="0" collapsed="false"/>
    <row r="28333" customFormat="false" ht="15" hidden="false" customHeight="true" outlineLevel="0" collapsed="false"/>
    <row r="28334" customFormat="false" ht="15" hidden="false" customHeight="true" outlineLevel="0" collapsed="false"/>
    <row r="28335" customFormat="false" ht="15" hidden="false" customHeight="true" outlineLevel="0" collapsed="false"/>
    <row r="28336" customFormat="false" ht="15" hidden="false" customHeight="true" outlineLevel="0" collapsed="false"/>
    <row r="28337" customFormat="false" ht="15" hidden="false" customHeight="true" outlineLevel="0" collapsed="false"/>
    <row r="28338" customFormat="false" ht="15" hidden="false" customHeight="true" outlineLevel="0" collapsed="false"/>
    <row r="28339" customFormat="false" ht="15" hidden="false" customHeight="true" outlineLevel="0" collapsed="false"/>
    <row r="28340" customFormat="false" ht="15" hidden="false" customHeight="true" outlineLevel="0" collapsed="false"/>
    <row r="28341" customFormat="false" ht="15" hidden="false" customHeight="true" outlineLevel="0" collapsed="false"/>
    <row r="28342" customFormat="false" ht="15" hidden="false" customHeight="true" outlineLevel="0" collapsed="false"/>
    <row r="28343" customFormat="false" ht="15" hidden="false" customHeight="true" outlineLevel="0" collapsed="false"/>
    <row r="28344" customFormat="false" ht="15" hidden="false" customHeight="true" outlineLevel="0" collapsed="false"/>
    <row r="28345" customFormat="false" ht="15" hidden="false" customHeight="true" outlineLevel="0" collapsed="false"/>
    <row r="28346" customFormat="false" ht="15" hidden="false" customHeight="true" outlineLevel="0" collapsed="false"/>
    <row r="28347" customFormat="false" ht="15" hidden="false" customHeight="true" outlineLevel="0" collapsed="false"/>
    <row r="28348" customFormat="false" ht="15" hidden="false" customHeight="true" outlineLevel="0" collapsed="false"/>
    <row r="28349" customFormat="false" ht="15" hidden="false" customHeight="true" outlineLevel="0" collapsed="false"/>
    <row r="28350" customFormat="false" ht="15" hidden="false" customHeight="true" outlineLevel="0" collapsed="false"/>
    <row r="28351" customFormat="false" ht="15" hidden="false" customHeight="true" outlineLevel="0" collapsed="false"/>
    <row r="28352" customFormat="false" ht="15" hidden="false" customHeight="true" outlineLevel="0" collapsed="false"/>
    <row r="28353" customFormat="false" ht="15" hidden="false" customHeight="true" outlineLevel="0" collapsed="false"/>
    <row r="28354" customFormat="false" ht="15" hidden="false" customHeight="true" outlineLevel="0" collapsed="false"/>
    <row r="28355" customFormat="false" ht="15" hidden="false" customHeight="true" outlineLevel="0" collapsed="false"/>
    <row r="28356" customFormat="false" ht="15" hidden="false" customHeight="true" outlineLevel="0" collapsed="false"/>
    <row r="28357" customFormat="false" ht="15" hidden="false" customHeight="true" outlineLevel="0" collapsed="false"/>
    <row r="28358" customFormat="false" ht="15" hidden="false" customHeight="true" outlineLevel="0" collapsed="false"/>
    <row r="28359" customFormat="false" ht="15" hidden="false" customHeight="true" outlineLevel="0" collapsed="false"/>
    <row r="28360" customFormat="false" ht="15" hidden="false" customHeight="true" outlineLevel="0" collapsed="false"/>
    <row r="28361" customFormat="false" ht="15" hidden="false" customHeight="true" outlineLevel="0" collapsed="false"/>
    <row r="28362" customFormat="false" ht="15" hidden="false" customHeight="true" outlineLevel="0" collapsed="false"/>
    <row r="28363" customFormat="false" ht="15" hidden="false" customHeight="true" outlineLevel="0" collapsed="false"/>
    <row r="28364" customFormat="false" ht="15" hidden="false" customHeight="true" outlineLevel="0" collapsed="false"/>
    <row r="28365" customFormat="false" ht="15" hidden="false" customHeight="true" outlineLevel="0" collapsed="false"/>
    <row r="28366" customFormat="false" ht="15" hidden="false" customHeight="true" outlineLevel="0" collapsed="false"/>
    <row r="28367" customFormat="false" ht="15" hidden="false" customHeight="true" outlineLevel="0" collapsed="false"/>
    <row r="28368" customFormat="false" ht="15" hidden="false" customHeight="true" outlineLevel="0" collapsed="false"/>
    <row r="28369" customFormat="false" ht="15" hidden="false" customHeight="true" outlineLevel="0" collapsed="false"/>
    <row r="28370" customFormat="false" ht="15" hidden="false" customHeight="true" outlineLevel="0" collapsed="false"/>
    <row r="28371" customFormat="false" ht="15" hidden="false" customHeight="true" outlineLevel="0" collapsed="false"/>
    <row r="28372" customFormat="false" ht="15" hidden="false" customHeight="true" outlineLevel="0" collapsed="false"/>
    <row r="28373" customFormat="false" ht="15" hidden="false" customHeight="true" outlineLevel="0" collapsed="false"/>
    <row r="28374" customFormat="false" ht="15" hidden="false" customHeight="true" outlineLevel="0" collapsed="false"/>
    <row r="28375" customFormat="false" ht="15" hidden="false" customHeight="true" outlineLevel="0" collapsed="false"/>
    <row r="28376" customFormat="false" ht="15" hidden="false" customHeight="true" outlineLevel="0" collapsed="false"/>
    <row r="28377" customFormat="false" ht="15" hidden="false" customHeight="true" outlineLevel="0" collapsed="false"/>
    <row r="28378" customFormat="false" ht="15" hidden="false" customHeight="true" outlineLevel="0" collapsed="false"/>
    <row r="28379" customFormat="false" ht="15" hidden="false" customHeight="true" outlineLevel="0" collapsed="false"/>
    <row r="28380" customFormat="false" ht="15" hidden="false" customHeight="true" outlineLevel="0" collapsed="false"/>
    <row r="28381" customFormat="false" ht="15" hidden="false" customHeight="true" outlineLevel="0" collapsed="false"/>
    <row r="28382" customFormat="false" ht="15" hidden="false" customHeight="true" outlineLevel="0" collapsed="false"/>
    <row r="28383" customFormat="false" ht="15" hidden="false" customHeight="true" outlineLevel="0" collapsed="false"/>
    <row r="28384" customFormat="false" ht="15" hidden="false" customHeight="true" outlineLevel="0" collapsed="false"/>
    <row r="28385" customFormat="false" ht="15" hidden="false" customHeight="true" outlineLevel="0" collapsed="false"/>
    <row r="28386" customFormat="false" ht="15" hidden="false" customHeight="true" outlineLevel="0" collapsed="false"/>
    <row r="28387" customFormat="false" ht="15" hidden="false" customHeight="true" outlineLevel="0" collapsed="false"/>
    <row r="28388" customFormat="false" ht="15" hidden="false" customHeight="true" outlineLevel="0" collapsed="false"/>
    <row r="28389" customFormat="false" ht="15" hidden="false" customHeight="true" outlineLevel="0" collapsed="false"/>
    <row r="28390" customFormat="false" ht="15" hidden="false" customHeight="true" outlineLevel="0" collapsed="false"/>
    <row r="28391" customFormat="false" ht="15" hidden="false" customHeight="true" outlineLevel="0" collapsed="false"/>
    <row r="28392" customFormat="false" ht="15" hidden="false" customHeight="true" outlineLevel="0" collapsed="false"/>
    <row r="28393" customFormat="false" ht="15" hidden="false" customHeight="true" outlineLevel="0" collapsed="false"/>
    <row r="28394" customFormat="false" ht="15" hidden="false" customHeight="true" outlineLevel="0" collapsed="false"/>
    <row r="28395" customFormat="false" ht="15" hidden="false" customHeight="true" outlineLevel="0" collapsed="false"/>
    <row r="28396" customFormat="false" ht="15" hidden="false" customHeight="true" outlineLevel="0" collapsed="false"/>
    <row r="28397" customFormat="false" ht="15" hidden="false" customHeight="true" outlineLevel="0" collapsed="false"/>
    <row r="28398" customFormat="false" ht="15" hidden="false" customHeight="true" outlineLevel="0" collapsed="false"/>
    <row r="28399" customFormat="false" ht="15" hidden="false" customHeight="true" outlineLevel="0" collapsed="false"/>
    <row r="28400" customFormat="false" ht="15" hidden="false" customHeight="true" outlineLevel="0" collapsed="false"/>
    <row r="28401" customFormat="false" ht="15" hidden="false" customHeight="true" outlineLevel="0" collapsed="false"/>
    <row r="28402" customFormat="false" ht="15" hidden="false" customHeight="true" outlineLevel="0" collapsed="false"/>
    <row r="28403" customFormat="false" ht="15" hidden="false" customHeight="true" outlineLevel="0" collapsed="false"/>
    <row r="28404" customFormat="false" ht="15" hidden="false" customHeight="true" outlineLevel="0" collapsed="false"/>
    <row r="28405" customFormat="false" ht="15" hidden="false" customHeight="true" outlineLevel="0" collapsed="false"/>
    <row r="28406" customFormat="false" ht="15" hidden="false" customHeight="true" outlineLevel="0" collapsed="false"/>
    <row r="28407" customFormat="false" ht="15" hidden="false" customHeight="true" outlineLevel="0" collapsed="false"/>
    <row r="28408" customFormat="false" ht="15" hidden="false" customHeight="true" outlineLevel="0" collapsed="false"/>
    <row r="28409" customFormat="false" ht="15" hidden="false" customHeight="true" outlineLevel="0" collapsed="false"/>
    <row r="28410" customFormat="false" ht="15" hidden="false" customHeight="true" outlineLevel="0" collapsed="false"/>
    <row r="28411" customFormat="false" ht="15" hidden="false" customHeight="true" outlineLevel="0" collapsed="false"/>
    <row r="28412" customFormat="false" ht="15" hidden="false" customHeight="true" outlineLevel="0" collapsed="false"/>
    <row r="28413" customFormat="false" ht="15" hidden="false" customHeight="true" outlineLevel="0" collapsed="false"/>
    <row r="28414" customFormat="false" ht="15" hidden="false" customHeight="true" outlineLevel="0" collapsed="false"/>
    <row r="28415" customFormat="false" ht="15" hidden="false" customHeight="true" outlineLevel="0" collapsed="false"/>
    <row r="28416" customFormat="false" ht="15" hidden="false" customHeight="true" outlineLevel="0" collapsed="false"/>
    <row r="28417" customFormat="false" ht="15" hidden="false" customHeight="true" outlineLevel="0" collapsed="false"/>
    <row r="28418" customFormat="false" ht="15" hidden="false" customHeight="true" outlineLevel="0" collapsed="false"/>
    <row r="28419" customFormat="false" ht="15" hidden="false" customHeight="true" outlineLevel="0" collapsed="false"/>
    <row r="28420" customFormat="false" ht="15" hidden="false" customHeight="true" outlineLevel="0" collapsed="false"/>
    <row r="28421" customFormat="false" ht="15" hidden="false" customHeight="true" outlineLevel="0" collapsed="false"/>
    <row r="28422" customFormat="false" ht="15" hidden="false" customHeight="true" outlineLevel="0" collapsed="false"/>
    <row r="28423" customFormat="false" ht="15" hidden="false" customHeight="true" outlineLevel="0" collapsed="false"/>
    <row r="28424" customFormat="false" ht="15" hidden="false" customHeight="true" outlineLevel="0" collapsed="false"/>
    <row r="28425" customFormat="false" ht="15" hidden="false" customHeight="true" outlineLevel="0" collapsed="false"/>
    <row r="28426" customFormat="false" ht="15" hidden="false" customHeight="true" outlineLevel="0" collapsed="false"/>
    <row r="28427" customFormat="false" ht="15" hidden="false" customHeight="true" outlineLevel="0" collapsed="false"/>
    <row r="28428" customFormat="false" ht="15" hidden="false" customHeight="true" outlineLevel="0" collapsed="false"/>
    <row r="28429" customFormat="false" ht="15" hidden="false" customHeight="true" outlineLevel="0" collapsed="false"/>
    <row r="28430" customFormat="false" ht="15" hidden="false" customHeight="true" outlineLevel="0" collapsed="false"/>
    <row r="28431" customFormat="false" ht="15" hidden="false" customHeight="true" outlineLevel="0" collapsed="false"/>
    <row r="28432" customFormat="false" ht="15" hidden="false" customHeight="true" outlineLevel="0" collapsed="false"/>
    <row r="28433" customFormat="false" ht="15" hidden="false" customHeight="true" outlineLevel="0" collapsed="false"/>
    <row r="28434" customFormat="false" ht="15" hidden="false" customHeight="true" outlineLevel="0" collapsed="false"/>
    <row r="28435" customFormat="false" ht="15" hidden="false" customHeight="true" outlineLevel="0" collapsed="false"/>
    <row r="28436" customFormat="false" ht="15" hidden="false" customHeight="true" outlineLevel="0" collapsed="false"/>
    <row r="28437" customFormat="false" ht="15" hidden="false" customHeight="true" outlineLevel="0" collapsed="false"/>
    <row r="28438" customFormat="false" ht="15" hidden="false" customHeight="true" outlineLevel="0" collapsed="false"/>
    <row r="28439" customFormat="false" ht="15" hidden="false" customHeight="true" outlineLevel="0" collapsed="false"/>
    <row r="28440" customFormat="false" ht="15" hidden="false" customHeight="true" outlineLevel="0" collapsed="false"/>
    <row r="28441" customFormat="false" ht="15" hidden="false" customHeight="true" outlineLevel="0" collapsed="false"/>
    <row r="28442" customFormat="false" ht="15" hidden="false" customHeight="true" outlineLevel="0" collapsed="false"/>
    <row r="28443" customFormat="false" ht="15" hidden="false" customHeight="true" outlineLevel="0" collapsed="false"/>
    <row r="28444" customFormat="false" ht="15" hidden="false" customHeight="true" outlineLevel="0" collapsed="false"/>
    <row r="28445" customFormat="false" ht="15" hidden="false" customHeight="true" outlineLevel="0" collapsed="false"/>
    <row r="28446" customFormat="false" ht="15" hidden="false" customHeight="true" outlineLevel="0" collapsed="false"/>
    <row r="28447" customFormat="false" ht="15" hidden="false" customHeight="true" outlineLevel="0" collapsed="false"/>
    <row r="28448" customFormat="false" ht="15" hidden="false" customHeight="true" outlineLevel="0" collapsed="false"/>
    <row r="28449" customFormat="false" ht="15" hidden="false" customHeight="true" outlineLevel="0" collapsed="false"/>
    <row r="28450" customFormat="false" ht="15" hidden="false" customHeight="true" outlineLevel="0" collapsed="false"/>
    <row r="28451" customFormat="false" ht="15" hidden="false" customHeight="true" outlineLevel="0" collapsed="false"/>
    <row r="28452" customFormat="false" ht="15" hidden="false" customHeight="true" outlineLevel="0" collapsed="false"/>
    <row r="28453" customFormat="false" ht="15" hidden="false" customHeight="true" outlineLevel="0" collapsed="false"/>
    <row r="28454" customFormat="false" ht="15" hidden="false" customHeight="true" outlineLevel="0" collapsed="false"/>
    <row r="28455" customFormat="false" ht="15" hidden="false" customHeight="true" outlineLevel="0" collapsed="false"/>
    <row r="28456" customFormat="false" ht="15" hidden="false" customHeight="true" outlineLevel="0" collapsed="false"/>
    <row r="28457" customFormat="false" ht="15" hidden="false" customHeight="true" outlineLevel="0" collapsed="false"/>
    <row r="28458" customFormat="false" ht="15" hidden="false" customHeight="true" outlineLevel="0" collapsed="false"/>
    <row r="28459" customFormat="false" ht="15" hidden="false" customHeight="true" outlineLevel="0" collapsed="false"/>
    <row r="28460" customFormat="false" ht="15" hidden="false" customHeight="true" outlineLevel="0" collapsed="false"/>
    <row r="28461" customFormat="false" ht="15" hidden="false" customHeight="true" outlineLevel="0" collapsed="false"/>
    <row r="28462" customFormat="false" ht="15" hidden="false" customHeight="true" outlineLevel="0" collapsed="false"/>
    <row r="28463" customFormat="false" ht="15" hidden="false" customHeight="true" outlineLevel="0" collapsed="false"/>
    <row r="28464" customFormat="false" ht="15" hidden="false" customHeight="true" outlineLevel="0" collapsed="false"/>
    <row r="28465" customFormat="false" ht="15" hidden="false" customHeight="true" outlineLevel="0" collapsed="false"/>
    <row r="28466" customFormat="false" ht="15" hidden="false" customHeight="true" outlineLevel="0" collapsed="false"/>
    <row r="28467" customFormat="false" ht="15" hidden="false" customHeight="true" outlineLevel="0" collapsed="false"/>
    <row r="28468" customFormat="false" ht="15" hidden="false" customHeight="true" outlineLevel="0" collapsed="false"/>
    <row r="28469" customFormat="false" ht="15" hidden="false" customHeight="true" outlineLevel="0" collapsed="false"/>
    <row r="28470" customFormat="false" ht="15" hidden="false" customHeight="true" outlineLevel="0" collapsed="false"/>
    <row r="28471" customFormat="false" ht="15" hidden="false" customHeight="true" outlineLevel="0" collapsed="false"/>
    <row r="28472" customFormat="false" ht="15" hidden="false" customHeight="true" outlineLevel="0" collapsed="false"/>
    <row r="28473" customFormat="false" ht="15" hidden="false" customHeight="true" outlineLevel="0" collapsed="false"/>
    <row r="28474" customFormat="false" ht="15" hidden="false" customHeight="true" outlineLevel="0" collapsed="false"/>
    <row r="28475" customFormat="false" ht="15" hidden="false" customHeight="true" outlineLevel="0" collapsed="false"/>
    <row r="28476" customFormat="false" ht="15" hidden="false" customHeight="true" outlineLevel="0" collapsed="false"/>
    <row r="28477" customFormat="false" ht="15" hidden="false" customHeight="true" outlineLevel="0" collapsed="false"/>
    <row r="28478" customFormat="false" ht="15" hidden="false" customHeight="true" outlineLevel="0" collapsed="false"/>
    <row r="28479" customFormat="false" ht="15" hidden="false" customHeight="true" outlineLevel="0" collapsed="false"/>
    <row r="28480" customFormat="false" ht="15" hidden="false" customHeight="true" outlineLevel="0" collapsed="false"/>
    <row r="28481" customFormat="false" ht="15" hidden="false" customHeight="true" outlineLevel="0" collapsed="false"/>
    <row r="28482" customFormat="false" ht="15" hidden="false" customHeight="true" outlineLevel="0" collapsed="false"/>
    <row r="28483" customFormat="false" ht="15" hidden="false" customHeight="true" outlineLevel="0" collapsed="false"/>
    <row r="28484" customFormat="false" ht="15" hidden="false" customHeight="true" outlineLevel="0" collapsed="false"/>
    <row r="28485" customFormat="false" ht="15" hidden="false" customHeight="true" outlineLevel="0" collapsed="false"/>
    <row r="28486" customFormat="false" ht="15" hidden="false" customHeight="true" outlineLevel="0" collapsed="false"/>
    <row r="28487" customFormat="false" ht="15" hidden="false" customHeight="true" outlineLevel="0" collapsed="false"/>
    <row r="28488" customFormat="false" ht="15" hidden="false" customHeight="true" outlineLevel="0" collapsed="false"/>
    <row r="28489" customFormat="false" ht="15" hidden="false" customHeight="true" outlineLevel="0" collapsed="false"/>
    <row r="28490" customFormat="false" ht="15" hidden="false" customHeight="true" outlineLevel="0" collapsed="false"/>
    <row r="28491" customFormat="false" ht="15" hidden="false" customHeight="true" outlineLevel="0" collapsed="false"/>
    <row r="28492" customFormat="false" ht="15" hidden="false" customHeight="true" outlineLevel="0" collapsed="false"/>
    <row r="28493" customFormat="false" ht="15" hidden="false" customHeight="true" outlineLevel="0" collapsed="false"/>
    <row r="28494" customFormat="false" ht="15" hidden="false" customHeight="true" outlineLevel="0" collapsed="false"/>
    <row r="28495" customFormat="false" ht="15" hidden="false" customHeight="true" outlineLevel="0" collapsed="false"/>
    <row r="28496" customFormat="false" ht="15" hidden="false" customHeight="true" outlineLevel="0" collapsed="false"/>
    <row r="28497" customFormat="false" ht="15" hidden="false" customHeight="true" outlineLevel="0" collapsed="false"/>
    <row r="28498" customFormat="false" ht="15" hidden="false" customHeight="true" outlineLevel="0" collapsed="false"/>
    <row r="28499" customFormat="false" ht="15" hidden="false" customHeight="true" outlineLevel="0" collapsed="false"/>
    <row r="28500" customFormat="false" ht="15" hidden="false" customHeight="true" outlineLevel="0" collapsed="false"/>
    <row r="28501" customFormat="false" ht="15" hidden="false" customHeight="true" outlineLevel="0" collapsed="false"/>
    <row r="28502" customFormat="false" ht="15" hidden="false" customHeight="true" outlineLevel="0" collapsed="false"/>
    <row r="28503" customFormat="false" ht="15" hidden="false" customHeight="true" outlineLevel="0" collapsed="false"/>
    <row r="28504" customFormat="false" ht="15" hidden="false" customHeight="true" outlineLevel="0" collapsed="false"/>
    <row r="28505" customFormat="false" ht="15" hidden="false" customHeight="true" outlineLevel="0" collapsed="false"/>
    <row r="28506" customFormat="false" ht="15" hidden="false" customHeight="true" outlineLevel="0" collapsed="false"/>
    <row r="28507" customFormat="false" ht="15" hidden="false" customHeight="true" outlineLevel="0" collapsed="false"/>
    <row r="28508" customFormat="false" ht="15" hidden="false" customHeight="true" outlineLevel="0" collapsed="false"/>
    <row r="28509" customFormat="false" ht="15" hidden="false" customHeight="true" outlineLevel="0" collapsed="false"/>
    <row r="28510" customFormat="false" ht="15" hidden="false" customHeight="true" outlineLevel="0" collapsed="false"/>
    <row r="28511" customFormat="false" ht="15" hidden="false" customHeight="true" outlineLevel="0" collapsed="false"/>
    <row r="28512" customFormat="false" ht="15" hidden="false" customHeight="true" outlineLevel="0" collapsed="false"/>
    <row r="28513" customFormat="false" ht="15" hidden="false" customHeight="true" outlineLevel="0" collapsed="false"/>
    <row r="28514" customFormat="false" ht="15" hidden="false" customHeight="true" outlineLevel="0" collapsed="false"/>
    <row r="28515" customFormat="false" ht="15" hidden="false" customHeight="true" outlineLevel="0" collapsed="false"/>
    <row r="28516" customFormat="false" ht="15" hidden="false" customHeight="true" outlineLevel="0" collapsed="false"/>
    <row r="28517" customFormat="false" ht="15" hidden="false" customHeight="true" outlineLevel="0" collapsed="false"/>
    <row r="28518" customFormat="false" ht="15" hidden="false" customHeight="true" outlineLevel="0" collapsed="false"/>
    <row r="28519" customFormat="false" ht="15" hidden="false" customHeight="true" outlineLevel="0" collapsed="false"/>
    <row r="28520" customFormat="false" ht="15" hidden="false" customHeight="true" outlineLevel="0" collapsed="false"/>
    <row r="28521" customFormat="false" ht="15" hidden="false" customHeight="true" outlineLevel="0" collapsed="false"/>
    <row r="28522" customFormat="false" ht="15" hidden="false" customHeight="true" outlineLevel="0" collapsed="false"/>
    <row r="28523" customFormat="false" ht="15" hidden="false" customHeight="true" outlineLevel="0" collapsed="false"/>
    <row r="28524" customFormat="false" ht="15" hidden="false" customHeight="true" outlineLevel="0" collapsed="false"/>
    <row r="28525" customFormat="false" ht="15" hidden="false" customHeight="true" outlineLevel="0" collapsed="false"/>
    <row r="28526" customFormat="false" ht="15" hidden="false" customHeight="true" outlineLevel="0" collapsed="false"/>
    <row r="28527" customFormat="false" ht="15" hidden="false" customHeight="true" outlineLevel="0" collapsed="false"/>
    <row r="28528" customFormat="false" ht="15" hidden="false" customHeight="true" outlineLevel="0" collapsed="false"/>
    <row r="28529" customFormat="false" ht="15" hidden="false" customHeight="true" outlineLevel="0" collapsed="false"/>
    <row r="28530" customFormat="false" ht="15" hidden="false" customHeight="true" outlineLevel="0" collapsed="false"/>
    <row r="28531" customFormat="false" ht="15" hidden="false" customHeight="true" outlineLevel="0" collapsed="false"/>
    <row r="28532" customFormat="false" ht="15" hidden="false" customHeight="true" outlineLevel="0" collapsed="false"/>
    <row r="28533" customFormat="false" ht="15" hidden="false" customHeight="true" outlineLevel="0" collapsed="false"/>
    <row r="28534" customFormat="false" ht="15" hidden="false" customHeight="true" outlineLevel="0" collapsed="false"/>
    <row r="28535" customFormat="false" ht="15" hidden="false" customHeight="true" outlineLevel="0" collapsed="false"/>
    <row r="28536" customFormat="false" ht="15" hidden="false" customHeight="true" outlineLevel="0" collapsed="false"/>
    <row r="28537" customFormat="false" ht="15" hidden="false" customHeight="true" outlineLevel="0" collapsed="false"/>
    <row r="28538" customFormat="false" ht="15" hidden="false" customHeight="true" outlineLevel="0" collapsed="false"/>
    <row r="28539" customFormat="false" ht="15" hidden="false" customHeight="true" outlineLevel="0" collapsed="false"/>
    <row r="28540" customFormat="false" ht="15" hidden="false" customHeight="true" outlineLevel="0" collapsed="false"/>
    <row r="28541" customFormat="false" ht="15" hidden="false" customHeight="true" outlineLevel="0" collapsed="false"/>
    <row r="28542" customFormat="false" ht="15" hidden="false" customHeight="true" outlineLevel="0" collapsed="false"/>
    <row r="28543" customFormat="false" ht="15" hidden="false" customHeight="true" outlineLevel="0" collapsed="false"/>
    <row r="28544" customFormat="false" ht="15" hidden="false" customHeight="true" outlineLevel="0" collapsed="false"/>
    <row r="28545" customFormat="false" ht="15" hidden="false" customHeight="true" outlineLevel="0" collapsed="false"/>
    <row r="28546" customFormat="false" ht="15" hidden="false" customHeight="true" outlineLevel="0" collapsed="false"/>
    <row r="28547" customFormat="false" ht="15" hidden="false" customHeight="true" outlineLevel="0" collapsed="false"/>
    <row r="28548" customFormat="false" ht="15" hidden="false" customHeight="true" outlineLevel="0" collapsed="false"/>
    <row r="28549" customFormat="false" ht="15" hidden="false" customHeight="true" outlineLevel="0" collapsed="false"/>
    <row r="28550" customFormat="false" ht="15" hidden="false" customHeight="true" outlineLevel="0" collapsed="false"/>
    <row r="28551" customFormat="false" ht="15" hidden="false" customHeight="true" outlineLevel="0" collapsed="false"/>
    <row r="28552" customFormat="false" ht="15" hidden="false" customHeight="true" outlineLevel="0" collapsed="false"/>
    <row r="28553" customFormat="false" ht="15" hidden="false" customHeight="true" outlineLevel="0" collapsed="false"/>
    <row r="28554" customFormat="false" ht="15" hidden="false" customHeight="true" outlineLevel="0" collapsed="false"/>
    <row r="28555" customFormat="false" ht="15" hidden="false" customHeight="true" outlineLevel="0" collapsed="false"/>
    <row r="28556" customFormat="false" ht="15" hidden="false" customHeight="true" outlineLevel="0" collapsed="false"/>
    <row r="28557" customFormat="false" ht="15" hidden="false" customHeight="true" outlineLevel="0" collapsed="false"/>
    <row r="28558" customFormat="false" ht="15" hidden="false" customHeight="true" outlineLevel="0" collapsed="false"/>
    <row r="28559" customFormat="false" ht="15" hidden="false" customHeight="true" outlineLevel="0" collapsed="false"/>
    <row r="28560" customFormat="false" ht="15" hidden="false" customHeight="true" outlineLevel="0" collapsed="false"/>
    <row r="28561" customFormat="false" ht="15" hidden="false" customHeight="true" outlineLevel="0" collapsed="false"/>
    <row r="28562" customFormat="false" ht="15" hidden="false" customHeight="true" outlineLevel="0" collapsed="false"/>
    <row r="28563" customFormat="false" ht="15" hidden="false" customHeight="true" outlineLevel="0" collapsed="false"/>
    <row r="28564" customFormat="false" ht="15" hidden="false" customHeight="true" outlineLevel="0" collapsed="false"/>
    <row r="28565" customFormat="false" ht="15" hidden="false" customHeight="true" outlineLevel="0" collapsed="false"/>
    <row r="28566" customFormat="false" ht="15" hidden="false" customHeight="true" outlineLevel="0" collapsed="false"/>
    <row r="28567" customFormat="false" ht="15" hidden="false" customHeight="true" outlineLevel="0" collapsed="false"/>
    <row r="28568" customFormat="false" ht="15" hidden="false" customHeight="true" outlineLevel="0" collapsed="false"/>
    <row r="28569" customFormat="false" ht="15" hidden="false" customHeight="true" outlineLevel="0" collapsed="false"/>
    <row r="28570" customFormat="false" ht="15" hidden="false" customHeight="true" outlineLevel="0" collapsed="false"/>
    <row r="28571" customFormat="false" ht="15" hidden="false" customHeight="true" outlineLevel="0" collapsed="false"/>
    <row r="28572" customFormat="false" ht="15" hidden="false" customHeight="true" outlineLevel="0" collapsed="false"/>
    <row r="28573" customFormat="false" ht="15" hidden="false" customHeight="true" outlineLevel="0" collapsed="false"/>
    <row r="28574" customFormat="false" ht="15" hidden="false" customHeight="true" outlineLevel="0" collapsed="false"/>
    <row r="28575" customFormat="false" ht="15" hidden="false" customHeight="true" outlineLevel="0" collapsed="false"/>
    <row r="28576" customFormat="false" ht="15" hidden="false" customHeight="true" outlineLevel="0" collapsed="false"/>
    <row r="28577" customFormat="false" ht="15" hidden="false" customHeight="true" outlineLevel="0" collapsed="false"/>
    <row r="28578" customFormat="false" ht="15" hidden="false" customHeight="true" outlineLevel="0" collapsed="false"/>
    <row r="28579" customFormat="false" ht="15" hidden="false" customHeight="true" outlineLevel="0" collapsed="false"/>
    <row r="28580" customFormat="false" ht="15" hidden="false" customHeight="true" outlineLevel="0" collapsed="false"/>
    <row r="28581" customFormat="false" ht="15" hidden="false" customHeight="true" outlineLevel="0" collapsed="false"/>
    <row r="28582" customFormat="false" ht="15" hidden="false" customHeight="true" outlineLevel="0" collapsed="false"/>
    <row r="28583" customFormat="false" ht="15" hidden="false" customHeight="true" outlineLevel="0" collapsed="false"/>
    <row r="28584" customFormat="false" ht="15" hidden="false" customHeight="true" outlineLevel="0" collapsed="false"/>
    <row r="28585" customFormat="false" ht="15" hidden="false" customHeight="true" outlineLevel="0" collapsed="false"/>
    <row r="28586" customFormat="false" ht="15" hidden="false" customHeight="true" outlineLevel="0" collapsed="false"/>
    <row r="28587" customFormat="false" ht="15" hidden="false" customHeight="true" outlineLevel="0" collapsed="false"/>
    <row r="28588" customFormat="false" ht="15" hidden="false" customHeight="true" outlineLevel="0" collapsed="false"/>
    <row r="28589" customFormat="false" ht="15" hidden="false" customHeight="true" outlineLevel="0" collapsed="false"/>
    <row r="28590" customFormat="false" ht="15" hidden="false" customHeight="true" outlineLevel="0" collapsed="false"/>
    <row r="28591" customFormat="false" ht="15" hidden="false" customHeight="true" outlineLevel="0" collapsed="false"/>
    <row r="28592" customFormat="false" ht="15" hidden="false" customHeight="true" outlineLevel="0" collapsed="false"/>
    <row r="28593" customFormat="false" ht="15" hidden="false" customHeight="true" outlineLevel="0" collapsed="false"/>
    <row r="28594" customFormat="false" ht="15" hidden="false" customHeight="true" outlineLevel="0" collapsed="false"/>
    <row r="28595" customFormat="false" ht="15" hidden="false" customHeight="true" outlineLevel="0" collapsed="false"/>
    <row r="28596" customFormat="false" ht="15" hidden="false" customHeight="true" outlineLevel="0" collapsed="false"/>
    <row r="28597" customFormat="false" ht="15" hidden="false" customHeight="true" outlineLevel="0" collapsed="false"/>
    <row r="28598" customFormat="false" ht="15" hidden="false" customHeight="true" outlineLevel="0" collapsed="false"/>
    <row r="28599" customFormat="false" ht="15" hidden="false" customHeight="true" outlineLevel="0" collapsed="false"/>
    <row r="28600" customFormat="false" ht="15" hidden="false" customHeight="true" outlineLevel="0" collapsed="false"/>
    <row r="28601" customFormat="false" ht="15" hidden="false" customHeight="true" outlineLevel="0" collapsed="false"/>
    <row r="28602" customFormat="false" ht="15" hidden="false" customHeight="true" outlineLevel="0" collapsed="false"/>
    <row r="28603" customFormat="false" ht="15" hidden="false" customHeight="true" outlineLevel="0" collapsed="false"/>
    <row r="28604" customFormat="false" ht="15" hidden="false" customHeight="true" outlineLevel="0" collapsed="false"/>
    <row r="28605" customFormat="false" ht="15" hidden="false" customHeight="true" outlineLevel="0" collapsed="false"/>
    <row r="28606" customFormat="false" ht="15" hidden="false" customHeight="true" outlineLevel="0" collapsed="false"/>
    <row r="28607" customFormat="false" ht="15" hidden="false" customHeight="true" outlineLevel="0" collapsed="false"/>
    <row r="28608" customFormat="false" ht="15" hidden="false" customHeight="true" outlineLevel="0" collapsed="false"/>
    <row r="28609" customFormat="false" ht="15" hidden="false" customHeight="true" outlineLevel="0" collapsed="false"/>
    <row r="28610" customFormat="false" ht="15" hidden="false" customHeight="true" outlineLevel="0" collapsed="false"/>
    <row r="28611" customFormat="false" ht="15" hidden="false" customHeight="true" outlineLevel="0" collapsed="false"/>
    <row r="28612" customFormat="false" ht="15" hidden="false" customHeight="true" outlineLevel="0" collapsed="false"/>
    <row r="28613" customFormat="false" ht="15" hidden="false" customHeight="true" outlineLevel="0" collapsed="false"/>
    <row r="28614" customFormat="false" ht="15" hidden="false" customHeight="true" outlineLevel="0" collapsed="false"/>
    <row r="28615" customFormat="false" ht="15" hidden="false" customHeight="true" outlineLevel="0" collapsed="false"/>
    <row r="28616" customFormat="false" ht="15" hidden="false" customHeight="true" outlineLevel="0" collapsed="false"/>
    <row r="28617" customFormat="false" ht="15" hidden="false" customHeight="true" outlineLevel="0" collapsed="false"/>
    <row r="28618" customFormat="false" ht="15" hidden="false" customHeight="true" outlineLevel="0" collapsed="false"/>
    <row r="28619" customFormat="false" ht="15" hidden="false" customHeight="true" outlineLevel="0" collapsed="false"/>
    <row r="28620" customFormat="false" ht="15" hidden="false" customHeight="true" outlineLevel="0" collapsed="false"/>
    <row r="28621" customFormat="false" ht="15" hidden="false" customHeight="true" outlineLevel="0" collapsed="false"/>
    <row r="28622" customFormat="false" ht="15" hidden="false" customHeight="true" outlineLevel="0" collapsed="false"/>
    <row r="28623" customFormat="false" ht="15" hidden="false" customHeight="true" outlineLevel="0" collapsed="false"/>
    <row r="28624" customFormat="false" ht="15" hidden="false" customHeight="true" outlineLevel="0" collapsed="false"/>
    <row r="28625" customFormat="false" ht="15" hidden="false" customHeight="true" outlineLevel="0" collapsed="false"/>
    <row r="28626" customFormat="false" ht="15" hidden="false" customHeight="true" outlineLevel="0" collapsed="false"/>
    <row r="28627" customFormat="false" ht="15" hidden="false" customHeight="true" outlineLevel="0" collapsed="false"/>
    <row r="28628" customFormat="false" ht="15" hidden="false" customHeight="true" outlineLevel="0" collapsed="false"/>
    <row r="28629" customFormat="false" ht="15" hidden="false" customHeight="true" outlineLevel="0" collapsed="false"/>
    <row r="28630" customFormat="false" ht="15" hidden="false" customHeight="true" outlineLevel="0" collapsed="false"/>
    <row r="28631" customFormat="false" ht="15" hidden="false" customHeight="true" outlineLevel="0" collapsed="false"/>
    <row r="28632" customFormat="false" ht="15" hidden="false" customHeight="true" outlineLevel="0" collapsed="false"/>
    <row r="28633" customFormat="false" ht="15" hidden="false" customHeight="true" outlineLevel="0" collapsed="false"/>
    <row r="28634" customFormat="false" ht="15" hidden="false" customHeight="true" outlineLevel="0" collapsed="false"/>
    <row r="28635" customFormat="false" ht="15" hidden="false" customHeight="true" outlineLevel="0" collapsed="false"/>
    <row r="28636" customFormat="false" ht="15" hidden="false" customHeight="true" outlineLevel="0" collapsed="false"/>
    <row r="28637" customFormat="false" ht="15" hidden="false" customHeight="true" outlineLevel="0" collapsed="false"/>
    <row r="28638" customFormat="false" ht="15" hidden="false" customHeight="true" outlineLevel="0" collapsed="false"/>
    <row r="28639" customFormat="false" ht="15" hidden="false" customHeight="true" outlineLevel="0" collapsed="false"/>
    <row r="28640" customFormat="false" ht="15" hidden="false" customHeight="true" outlineLevel="0" collapsed="false"/>
    <row r="28641" customFormat="false" ht="15" hidden="false" customHeight="true" outlineLevel="0" collapsed="false"/>
    <row r="28642" customFormat="false" ht="15" hidden="false" customHeight="true" outlineLevel="0" collapsed="false"/>
    <row r="28643" customFormat="false" ht="15" hidden="false" customHeight="true" outlineLevel="0" collapsed="false"/>
    <row r="28644" customFormat="false" ht="15" hidden="false" customHeight="true" outlineLevel="0" collapsed="false"/>
    <row r="28645" customFormat="false" ht="15" hidden="false" customHeight="true" outlineLevel="0" collapsed="false"/>
    <row r="28646" customFormat="false" ht="15" hidden="false" customHeight="true" outlineLevel="0" collapsed="false"/>
    <row r="28647" customFormat="false" ht="15" hidden="false" customHeight="true" outlineLevel="0" collapsed="false"/>
    <row r="28648" customFormat="false" ht="15" hidden="false" customHeight="true" outlineLevel="0" collapsed="false"/>
    <row r="28649" customFormat="false" ht="15" hidden="false" customHeight="true" outlineLevel="0" collapsed="false"/>
    <row r="28650" customFormat="false" ht="15" hidden="false" customHeight="true" outlineLevel="0" collapsed="false"/>
    <row r="28651" customFormat="false" ht="15" hidden="false" customHeight="true" outlineLevel="0" collapsed="false"/>
    <row r="28652" customFormat="false" ht="15" hidden="false" customHeight="true" outlineLevel="0" collapsed="false"/>
    <row r="28653" customFormat="false" ht="15" hidden="false" customHeight="true" outlineLevel="0" collapsed="false"/>
    <row r="28654" customFormat="false" ht="15" hidden="false" customHeight="true" outlineLevel="0" collapsed="false"/>
    <row r="28655" customFormat="false" ht="15" hidden="false" customHeight="true" outlineLevel="0" collapsed="false"/>
    <row r="28656" customFormat="false" ht="15" hidden="false" customHeight="true" outlineLevel="0" collapsed="false"/>
    <row r="28657" customFormat="false" ht="15" hidden="false" customHeight="true" outlineLevel="0" collapsed="false"/>
    <row r="28658" customFormat="false" ht="15" hidden="false" customHeight="true" outlineLevel="0" collapsed="false"/>
    <row r="28659" customFormat="false" ht="15" hidden="false" customHeight="true" outlineLevel="0" collapsed="false"/>
    <row r="28660" customFormat="false" ht="15" hidden="false" customHeight="true" outlineLevel="0" collapsed="false"/>
    <row r="28661" customFormat="false" ht="15" hidden="false" customHeight="true" outlineLevel="0" collapsed="false"/>
    <row r="28662" customFormat="false" ht="15" hidden="false" customHeight="true" outlineLevel="0" collapsed="false"/>
    <row r="28663" customFormat="false" ht="15" hidden="false" customHeight="true" outlineLevel="0" collapsed="false"/>
    <row r="28664" customFormat="false" ht="15" hidden="false" customHeight="true" outlineLevel="0" collapsed="false"/>
    <row r="28665" customFormat="false" ht="15" hidden="false" customHeight="true" outlineLevel="0" collapsed="false"/>
    <row r="28666" customFormat="false" ht="15" hidden="false" customHeight="true" outlineLevel="0" collapsed="false"/>
    <row r="28667" customFormat="false" ht="15" hidden="false" customHeight="true" outlineLevel="0" collapsed="false"/>
    <row r="28668" customFormat="false" ht="15" hidden="false" customHeight="true" outlineLevel="0" collapsed="false"/>
    <row r="28669" customFormat="false" ht="15" hidden="false" customHeight="true" outlineLevel="0" collapsed="false"/>
    <row r="28670" customFormat="false" ht="15" hidden="false" customHeight="true" outlineLevel="0" collapsed="false"/>
    <row r="28671" customFormat="false" ht="15" hidden="false" customHeight="true" outlineLevel="0" collapsed="false"/>
    <row r="28672" customFormat="false" ht="15" hidden="false" customHeight="true" outlineLevel="0" collapsed="false"/>
    <row r="28673" customFormat="false" ht="15" hidden="false" customHeight="true" outlineLevel="0" collapsed="false"/>
    <row r="28674" customFormat="false" ht="15" hidden="false" customHeight="true" outlineLevel="0" collapsed="false"/>
    <row r="28675" customFormat="false" ht="15" hidden="false" customHeight="true" outlineLevel="0" collapsed="false"/>
    <row r="28676" customFormat="false" ht="15" hidden="false" customHeight="true" outlineLevel="0" collapsed="false"/>
    <row r="28677" customFormat="false" ht="15" hidden="false" customHeight="true" outlineLevel="0" collapsed="false"/>
    <row r="28678" customFormat="false" ht="15" hidden="false" customHeight="true" outlineLevel="0" collapsed="false"/>
    <row r="28679" customFormat="false" ht="15" hidden="false" customHeight="true" outlineLevel="0" collapsed="false"/>
    <row r="28680" customFormat="false" ht="15" hidden="false" customHeight="true" outlineLevel="0" collapsed="false"/>
    <row r="28681" customFormat="false" ht="15" hidden="false" customHeight="true" outlineLevel="0" collapsed="false"/>
    <row r="28682" customFormat="false" ht="15" hidden="false" customHeight="true" outlineLevel="0" collapsed="false"/>
    <row r="28683" customFormat="false" ht="15" hidden="false" customHeight="true" outlineLevel="0" collapsed="false"/>
    <row r="28684" customFormat="false" ht="15" hidden="false" customHeight="true" outlineLevel="0" collapsed="false"/>
    <row r="28685" customFormat="false" ht="15" hidden="false" customHeight="true" outlineLevel="0" collapsed="false"/>
    <row r="28686" customFormat="false" ht="15" hidden="false" customHeight="true" outlineLevel="0" collapsed="false"/>
    <row r="28687" customFormat="false" ht="15" hidden="false" customHeight="true" outlineLevel="0" collapsed="false"/>
    <row r="28688" customFormat="false" ht="15" hidden="false" customHeight="true" outlineLevel="0" collapsed="false"/>
    <row r="28689" customFormat="false" ht="15" hidden="false" customHeight="true" outlineLevel="0" collapsed="false"/>
    <row r="28690" customFormat="false" ht="15" hidden="false" customHeight="true" outlineLevel="0" collapsed="false"/>
    <row r="28691" customFormat="false" ht="15" hidden="false" customHeight="true" outlineLevel="0" collapsed="false"/>
    <row r="28692" customFormat="false" ht="15" hidden="false" customHeight="true" outlineLevel="0" collapsed="false"/>
    <row r="28693" customFormat="false" ht="15" hidden="false" customHeight="true" outlineLevel="0" collapsed="false"/>
    <row r="28694" customFormat="false" ht="15" hidden="false" customHeight="true" outlineLevel="0" collapsed="false"/>
    <row r="28695" customFormat="false" ht="15" hidden="false" customHeight="true" outlineLevel="0" collapsed="false"/>
    <row r="28696" customFormat="false" ht="15" hidden="false" customHeight="true" outlineLevel="0" collapsed="false"/>
    <row r="28697" customFormat="false" ht="15" hidden="false" customHeight="true" outlineLevel="0" collapsed="false"/>
    <row r="28698" customFormat="false" ht="15" hidden="false" customHeight="true" outlineLevel="0" collapsed="false"/>
    <row r="28699" customFormat="false" ht="15" hidden="false" customHeight="true" outlineLevel="0" collapsed="false"/>
    <row r="28700" customFormat="false" ht="15" hidden="false" customHeight="true" outlineLevel="0" collapsed="false"/>
    <row r="28701" customFormat="false" ht="15" hidden="false" customHeight="true" outlineLevel="0" collapsed="false"/>
    <row r="28702" customFormat="false" ht="15" hidden="false" customHeight="true" outlineLevel="0" collapsed="false"/>
    <row r="28703" customFormat="false" ht="15" hidden="false" customHeight="true" outlineLevel="0" collapsed="false"/>
    <row r="28704" customFormat="false" ht="15" hidden="false" customHeight="true" outlineLevel="0" collapsed="false"/>
    <row r="28705" customFormat="false" ht="15" hidden="false" customHeight="true" outlineLevel="0" collapsed="false"/>
    <row r="28706" customFormat="false" ht="15" hidden="false" customHeight="true" outlineLevel="0" collapsed="false"/>
    <row r="28707" customFormat="false" ht="15" hidden="false" customHeight="true" outlineLevel="0" collapsed="false"/>
    <row r="28708" customFormat="false" ht="15" hidden="false" customHeight="true" outlineLevel="0" collapsed="false"/>
    <row r="28709" customFormat="false" ht="15" hidden="false" customHeight="true" outlineLevel="0" collapsed="false"/>
    <row r="28710" customFormat="false" ht="15" hidden="false" customHeight="true" outlineLevel="0" collapsed="false"/>
    <row r="28711" customFormat="false" ht="15" hidden="false" customHeight="true" outlineLevel="0" collapsed="false"/>
    <row r="28712" customFormat="false" ht="15" hidden="false" customHeight="true" outlineLevel="0" collapsed="false"/>
    <row r="28713" customFormat="false" ht="15" hidden="false" customHeight="true" outlineLevel="0" collapsed="false"/>
    <row r="28714" customFormat="false" ht="15" hidden="false" customHeight="true" outlineLevel="0" collapsed="false"/>
    <row r="28715" customFormat="false" ht="15" hidden="false" customHeight="true" outlineLevel="0" collapsed="false"/>
    <row r="28716" customFormat="false" ht="15" hidden="false" customHeight="true" outlineLevel="0" collapsed="false"/>
    <row r="28717" customFormat="false" ht="15" hidden="false" customHeight="true" outlineLevel="0" collapsed="false"/>
    <row r="28718" customFormat="false" ht="15" hidden="false" customHeight="true" outlineLevel="0" collapsed="false"/>
    <row r="28719" customFormat="false" ht="15" hidden="false" customHeight="true" outlineLevel="0" collapsed="false"/>
    <row r="28720" customFormat="false" ht="15" hidden="false" customHeight="true" outlineLevel="0" collapsed="false"/>
    <row r="28721" customFormat="false" ht="15" hidden="false" customHeight="true" outlineLevel="0" collapsed="false"/>
    <row r="28722" customFormat="false" ht="15" hidden="false" customHeight="true" outlineLevel="0" collapsed="false"/>
    <row r="28723" customFormat="false" ht="15" hidden="false" customHeight="true" outlineLevel="0" collapsed="false"/>
    <row r="28724" customFormat="false" ht="15" hidden="false" customHeight="true" outlineLevel="0" collapsed="false"/>
    <row r="28725" customFormat="false" ht="15" hidden="false" customHeight="true" outlineLevel="0" collapsed="false"/>
    <row r="28726" customFormat="false" ht="15" hidden="false" customHeight="true" outlineLevel="0" collapsed="false"/>
    <row r="28727" customFormat="false" ht="15" hidden="false" customHeight="true" outlineLevel="0" collapsed="false"/>
    <row r="28728" customFormat="false" ht="15" hidden="false" customHeight="true" outlineLevel="0" collapsed="false"/>
    <row r="28729" customFormat="false" ht="15" hidden="false" customHeight="true" outlineLevel="0" collapsed="false"/>
    <row r="28730" customFormat="false" ht="15" hidden="false" customHeight="true" outlineLevel="0" collapsed="false"/>
    <row r="28731" customFormat="false" ht="15" hidden="false" customHeight="true" outlineLevel="0" collapsed="false"/>
    <row r="28732" customFormat="false" ht="15" hidden="false" customHeight="true" outlineLevel="0" collapsed="false"/>
    <row r="28733" customFormat="false" ht="15" hidden="false" customHeight="true" outlineLevel="0" collapsed="false"/>
    <row r="28734" customFormat="false" ht="15" hidden="false" customHeight="true" outlineLevel="0" collapsed="false"/>
    <row r="28735" customFormat="false" ht="15" hidden="false" customHeight="true" outlineLevel="0" collapsed="false"/>
    <row r="28736" customFormat="false" ht="15" hidden="false" customHeight="true" outlineLevel="0" collapsed="false"/>
    <row r="28737" customFormat="false" ht="15" hidden="false" customHeight="true" outlineLevel="0" collapsed="false"/>
    <row r="28738" customFormat="false" ht="15" hidden="false" customHeight="true" outlineLevel="0" collapsed="false"/>
    <row r="28739" customFormat="false" ht="15" hidden="false" customHeight="true" outlineLevel="0" collapsed="false"/>
    <row r="28740" customFormat="false" ht="15" hidden="false" customHeight="true" outlineLevel="0" collapsed="false"/>
    <row r="28741" customFormat="false" ht="15" hidden="false" customHeight="true" outlineLevel="0" collapsed="false"/>
    <row r="28742" customFormat="false" ht="15" hidden="false" customHeight="true" outlineLevel="0" collapsed="false"/>
    <row r="28743" customFormat="false" ht="15" hidden="false" customHeight="true" outlineLevel="0" collapsed="false"/>
    <row r="28744" customFormat="false" ht="15" hidden="false" customHeight="true" outlineLevel="0" collapsed="false"/>
    <row r="28745" customFormat="false" ht="15" hidden="false" customHeight="true" outlineLevel="0" collapsed="false"/>
    <row r="28746" customFormat="false" ht="15" hidden="false" customHeight="true" outlineLevel="0" collapsed="false"/>
    <row r="28747" customFormat="false" ht="15" hidden="false" customHeight="true" outlineLevel="0" collapsed="false"/>
    <row r="28748" customFormat="false" ht="15" hidden="false" customHeight="true" outlineLevel="0" collapsed="false"/>
    <row r="28749" customFormat="false" ht="15" hidden="false" customHeight="true" outlineLevel="0" collapsed="false"/>
    <row r="28750" customFormat="false" ht="15" hidden="false" customHeight="true" outlineLevel="0" collapsed="false"/>
    <row r="28751" customFormat="false" ht="15" hidden="false" customHeight="true" outlineLevel="0" collapsed="false"/>
    <row r="28752" customFormat="false" ht="15" hidden="false" customHeight="true" outlineLevel="0" collapsed="false"/>
    <row r="28753" customFormat="false" ht="15" hidden="false" customHeight="true" outlineLevel="0" collapsed="false"/>
    <row r="28754" customFormat="false" ht="15" hidden="false" customHeight="true" outlineLevel="0" collapsed="false"/>
    <row r="28755" customFormat="false" ht="15" hidden="false" customHeight="true" outlineLevel="0" collapsed="false"/>
    <row r="28756" customFormat="false" ht="15" hidden="false" customHeight="true" outlineLevel="0" collapsed="false"/>
    <row r="28757" customFormat="false" ht="15" hidden="false" customHeight="true" outlineLevel="0" collapsed="false"/>
    <row r="28758" customFormat="false" ht="15" hidden="false" customHeight="true" outlineLevel="0" collapsed="false"/>
    <row r="28759" customFormat="false" ht="15" hidden="false" customHeight="true" outlineLevel="0" collapsed="false"/>
    <row r="28760" customFormat="false" ht="15" hidden="false" customHeight="true" outlineLevel="0" collapsed="false"/>
    <row r="28761" customFormat="false" ht="15" hidden="false" customHeight="true" outlineLevel="0" collapsed="false"/>
    <row r="28762" customFormat="false" ht="15" hidden="false" customHeight="true" outlineLevel="0" collapsed="false"/>
    <row r="28763" customFormat="false" ht="15" hidden="false" customHeight="true" outlineLevel="0" collapsed="false"/>
    <row r="28764" customFormat="false" ht="15" hidden="false" customHeight="true" outlineLevel="0" collapsed="false"/>
    <row r="28765" customFormat="false" ht="15" hidden="false" customHeight="true" outlineLevel="0" collapsed="false"/>
    <row r="28766" customFormat="false" ht="15" hidden="false" customHeight="true" outlineLevel="0" collapsed="false"/>
    <row r="28767" customFormat="false" ht="15" hidden="false" customHeight="true" outlineLevel="0" collapsed="false"/>
    <row r="28768" customFormat="false" ht="15" hidden="false" customHeight="true" outlineLevel="0" collapsed="false"/>
    <row r="28769" customFormat="false" ht="15" hidden="false" customHeight="true" outlineLevel="0" collapsed="false"/>
    <row r="28770" customFormat="false" ht="15" hidden="false" customHeight="true" outlineLevel="0" collapsed="false"/>
    <row r="28771" customFormat="false" ht="15" hidden="false" customHeight="true" outlineLevel="0" collapsed="false"/>
    <row r="28772" customFormat="false" ht="15" hidden="false" customHeight="true" outlineLevel="0" collapsed="false"/>
    <row r="28773" customFormat="false" ht="15" hidden="false" customHeight="true" outlineLevel="0" collapsed="false"/>
    <row r="28774" customFormat="false" ht="15" hidden="false" customHeight="true" outlineLevel="0" collapsed="false"/>
    <row r="28775" customFormat="false" ht="15" hidden="false" customHeight="true" outlineLevel="0" collapsed="false"/>
    <row r="28776" customFormat="false" ht="15" hidden="false" customHeight="true" outlineLevel="0" collapsed="false"/>
    <row r="28777" customFormat="false" ht="15" hidden="false" customHeight="true" outlineLevel="0" collapsed="false"/>
    <row r="28778" customFormat="false" ht="15" hidden="false" customHeight="true" outlineLevel="0" collapsed="false"/>
    <row r="28779" customFormat="false" ht="15" hidden="false" customHeight="true" outlineLevel="0" collapsed="false"/>
    <row r="28780" customFormat="false" ht="15" hidden="false" customHeight="true" outlineLevel="0" collapsed="false"/>
    <row r="28781" customFormat="false" ht="15" hidden="false" customHeight="true" outlineLevel="0" collapsed="false"/>
    <row r="28782" customFormat="false" ht="15" hidden="false" customHeight="true" outlineLevel="0" collapsed="false"/>
    <row r="28783" customFormat="false" ht="15" hidden="false" customHeight="true" outlineLevel="0" collapsed="false"/>
    <row r="28784" customFormat="false" ht="15" hidden="false" customHeight="true" outlineLevel="0" collapsed="false"/>
    <row r="28785" customFormat="false" ht="15" hidden="false" customHeight="true" outlineLevel="0" collapsed="false"/>
    <row r="28786" customFormat="false" ht="15" hidden="false" customHeight="true" outlineLevel="0" collapsed="false"/>
    <row r="28787" customFormat="false" ht="15" hidden="false" customHeight="true" outlineLevel="0" collapsed="false"/>
    <row r="28788" customFormat="false" ht="15" hidden="false" customHeight="true" outlineLevel="0" collapsed="false"/>
    <row r="28789" customFormat="false" ht="15" hidden="false" customHeight="true" outlineLevel="0" collapsed="false"/>
    <row r="28790" customFormat="false" ht="15" hidden="false" customHeight="true" outlineLevel="0" collapsed="false"/>
    <row r="28791" customFormat="false" ht="15" hidden="false" customHeight="true" outlineLevel="0" collapsed="false"/>
    <row r="28792" customFormat="false" ht="15" hidden="false" customHeight="true" outlineLevel="0" collapsed="false"/>
    <row r="28793" customFormat="false" ht="15" hidden="false" customHeight="true" outlineLevel="0" collapsed="false"/>
    <row r="28794" customFormat="false" ht="15" hidden="false" customHeight="true" outlineLevel="0" collapsed="false"/>
    <row r="28795" customFormat="false" ht="15" hidden="false" customHeight="true" outlineLevel="0" collapsed="false"/>
    <row r="28796" customFormat="false" ht="15" hidden="false" customHeight="true" outlineLevel="0" collapsed="false"/>
    <row r="28797" customFormat="false" ht="15" hidden="false" customHeight="true" outlineLevel="0" collapsed="false"/>
    <row r="28798" customFormat="false" ht="15" hidden="false" customHeight="true" outlineLevel="0" collapsed="false"/>
    <row r="28799" customFormat="false" ht="15" hidden="false" customHeight="true" outlineLevel="0" collapsed="false"/>
    <row r="28800" customFormat="false" ht="15" hidden="false" customHeight="true" outlineLevel="0" collapsed="false"/>
    <row r="28801" customFormat="false" ht="15" hidden="false" customHeight="true" outlineLevel="0" collapsed="false"/>
    <row r="28802" customFormat="false" ht="15" hidden="false" customHeight="true" outlineLevel="0" collapsed="false"/>
    <row r="28803" customFormat="false" ht="15" hidden="false" customHeight="true" outlineLevel="0" collapsed="false"/>
    <row r="28804" customFormat="false" ht="15" hidden="false" customHeight="true" outlineLevel="0" collapsed="false"/>
    <row r="28805" customFormat="false" ht="15" hidden="false" customHeight="true" outlineLevel="0" collapsed="false"/>
    <row r="28806" customFormat="false" ht="15" hidden="false" customHeight="true" outlineLevel="0" collapsed="false"/>
    <row r="28807" customFormat="false" ht="15" hidden="false" customHeight="true" outlineLevel="0" collapsed="false"/>
    <row r="28808" customFormat="false" ht="15" hidden="false" customHeight="true" outlineLevel="0" collapsed="false"/>
    <row r="28809" customFormat="false" ht="15" hidden="false" customHeight="true" outlineLevel="0" collapsed="false"/>
    <row r="28810" customFormat="false" ht="15" hidden="false" customHeight="true" outlineLevel="0" collapsed="false"/>
    <row r="28811" customFormat="false" ht="15" hidden="false" customHeight="true" outlineLevel="0" collapsed="false"/>
    <row r="28812" customFormat="false" ht="15" hidden="false" customHeight="true" outlineLevel="0" collapsed="false"/>
    <row r="28813" customFormat="false" ht="15" hidden="false" customHeight="true" outlineLevel="0" collapsed="false"/>
    <row r="28814" customFormat="false" ht="15" hidden="false" customHeight="true" outlineLevel="0" collapsed="false"/>
    <row r="28815" customFormat="false" ht="15" hidden="false" customHeight="true" outlineLevel="0" collapsed="false"/>
    <row r="28816" customFormat="false" ht="15" hidden="false" customHeight="true" outlineLevel="0" collapsed="false"/>
    <row r="28817" customFormat="false" ht="15" hidden="false" customHeight="true" outlineLevel="0" collapsed="false"/>
    <row r="28818" customFormat="false" ht="15" hidden="false" customHeight="true" outlineLevel="0" collapsed="false"/>
    <row r="28819" customFormat="false" ht="15" hidden="false" customHeight="true" outlineLevel="0" collapsed="false"/>
    <row r="28820" customFormat="false" ht="15" hidden="false" customHeight="true" outlineLevel="0" collapsed="false"/>
    <row r="28821" customFormat="false" ht="15" hidden="false" customHeight="true" outlineLevel="0" collapsed="false"/>
    <row r="28822" customFormat="false" ht="15" hidden="false" customHeight="true" outlineLevel="0" collapsed="false"/>
    <row r="28823" customFormat="false" ht="15" hidden="false" customHeight="true" outlineLevel="0" collapsed="false"/>
    <row r="28824" customFormat="false" ht="15" hidden="false" customHeight="true" outlineLevel="0" collapsed="false"/>
    <row r="28825" customFormat="false" ht="15" hidden="false" customHeight="true" outlineLevel="0" collapsed="false"/>
    <row r="28826" customFormat="false" ht="15" hidden="false" customHeight="true" outlineLevel="0" collapsed="false"/>
    <row r="28827" customFormat="false" ht="15" hidden="false" customHeight="true" outlineLevel="0" collapsed="false"/>
    <row r="28828" customFormat="false" ht="15" hidden="false" customHeight="true" outlineLevel="0" collapsed="false"/>
    <row r="28829" customFormat="false" ht="15" hidden="false" customHeight="true" outlineLevel="0" collapsed="false"/>
    <row r="28830" customFormat="false" ht="15" hidden="false" customHeight="true" outlineLevel="0" collapsed="false"/>
    <row r="28831" customFormat="false" ht="15" hidden="false" customHeight="true" outlineLevel="0" collapsed="false"/>
    <row r="28832" customFormat="false" ht="15" hidden="false" customHeight="true" outlineLevel="0" collapsed="false"/>
    <row r="28833" customFormat="false" ht="15" hidden="false" customHeight="true" outlineLevel="0" collapsed="false"/>
    <row r="28834" customFormat="false" ht="15" hidden="false" customHeight="true" outlineLevel="0" collapsed="false"/>
    <row r="28835" customFormat="false" ht="15" hidden="false" customHeight="true" outlineLevel="0" collapsed="false"/>
    <row r="28836" customFormat="false" ht="15" hidden="false" customHeight="true" outlineLevel="0" collapsed="false"/>
    <row r="28837" customFormat="false" ht="15" hidden="false" customHeight="true" outlineLevel="0" collapsed="false"/>
    <row r="28838" customFormat="false" ht="15" hidden="false" customHeight="true" outlineLevel="0" collapsed="false"/>
    <row r="28839" customFormat="false" ht="15" hidden="false" customHeight="true" outlineLevel="0" collapsed="false"/>
    <row r="28840" customFormat="false" ht="15" hidden="false" customHeight="true" outlineLevel="0" collapsed="false"/>
    <row r="28841" customFormat="false" ht="15" hidden="false" customHeight="true" outlineLevel="0" collapsed="false"/>
    <row r="28842" customFormat="false" ht="15" hidden="false" customHeight="true" outlineLevel="0" collapsed="false"/>
    <row r="28843" customFormat="false" ht="15" hidden="false" customHeight="true" outlineLevel="0" collapsed="false"/>
    <row r="28844" customFormat="false" ht="15" hidden="false" customHeight="true" outlineLevel="0" collapsed="false"/>
    <row r="28845" customFormat="false" ht="15" hidden="false" customHeight="true" outlineLevel="0" collapsed="false"/>
    <row r="28846" customFormat="false" ht="15" hidden="false" customHeight="true" outlineLevel="0" collapsed="false"/>
    <row r="28847" customFormat="false" ht="15" hidden="false" customHeight="true" outlineLevel="0" collapsed="false"/>
    <row r="28848" customFormat="false" ht="15" hidden="false" customHeight="true" outlineLevel="0" collapsed="false"/>
    <row r="28849" customFormat="false" ht="15" hidden="false" customHeight="true" outlineLevel="0" collapsed="false"/>
    <row r="28850" customFormat="false" ht="15" hidden="false" customHeight="true" outlineLevel="0" collapsed="false"/>
    <row r="28851" customFormat="false" ht="15" hidden="false" customHeight="true" outlineLevel="0" collapsed="false"/>
    <row r="28852" customFormat="false" ht="15" hidden="false" customHeight="true" outlineLevel="0" collapsed="false"/>
    <row r="28853" customFormat="false" ht="15" hidden="false" customHeight="true" outlineLevel="0" collapsed="false"/>
    <row r="28854" customFormat="false" ht="15" hidden="false" customHeight="true" outlineLevel="0" collapsed="false"/>
    <row r="28855" customFormat="false" ht="15" hidden="false" customHeight="true" outlineLevel="0" collapsed="false"/>
    <row r="28856" customFormat="false" ht="15" hidden="false" customHeight="true" outlineLevel="0" collapsed="false"/>
    <row r="28857" customFormat="false" ht="15" hidden="false" customHeight="true" outlineLevel="0" collapsed="false"/>
    <row r="28858" customFormat="false" ht="15" hidden="false" customHeight="true" outlineLevel="0" collapsed="false"/>
    <row r="28859" customFormat="false" ht="15" hidden="false" customHeight="true" outlineLevel="0" collapsed="false"/>
    <row r="28860" customFormat="false" ht="15" hidden="false" customHeight="true" outlineLevel="0" collapsed="false"/>
    <row r="28861" customFormat="false" ht="15" hidden="false" customHeight="true" outlineLevel="0" collapsed="false"/>
    <row r="28862" customFormat="false" ht="15" hidden="false" customHeight="true" outlineLevel="0" collapsed="false"/>
    <row r="28863" customFormat="false" ht="15" hidden="false" customHeight="true" outlineLevel="0" collapsed="false"/>
    <row r="28864" customFormat="false" ht="15" hidden="false" customHeight="true" outlineLevel="0" collapsed="false"/>
    <row r="28865" customFormat="false" ht="15" hidden="false" customHeight="true" outlineLevel="0" collapsed="false"/>
    <row r="28866" customFormat="false" ht="15" hidden="false" customHeight="true" outlineLevel="0" collapsed="false"/>
    <row r="28867" customFormat="false" ht="15" hidden="false" customHeight="true" outlineLevel="0" collapsed="false"/>
    <row r="28868" customFormat="false" ht="15" hidden="false" customHeight="true" outlineLevel="0" collapsed="false"/>
    <row r="28869" customFormat="false" ht="15" hidden="false" customHeight="true" outlineLevel="0" collapsed="false"/>
    <row r="28870" customFormat="false" ht="15" hidden="false" customHeight="true" outlineLevel="0" collapsed="false"/>
    <row r="28871" customFormat="false" ht="15" hidden="false" customHeight="true" outlineLevel="0" collapsed="false"/>
    <row r="28872" customFormat="false" ht="15" hidden="false" customHeight="true" outlineLevel="0" collapsed="false"/>
    <row r="28873" customFormat="false" ht="15" hidden="false" customHeight="true" outlineLevel="0" collapsed="false"/>
    <row r="28874" customFormat="false" ht="15" hidden="false" customHeight="true" outlineLevel="0" collapsed="false"/>
    <row r="28875" customFormat="false" ht="15" hidden="false" customHeight="true" outlineLevel="0" collapsed="false"/>
    <row r="28876" customFormat="false" ht="15" hidden="false" customHeight="true" outlineLevel="0" collapsed="false"/>
    <row r="28877" customFormat="false" ht="15" hidden="false" customHeight="true" outlineLevel="0" collapsed="false"/>
    <row r="28878" customFormat="false" ht="15" hidden="false" customHeight="true" outlineLevel="0" collapsed="false"/>
    <row r="28879" customFormat="false" ht="15" hidden="false" customHeight="true" outlineLevel="0" collapsed="false"/>
    <row r="28880" customFormat="false" ht="15" hidden="false" customHeight="true" outlineLevel="0" collapsed="false"/>
    <row r="28881" customFormat="false" ht="15" hidden="false" customHeight="true" outlineLevel="0" collapsed="false"/>
    <row r="28882" customFormat="false" ht="15" hidden="false" customHeight="true" outlineLevel="0" collapsed="false"/>
    <row r="28883" customFormat="false" ht="15" hidden="false" customHeight="true" outlineLevel="0" collapsed="false"/>
    <row r="28884" customFormat="false" ht="15" hidden="false" customHeight="true" outlineLevel="0" collapsed="false"/>
    <row r="28885" customFormat="false" ht="15" hidden="false" customHeight="true" outlineLevel="0" collapsed="false"/>
    <row r="28886" customFormat="false" ht="15" hidden="false" customHeight="true" outlineLevel="0" collapsed="false"/>
    <row r="28887" customFormat="false" ht="15" hidden="false" customHeight="true" outlineLevel="0" collapsed="false"/>
    <row r="28888" customFormat="false" ht="15" hidden="false" customHeight="true" outlineLevel="0" collapsed="false"/>
    <row r="28889" customFormat="false" ht="15" hidden="false" customHeight="true" outlineLevel="0" collapsed="false"/>
    <row r="28890" customFormat="false" ht="15" hidden="false" customHeight="true" outlineLevel="0" collapsed="false"/>
    <row r="28891" customFormat="false" ht="15" hidden="false" customHeight="true" outlineLevel="0" collapsed="false"/>
    <row r="28892" customFormat="false" ht="15" hidden="false" customHeight="true" outlineLevel="0" collapsed="false"/>
    <row r="28893" customFormat="false" ht="15" hidden="false" customHeight="true" outlineLevel="0" collapsed="false"/>
    <row r="28894" customFormat="false" ht="15" hidden="false" customHeight="true" outlineLevel="0" collapsed="false"/>
    <row r="28895" customFormat="false" ht="15" hidden="false" customHeight="true" outlineLevel="0" collapsed="false"/>
    <row r="28896" customFormat="false" ht="15" hidden="false" customHeight="true" outlineLevel="0" collapsed="false"/>
    <row r="28897" customFormat="false" ht="15" hidden="false" customHeight="true" outlineLevel="0" collapsed="false"/>
    <row r="28898" customFormat="false" ht="15" hidden="false" customHeight="true" outlineLevel="0" collapsed="false"/>
    <row r="28899" customFormat="false" ht="15" hidden="false" customHeight="true" outlineLevel="0" collapsed="false"/>
    <row r="28900" customFormat="false" ht="15" hidden="false" customHeight="true" outlineLevel="0" collapsed="false"/>
    <row r="28901" customFormat="false" ht="15" hidden="false" customHeight="true" outlineLevel="0" collapsed="false"/>
    <row r="28902" customFormat="false" ht="15" hidden="false" customHeight="true" outlineLevel="0" collapsed="false"/>
    <row r="28903" customFormat="false" ht="15" hidden="false" customHeight="true" outlineLevel="0" collapsed="false"/>
    <row r="28904" customFormat="false" ht="15" hidden="false" customHeight="true" outlineLevel="0" collapsed="false"/>
    <row r="28905" customFormat="false" ht="15" hidden="false" customHeight="true" outlineLevel="0" collapsed="false"/>
    <row r="28906" customFormat="false" ht="15" hidden="false" customHeight="true" outlineLevel="0" collapsed="false"/>
    <row r="28907" customFormat="false" ht="15" hidden="false" customHeight="true" outlineLevel="0" collapsed="false"/>
    <row r="28908" customFormat="false" ht="15" hidden="false" customHeight="true" outlineLevel="0" collapsed="false"/>
    <row r="28909" customFormat="false" ht="15" hidden="false" customHeight="true" outlineLevel="0" collapsed="false"/>
    <row r="28910" customFormat="false" ht="15" hidden="false" customHeight="true" outlineLevel="0" collapsed="false"/>
    <row r="28911" customFormat="false" ht="15" hidden="false" customHeight="true" outlineLevel="0" collapsed="false"/>
    <row r="28912" customFormat="false" ht="15" hidden="false" customHeight="true" outlineLevel="0" collapsed="false"/>
    <row r="28913" customFormat="false" ht="15" hidden="false" customHeight="true" outlineLevel="0" collapsed="false"/>
    <row r="28914" customFormat="false" ht="15" hidden="false" customHeight="true" outlineLevel="0" collapsed="false"/>
    <row r="28915" customFormat="false" ht="15" hidden="false" customHeight="true" outlineLevel="0" collapsed="false"/>
    <row r="28916" customFormat="false" ht="15" hidden="false" customHeight="true" outlineLevel="0" collapsed="false"/>
    <row r="28917" customFormat="false" ht="15" hidden="false" customHeight="true" outlineLevel="0" collapsed="false"/>
    <row r="28918" customFormat="false" ht="15" hidden="false" customHeight="true" outlineLevel="0" collapsed="false"/>
    <row r="28919" customFormat="false" ht="15" hidden="false" customHeight="true" outlineLevel="0" collapsed="false"/>
    <row r="28920" customFormat="false" ht="15" hidden="false" customHeight="true" outlineLevel="0" collapsed="false"/>
    <row r="28921" customFormat="false" ht="15" hidden="false" customHeight="true" outlineLevel="0" collapsed="false"/>
    <row r="28922" customFormat="false" ht="15" hidden="false" customHeight="true" outlineLevel="0" collapsed="false"/>
    <row r="28923" customFormat="false" ht="15" hidden="false" customHeight="true" outlineLevel="0" collapsed="false"/>
    <row r="28924" customFormat="false" ht="15" hidden="false" customHeight="true" outlineLevel="0" collapsed="false"/>
    <row r="28925" customFormat="false" ht="15" hidden="false" customHeight="true" outlineLevel="0" collapsed="false"/>
    <row r="28926" customFormat="false" ht="15" hidden="false" customHeight="true" outlineLevel="0" collapsed="false"/>
    <row r="28927" customFormat="false" ht="15" hidden="false" customHeight="true" outlineLevel="0" collapsed="false"/>
    <row r="28928" customFormat="false" ht="15" hidden="false" customHeight="true" outlineLevel="0" collapsed="false"/>
    <row r="28929" customFormat="false" ht="15" hidden="false" customHeight="true" outlineLevel="0" collapsed="false"/>
    <row r="28930" customFormat="false" ht="15" hidden="false" customHeight="true" outlineLevel="0" collapsed="false"/>
    <row r="28931" customFormat="false" ht="15" hidden="false" customHeight="true" outlineLevel="0" collapsed="false"/>
    <row r="28932" customFormat="false" ht="15" hidden="false" customHeight="true" outlineLevel="0" collapsed="false"/>
    <row r="28933" customFormat="false" ht="15" hidden="false" customHeight="true" outlineLevel="0" collapsed="false"/>
    <row r="28934" customFormat="false" ht="15" hidden="false" customHeight="true" outlineLevel="0" collapsed="false"/>
    <row r="28935" customFormat="false" ht="15" hidden="false" customHeight="true" outlineLevel="0" collapsed="false"/>
    <row r="28936" customFormat="false" ht="15" hidden="false" customHeight="true" outlineLevel="0" collapsed="false"/>
    <row r="28937" customFormat="false" ht="15" hidden="false" customHeight="true" outlineLevel="0" collapsed="false"/>
    <row r="28938" customFormat="false" ht="15" hidden="false" customHeight="true" outlineLevel="0" collapsed="false"/>
    <row r="28939" customFormat="false" ht="15" hidden="false" customHeight="true" outlineLevel="0" collapsed="false"/>
    <row r="28940" customFormat="false" ht="15" hidden="false" customHeight="true" outlineLevel="0" collapsed="false"/>
    <row r="28941" customFormat="false" ht="15" hidden="false" customHeight="true" outlineLevel="0" collapsed="false"/>
    <row r="28942" customFormat="false" ht="15" hidden="false" customHeight="true" outlineLevel="0" collapsed="false"/>
    <row r="28943" customFormat="false" ht="15" hidden="false" customHeight="true" outlineLevel="0" collapsed="false"/>
    <row r="28944" customFormat="false" ht="15" hidden="false" customHeight="true" outlineLevel="0" collapsed="false"/>
    <row r="28945" customFormat="false" ht="15" hidden="false" customHeight="true" outlineLevel="0" collapsed="false"/>
    <row r="28946" customFormat="false" ht="15" hidden="false" customHeight="true" outlineLevel="0" collapsed="false"/>
    <row r="28947" customFormat="false" ht="15" hidden="false" customHeight="true" outlineLevel="0" collapsed="false"/>
    <row r="28948" customFormat="false" ht="15" hidden="false" customHeight="true" outlineLevel="0" collapsed="false"/>
    <row r="28949" customFormat="false" ht="15" hidden="false" customHeight="true" outlineLevel="0" collapsed="false"/>
    <row r="28950" customFormat="false" ht="15" hidden="false" customHeight="true" outlineLevel="0" collapsed="false"/>
    <row r="28951" customFormat="false" ht="15" hidden="false" customHeight="true" outlineLevel="0" collapsed="false"/>
    <row r="28952" customFormat="false" ht="15" hidden="false" customHeight="true" outlineLevel="0" collapsed="false"/>
    <row r="28953" customFormat="false" ht="15" hidden="false" customHeight="true" outlineLevel="0" collapsed="false"/>
    <row r="28954" customFormat="false" ht="15" hidden="false" customHeight="true" outlineLevel="0" collapsed="false"/>
    <row r="28955" customFormat="false" ht="15" hidden="false" customHeight="true" outlineLevel="0" collapsed="false"/>
    <row r="28956" customFormat="false" ht="15" hidden="false" customHeight="true" outlineLevel="0" collapsed="false"/>
    <row r="28957" customFormat="false" ht="15" hidden="false" customHeight="true" outlineLevel="0" collapsed="false"/>
    <row r="28958" customFormat="false" ht="15" hidden="false" customHeight="true" outlineLevel="0" collapsed="false"/>
    <row r="28959" customFormat="false" ht="15" hidden="false" customHeight="true" outlineLevel="0" collapsed="false"/>
    <row r="28960" customFormat="false" ht="15" hidden="false" customHeight="true" outlineLevel="0" collapsed="false"/>
    <row r="28961" customFormat="false" ht="15" hidden="false" customHeight="true" outlineLevel="0" collapsed="false"/>
    <row r="28962" customFormat="false" ht="15" hidden="false" customHeight="true" outlineLevel="0" collapsed="false"/>
    <row r="28963" customFormat="false" ht="15" hidden="false" customHeight="true" outlineLevel="0" collapsed="false"/>
    <row r="28964" customFormat="false" ht="15" hidden="false" customHeight="true" outlineLevel="0" collapsed="false"/>
    <row r="28965" customFormat="false" ht="15" hidden="false" customHeight="true" outlineLevel="0" collapsed="false"/>
    <row r="28966" customFormat="false" ht="15" hidden="false" customHeight="true" outlineLevel="0" collapsed="false"/>
    <row r="28967" customFormat="false" ht="15" hidden="false" customHeight="true" outlineLevel="0" collapsed="false"/>
    <row r="28968" customFormat="false" ht="15" hidden="false" customHeight="true" outlineLevel="0" collapsed="false"/>
    <row r="28969" customFormat="false" ht="15" hidden="false" customHeight="true" outlineLevel="0" collapsed="false"/>
    <row r="28970" customFormat="false" ht="15" hidden="false" customHeight="true" outlineLevel="0" collapsed="false"/>
    <row r="28971" customFormat="false" ht="15" hidden="false" customHeight="true" outlineLevel="0" collapsed="false"/>
    <row r="28972" customFormat="false" ht="15" hidden="false" customHeight="true" outlineLevel="0" collapsed="false"/>
    <row r="28973" customFormat="false" ht="15" hidden="false" customHeight="true" outlineLevel="0" collapsed="false"/>
    <row r="28974" customFormat="false" ht="15" hidden="false" customHeight="true" outlineLevel="0" collapsed="false"/>
    <row r="28975" customFormat="false" ht="15" hidden="false" customHeight="true" outlineLevel="0" collapsed="false"/>
    <row r="28976" customFormat="false" ht="15" hidden="false" customHeight="true" outlineLevel="0" collapsed="false"/>
    <row r="28977" customFormat="false" ht="15" hidden="false" customHeight="true" outlineLevel="0" collapsed="false"/>
    <row r="28978" customFormat="false" ht="15" hidden="false" customHeight="true" outlineLevel="0" collapsed="false"/>
    <row r="28979" customFormat="false" ht="15" hidden="false" customHeight="true" outlineLevel="0" collapsed="false"/>
    <row r="28980" customFormat="false" ht="15" hidden="false" customHeight="true" outlineLevel="0" collapsed="false"/>
    <row r="28981" customFormat="false" ht="15" hidden="false" customHeight="true" outlineLevel="0" collapsed="false"/>
    <row r="28982" customFormat="false" ht="15" hidden="false" customHeight="true" outlineLevel="0" collapsed="false"/>
    <row r="28983" customFormat="false" ht="15" hidden="false" customHeight="true" outlineLevel="0" collapsed="false"/>
    <row r="28984" customFormat="false" ht="15" hidden="false" customHeight="true" outlineLevel="0" collapsed="false"/>
    <row r="28985" customFormat="false" ht="15" hidden="false" customHeight="true" outlineLevel="0" collapsed="false"/>
    <row r="28986" customFormat="false" ht="15" hidden="false" customHeight="true" outlineLevel="0" collapsed="false"/>
    <row r="28987" customFormat="false" ht="15" hidden="false" customHeight="true" outlineLevel="0" collapsed="false"/>
    <row r="28988" customFormat="false" ht="15" hidden="false" customHeight="true" outlineLevel="0" collapsed="false"/>
    <row r="28989" customFormat="false" ht="15" hidden="false" customHeight="true" outlineLevel="0" collapsed="false"/>
    <row r="28990" customFormat="false" ht="15" hidden="false" customHeight="true" outlineLevel="0" collapsed="false"/>
    <row r="28991" customFormat="false" ht="15" hidden="false" customHeight="true" outlineLevel="0" collapsed="false"/>
    <row r="28992" customFormat="false" ht="15" hidden="false" customHeight="true" outlineLevel="0" collapsed="false"/>
    <row r="28993" customFormat="false" ht="15" hidden="false" customHeight="true" outlineLevel="0" collapsed="false"/>
    <row r="28994" customFormat="false" ht="15" hidden="false" customHeight="true" outlineLevel="0" collapsed="false"/>
    <row r="28995" customFormat="false" ht="15" hidden="false" customHeight="true" outlineLevel="0" collapsed="false"/>
    <row r="28996" customFormat="false" ht="15" hidden="false" customHeight="true" outlineLevel="0" collapsed="false"/>
    <row r="28997" customFormat="false" ht="15" hidden="false" customHeight="true" outlineLevel="0" collapsed="false"/>
    <row r="28998" customFormat="false" ht="15" hidden="false" customHeight="true" outlineLevel="0" collapsed="false"/>
    <row r="28999" customFormat="false" ht="15" hidden="false" customHeight="true" outlineLevel="0" collapsed="false"/>
    <row r="29000" customFormat="false" ht="15" hidden="false" customHeight="true" outlineLevel="0" collapsed="false"/>
    <row r="29001" customFormat="false" ht="15" hidden="false" customHeight="true" outlineLevel="0" collapsed="false"/>
    <row r="29002" customFormat="false" ht="15" hidden="false" customHeight="true" outlineLevel="0" collapsed="false"/>
    <row r="29003" customFormat="false" ht="15" hidden="false" customHeight="true" outlineLevel="0" collapsed="false"/>
    <row r="29004" customFormat="false" ht="15" hidden="false" customHeight="true" outlineLevel="0" collapsed="false"/>
    <row r="29005" customFormat="false" ht="15" hidden="false" customHeight="true" outlineLevel="0" collapsed="false"/>
    <row r="29006" customFormat="false" ht="15" hidden="false" customHeight="true" outlineLevel="0" collapsed="false"/>
    <row r="29007" customFormat="false" ht="15" hidden="false" customHeight="true" outlineLevel="0" collapsed="false"/>
    <row r="29008" customFormat="false" ht="15" hidden="false" customHeight="true" outlineLevel="0" collapsed="false"/>
    <row r="29009" customFormat="false" ht="15" hidden="false" customHeight="true" outlineLevel="0" collapsed="false"/>
    <row r="29010" customFormat="false" ht="15" hidden="false" customHeight="true" outlineLevel="0" collapsed="false"/>
    <row r="29011" customFormat="false" ht="15" hidden="false" customHeight="true" outlineLevel="0" collapsed="false"/>
    <row r="29012" customFormat="false" ht="15" hidden="false" customHeight="true" outlineLevel="0" collapsed="false"/>
    <row r="29013" customFormat="false" ht="15" hidden="false" customHeight="true" outlineLevel="0" collapsed="false"/>
    <row r="29014" customFormat="false" ht="15" hidden="false" customHeight="true" outlineLevel="0" collapsed="false"/>
    <row r="29015" customFormat="false" ht="15" hidden="false" customHeight="true" outlineLevel="0" collapsed="false"/>
    <row r="29016" customFormat="false" ht="15" hidden="false" customHeight="true" outlineLevel="0" collapsed="false"/>
    <row r="29017" customFormat="false" ht="15" hidden="false" customHeight="true" outlineLevel="0" collapsed="false"/>
    <row r="29018" customFormat="false" ht="15" hidden="false" customHeight="true" outlineLevel="0" collapsed="false"/>
    <row r="29019" customFormat="false" ht="15" hidden="false" customHeight="true" outlineLevel="0" collapsed="false"/>
    <row r="29020" customFormat="false" ht="15" hidden="false" customHeight="true" outlineLevel="0" collapsed="false"/>
    <row r="29021" customFormat="false" ht="15" hidden="false" customHeight="true" outlineLevel="0" collapsed="false"/>
    <row r="29022" customFormat="false" ht="15" hidden="false" customHeight="true" outlineLevel="0" collapsed="false"/>
    <row r="29023" customFormat="false" ht="15" hidden="false" customHeight="true" outlineLevel="0" collapsed="false"/>
    <row r="29024" customFormat="false" ht="15" hidden="false" customHeight="true" outlineLevel="0" collapsed="false"/>
    <row r="29025" customFormat="false" ht="15" hidden="false" customHeight="true" outlineLevel="0" collapsed="false"/>
    <row r="29026" customFormat="false" ht="15" hidden="false" customHeight="true" outlineLevel="0" collapsed="false"/>
    <row r="29027" customFormat="false" ht="15" hidden="false" customHeight="true" outlineLevel="0" collapsed="false"/>
    <row r="29028" customFormat="false" ht="15" hidden="false" customHeight="true" outlineLevel="0" collapsed="false"/>
    <row r="29029" customFormat="false" ht="15" hidden="false" customHeight="true" outlineLevel="0" collapsed="false"/>
    <row r="29030" customFormat="false" ht="15" hidden="false" customHeight="true" outlineLevel="0" collapsed="false"/>
    <row r="29031" customFormat="false" ht="15" hidden="false" customHeight="true" outlineLevel="0" collapsed="false"/>
    <row r="29032" customFormat="false" ht="15" hidden="false" customHeight="true" outlineLevel="0" collapsed="false"/>
    <row r="29033" customFormat="false" ht="15" hidden="false" customHeight="true" outlineLevel="0" collapsed="false"/>
    <row r="29034" customFormat="false" ht="15" hidden="false" customHeight="true" outlineLevel="0" collapsed="false"/>
    <row r="29035" customFormat="false" ht="15" hidden="false" customHeight="true" outlineLevel="0" collapsed="false"/>
    <row r="29036" customFormat="false" ht="15" hidden="false" customHeight="true" outlineLevel="0" collapsed="false"/>
    <row r="29037" customFormat="false" ht="15" hidden="false" customHeight="true" outlineLevel="0" collapsed="false"/>
    <row r="29038" customFormat="false" ht="15" hidden="false" customHeight="true" outlineLevel="0" collapsed="false"/>
    <row r="29039" customFormat="false" ht="15" hidden="false" customHeight="true" outlineLevel="0" collapsed="false"/>
    <row r="29040" customFormat="false" ht="15" hidden="false" customHeight="true" outlineLevel="0" collapsed="false"/>
    <row r="29041" customFormat="false" ht="15" hidden="false" customHeight="true" outlineLevel="0" collapsed="false"/>
    <row r="29042" customFormat="false" ht="15" hidden="false" customHeight="true" outlineLevel="0" collapsed="false"/>
    <row r="29043" customFormat="false" ht="15" hidden="false" customHeight="true" outlineLevel="0" collapsed="false"/>
    <row r="29044" customFormat="false" ht="15" hidden="false" customHeight="true" outlineLevel="0" collapsed="false"/>
    <row r="29045" customFormat="false" ht="15" hidden="false" customHeight="true" outlineLevel="0" collapsed="false"/>
    <row r="29046" customFormat="false" ht="15" hidden="false" customHeight="true" outlineLevel="0" collapsed="false"/>
    <row r="29047" customFormat="false" ht="15" hidden="false" customHeight="true" outlineLevel="0" collapsed="false"/>
    <row r="29048" customFormat="false" ht="15" hidden="false" customHeight="true" outlineLevel="0" collapsed="false"/>
    <row r="29049" customFormat="false" ht="15" hidden="false" customHeight="true" outlineLevel="0" collapsed="false"/>
    <row r="29050" customFormat="false" ht="15" hidden="false" customHeight="true" outlineLevel="0" collapsed="false"/>
    <row r="29051" customFormat="false" ht="15" hidden="false" customHeight="true" outlineLevel="0" collapsed="false"/>
    <row r="29052" customFormat="false" ht="15" hidden="false" customHeight="true" outlineLevel="0" collapsed="false"/>
    <row r="29053" customFormat="false" ht="15" hidden="false" customHeight="true" outlineLevel="0" collapsed="false"/>
    <row r="29054" customFormat="false" ht="15" hidden="false" customHeight="true" outlineLevel="0" collapsed="false"/>
    <row r="29055" customFormat="false" ht="15" hidden="false" customHeight="true" outlineLevel="0" collapsed="false"/>
    <row r="29056" customFormat="false" ht="15" hidden="false" customHeight="true" outlineLevel="0" collapsed="false"/>
    <row r="29057" customFormat="false" ht="15" hidden="false" customHeight="true" outlineLevel="0" collapsed="false"/>
    <row r="29058" customFormat="false" ht="15" hidden="false" customHeight="true" outlineLevel="0" collapsed="false"/>
    <row r="29059" customFormat="false" ht="15" hidden="false" customHeight="true" outlineLevel="0" collapsed="false"/>
    <row r="29060" customFormat="false" ht="15" hidden="false" customHeight="true" outlineLevel="0" collapsed="false"/>
    <row r="29061" customFormat="false" ht="15" hidden="false" customHeight="true" outlineLevel="0" collapsed="false"/>
    <row r="29062" customFormat="false" ht="15" hidden="false" customHeight="true" outlineLevel="0" collapsed="false"/>
    <row r="29063" customFormat="false" ht="15" hidden="false" customHeight="true" outlineLevel="0" collapsed="false"/>
    <row r="29064" customFormat="false" ht="15" hidden="false" customHeight="true" outlineLevel="0" collapsed="false"/>
    <row r="29065" customFormat="false" ht="15" hidden="false" customHeight="true" outlineLevel="0" collapsed="false"/>
    <row r="29066" customFormat="false" ht="15" hidden="false" customHeight="true" outlineLevel="0" collapsed="false"/>
    <row r="29067" customFormat="false" ht="15" hidden="false" customHeight="true" outlineLevel="0" collapsed="false"/>
    <row r="29068" customFormat="false" ht="15" hidden="false" customHeight="true" outlineLevel="0" collapsed="false"/>
    <row r="29069" customFormat="false" ht="15" hidden="false" customHeight="true" outlineLevel="0" collapsed="false"/>
    <row r="29070" customFormat="false" ht="15" hidden="false" customHeight="true" outlineLevel="0" collapsed="false"/>
    <row r="29071" customFormat="false" ht="15" hidden="false" customHeight="true" outlineLevel="0" collapsed="false"/>
    <row r="29072" customFormat="false" ht="15" hidden="false" customHeight="true" outlineLevel="0" collapsed="false"/>
    <row r="29073" customFormat="false" ht="15" hidden="false" customHeight="true" outlineLevel="0" collapsed="false"/>
    <row r="29074" customFormat="false" ht="15" hidden="false" customHeight="true" outlineLevel="0" collapsed="false"/>
    <row r="29075" customFormat="false" ht="15" hidden="false" customHeight="true" outlineLevel="0" collapsed="false"/>
    <row r="29076" customFormat="false" ht="15" hidden="false" customHeight="true" outlineLevel="0" collapsed="false"/>
    <row r="29077" customFormat="false" ht="15" hidden="false" customHeight="true" outlineLevel="0" collapsed="false"/>
    <row r="29078" customFormat="false" ht="15" hidden="false" customHeight="true" outlineLevel="0" collapsed="false"/>
    <row r="29079" customFormat="false" ht="15" hidden="false" customHeight="true" outlineLevel="0" collapsed="false"/>
    <row r="29080" customFormat="false" ht="15" hidden="false" customHeight="true" outlineLevel="0" collapsed="false"/>
    <row r="29081" customFormat="false" ht="15" hidden="false" customHeight="true" outlineLevel="0" collapsed="false"/>
    <row r="29082" customFormat="false" ht="15" hidden="false" customHeight="true" outlineLevel="0" collapsed="false"/>
    <row r="29083" customFormat="false" ht="15" hidden="false" customHeight="true" outlineLevel="0" collapsed="false"/>
    <row r="29084" customFormat="false" ht="15" hidden="false" customHeight="true" outlineLevel="0" collapsed="false"/>
    <row r="29085" customFormat="false" ht="15" hidden="false" customHeight="true" outlineLevel="0" collapsed="false"/>
    <row r="29086" customFormat="false" ht="15" hidden="false" customHeight="true" outlineLevel="0" collapsed="false"/>
    <row r="29087" customFormat="false" ht="15" hidden="false" customHeight="true" outlineLevel="0" collapsed="false"/>
    <row r="29088" customFormat="false" ht="15" hidden="false" customHeight="true" outlineLevel="0" collapsed="false"/>
    <row r="29089" customFormat="false" ht="15" hidden="false" customHeight="true" outlineLevel="0" collapsed="false"/>
    <row r="29090" customFormat="false" ht="15" hidden="false" customHeight="true" outlineLevel="0" collapsed="false"/>
    <row r="29091" customFormat="false" ht="15" hidden="false" customHeight="true" outlineLevel="0" collapsed="false"/>
    <row r="29092" customFormat="false" ht="15" hidden="false" customHeight="true" outlineLevel="0" collapsed="false"/>
    <row r="29093" customFormat="false" ht="15" hidden="false" customHeight="true" outlineLevel="0" collapsed="false"/>
    <row r="29094" customFormat="false" ht="15" hidden="false" customHeight="true" outlineLevel="0" collapsed="false"/>
    <row r="29095" customFormat="false" ht="15" hidden="false" customHeight="true" outlineLevel="0" collapsed="false"/>
    <row r="29096" customFormat="false" ht="15" hidden="false" customHeight="true" outlineLevel="0" collapsed="false"/>
    <row r="29097" customFormat="false" ht="15" hidden="false" customHeight="true" outlineLevel="0" collapsed="false"/>
    <row r="29098" customFormat="false" ht="15" hidden="false" customHeight="true" outlineLevel="0" collapsed="false"/>
    <row r="29099" customFormat="false" ht="15" hidden="false" customHeight="true" outlineLevel="0" collapsed="false"/>
    <row r="29100" customFormat="false" ht="15" hidden="false" customHeight="true" outlineLevel="0" collapsed="false"/>
    <row r="29101" customFormat="false" ht="15" hidden="false" customHeight="true" outlineLevel="0" collapsed="false"/>
    <row r="29102" customFormat="false" ht="15" hidden="false" customHeight="true" outlineLevel="0" collapsed="false"/>
    <row r="29103" customFormat="false" ht="15" hidden="false" customHeight="true" outlineLevel="0" collapsed="false"/>
    <row r="29104" customFormat="false" ht="15" hidden="false" customHeight="true" outlineLevel="0" collapsed="false"/>
    <row r="29105" customFormat="false" ht="15" hidden="false" customHeight="true" outlineLevel="0" collapsed="false"/>
    <row r="29106" customFormat="false" ht="15" hidden="false" customHeight="true" outlineLevel="0" collapsed="false"/>
    <row r="29107" customFormat="false" ht="15" hidden="false" customHeight="true" outlineLevel="0" collapsed="false"/>
    <row r="29108" customFormat="false" ht="15" hidden="false" customHeight="true" outlineLevel="0" collapsed="false"/>
    <row r="29109" customFormat="false" ht="15" hidden="false" customHeight="true" outlineLevel="0" collapsed="false"/>
    <row r="29110" customFormat="false" ht="15" hidden="false" customHeight="true" outlineLevel="0" collapsed="false"/>
    <row r="29111" customFormat="false" ht="15" hidden="false" customHeight="true" outlineLevel="0" collapsed="false"/>
    <row r="29112" customFormat="false" ht="15" hidden="false" customHeight="true" outlineLevel="0" collapsed="false"/>
    <row r="29113" customFormat="false" ht="15" hidden="false" customHeight="true" outlineLevel="0" collapsed="false"/>
    <row r="29114" customFormat="false" ht="15" hidden="false" customHeight="true" outlineLevel="0" collapsed="false"/>
    <row r="29115" customFormat="false" ht="15" hidden="false" customHeight="true" outlineLevel="0" collapsed="false"/>
    <row r="29116" customFormat="false" ht="15" hidden="false" customHeight="true" outlineLevel="0" collapsed="false"/>
    <row r="29117" customFormat="false" ht="15" hidden="false" customHeight="true" outlineLevel="0" collapsed="false"/>
    <row r="29118" customFormat="false" ht="15" hidden="false" customHeight="true" outlineLevel="0" collapsed="false"/>
    <row r="29119" customFormat="false" ht="15" hidden="false" customHeight="true" outlineLevel="0" collapsed="false"/>
    <row r="29120" customFormat="false" ht="15" hidden="false" customHeight="true" outlineLevel="0" collapsed="false"/>
    <row r="29121" customFormat="false" ht="15" hidden="false" customHeight="true" outlineLevel="0" collapsed="false"/>
    <row r="29122" customFormat="false" ht="15" hidden="false" customHeight="true" outlineLevel="0" collapsed="false"/>
    <row r="29123" customFormat="false" ht="15" hidden="false" customHeight="true" outlineLevel="0" collapsed="false"/>
    <row r="29124" customFormat="false" ht="15" hidden="false" customHeight="true" outlineLevel="0" collapsed="false"/>
    <row r="29125" customFormat="false" ht="15" hidden="false" customHeight="true" outlineLevel="0" collapsed="false"/>
    <row r="29126" customFormat="false" ht="15" hidden="false" customHeight="true" outlineLevel="0" collapsed="false"/>
    <row r="29127" customFormat="false" ht="15" hidden="false" customHeight="true" outlineLevel="0" collapsed="false"/>
    <row r="29128" customFormat="false" ht="15" hidden="false" customHeight="true" outlineLevel="0" collapsed="false"/>
    <row r="29129" customFormat="false" ht="15" hidden="false" customHeight="true" outlineLevel="0" collapsed="false"/>
    <row r="29130" customFormat="false" ht="15" hidden="false" customHeight="true" outlineLevel="0" collapsed="false"/>
    <row r="29131" customFormat="false" ht="15" hidden="false" customHeight="true" outlineLevel="0" collapsed="false"/>
    <row r="29132" customFormat="false" ht="15" hidden="false" customHeight="true" outlineLevel="0" collapsed="false"/>
    <row r="29133" customFormat="false" ht="15" hidden="false" customHeight="true" outlineLevel="0" collapsed="false"/>
    <row r="29134" customFormat="false" ht="15" hidden="false" customHeight="true" outlineLevel="0" collapsed="false"/>
    <row r="29135" customFormat="false" ht="15" hidden="false" customHeight="true" outlineLevel="0" collapsed="false"/>
    <row r="29136" customFormat="false" ht="15" hidden="false" customHeight="true" outlineLevel="0" collapsed="false"/>
    <row r="29137" customFormat="false" ht="15" hidden="false" customHeight="true" outlineLevel="0" collapsed="false"/>
    <row r="29138" customFormat="false" ht="15" hidden="false" customHeight="true" outlineLevel="0" collapsed="false"/>
    <row r="29139" customFormat="false" ht="15" hidden="false" customHeight="true" outlineLevel="0" collapsed="false"/>
    <row r="29140" customFormat="false" ht="15" hidden="false" customHeight="true" outlineLevel="0" collapsed="false"/>
    <row r="29141" customFormat="false" ht="15" hidden="false" customHeight="true" outlineLevel="0" collapsed="false"/>
    <row r="29142" customFormat="false" ht="15" hidden="false" customHeight="true" outlineLevel="0" collapsed="false"/>
    <row r="29143" customFormat="false" ht="15" hidden="false" customHeight="true" outlineLevel="0" collapsed="false"/>
    <row r="29144" customFormat="false" ht="15" hidden="false" customHeight="true" outlineLevel="0" collapsed="false"/>
    <row r="29145" customFormat="false" ht="15" hidden="false" customHeight="true" outlineLevel="0" collapsed="false"/>
    <row r="29146" customFormat="false" ht="15" hidden="false" customHeight="true" outlineLevel="0" collapsed="false"/>
    <row r="29147" customFormat="false" ht="15" hidden="false" customHeight="true" outlineLevel="0" collapsed="false"/>
    <row r="29148" customFormat="false" ht="15" hidden="false" customHeight="true" outlineLevel="0" collapsed="false"/>
    <row r="29149" customFormat="false" ht="15" hidden="false" customHeight="true" outlineLevel="0" collapsed="false"/>
    <row r="29150" customFormat="false" ht="15" hidden="false" customHeight="true" outlineLevel="0" collapsed="false"/>
    <row r="29151" customFormat="false" ht="15" hidden="false" customHeight="true" outlineLevel="0" collapsed="false"/>
    <row r="29152" customFormat="false" ht="15" hidden="false" customHeight="true" outlineLevel="0" collapsed="false"/>
    <row r="29153" customFormat="false" ht="15" hidden="false" customHeight="true" outlineLevel="0" collapsed="false"/>
    <row r="29154" customFormat="false" ht="15" hidden="false" customHeight="true" outlineLevel="0" collapsed="false"/>
    <row r="29155" customFormat="false" ht="15" hidden="false" customHeight="true" outlineLevel="0" collapsed="false"/>
    <row r="29156" customFormat="false" ht="15" hidden="false" customHeight="true" outlineLevel="0" collapsed="false"/>
    <row r="29157" customFormat="false" ht="15" hidden="false" customHeight="true" outlineLevel="0" collapsed="false"/>
    <row r="29158" customFormat="false" ht="15" hidden="false" customHeight="true" outlineLevel="0" collapsed="false"/>
    <row r="29159" customFormat="false" ht="15" hidden="false" customHeight="true" outlineLevel="0" collapsed="false"/>
    <row r="29160" customFormat="false" ht="15" hidden="false" customHeight="true" outlineLevel="0" collapsed="false"/>
    <row r="29161" customFormat="false" ht="15" hidden="false" customHeight="true" outlineLevel="0" collapsed="false"/>
    <row r="29162" customFormat="false" ht="15" hidden="false" customHeight="true" outlineLevel="0" collapsed="false"/>
    <row r="29163" customFormat="false" ht="15" hidden="false" customHeight="true" outlineLevel="0" collapsed="false"/>
    <row r="29164" customFormat="false" ht="15" hidden="false" customHeight="true" outlineLevel="0" collapsed="false"/>
    <row r="29165" customFormat="false" ht="15" hidden="false" customHeight="true" outlineLevel="0" collapsed="false"/>
    <row r="29166" customFormat="false" ht="15" hidden="false" customHeight="true" outlineLevel="0" collapsed="false"/>
    <row r="29167" customFormat="false" ht="15" hidden="false" customHeight="true" outlineLevel="0" collapsed="false"/>
    <row r="29168" customFormat="false" ht="15" hidden="false" customHeight="true" outlineLevel="0" collapsed="false"/>
    <row r="29169" customFormat="false" ht="15" hidden="false" customHeight="true" outlineLevel="0" collapsed="false"/>
    <row r="29170" customFormat="false" ht="15" hidden="false" customHeight="true" outlineLevel="0" collapsed="false"/>
    <row r="29171" customFormat="false" ht="15" hidden="false" customHeight="true" outlineLevel="0" collapsed="false"/>
    <row r="29172" customFormat="false" ht="15" hidden="false" customHeight="true" outlineLevel="0" collapsed="false"/>
    <row r="29173" customFormat="false" ht="15" hidden="false" customHeight="true" outlineLevel="0" collapsed="false"/>
    <row r="29174" customFormat="false" ht="15" hidden="false" customHeight="true" outlineLevel="0" collapsed="false"/>
    <row r="29175" customFormat="false" ht="15" hidden="false" customHeight="true" outlineLevel="0" collapsed="false"/>
    <row r="29176" customFormat="false" ht="15" hidden="false" customHeight="true" outlineLevel="0" collapsed="false"/>
    <row r="29177" customFormat="false" ht="15" hidden="false" customHeight="true" outlineLevel="0" collapsed="false"/>
    <row r="29178" customFormat="false" ht="15" hidden="false" customHeight="true" outlineLevel="0" collapsed="false"/>
    <row r="29179" customFormat="false" ht="15" hidden="false" customHeight="true" outlineLevel="0" collapsed="false"/>
    <row r="29180" customFormat="false" ht="15" hidden="false" customHeight="true" outlineLevel="0" collapsed="false"/>
    <row r="29181" customFormat="false" ht="15" hidden="false" customHeight="true" outlineLevel="0" collapsed="false"/>
    <row r="29182" customFormat="false" ht="15" hidden="false" customHeight="true" outlineLevel="0" collapsed="false"/>
    <row r="29183" customFormat="false" ht="15" hidden="false" customHeight="true" outlineLevel="0" collapsed="false"/>
    <row r="29184" customFormat="false" ht="15" hidden="false" customHeight="true" outlineLevel="0" collapsed="false"/>
    <row r="29185" customFormat="false" ht="15" hidden="false" customHeight="true" outlineLevel="0" collapsed="false"/>
    <row r="29186" customFormat="false" ht="15" hidden="false" customHeight="true" outlineLevel="0" collapsed="false"/>
    <row r="29187" customFormat="false" ht="15" hidden="false" customHeight="true" outlineLevel="0" collapsed="false"/>
    <row r="29188" customFormat="false" ht="15" hidden="false" customHeight="true" outlineLevel="0" collapsed="false"/>
    <row r="29189" customFormat="false" ht="15" hidden="false" customHeight="true" outlineLevel="0" collapsed="false"/>
    <row r="29190" customFormat="false" ht="15" hidden="false" customHeight="true" outlineLevel="0" collapsed="false"/>
    <row r="29191" customFormat="false" ht="15" hidden="false" customHeight="true" outlineLevel="0" collapsed="false"/>
    <row r="29192" customFormat="false" ht="15" hidden="false" customHeight="true" outlineLevel="0" collapsed="false"/>
    <row r="29193" customFormat="false" ht="15" hidden="false" customHeight="true" outlineLevel="0" collapsed="false"/>
    <row r="29194" customFormat="false" ht="15" hidden="false" customHeight="true" outlineLevel="0" collapsed="false"/>
    <row r="29195" customFormat="false" ht="15" hidden="false" customHeight="true" outlineLevel="0" collapsed="false"/>
    <row r="29196" customFormat="false" ht="15" hidden="false" customHeight="true" outlineLevel="0" collapsed="false"/>
    <row r="29197" customFormat="false" ht="15" hidden="false" customHeight="true" outlineLevel="0" collapsed="false"/>
    <row r="29198" customFormat="false" ht="15" hidden="false" customHeight="true" outlineLevel="0" collapsed="false"/>
    <row r="29199" customFormat="false" ht="15" hidden="false" customHeight="true" outlineLevel="0" collapsed="false"/>
    <row r="29200" customFormat="false" ht="15" hidden="false" customHeight="true" outlineLevel="0" collapsed="false"/>
    <row r="29201" customFormat="false" ht="15" hidden="false" customHeight="true" outlineLevel="0" collapsed="false"/>
    <row r="29202" customFormat="false" ht="15" hidden="false" customHeight="true" outlineLevel="0" collapsed="false"/>
    <row r="29203" customFormat="false" ht="15" hidden="false" customHeight="true" outlineLevel="0" collapsed="false"/>
    <row r="29204" customFormat="false" ht="15" hidden="false" customHeight="true" outlineLevel="0" collapsed="false"/>
    <row r="29205" customFormat="false" ht="15" hidden="false" customHeight="true" outlineLevel="0" collapsed="false"/>
    <row r="29206" customFormat="false" ht="15" hidden="false" customHeight="true" outlineLevel="0" collapsed="false"/>
    <row r="29207" customFormat="false" ht="15" hidden="false" customHeight="true" outlineLevel="0" collapsed="false"/>
    <row r="29208" customFormat="false" ht="15" hidden="false" customHeight="true" outlineLevel="0" collapsed="false"/>
    <row r="29209" customFormat="false" ht="15" hidden="false" customHeight="true" outlineLevel="0" collapsed="false"/>
    <row r="29210" customFormat="false" ht="15" hidden="false" customHeight="true" outlineLevel="0" collapsed="false"/>
    <row r="29211" customFormat="false" ht="15" hidden="false" customHeight="true" outlineLevel="0" collapsed="false"/>
    <row r="29212" customFormat="false" ht="15" hidden="false" customHeight="true" outlineLevel="0" collapsed="false"/>
    <row r="29213" customFormat="false" ht="15" hidden="false" customHeight="true" outlineLevel="0" collapsed="false"/>
    <row r="29214" customFormat="false" ht="15" hidden="false" customHeight="true" outlineLevel="0" collapsed="false"/>
    <row r="29215" customFormat="false" ht="15" hidden="false" customHeight="true" outlineLevel="0" collapsed="false"/>
    <row r="29216" customFormat="false" ht="15" hidden="false" customHeight="true" outlineLevel="0" collapsed="false"/>
    <row r="29217" customFormat="false" ht="15" hidden="false" customHeight="true" outlineLevel="0" collapsed="false"/>
    <row r="29218" customFormat="false" ht="15" hidden="false" customHeight="true" outlineLevel="0" collapsed="false"/>
    <row r="29219" customFormat="false" ht="15" hidden="false" customHeight="true" outlineLevel="0" collapsed="false"/>
    <row r="29220" customFormat="false" ht="15" hidden="false" customHeight="true" outlineLevel="0" collapsed="false"/>
    <row r="29221" customFormat="false" ht="15" hidden="false" customHeight="true" outlineLevel="0" collapsed="false"/>
    <row r="29222" customFormat="false" ht="15" hidden="false" customHeight="true" outlineLevel="0" collapsed="false"/>
    <row r="29223" customFormat="false" ht="15" hidden="false" customHeight="true" outlineLevel="0" collapsed="false"/>
    <row r="29224" customFormat="false" ht="15" hidden="false" customHeight="true" outlineLevel="0" collapsed="false"/>
    <row r="29225" customFormat="false" ht="15" hidden="false" customHeight="true" outlineLevel="0" collapsed="false"/>
    <row r="29226" customFormat="false" ht="15" hidden="false" customHeight="true" outlineLevel="0" collapsed="false"/>
    <row r="29227" customFormat="false" ht="15" hidden="false" customHeight="true" outlineLevel="0" collapsed="false"/>
    <row r="29228" customFormat="false" ht="15" hidden="false" customHeight="true" outlineLevel="0" collapsed="false"/>
    <row r="29229" customFormat="false" ht="15" hidden="false" customHeight="true" outlineLevel="0" collapsed="false"/>
    <row r="29230" customFormat="false" ht="15" hidden="false" customHeight="true" outlineLevel="0" collapsed="false"/>
    <row r="29231" customFormat="false" ht="15" hidden="false" customHeight="true" outlineLevel="0" collapsed="false"/>
    <row r="29232" customFormat="false" ht="15" hidden="false" customHeight="true" outlineLevel="0" collapsed="false"/>
    <row r="29233" customFormat="false" ht="15" hidden="false" customHeight="true" outlineLevel="0" collapsed="false"/>
    <row r="29234" customFormat="false" ht="15" hidden="false" customHeight="true" outlineLevel="0" collapsed="false"/>
    <row r="29235" customFormat="false" ht="15" hidden="false" customHeight="true" outlineLevel="0" collapsed="false"/>
    <row r="29236" customFormat="false" ht="15" hidden="false" customHeight="true" outlineLevel="0" collapsed="false"/>
    <row r="29237" customFormat="false" ht="15" hidden="false" customHeight="true" outlineLevel="0" collapsed="false"/>
    <row r="29238" customFormat="false" ht="15" hidden="false" customHeight="true" outlineLevel="0" collapsed="false"/>
    <row r="29239" customFormat="false" ht="15" hidden="false" customHeight="true" outlineLevel="0" collapsed="false"/>
    <row r="29240" customFormat="false" ht="15" hidden="false" customHeight="true" outlineLevel="0" collapsed="false"/>
    <row r="29241" customFormat="false" ht="15" hidden="false" customHeight="true" outlineLevel="0" collapsed="false"/>
    <row r="29242" customFormat="false" ht="15" hidden="false" customHeight="true" outlineLevel="0" collapsed="false"/>
    <row r="29243" customFormat="false" ht="15" hidden="false" customHeight="true" outlineLevel="0" collapsed="false"/>
    <row r="29244" customFormat="false" ht="15" hidden="false" customHeight="true" outlineLevel="0" collapsed="false"/>
    <row r="29245" customFormat="false" ht="15" hidden="false" customHeight="true" outlineLevel="0" collapsed="false"/>
    <row r="29246" customFormat="false" ht="15" hidden="false" customHeight="true" outlineLevel="0" collapsed="false"/>
    <row r="29247" customFormat="false" ht="15" hidden="false" customHeight="true" outlineLevel="0" collapsed="false"/>
    <row r="29248" customFormat="false" ht="15" hidden="false" customHeight="true" outlineLevel="0" collapsed="false"/>
    <row r="29249" customFormat="false" ht="15" hidden="false" customHeight="true" outlineLevel="0" collapsed="false"/>
    <row r="29250" customFormat="false" ht="15" hidden="false" customHeight="true" outlineLevel="0" collapsed="false"/>
    <row r="29251" customFormat="false" ht="15" hidden="false" customHeight="true" outlineLevel="0" collapsed="false"/>
    <row r="29252" customFormat="false" ht="15" hidden="false" customHeight="true" outlineLevel="0" collapsed="false"/>
    <row r="29253" customFormat="false" ht="15" hidden="false" customHeight="true" outlineLevel="0" collapsed="false"/>
    <row r="29254" customFormat="false" ht="15" hidden="false" customHeight="true" outlineLevel="0" collapsed="false"/>
    <row r="29255" customFormat="false" ht="15" hidden="false" customHeight="true" outlineLevel="0" collapsed="false"/>
    <row r="29256" customFormat="false" ht="15" hidden="false" customHeight="true" outlineLevel="0" collapsed="false"/>
    <row r="29257" customFormat="false" ht="15" hidden="false" customHeight="true" outlineLevel="0" collapsed="false"/>
    <row r="29258" customFormat="false" ht="15" hidden="false" customHeight="true" outlineLevel="0" collapsed="false"/>
    <row r="29259" customFormat="false" ht="15" hidden="false" customHeight="true" outlineLevel="0" collapsed="false"/>
    <row r="29260" customFormat="false" ht="15" hidden="false" customHeight="true" outlineLevel="0" collapsed="false"/>
    <row r="29261" customFormat="false" ht="15" hidden="false" customHeight="true" outlineLevel="0" collapsed="false"/>
    <row r="29262" customFormat="false" ht="15" hidden="false" customHeight="true" outlineLevel="0" collapsed="false"/>
    <row r="29263" customFormat="false" ht="15" hidden="false" customHeight="true" outlineLevel="0" collapsed="false"/>
    <row r="29264" customFormat="false" ht="15" hidden="false" customHeight="true" outlineLevel="0" collapsed="false"/>
    <row r="29265" customFormat="false" ht="15" hidden="false" customHeight="true" outlineLevel="0" collapsed="false"/>
    <row r="29266" customFormat="false" ht="15" hidden="false" customHeight="true" outlineLevel="0" collapsed="false"/>
    <row r="29267" customFormat="false" ht="15" hidden="false" customHeight="true" outlineLevel="0" collapsed="false"/>
    <row r="29268" customFormat="false" ht="15" hidden="false" customHeight="true" outlineLevel="0" collapsed="false"/>
    <row r="29269" customFormat="false" ht="15" hidden="false" customHeight="true" outlineLevel="0" collapsed="false"/>
    <row r="29270" customFormat="false" ht="15" hidden="false" customHeight="true" outlineLevel="0" collapsed="false"/>
    <row r="29271" customFormat="false" ht="15" hidden="false" customHeight="true" outlineLevel="0" collapsed="false"/>
    <row r="29272" customFormat="false" ht="15" hidden="false" customHeight="true" outlineLevel="0" collapsed="false"/>
    <row r="29273" customFormat="false" ht="15" hidden="false" customHeight="true" outlineLevel="0" collapsed="false"/>
    <row r="29274" customFormat="false" ht="15" hidden="false" customHeight="true" outlineLevel="0" collapsed="false"/>
    <row r="29275" customFormat="false" ht="15" hidden="false" customHeight="true" outlineLevel="0" collapsed="false"/>
    <row r="29276" customFormat="false" ht="15" hidden="false" customHeight="true" outlineLevel="0" collapsed="false"/>
    <row r="29277" customFormat="false" ht="15" hidden="false" customHeight="true" outlineLevel="0" collapsed="false"/>
    <row r="29278" customFormat="false" ht="15" hidden="false" customHeight="true" outlineLevel="0" collapsed="false"/>
    <row r="29279" customFormat="false" ht="15" hidden="false" customHeight="true" outlineLevel="0" collapsed="false"/>
    <row r="29280" customFormat="false" ht="15" hidden="false" customHeight="true" outlineLevel="0" collapsed="false"/>
    <row r="29281" customFormat="false" ht="15" hidden="false" customHeight="true" outlineLevel="0" collapsed="false"/>
    <row r="29282" customFormat="false" ht="15" hidden="false" customHeight="true" outlineLevel="0" collapsed="false"/>
    <row r="29283" customFormat="false" ht="15" hidden="false" customHeight="true" outlineLevel="0" collapsed="false"/>
    <row r="29284" customFormat="false" ht="15" hidden="false" customHeight="true" outlineLevel="0" collapsed="false"/>
    <row r="29285" customFormat="false" ht="15" hidden="false" customHeight="true" outlineLevel="0" collapsed="false"/>
    <row r="29286" customFormat="false" ht="15" hidden="false" customHeight="true" outlineLevel="0" collapsed="false"/>
    <row r="29287" customFormat="false" ht="15" hidden="false" customHeight="true" outlineLevel="0" collapsed="false"/>
    <row r="29288" customFormat="false" ht="15" hidden="false" customHeight="true" outlineLevel="0" collapsed="false"/>
    <row r="29289" customFormat="false" ht="15" hidden="false" customHeight="true" outlineLevel="0" collapsed="false"/>
    <row r="29290" customFormat="false" ht="15" hidden="false" customHeight="true" outlineLevel="0" collapsed="false"/>
    <row r="29291" customFormat="false" ht="15" hidden="false" customHeight="true" outlineLevel="0" collapsed="false"/>
    <row r="29292" customFormat="false" ht="15" hidden="false" customHeight="true" outlineLevel="0" collapsed="false"/>
    <row r="29293" customFormat="false" ht="15" hidden="false" customHeight="true" outlineLevel="0" collapsed="false"/>
    <row r="29294" customFormat="false" ht="15" hidden="false" customHeight="true" outlineLevel="0" collapsed="false"/>
    <row r="29295" customFormat="false" ht="15" hidden="false" customHeight="true" outlineLevel="0" collapsed="false"/>
    <row r="29296" customFormat="false" ht="15" hidden="false" customHeight="true" outlineLevel="0" collapsed="false"/>
    <row r="29297" customFormat="false" ht="15" hidden="false" customHeight="true" outlineLevel="0" collapsed="false"/>
    <row r="29298" customFormat="false" ht="15" hidden="false" customHeight="true" outlineLevel="0" collapsed="false"/>
    <row r="29299" customFormat="false" ht="15" hidden="false" customHeight="true" outlineLevel="0" collapsed="false"/>
    <row r="29300" customFormat="false" ht="15" hidden="false" customHeight="true" outlineLevel="0" collapsed="false"/>
    <row r="29301" customFormat="false" ht="15" hidden="false" customHeight="true" outlineLevel="0" collapsed="false"/>
    <row r="29302" customFormat="false" ht="15" hidden="false" customHeight="true" outlineLevel="0" collapsed="false"/>
    <row r="29303" customFormat="false" ht="15" hidden="false" customHeight="true" outlineLevel="0" collapsed="false"/>
    <row r="29304" customFormat="false" ht="15" hidden="false" customHeight="true" outlineLevel="0" collapsed="false"/>
    <row r="29305" customFormat="false" ht="15" hidden="false" customHeight="true" outlineLevel="0" collapsed="false"/>
    <row r="29306" customFormat="false" ht="15" hidden="false" customHeight="true" outlineLevel="0" collapsed="false"/>
    <row r="29307" customFormat="false" ht="15" hidden="false" customHeight="true" outlineLevel="0" collapsed="false"/>
    <row r="29308" customFormat="false" ht="15" hidden="false" customHeight="true" outlineLevel="0" collapsed="false"/>
    <row r="29309" customFormat="false" ht="15" hidden="false" customHeight="true" outlineLevel="0" collapsed="false"/>
    <row r="29310" customFormat="false" ht="15" hidden="false" customHeight="true" outlineLevel="0" collapsed="false"/>
    <row r="29311" customFormat="false" ht="15" hidden="false" customHeight="true" outlineLevel="0" collapsed="false"/>
    <row r="29312" customFormat="false" ht="15" hidden="false" customHeight="true" outlineLevel="0" collapsed="false"/>
    <row r="29313" customFormat="false" ht="15" hidden="false" customHeight="true" outlineLevel="0" collapsed="false"/>
    <row r="29314" customFormat="false" ht="15" hidden="false" customHeight="true" outlineLevel="0" collapsed="false"/>
    <row r="29315" customFormat="false" ht="15" hidden="false" customHeight="true" outlineLevel="0" collapsed="false"/>
    <row r="29316" customFormat="false" ht="15" hidden="false" customHeight="true" outlineLevel="0" collapsed="false"/>
    <row r="29317" customFormat="false" ht="15" hidden="false" customHeight="true" outlineLevel="0" collapsed="false"/>
    <row r="29318" customFormat="false" ht="15" hidden="false" customHeight="true" outlineLevel="0" collapsed="false"/>
    <row r="29319" customFormat="false" ht="15" hidden="false" customHeight="true" outlineLevel="0" collapsed="false"/>
    <row r="29320" customFormat="false" ht="15" hidden="false" customHeight="true" outlineLevel="0" collapsed="false"/>
    <row r="29321" customFormat="false" ht="15" hidden="false" customHeight="true" outlineLevel="0" collapsed="false"/>
    <row r="29322" customFormat="false" ht="15" hidden="false" customHeight="true" outlineLevel="0" collapsed="false"/>
    <row r="29323" customFormat="false" ht="15" hidden="false" customHeight="true" outlineLevel="0" collapsed="false"/>
    <row r="29324" customFormat="false" ht="15" hidden="false" customHeight="true" outlineLevel="0" collapsed="false"/>
    <row r="29325" customFormat="false" ht="15" hidden="false" customHeight="true" outlineLevel="0" collapsed="false"/>
    <row r="29326" customFormat="false" ht="15" hidden="false" customHeight="true" outlineLevel="0" collapsed="false"/>
    <row r="29327" customFormat="false" ht="15" hidden="false" customHeight="true" outlineLevel="0" collapsed="false"/>
    <row r="29328" customFormat="false" ht="15" hidden="false" customHeight="true" outlineLevel="0" collapsed="false"/>
    <row r="29329" customFormat="false" ht="15" hidden="false" customHeight="true" outlineLevel="0" collapsed="false"/>
    <row r="29330" customFormat="false" ht="15" hidden="false" customHeight="true" outlineLevel="0" collapsed="false"/>
    <row r="29331" customFormat="false" ht="15" hidden="false" customHeight="true" outlineLevel="0" collapsed="false"/>
    <row r="29332" customFormat="false" ht="15" hidden="false" customHeight="true" outlineLevel="0" collapsed="false"/>
    <row r="29333" customFormat="false" ht="15" hidden="false" customHeight="true" outlineLevel="0" collapsed="false"/>
    <row r="29334" customFormat="false" ht="15" hidden="false" customHeight="true" outlineLevel="0" collapsed="false"/>
    <row r="29335" customFormat="false" ht="15" hidden="false" customHeight="true" outlineLevel="0" collapsed="false"/>
    <row r="29336" customFormat="false" ht="15" hidden="false" customHeight="true" outlineLevel="0" collapsed="false"/>
    <row r="29337" customFormat="false" ht="15" hidden="false" customHeight="true" outlineLevel="0" collapsed="false"/>
    <row r="29338" customFormat="false" ht="15" hidden="false" customHeight="true" outlineLevel="0" collapsed="false"/>
    <row r="29339" customFormat="false" ht="15" hidden="false" customHeight="true" outlineLevel="0" collapsed="false"/>
    <row r="29340" customFormat="false" ht="15" hidden="false" customHeight="true" outlineLevel="0" collapsed="false"/>
    <row r="29341" customFormat="false" ht="15" hidden="false" customHeight="true" outlineLevel="0" collapsed="false"/>
    <row r="29342" customFormat="false" ht="15" hidden="false" customHeight="true" outlineLevel="0" collapsed="false"/>
    <row r="29343" customFormat="false" ht="15" hidden="false" customHeight="true" outlineLevel="0" collapsed="false"/>
    <row r="29344" customFormat="false" ht="15" hidden="false" customHeight="true" outlineLevel="0" collapsed="false"/>
    <row r="29345" customFormat="false" ht="15" hidden="false" customHeight="true" outlineLevel="0" collapsed="false"/>
    <row r="29346" customFormat="false" ht="15" hidden="false" customHeight="true" outlineLevel="0" collapsed="false"/>
    <row r="29347" customFormat="false" ht="15" hidden="false" customHeight="true" outlineLevel="0" collapsed="false"/>
    <row r="29348" customFormat="false" ht="15" hidden="false" customHeight="true" outlineLevel="0" collapsed="false"/>
    <row r="29349" customFormat="false" ht="15" hidden="false" customHeight="true" outlineLevel="0" collapsed="false"/>
    <row r="29350" customFormat="false" ht="15" hidden="false" customHeight="true" outlineLevel="0" collapsed="false"/>
    <row r="29351" customFormat="false" ht="15" hidden="false" customHeight="true" outlineLevel="0" collapsed="false"/>
    <row r="29352" customFormat="false" ht="15" hidden="false" customHeight="true" outlineLevel="0" collapsed="false"/>
    <row r="29353" customFormat="false" ht="15" hidden="false" customHeight="true" outlineLevel="0" collapsed="false"/>
    <row r="29354" customFormat="false" ht="15" hidden="false" customHeight="true" outlineLevel="0" collapsed="false"/>
    <row r="29355" customFormat="false" ht="15" hidden="false" customHeight="true" outlineLevel="0" collapsed="false"/>
    <row r="29356" customFormat="false" ht="15" hidden="false" customHeight="true" outlineLevel="0" collapsed="false"/>
    <row r="29357" customFormat="false" ht="15" hidden="false" customHeight="true" outlineLevel="0" collapsed="false"/>
    <row r="29358" customFormat="false" ht="15" hidden="false" customHeight="true" outlineLevel="0" collapsed="false"/>
    <row r="29359" customFormat="false" ht="15" hidden="false" customHeight="true" outlineLevel="0" collapsed="false"/>
    <row r="29360" customFormat="false" ht="15" hidden="false" customHeight="true" outlineLevel="0" collapsed="false"/>
    <row r="29361" customFormat="false" ht="15" hidden="false" customHeight="true" outlineLevel="0" collapsed="false"/>
    <row r="29362" customFormat="false" ht="15" hidden="false" customHeight="true" outlineLevel="0" collapsed="false"/>
    <row r="29363" customFormat="false" ht="15" hidden="false" customHeight="true" outlineLevel="0" collapsed="false"/>
    <row r="29364" customFormat="false" ht="15" hidden="false" customHeight="true" outlineLevel="0" collapsed="false"/>
    <row r="29365" customFormat="false" ht="15" hidden="false" customHeight="true" outlineLevel="0" collapsed="false"/>
    <row r="29366" customFormat="false" ht="15" hidden="false" customHeight="true" outlineLevel="0" collapsed="false"/>
    <row r="29367" customFormat="false" ht="15" hidden="false" customHeight="true" outlineLevel="0" collapsed="false"/>
    <row r="29368" customFormat="false" ht="15" hidden="false" customHeight="true" outlineLevel="0" collapsed="false"/>
    <row r="29369" customFormat="false" ht="15" hidden="false" customHeight="true" outlineLevel="0" collapsed="false"/>
    <row r="29370" customFormat="false" ht="15" hidden="false" customHeight="true" outlineLevel="0" collapsed="false"/>
    <row r="29371" customFormat="false" ht="15" hidden="false" customHeight="true" outlineLevel="0" collapsed="false"/>
    <row r="29372" customFormat="false" ht="15" hidden="false" customHeight="true" outlineLevel="0" collapsed="false"/>
    <row r="29373" customFormat="false" ht="15" hidden="false" customHeight="true" outlineLevel="0" collapsed="false"/>
    <row r="29374" customFormat="false" ht="15" hidden="false" customHeight="true" outlineLevel="0" collapsed="false"/>
    <row r="29375" customFormat="false" ht="15" hidden="false" customHeight="true" outlineLevel="0" collapsed="false"/>
    <row r="29376" customFormat="false" ht="15" hidden="false" customHeight="true" outlineLevel="0" collapsed="false"/>
    <row r="29377" customFormat="false" ht="15" hidden="false" customHeight="true" outlineLevel="0" collapsed="false"/>
    <row r="29378" customFormat="false" ht="15" hidden="false" customHeight="true" outlineLevel="0" collapsed="false"/>
    <row r="29379" customFormat="false" ht="15" hidden="false" customHeight="true" outlineLevel="0" collapsed="false"/>
    <row r="29380" customFormat="false" ht="15" hidden="false" customHeight="true" outlineLevel="0" collapsed="false"/>
    <row r="29381" customFormat="false" ht="15" hidden="false" customHeight="true" outlineLevel="0" collapsed="false"/>
    <row r="29382" customFormat="false" ht="15" hidden="false" customHeight="true" outlineLevel="0" collapsed="false"/>
    <row r="29383" customFormat="false" ht="15" hidden="false" customHeight="true" outlineLevel="0" collapsed="false"/>
    <row r="29384" customFormat="false" ht="15" hidden="false" customHeight="true" outlineLevel="0" collapsed="false"/>
    <row r="29385" customFormat="false" ht="15" hidden="false" customHeight="true" outlineLevel="0" collapsed="false"/>
    <row r="29386" customFormat="false" ht="15" hidden="false" customHeight="true" outlineLevel="0" collapsed="false"/>
    <row r="29387" customFormat="false" ht="15" hidden="false" customHeight="true" outlineLevel="0" collapsed="false"/>
    <row r="29388" customFormat="false" ht="15" hidden="false" customHeight="true" outlineLevel="0" collapsed="false"/>
    <row r="29389" customFormat="false" ht="15" hidden="false" customHeight="true" outlineLevel="0" collapsed="false"/>
    <row r="29390" customFormat="false" ht="15" hidden="false" customHeight="true" outlineLevel="0" collapsed="false"/>
    <row r="29391" customFormat="false" ht="15" hidden="false" customHeight="true" outlineLevel="0" collapsed="false"/>
    <row r="29392" customFormat="false" ht="15" hidden="false" customHeight="true" outlineLevel="0" collapsed="false"/>
    <row r="29393" customFormat="false" ht="15" hidden="false" customHeight="true" outlineLevel="0" collapsed="false"/>
    <row r="29394" customFormat="false" ht="15" hidden="false" customHeight="true" outlineLevel="0" collapsed="false"/>
    <row r="29395" customFormat="false" ht="15" hidden="false" customHeight="true" outlineLevel="0" collapsed="false"/>
    <row r="29396" customFormat="false" ht="15" hidden="false" customHeight="true" outlineLevel="0" collapsed="false"/>
    <row r="29397" customFormat="false" ht="15" hidden="false" customHeight="true" outlineLevel="0" collapsed="false"/>
    <row r="29398" customFormat="false" ht="15" hidden="false" customHeight="true" outlineLevel="0" collapsed="false"/>
    <row r="29399" customFormat="false" ht="15" hidden="false" customHeight="true" outlineLevel="0" collapsed="false"/>
    <row r="29400" customFormat="false" ht="15" hidden="false" customHeight="true" outlineLevel="0" collapsed="false"/>
    <row r="29401" customFormat="false" ht="15" hidden="false" customHeight="true" outlineLevel="0" collapsed="false"/>
    <row r="29402" customFormat="false" ht="15" hidden="false" customHeight="true" outlineLevel="0" collapsed="false"/>
    <row r="29403" customFormat="false" ht="15" hidden="false" customHeight="true" outlineLevel="0" collapsed="false"/>
    <row r="29404" customFormat="false" ht="15" hidden="false" customHeight="true" outlineLevel="0" collapsed="false"/>
    <row r="29405" customFormat="false" ht="15" hidden="false" customHeight="true" outlineLevel="0" collapsed="false"/>
    <row r="29406" customFormat="false" ht="15" hidden="false" customHeight="true" outlineLevel="0" collapsed="false"/>
    <row r="29407" customFormat="false" ht="15" hidden="false" customHeight="true" outlineLevel="0" collapsed="false"/>
    <row r="29408" customFormat="false" ht="15" hidden="false" customHeight="true" outlineLevel="0" collapsed="false"/>
    <row r="29409" customFormat="false" ht="15" hidden="false" customHeight="true" outlineLevel="0" collapsed="false"/>
    <row r="29410" customFormat="false" ht="15" hidden="false" customHeight="true" outlineLevel="0" collapsed="false"/>
    <row r="29411" customFormat="false" ht="15" hidden="false" customHeight="true" outlineLevel="0" collapsed="false"/>
    <row r="29412" customFormat="false" ht="15" hidden="false" customHeight="true" outlineLevel="0" collapsed="false"/>
    <row r="29413" customFormat="false" ht="15" hidden="false" customHeight="true" outlineLevel="0" collapsed="false"/>
    <row r="29414" customFormat="false" ht="15" hidden="false" customHeight="true" outlineLevel="0" collapsed="false"/>
    <row r="29415" customFormat="false" ht="15" hidden="false" customHeight="true" outlineLevel="0" collapsed="false"/>
    <row r="29416" customFormat="false" ht="15" hidden="false" customHeight="true" outlineLevel="0" collapsed="false"/>
    <row r="29417" customFormat="false" ht="15" hidden="false" customHeight="true" outlineLevel="0" collapsed="false"/>
    <row r="29418" customFormat="false" ht="15" hidden="false" customHeight="true" outlineLevel="0" collapsed="false"/>
    <row r="29419" customFormat="false" ht="15" hidden="false" customHeight="true" outlineLevel="0" collapsed="false"/>
    <row r="29420" customFormat="false" ht="15" hidden="false" customHeight="true" outlineLevel="0" collapsed="false"/>
    <row r="29421" customFormat="false" ht="15" hidden="false" customHeight="true" outlineLevel="0" collapsed="false"/>
    <row r="29422" customFormat="false" ht="15" hidden="false" customHeight="true" outlineLevel="0" collapsed="false"/>
    <row r="29423" customFormat="false" ht="15" hidden="false" customHeight="true" outlineLevel="0" collapsed="false"/>
    <row r="29424" customFormat="false" ht="15" hidden="false" customHeight="true" outlineLevel="0" collapsed="false"/>
    <row r="29425" customFormat="false" ht="15" hidden="false" customHeight="true" outlineLevel="0" collapsed="false"/>
    <row r="29426" customFormat="false" ht="15" hidden="false" customHeight="true" outlineLevel="0" collapsed="false"/>
    <row r="29427" customFormat="false" ht="15" hidden="false" customHeight="true" outlineLevel="0" collapsed="false"/>
    <row r="29428" customFormat="false" ht="15" hidden="false" customHeight="true" outlineLevel="0" collapsed="false"/>
    <row r="29429" customFormat="false" ht="15" hidden="false" customHeight="true" outlineLevel="0" collapsed="false"/>
    <row r="29430" customFormat="false" ht="15" hidden="false" customHeight="true" outlineLevel="0" collapsed="false"/>
    <row r="29431" customFormat="false" ht="15" hidden="false" customHeight="true" outlineLevel="0" collapsed="false"/>
    <row r="29432" customFormat="false" ht="15" hidden="false" customHeight="true" outlineLevel="0" collapsed="false"/>
    <row r="29433" customFormat="false" ht="15" hidden="false" customHeight="true" outlineLevel="0" collapsed="false"/>
    <row r="29434" customFormat="false" ht="15" hidden="false" customHeight="true" outlineLevel="0" collapsed="false"/>
    <row r="29435" customFormat="false" ht="15" hidden="false" customHeight="true" outlineLevel="0" collapsed="false"/>
    <row r="29436" customFormat="false" ht="15" hidden="false" customHeight="true" outlineLevel="0" collapsed="false"/>
    <row r="29437" customFormat="false" ht="15" hidden="false" customHeight="true" outlineLevel="0" collapsed="false"/>
    <row r="29438" customFormat="false" ht="15" hidden="false" customHeight="true" outlineLevel="0" collapsed="false"/>
    <row r="29439" customFormat="false" ht="15" hidden="false" customHeight="true" outlineLevel="0" collapsed="false"/>
    <row r="29440" customFormat="false" ht="15" hidden="false" customHeight="true" outlineLevel="0" collapsed="false"/>
    <row r="29441" customFormat="false" ht="15" hidden="false" customHeight="true" outlineLevel="0" collapsed="false"/>
    <row r="29442" customFormat="false" ht="15" hidden="false" customHeight="true" outlineLevel="0" collapsed="false"/>
    <row r="29443" customFormat="false" ht="15" hidden="false" customHeight="true" outlineLevel="0" collapsed="false"/>
    <row r="29444" customFormat="false" ht="15" hidden="false" customHeight="true" outlineLevel="0" collapsed="false"/>
    <row r="29445" customFormat="false" ht="15" hidden="false" customHeight="true" outlineLevel="0" collapsed="false"/>
    <row r="29446" customFormat="false" ht="15" hidden="false" customHeight="true" outlineLevel="0" collapsed="false"/>
    <row r="29447" customFormat="false" ht="15" hidden="false" customHeight="true" outlineLevel="0" collapsed="false"/>
    <row r="29448" customFormat="false" ht="15" hidden="false" customHeight="true" outlineLevel="0" collapsed="false"/>
    <row r="29449" customFormat="false" ht="15" hidden="false" customHeight="true" outlineLevel="0" collapsed="false"/>
    <row r="29450" customFormat="false" ht="15" hidden="false" customHeight="true" outlineLevel="0" collapsed="false"/>
    <row r="29451" customFormat="false" ht="15" hidden="false" customHeight="true" outlineLevel="0" collapsed="false"/>
    <row r="29452" customFormat="false" ht="15" hidden="false" customHeight="true" outlineLevel="0" collapsed="false"/>
    <row r="29453" customFormat="false" ht="15" hidden="false" customHeight="true" outlineLevel="0" collapsed="false"/>
    <row r="29454" customFormat="false" ht="15" hidden="false" customHeight="true" outlineLevel="0" collapsed="false"/>
    <row r="29455" customFormat="false" ht="15" hidden="false" customHeight="true" outlineLevel="0" collapsed="false"/>
    <row r="29456" customFormat="false" ht="15" hidden="false" customHeight="true" outlineLevel="0" collapsed="false"/>
    <row r="29457" customFormat="false" ht="15" hidden="false" customHeight="true" outlineLevel="0" collapsed="false"/>
    <row r="29458" customFormat="false" ht="15" hidden="false" customHeight="true" outlineLevel="0" collapsed="false"/>
    <row r="29459" customFormat="false" ht="15" hidden="false" customHeight="true" outlineLevel="0" collapsed="false"/>
    <row r="29460" customFormat="false" ht="15" hidden="false" customHeight="true" outlineLevel="0" collapsed="false"/>
    <row r="29461" customFormat="false" ht="15" hidden="false" customHeight="true" outlineLevel="0" collapsed="false"/>
    <row r="29462" customFormat="false" ht="15" hidden="false" customHeight="true" outlineLevel="0" collapsed="false"/>
    <row r="29463" customFormat="false" ht="15" hidden="false" customHeight="true" outlineLevel="0" collapsed="false"/>
    <row r="29464" customFormat="false" ht="15" hidden="false" customHeight="true" outlineLevel="0" collapsed="false"/>
    <row r="29465" customFormat="false" ht="15" hidden="false" customHeight="true" outlineLevel="0" collapsed="false"/>
    <row r="29466" customFormat="false" ht="15" hidden="false" customHeight="true" outlineLevel="0" collapsed="false"/>
    <row r="29467" customFormat="false" ht="15" hidden="false" customHeight="true" outlineLevel="0" collapsed="false"/>
    <row r="29468" customFormat="false" ht="15" hidden="false" customHeight="true" outlineLevel="0" collapsed="false"/>
    <row r="29469" customFormat="false" ht="15" hidden="false" customHeight="true" outlineLevel="0" collapsed="false"/>
    <row r="29470" customFormat="false" ht="15" hidden="false" customHeight="true" outlineLevel="0" collapsed="false"/>
    <row r="29471" customFormat="false" ht="15" hidden="false" customHeight="true" outlineLevel="0" collapsed="false"/>
    <row r="29472" customFormat="false" ht="15" hidden="false" customHeight="true" outlineLevel="0" collapsed="false"/>
    <row r="29473" customFormat="false" ht="15" hidden="false" customHeight="true" outlineLevel="0" collapsed="false"/>
    <row r="29474" customFormat="false" ht="15" hidden="false" customHeight="true" outlineLevel="0" collapsed="false"/>
    <row r="29475" customFormat="false" ht="15" hidden="false" customHeight="true" outlineLevel="0" collapsed="false"/>
    <row r="29476" customFormat="false" ht="15" hidden="false" customHeight="true" outlineLevel="0" collapsed="false"/>
    <row r="29477" customFormat="false" ht="15" hidden="false" customHeight="true" outlineLevel="0" collapsed="false"/>
    <row r="29478" customFormat="false" ht="15" hidden="false" customHeight="true" outlineLevel="0" collapsed="false"/>
    <row r="29479" customFormat="false" ht="15" hidden="false" customHeight="true" outlineLevel="0" collapsed="false"/>
    <row r="29480" customFormat="false" ht="15" hidden="false" customHeight="true" outlineLevel="0" collapsed="false"/>
    <row r="29481" customFormat="false" ht="15" hidden="false" customHeight="true" outlineLevel="0" collapsed="false"/>
    <row r="29482" customFormat="false" ht="15" hidden="false" customHeight="true" outlineLevel="0" collapsed="false"/>
    <row r="29483" customFormat="false" ht="15" hidden="false" customHeight="true" outlineLevel="0" collapsed="false"/>
    <row r="29484" customFormat="false" ht="15" hidden="false" customHeight="true" outlineLevel="0" collapsed="false"/>
    <row r="29485" customFormat="false" ht="15" hidden="false" customHeight="true" outlineLevel="0" collapsed="false"/>
    <row r="29486" customFormat="false" ht="15" hidden="false" customHeight="true" outlineLevel="0" collapsed="false"/>
    <row r="29487" customFormat="false" ht="15" hidden="false" customHeight="true" outlineLevel="0" collapsed="false"/>
    <row r="29488" customFormat="false" ht="15" hidden="false" customHeight="true" outlineLevel="0" collapsed="false"/>
    <row r="29489" customFormat="false" ht="15" hidden="false" customHeight="true" outlineLevel="0" collapsed="false"/>
    <row r="29490" customFormat="false" ht="15" hidden="false" customHeight="true" outlineLevel="0" collapsed="false"/>
    <row r="29491" customFormat="false" ht="15" hidden="false" customHeight="true" outlineLevel="0" collapsed="false"/>
    <row r="29492" customFormat="false" ht="15" hidden="false" customHeight="true" outlineLevel="0" collapsed="false"/>
    <row r="29493" customFormat="false" ht="15" hidden="false" customHeight="true" outlineLevel="0" collapsed="false"/>
    <row r="29494" customFormat="false" ht="15" hidden="false" customHeight="true" outlineLevel="0" collapsed="false"/>
    <row r="29495" customFormat="false" ht="15" hidden="false" customHeight="true" outlineLevel="0" collapsed="false"/>
    <row r="29496" customFormat="false" ht="15" hidden="false" customHeight="true" outlineLevel="0" collapsed="false"/>
    <row r="29497" customFormat="false" ht="15" hidden="false" customHeight="true" outlineLevel="0" collapsed="false"/>
    <row r="29498" customFormat="false" ht="15" hidden="false" customHeight="true" outlineLevel="0" collapsed="false"/>
    <row r="29499" customFormat="false" ht="15" hidden="false" customHeight="true" outlineLevel="0" collapsed="false"/>
    <row r="29500" customFormat="false" ht="15" hidden="false" customHeight="true" outlineLevel="0" collapsed="false"/>
    <row r="29501" customFormat="false" ht="15" hidden="false" customHeight="true" outlineLevel="0" collapsed="false"/>
    <row r="29502" customFormat="false" ht="15" hidden="false" customHeight="true" outlineLevel="0" collapsed="false"/>
    <row r="29503" customFormat="false" ht="15" hidden="false" customHeight="true" outlineLevel="0" collapsed="false"/>
    <row r="29504" customFormat="false" ht="15" hidden="false" customHeight="true" outlineLevel="0" collapsed="false"/>
    <row r="29505" customFormat="false" ht="15" hidden="false" customHeight="true" outlineLevel="0" collapsed="false"/>
    <row r="29506" customFormat="false" ht="15" hidden="false" customHeight="true" outlineLevel="0" collapsed="false"/>
    <row r="29507" customFormat="false" ht="15" hidden="false" customHeight="true" outlineLevel="0" collapsed="false"/>
    <row r="29508" customFormat="false" ht="15" hidden="false" customHeight="true" outlineLevel="0" collapsed="false"/>
    <row r="29509" customFormat="false" ht="15" hidden="false" customHeight="true" outlineLevel="0" collapsed="false"/>
    <row r="29510" customFormat="false" ht="15" hidden="false" customHeight="true" outlineLevel="0" collapsed="false"/>
    <row r="29511" customFormat="false" ht="15" hidden="false" customHeight="true" outlineLevel="0" collapsed="false"/>
    <row r="29512" customFormat="false" ht="15" hidden="false" customHeight="true" outlineLevel="0" collapsed="false"/>
    <row r="29513" customFormat="false" ht="15" hidden="false" customHeight="true" outlineLevel="0" collapsed="false"/>
    <row r="29514" customFormat="false" ht="15" hidden="false" customHeight="true" outlineLevel="0" collapsed="false"/>
    <row r="29515" customFormat="false" ht="15" hidden="false" customHeight="true" outlineLevel="0" collapsed="false"/>
    <row r="29516" customFormat="false" ht="15" hidden="false" customHeight="true" outlineLevel="0" collapsed="false"/>
    <row r="29517" customFormat="false" ht="15" hidden="false" customHeight="true" outlineLevel="0" collapsed="false"/>
    <row r="29518" customFormat="false" ht="15" hidden="false" customHeight="true" outlineLevel="0" collapsed="false"/>
    <row r="29519" customFormat="false" ht="15" hidden="false" customHeight="true" outlineLevel="0" collapsed="false"/>
    <row r="29520" customFormat="false" ht="15" hidden="false" customHeight="true" outlineLevel="0" collapsed="false"/>
    <row r="29521" customFormat="false" ht="15" hidden="false" customHeight="true" outlineLevel="0" collapsed="false"/>
    <row r="29522" customFormat="false" ht="15" hidden="false" customHeight="true" outlineLevel="0" collapsed="false"/>
    <row r="29523" customFormat="false" ht="15" hidden="false" customHeight="true" outlineLevel="0" collapsed="false"/>
    <row r="29524" customFormat="false" ht="15" hidden="false" customHeight="true" outlineLevel="0" collapsed="false"/>
    <row r="29525" customFormat="false" ht="15" hidden="false" customHeight="true" outlineLevel="0" collapsed="false"/>
    <row r="29526" customFormat="false" ht="15" hidden="false" customHeight="true" outlineLevel="0" collapsed="false"/>
    <row r="29527" customFormat="false" ht="15" hidden="false" customHeight="true" outlineLevel="0" collapsed="false"/>
    <row r="29528" customFormat="false" ht="15" hidden="false" customHeight="true" outlineLevel="0" collapsed="false"/>
    <row r="29529" customFormat="false" ht="15" hidden="false" customHeight="true" outlineLevel="0" collapsed="false"/>
    <row r="29530" customFormat="false" ht="15" hidden="false" customHeight="true" outlineLevel="0" collapsed="false"/>
    <row r="29531" customFormat="false" ht="15" hidden="false" customHeight="true" outlineLevel="0" collapsed="false"/>
    <row r="29532" customFormat="false" ht="15" hidden="false" customHeight="true" outlineLevel="0" collapsed="false"/>
    <row r="29533" customFormat="false" ht="15" hidden="false" customHeight="true" outlineLevel="0" collapsed="false"/>
    <row r="29534" customFormat="false" ht="15" hidden="false" customHeight="true" outlineLevel="0" collapsed="false"/>
    <row r="29535" customFormat="false" ht="15" hidden="false" customHeight="true" outlineLevel="0" collapsed="false"/>
    <row r="29536" customFormat="false" ht="15" hidden="false" customHeight="true" outlineLevel="0" collapsed="false"/>
    <row r="29537" customFormat="false" ht="15" hidden="false" customHeight="true" outlineLevel="0" collapsed="false"/>
    <row r="29538" customFormat="false" ht="15" hidden="false" customHeight="true" outlineLevel="0" collapsed="false"/>
    <row r="29539" customFormat="false" ht="15" hidden="false" customHeight="true" outlineLevel="0" collapsed="false"/>
    <row r="29540" customFormat="false" ht="15" hidden="false" customHeight="true" outlineLevel="0" collapsed="false"/>
    <row r="29541" customFormat="false" ht="15" hidden="false" customHeight="true" outlineLevel="0" collapsed="false"/>
    <row r="29542" customFormat="false" ht="15" hidden="false" customHeight="true" outlineLevel="0" collapsed="false"/>
    <row r="29543" customFormat="false" ht="15" hidden="false" customHeight="true" outlineLevel="0" collapsed="false"/>
    <row r="29544" customFormat="false" ht="15" hidden="false" customHeight="true" outlineLevel="0" collapsed="false"/>
    <row r="29545" customFormat="false" ht="15" hidden="false" customHeight="true" outlineLevel="0" collapsed="false"/>
    <row r="29546" customFormat="false" ht="15" hidden="false" customHeight="true" outlineLevel="0" collapsed="false"/>
    <row r="29547" customFormat="false" ht="15" hidden="false" customHeight="true" outlineLevel="0" collapsed="false"/>
    <row r="29548" customFormat="false" ht="15" hidden="false" customHeight="true" outlineLevel="0" collapsed="false"/>
    <row r="29549" customFormat="false" ht="15" hidden="false" customHeight="true" outlineLevel="0" collapsed="false"/>
    <row r="29550" customFormat="false" ht="15" hidden="false" customHeight="true" outlineLevel="0" collapsed="false"/>
    <row r="29551" customFormat="false" ht="15" hidden="false" customHeight="true" outlineLevel="0" collapsed="false"/>
    <row r="29552" customFormat="false" ht="15" hidden="false" customHeight="true" outlineLevel="0" collapsed="false"/>
    <row r="29553" customFormat="false" ht="15" hidden="false" customHeight="true" outlineLevel="0" collapsed="false"/>
    <row r="29554" customFormat="false" ht="15" hidden="false" customHeight="true" outlineLevel="0" collapsed="false"/>
    <row r="29555" customFormat="false" ht="15" hidden="false" customHeight="true" outlineLevel="0" collapsed="false"/>
    <row r="29556" customFormat="false" ht="15" hidden="false" customHeight="true" outlineLevel="0" collapsed="false"/>
    <row r="29557" customFormat="false" ht="15" hidden="false" customHeight="true" outlineLevel="0" collapsed="false"/>
    <row r="29558" customFormat="false" ht="15" hidden="false" customHeight="true" outlineLevel="0" collapsed="false"/>
    <row r="29559" customFormat="false" ht="15" hidden="false" customHeight="true" outlineLevel="0" collapsed="false"/>
    <row r="29560" customFormat="false" ht="15" hidden="false" customHeight="true" outlineLevel="0" collapsed="false"/>
    <row r="29561" customFormat="false" ht="15" hidden="false" customHeight="true" outlineLevel="0" collapsed="false"/>
    <row r="29562" customFormat="false" ht="15" hidden="false" customHeight="true" outlineLevel="0" collapsed="false"/>
    <row r="29563" customFormat="false" ht="15" hidden="false" customHeight="true" outlineLevel="0" collapsed="false"/>
    <row r="29564" customFormat="false" ht="15" hidden="false" customHeight="true" outlineLevel="0" collapsed="false"/>
    <row r="29565" customFormat="false" ht="15" hidden="false" customHeight="true" outlineLevel="0" collapsed="false"/>
    <row r="29566" customFormat="false" ht="15" hidden="false" customHeight="true" outlineLevel="0" collapsed="false"/>
    <row r="29567" customFormat="false" ht="15" hidden="false" customHeight="true" outlineLevel="0" collapsed="false"/>
    <row r="29568" customFormat="false" ht="15" hidden="false" customHeight="true" outlineLevel="0" collapsed="false"/>
    <row r="29569" customFormat="false" ht="15" hidden="false" customHeight="true" outlineLevel="0" collapsed="false"/>
    <row r="29570" customFormat="false" ht="15" hidden="false" customHeight="true" outlineLevel="0" collapsed="false"/>
    <row r="29571" customFormat="false" ht="15" hidden="false" customHeight="true" outlineLevel="0" collapsed="false"/>
    <row r="29572" customFormat="false" ht="15" hidden="false" customHeight="true" outlineLevel="0" collapsed="false"/>
    <row r="29573" customFormat="false" ht="15" hidden="false" customHeight="true" outlineLevel="0" collapsed="false"/>
    <row r="29574" customFormat="false" ht="15" hidden="false" customHeight="true" outlineLevel="0" collapsed="false"/>
    <row r="29575" customFormat="false" ht="15" hidden="false" customHeight="true" outlineLevel="0" collapsed="false"/>
    <row r="29576" customFormat="false" ht="15" hidden="false" customHeight="true" outlineLevel="0" collapsed="false"/>
    <row r="29577" customFormat="false" ht="15" hidden="false" customHeight="true" outlineLevel="0" collapsed="false"/>
    <row r="29578" customFormat="false" ht="15" hidden="false" customHeight="true" outlineLevel="0" collapsed="false"/>
    <row r="29579" customFormat="false" ht="15" hidden="false" customHeight="true" outlineLevel="0" collapsed="false"/>
    <row r="29580" customFormat="false" ht="15" hidden="false" customHeight="true" outlineLevel="0" collapsed="false"/>
    <row r="29581" customFormat="false" ht="15" hidden="false" customHeight="true" outlineLevel="0" collapsed="false"/>
    <row r="29582" customFormat="false" ht="15" hidden="false" customHeight="true" outlineLevel="0" collapsed="false"/>
    <row r="29583" customFormat="false" ht="15" hidden="false" customHeight="true" outlineLevel="0" collapsed="false"/>
    <row r="29584" customFormat="false" ht="15" hidden="false" customHeight="true" outlineLevel="0" collapsed="false"/>
    <row r="29585" customFormat="false" ht="15" hidden="false" customHeight="true" outlineLevel="0" collapsed="false"/>
    <row r="29586" customFormat="false" ht="15" hidden="false" customHeight="true" outlineLevel="0" collapsed="false"/>
    <row r="29587" customFormat="false" ht="15" hidden="false" customHeight="true" outlineLevel="0" collapsed="false"/>
    <row r="29588" customFormat="false" ht="15" hidden="false" customHeight="true" outlineLevel="0" collapsed="false"/>
    <row r="29589" customFormat="false" ht="15" hidden="false" customHeight="true" outlineLevel="0" collapsed="false"/>
    <row r="29590" customFormat="false" ht="15" hidden="false" customHeight="true" outlineLevel="0" collapsed="false"/>
    <row r="29591" customFormat="false" ht="15" hidden="false" customHeight="true" outlineLevel="0" collapsed="false"/>
    <row r="29592" customFormat="false" ht="15" hidden="false" customHeight="true" outlineLevel="0" collapsed="false"/>
    <row r="29593" customFormat="false" ht="15" hidden="false" customHeight="true" outlineLevel="0" collapsed="false"/>
    <row r="29594" customFormat="false" ht="15" hidden="false" customHeight="true" outlineLevel="0" collapsed="false"/>
    <row r="29595" customFormat="false" ht="15" hidden="false" customHeight="true" outlineLevel="0" collapsed="false"/>
    <row r="29596" customFormat="false" ht="15" hidden="false" customHeight="true" outlineLevel="0" collapsed="false"/>
    <row r="29597" customFormat="false" ht="15" hidden="false" customHeight="true" outlineLevel="0" collapsed="false"/>
    <row r="29598" customFormat="false" ht="15" hidden="false" customHeight="true" outlineLevel="0" collapsed="false"/>
    <row r="29599" customFormat="false" ht="15" hidden="false" customHeight="true" outlineLevel="0" collapsed="false"/>
    <row r="29600" customFormat="false" ht="15" hidden="false" customHeight="true" outlineLevel="0" collapsed="false"/>
    <row r="29601" customFormat="false" ht="15" hidden="false" customHeight="true" outlineLevel="0" collapsed="false"/>
    <row r="29602" customFormat="false" ht="15" hidden="false" customHeight="true" outlineLevel="0" collapsed="false"/>
    <row r="29603" customFormat="false" ht="15" hidden="false" customHeight="true" outlineLevel="0" collapsed="false"/>
    <row r="29604" customFormat="false" ht="15" hidden="false" customHeight="true" outlineLevel="0" collapsed="false"/>
    <row r="29605" customFormat="false" ht="15" hidden="false" customHeight="true" outlineLevel="0" collapsed="false"/>
    <row r="29606" customFormat="false" ht="15" hidden="false" customHeight="true" outlineLevel="0" collapsed="false"/>
    <row r="29607" customFormat="false" ht="15" hidden="false" customHeight="true" outlineLevel="0" collapsed="false"/>
    <row r="29608" customFormat="false" ht="15" hidden="false" customHeight="true" outlineLevel="0" collapsed="false"/>
    <row r="29609" customFormat="false" ht="15" hidden="false" customHeight="true" outlineLevel="0" collapsed="false"/>
    <row r="29610" customFormat="false" ht="15" hidden="false" customHeight="true" outlineLevel="0" collapsed="false"/>
    <row r="29611" customFormat="false" ht="15" hidden="false" customHeight="true" outlineLevel="0" collapsed="false"/>
    <row r="29612" customFormat="false" ht="15" hidden="false" customHeight="true" outlineLevel="0" collapsed="false"/>
    <row r="29613" customFormat="false" ht="15" hidden="false" customHeight="true" outlineLevel="0" collapsed="false"/>
    <row r="29614" customFormat="false" ht="15" hidden="false" customHeight="true" outlineLevel="0" collapsed="false"/>
    <row r="29615" customFormat="false" ht="15" hidden="false" customHeight="true" outlineLevel="0" collapsed="false"/>
    <row r="29616" customFormat="false" ht="15" hidden="false" customHeight="true" outlineLevel="0" collapsed="false"/>
    <row r="29617" customFormat="false" ht="15" hidden="false" customHeight="true" outlineLevel="0" collapsed="false"/>
    <row r="29618" customFormat="false" ht="15" hidden="false" customHeight="true" outlineLevel="0" collapsed="false"/>
    <row r="29619" customFormat="false" ht="15" hidden="false" customHeight="true" outlineLevel="0" collapsed="false"/>
    <row r="29620" customFormat="false" ht="15" hidden="false" customHeight="true" outlineLevel="0" collapsed="false"/>
    <row r="29621" customFormat="false" ht="15" hidden="false" customHeight="true" outlineLevel="0" collapsed="false"/>
    <row r="29622" customFormat="false" ht="15" hidden="false" customHeight="true" outlineLevel="0" collapsed="false"/>
    <row r="29623" customFormat="false" ht="15" hidden="false" customHeight="true" outlineLevel="0" collapsed="false"/>
    <row r="29624" customFormat="false" ht="15" hidden="false" customHeight="true" outlineLevel="0" collapsed="false"/>
    <row r="29625" customFormat="false" ht="15" hidden="false" customHeight="true" outlineLevel="0" collapsed="false"/>
    <row r="29626" customFormat="false" ht="15" hidden="false" customHeight="true" outlineLevel="0" collapsed="false"/>
    <row r="29627" customFormat="false" ht="15" hidden="false" customHeight="true" outlineLevel="0" collapsed="false"/>
    <row r="29628" customFormat="false" ht="15" hidden="false" customHeight="true" outlineLevel="0" collapsed="false"/>
    <row r="29629" customFormat="false" ht="15" hidden="false" customHeight="true" outlineLevel="0" collapsed="false"/>
    <row r="29630" customFormat="false" ht="15" hidden="false" customHeight="true" outlineLevel="0" collapsed="false"/>
    <row r="29631" customFormat="false" ht="15" hidden="false" customHeight="true" outlineLevel="0" collapsed="false"/>
    <row r="29632" customFormat="false" ht="15" hidden="false" customHeight="true" outlineLevel="0" collapsed="false"/>
    <row r="29633" customFormat="false" ht="15" hidden="false" customHeight="true" outlineLevel="0" collapsed="false"/>
    <row r="29634" customFormat="false" ht="15" hidden="false" customHeight="true" outlineLevel="0" collapsed="false"/>
    <row r="29635" customFormat="false" ht="15" hidden="false" customHeight="true" outlineLevel="0" collapsed="false"/>
    <row r="29636" customFormat="false" ht="15" hidden="false" customHeight="true" outlineLevel="0" collapsed="false"/>
    <row r="29637" customFormat="false" ht="15" hidden="false" customHeight="true" outlineLevel="0" collapsed="false"/>
    <row r="29638" customFormat="false" ht="15" hidden="false" customHeight="true" outlineLevel="0" collapsed="false"/>
    <row r="29639" customFormat="false" ht="15" hidden="false" customHeight="true" outlineLevel="0" collapsed="false"/>
    <row r="29640" customFormat="false" ht="15" hidden="false" customHeight="true" outlineLevel="0" collapsed="false"/>
    <row r="29641" customFormat="false" ht="15" hidden="false" customHeight="true" outlineLevel="0" collapsed="false"/>
    <row r="29642" customFormat="false" ht="15" hidden="false" customHeight="true" outlineLevel="0" collapsed="false"/>
    <row r="29643" customFormat="false" ht="15" hidden="false" customHeight="true" outlineLevel="0" collapsed="false"/>
    <row r="29644" customFormat="false" ht="15" hidden="false" customHeight="true" outlineLevel="0" collapsed="false"/>
    <row r="29645" customFormat="false" ht="15" hidden="false" customHeight="true" outlineLevel="0" collapsed="false"/>
    <row r="29646" customFormat="false" ht="15" hidden="false" customHeight="true" outlineLevel="0" collapsed="false"/>
    <row r="29647" customFormat="false" ht="15" hidden="false" customHeight="true" outlineLevel="0" collapsed="false"/>
    <row r="29648" customFormat="false" ht="15" hidden="false" customHeight="true" outlineLevel="0" collapsed="false"/>
    <row r="29649" customFormat="false" ht="15" hidden="false" customHeight="true" outlineLevel="0" collapsed="false"/>
    <row r="29650" customFormat="false" ht="15" hidden="false" customHeight="true" outlineLevel="0" collapsed="false"/>
    <row r="29651" customFormat="false" ht="15" hidden="false" customHeight="true" outlineLevel="0" collapsed="false"/>
    <row r="29652" customFormat="false" ht="15" hidden="false" customHeight="true" outlineLevel="0" collapsed="false"/>
    <row r="29653" customFormat="false" ht="15" hidden="false" customHeight="true" outlineLevel="0" collapsed="false"/>
    <row r="29654" customFormat="false" ht="15" hidden="false" customHeight="true" outlineLevel="0" collapsed="false"/>
    <row r="29655" customFormat="false" ht="15" hidden="false" customHeight="true" outlineLevel="0" collapsed="false"/>
    <row r="29656" customFormat="false" ht="15" hidden="false" customHeight="true" outlineLevel="0" collapsed="false"/>
    <row r="29657" customFormat="false" ht="15" hidden="false" customHeight="true" outlineLevel="0" collapsed="false"/>
    <row r="29658" customFormat="false" ht="15" hidden="false" customHeight="true" outlineLevel="0" collapsed="false"/>
    <row r="29659" customFormat="false" ht="15" hidden="false" customHeight="true" outlineLevel="0" collapsed="false"/>
    <row r="29660" customFormat="false" ht="15" hidden="false" customHeight="true" outlineLevel="0" collapsed="false"/>
    <row r="29661" customFormat="false" ht="15" hidden="false" customHeight="true" outlineLevel="0" collapsed="false"/>
    <row r="29662" customFormat="false" ht="15" hidden="false" customHeight="true" outlineLevel="0" collapsed="false"/>
    <row r="29663" customFormat="false" ht="15" hidden="false" customHeight="true" outlineLevel="0" collapsed="false"/>
    <row r="29664" customFormat="false" ht="15" hidden="false" customHeight="true" outlineLevel="0" collapsed="false"/>
    <row r="29665" customFormat="false" ht="15" hidden="false" customHeight="true" outlineLevel="0" collapsed="false"/>
    <row r="29666" customFormat="false" ht="15" hidden="false" customHeight="true" outlineLevel="0" collapsed="false"/>
    <row r="29667" customFormat="false" ht="15" hidden="false" customHeight="true" outlineLevel="0" collapsed="false"/>
    <row r="29668" customFormat="false" ht="15" hidden="false" customHeight="true" outlineLevel="0" collapsed="false"/>
    <row r="29669" customFormat="false" ht="15" hidden="false" customHeight="true" outlineLevel="0" collapsed="false"/>
    <row r="29670" customFormat="false" ht="15" hidden="false" customHeight="true" outlineLevel="0" collapsed="false"/>
    <row r="29671" customFormat="false" ht="15" hidden="false" customHeight="true" outlineLevel="0" collapsed="false"/>
    <row r="29672" customFormat="false" ht="15" hidden="false" customHeight="true" outlineLevel="0" collapsed="false"/>
    <row r="29673" customFormat="false" ht="15" hidden="false" customHeight="true" outlineLevel="0" collapsed="false"/>
    <row r="29674" customFormat="false" ht="15" hidden="false" customHeight="true" outlineLevel="0" collapsed="false"/>
    <row r="29675" customFormat="false" ht="15" hidden="false" customHeight="true" outlineLevel="0" collapsed="false"/>
    <row r="29676" customFormat="false" ht="15" hidden="false" customHeight="true" outlineLevel="0" collapsed="false"/>
    <row r="29677" customFormat="false" ht="15" hidden="false" customHeight="true" outlineLevel="0" collapsed="false"/>
    <row r="29678" customFormat="false" ht="15" hidden="false" customHeight="true" outlineLevel="0" collapsed="false"/>
    <row r="29679" customFormat="false" ht="15" hidden="false" customHeight="true" outlineLevel="0" collapsed="false"/>
    <row r="29680" customFormat="false" ht="15" hidden="false" customHeight="true" outlineLevel="0" collapsed="false"/>
    <row r="29681" customFormat="false" ht="15" hidden="false" customHeight="true" outlineLevel="0" collapsed="false"/>
    <row r="29682" customFormat="false" ht="15" hidden="false" customHeight="true" outlineLevel="0" collapsed="false"/>
    <row r="29683" customFormat="false" ht="15" hidden="false" customHeight="true" outlineLevel="0" collapsed="false"/>
    <row r="29684" customFormat="false" ht="15" hidden="false" customHeight="true" outlineLevel="0" collapsed="false"/>
    <row r="29685" customFormat="false" ht="15" hidden="false" customHeight="true" outlineLevel="0" collapsed="false"/>
    <row r="29686" customFormat="false" ht="15" hidden="false" customHeight="true" outlineLevel="0" collapsed="false"/>
    <row r="29687" customFormat="false" ht="15" hidden="false" customHeight="true" outlineLevel="0" collapsed="false"/>
    <row r="29688" customFormat="false" ht="15" hidden="false" customHeight="true" outlineLevel="0" collapsed="false"/>
    <row r="29689" customFormat="false" ht="15" hidden="false" customHeight="true" outlineLevel="0" collapsed="false"/>
    <row r="29690" customFormat="false" ht="15" hidden="false" customHeight="true" outlineLevel="0" collapsed="false"/>
    <row r="29691" customFormat="false" ht="15" hidden="false" customHeight="true" outlineLevel="0" collapsed="false"/>
    <row r="29692" customFormat="false" ht="15" hidden="false" customHeight="true" outlineLevel="0" collapsed="false"/>
    <row r="29693" customFormat="false" ht="15" hidden="false" customHeight="true" outlineLevel="0" collapsed="false"/>
    <row r="29694" customFormat="false" ht="15" hidden="false" customHeight="true" outlineLevel="0" collapsed="false"/>
    <row r="29695" customFormat="false" ht="15" hidden="false" customHeight="true" outlineLevel="0" collapsed="false"/>
    <row r="29696" customFormat="false" ht="15" hidden="false" customHeight="true" outlineLevel="0" collapsed="false"/>
    <row r="29697" customFormat="false" ht="15" hidden="false" customHeight="true" outlineLevel="0" collapsed="false"/>
    <row r="29698" customFormat="false" ht="15" hidden="false" customHeight="true" outlineLevel="0" collapsed="false"/>
    <row r="29699" customFormat="false" ht="15" hidden="false" customHeight="true" outlineLevel="0" collapsed="false"/>
    <row r="29700" customFormat="false" ht="15" hidden="false" customHeight="true" outlineLevel="0" collapsed="false"/>
    <row r="29701" customFormat="false" ht="15" hidden="false" customHeight="true" outlineLevel="0" collapsed="false"/>
    <row r="29702" customFormat="false" ht="15" hidden="false" customHeight="true" outlineLevel="0" collapsed="false"/>
    <row r="29703" customFormat="false" ht="15" hidden="false" customHeight="true" outlineLevel="0" collapsed="false"/>
    <row r="29704" customFormat="false" ht="15" hidden="false" customHeight="true" outlineLevel="0" collapsed="false"/>
    <row r="29705" customFormat="false" ht="15" hidden="false" customHeight="true" outlineLevel="0" collapsed="false"/>
    <row r="29706" customFormat="false" ht="15" hidden="false" customHeight="true" outlineLevel="0" collapsed="false"/>
    <row r="29707" customFormat="false" ht="15" hidden="false" customHeight="true" outlineLevel="0" collapsed="false"/>
    <row r="29708" customFormat="false" ht="15" hidden="false" customHeight="true" outlineLevel="0" collapsed="false"/>
    <row r="29709" customFormat="false" ht="15" hidden="false" customHeight="true" outlineLevel="0" collapsed="false"/>
    <row r="29710" customFormat="false" ht="15" hidden="false" customHeight="true" outlineLevel="0" collapsed="false"/>
    <row r="29711" customFormat="false" ht="15" hidden="false" customHeight="true" outlineLevel="0" collapsed="false"/>
    <row r="29712" customFormat="false" ht="15" hidden="false" customHeight="true" outlineLevel="0" collapsed="false"/>
    <row r="29713" customFormat="false" ht="15" hidden="false" customHeight="true" outlineLevel="0" collapsed="false"/>
    <row r="29714" customFormat="false" ht="15" hidden="false" customHeight="true" outlineLevel="0" collapsed="false"/>
    <row r="29715" customFormat="false" ht="15" hidden="false" customHeight="true" outlineLevel="0" collapsed="false"/>
    <row r="29716" customFormat="false" ht="15" hidden="false" customHeight="true" outlineLevel="0" collapsed="false"/>
    <row r="29717" customFormat="false" ht="15" hidden="false" customHeight="true" outlineLevel="0" collapsed="false"/>
    <row r="29718" customFormat="false" ht="15" hidden="false" customHeight="true" outlineLevel="0" collapsed="false"/>
    <row r="29719" customFormat="false" ht="15" hidden="false" customHeight="true" outlineLevel="0" collapsed="false"/>
    <row r="29720" customFormat="false" ht="15" hidden="false" customHeight="true" outlineLevel="0" collapsed="false"/>
    <row r="29721" customFormat="false" ht="15" hidden="false" customHeight="true" outlineLevel="0" collapsed="false"/>
    <row r="29722" customFormat="false" ht="15" hidden="false" customHeight="true" outlineLevel="0" collapsed="false"/>
    <row r="29723" customFormat="false" ht="15" hidden="false" customHeight="true" outlineLevel="0" collapsed="false"/>
    <row r="29724" customFormat="false" ht="15" hidden="false" customHeight="true" outlineLevel="0" collapsed="false"/>
    <row r="29725" customFormat="false" ht="15" hidden="false" customHeight="true" outlineLevel="0" collapsed="false"/>
    <row r="29726" customFormat="false" ht="15" hidden="false" customHeight="true" outlineLevel="0" collapsed="false"/>
    <row r="29727" customFormat="false" ht="15" hidden="false" customHeight="true" outlineLevel="0" collapsed="false"/>
    <row r="29728" customFormat="false" ht="15" hidden="false" customHeight="true" outlineLevel="0" collapsed="false"/>
    <row r="29729" customFormat="false" ht="15" hidden="false" customHeight="true" outlineLevel="0" collapsed="false"/>
    <row r="29730" customFormat="false" ht="15" hidden="false" customHeight="true" outlineLevel="0" collapsed="false"/>
    <row r="29731" customFormat="false" ht="15" hidden="false" customHeight="true" outlineLevel="0" collapsed="false"/>
    <row r="29732" customFormat="false" ht="15" hidden="false" customHeight="true" outlineLevel="0" collapsed="false"/>
    <row r="29733" customFormat="false" ht="15" hidden="false" customHeight="true" outlineLevel="0" collapsed="false"/>
    <row r="29734" customFormat="false" ht="15" hidden="false" customHeight="true" outlineLevel="0" collapsed="false"/>
    <row r="29735" customFormat="false" ht="15" hidden="false" customHeight="true" outlineLevel="0" collapsed="false"/>
    <row r="29736" customFormat="false" ht="15" hidden="false" customHeight="true" outlineLevel="0" collapsed="false"/>
    <row r="29737" customFormat="false" ht="15" hidden="false" customHeight="true" outlineLevel="0" collapsed="false"/>
    <row r="29738" customFormat="false" ht="15" hidden="false" customHeight="true" outlineLevel="0" collapsed="false"/>
    <row r="29739" customFormat="false" ht="15" hidden="false" customHeight="true" outlineLevel="0" collapsed="false"/>
    <row r="29740" customFormat="false" ht="15" hidden="false" customHeight="true" outlineLevel="0" collapsed="false"/>
    <row r="29741" customFormat="false" ht="15" hidden="false" customHeight="true" outlineLevel="0" collapsed="false"/>
    <row r="29742" customFormat="false" ht="15" hidden="false" customHeight="true" outlineLevel="0" collapsed="false"/>
    <row r="29743" customFormat="false" ht="15" hidden="false" customHeight="true" outlineLevel="0" collapsed="false"/>
    <row r="29744" customFormat="false" ht="15" hidden="false" customHeight="true" outlineLevel="0" collapsed="false"/>
    <row r="29745" customFormat="false" ht="15" hidden="false" customHeight="true" outlineLevel="0" collapsed="false"/>
    <row r="29746" customFormat="false" ht="15" hidden="false" customHeight="true" outlineLevel="0" collapsed="false"/>
    <row r="29747" customFormat="false" ht="15" hidden="false" customHeight="true" outlineLevel="0" collapsed="false"/>
    <row r="29748" customFormat="false" ht="15" hidden="false" customHeight="true" outlineLevel="0" collapsed="false"/>
    <row r="29749" customFormat="false" ht="15" hidden="false" customHeight="true" outlineLevel="0" collapsed="false"/>
    <row r="29750" customFormat="false" ht="15" hidden="false" customHeight="true" outlineLevel="0" collapsed="false"/>
    <row r="29751" customFormat="false" ht="15" hidden="false" customHeight="true" outlineLevel="0" collapsed="false"/>
    <row r="29752" customFormat="false" ht="15" hidden="false" customHeight="true" outlineLevel="0" collapsed="false"/>
    <row r="29753" customFormat="false" ht="15" hidden="false" customHeight="true" outlineLevel="0" collapsed="false"/>
    <row r="29754" customFormat="false" ht="15" hidden="false" customHeight="true" outlineLevel="0" collapsed="false"/>
    <row r="29755" customFormat="false" ht="15" hidden="false" customHeight="true" outlineLevel="0" collapsed="false"/>
    <row r="29756" customFormat="false" ht="15" hidden="false" customHeight="true" outlineLevel="0" collapsed="false"/>
    <row r="29757" customFormat="false" ht="15" hidden="false" customHeight="true" outlineLevel="0" collapsed="false"/>
    <row r="29758" customFormat="false" ht="15" hidden="false" customHeight="true" outlineLevel="0" collapsed="false"/>
    <row r="29759" customFormat="false" ht="15" hidden="false" customHeight="true" outlineLevel="0" collapsed="false"/>
    <row r="29760" customFormat="false" ht="15" hidden="false" customHeight="true" outlineLevel="0" collapsed="false"/>
    <row r="29761" customFormat="false" ht="15" hidden="false" customHeight="true" outlineLevel="0" collapsed="false"/>
    <row r="29762" customFormat="false" ht="15" hidden="false" customHeight="true" outlineLevel="0" collapsed="false"/>
    <row r="29763" customFormat="false" ht="15" hidden="false" customHeight="true" outlineLevel="0" collapsed="false"/>
    <row r="29764" customFormat="false" ht="15" hidden="false" customHeight="true" outlineLevel="0" collapsed="false"/>
    <row r="29765" customFormat="false" ht="15" hidden="false" customHeight="true" outlineLevel="0" collapsed="false"/>
    <row r="29766" customFormat="false" ht="15" hidden="false" customHeight="true" outlineLevel="0" collapsed="false"/>
    <row r="29767" customFormat="false" ht="15" hidden="false" customHeight="true" outlineLevel="0" collapsed="false"/>
    <row r="29768" customFormat="false" ht="15" hidden="false" customHeight="true" outlineLevel="0" collapsed="false"/>
    <row r="29769" customFormat="false" ht="15" hidden="false" customHeight="true" outlineLevel="0" collapsed="false"/>
    <row r="29770" customFormat="false" ht="15" hidden="false" customHeight="true" outlineLevel="0" collapsed="false"/>
    <row r="29771" customFormat="false" ht="15" hidden="false" customHeight="true" outlineLevel="0" collapsed="false"/>
    <row r="29772" customFormat="false" ht="15" hidden="false" customHeight="true" outlineLevel="0" collapsed="false"/>
    <row r="29773" customFormat="false" ht="15" hidden="false" customHeight="true" outlineLevel="0" collapsed="false"/>
    <row r="29774" customFormat="false" ht="15" hidden="false" customHeight="true" outlineLevel="0" collapsed="false"/>
    <row r="29775" customFormat="false" ht="15" hidden="false" customHeight="true" outlineLevel="0" collapsed="false"/>
    <row r="29776" customFormat="false" ht="15" hidden="false" customHeight="true" outlineLevel="0" collapsed="false"/>
    <row r="29777" customFormat="false" ht="15" hidden="false" customHeight="true" outlineLevel="0" collapsed="false"/>
    <row r="29778" customFormat="false" ht="15" hidden="false" customHeight="true" outlineLevel="0" collapsed="false"/>
    <row r="29779" customFormat="false" ht="15" hidden="false" customHeight="true" outlineLevel="0" collapsed="false"/>
    <row r="29780" customFormat="false" ht="15" hidden="false" customHeight="true" outlineLevel="0" collapsed="false"/>
    <row r="29781" customFormat="false" ht="15" hidden="false" customHeight="true" outlineLevel="0" collapsed="false"/>
    <row r="29782" customFormat="false" ht="15" hidden="false" customHeight="true" outlineLevel="0" collapsed="false"/>
    <row r="29783" customFormat="false" ht="15" hidden="false" customHeight="true" outlineLevel="0" collapsed="false"/>
    <row r="29784" customFormat="false" ht="15" hidden="false" customHeight="true" outlineLevel="0" collapsed="false"/>
    <row r="29785" customFormat="false" ht="15" hidden="false" customHeight="true" outlineLevel="0" collapsed="false"/>
    <row r="29786" customFormat="false" ht="15" hidden="false" customHeight="true" outlineLevel="0" collapsed="false"/>
    <row r="29787" customFormat="false" ht="15" hidden="false" customHeight="true" outlineLevel="0" collapsed="false"/>
    <row r="29788" customFormat="false" ht="15" hidden="false" customHeight="true" outlineLevel="0" collapsed="false"/>
    <row r="29789" customFormat="false" ht="15" hidden="false" customHeight="true" outlineLevel="0" collapsed="false"/>
    <row r="29790" customFormat="false" ht="15" hidden="false" customHeight="true" outlineLevel="0" collapsed="false"/>
    <row r="29791" customFormat="false" ht="15" hidden="false" customHeight="true" outlineLevel="0" collapsed="false"/>
    <row r="29792" customFormat="false" ht="15" hidden="false" customHeight="true" outlineLevel="0" collapsed="false"/>
    <row r="29793" customFormat="false" ht="15" hidden="false" customHeight="true" outlineLevel="0" collapsed="false"/>
    <row r="29794" customFormat="false" ht="15" hidden="false" customHeight="true" outlineLevel="0" collapsed="false"/>
    <row r="29795" customFormat="false" ht="15" hidden="false" customHeight="true" outlineLevel="0" collapsed="false"/>
    <row r="29796" customFormat="false" ht="15" hidden="false" customHeight="true" outlineLevel="0" collapsed="false"/>
    <row r="29797" customFormat="false" ht="15" hidden="false" customHeight="true" outlineLevel="0" collapsed="false"/>
    <row r="29798" customFormat="false" ht="15" hidden="false" customHeight="true" outlineLevel="0" collapsed="false"/>
    <row r="29799" customFormat="false" ht="15" hidden="false" customHeight="true" outlineLevel="0" collapsed="false"/>
    <row r="29800" customFormat="false" ht="15" hidden="false" customHeight="true" outlineLevel="0" collapsed="false"/>
    <row r="29801" customFormat="false" ht="15" hidden="false" customHeight="true" outlineLevel="0" collapsed="false"/>
    <row r="29802" customFormat="false" ht="15" hidden="false" customHeight="true" outlineLevel="0" collapsed="false"/>
    <row r="29803" customFormat="false" ht="15" hidden="false" customHeight="true" outlineLevel="0" collapsed="false"/>
    <row r="29804" customFormat="false" ht="15" hidden="false" customHeight="true" outlineLevel="0" collapsed="false"/>
    <row r="29805" customFormat="false" ht="15" hidden="false" customHeight="true" outlineLevel="0" collapsed="false"/>
    <row r="29806" customFormat="false" ht="15" hidden="false" customHeight="true" outlineLevel="0" collapsed="false"/>
    <row r="29807" customFormat="false" ht="15" hidden="false" customHeight="true" outlineLevel="0" collapsed="false"/>
    <row r="29808" customFormat="false" ht="15" hidden="false" customHeight="true" outlineLevel="0" collapsed="false"/>
    <row r="29809" customFormat="false" ht="15" hidden="false" customHeight="true" outlineLevel="0" collapsed="false"/>
    <row r="29810" customFormat="false" ht="15" hidden="false" customHeight="true" outlineLevel="0" collapsed="false"/>
    <row r="29811" customFormat="false" ht="15" hidden="false" customHeight="true" outlineLevel="0" collapsed="false"/>
    <row r="29812" customFormat="false" ht="15" hidden="false" customHeight="true" outlineLevel="0" collapsed="false"/>
    <row r="29813" customFormat="false" ht="15" hidden="false" customHeight="true" outlineLevel="0" collapsed="false"/>
    <row r="29814" customFormat="false" ht="15" hidden="false" customHeight="true" outlineLevel="0" collapsed="false"/>
    <row r="29815" customFormat="false" ht="15" hidden="false" customHeight="true" outlineLevel="0" collapsed="false"/>
    <row r="29816" customFormat="false" ht="15" hidden="false" customHeight="true" outlineLevel="0" collapsed="false"/>
    <row r="29817" customFormat="false" ht="15" hidden="false" customHeight="true" outlineLevel="0" collapsed="false"/>
    <row r="29818" customFormat="false" ht="15" hidden="false" customHeight="true" outlineLevel="0" collapsed="false"/>
    <row r="29819" customFormat="false" ht="15" hidden="false" customHeight="true" outlineLevel="0" collapsed="false"/>
    <row r="29820" customFormat="false" ht="15" hidden="false" customHeight="true" outlineLevel="0" collapsed="false"/>
    <row r="29821" customFormat="false" ht="15" hidden="false" customHeight="true" outlineLevel="0" collapsed="false"/>
    <row r="29822" customFormat="false" ht="15" hidden="false" customHeight="true" outlineLevel="0" collapsed="false"/>
    <row r="29823" customFormat="false" ht="15" hidden="false" customHeight="true" outlineLevel="0" collapsed="false"/>
    <row r="29824" customFormat="false" ht="15" hidden="false" customHeight="true" outlineLevel="0" collapsed="false"/>
    <row r="29825" customFormat="false" ht="15" hidden="false" customHeight="true" outlineLevel="0" collapsed="false"/>
    <row r="29826" customFormat="false" ht="15" hidden="false" customHeight="true" outlineLevel="0" collapsed="false"/>
    <row r="29827" customFormat="false" ht="15" hidden="false" customHeight="true" outlineLevel="0" collapsed="false"/>
    <row r="29828" customFormat="false" ht="15" hidden="false" customHeight="true" outlineLevel="0" collapsed="false"/>
    <row r="29829" customFormat="false" ht="15" hidden="false" customHeight="true" outlineLevel="0" collapsed="false"/>
    <row r="29830" customFormat="false" ht="15" hidden="false" customHeight="true" outlineLevel="0" collapsed="false"/>
    <row r="29831" customFormat="false" ht="15" hidden="false" customHeight="true" outlineLevel="0" collapsed="false"/>
    <row r="29832" customFormat="false" ht="15" hidden="false" customHeight="true" outlineLevel="0" collapsed="false"/>
    <row r="29833" customFormat="false" ht="15" hidden="false" customHeight="true" outlineLevel="0" collapsed="false"/>
    <row r="29834" customFormat="false" ht="15" hidden="false" customHeight="true" outlineLevel="0" collapsed="false"/>
    <row r="29835" customFormat="false" ht="15" hidden="false" customHeight="true" outlineLevel="0" collapsed="false"/>
    <row r="29836" customFormat="false" ht="15" hidden="false" customHeight="true" outlineLevel="0" collapsed="false"/>
    <row r="29837" customFormat="false" ht="15" hidden="false" customHeight="true" outlineLevel="0" collapsed="false"/>
    <row r="29838" customFormat="false" ht="15" hidden="false" customHeight="true" outlineLevel="0" collapsed="false"/>
    <row r="29839" customFormat="false" ht="15" hidden="false" customHeight="true" outlineLevel="0" collapsed="false"/>
    <row r="29840" customFormat="false" ht="15" hidden="false" customHeight="true" outlineLevel="0" collapsed="false"/>
    <row r="29841" customFormat="false" ht="15" hidden="false" customHeight="true" outlineLevel="0" collapsed="false"/>
    <row r="29842" customFormat="false" ht="15" hidden="false" customHeight="true" outlineLevel="0" collapsed="false"/>
    <row r="29843" customFormat="false" ht="15" hidden="false" customHeight="true" outlineLevel="0" collapsed="false"/>
    <row r="29844" customFormat="false" ht="15" hidden="false" customHeight="true" outlineLevel="0" collapsed="false"/>
    <row r="29845" customFormat="false" ht="15" hidden="false" customHeight="true" outlineLevel="0" collapsed="false"/>
    <row r="29846" customFormat="false" ht="15" hidden="false" customHeight="true" outlineLevel="0" collapsed="false"/>
    <row r="29847" customFormat="false" ht="15" hidden="false" customHeight="true" outlineLevel="0" collapsed="false"/>
    <row r="29848" customFormat="false" ht="15" hidden="false" customHeight="true" outlineLevel="0" collapsed="false"/>
    <row r="29849" customFormat="false" ht="15" hidden="false" customHeight="true" outlineLevel="0" collapsed="false"/>
    <row r="29850" customFormat="false" ht="15" hidden="false" customHeight="true" outlineLevel="0" collapsed="false"/>
    <row r="29851" customFormat="false" ht="15" hidden="false" customHeight="true" outlineLevel="0" collapsed="false"/>
    <row r="29852" customFormat="false" ht="15" hidden="false" customHeight="true" outlineLevel="0" collapsed="false"/>
    <row r="29853" customFormat="false" ht="15" hidden="false" customHeight="true" outlineLevel="0" collapsed="false"/>
    <row r="29854" customFormat="false" ht="15" hidden="false" customHeight="true" outlineLevel="0" collapsed="false"/>
    <row r="29855" customFormat="false" ht="15" hidden="false" customHeight="true" outlineLevel="0" collapsed="false"/>
    <row r="29856" customFormat="false" ht="15" hidden="false" customHeight="true" outlineLevel="0" collapsed="false"/>
    <row r="29857" customFormat="false" ht="15" hidden="false" customHeight="true" outlineLevel="0" collapsed="false"/>
    <row r="29858" customFormat="false" ht="15" hidden="false" customHeight="true" outlineLevel="0" collapsed="false"/>
    <row r="29859" customFormat="false" ht="15" hidden="false" customHeight="true" outlineLevel="0" collapsed="false"/>
    <row r="29860" customFormat="false" ht="15" hidden="false" customHeight="true" outlineLevel="0" collapsed="false"/>
    <row r="29861" customFormat="false" ht="15" hidden="false" customHeight="true" outlineLevel="0" collapsed="false"/>
    <row r="29862" customFormat="false" ht="15" hidden="false" customHeight="true" outlineLevel="0" collapsed="false"/>
    <row r="29863" customFormat="false" ht="15" hidden="false" customHeight="true" outlineLevel="0" collapsed="false"/>
    <row r="29864" customFormat="false" ht="15" hidden="false" customHeight="true" outlineLevel="0" collapsed="false"/>
    <row r="29865" customFormat="false" ht="15" hidden="false" customHeight="true" outlineLevel="0" collapsed="false"/>
    <row r="29866" customFormat="false" ht="15" hidden="false" customHeight="true" outlineLevel="0" collapsed="false"/>
    <row r="29867" customFormat="false" ht="15" hidden="false" customHeight="true" outlineLevel="0" collapsed="false"/>
    <row r="29868" customFormat="false" ht="15" hidden="false" customHeight="true" outlineLevel="0" collapsed="false"/>
    <row r="29869" customFormat="false" ht="15" hidden="false" customHeight="true" outlineLevel="0" collapsed="false"/>
    <row r="29870" customFormat="false" ht="15" hidden="false" customHeight="true" outlineLevel="0" collapsed="false"/>
    <row r="29871" customFormat="false" ht="15" hidden="false" customHeight="true" outlineLevel="0" collapsed="false"/>
    <row r="29872" customFormat="false" ht="15" hidden="false" customHeight="true" outlineLevel="0" collapsed="false"/>
    <row r="29873" customFormat="false" ht="15" hidden="false" customHeight="true" outlineLevel="0" collapsed="false"/>
    <row r="29874" customFormat="false" ht="15" hidden="false" customHeight="true" outlineLevel="0" collapsed="false"/>
    <row r="29875" customFormat="false" ht="15" hidden="false" customHeight="true" outlineLevel="0" collapsed="false"/>
    <row r="29876" customFormat="false" ht="15" hidden="false" customHeight="true" outlineLevel="0" collapsed="false"/>
    <row r="29877" customFormat="false" ht="15" hidden="false" customHeight="true" outlineLevel="0" collapsed="false"/>
    <row r="29878" customFormat="false" ht="15" hidden="false" customHeight="true" outlineLevel="0" collapsed="false"/>
    <row r="29879" customFormat="false" ht="15" hidden="false" customHeight="true" outlineLevel="0" collapsed="false"/>
    <row r="29880" customFormat="false" ht="15" hidden="false" customHeight="true" outlineLevel="0" collapsed="false"/>
    <row r="29881" customFormat="false" ht="15" hidden="false" customHeight="true" outlineLevel="0" collapsed="false"/>
    <row r="29882" customFormat="false" ht="15" hidden="false" customHeight="true" outlineLevel="0" collapsed="false"/>
    <row r="29883" customFormat="false" ht="15" hidden="false" customHeight="true" outlineLevel="0" collapsed="false"/>
    <row r="29884" customFormat="false" ht="15" hidden="false" customHeight="true" outlineLevel="0" collapsed="false"/>
    <row r="29885" customFormat="false" ht="15" hidden="false" customHeight="true" outlineLevel="0" collapsed="false"/>
    <row r="29886" customFormat="false" ht="15" hidden="false" customHeight="true" outlineLevel="0" collapsed="false"/>
    <row r="29887" customFormat="false" ht="15" hidden="false" customHeight="true" outlineLevel="0" collapsed="false"/>
    <row r="29888" customFormat="false" ht="15" hidden="false" customHeight="true" outlineLevel="0" collapsed="false"/>
    <row r="29889" customFormat="false" ht="15" hidden="false" customHeight="true" outlineLevel="0" collapsed="false"/>
    <row r="29890" customFormat="false" ht="15" hidden="false" customHeight="true" outlineLevel="0" collapsed="false"/>
    <row r="29891" customFormat="false" ht="15" hidden="false" customHeight="true" outlineLevel="0" collapsed="false"/>
    <row r="29892" customFormat="false" ht="15" hidden="false" customHeight="true" outlineLevel="0" collapsed="false"/>
    <row r="29893" customFormat="false" ht="15" hidden="false" customHeight="true" outlineLevel="0" collapsed="false"/>
    <row r="29894" customFormat="false" ht="15" hidden="false" customHeight="true" outlineLevel="0" collapsed="false"/>
    <row r="29895" customFormat="false" ht="15" hidden="false" customHeight="true" outlineLevel="0" collapsed="false"/>
    <row r="29896" customFormat="false" ht="15" hidden="false" customHeight="true" outlineLevel="0" collapsed="false"/>
    <row r="29897" customFormat="false" ht="15" hidden="false" customHeight="true" outlineLevel="0" collapsed="false"/>
    <row r="29898" customFormat="false" ht="15" hidden="false" customHeight="true" outlineLevel="0" collapsed="false"/>
    <row r="29899" customFormat="false" ht="15" hidden="false" customHeight="true" outlineLevel="0" collapsed="false"/>
    <row r="29900" customFormat="false" ht="15" hidden="false" customHeight="true" outlineLevel="0" collapsed="false"/>
    <row r="29901" customFormat="false" ht="15" hidden="false" customHeight="true" outlineLevel="0" collapsed="false"/>
    <row r="29902" customFormat="false" ht="15" hidden="false" customHeight="true" outlineLevel="0" collapsed="false"/>
    <row r="29903" customFormat="false" ht="15" hidden="false" customHeight="true" outlineLevel="0" collapsed="false"/>
    <row r="29904" customFormat="false" ht="15" hidden="false" customHeight="true" outlineLevel="0" collapsed="false"/>
    <row r="29905" customFormat="false" ht="15" hidden="false" customHeight="true" outlineLevel="0" collapsed="false"/>
    <row r="29906" customFormat="false" ht="15" hidden="false" customHeight="true" outlineLevel="0" collapsed="false"/>
    <row r="29907" customFormat="false" ht="15" hidden="false" customHeight="true" outlineLevel="0" collapsed="false"/>
    <row r="29908" customFormat="false" ht="15" hidden="false" customHeight="true" outlineLevel="0" collapsed="false"/>
    <row r="29909" customFormat="false" ht="15" hidden="false" customHeight="true" outlineLevel="0" collapsed="false"/>
    <row r="29910" customFormat="false" ht="15" hidden="false" customHeight="true" outlineLevel="0" collapsed="false"/>
    <row r="29911" customFormat="false" ht="15" hidden="false" customHeight="true" outlineLevel="0" collapsed="false"/>
    <row r="29912" customFormat="false" ht="15" hidden="false" customHeight="true" outlineLevel="0" collapsed="false"/>
    <row r="29913" customFormat="false" ht="15" hidden="false" customHeight="true" outlineLevel="0" collapsed="false"/>
    <row r="29914" customFormat="false" ht="15" hidden="false" customHeight="true" outlineLevel="0" collapsed="false"/>
    <row r="29915" customFormat="false" ht="15" hidden="false" customHeight="true" outlineLevel="0" collapsed="false"/>
    <row r="29916" customFormat="false" ht="15" hidden="false" customHeight="true" outlineLevel="0" collapsed="false"/>
    <row r="29917" customFormat="false" ht="15" hidden="false" customHeight="true" outlineLevel="0" collapsed="false"/>
    <row r="29918" customFormat="false" ht="15" hidden="false" customHeight="true" outlineLevel="0" collapsed="false"/>
    <row r="29919" customFormat="false" ht="15" hidden="false" customHeight="true" outlineLevel="0" collapsed="false"/>
    <row r="29920" customFormat="false" ht="15" hidden="false" customHeight="true" outlineLevel="0" collapsed="false"/>
    <row r="29921" customFormat="false" ht="15" hidden="false" customHeight="true" outlineLevel="0" collapsed="false"/>
    <row r="29922" customFormat="false" ht="15" hidden="false" customHeight="true" outlineLevel="0" collapsed="false"/>
    <row r="29923" customFormat="false" ht="15" hidden="false" customHeight="true" outlineLevel="0" collapsed="false"/>
    <row r="29924" customFormat="false" ht="15" hidden="false" customHeight="true" outlineLevel="0" collapsed="false"/>
    <row r="29925" customFormat="false" ht="15" hidden="false" customHeight="true" outlineLevel="0" collapsed="false"/>
    <row r="29926" customFormat="false" ht="15" hidden="false" customHeight="true" outlineLevel="0" collapsed="false"/>
    <row r="29927" customFormat="false" ht="15" hidden="false" customHeight="true" outlineLevel="0" collapsed="false"/>
    <row r="29928" customFormat="false" ht="15" hidden="false" customHeight="true" outlineLevel="0" collapsed="false"/>
    <row r="29929" customFormat="false" ht="15" hidden="false" customHeight="true" outlineLevel="0" collapsed="false"/>
    <row r="29930" customFormat="false" ht="15" hidden="false" customHeight="true" outlineLevel="0" collapsed="false"/>
    <row r="29931" customFormat="false" ht="15" hidden="false" customHeight="true" outlineLevel="0" collapsed="false"/>
    <row r="29932" customFormat="false" ht="15" hidden="false" customHeight="true" outlineLevel="0" collapsed="false"/>
    <row r="29933" customFormat="false" ht="15" hidden="false" customHeight="true" outlineLevel="0" collapsed="false"/>
    <row r="29934" customFormat="false" ht="15" hidden="false" customHeight="true" outlineLevel="0" collapsed="false"/>
    <row r="29935" customFormat="false" ht="15" hidden="false" customHeight="true" outlineLevel="0" collapsed="false"/>
    <row r="29936" customFormat="false" ht="15" hidden="false" customHeight="true" outlineLevel="0" collapsed="false"/>
    <row r="29937" customFormat="false" ht="15" hidden="false" customHeight="true" outlineLevel="0" collapsed="false"/>
    <row r="29938" customFormat="false" ht="15" hidden="false" customHeight="true" outlineLevel="0" collapsed="false"/>
    <row r="29939" customFormat="false" ht="15" hidden="false" customHeight="true" outlineLevel="0" collapsed="false"/>
    <row r="29940" customFormat="false" ht="15" hidden="false" customHeight="true" outlineLevel="0" collapsed="false"/>
    <row r="29941" customFormat="false" ht="15" hidden="false" customHeight="true" outlineLevel="0" collapsed="false"/>
    <row r="29942" customFormat="false" ht="15" hidden="false" customHeight="true" outlineLevel="0" collapsed="false"/>
    <row r="29943" customFormat="false" ht="15" hidden="false" customHeight="true" outlineLevel="0" collapsed="false"/>
    <row r="29944" customFormat="false" ht="15" hidden="false" customHeight="true" outlineLevel="0" collapsed="false"/>
    <row r="29945" customFormat="false" ht="15" hidden="false" customHeight="true" outlineLevel="0" collapsed="false"/>
    <row r="29946" customFormat="false" ht="15" hidden="false" customHeight="true" outlineLevel="0" collapsed="false"/>
    <row r="29947" customFormat="false" ht="15" hidden="false" customHeight="true" outlineLevel="0" collapsed="false"/>
    <row r="29948" customFormat="false" ht="15" hidden="false" customHeight="true" outlineLevel="0" collapsed="false"/>
    <row r="29949" customFormat="false" ht="15" hidden="false" customHeight="true" outlineLevel="0" collapsed="false"/>
    <row r="29950" customFormat="false" ht="15" hidden="false" customHeight="true" outlineLevel="0" collapsed="false"/>
    <row r="29951" customFormat="false" ht="15" hidden="false" customHeight="true" outlineLevel="0" collapsed="false"/>
    <row r="29952" customFormat="false" ht="15" hidden="false" customHeight="true" outlineLevel="0" collapsed="false"/>
    <row r="29953" customFormat="false" ht="15" hidden="false" customHeight="true" outlineLevel="0" collapsed="false"/>
    <row r="29954" customFormat="false" ht="15" hidden="false" customHeight="true" outlineLevel="0" collapsed="false"/>
    <row r="29955" customFormat="false" ht="15" hidden="false" customHeight="true" outlineLevel="0" collapsed="false"/>
    <row r="29956" customFormat="false" ht="15" hidden="false" customHeight="true" outlineLevel="0" collapsed="false"/>
    <row r="29957" customFormat="false" ht="15" hidden="false" customHeight="true" outlineLevel="0" collapsed="false"/>
    <row r="29958" customFormat="false" ht="15" hidden="false" customHeight="true" outlineLevel="0" collapsed="false"/>
    <row r="29959" customFormat="false" ht="15" hidden="false" customHeight="true" outlineLevel="0" collapsed="false"/>
    <row r="29960" customFormat="false" ht="15" hidden="false" customHeight="true" outlineLevel="0" collapsed="false"/>
    <row r="29961" customFormat="false" ht="15" hidden="false" customHeight="true" outlineLevel="0" collapsed="false"/>
    <row r="29962" customFormat="false" ht="15" hidden="false" customHeight="true" outlineLevel="0" collapsed="false"/>
    <row r="29963" customFormat="false" ht="15" hidden="false" customHeight="true" outlineLevel="0" collapsed="false"/>
    <row r="29964" customFormat="false" ht="15" hidden="false" customHeight="true" outlineLevel="0" collapsed="false"/>
    <row r="29965" customFormat="false" ht="15" hidden="false" customHeight="true" outlineLevel="0" collapsed="false"/>
    <row r="29966" customFormat="false" ht="15" hidden="false" customHeight="true" outlineLevel="0" collapsed="false"/>
    <row r="29967" customFormat="false" ht="15" hidden="false" customHeight="true" outlineLevel="0" collapsed="false"/>
    <row r="29968" customFormat="false" ht="15" hidden="false" customHeight="true" outlineLevel="0" collapsed="false"/>
    <row r="29969" customFormat="false" ht="15" hidden="false" customHeight="true" outlineLevel="0" collapsed="false"/>
    <row r="29970" customFormat="false" ht="15" hidden="false" customHeight="true" outlineLevel="0" collapsed="false"/>
    <row r="29971" customFormat="false" ht="15" hidden="false" customHeight="true" outlineLevel="0" collapsed="false"/>
    <row r="29972" customFormat="false" ht="15" hidden="false" customHeight="true" outlineLevel="0" collapsed="false"/>
    <row r="29973" customFormat="false" ht="15" hidden="false" customHeight="true" outlineLevel="0" collapsed="false"/>
    <row r="29974" customFormat="false" ht="15" hidden="false" customHeight="true" outlineLevel="0" collapsed="false"/>
    <row r="29975" customFormat="false" ht="15" hidden="false" customHeight="true" outlineLevel="0" collapsed="false"/>
    <row r="29976" customFormat="false" ht="15" hidden="false" customHeight="true" outlineLevel="0" collapsed="false"/>
    <row r="29977" customFormat="false" ht="15" hidden="false" customHeight="true" outlineLevel="0" collapsed="false"/>
    <row r="29978" customFormat="false" ht="15" hidden="false" customHeight="true" outlineLevel="0" collapsed="false"/>
    <row r="29979" customFormat="false" ht="15" hidden="false" customHeight="true" outlineLevel="0" collapsed="false"/>
    <row r="29980" customFormat="false" ht="15" hidden="false" customHeight="true" outlineLevel="0" collapsed="false"/>
    <row r="29981" customFormat="false" ht="15" hidden="false" customHeight="true" outlineLevel="0" collapsed="false"/>
    <row r="29982" customFormat="false" ht="15" hidden="false" customHeight="true" outlineLevel="0" collapsed="false"/>
    <row r="29983" customFormat="false" ht="15" hidden="false" customHeight="true" outlineLevel="0" collapsed="false"/>
    <row r="29984" customFormat="false" ht="15" hidden="false" customHeight="true" outlineLevel="0" collapsed="false"/>
    <row r="29985" customFormat="false" ht="15" hidden="false" customHeight="true" outlineLevel="0" collapsed="false"/>
    <row r="29986" customFormat="false" ht="15" hidden="false" customHeight="true" outlineLevel="0" collapsed="false"/>
    <row r="29987" customFormat="false" ht="15" hidden="false" customHeight="true" outlineLevel="0" collapsed="false"/>
    <row r="29988" customFormat="false" ht="15" hidden="false" customHeight="true" outlineLevel="0" collapsed="false"/>
    <row r="29989" customFormat="false" ht="15" hidden="false" customHeight="true" outlineLevel="0" collapsed="false"/>
    <row r="29990" customFormat="false" ht="15" hidden="false" customHeight="true" outlineLevel="0" collapsed="false"/>
    <row r="29991" customFormat="false" ht="15" hidden="false" customHeight="true" outlineLevel="0" collapsed="false"/>
    <row r="29992" customFormat="false" ht="15" hidden="false" customHeight="true" outlineLevel="0" collapsed="false"/>
    <row r="29993" customFormat="false" ht="15" hidden="false" customHeight="true" outlineLevel="0" collapsed="false"/>
    <row r="29994" customFormat="false" ht="15" hidden="false" customHeight="true" outlineLevel="0" collapsed="false"/>
    <row r="29995" customFormat="false" ht="15" hidden="false" customHeight="true" outlineLevel="0" collapsed="false"/>
    <row r="29996" customFormat="false" ht="15" hidden="false" customHeight="true" outlineLevel="0" collapsed="false"/>
    <row r="29997" customFormat="false" ht="15" hidden="false" customHeight="true" outlineLevel="0" collapsed="false"/>
    <row r="29998" customFormat="false" ht="15" hidden="false" customHeight="true" outlineLevel="0" collapsed="false"/>
    <row r="29999" customFormat="false" ht="15" hidden="false" customHeight="true" outlineLevel="0" collapsed="false"/>
    <row r="30000" customFormat="false" ht="15" hidden="false" customHeight="true" outlineLevel="0" collapsed="false"/>
    <row r="30001" customFormat="false" ht="15" hidden="false" customHeight="true" outlineLevel="0" collapsed="false"/>
    <row r="30002" customFormat="false" ht="15" hidden="false" customHeight="true" outlineLevel="0" collapsed="false"/>
    <row r="30003" customFormat="false" ht="15" hidden="false" customHeight="true" outlineLevel="0" collapsed="false"/>
    <row r="30004" customFormat="false" ht="15" hidden="false" customHeight="true" outlineLevel="0" collapsed="false"/>
    <row r="30005" customFormat="false" ht="15" hidden="false" customHeight="true" outlineLevel="0" collapsed="false"/>
    <row r="30006" customFormat="false" ht="15" hidden="false" customHeight="true" outlineLevel="0" collapsed="false"/>
    <row r="30007" customFormat="false" ht="15" hidden="false" customHeight="true" outlineLevel="0" collapsed="false"/>
    <row r="30008" customFormat="false" ht="15" hidden="false" customHeight="true" outlineLevel="0" collapsed="false"/>
    <row r="30009" customFormat="false" ht="15" hidden="false" customHeight="true" outlineLevel="0" collapsed="false"/>
    <row r="30010" customFormat="false" ht="15" hidden="false" customHeight="true" outlineLevel="0" collapsed="false"/>
    <row r="30011" customFormat="false" ht="15" hidden="false" customHeight="true" outlineLevel="0" collapsed="false"/>
    <row r="30012" customFormat="false" ht="15" hidden="false" customHeight="true" outlineLevel="0" collapsed="false"/>
    <row r="30013" customFormat="false" ht="15" hidden="false" customHeight="true" outlineLevel="0" collapsed="false"/>
    <row r="30014" customFormat="false" ht="15" hidden="false" customHeight="true" outlineLevel="0" collapsed="false"/>
    <row r="30015" customFormat="false" ht="15" hidden="false" customHeight="true" outlineLevel="0" collapsed="false"/>
    <row r="30016" customFormat="false" ht="15" hidden="false" customHeight="true" outlineLevel="0" collapsed="false"/>
    <row r="30017" customFormat="false" ht="15" hidden="false" customHeight="true" outlineLevel="0" collapsed="false"/>
    <row r="30018" customFormat="false" ht="15" hidden="false" customHeight="true" outlineLevel="0" collapsed="false"/>
    <row r="30019" customFormat="false" ht="15" hidden="false" customHeight="true" outlineLevel="0" collapsed="false"/>
    <row r="30020" customFormat="false" ht="15" hidden="false" customHeight="true" outlineLevel="0" collapsed="false"/>
    <row r="30021" customFormat="false" ht="15" hidden="false" customHeight="true" outlineLevel="0" collapsed="false"/>
    <row r="30022" customFormat="false" ht="15" hidden="false" customHeight="true" outlineLevel="0" collapsed="false"/>
    <row r="30023" customFormat="false" ht="15" hidden="false" customHeight="true" outlineLevel="0" collapsed="false"/>
    <row r="30024" customFormat="false" ht="15" hidden="false" customHeight="true" outlineLevel="0" collapsed="false"/>
    <row r="30025" customFormat="false" ht="15" hidden="false" customHeight="true" outlineLevel="0" collapsed="false"/>
    <row r="30026" customFormat="false" ht="15" hidden="false" customHeight="true" outlineLevel="0" collapsed="false"/>
    <row r="30027" customFormat="false" ht="15" hidden="false" customHeight="true" outlineLevel="0" collapsed="false"/>
    <row r="30028" customFormat="false" ht="15" hidden="false" customHeight="true" outlineLevel="0" collapsed="false"/>
    <row r="30029" customFormat="false" ht="15" hidden="false" customHeight="true" outlineLevel="0" collapsed="false"/>
    <row r="30030" customFormat="false" ht="15" hidden="false" customHeight="true" outlineLevel="0" collapsed="false"/>
    <row r="30031" customFormat="false" ht="15" hidden="false" customHeight="true" outlineLevel="0" collapsed="false"/>
    <row r="30032" customFormat="false" ht="15" hidden="false" customHeight="true" outlineLevel="0" collapsed="false"/>
    <row r="30033" customFormat="false" ht="15" hidden="false" customHeight="true" outlineLevel="0" collapsed="false"/>
    <row r="30034" customFormat="false" ht="15" hidden="false" customHeight="true" outlineLevel="0" collapsed="false"/>
    <row r="30035" customFormat="false" ht="15" hidden="false" customHeight="true" outlineLevel="0" collapsed="false"/>
    <row r="30036" customFormat="false" ht="15" hidden="false" customHeight="true" outlineLevel="0" collapsed="false"/>
    <row r="30037" customFormat="false" ht="15" hidden="false" customHeight="true" outlineLevel="0" collapsed="false"/>
    <row r="30038" customFormat="false" ht="15" hidden="false" customHeight="true" outlineLevel="0" collapsed="false"/>
    <row r="30039" customFormat="false" ht="15" hidden="false" customHeight="true" outlineLevel="0" collapsed="false"/>
    <row r="30040" customFormat="false" ht="15" hidden="false" customHeight="true" outlineLevel="0" collapsed="false"/>
    <row r="30041" customFormat="false" ht="15" hidden="false" customHeight="true" outlineLevel="0" collapsed="false"/>
    <row r="30042" customFormat="false" ht="15" hidden="false" customHeight="true" outlineLevel="0" collapsed="false"/>
    <row r="30043" customFormat="false" ht="15" hidden="false" customHeight="true" outlineLevel="0" collapsed="false"/>
    <row r="30044" customFormat="false" ht="15" hidden="false" customHeight="true" outlineLevel="0" collapsed="false"/>
    <row r="30045" customFormat="false" ht="15" hidden="false" customHeight="true" outlineLevel="0" collapsed="false"/>
    <row r="30046" customFormat="false" ht="15" hidden="false" customHeight="true" outlineLevel="0" collapsed="false"/>
    <row r="30047" customFormat="false" ht="15" hidden="false" customHeight="true" outlineLevel="0" collapsed="false"/>
    <row r="30048" customFormat="false" ht="15" hidden="false" customHeight="true" outlineLevel="0" collapsed="false"/>
    <row r="30049" customFormat="false" ht="15" hidden="false" customHeight="true" outlineLevel="0" collapsed="false"/>
    <row r="30050" customFormat="false" ht="15" hidden="false" customHeight="true" outlineLevel="0" collapsed="false"/>
    <row r="30051" customFormat="false" ht="15" hidden="false" customHeight="true" outlineLevel="0" collapsed="false"/>
    <row r="30052" customFormat="false" ht="15" hidden="false" customHeight="true" outlineLevel="0" collapsed="false"/>
    <row r="30053" customFormat="false" ht="15" hidden="false" customHeight="true" outlineLevel="0" collapsed="false"/>
    <row r="30054" customFormat="false" ht="15" hidden="false" customHeight="true" outlineLevel="0" collapsed="false"/>
    <row r="30055" customFormat="false" ht="15" hidden="false" customHeight="true" outlineLevel="0" collapsed="false"/>
    <row r="30056" customFormat="false" ht="15" hidden="false" customHeight="true" outlineLevel="0" collapsed="false"/>
    <row r="30057" customFormat="false" ht="15" hidden="false" customHeight="true" outlineLevel="0" collapsed="false"/>
    <row r="30058" customFormat="false" ht="15" hidden="false" customHeight="true" outlineLevel="0" collapsed="false"/>
    <row r="30059" customFormat="false" ht="15" hidden="false" customHeight="true" outlineLevel="0" collapsed="false"/>
    <row r="30060" customFormat="false" ht="15" hidden="false" customHeight="true" outlineLevel="0" collapsed="false"/>
    <row r="30061" customFormat="false" ht="15" hidden="false" customHeight="true" outlineLevel="0" collapsed="false"/>
    <row r="30062" customFormat="false" ht="15" hidden="false" customHeight="true" outlineLevel="0" collapsed="false"/>
    <row r="30063" customFormat="false" ht="15" hidden="false" customHeight="true" outlineLevel="0" collapsed="false"/>
    <row r="30064" customFormat="false" ht="15" hidden="false" customHeight="true" outlineLevel="0" collapsed="false"/>
    <row r="30065" customFormat="false" ht="15" hidden="false" customHeight="true" outlineLevel="0" collapsed="false"/>
    <row r="30066" customFormat="false" ht="15" hidden="false" customHeight="true" outlineLevel="0" collapsed="false"/>
    <row r="30067" customFormat="false" ht="15" hidden="false" customHeight="true" outlineLevel="0" collapsed="false"/>
    <row r="30068" customFormat="false" ht="15" hidden="false" customHeight="true" outlineLevel="0" collapsed="false"/>
    <row r="30069" customFormat="false" ht="15" hidden="false" customHeight="true" outlineLevel="0" collapsed="false"/>
    <row r="30070" customFormat="false" ht="15" hidden="false" customHeight="true" outlineLevel="0" collapsed="false"/>
    <row r="30071" customFormat="false" ht="15" hidden="false" customHeight="true" outlineLevel="0" collapsed="false"/>
    <row r="30072" customFormat="false" ht="15" hidden="false" customHeight="true" outlineLevel="0" collapsed="false"/>
    <row r="30073" customFormat="false" ht="15" hidden="false" customHeight="true" outlineLevel="0" collapsed="false"/>
    <row r="30074" customFormat="false" ht="15" hidden="false" customHeight="true" outlineLevel="0" collapsed="false"/>
    <row r="30075" customFormat="false" ht="15" hidden="false" customHeight="true" outlineLevel="0" collapsed="false"/>
    <row r="30076" customFormat="false" ht="15" hidden="false" customHeight="true" outlineLevel="0" collapsed="false"/>
    <row r="30077" customFormat="false" ht="15" hidden="false" customHeight="true" outlineLevel="0" collapsed="false"/>
    <row r="30078" customFormat="false" ht="15" hidden="false" customHeight="true" outlineLevel="0" collapsed="false"/>
    <row r="30079" customFormat="false" ht="15" hidden="false" customHeight="true" outlineLevel="0" collapsed="false"/>
    <row r="30080" customFormat="false" ht="15" hidden="false" customHeight="true" outlineLevel="0" collapsed="false"/>
    <row r="30081" customFormat="false" ht="15" hidden="false" customHeight="true" outlineLevel="0" collapsed="false"/>
    <row r="30082" customFormat="false" ht="15" hidden="false" customHeight="true" outlineLevel="0" collapsed="false"/>
    <row r="30083" customFormat="false" ht="15" hidden="false" customHeight="true" outlineLevel="0" collapsed="false"/>
    <row r="30084" customFormat="false" ht="15" hidden="false" customHeight="true" outlineLevel="0" collapsed="false"/>
    <row r="30085" customFormat="false" ht="15" hidden="false" customHeight="true" outlineLevel="0" collapsed="false"/>
    <row r="30086" customFormat="false" ht="15" hidden="false" customHeight="true" outlineLevel="0" collapsed="false"/>
    <row r="30087" customFormat="false" ht="15" hidden="false" customHeight="true" outlineLevel="0" collapsed="false"/>
    <row r="30088" customFormat="false" ht="15" hidden="false" customHeight="true" outlineLevel="0" collapsed="false"/>
    <row r="30089" customFormat="false" ht="15" hidden="false" customHeight="true" outlineLevel="0" collapsed="false"/>
    <row r="30090" customFormat="false" ht="15" hidden="false" customHeight="true" outlineLevel="0" collapsed="false"/>
    <row r="30091" customFormat="false" ht="15" hidden="false" customHeight="true" outlineLevel="0" collapsed="false"/>
    <row r="30092" customFormat="false" ht="15" hidden="false" customHeight="true" outlineLevel="0" collapsed="false"/>
    <row r="30093" customFormat="false" ht="15" hidden="false" customHeight="true" outlineLevel="0" collapsed="false"/>
    <row r="30094" customFormat="false" ht="15" hidden="false" customHeight="true" outlineLevel="0" collapsed="false"/>
    <row r="30095" customFormat="false" ht="15" hidden="false" customHeight="true" outlineLevel="0" collapsed="false"/>
    <row r="30096" customFormat="false" ht="15" hidden="false" customHeight="true" outlineLevel="0" collapsed="false"/>
    <row r="30097" customFormat="false" ht="15" hidden="false" customHeight="true" outlineLevel="0" collapsed="false"/>
    <row r="30098" customFormat="false" ht="15" hidden="false" customHeight="true" outlineLevel="0" collapsed="false"/>
    <row r="30099" customFormat="false" ht="15" hidden="false" customHeight="true" outlineLevel="0" collapsed="false"/>
    <row r="30100" customFormat="false" ht="15" hidden="false" customHeight="true" outlineLevel="0" collapsed="false"/>
    <row r="30101" customFormat="false" ht="15" hidden="false" customHeight="true" outlineLevel="0" collapsed="false"/>
    <row r="30102" customFormat="false" ht="15" hidden="false" customHeight="true" outlineLevel="0" collapsed="false"/>
    <row r="30103" customFormat="false" ht="15" hidden="false" customHeight="true" outlineLevel="0" collapsed="false"/>
    <row r="30104" customFormat="false" ht="15" hidden="false" customHeight="true" outlineLevel="0" collapsed="false"/>
    <row r="30105" customFormat="false" ht="15" hidden="false" customHeight="true" outlineLevel="0" collapsed="false"/>
    <row r="30106" customFormat="false" ht="15" hidden="false" customHeight="true" outlineLevel="0" collapsed="false"/>
    <row r="30107" customFormat="false" ht="15" hidden="false" customHeight="true" outlineLevel="0" collapsed="false"/>
    <row r="30108" customFormat="false" ht="15" hidden="false" customHeight="true" outlineLevel="0" collapsed="false"/>
    <row r="30109" customFormat="false" ht="15" hidden="false" customHeight="true" outlineLevel="0" collapsed="false"/>
    <row r="30110" customFormat="false" ht="15" hidden="false" customHeight="true" outlineLevel="0" collapsed="false"/>
    <row r="30111" customFormat="false" ht="15" hidden="false" customHeight="true" outlineLevel="0" collapsed="false"/>
    <row r="30112" customFormat="false" ht="15" hidden="false" customHeight="true" outlineLevel="0" collapsed="false"/>
    <row r="30113" customFormat="false" ht="15" hidden="false" customHeight="true" outlineLevel="0" collapsed="false"/>
    <row r="30114" customFormat="false" ht="15" hidden="false" customHeight="true" outlineLevel="0" collapsed="false"/>
    <row r="30115" customFormat="false" ht="15" hidden="false" customHeight="true" outlineLevel="0" collapsed="false"/>
    <row r="30116" customFormat="false" ht="15" hidden="false" customHeight="true" outlineLevel="0" collapsed="false"/>
    <row r="30117" customFormat="false" ht="15" hidden="false" customHeight="true" outlineLevel="0" collapsed="false"/>
    <row r="30118" customFormat="false" ht="15" hidden="false" customHeight="true" outlineLevel="0" collapsed="false"/>
    <row r="30119" customFormat="false" ht="15" hidden="false" customHeight="true" outlineLevel="0" collapsed="false"/>
    <row r="30120" customFormat="false" ht="15" hidden="false" customHeight="true" outlineLevel="0" collapsed="false"/>
    <row r="30121" customFormat="false" ht="15" hidden="false" customHeight="true" outlineLevel="0" collapsed="false"/>
    <row r="30122" customFormat="false" ht="15" hidden="false" customHeight="true" outlineLevel="0" collapsed="false"/>
    <row r="30123" customFormat="false" ht="15" hidden="false" customHeight="true" outlineLevel="0" collapsed="false"/>
    <row r="30124" customFormat="false" ht="15" hidden="false" customHeight="true" outlineLevel="0" collapsed="false"/>
    <row r="30125" customFormat="false" ht="15" hidden="false" customHeight="true" outlineLevel="0" collapsed="false"/>
    <row r="30126" customFormat="false" ht="15" hidden="false" customHeight="true" outlineLevel="0" collapsed="false"/>
    <row r="30127" customFormat="false" ht="15" hidden="false" customHeight="true" outlineLevel="0" collapsed="false"/>
    <row r="30128" customFormat="false" ht="15" hidden="false" customHeight="true" outlineLevel="0" collapsed="false"/>
    <row r="30129" customFormat="false" ht="15" hidden="false" customHeight="true" outlineLevel="0" collapsed="false"/>
    <row r="30130" customFormat="false" ht="15" hidden="false" customHeight="true" outlineLevel="0" collapsed="false"/>
    <row r="30131" customFormat="false" ht="15" hidden="false" customHeight="true" outlineLevel="0" collapsed="false"/>
    <row r="30132" customFormat="false" ht="15" hidden="false" customHeight="true" outlineLevel="0" collapsed="false"/>
    <row r="30133" customFormat="false" ht="15" hidden="false" customHeight="true" outlineLevel="0" collapsed="false"/>
    <row r="30134" customFormat="false" ht="15" hidden="false" customHeight="true" outlineLevel="0" collapsed="false"/>
    <row r="30135" customFormat="false" ht="15" hidden="false" customHeight="true" outlineLevel="0" collapsed="false"/>
    <row r="30136" customFormat="false" ht="15" hidden="false" customHeight="true" outlineLevel="0" collapsed="false"/>
    <row r="30137" customFormat="false" ht="15" hidden="false" customHeight="true" outlineLevel="0" collapsed="false"/>
    <row r="30138" customFormat="false" ht="15" hidden="false" customHeight="true" outlineLevel="0" collapsed="false"/>
    <row r="30139" customFormat="false" ht="15" hidden="false" customHeight="true" outlineLevel="0" collapsed="false"/>
    <row r="30140" customFormat="false" ht="15" hidden="false" customHeight="true" outlineLevel="0" collapsed="false"/>
    <row r="30141" customFormat="false" ht="15" hidden="false" customHeight="true" outlineLevel="0" collapsed="false"/>
    <row r="30142" customFormat="false" ht="15" hidden="false" customHeight="true" outlineLevel="0" collapsed="false"/>
    <row r="30143" customFormat="false" ht="15" hidden="false" customHeight="true" outlineLevel="0" collapsed="false"/>
    <row r="30144" customFormat="false" ht="15" hidden="false" customHeight="true" outlineLevel="0" collapsed="false"/>
    <row r="30145" customFormat="false" ht="15" hidden="false" customHeight="true" outlineLevel="0" collapsed="false"/>
    <row r="30146" customFormat="false" ht="15" hidden="false" customHeight="true" outlineLevel="0" collapsed="false"/>
    <row r="30147" customFormat="false" ht="15" hidden="false" customHeight="true" outlineLevel="0" collapsed="false"/>
    <row r="30148" customFormat="false" ht="15" hidden="false" customHeight="true" outlineLevel="0" collapsed="false"/>
    <row r="30149" customFormat="false" ht="15" hidden="false" customHeight="true" outlineLevel="0" collapsed="false"/>
    <row r="30150" customFormat="false" ht="15" hidden="false" customHeight="true" outlineLevel="0" collapsed="false"/>
    <row r="30151" customFormat="false" ht="15" hidden="false" customHeight="true" outlineLevel="0" collapsed="false"/>
    <row r="30152" customFormat="false" ht="15" hidden="false" customHeight="true" outlineLevel="0" collapsed="false"/>
    <row r="30153" customFormat="false" ht="15" hidden="false" customHeight="true" outlineLevel="0" collapsed="false"/>
    <row r="30154" customFormat="false" ht="15" hidden="false" customHeight="true" outlineLevel="0" collapsed="false"/>
    <row r="30155" customFormat="false" ht="15" hidden="false" customHeight="true" outlineLevel="0" collapsed="false"/>
    <row r="30156" customFormat="false" ht="15" hidden="false" customHeight="true" outlineLevel="0" collapsed="false"/>
    <row r="30157" customFormat="false" ht="15" hidden="false" customHeight="true" outlineLevel="0" collapsed="false"/>
    <row r="30158" customFormat="false" ht="15" hidden="false" customHeight="true" outlineLevel="0" collapsed="false"/>
    <row r="30159" customFormat="false" ht="15" hidden="false" customHeight="true" outlineLevel="0" collapsed="false"/>
    <row r="30160" customFormat="false" ht="15" hidden="false" customHeight="true" outlineLevel="0" collapsed="false"/>
    <row r="30161" customFormat="false" ht="15" hidden="false" customHeight="true" outlineLevel="0" collapsed="false"/>
    <row r="30162" customFormat="false" ht="15" hidden="false" customHeight="true" outlineLevel="0" collapsed="false"/>
    <row r="30163" customFormat="false" ht="15" hidden="false" customHeight="true" outlineLevel="0" collapsed="false"/>
    <row r="30164" customFormat="false" ht="15" hidden="false" customHeight="true" outlineLevel="0" collapsed="false"/>
    <row r="30165" customFormat="false" ht="15" hidden="false" customHeight="true" outlineLevel="0" collapsed="false"/>
    <row r="30166" customFormat="false" ht="15" hidden="false" customHeight="true" outlineLevel="0" collapsed="false"/>
    <row r="30167" customFormat="false" ht="15" hidden="false" customHeight="true" outlineLevel="0" collapsed="false"/>
    <row r="30168" customFormat="false" ht="15" hidden="false" customHeight="true" outlineLevel="0" collapsed="false"/>
    <row r="30169" customFormat="false" ht="15" hidden="false" customHeight="true" outlineLevel="0" collapsed="false"/>
    <row r="30170" customFormat="false" ht="15" hidden="false" customHeight="true" outlineLevel="0" collapsed="false"/>
    <row r="30171" customFormat="false" ht="15" hidden="false" customHeight="true" outlineLevel="0" collapsed="false"/>
    <row r="30172" customFormat="false" ht="15" hidden="false" customHeight="true" outlineLevel="0" collapsed="false"/>
    <row r="30173" customFormat="false" ht="15" hidden="false" customHeight="true" outlineLevel="0" collapsed="false"/>
    <row r="30174" customFormat="false" ht="15" hidden="false" customHeight="true" outlineLevel="0" collapsed="false"/>
    <row r="30175" customFormat="false" ht="15" hidden="false" customHeight="true" outlineLevel="0" collapsed="false"/>
    <row r="30176" customFormat="false" ht="15" hidden="false" customHeight="true" outlineLevel="0" collapsed="false"/>
    <row r="30177" customFormat="false" ht="15" hidden="false" customHeight="true" outlineLevel="0" collapsed="false"/>
    <row r="30178" customFormat="false" ht="15" hidden="false" customHeight="true" outlineLevel="0" collapsed="false"/>
    <row r="30179" customFormat="false" ht="15" hidden="false" customHeight="true" outlineLevel="0" collapsed="false"/>
    <row r="30180" customFormat="false" ht="15" hidden="false" customHeight="true" outlineLevel="0" collapsed="false"/>
    <row r="30181" customFormat="false" ht="15" hidden="false" customHeight="true" outlineLevel="0" collapsed="false"/>
    <row r="30182" customFormat="false" ht="15" hidden="false" customHeight="true" outlineLevel="0" collapsed="false"/>
    <row r="30183" customFormat="false" ht="15" hidden="false" customHeight="true" outlineLevel="0" collapsed="false"/>
    <row r="30184" customFormat="false" ht="15" hidden="false" customHeight="true" outlineLevel="0" collapsed="false"/>
    <row r="30185" customFormat="false" ht="15" hidden="false" customHeight="true" outlineLevel="0" collapsed="false"/>
    <row r="30186" customFormat="false" ht="15" hidden="false" customHeight="true" outlineLevel="0" collapsed="false"/>
    <row r="30187" customFormat="false" ht="15" hidden="false" customHeight="true" outlineLevel="0" collapsed="false"/>
    <row r="30188" customFormat="false" ht="15" hidden="false" customHeight="true" outlineLevel="0" collapsed="false"/>
    <row r="30189" customFormat="false" ht="15" hidden="false" customHeight="true" outlineLevel="0" collapsed="false"/>
    <row r="30190" customFormat="false" ht="15" hidden="false" customHeight="true" outlineLevel="0" collapsed="false"/>
    <row r="30191" customFormat="false" ht="15" hidden="false" customHeight="true" outlineLevel="0" collapsed="false"/>
    <row r="30192" customFormat="false" ht="15" hidden="false" customHeight="true" outlineLevel="0" collapsed="false"/>
    <row r="30193" customFormat="false" ht="15" hidden="false" customHeight="true" outlineLevel="0" collapsed="false"/>
    <row r="30194" customFormat="false" ht="15" hidden="false" customHeight="true" outlineLevel="0" collapsed="false"/>
    <row r="30195" customFormat="false" ht="15" hidden="false" customHeight="true" outlineLevel="0" collapsed="false"/>
    <row r="30196" customFormat="false" ht="15" hidden="false" customHeight="true" outlineLevel="0" collapsed="false"/>
    <row r="30197" customFormat="false" ht="15" hidden="false" customHeight="true" outlineLevel="0" collapsed="false"/>
    <row r="30198" customFormat="false" ht="15" hidden="false" customHeight="true" outlineLevel="0" collapsed="false"/>
    <row r="30199" customFormat="false" ht="15" hidden="false" customHeight="true" outlineLevel="0" collapsed="false"/>
    <row r="30200" customFormat="false" ht="15" hidden="false" customHeight="true" outlineLevel="0" collapsed="false"/>
    <row r="30201" customFormat="false" ht="15" hidden="false" customHeight="true" outlineLevel="0" collapsed="false"/>
    <row r="30202" customFormat="false" ht="15" hidden="false" customHeight="true" outlineLevel="0" collapsed="false"/>
    <row r="30203" customFormat="false" ht="15" hidden="false" customHeight="true" outlineLevel="0" collapsed="false"/>
    <row r="30204" customFormat="false" ht="15" hidden="false" customHeight="true" outlineLevel="0" collapsed="false"/>
    <row r="30205" customFormat="false" ht="15" hidden="false" customHeight="true" outlineLevel="0" collapsed="false"/>
    <row r="30206" customFormat="false" ht="15" hidden="false" customHeight="true" outlineLevel="0" collapsed="false"/>
    <row r="30207" customFormat="false" ht="15" hidden="false" customHeight="true" outlineLevel="0" collapsed="false"/>
    <row r="30208" customFormat="false" ht="15" hidden="false" customHeight="true" outlineLevel="0" collapsed="false"/>
    <row r="30209" customFormat="false" ht="15" hidden="false" customHeight="true" outlineLevel="0" collapsed="false"/>
    <row r="30210" customFormat="false" ht="15" hidden="false" customHeight="true" outlineLevel="0" collapsed="false"/>
    <row r="30211" customFormat="false" ht="15" hidden="false" customHeight="true" outlineLevel="0" collapsed="false"/>
    <row r="30212" customFormat="false" ht="15" hidden="false" customHeight="true" outlineLevel="0" collapsed="false"/>
    <row r="30213" customFormat="false" ht="15" hidden="false" customHeight="true" outlineLevel="0" collapsed="false"/>
    <row r="30214" customFormat="false" ht="15" hidden="false" customHeight="true" outlineLevel="0" collapsed="false"/>
    <row r="30215" customFormat="false" ht="15" hidden="false" customHeight="true" outlineLevel="0" collapsed="false"/>
    <row r="30216" customFormat="false" ht="15" hidden="false" customHeight="true" outlineLevel="0" collapsed="false"/>
    <row r="30217" customFormat="false" ht="15" hidden="false" customHeight="true" outlineLevel="0" collapsed="false"/>
    <row r="30218" customFormat="false" ht="15" hidden="false" customHeight="true" outlineLevel="0" collapsed="false"/>
    <row r="30219" customFormat="false" ht="15" hidden="false" customHeight="true" outlineLevel="0" collapsed="false"/>
    <row r="30220" customFormat="false" ht="15" hidden="false" customHeight="true" outlineLevel="0" collapsed="false"/>
    <row r="30221" customFormat="false" ht="15" hidden="false" customHeight="true" outlineLevel="0" collapsed="false"/>
    <row r="30222" customFormat="false" ht="15" hidden="false" customHeight="true" outlineLevel="0" collapsed="false"/>
    <row r="30223" customFormat="false" ht="15" hidden="false" customHeight="true" outlineLevel="0" collapsed="false"/>
    <row r="30224" customFormat="false" ht="15" hidden="false" customHeight="true" outlineLevel="0" collapsed="false"/>
    <row r="30225" customFormat="false" ht="15" hidden="false" customHeight="true" outlineLevel="0" collapsed="false"/>
    <row r="30226" customFormat="false" ht="15" hidden="false" customHeight="true" outlineLevel="0" collapsed="false"/>
    <row r="30227" customFormat="false" ht="15" hidden="false" customHeight="true" outlineLevel="0" collapsed="false"/>
    <row r="30228" customFormat="false" ht="15" hidden="false" customHeight="true" outlineLevel="0" collapsed="false"/>
    <row r="30229" customFormat="false" ht="15" hidden="false" customHeight="true" outlineLevel="0" collapsed="false"/>
    <row r="30230" customFormat="false" ht="15" hidden="false" customHeight="true" outlineLevel="0" collapsed="false"/>
    <row r="30231" customFormat="false" ht="15" hidden="false" customHeight="true" outlineLevel="0" collapsed="false"/>
    <row r="30232" customFormat="false" ht="15" hidden="false" customHeight="true" outlineLevel="0" collapsed="false"/>
    <row r="30233" customFormat="false" ht="15" hidden="false" customHeight="true" outlineLevel="0" collapsed="false"/>
    <row r="30234" customFormat="false" ht="15" hidden="false" customHeight="true" outlineLevel="0" collapsed="false"/>
    <row r="30235" customFormat="false" ht="15" hidden="false" customHeight="true" outlineLevel="0" collapsed="false"/>
    <row r="30236" customFormat="false" ht="15" hidden="false" customHeight="true" outlineLevel="0" collapsed="false"/>
    <row r="30237" customFormat="false" ht="15" hidden="false" customHeight="true" outlineLevel="0" collapsed="false"/>
    <row r="30238" customFormat="false" ht="15" hidden="false" customHeight="true" outlineLevel="0" collapsed="false"/>
    <row r="30239" customFormat="false" ht="15" hidden="false" customHeight="true" outlineLevel="0" collapsed="false"/>
    <row r="30240" customFormat="false" ht="15" hidden="false" customHeight="true" outlineLevel="0" collapsed="false"/>
    <row r="30241" customFormat="false" ht="15" hidden="false" customHeight="true" outlineLevel="0" collapsed="false"/>
    <row r="30242" customFormat="false" ht="15" hidden="false" customHeight="true" outlineLevel="0" collapsed="false"/>
    <row r="30243" customFormat="false" ht="15" hidden="false" customHeight="true" outlineLevel="0" collapsed="false"/>
    <row r="30244" customFormat="false" ht="15" hidden="false" customHeight="true" outlineLevel="0" collapsed="false"/>
    <row r="30245" customFormat="false" ht="15" hidden="false" customHeight="true" outlineLevel="0" collapsed="false"/>
    <row r="30246" customFormat="false" ht="15" hidden="false" customHeight="true" outlineLevel="0" collapsed="false"/>
    <row r="30247" customFormat="false" ht="15" hidden="false" customHeight="true" outlineLevel="0" collapsed="false"/>
    <row r="30248" customFormat="false" ht="15" hidden="false" customHeight="true" outlineLevel="0" collapsed="false"/>
    <row r="30249" customFormat="false" ht="15" hidden="false" customHeight="true" outlineLevel="0" collapsed="false"/>
    <row r="30250" customFormat="false" ht="15" hidden="false" customHeight="true" outlineLevel="0" collapsed="false"/>
    <row r="30251" customFormat="false" ht="15" hidden="false" customHeight="true" outlineLevel="0" collapsed="false"/>
    <row r="30252" customFormat="false" ht="15" hidden="false" customHeight="true" outlineLevel="0" collapsed="false"/>
    <row r="30253" customFormat="false" ht="15" hidden="false" customHeight="true" outlineLevel="0" collapsed="false"/>
    <row r="30254" customFormat="false" ht="15" hidden="false" customHeight="true" outlineLevel="0" collapsed="false"/>
    <row r="30255" customFormat="false" ht="15" hidden="false" customHeight="true" outlineLevel="0" collapsed="false"/>
    <row r="30256" customFormat="false" ht="15" hidden="false" customHeight="true" outlineLevel="0" collapsed="false"/>
    <row r="30257" customFormat="false" ht="15" hidden="false" customHeight="true" outlineLevel="0" collapsed="false"/>
    <row r="30258" customFormat="false" ht="15" hidden="false" customHeight="true" outlineLevel="0" collapsed="false"/>
    <row r="30259" customFormat="false" ht="15" hidden="false" customHeight="true" outlineLevel="0" collapsed="false"/>
    <row r="30260" customFormat="false" ht="15" hidden="false" customHeight="true" outlineLevel="0" collapsed="false"/>
    <row r="30261" customFormat="false" ht="15" hidden="false" customHeight="true" outlineLevel="0" collapsed="false"/>
    <row r="30262" customFormat="false" ht="15" hidden="false" customHeight="true" outlineLevel="0" collapsed="false"/>
    <row r="30263" customFormat="false" ht="15" hidden="false" customHeight="true" outlineLevel="0" collapsed="false"/>
    <row r="30264" customFormat="false" ht="15" hidden="false" customHeight="true" outlineLevel="0" collapsed="false"/>
    <row r="30265" customFormat="false" ht="15" hidden="false" customHeight="true" outlineLevel="0" collapsed="false"/>
    <row r="30266" customFormat="false" ht="15" hidden="false" customHeight="true" outlineLevel="0" collapsed="false"/>
    <row r="30267" customFormat="false" ht="15" hidden="false" customHeight="true" outlineLevel="0" collapsed="false"/>
    <row r="30268" customFormat="false" ht="15" hidden="false" customHeight="true" outlineLevel="0" collapsed="false"/>
    <row r="30269" customFormat="false" ht="15" hidden="false" customHeight="true" outlineLevel="0" collapsed="false"/>
    <row r="30270" customFormat="false" ht="15" hidden="false" customHeight="true" outlineLevel="0" collapsed="false"/>
    <row r="30271" customFormat="false" ht="15" hidden="false" customHeight="true" outlineLevel="0" collapsed="false"/>
    <row r="30272" customFormat="false" ht="15" hidden="false" customHeight="true" outlineLevel="0" collapsed="false"/>
    <row r="30273" customFormat="false" ht="15" hidden="false" customHeight="true" outlineLevel="0" collapsed="false"/>
    <row r="30274" customFormat="false" ht="15" hidden="false" customHeight="true" outlineLevel="0" collapsed="false"/>
    <row r="30275" customFormat="false" ht="15" hidden="false" customHeight="true" outlineLevel="0" collapsed="false"/>
    <row r="30276" customFormat="false" ht="15" hidden="false" customHeight="true" outlineLevel="0" collapsed="false"/>
    <row r="30277" customFormat="false" ht="15" hidden="false" customHeight="true" outlineLevel="0" collapsed="false"/>
    <row r="30278" customFormat="false" ht="15" hidden="false" customHeight="true" outlineLevel="0" collapsed="false"/>
    <row r="30279" customFormat="false" ht="15" hidden="false" customHeight="true" outlineLevel="0" collapsed="false"/>
    <row r="30280" customFormat="false" ht="15" hidden="false" customHeight="true" outlineLevel="0" collapsed="false"/>
    <row r="30281" customFormat="false" ht="15" hidden="false" customHeight="true" outlineLevel="0" collapsed="false"/>
    <row r="30282" customFormat="false" ht="15" hidden="false" customHeight="true" outlineLevel="0" collapsed="false"/>
    <row r="30283" customFormat="false" ht="15" hidden="false" customHeight="true" outlineLevel="0" collapsed="false"/>
    <row r="30284" customFormat="false" ht="15" hidden="false" customHeight="true" outlineLevel="0" collapsed="false"/>
    <row r="30285" customFormat="false" ht="15" hidden="false" customHeight="true" outlineLevel="0" collapsed="false"/>
    <row r="30286" customFormat="false" ht="15" hidden="false" customHeight="true" outlineLevel="0" collapsed="false"/>
    <row r="30287" customFormat="false" ht="15" hidden="false" customHeight="true" outlineLevel="0" collapsed="false"/>
    <row r="30288" customFormat="false" ht="15" hidden="false" customHeight="true" outlineLevel="0" collapsed="false"/>
    <row r="30289" customFormat="false" ht="15" hidden="false" customHeight="true" outlineLevel="0" collapsed="false"/>
    <row r="30290" customFormat="false" ht="15" hidden="false" customHeight="true" outlineLevel="0" collapsed="false"/>
    <row r="30291" customFormat="false" ht="15" hidden="false" customHeight="true" outlineLevel="0" collapsed="false"/>
    <row r="30292" customFormat="false" ht="15" hidden="false" customHeight="true" outlineLevel="0" collapsed="false"/>
    <row r="30293" customFormat="false" ht="15" hidden="false" customHeight="true" outlineLevel="0" collapsed="false"/>
    <row r="30294" customFormat="false" ht="15" hidden="false" customHeight="true" outlineLevel="0" collapsed="false"/>
    <row r="30295" customFormat="false" ht="15" hidden="false" customHeight="true" outlineLevel="0" collapsed="false"/>
    <row r="30296" customFormat="false" ht="15" hidden="false" customHeight="true" outlineLevel="0" collapsed="false"/>
    <row r="30297" customFormat="false" ht="15" hidden="false" customHeight="true" outlineLevel="0" collapsed="false"/>
    <row r="30298" customFormat="false" ht="15" hidden="false" customHeight="true" outlineLevel="0" collapsed="false"/>
    <row r="30299" customFormat="false" ht="15" hidden="false" customHeight="true" outlineLevel="0" collapsed="false"/>
    <row r="30300" customFormat="false" ht="15" hidden="false" customHeight="true" outlineLevel="0" collapsed="false"/>
    <row r="30301" customFormat="false" ht="15" hidden="false" customHeight="true" outlineLevel="0" collapsed="false"/>
    <row r="30302" customFormat="false" ht="15" hidden="false" customHeight="true" outlineLevel="0" collapsed="false"/>
    <row r="30303" customFormat="false" ht="15" hidden="false" customHeight="true" outlineLevel="0" collapsed="false"/>
    <row r="30304" customFormat="false" ht="15" hidden="false" customHeight="true" outlineLevel="0" collapsed="false"/>
    <row r="30305" customFormat="false" ht="15" hidden="false" customHeight="true" outlineLevel="0" collapsed="false"/>
    <row r="30306" customFormat="false" ht="15" hidden="false" customHeight="true" outlineLevel="0" collapsed="false"/>
    <row r="30307" customFormat="false" ht="15" hidden="false" customHeight="true" outlineLevel="0" collapsed="false"/>
    <row r="30308" customFormat="false" ht="15" hidden="false" customHeight="true" outlineLevel="0" collapsed="false"/>
    <row r="30309" customFormat="false" ht="15" hidden="false" customHeight="true" outlineLevel="0" collapsed="false"/>
    <row r="30310" customFormat="false" ht="15" hidden="false" customHeight="true" outlineLevel="0" collapsed="false"/>
    <row r="30311" customFormat="false" ht="15" hidden="false" customHeight="true" outlineLevel="0" collapsed="false"/>
    <row r="30312" customFormat="false" ht="15" hidden="false" customHeight="true" outlineLevel="0" collapsed="false"/>
    <row r="30313" customFormat="false" ht="15" hidden="false" customHeight="true" outlineLevel="0" collapsed="false"/>
    <row r="30314" customFormat="false" ht="15" hidden="false" customHeight="true" outlineLevel="0" collapsed="false"/>
    <row r="30315" customFormat="false" ht="15" hidden="false" customHeight="true" outlineLevel="0" collapsed="false"/>
    <row r="30316" customFormat="false" ht="15" hidden="false" customHeight="true" outlineLevel="0" collapsed="false"/>
    <row r="30317" customFormat="false" ht="15" hidden="false" customHeight="true" outlineLevel="0" collapsed="false"/>
    <row r="30318" customFormat="false" ht="15" hidden="false" customHeight="true" outlineLevel="0" collapsed="false"/>
    <row r="30319" customFormat="false" ht="15" hidden="false" customHeight="true" outlineLevel="0" collapsed="false"/>
    <row r="30320" customFormat="false" ht="15" hidden="false" customHeight="true" outlineLevel="0" collapsed="false"/>
    <row r="30321" customFormat="false" ht="15" hidden="false" customHeight="true" outlineLevel="0" collapsed="false"/>
    <row r="30322" customFormat="false" ht="15" hidden="false" customHeight="true" outlineLevel="0" collapsed="false"/>
    <row r="30323" customFormat="false" ht="15" hidden="false" customHeight="true" outlineLevel="0" collapsed="false"/>
    <row r="30324" customFormat="false" ht="15" hidden="false" customHeight="true" outlineLevel="0" collapsed="false"/>
    <row r="30325" customFormat="false" ht="15" hidden="false" customHeight="true" outlineLevel="0" collapsed="false"/>
    <row r="30326" customFormat="false" ht="15" hidden="false" customHeight="true" outlineLevel="0" collapsed="false"/>
    <row r="30327" customFormat="false" ht="15" hidden="false" customHeight="true" outlineLevel="0" collapsed="false"/>
    <row r="30328" customFormat="false" ht="15" hidden="false" customHeight="true" outlineLevel="0" collapsed="false"/>
    <row r="30329" customFormat="false" ht="15" hidden="false" customHeight="true" outlineLevel="0" collapsed="false"/>
    <row r="30330" customFormat="false" ht="15" hidden="false" customHeight="true" outlineLevel="0" collapsed="false"/>
    <row r="30331" customFormat="false" ht="15" hidden="false" customHeight="true" outlineLevel="0" collapsed="false"/>
    <row r="30332" customFormat="false" ht="15" hidden="false" customHeight="true" outlineLevel="0" collapsed="false"/>
    <row r="30333" customFormat="false" ht="15" hidden="false" customHeight="true" outlineLevel="0" collapsed="false"/>
    <row r="30334" customFormat="false" ht="15" hidden="false" customHeight="true" outlineLevel="0" collapsed="false"/>
    <row r="30335" customFormat="false" ht="15" hidden="false" customHeight="true" outlineLevel="0" collapsed="false"/>
    <row r="30336" customFormat="false" ht="15" hidden="false" customHeight="true" outlineLevel="0" collapsed="false"/>
    <row r="30337" customFormat="false" ht="15" hidden="false" customHeight="true" outlineLevel="0" collapsed="false"/>
    <row r="30338" customFormat="false" ht="15" hidden="false" customHeight="true" outlineLevel="0" collapsed="false"/>
    <row r="30339" customFormat="false" ht="15" hidden="false" customHeight="true" outlineLevel="0" collapsed="false"/>
    <row r="30340" customFormat="false" ht="15" hidden="false" customHeight="true" outlineLevel="0" collapsed="false"/>
    <row r="30341" customFormat="false" ht="15" hidden="false" customHeight="true" outlineLevel="0" collapsed="false"/>
    <row r="30342" customFormat="false" ht="15" hidden="false" customHeight="true" outlineLevel="0" collapsed="false"/>
    <row r="30343" customFormat="false" ht="15" hidden="false" customHeight="true" outlineLevel="0" collapsed="false"/>
    <row r="30344" customFormat="false" ht="15" hidden="false" customHeight="true" outlineLevel="0" collapsed="false"/>
    <row r="30345" customFormat="false" ht="15" hidden="false" customHeight="true" outlineLevel="0" collapsed="false"/>
    <row r="30346" customFormat="false" ht="15" hidden="false" customHeight="true" outlineLevel="0" collapsed="false"/>
    <row r="30347" customFormat="false" ht="15" hidden="false" customHeight="true" outlineLevel="0" collapsed="false"/>
    <row r="30348" customFormat="false" ht="15" hidden="false" customHeight="true" outlineLevel="0" collapsed="false"/>
    <row r="30349" customFormat="false" ht="15" hidden="false" customHeight="true" outlineLevel="0" collapsed="false"/>
    <row r="30350" customFormat="false" ht="15" hidden="false" customHeight="true" outlineLevel="0" collapsed="false"/>
    <row r="30351" customFormat="false" ht="15" hidden="false" customHeight="true" outlineLevel="0" collapsed="false"/>
    <row r="30352" customFormat="false" ht="15" hidden="false" customHeight="true" outlineLevel="0" collapsed="false"/>
    <row r="30353" customFormat="false" ht="15" hidden="false" customHeight="true" outlineLevel="0" collapsed="false"/>
    <row r="30354" customFormat="false" ht="15" hidden="false" customHeight="true" outlineLevel="0" collapsed="false"/>
    <row r="30355" customFormat="false" ht="15" hidden="false" customHeight="true" outlineLevel="0" collapsed="false"/>
    <row r="30356" customFormat="false" ht="15" hidden="false" customHeight="true" outlineLevel="0" collapsed="false"/>
    <row r="30357" customFormat="false" ht="15" hidden="false" customHeight="true" outlineLevel="0" collapsed="false"/>
    <row r="30358" customFormat="false" ht="15" hidden="false" customHeight="true" outlineLevel="0" collapsed="false"/>
    <row r="30359" customFormat="false" ht="15" hidden="false" customHeight="true" outlineLevel="0" collapsed="false"/>
    <row r="30360" customFormat="false" ht="15" hidden="false" customHeight="true" outlineLevel="0" collapsed="false"/>
    <row r="30361" customFormat="false" ht="15" hidden="false" customHeight="true" outlineLevel="0" collapsed="false"/>
    <row r="30362" customFormat="false" ht="15" hidden="false" customHeight="true" outlineLevel="0" collapsed="false"/>
    <row r="30363" customFormat="false" ht="15" hidden="false" customHeight="true" outlineLevel="0" collapsed="false"/>
    <row r="30364" customFormat="false" ht="15" hidden="false" customHeight="true" outlineLevel="0" collapsed="false"/>
    <row r="30365" customFormat="false" ht="15" hidden="false" customHeight="true" outlineLevel="0" collapsed="false"/>
    <row r="30366" customFormat="false" ht="15" hidden="false" customHeight="true" outlineLevel="0" collapsed="false"/>
    <row r="30367" customFormat="false" ht="15" hidden="false" customHeight="true" outlineLevel="0" collapsed="false"/>
    <row r="30368" customFormat="false" ht="15" hidden="false" customHeight="true" outlineLevel="0" collapsed="false"/>
    <row r="30369" customFormat="false" ht="15" hidden="false" customHeight="true" outlineLevel="0" collapsed="false"/>
    <row r="30370" customFormat="false" ht="15" hidden="false" customHeight="true" outlineLevel="0" collapsed="false"/>
    <row r="30371" customFormat="false" ht="15" hidden="false" customHeight="true" outlineLevel="0" collapsed="false"/>
    <row r="30372" customFormat="false" ht="15" hidden="false" customHeight="true" outlineLevel="0" collapsed="false"/>
    <row r="30373" customFormat="false" ht="15" hidden="false" customHeight="true" outlineLevel="0" collapsed="false"/>
    <row r="30374" customFormat="false" ht="15" hidden="false" customHeight="true" outlineLevel="0" collapsed="false"/>
    <row r="30375" customFormat="false" ht="15" hidden="false" customHeight="true" outlineLevel="0" collapsed="false"/>
    <row r="30376" customFormat="false" ht="15" hidden="false" customHeight="true" outlineLevel="0" collapsed="false"/>
    <row r="30377" customFormat="false" ht="15" hidden="false" customHeight="true" outlineLevel="0" collapsed="false"/>
    <row r="30378" customFormat="false" ht="15" hidden="false" customHeight="true" outlineLevel="0" collapsed="false"/>
    <row r="30379" customFormat="false" ht="15" hidden="false" customHeight="true" outlineLevel="0" collapsed="false"/>
    <row r="30380" customFormat="false" ht="15" hidden="false" customHeight="true" outlineLevel="0" collapsed="false"/>
    <row r="30381" customFormat="false" ht="15" hidden="false" customHeight="true" outlineLevel="0" collapsed="false"/>
    <row r="30382" customFormat="false" ht="15" hidden="false" customHeight="true" outlineLevel="0" collapsed="false"/>
    <row r="30383" customFormat="false" ht="15" hidden="false" customHeight="true" outlineLevel="0" collapsed="false"/>
    <row r="30384" customFormat="false" ht="15" hidden="false" customHeight="true" outlineLevel="0" collapsed="false"/>
    <row r="30385" customFormat="false" ht="15" hidden="false" customHeight="true" outlineLevel="0" collapsed="false"/>
    <row r="30386" customFormat="false" ht="15" hidden="false" customHeight="true" outlineLevel="0" collapsed="false"/>
    <row r="30387" customFormat="false" ht="15" hidden="false" customHeight="true" outlineLevel="0" collapsed="false"/>
    <row r="30388" customFormat="false" ht="15" hidden="false" customHeight="true" outlineLevel="0" collapsed="false"/>
    <row r="30389" customFormat="false" ht="15" hidden="false" customHeight="true" outlineLevel="0" collapsed="false"/>
    <row r="30390" customFormat="false" ht="15" hidden="false" customHeight="true" outlineLevel="0" collapsed="false"/>
    <row r="30391" customFormat="false" ht="15" hidden="false" customHeight="true" outlineLevel="0" collapsed="false"/>
    <row r="30392" customFormat="false" ht="15" hidden="false" customHeight="true" outlineLevel="0" collapsed="false"/>
    <row r="30393" customFormat="false" ht="15" hidden="false" customHeight="true" outlineLevel="0" collapsed="false"/>
    <row r="30394" customFormat="false" ht="15" hidden="false" customHeight="true" outlineLevel="0" collapsed="false"/>
    <row r="30395" customFormat="false" ht="15" hidden="false" customHeight="true" outlineLevel="0" collapsed="false"/>
    <row r="30396" customFormat="false" ht="15" hidden="false" customHeight="true" outlineLevel="0" collapsed="false"/>
    <row r="30397" customFormat="false" ht="15" hidden="false" customHeight="true" outlineLevel="0" collapsed="false"/>
    <row r="30398" customFormat="false" ht="15" hidden="false" customHeight="true" outlineLevel="0" collapsed="false"/>
    <row r="30399" customFormat="false" ht="15" hidden="false" customHeight="true" outlineLevel="0" collapsed="false"/>
    <row r="30400" customFormat="false" ht="15" hidden="false" customHeight="true" outlineLevel="0" collapsed="false"/>
    <row r="30401" customFormat="false" ht="15" hidden="false" customHeight="true" outlineLevel="0" collapsed="false"/>
    <row r="30402" customFormat="false" ht="15" hidden="false" customHeight="true" outlineLevel="0" collapsed="false"/>
    <row r="30403" customFormat="false" ht="15" hidden="false" customHeight="true" outlineLevel="0" collapsed="false"/>
    <row r="30404" customFormat="false" ht="15" hidden="false" customHeight="true" outlineLevel="0" collapsed="false"/>
    <row r="30405" customFormat="false" ht="15" hidden="false" customHeight="true" outlineLevel="0" collapsed="false"/>
    <row r="30406" customFormat="false" ht="15" hidden="false" customHeight="true" outlineLevel="0" collapsed="false"/>
    <row r="30407" customFormat="false" ht="15" hidden="false" customHeight="true" outlineLevel="0" collapsed="false"/>
    <row r="30408" customFormat="false" ht="15" hidden="false" customHeight="true" outlineLevel="0" collapsed="false"/>
    <row r="30409" customFormat="false" ht="15" hidden="false" customHeight="true" outlineLevel="0" collapsed="false"/>
    <row r="30410" customFormat="false" ht="15" hidden="false" customHeight="true" outlineLevel="0" collapsed="false"/>
    <row r="30411" customFormat="false" ht="15" hidden="false" customHeight="true" outlineLevel="0" collapsed="false"/>
    <row r="30412" customFormat="false" ht="15" hidden="false" customHeight="true" outlineLevel="0" collapsed="false"/>
    <row r="30413" customFormat="false" ht="15" hidden="false" customHeight="true" outlineLevel="0" collapsed="false"/>
    <row r="30414" customFormat="false" ht="15" hidden="false" customHeight="true" outlineLevel="0" collapsed="false"/>
    <row r="30415" customFormat="false" ht="15" hidden="false" customHeight="true" outlineLevel="0" collapsed="false"/>
    <row r="30416" customFormat="false" ht="15" hidden="false" customHeight="true" outlineLevel="0" collapsed="false"/>
    <row r="30417" customFormat="false" ht="15" hidden="false" customHeight="true" outlineLevel="0" collapsed="false"/>
    <row r="30418" customFormat="false" ht="15" hidden="false" customHeight="true" outlineLevel="0" collapsed="false"/>
    <row r="30419" customFormat="false" ht="15" hidden="false" customHeight="true" outlineLevel="0" collapsed="false"/>
    <row r="30420" customFormat="false" ht="15" hidden="false" customHeight="true" outlineLevel="0" collapsed="false"/>
    <row r="30421" customFormat="false" ht="15" hidden="false" customHeight="true" outlineLevel="0" collapsed="false"/>
    <row r="30422" customFormat="false" ht="15" hidden="false" customHeight="true" outlineLevel="0" collapsed="false"/>
    <row r="30423" customFormat="false" ht="15" hidden="false" customHeight="true" outlineLevel="0" collapsed="false"/>
    <row r="30424" customFormat="false" ht="15" hidden="false" customHeight="true" outlineLevel="0" collapsed="false"/>
    <row r="30425" customFormat="false" ht="15" hidden="false" customHeight="true" outlineLevel="0" collapsed="false"/>
    <row r="30426" customFormat="false" ht="15" hidden="false" customHeight="true" outlineLevel="0" collapsed="false"/>
    <row r="30427" customFormat="false" ht="15" hidden="false" customHeight="true" outlineLevel="0" collapsed="false"/>
    <row r="30428" customFormat="false" ht="15" hidden="false" customHeight="true" outlineLevel="0" collapsed="false"/>
    <row r="30429" customFormat="false" ht="15" hidden="false" customHeight="true" outlineLevel="0" collapsed="false"/>
    <row r="30430" customFormat="false" ht="15" hidden="false" customHeight="true" outlineLevel="0" collapsed="false"/>
    <row r="30431" customFormat="false" ht="15" hidden="false" customHeight="true" outlineLevel="0" collapsed="false"/>
    <row r="30432" customFormat="false" ht="15" hidden="false" customHeight="true" outlineLevel="0" collapsed="false"/>
    <row r="30433" customFormat="false" ht="15" hidden="false" customHeight="true" outlineLevel="0" collapsed="false"/>
    <row r="30434" customFormat="false" ht="15" hidden="false" customHeight="true" outlineLevel="0" collapsed="false"/>
    <row r="30435" customFormat="false" ht="15" hidden="false" customHeight="true" outlineLevel="0" collapsed="false"/>
    <row r="30436" customFormat="false" ht="15" hidden="false" customHeight="true" outlineLevel="0" collapsed="false"/>
    <row r="30437" customFormat="false" ht="15" hidden="false" customHeight="true" outlineLevel="0" collapsed="false"/>
    <row r="30438" customFormat="false" ht="15" hidden="false" customHeight="true" outlineLevel="0" collapsed="false"/>
    <row r="30439" customFormat="false" ht="15" hidden="false" customHeight="true" outlineLevel="0" collapsed="false"/>
    <row r="30440" customFormat="false" ht="15" hidden="false" customHeight="true" outlineLevel="0" collapsed="false"/>
    <row r="30441" customFormat="false" ht="15" hidden="false" customHeight="true" outlineLevel="0" collapsed="false"/>
    <row r="30442" customFormat="false" ht="15" hidden="false" customHeight="true" outlineLevel="0" collapsed="false"/>
    <row r="30443" customFormat="false" ht="15" hidden="false" customHeight="true" outlineLevel="0" collapsed="false"/>
    <row r="30444" customFormat="false" ht="15" hidden="false" customHeight="true" outlineLevel="0" collapsed="false"/>
    <row r="30445" customFormat="false" ht="15" hidden="false" customHeight="true" outlineLevel="0" collapsed="false"/>
    <row r="30446" customFormat="false" ht="15" hidden="false" customHeight="true" outlineLevel="0" collapsed="false"/>
    <row r="30447" customFormat="false" ht="15" hidden="false" customHeight="true" outlineLevel="0" collapsed="false"/>
    <row r="30448" customFormat="false" ht="15" hidden="false" customHeight="true" outlineLevel="0" collapsed="false"/>
    <row r="30449" customFormat="false" ht="15" hidden="false" customHeight="true" outlineLevel="0" collapsed="false"/>
    <row r="30450" customFormat="false" ht="15" hidden="false" customHeight="true" outlineLevel="0" collapsed="false"/>
    <row r="30451" customFormat="false" ht="15" hidden="false" customHeight="true" outlineLevel="0" collapsed="false"/>
    <row r="30452" customFormat="false" ht="15" hidden="false" customHeight="true" outlineLevel="0" collapsed="false"/>
    <row r="30453" customFormat="false" ht="15" hidden="false" customHeight="true" outlineLevel="0" collapsed="false"/>
    <row r="30454" customFormat="false" ht="15" hidden="false" customHeight="true" outlineLevel="0" collapsed="false"/>
    <row r="30455" customFormat="false" ht="15" hidden="false" customHeight="true" outlineLevel="0" collapsed="false"/>
    <row r="30456" customFormat="false" ht="15" hidden="false" customHeight="true" outlineLevel="0" collapsed="false"/>
    <row r="30457" customFormat="false" ht="15" hidden="false" customHeight="true" outlineLevel="0" collapsed="false"/>
    <row r="30458" customFormat="false" ht="15" hidden="false" customHeight="true" outlineLevel="0" collapsed="false"/>
    <row r="30459" customFormat="false" ht="15" hidden="false" customHeight="true" outlineLevel="0" collapsed="false"/>
    <row r="30460" customFormat="false" ht="15" hidden="false" customHeight="true" outlineLevel="0" collapsed="false"/>
    <row r="30461" customFormat="false" ht="15" hidden="false" customHeight="true" outlineLevel="0" collapsed="false"/>
    <row r="30462" customFormat="false" ht="15" hidden="false" customHeight="true" outlineLevel="0" collapsed="false"/>
    <row r="30463" customFormat="false" ht="15" hidden="false" customHeight="true" outlineLevel="0" collapsed="false"/>
    <row r="30464" customFormat="false" ht="15" hidden="false" customHeight="true" outlineLevel="0" collapsed="false"/>
    <row r="30465" customFormat="false" ht="15" hidden="false" customHeight="true" outlineLevel="0" collapsed="false"/>
    <row r="30466" customFormat="false" ht="15" hidden="false" customHeight="true" outlineLevel="0" collapsed="false"/>
    <row r="30467" customFormat="false" ht="15" hidden="false" customHeight="true" outlineLevel="0" collapsed="false"/>
    <row r="30468" customFormat="false" ht="15" hidden="false" customHeight="true" outlineLevel="0" collapsed="false"/>
    <row r="30469" customFormat="false" ht="15" hidden="false" customHeight="true" outlineLevel="0" collapsed="false"/>
    <row r="30470" customFormat="false" ht="15" hidden="false" customHeight="true" outlineLevel="0" collapsed="false"/>
    <row r="30471" customFormat="false" ht="15" hidden="false" customHeight="true" outlineLevel="0" collapsed="false"/>
    <row r="30472" customFormat="false" ht="15" hidden="false" customHeight="true" outlineLevel="0" collapsed="false"/>
    <row r="30473" customFormat="false" ht="15" hidden="false" customHeight="true" outlineLevel="0" collapsed="false"/>
    <row r="30474" customFormat="false" ht="15" hidden="false" customHeight="true" outlineLevel="0" collapsed="false"/>
    <row r="30475" customFormat="false" ht="15" hidden="false" customHeight="true" outlineLevel="0" collapsed="false"/>
    <row r="30476" customFormat="false" ht="15" hidden="false" customHeight="true" outlineLevel="0" collapsed="false"/>
    <row r="30477" customFormat="false" ht="15" hidden="false" customHeight="true" outlineLevel="0" collapsed="false"/>
    <row r="30478" customFormat="false" ht="15" hidden="false" customHeight="true" outlineLevel="0" collapsed="false"/>
    <row r="30479" customFormat="false" ht="15" hidden="false" customHeight="true" outlineLevel="0" collapsed="false"/>
    <row r="30480" customFormat="false" ht="15" hidden="false" customHeight="true" outlineLevel="0" collapsed="false"/>
    <row r="30481" customFormat="false" ht="15" hidden="false" customHeight="true" outlineLevel="0" collapsed="false"/>
    <row r="30482" customFormat="false" ht="15" hidden="false" customHeight="true" outlineLevel="0" collapsed="false"/>
    <row r="30483" customFormat="false" ht="15" hidden="false" customHeight="true" outlineLevel="0" collapsed="false"/>
    <row r="30484" customFormat="false" ht="15" hidden="false" customHeight="true" outlineLevel="0" collapsed="false"/>
    <row r="30485" customFormat="false" ht="15" hidden="false" customHeight="true" outlineLevel="0" collapsed="false"/>
    <row r="30486" customFormat="false" ht="15" hidden="false" customHeight="true" outlineLevel="0" collapsed="false"/>
    <row r="30487" customFormat="false" ht="15" hidden="false" customHeight="true" outlineLevel="0" collapsed="false"/>
    <row r="30488" customFormat="false" ht="15" hidden="false" customHeight="true" outlineLevel="0" collapsed="false"/>
    <row r="30489" customFormat="false" ht="15" hidden="false" customHeight="true" outlineLevel="0" collapsed="false"/>
    <row r="30490" customFormat="false" ht="15" hidden="false" customHeight="true" outlineLevel="0" collapsed="false"/>
    <row r="30491" customFormat="false" ht="15" hidden="false" customHeight="true" outlineLevel="0" collapsed="false"/>
    <row r="30492" customFormat="false" ht="15" hidden="false" customHeight="true" outlineLevel="0" collapsed="false"/>
    <row r="30493" customFormat="false" ht="15" hidden="false" customHeight="true" outlineLevel="0" collapsed="false"/>
    <row r="30494" customFormat="false" ht="15" hidden="false" customHeight="true" outlineLevel="0" collapsed="false"/>
    <row r="30495" customFormat="false" ht="15" hidden="false" customHeight="true" outlineLevel="0" collapsed="false"/>
    <row r="30496" customFormat="false" ht="15" hidden="false" customHeight="true" outlineLevel="0" collapsed="false"/>
    <row r="30497" customFormat="false" ht="15" hidden="false" customHeight="true" outlineLevel="0" collapsed="false"/>
    <row r="30498" customFormat="false" ht="15" hidden="false" customHeight="true" outlineLevel="0" collapsed="false"/>
    <row r="30499" customFormat="false" ht="15" hidden="false" customHeight="true" outlineLevel="0" collapsed="false"/>
    <row r="30500" customFormat="false" ht="15" hidden="false" customHeight="true" outlineLevel="0" collapsed="false"/>
    <row r="30501" customFormat="false" ht="15" hidden="false" customHeight="true" outlineLevel="0" collapsed="false"/>
    <row r="30502" customFormat="false" ht="15" hidden="false" customHeight="true" outlineLevel="0" collapsed="false"/>
    <row r="30503" customFormat="false" ht="15" hidden="false" customHeight="true" outlineLevel="0" collapsed="false"/>
    <row r="30504" customFormat="false" ht="15" hidden="false" customHeight="true" outlineLevel="0" collapsed="false"/>
    <row r="30505" customFormat="false" ht="15" hidden="false" customHeight="true" outlineLevel="0" collapsed="false"/>
    <row r="30506" customFormat="false" ht="15" hidden="false" customHeight="true" outlineLevel="0" collapsed="false"/>
    <row r="30507" customFormat="false" ht="15" hidden="false" customHeight="true" outlineLevel="0" collapsed="false"/>
    <row r="30508" customFormat="false" ht="15" hidden="false" customHeight="true" outlineLevel="0" collapsed="false"/>
    <row r="30509" customFormat="false" ht="15" hidden="false" customHeight="true" outlineLevel="0" collapsed="false"/>
    <row r="30510" customFormat="false" ht="15" hidden="false" customHeight="true" outlineLevel="0" collapsed="false"/>
    <row r="30511" customFormat="false" ht="15" hidden="false" customHeight="true" outlineLevel="0" collapsed="false"/>
    <row r="30512" customFormat="false" ht="15" hidden="false" customHeight="true" outlineLevel="0" collapsed="false"/>
    <row r="30513" customFormat="false" ht="15" hidden="false" customHeight="true" outlineLevel="0" collapsed="false"/>
    <row r="30514" customFormat="false" ht="15" hidden="false" customHeight="true" outlineLevel="0" collapsed="false"/>
    <row r="30515" customFormat="false" ht="15" hidden="false" customHeight="true" outlineLevel="0" collapsed="false"/>
    <row r="30516" customFormat="false" ht="15" hidden="false" customHeight="true" outlineLevel="0" collapsed="false"/>
    <row r="30517" customFormat="false" ht="15" hidden="false" customHeight="true" outlineLevel="0" collapsed="false"/>
    <row r="30518" customFormat="false" ht="15" hidden="false" customHeight="true" outlineLevel="0" collapsed="false"/>
    <row r="30519" customFormat="false" ht="15" hidden="false" customHeight="true" outlineLevel="0" collapsed="false"/>
    <row r="30520" customFormat="false" ht="15" hidden="false" customHeight="true" outlineLevel="0" collapsed="false"/>
    <row r="30521" customFormat="false" ht="15" hidden="false" customHeight="true" outlineLevel="0" collapsed="false"/>
    <row r="30522" customFormat="false" ht="15" hidden="false" customHeight="true" outlineLevel="0" collapsed="false"/>
    <row r="30523" customFormat="false" ht="15" hidden="false" customHeight="true" outlineLevel="0" collapsed="false"/>
    <row r="30524" customFormat="false" ht="15" hidden="false" customHeight="true" outlineLevel="0" collapsed="false"/>
    <row r="30525" customFormat="false" ht="15" hidden="false" customHeight="true" outlineLevel="0" collapsed="false"/>
    <row r="30526" customFormat="false" ht="15" hidden="false" customHeight="true" outlineLevel="0" collapsed="false"/>
    <row r="30527" customFormat="false" ht="15" hidden="false" customHeight="true" outlineLevel="0" collapsed="false"/>
    <row r="30528" customFormat="false" ht="15" hidden="false" customHeight="true" outlineLevel="0" collapsed="false"/>
    <row r="30529" customFormat="false" ht="15" hidden="false" customHeight="true" outlineLevel="0" collapsed="false"/>
    <row r="30530" customFormat="false" ht="15" hidden="false" customHeight="true" outlineLevel="0" collapsed="false"/>
    <row r="30531" customFormat="false" ht="15" hidden="false" customHeight="true" outlineLevel="0" collapsed="false"/>
    <row r="30532" customFormat="false" ht="15" hidden="false" customHeight="true" outlineLevel="0" collapsed="false"/>
    <row r="30533" customFormat="false" ht="15" hidden="false" customHeight="true" outlineLevel="0" collapsed="false"/>
    <row r="30534" customFormat="false" ht="15" hidden="false" customHeight="true" outlineLevel="0" collapsed="false"/>
    <row r="30535" customFormat="false" ht="15" hidden="false" customHeight="true" outlineLevel="0" collapsed="false"/>
    <row r="30536" customFormat="false" ht="15" hidden="false" customHeight="true" outlineLevel="0" collapsed="false"/>
    <row r="30537" customFormat="false" ht="15" hidden="false" customHeight="true" outlineLevel="0" collapsed="false"/>
    <row r="30538" customFormat="false" ht="15" hidden="false" customHeight="true" outlineLevel="0" collapsed="false"/>
    <row r="30539" customFormat="false" ht="15" hidden="false" customHeight="true" outlineLevel="0" collapsed="false"/>
    <row r="30540" customFormat="false" ht="15" hidden="false" customHeight="true" outlineLevel="0" collapsed="false"/>
    <row r="30541" customFormat="false" ht="15" hidden="false" customHeight="true" outlineLevel="0" collapsed="false"/>
    <row r="30542" customFormat="false" ht="15" hidden="false" customHeight="true" outlineLevel="0" collapsed="false"/>
    <row r="30543" customFormat="false" ht="15" hidden="false" customHeight="true" outlineLevel="0" collapsed="false"/>
    <row r="30544" customFormat="false" ht="15" hidden="false" customHeight="true" outlineLevel="0" collapsed="false"/>
    <row r="30545" customFormat="false" ht="15" hidden="false" customHeight="true" outlineLevel="0" collapsed="false"/>
    <row r="30546" customFormat="false" ht="15" hidden="false" customHeight="true" outlineLevel="0" collapsed="false"/>
    <row r="30547" customFormat="false" ht="15" hidden="false" customHeight="true" outlineLevel="0" collapsed="false"/>
    <row r="30548" customFormat="false" ht="15" hidden="false" customHeight="true" outlineLevel="0" collapsed="false"/>
    <row r="30549" customFormat="false" ht="15" hidden="false" customHeight="true" outlineLevel="0" collapsed="false"/>
    <row r="30550" customFormat="false" ht="15" hidden="false" customHeight="true" outlineLevel="0" collapsed="false"/>
    <row r="30551" customFormat="false" ht="15" hidden="false" customHeight="true" outlineLevel="0" collapsed="false"/>
    <row r="30552" customFormat="false" ht="15" hidden="false" customHeight="true" outlineLevel="0" collapsed="false"/>
    <row r="30553" customFormat="false" ht="15" hidden="false" customHeight="true" outlineLevel="0" collapsed="false"/>
    <row r="30554" customFormat="false" ht="15" hidden="false" customHeight="true" outlineLevel="0" collapsed="false"/>
    <row r="30555" customFormat="false" ht="15" hidden="false" customHeight="true" outlineLevel="0" collapsed="false"/>
    <row r="30556" customFormat="false" ht="15" hidden="false" customHeight="true" outlineLevel="0" collapsed="false"/>
    <row r="30557" customFormat="false" ht="15" hidden="false" customHeight="true" outlineLevel="0" collapsed="false"/>
    <row r="30558" customFormat="false" ht="15" hidden="false" customHeight="true" outlineLevel="0" collapsed="false"/>
    <row r="30559" customFormat="false" ht="15" hidden="false" customHeight="true" outlineLevel="0" collapsed="false"/>
    <row r="30560" customFormat="false" ht="15" hidden="false" customHeight="true" outlineLevel="0" collapsed="false"/>
    <row r="30561" customFormat="false" ht="15" hidden="false" customHeight="true" outlineLevel="0" collapsed="false"/>
    <row r="30562" customFormat="false" ht="15" hidden="false" customHeight="true" outlineLevel="0" collapsed="false"/>
    <row r="30563" customFormat="false" ht="15" hidden="false" customHeight="true" outlineLevel="0" collapsed="false"/>
    <row r="30564" customFormat="false" ht="15" hidden="false" customHeight="true" outlineLevel="0" collapsed="false"/>
    <row r="30565" customFormat="false" ht="15" hidden="false" customHeight="true" outlineLevel="0" collapsed="false"/>
    <row r="30566" customFormat="false" ht="15" hidden="false" customHeight="true" outlineLevel="0" collapsed="false"/>
    <row r="30567" customFormat="false" ht="15" hidden="false" customHeight="true" outlineLevel="0" collapsed="false"/>
    <row r="30568" customFormat="false" ht="15" hidden="false" customHeight="true" outlineLevel="0" collapsed="false"/>
    <row r="30569" customFormat="false" ht="15" hidden="false" customHeight="true" outlineLevel="0" collapsed="false"/>
    <row r="30570" customFormat="false" ht="15" hidden="false" customHeight="true" outlineLevel="0" collapsed="false"/>
    <row r="30571" customFormat="false" ht="15" hidden="false" customHeight="true" outlineLevel="0" collapsed="false"/>
    <row r="30572" customFormat="false" ht="15" hidden="false" customHeight="true" outlineLevel="0" collapsed="false"/>
    <row r="30573" customFormat="false" ht="15" hidden="false" customHeight="true" outlineLevel="0" collapsed="false"/>
    <row r="30574" customFormat="false" ht="15" hidden="false" customHeight="true" outlineLevel="0" collapsed="false"/>
    <row r="30575" customFormat="false" ht="15" hidden="false" customHeight="true" outlineLevel="0" collapsed="false"/>
    <row r="30576" customFormat="false" ht="15" hidden="false" customHeight="true" outlineLevel="0" collapsed="false"/>
    <row r="30577" customFormat="false" ht="15" hidden="false" customHeight="true" outlineLevel="0" collapsed="false"/>
    <row r="30578" customFormat="false" ht="15" hidden="false" customHeight="true" outlineLevel="0" collapsed="false"/>
    <row r="30579" customFormat="false" ht="15" hidden="false" customHeight="true" outlineLevel="0" collapsed="false"/>
    <row r="30580" customFormat="false" ht="15" hidden="false" customHeight="true" outlineLevel="0" collapsed="false"/>
    <row r="30581" customFormat="false" ht="15" hidden="false" customHeight="true" outlineLevel="0" collapsed="false"/>
    <row r="30582" customFormat="false" ht="15" hidden="false" customHeight="true" outlineLevel="0" collapsed="false"/>
    <row r="30583" customFormat="false" ht="15" hidden="false" customHeight="true" outlineLevel="0" collapsed="false"/>
    <row r="30584" customFormat="false" ht="15" hidden="false" customHeight="true" outlineLevel="0" collapsed="false"/>
    <row r="30585" customFormat="false" ht="15" hidden="false" customHeight="true" outlineLevel="0" collapsed="false"/>
    <row r="30586" customFormat="false" ht="15" hidden="false" customHeight="true" outlineLevel="0" collapsed="false"/>
    <row r="30587" customFormat="false" ht="15" hidden="false" customHeight="true" outlineLevel="0" collapsed="false"/>
    <row r="30588" customFormat="false" ht="15" hidden="false" customHeight="true" outlineLevel="0" collapsed="false"/>
    <row r="30589" customFormat="false" ht="15" hidden="false" customHeight="true" outlineLevel="0" collapsed="false"/>
    <row r="30590" customFormat="false" ht="15" hidden="false" customHeight="true" outlineLevel="0" collapsed="false"/>
    <row r="30591" customFormat="false" ht="15" hidden="false" customHeight="true" outlineLevel="0" collapsed="false"/>
    <row r="30592" customFormat="false" ht="15" hidden="false" customHeight="true" outlineLevel="0" collapsed="false"/>
    <row r="30593" customFormat="false" ht="15" hidden="false" customHeight="true" outlineLevel="0" collapsed="false"/>
    <row r="30594" customFormat="false" ht="15" hidden="false" customHeight="true" outlineLevel="0" collapsed="false"/>
    <row r="30595" customFormat="false" ht="15" hidden="false" customHeight="true" outlineLevel="0" collapsed="false"/>
    <row r="30596" customFormat="false" ht="15" hidden="false" customHeight="true" outlineLevel="0" collapsed="false"/>
    <row r="30597" customFormat="false" ht="15" hidden="false" customHeight="true" outlineLevel="0" collapsed="false"/>
    <row r="30598" customFormat="false" ht="15" hidden="false" customHeight="true" outlineLevel="0" collapsed="false"/>
    <row r="30599" customFormat="false" ht="15" hidden="false" customHeight="true" outlineLevel="0" collapsed="false"/>
    <row r="30600" customFormat="false" ht="15" hidden="false" customHeight="true" outlineLevel="0" collapsed="false"/>
    <row r="30601" customFormat="false" ht="15" hidden="false" customHeight="true" outlineLevel="0" collapsed="false"/>
    <row r="30602" customFormat="false" ht="15" hidden="false" customHeight="true" outlineLevel="0" collapsed="false"/>
    <row r="30603" customFormat="false" ht="15" hidden="false" customHeight="true" outlineLevel="0" collapsed="false"/>
    <row r="30604" customFormat="false" ht="15" hidden="false" customHeight="true" outlineLevel="0" collapsed="false"/>
    <row r="30605" customFormat="false" ht="15" hidden="false" customHeight="true" outlineLevel="0" collapsed="false"/>
    <row r="30606" customFormat="false" ht="15" hidden="false" customHeight="true" outlineLevel="0" collapsed="false"/>
    <row r="30607" customFormat="false" ht="15" hidden="false" customHeight="true" outlineLevel="0" collapsed="false"/>
    <row r="30608" customFormat="false" ht="15" hidden="false" customHeight="true" outlineLevel="0" collapsed="false"/>
    <row r="30609" customFormat="false" ht="15" hidden="false" customHeight="true" outlineLevel="0" collapsed="false"/>
    <row r="30610" customFormat="false" ht="15" hidden="false" customHeight="true" outlineLevel="0" collapsed="false"/>
    <row r="30611" customFormat="false" ht="15" hidden="false" customHeight="true" outlineLevel="0" collapsed="false"/>
    <row r="30612" customFormat="false" ht="15" hidden="false" customHeight="true" outlineLevel="0" collapsed="false"/>
    <row r="30613" customFormat="false" ht="15" hidden="false" customHeight="true" outlineLevel="0" collapsed="false"/>
    <row r="30614" customFormat="false" ht="15" hidden="false" customHeight="true" outlineLevel="0" collapsed="false"/>
    <row r="30615" customFormat="false" ht="15" hidden="false" customHeight="true" outlineLevel="0" collapsed="false"/>
    <row r="30616" customFormat="false" ht="15" hidden="false" customHeight="true" outlineLevel="0" collapsed="false"/>
    <row r="30617" customFormat="false" ht="15" hidden="false" customHeight="true" outlineLevel="0" collapsed="false"/>
    <row r="30618" customFormat="false" ht="15" hidden="false" customHeight="true" outlineLevel="0" collapsed="false"/>
    <row r="30619" customFormat="false" ht="15" hidden="false" customHeight="true" outlineLevel="0" collapsed="false"/>
    <row r="30620" customFormat="false" ht="15" hidden="false" customHeight="true" outlineLevel="0" collapsed="false"/>
    <row r="30621" customFormat="false" ht="15" hidden="false" customHeight="true" outlineLevel="0" collapsed="false"/>
    <row r="30622" customFormat="false" ht="15" hidden="false" customHeight="true" outlineLevel="0" collapsed="false"/>
    <row r="30623" customFormat="false" ht="15" hidden="false" customHeight="true" outlineLevel="0" collapsed="false"/>
    <row r="30624" customFormat="false" ht="15" hidden="false" customHeight="true" outlineLevel="0" collapsed="false"/>
    <row r="30625" customFormat="false" ht="15" hidden="false" customHeight="true" outlineLevel="0" collapsed="false"/>
    <row r="30626" customFormat="false" ht="15" hidden="false" customHeight="true" outlineLevel="0" collapsed="false"/>
    <row r="30627" customFormat="false" ht="15" hidden="false" customHeight="true" outlineLevel="0" collapsed="false"/>
    <row r="30628" customFormat="false" ht="15" hidden="false" customHeight="true" outlineLevel="0" collapsed="false"/>
    <row r="30629" customFormat="false" ht="15" hidden="false" customHeight="true" outlineLevel="0" collapsed="false"/>
    <row r="30630" customFormat="false" ht="15" hidden="false" customHeight="true" outlineLevel="0" collapsed="false"/>
    <row r="30631" customFormat="false" ht="15" hidden="false" customHeight="true" outlineLevel="0" collapsed="false"/>
    <row r="30632" customFormat="false" ht="15" hidden="false" customHeight="true" outlineLevel="0" collapsed="false"/>
    <row r="30633" customFormat="false" ht="15" hidden="false" customHeight="true" outlineLevel="0" collapsed="false"/>
    <row r="30634" customFormat="false" ht="15" hidden="false" customHeight="true" outlineLevel="0" collapsed="false"/>
    <row r="30635" customFormat="false" ht="15" hidden="false" customHeight="true" outlineLevel="0" collapsed="false"/>
    <row r="30636" customFormat="false" ht="15" hidden="false" customHeight="true" outlineLevel="0" collapsed="false"/>
    <row r="30637" customFormat="false" ht="15" hidden="false" customHeight="true" outlineLevel="0" collapsed="false"/>
    <row r="30638" customFormat="false" ht="15" hidden="false" customHeight="true" outlineLevel="0" collapsed="false"/>
    <row r="30639" customFormat="false" ht="15" hidden="false" customHeight="true" outlineLevel="0" collapsed="false"/>
    <row r="30640" customFormat="false" ht="15" hidden="false" customHeight="true" outlineLevel="0" collapsed="false"/>
    <row r="30641" customFormat="false" ht="15" hidden="false" customHeight="true" outlineLevel="0" collapsed="false"/>
    <row r="30642" customFormat="false" ht="15" hidden="false" customHeight="true" outlineLevel="0" collapsed="false"/>
    <row r="30643" customFormat="false" ht="15" hidden="false" customHeight="true" outlineLevel="0" collapsed="false"/>
    <row r="30644" customFormat="false" ht="15" hidden="false" customHeight="true" outlineLevel="0" collapsed="false"/>
    <row r="30645" customFormat="false" ht="15" hidden="false" customHeight="true" outlineLevel="0" collapsed="false"/>
    <row r="30646" customFormat="false" ht="15" hidden="false" customHeight="true" outlineLevel="0" collapsed="false"/>
    <row r="30647" customFormat="false" ht="15" hidden="false" customHeight="true" outlineLevel="0" collapsed="false"/>
    <row r="30648" customFormat="false" ht="15" hidden="false" customHeight="true" outlineLevel="0" collapsed="false"/>
    <row r="30649" customFormat="false" ht="15" hidden="false" customHeight="true" outlineLevel="0" collapsed="false"/>
    <row r="30650" customFormat="false" ht="15" hidden="false" customHeight="true" outlineLevel="0" collapsed="false"/>
    <row r="30651" customFormat="false" ht="15" hidden="false" customHeight="true" outlineLevel="0" collapsed="false"/>
    <row r="30652" customFormat="false" ht="15" hidden="false" customHeight="true" outlineLevel="0" collapsed="false"/>
    <row r="30653" customFormat="false" ht="15" hidden="false" customHeight="true" outlineLevel="0" collapsed="false"/>
    <row r="30654" customFormat="false" ht="15" hidden="false" customHeight="true" outlineLevel="0" collapsed="false"/>
    <row r="30655" customFormat="false" ht="15" hidden="false" customHeight="true" outlineLevel="0" collapsed="false"/>
    <row r="30656" customFormat="false" ht="15" hidden="false" customHeight="true" outlineLevel="0" collapsed="false"/>
    <row r="30657" customFormat="false" ht="15" hidden="false" customHeight="true" outlineLevel="0" collapsed="false"/>
    <row r="30658" customFormat="false" ht="15" hidden="false" customHeight="true" outlineLevel="0" collapsed="false"/>
    <row r="30659" customFormat="false" ht="15" hidden="false" customHeight="true" outlineLevel="0" collapsed="false"/>
    <row r="30660" customFormat="false" ht="15" hidden="false" customHeight="true" outlineLevel="0" collapsed="false"/>
    <row r="30661" customFormat="false" ht="15" hidden="false" customHeight="true" outlineLevel="0" collapsed="false"/>
    <row r="30662" customFormat="false" ht="15" hidden="false" customHeight="true" outlineLevel="0" collapsed="false"/>
    <row r="30663" customFormat="false" ht="15" hidden="false" customHeight="true" outlineLevel="0" collapsed="false"/>
    <row r="30664" customFormat="false" ht="15" hidden="false" customHeight="true" outlineLevel="0" collapsed="false"/>
    <row r="30665" customFormat="false" ht="15" hidden="false" customHeight="true" outlineLevel="0" collapsed="false"/>
    <row r="30666" customFormat="false" ht="15" hidden="false" customHeight="true" outlineLevel="0" collapsed="false"/>
    <row r="30667" customFormat="false" ht="15" hidden="false" customHeight="true" outlineLevel="0" collapsed="false"/>
    <row r="30668" customFormat="false" ht="15" hidden="false" customHeight="true" outlineLevel="0" collapsed="false"/>
    <row r="30669" customFormat="false" ht="15" hidden="false" customHeight="true" outlineLevel="0" collapsed="false"/>
    <row r="30670" customFormat="false" ht="15" hidden="false" customHeight="true" outlineLevel="0" collapsed="false"/>
    <row r="30671" customFormat="false" ht="15" hidden="false" customHeight="true" outlineLevel="0" collapsed="false"/>
    <row r="30672" customFormat="false" ht="15" hidden="false" customHeight="true" outlineLevel="0" collapsed="false"/>
    <row r="30673" customFormat="false" ht="15" hidden="false" customHeight="true" outlineLevel="0" collapsed="false"/>
    <row r="30674" customFormat="false" ht="15" hidden="false" customHeight="true" outlineLevel="0" collapsed="false"/>
    <row r="30675" customFormat="false" ht="15" hidden="false" customHeight="true" outlineLevel="0" collapsed="false"/>
    <row r="30676" customFormat="false" ht="15" hidden="false" customHeight="true" outlineLevel="0" collapsed="false"/>
    <row r="30677" customFormat="false" ht="15" hidden="false" customHeight="true" outlineLevel="0" collapsed="false"/>
    <row r="30678" customFormat="false" ht="15" hidden="false" customHeight="true" outlineLevel="0" collapsed="false"/>
    <row r="30679" customFormat="false" ht="15" hidden="false" customHeight="true" outlineLevel="0" collapsed="false"/>
    <row r="30680" customFormat="false" ht="15" hidden="false" customHeight="true" outlineLevel="0" collapsed="false"/>
    <row r="30681" customFormat="false" ht="15" hidden="false" customHeight="true" outlineLevel="0" collapsed="false"/>
    <row r="30682" customFormat="false" ht="15" hidden="false" customHeight="true" outlineLevel="0" collapsed="false"/>
    <row r="30683" customFormat="false" ht="15" hidden="false" customHeight="true" outlineLevel="0" collapsed="false"/>
    <row r="30684" customFormat="false" ht="15" hidden="false" customHeight="true" outlineLevel="0" collapsed="false"/>
    <row r="30685" customFormat="false" ht="15" hidden="false" customHeight="true" outlineLevel="0" collapsed="false"/>
    <row r="30686" customFormat="false" ht="15" hidden="false" customHeight="true" outlineLevel="0" collapsed="false"/>
    <row r="30687" customFormat="false" ht="15" hidden="false" customHeight="true" outlineLevel="0" collapsed="false"/>
    <row r="30688" customFormat="false" ht="15" hidden="false" customHeight="true" outlineLevel="0" collapsed="false"/>
    <row r="30689" customFormat="false" ht="15" hidden="false" customHeight="true" outlineLevel="0" collapsed="false"/>
    <row r="30690" customFormat="false" ht="15" hidden="false" customHeight="true" outlineLevel="0" collapsed="false"/>
    <row r="30691" customFormat="false" ht="15" hidden="false" customHeight="true" outlineLevel="0" collapsed="false"/>
    <row r="30692" customFormat="false" ht="15" hidden="false" customHeight="true" outlineLevel="0" collapsed="false"/>
    <row r="30693" customFormat="false" ht="15" hidden="false" customHeight="true" outlineLevel="0" collapsed="false"/>
    <row r="30694" customFormat="false" ht="15" hidden="false" customHeight="true" outlineLevel="0" collapsed="false"/>
    <row r="30695" customFormat="false" ht="15" hidden="false" customHeight="true" outlineLevel="0" collapsed="false"/>
    <row r="30696" customFormat="false" ht="15" hidden="false" customHeight="true" outlineLevel="0" collapsed="false"/>
    <row r="30697" customFormat="false" ht="15" hidden="false" customHeight="true" outlineLevel="0" collapsed="false"/>
    <row r="30698" customFormat="false" ht="15" hidden="false" customHeight="true" outlineLevel="0" collapsed="false"/>
    <row r="30699" customFormat="false" ht="15" hidden="false" customHeight="true" outlineLevel="0" collapsed="false"/>
    <row r="30700" customFormat="false" ht="15" hidden="false" customHeight="true" outlineLevel="0" collapsed="false"/>
    <row r="30701" customFormat="false" ht="15" hidden="false" customHeight="true" outlineLevel="0" collapsed="false"/>
    <row r="30702" customFormat="false" ht="15" hidden="false" customHeight="true" outlineLevel="0" collapsed="false"/>
    <row r="30703" customFormat="false" ht="15" hidden="false" customHeight="true" outlineLevel="0" collapsed="false"/>
    <row r="30704" customFormat="false" ht="15" hidden="false" customHeight="true" outlineLevel="0" collapsed="false"/>
    <row r="30705" customFormat="false" ht="15" hidden="false" customHeight="true" outlineLevel="0" collapsed="false"/>
    <row r="30706" customFormat="false" ht="15" hidden="false" customHeight="true" outlineLevel="0" collapsed="false"/>
    <row r="30707" customFormat="false" ht="15" hidden="false" customHeight="true" outlineLevel="0" collapsed="false"/>
    <row r="30708" customFormat="false" ht="15" hidden="false" customHeight="true" outlineLevel="0" collapsed="false"/>
    <row r="30709" customFormat="false" ht="15" hidden="false" customHeight="true" outlineLevel="0" collapsed="false"/>
    <row r="30710" customFormat="false" ht="15" hidden="false" customHeight="true" outlineLevel="0" collapsed="false"/>
    <row r="30711" customFormat="false" ht="15" hidden="false" customHeight="true" outlineLevel="0" collapsed="false"/>
    <row r="30712" customFormat="false" ht="15" hidden="false" customHeight="true" outlineLevel="0" collapsed="false"/>
    <row r="30713" customFormat="false" ht="15" hidden="false" customHeight="true" outlineLevel="0" collapsed="false"/>
    <row r="30714" customFormat="false" ht="15" hidden="false" customHeight="true" outlineLevel="0" collapsed="false"/>
    <row r="30715" customFormat="false" ht="15" hidden="false" customHeight="true" outlineLevel="0" collapsed="false"/>
    <row r="30716" customFormat="false" ht="15" hidden="false" customHeight="true" outlineLevel="0" collapsed="false"/>
    <row r="30717" customFormat="false" ht="15" hidden="false" customHeight="true" outlineLevel="0" collapsed="false"/>
    <row r="30718" customFormat="false" ht="15" hidden="false" customHeight="true" outlineLevel="0" collapsed="false"/>
    <row r="30719" customFormat="false" ht="15" hidden="false" customHeight="true" outlineLevel="0" collapsed="false"/>
    <row r="30720" customFormat="false" ht="15" hidden="false" customHeight="true" outlineLevel="0" collapsed="false"/>
    <row r="30721" customFormat="false" ht="15" hidden="false" customHeight="true" outlineLevel="0" collapsed="false"/>
    <row r="30722" customFormat="false" ht="15" hidden="false" customHeight="true" outlineLevel="0" collapsed="false"/>
    <row r="30723" customFormat="false" ht="15" hidden="false" customHeight="true" outlineLevel="0" collapsed="false"/>
    <row r="30724" customFormat="false" ht="15" hidden="false" customHeight="true" outlineLevel="0" collapsed="false"/>
    <row r="30725" customFormat="false" ht="15" hidden="false" customHeight="true" outlineLevel="0" collapsed="false"/>
    <row r="30726" customFormat="false" ht="15" hidden="false" customHeight="true" outlineLevel="0" collapsed="false"/>
    <row r="30727" customFormat="false" ht="15" hidden="false" customHeight="true" outlineLevel="0" collapsed="false"/>
    <row r="30728" customFormat="false" ht="15" hidden="false" customHeight="true" outlineLevel="0" collapsed="false"/>
    <row r="30729" customFormat="false" ht="15" hidden="false" customHeight="true" outlineLevel="0" collapsed="false"/>
    <row r="30730" customFormat="false" ht="15" hidden="false" customHeight="true" outlineLevel="0" collapsed="false"/>
    <row r="30731" customFormat="false" ht="15" hidden="false" customHeight="true" outlineLevel="0" collapsed="false"/>
    <row r="30732" customFormat="false" ht="15" hidden="false" customHeight="true" outlineLevel="0" collapsed="false"/>
    <row r="30733" customFormat="false" ht="15" hidden="false" customHeight="true" outlineLevel="0" collapsed="false"/>
    <row r="30734" customFormat="false" ht="15" hidden="false" customHeight="true" outlineLevel="0" collapsed="false"/>
    <row r="30735" customFormat="false" ht="15" hidden="false" customHeight="true" outlineLevel="0" collapsed="false"/>
    <row r="30736" customFormat="false" ht="15" hidden="false" customHeight="true" outlineLevel="0" collapsed="false"/>
    <row r="30737" customFormat="false" ht="15" hidden="false" customHeight="true" outlineLevel="0" collapsed="false"/>
    <row r="30738" customFormat="false" ht="15" hidden="false" customHeight="true" outlineLevel="0" collapsed="false"/>
    <row r="30739" customFormat="false" ht="15" hidden="false" customHeight="true" outlineLevel="0" collapsed="false"/>
    <row r="30740" customFormat="false" ht="15" hidden="false" customHeight="true" outlineLevel="0" collapsed="false"/>
    <row r="30741" customFormat="false" ht="15" hidden="false" customHeight="true" outlineLevel="0" collapsed="false"/>
    <row r="30742" customFormat="false" ht="15" hidden="false" customHeight="true" outlineLevel="0" collapsed="false"/>
    <row r="30743" customFormat="false" ht="15" hidden="false" customHeight="true" outlineLevel="0" collapsed="false"/>
    <row r="30744" customFormat="false" ht="15" hidden="false" customHeight="true" outlineLevel="0" collapsed="false"/>
    <row r="30745" customFormat="false" ht="15" hidden="false" customHeight="true" outlineLevel="0" collapsed="false"/>
    <row r="30746" customFormat="false" ht="15" hidden="false" customHeight="true" outlineLevel="0" collapsed="false"/>
    <row r="30747" customFormat="false" ht="15" hidden="false" customHeight="true" outlineLevel="0" collapsed="false"/>
    <row r="30748" customFormat="false" ht="15" hidden="false" customHeight="true" outlineLevel="0" collapsed="false"/>
    <row r="30749" customFormat="false" ht="15" hidden="false" customHeight="true" outlineLevel="0" collapsed="false"/>
    <row r="30750" customFormat="false" ht="15" hidden="false" customHeight="true" outlineLevel="0" collapsed="false"/>
    <row r="30751" customFormat="false" ht="15" hidden="false" customHeight="true" outlineLevel="0" collapsed="false"/>
    <row r="30752" customFormat="false" ht="15" hidden="false" customHeight="true" outlineLevel="0" collapsed="false"/>
    <row r="30753" customFormat="false" ht="15" hidden="false" customHeight="true" outlineLevel="0" collapsed="false"/>
    <row r="30754" customFormat="false" ht="15" hidden="false" customHeight="true" outlineLevel="0" collapsed="false"/>
    <row r="30755" customFormat="false" ht="15" hidden="false" customHeight="true" outlineLevel="0" collapsed="false"/>
    <row r="30756" customFormat="false" ht="15" hidden="false" customHeight="true" outlineLevel="0" collapsed="false"/>
    <row r="30757" customFormat="false" ht="15" hidden="false" customHeight="true" outlineLevel="0" collapsed="false"/>
    <row r="30758" customFormat="false" ht="15" hidden="false" customHeight="true" outlineLevel="0" collapsed="false"/>
    <row r="30759" customFormat="false" ht="15" hidden="false" customHeight="true" outlineLevel="0" collapsed="false"/>
    <row r="30760" customFormat="false" ht="15" hidden="false" customHeight="true" outlineLevel="0" collapsed="false"/>
    <row r="30761" customFormat="false" ht="15" hidden="false" customHeight="true" outlineLevel="0" collapsed="false"/>
    <row r="30762" customFormat="false" ht="15" hidden="false" customHeight="true" outlineLevel="0" collapsed="false"/>
    <row r="30763" customFormat="false" ht="15" hidden="false" customHeight="true" outlineLevel="0" collapsed="false"/>
    <row r="30764" customFormat="false" ht="15" hidden="false" customHeight="true" outlineLevel="0" collapsed="false"/>
    <row r="30765" customFormat="false" ht="15" hidden="false" customHeight="true" outlineLevel="0" collapsed="false"/>
    <row r="30766" customFormat="false" ht="15" hidden="false" customHeight="true" outlineLevel="0" collapsed="false"/>
    <row r="30767" customFormat="false" ht="15" hidden="false" customHeight="true" outlineLevel="0" collapsed="false"/>
    <row r="30768" customFormat="false" ht="15" hidden="false" customHeight="true" outlineLevel="0" collapsed="false"/>
    <row r="30769" customFormat="false" ht="15" hidden="false" customHeight="true" outlineLevel="0" collapsed="false"/>
    <row r="30770" customFormat="false" ht="15" hidden="false" customHeight="true" outlineLevel="0" collapsed="false"/>
    <row r="30771" customFormat="false" ht="15" hidden="false" customHeight="true" outlineLevel="0" collapsed="false"/>
    <row r="30772" customFormat="false" ht="15" hidden="false" customHeight="true" outlineLevel="0" collapsed="false"/>
    <row r="30773" customFormat="false" ht="15" hidden="false" customHeight="true" outlineLevel="0" collapsed="false"/>
    <row r="30774" customFormat="false" ht="15" hidden="false" customHeight="true" outlineLevel="0" collapsed="false"/>
    <row r="30775" customFormat="false" ht="15" hidden="false" customHeight="true" outlineLevel="0" collapsed="false"/>
    <row r="30776" customFormat="false" ht="15" hidden="false" customHeight="true" outlineLevel="0" collapsed="false"/>
    <row r="30777" customFormat="false" ht="15" hidden="false" customHeight="true" outlineLevel="0" collapsed="false"/>
    <row r="30778" customFormat="false" ht="15" hidden="false" customHeight="true" outlineLevel="0" collapsed="false"/>
    <row r="30779" customFormat="false" ht="15" hidden="false" customHeight="true" outlineLevel="0" collapsed="false"/>
    <row r="30780" customFormat="false" ht="15" hidden="false" customHeight="true" outlineLevel="0" collapsed="false"/>
    <row r="30781" customFormat="false" ht="15" hidden="false" customHeight="true" outlineLevel="0" collapsed="false"/>
    <row r="30782" customFormat="false" ht="15" hidden="false" customHeight="true" outlineLevel="0" collapsed="false"/>
    <row r="30783" customFormat="false" ht="15" hidden="false" customHeight="true" outlineLevel="0" collapsed="false"/>
    <row r="30784" customFormat="false" ht="15" hidden="false" customHeight="true" outlineLevel="0" collapsed="false"/>
    <row r="30785" customFormat="false" ht="15" hidden="false" customHeight="true" outlineLevel="0" collapsed="false"/>
    <row r="30786" customFormat="false" ht="15" hidden="false" customHeight="true" outlineLevel="0" collapsed="false"/>
    <row r="30787" customFormat="false" ht="15" hidden="false" customHeight="true" outlineLevel="0" collapsed="false"/>
    <row r="30788" customFormat="false" ht="15" hidden="false" customHeight="true" outlineLevel="0" collapsed="false"/>
    <row r="30789" customFormat="false" ht="15" hidden="false" customHeight="true" outlineLevel="0" collapsed="false"/>
    <row r="30790" customFormat="false" ht="15" hidden="false" customHeight="true" outlineLevel="0" collapsed="false"/>
    <row r="30791" customFormat="false" ht="15" hidden="false" customHeight="true" outlineLevel="0" collapsed="false"/>
    <row r="30792" customFormat="false" ht="15" hidden="false" customHeight="true" outlineLevel="0" collapsed="false"/>
    <row r="30793" customFormat="false" ht="15" hidden="false" customHeight="true" outlineLevel="0" collapsed="false"/>
    <row r="30794" customFormat="false" ht="15" hidden="false" customHeight="true" outlineLevel="0" collapsed="false"/>
    <row r="30795" customFormat="false" ht="15" hidden="false" customHeight="true" outlineLevel="0" collapsed="false"/>
    <row r="30796" customFormat="false" ht="15" hidden="false" customHeight="true" outlineLevel="0" collapsed="false"/>
    <row r="30797" customFormat="false" ht="15" hidden="false" customHeight="true" outlineLevel="0" collapsed="false"/>
    <row r="30798" customFormat="false" ht="15" hidden="false" customHeight="true" outlineLevel="0" collapsed="false"/>
    <row r="30799" customFormat="false" ht="15" hidden="false" customHeight="true" outlineLevel="0" collapsed="false"/>
    <row r="30800" customFormat="false" ht="15" hidden="false" customHeight="true" outlineLevel="0" collapsed="false"/>
    <row r="30801" customFormat="false" ht="15" hidden="false" customHeight="true" outlineLevel="0" collapsed="false"/>
    <row r="30802" customFormat="false" ht="15" hidden="false" customHeight="true" outlineLevel="0" collapsed="false"/>
    <row r="30803" customFormat="false" ht="15" hidden="false" customHeight="true" outlineLevel="0" collapsed="false"/>
    <row r="30804" customFormat="false" ht="15" hidden="false" customHeight="true" outlineLevel="0" collapsed="false"/>
    <row r="30805" customFormat="false" ht="15" hidden="false" customHeight="true" outlineLevel="0" collapsed="false"/>
    <row r="30806" customFormat="false" ht="15" hidden="false" customHeight="true" outlineLevel="0" collapsed="false"/>
    <row r="30807" customFormat="false" ht="15" hidden="false" customHeight="true" outlineLevel="0" collapsed="false"/>
    <row r="30808" customFormat="false" ht="15" hidden="false" customHeight="true" outlineLevel="0" collapsed="false"/>
    <row r="30809" customFormat="false" ht="15" hidden="false" customHeight="true" outlineLevel="0" collapsed="false"/>
    <row r="30810" customFormat="false" ht="15" hidden="false" customHeight="true" outlineLevel="0" collapsed="false"/>
    <row r="30811" customFormat="false" ht="15" hidden="false" customHeight="true" outlineLevel="0" collapsed="false"/>
    <row r="30812" customFormat="false" ht="15" hidden="false" customHeight="true" outlineLevel="0" collapsed="false"/>
    <row r="30813" customFormat="false" ht="15" hidden="false" customHeight="true" outlineLevel="0" collapsed="false"/>
    <row r="30814" customFormat="false" ht="15" hidden="false" customHeight="true" outlineLevel="0" collapsed="false"/>
    <row r="30815" customFormat="false" ht="15" hidden="false" customHeight="true" outlineLevel="0" collapsed="false"/>
    <row r="30816" customFormat="false" ht="15" hidden="false" customHeight="true" outlineLevel="0" collapsed="false"/>
    <row r="30817" customFormat="false" ht="15" hidden="false" customHeight="true" outlineLevel="0" collapsed="false"/>
    <row r="30818" customFormat="false" ht="15" hidden="false" customHeight="true" outlineLevel="0" collapsed="false"/>
    <row r="30819" customFormat="false" ht="15" hidden="false" customHeight="true" outlineLevel="0" collapsed="false"/>
    <row r="30820" customFormat="false" ht="15" hidden="false" customHeight="true" outlineLevel="0" collapsed="false"/>
    <row r="30821" customFormat="false" ht="15" hidden="false" customHeight="true" outlineLevel="0" collapsed="false"/>
    <row r="30822" customFormat="false" ht="15" hidden="false" customHeight="true" outlineLevel="0" collapsed="false"/>
    <row r="30823" customFormat="false" ht="15" hidden="false" customHeight="true" outlineLevel="0" collapsed="false"/>
    <row r="30824" customFormat="false" ht="15" hidden="false" customHeight="true" outlineLevel="0" collapsed="false"/>
    <row r="30825" customFormat="false" ht="15" hidden="false" customHeight="true" outlineLevel="0" collapsed="false"/>
    <row r="30826" customFormat="false" ht="15" hidden="false" customHeight="true" outlineLevel="0" collapsed="false"/>
    <row r="30827" customFormat="false" ht="15" hidden="false" customHeight="true" outlineLevel="0" collapsed="false"/>
    <row r="30828" customFormat="false" ht="15" hidden="false" customHeight="true" outlineLevel="0" collapsed="false"/>
    <row r="30829" customFormat="false" ht="15" hidden="false" customHeight="true" outlineLevel="0" collapsed="false"/>
    <row r="30830" customFormat="false" ht="15" hidden="false" customHeight="true" outlineLevel="0" collapsed="false"/>
    <row r="30831" customFormat="false" ht="15" hidden="false" customHeight="true" outlineLevel="0" collapsed="false"/>
    <row r="30832" customFormat="false" ht="15" hidden="false" customHeight="true" outlineLevel="0" collapsed="false"/>
    <row r="30833" customFormat="false" ht="15" hidden="false" customHeight="true" outlineLevel="0" collapsed="false"/>
    <row r="30834" customFormat="false" ht="15" hidden="false" customHeight="true" outlineLevel="0" collapsed="false"/>
    <row r="30835" customFormat="false" ht="15" hidden="false" customHeight="true" outlineLevel="0" collapsed="false"/>
    <row r="30836" customFormat="false" ht="15" hidden="false" customHeight="true" outlineLevel="0" collapsed="false"/>
    <row r="30837" customFormat="false" ht="15" hidden="false" customHeight="true" outlineLevel="0" collapsed="false"/>
    <row r="30838" customFormat="false" ht="15" hidden="false" customHeight="true" outlineLevel="0" collapsed="false"/>
    <row r="30839" customFormat="false" ht="15" hidden="false" customHeight="true" outlineLevel="0" collapsed="false"/>
    <row r="30840" customFormat="false" ht="15" hidden="false" customHeight="true" outlineLevel="0" collapsed="false"/>
    <row r="30841" customFormat="false" ht="15" hidden="false" customHeight="true" outlineLevel="0" collapsed="false"/>
    <row r="30842" customFormat="false" ht="15" hidden="false" customHeight="true" outlineLevel="0" collapsed="false"/>
    <row r="30843" customFormat="false" ht="15" hidden="false" customHeight="true" outlineLevel="0" collapsed="false"/>
    <row r="30844" customFormat="false" ht="15" hidden="false" customHeight="true" outlineLevel="0" collapsed="false"/>
    <row r="30845" customFormat="false" ht="15" hidden="false" customHeight="true" outlineLevel="0" collapsed="false"/>
    <row r="30846" customFormat="false" ht="15" hidden="false" customHeight="true" outlineLevel="0" collapsed="false"/>
    <row r="30847" customFormat="false" ht="15" hidden="false" customHeight="true" outlineLevel="0" collapsed="false"/>
    <row r="30848" customFormat="false" ht="15" hidden="false" customHeight="true" outlineLevel="0" collapsed="false"/>
    <row r="30849" customFormat="false" ht="15" hidden="false" customHeight="true" outlineLevel="0" collapsed="false"/>
    <row r="30850" customFormat="false" ht="15" hidden="false" customHeight="true" outlineLevel="0" collapsed="false"/>
    <row r="30851" customFormat="false" ht="15" hidden="false" customHeight="true" outlineLevel="0" collapsed="false"/>
    <row r="30852" customFormat="false" ht="15" hidden="false" customHeight="true" outlineLevel="0" collapsed="false"/>
    <row r="30853" customFormat="false" ht="15" hidden="false" customHeight="true" outlineLevel="0" collapsed="false"/>
    <row r="30854" customFormat="false" ht="15" hidden="false" customHeight="true" outlineLevel="0" collapsed="false"/>
    <row r="30855" customFormat="false" ht="15" hidden="false" customHeight="true" outlineLevel="0" collapsed="false"/>
    <row r="30856" customFormat="false" ht="15" hidden="false" customHeight="true" outlineLevel="0" collapsed="false"/>
    <row r="30857" customFormat="false" ht="15" hidden="false" customHeight="true" outlineLevel="0" collapsed="false"/>
    <row r="30858" customFormat="false" ht="15" hidden="false" customHeight="true" outlineLevel="0" collapsed="false"/>
    <row r="30859" customFormat="false" ht="15" hidden="false" customHeight="true" outlineLevel="0" collapsed="false"/>
    <row r="30860" customFormat="false" ht="15" hidden="false" customHeight="true" outlineLevel="0" collapsed="false"/>
    <row r="30861" customFormat="false" ht="15" hidden="false" customHeight="true" outlineLevel="0" collapsed="false"/>
    <row r="30862" customFormat="false" ht="15" hidden="false" customHeight="true" outlineLevel="0" collapsed="false"/>
    <row r="30863" customFormat="false" ht="15" hidden="false" customHeight="true" outlineLevel="0" collapsed="false"/>
    <row r="30864" customFormat="false" ht="15" hidden="false" customHeight="true" outlineLevel="0" collapsed="false"/>
    <row r="30865" customFormat="false" ht="15" hidden="false" customHeight="true" outlineLevel="0" collapsed="false"/>
    <row r="30866" customFormat="false" ht="15" hidden="false" customHeight="true" outlineLevel="0" collapsed="false"/>
    <row r="30867" customFormat="false" ht="15" hidden="false" customHeight="true" outlineLevel="0" collapsed="false"/>
    <row r="30868" customFormat="false" ht="15" hidden="false" customHeight="true" outlineLevel="0" collapsed="false"/>
    <row r="30869" customFormat="false" ht="15" hidden="false" customHeight="true" outlineLevel="0" collapsed="false"/>
    <row r="30870" customFormat="false" ht="15" hidden="false" customHeight="true" outlineLevel="0" collapsed="false"/>
    <row r="30871" customFormat="false" ht="15" hidden="false" customHeight="true" outlineLevel="0" collapsed="false"/>
    <row r="30872" customFormat="false" ht="15" hidden="false" customHeight="true" outlineLevel="0" collapsed="false"/>
    <row r="30873" customFormat="false" ht="15" hidden="false" customHeight="true" outlineLevel="0" collapsed="false"/>
    <row r="30874" customFormat="false" ht="15" hidden="false" customHeight="true" outlineLevel="0" collapsed="false"/>
    <row r="30875" customFormat="false" ht="15" hidden="false" customHeight="true" outlineLevel="0" collapsed="false"/>
    <row r="30876" customFormat="false" ht="15" hidden="false" customHeight="true" outlineLevel="0" collapsed="false"/>
    <row r="30877" customFormat="false" ht="15" hidden="false" customHeight="true" outlineLevel="0" collapsed="false"/>
    <row r="30878" customFormat="false" ht="15" hidden="false" customHeight="true" outlineLevel="0" collapsed="false"/>
    <row r="30879" customFormat="false" ht="15" hidden="false" customHeight="true" outlineLevel="0" collapsed="false"/>
    <row r="30880" customFormat="false" ht="15" hidden="false" customHeight="true" outlineLevel="0" collapsed="false"/>
    <row r="30881" customFormat="false" ht="15" hidden="false" customHeight="true" outlineLevel="0" collapsed="false"/>
    <row r="30882" customFormat="false" ht="15" hidden="false" customHeight="true" outlineLevel="0" collapsed="false"/>
    <row r="30883" customFormat="false" ht="15" hidden="false" customHeight="true" outlineLevel="0" collapsed="false"/>
    <row r="30884" customFormat="false" ht="15" hidden="false" customHeight="true" outlineLevel="0" collapsed="false"/>
    <row r="30885" customFormat="false" ht="15" hidden="false" customHeight="true" outlineLevel="0" collapsed="false"/>
    <row r="30886" customFormat="false" ht="15" hidden="false" customHeight="true" outlineLevel="0" collapsed="false"/>
    <row r="30887" customFormat="false" ht="15" hidden="false" customHeight="true" outlineLevel="0" collapsed="false"/>
    <row r="30888" customFormat="false" ht="15" hidden="false" customHeight="true" outlineLevel="0" collapsed="false"/>
    <row r="30889" customFormat="false" ht="15" hidden="false" customHeight="true" outlineLevel="0" collapsed="false"/>
    <row r="30890" customFormat="false" ht="15" hidden="false" customHeight="true" outlineLevel="0" collapsed="false"/>
    <row r="30891" customFormat="false" ht="15" hidden="false" customHeight="true" outlineLevel="0" collapsed="false"/>
    <row r="30892" customFormat="false" ht="15" hidden="false" customHeight="true" outlineLevel="0" collapsed="false"/>
    <row r="30893" customFormat="false" ht="15" hidden="false" customHeight="true" outlineLevel="0" collapsed="false"/>
    <row r="30894" customFormat="false" ht="15" hidden="false" customHeight="true" outlineLevel="0" collapsed="false"/>
    <row r="30895" customFormat="false" ht="15" hidden="false" customHeight="true" outlineLevel="0" collapsed="false"/>
    <row r="30896" customFormat="false" ht="15" hidden="false" customHeight="true" outlineLevel="0" collapsed="false"/>
    <row r="30897" customFormat="false" ht="15" hidden="false" customHeight="true" outlineLevel="0" collapsed="false"/>
    <row r="30898" customFormat="false" ht="15" hidden="false" customHeight="true" outlineLevel="0" collapsed="false"/>
    <row r="30899" customFormat="false" ht="15" hidden="false" customHeight="true" outlineLevel="0" collapsed="false"/>
    <row r="30900" customFormat="false" ht="15" hidden="false" customHeight="true" outlineLevel="0" collapsed="false"/>
    <row r="30901" customFormat="false" ht="15" hidden="false" customHeight="true" outlineLevel="0" collapsed="false"/>
    <row r="30902" customFormat="false" ht="15" hidden="false" customHeight="true" outlineLevel="0" collapsed="false"/>
    <row r="30903" customFormat="false" ht="15" hidden="false" customHeight="true" outlineLevel="0" collapsed="false"/>
    <row r="30904" customFormat="false" ht="15" hidden="false" customHeight="true" outlineLevel="0" collapsed="false"/>
    <row r="30905" customFormat="false" ht="15" hidden="false" customHeight="true" outlineLevel="0" collapsed="false"/>
    <row r="30906" customFormat="false" ht="15" hidden="false" customHeight="true" outlineLevel="0" collapsed="false"/>
    <row r="30907" customFormat="false" ht="15" hidden="false" customHeight="true" outlineLevel="0" collapsed="false"/>
    <row r="30908" customFormat="false" ht="15" hidden="false" customHeight="true" outlineLevel="0" collapsed="false"/>
    <row r="30909" customFormat="false" ht="15" hidden="false" customHeight="true" outlineLevel="0" collapsed="false"/>
    <row r="30910" customFormat="false" ht="15" hidden="false" customHeight="true" outlineLevel="0" collapsed="false"/>
    <row r="30911" customFormat="false" ht="15" hidden="false" customHeight="true" outlineLevel="0" collapsed="false"/>
    <row r="30912" customFormat="false" ht="15" hidden="false" customHeight="true" outlineLevel="0" collapsed="false"/>
    <row r="30913" customFormat="false" ht="15" hidden="false" customHeight="true" outlineLevel="0" collapsed="false"/>
    <row r="30914" customFormat="false" ht="15" hidden="false" customHeight="true" outlineLevel="0" collapsed="false"/>
    <row r="30915" customFormat="false" ht="15" hidden="false" customHeight="true" outlineLevel="0" collapsed="false"/>
    <row r="30916" customFormat="false" ht="15" hidden="false" customHeight="true" outlineLevel="0" collapsed="false"/>
    <row r="30917" customFormat="false" ht="15" hidden="false" customHeight="true" outlineLevel="0" collapsed="false"/>
    <row r="30918" customFormat="false" ht="15" hidden="false" customHeight="true" outlineLevel="0" collapsed="false"/>
    <row r="30919" customFormat="false" ht="15" hidden="false" customHeight="true" outlineLevel="0" collapsed="false"/>
    <row r="30920" customFormat="false" ht="15" hidden="false" customHeight="true" outlineLevel="0" collapsed="false"/>
    <row r="30921" customFormat="false" ht="15" hidden="false" customHeight="true" outlineLevel="0" collapsed="false"/>
    <row r="30922" customFormat="false" ht="15" hidden="false" customHeight="true" outlineLevel="0" collapsed="false"/>
    <row r="30923" customFormat="false" ht="15" hidden="false" customHeight="true" outlineLevel="0" collapsed="false"/>
    <row r="30924" customFormat="false" ht="15" hidden="false" customHeight="true" outlineLevel="0" collapsed="false"/>
    <row r="30925" customFormat="false" ht="15" hidden="false" customHeight="true" outlineLevel="0" collapsed="false"/>
    <row r="30926" customFormat="false" ht="15" hidden="false" customHeight="true" outlineLevel="0" collapsed="false"/>
    <row r="30927" customFormat="false" ht="15" hidden="false" customHeight="true" outlineLevel="0" collapsed="false"/>
    <row r="30928" customFormat="false" ht="15" hidden="false" customHeight="true" outlineLevel="0" collapsed="false"/>
    <row r="30929" customFormat="false" ht="15" hidden="false" customHeight="true" outlineLevel="0" collapsed="false"/>
    <row r="30930" customFormat="false" ht="15" hidden="false" customHeight="true" outlineLevel="0" collapsed="false"/>
    <row r="30931" customFormat="false" ht="15" hidden="false" customHeight="true" outlineLevel="0" collapsed="false"/>
    <row r="30932" customFormat="false" ht="15" hidden="false" customHeight="true" outlineLevel="0" collapsed="false"/>
    <row r="30933" customFormat="false" ht="15" hidden="false" customHeight="true" outlineLevel="0" collapsed="false"/>
    <row r="30934" customFormat="false" ht="15" hidden="false" customHeight="true" outlineLevel="0" collapsed="false"/>
    <row r="30935" customFormat="false" ht="15" hidden="false" customHeight="true" outlineLevel="0" collapsed="false"/>
    <row r="30936" customFormat="false" ht="15" hidden="false" customHeight="true" outlineLevel="0" collapsed="false"/>
    <row r="30937" customFormat="false" ht="15" hidden="false" customHeight="true" outlineLevel="0" collapsed="false"/>
    <row r="30938" customFormat="false" ht="15" hidden="false" customHeight="true" outlineLevel="0" collapsed="false"/>
    <row r="30939" customFormat="false" ht="15" hidden="false" customHeight="true" outlineLevel="0" collapsed="false"/>
    <row r="30940" customFormat="false" ht="15" hidden="false" customHeight="true" outlineLevel="0" collapsed="false"/>
    <row r="30941" customFormat="false" ht="15" hidden="false" customHeight="true" outlineLevel="0" collapsed="false"/>
    <row r="30942" customFormat="false" ht="15" hidden="false" customHeight="true" outlineLevel="0" collapsed="false"/>
    <row r="30943" customFormat="false" ht="15" hidden="false" customHeight="true" outlineLevel="0" collapsed="false"/>
    <row r="30944" customFormat="false" ht="15" hidden="false" customHeight="true" outlineLevel="0" collapsed="false"/>
    <row r="30945" customFormat="false" ht="15" hidden="false" customHeight="true" outlineLevel="0" collapsed="false"/>
    <row r="30946" customFormat="false" ht="15" hidden="false" customHeight="true" outlineLevel="0" collapsed="false"/>
    <row r="30947" customFormat="false" ht="15" hidden="false" customHeight="true" outlineLevel="0" collapsed="false"/>
    <row r="30948" customFormat="false" ht="15" hidden="false" customHeight="true" outlineLevel="0" collapsed="false"/>
    <row r="30949" customFormat="false" ht="15" hidden="false" customHeight="true" outlineLevel="0" collapsed="false"/>
    <row r="30950" customFormat="false" ht="15" hidden="false" customHeight="true" outlineLevel="0" collapsed="false"/>
    <row r="30951" customFormat="false" ht="15" hidden="false" customHeight="true" outlineLevel="0" collapsed="false"/>
    <row r="30952" customFormat="false" ht="15" hidden="false" customHeight="true" outlineLevel="0" collapsed="false"/>
    <row r="30953" customFormat="false" ht="15" hidden="false" customHeight="true" outlineLevel="0" collapsed="false"/>
    <row r="30954" customFormat="false" ht="15" hidden="false" customHeight="true" outlineLevel="0" collapsed="false"/>
    <row r="30955" customFormat="false" ht="15" hidden="false" customHeight="true" outlineLevel="0" collapsed="false"/>
    <row r="30956" customFormat="false" ht="15" hidden="false" customHeight="true" outlineLevel="0" collapsed="false"/>
    <row r="30957" customFormat="false" ht="15" hidden="false" customHeight="true" outlineLevel="0" collapsed="false"/>
    <row r="30958" customFormat="false" ht="15" hidden="false" customHeight="true" outlineLevel="0" collapsed="false"/>
    <row r="30959" customFormat="false" ht="15" hidden="false" customHeight="true" outlineLevel="0" collapsed="false"/>
    <row r="30960" customFormat="false" ht="15" hidden="false" customHeight="true" outlineLevel="0" collapsed="false"/>
    <row r="30961" customFormat="false" ht="15" hidden="false" customHeight="true" outlineLevel="0" collapsed="false"/>
    <row r="30962" customFormat="false" ht="15" hidden="false" customHeight="true" outlineLevel="0" collapsed="false"/>
    <row r="30963" customFormat="false" ht="15" hidden="false" customHeight="true" outlineLevel="0" collapsed="false"/>
    <row r="30964" customFormat="false" ht="15" hidden="false" customHeight="true" outlineLevel="0" collapsed="false"/>
    <row r="30965" customFormat="false" ht="15" hidden="false" customHeight="true" outlineLevel="0" collapsed="false"/>
    <row r="30966" customFormat="false" ht="15" hidden="false" customHeight="true" outlineLevel="0" collapsed="false"/>
    <row r="30967" customFormat="false" ht="15" hidden="false" customHeight="true" outlineLevel="0" collapsed="false"/>
    <row r="30968" customFormat="false" ht="15" hidden="false" customHeight="true" outlineLevel="0" collapsed="false"/>
    <row r="30969" customFormat="false" ht="15" hidden="false" customHeight="true" outlineLevel="0" collapsed="false"/>
    <row r="30970" customFormat="false" ht="15" hidden="false" customHeight="true" outlineLevel="0" collapsed="false"/>
    <row r="30971" customFormat="false" ht="15" hidden="false" customHeight="true" outlineLevel="0" collapsed="false"/>
    <row r="30972" customFormat="false" ht="15" hidden="false" customHeight="true" outlineLevel="0" collapsed="false"/>
    <row r="30973" customFormat="false" ht="15" hidden="false" customHeight="true" outlineLevel="0" collapsed="false"/>
    <row r="30974" customFormat="false" ht="15" hidden="false" customHeight="true" outlineLevel="0" collapsed="false"/>
    <row r="30975" customFormat="false" ht="15" hidden="false" customHeight="true" outlineLevel="0" collapsed="false"/>
    <row r="30976" customFormat="false" ht="15" hidden="false" customHeight="true" outlineLevel="0" collapsed="false"/>
    <row r="30977" customFormat="false" ht="15" hidden="false" customHeight="true" outlineLevel="0" collapsed="false"/>
    <row r="30978" customFormat="false" ht="15" hidden="false" customHeight="true" outlineLevel="0" collapsed="false"/>
    <row r="30979" customFormat="false" ht="15" hidden="false" customHeight="true" outlineLevel="0" collapsed="false"/>
    <row r="30980" customFormat="false" ht="15" hidden="false" customHeight="true" outlineLevel="0" collapsed="false"/>
    <row r="30981" customFormat="false" ht="15" hidden="false" customHeight="true" outlineLevel="0" collapsed="false"/>
    <row r="30982" customFormat="false" ht="15" hidden="false" customHeight="true" outlineLevel="0" collapsed="false"/>
    <row r="30983" customFormat="false" ht="15" hidden="false" customHeight="true" outlineLevel="0" collapsed="false"/>
    <row r="30984" customFormat="false" ht="15" hidden="false" customHeight="true" outlineLevel="0" collapsed="false"/>
    <row r="30985" customFormat="false" ht="15" hidden="false" customHeight="true" outlineLevel="0" collapsed="false"/>
    <row r="30986" customFormat="false" ht="15" hidden="false" customHeight="true" outlineLevel="0" collapsed="false"/>
    <row r="30987" customFormat="false" ht="15" hidden="false" customHeight="true" outlineLevel="0" collapsed="false"/>
    <row r="30988" customFormat="false" ht="15" hidden="false" customHeight="true" outlineLevel="0" collapsed="false"/>
    <row r="30989" customFormat="false" ht="15" hidden="false" customHeight="true" outlineLevel="0" collapsed="false"/>
    <row r="30990" customFormat="false" ht="15" hidden="false" customHeight="true" outlineLevel="0" collapsed="false"/>
    <row r="30991" customFormat="false" ht="15" hidden="false" customHeight="true" outlineLevel="0" collapsed="false"/>
    <row r="30992" customFormat="false" ht="15" hidden="false" customHeight="true" outlineLevel="0" collapsed="false"/>
    <row r="30993" customFormat="false" ht="15" hidden="false" customHeight="true" outlineLevel="0" collapsed="false"/>
    <row r="30994" customFormat="false" ht="15" hidden="false" customHeight="true" outlineLevel="0" collapsed="false"/>
    <row r="30995" customFormat="false" ht="15" hidden="false" customHeight="true" outlineLevel="0" collapsed="false"/>
    <row r="30996" customFormat="false" ht="15" hidden="false" customHeight="true" outlineLevel="0" collapsed="false"/>
    <row r="30997" customFormat="false" ht="15" hidden="false" customHeight="true" outlineLevel="0" collapsed="false"/>
    <row r="30998" customFormat="false" ht="15" hidden="false" customHeight="true" outlineLevel="0" collapsed="false"/>
    <row r="30999" customFormat="false" ht="15" hidden="false" customHeight="true" outlineLevel="0" collapsed="false"/>
    <row r="31000" customFormat="false" ht="15" hidden="false" customHeight="true" outlineLevel="0" collapsed="false"/>
    <row r="31001" customFormat="false" ht="15" hidden="false" customHeight="true" outlineLevel="0" collapsed="false"/>
    <row r="31002" customFormat="false" ht="15" hidden="false" customHeight="true" outlineLevel="0" collapsed="false"/>
    <row r="31003" customFormat="false" ht="15" hidden="false" customHeight="true" outlineLevel="0" collapsed="false"/>
    <row r="31004" customFormat="false" ht="15" hidden="false" customHeight="true" outlineLevel="0" collapsed="false"/>
    <row r="31005" customFormat="false" ht="15" hidden="false" customHeight="true" outlineLevel="0" collapsed="false"/>
    <row r="31006" customFormat="false" ht="15" hidden="false" customHeight="true" outlineLevel="0" collapsed="false"/>
    <row r="31007" customFormat="false" ht="15" hidden="false" customHeight="true" outlineLevel="0" collapsed="false"/>
    <row r="31008" customFormat="false" ht="15" hidden="false" customHeight="true" outlineLevel="0" collapsed="false"/>
    <row r="31009" customFormat="false" ht="15" hidden="false" customHeight="true" outlineLevel="0" collapsed="false"/>
    <row r="31010" customFormat="false" ht="15" hidden="false" customHeight="true" outlineLevel="0" collapsed="false"/>
    <row r="31011" customFormat="false" ht="15" hidden="false" customHeight="true" outlineLevel="0" collapsed="false"/>
    <row r="31012" customFormat="false" ht="15" hidden="false" customHeight="true" outlineLevel="0" collapsed="false"/>
    <row r="31013" customFormat="false" ht="15" hidden="false" customHeight="true" outlineLevel="0" collapsed="false"/>
    <row r="31014" customFormat="false" ht="15" hidden="false" customHeight="true" outlineLevel="0" collapsed="false"/>
    <row r="31015" customFormat="false" ht="15" hidden="false" customHeight="true" outlineLevel="0" collapsed="false"/>
    <row r="31016" customFormat="false" ht="15" hidden="false" customHeight="true" outlineLevel="0" collapsed="false"/>
    <row r="31017" customFormat="false" ht="15" hidden="false" customHeight="true" outlineLevel="0" collapsed="false"/>
    <row r="31018" customFormat="false" ht="15" hidden="false" customHeight="true" outlineLevel="0" collapsed="false"/>
    <row r="31019" customFormat="false" ht="15" hidden="false" customHeight="true" outlineLevel="0" collapsed="false"/>
    <row r="31020" customFormat="false" ht="15" hidden="false" customHeight="true" outlineLevel="0" collapsed="false"/>
    <row r="31021" customFormat="false" ht="15" hidden="false" customHeight="true" outlineLevel="0" collapsed="false"/>
    <row r="31022" customFormat="false" ht="15" hidden="false" customHeight="true" outlineLevel="0" collapsed="false"/>
    <row r="31023" customFormat="false" ht="15" hidden="false" customHeight="true" outlineLevel="0" collapsed="false"/>
    <row r="31024" customFormat="false" ht="15" hidden="false" customHeight="true" outlineLevel="0" collapsed="false"/>
    <row r="31025" customFormat="false" ht="15" hidden="false" customHeight="true" outlineLevel="0" collapsed="false"/>
    <row r="31026" customFormat="false" ht="15" hidden="false" customHeight="true" outlineLevel="0" collapsed="false"/>
    <row r="31027" customFormat="false" ht="15" hidden="false" customHeight="true" outlineLevel="0" collapsed="false"/>
    <row r="31028" customFormat="false" ht="15" hidden="false" customHeight="true" outlineLevel="0" collapsed="false"/>
    <row r="31029" customFormat="false" ht="15" hidden="false" customHeight="true" outlineLevel="0" collapsed="false"/>
    <row r="31030" customFormat="false" ht="15" hidden="false" customHeight="true" outlineLevel="0" collapsed="false"/>
    <row r="31031" customFormat="false" ht="15" hidden="false" customHeight="true" outlineLevel="0" collapsed="false"/>
    <row r="31032" customFormat="false" ht="15" hidden="false" customHeight="true" outlineLevel="0" collapsed="false"/>
    <row r="31033" customFormat="false" ht="15" hidden="false" customHeight="true" outlineLevel="0" collapsed="false"/>
    <row r="31034" customFormat="false" ht="15" hidden="false" customHeight="true" outlineLevel="0" collapsed="false"/>
    <row r="31035" customFormat="false" ht="15" hidden="false" customHeight="true" outlineLevel="0" collapsed="false"/>
    <row r="31036" customFormat="false" ht="15" hidden="false" customHeight="true" outlineLevel="0" collapsed="false"/>
    <row r="31037" customFormat="false" ht="15" hidden="false" customHeight="true" outlineLevel="0" collapsed="false"/>
    <row r="31038" customFormat="false" ht="15" hidden="false" customHeight="true" outlineLevel="0" collapsed="false"/>
    <row r="31039" customFormat="false" ht="15" hidden="false" customHeight="true" outlineLevel="0" collapsed="false"/>
    <row r="31040" customFormat="false" ht="15" hidden="false" customHeight="true" outlineLevel="0" collapsed="false"/>
    <row r="31041" customFormat="false" ht="15" hidden="false" customHeight="true" outlineLevel="0" collapsed="false"/>
    <row r="31042" customFormat="false" ht="15" hidden="false" customHeight="true" outlineLevel="0" collapsed="false"/>
    <row r="31043" customFormat="false" ht="15" hidden="false" customHeight="true" outlineLevel="0" collapsed="false"/>
    <row r="31044" customFormat="false" ht="15" hidden="false" customHeight="true" outlineLevel="0" collapsed="false"/>
    <row r="31045" customFormat="false" ht="15" hidden="false" customHeight="true" outlineLevel="0" collapsed="false"/>
    <row r="31046" customFormat="false" ht="15" hidden="false" customHeight="true" outlineLevel="0" collapsed="false"/>
    <row r="31047" customFormat="false" ht="15" hidden="false" customHeight="true" outlineLevel="0" collapsed="false"/>
    <row r="31048" customFormat="false" ht="15" hidden="false" customHeight="true" outlineLevel="0" collapsed="false"/>
    <row r="31049" customFormat="false" ht="15" hidden="false" customHeight="true" outlineLevel="0" collapsed="false"/>
    <row r="31050" customFormat="false" ht="15" hidden="false" customHeight="true" outlineLevel="0" collapsed="false"/>
    <row r="31051" customFormat="false" ht="15" hidden="false" customHeight="true" outlineLevel="0" collapsed="false"/>
    <row r="31052" customFormat="false" ht="15" hidden="false" customHeight="true" outlineLevel="0" collapsed="false"/>
    <row r="31053" customFormat="false" ht="15" hidden="false" customHeight="true" outlineLevel="0" collapsed="false"/>
    <row r="31054" customFormat="false" ht="15" hidden="false" customHeight="true" outlineLevel="0" collapsed="false"/>
    <row r="31055" customFormat="false" ht="15" hidden="false" customHeight="true" outlineLevel="0" collapsed="false"/>
    <row r="31056" customFormat="false" ht="15" hidden="false" customHeight="true" outlineLevel="0" collapsed="false"/>
    <row r="31057" customFormat="false" ht="15" hidden="false" customHeight="true" outlineLevel="0" collapsed="false"/>
    <row r="31058" customFormat="false" ht="15" hidden="false" customHeight="true" outlineLevel="0" collapsed="false"/>
    <row r="31059" customFormat="false" ht="15" hidden="false" customHeight="true" outlineLevel="0" collapsed="false"/>
    <row r="31060" customFormat="false" ht="15" hidden="false" customHeight="true" outlineLevel="0" collapsed="false"/>
    <row r="31061" customFormat="false" ht="15" hidden="false" customHeight="true" outlineLevel="0" collapsed="false"/>
    <row r="31062" customFormat="false" ht="15" hidden="false" customHeight="true" outlineLevel="0" collapsed="false"/>
    <row r="31063" customFormat="false" ht="15" hidden="false" customHeight="true" outlineLevel="0" collapsed="false"/>
    <row r="31064" customFormat="false" ht="15" hidden="false" customHeight="true" outlineLevel="0" collapsed="false"/>
    <row r="31065" customFormat="false" ht="15" hidden="false" customHeight="true" outlineLevel="0" collapsed="false"/>
    <row r="31066" customFormat="false" ht="15" hidden="false" customHeight="true" outlineLevel="0" collapsed="false"/>
    <row r="31067" customFormat="false" ht="15" hidden="false" customHeight="true" outlineLevel="0" collapsed="false"/>
    <row r="31068" customFormat="false" ht="15" hidden="false" customHeight="true" outlineLevel="0" collapsed="false"/>
    <row r="31069" customFormat="false" ht="15" hidden="false" customHeight="true" outlineLevel="0" collapsed="false"/>
    <row r="31070" customFormat="false" ht="15" hidden="false" customHeight="true" outlineLevel="0" collapsed="false"/>
    <row r="31071" customFormat="false" ht="15" hidden="false" customHeight="true" outlineLevel="0" collapsed="false"/>
    <row r="31072" customFormat="false" ht="15" hidden="false" customHeight="true" outlineLevel="0" collapsed="false"/>
    <row r="31073" customFormat="false" ht="15" hidden="false" customHeight="true" outlineLevel="0" collapsed="false"/>
    <row r="31074" customFormat="false" ht="15" hidden="false" customHeight="true" outlineLevel="0" collapsed="false"/>
    <row r="31075" customFormat="false" ht="15" hidden="false" customHeight="true" outlineLevel="0" collapsed="false"/>
    <row r="31076" customFormat="false" ht="15" hidden="false" customHeight="true" outlineLevel="0" collapsed="false"/>
    <row r="31077" customFormat="false" ht="15" hidden="false" customHeight="true" outlineLevel="0" collapsed="false"/>
    <row r="31078" customFormat="false" ht="15" hidden="false" customHeight="true" outlineLevel="0" collapsed="false"/>
    <row r="31079" customFormat="false" ht="15" hidden="false" customHeight="true" outlineLevel="0" collapsed="false"/>
    <row r="31080" customFormat="false" ht="15" hidden="false" customHeight="true" outlineLevel="0" collapsed="false"/>
    <row r="31081" customFormat="false" ht="15" hidden="false" customHeight="true" outlineLevel="0" collapsed="false"/>
    <row r="31082" customFormat="false" ht="15" hidden="false" customHeight="true" outlineLevel="0" collapsed="false"/>
    <row r="31083" customFormat="false" ht="15" hidden="false" customHeight="true" outlineLevel="0" collapsed="false"/>
    <row r="31084" customFormat="false" ht="15" hidden="false" customHeight="true" outlineLevel="0" collapsed="false"/>
    <row r="31085" customFormat="false" ht="15" hidden="false" customHeight="true" outlineLevel="0" collapsed="false"/>
    <row r="31086" customFormat="false" ht="15" hidden="false" customHeight="true" outlineLevel="0" collapsed="false"/>
    <row r="31087" customFormat="false" ht="15" hidden="false" customHeight="true" outlineLevel="0" collapsed="false"/>
    <row r="31088" customFormat="false" ht="15" hidden="false" customHeight="true" outlineLevel="0" collapsed="false"/>
    <row r="31089" customFormat="false" ht="15" hidden="false" customHeight="true" outlineLevel="0" collapsed="false"/>
    <row r="31090" customFormat="false" ht="15" hidden="false" customHeight="true" outlineLevel="0" collapsed="false"/>
    <row r="31091" customFormat="false" ht="15" hidden="false" customHeight="true" outlineLevel="0" collapsed="false"/>
    <row r="31092" customFormat="false" ht="15" hidden="false" customHeight="true" outlineLevel="0" collapsed="false"/>
    <row r="31093" customFormat="false" ht="15" hidden="false" customHeight="true" outlineLevel="0" collapsed="false"/>
    <row r="31094" customFormat="false" ht="15" hidden="false" customHeight="true" outlineLevel="0" collapsed="false"/>
    <row r="31095" customFormat="false" ht="15" hidden="false" customHeight="true" outlineLevel="0" collapsed="false"/>
    <row r="31096" customFormat="false" ht="15" hidden="false" customHeight="true" outlineLevel="0" collapsed="false"/>
    <row r="31097" customFormat="false" ht="15" hidden="false" customHeight="true" outlineLevel="0" collapsed="false"/>
    <row r="31098" customFormat="false" ht="15" hidden="false" customHeight="true" outlineLevel="0" collapsed="false"/>
    <row r="31099" customFormat="false" ht="15" hidden="false" customHeight="true" outlineLevel="0" collapsed="false"/>
    <row r="31100" customFormat="false" ht="15" hidden="false" customHeight="true" outlineLevel="0" collapsed="false"/>
    <row r="31101" customFormat="false" ht="15" hidden="false" customHeight="true" outlineLevel="0" collapsed="false"/>
    <row r="31102" customFormat="false" ht="15" hidden="false" customHeight="true" outlineLevel="0" collapsed="false"/>
    <row r="31103" customFormat="false" ht="15" hidden="false" customHeight="true" outlineLevel="0" collapsed="false"/>
    <row r="31104" customFormat="false" ht="15" hidden="false" customHeight="true" outlineLevel="0" collapsed="false"/>
    <row r="31105" customFormat="false" ht="15" hidden="false" customHeight="true" outlineLevel="0" collapsed="false"/>
    <row r="31106" customFormat="false" ht="15" hidden="false" customHeight="true" outlineLevel="0" collapsed="false"/>
    <row r="31107" customFormat="false" ht="15" hidden="false" customHeight="true" outlineLevel="0" collapsed="false"/>
    <row r="31108" customFormat="false" ht="15" hidden="false" customHeight="true" outlineLevel="0" collapsed="false"/>
    <row r="31109" customFormat="false" ht="15" hidden="false" customHeight="true" outlineLevel="0" collapsed="false"/>
    <row r="31110" customFormat="false" ht="15" hidden="false" customHeight="true" outlineLevel="0" collapsed="false"/>
    <row r="31111" customFormat="false" ht="15" hidden="false" customHeight="true" outlineLevel="0" collapsed="false"/>
    <row r="31112" customFormat="false" ht="15" hidden="false" customHeight="true" outlineLevel="0" collapsed="false"/>
    <row r="31113" customFormat="false" ht="15" hidden="false" customHeight="true" outlineLevel="0" collapsed="false"/>
    <row r="31114" customFormat="false" ht="15" hidden="false" customHeight="true" outlineLevel="0" collapsed="false"/>
    <row r="31115" customFormat="false" ht="15" hidden="false" customHeight="true" outlineLevel="0" collapsed="false"/>
    <row r="31116" customFormat="false" ht="15" hidden="false" customHeight="true" outlineLevel="0" collapsed="false"/>
    <row r="31117" customFormat="false" ht="15" hidden="false" customHeight="true" outlineLevel="0" collapsed="false"/>
    <row r="31118" customFormat="false" ht="15" hidden="false" customHeight="true" outlineLevel="0" collapsed="false"/>
    <row r="31119" customFormat="false" ht="15" hidden="false" customHeight="true" outlineLevel="0" collapsed="false"/>
    <row r="31120" customFormat="false" ht="15" hidden="false" customHeight="true" outlineLevel="0" collapsed="false"/>
    <row r="31121" customFormat="false" ht="15" hidden="false" customHeight="true" outlineLevel="0" collapsed="false"/>
    <row r="31122" customFormat="false" ht="15" hidden="false" customHeight="true" outlineLevel="0" collapsed="false"/>
    <row r="31123" customFormat="false" ht="15" hidden="false" customHeight="true" outlineLevel="0" collapsed="false"/>
    <row r="31124" customFormat="false" ht="15" hidden="false" customHeight="true" outlineLevel="0" collapsed="false"/>
    <row r="31125" customFormat="false" ht="15" hidden="false" customHeight="true" outlineLevel="0" collapsed="false"/>
    <row r="31126" customFormat="false" ht="15" hidden="false" customHeight="true" outlineLevel="0" collapsed="false"/>
    <row r="31127" customFormat="false" ht="15" hidden="false" customHeight="true" outlineLevel="0" collapsed="false"/>
    <row r="31128" customFormat="false" ht="15" hidden="false" customHeight="true" outlineLevel="0" collapsed="false"/>
    <row r="31129" customFormat="false" ht="15" hidden="false" customHeight="true" outlineLevel="0" collapsed="false"/>
    <row r="31130" customFormat="false" ht="15" hidden="false" customHeight="true" outlineLevel="0" collapsed="false"/>
    <row r="31131" customFormat="false" ht="15" hidden="false" customHeight="true" outlineLevel="0" collapsed="false"/>
    <row r="31132" customFormat="false" ht="15" hidden="false" customHeight="true" outlineLevel="0" collapsed="false"/>
    <row r="31133" customFormat="false" ht="15" hidden="false" customHeight="true" outlineLevel="0" collapsed="false"/>
    <row r="31134" customFormat="false" ht="15" hidden="false" customHeight="true" outlineLevel="0" collapsed="false"/>
    <row r="31135" customFormat="false" ht="15" hidden="false" customHeight="true" outlineLevel="0" collapsed="false"/>
    <row r="31136" customFormat="false" ht="15" hidden="false" customHeight="true" outlineLevel="0" collapsed="false"/>
    <row r="31137" customFormat="false" ht="15" hidden="false" customHeight="true" outlineLevel="0" collapsed="false"/>
    <row r="31138" customFormat="false" ht="15" hidden="false" customHeight="true" outlineLevel="0" collapsed="false"/>
    <row r="31139" customFormat="false" ht="15" hidden="false" customHeight="true" outlineLevel="0" collapsed="false"/>
    <row r="31140" customFormat="false" ht="15" hidden="false" customHeight="true" outlineLevel="0" collapsed="false"/>
    <row r="31141" customFormat="false" ht="15" hidden="false" customHeight="true" outlineLevel="0" collapsed="false"/>
    <row r="31142" customFormat="false" ht="15" hidden="false" customHeight="true" outlineLevel="0" collapsed="false"/>
    <row r="31143" customFormat="false" ht="15" hidden="false" customHeight="true" outlineLevel="0" collapsed="false"/>
    <row r="31144" customFormat="false" ht="15" hidden="false" customHeight="true" outlineLevel="0" collapsed="false"/>
    <row r="31145" customFormat="false" ht="15" hidden="false" customHeight="true" outlineLevel="0" collapsed="false"/>
    <row r="31146" customFormat="false" ht="15" hidden="false" customHeight="true" outlineLevel="0" collapsed="false"/>
    <row r="31147" customFormat="false" ht="15" hidden="false" customHeight="true" outlineLevel="0" collapsed="false"/>
    <row r="31148" customFormat="false" ht="15" hidden="false" customHeight="true" outlineLevel="0" collapsed="false"/>
    <row r="31149" customFormat="false" ht="15" hidden="false" customHeight="true" outlineLevel="0" collapsed="false"/>
    <row r="31150" customFormat="false" ht="15" hidden="false" customHeight="true" outlineLevel="0" collapsed="false"/>
    <row r="31151" customFormat="false" ht="15" hidden="false" customHeight="true" outlineLevel="0" collapsed="false"/>
    <row r="31152" customFormat="false" ht="15" hidden="false" customHeight="true" outlineLevel="0" collapsed="false"/>
    <row r="31153" customFormat="false" ht="15" hidden="false" customHeight="true" outlineLevel="0" collapsed="false"/>
    <row r="31154" customFormat="false" ht="15" hidden="false" customHeight="true" outlineLevel="0" collapsed="false"/>
    <row r="31155" customFormat="false" ht="15" hidden="false" customHeight="true" outlineLevel="0" collapsed="false"/>
    <row r="31156" customFormat="false" ht="15" hidden="false" customHeight="true" outlineLevel="0" collapsed="false"/>
    <row r="31157" customFormat="false" ht="15" hidden="false" customHeight="true" outlineLevel="0" collapsed="false"/>
    <row r="31158" customFormat="false" ht="15" hidden="false" customHeight="true" outlineLevel="0" collapsed="false"/>
    <row r="31159" customFormat="false" ht="15" hidden="false" customHeight="true" outlineLevel="0" collapsed="false"/>
    <row r="31160" customFormat="false" ht="15" hidden="false" customHeight="true" outlineLevel="0" collapsed="false"/>
    <row r="31161" customFormat="false" ht="15" hidden="false" customHeight="true" outlineLevel="0" collapsed="false"/>
    <row r="31162" customFormat="false" ht="15" hidden="false" customHeight="true" outlineLevel="0" collapsed="false"/>
    <row r="31163" customFormat="false" ht="15" hidden="false" customHeight="true" outlineLevel="0" collapsed="false"/>
    <row r="31164" customFormat="false" ht="15" hidden="false" customHeight="true" outlineLevel="0" collapsed="false"/>
    <row r="31165" customFormat="false" ht="15" hidden="false" customHeight="true" outlineLevel="0" collapsed="false"/>
    <row r="31166" customFormat="false" ht="15" hidden="false" customHeight="true" outlineLevel="0" collapsed="false"/>
    <row r="31167" customFormat="false" ht="15" hidden="false" customHeight="true" outlineLevel="0" collapsed="false"/>
    <row r="31168" customFormat="false" ht="15" hidden="false" customHeight="true" outlineLevel="0" collapsed="false"/>
    <row r="31169" customFormat="false" ht="15" hidden="false" customHeight="true" outlineLevel="0" collapsed="false"/>
    <row r="31170" customFormat="false" ht="15" hidden="false" customHeight="true" outlineLevel="0" collapsed="false"/>
    <row r="31171" customFormat="false" ht="15" hidden="false" customHeight="true" outlineLevel="0" collapsed="false"/>
    <row r="31172" customFormat="false" ht="15" hidden="false" customHeight="true" outlineLevel="0" collapsed="false"/>
    <row r="31173" customFormat="false" ht="15" hidden="false" customHeight="true" outlineLevel="0" collapsed="false"/>
    <row r="31174" customFormat="false" ht="15" hidden="false" customHeight="true" outlineLevel="0" collapsed="false"/>
    <row r="31175" customFormat="false" ht="15" hidden="false" customHeight="true" outlineLevel="0" collapsed="false"/>
    <row r="31176" customFormat="false" ht="15" hidden="false" customHeight="true" outlineLevel="0" collapsed="false"/>
    <row r="31177" customFormat="false" ht="15" hidden="false" customHeight="true" outlineLevel="0" collapsed="false"/>
    <row r="31178" customFormat="false" ht="15" hidden="false" customHeight="true" outlineLevel="0" collapsed="false"/>
    <row r="31179" customFormat="false" ht="15" hidden="false" customHeight="true" outlineLevel="0" collapsed="false"/>
    <row r="31180" customFormat="false" ht="15" hidden="false" customHeight="true" outlineLevel="0" collapsed="false"/>
    <row r="31181" customFormat="false" ht="15" hidden="false" customHeight="true" outlineLevel="0" collapsed="false"/>
    <row r="31182" customFormat="false" ht="15" hidden="false" customHeight="true" outlineLevel="0" collapsed="false"/>
    <row r="31183" customFormat="false" ht="15" hidden="false" customHeight="true" outlineLevel="0" collapsed="false"/>
    <row r="31184" customFormat="false" ht="15" hidden="false" customHeight="true" outlineLevel="0" collapsed="false"/>
    <row r="31185" customFormat="false" ht="15" hidden="false" customHeight="true" outlineLevel="0" collapsed="false"/>
    <row r="31186" customFormat="false" ht="15" hidden="false" customHeight="true" outlineLevel="0" collapsed="false"/>
    <row r="31187" customFormat="false" ht="15" hidden="false" customHeight="true" outlineLevel="0" collapsed="false"/>
    <row r="31188" customFormat="false" ht="15" hidden="false" customHeight="true" outlineLevel="0" collapsed="false"/>
    <row r="31189" customFormat="false" ht="15" hidden="false" customHeight="true" outlineLevel="0" collapsed="false"/>
    <row r="31190" customFormat="false" ht="15" hidden="false" customHeight="true" outlineLevel="0" collapsed="false"/>
    <row r="31191" customFormat="false" ht="15" hidden="false" customHeight="true" outlineLevel="0" collapsed="false"/>
    <row r="31192" customFormat="false" ht="15" hidden="false" customHeight="true" outlineLevel="0" collapsed="false"/>
    <row r="31193" customFormat="false" ht="15" hidden="false" customHeight="true" outlineLevel="0" collapsed="false"/>
    <row r="31194" customFormat="false" ht="15" hidden="false" customHeight="true" outlineLevel="0" collapsed="false"/>
    <row r="31195" customFormat="false" ht="15" hidden="false" customHeight="true" outlineLevel="0" collapsed="false"/>
    <row r="31196" customFormat="false" ht="15" hidden="false" customHeight="true" outlineLevel="0" collapsed="false"/>
    <row r="31197" customFormat="false" ht="15" hidden="false" customHeight="true" outlineLevel="0" collapsed="false"/>
    <row r="31198" customFormat="false" ht="15" hidden="false" customHeight="true" outlineLevel="0" collapsed="false"/>
    <row r="31199" customFormat="false" ht="15" hidden="false" customHeight="true" outlineLevel="0" collapsed="false"/>
    <row r="31200" customFormat="false" ht="15" hidden="false" customHeight="true" outlineLevel="0" collapsed="false"/>
    <row r="31201" customFormat="false" ht="15" hidden="false" customHeight="true" outlineLevel="0" collapsed="false"/>
    <row r="31202" customFormat="false" ht="15" hidden="false" customHeight="true" outlineLevel="0" collapsed="false"/>
    <row r="31203" customFormat="false" ht="15" hidden="false" customHeight="true" outlineLevel="0" collapsed="false"/>
    <row r="31204" customFormat="false" ht="15" hidden="false" customHeight="true" outlineLevel="0" collapsed="false"/>
    <row r="31205" customFormat="false" ht="15" hidden="false" customHeight="true" outlineLevel="0" collapsed="false"/>
    <row r="31206" customFormat="false" ht="15" hidden="false" customHeight="true" outlineLevel="0" collapsed="false"/>
    <row r="31207" customFormat="false" ht="15" hidden="false" customHeight="true" outlineLevel="0" collapsed="false"/>
    <row r="31208" customFormat="false" ht="15" hidden="false" customHeight="true" outlineLevel="0" collapsed="false"/>
    <row r="31209" customFormat="false" ht="15" hidden="false" customHeight="true" outlineLevel="0" collapsed="false"/>
    <row r="31210" customFormat="false" ht="15" hidden="false" customHeight="true" outlineLevel="0" collapsed="false"/>
    <row r="31211" customFormat="false" ht="15" hidden="false" customHeight="true" outlineLevel="0" collapsed="false"/>
    <row r="31212" customFormat="false" ht="15" hidden="false" customHeight="true" outlineLevel="0" collapsed="false"/>
    <row r="31213" customFormat="false" ht="15" hidden="false" customHeight="true" outlineLevel="0" collapsed="false"/>
    <row r="31214" customFormat="false" ht="15" hidden="false" customHeight="true" outlineLevel="0" collapsed="false"/>
    <row r="31215" customFormat="false" ht="15" hidden="false" customHeight="true" outlineLevel="0" collapsed="false"/>
    <row r="31216" customFormat="false" ht="15" hidden="false" customHeight="true" outlineLevel="0" collapsed="false"/>
    <row r="31217" customFormat="false" ht="15" hidden="false" customHeight="true" outlineLevel="0" collapsed="false"/>
    <row r="31218" customFormat="false" ht="15" hidden="false" customHeight="true" outlineLevel="0" collapsed="false"/>
    <row r="31219" customFormat="false" ht="15" hidden="false" customHeight="true" outlineLevel="0" collapsed="false"/>
    <row r="31220" customFormat="false" ht="15" hidden="false" customHeight="true" outlineLevel="0" collapsed="false"/>
    <row r="31221" customFormat="false" ht="15" hidden="false" customHeight="true" outlineLevel="0" collapsed="false"/>
    <row r="31222" customFormat="false" ht="15" hidden="false" customHeight="true" outlineLevel="0" collapsed="false"/>
    <row r="31223" customFormat="false" ht="15" hidden="false" customHeight="true" outlineLevel="0" collapsed="false"/>
    <row r="31224" customFormat="false" ht="15" hidden="false" customHeight="true" outlineLevel="0" collapsed="false"/>
    <row r="31225" customFormat="false" ht="15" hidden="false" customHeight="true" outlineLevel="0" collapsed="false"/>
    <row r="31226" customFormat="false" ht="15" hidden="false" customHeight="true" outlineLevel="0" collapsed="false"/>
    <row r="31227" customFormat="false" ht="15" hidden="false" customHeight="true" outlineLevel="0" collapsed="false"/>
    <row r="31228" customFormat="false" ht="15" hidden="false" customHeight="true" outlineLevel="0" collapsed="false"/>
    <row r="31229" customFormat="false" ht="15" hidden="false" customHeight="true" outlineLevel="0" collapsed="false"/>
    <row r="31230" customFormat="false" ht="15" hidden="false" customHeight="true" outlineLevel="0" collapsed="false"/>
    <row r="31231" customFormat="false" ht="15" hidden="false" customHeight="true" outlineLevel="0" collapsed="false"/>
    <row r="31232" customFormat="false" ht="15" hidden="false" customHeight="true" outlineLevel="0" collapsed="false"/>
    <row r="31233" customFormat="false" ht="15" hidden="false" customHeight="true" outlineLevel="0" collapsed="false"/>
    <row r="31234" customFormat="false" ht="15" hidden="false" customHeight="true" outlineLevel="0" collapsed="false"/>
    <row r="31235" customFormat="false" ht="15" hidden="false" customHeight="true" outlineLevel="0" collapsed="false"/>
    <row r="31236" customFormat="false" ht="15" hidden="false" customHeight="true" outlineLevel="0" collapsed="false"/>
    <row r="31237" customFormat="false" ht="15" hidden="false" customHeight="true" outlineLevel="0" collapsed="false"/>
    <row r="31238" customFormat="false" ht="15" hidden="false" customHeight="true" outlineLevel="0" collapsed="false"/>
    <row r="31239" customFormat="false" ht="15" hidden="false" customHeight="true" outlineLevel="0" collapsed="false"/>
    <row r="31240" customFormat="false" ht="15" hidden="false" customHeight="true" outlineLevel="0" collapsed="false"/>
    <row r="31241" customFormat="false" ht="15" hidden="false" customHeight="true" outlineLevel="0" collapsed="false"/>
    <row r="31242" customFormat="false" ht="15" hidden="false" customHeight="true" outlineLevel="0" collapsed="false"/>
    <row r="31243" customFormat="false" ht="15" hidden="false" customHeight="true" outlineLevel="0" collapsed="false"/>
    <row r="31244" customFormat="false" ht="15" hidden="false" customHeight="true" outlineLevel="0" collapsed="false"/>
    <row r="31245" customFormat="false" ht="15" hidden="false" customHeight="true" outlineLevel="0" collapsed="false"/>
    <row r="31246" customFormat="false" ht="15" hidden="false" customHeight="true" outlineLevel="0" collapsed="false"/>
    <row r="31247" customFormat="false" ht="15" hidden="false" customHeight="true" outlineLevel="0" collapsed="false"/>
    <row r="31248" customFormat="false" ht="15" hidden="false" customHeight="true" outlineLevel="0" collapsed="false"/>
    <row r="31249" customFormat="false" ht="15" hidden="false" customHeight="true" outlineLevel="0" collapsed="false"/>
    <row r="31250" customFormat="false" ht="15" hidden="false" customHeight="true" outlineLevel="0" collapsed="false"/>
    <row r="31251" customFormat="false" ht="15" hidden="false" customHeight="true" outlineLevel="0" collapsed="false"/>
    <row r="31252" customFormat="false" ht="15" hidden="false" customHeight="true" outlineLevel="0" collapsed="false"/>
    <row r="31253" customFormat="false" ht="15" hidden="false" customHeight="true" outlineLevel="0" collapsed="false"/>
    <row r="31254" customFormat="false" ht="15" hidden="false" customHeight="true" outlineLevel="0" collapsed="false"/>
    <row r="31255" customFormat="false" ht="15" hidden="false" customHeight="true" outlineLevel="0" collapsed="false"/>
    <row r="31256" customFormat="false" ht="15" hidden="false" customHeight="true" outlineLevel="0" collapsed="false"/>
    <row r="31257" customFormat="false" ht="15" hidden="false" customHeight="true" outlineLevel="0" collapsed="false"/>
    <row r="31258" customFormat="false" ht="15" hidden="false" customHeight="true" outlineLevel="0" collapsed="false"/>
    <row r="31259" customFormat="false" ht="15" hidden="false" customHeight="true" outlineLevel="0" collapsed="false"/>
    <row r="31260" customFormat="false" ht="15" hidden="false" customHeight="true" outlineLevel="0" collapsed="false"/>
    <row r="31261" customFormat="false" ht="15" hidden="false" customHeight="true" outlineLevel="0" collapsed="false"/>
    <row r="31262" customFormat="false" ht="15" hidden="false" customHeight="true" outlineLevel="0" collapsed="false"/>
    <row r="31263" customFormat="false" ht="15" hidden="false" customHeight="true" outlineLevel="0" collapsed="false"/>
    <row r="31264" customFormat="false" ht="15" hidden="false" customHeight="true" outlineLevel="0" collapsed="false"/>
    <row r="31265" customFormat="false" ht="15" hidden="false" customHeight="true" outlineLevel="0" collapsed="false"/>
    <row r="31266" customFormat="false" ht="15" hidden="false" customHeight="true" outlineLevel="0" collapsed="false"/>
    <row r="31267" customFormat="false" ht="15" hidden="false" customHeight="true" outlineLevel="0" collapsed="false"/>
    <row r="31268" customFormat="false" ht="15" hidden="false" customHeight="true" outlineLevel="0" collapsed="false"/>
    <row r="31269" customFormat="false" ht="15" hidden="false" customHeight="true" outlineLevel="0" collapsed="false"/>
    <row r="31270" customFormat="false" ht="15" hidden="false" customHeight="true" outlineLevel="0" collapsed="false"/>
    <row r="31271" customFormat="false" ht="15" hidden="false" customHeight="true" outlineLevel="0" collapsed="false"/>
    <row r="31272" customFormat="false" ht="15" hidden="false" customHeight="true" outlineLevel="0" collapsed="false"/>
    <row r="31273" customFormat="false" ht="15" hidden="false" customHeight="true" outlineLevel="0" collapsed="false"/>
    <row r="31274" customFormat="false" ht="15" hidden="false" customHeight="true" outlineLevel="0" collapsed="false"/>
    <row r="31275" customFormat="false" ht="15" hidden="false" customHeight="true" outlineLevel="0" collapsed="false"/>
    <row r="31276" customFormat="false" ht="15" hidden="false" customHeight="true" outlineLevel="0" collapsed="false"/>
    <row r="31277" customFormat="false" ht="15" hidden="false" customHeight="true" outlineLevel="0" collapsed="false"/>
    <row r="31278" customFormat="false" ht="15" hidden="false" customHeight="true" outlineLevel="0" collapsed="false"/>
    <row r="31279" customFormat="false" ht="15" hidden="false" customHeight="true" outlineLevel="0" collapsed="false"/>
    <row r="31280" customFormat="false" ht="15" hidden="false" customHeight="true" outlineLevel="0" collapsed="false"/>
    <row r="31281" customFormat="false" ht="15" hidden="false" customHeight="true" outlineLevel="0" collapsed="false"/>
    <row r="31282" customFormat="false" ht="15" hidden="false" customHeight="true" outlineLevel="0" collapsed="false"/>
    <row r="31283" customFormat="false" ht="15" hidden="false" customHeight="true" outlineLevel="0" collapsed="false"/>
    <row r="31284" customFormat="false" ht="15" hidden="false" customHeight="true" outlineLevel="0" collapsed="false"/>
    <row r="31285" customFormat="false" ht="15" hidden="false" customHeight="true" outlineLevel="0" collapsed="false"/>
    <row r="31286" customFormat="false" ht="15" hidden="false" customHeight="true" outlineLevel="0" collapsed="false"/>
    <row r="31287" customFormat="false" ht="15" hidden="false" customHeight="true" outlineLevel="0" collapsed="false"/>
    <row r="31288" customFormat="false" ht="15" hidden="false" customHeight="true" outlineLevel="0" collapsed="false"/>
    <row r="31289" customFormat="false" ht="15" hidden="false" customHeight="true" outlineLevel="0" collapsed="false"/>
    <row r="31290" customFormat="false" ht="15" hidden="false" customHeight="true" outlineLevel="0" collapsed="false"/>
    <row r="31291" customFormat="false" ht="15" hidden="false" customHeight="true" outlineLevel="0" collapsed="false"/>
    <row r="31292" customFormat="false" ht="15" hidden="false" customHeight="true" outlineLevel="0" collapsed="false"/>
    <row r="31293" customFormat="false" ht="15" hidden="false" customHeight="true" outlineLevel="0" collapsed="false"/>
    <row r="31294" customFormat="false" ht="15" hidden="false" customHeight="true" outlineLevel="0" collapsed="false"/>
    <row r="31295" customFormat="false" ht="15" hidden="false" customHeight="true" outlineLevel="0" collapsed="false"/>
    <row r="31296" customFormat="false" ht="15" hidden="false" customHeight="true" outlineLevel="0" collapsed="false"/>
    <row r="31297" customFormat="false" ht="15" hidden="false" customHeight="true" outlineLevel="0" collapsed="false"/>
    <row r="31298" customFormat="false" ht="15" hidden="false" customHeight="true" outlineLevel="0" collapsed="false"/>
    <row r="31299" customFormat="false" ht="15" hidden="false" customHeight="true" outlineLevel="0" collapsed="false"/>
    <row r="31300" customFormat="false" ht="15" hidden="false" customHeight="true" outlineLevel="0" collapsed="false"/>
    <row r="31301" customFormat="false" ht="15" hidden="false" customHeight="true" outlineLevel="0" collapsed="false"/>
    <row r="31302" customFormat="false" ht="15" hidden="false" customHeight="true" outlineLevel="0" collapsed="false"/>
    <row r="31303" customFormat="false" ht="15" hidden="false" customHeight="true" outlineLevel="0" collapsed="false"/>
    <row r="31304" customFormat="false" ht="15" hidden="false" customHeight="true" outlineLevel="0" collapsed="false"/>
    <row r="31305" customFormat="false" ht="15" hidden="false" customHeight="true" outlineLevel="0" collapsed="false"/>
    <row r="31306" customFormat="false" ht="15" hidden="false" customHeight="true" outlineLevel="0" collapsed="false"/>
    <row r="31307" customFormat="false" ht="15" hidden="false" customHeight="true" outlineLevel="0" collapsed="false"/>
    <row r="31308" customFormat="false" ht="15" hidden="false" customHeight="true" outlineLevel="0" collapsed="false"/>
    <row r="31309" customFormat="false" ht="15" hidden="false" customHeight="true" outlineLevel="0" collapsed="false"/>
    <row r="31310" customFormat="false" ht="15" hidden="false" customHeight="true" outlineLevel="0" collapsed="false"/>
    <row r="31311" customFormat="false" ht="15" hidden="false" customHeight="true" outlineLevel="0" collapsed="false"/>
    <row r="31312" customFormat="false" ht="15" hidden="false" customHeight="true" outlineLevel="0" collapsed="false"/>
    <row r="31313" customFormat="false" ht="15" hidden="false" customHeight="true" outlineLevel="0" collapsed="false"/>
    <row r="31314" customFormat="false" ht="15" hidden="false" customHeight="true" outlineLevel="0" collapsed="false"/>
    <row r="31315" customFormat="false" ht="15" hidden="false" customHeight="true" outlineLevel="0" collapsed="false"/>
    <row r="31316" customFormat="false" ht="15" hidden="false" customHeight="true" outlineLevel="0" collapsed="false"/>
    <row r="31317" customFormat="false" ht="15" hidden="false" customHeight="true" outlineLevel="0" collapsed="false"/>
    <row r="31318" customFormat="false" ht="15" hidden="false" customHeight="true" outlineLevel="0" collapsed="false"/>
    <row r="31319" customFormat="false" ht="15" hidden="false" customHeight="true" outlineLevel="0" collapsed="false"/>
    <row r="31320" customFormat="false" ht="15" hidden="false" customHeight="true" outlineLevel="0" collapsed="false"/>
    <row r="31321" customFormat="false" ht="15" hidden="false" customHeight="true" outlineLevel="0" collapsed="false"/>
    <row r="31322" customFormat="false" ht="15" hidden="false" customHeight="true" outlineLevel="0" collapsed="false"/>
    <row r="31323" customFormat="false" ht="15" hidden="false" customHeight="true" outlineLevel="0" collapsed="false"/>
    <row r="31324" customFormat="false" ht="15" hidden="false" customHeight="true" outlineLevel="0" collapsed="false"/>
    <row r="31325" customFormat="false" ht="15" hidden="false" customHeight="true" outlineLevel="0" collapsed="false"/>
    <row r="31326" customFormat="false" ht="15" hidden="false" customHeight="true" outlineLevel="0" collapsed="false"/>
    <row r="31327" customFormat="false" ht="15" hidden="false" customHeight="true" outlineLevel="0" collapsed="false"/>
    <row r="31328" customFormat="false" ht="15" hidden="false" customHeight="true" outlineLevel="0" collapsed="false"/>
    <row r="31329" customFormat="false" ht="15" hidden="false" customHeight="true" outlineLevel="0" collapsed="false"/>
    <row r="31330" customFormat="false" ht="15" hidden="false" customHeight="true" outlineLevel="0" collapsed="false"/>
    <row r="31331" customFormat="false" ht="15" hidden="false" customHeight="true" outlineLevel="0" collapsed="false"/>
    <row r="31332" customFormat="false" ht="15" hidden="false" customHeight="true" outlineLevel="0" collapsed="false"/>
    <row r="31333" customFormat="false" ht="15" hidden="false" customHeight="true" outlineLevel="0" collapsed="false"/>
    <row r="31334" customFormat="false" ht="15" hidden="false" customHeight="true" outlineLevel="0" collapsed="false"/>
    <row r="31335" customFormat="false" ht="15" hidden="false" customHeight="true" outlineLevel="0" collapsed="false"/>
    <row r="31336" customFormat="false" ht="15" hidden="false" customHeight="true" outlineLevel="0" collapsed="false"/>
    <row r="31337" customFormat="false" ht="15" hidden="false" customHeight="true" outlineLevel="0" collapsed="false"/>
    <row r="31338" customFormat="false" ht="15" hidden="false" customHeight="true" outlineLevel="0" collapsed="false"/>
    <row r="31339" customFormat="false" ht="15" hidden="false" customHeight="true" outlineLevel="0" collapsed="false"/>
    <row r="31340" customFormat="false" ht="15" hidden="false" customHeight="true" outlineLevel="0" collapsed="false"/>
    <row r="31341" customFormat="false" ht="15" hidden="false" customHeight="true" outlineLevel="0" collapsed="false"/>
    <row r="31342" customFormat="false" ht="15" hidden="false" customHeight="true" outlineLevel="0" collapsed="false"/>
    <row r="31343" customFormat="false" ht="15" hidden="false" customHeight="true" outlineLevel="0" collapsed="false"/>
    <row r="31344" customFormat="false" ht="15" hidden="false" customHeight="true" outlineLevel="0" collapsed="false"/>
    <row r="31345" customFormat="false" ht="15" hidden="false" customHeight="true" outlineLevel="0" collapsed="false"/>
    <row r="31346" customFormat="false" ht="15" hidden="false" customHeight="true" outlineLevel="0" collapsed="false"/>
    <row r="31347" customFormat="false" ht="15" hidden="false" customHeight="true" outlineLevel="0" collapsed="false"/>
    <row r="31348" customFormat="false" ht="15" hidden="false" customHeight="true" outlineLevel="0" collapsed="false"/>
    <row r="31349" customFormat="false" ht="15" hidden="false" customHeight="true" outlineLevel="0" collapsed="false"/>
    <row r="31350" customFormat="false" ht="15" hidden="false" customHeight="true" outlineLevel="0" collapsed="false"/>
    <row r="31351" customFormat="false" ht="15" hidden="false" customHeight="true" outlineLevel="0" collapsed="false"/>
    <row r="31352" customFormat="false" ht="15" hidden="false" customHeight="true" outlineLevel="0" collapsed="false"/>
    <row r="31353" customFormat="false" ht="15" hidden="false" customHeight="true" outlineLevel="0" collapsed="false"/>
    <row r="31354" customFormat="false" ht="15" hidden="false" customHeight="true" outlineLevel="0" collapsed="false"/>
    <row r="31355" customFormat="false" ht="15" hidden="false" customHeight="true" outlineLevel="0" collapsed="false"/>
    <row r="31356" customFormat="false" ht="15" hidden="false" customHeight="true" outlineLevel="0" collapsed="false"/>
    <row r="31357" customFormat="false" ht="15" hidden="false" customHeight="true" outlineLevel="0" collapsed="false"/>
    <row r="31358" customFormat="false" ht="15" hidden="false" customHeight="true" outlineLevel="0" collapsed="false"/>
    <row r="31359" customFormat="false" ht="15" hidden="false" customHeight="true" outlineLevel="0" collapsed="false"/>
    <row r="31360" customFormat="false" ht="15" hidden="false" customHeight="true" outlineLevel="0" collapsed="false"/>
    <row r="31361" customFormat="false" ht="15" hidden="false" customHeight="true" outlineLevel="0" collapsed="false"/>
    <row r="31362" customFormat="false" ht="15" hidden="false" customHeight="true" outlineLevel="0" collapsed="false"/>
    <row r="31363" customFormat="false" ht="15" hidden="false" customHeight="true" outlineLevel="0" collapsed="false"/>
    <row r="31364" customFormat="false" ht="15" hidden="false" customHeight="true" outlineLevel="0" collapsed="false"/>
    <row r="31365" customFormat="false" ht="15" hidden="false" customHeight="true" outlineLevel="0" collapsed="false"/>
    <row r="31366" customFormat="false" ht="15" hidden="false" customHeight="true" outlineLevel="0" collapsed="false"/>
    <row r="31367" customFormat="false" ht="15" hidden="false" customHeight="true" outlineLevel="0" collapsed="false"/>
    <row r="31368" customFormat="false" ht="15" hidden="false" customHeight="true" outlineLevel="0" collapsed="false"/>
    <row r="31369" customFormat="false" ht="15" hidden="false" customHeight="true" outlineLevel="0" collapsed="false"/>
    <row r="31370" customFormat="false" ht="15" hidden="false" customHeight="true" outlineLevel="0" collapsed="false"/>
    <row r="31371" customFormat="false" ht="15" hidden="false" customHeight="true" outlineLevel="0" collapsed="false"/>
    <row r="31372" customFormat="false" ht="15" hidden="false" customHeight="true" outlineLevel="0" collapsed="false"/>
    <row r="31373" customFormat="false" ht="15" hidden="false" customHeight="true" outlineLevel="0" collapsed="false"/>
    <row r="31374" customFormat="false" ht="15" hidden="false" customHeight="true" outlineLevel="0" collapsed="false"/>
    <row r="31375" customFormat="false" ht="15" hidden="false" customHeight="true" outlineLevel="0" collapsed="false"/>
    <row r="31376" customFormat="false" ht="15" hidden="false" customHeight="true" outlineLevel="0" collapsed="false"/>
    <row r="31377" customFormat="false" ht="15" hidden="false" customHeight="true" outlineLevel="0" collapsed="false"/>
    <row r="31378" customFormat="false" ht="15" hidden="false" customHeight="true" outlineLevel="0" collapsed="false"/>
    <row r="31379" customFormat="false" ht="15" hidden="false" customHeight="true" outlineLevel="0" collapsed="false"/>
    <row r="31380" customFormat="false" ht="15" hidden="false" customHeight="true" outlineLevel="0" collapsed="false"/>
    <row r="31381" customFormat="false" ht="15" hidden="false" customHeight="true" outlineLevel="0" collapsed="false"/>
    <row r="31382" customFormat="false" ht="15" hidden="false" customHeight="true" outlineLevel="0" collapsed="false"/>
    <row r="31383" customFormat="false" ht="15" hidden="false" customHeight="true" outlineLevel="0" collapsed="false"/>
    <row r="31384" customFormat="false" ht="15" hidden="false" customHeight="true" outlineLevel="0" collapsed="false"/>
    <row r="31385" customFormat="false" ht="15" hidden="false" customHeight="true" outlineLevel="0" collapsed="false"/>
    <row r="31386" customFormat="false" ht="15" hidden="false" customHeight="true" outlineLevel="0" collapsed="false"/>
    <row r="31387" customFormat="false" ht="15" hidden="false" customHeight="true" outlineLevel="0" collapsed="false"/>
    <row r="31388" customFormat="false" ht="15" hidden="false" customHeight="true" outlineLevel="0" collapsed="false"/>
    <row r="31389" customFormat="false" ht="15" hidden="false" customHeight="true" outlineLevel="0" collapsed="false"/>
    <row r="31390" customFormat="false" ht="15" hidden="false" customHeight="true" outlineLevel="0" collapsed="false"/>
    <row r="31391" customFormat="false" ht="15" hidden="false" customHeight="true" outlineLevel="0" collapsed="false"/>
    <row r="31392" customFormat="false" ht="15" hidden="false" customHeight="true" outlineLevel="0" collapsed="false"/>
    <row r="31393" customFormat="false" ht="15" hidden="false" customHeight="true" outlineLevel="0" collapsed="false"/>
    <row r="31394" customFormat="false" ht="15" hidden="false" customHeight="true" outlineLevel="0" collapsed="false"/>
    <row r="31395" customFormat="false" ht="15" hidden="false" customHeight="true" outlineLevel="0" collapsed="false"/>
    <row r="31396" customFormat="false" ht="15" hidden="false" customHeight="true" outlineLevel="0" collapsed="false"/>
    <row r="31397" customFormat="false" ht="15" hidden="false" customHeight="true" outlineLevel="0" collapsed="false"/>
    <row r="31398" customFormat="false" ht="15" hidden="false" customHeight="true" outlineLevel="0" collapsed="false"/>
    <row r="31399" customFormat="false" ht="15" hidden="false" customHeight="true" outlineLevel="0" collapsed="false"/>
    <row r="31400" customFormat="false" ht="15" hidden="false" customHeight="true" outlineLevel="0" collapsed="false"/>
    <row r="31401" customFormat="false" ht="15" hidden="false" customHeight="true" outlineLevel="0" collapsed="false"/>
    <row r="31402" customFormat="false" ht="15" hidden="false" customHeight="true" outlineLevel="0" collapsed="false"/>
    <row r="31403" customFormat="false" ht="15" hidden="false" customHeight="true" outlineLevel="0" collapsed="false"/>
    <row r="31404" customFormat="false" ht="15" hidden="false" customHeight="true" outlineLevel="0" collapsed="false"/>
    <row r="31405" customFormat="false" ht="15" hidden="false" customHeight="true" outlineLevel="0" collapsed="false"/>
    <row r="31406" customFormat="false" ht="15" hidden="false" customHeight="true" outlineLevel="0" collapsed="false"/>
    <row r="31407" customFormat="false" ht="15" hidden="false" customHeight="true" outlineLevel="0" collapsed="false"/>
    <row r="31408" customFormat="false" ht="15" hidden="false" customHeight="true" outlineLevel="0" collapsed="false"/>
    <row r="31409" customFormat="false" ht="15" hidden="false" customHeight="true" outlineLevel="0" collapsed="false"/>
    <row r="31410" customFormat="false" ht="15" hidden="false" customHeight="true" outlineLevel="0" collapsed="false"/>
    <row r="31411" customFormat="false" ht="15" hidden="false" customHeight="true" outlineLevel="0" collapsed="false"/>
    <row r="31412" customFormat="false" ht="15" hidden="false" customHeight="true" outlineLevel="0" collapsed="false"/>
    <row r="31413" customFormat="false" ht="15" hidden="false" customHeight="true" outlineLevel="0" collapsed="false"/>
    <row r="31414" customFormat="false" ht="15" hidden="false" customHeight="true" outlineLevel="0" collapsed="false"/>
    <row r="31415" customFormat="false" ht="15" hidden="false" customHeight="true" outlineLevel="0" collapsed="false"/>
    <row r="31416" customFormat="false" ht="15" hidden="false" customHeight="true" outlineLevel="0" collapsed="false"/>
    <row r="31417" customFormat="false" ht="15" hidden="false" customHeight="true" outlineLevel="0" collapsed="false"/>
    <row r="31418" customFormat="false" ht="15" hidden="false" customHeight="true" outlineLevel="0" collapsed="false"/>
    <row r="31419" customFormat="false" ht="15" hidden="false" customHeight="true" outlineLevel="0" collapsed="false"/>
    <row r="31420" customFormat="false" ht="15" hidden="false" customHeight="true" outlineLevel="0" collapsed="false"/>
    <row r="31421" customFormat="false" ht="15" hidden="false" customHeight="true" outlineLevel="0" collapsed="false"/>
    <row r="31422" customFormat="false" ht="15" hidden="false" customHeight="true" outlineLevel="0" collapsed="false"/>
    <row r="31423" customFormat="false" ht="15" hidden="false" customHeight="true" outlineLevel="0" collapsed="false"/>
    <row r="31424" customFormat="false" ht="15" hidden="false" customHeight="true" outlineLevel="0" collapsed="false"/>
    <row r="31425" customFormat="false" ht="15" hidden="false" customHeight="true" outlineLevel="0" collapsed="false"/>
    <row r="31426" customFormat="false" ht="15" hidden="false" customHeight="true" outlineLevel="0" collapsed="false"/>
    <row r="31427" customFormat="false" ht="15" hidden="false" customHeight="true" outlineLevel="0" collapsed="false"/>
    <row r="31428" customFormat="false" ht="15" hidden="false" customHeight="true" outlineLevel="0" collapsed="false"/>
    <row r="31429" customFormat="false" ht="15" hidden="false" customHeight="true" outlineLevel="0" collapsed="false"/>
    <row r="31430" customFormat="false" ht="15" hidden="false" customHeight="true" outlineLevel="0" collapsed="false"/>
    <row r="31431" customFormat="false" ht="15" hidden="false" customHeight="true" outlineLevel="0" collapsed="false"/>
    <row r="31432" customFormat="false" ht="15" hidden="false" customHeight="true" outlineLevel="0" collapsed="false"/>
    <row r="31433" customFormat="false" ht="15" hidden="false" customHeight="true" outlineLevel="0" collapsed="false"/>
    <row r="31434" customFormat="false" ht="15" hidden="false" customHeight="true" outlineLevel="0" collapsed="false"/>
    <row r="31435" customFormat="false" ht="15" hidden="false" customHeight="true" outlineLevel="0" collapsed="false"/>
    <row r="31436" customFormat="false" ht="15" hidden="false" customHeight="true" outlineLevel="0" collapsed="false"/>
    <row r="31437" customFormat="false" ht="15" hidden="false" customHeight="true" outlineLevel="0" collapsed="false"/>
    <row r="31438" customFormat="false" ht="15" hidden="false" customHeight="true" outlineLevel="0" collapsed="false"/>
    <row r="31439" customFormat="false" ht="15" hidden="false" customHeight="true" outlineLevel="0" collapsed="false"/>
    <row r="31440" customFormat="false" ht="15" hidden="false" customHeight="true" outlineLevel="0" collapsed="false"/>
    <row r="31441" customFormat="false" ht="15" hidden="false" customHeight="true" outlineLevel="0" collapsed="false"/>
    <row r="31442" customFormat="false" ht="15" hidden="false" customHeight="true" outlineLevel="0" collapsed="false"/>
    <row r="31443" customFormat="false" ht="15" hidden="false" customHeight="true" outlineLevel="0" collapsed="false"/>
    <row r="31444" customFormat="false" ht="15" hidden="false" customHeight="true" outlineLevel="0" collapsed="false"/>
    <row r="31445" customFormat="false" ht="15" hidden="false" customHeight="true" outlineLevel="0" collapsed="false"/>
    <row r="31446" customFormat="false" ht="15" hidden="false" customHeight="true" outlineLevel="0" collapsed="false"/>
    <row r="31447" customFormat="false" ht="15" hidden="false" customHeight="true" outlineLevel="0" collapsed="false"/>
    <row r="31448" customFormat="false" ht="15" hidden="false" customHeight="true" outlineLevel="0" collapsed="false"/>
    <row r="31449" customFormat="false" ht="15" hidden="false" customHeight="true" outlineLevel="0" collapsed="false"/>
    <row r="31450" customFormat="false" ht="15" hidden="false" customHeight="true" outlineLevel="0" collapsed="false"/>
    <row r="31451" customFormat="false" ht="15" hidden="false" customHeight="true" outlineLevel="0" collapsed="false"/>
    <row r="31452" customFormat="false" ht="15" hidden="false" customHeight="true" outlineLevel="0" collapsed="false"/>
    <row r="31453" customFormat="false" ht="15" hidden="false" customHeight="true" outlineLevel="0" collapsed="false"/>
    <row r="31454" customFormat="false" ht="15" hidden="false" customHeight="true" outlineLevel="0" collapsed="false"/>
    <row r="31455" customFormat="false" ht="15" hidden="false" customHeight="true" outlineLevel="0" collapsed="false"/>
    <row r="31456" customFormat="false" ht="15" hidden="false" customHeight="true" outlineLevel="0" collapsed="false"/>
    <row r="31457" customFormat="false" ht="15" hidden="false" customHeight="true" outlineLevel="0" collapsed="false"/>
    <row r="31458" customFormat="false" ht="15" hidden="false" customHeight="true" outlineLevel="0" collapsed="false"/>
    <row r="31459" customFormat="false" ht="15" hidden="false" customHeight="true" outlineLevel="0" collapsed="false"/>
    <row r="31460" customFormat="false" ht="15" hidden="false" customHeight="true" outlineLevel="0" collapsed="false"/>
    <row r="31461" customFormat="false" ht="15" hidden="false" customHeight="true" outlineLevel="0" collapsed="false"/>
    <row r="31462" customFormat="false" ht="15" hidden="false" customHeight="true" outlineLevel="0" collapsed="false"/>
    <row r="31463" customFormat="false" ht="15" hidden="false" customHeight="true" outlineLevel="0" collapsed="false"/>
    <row r="31464" customFormat="false" ht="15" hidden="false" customHeight="true" outlineLevel="0" collapsed="false"/>
    <row r="31465" customFormat="false" ht="15" hidden="false" customHeight="true" outlineLevel="0" collapsed="false"/>
    <row r="31466" customFormat="false" ht="15" hidden="false" customHeight="true" outlineLevel="0" collapsed="false"/>
    <row r="31467" customFormat="false" ht="15" hidden="false" customHeight="true" outlineLevel="0" collapsed="false"/>
    <row r="31468" customFormat="false" ht="15" hidden="false" customHeight="true" outlineLevel="0" collapsed="false"/>
    <row r="31469" customFormat="false" ht="15" hidden="false" customHeight="true" outlineLevel="0" collapsed="false"/>
    <row r="31470" customFormat="false" ht="15" hidden="false" customHeight="true" outlineLevel="0" collapsed="false"/>
    <row r="31471" customFormat="false" ht="15" hidden="false" customHeight="true" outlineLevel="0" collapsed="false"/>
    <row r="31472" customFormat="false" ht="15" hidden="false" customHeight="true" outlineLevel="0" collapsed="false"/>
    <row r="31473" customFormat="false" ht="15" hidden="false" customHeight="true" outlineLevel="0" collapsed="false"/>
    <row r="31474" customFormat="false" ht="15" hidden="false" customHeight="true" outlineLevel="0" collapsed="false"/>
    <row r="31475" customFormat="false" ht="15" hidden="false" customHeight="true" outlineLevel="0" collapsed="false"/>
    <row r="31476" customFormat="false" ht="15" hidden="false" customHeight="true" outlineLevel="0" collapsed="false"/>
    <row r="31477" customFormat="false" ht="15" hidden="false" customHeight="true" outlineLevel="0" collapsed="false"/>
    <row r="31478" customFormat="false" ht="15" hidden="false" customHeight="true" outlineLevel="0" collapsed="false"/>
    <row r="31479" customFormat="false" ht="15" hidden="false" customHeight="true" outlineLevel="0" collapsed="false"/>
    <row r="31480" customFormat="false" ht="15" hidden="false" customHeight="true" outlineLevel="0" collapsed="false"/>
    <row r="31481" customFormat="false" ht="15" hidden="false" customHeight="true" outlineLevel="0" collapsed="false"/>
    <row r="31482" customFormat="false" ht="15" hidden="false" customHeight="true" outlineLevel="0" collapsed="false"/>
    <row r="31483" customFormat="false" ht="15" hidden="false" customHeight="true" outlineLevel="0" collapsed="false"/>
    <row r="31484" customFormat="false" ht="15" hidden="false" customHeight="true" outlineLevel="0" collapsed="false"/>
    <row r="31485" customFormat="false" ht="15" hidden="false" customHeight="true" outlineLevel="0" collapsed="false"/>
    <row r="31486" customFormat="false" ht="15" hidden="false" customHeight="true" outlineLevel="0" collapsed="false"/>
    <row r="31487" customFormat="false" ht="15" hidden="false" customHeight="true" outlineLevel="0" collapsed="false"/>
    <row r="31488" customFormat="false" ht="15" hidden="false" customHeight="true" outlineLevel="0" collapsed="false"/>
    <row r="31489" customFormat="false" ht="15" hidden="false" customHeight="true" outlineLevel="0" collapsed="false"/>
    <row r="31490" customFormat="false" ht="15" hidden="false" customHeight="true" outlineLevel="0" collapsed="false"/>
    <row r="31491" customFormat="false" ht="15" hidden="false" customHeight="true" outlineLevel="0" collapsed="false"/>
    <row r="31492" customFormat="false" ht="15" hidden="false" customHeight="true" outlineLevel="0" collapsed="false"/>
    <row r="31493" customFormat="false" ht="15" hidden="false" customHeight="true" outlineLevel="0" collapsed="false"/>
    <row r="31494" customFormat="false" ht="15" hidden="false" customHeight="true" outlineLevel="0" collapsed="false"/>
    <row r="31495" customFormat="false" ht="15" hidden="false" customHeight="true" outlineLevel="0" collapsed="false"/>
    <row r="31496" customFormat="false" ht="15" hidden="false" customHeight="true" outlineLevel="0" collapsed="false"/>
    <row r="31497" customFormat="false" ht="15" hidden="false" customHeight="true" outlineLevel="0" collapsed="false"/>
    <row r="31498" customFormat="false" ht="15" hidden="false" customHeight="true" outlineLevel="0" collapsed="false"/>
    <row r="31499" customFormat="false" ht="15" hidden="false" customHeight="true" outlineLevel="0" collapsed="false"/>
    <row r="31500" customFormat="false" ht="15" hidden="false" customHeight="true" outlineLevel="0" collapsed="false"/>
    <row r="31501" customFormat="false" ht="15" hidden="false" customHeight="true" outlineLevel="0" collapsed="false"/>
    <row r="31502" customFormat="false" ht="15" hidden="false" customHeight="true" outlineLevel="0" collapsed="false"/>
    <row r="31503" customFormat="false" ht="15" hidden="false" customHeight="true" outlineLevel="0" collapsed="false"/>
    <row r="31504" customFormat="false" ht="15" hidden="false" customHeight="true" outlineLevel="0" collapsed="false"/>
    <row r="31505" customFormat="false" ht="15" hidden="false" customHeight="true" outlineLevel="0" collapsed="false"/>
    <row r="31506" customFormat="false" ht="15" hidden="false" customHeight="true" outlineLevel="0" collapsed="false"/>
    <row r="31507" customFormat="false" ht="15" hidden="false" customHeight="true" outlineLevel="0" collapsed="false"/>
    <row r="31508" customFormat="false" ht="15" hidden="false" customHeight="true" outlineLevel="0" collapsed="false"/>
    <row r="31509" customFormat="false" ht="15" hidden="false" customHeight="true" outlineLevel="0" collapsed="false"/>
    <row r="31510" customFormat="false" ht="15" hidden="false" customHeight="true" outlineLevel="0" collapsed="false"/>
    <row r="31511" customFormat="false" ht="15" hidden="false" customHeight="true" outlineLevel="0" collapsed="false"/>
    <row r="31512" customFormat="false" ht="15" hidden="false" customHeight="true" outlineLevel="0" collapsed="false"/>
    <row r="31513" customFormat="false" ht="15" hidden="false" customHeight="true" outlineLevel="0" collapsed="false"/>
    <row r="31514" customFormat="false" ht="15" hidden="false" customHeight="true" outlineLevel="0" collapsed="false"/>
    <row r="31515" customFormat="false" ht="15" hidden="false" customHeight="true" outlineLevel="0" collapsed="false"/>
    <row r="31516" customFormat="false" ht="15" hidden="false" customHeight="true" outlineLevel="0" collapsed="false"/>
    <row r="31517" customFormat="false" ht="15" hidden="false" customHeight="true" outlineLevel="0" collapsed="false"/>
    <row r="31518" customFormat="false" ht="15" hidden="false" customHeight="true" outlineLevel="0" collapsed="false"/>
    <row r="31519" customFormat="false" ht="15" hidden="false" customHeight="true" outlineLevel="0" collapsed="false"/>
    <row r="31520" customFormat="false" ht="15" hidden="false" customHeight="true" outlineLevel="0" collapsed="false"/>
    <row r="31521" customFormat="false" ht="15" hidden="false" customHeight="true" outlineLevel="0" collapsed="false"/>
    <row r="31522" customFormat="false" ht="15" hidden="false" customHeight="true" outlineLevel="0" collapsed="false"/>
    <row r="31523" customFormat="false" ht="15" hidden="false" customHeight="true" outlineLevel="0" collapsed="false"/>
    <row r="31524" customFormat="false" ht="15" hidden="false" customHeight="true" outlineLevel="0" collapsed="false"/>
    <row r="31525" customFormat="false" ht="15" hidden="false" customHeight="true" outlineLevel="0" collapsed="false"/>
    <row r="31526" customFormat="false" ht="15" hidden="false" customHeight="true" outlineLevel="0" collapsed="false"/>
    <row r="31527" customFormat="false" ht="15" hidden="false" customHeight="true" outlineLevel="0" collapsed="false"/>
    <row r="31528" customFormat="false" ht="15" hidden="false" customHeight="true" outlineLevel="0" collapsed="false"/>
    <row r="31529" customFormat="false" ht="15" hidden="false" customHeight="true" outlineLevel="0" collapsed="false"/>
    <row r="31530" customFormat="false" ht="15" hidden="false" customHeight="true" outlineLevel="0" collapsed="false"/>
    <row r="31531" customFormat="false" ht="15" hidden="false" customHeight="true" outlineLevel="0" collapsed="false"/>
    <row r="31532" customFormat="false" ht="15" hidden="false" customHeight="true" outlineLevel="0" collapsed="false"/>
    <row r="31533" customFormat="false" ht="15" hidden="false" customHeight="true" outlineLevel="0" collapsed="false"/>
    <row r="31534" customFormat="false" ht="15" hidden="false" customHeight="true" outlineLevel="0" collapsed="false"/>
    <row r="31535" customFormat="false" ht="15" hidden="false" customHeight="true" outlineLevel="0" collapsed="false"/>
    <row r="31536" customFormat="false" ht="15" hidden="false" customHeight="true" outlineLevel="0" collapsed="false"/>
    <row r="31537" customFormat="false" ht="15" hidden="false" customHeight="true" outlineLevel="0" collapsed="false"/>
    <row r="31538" customFormat="false" ht="15" hidden="false" customHeight="true" outlineLevel="0" collapsed="false"/>
    <row r="31539" customFormat="false" ht="15" hidden="false" customHeight="true" outlineLevel="0" collapsed="false"/>
    <row r="31540" customFormat="false" ht="15" hidden="false" customHeight="true" outlineLevel="0" collapsed="false"/>
    <row r="31541" customFormat="false" ht="15" hidden="false" customHeight="true" outlineLevel="0" collapsed="false"/>
    <row r="31542" customFormat="false" ht="15" hidden="false" customHeight="true" outlineLevel="0" collapsed="false"/>
    <row r="31543" customFormat="false" ht="15" hidden="false" customHeight="true" outlineLevel="0" collapsed="false"/>
    <row r="31544" customFormat="false" ht="15" hidden="false" customHeight="true" outlineLevel="0" collapsed="false"/>
    <row r="31545" customFormat="false" ht="15" hidden="false" customHeight="true" outlineLevel="0" collapsed="false"/>
    <row r="31546" customFormat="false" ht="15" hidden="false" customHeight="true" outlineLevel="0" collapsed="false"/>
    <row r="31547" customFormat="false" ht="15" hidden="false" customHeight="true" outlineLevel="0" collapsed="false"/>
    <row r="31548" customFormat="false" ht="15" hidden="false" customHeight="true" outlineLevel="0" collapsed="false"/>
    <row r="31549" customFormat="false" ht="15" hidden="false" customHeight="true" outlineLevel="0" collapsed="false"/>
    <row r="31550" customFormat="false" ht="15" hidden="false" customHeight="true" outlineLevel="0" collapsed="false"/>
    <row r="31551" customFormat="false" ht="15" hidden="false" customHeight="true" outlineLevel="0" collapsed="false"/>
    <row r="31552" customFormat="false" ht="15" hidden="false" customHeight="true" outlineLevel="0" collapsed="false"/>
    <row r="31553" customFormat="false" ht="15" hidden="false" customHeight="true" outlineLevel="0" collapsed="false"/>
    <row r="31554" customFormat="false" ht="15" hidden="false" customHeight="true" outlineLevel="0" collapsed="false"/>
    <row r="31555" customFormat="false" ht="15" hidden="false" customHeight="true" outlineLevel="0" collapsed="false"/>
    <row r="31556" customFormat="false" ht="15" hidden="false" customHeight="true" outlineLevel="0" collapsed="false"/>
    <row r="31557" customFormat="false" ht="15" hidden="false" customHeight="true" outlineLevel="0" collapsed="false"/>
    <row r="31558" customFormat="false" ht="15" hidden="false" customHeight="true" outlineLevel="0" collapsed="false"/>
    <row r="31559" customFormat="false" ht="15" hidden="false" customHeight="true" outlineLevel="0" collapsed="false"/>
    <row r="31560" customFormat="false" ht="15" hidden="false" customHeight="true" outlineLevel="0" collapsed="false"/>
    <row r="31561" customFormat="false" ht="15" hidden="false" customHeight="true" outlineLevel="0" collapsed="false"/>
    <row r="31562" customFormat="false" ht="15" hidden="false" customHeight="true" outlineLevel="0" collapsed="false"/>
    <row r="31563" customFormat="false" ht="15" hidden="false" customHeight="true" outlineLevel="0" collapsed="false"/>
    <row r="31564" customFormat="false" ht="15" hidden="false" customHeight="true" outlineLevel="0" collapsed="false"/>
    <row r="31565" customFormat="false" ht="15" hidden="false" customHeight="true" outlineLevel="0" collapsed="false"/>
    <row r="31566" customFormat="false" ht="15" hidden="false" customHeight="true" outlineLevel="0" collapsed="false"/>
    <row r="31567" customFormat="false" ht="15" hidden="false" customHeight="true" outlineLevel="0" collapsed="false"/>
    <row r="31568" customFormat="false" ht="15" hidden="false" customHeight="true" outlineLevel="0" collapsed="false"/>
    <row r="31569" customFormat="false" ht="15" hidden="false" customHeight="true" outlineLevel="0" collapsed="false"/>
    <row r="31570" customFormat="false" ht="15" hidden="false" customHeight="true" outlineLevel="0" collapsed="false"/>
    <row r="31571" customFormat="false" ht="15" hidden="false" customHeight="true" outlineLevel="0" collapsed="false"/>
    <row r="31572" customFormat="false" ht="15" hidden="false" customHeight="true" outlineLevel="0" collapsed="false"/>
    <row r="31573" customFormat="false" ht="15" hidden="false" customHeight="true" outlineLevel="0" collapsed="false"/>
    <row r="31574" customFormat="false" ht="15" hidden="false" customHeight="true" outlineLevel="0" collapsed="false"/>
    <row r="31575" customFormat="false" ht="15" hidden="false" customHeight="true" outlineLevel="0" collapsed="false"/>
    <row r="31576" customFormat="false" ht="15" hidden="false" customHeight="true" outlineLevel="0" collapsed="false"/>
    <row r="31577" customFormat="false" ht="15" hidden="false" customHeight="true" outlineLevel="0" collapsed="false"/>
    <row r="31578" customFormat="false" ht="15" hidden="false" customHeight="true" outlineLevel="0" collapsed="false"/>
    <row r="31579" customFormat="false" ht="15" hidden="false" customHeight="true" outlineLevel="0" collapsed="false"/>
    <row r="31580" customFormat="false" ht="15" hidden="false" customHeight="true" outlineLevel="0" collapsed="false"/>
    <row r="31581" customFormat="false" ht="15" hidden="false" customHeight="true" outlineLevel="0" collapsed="false"/>
    <row r="31582" customFormat="false" ht="15" hidden="false" customHeight="true" outlineLevel="0" collapsed="false"/>
    <row r="31583" customFormat="false" ht="15" hidden="false" customHeight="true" outlineLevel="0" collapsed="false"/>
    <row r="31584" customFormat="false" ht="15" hidden="false" customHeight="true" outlineLevel="0" collapsed="false"/>
    <row r="31585" customFormat="false" ht="15" hidden="false" customHeight="true" outlineLevel="0" collapsed="false"/>
    <row r="31586" customFormat="false" ht="15" hidden="false" customHeight="true" outlineLevel="0" collapsed="false"/>
    <row r="31587" customFormat="false" ht="15" hidden="false" customHeight="true" outlineLevel="0" collapsed="false"/>
    <row r="31588" customFormat="false" ht="15" hidden="false" customHeight="true" outlineLevel="0" collapsed="false"/>
    <row r="31589" customFormat="false" ht="15" hidden="false" customHeight="true" outlineLevel="0" collapsed="false"/>
    <row r="31590" customFormat="false" ht="15" hidden="false" customHeight="true" outlineLevel="0" collapsed="false"/>
    <row r="31591" customFormat="false" ht="15" hidden="false" customHeight="true" outlineLevel="0" collapsed="false"/>
    <row r="31592" customFormat="false" ht="15" hidden="false" customHeight="true" outlineLevel="0" collapsed="false"/>
    <row r="31593" customFormat="false" ht="15" hidden="false" customHeight="true" outlineLevel="0" collapsed="false"/>
    <row r="31594" customFormat="false" ht="15" hidden="false" customHeight="true" outlineLevel="0" collapsed="false"/>
    <row r="31595" customFormat="false" ht="15" hidden="false" customHeight="true" outlineLevel="0" collapsed="false"/>
    <row r="31596" customFormat="false" ht="15" hidden="false" customHeight="true" outlineLevel="0" collapsed="false"/>
    <row r="31597" customFormat="false" ht="15" hidden="false" customHeight="true" outlineLevel="0" collapsed="false"/>
    <row r="31598" customFormat="false" ht="15" hidden="false" customHeight="true" outlineLevel="0" collapsed="false"/>
    <row r="31599" customFormat="false" ht="15" hidden="false" customHeight="true" outlineLevel="0" collapsed="false"/>
    <row r="31600" customFormat="false" ht="15" hidden="false" customHeight="true" outlineLevel="0" collapsed="false"/>
    <row r="31601" customFormat="false" ht="15" hidden="false" customHeight="true" outlineLevel="0" collapsed="false"/>
    <row r="31602" customFormat="false" ht="15" hidden="false" customHeight="true" outlineLevel="0" collapsed="false"/>
    <row r="31603" customFormat="false" ht="15" hidden="false" customHeight="true" outlineLevel="0" collapsed="false"/>
    <row r="31604" customFormat="false" ht="15" hidden="false" customHeight="true" outlineLevel="0" collapsed="false"/>
    <row r="31605" customFormat="false" ht="15" hidden="false" customHeight="true" outlineLevel="0" collapsed="false"/>
    <row r="31606" customFormat="false" ht="15" hidden="false" customHeight="true" outlineLevel="0" collapsed="false"/>
    <row r="31607" customFormat="false" ht="15" hidden="false" customHeight="true" outlineLevel="0" collapsed="false"/>
    <row r="31608" customFormat="false" ht="15" hidden="false" customHeight="true" outlineLevel="0" collapsed="false"/>
    <row r="31609" customFormat="false" ht="15" hidden="false" customHeight="true" outlineLevel="0" collapsed="false"/>
    <row r="31610" customFormat="false" ht="15" hidden="false" customHeight="true" outlineLevel="0" collapsed="false"/>
    <row r="31611" customFormat="false" ht="15" hidden="false" customHeight="true" outlineLevel="0" collapsed="false"/>
    <row r="31612" customFormat="false" ht="15" hidden="false" customHeight="true" outlineLevel="0" collapsed="false"/>
    <row r="31613" customFormat="false" ht="15" hidden="false" customHeight="true" outlineLevel="0" collapsed="false"/>
    <row r="31614" customFormat="false" ht="15" hidden="false" customHeight="true" outlineLevel="0" collapsed="false"/>
    <row r="31615" customFormat="false" ht="15" hidden="false" customHeight="true" outlineLevel="0" collapsed="false"/>
    <row r="31616" customFormat="false" ht="15" hidden="false" customHeight="true" outlineLevel="0" collapsed="false"/>
    <row r="31617" customFormat="false" ht="15" hidden="false" customHeight="true" outlineLevel="0" collapsed="false"/>
    <row r="31618" customFormat="false" ht="15" hidden="false" customHeight="true" outlineLevel="0" collapsed="false"/>
    <row r="31619" customFormat="false" ht="15" hidden="false" customHeight="true" outlineLevel="0" collapsed="false"/>
    <row r="31620" customFormat="false" ht="15" hidden="false" customHeight="true" outlineLevel="0" collapsed="false"/>
    <row r="31621" customFormat="false" ht="15" hidden="false" customHeight="true" outlineLevel="0" collapsed="false"/>
    <row r="31622" customFormat="false" ht="15" hidden="false" customHeight="true" outlineLevel="0" collapsed="false"/>
    <row r="31623" customFormat="false" ht="15" hidden="false" customHeight="true" outlineLevel="0" collapsed="false"/>
    <row r="31624" customFormat="false" ht="15" hidden="false" customHeight="true" outlineLevel="0" collapsed="false"/>
    <row r="31625" customFormat="false" ht="15" hidden="false" customHeight="true" outlineLevel="0" collapsed="false"/>
    <row r="31626" customFormat="false" ht="15" hidden="false" customHeight="true" outlineLevel="0" collapsed="false"/>
    <row r="31627" customFormat="false" ht="15" hidden="false" customHeight="true" outlineLevel="0" collapsed="false"/>
    <row r="31628" customFormat="false" ht="15" hidden="false" customHeight="true" outlineLevel="0" collapsed="false"/>
    <row r="31629" customFormat="false" ht="15" hidden="false" customHeight="true" outlineLevel="0" collapsed="false"/>
    <row r="31630" customFormat="false" ht="15" hidden="false" customHeight="true" outlineLevel="0" collapsed="false"/>
    <row r="31631" customFormat="false" ht="15" hidden="false" customHeight="true" outlineLevel="0" collapsed="false"/>
    <row r="31632" customFormat="false" ht="15" hidden="false" customHeight="true" outlineLevel="0" collapsed="false"/>
    <row r="31633" customFormat="false" ht="15" hidden="false" customHeight="true" outlineLevel="0" collapsed="false"/>
    <row r="31634" customFormat="false" ht="15" hidden="false" customHeight="true" outlineLevel="0" collapsed="false"/>
    <row r="31635" customFormat="false" ht="15" hidden="false" customHeight="true" outlineLevel="0" collapsed="false"/>
    <row r="31636" customFormat="false" ht="15" hidden="false" customHeight="true" outlineLevel="0" collapsed="false"/>
    <row r="31637" customFormat="false" ht="15" hidden="false" customHeight="true" outlineLevel="0" collapsed="false"/>
    <row r="31638" customFormat="false" ht="15" hidden="false" customHeight="true" outlineLevel="0" collapsed="false"/>
    <row r="31639" customFormat="false" ht="15" hidden="false" customHeight="true" outlineLevel="0" collapsed="false"/>
    <row r="31640" customFormat="false" ht="15" hidden="false" customHeight="true" outlineLevel="0" collapsed="false"/>
    <row r="31641" customFormat="false" ht="15" hidden="false" customHeight="true" outlineLevel="0" collapsed="false"/>
    <row r="31642" customFormat="false" ht="15" hidden="false" customHeight="true" outlineLevel="0" collapsed="false"/>
    <row r="31643" customFormat="false" ht="15" hidden="false" customHeight="true" outlineLevel="0" collapsed="false"/>
    <row r="31644" customFormat="false" ht="15" hidden="false" customHeight="true" outlineLevel="0" collapsed="false"/>
    <row r="31645" customFormat="false" ht="15" hidden="false" customHeight="true" outlineLevel="0" collapsed="false"/>
    <row r="31646" customFormat="false" ht="15" hidden="false" customHeight="true" outlineLevel="0" collapsed="false"/>
    <row r="31647" customFormat="false" ht="15" hidden="false" customHeight="true" outlineLevel="0" collapsed="false"/>
    <row r="31648" customFormat="false" ht="15" hidden="false" customHeight="true" outlineLevel="0" collapsed="false"/>
    <row r="31649" customFormat="false" ht="15" hidden="false" customHeight="true" outlineLevel="0" collapsed="false"/>
    <row r="31650" customFormat="false" ht="15" hidden="false" customHeight="true" outlineLevel="0" collapsed="false"/>
    <row r="31651" customFormat="false" ht="15" hidden="false" customHeight="true" outlineLevel="0" collapsed="false"/>
    <row r="31652" customFormat="false" ht="15" hidden="false" customHeight="true" outlineLevel="0" collapsed="false"/>
    <row r="31653" customFormat="false" ht="15" hidden="false" customHeight="true" outlineLevel="0" collapsed="false"/>
    <row r="31654" customFormat="false" ht="15" hidden="false" customHeight="true" outlineLevel="0" collapsed="false"/>
    <row r="31655" customFormat="false" ht="15" hidden="false" customHeight="true" outlineLevel="0" collapsed="false"/>
    <row r="31656" customFormat="false" ht="15" hidden="false" customHeight="true" outlineLevel="0" collapsed="false"/>
    <row r="31657" customFormat="false" ht="15" hidden="false" customHeight="true" outlineLevel="0" collapsed="false"/>
    <row r="31658" customFormat="false" ht="15" hidden="false" customHeight="true" outlineLevel="0" collapsed="false"/>
    <row r="31659" customFormat="false" ht="15" hidden="false" customHeight="true" outlineLevel="0" collapsed="false"/>
    <row r="31660" customFormat="false" ht="15" hidden="false" customHeight="true" outlineLevel="0" collapsed="false"/>
    <row r="31661" customFormat="false" ht="15" hidden="false" customHeight="true" outlineLevel="0" collapsed="false"/>
    <row r="31662" customFormat="false" ht="15" hidden="false" customHeight="true" outlineLevel="0" collapsed="false"/>
    <row r="31663" customFormat="false" ht="15" hidden="false" customHeight="true" outlineLevel="0" collapsed="false"/>
    <row r="31664" customFormat="false" ht="15" hidden="false" customHeight="true" outlineLevel="0" collapsed="false"/>
    <row r="31665" customFormat="false" ht="15" hidden="false" customHeight="true" outlineLevel="0" collapsed="false"/>
    <row r="31666" customFormat="false" ht="15" hidden="false" customHeight="true" outlineLevel="0" collapsed="false"/>
    <row r="31667" customFormat="false" ht="15" hidden="false" customHeight="true" outlineLevel="0" collapsed="false"/>
    <row r="31668" customFormat="false" ht="15" hidden="false" customHeight="true" outlineLevel="0" collapsed="false"/>
    <row r="31669" customFormat="false" ht="15" hidden="false" customHeight="true" outlineLevel="0" collapsed="false"/>
    <row r="31670" customFormat="false" ht="15" hidden="false" customHeight="true" outlineLevel="0" collapsed="false"/>
    <row r="31671" customFormat="false" ht="15" hidden="false" customHeight="true" outlineLevel="0" collapsed="false"/>
    <row r="31672" customFormat="false" ht="15" hidden="false" customHeight="true" outlineLevel="0" collapsed="false"/>
    <row r="31673" customFormat="false" ht="15" hidden="false" customHeight="true" outlineLevel="0" collapsed="false"/>
    <row r="31674" customFormat="false" ht="15" hidden="false" customHeight="true" outlineLevel="0" collapsed="false"/>
    <row r="31675" customFormat="false" ht="15" hidden="false" customHeight="true" outlineLevel="0" collapsed="false"/>
    <row r="31676" customFormat="false" ht="15" hidden="false" customHeight="true" outlineLevel="0" collapsed="false"/>
    <row r="31677" customFormat="false" ht="15" hidden="false" customHeight="true" outlineLevel="0" collapsed="false"/>
    <row r="31678" customFormat="false" ht="15" hidden="false" customHeight="true" outlineLevel="0" collapsed="false"/>
    <row r="31679" customFormat="false" ht="15" hidden="false" customHeight="true" outlineLevel="0" collapsed="false"/>
    <row r="31680" customFormat="false" ht="15" hidden="false" customHeight="true" outlineLevel="0" collapsed="false"/>
    <row r="31681" customFormat="false" ht="15" hidden="false" customHeight="true" outlineLevel="0" collapsed="false"/>
    <row r="31682" customFormat="false" ht="15" hidden="false" customHeight="true" outlineLevel="0" collapsed="false"/>
    <row r="31683" customFormat="false" ht="15" hidden="false" customHeight="true" outlineLevel="0" collapsed="false"/>
    <row r="31684" customFormat="false" ht="15" hidden="false" customHeight="true" outlineLevel="0" collapsed="false"/>
    <row r="31685" customFormat="false" ht="15" hidden="false" customHeight="true" outlineLevel="0" collapsed="false"/>
    <row r="31686" customFormat="false" ht="15" hidden="false" customHeight="true" outlineLevel="0" collapsed="false"/>
    <row r="31687" customFormat="false" ht="15" hidden="false" customHeight="true" outlineLevel="0" collapsed="false"/>
    <row r="31688" customFormat="false" ht="15" hidden="false" customHeight="true" outlineLevel="0" collapsed="false"/>
    <row r="31689" customFormat="false" ht="15" hidden="false" customHeight="true" outlineLevel="0" collapsed="false"/>
    <row r="31690" customFormat="false" ht="15" hidden="false" customHeight="true" outlineLevel="0" collapsed="false"/>
    <row r="31691" customFormat="false" ht="15" hidden="false" customHeight="true" outlineLevel="0" collapsed="false"/>
    <row r="31692" customFormat="false" ht="15" hidden="false" customHeight="true" outlineLevel="0" collapsed="false"/>
    <row r="31693" customFormat="false" ht="15" hidden="false" customHeight="true" outlineLevel="0" collapsed="false"/>
    <row r="31694" customFormat="false" ht="15" hidden="false" customHeight="true" outlineLevel="0" collapsed="false"/>
    <row r="31695" customFormat="false" ht="15" hidden="false" customHeight="true" outlineLevel="0" collapsed="false"/>
    <row r="31696" customFormat="false" ht="15" hidden="false" customHeight="true" outlineLevel="0" collapsed="false"/>
    <row r="31697" customFormat="false" ht="15" hidden="false" customHeight="true" outlineLevel="0" collapsed="false"/>
    <row r="31698" customFormat="false" ht="15" hidden="false" customHeight="true" outlineLevel="0" collapsed="false"/>
    <row r="31699" customFormat="false" ht="15" hidden="false" customHeight="true" outlineLevel="0" collapsed="false"/>
    <row r="31700" customFormat="false" ht="15" hidden="false" customHeight="true" outlineLevel="0" collapsed="false"/>
    <row r="31701" customFormat="false" ht="15" hidden="false" customHeight="true" outlineLevel="0" collapsed="false"/>
    <row r="31702" customFormat="false" ht="15" hidden="false" customHeight="true" outlineLevel="0" collapsed="false"/>
    <row r="31703" customFormat="false" ht="15" hidden="false" customHeight="true" outlineLevel="0" collapsed="false"/>
    <row r="31704" customFormat="false" ht="15" hidden="false" customHeight="true" outlineLevel="0" collapsed="false"/>
    <row r="31705" customFormat="false" ht="15" hidden="false" customHeight="true" outlineLevel="0" collapsed="false"/>
    <row r="31706" customFormat="false" ht="15" hidden="false" customHeight="true" outlineLevel="0" collapsed="false"/>
    <row r="31707" customFormat="false" ht="15" hidden="false" customHeight="true" outlineLevel="0" collapsed="false"/>
    <row r="31708" customFormat="false" ht="15" hidden="false" customHeight="true" outlineLevel="0" collapsed="false"/>
    <row r="31709" customFormat="false" ht="15" hidden="false" customHeight="true" outlineLevel="0" collapsed="false"/>
    <row r="31710" customFormat="false" ht="15" hidden="false" customHeight="true" outlineLevel="0" collapsed="false"/>
    <row r="31711" customFormat="false" ht="15" hidden="false" customHeight="true" outlineLevel="0" collapsed="false"/>
    <row r="31712" customFormat="false" ht="15" hidden="false" customHeight="true" outlineLevel="0" collapsed="false"/>
    <row r="31713" customFormat="false" ht="15" hidden="false" customHeight="true" outlineLevel="0" collapsed="false"/>
    <row r="31714" customFormat="false" ht="15" hidden="false" customHeight="true" outlineLevel="0" collapsed="false"/>
    <row r="31715" customFormat="false" ht="15" hidden="false" customHeight="true" outlineLevel="0" collapsed="false"/>
    <row r="31716" customFormat="false" ht="15" hidden="false" customHeight="true" outlineLevel="0" collapsed="false"/>
    <row r="31717" customFormat="false" ht="15" hidden="false" customHeight="true" outlineLevel="0" collapsed="false"/>
    <row r="31718" customFormat="false" ht="15" hidden="false" customHeight="true" outlineLevel="0" collapsed="false"/>
    <row r="31719" customFormat="false" ht="15" hidden="false" customHeight="true" outlineLevel="0" collapsed="false"/>
    <row r="31720" customFormat="false" ht="15" hidden="false" customHeight="true" outlineLevel="0" collapsed="false"/>
    <row r="31721" customFormat="false" ht="15" hidden="false" customHeight="true" outlineLevel="0" collapsed="false"/>
    <row r="31722" customFormat="false" ht="15" hidden="false" customHeight="true" outlineLevel="0" collapsed="false"/>
    <row r="31723" customFormat="false" ht="15" hidden="false" customHeight="true" outlineLevel="0" collapsed="false"/>
    <row r="31724" customFormat="false" ht="15" hidden="false" customHeight="true" outlineLevel="0" collapsed="false"/>
    <row r="31725" customFormat="false" ht="15" hidden="false" customHeight="true" outlineLevel="0" collapsed="false"/>
    <row r="31726" customFormat="false" ht="15" hidden="false" customHeight="true" outlineLevel="0" collapsed="false"/>
    <row r="31727" customFormat="false" ht="15" hidden="false" customHeight="true" outlineLevel="0" collapsed="false"/>
    <row r="31728" customFormat="false" ht="15" hidden="false" customHeight="true" outlineLevel="0" collapsed="false"/>
    <row r="31729" customFormat="false" ht="15" hidden="false" customHeight="true" outlineLevel="0" collapsed="false"/>
    <row r="31730" customFormat="false" ht="15" hidden="false" customHeight="true" outlineLevel="0" collapsed="false"/>
    <row r="31731" customFormat="false" ht="15" hidden="false" customHeight="true" outlineLevel="0" collapsed="false"/>
    <row r="31732" customFormat="false" ht="15" hidden="false" customHeight="true" outlineLevel="0" collapsed="false"/>
    <row r="31733" customFormat="false" ht="15" hidden="false" customHeight="true" outlineLevel="0" collapsed="false"/>
    <row r="31734" customFormat="false" ht="15" hidden="false" customHeight="true" outlineLevel="0" collapsed="false"/>
    <row r="31735" customFormat="false" ht="15" hidden="false" customHeight="true" outlineLevel="0" collapsed="false"/>
    <row r="31736" customFormat="false" ht="15" hidden="false" customHeight="true" outlineLevel="0" collapsed="false"/>
    <row r="31737" customFormat="false" ht="15" hidden="false" customHeight="true" outlineLevel="0" collapsed="false"/>
    <row r="31738" customFormat="false" ht="15" hidden="false" customHeight="true" outlineLevel="0" collapsed="false"/>
    <row r="31739" customFormat="false" ht="15" hidden="false" customHeight="true" outlineLevel="0" collapsed="false"/>
    <row r="31740" customFormat="false" ht="15" hidden="false" customHeight="true" outlineLevel="0" collapsed="false"/>
    <row r="31741" customFormat="false" ht="15" hidden="false" customHeight="true" outlineLevel="0" collapsed="false"/>
    <row r="31742" customFormat="false" ht="15" hidden="false" customHeight="true" outlineLevel="0" collapsed="false"/>
    <row r="31743" customFormat="false" ht="15" hidden="false" customHeight="true" outlineLevel="0" collapsed="false"/>
    <row r="31744" customFormat="false" ht="15" hidden="false" customHeight="true" outlineLevel="0" collapsed="false"/>
    <row r="31745" customFormat="false" ht="15" hidden="false" customHeight="true" outlineLevel="0" collapsed="false"/>
    <row r="31746" customFormat="false" ht="15" hidden="false" customHeight="true" outlineLevel="0" collapsed="false"/>
    <row r="31747" customFormat="false" ht="15" hidden="false" customHeight="true" outlineLevel="0" collapsed="false"/>
    <row r="31748" customFormat="false" ht="15" hidden="false" customHeight="true" outlineLevel="0" collapsed="false"/>
    <row r="31749" customFormat="false" ht="15" hidden="false" customHeight="true" outlineLevel="0" collapsed="false"/>
    <row r="31750" customFormat="false" ht="15" hidden="false" customHeight="true" outlineLevel="0" collapsed="false"/>
    <row r="31751" customFormat="false" ht="15" hidden="false" customHeight="true" outlineLevel="0" collapsed="false"/>
    <row r="31752" customFormat="false" ht="15" hidden="false" customHeight="true" outlineLevel="0" collapsed="false"/>
    <row r="31753" customFormat="false" ht="15" hidden="false" customHeight="true" outlineLevel="0" collapsed="false"/>
    <row r="31754" customFormat="false" ht="15" hidden="false" customHeight="true" outlineLevel="0" collapsed="false"/>
    <row r="31755" customFormat="false" ht="15" hidden="false" customHeight="true" outlineLevel="0" collapsed="false"/>
    <row r="31756" customFormat="false" ht="15" hidden="false" customHeight="true" outlineLevel="0" collapsed="false"/>
    <row r="31757" customFormat="false" ht="15" hidden="false" customHeight="true" outlineLevel="0" collapsed="false"/>
    <row r="31758" customFormat="false" ht="15" hidden="false" customHeight="true" outlineLevel="0" collapsed="false"/>
    <row r="31759" customFormat="false" ht="15" hidden="false" customHeight="true" outlineLevel="0" collapsed="false"/>
    <row r="31760" customFormat="false" ht="15" hidden="false" customHeight="true" outlineLevel="0" collapsed="false"/>
    <row r="31761" customFormat="false" ht="15" hidden="false" customHeight="true" outlineLevel="0" collapsed="false"/>
    <row r="31762" customFormat="false" ht="15" hidden="false" customHeight="true" outlineLevel="0" collapsed="false"/>
    <row r="31763" customFormat="false" ht="15" hidden="false" customHeight="true" outlineLevel="0" collapsed="false"/>
    <row r="31764" customFormat="false" ht="15" hidden="false" customHeight="true" outlineLevel="0" collapsed="false"/>
    <row r="31765" customFormat="false" ht="15" hidden="false" customHeight="true" outlineLevel="0" collapsed="false"/>
    <row r="31766" customFormat="false" ht="15" hidden="false" customHeight="true" outlineLevel="0" collapsed="false"/>
    <row r="31767" customFormat="false" ht="15" hidden="false" customHeight="true" outlineLevel="0" collapsed="false"/>
    <row r="31768" customFormat="false" ht="15" hidden="false" customHeight="true" outlineLevel="0" collapsed="false"/>
    <row r="31769" customFormat="false" ht="15" hidden="false" customHeight="true" outlineLevel="0" collapsed="false"/>
    <row r="31770" customFormat="false" ht="15" hidden="false" customHeight="true" outlineLevel="0" collapsed="false"/>
    <row r="31771" customFormat="false" ht="15" hidden="false" customHeight="true" outlineLevel="0" collapsed="false"/>
    <row r="31772" customFormat="false" ht="15" hidden="false" customHeight="true" outlineLevel="0" collapsed="false"/>
    <row r="31773" customFormat="false" ht="15" hidden="false" customHeight="true" outlineLevel="0" collapsed="false"/>
    <row r="31774" customFormat="false" ht="15" hidden="false" customHeight="true" outlineLevel="0" collapsed="false"/>
    <row r="31775" customFormat="false" ht="15" hidden="false" customHeight="true" outlineLevel="0" collapsed="false"/>
    <row r="31776" customFormat="false" ht="15" hidden="false" customHeight="true" outlineLevel="0" collapsed="false"/>
    <row r="31777" customFormat="false" ht="15" hidden="false" customHeight="true" outlineLevel="0" collapsed="false"/>
    <row r="31778" customFormat="false" ht="15" hidden="false" customHeight="true" outlineLevel="0" collapsed="false"/>
    <row r="31779" customFormat="false" ht="15" hidden="false" customHeight="true" outlineLevel="0" collapsed="false"/>
    <row r="31780" customFormat="false" ht="15" hidden="false" customHeight="true" outlineLevel="0" collapsed="false"/>
    <row r="31781" customFormat="false" ht="15" hidden="false" customHeight="true" outlineLevel="0" collapsed="false"/>
    <row r="31782" customFormat="false" ht="15" hidden="false" customHeight="true" outlineLevel="0" collapsed="false"/>
    <row r="31783" customFormat="false" ht="15" hidden="false" customHeight="true" outlineLevel="0" collapsed="false"/>
    <row r="31784" customFormat="false" ht="15" hidden="false" customHeight="true" outlineLevel="0" collapsed="false"/>
    <row r="31785" customFormat="false" ht="15" hidden="false" customHeight="true" outlineLevel="0" collapsed="false"/>
    <row r="31786" customFormat="false" ht="15" hidden="false" customHeight="true" outlineLevel="0" collapsed="false"/>
    <row r="31787" customFormat="false" ht="15" hidden="false" customHeight="true" outlineLevel="0" collapsed="false"/>
    <row r="31788" customFormat="false" ht="15" hidden="false" customHeight="true" outlineLevel="0" collapsed="false"/>
    <row r="31789" customFormat="false" ht="15" hidden="false" customHeight="true" outlineLevel="0" collapsed="false"/>
    <row r="31790" customFormat="false" ht="15" hidden="false" customHeight="true" outlineLevel="0" collapsed="false"/>
    <row r="31791" customFormat="false" ht="15" hidden="false" customHeight="true" outlineLevel="0" collapsed="false"/>
    <row r="31792" customFormat="false" ht="15" hidden="false" customHeight="true" outlineLevel="0" collapsed="false"/>
    <row r="31793" customFormat="false" ht="15" hidden="false" customHeight="true" outlineLevel="0" collapsed="false"/>
    <row r="31794" customFormat="false" ht="15" hidden="false" customHeight="true" outlineLevel="0" collapsed="false"/>
    <row r="31795" customFormat="false" ht="15" hidden="false" customHeight="true" outlineLevel="0" collapsed="false"/>
    <row r="31796" customFormat="false" ht="15" hidden="false" customHeight="true" outlineLevel="0" collapsed="false"/>
    <row r="31797" customFormat="false" ht="15" hidden="false" customHeight="true" outlineLevel="0" collapsed="false"/>
    <row r="31798" customFormat="false" ht="15" hidden="false" customHeight="true" outlineLevel="0" collapsed="false"/>
    <row r="31799" customFormat="false" ht="15" hidden="false" customHeight="true" outlineLevel="0" collapsed="false"/>
    <row r="31800" customFormat="false" ht="15" hidden="false" customHeight="true" outlineLevel="0" collapsed="false"/>
    <row r="31801" customFormat="false" ht="15" hidden="false" customHeight="true" outlineLevel="0" collapsed="false"/>
    <row r="31802" customFormat="false" ht="15" hidden="false" customHeight="true" outlineLevel="0" collapsed="false"/>
    <row r="31803" customFormat="false" ht="15" hidden="false" customHeight="true" outlineLevel="0" collapsed="false"/>
    <row r="31804" customFormat="false" ht="15" hidden="false" customHeight="true" outlineLevel="0" collapsed="false"/>
    <row r="31805" customFormat="false" ht="15" hidden="false" customHeight="true" outlineLevel="0" collapsed="false"/>
    <row r="31806" customFormat="false" ht="15" hidden="false" customHeight="true" outlineLevel="0" collapsed="false"/>
    <row r="31807" customFormat="false" ht="15" hidden="false" customHeight="true" outlineLevel="0" collapsed="false"/>
    <row r="31808" customFormat="false" ht="15" hidden="false" customHeight="true" outlineLevel="0" collapsed="false"/>
    <row r="31809" customFormat="false" ht="15" hidden="false" customHeight="true" outlineLevel="0" collapsed="false"/>
    <row r="31810" customFormat="false" ht="15" hidden="false" customHeight="true" outlineLevel="0" collapsed="false"/>
    <row r="31811" customFormat="false" ht="15" hidden="false" customHeight="true" outlineLevel="0" collapsed="false"/>
    <row r="31812" customFormat="false" ht="15" hidden="false" customHeight="true" outlineLevel="0" collapsed="false"/>
    <row r="31813" customFormat="false" ht="15" hidden="false" customHeight="true" outlineLevel="0" collapsed="false"/>
    <row r="31814" customFormat="false" ht="15" hidden="false" customHeight="true" outlineLevel="0" collapsed="false"/>
    <row r="31815" customFormat="false" ht="15" hidden="false" customHeight="true" outlineLevel="0" collapsed="false"/>
    <row r="31816" customFormat="false" ht="15" hidden="false" customHeight="true" outlineLevel="0" collapsed="false"/>
    <row r="31817" customFormat="false" ht="15" hidden="false" customHeight="true" outlineLevel="0" collapsed="false"/>
    <row r="31818" customFormat="false" ht="15" hidden="false" customHeight="true" outlineLevel="0" collapsed="false"/>
    <row r="31819" customFormat="false" ht="15" hidden="false" customHeight="true" outlineLevel="0" collapsed="false"/>
    <row r="31820" customFormat="false" ht="15" hidden="false" customHeight="true" outlineLevel="0" collapsed="false"/>
    <row r="31821" customFormat="false" ht="15" hidden="false" customHeight="true" outlineLevel="0" collapsed="false"/>
    <row r="31822" customFormat="false" ht="15" hidden="false" customHeight="true" outlineLevel="0" collapsed="false"/>
    <row r="31823" customFormat="false" ht="15" hidden="false" customHeight="true" outlineLevel="0" collapsed="false"/>
    <row r="31824" customFormat="false" ht="15" hidden="false" customHeight="true" outlineLevel="0" collapsed="false"/>
    <row r="31825" customFormat="false" ht="15" hidden="false" customHeight="true" outlineLevel="0" collapsed="false"/>
    <row r="31826" customFormat="false" ht="15" hidden="false" customHeight="true" outlineLevel="0" collapsed="false"/>
    <row r="31827" customFormat="false" ht="15" hidden="false" customHeight="true" outlineLevel="0" collapsed="false"/>
    <row r="31828" customFormat="false" ht="15" hidden="false" customHeight="true" outlineLevel="0" collapsed="false"/>
    <row r="31829" customFormat="false" ht="15" hidden="false" customHeight="true" outlineLevel="0" collapsed="false"/>
    <row r="31830" customFormat="false" ht="15" hidden="false" customHeight="true" outlineLevel="0" collapsed="false"/>
    <row r="31831" customFormat="false" ht="15" hidden="false" customHeight="true" outlineLevel="0" collapsed="false"/>
    <row r="31832" customFormat="false" ht="15" hidden="false" customHeight="true" outlineLevel="0" collapsed="false"/>
    <row r="31833" customFormat="false" ht="15" hidden="false" customHeight="true" outlineLevel="0" collapsed="false"/>
    <row r="31834" customFormat="false" ht="15" hidden="false" customHeight="true" outlineLevel="0" collapsed="false"/>
    <row r="31835" customFormat="false" ht="15" hidden="false" customHeight="true" outlineLevel="0" collapsed="false"/>
    <row r="31836" customFormat="false" ht="15" hidden="false" customHeight="true" outlineLevel="0" collapsed="false"/>
    <row r="31837" customFormat="false" ht="15" hidden="false" customHeight="true" outlineLevel="0" collapsed="false"/>
    <row r="31838" customFormat="false" ht="15" hidden="false" customHeight="true" outlineLevel="0" collapsed="false"/>
    <row r="31839" customFormat="false" ht="15" hidden="false" customHeight="true" outlineLevel="0" collapsed="false"/>
    <row r="31840" customFormat="false" ht="15" hidden="false" customHeight="true" outlineLevel="0" collapsed="false"/>
    <row r="31841" customFormat="false" ht="15" hidden="false" customHeight="true" outlineLevel="0" collapsed="false"/>
    <row r="31842" customFormat="false" ht="15" hidden="false" customHeight="true" outlineLevel="0" collapsed="false"/>
    <row r="31843" customFormat="false" ht="15" hidden="false" customHeight="true" outlineLevel="0" collapsed="false"/>
    <row r="31844" customFormat="false" ht="15" hidden="false" customHeight="true" outlineLevel="0" collapsed="false"/>
    <row r="31845" customFormat="false" ht="15" hidden="false" customHeight="true" outlineLevel="0" collapsed="false"/>
    <row r="31846" customFormat="false" ht="15" hidden="false" customHeight="true" outlineLevel="0" collapsed="false"/>
    <row r="31847" customFormat="false" ht="15" hidden="false" customHeight="true" outlineLevel="0" collapsed="false"/>
    <row r="31848" customFormat="false" ht="15" hidden="false" customHeight="true" outlineLevel="0" collapsed="false"/>
    <row r="31849" customFormat="false" ht="15" hidden="false" customHeight="true" outlineLevel="0" collapsed="false"/>
    <row r="31850" customFormat="false" ht="15" hidden="false" customHeight="true" outlineLevel="0" collapsed="false"/>
    <row r="31851" customFormat="false" ht="15" hidden="false" customHeight="true" outlineLevel="0" collapsed="false"/>
    <row r="31852" customFormat="false" ht="15" hidden="false" customHeight="true" outlineLevel="0" collapsed="false"/>
    <row r="31853" customFormat="false" ht="15" hidden="false" customHeight="true" outlineLevel="0" collapsed="false"/>
    <row r="31854" customFormat="false" ht="15" hidden="false" customHeight="true" outlineLevel="0" collapsed="false"/>
    <row r="31855" customFormat="false" ht="15" hidden="false" customHeight="true" outlineLevel="0" collapsed="false"/>
    <row r="31856" customFormat="false" ht="15" hidden="false" customHeight="true" outlineLevel="0" collapsed="false"/>
    <row r="31857" customFormat="false" ht="15" hidden="false" customHeight="true" outlineLevel="0" collapsed="false"/>
    <row r="31858" customFormat="false" ht="15" hidden="false" customHeight="true" outlineLevel="0" collapsed="false"/>
    <row r="31859" customFormat="false" ht="15" hidden="false" customHeight="true" outlineLevel="0" collapsed="false"/>
    <row r="31860" customFormat="false" ht="15" hidden="false" customHeight="true" outlineLevel="0" collapsed="false"/>
    <row r="31861" customFormat="false" ht="15" hidden="false" customHeight="true" outlineLevel="0" collapsed="false"/>
    <row r="31862" customFormat="false" ht="15" hidden="false" customHeight="true" outlineLevel="0" collapsed="false"/>
    <row r="31863" customFormat="false" ht="15" hidden="false" customHeight="true" outlineLevel="0" collapsed="false"/>
    <row r="31864" customFormat="false" ht="15" hidden="false" customHeight="true" outlineLevel="0" collapsed="false"/>
    <row r="31865" customFormat="false" ht="15" hidden="false" customHeight="true" outlineLevel="0" collapsed="false"/>
    <row r="31866" customFormat="false" ht="15" hidden="false" customHeight="true" outlineLevel="0" collapsed="false"/>
    <row r="31867" customFormat="false" ht="15" hidden="false" customHeight="true" outlineLevel="0" collapsed="false"/>
    <row r="31868" customFormat="false" ht="15" hidden="false" customHeight="true" outlineLevel="0" collapsed="false"/>
    <row r="31869" customFormat="false" ht="15" hidden="false" customHeight="true" outlineLevel="0" collapsed="false"/>
    <row r="31870" customFormat="false" ht="15" hidden="false" customHeight="true" outlineLevel="0" collapsed="false"/>
    <row r="31871" customFormat="false" ht="15" hidden="false" customHeight="true" outlineLevel="0" collapsed="false"/>
    <row r="31872" customFormat="false" ht="15" hidden="false" customHeight="true" outlineLevel="0" collapsed="false"/>
    <row r="31873" customFormat="false" ht="15" hidden="false" customHeight="true" outlineLevel="0" collapsed="false"/>
    <row r="31874" customFormat="false" ht="15" hidden="false" customHeight="true" outlineLevel="0" collapsed="false"/>
    <row r="31875" customFormat="false" ht="15" hidden="false" customHeight="true" outlineLevel="0" collapsed="false"/>
    <row r="31876" customFormat="false" ht="15" hidden="false" customHeight="true" outlineLevel="0" collapsed="false"/>
    <row r="31877" customFormat="false" ht="15" hidden="false" customHeight="true" outlineLevel="0" collapsed="false"/>
    <row r="31878" customFormat="false" ht="15" hidden="false" customHeight="true" outlineLevel="0" collapsed="false"/>
    <row r="31879" customFormat="false" ht="15" hidden="false" customHeight="true" outlineLevel="0" collapsed="false"/>
    <row r="31880" customFormat="false" ht="15" hidden="false" customHeight="true" outlineLevel="0" collapsed="false"/>
    <row r="31881" customFormat="false" ht="15" hidden="false" customHeight="true" outlineLevel="0" collapsed="false"/>
    <row r="31882" customFormat="false" ht="15" hidden="false" customHeight="true" outlineLevel="0" collapsed="false"/>
    <row r="31883" customFormat="false" ht="15" hidden="false" customHeight="true" outlineLevel="0" collapsed="false"/>
    <row r="31884" customFormat="false" ht="15" hidden="false" customHeight="true" outlineLevel="0" collapsed="false"/>
    <row r="31885" customFormat="false" ht="15" hidden="false" customHeight="true" outlineLevel="0" collapsed="false"/>
    <row r="31886" customFormat="false" ht="15" hidden="false" customHeight="true" outlineLevel="0" collapsed="false"/>
    <row r="31887" customFormat="false" ht="15" hidden="false" customHeight="true" outlineLevel="0" collapsed="false"/>
    <row r="31888" customFormat="false" ht="15" hidden="false" customHeight="true" outlineLevel="0" collapsed="false"/>
    <row r="31889" customFormat="false" ht="15" hidden="false" customHeight="true" outlineLevel="0" collapsed="false"/>
    <row r="31890" customFormat="false" ht="15" hidden="false" customHeight="true" outlineLevel="0" collapsed="false"/>
    <row r="31891" customFormat="false" ht="15" hidden="false" customHeight="true" outlineLevel="0" collapsed="false"/>
    <row r="31892" customFormat="false" ht="15" hidden="false" customHeight="true" outlineLevel="0" collapsed="false"/>
    <row r="31893" customFormat="false" ht="15" hidden="false" customHeight="true" outlineLevel="0" collapsed="false"/>
    <row r="31894" customFormat="false" ht="15" hidden="false" customHeight="true" outlineLevel="0" collapsed="false"/>
    <row r="31895" customFormat="false" ht="15" hidden="false" customHeight="true" outlineLevel="0" collapsed="false"/>
    <row r="31896" customFormat="false" ht="15" hidden="false" customHeight="true" outlineLevel="0" collapsed="false"/>
    <row r="31897" customFormat="false" ht="15" hidden="false" customHeight="true" outlineLevel="0" collapsed="false"/>
    <row r="31898" customFormat="false" ht="15" hidden="false" customHeight="true" outlineLevel="0" collapsed="false"/>
    <row r="31899" customFormat="false" ht="15" hidden="false" customHeight="true" outlineLevel="0" collapsed="false"/>
    <row r="31900" customFormat="false" ht="15" hidden="false" customHeight="true" outlineLevel="0" collapsed="false"/>
    <row r="31901" customFormat="false" ht="15" hidden="false" customHeight="true" outlineLevel="0" collapsed="false"/>
    <row r="31902" customFormat="false" ht="15" hidden="false" customHeight="true" outlineLevel="0" collapsed="false"/>
    <row r="31903" customFormat="false" ht="15" hidden="false" customHeight="true" outlineLevel="0" collapsed="false"/>
    <row r="31904" customFormat="false" ht="15" hidden="false" customHeight="true" outlineLevel="0" collapsed="false"/>
    <row r="31905" customFormat="false" ht="15" hidden="false" customHeight="true" outlineLevel="0" collapsed="false"/>
    <row r="31906" customFormat="false" ht="15" hidden="false" customHeight="true" outlineLevel="0" collapsed="false"/>
    <row r="31907" customFormat="false" ht="15" hidden="false" customHeight="true" outlineLevel="0" collapsed="false"/>
    <row r="31908" customFormat="false" ht="15" hidden="false" customHeight="true" outlineLevel="0" collapsed="false"/>
    <row r="31909" customFormat="false" ht="15" hidden="false" customHeight="true" outlineLevel="0" collapsed="false"/>
    <row r="31910" customFormat="false" ht="15" hidden="false" customHeight="true" outlineLevel="0" collapsed="false"/>
    <row r="31911" customFormat="false" ht="15" hidden="false" customHeight="true" outlineLevel="0" collapsed="false"/>
    <row r="31912" customFormat="false" ht="15" hidden="false" customHeight="true" outlineLevel="0" collapsed="false"/>
    <row r="31913" customFormat="false" ht="15" hidden="false" customHeight="true" outlineLevel="0" collapsed="false"/>
    <row r="31914" customFormat="false" ht="15" hidden="false" customHeight="true" outlineLevel="0" collapsed="false"/>
    <row r="31915" customFormat="false" ht="15" hidden="false" customHeight="true" outlineLevel="0" collapsed="false"/>
    <row r="31916" customFormat="false" ht="15" hidden="false" customHeight="true" outlineLevel="0" collapsed="false"/>
    <row r="31917" customFormat="false" ht="15" hidden="false" customHeight="true" outlineLevel="0" collapsed="false"/>
    <row r="31918" customFormat="false" ht="15" hidden="false" customHeight="true" outlineLevel="0" collapsed="false"/>
    <row r="31919" customFormat="false" ht="15" hidden="false" customHeight="true" outlineLevel="0" collapsed="false"/>
    <row r="31920" customFormat="false" ht="15" hidden="false" customHeight="true" outlineLevel="0" collapsed="false"/>
    <row r="31921" customFormat="false" ht="15" hidden="false" customHeight="true" outlineLevel="0" collapsed="false"/>
    <row r="31922" customFormat="false" ht="15" hidden="false" customHeight="true" outlineLevel="0" collapsed="false"/>
    <row r="31923" customFormat="false" ht="15" hidden="false" customHeight="true" outlineLevel="0" collapsed="false"/>
    <row r="31924" customFormat="false" ht="15" hidden="false" customHeight="true" outlineLevel="0" collapsed="false"/>
    <row r="31925" customFormat="false" ht="15" hidden="false" customHeight="true" outlineLevel="0" collapsed="false"/>
    <row r="31926" customFormat="false" ht="15" hidden="false" customHeight="true" outlineLevel="0" collapsed="false"/>
    <row r="31927" customFormat="false" ht="15" hidden="false" customHeight="true" outlineLevel="0" collapsed="false"/>
    <row r="31928" customFormat="false" ht="15" hidden="false" customHeight="true" outlineLevel="0" collapsed="false"/>
    <row r="31929" customFormat="false" ht="15" hidden="false" customHeight="true" outlineLevel="0" collapsed="false"/>
    <row r="31930" customFormat="false" ht="15" hidden="false" customHeight="true" outlineLevel="0" collapsed="false"/>
    <row r="31931" customFormat="false" ht="15" hidden="false" customHeight="true" outlineLevel="0" collapsed="false"/>
    <row r="31932" customFormat="false" ht="15" hidden="false" customHeight="true" outlineLevel="0" collapsed="false"/>
    <row r="31933" customFormat="false" ht="15" hidden="false" customHeight="true" outlineLevel="0" collapsed="false"/>
    <row r="31934" customFormat="false" ht="15" hidden="false" customHeight="true" outlineLevel="0" collapsed="false"/>
    <row r="31935" customFormat="false" ht="15" hidden="false" customHeight="true" outlineLevel="0" collapsed="false"/>
    <row r="31936" customFormat="false" ht="15" hidden="false" customHeight="true" outlineLevel="0" collapsed="false"/>
    <row r="31937" customFormat="false" ht="15" hidden="false" customHeight="true" outlineLevel="0" collapsed="false"/>
    <row r="31938" customFormat="false" ht="15" hidden="false" customHeight="true" outlineLevel="0" collapsed="false"/>
    <row r="31939" customFormat="false" ht="15" hidden="false" customHeight="true" outlineLevel="0" collapsed="false"/>
    <row r="31940" customFormat="false" ht="15" hidden="false" customHeight="true" outlineLevel="0" collapsed="false"/>
    <row r="31941" customFormat="false" ht="15" hidden="false" customHeight="true" outlineLevel="0" collapsed="false"/>
    <row r="31942" customFormat="false" ht="15" hidden="false" customHeight="true" outlineLevel="0" collapsed="false"/>
    <row r="31943" customFormat="false" ht="15" hidden="false" customHeight="true" outlineLevel="0" collapsed="false"/>
    <row r="31944" customFormat="false" ht="15" hidden="false" customHeight="true" outlineLevel="0" collapsed="false"/>
    <row r="31945" customFormat="false" ht="15" hidden="false" customHeight="true" outlineLevel="0" collapsed="false"/>
    <row r="31946" customFormat="false" ht="15" hidden="false" customHeight="true" outlineLevel="0" collapsed="false"/>
    <row r="31947" customFormat="false" ht="15" hidden="false" customHeight="true" outlineLevel="0" collapsed="false"/>
    <row r="31948" customFormat="false" ht="15" hidden="false" customHeight="true" outlineLevel="0" collapsed="false"/>
    <row r="31949" customFormat="false" ht="15" hidden="false" customHeight="true" outlineLevel="0" collapsed="false"/>
    <row r="31950" customFormat="false" ht="15" hidden="false" customHeight="true" outlineLevel="0" collapsed="false"/>
    <row r="31951" customFormat="false" ht="15" hidden="false" customHeight="true" outlineLevel="0" collapsed="false"/>
    <row r="31952" customFormat="false" ht="15" hidden="false" customHeight="true" outlineLevel="0" collapsed="false"/>
    <row r="31953" customFormat="false" ht="15" hidden="false" customHeight="true" outlineLevel="0" collapsed="false"/>
    <row r="31954" customFormat="false" ht="15" hidden="false" customHeight="true" outlineLevel="0" collapsed="false"/>
    <row r="31955" customFormat="false" ht="15" hidden="false" customHeight="true" outlineLevel="0" collapsed="false"/>
    <row r="31956" customFormat="false" ht="15" hidden="false" customHeight="true" outlineLevel="0" collapsed="false"/>
    <row r="31957" customFormat="false" ht="15" hidden="false" customHeight="true" outlineLevel="0" collapsed="false"/>
    <row r="31958" customFormat="false" ht="15" hidden="false" customHeight="true" outlineLevel="0" collapsed="false"/>
    <row r="31959" customFormat="false" ht="15" hidden="false" customHeight="true" outlineLevel="0" collapsed="false"/>
    <row r="31960" customFormat="false" ht="15" hidden="false" customHeight="true" outlineLevel="0" collapsed="false"/>
    <row r="31961" customFormat="false" ht="15" hidden="false" customHeight="true" outlineLevel="0" collapsed="false"/>
    <row r="31962" customFormat="false" ht="15" hidden="false" customHeight="true" outlineLevel="0" collapsed="false"/>
    <row r="31963" customFormat="false" ht="15" hidden="false" customHeight="true" outlineLevel="0" collapsed="false"/>
    <row r="31964" customFormat="false" ht="15" hidden="false" customHeight="true" outlineLevel="0" collapsed="false"/>
    <row r="31965" customFormat="false" ht="15" hidden="false" customHeight="true" outlineLevel="0" collapsed="false"/>
    <row r="31966" customFormat="false" ht="15" hidden="false" customHeight="true" outlineLevel="0" collapsed="false"/>
    <row r="31967" customFormat="false" ht="15" hidden="false" customHeight="true" outlineLevel="0" collapsed="false"/>
    <row r="31968" customFormat="false" ht="15" hidden="false" customHeight="true" outlineLevel="0" collapsed="false"/>
    <row r="31969" customFormat="false" ht="15" hidden="false" customHeight="true" outlineLevel="0" collapsed="false"/>
    <row r="31970" customFormat="false" ht="15" hidden="false" customHeight="true" outlineLevel="0" collapsed="false"/>
    <row r="31971" customFormat="false" ht="15" hidden="false" customHeight="true" outlineLevel="0" collapsed="false"/>
    <row r="31972" customFormat="false" ht="15" hidden="false" customHeight="true" outlineLevel="0" collapsed="false"/>
    <row r="31973" customFormat="false" ht="15" hidden="false" customHeight="true" outlineLevel="0" collapsed="false"/>
    <row r="31974" customFormat="false" ht="15" hidden="false" customHeight="true" outlineLevel="0" collapsed="false"/>
    <row r="31975" customFormat="false" ht="15" hidden="false" customHeight="true" outlineLevel="0" collapsed="false"/>
    <row r="31976" customFormat="false" ht="15" hidden="false" customHeight="true" outlineLevel="0" collapsed="false"/>
    <row r="31977" customFormat="false" ht="15" hidden="false" customHeight="true" outlineLevel="0" collapsed="false"/>
    <row r="31978" customFormat="false" ht="15" hidden="false" customHeight="true" outlineLevel="0" collapsed="false"/>
    <row r="31979" customFormat="false" ht="15" hidden="false" customHeight="true" outlineLevel="0" collapsed="false"/>
    <row r="31980" customFormat="false" ht="15" hidden="false" customHeight="true" outlineLevel="0" collapsed="false"/>
    <row r="31981" customFormat="false" ht="15" hidden="false" customHeight="true" outlineLevel="0" collapsed="false"/>
    <row r="31982" customFormat="false" ht="15" hidden="false" customHeight="true" outlineLevel="0" collapsed="false"/>
    <row r="31983" customFormat="false" ht="15" hidden="false" customHeight="true" outlineLevel="0" collapsed="false"/>
    <row r="31984" customFormat="false" ht="15" hidden="false" customHeight="true" outlineLevel="0" collapsed="false"/>
    <row r="31985" customFormat="false" ht="15" hidden="false" customHeight="true" outlineLevel="0" collapsed="false"/>
    <row r="31986" customFormat="false" ht="15" hidden="false" customHeight="true" outlineLevel="0" collapsed="false"/>
    <row r="31987" customFormat="false" ht="15" hidden="false" customHeight="true" outlineLevel="0" collapsed="false"/>
    <row r="31988" customFormat="false" ht="15" hidden="false" customHeight="true" outlineLevel="0" collapsed="false"/>
    <row r="31989" customFormat="false" ht="15" hidden="false" customHeight="true" outlineLevel="0" collapsed="false"/>
    <row r="31990" customFormat="false" ht="15" hidden="false" customHeight="true" outlineLevel="0" collapsed="false"/>
    <row r="31991" customFormat="false" ht="15" hidden="false" customHeight="true" outlineLevel="0" collapsed="false"/>
    <row r="31992" customFormat="false" ht="15" hidden="false" customHeight="true" outlineLevel="0" collapsed="false"/>
    <row r="31993" customFormat="false" ht="15" hidden="false" customHeight="true" outlineLevel="0" collapsed="false"/>
    <row r="31994" customFormat="false" ht="15" hidden="false" customHeight="true" outlineLevel="0" collapsed="false"/>
    <row r="31995" customFormat="false" ht="15" hidden="false" customHeight="true" outlineLevel="0" collapsed="false"/>
    <row r="31996" customFormat="false" ht="15" hidden="false" customHeight="true" outlineLevel="0" collapsed="false"/>
    <row r="31997" customFormat="false" ht="15" hidden="false" customHeight="true" outlineLevel="0" collapsed="false"/>
    <row r="31998" customFormat="false" ht="15" hidden="false" customHeight="true" outlineLevel="0" collapsed="false"/>
    <row r="31999" customFormat="false" ht="15" hidden="false" customHeight="true" outlineLevel="0" collapsed="false"/>
    <row r="32000" customFormat="false" ht="15" hidden="false" customHeight="true" outlineLevel="0" collapsed="false"/>
    <row r="32001" customFormat="false" ht="15" hidden="false" customHeight="true" outlineLevel="0" collapsed="false"/>
    <row r="32002" customFormat="false" ht="15" hidden="false" customHeight="true" outlineLevel="0" collapsed="false"/>
    <row r="32003" customFormat="false" ht="15" hidden="false" customHeight="true" outlineLevel="0" collapsed="false"/>
    <row r="32004" customFormat="false" ht="15" hidden="false" customHeight="true" outlineLevel="0" collapsed="false"/>
    <row r="32005" customFormat="false" ht="15" hidden="false" customHeight="true" outlineLevel="0" collapsed="false"/>
    <row r="32006" customFormat="false" ht="15" hidden="false" customHeight="true" outlineLevel="0" collapsed="false"/>
    <row r="32007" customFormat="false" ht="15" hidden="false" customHeight="true" outlineLevel="0" collapsed="false"/>
    <row r="32008" customFormat="false" ht="15" hidden="false" customHeight="true" outlineLevel="0" collapsed="false"/>
    <row r="32009" customFormat="false" ht="15" hidden="false" customHeight="true" outlineLevel="0" collapsed="false"/>
    <row r="32010" customFormat="false" ht="15" hidden="false" customHeight="true" outlineLevel="0" collapsed="false"/>
    <row r="32011" customFormat="false" ht="15" hidden="false" customHeight="true" outlineLevel="0" collapsed="false"/>
    <row r="32012" customFormat="false" ht="15" hidden="false" customHeight="true" outlineLevel="0" collapsed="false"/>
    <row r="32013" customFormat="false" ht="15" hidden="false" customHeight="true" outlineLevel="0" collapsed="false"/>
    <row r="32014" customFormat="false" ht="15" hidden="false" customHeight="true" outlineLevel="0" collapsed="false"/>
    <row r="32015" customFormat="false" ht="15" hidden="false" customHeight="true" outlineLevel="0" collapsed="false"/>
    <row r="32016" customFormat="false" ht="15" hidden="false" customHeight="true" outlineLevel="0" collapsed="false"/>
    <row r="32017" customFormat="false" ht="15" hidden="false" customHeight="true" outlineLevel="0" collapsed="false"/>
    <row r="32018" customFormat="false" ht="15" hidden="false" customHeight="true" outlineLevel="0" collapsed="false"/>
    <row r="32019" customFormat="false" ht="15" hidden="false" customHeight="true" outlineLevel="0" collapsed="false"/>
    <row r="32020" customFormat="false" ht="15" hidden="false" customHeight="true" outlineLevel="0" collapsed="false"/>
    <row r="32021" customFormat="false" ht="15" hidden="false" customHeight="true" outlineLevel="0" collapsed="false"/>
    <row r="32022" customFormat="false" ht="15" hidden="false" customHeight="true" outlineLevel="0" collapsed="false"/>
    <row r="32023" customFormat="false" ht="15" hidden="false" customHeight="true" outlineLevel="0" collapsed="false"/>
    <row r="32024" customFormat="false" ht="15" hidden="false" customHeight="true" outlineLevel="0" collapsed="false"/>
    <row r="32025" customFormat="false" ht="15" hidden="false" customHeight="true" outlineLevel="0" collapsed="false"/>
    <row r="32026" customFormat="false" ht="15" hidden="false" customHeight="true" outlineLevel="0" collapsed="false"/>
    <row r="32027" customFormat="false" ht="15" hidden="false" customHeight="true" outlineLevel="0" collapsed="false"/>
    <row r="32028" customFormat="false" ht="15" hidden="false" customHeight="true" outlineLevel="0" collapsed="false"/>
    <row r="32029" customFormat="false" ht="15" hidden="false" customHeight="true" outlineLevel="0" collapsed="false"/>
    <row r="32030" customFormat="false" ht="15" hidden="false" customHeight="true" outlineLevel="0" collapsed="false"/>
    <row r="32031" customFormat="false" ht="15" hidden="false" customHeight="true" outlineLevel="0" collapsed="false"/>
    <row r="32032" customFormat="false" ht="15" hidden="false" customHeight="true" outlineLevel="0" collapsed="false"/>
    <row r="32033" customFormat="false" ht="15" hidden="false" customHeight="true" outlineLevel="0" collapsed="false"/>
    <row r="32034" customFormat="false" ht="15" hidden="false" customHeight="true" outlineLevel="0" collapsed="false"/>
    <row r="32035" customFormat="false" ht="15" hidden="false" customHeight="true" outlineLevel="0" collapsed="false"/>
    <row r="32036" customFormat="false" ht="15" hidden="false" customHeight="true" outlineLevel="0" collapsed="false"/>
    <row r="32037" customFormat="false" ht="15" hidden="false" customHeight="true" outlineLevel="0" collapsed="false"/>
    <row r="32038" customFormat="false" ht="15" hidden="false" customHeight="true" outlineLevel="0" collapsed="false"/>
    <row r="32039" customFormat="false" ht="15" hidden="false" customHeight="true" outlineLevel="0" collapsed="false"/>
    <row r="32040" customFormat="false" ht="15" hidden="false" customHeight="true" outlineLevel="0" collapsed="false"/>
    <row r="32041" customFormat="false" ht="15" hidden="false" customHeight="true" outlineLevel="0" collapsed="false"/>
    <row r="32042" customFormat="false" ht="15" hidden="false" customHeight="true" outlineLevel="0" collapsed="false"/>
    <row r="32043" customFormat="false" ht="15" hidden="false" customHeight="true" outlineLevel="0" collapsed="false"/>
    <row r="32044" customFormat="false" ht="15" hidden="false" customHeight="true" outlineLevel="0" collapsed="false"/>
    <row r="32045" customFormat="false" ht="15" hidden="false" customHeight="true" outlineLevel="0" collapsed="false"/>
    <row r="32046" customFormat="false" ht="15" hidden="false" customHeight="true" outlineLevel="0" collapsed="false"/>
    <row r="32047" customFormat="false" ht="15" hidden="false" customHeight="true" outlineLevel="0" collapsed="false"/>
    <row r="32048" customFormat="false" ht="15" hidden="false" customHeight="true" outlineLevel="0" collapsed="false"/>
    <row r="32049" customFormat="false" ht="15" hidden="false" customHeight="true" outlineLevel="0" collapsed="false"/>
    <row r="32050" customFormat="false" ht="15" hidden="false" customHeight="true" outlineLevel="0" collapsed="false"/>
    <row r="32051" customFormat="false" ht="15" hidden="false" customHeight="true" outlineLevel="0" collapsed="false"/>
    <row r="32052" customFormat="false" ht="15" hidden="false" customHeight="true" outlineLevel="0" collapsed="false"/>
    <row r="32053" customFormat="false" ht="15" hidden="false" customHeight="true" outlineLevel="0" collapsed="false"/>
    <row r="32054" customFormat="false" ht="15" hidden="false" customHeight="true" outlineLevel="0" collapsed="false"/>
    <row r="32055" customFormat="false" ht="15" hidden="false" customHeight="true" outlineLevel="0" collapsed="false"/>
    <row r="32056" customFormat="false" ht="15" hidden="false" customHeight="true" outlineLevel="0" collapsed="false"/>
    <row r="32057" customFormat="false" ht="15" hidden="false" customHeight="true" outlineLevel="0" collapsed="false"/>
    <row r="32058" customFormat="false" ht="15" hidden="false" customHeight="true" outlineLevel="0" collapsed="false"/>
    <row r="32059" customFormat="false" ht="15" hidden="false" customHeight="true" outlineLevel="0" collapsed="false"/>
    <row r="32060" customFormat="false" ht="15" hidden="false" customHeight="true" outlineLevel="0" collapsed="false"/>
    <row r="32061" customFormat="false" ht="15" hidden="false" customHeight="true" outlineLevel="0" collapsed="false"/>
    <row r="32062" customFormat="false" ht="15" hidden="false" customHeight="true" outlineLevel="0" collapsed="false"/>
    <row r="32063" customFormat="false" ht="15" hidden="false" customHeight="true" outlineLevel="0" collapsed="false"/>
    <row r="32064" customFormat="false" ht="15" hidden="false" customHeight="true" outlineLevel="0" collapsed="false"/>
    <row r="32065" customFormat="false" ht="15" hidden="false" customHeight="true" outlineLevel="0" collapsed="false"/>
    <row r="32066" customFormat="false" ht="15" hidden="false" customHeight="true" outlineLevel="0" collapsed="false"/>
    <row r="32067" customFormat="false" ht="15" hidden="false" customHeight="true" outlineLevel="0" collapsed="false"/>
    <row r="32068" customFormat="false" ht="15" hidden="false" customHeight="true" outlineLevel="0" collapsed="false"/>
    <row r="32069" customFormat="false" ht="15" hidden="false" customHeight="true" outlineLevel="0" collapsed="false"/>
    <row r="32070" customFormat="false" ht="15" hidden="false" customHeight="true" outlineLevel="0" collapsed="false"/>
    <row r="32071" customFormat="false" ht="15" hidden="false" customHeight="true" outlineLevel="0" collapsed="false"/>
    <row r="32072" customFormat="false" ht="15" hidden="false" customHeight="true" outlineLevel="0" collapsed="false"/>
    <row r="32073" customFormat="false" ht="15" hidden="false" customHeight="true" outlineLevel="0" collapsed="false"/>
    <row r="32074" customFormat="false" ht="15" hidden="false" customHeight="true" outlineLevel="0" collapsed="false"/>
    <row r="32075" customFormat="false" ht="15" hidden="false" customHeight="true" outlineLevel="0" collapsed="false"/>
    <row r="32076" customFormat="false" ht="15" hidden="false" customHeight="true" outlineLevel="0" collapsed="false"/>
    <row r="32077" customFormat="false" ht="15" hidden="false" customHeight="true" outlineLevel="0" collapsed="false"/>
    <row r="32078" customFormat="false" ht="15" hidden="false" customHeight="true" outlineLevel="0" collapsed="false"/>
    <row r="32079" customFormat="false" ht="15" hidden="false" customHeight="true" outlineLevel="0" collapsed="false"/>
    <row r="32080" customFormat="false" ht="15" hidden="false" customHeight="true" outlineLevel="0" collapsed="false"/>
    <row r="32081" customFormat="false" ht="15" hidden="false" customHeight="true" outlineLevel="0" collapsed="false"/>
    <row r="32082" customFormat="false" ht="15" hidden="false" customHeight="true" outlineLevel="0" collapsed="false"/>
    <row r="32083" customFormat="false" ht="15" hidden="false" customHeight="true" outlineLevel="0" collapsed="false"/>
    <row r="32084" customFormat="false" ht="15" hidden="false" customHeight="true" outlineLevel="0" collapsed="false"/>
    <row r="32085" customFormat="false" ht="15" hidden="false" customHeight="true" outlineLevel="0" collapsed="false"/>
    <row r="32086" customFormat="false" ht="15" hidden="false" customHeight="true" outlineLevel="0" collapsed="false"/>
    <row r="32087" customFormat="false" ht="15" hidden="false" customHeight="true" outlineLevel="0" collapsed="false"/>
    <row r="32088" customFormat="false" ht="15" hidden="false" customHeight="true" outlineLevel="0" collapsed="false"/>
    <row r="32089" customFormat="false" ht="15" hidden="false" customHeight="true" outlineLevel="0" collapsed="false"/>
    <row r="32090" customFormat="false" ht="15" hidden="false" customHeight="true" outlineLevel="0" collapsed="false"/>
    <row r="32091" customFormat="false" ht="15" hidden="false" customHeight="true" outlineLevel="0" collapsed="false"/>
    <row r="32092" customFormat="false" ht="15" hidden="false" customHeight="true" outlineLevel="0" collapsed="false"/>
    <row r="32093" customFormat="false" ht="15" hidden="false" customHeight="true" outlineLevel="0" collapsed="false"/>
    <row r="32094" customFormat="false" ht="15" hidden="false" customHeight="true" outlineLevel="0" collapsed="false"/>
    <row r="32095" customFormat="false" ht="15" hidden="false" customHeight="true" outlineLevel="0" collapsed="false"/>
    <row r="32096" customFormat="false" ht="15" hidden="false" customHeight="true" outlineLevel="0" collapsed="false"/>
    <row r="32097" customFormat="false" ht="15" hidden="false" customHeight="true" outlineLevel="0" collapsed="false"/>
    <row r="32098" customFormat="false" ht="15" hidden="false" customHeight="true" outlineLevel="0" collapsed="false"/>
    <row r="32099" customFormat="false" ht="15" hidden="false" customHeight="true" outlineLevel="0" collapsed="false"/>
    <row r="32100" customFormat="false" ht="15" hidden="false" customHeight="true" outlineLevel="0" collapsed="false"/>
    <row r="32101" customFormat="false" ht="15" hidden="false" customHeight="true" outlineLevel="0" collapsed="false"/>
    <row r="32102" customFormat="false" ht="15" hidden="false" customHeight="true" outlineLevel="0" collapsed="false"/>
    <row r="32103" customFormat="false" ht="15" hidden="false" customHeight="true" outlineLevel="0" collapsed="false"/>
    <row r="32104" customFormat="false" ht="15" hidden="false" customHeight="true" outlineLevel="0" collapsed="false"/>
    <row r="32105" customFormat="false" ht="15" hidden="false" customHeight="true" outlineLevel="0" collapsed="false"/>
    <row r="32106" customFormat="false" ht="15" hidden="false" customHeight="true" outlineLevel="0" collapsed="false"/>
    <row r="32107" customFormat="false" ht="15" hidden="false" customHeight="true" outlineLevel="0" collapsed="false"/>
    <row r="32108" customFormat="false" ht="15" hidden="false" customHeight="true" outlineLevel="0" collapsed="false"/>
    <row r="32109" customFormat="false" ht="15" hidden="false" customHeight="true" outlineLevel="0" collapsed="false"/>
    <row r="32110" customFormat="false" ht="15" hidden="false" customHeight="true" outlineLevel="0" collapsed="false"/>
    <row r="32111" customFormat="false" ht="15" hidden="false" customHeight="true" outlineLevel="0" collapsed="false"/>
    <row r="32112" customFormat="false" ht="15" hidden="false" customHeight="true" outlineLevel="0" collapsed="false"/>
    <row r="32113" customFormat="false" ht="15" hidden="false" customHeight="true" outlineLevel="0" collapsed="false"/>
    <row r="32114" customFormat="false" ht="15" hidden="false" customHeight="true" outlineLevel="0" collapsed="false"/>
    <row r="32115" customFormat="false" ht="15" hidden="false" customHeight="true" outlineLevel="0" collapsed="false"/>
    <row r="32116" customFormat="false" ht="15" hidden="false" customHeight="true" outlineLevel="0" collapsed="false"/>
    <row r="32117" customFormat="false" ht="15" hidden="false" customHeight="true" outlineLevel="0" collapsed="false"/>
    <row r="32118" customFormat="false" ht="15" hidden="false" customHeight="true" outlineLevel="0" collapsed="false"/>
    <row r="32119" customFormat="false" ht="15" hidden="false" customHeight="true" outlineLevel="0" collapsed="false"/>
    <row r="32120" customFormat="false" ht="15" hidden="false" customHeight="true" outlineLevel="0" collapsed="false"/>
    <row r="32121" customFormat="false" ht="15" hidden="false" customHeight="true" outlineLevel="0" collapsed="false"/>
    <row r="32122" customFormat="false" ht="15" hidden="false" customHeight="true" outlineLevel="0" collapsed="false"/>
    <row r="32123" customFormat="false" ht="15" hidden="false" customHeight="true" outlineLevel="0" collapsed="false"/>
    <row r="32124" customFormat="false" ht="15" hidden="false" customHeight="true" outlineLevel="0" collapsed="false"/>
    <row r="32125" customFormat="false" ht="15" hidden="false" customHeight="true" outlineLevel="0" collapsed="false"/>
    <row r="32126" customFormat="false" ht="15" hidden="false" customHeight="true" outlineLevel="0" collapsed="false"/>
    <row r="32127" customFormat="false" ht="15" hidden="false" customHeight="true" outlineLevel="0" collapsed="false"/>
    <row r="32128" customFormat="false" ht="15" hidden="false" customHeight="true" outlineLevel="0" collapsed="false"/>
    <row r="32129" customFormat="false" ht="15" hidden="false" customHeight="true" outlineLevel="0" collapsed="false"/>
    <row r="32130" customFormat="false" ht="15" hidden="false" customHeight="true" outlineLevel="0" collapsed="false"/>
    <row r="32131" customFormat="false" ht="15" hidden="false" customHeight="true" outlineLevel="0" collapsed="false"/>
    <row r="32132" customFormat="false" ht="15" hidden="false" customHeight="true" outlineLevel="0" collapsed="false"/>
    <row r="32133" customFormat="false" ht="15" hidden="false" customHeight="true" outlineLevel="0" collapsed="false"/>
    <row r="32134" customFormat="false" ht="15" hidden="false" customHeight="true" outlineLevel="0" collapsed="false"/>
    <row r="32135" customFormat="false" ht="15" hidden="false" customHeight="true" outlineLevel="0" collapsed="false"/>
    <row r="32136" customFormat="false" ht="15" hidden="false" customHeight="true" outlineLevel="0" collapsed="false"/>
    <row r="32137" customFormat="false" ht="15" hidden="false" customHeight="true" outlineLevel="0" collapsed="false"/>
    <row r="32138" customFormat="false" ht="15" hidden="false" customHeight="true" outlineLevel="0" collapsed="false"/>
    <row r="32139" customFormat="false" ht="15" hidden="false" customHeight="true" outlineLevel="0" collapsed="false"/>
    <row r="32140" customFormat="false" ht="15" hidden="false" customHeight="true" outlineLevel="0" collapsed="false"/>
    <row r="32141" customFormat="false" ht="15" hidden="false" customHeight="true" outlineLevel="0" collapsed="false"/>
    <row r="32142" customFormat="false" ht="15" hidden="false" customHeight="true" outlineLevel="0" collapsed="false"/>
    <row r="32143" customFormat="false" ht="15" hidden="false" customHeight="true" outlineLevel="0" collapsed="false"/>
    <row r="32144" customFormat="false" ht="15" hidden="false" customHeight="true" outlineLevel="0" collapsed="false"/>
    <row r="32145" customFormat="false" ht="15" hidden="false" customHeight="true" outlineLevel="0" collapsed="false"/>
    <row r="32146" customFormat="false" ht="15" hidden="false" customHeight="true" outlineLevel="0" collapsed="false"/>
    <row r="32147" customFormat="false" ht="15" hidden="false" customHeight="true" outlineLevel="0" collapsed="false"/>
    <row r="32148" customFormat="false" ht="15" hidden="false" customHeight="true" outlineLevel="0" collapsed="false"/>
    <row r="32149" customFormat="false" ht="15" hidden="false" customHeight="true" outlineLevel="0" collapsed="false"/>
    <row r="32150" customFormat="false" ht="15" hidden="false" customHeight="true" outlineLevel="0" collapsed="false"/>
    <row r="32151" customFormat="false" ht="15" hidden="false" customHeight="true" outlineLevel="0" collapsed="false"/>
    <row r="32152" customFormat="false" ht="15" hidden="false" customHeight="true" outlineLevel="0" collapsed="false"/>
    <row r="32153" customFormat="false" ht="15" hidden="false" customHeight="true" outlineLevel="0" collapsed="false"/>
    <row r="32154" customFormat="false" ht="15" hidden="false" customHeight="true" outlineLevel="0" collapsed="false"/>
    <row r="32155" customFormat="false" ht="15" hidden="false" customHeight="true" outlineLevel="0" collapsed="false"/>
    <row r="32156" customFormat="false" ht="15" hidden="false" customHeight="true" outlineLevel="0" collapsed="false"/>
    <row r="32157" customFormat="false" ht="15" hidden="false" customHeight="true" outlineLevel="0" collapsed="false"/>
    <row r="32158" customFormat="false" ht="15" hidden="false" customHeight="true" outlineLevel="0" collapsed="false"/>
    <row r="32159" customFormat="false" ht="15" hidden="false" customHeight="true" outlineLevel="0" collapsed="false"/>
    <row r="32160" customFormat="false" ht="15" hidden="false" customHeight="true" outlineLevel="0" collapsed="false"/>
    <row r="32161" customFormat="false" ht="15" hidden="false" customHeight="true" outlineLevel="0" collapsed="false"/>
    <row r="32162" customFormat="false" ht="15" hidden="false" customHeight="true" outlineLevel="0" collapsed="false"/>
    <row r="32163" customFormat="false" ht="15" hidden="false" customHeight="true" outlineLevel="0" collapsed="false"/>
    <row r="32164" customFormat="false" ht="15" hidden="false" customHeight="true" outlineLevel="0" collapsed="false"/>
    <row r="32165" customFormat="false" ht="15" hidden="false" customHeight="true" outlineLevel="0" collapsed="false"/>
    <row r="32166" customFormat="false" ht="15" hidden="false" customHeight="true" outlineLevel="0" collapsed="false"/>
    <row r="32167" customFormat="false" ht="15" hidden="false" customHeight="true" outlineLevel="0" collapsed="false"/>
    <row r="32168" customFormat="false" ht="15" hidden="false" customHeight="true" outlineLevel="0" collapsed="false"/>
    <row r="32169" customFormat="false" ht="15" hidden="false" customHeight="true" outlineLevel="0" collapsed="false"/>
    <row r="32170" customFormat="false" ht="15" hidden="false" customHeight="true" outlineLevel="0" collapsed="false"/>
    <row r="32171" customFormat="false" ht="15" hidden="false" customHeight="true" outlineLevel="0" collapsed="false"/>
    <row r="32172" customFormat="false" ht="15" hidden="false" customHeight="true" outlineLevel="0" collapsed="false"/>
    <row r="32173" customFormat="false" ht="15" hidden="false" customHeight="true" outlineLevel="0" collapsed="false"/>
    <row r="32174" customFormat="false" ht="15" hidden="false" customHeight="true" outlineLevel="0" collapsed="false"/>
    <row r="32175" customFormat="false" ht="15" hidden="false" customHeight="true" outlineLevel="0" collapsed="false"/>
    <row r="32176" customFormat="false" ht="15" hidden="false" customHeight="true" outlineLevel="0" collapsed="false"/>
    <row r="32177" customFormat="false" ht="15" hidden="false" customHeight="true" outlineLevel="0" collapsed="false"/>
    <row r="32178" customFormat="false" ht="15" hidden="false" customHeight="true" outlineLevel="0" collapsed="false"/>
    <row r="32179" customFormat="false" ht="15" hidden="false" customHeight="true" outlineLevel="0" collapsed="false"/>
    <row r="32180" customFormat="false" ht="15" hidden="false" customHeight="true" outlineLevel="0" collapsed="false"/>
    <row r="32181" customFormat="false" ht="15" hidden="false" customHeight="true" outlineLevel="0" collapsed="false"/>
    <row r="32182" customFormat="false" ht="15" hidden="false" customHeight="true" outlineLevel="0" collapsed="false"/>
    <row r="32183" customFormat="false" ht="15" hidden="false" customHeight="true" outlineLevel="0" collapsed="false"/>
    <row r="32184" customFormat="false" ht="15" hidden="false" customHeight="true" outlineLevel="0" collapsed="false"/>
    <row r="32185" customFormat="false" ht="15" hidden="false" customHeight="true" outlineLevel="0" collapsed="false"/>
    <row r="32186" customFormat="false" ht="15" hidden="false" customHeight="true" outlineLevel="0" collapsed="false"/>
    <row r="32187" customFormat="false" ht="15" hidden="false" customHeight="true" outlineLevel="0" collapsed="false"/>
    <row r="32188" customFormat="false" ht="15" hidden="false" customHeight="true" outlineLevel="0" collapsed="false"/>
    <row r="32189" customFormat="false" ht="15" hidden="false" customHeight="true" outlineLevel="0" collapsed="false"/>
    <row r="32190" customFormat="false" ht="15" hidden="false" customHeight="true" outlineLevel="0" collapsed="false"/>
    <row r="32191" customFormat="false" ht="15" hidden="false" customHeight="true" outlineLevel="0" collapsed="false"/>
    <row r="32192" customFormat="false" ht="15" hidden="false" customHeight="true" outlineLevel="0" collapsed="false"/>
    <row r="32193" customFormat="false" ht="15" hidden="false" customHeight="true" outlineLevel="0" collapsed="false"/>
    <row r="32194" customFormat="false" ht="15" hidden="false" customHeight="true" outlineLevel="0" collapsed="false"/>
    <row r="32195" customFormat="false" ht="15" hidden="false" customHeight="true" outlineLevel="0" collapsed="false"/>
    <row r="32196" customFormat="false" ht="15" hidden="false" customHeight="true" outlineLevel="0" collapsed="false"/>
    <row r="32197" customFormat="false" ht="15" hidden="false" customHeight="true" outlineLevel="0" collapsed="false"/>
    <row r="32198" customFormat="false" ht="15" hidden="false" customHeight="true" outlineLevel="0" collapsed="false"/>
    <row r="32199" customFormat="false" ht="15" hidden="false" customHeight="true" outlineLevel="0" collapsed="false"/>
    <row r="32200" customFormat="false" ht="15" hidden="false" customHeight="true" outlineLevel="0" collapsed="false"/>
    <row r="32201" customFormat="false" ht="15" hidden="false" customHeight="true" outlineLevel="0" collapsed="false"/>
    <row r="32202" customFormat="false" ht="15" hidden="false" customHeight="true" outlineLevel="0" collapsed="false"/>
    <row r="32203" customFormat="false" ht="15" hidden="false" customHeight="true" outlineLevel="0" collapsed="false"/>
    <row r="32204" customFormat="false" ht="15" hidden="false" customHeight="true" outlineLevel="0" collapsed="false"/>
    <row r="32205" customFormat="false" ht="15" hidden="false" customHeight="true" outlineLevel="0" collapsed="false"/>
    <row r="32206" customFormat="false" ht="15" hidden="false" customHeight="true" outlineLevel="0" collapsed="false"/>
    <row r="32207" customFormat="false" ht="15" hidden="false" customHeight="true" outlineLevel="0" collapsed="false"/>
    <row r="32208" customFormat="false" ht="15" hidden="false" customHeight="true" outlineLevel="0" collapsed="false"/>
    <row r="32209" customFormat="false" ht="15" hidden="false" customHeight="true" outlineLevel="0" collapsed="false"/>
    <row r="32210" customFormat="false" ht="15" hidden="false" customHeight="true" outlineLevel="0" collapsed="false"/>
    <row r="32211" customFormat="false" ht="15" hidden="false" customHeight="true" outlineLevel="0" collapsed="false"/>
    <row r="32212" customFormat="false" ht="15" hidden="false" customHeight="true" outlineLevel="0" collapsed="false"/>
    <row r="32213" customFormat="false" ht="15" hidden="false" customHeight="true" outlineLevel="0" collapsed="false"/>
    <row r="32214" customFormat="false" ht="15" hidden="false" customHeight="true" outlineLevel="0" collapsed="false"/>
    <row r="32215" customFormat="false" ht="15" hidden="false" customHeight="true" outlineLevel="0" collapsed="false"/>
    <row r="32216" customFormat="false" ht="15" hidden="false" customHeight="true" outlineLevel="0" collapsed="false"/>
    <row r="32217" customFormat="false" ht="15" hidden="false" customHeight="true" outlineLevel="0" collapsed="false"/>
    <row r="32218" customFormat="false" ht="15" hidden="false" customHeight="true" outlineLevel="0" collapsed="false"/>
    <row r="32219" customFormat="false" ht="15" hidden="false" customHeight="true" outlineLevel="0" collapsed="false"/>
    <row r="32220" customFormat="false" ht="15" hidden="false" customHeight="true" outlineLevel="0" collapsed="false"/>
    <row r="32221" customFormat="false" ht="15" hidden="false" customHeight="true" outlineLevel="0" collapsed="false"/>
    <row r="32222" customFormat="false" ht="15" hidden="false" customHeight="true" outlineLevel="0" collapsed="false"/>
    <row r="32223" customFormat="false" ht="15" hidden="false" customHeight="true" outlineLevel="0" collapsed="false"/>
    <row r="32224" customFormat="false" ht="15" hidden="false" customHeight="true" outlineLevel="0" collapsed="false"/>
    <row r="32225" customFormat="false" ht="15" hidden="false" customHeight="true" outlineLevel="0" collapsed="false"/>
    <row r="32226" customFormat="false" ht="15" hidden="false" customHeight="true" outlineLevel="0" collapsed="false"/>
    <row r="32227" customFormat="false" ht="15" hidden="false" customHeight="true" outlineLevel="0" collapsed="false"/>
    <row r="32228" customFormat="false" ht="15" hidden="false" customHeight="true" outlineLevel="0" collapsed="false"/>
    <row r="32229" customFormat="false" ht="15" hidden="false" customHeight="true" outlineLevel="0" collapsed="false"/>
    <row r="32230" customFormat="false" ht="15" hidden="false" customHeight="true" outlineLevel="0" collapsed="false"/>
    <row r="32231" customFormat="false" ht="15" hidden="false" customHeight="true" outlineLevel="0" collapsed="false"/>
    <row r="32232" customFormat="false" ht="15" hidden="false" customHeight="true" outlineLevel="0" collapsed="false"/>
    <row r="32233" customFormat="false" ht="15" hidden="false" customHeight="true" outlineLevel="0" collapsed="false"/>
    <row r="32234" customFormat="false" ht="15" hidden="false" customHeight="true" outlineLevel="0" collapsed="false"/>
    <row r="32235" customFormat="false" ht="15" hidden="false" customHeight="true" outlineLevel="0" collapsed="false"/>
    <row r="32236" customFormat="false" ht="15" hidden="false" customHeight="true" outlineLevel="0" collapsed="false"/>
    <row r="32237" customFormat="false" ht="15" hidden="false" customHeight="true" outlineLevel="0" collapsed="false"/>
    <row r="32238" customFormat="false" ht="15" hidden="false" customHeight="true" outlineLevel="0" collapsed="false"/>
    <row r="32239" customFormat="false" ht="15" hidden="false" customHeight="true" outlineLevel="0" collapsed="false"/>
    <row r="32240" customFormat="false" ht="15" hidden="false" customHeight="true" outlineLevel="0" collapsed="false"/>
    <row r="32241" customFormat="false" ht="15" hidden="false" customHeight="true" outlineLevel="0" collapsed="false"/>
    <row r="32242" customFormat="false" ht="15" hidden="false" customHeight="true" outlineLevel="0" collapsed="false"/>
    <row r="32243" customFormat="false" ht="15" hidden="false" customHeight="true" outlineLevel="0" collapsed="false"/>
    <row r="32244" customFormat="false" ht="15" hidden="false" customHeight="true" outlineLevel="0" collapsed="false"/>
    <row r="32245" customFormat="false" ht="15" hidden="false" customHeight="true" outlineLevel="0" collapsed="false"/>
    <row r="32246" customFormat="false" ht="15" hidden="false" customHeight="true" outlineLevel="0" collapsed="false"/>
    <row r="32247" customFormat="false" ht="15" hidden="false" customHeight="true" outlineLevel="0" collapsed="false"/>
    <row r="32248" customFormat="false" ht="15" hidden="false" customHeight="true" outlineLevel="0" collapsed="false"/>
    <row r="32249" customFormat="false" ht="15" hidden="false" customHeight="true" outlineLevel="0" collapsed="false"/>
    <row r="32250" customFormat="false" ht="15" hidden="false" customHeight="true" outlineLevel="0" collapsed="false"/>
    <row r="32251" customFormat="false" ht="15" hidden="false" customHeight="true" outlineLevel="0" collapsed="false"/>
    <row r="32252" customFormat="false" ht="15" hidden="false" customHeight="true" outlineLevel="0" collapsed="false"/>
    <row r="32253" customFormat="false" ht="15" hidden="false" customHeight="true" outlineLevel="0" collapsed="false"/>
    <row r="32254" customFormat="false" ht="15" hidden="false" customHeight="true" outlineLevel="0" collapsed="false"/>
    <row r="32255" customFormat="false" ht="15" hidden="false" customHeight="true" outlineLevel="0" collapsed="false"/>
    <row r="32256" customFormat="false" ht="15" hidden="false" customHeight="true" outlineLevel="0" collapsed="false"/>
    <row r="32257" customFormat="false" ht="15" hidden="false" customHeight="true" outlineLevel="0" collapsed="false"/>
    <row r="32258" customFormat="false" ht="15" hidden="false" customHeight="true" outlineLevel="0" collapsed="false"/>
    <row r="32259" customFormat="false" ht="15" hidden="false" customHeight="true" outlineLevel="0" collapsed="false"/>
    <row r="32260" customFormat="false" ht="15" hidden="false" customHeight="true" outlineLevel="0" collapsed="false"/>
    <row r="32261" customFormat="false" ht="15" hidden="false" customHeight="true" outlineLevel="0" collapsed="false"/>
    <row r="32262" customFormat="false" ht="15" hidden="false" customHeight="true" outlineLevel="0" collapsed="false"/>
    <row r="32263" customFormat="false" ht="15" hidden="false" customHeight="true" outlineLevel="0" collapsed="false"/>
    <row r="32264" customFormat="false" ht="15" hidden="false" customHeight="true" outlineLevel="0" collapsed="false"/>
    <row r="32265" customFormat="false" ht="15" hidden="false" customHeight="true" outlineLevel="0" collapsed="false"/>
    <row r="32266" customFormat="false" ht="15" hidden="false" customHeight="true" outlineLevel="0" collapsed="false"/>
    <row r="32267" customFormat="false" ht="15" hidden="false" customHeight="true" outlineLevel="0" collapsed="false"/>
    <row r="32268" customFormat="false" ht="15" hidden="false" customHeight="true" outlineLevel="0" collapsed="false"/>
    <row r="32269" customFormat="false" ht="15" hidden="false" customHeight="true" outlineLevel="0" collapsed="false"/>
    <row r="32270" customFormat="false" ht="15" hidden="false" customHeight="true" outlineLevel="0" collapsed="false"/>
    <row r="32271" customFormat="false" ht="15" hidden="false" customHeight="true" outlineLevel="0" collapsed="false"/>
    <row r="32272" customFormat="false" ht="15" hidden="false" customHeight="true" outlineLevel="0" collapsed="false"/>
    <row r="32273" customFormat="false" ht="15" hidden="false" customHeight="true" outlineLevel="0" collapsed="false"/>
    <row r="32274" customFormat="false" ht="15" hidden="false" customHeight="true" outlineLevel="0" collapsed="false"/>
    <row r="32275" customFormat="false" ht="15" hidden="false" customHeight="true" outlineLevel="0" collapsed="false"/>
    <row r="32276" customFormat="false" ht="15" hidden="false" customHeight="true" outlineLevel="0" collapsed="false"/>
    <row r="32277" customFormat="false" ht="15" hidden="false" customHeight="true" outlineLevel="0" collapsed="false"/>
    <row r="32278" customFormat="false" ht="15" hidden="false" customHeight="true" outlineLevel="0" collapsed="false"/>
    <row r="32279" customFormat="false" ht="15" hidden="false" customHeight="true" outlineLevel="0" collapsed="false"/>
    <row r="32280" customFormat="false" ht="15" hidden="false" customHeight="true" outlineLevel="0" collapsed="false"/>
    <row r="32281" customFormat="false" ht="15" hidden="false" customHeight="true" outlineLevel="0" collapsed="false"/>
    <row r="32282" customFormat="false" ht="15" hidden="false" customHeight="true" outlineLevel="0" collapsed="false"/>
    <row r="32283" customFormat="false" ht="15" hidden="false" customHeight="true" outlineLevel="0" collapsed="false"/>
    <row r="32284" customFormat="false" ht="15" hidden="false" customHeight="true" outlineLevel="0" collapsed="false"/>
    <row r="32285" customFormat="false" ht="15" hidden="false" customHeight="true" outlineLevel="0" collapsed="false"/>
    <row r="32286" customFormat="false" ht="15" hidden="false" customHeight="true" outlineLevel="0" collapsed="false"/>
    <row r="32287" customFormat="false" ht="15" hidden="false" customHeight="true" outlineLevel="0" collapsed="false"/>
    <row r="32288" customFormat="false" ht="15" hidden="false" customHeight="true" outlineLevel="0" collapsed="false"/>
    <row r="32289" customFormat="false" ht="15" hidden="false" customHeight="true" outlineLevel="0" collapsed="false"/>
    <row r="32290" customFormat="false" ht="15" hidden="false" customHeight="true" outlineLevel="0" collapsed="false"/>
    <row r="32291" customFormat="false" ht="15" hidden="false" customHeight="true" outlineLevel="0" collapsed="false"/>
    <row r="32292" customFormat="false" ht="15" hidden="false" customHeight="true" outlineLevel="0" collapsed="false"/>
    <row r="32293" customFormat="false" ht="15" hidden="false" customHeight="true" outlineLevel="0" collapsed="false"/>
    <row r="32294" customFormat="false" ht="15" hidden="false" customHeight="true" outlineLevel="0" collapsed="false"/>
    <row r="32295" customFormat="false" ht="15" hidden="false" customHeight="true" outlineLevel="0" collapsed="false"/>
    <row r="32296" customFormat="false" ht="15" hidden="false" customHeight="true" outlineLevel="0" collapsed="false"/>
    <row r="32297" customFormat="false" ht="15" hidden="false" customHeight="true" outlineLevel="0" collapsed="false"/>
    <row r="32298" customFormat="false" ht="15" hidden="false" customHeight="true" outlineLevel="0" collapsed="false"/>
    <row r="32299" customFormat="false" ht="15" hidden="false" customHeight="true" outlineLevel="0" collapsed="false"/>
    <row r="32300" customFormat="false" ht="15" hidden="false" customHeight="true" outlineLevel="0" collapsed="false"/>
    <row r="32301" customFormat="false" ht="15" hidden="false" customHeight="true" outlineLevel="0" collapsed="false"/>
    <row r="32302" customFormat="false" ht="15" hidden="false" customHeight="true" outlineLevel="0" collapsed="false"/>
    <row r="32303" customFormat="false" ht="15" hidden="false" customHeight="true" outlineLevel="0" collapsed="false"/>
    <row r="32304" customFormat="false" ht="15" hidden="false" customHeight="true" outlineLevel="0" collapsed="false"/>
    <row r="32305" customFormat="false" ht="15" hidden="false" customHeight="true" outlineLevel="0" collapsed="false"/>
    <row r="32306" customFormat="false" ht="15" hidden="false" customHeight="true" outlineLevel="0" collapsed="false"/>
    <row r="32307" customFormat="false" ht="15" hidden="false" customHeight="true" outlineLevel="0" collapsed="false"/>
    <row r="32308" customFormat="false" ht="15" hidden="false" customHeight="true" outlineLevel="0" collapsed="false"/>
    <row r="32309" customFormat="false" ht="15" hidden="false" customHeight="true" outlineLevel="0" collapsed="false"/>
    <row r="32310" customFormat="false" ht="15" hidden="false" customHeight="true" outlineLevel="0" collapsed="false"/>
    <row r="32311" customFormat="false" ht="15" hidden="false" customHeight="true" outlineLevel="0" collapsed="false"/>
    <row r="32312" customFormat="false" ht="15" hidden="false" customHeight="true" outlineLevel="0" collapsed="false"/>
    <row r="32313" customFormat="false" ht="15" hidden="false" customHeight="true" outlineLevel="0" collapsed="false"/>
    <row r="32314" customFormat="false" ht="15" hidden="false" customHeight="true" outlineLevel="0" collapsed="false"/>
    <row r="32315" customFormat="false" ht="15" hidden="false" customHeight="true" outlineLevel="0" collapsed="false"/>
    <row r="32316" customFormat="false" ht="15" hidden="false" customHeight="true" outlineLevel="0" collapsed="false"/>
    <row r="32317" customFormat="false" ht="15" hidden="false" customHeight="true" outlineLevel="0" collapsed="false"/>
    <row r="32318" customFormat="false" ht="15" hidden="false" customHeight="true" outlineLevel="0" collapsed="false"/>
    <row r="32319" customFormat="false" ht="15" hidden="false" customHeight="true" outlineLevel="0" collapsed="false"/>
    <row r="32320" customFormat="false" ht="15" hidden="false" customHeight="true" outlineLevel="0" collapsed="false"/>
    <row r="32321" customFormat="false" ht="15" hidden="false" customHeight="true" outlineLevel="0" collapsed="false"/>
    <row r="32322" customFormat="false" ht="15" hidden="false" customHeight="true" outlineLevel="0" collapsed="false"/>
    <row r="32323" customFormat="false" ht="15" hidden="false" customHeight="true" outlineLevel="0" collapsed="false"/>
    <row r="32324" customFormat="false" ht="15" hidden="false" customHeight="true" outlineLevel="0" collapsed="false"/>
    <row r="32325" customFormat="false" ht="15" hidden="false" customHeight="true" outlineLevel="0" collapsed="false"/>
    <row r="32326" customFormat="false" ht="15" hidden="false" customHeight="true" outlineLevel="0" collapsed="false"/>
    <row r="32327" customFormat="false" ht="15" hidden="false" customHeight="true" outlineLevel="0" collapsed="false"/>
    <row r="32328" customFormat="false" ht="15" hidden="false" customHeight="true" outlineLevel="0" collapsed="false"/>
    <row r="32329" customFormat="false" ht="15" hidden="false" customHeight="true" outlineLevel="0" collapsed="false"/>
    <row r="32330" customFormat="false" ht="15" hidden="false" customHeight="true" outlineLevel="0" collapsed="false"/>
    <row r="32331" customFormat="false" ht="15" hidden="false" customHeight="true" outlineLevel="0" collapsed="false"/>
    <row r="32332" customFormat="false" ht="15" hidden="false" customHeight="true" outlineLevel="0" collapsed="false"/>
    <row r="32333" customFormat="false" ht="15" hidden="false" customHeight="true" outlineLevel="0" collapsed="false"/>
    <row r="32334" customFormat="false" ht="15" hidden="false" customHeight="true" outlineLevel="0" collapsed="false"/>
    <row r="32335" customFormat="false" ht="15" hidden="false" customHeight="true" outlineLevel="0" collapsed="false"/>
    <row r="32336" customFormat="false" ht="15" hidden="false" customHeight="true" outlineLevel="0" collapsed="false"/>
    <row r="32337" customFormat="false" ht="15" hidden="false" customHeight="true" outlineLevel="0" collapsed="false"/>
    <row r="32338" customFormat="false" ht="15" hidden="false" customHeight="true" outlineLevel="0" collapsed="false"/>
    <row r="32339" customFormat="false" ht="15" hidden="false" customHeight="true" outlineLevel="0" collapsed="false"/>
    <row r="32340" customFormat="false" ht="15" hidden="false" customHeight="true" outlineLevel="0" collapsed="false"/>
    <row r="32341" customFormat="false" ht="15" hidden="false" customHeight="true" outlineLevel="0" collapsed="false"/>
    <row r="32342" customFormat="false" ht="15" hidden="false" customHeight="true" outlineLevel="0" collapsed="false"/>
    <row r="32343" customFormat="false" ht="15" hidden="false" customHeight="true" outlineLevel="0" collapsed="false"/>
    <row r="32344" customFormat="false" ht="15" hidden="false" customHeight="true" outlineLevel="0" collapsed="false"/>
    <row r="32345" customFormat="false" ht="15" hidden="false" customHeight="true" outlineLevel="0" collapsed="false"/>
    <row r="32346" customFormat="false" ht="15" hidden="false" customHeight="true" outlineLevel="0" collapsed="false"/>
    <row r="32347" customFormat="false" ht="15" hidden="false" customHeight="true" outlineLevel="0" collapsed="false"/>
    <row r="32348" customFormat="false" ht="15" hidden="false" customHeight="true" outlineLevel="0" collapsed="false"/>
    <row r="32349" customFormat="false" ht="15" hidden="false" customHeight="true" outlineLevel="0" collapsed="false"/>
    <row r="32350" customFormat="false" ht="15" hidden="false" customHeight="true" outlineLevel="0" collapsed="false"/>
    <row r="32351" customFormat="false" ht="15" hidden="false" customHeight="true" outlineLevel="0" collapsed="false"/>
    <row r="32352" customFormat="false" ht="15" hidden="false" customHeight="true" outlineLevel="0" collapsed="false"/>
    <row r="32353" customFormat="false" ht="15" hidden="false" customHeight="true" outlineLevel="0" collapsed="false"/>
    <row r="32354" customFormat="false" ht="15" hidden="false" customHeight="true" outlineLevel="0" collapsed="false"/>
    <row r="32355" customFormat="false" ht="15" hidden="false" customHeight="true" outlineLevel="0" collapsed="false"/>
    <row r="32356" customFormat="false" ht="15" hidden="false" customHeight="true" outlineLevel="0" collapsed="false"/>
    <row r="32357" customFormat="false" ht="15" hidden="false" customHeight="true" outlineLevel="0" collapsed="false"/>
    <row r="32358" customFormat="false" ht="15" hidden="false" customHeight="true" outlineLevel="0" collapsed="false"/>
    <row r="32359" customFormat="false" ht="15" hidden="false" customHeight="true" outlineLevel="0" collapsed="false"/>
    <row r="32360" customFormat="false" ht="15" hidden="false" customHeight="true" outlineLevel="0" collapsed="false"/>
    <row r="32361" customFormat="false" ht="15" hidden="false" customHeight="true" outlineLevel="0" collapsed="false"/>
    <row r="32362" customFormat="false" ht="15" hidden="false" customHeight="true" outlineLevel="0" collapsed="false"/>
    <row r="32363" customFormat="false" ht="15" hidden="false" customHeight="true" outlineLevel="0" collapsed="false"/>
    <row r="32364" customFormat="false" ht="15" hidden="false" customHeight="true" outlineLevel="0" collapsed="false"/>
    <row r="32365" customFormat="false" ht="15" hidden="false" customHeight="true" outlineLevel="0" collapsed="false"/>
    <row r="32366" customFormat="false" ht="15" hidden="false" customHeight="true" outlineLevel="0" collapsed="false"/>
    <row r="32367" customFormat="false" ht="15" hidden="false" customHeight="true" outlineLevel="0" collapsed="false"/>
    <row r="32368" customFormat="false" ht="15" hidden="false" customHeight="true" outlineLevel="0" collapsed="false"/>
    <row r="32369" customFormat="false" ht="15" hidden="false" customHeight="true" outlineLevel="0" collapsed="false"/>
    <row r="32370" customFormat="false" ht="15" hidden="false" customHeight="true" outlineLevel="0" collapsed="false"/>
    <row r="32371" customFormat="false" ht="15" hidden="false" customHeight="true" outlineLevel="0" collapsed="false"/>
    <row r="32372" customFormat="false" ht="15" hidden="false" customHeight="true" outlineLevel="0" collapsed="false"/>
    <row r="32373" customFormat="false" ht="15" hidden="false" customHeight="true" outlineLevel="0" collapsed="false"/>
    <row r="32374" customFormat="false" ht="15" hidden="false" customHeight="true" outlineLevel="0" collapsed="false"/>
    <row r="32375" customFormat="false" ht="15" hidden="false" customHeight="true" outlineLevel="0" collapsed="false"/>
    <row r="32376" customFormat="false" ht="15" hidden="false" customHeight="true" outlineLevel="0" collapsed="false"/>
    <row r="32377" customFormat="false" ht="15" hidden="false" customHeight="true" outlineLevel="0" collapsed="false"/>
    <row r="32378" customFormat="false" ht="15" hidden="false" customHeight="true" outlineLevel="0" collapsed="false"/>
    <row r="32379" customFormat="false" ht="15" hidden="false" customHeight="true" outlineLevel="0" collapsed="false"/>
    <row r="32380" customFormat="false" ht="15" hidden="false" customHeight="true" outlineLevel="0" collapsed="false"/>
    <row r="32381" customFormat="false" ht="15" hidden="false" customHeight="true" outlineLevel="0" collapsed="false"/>
    <row r="32382" customFormat="false" ht="15" hidden="false" customHeight="true" outlineLevel="0" collapsed="false"/>
    <row r="32383" customFormat="false" ht="15" hidden="false" customHeight="true" outlineLevel="0" collapsed="false"/>
    <row r="32384" customFormat="false" ht="15" hidden="false" customHeight="true" outlineLevel="0" collapsed="false"/>
    <row r="32385" customFormat="false" ht="15" hidden="false" customHeight="true" outlineLevel="0" collapsed="false"/>
    <row r="32386" customFormat="false" ht="15" hidden="false" customHeight="true" outlineLevel="0" collapsed="false"/>
    <row r="32387" customFormat="false" ht="15" hidden="false" customHeight="true" outlineLevel="0" collapsed="false"/>
    <row r="32388" customFormat="false" ht="15" hidden="false" customHeight="true" outlineLevel="0" collapsed="false"/>
    <row r="32389" customFormat="false" ht="15" hidden="false" customHeight="true" outlineLevel="0" collapsed="false"/>
    <row r="32390" customFormat="false" ht="15" hidden="false" customHeight="true" outlineLevel="0" collapsed="false"/>
    <row r="32391" customFormat="false" ht="15" hidden="false" customHeight="true" outlineLevel="0" collapsed="false"/>
    <row r="32392" customFormat="false" ht="15" hidden="false" customHeight="true" outlineLevel="0" collapsed="false"/>
    <row r="32393" customFormat="false" ht="15" hidden="false" customHeight="true" outlineLevel="0" collapsed="false"/>
    <row r="32394" customFormat="false" ht="15" hidden="false" customHeight="true" outlineLevel="0" collapsed="false"/>
    <row r="32395" customFormat="false" ht="15" hidden="false" customHeight="true" outlineLevel="0" collapsed="false"/>
    <row r="32396" customFormat="false" ht="15" hidden="false" customHeight="true" outlineLevel="0" collapsed="false"/>
    <row r="32397" customFormat="false" ht="15" hidden="false" customHeight="true" outlineLevel="0" collapsed="false"/>
    <row r="32398" customFormat="false" ht="15" hidden="false" customHeight="true" outlineLevel="0" collapsed="false"/>
    <row r="32399" customFormat="false" ht="15" hidden="false" customHeight="true" outlineLevel="0" collapsed="false"/>
    <row r="32400" customFormat="false" ht="15" hidden="false" customHeight="true" outlineLevel="0" collapsed="false"/>
    <row r="32401" customFormat="false" ht="15" hidden="false" customHeight="true" outlineLevel="0" collapsed="false"/>
    <row r="32402" customFormat="false" ht="15" hidden="false" customHeight="true" outlineLevel="0" collapsed="false"/>
    <row r="32403" customFormat="false" ht="15" hidden="false" customHeight="true" outlineLevel="0" collapsed="false"/>
    <row r="32404" customFormat="false" ht="15" hidden="false" customHeight="true" outlineLevel="0" collapsed="false"/>
    <row r="32405" customFormat="false" ht="15" hidden="false" customHeight="true" outlineLevel="0" collapsed="false"/>
    <row r="32406" customFormat="false" ht="15" hidden="false" customHeight="true" outlineLevel="0" collapsed="false"/>
    <row r="32407" customFormat="false" ht="15" hidden="false" customHeight="true" outlineLevel="0" collapsed="false"/>
    <row r="32408" customFormat="false" ht="15" hidden="false" customHeight="true" outlineLevel="0" collapsed="false"/>
    <row r="32409" customFormat="false" ht="15" hidden="false" customHeight="true" outlineLevel="0" collapsed="false"/>
    <row r="32410" customFormat="false" ht="15" hidden="false" customHeight="true" outlineLevel="0" collapsed="false"/>
    <row r="32411" customFormat="false" ht="15" hidden="false" customHeight="true" outlineLevel="0" collapsed="false"/>
    <row r="32412" customFormat="false" ht="15" hidden="false" customHeight="true" outlineLevel="0" collapsed="false"/>
    <row r="32413" customFormat="false" ht="15" hidden="false" customHeight="true" outlineLevel="0" collapsed="false"/>
    <row r="32414" customFormat="false" ht="15" hidden="false" customHeight="true" outlineLevel="0" collapsed="false"/>
    <row r="32415" customFormat="false" ht="15" hidden="false" customHeight="true" outlineLevel="0" collapsed="false"/>
    <row r="32416" customFormat="false" ht="15" hidden="false" customHeight="true" outlineLevel="0" collapsed="false"/>
    <row r="32417" customFormat="false" ht="15" hidden="false" customHeight="true" outlineLevel="0" collapsed="false"/>
    <row r="32418" customFormat="false" ht="15" hidden="false" customHeight="true" outlineLevel="0" collapsed="false"/>
    <row r="32419" customFormat="false" ht="15" hidden="false" customHeight="true" outlineLevel="0" collapsed="false"/>
    <row r="32420" customFormat="false" ht="15" hidden="false" customHeight="true" outlineLevel="0" collapsed="false"/>
    <row r="32421" customFormat="false" ht="15" hidden="false" customHeight="true" outlineLevel="0" collapsed="false"/>
    <row r="32422" customFormat="false" ht="15" hidden="false" customHeight="true" outlineLevel="0" collapsed="false"/>
    <row r="32423" customFormat="false" ht="15" hidden="false" customHeight="true" outlineLevel="0" collapsed="false"/>
    <row r="32424" customFormat="false" ht="15" hidden="false" customHeight="true" outlineLevel="0" collapsed="false"/>
    <row r="32425" customFormat="false" ht="15" hidden="false" customHeight="true" outlineLevel="0" collapsed="false"/>
    <row r="32426" customFormat="false" ht="15" hidden="false" customHeight="true" outlineLevel="0" collapsed="false"/>
    <row r="32427" customFormat="false" ht="15" hidden="false" customHeight="true" outlineLevel="0" collapsed="false"/>
    <row r="32428" customFormat="false" ht="15" hidden="false" customHeight="true" outlineLevel="0" collapsed="false"/>
    <row r="32429" customFormat="false" ht="15" hidden="false" customHeight="true" outlineLevel="0" collapsed="false"/>
    <row r="32430" customFormat="false" ht="15" hidden="false" customHeight="true" outlineLevel="0" collapsed="false"/>
    <row r="32431" customFormat="false" ht="15" hidden="false" customHeight="true" outlineLevel="0" collapsed="false"/>
    <row r="32432" customFormat="false" ht="15" hidden="false" customHeight="true" outlineLevel="0" collapsed="false"/>
    <row r="32433" customFormat="false" ht="15" hidden="false" customHeight="true" outlineLevel="0" collapsed="false"/>
    <row r="32434" customFormat="false" ht="15" hidden="false" customHeight="true" outlineLevel="0" collapsed="false"/>
    <row r="32435" customFormat="false" ht="15" hidden="false" customHeight="true" outlineLevel="0" collapsed="false"/>
    <row r="32436" customFormat="false" ht="15" hidden="false" customHeight="true" outlineLevel="0" collapsed="false"/>
    <row r="32437" customFormat="false" ht="15" hidden="false" customHeight="true" outlineLevel="0" collapsed="false"/>
    <row r="32438" customFormat="false" ht="15" hidden="false" customHeight="true" outlineLevel="0" collapsed="false"/>
    <row r="32439" customFormat="false" ht="15" hidden="false" customHeight="true" outlineLevel="0" collapsed="false"/>
    <row r="32440" customFormat="false" ht="15" hidden="false" customHeight="true" outlineLevel="0" collapsed="false"/>
    <row r="32441" customFormat="false" ht="15" hidden="false" customHeight="true" outlineLevel="0" collapsed="false"/>
    <row r="32442" customFormat="false" ht="15" hidden="false" customHeight="true" outlineLevel="0" collapsed="false"/>
    <row r="32443" customFormat="false" ht="15" hidden="false" customHeight="true" outlineLevel="0" collapsed="false"/>
    <row r="32444" customFormat="false" ht="15" hidden="false" customHeight="true" outlineLevel="0" collapsed="false"/>
    <row r="32445" customFormat="false" ht="15" hidden="false" customHeight="true" outlineLevel="0" collapsed="false"/>
    <row r="32446" customFormat="false" ht="15" hidden="false" customHeight="true" outlineLevel="0" collapsed="false"/>
    <row r="32447" customFormat="false" ht="15" hidden="false" customHeight="true" outlineLevel="0" collapsed="false"/>
    <row r="32448" customFormat="false" ht="15" hidden="false" customHeight="true" outlineLevel="0" collapsed="false"/>
    <row r="32449" customFormat="false" ht="15" hidden="false" customHeight="true" outlineLevel="0" collapsed="false"/>
    <row r="32450" customFormat="false" ht="15" hidden="false" customHeight="true" outlineLevel="0" collapsed="false"/>
    <row r="32451" customFormat="false" ht="15" hidden="false" customHeight="true" outlineLevel="0" collapsed="false"/>
    <row r="32452" customFormat="false" ht="15" hidden="false" customHeight="true" outlineLevel="0" collapsed="false"/>
    <row r="32453" customFormat="false" ht="15" hidden="false" customHeight="true" outlineLevel="0" collapsed="false"/>
    <row r="32454" customFormat="false" ht="15" hidden="false" customHeight="true" outlineLevel="0" collapsed="false"/>
    <row r="32455" customFormat="false" ht="15" hidden="false" customHeight="true" outlineLevel="0" collapsed="false"/>
    <row r="32456" customFormat="false" ht="15" hidden="false" customHeight="true" outlineLevel="0" collapsed="false"/>
    <row r="32457" customFormat="false" ht="15" hidden="false" customHeight="true" outlineLevel="0" collapsed="false"/>
    <row r="32458" customFormat="false" ht="15" hidden="false" customHeight="true" outlineLevel="0" collapsed="false"/>
    <row r="32459" customFormat="false" ht="15" hidden="false" customHeight="true" outlineLevel="0" collapsed="false"/>
    <row r="32460" customFormat="false" ht="15" hidden="false" customHeight="true" outlineLevel="0" collapsed="false"/>
    <row r="32461" customFormat="false" ht="15" hidden="false" customHeight="true" outlineLevel="0" collapsed="false"/>
    <row r="32462" customFormat="false" ht="15" hidden="false" customHeight="true" outlineLevel="0" collapsed="false"/>
    <row r="32463" customFormat="false" ht="15" hidden="false" customHeight="true" outlineLevel="0" collapsed="false"/>
    <row r="32464" customFormat="false" ht="15" hidden="false" customHeight="true" outlineLevel="0" collapsed="false"/>
    <row r="32465" customFormat="false" ht="15" hidden="false" customHeight="true" outlineLevel="0" collapsed="false"/>
    <row r="32466" customFormat="false" ht="15" hidden="false" customHeight="true" outlineLevel="0" collapsed="false"/>
    <row r="32467" customFormat="false" ht="15" hidden="false" customHeight="true" outlineLevel="0" collapsed="false"/>
    <row r="32468" customFormat="false" ht="15" hidden="false" customHeight="true" outlineLevel="0" collapsed="false"/>
    <row r="32469" customFormat="false" ht="15" hidden="false" customHeight="true" outlineLevel="0" collapsed="false"/>
    <row r="32470" customFormat="false" ht="15" hidden="false" customHeight="true" outlineLevel="0" collapsed="false"/>
    <row r="32471" customFormat="false" ht="15" hidden="false" customHeight="true" outlineLevel="0" collapsed="false"/>
    <row r="32472" customFormat="false" ht="15" hidden="false" customHeight="true" outlineLevel="0" collapsed="false"/>
    <row r="32473" customFormat="false" ht="15" hidden="false" customHeight="true" outlineLevel="0" collapsed="false"/>
    <row r="32474" customFormat="false" ht="15" hidden="false" customHeight="true" outlineLevel="0" collapsed="false"/>
    <row r="32475" customFormat="false" ht="15" hidden="false" customHeight="true" outlineLevel="0" collapsed="false"/>
    <row r="32476" customFormat="false" ht="15" hidden="false" customHeight="true" outlineLevel="0" collapsed="false"/>
    <row r="32477" customFormat="false" ht="15" hidden="false" customHeight="true" outlineLevel="0" collapsed="false"/>
    <row r="32478" customFormat="false" ht="15" hidden="false" customHeight="true" outlineLevel="0" collapsed="false"/>
    <row r="32479" customFormat="false" ht="15" hidden="false" customHeight="true" outlineLevel="0" collapsed="false"/>
    <row r="32480" customFormat="false" ht="15" hidden="false" customHeight="true" outlineLevel="0" collapsed="false"/>
    <row r="32481" customFormat="false" ht="15" hidden="false" customHeight="true" outlineLevel="0" collapsed="false"/>
    <row r="32482" customFormat="false" ht="15" hidden="false" customHeight="true" outlineLevel="0" collapsed="false"/>
    <row r="32483" customFormat="false" ht="15" hidden="false" customHeight="true" outlineLevel="0" collapsed="false"/>
    <row r="32484" customFormat="false" ht="15" hidden="false" customHeight="true" outlineLevel="0" collapsed="false"/>
    <row r="32485" customFormat="false" ht="15" hidden="false" customHeight="true" outlineLevel="0" collapsed="false"/>
    <row r="32486" customFormat="false" ht="15" hidden="false" customHeight="true" outlineLevel="0" collapsed="false"/>
    <row r="32487" customFormat="false" ht="15" hidden="false" customHeight="true" outlineLevel="0" collapsed="false"/>
    <row r="32488" customFormat="false" ht="15" hidden="false" customHeight="true" outlineLevel="0" collapsed="false"/>
    <row r="32489" customFormat="false" ht="15" hidden="false" customHeight="true" outlineLevel="0" collapsed="false"/>
    <row r="32490" customFormat="false" ht="15" hidden="false" customHeight="true" outlineLevel="0" collapsed="false"/>
    <row r="32491" customFormat="false" ht="15" hidden="false" customHeight="true" outlineLevel="0" collapsed="false"/>
    <row r="32492" customFormat="false" ht="15" hidden="false" customHeight="true" outlineLevel="0" collapsed="false"/>
    <row r="32493" customFormat="false" ht="15" hidden="false" customHeight="true" outlineLevel="0" collapsed="false"/>
    <row r="32494" customFormat="false" ht="15" hidden="false" customHeight="true" outlineLevel="0" collapsed="false"/>
    <row r="32495" customFormat="false" ht="15" hidden="false" customHeight="true" outlineLevel="0" collapsed="false"/>
    <row r="32496" customFormat="false" ht="15" hidden="false" customHeight="true" outlineLevel="0" collapsed="false"/>
    <row r="32497" customFormat="false" ht="15" hidden="false" customHeight="true" outlineLevel="0" collapsed="false"/>
    <row r="32498" customFormat="false" ht="15" hidden="false" customHeight="true" outlineLevel="0" collapsed="false"/>
    <row r="32499" customFormat="false" ht="15" hidden="false" customHeight="true" outlineLevel="0" collapsed="false"/>
    <row r="32500" customFormat="false" ht="15" hidden="false" customHeight="true" outlineLevel="0" collapsed="false"/>
    <row r="32501" customFormat="false" ht="15" hidden="false" customHeight="true" outlineLevel="0" collapsed="false"/>
    <row r="32502" customFormat="false" ht="15" hidden="false" customHeight="true" outlineLevel="0" collapsed="false"/>
    <row r="32503" customFormat="false" ht="15" hidden="false" customHeight="true" outlineLevel="0" collapsed="false"/>
    <row r="32504" customFormat="false" ht="15" hidden="false" customHeight="true" outlineLevel="0" collapsed="false"/>
    <row r="32505" customFormat="false" ht="15" hidden="false" customHeight="true" outlineLevel="0" collapsed="false"/>
    <row r="32506" customFormat="false" ht="15" hidden="false" customHeight="true" outlineLevel="0" collapsed="false"/>
    <row r="32507" customFormat="false" ht="15" hidden="false" customHeight="true" outlineLevel="0" collapsed="false"/>
    <row r="32508" customFormat="false" ht="15" hidden="false" customHeight="true" outlineLevel="0" collapsed="false"/>
    <row r="32509" customFormat="false" ht="15" hidden="false" customHeight="true" outlineLevel="0" collapsed="false"/>
    <row r="32510" customFormat="false" ht="15" hidden="false" customHeight="true" outlineLevel="0" collapsed="false"/>
    <row r="32511" customFormat="false" ht="15" hidden="false" customHeight="true" outlineLevel="0" collapsed="false"/>
    <row r="32512" customFormat="false" ht="15" hidden="false" customHeight="true" outlineLevel="0" collapsed="false"/>
    <row r="32513" customFormat="false" ht="15" hidden="false" customHeight="true" outlineLevel="0" collapsed="false"/>
    <row r="32514" customFormat="false" ht="15" hidden="false" customHeight="true" outlineLevel="0" collapsed="false"/>
    <row r="32515" customFormat="false" ht="15" hidden="false" customHeight="true" outlineLevel="0" collapsed="false"/>
    <row r="32516" customFormat="false" ht="15" hidden="false" customHeight="true" outlineLevel="0" collapsed="false"/>
    <row r="32517" customFormat="false" ht="15" hidden="false" customHeight="true" outlineLevel="0" collapsed="false"/>
    <row r="32518" customFormat="false" ht="15" hidden="false" customHeight="true" outlineLevel="0" collapsed="false"/>
    <row r="32519" customFormat="false" ht="15" hidden="false" customHeight="true" outlineLevel="0" collapsed="false"/>
    <row r="32520" customFormat="false" ht="15" hidden="false" customHeight="true" outlineLevel="0" collapsed="false"/>
    <row r="32521" customFormat="false" ht="15" hidden="false" customHeight="true" outlineLevel="0" collapsed="false"/>
    <row r="32522" customFormat="false" ht="15" hidden="false" customHeight="true" outlineLevel="0" collapsed="false"/>
    <row r="32523" customFormat="false" ht="15" hidden="false" customHeight="true" outlineLevel="0" collapsed="false"/>
    <row r="32524" customFormat="false" ht="15" hidden="false" customHeight="true" outlineLevel="0" collapsed="false"/>
    <row r="32525" customFormat="false" ht="15" hidden="false" customHeight="true" outlineLevel="0" collapsed="false"/>
    <row r="32526" customFormat="false" ht="15" hidden="false" customHeight="true" outlineLevel="0" collapsed="false"/>
    <row r="32527" customFormat="false" ht="15" hidden="false" customHeight="true" outlineLevel="0" collapsed="false"/>
    <row r="32528" customFormat="false" ht="15" hidden="false" customHeight="true" outlineLevel="0" collapsed="false"/>
    <row r="32529" customFormat="false" ht="15" hidden="false" customHeight="true" outlineLevel="0" collapsed="false"/>
    <row r="32530" customFormat="false" ht="15" hidden="false" customHeight="true" outlineLevel="0" collapsed="false"/>
    <row r="32531" customFormat="false" ht="15" hidden="false" customHeight="true" outlineLevel="0" collapsed="false"/>
    <row r="32532" customFormat="false" ht="15" hidden="false" customHeight="true" outlineLevel="0" collapsed="false"/>
    <row r="32533" customFormat="false" ht="15" hidden="false" customHeight="true" outlineLevel="0" collapsed="false"/>
    <row r="32534" customFormat="false" ht="15" hidden="false" customHeight="true" outlineLevel="0" collapsed="false"/>
    <row r="32535" customFormat="false" ht="15" hidden="false" customHeight="true" outlineLevel="0" collapsed="false"/>
    <row r="32536" customFormat="false" ht="15" hidden="false" customHeight="true" outlineLevel="0" collapsed="false"/>
    <row r="32537" customFormat="false" ht="15" hidden="false" customHeight="true" outlineLevel="0" collapsed="false"/>
    <row r="32538" customFormat="false" ht="15" hidden="false" customHeight="true" outlineLevel="0" collapsed="false"/>
    <row r="32539" customFormat="false" ht="15" hidden="false" customHeight="true" outlineLevel="0" collapsed="false"/>
    <row r="32540" customFormat="false" ht="15" hidden="false" customHeight="true" outlineLevel="0" collapsed="false"/>
    <row r="32541" customFormat="false" ht="15" hidden="false" customHeight="true" outlineLevel="0" collapsed="false"/>
    <row r="32542" customFormat="false" ht="15" hidden="false" customHeight="true" outlineLevel="0" collapsed="false"/>
    <row r="32543" customFormat="false" ht="15" hidden="false" customHeight="true" outlineLevel="0" collapsed="false"/>
    <row r="32544" customFormat="false" ht="15" hidden="false" customHeight="true" outlineLevel="0" collapsed="false"/>
    <row r="32545" customFormat="false" ht="15" hidden="false" customHeight="true" outlineLevel="0" collapsed="false"/>
    <row r="32546" customFormat="false" ht="15" hidden="false" customHeight="true" outlineLevel="0" collapsed="false"/>
    <row r="32547" customFormat="false" ht="15" hidden="false" customHeight="true" outlineLevel="0" collapsed="false"/>
    <row r="32548" customFormat="false" ht="15" hidden="false" customHeight="true" outlineLevel="0" collapsed="false"/>
    <row r="32549" customFormat="false" ht="15" hidden="false" customHeight="true" outlineLevel="0" collapsed="false"/>
    <row r="32550" customFormat="false" ht="15" hidden="false" customHeight="true" outlineLevel="0" collapsed="false"/>
    <row r="32551" customFormat="false" ht="15" hidden="false" customHeight="true" outlineLevel="0" collapsed="false"/>
    <row r="32552" customFormat="false" ht="15" hidden="false" customHeight="true" outlineLevel="0" collapsed="false"/>
    <row r="32553" customFormat="false" ht="15" hidden="false" customHeight="true" outlineLevel="0" collapsed="false"/>
    <row r="32554" customFormat="false" ht="15" hidden="false" customHeight="true" outlineLevel="0" collapsed="false"/>
    <row r="32555" customFormat="false" ht="15" hidden="false" customHeight="true" outlineLevel="0" collapsed="false"/>
    <row r="32556" customFormat="false" ht="15" hidden="false" customHeight="true" outlineLevel="0" collapsed="false"/>
    <row r="32557" customFormat="false" ht="15" hidden="false" customHeight="true" outlineLevel="0" collapsed="false"/>
    <row r="32558" customFormat="false" ht="15" hidden="false" customHeight="true" outlineLevel="0" collapsed="false"/>
    <row r="32559" customFormat="false" ht="15" hidden="false" customHeight="true" outlineLevel="0" collapsed="false"/>
    <row r="32560" customFormat="false" ht="15" hidden="false" customHeight="true" outlineLevel="0" collapsed="false"/>
    <row r="32561" customFormat="false" ht="15" hidden="false" customHeight="true" outlineLevel="0" collapsed="false"/>
    <row r="32562" customFormat="false" ht="15" hidden="false" customHeight="true" outlineLevel="0" collapsed="false"/>
    <row r="32563" customFormat="false" ht="15" hidden="false" customHeight="true" outlineLevel="0" collapsed="false"/>
    <row r="32564" customFormat="false" ht="15" hidden="false" customHeight="true" outlineLevel="0" collapsed="false"/>
    <row r="32565" customFormat="false" ht="15" hidden="false" customHeight="true" outlineLevel="0" collapsed="false"/>
    <row r="32566" customFormat="false" ht="15" hidden="false" customHeight="true" outlineLevel="0" collapsed="false"/>
    <row r="32567" customFormat="false" ht="15" hidden="false" customHeight="true" outlineLevel="0" collapsed="false"/>
    <row r="32568" customFormat="false" ht="15" hidden="false" customHeight="true" outlineLevel="0" collapsed="false"/>
    <row r="32569" customFormat="false" ht="15" hidden="false" customHeight="true" outlineLevel="0" collapsed="false"/>
    <row r="32570" customFormat="false" ht="15" hidden="false" customHeight="true" outlineLevel="0" collapsed="false"/>
    <row r="32571" customFormat="false" ht="15" hidden="false" customHeight="true" outlineLevel="0" collapsed="false"/>
    <row r="32572" customFormat="false" ht="15" hidden="false" customHeight="true" outlineLevel="0" collapsed="false"/>
    <row r="32573" customFormat="false" ht="15" hidden="false" customHeight="true" outlineLevel="0" collapsed="false"/>
    <row r="32574" customFormat="false" ht="15" hidden="false" customHeight="true" outlineLevel="0" collapsed="false"/>
    <row r="32575" customFormat="false" ht="15" hidden="false" customHeight="true" outlineLevel="0" collapsed="false"/>
    <row r="32576" customFormat="false" ht="15" hidden="false" customHeight="true" outlineLevel="0" collapsed="false"/>
    <row r="32577" customFormat="false" ht="15" hidden="false" customHeight="true" outlineLevel="0" collapsed="false"/>
    <row r="32578" customFormat="false" ht="15" hidden="false" customHeight="true" outlineLevel="0" collapsed="false"/>
    <row r="32579" customFormat="false" ht="15" hidden="false" customHeight="true" outlineLevel="0" collapsed="false"/>
    <row r="32580" customFormat="false" ht="15" hidden="false" customHeight="true" outlineLevel="0" collapsed="false"/>
    <row r="32581" customFormat="false" ht="15" hidden="false" customHeight="true" outlineLevel="0" collapsed="false"/>
    <row r="32582" customFormat="false" ht="15" hidden="false" customHeight="true" outlineLevel="0" collapsed="false"/>
    <row r="32583" customFormat="false" ht="15" hidden="false" customHeight="true" outlineLevel="0" collapsed="false"/>
    <row r="32584" customFormat="false" ht="15" hidden="false" customHeight="true" outlineLevel="0" collapsed="false"/>
    <row r="32585" customFormat="false" ht="15" hidden="false" customHeight="true" outlineLevel="0" collapsed="false"/>
    <row r="32586" customFormat="false" ht="15" hidden="false" customHeight="true" outlineLevel="0" collapsed="false"/>
    <row r="32587" customFormat="false" ht="15" hidden="false" customHeight="true" outlineLevel="0" collapsed="false"/>
    <row r="32588" customFormat="false" ht="15" hidden="false" customHeight="true" outlineLevel="0" collapsed="false"/>
    <row r="32589" customFormat="false" ht="15" hidden="false" customHeight="true" outlineLevel="0" collapsed="false"/>
    <row r="32590" customFormat="false" ht="15" hidden="false" customHeight="true" outlineLevel="0" collapsed="false"/>
    <row r="32591" customFormat="false" ht="15" hidden="false" customHeight="true" outlineLevel="0" collapsed="false"/>
    <row r="32592" customFormat="false" ht="15" hidden="false" customHeight="true" outlineLevel="0" collapsed="false"/>
    <row r="32593" customFormat="false" ht="15" hidden="false" customHeight="true" outlineLevel="0" collapsed="false"/>
    <row r="32594" customFormat="false" ht="15" hidden="false" customHeight="true" outlineLevel="0" collapsed="false"/>
    <row r="32595" customFormat="false" ht="15" hidden="false" customHeight="true" outlineLevel="0" collapsed="false"/>
    <row r="32596" customFormat="false" ht="15" hidden="false" customHeight="true" outlineLevel="0" collapsed="false"/>
    <row r="32597" customFormat="false" ht="15" hidden="false" customHeight="true" outlineLevel="0" collapsed="false"/>
    <row r="32598" customFormat="false" ht="15" hidden="false" customHeight="true" outlineLevel="0" collapsed="false"/>
    <row r="32599" customFormat="false" ht="15" hidden="false" customHeight="true" outlineLevel="0" collapsed="false"/>
    <row r="32600" customFormat="false" ht="15" hidden="false" customHeight="true" outlineLevel="0" collapsed="false"/>
    <row r="32601" customFormat="false" ht="15" hidden="false" customHeight="true" outlineLevel="0" collapsed="false"/>
    <row r="32602" customFormat="false" ht="15" hidden="false" customHeight="true" outlineLevel="0" collapsed="false"/>
    <row r="32603" customFormat="false" ht="15" hidden="false" customHeight="true" outlineLevel="0" collapsed="false"/>
    <row r="32604" customFormat="false" ht="15" hidden="false" customHeight="true" outlineLevel="0" collapsed="false"/>
    <row r="32605" customFormat="false" ht="15" hidden="false" customHeight="true" outlineLevel="0" collapsed="false"/>
    <row r="32606" customFormat="false" ht="15" hidden="false" customHeight="true" outlineLevel="0" collapsed="false"/>
    <row r="32607" customFormat="false" ht="15" hidden="false" customHeight="true" outlineLevel="0" collapsed="false"/>
    <row r="32608" customFormat="false" ht="15" hidden="false" customHeight="true" outlineLevel="0" collapsed="false"/>
    <row r="32609" customFormat="false" ht="15" hidden="false" customHeight="true" outlineLevel="0" collapsed="false"/>
    <row r="32610" customFormat="false" ht="15" hidden="false" customHeight="true" outlineLevel="0" collapsed="false"/>
    <row r="32611" customFormat="false" ht="15" hidden="false" customHeight="true" outlineLevel="0" collapsed="false"/>
    <row r="32612" customFormat="false" ht="15" hidden="false" customHeight="true" outlineLevel="0" collapsed="false"/>
    <row r="32613" customFormat="false" ht="15" hidden="false" customHeight="true" outlineLevel="0" collapsed="false"/>
    <row r="32614" customFormat="false" ht="15" hidden="false" customHeight="true" outlineLevel="0" collapsed="false"/>
    <row r="32615" customFormat="false" ht="15" hidden="false" customHeight="true" outlineLevel="0" collapsed="false"/>
    <row r="32616" customFormat="false" ht="15" hidden="false" customHeight="true" outlineLevel="0" collapsed="false"/>
    <row r="32617" customFormat="false" ht="15" hidden="false" customHeight="true" outlineLevel="0" collapsed="false"/>
    <row r="32618" customFormat="false" ht="15" hidden="false" customHeight="true" outlineLevel="0" collapsed="false"/>
    <row r="32619" customFormat="false" ht="15" hidden="false" customHeight="true" outlineLevel="0" collapsed="false"/>
    <row r="32620" customFormat="false" ht="15" hidden="false" customHeight="true" outlineLevel="0" collapsed="false"/>
    <row r="32621" customFormat="false" ht="15" hidden="false" customHeight="true" outlineLevel="0" collapsed="false"/>
    <row r="32622" customFormat="false" ht="15" hidden="false" customHeight="true" outlineLevel="0" collapsed="false"/>
    <row r="32623" customFormat="false" ht="15" hidden="false" customHeight="true" outlineLevel="0" collapsed="false"/>
    <row r="32624" customFormat="false" ht="15" hidden="false" customHeight="true" outlineLevel="0" collapsed="false"/>
    <row r="32625" customFormat="false" ht="15" hidden="false" customHeight="true" outlineLevel="0" collapsed="false"/>
    <row r="32626" customFormat="false" ht="15" hidden="false" customHeight="true" outlineLevel="0" collapsed="false"/>
    <row r="32627" customFormat="false" ht="15" hidden="false" customHeight="true" outlineLevel="0" collapsed="false"/>
    <row r="32628" customFormat="false" ht="15" hidden="false" customHeight="true" outlineLevel="0" collapsed="false"/>
    <row r="32629" customFormat="false" ht="15" hidden="false" customHeight="true" outlineLevel="0" collapsed="false"/>
    <row r="32630" customFormat="false" ht="15" hidden="false" customHeight="true" outlineLevel="0" collapsed="false"/>
    <row r="32631" customFormat="false" ht="15" hidden="false" customHeight="true" outlineLevel="0" collapsed="false"/>
    <row r="32632" customFormat="false" ht="15" hidden="false" customHeight="true" outlineLevel="0" collapsed="false"/>
    <row r="32633" customFormat="false" ht="15" hidden="false" customHeight="true" outlineLevel="0" collapsed="false"/>
    <row r="32634" customFormat="false" ht="15" hidden="false" customHeight="true" outlineLevel="0" collapsed="false"/>
    <row r="32635" customFormat="false" ht="15" hidden="false" customHeight="true" outlineLevel="0" collapsed="false"/>
    <row r="32636" customFormat="false" ht="15" hidden="false" customHeight="true" outlineLevel="0" collapsed="false"/>
    <row r="32637" customFormat="false" ht="15" hidden="false" customHeight="true" outlineLevel="0" collapsed="false"/>
    <row r="32638" customFormat="false" ht="15" hidden="false" customHeight="true" outlineLevel="0" collapsed="false"/>
    <row r="32639" customFormat="false" ht="15" hidden="false" customHeight="true" outlineLevel="0" collapsed="false"/>
    <row r="32640" customFormat="false" ht="15" hidden="false" customHeight="true" outlineLevel="0" collapsed="false"/>
    <row r="32641" customFormat="false" ht="15" hidden="false" customHeight="true" outlineLevel="0" collapsed="false"/>
    <row r="32642" customFormat="false" ht="15" hidden="false" customHeight="true" outlineLevel="0" collapsed="false"/>
    <row r="32643" customFormat="false" ht="15" hidden="false" customHeight="true" outlineLevel="0" collapsed="false"/>
    <row r="32644" customFormat="false" ht="15" hidden="false" customHeight="true" outlineLevel="0" collapsed="false"/>
    <row r="32645" customFormat="false" ht="15" hidden="false" customHeight="true" outlineLevel="0" collapsed="false"/>
    <row r="32646" customFormat="false" ht="15" hidden="false" customHeight="true" outlineLevel="0" collapsed="false"/>
    <row r="32647" customFormat="false" ht="15" hidden="false" customHeight="true" outlineLevel="0" collapsed="false"/>
    <row r="32648" customFormat="false" ht="15" hidden="false" customHeight="true" outlineLevel="0" collapsed="false"/>
    <row r="32649" customFormat="false" ht="15" hidden="false" customHeight="true" outlineLevel="0" collapsed="false"/>
    <row r="32650" customFormat="false" ht="15" hidden="false" customHeight="true" outlineLevel="0" collapsed="false"/>
    <row r="32651" customFormat="false" ht="15" hidden="false" customHeight="true" outlineLevel="0" collapsed="false"/>
    <row r="32652" customFormat="false" ht="15" hidden="false" customHeight="true" outlineLevel="0" collapsed="false"/>
    <row r="32653" customFormat="false" ht="15" hidden="false" customHeight="true" outlineLevel="0" collapsed="false"/>
    <row r="32654" customFormat="false" ht="15" hidden="false" customHeight="true" outlineLevel="0" collapsed="false"/>
    <row r="32655" customFormat="false" ht="15" hidden="false" customHeight="true" outlineLevel="0" collapsed="false"/>
    <row r="32656" customFormat="false" ht="15" hidden="false" customHeight="true" outlineLevel="0" collapsed="false"/>
    <row r="32657" customFormat="false" ht="15" hidden="false" customHeight="true" outlineLevel="0" collapsed="false"/>
    <row r="32658" customFormat="false" ht="15" hidden="false" customHeight="true" outlineLevel="0" collapsed="false"/>
    <row r="32659" customFormat="false" ht="15" hidden="false" customHeight="true" outlineLevel="0" collapsed="false"/>
    <row r="32660" customFormat="false" ht="15" hidden="false" customHeight="true" outlineLevel="0" collapsed="false"/>
    <row r="32661" customFormat="false" ht="15" hidden="false" customHeight="true" outlineLevel="0" collapsed="false"/>
    <row r="32662" customFormat="false" ht="15" hidden="false" customHeight="true" outlineLevel="0" collapsed="false"/>
    <row r="32663" customFormat="false" ht="15" hidden="false" customHeight="true" outlineLevel="0" collapsed="false"/>
    <row r="32664" customFormat="false" ht="15" hidden="false" customHeight="true" outlineLevel="0" collapsed="false"/>
    <row r="32665" customFormat="false" ht="15" hidden="false" customHeight="true" outlineLevel="0" collapsed="false"/>
    <row r="32666" customFormat="false" ht="15" hidden="false" customHeight="true" outlineLevel="0" collapsed="false"/>
    <row r="32667" customFormat="false" ht="15" hidden="false" customHeight="true" outlineLevel="0" collapsed="false"/>
    <row r="32668" customFormat="false" ht="15" hidden="false" customHeight="true" outlineLevel="0" collapsed="false"/>
    <row r="32669" customFormat="false" ht="15" hidden="false" customHeight="true" outlineLevel="0" collapsed="false"/>
    <row r="32670" customFormat="false" ht="15" hidden="false" customHeight="true" outlineLevel="0" collapsed="false"/>
    <row r="32671" customFormat="false" ht="15" hidden="false" customHeight="true" outlineLevel="0" collapsed="false"/>
    <row r="32672" customFormat="false" ht="15" hidden="false" customHeight="true" outlineLevel="0" collapsed="false"/>
    <row r="32673" customFormat="false" ht="15" hidden="false" customHeight="true" outlineLevel="0" collapsed="false"/>
    <row r="32674" customFormat="false" ht="15" hidden="false" customHeight="true" outlineLevel="0" collapsed="false"/>
    <row r="32675" customFormat="false" ht="15" hidden="false" customHeight="true" outlineLevel="0" collapsed="false"/>
    <row r="32676" customFormat="false" ht="15" hidden="false" customHeight="true" outlineLevel="0" collapsed="false"/>
    <row r="32677" customFormat="false" ht="15" hidden="false" customHeight="true" outlineLevel="0" collapsed="false"/>
    <row r="32678" customFormat="false" ht="15" hidden="false" customHeight="true" outlineLevel="0" collapsed="false"/>
    <row r="32679" customFormat="false" ht="15" hidden="false" customHeight="true" outlineLevel="0" collapsed="false"/>
    <row r="32680" customFormat="false" ht="15" hidden="false" customHeight="true" outlineLevel="0" collapsed="false"/>
    <row r="32681" customFormat="false" ht="15" hidden="false" customHeight="true" outlineLevel="0" collapsed="false"/>
    <row r="32682" customFormat="false" ht="15" hidden="false" customHeight="true" outlineLevel="0" collapsed="false"/>
    <row r="32683" customFormat="false" ht="15" hidden="false" customHeight="true" outlineLevel="0" collapsed="false"/>
    <row r="32684" customFormat="false" ht="15" hidden="false" customHeight="true" outlineLevel="0" collapsed="false"/>
    <row r="32685" customFormat="false" ht="15" hidden="false" customHeight="true" outlineLevel="0" collapsed="false"/>
    <row r="32686" customFormat="false" ht="15" hidden="false" customHeight="true" outlineLevel="0" collapsed="false"/>
    <row r="32687" customFormat="false" ht="15" hidden="false" customHeight="true" outlineLevel="0" collapsed="false"/>
    <row r="32688" customFormat="false" ht="15" hidden="false" customHeight="true" outlineLevel="0" collapsed="false"/>
    <row r="32689" customFormat="false" ht="15" hidden="false" customHeight="true" outlineLevel="0" collapsed="false"/>
    <row r="32690" customFormat="false" ht="15" hidden="false" customHeight="true" outlineLevel="0" collapsed="false"/>
    <row r="32691" customFormat="false" ht="15" hidden="false" customHeight="true" outlineLevel="0" collapsed="false"/>
    <row r="32692" customFormat="false" ht="15" hidden="false" customHeight="true" outlineLevel="0" collapsed="false"/>
    <row r="32693" customFormat="false" ht="15" hidden="false" customHeight="true" outlineLevel="0" collapsed="false"/>
    <row r="32694" customFormat="false" ht="15" hidden="false" customHeight="true" outlineLevel="0" collapsed="false"/>
    <row r="32695" customFormat="false" ht="15" hidden="false" customHeight="true" outlineLevel="0" collapsed="false"/>
    <row r="32696" customFormat="false" ht="15" hidden="false" customHeight="true" outlineLevel="0" collapsed="false"/>
    <row r="32697" customFormat="false" ht="15" hidden="false" customHeight="true" outlineLevel="0" collapsed="false"/>
    <row r="32698" customFormat="false" ht="15" hidden="false" customHeight="true" outlineLevel="0" collapsed="false"/>
    <row r="32699" customFormat="false" ht="15" hidden="false" customHeight="true" outlineLevel="0" collapsed="false"/>
    <row r="32700" customFormat="false" ht="15" hidden="false" customHeight="true" outlineLevel="0" collapsed="false"/>
    <row r="32701" customFormat="false" ht="15" hidden="false" customHeight="true" outlineLevel="0" collapsed="false"/>
    <row r="32702" customFormat="false" ht="15" hidden="false" customHeight="true" outlineLevel="0" collapsed="false"/>
    <row r="32703" customFormat="false" ht="15" hidden="false" customHeight="true" outlineLevel="0" collapsed="false"/>
    <row r="32704" customFormat="false" ht="15" hidden="false" customHeight="true" outlineLevel="0" collapsed="false"/>
    <row r="32705" customFormat="false" ht="15" hidden="false" customHeight="true" outlineLevel="0" collapsed="false"/>
    <row r="32706" customFormat="false" ht="15" hidden="false" customHeight="true" outlineLevel="0" collapsed="false"/>
    <row r="32707" customFormat="false" ht="15" hidden="false" customHeight="true" outlineLevel="0" collapsed="false"/>
    <row r="32708" customFormat="false" ht="15" hidden="false" customHeight="true" outlineLevel="0" collapsed="false"/>
    <row r="32709" customFormat="false" ht="15" hidden="false" customHeight="true" outlineLevel="0" collapsed="false"/>
    <row r="32710" customFormat="false" ht="15" hidden="false" customHeight="true" outlineLevel="0" collapsed="false"/>
    <row r="32711" customFormat="false" ht="15" hidden="false" customHeight="true" outlineLevel="0" collapsed="false"/>
    <row r="32712" customFormat="false" ht="15" hidden="false" customHeight="true" outlineLevel="0" collapsed="false"/>
    <row r="32713" customFormat="false" ht="15" hidden="false" customHeight="true" outlineLevel="0" collapsed="false"/>
    <row r="32714" customFormat="false" ht="15" hidden="false" customHeight="true" outlineLevel="0" collapsed="false"/>
    <row r="32715" customFormat="false" ht="15" hidden="false" customHeight="true" outlineLevel="0" collapsed="false"/>
    <row r="32716" customFormat="false" ht="15" hidden="false" customHeight="true" outlineLevel="0" collapsed="false"/>
    <row r="32717" customFormat="false" ht="15" hidden="false" customHeight="true" outlineLevel="0" collapsed="false"/>
    <row r="32718" customFormat="false" ht="15" hidden="false" customHeight="true" outlineLevel="0" collapsed="false"/>
    <row r="32719" customFormat="false" ht="15" hidden="false" customHeight="true" outlineLevel="0" collapsed="false"/>
    <row r="32720" customFormat="false" ht="15" hidden="false" customHeight="true" outlineLevel="0" collapsed="false"/>
    <row r="32721" customFormat="false" ht="15" hidden="false" customHeight="true" outlineLevel="0" collapsed="false"/>
    <row r="32722" customFormat="false" ht="15" hidden="false" customHeight="true" outlineLevel="0" collapsed="false"/>
    <row r="32723" customFormat="false" ht="15" hidden="false" customHeight="true" outlineLevel="0" collapsed="false"/>
    <row r="32724" customFormat="false" ht="15" hidden="false" customHeight="true" outlineLevel="0" collapsed="false"/>
    <row r="32725" customFormat="false" ht="15" hidden="false" customHeight="true" outlineLevel="0" collapsed="false"/>
    <row r="32726" customFormat="false" ht="15" hidden="false" customHeight="true" outlineLevel="0" collapsed="false"/>
    <row r="32727" customFormat="false" ht="15" hidden="false" customHeight="true" outlineLevel="0" collapsed="false"/>
    <row r="32728" customFormat="false" ht="15" hidden="false" customHeight="true" outlineLevel="0" collapsed="false"/>
    <row r="32729" customFormat="false" ht="15" hidden="false" customHeight="true" outlineLevel="0" collapsed="false"/>
    <row r="32730" customFormat="false" ht="15" hidden="false" customHeight="true" outlineLevel="0" collapsed="false"/>
    <row r="32731" customFormat="false" ht="15" hidden="false" customHeight="true" outlineLevel="0" collapsed="false"/>
    <row r="32732" customFormat="false" ht="15" hidden="false" customHeight="true" outlineLevel="0" collapsed="false"/>
    <row r="32733" customFormat="false" ht="15" hidden="false" customHeight="true" outlineLevel="0" collapsed="false"/>
    <row r="32734" customFormat="false" ht="15" hidden="false" customHeight="true" outlineLevel="0" collapsed="false"/>
    <row r="32735" customFormat="false" ht="15" hidden="false" customHeight="true" outlineLevel="0" collapsed="false"/>
    <row r="32736" customFormat="false" ht="15" hidden="false" customHeight="true" outlineLevel="0" collapsed="false"/>
    <row r="32737" customFormat="false" ht="15" hidden="false" customHeight="true" outlineLevel="0" collapsed="false"/>
    <row r="32738" customFormat="false" ht="15" hidden="false" customHeight="true" outlineLevel="0" collapsed="false"/>
    <row r="32739" customFormat="false" ht="15" hidden="false" customHeight="true" outlineLevel="0" collapsed="false"/>
    <row r="32740" customFormat="false" ht="15" hidden="false" customHeight="true" outlineLevel="0" collapsed="false"/>
    <row r="32741" customFormat="false" ht="15" hidden="false" customHeight="true" outlineLevel="0" collapsed="false"/>
    <row r="32742" customFormat="false" ht="15" hidden="false" customHeight="true" outlineLevel="0" collapsed="false"/>
    <row r="32743" customFormat="false" ht="15" hidden="false" customHeight="true" outlineLevel="0" collapsed="false"/>
    <row r="32744" customFormat="false" ht="15" hidden="false" customHeight="true" outlineLevel="0" collapsed="false"/>
    <row r="32745" customFormat="false" ht="15" hidden="false" customHeight="true" outlineLevel="0" collapsed="false"/>
    <row r="32746" customFormat="false" ht="15" hidden="false" customHeight="true" outlineLevel="0" collapsed="false"/>
    <row r="32747" customFormat="false" ht="15" hidden="false" customHeight="true" outlineLevel="0" collapsed="false"/>
    <row r="32748" customFormat="false" ht="15" hidden="false" customHeight="true" outlineLevel="0" collapsed="false"/>
    <row r="32749" customFormat="false" ht="15" hidden="false" customHeight="true" outlineLevel="0" collapsed="false"/>
    <row r="32750" customFormat="false" ht="15" hidden="false" customHeight="true" outlineLevel="0" collapsed="false"/>
    <row r="32751" customFormat="false" ht="15" hidden="false" customHeight="true" outlineLevel="0" collapsed="false"/>
    <row r="32752" customFormat="false" ht="15" hidden="false" customHeight="true" outlineLevel="0" collapsed="false"/>
    <row r="32753" customFormat="false" ht="15" hidden="false" customHeight="true" outlineLevel="0" collapsed="false"/>
    <row r="32754" customFormat="false" ht="15" hidden="false" customHeight="true" outlineLevel="0" collapsed="false"/>
    <row r="32755" customFormat="false" ht="15" hidden="false" customHeight="true" outlineLevel="0" collapsed="false"/>
    <row r="32756" customFormat="false" ht="15" hidden="false" customHeight="true" outlineLevel="0" collapsed="false"/>
    <row r="32757" customFormat="false" ht="15" hidden="false" customHeight="true" outlineLevel="0" collapsed="false"/>
    <row r="32758" customFormat="false" ht="15" hidden="false" customHeight="true" outlineLevel="0" collapsed="false"/>
    <row r="32759" customFormat="false" ht="15" hidden="false" customHeight="true" outlineLevel="0" collapsed="false"/>
    <row r="32760" customFormat="false" ht="15" hidden="false" customHeight="true" outlineLevel="0" collapsed="false"/>
    <row r="32761" customFormat="false" ht="15" hidden="false" customHeight="true" outlineLevel="0" collapsed="false"/>
    <row r="32762" customFormat="false" ht="15" hidden="false" customHeight="true" outlineLevel="0" collapsed="false"/>
    <row r="32763" customFormat="false" ht="15" hidden="false" customHeight="true" outlineLevel="0" collapsed="false"/>
    <row r="32764" customFormat="false" ht="15" hidden="false" customHeight="true" outlineLevel="0" collapsed="false"/>
    <row r="32765" customFormat="false" ht="15" hidden="false" customHeight="true" outlineLevel="0" collapsed="false"/>
    <row r="32766" customFormat="false" ht="15" hidden="false" customHeight="true" outlineLevel="0" collapsed="false"/>
    <row r="32767" customFormat="false" ht="15" hidden="false" customHeight="true" outlineLevel="0" collapsed="false"/>
    <row r="32768" customFormat="false" ht="15" hidden="false" customHeight="true" outlineLevel="0" collapsed="false"/>
    <row r="32769" customFormat="false" ht="15" hidden="false" customHeight="true" outlineLevel="0" collapsed="false"/>
    <row r="32770" customFormat="false" ht="15" hidden="false" customHeight="true" outlineLevel="0" collapsed="false"/>
    <row r="32771" customFormat="false" ht="15" hidden="false" customHeight="true" outlineLevel="0" collapsed="false"/>
    <row r="32772" customFormat="false" ht="15" hidden="false" customHeight="true" outlineLevel="0" collapsed="false"/>
    <row r="32773" customFormat="false" ht="15" hidden="false" customHeight="true" outlineLevel="0" collapsed="false"/>
    <row r="32774" customFormat="false" ht="15" hidden="false" customHeight="true" outlineLevel="0" collapsed="false"/>
    <row r="32775" customFormat="false" ht="15" hidden="false" customHeight="true" outlineLevel="0" collapsed="false"/>
    <row r="32776" customFormat="false" ht="15" hidden="false" customHeight="true" outlineLevel="0" collapsed="false"/>
    <row r="32777" customFormat="false" ht="15" hidden="false" customHeight="true" outlineLevel="0" collapsed="false"/>
    <row r="32778" customFormat="false" ht="15" hidden="false" customHeight="true" outlineLevel="0" collapsed="false"/>
    <row r="32779" customFormat="false" ht="15" hidden="false" customHeight="true" outlineLevel="0" collapsed="false"/>
    <row r="32780" customFormat="false" ht="15" hidden="false" customHeight="true" outlineLevel="0" collapsed="false"/>
    <row r="32781" customFormat="false" ht="15" hidden="false" customHeight="true" outlineLevel="0" collapsed="false"/>
    <row r="32782" customFormat="false" ht="15" hidden="false" customHeight="true" outlineLevel="0" collapsed="false"/>
    <row r="32783" customFormat="false" ht="15" hidden="false" customHeight="true" outlineLevel="0" collapsed="false"/>
    <row r="32784" customFormat="false" ht="15" hidden="false" customHeight="true" outlineLevel="0" collapsed="false"/>
    <row r="32785" customFormat="false" ht="15" hidden="false" customHeight="true" outlineLevel="0" collapsed="false"/>
    <row r="32786" customFormat="false" ht="15" hidden="false" customHeight="true" outlineLevel="0" collapsed="false"/>
    <row r="32787" customFormat="false" ht="15" hidden="false" customHeight="true" outlineLevel="0" collapsed="false"/>
    <row r="32788" customFormat="false" ht="15" hidden="false" customHeight="true" outlineLevel="0" collapsed="false"/>
    <row r="32789" customFormat="false" ht="15" hidden="false" customHeight="true" outlineLevel="0" collapsed="false"/>
    <row r="32790" customFormat="false" ht="15" hidden="false" customHeight="true" outlineLevel="0" collapsed="false"/>
    <row r="32791" customFormat="false" ht="15" hidden="false" customHeight="true" outlineLevel="0" collapsed="false"/>
    <row r="32792" customFormat="false" ht="15" hidden="false" customHeight="true" outlineLevel="0" collapsed="false"/>
    <row r="32793" customFormat="false" ht="15" hidden="false" customHeight="true" outlineLevel="0" collapsed="false"/>
    <row r="32794" customFormat="false" ht="15" hidden="false" customHeight="true" outlineLevel="0" collapsed="false"/>
    <row r="32795" customFormat="false" ht="15" hidden="false" customHeight="true" outlineLevel="0" collapsed="false"/>
    <row r="32796" customFormat="false" ht="15" hidden="false" customHeight="true" outlineLevel="0" collapsed="false"/>
    <row r="32797" customFormat="false" ht="15" hidden="false" customHeight="true" outlineLevel="0" collapsed="false"/>
    <row r="32798" customFormat="false" ht="15" hidden="false" customHeight="true" outlineLevel="0" collapsed="false"/>
    <row r="32799" customFormat="false" ht="15" hidden="false" customHeight="true" outlineLevel="0" collapsed="false"/>
    <row r="32800" customFormat="false" ht="15" hidden="false" customHeight="true" outlineLevel="0" collapsed="false"/>
    <row r="32801" customFormat="false" ht="15" hidden="false" customHeight="true" outlineLevel="0" collapsed="false"/>
    <row r="32802" customFormat="false" ht="15" hidden="false" customHeight="true" outlineLevel="0" collapsed="false"/>
    <row r="32803" customFormat="false" ht="15" hidden="false" customHeight="true" outlineLevel="0" collapsed="false"/>
    <row r="32804" customFormat="false" ht="15" hidden="false" customHeight="true" outlineLevel="0" collapsed="false"/>
    <row r="32805" customFormat="false" ht="15" hidden="false" customHeight="true" outlineLevel="0" collapsed="false"/>
    <row r="32806" customFormat="false" ht="15" hidden="false" customHeight="true" outlineLevel="0" collapsed="false"/>
    <row r="32807" customFormat="false" ht="15" hidden="false" customHeight="true" outlineLevel="0" collapsed="false"/>
    <row r="32808" customFormat="false" ht="15" hidden="false" customHeight="true" outlineLevel="0" collapsed="false"/>
    <row r="32809" customFormat="false" ht="15" hidden="false" customHeight="true" outlineLevel="0" collapsed="false"/>
    <row r="32810" customFormat="false" ht="15" hidden="false" customHeight="true" outlineLevel="0" collapsed="false"/>
    <row r="32811" customFormat="false" ht="15" hidden="false" customHeight="true" outlineLevel="0" collapsed="false"/>
    <row r="32812" customFormat="false" ht="15" hidden="false" customHeight="true" outlineLevel="0" collapsed="false"/>
    <row r="32813" customFormat="false" ht="15" hidden="false" customHeight="true" outlineLevel="0" collapsed="false"/>
    <row r="32814" customFormat="false" ht="15" hidden="false" customHeight="true" outlineLevel="0" collapsed="false"/>
    <row r="32815" customFormat="false" ht="15" hidden="false" customHeight="true" outlineLevel="0" collapsed="false"/>
    <row r="32816" customFormat="false" ht="15" hidden="false" customHeight="true" outlineLevel="0" collapsed="false"/>
    <row r="32817" customFormat="false" ht="15" hidden="false" customHeight="true" outlineLevel="0" collapsed="false"/>
    <row r="32818" customFormat="false" ht="15" hidden="false" customHeight="true" outlineLevel="0" collapsed="false"/>
    <row r="32819" customFormat="false" ht="15" hidden="false" customHeight="true" outlineLevel="0" collapsed="false"/>
    <row r="32820" customFormat="false" ht="15" hidden="false" customHeight="true" outlineLevel="0" collapsed="false"/>
    <row r="32821" customFormat="false" ht="15" hidden="false" customHeight="true" outlineLevel="0" collapsed="false"/>
    <row r="32822" customFormat="false" ht="15" hidden="false" customHeight="true" outlineLevel="0" collapsed="false"/>
    <row r="32823" customFormat="false" ht="15" hidden="false" customHeight="true" outlineLevel="0" collapsed="false"/>
    <row r="32824" customFormat="false" ht="15" hidden="false" customHeight="true" outlineLevel="0" collapsed="false"/>
    <row r="32825" customFormat="false" ht="15" hidden="false" customHeight="true" outlineLevel="0" collapsed="false"/>
    <row r="32826" customFormat="false" ht="15" hidden="false" customHeight="true" outlineLevel="0" collapsed="false"/>
    <row r="32827" customFormat="false" ht="15" hidden="false" customHeight="true" outlineLevel="0" collapsed="false"/>
    <row r="32828" customFormat="false" ht="15" hidden="false" customHeight="true" outlineLevel="0" collapsed="false"/>
    <row r="32829" customFormat="false" ht="15" hidden="false" customHeight="true" outlineLevel="0" collapsed="false"/>
    <row r="32830" customFormat="false" ht="15" hidden="false" customHeight="true" outlineLevel="0" collapsed="false"/>
    <row r="32831" customFormat="false" ht="15" hidden="false" customHeight="true" outlineLevel="0" collapsed="false"/>
    <row r="32832" customFormat="false" ht="15" hidden="false" customHeight="true" outlineLevel="0" collapsed="false"/>
    <row r="32833" customFormat="false" ht="15" hidden="false" customHeight="true" outlineLevel="0" collapsed="false"/>
    <row r="32834" customFormat="false" ht="15" hidden="false" customHeight="true" outlineLevel="0" collapsed="false"/>
    <row r="32835" customFormat="false" ht="15" hidden="false" customHeight="true" outlineLevel="0" collapsed="false"/>
    <row r="32836" customFormat="false" ht="15" hidden="false" customHeight="true" outlineLevel="0" collapsed="false"/>
    <row r="32837" customFormat="false" ht="15" hidden="false" customHeight="true" outlineLevel="0" collapsed="false"/>
    <row r="32838" customFormat="false" ht="15" hidden="false" customHeight="true" outlineLevel="0" collapsed="false"/>
    <row r="32839" customFormat="false" ht="15" hidden="false" customHeight="true" outlineLevel="0" collapsed="false"/>
    <row r="32840" customFormat="false" ht="15" hidden="false" customHeight="true" outlineLevel="0" collapsed="false"/>
    <row r="32841" customFormat="false" ht="15" hidden="false" customHeight="true" outlineLevel="0" collapsed="false"/>
    <row r="32842" customFormat="false" ht="15" hidden="false" customHeight="true" outlineLevel="0" collapsed="false"/>
    <row r="32843" customFormat="false" ht="15" hidden="false" customHeight="true" outlineLevel="0" collapsed="false"/>
    <row r="32844" customFormat="false" ht="15" hidden="false" customHeight="true" outlineLevel="0" collapsed="false"/>
    <row r="32845" customFormat="false" ht="15" hidden="false" customHeight="true" outlineLevel="0" collapsed="false"/>
    <row r="32846" customFormat="false" ht="15" hidden="false" customHeight="true" outlineLevel="0" collapsed="false"/>
    <row r="32847" customFormat="false" ht="15" hidden="false" customHeight="true" outlineLevel="0" collapsed="false"/>
    <row r="32848" customFormat="false" ht="15" hidden="false" customHeight="true" outlineLevel="0" collapsed="false"/>
    <row r="32849" customFormat="false" ht="15" hidden="false" customHeight="true" outlineLevel="0" collapsed="false"/>
    <row r="32850" customFormat="false" ht="15" hidden="false" customHeight="true" outlineLevel="0" collapsed="false"/>
    <row r="32851" customFormat="false" ht="15" hidden="false" customHeight="true" outlineLevel="0" collapsed="false"/>
    <row r="32852" customFormat="false" ht="15" hidden="false" customHeight="true" outlineLevel="0" collapsed="false"/>
    <row r="32853" customFormat="false" ht="15" hidden="false" customHeight="true" outlineLevel="0" collapsed="false"/>
    <row r="32854" customFormat="false" ht="15" hidden="false" customHeight="true" outlineLevel="0" collapsed="false"/>
    <row r="32855" customFormat="false" ht="15" hidden="false" customHeight="true" outlineLevel="0" collapsed="false"/>
    <row r="32856" customFormat="false" ht="15" hidden="false" customHeight="true" outlineLevel="0" collapsed="false"/>
    <row r="32857" customFormat="false" ht="15" hidden="false" customHeight="true" outlineLevel="0" collapsed="false"/>
    <row r="32858" customFormat="false" ht="15" hidden="false" customHeight="true" outlineLevel="0" collapsed="false"/>
    <row r="32859" customFormat="false" ht="15" hidden="false" customHeight="true" outlineLevel="0" collapsed="false"/>
    <row r="32860" customFormat="false" ht="15" hidden="false" customHeight="true" outlineLevel="0" collapsed="false"/>
    <row r="32861" customFormat="false" ht="15" hidden="false" customHeight="true" outlineLevel="0" collapsed="false"/>
    <row r="32862" customFormat="false" ht="15" hidden="false" customHeight="true" outlineLevel="0" collapsed="false"/>
    <row r="32863" customFormat="false" ht="15" hidden="false" customHeight="true" outlineLevel="0" collapsed="false"/>
    <row r="32864" customFormat="false" ht="15" hidden="false" customHeight="true" outlineLevel="0" collapsed="false"/>
    <row r="32865" customFormat="false" ht="15" hidden="false" customHeight="true" outlineLevel="0" collapsed="false"/>
    <row r="32866" customFormat="false" ht="15" hidden="false" customHeight="true" outlineLevel="0" collapsed="false"/>
    <row r="32867" customFormat="false" ht="15" hidden="false" customHeight="true" outlineLevel="0" collapsed="false"/>
    <row r="32868" customFormat="false" ht="15" hidden="false" customHeight="true" outlineLevel="0" collapsed="false"/>
    <row r="32869" customFormat="false" ht="15" hidden="false" customHeight="true" outlineLevel="0" collapsed="false"/>
    <row r="32870" customFormat="false" ht="15" hidden="false" customHeight="true" outlineLevel="0" collapsed="false"/>
    <row r="32871" customFormat="false" ht="15" hidden="false" customHeight="true" outlineLevel="0" collapsed="false"/>
    <row r="32872" customFormat="false" ht="15" hidden="false" customHeight="true" outlineLevel="0" collapsed="false"/>
    <row r="32873" customFormat="false" ht="15" hidden="false" customHeight="true" outlineLevel="0" collapsed="false"/>
    <row r="32874" customFormat="false" ht="15" hidden="false" customHeight="true" outlineLevel="0" collapsed="false"/>
    <row r="32875" customFormat="false" ht="15" hidden="false" customHeight="true" outlineLevel="0" collapsed="false"/>
    <row r="32876" customFormat="false" ht="15" hidden="false" customHeight="true" outlineLevel="0" collapsed="false"/>
    <row r="32877" customFormat="false" ht="15" hidden="false" customHeight="true" outlineLevel="0" collapsed="false"/>
    <row r="32878" customFormat="false" ht="15" hidden="false" customHeight="true" outlineLevel="0" collapsed="false"/>
    <row r="32879" customFormat="false" ht="15" hidden="false" customHeight="true" outlineLevel="0" collapsed="false"/>
    <row r="32880" customFormat="false" ht="15" hidden="false" customHeight="true" outlineLevel="0" collapsed="false"/>
    <row r="32881" customFormat="false" ht="15" hidden="false" customHeight="true" outlineLevel="0" collapsed="false"/>
    <row r="32882" customFormat="false" ht="15" hidden="false" customHeight="true" outlineLevel="0" collapsed="false"/>
    <row r="32883" customFormat="false" ht="15" hidden="false" customHeight="true" outlineLevel="0" collapsed="false"/>
    <row r="32884" customFormat="false" ht="15" hidden="false" customHeight="true" outlineLevel="0" collapsed="false"/>
    <row r="32885" customFormat="false" ht="15" hidden="false" customHeight="true" outlineLevel="0" collapsed="false"/>
    <row r="32886" customFormat="false" ht="15" hidden="false" customHeight="true" outlineLevel="0" collapsed="false"/>
    <row r="32887" customFormat="false" ht="15" hidden="false" customHeight="true" outlineLevel="0" collapsed="false"/>
    <row r="32888" customFormat="false" ht="15" hidden="false" customHeight="true" outlineLevel="0" collapsed="false"/>
    <row r="32889" customFormat="false" ht="15" hidden="false" customHeight="true" outlineLevel="0" collapsed="false"/>
    <row r="32890" customFormat="false" ht="15" hidden="false" customHeight="true" outlineLevel="0" collapsed="false"/>
    <row r="32891" customFormat="false" ht="15" hidden="false" customHeight="true" outlineLevel="0" collapsed="false"/>
    <row r="32892" customFormat="false" ht="15" hidden="false" customHeight="true" outlineLevel="0" collapsed="false"/>
    <row r="32893" customFormat="false" ht="15" hidden="false" customHeight="true" outlineLevel="0" collapsed="false"/>
    <row r="32894" customFormat="false" ht="15" hidden="false" customHeight="true" outlineLevel="0" collapsed="false"/>
    <row r="32895" customFormat="false" ht="15" hidden="false" customHeight="true" outlineLevel="0" collapsed="false"/>
    <row r="32896" customFormat="false" ht="15" hidden="false" customHeight="true" outlineLevel="0" collapsed="false"/>
    <row r="32897" customFormat="false" ht="15" hidden="false" customHeight="true" outlineLevel="0" collapsed="false"/>
    <row r="32898" customFormat="false" ht="15" hidden="false" customHeight="true" outlineLevel="0" collapsed="false"/>
    <row r="32899" customFormat="false" ht="15" hidden="false" customHeight="true" outlineLevel="0" collapsed="false"/>
    <row r="32900" customFormat="false" ht="15" hidden="false" customHeight="true" outlineLevel="0" collapsed="false"/>
    <row r="32901" customFormat="false" ht="15" hidden="false" customHeight="true" outlineLevel="0" collapsed="false"/>
    <row r="32902" customFormat="false" ht="15" hidden="false" customHeight="true" outlineLevel="0" collapsed="false"/>
    <row r="32903" customFormat="false" ht="15" hidden="false" customHeight="true" outlineLevel="0" collapsed="false"/>
    <row r="32904" customFormat="false" ht="15" hidden="false" customHeight="true" outlineLevel="0" collapsed="false"/>
    <row r="32905" customFormat="false" ht="15" hidden="false" customHeight="true" outlineLevel="0" collapsed="false"/>
    <row r="32906" customFormat="false" ht="15" hidden="false" customHeight="true" outlineLevel="0" collapsed="false"/>
    <row r="32907" customFormat="false" ht="15" hidden="false" customHeight="true" outlineLevel="0" collapsed="false"/>
    <row r="32908" customFormat="false" ht="15" hidden="false" customHeight="true" outlineLevel="0" collapsed="false"/>
    <row r="32909" customFormat="false" ht="15" hidden="false" customHeight="true" outlineLevel="0" collapsed="false"/>
    <row r="32910" customFormat="false" ht="15" hidden="false" customHeight="true" outlineLevel="0" collapsed="false"/>
    <row r="32911" customFormat="false" ht="15" hidden="false" customHeight="true" outlineLevel="0" collapsed="false"/>
    <row r="32912" customFormat="false" ht="15" hidden="false" customHeight="true" outlineLevel="0" collapsed="false"/>
    <row r="32913" customFormat="false" ht="15" hidden="false" customHeight="true" outlineLevel="0" collapsed="false"/>
    <row r="32914" customFormat="false" ht="15" hidden="false" customHeight="true" outlineLevel="0" collapsed="false"/>
    <row r="32915" customFormat="false" ht="15" hidden="false" customHeight="true" outlineLevel="0" collapsed="false"/>
    <row r="32916" customFormat="false" ht="15" hidden="false" customHeight="true" outlineLevel="0" collapsed="false"/>
    <row r="32917" customFormat="false" ht="15" hidden="false" customHeight="true" outlineLevel="0" collapsed="false"/>
    <row r="32918" customFormat="false" ht="15" hidden="false" customHeight="true" outlineLevel="0" collapsed="false"/>
    <row r="32919" customFormat="false" ht="15" hidden="false" customHeight="true" outlineLevel="0" collapsed="false"/>
    <row r="32920" customFormat="false" ht="15" hidden="false" customHeight="true" outlineLevel="0" collapsed="false"/>
    <row r="32921" customFormat="false" ht="15" hidden="false" customHeight="true" outlineLevel="0" collapsed="false"/>
    <row r="32922" customFormat="false" ht="15" hidden="false" customHeight="true" outlineLevel="0" collapsed="false"/>
    <row r="32923" customFormat="false" ht="15" hidden="false" customHeight="true" outlineLevel="0" collapsed="false"/>
    <row r="32924" customFormat="false" ht="15" hidden="false" customHeight="true" outlineLevel="0" collapsed="false"/>
    <row r="32925" customFormat="false" ht="15" hidden="false" customHeight="true" outlineLevel="0" collapsed="false"/>
    <row r="32926" customFormat="false" ht="15" hidden="false" customHeight="true" outlineLevel="0" collapsed="false"/>
    <row r="32927" customFormat="false" ht="15" hidden="false" customHeight="true" outlineLevel="0" collapsed="false"/>
    <row r="32928" customFormat="false" ht="15" hidden="false" customHeight="true" outlineLevel="0" collapsed="false"/>
    <row r="32929" customFormat="false" ht="15" hidden="false" customHeight="true" outlineLevel="0" collapsed="false"/>
    <row r="32930" customFormat="false" ht="15" hidden="false" customHeight="true" outlineLevel="0" collapsed="false"/>
    <row r="32931" customFormat="false" ht="15" hidden="false" customHeight="true" outlineLevel="0" collapsed="false"/>
    <row r="32932" customFormat="false" ht="15" hidden="false" customHeight="true" outlineLevel="0" collapsed="false"/>
    <row r="32933" customFormat="false" ht="15" hidden="false" customHeight="true" outlineLevel="0" collapsed="false"/>
    <row r="32934" customFormat="false" ht="15" hidden="false" customHeight="true" outlineLevel="0" collapsed="false"/>
    <row r="32935" customFormat="false" ht="15" hidden="false" customHeight="true" outlineLevel="0" collapsed="false"/>
    <row r="32936" customFormat="false" ht="15" hidden="false" customHeight="true" outlineLevel="0" collapsed="false"/>
    <row r="32937" customFormat="false" ht="15" hidden="false" customHeight="true" outlineLevel="0" collapsed="false"/>
    <row r="32938" customFormat="false" ht="15" hidden="false" customHeight="true" outlineLevel="0" collapsed="false"/>
    <row r="32939" customFormat="false" ht="15" hidden="false" customHeight="true" outlineLevel="0" collapsed="false"/>
    <row r="32940" customFormat="false" ht="15" hidden="false" customHeight="true" outlineLevel="0" collapsed="false"/>
    <row r="32941" customFormat="false" ht="15" hidden="false" customHeight="true" outlineLevel="0" collapsed="false"/>
    <row r="32942" customFormat="false" ht="15" hidden="false" customHeight="true" outlineLevel="0" collapsed="false"/>
    <row r="32943" customFormat="false" ht="15" hidden="false" customHeight="true" outlineLevel="0" collapsed="false"/>
    <row r="32944" customFormat="false" ht="15" hidden="false" customHeight="true" outlineLevel="0" collapsed="false"/>
    <row r="32945" customFormat="false" ht="15" hidden="false" customHeight="true" outlineLevel="0" collapsed="false"/>
    <row r="32946" customFormat="false" ht="15" hidden="false" customHeight="true" outlineLevel="0" collapsed="false"/>
    <row r="32947" customFormat="false" ht="15" hidden="false" customHeight="true" outlineLevel="0" collapsed="false"/>
    <row r="32948" customFormat="false" ht="15" hidden="false" customHeight="true" outlineLevel="0" collapsed="false"/>
    <row r="32949" customFormat="false" ht="15" hidden="false" customHeight="true" outlineLevel="0" collapsed="false"/>
    <row r="32950" customFormat="false" ht="15" hidden="false" customHeight="true" outlineLevel="0" collapsed="false"/>
    <row r="32951" customFormat="false" ht="15" hidden="false" customHeight="true" outlineLevel="0" collapsed="false"/>
    <row r="32952" customFormat="false" ht="15" hidden="false" customHeight="true" outlineLevel="0" collapsed="false"/>
    <row r="32953" customFormat="false" ht="15" hidden="false" customHeight="true" outlineLevel="0" collapsed="false"/>
    <row r="32954" customFormat="false" ht="15" hidden="false" customHeight="true" outlineLevel="0" collapsed="false"/>
    <row r="32955" customFormat="false" ht="15" hidden="false" customHeight="true" outlineLevel="0" collapsed="false"/>
    <row r="32956" customFormat="false" ht="15" hidden="false" customHeight="true" outlineLevel="0" collapsed="false"/>
    <row r="32957" customFormat="false" ht="15" hidden="false" customHeight="true" outlineLevel="0" collapsed="false"/>
    <row r="32958" customFormat="false" ht="15" hidden="false" customHeight="true" outlineLevel="0" collapsed="false"/>
    <row r="32959" customFormat="false" ht="15" hidden="false" customHeight="true" outlineLevel="0" collapsed="false"/>
    <row r="32960" customFormat="false" ht="15" hidden="false" customHeight="true" outlineLevel="0" collapsed="false"/>
    <row r="32961" customFormat="false" ht="15" hidden="false" customHeight="true" outlineLevel="0" collapsed="false"/>
    <row r="32962" customFormat="false" ht="15" hidden="false" customHeight="true" outlineLevel="0" collapsed="false"/>
    <row r="32963" customFormat="false" ht="15" hidden="false" customHeight="true" outlineLevel="0" collapsed="false"/>
    <row r="32964" customFormat="false" ht="15" hidden="false" customHeight="true" outlineLevel="0" collapsed="false"/>
    <row r="32965" customFormat="false" ht="15" hidden="false" customHeight="true" outlineLevel="0" collapsed="false"/>
    <row r="32966" customFormat="false" ht="15" hidden="false" customHeight="true" outlineLevel="0" collapsed="false"/>
    <row r="32967" customFormat="false" ht="15" hidden="false" customHeight="true" outlineLevel="0" collapsed="false"/>
    <row r="32968" customFormat="false" ht="15" hidden="false" customHeight="true" outlineLevel="0" collapsed="false"/>
    <row r="32969" customFormat="false" ht="15" hidden="false" customHeight="true" outlineLevel="0" collapsed="false"/>
    <row r="32970" customFormat="false" ht="15" hidden="false" customHeight="true" outlineLevel="0" collapsed="false"/>
    <row r="32971" customFormat="false" ht="15" hidden="false" customHeight="true" outlineLevel="0" collapsed="false"/>
    <row r="32972" customFormat="false" ht="15" hidden="false" customHeight="true" outlineLevel="0" collapsed="false"/>
    <row r="32973" customFormat="false" ht="15" hidden="false" customHeight="true" outlineLevel="0" collapsed="false"/>
    <row r="32974" customFormat="false" ht="15" hidden="false" customHeight="true" outlineLevel="0" collapsed="false"/>
    <row r="32975" customFormat="false" ht="15" hidden="false" customHeight="true" outlineLevel="0" collapsed="false"/>
    <row r="32976" customFormat="false" ht="15" hidden="false" customHeight="true" outlineLevel="0" collapsed="false"/>
    <row r="32977" customFormat="false" ht="15" hidden="false" customHeight="true" outlineLevel="0" collapsed="false"/>
    <row r="32978" customFormat="false" ht="15" hidden="false" customHeight="true" outlineLevel="0" collapsed="false"/>
    <row r="32979" customFormat="false" ht="15" hidden="false" customHeight="true" outlineLevel="0" collapsed="false"/>
    <row r="32980" customFormat="false" ht="15" hidden="false" customHeight="true" outlineLevel="0" collapsed="false"/>
    <row r="32981" customFormat="false" ht="15" hidden="false" customHeight="true" outlineLevel="0" collapsed="false"/>
    <row r="32982" customFormat="false" ht="15" hidden="false" customHeight="true" outlineLevel="0" collapsed="false"/>
    <row r="32983" customFormat="false" ht="15" hidden="false" customHeight="true" outlineLevel="0" collapsed="false"/>
    <row r="32984" customFormat="false" ht="15" hidden="false" customHeight="true" outlineLevel="0" collapsed="false"/>
    <row r="32985" customFormat="false" ht="15" hidden="false" customHeight="true" outlineLevel="0" collapsed="false"/>
    <row r="32986" customFormat="false" ht="15" hidden="false" customHeight="true" outlineLevel="0" collapsed="false"/>
    <row r="32987" customFormat="false" ht="15" hidden="false" customHeight="true" outlineLevel="0" collapsed="false"/>
    <row r="32988" customFormat="false" ht="15" hidden="false" customHeight="true" outlineLevel="0" collapsed="false"/>
    <row r="32989" customFormat="false" ht="15" hidden="false" customHeight="true" outlineLevel="0" collapsed="false"/>
    <row r="32990" customFormat="false" ht="15" hidden="false" customHeight="true" outlineLevel="0" collapsed="false"/>
    <row r="32991" customFormat="false" ht="15" hidden="false" customHeight="true" outlineLevel="0" collapsed="false"/>
    <row r="32992" customFormat="false" ht="15" hidden="false" customHeight="true" outlineLevel="0" collapsed="false"/>
    <row r="32993" customFormat="false" ht="15" hidden="false" customHeight="true" outlineLevel="0" collapsed="false"/>
    <row r="32994" customFormat="false" ht="15" hidden="false" customHeight="true" outlineLevel="0" collapsed="false"/>
    <row r="32995" customFormat="false" ht="15" hidden="false" customHeight="true" outlineLevel="0" collapsed="false"/>
    <row r="32996" customFormat="false" ht="15" hidden="false" customHeight="true" outlineLevel="0" collapsed="false"/>
    <row r="32997" customFormat="false" ht="15" hidden="false" customHeight="true" outlineLevel="0" collapsed="false"/>
    <row r="32998" customFormat="false" ht="15" hidden="false" customHeight="true" outlineLevel="0" collapsed="false"/>
    <row r="32999" customFormat="false" ht="15" hidden="false" customHeight="true" outlineLevel="0" collapsed="false"/>
    <row r="33000" customFormat="false" ht="15" hidden="false" customHeight="true" outlineLevel="0" collapsed="false"/>
    <row r="33001" customFormat="false" ht="15" hidden="false" customHeight="true" outlineLevel="0" collapsed="false"/>
    <row r="33002" customFormat="false" ht="15" hidden="false" customHeight="true" outlineLevel="0" collapsed="false"/>
    <row r="33003" customFormat="false" ht="15" hidden="false" customHeight="true" outlineLevel="0" collapsed="false"/>
    <row r="33004" customFormat="false" ht="15" hidden="false" customHeight="true" outlineLevel="0" collapsed="false"/>
    <row r="33005" customFormat="false" ht="15" hidden="false" customHeight="true" outlineLevel="0" collapsed="false"/>
    <row r="33006" customFormat="false" ht="15" hidden="false" customHeight="true" outlineLevel="0" collapsed="false"/>
    <row r="33007" customFormat="false" ht="15" hidden="false" customHeight="true" outlineLevel="0" collapsed="false"/>
    <row r="33008" customFormat="false" ht="15" hidden="false" customHeight="true" outlineLevel="0" collapsed="false"/>
    <row r="33009" customFormat="false" ht="15" hidden="false" customHeight="true" outlineLevel="0" collapsed="false"/>
    <row r="33010" customFormat="false" ht="15" hidden="false" customHeight="true" outlineLevel="0" collapsed="false"/>
    <row r="33011" customFormat="false" ht="15" hidden="false" customHeight="true" outlineLevel="0" collapsed="false"/>
    <row r="33012" customFormat="false" ht="15" hidden="false" customHeight="true" outlineLevel="0" collapsed="false"/>
    <row r="33013" customFormat="false" ht="15" hidden="false" customHeight="true" outlineLevel="0" collapsed="false"/>
    <row r="33014" customFormat="false" ht="15" hidden="false" customHeight="true" outlineLevel="0" collapsed="false"/>
    <row r="33015" customFormat="false" ht="15" hidden="false" customHeight="true" outlineLevel="0" collapsed="false"/>
    <row r="33016" customFormat="false" ht="15" hidden="false" customHeight="true" outlineLevel="0" collapsed="false"/>
    <row r="33017" customFormat="false" ht="15" hidden="false" customHeight="true" outlineLevel="0" collapsed="false"/>
    <row r="33018" customFormat="false" ht="15" hidden="false" customHeight="true" outlineLevel="0" collapsed="false"/>
    <row r="33019" customFormat="false" ht="15" hidden="false" customHeight="true" outlineLevel="0" collapsed="false"/>
    <row r="33020" customFormat="false" ht="15" hidden="false" customHeight="true" outlineLevel="0" collapsed="false"/>
    <row r="33021" customFormat="false" ht="15" hidden="false" customHeight="true" outlineLevel="0" collapsed="false"/>
    <row r="33022" customFormat="false" ht="15" hidden="false" customHeight="true" outlineLevel="0" collapsed="false"/>
    <row r="33023" customFormat="false" ht="15" hidden="false" customHeight="true" outlineLevel="0" collapsed="false"/>
    <row r="33024" customFormat="false" ht="15" hidden="false" customHeight="true" outlineLevel="0" collapsed="false"/>
    <row r="33025" customFormat="false" ht="15" hidden="false" customHeight="true" outlineLevel="0" collapsed="false"/>
    <row r="33026" customFormat="false" ht="15" hidden="false" customHeight="true" outlineLevel="0" collapsed="false"/>
    <row r="33027" customFormat="false" ht="15" hidden="false" customHeight="true" outlineLevel="0" collapsed="false"/>
    <row r="33028" customFormat="false" ht="15" hidden="false" customHeight="true" outlineLevel="0" collapsed="false"/>
    <row r="33029" customFormat="false" ht="15" hidden="false" customHeight="true" outlineLevel="0" collapsed="false"/>
    <row r="33030" customFormat="false" ht="15" hidden="false" customHeight="true" outlineLevel="0" collapsed="false"/>
    <row r="33031" customFormat="false" ht="15" hidden="false" customHeight="true" outlineLevel="0" collapsed="false"/>
    <row r="33032" customFormat="false" ht="15" hidden="false" customHeight="true" outlineLevel="0" collapsed="false"/>
    <row r="33033" customFormat="false" ht="15" hidden="false" customHeight="true" outlineLevel="0" collapsed="false"/>
    <row r="33034" customFormat="false" ht="15" hidden="false" customHeight="true" outlineLevel="0" collapsed="false"/>
    <row r="33035" customFormat="false" ht="15" hidden="false" customHeight="true" outlineLevel="0" collapsed="false"/>
    <row r="33036" customFormat="false" ht="15" hidden="false" customHeight="true" outlineLevel="0" collapsed="false"/>
    <row r="33037" customFormat="false" ht="15" hidden="false" customHeight="true" outlineLevel="0" collapsed="false"/>
    <row r="33038" customFormat="false" ht="15" hidden="false" customHeight="true" outlineLevel="0" collapsed="false"/>
    <row r="33039" customFormat="false" ht="15" hidden="false" customHeight="true" outlineLevel="0" collapsed="false"/>
    <row r="33040" customFormat="false" ht="15" hidden="false" customHeight="true" outlineLevel="0" collapsed="false"/>
    <row r="33041" customFormat="false" ht="15" hidden="false" customHeight="true" outlineLevel="0" collapsed="false"/>
    <row r="33042" customFormat="false" ht="15" hidden="false" customHeight="true" outlineLevel="0" collapsed="false"/>
    <row r="33043" customFormat="false" ht="15" hidden="false" customHeight="true" outlineLevel="0" collapsed="false"/>
    <row r="33044" customFormat="false" ht="15" hidden="false" customHeight="true" outlineLevel="0" collapsed="false"/>
    <row r="33045" customFormat="false" ht="15" hidden="false" customHeight="true" outlineLevel="0" collapsed="false"/>
    <row r="33046" customFormat="false" ht="15" hidden="false" customHeight="true" outlineLevel="0" collapsed="false"/>
    <row r="33047" customFormat="false" ht="15" hidden="false" customHeight="true" outlineLevel="0" collapsed="false"/>
    <row r="33048" customFormat="false" ht="15" hidden="false" customHeight="true" outlineLevel="0" collapsed="false"/>
    <row r="33049" customFormat="false" ht="15" hidden="false" customHeight="true" outlineLevel="0" collapsed="false"/>
    <row r="33050" customFormat="false" ht="15" hidden="false" customHeight="true" outlineLevel="0" collapsed="false"/>
    <row r="33051" customFormat="false" ht="15" hidden="false" customHeight="true" outlineLevel="0" collapsed="false"/>
    <row r="33052" customFormat="false" ht="15" hidden="false" customHeight="true" outlineLevel="0" collapsed="false"/>
    <row r="33053" customFormat="false" ht="15" hidden="false" customHeight="true" outlineLevel="0" collapsed="false"/>
    <row r="33054" customFormat="false" ht="15" hidden="false" customHeight="true" outlineLevel="0" collapsed="false"/>
    <row r="33055" customFormat="false" ht="15" hidden="false" customHeight="true" outlineLevel="0" collapsed="false"/>
    <row r="33056" customFormat="false" ht="15" hidden="false" customHeight="true" outlineLevel="0" collapsed="false"/>
    <row r="33057" customFormat="false" ht="15" hidden="false" customHeight="true" outlineLevel="0" collapsed="false"/>
    <row r="33058" customFormat="false" ht="15" hidden="false" customHeight="true" outlineLevel="0" collapsed="false"/>
    <row r="33059" customFormat="false" ht="15" hidden="false" customHeight="true" outlineLevel="0" collapsed="false"/>
    <row r="33060" customFormat="false" ht="15" hidden="false" customHeight="true" outlineLevel="0" collapsed="false"/>
    <row r="33061" customFormat="false" ht="15" hidden="false" customHeight="true" outlineLevel="0" collapsed="false"/>
    <row r="33062" customFormat="false" ht="15" hidden="false" customHeight="true" outlineLevel="0" collapsed="false"/>
    <row r="33063" customFormat="false" ht="15" hidden="false" customHeight="true" outlineLevel="0" collapsed="false"/>
    <row r="33064" customFormat="false" ht="15" hidden="false" customHeight="true" outlineLevel="0" collapsed="false"/>
    <row r="33065" customFormat="false" ht="15" hidden="false" customHeight="true" outlineLevel="0" collapsed="false"/>
    <row r="33066" customFormat="false" ht="15" hidden="false" customHeight="true" outlineLevel="0" collapsed="false"/>
    <row r="33067" customFormat="false" ht="15" hidden="false" customHeight="true" outlineLevel="0" collapsed="false"/>
    <row r="33068" customFormat="false" ht="15" hidden="false" customHeight="true" outlineLevel="0" collapsed="false"/>
    <row r="33069" customFormat="false" ht="15" hidden="false" customHeight="true" outlineLevel="0" collapsed="false"/>
    <row r="33070" customFormat="false" ht="15" hidden="false" customHeight="true" outlineLevel="0" collapsed="false"/>
    <row r="33071" customFormat="false" ht="15" hidden="false" customHeight="true" outlineLevel="0" collapsed="false"/>
    <row r="33072" customFormat="false" ht="15" hidden="false" customHeight="true" outlineLevel="0" collapsed="false"/>
    <row r="33073" customFormat="false" ht="15" hidden="false" customHeight="true" outlineLevel="0" collapsed="false"/>
    <row r="33074" customFormat="false" ht="15" hidden="false" customHeight="true" outlineLevel="0" collapsed="false"/>
    <row r="33075" customFormat="false" ht="15" hidden="false" customHeight="true" outlineLevel="0" collapsed="false"/>
    <row r="33076" customFormat="false" ht="15" hidden="false" customHeight="true" outlineLevel="0" collapsed="false"/>
    <row r="33077" customFormat="false" ht="15" hidden="false" customHeight="true" outlineLevel="0" collapsed="false"/>
    <row r="33078" customFormat="false" ht="15" hidden="false" customHeight="true" outlineLevel="0" collapsed="false"/>
    <row r="33079" customFormat="false" ht="15" hidden="false" customHeight="true" outlineLevel="0" collapsed="false"/>
    <row r="33080" customFormat="false" ht="15" hidden="false" customHeight="true" outlineLevel="0" collapsed="false"/>
    <row r="33081" customFormat="false" ht="15" hidden="false" customHeight="true" outlineLevel="0" collapsed="false"/>
    <row r="33082" customFormat="false" ht="15" hidden="false" customHeight="true" outlineLevel="0" collapsed="false"/>
    <row r="33083" customFormat="false" ht="15" hidden="false" customHeight="true" outlineLevel="0" collapsed="false"/>
    <row r="33084" customFormat="false" ht="15" hidden="false" customHeight="true" outlineLevel="0" collapsed="false"/>
    <row r="33085" customFormat="false" ht="15" hidden="false" customHeight="true" outlineLevel="0" collapsed="false"/>
    <row r="33086" customFormat="false" ht="15" hidden="false" customHeight="true" outlineLevel="0" collapsed="false"/>
    <row r="33087" customFormat="false" ht="15" hidden="false" customHeight="true" outlineLevel="0" collapsed="false"/>
    <row r="33088" customFormat="false" ht="15" hidden="false" customHeight="true" outlineLevel="0" collapsed="false"/>
    <row r="33089" customFormat="false" ht="15" hidden="false" customHeight="true" outlineLevel="0" collapsed="false"/>
    <row r="33090" customFormat="false" ht="15" hidden="false" customHeight="true" outlineLevel="0" collapsed="false"/>
    <row r="33091" customFormat="false" ht="15" hidden="false" customHeight="true" outlineLevel="0" collapsed="false"/>
    <row r="33092" customFormat="false" ht="15" hidden="false" customHeight="true" outlineLevel="0" collapsed="false"/>
    <row r="33093" customFormat="false" ht="15" hidden="false" customHeight="true" outlineLevel="0" collapsed="false"/>
    <row r="33094" customFormat="false" ht="15" hidden="false" customHeight="true" outlineLevel="0" collapsed="false"/>
    <row r="33095" customFormat="false" ht="15" hidden="false" customHeight="true" outlineLevel="0" collapsed="false"/>
    <row r="33096" customFormat="false" ht="15" hidden="false" customHeight="true" outlineLevel="0" collapsed="false"/>
    <row r="33097" customFormat="false" ht="15" hidden="false" customHeight="true" outlineLevel="0" collapsed="false"/>
    <row r="33098" customFormat="false" ht="15" hidden="false" customHeight="true" outlineLevel="0" collapsed="false"/>
    <row r="33099" customFormat="false" ht="15" hidden="false" customHeight="true" outlineLevel="0" collapsed="false"/>
    <row r="33100" customFormat="false" ht="15" hidden="false" customHeight="true" outlineLevel="0" collapsed="false"/>
    <row r="33101" customFormat="false" ht="15" hidden="false" customHeight="true" outlineLevel="0" collapsed="false"/>
    <row r="33102" customFormat="false" ht="15" hidden="false" customHeight="true" outlineLevel="0" collapsed="false"/>
    <row r="33103" customFormat="false" ht="15" hidden="false" customHeight="true" outlineLevel="0" collapsed="false"/>
    <row r="33104" customFormat="false" ht="15" hidden="false" customHeight="true" outlineLevel="0" collapsed="false"/>
    <row r="33105" customFormat="false" ht="15" hidden="false" customHeight="true" outlineLevel="0" collapsed="false"/>
    <row r="33106" customFormat="false" ht="15" hidden="false" customHeight="true" outlineLevel="0" collapsed="false"/>
    <row r="33107" customFormat="false" ht="15" hidden="false" customHeight="true" outlineLevel="0" collapsed="false"/>
    <row r="33108" customFormat="false" ht="15" hidden="false" customHeight="true" outlineLevel="0" collapsed="false"/>
    <row r="33109" customFormat="false" ht="15" hidden="false" customHeight="true" outlineLevel="0" collapsed="false"/>
    <row r="33110" customFormat="false" ht="15" hidden="false" customHeight="true" outlineLevel="0" collapsed="false"/>
    <row r="33111" customFormat="false" ht="15" hidden="false" customHeight="true" outlineLevel="0" collapsed="false"/>
    <row r="33112" customFormat="false" ht="15" hidden="false" customHeight="true" outlineLevel="0" collapsed="false"/>
    <row r="33113" customFormat="false" ht="15" hidden="false" customHeight="true" outlineLevel="0" collapsed="false"/>
    <row r="33114" customFormat="false" ht="15" hidden="false" customHeight="true" outlineLevel="0" collapsed="false"/>
    <row r="33115" customFormat="false" ht="15" hidden="false" customHeight="true" outlineLevel="0" collapsed="false"/>
    <row r="33116" customFormat="false" ht="15" hidden="false" customHeight="true" outlineLevel="0" collapsed="false"/>
    <row r="33117" customFormat="false" ht="15" hidden="false" customHeight="true" outlineLevel="0" collapsed="false"/>
    <row r="33118" customFormat="false" ht="15" hidden="false" customHeight="true" outlineLevel="0" collapsed="false"/>
    <row r="33119" customFormat="false" ht="15" hidden="false" customHeight="true" outlineLevel="0" collapsed="false"/>
    <row r="33120" customFormat="false" ht="15" hidden="false" customHeight="true" outlineLevel="0" collapsed="false"/>
    <row r="33121" customFormat="false" ht="15" hidden="false" customHeight="true" outlineLevel="0" collapsed="false"/>
    <row r="33122" customFormat="false" ht="15" hidden="false" customHeight="true" outlineLevel="0" collapsed="false"/>
    <row r="33123" customFormat="false" ht="15" hidden="false" customHeight="true" outlineLevel="0" collapsed="false"/>
    <row r="33124" customFormat="false" ht="15" hidden="false" customHeight="true" outlineLevel="0" collapsed="false"/>
    <row r="33125" customFormat="false" ht="15" hidden="false" customHeight="true" outlineLevel="0" collapsed="false"/>
    <row r="33126" customFormat="false" ht="15" hidden="false" customHeight="true" outlineLevel="0" collapsed="false"/>
    <row r="33127" customFormat="false" ht="15" hidden="false" customHeight="true" outlineLevel="0" collapsed="false"/>
    <row r="33128" customFormat="false" ht="15" hidden="false" customHeight="true" outlineLevel="0" collapsed="false"/>
    <row r="33129" customFormat="false" ht="15" hidden="false" customHeight="true" outlineLevel="0" collapsed="false"/>
    <row r="33130" customFormat="false" ht="15" hidden="false" customHeight="true" outlineLevel="0" collapsed="false"/>
    <row r="33131" customFormat="false" ht="15" hidden="false" customHeight="true" outlineLevel="0" collapsed="false"/>
    <row r="33132" customFormat="false" ht="15" hidden="false" customHeight="true" outlineLevel="0" collapsed="false"/>
    <row r="33133" customFormat="false" ht="15" hidden="false" customHeight="true" outlineLevel="0" collapsed="false"/>
    <row r="33134" customFormat="false" ht="15" hidden="false" customHeight="true" outlineLevel="0" collapsed="false"/>
    <row r="33135" customFormat="false" ht="15" hidden="false" customHeight="true" outlineLevel="0" collapsed="false"/>
    <row r="33136" customFormat="false" ht="15" hidden="false" customHeight="true" outlineLevel="0" collapsed="false"/>
    <row r="33137" customFormat="false" ht="15" hidden="false" customHeight="true" outlineLevel="0" collapsed="false"/>
    <row r="33138" customFormat="false" ht="15" hidden="false" customHeight="true" outlineLevel="0" collapsed="false"/>
    <row r="33139" customFormat="false" ht="15" hidden="false" customHeight="true" outlineLevel="0" collapsed="false"/>
    <row r="33140" customFormat="false" ht="15" hidden="false" customHeight="true" outlineLevel="0" collapsed="false"/>
    <row r="33141" customFormat="false" ht="15" hidden="false" customHeight="true" outlineLevel="0" collapsed="false"/>
    <row r="33142" customFormat="false" ht="15" hidden="false" customHeight="true" outlineLevel="0" collapsed="false"/>
    <row r="33143" customFormat="false" ht="15" hidden="false" customHeight="true" outlineLevel="0" collapsed="false"/>
    <row r="33144" customFormat="false" ht="15" hidden="false" customHeight="true" outlineLevel="0" collapsed="false"/>
    <row r="33145" customFormat="false" ht="15" hidden="false" customHeight="true" outlineLevel="0" collapsed="false"/>
    <row r="33146" customFormat="false" ht="15" hidden="false" customHeight="true" outlineLevel="0" collapsed="false"/>
    <row r="33147" customFormat="false" ht="15" hidden="false" customHeight="true" outlineLevel="0" collapsed="false"/>
    <row r="33148" customFormat="false" ht="15" hidden="false" customHeight="true" outlineLevel="0" collapsed="false"/>
    <row r="33149" customFormat="false" ht="15" hidden="false" customHeight="true" outlineLevel="0" collapsed="false"/>
    <row r="33150" customFormat="false" ht="15" hidden="false" customHeight="true" outlineLevel="0" collapsed="false"/>
    <row r="33151" customFormat="false" ht="15" hidden="false" customHeight="true" outlineLevel="0" collapsed="false"/>
    <row r="33152" customFormat="false" ht="15" hidden="false" customHeight="true" outlineLevel="0" collapsed="false"/>
    <row r="33153" customFormat="false" ht="15" hidden="false" customHeight="true" outlineLevel="0" collapsed="false"/>
    <row r="33154" customFormat="false" ht="15" hidden="false" customHeight="true" outlineLevel="0" collapsed="false"/>
    <row r="33155" customFormat="false" ht="15" hidden="false" customHeight="true" outlineLevel="0" collapsed="false"/>
    <row r="33156" customFormat="false" ht="15" hidden="false" customHeight="true" outlineLevel="0" collapsed="false"/>
    <row r="33157" customFormat="false" ht="15" hidden="false" customHeight="true" outlineLevel="0" collapsed="false"/>
    <row r="33158" customFormat="false" ht="15" hidden="false" customHeight="true" outlineLevel="0" collapsed="false"/>
    <row r="33159" customFormat="false" ht="15" hidden="false" customHeight="true" outlineLevel="0" collapsed="false"/>
    <row r="33160" customFormat="false" ht="15" hidden="false" customHeight="true" outlineLevel="0" collapsed="false"/>
    <row r="33161" customFormat="false" ht="15" hidden="false" customHeight="true" outlineLevel="0" collapsed="false"/>
    <row r="33162" customFormat="false" ht="15" hidden="false" customHeight="true" outlineLevel="0" collapsed="false"/>
    <row r="33163" customFormat="false" ht="15" hidden="false" customHeight="true" outlineLevel="0" collapsed="false"/>
    <row r="33164" customFormat="false" ht="15" hidden="false" customHeight="true" outlineLevel="0" collapsed="false"/>
    <row r="33165" customFormat="false" ht="15" hidden="false" customHeight="true" outlineLevel="0" collapsed="false"/>
    <row r="33166" customFormat="false" ht="15" hidden="false" customHeight="true" outlineLevel="0" collapsed="false"/>
    <row r="33167" customFormat="false" ht="15" hidden="false" customHeight="true" outlineLevel="0" collapsed="false"/>
    <row r="33168" customFormat="false" ht="15" hidden="false" customHeight="true" outlineLevel="0" collapsed="false"/>
    <row r="33169" customFormat="false" ht="15" hidden="false" customHeight="true" outlineLevel="0" collapsed="false"/>
    <row r="33170" customFormat="false" ht="15" hidden="false" customHeight="true" outlineLevel="0" collapsed="false"/>
    <row r="33171" customFormat="false" ht="15" hidden="false" customHeight="true" outlineLevel="0" collapsed="false"/>
    <row r="33172" customFormat="false" ht="15" hidden="false" customHeight="true" outlineLevel="0" collapsed="false"/>
    <row r="33173" customFormat="false" ht="15" hidden="false" customHeight="true" outlineLevel="0" collapsed="false"/>
    <row r="33174" customFormat="false" ht="15" hidden="false" customHeight="true" outlineLevel="0" collapsed="false"/>
    <row r="33175" customFormat="false" ht="15" hidden="false" customHeight="true" outlineLevel="0" collapsed="false"/>
    <row r="33176" customFormat="false" ht="15" hidden="false" customHeight="true" outlineLevel="0" collapsed="false"/>
    <row r="33177" customFormat="false" ht="15" hidden="false" customHeight="true" outlineLevel="0" collapsed="false"/>
    <row r="33178" customFormat="false" ht="15" hidden="false" customHeight="true" outlineLevel="0" collapsed="false"/>
    <row r="33179" customFormat="false" ht="15" hidden="false" customHeight="true" outlineLevel="0" collapsed="false"/>
    <row r="33180" customFormat="false" ht="15" hidden="false" customHeight="true" outlineLevel="0" collapsed="false"/>
    <row r="33181" customFormat="false" ht="15" hidden="false" customHeight="true" outlineLevel="0" collapsed="false"/>
    <row r="33182" customFormat="false" ht="15" hidden="false" customHeight="true" outlineLevel="0" collapsed="false"/>
    <row r="33183" customFormat="false" ht="15" hidden="false" customHeight="true" outlineLevel="0" collapsed="false"/>
    <row r="33184" customFormat="false" ht="15" hidden="false" customHeight="true" outlineLevel="0" collapsed="false"/>
    <row r="33185" customFormat="false" ht="15" hidden="false" customHeight="true" outlineLevel="0" collapsed="false"/>
    <row r="33186" customFormat="false" ht="15" hidden="false" customHeight="true" outlineLevel="0" collapsed="false"/>
    <row r="33187" customFormat="false" ht="15" hidden="false" customHeight="true" outlineLevel="0" collapsed="false"/>
    <row r="33188" customFormat="false" ht="15" hidden="false" customHeight="true" outlineLevel="0" collapsed="false"/>
    <row r="33189" customFormat="false" ht="15" hidden="false" customHeight="true" outlineLevel="0" collapsed="false"/>
    <row r="33190" customFormat="false" ht="15" hidden="false" customHeight="true" outlineLevel="0" collapsed="false"/>
    <row r="33191" customFormat="false" ht="15" hidden="false" customHeight="true" outlineLevel="0" collapsed="false"/>
    <row r="33192" customFormat="false" ht="15" hidden="false" customHeight="true" outlineLevel="0" collapsed="false"/>
    <row r="33193" customFormat="false" ht="15" hidden="false" customHeight="true" outlineLevel="0" collapsed="false"/>
    <row r="33194" customFormat="false" ht="15" hidden="false" customHeight="true" outlineLevel="0" collapsed="false"/>
    <row r="33195" customFormat="false" ht="15" hidden="false" customHeight="true" outlineLevel="0" collapsed="false"/>
    <row r="33196" customFormat="false" ht="15" hidden="false" customHeight="true" outlineLevel="0" collapsed="false"/>
    <row r="33197" customFormat="false" ht="15" hidden="false" customHeight="true" outlineLevel="0" collapsed="false"/>
    <row r="33198" customFormat="false" ht="15" hidden="false" customHeight="true" outlineLevel="0" collapsed="false"/>
    <row r="33199" customFormat="false" ht="15" hidden="false" customHeight="true" outlineLevel="0" collapsed="false"/>
    <row r="33200" customFormat="false" ht="15" hidden="false" customHeight="true" outlineLevel="0" collapsed="false"/>
    <row r="33201" customFormat="false" ht="15" hidden="false" customHeight="true" outlineLevel="0" collapsed="false"/>
    <row r="33202" customFormat="false" ht="15" hidden="false" customHeight="true" outlineLevel="0" collapsed="false"/>
    <row r="33203" customFormat="false" ht="15" hidden="false" customHeight="true" outlineLevel="0" collapsed="false"/>
    <row r="33204" customFormat="false" ht="15" hidden="false" customHeight="true" outlineLevel="0" collapsed="false"/>
    <row r="33205" customFormat="false" ht="15" hidden="false" customHeight="true" outlineLevel="0" collapsed="false"/>
    <row r="33206" customFormat="false" ht="15" hidden="false" customHeight="true" outlineLevel="0" collapsed="false"/>
    <row r="33207" customFormat="false" ht="15" hidden="false" customHeight="true" outlineLevel="0" collapsed="false"/>
    <row r="33208" customFormat="false" ht="15" hidden="false" customHeight="true" outlineLevel="0" collapsed="false"/>
    <row r="33209" customFormat="false" ht="15" hidden="false" customHeight="true" outlineLevel="0" collapsed="false"/>
    <row r="33210" customFormat="false" ht="15" hidden="false" customHeight="true" outlineLevel="0" collapsed="false"/>
    <row r="33211" customFormat="false" ht="15" hidden="false" customHeight="true" outlineLevel="0" collapsed="false"/>
    <row r="33212" customFormat="false" ht="15" hidden="false" customHeight="true" outlineLevel="0" collapsed="false"/>
    <row r="33213" customFormat="false" ht="15" hidden="false" customHeight="true" outlineLevel="0" collapsed="false"/>
    <row r="33214" customFormat="false" ht="15" hidden="false" customHeight="true" outlineLevel="0" collapsed="false"/>
    <row r="33215" customFormat="false" ht="15" hidden="false" customHeight="true" outlineLevel="0" collapsed="false"/>
    <row r="33216" customFormat="false" ht="15" hidden="false" customHeight="true" outlineLevel="0" collapsed="false"/>
    <row r="33217" customFormat="false" ht="15" hidden="false" customHeight="true" outlineLevel="0" collapsed="false"/>
    <row r="33218" customFormat="false" ht="15" hidden="false" customHeight="true" outlineLevel="0" collapsed="false"/>
    <row r="33219" customFormat="false" ht="15" hidden="false" customHeight="true" outlineLevel="0" collapsed="false"/>
    <row r="33220" customFormat="false" ht="15" hidden="false" customHeight="true" outlineLevel="0" collapsed="false"/>
    <row r="33221" customFormat="false" ht="15" hidden="false" customHeight="true" outlineLevel="0" collapsed="false"/>
    <row r="33222" customFormat="false" ht="15" hidden="false" customHeight="true" outlineLevel="0" collapsed="false"/>
    <row r="33223" customFormat="false" ht="15" hidden="false" customHeight="true" outlineLevel="0" collapsed="false"/>
    <row r="33224" customFormat="false" ht="15" hidden="false" customHeight="true" outlineLevel="0" collapsed="false"/>
    <row r="33225" customFormat="false" ht="15" hidden="false" customHeight="true" outlineLevel="0" collapsed="false"/>
    <row r="33226" customFormat="false" ht="15" hidden="false" customHeight="true" outlineLevel="0" collapsed="false"/>
    <row r="33227" customFormat="false" ht="15" hidden="false" customHeight="true" outlineLevel="0" collapsed="false"/>
    <row r="33228" customFormat="false" ht="15" hidden="false" customHeight="true" outlineLevel="0" collapsed="false"/>
    <row r="33229" customFormat="false" ht="15" hidden="false" customHeight="true" outlineLevel="0" collapsed="false"/>
    <row r="33230" customFormat="false" ht="15" hidden="false" customHeight="true" outlineLevel="0" collapsed="false"/>
    <row r="33231" customFormat="false" ht="15" hidden="false" customHeight="true" outlineLevel="0" collapsed="false"/>
    <row r="33232" customFormat="false" ht="15" hidden="false" customHeight="true" outlineLevel="0" collapsed="false"/>
    <row r="33233" customFormat="false" ht="15" hidden="false" customHeight="true" outlineLevel="0" collapsed="false"/>
    <row r="33234" customFormat="false" ht="15" hidden="false" customHeight="true" outlineLevel="0" collapsed="false"/>
    <row r="33235" customFormat="false" ht="15" hidden="false" customHeight="true" outlineLevel="0" collapsed="false"/>
    <row r="33236" customFormat="false" ht="15" hidden="false" customHeight="true" outlineLevel="0" collapsed="false"/>
    <row r="33237" customFormat="false" ht="15" hidden="false" customHeight="true" outlineLevel="0" collapsed="false"/>
    <row r="33238" customFormat="false" ht="15" hidden="false" customHeight="true" outlineLevel="0" collapsed="false"/>
    <row r="33239" customFormat="false" ht="15" hidden="false" customHeight="true" outlineLevel="0" collapsed="false"/>
    <row r="33240" customFormat="false" ht="15" hidden="false" customHeight="true" outlineLevel="0" collapsed="false"/>
    <row r="33241" customFormat="false" ht="15" hidden="false" customHeight="true" outlineLevel="0" collapsed="false"/>
    <row r="33242" customFormat="false" ht="15" hidden="false" customHeight="true" outlineLevel="0" collapsed="false"/>
    <row r="33243" customFormat="false" ht="15" hidden="false" customHeight="true" outlineLevel="0" collapsed="false"/>
    <row r="33244" customFormat="false" ht="15" hidden="false" customHeight="true" outlineLevel="0" collapsed="false"/>
    <row r="33245" customFormat="false" ht="15" hidden="false" customHeight="true" outlineLevel="0" collapsed="false"/>
    <row r="33246" customFormat="false" ht="15" hidden="false" customHeight="true" outlineLevel="0" collapsed="false"/>
    <row r="33247" customFormat="false" ht="15" hidden="false" customHeight="true" outlineLevel="0" collapsed="false"/>
    <row r="33248" customFormat="false" ht="15" hidden="false" customHeight="true" outlineLevel="0" collapsed="false"/>
    <row r="33249" customFormat="false" ht="15" hidden="false" customHeight="true" outlineLevel="0" collapsed="false"/>
    <row r="33250" customFormat="false" ht="15" hidden="false" customHeight="true" outlineLevel="0" collapsed="false"/>
    <row r="33251" customFormat="false" ht="15" hidden="false" customHeight="true" outlineLevel="0" collapsed="false"/>
    <row r="33252" customFormat="false" ht="15" hidden="false" customHeight="true" outlineLevel="0" collapsed="false"/>
    <row r="33253" customFormat="false" ht="15" hidden="false" customHeight="true" outlineLevel="0" collapsed="false"/>
    <row r="33254" customFormat="false" ht="15" hidden="false" customHeight="true" outlineLevel="0" collapsed="false"/>
    <row r="33255" customFormat="false" ht="15" hidden="false" customHeight="true" outlineLevel="0" collapsed="false"/>
    <row r="33256" customFormat="false" ht="15" hidden="false" customHeight="true" outlineLevel="0" collapsed="false"/>
    <row r="33257" customFormat="false" ht="15" hidden="false" customHeight="true" outlineLevel="0" collapsed="false"/>
    <row r="33258" customFormat="false" ht="15" hidden="false" customHeight="true" outlineLevel="0" collapsed="false"/>
    <row r="33259" customFormat="false" ht="15" hidden="false" customHeight="true" outlineLevel="0" collapsed="false"/>
    <row r="33260" customFormat="false" ht="15" hidden="false" customHeight="true" outlineLevel="0" collapsed="false"/>
    <row r="33261" customFormat="false" ht="15" hidden="false" customHeight="true" outlineLevel="0" collapsed="false"/>
    <row r="33262" customFormat="false" ht="15" hidden="false" customHeight="true" outlineLevel="0" collapsed="false"/>
    <row r="33263" customFormat="false" ht="15" hidden="false" customHeight="true" outlineLevel="0" collapsed="false"/>
    <row r="33264" customFormat="false" ht="15" hidden="false" customHeight="true" outlineLevel="0" collapsed="false"/>
    <row r="33265" customFormat="false" ht="15" hidden="false" customHeight="true" outlineLevel="0" collapsed="false"/>
    <row r="33266" customFormat="false" ht="15" hidden="false" customHeight="true" outlineLevel="0" collapsed="false"/>
    <row r="33267" customFormat="false" ht="15" hidden="false" customHeight="true" outlineLevel="0" collapsed="false"/>
    <row r="33268" customFormat="false" ht="15" hidden="false" customHeight="true" outlineLevel="0" collapsed="false"/>
    <row r="33269" customFormat="false" ht="15" hidden="false" customHeight="true" outlineLevel="0" collapsed="false"/>
    <row r="33270" customFormat="false" ht="15" hidden="false" customHeight="true" outlineLevel="0" collapsed="false"/>
    <row r="33271" customFormat="false" ht="15" hidden="false" customHeight="true" outlineLevel="0" collapsed="false"/>
    <row r="33272" customFormat="false" ht="15" hidden="false" customHeight="true" outlineLevel="0" collapsed="false"/>
    <row r="33273" customFormat="false" ht="15" hidden="false" customHeight="true" outlineLevel="0" collapsed="false"/>
    <row r="33274" customFormat="false" ht="15" hidden="false" customHeight="true" outlineLevel="0" collapsed="false"/>
    <row r="33275" customFormat="false" ht="15" hidden="false" customHeight="true" outlineLevel="0" collapsed="false"/>
    <row r="33276" customFormat="false" ht="15" hidden="false" customHeight="true" outlineLevel="0" collapsed="false"/>
    <row r="33277" customFormat="false" ht="15" hidden="false" customHeight="true" outlineLevel="0" collapsed="false"/>
    <row r="33278" customFormat="false" ht="15" hidden="false" customHeight="true" outlineLevel="0" collapsed="false"/>
    <row r="33279" customFormat="false" ht="15" hidden="false" customHeight="true" outlineLevel="0" collapsed="false"/>
    <row r="33280" customFormat="false" ht="15" hidden="false" customHeight="true" outlineLevel="0" collapsed="false"/>
    <row r="33281" customFormat="false" ht="15" hidden="false" customHeight="true" outlineLevel="0" collapsed="false"/>
    <row r="33282" customFormat="false" ht="15" hidden="false" customHeight="true" outlineLevel="0" collapsed="false"/>
    <row r="33283" customFormat="false" ht="15" hidden="false" customHeight="true" outlineLevel="0" collapsed="false"/>
    <row r="33284" customFormat="false" ht="15" hidden="false" customHeight="true" outlineLevel="0" collapsed="false"/>
    <row r="33285" customFormat="false" ht="15" hidden="false" customHeight="true" outlineLevel="0" collapsed="false"/>
    <row r="33286" customFormat="false" ht="15" hidden="false" customHeight="true" outlineLevel="0" collapsed="false"/>
    <row r="33287" customFormat="false" ht="15" hidden="false" customHeight="true" outlineLevel="0" collapsed="false"/>
    <row r="33288" customFormat="false" ht="15" hidden="false" customHeight="true" outlineLevel="0" collapsed="false"/>
    <row r="33289" customFormat="false" ht="15" hidden="false" customHeight="true" outlineLevel="0" collapsed="false"/>
    <row r="33290" customFormat="false" ht="15" hidden="false" customHeight="true" outlineLevel="0" collapsed="false"/>
    <row r="33291" customFormat="false" ht="15" hidden="false" customHeight="true" outlineLevel="0" collapsed="false"/>
    <row r="33292" customFormat="false" ht="15" hidden="false" customHeight="true" outlineLevel="0" collapsed="false"/>
    <row r="33293" customFormat="false" ht="15" hidden="false" customHeight="true" outlineLevel="0" collapsed="false"/>
    <row r="33294" customFormat="false" ht="15" hidden="false" customHeight="true" outlineLevel="0" collapsed="false"/>
    <row r="33295" customFormat="false" ht="15" hidden="false" customHeight="true" outlineLevel="0" collapsed="false"/>
    <row r="33296" customFormat="false" ht="15" hidden="false" customHeight="true" outlineLevel="0" collapsed="false"/>
    <row r="33297" customFormat="false" ht="15" hidden="false" customHeight="true" outlineLevel="0" collapsed="false"/>
    <row r="33298" customFormat="false" ht="15" hidden="false" customHeight="true" outlineLevel="0" collapsed="false"/>
    <row r="33299" customFormat="false" ht="15" hidden="false" customHeight="true" outlineLevel="0" collapsed="false"/>
    <row r="33300" customFormat="false" ht="15" hidden="false" customHeight="true" outlineLevel="0" collapsed="false"/>
    <row r="33301" customFormat="false" ht="15" hidden="false" customHeight="true" outlineLevel="0" collapsed="false"/>
    <row r="33302" customFormat="false" ht="15" hidden="false" customHeight="true" outlineLevel="0" collapsed="false"/>
    <row r="33303" customFormat="false" ht="15" hidden="false" customHeight="true" outlineLevel="0" collapsed="false"/>
    <row r="33304" customFormat="false" ht="15" hidden="false" customHeight="true" outlineLevel="0" collapsed="false"/>
    <row r="33305" customFormat="false" ht="15" hidden="false" customHeight="true" outlineLevel="0" collapsed="false"/>
    <row r="33306" customFormat="false" ht="15" hidden="false" customHeight="true" outlineLevel="0" collapsed="false"/>
    <row r="33307" customFormat="false" ht="15" hidden="false" customHeight="true" outlineLevel="0" collapsed="false"/>
    <row r="33308" customFormat="false" ht="15" hidden="false" customHeight="true" outlineLevel="0" collapsed="false"/>
    <row r="33309" customFormat="false" ht="15" hidden="false" customHeight="true" outlineLevel="0" collapsed="false"/>
    <row r="33310" customFormat="false" ht="15" hidden="false" customHeight="true" outlineLevel="0" collapsed="false"/>
    <row r="33311" customFormat="false" ht="15" hidden="false" customHeight="true" outlineLevel="0" collapsed="false"/>
    <row r="33312" customFormat="false" ht="15" hidden="false" customHeight="true" outlineLevel="0" collapsed="false"/>
    <row r="33313" customFormat="false" ht="15" hidden="false" customHeight="true" outlineLevel="0" collapsed="false"/>
    <row r="33314" customFormat="false" ht="15" hidden="false" customHeight="true" outlineLevel="0" collapsed="false"/>
    <row r="33315" customFormat="false" ht="15" hidden="false" customHeight="true" outlineLevel="0" collapsed="false"/>
    <row r="33316" customFormat="false" ht="15" hidden="false" customHeight="true" outlineLevel="0" collapsed="false"/>
    <row r="33317" customFormat="false" ht="15" hidden="false" customHeight="true" outlineLevel="0" collapsed="false"/>
    <row r="33318" customFormat="false" ht="15" hidden="false" customHeight="true" outlineLevel="0" collapsed="false"/>
    <row r="33319" customFormat="false" ht="15" hidden="false" customHeight="true" outlineLevel="0" collapsed="false"/>
    <row r="33320" customFormat="false" ht="15" hidden="false" customHeight="true" outlineLevel="0" collapsed="false"/>
    <row r="33321" customFormat="false" ht="15" hidden="false" customHeight="true" outlineLevel="0" collapsed="false"/>
    <row r="33322" customFormat="false" ht="15" hidden="false" customHeight="true" outlineLevel="0" collapsed="false"/>
    <row r="33323" customFormat="false" ht="15" hidden="false" customHeight="true" outlineLevel="0" collapsed="false"/>
    <row r="33324" customFormat="false" ht="15" hidden="false" customHeight="true" outlineLevel="0" collapsed="false"/>
    <row r="33325" customFormat="false" ht="15" hidden="false" customHeight="true" outlineLevel="0" collapsed="false"/>
    <row r="33326" customFormat="false" ht="15" hidden="false" customHeight="true" outlineLevel="0" collapsed="false"/>
    <row r="33327" customFormat="false" ht="15" hidden="false" customHeight="true" outlineLevel="0" collapsed="false"/>
    <row r="33328" customFormat="false" ht="15" hidden="false" customHeight="true" outlineLevel="0" collapsed="false"/>
    <row r="33329" customFormat="false" ht="15" hidden="false" customHeight="true" outlineLevel="0" collapsed="false"/>
    <row r="33330" customFormat="false" ht="15" hidden="false" customHeight="true" outlineLevel="0" collapsed="false"/>
    <row r="33331" customFormat="false" ht="15" hidden="false" customHeight="true" outlineLevel="0" collapsed="false"/>
    <row r="33332" customFormat="false" ht="15" hidden="false" customHeight="true" outlineLevel="0" collapsed="false"/>
    <row r="33333" customFormat="false" ht="15" hidden="false" customHeight="true" outlineLevel="0" collapsed="false"/>
    <row r="33334" customFormat="false" ht="15" hidden="false" customHeight="true" outlineLevel="0" collapsed="false"/>
    <row r="33335" customFormat="false" ht="15" hidden="false" customHeight="true" outlineLevel="0" collapsed="false"/>
    <row r="33336" customFormat="false" ht="15" hidden="false" customHeight="true" outlineLevel="0" collapsed="false"/>
    <row r="33337" customFormat="false" ht="15" hidden="false" customHeight="true" outlineLevel="0" collapsed="false"/>
    <row r="33338" customFormat="false" ht="15" hidden="false" customHeight="true" outlineLevel="0" collapsed="false"/>
    <row r="33339" customFormat="false" ht="15" hidden="false" customHeight="true" outlineLevel="0" collapsed="false"/>
    <row r="33340" customFormat="false" ht="15" hidden="false" customHeight="true" outlineLevel="0" collapsed="false"/>
    <row r="33341" customFormat="false" ht="15" hidden="false" customHeight="true" outlineLevel="0" collapsed="false"/>
    <row r="33342" customFormat="false" ht="15" hidden="false" customHeight="true" outlineLevel="0" collapsed="false"/>
    <row r="33343" customFormat="false" ht="15" hidden="false" customHeight="true" outlineLevel="0" collapsed="false"/>
    <row r="33344" customFormat="false" ht="15" hidden="false" customHeight="true" outlineLevel="0" collapsed="false"/>
    <row r="33345" customFormat="false" ht="15" hidden="false" customHeight="true" outlineLevel="0" collapsed="false"/>
    <row r="33346" customFormat="false" ht="15" hidden="false" customHeight="true" outlineLevel="0" collapsed="false"/>
    <row r="33347" customFormat="false" ht="15" hidden="false" customHeight="true" outlineLevel="0" collapsed="false"/>
    <row r="33348" customFormat="false" ht="15" hidden="false" customHeight="true" outlineLevel="0" collapsed="false"/>
    <row r="33349" customFormat="false" ht="15" hidden="false" customHeight="true" outlineLevel="0" collapsed="false"/>
    <row r="33350" customFormat="false" ht="15" hidden="false" customHeight="true" outlineLevel="0" collapsed="false"/>
    <row r="33351" customFormat="false" ht="15" hidden="false" customHeight="true" outlineLevel="0" collapsed="false"/>
    <row r="33352" customFormat="false" ht="15" hidden="false" customHeight="true" outlineLevel="0" collapsed="false"/>
    <row r="33353" customFormat="false" ht="15" hidden="false" customHeight="true" outlineLevel="0" collapsed="false"/>
    <row r="33354" customFormat="false" ht="15" hidden="false" customHeight="true" outlineLevel="0" collapsed="false"/>
    <row r="33355" customFormat="false" ht="15" hidden="false" customHeight="true" outlineLevel="0" collapsed="false"/>
    <row r="33356" customFormat="false" ht="15" hidden="false" customHeight="true" outlineLevel="0" collapsed="false"/>
    <row r="33357" customFormat="false" ht="15" hidden="false" customHeight="true" outlineLevel="0" collapsed="false"/>
    <row r="33358" customFormat="false" ht="15" hidden="false" customHeight="true" outlineLevel="0" collapsed="false"/>
    <row r="33359" customFormat="false" ht="15" hidden="false" customHeight="true" outlineLevel="0" collapsed="false"/>
    <row r="33360" customFormat="false" ht="15" hidden="false" customHeight="true" outlineLevel="0" collapsed="false"/>
    <row r="33361" customFormat="false" ht="15" hidden="false" customHeight="true" outlineLevel="0" collapsed="false"/>
    <row r="33362" customFormat="false" ht="15" hidden="false" customHeight="true" outlineLevel="0" collapsed="false"/>
    <row r="33363" customFormat="false" ht="15" hidden="false" customHeight="true" outlineLevel="0" collapsed="false"/>
    <row r="33364" customFormat="false" ht="15" hidden="false" customHeight="true" outlineLevel="0" collapsed="false"/>
    <row r="33365" customFormat="false" ht="15" hidden="false" customHeight="true" outlineLevel="0" collapsed="false"/>
    <row r="33366" customFormat="false" ht="15" hidden="false" customHeight="true" outlineLevel="0" collapsed="false"/>
    <row r="33367" customFormat="false" ht="15" hidden="false" customHeight="true" outlineLevel="0" collapsed="false"/>
    <row r="33368" customFormat="false" ht="15" hidden="false" customHeight="true" outlineLevel="0" collapsed="false"/>
    <row r="33369" customFormat="false" ht="15" hidden="false" customHeight="true" outlineLevel="0" collapsed="false"/>
    <row r="33370" customFormat="false" ht="15" hidden="false" customHeight="true" outlineLevel="0" collapsed="false"/>
    <row r="33371" customFormat="false" ht="15" hidden="false" customHeight="true" outlineLevel="0" collapsed="false"/>
    <row r="33372" customFormat="false" ht="15" hidden="false" customHeight="true" outlineLevel="0" collapsed="false"/>
    <row r="33373" customFormat="false" ht="15" hidden="false" customHeight="true" outlineLevel="0" collapsed="false"/>
    <row r="33374" customFormat="false" ht="15" hidden="false" customHeight="true" outlineLevel="0" collapsed="false"/>
    <row r="33375" customFormat="false" ht="15" hidden="false" customHeight="true" outlineLevel="0" collapsed="false"/>
    <row r="33376" customFormat="false" ht="15" hidden="false" customHeight="true" outlineLevel="0" collapsed="false"/>
    <row r="33377" customFormat="false" ht="15" hidden="false" customHeight="true" outlineLevel="0" collapsed="false"/>
    <row r="33378" customFormat="false" ht="15" hidden="false" customHeight="true" outlineLevel="0" collapsed="false"/>
    <row r="33379" customFormat="false" ht="15" hidden="false" customHeight="true" outlineLevel="0" collapsed="false"/>
    <row r="33380" customFormat="false" ht="15" hidden="false" customHeight="true" outlineLevel="0" collapsed="false"/>
    <row r="33381" customFormat="false" ht="15" hidden="false" customHeight="true" outlineLevel="0" collapsed="false"/>
    <row r="33382" customFormat="false" ht="15" hidden="false" customHeight="true" outlineLevel="0" collapsed="false"/>
    <row r="33383" customFormat="false" ht="15" hidden="false" customHeight="true" outlineLevel="0" collapsed="false"/>
    <row r="33384" customFormat="false" ht="15" hidden="false" customHeight="true" outlineLevel="0" collapsed="false"/>
    <row r="33385" customFormat="false" ht="15" hidden="false" customHeight="true" outlineLevel="0" collapsed="false"/>
    <row r="33386" customFormat="false" ht="15" hidden="false" customHeight="true" outlineLevel="0" collapsed="false"/>
    <row r="33387" customFormat="false" ht="15" hidden="false" customHeight="true" outlineLevel="0" collapsed="false"/>
    <row r="33388" customFormat="false" ht="15" hidden="false" customHeight="true" outlineLevel="0" collapsed="false"/>
    <row r="33389" customFormat="false" ht="15" hidden="false" customHeight="true" outlineLevel="0" collapsed="false"/>
    <row r="33390" customFormat="false" ht="15" hidden="false" customHeight="true" outlineLevel="0" collapsed="false"/>
    <row r="33391" customFormat="false" ht="15" hidden="false" customHeight="true" outlineLevel="0" collapsed="false"/>
    <row r="33392" customFormat="false" ht="15" hidden="false" customHeight="true" outlineLevel="0" collapsed="false"/>
    <row r="33393" customFormat="false" ht="15" hidden="false" customHeight="true" outlineLevel="0" collapsed="false"/>
    <row r="33394" customFormat="false" ht="15" hidden="false" customHeight="true" outlineLevel="0" collapsed="false"/>
    <row r="33395" customFormat="false" ht="15" hidden="false" customHeight="true" outlineLevel="0" collapsed="false"/>
    <row r="33396" customFormat="false" ht="15" hidden="false" customHeight="true" outlineLevel="0" collapsed="false"/>
    <row r="33397" customFormat="false" ht="15" hidden="false" customHeight="true" outlineLevel="0" collapsed="false"/>
    <row r="33398" customFormat="false" ht="15" hidden="false" customHeight="true" outlineLevel="0" collapsed="false"/>
    <row r="33399" customFormat="false" ht="15" hidden="false" customHeight="true" outlineLevel="0" collapsed="false"/>
    <row r="33400" customFormat="false" ht="15" hidden="false" customHeight="true" outlineLevel="0" collapsed="false"/>
    <row r="33401" customFormat="false" ht="15" hidden="false" customHeight="true" outlineLevel="0" collapsed="false"/>
    <row r="33402" customFormat="false" ht="15" hidden="false" customHeight="true" outlineLevel="0" collapsed="false"/>
    <row r="33403" customFormat="false" ht="15" hidden="false" customHeight="true" outlineLevel="0" collapsed="false"/>
    <row r="33404" customFormat="false" ht="15" hidden="false" customHeight="true" outlineLevel="0" collapsed="false"/>
    <row r="33405" customFormat="false" ht="15" hidden="false" customHeight="true" outlineLevel="0" collapsed="false"/>
    <row r="33406" customFormat="false" ht="15" hidden="false" customHeight="true" outlineLevel="0" collapsed="false"/>
    <row r="33407" customFormat="false" ht="15" hidden="false" customHeight="true" outlineLevel="0" collapsed="false"/>
    <row r="33408" customFormat="false" ht="15" hidden="false" customHeight="true" outlineLevel="0" collapsed="false"/>
    <row r="33409" customFormat="false" ht="15" hidden="false" customHeight="true" outlineLevel="0" collapsed="false"/>
    <row r="33410" customFormat="false" ht="15" hidden="false" customHeight="true" outlineLevel="0" collapsed="false"/>
    <row r="33411" customFormat="false" ht="15" hidden="false" customHeight="true" outlineLevel="0" collapsed="false"/>
    <row r="33412" customFormat="false" ht="15" hidden="false" customHeight="true" outlineLevel="0" collapsed="false"/>
    <row r="33413" customFormat="false" ht="15" hidden="false" customHeight="true" outlineLevel="0" collapsed="false"/>
    <row r="33414" customFormat="false" ht="15" hidden="false" customHeight="true" outlineLevel="0" collapsed="false"/>
    <row r="33415" customFormat="false" ht="15" hidden="false" customHeight="true" outlineLevel="0" collapsed="false"/>
    <row r="33416" customFormat="false" ht="15" hidden="false" customHeight="true" outlineLevel="0" collapsed="false"/>
    <row r="33417" customFormat="false" ht="15" hidden="false" customHeight="true" outlineLevel="0" collapsed="false"/>
    <row r="33418" customFormat="false" ht="15" hidden="false" customHeight="true" outlineLevel="0" collapsed="false"/>
    <row r="33419" customFormat="false" ht="15" hidden="false" customHeight="true" outlineLevel="0" collapsed="false"/>
    <row r="33420" customFormat="false" ht="15" hidden="false" customHeight="true" outlineLevel="0" collapsed="false"/>
    <row r="33421" customFormat="false" ht="15" hidden="false" customHeight="true" outlineLevel="0" collapsed="false"/>
    <row r="33422" customFormat="false" ht="15" hidden="false" customHeight="true" outlineLevel="0" collapsed="false"/>
    <row r="33423" customFormat="false" ht="15" hidden="false" customHeight="true" outlineLevel="0" collapsed="false"/>
    <row r="33424" customFormat="false" ht="15" hidden="false" customHeight="true" outlineLevel="0" collapsed="false"/>
    <row r="33425" customFormat="false" ht="15" hidden="false" customHeight="true" outlineLevel="0" collapsed="false"/>
    <row r="33426" customFormat="false" ht="15" hidden="false" customHeight="true" outlineLevel="0" collapsed="false"/>
    <row r="33427" customFormat="false" ht="15" hidden="false" customHeight="true" outlineLevel="0" collapsed="false"/>
    <row r="33428" customFormat="false" ht="15" hidden="false" customHeight="true" outlineLevel="0" collapsed="false"/>
    <row r="33429" customFormat="false" ht="15" hidden="false" customHeight="true" outlineLevel="0" collapsed="false"/>
    <row r="33430" customFormat="false" ht="15" hidden="false" customHeight="true" outlineLevel="0" collapsed="false"/>
    <row r="33431" customFormat="false" ht="15" hidden="false" customHeight="true" outlineLevel="0" collapsed="false"/>
    <row r="33432" customFormat="false" ht="15" hidden="false" customHeight="true" outlineLevel="0" collapsed="false"/>
    <row r="33433" customFormat="false" ht="15" hidden="false" customHeight="true" outlineLevel="0" collapsed="false"/>
    <row r="33434" customFormat="false" ht="15" hidden="false" customHeight="true" outlineLevel="0" collapsed="false"/>
    <row r="33435" customFormat="false" ht="15" hidden="false" customHeight="true" outlineLevel="0" collapsed="false"/>
    <row r="33436" customFormat="false" ht="15" hidden="false" customHeight="true" outlineLevel="0" collapsed="false"/>
    <row r="33437" customFormat="false" ht="15" hidden="false" customHeight="true" outlineLevel="0" collapsed="false"/>
    <row r="33438" customFormat="false" ht="15" hidden="false" customHeight="true" outlineLevel="0" collapsed="false"/>
    <row r="33439" customFormat="false" ht="15" hidden="false" customHeight="true" outlineLevel="0" collapsed="false"/>
    <row r="33440" customFormat="false" ht="15" hidden="false" customHeight="true" outlineLevel="0" collapsed="false"/>
    <row r="33441" customFormat="false" ht="15" hidden="false" customHeight="true" outlineLevel="0" collapsed="false"/>
    <row r="33442" customFormat="false" ht="15" hidden="false" customHeight="true" outlineLevel="0" collapsed="false"/>
    <row r="33443" customFormat="false" ht="15" hidden="false" customHeight="true" outlineLevel="0" collapsed="false"/>
    <row r="33444" customFormat="false" ht="15" hidden="false" customHeight="true" outlineLevel="0" collapsed="false"/>
    <row r="33445" customFormat="false" ht="15" hidden="false" customHeight="true" outlineLevel="0" collapsed="false"/>
    <row r="33446" customFormat="false" ht="15" hidden="false" customHeight="true" outlineLevel="0" collapsed="false"/>
    <row r="33447" customFormat="false" ht="15" hidden="false" customHeight="true" outlineLevel="0" collapsed="false"/>
    <row r="33448" customFormat="false" ht="15" hidden="false" customHeight="true" outlineLevel="0" collapsed="false"/>
    <row r="33449" customFormat="false" ht="15" hidden="false" customHeight="true" outlineLevel="0" collapsed="false"/>
    <row r="33450" customFormat="false" ht="15" hidden="false" customHeight="true" outlineLevel="0" collapsed="false"/>
    <row r="33451" customFormat="false" ht="15" hidden="false" customHeight="true" outlineLevel="0" collapsed="false"/>
    <row r="33452" customFormat="false" ht="15" hidden="false" customHeight="true" outlineLevel="0" collapsed="false"/>
    <row r="33453" customFormat="false" ht="15" hidden="false" customHeight="true" outlineLevel="0" collapsed="false"/>
    <row r="33454" customFormat="false" ht="15" hidden="false" customHeight="true" outlineLevel="0" collapsed="false"/>
    <row r="33455" customFormat="false" ht="15" hidden="false" customHeight="true" outlineLevel="0" collapsed="false"/>
    <row r="33456" customFormat="false" ht="15" hidden="false" customHeight="true" outlineLevel="0" collapsed="false"/>
    <row r="33457" customFormat="false" ht="15" hidden="false" customHeight="true" outlineLevel="0" collapsed="false"/>
    <row r="33458" customFormat="false" ht="15" hidden="false" customHeight="true" outlineLevel="0" collapsed="false"/>
    <row r="33459" customFormat="false" ht="15" hidden="false" customHeight="true" outlineLevel="0" collapsed="false"/>
    <row r="33460" customFormat="false" ht="15" hidden="false" customHeight="true" outlineLevel="0" collapsed="false"/>
    <row r="33461" customFormat="false" ht="15" hidden="false" customHeight="true" outlineLevel="0" collapsed="false"/>
    <row r="33462" customFormat="false" ht="15" hidden="false" customHeight="true" outlineLevel="0" collapsed="false"/>
    <row r="33463" customFormat="false" ht="15" hidden="false" customHeight="true" outlineLevel="0" collapsed="false"/>
    <row r="33464" customFormat="false" ht="15" hidden="false" customHeight="true" outlineLevel="0" collapsed="false"/>
    <row r="33465" customFormat="false" ht="15" hidden="false" customHeight="true" outlineLevel="0" collapsed="false"/>
    <row r="33466" customFormat="false" ht="15" hidden="false" customHeight="true" outlineLevel="0" collapsed="false"/>
    <row r="33467" customFormat="false" ht="15" hidden="false" customHeight="true" outlineLevel="0" collapsed="false"/>
    <row r="33468" customFormat="false" ht="15" hidden="false" customHeight="true" outlineLevel="0" collapsed="false"/>
    <row r="33469" customFormat="false" ht="15" hidden="false" customHeight="true" outlineLevel="0" collapsed="false"/>
    <row r="33470" customFormat="false" ht="15" hidden="false" customHeight="true" outlineLevel="0" collapsed="false"/>
    <row r="33471" customFormat="false" ht="15" hidden="false" customHeight="true" outlineLevel="0" collapsed="false"/>
    <row r="33472" customFormat="false" ht="15" hidden="false" customHeight="true" outlineLevel="0" collapsed="false"/>
    <row r="33473" customFormat="false" ht="15" hidden="false" customHeight="true" outlineLevel="0" collapsed="false"/>
    <row r="33474" customFormat="false" ht="15" hidden="false" customHeight="true" outlineLevel="0" collapsed="false"/>
    <row r="33475" customFormat="false" ht="15" hidden="false" customHeight="true" outlineLevel="0" collapsed="false"/>
    <row r="33476" customFormat="false" ht="15" hidden="false" customHeight="true" outlineLevel="0" collapsed="false"/>
    <row r="33477" customFormat="false" ht="15" hidden="false" customHeight="true" outlineLevel="0" collapsed="false"/>
    <row r="33478" customFormat="false" ht="15" hidden="false" customHeight="true" outlineLevel="0" collapsed="false"/>
    <row r="33479" customFormat="false" ht="15" hidden="false" customHeight="true" outlineLevel="0" collapsed="false"/>
    <row r="33480" customFormat="false" ht="15" hidden="false" customHeight="true" outlineLevel="0" collapsed="false"/>
    <row r="33481" customFormat="false" ht="15" hidden="false" customHeight="true" outlineLevel="0" collapsed="false"/>
    <row r="33482" customFormat="false" ht="15" hidden="false" customHeight="true" outlineLevel="0" collapsed="false"/>
    <row r="33483" customFormat="false" ht="15" hidden="false" customHeight="true" outlineLevel="0" collapsed="false"/>
    <row r="33484" customFormat="false" ht="15" hidden="false" customHeight="true" outlineLevel="0" collapsed="false"/>
    <row r="33485" customFormat="false" ht="15" hidden="false" customHeight="true" outlineLevel="0" collapsed="false"/>
    <row r="33486" customFormat="false" ht="15" hidden="false" customHeight="true" outlineLevel="0" collapsed="false"/>
    <row r="33487" customFormat="false" ht="15" hidden="false" customHeight="true" outlineLevel="0" collapsed="false"/>
    <row r="33488" customFormat="false" ht="15" hidden="false" customHeight="true" outlineLevel="0" collapsed="false"/>
    <row r="33489" customFormat="false" ht="15" hidden="false" customHeight="true" outlineLevel="0" collapsed="false"/>
    <row r="33490" customFormat="false" ht="15" hidden="false" customHeight="true" outlineLevel="0" collapsed="false"/>
    <row r="33491" customFormat="false" ht="15" hidden="false" customHeight="true" outlineLevel="0" collapsed="false"/>
    <row r="33492" customFormat="false" ht="15" hidden="false" customHeight="true" outlineLevel="0" collapsed="false"/>
    <row r="33493" customFormat="false" ht="15" hidden="false" customHeight="true" outlineLevel="0" collapsed="false"/>
    <row r="33494" customFormat="false" ht="15" hidden="false" customHeight="true" outlineLevel="0" collapsed="false"/>
    <row r="33495" customFormat="false" ht="15" hidden="false" customHeight="true" outlineLevel="0" collapsed="false"/>
    <row r="33496" customFormat="false" ht="15" hidden="false" customHeight="true" outlineLevel="0" collapsed="false"/>
    <row r="33497" customFormat="false" ht="15" hidden="false" customHeight="true" outlineLevel="0" collapsed="false"/>
    <row r="33498" customFormat="false" ht="15" hidden="false" customHeight="true" outlineLevel="0" collapsed="false"/>
    <row r="33499" customFormat="false" ht="15" hidden="false" customHeight="true" outlineLevel="0" collapsed="false"/>
    <row r="33500" customFormat="false" ht="15" hidden="false" customHeight="true" outlineLevel="0" collapsed="false"/>
    <row r="33501" customFormat="false" ht="15" hidden="false" customHeight="true" outlineLevel="0" collapsed="false"/>
    <row r="33502" customFormat="false" ht="15" hidden="false" customHeight="true" outlineLevel="0" collapsed="false"/>
    <row r="33503" customFormat="false" ht="15" hidden="false" customHeight="true" outlineLevel="0" collapsed="false"/>
    <row r="33504" customFormat="false" ht="15" hidden="false" customHeight="true" outlineLevel="0" collapsed="false"/>
    <row r="33505" customFormat="false" ht="15" hidden="false" customHeight="true" outlineLevel="0" collapsed="false"/>
    <row r="33506" customFormat="false" ht="15" hidden="false" customHeight="true" outlineLevel="0" collapsed="false"/>
    <row r="33507" customFormat="false" ht="15" hidden="false" customHeight="true" outlineLevel="0" collapsed="false"/>
    <row r="33508" customFormat="false" ht="15" hidden="false" customHeight="true" outlineLevel="0" collapsed="false"/>
    <row r="33509" customFormat="false" ht="15" hidden="false" customHeight="true" outlineLevel="0" collapsed="false"/>
    <row r="33510" customFormat="false" ht="15" hidden="false" customHeight="true" outlineLevel="0" collapsed="false"/>
    <row r="33511" customFormat="false" ht="15" hidden="false" customHeight="true" outlineLevel="0" collapsed="false"/>
    <row r="33512" customFormat="false" ht="15" hidden="false" customHeight="true" outlineLevel="0" collapsed="false"/>
    <row r="33513" customFormat="false" ht="15" hidden="false" customHeight="true" outlineLevel="0" collapsed="false"/>
    <row r="33514" customFormat="false" ht="15" hidden="false" customHeight="true" outlineLevel="0" collapsed="false"/>
    <row r="33515" customFormat="false" ht="15" hidden="false" customHeight="true" outlineLevel="0" collapsed="false"/>
    <row r="33516" customFormat="false" ht="15" hidden="false" customHeight="true" outlineLevel="0" collapsed="false"/>
    <row r="33517" customFormat="false" ht="15" hidden="false" customHeight="true" outlineLevel="0" collapsed="false"/>
    <row r="33518" customFormat="false" ht="15" hidden="false" customHeight="true" outlineLevel="0" collapsed="false"/>
    <row r="33519" customFormat="false" ht="15" hidden="false" customHeight="true" outlineLevel="0" collapsed="false"/>
    <row r="33520" customFormat="false" ht="15" hidden="false" customHeight="true" outlineLevel="0" collapsed="false"/>
    <row r="33521" customFormat="false" ht="15" hidden="false" customHeight="true" outlineLevel="0" collapsed="false"/>
    <row r="33522" customFormat="false" ht="15" hidden="false" customHeight="true" outlineLevel="0" collapsed="false"/>
    <row r="33523" customFormat="false" ht="15" hidden="false" customHeight="true" outlineLevel="0" collapsed="false"/>
    <row r="33524" customFormat="false" ht="15" hidden="false" customHeight="true" outlineLevel="0" collapsed="false"/>
    <row r="33525" customFormat="false" ht="15" hidden="false" customHeight="true" outlineLevel="0" collapsed="false"/>
    <row r="33526" customFormat="false" ht="15" hidden="false" customHeight="true" outlineLevel="0" collapsed="false"/>
    <row r="33527" customFormat="false" ht="15" hidden="false" customHeight="true" outlineLevel="0" collapsed="false"/>
    <row r="33528" customFormat="false" ht="15" hidden="false" customHeight="true" outlineLevel="0" collapsed="false"/>
    <row r="33529" customFormat="false" ht="15" hidden="false" customHeight="true" outlineLevel="0" collapsed="false"/>
    <row r="33530" customFormat="false" ht="15" hidden="false" customHeight="true" outlineLevel="0" collapsed="false"/>
    <row r="33531" customFormat="false" ht="15" hidden="false" customHeight="true" outlineLevel="0" collapsed="false"/>
    <row r="33532" customFormat="false" ht="15" hidden="false" customHeight="true" outlineLevel="0" collapsed="false"/>
    <row r="33533" customFormat="false" ht="15" hidden="false" customHeight="true" outlineLevel="0" collapsed="false"/>
    <row r="33534" customFormat="false" ht="15" hidden="false" customHeight="true" outlineLevel="0" collapsed="false"/>
    <row r="33535" customFormat="false" ht="15" hidden="false" customHeight="true" outlineLevel="0" collapsed="false"/>
    <row r="33536" customFormat="false" ht="15" hidden="false" customHeight="true" outlineLevel="0" collapsed="false"/>
    <row r="33537" customFormat="false" ht="15" hidden="false" customHeight="true" outlineLevel="0" collapsed="false"/>
    <row r="33538" customFormat="false" ht="15" hidden="false" customHeight="true" outlineLevel="0" collapsed="false"/>
    <row r="33539" customFormat="false" ht="15" hidden="false" customHeight="true" outlineLevel="0" collapsed="false"/>
    <row r="33540" customFormat="false" ht="15" hidden="false" customHeight="true" outlineLevel="0" collapsed="false"/>
    <row r="33541" customFormat="false" ht="15" hidden="false" customHeight="true" outlineLevel="0" collapsed="false"/>
    <row r="33542" customFormat="false" ht="15" hidden="false" customHeight="true" outlineLevel="0" collapsed="false"/>
    <row r="33543" customFormat="false" ht="15" hidden="false" customHeight="true" outlineLevel="0" collapsed="false"/>
    <row r="33544" customFormat="false" ht="15" hidden="false" customHeight="true" outlineLevel="0" collapsed="false"/>
    <row r="33545" customFormat="false" ht="15" hidden="false" customHeight="true" outlineLevel="0" collapsed="false"/>
    <row r="33546" customFormat="false" ht="15" hidden="false" customHeight="true" outlineLevel="0" collapsed="false"/>
    <row r="33547" customFormat="false" ht="15" hidden="false" customHeight="true" outlineLevel="0" collapsed="false"/>
    <row r="33548" customFormat="false" ht="15" hidden="false" customHeight="true" outlineLevel="0" collapsed="false"/>
    <row r="33549" customFormat="false" ht="15" hidden="false" customHeight="true" outlineLevel="0" collapsed="false"/>
    <row r="33550" customFormat="false" ht="15" hidden="false" customHeight="true" outlineLevel="0" collapsed="false"/>
    <row r="33551" customFormat="false" ht="15" hidden="false" customHeight="true" outlineLevel="0" collapsed="false"/>
    <row r="33552" customFormat="false" ht="15" hidden="false" customHeight="true" outlineLevel="0" collapsed="false"/>
    <row r="33553" customFormat="false" ht="15" hidden="false" customHeight="true" outlineLevel="0" collapsed="false"/>
    <row r="33554" customFormat="false" ht="15" hidden="false" customHeight="true" outlineLevel="0" collapsed="false"/>
    <row r="33555" customFormat="false" ht="15" hidden="false" customHeight="true" outlineLevel="0" collapsed="false"/>
    <row r="33556" customFormat="false" ht="15" hidden="false" customHeight="true" outlineLevel="0" collapsed="false"/>
    <row r="33557" customFormat="false" ht="15" hidden="false" customHeight="true" outlineLevel="0" collapsed="false"/>
    <row r="33558" customFormat="false" ht="15" hidden="false" customHeight="true" outlineLevel="0" collapsed="false"/>
    <row r="33559" customFormat="false" ht="15" hidden="false" customHeight="true" outlineLevel="0" collapsed="false"/>
    <row r="33560" customFormat="false" ht="15" hidden="false" customHeight="true" outlineLevel="0" collapsed="false"/>
    <row r="33561" customFormat="false" ht="15" hidden="false" customHeight="true" outlineLevel="0" collapsed="false"/>
    <row r="33562" customFormat="false" ht="15" hidden="false" customHeight="true" outlineLevel="0" collapsed="false"/>
    <row r="33563" customFormat="false" ht="15" hidden="false" customHeight="true" outlineLevel="0" collapsed="false"/>
    <row r="33564" customFormat="false" ht="15" hidden="false" customHeight="true" outlineLevel="0" collapsed="false"/>
    <row r="33565" customFormat="false" ht="15" hidden="false" customHeight="true" outlineLevel="0" collapsed="false"/>
    <row r="33566" customFormat="false" ht="15" hidden="false" customHeight="true" outlineLevel="0" collapsed="false"/>
    <row r="33567" customFormat="false" ht="15" hidden="false" customHeight="true" outlineLevel="0" collapsed="false"/>
    <row r="33568" customFormat="false" ht="15" hidden="false" customHeight="true" outlineLevel="0" collapsed="false"/>
    <row r="33569" customFormat="false" ht="15" hidden="false" customHeight="true" outlineLevel="0" collapsed="false"/>
    <row r="33570" customFormat="false" ht="15" hidden="false" customHeight="true" outlineLevel="0" collapsed="false"/>
    <row r="33571" customFormat="false" ht="15" hidden="false" customHeight="true" outlineLevel="0" collapsed="false"/>
    <row r="33572" customFormat="false" ht="15" hidden="false" customHeight="true" outlineLevel="0" collapsed="false"/>
    <row r="33573" customFormat="false" ht="15" hidden="false" customHeight="true" outlineLevel="0" collapsed="false"/>
    <row r="33574" customFormat="false" ht="15" hidden="false" customHeight="true" outlineLevel="0" collapsed="false"/>
    <row r="33575" customFormat="false" ht="15" hidden="false" customHeight="true" outlineLevel="0" collapsed="false"/>
    <row r="33576" customFormat="false" ht="15" hidden="false" customHeight="true" outlineLevel="0" collapsed="false"/>
    <row r="33577" customFormat="false" ht="15" hidden="false" customHeight="true" outlineLevel="0" collapsed="false"/>
    <row r="33578" customFormat="false" ht="15" hidden="false" customHeight="true" outlineLevel="0" collapsed="false"/>
    <row r="33579" customFormat="false" ht="15" hidden="false" customHeight="true" outlineLevel="0" collapsed="false"/>
    <row r="33580" customFormat="false" ht="15" hidden="false" customHeight="true" outlineLevel="0" collapsed="false"/>
    <row r="33581" customFormat="false" ht="15" hidden="false" customHeight="true" outlineLevel="0" collapsed="false"/>
    <row r="33582" customFormat="false" ht="15" hidden="false" customHeight="true" outlineLevel="0" collapsed="false"/>
    <row r="33583" customFormat="false" ht="15" hidden="false" customHeight="true" outlineLevel="0" collapsed="false"/>
    <row r="33584" customFormat="false" ht="15" hidden="false" customHeight="true" outlineLevel="0" collapsed="false"/>
    <row r="33585" customFormat="false" ht="15" hidden="false" customHeight="true" outlineLevel="0" collapsed="false"/>
    <row r="33586" customFormat="false" ht="15" hidden="false" customHeight="true" outlineLevel="0" collapsed="false"/>
    <row r="33587" customFormat="false" ht="15" hidden="false" customHeight="true" outlineLevel="0" collapsed="false"/>
    <row r="33588" customFormat="false" ht="15" hidden="false" customHeight="true" outlineLevel="0" collapsed="false"/>
    <row r="33589" customFormat="false" ht="15" hidden="false" customHeight="true" outlineLevel="0" collapsed="false"/>
    <row r="33590" customFormat="false" ht="15" hidden="false" customHeight="true" outlineLevel="0" collapsed="false"/>
    <row r="33591" customFormat="false" ht="15" hidden="false" customHeight="true" outlineLevel="0" collapsed="false"/>
    <row r="33592" customFormat="false" ht="15" hidden="false" customHeight="true" outlineLevel="0" collapsed="false"/>
    <row r="33593" customFormat="false" ht="15" hidden="false" customHeight="true" outlineLevel="0" collapsed="false"/>
    <row r="33594" customFormat="false" ht="15" hidden="false" customHeight="true" outlineLevel="0" collapsed="false"/>
    <row r="33595" customFormat="false" ht="15" hidden="false" customHeight="true" outlineLevel="0" collapsed="false"/>
    <row r="33596" customFormat="false" ht="15" hidden="false" customHeight="true" outlineLevel="0" collapsed="false"/>
    <row r="33597" customFormat="false" ht="15" hidden="false" customHeight="true" outlineLevel="0" collapsed="false"/>
    <row r="33598" customFormat="false" ht="15" hidden="false" customHeight="true" outlineLevel="0" collapsed="false"/>
    <row r="33599" customFormat="false" ht="15" hidden="false" customHeight="true" outlineLevel="0" collapsed="false"/>
    <row r="33600" customFormat="false" ht="15" hidden="false" customHeight="true" outlineLevel="0" collapsed="false"/>
    <row r="33601" customFormat="false" ht="15" hidden="false" customHeight="true" outlineLevel="0" collapsed="false"/>
    <row r="33602" customFormat="false" ht="15" hidden="false" customHeight="true" outlineLevel="0" collapsed="false"/>
    <row r="33603" customFormat="false" ht="15" hidden="false" customHeight="true" outlineLevel="0" collapsed="false"/>
    <row r="33604" customFormat="false" ht="15" hidden="false" customHeight="true" outlineLevel="0" collapsed="false"/>
    <row r="33605" customFormat="false" ht="15" hidden="false" customHeight="true" outlineLevel="0" collapsed="false"/>
    <row r="33606" customFormat="false" ht="15" hidden="false" customHeight="true" outlineLevel="0" collapsed="false"/>
    <row r="33607" customFormat="false" ht="15" hidden="false" customHeight="true" outlineLevel="0" collapsed="false"/>
    <row r="33608" customFormat="false" ht="15" hidden="false" customHeight="true" outlineLevel="0" collapsed="false"/>
    <row r="33609" customFormat="false" ht="15" hidden="false" customHeight="true" outlineLevel="0" collapsed="false"/>
    <row r="33610" customFormat="false" ht="15" hidden="false" customHeight="true" outlineLevel="0" collapsed="false"/>
    <row r="33611" customFormat="false" ht="15" hidden="false" customHeight="true" outlineLevel="0" collapsed="false"/>
    <row r="33612" customFormat="false" ht="15" hidden="false" customHeight="true" outlineLevel="0" collapsed="false"/>
    <row r="33613" customFormat="false" ht="15" hidden="false" customHeight="true" outlineLevel="0" collapsed="false"/>
    <row r="33614" customFormat="false" ht="15" hidden="false" customHeight="true" outlineLevel="0" collapsed="false"/>
    <row r="33615" customFormat="false" ht="15" hidden="false" customHeight="true" outlineLevel="0" collapsed="false"/>
    <row r="33616" customFormat="false" ht="15" hidden="false" customHeight="true" outlineLevel="0" collapsed="false"/>
    <row r="33617" customFormat="false" ht="15" hidden="false" customHeight="true" outlineLevel="0" collapsed="false"/>
    <row r="33618" customFormat="false" ht="15" hidden="false" customHeight="true" outlineLevel="0" collapsed="false"/>
    <row r="33619" customFormat="false" ht="15" hidden="false" customHeight="true" outlineLevel="0" collapsed="false"/>
    <row r="33620" customFormat="false" ht="15" hidden="false" customHeight="true" outlineLevel="0" collapsed="false"/>
    <row r="33621" customFormat="false" ht="15" hidden="false" customHeight="true" outlineLevel="0" collapsed="false"/>
    <row r="33622" customFormat="false" ht="15" hidden="false" customHeight="true" outlineLevel="0" collapsed="false"/>
    <row r="33623" customFormat="false" ht="15" hidden="false" customHeight="true" outlineLevel="0" collapsed="false"/>
    <row r="33624" customFormat="false" ht="15" hidden="false" customHeight="true" outlineLevel="0" collapsed="false"/>
    <row r="33625" customFormat="false" ht="15" hidden="false" customHeight="true" outlineLevel="0" collapsed="false"/>
    <row r="33626" customFormat="false" ht="15" hidden="false" customHeight="true" outlineLevel="0" collapsed="false"/>
    <row r="33627" customFormat="false" ht="15" hidden="false" customHeight="true" outlineLevel="0" collapsed="false"/>
    <row r="33628" customFormat="false" ht="15" hidden="false" customHeight="true" outlineLevel="0" collapsed="false"/>
    <row r="33629" customFormat="false" ht="15" hidden="false" customHeight="true" outlineLevel="0" collapsed="false"/>
    <row r="33630" customFormat="false" ht="15" hidden="false" customHeight="true" outlineLevel="0" collapsed="false"/>
    <row r="33631" customFormat="false" ht="15" hidden="false" customHeight="true" outlineLevel="0" collapsed="false"/>
    <row r="33632" customFormat="false" ht="15" hidden="false" customHeight="true" outlineLevel="0" collapsed="false"/>
    <row r="33633" customFormat="false" ht="15" hidden="false" customHeight="true" outlineLevel="0" collapsed="false"/>
    <row r="33634" customFormat="false" ht="15" hidden="false" customHeight="true" outlineLevel="0" collapsed="false"/>
    <row r="33635" customFormat="false" ht="15" hidden="false" customHeight="true" outlineLevel="0" collapsed="false"/>
    <row r="33636" customFormat="false" ht="15" hidden="false" customHeight="true" outlineLevel="0" collapsed="false"/>
    <row r="33637" customFormat="false" ht="15" hidden="false" customHeight="true" outlineLevel="0" collapsed="false"/>
    <row r="33638" customFormat="false" ht="15" hidden="false" customHeight="true" outlineLevel="0" collapsed="false"/>
    <row r="33639" customFormat="false" ht="15" hidden="false" customHeight="true" outlineLevel="0" collapsed="false"/>
    <row r="33640" customFormat="false" ht="15" hidden="false" customHeight="true" outlineLevel="0" collapsed="false"/>
    <row r="33641" customFormat="false" ht="15" hidden="false" customHeight="true" outlineLevel="0" collapsed="false"/>
    <row r="33642" customFormat="false" ht="15" hidden="false" customHeight="true" outlineLevel="0" collapsed="false"/>
    <row r="33643" customFormat="false" ht="15" hidden="false" customHeight="true" outlineLevel="0" collapsed="false"/>
    <row r="33644" customFormat="false" ht="15" hidden="false" customHeight="true" outlineLevel="0" collapsed="false"/>
    <row r="33645" customFormat="false" ht="15" hidden="false" customHeight="true" outlineLevel="0" collapsed="false"/>
    <row r="33646" customFormat="false" ht="15" hidden="false" customHeight="true" outlineLevel="0" collapsed="false"/>
    <row r="33647" customFormat="false" ht="15" hidden="false" customHeight="true" outlineLevel="0" collapsed="false"/>
    <row r="33648" customFormat="false" ht="15" hidden="false" customHeight="true" outlineLevel="0" collapsed="false"/>
    <row r="33649" customFormat="false" ht="15" hidden="false" customHeight="true" outlineLevel="0" collapsed="false"/>
    <row r="33650" customFormat="false" ht="15" hidden="false" customHeight="true" outlineLevel="0" collapsed="false"/>
    <row r="33651" customFormat="false" ht="15" hidden="false" customHeight="true" outlineLevel="0" collapsed="false"/>
    <row r="33652" customFormat="false" ht="15" hidden="false" customHeight="true" outlineLevel="0" collapsed="false"/>
    <row r="33653" customFormat="false" ht="15" hidden="false" customHeight="true" outlineLevel="0" collapsed="false"/>
    <row r="33654" customFormat="false" ht="15" hidden="false" customHeight="true" outlineLevel="0" collapsed="false"/>
    <row r="33655" customFormat="false" ht="15" hidden="false" customHeight="true" outlineLevel="0" collapsed="false"/>
    <row r="33656" customFormat="false" ht="15" hidden="false" customHeight="true" outlineLevel="0" collapsed="false"/>
    <row r="33657" customFormat="false" ht="15" hidden="false" customHeight="true" outlineLevel="0" collapsed="false"/>
    <row r="33658" customFormat="false" ht="15" hidden="false" customHeight="true" outlineLevel="0" collapsed="false"/>
    <row r="33659" customFormat="false" ht="15" hidden="false" customHeight="true" outlineLevel="0" collapsed="false"/>
    <row r="33660" customFormat="false" ht="15" hidden="false" customHeight="true" outlineLevel="0" collapsed="false"/>
    <row r="33661" customFormat="false" ht="15" hidden="false" customHeight="true" outlineLevel="0" collapsed="false"/>
    <row r="33662" customFormat="false" ht="15" hidden="false" customHeight="true" outlineLevel="0" collapsed="false"/>
    <row r="33663" customFormat="false" ht="15" hidden="false" customHeight="true" outlineLevel="0" collapsed="false"/>
    <row r="33664" customFormat="false" ht="15" hidden="false" customHeight="true" outlineLevel="0" collapsed="false"/>
    <row r="33665" customFormat="false" ht="15" hidden="false" customHeight="true" outlineLevel="0" collapsed="false"/>
    <row r="33666" customFormat="false" ht="15" hidden="false" customHeight="true" outlineLevel="0" collapsed="false"/>
    <row r="33667" customFormat="false" ht="15" hidden="false" customHeight="true" outlineLevel="0" collapsed="false"/>
    <row r="33668" customFormat="false" ht="15" hidden="false" customHeight="true" outlineLevel="0" collapsed="false"/>
    <row r="33669" customFormat="false" ht="15" hidden="false" customHeight="true" outlineLevel="0" collapsed="false"/>
    <row r="33670" customFormat="false" ht="15" hidden="false" customHeight="true" outlineLevel="0" collapsed="false"/>
    <row r="33671" customFormat="false" ht="15" hidden="false" customHeight="true" outlineLevel="0" collapsed="false"/>
    <row r="33672" customFormat="false" ht="15" hidden="false" customHeight="true" outlineLevel="0" collapsed="false"/>
    <row r="33673" customFormat="false" ht="15" hidden="false" customHeight="true" outlineLevel="0" collapsed="false"/>
    <row r="33674" customFormat="false" ht="15" hidden="false" customHeight="true" outlineLevel="0" collapsed="false"/>
    <row r="33675" customFormat="false" ht="15" hidden="false" customHeight="true" outlineLevel="0" collapsed="false"/>
    <row r="33676" customFormat="false" ht="15" hidden="false" customHeight="true" outlineLevel="0" collapsed="false"/>
    <row r="33677" customFormat="false" ht="15" hidden="false" customHeight="true" outlineLevel="0" collapsed="false"/>
    <row r="33678" customFormat="false" ht="15" hidden="false" customHeight="true" outlineLevel="0" collapsed="false"/>
    <row r="33679" customFormat="false" ht="15" hidden="false" customHeight="true" outlineLevel="0" collapsed="false"/>
    <row r="33680" customFormat="false" ht="15" hidden="false" customHeight="true" outlineLevel="0" collapsed="false"/>
    <row r="33681" customFormat="false" ht="15" hidden="false" customHeight="true" outlineLevel="0" collapsed="false"/>
    <row r="33682" customFormat="false" ht="15" hidden="false" customHeight="true" outlineLevel="0" collapsed="false"/>
    <row r="33683" customFormat="false" ht="15" hidden="false" customHeight="true" outlineLevel="0" collapsed="false"/>
    <row r="33684" customFormat="false" ht="15" hidden="false" customHeight="true" outlineLevel="0" collapsed="false"/>
    <row r="33685" customFormat="false" ht="15" hidden="false" customHeight="true" outlineLevel="0" collapsed="false"/>
    <row r="33686" customFormat="false" ht="15" hidden="false" customHeight="true" outlineLevel="0" collapsed="false"/>
    <row r="33687" customFormat="false" ht="15" hidden="false" customHeight="true" outlineLevel="0" collapsed="false"/>
    <row r="33688" customFormat="false" ht="15" hidden="false" customHeight="true" outlineLevel="0" collapsed="false"/>
    <row r="33689" customFormat="false" ht="15" hidden="false" customHeight="true" outlineLevel="0" collapsed="false"/>
    <row r="33690" customFormat="false" ht="15" hidden="false" customHeight="true" outlineLevel="0" collapsed="false"/>
    <row r="33691" customFormat="false" ht="15" hidden="false" customHeight="true" outlineLevel="0" collapsed="false"/>
    <row r="33692" customFormat="false" ht="15" hidden="false" customHeight="true" outlineLevel="0" collapsed="false"/>
    <row r="33693" customFormat="false" ht="15" hidden="false" customHeight="true" outlineLevel="0" collapsed="false"/>
    <row r="33694" customFormat="false" ht="15" hidden="false" customHeight="true" outlineLevel="0" collapsed="false"/>
    <row r="33695" customFormat="false" ht="15" hidden="false" customHeight="true" outlineLevel="0" collapsed="false"/>
    <row r="33696" customFormat="false" ht="15" hidden="false" customHeight="true" outlineLevel="0" collapsed="false"/>
    <row r="33697" customFormat="false" ht="15" hidden="false" customHeight="true" outlineLevel="0" collapsed="false"/>
    <row r="33698" customFormat="false" ht="15" hidden="false" customHeight="true" outlineLevel="0" collapsed="false"/>
    <row r="33699" customFormat="false" ht="15" hidden="false" customHeight="true" outlineLevel="0" collapsed="false"/>
    <row r="33700" customFormat="false" ht="15" hidden="false" customHeight="true" outlineLevel="0" collapsed="false"/>
    <row r="33701" customFormat="false" ht="15" hidden="false" customHeight="true" outlineLevel="0" collapsed="false"/>
    <row r="33702" customFormat="false" ht="15" hidden="false" customHeight="true" outlineLevel="0" collapsed="false"/>
    <row r="33703" customFormat="false" ht="15" hidden="false" customHeight="true" outlineLevel="0" collapsed="false"/>
    <row r="33704" customFormat="false" ht="15" hidden="false" customHeight="true" outlineLevel="0" collapsed="false"/>
    <row r="33705" customFormat="false" ht="15" hidden="false" customHeight="true" outlineLevel="0" collapsed="false"/>
    <row r="33706" customFormat="false" ht="15" hidden="false" customHeight="true" outlineLevel="0" collapsed="false"/>
    <row r="33707" customFormat="false" ht="15" hidden="false" customHeight="true" outlineLevel="0" collapsed="false"/>
    <row r="33708" customFormat="false" ht="15" hidden="false" customHeight="true" outlineLevel="0" collapsed="false"/>
    <row r="33709" customFormat="false" ht="15" hidden="false" customHeight="true" outlineLevel="0" collapsed="false"/>
    <row r="33710" customFormat="false" ht="15" hidden="false" customHeight="true" outlineLevel="0" collapsed="false"/>
    <row r="33711" customFormat="false" ht="15" hidden="false" customHeight="true" outlineLevel="0" collapsed="false"/>
    <row r="33712" customFormat="false" ht="15" hidden="false" customHeight="true" outlineLevel="0" collapsed="false"/>
    <row r="33713" customFormat="false" ht="15" hidden="false" customHeight="true" outlineLevel="0" collapsed="false"/>
    <row r="33714" customFormat="false" ht="15" hidden="false" customHeight="true" outlineLevel="0" collapsed="false"/>
    <row r="33715" customFormat="false" ht="15" hidden="false" customHeight="true" outlineLevel="0" collapsed="false"/>
    <row r="33716" customFormat="false" ht="15" hidden="false" customHeight="true" outlineLevel="0" collapsed="false"/>
    <row r="33717" customFormat="false" ht="15" hidden="false" customHeight="true" outlineLevel="0" collapsed="false"/>
    <row r="33718" customFormat="false" ht="15" hidden="false" customHeight="true" outlineLevel="0" collapsed="false"/>
    <row r="33719" customFormat="false" ht="15" hidden="false" customHeight="true" outlineLevel="0" collapsed="false"/>
    <row r="33720" customFormat="false" ht="15" hidden="false" customHeight="true" outlineLevel="0" collapsed="false"/>
    <row r="33721" customFormat="false" ht="15" hidden="false" customHeight="true" outlineLevel="0" collapsed="false"/>
    <row r="33722" customFormat="false" ht="15" hidden="false" customHeight="true" outlineLevel="0" collapsed="false"/>
    <row r="33723" customFormat="false" ht="15" hidden="false" customHeight="true" outlineLevel="0" collapsed="false"/>
    <row r="33724" customFormat="false" ht="15" hidden="false" customHeight="true" outlineLevel="0" collapsed="false"/>
    <row r="33725" customFormat="false" ht="15" hidden="false" customHeight="true" outlineLevel="0" collapsed="false"/>
    <row r="33726" customFormat="false" ht="15" hidden="false" customHeight="true" outlineLevel="0" collapsed="false"/>
    <row r="33727" customFormat="false" ht="15" hidden="false" customHeight="true" outlineLevel="0" collapsed="false"/>
    <row r="33728" customFormat="false" ht="15" hidden="false" customHeight="true" outlineLevel="0" collapsed="false"/>
    <row r="33729" customFormat="false" ht="15" hidden="false" customHeight="true" outlineLevel="0" collapsed="false"/>
    <row r="33730" customFormat="false" ht="15" hidden="false" customHeight="true" outlineLevel="0" collapsed="false"/>
    <row r="33731" customFormat="false" ht="15" hidden="false" customHeight="true" outlineLevel="0" collapsed="false"/>
    <row r="33732" customFormat="false" ht="15" hidden="false" customHeight="true" outlineLevel="0" collapsed="false"/>
    <row r="33733" customFormat="false" ht="15" hidden="false" customHeight="true" outlineLevel="0" collapsed="false"/>
    <row r="33734" customFormat="false" ht="15" hidden="false" customHeight="true" outlineLevel="0" collapsed="false"/>
    <row r="33735" customFormat="false" ht="15" hidden="false" customHeight="true" outlineLevel="0" collapsed="false"/>
    <row r="33736" customFormat="false" ht="15" hidden="false" customHeight="true" outlineLevel="0" collapsed="false"/>
    <row r="33737" customFormat="false" ht="15" hidden="false" customHeight="true" outlineLevel="0" collapsed="false"/>
    <row r="33738" customFormat="false" ht="15" hidden="false" customHeight="true" outlineLevel="0" collapsed="false"/>
    <row r="33739" customFormat="false" ht="15" hidden="false" customHeight="true" outlineLevel="0" collapsed="false"/>
    <row r="33740" customFormat="false" ht="15" hidden="false" customHeight="true" outlineLevel="0" collapsed="false"/>
    <row r="33741" customFormat="false" ht="15" hidden="false" customHeight="true" outlineLevel="0" collapsed="false"/>
    <row r="33742" customFormat="false" ht="15" hidden="false" customHeight="true" outlineLevel="0" collapsed="false"/>
    <row r="33743" customFormat="false" ht="15" hidden="false" customHeight="true" outlineLevel="0" collapsed="false"/>
    <row r="33744" customFormat="false" ht="15" hidden="false" customHeight="true" outlineLevel="0" collapsed="false"/>
    <row r="33745" customFormat="false" ht="15" hidden="false" customHeight="true" outlineLevel="0" collapsed="false"/>
    <row r="33746" customFormat="false" ht="15" hidden="false" customHeight="true" outlineLevel="0" collapsed="false"/>
    <row r="33747" customFormat="false" ht="15" hidden="false" customHeight="true" outlineLevel="0" collapsed="false"/>
    <row r="33748" customFormat="false" ht="15" hidden="false" customHeight="true" outlineLevel="0" collapsed="false"/>
    <row r="33749" customFormat="false" ht="15" hidden="false" customHeight="true" outlineLevel="0" collapsed="false"/>
    <row r="33750" customFormat="false" ht="15" hidden="false" customHeight="true" outlineLevel="0" collapsed="false"/>
    <row r="33751" customFormat="false" ht="15" hidden="false" customHeight="true" outlineLevel="0" collapsed="false"/>
    <row r="33752" customFormat="false" ht="15" hidden="false" customHeight="true" outlineLevel="0" collapsed="false"/>
    <row r="33753" customFormat="false" ht="15" hidden="false" customHeight="true" outlineLevel="0" collapsed="false"/>
    <row r="33754" customFormat="false" ht="15" hidden="false" customHeight="true" outlineLevel="0" collapsed="false"/>
    <row r="33755" customFormat="false" ht="15" hidden="false" customHeight="true" outlineLevel="0" collapsed="false"/>
    <row r="33756" customFormat="false" ht="15" hidden="false" customHeight="true" outlineLevel="0" collapsed="false"/>
    <row r="33757" customFormat="false" ht="15" hidden="false" customHeight="true" outlineLevel="0" collapsed="false"/>
    <row r="33758" customFormat="false" ht="15" hidden="false" customHeight="true" outlineLevel="0" collapsed="false"/>
    <row r="33759" customFormat="false" ht="15" hidden="false" customHeight="true" outlineLevel="0" collapsed="false"/>
    <row r="33760" customFormat="false" ht="15" hidden="false" customHeight="true" outlineLevel="0" collapsed="false"/>
    <row r="33761" customFormat="false" ht="15" hidden="false" customHeight="true" outlineLevel="0" collapsed="false"/>
    <row r="33762" customFormat="false" ht="15" hidden="false" customHeight="true" outlineLevel="0" collapsed="false"/>
    <row r="33763" customFormat="false" ht="15" hidden="false" customHeight="true" outlineLevel="0" collapsed="false"/>
    <row r="33764" customFormat="false" ht="15" hidden="false" customHeight="true" outlineLevel="0" collapsed="false"/>
    <row r="33765" customFormat="false" ht="15" hidden="false" customHeight="true" outlineLevel="0" collapsed="false"/>
    <row r="33766" customFormat="false" ht="15" hidden="false" customHeight="true" outlineLevel="0" collapsed="false"/>
    <row r="33767" customFormat="false" ht="15" hidden="false" customHeight="true" outlineLevel="0" collapsed="false"/>
    <row r="33768" customFormat="false" ht="15" hidden="false" customHeight="true" outlineLevel="0" collapsed="false"/>
    <row r="33769" customFormat="false" ht="15" hidden="false" customHeight="true" outlineLevel="0" collapsed="false"/>
    <row r="33770" customFormat="false" ht="15" hidden="false" customHeight="true" outlineLevel="0" collapsed="false"/>
    <row r="33771" customFormat="false" ht="15" hidden="false" customHeight="true" outlineLevel="0" collapsed="false"/>
    <row r="33772" customFormat="false" ht="15" hidden="false" customHeight="true" outlineLevel="0" collapsed="false"/>
    <row r="33773" customFormat="false" ht="15" hidden="false" customHeight="true" outlineLevel="0" collapsed="false"/>
    <row r="33774" customFormat="false" ht="15" hidden="false" customHeight="true" outlineLevel="0" collapsed="false"/>
    <row r="33775" customFormat="false" ht="15" hidden="false" customHeight="true" outlineLevel="0" collapsed="false"/>
    <row r="33776" customFormat="false" ht="15" hidden="false" customHeight="true" outlineLevel="0" collapsed="false"/>
    <row r="33777" customFormat="false" ht="15" hidden="false" customHeight="true" outlineLevel="0" collapsed="false"/>
    <row r="33778" customFormat="false" ht="15" hidden="false" customHeight="true" outlineLevel="0" collapsed="false"/>
    <row r="33779" customFormat="false" ht="15" hidden="false" customHeight="true" outlineLevel="0" collapsed="false"/>
    <row r="33780" customFormat="false" ht="15" hidden="false" customHeight="true" outlineLevel="0" collapsed="false"/>
    <row r="33781" customFormat="false" ht="15" hidden="false" customHeight="true" outlineLevel="0" collapsed="false"/>
    <row r="33782" customFormat="false" ht="15" hidden="false" customHeight="true" outlineLevel="0" collapsed="false"/>
    <row r="33783" customFormat="false" ht="15" hidden="false" customHeight="true" outlineLevel="0" collapsed="false"/>
    <row r="33784" customFormat="false" ht="15" hidden="false" customHeight="true" outlineLevel="0" collapsed="false"/>
    <row r="33785" customFormat="false" ht="15" hidden="false" customHeight="true" outlineLevel="0" collapsed="false"/>
    <row r="33786" customFormat="false" ht="15" hidden="false" customHeight="true" outlineLevel="0" collapsed="false"/>
    <row r="33787" customFormat="false" ht="15" hidden="false" customHeight="true" outlineLevel="0" collapsed="false"/>
    <row r="33788" customFormat="false" ht="15" hidden="false" customHeight="true" outlineLevel="0" collapsed="false"/>
    <row r="33789" customFormat="false" ht="15" hidden="false" customHeight="true" outlineLevel="0" collapsed="false"/>
    <row r="33790" customFormat="false" ht="15" hidden="false" customHeight="true" outlineLevel="0" collapsed="false"/>
    <row r="33791" customFormat="false" ht="15" hidden="false" customHeight="true" outlineLevel="0" collapsed="false"/>
    <row r="33792" customFormat="false" ht="15" hidden="false" customHeight="true" outlineLevel="0" collapsed="false"/>
    <row r="33793" customFormat="false" ht="15" hidden="false" customHeight="true" outlineLevel="0" collapsed="false"/>
    <row r="33794" customFormat="false" ht="15" hidden="false" customHeight="true" outlineLevel="0" collapsed="false"/>
    <row r="33795" customFormat="false" ht="15" hidden="false" customHeight="true" outlineLevel="0" collapsed="false"/>
    <row r="33796" customFormat="false" ht="15" hidden="false" customHeight="true" outlineLevel="0" collapsed="false"/>
    <row r="33797" customFormat="false" ht="15" hidden="false" customHeight="true" outlineLevel="0" collapsed="false"/>
    <row r="33798" customFormat="false" ht="15" hidden="false" customHeight="true" outlineLevel="0" collapsed="false"/>
    <row r="33799" customFormat="false" ht="15" hidden="false" customHeight="true" outlineLevel="0" collapsed="false"/>
    <row r="33800" customFormat="false" ht="15" hidden="false" customHeight="true" outlineLevel="0" collapsed="false"/>
    <row r="33801" customFormat="false" ht="15" hidden="false" customHeight="true" outlineLevel="0" collapsed="false"/>
    <row r="33802" customFormat="false" ht="15" hidden="false" customHeight="true" outlineLevel="0" collapsed="false"/>
    <row r="33803" customFormat="false" ht="15" hidden="false" customHeight="true" outlineLevel="0" collapsed="false"/>
    <row r="33804" customFormat="false" ht="15" hidden="false" customHeight="true" outlineLevel="0" collapsed="false"/>
    <row r="33805" customFormat="false" ht="15" hidden="false" customHeight="true" outlineLevel="0" collapsed="false"/>
    <row r="33806" customFormat="false" ht="15" hidden="false" customHeight="true" outlineLevel="0" collapsed="false"/>
    <row r="33807" customFormat="false" ht="15" hidden="false" customHeight="true" outlineLevel="0" collapsed="false"/>
    <row r="33808" customFormat="false" ht="15" hidden="false" customHeight="true" outlineLevel="0" collapsed="false"/>
    <row r="33809" customFormat="false" ht="15" hidden="false" customHeight="true" outlineLevel="0" collapsed="false"/>
    <row r="33810" customFormat="false" ht="15" hidden="false" customHeight="true" outlineLevel="0" collapsed="false"/>
    <row r="33811" customFormat="false" ht="15" hidden="false" customHeight="true" outlineLevel="0" collapsed="false"/>
    <row r="33812" customFormat="false" ht="15" hidden="false" customHeight="true" outlineLevel="0" collapsed="false"/>
    <row r="33813" customFormat="false" ht="15" hidden="false" customHeight="true" outlineLevel="0" collapsed="false"/>
    <row r="33814" customFormat="false" ht="15" hidden="false" customHeight="true" outlineLevel="0" collapsed="false"/>
    <row r="33815" customFormat="false" ht="15" hidden="false" customHeight="true" outlineLevel="0" collapsed="false"/>
    <row r="33816" customFormat="false" ht="15" hidden="false" customHeight="true" outlineLevel="0" collapsed="false"/>
    <row r="33817" customFormat="false" ht="15" hidden="false" customHeight="true" outlineLevel="0" collapsed="false"/>
    <row r="33818" customFormat="false" ht="15" hidden="false" customHeight="true" outlineLevel="0" collapsed="false"/>
    <row r="33819" customFormat="false" ht="15" hidden="false" customHeight="true" outlineLevel="0" collapsed="false"/>
    <row r="33820" customFormat="false" ht="15" hidden="false" customHeight="true" outlineLevel="0" collapsed="false"/>
    <row r="33821" customFormat="false" ht="15" hidden="false" customHeight="true" outlineLevel="0" collapsed="false"/>
    <row r="33822" customFormat="false" ht="15" hidden="false" customHeight="true" outlineLevel="0" collapsed="false"/>
    <row r="33823" customFormat="false" ht="15" hidden="false" customHeight="true" outlineLevel="0" collapsed="false"/>
    <row r="33824" customFormat="false" ht="15" hidden="false" customHeight="true" outlineLevel="0" collapsed="false"/>
    <row r="33825" customFormat="false" ht="15" hidden="false" customHeight="true" outlineLevel="0" collapsed="false"/>
    <row r="33826" customFormat="false" ht="15" hidden="false" customHeight="true" outlineLevel="0" collapsed="false"/>
    <row r="33827" customFormat="false" ht="15" hidden="false" customHeight="true" outlineLevel="0" collapsed="false"/>
    <row r="33828" customFormat="false" ht="15" hidden="false" customHeight="true" outlineLevel="0" collapsed="false"/>
    <row r="33829" customFormat="false" ht="15" hidden="false" customHeight="true" outlineLevel="0" collapsed="false"/>
    <row r="33830" customFormat="false" ht="15" hidden="false" customHeight="true" outlineLevel="0" collapsed="false"/>
    <row r="33831" customFormat="false" ht="15" hidden="false" customHeight="true" outlineLevel="0" collapsed="false"/>
    <row r="33832" customFormat="false" ht="15" hidden="false" customHeight="true" outlineLevel="0" collapsed="false"/>
    <row r="33833" customFormat="false" ht="15" hidden="false" customHeight="true" outlineLevel="0" collapsed="false"/>
    <row r="33834" customFormat="false" ht="15" hidden="false" customHeight="true" outlineLevel="0" collapsed="false"/>
    <row r="33835" customFormat="false" ht="15" hidden="false" customHeight="true" outlineLevel="0" collapsed="false"/>
    <row r="33836" customFormat="false" ht="15" hidden="false" customHeight="true" outlineLevel="0" collapsed="false"/>
    <row r="33837" customFormat="false" ht="15" hidden="false" customHeight="true" outlineLevel="0" collapsed="false"/>
    <row r="33838" customFormat="false" ht="15" hidden="false" customHeight="true" outlineLevel="0" collapsed="false"/>
    <row r="33839" customFormat="false" ht="15" hidden="false" customHeight="true" outlineLevel="0" collapsed="false"/>
    <row r="33840" customFormat="false" ht="15" hidden="false" customHeight="true" outlineLevel="0" collapsed="false"/>
    <row r="33841" customFormat="false" ht="15" hidden="false" customHeight="true" outlineLevel="0" collapsed="false"/>
    <row r="33842" customFormat="false" ht="15" hidden="false" customHeight="true" outlineLevel="0" collapsed="false"/>
    <row r="33843" customFormat="false" ht="15" hidden="false" customHeight="true" outlineLevel="0" collapsed="false"/>
    <row r="33844" customFormat="false" ht="15" hidden="false" customHeight="true" outlineLevel="0" collapsed="false"/>
    <row r="33845" customFormat="false" ht="15" hidden="false" customHeight="true" outlineLevel="0" collapsed="false"/>
    <row r="33846" customFormat="false" ht="15" hidden="false" customHeight="true" outlineLevel="0" collapsed="false"/>
    <row r="33847" customFormat="false" ht="15" hidden="false" customHeight="true" outlineLevel="0" collapsed="false"/>
    <row r="33848" customFormat="false" ht="15" hidden="false" customHeight="true" outlineLevel="0" collapsed="false"/>
    <row r="33849" customFormat="false" ht="15" hidden="false" customHeight="true" outlineLevel="0" collapsed="false"/>
    <row r="33850" customFormat="false" ht="15" hidden="false" customHeight="true" outlineLevel="0" collapsed="false"/>
    <row r="33851" customFormat="false" ht="15" hidden="false" customHeight="true" outlineLevel="0" collapsed="false"/>
    <row r="33852" customFormat="false" ht="15" hidden="false" customHeight="true" outlineLevel="0" collapsed="false"/>
    <row r="33853" customFormat="false" ht="15" hidden="false" customHeight="true" outlineLevel="0" collapsed="false"/>
    <row r="33854" customFormat="false" ht="15" hidden="false" customHeight="true" outlineLevel="0" collapsed="false"/>
    <row r="33855" customFormat="false" ht="15" hidden="false" customHeight="true" outlineLevel="0" collapsed="false"/>
    <row r="33856" customFormat="false" ht="15" hidden="false" customHeight="true" outlineLevel="0" collapsed="false"/>
    <row r="33857" customFormat="false" ht="15" hidden="false" customHeight="true" outlineLevel="0" collapsed="false"/>
    <row r="33858" customFormat="false" ht="15" hidden="false" customHeight="true" outlineLevel="0" collapsed="false"/>
    <row r="33859" customFormat="false" ht="15" hidden="false" customHeight="true" outlineLevel="0" collapsed="false"/>
    <row r="33860" customFormat="false" ht="15" hidden="false" customHeight="true" outlineLevel="0" collapsed="false"/>
    <row r="33861" customFormat="false" ht="15" hidden="false" customHeight="true" outlineLevel="0" collapsed="false"/>
    <row r="33862" customFormat="false" ht="15" hidden="false" customHeight="true" outlineLevel="0" collapsed="false"/>
    <row r="33863" customFormat="false" ht="15" hidden="false" customHeight="true" outlineLevel="0" collapsed="false"/>
    <row r="33864" customFormat="false" ht="15" hidden="false" customHeight="true" outlineLevel="0" collapsed="false"/>
    <row r="33865" customFormat="false" ht="15" hidden="false" customHeight="true" outlineLevel="0" collapsed="false"/>
    <row r="33866" customFormat="false" ht="15" hidden="false" customHeight="true" outlineLevel="0" collapsed="false"/>
    <row r="33867" customFormat="false" ht="15" hidden="false" customHeight="true" outlineLevel="0" collapsed="false"/>
    <row r="33868" customFormat="false" ht="15" hidden="false" customHeight="true" outlineLevel="0" collapsed="false"/>
    <row r="33869" customFormat="false" ht="15" hidden="false" customHeight="true" outlineLevel="0" collapsed="false"/>
    <row r="33870" customFormat="false" ht="15" hidden="false" customHeight="true" outlineLevel="0" collapsed="false"/>
    <row r="33871" customFormat="false" ht="15" hidden="false" customHeight="true" outlineLevel="0" collapsed="false"/>
    <row r="33872" customFormat="false" ht="15" hidden="false" customHeight="true" outlineLevel="0" collapsed="false"/>
    <row r="33873" customFormat="false" ht="15" hidden="false" customHeight="true" outlineLevel="0" collapsed="false"/>
    <row r="33874" customFormat="false" ht="15" hidden="false" customHeight="true" outlineLevel="0" collapsed="false"/>
    <row r="33875" customFormat="false" ht="15" hidden="false" customHeight="true" outlineLevel="0" collapsed="false"/>
    <row r="33876" customFormat="false" ht="15" hidden="false" customHeight="true" outlineLevel="0" collapsed="false"/>
    <row r="33877" customFormat="false" ht="15" hidden="false" customHeight="true" outlineLevel="0" collapsed="false"/>
    <row r="33878" customFormat="false" ht="15" hidden="false" customHeight="true" outlineLevel="0" collapsed="false"/>
    <row r="33879" customFormat="false" ht="15" hidden="false" customHeight="true" outlineLevel="0" collapsed="false"/>
    <row r="33880" customFormat="false" ht="15" hidden="false" customHeight="true" outlineLevel="0" collapsed="false"/>
    <row r="33881" customFormat="false" ht="15" hidden="false" customHeight="true" outlineLevel="0" collapsed="false"/>
    <row r="33882" customFormat="false" ht="15" hidden="false" customHeight="true" outlineLevel="0" collapsed="false"/>
    <row r="33883" customFormat="false" ht="15" hidden="false" customHeight="true" outlineLevel="0" collapsed="false"/>
    <row r="33884" customFormat="false" ht="15" hidden="false" customHeight="true" outlineLevel="0" collapsed="false"/>
    <row r="33885" customFormat="false" ht="15" hidden="false" customHeight="true" outlineLevel="0" collapsed="false"/>
    <row r="33886" customFormat="false" ht="15" hidden="false" customHeight="true" outlineLevel="0" collapsed="false"/>
    <row r="33887" customFormat="false" ht="15" hidden="false" customHeight="true" outlineLevel="0" collapsed="false"/>
    <row r="33888" customFormat="false" ht="15" hidden="false" customHeight="true" outlineLevel="0" collapsed="false"/>
    <row r="33889" customFormat="false" ht="15" hidden="false" customHeight="true" outlineLevel="0" collapsed="false"/>
    <row r="33890" customFormat="false" ht="15" hidden="false" customHeight="true" outlineLevel="0" collapsed="false"/>
    <row r="33891" customFormat="false" ht="15" hidden="false" customHeight="true" outlineLevel="0" collapsed="false"/>
    <row r="33892" customFormat="false" ht="15" hidden="false" customHeight="true" outlineLevel="0" collapsed="false"/>
    <row r="33893" customFormat="false" ht="15" hidden="false" customHeight="true" outlineLevel="0" collapsed="false"/>
    <row r="33894" customFormat="false" ht="15" hidden="false" customHeight="true" outlineLevel="0" collapsed="false"/>
    <row r="33895" customFormat="false" ht="15" hidden="false" customHeight="true" outlineLevel="0" collapsed="false"/>
    <row r="33896" customFormat="false" ht="15" hidden="false" customHeight="true" outlineLevel="0" collapsed="false"/>
    <row r="33897" customFormat="false" ht="15" hidden="false" customHeight="true" outlineLevel="0" collapsed="false"/>
    <row r="33898" customFormat="false" ht="15" hidden="false" customHeight="true" outlineLevel="0" collapsed="false"/>
    <row r="33899" customFormat="false" ht="15" hidden="false" customHeight="true" outlineLevel="0" collapsed="false"/>
    <row r="33900" customFormat="false" ht="15" hidden="false" customHeight="true" outlineLevel="0" collapsed="false"/>
    <row r="33901" customFormat="false" ht="15" hidden="false" customHeight="true" outlineLevel="0" collapsed="false"/>
    <row r="33902" customFormat="false" ht="15" hidden="false" customHeight="true" outlineLevel="0" collapsed="false"/>
    <row r="33903" customFormat="false" ht="15" hidden="false" customHeight="true" outlineLevel="0" collapsed="false"/>
    <row r="33904" customFormat="false" ht="15" hidden="false" customHeight="true" outlineLevel="0" collapsed="false"/>
    <row r="33905" customFormat="false" ht="15" hidden="false" customHeight="true" outlineLevel="0" collapsed="false"/>
    <row r="33906" customFormat="false" ht="15" hidden="false" customHeight="true" outlineLevel="0" collapsed="false"/>
    <row r="33907" customFormat="false" ht="15" hidden="false" customHeight="true" outlineLevel="0" collapsed="false"/>
    <row r="33908" customFormat="false" ht="15" hidden="false" customHeight="true" outlineLevel="0" collapsed="false"/>
    <row r="33909" customFormat="false" ht="15" hidden="false" customHeight="true" outlineLevel="0" collapsed="false"/>
    <row r="33910" customFormat="false" ht="15" hidden="false" customHeight="true" outlineLevel="0" collapsed="false"/>
    <row r="33911" customFormat="false" ht="15" hidden="false" customHeight="true" outlineLevel="0" collapsed="false"/>
    <row r="33912" customFormat="false" ht="15" hidden="false" customHeight="true" outlineLevel="0" collapsed="false"/>
    <row r="33913" customFormat="false" ht="15" hidden="false" customHeight="true" outlineLevel="0" collapsed="false"/>
    <row r="33914" customFormat="false" ht="15" hidden="false" customHeight="true" outlineLevel="0" collapsed="false"/>
    <row r="33915" customFormat="false" ht="15" hidden="false" customHeight="true" outlineLevel="0" collapsed="false"/>
    <row r="33916" customFormat="false" ht="15" hidden="false" customHeight="true" outlineLevel="0" collapsed="false"/>
    <row r="33917" customFormat="false" ht="15" hidden="false" customHeight="true" outlineLevel="0" collapsed="false"/>
    <row r="33918" customFormat="false" ht="15" hidden="false" customHeight="true" outlineLevel="0" collapsed="false"/>
    <row r="33919" customFormat="false" ht="15" hidden="false" customHeight="true" outlineLevel="0" collapsed="false"/>
    <row r="33920" customFormat="false" ht="15" hidden="false" customHeight="true" outlineLevel="0" collapsed="false"/>
    <row r="33921" customFormat="false" ht="15" hidden="false" customHeight="true" outlineLevel="0" collapsed="false"/>
    <row r="33922" customFormat="false" ht="15" hidden="false" customHeight="true" outlineLevel="0" collapsed="false"/>
    <row r="33923" customFormat="false" ht="15" hidden="false" customHeight="true" outlineLevel="0" collapsed="false"/>
    <row r="33924" customFormat="false" ht="15" hidden="false" customHeight="true" outlineLevel="0" collapsed="false"/>
    <row r="33925" customFormat="false" ht="15" hidden="false" customHeight="true" outlineLevel="0" collapsed="false"/>
    <row r="33926" customFormat="false" ht="15" hidden="false" customHeight="true" outlineLevel="0" collapsed="false"/>
    <row r="33927" customFormat="false" ht="15" hidden="false" customHeight="true" outlineLevel="0" collapsed="false"/>
    <row r="33928" customFormat="false" ht="15" hidden="false" customHeight="true" outlineLevel="0" collapsed="false"/>
    <row r="33929" customFormat="false" ht="15" hidden="false" customHeight="true" outlineLevel="0" collapsed="false"/>
    <row r="33930" customFormat="false" ht="15" hidden="false" customHeight="true" outlineLevel="0" collapsed="false"/>
    <row r="33931" customFormat="false" ht="15" hidden="false" customHeight="true" outlineLevel="0" collapsed="false"/>
    <row r="33932" customFormat="false" ht="15" hidden="false" customHeight="true" outlineLevel="0" collapsed="false"/>
    <row r="33933" customFormat="false" ht="15" hidden="false" customHeight="true" outlineLevel="0" collapsed="false"/>
    <row r="33934" customFormat="false" ht="15" hidden="false" customHeight="true" outlineLevel="0" collapsed="false"/>
    <row r="33935" customFormat="false" ht="15" hidden="false" customHeight="true" outlineLevel="0" collapsed="false"/>
    <row r="33936" customFormat="false" ht="15" hidden="false" customHeight="true" outlineLevel="0" collapsed="false"/>
    <row r="33937" customFormat="false" ht="15" hidden="false" customHeight="true" outlineLevel="0" collapsed="false"/>
    <row r="33938" customFormat="false" ht="15" hidden="false" customHeight="true" outlineLevel="0" collapsed="false"/>
    <row r="33939" customFormat="false" ht="15" hidden="false" customHeight="true" outlineLevel="0" collapsed="false"/>
    <row r="33940" customFormat="false" ht="15" hidden="false" customHeight="true" outlineLevel="0" collapsed="false"/>
    <row r="33941" customFormat="false" ht="15" hidden="false" customHeight="true" outlineLevel="0" collapsed="false"/>
    <row r="33942" customFormat="false" ht="15" hidden="false" customHeight="true" outlineLevel="0" collapsed="false"/>
    <row r="33943" customFormat="false" ht="15" hidden="false" customHeight="true" outlineLevel="0" collapsed="false"/>
    <row r="33944" customFormat="false" ht="15" hidden="false" customHeight="true" outlineLevel="0" collapsed="false"/>
    <row r="33945" customFormat="false" ht="15" hidden="false" customHeight="true" outlineLevel="0" collapsed="false"/>
    <row r="33946" customFormat="false" ht="15" hidden="false" customHeight="true" outlineLevel="0" collapsed="false"/>
    <row r="33947" customFormat="false" ht="15" hidden="false" customHeight="true" outlineLevel="0" collapsed="false"/>
    <row r="33948" customFormat="false" ht="15" hidden="false" customHeight="true" outlineLevel="0" collapsed="false"/>
    <row r="33949" customFormat="false" ht="15" hidden="false" customHeight="true" outlineLevel="0" collapsed="false"/>
    <row r="33950" customFormat="false" ht="15" hidden="false" customHeight="true" outlineLevel="0" collapsed="false"/>
    <row r="33951" customFormat="false" ht="15" hidden="false" customHeight="true" outlineLevel="0" collapsed="false"/>
    <row r="33952" customFormat="false" ht="15" hidden="false" customHeight="true" outlineLevel="0" collapsed="false"/>
    <row r="33953" customFormat="false" ht="15" hidden="false" customHeight="true" outlineLevel="0" collapsed="false"/>
    <row r="33954" customFormat="false" ht="15" hidden="false" customHeight="true" outlineLevel="0" collapsed="false"/>
    <row r="33955" customFormat="false" ht="15" hidden="false" customHeight="true" outlineLevel="0" collapsed="false"/>
    <row r="33956" customFormat="false" ht="15" hidden="false" customHeight="true" outlineLevel="0" collapsed="false"/>
    <row r="33957" customFormat="false" ht="15" hidden="false" customHeight="true" outlineLevel="0" collapsed="false"/>
    <row r="33958" customFormat="false" ht="15" hidden="false" customHeight="true" outlineLevel="0" collapsed="false"/>
    <row r="33959" customFormat="false" ht="15" hidden="false" customHeight="true" outlineLevel="0" collapsed="false"/>
    <row r="33960" customFormat="false" ht="15" hidden="false" customHeight="true" outlineLevel="0" collapsed="false"/>
    <row r="33961" customFormat="false" ht="15" hidden="false" customHeight="true" outlineLevel="0" collapsed="false"/>
    <row r="33962" customFormat="false" ht="15" hidden="false" customHeight="true" outlineLevel="0" collapsed="false"/>
    <row r="33963" customFormat="false" ht="15" hidden="false" customHeight="true" outlineLevel="0" collapsed="false"/>
    <row r="33964" customFormat="false" ht="15" hidden="false" customHeight="true" outlineLevel="0" collapsed="false"/>
    <row r="33965" customFormat="false" ht="15" hidden="false" customHeight="true" outlineLevel="0" collapsed="false"/>
    <row r="33966" customFormat="false" ht="15" hidden="false" customHeight="true" outlineLevel="0" collapsed="false"/>
    <row r="33967" customFormat="false" ht="15" hidden="false" customHeight="true" outlineLevel="0" collapsed="false"/>
    <row r="33968" customFormat="false" ht="15" hidden="false" customHeight="true" outlineLevel="0" collapsed="false"/>
    <row r="33969" customFormat="false" ht="15" hidden="false" customHeight="true" outlineLevel="0" collapsed="false"/>
    <row r="33970" customFormat="false" ht="15" hidden="false" customHeight="true" outlineLevel="0" collapsed="false"/>
    <row r="33971" customFormat="false" ht="15" hidden="false" customHeight="true" outlineLevel="0" collapsed="false"/>
    <row r="33972" customFormat="false" ht="15" hidden="false" customHeight="true" outlineLevel="0" collapsed="false"/>
    <row r="33973" customFormat="false" ht="15" hidden="false" customHeight="true" outlineLevel="0" collapsed="false"/>
    <row r="33974" customFormat="false" ht="15" hidden="false" customHeight="true" outlineLevel="0" collapsed="false"/>
    <row r="33975" customFormat="false" ht="15" hidden="false" customHeight="true" outlineLevel="0" collapsed="false"/>
    <row r="33976" customFormat="false" ht="15" hidden="false" customHeight="true" outlineLevel="0" collapsed="false"/>
    <row r="33977" customFormat="false" ht="15" hidden="false" customHeight="true" outlineLevel="0" collapsed="false"/>
    <row r="33978" customFormat="false" ht="15" hidden="false" customHeight="true" outlineLevel="0" collapsed="false"/>
    <row r="33979" customFormat="false" ht="15" hidden="false" customHeight="true" outlineLevel="0" collapsed="false"/>
    <row r="33980" customFormat="false" ht="15" hidden="false" customHeight="true" outlineLevel="0" collapsed="false"/>
    <row r="33981" customFormat="false" ht="15" hidden="false" customHeight="true" outlineLevel="0" collapsed="false"/>
    <row r="33982" customFormat="false" ht="15" hidden="false" customHeight="true" outlineLevel="0" collapsed="false"/>
    <row r="33983" customFormat="false" ht="15" hidden="false" customHeight="true" outlineLevel="0" collapsed="false"/>
    <row r="33984" customFormat="false" ht="15" hidden="false" customHeight="true" outlineLevel="0" collapsed="false"/>
    <row r="33985" customFormat="false" ht="15" hidden="false" customHeight="true" outlineLevel="0" collapsed="false"/>
    <row r="33986" customFormat="false" ht="15" hidden="false" customHeight="true" outlineLevel="0" collapsed="false"/>
    <row r="33987" customFormat="false" ht="15" hidden="false" customHeight="true" outlineLevel="0" collapsed="false"/>
    <row r="33988" customFormat="false" ht="15" hidden="false" customHeight="true" outlineLevel="0" collapsed="false"/>
    <row r="33989" customFormat="false" ht="15" hidden="false" customHeight="true" outlineLevel="0" collapsed="false"/>
    <row r="33990" customFormat="false" ht="15" hidden="false" customHeight="true" outlineLevel="0" collapsed="false"/>
    <row r="33991" customFormat="false" ht="15" hidden="false" customHeight="true" outlineLevel="0" collapsed="false"/>
    <row r="33992" customFormat="false" ht="15" hidden="false" customHeight="true" outlineLevel="0" collapsed="false"/>
    <row r="33993" customFormat="false" ht="15" hidden="false" customHeight="true" outlineLevel="0" collapsed="false"/>
    <row r="33994" customFormat="false" ht="15" hidden="false" customHeight="true" outlineLevel="0" collapsed="false"/>
    <row r="33995" customFormat="false" ht="15" hidden="false" customHeight="true" outlineLevel="0" collapsed="false"/>
    <row r="33996" customFormat="false" ht="15" hidden="false" customHeight="true" outlineLevel="0" collapsed="false"/>
    <row r="33997" customFormat="false" ht="15" hidden="false" customHeight="true" outlineLevel="0" collapsed="false"/>
    <row r="33998" customFormat="false" ht="15" hidden="false" customHeight="true" outlineLevel="0" collapsed="false"/>
    <row r="33999" customFormat="false" ht="15" hidden="false" customHeight="true" outlineLevel="0" collapsed="false"/>
    <row r="34000" customFormat="false" ht="15" hidden="false" customHeight="true" outlineLevel="0" collapsed="false"/>
    <row r="34001" customFormat="false" ht="15" hidden="false" customHeight="true" outlineLevel="0" collapsed="false"/>
    <row r="34002" customFormat="false" ht="15" hidden="false" customHeight="true" outlineLevel="0" collapsed="false"/>
    <row r="34003" customFormat="false" ht="15" hidden="false" customHeight="true" outlineLevel="0" collapsed="false"/>
    <row r="34004" customFormat="false" ht="15" hidden="false" customHeight="true" outlineLevel="0" collapsed="false"/>
    <row r="34005" customFormat="false" ht="15" hidden="false" customHeight="true" outlineLevel="0" collapsed="false"/>
    <row r="34006" customFormat="false" ht="15" hidden="false" customHeight="true" outlineLevel="0" collapsed="false"/>
    <row r="34007" customFormat="false" ht="15" hidden="false" customHeight="true" outlineLevel="0" collapsed="false"/>
    <row r="34008" customFormat="false" ht="15" hidden="false" customHeight="true" outlineLevel="0" collapsed="false"/>
    <row r="34009" customFormat="false" ht="15" hidden="false" customHeight="true" outlineLevel="0" collapsed="false"/>
    <row r="34010" customFormat="false" ht="15" hidden="false" customHeight="true" outlineLevel="0" collapsed="false"/>
    <row r="34011" customFormat="false" ht="15" hidden="false" customHeight="true" outlineLevel="0" collapsed="false"/>
    <row r="34012" customFormat="false" ht="15" hidden="false" customHeight="true" outlineLevel="0" collapsed="false"/>
    <row r="34013" customFormat="false" ht="15" hidden="false" customHeight="true" outlineLevel="0" collapsed="false"/>
    <row r="34014" customFormat="false" ht="15" hidden="false" customHeight="true" outlineLevel="0" collapsed="false"/>
    <row r="34015" customFormat="false" ht="15" hidden="false" customHeight="true" outlineLevel="0" collapsed="false"/>
    <row r="34016" customFormat="false" ht="15" hidden="false" customHeight="true" outlineLevel="0" collapsed="false"/>
    <row r="34017" customFormat="false" ht="15" hidden="false" customHeight="true" outlineLevel="0" collapsed="false"/>
    <row r="34018" customFormat="false" ht="15" hidden="false" customHeight="true" outlineLevel="0" collapsed="false"/>
    <row r="34019" customFormat="false" ht="15" hidden="false" customHeight="true" outlineLevel="0" collapsed="false"/>
    <row r="34020" customFormat="false" ht="15" hidden="false" customHeight="true" outlineLevel="0" collapsed="false"/>
    <row r="34021" customFormat="false" ht="15" hidden="false" customHeight="true" outlineLevel="0" collapsed="false"/>
    <row r="34022" customFormat="false" ht="15" hidden="false" customHeight="true" outlineLevel="0" collapsed="false"/>
    <row r="34023" customFormat="false" ht="15" hidden="false" customHeight="true" outlineLevel="0" collapsed="false"/>
    <row r="34024" customFormat="false" ht="15" hidden="false" customHeight="true" outlineLevel="0" collapsed="false"/>
    <row r="34025" customFormat="false" ht="15" hidden="false" customHeight="true" outlineLevel="0" collapsed="false"/>
    <row r="34026" customFormat="false" ht="15" hidden="false" customHeight="true" outlineLevel="0" collapsed="false"/>
    <row r="34027" customFormat="false" ht="15" hidden="false" customHeight="true" outlineLevel="0" collapsed="false"/>
    <row r="34028" customFormat="false" ht="15" hidden="false" customHeight="true" outlineLevel="0" collapsed="false"/>
    <row r="34029" customFormat="false" ht="15" hidden="false" customHeight="true" outlineLevel="0" collapsed="false"/>
    <row r="34030" customFormat="false" ht="15" hidden="false" customHeight="true" outlineLevel="0" collapsed="false"/>
    <row r="34031" customFormat="false" ht="15" hidden="false" customHeight="true" outlineLevel="0" collapsed="false"/>
    <row r="34032" customFormat="false" ht="15" hidden="false" customHeight="true" outlineLevel="0" collapsed="false"/>
    <row r="34033" customFormat="false" ht="15" hidden="false" customHeight="true" outlineLevel="0" collapsed="false"/>
    <row r="34034" customFormat="false" ht="15" hidden="false" customHeight="true" outlineLevel="0" collapsed="false"/>
    <row r="34035" customFormat="false" ht="15" hidden="false" customHeight="true" outlineLevel="0" collapsed="false"/>
    <row r="34036" customFormat="false" ht="15" hidden="false" customHeight="true" outlineLevel="0" collapsed="false"/>
    <row r="34037" customFormat="false" ht="15" hidden="false" customHeight="true" outlineLevel="0" collapsed="false"/>
    <row r="34038" customFormat="false" ht="15" hidden="false" customHeight="true" outlineLevel="0" collapsed="false"/>
    <row r="34039" customFormat="false" ht="15" hidden="false" customHeight="true" outlineLevel="0" collapsed="false"/>
    <row r="34040" customFormat="false" ht="15" hidden="false" customHeight="true" outlineLevel="0" collapsed="false"/>
    <row r="34041" customFormat="false" ht="15" hidden="false" customHeight="true" outlineLevel="0" collapsed="false"/>
    <row r="34042" customFormat="false" ht="15" hidden="false" customHeight="true" outlineLevel="0" collapsed="false"/>
    <row r="34043" customFormat="false" ht="15" hidden="false" customHeight="true" outlineLevel="0" collapsed="false"/>
    <row r="34044" customFormat="false" ht="15" hidden="false" customHeight="true" outlineLevel="0" collapsed="false"/>
    <row r="34045" customFormat="false" ht="15" hidden="false" customHeight="true" outlineLevel="0" collapsed="false"/>
    <row r="34046" customFormat="false" ht="15" hidden="false" customHeight="true" outlineLevel="0" collapsed="false"/>
    <row r="34047" customFormat="false" ht="15" hidden="false" customHeight="true" outlineLevel="0" collapsed="false"/>
    <row r="34048" customFormat="false" ht="15" hidden="false" customHeight="true" outlineLevel="0" collapsed="false"/>
    <row r="34049" customFormat="false" ht="15" hidden="false" customHeight="true" outlineLevel="0" collapsed="false"/>
    <row r="34050" customFormat="false" ht="15" hidden="false" customHeight="true" outlineLevel="0" collapsed="false"/>
    <row r="34051" customFormat="false" ht="15" hidden="false" customHeight="true" outlineLevel="0" collapsed="false"/>
    <row r="34052" customFormat="false" ht="15" hidden="false" customHeight="true" outlineLevel="0" collapsed="false"/>
    <row r="34053" customFormat="false" ht="15" hidden="false" customHeight="true" outlineLevel="0" collapsed="false"/>
    <row r="34054" customFormat="false" ht="15" hidden="false" customHeight="true" outlineLevel="0" collapsed="false"/>
    <row r="34055" customFormat="false" ht="15" hidden="false" customHeight="true" outlineLevel="0" collapsed="false"/>
    <row r="34056" customFormat="false" ht="15" hidden="false" customHeight="true" outlineLevel="0" collapsed="false"/>
    <row r="34057" customFormat="false" ht="15" hidden="false" customHeight="true" outlineLevel="0" collapsed="false"/>
    <row r="34058" customFormat="false" ht="15" hidden="false" customHeight="true" outlineLevel="0" collapsed="false"/>
    <row r="34059" customFormat="false" ht="15" hidden="false" customHeight="true" outlineLevel="0" collapsed="false"/>
    <row r="34060" customFormat="false" ht="15" hidden="false" customHeight="true" outlineLevel="0" collapsed="false"/>
    <row r="34061" customFormat="false" ht="15" hidden="false" customHeight="true" outlineLevel="0" collapsed="false"/>
    <row r="34062" customFormat="false" ht="15" hidden="false" customHeight="true" outlineLevel="0" collapsed="false"/>
    <row r="34063" customFormat="false" ht="15" hidden="false" customHeight="true" outlineLevel="0" collapsed="false"/>
    <row r="34064" customFormat="false" ht="15" hidden="false" customHeight="true" outlineLevel="0" collapsed="false"/>
    <row r="34065" customFormat="false" ht="15" hidden="false" customHeight="true" outlineLevel="0" collapsed="false"/>
    <row r="34066" customFormat="false" ht="15" hidden="false" customHeight="true" outlineLevel="0" collapsed="false"/>
    <row r="34067" customFormat="false" ht="15" hidden="false" customHeight="true" outlineLevel="0" collapsed="false"/>
    <row r="34068" customFormat="false" ht="15" hidden="false" customHeight="true" outlineLevel="0" collapsed="false"/>
    <row r="34069" customFormat="false" ht="15" hidden="false" customHeight="true" outlineLevel="0" collapsed="false"/>
    <row r="34070" customFormat="false" ht="15" hidden="false" customHeight="true" outlineLevel="0" collapsed="false"/>
    <row r="34071" customFormat="false" ht="15" hidden="false" customHeight="true" outlineLevel="0" collapsed="false"/>
    <row r="34072" customFormat="false" ht="15" hidden="false" customHeight="true" outlineLevel="0" collapsed="false"/>
    <row r="34073" customFormat="false" ht="15" hidden="false" customHeight="true" outlineLevel="0" collapsed="false"/>
    <row r="34074" customFormat="false" ht="15" hidden="false" customHeight="true" outlineLevel="0" collapsed="false"/>
    <row r="34075" customFormat="false" ht="15" hidden="false" customHeight="true" outlineLevel="0" collapsed="false"/>
    <row r="34076" customFormat="false" ht="15" hidden="false" customHeight="true" outlineLevel="0" collapsed="false"/>
    <row r="34077" customFormat="false" ht="15" hidden="false" customHeight="true" outlineLevel="0" collapsed="false"/>
    <row r="34078" customFormat="false" ht="15" hidden="false" customHeight="true" outlineLevel="0" collapsed="false"/>
    <row r="34079" customFormat="false" ht="15" hidden="false" customHeight="true" outlineLevel="0" collapsed="false"/>
    <row r="34080" customFormat="false" ht="15" hidden="false" customHeight="true" outlineLevel="0" collapsed="false"/>
    <row r="34081" customFormat="false" ht="15" hidden="false" customHeight="true" outlineLevel="0" collapsed="false"/>
    <row r="34082" customFormat="false" ht="15" hidden="false" customHeight="true" outlineLevel="0" collapsed="false"/>
    <row r="34083" customFormat="false" ht="15" hidden="false" customHeight="true" outlineLevel="0" collapsed="false"/>
    <row r="34084" customFormat="false" ht="15" hidden="false" customHeight="true" outlineLevel="0" collapsed="false"/>
    <row r="34085" customFormat="false" ht="15" hidden="false" customHeight="true" outlineLevel="0" collapsed="false"/>
    <row r="34086" customFormat="false" ht="15" hidden="false" customHeight="true" outlineLevel="0" collapsed="false"/>
    <row r="34087" customFormat="false" ht="15" hidden="false" customHeight="true" outlineLevel="0" collapsed="false"/>
    <row r="34088" customFormat="false" ht="15" hidden="false" customHeight="true" outlineLevel="0" collapsed="false"/>
    <row r="34089" customFormat="false" ht="15" hidden="false" customHeight="true" outlineLevel="0" collapsed="false"/>
    <row r="34090" customFormat="false" ht="15" hidden="false" customHeight="true" outlineLevel="0" collapsed="false"/>
    <row r="34091" customFormat="false" ht="15" hidden="false" customHeight="true" outlineLevel="0" collapsed="false"/>
    <row r="34092" customFormat="false" ht="15" hidden="false" customHeight="true" outlineLevel="0" collapsed="false"/>
    <row r="34093" customFormat="false" ht="15" hidden="false" customHeight="true" outlineLevel="0" collapsed="false"/>
    <row r="34094" customFormat="false" ht="15" hidden="false" customHeight="true" outlineLevel="0" collapsed="false"/>
    <row r="34095" customFormat="false" ht="15" hidden="false" customHeight="true" outlineLevel="0" collapsed="false"/>
    <row r="34096" customFormat="false" ht="15" hidden="false" customHeight="true" outlineLevel="0" collapsed="false"/>
    <row r="34097" customFormat="false" ht="15" hidden="false" customHeight="true" outlineLevel="0" collapsed="false"/>
    <row r="34098" customFormat="false" ht="15" hidden="false" customHeight="true" outlineLevel="0" collapsed="false"/>
    <row r="34099" customFormat="false" ht="15" hidden="false" customHeight="true" outlineLevel="0" collapsed="false"/>
    <row r="34100" customFormat="false" ht="15" hidden="false" customHeight="true" outlineLevel="0" collapsed="false"/>
    <row r="34101" customFormat="false" ht="15" hidden="false" customHeight="true" outlineLevel="0" collapsed="false"/>
    <row r="34102" customFormat="false" ht="15" hidden="false" customHeight="true" outlineLevel="0" collapsed="false"/>
    <row r="34103" customFormat="false" ht="15" hidden="false" customHeight="true" outlineLevel="0" collapsed="false"/>
    <row r="34104" customFormat="false" ht="15" hidden="false" customHeight="true" outlineLevel="0" collapsed="false"/>
    <row r="34105" customFormat="false" ht="15" hidden="false" customHeight="true" outlineLevel="0" collapsed="false"/>
    <row r="34106" customFormat="false" ht="15" hidden="false" customHeight="true" outlineLevel="0" collapsed="false"/>
    <row r="34107" customFormat="false" ht="15" hidden="false" customHeight="true" outlineLevel="0" collapsed="false"/>
    <row r="34108" customFormat="false" ht="15" hidden="false" customHeight="true" outlineLevel="0" collapsed="false"/>
    <row r="34109" customFormat="false" ht="15" hidden="false" customHeight="true" outlineLevel="0" collapsed="false"/>
    <row r="34110" customFormat="false" ht="15" hidden="false" customHeight="true" outlineLevel="0" collapsed="false"/>
    <row r="34111" customFormat="false" ht="15" hidden="false" customHeight="true" outlineLevel="0" collapsed="false"/>
    <row r="34112" customFormat="false" ht="15" hidden="false" customHeight="true" outlineLevel="0" collapsed="false"/>
    <row r="34113" customFormat="false" ht="15" hidden="false" customHeight="true" outlineLevel="0" collapsed="false"/>
    <row r="34114" customFormat="false" ht="15" hidden="false" customHeight="true" outlineLevel="0" collapsed="false"/>
    <row r="34115" customFormat="false" ht="15" hidden="false" customHeight="true" outlineLevel="0" collapsed="false"/>
    <row r="34116" customFormat="false" ht="15" hidden="false" customHeight="true" outlineLevel="0" collapsed="false"/>
    <row r="34117" customFormat="false" ht="15" hidden="false" customHeight="true" outlineLevel="0" collapsed="false"/>
    <row r="34118" customFormat="false" ht="15" hidden="false" customHeight="true" outlineLevel="0" collapsed="false"/>
    <row r="34119" customFormat="false" ht="15" hidden="false" customHeight="true" outlineLevel="0" collapsed="false"/>
    <row r="34120" customFormat="false" ht="15" hidden="false" customHeight="true" outlineLevel="0" collapsed="false"/>
    <row r="34121" customFormat="false" ht="15" hidden="false" customHeight="true" outlineLevel="0" collapsed="false"/>
    <row r="34122" customFormat="false" ht="15" hidden="false" customHeight="true" outlineLevel="0" collapsed="false"/>
    <row r="34123" customFormat="false" ht="15" hidden="false" customHeight="true" outlineLevel="0" collapsed="false"/>
    <row r="34124" customFormat="false" ht="15" hidden="false" customHeight="true" outlineLevel="0" collapsed="false"/>
    <row r="34125" customFormat="false" ht="15" hidden="false" customHeight="true" outlineLevel="0" collapsed="false"/>
    <row r="34126" customFormat="false" ht="15" hidden="false" customHeight="true" outlineLevel="0" collapsed="false"/>
    <row r="34127" customFormat="false" ht="15" hidden="false" customHeight="true" outlineLevel="0" collapsed="false"/>
    <row r="34128" customFormat="false" ht="15" hidden="false" customHeight="true" outlineLevel="0" collapsed="false"/>
    <row r="34129" customFormat="false" ht="15" hidden="false" customHeight="true" outlineLevel="0" collapsed="false"/>
    <row r="34130" customFormat="false" ht="15" hidden="false" customHeight="true" outlineLevel="0" collapsed="false"/>
    <row r="34131" customFormat="false" ht="15" hidden="false" customHeight="true" outlineLevel="0" collapsed="false"/>
    <row r="34132" customFormat="false" ht="15" hidden="false" customHeight="true" outlineLevel="0" collapsed="false"/>
    <row r="34133" customFormat="false" ht="15" hidden="false" customHeight="true" outlineLevel="0" collapsed="false"/>
    <row r="34134" customFormat="false" ht="15" hidden="false" customHeight="true" outlineLevel="0" collapsed="false"/>
    <row r="34135" customFormat="false" ht="15" hidden="false" customHeight="true" outlineLevel="0" collapsed="false"/>
    <row r="34136" customFormat="false" ht="15" hidden="false" customHeight="true" outlineLevel="0" collapsed="false"/>
    <row r="34137" customFormat="false" ht="15" hidden="false" customHeight="true" outlineLevel="0" collapsed="false"/>
    <row r="34138" customFormat="false" ht="15" hidden="false" customHeight="true" outlineLevel="0" collapsed="false"/>
    <row r="34139" customFormat="false" ht="15" hidden="false" customHeight="true" outlineLevel="0" collapsed="false"/>
    <row r="34140" customFormat="false" ht="15" hidden="false" customHeight="true" outlineLevel="0" collapsed="false"/>
    <row r="34141" customFormat="false" ht="15" hidden="false" customHeight="true" outlineLevel="0" collapsed="false"/>
    <row r="34142" customFormat="false" ht="15" hidden="false" customHeight="true" outlineLevel="0" collapsed="false"/>
    <row r="34143" customFormat="false" ht="15" hidden="false" customHeight="true" outlineLevel="0" collapsed="false"/>
    <row r="34144" customFormat="false" ht="15" hidden="false" customHeight="true" outlineLevel="0" collapsed="false"/>
    <row r="34145" customFormat="false" ht="15" hidden="false" customHeight="true" outlineLevel="0" collapsed="false"/>
    <row r="34146" customFormat="false" ht="15" hidden="false" customHeight="true" outlineLevel="0" collapsed="false"/>
    <row r="34147" customFormat="false" ht="15" hidden="false" customHeight="true" outlineLevel="0" collapsed="false"/>
    <row r="34148" customFormat="false" ht="15" hidden="false" customHeight="true" outlineLevel="0" collapsed="false"/>
    <row r="34149" customFormat="false" ht="15" hidden="false" customHeight="true" outlineLevel="0" collapsed="false"/>
    <row r="34150" customFormat="false" ht="15" hidden="false" customHeight="true" outlineLevel="0" collapsed="false"/>
    <row r="34151" customFormat="false" ht="15" hidden="false" customHeight="true" outlineLevel="0" collapsed="false"/>
    <row r="34152" customFormat="false" ht="15" hidden="false" customHeight="true" outlineLevel="0" collapsed="false"/>
    <row r="34153" customFormat="false" ht="15" hidden="false" customHeight="true" outlineLevel="0" collapsed="false"/>
    <row r="34154" customFormat="false" ht="15" hidden="false" customHeight="true" outlineLevel="0" collapsed="false"/>
    <row r="34155" customFormat="false" ht="15" hidden="false" customHeight="true" outlineLevel="0" collapsed="false"/>
    <row r="34156" customFormat="false" ht="15" hidden="false" customHeight="true" outlineLevel="0" collapsed="false"/>
    <row r="34157" customFormat="false" ht="15" hidden="false" customHeight="true" outlineLevel="0" collapsed="false"/>
    <row r="34158" customFormat="false" ht="15" hidden="false" customHeight="true" outlineLevel="0" collapsed="false"/>
    <row r="34159" customFormat="false" ht="15" hidden="false" customHeight="true" outlineLevel="0" collapsed="false"/>
    <row r="34160" customFormat="false" ht="15" hidden="false" customHeight="true" outlineLevel="0" collapsed="false"/>
    <row r="34161" customFormat="false" ht="15" hidden="false" customHeight="true" outlineLevel="0" collapsed="false"/>
    <row r="34162" customFormat="false" ht="15" hidden="false" customHeight="true" outlineLevel="0" collapsed="false"/>
    <row r="34163" customFormat="false" ht="15" hidden="false" customHeight="true" outlineLevel="0" collapsed="false"/>
    <row r="34164" customFormat="false" ht="15" hidden="false" customHeight="true" outlineLevel="0" collapsed="false"/>
    <row r="34165" customFormat="false" ht="15" hidden="false" customHeight="true" outlineLevel="0" collapsed="false"/>
    <row r="34166" customFormat="false" ht="15" hidden="false" customHeight="true" outlineLevel="0" collapsed="false"/>
    <row r="34167" customFormat="false" ht="15" hidden="false" customHeight="true" outlineLevel="0" collapsed="false"/>
    <row r="34168" customFormat="false" ht="15" hidden="false" customHeight="true" outlineLevel="0" collapsed="false"/>
    <row r="34169" customFormat="false" ht="15" hidden="false" customHeight="true" outlineLevel="0" collapsed="false"/>
    <row r="34170" customFormat="false" ht="15" hidden="false" customHeight="true" outlineLevel="0" collapsed="false"/>
    <row r="34171" customFormat="false" ht="15" hidden="false" customHeight="true" outlineLevel="0" collapsed="false"/>
    <row r="34172" customFormat="false" ht="15" hidden="false" customHeight="true" outlineLevel="0" collapsed="false"/>
    <row r="34173" customFormat="false" ht="15" hidden="false" customHeight="true" outlineLevel="0" collapsed="false"/>
    <row r="34174" customFormat="false" ht="15" hidden="false" customHeight="true" outlineLevel="0" collapsed="false"/>
    <row r="34175" customFormat="false" ht="15" hidden="false" customHeight="true" outlineLevel="0" collapsed="false"/>
    <row r="34176" customFormat="false" ht="15" hidden="false" customHeight="true" outlineLevel="0" collapsed="false"/>
    <row r="34177" customFormat="false" ht="15" hidden="false" customHeight="true" outlineLevel="0" collapsed="false"/>
    <row r="34178" customFormat="false" ht="15" hidden="false" customHeight="true" outlineLevel="0" collapsed="false"/>
    <row r="34179" customFormat="false" ht="15" hidden="false" customHeight="true" outlineLevel="0" collapsed="false"/>
    <row r="34180" customFormat="false" ht="15" hidden="false" customHeight="true" outlineLevel="0" collapsed="false"/>
    <row r="34181" customFormat="false" ht="15" hidden="false" customHeight="true" outlineLevel="0" collapsed="false"/>
    <row r="34182" customFormat="false" ht="15" hidden="false" customHeight="true" outlineLevel="0" collapsed="false"/>
    <row r="34183" customFormat="false" ht="15" hidden="false" customHeight="true" outlineLevel="0" collapsed="false"/>
    <row r="34184" customFormat="false" ht="15" hidden="false" customHeight="true" outlineLevel="0" collapsed="false"/>
    <row r="34185" customFormat="false" ht="15" hidden="false" customHeight="true" outlineLevel="0" collapsed="false"/>
    <row r="34186" customFormat="false" ht="15" hidden="false" customHeight="true" outlineLevel="0" collapsed="false"/>
    <row r="34187" customFormat="false" ht="15" hidden="false" customHeight="true" outlineLevel="0" collapsed="false"/>
    <row r="34188" customFormat="false" ht="15" hidden="false" customHeight="true" outlineLevel="0" collapsed="false"/>
    <row r="34189" customFormat="false" ht="15" hidden="false" customHeight="true" outlineLevel="0" collapsed="false"/>
    <row r="34190" customFormat="false" ht="15" hidden="false" customHeight="true" outlineLevel="0" collapsed="false"/>
    <row r="34191" customFormat="false" ht="15" hidden="false" customHeight="true" outlineLevel="0" collapsed="false"/>
    <row r="34192" customFormat="false" ht="15" hidden="false" customHeight="true" outlineLevel="0" collapsed="false"/>
    <row r="34193" customFormat="false" ht="15" hidden="false" customHeight="true" outlineLevel="0" collapsed="false"/>
    <row r="34194" customFormat="false" ht="15" hidden="false" customHeight="true" outlineLevel="0" collapsed="false"/>
    <row r="34195" customFormat="false" ht="15" hidden="false" customHeight="true" outlineLevel="0" collapsed="false"/>
    <row r="34196" customFormat="false" ht="15" hidden="false" customHeight="true" outlineLevel="0" collapsed="false"/>
    <row r="34197" customFormat="false" ht="15" hidden="false" customHeight="true" outlineLevel="0" collapsed="false"/>
    <row r="34198" customFormat="false" ht="15" hidden="false" customHeight="true" outlineLevel="0" collapsed="false"/>
    <row r="34199" customFormat="false" ht="15" hidden="false" customHeight="true" outlineLevel="0" collapsed="false"/>
    <row r="34200" customFormat="false" ht="15" hidden="false" customHeight="true" outlineLevel="0" collapsed="false"/>
    <row r="34201" customFormat="false" ht="15" hidden="false" customHeight="true" outlineLevel="0" collapsed="false"/>
    <row r="34202" customFormat="false" ht="15" hidden="false" customHeight="true" outlineLevel="0" collapsed="false"/>
    <row r="34203" customFormat="false" ht="15" hidden="false" customHeight="true" outlineLevel="0" collapsed="false"/>
    <row r="34204" customFormat="false" ht="15" hidden="false" customHeight="true" outlineLevel="0" collapsed="false"/>
    <row r="34205" customFormat="false" ht="15" hidden="false" customHeight="true" outlineLevel="0" collapsed="false"/>
    <row r="34206" customFormat="false" ht="15" hidden="false" customHeight="true" outlineLevel="0" collapsed="false"/>
    <row r="34207" customFormat="false" ht="15" hidden="false" customHeight="true" outlineLevel="0" collapsed="false"/>
    <row r="34208" customFormat="false" ht="15" hidden="false" customHeight="true" outlineLevel="0" collapsed="false"/>
    <row r="34209" customFormat="false" ht="15" hidden="false" customHeight="true" outlineLevel="0" collapsed="false"/>
    <row r="34210" customFormat="false" ht="15" hidden="false" customHeight="true" outlineLevel="0" collapsed="false"/>
    <row r="34211" customFormat="false" ht="15" hidden="false" customHeight="true" outlineLevel="0" collapsed="false"/>
    <row r="34212" customFormat="false" ht="15" hidden="false" customHeight="true" outlineLevel="0" collapsed="false"/>
    <row r="34213" customFormat="false" ht="15" hidden="false" customHeight="true" outlineLevel="0" collapsed="false"/>
    <row r="34214" customFormat="false" ht="15" hidden="false" customHeight="true" outlineLevel="0" collapsed="false"/>
    <row r="34215" customFormat="false" ht="15" hidden="false" customHeight="true" outlineLevel="0" collapsed="false"/>
    <row r="34216" customFormat="false" ht="15" hidden="false" customHeight="true" outlineLevel="0" collapsed="false"/>
    <row r="34217" customFormat="false" ht="15" hidden="false" customHeight="true" outlineLevel="0" collapsed="false"/>
    <row r="34218" customFormat="false" ht="15" hidden="false" customHeight="true" outlineLevel="0" collapsed="false"/>
    <row r="34219" customFormat="false" ht="15" hidden="false" customHeight="true" outlineLevel="0" collapsed="false"/>
    <row r="34220" customFormat="false" ht="15" hidden="false" customHeight="true" outlineLevel="0" collapsed="false"/>
    <row r="34221" customFormat="false" ht="15" hidden="false" customHeight="true" outlineLevel="0" collapsed="false"/>
    <row r="34222" customFormat="false" ht="15" hidden="false" customHeight="true" outlineLevel="0" collapsed="false"/>
    <row r="34223" customFormat="false" ht="15" hidden="false" customHeight="true" outlineLevel="0" collapsed="false"/>
    <row r="34224" customFormat="false" ht="15" hidden="false" customHeight="true" outlineLevel="0" collapsed="false"/>
    <row r="34225" customFormat="false" ht="15" hidden="false" customHeight="true" outlineLevel="0" collapsed="false"/>
    <row r="34226" customFormat="false" ht="15" hidden="false" customHeight="true" outlineLevel="0" collapsed="false"/>
    <row r="34227" customFormat="false" ht="15" hidden="false" customHeight="true" outlineLevel="0" collapsed="false"/>
    <row r="34228" customFormat="false" ht="15" hidden="false" customHeight="true" outlineLevel="0" collapsed="false"/>
    <row r="34229" customFormat="false" ht="15" hidden="false" customHeight="true" outlineLevel="0" collapsed="false"/>
    <row r="34230" customFormat="false" ht="15" hidden="false" customHeight="true" outlineLevel="0" collapsed="false"/>
    <row r="34231" customFormat="false" ht="15" hidden="false" customHeight="true" outlineLevel="0" collapsed="false"/>
    <row r="34232" customFormat="false" ht="15" hidden="false" customHeight="true" outlineLevel="0" collapsed="false"/>
    <row r="34233" customFormat="false" ht="15" hidden="false" customHeight="true" outlineLevel="0" collapsed="false"/>
    <row r="34234" customFormat="false" ht="15" hidden="false" customHeight="true" outlineLevel="0" collapsed="false"/>
    <row r="34235" customFormat="false" ht="15" hidden="false" customHeight="true" outlineLevel="0" collapsed="false"/>
    <row r="34236" customFormat="false" ht="15" hidden="false" customHeight="true" outlineLevel="0" collapsed="false"/>
    <row r="34237" customFormat="false" ht="15" hidden="false" customHeight="true" outlineLevel="0" collapsed="false"/>
    <row r="34238" customFormat="false" ht="15" hidden="false" customHeight="true" outlineLevel="0" collapsed="false"/>
    <row r="34239" customFormat="false" ht="15" hidden="false" customHeight="true" outlineLevel="0" collapsed="false"/>
    <row r="34240" customFormat="false" ht="15" hidden="false" customHeight="true" outlineLevel="0" collapsed="false"/>
    <row r="34241" customFormat="false" ht="15" hidden="false" customHeight="true" outlineLevel="0" collapsed="false"/>
    <row r="34242" customFormat="false" ht="15" hidden="false" customHeight="true" outlineLevel="0" collapsed="false"/>
    <row r="34243" customFormat="false" ht="15" hidden="false" customHeight="true" outlineLevel="0" collapsed="false"/>
    <row r="34244" customFormat="false" ht="15" hidden="false" customHeight="true" outlineLevel="0" collapsed="false"/>
    <row r="34245" customFormat="false" ht="15" hidden="false" customHeight="true" outlineLevel="0" collapsed="false"/>
    <row r="34246" customFormat="false" ht="15" hidden="false" customHeight="true" outlineLevel="0" collapsed="false"/>
    <row r="34247" customFormat="false" ht="15" hidden="false" customHeight="true" outlineLevel="0" collapsed="false"/>
    <row r="34248" customFormat="false" ht="15" hidden="false" customHeight="true" outlineLevel="0" collapsed="false"/>
    <row r="34249" customFormat="false" ht="15" hidden="false" customHeight="true" outlineLevel="0" collapsed="false"/>
    <row r="34250" customFormat="false" ht="15" hidden="false" customHeight="true" outlineLevel="0" collapsed="false"/>
    <row r="34251" customFormat="false" ht="15" hidden="false" customHeight="true" outlineLevel="0" collapsed="false"/>
    <row r="34252" customFormat="false" ht="15" hidden="false" customHeight="true" outlineLevel="0" collapsed="false"/>
    <row r="34253" customFormat="false" ht="15" hidden="false" customHeight="true" outlineLevel="0" collapsed="false"/>
    <row r="34254" customFormat="false" ht="15" hidden="false" customHeight="true" outlineLevel="0" collapsed="false"/>
    <row r="34255" customFormat="false" ht="15" hidden="false" customHeight="true" outlineLevel="0" collapsed="false"/>
    <row r="34256" customFormat="false" ht="15" hidden="false" customHeight="true" outlineLevel="0" collapsed="false"/>
    <row r="34257" customFormat="false" ht="15" hidden="false" customHeight="true" outlineLevel="0" collapsed="false"/>
    <row r="34258" customFormat="false" ht="15" hidden="false" customHeight="true" outlineLevel="0" collapsed="false"/>
    <row r="34259" customFormat="false" ht="15" hidden="false" customHeight="true" outlineLevel="0" collapsed="false"/>
    <row r="34260" customFormat="false" ht="15" hidden="false" customHeight="true" outlineLevel="0" collapsed="false"/>
    <row r="34261" customFormat="false" ht="15" hidden="false" customHeight="true" outlineLevel="0" collapsed="false"/>
    <row r="34262" customFormat="false" ht="15" hidden="false" customHeight="true" outlineLevel="0" collapsed="false"/>
    <row r="34263" customFormat="false" ht="15" hidden="false" customHeight="true" outlineLevel="0" collapsed="false"/>
    <row r="34264" customFormat="false" ht="15" hidden="false" customHeight="true" outlineLevel="0" collapsed="false"/>
    <row r="34265" customFormat="false" ht="15" hidden="false" customHeight="true" outlineLevel="0" collapsed="false"/>
    <row r="34266" customFormat="false" ht="15" hidden="false" customHeight="true" outlineLevel="0" collapsed="false"/>
    <row r="34267" customFormat="false" ht="15" hidden="false" customHeight="true" outlineLevel="0" collapsed="false"/>
    <row r="34268" customFormat="false" ht="15" hidden="false" customHeight="true" outlineLevel="0" collapsed="false"/>
    <row r="34269" customFormat="false" ht="15" hidden="false" customHeight="true" outlineLevel="0" collapsed="false"/>
    <row r="34270" customFormat="false" ht="15" hidden="false" customHeight="true" outlineLevel="0" collapsed="false"/>
    <row r="34271" customFormat="false" ht="15" hidden="false" customHeight="true" outlineLevel="0" collapsed="false"/>
    <row r="34272" customFormat="false" ht="15" hidden="false" customHeight="true" outlineLevel="0" collapsed="false"/>
    <row r="34273" customFormat="false" ht="15" hidden="false" customHeight="true" outlineLevel="0" collapsed="false"/>
    <row r="34274" customFormat="false" ht="15" hidden="false" customHeight="true" outlineLevel="0" collapsed="false"/>
    <row r="34275" customFormat="false" ht="15" hidden="false" customHeight="true" outlineLevel="0" collapsed="false"/>
    <row r="34276" customFormat="false" ht="15" hidden="false" customHeight="true" outlineLevel="0" collapsed="false"/>
    <row r="34277" customFormat="false" ht="15" hidden="false" customHeight="true" outlineLevel="0" collapsed="false"/>
    <row r="34278" customFormat="false" ht="15" hidden="false" customHeight="true" outlineLevel="0" collapsed="false"/>
    <row r="34279" customFormat="false" ht="15" hidden="false" customHeight="true" outlineLevel="0" collapsed="false"/>
    <row r="34280" customFormat="false" ht="15" hidden="false" customHeight="true" outlineLevel="0" collapsed="false"/>
    <row r="34281" customFormat="false" ht="15" hidden="false" customHeight="true" outlineLevel="0" collapsed="false"/>
    <row r="34282" customFormat="false" ht="15" hidden="false" customHeight="true" outlineLevel="0" collapsed="false"/>
    <row r="34283" customFormat="false" ht="15" hidden="false" customHeight="true" outlineLevel="0" collapsed="false"/>
    <row r="34284" customFormat="false" ht="15" hidden="false" customHeight="true" outlineLevel="0" collapsed="false"/>
    <row r="34285" customFormat="false" ht="15" hidden="false" customHeight="true" outlineLevel="0" collapsed="false"/>
    <row r="34286" customFormat="false" ht="15" hidden="false" customHeight="true" outlineLevel="0" collapsed="false"/>
    <row r="34287" customFormat="false" ht="15" hidden="false" customHeight="true" outlineLevel="0" collapsed="false"/>
    <row r="34288" customFormat="false" ht="15" hidden="false" customHeight="true" outlineLevel="0" collapsed="false"/>
    <row r="34289" customFormat="false" ht="15" hidden="false" customHeight="true" outlineLevel="0" collapsed="false"/>
    <row r="34290" customFormat="false" ht="15" hidden="false" customHeight="true" outlineLevel="0" collapsed="false"/>
    <row r="34291" customFormat="false" ht="15" hidden="false" customHeight="true" outlineLevel="0" collapsed="false"/>
    <row r="34292" customFormat="false" ht="15" hidden="false" customHeight="true" outlineLevel="0" collapsed="false"/>
    <row r="34293" customFormat="false" ht="15" hidden="false" customHeight="true" outlineLevel="0" collapsed="false"/>
    <row r="34294" customFormat="false" ht="15" hidden="false" customHeight="true" outlineLevel="0" collapsed="false"/>
    <row r="34295" customFormat="false" ht="15" hidden="false" customHeight="true" outlineLevel="0" collapsed="false"/>
    <row r="34296" customFormat="false" ht="15" hidden="false" customHeight="true" outlineLevel="0" collapsed="false"/>
    <row r="34297" customFormat="false" ht="15" hidden="false" customHeight="true" outlineLevel="0" collapsed="false"/>
    <row r="34298" customFormat="false" ht="15" hidden="false" customHeight="true" outlineLevel="0" collapsed="false"/>
    <row r="34299" customFormat="false" ht="15" hidden="false" customHeight="true" outlineLevel="0" collapsed="false"/>
    <row r="34300" customFormat="false" ht="15" hidden="false" customHeight="true" outlineLevel="0" collapsed="false"/>
    <row r="34301" customFormat="false" ht="15" hidden="false" customHeight="true" outlineLevel="0" collapsed="false"/>
    <row r="34302" customFormat="false" ht="15" hidden="false" customHeight="true" outlineLevel="0" collapsed="false"/>
    <row r="34303" customFormat="false" ht="15" hidden="false" customHeight="true" outlineLevel="0" collapsed="false"/>
    <row r="34304" customFormat="false" ht="15" hidden="false" customHeight="true" outlineLevel="0" collapsed="false"/>
    <row r="34305" customFormat="false" ht="15" hidden="false" customHeight="true" outlineLevel="0" collapsed="false"/>
    <row r="34306" customFormat="false" ht="15" hidden="false" customHeight="true" outlineLevel="0" collapsed="false"/>
    <row r="34307" customFormat="false" ht="15" hidden="false" customHeight="true" outlineLevel="0" collapsed="false"/>
    <row r="34308" customFormat="false" ht="15" hidden="false" customHeight="true" outlineLevel="0" collapsed="false"/>
    <row r="34309" customFormat="false" ht="15" hidden="false" customHeight="true" outlineLevel="0" collapsed="false"/>
    <row r="34310" customFormat="false" ht="15" hidden="false" customHeight="true" outlineLevel="0" collapsed="false"/>
    <row r="34311" customFormat="false" ht="15" hidden="false" customHeight="true" outlineLevel="0" collapsed="false"/>
    <row r="34312" customFormat="false" ht="15" hidden="false" customHeight="true" outlineLevel="0" collapsed="false"/>
    <row r="34313" customFormat="false" ht="15" hidden="false" customHeight="true" outlineLevel="0" collapsed="false"/>
    <row r="34314" customFormat="false" ht="15" hidden="false" customHeight="true" outlineLevel="0" collapsed="false"/>
    <row r="34315" customFormat="false" ht="15" hidden="false" customHeight="true" outlineLevel="0" collapsed="false"/>
    <row r="34316" customFormat="false" ht="15" hidden="false" customHeight="true" outlineLevel="0" collapsed="false"/>
    <row r="34317" customFormat="false" ht="15" hidden="false" customHeight="true" outlineLevel="0" collapsed="false"/>
    <row r="34318" customFormat="false" ht="15" hidden="false" customHeight="true" outlineLevel="0" collapsed="false"/>
    <row r="34319" customFormat="false" ht="15" hidden="false" customHeight="true" outlineLevel="0" collapsed="false"/>
    <row r="34320" customFormat="false" ht="15" hidden="false" customHeight="true" outlineLevel="0" collapsed="false"/>
    <row r="34321" customFormat="false" ht="15" hidden="false" customHeight="true" outlineLevel="0" collapsed="false"/>
    <row r="34322" customFormat="false" ht="15" hidden="false" customHeight="true" outlineLevel="0" collapsed="false"/>
    <row r="34323" customFormat="false" ht="15" hidden="false" customHeight="true" outlineLevel="0" collapsed="false"/>
    <row r="34324" customFormat="false" ht="15" hidden="false" customHeight="true" outlineLevel="0" collapsed="false"/>
    <row r="34325" customFormat="false" ht="15" hidden="false" customHeight="true" outlineLevel="0" collapsed="false"/>
    <row r="34326" customFormat="false" ht="15" hidden="false" customHeight="true" outlineLevel="0" collapsed="false"/>
    <row r="34327" customFormat="false" ht="15" hidden="false" customHeight="true" outlineLevel="0" collapsed="false"/>
    <row r="34328" customFormat="false" ht="15" hidden="false" customHeight="true" outlineLevel="0" collapsed="false"/>
    <row r="34329" customFormat="false" ht="15" hidden="false" customHeight="true" outlineLevel="0" collapsed="false"/>
    <row r="34330" customFormat="false" ht="15" hidden="false" customHeight="true" outlineLevel="0" collapsed="false"/>
    <row r="34331" customFormat="false" ht="15" hidden="false" customHeight="true" outlineLevel="0" collapsed="false"/>
    <row r="34332" customFormat="false" ht="15" hidden="false" customHeight="true" outlineLevel="0" collapsed="false"/>
    <row r="34333" customFormat="false" ht="15" hidden="false" customHeight="true" outlineLevel="0" collapsed="false"/>
    <row r="34334" customFormat="false" ht="15" hidden="false" customHeight="true" outlineLevel="0" collapsed="false"/>
    <row r="34335" customFormat="false" ht="15" hidden="false" customHeight="true" outlineLevel="0" collapsed="false"/>
    <row r="34336" customFormat="false" ht="15" hidden="false" customHeight="true" outlineLevel="0" collapsed="false"/>
    <row r="34337" customFormat="false" ht="15" hidden="false" customHeight="true" outlineLevel="0" collapsed="false"/>
    <row r="34338" customFormat="false" ht="15" hidden="false" customHeight="true" outlineLevel="0" collapsed="false"/>
    <row r="34339" customFormat="false" ht="15" hidden="false" customHeight="true" outlineLevel="0" collapsed="false"/>
    <row r="34340" customFormat="false" ht="15" hidden="false" customHeight="true" outlineLevel="0" collapsed="false"/>
    <row r="34341" customFormat="false" ht="15" hidden="false" customHeight="true" outlineLevel="0" collapsed="false"/>
    <row r="34342" customFormat="false" ht="15" hidden="false" customHeight="true" outlineLevel="0" collapsed="false"/>
    <row r="34343" customFormat="false" ht="15" hidden="false" customHeight="true" outlineLevel="0" collapsed="false"/>
    <row r="34344" customFormat="false" ht="15" hidden="false" customHeight="true" outlineLevel="0" collapsed="false"/>
    <row r="34345" customFormat="false" ht="15" hidden="false" customHeight="true" outlineLevel="0" collapsed="false"/>
    <row r="34346" customFormat="false" ht="15" hidden="false" customHeight="true" outlineLevel="0" collapsed="false"/>
    <row r="34347" customFormat="false" ht="15" hidden="false" customHeight="true" outlineLevel="0" collapsed="false"/>
    <row r="34348" customFormat="false" ht="15" hidden="false" customHeight="true" outlineLevel="0" collapsed="false"/>
    <row r="34349" customFormat="false" ht="15" hidden="false" customHeight="true" outlineLevel="0" collapsed="false"/>
    <row r="34350" customFormat="false" ht="15" hidden="false" customHeight="true" outlineLevel="0" collapsed="false"/>
    <row r="34351" customFormat="false" ht="15" hidden="false" customHeight="true" outlineLevel="0" collapsed="false"/>
    <row r="34352" customFormat="false" ht="15" hidden="false" customHeight="true" outlineLevel="0" collapsed="false"/>
    <row r="34353" customFormat="false" ht="15" hidden="false" customHeight="true" outlineLevel="0" collapsed="false"/>
    <row r="34354" customFormat="false" ht="15" hidden="false" customHeight="true" outlineLevel="0" collapsed="false"/>
    <row r="34355" customFormat="false" ht="15" hidden="false" customHeight="true" outlineLevel="0" collapsed="false"/>
    <row r="34356" customFormat="false" ht="15" hidden="false" customHeight="true" outlineLevel="0" collapsed="false"/>
    <row r="34357" customFormat="false" ht="15" hidden="false" customHeight="true" outlineLevel="0" collapsed="false"/>
    <row r="34358" customFormat="false" ht="15" hidden="false" customHeight="true" outlineLevel="0" collapsed="false"/>
    <row r="34359" customFormat="false" ht="15" hidden="false" customHeight="true" outlineLevel="0" collapsed="false"/>
    <row r="34360" customFormat="false" ht="15" hidden="false" customHeight="true" outlineLevel="0" collapsed="false"/>
    <row r="34361" customFormat="false" ht="15" hidden="false" customHeight="true" outlineLevel="0" collapsed="false"/>
    <row r="34362" customFormat="false" ht="15" hidden="false" customHeight="true" outlineLevel="0" collapsed="false"/>
    <row r="34363" customFormat="false" ht="15" hidden="false" customHeight="true" outlineLevel="0" collapsed="false"/>
    <row r="34364" customFormat="false" ht="15" hidden="false" customHeight="true" outlineLevel="0" collapsed="false"/>
    <row r="34365" customFormat="false" ht="15" hidden="false" customHeight="true" outlineLevel="0" collapsed="false"/>
    <row r="34366" customFormat="false" ht="15" hidden="false" customHeight="true" outlineLevel="0" collapsed="false"/>
    <row r="34367" customFormat="false" ht="15" hidden="false" customHeight="true" outlineLevel="0" collapsed="false"/>
    <row r="34368" customFormat="false" ht="15" hidden="false" customHeight="true" outlineLevel="0" collapsed="false"/>
    <row r="34369" customFormat="false" ht="15" hidden="false" customHeight="true" outlineLevel="0" collapsed="false"/>
    <row r="34370" customFormat="false" ht="15" hidden="false" customHeight="true" outlineLevel="0" collapsed="false"/>
    <row r="34371" customFormat="false" ht="15" hidden="false" customHeight="true" outlineLevel="0" collapsed="false"/>
    <row r="34372" customFormat="false" ht="15" hidden="false" customHeight="true" outlineLevel="0" collapsed="false"/>
    <row r="34373" customFormat="false" ht="15" hidden="false" customHeight="true" outlineLevel="0" collapsed="false"/>
    <row r="34374" customFormat="false" ht="15" hidden="false" customHeight="true" outlineLevel="0" collapsed="false"/>
    <row r="34375" customFormat="false" ht="15" hidden="false" customHeight="true" outlineLevel="0" collapsed="false"/>
    <row r="34376" customFormat="false" ht="15" hidden="false" customHeight="true" outlineLevel="0" collapsed="false"/>
    <row r="34377" customFormat="false" ht="15" hidden="false" customHeight="true" outlineLevel="0" collapsed="false"/>
    <row r="34378" customFormat="false" ht="15" hidden="false" customHeight="true" outlineLevel="0" collapsed="false"/>
    <row r="34379" customFormat="false" ht="15" hidden="false" customHeight="true" outlineLevel="0" collapsed="false"/>
    <row r="34380" customFormat="false" ht="15" hidden="false" customHeight="true" outlineLevel="0" collapsed="false"/>
    <row r="34381" customFormat="false" ht="15" hidden="false" customHeight="true" outlineLevel="0" collapsed="false"/>
    <row r="34382" customFormat="false" ht="15" hidden="false" customHeight="true" outlineLevel="0" collapsed="false"/>
    <row r="34383" customFormat="false" ht="15" hidden="false" customHeight="true" outlineLevel="0" collapsed="false"/>
    <row r="34384" customFormat="false" ht="15" hidden="false" customHeight="true" outlineLevel="0" collapsed="false"/>
    <row r="34385" customFormat="false" ht="15" hidden="false" customHeight="true" outlineLevel="0" collapsed="false"/>
    <row r="34386" customFormat="false" ht="15" hidden="false" customHeight="true" outlineLevel="0" collapsed="false"/>
    <row r="34387" customFormat="false" ht="15" hidden="false" customHeight="true" outlineLevel="0" collapsed="false"/>
    <row r="34388" customFormat="false" ht="15" hidden="false" customHeight="true" outlineLevel="0" collapsed="false"/>
    <row r="34389" customFormat="false" ht="15" hidden="false" customHeight="true" outlineLevel="0" collapsed="false"/>
    <row r="34390" customFormat="false" ht="15" hidden="false" customHeight="true" outlineLevel="0" collapsed="false"/>
    <row r="34391" customFormat="false" ht="15" hidden="false" customHeight="true" outlineLevel="0" collapsed="false"/>
    <row r="34392" customFormat="false" ht="15" hidden="false" customHeight="true" outlineLevel="0" collapsed="false"/>
    <row r="34393" customFormat="false" ht="15" hidden="false" customHeight="true" outlineLevel="0" collapsed="false"/>
    <row r="34394" customFormat="false" ht="15" hidden="false" customHeight="true" outlineLevel="0" collapsed="false"/>
    <row r="34395" customFormat="false" ht="15" hidden="false" customHeight="true" outlineLevel="0" collapsed="false"/>
    <row r="34396" customFormat="false" ht="15" hidden="false" customHeight="true" outlineLevel="0" collapsed="false"/>
    <row r="34397" customFormat="false" ht="15" hidden="false" customHeight="true" outlineLevel="0" collapsed="false"/>
    <row r="34398" customFormat="false" ht="15" hidden="false" customHeight="true" outlineLevel="0" collapsed="false"/>
    <row r="34399" customFormat="false" ht="15" hidden="false" customHeight="true" outlineLevel="0" collapsed="false"/>
    <row r="34400" customFormat="false" ht="15" hidden="false" customHeight="true" outlineLevel="0" collapsed="false"/>
    <row r="34401" customFormat="false" ht="15" hidden="false" customHeight="true" outlineLevel="0" collapsed="false"/>
    <row r="34402" customFormat="false" ht="15" hidden="false" customHeight="true" outlineLevel="0" collapsed="false"/>
    <row r="34403" customFormat="false" ht="15" hidden="false" customHeight="true" outlineLevel="0" collapsed="false"/>
    <row r="34404" customFormat="false" ht="15" hidden="false" customHeight="true" outlineLevel="0" collapsed="false"/>
    <row r="34405" customFormat="false" ht="15" hidden="false" customHeight="true" outlineLevel="0" collapsed="false"/>
    <row r="34406" customFormat="false" ht="15" hidden="false" customHeight="true" outlineLevel="0" collapsed="false"/>
    <row r="34407" customFormat="false" ht="15" hidden="false" customHeight="true" outlineLevel="0" collapsed="false"/>
    <row r="34408" customFormat="false" ht="15" hidden="false" customHeight="true" outlineLevel="0" collapsed="false"/>
    <row r="34409" customFormat="false" ht="15" hidden="false" customHeight="true" outlineLevel="0" collapsed="false"/>
    <row r="34410" customFormat="false" ht="15" hidden="false" customHeight="true" outlineLevel="0" collapsed="false"/>
    <row r="34411" customFormat="false" ht="15" hidden="false" customHeight="true" outlineLevel="0" collapsed="false"/>
    <row r="34412" customFormat="false" ht="15" hidden="false" customHeight="true" outlineLevel="0" collapsed="false"/>
    <row r="34413" customFormat="false" ht="15" hidden="false" customHeight="true" outlineLevel="0" collapsed="false"/>
    <row r="34414" customFormat="false" ht="15" hidden="false" customHeight="true" outlineLevel="0" collapsed="false"/>
    <row r="34415" customFormat="false" ht="15" hidden="false" customHeight="true" outlineLevel="0" collapsed="false"/>
    <row r="34416" customFormat="false" ht="15" hidden="false" customHeight="true" outlineLevel="0" collapsed="false"/>
    <row r="34417" customFormat="false" ht="15" hidden="false" customHeight="true" outlineLevel="0" collapsed="false"/>
    <row r="34418" customFormat="false" ht="15" hidden="false" customHeight="true" outlineLevel="0" collapsed="false"/>
    <row r="34419" customFormat="false" ht="15" hidden="false" customHeight="true" outlineLevel="0" collapsed="false"/>
    <row r="34420" customFormat="false" ht="15" hidden="false" customHeight="true" outlineLevel="0" collapsed="false"/>
    <row r="34421" customFormat="false" ht="15" hidden="false" customHeight="true" outlineLevel="0" collapsed="false"/>
    <row r="34422" customFormat="false" ht="15" hidden="false" customHeight="true" outlineLevel="0" collapsed="false"/>
    <row r="34423" customFormat="false" ht="15" hidden="false" customHeight="true" outlineLevel="0" collapsed="false"/>
    <row r="34424" customFormat="false" ht="15" hidden="false" customHeight="true" outlineLevel="0" collapsed="false"/>
    <row r="34425" customFormat="false" ht="15" hidden="false" customHeight="true" outlineLevel="0" collapsed="false"/>
    <row r="34426" customFormat="false" ht="15" hidden="false" customHeight="true" outlineLevel="0" collapsed="false"/>
    <row r="34427" customFormat="false" ht="15" hidden="false" customHeight="true" outlineLevel="0" collapsed="false"/>
    <row r="34428" customFormat="false" ht="15" hidden="false" customHeight="true" outlineLevel="0" collapsed="false"/>
    <row r="34429" customFormat="false" ht="15" hidden="false" customHeight="true" outlineLevel="0" collapsed="false"/>
    <row r="34430" customFormat="false" ht="15" hidden="false" customHeight="true" outlineLevel="0" collapsed="false"/>
    <row r="34431" customFormat="false" ht="15" hidden="false" customHeight="true" outlineLevel="0" collapsed="false"/>
    <row r="34432" customFormat="false" ht="15" hidden="false" customHeight="true" outlineLevel="0" collapsed="false"/>
    <row r="34433" customFormat="false" ht="15" hidden="false" customHeight="true" outlineLevel="0" collapsed="false"/>
    <row r="34434" customFormat="false" ht="15" hidden="false" customHeight="true" outlineLevel="0" collapsed="false"/>
    <row r="34435" customFormat="false" ht="15" hidden="false" customHeight="true" outlineLevel="0" collapsed="false"/>
    <row r="34436" customFormat="false" ht="15" hidden="false" customHeight="true" outlineLevel="0" collapsed="false"/>
    <row r="34437" customFormat="false" ht="15" hidden="false" customHeight="true" outlineLevel="0" collapsed="false"/>
    <row r="34438" customFormat="false" ht="15" hidden="false" customHeight="true" outlineLevel="0" collapsed="false"/>
    <row r="34439" customFormat="false" ht="15" hidden="false" customHeight="true" outlineLevel="0" collapsed="false"/>
    <row r="34440" customFormat="false" ht="15" hidden="false" customHeight="true" outlineLevel="0" collapsed="false"/>
    <row r="34441" customFormat="false" ht="15" hidden="false" customHeight="true" outlineLevel="0" collapsed="false"/>
    <row r="34442" customFormat="false" ht="15" hidden="false" customHeight="true" outlineLevel="0" collapsed="false"/>
    <row r="34443" customFormat="false" ht="15" hidden="false" customHeight="true" outlineLevel="0" collapsed="false"/>
    <row r="34444" customFormat="false" ht="15" hidden="false" customHeight="true" outlineLevel="0" collapsed="false"/>
    <row r="34445" customFormat="false" ht="15" hidden="false" customHeight="true" outlineLevel="0" collapsed="false"/>
    <row r="34446" customFormat="false" ht="15" hidden="false" customHeight="true" outlineLevel="0" collapsed="false"/>
    <row r="34447" customFormat="false" ht="15" hidden="false" customHeight="true" outlineLevel="0" collapsed="false"/>
    <row r="34448" customFormat="false" ht="15" hidden="false" customHeight="true" outlineLevel="0" collapsed="false"/>
    <row r="34449" customFormat="false" ht="15" hidden="false" customHeight="true" outlineLevel="0" collapsed="false"/>
    <row r="34450" customFormat="false" ht="15" hidden="false" customHeight="true" outlineLevel="0" collapsed="false"/>
    <row r="34451" customFormat="false" ht="15" hidden="false" customHeight="true" outlineLevel="0" collapsed="false"/>
    <row r="34452" customFormat="false" ht="15" hidden="false" customHeight="true" outlineLevel="0" collapsed="false"/>
    <row r="34453" customFormat="false" ht="15" hidden="false" customHeight="true" outlineLevel="0" collapsed="false"/>
    <row r="34454" customFormat="false" ht="15" hidden="false" customHeight="true" outlineLevel="0" collapsed="false"/>
    <row r="34455" customFormat="false" ht="15" hidden="false" customHeight="true" outlineLevel="0" collapsed="false"/>
    <row r="34456" customFormat="false" ht="15" hidden="false" customHeight="true" outlineLevel="0" collapsed="false"/>
    <row r="34457" customFormat="false" ht="15" hidden="false" customHeight="true" outlineLevel="0" collapsed="false"/>
    <row r="34458" customFormat="false" ht="15" hidden="false" customHeight="true" outlineLevel="0" collapsed="false"/>
    <row r="34459" customFormat="false" ht="15" hidden="false" customHeight="true" outlineLevel="0" collapsed="false"/>
    <row r="34460" customFormat="false" ht="15" hidden="false" customHeight="true" outlineLevel="0" collapsed="false"/>
    <row r="34461" customFormat="false" ht="15" hidden="false" customHeight="true" outlineLevel="0" collapsed="false"/>
    <row r="34462" customFormat="false" ht="15" hidden="false" customHeight="true" outlineLevel="0" collapsed="false"/>
    <row r="34463" customFormat="false" ht="15" hidden="false" customHeight="true" outlineLevel="0" collapsed="false"/>
    <row r="34464" customFormat="false" ht="15" hidden="false" customHeight="true" outlineLevel="0" collapsed="false"/>
    <row r="34465" customFormat="false" ht="15" hidden="false" customHeight="true" outlineLevel="0" collapsed="false"/>
    <row r="34466" customFormat="false" ht="15" hidden="false" customHeight="true" outlineLevel="0" collapsed="false"/>
    <row r="34467" customFormat="false" ht="15" hidden="false" customHeight="true" outlineLevel="0" collapsed="false"/>
    <row r="34468" customFormat="false" ht="15" hidden="false" customHeight="true" outlineLevel="0" collapsed="false"/>
    <row r="34469" customFormat="false" ht="15" hidden="false" customHeight="true" outlineLevel="0" collapsed="false"/>
    <row r="34470" customFormat="false" ht="15" hidden="false" customHeight="true" outlineLevel="0" collapsed="false"/>
    <row r="34471" customFormat="false" ht="15" hidden="false" customHeight="true" outlineLevel="0" collapsed="false"/>
    <row r="34472" customFormat="false" ht="15" hidden="false" customHeight="true" outlineLevel="0" collapsed="false"/>
    <row r="34473" customFormat="false" ht="15" hidden="false" customHeight="true" outlineLevel="0" collapsed="false"/>
    <row r="34474" customFormat="false" ht="15" hidden="false" customHeight="true" outlineLevel="0" collapsed="false"/>
    <row r="34475" customFormat="false" ht="15" hidden="false" customHeight="true" outlineLevel="0" collapsed="false"/>
    <row r="34476" customFormat="false" ht="15" hidden="false" customHeight="true" outlineLevel="0" collapsed="false"/>
    <row r="34477" customFormat="false" ht="15" hidden="false" customHeight="true" outlineLevel="0" collapsed="false"/>
    <row r="34478" customFormat="false" ht="15" hidden="false" customHeight="true" outlineLevel="0" collapsed="false"/>
    <row r="34479" customFormat="false" ht="15" hidden="false" customHeight="true" outlineLevel="0" collapsed="false"/>
    <row r="34480" customFormat="false" ht="15" hidden="false" customHeight="true" outlineLevel="0" collapsed="false"/>
    <row r="34481" customFormat="false" ht="15" hidden="false" customHeight="true" outlineLevel="0" collapsed="false"/>
    <row r="34482" customFormat="false" ht="15" hidden="false" customHeight="true" outlineLevel="0" collapsed="false"/>
    <row r="34483" customFormat="false" ht="15" hidden="false" customHeight="true" outlineLevel="0" collapsed="false"/>
    <row r="34484" customFormat="false" ht="15" hidden="false" customHeight="true" outlineLevel="0" collapsed="false"/>
    <row r="34485" customFormat="false" ht="15" hidden="false" customHeight="true" outlineLevel="0" collapsed="false"/>
    <row r="34486" customFormat="false" ht="15" hidden="false" customHeight="true" outlineLevel="0" collapsed="false"/>
    <row r="34487" customFormat="false" ht="15" hidden="false" customHeight="true" outlineLevel="0" collapsed="false"/>
    <row r="34488" customFormat="false" ht="15" hidden="false" customHeight="true" outlineLevel="0" collapsed="false"/>
    <row r="34489" customFormat="false" ht="15" hidden="false" customHeight="true" outlineLevel="0" collapsed="false"/>
    <row r="34490" customFormat="false" ht="15" hidden="false" customHeight="true" outlineLevel="0" collapsed="false"/>
    <row r="34491" customFormat="false" ht="15" hidden="false" customHeight="true" outlineLevel="0" collapsed="false"/>
    <row r="34492" customFormat="false" ht="15" hidden="false" customHeight="true" outlineLevel="0" collapsed="false"/>
    <row r="34493" customFormat="false" ht="15" hidden="false" customHeight="true" outlineLevel="0" collapsed="false"/>
    <row r="34494" customFormat="false" ht="15" hidden="false" customHeight="true" outlineLevel="0" collapsed="false"/>
    <row r="34495" customFormat="false" ht="15" hidden="false" customHeight="true" outlineLevel="0" collapsed="false"/>
    <row r="34496" customFormat="false" ht="15" hidden="false" customHeight="true" outlineLevel="0" collapsed="false"/>
    <row r="34497" customFormat="false" ht="15" hidden="false" customHeight="true" outlineLevel="0" collapsed="false"/>
    <row r="34498" customFormat="false" ht="15" hidden="false" customHeight="true" outlineLevel="0" collapsed="false"/>
    <row r="34499" customFormat="false" ht="15" hidden="false" customHeight="true" outlineLevel="0" collapsed="false"/>
    <row r="34500" customFormat="false" ht="15" hidden="false" customHeight="true" outlineLevel="0" collapsed="false"/>
    <row r="34501" customFormat="false" ht="15" hidden="false" customHeight="true" outlineLevel="0" collapsed="false"/>
    <row r="34502" customFormat="false" ht="15" hidden="false" customHeight="true" outlineLevel="0" collapsed="false"/>
    <row r="34503" customFormat="false" ht="15" hidden="false" customHeight="true" outlineLevel="0" collapsed="false"/>
    <row r="34504" customFormat="false" ht="15" hidden="false" customHeight="true" outlineLevel="0" collapsed="false"/>
    <row r="34505" customFormat="false" ht="15" hidden="false" customHeight="true" outlineLevel="0" collapsed="false"/>
    <row r="34506" customFormat="false" ht="15" hidden="false" customHeight="true" outlineLevel="0" collapsed="false"/>
    <row r="34507" customFormat="false" ht="15" hidden="false" customHeight="true" outlineLevel="0" collapsed="false"/>
    <row r="34508" customFormat="false" ht="15" hidden="false" customHeight="true" outlineLevel="0" collapsed="false"/>
    <row r="34509" customFormat="false" ht="15" hidden="false" customHeight="true" outlineLevel="0" collapsed="false"/>
    <row r="34510" customFormat="false" ht="15" hidden="false" customHeight="true" outlineLevel="0" collapsed="false"/>
    <row r="34511" customFormat="false" ht="15" hidden="false" customHeight="true" outlineLevel="0" collapsed="false"/>
    <row r="34512" customFormat="false" ht="15" hidden="false" customHeight="true" outlineLevel="0" collapsed="false"/>
    <row r="34513" customFormat="false" ht="15" hidden="false" customHeight="true" outlineLevel="0" collapsed="false"/>
    <row r="34514" customFormat="false" ht="15" hidden="false" customHeight="true" outlineLevel="0" collapsed="false"/>
    <row r="34515" customFormat="false" ht="15" hidden="false" customHeight="true" outlineLevel="0" collapsed="false"/>
    <row r="34516" customFormat="false" ht="15" hidden="false" customHeight="true" outlineLevel="0" collapsed="false"/>
    <row r="34517" customFormat="false" ht="15" hidden="false" customHeight="true" outlineLevel="0" collapsed="false"/>
    <row r="34518" customFormat="false" ht="15" hidden="false" customHeight="true" outlineLevel="0" collapsed="false"/>
    <row r="34519" customFormat="false" ht="15" hidden="false" customHeight="true" outlineLevel="0" collapsed="false"/>
    <row r="34520" customFormat="false" ht="15" hidden="false" customHeight="true" outlineLevel="0" collapsed="false"/>
    <row r="34521" customFormat="false" ht="15" hidden="false" customHeight="true" outlineLevel="0" collapsed="false"/>
    <row r="34522" customFormat="false" ht="15" hidden="false" customHeight="true" outlineLevel="0" collapsed="false"/>
    <row r="34523" customFormat="false" ht="15" hidden="false" customHeight="true" outlineLevel="0" collapsed="false"/>
    <row r="34524" customFormat="false" ht="15" hidden="false" customHeight="true" outlineLevel="0" collapsed="false"/>
    <row r="34525" customFormat="false" ht="15" hidden="false" customHeight="true" outlineLevel="0" collapsed="false"/>
    <row r="34526" customFormat="false" ht="15" hidden="false" customHeight="true" outlineLevel="0" collapsed="false"/>
    <row r="34527" customFormat="false" ht="15" hidden="false" customHeight="true" outlineLevel="0" collapsed="false"/>
    <row r="34528" customFormat="false" ht="15" hidden="false" customHeight="true" outlineLevel="0" collapsed="false"/>
    <row r="34529" customFormat="false" ht="15" hidden="false" customHeight="true" outlineLevel="0" collapsed="false"/>
    <row r="34530" customFormat="false" ht="15" hidden="false" customHeight="true" outlineLevel="0" collapsed="false"/>
    <row r="34531" customFormat="false" ht="15" hidden="false" customHeight="true" outlineLevel="0" collapsed="false"/>
    <row r="34532" customFormat="false" ht="15" hidden="false" customHeight="true" outlineLevel="0" collapsed="false"/>
    <row r="34533" customFormat="false" ht="15" hidden="false" customHeight="true" outlineLevel="0" collapsed="false"/>
    <row r="34534" customFormat="false" ht="15" hidden="false" customHeight="true" outlineLevel="0" collapsed="false"/>
    <row r="34535" customFormat="false" ht="15" hidden="false" customHeight="true" outlineLevel="0" collapsed="false"/>
    <row r="34536" customFormat="false" ht="15" hidden="false" customHeight="true" outlineLevel="0" collapsed="false"/>
    <row r="34537" customFormat="false" ht="15" hidden="false" customHeight="true" outlineLevel="0" collapsed="false"/>
    <row r="34538" customFormat="false" ht="15" hidden="false" customHeight="true" outlineLevel="0" collapsed="false"/>
    <row r="34539" customFormat="false" ht="15" hidden="false" customHeight="true" outlineLevel="0" collapsed="false"/>
    <row r="34540" customFormat="false" ht="15" hidden="false" customHeight="true" outlineLevel="0" collapsed="false"/>
    <row r="34541" customFormat="false" ht="15" hidden="false" customHeight="true" outlineLevel="0" collapsed="false"/>
    <row r="34542" customFormat="false" ht="15" hidden="false" customHeight="true" outlineLevel="0" collapsed="false"/>
    <row r="34543" customFormat="false" ht="15" hidden="false" customHeight="true" outlineLevel="0" collapsed="false"/>
    <row r="34544" customFormat="false" ht="15" hidden="false" customHeight="true" outlineLevel="0" collapsed="false"/>
    <row r="34545" customFormat="false" ht="15" hidden="false" customHeight="true" outlineLevel="0" collapsed="false"/>
    <row r="34546" customFormat="false" ht="15" hidden="false" customHeight="true" outlineLevel="0" collapsed="false"/>
    <row r="34547" customFormat="false" ht="15" hidden="false" customHeight="true" outlineLevel="0" collapsed="false"/>
    <row r="34548" customFormat="false" ht="15" hidden="false" customHeight="true" outlineLevel="0" collapsed="false"/>
    <row r="34549" customFormat="false" ht="15" hidden="false" customHeight="true" outlineLevel="0" collapsed="false"/>
    <row r="34550" customFormat="false" ht="15" hidden="false" customHeight="true" outlineLevel="0" collapsed="false"/>
    <row r="34551" customFormat="false" ht="15" hidden="false" customHeight="true" outlineLevel="0" collapsed="false"/>
    <row r="34552" customFormat="false" ht="15" hidden="false" customHeight="true" outlineLevel="0" collapsed="false"/>
    <row r="34553" customFormat="false" ht="15" hidden="false" customHeight="true" outlineLevel="0" collapsed="false"/>
    <row r="34554" customFormat="false" ht="15" hidden="false" customHeight="true" outlineLevel="0" collapsed="false"/>
    <row r="34555" customFormat="false" ht="15" hidden="false" customHeight="true" outlineLevel="0" collapsed="false"/>
    <row r="34556" customFormat="false" ht="15" hidden="false" customHeight="true" outlineLevel="0" collapsed="false"/>
    <row r="34557" customFormat="false" ht="15" hidden="false" customHeight="true" outlineLevel="0" collapsed="false"/>
    <row r="34558" customFormat="false" ht="15" hidden="false" customHeight="true" outlineLevel="0" collapsed="false"/>
    <row r="34559" customFormat="false" ht="15" hidden="false" customHeight="true" outlineLevel="0" collapsed="false"/>
    <row r="34560" customFormat="false" ht="15" hidden="false" customHeight="true" outlineLevel="0" collapsed="false"/>
    <row r="34561" customFormat="false" ht="15" hidden="false" customHeight="true" outlineLevel="0" collapsed="false"/>
    <row r="34562" customFormat="false" ht="15" hidden="false" customHeight="true" outlineLevel="0" collapsed="false"/>
    <row r="34563" customFormat="false" ht="15" hidden="false" customHeight="true" outlineLevel="0" collapsed="false"/>
    <row r="34564" customFormat="false" ht="15" hidden="false" customHeight="true" outlineLevel="0" collapsed="false"/>
    <row r="34565" customFormat="false" ht="15" hidden="false" customHeight="true" outlineLevel="0" collapsed="false"/>
    <row r="34566" customFormat="false" ht="15" hidden="false" customHeight="true" outlineLevel="0" collapsed="false"/>
    <row r="34567" customFormat="false" ht="15" hidden="false" customHeight="true" outlineLevel="0" collapsed="false"/>
    <row r="34568" customFormat="false" ht="15" hidden="false" customHeight="true" outlineLevel="0" collapsed="false"/>
    <row r="34569" customFormat="false" ht="15" hidden="false" customHeight="true" outlineLevel="0" collapsed="false"/>
    <row r="34570" customFormat="false" ht="15" hidden="false" customHeight="true" outlineLevel="0" collapsed="false"/>
    <row r="34571" customFormat="false" ht="15" hidden="false" customHeight="true" outlineLevel="0" collapsed="false"/>
    <row r="34572" customFormat="false" ht="15" hidden="false" customHeight="true" outlineLevel="0" collapsed="false"/>
    <row r="34573" customFormat="false" ht="15" hidden="false" customHeight="true" outlineLevel="0" collapsed="false"/>
    <row r="34574" customFormat="false" ht="15" hidden="false" customHeight="true" outlineLevel="0" collapsed="false"/>
    <row r="34575" customFormat="false" ht="15" hidden="false" customHeight="true" outlineLevel="0" collapsed="false"/>
    <row r="34576" customFormat="false" ht="15" hidden="false" customHeight="true" outlineLevel="0" collapsed="false"/>
    <row r="34577" customFormat="false" ht="15" hidden="false" customHeight="true" outlineLevel="0" collapsed="false"/>
    <row r="34578" customFormat="false" ht="15" hidden="false" customHeight="true" outlineLevel="0" collapsed="false"/>
    <row r="34579" customFormat="false" ht="15" hidden="false" customHeight="true" outlineLevel="0" collapsed="false"/>
    <row r="34580" customFormat="false" ht="15" hidden="false" customHeight="true" outlineLevel="0" collapsed="false"/>
    <row r="34581" customFormat="false" ht="15" hidden="false" customHeight="true" outlineLevel="0" collapsed="false"/>
    <row r="34582" customFormat="false" ht="15" hidden="false" customHeight="true" outlineLevel="0" collapsed="false"/>
    <row r="34583" customFormat="false" ht="15" hidden="false" customHeight="true" outlineLevel="0" collapsed="false"/>
    <row r="34584" customFormat="false" ht="15" hidden="false" customHeight="true" outlineLevel="0" collapsed="false"/>
    <row r="34585" customFormat="false" ht="15" hidden="false" customHeight="true" outlineLevel="0" collapsed="false"/>
    <row r="34586" customFormat="false" ht="15" hidden="false" customHeight="true" outlineLevel="0" collapsed="false"/>
    <row r="34587" customFormat="false" ht="15" hidden="false" customHeight="true" outlineLevel="0" collapsed="false"/>
    <row r="34588" customFormat="false" ht="15" hidden="false" customHeight="true" outlineLevel="0" collapsed="false"/>
    <row r="34589" customFormat="false" ht="15" hidden="false" customHeight="true" outlineLevel="0" collapsed="false"/>
    <row r="34590" customFormat="false" ht="15" hidden="false" customHeight="true" outlineLevel="0" collapsed="false"/>
    <row r="34591" customFormat="false" ht="15" hidden="false" customHeight="true" outlineLevel="0" collapsed="false"/>
    <row r="34592" customFormat="false" ht="15" hidden="false" customHeight="true" outlineLevel="0" collapsed="false"/>
    <row r="34593" customFormat="false" ht="15" hidden="false" customHeight="true" outlineLevel="0" collapsed="false"/>
    <row r="34594" customFormat="false" ht="15" hidden="false" customHeight="true" outlineLevel="0" collapsed="false"/>
    <row r="34595" customFormat="false" ht="15" hidden="false" customHeight="true" outlineLevel="0" collapsed="false"/>
    <row r="34596" customFormat="false" ht="15" hidden="false" customHeight="true" outlineLevel="0" collapsed="false"/>
    <row r="34597" customFormat="false" ht="15" hidden="false" customHeight="true" outlineLevel="0" collapsed="false"/>
    <row r="34598" customFormat="false" ht="15" hidden="false" customHeight="true" outlineLevel="0" collapsed="false"/>
    <row r="34599" customFormat="false" ht="15" hidden="false" customHeight="true" outlineLevel="0" collapsed="false"/>
    <row r="34600" customFormat="false" ht="15" hidden="false" customHeight="true" outlineLevel="0" collapsed="false"/>
    <row r="34601" customFormat="false" ht="15" hidden="false" customHeight="true" outlineLevel="0" collapsed="false"/>
    <row r="34602" customFormat="false" ht="15" hidden="false" customHeight="true" outlineLevel="0" collapsed="false"/>
    <row r="34603" customFormat="false" ht="15" hidden="false" customHeight="true" outlineLevel="0" collapsed="false"/>
    <row r="34604" customFormat="false" ht="15" hidden="false" customHeight="true" outlineLevel="0" collapsed="false"/>
    <row r="34605" customFormat="false" ht="15" hidden="false" customHeight="true" outlineLevel="0" collapsed="false"/>
    <row r="34606" customFormat="false" ht="15" hidden="false" customHeight="true" outlineLevel="0" collapsed="false"/>
    <row r="34607" customFormat="false" ht="15" hidden="false" customHeight="true" outlineLevel="0" collapsed="false"/>
    <row r="34608" customFormat="false" ht="15" hidden="false" customHeight="true" outlineLevel="0" collapsed="false"/>
    <row r="34609" customFormat="false" ht="15" hidden="false" customHeight="true" outlineLevel="0" collapsed="false"/>
    <row r="34610" customFormat="false" ht="15" hidden="false" customHeight="true" outlineLevel="0" collapsed="false"/>
    <row r="34611" customFormat="false" ht="15" hidden="false" customHeight="true" outlineLevel="0" collapsed="false"/>
    <row r="34612" customFormat="false" ht="15" hidden="false" customHeight="true" outlineLevel="0" collapsed="false"/>
    <row r="34613" customFormat="false" ht="15" hidden="false" customHeight="true" outlineLevel="0" collapsed="false"/>
    <row r="34614" customFormat="false" ht="15" hidden="false" customHeight="true" outlineLevel="0" collapsed="false"/>
    <row r="34615" customFormat="false" ht="15" hidden="false" customHeight="true" outlineLevel="0" collapsed="false"/>
    <row r="34616" customFormat="false" ht="15" hidden="false" customHeight="true" outlineLevel="0" collapsed="false"/>
    <row r="34617" customFormat="false" ht="15" hidden="false" customHeight="true" outlineLevel="0" collapsed="false"/>
    <row r="34618" customFormat="false" ht="15" hidden="false" customHeight="true" outlineLevel="0" collapsed="false"/>
    <row r="34619" customFormat="false" ht="15" hidden="false" customHeight="true" outlineLevel="0" collapsed="false"/>
    <row r="34620" customFormat="false" ht="15" hidden="false" customHeight="true" outlineLevel="0" collapsed="false"/>
    <row r="34621" customFormat="false" ht="15" hidden="false" customHeight="true" outlineLevel="0" collapsed="false"/>
    <row r="34622" customFormat="false" ht="15" hidden="false" customHeight="true" outlineLevel="0" collapsed="false"/>
    <row r="34623" customFormat="false" ht="15" hidden="false" customHeight="true" outlineLevel="0" collapsed="false"/>
    <row r="34624" customFormat="false" ht="15" hidden="false" customHeight="true" outlineLevel="0" collapsed="false"/>
    <row r="34625" customFormat="false" ht="15" hidden="false" customHeight="true" outlineLevel="0" collapsed="false"/>
    <row r="34626" customFormat="false" ht="15" hidden="false" customHeight="true" outlineLevel="0" collapsed="false"/>
    <row r="34627" customFormat="false" ht="15" hidden="false" customHeight="true" outlineLevel="0" collapsed="false"/>
    <row r="34628" customFormat="false" ht="15" hidden="false" customHeight="true" outlineLevel="0" collapsed="false"/>
    <row r="34629" customFormat="false" ht="15" hidden="false" customHeight="true" outlineLevel="0" collapsed="false"/>
    <row r="34630" customFormat="false" ht="15" hidden="false" customHeight="true" outlineLevel="0" collapsed="false"/>
    <row r="34631" customFormat="false" ht="15" hidden="false" customHeight="true" outlineLevel="0" collapsed="false"/>
    <row r="34632" customFormat="false" ht="15" hidden="false" customHeight="true" outlineLevel="0" collapsed="false"/>
    <row r="34633" customFormat="false" ht="15" hidden="false" customHeight="true" outlineLevel="0" collapsed="false"/>
    <row r="34634" customFormat="false" ht="15" hidden="false" customHeight="true" outlineLevel="0" collapsed="false"/>
    <row r="34635" customFormat="false" ht="15" hidden="false" customHeight="true" outlineLevel="0" collapsed="false"/>
    <row r="34636" customFormat="false" ht="15" hidden="false" customHeight="true" outlineLevel="0" collapsed="false"/>
    <row r="34637" customFormat="false" ht="15" hidden="false" customHeight="true" outlineLevel="0" collapsed="false"/>
    <row r="34638" customFormat="false" ht="15" hidden="false" customHeight="true" outlineLevel="0" collapsed="false"/>
    <row r="34639" customFormat="false" ht="15" hidden="false" customHeight="true" outlineLevel="0" collapsed="false"/>
    <row r="34640" customFormat="false" ht="15" hidden="false" customHeight="true" outlineLevel="0" collapsed="false"/>
    <row r="34641" customFormat="false" ht="15" hidden="false" customHeight="true" outlineLevel="0" collapsed="false"/>
    <row r="34642" customFormat="false" ht="15" hidden="false" customHeight="true" outlineLevel="0" collapsed="false"/>
    <row r="34643" customFormat="false" ht="15" hidden="false" customHeight="true" outlineLevel="0" collapsed="false"/>
    <row r="34644" customFormat="false" ht="15" hidden="false" customHeight="true" outlineLevel="0" collapsed="false"/>
    <row r="34645" customFormat="false" ht="15" hidden="false" customHeight="true" outlineLevel="0" collapsed="false"/>
    <row r="34646" customFormat="false" ht="15" hidden="false" customHeight="true" outlineLevel="0" collapsed="false"/>
    <row r="34647" customFormat="false" ht="15" hidden="false" customHeight="true" outlineLevel="0" collapsed="false"/>
    <row r="34648" customFormat="false" ht="15" hidden="false" customHeight="true" outlineLevel="0" collapsed="false"/>
    <row r="34649" customFormat="false" ht="15" hidden="false" customHeight="true" outlineLevel="0" collapsed="false"/>
    <row r="34650" customFormat="false" ht="15" hidden="false" customHeight="true" outlineLevel="0" collapsed="false"/>
    <row r="34651" customFormat="false" ht="15" hidden="false" customHeight="true" outlineLevel="0" collapsed="false"/>
    <row r="34652" customFormat="false" ht="15" hidden="false" customHeight="true" outlineLevel="0" collapsed="false"/>
    <row r="34653" customFormat="false" ht="15" hidden="false" customHeight="true" outlineLevel="0" collapsed="false"/>
    <row r="34654" customFormat="false" ht="15" hidden="false" customHeight="true" outlineLevel="0" collapsed="false"/>
    <row r="34655" customFormat="false" ht="15" hidden="false" customHeight="true" outlineLevel="0" collapsed="false"/>
    <row r="34656" customFormat="false" ht="15" hidden="false" customHeight="true" outlineLevel="0" collapsed="false"/>
    <row r="34657" customFormat="false" ht="15" hidden="false" customHeight="true" outlineLevel="0" collapsed="false"/>
    <row r="34658" customFormat="false" ht="15" hidden="false" customHeight="true" outlineLevel="0" collapsed="false"/>
    <row r="34659" customFormat="false" ht="15" hidden="false" customHeight="true" outlineLevel="0" collapsed="false"/>
    <row r="34660" customFormat="false" ht="15" hidden="false" customHeight="true" outlineLevel="0" collapsed="false"/>
    <row r="34661" customFormat="false" ht="15" hidden="false" customHeight="true" outlineLevel="0" collapsed="false"/>
    <row r="34662" customFormat="false" ht="15" hidden="false" customHeight="true" outlineLevel="0" collapsed="false"/>
    <row r="34663" customFormat="false" ht="15" hidden="false" customHeight="true" outlineLevel="0" collapsed="false"/>
    <row r="34664" customFormat="false" ht="15" hidden="false" customHeight="true" outlineLevel="0" collapsed="false"/>
    <row r="34665" customFormat="false" ht="15" hidden="false" customHeight="true" outlineLevel="0" collapsed="false"/>
    <row r="34666" customFormat="false" ht="15" hidden="false" customHeight="true" outlineLevel="0" collapsed="false"/>
    <row r="34667" customFormat="false" ht="15" hidden="false" customHeight="true" outlineLevel="0" collapsed="false"/>
    <row r="34668" customFormat="false" ht="15" hidden="false" customHeight="true" outlineLevel="0" collapsed="false"/>
    <row r="34669" customFormat="false" ht="15" hidden="false" customHeight="true" outlineLevel="0" collapsed="false"/>
    <row r="34670" customFormat="false" ht="15" hidden="false" customHeight="true" outlineLevel="0" collapsed="false"/>
    <row r="34671" customFormat="false" ht="15" hidden="false" customHeight="true" outlineLevel="0" collapsed="false"/>
    <row r="34672" customFormat="false" ht="15" hidden="false" customHeight="true" outlineLevel="0" collapsed="false"/>
    <row r="34673" customFormat="false" ht="15" hidden="false" customHeight="true" outlineLevel="0" collapsed="false"/>
    <row r="34674" customFormat="false" ht="15" hidden="false" customHeight="true" outlineLevel="0" collapsed="false"/>
    <row r="34675" customFormat="false" ht="15" hidden="false" customHeight="true" outlineLevel="0" collapsed="false"/>
    <row r="34676" customFormat="false" ht="15" hidden="false" customHeight="true" outlineLevel="0" collapsed="false"/>
    <row r="34677" customFormat="false" ht="15" hidden="false" customHeight="true" outlineLevel="0" collapsed="false"/>
    <row r="34678" customFormat="false" ht="15" hidden="false" customHeight="true" outlineLevel="0" collapsed="false"/>
    <row r="34679" customFormat="false" ht="15" hidden="false" customHeight="true" outlineLevel="0" collapsed="false"/>
    <row r="34680" customFormat="false" ht="15" hidden="false" customHeight="true" outlineLevel="0" collapsed="false"/>
    <row r="34681" customFormat="false" ht="15" hidden="false" customHeight="true" outlineLevel="0" collapsed="false"/>
    <row r="34682" customFormat="false" ht="15" hidden="false" customHeight="true" outlineLevel="0" collapsed="false"/>
    <row r="34683" customFormat="false" ht="15" hidden="false" customHeight="true" outlineLevel="0" collapsed="false"/>
    <row r="34684" customFormat="false" ht="15" hidden="false" customHeight="true" outlineLevel="0" collapsed="false"/>
    <row r="34685" customFormat="false" ht="15" hidden="false" customHeight="true" outlineLevel="0" collapsed="false"/>
    <row r="34686" customFormat="false" ht="15" hidden="false" customHeight="true" outlineLevel="0" collapsed="false"/>
    <row r="34687" customFormat="false" ht="15" hidden="false" customHeight="true" outlineLevel="0" collapsed="false"/>
    <row r="34688" customFormat="false" ht="15" hidden="false" customHeight="true" outlineLevel="0" collapsed="false"/>
    <row r="34689" customFormat="false" ht="15" hidden="false" customHeight="true" outlineLevel="0" collapsed="false"/>
    <row r="34690" customFormat="false" ht="15" hidden="false" customHeight="true" outlineLevel="0" collapsed="false"/>
    <row r="34691" customFormat="false" ht="15" hidden="false" customHeight="true" outlineLevel="0" collapsed="false"/>
    <row r="34692" customFormat="false" ht="15" hidden="false" customHeight="true" outlineLevel="0" collapsed="false"/>
    <row r="34693" customFormat="false" ht="15" hidden="false" customHeight="true" outlineLevel="0" collapsed="false"/>
    <row r="34694" customFormat="false" ht="15" hidden="false" customHeight="true" outlineLevel="0" collapsed="false"/>
    <row r="34695" customFormat="false" ht="15" hidden="false" customHeight="true" outlineLevel="0" collapsed="false"/>
    <row r="34696" customFormat="false" ht="15" hidden="false" customHeight="true" outlineLevel="0" collapsed="false"/>
    <row r="34697" customFormat="false" ht="15" hidden="false" customHeight="true" outlineLevel="0" collapsed="false"/>
    <row r="34698" customFormat="false" ht="15" hidden="false" customHeight="true" outlineLevel="0" collapsed="false"/>
    <row r="34699" customFormat="false" ht="15" hidden="false" customHeight="true" outlineLevel="0" collapsed="false"/>
    <row r="34700" customFormat="false" ht="15" hidden="false" customHeight="true" outlineLevel="0" collapsed="false"/>
    <row r="34701" customFormat="false" ht="15" hidden="false" customHeight="true" outlineLevel="0" collapsed="false"/>
    <row r="34702" customFormat="false" ht="15" hidden="false" customHeight="true" outlineLevel="0" collapsed="false"/>
    <row r="34703" customFormat="false" ht="15" hidden="false" customHeight="true" outlineLevel="0" collapsed="false"/>
    <row r="34704" customFormat="false" ht="15" hidden="false" customHeight="true" outlineLevel="0" collapsed="false"/>
    <row r="34705" customFormat="false" ht="15" hidden="false" customHeight="true" outlineLevel="0" collapsed="false"/>
    <row r="34706" customFormat="false" ht="15" hidden="false" customHeight="true" outlineLevel="0" collapsed="false"/>
    <row r="34707" customFormat="false" ht="15" hidden="false" customHeight="true" outlineLevel="0" collapsed="false"/>
    <row r="34708" customFormat="false" ht="15" hidden="false" customHeight="true" outlineLevel="0" collapsed="false"/>
    <row r="34709" customFormat="false" ht="15" hidden="false" customHeight="true" outlineLevel="0" collapsed="false"/>
    <row r="34710" customFormat="false" ht="15" hidden="false" customHeight="true" outlineLevel="0" collapsed="false"/>
    <row r="34711" customFormat="false" ht="15" hidden="false" customHeight="true" outlineLevel="0" collapsed="false"/>
    <row r="34712" customFormat="false" ht="15" hidden="false" customHeight="true" outlineLevel="0" collapsed="false"/>
    <row r="34713" customFormat="false" ht="15" hidden="false" customHeight="true" outlineLevel="0" collapsed="false"/>
    <row r="34714" customFormat="false" ht="15" hidden="false" customHeight="true" outlineLevel="0" collapsed="false"/>
    <row r="34715" customFormat="false" ht="15" hidden="false" customHeight="true" outlineLevel="0" collapsed="false"/>
    <row r="34716" customFormat="false" ht="15" hidden="false" customHeight="true" outlineLevel="0" collapsed="false"/>
    <row r="34717" customFormat="false" ht="15" hidden="false" customHeight="true" outlineLevel="0" collapsed="false"/>
    <row r="34718" customFormat="false" ht="15" hidden="false" customHeight="true" outlineLevel="0" collapsed="false"/>
    <row r="34719" customFormat="false" ht="15" hidden="false" customHeight="true" outlineLevel="0" collapsed="false"/>
    <row r="34720" customFormat="false" ht="15" hidden="false" customHeight="true" outlineLevel="0" collapsed="false"/>
    <row r="34721" customFormat="false" ht="15" hidden="false" customHeight="true" outlineLevel="0" collapsed="false"/>
    <row r="34722" customFormat="false" ht="15" hidden="false" customHeight="true" outlineLevel="0" collapsed="false"/>
    <row r="34723" customFormat="false" ht="15" hidden="false" customHeight="true" outlineLevel="0" collapsed="false"/>
    <row r="34724" customFormat="false" ht="15" hidden="false" customHeight="true" outlineLevel="0" collapsed="false"/>
    <row r="34725" customFormat="false" ht="15" hidden="false" customHeight="true" outlineLevel="0" collapsed="false"/>
    <row r="34726" customFormat="false" ht="15" hidden="false" customHeight="true" outlineLevel="0" collapsed="false"/>
    <row r="34727" customFormat="false" ht="15" hidden="false" customHeight="true" outlineLevel="0" collapsed="false"/>
    <row r="34728" customFormat="false" ht="15" hidden="false" customHeight="true" outlineLevel="0" collapsed="false"/>
    <row r="34729" customFormat="false" ht="15" hidden="false" customHeight="true" outlineLevel="0" collapsed="false"/>
    <row r="34730" customFormat="false" ht="15" hidden="false" customHeight="true" outlineLevel="0" collapsed="false"/>
    <row r="34731" customFormat="false" ht="15" hidden="false" customHeight="true" outlineLevel="0" collapsed="false"/>
    <row r="34732" customFormat="false" ht="15" hidden="false" customHeight="true" outlineLevel="0" collapsed="false"/>
    <row r="34733" customFormat="false" ht="15" hidden="false" customHeight="true" outlineLevel="0" collapsed="false"/>
    <row r="34734" customFormat="false" ht="15" hidden="false" customHeight="true" outlineLevel="0" collapsed="false"/>
    <row r="34735" customFormat="false" ht="15" hidden="false" customHeight="true" outlineLevel="0" collapsed="false"/>
    <row r="34736" customFormat="false" ht="15" hidden="false" customHeight="true" outlineLevel="0" collapsed="false"/>
    <row r="34737" customFormat="false" ht="15" hidden="false" customHeight="true" outlineLevel="0" collapsed="false"/>
    <row r="34738" customFormat="false" ht="15" hidden="false" customHeight="true" outlineLevel="0" collapsed="false"/>
    <row r="34739" customFormat="false" ht="15" hidden="false" customHeight="true" outlineLevel="0" collapsed="false"/>
    <row r="34740" customFormat="false" ht="15" hidden="false" customHeight="true" outlineLevel="0" collapsed="false"/>
    <row r="34741" customFormat="false" ht="15" hidden="false" customHeight="true" outlineLevel="0" collapsed="false"/>
    <row r="34742" customFormat="false" ht="15" hidden="false" customHeight="true" outlineLevel="0" collapsed="false"/>
    <row r="34743" customFormat="false" ht="15" hidden="false" customHeight="true" outlineLevel="0" collapsed="false"/>
    <row r="34744" customFormat="false" ht="15" hidden="false" customHeight="true" outlineLevel="0" collapsed="false"/>
    <row r="34745" customFormat="false" ht="15" hidden="false" customHeight="true" outlineLevel="0" collapsed="false"/>
    <row r="34746" customFormat="false" ht="15" hidden="false" customHeight="true" outlineLevel="0" collapsed="false"/>
    <row r="34747" customFormat="false" ht="15" hidden="false" customHeight="true" outlineLevel="0" collapsed="false"/>
    <row r="34748" customFormat="false" ht="15" hidden="false" customHeight="true" outlineLevel="0" collapsed="false"/>
    <row r="34749" customFormat="false" ht="15" hidden="false" customHeight="true" outlineLevel="0" collapsed="false"/>
    <row r="34750" customFormat="false" ht="15" hidden="false" customHeight="true" outlineLevel="0" collapsed="false"/>
    <row r="34751" customFormat="false" ht="15" hidden="false" customHeight="true" outlineLevel="0" collapsed="false"/>
    <row r="34752" customFormat="false" ht="15" hidden="false" customHeight="true" outlineLevel="0" collapsed="false"/>
    <row r="34753" customFormat="false" ht="15" hidden="false" customHeight="true" outlineLevel="0" collapsed="false"/>
    <row r="34754" customFormat="false" ht="15" hidden="false" customHeight="true" outlineLevel="0" collapsed="false"/>
    <row r="34755" customFormat="false" ht="15" hidden="false" customHeight="true" outlineLevel="0" collapsed="false"/>
    <row r="34756" customFormat="false" ht="15" hidden="false" customHeight="true" outlineLevel="0" collapsed="false"/>
    <row r="34757" customFormat="false" ht="15" hidden="false" customHeight="true" outlineLevel="0" collapsed="false"/>
    <row r="34758" customFormat="false" ht="15" hidden="false" customHeight="true" outlineLevel="0" collapsed="false"/>
    <row r="34759" customFormat="false" ht="15" hidden="false" customHeight="true" outlineLevel="0" collapsed="false"/>
    <row r="34760" customFormat="false" ht="15" hidden="false" customHeight="true" outlineLevel="0" collapsed="false"/>
    <row r="34761" customFormat="false" ht="15" hidden="false" customHeight="true" outlineLevel="0" collapsed="false"/>
    <row r="34762" customFormat="false" ht="15" hidden="false" customHeight="true" outlineLevel="0" collapsed="false"/>
    <row r="34763" customFormat="false" ht="15" hidden="false" customHeight="true" outlineLevel="0" collapsed="false"/>
    <row r="34764" customFormat="false" ht="15" hidden="false" customHeight="true" outlineLevel="0" collapsed="false"/>
    <row r="34765" customFormat="false" ht="15" hidden="false" customHeight="true" outlineLevel="0" collapsed="false"/>
    <row r="34766" customFormat="false" ht="15" hidden="false" customHeight="true" outlineLevel="0" collapsed="false"/>
    <row r="34767" customFormat="false" ht="15" hidden="false" customHeight="true" outlineLevel="0" collapsed="false"/>
    <row r="34768" customFormat="false" ht="15" hidden="false" customHeight="true" outlineLevel="0" collapsed="false"/>
    <row r="34769" customFormat="false" ht="15" hidden="false" customHeight="true" outlineLevel="0" collapsed="false"/>
    <row r="34770" customFormat="false" ht="15" hidden="false" customHeight="true" outlineLevel="0" collapsed="false"/>
    <row r="34771" customFormat="false" ht="15" hidden="false" customHeight="true" outlineLevel="0" collapsed="false"/>
    <row r="34772" customFormat="false" ht="15" hidden="false" customHeight="true" outlineLevel="0" collapsed="false"/>
    <row r="34773" customFormat="false" ht="15" hidden="false" customHeight="true" outlineLevel="0" collapsed="false"/>
    <row r="34774" customFormat="false" ht="15" hidden="false" customHeight="true" outlineLevel="0" collapsed="false"/>
    <row r="34775" customFormat="false" ht="15" hidden="false" customHeight="true" outlineLevel="0" collapsed="false"/>
    <row r="34776" customFormat="false" ht="15" hidden="false" customHeight="true" outlineLevel="0" collapsed="false"/>
    <row r="34777" customFormat="false" ht="15" hidden="false" customHeight="true" outlineLevel="0" collapsed="false"/>
    <row r="34778" customFormat="false" ht="15" hidden="false" customHeight="true" outlineLevel="0" collapsed="false"/>
    <row r="34779" customFormat="false" ht="15" hidden="false" customHeight="true" outlineLevel="0" collapsed="false"/>
    <row r="34780" customFormat="false" ht="15" hidden="false" customHeight="true" outlineLevel="0" collapsed="false"/>
    <row r="34781" customFormat="false" ht="15" hidden="false" customHeight="true" outlineLevel="0" collapsed="false"/>
    <row r="34782" customFormat="false" ht="15" hidden="false" customHeight="true" outlineLevel="0" collapsed="false"/>
    <row r="34783" customFormat="false" ht="15" hidden="false" customHeight="true" outlineLevel="0" collapsed="false"/>
    <row r="34784" customFormat="false" ht="15" hidden="false" customHeight="true" outlineLevel="0" collapsed="false"/>
    <row r="34785" customFormat="false" ht="15" hidden="false" customHeight="true" outlineLevel="0" collapsed="false"/>
    <row r="34786" customFormat="false" ht="15" hidden="false" customHeight="true" outlineLevel="0" collapsed="false"/>
    <row r="34787" customFormat="false" ht="15" hidden="false" customHeight="true" outlineLevel="0" collapsed="false"/>
    <row r="34788" customFormat="false" ht="15" hidden="false" customHeight="true" outlineLevel="0" collapsed="false"/>
    <row r="34789" customFormat="false" ht="15" hidden="false" customHeight="true" outlineLevel="0" collapsed="false"/>
    <row r="34790" customFormat="false" ht="15" hidden="false" customHeight="true" outlineLevel="0" collapsed="false"/>
    <row r="34791" customFormat="false" ht="15" hidden="false" customHeight="true" outlineLevel="0" collapsed="false"/>
    <row r="34792" customFormat="false" ht="15" hidden="false" customHeight="true" outlineLevel="0" collapsed="false"/>
    <row r="34793" customFormat="false" ht="15" hidden="false" customHeight="true" outlineLevel="0" collapsed="false"/>
    <row r="34794" customFormat="false" ht="15" hidden="false" customHeight="true" outlineLevel="0" collapsed="false"/>
    <row r="34795" customFormat="false" ht="15" hidden="false" customHeight="true" outlineLevel="0" collapsed="false"/>
    <row r="34796" customFormat="false" ht="15" hidden="false" customHeight="true" outlineLevel="0" collapsed="false"/>
    <row r="34797" customFormat="false" ht="15" hidden="false" customHeight="true" outlineLevel="0" collapsed="false"/>
    <row r="34798" customFormat="false" ht="15" hidden="false" customHeight="true" outlineLevel="0" collapsed="false"/>
    <row r="34799" customFormat="false" ht="15" hidden="false" customHeight="true" outlineLevel="0" collapsed="false"/>
    <row r="34800" customFormat="false" ht="15" hidden="false" customHeight="true" outlineLevel="0" collapsed="false"/>
    <row r="34801" customFormat="false" ht="15" hidden="false" customHeight="true" outlineLevel="0" collapsed="false"/>
    <row r="34802" customFormat="false" ht="15" hidden="false" customHeight="true" outlineLevel="0" collapsed="false"/>
    <row r="34803" customFormat="false" ht="15" hidden="false" customHeight="true" outlineLevel="0" collapsed="false"/>
    <row r="34804" customFormat="false" ht="15" hidden="false" customHeight="true" outlineLevel="0" collapsed="false"/>
    <row r="34805" customFormat="false" ht="15" hidden="false" customHeight="true" outlineLevel="0" collapsed="false"/>
    <row r="34806" customFormat="false" ht="15" hidden="false" customHeight="true" outlineLevel="0" collapsed="false"/>
    <row r="34807" customFormat="false" ht="15" hidden="false" customHeight="true" outlineLevel="0" collapsed="false"/>
    <row r="34808" customFormat="false" ht="15" hidden="false" customHeight="true" outlineLevel="0" collapsed="false"/>
    <row r="34809" customFormat="false" ht="15" hidden="false" customHeight="true" outlineLevel="0" collapsed="false"/>
    <row r="34810" customFormat="false" ht="15" hidden="false" customHeight="true" outlineLevel="0" collapsed="false"/>
    <row r="34811" customFormat="false" ht="15" hidden="false" customHeight="true" outlineLevel="0" collapsed="false"/>
    <row r="34812" customFormat="false" ht="15" hidden="false" customHeight="true" outlineLevel="0" collapsed="false"/>
    <row r="34813" customFormat="false" ht="15" hidden="false" customHeight="true" outlineLevel="0" collapsed="false"/>
    <row r="34814" customFormat="false" ht="15" hidden="false" customHeight="true" outlineLevel="0" collapsed="false"/>
    <row r="34815" customFormat="false" ht="15" hidden="false" customHeight="true" outlineLevel="0" collapsed="false"/>
    <row r="34816" customFormat="false" ht="15" hidden="false" customHeight="true" outlineLevel="0" collapsed="false"/>
    <row r="34817" customFormat="false" ht="15" hidden="false" customHeight="true" outlineLevel="0" collapsed="false"/>
    <row r="34818" customFormat="false" ht="15" hidden="false" customHeight="true" outlineLevel="0" collapsed="false"/>
    <row r="34819" customFormat="false" ht="15" hidden="false" customHeight="true" outlineLevel="0" collapsed="false"/>
    <row r="34820" customFormat="false" ht="15" hidden="false" customHeight="true" outlineLevel="0" collapsed="false"/>
    <row r="34821" customFormat="false" ht="15" hidden="false" customHeight="true" outlineLevel="0" collapsed="false"/>
    <row r="34822" customFormat="false" ht="15" hidden="false" customHeight="true" outlineLevel="0" collapsed="false"/>
    <row r="34823" customFormat="false" ht="15" hidden="false" customHeight="true" outlineLevel="0" collapsed="false"/>
    <row r="34824" customFormat="false" ht="15" hidden="false" customHeight="true" outlineLevel="0" collapsed="false"/>
    <row r="34825" customFormat="false" ht="15" hidden="false" customHeight="true" outlineLevel="0" collapsed="false"/>
    <row r="34826" customFormat="false" ht="15" hidden="false" customHeight="true" outlineLevel="0" collapsed="false"/>
    <row r="34827" customFormat="false" ht="15" hidden="false" customHeight="true" outlineLevel="0" collapsed="false"/>
    <row r="34828" customFormat="false" ht="15" hidden="false" customHeight="true" outlineLevel="0" collapsed="false"/>
    <row r="34829" customFormat="false" ht="15" hidden="false" customHeight="true" outlineLevel="0" collapsed="false"/>
    <row r="34830" customFormat="false" ht="15" hidden="false" customHeight="true" outlineLevel="0" collapsed="false"/>
    <row r="34831" customFormat="false" ht="15" hidden="false" customHeight="true" outlineLevel="0" collapsed="false"/>
    <row r="34832" customFormat="false" ht="15" hidden="false" customHeight="true" outlineLevel="0" collapsed="false"/>
    <row r="34833" customFormat="false" ht="15" hidden="false" customHeight="true" outlineLevel="0" collapsed="false"/>
    <row r="34834" customFormat="false" ht="15" hidden="false" customHeight="true" outlineLevel="0" collapsed="false"/>
    <row r="34835" customFormat="false" ht="15" hidden="false" customHeight="true" outlineLevel="0" collapsed="false"/>
    <row r="34836" customFormat="false" ht="15" hidden="false" customHeight="true" outlineLevel="0" collapsed="false"/>
    <row r="34837" customFormat="false" ht="15" hidden="false" customHeight="true" outlineLevel="0" collapsed="false"/>
    <row r="34838" customFormat="false" ht="15" hidden="false" customHeight="true" outlineLevel="0" collapsed="false"/>
    <row r="34839" customFormat="false" ht="15" hidden="false" customHeight="true" outlineLevel="0" collapsed="false"/>
    <row r="34840" customFormat="false" ht="15" hidden="false" customHeight="true" outlineLevel="0" collapsed="false"/>
    <row r="34841" customFormat="false" ht="15" hidden="false" customHeight="true" outlineLevel="0" collapsed="false"/>
    <row r="34842" customFormat="false" ht="15" hidden="false" customHeight="true" outlineLevel="0" collapsed="false"/>
    <row r="34843" customFormat="false" ht="15" hidden="false" customHeight="true" outlineLevel="0" collapsed="false"/>
    <row r="34844" customFormat="false" ht="15" hidden="false" customHeight="true" outlineLevel="0" collapsed="false"/>
    <row r="34845" customFormat="false" ht="15" hidden="false" customHeight="true" outlineLevel="0" collapsed="false"/>
    <row r="34846" customFormat="false" ht="15" hidden="false" customHeight="true" outlineLevel="0" collapsed="false"/>
    <row r="34847" customFormat="false" ht="15" hidden="false" customHeight="true" outlineLevel="0" collapsed="false"/>
    <row r="34848" customFormat="false" ht="15" hidden="false" customHeight="true" outlineLevel="0" collapsed="false"/>
    <row r="34849" customFormat="false" ht="15" hidden="false" customHeight="true" outlineLevel="0" collapsed="false"/>
    <row r="34850" customFormat="false" ht="15" hidden="false" customHeight="true" outlineLevel="0" collapsed="false"/>
    <row r="34851" customFormat="false" ht="15" hidden="false" customHeight="true" outlineLevel="0" collapsed="false"/>
    <row r="34852" customFormat="false" ht="15" hidden="false" customHeight="true" outlineLevel="0" collapsed="false"/>
    <row r="34853" customFormat="false" ht="15" hidden="false" customHeight="true" outlineLevel="0" collapsed="false"/>
    <row r="34854" customFormat="false" ht="15" hidden="false" customHeight="true" outlineLevel="0" collapsed="false"/>
    <row r="34855" customFormat="false" ht="15" hidden="false" customHeight="true" outlineLevel="0" collapsed="false"/>
    <row r="34856" customFormat="false" ht="15" hidden="false" customHeight="true" outlineLevel="0" collapsed="false"/>
    <row r="34857" customFormat="false" ht="15" hidden="false" customHeight="true" outlineLevel="0" collapsed="false"/>
    <row r="34858" customFormat="false" ht="15" hidden="false" customHeight="true" outlineLevel="0" collapsed="false"/>
    <row r="34859" customFormat="false" ht="15" hidden="false" customHeight="true" outlineLevel="0" collapsed="false"/>
    <row r="34860" customFormat="false" ht="15" hidden="false" customHeight="true" outlineLevel="0" collapsed="false"/>
    <row r="34861" customFormat="false" ht="15" hidden="false" customHeight="true" outlineLevel="0" collapsed="false"/>
    <row r="34862" customFormat="false" ht="15" hidden="false" customHeight="true" outlineLevel="0" collapsed="false"/>
    <row r="34863" customFormat="false" ht="15" hidden="false" customHeight="true" outlineLevel="0" collapsed="false"/>
    <row r="34864" customFormat="false" ht="15" hidden="false" customHeight="true" outlineLevel="0" collapsed="false"/>
    <row r="34865" customFormat="false" ht="15" hidden="false" customHeight="true" outlineLevel="0" collapsed="false"/>
    <row r="34866" customFormat="false" ht="15" hidden="false" customHeight="true" outlineLevel="0" collapsed="false"/>
    <row r="34867" customFormat="false" ht="15" hidden="false" customHeight="true" outlineLevel="0" collapsed="false"/>
    <row r="34868" customFormat="false" ht="15" hidden="false" customHeight="true" outlineLevel="0" collapsed="false"/>
    <row r="34869" customFormat="false" ht="15" hidden="false" customHeight="true" outlineLevel="0" collapsed="false"/>
    <row r="34870" customFormat="false" ht="15" hidden="false" customHeight="true" outlineLevel="0" collapsed="false"/>
    <row r="34871" customFormat="false" ht="15" hidden="false" customHeight="true" outlineLevel="0" collapsed="false"/>
    <row r="34872" customFormat="false" ht="15" hidden="false" customHeight="true" outlineLevel="0" collapsed="false"/>
    <row r="34873" customFormat="false" ht="15" hidden="false" customHeight="true" outlineLevel="0" collapsed="false"/>
    <row r="34874" customFormat="false" ht="15" hidden="false" customHeight="true" outlineLevel="0" collapsed="false"/>
    <row r="34875" customFormat="false" ht="15" hidden="false" customHeight="true" outlineLevel="0" collapsed="false"/>
    <row r="34876" customFormat="false" ht="15" hidden="false" customHeight="true" outlineLevel="0" collapsed="false"/>
    <row r="34877" customFormat="false" ht="15" hidden="false" customHeight="true" outlineLevel="0" collapsed="false"/>
    <row r="34878" customFormat="false" ht="15" hidden="false" customHeight="true" outlineLevel="0" collapsed="false"/>
    <row r="34879" customFormat="false" ht="15" hidden="false" customHeight="true" outlineLevel="0" collapsed="false"/>
    <row r="34880" customFormat="false" ht="15" hidden="false" customHeight="true" outlineLevel="0" collapsed="false"/>
    <row r="34881" customFormat="false" ht="15" hidden="false" customHeight="true" outlineLevel="0" collapsed="false"/>
    <row r="34882" customFormat="false" ht="15" hidden="false" customHeight="true" outlineLevel="0" collapsed="false"/>
    <row r="34883" customFormat="false" ht="15" hidden="false" customHeight="true" outlineLevel="0" collapsed="false"/>
    <row r="34884" customFormat="false" ht="15" hidden="false" customHeight="true" outlineLevel="0" collapsed="false"/>
    <row r="34885" customFormat="false" ht="15" hidden="false" customHeight="true" outlineLevel="0" collapsed="false"/>
    <row r="34886" customFormat="false" ht="15" hidden="false" customHeight="true" outlineLevel="0" collapsed="false"/>
    <row r="34887" customFormat="false" ht="15" hidden="false" customHeight="true" outlineLevel="0" collapsed="false"/>
    <row r="34888" customFormat="false" ht="15" hidden="false" customHeight="true" outlineLevel="0" collapsed="false"/>
    <row r="34889" customFormat="false" ht="15" hidden="false" customHeight="true" outlineLevel="0" collapsed="false"/>
    <row r="34890" customFormat="false" ht="15" hidden="false" customHeight="true" outlineLevel="0" collapsed="false"/>
    <row r="34891" customFormat="false" ht="15" hidden="false" customHeight="true" outlineLevel="0" collapsed="false"/>
    <row r="34892" customFormat="false" ht="15" hidden="false" customHeight="true" outlineLevel="0" collapsed="false"/>
    <row r="34893" customFormat="false" ht="15" hidden="false" customHeight="true" outlineLevel="0" collapsed="false"/>
    <row r="34894" customFormat="false" ht="15" hidden="false" customHeight="true" outlineLevel="0" collapsed="false"/>
    <row r="34895" customFormat="false" ht="15" hidden="false" customHeight="true" outlineLevel="0" collapsed="false"/>
    <row r="34896" customFormat="false" ht="15" hidden="false" customHeight="true" outlineLevel="0" collapsed="false"/>
    <row r="34897" customFormat="false" ht="15" hidden="false" customHeight="true" outlineLevel="0" collapsed="false"/>
    <row r="34898" customFormat="false" ht="15" hidden="false" customHeight="true" outlineLevel="0" collapsed="false"/>
    <row r="34899" customFormat="false" ht="15" hidden="false" customHeight="true" outlineLevel="0" collapsed="false"/>
    <row r="34900" customFormat="false" ht="15" hidden="false" customHeight="true" outlineLevel="0" collapsed="false"/>
    <row r="34901" customFormat="false" ht="15" hidden="false" customHeight="true" outlineLevel="0" collapsed="false"/>
    <row r="34902" customFormat="false" ht="15" hidden="false" customHeight="true" outlineLevel="0" collapsed="false"/>
    <row r="34903" customFormat="false" ht="15" hidden="false" customHeight="true" outlineLevel="0" collapsed="false"/>
    <row r="34904" customFormat="false" ht="15" hidden="false" customHeight="true" outlineLevel="0" collapsed="false"/>
    <row r="34905" customFormat="false" ht="15" hidden="false" customHeight="true" outlineLevel="0" collapsed="false"/>
    <row r="34906" customFormat="false" ht="15" hidden="false" customHeight="true" outlineLevel="0" collapsed="false"/>
    <row r="34907" customFormat="false" ht="15" hidden="false" customHeight="true" outlineLevel="0" collapsed="false"/>
    <row r="34908" customFormat="false" ht="15" hidden="false" customHeight="true" outlineLevel="0" collapsed="false"/>
    <row r="34909" customFormat="false" ht="15" hidden="false" customHeight="true" outlineLevel="0" collapsed="false"/>
    <row r="34910" customFormat="false" ht="15" hidden="false" customHeight="true" outlineLevel="0" collapsed="false"/>
    <row r="34911" customFormat="false" ht="15" hidden="false" customHeight="true" outlineLevel="0" collapsed="false"/>
    <row r="34912" customFormat="false" ht="15" hidden="false" customHeight="true" outlineLevel="0" collapsed="false"/>
    <row r="34913" customFormat="false" ht="15" hidden="false" customHeight="true" outlineLevel="0" collapsed="false"/>
    <row r="34914" customFormat="false" ht="15" hidden="false" customHeight="true" outlineLevel="0" collapsed="false"/>
    <row r="34915" customFormat="false" ht="15" hidden="false" customHeight="true" outlineLevel="0" collapsed="false"/>
    <row r="34916" customFormat="false" ht="15" hidden="false" customHeight="true" outlineLevel="0" collapsed="false"/>
    <row r="34917" customFormat="false" ht="15" hidden="false" customHeight="true" outlineLevel="0" collapsed="false"/>
    <row r="34918" customFormat="false" ht="15" hidden="false" customHeight="true" outlineLevel="0" collapsed="false"/>
    <row r="34919" customFormat="false" ht="15" hidden="false" customHeight="true" outlineLevel="0" collapsed="false"/>
    <row r="34920" customFormat="false" ht="15" hidden="false" customHeight="true" outlineLevel="0" collapsed="false"/>
    <row r="34921" customFormat="false" ht="15" hidden="false" customHeight="true" outlineLevel="0" collapsed="false"/>
    <row r="34922" customFormat="false" ht="15" hidden="false" customHeight="true" outlineLevel="0" collapsed="false"/>
    <row r="34923" customFormat="false" ht="15" hidden="false" customHeight="true" outlineLevel="0" collapsed="false"/>
    <row r="34924" customFormat="false" ht="15" hidden="false" customHeight="true" outlineLevel="0" collapsed="false"/>
    <row r="34925" customFormat="false" ht="15" hidden="false" customHeight="true" outlineLevel="0" collapsed="false"/>
    <row r="34926" customFormat="false" ht="15" hidden="false" customHeight="true" outlineLevel="0" collapsed="false"/>
    <row r="34927" customFormat="false" ht="15" hidden="false" customHeight="true" outlineLevel="0" collapsed="false"/>
    <row r="34928" customFormat="false" ht="15" hidden="false" customHeight="true" outlineLevel="0" collapsed="false"/>
    <row r="34929" customFormat="false" ht="15" hidden="false" customHeight="true" outlineLevel="0" collapsed="false"/>
    <row r="34930" customFormat="false" ht="15" hidden="false" customHeight="true" outlineLevel="0" collapsed="false"/>
    <row r="34931" customFormat="false" ht="15" hidden="false" customHeight="true" outlineLevel="0" collapsed="false"/>
    <row r="34932" customFormat="false" ht="15" hidden="false" customHeight="true" outlineLevel="0" collapsed="false"/>
    <row r="34933" customFormat="false" ht="15" hidden="false" customHeight="true" outlineLevel="0" collapsed="false"/>
    <row r="34934" customFormat="false" ht="15" hidden="false" customHeight="true" outlineLevel="0" collapsed="false"/>
    <row r="34935" customFormat="false" ht="15" hidden="false" customHeight="true" outlineLevel="0" collapsed="false"/>
    <row r="34936" customFormat="false" ht="15" hidden="false" customHeight="true" outlineLevel="0" collapsed="false"/>
    <row r="34937" customFormat="false" ht="15" hidden="false" customHeight="true" outlineLevel="0" collapsed="false"/>
    <row r="34938" customFormat="false" ht="15" hidden="false" customHeight="true" outlineLevel="0" collapsed="false"/>
    <row r="34939" customFormat="false" ht="15" hidden="false" customHeight="true" outlineLevel="0" collapsed="false"/>
    <row r="34940" customFormat="false" ht="15" hidden="false" customHeight="true" outlineLevel="0" collapsed="false"/>
    <row r="34941" customFormat="false" ht="15" hidden="false" customHeight="true" outlineLevel="0" collapsed="false"/>
    <row r="34942" customFormat="false" ht="15" hidden="false" customHeight="true" outlineLevel="0" collapsed="false"/>
    <row r="34943" customFormat="false" ht="15" hidden="false" customHeight="true" outlineLevel="0" collapsed="false"/>
    <row r="34944" customFormat="false" ht="15" hidden="false" customHeight="true" outlineLevel="0" collapsed="false"/>
    <row r="34945" customFormat="false" ht="15" hidden="false" customHeight="true" outlineLevel="0" collapsed="false"/>
    <row r="34946" customFormat="false" ht="15" hidden="false" customHeight="true" outlineLevel="0" collapsed="false"/>
    <row r="34947" customFormat="false" ht="15" hidden="false" customHeight="true" outlineLevel="0" collapsed="false"/>
    <row r="34948" customFormat="false" ht="15" hidden="false" customHeight="true" outlineLevel="0" collapsed="false"/>
    <row r="34949" customFormat="false" ht="15" hidden="false" customHeight="true" outlineLevel="0" collapsed="false"/>
    <row r="34950" customFormat="false" ht="15" hidden="false" customHeight="true" outlineLevel="0" collapsed="false"/>
    <row r="34951" customFormat="false" ht="15" hidden="false" customHeight="true" outlineLevel="0" collapsed="false"/>
    <row r="34952" customFormat="false" ht="15" hidden="false" customHeight="true" outlineLevel="0" collapsed="false"/>
    <row r="34953" customFormat="false" ht="15" hidden="false" customHeight="true" outlineLevel="0" collapsed="false"/>
    <row r="34954" customFormat="false" ht="15" hidden="false" customHeight="true" outlineLevel="0" collapsed="false"/>
    <row r="34955" customFormat="false" ht="15" hidden="false" customHeight="true" outlineLevel="0" collapsed="false"/>
    <row r="34956" customFormat="false" ht="15" hidden="false" customHeight="true" outlineLevel="0" collapsed="false"/>
    <row r="34957" customFormat="false" ht="15" hidden="false" customHeight="true" outlineLevel="0" collapsed="false"/>
    <row r="34958" customFormat="false" ht="15" hidden="false" customHeight="true" outlineLevel="0" collapsed="false"/>
    <row r="34959" customFormat="false" ht="15" hidden="false" customHeight="true" outlineLevel="0" collapsed="false"/>
    <row r="34960" customFormat="false" ht="15" hidden="false" customHeight="true" outlineLevel="0" collapsed="false"/>
    <row r="34961" customFormat="false" ht="15" hidden="false" customHeight="true" outlineLevel="0" collapsed="false"/>
    <row r="34962" customFormat="false" ht="15" hidden="false" customHeight="true" outlineLevel="0" collapsed="false"/>
    <row r="34963" customFormat="false" ht="15" hidden="false" customHeight="true" outlineLevel="0" collapsed="false"/>
    <row r="34964" customFormat="false" ht="15" hidden="false" customHeight="true" outlineLevel="0" collapsed="false"/>
    <row r="34965" customFormat="false" ht="15" hidden="false" customHeight="true" outlineLevel="0" collapsed="false"/>
    <row r="34966" customFormat="false" ht="15" hidden="false" customHeight="true" outlineLevel="0" collapsed="false"/>
    <row r="34967" customFormat="false" ht="15" hidden="false" customHeight="true" outlineLevel="0" collapsed="false"/>
    <row r="34968" customFormat="false" ht="15" hidden="false" customHeight="true" outlineLevel="0" collapsed="false"/>
    <row r="34969" customFormat="false" ht="15" hidden="false" customHeight="true" outlineLevel="0" collapsed="false"/>
    <row r="34970" customFormat="false" ht="15" hidden="false" customHeight="true" outlineLevel="0" collapsed="false"/>
    <row r="34971" customFormat="false" ht="15" hidden="false" customHeight="true" outlineLevel="0" collapsed="false"/>
    <row r="34972" customFormat="false" ht="15" hidden="false" customHeight="true" outlineLevel="0" collapsed="false"/>
    <row r="34973" customFormat="false" ht="15" hidden="false" customHeight="true" outlineLevel="0" collapsed="false"/>
    <row r="34974" customFormat="false" ht="15" hidden="false" customHeight="true" outlineLevel="0" collapsed="false"/>
    <row r="34975" customFormat="false" ht="15" hidden="false" customHeight="true" outlineLevel="0" collapsed="false"/>
    <row r="34976" customFormat="false" ht="15" hidden="false" customHeight="true" outlineLevel="0" collapsed="false"/>
    <row r="34977" customFormat="false" ht="15" hidden="false" customHeight="true" outlineLevel="0" collapsed="false"/>
    <row r="34978" customFormat="false" ht="15" hidden="false" customHeight="true" outlineLevel="0" collapsed="false"/>
    <row r="34979" customFormat="false" ht="15" hidden="false" customHeight="true" outlineLevel="0" collapsed="false"/>
    <row r="34980" customFormat="false" ht="15" hidden="false" customHeight="true" outlineLevel="0" collapsed="false"/>
    <row r="34981" customFormat="false" ht="15" hidden="false" customHeight="true" outlineLevel="0" collapsed="false"/>
    <row r="34982" customFormat="false" ht="15" hidden="false" customHeight="true" outlineLevel="0" collapsed="false"/>
    <row r="34983" customFormat="false" ht="15" hidden="false" customHeight="true" outlineLevel="0" collapsed="false"/>
    <row r="34984" customFormat="false" ht="15" hidden="false" customHeight="true" outlineLevel="0" collapsed="false"/>
    <row r="34985" customFormat="false" ht="15" hidden="false" customHeight="true" outlineLevel="0" collapsed="false"/>
    <row r="34986" customFormat="false" ht="15" hidden="false" customHeight="true" outlineLevel="0" collapsed="false"/>
    <row r="34987" customFormat="false" ht="15" hidden="false" customHeight="true" outlineLevel="0" collapsed="false"/>
    <row r="34988" customFormat="false" ht="15" hidden="false" customHeight="true" outlineLevel="0" collapsed="false"/>
    <row r="34989" customFormat="false" ht="15" hidden="false" customHeight="true" outlineLevel="0" collapsed="false"/>
    <row r="34990" customFormat="false" ht="15" hidden="false" customHeight="true" outlineLevel="0" collapsed="false"/>
    <row r="34991" customFormat="false" ht="15" hidden="false" customHeight="true" outlineLevel="0" collapsed="false"/>
    <row r="34992" customFormat="false" ht="15" hidden="false" customHeight="true" outlineLevel="0" collapsed="false"/>
    <row r="34993" customFormat="false" ht="15" hidden="false" customHeight="true" outlineLevel="0" collapsed="false"/>
    <row r="34994" customFormat="false" ht="15" hidden="false" customHeight="true" outlineLevel="0" collapsed="false"/>
    <row r="34995" customFormat="false" ht="15" hidden="false" customHeight="true" outlineLevel="0" collapsed="false"/>
    <row r="34996" customFormat="false" ht="15" hidden="false" customHeight="true" outlineLevel="0" collapsed="false"/>
    <row r="34997" customFormat="false" ht="15" hidden="false" customHeight="true" outlineLevel="0" collapsed="false"/>
    <row r="34998" customFormat="false" ht="15" hidden="false" customHeight="true" outlineLevel="0" collapsed="false"/>
    <row r="34999" customFormat="false" ht="15" hidden="false" customHeight="true" outlineLevel="0" collapsed="false"/>
    <row r="35000" customFormat="false" ht="15" hidden="false" customHeight="true" outlineLevel="0" collapsed="false"/>
    <row r="35001" customFormat="false" ht="15" hidden="false" customHeight="true" outlineLevel="0" collapsed="false"/>
    <row r="35002" customFormat="false" ht="15" hidden="false" customHeight="true" outlineLevel="0" collapsed="false"/>
    <row r="35003" customFormat="false" ht="15" hidden="false" customHeight="true" outlineLevel="0" collapsed="false"/>
    <row r="35004" customFormat="false" ht="15" hidden="false" customHeight="true" outlineLevel="0" collapsed="false"/>
    <row r="35005" customFormat="false" ht="15" hidden="false" customHeight="true" outlineLevel="0" collapsed="false"/>
    <row r="35006" customFormat="false" ht="15" hidden="false" customHeight="true" outlineLevel="0" collapsed="false"/>
    <row r="35007" customFormat="false" ht="15" hidden="false" customHeight="true" outlineLevel="0" collapsed="false"/>
    <row r="35008" customFormat="false" ht="15" hidden="false" customHeight="true" outlineLevel="0" collapsed="false"/>
    <row r="35009" customFormat="false" ht="15" hidden="false" customHeight="true" outlineLevel="0" collapsed="false"/>
    <row r="35010" customFormat="false" ht="15" hidden="false" customHeight="true" outlineLevel="0" collapsed="false"/>
    <row r="35011" customFormat="false" ht="15" hidden="false" customHeight="true" outlineLevel="0" collapsed="false"/>
    <row r="35012" customFormat="false" ht="15" hidden="false" customHeight="true" outlineLevel="0" collapsed="false"/>
    <row r="35013" customFormat="false" ht="15" hidden="false" customHeight="true" outlineLevel="0" collapsed="false"/>
    <row r="35014" customFormat="false" ht="15" hidden="false" customHeight="true" outlineLevel="0" collapsed="false"/>
    <row r="35015" customFormat="false" ht="15" hidden="false" customHeight="true" outlineLevel="0" collapsed="false"/>
    <row r="35016" customFormat="false" ht="15" hidden="false" customHeight="true" outlineLevel="0" collapsed="false"/>
    <row r="35017" customFormat="false" ht="15" hidden="false" customHeight="true" outlineLevel="0" collapsed="false"/>
    <row r="35018" customFormat="false" ht="15" hidden="false" customHeight="true" outlineLevel="0" collapsed="false"/>
    <row r="35019" customFormat="false" ht="15" hidden="false" customHeight="true" outlineLevel="0" collapsed="false"/>
    <row r="35020" customFormat="false" ht="15" hidden="false" customHeight="true" outlineLevel="0" collapsed="false"/>
    <row r="35021" customFormat="false" ht="15" hidden="false" customHeight="true" outlineLevel="0" collapsed="false"/>
    <row r="35022" customFormat="false" ht="15" hidden="false" customHeight="true" outlineLevel="0" collapsed="false"/>
    <row r="35023" customFormat="false" ht="15" hidden="false" customHeight="true" outlineLevel="0" collapsed="false"/>
    <row r="35024" customFormat="false" ht="15" hidden="false" customHeight="true" outlineLevel="0" collapsed="false"/>
    <row r="35025" customFormat="false" ht="15" hidden="false" customHeight="true" outlineLevel="0" collapsed="false"/>
    <row r="35026" customFormat="false" ht="15" hidden="false" customHeight="true" outlineLevel="0" collapsed="false"/>
    <row r="35027" customFormat="false" ht="15" hidden="false" customHeight="true" outlineLevel="0" collapsed="false"/>
    <row r="35028" customFormat="false" ht="15" hidden="false" customHeight="true" outlineLevel="0" collapsed="false"/>
    <row r="35029" customFormat="false" ht="15" hidden="false" customHeight="true" outlineLevel="0" collapsed="false"/>
    <row r="35030" customFormat="false" ht="15" hidden="false" customHeight="true" outlineLevel="0" collapsed="false"/>
    <row r="35031" customFormat="false" ht="15" hidden="false" customHeight="true" outlineLevel="0" collapsed="false"/>
    <row r="35032" customFormat="false" ht="15" hidden="false" customHeight="true" outlineLevel="0" collapsed="false"/>
    <row r="35033" customFormat="false" ht="15" hidden="false" customHeight="true" outlineLevel="0" collapsed="false"/>
    <row r="35034" customFormat="false" ht="15" hidden="false" customHeight="true" outlineLevel="0" collapsed="false"/>
    <row r="35035" customFormat="false" ht="15" hidden="false" customHeight="true" outlineLevel="0" collapsed="false"/>
    <row r="35036" customFormat="false" ht="15" hidden="false" customHeight="true" outlineLevel="0" collapsed="false"/>
    <row r="35037" customFormat="false" ht="15" hidden="false" customHeight="true" outlineLevel="0" collapsed="false"/>
    <row r="35038" customFormat="false" ht="15" hidden="false" customHeight="true" outlineLevel="0" collapsed="false"/>
    <row r="35039" customFormat="false" ht="15" hidden="false" customHeight="true" outlineLevel="0" collapsed="false"/>
    <row r="35040" customFormat="false" ht="15" hidden="false" customHeight="true" outlineLevel="0" collapsed="false"/>
    <row r="35041" customFormat="false" ht="15" hidden="false" customHeight="true" outlineLevel="0" collapsed="false"/>
    <row r="35042" customFormat="false" ht="15" hidden="false" customHeight="true" outlineLevel="0" collapsed="false"/>
    <row r="35043" customFormat="false" ht="15" hidden="false" customHeight="true" outlineLevel="0" collapsed="false"/>
    <row r="35044" customFormat="false" ht="15" hidden="false" customHeight="true" outlineLevel="0" collapsed="false"/>
    <row r="35045" customFormat="false" ht="15" hidden="false" customHeight="true" outlineLevel="0" collapsed="false"/>
    <row r="35046" customFormat="false" ht="15" hidden="false" customHeight="true" outlineLevel="0" collapsed="false"/>
    <row r="35047" customFormat="false" ht="15" hidden="false" customHeight="true" outlineLevel="0" collapsed="false"/>
    <row r="35048" customFormat="false" ht="15" hidden="false" customHeight="true" outlineLevel="0" collapsed="false"/>
    <row r="35049" customFormat="false" ht="15" hidden="false" customHeight="true" outlineLevel="0" collapsed="false"/>
    <row r="35050" customFormat="false" ht="15" hidden="false" customHeight="true" outlineLevel="0" collapsed="false"/>
    <row r="35051" customFormat="false" ht="15" hidden="false" customHeight="true" outlineLevel="0" collapsed="false"/>
    <row r="35052" customFormat="false" ht="15" hidden="false" customHeight="true" outlineLevel="0" collapsed="false"/>
    <row r="35053" customFormat="false" ht="15" hidden="false" customHeight="true" outlineLevel="0" collapsed="false"/>
    <row r="35054" customFormat="false" ht="15" hidden="false" customHeight="true" outlineLevel="0" collapsed="false"/>
    <row r="35055" customFormat="false" ht="15" hidden="false" customHeight="true" outlineLevel="0" collapsed="false"/>
    <row r="35056" customFormat="false" ht="15" hidden="false" customHeight="true" outlineLevel="0" collapsed="false"/>
    <row r="35057" customFormat="false" ht="15" hidden="false" customHeight="true" outlineLevel="0" collapsed="false"/>
    <row r="35058" customFormat="false" ht="15" hidden="false" customHeight="true" outlineLevel="0" collapsed="false"/>
    <row r="35059" customFormat="false" ht="15" hidden="false" customHeight="true" outlineLevel="0" collapsed="false"/>
    <row r="35060" customFormat="false" ht="15" hidden="false" customHeight="true" outlineLevel="0" collapsed="false"/>
    <row r="35061" customFormat="false" ht="15" hidden="false" customHeight="true" outlineLevel="0" collapsed="false"/>
    <row r="35062" customFormat="false" ht="15" hidden="false" customHeight="true" outlineLevel="0" collapsed="false"/>
    <row r="35063" customFormat="false" ht="15" hidden="false" customHeight="true" outlineLevel="0" collapsed="false"/>
    <row r="35064" customFormat="false" ht="15" hidden="false" customHeight="true" outlineLevel="0" collapsed="false"/>
    <row r="35065" customFormat="false" ht="15" hidden="false" customHeight="true" outlineLevel="0" collapsed="false"/>
    <row r="35066" customFormat="false" ht="15" hidden="false" customHeight="true" outlineLevel="0" collapsed="false"/>
    <row r="35067" customFormat="false" ht="15" hidden="false" customHeight="true" outlineLevel="0" collapsed="false"/>
    <row r="35068" customFormat="false" ht="15" hidden="false" customHeight="true" outlineLevel="0" collapsed="false"/>
    <row r="35069" customFormat="false" ht="15" hidden="false" customHeight="true" outlineLevel="0" collapsed="false"/>
    <row r="35070" customFormat="false" ht="15" hidden="false" customHeight="true" outlineLevel="0" collapsed="false"/>
    <row r="35071" customFormat="false" ht="15" hidden="false" customHeight="true" outlineLevel="0" collapsed="false"/>
    <row r="35072" customFormat="false" ht="15" hidden="false" customHeight="true" outlineLevel="0" collapsed="false"/>
    <row r="35073" customFormat="false" ht="15" hidden="false" customHeight="true" outlineLevel="0" collapsed="false"/>
    <row r="35074" customFormat="false" ht="15" hidden="false" customHeight="true" outlineLevel="0" collapsed="false"/>
    <row r="35075" customFormat="false" ht="15" hidden="false" customHeight="true" outlineLevel="0" collapsed="false"/>
    <row r="35076" customFormat="false" ht="15" hidden="false" customHeight="true" outlineLevel="0" collapsed="false"/>
    <row r="35077" customFormat="false" ht="15" hidden="false" customHeight="true" outlineLevel="0" collapsed="false"/>
    <row r="35078" customFormat="false" ht="15" hidden="false" customHeight="true" outlineLevel="0" collapsed="false"/>
    <row r="35079" customFormat="false" ht="15" hidden="false" customHeight="true" outlineLevel="0" collapsed="false"/>
    <row r="35080" customFormat="false" ht="15" hidden="false" customHeight="true" outlineLevel="0" collapsed="false"/>
    <row r="35081" customFormat="false" ht="15" hidden="false" customHeight="true" outlineLevel="0" collapsed="false"/>
    <row r="35082" customFormat="false" ht="15" hidden="false" customHeight="true" outlineLevel="0" collapsed="false"/>
    <row r="35083" customFormat="false" ht="15" hidden="false" customHeight="true" outlineLevel="0" collapsed="false"/>
    <row r="35084" customFormat="false" ht="15" hidden="false" customHeight="true" outlineLevel="0" collapsed="false"/>
    <row r="35085" customFormat="false" ht="15" hidden="false" customHeight="true" outlineLevel="0" collapsed="false"/>
    <row r="35086" customFormat="false" ht="15" hidden="false" customHeight="true" outlineLevel="0" collapsed="false"/>
    <row r="35087" customFormat="false" ht="15" hidden="false" customHeight="true" outlineLevel="0" collapsed="false"/>
    <row r="35088" customFormat="false" ht="15" hidden="false" customHeight="true" outlineLevel="0" collapsed="false"/>
    <row r="35089" customFormat="false" ht="15" hidden="false" customHeight="true" outlineLevel="0" collapsed="false"/>
    <row r="35090" customFormat="false" ht="15" hidden="false" customHeight="true" outlineLevel="0" collapsed="false"/>
    <row r="35091" customFormat="false" ht="15" hidden="false" customHeight="true" outlineLevel="0" collapsed="false"/>
    <row r="35092" customFormat="false" ht="15" hidden="false" customHeight="true" outlineLevel="0" collapsed="false"/>
    <row r="35093" customFormat="false" ht="15" hidden="false" customHeight="true" outlineLevel="0" collapsed="false"/>
    <row r="35094" customFormat="false" ht="15" hidden="false" customHeight="true" outlineLevel="0" collapsed="false"/>
    <row r="35095" customFormat="false" ht="15" hidden="false" customHeight="true" outlineLevel="0" collapsed="false"/>
    <row r="35096" customFormat="false" ht="15" hidden="false" customHeight="true" outlineLevel="0" collapsed="false"/>
    <row r="35097" customFormat="false" ht="15" hidden="false" customHeight="true" outlineLevel="0" collapsed="false"/>
    <row r="35098" customFormat="false" ht="15" hidden="false" customHeight="true" outlineLevel="0" collapsed="false"/>
    <row r="35099" customFormat="false" ht="15" hidden="false" customHeight="true" outlineLevel="0" collapsed="false"/>
    <row r="35100" customFormat="false" ht="15" hidden="false" customHeight="true" outlineLevel="0" collapsed="false"/>
    <row r="35101" customFormat="false" ht="15" hidden="false" customHeight="true" outlineLevel="0" collapsed="false"/>
    <row r="35102" customFormat="false" ht="15" hidden="false" customHeight="true" outlineLevel="0" collapsed="false"/>
    <row r="35103" customFormat="false" ht="15" hidden="false" customHeight="true" outlineLevel="0" collapsed="false"/>
    <row r="35104" customFormat="false" ht="15" hidden="false" customHeight="true" outlineLevel="0" collapsed="false"/>
    <row r="35105" customFormat="false" ht="15" hidden="false" customHeight="true" outlineLevel="0" collapsed="false"/>
    <row r="35106" customFormat="false" ht="15" hidden="false" customHeight="true" outlineLevel="0" collapsed="false"/>
    <row r="35107" customFormat="false" ht="15" hidden="false" customHeight="true" outlineLevel="0" collapsed="false"/>
    <row r="35108" customFormat="false" ht="15" hidden="false" customHeight="true" outlineLevel="0" collapsed="false"/>
    <row r="35109" customFormat="false" ht="15" hidden="false" customHeight="true" outlineLevel="0" collapsed="false"/>
    <row r="35110" customFormat="false" ht="15" hidden="false" customHeight="true" outlineLevel="0" collapsed="false"/>
    <row r="35111" customFormat="false" ht="15" hidden="false" customHeight="true" outlineLevel="0" collapsed="false"/>
    <row r="35112" customFormat="false" ht="15" hidden="false" customHeight="true" outlineLevel="0" collapsed="false"/>
    <row r="35113" customFormat="false" ht="15" hidden="false" customHeight="true" outlineLevel="0" collapsed="false"/>
    <row r="35114" customFormat="false" ht="15" hidden="false" customHeight="true" outlineLevel="0" collapsed="false"/>
    <row r="35115" customFormat="false" ht="15" hidden="false" customHeight="true" outlineLevel="0" collapsed="false"/>
    <row r="35116" customFormat="false" ht="15" hidden="false" customHeight="true" outlineLevel="0" collapsed="false"/>
    <row r="35117" customFormat="false" ht="15" hidden="false" customHeight="true" outlineLevel="0" collapsed="false"/>
    <row r="35118" customFormat="false" ht="15" hidden="false" customHeight="true" outlineLevel="0" collapsed="false"/>
    <row r="35119" customFormat="false" ht="15" hidden="false" customHeight="true" outlineLevel="0" collapsed="false"/>
    <row r="35120" customFormat="false" ht="15" hidden="false" customHeight="true" outlineLevel="0" collapsed="false"/>
    <row r="35121" customFormat="false" ht="15" hidden="false" customHeight="true" outlineLevel="0" collapsed="false"/>
    <row r="35122" customFormat="false" ht="15" hidden="false" customHeight="true" outlineLevel="0" collapsed="false"/>
    <row r="35123" customFormat="false" ht="15" hidden="false" customHeight="true" outlineLevel="0" collapsed="false"/>
    <row r="35124" customFormat="false" ht="15" hidden="false" customHeight="true" outlineLevel="0" collapsed="false"/>
    <row r="35125" customFormat="false" ht="15" hidden="false" customHeight="true" outlineLevel="0" collapsed="false"/>
    <row r="35126" customFormat="false" ht="15" hidden="false" customHeight="true" outlineLevel="0" collapsed="false"/>
    <row r="35127" customFormat="false" ht="15" hidden="false" customHeight="true" outlineLevel="0" collapsed="false"/>
    <row r="35128" customFormat="false" ht="15" hidden="false" customHeight="true" outlineLevel="0" collapsed="false"/>
    <row r="35129" customFormat="false" ht="15" hidden="false" customHeight="true" outlineLevel="0" collapsed="false"/>
    <row r="35130" customFormat="false" ht="15" hidden="false" customHeight="true" outlineLevel="0" collapsed="false"/>
    <row r="35131" customFormat="false" ht="15" hidden="false" customHeight="true" outlineLevel="0" collapsed="false"/>
    <row r="35132" customFormat="false" ht="15" hidden="false" customHeight="true" outlineLevel="0" collapsed="false"/>
    <row r="35133" customFormat="false" ht="15" hidden="false" customHeight="true" outlineLevel="0" collapsed="false"/>
    <row r="35134" customFormat="false" ht="15" hidden="false" customHeight="true" outlineLevel="0" collapsed="false"/>
    <row r="35135" customFormat="false" ht="15" hidden="false" customHeight="true" outlineLevel="0" collapsed="false"/>
    <row r="35136" customFormat="false" ht="15" hidden="false" customHeight="true" outlineLevel="0" collapsed="false"/>
    <row r="35137" customFormat="false" ht="15" hidden="false" customHeight="true" outlineLevel="0" collapsed="false"/>
    <row r="35138" customFormat="false" ht="15" hidden="false" customHeight="true" outlineLevel="0" collapsed="false"/>
    <row r="35139" customFormat="false" ht="15" hidden="false" customHeight="true" outlineLevel="0" collapsed="false"/>
    <row r="35140" customFormat="false" ht="15" hidden="false" customHeight="true" outlineLevel="0" collapsed="false"/>
    <row r="35141" customFormat="false" ht="15" hidden="false" customHeight="true" outlineLevel="0" collapsed="false"/>
    <row r="35142" customFormat="false" ht="15" hidden="false" customHeight="true" outlineLevel="0" collapsed="false"/>
    <row r="35143" customFormat="false" ht="15" hidden="false" customHeight="true" outlineLevel="0" collapsed="false"/>
    <row r="35144" customFormat="false" ht="15" hidden="false" customHeight="true" outlineLevel="0" collapsed="false"/>
    <row r="35145" customFormat="false" ht="15" hidden="false" customHeight="true" outlineLevel="0" collapsed="false"/>
    <row r="35146" customFormat="false" ht="15" hidden="false" customHeight="true" outlineLevel="0" collapsed="false"/>
    <row r="35147" customFormat="false" ht="15" hidden="false" customHeight="true" outlineLevel="0" collapsed="false"/>
    <row r="35148" customFormat="false" ht="15" hidden="false" customHeight="true" outlineLevel="0" collapsed="false"/>
    <row r="35149" customFormat="false" ht="15" hidden="false" customHeight="true" outlineLevel="0" collapsed="false"/>
    <row r="35150" customFormat="false" ht="15" hidden="false" customHeight="true" outlineLevel="0" collapsed="false"/>
    <row r="35151" customFormat="false" ht="15" hidden="false" customHeight="true" outlineLevel="0" collapsed="false"/>
    <row r="35152" customFormat="false" ht="15" hidden="false" customHeight="true" outlineLevel="0" collapsed="false"/>
    <row r="35153" customFormat="false" ht="15" hidden="false" customHeight="true" outlineLevel="0" collapsed="false"/>
    <row r="35154" customFormat="false" ht="15" hidden="false" customHeight="true" outlineLevel="0" collapsed="false"/>
    <row r="35155" customFormat="false" ht="15" hidden="false" customHeight="true" outlineLevel="0" collapsed="false"/>
    <row r="35156" customFormat="false" ht="15" hidden="false" customHeight="true" outlineLevel="0" collapsed="false"/>
    <row r="35157" customFormat="false" ht="15" hidden="false" customHeight="true" outlineLevel="0" collapsed="false"/>
    <row r="35158" customFormat="false" ht="15" hidden="false" customHeight="true" outlineLevel="0" collapsed="false"/>
    <row r="35159" customFormat="false" ht="15" hidden="false" customHeight="true" outlineLevel="0" collapsed="false"/>
    <row r="35160" customFormat="false" ht="15" hidden="false" customHeight="true" outlineLevel="0" collapsed="false"/>
    <row r="35161" customFormat="false" ht="15" hidden="false" customHeight="true" outlineLevel="0" collapsed="false"/>
    <row r="35162" customFormat="false" ht="15" hidden="false" customHeight="true" outlineLevel="0" collapsed="false"/>
    <row r="35163" customFormat="false" ht="15" hidden="false" customHeight="true" outlineLevel="0" collapsed="false"/>
    <row r="35164" customFormat="false" ht="15" hidden="false" customHeight="true" outlineLevel="0" collapsed="false"/>
    <row r="35165" customFormat="false" ht="15" hidden="false" customHeight="true" outlineLevel="0" collapsed="false"/>
    <row r="35166" customFormat="false" ht="15" hidden="false" customHeight="true" outlineLevel="0" collapsed="false"/>
    <row r="35167" customFormat="false" ht="15" hidden="false" customHeight="true" outlineLevel="0" collapsed="false"/>
    <row r="35168" customFormat="false" ht="15" hidden="false" customHeight="true" outlineLevel="0" collapsed="false"/>
    <row r="35169" customFormat="false" ht="15" hidden="false" customHeight="true" outlineLevel="0" collapsed="false"/>
    <row r="35170" customFormat="false" ht="15" hidden="false" customHeight="true" outlineLevel="0" collapsed="false"/>
    <row r="35171" customFormat="false" ht="15" hidden="false" customHeight="true" outlineLevel="0" collapsed="false"/>
    <row r="35172" customFormat="false" ht="15" hidden="false" customHeight="true" outlineLevel="0" collapsed="false"/>
    <row r="35173" customFormat="false" ht="15" hidden="false" customHeight="true" outlineLevel="0" collapsed="false"/>
    <row r="35174" customFormat="false" ht="15" hidden="false" customHeight="true" outlineLevel="0" collapsed="false"/>
    <row r="35175" customFormat="false" ht="15" hidden="false" customHeight="true" outlineLevel="0" collapsed="false"/>
    <row r="35176" customFormat="false" ht="15" hidden="false" customHeight="true" outlineLevel="0" collapsed="false"/>
    <row r="35177" customFormat="false" ht="15" hidden="false" customHeight="true" outlineLevel="0" collapsed="false"/>
    <row r="35178" customFormat="false" ht="15" hidden="false" customHeight="true" outlineLevel="0" collapsed="false"/>
    <row r="35179" customFormat="false" ht="15" hidden="false" customHeight="true" outlineLevel="0" collapsed="false"/>
    <row r="35180" customFormat="false" ht="15" hidden="false" customHeight="true" outlineLevel="0" collapsed="false"/>
    <row r="35181" customFormat="false" ht="15" hidden="false" customHeight="true" outlineLevel="0" collapsed="false"/>
    <row r="35182" customFormat="false" ht="15" hidden="false" customHeight="true" outlineLevel="0" collapsed="false"/>
    <row r="35183" customFormat="false" ht="15" hidden="false" customHeight="true" outlineLevel="0" collapsed="false"/>
    <row r="35184" customFormat="false" ht="15" hidden="false" customHeight="true" outlineLevel="0" collapsed="false"/>
    <row r="35185" customFormat="false" ht="15" hidden="false" customHeight="true" outlineLevel="0" collapsed="false"/>
    <row r="35186" customFormat="false" ht="15" hidden="false" customHeight="true" outlineLevel="0" collapsed="false"/>
    <row r="35187" customFormat="false" ht="15" hidden="false" customHeight="true" outlineLevel="0" collapsed="false"/>
    <row r="35188" customFormat="false" ht="15" hidden="false" customHeight="true" outlineLevel="0" collapsed="false"/>
    <row r="35189" customFormat="false" ht="15" hidden="false" customHeight="true" outlineLevel="0" collapsed="false"/>
    <row r="35190" customFormat="false" ht="15" hidden="false" customHeight="true" outlineLevel="0" collapsed="false"/>
    <row r="35191" customFormat="false" ht="15" hidden="false" customHeight="true" outlineLevel="0" collapsed="false"/>
    <row r="35192" customFormat="false" ht="15" hidden="false" customHeight="true" outlineLevel="0" collapsed="false"/>
    <row r="35193" customFormat="false" ht="15" hidden="false" customHeight="true" outlineLevel="0" collapsed="false"/>
    <row r="35194" customFormat="false" ht="15" hidden="false" customHeight="true" outlineLevel="0" collapsed="false"/>
    <row r="35195" customFormat="false" ht="15" hidden="false" customHeight="true" outlineLevel="0" collapsed="false"/>
    <row r="35196" customFormat="false" ht="15" hidden="false" customHeight="true" outlineLevel="0" collapsed="false"/>
    <row r="35197" customFormat="false" ht="15" hidden="false" customHeight="true" outlineLevel="0" collapsed="false"/>
    <row r="35198" customFormat="false" ht="15" hidden="false" customHeight="true" outlineLevel="0" collapsed="false"/>
    <row r="35199" customFormat="false" ht="15" hidden="false" customHeight="true" outlineLevel="0" collapsed="false"/>
    <row r="35200" customFormat="false" ht="15" hidden="false" customHeight="true" outlineLevel="0" collapsed="false"/>
    <row r="35201" customFormat="false" ht="15" hidden="false" customHeight="true" outlineLevel="0" collapsed="false"/>
    <row r="35202" customFormat="false" ht="15" hidden="false" customHeight="true" outlineLevel="0" collapsed="false"/>
    <row r="35203" customFormat="false" ht="15" hidden="false" customHeight="true" outlineLevel="0" collapsed="false"/>
    <row r="35204" customFormat="false" ht="15" hidden="false" customHeight="true" outlineLevel="0" collapsed="false"/>
    <row r="35205" customFormat="false" ht="15" hidden="false" customHeight="true" outlineLevel="0" collapsed="false"/>
    <row r="35206" customFormat="false" ht="15" hidden="false" customHeight="true" outlineLevel="0" collapsed="false"/>
    <row r="35207" customFormat="false" ht="15" hidden="false" customHeight="true" outlineLevel="0" collapsed="false"/>
    <row r="35208" customFormat="false" ht="15" hidden="false" customHeight="true" outlineLevel="0" collapsed="false"/>
    <row r="35209" customFormat="false" ht="15" hidden="false" customHeight="true" outlineLevel="0" collapsed="false"/>
    <row r="35210" customFormat="false" ht="15" hidden="false" customHeight="true" outlineLevel="0" collapsed="false"/>
    <row r="35211" customFormat="false" ht="15" hidden="false" customHeight="true" outlineLevel="0" collapsed="false"/>
    <row r="35212" customFormat="false" ht="15" hidden="false" customHeight="true" outlineLevel="0" collapsed="false"/>
    <row r="35213" customFormat="false" ht="15" hidden="false" customHeight="true" outlineLevel="0" collapsed="false"/>
    <row r="35214" customFormat="false" ht="15" hidden="false" customHeight="true" outlineLevel="0" collapsed="false"/>
    <row r="35215" customFormat="false" ht="15" hidden="false" customHeight="true" outlineLevel="0" collapsed="false"/>
    <row r="35216" customFormat="false" ht="15" hidden="false" customHeight="true" outlineLevel="0" collapsed="false"/>
    <row r="35217" customFormat="false" ht="15" hidden="false" customHeight="true" outlineLevel="0" collapsed="false"/>
    <row r="35218" customFormat="false" ht="15" hidden="false" customHeight="true" outlineLevel="0" collapsed="false"/>
    <row r="35219" customFormat="false" ht="15" hidden="false" customHeight="true" outlineLevel="0" collapsed="false"/>
    <row r="35220" customFormat="false" ht="15" hidden="false" customHeight="true" outlineLevel="0" collapsed="false"/>
    <row r="35221" customFormat="false" ht="15" hidden="false" customHeight="true" outlineLevel="0" collapsed="false"/>
    <row r="35222" customFormat="false" ht="15" hidden="false" customHeight="true" outlineLevel="0" collapsed="false"/>
    <row r="35223" customFormat="false" ht="15" hidden="false" customHeight="true" outlineLevel="0" collapsed="false"/>
    <row r="35224" customFormat="false" ht="15" hidden="false" customHeight="true" outlineLevel="0" collapsed="false"/>
    <row r="35225" customFormat="false" ht="15" hidden="false" customHeight="true" outlineLevel="0" collapsed="false"/>
    <row r="35226" customFormat="false" ht="15" hidden="false" customHeight="true" outlineLevel="0" collapsed="false"/>
    <row r="35227" customFormat="false" ht="15" hidden="false" customHeight="true" outlineLevel="0" collapsed="false"/>
    <row r="35228" customFormat="false" ht="15" hidden="false" customHeight="true" outlineLevel="0" collapsed="false"/>
    <row r="35229" customFormat="false" ht="15" hidden="false" customHeight="true" outlineLevel="0" collapsed="false"/>
    <row r="35230" customFormat="false" ht="15" hidden="false" customHeight="true" outlineLevel="0" collapsed="false"/>
    <row r="35231" customFormat="false" ht="15" hidden="false" customHeight="true" outlineLevel="0" collapsed="false"/>
    <row r="35232" customFormat="false" ht="15" hidden="false" customHeight="true" outlineLevel="0" collapsed="false"/>
    <row r="35233" customFormat="false" ht="15" hidden="false" customHeight="true" outlineLevel="0" collapsed="false"/>
    <row r="35234" customFormat="false" ht="15" hidden="false" customHeight="true" outlineLevel="0" collapsed="false"/>
    <row r="35235" customFormat="false" ht="15" hidden="false" customHeight="true" outlineLevel="0" collapsed="false"/>
    <row r="35236" customFormat="false" ht="15" hidden="false" customHeight="true" outlineLevel="0" collapsed="false"/>
    <row r="35237" customFormat="false" ht="15" hidden="false" customHeight="true" outlineLevel="0" collapsed="false"/>
    <row r="35238" customFormat="false" ht="15" hidden="false" customHeight="true" outlineLevel="0" collapsed="false"/>
    <row r="35239" customFormat="false" ht="15" hidden="false" customHeight="true" outlineLevel="0" collapsed="false"/>
    <row r="35240" customFormat="false" ht="15" hidden="false" customHeight="true" outlineLevel="0" collapsed="false"/>
    <row r="35241" customFormat="false" ht="15" hidden="false" customHeight="true" outlineLevel="0" collapsed="false"/>
    <row r="35242" customFormat="false" ht="15" hidden="false" customHeight="true" outlineLevel="0" collapsed="false"/>
    <row r="35243" customFormat="false" ht="15" hidden="false" customHeight="true" outlineLevel="0" collapsed="false"/>
    <row r="35244" customFormat="false" ht="15" hidden="false" customHeight="true" outlineLevel="0" collapsed="false"/>
    <row r="35245" customFormat="false" ht="15" hidden="false" customHeight="true" outlineLevel="0" collapsed="false"/>
    <row r="35246" customFormat="false" ht="15" hidden="false" customHeight="true" outlineLevel="0" collapsed="false"/>
    <row r="35247" customFormat="false" ht="15" hidden="false" customHeight="true" outlineLevel="0" collapsed="false"/>
    <row r="35248" customFormat="false" ht="15" hidden="false" customHeight="true" outlineLevel="0" collapsed="false"/>
    <row r="35249" customFormat="false" ht="15" hidden="false" customHeight="true" outlineLevel="0" collapsed="false"/>
    <row r="35250" customFormat="false" ht="15" hidden="false" customHeight="true" outlineLevel="0" collapsed="false"/>
    <row r="35251" customFormat="false" ht="15" hidden="false" customHeight="true" outlineLevel="0" collapsed="false"/>
    <row r="35252" customFormat="false" ht="15" hidden="false" customHeight="true" outlineLevel="0" collapsed="false"/>
    <row r="35253" customFormat="false" ht="15" hidden="false" customHeight="true" outlineLevel="0" collapsed="false"/>
    <row r="35254" customFormat="false" ht="15" hidden="false" customHeight="true" outlineLevel="0" collapsed="false"/>
    <row r="35255" customFormat="false" ht="15" hidden="false" customHeight="true" outlineLevel="0" collapsed="false"/>
    <row r="35256" customFormat="false" ht="15" hidden="false" customHeight="true" outlineLevel="0" collapsed="false"/>
    <row r="35257" customFormat="false" ht="15" hidden="false" customHeight="true" outlineLevel="0" collapsed="false"/>
    <row r="35258" customFormat="false" ht="15" hidden="false" customHeight="true" outlineLevel="0" collapsed="false"/>
    <row r="35259" customFormat="false" ht="15" hidden="false" customHeight="true" outlineLevel="0" collapsed="false"/>
    <row r="35260" customFormat="false" ht="15" hidden="false" customHeight="true" outlineLevel="0" collapsed="false"/>
    <row r="35261" customFormat="false" ht="15" hidden="false" customHeight="true" outlineLevel="0" collapsed="false"/>
    <row r="35262" customFormat="false" ht="15" hidden="false" customHeight="true" outlineLevel="0" collapsed="false"/>
    <row r="35263" customFormat="false" ht="15" hidden="false" customHeight="true" outlineLevel="0" collapsed="false"/>
    <row r="35264" customFormat="false" ht="15" hidden="false" customHeight="true" outlineLevel="0" collapsed="false"/>
    <row r="35265" customFormat="false" ht="15" hidden="false" customHeight="true" outlineLevel="0" collapsed="false"/>
    <row r="35266" customFormat="false" ht="15" hidden="false" customHeight="true" outlineLevel="0" collapsed="false"/>
    <row r="35267" customFormat="false" ht="15" hidden="false" customHeight="true" outlineLevel="0" collapsed="false"/>
    <row r="35268" customFormat="false" ht="15" hidden="false" customHeight="true" outlineLevel="0" collapsed="false"/>
    <row r="35269" customFormat="false" ht="15" hidden="false" customHeight="true" outlineLevel="0" collapsed="false"/>
    <row r="35270" customFormat="false" ht="15" hidden="false" customHeight="true" outlineLevel="0" collapsed="false"/>
    <row r="35271" customFormat="false" ht="15" hidden="false" customHeight="true" outlineLevel="0" collapsed="false"/>
    <row r="35272" customFormat="false" ht="15" hidden="false" customHeight="true" outlineLevel="0" collapsed="false"/>
    <row r="35273" customFormat="false" ht="15" hidden="false" customHeight="true" outlineLevel="0" collapsed="false"/>
    <row r="35274" customFormat="false" ht="15" hidden="false" customHeight="true" outlineLevel="0" collapsed="false"/>
    <row r="35275" customFormat="false" ht="15" hidden="false" customHeight="true" outlineLevel="0" collapsed="false"/>
    <row r="35276" customFormat="false" ht="15" hidden="false" customHeight="true" outlineLevel="0" collapsed="false"/>
    <row r="35277" customFormat="false" ht="15" hidden="false" customHeight="true" outlineLevel="0" collapsed="false"/>
    <row r="35278" customFormat="false" ht="15" hidden="false" customHeight="true" outlineLevel="0" collapsed="false"/>
    <row r="35279" customFormat="false" ht="15" hidden="false" customHeight="true" outlineLevel="0" collapsed="false"/>
    <row r="35280" customFormat="false" ht="15" hidden="false" customHeight="true" outlineLevel="0" collapsed="false"/>
    <row r="35281" customFormat="false" ht="15" hidden="false" customHeight="true" outlineLevel="0" collapsed="false"/>
    <row r="35282" customFormat="false" ht="15" hidden="false" customHeight="true" outlineLevel="0" collapsed="false"/>
    <row r="35283" customFormat="false" ht="15" hidden="false" customHeight="true" outlineLevel="0" collapsed="false"/>
    <row r="35284" customFormat="false" ht="15" hidden="false" customHeight="true" outlineLevel="0" collapsed="false"/>
    <row r="35285" customFormat="false" ht="15" hidden="false" customHeight="true" outlineLevel="0" collapsed="false"/>
    <row r="35286" customFormat="false" ht="15" hidden="false" customHeight="true" outlineLevel="0" collapsed="false"/>
    <row r="35287" customFormat="false" ht="15" hidden="false" customHeight="true" outlineLevel="0" collapsed="false"/>
    <row r="35288" customFormat="false" ht="15" hidden="false" customHeight="true" outlineLevel="0" collapsed="false"/>
    <row r="35289" customFormat="false" ht="15" hidden="false" customHeight="true" outlineLevel="0" collapsed="false"/>
    <row r="35290" customFormat="false" ht="15" hidden="false" customHeight="true" outlineLevel="0" collapsed="false"/>
    <row r="35291" customFormat="false" ht="15" hidden="false" customHeight="true" outlineLevel="0" collapsed="false"/>
    <row r="35292" customFormat="false" ht="15" hidden="false" customHeight="true" outlineLevel="0" collapsed="false"/>
    <row r="35293" customFormat="false" ht="15" hidden="false" customHeight="true" outlineLevel="0" collapsed="false"/>
    <row r="35294" customFormat="false" ht="15" hidden="false" customHeight="true" outlineLevel="0" collapsed="false"/>
    <row r="35295" customFormat="false" ht="15" hidden="false" customHeight="true" outlineLevel="0" collapsed="false"/>
    <row r="35296" customFormat="false" ht="15" hidden="false" customHeight="true" outlineLevel="0" collapsed="false"/>
    <row r="35297" customFormat="false" ht="15" hidden="false" customHeight="true" outlineLevel="0" collapsed="false"/>
    <row r="35298" customFormat="false" ht="15" hidden="false" customHeight="true" outlineLevel="0" collapsed="false"/>
    <row r="35299" customFormat="false" ht="15" hidden="false" customHeight="true" outlineLevel="0" collapsed="false"/>
    <row r="35300" customFormat="false" ht="15" hidden="false" customHeight="true" outlineLevel="0" collapsed="false"/>
    <row r="35301" customFormat="false" ht="15" hidden="false" customHeight="true" outlineLevel="0" collapsed="false"/>
    <row r="35302" customFormat="false" ht="15" hidden="false" customHeight="true" outlineLevel="0" collapsed="false"/>
    <row r="35303" customFormat="false" ht="15" hidden="false" customHeight="true" outlineLevel="0" collapsed="false"/>
    <row r="35304" customFormat="false" ht="15" hidden="false" customHeight="true" outlineLevel="0" collapsed="false"/>
    <row r="35305" customFormat="false" ht="15" hidden="false" customHeight="true" outlineLevel="0" collapsed="false"/>
    <row r="35306" customFormat="false" ht="15" hidden="false" customHeight="true" outlineLevel="0" collapsed="false"/>
    <row r="35307" customFormat="false" ht="15" hidden="false" customHeight="true" outlineLevel="0" collapsed="false"/>
    <row r="35308" customFormat="false" ht="15" hidden="false" customHeight="true" outlineLevel="0" collapsed="false"/>
    <row r="35309" customFormat="false" ht="15" hidden="false" customHeight="true" outlineLevel="0" collapsed="false"/>
    <row r="35310" customFormat="false" ht="15" hidden="false" customHeight="true" outlineLevel="0" collapsed="false"/>
    <row r="35311" customFormat="false" ht="15" hidden="false" customHeight="true" outlineLevel="0" collapsed="false"/>
    <row r="35312" customFormat="false" ht="15" hidden="false" customHeight="true" outlineLevel="0" collapsed="false"/>
    <row r="35313" customFormat="false" ht="15" hidden="false" customHeight="true" outlineLevel="0" collapsed="false"/>
    <row r="35314" customFormat="false" ht="15" hidden="false" customHeight="true" outlineLevel="0" collapsed="false"/>
    <row r="35315" customFormat="false" ht="15" hidden="false" customHeight="true" outlineLevel="0" collapsed="false"/>
    <row r="35316" customFormat="false" ht="15" hidden="false" customHeight="true" outlineLevel="0" collapsed="false"/>
    <row r="35317" customFormat="false" ht="15" hidden="false" customHeight="true" outlineLevel="0" collapsed="false"/>
    <row r="35318" customFormat="false" ht="15" hidden="false" customHeight="true" outlineLevel="0" collapsed="false"/>
    <row r="35319" customFormat="false" ht="15" hidden="false" customHeight="true" outlineLevel="0" collapsed="false"/>
    <row r="35320" customFormat="false" ht="15" hidden="false" customHeight="true" outlineLevel="0" collapsed="false"/>
    <row r="35321" customFormat="false" ht="15" hidden="false" customHeight="true" outlineLevel="0" collapsed="false"/>
    <row r="35322" customFormat="false" ht="15" hidden="false" customHeight="true" outlineLevel="0" collapsed="false"/>
    <row r="35323" customFormat="false" ht="15" hidden="false" customHeight="true" outlineLevel="0" collapsed="false"/>
    <row r="35324" customFormat="false" ht="15" hidden="false" customHeight="true" outlineLevel="0" collapsed="false"/>
    <row r="35325" customFormat="false" ht="15" hidden="false" customHeight="true" outlineLevel="0" collapsed="false"/>
    <row r="35326" customFormat="false" ht="15" hidden="false" customHeight="true" outlineLevel="0" collapsed="false"/>
    <row r="35327" customFormat="false" ht="15" hidden="false" customHeight="true" outlineLevel="0" collapsed="false"/>
    <row r="35328" customFormat="false" ht="15" hidden="false" customHeight="true" outlineLevel="0" collapsed="false"/>
    <row r="35329" customFormat="false" ht="15" hidden="false" customHeight="true" outlineLevel="0" collapsed="false"/>
    <row r="35330" customFormat="false" ht="15" hidden="false" customHeight="true" outlineLevel="0" collapsed="false"/>
    <row r="35331" customFormat="false" ht="15" hidden="false" customHeight="true" outlineLevel="0" collapsed="false"/>
    <row r="35332" customFormat="false" ht="15" hidden="false" customHeight="true" outlineLevel="0" collapsed="false"/>
    <row r="35333" customFormat="false" ht="15" hidden="false" customHeight="true" outlineLevel="0" collapsed="false"/>
    <row r="35334" customFormat="false" ht="15" hidden="false" customHeight="true" outlineLevel="0" collapsed="false"/>
    <row r="35335" customFormat="false" ht="15" hidden="false" customHeight="true" outlineLevel="0" collapsed="false"/>
    <row r="35336" customFormat="false" ht="15" hidden="false" customHeight="true" outlineLevel="0" collapsed="false"/>
    <row r="35337" customFormat="false" ht="15" hidden="false" customHeight="true" outlineLevel="0" collapsed="false"/>
    <row r="35338" customFormat="false" ht="15" hidden="false" customHeight="true" outlineLevel="0" collapsed="false"/>
    <row r="35339" customFormat="false" ht="15" hidden="false" customHeight="true" outlineLevel="0" collapsed="false"/>
    <row r="35340" customFormat="false" ht="15" hidden="false" customHeight="true" outlineLevel="0" collapsed="false"/>
    <row r="35341" customFormat="false" ht="15" hidden="false" customHeight="true" outlineLevel="0" collapsed="false"/>
    <row r="35342" customFormat="false" ht="15" hidden="false" customHeight="true" outlineLevel="0" collapsed="false"/>
    <row r="35343" customFormat="false" ht="15" hidden="false" customHeight="true" outlineLevel="0" collapsed="false"/>
    <row r="35344" customFormat="false" ht="15" hidden="false" customHeight="true" outlineLevel="0" collapsed="false"/>
    <row r="35345" customFormat="false" ht="15" hidden="false" customHeight="true" outlineLevel="0" collapsed="false"/>
    <row r="35346" customFormat="false" ht="15" hidden="false" customHeight="true" outlineLevel="0" collapsed="false"/>
    <row r="35347" customFormat="false" ht="15" hidden="false" customHeight="true" outlineLevel="0" collapsed="false"/>
    <row r="35348" customFormat="false" ht="15" hidden="false" customHeight="true" outlineLevel="0" collapsed="false"/>
    <row r="35349" customFormat="false" ht="15" hidden="false" customHeight="true" outlineLevel="0" collapsed="false"/>
    <row r="35350" customFormat="false" ht="15" hidden="false" customHeight="true" outlineLevel="0" collapsed="false"/>
    <row r="35351" customFormat="false" ht="15" hidden="false" customHeight="true" outlineLevel="0" collapsed="false"/>
    <row r="35352" customFormat="false" ht="15" hidden="false" customHeight="true" outlineLevel="0" collapsed="false"/>
    <row r="35353" customFormat="false" ht="15" hidden="false" customHeight="true" outlineLevel="0" collapsed="false"/>
    <row r="35354" customFormat="false" ht="15" hidden="false" customHeight="true" outlineLevel="0" collapsed="false"/>
    <row r="35355" customFormat="false" ht="15" hidden="false" customHeight="true" outlineLevel="0" collapsed="false"/>
    <row r="35356" customFormat="false" ht="15" hidden="false" customHeight="true" outlineLevel="0" collapsed="false"/>
    <row r="35357" customFormat="false" ht="15" hidden="false" customHeight="true" outlineLevel="0" collapsed="false"/>
    <row r="35358" customFormat="false" ht="15" hidden="false" customHeight="true" outlineLevel="0" collapsed="false"/>
    <row r="35359" customFormat="false" ht="15" hidden="false" customHeight="true" outlineLevel="0" collapsed="false"/>
    <row r="35360" customFormat="false" ht="15" hidden="false" customHeight="true" outlineLevel="0" collapsed="false"/>
    <row r="35361" customFormat="false" ht="15" hidden="false" customHeight="true" outlineLevel="0" collapsed="false"/>
    <row r="35362" customFormat="false" ht="15" hidden="false" customHeight="true" outlineLevel="0" collapsed="false"/>
    <row r="35363" customFormat="false" ht="15" hidden="false" customHeight="true" outlineLevel="0" collapsed="false"/>
    <row r="35364" customFormat="false" ht="15" hidden="false" customHeight="true" outlineLevel="0" collapsed="false"/>
    <row r="35365" customFormat="false" ht="15" hidden="false" customHeight="true" outlineLevel="0" collapsed="false"/>
    <row r="35366" customFormat="false" ht="15" hidden="false" customHeight="true" outlineLevel="0" collapsed="false"/>
    <row r="35367" customFormat="false" ht="15" hidden="false" customHeight="true" outlineLevel="0" collapsed="false"/>
    <row r="35368" customFormat="false" ht="15" hidden="false" customHeight="true" outlineLevel="0" collapsed="false"/>
    <row r="35369" customFormat="false" ht="15" hidden="false" customHeight="true" outlineLevel="0" collapsed="false"/>
    <row r="35370" customFormat="false" ht="15" hidden="false" customHeight="true" outlineLevel="0" collapsed="false"/>
    <row r="35371" customFormat="false" ht="15" hidden="false" customHeight="true" outlineLevel="0" collapsed="false"/>
    <row r="35372" customFormat="false" ht="15" hidden="false" customHeight="true" outlineLevel="0" collapsed="false"/>
    <row r="35373" customFormat="false" ht="15" hidden="false" customHeight="true" outlineLevel="0" collapsed="false"/>
    <row r="35374" customFormat="false" ht="15" hidden="false" customHeight="true" outlineLevel="0" collapsed="false"/>
    <row r="35375" customFormat="false" ht="15" hidden="false" customHeight="true" outlineLevel="0" collapsed="false"/>
    <row r="35376" customFormat="false" ht="15" hidden="false" customHeight="true" outlineLevel="0" collapsed="false"/>
    <row r="35377" customFormat="false" ht="15" hidden="false" customHeight="true" outlineLevel="0" collapsed="false"/>
    <row r="35378" customFormat="false" ht="15" hidden="false" customHeight="true" outlineLevel="0" collapsed="false"/>
    <row r="35379" customFormat="false" ht="15" hidden="false" customHeight="true" outlineLevel="0" collapsed="false"/>
    <row r="35380" customFormat="false" ht="15" hidden="false" customHeight="true" outlineLevel="0" collapsed="false"/>
    <row r="35381" customFormat="false" ht="15" hidden="false" customHeight="true" outlineLevel="0" collapsed="false"/>
    <row r="35382" customFormat="false" ht="15" hidden="false" customHeight="true" outlineLevel="0" collapsed="false"/>
    <row r="35383" customFormat="false" ht="15" hidden="false" customHeight="true" outlineLevel="0" collapsed="false"/>
    <row r="35384" customFormat="false" ht="15" hidden="false" customHeight="true" outlineLevel="0" collapsed="false"/>
    <row r="35385" customFormat="false" ht="15" hidden="false" customHeight="true" outlineLevel="0" collapsed="false"/>
    <row r="35386" customFormat="false" ht="15" hidden="false" customHeight="true" outlineLevel="0" collapsed="false"/>
    <row r="35387" customFormat="false" ht="15" hidden="false" customHeight="true" outlineLevel="0" collapsed="false"/>
    <row r="35388" customFormat="false" ht="15" hidden="false" customHeight="true" outlineLevel="0" collapsed="false"/>
    <row r="35389" customFormat="false" ht="15" hidden="false" customHeight="true" outlineLevel="0" collapsed="false"/>
    <row r="35390" customFormat="false" ht="15" hidden="false" customHeight="true" outlineLevel="0" collapsed="false"/>
    <row r="35391" customFormat="false" ht="15" hidden="false" customHeight="true" outlineLevel="0" collapsed="false"/>
    <row r="35392" customFormat="false" ht="15" hidden="false" customHeight="true" outlineLevel="0" collapsed="false"/>
    <row r="35393" customFormat="false" ht="15" hidden="false" customHeight="true" outlineLevel="0" collapsed="false"/>
    <row r="35394" customFormat="false" ht="15" hidden="false" customHeight="true" outlineLevel="0" collapsed="false"/>
    <row r="35395" customFormat="false" ht="15" hidden="false" customHeight="true" outlineLevel="0" collapsed="false"/>
    <row r="35396" customFormat="false" ht="15" hidden="false" customHeight="true" outlineLevel="0" collapsed="false"/>
    <row r="35397" customFormat="false" ht="15" hidden="false" customHeight="true" outlineLevel="0" collapsed="false"/>
    <row r="35398" customFormat="false" ht="15" hidden="false" customHeight="true" outlineLevel="0" collapsed="false"/>
    <row r="35399" customFormat="false" ht="15" hidden="false" customHeight="true" outlineLevel="0" collapsed="false"/>
    <row r="35400" customFormat="false" ht="15" hidden="false" customHeight="true" outlineLevel="0" collapsed="false"/>
    <row r="35401" customFormat="false" ht="15" hidden="false" customHeight="true" outlineLevel="0" collapsed="false"/>
    <row r="35402" customFormat="false" ht="15" hidden="false" customHeight="true" outlineLevel="0" collapsed="false"/>
    <row r="35403" customFormat="false" ht="15" hidden="false" customHeight="true" outlineLevel="0" collapsed="false"/>
    <row r="35404" customFormat="false" ht="15" hidden="false" customHeight="true" outlineLevel="0" collapsed="false"/>
    <row r="35405" customFormat="false" ht="15" hidden="false" customHeight="true" outlineLevel="0" collapsed="false"/>
    <row r="35406" customFormat="false" ht="15" hidden="false" customHeight="true" outlineLevel="0" collapsed="false"/>
    <row r="35407" customFormat="false" ht="15" hidden="false" customHeight="true" outlineLevel="0" collapsed="false"/>
    <row r="35408" customFormat="false" ht="15" hidden="false" customHeight="true" outlineLevel="0" collapsed="false"/>
    <row r="35409" customFormat="false" ht="15" hidden="false" customHeight="true" outlineLevel="0" collapsed="false"/>
    <row r="35410" customFormat="false" ht="15" hidden="false" customHeight="true" outlineLevel="0" collapsed="false"/>
    <row r="35411" customFormat="false" ht="15" hidden="false" customHeight="true" outlineLevel="0" collapsed="false"/>
    <row r="35412" customFormat="false" ht="15" hidden="false" customHeight="true" outlineLevel="0" collapsed="false"/>
    <row r="35413" customFormat="false" ht="15" hidden="false" customHeight="true" outlineLevel="0" collapsed="false"/>
    <row r="35414" customFormat="false" ht="15" hidden="false" customHeight="true" outlineLevel="0" collapsed="false"/>
    <row r="35415" customFormat="false" ht="15" hidden="false" customHeight="true" outlineLevel="0" collapsed="false"/>
    <row r="35416" customFormat="false" ht="15" hidden="false" customHeight="true" outlineLevel="0" collapsed="false"/>
    <row r="35417" customFormat="false" ht="15" hidden="false" customHeight="true" outlineLevel="0" collapsed="false"/>
    <row r="35418" customFormat="false" ht="15" hidden="false" customHeight="true" outlineLevel="0" collapsed="false"/>
    <row r="35419" customFormat="false" ht="15" hidden="false" customHeight="true" outlineLevel="0" collapsed="false"/>
    <row r="35420" customFormat="false" ht="15" hidden="false" customHeight="true" outlineLevel="0" collapsed="false"/>
    <row r="35421" customFormat="false" ht="15" hidden="false" customHeight="true" outlineLevel="0" collapsed="false"/>
    <row r="35422" customFormat="false" ht="15" hidden="false" customHeight="true" outlineLevel="0" collapsed="false"/>
    <row r="35423" customFormat="false" ht="15" hidden="false" customHeight="true" outlineLevel="0" collapsed="false"/>
    <row r="35424" customFormat="false" ht="15" hidden="false" customHeight="true" outlineLevel="0" collapsed="false"/>
    <row r="35425" customFormat="false" ht="15" hidden="false" customHeight="true" outlineLevel="0" collapsed="false"/>
    <row r="35426" customFormat="false" ht="15" hidden="false" customHeight="true" outlineLevel="0" collapsed="false"/>
    <row r="35427" customFormat="false" ht="15" hidden="false" customHeight="true" outlineLevel="0" collapsed="false"/>
    <row r="35428" customFormat="false" ht="15" hidden="false" customHeight="true" outlineLevel="0" collapsed="false"/>
    <row r="35429" customFormat="false" ht="15" hidden="false" customHeight="true" outlineLevel="0" collapsed="false"/>
    <row r="35430" customFormat="false" ht="15" hidden="false" customHeight="true" outlineLevel="0" collapsed="false"/>
    <row r="35431" customFormat="false" ht="15" hidden="false" customHeight="true" outlineLevel="0" collapsed="false"/>
    <row r="35432" customFormat="false" ht="15" hidden="false" customHeight="true" outlineLevel="0" collapsed="false"/>
    <row r="35433" customFormat="false" ht="15" hidden="false" customHeight="true" outlineLevel="0" collapsed="false"/>
    <row r="35434" customFormat="false" ht="15" hidden="false" customHeight="true" outlineLevel="0" collapsed="false"/>
    <row r="35435" customFormat="false" ht="15" hidden="false" customHeight="true" outlineLevel="0" collapsed="false"/>
    <row r="35436" customFormat="false" ht="15" hidden="false" customHeight="true" outlineLevel="0" collapsed="false"/>
    <row r="35437" customFormat="false" ht="15" hidden="false" customHeight="true" outlineLevel="0" collapsed="false"/>
    <row r="35438" customFormat="false" ht="15" hidden="false" customHeight="true" outlineLevel="0" collapsed="false"/>
    <row r="35439" customFormat="false" ht="15" hidden="false" customHeight="true" outlineLevel="0" collapsed="false"/>
    <row r="35440" customFormat="false" ht="15" hidden="false" customHeight="true" outlineLevel="0" collapsed="false"/>
    <row r="35441" customFormat="false" ht="15" hidden="false" customHeight="true" outlineLevel="0" collapsed="false"/>
    <row r="35442" customFormat="false" ht="15" hidden="false" customHeight="true" outlineLevel="0" collapsed="false"/>
    <row r="35443" customFormat="false" ht="15" hidden="false" customHeight="true" outlineLevel="0" collapsed="false"/>
    <row r="35444" customFormat="false" ht="15" hidden="false" customHeight="true" outlineLevel="0" collapsed="false"/>
    <row r="35445" customFormat="false" ht="15" hidden="false" customHeight="true" outlineLevel="0" collapsed="false"/>
    <row r="35446" customFormat="false" ht="15" hidden="false" customHeight="true" outlineLevel="0" collapsed="false"/>
    <row r="35447" customFormat="false" ht="15" hidden="false" customHeight="true" outlineLevel="0" collapsed="false"/>
    <row r="35448" customFormat="false" ht="15" hidden="false" customHeight="true" outlineLevel="0" collapsed="false"/>
    <row r="35449" customFormat="false" ht="15" hidden="false" customHeight="true" outlineLevel="0" collapsed="false"/>
    <row r="35450" customFormat="false" ht="15" hidden="false" customHeight="true" outlineLevel="0" collapsed="false"/>
    <row r="35451" customFormat="false" ht="15" hidden="false" customHeight="true" outlineLevel="0" collapsed="false"/>
    <row r="35452" customFormat="false" ht="15" hidden="false" customHeight="true" outlineLevel="0" collapsed="false"/>
    <row r="35453" customFormat="false" ht="15" hidden="false" customHeight="true" outlineLevel="0" collapsed="false"/>
    <row r="35454" customFormat="false" ht="15" hidden="false" customHeight="true" outlineLevel="0" collapsed="false"/>
    <row r="35455" customFormat="false" ht="15" hidden="false" customHeight="true" outlineLevel="0" collapsed="false"/>
    <row r="35456" customFormat="false" ht="15" hidden="false" customHeight="true" outlineLevel="0" collapsed="false"/>
    <row r="35457" customFormat="false" ht="15" hidden="false" customHeight="true" outlineLevel="0" collapsed="false"/>
    <row r="35458" customFormat="false" ht="15" hidden="false" customHeight="true" outlineLevel="0" collapsed="false"/>
    <row r="35459" customFormat="false" ht="15" hidden="false" customHeight="true" outlineLevel="0" collapsed="false"/>
    <row r="35460" customFormat="false" ht="15" hidden="false" customHeight="true" outlineLevel="0" collapsed="false"/>
    <row r="35461" customFormat="false" ht="15" hidden="false" customHeight="true" outlineLevel="0" collapsed="false"/>
    <row r="35462" customFormat="false" ht="15" hidden="false" customHeight="true" outlineLevel="0" collapsed="false"/>
    <row r="35463" customFormat="false" ht="15" hidden="false" customHeight="true" outlineLevel="0" collapsed="false"/>
    <row r="35464" customFormat="false" ht="15" hidden="false" customHeight="true" outlineLevel="0" collapsed="false"/>
    <row r="35465" customFormat="false" ht="15" hidden="false" customHeight="true" outlineLevel="0" collapsed="false"/>
    <row r="35466" customFormat="false" ht="15" hidden="false" customHeight="true" outlineLevel="0" collapsed="false"/>
    <row r="35467" customFormat="false" ht="15" hidden="false" customHeight="true" outlineLevel="0" collapsed="false"/>
    <row r="35468" customFormat="false" ht="15" hidden="false" customHeight="true" outlineLevel="0" collapsed="false"/>
    <row r="35469" customFormat="false" ht="15" hidden="false" customHeight="true" outlineLevel="0" collapsed="false"/>
    <row r="35470" customFormat="false" ht="15" hidden="false" customHeight="true" outlineLevel="0" collapsed="false"/>
    <row r="35471" customFormat="false" ht="15" hidden="false" customHeight="true" outlineLevel="0" collapsed="false"/>
    <row r="35472" customFormat="false" ht="15" hidden="false" customHeight="true" outlineLevel="0" collapsed="false"/>
    <row r="35473" customFormat="false" ht="15" hidden="false" customHeight="true" outlineLevel="0" collapsed="false"/>
    <row r="35474" customFormat="false" ht="15" hidden="false" customHeight="true" outlineLevel="0" collapsed="false"/>
    <row r="35475" customFormat="false" ht="15" hidden="false" customHeight="true" outlineLevel="0" collapsed="false"/>
    <row r="35476" customFormat="false" ht="15" hidden="false" customHeight="true" outlineLevel="0" collapsed="false"/>
    <row r="35477" customFormat="false" ht="15" hidden="false" customHeight="true" outlineLevel="0" collapsed="false"/>
    <row r="35478" customFormat="false" ht="15" hidden="false" customHeight="true" outlineLevel="0" collapsed="false"/>
    <row r="35479" customFormat="false" ht="15" hidden="false" customHeight="true" outlineLevel="0" collapsed="false"/>
    <row r="35480" customFormat="false" ht="15" hidden="false" customHeight="true" outlineLevel="0" collapsed="false"/>
    <row r="35481" customFormat="false" ht="15" hidden="false" customHeight="true" outlineLevel="0" collapsed="false"/>
    <row r="35482" customFormat="false" ht="15" hidden="false" customHeight="true" outlineLevel="0" collapsed="false"/>
    <row r="35483" customFormat="false" ht="15" hidden="false" customHeight="true" outlineLevel="0" collapsed="false"/>
    <row r="35484" customFormat="false" ht="15" hidden="false" customHeight="true" outlineLevel="0" collapsed="false"/>
    <row r="35485" customFormat="false" ht="15" hidden="false" customHeight="true" outlineLevel="0" collapsed="false"/>
    <row r="35486" customFormat="false" ht="15" hidden="false" customHeight="true" outlineLevel="0" collapsed="false"/>
    <row r="35487" customFormat="false" ht="15" hidden="false" customHeight="true" outlineLevel="0" collapsed="false"/>
    <row r="35488" customFormat="false" ht="15" hidden="false" customHeight="true" outlineLevel="0" collapsed="false"/>
    <row r="35489" customFormat="false" ht="15" hidden="false" customHeight="true" outlineLevel="0" collapsed="false"/>
    <row r="35490" customFormat="false" ht="15" hidden="false" customHeight="true" outlineLevel="0" collapsed="false"/>
    <row r="35491" customFormat="false" ht="15" hidden="false" customHeight="true" outlineLevel="0" collapsed="false"/>
    <row r="35492" customFormat="false" ht="15" hidden="false" customHeight="true" outlineLevel="0" collapsed="false"/>
    <row r="35493" customFormat="false" ht="15" hidden="false" customHeight="true" outlineLevel="0" collapsed="false"/>
    <row r="35494" customFormat="false" ht="15" hidden="false" customHeight="true" outlineLevel="0" collapsed="false"/>
    <row r="35495" customFormat="false" ht="15" hidden="false" customHeight="true" outlineLevel="0" collapsed="false"/>
    <row r="35496" customFormat="false" ht="15" hidden="false" customHeight="true" outlineLevel="0" collapsed="false"/>
    <row r="35497" customFormat="false" ht="15" hidden="false" customHeight="true" outlineLevel="0" collapsed="false"/>
    <row r="35498" customFormat="false" ht="15" hidden="false" customHeight="true" outlineLevel="0" collapsed="false"/>
    <row r="35499" customFormat="false" ht="15" hidden="false" customHeight="true" outlineLevel="0" collapsed="false"/>
    <row r="35500" customFormat="false" ht="15" hidden="false" customHeight="true" outlineLevel="0" collapsed="false"/>
    <row r="35501" customFormat="false" ht="15" hidden="false" customHeight="true" outlineLevel="0" collapsed="false"/>
    <row r="35502" customFormat="false" ht="15" hidden="false" customHeight="true" outlineLevel="0" collapsed="false"/>
    <row r="35503" customFormat="false" ht="15" hidden="false" customHeight="true" outlineLevel="0" collapsed="false"/>
    <row r="35504" customFormat="false" ht="15" hidden="false" customHeight="true" outlineLevel="0" collapsed="false"/>
    <row r="35505" customFormat="false" ht="15" hidden="false" customHeight="true" outlineLevel="0" collapsed="false"/>
    <row r="35506" customFormat="false" ht="15" hidden="false" customHeight="true" outlineLevel="0" collapsed="false"/>
    <row r="35507" customFormat="false" ht="15" hidden="false" customHeight="true" outlineLevel="0" collapsed="false"/>
    <row r="35508" customFormat="false" ht="15" hidden="false" customHeight="true" outlineLevel="0" collapsed="false"/>
    <row r="35509" customFormat="false" ht="15" hidden="false" customHeight="true" outlineLevel="0" collapsed="false"/>
    <row r="35510" customFormat="false" ht="15" hidden="false" customHeight="true" outlineLevel="0" collapsed="false"/>
    <row r="35511" customFormat="false" ht="15" hidden="false" customHeight="true" outlineLevel="0" collapsed="false"/>
    <row r="35512" customFormat="false" ht="15" hidden="false" customHeight="true" outlineLevel="0" collapsed="false"/>
    <row r="35513" customFormat="false" ht="15" hidden="false" customHeight="true" outlineLevel="0" collapsed="false"/>
    <row r="35514" customFormat="false" ht="15" hidden="false" customHeight="true" outlineLevel="0" collapsed="false"/>
    <row r="35515" customFormat="false" ht="15" hidden="false" customHeight="true" outlineLevel="0" collapsed="false"/>
    <row r="35516" customFormat="false" ht="15" hidden="false" customHeight="true" outlineLevel="0" collapsed="false"/>
    <row r="35517" customFormat="false" ht="15" hidden="false" customHeight="true" outlineLevel="0" collapsed="false"/>
    <row r="35518" customFormat="false" ht="15" hidden="false" customHeight="true" outlineLevel="0" collapsed="false"/>
    <row r="35519" customFormat="false" ht="15" hidden="false" customHeight="true" outlineLevel="0" collapsed="false"/>
    <row r="35520" customFormat="false" ht="15" hidden="false" customHeight="true" outlineLevel="0" collapsed="false"/>
    <row r="35521" customFormat="false" ht="15" hidden="false" customHeight="true" outlineLevel="0" collapsed="false"/>
    <row r="35522" customFormat="false" ht="15" hidden="false" customHeight="true" outlineLevel="0" collapsed="false"/>
    <row r="35523" customFormat="false" ht="15" hidden="false" customHeight="true" outlineLevel="0" collapsed="false"/>
    <row r="35524" customFormat="false" ht="15" hidden="false" customHeight="true" outlineLevel="0" collapsed="false"/>
    <row r="35525" customFormat="false" ht="15" hidden="false" customHeight="true" outlineLevel="0" collapsed="false"/>
    <row r="35526" customFormat="false" ht="15" hidden="false" customHeight="true" outlineLevel="0" collapsed="false"/>
    <row r="35527" customFormat="false" ht="15" hidden="false" customHeight="true" outlineLevel="0" collapsed="false"/>
    <row r="35528" customFormat="false" ht="15" hidden="false" customHeight="true" outlineLevel="0" collapsed="false"/>
    <row r="35529" customFormat="false" ht="15" hidden="false" customHeight="true" outlineLevel="0" collapsed="false"/>
    <row r="35530" customFormat="false" ht="15" hidden="false" customHeight="true" outlineLevel="0" collapsed="false"/>
    <row r="35531" customFormat="false" ht="15" hidden="false" customHeight="true" outlineLevel="0" collapsed="false"/>
    <row r="35532" customFormat="false" ht="15" hidden="false" customHeight="true" outlineLevel="0" collapsed="false"/>
    <row r="35533" customFormat="false" ht="15" hidden="false" customHeight="true" outlineLevel="0" collapsed="false"/>
    <row r="35534" customFormat="false" ht="15" hidden="false" customHeight="true" outlineLevel="0" collapsed="false"/>
    <row r="35535" customFormat="false" ht="15" hidden="false" customHeight="true" outlineLevel="0" collapsed="false"/>
    <row r="35536" customFormat="false" ht="15" hidden="false" customHeight="true" outlineLevel="0" collapsed="false"/>
    <row r="35537" customFormat="false" ht="15" hidden="false" customHeight="true" outlineLevel="0" collapsed="false"/>
    <row r="35538" customFormat="false" ht="15" hidden="false" customHeight="true" outlineLevel="0" collapsed="false"/>
    <row r="35539" customFormat="false" ht="15" hidden="false" customHeight="true" outlineLevel="0" collapsed="false"/>
    <row r="35540" customFormat="false" ht="15" hidden="false" customHeight="true" outlineLevel="0" collapsed="false"/>
    <row r="35541" customFormat="false" ht="15" hidden="false" customHeight="true" outlineLevel="0" collapsed="false"/>
    <row r="35542" customFormat="false" ht="15" hidden="false" customHeight="true" outlineLevel="0" collapsed="false"/>
    <row r="35543" customFormat="false" ht="15" hidden="false" customHeight="true" outlineLevel="0" collapsed="false"/>
    <row r="35544" customFormat="false" ht="15" hidden="false" customHeight="true" outlineLevel="0" collapsed="false"/>
    <row r="35545" customFormat="false" ht="15" hidden="false" customHeight="true" outlineLevel="0" collapsed="false"/>
    <row r="35546" customFormat="false" ht="15" hidden="false" customHeight="true" outlineLevel="0" collapsed="false"/>
    <row r="35547" customFormat="false" ht="15" hidden="false" customHeight="true" outlineLevel="0" collapsed="false"/>
    <row r="35548" customFormat="false" ht="15" hidden="false" customHeight="true" outlineLevel="0" collapsed="false"/>
    <row r="35549" customFormat="false" ht="15" hidden="false" customHeight="true" outlineLevel="0" collapsed="false"/>
    <row r="35550" customFormat="false" ht="15" hidden="false" customHeight="true" outlineLevel="0" collapsed="false"/>
    <row r="35551" customFormat="false" ht="15" hidden="false" customHeight="true" outlineLevel="0" collapsed="false"/>
    <row r="35552" customFormat="false" ht="15" hidden="false" customHeight="true" outlineLevel="0" collapsed="false"/>
    <row r="35553" customFormat="false" ht="15" hidden="false" customHeight="true" outlineLevel="0" collapsed="false"/>
    <row r="35554" customFormat="false" ht="15" hidden="false" customHeight="true" outlineLevel="0" collapsed="false"/>
    <row r="35555" customFormat="false" ht="15" hidden="false" customHeight="true" outlineLevel="0" collapsed="false"/>
    <row r="35556" customFormat="false" ht="15" hidden="false" customHeight="true" outlineLevel="0" collapsed="false"/>
    <row r="35557" customFormat="false" ht="15" hidden="false" customHeight="true" outlineLevel="0" collapsed="false"/>
    <row r="35558" customFormat="false" ht="15" hidden="false" customHeight="true" outlineLevel="0" collapsed="false"/>
    <row r="35559" customFormat="false" ht="15" hidden="false" customHeight="true" outlineLevel="0" collapsed="false"/>
    <row r="35560" customFormat="false" ht="15" hidden="false" customHeight="true" outlineLevel="0" collapsed="false"/>
    <row r="35561" customFormat="false" ht="15" hidden="false" customHeight="true" outlineLevel="0" collapsed="false"/>
    <row r="35562" customFormat="false" ht="15" hidden="false" customHeight="true" outlineLevel="0" collapsed="false"/>
    <row r="35563" customFormat="false" ht="15" hidden="false" customHeight="true" outlineLevel="0" collapsed="false"/>
    <row r="35564" customFormat="false" ht="15" hidden="false" customHeight="true" outlineLevel="0" collapsed="false"/>
    <row r="35565" customFormat="false" ht="15" hidden="false" customHeight="true" outlineLevel="0" collapsed="false"/>
    <row r="35566" customFormat="false" ht="15" hidden="false" customHeight="true" outlineLevel="0" collapsed="false"/>
    <row r="35567" customFormat="false" ht="15" hidden="false" customHeight="true" outlineLevel="0" collapsed="false"/>
    <row r="35568" customFormat="false" ht="15" hidden="false" customHeight="true" outlineLevel="0" collapsed="false"/>
    <row r="35569" customFormat="false" ht="15" hidden="false" customHeight="true" outlineLevel="0" collapsed="false"/>
    <row r="35570" customFormat="false" ht="15" hidden="false" customHeight="true" outlineLevel="0" collapsed="false"/>
    <row r="35571" customFormat="false" ht="15" hidden="false" customHeight="true" outlineLevel="0" collapsed="false"/>
    <row r="35572" customFormat="false" ht="15" hidden="false" customHeight="true" outlineLevel="0" collapsed="false"/>
    <row r="35573" customFormat="false" ht="15" hidden="false" customHeight="true" outlineLevel="0" collapsed="false"/>
    <row r="35574" customFormat="false" ht="15" hidden="false" customHeight="true" outlineLevel="0" collapsed="false"/>
    <row r="35575" customFormat="false" ht="15" hidden="false" customHeight="true" outlineLevel="0" collapsed="false"/>
    <row r="35576" customFormat="false" ht="15" hidden="false" customHeight="true" outlineLevel="0" collapsed="false"/>
    <row r="35577" customFormat="false" ht="15" hidden="false" customHeight="true" outlineLevel="0" collapsed="false"/>
    <row r="35578" customFormat="false" ht="15" hidden="false" customHeight="true" outlineLevel="0" collapsed="false"/>
    <row r="35579" customFormat="false" ht="15" hidden="false" customHeight="true" outlineLevel="0" collapsed="false"/>
    <row r="35580" customFormat="false" ht="15" hidden="false" customHeight="true" outlineLevel="0" collapsed="false"/>
    <row r="35581" customFormat="false" ht="15" hidden="false" customHeight="true" outlineLevel="0" collapsed="false"/>
    <row r="35582" customFormat="false" ht="15" hidden="false" customHeight="true" outlineLevel="0" collapsed="false"/>
    <row r="35583" customFormat="false" ht="15" hidden="false" customHeight="true" outlineLevel="0" collapsed="false"/>
    <row r="35584" customFormat="false" ht="15" hidden="false" customHeight="true" outlineLevel="0" collapsed="false"/>
    <row r="35585" customFormat="false" ht="15" hidden="false" customHeight="true" outlineLevel="0" collapsed="false"/>
    <row r="35586" customFormat="false" ht="15" hidden="false" customHeight="true" outlineLevel="0" collapsed="false"/>
    <row r="35587" customFormat="false" ht="15" hidden="false" customHeight="true" outlineLevel="0" collapsed="false"/>
    <row r="35588" customFormat="false" ht="15" hidden="false" customHeight="true" outlineLevel="0" collapsed="false"/>
    <row r="35589" customFormat="false" ht="15" hidden="false" customHeight="true" outlineLevel="0" collapsed="false"/>
    <row r="35590" customFormat="false" ht="15" hidden="false" customHeight="true" outlineLevel="0" collapsed="false"/>
    <row r="35591" customFormat="false" ht="15" hidden="false" customHeight="true" outlineLevel="0" collapsed="false"/>
    <row r="35592" customFormat="false" ht="15" hidden="false" customHeight="true" outlineLevel="0" collapsed="false"/>
    <row r="35593" customFormat="false" ht="15" hidden="false" customHeight="true" outlineLevel="0" collapsed="false"/>
    <row r="35594" customFormat="false" ht="15" hidden="false" customHeight="true" outlineLevel="0" collapsed="false"/>
    <row r="35595" customFormat="false" ht="15" hidden="false" customHeight="true" outlineLevel="0" collapsed="false"/>
    <row r="35596" customFormat="false" ht="15" hidden="false" customHeight="true" outlineLevel="0" collapsed="false"/>
    <row r="35597" customFormat="false" ht="15" hidden="false" customHeight="true" outlineLevel="0" collapsed="false"/>
    <row r="35598" customFormat="false" ht="15" hidden="false" customHeight="true" outlineLevel="0" collapsed="false"/>
    <row r="35599" customFormat="false" ht="15" hidden="false" customHeight="true" outlineLevel="0" collapsed="false"/>
    <row r="35600" customFormat="false" ht="15" hidden="false" customHeight="true" outlineLevel="0" collapsed="false"/>
    <row r="35601" customFormat="false" ht="15" hidden="false" customHeight="true" outlineLevel="0" collapsed="false"/>
    <row r="35602" customFormat="false" ht="15" hidden="false" customHeight="true" outlineLevel="0" collapsed="false"/>
    <row r="35603" customFormat="false" ht="15" hidden="false" customHeight="true" outlineLevel="0" collapsed="false"/>
    <row r="35604" customFormat="false" ht="15" hidden="false" customHeight="true" outlineLevel="0" collapsed="false"/>
    <row r="35605" customFormat="false" ht="15" hidden="false" customHeight="true" outlineLevel="0" collapsed="false"/>
    <row r="35606" customFormat="false" ht="15" hidden="false" customHeight="true" outlineLevel="0" collapsed="false"/>
    <row r="35607" customFormat="false" ht="15" hidden="false" customHeight="true" outlineLevel="0" collapsed="false"/>
    <row r="35608" customFormat="false" ht="15" hidden="false" customHeight="true" outlineLevel="0" collapsed="false"/>
    <row r="35609" customFormat="false" ht="15" hidden="false" customHeight="true" outlineLevel="0" collapsed="false"/>
    <row r="35610" customFormat="false" ht="15" hidden="false" customHeight="true" outlineLevel="0" collapsed="false"/>
    <row r="35611" customFormat="false" ht="15" hidden="false" customHeight="true" outlineLevel="0" collapsed="false"/>
    <row r="35612" customFormat="false" ht="15" hidden="false" customHeight="true" outlineLevel="0" collapsed="false"/>
    <row r="35613" customFormat="false" ht="15" hidden="false" customHeight="true" outlineLevel="0" collapsed="false"/>
    <row r="35614" customFormat="false" ht="15" hidden="false" customHeight="true" outlineLevel="0" collapsed="false"/>
    <row r="35615" customFormat="false" ht="15" hidden="false" customHeight="true" outlineLevel="0" collapsed="false"/>
    <row r="35616" customFormat="false" ht="15" hidden="false" customHeight="true" outlineLevel="0" collapsed="false"/>
    <row r="35617" customFormat="false" ht="15" hidden="false" customHeight="true" outlineLevel="0" collapsed="false"/>
    <row r="35618" customFormat="false" ht="15" hidden="false" customHeight="true" outlineLevel="0" collapsed="false"/>
    <row r="35619" customFormat="false" ht="15" hidden="false" customHeight="true" outlineLevel="0" collapsed="false"/>
    <row r="35620" customFormat="false" ht="15" hidden="false" customHeight="true" outlineLevel="0" collapsed="false"/>
    <row r="35621" customFormat="false" ht="15" hidden="false" customHeight="true" outlineLevel="0" collapsed="false"/>
    <row r="35622" customFormat="false" ht="15" hidden="false" customHeight="true" outlineLevel="0" collapsed="false"/>
    <row r="35623" customFormat="false" ht="15" hidden="false" customHeight="true" outlineLevel="0" collapsed="false"/>
    <row r="35624" customFormat="false" ht="15" hidden="false" customHeight="true" outlineLevel="0" collapsed="false"/>
    <row r="35625" customFormat="false" ht="15" hidden="false" customHeight="true" outlineLevel="0" collapsed="false"/>
    <row r="35626" customFormat="false" ht="15" hidden="false" customHeight="true" outlineLevel="0" collapsed="false"/>
    <row r="35627" customFormat="false" ht="15" hidden="false" customHeight="true" outlineLevel="0" collapsed="false"/>
    <row r="35628" customFormat="false" ht="15" hidden="false" customHeight="true" outlineLevel="0" collapsed="false"/>
    <row r="35629" customFormat="false" ht="15" hidden="false" customHeight="true" outlineLevel="0" collapsed="false"/>
    <row r="35630" customFormat="false" ht="15" hidden="false" customHeight="true" outlineLevel="0" collapsed="false"/>
    <row r="35631" customFormat="false" ht="15" hidden="false" customHeight="true" outlineLevel="0" collapsed="false"/>
    <row r="35632" customFormat="false" ht="15" hidden="false" customHeight="true" outlineLevel="0" collapsed="false"/>
    <row r="35633" customFormat="false" ht="15" hidden="false" customHeight="true" outlineLevel="0" collapsed="false"/>
    <row r="35634" customFormat="false" ht="15" hidden="false" customHeight="true" outlineLevel="0" collapsed="false"/>
    <row r="35635" customFormat="false" ht="15" hidden="false" customHeight="true" outlineLevel="0" collapsed="false"/>
    <row r="35636" customFormat="false" ht="15" hidden="false" customHeight="true" outlineLevel="0" collapsed="false"/>
    <row r="35637" customFormat="false" ht="15" hidden="false" customHeight="true" outlineLevel="0" collapsed="false"/>
    <row r="35638" customFormat="false" ht="15" hidden="false" customHeight="true" outlineLevel="0" collapsed="false"/>
    <row r="35639" customFormat="false" ht="15" hidden="false" customHeight="true" outlineLevel="0" collapsed="false"/>
    <row r="35640" customFormat="false" ht="15" hidden="false" customHeight="true" outlineLevel="0" collapsed="false"/>
    <row r="35641" customFormat="false" ht="15" hidden="false" customHeight="true" outlineLevel="0" collapsed="false"/>
    <row r="35642" customFormat="false" ht="15" hidden="false" customHeight="true" outlineLevel="0" collapsed="false"/>
    <row r="35643" customFormat="false" ht="15" hidden="false" customHeight="true" outlineLevel="0" collapsed="false"/>
    <row r="35644" customFormat="false" ht="15" hidden="false" customHeight="true" outlineLevel="0" collapsed="false"/>
    <row r="35645" customFormat="false" ht="15" hidden="false" customHeight="true" outlineLevel="0" collapsed="false"/>
    <row r="35646" customFormat="false" ht="15" hidden="false" customHeight="true" outlineLevel="0" collapsed="false"/>
    <row r="35647" customFormat="false" ht="15" hidden="false" customHeight="true" outlineLevel="0" collapsed="false"/>
    <row r="35648" customFormat="false" ht="15" hidden="false" customHeight="true" outlineLevel="0" collapsed="false"/>
    <row r="35649" customFormat="false" ht="15" hidden="false" customHeight="true" outlineLevel="0" collapsed="false"/>
    <row r="35650" customFormat="false" ht="15" hidden="false" customHeight="true" outlineLevel="0" collapsed="false"/>
    <row r="35651" customFormat="false" ht="15" hidden="false" customHeight="true" outlineLevel="0" collapsed="false"/>
    <row r="35652" customFormat="false" ht="15" hidden="false" customHeight="true" outlineLevel="0" collapsed="false"/>
    <row r="35653" customFormat="false" ht="15" hidden="false" customHeight="true" outlineLevel="0" collapsed="false"/>
    <row r="35654" customFormat="false" ht="15" hidden="false" customHeight="true" outlineLevel="0" collapsed="false"/>
    <row r="35655" customFormat="false" ht="15" hidden="false" customHeight="true" outlineLevel="0" collapsed="false"/>
    <row r="35656" customFormat="false" ht="15" hidden="false" customHeight="true" outlineLevel="0" collapsed="false"/>
    <row r="35657" customFormat="false" ht="15" hidden="false" customHeight="true" outlineLevel="0" collapsed="false"/>
    <row r="35658" customFormat="false" ht="15" hidden="false" customHeight="true" outlineLevel="0" collapsed="false"/>
    <row r="35659" customFormat="false" ht="15" hidden="false" customHeight="true" outlineLevel="0" collapsed="false"/>
    <row r="35660" customFormat="false" ht="15" hidden="false" customHeight="true" outlineLevel="0" collapsed="false"/>
    <row r="35661" customFormat="false" ht="15" hidden="false" customHeight="true" outlineLevel="0" collapsed="false"/>
    <row r="35662" customFormat="false" ht="15" hidden="false" customHeight="true" outlineLevel="0" collapsed="false"/>
    <row r="35663" customFormat="false" ht="15" hidden="false" customHeight="true" outlineLevel="0" collapsed="false"/>
    <row r="35664" customFormat="false" ht="15" hidden="false" customHeight="true" outlineLevel="0" collapsed="false"/>
    <row r="35665" customFormat="false" ht="15" hidden="false" customHeight="true" outlineLevel="0" collapsed="false"/>
    <row r="35666" customFormat="false" ht="15" hidden="false" customHeight="true" outlineLevel="0" collapsed="false"/>
    <row r="35667" customFormat="false" ht="15" hidden="false" customHeight="true" outlineLevel="0" collapsed="false"/>
    <row r="35668" customFormat="false" ht="15" hidden="false" customHeight="true" outlineLevel="0" collapsed="false"/>
    <row r="35669" customFormat="false" ht="15" hidden="false" customHeight="true" outlineLevel="0" collapsed="false"/>
    <row r="35670" customFormat="false" ht="15" hidden="false" customHeight="true" outlineLevel="0" collapsed="false"/>
    <row r="35671" customFormat="false" ht="15" hidden="false" customHeight="true" outlineLevel="0" collapsed="false"/>
    <row r="35672" customFormat="false" ht="15" hidden="false" customHeight="true" outlineLevel="0" collapsed="false"/>
    <row r="35673" customFormat="false" ht="15" hidden="false" customHeight="true" outlineLevel="0" collapsed="false"/>
    <row r="35674" customFormat="false" ht="15" hidden="false" customHeight="true" outlineLevel="0" collapsed="false"/>
    <row r="35675" customFormat="false" ht="15" hidden="false" customHeight="true" outlineLevel="0" collapsed="false"/>
    <row r="35676" customFormat="false" ht="15" hidden="false" customHeight="true" outlineLevel="0" collapsed="false"/>
    <row r="35677" customFormat="false" ht="15" hidden="false" customHeight="true" outlineLevel="0" collapsed="false"/>
    <row r="35678" customFormat="false" ht="15" hidden="false" customHeight="true" outlineLevel="0" collapsed="false"/>
    <row r="35679" customFormat="false" ht="15" hidden="false" customHeight="true" outlineLevel="0" collapsed="false"/>
    <row r="35680" customFormat="false" ht="15" hidden="false" customHeight="true" outlineLevel="0" collapsed="false"/>
    <row r="35681" customFormat="false" ht="15" hidden="false" customHeight="true" outlineLevel="0" collapsed="false"/>
    <row r="35682" customFormat="false" ht="15" hidden="false" customHeight="true" outlineLevel="0" collapsed="false"/>
    <row r="35683" customFormat="false" ht="15" hidden="false" customHeight="true" outlineLevel="0" collapsed="false"/>
    <row r="35684" customFormat="false" ht="15" hidden="false" customHeight="true" outlineLevel="0" collapsed="false"/>
    <row r="35685" customFormat="false" ht="15" hidden="false" customHeight="true" outlineLevel="0" collapsed="false"/>
    <row r="35686" customFormat="false" ht="15" hidden="false" customHeight="true" outlineLevel="0" collapsed="false"/>
    <row r="35687" customFormat="false" ht="15" hidden="false" customHeight="true" outlineLevel="0" collapsed="false"/>
    <row r="35688" customFormat="false" ht="15" hidden="false" customHeight="true" outlineLevel="0" collapsed="false"/>
    <row r="35689" customFormat="false" ht="15" hidden="false" customHeight="true" outlineLevel="0" collapsed="false"/>
    <row r="35690" customFormat="false" ht="15" hidden="false" customHeight="true" outlineLevel="0" collapsed="false"/>
    <row r="35691" customFormat="false" ht="15" hidden="false" customHeight="true" outlineLevel="0" collapsed="false"/>
    <row r="35692" customFormat="false" ht="15" hidden="false" customHeight="true" outlineLevel="0" collapsed="false"/>
    <row r="35693" customFormat="false" ht="15" hidden="false" customHeight="true" outlineLevel="0" collapsed="false"/>
    <row r="35694" customFormat="false" ht="15" hidden="false" customHeight="true" outlineLevel="0" collapsed="false"/>
    <row r="35695" customFormat="false" ht="15" hidden="false" customHeight="true" outlineLevel="0" collapsed="false"/>
    <row r="35696" customFormat="false" ht="15" hidden="false" customHeight="true" outlineLevel="0" collapsed="false"/>
    <row r="35697" customFormat="false" ht="15" hidden="false" customHeight="true" outlineLevel="0" collapsed="false"/>
    <row r="35698" customFormat="false" ht="15" hidden="false" customHeight="true" outlineLevel="0" collapsed="false"/>
    <row r="35699" customFormat="false" ht="15" hidden="false" customHeight="true" outlineLevel="0" collapsed="false"/>
    <row r="35700" customFormat="false" ht="15" hidden="false" customHeight="true" outlineLevel="0" collapsed="false"/>
    <row r="35701" customFormat="false" ht="15" hidden="false" customHeight="true" outlineLevel="0" collapsed="false"/>
    <row r="35702" customFormat="false" ht="15" hidden="false" customHeight="true" outlineLevel="0" collapsed="false"/>
    <row r="35703" customFormat="false" ht="15" hidden="false" customHeight="true" outlineLevel="0" collapsed="false"/>
    <row r="35704" customFormat="false" ht="15" hidden="false" customHeight="true" outlineLevel="0" collapsed="false"/>
    <row r="35705" customFormat="false" ht="15" hidden="false" customHeight="true" outlineLevel="0" collapsed="false"/>
    <row r="35706" customFormat="false" ht="15" hidden="false" customHeight="true" outlineLevel="0" collapsed="false"/>
    <row r="35707" customFormat="false" ht="15" hidden="false" customHeight="true" outlineLevel="0" collapsed="false"/>
    <row r="35708" customFormat="false" ht="15" hidden="false" customHeight="true" outlineLevel="0" collapsed="false"/>
    <row r="35709" customFormat="false" ht="15" hidden="false" customHeight="true" outlineLevel="0" collapsed="false"/>
    <row r="35710" customFormat="false" ht="15" hidden="false" customHeight="true" outlineLevel="0" collapsed="false"/>
    <row r="35711" customFormat="false" ht="15" hidden="false" customHeight="true" outlineLevel="0" collapsed="false"/>
    <row r="35712" customFormat="false" ht="15" hidden="false" customHeight="true" outlineLevel="0" collapsed="false"/>
    <row r="35713" customFormat="false" ht="15" hidden="false" customHeight="true" outlineLevel="0" collapsed="false"/>
    <row r="35714" customFormat="false" ht="15" hidden="false" customHeight="true" outlineLevel="0" collapsed="false"/>
    <row r="35715" customFormat="false" ht="15" hidden="false" customHeight="true" outlineLevel="0" collapsed="false"/>
    <row r="35716" customFormat="false" ht="15" hidden="false" customHeight="true" outlineLevel="0" collapsed="false"/>
    <row r="35717" customFormat="false" ht="15" hidden="false" customHeight="true" outlineLevel="0" collapsed="false"/>
    <row r="35718" customFormat="false" ht="15" hidden="false" customHeight="true" outlineLevel="0" collapsed="false"/>
    <row r="35719" customFormat="false" ht="15" hidden="false" customHeight="true" outlineLevel="0" collapsed="false"/>
    <row r="35720" customFormat="false" ht="15" hidden="false" customHeight="true" outlineLevel="0" collapsed="false"/>
    <row r="35721" customFormat="false" ht="15" hidden="false" customHeight="true" outlineLevel="0" collapsed="false"/>
    <row r="35722" customFormat="false" ht="15" hidden="false" customHeight="true" outlineLevel="0" collapsed="false"/>
    <row r="35723" customFormat="false" ht="15" hidden="false" customHeight="true" outlineLevel="0" collapsed="false"/>
    <row r="35724" customFormat="false" ht="15" hidden="false" customHeight="true" outlineLevel="0" collapsed="false"/>
    <row r="35725" customFormat="false" ht="15" hidden="false" customHeight="true" outlineLevel="0" collapsed="false"/>
    <row r="35726" customFormat="false" ht="15" hidden="false" customHeight="true" outlineLevel="0" collapsed="false"/>
    <row r="35727" customFormat="false" ht="15" hidden="false" customHeight="true" outlineLevel="0" collapsed="false"/>
    <row r="35728" customFormat="false" ht="15" hidden="false" customHeight="true" outlineLevel="0" collapsed="false"/>
    <row r="35729" customFormat="false" ht="15" hidden="false" customHeight="true" outlineLevel="0" collapsed="false"/>
    <row r="35730" customFormat="false" ht="15" hidden="false" customHeight="true" outlineLevel="0" collapsed="false"/>
    <row r="35731" customFormat="false" ht="15" hidden="false" customHeight="true" outlineLevel="0" collapsed="false"/>
    <row r="35732" customFormat="false" ht="15" hidden="false" customHeight="true" outlineLevel="0" collapsed="false"/>
    <row r="35733" customFormat="false" ht="15" hidden="false" customHeight="true" outlineLevel="0" collapsed="false"/>
    <row r="35734" customFormat="false" ht="15" hidden="false" customHeight="true" outlineLevel="0" collapsed="false"/>
    <row r="35735" customFormat="false" ht="15" hidden="false" customHeight="true" outlineLevel="0" collapsed="false"/>
    <row r="35736" customFormat="false" ht="15" hidden="false" customHeight="true" outlineLevel="0" collapsed="false"/>
    <row r="35737" customFormat="false" ht="15" hidden="false" customHeight="true" outlineLevel="0" collapsed="false"/>
    <row r="35738" customFormat="false" ht="15" hidden="false" customHeight="true" outlineLevel="0" collapsed="false"/>
    <row r="35739" customFormat="false" ht="15" hidden="false" customHeight="true" outlineLevel="0" collapsed="false"/>
    <row r="35740" customFormat="false" ht="15" hidden="false" customHeight="true" outlineLevel="0" collapsed="false"/>
    <row r="35741" customFormat="false" ht="15" hidden="false" customHeight="true" outlineLevel="0" collapsed="false"/>
    <row r="35742" customFormat="false" ht="15" hidden="false" customHeight="true" outlineLevel="0" collapsed="false"/>
    <row r="35743" customFormat="false" ht="15" hidden="false" customHeight="true" outlineLevel="0" collapsed="false"/>
    <row r="35744" customFormat="false" ht="15" hidden="false" customHeight="true" outlineLevel="0" collapsed="false"/>
    <row r="35745" customFormat="false" ht="15" hidden="false" customHeight="true" outlineLevel="0" collapsed="false"/>
    <row r="35746" customFormat="false" ht="15" hidden="false" customHeight="true" outlineLevel="0" collapsed="false"/>
    <row r="35747" customFormat="false" ht="15" hidden="false" customHeight="true" outlineLevel="0" collapsed="false"/>
    <row r="35748" customFormat="false" ht="15" hidden="false" customHeight="true" outlineLevel="0" collapsed="false"/>
    <row r="35749" customFormat="false" ht="15" hidden="false" customHeight="true" outlineLevel="0" collapsed="false"/>
    <row r="35750" customFormat="false" ht="15" hidden="false" customHeight="true" outlineLevel="0" collapsed="false"/>
    <row r="35751" customFormat="false" ht="15" hidden="false" customHeight="true" outlineLevel="0" collapsed="false"/>
    <row r="35752" customFormat="false" ht="15" hidden="false" customHeight="true" outlineLevel="0" collapsed="false"/>
    <row r="35753" customFormat="false" ht="15" hidden="false" customHeight="true" outlineLevel="0" collapsed="false"/>
    <row r="35754" customFormat="false" ht="15" hidden="false" customHeight="true" outlineLevel="0" collapsed="false"/>
    <row r="35755" customFormat="false" ht="15" hidden="false" customHeight="true" outlineLevel="0" collapsed="false"/>
    <row r="35756" customFormat="false" ht="15" hidden="false" customHeight="true" outlineLevel="0" collapsed="false"/>
    <row r="35757" customFormat="false" ht="15" hidden="false" customHeight="true" outlineLevel="0" collapsed="false"/>
    <row r="35758" customFormat="false" ht="15" hidden="false" customHeight="true" outlineLevel="0" collapsed="false"/>
    <row r="35759" customFormat="false" ht="15" hidden="false" customHeight="true" outlineLevel="0" collapsed="false"/>
    <row r="35760" customFormat="false" ht="15" hidden="false" customHeight="true" outlineLevel="0" collapsed="false"/>
    <row r="35761" customFormat="false" ht="15" hidden="false" customHeight="true" outlineLevel="0" collapsed="false"/>
    <row r="35762" customFormat="false" ht="15" hidden="false" customHeight="true" outlineLevel="0" collapsed="false"/>
    <row r="35763" customFormat="false" ht="15" hidden="false" customHeight="true" outlineLevel="0" collapsed="false"/>
    <row r="35764" customFormat="false" ht="15" hidden="false" customHeight="true" outlineLevel="0" collapsed="false"/>
    <row r="35765" customFormat="false" ht="15" hidden="false" customHeight="true" outlineLevel="0" collapsed="false"/>
    <row r="35766" customFormat="false" ht="15" hidden="false" customHeight="true" outlineLevel="0" collapsed="false"/>
    <row r="35767" customFormat="false" ht="15" hidden="false" customHeight="true" outlineLevel="0" collapsed="false"/>
    <row r="35768" customFormat="false" ht="15" hidden="false" customHeight="true" outlineLevel="0" collapsed="false"/>
    <row r="35769" customFormat="false" ht="15" hidden="false" customHeight="true" outlineLevel="0" collapsed="false"/>
    <row r="35770" customFormat="false" ht="15" hidden="false" customHeight="true" outlineLevel="0" collapsed="false"/>
    <row r="35771" customFormat="false" ht="15" hidden="false" customHeight="true" outlineLevel="0" collapsed="false"/>
    <row r="35772" customFormat="false" ht="15" hidden="false" customHeight="true" outlineLevel="0" collapsed="false"/>
    <row r="35773" customFormat="false" ht="15" hidden="false" customHeight="true" outlineLevel="0" collapsed="false"/>
    <row r="35774" customFormat="false" ht="15" hidden="false" customHeight="true" outlineLevel="0" collapsed="false"/>
    <row r="35775" customFormat="false" ht="15" hidden="false" customHeight="true" outlineLevel="0" collapsed="false"/>
    <row r="35776" customFormat="false" ht="15" hidden="false" customHeight="true" outlineLevel="0" collapsed="false"/>
    <row r="35777" customFormat="false" ht="15" hidden="false" customHeight="true" outlineLevel="0" collapsed="false"/>
    <row r="35778" customFormat="false" ht="15" hidden="false" customHeight="true" outlineLevel="0" collapsed="false"/>
    <row r="35779" customFormat="false" ht="15" hidden="false" customHeight="true" outlineLevel="0" collapsed="false"/>
    <row r="35780" customFormat="false" ht="15" hidden="false" customHeight="true" outlineLevel="0" collapsed="false"/>
    <row r="35781" customFormat="false" ht="15" hidden="false" customHeight="true" outlineLevel="0" collapsed="false"/>
    <row r="35782" customFormat="false" ht="15" hidden="false" customHeight="true" outlineLevel="0" collapsed="false"/>
    <row r="35783" customFormat="false" ht="15" hidden="false" customHeight="true" outlineLevel="0" collapsed="false"/>
    <row r="35784" customFormat="false" ht="15" hidden="false" customHeight="true" outlineLevel="0" collapsed="false"/>
    <row r="35785" customFormat="false" ht="15" hidden="false" customHeight="true" outlineLevel="0" collapsed="false"/>
    <row r="35786" customFormat="false" ht="15" hidden="false" customHeight="true" outlineLevel="0" collapsed="false"/>
    <row r="35787" customFormat="false" ht="15" hidden="false" customHeight="true" outlineLevel="0" collapsed="false"/>
    <row r="35788" customFormat="false" ht="15" hidden="false" customHeight="true" outlineLevel="0" collapsed="false"/>
    <row r="35789" customFormat="false" ht="15" hidden="false" customHeight="true" outlineLevel="0" collapsed="false"/>
    <row r="35790" customFormat="false" ht="15" hidden="false" customHeight="true" outlineLevel="0" collapsed="false"/>
    <row r="35791" customFormat="false" ht="15" hidden="false" customHeight="true" outlineLevel="0" collapsed="false"/>
    <row r="35792" customFormat="false" ht="15" hidden="false" customHeight="true" outlineLevel="0" collapsed="false"/>
    <row r="35793" customFormat="false" ht="15" hidden="false" customHeight="true" outlineLevel="0" collapsed="false"/>
    <row r="35794" customFormat="false" ht="15" hidden="false" customHeight="true" outlineLevel="0" collapsed="false"/>
    <row r="35795" customFormat="false" ht="15" hidden="false" customHeight="true" outlineLevel="0" collapsed="false"/>
    <row r="35796" customFormat="false" ht="15" hidden="false" customHeight="true" outlineLevel="0" collapsed="false"/>
    <row r="35797" customFormat="false" ht="15" hidden="false" customHeight="true" outlineLevel="0" collapsed="false"/>
    <row r="35798" customFormat="false" ht="15" hidden="false" customHeight="true" outlineLevel="0" collapsed="false"/>
    <row r="35799" customFormat="false" ht="15" hidden="false" customHeight="true" outlineLevel="0" collapsed="false"/>
    <row r="35800" customFormat="false" ht="15" hidden="false" customHeight="true" outlineLevel="0" collapsed="false"/>
    <row r="35801" customFormat="false" ht="15" hidden="false" customHeight="true" outlineLevel="0" collapsed="false"/>
    <row r="35802" customFormat="false" ht="15" hidden="false" customHeight="true" outlineLevel="0" collapsed="false"/>
    <row r="35803" customFormat="false" ht="15" hidden="false" customHeight="true" outlineLevel="0" collapsed="false"/>
    <row r="35804" customFormat="false" ht="15" hidden="false" customHeight="true" outlineLevel="0" collapsed="false"/>
    <row r="35805" customFormat="false" ht="15" hidden="false" customHeight="true" outlineLevel="0" collapsed="false"/>
    <row r="35806" customFormat="false" ht="15" hidden="false" customHeight="true" outlineLevel="0" collapsed="false"/>
    <row r="35807" customFormat="false" ht="15" hidden="false" customHeight="true" outlineLevel="0" collapsed="false"/>
    <row r="35808" customFormat="false" ht="15" hidden="false" customHeight="true" outlineLevel="0" collapsed="false"/>
    <row r="35809" customFormat="false" ht="15" hidden="false" customHeight="true" outlineLevel="0" collapsed="false"/>
    <row r="35810" customFormat="false" ht="15" hidden="false" customHeight="true" outlineLevel="0" collapsed="false"/>
    <row r="35811" customFormat="false" ht="15" hidden="false" customHeight="true" outlineLevel="0" collapsed="false"/>
    <row r="35812" customFormat="false" ht="15" hidden="false" customHeight="true" outlineLevel="0" collapsed="false"/>
    <row r="35813" customFormat="false" ht="15" hidden="false" customHeight="true" outlineLevel="0" collapsed="false"/>
    <row r="35814" customFormat="false" ht="15" hidden="false" customHeight="true" outlineLevel="0" collapsed="false"/>
    <row r="35815" customFormat="false" ht="15" hidden="false" customHeight="true" outlineLevel="0" collapsed="false"/>
    <row r="35816" customFormat="false" ht="15" hidden="false" customHeight="true" outlineLevel="0" collapsed="false"/>
    <row r="35817" customFormat="false" ht="15" hidden="false" customHeight="true" outlineLevel="0" collapsed="false"/>
    <row r="35818" customFormat="false" ht="15" hidden="false" customHeight="true" outlineLevel="0" collapsed="false"/>
    <row r="35819" customFormat="false" ht="15" hidden="false" customHeight="true" outlineLevel="0" collapsed="false"/>
    <row r="35820" customFormat="false" ht="15" hidden="false" customHeight="true" outlineLevel="0" collapsed="false"/>
    <row r="35821" customFormat="false" ht="15" hidden="false" customHeight="true" outlineLevel="0" collapsed="false"/>
    <row r="35822" customFormat="false" ht="15" hidden="false" customHeight="true" outlineLevel="0" collapsed="false"/>
    <row r="35823" customFormat="false" ht="15" hidden="false" customHeight="true" outlineLevel="0" collapsed="false"/>
    <row r="35824" customFormat="false" ht="15" hidden="false" customHeight="true" outlineLevel="0" collapsed="false"/>
    <row r="35825" customFormat="false" ht="15" hidden="false" customHeight="true" outlineLevel="0" collapsed="false"/>
    <row r="35826" customFormat="false" ht="15" hidden="false" customHeight="true" outlineLevel="0" collapsed="false"/>
    <row r="35827" customFormat="false" ht="15" hidden="false" customHeight="true" outlineLevel="0" collapsed="false"/>
    <row r="35828" customFormat="false" ht="15" hidden="false" customHeight="true" outlineLevel="0" collapsed="false"/>
    <row r="35829" customFormat="false" ht="15" hidden="false" customHeight="true" outlineLevel="0" collapsed="false"/>
    <row r="35830" customFormat="false" ht="15" hidden="false" customHeight="true" outlineLevel="0" collapsed="false"/>
    <row r="35831" customFormat="false" ht="15" hidden="false" customHeight="true" outlineLevel="0" collapsed="false"/>
    <row r="35832" customFormat="false" ht="15" hidden="false" customHeight="true" outlineLevel="0" collapsed="false"/>
    <row r="35833" customFormat="false" ht="15" hidden="false" customHeight="true" outlineLevel="0" collapsed="false"/>
    <row r="35834" customFormat="false" ht="15" hidden="false" customHeight="true" outlineLevel="0" collapsed="false"/>
    <row r="35835" customFormat="false" ht="15" hidden="false" customHeight="true" outlineLevel="0" collapsed="false"/>
    <row r="35836" customFormat="false" ht="15" hidden="false" customHeight="true" outlineLevel="0" collapsed="false"/>
    <row r="35837" customFormat="false" ht="15" hidden="false" customHeight="true" outlineLevel="0" collapsed="false"/>
    <row r="35838" customFormat="false" ht="15" hidden="false" customHeight="true" outlineLevel="0" collapsed="false"/>
    <row r="35839" customFormat="false" ht="15" hidden="false" customHeight="true" outlineLevel="0" collapsed="false"/>
    <row r="35840" customFormat="false" ht="15" hidden="false" customHeight="true" outlineLevel="0" collapsed="false"/>
    <row r="35841" customFormat="false" ht="15" hidden="false" customHeight="true" outlineLevel="0" collapsed="false"/>
    <row r="35842" customFormat="false" ht="15" hidden="false" customHeight="true" outlineLevel="0" collapsed="false"/>
    <row r="35843" customFormat="false" ht="15" hidden="false" customHeight="true" outlineLevel="0" collapsed="false"/>
    <row r="35844" customFormat="false" ht="15" hidden="false" customHeight="true" outlineLevel="0" collapsed="false"/>
    <row r="35845" customFormat="false" ht="15" hidden="false" customHeight="true" outlineLevel="0" collapsed="false"/>
    <row r="35846" customFormat="false" ht="15" hidden="false" customHeight="true" outlineLevel="0" collapsed="false"/>
    <row r="35847" customFormat="false" ht="15" hidden="false" customHeight="true" outlineLevel="0" collapsed="false"/>
    <row r="35848" customFormat="false" ht="15" hidden="false" customHeight="true" outlineLevel="0" collapsed="false"/>
    <row r="35849" customFormat="false" ht="15" hidden="false" customHeight="true" outlineLevel="0" collapsed="false"/>
    <row r="35850" customFormat="false" ht="15" hidden="false" customHeight="true" outlineLevel="0" collapsed="false"/>
    <row r="35851" customFormat="false" ht="15" hidden="false" customHeight="true" outlineLevel="0" collapsed="false"/>
    <row r="35852" customFormat="false" ht="15" hidden="false" customHeight="true" outlineLevel="0" collapsed="false"/>
    <row r="35853" customFormat="false" ht="15" hidden="false" customHeight="true" outlineLevel="0" collapsed="false"/>
    <row r="35854" customFormat="false" ht="15" hidden="false" customHeight="true" outlineLevel="0" collapsed="false"/>
    <row r="35855" customFormat="false" ht="15" hidden="false" customHeight="true" outlineLevel="0" collapsed="false"/>
    <row r="35856" customFormat="false" ht="15" hidden="false" customHeight="true" outlineLevel="0" collapsed="false"/>
    <row r="35857" customFormat="false" ht="15" hidden="false" customHeight="true" outlineLevel="0" collapsed="false"/>
    <row r="35858" customFormat="false" ht="15" hidden="false" customHeight="true" outlineLevel="0" collapsed="false"/>
    <row r="35859" customFormat="false" ht="15" hidden="false" customHeight="true" outlineLevel="0" collapsed="false"/>
    <row r="35860" customFormat="false" ht="15" hidden="false" customHeight="true" outlineLevel="0" collapsed="false"/>
    <row r="35861" customFormat="false" ht="15" hidden="false" customHeight="true" outlineLevel="0" collapsed="false"/>
    <row r="35862" customFormat="false" ht="15" hidden="false" customHeight="true" outlineLevel="0" collapsed="false"/>
    <row r="35863" customFormat="false" ht="15" hidden="false" customHeight="true" outlineLevel="0" collapsed="false"/>
    <row r="35864" customFormat="false" ht="15" hidden="false" customHeight="true" outlineLevel="0" collapsed="false"/>
    <row r="35865" customFormat="false" ht="15" hidden="false" customHeight="true" outlineLevel="0" collapsed="false"/>
    <row r="35866" customFormat="false" ht="15" hidden="false" customHeight="true" outlineLevel="0" collapsed="false"/>
    <row r="35867" customFormat="false" ht="15" hidden="false" customHeight="true" outlineLevel="0" collapsed="false"/>
    <row r="35868" customFormat="false" ht="15" hidden="false" customHeight="true" outlineLevel="0" collapsed="false"/>
    <row r="35869" customFormat="false" ht="15" hidden="false" customHeight="true" outlineLevel="0" collapsed="false"/>
    <row r="35870" customFormat="false" ht="15" hidden="false" customHeight="true" outlineLevel="0" collapsed="false"/>
    <row r="35871" customFormat="false" ht="15" hidden="false" customHeight="true" outlineLevel="0" collapsed="false"/>
    <row r="35872" customFormat="false" ht="15" hidden="false" customHeight="true" outlineLevel="0" collapsed="false"/>
    <row r="35873" customFormat="false" ht="15" hidden="false" customHeight="true" outlineLevel="0" collapsed="false"/>
    <row r="35874" customFormat="false" ht="15" hidden="false" customHeight="true" outlineLevel="0" collapsed="false"/>
    <row r="35875" customFormat="false" ht="15" hidden="false" customHeight="true" outlineLevel="0" collapsed="false"/>
    <row r="35876" customFormat="false" ht="15" hidden="false" customHeight="true" outlineLevel="0" collapsed="false"/>
    <row r="35877" customFormat="false" ht="15" hidden="false" customHeight="true" outlineLevel="0" collapsed="false"/>
    <row r="35878" customFormat="false" ht="15" hidden="false" customHeight="true" outlineLevel="0" collapsed="false"/>
    <row r="35879" customFormat="false" ht="15" hidden="false" customHeight="true" outlineLevel="0" collapsed="false"/>
    <row r="35880" customFormat="false" ht="15" hidden="false" customHeight="true" outlineLevel="0" collapsed="false"/>
    <row r="35881" customFormat="false" ht="15" hidden="false" customHeight="true" outlineLevel="0" collapsed="false"/>
    <row r="35882" customFormat="false" ht="15" hidden="false" customHeight="true" outlineLevel="0" collapsed="false"/>
    <row r="35883" customFormat="false" ht="15" hidden="false" customHeight="true" outlineLevel="0" collapsed="false"/>
    <row r="35884" customFormat="false" ht="15" hidden="false" customHeight="true" outlineLevel="0" collapsed="false"/>
    <row r="35885" customFormat="false" ht="15" hidden="false" customHeight="true" outlineLevel="0" collapsed="false"/>
    <row r="35886" customFormat="false" ht="15" hidden="false" customHeight="true" outlineLevel="0" collapsed="false"/>
    <row r="35887" customFormat="false" ht="15" hidden="false" customHeight="true" outlineLevel="0" collapsed="false"/>
    <row r="35888" customFormat="false" ht="15" hidden="false" customHeight="true" outlineLevel="0" collapsed="false"/>
    <row r="35889" customFormat="false" ht="15" hidden="false" customHeight="true" outlineLevel="0" collapsed="false"/>
    <row r="35890" customFormat="false" ht="15" hidden="false" customHeight="true" outlineLevel="0" collapsed="false"/>
    <row r="35891" customFormat="false" ht="15" hidden="false" customHeight="true" outlineLevel="0" collapsed="false"/>
    <row r="35892" customFormat="false" ht="15" hidden="false" customHeight="true" outlineLevel="0" collapsed="false"/>
    <row r="35893" customFormat="false" ht="15" hidden="false" customHeight="true" outlineLevel="0" collapsed="false"/>
    <row r="35894" customFormat="false" ht="15" hidden="false" customHeight="true" outlineLevel="0" collapsed="false"/>
    <row r="35895" customFormat="false" ht="15" hidden="false" customHeight="true" outlineLevel="0" collapsed="false"/>
    <row r="35896" customFormat="false" ht="15" hidden="false" customHeight="true" outlineLevel="0" collapsed="false"/>
    <row r="35897" customFormat="false" ht="15" hidden="false" customHeight="true" outlineLevel="0" collapsed="false"/>
    <row r="35898" customFormat="false" ht="15" hidden="false" customHeight="true" outlineLevel="0" collapsed="false"/>
    <row r="35899" customFormat="false" ht="15" hidden="false" customHeight="true" outlineLevel="0" collapsed="false"/>
    <row r="35900" customFormat="false" ht="15" hidden="false" customHeight="true" outlineLevel="0" collapsed="false"/>
    <row r="35901" customFormat="false" ht="15" hidden="false" customHeight="true" outlineLevel="0" collapsed="false"/>
    <row r="35902" customFormat="false" ht="15" hidden="false" customHeight="true" outlineLevel="0" collapsed="false"/>
    <row r="35903" customFormat="false" ht="15" hidden="false" customHeight="true" outlineLevel="0" collapsed="false"/>
    <row r="35904" customFormat="false" ht="15" hidden="false" customHeight="true" outlineLevel="0" collapsed="false"/>
    <row r="35905" customFormat="false" ht="15" hidden="false" customHeight="true" outlineLevel="0" collapsed="false"/>
    <row r="35906" customFormat="false" ht="15" hidden="false" customHeight="true" outlineLevel="0" collapsed="false"/>
    <row r="35907" customFormat="false" ht="15" hidden="false" customHeight="true" outlineLevel="0" collapsed="false"/>
    <row r="35908" customFormat="false" ht="15" hidden="false" customHeight="true" outlineLevel="0" collapsed="false"/>
    <row r="35909" customFormat="false" ht="15" hidden="false" customHeight="true" outlineLevel="0" collapsed="false"/>
    <row r="35910" customFormat="false" ht="15" hidden="false" customHeight="true" outlineLevel="0" collapsed="false"/>
    <row r="35911" customFormat="false" ht="15" hidden="false" customHeight="true" outlineLevel="0" collapsed="false"/>
    <row r="35912" customFormat="false" ht="15" hidden="false" customHeight="true" outlineLevel="0" collapsed="false"/>
    <row r="35913" customFormat="false" ht="15" hidden="false" customHeight="true" outlineLevel="0" collapsed="false"/>
    <row r="35914" customFormat="false" ht="15" hidden="false" customHeight="true" outlineLevel="0" collapsed="false"/>
    <row r="35915" customFormat="false" ht="15" hidden="false" customHeight="true" outlineLevel="0" collapsed="false"/>
    <row r="35916" customFormat="false" ht="15" hidden="false" customHeight="true" outlineLevel="0" collapsed="false"/>
    <row r="35917" customFormat="false" ht="15" hidden="false" customHeight="true" outlineLevel="0" collapsed="false"/>
    <row r="35918" customFormat="false" ht="15" hidden="false" customHeight="true" outlineLevel="0" collapsed="false"/>
    <row r="35919" customFormat="false" ht="15" hidden="false" customHeight="true" outlineLevel="0" collapsed="false"/>
    <row r="35920" customFormat="false" ht="15" hidden="false" customHeight="true" outlineLevel="0" collapsed="false"/>
    <row r="35921" customFormat="false" ht="15" hidden="false" customHeight="true" outlineLevel="0" collapsed="false"/>
    <row r="35922" customFormat="false" ht="15" hidden="false" customHeight="true" outlineLevel="0" collapsed="false"/>
    <row r="35923" customFormat="false" ht="15" hidden="false" customHeight="true" outlineLevel="0" collapsed="false"/>
    <row r="35924" customFormat="false" ht="15" hidden="false" customHeight="true" outlineLevel="0" collapsed="false"/>
    <row r="35925" customFormat="false" ht="15" hidden="false" customHeight="true" outlineLevel="0" collapsed="false"/>
    <row r="35926" customFormat="false" ht="15" hidden="false" customHeight="true" outlineLevel="0" collapsed="false"/>
    <row r="35927" customFormat="false" ht="15" hidden="false" customHeight="true" outlineLevel="0" collapsed="false"/>
    <row r="35928" customFormat="false" ht="15" hidden="false" customHeight="true" outlineLevel="0" collapsed="false"/>
    <row r="35929" customFormat="false" ht="15" hidden="false" customHeight="true" outlineLevel="0" collapsed="false"/>
    <row r="35930" customFormat="false" ht="15" hidden="false" customHeight="true" outlineLevel="0" collapsed="false"/>
    <row r="35931" customFormat="false" ht="15" hidden="false" customHeight="true" outlineLevel="0" collapsed="false"/>
    <row r="35932" customFormat="false" ht="15" hidden="false" customHeight="true" outlineLevel="0" collapsed="false"/>
    <row r="35933" customFormat="false" ht="15" hidden="false" customHeight="true" outlineLevel="0" collapsed="false"/>
    <row r="35934" customFormat="false" ht="15" hidden="false" customHeight="true" outlineLevel="0" collapsed="false"/>
    <row r="35935" customFormat="false" ht="15" hidden="false" customHeight="true" outlineLevel="0" collapsed="false"/>
    <row r="35936" customFormat="false" ht="15" hidden="false" customHeight="true" outlineLevel="0" collapsed="false"/>
    <row r="35937" customFormat="false" ht="15" hidden="false" customHeight="true" outlineLevel="0" collapsed="false"/>
    <row r="35938" customFormat="false" ht="15" hidden="false" customHeight="true" outlineLevel="0" collapsed="false"/>
    <row r="35939" customFormat="false" ht="15" hidden="false" customHeight="true" outlineLevel="0" collapsed="false"/>
    <row r="35940" customFormat="false" ht="15" hidden="false" customHeight="true" outlineLevel="0" collapsed="false"/>
    <row r="35941" customFormat="false" ht="15" hidden="false" customHeight="true" outlineLevel="0" collapsed="false"/>
    <row r="35942" customFormat="false" ht="15" hidden="false" customHeight="true" outlineLevel="0" collapsed="false"/>
    <row r="35943" customFormat="false" ht="15" hidden="false" customHeight="true" outlineLevel="0" collapsed="false"/>
    <row r="35944" customFormat="false" ht="15" hidden="false" customHeight="true" outlineLevel="0" collapsed="false"/>
    <row r="35945" customFormat="false" ht="15" hidden="false" customHeight="true" outlineLevel="0" collapsed="false"/>
    <row r="35946" customFormat="false" ht="15" hidden="false" customHeight="true" outlineLevel="0" collapsed="false"/>
    <row r="35947" customFormat="false" ht="15" hidden="false" customHeight="true" outlineLevel="0" collapsed="false"/>
    <row r="35948" customFormat="false" ht="15" hidden="false" customHeight="true" outlineLevel="0" collapsed="false"/>
    <row r="35949" customFormat="false" ht="15" hidden="false" customHeight="true" outlineLevel="0" collapsed="false"/>
    <row r="35950" customFormat="false" ht="15" hidden="false" customHeight="true" outlineLevel="0" collapsed="false"/>
    <row r="35951" customFormat="false" ht="15" hidden="false" customHeight="true" outlineLevel="0" collapsed="false"/>
    <row r="35952" customFormat="false" ht="15" hidden="false" customHeight="true" outlineLevel="0" collapsed="false"/>
    <row r="35953" customFormat="false" ht="15" hidden="false" customHeight="true" outlineLevel="0" collapsed="false"/>
    <row r="35954" customFormat="false" ht="15" hidden="false" customHeight="true" outlineLevel="0" collapsed="false"/>
    <row r="35955" customFormat="false" ht="15" hidden="false" customHeight="true" outlineLevel="0" collapsed="false"/>
    <row r="35956" customFormat="false" ht="15" hidden="false" customHeight="true" outlineLevel="0" collapsed="false"/>
    <row r="35957" customFormat="false" ht="15" hidden="false" customHeight="true" outlineLevel="0" collapsed="false"/>
    <row r="35958" customFormat="false" ht="15" hidden="false" customHeight="true" outlineLevel="0" collapsed="false"/>
    <row r="35959" customFormat="false" ht="15" hidden="false" customHeight="true" outlineLevel="0" collapsed="false"/>
    <row r="35960" customFormat="false" ht="15" hidden="false" customHeight="true" outlineLevel="0" collapsed="false"/>
    <row r="35961" customFormat="false" ht="15" hidden="false" customHeight="true" outlineLevel="0" collapsed="false"/>
    <row r="35962" customFormat="false" ht="15" hidden="false" customHeight="true" outlineLevel="0" collapsed="false"/>
    <row r="35963" customFormat="false" ht="15" hidden="false" customHeight="true" outlineLevel="0" collapsed="false"/>
    <row r="35964" customFormat="false" ht="15" hidden="false" customHeight="true" outlineLevel="0" collapsed="false"/>
    <row r="35965" customFormat="false" ht="15" hidden="false" customHeight="true" outlineLevel="0" collapsed="false"/>
    <row r="35966" customFormat="false" ht="15" hidden="false" customHeight="true" outlineLevel="0" collapsed="false"/>
    <row r="35967" customFormat="false" ht="15" hidden="false" customHeight="true" outlineLevel="0" collapsed="false"/>
    <row r="35968" customFormat="false" ht="15" hidden="false" customHeight="true" outlineLevel="0" collapsed="false"/>
    <row r="35969" customFormat="false" ht="15" hidden="false" customHeight="true" outlineLevel="0" collapsed="false"/>
    <row r="35970" customFormat="false" ht="15" hidden="false" customHeight="true" outlineLevel="0" collapsed="false"/>
    <row r="35971" customFormat="false" ht="15" hidden="false" customHeight="true" outlineLevel="0" collapsed="false"/>
    <row r="35972" customFormat="false" ht="15" hidden="false" customHeight="true" outlineLevel="0" collapsed="false"/>
    <row r="35973" customFormat="false" ht="15" hidden="false" customHeight="true" outlineLevel="0" collapsed="false"/>
    <row r="35974" customFormat="false" ht="15" hidden="false" customHeight="true" outlineLevel="0" collapsed="false"/>
    <row r="35975" customFormat="false" ht="15" hidden="false" customHeight="true" outlineLevel="0" collapsed="false"/>
    <row r="35976" customFormat="false" ht="15" hidden="false" customHeight="true" outlineLevel="0" collapsed="false"/>
    <row r="35977" customFormat="false" ht="15" hidden="false" customHeight="true" outlineLevel="0" collapsed="false"/>
    <row r="35978" customFormat="false" ht="15" hidden="false" customHeight="true" outlineLevel="0" collapsed="false"/>
    <row r="35979" customFormat="false" ht="15" hidden="false" customHeight="true" outlineLevel="0" collapsed="false"/>
    <row r="35980" customFormat="false" ht="15" hidden="false" customHeight="true" outlineLevel="0" collapsed="false"/>
    <row r="35981" customFormat="false" ht="15" hidden="false" customHeight="true" outlineLevel="0" collapsed="false"/>
    <row r="35982" customFormat="false" ht="15" hidden="false" customHeight="true" outlineLevel="0" collapsed="false"/>
    <row r="35983" customFormat="false" ht="15" hidden="false" customHeight="true" outlineLevel="0" collapsed="false"/>
    <row r="35984" customFormat="false" ht="15" hidden="false" customHeight="true" outlineLevel="0" collapsed="false"/>
    <row r="35985" customFormat="false" ht="15" hidden="false" customHeight="true" outlineLevel="0" collapsed="false"/>
    <row r="35986" customFormat="false" ht="15" hidden="false" customHeight="true" outlineLevel="0" collapsed="false"/>
    <row r="35987" customFormat="false" ht="15" hidden="false" customHeight="true" outlineLevel="0" collapsed="false"/>
    <row r="35988" customFormat="false" ht="15" hidden="false" customHeight="true" outlineLevel="0" collapsed="false"/>
    <row r="35989" customFormat="false" ht="15" hidden="false" customHeight="true" outlineLevel="0" collapsed="false"/>
    <row r="35990" customFormat="false" ht="15" hidden="false" customHeight="true" outlineLevel="0" collapsed="false"/>
    <row r="35991" customFormat="false" ht="15" hidden="false" customHeight="true" outlineLevel="0" collapsed="false"/>
    <row r="35992" customFormat="false" ht="15" hidden="false" customHeight="true" outlineLevel="0" collapsed="false"/>
    <row r="35993" customFormat="false" ht="15" hidden="false" customHeight="true" outlineLevel="0" collapsed="false"/>
    <row r="35994" customFormat="false" ht="15" hidden="false" customHeight="true" outlineLevel="0" collapsed="false"/>
    <row r="35995" customFormat="false" ht="15" hidden="false" customHeight="true" outlineLevel="0" collapsed="false"/>
    <row r="35996" customFormat="false" ht="15" hidden="false" customHeight="true" outlineLevel="0" collapsed="false"/>
    <row r="35997" customFormat="false" ht="15" hidden="false" customHeight="true" outlineLevel="0" collapsed="false"/>
    <row r="35998" customFormat="false" ht="15" hidden="false" customHeight="true" outlineLevel="0" collapsed="false"/>
    <row r="35999" customFormat="false" ht="15" hidden="false" customHeight="true" outlineLevel="0" collapsed="false"/>
    <row r="36000" customFormat="false" ht="15" hidden="false" customHeight="true" outlineLevel="0" collapsed="false"/>
    <row r="36001" customFormat="false" ht="15" hidden="false" customHeight="true" outlineLevel="0" collapsed="false"/>
    <row r="36002" customFormat="false" ht="15" hidden="false" customHeight="true" outlineLevel="0" collapsed="false"/>
    <row r="36003" customFormat="false" ht="15" hidden="false" customHeight="true" outlineLevel="0" collapsed="false"/>
    <row r="36004" customFormat="false" ht="15" hidden="false" customHeight="true" outlineLevel="0" collapsed="false"/>
    <row r="36005" customFormat="false" ht="15" hidden="false" customHeight="true" outlineLevel="0" collapsed="false"/>
    <row r="36006" customFormat="false" ht="15" hidden="false" customHeight="true" outlineLevel="0" collapsed="false"/>
    <row r="36007" customFormat="false" ht="15" hidden="false" customHeight="true" outlineLevel="0" collapsed="false"/>
    <row r="36008" customFormat="false" ht="15" hidden="false" customHeight="true" outlineLevel="0" collapsed="false"/>
    <row r="36009" customFormat="false" ht="15" hidden="false" customHeight="true" outlineLevel="0" collapsed="false"/>
    <row r="36010" customFormat="false" ht="15" hidden="false" customHeight="true" outlineLevel="0" collapsed="false"/>
    <row r="36011" customFormat="false" ht="15" hidden="false" customHeight="true" outlineLevel="0" collapsed="false"/>
    <row r="36012" customFormat="false" ht="15" hidden="false" customHeight="true" outlineLevel="0" collapsed="false"/>
    <row r="36013" customFormat="false" ht="15" hidden="false" customHeight="true" outlineLevel="0" collapsed="false"/>
    <row r="36014" customFormat="false" ht="15" hidden="false" customHeight="true" outlineLevel="0" collapsed="false"/>
    <row r="36015" customFormat="false" ht="15" hidden="false" customHeight="true" outlineLevel="0" collapsed="false"/>
    <row r="36016" customFormat="false" ht="15" hidden="false" customHeight="true" outlineLevel="0" collapsed="false"/>
    <row r="36017" customFormat="false" ht="15" hidden="false" customHeight="true" outlineLevel="0" collapsed="false"/>
    <row r="36018" customFormat="false" ht="15" hidden="false" customHeight="true" outlineLevel="0" collapsed="false"/>
    <row r="36019" customFormat="false" ht="15" hidden="false" customHeight="true" outlineLevel="0" collapsed="false"/>
    <row r="36020" customFormat="false" ht="15" hidden="false" customHeight="true" outlineLevel="0" collapsed="false"/>
    <row r="36021" customFormat="false" ht="15" hidden="false" customHeight="true" outlineLevel="0" collapsed="false"/>
    <row r="36022" customFormat="false" ht="15" hidden="false" customHeight="true" outlineLevel="0" collapsed="false"/>
    <row r="36023" customFormat="false" ht="15" hidden="false" customHeight="true" outlineLevel="0" collapsed="false"/>
    <row r="36024" customFormat="false" ht="15" hidden="false" customHeight="true" outlineLevel="0" collapsed="false"/>
    <row r="36025" customFormat="false" ht="15" hidden="false" customHeight="true" outlineLevel="0" collapsed="false"/>
    <row r="36026" customFormat="false" ht="15" hidden="false" customHeight="true" outlineLevel="0" collapsed="false"/>
    <row r="36027" customFormat="false" ht="15" hidden="false" customHeight="true" outlineLevel="0" collapsed="false"/>
    <row r="36028" customFormat="false" ht="15" hidden="false" customHeight="true" outlineLevel="0" collapsed="false"/>
    <row r="36029" customFormat="false" ht="15" hidden="false" customHeight="true" outlineLevel="0" collapsed="false"/>
    <row r="36030" customFormat="false" ht="15" hidden="false" customHeight="true" outlineLevel="0" collapsed="false"/>
    <row r="36031" customFormat="false" ht="15" hidden="false" customHeight="true" outlineLevel="0" collapsed="false"/>
    <row r="36032" customFormat="false" ht="15" hidden="false" customHeight="true" outlineLevel="0" collapsed="false"/>
    <row r="36033" customFormat="false" ht="15" hidden="false" customHeight="true" outlineLevel="0" collapsed="false"/>
    <row r="36034" customFormat="false" ht="15" hidden="false" customHeight="true" outlineLevel="0" collapsed="false"/>
    <row r="36035" customFormat="false" ht="15" hidden="false" customHeight="true" outlineLevel="0" collapsed="false"/>
    <row r="36036" customFormat="false" ht="15" hidden="false" customHeight="true" outlineLevel="0" collapsed="false"/>
    <row r="36037" customFormat="false" ht="15" hidden="false" customHeight="true" outlineLevel="0" collapsed="false"/>
    <row r="36038" customFormat="false" ht="15" hidden="false" customHeight="true" outlineLevel="0" collapsed="false"/>
    <row r="36039" customFormat="false" ht="15" hidden="false" customHeight="true" outlineLevel="0" collapsed="false"/>
    <row r="36040" customFormat="false" ht="15" hidden="false" customHeight="true" outlineLevel="0" collapsed="false"/>
    <row r="36041" customFormat="false" ht="15" hidden="false" customHeight="true" outlineLevel="0" collapsed="false"/>
    <row r="36042" customFormat="false" ht="15" hidden="false" customHeight="true" outlineLevel="0" collapsed="false"/>
    <row r="36043" customFormat="false" ht="15" hidden="false" customHeight="true" outlineLevel="0" collapsed="false"/>
    <row r="36044" customFormat="false" ht="15" hidden="false" customHeight="true" outlineLevel="0" collapsed="false"/>
    <row r="36045" customFormat="false" ht="15" hidden="false" customHeight="true" outlineLevel="0" collapsed="false"/>
    <row r="36046" customFormat="false" ht="15" hidden="false" customHeight="true" outlineLevel="0" collapsed="false"/>
    <row r="36047" customFormat="false" ht="15" hidden="false" customHeight="true" outlineLevel="0" collapsed="false"/>
    <row r="36048" customFormat="false" ht="15" hidden="false" customHeight="true" outlineLevel="0" collapsed="false"/>
    <row r="36049" customFormat="false" ht="15" hidden="false" customHeight="true" outlineLevel="0" collapsed="false"/>
    <row r="36050" customFormat="false" ht="15" hidden="false" customHeight="true" outlineLevel="0" collapsed="false"/>
    <row r="36051" customFormat="false" ht="15" hidden="false" customHeight="true" outlineLevel="0" collapsed="false"/>
    <row r="36052" customFormat="false" ht="15" hidden="false" customHeight="true" outlineLevel="0" collapsed="false"/>
    <row r="36053" customFormat="false" ht="15" hidden="false" customHeight="true" outlineLevel="0" collapsed="false"/>
    <row r="36054" customFormat="false" ht="15" hidden="false" customHeight="true" outlineLevel="0" collapsed="false"/>
    <row r="36055" customFormat="false" ht="15" hidden="false" customHeight="true" outlineLevel="0" collapsed="false"/>
    <row r="36056" customFormat="false" ht="15" hidden="false" customHeight="true" outlineLevel="0" collapsed="false"/>
    <row r="36057" customFormat="false" ht="15" hidden="false" customHeight="true" outlineLevel="0" collapsed="false"/>
    <row r="36058" customFormat="false" ht="15" hidden="false" customHeight="true" outlineLevel="0" collapsed="false"/>
    <row r="36059" customFormat="false" ht="15" hidden="false" customHeight="true" outlineLevel="0" collapsed="false"/>
    <row r="36060" customFormat="false" ht="15" hidden="false" customHeight="true" outlineLevel="0" collapsed="false"/>
    <row r="36061" customFormat="false" ht="15" hidden="false" customHeight="true" outlineLevel="0" collapsed="false"/>
    <row r="36062" customFormat="false" ht="15" hidden="false" customHeight="true" outlineLevel="0" collapsed="false"/>
    <row r="36063" customFormat="false" ht="15" hidden="false" customHeight="true" outlineLevel="0" collapsed="false"/>
    <row r="36064" customFormat="false" ht="15" hidden="false" customHeight="true" outlineLevel="0" collapsed="false"/>
    <row r="36065" customFormat="false" ht="15" hidden="false" customHeight="true" outlineLevel="0" collapsed="false"/>
    <row r="36066" customFormat="false" ht="15" hidden="false" customHeight="true" outlineLevel="0" collapsed="false"/>
    <row r="36067" customFormat="false" ht="15" hidden="false" customHeight="true" outlineLevel="0" collapsed="false"/>
    <row r="36068" customFormat="false" ht="15" hidden="false" customHeight="true" outlineLevel="0" collapsed="false"/>
    <row r="36069" customFormat="false" ht="15" hidden="false" customHeight="true" outlineLevel="0" collapsed="false"/>
    <row r="36070" customFormat="false" ht="15" hidden="false" customHeight="true" outlineLevel="0" collapsed="false"/>
    <row r="36071" customFormat="false" ht="15" hidden="false" customHeight="true" outlineLevel="0" collapsed="false"/>
    <row r="36072" customFormat="false" ht="15" hidden="false" customHeight="true" outlineLevel="0" collapsed="false"/>
    <row r="36073" customFormat="false" ht="15" hidden="false" customHeight="true" outlineLevel="0" collapsed="false"/>
    <row r="36074" customFormat="false" ht="15" hidden="false" customHeight="true" outlineLevel="0" collapsed="false"/>
    <row r="36075" customFormat="false" ht="15" hidden="false" customHeight="true" outlineLevel="0" collapsed="false"/>
    <row r="36076" customFormat="false" ht="15" hidden="false" customHeight="true" outlineLevel="0" collapsed="false"/>
    <row r="36077" customFormat="false" ht="15" hidden="false" customHeight="true" outlineLevel="0" collapsed="false"/>
    <row r="36078" customFormat="false" ht="15" hidden="false" customHeight="true" outlineLevel="0" collapsed="false"/>
    <row r="36079" customFormat="false" ht="15" hidden="false" customHeight="true" outlineLevel="0" collapsed="false"/>
    <row r="36080" customFormat="false" ht="15" hidden="false" customHeight="true" outlineLevel="0" collapsed="false"/>
    <row r="36081" customFormat="false" ht="15" hidden="false" customHeight="true" outlineLevel="0" collapsed="false"/>
    <row r="36082" customFormat="false" ht="15" hidden="false" customHeight="true" outlineLevel="0" collapsed="false"/>
    <row r="36083" customFormat="false" ht="15" hidden="false" customHeight="true" outlineLevel="0" collapsed="false"/>
    <row r="36084" customFormat="false" ht="15" hidden="false" customHeight="true" outlineLevel="0" collapsed="false"/>
    <row r="36085" customFormat="false" ht="15" hidden="false" customHeight="true" outlineLevel="0" collapsed="false"/>
    <row r="36086" customFormat="false" ht="15" hidden="false" customHeight="true" outlineLevel="0" collapsed="false"/>
    <row r="36087" customFormat="false" ht="15" hidden="false" customHeight="true" outlineLevel="0" collapsed="false"/>
    <row r="36088" customFormat="false" ht="15" hidden="false" customHeight="true" outlineLevel="0" collapsed="false"/>
    <row r="36089" customFormat="false" ht="15" hidden="false" customHeight="true" outlineLevel="0" collapsed="false"/>
    <row r="36090" customFormat="false" ht="15" hidden="false" customHeight="true" outlineLevel="0" collapsed="false"/>
    <row r="36091" customFormat="false" ht="15" hidden="false" customHeight="true" outlineLevel="0" collapsed="false"/>
    <row r="36092" customFormat="false" ht="15" hidden="false" customHeight="true" outlineLevel="0" collapsed="false"/>
    <row r="36093" customFormat="false" ht="15" hidden="false" customHeight="true" outlineLevel="0" collapsed="false"/>
    <row r="36094" customFormat="false" ht="15" hidden="false" customHeight="true" outlineLevel="0" collapsed="false"/>
    <row r="36095" customFormat="false" ht="15" hidden="false" customHeight="true" outlineLevel="0" collapsed="false"/>
    <row r="36096" customFormat="false" ht="15" hidden="false" customHeight="true" outlineLevel="0" collapsed="false"/>
    <row r="36097" customFormat="false" ht="15" hidden="false" customHeight="true" outlineLevel="0" collapsed="false"/>
    <row r="36098" customFormat="false" ht="15" hidden="false" customHeight="true" outlineLevel="0" collapsed="false"/>
    <row r="36099" customFormat="false" ht="15" hidden="false" customHeight="true" outlineLevel="0" collapsed="false"/>
    <row r="36100" customFormat="false" ht="15" hidden="false" customHeight="true" outlineLevel="0" collapsed="false"/>
    <row r="36101" customFormat="false" ht="15" hidden="false" customHeight="true" outlineLevel="0" collapsed="false"/>
    <row r="36102" customFormat="false" ht="15" hidden="false" customHeight="true" outlineLevel="0" collapsed="false"/>
    <row r="36103" customFormat="false" ht="15" hidden="false" customHeight="true" outlineLevel="0" collapsed="false"/>
    <row r="36104" customFormat="false" ht="15" hidden="false" customHeight="true" outlineLevel="0" collapsed="false"/>
    <row r="36105" customFormat="false" ht="15" hidden="false" customHeight="true" outlineLevel="0" collapsed="false"/>
    <row r="36106" customFormat="false" ht="15" hidden="false" customHeight="true" outlineLevel="0" collapsed="false"/>
    <row r="36107" customFormat="false" ht="15" hidden="false" customHeight="true" outlineLevel="0" collapsed="false"/>
    <row r="36108" customFormat="false" ht="15" hidden="false" customHeight="true" outlineLevel="0" collapsed="false"/>
    <row r="36109" customFormat="false" ht="15" hidden="false" customHeight="true" outlineLevel="0" collapsed="false"/>
    <row r="36110" customFormat="false" ht="15" hidden="false" customHeight="true" outlineLevel="0" collapsed="false"/>
    <row r="36111" customFormat="false" ht="15" hidden="false" customHeight="true" outlineLevel="0" collapsed="false"/>
    <row r="36112" customFormat="false" ht="15" hidden="false" customHeight="true" outlineLevel="0" collapsed="false"/>
    <row r="36113" customFormat="false" ht="15" hidden="false" customHeight="true" outlineLevel="0" collapsed="false"/>
    <row r="36114" customFormat="false" ht="15" hidden="false" customHeight="true" outlineLevel="0" collapsed="false"/>
    <row r="36115" customFormat="false" ht="15" hidden="false" customHeight="true" outlineLevel="0" collapsed="false"/>
    <row r="36116" customFormat="false" ht="15" hidden="false" customHeight="true" outlineLevel="0" collapsed="false"/>
    <row r="36117" customFormat="false" ht="15" hidden="false" customHeight="true" outlineLevel="0" collapsed="false"/>
    <row r="36118" customFormat="false" ht="15" hidden="false" customHeight="true" outlineLevel="0" collapsed="false"/>
    <row r="36119" customFormat="false" ht="15" hidden="false" customHeight="true" outlineLevel="0" collapsed="false"/>
    <row r="36120" customFormat="false" ht="15" hidden="false" customHeight="true" outlineLevel="0" collapsed="false"/>
    <row r="36121" customFormat="false" ht="15" hidden="false" customHeight="true" outlineLevel="0" collapsed="false"/>
    <row r="36122" customFormat="false" ht="15" hidden="false" customHeight="true" outlineLevel="0" collapsed="false"/>
    <row r="36123" customFormat="false" ht="15" hidden="false" customHeight="true" outlineLevel="0" collapsed="false"/>
    <row r="36124" customFormat="false" ht="15" hidden="false" customHeight="true" outlineLevel="0" collapsed="false"/>
    <row r="36125" customFormat="false" ht="15" hidden="false" customHeight="true" outlineLevel="0" collapsed="false"/>
    <row r="36126" customFormat="false" ht="15" hidden="false" customHeight="true" outlineLevel="0" collapsed="false"/>
    <row r="36127" customFormat="false" ht="15" hidden="false" customHeight="true" outlineLevel="0" collapsed="false"/>
    <row r="36128" customFormat="false" ht="15" hidden="false" customHeight="true" outlineLevel="0" collapsed="false"/>
    <row r="36129" customFormat="false" ht="15" hidden="false" customHeight="true" outlineLevel="0" collapsed="false"/>
    <row r="36130" customFormat="false" ht="15" hidden="false" customHeight="true" outlineLevel="0" collapsed="false"/>
    <row r="36131" customFormat="false" ht="15" hidden="false" customHeight="true" outlineLevel="0" collapsed="false"/>
    <row r="36132" customFormat="false" ht="15" hidden="false" customHeight="true" outlineLevel="0" collapsed="false"/>
    <row r="36133" customFormat="false" ht="15" hidden="false" customHeight="true" outlineLevel="0" collapsed="false"/>
    <row r="36134" customFormat="false" ht="15" hidden="false" customHeight="true" outlineLevel="0" collapsed="false"/>
    <row r="36135" customFormat="false" ht="15" hidden="false" customHeight="true" outlineLevel="0" collapsed="false"/>
    <row r="36136" customFormat="false" ht="15" hidden="false" customHeight="true" outlineLevel="0" collapsed="false"/>
    <row r="36137" customFormat="false" ht="15" hidden="false" customHeight="true" outlineLevel="0" collapsed="false"/>
    <row r="36138" customFormat="false" ht="15" hidden="false" customHeight="true" outlineLevel="0" collapsed="false"/>
    <row r="36139" customFormat="false" ht="15" hidden="false" customHeight="true" outlineLevel="0" collapsed="false"/>
    <row r="36140" customFormat="false" ht="15" hidden="false" customHeight="true" outlineLevel="0" collapsed="false"/>
    <row r="36141" customFormat="false" ht="15" hidden="false" customHeight="true" outlineLevel="0" collapsed="false"/>
    <row r="36142" customFormat="false" ht="15" hidden="false" customHeight="true" outlineLevel="0" collapsed="false"/>
    <row r="36143" customFormat="false" ht="15" hidden="false" customHeight="true" outlineLevel="0" collapsed="false"/>
    <row r="36144" customFormat="false" ht="15" hidden="false" customHeight="true" outlineLevel="0" collapsed="false"/>
    <row r="36145" customFormat="false" ht="15" hidden="false" customHeight="true" outlineLevel="0" collapsed="false"/>
    <row r="36146" customFormat="false" ht="15" hidden="false" customHeight="true" outlineLevel="0" collapsed="false"/>
    <row r="36147" customFormat="false" ht="15" hidden="false" customHeight="true" outlineLevel="0" collapsed="false"/>
    <row r="36148" customFormat="false" ht="15" hidden="false" customHeight="true" outlineLevel="0" collapsed="false"/>
    <row r="36149" customFormat="false" ht="15" hidden="false" customHeight="true" outlineLevel="0" collapsed="false"/>
    <row r="36150" customFormat="false" ht="15" hidden="false" customHeight="true" outlineLevel="0" collapsed="false"/>
    <row r="36151" customFormat="false" ht="15" hidden="false" customHeight="true" outlineLevel="0" collapsed="false"/>
    <row r="36152" customFormat="false" ht="15" hidden="false" customHeight="true" outlineLevel="0" collapsed="false"/>
    <row r="36153" customFormat="false" ht="15" hidden="false" customHeight="true" outlineLevel="0" collapsed="false"/>
    <row r="36154" customFormat="false" ht="15" hidden="false" customHeight="true" outlineLevel="0" collapsed="false"/>
    <row r="36155" customFormat="false" ht="15" hidden="false" customHeight="true" outlineLevel="0" collapsed="false"/>
    <row r="36156" customFormat="false" ht="15" hidden="false" customHeight="true" outlineLevel="0" collapsed="false"/>
    <row r="36157" customFormat="false" ht="15" hidden="false" customHeight="true" outlineLevel="0" collapsed="false"/>
    <row r="36158" customFormat="false" ht="15" hidden="false" customHeight="true" outlineLevel="0" collapsed="false"/>
    <row r="36159" customFormat="false" ht="15" hidden="false" customHeight="true" outlineLevel="0" collapsed="false"/>
    <row r="36160" customFormat="false" ht="15" hidden="false" customHeight="true" outlineLevel="0" collapsed="false"/>
    <row r="36161" customFormat="false" ht="15" hidden="false" customHeight="true" outlineLevel="0" collapsed="false"/>
    <row r="36162" customFormat="false" ht="15" hidden="false" customHeight="true" outlineLevel="0" collapsed="false"/>
    <row r="36163" customFormat="false" ht="15" hidden="false" customHeight="true" outlineLevel="0" collapsed="false"/>
    <row r="36164" customFormat="false" ht="15" hidden="false" customHeight="true" outlineLevel="0" collapsed="false"/>
    <row r="36165" customFormat="false" ht="15" hidden="false" customHeight="true" outlineLevel="0" collapsed="false"/>
    <row r="36166" customFormat="false" ht="15" hidden="false" customHeight="true" outlineLevel="0" collapsed="false"/>
    <row r="36167" customFormat="false" ht="15" hidden="false" customHeight="true" outlineLevel="0" collapsed="false"/>
    <row r="36168" customFormat="false" ht="15" hidden="false" customHeight="true" outlineLevel="0" collapsed="false"/>
    <row r="36169" customFormat="false" ht="15" hidden="false" customHeight="true" outlineLevel="0" collapsed="false"/>
    <row r="36170" customFormat="false" ht="15" hidden="false" customHeight="true" outlineLevel="0" collapsed="false"/>
    <row r="36171" customFormat="false" ht="15" hidden="false" customHeight="true" outlineLevel="0" collapsed="false"/>
    <row r="36172" customFormat="false" ht="15" hidden="false" customHeight="true" outlineLevel="0" collapsed="false"/>
    <row r="36173" customFormat="false" ht="15" hidden="false" customHeight="true" outlineLevel="0" collapsed="false"/>
    <row r="36174" customFormat="false" ht="15" hidden="false" customHeight="true" outlineLevel="0" collapsed="false"/>
    <row r="36175" customFormat="false" ht="15" hidden="false" customHeight="true" outlineLevel="0" collapsed="false"/>
    <row r="36176" customFormat="false" ht="15" hidden="false" customHeight="true" outlineLevel="0" collapsed="false"/>
    <row r="36177" customFormat="false" ht="15" hidden="false" customHeight="true" outlineLevel="0" collapsed="false"/>
    <row r="36178" customFormat="false" ht="15" hidden="false" customHeight="true" outlineLevel="0" collapsed="false"/>
    <row r="36179" customFormat="false" ht="15" hidden="false" customHeight="true" outlineLevel="0" collapsed="false"/>
    <row r="36180" customFormat="false" ht="15" hidden="false" customHeight="true" outlineLevel="0" collapsed="false"/>
    <row r="36181" customFormat="false" ht="15" hidden="false" customHeight="true" outlineLevel="0" collapsed="false"/>
    <row r="36182" customFormat="false" ht="15" hidden="false" customHeight="true" outlineLevel="0" collapsed="false"/>
    <row r="36183" customFormat="false" ht="15" hidden="false" customHeight="true" outlineLevel="0" collapsed="false"/>
    <row r="36184" customFormat="false" ht="15" hidden="false" customHeight="true" outlineLevel="0" collapsed="false"/>
    <row r="36185" customFormat="false" ht="15" hidden="false" customHeight="true" outlineLevel="0" collapsed="false"/>
    <row r="36186" customFormat="false" ht="15" hidden="false" customHeight="true" outlineLevel="0" collapsed="false"/>
    <row r="36187" customFormat="false" ht="15" hidden="false" customHeight="true" outlineLevel="0" collapsed="false"/>
    <row r="36188" customFormat="false" ht="15" hidden="false" customHeight="true" outlineLevel="0" collapsed="false"/>
    <row r="36189" customFormat="false" ht="15" hidden="false" customHeight="true" outlineLevel="0" collapsed="false"/>
    <row r="36190" customFormat="false" ht="15" hidden="false" customHeight="true" outlineLevel="0" collapsed="false"/>
    <row r="36191" customFormat="false" ht="15" hidden="false" customHeight="true" outlineLevel="0" collapsed="false"/>
    <row r="36192" customFormat="false" ht="15" hidden="false" customHeight="true" outlineLevel="0" collapsed="false"/>
    <row r="36193" customFormat="false" ht="15" hidden="false" customHeight="true" outlineLevel="0" collapsed="false"/>
    <row r="36194" customFormat="false" ht="15" hidden="false" customHeight="true" outlineLevel="0" collapsed="false"/>
    <row r="36195" customFormat="false" ht="15" hidden="false" customHeight="true" outlineLevel="0" collapsed="false"/>
    <row r="36196" customFormat="false" ht="15" hidden="false" customHeight="true" outlineLevel="0" collapsed="false"/>
    <row r="36197" customFormat="false" ht="15" hidden="false" customHeight="true" outlineLevel="0" collapsed="false"/>
    <row r="36198" customFormat="false" ht="15" hidden="false" customHeight="true" outlineLevel="0" collapsed="false"/>
    <row r="36199" customFormat="false" ht="15" hidden="false" customHeight="true" outlineLevel="0" collapsed="false"/>
    <row r="36200" customFormat="false" ht="15" hidden="false" customHeight="true" outlineLevel="0" collapsed="false"/>
    <row r="36201" customFormat="false" ht="15" hidden="false" customHeight="true" outlineLevel="0" collapsed="false"/>
    <row r="36202" customFormat="false" ht="15" hidden="false" customHeight="true" outlineLevel="0" collapsed="false"/>
    <row r="36203" customFormat="false" ht="15" hidden="false" customHeight="true" outlineLevel="0" collapsed="false"/>
    <row r="36204" customFormat="false" ht="15" hidden="false" customHeight="true" outlineLevel="0" collapsed="false"/>
    <row r="36205" customFormat="false" ht="15" hidden="false" customHeight="true" outlineLevel="0" collapsed="false"/>
    <row r="36206" customFormat="false" ht="15" hidden="false" customHeight="true" outlineLevel="0" collapsed="false"/>
    <row r="36207" customFormat="false" ht="15" hidden="false" customHeight="true" outlineLevel="0" collapsed="false"/>
    <row r="36208" customFormat="false" ht="15" hidden="false" customHeight="true" outlineLevel="0" collapsed="false"/>
    <row r="36209" customFormat="false" ht="15" hidden="false" customHeight="true" outlineLevel="0" collapsed="false"/>
    <row r="36210" customFormat="false" ht="15" hidden="false" customHeight="true" outlineLevel="0" collapsed="false"/>
    <row r="36211" customFormat="false" ht="15" hidden="false" customHeight="true" outlineLevel="0" collapsed="false"/>
    <row r="36212" customFormat="false" ht="15" hidden="false" customHeight="true" outlineLevel="0" collapsed="false"/>
    <row r="36213" customFormat="false" ht="15" hidden="false" customHeight="true" outlineLevel="0" collapsed="false"/>
    <row r="36214" customFormat="false" ht="15" hidden="false" customHeight="true" outlineLevel="0" collapsed="false"/>
    <row r="36215" customFormat="false" ht="15" hidden="false" customHeight="true" outlineLevel="0" collapsed="false"/>
    <row r="36216" customFormat="false" ht="15" hidden="false" customHeight="true" outlineLevel="0" collapsed="false"/>
    <row r="36217" customFormat="false" ht="15" hidden="false" customHeight="true" outlineLevel="0" collapsed="false"/>
    <row r="36218" customFormat="false" ht="15" hidden="false" customHeight="true" outlineLevel="0" collapsed="false"/>
    <row r="36219" customFormat="false" ht="15" hidden="false" customHeight="true" outlineLevel="0" collapsed="false"/>
    <row r="36220" customFormat="false" ht="15" hidden="false" customHeight="true" outlineLevel="0" collapsed="false"/>
    <row r="36221" customFormat="false" ht="15" hidden="false" customHeight="true" outlineLevel="0" collapsed="false"/>
    <row r="36222" customFormat="false" ht="15" hidden="false" customHeight="true" outlineLevel="0" collapsed="false"/>
    <row r="36223" customFormat="false" ht="15" hidden="false" customHeight="true" outlineLevel="0" collapsed="false"/>
    <row r="36224" customFormat="false" ht="15" hidden="false" customHeight="true" outlineLevel="0" collapsed="false"/>
    <row r="36225" customFormat="false" ht="15" hidden="false" customHeight="true" outlineLevel="0" collapsed="false"/>
    <row r="36226" customFormat="false" ht="15" hidden="false" customHeight="true" outlineLevel="0" collapsed="false"/>
    <row r="36227" customFormat="false" ht="15" hidden="false" customHeight="true" outlineLevel="0" collapsed="false"/>
    <row r="36228" customFormat="false" ht="15" hidden="false" customHeight="true" outlineLevel="0" collapsed="false"/>
    <row r="36229" customFormat="false" ht="15" hidden="false" customHeight="true" outlineLevel="0" collapsed="false"/>
    <row r="36230" customFormat="false" ht="15" hidden="false" customHeight="true" outlineLevel="0" collapsed="false"/>
    <row r="36231" customFormat="false" ht="15" hidden="false" customHeight="true" outlineLevel="0" collapsed="false"/>
    <row r="36232" customFormat="false" ht="15" hidden="false" customHeight="true" outlineLevel="0" collapsed="false"/>
    <row r="36233" customFormat="false" ht="15" hidden="false" customHeight="true" outlineLevel="0" collapsed="false"/>
    <row r="36234" customFormat="false" ht="15" hidden="false" customHeight="true" outlineLevel="0" collapsed="false"/>
    <row r="36235" customFormat="false" ht="15" hidden="false" customHeight="true" outlineLevel="0" collapsed="false"/>
    <row r="36236" customFormat="false" ht="15" hidden="false" customHeight="true" outlineLevel="0" collapsed="false"/>
    <row r="36237" customFormat="false" ht="15" hidden="false" customHeight="true" outlineLevel="0" collapsed="false"/>
    <row r="36238" customFormat="false" ht="15" hidden="false" customHeight="true" outlineLevel="0" collapsed="false"/>
    <row r="36239" customFormat="false" ht="15" hidden="false" customHeight="true" outlineLevel="0" collapsed="false"/>
    <row r="36240" customFormat="false" ht="15" hidden="false" customHeight="true" outlineLevel="0" collapsed="false"/>
    <row r="36241" customFormat="false" ht="15" hidden="false" customHeight="true" outlineLevel="0" collapsed="false"/>
    <row r="36242" customFormat="false" ht="15" hidden="false" customHeight="true" outlineLevel="0" collapsed="false"/>
    <row r="36243" customFormat="false" ht="15" hidden="false" customHeight="true" outlineLevel="0" collapsed="false"/>
    <row r="36244" customFormat="false" ht="15" hidden="false" customHeight="true" outlineLevel="0" collapsed="false"/>
    <row r="36245" customFormat="false" ht="15" hidden="false" customHeight="true" outlineLevel="0" collapsed="false"/>
    <row r="36246" customFormat="false" ht="15" hidden="false" customHeight="true" outlineLevel="0" collapsed="false"/>
    <row r="36247" customFormat="false" ht="15" hidden="false" customHeight="true" outlineLevel="0" collapsed="false"/>
    <row r="36248" customFormat="false" ht="15" hidden="false" customHeight="true" outlineLevel="0" collapsed="false"/>
    <row r="36249" customFormat="false" ht="15" hidden="false" customHeight="true" outlineLevel="0" collapsed="false"/>
    <row r="36250" customFormat="false" ht="15" hidden="false" customHeight="true" outlineLevel="0" collapsed="false"/>
    <row r="36251" customFormat="false" ht="15" hidden="false" customHeight="true" outlineLevel="0" collapsed="false"/>
    <row r="36252" customFormat="false" ht="15" hidden="false" customHeight="true" outlineLevel="0" collapsed="false"/>
    <row r="36253" customFormat="false" ht="15" hidden="false" customHeight="true" outlineLevel="0" collapsed="false"/>
    <row r="36254" customFormat="false" ht="15" hidden="false" customHeight="true" outlineLevel="0" collapsed="false"/>
    <row r="36255" customFormat="false" ht="15" hidden="false" customHeight="true" outlineLevel="0" collapsed="false"/>
    <row r="36256" customFormat="false" ht="15" hidden="false" customHeight="true" outlineLevel="0" collapsed="false"/>
    <row r="36257" customFormat="false" ht="15" hidden="false" customHeight="true" outlineLevel="0" collapsed="false"/>
    <row r="36258" customFormat="false" ht="15" hidden="false" customHeight="true" outlineLevel="0" collapsed="false"/>
    <row r="36259" customFormat="false" ht="15" hidden="false" customHeight="true" outlineLevel="0" collapsed="false"/>
    <row r="36260" customFormat="false" ht="15" hidden="false" customHeight="true" outlineLevel="0" collapsed="false"/>
    <row r="36261" customFormat="false" ht="15" hidden="false" customHeight="true" outlineLevel="0" collapsed="false"/>
    <row r="36262" customFormat="false" ht="15" hidden="false" customHeight="true" outlineLevel="0" collapsed="false"/>
    <row r="36263" customFormat="false" ht="15" hidden="false" customHeight="true" outlineLevel="0" collapsed="false"/>
    <row r="36264" customFormat="false" ht="15" hidden="false" customHeight="true" outlineLevel="0" collapsed="false"/>
    <row r="36265" customFormat="false" ht="15" hidden="false" customHeight="true" outlineLevel="0" collapsed="false"/>
    <row r="36266" customFormat="false" ht="15" hidden="false" customHeight="true" outlineLevel="0" collapsed="false"/>
    <row r="36267" customFormat="false" ht="15" hidden="false" customHeight="true" outlineLevel="0" collapsed="false"/>
    <row r="36268" customFormat="false" ht="15" hidden="false" customHeight="true" outlineLevel="0" collapsed="false"/>
    <row r="36269" customFormat="false" ht="15" hidden="false" customHeight="true" outlineLevel="0" collapsed="false"/>
    <row r="36270" customFormat="false" ht="15" hidden="false" customHeight="true" outlineLevel="0" collapsed="false"/>
    <row r="36271" customFormat="false" ht="15" hidden="false" customHeight="true" outlineLevel="0" collapsed="false"/>
    <row r="36272" customFormat="false" ht="15" hidden="false" customHeight="true" outlineLevel="0" collapsed="false"/>
    <row r="36273" customFormat="false" ht="15" hidden="false" customHeight="true" outlineLevel="0" collapsed="false"/>
    <row r="36274" customFormat="false" ht="15" hidden="false" customHeight="true" outlineLevel="0" collapsed="false"/>
    <row r="36275" customFormat="false" ht="15" hidden="false" customHeight="true" outlineLevel="0" collapsed="false"/>
    <row r="36276" customFormat="false" ht="15" hidden="false" customHeight="true" outlineLevel="0" collapsed="false"/>
    <row r="36277" customFormat="false" ht="15" hidden="false" customHeight="true" outlineLevel="0" collapsed="false"/>
    <row r="36278" customFormat="false" ht="15" hidden="false" customHeight="true" outlineLevel="0" collapsed="false"/>
    <row r="36279" customFormat="false" ht="15" hidden="false" customHeight="true" outlineLevel="0" collapsed="false"/>
    <row r="36280" customFormat="false" ht="15" hidden="false" customHeight="true" outlineLevel="0" collapsed="false"/>
    <row r="36281" customFormat="false" ht="15" hidden="false" customHeight="true" outlineLevel="0" collapsed="false"/>
    <row r="36282" customFormat="false" ht="15" hidden="false" customHeight="true" outlineLevel="0" collapsed="false"/>
    <row r="36283" customFormat="false" ht="15" hidden="false" customHeight="true" outlineLevel="0" collapsed="false"/>
    <row r="36284" customFormat="false" ht="15" hidden="false" customHeight="true" outlineLevel="0" collapsed="false"/>
    <row r="36285" customFormat="false" ht="15" hidden="false" customHeight="true" outlineLevel="0" collapsed="false"/>
    <row r="36286" customFormat="false" ht="15" hidden="false" customHeight="true" outlineLevel="0" collapsed="false"/>
    <row r="36287" customFormat="false" ht="15" hidden="false" customHeight="true" outlineLevel="0" collapsed="false"/>
    <row r="36288" customFormat="false" ht="15" hidden="false" customHeight="true" outlineLevel="0" collapsed="false"/>
    <row r="36289" customFormat="false" ht="15" hidden="false" customHeight="true" outlineLevel="0" collapsed="false"/>
    <row r="36290" customFormat="false" ht="15" hidden="false" customHeight="true" outlineLevel="0" collapsed="false"/>
    <row r="36291" customFormat="false" ht="15" hidden="false" customHeight="true" outlineLevel="0" collapsed="false"/>
    <row r="36292" customFormat="false" ht="15" hidden="false" customHeight="true" outlineLevel="0" collapsed="false"/>
    <row r="36293" customFormat="false" ht="15" hidden="false" customHeight="true" outlineLevel="0" collapsed="false"/>
    <row r="36294" customFormat="false" ht="15" hidden="false" customHeight="true" outlineLevel="0" collapsed="false"/>
    <row r="36295" customFormat="false" ht="15" hidden="false" customHeight="true" outlineLevel="0" collapsed="false"/>
    <row r="36296" customFormat="false" ht="15" hidden="false" customHeight="true" outlineLevel="0" collapsed="false"/>
    <row r="36297" customFormat="false" ht="15" hidden="false" customHeight="true" outlineLevel="0" collapsed="false"/>
    <row r="36298" customFormat="false" ht="15" hidden="false" customHeight="true" outlineLevel="0" collapsed="false"/>
    <row r="36299" customFormat="false" ht="15" hidden="false" customHeight="true" outlineLevel="0" collapsed="false"/>
    <row r="36300" customFormat="false" ht="15" hidden="false" customHeight="true" outlineLevel="0" collapsed="false"/>
    <row r="36301" customFormat="false" ht="15" hidden="false" customHeight="true" outlineLevel="0" collapsed="false"/>
    <row r="36302" customFormat="false" ht="15" hidden="false" customHeight="true" outlineLevel="0" collapsed="false"/>
    <row r="36303" customFormat="false" ht="15" hidden="false" customHeight="true" outlineLevel="0" collapsed="false"/>
    <row r="36304" customFormat="false" ht="15" hidden="false" customHeight="true" outlineLevel="0" collapsed="false"/>
    <row r="36305" customFormat="false" ht="15" hidden="false" customHeight="true" outlineLevel="0" collapsed="false"/>
    <row r="36306" customFormat="false" ht="15" hidden="false" customHeight="true" outlineLevel="0" collapsed="false"/>
    <row r="36307" customFormat="false" ht="15" hidden="false" customHeight="true" outlineLevel="0" collapsed="false"/>
    <row r="36308" customFormat="false" ht="15" hidden="false" customHeight="true" outlineLevel="0" collapsed="false"/>
    <row r="36309" customFormat="false" ht="15" hidden="false" customHeight="true" outlineLevel="0" collapsed="false"/>
    <row r="36310" customFormat="false" ht="15" hidden="false" customHeight="true" outlineLevel="0" collapsed="false"/>
    <row r="36311" customFormat="false" ht="15" hidden="false" customHeight="true" outlineLevel="0" collapsed="false"/>
    <row r="36312" customFormat="false" ht="15" hidden="false" customHeight="true" outlineLevel="0" collapsed="false"/>
    <row r="36313" customFormat="false" ht="15" hidden="false" customHeight="true" outlineLevel="0" collapsed="false"/>
    <row r="36314" customFormat="false" ht="15" hidden="false" customHeight="true" outlineLevel="0" collapsed="false"/>
    <row r="36315" customFormat="false" ht="15" hidden="false" customHeight="true" outlineLevel="0" collapsed="false"/>
    <row r="36316" customFormat="false" ht="15" hidden="false" customHeight="true" outlineLevel="0" collapsed="false"/>
    <row r="36317" customFormat="false" ht="15" hidden="false" customHeight="true" outlineLevel="0" collapsed="false"/>
    <row r="36318" customFormat="false" ht="15" hidden="false" customHeight="true" outlineLevel="0" collapsed="false"/>
    <row r="36319" customFormat="false" ht="15" hidden="false" customHeight="true" outlineLevel="0" collapsed="false"/>
    <row r="36320" customFormat="false" ht="15" hidden="false" customHeight="true" outlineLevel="0" collapsed="false"/>
    <row r="36321" customFormat="false" ht="15" hidden="false" customHeight="true" outlineLevel="0" collapsed="false"/>
    <row r="36322" customFormat="false" ht="15" hidden="false" customHeight="true" outlineLevel="0" collapsed="false"/>
    <row r="36323" customFormat="false" ht="15" hidden="false" customHeight="true" outlineLevel="0" collapsed="false"/>
    <row r="36324" customFormat="false" ht="15" hidden="false" customHeight="true" outlineLevel="0" collapsed="false"/>
    <row r="36325" customFormat="false" ht="15" hidden="false" customHeight="true" outlineLevel="0" collapsed="false"/>
    <row r="36326" customFormat="false" ht="15" hidden="false" customHeight="true" outlineLevel="0" collapsed="false"/>
    <row r="36327" customFormat="false" ht="15" hidden="false" customHeight="true" outlineLevel="0" collapsed="false"/>
    <row r="36328" customFormat="false" ht="15" hidden="false" customHeight="true" outlineLevel="0" collapsed="false"/>
    <row r="36329" customFormat="false" ht="15" hidden="false" customHeight="true" outlineLevel="0" collapsed="false"/>
    <row r="36330" customFormat="false" ht="15" hidden="false" customHeight="true" outlineLevel="0" collapsed="false"/>
    <row r="36331" customFormat="false" ht="15" hidden="false" customHeight="true" outlineLevel="0" collapsed="false"/>
    <row r="36332" customFormat="false" ht="15" hidden="false" customHeight="true" outlineLevel="0" collapsed="false"/>
    <row r="36333" customFormat="false" ht="15" hidden="false" customHeight="true" outlineLevel="0" collapsed="false"/>
    <row r="36334" customFormat="false" ht="15" hidden="false" customHeight="true" outlineLevel="0" collapsed="false"/>
    <row r="36335" customFormat="false" ht="15" hidden="false" customHeight="true" outlineLevel="0" collapsed="false"/>
    <row r="36336" customFormat="false" ht="15" hidden="false" customHeight="true" outlineLevel="0" collapsed="false"/>
    <row r="36337" customFormat="false" ht="15" hidden="false" customHeight="true" outlineLevel="0" collapsed="false"/>
    <row r="36338" customFormat="false" ht="15" hidden="false" customHeight="true" outlineLevel="0" collapsed="false"/>
    <row r="36339" customFormat="false" ht="15" hidden="false" customHeight="true" outlineLevel="0" collapsed="false"/>
    <row r="36340" customFormat="false" ht="15" hidden="false" customHeight="true" outlineLevel="0" collapsed="false"/>
    <row r="36341" customFormat="false" ht="15" hidden="false" customHeight="true" outlineLevel="0" collapsed="false"/>
    <row r="36342" customFormat="false" ht="15" hidden="false" customHeight="true" outlineLevel="0" collapsed="false"/>
    <row r="36343" customFormat="false" ht="15" hidden="false" customHeight="true" outlineLevel="0" collapsed="false"/>
    <row r="36344" customFormat="false" ht="15" hidden="false" customHeight="true" outlineLevel="0" collapsed="false"/>
    <row r="36345" customFormat="false" ht="15" hidden="false" customHeight="true" outlineLevel="0" collapsed="false"/>
    <row r="36346" customFormat="false" ht="15" hidden="false" customHeight="true" outlineLevel="0" collapsed="false"/>
    <row r="36347" customFormat="false" ht="15" hidden="false" customHeight="true" outlineLevel="0" collapsed="false"/>
    <row r="36348" customFormat="false" ht="15" hidden="false" customHeight="true" outlineLevel="0" collapsed="false"/>
    <row r="36349" customFormat="false" ht="15" hidden="false" customHeight="true" outlineLevel="0" collapsed="false"/>
    <row r="36350" customFormat="false" ht="15" hidden="false" customHeight="true" outlineLevel="0" collapsed="false"/>
    <row r="36351" customFormat="false" ht="15" hidden="false" customHeight="true" outlineLevel="0" collapsed="false"/>
    <row r="36352" customFormat="false" ht="15" hidden="false" customHeight="true" outlineLevel="0" collapsed="false"/>
    <row r="36353" customFormat="false" ht="15" hidden="false" customHeight="true" outlineLevel="0" collapsed="false"/>
    <row r="36354" customFormat="false" ht="15" hidden="false" customHeight="true" outlineLevel="0" collapsed="false"/>
    <row r="36355" customFormat="false" ht="15" hidden="false" customHeight="true" outlineLevel="0" collapsed="false"/>
    <row r="36356" customFormat="false" ht="15" hidden="false" customHeight="true" outlineLevel="0" collapsed="false"/>
    <row r="36357" customFormat="false" ht="15" hidden="false" customHeight="true" outlineLevel="0" collapsed="false"/>
    <row r="36358" customFormat="false" ht="15" hidden="false" customHeight="true" outlineLevel="0" collapsed="false"/>
    <row r="36359" customFormat="false" ht="15" hidden="false" customHeight="true" outlineLevel="0" collapsed="false"/>
    <row r="36360" customFormat="false" ht="15" hidden="false" customHeight="true" outlineLevel="0" collapsed="false"/>
    <row r="36361" customFormat="false" ht="15" hidden="false" customHeight="true" outlineLevel="0" collapsed="false"/>
    <row r="36362" customFormat="false" ht="15" hidden="false" customHeight="true" outlineLevel="0" collapsed="false"/>
    <row r="36363" customFormat="false" ht="15" hidden="false" customHeight="true" outlineLevel="0" collapsed="false"/>
    <row r="36364" customFormat="false" ht="15" hidden="false" customHeight="true" outlineLevel="0" collapsed="false"/>
    <row r="36365" customFormat="false" ht="15" hidden="false" customHeight="true" outlineLevel="0" collapsed="false"/>
    <row r="36366" customFormat="false" ht="15" hidden="false" customHeight="true" outlineLevel="0" collapsed="false"/>
    <row r="36367" customFormat="false" ht="15" hidden="false" customHeight="true" outlineLevel="0" collapsed="false"/>
    <row r="36368" customFormat="false" ht="15" hidden="false" customHeight="true" outlineLevel="0" collapsed="false"/>
    <row r="36369" customFormat="false" ht="15" hidden="false" customHeight="true" outlineLevel="0" collapsed="false"/>
    <row r="36370" customFormat="false" ht="15" hidden="false" customHeight="true" outlineLevel="0" collapsed="false"/>
    <row r="36371" customFormat="false" ht="15" hidden="false" customHeight="true" outlineLevel="0" collapsed="false"/>
    <row r="36372" customFormat="false" ht="15" hidden="false" customHeight="true" outlineLevel="0" collapsed="false"/>
    <row r="36373" customFormat="false" ht="15" hidden="false" customHeight="true" outlineLevel="0" collapsed="false"/>
    <row r="36374" customFormat="false" ht="15" hidden="false" customHeight="true" outlineLevel="0" collapsed="false"/>
    <row r="36375" customFormat="false" ht="15" hidden="false" customHeight="true" outlineLevel="0" collapsed="false"/>
    <row r="36376" customFormat="false" ht="15" hidden="false" customHeight="true" outlineLevel="0" collapsed="false"/>
    <row r="36377" customFormat="false" ht="15" hidden="false" customHeight="true" outlineLevel="0" collapsed="false"/>
    <row r="36378" customFormat="false" ht="15" hidden="false" customHeight="true" outlineLevel="0" collapsed="false"/>
    <row r="36379" customFormat="false" ht="15" hidden="false" customHeight="true" outlineLevel="0" collapsed="false"/>
    <row r="36380" customFormat="false" ht="15" hidden="false" customHeight="true" outlineLevel="0" collapsed="false"/>
    <row r="36381" customFormat="false" ht="15" hidden="false" customHeight="true" outlineLevel="0" collapsed="false"/>
    <row r="36382" customFormat="false" ht="15" hidden="false" customHeight="true" outlineLevel="0" collapsed="false"/>
    <row r="36383" customFormat="false" ht="15" hidden="false" customHeight="true" outlineLevel="0" collapsed="false"/>
    <row r="36384" customFormat="false" ht="15" hidden="false" customHeight="true" outlineLevel="0" collapsed="false"/>
    <row r="36385" customFormat="false" ht="15" hidden="false" customHeight="true" outlineLevel="0" collapsed="false"/>
    <row r="36386" customFormat="false" ht="15" hidden="false" customHeight="true" outlineLevel="0" collapsed="false"/>
    <row r="36387" customFormat="false" ht="15" hidden="false" customHeight="true" outlineLevel="0" collapsed="false"/>
    <row r="36388" customFormat="false" ht="15" hidden="false" customHeight="true" outlineLevel="0" collapsed="false"/>
    <row r="36389" customFormat="false" ht="15" hidden="false" customHeight="true" outlineLevel="0" collapsed="false"/>
    <row r="36390" customFormat="false" ht="15" hidden="false" customHeight="true" outlineLevel="0" collapsed="false"/>
    <row r="36391" customFormat="false" ht="15" hidden="false" customHeight="true" outlineLevel="0" collapsed="false"/>
    <row r="36392" customFormat="false" ht="15" hidden="false" customHeight="true" outlineLevel="0" collapsed="false"/>
    <row r="36393" customFormat="false" ht="15" hidden="false" customHeight="true" outlineLevel="0" collapsed="false"/>
    <row r="36394" customFormat="false" ht="15" hidden="false" customHeight="true" outlineLevel="0" collapsed="false"/>
    <row r="36395" customFormat="false" ht="15" hidden="false" customHeight="true" outlineLevel="0" collapsed="false"/>
    <row r="36396" customFormat="false" ht="15" hidden="false" customHeight="true" outlineLevel="0" collapsed="false"/>
    <row r="36397" customFormat="false" ht="15" hidden="false" customHeight="true" outlineLevel="0" collapsed="false"/>
    <row r="36398" customFormat="false" ht="15" hidden="false" customHeight="true" outlineLevel="0" collapsed="false"/>
    <row r="36399" customFormat="false" ht="15" hidden="false" customHeight="true" outlineLevel="0" collapsed="false"/>
    <row r="36400" customFormat="false" ht="15" hidden="false" customHeight="true" outlineLevel="0" collapsed="false"/>
    <row r="36401" customFormat="false" ht="15" hidden="false" customHeight="true" outlineLevel="0" collapsed="false"/>
    <row r="36402" customFormat="false" ht="15" hidden="false" customHeight="true" outlineLevel="0" collapsed="false"/>
    <row r="36403" customFormat="false" ht="15" hidden="false" customHeight="true" outlineLevel="0" collapsed="false"/>
    <row r="36404" customFormat="false" ht="15" hidden="false" customHeight="true" outlineLevel="0" collapsed="false"/>
    <row r="36405" customFormat="false" ht="15" hidden="false" customHeight="true" outlineLevel="0" collapsed="false"/>
    <row r="36406" customFormat="false" ht="15" hidden="false" customHeight="true" outlineLevel="0" collapsed="false"/>
    <row r="36407" customFormat="false" ht="15" hidden="false" customHeight="true" outlineLevel="0" collapsed="false"/>
    <row r="36408" customFormat="false" ht="15" hidden="false" customHeight="true" outlineLevel="0" collapsed="false"/>
    <row r="36409" customFormat="false" ht="15" hidden="false" customHeight="true" outlineLevel="0" collapsed="false"/>
    <row r="36410" customFormat="false" ht="15" hidden="false" customHeight="true" outlineLevel="0" collapsed="false"/>
    <row r="36411" customFormat="false" ht="15" hidden="false" customHeight="true" outlineLevel="0" collapsed="false"/>
    <row r="36412" customFormat="false" ht="15" hidden="false" customHeight="true" outlineLevel="0" collapsed="false"/>
    <row r="36413" customFormat="false" ht="15" hidden="false" customHeight="true" outlineLevel="0" collapsed="false"/>
    <row r="36414" customFormat="false" ht="15" hidden="false" customHeight="true" outlineLevel="0" collapsed="false"/>
    <row r="36415" customFormat="false" ht="15" hidden="false" customHeight="true" outlineLevel="0" collapsed="false"/>
    <row r="36416" customFormat="false" ht="15" hidden="false" customHeight="true" outlineLevel="0" collapsed="false"/>
    <row r="36417" customFormat="false" ht="15" hidden="false" customHeight="true" outlineLevel="0" collapsed="false"/>
    <row r="36418" customFormat="false" ht="15" hidden="false" customHeight="true" outlineLevel="0" collapsed="false"/>
    <row r="36419" customFormat="false" ht="15" hidden="false" customHeight="true" outlineLevel="0" collapsed="false"/>
    <row r="36420" customFormat="false" ht="15" hidden="false" customHeight="true" outlineLevel="0" collapsed="false"/>
    <row r="36421" customFormat="false" ht="15" hidden="false" customHeight="true" outlineLevel="0" collapsed="false"/>
    <row r="36422" customFormat="false" ht="15" hidden="false" customHeight="true" outlineLevel="0" collapsed="false"/>
    <row r="36423" customFormat="false" ht="15" hidden="false" customHeight="true" outlineLevel="0" collapsed="false"/>
    <row r="36424" customFormat="false" ht="15" hidden="false" customHeight="true" outlineLevel="0" collapsed="false"/>
    <row r="36425" customFormat="false" ht="15" hidden="false" customHeight="true" outlineLevel="0" collapsed="false"/>
    <row r="36426" customFormat="false" ht="15" hidden="false" customHeight="true" outlineLevel="0" collapsed="false"/>
    <row r="36427" customFormat="false" ht="15" hidden="false" customHeight="true" outlineLevel="0" collapsed="false"/>
    <row r="36428" customFormat="false" ht="15" hidden="false" customHeight="true" outlineLevel="0" collapsed="false"/>
    <row r="36429" customFormat="false" ht="15" hidden="false" customHeight="true" outlineLevel="0" collapsed="false"/>
    <row r="36430" customFormat="false" ht="15" hidden="false" customHeight="true" outlineLevel="0" collapsed="false"/>
    <row r="36431" customFormat="false" ht="15" hidden="false" customHeight="true" outlineLevel="0" collapsed="false"/>
    <row r="36432" customFormat="false" ht="15" hidden="false" customHeight="true" outlineLevel="0" collapsed="false"/>
    <row r="36433" customFormat="false" ht="15" hidden="false" customHeight="true" outlineLevel="0" collapsed="false"/>
    <row r="36434" customFormat="false" ht="15" hidden="false" customHeight="true" outlineLevel="0" collapsed="false"/>
    <row r="36435" customFormat="false" ht="15" hidden="false" customHeight="true" outlineLevel="0" collapsed="false"/>
    <row r="36436" customFormat="false" ht="15" hidden="false" customHeight="true" outlineLevel="0" collapsed="false"/>
    <row r="36437" customFormat="false" ht="15" hidden="false" customHeight="true" outlineLevel="0" collapsed="false"/>
    <row r="36438" customFormat="false" ht="15" hidden="false" customHeight="true" outlineLevel="0" collapsed="false"/>
    <row r="36439" customFormat="false" ht="15" hidden="false" customHeight="true" outlineLevel="0" collapsed="false"/>
    <row r="36440" customFormat="false" ht="15" hidden="false" customHeight="true" outlineLevel="0" collapsed="false"/>
    <row r="36441" customFormat="false" ht="15" hidden="false" customHeight="true" outlineLevel="0" collapsed="false"/>
    <row r="36442" customFormat="false" ht="15" hidden="false" customHeight="true" outlineLevel="0" collapsed="false"/>
    <row r="36443" customFormat="false" ht="15" hidden="false" customHeight="true" outlineLevel="0" collapsed="false"/>
    <row r="36444" customFormat="false" ht="15" hidden="false" customHeight="true" outlineLevel="0" collapsed="false"/>
    <row r="36445" customFormat="false" ht="15" hidden="false" customHeight="true" outlineLevel="0" collapsed="false"/>
    <row r="36446" customFormat="false" ht="15" hidden="false" customHeight="true" outlineLevel="0" collapsed="false"/>
    <row r="36447" customFormat="false" ht="15" hidden="false" customHeight="true" outlineLevel="0" collapsed="false"/>
    <row r="36448" customFormat="false" ht="15" hidden="false" customHeight="true" outlineLevel="0" collapsed="false"/>
    <row r="36449" customFormat="false" ht="15" hidden="false" customHeight="true" outlineLevel="0" collapsed="false"/>
    <row r="36450" customFormat="false" ht="15" hidden="false" customHeight="true" outlineLevel="0" collapsed="false"/>
    <row r="36451" customFormat="false" ht="15" hidden="false" customHeight="true" outlineLevel="0" collapsed="false"/>
    <row r="36452" customFormat="false" ht="15" hidden="false" customHeight="true" outlineLevel="0" collapsed="false"/>
    <row r="36453" customFormat="false" ht="15" hidden="false" customHeight="true" outlineLevel="0" collapsed="false"/>
    <row r="36454" customFormat="false" ht="15" hidden="false" customHeight="true" outlineLevel="0" collapsed="false"/>
    <row r="36455" customFormat="false" ht="15" hidden="false" customHeight="true" outlineLevel="0" collapsed="false"/>
    <row r="36456" customFormat="false" ht="15" hidden="false" customHeight="true" outlineLevel="0" collapsed="false"/>
    <row r="36457" customFormat="false" ht="15" hidden="false" customHeight="true" outlineLevel="0" collapsed="false"/>
    <row r="36458" customFormat="false" ht="15" hidden="false" customHeight="true" outlineLevel="0" collapsed="false"/>
    <row r="36459" customFormat="false" ht="15" hidden="false" customHeight="true" outlineLevel="0" collapsed="false"/>
    <row r="36460" customFormat="false" ht="15" hidden="false" customHeight="true" outlineLevel="0" collapsed="false"/>
    <row r="36461" customFormat="false" ht="15" hidden="false" customHeight="true" outlineLevel="0" collapsed="false"/>
    <row r="36462" customFormat="false" ht="15" hidden="false" customHeight="true" outlineLevel="0" collapsed="false"/>
    <row r="36463" customFormat="false" ht="15" hidden="false" customHeight="true" outlineLevel="0" collapsed="false"/>
    <row r="36464" customFormat="false" ht="15" hidden="false" customHeight="true" outlineLevel="0" collapsed="false"/>
    <row r="36465" customFormat="false" ht="15" hidden="false" customHeight="true" outlineLevel="0" collapsed="false"/>
    <row r="36466" customFormat="false" ht="15" hidden="false" customHeight="true" outlineLevel="0" collapsed="false"/>
    <row r="36467" customFormat="false" ht="15" hidden="false" customHeight="true" outlineLevel="0" collapsed="false"/>
    <row r="36468" customFormat="false" ht="15" hidden="false" customHeight="true" outlineLevel="0" collapsed="false"/>
    <row r="36469" customFormat="false" ht="15" hidden="false" customHeight="true" outlineLevel="0" collapsed="false"/>
    <row r="36470" customFormat="false" ht="15" hidden="false" customHeight="true" outlineLevel="0" collapsed="false"/>
    <row r="36471" customFormat="false" ht="15" hidden="false" customHeight="true" outlineLevel="0" collapsed="false"/>
    <row r="36472" customFormat="false" ht="15" hidden="false" customHeight="true" outlineLevel="0" collapsed="false"/>
    <row r="36473" customFormat="false" ht="15" hidden="false" customHeight="true" outlineLevel="0" collapsed="false"/>
    <row r="36474" customFormat="false" ht="15" hidden="false" customHeight="true" outlineLevel="0" collapsed="false"/>
    <row r="36475" customFormat="false" ht="15" hidden="false" customHeight="true" outlineLevel="0" collapsed="false"/>
    <row r="36476" customFormat="false" ht="15" hidden="false" customHeight="true" outlineLevel="0" collapsed="false"/>
    <row r="36477" customFormat="false" ht="15" hidden="false" customHeight="true" outlineLevel="0" collapsed="false"/>
    <row r="36478" customFormat="false" ht="15" hidden="false" customHeight="true" outlineLevel="0" collapsed="false"/>
    <row r="36479" customFormat="false" ht="15" hidden="false" customHeight="true" outlineLevel="0" collapsed="false"/>
    <row r="36480" customFormat="false" ht="15" hidden="false" customHeight="true" outlineLevel="0" collapsed="false"/>
    <row r="36481" customFormat="false" ht="15" hidden="false" customHeight="true" outlineLevel="0" collapsed="false"/>
    <row r="36482" customFormat="false" ht="15" hidden="false" customHeight="true" outlineLevel="0" collapsed="false"/>
    <row r="36483" customFormat="false" ht="15" hidden="false" customHeight="true" outlineLevel="0" collapsed="false"/>
    <row r="36484" customFormat="false" ht="15" hidden="false" customHeight="true" outlineLevel="0" collapsed="false"/>
    <row r="36485" customFormat="false" ht="15" hidden="false" customHeight="true" outlineLevel="0" collapsed="false"/>
    <row r="36486" customFormat="false" ht="15" hidden="false" customHeight="true" outlineLevel="0" collapsed="false"/>
    <row r="36487" customFormat="false" ht="15" hidden="false" customHeight="true" outlineLevel="0" collapsed="false"/>
    <row r="36488" customFormat="false" ht="15" hidden="false" customHeight="true" outlineLevel="0" collapsed="false"/>
    <row r="36489" customFormat="false" ht="15" hidden="false" customHeight="true" outlineLevel="0" collapsed="false"/>
    <row r="36490" customFormat="false" ht="15" hidden="false" customHeight="true" outlineLevel="0" collapsed="false"/>
    <row r="36491" customFormat="false" ht="15" hidden="false" customHeight="true" outlineLevel="0" collapsed="false"/>
    <row r="36492" customFormat="false" ht="15" hidden="false" customHeight="true" outlineLevel="0" collapsed="false"/>
    <row r="36493" customFormat="false" ht="15" hidden="false" customHeight="true" outlineLevel="0" collapsed="false"/>
    <row r="36494" customFormat="false" ht="15" hidden="false" customHeight="true" outlineLevel="0" collapsed="false"/>
    <row r="36495" customFormat="false" ht="15" hidden="false" customHeight="true" outlineLevel="0" collapsed="false"/>
    <row r="36496" customFormat="false" ht="15" hidden="false" customHeight="true" outlineLevel="0" collapsed="false"/>
    <row r="36497" customFormat="false" ht="15" hidden="false" customHeight="true" outlineLevel="0" collapsed="false"/>
    <row r="36498" customFormat="false" ht="15" hidden="false" customHeight="true" outlineLevel="0" collapsed="false"/>
    <row r="36499" customFormat="false" ht="15" hidden="false" customHeight="true" outlineLevel="0" collapsed="false"/>
    <row r="36500" customFormat="false" ht="15" hidden="false" customHeight="true" outlineLevel="0" collapsed="false"/>
    <row r="36501" customFormat="false" ht="15" hidden="false" customHeight="true" outlineLevel="0" collapsed="false"/>
    <row r="36502" customFormat="false" ht="15" hidden="false" customHeight="true" outlineLevel="0" collapsed="false"/>
    <row r="36503" customFormat="false" ht="15" hidden="false" customHeight="true" outlineLevel="0" collapsed="false"/>
    <row r="36504" customFormat="false" ht="15" hidden="false" customHeight="true" outlineLevel="0" collapsed="false"/>
    <row r="36505" customFormat="false" ht="15" hidden="false" customHeight="true" outlineLevel="0" collapsed="false"/>
    <row r="36506" customFormat="false" ht="15" hidden="false" customHeight="true" outlineLevel="0" collapsed="false"/>
    <row r="36507" customFormat="false" ht="15" hidden="false" customHeight="true" outlineLevel="0" collapsed="false"/>
    <row r="36508" customFormat="false" ht="15" hidden="false" customHeight="true" outlineLevel="0" collapsed="false"/>
    <row r="36509" customFormat="false" ht="15" hidden="false" customHeight="true" outlineLevel="0" collapsed="false"/>
    <row r="36510" customFormat="false" ht="15" hidden="false" customHeight="true" outlineLevel="0" collapsed="false"/>
    <row r="36511" customFormat="false" ht="15" hidden="false" customHeight="true" outlineLevel="0" collapsed="false"/>
    <row r="36512" customFormat="false" ht="15" hidden="false" customHeight="true" outlineLevel="0" collapsed="false"/>
    <row r="36513" customFormat="false" ht="15" hidden="false" customHeight="true" outlineLevel="0" collapsed="false"/>
    <row r="36514" customFormat="false" ht="15" hidden="false" customHeight="true" outlineLevel="0" collapsed="false"/>
    <row r="36515" customFormat="false" ht="15" hidden="false" customHeight="true" outlineLevel="0" collapsed="false"/>
    <row r="36516" customFormat="false" ht="15" hidden="false" customHeight="true" outlineLevel="0" collapsed="false"/>
    <row r="36517" customFormat="false" ht="15" hidden="false" customHeight="true" outlineLevel="0" collapsed="false"/>
    <row r="36518" customFormat="false" ht="15" hidden="false" customHeight="true" outlineLevel="0" collapsed="false"/>
    <row r="36519" customFormat="false" ht="15" hidden="false" customHeight="true" outlineLevel="0" collapsed="false"/>
    <row r="36520" customFormat="false" ht="15" hidden="false" customHeight="true" outlineLevel="0" collapsed="false"/>
    <row r="36521" customFormat="false" ht="15" hidden="false" customHeight="true" outlineLevel="0" collapsed="false"/>
    <row r="36522" customFormat="false" ht="15" hidden="false" customHeight="true" outlineLevel="0" collapsed="false"/>
    <row r="36523" customFormat="false" ht="15" hidden="false" customHeight="true" outlineLevel="0" collapsed="false"/>
    <row r="36524" customFormat="false" ht="15" hidden="false" customHeight="true" outlineLevel="0" collapsed="false"/>
    <row r="36525" customFormat="false" ht="15" hidden="false" customHeight="true" outlineLevel="0" collapsed="false"/>
    <row r="36526" customFormat="false" ht="15" hidden="false" customHeight="true" outlineLevel="0" collapsed="false"/>
    <row r="36527" customFormat="false" ht="15" hidden="false" customHeight="true" outlineLevel="0" collapsed="false"/>
    <row r="36528" customFormat="false" ht="15" hidden="false" customHeight="true" outlineLevel="0" collapsed="false"/>
    <row r="36529" customFormat="false" ht="15" hidden="false" customHeight="true" outlineLevel="0" collapsed="false"/>
    <row r="36530" customFormat="false" ht="15" hidden="false" customHeight="true" outlineLevel="0" collapsed="false"/>
    <row r="36531" customFormat="false" ht="15" hidden="false" customHeight="true" outlineLevel="0" collapsed="false"/>
    <row r="36532" customFormat="false" ht="15" hidden="false" customHeight="true" outlineLevel="0" collapsed="false"/>
    <row r="36533" customFormat="false" ht="15" hidden="false" customHeight="true" outlineLevel="0" collapsed="false"/>
    <row r="36534" customFormat="false" ht="15" hidden="false" customHeight="true" outlineLevel="0" collapsed="false"/>
    <row r="36535" customFormat="false" ht="15" hidden="false" customHeight="true" outlineLevel="0" collapsed="false"/>
    <row r="36536" customFormat="false" ht="15" hidden="false" customHeight="true" outlineLevel="0" collapsed="false"/>
    <row r="36537" customFormat="false" ht="15" hidden="false" customHeight="true" outlineLevel="0" collapsed="false"/>
    <row r="36538" customFormat="false" ht="15" hidden="false" customHeight="true" outlineLevel="0" collapsed="false"/>
    <row r="36539" customFormat="false" ht="15" hidden="false" customHeight="true" outlineLevel="0" collapsed="false"/>
    <row r="36540" customFormat="false" ht="15" hidden="false" customHeight="true" outlineLevel="0" collapsed="false"/>
    <row r="36541" customFormat="false" ht="15" hidden="false" customHeight="true" outlineLevel="0" collapsed="false"/>
    <row r="36542" customFormat="false" ht="15" hidden="false" customHeight="true" outlineLevel="0" collapsed="false"/>
    <row r="36543" customFormat="false" ht="15" hidden="false" customHeight="true" outlineLevel="0" collapsed="false"/>
    <row r="36544" customFormat="false" ht="15" hidden="false" customHeight="true" outlineLevel="0" collapsed="false"/>
    <row r="36545" customFormat="false" ht="15" hidden="false" customHeight="true" outlineLevel="0" collapsed="false"/>
    <row r="36546" customFormat="false" ht="15" hidden="false" customHeight="true" outlineLevel="0" collapsed="false"/>
    <row r="36547" customFormat="false" ht="15" hidden="false" customHeight="true" outlineLevel="0" collapsed="false"/>
    <row r="36548" customFormat="false" ht="15" hidden="false" customHeight="true" outlineLevel="0" collapsed="false"/>
    <row r="36549" customFormat="false" ht="15" hidden="false" customHeight="true" outlineLevel="0" collapsed="false"/>
    <row r="36550" customFormat="false" ht="15" hidden="false" customHeight="true" outlineLevel="0" collapsed="false"/>
    <row r="36551" customFormat="false" ht="15" hidden="false" customHeight="true" outlineLevel="0" collapsed="false"/>
    <row r="36552" customFormat="false" ht="15" hidden="false" customHeight="true" outlineLevel="0" collapsed="false"/>
    <row r="36553" customFormat="false" ht="15" hidden="false" customHeight="true" outlineLevel="0" collapsed="false"/>
    <row r="36554" customFormat="false" ht="15" hidden="false" customHeight="true" outlineLevel="0" collapsed="false"/>
    <row r="36555" customFormat="false" ht="15" hidden="false" customHeight="true" outlineLevel="0" collapsed="false"/>
    <row r="36556" customFormat="false" ht="15" hidden="false" customHeight="true" outlineLevel="0" collapsed="false"/>
    <row r="36557" customFormat="false" ht="15" hidden="false" customHeight="true" outlineLevel="0" collapsed="false"/>
    <row r="36558" customFormat="false" ht="15" hidden="false" customHeight="true" outlineLevel="0" collapsed="false"/>
    <row r="36559" customFormat="false" ht="15" hidden="false" customHeight="true" outlineLevel="0" collapsed="false"/>
    <row r="36560" customFormat="false" ht="15" hidden="false" customHeight="true" outlineLevel="0" collapsed="false"/>
    <row r="36561" customFormat="false" ht="15" hidden="false" customHeight="true" outlineLevel="0" collapsed="false"/>
    <row r="36562" customFormat="false" ht="15" hidden="false" customHeight="true" outlineLevel="0" collapsed="false"/>
    <row r="36563" customFormat="false" ht="15" hidden="false" customHeight="true" outlineLevel="0" collapsed="false"/>
    <row r="36564" customFormat="false" ht="15" hidden="false" customHeight="true" outlineLevel="0" collapsed="false"/>
    <row r="36565" customFormat="false" ht="15" hidden="false" customHeight="true" outlineLevel="0" collapsed="false"/>
    <row r="36566" customFormat="false" ht="15" hidden="false" customHeight="true" outlineLevel="0" collapsed="false"/>
    <row r="36567" customFormat="false" ht="15" hidden="false" customHeight="true" outlineLevel="0" collapsed="false"/>
    <row r="36568" customFormat="false" ht="15" hidden="false" customHeight="true" outlineLevel="0" collapsed="false"/>
    <row r="36569" customFormat="false" ht="15" hidden="false" customHeight="true" outlineLevel="0" collapsed="false"/>
    <row r="36570" customFormat="false" ht="15" hidden="false" customHeight="true" outlineLevel="0" collapsed="false"/>
    <row r="36571" customFormat="false" ht="15" hidden="false" customHeight="true" outlineLevel="0" collapsed="false"/>
    <row r="36572" customFormat="false" ht="15" hidden="false" customHeight="true" outlineLevel="0" collapsed="false"/>
    <row r="36573" customFormat="false" ht="15" hidden="false" customHeight="true" outlineLevel="0" collapsed="false"/>
    <row r="36574" customFormat="false" ht="15" hidden="false" customHeight="true" outlineLevel="0" collapsed="false"/>
    <row r="36575" customFormat="false" ht="15" hidden="false" customHeight="true" outlineLevel="0" collapsed="false"/>
    <row r="36576" customFormat="false" ht="15" hidden="false" customHeight="true" outlineLevel="0" collapsed="false"/>
    <row r="36577" customFormat="false" ht="15" hidden="false" customHeight="true" outlineLevel="0" collapsed="false"/>
    <row r="36578" customFormat="false" ht="15" hidden="false" customHeight="true" outlineLevel="0" collapsed="false"/>
    <row r="36579" customFormat="false" ht="15" hidden="false" customHeight="true" outlineLevel="0" collapsed="false"/>
    <row r="36580" customFormat="false" ht="15" hidden="false" customHeight="true" outlineLevel="0" collapsed="false"/>
    <row r="36581" customFormat="false" ht="15" hidden="false" customHeight="true" outlineLevel="0" collapsed="false"/>
    <row r="36582" customFormat="false" ht="15" hidden="false" customHeight="true" outlineLevel="0" collapsed="false"/>
    <row r="36583" customFormat="false" ht="15" hidden="false" customHeight="true" outlineLevel="0" collapsed="false"/>
    <row r="36584" customFormat="false" ht="15" hidden="false" customHeight="true" outlineLevel="0" collapsed="false"/>
    <row r="36585" customFormat="false" ht="15" hidden="false" customHeight="true" outlineLevel="0" collapsed="false"/>
    <row r="36586" customFormat="false" ht="15" hidden="false" customHeight="true" outlineLevel="0" collapsed="false"/>
    <row r="36587" customFormat="false" ht="15" hidden="false" customHeight="true" outlineLevel="0" collapsed="false"/>
    <row r="36588" customFormat="false" ht="15" hidden="false" customHeight="true" outlineLevel="0" collapsed="false"/>
    <row r="36589" customFormat="false" ht="15" hidden="false" customHeight="true" outlineLevel="0" collapsed="false"/>
    <row r="36590" customFormat="false" ht="15" hidden="false" customHeight="true" outlineLevel="0" collapsed="false"/>
    <row r="36591" customFormat="false" ht="15" hidden="false" customHeight="true" outlineLevel="0" collapsed="false"/>
    <row r="36592" customFormat="false" ht="15" hidden="false" customHeight="true" outlineLevel="0" collapsed="false"/>
    <row r="36593" customFormat="false" ht="15" hidden="false" customHeight="true" outlineLevel="0" collapsed="false"/>
    <row r="36594" customFormat="false" ht="15" hidden="false" customHeight="true" outlineLevel="0" collapsed="false"/>
    <row r="36595" customFormat="false" ht="15" hidden="false" customHeight="true" outlineLevel="0" collapsed="false"/>
    <row r="36596" customFormat="false" ht="15" hidden="false" customHeight="true" outlineLevel="0" collapsed="false"/>
    <row r="36597" customFormat="false" ht="15" hidden="false" customHeight="true" outlineLevel="0" collapsed="false"/>
    <row r="36598" customFormat="false" ht="15" hidden="false" customHeight="true" outlineLevel="0" collapsed="false"/>
    <row r="36599" customFormat="false" ht="15" hidden="false" customHeight="true" outlineLevel="0" collapsed="false"/>
    <row r="36600" customFormat="false" ht="15" hidden="false" customHeight="true" outlineLevel="0" collapsed="false"/>
    <row r="36601" customFormat="false" ht="15" hidden="false" customHeight="true" outlineLevel="0" collapsed="false"/>
    <row r="36602" customFormat="false" ht="15" hidden="false" customHeight="true" outlineLevel="0" collapsed="false"/>
    <row r="36603" customFormat="false" ht="15" hidden="false" customHeight="true" outlineLevel="0" collapsed="false"/>
    <row r="36604" customFormat="false" ht="15" hidden="false" customHeight="true" outlineLevel="0" collapsed="false"/>
    <row r="36605" customFormat="false" ht="15" hidden="false" customHeight="true" outlineLevel="0" collapsed="false"/>
    <row r="36606" customFormat="false" ht="15" hidden="false" customHeight="true" outlineLevel="0" collapsed="false"/>
    <row r="36607" customFormat="false" ht="15" hidden="false" customHeight="true" outlineLevel="0" collapsed="false"/>
    <row r="36608" customFormat="false" ht="15" hidden="false" customHeight="true" outlineLevel="0" collapsed="false"/>
    <row r="36609" customFormat="false" ht="15" hidden="false" customHeight="true" outlineLevel="0" collapsed="false"/>
    <row r="36610" customFormat="false" ht="15" hidden="false" customHeight="true" outlineLevel="0" collapsed="false"/>
    <row r="36611" customFormat="false" ht="15" hidden="false" customHeight="true" outlineLevel="0" collapsed="false"/>
    <row r="36612" customFormat="false" ht="15" hidden="false" customHeight="true" outlineLevel="0" collapsed="false"/>
    <row r="36613" customFormat="false" ht="15" hidden="false" customHeight="true" outlineLevel="0" collapsed="false"/>
    <row r="36614" customFormat="false" ht="15" hidden="false" customHeight="true" outlineLevel="0" collapsed="false"/>
    <row r="36615" customFormat="false" ht="15" hidden="false" customHeight="true" outlineLevel="0" collapsed="false"/>
    <row r="36616" customFormat="false" ht="15" hidden="false" customHeight="true" outlineLevel="0" collapsed="false"/>
    <row r="36617" customFormat="false" ht="15" hidden="false" customHeight="true" outlineLevel="0" collapsed="false"/>
    <row r="36618" customFormat="false" ht="15" hidden="false" customHeight="true" outlineLevel="0" collapsed="false"/>
    <row r="36619" customFormat="false" ht="15" hidden="false" customHeight="true" outlineLevel="0" collapsed="false"/>
    <row r="36620" customFormat="false" ht="15" hidden="false" customHeight="true" outlineLevel="0" collapsed="false"/>
    <row r="36621" customFormat="false" ht="15" hidden="false" customHeight="true" outlineLevel="0" collapsed="false"/>
    <row r="36622" customFormat="false" ht="15" hidden="false" customHeight="true" outlineLevel="0" collapsed="false"/>
    <row r="36623" customFormat="false" ht="15" hidden="false" customHeight="true" outlineLevel="0" collapsed="false"/>
    <row r="36624" customFormat="false" ht="15" hidden="false" customHeight="true" outlineLevel="0" collapsed="false"/>
    <row r="36625" customFormat="false" ht="15" hidden="false" customHeight="true" outlineLevel="0" collapsed="false"/>
    <row r="36626" customFormat="false" ht="15" hidden="false" customHeight="true" outlineLevel="0" collapsed="false"/>
    <row r="36627" customFormat="false" ht="15" hidden="false" customHeight="true" outlineLevel="0" collapsed="false"/>
    <row r="36628" customFormat="false" ht="15" hidden="false" customHeight="true" outlineLevel="0" collapsed="false"/>
    <row r="36629" customFormat="false" ht="15" hidden="false" customHeight="true" outlineLevel="0" collapsed="false"/>
    <row r="36630" customFormat="false" ht="15" hidden="false" customHeight="true" outlineLevel="0" collapsed="false"/>
    <row r="36631" customFormat="false" ht="15" hidden="false" customHeight="true" outlineLevel="0" collapsed="false"/>
    <row r="36632" customFormat="false" ht="15" hidden="false" customHeight="true" outlineLevel="0" collapsed="false"/>
    <row r="36633" customFormat="false" ht="15" hidden="false" customHeight="true" outlineLevel="0" collapsed="false"/>
    <row r="36634" customFormat="false" ht="15" hidden="false" customHeight="true" outlineLevel="0" collapsed="false"/>
    <row r="36635" customFormat="false" ht="15" hidden="false" customHeight="true" outlineLevel="0" collapsed="false"/>
    <row r="36636" customFormat="false" ht="15" hidden="false" customHeight="true" outlineLevel="0" collapsed="false"/>
    <row r="36637" customFormat="false" ht="15" hidden="false" customHeight="true" outlineLevel="0" collapsed="false"/>
    <row r="36638" customFormat="false" ht="15" hidden="false" customHeight="true" outlineLevel="0" collapsed="false"/>
    <row r="36639" customFormat="false" ht="15" hidden="false" customHeight="true" outlineLevel="0" collapsed="false"/>
    <row r="36640" customFormat="false" ht="15" hidden="false" customHeight="true" outlineLevel="0" collapsed="false"/>
    <row r="36641" customFormat="false" ht="15" hidden="false" customHeight="true" outlineLevel="0" collapsed="false"/>
    <row r="36642" customFormat="false" ht="15" hidden="false" customHeight="true" outlineLevel="0" collapsed="false"/>
    <row r="36643" customFormat="false" ht="15" hidden="false" customHeight="true" outlineLevel="0" collapsed="false"/>
    <row r="36644" customFormat="false" ht="15" hidden="false" customHeight="true" outlineLevel="0" collapsed="false"/>
    <row r="36645" customFormat="false" ht="15" hidden="false" customHeight="true" outlineLevel="0" collapsed="false"/>
    <row r="36646" customFormat="false" ht="15" hidden="false" customHeight="true" outlineLevel="0" collapsed="false"/>
    <row r="36647" customFormat="false" ht="15" hidden="false" customHeight="true" outlineLevel="0" collapsed="false"/>
    <row r="36648" customFormat="false" ht="15" hidden="false" customHeight="true" outlineLevel="0" collapsed="false"/>
    <row r="36649" customFormat="false" ht="15" hidden="false" customHeight="true" outlineLevel="0" collapsed="false"/>
    <row r="36650" customFormat="false" ht="15" hidden="false" customHeight="true" outlineLevel="0" collapsed="false"/>
    <row r="36651" customFormat="false" ht="15" hidden="false" customHeight="true" outlineLevel="0" collapsed="false"/>
    <row r="36652" customFormat="false" ht="15" hidden="false" customHeight="true" outlineLevel="0" collapsed="false"/>
    <row r="36653" customFormat="false" ht="15" hidden="false" customHeight="true" outlineLevel="0" collapsed="false"/>
    <row r="36654" customFormat="false" ht="15" hidden="false" customHeight="true" outlineLevel="0" collapsed="false"/>
    <row r="36655" customFormat="false" ht="15" hidden="false" customHeight="true" outlineLevel="0" collapsed="false"/>
    <row r="36656" customFormat="false" ht="15" hidden="false" customHeight="true" outlineLevel="0" collapsed="false"/>
    <row r="36657" customFormat="false" ht="15" hidden="false" customHeight="true" outlineLevel="0" collapsed="false"/>
    <row r="36658" customFormat="false" ht="15" hidden="false" customHeight="true" outlineLevel="0" collapsed="false"/>
    <row r="36659" customFormat="false" ht="15" hidden="false" customHeight="true" outlineLevel="0" collapsed="false"/>
    <row r="36660" customFormat="false" ht="15" hidden="false" customHeight="true" outlineLevel="0" collapsed="false"/>
    <row r="36661" customFormat="false" ht="15" hidden="false" customHeight="true" outlineLevel="0" collapsed="false"/>
    <row r="36662" customFormat="false" ht="15" hidden="false" customHeight="true" outlineLevel="0" collapsed="false"/>
    <row r="36663" customFormat="false" ht="15" hidden="false" customHeight="true" outlineLevel="0" collapsed="false"/>
    <row r="36664" customFormat="false" ht="15" hidden="false" customHeight="true" outlineLevel="0" collapsed="false"/>
    <row r="36665" customFormat="false" ht="15" hidden="false" customHeight="true" outlineLevel="0" collapsed="false"/>
    <row r="36666" customFormat="false" ht="15" hidden="false" customHeight="true" outlineLevel="0" collapsed="false"/>
    <row r="36667" customFormat="false" ht="15" hidden="false" customHeight="true" outlineLevel="0" collapsed="false"/>
    <row r="36668" customFormat="false" ht="15" hidden="false" customHeight="true" outlineLevel="0" collapsed="false"/>
    <row r="36669" customFormat="false" ht="15" hidden="false" customHeight="true" outlineLevel="0" collapsed="false"/>
    <row r="36670" customFormat="false" ht="15" hidden="false" customHeight="true" outlineLevel="0" collapsed="false"/>
    <row r="36671" customFormat="false" ht="15" hidden="false" customHeight="true" outlineLevel="0" collapsed="false"/>
    <row r="36672" customFormat="false" ht="15" hidden="false" customHeight="true" outlineLevel="0" collapsed="false"/>
    <row r="36673" customFormat="false" ht="15" hidden="false" customHeight="true" outlineLevel="0" collapsed="false"/>
    <row r="36674" customFormat="false" ht="15" hidden="false" customHeight="true" outlineLevel="0" collapsed="false"/>
    <row r="36675" customFormat="false" ht="15" hidden="false" customHeight="true" outlineLevel="0" collapsed="false"/>
    <row r="36676" customFormat="false" ht="15" hidden="false" customHeight="true" outlineLevel="0" collapsed="false"/>
    <row r="36677" customFormat="false" ht="15" hidden="false" customHeight="true" outlineLevel="0" collapsed="false"/>
    <row r="36678" customFormat="false" ht="15" hidden="false" customHeight="true" outlineLevel="0" collapsed="false"/>
    <row r="36679" customFormat="false" ht="15" hidden="false" customHeight="true" outlineLevel="0" collapsed="false"/>
    <row r="36680" customFormat="false" ht="15" hidden="false" customHeight="true" outlineLevel="0" collapsed="false"/>
    <row r="36681" customFormat="false" ht="15" hidden="false" customHeight="true" outlineLevel="0" collapsed="false"/>
    <row r="36682" customFormat="false" ht="15" hidden="false" customHeight="true" outlineLevel="0" collapsed="false"/>
    <row r="36683" customFormat="false" ht="15" hidden="false" customHeight="true" outlineLevel="0" collapsed="false"/>
    <row r="36684" customFormat="false" ht="15" hidden="false" customHeight="true" outlineLevel="0" collapsed="false"/>
    <row r="36685" customFormat="false" ht="15" hidden="false" customHeight="true" outlineLevel="0" collapsed="false"/>
    <row r="36686" customFormat="false" ht="15" hidden="false" customHeight="true" outlineLevel="0" collapsed="false"/>
    <row r="36687" customFormat="false" ht="15" hidden="false" customHeight="true" outlineLevel="0" collapsed="false"/>
    <row r="36688" customFormat="false" ht="15" hidden="false" customHeight="true" outlineLevel="0" collapsed="false"/>
    <row r="36689" customFormat="false" ht="15" hidden="false" customHeight="true" outlineLevel="0" collapsed="false"/>
    <row r="36690" customFormat="false" ht="15" hidden="false" customHeight="true" outlineLevel="0" collapsed="false"/>
    <row r="36691" customFormat="false" ht="15" hidden="false" customHeight="true" outlineLevel="0" collapsed="false"/>
    <row r="36692" customFormat="false" ht="15" hidden="false" customHeight="true" outlineLevel="0" collapsed="false"/>
    <row r="36693" customFormat="false" ht="15" hidden="false" customHeight="true" outlineLevel="0" collapsed="false"/>
    <row r="36694" customFormat="false" ht="15" hidden="false" customHeight="true" outlineLevel="0" collapsed="false"/>
    <row r="36695" customFormat="false" ht="15" hidden="false" customHeight="true" outlineLevel="0" collapsed="false"/>
    <row r="36696" customFormat="false" ht="15" hidden="false" customHeight="true" outlineLevel="0" collapsed="false"/>
    <row r="36697" customFormat="false" ht="15" hidden="false" customHeight="true" outlineLevel="0" collapsed="false"/>
    <row r="36698" customFormat="false" ht="15" hidden="false" customHeight="true" outlineLevel="0" collapsed="false"/>
    <row r="36699" customFormat="false" ht="15" hidden="false" customHeight="true" outlineLevel="0" collapsed="false"/>
    <row r="36700" customFormat="false" ht="15" hidden="false" customHeight="true" outlineLevel="0" collapsed="false"/>
    <row r="36701" customFormat="false" ht="15" hidden="false" customHeight="true" outlineLevel="0" collapsed="false"/>
    <row r="36702" customFormat="false" ht="15" hidden="false" customHeight="true" outlineLevel="0" collapsed="false"/>
    <row r="36703" customFormat="false" ht="15" hidden="false" customHeight="true" outlineLevel="0" collapsed="false"/>
    <row r="36704" customFormat="false" ht="15" hidden="false" customHeight="true" outlineLevel="0" collapsed="false"/>
    <row r="36705" customFormat="false" ht="15" hidden="false" customHeight="true" outlineLevel="0" collapsed="false"/>
    <row r="36706" customFormat="false" ht="15" hidden="false" customHeight="true" outlineLevel="0" collapsed="false"/>
    <row r="36707" customFormat="false" ht="15" hidden="false" customHeight="true" outlineLevel="0" collapsed="false"/>
    <row r="36708" customFormat="false" ht="15" hidden="false" customHeight="true" outlineLevel="0" collapsed="false"/>
    <row r="36709" customFormat="false" ht="15" hidden="false" customHeight="true" outlineLevel="0" collapsed="false"/>
    <row r="36710" customFormat="false" ht="15" hidden="false" customHeight="true" outlineLevel="0" collapsed="false"/>
    <row r="36711" customFormat="false" ht="15" hidden="false" customHeight="true" outlineLevel="0" collapsed="false"/>
    <row r="36712" customFormat="false" ht="15" hidden="false" customHeight="true" outlineLevel="0" collapsed="false"/>
    <row r="36713" customFormat="false" ht="15" hidden="false" customHeight="true" outlineLevel="0" collapsed="false"/>
    <row r="36714" customFormat="false" ht="15" hidden="false" customHeight="true" outlineLevel="0" collapsed="false"/>
    <row r="36715" customFormat="false" ht="15" hidden="false" customHeight="true" outlineLevel="0" collapsed="false"/>
    <row r="36716" customFormat="false" ht="15" hidden="false" customHeight="true" outlineLevel="0" collapsed="false"/>
    <row r="36717" customFormat="false" ht="15" hidden="false" customHeight="true" outlineLevel="0" collapsed="false"/>
    <row r="36718" customFormat="false" ht="15" hidden="false" customHeight="true" outlineLevel="0" collapsed="false"/>
    <row r="36719" customFormat="false" ht="15" hidden="false" customHeight="true" outlineLevel="0" collapsed="false"/>
    <row r="36720" customFormat="false" ht="15" hidden="false" customHeight="true" outlineLevel="0" collapsed="false"/>
    <row r="36721" customFormat="false" ht="15" hidden="false" customHeight="true" outlineLevel="0" collapsed="false"/>
    <row r="36722" customFormat="false" ht="15" hidden="false" customHeight="true" outlineLevel="0" collapsed="false"/>
    <row r="36723" customFormat="false" ht="15" hidden="false" customHeight="true" outlineLevel="0" collapsed="false"/>
    <row r="36724" customFormat="false" ht="15" hidden="false" customHeight="true" outlineLevel="0" collapsed="false"/>
    <row r="36725" customFormat="false" ht="15" hidden="false" customHeight="true" outlineLevel="0" collapsed="false"/>
    <row r="36726" customFormat="false" ht="15" hidden="false" customHeight="true" outlineLevel="0" collapsed="false"/>
    <row r="36727" customFormat="false" ht="15" hidden="false" customHeight="true" outlineLevel="0" collapsed="false"/>
    <row r="36728" customFormat="false" ht="15" hidden="false" customHeight="true" outlineLevel="0" collapsed="false"/>
    <row r="36729" customFormat="false" ht="15" hidden="false" customHeight="true" outlineLevel="0" collapsed="false"/>
    <row r="36730" customFormat="false" ht="15" hidden="false" customHeight="true" outlineLevel="0" collapsed="false"/>
    <row r="36731" customFormat="false" ht="15" hidden="false" customHeight="true" outlineLevel="0" collapsed="false"/>
    <row r="36732" customFormat="false" ht="15" hidden="false" customHeight="true" outlineLevel="0" collapsed="false"/>
    <row r="36733" customFormat="false" ht="15" hidden="false" customHeight="true" outlineLevel="0" collapsed="false"/>
    <row r="36734" customFormat="false" ht="15" hidden="false" customHeight="true" outlineLevel="0" collapsed="false"/>
    <row r="36735" customFormat="false" ht="15" hidden="false" customHeight="true" outlineLevel="0" collapsed="false"/>
    <row r="36736" customFormat="false" ht="15" hidden="false" customHeight="true" outlineLevel="0" collapsed="false"/>
    <row r="36737" customFormat="false" ht="15" hidden="false" customHeight="true" outlineLevel="0" collapsed="false"/>
    <row r="36738" customFormat="false" ht="15" hidden="false" customHeight="true" outlineLevel="0" collapsed="false"/>
    <row r="36739" customFormat="false" ht="15" hidden="false" customHeight="true" outlineLevel="0" collapsed="false"/>
    <row r="36740" customFormat="false" ht="15" hidden="false" customHeight="true" outlineLevel="0" collapsed="false"/>
    <row r="36741" customFormat="false" ht="15" hidden="false" customHeight="true" outlineLevel="0" collapsed="false"/>
    <row r="36742" customFormat="false" ht="15" hidden="false" customHeight="true" outlineLevel="0" collapsed="false"/>
    <row r="36743" customFormat="false" ht="15" hidden="false" customHeight="true" outlineLevel="0" collapsed="false"/>
    <row r="36744" customFormat="false" ht="15" hidden="false" customHeight="true" outlineLevel="0" collapsed="false"/>
    <row r="36745" customFormat="false" ht="15" hidden="false" customHeight="true" outlineLevel="0" collapsed="false"/>
    <row r="36746" customFormat="false" ht="15" hidden="false" customHeight="true" outlineLevel="0" collapsed="false"/>
    <row r="36747" customFormat="false" ht="15" hidden="false" customHeight="true" outlineLevel="0" collapsed="false"/>
    <row r="36748" customFormat="false" ht="15" hidden="false" customHeight="true" outlineLevel="0" collapsed="false"/>
    <row r="36749" customFormat="false" ht="15" hidden="false" customHeight="true" outlineLevel="0" collapsed="false"/>
    <row r="36750" customFormat="false" ht="15" hidden="false" customHeight="true" outlineLevel="0" collapsed="false"/>
    <row r="36751" customFormat="false" ht="15" hidden="false" customHeight="true" outlineLevel="0" collapsed="false"/>
    <row r="36752" customFormat="false" ht="15" hidden="false" customHeight="true" outlineLevel="0" collapsed="false"/>
    <row r="36753" customFormat="false" ht="15" hidden="false" customHeight="true" outlineLevel="0" collapsed="false"/>
    <row r="36754" customFormat="false" ht="15" hidden="false" customHeight="true" outlineLevel="0" collapsed="false"/>
    <row r="36755" customFormat="false" ht="15" hidden="false" customHeight="true" outlineLevel="0" collapsed="false"/>
    <row r="36756" customFormat="false" ht="15" hidden="false" customHeight="true" outlineLevel="0" collapsed="false"/>
    <row r="36757" customFormat="false" ht="15" hidden="false" customHeight="true" outlineLevel="0" collapsed="false"/>
    <row r="36758" customFormat="false" ht="15" hidden="false" customHeight="true" outlineLevel="0" collapsed="false"/>
    <row r="36759" customFormat="false" ht="15" hidden="false" customHeight="true" outlineLevel="0" collapsed="false"/>
    <row r="36760" customFormat="false" ht="15" hidden="false" customHeight="true" outlineLevel="0" collapsed="false"/>
    <row r="36761" customFormat="false" ht="15" hidden="false" customHeight="true" outlineLevel="0" collapsed="false"/>
    <row r="36762" customFormat="false" ht="15" hidden="false" customHeight="true" outlineLevel="0" collapsed="false"/>
    <row r="36763" customFormat="false" ht="15" hidden="false" customHeight="true" outlineLevel="0" collapsed="false"/>
    <row r="36764" customFormat="false" ht="15" hidden="false" customHeight="true" outlineLevel="0" collapsed="false"/>
    <row r="36765" customFormat="false" ht="15" hidden="false" customHeight="true" outlineLevel="0" collapsed="false"/>
    <row r="36766" customFormat="false" ht="15" hidden="false" customHeight="true" outlineLevel="0" collapsed="false"/>
    <row r="36767" customFormat="false" ht="15" hidden="false" customHeight="true" outlineLevel="0" collapsed="false"/>
    <row r="36768" customFormat="false" ht="15" hidden="false" customHeight="true" outlineLevel="0" collapsed="false"/>
    <row r="36769" customFormat="false" ht="15" hidden="false" customHeight="true" outlineLevel="0" collapsed="false"/>
    <row r="36770" customFormat="false" ht="15" hidden="false" customHeight="true" outlineLevel="0" collapsed="false"/>
    <row r="36771" customFormat="false" ht="15" hidden="false" customHeight="true" outlineLevel="0" collapsed="false"/>
    <row r="36772" customFormat="false" ht="15" hidden="false" customHeight="true" outlineLevel="0" collapsed="false"/>
    <row r="36773" customFormat="false" ht="15" hidden="false" customHeight="true" outlineLevel="0" collapsed="false"/>
    <row r="36774" customFormat="false" ht="15" hidden="false" customHeight="true" outlineLevel="0" collapsed="false"/>
    <row r="36775" customFormat="false" ht="15" hidden="false" customHeight="true" outlineLevel="0" collapsed="false"/>
    <row r="36776" customFormat="false" ht="15" hidden="false" customHeight="true" outlineLevel="0" collapsed="false"/>
    <row r="36777" customFormat="false" ht="15" hidden="false" customHeight="true" outlineLevel="0" collapsed="false"/>
    <row r="36778" customFormat="false" ht="15" hidden="false" customHeight="true" outlineLevel="0" collapsed="false"/>
    <row r="36779" customFormat="false" ht="15" hidden="false" customHeight="true" outlineLevel="0" collapsed="false"/>
    <row r="36780" customFormat="false" ht="15" hidden="false" customHeight="true" outlineLevel="0" collapsed="false"/>
    <row r="36781" customFormat="false" ht="15" hidden="false" customHeight="true" outlineLevel="0" collapsed="false"/>
    <row r="36782" customFormat="false" ht="15" hidden="false" customHeight="true" outlineLevel="0" collapsed="false"/>
    <row r="36783" customFormat="false" ht="15" hidden="false" customHeight="true" outlineLevel="0" collapsed="false"/>
    <row r="36784" customFormat="false" ht="15" hidden="false" customHeight="true" outlineLevel="0" collapsed="false"/>
    <row r="36785" customFormat="false" ht="15" hidden="false" customHeight="true" outlineLevel="0" collapsed="false"/>
    <row r="36786" customFormat="false" ht="15" hidden="false" customHeight="true" outlineLevel="0" collapsed="false"/>
    <row r="36787" customFormat="false" ht="15" hidden="false" customHeight="true" outlineLevel="0" collapsed="false"/>
    <row r="36788" customFormat="false" ht="15" hidden="false" customHeight="true" outlineLevel="0" collapsed="false"/>
    <row r="36789" customFormat="false" ht="15" hidden="false" customHeight="true" outlineLevel="0" collapsed="false"/>
    <row r="36790" customFormat="false" ht="15" hidden="false" customHeight="true" outlineLevel="0" collapsed="false"/>
    <row r="36791" customFormat="false" ht="15" hidden="false" customHeight="true" outlineLevel="0" collapsed="false"/>
    <row r="36792" customFormat="false" ht="15" hidden="false" customHeight="true" outlineLevel="0" collapsed="false"/>
    <row r="36793" customFormat="false" ht="15" hidden="false" customHeight="true" outlineLevel="0" collapsed="false"/>
    <row r="36794" customFormat="false" ht="15" hidden="false" customHeight="true" outlineLevel="0" collapsed="false"/>
    <row r="36795" customFormat="false" ht="15" hidden="false" customHeight="true" outlineLevel="0" collapsed="false"/>
    <row r="36796" customFormat="false" ht="15" hidden="false" customHeight="true" outlineLevel="0" collapsed="false"/>
    <row r="36797" customFormat="false" ht="15" hidden="false" customHeight="true" outlineLevel="0" collapsed="false"/>
    <row r="36798" customFormat="false" ht="15" hidden="false" customHeight="true" outlineLevel="0" collapsed="false"/>
    <row r="36799" customFormat="false" ht="15" hidden="false" customHeight="true" outlineLevel="0" collapsed="false"/>
    <row r="36800" customFormat="false" ht="15" hidden="false" customHeight="true" outlineLevel="0" collapsed="false"/>
    <row r="36801" customFormat="false" ht="15" hidden="false" customHeight="true" outlineLevel="0" collapsed="false"/>
    <row r="36802" customFormat="false" ht="15" hidden="false" customHeight="true" outlineLevel="0" collapsed="false"/>
    <row r="36803" customFormat="false" ht="15" hidden="false" customHeight="true" outlineLevel="0" collapsed="false"/>
    <row r="36804" customFormat="false" ht="15" hidden="false" customHeight="true" outlineLevel="0" collapsed="false"/>
    <row r="36805" customFormat="false" ht="15" hidden="false" customHeight="true" outlineLevel="0" collapsed="false"/>
    <row r="36806" customFormat="false" ht="15" hidden="false" customHeight="true" outlineLevel="0" collapsed="false"/>
    <row r="36807" customFormat="false" ht="15" hidden="false" customHeight="true" outlineLevel="0" collapsed="false"/>
    <row r="36808" customFormat="false" ht="15" hidden="false" customHeight="true" outlineLevel="0" collapsed="false"/>
    <row r="36809" customFormat="false" ht="15" hidden="false" customHeight="true" outlineLevel="0" collapsed="false"/>
    <row r="36810" customFormat="false" ht="15" hidden="false" customHeight="true" outlineLevel="0" collapsed="false"/>
    <row r="36811" customFormat="false" ht="15" hidden="false" customHeight="true" outlineLevel="0" collapsed="false"/>
    <row r="36812" customFormat="false" ht="15" hidden="false" customHeight="true" outlineLevel="0" collapsed="false"/>
    <row r="36813" customFormat="false" ht="15" hidden="false" customHeight="true" outlineLevel="0" collapsed="false"/>
    <row r="36814" customFormat="false" ht="15" hidden="false" customHeight="true" outlineLevel="0" collapsed="false"/>
    <row r="36815" customFormat="false" ht="15" hidden="false" customHeight="true" outlineLevel="0" collapsed="false"/>
    <row r="36816" customFormat="false" ht="15" hidden="false" customHeight="true" outlineLevel="0" collapsed="false"/>
    <row r="36817" customFormat="false" ht="15" hidden="false" customHeight="true" outlineLevel="0" collapsed="false"/>
    <row r="36818" customFormat="false" ht="15" hidden="false" customHeight="true" outlineLevel="0" collapsed="false"/>
    <row r="36819" customFormat="false" ht="15" hidden="false" customHeight="true" outlineLevel="0" collapsed="false"/>
    <row r="36820" customFormat="false" ht="15" hidden="false" customHeight="true" outlineLevel="0" collapsed="false"/>
    <row r="36821" customFormat="false" ht="15" hidden="false" customHeight="true" outlineLevel="0" collapsed="false"/>
    <row r="36822" customFormat="false" ht="15" hidden="false" customHeight="true" outlineLevel="0" collapsed="false"/>
    <row r="36823" customFormat="false" ht="15" hidden="false" customHeight="true" outlineLevel="0" collapsed="false"/>
    <row r="36824" customFormat="false" ht="15" hidden="false" customHeight="true" outlineLevel="0" collapsed="false"/>
    <row r="36825" customFormat="false" ht="15" hidden="false" customHeight="true" outlineLevel="0" collapsed="false"/>
    <row r="36826" customFormat="false" ht="15" hidden="false" customHeight="true" outlineLevel="0" collapsed="false"/>
    <row r="36827" customFormat="false" ht="15" hidden="false" customHeight="true" outlineLevel="0" collapsed="false"/>
    <row r="36828" customFormat="false" ht="15" hidden="false" customHeight="true" outlineLevel="0" collapsed="false"/>
    <row r="36829" customFormat="false" ht="15" hidden="false" customHeight="true" outlineLevel="0" collapsed="false"/>
    <row r="36830" customFormat="false" ht="15" hidden="false" customHeight="true" outlineLevel="0" collapsed="false"/>
    <row r="36831" customFormat="false" ht="15" hidden="false" customHeight="true" outlineLevel="0" collapsed="false"/>
    <row r="36832" customFormat="false" ht="15" hidden="false" customHeight="true" outlineLevel="0" collapsed="false"/>
    <row r="36833" customFormat="false" ht="15" hidden="false" customHeight="true" outlineLevel="0" collapsed="false"/>
    <row r="36834" customFormat="false" ht="15" hidden="false" customHeight="true" outlineLevel="0" collapsed="false"/>
    <row r="36835" customFormat="false" ht="15" hidden="false" customHeight="true" outlineLevel="0" collapsed="false"/>
    <row r="36836" customFormat="false" ht="15" hidden="false" customHeight="true" outlineLevel="0" collapsed="false"/>
    <row r="36837" customFormat="false" ht="15" hidden="false" customHeight="true" outlineLevel="0" collapsed="false"/>
    <row r="36838" customFormat="false" ht="15" hidden="false" customHeight="true" outlineLevel="0" collapsed="false"/>
    <row r="36839" customFormat="false" ht="15" hidden="false" customHeight="true" outlineLevel="0" collapsed="false"/>
    <row r="36840" customFormat="false" ht="15" hidden="false" customHeight="true" outlineLevel="0" collapsed="false"/>
    <row r="36841" customFormat="false" ht="15" hidden="false" customHeight="true" outlineLevel="0" collapsed="false"/>
    <row r="36842" customFormat="false" ht="15" hidden="false" customHeight="true" outlineLevel="0" collapsed="false"/>
    <row r="36843" customFormat="false" ht="15" hidden="false" customHeight="true" outlineLevel="0" collapsed="false"/>
    <row r="36844" customFormat="false" ht="15" hidden="false" customHeight="true" outlineLevel="0" collapsed="false"/>
    <row r="36845" customFormat="false" ht="15" hidden="false" customHeight="true" outlineLevel="0" collapsed="false"/>
    <row r="36846" customFormat="false" ht="15" hidden="false" customHeight="true" outlineLevel="0" collapsed="false"/>
    <row r="36847" customFormat="false" ht="15" hidden="false" customHeight="true" outlineLevel="0" collapsed="false"/>
    <row r="36848" customFormat="false" ht="15" hidden="false" customHeight="true" outlineLevel="0" collapsed="false"/>
    <row r="36849" customFormat="false" ht="15" hidden="false" customHeight="true" outlineLevel="0" collapsed="false"/>
    <row r="36850" customFormat="false" ht="15" hidden="false" customHeight="true" outlineLevel="0" collapsed="false"/>
    <row r="36851" customFormat="false" ht="15" hidden="false" customHeight="true" outlineLevel="0" collapsed="false"/>
    <row r="36852" customFormat="false" ht="15" hidden="false" customHeight="true" outlineLevel="0" collapsed="false"/>
    <row r="36853" customFormat="false" ht="15" hidden="false" customHeight="true" outlineLevel="0" collapsed="false"/>
    <row r="36854" customFormat="false" ht="15" hidden="false" customHeight="true" outlineLevel="0" collapsed="false"/>
    <row r="36855" customFormat="false" ht="15" hidden="false" customHeight="true" outlineLevel="0" collapsed="false"/>
    <row r="36856" customFormat="false" ht="15" hidden="false" customHeight="true" outlineLevel="0" collapsed="false"/>
    <row r="36857" customFormat="false" ht="15" hidden="false" customHeight="true" outlineLevel="0" collapsed="false"/>
    <row r="36858" customFormat="false" ht="15" hidden="false" customHeight="true" outlineLevel="0" collapsed="false"/>
    <row r="36859" customFormat="false" ht="15" hidden="false" customHeight="true" outlineLevel="0" collapsed="false"/>
    <row r="36860" customFormat="false" ht="15" hidden="false" customHeight="true" outlineLevel="0" collapsed="false"/>
    <row r="36861" customFormat="false" ht="15" hidden="false" customHeight="true" outlineLevel="0" collapsed="false"/>
    <row r="36862" customFormat="false" ht="15" hidden="false" customHeight="true" outlineLevel="0" collapsed="false"/>
    <row r="36863" customFormat="false" ht="15" hidden="false" customHeight="true" outlineLevel="0" collapsed="false"/>
    <row r="36864" customFormat="false" ht="15" hidden="false" customHeight="true" outlineLevel="0" collapsed="false"/>
    <row r="36865" customFormat="false" ht="15" hidden="false" customHeight="true" outlineLevel="0" collapsed="false"/>
    <row r="36866" customFormat="false" ht="15" hidden="false" customHeight="true" outlineLevel="0" collapsed="false"/>
    <row r="36867" customFormat="false" ht="15" hidden="false" customHeight="true" outlineLevel="0" collapsed="false"/>
    <row r="36868" customFormat="false" ht="15" hidden="false" customHeight="true" outlineLevel="0" collapsed="false"/>
    <row r="36869" customFormat="false" ht="15" hidden="false" customHeight="true" outlineLevel="0" collapsed="false"/>
    <row r="36870" customFormat="false" ht="15" hidden="false" customHeight="true" outlineLevel="0" collapsed="false"/>
    <row r="36871" customFormat="false" ht="15" hidden="false" customHeight="true" outlineLevel="0" collapsed="false"/>
    <row r="36872" customFormat="false" ht="15" hidden="false" customHeight="true" outlineLevel="0" collapsed="false"/>
    <row r="36873" customFormat="false" ht="15" hidden="false" customHeight="true" outlineLevel="0" collapsed="false"/>
    <row r="36874" customFormat="false" ht="15" hidden="false" customHeight="true" outlineLevel="0" collapsed="false"/>
    <row r="36875" customFormat="false" ht="15" hidden="false" customHeight="true" outlineLevel="0" collapsed="false"/>
    <row r="36876" customFormat="false" ht="15" hidden="false" customHeight="true" outlineLevel="0" collapsed="false"/>
    <row r="36877" customFormat="false" ht="15" hidden="false" customHeight="true" outlineLevel="0" collapsed="false"/>
    <row r="36878" customFormat="false" ht="15" hidden="false" customHeight="true" outlineLevel="0" collapsed="false"/>
    <row r="36879" customFormat="false" ht="15" hidden="false" customHeight="true" outlineLevel="0" collapsed="false"/>
    <row r="36880" customFormat="false" ht="15" hidden="false" customHeight="true" outlineLevel="0" collapsed="false"/>
    <row r="36881" customFormat="false" ht="15" hidden="false" customHeight="true" outlineLevel="0" collapsed="false"/>
    <row r="36882" customFormat="false" ht="15" hidden="false" customHeight="true" outlineLevel="0" collapsed="false"/>
    <row r="36883" customFormat="false" ht="15" hidden="false" customHeight="true" outlineLevel="0" collapsed="false"/>
    <row r="36884" customFormat="false" ht="15" hidden="false" customHeight="true" outlineLevel="0" collapsed="false"/>
    <row r="36885" customFormat="false" ht="15" hidden="false" customHeight="true" outlineLevel="0" collapsed="false"/>
    <row r="36886" customFormat="false" ht="15" hidden="false" customHeight="true" outlineLevel="0" collapsed="false"/>
    <row r="36887" customFormat="false" ht="15" hidden="false" customHeight="true" outlineLevel="0" collapsed="false"/>
    <row r="36888" customFormat="false" ht="15" hidden="false" customHeight="true" outlineLevel="0" collapsed="false"/>
    <row r="36889" customFormat="false" ht="15" hidden="false" customHeight="true" outlineLevel="0" collapsed="false"/>
    <row r="36890" customFormat="false" ht="15" hidden="false" customHeight="true" outlineLevel="0" collapsed="false"/>
    <row r="36891" customFormat="false" ht="15" hidden="false" customHeight="true" outlineLevel="0" collapsed="false"/>
    <row r="36892" customFormat="false" ht="15" hidden="false" customHeight="true" outlineLevel="0" collapsed="false"/>
    <row r="36893" customFormat="false" ht="15" hidden="false" customHeight="true" outlineLevel="0" collapsed="false"/>
    <row r="36894" customFormat="false" ht="15" hidden="false" customHeight="true" outlineLevel="0" collapsed="false"/>
    <row r="36895" customFormat="false" ht="15" hidden="false" customHeight="true" outlineLevel="0" collapsed="false"/>
    <row r="36896" customFormat="false" ht="15" hidden="false" customHeight="true" outlineLevel="0" collapsed="false"/>
    <row r="36897" customFormat="false" ht="15" hidden="false" customHeight="true" outlineLevel="0" collapsed="false"/>
    <row r="36898" customFormat="false" ht="15" hidden="false" customHeight="true" outlineLevel="0" collapsed="false"/>
    <row r="36899" customFormat="false" ht="15" hidden="false" customHeight="true" outlineLevel="0" collapsed="false"/>
    <row r="36900" customFormat="false" ht="15" hidden="false" customHeight="true" outlineLevel="0" collapsed="false"/>
    <row r="36901" customFormat="false" ht="15" hidden="false" customHeight="true" outlineLevel="0" collapsed="false"/>
    <row r="36902" customFormat="false" ht="15" hidden="false" customHeight="true" outlineLevel="0" collapsed="false"/>
    <row r="36903" customFormat="false" ht="15" hidden="false" customHeight="true" outlineLevel="0" collapsed="false"/>
    <row r="36904" customFormat="false" ht="15" hidden="false" customHeight="true" outlineLevel="0" collapsed="false"/>
    <row r="36905" customFormat="false" ht="15" hidden="false" customHeight="true" outlineLevel="0" collapsed="false"/>
    <row r="36906" customFormat="false" ht="15" hidden="false" customHeight="true" outlineLevel="0" collapsed="false"/>
    <row r="36907" customFormat="false" ht="15" hidden="false" customHeight="true" outlineLevel="0" collapsed="false"/>
    <row r="36908" customFormat="false" ht="15" hidden="false" customHeight="true" outlineLevel="0" collapsed="false"/>
    <row r="36909" customFormat="false" ht="15" hidden="false" customHeight="true" outlineLevel="0" collapsed="false"/>
    <row r="36910" customFormat="false" ht="15" hidden="false" customHeight="true" outlineLevel="0" collapsed="false"/>
    <row r="36911" customFormat="false" ht="15" hidden="false" customHeight="true" outlineLevel="0" collapsed="false"/>
    <row r="36912" customFormat="false" ht="15" hidden="false" customHeight="true" outlineLevel="0" collapsed="false"/>
    <row r="36913" customFormat="false" ht="15" hidden="false" customHeight="true" outlineLevel="0" collapsed="false"/>
    <row r="36914" customFormat="false" ht="15" hidden="false" customHeight="true" outlineLevel="0" collapsed="false"/>
    <row r="36915" customFormat="false" ht="15" hidden="false" customHeight="true" outlineLevel="0" collapsed="false"/>
    <row r="36916" customFormat="false" ht="15" hidden="false" customHeight="true" outlineLevel="0" collapsed="false"/>
    <row r="36917" customFormat="false" ht="15" hidden="false" customHeight="true" outlineLevel="0" collapsed="false"/>
    <row r="36918" customFormat="false" ht="15" hidden="false" customHeight="true" outlineLevel="0" collapsed="false"/>
    <row r="36919" customFormat="false" ht="15" hidden="false" customHeight="true" outlineLevel="0" collapsed="false"/>
    <row r="36920" customFormat="false" ht="15" hidden="false" customHeight="true" outlineLevel="0" collapsed="false"/>
    <row r="36921" customFormat="false" ht="15" hidden="false" customHeight="true" outlineLevel="0" collapsed="false"/>
    <row r="36922" customFormat="false" ht="15" hidden="false" customHeight="true" outlineLevel="0" collapsed="false"/>
    <row r="36923" customFormat="false" ht="15" hidden="false" customHeight="true" outlineLevel="0" collapsed="false"/>
    <row r="36924" customFormat="false" ht="15" hidden="false" customHeight="true" outlineLevel="0" collapsed="false"/>
    <row r="36925" customFormat="false" ht="15" hidden="false" customHeight="true" outlineLevel="0" collapsed="false"/>
    <row r="36926" customFormat="false" ht="15" hidden="false" customHeight="true" outlineLevel="0" collapsed="false"/>
    <row r="36927" customFormat="false" ht="15" hidden="false" customHeight="true" outlineLevel="0" collapsed="false"/>
    <row r="36928" customFormat="false" ht="15" hidden="false" customHeight="true" outlineLevel="0" collapsed="false"/>
    <row r="36929" customFormat="false" ht="15" hidden="false" customHeight="true" outlineLevel="0" collapsed="false"/>
    <row r="36930" customFormat="false" ht="15" hidden="false" customHeight="true" outlineLevel="0" collapsed="false"/>
    <row r="36931" customFormat="false" ht="15" hidden="false" customHeight="true" outlineLevel="0" collapsed="false"/>
    <row r="36932" customFormat="false" ht="15" hidden="false" customHeight="true" outlineLevel="0" collapsed="false"/>
    <row r="36933" customFormat="false" ht="15" hidden="false" customHeight="true" outlineLevel="0" collapsed="false"/>
    <row r="36934" customFormat="false" ht="15" hidden="false" customHeight="true" outlineLevel="0" collapsed="false"/>
    <row r="36935" customFormat="false" ht="15" hidden="false" customHeight="true" outlineLevel="0" collapsed="false"/>
    <row r="36936" customFormat="false" ht="15" hidden="false" customHeight="true" outlineLevel="0" collapsed="false"/>
    <row r="36937" customFormat="false" ht="15" hidden="false" customHeight="true" outlineLevel="0" collapsed="false"/>
    <row r="36938" customFormat="false" ht="15" hidden="false" customHeight="true" outlineLevel="0" collapsed="false"/>
    <row r="36939" customFormat="false" ht="15" hidden="false" customHeight="true" outlineLevel="0" collapsed="false"/>
    <row r="36940" customFormat="false" ht="15" hidden="false" customHeight="true" outlineLevel="0" collapsed="false"/>
    <row r="36941" customFormat="false" ht="15" hidden="false" customHeight="true" outlineLevel="0" collapsed="false"/>
    <row r="36942" customFormat="false" ht="15" hidden="false" customHeight="true" outlineLevel="0" collapsed="false"/>
    <row r="36943" customFormat="false" ht="15" hidden="false" customHeight="true" outlineLevel="0" collapsed="false"/>
    <row r="36944" customFormat="false" ht="15" hidden="false" customHeight="true" outlineLevel="0" collapsed="false"/>
    <row r="36945" customFormat="false" ht="15" hidden="false" customHeight="true" outlineLevel="0" collapsed="false"/>
    <row r="36946" customFormat="false" ht="15" hidden="false" customHeight="true" outlineLevel="0" collapsed="false"/>
    <row r="36947" customFormat="false" ht="15" hidden="false" customHeight="true" outlineLevel="0" collapsed="false"/>
    <row r="36948" customFormat="false" ht="15" hidden="false" customHeight="true" outlineLevel="0" collapsed="false"/>
    <row r="36949" customFormat="false" ht="15" hidden="false" customHeight="true" outlineLevel="0" collapsed="false"/>
    <row r="36950" customFormat="false" ht="15" hidden="false" customHeight="true" outlineLevel="0" collapsed="false"/>
    <row r="36951" customFormat="false" ht="15" hidden="false" customHeight="true" outlineLevel="0" collapsed="false"/>
    <row r="36952" customFormat="false" ht="15" hidden="false" customHeight="true" outlineLevel="0" collapsed="false"/>
    <row r="36953" customFormat="false" ht="15" hidden="false" customHeight="true" outlineLevel="0" collapsed="false"/>
    <row r="36954" customFormat="false" ht="15" hidden="false" customHeight="true" outlineLevel="0" collapsed="false"/>
    <row r="36955" customFormat="false" ht="15" hidden="false" customHeight="true" outlineLevel="0" collapsed="false"/>
    <row r="36956" customFormat="false" ht="15" hidden="false" customHeight="true" outlineLevel="0" collapsed="false"/>
    <row r="36957" customFormat="false" ht="15" hidden="false" customHeight="true" outlineLevel="0" collapsed="false"/>
    <row r="36958" customFormat="false" ht="15" hidden="false" customHeight="true" outlineLevel="0" collapsed="false"/>
    <row r="36959" customFormat="false" ht="15" hidden="false" customHeight="true" outlineLevel="0" collapsed="false"/>
    <row r="36960" customFormat="false" ht="15" hidden="false" customHeight="true" outlineLevel="0" collapsed="false"/>
    <row r="36961" customFormat="false" ht="15" hidden="false" customHeight="true" outlineLevel="0" collapsed="false"/>
    <row r="36962" customFormat="false" ht="15" hidden="false" customHeight="true" outlineLevel="0" collapsed="false"/>
    <row r="36963" customFormat="false" ht="15" hidden="false" customHeight="true" outlineLevel="0" collapsed="false"/>
    <row r="36964" customFormat="false" ht="15" hidden="false" customHeight="true" outlineLevel="0" collapsed="false"/>
    <row r="36965" customFormat="false" ht="15" hidden="false" customHeight="true" outlineLevel="0" collapsed="false"/>
    <row r="36966" customFormat="false" ht="15" hidden="false" customHeight="true" outlineLevel="0" collapsed="false"/>
    <row r="36967" customFormat="false" ht="15" hidden="false" customHeight="true" outlineLevel="0" collapsed="false"/>
    <row r="36968" customFormat="false" ht="15" hidden="false" customHeight="true" outlineLevel="0" collapsed="false"/>
    <row r="36969" customFormat="false" ht="15" hidden="false" customHeight="true" outlineLevel="0" collapsed="false"/>
    <row r="36970" customFormat="false" ht="15" hidden="false" customHeight="true" outlineLevel="0" collapsed="false"/>
    <row r="36971" customFormat="false" ht="15" hidden="false" customHeight="true" outlineLevel="0" collapsed="false"/>
    <row r="36972" customFormat="false" ht="15" hidden="false" customHeight="true" outlineLevel="0" collapsed="false"/>
    <row r="36973" customFormat="false" ht="15" hidden="false" customHeight="true" outlineLevel="0" collapsed="false"/>
    <row r="36974" customFormat="false" ht="15" hidden="false" customHeight="true" outlineLevel="0" collapsed="false"/>
    <row r="36975" customFormat="false" ht="15" hidden="false" customHeight="true" outlineLevel="0" collapsed="false"/>
    <row r="36976" customFormat="false" ht="15" hidden="false" customHeight="true" outlineLevel="0" collapsed="false"/>
    <row r="36977" customFormat="false" ht="15" hidden="false" customHeight="true" outlineLevel="0" collapsed="false"/>
    <row r="36978" customFormat="false" ht="15" hidden="false" customHeight="true" outlineLevel="0" collapsed="false"/>
    <row r="36979" customFormat="false" ht="15" hidden="false" customHeight="true" outlineLevel="0" collapsed="false"/>
    <row r="36980" customFormat="false" ht="15" hidden="false" customHeight="true" outlineLevel="0" collapsed="false"/>
    <row r="36981" customFormat="false" ht="15" hidden="false" customHeight="true" outlineLevel="0" collapsed="false"/>
    <row r="36982" customFormat="false" ht="15" hidden="false" customHeight="true" outlineLevel="0" collapsed="false"/>
    <row r="36983" customFormat="false" ht="15" hidden="false" customHeight="true" outlineLevel="0" collapsed="false"/>
    <row r="36984" customFormat="false" ht="15" hidden="false" customHeight="true" outlineLevel="0" collapsed="false"/>
    <row r="36985" customFormat="false" ht="15" hidden="false" customHeight="true" outlineLevel="0" collapsed="false"/>
    <row r="36986" customFormat="false" ht="15" hidden="false" customHeight="true" outlineLevel="0" collapsed="false"/>
    <row r="36987" customFormat="false" ht="15" hidden="false" customHeight="true" outlineLevel="0" collapsed="false"/>
    <row r="36988" customFormat="false" ht="15" hidden="false" customHeight="true" outlineLevel="0" collapsed="false"/>
    <row r="36989" customFormat="false" ht="15" hidden="false" customHeight="true" outlineLevel="0" collapsed="false"/>
    <row r="36990" customFormat="false" ht="15" hidden="false" customHeight="true" outlineLevel="0" collapsed="false"/>
    <row r="36991" customFormat="false" ht="15" hidden="false" customHeight="true" outlineLevel="0" collapsed="false"/>
    <row r="36992" customFormat="false" ht="15" hidden="false" customHeight="true" outlineLevel="0" collapsed="false"/>
    <row r="36993" customFormat="false" ht="15" hidden="false" customHeight="true" outlineLevel="0" collapsed="false"/>
    <row r="36994" customFormat="false" ht="15" hidden="false" customHeight="true" outlineLevel="0" collapsed="false"/>
    <row r="36995" customFormat="false" ht="15" hidden="false" customHeight="true" outlineLevel="0" collapsed="false"/>
    <row r="36996" customFormat="false" ht="15" hidden="false" customHeight="true" outlineLevel="0" collapsed="false"/>
    <row r="36997" customFormat="false" ht="15" hidden="false" customHeight="true" outlineLevel="0" collapsed="false"/>
    <row r="36998" customFormat="false" ht="15" hidden="false" customHeight="true" outlineLevel="0" collapsed="false"/>
    <row r="36999" customFormat="false" ht="15" hidden="false" customHeight="true" outlineLevel="0" collapsed="false"/>
    <row r="37000" customFormat="false" ht="15" hidden="false" customHeight="true" outlineLevel="0" collapsed="false"/>
    <row r="37001" customFormat="false" ht="15" hidden="false" customHeight="true" outlineLevel="0" collapsed="false"/>
    <row r="37002" customFormat="false" ht="15" hidden="false" customHeight="true" outlineLevel="0" collapsed="false"/>
    <row r="37003" customFormat="false" ht="15" hidden="false" customHeight="true" outlineLevel="0" collapsed="false"/>
    <row r="37004" customFormat="false" ht="15" hidden="false" customHeight="true" outlineLevel="0" collapsed="false"/>
    <row r="37005" customFormat="false" ht="15" hidden="false" customHeight="true" outlineLevel="0" collapsed="false"/>
    <row r="37006" customFormat="false" ht="15" hidden="false" customHeight="true" outlineLevel="0" collapsed="false"/>
    <row r="37007" customFormat="false" ht="15" hidden="false" customHeight="true" outlineLevel="0" collapsed="false"/>
    <row r="37008" customFormat="false" ht="15" hidden="false" customHeight="true" outlineLevel="0" collapsed="false"/>
    <row r="37009" customFormat="false" ht="15" hidden="false" customHeight="true" outlineLevel="0" collapsed="false"/>
    <row r="37010" customFormat="false" ht="15" hidden="false" customHeight="true" outlineLevel="0" collapsed="false"/>
    <row r="37011" customFormat="false" ht="15" hidden="false" customHeight="true" outlineLevel="0" collapsed="false"/>
    <row r="37012" customFormat="false" ht="15" hidden="false" customHeight="true" outlineLevel="0" collapsed="false"/>
    <row r="37013" customFormat="false" ht="15" hidden="false" customHeight="true" outlineLevel="0" collapsed="false"/>
    <row r="37014" customFormat="false" ht="15" hidden="false" customHeight="true" outlineLevel="0" collapsed="false"/>
    <row r="37015" customFormat="false" ht="15" hidden="false" customHeight="true" outlineLevel="0" collapsed="false"/>
    <row r="37016" customFormat="false" ht="15" hidden="false" customHeight="true" outlineLevel="0" collapsed="false"/>
    <row r="37017" customFormat="false" ht="15" hidden="false" customHeight="true" outlineLevel="0" collapsed="false"/>
    <row r="37018" customFormat="false" ht="15" hidden="false" customHeight="true" outlineLevel="0" collapsed="false"/>
    <row r="37019" customFormat="false" ht="15" hidden="false" customHeight="true" outlineLevel="0" collapsed="false"/>
    <row r="37020" customFormat="false" ht="15" hidden="false" customHeight="true" outlineLevel="0" collapsed="false"/>
    <row r="37021" customFormat="false" ht="15" hidden="false" customHeight="true" outlineLevel="0" collapsed="false"/>
    <row r="37022" customFormat="false" ht="15" hidden="false" customHeight="true" outlineLevel="0" collapsed="false"/>
    <row r="37023" customFormat="false" ht="15" hidden="false" customHeight="true" outlineLevel="0" collapsed="false"/>
    <row r="37024" customFormat="false" ht="15" hidden="false" customHeight="true" outlineLevel="0" collapsed="false"/>
    <row r="37025" customFormat="false" ht="15" hidden="false" customHeight="true" outlineLevel="0" collapsed="false"/>
    <row r="37026" customFormat="false" ht="15" hidden="false" customHeight="true" outlineLevel="0" collapsed="false"/>
    <row r="37027" customFormat="false" ht="15" hidden="false" customHeight="true" outlineLevel="0" collapsed="false"/>
    <row r="37028" customFormat="false" ht="15" hidden="false" customHeight="true" outlineLevel="0" collapsed="false"/>
    <row r="37029" customFormat="false" ht="15" hidden="false" customHeight="true" outlineLevel="0" collapsed="false"/>
    <row r="37030" customFormat="false" ht="15" hidden="false" customHeight="true" outlineLevel="0" collapsed="false"/>
    <row r="37031" customFormat="false" ht="15" hidden="false" customHeight="true" outlineLevel="0" collapsed="false"/>
    <row r="37032" customFormat="false" ht="15" hidden="false" customHeight="true" outlineLevel="0" collapsed="false"/>
    <row r="37033" customFormat="false" ht="15" hidden="false" customHeight="true" outlineLevel="0" collapsed="false"/>
    <row r="37034" customFormat="false" ht="15" hidden="false" customHeight="true" outlineLevel="0" collapsed="false"/>
    <row r="37035" customFormat="false" ht="15" hidden="false" customHeight="true" outlineLevel="0" collapsed="false"/>
    <row r="37036" customFormat="false" ht="15" hidden="false" customHeight="true" outlineLevel="0" collapsed="false"/>
    <row r="37037" customFormat="false" ht="15" hidden="false" customHeight="true" outlineLevel="0" collapsed="false"/>
    <row r="37038" customFormat="false" ht="15" hidden="false" customHeight="true" outlineLevel="0" collapsed="false"/>
    <row r="37039" customFormat="false" ht="15" hidden="false" customHeight="true" outlineLevel="0" collapsed="false"/>
    <row r="37040" customFormat="false" ht="15" hidden="false" customHeight="true" outlineLevel="0" collapsed="false"/>
    <row r="37041" customFormat="false" ht="15" hidden="false" customHeight="true" outlineLevel="0" collapsed="false"/>
    <row r="37042" customFormat="false" ht="15" hidden="false" customHeight="true" outlineLevel="0" collapsed="false"/>
    <row r="37043" customFormat="false" ht="15" hidden="false" customHeight="true" outlineLevel="0" collapsed="false"/>
    <row r="37044" customFormat="false" ht="15" hidden="false" customHeight="true" outlineLevel="0" collapsed="false"/>
    <row r="37045" customFormat="false" ht="15" hidden="false" customHeight="true" outlineLevel="0" collapsed="false"/>
    <row r="37046" customFormat="false" ht="15" hidden="false" customHeight="true" outlineLevel="0" collapsed="false"/>
    <row r="37047" customFormat="false" ht="15" hidden="false" customHeight="true" outlineLevel="0" collapsed="false"/>
    <row r="37048" customFormat="false" ht="15" hidden="false" customHeight="true" outlineLevel="0" collapsed="false"/>
    <row r="37049" customFormat="false" ht="15" hidden="false" customHeight="true" outlineLevel="0" collapsed="false"/>
    <row r="37050" customFormat="false" ht="15" hidden="false" customHeight="true" outlineLevel="0" collapsed="false"/>
    <row r="37051" customFormat="false" ht="15" hidden="false" customHeight="true" outlineLevel="0" collapsed="false"/>
    <row r="37052" customFormat="false" ht="15" hidden="false" customHeight="true" outlineLevel="0" collapsed="false"/>
    <row r="37053" customFormat="false" ht="15" hidden="false" customHeight="true" outlineLevel="0" collapsed="false"/>
    <row r="37054" customFormat="false" ht="15" hidden="false" customHeight="true" outlineLevel="0" collapsed="false"/>
    <row r="37055" customFormat="false" ht="15" hidden="false" customHeight="true" outlineLevel="0" collapsed="false"/>
    <row r="37056" customFormat="false" ht="15" hidden="false" customHeight="true" outlineLevel="0" collapsed="false"/>
    <row r="37057" customFormat="false" ht="15" hidden="false" customHeight="true" outlineLevel="0" collapsed="false"/>
    <row r="37058" customFormat="false" ht="15" hidden="false" customHeight="true" outlineLevel="0" collapsed="false"/>
    <row r="37059" customFormat="false" ht="15" hidden="false" customHeight="true" outlineLevel="0" collapsed="false"/>
    <row r="37060" customFormat="false" ht="15" hidden="false" customHeight="true" outlineLevel="0" collapsed="false"/>
    <row r="37061" customFormat="false" ht="15" hidden="false" customHeight="true" outlineLevel="0" collapsed="false"/>
    <row r="37062" customFormat="false" ht="15" hidden="false" customHeight="true" outlineLevel="0" collapsed="false"/>
    <row r="37063" customFormat="false" ht="15" hidden="false" customHeight="true" outlineLevel="0" collapsed="false"/>
    <row r="37064" customFormat="false" ht="15" hidden="false" customHeight="true" outlineLevel="0" collapsed="false"/>
    <row r="37065" customFormat="false" ht="15" hidden="false" customHeight="true" outlineLevel="0" collapsed="false"/>
    <row r="37066" customFormat="false" ht="15" hidden="false" customHeight="true" outlineLevel="0" collapsed="false"/>
    <row r="37067" customFormat="false" ht="15" hidden="false" customHeight="true" outlineLevel="0" collapsed="false"/>
    <row r="37068" customFormat="false" ht="15" hidden="false" customHeight="true" outlineLevel="0" collapsed="false"/>
    <row r="37069" customFormat="false" ht="15" hidden="false" customHeight="true" outlineLevel="0" collapsed="false"/>
    <row r="37070" customFormat="false" ht="15" hidden="false" customHeight="true" outlineLevel="0" collapsed="false"/>
    <row r="37071" customFormat="false" ht="15" hidden="false" customHeight="true" outlineLevel="0" collapsed="false"/>
    <row r="37072" customFormat="false" ht="15" hidden="false" customHeight="true" outlineLevel="0" collapsed="false"/>
    <row r="37073" customFormat="false" ht="15" hidden="false" customHeight="true" outlineLevel="0" collapsed="false"/>
    <row r="37074" customFormat="false" ht="15" hidden="false" customHeight="true" outlineLevel="0" collapsed="false"/>
    <row r="37075" customFormat="false" ht="15" hidden="false" customHeight="true" outlineLevel="0" collapsed="false"/>
    <row r="37076" customFormat="false" ht="15" hidden="false" customHeight="true" outlineLevel="0" collapsed="false"/>
    <row r="37077" customFormat="false" ht="15" hidden="false" customHeight="true" outlineLevel="0" collapsed="false"/>
    <row r="37078" customFormat="false" ht="15" hidden="false" customHeight="true" outlineLevel="0" collapsed="false"/>
    <row r="37079" customFormat="false" ht="15" hidden="false" customHeight="true" outlineLevel="0" collapsed="false"/>
    <row r="37080" customFormat="false" ht="15" hidden="false" customHeight="true" outlineLevel="0" collapsed="false"/>
    <row r="37081" customFormat="false" ht="15" hidden="false" customHeight="true" outlineLevel="0" collapsed="false"/>
    <row r="37082" customFormat="false" ht="15" hidden="false" customHeight="true" outlineLevel="0" collapsed="false"/>
    <row r="37083" customFormat="false" ht="15" hidden="false" customHeight="true" outlineLevel="0" collapsed="false"/>
    <row r="37084" customFormat="false" ht="15" hidden="false" customHeight="true" outlineLevel="0" collapsed="false"/>
    <row r="37085" customFormat="false" ht="15" hidden="false" customHeight="true" outlineLevel="0" collapsed="false"/>
    <row r="37086" customFormat="false" ht="15" hidden="false" customHeight="true" outlineLevel="0" collapsed="false"/>
    <row r="37087" customFormat="false" ht="15" hidden="false" customHeight="true" outlineLevel="0" collapsed="false"/>
    <row r="37088" customFormat="false" ht="15" hidden="false" customHeight="true" outlineLevel="0" collapsed="false"/>
    <row r="37089" customFormat="false" ht="15" hidden="false" customHeight="true" outlineLevel="0" collapsed="false"/>
    <row r="37090" customFormat="false" ht="15" hidden="false" customHeight="true" outlineLevel="0" collapsed="false"/>
    <row r="37091" customFormat="false" ht="15" hidden="false" customHeight="true" outlineLevel="0" collapsed="false"/>
    <row r="37092" customFormat="false" ht="15" hidden="false" customHeight="true" outlineLevel="0" collapsed="false"/>
    <row r="37093" customFormat="false" ht="15" hidden="false" customHeight="true" outlineLevel="0" collapsed="false"/>
    <row r="37094" customFormat="false" ht="15" hidden="false" customHeight="true" outlineLevel="0" collapsed="false"/>
    <row r="37095" customFormat="false" ht="15" hidden="false" customHeight="true" outlineLevel="0" collapsed="false"/>
    <row r="37096" customFormat="false" ht="15" hidden="false" customHeight="true" outlineLevel="0" collapsed="false"/>
    <row r="37097" customFormat="false" ht="15" hidden="false" customHeight="true" outlineLevel="0" collapsed="false"/>
    <row r="37098" customFormat="false" ht="15" hidden="false" customHeight="true" outlineLevel="0" collapsed="false"/>
    <row r="37099" customFormat="false" ht="15" hidden="false" customHeight="true" outlineLevel="0" collapsed="false"/>
    <row r="37100" customFormat="false" ht="15" hidden="false" customHeight="true" outlineLevel="0" collapsed="false"/>
    <row r="37101" customFormat="false" ht="15" hidden="false" customHeight="true" outlineLevel="0" collapsed="false"/>
    <row r="37102" customFormat="false" ht="15" hidden="false" customHeight="true" outlineLevel="0" collapsed="false"/>
    <row r="37103" customFormat="false" ht="15" hidden="false" customHeight="true" outlineLevel="0" collapsed="false"/>
    <row r="37104" customFormat="false" ht="15" hidden="false" customHeight="true" outlineLevel="0" collapsed="false"/>
    <row r="37105" customFormat="false" ht="15" hidden="false" customHeight="true" outlineLevel="0" collapsed="false"/>
    <row r="37106" customFormat="false" ht="15" hidden="false" customHeight="true" outlineLevel="0" collapsed="false"/>
    <row r="37107" customFormat="false" ht="15" hidden="false" customHeight="true" outlineLevel="0" collapsed="false"/>
    <row r="37108" customFormat="false" ht="15" hidden="false" customHeight="true" outlineLevel="0" collapsed="false"/>
    <row r="37109" customFormat="false" ht="15" hidden="false" customHeight="true" outlineLevel="0" collapsed="false"/>
    <row r="37110" customFormat="false" ht="15" hidden="false" customHeight="true" outlineLevel="0" collapsed="false"/>
    <row r="37111" customFormat="false" ht="15" hidden="false" customHeight="true" outlineLevel="0" collapsed="false"/>
    <row r="37112" customFormat="false" ht="15" hidden="false" customHeight="true" outlineLevel="0" collapsed="false"/>
    <row r="37113" customFormat="false" ht="15" hidden="false" customHeight="true" outlineLevel="0" collapsed="false"/>
    <row r="37114" customFormat="false" ht="15" hidden="false" customHeight="true" outlineLevel="0" collapsed="false"/>
    <row r="37115" customFormat="false" ht="15" hidden="false" customHeight="true" outlineLevel="0" collapsed="false"/>
    <row r="37116" customFormat="false" ht="15" hidden="false" customHeight="true" outlineLevel="0" collapsed="false"/>
    <row r="37117" customFormat="false" ht="15" hidden="false" customHeight="true" outlineLevel="0" collapsed="false"/>
    <row r="37118" customFormat="false" ht="15" hidden="false" customHeight="true" outlineLevel="0" collapsed="false"/>
    <row r="37119" customFormat="false" ht="15" hidden="false" customHeight="true" outlineLevel="0" collapsed="false"/>
    <row r="37120" customFormat="false" ht="15" hidden="false" customHeight="true" outlineLevel="0" collapsed="false"/>
    <row r="37121" customFormat="false" ht="15" hidden="false" customHeight="true" outlineLevel="0" collapsed="false"/>
    <row r="37122" customFormat="false" ht="15" hidden="false" customHeight="true" outlineLevel="0" collapsed="false"/>
    <row r="37123" customFormat="false" ht="15" hidden="false" customHeight="true" outlineLevel="0" collapsed="false"/>
    <row r="37124" customFormat="false" ht="15" hidden="false" customHeight="true" outlineLevel="0" collapsed="false"/>
    <row r="37125" customFormat="false" ht="15" hidden="false" customHeight="true" outlineLevel="0" collapsed="false"/>
    <row r="37126" customFormat="false" ht="15" hidden="false" customHeight="true" outlineLevel="0" collapsed="false"/>
    <row r="37127" customFormat="false" ht="15" hidden="false" customHeight="true" outlineLevel="0" collapsed="false"/>
    <row r="37128" customFormat="false" ht="15" hidden="false" customHeight="true" outlineLevel="0" collapsed="false"/>
    <row r="37129" customFormat="false" ht="15" hidden="false" customHeight="true" outlineLevel="0" collapsed="false"/>
    <row r="37130" customFormat="false" ht="15" hidden="false" customHeight="true" outlineLevel="0" collapsed="false"/>
    <row r="37131" customFormat="false" ht="15" hidden="false" customHeight="true" outlineLevel="0" collapsed="false"/>
    <row r="37132" customFormat="false" ht="15" hidden="false" customHeight="true" outlineLevel="0" collapsed="false"/>
    <row r="37133" customFormat="false" ht="15" hidden="false" customHeight="true" outlineLevel="0" collapsed="false"/>
    <row r="37134" customFormat="false" ht="15" hidden="false" customHeight="true" outlineLevel="0" collapsed="false"/>
    <row r="37135" customFormat="false" ht="15" hidden="false" customHeight="true" outlineLevel="0" collapsed="false"/>
    <row r="37136" customFormat="false" ht="15" hidden="false" customHeight="true" outlineLevel="0" collapsed="false"/>
    <row r="37137" customFormat="false" ht="15" hidden="false" customHeight="true" outlineLevel="0" collapsed="false"/>
    <row r="37138" customFormat="false" ht="15" hidden="false" customHeight="true" outlineLevel="0" collapsed="false"/>
    <row r="37139" customFormat="false" ht="15" hidden="false" customHeight="true" outlineLevel="0" collapsed="false"/>
    <row r="37140" customFormat="false" ht="15" hidden="false" customHeight="true" outlineLevel="0" collapsed="false"/>
    <row r="37141" customFormat="false" ht="15" hidden="false" customHeight="true" outlineLevel="0" collapsed="false"/>
    <row r="37142" customFormat="false" ht="15" hidden="false" customHeight="true" outlineLevel="0" collapsed="false"/>
    <row r="37143" customFormat="false" ht="15" hidden="false" customHeight="true" outlineLevel="0" collapsed="false"/>
    <row r="37144" customFormat="false" ht="15" hidden="false" customHeight="true" outlineLevel="0" collapsed="false"/>
    <row r="37145" customFormat="false" ht="15" hidden="false" customHeight="true" outlineLevel="0" collapsed="false"/>
    <row r="37146" customFormat="false" ht="15" hidden="false" customHeight="true" outlineLevel="0" collapsed="false"/>
    <row r="37147" customFormat="false" ht="15" hidden="false" customHeight="true" outlineLevel="0" collapsed="false"/>
    <row r="37148" customFormat="false" ht="15" hidden="false" customHeight="true" outlineLevel="0" collapsed="false"/>
    <row r="37149" customFormat="false" ht="15" hidden="false" customHeight="true" outlineLevel="0" collapsed="false"/>
    <row r="37150" customFormat="false" ht="15" hidden="false" customHeight="true" outlineLevel="0" collapsed="false"/>
    <row r="37151" customFormat="false" ht="15" hidden="false" customHeight="true" outlineLevel="0" collapsed="false"/>
    <row r="37152" customFormat="false" ht="15" hidden="false" customHeight="true" outlineLevel="0" collapsed="false"/>
    <row r="37153" customFormat="false" ht="15" hidden="false" customHeight="true" outlineLevel="0" collapsed="false"/>
    <row r="37154" customFormat="false" ht="15" hidden="false" customHeight="true" outlineLevel="0" collapsed="false"/>
    <row r="37155" customFormat="false" ht="15" hidden="false" customHeight="true" outlineLevel="0" collapsed="false"/>
    <row r="37156" customFormat="false" ht="15" hidden="false" customHeight="true" outlineLevel="0" collapsed="false"/>
    <row r="37157" customFormat="false" ht="15" hidden="false" customHeight="true" outlineLevel="0" collapsed="false"/>
    <row r="37158" customFormat="false" ht="15" hidden="false" customHeight="true" outlineLevel="0" collapsed="false"/>
    <row r="37159" customFormat="false" ht="15" hidden="false" customHeight="true" outlineLevel="0" collapsed="false"/>
    <row r="37160" customFormat="false" ht="15" hidden="false" customHeight="true" outlineLevel="0" collapsed="false"/>
    <row r="37161" customFormat="false" ht="15" hidden="false" customHeight="true" outlineLevel="0" collapsed="false"/>
    <row r="37162" customFormat="false" ht="15" hidden="false" customHeight="true" outlineLevel="0" collapsed="false"/>
    <row r="37163" customFormat="false" ht="15" hidden="false" customHeight="true" outlineLevel="0" collapsed="false"/>
    <row r="37164" customFormat="false" ht="15" hidden="false" customHeight="true" outlineLevel="0" collapsed="false"/>
    <row r="37165" customFormat="false" ht="15" hidden="false" customHeight="true" outlineLevel="0" collapsed="false"/>
    <row r="37166" customFormat="false" ht="15" hidden="false" customHeight="true" outlineLevel="0" collapsed="false"/>
    <row r="37167" customFormat="false" ht="15" hidden="false" customHeight="true" outlineLevel="0" collapsed="false"/>
    <row r="37168" customFormat="false" ht="15" hidden="false" customHeight="true" outlineLevel="0" collapsed="false"/>
    <row r="37169" customFormat="false" ht="15" hidden="false" customHeight="true" outlineLevel="0" collapsed="false"/>
    <row r="37170" customFormat="false" ht="15" hidden="false" customHeight="true" outlineLevel="0" collapsed="false"/>
    <row r="37171" customFormat="false" ht="15" hidden="false" customHeight="true" outlineLevel="0" collapsed="false"/>
    <row r="37172" customFormat="false" ht="15" hidden="false" customHeight="true" outlineLevel="0" collapsed="false"/>
    <row r="37173" customFormat="false" ht="15" hidden="false" customHeight="true" outlineLevel="0" collapsed="false"/>
    <row r="37174" customFormat="false" ht="15" hidden="false" customHeight="true" outlineLevel="0" collapsed="false"/>
    <row r="37175" customFormat="false" ht="15" hidden="false" customHeight="true" outlineLevel="0" collapsed="false"/>
    <row r="37176" customFormat="false" ht="15" hidden="false" customHeight="true" outlineLevel="0" collapsed="false"/>
    <row r="37177" customFormat="false" ht="15" hidden="false" customHeight="true" outlineLevel="0" collapsed="false"/>
    <row r="37178" customFormat="false" ht="15" hidden="false" customHeight="true" outlineLevel="0" collapsed="false"/>
    <row r="37179" customFormat="false" ht="15" hidden="false" customHeight="true" outlineLevel="0" collapsed="false"/>
    <row r="37180" customFormat="false" ht="15" hidden="false" customHeight="true" outlineLevel="0" collapsed="false"/>
    <row r="37181" customFormat="false" ht="15" hidden="false" customHeight="true" outlineLevel="0" collapsed="false"/>
    <row r="37182" customFormat="false" ht="15" hidden="false" customHeight="true" outlineLevel="0" collapsed="false"/>
    <row r="37183" customFormat="false" ht="15" hidden="false" customHeight="true" outlineLevel="0" collapsed="false"/>
    <row r="37184" customFormat="false" ht="15" hidden="false" customHeight="true" outlineLevel="0" collapsed="false"/>
    <row r="37185" customFormat="false" ht="15" hidden="false" customHeight="true" outlineLevel="0" collapsed="false"/>
    <row r="37186" customFormat="false" ht="15" hidden="false" customHeight="true" outlineLevel="0" collapsed="false"/>
    <row r="37187" customFormat="false" ht="15" hidden="false" customHeight="true" outlineLevel="0" collapsed="false"/>
    <row r="37188" customFormat="false" ht="15" hidden="false" customHeight="true" outlineLevel="0" collapsed="false"/>
    <row r="37189" customFormat="false" ht="15" hidden="false" customHeight="true" outlineLevel="0" collapsed="false"/>
    <row r="37190" customFormat="false" ht="15" hidden="false" customHeight="true" outlineLevel="0" collapsed="false"/>
    <row r="37191" customFormat="false" ht="15" hidden="false" customHeight="true" outlineLevel="0" collapsed="false"/>
    <row r="37192" customFormat="false" ht="15" hidden="false" customHeight="true" outlineLevel="0" collapsed="false"/>
    <row r="37193" customFormat="false" ht="15" hidden="false" customHeight="true" outlineLevel="0" collapsed="false"/>
    <row r="37194" customFormat="false" ht="15" hidden="false" customHeight="true" outlineLevel="0" collapsed="false"/>
    <row r="37195" customFormat="false" ht="15" hidden="false" customHeight="true" outlineLevel="0" collapsed="false"/>
    <row r="37196" customFormat="false" ht="15" hidden="false" customHeight="true" outlineLevel="0" collapsed="false"/>
    <row r="37197" customFormat="false" ht="15" hidden="false" customHeight="true" outlineLevel="0" collapsed="false"/>
    <row r="37198" customFormat="false" ht="15" hidden="false" customHeight="true" outlineLevel="0" collapsed="false"/>
    <row r="37199" customFormat="false" ht="15" hidden="false" customHeight="true" outlineLevel="0" collapsed="false"/>
    <row r="37200" customFormat="false" ht="15" hidden="false" customHeight="true" outlineLevel="0" collapsed="false"/>
    <row r="37201" customFormat="false" ht="15" hidden="false" customHeight="true" outlineLevel="0" collapsed="false"/>
    <row r="37202" customFormat="false" ht="15" hidden="false" customHeight="true" outlineLevel="0" collapsed="false"/>
    <row r="37203" customFormat="false" ht="15" hidden="false" customHeight="true" outlineLevel="0" collapsed="false"/>
    <row r="37204" customFormat="false" ht="15" hidden="false" customHeight="true" outlineLevel="0" collapsed="false"/>
    <row r="37205" customFormat="false" ht="15" hidden="false" customHeight="true" outlineLevel="0" collapsed="false"/>
    <row r="37206" customFormat="false" ht="15" hidden="false" customHeight="true" outlineLevel="0" collapsed="false"/>
    <row r="37207" customFormat="false" ht="15" hidden="false" customHeight="true" outlineLevel="0" collapsed="false"/>
    <row r="37208" customFormat="false" ht="15" hidden="false" customHeight="true" outlineLevel="0" collapsed="false"/>
    <row r="37209" customFormat="false" ht="15" hidden="false" customHeight="true" outlineLevel="0" collapsed="false"/>
    <row r="37210" customFormat="false" ht="15" hidden="false" customHeight="true" outlineLevel="0" collapsed="false"/>
    <row r="37211" customFormat="false" ht="15" hidden="false" customHeight="true" outlineLevel="0" collapsed="false"/>
    <row r="37212" customFormat="false" ht="15" hidden="false" customHeight="true" outlineLevel="0" collapsed="false"/>
    <row r="37213" customFormat="false" ht="15" hidden="false" customHeight="true" outlineLevel="0" collapsed="false"/>
    <row r="37214" customFormat="false" ht="15" hidden="false" customHeight="true" outlineLevel="0" collapsed="false"/>
    <row r="37215" customFormat="false" ht="15" hidden="false" customHeight="true" outlineLevel="0" collapsed="false"/>
    <row r="37216" customFormat="false" ht="15" hidden="false" customHeight="true" outlineLevel="0" collapsed="false"/>
    <row r="37217" customFormat="false" ht="15" hidden="false" customHeight="true" outlineLevel="0" collapsed="false"/>
    <row r="37218" customFormat="false" ht="15" hidden="false" customHeight="true" outlineLevel="0" collapsed="false"/>
    <row r="37219" customFormat="false" ht="15" hidden="false" customHeight="true" outlineLevel="0" collapsed="false"/>
    <row r="37220" customFormat="false" ht="15" hidden="false" customHeight="true" outlineLevel="0" collapsed="false"/>
    <row r="37221" customFormat="false" ht="15" hidden="false" customHeight="true" outlineLevel="0" collapsed="false"/>
    <row r="37222" customFormat="false" ht="15" hidden="false" customHeight="true" outlineLevel="0" collapsed="false"/>
    <row r="37223" customFormat="false" ht="15" hidden="false" customHeight="true" outlineLevel="0" collapsed="false"/>
    <row r="37224" customFormat="false" ht="15" hidden="false" customHeight="true" outlineLevel="0" collapsed="false"/>
    <row r="37225" customFormat="false" ht="15" hidden="false" customHeight="true" outlineLevel="0" collapsed="false"/>
    <row r="37226" customFormat="false" ht="15" hidden="false" customHeight="true" outlineLevel="0" collapsed="false"/>
    <row r="37227" customFormat="false" ht="15" hidden="false" customHeight="true" outlineLevel="0" collapsed="false"/>
    <row r="37228" customFormat="false" ht="15" hidden="false" customHeight="true" outlineLevel="0" collapsed="false"/>
    <row r="37229" customFormat="false" ht="15" hidden="false" customHeight="true" outlineLevel="0" collapsed="false"/>
    <row r="37230" customFormat="false" ht="15" hidden="false" customHeight="true" outlineLevel="0" collapsed="false"/>
    <row r="37231" customFormat="false" ht="15" hidden="false" customHeight="true" outlineLevel="0" collapsed="false"/>
    <row r="37232" customFormat="false" ht="15" hidden="false" customHeight="true" outlineLevel="0" collapsed="false"/>
    <row r="37233" customFormat="false" ht="15" hidden="false" customHeight="true" outlineLevel="0" collapsed="false"/>
    <row r="37234" customFormat="false" ht="15" hidden="false" customHeight="true" outlineLevel="0" collapsed="false"/>
    <row r="37235" customFormat="false" ht="15" hidden="false" customHeight="true" outlineLevel="0" collapsed="false"/>
    <row r="37236" customFormat="false" ht="15" hidden="false" customHeight="true" outlineLevel="0" collapsed="false"/>
    <row r="37237" customFormat="false" ht="15" hidden="false" customHeight="true" outlineLevel="0" collapsed="false"/>
    <row r="37238" customFormat="false" ht="15" hidden="false" customHeight="true" outlineLevel="0" collapsed="false"/>
    <row r="37239" customFormat="false" ht="15" hidden="false" customHeight="true" outlineLevel="0" collapsed="false"/>
    <row r="37240" customFormat="false" ht="15" hidden="false" customHeight="true" outlineLevel="0" collapsed="false"/>
    <row r="37241" customFormat="false" ht="15" hidden="false" customHeight="true" outlineLevel="0" collapsed="false"/>
    <row r="37242" customFormat="false" ht="15" hidden="false" customHeight="true" outlineLevel="0" collapsed="false"/>
    <row r="37243" customFormat="false" ht="15" hidden="false" customHeight="true" outlineLevel="0" collapsed="false"/>
    <row r="37244" customFormat="false" ht="15" hidden="false" customHeight="true" outlineLevel="0" collapsed="false"/>
    <row r="37245" customFormat="false" ht="15" hidden="false" customHeight="true" outlineLevel="0" collapsed="false"/>
    <row r="37246" customFormat="false" ht="15" hidden="false" customHeight="true" outlineLevel="0" collapsed="false"/>
    <row r="37247" customFormat="false" ht="15" hidden="false" customHeight="true" outlineLevel="0" collapsed="false"/>
    <row r="37248" customFormat="false" ht="15" hidden="false" customHeight="true" outlineLevel="0" collapsed="false"/>
    <row r="37249" customFormat="false" ht="15" hidden="false" customHeight="true" outlineLevel="0" collapsed="false"/>
    <row r="37250" customFormat="false" ht="15" hidden="false" customHeight="true" outlineLevel="0" collapsed="false"/>
    <row r="37251" customFormat="false" ht="15" hidden="false" customHeight="true" outlineLevel="0" collapsed="false"/>
    <row r="37252" customFormat="false" ht="15" hidden="false" customHeight="true" outlineLevel="0" collapsed="false"/>
    <row r="37253" customFormat="false" ht="15" hidden="false" customHeight="true" outlineLevel="0" collapsed="false"/>
    <row r="37254" customFormat="false" ht="15" hidden="false" customHeight="true" outlineLevel="0" collapsed="false"/>
    <row r="37255" customFormat="false" ht="15" hidden="false" customHeight="true" outlineLevel="0" collapsed="false"/>
    <row r="37256" customFormat="false" ht="15" hidden="false" customHeight="true" outlineLevel="0" collapsed="false"/>
    <row r="37257" customFormat="false" ht="15" hidden="false" customHeight="true" outlineLevel="0" collapsed="false"/>
    <row r="37258" customFormat="false" ht="15" hidden="false" customHeight="true" outlineLevel="0" collapsed="false"/>
    <row r="37259" customFormat="false" ht="15" hidden="false" customHeight="true" outlineLevel="0" collapsed="false"/>
    <row r="37260" customFormat="false" ht="15" hidden="false" customHeight="true" outlineLevel="0" collapsed="false"/>
    <row r="37261" customFormat="false" ht="15" hidden="false" customHeight="true" outlineLevel="0" collapsed="false"/>
    <row r="37262" customFormat="false" ht="15" hidden="false" customHeight="true" outlineLevel="0" collapsed="false"/>
    <row r="37263" customFormat="false" ht="15" hidden="false" customHeight="true" outlineLevel="0" collapsed="false"/>
    <row r="37264" customFormat="false" ht="15" hidden="false" customHeight="true" outlineLevel="0" collapsed="false"/>
    <row r="37265" customFormat="false" ht="15" hidden="false" customHeight="true" outlineLevel="0" collapsed="false"/>
    <row r="37266" customFormat="false" ht="15" hidden="false" customHeight="true" outlineLevel="0" collapsed="false"/>
    <row r="37267" customFormat="false" ht="15" hidden="false" customHeight="true" outlineLevel="0" collapsed="false"/>
    <row r="37268" customFormat="false" ht="15" hidden="false" customHeight="true" outlineLevel="0" collapsed="false"/>
    <row r="37269" customFormat="false" ht="15" hidden="false" customHeight="true" outlineLevel="0" collapsed="false"/>
    <row r="37270" customFormat="false" ht="15" hidden="false" customHeight="true" outlineLevel="0" collapsed="false"/>
    <row r="37271" customFormat="false" ht="15" hidden="false" customHeight="true" outlineLevel="0" collapsed="false"/>
    <row r="37272" customFormat="false" ht="15" hidden="false" customHeight="true" outlineLevel="0" collapsed="false"/>
    <row r="37273" customFormat="false" ht="15" hidden="false" customHeight="true" outlineLevel="0" collapsed="false"/>
    <row r="37274" customFormat="false" ht="15" hidden="false" customHeight="true" outlineLevel="0" collapsed="false"/>
    <row r="37275" customFormat="false" ht="15" hidden="false" customHeight="true" outlineLevel="0" collapsed="false"/>
    <row r="37276" customFormat="false" ht="15" hidden="false" customHeight="true" outlineLevel="0" collapsed="false"/>
    <row r="37277" customFormat="false" ht="15" hidden="false" customHeight="true" outlineLevel="0" collapsed="false"/>
    <row r="37278" customFormat="false" ht="15" hidden="false" customHeight="true" outlineLevel="0" collapsed="false"/>
    <row r="37279" customFormat="false" ht="15" hidden="false" customHeight="true" outlineLevel="0" collapsed="false"/>
    <row r="37280" customFormat="false" ht="15" hidden="false" customHeight="true" outlineLevel="0" collapsed="false"/>
    <row r="37281" customFormat="false" ht="15" hidden="false" customHeight="true" outlineLevel="0" collapsed="false"/>
    <row r="37282" customFormat="false" ht="15" hidden="false" customHeight="true" outlineLevel="0" collapsed="false"/>
    <row r="37283" customFormat="false" ht="15" hidden="false" customHeight="true" outlineLevel="0" collapsed="false"/>
    <row r="37284" customFormat="false" ht="15" hidden="false" customHeight="true" outlineLevel="0" collapsed="false"/>
    <row r="37285" customFormat="false" ht="15" hidden="false" customHeight="true" outlineLevel="0" collapsed="false"/>
    <row r="37286" customFormat="false" ht="15" hidden="false" customHeight="true" outlineLevel="0" collapsed="false"/>
    <row r="37287" customFormat="false" ht="15" hidden="false" customHeight="true" outlineLevel="0" collapsed="false"/>
    <row r="37288" customFormat="false" ht="15" hidden="false" customHeight="true" outlineLevel="0" collapsed="false"/>
    <row r="37289" customFormat="false" ht="15" hidden="false" customHeight="true" outlineLevel="0" collapsed="false"/>
    <row r="37290" customFormat="false" ht="15" hidden="false" customHeight="true" outlineLevel="0" collapsed="false"/>
    <row r="37291" customFormat="false" ht="15" hidden="false" customHeight="true" outlineLevel="0" collapsed="false"/>
    <row r="37292" customFormat="false" ht="15" hidden="false" customHeight="true" outlineLevel="0" collapsed="false"/>
    <row r="37293" customFormat="false" ht="15" hidden="false" customHeight="true" outlineLevel="0" collapsed="false"/>
    <row r="37294" customFormat="false" ht="15" hidden="false" customHeight="true" outlineLevel="0" collapsed="false"/>
    <row r="37295" customFormat="false" ht="15" hidden="false" customHeight="true" outlineLevel="0" collapsed="false"/>
    <row r="37296" customFormat="false" ht="15" hidden="false" customHeight="true" outlineLevel="0" collapsed="false"/>
    <row r="37297" customFormat="false" ht="15" hidden="false" customHeight="true" outlineLevel="0" collapsed="false"/>
    <row r="37298" customFormat="false" ht="15" hidden="false" customHeight="true" outlineLevel="0" collapsed="false"/>
    <row r="37299" customFormat="false" ht="15" hidden="false" customHeight="true" outlineLevel="0" collapsed="false"/>
    <row r="37300" customFormat="false" ht="15" hidden="false" customHeight="true" outlineLevel="0" collapsed="false"/>
    <row r="37301" customFormat="false" ht="15" hidden="false" customHeight="true" outlineLevel="0" collapsed="false"/>
    <row r="37302" customFormat="false" ht="15" hidden="false" customHeight="true" outlineLevel="0" collapsed="false"/>
    <row r="37303" customFormat="false" ht="15" hidden="false" customHeight="true" outlineLevel="0" collapsed="false"/>
    <row r="37304" customFormat="false" ht="15" hidden="false" customHeight="true" outlineLevel="0" collapsed="false"/>
    <row r="37305" customFormat="false" ht="15" hidden="false" customHeight="true" outlineLevel="0" collapsed="false"/>
    <row r="37306" customFormat="false" ht="15" hidden="false" customHeight="true" outlineLevel="0" collapsed="false"/>
    <row r="37307" customFormat="false" ht="15" hidden="false" customHeight="true" outlineLevel="0" collapsed="false"/>
    <row r="37308" customFormat="false" ht="15" hidden="false" customHeight="true" outlineLevel="0" collapsed="false"/>
    <row r="37309" customFormat="false" ht="15" hidden="false" customHeight="true" outlineLevel="0" collapsed="false"/>
    <row r="37310" customFormat="false" ht="15" hidden="false" customHeight="true" outlineLevel="0" collapsed="false"/>
    <row r="37311" customFormat="false" ht="15" hidden="false" customHeight="true" outlineLevel="0" collapsed="false"/>
    <row r="37312" customFormat="false" ht="15" hidden="false" customHeight="true" outlineLevel="0" collapsed="false"/>
    <row r="37313" customFormat="false" ht="15" hidden="false" customHeight="true" outlineLevel="0" collapsed="false"/>
    <row r="37314" customFormat="false" ht="15" hidden="false" customHeight="true" outlineLevel="0" collapsed="false"/>
    <row r="37315" customFormat="false" ht="15" hidden="false" customHeight="true" outlineLevel="0" collapsed="false"/>
    <row r="37316" customFormat="false" ht="15" hidden="false" customHeight="true" outlineLevel="0" collapsed="false"/>
    <row r="37317" customFormat="false" ht="15" hidden="false" customHeight="true" outlineLevel="0" collapsed="false"/>
    <row r="37318" customFormat="false" ht="15" hidden="false" customHeight="true" outlineLevel="0" collapsed="false"/>
    <row r="37319" customFormat="false" ht="15" hidden="false" customHeight="true" outlineLevel="0" collapsed="false"/>
    <row r="37320" customFormat="false" ht="15" hidden="false" customHeight="true" outlineLevel="0" collapsed="false"/>
    <row r="37321" customFormat="false" ht="15" hidden="false" customHeight="true" outlineLevel="0" collapsed="false"/>
    <row r="37322" customFormat="false" ht="15" hidden="false" customHeight="true" outlineLevel="0" collapsed="false"/>
    <row r="37323" customFormat="false" ht="15" hidden="false" customHeight="true" outlineLevel="0" collapsed="false"/>
    <row r="37324" customFormat="false" ht="15" hidden="false" customHeight="true" outlineLevel="0" collapsed="false"/>
    <row r="37325" customFormat="false" ht="15" hidden="false" customHeight="true" outlineLevel="0" collapsed="false"/>
    <row r="37326" customFormat="false" ht="15" hidden="false" customHeight="true" outlineLevel="0" collapsed="false"/>
    <row r="37327" customFormat="false" ht="15" hidden="false" customHeight="true" outlineLevel="0" collapsed="false"/>
    <row r="37328" customFormat="false" ht="15" hidden="false" customHeight="true" outlineLevel="0" collapsed="false"/>
    <row r="37329" customFormat="false" ht="15" hidden="false" customHeight="true" outlineLevel="0" collapsed="false"/>
    <row r="37330" customFormat="false" ht="15" hidden="false" customHeight="true" outlineLevel="0" collapsed="false"/>
    <row r="37331" customFormat="false" ht="15" hidden="false" customHeight="true" outlineLevel="0" collapsed="false"/>
    <row r="37332" customFormat="false" ht="15" hidden="false" customHeight="true" outlineLevel="0" collapsed="false"/>
    <row r="37333" customFormat="false" ht="15" hidden="false" customHeight="true" outlineLevel="0" collapsed="false"/>
    <row r="37334" customFormat="false" ht="15" hidden="false" customHeight="true" outlineLevel="0" collapsed="false"/>
    <row r="37335" customFormat="false" ht="15" hidden="false" customHeight="true" outlineLevel="0" collapsed="false"/>
    <row r="37336" customFormat="false" ht="15" hidden="false" customHeight="true" outlineLevel="0" collapsed="false"/>
    <row r="37337" customFormat="false" ht="15" hidden="false" customHeight="true" outlineLevel="0" collapsed="false"/>
    <row r="37338" customFormat="false" ht="15" hidden="false" customHeight="true" outlineLevel="0" collapsed="false"/>
    <row r="37339" customFormat="false" ht="15" hidden="false" customHeight="true" outlineLevel="0" collapsed="false"/>
    <row r="37340" customFormat="false" ht="15" hidden="false" customHeight="true" outlineLevel="0" collapsed="false"/>
    <row r="37341" customFormat="false" ht="15" hidden="false" customHeight="true" outlineLevel="0" collapsed="false"/>
    <row r="37342" customFormat="false" ht="15" hidden="false" customHeight="true" outlineLevel="0" collapsed="false"/>
    <row r="37343" customFormat="false" ht="15" hidden="false" customHeight="true" outlineLevel="0" collapsed="false"/>
    <row r="37344" customFormat="false" ht="15" hidden="false" customHeight="true" outlineLevel="0" collapsed="false"/>
    <row r="37345" customFormat="false" ht="15" hidden="false" customHeight="true" outlineLevel="0" collapsed="false"/>
    <row r="37346" customFormat="false" ht="15" hidden="false" customHeight="true" outlineLevel="0" collapsed="false"/>
    <row r="37347" customFormat="false" ht="15" hidden="false" customHeight="true" outlineLevel="0" collapsed="false"/>
    <row r="37348" customFormat="false" ht="15" hidden="false" customHeight="true" outlineLevel="0" collapsed="false"/>
    <row r="37349" customFormat="false" ht="15" hidden="false" customHeight="true" outlineLevel="0" collapsed="false"/>
    <row r="37350" customFormat="false" ht="15" hidden="false" customHeight="true" outlineLevel="0" collapsed="false"/>
    <row r="37351" customFormat="false" ht="15" hidden="false" customHeight="true" outlineLevel="0" collapsed="false"/>
    <row r="37352" customFormat="false" ht="15" hidden="false" customHeight="true" outlineLevel="0" collapsed="false"/>
    <row r="37353" customFormat="false" ht="15" hidden="false" customHeight="true" outlineLevel="0" collapsed="false"/>
    <row r="37354" customFormat="false" ht="15" hidden="false" customHeight="true" outlineLevel="0" collapsed="false"/>
    <row r="37355" customFormat="false" ht="15" hidden="false" customHeight="true" outlineLevel="0" collapsed="false"/>
    <row r="37356" customFormat="false" ht="15" hidden="false" customHeight="true" outlineLevel="0" collapsed="false"/>
    <row r="37357" customFormat="false" ht="15" hidden="false" customHeight="true" outlineLevel="0" collapsed="false"/>
    <row r="37358" customFormat="false" ht="15" hidden="false" customHeight="true" outlineLevel="0" collapsed="false"/>
    <row r="37359" customFormat="false" ht="15" hidden="false" customHeight="true" outlineLevel="0" collapsed="false"/>
    <row r="37360" customFormat="false" ht="15" hidden="false" customHeight="true" outlineLevel="0" collapsed="false"/>
    <row r="37361" customFormat="false" ht="15" hidden="false" customHeight="true" outlineLevel="0" collapsed="false"/>
    <row r="37362" customFormat="false" ht="15" hidden="false" customHeight="true" outlineLevel="0" collapsed="false"/>
    <row r="37363" customFormat="false" ht="15" hidden="false" customHeight="true" outlineLevel="0" collapsed="false"/>
    <row r="37364" customFormat="false" ht="15" hidden="false" customHeight="true" outlineLevel="0" collapsed="false"/>
    <row r="37365" customFormat="false" ht="15" hidden="false" customHeight="true" outlineLevel="0" collapsed="false"/>
    <row r="37366" customFormat="false" ht="15" hidden="false" customHeight="true" outlineLevel="0" collapsed="false"/>
    <row r="37367" customFormat="false" ht="15" hidden="false" customHeight="true" outlineLevel="0" collapsed="false"/>
    <row r="37368" customFormat="false" ht="15" hidden="false" customHeight="true" outlineLevel="0" collapsed="false"/>
    <row r="37369" customFormat="false" ht="15" hidden="false" customHeight="true" outlineLevel="0" collapsed="false"/>
    <row r="37370" customFormat="false" ht="15" hidden="false" customHeight="true" outlineLevel="0" collapsed="false"/>
    <row r="37371" customFormat="false" ht="15" hidden="false" customHeight="true" outlineLevel="0" collapsed="false"/>
    <row r="37372" customFormat="false" ht="15" hidden="false" customHeight="true" outlineLevel="0" collapsed="false"/>
    <row r="37373" customFormat="false" ht="15" hidden="false" customHeight="true" outlineLevel="0" collapsed="false"/>
    <row r="37374" customFormat="false" ht="15" hidden="false" customHeight="true" outlineLevel="0" collapsed="false"/>
    <row r="37375" customFormat="false" ht="15" hidden="false" customHeight="true" outlineLevel="0" collapsed="false"/>
    <row r="37376" customFormat="false" ht="15" hidden="false" customHeight="true" outlineLevel="0" collapsed="false"/>
    <row r="37377" customFormat="false" ht="15" hidden="false" customHeight="true" outlineLevel="0" collapsed="false"/>
    <row r="37378" customFormat="false" ht="15" hidden="false" customHeight="true" outlineLevel="0" collapsed="false"/>
    <row r="37379" customFormat="false" ht="15" hidden="false" customHeight="true" outlineLevel="0" collapsed="false"/>
    <row r="37380" customFormat="false" ht="15" hidden="false" customHeight="true" outlineLevel="0" collapsed="false"/>
    <row r="37381" customFormat="false" ht="15" hidden="false" customHeight="true" outlineLevel="0" collapsed="false"/>
    <row r="37382" customFormat="false" ht="15" hidden="false" customHeight="true" outlineLevel="0" collapsed="false"/>
    <row r="37383" customFormat="false" ht="15" hidden="false" customHeight="true" outlineLevel="0" collapsed="false"/>
    <row r="37384" customFormat="false" ht="15" hidden="false" customHeight="true" outlineLevel="0" collapsed="false"/>
    <row r="37385" customFormat="false" ht="15" hidden="false" customHeight="true" outlineLevel="0" collapsed="false"/>
    <row r="37386" customFormat="false" ht="15" hidden="false" customHeight="true" outlineLevel="0" collapsed="false"/>
    <row r="37387" customFormat="false" ht="15" hidden="false" customHeight="true" outlineLevel="0" collapsed="false"/>
    <row r="37388" customFormat="false" ht="15" hidden="false" customHeight="true" outlineLevel="0" collapsed="false"/>
    <row r="37389" customFormat="false" ht="15" hidden="false" customHeight="true" outlineLevel="0" collapsed="false"/>
    <row r="37390" customFormat="false" ht="15" hidden="false" customHeight="true" outlineLevel="0" collapsed="false"/>
    <row r="37391" customFormat="false" ht="15" hidden="false" customHeight="true" outlineLevel="0" collapsed="false"/>
    <row r="37392" customFormat="false" ht="15" hidden="false" customHeight="true" outlineLevel="0" collapsed="false"/>
    <row r="37393" customFormat="false" ht="15" hidden="false" customHeight="true" outlineLevel="0" collapsed="false"/>
    <row r="37394" customFormat="false" ht="15" hidden="false" customHeight="true" outlineLevel="0" collapsed="false"/>
    <row r="37395" customFormat="false" ht="15" hidden="false" customHeight="true" outlineLevel="0" collapsed="false"/>
    <row r="37396" customFormat="false" ht="15" hidden="false" customHeight="true" outlineLevel="0" collapsed="false"/>
    <row r="37397" customFormat="false" ht="15" hidden="false" customHeight="true" outlineLevel="0" collapsed="false"/>
    <row r="37398" customFormat="false" ht="15" hidden="false" customHeight="true" outlineLevel="0" collapsed="false"/>
    <row r="37399" customFormat="false" ht="15" hidden="false" customHeight="true" outlineLevel="0" collapsed="false"/>
    <row r="37400" customFormat="false" ht="15" hidden="false" customHeight="true" outlineLevel="0" collapsed="false"/>
    <row r="37401" customFormat="false" ht="15" hidden="false" customHeight="true" outlineLevel="0" collapsed="false"/>
    <row r="37402" customFormat="false" ht="15" hidden="false" customHeight="true" outlineLevel="0" collapsed="false"/>
    <row r="37403" customFormat="false" ht="15" hidden="false" customHeight="true" outlineLevel="0" collapsed="false"/>
    <row r="37404" customFormat="false" ht="15" hidden="false" customHeight="true" outlineLevel="0" collapsed="false"/>
    <row r="37405" customFormat="false" ht="15" hidden="false" customHeight="true" outlineLevel="0" collapsed="false"/>
    <row r="37406" customFormat="false" ht="15" hidden="false" customHeight="true" outlineLevel="0" collapsed="false"/>
    <row r="37407" customFormat="false" ht="15" hidden="false" customHeight="true" outlineLevel="0" collapsed="false"/>
    <row r="37408" customFormat="false" ht="15" hidden="false" customHeight="true" outlineLevel="0" collapsed="false"/>
    <row r="37409" customFormat="false" ht="15" hidden="false" customHeight="true" outlineLevel="0" collapsed="false"/>
    <row r="37410" customFormat="false" ht="15" hidden="false" customHeight="true" outlineLevel="0" collapsed="false"/>
    <row r="37411" customFormat="false" ht="15" hidden="false" customHeight="true" outlineLevel="0" collapsed="false"/>
    <row r="37412" customFormat="false" ht="15" hidden="false" customHeight="true" outlineLevel="0" collapsed="false"/>
    <row r="37413" customFormat="false" ht="15" hidden="false" customHeight="true" outlineLevel="0" collapsed="false"/>
    <row r="37414" customFormat="false" ht="15" hidden="false" customHeight="true" outlineLevel="0" collapsed="false"/>
    <row r="37415" customFormat="false" ht="15" hidden="false" customHeight="true" outlineLevel="0" collapsed="false"/>
    <row r="37416" customFormat="false" ht="15" hidden="false" customHeight="true" outlineLevel="0" collapsed="false"/>
    <row r="37417" customFormat="false" ht="15" hidden="false" customHeight="true" outlineLevel="0" collapsed="false"/>
    <row r="37418" customFormat="false" ht="15" hidden="false" customHeight="true" outlineLevel="0" collapsed="false"/>
    <row r="37419" customFormat="false" ht="15" hidden="false" customHeight="true" outlineLevel="0" collapsed="false"/>
    <row r="37420" customFormat="false" ht="15" hidden="false" customHeight="true" outlineLevel="0" collapsed="false"/>
    <row r="37421" customFormat="false" ht="15" hidden="false" customHeight="true" outlineLevel="0" collapsed="false"/>
    <row r="37422" customFormat="false" ht="15" hidden="false" customHeight="true" outlineLevel="0" collapsed="false"/>
    <row r="37423" customFormat="false" ht="15" hidden="false" customHeight="true" outlineLevel="0" collapsed="false"/>
    <row r="37424" customFormat="false" ht="15" hidden="false" customHeight="true" outlineLevel="0" collapsed="false"/>
    <row r="37425" customFormat="false" ht="15" hidden="false" customHeight="true" outlineLevel="0" collapsed="false"/>
    <row r="37426" customFormat="false" ht="15" hidden="false" customHeight="true" outlineLevel="0" collapsed="false"/>
    <row r="37427" customFormat="false" ht="15" hidden="false" customHeight="true" outlineLevel="0" collapsed="false"/>
    <row r="37428" customFormat="false" ht="15" hidden="false" customHeight="true" outlineLevel="0" collapsed="false"/>
    <row r="37429" customFormat="false" ht="15" hidden="false" customHeight="true" outlineLevel="0" collapsed="false"/>
    <row r="37430" customFormat="false" ht="15" hidden="false" customHeight="true" outlineLevel="0" collapsed="false"/>
    <row r="37431" customFormat="false" ht="15" hidden="false" customHeight="true" outlineLevel="0" collapsed="false"/>
    <row r="37432" customFormat="false" ht="15" hidden="false" customHeight="true" outlineLevel="0" collapsed="false"/>
    <row r="37433" customFormat="false" ht="15" hidden="false" customHeight="true" outlineLevel="0" collapsed="false"/>
    <row r="37434" customFormat="false" ht="15" hidden="false" customHeight="true" outlineLevel="0" collapsed="false"/>
    <row r="37435" customFormat="false" ht="15" hidden="false" customHeight="true" outlineLevel="0" collapsed="false"/>
    <row r="37436" customFormat="false" ht="15" hidden="false" customHeight="true" outlineLevel="0" collapsed="false"/>
    <row r="37437" customFormat="false" ht="15" hidden="false" customHeight="true" outlineLevel="0" collapsed="false"/>
    <row r="37438" customFormat="false" ht="15" hidden="false" customHeight="true" outlineLevel="0" collapsed="false"/>
    <row r="37439" customFormat="false" ht="15" hidden="false" customHeight="true" outlineLevel="0" collapsed="false"/>
    <row r="37440" customFormat="false" ht="15" hidden="false" customHeight="true" outlineLevel="0" collapsed="false"/>
    <row r="37441" customFormat="false" ht="15" hidden="false" customHeight="true" outlineLevel="0" collapsed="false"/>
    <row r="37442" customFormat="false" ht="15" hidden="false" customHeight="true" outlineLevel="0" collapsed="false"/>
    <row r="37443" customFormat="false" ht="15" hidden="false" customHeight="true" outlineLevel="0" collapsed="false"/>
    <row r="37444" customFormat="false" ht="15" hidden="false" customHeight="true" outlineLevel="0" collapsed="false"/>
    <row r="37445" customFormat="false" ht="15" hidden="false" customHeight="true" outlineLevel="0" collapsed="false"/>
    <row r="37446" customFormat="false" ht="15" hidden="false" customHeight="true" outlineLevel="0" collapsed="false"/>
    <row r="37447" customFormat="false" ht="15" hidden="false" customHeight="true" outlineLevel="0" collapsed="false"/>
    <row r="37448" customFormat="false" ht="15" hidden="false" customHeight="true" outlineLevel="0" collapsed="false"/>
    <row r="37449" customFormat="false" ht="15" hidden="false" customHeight="true" outlineLevel="0" collapsed="false"/>
    <row r="37450" customFormat="false" ht="15" hidden="false" customHeight="true" outlineLevel="0" collapsed="false"/>
    <row r="37451" customFormat="false" ht="15" hidden="false" customHeight="true" outlineLevel="0" collapsed="false"/>
    <row r="37452" customFormat="false" ht="15" hidden="false" customHeight="true" outlineLevel="0" collapsed="false"/>
    <row r="37453" customFormat="false" ht="15" hidden="false" customHeight="true" outlineLevel="0" collapsed="false"/>
    <row r="37454" customFormat="false" ht="15" hidden="false" customHeight="true" outlineLevel="0" collapsed="false"/>
    <row r="37455" customFormat="false" ht="15" hidden="false" customHeight="true" outlineLevel="0" collapsed="false"/>
    <row r="37456" customFormat="false" ht="15" hidden="false" customHeight="true" outlineLevel="0" collapsed="false"/>
    <row r="37457" customFormat="false" ht="15" hidden="false" customHeight="true" outlineLevel="0" collapsed="false"/>
    <row r="37458" customFormat="false" ht="15" hidden="false" customHeight="true" outlineLevel="0" collapsed="false"/>
    <row r="37459" customFormat="false" ht="15" hidden="false" customHeight="true" outlineLevel="0" collapsed="false"/>
    <row r="37460" customFormat="false" ht="15" hidden="false" customHeight="true" outlineLevel="0" collapsed="false"/>
    <row r="37461" customFormat="false" ht="15" hidden="false" customHeight="true" outlineLevel="0" collapsed="false"/>
    <row r="37462" customFormat="false" ht="15" hidden="false" customHeight="true" outlineLevel="0" collapsed="false"/>
    <row r="37463" customFormat="false" ht="15" hidden="false" customHeight="true" outlineLevel="0" collapsed="false"/>
    <row r="37464" customFormat="false" ht="15" hidden="false" customHeight="true" outlineLevel="0" collapsed="false"/>
    <row r="37465" customFormat="false" ht="15" hidden="false" customHeight="true" outlineLevel="0" collapsed="false"/>
    <row r="37466" customFormat="false" ht="15" hidden="false" customHeight="true" outlineLevel="0" collapsed="false"/>
    <row r="37467" customFormat="false" ht="15" hidden="false" customHeight="true" outlineLevel="0" collapsed="false"/>
    <row r="37468" customFormat="false" ht="15" hidden="false" customHeight="true" outlineLevel="0" collapsed="false"/>
    <row r="37469" customFormat="false" ht="15" hidden="false" customHeight="true" outlineLevel="0" collapsed="false"/>
    <row r="37470" customFormat="false" ht="15" hidden="false" customHeight="true" outlineLevel="0" collapsed="false"/>
    <row r="37471" customFormat="false" ht="15" hidden="false" customHeight="true" outlineLevel="0" collapsed="false"/>
    <row r="37472" customFormat="false" ht="15" hidden="false" customHeight="true" outlineLevel="0" collapsed="false"/>
    <row r="37473" customFormat="false" ht="15" hidden="false" customHeight="true" outlineLevel="0" collapsed="false"/>
    <row r="37474" customFormat="false" ht="15" hidden="false" customHeight="true" outlineLevel="0" collapsed="false"/>
    <row r="37475" customFormat="false" ht="15" hidden="false" customHeight="true" outlineLevel="0" collapsed="false"/>
    <row r="37476" customFormat="false" ht="15" hidden="false" customHeight="true" outlineLevel="0" collapsed="false"/>
    <row r="37477" customFormat="false" ht="15" hidden="false" customHeight="true" outlineLevel="0" collapsed="false"/>
    <row r="37478" customFormat="false" ht="15" hidden="false" customHeight="true" outlineLevel="0" collapsed="false"/>
    <row r="37479" customFormat="false" ht="15" hidden="false" customHeight="true" outlineLevel="0" collapsed="false"/>
    <row r="37480" customFormat="false" ht="15" hidden="false" customHeight="true" outlineLevel="0" collapsed="false"/>
    <row r="37481" customFormat="false" ht="15" hidden="false" customHeight="true" outlineLevel="0" collapsed="false"/>
    <row r="37482" customFormat="false" ht="15" hidden="false" customHeight="true" outlineLevel="0" collapsed="false"/>
    <row r="37483" customFormat="false" ht="15" hidden="false" customHeight="true" outlineLevel="0" collapsed="false"/>
    <row r="37484" customFormat="false" ht="15" hidden="false" customHeight="true" outlineLevel="0" collapsed="false"/>
    <row r="37485" customFormat="false" ht="15" hidden="false" customHeight="true" outlineLevel="0" collapsed="false"/>
    <row r="37486" customFormat="false" ht="15" hidden="false" customHeight="true" outlineLevel="0" collapsed="false"/>
    <row r="37487" customFormat="false" ht="15" hidden="false" customHeight="true" outlineLevel="0" collapsed="false"/>
    <row r="37488" customFormat="false" ht="15" hidden="false" customHeight="true" outlineLevel="0" collapsed="false"/>
    <row r="37489" customFormat="false" ht="15" hidden="false" customHeight="true" outlineLevel="0" collapsed="false"/>
    <row r="37490" customFormat="false" ht="15" hidden="false" customHeight="true" outlineLevel="0" collapsed="false"/>
    <row r="37491" customFormat="false" ht="15" hidden="false" customHeight="true" outlineLevel="0" collapsed="false"/>
    <row r="37492" customFormat="false" ht="15" hidden="false" customHeight="true" outlineLevel="0" collapsed="false"/>
    <row r="37493" customFormat="false" ht="15" hidden="false" customHeight="true" outlineLevel="0" collapsed="false"/>
    <row r="37494" customFormat="false" ht="15" hidden="false" customHeight="true" outlineLevel="0" collapsed="false"/>
    <row r="37495" customFormat="false" ht="15" hidden="false" customHeight="true" outlineLevel="0" collapsed="false"/>
    <row r="37496" customFormat="false" ht="15" hidden="false" customHeight="true" outlineLevel="0" collapsed="false"/>
    <row r="37497" customFormat="false" ht="15" hidden="false" customHeight="true" outlineLevel="0" collapsed="false"/>
    <row r="37498" customFormat="false" ht="15" hidden="false" customHeight="true" outlineLevel="0" collapsed="false"/>
    <row r="37499" customFormat="false" ht="15" hidden="false" customHeight="true" outlineLevel="0" collapsed="false"/>
    <row r="37500" customFormat="false" ht="15" hidden="false" customHeight="true" outlineLevel="0" collapsed="false"/>
    <row r="37501" customFormat="false" ht="15" hidden="false" customHeight="true" outlineLevel="0" collapsed="false"/>
    <row r="37502" customFormat="false" ht="15" hidden="false" customHeight="true" outlineLevel="0" collapsed="false"/>
    <row r="37503" customFormat="false" ht="15" hidden="false" customHeight="true" outlineLevel="0" collapsed="false"/>
    <row r="37504" customFormat="false" ht="15" hidden="false" customHeight="true" outlineLevel="0" collapsed="false"/>
    <row r="37505" customFormat="false" ht="15" hidden="false" customHeight="true" outlineLevel="0" collapsed="false"/>
    <row r="37506" customFormat="false" ht="15" hidden="false" customHeight="true" outlineLevel="0" collapsed="false"/>
    <row r="37507" customFormat="false" ht="15" hidden="false" customHeight="true" outlineLevel="0" collapsed="false"/>
    <row r="37508" customFormat="false" ht="15" hidden="false" customHeight="true" outlineLevel="0" collapsed="false"/>
    <row r="37509" customFormat="false" ht="15" hidden="false" customHeight="true" outlineLevel="0" collapsed="false"/>
    <row r="37510" customFormat="false" ht="15" hidden="false" customHeight="true" outlineLevel="0" collapsed="false"/>
    <row r="37511" customFormat="false" ht="15" hidden="false" customHeight="true" outlineLevel="0" collapsed="false"/>
    <row r="37512" customFormat="false" ht="15" hidden="false" customHeight="true" outlineLevel="0" collapsed="false"/>
    <row r="37513" customFormat="false" ht="15" hidden="false" customHeight="true" outlineLevel="0" collapsed="false"/>
    <row r="37514" customFormat="false" ht="15" hidden="false" customHeight="true" outlineLevel="0" collapsed="false"/>
    <row r="37515" customFormat="false" ht="15" hidden="false" customHeight="true" outlineLevel="0" collapsed="false"/>
    <row r="37516" customFormat="false" ht="15" hidden="false" customHeight="true" outlineLevel="0" collapsed="false"/>
    <row r="37517" customFormat="false" ht="15" hidden="false" customHeight="true" outlineLevel="0" collapsed="false"/>
    <row r="37518" customFormat="false" ht="15" hidden="false" customHeight="true" outlineLevel="0" collapsed="false"/>
    <row r="37519" customFormat="false" ht="15" hidden="false" customHeight="true" outlineLevel="0" collapsed="false"/>
    <row r="37520" customFormat="false" ht="15" hidden="false" customHeight="true" outlineLevel="0" collapsed="false"/>
    <row r="37521" customFormat="false" ht="15" hidden="false" customHeight="true" outlineLevel="0" collapsed="false"/>
    <row r="37522" customFormat="false" ht="15" hidden="false" customHeight="true" outlineLevel="0" collapsed="false"/>
    <row r="37523" customFormat="false" ht="15" hidden="false" customHeight="true" outlineLevel="0" collapsed="false"/>
    <row r="37524" customFormat="false" ht="15" hidden="false" customHeight="true" outlineLevel="0" collapsed="false"/>
    <row r="37525" customFormat="false" ht="15" hidden="false" customHeight="true" outlineLevel="0" collapsed="false"/>
    <row r="37526" customFormat="false" ht="15" hidden="false" customHeight="true" outlineLevel="0" collapsed="false"/>
    <row r="37527" customFormat="false" ht="15" hidden="false" customHeight="true" outlineLevel="0" collapsed="false"/>
    <row r="37528" customFormat="false" ht="15" hidden="false" customHeight="true" outlineLevel="0" collapsed="false"/>
    <row r="37529" customFormat="false" ht="15" hidden="false" customHeight="true" outlineLevel="0" collapsed="false"/>
    <row r="37530" customFormat="false" ht="15" hidden="false" customHeight="true" outlineLevel="0" collapsed="false"/>
    <row r="37531" customFormat="false" ht="15" hidden="false" customHeight="true" outlineLevel="0" collapsed="false"/>
    <row r="37532" customFormat="false" ht="15" hidden="false" customHeight="true" outlineLevel="0" collapsed="false"/>
    <row r="37533" customFormat="false" ht="15" hidden="false" customHeight="true" outlineLevel="0" collapsed="false"/>
    <row r="37534" customFormat="false" ht="15" hidden="false" customHeight="true" outlineLevel="0" collapsed="false"/>
    <row r="37535" customFormat="false" ht="15" hidden="false" customHeight="true" outlineLevel="0" collapsed="false"/>
    <row r="37536" customFormat="false" ht="15" hidden="false" customHeight="true" outlineLevel="0" collapsed="false"/>
    <row r="37537" customFormat="false" ht="15" hidden="false" customHeight="true" outlineLevel="0" collapsed="false"/>
    <row r="37538" customFormat="false" ht="15" hidden="false" customHeight="true" outlineLevel="0" collapsed="false"/>
    <row r="37539" customFormat="false" ht="15" hidden="false" customHeight="true" outlineLevel="0" collapsed="false"/>
    <row r="37540" customFormat="false" ht="15" hidden="false" customHeight="true" outlineLevel="0" collapsed="false"/>
    <row r="37541" customFormat="false" ht="15" hidden="false" customHeight="true" outlineLevel="0" collapsed="false"/>
    <row r="37542" customFormat="false" ht="15" hidden="false" customHeight="true" outlineLevel="0" collapsed="false"/>
    <row r="37543" customFormat="false" ht="15" hidden="false" customHeight="true" outlineLevel="0" collapsed="false"/>
    <row r="37544" customFormat="false" ht="15" hidden="false" customHeight="true" outlineLevel="0" collapsed="false"/>
    <row r="37545" customFormat="false" ht="15" hidden="false" customHeight="true" outlineLevel="0" collapsed="false"/>
    <row r="37546" customFormat="false" ht="15" hidden="false" customHeight="true" outlineLevel="0" collapsed="false"/>
    <row r="37547" customFormat="false" ht="15" hidden="false" customHeight="true" outlineLevel="0" collapsed="false"/>
    <row r="37548" customFormat="false" ht="15" hidden="false" customHeight="true" outlineLevel="0" collapsed="false"/>
    <row r="37549" customFormat="false" ht="15" hidden="false" customHeight="true" outlineLevel="0" collapsed="false"/>
    <row r="37550" customFormat="false" ht="15" hidden="false" customHeight="true" outlineLevel="0" collapsed="false"/>
    <row r="37551" customFormat="false" ht="15" hidden="false" customHeight="true" outlineLevel="0" collapsed="false"/>
    <row r="37552" customFormat="false" ht="15" hidden="false" customHeight="true" outlineLevel="0" collapsed="false"/>
    <row r="37553" customFormat="false" ht="15" hidden="false" customHeight="true" outlineLevel="0" collapsed="false"/>
    <row r="37554" customFormat="false" ht="15" hidden="false" customHeight="true" outlineLevel="0" collapsed="false"/>
    <row r="37555" customFormat="false" ht="15" hidden="false" customHeight="true" outlineLevel="0" collapsed="false"/>
    <row r="37556" customFormat="false" ht="15" hidden="false" customHeight="true" outlineLevel="0" collapsed="false"/>
    <row r="37557" customFormat="false" ht="15" hidden="false" customHeight="true" outlineLevel="0" collapsed="false"/>
    <row r="37558" customFormat="false" ht="15" hidden="false" customHeight="true" outlineLevel="0" collapsed="false"/>
    <row r="37559" customFormat="false" ht="15" hidden="false" customHeight="true" outlineLevel="0" collapsed="false"/>
    <row r="37560" customFormat="false" ht="15" hidden="false" customHeight="true" outlineLevel="0" collapsed="false"/>
    <row r="37561" customFormat="false" ht="15" hidden="false" customHeight="true" outlineLevel="0" collapsed="false"/>
    <row r="37562" customFormat="false" ht="15" hidden="false" customHeight="true" outlineLevel="0" collapsed="false"/>
    <row r="37563" customFormat="false" ht="15" hidden="false" customHeight="true" outlineLevel="0" collapsed="false"/>
    <row r="37564" customFormat="false" ht="15" hidden="false" customHeight="true" outlineLevel="0" collapsed="false"/>
    <row r="37565" customFormat="false" ht="15" hidden="false" customHeight="true" outlineLevel="0" collapsed="false"/>
    <row r="37566" customFormat="false" ht="15" hidden="false" customHeight="true" outlineLevel="0" collapsed="false"/>
    <row r="37567" customFormat="false" ht="15" hidden="false" customHeight="true" outlineLevel="0" collapsed="false"/>
    <row r="37568" customFormat="false" ht="15" hidden="false" customHeight="true" outlineLevel="0" collapsed="false"/>
    <row r="37569" customFormat="false" ht="15" hidden="false" customHeight="true" outlineLevel="0" collapsed="false"/>
    <row r="37570" customFormat="false" ht="15" hidden="false" customHeight="true" outlineLevel="0" collapsed="false"/>
    <row r="37571" customFormat="false" ht="15" hidden="false" customHeight="true" outlineLevel="0" collapsed="false"/>
    <row r="37572" customFormat="false" ht="15" hidden="false" customHeight="true" outlineLevel="0" collapsed="false"/>
    <row r="37573" customFormat="false" ht="15" hidden="false" customHeight="true" outlineLevel="0" collapsed="false"/>
    <row r="37574" customFormat="false" ht="15" hidden="false" customHeight="true" outlineLevel="0" collapsed="false"/>
    <row r="37575" customFormat="false" ht="15" hidden="false" customHeight="true" outlineLevel="0" collapsed="false"/>
    <row r="37576" customFormat="false" ht="15" hidden="false" customHeight="true" outlineLevel="0" collapsed="false"/>
    <row r="37577" customFormat="false" ht="15" hidden="false" customHeight="true" outlineLevel="0" collapsed="false"/>
    <row r="37578" customFormat="false" ht="15" hidden="false" customHeight="true" outlineLevel="0" collapsed="false"/>
    <row r="37579" customFormat="false" ht="15" hidden="false" customHeight="true" outlineLevel="0" collapsed="false"/>
    <row r="37580" customFormat="false" ht="15" hidden="false" customHeight="true" outlineLevel="0" collapsed="false"/>
    <row r="37581" customFormat="false" ht="15" hidden="false" customHeight="true" outlineLevel="0" collapsed="false"/>
    <row r="37582" customFormat="false" ht="15" hidden="false" customHeight="true" outlineLevel="0" collapsed="false"/>
    <row r="37583" customFormat="false" ht="15" hidden="false" customHeight="true" outlineLevel="0" collapsed="false"/>
    <row r="37584" customFormat="false" ht="15" hidden="false" customHeight="true" outlineLevel="0" collapsed="false"/>
    <row r="37585" customFormat="false" ht="15" hidden="false" customHeight="true" outlineLevel="0" collapsed="false"/>
    <row r="37586" customFormat="false" ht="15" hidden="false" customHeight="true" outlineLevel="0" collapsed="false"/>
    <row r="37587" customFormat="false" ht="15" hidden="false" customHeight="true" outlineLevel="0" collapsed="false"/>
    <row r="37588" customFormat="false" ht="15" hidden="false" customHeight="true" outlineLevel="0" collapsed="false"/>
    <row r="37589" customFormat="false" ht="15" hidden="false" customHeight="true" outlineLevel="0" collapsed="false"/>
    <row r="37590" customFormat="false" ht="15" hidden="false" customHeight="true" outlineLevel="0" collapsed="false"/>
    <row r="37591" customFormat="false" ht="15" hidden="false" customHeight="true" outlineLevel="0" collapsed="false"/>
    <row r="37592" customFormat="false" ht="15" hidden="false" customHeight="true" outlineLevel="0" collapsed="false"/>
    <row r="37593" customFormat="false" ht="15" hidden="false" customHeight="true" outlineLevel="0" collapsed="false"/>
    <row r="37594" customFormat="false" ht="15" hidden="false" customHeight="true" outlineLevel="0" collapsed="false"/>
    <row r="37595" customFormat="false" ht="15" hidden="false" customHeight="true" outlineLevel="0" collapsed="false"/>
    <row r="37596" customFormat="false" ht="15" hidden="false" customHeight="true" outlineLevel="0" collapsed="false"/>
    <row r="37597" customFormat="false" ht="15" hidden="false" customHeight="true" outlineLevel="0" collapsed="false"/>
    <row r="37598" customFormat="false" ht="15" hidden="false" customHeight="true" outlineLevel="0" collapsed="false"/>
    <row r="37599" customFormat="false" ht="15" hidden="false" customHeight="true" outlineLevel="0" collapsed="false"/>
    <row r="37600" customFormat="false" ht="15" hidden="false" customHeight="true" outlineLevel="0" collapsed="false"/>
    <row r="37601" customFormat="false" ht="15" hidden="false" customHeight="true" outlineLevel="0" collapsed="false"/>
    <row r="37602" customFormat="false" ht="15" hidden="false" customHeight="true" outlineLevel="0" collapsed="false"/>
    <row r="37603" customFormat="false" ht="15" hidden="false" customHeight="true" outlineLevel="0" collapsed="false"/>
    <row r="37604" customFormat="false" ht="15" hidden="false" customHeight="true" outlineLevel="0" collapsed="false"/>
    <row r="37605" customFormat="false" ht="15" hidden="false" customHeight="true" outlineLevel="0" collapsed="false"/>
    <row r="37606" customFormat="false" ht="15" hidden="false" customHeight="true" outlineLevel="0" collapsed="false"/>
    <row r="37607" customFormat="false" ht="15" hidden="false" customHeight="true" outlineLevel="0" collapsed="false"/>
    <row r="37608" customFormat="false" ht="15" hidden="false" customHeight="true" outlineLevel="0" collapsed="false"/>
    <row r="37609" customFormat="false" ht="15" hidden="false" customHeight="true" outlineLevel="0" collapsed="false"/>
    <row r="37610" customFormat="false" ht="15" hidden="false" customHeight="true" outlineLevel="0" collapsed="false"/>
    <row r="37611" customFormat="false" ht="15" hidden="false" customHeight="true" outlineLevel="0" collapsed="false"/>
    <row r="37612" customFormat="false" ht="15" hidden="false" customHeight="true" outlineLevel="0" collapsed="false"/>
    <row r="37613" customFormat="false" ht="15" hidden="false" customHeight="true" outlineLevel="0" collapsed="false"/>
    <row r="37614" customFormat="false" ht="15" hidden="false" customHeight="true" outlineLevel="0" collapsed="false"/>
    <row r="37615" customFormat="false" ht="15" hidden="false" customHeight="true" outlineLevel="0" collapsed="false"/>
    <row r="37616" customFormat="false" ht="15" hidden="false" customHeight="true" outlineLevel="0" collapsed="false"/>
    <row r="37617" customFormat="false" ht="15" hidden="false" customHeight="true" outlineLevel="0" collapsed="false"/>
    <row r="37618" customFormat="false" ht="15" hidden="false" customHeight="true" outlineLevel="0" collapsed="false"/>
    <row r="37619" customFormat="false" ht="15" hidden="false" customHeight="true" outlineLevel="0" collapsed="false"/>
    <row r="37620" customFormat="false" ht="15" hidden="false" customHeight="true" outlineLevel="0" collapsed="false"/>
    <row r="37621" customFormat="false" ht="15" hidden="false" customHeight="true" outlineLevel="0" collapsed="false"/>
    <row r="37622" customFormat="false" ht="15" hidden="false" customHeight="true" outlineLevel="0" collapsed="false"/>
    <row r="37623" customFormat="false" ht="15" hidden="false" customHeight="true" outlineLevel="0" collapsed="false"/>
    <row r="37624" customFormat="false" ht="15" hidden="false" customHeight="true" outlineLevel="0" collapsed="false"/>
    <row r="37625" customFormat="false" ht="15" hidden="false" customHeight="true" outlineLevel="0" collapsed="false"/>
    <row r="37626" customFormat="false" ht="15" hidden="false" customHeight="true" outlineLevel="0" collapsed="false"/>
    <row r="37627" customFormat="false" ht="15" hidden="false" customHeight="true" outlineLevel="0" collapsed="false"/>
    <row r="37628" customFormat="false" ht="15" hidden="false" customHeight="true" outlineLevel="0" collapsed="false"/>
    <row r="37629" customFormat="false" ht="15" hidden="false" customHeight="true" outlineLevel="0" collapsed="false"/>
    <row r="37630" customFormat="false" ht="15" hidden="false" customHeight="true" outlineLevel="0" collapsed="false"/>
    <row r="37631" customFormat="false" ht="15" hidden="false" customHeight="true" outlineLevel="0" collapsed="false"/>
    <row r="37632" customFormat="false" ht="15" hidden="false" customHeight="true" outlineLevel="0" collapsed="false"/>
    <row r="37633" customFormat="false" ht="15" hidden="false" customHeight="true" outlineLevel="0" collapsed="false"/>
    <row r="37634" customFormat="false" ht="15" hidden="false" customHeight="true" outlineLevel="0" collapsed="false"/>
    <row r="37635" customFormat="false" ht="15" hidden="false" customHeight="true" outlineLevel="0" collapsed="false"/>
    <row r="37636" customFormat="false" ht="15" hidden="false" customHeight="true" outlineLevel="0" collapsed="false"/>
    <row r="37637" customFormat="false" ht="15" hidden="false" customHeight="true" outlineLevel="0" collapsed="false"/>
    <row r="37638" customFormat="false" ht="15" hidden="false" customHeight="true" outlineLevel="0" collapsed="false"/>
    <row r="37639" customFormat="false" ht="15" hidden="false" customHeight="true" outlineLevel="0" collapsed="false"/>
    <row r="37640" customFormat="false" ht="15" hidden="false" customHeight="true" outlineLevel="0" collapsed="false"/>
    <row r="37641" customFormat="false" ht="15" hidden="false" customHeight="true" outlineLevel="0" collapsed="false"/>
    <row r="37642" customFormat="false" ht="15" hidden="false" customHeight="true" outlineLevel="0" collapsed="false"/>
    <row r="37643" customFormat="false" ht="15" hidden="false" customHeight="true" outlineLevel="0" collapsed="false"/>
    <row r="37644" customFormat="false" ht="15" hidden="false" customHeight="true" outlineLevel="0" collapsed="false"/>
    <row r="37645" customFormat="false" ht="15" hidden="false" customHeight="true" outlineLevel="0" collapsed="false"/>
    <row r="37646" customFormat="false" ht="15" hidden="false" customHeight="true" outlineLevel="0" collapsed="false"/>
    <row r="37647" customFormat="false" ht="15" hidden="false" customHeight="true" outlineLevel="0" collapsed="false"/>
    <row r="37648" customFormat="false" ht="15" hidden="false" customHeight="true" outlineLevel="0" collapsed="false"/>
    <row r="37649" customFormat="false" ht="15" hidden="false" customHeight="true" outlineLevel="0" collapsed="false"/>
    <row r="37650" customFormat="false" ht="15" hidden="false" customHeight="true" outlineLevel="0" collapsed="false"/>
    <row r="37651" customFormat="false" ht="15" hidden="false" customHeight="true" outlineLevel="0" collapsed="false"/>
    <row r="37652" customFormat="false" ht="15" hidden="false" customHeight="true" outlineLevel="0" collapsed="false"/>
    <row r="37653" customFormat="false" ht="15" hidden="false" customHeight="true" outlineLevel="0" collapsed="false"/>
    <row r="37654" customFormat="false" ht="15" hidden="false" customHeight="true" outlineLevel="0" collapsed="false"/>
    <row r="37655" customFormat="false" ht="15" hidden="false" customHeight="true" outlineLevel="0" collapsed="false"/>
    <row r="37656" customFormat="false" ht="15" hidden="false" customHeight="true" outlineLevel="0" collapsed="false"/>
    <row r="37657" customFormat="false" ht="15" hidden="false" customHeight="true" outlineLevel="0" collapsed="false"/>
    <row r="37658" customFormat="false" ht="15" hidden="false" customHeight="true" outlineLevel="0" collapsed="false"/>
    <row r="37659" customFormat="false" ht="15" hidden="false" customHeight="true" outlineLevel="0" collapsed="false"/>
    <row r="37660" customFormat="false" ht="15" hidden="false" customHeight="true" outlineLevel="0" collapsed="false"/>
    <row r="37661" customFormat="false" ht="15" hidden="false" customHeight="true" outlineLevel="0" collapsed="false"/>
    <row r="37662" customFormat="false" ht="15" hidden="false" customHeight="true" outlineLevel="0" collapsed="false"/>
    <row r="37663" customFormat="false" ht="15" hidden="false" customHeight="true" outlineLevel="0" collapsed="false"/>
    <row r="37664" customFormat="false" ht="15" hidden="false" customHeight="true" outlineLevel="0" collapsed="false"/>
    <row r="37665" customFormat="false" ht="15" hidden="false" customHeight="true" outlineLevel="0" collapsed="false"/>
    <row r="37666" customFormat="false" ht="15" hidden="false" customHeight="true" outlineLevel="0" collapsed="false"/>
    <row r="37667" customFormat="false" ht="15" hidden="false" customHeight="true" outlineLevel="0" collapsed="false"/>
    <row r="37668" customFormat="false" ht="15" hidden="false" customHeight="true" outlineLevel="0" collapsed="false"/>
    <row r="37669" customFormat="false" ht="15" hidden="false" customHeight="true" outlineLevel="0" collapsed="false"/>
    <row r="37670" customFormat="false" ht="15" hidden="false" customHeight="true" outlineLevel="0" collapsed="false"/>
    <row r="37671" customFormat="false" ht="15" hidden="false" customHeight="true" outlineLevel="0" collapsed="false"/>
    <row r="37672" customFormat="false" ht="15" hidden="false" customHeight="true" outlineLevel="0" collapsed="false"/>
    <row r="37673" customFormat="false" ht="15" hidden="false" customHeight="true" outlineLevel="0" collapsed="false"/>
    <row r="37674" customFormat="false" ht="15" hidden="false" customHeight="true" outlineLevel="0" collapsed="false"/>
    <row r="37675" customFormat="false" ht="15" hidden="false" customHeight="true" outlineLevel="0" collapsed="false"/>
    <row r="37676" customFormat="false" ht="15" hidden="false" customHeight="true" outlineLevel="0" collapsed="false"/>
    <row r="37677" customFormat="false" ht="15" hidden="false" customHeight="true" outlineLevel="0" collapsed="false"/>
    <row r="37678" customFormat="false" ht="15" hidden="false" customHeight="true" outlineLevel="0" collapsed="false"/>
    <row r="37679" customFormat="false" ht="15" hidden="false" customHeight="true" outlineLevel="0" collapsed="false"/>
    <row r="37680" customFormat="false" ht="15" hidden="false" customHeight="true" outlineLevel="0" collapsed="false"/>
    <row r="37681" customFormat="false" ht="15" hidden="false" customHeight="true" outlineLevel="0" collapsed="false"/>
    <row r="37682" customFormat="false" ht="15" hidden="false" customHeight="true" outlineLevel="0" collapsed="false"/>
    <row r="37683" customFormat="false" ht="15" hidden="false" customHeight="true" outlineLevel="0" collapsed="false"/>
    <row r="37684" customFormat="false" ht="15" hidden="false" customHeight="true" outlineLevel="0" collapsed="false"/>
    <row r="37685" customFormat="false" ht="15" hidden="false" customHeight="true" outlineLevel="0" collapsed="false"/>
    <row r="37686" customFormat="false" ht="15" hidden="false" customHeight="true" outlineLevel="0" collapsed="false"/>
    <row r="37687" customFormat="false" ht="15" hidden="false" customHeight="true" outlineLevel="0" collapsed="false"/>
    <row r="37688" customFormat="false" ht="15" hidden="false" customHeight="true" outlineLevel="0" collapsed="false"/>
    <row r="37689" customFormat="false" ht="15" hidden="false" customHeight="true" outlineLevel="0" collapsed="false"/>
    <row r="37690" customFormat="false" ht="15" hidden="false" customHeight="true" outlineLevel="0" collapsed="false"/>
    <row r="37691" customFormat="false" ht="15" hidden="false" customHeight="true" outlineLevel="0" collapsed="false"/>
    <row r="37692" customFormat="false" ht="15" hidden="false" customHeight="true" outlineLevel="0" collapsed="false"/>
    <row r="37693" customFormat="false" ht="15" hidden="false" customHeight="true" outlineLevel="0" collapsed="false"/>
    <row r="37694" customFormat="false" ht="15" hidden="false" customHeight="true" outlineLevel="0" collapsed="false"/>
    <row r="37695" customFormat="false" ht="15" hidden="false" customHeight="true" outlineLevel="0" collapsed="false"/>
    <row r="37696" customFormat="false" ht="15" hidden="false" customHeight="true" outlineLevel="0" collapsed="false"/>
    <row r="37697" customFormat="false" ht="15" hidden="false" customHeight="true" outlineLevel="0" collapsed="false"/>
    <row r="37698" customFormat="false" ht="15" hidden="false" customHeight="true" outlineLevel="0" collapsed="false"/>
    <row r="37699" customFormat="false" ht="15" hidden="false" customHeight="true" outlineLevel="0" collapsed="false"/>
    <row r="37700" customFormat="false" ht="15" hidden="false" customHeight="true" outlineLevel="0" collapsed="false"/>
    <row r="37701" customFormat="false" ht="15" hidden="false" customHeight="true" outlineLevel="0" collapsed="false"/>
    <row r="37702" customFormat="false" ht="15" hidden="false" customHeight="true" outlineLevel="0" collapsed="false"/>
    <row r="37703" customFormat="false" ht="15" hidden="false" customHeight="true" outlineLevel="0" collapsed="false"/>
    <row r="37704" customFormat="false" ht="15" hidden="false" customHeight="true" outlineLevel="0" collapsed="false"/>
    <row r="37705" customFormat="false" ht="15" hidden="false" customHeight="true" outlineLevel="0" collapsed="false"/>
    <row r="37706" customFormat="false" ht="15" hidden="false" customHeight="true" outlineLevel="0" collapsed="false"/>
    <row r="37707" customFormat="false" ht="15" hidden="false" customHeight="true" outlineLevel="0" collapsed="false"/>
    <row r="37708" customFormat="false" ht="15" hidden="false" customHeight="true" outlineLevel="0" collapsed="false"/>
    <row r="37709" customFormat="false" ht="15" hidden="false" customHeight="true" outlineLevel="0" collapsed="false"/>
    <row r="37710" customFormat="false" ht="15" hidden="false" customHeight="true" outlineLevel="0" collapsed="false"/>
    <row r="37711" customFormat="false" ht="15" hidden="false" customHeight="true" outlineLevel="0" collapsed="false"/>
    <row r="37712" customFormat="false" ht="15" hidden="false" customHeight="true" outlineLevel="0" collapsed="false"/>
    <row r="37713" customFormat="false" ht="15" hidden="false" customHeight="true" outlineLevel="0" collapsed="false"/>
    <row r="37714" customFormat="false" ht="15" hidden="false" customHeight="true" outlineLevel="0" collapsed="false"/>
    <row r="37715" customFormat="false" ht="15" hidden="false" customHeight="true" outlineLevel="0" collapsed="false"/>
    <row r="37716" customFormat="false" ht="15" hidden="false" customHeight="true" outlineLevel="0" collapsed="false"/>
    <row r="37717" customFormat="false" ht="15" hidden="false" customHeight="true" outlineLevel="0" collapsed="false"/>
    <row r="37718" customFormat="false" ht="15" hidden="false" customHeight="true" outlineLevel="0" collapsed="false"/>
    <row r="37719" customFormat="false" ht="15" hidden="false" customHeight="true" outlineLevel="0" collapsed="false"/>
    <row r="37720" customFormat="false" ht="15" hidden="false" customHeight="true" outlineLevel="0" collapsed="false"/>
    <row r="37721" customFormat="false" ht="15" hidden="false" customHeight="true" outlineLevel="0" collapsed="false"/>
    <row r="37722" customFormat="false" ht="15" hidden="false" customHeight="true" outlineLevel="0" collapsed="false"/>
    <row r="37723" customFormat="false" ht="15" hidden="false" customHeight="true" outlineLevel="0" collapsed="false"/>
    <row r="37724" customFormat="false" ht="15" hidden="false" customHeight="true" outlineLevel="0" collapsed="false"/>
    <row r="37725" customFormat="false" ht="15" hidden="false" customHeight="true" outlineLevel="0" collapsed="false"/>
    <row r="37726" customFormat="false" ht="15" hidden="false" customHeight="true" outlineLevel="0" collapsed="false"/>
    <row r="37727" customFormat="false" ht="15" hidden="false" customHeight="true" outlineLevel="0" collapsed="false"/>
    <row r="37728" customFormat="false" ht="15" hidden="false" customHeight="true" outlineLevel="0" collapsed="false"/>
    <row r="37729" customFormat="false" ht="15" hidden="false" customHeight="true" outlineLevel="0" collapsed="false"/>
    <row r="37730" customFormat="false" ht="15" hidden="false" customHeight="true" outlineLevel="0" collapsed="false"/>
    <row r="37731" customFormat="false" ht="15" hidden="false" customHeight="true" outlineLevel="0" collapsed="false"/>
    <row r="37732" customFormat="false" ht="15" hidden="false" customHeight="true" outlineLevel="0" collapsed="false"/>
    <row r="37733" customFormat="false" ht="15" hidden="false" customHeight="true" outlineLevel="0" collapsed="false"/>
    <row r="37734" customFormat="false" ht="15" hidden="false" customHeight="true" outlineLevel="0" collapsed="false"/>
    <row r="37735" customFormat="false" ht="15" hidden="false" customHeight="true" outlineLevel="0" collapsed="false"/>
    <row r="37736" customFormat="false" ht="15" hidden="false" customHeight="true" outlineLevel="0" collapsed="false"/>
    <row r="37737" customFormat="false" ht="15" hidden="false" customHeight="true" outlineLevel="0" collapsed="false"/>
    <row r="37738" customFormat="false" ht="15" hidden="false" customHeight="true" outlineLevel="0" collapsed="false"/>
    <row r="37739" customFormat="false" ht="15" hidden="false" customHeight="true" outlineLevel="0" collapsed="false"/>
    <row r="37740" customFormat="false" ht="15" hidden="false" customHeight="true" outlineLevel="0" collapsed="false"/>
    <row r="37741" customFormat="false" ht="15" hidden="false" customHeight="true" outlineLevel="0" collapsed="false"/>
    <row r="37742" customFormat="false" ht="15" hidden="false" customHeight="true" outlineLevel="0" collapsed="false"/>
    <row r="37743" customFormat="false" ht="15" hidden="false" customHeight="true" outlineLevel="0" collapsed="false"/>
    <row r="37744" customFormat="false" ht="15" hidden="false" customHeight="true" outlineLevel="0" collapsed="false"/>
    <row r="37745" customFormat="false" ht="15" hidden="false" customHeight="true" outlineLevel="0" collapsed="false"/>
    <row r="37746" customFormat="false" ht="15" hidden="false" customHeight="true" outlineLevel="0" collapsed="false"/>
    <row r="37747" customFormat="false" ht="15" hidden="false" customHeight="true" outlineLevel="0" collapsed="false"/>
    <row r="37748" customFormat="false" ht="15" hidden="false" customHeight="true" outlineLevel="0" collapsed="false"/>
    <row r="37749" customFormat="false" ht="15" hidden="false" customHeight="true" outlineLevel="0" collapsed="false"/>
    <row r="37750" customFormat="false" ht="15" hidden="false" customHeight="true" outlineLevel="0" collapsed="false"/>
    <row r="37751" customFormat="false" ht="15" hidden="false" customHeight="true" outlineLevel="0" collapsed="false"/>
    <row r="37752" customFormat="false" ht="15" hidden="false" customHeight="true" outlineLevel="0" collapsed="false"/>
    <row r="37753" customFormat="false" ht="15" hidden="false" customHeight="true" outlineLevel="0" collapsed="false"/>
    <row r="37754" customFormat="false" ht="15" hidden="false" customHeight="true" outlineLevel="0" collapsed="false"/>
    <row r="37755" customFormat="false" ht="15" hidden="false" customHeight="true" outlineLevel="0" collapsed="false"/>
    <row r="37756" customFormat="false" ht="15" hidden="false" customHeight="true" outlineLevel="0" collapsed="false"/>
    <row r="37757" customFormat="false" ht="15" hidden="false" customHeight="true" outlineLevel="0" collapsed="false"/>
    <row r="37758" customFormat="false" ht="15" hidden="false" customHeight="true" outlineLevel="0" collapsed="false"/>
    <row r="37759" customFormat="false" ht="15" hidden="false" customHeight="true" outlineLevel="0" collapsed="false"/>
    <row r="37760" customFormat="false" ht="15" hidden="false" customHeight="true" outlineLevel="0" collapsed="false"/>
    <row r="37761" customFormat="false" ht="15" hidden="false" customHeight="true" outlineLevel="0" collapsed="false"/>
    <row r="37762" customFormat="false" ht="15" hidden="false" customHeight="true" outlineLevel="0" collapsed="false"/>
    <row r="37763" customFormat="false" ht="15" hidden="false" customHeight="true" outlineLevel="0" collapsed="false"/>
    <row r="37764" customFormat="false" ht="15" hidden="false" customHeight="true" outlineLevel="0" collapsed="false"/>
    <row r="37765" customFormat="false" ht="15" hidden="false" customHeight="true" outlineLevel="0" collapsed="false"/>
    <row r="37766" customFormat="false" ht="15" hidden="false" customHeight="true" outlineLevel="0" collapsed="false"/>
    <row r="37767" customFormat="false" ht="15" hidden="false" customHeight="true" outlineLevel="0" collapsed="false"/>
    <row r="37768" customFormat="false" ht="15" hidden="false" customHeight="true" outlineLevel="0" collapsed="false"/>
    <row r="37769" customFormat="false" ht="15" hidden="false" customHeight="true" outlineLevel="0" collapsed="false"/>
    <row r="37770" customFormat="false" ht="15" hidden="false" customHeight="true" outlineLevel="0" collapsed="false"/>
    <row r="37771" customFormat="false" ht="15" hidden="false" customHeight="true" outlineLevel="0" collapsed="false"/>
    <row r="37772" customFormat="false" ht="15" hidden="false" customHeight="true" outlineLevel="0" collapsed="false"/>
    <row r="37773" customFormat="false" ht="15" hidden="false" customHeight="true" outlineLevel="0" collapsed="false"/>
    <row r="37774" customFormat="false" ht="15" hidden="false" customHeight="true" outlineLevel="0" collapsed="false"/>
    <row r="37775" customFormat="false" ht="15" hidden="false" customHeight="true" outlineLevel="0" collapsed="false"/>
    <row r="37776" customFormat="false" ht="15" hidden="false" customHeight="true" outlineLevel="0" collapsed="false"/>
    <row r="37777" customFormat="false" ht="15" hidden="false" customHeight="true" outlineLevel="0" collapsed="false"/>
    <row r="37778" customFormat="false" ht="15" hidden="false" customHeight="true" outlineLevel="0" collapsed="false"/>
    <row r="37779" customFormat="false" ht="15" hidden="false" customHeight="true" outlineLevel="0" collapsed="false"/>
    <row r="37780" customFormat="false" ht="15" hidden="false" customHeight="true" outlineLevel="0" collapsed="false"/>
    <row r="37781" customFormat="false" ht="15" hidden="false" customHeight="true" outlineLevel="0" collapsed="false"/>
    <row r="37782" customFormat="false" ht="15" hidden="false" customHeight="true" outlineLevel="0" collapsed="false"/>
    <row r="37783" customFormat="false" ht="15" hidden="false" customHeight="true" outlineLevel="0" collapsed="false"/>
    <row r="37784" customFormat="false" ht="15" hidden="false" customHeight="true" outlineLevel="0" collapsed="false"/>
    <row r="37785" customFormat="false" ht="15" hidden="false" customHeight="true" outlineLevel="0" collapsed="false"/>
    <row r="37786" customFormat="false" ht="15" hidden="false" customHeight="true" outlineLevel="0" collapsed="false"/>
    <row r="37787" customFormat="false" ht="15" hidden="false" customHeight="true" outlineLevel="0" collapsed="false"/>
    <row r="37788" customFormat="false" ht="15" hidden="false" customHeight="true" outlineLevel="0" collapsed="false"/>
    <row r="37789" customFormat="false" ht="15" hidden="false" customHeight="true" outlineLevel="0" collapsed="false"/>
    <row r="37790" customFormat="false" ht="15" hidden="false" customHeight="true" outlineLevel="0" collapsed="false"/>
    <row r="37791" customFormat="false" ht="15" hidden="false" customHeight="true" outlineLevel="0" collapsed="false"/>
    <row r="37792" customFormat="false" ht="15" hidden="false" customHeight="true" outlineLevel="0" collapsed="false"/>
    <row r="37793" customFormat="false" ht="15" hidden="false" customHeight="true" outlineLevel="0" collapsed="false"/>
    <row r="37794" customFormat="false" ht="15" hidden="false" customHeight="true" outlineLevel="0" collapsed="false"/>
    <row r="37795" customFormat="false" ht="15" hidden="false" customHeight="true" outlineLevel="0" collapsed="false"/>
    <row r="37796" customFormat="false" ht="15" hidden="false" customHeight="true" outlineLevel="0" collapsed="false"/>
    <row r="37797" customFormat="false" ht="15" hidden="false" customHeight="true" outlineLevel="0" collapsed="false"/>
    <row r="37798" customFormat="false" ht="15" hidden="false" customHeight="true" outlineLevel="0" collapsed="false"/>
    <row r="37799" customFormat="false" ht="15" hidden="false" customHeight="true" outlineLevel="0" collapsed="false"/>
    <row r="37800" customFormat="false" ht="15" hidden="false" customHeight="true" outlineLevel="0" collapsed="false"/>
    <row r="37801" customFormat="false" ht="15" hidden="false" customHeight="true" outlineLevel="0" collapsed="false"/>
    <row r="37802" customFormat="false" ht="15" hidden="false" customHeight="true" outlineLevel="0" collapsed="false"/>
    <row r="37803" customFormat="false" ht="15" hidden="false" customHeight="true" outlineLevel="0" collapsed="false"/>
    <row r="37804" customFormat="false" ht="15" hidden="false" customHeight="true" outlineLevel="0" collapsed="false"/>
    <row r="37805" customFormat="false" ht="15" hidden="false" customHeight="true" outlineLevel="0" collapsed="false"/>
    <row r="37806" customFormat="false" ht="15" hidden="false" customHeight="true" outlineLevel="0" collapsed="false"/>
    <row r="37807" customFormat="false" ht="15" hidden="false" customHeight="true" outlineLevel="0" collapsed="false"/>
    <row r="37808" customFormat="false" ht="15" hidden="false" customHeight="true" outlineLevel="0" collapsed="false"/>
    <row r="37809" customFormat="false" ht="15" hidden="false" customHeight="true" outlineLevel="0" collapsed="false"/>
    <row r="37810" customFormat="false" ht="15" hidden="false" customHeight="true" outlineLevel="0" collapsed="false"/>
    <row r="37811" customFormat="false" ht="15" hidden="false" customHeight="true" outlineLevel="0" collapsed="false"/>
    <row r="37812" customFormat="false" ht="15" hidden="false" customHeight="true" outlineLevel="0" collapsed="false"/>
    <row r="37813" customFormat="false" ht="15" hidden="false" customHeight="true" outlineLevel="0" collapsed="false"/>
    <row r="37814" customFormat="false" ht="15" hidden="false" customHeight="true" outlineLevel="0" collapsed="false"/>
    <row r="37815" customFormat="false" ht="15" hidden="false" customHeight="true" outlineLevel="0" collapsed="false"/>
    <row r="37816" customFormat="false" ht="15" hidden="false" customHeight="true" outlineLevel="0" collapsed="false"/>
    <row r="37817" customFormat="false" ht="15" hidden="false" customHeight="true" outlineLevel="0" collapsed="false"/>
    <row r="37818" customFormat="false" ht="15" hidden="false" customHeight="true" outlineLevel="0" collapsed="false"/>
    <row r="37819" customFormat="false" ht="15" hidden="false" customHeight="true" outlineLevel="0" collapsed="false"/>
    <row r="37820" customFormat="false" ht="15" hidden="false" customHeight="true" outlineLevel="0" collapsed="false"/>
    <row r="37821" customFormat="false" ht="15" hidden="false" customHeight="true" outlineLevel="0" collapsed="false"/>
    <row r="37822" customFormat="false" ht="15" hidden="false" customHeight="true" outlineLevel="0" collapsed="false"/>
    <row r="37823" customFormat="false" ht="15" hidden="false" customHeight="true" outlineLevel="0" collapsed="false"/>
    <row r="37824" customFormat="false" ht="15" hidden="false" customHeight="true" outlineLevel="0" collapsed="false"/>
    <row r="37825" customFormat="false" ht="15" hidden="false" customHeight="true" outlineLevel="0" collapsed="false"/>
    <row r="37826" customFormat="false" ht="15" hidden="false" customHeight="true" outlineLevel="0" collapsed="false"/>
    <row r="37827" customFormat="false" ht="15" hidden="false" customHeight="true" outlineLevel="0" collapsed="false"/>
    <row r="37828" customFormat="false" ht="15" hidden="false" customHeight="true" outlineLevel="0" collapsed="false"/>
    <row r="37829" customFormat="false" ht="15" hidden="false" customHeight="true" outlineLevel="0" collapsed="false"/>
    <row r="37830" customFormat="false" ht="15" hidden="false" customHeight="true" outlineLevel="0" collapsed="false"/>
    <row r="37831" customFormat="false" ht="15" hidden="false" customHeight="true" outlineLevel="0" collapsed="false"/>
    <row r="37832" customFormat="false" ht="15" hidden="false" customHeight="true" outlineLevel="0" collapsed="false"/>
    <row r="37833" customFormat="false" ht="15" hidden="false" customHeight="true" outlineLevel="0" collapsed="false"/>
    <row r="37834" customFormat="false" ht="15" hidden="false" customHeight="true" outlineLevel="0" collapsed="false"/>
    <row r="37835" customFormat="false" ht="15" hidden="false" customHeight="true" outlineLevel="0" collapsed="false"/>
    <row r="37836" customFormat="false" ht="15" hidden="false" customHeight="true" outlineLevel="0" collapsed="false"/>
    <row r="37837" customFormat="false" ht="15" hidden="false" customHeight="true" outlineLevel="0" collapsed="false"/>
    <row r="37838" customFormat="false" ht="15" hidden="false" customHeight="true" outlineLevel="0" collapsed="false"/>
    <row r="37839" customFormat="false" ht="15" hidden="false" customHeight="true" outlineLevel="0" collapsed="false"/>
    <row r="37840" customFormat="false" ht="15" hidden="false" customHeight="true" outlineLevel="0" collapsed="false"/>
    <row r="37841" customFormat="false" ht="15" hidden="false" customHeight="true" outlineLevel="0" collapsed="false"/>
    <row r="37842" customFormat="false" ht="15" hidden="false" customHeight="true" outlineLevel="0" collapsed="false"/>
    <row r="37843" customFormat="false" ht="15" hidden="false" customHeight="true" outlineLevel="0" collapsed="false"/>
    <row r="37844" customFormat="false" ht="15" hidden="false" customHeight="true" outlineLevel="0" collapsed="false"/>
    <row r="37845" customFormat="false" ht="15" hidden="false" customHeight="true" outlineLevel="0" collapsed="false"/>
    <row r="37846" customFormat="false" ht="15" hidden="false" customHeight="true" outlineLevel="0" collapsed="false"/>
    <row r="37847" customFormat="false" ht="15" hidden="false" customHeight="true" outlineLevel="0" collapsed="false"/>
    <row r="37848" customFormat="false" ht="15" hidden="false" customHeight="true" outlineLevel="0" collapsed="false"/>
    <row r="37849" customFormat="false" ht="15" hidden="false" customHeight="true" outlineLevel="0" collapsed="false"/>
    <row r="37850" customFormat="false" ht="15" hidden="false" customHeight="true" outlineLevel="0" collapsed="false"/>
    <row r="37851" customFormat="false" ht="15" hidden="false" customHeight="true" outlineLevel="0" collapsed="false"/>
    <row r="37852" customFormat="false" ht="15" hidden="false" customHeight="true" outlineLevel="0" collapsed="false"/>
    <row r="37853" customFormat="false" ht="15" hidden="false" customHeight="true" outlineLevel="0" collapsed="false"/>
    <row r="37854" customFormat="false" ht="15" hidden="false" customHeight="true" outlineLevel="0" collapsed="false"/>
    <row r="37855" customFormat="false" ht="15" hidden="false" customHeight="true" outlineLevel="0" collapsed="false"/>
    <row r="37856" customFormat="false" ht="15" hidden="false" customHeight="true" outlineLevel="0" collapsed="false"/>
    <row r="37857" customFormat="false" ht="15" hidden="false" customHeight="true" outlineLevel="0" collapsed="false"/>
    <row r="37858" customFormat="false" ht="15" hidden="false" customHeight="true" outlineLevel="0" collapsed="false"/>
    <row r="37859" customFormat="false" ht="15" hidden="false" customHeight="true" outlineLevel="0" collapsed="false"/>
    <row r="37860" customFormat="false" ht="15" hidden="false" customHeight="true" outlineLevel="0" collapsed="false"/>
    <row r="37861" customFormat="false" ht="15" hidden="false" customHeight="true" outlineLevel="0" collapsed="false"/>
    <row r="37862" customFormat="false" ht="15" hidden="false" customHeight="true" outlineLevel="0" collapsed="false"/>
    <row r="37863" customFormat="false" ht="15" hidden="false" customHeight="true" outlineLevel="0" collapsed="false"/>
    <row r="37864" customFormat="false" ht="15" hidden="false" customHeight="true" outlineLevel="0" collapsed="false"/>
    <row r="37865" customFormat="false" ht="15" hidden="false" customHeight="true" outlineLevel="0" collapsed="false"/>
    <row r="37866" customFormat="false" ht="15" hidden="false" customHeight="true" outlineLevel="0" collapsed="false"/>
    <row r="37867" customFormat="false" ht="15" hidden="false" customHeight="true" outlineLevel="0" collapsed="false"/>
    <row r="37868" customFormat="false" ht="15" hidden="false" customHeight="true" outlineLevel="0" collapsed="false"/>
    <row r="37869" customFormat="false" ht="15" hidden="false" customHeight="true" outlineLevel="0" collapsed="false"/>
    <row r="37870" customFormat="false" ht="15" hidden="false" customHeight="true" outlineLevel="0" collapsed="false"/>
    <row r="37871" customFormat="false" ht="15" hidden="false" customHeight="true" outlineLevel="0" collapsed="false"/>
    <row r="37872" customFormat="false" ht="15" hidden="false" customHeight="true" outlineLevel="0" collapsed="false"/>
    <row r="37873" customFormat="false" ht="15" hidden="false" customHeight="true" outlineLevel="0" collapsed="false"/>
    <row r="37874" customFormat="false" ht="15" hidden="false" customHeight="true" outlineLevel="0" collapsed="false"/>
    <row r="37875" customFormat="false" ht="15" hidden="false" customHeight="true" outlineLevel="0" collapsed="false"/>
    <row r="37876" customFormat="false" ht="15" hidden="false" customHeight="true" outlineLevel="0" collapsed="false"/>
    <row r="37877" customFormat="false" ht="15" hidden="false" customHeight="true" outlineLevel="0" collapsed="false"/>
    <row r="37878" customFormat="false" ht="15" hidden="false" customHeight="true" outlineLevel="0" collapsed="false"/>
    <row r="37879" customFormat="false" ht="15" hidden="false" customHeight="true" outlineLevel="0" collapsed="false"/>
    <row r="37880" customFormat="false" ht="15" hidden="false" customHeight="true" outlineLevel="0" collapsed="false"/>
    <row r="37881" customFormat="false" ht="15" hidden="false" customHeight="true" outlineLevel="0" collapsed="false"/>
    <row r="37882" customFormat="false" ht="15" hidden="false" customHeight="true" outlineLevel="0" collapsed="false"/>
    <row r="37883" customFormat="false" ht="15" hidden="false" customHeight="true" outlineLevel="0" collapsed="false"/>
    <row r="37884" customFormat="false" ht="15" hidden="false" customHeight="true" outlineLevel="0" collapsed="false"/>
    <row r="37885" customFormat="false" ht="15" hidden="false" customHeight="true" outlineLevel="0" collapsed="false"/>
    <row r="37886" customFormat="false" ht="15" hidden="false" customHeight="true" outlineLevel="0" collapsed="false"/>
    <row r="37887" customFormat="false" ht="15" hidden="false" customHeight="true" outlineLevel="0" collapsed="false"/>
    <row r="37888" customFormat="false" ht="15" hidden="false" customHeight="true" outlineLevel="0" collapsed="false"/>
    <row r="37889" customFormat="false" ht="15" hidden="false" customHeight="true" outlineLevel="0" collapsed="false"/>
    <row r="37890" customFormat="false" ht="15" hidden="false" customHeight="true" outlineLevel="0" collapsed="false"/>
    <row r="37891" customFormat="false" ht="15" hidden="false" customHeight="true" outlineLevel="0" collapsed="false"/>
    <row r="37892" customFormat="false" ht="15" hidden="false" customHeight="true" outlineLevel="0" collapsed="false"/>
    <row r="37893" customFormat="false" ht="15" hidden="false" customHeight="true" outlineLevel="0" collapsed="false"/>
    <row r="37894" customFormat="false" ht="15" hidden="false" customHeight="true" outlineLevel="0" collapsed="false"/>
    <row r="37895" customFormat="false" ht="15" hidden="false" customHeight="true" outlineLevel="0" collapsed="false"/>
    <row r="37896" customFormat="false" ht="15" hidden="false" customHeight="true" outlineLevel="0" collapsed="false"/>
    <row r="37897" customFormat="false" ht="15" hidden="false" customHeight="true" outlineLevel="0" collapsed="false"/>
    <row r="37898" customFormat="false" ht="15" hidden="false" customHeight="true" outlineLevel="0" collapsed="false"/>
    <row r="37899" customFormat="false" ht="15" hidden="false" customHeight="true" outlineLevel="0" collapsed="false"/>
    <row r="37900" customFormat="false" ht="15" hidden="false" customHeight="true" outlineLevel="0" collapsed="false"/>
    <row r="37901" customFormat="false" ht="15" hidden="false" customHeight="true" outlineLevel="0" collapsed="false"/>
    <row r="37902" customFormat="false" ht="15" hidden="false" customHeight="true" outlineLevel="0" collapsed="false"/>
    <row r="37903" customFormat="false" ht="15" hidden="false" customHeight="true" outlineLevel="0" collapsed="false"/>
    <row r="37904" customFormat="false" ht="15" hidden="false" customHeight="true" outlineLevel="0" collapsed="false"/>
    <row r="37905" customFormat="false" ht="15" hidden="false" customHeight="true" outlineLevel="0" collapsed="false"/>
    <row r="37906" customFormat="false" ht="15" hidden="false" customHeight="true" outlineLevel="0" collapsed="false"/>
    <row r="37907" customFormat="false" ht="15" hidden="false" customHeight="true" outlineLevel="0" collapsed="false"/>
    <row r="37908" customFormat="false" ht="15" hidden="false" customHeight="true" outlineLevel="0" collapsed="false"/>
    <row r="37909" customFormat="false" ht="15" hidden="false" customHeight="true" outlineLevel="0" collapsed="false"/>
    <row r="37910" customFormat="false" ht="15" hidden="false" customHeight="true" outlineLevel="0" collapsed="false"/>
    <row r="37911" customFormat="false" ht="15" hidden="false" customHeight="true" outlineLevel="0" collapsed="false"/>
    <row r="37912" customFormat="false" ht="15" hidden="false" customHeight="true" outlineLevel="0" collapsed="false"/>
    <row r="37913" customFormat="false" ht="15" hidden="false" customHeight="true" outlineLevel="0" collapsed="false"/>
    <row r="37914" customFormat="false" ht="15" hidden="false" customHeight="true" outlineLevel="0" collapsed="false"/>
    <row r="37915" customFormat="false" ht="15" hidden="false" customHeight="true" outlineLevel="0" collapsed="false"/>
    <row r="37916" customFormat="false" ht="15" hidden="false" customHeight="true" outlineLevel="0" collapsed="false"/>
    <row r="37917" customFormat="false" ht="15" hidden="false" customHeight="true" outlineLevel="0" collapsed="false"/>
    <row r="37918" customFormat="false" ht="15" hidden="false" customHeight="true" outlineLevel="0" collapsed="false"/>
    <row r="37919" customFormat="false" ht="15" hidden="false" customHeight="true" outlineLevel="0" collapsed="false"/>
    <row r="37920" customFormat="false" ht="15" hidden="false" customHeight="true" outlineLevel="0" collapsed="false"/>
    <row r="37921" customFormat="false" ht="15" hidden="false" customHeight="true" outlineLevel="0" collapsed="false"/>
    <row r="37922" customFormat="false" ht="15" hidden="false" customHeight="true" outlineLevel="0" collapsed="false"/>
    <row r="37923" customFormat="false" ht="15" hidden="false" customHeight="true" outlineLevel="0" collapsed="false"/>
    <row r="37924" customFormat="false" ht="15" hidden="false" customHeight="true" outlineLevel="0" collapsed="false"/>
    <row r="37925" customFormat="false" ht="15" hidden="false" customHeight="true" outlineLevel="0" collapsed="false"/>
    <row r="37926" customFormat="false" ht="15" hidden="false" customHeight="true" outlineLevel="0" collapsed="false"/>
    <row r="37927" customFormat="false" ht="15" hidden="false" customHeight="true" outlineLevel="0" collapsed="false"/>
    <row r="37928" customFormat="false" ht="15" hidden="false" customHeight="true" outlineLevel="0" collapsed="false"/>
    <row r="37929" customFormat="false" ht="15" hidden="false" customHeight="true" outlineLevel="0" collapsed="false"/>
    <row r="37930" customFormat="false" ht="15" hidden="false" customHeight="true" outlineLevel="0" collapsed="false"/>
    <row r="37931" customFormat="false" ht="15" hidden="false" customHeight="true" outlineLevel="0" collapsed="false"/>
    <row r="37932" customFormat="false" ht="15" hidden="false" customHeight="true" outlineLevel="0" collapsed="false"/>
    <row r="37933" customFormat="false" ht="15" hidden="false" customHeight="true" outlineLevel="0" collapsed="false"/>
    <row r="37934" customFormat="false" ht="15" hidden="false" customHeight="true" outlineLevel="0" collapsed="false"/>
    <row r="37935" customFormat="false" ht="15" hidden="false" customHeight="true" outlineLevel="0" collapsed="false"/>
    <row r="37936" customFormat="false" ht="15" hidden="false" customHeight="true" outlineLevel="0" collapsed="false"/>
    <row r="37937" customFormat="false" ht="15" hidden="false" customHeight="true" outlineLevel="0" collapsed="false"/>
    <row r="37938" customFormat="false" ht="15" hidden="false" customHeight="true" outlineLevel="0" collapsed="false"/>
    <row r="37939" customFormat="false" ht="15" hidden="false" customHeight="true" outlineLevel="0" collapsed="false"/>
    <row r="37940" customFormat="false" ht="15" hidden="false" customHeight="true" outlineLevel="0" collapsed="false"/>
    <row r="37941" customFormat="false" ht="15" hidden="false" customHeight="true" outlineLevel="0" collapsed="false"/>
    <row r="37942" customFormat="false" ht="15" hidden="false" customHeight="true" outlineLevel="0" collapsed="false"/>
    <row r="37943" customFormat="false" ht="15" hidden="false" customHeight="true" outlineLevel="0" collapsed="false"/>
    <row r="37944" customFormat="false" ht="15" hidden="false" customHeight="true" outlineLevel="0" collapsed="false"/>
    <row r="37945" customFormat="false" ht="15" hidden="false" customHeight="true" outlineLevel="0" collapsed="false"/>
    <row r="37946" customFormat="false" ht="15" hidden="false" customHeight="true" outlineLevel="0" collapsed="false"/>
    <row r="37947" customFormat="false" ht="15" hidden="false" customHeight="true" outlineLevel="0" collapsed="false"/>
    <row r="37948" customFormat="false" ht="15" hidden="false" customHeight="true" outlineLevel="0" collapsed="false"/>
    <row r="37949" customFormat="false" ht="15" hidden="false" customHeight="true" outlineLevel="0" collapsed="false"/>
    <row r="37950" customFormat="false" ht="15" hidden="false" customHeight="true" outlineLevel="0" collapsed="false"/>
    <row r="37951" customFormat="false" ht="15" hidden="false" customHeight="true" outlineLevel="0" collapsed="false"/>
    <row r="37952" customFormat="false" ht="15" hidden="false" customHeight="true" outlineLevel="0" collapsed="false"/>
    <row r="37953" customFormat="false" ht="15" hidden="false" customHeight="true" outlineLevel="0" collapsed="false"/>
    <row r="37954" customFormat="false" ht="15" hidden="false" customHeight="true" outlineLevel="0" collapsed="false"/>
    <row r="37955" customFormat="false" ht="15" hidden="false" customHeight="true" outlineLevel="0" collapsed="false"/>
    <row r="37956" customFormat="false" ht="15" hidden="false" customHeight="true" outlineLevel="0" collapsed="false"/>
    <row r="37957" customFormat="false" ht="15" hidden="false" customHeight="true" outlineLevel="0" collapsed="false"/>
    <row r="37958" customFormat="false" ht="15" hidden="false" customHeight="true" outlineLevel="0" collapsed="false"/>
    <row r="37959" customFormat="false" ht="15" hidden="false" customHeight="true" outlineLevel="0" collapsed="false"/>
    <row r="37960" customFormat="false" ht="15" hidden="false" customHeight="true" outlineLevel="0" collapsed="false"/>
    <row r="37961" customFormat="false" ht="15" hidden="false" customHeight="true" outlineLevel="0" collapsed="false"/>
    <row r="37962" customFormat="false" ht="15" hidden="false" customHeight="true" outlineLevel="0" collapsed="false"/>
    <row r="37963" customFormat="false" ht="15" hidden="false" customHeight="true" outlineLevel="0" collapsed="false"/>
    <row r="37964" customFormat="false" ht="15" hidden="false" customHeight="true" outlineLevel="0" collapsed="false"/>
    <row r="37965" customFormat="false" ht="15" hidden="false" customHeight="true" outlineLevel="0" collapsed="false"/>
    <row r="37966" customFormat="false" ht="15" hidden="false" customHeight="true" outlineLevel="0" collapsed="false"/>
    <row r="37967" customFormat="false" ht="15" hidden="false" customHeight="true" outlineLevel="0" collapsed="false"/>
    <row r="37968" customFormat="false" ht="15" hidden="false" customHeight="true" outlineLevel="0" collapsed="false"/>
    <row r="37969" customFormat="false" ht="15" hidden="false" customHeight="true" outlineLevel="0" collapsed="false"/>
    <row r="37970" customFormat="false" ht="15" hidden="false" customHeight="true" outlineLevel="0" collapsed="false"/>
    <row r="37971" customFormat="false" ht="15" hidden="false" customHeight="true" outlineLevel="0" collapsed="false"/>
    <row r="37972" customFormat="false" ht="15" hidden="false" customHeight="true" outlineLevel="0" collapsed="false"/>
    <row r="37973" customFormat="false" ht="15" hidden="false" customHeight="true" outlineLevel="0" collapsed="false"/>
    <row r="37974" customFormat="false" ht="15" hidden="false" customHeight="true" outlineLevel="0" collapsed="false"/>
    <row r="37975" customFormat="false" ht="15" hidden="false" customHeight="true" outlineLevel="0" collapsed="false"/>
    <row r="37976" customFormat="false" ht="15" hidden="false" customHeight="true" outlineLevel="0" collapsed="false"/>
    <row r="37977" customFormat="false" ht="15" hidden="false" customHeight="true" outlineLevel="0" collapsed="false"/>
    <row r="37978" customFormat="false" ht="15" hidden="false" customHeight="true" outlineLevel="0" collapsed="false"/>
    <row r="37979" customFormat="false" ht="15" hidden="false" customHeight="true" outlineLevel="0" collapsed="false"/>
    <row r="37980" customFormat="false" ht="15" hidden="false" customHeight="true" outlineLevel="0" collapsed="false"/>
    <row r="37981" customFormat="false" ht="15" hidden="false" customHeight="true" outlineLevel="0" collapsed="false"/>
    <row r="37982" customFormat="false" ht="15" hidden="false" customHeight="true" outlineLevel="0" collapsed="false"/>
    <row r="37983" customFormat="false" ht="15" hidden="false" customHeight="true" outlineLevel="0" collapsed="false"/>
    <row r="37984" customFormat="false" ht="15" hidden="false" customHeight="true" outlineLevel="0" collapsed="false"/>
    <row r="37985" customFormat="false" ht="15" hidden="false" customHeight="true" outlineLevel="0" collapsed="false"/>
    <row r="37986" customFormat="false" ht="15" hidden="false" customHeight="true" outlineLevel="0" collapsed="false"/>
    <row r="37987" customFormat="false" ht="15" hidden="false" customHeight="true" outlineLevel="0" collapsed="false"/>
    <row r="37988" customFormat="false" ht="15" hidden="false" customHeight="true" outlineLevel="0" collapsed="false"/>
    <row r="37989" customFormat="false" ht="15" hidden="false" customHeight="true" outlineLevel="0" collapsed="false"/>
    <row r="37990" customFormat="false" ht="15" hidden="false" customHeight="true" outlineLevel="0" collapsed="false"/>
    <row r="37991" customFormat="false" ht="15" hidden="false" customHeight="true" outlineLevel="0" collapsed="false"/>
    <row r="37992" customFormat="false" ht="15" hidden="false" customHeight="true" outlineLevel="0" collapsed="false"/>
    <row r="37993" customFormat="false" ht="15" hidden="false" customHeight="true" outlineLevel="0" collapsed="false"/>
    <row r="37994" customFormat="false" ht="15" hidden="false" customHeight="true" outlineLevel="0" collapsed="false"/>
    <row r="37995" customFormat="false" ht="15" hidden="false" customHeight="true" outlineLevel="0" collapsed="false"/>
    <row r="37996" customFormat="false" ht="15" hidden="false" customHeight="true" outlineLevel="0" collapsed="false"/>
    <row r="37997" customFormat="false" ht="15" hidden="false" customHeight="true" outlineLevel="0" collapsed="false"/>
    <row r="37998" customFormat="false" ht="15" hidden="false" customHeight="true" outlineLevel="0" collapsed="false"/>
    <row r="37999" customFormat="false" ht="15" hidden="false" customHeight="true" outlineLevel="0" collapsed="false"/>
    <row r="38000" customFormat="false" ht="15" hidden="false" customHeight="true" outlineLevel="0" collapsed="false"/>
    <row r="38001" customFormat="false" ht="15" hidden="false" customHeight="true" outlineLevel="0" collapsed="false"/>
    <row r="38002" customFormat="false" ht="15" hidden="false" customHeight="true" outlineLevel="0" collapsed="false"/>
    <row r="38003" customFormat="false" ht="15" hidden="false" customHeight="true" outlineLevel="0" collapsed="false"/>
    <row r="38004" customFormat="false" ht="15" hidden="false" customHeight="true" outlineLevel="0" collapsed="false"/>
    <row r="38005" customFormat="false" ht="15" hidden="false" customHeight="true" outlineLevel="0" collapsed="false"/>
    <row r="38006" customFormat="false" ht="15" hidden="false" customHeight="true" outlineLevel="0" collapsed="false"/>
    <row r="38007" customFormat="false" ht="15" hidden="false" customHeight="true" outlineLevel="0" collapsed="false"/>
    <row r="38008" customFormat="false" ht="15" hidden="false" customHeight="true" outlineLevel="0" collapsed="false"/>
    <row r="38009" customFormat="false" ht="15" hidden="false" customHeight="true" outlineLevel="0" collapsed="false"/>
    <row r="38010" customFormat="false" ht="15" hidden="false" customHeight="true" outlineLevel="0" collapsed="false"/>
    <row r="38011" customFormat="false" ht="15" hidden="false" customHeight="true" outlineLevel="0" collapsed="false"/>
    <row r="38012" customFormat="false" ht="15" hidden="false" customHeight="true" outlineLevel="0" collapsed="false"/>
    <row r="38013" customFormat="false" ht="15" hidden="false" customHeight="true" outlineLevel="0" collapsed="false"/>
    <row r="38014" customFormat="false" ht="15" hidden="false" customHeight="true" outlineLevel="0" collapsed="false"/>
    <row r="38015" customFormat="false" ht="15" hidden="false" customHeight="true" outlineLevel="0" collapsed="false"/>
    <row r="38016" customFormat="false" ht="15" hidden="false" customHeight="true" outlineLevel="0" collapsed="false"/>
    <row r="38017" customFormat="false" ht="15" hidden="false" customHeight="true" outlineLevel="0" collapsed="false"/>
    <row r="38018" customFormat="false" ht="15" hidden="false" customHeight="true" outlineLevel="0" collapsed="false"/>
    <row r="38019" customFormat="false" ht="15" hidden="false" customHeight="true" outlineLevel="0" collapsed="false"/>
    <row r="38020" customFormat="false" ht="15" hidden="false" customHeight="true" outlineLevel="0" collapsed="false"/>
    <row r="38021" customFormat="false" ht="15" hidden="false" customHeight="true" outlineLevel="0" collapsed="false"/>
    <row r="38022" customFormat="false" ht="15" hidden="false" customHeight="true" outlineLevel="0" collapsed="false"/>
    <row r="38023" customFormat="false" ht="15" hidden="false" customHeight="true" outlineLevel="0" collapsed="false"/>
    <row r="38024" customFormat="false" ht="15" hidden="false" customHeight="true" outlineLevel="0" collapsed="false"/>
    <row r="38025" customFormat="false" ht="15" hidden="false" customHeight="true" outlineLevel="0" collapsed="false"/>
    <row r="38026" customFormat="false" ht="15" hidden="false" customHeight="true" outlineLevel="0" collapsed="false"/>
    <row r="38027" customFormat="false" ht="15" hidden="false" customHeight="true" outlineLevel="0" collapsed="false"/>
    <row r="38028" customFormat="false" ht="15" hidden="false" customHeight="true" outlineLevel="0" collapsed="false"/>
    <row r="38029" customFormat="false" ht="15" hidden="false" customHeight="true" outlineLevel="0" collapsed="false"/>
    <row r="38030" customFormat="false" ht="15" hidden="false" customHeight="true" outlineLevel="0" collapsed="false"/>
    <row r="38031" customFormat="false" ht="15" hidden="false" customHeight="true" outlineLevel="0" collapsed="false"/>
    <row r="38032" customFormat="false" ht="15" hidden="false" customHeight="true" outlineLevel="0" collapsed="false"/>
    <row r="38033" customFormat="false" ht="15" hidden="false" customHeight="true" outlineLevel="0" collapsed="false"/>
    <row r="38034" customFormat="false" ht="15" hidden="false" customHeight="true" outlineLevel="0" collapsed="false"/>
    <row r="38035" customFormat="false" ht="15" hidden="false" customHeight="true" outlineLevel="0" collapsed="false"/>
    <row r="38036" customFormat="false" ht="15" hidden="false" customHeight="true" outlineLevel="0" collapsed="false"/>
    <row r="38037" customFormat="false" ht="15" hidden="false" customHeight="true" outlineLevel="0" collapsed="false"/>
    <row r="38038" customFormat="false" ht="15" hidden="false" customHeight="true" outlineLevel="0" collapsed="false"/>
    <row r="38039" customFormat="false" ht="15" hidden="false" customHeight="true" outlineLevel="0" collapsed="false"/>
    <row r="38040" customFormat="false" ht="15" hidden="false" customHeight="true" outlineLevel="0" collapsed="false"/>
    <row r="38041" customFormat="false" ht="15" hidden="false" customHeight="true" outlineLevel="0" collapsed="false"/>
    <row r="38042" customFormat="false" ht="15" hidden="false" customHeight="true" outlineLevel="0" collapsed="false"/>
    <row r="38043" customFormat="false" ht="15" hidden="false" customHeight="true" outlineLevel="0" collapsed="false"/>
    <row r="38044" customFormat="false" ht="15" hidden="false" customHeight="true" outlineLevel="0" collapsed="false"/>
    <row r="38045" customFormat="false" ht="15" hidden="false" customHeight="true" outlineLevel="0" collapsed="false"/>
    <row r="38046" customFormat="false" ht="15" hidden="false" customHeight="true" outlineLevel="0" collapsed="false"/>
    <row r="38047" customFormat="false" ht="15" hidden="false" customHeight="true" outlineLevel="0" collapsed="false"/>
    <row r="38048" customFormat="false" ht="15" hidden="false" customHeight="true" outlineLevel="0" collapsed="false"/>
    <row r="38049" customFormat="false" ht="15" hidden="false" customHeight="true" outlineLevel="0" collapsed="false"/>
    <row r="38050" customFormat="false" ht="15" hidden="false" customHeight="true" outlineLevel="0" collapsed="false"/>
    <row r="38051" customFormat="false" ht="15" hidden="false" customHeight="true" outlineLevel="0" collapsed="false"/>
    <row r="38052" customFormat="false" ht="15" hidden="false" customHeight="true" outlineLevel="0" collapsed="false"/>
    <row r="38053" customFormat="false" ht="15" hidden="false" customHeight="true" outlineLevel="0" collapsed="false"/>
    <row r="38054" customFormat="false" ht="15" hidden="false" customHeight="true" outlineLevel="0" collapsed="false"/>
    <row r="38055" customFormat="false" ht="15" hidden="false" customHeight="true" outlineLevel="0" collapsed="false"/>
    <row r="38056" customFormat="false" ht="15" hidden="false" customHeight="true" outlineLevel="0" collapsed="false"/>
    <row r="38057" customFormat="false" ht="15" hidden="false" customHeight="true" outlineLevel="0" collapsed="false"/>
    <row r="38058" customFormat="false" ht="15" hidden="false" customHeight="true" outlineLevel="0" collapsed="false"/>
    <row r="38059" customFormat="false" ht="15" hidden="false" customHeight="true" outlineLevel="0" collapsed="false"/>
    <row r="38060" customFormat="false" ht="15" hidden="false" customHeight="true" outlineLevel="0" collapsed="false"/>
    <row r="38061" customFormat="false" ht="15" hidden="false" customHeight="true" outlineLevel="0" collapsed="false"/>
    <row r="38062" customFormat="false" ht="15" hidden="false" customHeight="true" outlineLevel="0" collapsed="false"/>
    <row r="38063" customFormat="false" ht="15" hidden="false" customHeight="true" outlineLevel="0" collapsed="false"/>
    <row r="38064" customFormat="false" ht="15" hidden="false" customHeight="true" outlineLevel="0" collapsed="false"/>
    <row r="38065" customFormat="false" ht="15" hidden="false" customHeight="true" outlineLevel="0" collapsed="false"/>
    <row r="38066" customFormat="false" ht="15" hidden="false" customHeight="true" outlineLevel="0" collapsed="false"/>
    <row r="38067" customFormat="false" ht="15" hidden="false" customHeight="true" outlineLevel="0" collapsed="false"/>
    <row r="38068" customFormat="false" ht="15" hidden="false" customHeight="true" outlineLevel="0" collapsed="false"/>
    <row r="38069" customFormat="false" ht="15" hidden="false" customHeight="true" outlineLevel="0" collapsed="false"/>
    <row r="38070" customFormat="false" ht="15" hidden="false" customHeight="true" outlineLevel="0" collapsed="false"/>
    <row r="38071" customFormat="false" ht="15" hidden="false" customHeight="true" outlineLevel="0" collapsed="false"/>
    <row r="38072" customFormat="false" ht="15" hidden="false" customHeight="true" outlineLevel="0" collapsed="false"/>
    <row r="38073" customFormat="false" ht="15" hidden="false" customHeight="true" outlineLevel="0" collapsed="false"/>
    <row r="38074" customFormat="false" ht="15" hidden="false" customHeight="true" outlineLevel="0" collapsed="false"/>
    <row r="38075" customFormat="false" ht="15" hidden="false" customHeight="true" outlineLevel="0" collapsed="false"/>
    <row r="38076" customFormat="false" ht="15" hidden="false" customHeight="true" outlineLevel="0" collapsed="false"/>
    <row r="38077" customFormat="false" ht="15" hidden="false" customHeight="true" outlineLevel="0" collapsed="false"/>
    <row r="38078" customFormat="false" ht="15" hidden="false" customHeight="true" outlineLevel="0" collapsed="false"/>
    <row r="38079" customFormat="false" ht="15" hidden="false" customHeight="true" outlineLevel="0" collapsed="false"/>
    <row r="38080" customFormat="false" ht="15" hidden="false" customHeight="true" outlineLevel="0" collapsed="false"/>
    <row r="38081" customFormat="false" ht="15" hidden="false" customHeight="true" outlineLevel="0" collapsed="false"/>
    <row r="38082" customFormat="false" ht="15" hidden="false" customHeight="true" outlineLevel="0" collapsed="false"/>
    <row r="38083" customFormat="false" ht="15" hidden="false" customHeight="true" outlineLevel="0" collapsed="false"/>
    <row r="38084" customFormat="false" ht="15" hidden="false" customHeight="true" outlineLevel="0" collapsed="false"/>
    <row r="38085" customFormat="false" ht="15" hidden="false" customHeight="true" outlineLevel="0" collapsed="false"/>
    <row r="38086" customFormat="false" ht="15" hidden="false" customHeight="true" outlineLevel="0" collapsed="false"/>
    <row r="38087" customFormat="false" ht="15" hidden="false" customHeight="true" outlineLevel="0" collapsed="false"/>
    <row r="38088" customFormat="false" ht="15" hidden="false" customHeight="true" outlineLevel="0" collapsed="false"/>
    <row r="38089" customFormat="false" ht="15" hidden="false" customHeight="true" outlineLevel="0" collapsed="false"/>
    <row r="38090" customFormat="false" ht="15" hidden="false" customHeight="true" outlineLevel="0" collapsed="false"/>
    <row r="38091" customFormat="false" ht="15" hidden="false" customHeight="true" outlineLevel="0" collapsed="false"/>
    <row r="38092" customFormat="false" ht="15" hidden="false" customHeight="true" outlineLevel="0" collapsed="false"/>
    <row r="38093" customFormat="false" ht="15" hidden="false" customHeight="true" outlineLevel="0" collapsed="false"/>
    <row r="38094" customFormat="false" ht="15" hidden="false" customHeight="true" outlineLevel="0" collapsed="false"/>
    <row r="38095" customFormat="false" ht="15" hidden="false" customHeight="true" outlineLevel="0" collapsed="false"/>
    <row r="38096" customFormat="false" ht="15" hidden="false" customHeight="true" outlineLevel="0" collapsed="false"/>
    <row r="38097" customFormat="false" ht="15" hidden="false" customHeight="true" outlineLevel="0" collapsed="false"/>
    <row r="38098" customFormat="false" ht="15" hidden="false" customHeight="true" outlineLevel="0" collapsed="false"/>
    <row r="38099" customFormat="false" ht="15" hidden="false" customHeight="true" outlineLevel="0" collapsed="false"/>
    <row r="38100" customFormat="false" ht="15" hidden="false" customHeight="true" outlineLevel="0" collapsed="false"/>
    <row r="38101" customFormat="false" ht="15" hidden="false" customHeight="true" outlineLevel="0" collapsed="false"/>
    <row r="38102" customFormat="false" ht="15" hidden="false" customHeight="true" outlineLevel="0" collapsed="false"/>
    <row r="38103" customFormat="false" ht="15" hidden="false" customHeight="true" outlineLevel="0" collapsed="false"/>
    <row r="38104" customFormat="false" ht="15" hidden="false" customHeight="true" outlineLevel="0" collapsed="false"/>
    <row r="38105" customFormat="false" ht="15" hidden="false" customHeight="true" outlineLevel="0" collapsed="false"/>
    <row r="38106" customFormat="false" ht="15" hidden="false" customHeight="true" outlineLevel="0" collapsed="false"/>
    <row r="38107" customFormat="false" ht="15" hidden="false" customHeight="true" outlineLevel="0" collapsed="false"/>
    <row r="38108" customFormat="false" ht="15" hidden="false" customHeight="true" outlineLevel="0" collapsed="false"/>
    <row r="38109" customFormat="false" ht="15" hidden="false" customHeight="true" outlineLevel="0" collapsed="false"/>
    <row r="38110" customFormat="false" ht="15" hidden="false" customHeight="true" outlineLevel="0" collapsed="false"/>
    <row r="38111" customFormat="false" ht="15" hidden="false" customHeight="true" outlineLevel="0" collapsed="false"/>
    <row r="38112" customFormat="false" ht="15" hidden="false" customHeight="true" outlineLevel="0" collapsed="false"/>
    <row r="38113" customFormat="false" ht="15" hidden="false" customHeight="true" outlineLevel="0" collapsed="false"/>
    <row r="38114" customFormat="false" ht="15" hidden="false" customHeight="true" outlineLevel="0" collapsed="false"/>
    <row r="38115" customFormat="false" ht="15" hidden="false" customHeight="true" outlineLevel="0" collapsed="false"/>
    <row r="38116" customFormat="false" ht="15" hidden="false" customHeight="true" outlineLevel="0" collapsed="false"/>
    <row r="38117" customFormat="false" ht="15" hidden="false" customHeight="true" outlineLevel="0" collapsed="false"/>
    <row r="38118" customFormat="false" ht="15" hidden="false" customHeight="true" outlineLevel="0" collapsed="false"/>
    <row r="38119" customFormat="false" ht="15" hidden="false" customHeight="true" outlineLevel="0" collapsed="false"/>
    <row r="38120" customFormat="false" ht="15" hidden="false" customHeight="true" outlineLevel="0" collapsed="false"/>
    <row r="38121" customFormat="false" ht="15" hidden="false" customHeight="true" outlineLevel="0" collapsed="false"/>
    <row r="38122" customFormat="false" ht="15" hidden="false" customHeight="true" outlineLevel="0" collapsed="false"/>
    <row r="38123" customFormat="false" ht="15" hidden="false" customHeight="true" outlineLevel="0" collapsed="false"/>
    <row r="38124" customFormat="false" ht="15" hidden="false" customHeight="true" outlineLevel="0" collapsed="false"/>
    <row r="38125" customFormat="false" ht="15" hidden="false" customHeight="true" outlineLevel="0" collapsed="false"/>
    <row r="38126" customFormat="false" ht="15" hidden="false" customHeight="true" outlineLevel="0" collapsed="false"/>
    <row r="38127" customFormat="false" ht="15" hidden="false" customHeight="true" outlineLevel="0" collapsed="false"/>
    <row r="38128" customFormat="false" ht="15" hidden="false" customHeight="true" outlineLevel="0" collapsed="false"/>
    <row r="38129" customFormat="false" ht="15" hidden="false" customHeight="true" outlineLevel="0" collapsed="false"/>
    <row r="38130" customFormat="false" ht="15" hidden="false" customHeight="true" outlineLevel="0" collapsed="false"/>
    <row r="38131" customFormat="false" ht="15" hidden="false" customHeight="true" outlineLevel="0" collapsed="false"/>
    <row r="38132" customFormat="false" ht="15" hidden="false" customHeight="true" outlineLevel="0" collapsed="false"/>
    <row r="38133" customFormat="false" ht="15" hidden="false" customHeight="true" outlineLevel="0" collapsed="false"/>
    <row r="38134" customFormat="false" ht="15" hidden="false" customHeight="true" outlineLevel="0" collapsed="false"/>
    <row r="38135" customFormat="false" ht="15" hidden="false" customHeight="true" outlineLevel="0" collapsed="false"/>
    <row r="38136" customFormat="false" ht="15" hidden="false" customHeight="true" outlineLevel="0" collapsed="false"/>
    <row r="38137" customFormat="false" ht="15" hidden="false" customHeight="true" outlineLevel="0" collapsed="false"/>
    <row r="38138" customFormat="false" ht="15" hidden="false" customHeight="true" outlineLevel="0" collapsed="false"/>
    <row r="38139" customFormat="false" ht="15" hidden="false" customHeight="true" outlineLevel="0" collapsed="false"/>
    <row r="38140" customFormat="false" ht="15" hidden="false" customHeight="true" outlineLevel="0" collapsed="false"/>
    <row r="38141" customFormat="false" ht="15" hidden="false" customHeight="true" outlineLevel="0" collapsed="false"/>
    <row r="38142" customFormat="false" ht="15" hidden="false" customHeight="true" outlineLevel="0" collapsed="false"/>
    <row r="38143" customFormat="false" ht="15" hidden="false" customHeight="true" outlineLevel="0" collapsed="false"/>
    <row r="38144" customFormat="false" ht="15" hidden="false" customHeight="true" outlineLevel="0" collapsed="false"/>
    <row r="38145" customFormat="false" ht="15" hidden="false" customHeight="true" outlineLevel="0" collapsed="false"/>
    <row r="38146" customFormat="false" ht="15" hidden="false" customHeight="true" outlineLevel="0" collapsed="false"/>
    <row r="38147" customFormat="false" ht="15" hidden="false" customHeight="true" outlineLevel="0" collapsed="false"/>
    <row r="38148" customFormat="false" ht="15" hidden="false" customHeight="true" outlineLevel="0" collapsed="false"/>
    <row r="38149" customFormat="false" ht="15" hidden="false" customHeight="true" outlineLevel="0" collapsed="false"/>
    <row r="38150" customFormat="false" ht="15" hidden="false" customHeight="true" outlineLevel="0" collapsed="false"/>
    <row r="38151" customFormat="false" ht="15" hidden="false" customHeight="true" outlineLevel="0" collapsed="false"/>
    <row r="38152" customFormat="false" ht="15" hidden="false" customHeight="true" outlineLevel="0" collapsed="false"/>
    <row r="38153" customFormat="false" ht="15" hidden="false" customHeight="true" outlineLevel="0" collapsed="false"/>
    <row r="38154" customFormat="false" ht="15" hidden="false" customHeight="true" outlineLevel="0" collapsed="false"/>
    <row r="38155" customFormat="false" ht="15" hidden="false" customHeight="true" outlineLevel="0" collapsed="false"/>
    <row r="38156" customFormat="false" ht="15" hidden="false" customHeight="true" outlineLevel="0" collapsed="false"/>
    <row r="38157" customFormat="false" ht="15" hidden="false" customHeight="true" outlineLevel="0" collapsed="false"/>
    <row r="38158" customFormat="false" ht="15" hidden="false" customHeight="true" outlineLevel="0" collapsed="false"/>
    <row r="38159" customFormat="false" ht="15" hidden="false" customHeight="true" outlineLevel="0" collapsed="false"/>
    <row r="38160" customFormat="false" ht="15" hidden="false" customHeight="true" outlineLevel="0" collapsed="false"/>
    <row r="38161" customFormat="false" ht="15" hidden="false" customHeight="true" outlineLevel="0" collapsed="false"/>
    <row r="38162" customFormat="false" ht="15" hidden="false" customHeight="true" outlineLevel="0" collapsed="false"/>
    <row r="38163" customFormat="false" ht="15" hidden="false" customHeight="true" outlineLevel="0" collapsed="false"/>
    <row r="38164" customFormat="false" ht="15" hidden="false" customHeight="true" outlineLevel="0" collapsed="false"/>
    <row r="38165" customFormat="false" ht="15" hidden="false" customHeight="true" outlineLevel="0" collapsed="false"/>
    <row r="38166" customFormat="false" ht="15" hidden="false" customHeight="true" outlineLevel="0" collapsed="false"/>
    <row r="38167" customFormat="false" ht="15" hidden="false" customHeight="true" outlineLevel="0" collapsed="false"/>
    <row r="38168" customFormat="false" ht="15" hidden="false" customHeight="true" outlineLevel="0" collapsed="false"/>
    <row r="38169" customFormat="false" ht="15" hidden="false" customHeight="true" outlineLevel="0" collapsed="false"/>
    <row r="38170" customFormat="false" ht="15" hidden="false" customHeight="true" outlineLevel="0" collapsed="false"/>
    <row r="38171" customFormat="false" ht="15" hidden="false" customHeight="true" outlineLevel="0" collapsed="false"/>
    <row r="38172" customFormat="false" ht="15" hidden="false" customHeight="true" outlineLevel="0" collapsed="false"/>
    <row r="38173" customFormat="false" ht="15" hidden="false" customHeight="true" outlineLevel="0" collapsed="false"/>
    <row r="38174" customFormat="false" ht="15" hidden="false" customHeight="true" outlineLevel="0" collapsed="false"/>
    <row r="38175" customFormat="false" ht="15" hidden="false" customHeight="true" outlineLevel="0" collapsed="false"/>
    <row r="38176" customFormat="false" ht="15" hidden="false" customHeight="true" outlineLevel="0" collapsed="false"/>
    <row r="38177" customFormat="false" ht="15" hidden="false" customHeight="true" outlineLevel="0" collapsed="false"/>
    <row r="38178" customFormat="false" ht="15" hidden="false" customHeight="true" outlineLevel="0" collapsed="false"/>
    <row r="38179" customFormat="false" ht="15" hidden="false" customHeight="true" outlineLevel="0" collapsed="false"/>
    <row r="38180" customFormat="false" ht="15" hidden="false" customHeight="true" outlineLevel="0" collapsed="false"/>
    <row r="38181" customFormat="false" ht="15" hidden="false" customHeight="true" outlineLevel="0" collapsed="false"/>
    <row r="38182" customFormat="false" ht="15" hidden="false" customHeight="true" outlineLevel="0" collapsed="false"/>
    <row r="38183" customFormat="false" ht="15" hidden="false" customHeight="true" outlineLevel="0" collapsed="false"/>
    <row r="38184" customFormat="false" ht="15" hidden="false" customHeight="true" outlineLevel="0" collapsed="false"/>
    <row r="38185" customFormat="false" ht="15" hidden="false" customHeight="true" outlineLevel="0" collapsed="false"/>
    <row r="38186" customFormat="false" ht="15" hidden="false" customHeight="true" outlineLevel="0" collapsed="false"/>
    <row r="38187" customFormat="false" ht="15" hidden="false" customHeight="true" outlineLevel="0" collapsed="false"/>
    <row r="38188" customFormat="false" ht="15" hidden="false" customHeight="true" outlineLevel="0" collapsed="false"/>
    <row r="38189" customFormat="false" ht="15" hidden="false" customHeight="true" outlineLevel="0" collapsed="false"/>
    <row r="38190" customFormat="false" ht="15" hidden="false" customHeight="true" outlineLevel="0" collapsed="false"/>
    <row r="38191" customFormat="false" ht="15" hidden="false" customHeight="true" outlineLevel="0" collapsed="false"/>
    <row r="38192" customFormat="false" ht="15" hidden="false" customHeight="true" outlineLevel="0" collapsed="false"/>
    <row r="38193" customFormat="false" ht="15" hidden="false" customHeight="true" outlineLevel="0" collapsed="false"/>
    <row r="38194" customFormat="false" ht="15" hidden="false" customHeight="true" outlineLevel="0" collapsed="false"/>
    <row r="38195" customFormat="false" ht="15" hidden="false" customHeight="true" outlineLevel="0" collapsed="false"/>
    <row r="38196" customFormat="false" ht="15" hidden="false" customHeight="true" outlineLevel="0" collapsed="false"/>
    <row r="38197" customFormat="false" ht="15" hidden="false" customHeight="true" outlineLevel="0" collapsed="false"/>
    <row r="38198" customFormat="false" ht="15" hidden="false" customHeight="true" outlineLevel="0" collapsed="false"/>
    <row r="38199" customFormat="false" ht="15" hidden="false" customHeight="true" outlineLevel="0" collapsed="false"/>
    <row r="38200" customFormat="false" ht="15" hidden="false" customHeight="true" outlineLevel="0" collapsed="false"/>
    <row r="38201" customFormat="false" ht="15" hidden="false" customHeight="true" outlineLevel="0" collapsed="false"/>
    <row r="38202" customFormat="false" ht="15" hidden="false" customHeight="true" outlineLevel="0" collapsed="false"/>
    <row r="38203" customFormat="false" ht="15" hidden="false" customHeight="true" outlineLevel="0" collapsed="false"/>
    <row r="38204" customFormat="false" ht="15" hidden="false" customHeight="true" outlineLevel="0" collapsed="false"/>
    <row r="38205" customFormat="false" ht="15" hidden="false" customHeight="true" outlineLevel="0" collapsed="false"/>
    <row r="38206" customFormat="false" ht="15" hidden="false" customHeight="true" outlineLevel="0" collapsed="false"/>
    <row r="38207" customFormat="false" ht="15" hidden="false" customHeight="true" outlineLevel="0" collapsed="false"/>
    <row r="38208" customFormat="false" ht="15" hidden="false" customHeight="true" outlineLevel="0" collapsed="false"/>
    <row r="38209" customFormat="false" ht="15" hidden="false" customHeight="true" outlineLevel="0" collapsed="false"/>
    <row r="38210" customFormat="false" ht="15" hidden="false" customHeight="true" outlineLevel="0" collapsed="false"/>
    <row r="38211" customFormat="false" ht="15" hidden="false" customHeight="true" outlineLevel="0" collapsed="false"/>
    <row r="38212" customFormat="false" ht="15" hidden="false" customHeight="true" outlineLevel="0" collapsed="false"/>
    <row r="38213" customFormat="false" ht="15" hidden="false" customHeight="true" outlineLevel="0" collapsed="false"/>
    <row r="38214" customFormat="false" ht="15" hidden="false" customHeight="true" outlineLevel="0" collapsed="false"/>
    <row r="38215" customFormat="false" ht="15" hidden="false" customHeight="true" outlineLevel="0" collapsed="false"/>
    <row r="38216" customFormat="false" ht="15" hidden="false" customHeight="true" outlineLevel="0" collapsed="false"/>
    <row r="38217" customFormat="false" ht="15" hidden="false" customHeight="true" outlineLevel="0" collapsed="false"/>
    <row r="38218" customFormat="false" ht="15" hidden="false" customHeight="true" outlineLevel="0" collapsed="false"/>
    <row r="38219" customFormat="false" ht="15" hidden="false" customHeight="true" outlineLevel="0" collapsed="false"/>
    <row r="38220" customFormat="false" ht="15" hidden="false" customHeight="true" outlineLevel="0" collapsed="false"/>
    <row r="38221" customFormat="false" ht="15" hidden="false" customHeight="true" outlineLevel="0" collapsed="false"/>
    <row r="38222" customFormat="false" ht="15" hidden="false" customHeight="true" outlineLevel="0" collapsed="false"/>
    <row r="38223" customFormat="false" ht="15" hidden="false" customHeight="true" outlineLevel="0" collapsed="false"/>
    <row r="38224" customFormat="false" ht="15" hidden="false" customHeight="true" outlineLevel="0" collapsed="false"/>
    <row r="38225" customFormat="false" ht="15" hidden="false" customHeight="true" outlineLevel="0" collapsed="false"/>
    <row r="38226" customFormat="false" ht="15" hidden="false" customHeight="true" outlineLevel="0" collapsed="false"/>
    <row r="38227" customFormat="false" ht="15" hidden="false" customHeight="true" outlineLevel="0" collapsed="false"/>
    <row r="38228" customFormat="false" ht="15" hidden="false" customHeight="true" outlineLevel="0" collapsed="false"/>
    <row r="38229" customFormat="false" ht="15" hidden="false" customHeight="true" outlineLevel="0" collapsed="false"/>
    <row r="38230" customFormat="false" ht="15" hidden="false" customHeight="true" outlineLevel="0" collapsed="false"/>
    <row r="38231" customFormat="false" ht="15" hidden="false" customHeight="true" outlineLevel="0" collapsed="false"/>
    <row r="38232" customFormat="false" ht="15" hidden="false" customHeight="true" outlineLevel="0" collapsed="false"/>
    <row r="38233" customFormat="false" ht="15" hidden="false" customHeight="true" outlineLevel="0" collapsed="false"/>
    <row r="38234" customFormat="false" ht="15" hidden="false" customHeight="true" outlineLevel="0" collapsed="false"/>
    <row r="38235" customFormat="false" ht="15" hidden="false" customHeight="true" outlineLevel="0" collapsed="false"/>
    <row r="38236" customFormat="false" ht="15" hidden="false" customHeight="true" outlineLevel="0" collapsed="false"/>
    <row r="38237" customFormat="false" ht="15" hidden="false" customHeight="true" outlineLevel="0" collapsed="false"/>
    <row r="38238" customFormat="false" ht="15" hidden="false" customHeight="true" outlineLevel="0" collapsed="false"/>
    <row r="38239" customFormat="false" ht="15" hidden="false" customHeight="true" outlineLevel="0" collapsed="false"/>
    <row r="38240" customFormat="false" ht="15" hidden="false" customHeight="true" outlineLevel="0" collapsed="false"/>
    <row r="38241" customFormat="false" ht="15" hidden="false" customHeight="true" outlineLevel="0" collapsed="false"/>
    <row r="38242" customFormat="false" ht="15" hidden="false" customHeight="true" outlineLevel="0" collapsed="false"/>
    <row r="38243" customFormat="false" ht="15" hidden="false" customHeight="true" outlineLevel="0" collapsed="false"/>
    <row r="38244" customFormat="false" ht="15" hidden="false" customHeight="true" outlineLevel="0" collapsed="false"/>
    <row r="38245" customFormat="false" ht="15" hidden="false" customHeight="true" outlineLevel="0" collapsed="false"/>
    <row r="38246" customFormat="false" ht="15" hidden="false" customHeight="true" outlineLevel="0" collapsed="false"/>
    <row r="38247" customFormat="false" ht="15" hidden="false" customHeight="true" outlineLevel="0" collapsed="false"/>
    <row r="38248" customFormat="false" ht="15" hidden="false" customHeight="true" outlineLevel="0" collapsed="false"/>
    <row r="38249" customFormat="false" ht="15" hidden="false" customHeight="true" outlineLevel="0" collapsed="false"/>
    <row r="38250" customFormat="false" ht="15" hidden="false" customHeight="true" outlineLevel="0" collapsed="false"/>
    <row r="38251" customFormat="false" ht="15" hidden="false" customHeight="true" outlineLevel="0" collapsed="false"/>
    <row r="38252" customFormat="false" ht="15" hidden="false" customHeight="true" outlineLevel="0" collapsed="false"/>
    <row r="38253" customFormat="false" ht="15" hidden="false" customHeight="true" outlineLevel="0" collapsed="false"/>
    <row r="38254" customFormat="false" ht="15" hidden="false" customHeight="true" outlineLevel="0" collapsed="false"/>
    <row r="38255" customFormat="false" ht="15" hidden="false" customHeight="true" outlineLevel="0" collapsed="false"/>
    <row r="38256" customFormat="false" ht="15" hidden="false" customHeight="true" outlineLevel="0" collapsed="false"/>
    <row r="38257" customFormat="false" ht="15" hidden="false" customHeight="true" outlineLevel="0" collapsed="false"/>
    <row r="38258" customFormat="false" ht="15" hidden="false" customHeight="true" outlineLevel="0" collapsed="false"/>
    <row r="38259" customFormat="false" ht="15" hidden="false" customHeight="true" outlineLevel="0" collapsed="false"/>
    <row r="38260" customFormat="false" ht="15" hidden="false" customHeight="true" outlineLevel="0" collapsed="false"/>
    <row r="38261" customFormat="false" ht="15" hidden="false" customHeight="true" outlineLevel="0" collapsed="false"/>
    <row r="38262" customFormat="false" ht="15" hidden="false" customHeight="true" outlineLevel="0" collapsed="false"/>
    <row r="38263" customFormat="false" ht="15" hidden="false" customHeight="true" outlineLevel="0" collapsed="false"/>
    <row r="38264" customFormat="false" ht="15" hidden="false" customHeight="true" outlineLevel="0" collapsed="false"/>
    <row r="38265" customFormat="false" ht="15" hidden="false" customHeight="true" outlineLevel="0" collapsed="false"/>
    <row r="38266" customFormat="false" ht="15" hidden="false" customHeight="true" outlineLevel="0" collapsed="false"/>
    <row r="38267" customFormat="false" ht="15" hidden="false" customHeight="true" outlineLevel="0" collapsed="false"/>
    <row r="38268" customFormat="false" ht="15" hidden="false" customHeight="true" outlineLevel="0" collapsed="false"/>
    <row r="38269" customFormat="false" ht="15" hidden="false" customHeight="true" outlineLevel="0" collapsed="false"/>
    <row r="38270" customFormat="false" ht="15" hidden="false" customHeight="true" outlineLevel="0" collapsed="false"/>
    <row r="38271" customFormat="false" ht="15" hidden="false" customHeight="true" outlineLevel="0" collapsed="false"/>
    <row r="38272" customFormat="false" ht="15" hidden="false" customHeight="true" outlineLevel="0" collapsed="false"/>
    <row r="38273" customFormat="false" ht="15" hidden="false" customHeight="true" outlineLevel="0" collapsed="false"/>
    <row r="38274" customFormat="false" ht="15" hidden="false" customHeight="true" outlineLevel="0" collapsed="false"/>
    <row r="38275" customFormat="false" ht="15" hidden="false" customHeight="true" outlineLevel="0" collapsed="false"/>
    <row r="38276" customFormat="false" ht="15" hidden="false" customHeight="true" outlineLevel="0" collapsed="false"/>
    <row r="38277" customFormat="false" ht="15" hidden="false" customHeight="true" outlineLevel="0" collapsed="false"/>
    <row r="38278" customFormat="false" ht="15" hidden="false" customHeight="true" outlineLevel="0" collapsed="false"/>
    <row r="38279" customFormat="false" ht="15" hidden="false" customHeight="true" outlineLevel="0" collapsed="false"/>
    <row r="38280" customFormat="false" ht="15" hidden="false" customHeight="true" outlineLevel="0" collapsed="false"/>
    <row r="38281" customFormat="false" ht="15" hidden="false" customHeight="true" outlineLevel="0" collapsed="false"/>
    <row r="38282" customFormat="false" ht="15" hidden="false" customHeight="true" outlineLevel="0" collapsed="false"/>
    <row r="38283" customFormat="false" ht="15" hidden="false" customHeight="true" outlineLevel="0" collapsed="false"/>
    <row r="38284" customFormat="false" ht="15" hidden="false" customHeight="true" outlineLevel="0" collapsed="false"/>
    <row r="38285" customFormat="false" ht="15" hidden="false" customHeight="true" outlineLevel="0" collapsed="false"/>
    <row r="38286" customFormat="false" ht="15" hidden="false" customHeight="true" outlineLevel="0" collapsed="false"/>
    <row r="38287" customFormat="false" ht="15" hidden="false" customHeight="true" outlineLevel="0" collapsed="false"/>
    <row r="38288" customFormat="false" ht="15" hidden="false" customHeight="true" outlineLevel="0" collapsed="false"/>
    <row r="38289" customFormat="false" ht="15" hidden="false" customHeight="true" outlineLevel="0" collapsed="false"/>
    <row r="38290" customFormat="false" ht="15" hidden="false" customHeight="true" outlineLevel="0" collapsed="false"/>
    <row r="38291" customFormat="false" ht="15" hidden="false" customHeight="true" outlineLevel="0" collapsed="false"/>
    <row r="38292" customFormat="false" ht="15" hidden="false" customHeight="true" outlineLevel="0" collapsed="false"/>
    <row r="38293" customFormat="false" ht="15" hidden="false" customHeight="true" outlineLevel="0" collapsed="false"/>
    <row r="38294" customFormat="false" ht="15" hidden="false" customHeight="true" outlineLevel="0" collapsed="false"/>
    <row r="38295" customFormat="false" ht="15" hidden="false" customHeight="true" outlineLevel="0" collapsed="false"/>
    <row r="38296" customFormat="false" ht="15" hidden="false" customHeight="true" outlineLevel="0" collapsed="false"/>
    <row r="38297" customFormat="false" ht="15" hidden="false" customHeight="true" outlineLevel="0" collapsed="false"/>
    <row r="38298" customFormat="false" ht="15" hidden="false" customHeight="true" outlineLevel="0" collapsed="false"/>
    <row r="38299" customFormat="false" ht="15" hidden="false" customHeight="true" outlineLevel="0" collapsed="false"/>
    <row r="38300" customFormat="false" ht="15" hidden="false" customHeight="true" outlineLevel="0" collapsed="false"/>
    <row r="38301" customFormat="false" ht="15" hidden="false" customHeight="true" outlineLevel="0" collapsed="false"/>
    <row r="38302" customFormat="false" ht="15" hidden="false" customHeight="true" outlineLevel="0" collapsed="false"/>
    <row r="38303" customFormat="false" ht="15" hidden="false" customHeight="true" outlineLevel="0" collapsed="false"/>
    <row r="38304" customFormat="false" ht="15" hidden="false" customHeight="true" outlineLevel="0" collapsed="false"/>
    <row r="38305" customFormat="false" ht="15" hidden="false" customHeight="true" outlineLevel="0" collapsed="false"/>
    <row r="38306" customFormat="false" ht="15" hidden="false" customHeight="true" outlineLevel="0" collapsed="false"/>
    <row r="38307" customFormat="false" ht="15" hidden="false" customHeight="true" outlineLevel="0" collapsed="false"/>
    <row r="38308" customFormat="false" ht="15" hidden="false" customHeight="true" outlineLevel="0" collapsed="false"/>
    <row r="38309" customFormat="false" ht="15" hidden="false" customHeight="true" outlineLevel="0" collapsed="false"/>
    <row r="38310" customFormat="false" ht="15" hidden="false" customHeight="true" outlineLevel="0" collapsed="false"/>
    <row r="38311" customFormat="false" ht="15" hidden="false" customHeight="true" outlineLevel="0" collapsed="false"/>
    <row r="38312" customFormat="false" ht="15" hidden="false" customHeight="true" outlineLevel="0" collapsed="false"/>
    <row r="38313" customFormat="false" ht="15" hidden="false" customHeight="true" outlineLevel="0" collapsed="false"/>
    <row r="38314" customFormat="false" ht="15" hidden="false" customHeight="true" outlineLevel="0" collapsed="false"/>
    <row r="38315" customFormat="false" ht="15" hidden="false" customHeight="true" outlineLevel="0" collapsed="false"/>
    <row r="38316" customFormat="false" ht="15" hidden="false" customHeight="true" outlineLevel="0" collapsed="false"/>
    <row r="38317" customFormat="false" ht="15" hidden="false" customHeight="true" outlineLevel="0" collapsed="false"/>
    <row r="38318" customFormat="false" ht="15" hidden="false" customHeight="true" outlineLevel="0" collapsed="false"/>
    <row r="38319" customFormat="false" ht="15" hidden="false" customHeight="true" outlineLevel="0" collapsed="false"/>
    <row r="38320" customFormat="false" ht="15" hidden="false" customHeight="true" outlineLevel="0" collapsed="false"/>
    <row r="38321" customFormat="false" ht="15" hidden="false" customHeight="true" outlineLevel="0" collapsed="false"/>
    <row r="38322" customFormat="false" ht="15" hidden="false" customHeight="true" outlineLevel="0" collapsed="false"/>
    <row r="38323" customFormat="false" ht="15" hidden="false" customHeight="true" outlineLevel="0" collapsed="false"/>
    <row r="38324" customFormat="false" ht="15" hidden="false" customHeight="true" outlineLevel="0" collapsed="false"/>
    <row r="38325" customFormat="false" ht="15" hidden="false" customHeight="true" outlineLevel="0" collapsed="false"/>
    <row r="38326" customFormat="false" ht="15" hidden="false" customHeight="true" outlineLevel="0" collapsed="false"/>
    <row r="38327" customFormat="false" ht="15" hidden="false" customHeight="true" outlineLevel="0" collapsed="false"/>
    <row r="38328" customFormat="false" ht="15" hidden="false" customHeight="true" outlineLevel="0" collapsed="false"/>
    <row r="38329" customFormat="false" ht="15" hidden="false" customHeight="true" outlineLevel="0" collapsed="false"/>
    <row r="38330" customFormat="false" ht="15" hidden="false" customHeight="true" outlineLevel="0" collapsed="false"/>
    <row r="38331" customFormat="false" ht="15" hidden="false" customHeight="true" outlineLevel="0" collapsed="false"/>
    <row r="38332" customFormat="false" ht="15" hidden="false" customHeight="true" outlineLevel="0" collapsed="false"/>
    <row r="38333" customFormat="false" ht="15" hidden="false" customHeight="true" outlineLevel="0" collapsed="false"/>
    <row r="38334" customFormat="false" ht="15" hidden="false" customHeight="true" outlineLevel="0" collapsed="false"/>
    <row r="38335" customFormat="false" ht="15" hidden="false" customHeight="true" outlineLevel="0" collapsed="false"/>
    <row r="38336" customFormat="false" ht="15" hidden="false" customHeight="true" outlineLevel="0" collapsed="false"/>
    <row r="38337" customFormat="false" ht="15" hidden="false" customHeight="true" outlineLevel="0" collapsed="false"/>
    <row r="38338" customFormat="false" ht="15" hidden="false" customHeight="true" outlineLevel="0" collapsed="false"/>
    <row r="38339" customFormat="false" ht="15" hidden="false" customHeight="true" outlineLevel="0" collapsed="false"/>
    <row r="38340" customFormat="false" ht="15" hidden="false" customHeight="true" outlineLevel="0" collapsed="false"/>
    <row r="38341" customFormat="false" ht="15" hidden="false" customHeight="true" outlineLevel="0" collapsed="false"/>
    <row r="38342" customFormat="false" ht="15" hidden="false" customHeight="true" outlineLevel="0" collapsed="false"/>
    <row r="38343" customFormat="false" ht="15" hidden="false" customHeight="true" outlineLevel="0" collapsed="false"/>
    <row r="38344" customFormat="false" ht="15" hidden="false" customHeight="true" outlineLevel="0" collapsed="false"/>
    <row r="38345" customFormat="false" ht="15" hidden="false" customHeight="true" outlineLevel="0" collapsed="false"/>
    <row r="38346" customFormat="false" ht="15" hidden="false" customHeight="true" outlineLevel="0" collapsed="false"/>
    <row r="38347" customFormat="false" ht="15" hidden="false" customHeight="true" outlineLevel="0" collapsed="false"/>
    <row r="38348" customFormat="false" ht="15" hidden="false" customHeight="true" outlineLevel="0" collapsed="false"/>
    <row r="38349" customFormat="false" ht="15" hidden="false" customHeight="true" outlineLevel="0" collapsed="false"/>
    <row r="38350" customFormat="false" ht="15" hidden="false" customHeight="true" outlineLevel="0" collapsed="false"/>
    <row r="38351" customFormat="false" ht="15" hidden="false" customHeight="true" outlineLevel="0" collapsed="false"/>
    <row r="38352" customFormat="false" ht="15" hidden="false" customHeight="true" outlineLevel="0" collapsed="false"/>
    <row r="38353" customFormat="false" ht="15" hidden="false" customHeight="true" outlineLevel="0" collapsed="false"/>
    <row r="38354" customFormat="false" ht="15" hidden="false" customHeight="true" outlineLevel="0" collapsed="false"/>
    <row r="38355" customFormat="false" ht="15" hidden="false" customHeight="true" outlineLevel="0" collapsed="false"/>
    <row r="38356" customFormat="false" ht="15" hidden="false" customHeight="true" outlineLevel="0" collapsed="false"/>
    <row r="38357" customFormat="false" ht="15" hidden="false" customHeight="true" outlineLevel="0" collapsed="false"/>
    <row r="38358" customFormat="false" ht="15" hidden="false" customHeight="true" outlineLevel="0" collapsed="false"/>
    <row r="38359" customFormat="false" ht="15" hidden="false" customHeight="true" outlineLevel="0" collapsed="false"/>
    <row r="38360" customFormat="false" ht="15" hidden="false" customHeight="true" outlineLevel="0" collapsed="false"/>
    <row r="38361" customFormat="false" ht="15" hidden="false" customHeight="true" outlineLevel="0" collapsed="false"/>
    <row r="38362" customFormat="false" ht="15" hidden="false" customHeight="true" outlineLevel="0" collapsed="false"/>
    <row r="38363" customFormat="false" ht="15" hidden="false" customHeight="true" outlineLevel="0" collapsed="false"/>
    <row r="38364" customFormat="false" ht="15" hidden="false" customHeight="true" outlineLevel="0" collapsed="false"/>
    <row r="38365" customFormat="false" ht="15" hidden="false" customHeight="true" outlineLevel="0" collapsed="false"/>
    <row r="38366" customFormat="false" ht="15" hidden="false" customHeight="true" outlineLevel="0" collapsed="false"/>
    <row r="38367" customFormat="false" ht="15" hidden="false" customHeight="true" outlineLevel="0" collapsed="false"/>
    <row r="38368" customFormat="false" ht="15" hidden="false" customHeight="true" outlineLevel="0" collapsed="false"/>
    <row r="38369" customFormat="false" ht="15" hidden="false" customHeight="true" outlineLevel="0" collapsed="false"/>
    <row r="38370" customFormat="false" ht="15" hidden="false" customHeight="true" outlineLevel="0" collapsed="false"/>
    <row r="38371" customFormat="false" ht="15" hidden="false" customHeight="true" outlineLevel="0" collapsed="false"/>
    <row r="38372" customFormat="false" ht="15" hidden="false" customHeight="true" outlineLevel="0" collapsed="false"/>
    <row r="38373" customFormat="false" ht="15" hidden="false" customHeight="true" outlineLevel="0" collapsed="false"/>
    <row r="38374" customFormat="false" ht="15" hidden="false" customHeight="true" outlineLevel="0" collapsed="false"/>
    <row r="38375" customFormat="false" ht="15" hidden="false" customHeight="true" outlineLevel="0" collapsed="false"/>
    <row r="38376" customFormat="false" ht="15" hidden="false" customHeight="true" outlineLevel="0" collapsed="false"/>
    <row r="38377" customFormat="false" ht="15" hidden="false" customHeight="true" outlineLevel="0" collapsed="false"/>
    <row r="38378" customFormat="false" ht="15" hidden="false" customHeight="true" outlineLevel="0" collapsed="false"/>
    <row r="38379" customFormat="false" ht="15" hidden="false" customHeight="true" outlineLevel="0" collapsed="false"/>
    <row r="38380" customFormat="false" ht="15" hidden="false" customHeight="true" outlineLevel="0" collapsed="false"/>
    <row r="38381" customFormat="false" ht="15" hidden="false" customHeight="true" outlineLevel="0" collapsed="false"/>
    <row r="38382" customFormat="false" ht="15" hidden="false" customHeight="true" outlineLevel="0" collapsed="false"/>
    <row r="38383" customFormat="false" ht="15" hidden="false" customHeight="true" outlineLevel="0" collapsed="false"/>
    <row r="38384" customFormat="false" ht="15" hidden="false" customHeight="true" outlineLevel="0" collapsed="false"/>
    <row r="38385" customFormat="false" ht="15" hidden="false" customHeight="true" outlineLevel="0" collapsed="false"/>
    <row r="38386" customFormat="false" ht="15" hidden="false" customHeight="true" outlineLevel="0" collapsed="false"/>
    <row r="38387" customFormat="false" ht="15" hidden="false" customHeight="true" outlineLevel="0" collapsed="false"/>
    <row r="38388" customFormat="false" ht="15" hidden="false" customHeight="true" outlineLevel="0" collapsed="false"/>
    <row r="38389" customFormat="false" ht="15" hidden="false" customHeight="true" outlineLevel="0" collapsed="false"/>
    <row r="38390" customFormat="false" ht="15" hidden="false" customHeight="true" outlineLevel="0" collapsed="false"/>
    <row r="38391" customFormat="false" ht="15" hidden="false" customHeight="true" outlineLevel="0" collapsed="false"/>
    <row r="38392" customFormat="false" ht="15" hidden="false" customHeight="true" outlineLevel="0" collapsed="false"/>
    <row r="38393" customFormat="false" ht="15" hidden="false" customHeight="true" outlineLevel="0" collapsed="false"/>
    <row r="38394" customFormat="false" ht="15" hidden="false" customHeight="true" outlineLevel="0" collapsed="false"/>
    <row r="38395" customFormat="false" ht="15" hidden="false" customHeight="true" outlineLevel="0" collapsed="false"/>
    <row r="38396" customFormat="false" ht="15" hidden="false" customHeight="true" outlineLevel="0" collapsed="false"/>
    <row r="38397" customFormat="false" ht="15" hidden="false" customHeight="true" outlineLevel="0" collapsed="false"/>
    <row r="38398" customFormat="false" ht="15" hidden="false" customHeight="true" outlineLevel="0" collapsed="false"/>
    <row r="38399" customFormat="false" ht="15" hidden="false" customHeight="true" outlineLevel="0" collapsed="false"/>
    <row r="38400" customFormat="false" ht="15" hidden="false" customHeight="true" outlineLevel="0" collapsed="false"/>
    <row r="38401" customFormat="false" ht="15" hidden="false" customHeight="true" outlineLevel="0" collapsed="false"/>
    <row r="38402" customFormat="false" ht="15" hidden="false" customHeight="true" outlineLevel="0" collapsed="false"/>
    <row r="38403" customFormat="false" ht="15" hidden="false" customHeight="true" outlineLevel="0" collapsed="false"/>
    <row r="38404" customFormat="false" ht="15" hidden="false" customHeight="true" outlineLevel="0" collapsed="false"/>
    <row r="38405" customFormat="false" ht="15" hidden="false" customHeight="true" outlineLevel="0" collapsed="false"/>
    <row r="38406" customFormat="false" ht="15" hidden="false" customHeight="true" outlineLevel="0" collapsed="false"/>
    <row r="38407" customFormat="false" ht="15" hidden="false" customHeight="true" outlineLevel="0" collapsed="false"/>
    <row r="38408" customFormat="false" ht="15" hidden="false" customHeight="true" outlineLevel="0" collapsed="false"/>
    <row r="38409" customFormat="false" ht="15" hidden="false" customHeight="true" outlineLevel="0" collapsed="false"/>
    <row r="38410" customFormat="false" ht="15" hidden="false" customHeight="true" outlineLevel="0" collapsed="false"/>
    <row r="38411" customFormat="false" ht="15" hidden="false" customHeight="true" outlineLevel="0" collapsed="false"/>
    <row r="38412" customFormat="false" ht="15" hidden="false" customHeight="true" outlineLevel="0" collapsed="false"/>
    <row r="38413" customFormat="false" ht="15" hidden="false" customHeight="true" outlineLevel="0" collapsed="false"/>
    <row r="38414" customFormat="false" ht="15" hidden="false" customHeight="true" outlineLevel="0" collapsed="false"/>
    <row r="38415" customFormat="false" ht="15" hidden="false" customHeight="true" outlineLevel="0" collapsed="false"/>
    <row r="38416" customFormat="false" ht="15" hidden="false" customHeight="true" outlineLevel="0" collapsed="false"/>
    <row r="38417" customFormat="false" ht="15" hidden="false" customHeight="true" outlineLevel="0" collapsed="false"/>
    <row r="38418" customFormat="false" ht="15" hidden="false" customHeight="true" outlineLevel="0" collapsed="false"/>
    <row r="38419" customFormat="false" ht="15" hidden="false" customHeight="true" outlineLevel="0" collapsed="false"/>
    <row r="38420" customFormat="false" ht="15" hidden="false" customHeight="true" outlineLevel="0" collapsed="false"/>
    <row r="38421" customFormat="false" ht="15" hidden="false" customHeight="true" outlineLevel="0" collapsed="false"/>
    <row r="38422" customFormat="false" ht="15" hidden="false" customHeight="true" outlineLevel="0" collapsed="false"/>
    <row r="38423" customFormat="false" ht="15" hidden="false" customHeight="true" outlineLevel="0" collapsed="false"/>
    <row r="38424" customFormat="false" ht="15" hidden="false" customHeight="true" outlineLevel="0" collapsed="false"/>
    <row r="38425" customFormat="false" ht="15" hidden="false" customHeight="true" outlineLevel="0" collapsed="false"/>
    <row r="38426" customFormat="false" ht="15" hidden="false" customHeight="true" outlineLevel="0" collapsed="false"/>
    <row r="38427" customFormat="false" ht="15" hidden="false" customHeight="true" outlineLevel="0" collapsed="false"/>
    <row r="38428" customFormat="false" ht="15" hidden="false" customHeight="true" outlineLevel="0" collapsed="false"/>
    <row r="38429" customFormat="false" ht="15" hidden="false" customHeight="true" outlineLevel="0" collapsed="false"/>
    <row r="38430" customFormat="false" ht="15" hidden="false" customHeight="true" outlineLevel="0" collapsed="false"/>
    <row r="38431" customFormat="false" ht="15" hidden="false" customHeight="true" outlineLevel="0" collapsed="false"/>
    <row r="38432" customFormat="false" ht="15" hidden="false" customHeight="true" outlineLevel="0" collapsed="false"/>
    <row r="38433" customFormat="false" ht="15" hidden="false" customHeight="true" outlineLevel="0" collapsed="false"/>
    <row r="38434" customFormat="false" ht="15" hidden="false" customHeight="true" outlineLevel="0" collapsed="false"/>
    <row r="38435" customFormat="false" ht="15" hidden="false" customHeight="true" outlineLevel="0" collapsed="false"/>
    <row r="38436" customFormat="false" ht="15" hidden="false" customHeight="true" outlineLevel="0" collapsed="false"/>
    <row r="38437" customFormat="false" ht="15" hidden="false" customHeight="true" outlineLevel="0" collapsed="false"/>
    <row r="38438" customFormat="false" ht="15" hidden="false" customHeight="true" outlineLevel="0" collapsed="false"/>
    <row r="38439" customFormat="false" ht="15" hidden="false" customHeight="true" outlineLevel="0" collapsed="false"/>
    <row r="38440" customFormat="false" ht="15" hidden="false" customHeight="true" outlineLevel="0" collapsed="false"/>
    <row r="38441" customFormat="false" ht="15" hidden="false" customHeight="true" outlineLevel="0" collapsed="false"/>
    <row r="38442" customFormat="false" ht="15" hidden="false" customHeight="true" outlineLevel="0" collapsed="false"/>
    <row r="38443" customFormat="false" ht="15" hidden="false" customHeight="true" outlineLevel="0" collapsed="false"/>
    <row r="38444" customFormat="false" ht="15" hidden="false" customHeight="true" outlineLevel="0" collapsed="false"/>
    <row r="38445" customFormat="false" ht="15" hidden="false" customHeight="true" outlineLevel="0" collapsed="false"/>
    <row r="38446" customFormat="false" ht="15" hidden="false" customHeight="true" outlineLevel="0" collapsed="false"/>
    <row r="38447" customFormat="false" ht="15" hidden="false" customHeight="true" outlineLevel="0" collapsed="false"/>
    <row r="38448" customFormat="false" ht="15" hidden="false" customHeight="true" outlineLevel="0" collapsed="false"/>
    <row r="38449" customFormat="false" ht="15" hidden="false" customHeight="true" outlineLevel="0" collapsed="false"/>
    <row r="38450" customFormat="false" ht="15" hidden="false" customHeight="true" outlineLevel="0" collapsed="false"/>
    <row r="38451" customFormat="false" ht="15" hidden="false" customHeight="true" outlineLevel="0" collapsed="false"/>
    <row r="38452" customFormat="false" ht="15" hidden="false" customHeight="true" outlineLevel="0" collapsed="false"/>
    <row r="38453" customFormat="false" ht="15" hidden="false" customHeight="true" outlineLevel="0" collapsed="false"/>
    <row r="38454" customFormat="false" ht="15" hidden="false" customHeight="true" outlineLevel="0" collapsed="false"/>
    <row r="38455" customFormat="false" ht="15" hidden="false" customHeight="true" outlineLevel="0" collapsed="false"/>
    <row r="38456" customFormat="false" ht="15" hidden="false" customHeight="true" outlineLevel="0" collapsed="false"/>
    <row r="38457" customFormat="false" ht="15" hidden="false" customHeight="true" outlineLevel="0" collapsed="false"/>
    <row r="38458" customFormat="false" ht="15" hidden="false" customHeight="true" outlineLevel="0" collapsed="false"/>
    <row r="38459" customFormat="false" ht="15" hidden="false" customHeight="true" outlineLevel="0" collapsed="false"/>
    <row r="38460" customFormat="false" ht="15" hidden="false" customHeight="true" outlineLevel="0" collapsed="false"/>
    <row r="38461" customFormat="false" ht="15" hidden="false" customHeight="true" outlineLevel="0" collapsed="false"/>
    <row r="38462" customFormat="false" ht="15" hidden="false" customHeight="true" outlineLevel="0" collapsed="false"/>
    <row r="38463" customFormat="false" ht="15" hidden="false" customHeight="true" outlineLevel="0" collapsed="false"/>
    <row r="38464" customFormat="false" ht="15" hidden="false" customHeight="true" outlineLevel="0" collapsed="false"/>
    <row r="38465" customFormat="false" ht="15" hidden="false" customHeight="true" outlineLevel="0" collapsed="false"/>
    <row r="38466" customFormat="false" ht="15" hidden="false" customHeight="true" outlineLevel="0" collapsed="false"/>
    <row r="38467" customFormat="false" ht="15" hidden="false" customHeight="true" outlineLevel="0" collapsed="false"/>
    <row r="38468" customFormat="false" ht="15" hidden="false" customHeight="true" outlineLevel="0" collapsed="false"/>
    <row r="38469" customFormat="false" ht="15" hidden="false" customHeight="true" outlineLevel="0" collapsed="false"/>
    <row r="38470" customFormat="false" ht="15" hidden="false" customHeight="true" outlineLevel="0" collapsed="false"/>
    <row r="38471" customFormat="false" ht="15" hidden="false" customHeight="true" outlineLevel="0" collapsed="false"/>
    <row r="38472" customFormat="false" ht="15" hidden="false" customHeight="true" outlineLevel="0" collapsed="false"/>
    <row r="38473" customFormat="false" ht="15" hidden="false" customHeight="true" outlineLevel="0" collapsed="false"/>
    <row r="38474" customFormat="false" ht="15" hidden="false" customHeight="true" outlineLevel="0" collapsed="false"/>
    <row r="38475" customFormat="false" ht="15" hidden="false" customHeight="true" outlineLevel="0" collapsed="false"/>
    <row r="38476" customFormat="false" ht="15" hidden="false" customHeight="true" outlineLevel="0" collapsed="false"/>
    <row r="38477" customFormat="false" ht="15" hidden="false" customHeight="true" outlineLevel="0" collapsed="false"/>
    <row r="38478" customFormat="false" ht="15" hidden="false" customHeight="true" outlineLevel="0" collapsed="false"/>
    <row r="38479" customFormat="false" ht="15" hidden="false" customHeight="true" outlineLevel="0" collapsed="false"/>
    <row r="38480" customFormat="false" ht="15" hidden="false" customHeight="true" outlineLevel="0" collapsed="false"/>
    <row r="38481" customFormat="false" ht="15" hidden="false" customHeight="true" outlineLevel="0" collapsed="false"/>
    <row r="38482" customFormat="false" ht="15" hidden="false" customHeight="true" outlineLevel="0" collapsed="false"/>
    <row r="38483" customFormat="false" ht="15" hidden="false" customHeight="true" outlineLevel="0" collapsed="false"/>
    <row r="38484" customFormat="false" ht="15" hidden="false" customHeight="true" outlineLevel="0" collapsed="false"/>
    <row r="38485" customFormat="false" ht="15" hidden="false" customHeight="true" outlineLevel="0" collapsed="false"/>
    <row r="38486" customFormat="false" ht="15" hidden="false" customHeight="true" outlineLevel="0" collapsed="false"/>
    <row r="38487" customFormat="false" ht="15" hidden="false" customHeight="true" outlineLevel="0" collapsed="false"/>
    <row r="38488" customFormat="false" ht="15" hidden="false" customHeight="true" outlineLevel="0" collapsed="false"/>
    <row r="38489" customFormat="false" ht="15" hidden="false" customHeight="true" outlineLevel="0" collapsed="false"/>
    <row r="38490" customFormat="false" ht="15" hidden="false" customHeight="true" outlineLevel="0" collapsed="false"/>
    <row r="38491" customFormat="false" ht="15" hidden="false" customHeight="true" outlineLevel="0" collapsed="false"/>
    <row r="38492" customFormat="false" ht="15" hidden="false" customHeight="true" outlineLevel="0" collapsed="false"/>
    <row r="38493" customFormat="false" ht="15" hidden="false" customHeight="true" outlineLevel="0" collapsed="false"/>
    <row r="38494" customFormat="false" ht="15" hidden="false" customHeight="true" outlineLevel="0" collapsed="false"/>
    <row r="38495" customFormat="false" ht="15" hidden="false" customHeight="true" outlineLevel="0" collapsed="false"/>
    <row r="38496" customFormat="false" ht="15" hidden="false" customHeight="true" outlineLevel="0" collapsed="false"/>
    <row r="38497" customFormat="false" ht="15" hidden="false" customHeight="true" outlineLevel="0" collapsed="false"/>
    <row r="38498" customFormat="false" ht="15" hidden="false" customHeight="true" outlineLevel="0" collapsed="false"/>
    <row r="38499" customFormat="false" ht="15" hidden="false" customHeight="true" outlineLevel="0" collapsed="false"/>
    <row r="38500" customFormat="false" ht="15" hidden="false" customHeight="true" outlineLevel="0" collapsed="false"/>
    <row r="38501" customFormat="false" ht="15" hidden="false" customHeight="true" outlineLevel="0" collapsed="false"/>
    <row r="38502" customFormat="false" ht="15" hidden="false" customHeight="true" outlineLevel="0" collapsed="false"/>
    <row r="38503" customFormat="false" ht="15" hidden="false" customHeight="true" outlineLevel="0" collapsed="false"/>
    <row r="38504" customFormat="false" ht="15" hidden="false" customHeight="true" outlineLevel="0" collapsed="false"/>
    <row r="38505" customFormat="false" ht="15" hidden="false" customHeight="true" outlineLevel="0" collapsed="false"/>
    <row r="38506" customFormat="false" ht="15" hidden="false" customHeight="true" outlineLevel="0" collapsed="false"/>
    <row r="38507" customFormat="false" ht="15" hidden="false" customHeight="true" outlineLevel="0" collapsed="false"/>
    <row r="38508" customFormat="false" ht="15" hidden="false" customHeight="true" outlineLevel="0" collapsed="false"/>
    <row r="38509" customFormat="false" ht="15" hidden="false" customHeight="true" outlineLevel="0" collapsed="false"/>
    <row r="38510" customFormat="false" ht="15" hidden="false" customHeight="true" outlineLevel="0" collapsed="false"/>
    <row r="38511" customFormat="false" ht="15" hidden="false" customHeight="true" outlineLevel="0" collapsed="false"/>
    <row r="38512" customFormat="false" ht="15" hidden="false" customHeight="true" outlineLevel="0" collapsed="false"/>
    <row r="38513" customFormat="false" ht="15" hidden="false" customHeight="true" outlineLevel="0" collapsed="false"/>
    <row r="38514" customFormat="false" ht="15" hidden="false" customHeight="true" outlineLevel="0" collapsed="false"/>
    <row r="38515" customFormat="false" ht="15" hidden="false" customHeight="true" outlineLevel="0" collapsed="false"/>
    <row r="38516" customFormat="false" ht="15" hidden="false" customHeight="true" outlineLevel="0" collapsed="false"/>
    <row r="38517" customFormat="false" ht="15" hidden="false" customHeight="true" outlineLevel="0" collapsed="false"/>
    <row r="38518" customFormat="false" ht="15" hidden="false" customHeight="true" outlineLevel="0" collapsed="false"/>
    <row r="38519" customFormat="false" ht="15" hidden="false" customHeight="true" outlineLevel="0" collapsed="false"/>
    <row r="38520" customFormat="false" ht="15" hidden="false" customHeight="true" outlineLevel="0" collapsed="false"/>
    <row r="38521" customFormat="false" ht="15" hidden="false" customHeight="true" outlineLevel="0" collapsed="false"/>
    <row r="38522" customFormat="false" ht="15" hidden="false" customHeight="true" outlineLevel="0" collapsed="false"/>
    <row r="38523" customFormat="false" ht="15" hidden="false" customHeight="true" outlineLevel="0" collapsed="false"/>
    <row r="38524" customFormat="false" ht="15" hidden="false" customHeight="true" outlineLevel="0" collapsed="false"/>
    <row r="38525" customFormat="false" ht="15" hidden="false" customHeight="true" outlineLevel="0" collapsed="false"/>
    <row r="38526" customFormat="false" ht="15" hidden="false" customHeight="true" outlineLevel="0" collapsed="false"/>
    <row r="38527" customFormat="false" ht="15" hidden="false" customHeight="true" outlineLevel="0" collapsed="false"/>
    <row r="38528" customFormat="false" ht="15" hidden="false" customHeight="true" outlineLevel="0" collapsed="false"/>
    <row r="38529" customFormat="false" ht="15" hidden="false" customHeight="true" outlineLevel="0" collapsed="false"/>
    <row r="38530" customFormat="false" ht="15" hidden="false" customHeight="true" outlineLevel="0" collapsed="false"/>
    <row r="38531" customFormat="false" ht="15" hidden="false" customHeight="true" outlineLevel="0" collapsed="false"/>
    <row r="38532" customFormat="false" ht="15" hidden="false" customHeight="true" outlineLevel="0" collapsed="false"/>
    <row r="38533" customFormat="false" ht="15" hidden="false" customHeight="true" outlineLevel="0" collapsed="false"/>
    <row r="38534" customFormat="false" ht="15" hidden="false" customHeight="true" outlineLevel="0" collapsed="false"/>
    <row r="38535" customFormat="false" ht="15" hidden="false" customHeight="true" outlineLevel="0" collapsed="false"/>
    <row r="38536" customFormat="false" ht="15" hidden="false" customHeight="true" outlineLevel="0" collapsed="false"/>
    <row r="38537" customFormat="false" ht="15" hidden="false" customHeight="true" outlineLevel="0" collapsed="false"/>
    <row r="38538" customFormat="false" ht="15" hidden="false" customHeight="true" outlineLevel="0" collapsed="false"/>
    <row r="38539" customFormat="false" ht="15" hidden="false" customHeight="true" outlineLevel="0" collapsed="false"/>
    <row r="38540" customFormat="false" ht="15" hidden="false" customHeight="true" outlineLevel="0" collapsed="false"/>
    <row r="38541" customFormat="false" ht="15" hidden="false" customHeight="true" outlineLevel="0" collapsed="false"/>
    <row r="38542" customFormat="false" ht="15" hidden="false" customHeight="true" outlineLevel="0" collapsed="false"/>
    <row r="38543" customFormat="false" ht="15" hidden="false" customHeight="true" outlineLevel="0" collapsed="false"/>
    <row r="38544" customFormat="false" ht="15" hidden="false" customHeight="true" outlineLevel="0" collapsed="false"/>
    <row r="38545" customFormat="false" ht="15" hidden="false" customHeight="true" outlineLevel="0" collapsed="false"/>
    <row r="38546" customFormat="false" ht="15" hidden="false" customHeight="true" outlineLevel="0" collapsed="false"/>
    <row r="38547" customFormat="false" ht="15" hidden="false" customHeight="true" outlineLevel="0" collapsed="false"/>
    <row r="38548" customFormat="false" ht="15" hidden="false" customHeight="true" outlineLevel="0" collapsed="false"/>
    <row r="38549" customFormat="false" ht="15" hidden="false" customHeight="true" outlineLevel="0" collapsed="false"/>
    <row r="38550" customFormat="false" ht="15" hidden="false" customHeight="true" outlineLevel="0" collapsed="false"/>
    <row r="38551" customFormat="false" ht="15" hidden="false" customHeight="true" outlineLevel="0" collapsed="false"/>
    <row r="38552" customFormat="false" ht="15" hidden="false" customHeight="true" outlineLevel="0" collapsed="false"/>
    <row r="38553" customFormat="false" ht="15" hidden="false" customHeight="true" outlineLevel="0" collapsed="false"/>
    <row r="38554" customFormat="false" ht="15" hidden="false" customHeight="true" outlineLevel="0" collapsed="false"/>
    <row r="38555" customFormat="false" ht="15" hidden="false" customHeight="true" outlineLevel="0" collapsed="false"/>
    <row r="38556" customFormat="false" ht="15" hidden="false" customHeight="true" outlineLevel="0" collapsed="false"/>
    <row r="38557" customFormat="false" ht="15" hidden="false" customHeight="true" outlineLevel="0" collapsed="false"/>
    <row r="38558" customFormat="false" ht="15" hidden="false" customHeight="true" outlineLevel="0" collapsed="false"/>
    <row r="38559" customFormat="false" ht="15" hidden="false" customHeight="true" outlineLevel="0" collapsed="false"/>
    <row r="38560" customFormat="false" ht="15" hidden="false" customHeight="true" outlineLevel="0" collapsed="false"/>
    <row r="38561" customFormat="false" ht="15" hidden="false" customHeight="true" outlineLevel="0" collapsed="false"/>
    <row r="38562" customFormat="false" ht="15" hidden="false" customHeight="true" outlineLevel="0" collapsed="false"/>
    <row r="38563" customFormat="false" ht="15" hidden="false" customHeight="true" outlineLevel="0" collapsed="false"/>
    <row r="38564" customFormat="false" ht="15" hidden="false" customHeight="true" outlineLevel="0" collapsed="false"/>
    <row r="38565" customFormat="false" ht="15" hidden="false" customHeight="true" outlineLevel="0" collapsed="false"/>
    <row r="38566" customFormat="false" ht="15" hidden="false" customHeight="true" outlineLevel="0" collapsed="false"/>
    <row r="38567" customFormat="false" ht="15" hidden="false" customHeight="true" outlineLevel="0" collapsed="false"/>
    <row r="38568" customFormat="false" ht="15" hidden="false" customHeight="true" outlineLevel="0" collapsed="false"/>
    <row r="38569" customFormat="false" ht="15" hidden="false" customHeight="true" outlineLevel="0" collapsed="false"/>
    <row r="38570" customFormat="false" ht="15" hidden="false" customHeight="true" outlineLevel="0" collapsed="false"/>
    <row r="38571" customFormat="false" ht="15" hidden="false" customHeight="true" outlineLevel="0" collapsed="false"/>
    <row r="38572" customFormat="false" ht="15" hidden="false" customHeight="true" outlineLevel="0" collapsed="false"/>
    <row r="38573" customFormat="false" ht="15" hidden="false" customHeight="true" outlineLevel="0" collapsed="false"/>
    <row r="38574" customFormat="false" ht="15" hidden="false" customHeight="true" outlineLevel="0" collapsed="false"/>
    <row r="38575" customFormat="false" ht="15" hidden="false" customHeight="true" outlineLevel="0" collapsed="false"/>
    <row r="38576" customFormat="false" ht="15" hidden="false" customHeight="true" outlineLevel="0" collapsed="false"/>
    <row r="38577" customFormat="false" ht="15" hidden="false" customHeight="true" outlineLevel="0" collapsed="false"/>
    <row r="38578" customFormat="false" ht="15" hidden="false" customHeight="true" outlineLevel="0" collapsed="false"/>
    <row r="38579" customFormat="false" ht="15" hidden="false" customHeight="true" outlineLevel="0" collapsed="false"/>
    <row r="38580" customFormat="false" ht="15" hidden="false" customHeight="true" outlineLevel="0" collapsed="false"/>
    <row r="38581" customFormat="false" ht="15" hidden="false" customHeight="true" outlineLevel="0" collapsed="false"/>
    <row r="38582" customFormat="false" ht="15" hidden="false" customHeight="true" outlineLevel="0" collapsed="false"/>
    <row r="38583" customFormat="false" ht="15" hidden="false" customHeight="true" outlineLevel="0" collapsed="false"/>
    <row r="38584" customFormat="false" ht="15" hidden="false" customHeight="true" outlineLevel="0" collapsed="false"/>
    <row r="38585" customFormat="false" ht="15" hidden="false" customHeight="true" outlineLevel="0" collapsed="false"/>
    <row r="38586" customFormat="false" ht="15" hidden="false" customHeight="true" outlineLevel="0" collapsed="false"/>
    <row r="38587" customFormat="false" ht="15" hidden="false" customHeight="true" outlineLevel="0" collapsed="false"/>
    <row r="38588" customFormat="false" ht="15" hidden="false" customHeight="true" outlineLevel="0" collapsed="false"/>
    <row r="38589" customFormat="false" ht="15" hidden="false" customHeight="true" outlineLevel="0" collapsed="false"/>
    <row r="38590" customFormat="false" ht="15" hidden="false" customHeight="true" outlineLevel="0" collapsed="false"/>
    <row r="38591" customFormat="false" ht="15" hidden="false" customHeight="true" outlineLevel="0" collapsed="false"/>
    <row r="38592" customFormat="false" ht="15" hidden="false" customHeight="true" outlineLevel="0" collapsed="false"/>
    <row r="38593" customFormat="false" ht="15" hidden="false" customHeight="true" outlineLevel="0" collapsed="false"/>
    <row r="38594" customFormat="false" ht="15" hidden="false" customHeight="true" outlineLevel="0" collapsed="false"/>
    <row r="38595" customFormat="false" ht="15" hidden="false" customHeight="true" outlineLevel="0" collapsed="false"/>
    <row r="38596" customFormat="false" ht="15" hidden="false" customHeight="true" outlineLevel="0" collapsed="false"/>
    <row r="38597" customFormat="false" ht="15" hidden="false" customHeight="true" outlineLevel="0" collapsed="false"/>
    <row r="38598" customFormat="false" ht="15" hidden="false" customHeight="true" outlineLevel="0" collapsed="false"/>
    <row r="38599" customFormat="false" ht="15" hidden="false" customHeight="true" outlineLevel="0" collapsed="false"/>
    <row r="38600" customFormat="false" ht="15" hidden="false" customHeight="true" outlineLevel="0" collapsed="false"/>
    <row r="38601" customFormat="false" ht="15" hidden="false" customHeight="true" outlineLevel="0" collapsed="false"/>
    <row r="38602" customFormat="false" ht="15" hidden="false" customHeight="true" outlineLevel="0" collapsed="false"/>
    <row r="38603" customFormat="false" ht="15" hidden="false" customHeight="true" outlineLevel="0" collapsed="false"/>
    <row r="38604" customFormat="false" ht="15" hidden="false" customHeight="true" outlineLevel="0" collapsed="false"/>
    <row r="38605" customFormat="false" ht="15" hidden="false" customHeight="true" outlineLevel="0" collapsed="false"/>
    <row r="38606" customFormat="false" ht="15" hidden="false" customHeight="true" outlineLevel="0" collapsed="false"/>
    <row r="38607" customFormat="false" ht="15" hidden="false" customHeight="true" outlineLevel="0" collapsed="false"/>
    <row r="38608" customFormat="false" ht="15" hidden="false" customHeight="true" outlineLevel="0" collapsed="false"/>
    <row r="38609" customFormat="false" ht="15" hidden="false" customHeight="true" outlineLevel="0" collapsed="false"/>
    <row r="38610" customFormat="false" ht="15" hidden="false" customHeight="true" outlineLevel="0" collapsed="false"/>
    <row r="38611" customFormat="false" ht="15" hidden="false" customHeight="true" outlineLevel="0" collapsed="false"/>
    <row r="38612" customFormat="false" ht="15" hidden="false" customHeight="true" outlineLevel="0" collapsed="false"/>
    <row r="38613" customFormat="false" ht="15" hidden="false" customHeight="true" outlineLevel="0" collapsed="false"/>
    <row r="38614" customFormat="false" ht="15" hidden="false" customHeight="true" outlineLevel="0" collapsed="false"/>
    <row r="38615" customFormat="false" ht="15" hidden="false" customHeight="true" outlineLevel="0" collapsed="false"/>
    <row r="38616" customFormat="false" ht="15" hidden="false" customHeight="true" outlineLevel="0" collapsed="false"/>
    <row r="38617" customFormat="false" ht="15" hidden="false" customHeight="true" outlineLevel="0" collapsed="false"/>
    <row r="38618" customFormat="false" ht="15" hidden="false" customHeight="true" outlineLevel="0" collapsed="false"/>
    <row r="38619" customFormat="false" ht="15" hidden="false" customHeight="true" outlineLevel="0" collapsed="false"/>
    <row r="38620" customFormat="false" ht="15" hidden="false" customHeight="true" outlineLevel="0" collapsed="false"/>
    <row r="38621" customFormat="false" ht="15" hidden="false" customHeight="true" outlineLevel="0" collapsed="false"/>
    <row r="38622" customFormat="false" ht="15" hidden="false" customHeight="true" outlineLevel="0" collapsed="false"/>
    <row r="38623" customFormat="false" ht="15" hidden="false" customHeight="true" outlineLevel="0" collapsed="false"/>
    <row r="38624" customFormat="false" ht="15" hidden="false" customHeight="true" outlineLevel="0" collapsed="false"/>
    <row r="38625" customFormat="false" ht="15" hidden="false" customHeight="true" outlineLevel="0" collapsed="false"/>
    <row r="38626" customFormat="false" ht="15" hidden="false" customHeight="true" outlineLevel="0" collapsed="false"/>
    <row r="38627" customFormat="false" ht="15" hidden="false" customHeight="true" outlineLevel="0" collapsed="false"/>
    <row r="38628" customFormat="false" ht="15" hidden="false" customHeight="true" outlineLevel="0" collapsed="false"/>
    <row r="38629" customFormat="false" ht="15" hidden="false" customHeight="true" outlineLevel="0" collapsed="false"/>
    <row r="38630" customFormat="false" ht="15" hidden="false" customHeight="true" outlineLevel="0" collapsed="false"/>
    <row r="38631" customFormat="false" ht="15" hidden="false" customHeight="true" outlineLevel="0" collapsed="false"/>
    <row r="38632" customFormat="false" ht="15" hidden="false" customHeight="true" outlineLevel="0" collapsed="false"/>
    <row r="38633" customFormat="false" ht="15" hidden="false" customHeight="true" outlineLevel="0" collapsed="false"/>
    <row r="38634" customFormat="false" ht="15" hidden="false" customHeight="true" outlineLevel="0" collapsed="false"/>
    <row r="38635" customFormat="false" ht="15" hidden="false" customHeight="true" outlineLevel="0" collapsed="false"/>
    <row r="38636" customFormat="false" ht="15" hidden="false" customHeight="true" outlineLevel="0" collapsed="false"/>
    <row r="38637" customFormat="false" ht="15" hidden="false" customHeight="true" outlineLevel="0" collapsed="false"/>
    <row r="38638" customFormat="false" ht="15" hidden="false" customHeight="true" outlineLevel="0" collapsed="false"/>
    <row r="38639" customFormat="false" ht="15" hidden="false" customHeight="true" outlineLevel="0" collapsed="false"/>
    <row r="38640" customFormat="false" ht="15" hidden="false" customHeight="true" outlineLevel="0" collapsed="false"/>
    <row r="38641" customFormat="false" ht="15" hidden="false" customHeight="true" outlineLevel="0" collapsed="false"/>
    <row r="38642" customFormat="false" ht="15" hidden="false" customHeight="true" outlineLevel="0" collapsed="false"/>
    <row r="38643" customFormat="false" ht="15" hidden="false" customHeight="true" outlineLevel="0" collapsed="false"/>
    <row r="38644" customFormat="false" ht="15" hidden="false" customHeight="true" outlineLevel="0" collapsed="false"/>
    <row r="38645" customFormat="false" ht="15" hidden="false" customHeight="true" outlineLevel="0" collapsed="false"/>
    <row r="38646" customFormat="false" ht="15" hidden="false" customHeight="true" outlineLevel="0" collapsed="false"/>
    <row r="38647" customFormat="false" ht="15" hidden="false" customHeight="true" outlineLevel="0" collapsed="false"/>
    <row r="38648" customFormat="false" ht="15" hidden="false" customHeight="true" outlineLevel="0" collapsed="false"/>
    <row r="38649" customFormat="false" ht="15" hidden="false" customHeight="true" outlineLevel="0" collapsed="false"/>
    <row r="38650" customFormat="false" ht="15" hidden="false" customHeight="true" outlineLevel="0" collapsed="false"/>
    <row r="38651" customFormat="false" ht="15" hidden="false" customHeight="true" outlineLevel="0" collapsed="false"/>
    <row r="38652" customFormat="false" ht="15" hidden="false" customHeight="true" outlineLevel="0" collapsed="false"/>
    <row r="38653" customFormat="false" ht="15" hidden="false" customHeight="true" outlineLevel="0" collapsed="false"/>
    <row r="38654" customFormat="false" ht="15" hidden="false" customHeight="true" outlineLevel="0" collapsed="false"/>
    <row r="38655" customFormat="false" ht="15" hidden="false" customHeight="true" outlineLevel="0" collapsed="false"/>
    <row r="38656" customFormat="false" ht="15" hidden="false" customHeight="true" outlineLevel="0" collapsed="false"/>
    <row r="38657" customFormat="false" ht="15" hidden="false" customHeight="true" outlineLevel="0" collapsed="false"/>
    <row r="38658" customFormat="false" ht="15" hidden="false" customHeight="true" outlineLevel="0" collapsed="false"/>
    <row r="38659" customFormat="false" ht="15" hidden="false" customHeight="true" outlineLevel="0" collapsed="false"/>
    <row r="38660" customFormat="false" ht="15" hidden="false" customHeight="true" outlineLevel="0" collapsed="false"/>
    <row r="38661" customFormat="false" ht="15" hidden="false" customHeight="true" outlineLevel="0" collapsed="false"/>
    <row r="38662" customFormat="false" ht="15" hidden="false" customHeight="true" outlineLevel="0" collapsed="false"/>
    <row r="38663" customFormat="false" ht="15" hidden="false" customHeight="true" outlineLevel="0" collapsed="false"/>
    <row r="38664" customFormat="false" ht="15" hidden="false" customHeight="true" outlineLevel="0" collapsed="false"/>
    <row r="38665" customFormat="false" ht="15" hidden="false" customHeight="true" outlineLevel="0" collapsed="false"/>
    <row r="38666" customFormat="false" ht="15" hidden="false" customHeight="true" outlineLevel="0" collapsed="false"/>
    <row r="38667" customFormat="false" ht="15" hidden="false" customHeight="true" outlineLevel="0" collapsed="false"/>
    <row r="38668" customFormat="false" ht="15" hidden="false" customHeight="true" outlineLevel="0" collapsed="false"/>
    <row r="38669" customFormat="false" ht="15" hidden="false" customHeight="true" outlineLevel="0" collapsed="false"/>
    <row r="38670" customFormat="false" ht="15" hidden="false" customHeight="true" outlineLevel="0" collapsed="false"/>
    <row r="38671" customFormat="false" ht="15" hidden="false" customHeight="true" outlineLevel="0" collapsed="false"/>
    <row r="38672" customFormat="false" ht="15" hidden="false" customHeight="true" outlineLevel="0" collapsed="false"/>
    <row r="38673" customFormat="false" ht="15" hidden="false" customHeight="true" outlineLevel="0" collapsed="false"/>
    <row r="38674" customFormat="false" ht="15" hidden="false" customHeight="true" outlineLevel="0" collapsed="false"/>
    <row r="38675" customFormat="false" ht="15" hidden="false" customHeight="true" outlineLevel="0" collapsed="false"/>
    <row r="38676" customFormat="false" ht="15" hidden="false" customHeight="true" outlineLevel="0" collapsed="false"/>
    <row r="38677" customFormat="false" ht="15" hidden="false" customHeight="true" outlineLevel="0" collapsed="false"/>
    <row r="38678" customFormat="false" ht="15" hidden="false" customHeight="true" outlineLevel="0" collapsed="false"/>
    <row r="38679" customFormat="false" ht="15" hidden="false" customHeight="true" outlineLevel="0" collapsed="false"/>
    <row r="38680" customFormat="false" ht="15" hidden="false" customHeight="true" outlineLevel="0" collapsed="false"/>
    <row r="38681" customFormat="false" ht="15" hidden="false" customHeight="true" outlineLevel="0" collapsed="false"/>
    <row r="38682" customFormat="false" ht="15" hidden="false" customHeight="true" outlineLevel="0" collapsed="false"/>
    <row r="38683" customFormat="false" ht="15" hidden="false" customHeight="true" outlineLevel="0" collapsed="false"/>
    <row r="38684" customFormat="false" ht="15" hidden="false" customHeight="true" outlineLevel="0" collapsed="false"/>
    <row r="38685" customFormat="false" ht="15" hidden="false" customHeight="true" outlineLevel="0" collapsed="false"/>
    <row r="38686" customFormat="false" ht="15" hidden="false" customHeight="true" outlineLevel="0" collapsed="false"/>
    <row r="38687" customFormat="false" ht="15" hidden="false" customHeight="true" outlineLevel="0" collapsed="false"/>
    <row r="38688" customFormat="false" ht="15" hidden="false" customHeight="true" outlineLevel="0" collapsed="false"/>
    <row r="38689" customFormat="false" ht="15" hidden="false" customHeight="true" outlineLevel="0" collapsed="false"/>
    <row r="38690" customFormat="false" ht="15" hidden="false" customHeight="true" outlineLevel="0" collapsed="false"/>
    <row r="38691" customFormat="false" ht="15" hidden="false" customHeight="true" outlineLevel="0" collapsed="false"/>
    <row r="38692" customFormat="false" ht="15" hidden="false" customHeight="true" outlineLevel="0" collapsed="false"/>
    <row r="38693" customFormat="false" ht="15" hidden="false" customHeight="true" outlineLevel="0" collapsed="false"/>
    <row r="38694" customFormat="false" ht="15" hidden="false" customHeight="true" outlineLevel="0" collapsed="false"/>
    <row r="38695" customFormat="false" ht="15" hidden="false" customHeight="true" outlineLevel="0" collapsed="false"/>
    <row r="38696" customFormat="false" ht="15" hidden="false" customHeight="true" outlineLevel="0" collapsed="false"/>
    <row r="38697" customFormat="false" ht="15" hidden="false" customHeight="true" outlineLevel="0" collapsed="false"/>
    <row r="38698" customFormat="false" ht="15" hidden="false" customHeight="true" outlineLevel="0" collapsed="false"/>
    <row r="38699" customFormat="false" ht="15" hidden="false" customHeight="true" outlineLevel="0" collapsed="false"/>
    <row r="38700" customFormat="false" ht="15" hidden="false" customHeight="true" outlineLevel="0" collapsed="false"/>
    <row r="38701" customFormat="false" ht="15" hidden="false" customHeight="true" outlineLevel="0" collapsed="false"/>
    <row r="38702" customFormat="false" ht="15" hidden="false" customHeight="true" outlineLevel="0" collapsed="false"/>
    <row r="38703" customFormat="false" ht="15" hidden="false" customHeight="true" outlineLevel="0" collapsed="false"/>
    <row r="38704" customFormat="false" ht="15" hidden="false" customHeight="true" outlineLevel="0" collapsed="false"/>
    <row r="38705" customFormat="false" ht="15" hidden="false" customHeight="true" outlineLevel="0" collapsed="false"/>
    <row r="38706" customFormat="false" ht="15" hidden="false" customHeight="true" outlineLevel="0" collapsed="false"/>
    <row r="38707" customFormat="false" ht="15" hidden="false" customHeight="true" outlineLevel="0" collapsed="false"/>
    <row r="38708" customFormat="false" ht="15" hidden="false" customHeight="true" outlineLevel="0" collapsed="false"/>
    <row r="38709" customFormat="false" ht="15" hidden="false" customHeight="true" outlineLevel="0" collapsed="false"/>
    <row r="38710" customFormat="false" ht="15" hidden="false" customHeight="true" outlineLevel="0" collapsed="false"/>
    <row r="38711" customFormat="false" ht="15" hidden="false" customHeight="true" outlineLevel="0" collapsed="false"/>
    <row r="38712" customFormat="false" ht="15" hidden="false" customHeight="true" outlineLevel="0" collapsed="false"/>
    <row r="38713" customFormat="false" ht="15" hidden="false" customHeight="true" outlineLevel="0" collapsed="false"/>
    <row r="38714" customFormat="false" ht="15" hidden="false" customHeight="true" outlineLevel="0" collapsed="false"/>
    <row r="38715" customFormat="false" ht="15" hidden="false" customHeight="true" outlineLevel="0" collapsed="false"/>
    <row r="38716" customFormat="false" ht="15" hidden="false" customHeight="true" outlineLevel="0" collapsed="false"/>
    <row r="38717" customFormat="false" ht="15" hidden="false" customHeight="true" outlineLevel="0" collapsed="false"/>
    <row r="38718" customFormat="false" ht="15" hidden="false" customHeight="true" outlineLevel="0" collapsed="false"/>
    <row r="38719" customFormat="false" ht="15" hidden="false" customHeight="true" outlineLevel="0" collapsed="false"/>
    <row r="38720" customFormat="false" ht="15" hidden="false" customHeight="true" outlineLevel="0" collapsed="false"/>
    <row r="38721" customFormat="false" ht="15" hidden="false" customHeight="true" outlineLevel="0" collapsed="false"/>
    <row r="38722" customFormat="false" ht="15" hidden="false" customHeight="true" outlineLevel="0" collapsed="false"/>
    <row r="38723" customFormat="false" ht="15" hidden="false" customHeight="true" outlineLevel="0" collapsed="false"/>
    <row r="38724" customFormat="false" ht="15" hidden="false" customHeight="true" outlineLevel="0" collapsed="false"/>
    <row r="38725" customFormat="false" ht="15" hidden="false" customHeight="true" outlineLevel="0" collapsed="false"/>
    <row r="38726" customFormat="false" ht="15" hidden="false" customHeight="true" outlineLevel="0" collapsed="false"/>
    <row r="38727" customFormat="false" ht="15" hidden="false" customHeight="true" outlineLevel="0" collapsed="false"/>
    <row r="38728" customFormat="false" ht="15" hidden="false" customHeight="true" outlineLevel="0" collapsed="false"/>
    <row r="38729" customFormat="false" ht="15" hidden="false" customHeight="true" outlineLevel="0" collapsed="false"/>
    <row r="38730" customFormat="false" ht="15" hidden="false" customHeight="true" outlineLevel="0" collapsed="false"/>
    <row r="38731" customFormat="false" ht="15" hidden="false" customHeight="true" outlineLevel="0" collapsed="false"/>
    <row r="38732" customFormat="false" ht="15" hidden="false" customHeight="true" outlineLevel="0" collapsed="false"/>
    <row r="38733" customFormat="false" ht="15" hidden="false" customHeight="true" outlineLevel="0" collapsed="false"/>
    <row r="38734" customFormat="false" ht="15" hidden="false" customHeight="true" outlineLevel="0" collapsed="false"/>
    <row r="38735" customFormat="false" ht="15" hidden="false" customHeight="true" outlineLevel="0" collapsed="false"/>
    <row r="38736" customFormat="false" ht="15" hidden="false" customHeight="true" outlineLevel="0" collapsed="false"/>
    <row r="38737" customFormat="false" ht="15" hidden="false" customHeight="true" outlineLevel="0" collapsed="false"/>
    <row r="38738" customFormat="false" ht="15" hidden="false" customHeight="true" outlineLevel="0" collapsed="false"/>
    <row r="38739" customFormat="false" ht="15" hidden="false" customHeight="true" outlineLevel="0" collapsed="false"/>
    <row r="38740" customFormat="false" ht="15" hidden="false" customHeight="true" outlineLevel="0" collapsed="false"/>
    <row r="38741" customFormat="false" ht="15" hidden="false" customHeight="true" outlineLevel="0" collapsed="false"/>
    <row r="38742" customFormat="false" ht="15" hidden="false" customHeight="true" outlineLevel="0" collapsed="false"/>
    <row r="38743" customFormat="false" ht="15" hidden="false" customHeight="true" outlineLevel="0" collapsed="false"/>
    <row r="38744" customFormat="false" ht="15" hidden="false" customHeight="true" outlineLevel="0" collapsed="false"/>
    <row r="38745" customFormat="false" ht="15" hidden="false" customHeight="true" outlineLevel="0" collapsed="false"/>
    <row r="38746" customFormat="false" ht="15" hidden="false" customHeight="true" outlineLevel="0" collapsed="false"/>
    <row r="38747" customFormat="false" ht="15" hidden="false" customHeight="true" outlineLevel="0" collapsed="false"/>
    <row r="38748" customFormat="false" ht="15" hidden="false" customHeight="true" outlineLevel="0" collapsed="false"/>
    <row r="38749" customFormat="false" ht="15" hidden="false" customHeight="true" outlineLevel="0" collapsed="false"/>
    <row r="38750" customFormat="false" ht="15" hidden="false" customHeight="true" outlineLevel="0" collapsed="false"/>
    <row r="38751" customFormat="false" ht="15" hidden="false" customHeight="true" outlineLevel="0" collapsed="false"/>
    <row r="38752" customFormat="false" ht="15" hidden="false" customHeight="true" outlineLevel="0" collapsed="false"/>
    <row r="38753" customFormat="false" ht="15" hidden="false" customHeight="true" outlineLevel="0" collapsed="false"/>
    <row r="38754" customFormat="false" ht="15" hidden="false" customHeight="true" outlineLevel="0" collapsed="false"/>
    <row r="38755" customFormat="false" ht="15" hidden="false" customHeight="true" outlineLevel="0" collapsed="false"/>
    <row r="38756" customFormat="false" ht="15" hidden="false" customHeight="true" outlineLevel="0" collapsed="false"/>
    <row r="38757" customFormat="false" ht="15" hidden="false" customHeight="true" outlineLevel="0" collapsed="false"/>
    <row r="38758" customFormat="false" ht="15" hidden="false" customHeight="true" outlineLevel="0" collapsed="false"/>
    <row r="38759" customFormat="false" ht="15" hidden="false" customHeight="true" outlineLevel="0" collapsed="false"/>
    <row r="38760" customFormat="false" ht="15" hidden="false" customHeight="true" outlineLevel="0" collapsed="false"/>
    <row r="38761" customFormat="false" ht="15" hidden="false" customHeight="true" outlineLevel="0" collapsed="false"/>
    <row r="38762" customFormat="false" ht="15" hidden="false" customHeight="true" outlineLevel="0" collapsed="false"/>
    <row r="38763" customFormat="false" ht="15" hidden="false" customHeight="true" outlineLevel="0" collapsed="false"/>
    <row r="38764" customFormat="false" ht="15" hidden="false" customHeight="true" outlineLevel="0" collapsed="false"/>
    <row r="38765" customFormat="false" ht="15" hidden="false" customHeight="true" outlineLevel="0" collapsed="false"/>
    <row r="38766" customFormat="false" ht="15" hidden="false" customHeight="true" outlineLevel="0" collapsed="false"/>
    <row r="38767" customFormat="false" ht="15" hidden="false" customHeight="true" outlineLevel="0" collapsed="false"/>
    <row r="38768" customFormat="false" ht="15" hidden="false" customHeight="true" outlineLevel="0" collapsed="false"/>
    <row r="38769" customFormat="false" ht="15" hidden="false" customHeight="true" outlineLevel="0" collapsed="false"/>
    <row r="38770" customFormat="false" ht="15" hidden="false" customHeight="true" outlineLevel="0" collapsed="false"/>
    <row r="38771" customFormat="false" ht="15" hidden="false" customHeight="true" outlineLevel="0" collapsed="false"/>
    <row r="38772" customFormat="false" ht="15" hidden="false" customHeight="true" outlineLevel="0" collapsed="false"/>
    <row r="38773" customFormat="false" ht="15" hidden="false" customHeight="true" outlineLevel="0" collapsed="false"/>
    <row r="38774" customFormat="false" ht="15" hidden="false" customHeight="true" outlineLevel="0" collapsed="false"/>
    <row r="38775" customFormat="false" ht="15" hidden="false" customHeight="true" outlineLevel="0" collapsed="false"/>
    <row r="38776" customFormat="false" ht="15" hidden="false" customHeight="true" outlineLevel="0" collapsed="false"/>
    <row r="38777" customFormat="false" ht="15" hidden="false" customHeight="true" outlineLevel="0" collapsed="false"/>
    <row r="38778" customFormat="false" ht="15" hidden="false" customHeight="true" outlineLevel="0" collapsed="false"/>
    <row r="38779" customFormat="false" ht="15" hidden="false" customHeight="true" outlineLevel="0" collapsed="false"/>
    <row r="38780" customFormat="false" ht="15" hidden="false" customHeight="true" outlineLevel="0" collapsed="false"/>
    <row r="38781" customFormat="false" ht="15" hidden="false" customHeight="true" outlineLevel="0" collapsed="false"/>
    <row r="38782" customFormat="false" ht="15" hidden="false" customHeight="true" outlineLevel="0" collapsed="false"/>
    <row r="38783" customFormat="false" ht="15" hidden="false" customHeight="true" outlineLevel="0" collapsed="false"/>
    <row r="38784" customFormat="false" ht="15" hidden="false" customHeight="true" outlineLevel="0" collapsed="false"/>
    <row r="38785" customFormat="false" ht="15" hidden="false" customHeight="true" outlineLevel="0" collapsed="false"/>
    <row r="38786" customFormat="false" ht="15" hidden="false" customHeight="true" outlineLevel="0" collapsed="false"/>
    <row r="38787" customFormat="false" ht="15" hidden="false" customHeight="true" outlineLevel="0" collapsed="false"/>
    <row r="38788" customFormat="false" ht="15" hidden="false" customHeight="true" outlineLevel="0" collapsed="false"/>
    <row r="38789" customFormat="false" ht="15" hidden="false" customHeight="true" outlineLevel="0" collapsed="false"/>
    <row r="38790" customFormat="false" ht="15" hidden="false" customHeight="true" outlineLevel="0" collapsed="false"/>
    <row r="38791" customFormat="false" ht="15" hidden="false" customHeight="true" outlineLevel="0" collapsed="false"/>
    <row r="38792" customFormat="false" ht="15" hidden="false" customHeight="true" outlineLevel="0" collapsed="false"/>
    <row r="38793" customFormat="false" ht="15" hidden="false" customHeight="true" outlineLevel="0" collapsed="false"/>
    <row r="38794" customFormat="false" ht="15" hidden="false" customHeight="true" outlineLevel="0" collapsed="false"/>
    <row r="38795" customFormat="false" ht="15" hidden="false" customHeight="true" outlineLevel="0" collapsed="false"/>
    <row r="38796" customFormat="false" ht="15" hidden="false" customHeight="true" outlineLevel="0" collapsed="false"/>
    <row r="38797" customFormat="false" ht="15" hidden="false" customHeight="true" outlineLevel="0" collapsed="false"/>
    <row r="38798" customFormat="false" ht="15" hidden="false" customHeight="true" outlineLevel="0" collapsed="false"/>
    <row r="38799" customFormat="false" ht="15" hidden="false" customHeight="true" outlineLevel="0" collapsed="false"/>
    <row r="38800" customFormat="false" ht="15" hidden="false" customHeight="true" outlineLevel="0" collapsed="false"/>
    <row r="38801" customFormat="false" ht="15" hidden="false" customHeight="true" outlineLevel="0" collapsed="false"/>
    <row r="38802" customFormat="false" ht="15" hidden="false" customHeight="true" outlineLevel="0" collapsed="false"/>
    <row r="38803" customFormat="false" ht="15" hidden="false" customHeight="true" outlineLevel="0" collapsed="false"/>
    <row r="38804" customFormat="false" ht="15" hidden="false" customHeight="true" outlineLevel="0" collapsed="false"/>
    <row r="38805" customFormat="false" ht="15" hidden="false" customHeight="true" outlineLevel="0" collapsed="false"/>
    <row r="38806" customFormat="false" ht="15" hidden="false" customHeight="true" outlineLevel="0" collapsed="false"/>
    <row r="38807" customFormat="false" ht="15" hidden="false" customHeight="true" outlineLevel="0" collapsed="false"/>
    <row r="38808" customFormat="false" ht="15" hidden="false" customHeight="true" outlineLevel="0" collapsed="false"/>
    <row r="38809" customFormat="false" ht="15" hidden="false" customHeight="true" outlineLevel="0" collapsed="false"/>
    <row r="38810" customFormat="false" ht="15" hidden="false" customHeight="true" outlineLevel="0" collapsed="false"/>
    <row r="38811" customFormat="false" ht="15" hidden="false" customHeight="true" outlineLevel="0" collapsed="false"/>
    <row r="38812" customFormat="false" ht="15" hidden="false" customHeight="true" outlineLevel="0" collapsed="false"/>
    <row r="38813" customFormat="false" ht="15" hidden="false" customHeight="true" outlineLevel="0" collapsed="false"/>
    <row r="38814" customFormat="false" ht="15" hidden="false" customHeight="true" outlineLevel="0" collapsed="false"/>
    <row r="38815" customFormat="false" ht="15" hidden="false" customHeight="true" outlineLevel="0" collapsed="false"/>
    <row r="38816" customFormat="false" ht="15" hidden="false" customHeight="true" outlineLevel="0" collapsed="false"/>
    <row r="38817" customFormat="false" ht="15" hidden="false" customHeight="true" outlineLevel="0" collapsed="false"/>
    <row r="38818" customFormat="false" ht="15" hidden="false" customHeight="true" outlineLevel="0" collapsed="false"/>
    <row r="38819" customFormat="false" ht="15" hidden="false" customHeight="true" outlineLevel="0" collapsed="false"/>
    <row r="38820" customFormat="false" ht="15" hidden="false" customHeight="true" outlineLevel="0" collapsed="false"/>
    <row r="38821" customFormat="false" ht="15" hidden="false" customHeight="true" outlineLevel="0" collapsed="false"/>
    <row r="38822" customFormat="false" ht="15" hidden="false" customHeight="true" outlineLevel="0" collapsed="false"/>
    <row r="38823" customFormat="false" ht="15" hidden="false" customHeight="true" outlineLevel="0" collapsed="false"/>
    <row r="38824" customFormat="false" ht="15" hidden="false" customHeight="true" outlineLevel="0" collapsed="false"/>
    <row r="38825" customFormat="false" ht="15" hidden="false" customHeight="true" outlineLevel="0" collapsed="false"/>
    <row r="38826" customFormat="false" ht="15" hidden="false" customHeight="true" outlineLevel="0" collapsed="false"/>
    <row r="38827" customFormat="false" ht="15" hidden="false" customHeight="true" outlineLevel="0" collapsed="false"/>
    <row r="38828" customFormat="false" ht="15" hidden="false" customHeight="true" outlineLevel="0" collapsed="false"/>
    <row r="38829" customFormat="false" ht="15" hidden="false" customHeight="true" outlineLevel="0" collapsed="false"/>
    <row r="38830" customFormat="false" ht="15" hidden="false" customHeight="true" outlineLevel="0" collapsed="false"/>
    <row r="38831" customFormat="false" ht="15" hidden="false" customHeight="true" outlineLevel="0" collapsed="false"/>
    <row r="38832" customFormat="false" ht="15" hidden="false" customHeight="true" outlineLevel="0" collapsed="false"/>
    <row r="38833" customFormat="false" ht="15" hidden="false" customHeight="true" outlineLevel="0" collapsed="false"/>
    <row r="38834" customFormat="false" ht="15" hidden="false" customHeight="true" outlineLevel="0" collapsed="false"/>
    <row r="38835" customFormat="false" ht="15" hidden="false" customHeight="true" outlineLevel="0" collapsed="false"/>
    <row r="38836" customFormat="false" ht="15" hidden="false" customHeight="true" outlineLevel="0" collapsed="false"/>
    <row r="38837" customFormat="false" ht="15" hidden="false" customHeight="true" outlineLevel="0" collapsed="false"/>
    <row r="38838" customFormat="false" ht="15" hidden="false" customHeight="true" outlineLevel="0" collapsed="false"/>
    <row r="38839" customFormat="false" ht="15" hidden="false" customHeight="true" outlineLevel="0" collapsed="false"/>
    <row r="38840" customFormat="false" ht="15" hidden="false" customHeight="true" outlineLevel="0" collapsed="false"/>
    <row r="38841" customFormat="false" ht="15" hidden="false" customHeight="true" outlineLevel="0" collapsed="false"/>
    <row r="38842" customFormat="false" ht="15" hidden="false" customHeight="true" outlineLevel="0" collapsed="false"/>
    <row r="38843" customFormat="false" ht="15" hidden="false" customHeight="true" outlineLevel="0" collapsed="false"/>
    <row r="38844" customFormat="false" ht="15" hidden="false" customHeight="true" outlineLevel="0" collapsed="false"/>
    <row r="38845" customFormat="false" ht="15" hidden="false" customHeight="true" outlineLevel="0" collapsed="false"/>
    <row r="38846" customFormat="false" ht="15" hidden="false" customHeight="true" outlineLevel="0" collapsed="false"/>
    <row r="38847" customFormat="false" ht="15" hidden="false" customHeight="true" outlineLevel="0" collapsed="false"/>
    <row r="38848" customFormat="false" ht="15" hidden="false" customHeight="true" outlineLevel="0" collapsed="false"/>
    <row r="38849" customFormat="false" ht="15" hidden="false" customHeight="true" outlineLevel="0" collapsed="false"/>
    <row r="38850" customFormat="false" ht="15" hidden="false" customHeight="true" outlineLevel="0" collapsed="false"/>
    <row r="38851" customFormat="false" ht="15" hidden="false" customHeight="true" outlineLevel="0" collapsed="false"/>
    <row r="38852" customFormat="false" ht="15" hidden="false" customHeight="true" outlineLevel="0" collapsed="false"/>
    <row r="38853" customFormat="false" ht="15" hidden="false" customHeight="true" outlineLevel="0" collapsed="false"/>
    <row r="38854" customFormat="false" ht="15" hidden="false" customHeight="true" outlineLevel="0" collapsed="false"/>
    <row r="38855" customFormat="false" ht="15" hidden="false" customHeight="true" outlineLevel="0" collapsed="false"/>
    <row r="38856" customFormat="false" ht="15" hidden="false" customHeight="true" outlineLevel="0" collapsed="false"/>
    <row r="38857" customFormat="false" ht="15" hidden="false" customHeight="true" outlineLevel="0" collapsed="false"/>
    <row r="38858" customFormat="false" ht="15" hidden="false" customHeight="true" outlineLevel="0" collapsed="false"/>
    <row r="38859" customFormat="false" ht="15" hidden="false" customHeight="true" outlineLevel="0" collapsed="false"/>
    <row r="38860" customFormat="false" ht="15" hidden="false" customHeight="true" outlineLevel="0" collapsed="false"/>
    <row r="38861" customFormat="false" ht="15" hidden="false" customHeight="true" outlineLevel="0" collapsed="false"/>
    <row r="38862" customFormat="false" ht="15" hidden="false" customHeight="true" outlineLevel="0" collapsed="false"/>
    <row r="38863" customFormat="false" ht="15" hidden="false" customHeight="true" outlineLevel="0" collapsed="false"/>
    <row r="38864" customFormat="false" ht="15" hidden="false" customHeight="true" outlineLevel="0" collapsed="false"/>
    <row r="38865" customFormat="false" ht="15" hidden="false" customHeight="true" outlineLevel="0" collapsed="false"/>
    <row r="38866" customFormat="false" ht="15" hidden="false" customHeight="true" outlineLevel="0" collapsed="false"/>
    <row r="38867" customFormat="false" ht="15" hidden="false" customHeight="true" outlineLevel="0" collapsed="false"/>
    <row r="38868" customFormat="false" ht="15" hidden="false" customHeight="true" outlineLevel="0" collapsed="false"/>
    <row r="38869" customFormat="false" ht="15" hidden="false" customHeight="true" outlineLevel="0" collapsed="false"/>
    <row r="38870" customFormat="false" ht="15" hidden="false" customHeight="true" outlineLevel="0" collapsed="false"/>
    <row r="38871" customFormat="false" ht="15" hidden="false" customHeight="true" outlineLevel="0" collapsed="false"/>
    <row r="38872" customFormat="false" ht="15" hidden="false" customHeight="true" outlineLevel="0" collapsed="false"/>
    <row r="38873" customFormat="false" ht="15" hidden="false" customHeight="true" outlineLevel="0" collapsed="false"/>
    <row r="38874" customFormat="false" ht="15" hidden="false" customHeight="true" outlineLevel="0" collapsed="false"/>
    <row r="38875" customFormat="false" ht="15" hidden="false" customHeight="true" outlineLevel="0" collapsed="false"/>
    <row r="38876" customFormat="false" ht="15" hidden="false" customHeight="true" outlineLevel="0" collapsed="false"/>
    <row r="38877" customFormat="false" ht="15" hidden="false" customHeight="true" outlineLevel="0" collapsed="false"/>
    <row r="38878" customFormat="false" ht="15" hidden="false" customHeight="true" outlineLevel="0" collapsed="false"/>
    <row r="38879" customFormat="false" ht="15" hidden="false" customHeight="true" outlineLevel="0" collapsed="false"/>
    <row r="38880" customFormat="false" ht="15" hidden="false" customHeight="true" outlineLevel="0" collapsed="false"/>
    <row r="38881" customFormat="false" ht="15" hidden="false" customHeight="true" outlineLevel="0" collapsed="false"/>
    <row r="38882" customFormat="false" ht="15" hidden="false" customHeight="true" outlineLevel="0" collapsed="false"/>
    <row r="38883" customFormat="false" ht="15" hidden="false" customHeight="true" outlineLevel="0" collapsed="false"/>
    <row r="38884" customFormat="false" ht="15" hidden="false" customHeight="true" outlineLevel="0" collapsed="false"/>
    <row r="38885" customFormat="false" ht="15" hidden="false" customHeight="true" outlineLevel="0" collapsed="false"/>
    <row r="38886" customFormat="false" ht="15" hidden="false" customHeight="true" outlineLevel="0" collapsed="false"/>
    <row r="38887" customFormat="false" ht="15" hidden="false" customHeight="true" outlineLevel="0" collapsed="false"/>
    <row r="38888" customFormat="false" ht="15" hidden="false" customHeight="true" outlineLevel="0" collapsed="false"/>
    <row r="38889" customFormat="false" ht="15" hidden="false" customHeight="true" outlineLevel="0" collapsed="false"/>
    <row r="38890" customFormat="false" ht="15" hidden="false" customHeight="true" outlineLevel="0" collapsed="false"/>
    <row r="38891" customFormat="false" ht="15" hidden="false" customHeight="true" outlineLevel="0" collapsed="false"/>
    <row r="38892" customFormat="false" ht="15" hidden="false" customHeight="true" outlineLevel="0" collapsed="false"/>
    <row r="38893" customFormat="false" ht="15" hidden="false" customHeight="true" outlineLevel="0" collapsed="false"/>
    <row r="38894" customFormat="false" ht="15" hidden="false" customHeight="true" outlineLevel="0" collapsed="false"/>
    <row r="38895" customFormat="false" ht="15" hidden="false" customHeight="true" outlineLevel="0" collapsed="false"/>
    <row r="38896" customFormat="false" ht="15" hidden="false" customHeight="true" outlineLevel="0" collapsed="false"/>
    <row r="38897" customFormat="false" ht="15" hidden="false" customHeight="true" outlineLevel="0" collapsed="false"/>
    <row r="38898" customFormat="false" ht="15" hidden="false" customHeight="true" outlineLevel="0" collapsed="false"/>
    <row r="38899" customFormat="false" ht="15" hidden="false" customHeight="true" outlineLevel="0" collapsed="false"/>
    <row r="38900" customFormat="false" ht="15" hidden="false" customHeight="true" outlineLevel="0" collapsed="false"/>
    <row r="38901" customFormat="false" ht="15" hidden="false" customHeight="true" outlineLevel="0" collapsed="false"/>
    <row r="38902" customFormat="false" ht="15" hidden="false" customHeight="true" outlineLevel="0" collapsed="false"/>
    <row r="38903" customFormat="false" ht="15" hidden="false" customHeight="true" outlineLevel="0" collapsed="false"/>
    <row r="38904" customFormat="false" ht="15" hidden="false" customHeight="true" outlineLevel="0" collapsed="false"/>
    <row r="38905" customFormat="false" ht="15" hidden="false" customHeight="true" outlineLevel="0" collapsed="false"/>
    <row r="38906" customFormat="false" ht="15" hidden="false" customHeight="true" outlineLevel="0" collapsed="false"/>
    <row r="38907" customFormat="false" ht="15" hidden="false" customHeight="true" outlineLevel="0" collapsed="false"/>
    <row r="38908" customFormat="false" ht="15" hidden="false" customHeight="true" outlineLevel="0" collapsed="false"/>
    <row r="38909" customFormat="false" ht="15" hidden="false" customHeight="true" outlineLevel="0" collapsed="false"/>
    <row r="38910" customFormat="false" ht="15" hidden="false" customHeight="true" outlineLevel="0" collapsed="false"/>
    <row r="38911" customFormat="false" ht="15" hidden="false" customHeight="true" outlineLevel="0" collapsed="false"/>
    <row r="38912" customFormat="false" ht="15" hidden="false" customHeight="true" outlineLevel="0" collapsed="false"/>
    <row r="38913" customFormat="false" ht="15" hidden="false" customHeight="true" outlineLevel="0" collapsed="false"/>
    <row r="38914" customFormat="false" ht="15" hidden="false" customHeight="true" outlineLevel="0" collapsed="false"/>
    <row r="38915" customFormat="false" ht="15" hidden="false" customHeight="true" outlineLevel="0" collapsed="false"/>
    <row r="38916" customFormat="false" ht="15" hidden="false" customHeight="true" outlineLevel="0" collapsed="false"/>
    <row r="38917" customFormat="false" ht="15" hidden="false" customHeight="true" outlineLevel="0" collapsed="false"/>
    <row r="38918" customFormat="false" ht="15" hidden="false" customHeight="true" outlineLevel="0" collapsed="false"/>
    <row r="38919" customFormat="false" ht="15" hidden="false" customHeight="true" outlineLevel="0" collapsed="false"/>
    <row r="38920" customFormat="false" ht="15" hidden="false" customHeight="true" outlineLevel="0" collapsed="false"/>
    <row r="38921" customFormat="false" ht="15" hidden="false" customHeight="true" outlineLevel="0" collapsed="false"/>
    <row r="38922" customFormat="false" ht="15" hidden="false" customHeight="true" outlineLevel="0" collapsed="false"/>
    <row r="38923" customFormat="false" ht="15" hidden="false" customHeight="true" outlineLevel="0" collapsed="false"/>
    <row r="38924" customFormat="false" ht="15" hidden="false" customHeight="true" outlineLevel="0" collapsed="false"/>
    <row r="38925" customFormat="false" ht="15" hidden="false" customHeight="true" outlineLevel="0" collapsed="false"/>
    <row r="38926" customFormat="false" ht="15" hidden="false" customHeight="true" outlineLevel="0" collapsed="false"/>
    <row r="38927" customFormat="false" ht="15" hidden="false" customHeight="true" outlineLevel="0" collapsed="false"/>
    <row r="38928" customFormat="false" ht="15" hidden="false" customHeight="true" outlineLevel="0" collapsed="false"/>
    <row r="38929" customFormat="false" ht="15" hidden="false" customHeight="true" outlineLevel="0" collapsed="false"/>
    <row r="38930" customFormat="false" ht="15" hidden="false" customHeight="true" outlineLevel="0" collapsed="false"/>
    <row r="38931" customFormat="false" ht="15" hidden="false" customHeight="true" outlineLevel="0" collapsed="false"/>
    <row r="38932" customFormat="false" ht="15" hidden="false" customHeight="true" outlineLevel="0" collapsed="false"/>
    <row r="38933" customFormat="false" ht="15" hidden="false" customHeight="true" outlineLevel="0" collapsed="false"/>
    <row r="38934" customFormat="false" ht="15" hidden="false" customHeight="true" outlineLevel="0" collapsed="false"/>
    <row r="38935" customFormat="false" ht="15" hidden="false" customHeight="true" outlineLevel="0" collapsed="false"/>
    <row r="38936" customFormat="false" ht="15" hidden="false" customHeight="true" outlineLevel="0" collapsed="false"/>
    <row r="38937" customFormat="false" ht="15" hidden="false" customHeight="true" outlineLevel="0" collapsed="false"/>
    <row r="38938" customFormat="false" ht="15" hidden="false" customHeight="true" outlineLevel="0" collapsed="false"/>
    <row r="38939" customFormat="false" ht="15" hidden="false" customHeight="true" outlineLevel="0" collapsed="false"/>
    <row r="38940" customFormat="false" ht="15" hidden="false" customHeight="true" outlineLevel="0" collapsed="false"/>
    <row r="38941" customFormat="false" ht="15" hidden="false" customHeight="true" outlineLevel="0" collapsed="false"/>
    <row r="38942" customFormat="false" ht="15" hidden="false" customHeight="true" outlineLevel="0" collapsed="false"/>
    <row r="38943" customFormat="false" ht="15" hidden="false" customHeight="true" outlineLevel="0" collapsed="false"/>
    <row r="38944" customFormat="false" ht="15" hidden="false" customHeight="true" outlineLevel="0" collapsed="false"/>
    <row r="38945" customFormat="false" ht="15" hidden="false" customHeight="true" outlineLevel="0" collapsed="false"/>
    <row r="38946" customFormat="false" ht="15" hidden="false" customHeight="true" outlineLevel="0" collapsed="false"/>
    <row r="38947" customFormat="false" ht="15" hidden="false" customHeight="true" outlineLevel="0" collapsed="false"/>
    <row r="38948" customFormat="false" ht="15" hidden="false" customHeight="true" outlineLevel="0" collapsed="false"/>
    <row r="38949" customFormat="false" ht="15" hidden="false" customHeight="true" outlineLevel="0" collapsed="false"/>
    <row r="38950" customFormat="false" ht="15" hidden="false" customHeight="true" outlineLevel="0" collapsed="false"/>
    <row r="38951" customFormat="false" ht="15" hidden="false" customHeight="true" outlineLevel="0" collapsed="false"/>
    <row r="38952" customFormat="false" ht="15" hidden="false" customHeight="true" outlineLevel="0" collapsed="false"/>
    <row r="38953" customFormat="false" ht="15" hidden="false" customHeight="true" outlineLevel="0" collapsed="false"/>
    <row r="38954" customFormat="false" ht="15" hidden="false" customHeight="true" outlineLevel="0" collapsed="false"/>
    <row r="38955" customFormat="false" ht="15" hidden="false" customHeight="true" outlineLevel="0" collapsed="false"/>
    <row r="38956" customFormat="false" ht="15" hidden="false" customHeight="true" outlineLevel="0" collapsed="false"/>
    <row r="38957" customFormat="false" ht="15" hidden="false" customHeight="true" outlineLevel="0" collapsed="false"/>
    <row r="38958" customFormat="false" ht="15" hidden="false" customHeight="true" outlineLevel="0" collapsed="false"/>
    <row r="38959" customFormat="false" ht="15" hidden="false" customHeight="true" outlineLevel="0" collapsed="false"/>
    <row r="38960" customFormat="false" ht="15" hidden="false" customHeight="true" outlineLevel="0" collapsed="false"/>
    <row r="38961" customFormat="false" ht="15" hidden="false" customHeight="true" outlineLevel="0" collapsed="false"/>
    <row r="38962" customFormat="false" ht="15" hidden="false" customHeight="true" outlineLevel="0" collapsed="false"/>
    <row r="38963" customFormat="false" ht="15" hidden="false" customHeight="true" outlineLevel="0" collapsed="false"/>
    <row r="38964" customFormat="false" ht="15" hidden="false" customHeight="true" outlineLevel="0" collapsed="false"/>
    <row r="38965" customFormat="false" ht="15" hidden="false" customHeight="true" outlineLevel="0" collapsed="false"/>
    <row r="38966" customFormat="false" ht="15" hidden="false" customHeight="true" outlineLevel="0" collapsed="false"/>
    <row r="38967" customFormat="false" ht="15" hidden="false" customHeight="true" outlineLevel="0" collapsed="false"/>
    <row r="38968" customFormat="false" ht="15" hidden="false" customHeight="true" outlineLevel="0" collapsed="false"/>
    <row r="38969" customFormat="false" ht="15" hidden="false" customHeight="true" outlineLevel="0" collapsed="false"/>
    <row r="38970" customFormat="false" ht="15" hidden="false" customHeight="true" outlineLevel="0" collapsed="false"/>
    <row r="38971" customFormat="false" ht="15" hidden="false" customHeight="true" outlineLevel="0" collapsed="false"/>
    <row r="38972" customFormat="false" ht="15" hidden="false" customHeight="true" outlineLevel="0" collapsed="false"/>
    <row r="38973" customFormat="false" ht="15" hidden="false" customHeight="true" outlineLevel="0" collapsed="false"/>
    <row r="38974" customFormat="false" ht="15" hidden="false" customHeight="true" outlineLevel="0" collapsed="false"/>
    <row r="38975" customFormat="false" ht="15" hidden="false" customHeight="true" outlineLevel="0" collapsed="false"/>
    <row r="38976" customFormat="false" ht="15" hidden="false" customHeight="true" outlineLevel="0" collapsed="false"/>
    <row r="38977" customFormat="false" ht="15" hidden="false" customHeight="true" outlineLevel="0" collapsed="false"/>
    <row r="38978" customFormat="false" ht="15" hidden="false" customHeight="true" outlineLevel="0" collapsed="false"/>
    <row r="38979" customFormat="false" ht="15" hidden="false" customHeight="true" outlineLevel="0" collapsed="false"/>
    <row r="38980" customFormat="false" ht="15" hidden="false" customHeight="true" outlineLevel="0" collapsed="false"/>
    <row r="38981" customFormat="false" ht="15" hidden="false" customHeight="true" outlineLevel="0" collapsed="false"/>
    <row r="38982" customFormat="false" ht="15" hidden="false" customHeight="true" outlineLevel="0" collapsed="false"/>
    <row r="38983" customFormat="false" ht="15" hidden="false" customHeight="true" outlineLevel="0" collapsed="false"/>
    <row r="38984" customFormat="false" ht="15" hidden="false" customHeight="true" outlineLevel="0" collapsed="false"/>
    <row r="38985" customFormat="false" ht="15" hidden="false" customHeight="true" outlineLevel="0" collapsed="false"/>
    <row r="38986" customFormat="false" ht="15" hidden="false" customHeight="true" outlineLevel="0" collapsed="false"/>
    <row r="38987" customFormat="false" ht="15" hidden="false" customHeight="true" outlineLevel="0" collapsed="false"/>
    <row r="38988" customFormat="false" ht="15" hidden="false" customHeight="true" outlineLevel="0" collapsed="false"/>
    <row r="38989" customFormat="false" ht="15" hidden="false" customHeight="true" outlineLevel="0" collapsed="false"/>
    <row r="38990" customFormat="false" ht="15" hidden="false" customHeight="true" outlineLevel="0" collapsed="false"/>
    <row r="38991" customFormat="false" ht="15" hidden="false" customHeight="true" outlineLevel="0" collapsed="false"/>
    <row r="38992" customFormat="false" ht="15" hidden="false" customHeight="true" outlineLevel="0" collapsed="false"/>
    <row r="38993" customFormat="false" ht="15" hidden="false" customHeight="true" outlineLevel="0" collapsed="false"/>
    <row r="38994" customFormat="false" ht="15" hidden="false" customHeight="true" outlineLevel="0" collapsed="false"/>
    <row r="38995" customFormat="false" ht="15" hidden="false" customHeight="true" outlineLevel="0" collapsed="false"/>
    <row r="38996" customFormat="false" ht="15" hidden="false" customHeight="true" outlineLevel="0" collapsed="false"/>
    <row r="38997" customFormat="false" ht="15" hidden="false" customHeight="true" outlineLevel="0" collapsed="false"/>
    <row r="38998" customFormat="false" ht="15" hidden="false" customHeight="true" outlineLevel="0" collapsed="false"/>
    <row r="38999" customFormat="false" ht="15" hidden="false" customHeight="true" outlineLevel="0" collapsed="false"/>
    <row r="39000" customFormat="false" ht="15" hidden="false" customHeight="true" outlineLevel="0" collapsed="false"/>
    <row r="39001" customFormat="false" ht="15" hidden="false" customHeight="true" outlineLevel="0" collapsed="false"/>
    <row r="39002" customFormat="false" ht="15" hidden="false" customHeight="true" outlineLevel="0" collapsed="false"/>
    <row r="39003" customFormat="false" ht="15" hidden="false" customHeight="true" outlineLevel="0" collapsed="false"/>
    <row r="39004" customFormat="false" ht="15" hidden="false" customHeight="true" outlineLevel="0" collapsed="false"/>
    <row r="39005" customFormat="false" ht="15" hidden="false" customHeight="true" outlineLevel="0" collapsed="false"/>
    <row r="39006" customFormat="false" ht="15" hidden="false" customHeight="true" outlineLevel="0" collapsed="false"/>
    <row r="39007" customFormat="false" ht="15" hidden="false" customHeight="true" outlineLevel="0" collapsed="false"/>
    <row r="39008" customFormat="false" ht="15" hidden="false" customHeight="true" outlineLevel="0" collapsed="false"/>
    <row r="39009" customFormat="false" ht="15" hidden="false" customHeight="true" outlineLevel="0" collapsed="false"/>
    <row r="39010" customFormat="false" ht="15" hidden="false" customHeight="true" outlineLevel="0" collapsed="false"/>
    <row r="39011" customFormat="false" ht="15" hidden="false" customHeight="true" outlineLevel="0" collapsed="false"/>
    <row r="39012" customFormat="false" ht="15" hidden="false" customHeight="true" outlineLevel="0" collapsed="false"/>
    <row r="39013" customFormat="false" ht="15" hidden="false" customHeight="true" outlineLevel="0" collapsed="false"/>
    <row r="39014" customFormat="false" ht="15" hidden="false" customHeight="true" outlineLevel="0" collapsed="false"/>
    <row r="39015" customFormat="false" ht="15" hidden="false" customHeight="true" outlineLevel="0" collapsed="false"/>
    <row r="39016" customFormat="false" ht="15" hidden="false" customHeight="true" outlineLevel="0" collapsed="false"/>
    <row r="39017" customFormat="false" ht="15" hidden="false" customHeight="true" outlineLevel="0" collapsed="false"/>
    <row r="39018" customFormat="false" ht="15" hidden="false" customHeight="true" outlineLevel="0" collapsed="false"/>
    <row r="39019" customFormat="false" ht="15" hidden="false" customHeight="true" outlineLevel="0" collapsed="false"/>
    <row r="39020" customFormat="false" ht="15" hidden="false" customHeight="true" outlineLevel="0" collapsed="false"/>
    <row r="39021" customFormat="false" ht="15" hidden="false" customHeight="true" outlineLevel="0" collapsed="false"/>
    <row r="39022" customFormat="false" ht="15" hidden="false" customHeight="true" outlineLevel="0" collapsed="false"/>
    <row r="39023" customFormat="false" ht="15" hidden="false" customHeight="true" outlineLevel="0" collapsed="false"/>
    <row r="39024" customFormat="false" ht="15" hidden="false" customHeight="true" outlineLevel="0" collapsed="false"/>
    <row r="39025" customFormat="false" ht="15" hidden="false" customHeight="true" outlineLevel="0" collapsed="false"/>
    <row r="39026" customFormat="false" ht="15" hidden="false" customHeight="true" outlineLevel="0" collapsed="false"/>
    <row r="39027" customFormat="false" ht="15" hidden="false" customHeight="true" outlineLevel="0" collapsed="false"/>
    <row r="39028" customFormat="false" ht="15" hidden="false" customHeight="true" outlineLevel="0" collapsed="false"/>
    <row r="39029" customFormat="false" ht="15" hidden="false" customHeight="true" outlineLevel="0" collapsed="false"/>
    <row r="39030" customFormat="false" ht="15" hidden="false" customHeight="true" outlineLevel="0" collapsed="false"/>
    <row r="39031" customFormat="false" ht="15" hidden="false" customHeight="true" outlineLevel="0" collapsed="false"/>
    <row r="39032" customFormat="false" ht="15" hidden="false" customHeight="true" outlineLevel="0" collapsed="false"/>
    <row r="39033" customFormat="false" ht="15" hidden="false" customHeight="true" outlineLevel="0" collapsed="false"/>
    <row r="39034" customFormat="false" ht="15" hidden="false" customHeight="true" outlineLevel="0" collapsed="false"/>
    <row r="39035" customFormat="false" ht="15" hidden="false" customHeight="true" outlineLevel="0" collapsed="false"/>
    <row r="39036" customFormat="false" ht="15" hidden="false" customHeight="true" outlineLevel="0" collapsed="false"/>
    <row r="39037" customFormat="false" ht="15" hidden="false" customHeight="true" outlineLevel="0" collapsed="false"/>
    <row r="39038" customFormat="false" ht="15" hidden="false" customHeight="true" outlineLevel="0" collapsed="false"/>
    <row r="39039" customFormat="false" ht="15" hidden="false" customHeight="true" outlineLevel="0" collapsed="false"/>
    <row r="39040" customFormat="false" ht="15" hidden="false" customHeight="true" outlineLevel="0" collapsed="false"/>
    <row r="39041" customFormat="false" ht="15" hidden="false" customHeight="true" outlineLevel="0" collapsed="false"/>
    <row r="39042" customFormat="false" ht="15" hidden="false" customHeight="true" outlineLevel="0" collapsed="false"/>
    <row r="39043" customFormat="false" ht="15" hidden="false" customHeight="true" outlineLevel="0" collapsed="false"/>
    <row r="39044" customFormat="false" ht="15" hidden="false" customHeight="true" outlineLevel="0" collapsed="false"/>
    <row r="39045" customFormat="false" ht="15" hidden="false" customHeight="true" outlineLevel="0" collapsed="false"/>
    <row r="39046" customFormat="false" ht="15" hidden="false" customHeight="true" outlineLevel="0" collapsed="false"/>
    <row r="39047" customFormat="false" ht="15" hidden="false" customHeight="true" outlineLevel="0" collapsed="false"/>
    <row r="39048" customFormat="false" ht="15" hidden="false" customHeight="true" outlineLevel="0" collapsed="false"/>
    <row r="39049" customFormat="false" ht="15" hidden="false" customHeight="true" outlineLevel="0" collapsed="false"/>
    <row r="39050" customFormat="false" ht="15" hidden="false" customHeight="true" outlineLevel="0" collapsed="false"/>
    <row r="39051" customFormat="false" ht="15" hidden="false" customHeight="true" outlineLevel="0" collapsed="false"/>
    <row r="39052" customFormat="false" ht="15" hidden="false" customHeight="true" outlineLevel="0" collapsed="false"/>
    <row r="39053" customFormat="false" ht="15" hidden="false" customHeight="true" outlineLevel="0" collapsed="false"/>
    <row r="39054" customFormat="false" ht="15" hidden="false" customHeight="true" outlineLevel="0" collapsed="false"/>
    <row r="39055" customFormat="false" ht="15" hidden="false" customHeight="true" outlineLevel="0" collapsed="false"/>
    <row r="39056" customFormat="false" ht="15" hidden="false" customHeight="true" outlineLevel="0" collapsed="false"/>
    <row r="39057" customFormat="false" ht="15" hidden="false" customHeight="true" outlineLevel="0" collapsed="false"/>
    <row r="39058" customFormat="false" ht="15" hidden="false" customHeight="true" outlineLevel="0" collapsed="false"/>
    <row r="39059" customFormat="false" ht="15" hidden="false" customHeight="true" outlineLevel="0" collapsed="false"/>
    <row r="39060" customFormat="false" ht="15" hidden="false" customHeight="true" outlineLevel="0" collapsed="false"/>
    <row r="39061" customFormat="false" ht="15" hidden="false" customHeight="true" outlineLevel="0" collapsed="false"/>
    <row r="39062" customFormat="false" ht="15" hidden="false" customHeight="true" outlineLevel="0" collapsed="false"/>
    <row r="39063" customFormat="false" ht="15" hidden="false" customHeight="true" outlineLevel="0" collapsed="false"/>
    <row r="39064" customFormat="false" ht="15" hidden="false" customHeight="true" outlineLevel="0" collapsed="false"/>
    <row r="39065" customFormat="false" ht="15" hidden="false" customHeight="true" outlineLevel="0" collapsed="false"/>
    <row r="39066" customFormat="false" ht="15" hidden="false" customHeight="true" outlineLevel="0" collapsed="false"/>
    <row r="39067" customFormat="false" ht="15" hidden="false" customHeight="true" outlineLevel="0" collapsed="false"/>
    <row r="39068" customFormat="false" ht="15" hidden="false" customHeight="true" outlineLevel="0" collapsed="false"/>
    <row r="39069" customFormat="false" ht="15" hidden="false" customHeight="true" outlineLevel="0" collapsed="false"/>
    <row r="39070" customFormat="false" ht="15" hidden="false" customHeight="true" outlineLevel="0" collapsed="false"/>
    <row r="39071" customFormat="false" ht="15" hidden="false" customHeight="true" outlineLevel="0" collapsed="false"/>
    <row r="39072" customFormat="false" ht="15" hidden="false" customHeight="true" outlineLevel="0" collapsed="false"/>
    <row r="39073" customFormat="false" ht="15" hidden="false" customHeight="true" outlineLevel="0" collapsed="false"/>
    <row r="39074" customFormat="false" ht="15" hidden="false" customHeight="true" outlineLevel="0" collapsed="false"/>
    <row r="39075" customFormat="false" ht="15" hidden="false" customHeight="true" outlineLevel="0" collapsed="false"/>
    <row r="39076" customFormat="false" ht="15" hidden="false" customHeight="true" outlineLevel="0" collapsed="false"/>
    <row r="39077" customFormat="false" ht="15" hidden="false" customHeight="true" outlineLevel="0" collapsed="false"/>
    <row r="39078" customFormat="false" ht="15" hidden="false" customHeight="true" outlineLevel="0" collapsed="false"/>
    <row r="39079" customFormat="false" ht="15" hidden="false" customHeight="true" outlineLevel="0" collapsed="false"/>
    <row r="39080" customFormat="false" ht="15" hidden="false" customHeight="true" outlineLevel="0" collapsed="false"/>
    <row r="39081" customFormat="false" ht="15" hidden="false" customHeight="true" outlineLevel="0" collapsed="false"/>
    <row r="39082" customFormat="false" ht="15" hidden="false" customHeight="true" outlineLevel="0" collapsed="false"/>
    <row r="39083" customFormat="false" ht="15" hidden="false" customHeight="true" outlineLevel="0" collapsed="false"/>
    <row r="39084" customFormat="false" ht="15" hidden="false" customHeight="true" outlineLevel="0" collapsed="false"/>
    <row r="39085" customFormat="false" ht="15" hidden="false" customHeight="true" outlineLevel="0" collapsed="false"/>
    <row r="39086" customFormat="false" ht="15" hidden="false" customHeight="true" outlineLevel="0" collapsed="false"/>
    <row r="39087" customFormat="false" ht="15" hidden="false" customHeight="true" outlineLevel="0" collapsed="false"/>
    <row r="39088" customFormat="false" ht="15" hidden="false" customHeight="true" outlineLevel="0" collapsed="false"/>
    <row r="39089" customFormat="false" ht="15" hidden="false" customHeight="true" outlineLevel="0" collapsed="false"/>
    <row r="39090" customFormat="false" ht="15" hidden="false" customHeight="true" outlineLevel="0" collapsed="false"/>
    <row r="39091" customFormat="false" ht="15" hidden="false" customHeight="true" outlineLevel="0" collapsed="false"/>
    <row r="39092" customFormat="false" ht="15" hidden="false" customHeight="true" outlineLevel="0" collapsed="false"/>
    <row r="39093" customFormat="false" ht="15" hidden="false" customHeight="true" outlineLevel="0" collapsed="false"/>
    <row r="39094" customFormat="false" ht="15" hidden="false" customHeight="true" outlineLevel="0" collapsed="false"/>
    <row r="39095" customFormat="false" ht="15" hidden="false" customHeight="true" outlineLevel="0" collapsed="false"/>
    <row r="39096" customFormat="false" ht="15" hidden="false" customHeight="true" outlineLevel="0" collapsed="false"/>
    <row r="39097" customFormat="false" ht="15" hidden="false" customHeight="true" outlineLevel="0" collapsed="false"/>
    <row r="39098" customFormat="false" ht="15" hidden="false" customHeight="true" outlineLevel="0" collapsed="false"/>
    <row r="39099" customFormat="false" ht="15" hidden="false" customHeight="true" outlineLevel="0" collapsed="false"/>
    <row r="39100" customFormat="false" ht="15" hidden="false" customHeight="true" outlineLevel="0" collapsed="false"/>
    <row r="39101" customFormat="false" ht="15" hidden="false" customHeight="true" outlineLevel="0" collapsed="false"/>
    <row r="39102" customFormat="false" ht="15" hidden="false" customHeight="true" outlineLevel="0" collapsed="false"/>
    <row r="39103" customFormat="false" ht="15" hidden="false" customHeight="true" outlineLevel="0" collapsed="false"/>
    <row r="39104" customFormat="false" ht="15" hidden="false" customHeight="true" outlineLevel="0" collapsed="false"/>
    <row r="39105" customFormat="false" ht="15" hidden="false" customHeight="true" outlineLevel="0" collapsed="false"/>
    <row r="39106" customFormat="false" ht="15" hidden="false" customHeight="true" outlineLevel="0" collapsed="false"/>
    <row r="39107" customFormat="false" ht="15" hidden="false" customHeight="true" outlineLevel="0" collapsed="false"/>
    <row r="39108" customFormat="false" ht="15" hidden="false" customHeight="true" outlineLevel="0" collapsed="false"/>
    <row r="39109" customFormat="false" ht="15" hidden="false" customHeight="true" outlineLevel="0" collapsed="false"/>
    <row r="39110" customFormat="false" ht="15" hidden="false" customHeight="true" outlineLevel="0" collapsed="false"/>
    <row r="39111" customFormat="false" ht="15" hidden="false" customHeight="true" outlineLevel="0" collapsed="false"/>
    <row r="39112" customFormat="false" ht="15" hidden="false" customHeight="true" outlineLevel="0" collapsed="false"/>
    <row r="39113" customFormat="false" ht="15" hidden="false" customHeight="true" outlineLevel="0" collapsed="false"/>
    <row r="39114" customFormat="false" ht="15" hidden="false" customHeight="true" outlineLevel="0" collapsed="false"/>
    <row r="39115" customFormat="false" ht="15" hidden="false" customHeight="true" outlineLevel="0" collapsed="false"/>
    <row r="39116" customFormat="false" ht="15" hidden="false" customHeight="true" outlineLevel="0" collapsed="false"/>
    <row r="39117" customFormat="false" ht="15" hidden="false" customHeight="true" outlineLevel="0" collapsed="false"/>
    <row r="39118" customFormat="false" ht="15" hidden="false" customHeight="true" outlineLevel="0" collapsed="false"/>
    <row r="39119" customFormat="false" ht="15" hidden="false" customHeight="true" outlineLevel="0" collapsed="false"/>
    <row r="39120" customFormat="false" ht="15" hidden="false" customHeight="true" outlineLevel="0" collapsed="false"/>
    <row r="39121" customFormat="false" ht="15" hidden="false" customHeight="true" outlineLevel="0" collapsed="false"/>
    <row r="39122" customFormat="false" ht="15" hidden="false" customHeight="true" outlineLevel="0" collapsed="false"/>
    <row r="39123" customFormat="false" ht="15" hidden="false" customHeight="true" outlineLevel="0" collapsed="false"/>
    <row r="39124" customFormat="false" ht="15" hidden="false" customHeight="true" outlineLevel="0" collapsed="false"/>
    <row r="39125" customFormat="false" ht="15" hidden="false" customHeight="true" outlineLevel="0" collapsed="false"/>
    <row r="39126" customFormat="false" ht="15" hidden="false" customHeight="true" outlineLevel="0" collapsed="false"/>
    <row r="39127" customFormat="false" ht="15" hidden="false" customHeight="true" outlineLevel="0" collapsed="false"/>
    <row r="39128" customFormat="false" ht="15" hidden="false" customHeight="true" outlineLevel="0" collapsed="false"/>
    <row r="39129" customFormat="false" ht="15" hidden="false" customHeight="true" outlineLevel="0" collapsed="false"/>
    <row r="39130" customFormat="false" ht="15" hidden="false" customHeight="true" outlineLevel="0" collapsed="false"/>
    <row r="39131" customFormat="false" ht="15" hidden="false" customHeight="true" outlineLevel="0" collapsed="false"/>
    <row r="39132" customFormat="false" ht="15" hidden="false" customHeight="true" outlineLevel="0" collapsed="false"/>
    <row r="39133" customFormat="false" ht="15" hidden="false" customHeight="true" outlineLevel="0" collapsed="false"/>
    <row r="39134" customFormat="false" ht="15" hidden="false" customHeight="true" outlineLevel="0" collapsed="false"/>
    <row r="39135" customFormat="false" ht="15" hidden="false" customHeight="true" outlineLevel="0" collapsed="false"/>
    <row r="39136" customFormat="false" ht="15" hidden="false" customHeight="true" outlineLevel="0" collapsed="false"/>
    <row r="39137" customFormat="false" ht="15" hidden="false" customHeight="true" outlineLevel="0" collapsed="false"/>
    <row r="39138" customFormat="false" ht="15" hidden="false" customHeight="true" outlineLevel="0" collapsed="false"/>
    <row r="39139" customFormat="false" ht="15" hidden="false" customHeight="true" outlineLevel="0" collapsed="false"/>
    <row r="39140" customFormat="false" ht="15" hidden="false" customHeight="true" outlineLevel="0" collapsed="false"/>
    <row r="39141" customFormat="false" ht="15" hidden="false" customHeight="true" outlineLevel="0" collapsed="false"/>
    <row r="39142" customFormat="false" ht="15" hidden="false" customHeight="true" outlineLevel="0" collapsed="false"/>
    <row r="39143" customFormat="false" ht="15" hidden="false" customHeight="true" outlineLevel="0" collapsed="false"/>
    <row r="39144" customFormat="false" ht="15" hidden="false" customHeight="true" outlineLevel="0" collapsed="false"/>
    <row r="39145" customFormat="false" ht="15" hidden="false" customHeight="true" outlineLevel="0" collapsed="false"/>
    <row r="39146" customFormat="false" ht="15" hidden="false" customHeight="true" outlineLevel="0" collapsed="false"/>
    <row r="39147" customFormat="false" ht="15" hidden="false" customHeight="true" outlineLevel="0" collapsed="false"/>
    <row r="39148" customFormat="false" ht="15" hidden="false" customHeight="true" outlineLevel="0" collapsed="false"/>
    <row r="39149" customFormat="false" ht="15" hidden="false" customHeight="true" outlineLevel="0" collapsed="false"/>
    <row r="39150" customFormat="false" ht="15" hidden="false" customHeight="true" outlineLevel="0" collapsed="false"/>
    <row r="39151" customFormat="false" ht="15" hidden="false" customHeight="true" outlineLevel="0" collapsed="false"/>
    <row r="39152" customFormat="false" ht="15" hidden="false" customHeight="true" outlineLevel="0" collapsed="false"/>
    <row r="39153" customFormat="false" ht="15" hidden="false" customHeight="true" outlineLevel="0" collapsed="false"/>
    <row r="39154" customFormat="false" ht="15" hidden="false" customHeight="true" outlineLevel="0" collapsed="false"/>
    <row r="39155" customFormat="false" ht="15" hidden="false" customHeight="true" outlineLevel="0" collapsed="false"/>
    <row r="39156" customFormat="false" ht="15" hidden="false" customHeight="true" outlineLevel="0" collapsed="false"/>
    <row r="39157" customFormat="false" ht="15" hidden="false" customHeight="true" outlineLevel="0" collapsed="false"/>
    <row r="39158" customFormat="false" ht="15" hidden="false" customHeight="true" outlineLevel="0" collapsed="false"/>
    <row r="39159" customFormat="false" ht="15" hidden="false" customHeight="true" outlineLevel="0" collapsed="false"/>
    <row r="39160" customFormat="false" ht="15" hidden="false" customHeight="true" outlineLevel="0" collapsed="false"/>
    <row r="39161" customFormat="false" ht="15" hidden="false" customHeight="true" outlineLevel="0" collapsed="false"/>
    <row r="39162" customFormat="false" ht="15" hidden="false" customHeight="true" outlineLevel="0" collapsed="false"/>
    <row r="39163" customFormat="false" ht="15" hidden="false" customHeight="true" outlineLevel="0" collapsed="false"/>
    <row r="39164" customFormat="false" ht="15" hidden="false" customHeight="true" outlineLevel="0" collapsed="false"/>
    <row r="39165" customFormat="false" ht="15" hidden="false" customHeight="true" outlineLevel="0" collapsed="false"/>
    <row r="39166" customFormat="false" ht="15" hidden="false" customHeight="true" outlineLevel="0" collapsed="false"/>
    <row r="39167" customFormat="false" ht="15" hidden="false" customHeight="true" outlineLevel="0" collapsed="false"/>
    <row r="39168" customFormat="false" ht="15" hidden="false" customHeight="true" outlineLevel="0" collapsed="false"/>
    <row r="39169" customFormat="false" ht="15" hidden="false" customHeight="true" outlineLevel="0" collapsed="false"/>
    <row r="39170" customFormat="false" ht="15" hidden="false" customHeight="true" outlineLevel="0" collapsed="false"/>
    <row r="39171" customFormat="false" ht="15" hidden="false" customHeight="true" outlineLevel="0" collapsed="false"/>
    <row r="39172" customFormat="false" ht="15" hidden="false" customHeight="true" outlineLevel="0" collapsed="false"/>
    <row r="39173" customFormat="false" ht="15" hidden="false" customHeight="true" outlineLevel="0" collapsed="false"/>
    <row r="39174" customFormat="false" ht="15" hidden="false" customHeight="true" outlineLevel="0" collapsed="false"/>
    <row r="39175" customFormat="false" ht="15" hidden="false" customHeight="true" outlineLevel="0" collapsed="false"/>
    <row r="39176" customFormat="false" ht="15" hidden="false" customHeight="true" outlineLevel="0" collapsed="false"/>
    <row r="39177" customFormat="false" ht="15" hidden="false" customHeight="true" outlineLevel="0" collapsed="false"/>
    <row r="39178" customFormat="false" ht="15" hidden="false" customHeight="true" outlineLevel="0" collapsed="false"/>
    <row r="39179" customFormat="false" ht="15" hidden="false" customHeight="true" outlineLevel="0" collapsed="false"/>
    <row r="39180" customFormat="false" ht="15" hidden="false" customHeight="true" outlineLevel="0" collapsed="false"/>
    <row r="39181" customFormat="false" ht="15" hidden="false" customHeight="true" outlineLevel="0" collapsed="false"/>
    <row r="39182" customFormat="false" ht="15" hidden="false" customHeight="true" outlineLevel="0" collapsed="false"/>
    <row r="39183" customFormat="false" ht="15" hidden="false" customHeight="true" outlineLevel="0" collapsed="false"/>
    <row r="39184" customFormat="false" ht="15" hidden="false" customHeight="true" outlineLevel="0" collapsed="false"/>
    <row r="39185" customFormat="false" ht="15" hidden="false" customHeight="true" outlineLevel="0" collapsed="false"/>
    <row r="39186" customFormat="false" ht="15" hidden="false" customHeight="true" outlineLevel="0" collapsed="false"/>
    <row r="39187" customFormat="false" ht="15" hidden="false" customHeight="true" outlineLevel="0" collapsed="false"/>
    <row r="39188" customFormat="false" ht="15" hidden="false" customHeight="true" outlineLevel="0" collapsed="false"/>
    <row r="39189" customFormat="false" ht="15" hidden="false" customHeight="true" outlineLevel="0" collapsed="false"/>
    <row r="39190" customFormat="false" ht="15" hidden="false" customHeight="true" outlineLevel="0" collapsed="false"/>
    <row r="39191" customFormat="false" ht="15" hidden="false" customHeight="true" outlineLevel="0" collapsed="false"/>
    <row r="39192" customFormat="false" ht="15" hidden="false" customHeight="true" outlineLevel="0" collapsed="false"/>
    <row r="39193" customFormat="false" ht="15" hidden="false" customHeight="true" outlineLevel="0" collapsed="false"/>
    <row r="39194" customFormat="false" ht="15" hidden="false" customHeight="true" outlineLevel="0" collapsed="false"/>
    <row r="39195" customFormat="false" ht="15" hidden="false" customHeight="true" outlineLevel="0" collapsed="false"/>
    <row r="39196" customFormat="false" ht="15" hidden="false" customHeight="true" outlineLevel="0" collapsed="false"/>
    <row r="39197" customFormat="false" ht="15" hidden="false" customHeight="true" outlineLevel="0" collapsed="false"/>
    <row r="39198" customFormat="false" ht="15" hidden="false" customHeight="true" outlineLevel="0" collapsed="false"/>
    <row r="39199" customFormat="false" ht="15" hidden="false" customHeight="true" outlineLevel="0" collapsed="false"/>
    <row r="39200" customFormat="false" ht="15" hidden="false" customHeight="true" outlineLevel="0" collapsed="false"/>
    <row r="39201" customFormat="false" ht="15" hidden="false" customHeight="true" outlineLevel="0" collapsed="false"/>
    <row r="39202" customFormat="false" ht="15" hidden="false" customHeight="true" outlineLevel="0" collapsed="false"/>
    <row r="39203" customFormat="false" ht="15" hidden="false" customHeight="true" outlineLevel="0" collapsed="false"/>
    <row r="39204" customFormat="false" ht="15" hidden="false" customHeight="true" outlineLevel="0" collapsed="false"/>
    <row r="39205" customFormat="false" ht="15" hidden="false" customHeight="true" outlineLevel="0" collapsed="false"/>
    <row r="39206" customFormat="false" ht="15" hidden="false" customHeight="true" outlineLevel="0" collapsed="false"/>
    <row r="39207" customFormat="false" ht="15" hidden="false" customHeight="true" outlineLevel="0" collapsed="false"/>
    <row r="39208" customFormat="false" ht="15" hidden="false" customHeight="true" outlineLevel="0" collapsed="false"/>
    <row r="39209" customFormat="false" ht="15" hidden="false" customHeight="true" outlineLevel="0" collapsed="false"/>
    <row r="39210" customFormat="false" ht="15" hidden="false" customHeight="true" outlineLevel="0" collapsed="false"/>
    <row r="39211" customFormat="false" ht="15" hidden="false" customHeight="true" outlineLevel="0" collapsed="false"/>
    <row r="39212" customFormat="false" ht="15" hidden="false" customHeight="true" outlineLevel="0" collapsed="false"/>
    <row r="39213" customFormat="false" ht="15" hidden="false" customHeight="true" outlineLevel="0" collapsed="false"/>
    <row r="39214" customFormat="false" ht="15" hidden="false" customHeight="true" outlineLevel="0" collapsed="false"/>
    <row r="39215" customFormat="false" ht="15" hidden="false" customHeight="true" outlineLevel="0" collapsed="false"/>
    <row r="39216" customFormat="false" ht="15" hidden="false" customHeight="true" outlineLevel="0" collapsed="false"/>
    <row r="39217" customFormat="false" ht="15" hidden="false" customHeight="true" outlineLevel="0" collapsed="false"/>
    <row r="39218" customFormat="false" ht="15" hidden="false" customHeight="true" outlineLevel="0" collapsed="false"/>
    <row r="39219" customFormat="false" ht="15" hidden="false" customHeight="true" outlineLevel="0" collapsed="false"/>
    <row r="39220" customFormat="false" ht="15" hidden="false" customHeight="true" outlineLevel="0" collapsed="false"/>
    <row r="39221" customFormat="false" ht="15" hidden="false" customHeight="true" outlineLevel="0" collapsed="false"/>
    <row r="39222" customFormat="false" ht="15" hidden="false" customHeight="true" outlineLevel="0" collapsed="false"/>
    <row r="39223" customFormat="false" ht="15" hidden="false" customHeight="true" outlineLevel="0" collapsed="false"/>
    <row r="39224" customFormat="false" ht="15" hidden="false" customHeight="true" outlineLevel="0" collapsed="false"/>
    <row r="39225" customFormat="false" ht="15" hidden="false" customHeight="true" outlineLevel="0" collapsed="false"/>
    <row r="39226" customFormat="false" ht="15" hidden="false" customHeight="true" outlineLevel="0" collapsed="false"/>
    <row r="39227" customFormat="false" ht="15" hidden="false" customHeight="true" outlineLevel="0" collapsed="false"/>
    <row r="39228" customFormat="false" ht="15" hidden="false" customHeight="true" outlineLevel="0" collapsed="false"/>
    <row r="39229" customFormat="false" ht="15" hidden="false" customHeight="true" outlineLevel="0" collapsed="false"/>
    <row r="39230" customFormat="false" ht="15" hidden="false" customHeight="true" outlineLevel="0" collapsed="false"/>
    <row r="39231" customFormat="false" ht="15" hidden="false" customHeight="true" outlineLevel="0" collapsed="false"/>
    <row r="39232" customFormat="false" ht="15" hidden="false" customHeight="true" outlineLevel="0" collapsed="false"/>
    <row r="39233" customFormat="false" ht="15" hidden="false" customHeight="true" outlineLevel="0" collapsed="false"/>
    <row r="39234" customFormat="false" ht="15" hidden="false" customHeight="true" outlineLevel="0" collapsed="false"/>
    <row r="39235" customFormat="false" ht="15" hidden="false" customHeight="true" outlineLevel="0" collapsed="false"/>
    <row r="39236" customFormat="false" ht="15" hidden="false" customHeight="true" outlineLevel="0" collapsed="false"/>
    <row r="39237" customFormat="false" ht="15" hidden="false" customHeight="true" outlineLevel="0" collapsed="false"/>
    <row r="39238" customFormat="false" ht="15" hidden="false" customHeight="true" outlineLevel="0" collapsed="false"/>
    <row r="39239" customFormat="false" ht="15" hidden="false" customHeight="true" outlineLevel="0" collapsed="false"/>
    <row r="39240" customFormat="false" ht="15" hidden="false" customHeight="true" outlineLevel="0" collapsed="false"/>
    <row r="39241" customFormat="false" ht="15" hidden="false" customHeight="true" outlineLevel="0" collapsed="false"/>
    <row r="39242" customFormat="false" ht="15" hidden="false" customHeight="true" outlineLevel="0" collapsed="false"/>
    <row r="39243" customFormat="false" ht="15" hidden="false" customHeight="true" outlineLevel="0" collapsed="false"/>
    <row r="39244" customFormat="false" ht="15" hidden="false" customHeight="true" outlineLevel="0" collapsed="false"/>
    <row r="39245" customFormat="false" ht="15" hidden="false" customHeight="true" outlineLevel="0" collapsed="false"/>
    <row r="39246" customFormat="false" ht="15" hidden="false" customHeight="true" outlineLevel="0" collapsed="false"/>
    <row r="39247" customFormat="false" ht="15" hidden="false" customHeight="true" outlineLevel="0" collapsed="false"/>
    <row r="39248" customFormat="false" ht="15" hidden="false" customHeight="true" outlineLevel="0" collapsed="false"/>
    <row r="39249" customFormat="false" ht="15" hidden="false" customHeight="true" outlineLevel="0" collapsed="false"/>
    <row r="39250" customFormat="false" ht="15" hidden="false" customHeight="true" outlineLevel="0" collapsed="false"/>
    <row r="39251" customFormat="false" ht="15" hidden="false" customHeight="true" outlineLevel="0" collapsed="false"/>
    <row r="39252" customFormat="false" ht="15" hidden="false" customHeight="true" outlineLevel="0" collapsed="false"/>
    <row r="39253" customFormat="false" ht="15" hidden="false" customHeight="true" outlineLevel="0" collapsed="false"/>
    <row r="39254" customFormat="false" ht="15" hidden="false" customHeight="true" outlineLevel="0" collapsed="false"/>
    <row r="39255" customFormat="false" ht="15" hidden="false" customHeight="true" outlineLevel="0" collapsed="false"/>
    <row r="39256" customFormat="false" ht="15" hidden="false" customHeight="true" outlineLevel="0" collapsed="false"/>
    <row r="39257" customFormat="false" ht="15" hidden="false" customHeight="true" outlineLevel="0" collapsed="false"/>
    <row r="39258" customFormat="false" ht="15" hidden="false" customHeight="true" outlineLevel="0" collapsed="false"/>
    <row r="39259" customFormat="false" ht="15" hidden="false" customHeight="true" outlineLevel="0" collapsed="false"/>
    <row r="39260" customFormat="false" ht="15" hidden="false" customHeight="true" outlineLevel="0" collapsed="false"/>
    <row r="39261" customFormat="false" ht="15" hidden="false" customHeight="true" outlineLevel="0" collapsed="false"/>
    <row r="39262" customFormat="false" ht="15" hidden="false" customHeight="true" outlineLevel="0" collapsed="false"/>
    <row r="39263" customFormat="false" ht="15" hidden="false" customHeight="true" outlineLevel="0" collapsed="false"/>
    <row r="39264" customFormat="false" ht="15" hidden="false" customHeight="true" outlineLevel="0" collapsed="false"/>
    <row r="39265" customFormat="false" ht="15" hidden="false" customHeight="true" outlineLevel="0" collapsed="false"/>
    <row r="39266" customFormat="false" ht="15" hidden="false" customHeight="true" outlineLevel="0" collapsed="false"/>
    <row r="39267" customFormat="false" ht="15" hidden="false" customHeight="true" outlineLevel="0" collapsed="false"/>
    <row r="39268" customFormat="false" ht="15" hidden="false" customHeight="true" outlineLevel="0" collapsed="false"/>
    <row r="39269" customFormat="false" ht="15" hidden="false" customHeight="true" outlineLevel="0" collapsed="false"/>
    <row r="39270" customFormat="false" ht="15" hidden="false" customHeight="true" outlineLevel="0" collapsed="false"/>
    <row r="39271" customFormat="false" ht="15" hidden="false" customHeight="true" outlineLevel="0" collapsed="false"/>
    <row r="39272" customFormat="false" ht="15" hidden="false" customHeight="true" outlineLevel="0" collapsed="false"/>
    <row r="39273" customFormat="false" ht="15" hidden="false" customHeight="true" outlineLevel="0" collapsed="false"/>
    <row r="39274" customFormat="false" ht="15" hidden="false" customHeight="true" outlineLevel="0" collapsed="false"/>
    <row r="39275" customFormat="false" ht="15" hidden="false" customHeight="true" outlineLevel="0" collapsed="false"/>
    <row r="39276" customFormat="false" ht="15" hidden="false" customHeight="true" outlineLevel="0" collapsed="false"/>
    <row r="39277" customFormat="false" ht="15" hidden="false" customHeight="true" outlineLevel="0" collapsed="false"/>
    <row r="39278" customFormat="false" ht="15" hidden="false" customHeight="true" outlineLevel="0" collapsed="false"/>
    <row r="39279" customFormat="false" ht="15" hidden="false" customHeight="true" outlineLevel="0" collapsed="false"/>
    <row r="39280" customFormat="false" ht="15" hidden="false" customHeight="true" outlineLevel="0" collapsed="false"/>
    <row r="39281" customFormat="false" ht="15" hidden="false" customHeight="true" outlineLevel="0" collapsed="false"/>
    <row r="39282" customFormat="false" ht="15" hidden="false" customHeight="true" outlineLevel="0" collapsed="false"/>
    <row r="39283" customFormat="false" ht="15" hidden="false" customHeight="true" outlineLevel="0" collapsed="false"/>
    <row r="39284" customFormat="false" ht="15" hidden="false" customHeight="true" outlineLevel="0" collapsed="false"/>
    <row r="39285" customFormat="false" ht="15" hidden="false" customHeight="true" outlineLevel="0" collapsed="false"/>
    <row r="39286" customFormat="false" ht="15" hidden="false" customHeight="true" outlineLevel="0" collapsed="false"/>
    <row r="39287" customFormat="false" ht="15" hidden="false" customHeight="true" outlineLevel="0" collapsed="false"/>
    <row r="39288" customFormat="false" ht="15" hidden="false" customHeight="true" outlineLevel="0" collapsed="false"/>
    <row r="39289" customFormat="false" ht="15" hidden="false" customHeight="true" outlineLevel="0" collapsed="false"/>
    <row r="39290" customFormat="false" ht="15" hidden="false" customHeight="true" outlineLevel="0" collapsed="false"/>
    <row r="39291" customFormat="false" ht="15" hidden="false" customHeight="true" outlineLevel="0" collapsed="false"/>
    <row r="39292" customFormat="false" ht="15" hidden="false" customHeight="true" outlineLevel="0" collapsed="false"/>
    <row r="39293" customFormat="false" ht="15" hidden="false" customHeight="true" outlineLevel="0" collapsed="false"/>
    <row r="39294" customFormat="false" ht="15" hidden="false" customHeight="true" outlineLevel="0" collapsed="false"/>
    <row r="39295" customFormat="false" ht="15" hidden="false" customHeight="true" outlineLevel="0" collapsed="false"/>
    <row r="39296" customFormat="false" ht="15" hidden="false" customHeight="true" outlineLevel="0" collapsed="false"/>
    <row r="39297" customFormat="false" ht="15" hidden="false" customHeight="true" outlineLevel="0" collapsed="false"/>
    <row r="39298" customFormat="false" ht="15" hidden="false" customHeight="true" outlineLevel="0" collapsed="false"/>
    <row r="39299" customFormat="false" ht="15" hidden="false" customHeight="true" outlineLevel="0" collapsed="false"/>
    <row r="39300" customFormat="false" ht="15" hidden="false" customHeight="true" outlineLevel="0" collapsed="false"/>
    <row r="39301" customFormat="false" ht="15" hidden="false" customHeight="true" outlineLevel="0" collapsed="false"/>
    <row r="39302" customFormat="false" ht="15" hidden="false" customHeight="true" outlineLevel="0" collapsed="false"/>
    <row r="39303" customFormat="false" ht="15" hidden="false" customHeight="true" outlineLevel="0" collapsed="false"/>
    <row r="39304" customFormat="false" ht="15" hidden="false" customHeight="true" outlineLevel="0" collapsed="false"/>
    <row r="39305" customFormat="false" ht="15" hidden="false" customHeight="true" outlineLevel="0" collapsed="false"/>
    <row r="39306" customFormat="false" ht="15" hidden="false" customHeight="true" outlineLevel="0" collapsed="false"/>
    <row r="39307" customFormat="false" ht="15" hidden="false" customHeight="true" outlineLevel="0" collapsed="false"/>
    <row r="39308" customFormat="false" ht="15" hidden="false" customHeight="true" outlineLevel="0" collapsed="false"/>
    <row r="39309" customFormat="false" ht="15" hidden="false" customHeight="true" outlineLevel="0" collapsed="false"/>
    <row r="39310" customFormat="false" ht="15" hidden="false" customHeight="true" outlineLevel="0" collapsed="false"/>
    <row r="39311" customFormat="false" ht="15" hidden="false" customHeight="true" outlineLevel="0" collapsed="false"/>
    <row r="39312" customFormat="false" ht="15" hidden="false" customHeight="true" outlineLevel="0" collapsed="false"/>
    <row r="39313" customFormat="false" ht="15" hidden="false" customHeight="true" outlineLevel="0" collapsed="false"/>
    <row r="39314" customFormat="false" ht="15" hidden="false" customHeight="true" outlineLevel="0" collapsed="false"/>
    <row r="39315" customFormat="false" ht="15" hidden="false" customHeight="true" outlineLevel="0" collapsed="false"/>
    <row r="39316" customFormat="false" ht="15" hidden="false" customHeight="true" outlineLevel="0" collapsed="false"/>
    <row r="39317" customFormat="false" ht="15" hidden="false" customHeight="true" outlineLevel="0" collapsed="false"/>
    <row r="39318" customFormat="false" ht="15" hidden="false" customHeight="true" outlineLevel="0" collapsed="false"/>
    <row r="39319" customFormat="false" ht="15" hidden="false" customHeight="true" outlineLevel="0" collapsed="false"/>
    <row r="39320" customFormat="false" ht="15" hidden="false" customHeight="true" outlineLevel="0" collapsed="false"/>
    <row r="39321" customFormat="false" ht="15" hidden="false" customHeight="true" outlineLevel="0" collapsed="false"/>
    <row r="39322" customFormat="false" ht="15" hidden="false" customHeight="true" outlineLevel="0" collapsed="false"/>
    <row r="39323" customFormat="false" ht="15" hidden="false" customHeight="true" outlineLevel="0" collapsed="false"/>
    <row r="39324" customFormat="false" ht="15" hidden="false" customHeight="true" outlineLevel="0" collapsed="false"/>
    <row r="39325" customFormat="false" ht="15" hidden="false" customHeight="true" outlineLevel="0" collapsed="false"/>
    <row r="39326" customFormat="false" ht="15" hidden="false" customHeight="true" outlineLevel="0" collapsed="false"/>
    <row r="39327" customFormat="false" ht="15" hidden="false" customHeight="true" outlineLevel="0" collapsed="false"/>
    <row r="39328" customFormat="false" ht="15" hidden="false" customHeight="true" outlineLevel="0" collapsed="false"/>
    <row r="39329" customFormat="false" ht="15" hidden="false" customHeight="true" outlineLevel="0" collapsed="false"/>
    <row r="39330" customFormat="false" ht="15" hidden="false" customHeight="true" outlineLevel="0" collapsed="false"/>
    <row r="39331" customFormat="false" ht="15" hidden="false" customHeight="true" outlineLevel="0" collapsed="false"/>
    <row r="39332" customFormat="false" ht="15" hidden="false" customHeight="true" outlineLevel="0" collapsed="false"/>
    <row r="39333" customFormat="false" ht="15" hidden="false" customHeight="true" outlineLevel="0" collapsed="false"/>
    <row r="39334" customFormat="false" ht="15" hidden="false" customHeight="true" outlineLevel="0" collapsed="false"/>
    <row r="39335" customFormat="false" ht="15" hidden="false" customHeight="true" outlineLevel="0" collapsed="false"/>
    <row r="39336" customFormat="false" ht="15" hidden="false" customHeight="true" outlineLevel="0" collapsed="false"/>
    <row r="39337" customFormat="false" ht="15" hidden="false" customHeight="true" outlineLevel="0" collapsed="false"/>
    <row r="39338" customFormat="false" ht="15" hidden="false" customHeight="true" outlineLevel="0" collapsed="false"/>
    <row r="39339" customFormat="false" ht="15" hidden="false" customHeight="true" outlineLevel="0" collapsed="false"/>
    <row r="39340" customFormat="false" ht="15" hidden="false" customHeight="true" outlineLevel="0" collapsed="false"/>
    <row r="39341" customFormat="false" ht="15" hidden="false" customHeight="true" outlineLevel="0" collapsed="false"/>
    <row r="39342" customFormat="false" ht="15" hidden="false" customHeight="true" outlineLevel="0" collapsed="false"/>
    <row r="39343" customFormat="false" ht="15" hidden="false" customHeight="true" outlineLevel="0" collapsed="false"/>
    <row r="39344" customFormat="false" ht="15" hidden="false" customHeight="true" outlineLevel="0" collapsed="false"/>
    <row r="39345" customFormat="false" ht="15" hidden="false" customHeight="true" outlineLevel="0" collapsed="false"/>
    <row r="39346" customFormat="false" ht="15" hidden="false" customHeight="true" outlineLevel="0" collapsed="false"/>
    <row r="39347" customFormat="false" ht="15" hidden="false" customHeight="true" outlineLevel="0" collapsed="false"/>
    <row r="39348" customFormat="false" ht="15" hidden="false" customHeight="true" outlineLevel="0" collapsed="false"/>
    <row r="39349" customFormat="false" ht="15" hidden="false" customHeight="true" outlineLevel="0" collapsed="false"/>
    <row r="39350" customFormat="false" ht="15" hidden="false" customHeight="true" outlineLevel="0" collapsed="false"/>
    <row r="39351" customFormat="false" ht="15" hidden="false" customHeight="true" outlineLevel="0" collapsed="false"/>
    <row r="39352" customFormat="false" ht="15" hidden="false" customHeight="true" outlineLevel="0" collapsed="false"/>
    <row r="39353" customFormat="false" ht="15" hidden="false" customHeight="true" outlineLevel="0" collapsed="false"/>
    <row r="39354" customFormat="false" ht="15" hidden="false" customHeight="true" outlineLevel="0" collapsed="false"/>
    <row r="39355" customFormat="false" ht="15" hidden="false" customHeight="true" outlineLevel="0" collapsed="false"/>
    <row r="39356" customFormat="false" ht="15" hidden="false" customHeight="true" outlineLevel="0" collapsed="false"/>
    <row r="39357" customFormat="false" ht="15" hidden="false" customHeight="true" outlineLevel="0" collapsed="false"/>
    <row r="39358" customFormat="false" ht="15" hidden="false" customHeight="true" outlineLevel="0" collapsed="false"/>
    <row r="39359" customFormat="false" ht="15" hidden="false" customHeight="true" outlineLevel="0" collapsed="false"/>
    <row r="39360" customFormat="false" ht="15" hidden="false" customHeight="true" outlineLevel="0" collapsed="false"/>
    <row r="39361" customFormat="false" ht="15" hidden="false" customHeight="true" outlineLevel="0" collapsed="false"/>
    <row r="39362" customFormat="false" ht="15" hidden="false" customHeight="true" outlineLevel="0" collapsed="false"/>
    <row r="39363" customFormat="false" ht="15" hidden="false" customHeight="true" outlineLevel="0" collapsed="false"/>
    <row r="39364" customFormat="false" ht="15" hidden="false" customHeight="true" outlineLevel="0" collapsed="false"/>
    <row r="39365" customFormat="false" ht="15" hidden="false" customHeight="true" outlineLevel="0" collapsed="false"/>
    <row r="39366" customFormat="false" ht="15" hidden="false" customHeight="true" outlineLevel="0" collapsed="false"/>
    <row r="39367" customFormat="false" ht="15" hidden="false" customHeight="true" outlineLevel="0" collapsed="false"/>
    <row r="39368" customFormat="false" ht="15" hidden="false" customHeight="true" outlineLevel="0" collapsed="false"/>
    <row r="39369" customFormat="false" ht="15" hidden="false" customHeight="true" outlineLevel="0" collapsed="false"/>
    <row r="39370" customFormat="false" ht="15" hidden="false" customHeight="true" outlineLevel="0" collapsed="false"/>
    <row r="39371" customFormat="false" ht="15" hidden="false" customHeight="true" outlineLevel="0" collapsed="false"/>
    <row r="39372" customFormat="false" ht="15" hidden="false" customHeight="true" outlineLevel="0" collapsed="false"/>
    <row r="39373" customFormat="false" ht="15" hidden="false" customHeight="true" outlineLevel="0" collapsed="false"/>
    <row r="39374" customFormat="false" ht="15" hidden="false" customHeight="true" outlineLevel="0" collapsed="false"/>
    <row r="39375" customFormat="false" ht="15" hidden="false" customHeight="true" outlineLevel="0" collapsed="false"/>
    <row r="39376" customFormat="false" ht="15" hidden="false" customHeight="true" outlineLevel="0" collapsed="false"/>
    <row r="39377" customFormat="false" ht="15" hidden="false" customHeight="true" outlineLevel="0" collapsed="false"/>
    <row r="39378" customFormat="false" ht="15" hidden="false" customHeight="true" outlineLevel="0" collapsed="false"/>
    <row r="39379" customFormat="false" ht="15" hidden="false" customHeight="true" outlineLevel="0" collapsed="false"/>
    <row r="39380" customFormat="false" ht="15" hidden="false" customHeight="true" outlineLevel="0" collapsed="false"/>
    <row r="39381" customFormat="false" ht="15" hidden="false" customHeight="true" outlineLevel="0" collapsed="false"/>
    <row r="39382" customFormat="false" ht="15" hidden="false" customHeight="true" outlineLevel="0" collapsed="false"/>
    <row r="39383" customFormat="false" ht="15" hidden="false" customHeight="true" outlineLevel="0" collapsed="false"/>
    <row r="39384" customFormat="false" ht="15" hidden="false" customHeight="true" outlineLevel="0" collapsed="false"/>
    <row r="39385" customFormat="false" ht="15" hidden="false" customHeight="true" outlineLevel="0" collapsed="false"/>
    <row r="39386" customFormat="false" ht="15" hidden="false" customHeight="true" outlineLevel="0" collapsed="false"/>
    <row r="39387" customFormat="false" ht="15" hidden="false" customHeight="true" outlineLevel="0" collapsed="false"/>
    <row r="39388" customFormat="false" ht="15" hidden="false" customHeight="true" outlineLevel="0" collapsed="false"/>
    <row r="39389" customFormat="false" ht="15" hidden="false" customHeight="true" outlineLevel="0" collapsed="false"/>
    <row r="39390" customFormat="false" ht="15" hidden="false" customHeight="true" outlineLevel="0" collapsed="false"/>
    <row r="39391" customFormat="false" ht="15" hidden="false" customHeight="true" outlineLevel="0" collapsed="false"/>
    <row r="39392" customFormat="false" ht="15" hidden="false" customHeight="true" outlineLevel="0" collapsed="false"/>
    <row r="39393" customFormat="false" ht="15" hidden="false" customHeight="true" outlineLevel="0" collapsed="false"/>
    <row r="39394" customFormat="false" ht="15" hidden="false" customHeight="true" outlineLevel="0" collapsed="false"/>
    <row r="39395" customFormat="false" ht="15" hidden="false" customHeight="true" outlineLevel="0" collapsed="false"/>
    <row r="39396" customFormat="false" ht="15" hidden="false" customHeight="true" outlineLevel="0" collapsed="false"/>
    <row r="39397" customFormat="false" ht="15" hidden="false" customHeight="true" outlineLevel="0" collapsed="false"/>
    <row r="39398" customFormat="false" ht="15" hidden="false" customHeight="true" outlineLevel="0" collapsed="false"/>
    <row r="39399" customFormat="false" ht="15" hidden="false" customHeight="true" outlineLevel="0" collapsed="false"/>
    <row r="39400" customFormat="false" ht="15" hidden="false" customHeight="true" outlineLevel="0" collapsed="false"/>
    <row r="39401" customFormat="false" ht="15" hidden="false" customHeight="true" outlineLevel="0" collapsed="false"/>
    <row r="39402" customFormat="false" ht="15" hidden="false" customHeight="true" outlineLevel="0" collapsed="false"/>
    <row r="39403" customFormat="false" ht="15" hidden="false" customHeight="true" outlineLevel="0" collapsed="false"/>
    <row r="39404" customFormat="false" ht="15" hidden="false" customHeight="true" outlineLevel="0" collapsed="false"/>
    <row r="39405" customFormat="false" ht="15" hidden="false" customHeight="true" outlineLevel="0" collapsed="false"/>
    <row r="39406" customFormat="false" ht="15" hidden="false" customHeight="true" outlineLevel="0" collapsed="false"/>
    <row r="39407" customFormat="false" ht="15" hidden="false" customHeight="true" outlineLevel="0" collapsed="false"/>
    <row r="39408" customFormat="false" ht="15" hidden="false" customHeight="true" outlineLevel="0" collapsed="false"/>
    <row r="39409" customFormat="false" ht="15" hidden="false" customHeight="true" outlineLevel="0" collapsed="false"/>
    <row r="39410" customFormat="false" ht="15" hidden="false" customHeight="true" outlineLevel="0" collapsed="false"/>
    <row r="39411" customFormat="false" ht="15" hidden="false" customHeight="true" outlineLevel="0" collapsed="false"/>
    <row r="39412" customFormat="false" ht="15" hidden="false" customHeight="true" outlineLevel="0" collapsed="false"/>
    <row r="39413" customFormat="false" ht="15" hidden="false" customHeight="true" outlineLevel="0" collapsed="false"/>
    <row r="39414" customFormat="false" ht="15" hidden="false" customHeight="true" outlineLevel="0" collapsed="false"/>
    <row r="39415" customFormat="false" ht="15" hidden="false" customHeight="true" outlineLevel="0" collapsed="false"/>
    <row r="39416" customFormat="false" ht="15" hidden="false" customHeight="true" outlineLevel="0" collapsed="false"/>
    <row r="39417" customFormat="false" ht="15" hidden="false" customHeight="true" outlineLevel="0" collapsed="false"/>
    <row r="39418" customFormat="false" ht="15" hidden="false" customHeight="true" outlineLevel="0" collapsed="false"/>
    <row r="39419" customFormat="false" ht="15" hidden="false" customHeight="true" outlineLevel="0" collapsed="false"/>
    <row r="39420" customFormat="false" ht="15" hidden="false" customHeight="true" outlineLevel="0" collapsed="false"/>
    <row r="39421" customFormat="false" ht="15" hidden="false" customHeight="true" outlineLevel="0" collapsed="false"/>
    <row r="39422" customFormat="false" ht="15" hidden="false" customHeight="true" outlineLevel="0" collapsed="false"/>
    <row r="39423" customFormat="false" ht="15" hidden="false" customHeight="true" outlineLevel="0" collapsed="false"/>
    <row r="39424" customFormat="false" ht="15" hidden="false" customHeight="true" outlineLevel="0" collapsed="false"/>
    <row r="39425" customFormat="false" ht="15" hidden="false" customHeight="true" outlineLevel="0" collapsed="false"/>
    <row r="39426" customFormat="false" ht="15" hidden="false" customHeight="true" outlineLevel="0" collapsed="false"/>
    <row r="39427" customFormat="false" ht="15" hidden="false" customHeight="true" outlineLevel="0" collapsed="false"/>
    <row r="39428" customFormat="false" ht="15" hidden="false" customHeight="true" outlineLevel="0" collapsed="false"/>
    <row r="39429" customFormat="false" ht="15" hidden="false" customHeight="true" outlineLevel="0" collapsed="false"/>
    <row r="39430" customFormat="false" ht="15" hidden="false" customHeight="true" outlineLevel="0" collapsed="false"/>
    <row r="39431" customFormat="false" ht="15" hidden="false" customHeight="true" outlineLevel="0" collapsed="false"/>
    <row r="39432" customFormat="false" ht="15" hidden="false" customHeight="true" outlineLevel="0" collapsed="false"/>
    <row r="39433" customFormat="false" ht="15" hidden="false" customHeight="true" outlineLevel="0" collapsed="false"/>
    <row r="39434" customFormat="false" ht="15" hidden="false" customHeight="true" outlineLevel="0" collapsed="false"/>
    <row r="39435" customFormat="false" ht="15" hidden="false" customHeight="true" outlineLevel="0" collapsed="false"/>
    <row r="39436" customFormat="false" ht="15" hidden="false" customHeight="true" outlineLevel="0" collapsed="false"/>
    <row r="39437" customFormat="false" ht="15" hidden="false" customHeight="true" outlineLevel="0" collapsed="false"/>
    <row r="39438" customFormat="false" ht="15" hidden="false" customHeight="true" outlineLevel="0" collapsed="false"/>
    <row r="39439" customFormat="false" ht="15" hidden="false" customHeight="true" outlineLevel="0" collapsed="false"/>
    <row r="39440" customFormat="false" ht="15" hidden="false" customHeight="true" outlineLevel="0" collapsed="false"/>
    <row r="39441" customFormat="false" ht="15" hidden="false" customHeight="true" outlineLevel="0" collapsed="false"/>
    <row r="39442" customFormat="false" ht="15" hidden="false" customHeight="true" outlineLevel="0" collapsed="false"/>
    <row r="39443" customFormat="false" ht="15" hidden="false" customHeight="true" outlineLevel="0" collapsed="false"/>
    <row r="39444" customFormat="false" ht="15" hidden="false" customHeight="true" outlineLevel="0" collapsed="false"/>
    <row r="39445" customFormat="false" ht="15" hidden="false" customHeight="true" outlineLevel="0" collapsed="false"/>
    <row r="39446" customFormat="false" ht="15" hidden="false" customHeight="true" outlineLevel="0" collapsed="false"/>
    <row r="39447" customFormat="false" ht="15" hidden="false" customHeight="true" outlineLevel="0" collapsed="false"/>
    <row r="39448" customFormat="false" ht="15" hidden="false" customHeight="true" outlineLevel="0" collapsed="false"/>
    <row r="39449" customFormat="false" ht="15" hidden="false" customHeight="true" outlineLevel="0" collapsed="false"/>
    <row r="39450" customFormat="false" ht="15" hidden="false" customHeight="true" outlineLevel="0" collapsed="false"/>
    <row r="39451" customFormat="false" ht="15" hidden="false" customHeight="true" outlineLevel="0" collapsed="false"/>
    <row r="39452" customFormat="false" ht="15" hidden="false" customHeight="true" outlineLevel="0" collapsed="false"/>
    <row r="39453" customFormat="false" ht="15" hidden="false" customHeight="true" outlineLevel="0" collapsed="false"/>
    <row r="39454" customFormat="false" ht="15" hidden="false" customHeight="true" outlineLevel="0" collapsed="false"/>
    <row r="39455" customFormat="false" ht="15" hidden="false" customHeight="true" outlineLevel="0" collapsed="false"/>
    <row r="39456" customFormat="false" ht="15" hidden="false" customHeight="true" outlineLevel="0" collapsed="false"/>
    <row r="39457" customFormat="false" ht="15" hidden="false" customHeight="true" outlineLevel="0" collapsed="false"/>
    <row r="39458" customFormat="false" ht="15" hidden="false" customHeight="true" outlineLevel="0" collapsed="false"/>
    <row r="39459" customFormat="false" ht="15" hidden="false" customHeight="true" outlineLevel="0" collapsed="false"/>
    <row r="39460" customFormat="false" ht="15" hidden="false" customHeight="true" outlineLevel="0" collapsed="false"/>
    <row r="39461" customFormat="false" ht="15" hidden="false" customHeight="true" outlineLevel="0" collapsed="false"/>
    <row r="39462" customFormat="false" ht="15" hidden="false" customHeight="true" outlineLevel="0" collapsed="false"/>
    <row r="39463" customFormat="false" ht="15" hidden="false" customHeight="true" outlineLevel="0" collapsed="false"/>
    <row r="39464" customFormat="false" ht="15" hidden="false" customHeight="true" outlineLevel="0" collapsed="false"/>
    <row r="39465" customFormat="false" ht="15" hidden="false" customHeight="true" outlineLevel="0" collapsed="false"/>
    <row r="39466" customFormat="false" ht="15" hidden="false" customHeight="true" outlineLevel="0" collapsed="false"/>
    <row r="39467" customFormat="false" ht="15" hidden="false" customHeight="true" outlineLevel="0" collapsed="false"/>
    <row r="39468" customFormat="false" ht="15" hidden="false" customHeight="true" outlineLevel="0" collapsed="false"/>
    <row r="39469" customFormat="false" ht="15" hidden="false" customHeight="true" outlineLevel="0" collapsed="false"/>
    <row r="39470" customFormat="false" ht="15" hidden="false" customHeight="true" outlineLevel="0" collapsed="false"/>
    <row r="39471" customFormat="false" ht="15" hidden="false" customHeight="true" outlineLevel="0" collapsed="false"/>
    <row r="39472" customFormat="false" ht="15" hidden="false" customHeight="true" outlineLevel="0" collapsed="false"/>
    <row r="39473" customFormat="false" ht="15" hidden="false" customHeight="true" outlineLevel="0" collapsed="false"/>
    <row r="39474" customFormat="false" ht="15" hidden="false" customHeight="true" outlineLevel="0" collapsed="false"/>
    <row r="39475" customFormat="false" ht="15" hidden="false" customHeight="true" outlineLevel="0" collapsed="false"/>
    <row r="39476" customFormat="false" ht="15" hidden="false" customHeight="true" outlineLevel="0" collapsed="false"/>
    <row r="39477" customFormat="false" ht="15" hidden="false" customHeight="true" outlineLevel="0" collapsed="false"/>
    <row r="39478" customFormat="false" ht="15" hidden="false" customHeight="true" outlineLevel="0" collapsed="false"/>
    <row r="39479" customFormat="false" ht="15" hidden="false" customHeight="true" outlineLevel="0" collapsed="false"/>
    <row r="39480" customFormat="false" ht="15" hidden="false" customHeight="true" outlineLevel="0" collapsed="false"/>
    <row r="39481" customFormat="false" ht="15" hidden="false" customHeight="true" outlineLevel="0" collapsed="false"/>
    <row r="39482" customFormat="false" ht="15" hidden="false" customHeight="true" outlineLevel="0" collapsed="false"/>
    <row r="39483" customFormat="false" ht="15" hidden="false" customHeight="true" outlineLevel="0" collapsed="false"/>
    <row r="39484" customFormat="false" ht="15" hidden="false" customHeight="true" outlineLevel="0" collapsed="false"/>
    <row r="39485" customFormat="false" ht="15" hidden="false" customHeight="true" outlineLevel="0" collapsed="false"/>
    <row r="39486" customFormat="false" ht="15" hidden="false" customHeight="true" outlineLevel="0" collapsed="false"/>
    <row r="39487" customFormat="false" ht="15" hidden="false" customHeight="true" outlineLevel="0" collapsed="false"/>
    <row r="39488" customFormat="false" ht="15" hidden="false" customHeight="true" outlineLevel="0" collapsed="false"/>
    <row r="39489" customFormat="false" ht="15" hidden="false" customHeight="true" outlineLevel="0" collapsed="false"/>
    <row r="39490" customFormat="false" ht="15" hidden="false" customHeight="true" outlineLevel="0" collapsed="false"/>
    <row r="39491" customFormat="false" ht="15" hidden="false" customHeight="true" outlineLevel="0" collapsed="false"/>
    <row r="39492" customFormat="false" ht="15" hidden="false" customHeight="true" outlineLevel="0" collapsed="false"/>
    <row r="39493" customFormat="false" ht="15" hidden="false" customHeight="true" outlineLevel="0" collapsed="false"/>
    <row r="39494" customFormat="false" ht="15" hidden="false" customHeight="true" outlineLevel="0" collapsed="false"/>
    <row r="39495" customFormat="false" ht="15" hidden="false" customHeight="true" outlineLevel="0" collapsed="false"/>
    <row r="39496" customFormat="false" ht="15" hidden="false" customHeight="true" outlineLevel="0" collapsed="false"/>
    <row r="39497" customFormat="false" ht="15" hidden="false" customHeight="true" outlineLevel="0" collapsed="false"/>
    <row r="39498" customFormat="false" ht="15" hidden="false" customHeight="true" outlineLevel="0" collapsed="false"/>
    <row r="39499" customFormat="false" ht="15" hidden="false" customHeight="true" outlineLevel="0" collapsed="false"/>
    <row r="39500" customFormat="false" ht="15" hidden="false" customHeight="true" outlineLevel="0" collapsed="false"/>
    <row r="39501" customFormat="false" ht="15" hidden="false" customHeight="true" outlineLevel="0" collapsed="false"/>
    <row r="39502" customFormat="false" ht="15" hidden="false" customHeight="true" outlineLevel="0" collapsed="false"/>
    <row r="39503" customFormat="false" ht="15" hidden="false" customHeight="true" outlineLevel="0" collapsed="false"/>
    <row r="39504" customFormat="false" ht="15" hidden="false" customHeight="true" outlineLevel="0" collapsed="false"/>
    <row r="39505" customFormat="false" ht="15" hidden="false" customHeight="true" outlineLevel="0" collapsed="false"/>
    <row r="39506" customFormat="false" ht="15" hidden="false" customHeight="true" outlineLevel="0" collapsed="false"/>
    <row r="39507" customFormat="false" ht="15" hidden="false" customHeight="true" outlineLevel="0" collapsed="false"/>
    <row r="39508" customFormat="false" ht="15" hidden="false" customHeight="true" outlineLevel="0" collapsed="false"/>
    <row r="39509" customFormat="false" ht="15" hidden="false" customHeight="true" outlineLevel="0" collapsed="false"/>
    <row r="39510" customFormat="false" ht="15" hidden="false" customHeight="true" outlineLevel="0" collapsed="false"/>
    <row r="39511" customFormat="false" ht="15" hidden="false" customHeight="true" outlineLevel="0" collapsed="false"/>
    <row r="39512" customFormat="false" ht="15" hidden="false" customHeight="true" outlineLevel="0" collapsed="false"/>
    <row r="39513" customFormat="false" ht="15" hidden="false" customHeight="true" outlineLevel="0" collapsed="false"/>
    <row r="39514" customFormat="false" ht="15" hidden="false" customHeight="true" outlineLevel="0" collapsed="false"/>
    <row r="39515" customFormat="false" ht="15" hidden="false" customHeight="true" outlineLevel="0" collapsed="false"/>
    <row r="39516" customFormat="false" ht="15" hidden="false" customHeight="true" outlineLevel="0" collapsed="false"/>
    <row r="39517" customFormat="false" ht="15" hidden="false" customHeight="true" outlineLevel="0" collapsed="false"/>
    <row r="39518" customFormat="false" ht="15" hidden="false" customHeight="true" outlineLevel="0" collapsed="false"/>
    <row r="39519" customFormat="false" ht="15" hidden="false" customHeight="true" outlineLevel="0" collapsed="false"/>
    <row r="39520" customFormat="false" ht="15" hidden="false" customHeight="true" outlineLevel="0" collapsed="false"/>
    <row r="39521" customFormat="false" ht="15" hidden="false" customHeight="true" outlineLevel="0" collapsed="false"/>
    <row r="39522" customFormat="false" ht="15" hidden="false" customHeight="true" outlineLevel="0" collapsed="false"/>
    <row r="39523" customFormat="false" ht="15" hidden="false" customHeight="true" outlineLevel="0" collapsed="false"/>
    <row r="39524" customFormat="false" ht="15" hidden="false" customHeight="true" outlineLevel="0" collapsed="false"/>
    <row r="39525" customFormat="false" ht="15" hidden="false" customHeight="true" outlineLevel="0" collapsed="false"/>
    <row r="39526" customFormat="false" ht="15" hidden="false" customHeight="true" outlineLevel="0" collapsed="false"/>
    <row r="39527" customFormat="false" ht="15" hidden="false" customHeight="true" outlineLevel="0" collapsed="false"/>
    <row r="39528" customFormat="false" ht="15" hidden="false" customHeight="true" outlineLevel="0" collapsed="false"/>
    <row r="39529" customFormat="false" ht="15" hidden="false" customHeight="true" outlineLevel="0" collapsed="false"/>
    <row r="39530" customFormat="false" ht="15" hidden="false" customHeight="true" outlineLevel="0" collapsed="false"/>
    <row r="39531" customFormat="false" ht="15" hidden="false" customHeight="true" outlineLevel="0" collapsed="false"/>
    <row r="39532" customFormat="false" ht="15" hidden="false" customHeight="true" outlineLevel="0" collapsed="false"/>
    <row r="39533" customFormat="false" ht="15" hidden="false" customHeight="true" outlineLevel="0" collapsed="false"/>
    <row r="39534" customFormat="false" ht="15" hidden="false" customHeight="true" outlineLevel="0" collapsed="false"/>
    <row r="39535" customFormat="false" ht="15" hidden="false" customHeight="true" outlineLevel="0" collapsed="false"/>
    <row r="39536" customFormat="false" ht="15" hidden="false" customHeight="true" outlineLevel="0" collapsed="false"/>
    <row r="39537" customFormat="false" ht="15" hidden="false" customHeight="true" outlineLevel="0" collapsed="false"/>
    <row r="39538" customFormat="false" ht="15" hidden="false" customHeight="true" outlineLevel="0" collapsed="false"/>
    <row r="39539" customFormat="false" ht="15" hidden="false" customHeight="true" outlineLevel="0" collapsed="false"/>
    <row r="39540" customFormat="false" ht="15" hidden="false" customHeight="true" outlineLevel="0" collapsed="false"/>
    <row r="39541" customFormat="false" ht="15" hidden="false" customHeight="true" outlineLevel="0" collapsed="false"/>
    <row r="39542" customFormat="false" ht="15" hidden="false" customHeight="true" outlineLevel="0" collapsed="false"/>
    <row r="39543" customFormat="false" ht="15" hidden="false" customHeight="true" outlineLevel="0" collapsed="false"/>
    <row r="39544" customFormat="false" ht="15" hidden="false" customHeight="true" outlineLevel="0" collapsed="false"/>
    <row r="39545" customFormat="false" ht="15" hidden="false" customHeight="true" outlineLevel="0" collapsed="false"/>
    <row r="39546" customFormat="false" ht="15" hidden="false" customHeight="true" outlineLevel="0" collapsed="false"/>
    <row r="39547" customFormat="false" ht="15" hidden="false" customHeight="true" outlineLevel="0" collapsed="false"/>
    <row r="39548" customFormat="false" ht="15" hidden="false" customHeight="true" outlineLevel="0" collapsed="false"/>
    <row r="39549" customFormat="false" ht="15" hidden="false" customHeight="true" outlineLevel="0" collapsed="false"/>
    <row r="39550" customFormat="false" ht="15" hidden="false" customHeight="true" outlineLevel="0" collapsed="false"/>
    <row r="39551" customFormat="false" ht="15" hidden="false" customHeight="true" outlineLevel="0" collapsed="false"/>
    <row r="39552" customFormat="false" ht="15" hidden="false" customHeight="true" outlineLevel="0" collapsed="false"/>
    <row r="39553" customFormat="false" ht="15" hidden="false" customHeight="true" outlineLevel="0" collapsed="false"/>
    <row r="39554" customFormat="false" ht="15" hidden="false" customHeight="true" outlineLevel="0" collapsed="false"/>
    <row r="39555" customFormat="false" ht="15" hidden="false" customHeight="true" outlineLevel="0" collapsed="false"/>
    <row r="39556" customFormat="false" ht="15" hidden="false" customHeight="true" outlineLevel="0" collapsed="false"/>
    <row r="39557" customFormat="false" ht="15" hidden="false" customHeight="true" outlineLevel="0" collapsed="false"/>
    <row r="39558" customFormat="false" ht="15" hidden="false" customHeight="true" outlineLevel="0" collapsed="false"/>
    <row r="39559" customFormat="false" ht="15" hidden="false" customHeight="true" outlineLevel="0" collapsed="false"/>
    <row r="39560" customFormat="false" ht="15" hidden="false" customHeight="true" outlineLevel="0" collapsed="false"/>
    <row r="39561" customFormat="false" ht="15" hidden="false" customHeight="true" outlineLevel="0" collapsed="false"/>
    <row r="39562" customFormat="false" ht="15" hidden="false" customHeight="true" outlineLevel="0" collapsed="false"/>
    <row r="39563" customFormat="false" ht="15" hidden="false" customHeight="true" outlineLevel="0" collapsed="false"/>
    <row r="39564" customFormat="false" ht="15" hidden="false" customHeight="true" outlineLevel="0" collapsed="false"/>
    <row r="39565" customFormat="false" ht="15" hidden="false" customHeight="true" outlineLevel="0" collapsed="false"/>
    <row r="39566" customFormat="false" ht="15" hidden="false" customHeight="true" outlineLevel="0" collapsed="false"/>
    <row r="39567" customFormat="false" ht="15" hidden="false" customHeight="true" outlineLevel="0" collapsed="false"/>
    <row r="39568" customFormat="false" ht="15" hidden="false" customHeight="true" outlineLevel="0" collapsed="false"/>
    <row r="39569" customFormat="false" ht="15" hidden="false" customHeight="true" outlineLevel="0" collapsed="false"/>
    <row r="39570" customFormat="false" ht="15" hidden="false" customHeight="true" outlineLevel="0" collapsed="false"/>
    <row r="39571" customFormat="false" ht="15" hidden="false" customHeight="true" outlineLevel="0" collapsed="false"/>
    <row r="39572" customFormat="false" ht="15" hidden="false" customHeight="true" outlineLevel="0" collapsed="false"/>
    <row r="39573" customFormat="false" ht="15" hidden="false" customHeight="true" outlineLevel="0" collapsed="false"/>
    <row r="39574" customFormat="false" ht="15" hidden="false" customHeight="true" outlineLevel="0" collapsed="false"/>
    <row r="39575" customFormat="false" ht="15" hidden="false" customHeight="true" outlineLevel="0" collapsed="false"/>
    <row r="39576" customFormat="false" ht="15" hidden="false" customHeight="true" outlineLevel="0" collapsed="false"/>
    <row r="39577" customFormat="false" ht="15" hidden="false" customHeight="true" outlineLevel="0" collapsed="false"/>
    <row r="39578" customFormat="false" ht="15" hidden="false" customHeight="true" outlineLevel="0" collapsed="false"/>
    <row r="39579" customFormat="false" ht="15" hidden="false" customHeight="true" outlineLevel="0" collapsed="false"/>
    <row r="39580" customFormat="false" ht="15" hidden="false" customHeight="true" outlineLevel="0" collapsed="false"/>
    <row r="39581" customFormat="false" ht="15" hidden="false" customHeight="true" outlineLevel="0" collapsed="false"/>
    <row r="39582" customFormat="false" ht="15" hidden="false" customHeight="true" outlineLevel="0" collapsed="false"/>
    <row r="39583" customFormat="false" ht="15" hidden="false" customHeight="true" outlineLevel="0" collapsed="false"/>
    <row r="39584" customFormat="false" ht="15" hidden="false" customHeight="true" outlineLevel="0" collapsed="false"/>
    <row r="39585" customFormat="false" ht="15" hidden="false" customHeight="true" outlineLevel="0" collapsed="false"/>
    <row r="39586" customFormat="false" ht="15" hidden="false" customHeight="true" outlineLevel="0" collapsed="false"/>
    <row r="39587" customFormat="false" ht="15" hidden="false" customHeight="true" outlineLevel="0" collapsed="false"/>
    <row r="39588" customFormat="false" ht="15" hidden="false" customHeight="true" outlineLevel="0" collapsed="false"/>
    <row r="39589" customFormat="false" ht="15" hidden="false" customHeight="true" outlineLevel="0" collapsed="false"/>
    <row r="39590" customFormat="false" ht="15" hidden="false" customHeight="true" outlineLevel="0" collapsed="false"/>
    <row r="39591" customFormat="false" ht="15" hidden="false" customHeight="true" outlineLevel="0" collapsed="false"/>
    <row r="39592" customFormat="false" ht="15" hidden="false" customHeight="true" outlineLevel="0" collapsed="false"/>
    <row r="39593" customFormat="false" ht="15" hidden="false" customHeight="true" outlineLevel="0" collapsed="false"/>
    <row r="39594" customFormat="false" ht="15" hidden="false" customHeight="true" outlineLevel="0" collapsed="false"/>
    <row r="39595" customFormat="false" ht="15" hidden="false" customHeight="true" outlineLevel="0" collapsed="false"/>
    <row r="39596" customFormat="false" ht="15" hidden="false" customHeight="true" outlineLevel="0" collapsed="false"/>
    <row r="39597" customFormat="false" ht="15" hidden="false" customHeight="true" outlineLevel="0" collapsed="false"/>
    <row r="39598" customFormat="false" ht="15" hidden="false" customHeight="true" outlineLevel="0" collapsed="false"/>
    <row r="39599" customFormat="false" ht="15" hidden="false" customHeight="true" outlineLevel="0" collapsed="false"/>
    <row r="39600" customFormat="false" ht="15" hidden="false" customHeight="true" outlineLevel="0" collapsed="false"/>
    <row r="39601" customFormat="false" ht="15" hidden="false" customHeight="true" outlineLevel="0" collapsed="false"/>
    <row r="39602" customFormat="false" ht="15" hidden="false" customHeight="true" outlineLevel="0" collapsed="false"/>
    <row r="39603" customFormat="false" ht="15" hidden="false" customHeight="true" outlineLevel="0" collapsed="false"/>
    <row r="39604" customFormat="false" ht="15" hidden="false" customHeight="true" outlineLevel="0" collapsed="false"/>
    <row r="39605" customFormat="false" ht="15" hidden="false" customHeight="true" outlineLevel="0" collapsed="false"/>
    <row r="39606" customFormat="false" ht="15" hidden="false" customHeight="true" outlineLevel="0" collapsed="false"/>
    <row r="39607" customFormat="false" ht="15" hidden="false" customHeight="true" outlineLevel="0" collapsed="false"/>
    <row r="39608" customFormat="false" ht="15" hidden="false" customHeight="true" outlineLevel="0" collapsed="false"/>
    <row r="39609" customFormat="false" ht="15" hidden="false" customHeight="true" outlineLevel="0" collapsed="false"/>
    <row r="39610" customFormat="false" ht="15" hidden="false" customHeight="true" outlineLevel="0" collapsed="false"/>
    <row r="39611" customFormat="false" ht="15" hidden="false" customHeight="true" outlineLevel="0" collapsed="false"/>
    <row r="39612" customFormat="false" ht="15" hidden="false" customHeight="true" outlineLevel="0" collapsed="false"/>
    <row r="39613" customFormat="false" ht="15" hidden="false" customHeight="true" outlineLevel="0" collapsed="false"/>
    <row r="39614" customFormat="false" ht="15" hidden="false" customHeight="true" outlineLevel="0" collapsed="false"/>
    <row r="39615" customFormat="false" ht="15" hidden="false" customHeight="true" outlineLevel="0" collapsed="false"/>
    <row r="39616" customFormat="false" ht="15" hidden="false" customHeight="true" outlineLevel="0" collapsed="false"/>
    <row r="39617" customFormat="false" ht="15" hidden="false" customHeight="true" outlineLevel="0" collapsed="false"/>
    <row r="39618" customFormat="false" ht="15" hidden="false" customHeight="true" outlineLevel="0" collapsed="false"/>
    <row r="39619" customFormat="false" ht="15" hidden="false" customHeight="true" outlineLevel="0" collapsed="false"/>
    <row r="39620" customFormat="false" ht="15" hidden="false" customHeight="true" outlineLevel="0" collapsed="false"/>
    <row r="39621" customFormat="false" ht="15" hidden="false" customHeight="true" outlineLevel="0" collapsed="false"/>
    <row r="39622" customFormat="false" ht="15" hidden="false" customHeight="true" outlineLevel="0" collapsed="false"/>
    <row r="39623" customFormat="false" ht="15" hidden="false" customHeight="true" outlineLevel="0" collapsed="false"/>
    <row r="39624" customFormat="false" ht="15" hidden="false" customHeight="true" outlineLevel="0" collapsed="false"/>
    <row r="39625" customFormat="false" ht="15" hidden="false" customHeight="true" outlineLevel="0" collapsed="false"/>
    <row r="39626" customFormat="false" ht="15" hidden="false" customHeight="true" outlineLevel="0" collapsed="false"/>
    <row r="39627" customFormat="false" ht="15" hidden="false" customHeight="true" outlineLevel="0" collapsed="false"/>
    <row r="39628" customFormat="false" ht="15" hidden="false" customHeight="true" outlineLevel="0" collapsed="false"/>
    <row r="39629" customFormat="false" ht="15" hidden="false" customHeight="true" outlineLevel="0" collapsed="false"/>
    <row r="39630" customFormat="false" ht="15" hidden="false" customHeight="true" outlineLevel="0" collapsed="false"/>
    <row r="39631" customFormat="false" ht="15" hidden="false" customHeight="true" outlineLevel="0" collapsed="false"/>
    <row r="39632" customFormat="false" ht="15" hidden="false" customHeight="true" outlineLevel="0" collapsed="false"/>
    <row r="39633" customFormat="false" ht="15" hidden="false" customHeight="true" outlineLevel="0" collapsed="false"/>
    <row r="39634" customFormat="false" ht="15" hidden="false" customHeight="true" outlineLevel="0" collapsed="false"/>
    <row r="39635" customFormat="false" ht="15" hidden="false" customHeight="true" outlineLevel="0" collapsed="false"/>
    <row r="39636" customFormat="false" ht="15" hidden="false" customHeight="true" outlineLevel="0" collapsed="false"/>
    <row r="39637" customFormat="false" ht="15" hidden="false" customHeight="true" outlineLevel="0" collapsed="false"/>
    <row r="39638" customFormat="false" ht="15" hidden="false" customHeight="true" outlineLevel="0" collapsed="false"/>
    <row r="39639" customFormat="false" ht="15" hidden="false" customHeight="true" outlineLevel="0" collapsed="false"/>
    <row r="39640" customFormat="false" ht="15" hidden="false" customHeight="true" outlineLevel="0" collapsed="false"/>
    <row r="39641" customFormat="false" ht="15" hidden="false" customHeight="true" outlineLevel="0" collapsed="false"/>
    <row r="39642" customFormat="false" ht="15" hidden="false" customHeight="true" outlineLevel="0" collapsed="false"/>
    <row r="39643" customFormat="false" ht="15" hidden="false" customHeight="true" outlineLevel="0" collapsed="false"/>
    <row r="39644" customFormat="false" ht="15" hidden="false" customHeight="true" outlineLevel="0" collapsed="false"/>
    <row r="39645" customFormat="false" ht="15" hidden="false" customHeight="true" outlineLevel="0" collapsed="false"/>
    <row r="39646" customFormat="false" ht="15" hidden="false" customHeight="true" outlineLevel="0" collapsed="false"/>
    <row r="39647" customFormat="false" ht="15" hidden="false" customHeight="true" outlineLevel="0" collapsed="false"/>
    <row r="39648" customFormat="false" ht="15" hidden="false" customHeight="true" outlineLevel="0" collapsed="false"/>
    <row r="39649" customFormat="false" ht="15" hidden="false" customHeight="true" outlineLevel="0" collapsed="false"/>
    <row r="39650" customFormat="false" ht="15" hidden="false" customHeight="true" outlineLevel="0" collapsed="false"/>
    <row r="39651" customFormat="false" ht="15" hidden="false" customHeight="true" outlineLevel="0" collapsed="false"/>
    <row r="39652" customFormat="false" ht="15" hidden="false" customHeight="true" outlineLevel="0" collapsed="false"/>
    <row r="39653" customFormat="false" ht="15" hidden="false" customHeight="true" outlineLevel="0" collapsed="false"/>
    <row r="39654" customFormat="false" ht="15" hidden="false" customHeight="true" outlineLevel="0" collapsed="false"/>
    <row r="39655" customFormat="false" ht="15" hidden="false" customHeight="true" outlineLevel="0" collapsed="false"/>
    <row r="39656" customFormat="false" ht="15" hidden="false" customHeight="true" outlineLevel="0" collapsed="false"/>
    <row r="39657" customFormat="false" ht="15" hidden="false" customHeight="true" outlineLevel="0" collapsed="false"/>
    <row r="39658" customFormat="false" ht="15" hidden="false" customHeight="true" outlineLevel="0" collapsed="false"/>
    <row r="39659" customFormat="false" ht="15" hidden="false" customHeight="true" outlineLevel="0" collapsed="false"/>
    <row r="39660" customFormat="false" ht="15" hidden="false" customHeight="true" outlineLevel="0" collapsed="false"/>
    <row r="39661" customFormat="false" ht="15" hidden="false" customHeight="true" outlineLevel="0" collapsed="false"/>
    <row r="39662" customFormat="false" ht="15" hidden="false" customHeight="true" outlineLevel="0" collapsed="false"/>
    <row r="39663" customFormat="false" ht="15" hidden="false" customHeight="true" outlineLevel="0" collapsed="false"/>
    <row r="39664" customFormat="false" ht="15" hidden="false" customHeight="true" outlineLevel="0" collapsed="false"/>
    <row r="39665" customFormat="false" ht="15" hidden="false" customHeight="true" outlineLevel="0" collapsed="false"/>
    <row r="39666" customFormat="false" ht="15" hidden="false" customHeight="true" outlineLevel="0" collapsed="false"/>
    <row r="39667" customFormat="false" ht="15" hidden="false" customHeight="true" outlineLevel="0" collapsed="false"/>
    <row r="39668" customFormat="false" ht="15" hidden="false" customHeight="true" outlineLevel="0" collapsed="false"/>
    <row r="39669" customFormat="false" ht="15" hidden="false" customHeight="true" outlineLevel="0" collapsed="false"/>
    <row r="39670" customFormat="false" ht="15" hidden="false" customHeight="true" outlineLevel="0" collapsed="false"/>
    <row r="39671" customFormat="false" ht="15" hidden="false" customHeight="true" outlineLevel="0" collapsed="false"/>
    <row r="39672" customFormat="false" ht="15" hidden="false" customHeight="true" outlineLevel="0" collapsed="false"/>
    <row r="39673" customFormat="false" ht="15" hidden="false" customHeight="true" outlineLevel="0" collapsed="false"/>
    <row r="39674" customFormat="false" ht="15" hidden="false" customHeight="true" outlineLevel="0" collapsed="false"/>
    <row r="39675" customFormat="false" ht="15" hidden="false" customHeight="true" outlineLevel="0" collapsed="false"/>
    <row r="39676" customFormat="false" ht="15" hidden="false" customHeight="true" outlineLevel="0" collapsed="false"/>
    <row r="39677" customFormat="false" ht="15" hidden="false" customHeight="true" outlineLevel="0" collapsed="false"/>
    <row r="39678" customFormat="false" ht="15" hidden="false" customHeight="true" outlineLevel="0" collapsed="false"/>
    <row r="39679" customFormat="false" ht="15" hidden="false" customHeight="true" outlineLevel="0" collapsed="false"/>
    <row r="39680" customFormat="false" ht="15" hidden="false" customHeight="true" outlineLevel="0" collapsed="false"/>
    <row r="39681" customFormat="false" ht="15" hidden="false" customHeight="true" outlineLevel="0" collapsed="false"/>
    <row r="39682" customFormat="false" ht="15" hidden="false" customHeight="true" outlineLevel="0" collapsed="false"/>
    <row r="39683" customFormat="false" ht="15" hidden="false" customHeight="true" outlineLevel="0" collapsed="false"/>
    <row r="39684" customFormat="false" ht="15" hidden="false" customHeight="true" outlineLevel="0" collapsed="false"/>
    <row r="39685" customFormat="false" ht="15" hidden="false" customHeight="true" outlineLevel="0" collapsed="false"/>
    <row r="39686" customFormat="false" ht="15" hidden="false" customHeight="true" outlineLevel="0" collapsed="false"/>
    <row r="39687" customFormat="false" ht="15" hidden="false" customHeight="true" outlineLevel="0" collapsed="false"/>
    <row r="39688" customFormat="false" ht="15" hidden="false" customHeight="true" outlineLevel="0" collapsed="false"/>
    <row r="39689" customFormat="false" ht="15" hidden="false" customHeight="true" outlineLevel="0" collapsed="false"/>
    <row r="39690" customFormat="false" ht="15" hidden="false" customHeight="true" outlineLevel="0" collapsed="false"/>
    <row r="39691" customFormat="false" ht="15" hidden="false" customHeight="true" outlineLevel="0" collapsed="false"/>
    <row r="39692" customFormat="false" ht="15" hidden="false" customHeight="true" outlineLevel="0" collapsed="false"/>
    <row r="39693" customFormat="false" ht="15" hidden="false" customHeight="true" outlineLevel="0" collapsed="false"/>
    <row r="39694" customFormat="false" ht="15" hidden="false" customHeight="true" outlineLevel="0" collapsed="false"/>
    <row r="39695" customFormat="false" ht="15" hidden="false" customHeight="true" outlineLevel="0" collapsed="false"/>
    <row r="39696" customFormat="false" ht="15" hidden="false" customHeight="true" outlineLevel="0" collapsed="false"/>
    <row r="39697" customFormat="false" ht="15" hidden="false" customHeight="true" outlineLevel="0" collapsed="false"/>
    <row r="39698" customFormat="false" ht="15" hidden="false" customHeight="true" outlineLevel="0" collapsed="false"/>
    <row r="39699" customFormat="false" ht="15" hidden="false" customHeight="true" outlineLevel="0" collapsed="false"/>
    <row r="39700" customFormat="false" ht="15" hidden="false" customHeight="true" outlineLevel="0" collapsed="false"/>
    <row r="39701" customFormat="false" ht="15" hidden="false" customHeight="true" outlineLevel="0" collapsed="false"/>
    <row r="39702" customFormat="false" ht="15" hidden="false" customHeight="true" outlineLevel="0" collapsed="false"/>
    <row r="39703" customFormat="false" ht="15" hidden="false" customHeight="true" outlineLevel="0" collapsed="false"/>
    <row r="39704" customFormat="false" ht="15" hidden="false" customHeight="true" outlineLevel="0" collapsed="false"/>
    <row r="39705" customFormat="false" ht="15" hidden="false" customHeight="true" outlineLevel="0" collapsed="false"/>
    <row r="39706" customFormat="false" ht="15" hidden="false" customHeight="true" outlineLevel="0" collapsed="false"/>
    <row r="39707" customFormat="false" ht="15" hidden="false" customHeight="true" outlineLevel="0" collapsed="false"/>
    <row r="39708" customFormat="false" ht="15" hidden="false" customHeight="true" outlineLevel="0" collapsed="false"/>
    <row r="39709" customFormat="false" ht="15" hidden="false" customHeight="true" outlineLevel="0" collapsed="false"/>
    <row r="39710" customFormat="false" ht="15" hidden="false" customHeight="true" outlineLevel="0" collapsed="false"/>
    <row r="39711" customFormat="false" ht="15" hidden="false" customHeight="true" outlineLevel="0" collapsed="false"/>
    <row r="39712" customFormat="false" ht="15" hidden="false" customHeight="true" outlineLevel="0" collapsed="false"/>
    <row r="39713" customFormat="false" ht="15" hidden="false" customHeight="true" outlineLevel="0" collapsed="false"/>
    <row r="39714" customFormat="false" ht="15" hidden="false" customHeight="true" outlineLevel="0" collapsed="false"/>
    <row r="39715" customFormat="false" ht="15" hidden="false" customHeight="true" outlineLevel="0" collapsed="false"/>
    <row r="39716" customFormat="false" ht="15" hidden="false" customHeight="true" outlineLevel="0" collapsed="false"/>
    <row r="39717" customFormat="false" ht="15" hidden="false" customHeight="true" outlineLevel="0" collapsed="false"/>
    <row r="39718" customFormat="false" ht="15" hidden="false" customHeight="true" outlineLevel="0" collapsed="false"/>
    <row r="39719" customFormat="false" ht="15" hidden="false" customHeight="true" outlineLevel="0" collapsed="false"/>
    <row r="39720" customFormat="false" ht="15" hidden="false" customHeight="true" outlineLevel="0" collapsed="false"/>
    <row r="39721" customFormat="false" ht="15" hidden="false" customHeight="true" outlineLevel="0" collapsed="false"/>
    <row r="39722" customFormat="false" ht="15" hidden="false" customHeight="true" outlineLevel="0" collapsed="false"/>
    <row r="39723" customFormat="false" ht="15" hidden="false" customHeight="true" outlineLevel="0" collapsed="false"/>
    <row r="39724" customFormat="false" ht="15" hidden="false" customHeight="true" outlineLevel="0" collapsed="false"/>
    <row r="39725" customFormat="false" ht="15" hidden="false" customHeight="true" outlineLevel="0" collapsed="false"/>
    <row r="39726" customFormat="false" ht="15" hidden="false" customHeight="true" outlineLevel="0" collapsed="false"/>
    <row r="39727" customFormat="false" ht="15" hidden="false" customHeight="true" outlineLevel="0" collapsed="false"/>
    <row r="39728" customFormat="false" ht="15" hidden="false" customHeight="true" outlineLevel="0" collapsed="false"/>
    <row r="39729" customFormat="false" ht="15" hidden="false" customHeight="true" outlineLevel="0" collapsed="false"/>
    <row r="39730" customFormat="false" ht="15" hidden="false" customHeight="true" outlineLevel="0" collapsed="false"/>
    <row r="39731" customFormat="false" ht="15" hidden="false" customHeight="true" outlineLevel="0" collapsed="false"/>
    <row r="39732" customFormat="false" ht="15" hidden="false" customHeight="true" outlineLevel="0" collapsed="false"/>
    <row r="39733" customFormat="false" ht="15" hidden="false" customHeight="true" outlineLevel="0" collapsed="false"/>
    <row r="39734" customFormat="false" ht="15" hidden="false" customHeight="true" outlineLevel="0" collapsed="false"/>
    <row r="39735" customFormat="false" ht="15" hidden="false" customHeight="true" outlineLevel="0" collapsed="false"/>
    <row r="39736" customFormat="false" ht="15" hidden="false" customHeight="true" outlineLevel="0" collapsed="false"/>
    <row r="39737" customFormat="false" ht="15" hidden="false" customHeight="true" outlineLevel="0" collapsed="false"/>
    <row r="39738" customFormat="false" ht="15" hidden="false" customHeight="true" outlineLevel="0" collapsed="false"/>
    <row r="39739" customFormat="false" ht="15" hidden="false" customHeight="true" outlineLevel="0" collapsed="false"/>
    <row r="39740" customFormat="false" ht="15" hidden="false" customHeight="true" outlineLevel="0" collapsed="false"/>
    <row r="39741" customFormat="false" ht="15" hidden="false" customHeight="true" outlineLevel="0" collapsed="false"/>
    <row r="39742" customFormat="false" ht="15" hidden="false" customHeight="true" outlineLevel="0" collapsed="false"/>
    <row r="39743" customFormat="false" ht="15" hidden="false" customHeight="true" outlineLevel="0" collapsed="false"/>
    <row r="39744" customFormat="false" ht="15" hidden="false" customHeight="true" outlineLevel="0" collapsed="false"/>
    <row r="39745" customFormat="false" ht="15" hidden="false" customHeight="true" outlineLevel="0" collapsed="false"/>
    <row r="39746" customFormat="false" ht="15" hidden="false" customHeight="true" outlineLevel="0" collapsed="false"/>
    <row r="39747" customFormat="false" ht="15" hidden="false" customHeight="true" outlineLevel="0" collapsed="false"/>
    <row r="39748" customFormat="false" ht="15" hidden="false" customHeight="true" outlineLevel="0" collapsed="false"/>
    <row r="39749" customFormat="false" ht="15" hidden="false" customHeight="true" outlineLevel="0" collapsed="false"/>
    <row r="39750" customFormat="false" ht="15" hidden="false" customHeight="true" outlineLevel="0" collapsed="false"/>
    <row r="39751" customFormat="false" ht="15" hidden="false" customHeight="true" outlineLevel="0" collapsed="false"/>
    <row r="39752" customFormat="false" ht="15" hidden="false" customHeight="true" outlineLevel="0" collapsed="false"/>
    <row r="39753" customFormat="false" ht="15" hidden="false" customHeight="true" outlineLevel="0" collapsed="false"/>
    <row r="39754" customFormat="false" ht="15" hidden="false" customHeight="true" outlineLevel="0" collapsed="false"/>
    <row r="39755" customFormat="false" ht="15" hidden="false" customHeight="true" outlineLevel="0" collapsed="false"/>
    <row r="39756" customFormat="false" ht="15" hidden="false" customHeight="true" outlineLevel="0" collapsed="false"/>
    <row r="39757" customFormat="false" ht="15" hidden="false" customHeight="true" outlineLevel="0" collapsed="false"/>
    <row r="39758" customFormat="false" ht="15" hidden="false" customHeight="true" outlineLevel="0" collapsed="false"/>
    <row r="39759" customFormat="false" ht="15" hidden="false" customHeight="true" outlineLevel="0" collapsed="false"/>
    <row r="39760" customFormat="false" ht="15" hidden="false" customHeight="true" outlineLevel="0" collapsed="false"/>
    <row r="39761" customFormat="false" ht="15" hidden="false" customHeight="true" outlineLevel="0" collapsed="false"/>
    <row r="39762" customFormat="false" ht="15" hidden="false" customHeight="true" outlineLevel="0" collapsed="false"/>
    <row r="39763" customFormat="false" ht="15" hidden="false" customHeight="true" outlineLevel="0" collapsed="false"/>
    <row r="39764" customFormat="false" ht="15" hidden="false" customHeight="true" outlineLevel="0" collapsed="false"/>
    <row r="39765" customFormat="false" ht="15" hidden="false" customHeight="true" outlineLevel="0" collapsed="false"/>
    <row r="39766" customFormat="false" ht="15" hidden="false" customHeight="true" outlineLevel="0" collapsed="false"/>
    <row r="39767" customFormat="false" ht="15" hidden="false" customHeight="true" outlineLevel="0" collapsed="false"/>
    <row r="39768" customFormat="false" ht="15" hidden="false" customHeight="true" outlineLevel="0" collapsed="false"/>
    <row r="39769" customFormat="false" ht="15" hidden="false" customHeight="true" outlineLevel="0" collapsed="false"/>
    <row r="39770" customFormat="false" ht="15" hidden="false" customHeight="true" outlineLevel="0" collapsed="false"/>
    <row r="39771" customFormat="false" ht="15" hidden="false" customHeight="true" outlineLevel="0" collapsed="false"/>
    <row r="39772" customFormat="false" ht="15" hidden="false" customHeight="true" outlineLevel="0" collapsed="false"/>
    <row r="39773" customFormat="false" ht="15" hidden="false" customHeight="true" outlineLevel="0" collapsed="false"/>
    <row r="39774" customFormat="false" ht="15" hidden="false" customHeight="true" outlineLevel="0" collapsed="false"/>
    <row r="39775" customFormat="false" ht="15" hidden="false" customHeight="true" outlineLevel="0" collapsed="false"/>
    <row r="39776" customFormat="false" ht="15" hidden="false" customHeight="true" outlineLevel="0" collapsed="false"/>
    <row r="39777" customFormat="false" ht="15" hidden="false" customHeight="true" outlineLevel="0" collapsed="false"/>
    <row r="39778" customFormat="false" ht="15" hidden="false" customHeight="true" outlineLevel="0" collapsed="false"/>
    <row r="39779" customFormat="false" ht="15" hidden="false" customHeight="true" outlineLevel="0" collapsed="false"/>
    <row r="39780" customFormat="false" ht="15" hidden="false" customHeight="true" outlineLevel="0" collapsed="false"/>
    <row r="39781" customFormat="false" ht="15" hidden="false" customHeight="true" outlineLevel="0" collapsed="false"/>
    <row r="39782" customFormat="false" ht="15" hidden="false" customHeight="true" outlineLevel="0" collapsed="false"/>
    <row r="39783" customFormat="false" ht="15" hidden="false" customHeight="true" outlineLevel="0" collapsed="false"/>
    <row r="39784" customFormat="false" ht="15" hidden="false" customHeight="true" outlineLevel="0" collapsed="false"/>
    <row r="39785" customFormat="false" ht="15" hidden="false" customHeight="true" outlineLevel="0" collapsed="false"/>
    <row r="39786" customFormat="false" ht="15" hidden="false" customHeight="true" outlineLevel="0" collapsed="false"/>
    <row r="39787" customFormat="false" ht="15" hidden="false" customHeight="true" outlineLevel="0" collapsed="false"/>
    <row r="39788" customFormat="false" ht="15" hidden="false" customHeight="true" outlineLevel="0" collapsed="false"/>
    <row r="39789" customFormat="false" ht="15" hidden="false" customHeight="true" outlineLevel="0" collapsed="false"/>
    <row r="39790" customFormat="false" ht="15" hidden="false" customHeight="true" outlineLevel="0" collapsed="false"/>
    <row r="39791" customFormat="false" ht="15" hidden="false" customHeight="true" outlineLevel="0" collapsed="false"/>
    <row r="39792" customFormat="false" ht="15" hidden="false" customHeight="true" outlineLevel="0" collapsed="false"/>
    <row r="39793" customFormat="false" ht="15" hidden="false" customHeight="true" outlineLevel="0" collapsed="false"/>
    <row r="39794" customFormat="false" ht="15" hidden="false" customHeight="true" outlineLevel="0" collapsed="false"/>
    <row r="39795" customFormat="false" ht="15" hidden="false" customHeight="true" outlineLevel="0" collapsed="false"/>
    <row r="39796" customFormat="false" ht="15" hidden="false" customHeight="true" outlineLevel="0" collapsed="false"/>
    <row r="39797" customFormat="false" ht="15" hidden="false" customHeight="true" outlineLevel="0" collapsed="false"/>
    <row r="39798" customFormat="false" ht="15" hidden="false" customHeight="true" outlineLevel="0" collapsed="false"/>
    <row r="39799" customFormat="false" ht="15" hidden="false" customHeight="true" outlineLevel="0" collapsed="false"/>
    <row r="39800" customFormat="false" ht="15" hidden="false" customHeight="true" outlineLevel="0" collapsed="false"/>
    <row r="39801" customFormat="false" ht="15" hidden="false" customHeight="true" outlineLevel="0" collapsed="false"/>
    <row r="39802" customFormat="false" ht="15" hidden="false" customHeight="true" outlineLevel="0" collapsed="false"/>
    <row r="39803" customFormat="false" ht="15" hidden="false" customHeight="true" outlineLevel="0" collapsed="false"/>
    <row r="39804" customFormat="false" ht="15" hidden="false" customHeight="true" outlineLevel="0" collapsed="false"/>
    <row r="39805" customFormat="false" ht="15" hidden="false" customHeight="true" outlineLevel="0" collapsed="false"/>
    <row r="39806" customFormat="false" ht="15" hidden="false" customHeight="true" outlineLevel="0" collapsed="false"/>
    <row r="39807" customFormat="false" ht="15" hidden="false" customHeight="true" outlineLevel="0" collapsed="false"/>
    <row r="39808" customFormat="false" ht="15" hidden="false" customHeight="true" outlineLevel="0" collapsed="false"/>
    <row r="39809" customFormat="false" ht="15" hidden="false" customHeight="true" outlineLevel="0" collapsed="false"/>
    <row r="39810" customFormat="false" ht="15" hidden="false" customHeight="true" outlineLevel="0" collapsed="false"/>
    <row r="39811" customFormat="false" ht="15" hidden="false" customHeight="true" outlineLevel="0" collapsed="false"/>
    <row r="39812" customFormat="false" ht="15" hidden="false" customHeight="true" outlineLevel="0" collapsed="false"/>
    <row r="39813" customFormat="false" ht="15" hidden="false" customHeight="true" outlineLevel="0" collapsed="false"/>
    <row r="39814" customFormat="false" ht="15" hidden="false" customHeight="true" outlineLevel="0" collapsed="false"/>
    <row r="39815" customFormat="false" ht="15" hidden="false" customHeight="true" outlineLevel="0" collapsed="false"/>
    <row r="39816" customFormat="false" ht="15" hidden="false" customHeight="true" outlineLevel="0" collapsed="false"/>
    <row r="39817" customFormat="false" ht="15" hidden="false" customHeight="true" outlineLevel="0" collapsed="false"/>
    <row r="39818" customFormat="false" ht="15" hidden="false" customHeight="true" outlineLevel="0" collapsed="false"/>
    <row r="39819" customFormat="false" ht="15" hidden="false" customHeight="true" outlineLevel="0" collapsed="false"/>
    <row r="39820" customFormat="false" ht="15" hidden="false" customHeight="true" outlineLevel="0" collapsed="false"/>
    <row r="39821" customFormat="false" ht="15" hidden="false" customHeight="true" outlineLevel="0" collapsed="false"/>
    <row r="39822" customFormat="false" ht="15" hidden="false" customHeight="true" outlineLevel="0" collapsed="false"/>
    <row r="39823" customFormat="false" ht="15" hidden="false" customHeight="true" outlineLevel="0" collapsed="false"/>
    <row r="39824" customFormat="false" ht="15" hidden="false" customHeight="true" outlineLevel="0" collapsed="false"/>
    <row r="39825" customFormat="false" ht="15" hidden="false" customHeight="true" outlineLevel="0" collapsed="false"/>
    <row r="39826" customFormat="false" ht="15" hidden="false" customHeight="true" outlineLevel="0" collapsed="false"/>
    <row r="39827" customFormat="false" ht="15" hidden="false" customHeight="true" outlineLevel="0" collapsed="false"/>
    <row r="39828" customFormat="false" ht="15" hidden="false" customHeight="true" outlineLevel="0" collapsed="false"/>
    <row r="39829" customFormat="false" ht="15" hidden="false" customHeight="true" outlineLevel="0" collapsed="false"/>
    <row r="39830" customFormat="false" ht="15" hidden="false" customHeight="true" outlineLevel="0" collapsed="false"/>
    <row r="39831" customFormat="false" ht="15" hidden="false" customHeight="true" outlineLevel="0" collapsed="false"/>
    <row r="39832" customFormat="false" ht="15" hidden="false" customHeight="true" outlineLevel="0" collapsed="false"/>
    <row r="39833" customFormat="false" ht="15" hidden="false" customHeight="true" outlineLevel="0" collapsed="false"/>
    <row r="39834" customFormat="false" ht="15" hidden="false" customHeight="true" outlineLevel="0" collapsed="false"/>
    <row r="39835" customFormat="false" ht="15" hidden="false" customHeight="true" outlineLevel="0" collapsed="false"/>
    <row r="39836" customFormat="false" ht="15" hidden="false" customHeight="true" outlineLevel="0" collapsed="false"/>
    <row r="39837" customFormat="false" ht="15" hidden="false" customHeight="true" outlineLevel="0" collapsed="false"/>
    <row r="39838" customFormat="false" ht="15" hidden="false" customHeight="true" outlineLevel="0" collapsed="false"/>
    <row r="39839" customFormat="false" ht="15" hidden="false" customHeight="true" outlineLevel="0" collapsed="false"/>
    <row r="39840" customFormat="false" ht="15" hidden="false" customHeight="true" outlineLevel="0" collapsed="false"/>
    <row r="39841" customFormat="false" ht="15" hidden="false" customHeight="true" outlineLevel="0" collapsed="false"/>
    <row r="39842" customFormat="false" ht="15" hidden="false" customHeight="true" outlineLevel="0" collapsed="false"/>
    <row r="39843" customFormat="false" ht="15" hidden="false" customHeight="true" outlineLevel="0" collapsed="false"/>
    <row r="39844" customFormat="false" ht="15" hidden="false" customHeight="true" outlineLevel="0" collapsed="false"/>
    <row r="39845" customFormat="false" ht="15" hidden="false" customHeight="true" outlineLevel="0" collapsed="false"/>
    <row r="39846" customFormat="false" ht="15" hidden="false" customHeight="true" outlineLevel="0" collapsed="false"/>
    <row r="39847" customFormat="false" ht="15" hidden="false" customHeight="true" outlineLevel="0" collapsed="false"/>
    <row r="39848" customFormat="false" ht="15" hidden="false" customHeight="true" outlineLevel="0" collapsed="false"/>
    <row r="39849" customFormat="false" ht="15" hidden="false" customHeight="true" outlineLevel="0" collapsed="false"/>
    <row r="39850" customFormat="false" ht="15" hidden="false" customHeight="true" outlineLevel="0" collapsed="false"/>
    <row r="39851" customFormat="false" ht="15" hidden="false" customHeight="true" outlineLevel="0" collapsed="false"/>
    <row r="39852" customFormat="false" ht="15" hidden="false" customHeight="true" outlineLevel="0" collapsed="false"/>
    <row r="39853" customFormat="false" ht="15" hidden="false" customHeight="true" outlineLevel="0" collapsed="false"/>
    <row r="39854" customFormat="false" ht="15" hidden="false" customHeight="true" outlineLevel="0" collapsed="false"/>
    <row r="39855" customFormat="false" ht="15" hidden="false" customHeight="true" outlineLevel="0" collapsed="false"/>
    <row r="39856" customFormat="false" ht="15" hidden="false" customHeight="true" outlineLevel="0" collapsed="false"/>
    <row r="39857" customFormat="false" ht="15" hidden="false" customHeight="true" outlineLevel="0" collapsed="false"/>
    <row r="39858" customFormat="false" ht="15" hidden="false" customHeight="true" outlineLevel="0" collapsed="false"/>
    <row r="39859" customFormat="false" ht="15" hidden="false" customHeight="true" outlineLevel="0" collapsed="false"/>
    <row r="39860" customFormat="false" ht="15" hidden="false" customHeight="true" outlineLevel="0" collapsed="false"/>
    <row r="39861" customFormat="false" ht="15" hidden="false" customHeight="true" outlineLevel="0" collapsed="false"/>
    <row r="39862" customFormat="false" ht="15" hidden="false" customHeight="true" outlineLevel="0" collapsed="false"/>
    <row r="39863" customFormat="false" ht="15" hidden="false" customHeight="true" outlineLevel="0" collapsed="false"/>
    <row r="39864" customFormat="false" ht="15" hidden="false" customHeight="true" outlineLevel="0" collapsed="false"/>
    <row r="39865" customFormat="false" ht="15" hidden="false" customHeight="true" outlineLevel="0" collapsed="false"/>
    <row r="39866" customFormat="false" ht="15" hidden="false" customHeight="true" outlineLevel="0" collapsed="false"/>
    <row r="39867" customFormat="false" ht="15" hidden="false" customHeight="true" outlineLevel="0" collapsed="false"/>
    <row r="39868" customFormat="false" ht="15" hidden="false" customHeight="true" outlineLevel="0" collapsed="false"/>
    <row r="39869" customFormat="false" ht="15" hidden="false" customHeight="true" outlineLevel="0" collapsed="false"/>
    <row r="39870" customFormat="false" ht="15" hidden="false" customHeight="true" outlineLevel="0" collapsed="false"/>
    <row r="39871" customFormat="false" ht="15" hidden="false" customHeight="true" outlineLevel="0" collapsed="false"/>
    <row r="39872" customFormat="false" ht="15" hidden="false" customHeight="true" outlineLevel="0" collapsed="false"/>
    <row r="39873" customFormat="false" ht="15" hidden="false" customHeight="true" outlineLevel="0" collapsed="false"/>
    <row r="39874" customFormat="false" ht="15" hidden="false" customHeight="true" outlineLevel="0" collapsed="false"/>
    <row r="39875" customFormat="false" ht="15" hidden="false" customHeight="true" outlineLevel="0" collapsed="false"/>
    <row r="39876" customFormat="false" ht="15" hidden="false" customHeight="true" outlineLevel="0" collapsed="false"/>
    <row r="39877" customFormat="false" ht="15" hidden="false" customHeight="true" outlineLevel="0" collapsed="false"/>
    <row r="39878" customFormat="false" ht="15" hidden="false" customHeight="true" outlineLevel="0" collapsed="false"/>
    <row r="39879" customFormat="false" ht="15" hidden="false" customHeight="true" outlineLevel="0" collapsed="false"/>
    <row r="39880" customFormat="false" ht="15" hidden="false" customHeight="true" outlineLevel="0" collapsed="false"/>
    <row r="39881" customFormat="false" ht="15" hidden="false" customHeight="true" outlineLevel="0" collapsed="false"/>
    <row r="39882" customFormat="false" ht="15" hidden="false" customHeight="true" outlineLevel="0" collapsed="false"/>
    <row r="39883" customFormat="false" ht="15" hidden="false" customHeight="true" outlineLevel="0" collapsed="false"/>
    <row r="39884" customFormat="false" ht="15" hidden="false" customHeight="true" outlineLevel="0" collapsed="false"/>
    <row r="39885" customFormat="false" ht="15" hidden="false" customHeight="true" outlineLevel="0" collapsed="false"/>
    <row r="39886" customFormat="false" ht="15" hidden="false" customHeight="true" outlineLevel="0" collapsed="false"/>
    <row r="39887" customFormat="false" ht="15" hidden="false" customHeight="true" outlineLevel="0" collapsed="false"/>
    <row r="39888" customFormat="false" ht="15" hidden="false" customHeight="true" outlineLevel="0" collapsed="false"/>
    <row r="39889" customFormat="false" ht="15" hidden="false" customHeight="true" outlineLevel="0" collapsed="false"/>
    <row r="39890" customFormat="false" ht="15" hidden="false" customHeight="true" outlineLevel="0" collapsed="false"/>
    <row r="39891" customFormat="false" ht="15" hidden="false" customHeight="true" outlineLevel="0" collapsed="false"/>
    <row r="39892" customFormat="false" ht="15" hidden="false" customHeight="true" outlineLevel="0" collapsed="false"/>
    <row r="39893" customFormat="false" ht="15" hidden="false" customHeight="true" outlineLevel="0" collapsed="false"/>
    <row r="39894" customFormat="false" ht="15" hidden="false" customHeight="true" outlineLevel="0" collapsed="false"/>
    <row r="39895" customFormat="false" ht="15" hidden="false" customHeight="true" outlineLevel="0" collapsed="false"/>
    <row r="39896" customFormat="false" ht="15" hidden="false" customHeight="true" outlineLevel="0" collapsed="false"/>
    <row r="39897" customFormat="false" ht="15" hidden="false" customHeight="true" outlineLevel="0" collapsed="false"/>
    <row r="39898" customFormat="false" ht="15" hidden="false" customHeight="true" outlineLevel="0" collapsed="false"/>
    <row r="39899" customFormat="false" ht="15" hidden="false" customHeight="true" outlineLevel="0" collapsed="false"/>
    <row r="39900" customFormat="false" ht="15" hidden="false" customHeight="true" outlineLevel="0" collapsed="false"/>
    <row r="39901" customFormat="false" ht="15" hidden="false" customHeight="true" outlineLevel="0" collapsed="false"/>
    <row r="39902" customFormat="false" ht="15" hidden="false" customHeight="true" outlineLevel="0" collapsed="false"/>
    <row r="39903" customFormat="false" ht="15" hidden="false" customHeight="true" outlineLevel="0" collapsed="false"/>
    <row r="39904" customFormat="false" ht="15" hidden="false" customHeight="true" outlineLevel="0" collapsed="false"/>
    <row r="39905" customFormat="false" ht="15" hidden="false" customHeight="true" outlineLevel="0" collapsed="false"/>
    <row r="39906" customFormat="false" ht="15" hidden="false" customHeight="true" outlineLevel="0" collapsed="false"/>
    <row r="39907" customFormat="false" ht="15" hidden="false" customHeight="true" outlineLevel="0" collapsed="false"/>
    <row r="39908" customFormat="false" ht="15" hidden="false" customHeight="true" outlineLevel="0" collapsed="false"/>
    <row r="39909" customFormat="false" ht="15" hidden="false" customHeight="true" outlineLevel="0" collapsed="false"/>
    <row r="39910" customFormat="false" ht="15" hidden="false" customHeight="true" outlineLevel="0" collapsed="false"/>
    <row r="39911" customFormat="false" ht="15" hidden="false" customHeight="true" outlineLevel="0" collapsed="false"/>
    <row r="39912" customFormat="false" ht="15" hidden="false" customHeight="true" outlineLevel="0" collapsed="false"/>
    <row r="39913" customFormat="false" ht="15" hidden="false" customHeight="true" outlineLevel="0" collapsed="false"/>
    <row r="39914" customFormat="false" ht="15" hidden="false" customHeight="true" outlineLevel="0" collapsed="false"/>
    <row r="39915" customFormat="false" ht="15" hidden="false" customHeight="true" outlineLevel="0" collapsed="false"/>
    <row r="39916" customFormat="false" ht="15" hidden="false" customHeight="true" outlineLevel="0" collapsed="false"/>
    <row r="39917" customFormat="false" ht="15" hidden="false" customHeight="true" outlineLevel="0" collapsed="false"/>
    <row r="39918" customFormat="false" ht="15" hidden="false" customHeight="true" outlineLevel="0" collapsed="false"/>
    <row r="39919" customFormat="false" ht="15" hidden="false" customHeight="true" outlineLevel="0" collapsed="false"/>
    <row r="39920" customFormat="false" ht="15" hidden="false" customHeight="true" outlineLevel="0" collapsed="false"/>
    <row r="39921" customFormat="false" ht="15" hidden="false" customHeight="true" outlineLevel="0" collapsed="false"/>
    <row r="39922" customFormat="false" ht="15" hidden="false" customHeight="true" outlineLevel="0" collapsed="false"/>
    <row r="39923" customFormat="false" ht="15" hidden="false" customHeight="true" outlineLevel="0" collapsed="false"/>
    <row r="39924" customFormat="false" ht="15" hidden="false" customHeight="true" outlineLevel="0" collapsed="false"/>
    <row r="39925" customFormat="false" ht="15" hidden="false" customHeight="true" outlineLevel="0" collapsed="false"/>
    <row r="39926" customFormat="false" ht="15" hidden="false" customHeight="true" outlineLevel="0" collapsed="false"/>
    <row r="39927" customFormat="false" ht="15" hidden="false" customHeight="true" outlineLevel="0" collapsed="false"/>
    <row r="39928" customFormat="false" ht="15" hidden="false" customHeight="true" outlineLevel="0" collapsed="false"/>
    <row r="39929" customFormat="false" ht="15" hidden="false" customHeight="true" outlineLevel="0" collapsed="false"/>
    <row r="39930" customFormat="false" ht="15" hidden="false" customHeight="true" outlineLevel="0" collapsed="false"/>
    <row r="39931" customFormat="false" ht="15" hidden="false" customHeight="true" outlineLevel="0" collapsed="false"/>
    <row r="39932" customFormat="false" ht="15" hidden="false" customHeight="true" outlineLevel="0" collapsed="false"/>
    <row r="39933" customFormat="false" ht="15" hidden="false" customHeight="true" outlineLevel="0" collapsed="false"/>
    <row r="39934" customFormat="false" ht="15" hidden="false" customHeight="true" outlineLevel="0" collapsed="false"/>
    <row r="39935" customFormat="false" ht="15" hidden="false" customHeight="true" outlineLevel="0" collapsed="false"/>
    <row r="39936" customFormat="false" ht="15" hidden="false" customHeight="true" outlineLevel="0" collapsed="false"/>
    <row r="39937" customFormat="false" ht="15" hidden="false" customHeight="true" outlineLevel="0" collapsed="false"/>
    <row r="39938" customFormat="false" ht="15" hidden="false" customHeight="true" outlineLevel="0" collapsed="false"/>
    <row r="39939" customFormat="false" ht="15" hidden="false" customHeight="true" outlineLevel="0" collapsed="false"/>
    <row r="39940" customFormat="false" ht="15" hidden="false" customHeight="true" outlineLevel="0" collapsed="false"/>
    <row r="39941" customFormat="false" ht="15" hidden="false" customHeight="true" outlineLevel="0" collapsed="false"/>
    <row r="39942" customFormat="false" ht="15" hidden="false" customHeight="true" outlineLevel="0" collapsed="false"/>
    <row r="39943" customFormat="false" ht="15" hidden="false" customHeight="true" outlineLevel="0" collapsed="false"/>
    <row r="39944" customFormat="false" ht="15" hidden="false" customHeight="true" outlineLevel="0" collapsed="false"/>
    <row r="39945" customFormat="false" ht="15" hidden="false" customHeight="true" outlineLevel="0" collapsed="false"/>
    <row r="39946" customFormat="false" ht="15" hidden="false" customHeight="true" outlineLevel="0" collapsed="false"/>
    <row r="39947" customFormat="false" ht="15" hidden="false" customHeight="true" outlineLevel="0" collapsed="false"/>
    <row r="39948" customFormat="false" ht="15" hidden="false" customHeight="true" outlineLevel="0" collapsed="false"/>
    <row r="39949" customFormat="false" ht="15" hidden="false" customHeight="true" outlineLevel="0" collapsed="false"/>
    <row r="39950" customFormat="false" ht="15" hidden="false" customHeight="true" outlineLevel="0" collapsed="false"/>
    <row r="39951" customFormat="false" ht="15" hidden="false" customHeight="true" outlineLevel="0" collapsed="false"/>
    <row r="39952" customFormat="false" ht="15" hidden="false" customHeight="true" outlineLevel="0" collapsed="false"/>
    <row r="39953" customFormat="false" ht="15" hidden="false" customHeight="true" outlineLevel="0" collapsed="false"/>
    <row r="39954" customFormat="false" ht="15" hidden="false" customHeight="true" outlineLevel="0" collapsed="false"/>
    <row r="39955" customFormat="false" ht="15" hidden="false" customHeight="true" outlineLevel="0" collapsed="false"/>
    <row r="39956" customFormat="false" ht="15" hidden="false" customHeight="true" outlineLevel="0" collapsed="false"/>
    <row r="39957" customFormat="false" ht="15" hidden="false" customHeight="true" outlineLevel="0" collapsed="false"/>
    <row r="39958" customFormat="false" ht="15" hidden="false" customHeight="true" outlineLevel="0" collapsed="false"/>
    <row r="39959" customFormat="false" ht="15" hidden="false" customHeight="true" outlineLevel="0" collapsed="false"/>
    <row r="39960" customFormat="false" ht="15" hidden="false" customHeight="true" outlineLevel="0" collapsed="false"/>
    <row r="39961" customFormat="false" ht="15" hidden="false" customHeight="true" outlineLevel="0" collapsed="false"/>
    <row r="39962" customFormat="false" ht="15" hidden="false" customHeight="true" outlineLevel="0" collapsed="false"/>
    <row r="39963" customFormat="false" ht="15" hidden="false" customHeight="true" outlineLevel="0" collapsed="false"/>
    <row r="39964" customFormat="false" ht="15" hidden="false" customHeight="true" outlineLevel="0" collapsed="false"/>
    <row r="39965" customFormat="false" ht="15" hidden="false" customHeight="true" outlineLevel="0" collapsed="false"/>
    <row r="39966" customFormat="false" ht="15" hidden="false" customHeight="true" outlineLevel="0" collapsed="false"/>
    <row r="39967" customFormat="false" ht="15" hidden="false" customHeight="true" outlineLevel="0" collapsed="false"/>
    <row r="39968" customFormat="false" ht="15" hidden="false" customHeight="true" outlineLevel="0" collapsed="false"/>
    <row r="39969" customFormat="false" ht="15" hidden="false" customHeight="true" outlineLevel="0" collapsed="false"/>
    <row r="39970" customFormat="false" ht="15" hidden="false" customHeight="true" outlineLevel="0" collapsed="false"/>
    <row r="39971" customFormat="false" ht="15" hidden="false" customHeight="true" outlineLevel="0" collapsed="false"/>
    <row r="39972" customFormat="false" ht="15" hidden="false" customHeight="true" outlineLevel="0" collapsed="false"/>
    <row r="39973" customFormat="false" ht="15" hidden="false" customHeight="true" outlineLevel="0" collapsed="false"/>
    <row r="39974" customFormat="false" ht="15" hidden="false" customHeight="true" outlineLevel="0" collapsed="false"/>
    <row r="39975" customFormat="false" ht="15" hidden="false" customHeight="true" outlineLevel="0" collapsed="false"/>
    <row r="39976" customFormat="false" ht="15" hidden="false" customHeight="true" outlineLevel="0" collapsed="false"/>
    <row r="39977" customFormat="false" ht="15" hidden="false" customHeight="true" outlineLevel="0" collapsed="false"/>
    <row r="39978" customFormat="false" ht="15" hidden="false" customHeight="true" outlineLevel="0" collapsed="false"/>
    <row r="39979" customFormat="false" ht="15" hidden="false" customHeight="true" outlineLevel="0" collapsed="false"/>
    <row r="39980" customFormat="false" ht="15" hidden="false" customHeight="true" outlineLevel="0" collapsed="false"/>
    <row r="39981" customFormat="false" ht="15" hidden="false" customHeight="true" outlineLevel="0" collapsed="false"/>
    <row r="39982" customFormat="false" ht="15" hidden="false" customHeight="true" outlineLevel="0" collapsed="false"/>
    <row r="39983" customFormat="false" ht="15" hidden="false" customHeight="true" outlineLevel="0" collapsed="false"/>
    <row r="39984" customFormat="false" ht="15" hidden="false" customHeight="true" outlineLevel="0" collapsed="false"/>
    <row r="39985" customFormat="false" ht="15" hidden="false" customHeight="true" outlineLevel="0" collapsed="false"/>
    <row r="39986" customFormat="false" ht="15" hidden="false" customHeight="true" outlineLevel="0" collapsed="false"/>
    <row r="39987" customFormat="false" ht="15" hidden="false" customHeight="true" outlineLevel="0" collapsed="false"/>
    <row r="39988" customFormat="false" ht="15" hidden="false" customHeight="true" outlineLevel="0" collapsed="false"/>
    <row r="39989" customFormat="false" ht="15" hidden="false" customHeight="true" outlineLevel="0" collapsed="false"/>
    <row r="39990" customFormat="false" ht="15" hidden="false" customHeight="true" outlineLevel="0" collapsed="false"/>
    <row r="39991" customFormat="false" ht="15" hidden="false" customHeight="true" outlineLevel="0" collapsed="false"/>
    <row r="39992" customFormat="false" ht="15" hidden="false" customHeight="true" outlineLevel="0" collapsed="false"/>
    <row r="39993" customFormat="false" ht="15" hidden="false" customHeight="true" outlineLevel="0" collapsed="false"/>
    <row r="39994" customFormat="false" ht="15" hidden="false" customHeight="true" outlineLevel="0" collapsed="false"/>
    <row r="39995" customFormat="false" ht="15" hidden="false" customHeight="true" outlineLevel="0" collapsed="false"/>
    <row r="39996" customFormat="false" ht="15" hidden="false" customHeight="true" outlineLevel="0" collapsed="false"/>
    <row r="39997" customFormat="false" ht="15" hidden="false" customHeight="true" outlineLevel="0" collapsed="false"/>
    <row r="39998" customFormat="false" ht="15" hidden="false" customHeight="true" outlineLevel="0" collapsed="false"/>
    <row r="39999" customFormat="false" ht="15" hidden="false" customHeight="true" outlineLevel="0" collapsed="false"/>
    <row r="40000" customFormat="false" ht="15" hidden="false" customHeight="true" outlineLevel="0" collapsed="false"/>
    <row r="40001" customFormat="false" ht="15" hidden="false" customHeight="true" outlineLevel="0" collapsed="false"/>
    <row r="40002" customFormat="false" ht="15" hidden="false" customHeight="true" outlineLevel="0" collapsed="false"/>
    <row r="40003" customFormat="false" ht="15" hidden="false" customHeight="true" outlineLevel="0" collapsed="false"/>
    <row r="40004" customFormat="false" ht="15" hidden="false" customHeight="true" outlineLevel="0" collapsed="false"/>
    <row r="40005" customFormat="false" ht="15" hidden="false" customHeight="true" outlineLevel="0" collapsed="false"/>
    <row r="40006" customFormat="false" ht="15" hidden="false" customHeight="true" outlineLevel="0" collapsed="false"/>
    <row r="40007" customFormat="false" ht="15" hidden="false" customHeight="true" outlineLevel="0" collapsed="false"/>
    <row r="40008" customFormat="false" ht="15" hidden="false" customHeight="true" outlineLevel="0" collapsed="false"/>
    <row r="40009" customFormat="false" ht="15" hidden="false" customHeight="true" outlineLevel="0" collapsed="false"/>
    <row r="40010" customFormat="false" ht="15" hidden="false" customHeight="true" outlineLevel="0" collapsed="false"/>
    <row r="40011" customFormat="false" ht="15" hidden="false" customHeight="true" outlineLevel="0" collapsed="false"/>
    <row r="40012" customFormat="false" ht="15" hidden="false" customHeight="true" outlineLevel="0" collapsed="false"/>
    <row r="40013" customFormat="false" ht="15" hidden="false" customHeight="true" outlineLevel="0" collapsed="false"/>
    <row r="40014" customFormat="false" ht="15" hidden="false" customHeight="true" outlineLevel="0" collapsed="false"/>
    <row r="40015" customFormat="false" ht="15" hidden="false" customHeight="true" outlineLevel="0" collapsed="false"/>
    <row r="40016" customFormat="false" ht="15" hidden="false" customHeight="true" outlineLevel="0" collapsed="false"/>
    <row r="40017" customFormat="false" ht="15" hidden="false" customHeight="true" outlineLevel="0" collapsed="false"/>
    <row r="40018" customFormat="false" ht="15" hidden="false" customHeight="true" outlineLevel="0" collapsed="false"/>
    <row r="40019" customFormat="false" ht="15" hidden="false" customHeight="true" outlineLevel="0" collapsed="false"/>
    <row r="40020" customFormat="false" ht="15" hidden="false" customHeight="true" outlineLevel="0" collapsed="false"/>
    <row r="40021" customFormat="false" ht="15" hidden="false" customHeight="true" outlineLevel="0" collapsed="false"/>
    <row r="40022" customFormat="false" ht="15" hidden="false" customHeight="true" outlineLevel="0" collapsed="false"/>
    <row r="40023" customFormat="false" ht="15" hidden="false" customHeight="true" outlineLevel="0" collapsed="false"/>
    <row r="40024" customFormat="false" ht="15" hidden="false" customHeight="true" outlineLevel="0" collapsed="false"/>
    <row r="40025" customFormat="false" ht="15" hidden="false" customHeight="true" outlineLevel="0" collapsed="false"/>
    <row r="40026" customFormat="false" ht="15" hidden="false" customHeight="true" outlineLevel="0" collapsed="false"/>
    <row r="40027" customFormat="false" ht="15" hidden="false" customHeight="true" outlineLevel="0" collapsed="false"/>
    <row r="40028" customFormat="false" ht="15" hidden="false" customHeight="true" outlineLevel="0" collapsed="false"/>
    <row r="40029" customFormat="false" ht="15" hidden="false" customHeight="true" outlineLevel="0" collapsed="false"/>
    <row r="40030" customFormat="false" ht="15" hidden="false" customHeight="true" outlineLevel="0" collapsed="false"/>
    <row r="40031" customFormat="false" ht="15" hidden="false" customHeight="true" outlineLevel="0" collapsed="false"/>
    <row r="40032" customFormat="false" ht="15" hidden="false" customHeight="true" outlineLevel="0" collapsed="false"/>
    <row r="40033" customFormat="false" ht="15" hidden="false" customHeight="true" outlineLevel="0" collapsed="false"/>
    <row r="40034" customFormat="false" ht="15" hidden="false" customHeight="true" outlineLevel="0" collapsed="false"/>
    <row r="40035" customFormat="false" ht="15" hidden="false" customHeight="true" outlineLevel="0" collapsed="false"/>
    <row r="40036" customFormat="false" ht="15" hidden="false" customHeight="true" outlineLevel="0" collapsed="false"/>
    <row r="40037" customFormat="false" ht="15" hidden="false" customHeight="true" outlineLevel="0" collapsed="false"/>
    <row r="40038" customFormat="false" ht="15" hidden="false" customHeight="true" outlineLevel="0" collapsed="false"/>
    <row r="40039" customFormat="false" ht="15" hidden="false" customHeight="true" outlineLevel="0" collapsed="false"/>
    <row r="40040" customFormat="false" ht="15" hidden="false" customHeight="true" outlineLevel="0" collapsed="false"/>
    <row r="40041" customFormat="false" ht="15" hidden="false" customHeight="true" outlineLevel="0" collapsed="false"/>
    <row r="40042" customFormat="false" ht="15" hidden="false" customHeight="true" outlineLevel="0" collapsed="false"/>
    <row r="40043" customFormat="false" ht="15" hidden="false" customHeight="true" outlineLevel="0" collapsed="false"/>
    <row r="40044" customFormat="false" ht="15" hidden="false" customHeight="true" outlineLevel="0" collapsed="false"/>
    <row r="40045" customFormat="false" ht="15" hidden="false" customHeight="true" outlineLevel="0" collapsed="false"/>
    <row r="40046" customFormat="false" ht="15" hidden="false" customHeight="true" outlineLevel="0" collapsed="false"/>
    <row r="40047" customFormat="false" ht="15" hidden="false" customHeight="true" outlineLevel="0" collapsed="false"/>
    <row r="40048" customFormat="false" ht="15" hidden="false" customHeight="true" outlineLevel="0" collapsed="false"/>
    <row r="40049" customFormat="false" ht="15" hidden="false" customHeight="true" outlineLevel="0" collapsed="false"/>
    <row r="40050" customFormat="false" ht="15" hidden="false" customHeight="true" outlineLevel="0" collapsed="false"/>
    <row r="40051" customFormat="false" ht="15" hidden="false" customHeight="true" outlineLevel="0" collapsed="false"/>
    <row r="40052" customFormat="false" ht="15" hidden="false" customHeight="true" outlineLevel="0" collapsed="false"/>
    <row r="40053" customFormat="false" ht="15" hidden="false" customHeight="true" outlineLevel="0" collapsed="false"/>
    <row r="40054" customFormat="false" ht="15" hidden="false" customHeight="true" outlineLevel="0" collapsed="false"/>
    <row r="40055" customFormat="false" ht="15" hidden="false" customHeight="true" outlineLevel="0" collapsed="false"/>
    <row r="40056" customFormat="false" ht="15" hidden="false" customHeight="true" outlineLevel="0" collapsed="false"/>
    <row r="40057" customFormat="false" ht="15" hidden="false" customHeight="true" outlineLevel="0" collapsed="false"/>
    <row r="40058" customFormat="false" ht="15" hidden="false" customHeight="true" outlineLevel="0" collapsed="false"/>
    <row r="40059" customFormat="false" ht="15" hidden="false" customHeight="true" outlineLevel="0" collapsed="false"/>
    <row r="40060" customFormat="false" ht="15" hidden="false" customHeight="true" outlineLevel="0" collapsed="false"/>
    <row r="40061" customFormat="false" ht="15" hidden="false" customHeight="true" outlineLevel="0" collapsed="false"/>
    <row r="40062" customFormat="false" ht="15" hidden="false" customHeight="true" outlineLevel="0" collapsed="false"/>
    <row r="40063" customFormat="false" ht="15" hidden="false" customHeight="true" outlineLevel="0" collapsed="false"/>
    <row r="40064" customFormat="false" ht="15" hidden="false" customHeight="true" outlineLevel="0" collapsed="false"/>
    <row r="40065" customFormat="false" ht="15" hidden="false" customHeight="true" outlineLevel="0" collapsed="false"/>
    <row r="40066" customFormat="false" ht="15" hidden="false" customHeight="true" outlineLevel="0" collapsed="false"/>
    <row r="40067" customFormat="false" ht="15" hidden="false" customHeight="true" outlineLevel="0" collapsed="false"/>
    <row r="40068" customFormat="false" ht="15" hidden="false" customHeight="true" outlineLevel="0" collapsed="false"/>
    <row r="40069" customFormat="false" ht="15" hidden="false" customHeight="true" outlineLevel="0" collapsed="false"/>
    <row r="40070" customFormat="false" ht="15" hidden="false" customHeight="true" outlineLevel="0" collapsed="false"/>
    <row r="40071" customFormat="false" ht="15" hidden="false" customHeight="true" outlineLevel="0" collapsed="false"/>
    <row r="40072" customFormat="false" ht="15" hidden="false" customHeight="true" outlineLevel="0" collapsed="false"/>
    <row r="40073" customFormat="false" ht="15" hidden="false" customHeight="true" outlineLevel="0" collapsed="false"/>
    <row r="40074" customFormat="false" ht="15" hidden="false" customHeight="true" outlineLevel="0" collapsed="false"/>
    <row r="40075" customFormat="false" ht="15" hidden="false" customHeight="true" outlineLevel="0" collapsed="false"/>
    <row r="40076" customFormat="false" ht="15" hidden="false" customHeight="true" outlineLevel="0" collapsed="false"/>
    <row r="40077" customFormat="false" ht="15" hidden="false" customHeight="true" outlineLevel="0" collapsed="false"/>
    <row r="40078" customFormat="false" ht="15" hidden="false" customHeight="true" outlineLevel="0" collapsed="false"/>
    <row r="40079" customFormat="false" ht="15" hidden="false" customHeight="true" outlineLevel="0" collapsed="false"/>
    <row r="40080" customFormat="false" ht="15" hidden="false" customHeight="true" outlineLevel="0" collapsed="false"/>
    <row r="40081" customFormat="false" ht="15" hidden="false" customHeight="true" outlineLevel="0" collapsed="false"/>
    <row r="40082" customFormat="false" ht="15" hidden="false" customHeight="true" outlineLevel="0" collapsed="false"/>
    <row r="40083" customFormat="false" ht="15" hidden="false" customHeight="true" outlineLevel="0" collapsed="false"/>
    <row r="40084" customFormat="false" ht="15" hidden="false" customHeight="true" outlineLevel="0" collapsed="false"/>
    <row r="40085" customFormat="false" ht="15" hidden="false" customHeight="true" outlineLevel="0" collapsed="false"/>
    <row r="40086" customFormat="false" ht="15" hidden="false" customHeight="true" outlineLevel="0" collapsed="false"/>
    <row r="40087" customFormat="false" ht="15" hidden="false" customHeight="true" outlineLevel="0" collapsed="false"/>
    <row r="40088" customFormat="false" ht="15" hidden="false" customHeight="true" outlineLevel="0" collapsed="false"/>
    <row r="40089" customFormat="false" ht="15" hidden="false" customHeight="true" outlineLevel="0" collapsed="false"/>
    <row r="40090" customFormat="false" ht="15" hidden="false" customHeight="true" outlineLevel="0" collapsed="false"/>
    <row r="40091" customFormat="false" ht="15" hidden="false" customHeight="true" outlineLevel="0" collapsed="false"/>
    <row r="40092" customFormat="false" ht="15" hidden="false" customHeight="true" outlineLevel="0" collapsed="false"/>
    <row r="40093" customFormat="false" ht="15" hidden="false" customHeight="true" outlineLevel="0" collapsed="false"/>
    <row r="40094" customFormat="false" ht="15" hidden="false" customHeight="true" outlineLevel="0" collapsed="false"/>
    <row r="40095" customFormat="false" ht="15" hidden="false" customHeight="true" outlineLevel="0" collapsed="false"/>
    <row r="40096" customFormat="false" ht="15" hidden="false" customHeight="true" outlineLevel="0" collapsed="false"/>
    <row r="40097" customFormat="false" ht="15" hidden="false" customHeight="true" outlineLevel="0" collapsed="false"/>
    <row r="40098" customFormat="false" ht="15" hidden="false" customHeight="true" outlineLevel="0" collapsed="false"/>
    <row r="40099" customFormat="false" ht="15" hidden="false" customHeight="true" outlineLevel="0" collapsed="false"/>
    <row r="40100" customFormat="false" ht="15" hidden="false" customHeight="true" outlineLevel="0" collapsed="false"/>
    <row r="40101" customFormat="false" ht="15" hidden="false" customHeight="true" outlineLevel="0" collapsed="false"/>
    <row r="40102" customFormat="false" ht="15" hidden="false" customHeight="true" outlineLevel="0" collapsed="false"/>
    <row r="40103" customFormat="false" ht="15" hidden="false" customHeight="true" outlineLevel="0" collapsed="false"/>
    <row r="40104" customFormat="false" ht="15" hidden="false" customHeight="true" outlineLevel="0" collapsed="false"/>
    <row r="40105" customFormat="false" ht="15" hidden="false" customHeight="true" outlineLevel="0" collapsed="false"/>
    <row r="40106" customFormat="false" ht="15" hidden="false" customHeight="true" outlineLevel="0" collapsed="false"/>
    <row r="40107" customFormat="false" ht="15" hidden="false" customHeight="true" outlineLevel="0" collapsed="false"/>
    <row r="40108" customFormat="false" ht="15" hidden="false" customHeight="true" outlineLevel="0" collapsed="false"/>
    <row r="40109" customFormat="false" ht="15" hidden="false" customHeight="true" outlineLevel="0" collapsed="false"/>
    <row r="40110" customFormat="false" ht="15" hidden="false" customHeight="true" outlineLevel="0" collapsed="false"/>
    <row r="40111" customFormat="false" ht="15" hidden="false" customHeight="true" outlineLevel="0" collapsed="false"/>
    <row r="40112" customFormat="false" ht="15" hidden="false" customHeight="true" outlineLevel="0" collapsed="false"/>
    <row r="40113" customFormat="false" ht="15" hidden="false" customHeight="true" outlineLevel="0" collapsed="false"/>
    <row r="40114" customFormat="false" ht="15" hidden="false" customHeight="true" outlineLevel="0" collapsed="false"/>
    <row r="40115" customFormat="false" ht="15" hidden="false" customHeight="true" outlineLevel="0" collapsed="false"/>
    <row r="40116" customFormat="false" ht="15" hidden="false" customHeight="true" outlineLevel="0" collapsed="false"/>
    <row r="40117" customFormat="false" ht="15" hidden="false" customHeight="true" outlineLevel="0" collapsed="false"/>
    <row r="40118" customFormat="false" ht="15" hidden="false" customHeight="true" outlineLevel="0" collapsed="false"/>
    <row r="40119" customFormat="false" ht="15" hidden="false" customHeight="true" outlineLevel="0" collapsed="false"/>
    <row r="40120" customFormat="false" ht="15" hidden="false" customHeight="true" outlineLevel="0" collapsed="false"/>
    <row r="40121" customFormat="false" ht="15" hidden="false" customHeight="true" outlineLevel="0" collapsed="false"/>
    <row r="40122" customFormat="false" ht="15" hidden="false" customHeight="true" outlineLevel="0" collapsed="false"/>
    <row r="40123" customFormat="false" ht="15" hidden="false" customHeight="true" outlineLevel="0" collapsed="false"/>
    <row r="40124" customFormat="false" ht="15" hidden="false" customHeight="true" outlineLevel="0" collapsed="false"/>
    <row r="40125" customFormat="false" ht="15" hidden="false" customHeight="true" outlineLevel="0" collapsed="false"/>
    <row r="40126" customFormat="false" ht="15" hidden="false" customHeight="true" outlineLevel="0" collapsed="false"/>
    <row r="40127" customFormat="false" ht="15" hidden="false" customHeight="true" outlineLevel="0" collapsed="false"/>
    <row r="40128" customFormat="false" ht="15" hidden="false" customHeight="true" outlineLevel="0" collapsed="false"/>
    <row r="40129" customFormat="false" ht="15" hidden="false" customHeight="true" outlineLevel="0" collapsed="false"/>
    <row r="40130" customFormat="false" ht="15" hidden="false" customHeight="true" outlineLevel="0" collapsed="false"/>
    <row r="40131" customFormat="false" ht="15" hidden="false" customHeight="true" outlineLevel="0" collapsed="false"/>
    <row r="40132" customFormat="false" ht="15" hidden="false" customHeight="true" outlineLevel="0" collapsed="false"/>
    <row r="40133" customFormat="false" ht="15" hidden="false" customHeight="true" outlineLevel="0" collapsed="false"/>
    <row r="40134" customFormat="false" ht="15" hidden="false" customHeight="true" outlineLevel="0" collapsed="false"/>
    <row r="40135" customFormat="false" ht="15" hidden="false" customHeight="true" outlineLevel="0" collapsed="false"/>
    <row r="40136" customFormat="false" ht="15" hidden="false" customHeight="true" outlineLevel="0" collapsed="false"/>
    <row r="40137" customFormat="false" ht="15" hidden="false" customHeight="true" outlineLevel="0" collapsed="false"/>
    <row r="40138" customFormat="false" ht="15" hidden="false" customHeight="true" outlineLevel="0" collapsed="false"/>
    <row r="40139" customFormat="false" ht="15" hidden="false" customHeight="true" outlineLevel="0" collapsed="false"/>
    <row r="40140" customFormat="false" ht="15" hidden="false" customHeight="true" outlineLevel="0" collapsed="false"/>
    <row r="40141" customFormat="false" ht="15" hidden="false" customHeight="true" outlineLevel="0" collapsed="false"/>
    <row r="40142" customFormat="false" ht="15" hidden="false" customHeight="true" outlineLevel="0" collapsed="false"/>
    <row r="40143" customFormat="false" ht="15" hidden="false" customHeight="true" outlineLevel="0" collapsed="false"/>
    <row r="40144" customFormat="false" ht="15" hidden="false" customHeight="true" outlineLevel="0" collapsed="false"/>
    <row r="40145" customFormat="false" ht="15" hidden="false" customHeight="true" outlineLevel="0" collapsed="false"/>
    <row r="40146" customFormat="false" ht="15" hidden="false" customHeight="true" outlineLevel="0" collapsed="false"/>
    <row r="40147" customFormat="false" ht="15" hidden="false" customHeight="true" outlineLevel="0" collapsed="false"/>
    <row r="40148" customFormat="false" ht="15" hidden="false" customHeight="true" outlineLevel="0" collapsed="false"/>
    <row r="40149" customFormat="false" ht="15" hidden="false" customHeight="true" outlineLevel="0" collapsed="false"/>
    <row r="40150" customFormat="false" ht="15" hidden="false" customHeight="true" outlineLevel="0" collapsed="false"/>
    <row r="40151" customFormat="false" ht="15" hidden="false" customHeight="true" outlineLevel="0" collapsed="false"/>
    <row r="40152" customFormat="false" ht="15" hidden="false" customHeight="true" outlineLevel="0" collapsed="false"/>
    <row r="40153" customFormat="false" ht="15" hidden="false" customHeight="true" outlineLevel="0" collapsed="false"/>
    <row r="40154" customFormat="false" ht="15" hidden="false" customHeight="true" outlineLevel="0" collapsed="false"/>
    <row r="40155" customFormat="false" ht="15" hidden="false" customHeight="true" outlineLevel="0" collapsed="false"/>
    <row r="40156" customFormat="false" ht="15" hidden="false" customHeight="true" outlineLevel="0" collapsed="false"/>
    <row r="40157" customFormat="false" ht="15" hidden="false" customHeight="true" outlineLevel="0" collapsed="false"/>
    <row r="40158" customFormat="false" ht="15" hidden="false" customHeight="true" outlineLevel="0" collapsed="false"/>
    <row r="40159" customFormat="false" ht="15" hidden="false" customHeight="true" outlineLevel="0" collapsed="false"/>
    <row r="40160" customFormat="false" ht="15" hidden="false" customHeight="true" outlineLevel="0" collapsed="false"/>
    <row r="40161" customFormat="false" ht="15" hidden="false" customHeight="true" outlineLevel="0" collapsed="false"/>
    <row r="40162" customFormat="false" ht="15" hidden="false" customHeight="true" outlineLevel="0" collapsed="false"/>
    <row r="40163" customFormat="false" ht="15" hidden="false" customHeight="true" outlineLevel="0" collapsed="false"/>
    <row r="40164" customFormat="false" ht="15" hidden="false" customHeight="true" outlineLevel="0" collapsed="false"/>
    <row r="40165" customFormat="false" ht="15" hidden="false" customHeight="true" outlineLevel="0" collapsed="false"/>
    <row r="40166" customFormat="false" ht="15" hidden="false" customHeight="true" outlineLevel="0" collapsed="false"/>
    <row r="40167" customFormat="false" ht="15" hidden="false" customHeight="true" outlineLevel="0" collapsed="false"/>
    <row r="40168" customFormat="false" ht="15" hidden="false" customHeight="true" outlineLevel="0" collapsed="false"/>
    <row r="40169" customFormat="false" ht="15" hidden="false" customHeight="true" outlineLevel="0" collapsed="false"/>
    <row r="40170" customFormat="false" ht="15" hidden="false" customHeight="true" outlineLevel="0" collapsed="false"/>
    <row r="40171" customFormat="false" ht="15" hidden="false" customHeight="true" outlineLevel="0" collapsed="false"/>
    <row r="40172" customFormat="false" ht="15" hidden="false" customHeight="true" outlineLevel="0" collapsed="false"/>
    <row r="40173" customFormat="false" ht="15" hidden="false" customHeight="true" outlineLevel="0" collapsed="false"/>
    <row r="40174" customFormat="false" ht="15" hidden="false" customHeight="true" outlineLevel="0" collapsed="false"/>
    <row r="40175" customFormat="false" ht="15" hidden="false" customHeight="true" outlineLevel="0" collapsed="false"/>
    <row r="40176" customFormat="false" ht="15" hidden="false" customHeight="true" outlineLevel="0" collapsed="false"/>
    <row r="40177" customFormat="false" ht="15" hidden="false" customHeight="true" outlineLevel="0" collapsed="false"/>
    <row r="40178" customFormat="false" ht="15" hidden="false" customHeight="true" outlineLevel="0" collapsed="false"/>
    <row r="40179" customFormat="false" ht="15" hidden="false" customHeight="true" outlineLevel="0" collapsed="false"/>
    <row r="40180" customFormat="false" ht="15" hidden="false" customHeight="true" outlineLevel="0" collapsed="false"/>
    <row r="40181" customFormat="false" ht="15" hidden="false" customHeight="true" outlineLevel="0" collapsed="false"/>
    <row r="40182" customFormat="false" ht="15" hidden="false" customHeight="true" outlineLevel="0" collapsed="false"/>
    <row r="40183" customFormat="false" ht="15" hidden="false" customHeight="true" outlineLevel="0" collapsed="false"/>
    <row r="40184" customFormat="false" ht="15" hidden="false" customHeight="true" outlineLevel="0" collapsed="false"/>
    <row r="40185" customFormat="false" ht="15" hidden="false" customHeight="true" outlineLevel="0" collapsed="false"/>
    <row r="40186" customFormat="false" ht="15" hidden="false" customHeight="true" outlineLevel="0" collapsed="false"/>
    <row r="40187" customFormat="false" ht="15" hidden="false" customHeight="true" outlineLevel="0" collapsed="false"/>
    <row r="40188" customFormat="false" ht="15" hidden="false" customHeight="true" outlineLevel="0" collapsed="false"/>
    <row r="40189" customFormat="false" ht="15" hidden="false" customHeight="true" outlineLevel="0" collapsed="false"/>
    <row r="40190" customFormat="false" ht="15" hidden="false" customHeight="true" outlineLevel="0" collapsed="false"/>
    <row r="40191" customFormat="false" ht="15" hidden="false" customHeight="true" outlineLevel="0" collapsed="false"/>
    <row r="40192" customFormat="false" ht="15" hidden="false" customHeight="true" outlineLevel="0" collapsed="false"/>
    <row r="40193" customFormat="false" ht="15" hidden="false" customHeight="true" outlineLevel="0" collapsed="false"/>
    <row r="40194" customFormat="false" ht="15" hidden="false" customHeight="true" outlineLevel="0" collapsed="false"/>
    <row r="40195" customFormat="false" ht="15" hidden="false" customHeight="true" outlineLevel="0" collapsed="false"/>
    <row r="40196" customFormat="false" ht="15" hidden="false" customHeight="true" outlineLevel="0" collapsed="false"/>
    <row r="40197" customFormat="false" ht="15" hidden="false" customHeight="true" outlineLevel="0" collapsed="false"/>
    <row r="40198" customFormat="false" ht="15" hidden="false" customHeight="true" outlineLevel="0" collapsed="false"/>
    <row r="40199" customFormat="false" ht="15" hidden="false" customHeight="true" outlineLevel="0" collapsed="false"/>
    <row r="40200" customFormat="false" ht="15" hidden="false" customHeight="true" outlineLevel="0" collapsed="false"/>
    <row r="40201" customFormat="false" ht="15" hidden="false" customHeight="true" outlineLevel="0" collapsed="false"/>
    <row r="40202" customFormat="false" ht="15" hidden="false" customHeight="true" outlineLevel="0" collapsed="false"/>
    <row r="40203" customFormat="false" ht="15" hidden="false" customHeight="true" outlineLevel="0" collapsed="false"/>
    <row r="40204" customFormat="false" ht="15" hidden="false" customHeight="true" outlineLevel="0" collapsed="false"/>
    <row r="40205" customFormat="false" ht="15" hidden="false" customHeight="true" outlineLevel="0" collapsed="false"/>
    <row r="40206" customFormat="false" ht="15" hidden="false" customHeight="true" outlineLevel="0" collapsed="false"/>
    <row r="40207" customFormat="false" ht="15" hidden="false" customHeight="true" outlineLevel="0" collapsed="false"/>
    <row r="40208" customFormat="false" ht="15" hidden="false" customHeight="true" outlineLevel="0" collapsed="false"/>
    <row r="40209" customFormat="false" ht="15" hidden="false" customHeight="true" outlineLevel="0" collapsed="false"/>
    <row r="40210" customFormat="false" ht="15" hidden="false" customHeight="true" outlineLevel="0" collapsed="false"/>
    <row r="40211" customFormat="false" ht="15" hidden="false" customHeight="true" outlineLevel="0" collapsed="false"/>
    <row r="40212" customFormat="false" ht="15" hidden="false" customHeight="true" outlineLevel="0" collapsed="false"/>
    <row r="40213" customFormat="false" ht="15" hidden="false" customHeight="true" outlineLevel="0" collapsed="false"/>
    <row r="40214" customFormat="false" ht="15" hidden="false" customHeight="true" outlineLevel="0" collapsed="false"/>
    <row r="40215" customFormat="false" ht="15" hidden="false" customHeight="true" outlineLevel="0" collapsed="false"/>
    <row r="40216" customFormat="false" ht="15" hidden="false" customHeight="true" outlineLevel="0" collapsed="false"/>
    <row r="40217" customFormat="false" ht="15" hidden="false" customHeight="true" outlineLevel="0" collapsed="false"/>
    <row r="40218" customFormat="false" ht="15" hidden="false" customHeight="true" outlineLevel="0" collapsed="false"/>
    <row r="40219" customFormat="false" ht="15" hidden="false" customHeight="true" outlineLevel="0" collapsed="false"/>
    <row r="40220" customFormat="false" ht="15" hidden="false" customHeight="true" outlineLevel="0" collapsed="false"/>
    <row r="40221" customFormat="false" ht="15" hidden="false" customHeight="true" outlineLevel="0" collapsed="false"/>
    <row r="40222" customFormat="false" ht="15" hidden="false" customHeight="true" outlineLevel="0" collapsed="false"/>
    <row r="40223" customFormat="false" ht="15" hidden="false" customHeight="true" outlineLevel="0" collapsed="false"/>
    <row r="40224" customFormat="false" ht="15" hidden="false" customHeight="true" outlineLevel="0" collapsed="false"/>
    <row r="40225" customFormat="false" ht="15" hidden="false" customHeight="true" outlineLevel="0" collapsed="false"/>
    <row r="40226" customFormat="false" ht="15" hidden="false" customHeight="true" outlineLevel="0" collapsed="false"/>
    <row r="40227" customFormat="false" ht="15" hidden="false" customHeight="true" outlineLevel="0" collapsed="false"/>
    <row r="40228" customFormat="false" ht="15" hidden="false" customHeight="true" outlineLevel="0" collapsed="false"/>
    <row r="40229" customFormat="false" ht="15" hidden="false" customHeight="true" outlineLevel="0" collapsed="false"/>
    <row r="40230" customFormat="false" ht="15" hidden="false" customHeight="true" outlineLevel="0" collapsed="false"/>
    <row r="40231" customFormat="false" ht="15" hidden="false" customHeight="true" outlineLevel="0" collapsed="false"/>
    <row r="40232" customFormat="false" ht="15" hidden="false" customHeight="true" outlineLevel="0" collapsed="false"/>
    <row r="40233" customFormat="false" ht="15" hidden="false" customHeight="true" outlineLevel="0" collapsed="false"/>
    <row r="40234" customFormat="false" ht="15" hidden="false" customHeight="true" outlineLevel="0" collapsed="false"/>
    <row r="40235" customFormat="false" ht="15" hidden="false" customHeight="true" outlineLevel="0" collapsed="false"/>
    <row r="40236" customFormat="false" ht="15" hidden="false" customHeight="true" outlineLevel="0" collapsed="false"/>
    <row r="40237" customFormat="false" ht="15" hidden="false" customHeight="true" outlineLevel="0" collapsed="false"/>
    <row r="40238" customFormat="false" ht="15" hidden="false" customHeight="true" outlineLevel="0" collapsed="false"/>
    <row r="40239" customFormat="false" ht="15" hidden="false" customHeight="true" outlineLevel="0" collapsed="false"/>
    <row r="40240" customFormat="false" ht="15" hidden="false" customHeight="true" outlineLevel="0" collapsed="false"/>
    <row r="40241" customFormat="false" ht="15" hidden="false" customHeight="true" outlineLevel="0" collapsed="false"/>
    <row r="40242" customFormat="false" ht="15" hidden="false" customHeight="true" outlineLevel="0" collapsed="false"/>
    <row r="40243" customFormat="false" ht="15" hidden="false" customHeight="true" outlineLevel="0" collapsed="false"/>
    <row r="40244" customFormat="false" ht="15" hidden="false" customHeight="true" outlineLevel="0" collapsed="false"/>
    <row r="40245" customFormat="false" ht="15" hidden="false" customHeight="true" outlineLevel="0" collapsed="false"/>
    <row r="40246" customFormat="false" ht="15" hidden="false" customHeight="true" outlineLevel="0" collapsed="false"/>
    <row r="40247" customFormat="false" ht="15" hidden="false" customHeight="true" outlineLevel="0" collapsed="false"/>
    <row r="40248" customFormat="false" ht="15" hidden="false" customHeight="true" outlineLevel="0" collapsed="false"/>
    <row r="40249" customFormat="false" ht="15" hidden="false" customHeight="true" outlineLevel="0" collapsed="false"/>
    <row r="40250" customFormat="false" ht="15" hidden="false" customHeight="true" outlineLevel="0" collapsed="false"/>
    <row r="40251" customFormat="false" ht="15" hidden="false" customHeight="true" outlineLevel="0" collapsed="false"/>
    <row r="40252" customFormat="false" ht="15" hidden="false" customHeight="true" outlineLevel="0" collapsed="false"/>
    <row r="40253" customFormat="false" ht="15" hidden="false" customHeight="true" outlineLevel="0" collapsed="false"/>
    <row r="40254" customFormat="false" ht="15" hidden="false" customHeight="true" outlineLevel="0" collapsed="false"/>
    <row r="40255" customFormat="false" ht="15" hidden="false" customHeight="true" outlineLevel="0" collapsed="false"/>
    <row r="40256" customFormat="false" ht="15" hidden="false" customHeight="true" outlineLevel="0" collapsed="false"/>
    <row r="40257" customFormat="false" ht="15" hidden="false" customHeight="true" outlineLevel="0" collapsed="false"/>
    <row r="40258" customFormat="false" ht="15" hidden="false" customHeight="true" outlineLevel="0" collapsed="false"/>
    <row r="40259" customFormat="false" ht="15" hidden="false" customHeight="true" outlineLevel="0" collapsed="false"/>
    <row r="40260" customFormat="false" ht="15" hidden="false" customHeight="true" outlineLevel="0" collapsed="false"/>
    <row r="40261" customFormat="false" ht="15" hidden="false" customHeight="true" outlineLevel="0" collapsed="false"/>
    <row r="40262" customFormat="false" ht="15" hidden="false" customHeight="true" outlineLevel="0" collapsed="false"/>
    <row r="40263" customFormat="false" ht="15" hidden="false" customHeight="true" outlineLevel="0" collapsed="false"/>
    <row r="40264" customFormat="false" ht="15" hidden="false" customHeight="true" outlineLevel="0" collapsed="false"/>
    <row r="40265" customFormat="false" ht="15" hidden="false" customHeight="true" outlineLevel="0" collapsed="false"/>
    <row r="40266" customFormat="false" ht="15" hidden="false" customHeight="true" outlineLevel="0" collapsed="false"/>
    <row r="40267" customFormat="false" ht="15" hidden="false" customHeight="true" outlineLevel="0" collapsed="false"/>
    <row r="40268" customFormat="false" ht="15" hidden="false" customHeight="true" outlineLevel="0" collapsed="false"/>
    <row r="40269" customFormat="false" ht="15" hidden="false" customHeight="true" outlineLevel="0" collapsed="false"/>
    <row r="40270" customFormat="false" ht="15" hidden="false" customHeight="true" outlineLevel="0" collapsed="false"/>
    <row r="40271" customFormat="false" ht="15" hidden="false" customHeight="true" outlineLevel="0" collapsed="false"/>
    <row r="40272" customFormat="false" ht="15" hidden="false" customHeight="true" outlineLevel="0" collapsed="false"/>
    <row r="40273" customFormat="false" ht="15" hidden="false" customHeight="true" outlineLevel="0" collapsed="false"/>
    <row r="40274" customFormat="false" ht="15" hidden="false" customHeight="true" outlineLevel="0" collapsed="false"/>
    <row r="40275" customFormat="false" ht="15" hidden="false" customHeight="true" outlineLevel="0" collapsed="false"/>
    <row r="40276" customFormat="false" ht="15" hidden="false" customHeight="true" outlineLevel="0" collapsed="false"/>
    <row r="40277" customFormat="false" ht="15" hidden="false" customHeight="true" outlineLevel="0" collapsed="false"/>
    <row r="40278" customFormat="false" ht="15" hidden="false" customHeight="true" outlineLevel="0" collapsed="false"/>
    <row r="40279" customFormat="false" ht="15" hidden="false" customHeight="true" outlineLevel="0" collapsed="false"/>
    <row r="40280" customFormat="false" ht="15" hidden="false" customHeight="true" outlineLevel="0" collapsed="false"/>
    <row r="40281" customFormat="false" ht="15" hidden="false" customHeight="true" outlineLevel="0" collapsed="false"/>
    <row r="40282" customFormat="false" ht="15" hidden="false" customHeight="true" outlineLevel="0" collapsed="false"/>
    <row r="40283" customFormat="false" ht="15" hidden="false" customHeight="true" outlineLevel="0" collapsed="false"/>
    <row r="40284" customFormat="false" ht="15" hidden="false" customHeight="true" outlineLevel="0" collapsed="false"/>
    <row r="40285" customFormat="false" ht="15" hidden="false" customHeight="true" outlineLevel="0" collapsed="false"/>
    <row r="40286" customFormat="false" ht="15" hidden="false" customHeight="true" outlineLevel="0" collapsed="false"/>
    <row r="40287" customFormat="false" ht="15" hidden="false" customHeight="true" outlineLevel="0" collapsed="false"/>
    <row r="40288" customFormat="false" ht="15" hidden="false" customHeight="true" outlineLevel="0" collapsed="false"/>
    <row r="40289" customFormat="false" ht="15" hidden="false" customHeight="true" outlineLevel="0" collapsed="false"/>
    <row r="40290" customFormat="false" ht="15" hidden="false" customHeight="true" outlineLevel="0" collapsed="false"/>
    <row r="40291" customFormat="false" ht="15" hidden="false" customHeight="true" outlineLevel="0" collapsed="false"/>
    <row r="40292" customFormat="false" ht="15" hidden="false" customHeight="true" outlineLevel="0" collapsed="false"/>
    <row r="40293" customFormat="false" ht="15" hidden="false" customHeight="true" outlineLevel="0" collapsed="false"/>
    <row r="40294" customFormat="false" ht="15" hidden="false" customHeight="true" outlineLevel="0" collapsed="false"/>
    <row r="40295" customFormat="false" ht="15" hidden="false" customHeight="true" outlineLevel="0" collapsed="false"/>
    <row r="40296" customFormat="false" ht="15" hidden="false" customHeight="true" outlineLevel="0" collapsed="false"/>
    <row r="40297" customFormat="false" ht="15" hidden="false" customHeight="true" outlineLevel="0" collapsed="false"/>
    <row r="40298" customFormat="false" ht="15" hidden="false" customHeight="true" outlineLevel="0" collapsed="false"/>
    <row r="40299" customFormat="false" ht="15" hidden="false" customHeight="true" outlineLevel="0" collapsed="false"/>
    <row r="40300" customFormat="false" ht="15" hidden="false" customHeight="true" outlineLevel="0" collapsed="false"/>
    <row r="40301" customFormat="false" ht="15" hidden="false" customHeight="true" outlineLevel="0" collapsed="false"/>
    <row r="40302" customFormat="false" ht="15" hidden="false" customHeight="true" outlineLevel="0" collapsed="false"/>
    <row r="40303" customFormat="false" ht="15" hidden="false" customHeight="true" outlineLevel="0" collapsed="false"/>
    <row r="40304" customFormat="false" ht="15" hidden="false" customHeight="true" outlineLevel="0" collapsed="false"/>
    <row r="40305" customFormat="false" ht="15" hidden="false" customHeight="true" outlineLevel="0" collapsed="false"/>
    <row r="40306" customFormat="false" ht="15" hidden="false" customHeight="true" outlineLevel="0" collapsed="false"/>
    <row r="40307" customFormat="false" ht="15" hidden="false" customHeight="true" outlineLevel="0" collapsed="false"/>
    <row r="40308" customFormat="false" ht="15" hidden="false" customHeight="true" outlineLevel="0" collapsed="false"/>
    <row r="40309" customFormat="false" ht="15" hidden="false" customHeight="true" outlineLevel="0" collapsed="false"/>
    <row r="40310" customFormat="false" ht="15" hidden="false" customHeight="true" outlineLevel="0" collapsed="false"/>
    <row r="40311" customFormat="false" ht="15" hidden="false" customHeight="true" outlineLevel="0" collapsed="false"/>
    <row r="40312" customFormat="false" ht="15" hidden="false" customHeight="true" outlineLevel="0" collapsed="false"/>
    <row r="40313" customFormat="false" ht="15" hidden="false" customHeight="true" outlineLevel="0" collapsed="false"/>
    <row r="40314" customFormat="false" ht="15" hidden="false" customHeight="true" outlineLevel="0" collapsed="false"/>
    <row r="40315" customFormat="false" ht="15" hidden="false" customHeight="true" outlineLevel="0" collapsed="false"/>
    <row r="40316" customFormat="false" ht="15" hidden="false" customHeight="true" outlineLevel="0" collapsed="false"/>
    <row r="40317" customFormat="false" ht="15" hidden="false" customHeight="true" outlineLevel="0" collapsed="false"/>
    <row r="40318" customFormat="false" ht="15" hidden="false" customHeight="true" outlineLevel="0" collapsed="false"/>
    <row r="40319" customFormat="false" ht="15" hidden="false" customHeight="true" outlineLevel="0" collapsed="false"/>
    <row r="40320" customFormat="false" ht="15" hidden="false" customHeight="true" outlineLevel="0" collapsed="false"/>
    <row r="40321" customFormat="false" ht="15" hidden="false" customHeight="true" outlineLevel="0" collapsed="false"/>
    <row r="40322" customFormat="false" ht="15" hidden="false" customHeight="true" outlineLevel="0" collapsed="false"/>
    <row r="40323" customFormat="false" ht="15" hidden="false" customHeight="true" outlineLevel="0" collapsed="false"/>
    <row r="40324" customFormat="false" ht="15" hidden="false" customHeight="true" outlineLevel="0" collapsed="false"/>
    <row r="40325" customFormat="false" ht="15" hidden="false" customHeight="true" outlineLevel="0" collapsed="false"/>
    <row r="40326" customFormat="false" ht="15" hidden="false" customHeight="true" outlineLevel="0" collapsed="false"/>
    <row r="40327" customFormat="false" ht="15" hidden="false" customHeight="true" outlineLevel="0" collapsed="false"/>
    <row r="40328" customFormat="false" ht="15" hidden="false" customHeight="true" outlineLevel="0" collapsed="false"/>
    <row r="40329" customFormat="false" ht="15" hidden="false" customHeight="true" outlineLevel="0" collapsed="false"/>
    <row r="40330" customFormat="false" ht="15" hidden="false" customHeight="true" outlineLevel="0" collapsed="false"/>
    <row r="40331" customFormat="false" ht="15" hidden="false" customHeight="true" outlineLevel="0" collapsed="false"/>
    <row r="40332" customFormat="false" ht="15" hidden="false" customHeight="true" outlineLevel="0" collapsed="false"/>
    <row r="40333" customFormat="false" ht="15" hidden="false" customHeight="true" outlineLevel="0" collapsed="false"/>
    <row r="40334" customFormat="false" ht="15" hidden="false" customHeight="true" outlineLevel="0" collapsed="false"/>
    <row r="40335" customFormat="false" ht="15" hidden="false" customHeight="true" outlineLevel="0" collapsed="false"/>
    <row r="40336" customFormat="false" ht="15" hidden="false" customHeight="true" outlineLevel="0" collapsed="false"/>
    <row r="40337" customFormat="false" ht="15" hidden="false" customHeight="true" outlineLevel="0" collapsed="false"/>
    <row r="40338" customFormat="false" ht="15" hidden="false" customHeight="true" outlineLevel="0" collapsed="false"/>
    <row r="40339" customFormat="false" ht="15" hidden="false" customHeight="true" outlineLevel="0" collapsed="false"/>
    <row r="40340" customFormat="false" ht="15" hidden="false" customHeight="true" outlineLevel="0" collapsed="false"/>
    <row r="40341" customFormat="false" ht="15" hidden="false" customHeight="true" outlineLevel="0" collapsed="false"/>
    <row r="40342" customFormat="false" ht="15" hidden="false" customHeight="true" outlineLevel="0" collapsed="false"/>
    <row r="40343" customFormat="false" ht="15" hidden="false" customHeight="true" outlineLevel="0" collapsed="false"/>
    <row r="40344" customFormat="false" ht="15" hidden="false" customHeight="true" outlineLevel="0" collapsed="false"/>
    <row r="40345" customFormat="false" ht="15" hidden="false" customHeight="true" outlineLevel="0" collapsed="false"/>
    <row r="40346" customFormat="false" ht="15" hidden="false" customHeight="true" outlineLevel="0" collapsed="false"/>
    <row r="40347" customFormat="false" ht="15" hidden="false" customHeight="true" outlineLevel="0" collapsed="false"/>
    <row r="40348" customFormat="false" ht="15" hidden="false" customHeight="true" outlineLevel="0" collapsed="false"/>
    <row r="40349" customFormat="false" ht="15" hidden="false" customHeight="true" outlineLevel="0" collapsed="false"/>
    <row r="40350" customFormat="false" ht="15" hidden="false" customHeight="true" outlineLevel="0" collapsed="false"/>
    <row r="40351" customFormat="false" ht="15" hidden="false" customHeight="true" outlineLevel="0" collapsed="false"/>
    <row r="40352" customFormat="false" ht="15" hidden="false" customHeight="true" outlineLevel="0" collapsed="false"/>
    <row r="40353" customFormat="false" ht="15" hidden="false" customHeight="true" outlineLevel="0" collapsed="false"/>
    <row r="40354" customFormat="false" ht="15" hidden="false" customHeight="true" outlineLevel="0" collapsed="false"/>
    <row r="40355" customFormat="false" ht="15" hidden="false" customHeight="true" outlineLevel="0" collapsed="false"/>
    <row r="40356" customFormat="false" ht="15" hidden="false" customHeight="true" outlineLevel="0" collapsed="false"/>
    <row r="40357" customFormat="false" ht="15" hidden="false" customHeight="true" outlineLevel="0" collapsed="false"/>
    <row r="40358" customFormat="false" ht="15" hidden="false" customHeight="true" outlineLevel="0" collapsed="false"/>
    <row r="40359" customFormat="false" ht="15" hidden="false" customHeight="true" outlineLevel="0" collapsed="false"/>
    <row r="40360" customFormat="false" ht="15" hidden="false" customHeight="true" outlineLevel="0" collapsed="false"/>
    <row r="40361" customFormat="false" ht="15" hidden="false" customHeight="true" outlineLevel="0" collapsed="false"/>
    <row r="40362" customFormat="false" ht="15" hidden="false" customHeight="true" outlineLevel="0" collapsed="false"/>
    <row r="40363" customFormat="false" ht="15" hidden="false" customHeight="true" outlineLevel="0" collapsed="false"/>
    <row r="40364" customFormat="false" ht="15" hidden="false" customHeight="true" outlineLevel="0" collapsed="false"/>
    <row r="40365" customFormat="false" ht="15" hidden="false" customHeight="true" outlineLevel="0" collapsed="false"/>
    <row r="40366" customFormat="false" ht="15" hidden="false" customHeight="true" outlineLevel="0" collapsed="false"/>
    <row r="40367" customFormat="false" ht="15" hidden="false" customHeight="true" outlineLevel="0" collapsed="false"/>
    <row r="40368" customFormat="false" ht="15" hidden="false" customHeight="true" outlineLevel="0" collapsed="false"/>
    <row r="40369" customFormat="false" ht="15" hidden="false" customHeight="true" outlineLevel="0" collapsed="false"/>
    <row r="40370" customFormat="false" ht="15" hidden="false" customHeight="true" outlineLevel="0" collapsed="false"/>
    <row r="40371" customFormat="false" ht="15" hidden="false" customHeight="true" outlineLevel="0" collapsed="false"/>
    <row r="40372" customFormat="false" ht="15" hidden="false" customHeight="true" outlineLevel="0" collapsed="false"/>
    <row r="40373" customFormat="false" ht="15" hidden="false" customHeight="true" outlineLevel="0" collapsed="false"/>
    <row r="40374" customFormat="false" ht="15" hidden="false" customHeight="true" outlineLevel="0" collapsed="false"/>
    <row r="40375" customFormat="false" ht="15" hidden="false" customHeight="true" outlineLevel="0" collapsed="false"/>
    <row r="40376" customFormat="false" ht="15" hidden="false" customHeight="true" outlineLevel="0" collapsed="false"/>
    <row r="40377" customFormat="false" ht="15" hidden="false" customHeight="true" outlineLevel="0" collapsed="false"/>
    <row r="40378" customFormat="false" ht="15" hidden="false" customHeight="true" outlineLevel="0" collapsed="false"/>
    <row r="40379" customFormat="false" ht="15" hidden="false" customHeight="true" outlineLevel="0" collapsed="false"/>
    <row r="40380" customFormat="false" ht="15" hidden="false" customHeight="true" outlineLevel="0" collapsed="false"/>
    <row r="40381" customFormat="false" ht="15" hidden="false" customHeight="true" outlineLevel="0" collapsed="false"/>
    <row r="40382" customFormat="false" ht="15" hidden="false" customHeight="true" outlineLevel="0" collapsed="false"/>
    <row r="40383" customFormat="false" ht="15" hidden="false" customHeight="true" outlineLevel="0" collapsed="false"/>
    <row r="40384" customFormat="false" ht="15" hidden="false" customHeight="true" outlineLevel="0" collapsed="false"/>
    <row r="40385" customFormat="false" ht="15" hidden="false" customHeight="true" outlineLevel="0" collapsed="false"/>
    <row r="40386" customFormat="false" ht="15" hidden="false" customHeight="true" outlineLevel="0" collapsed="false"/>
    <row r="40387" customFormat="false" ht="15" hidden="false" customHeight="true" outlineLevel="0" collapsed="false"/>
    <row r="40388" customFormat="false" ht="15" hidden="false" customHeight="true" outlineLevel="0" collapsed="false"/>
    <row r="40389" customFormat="false" ht="15" hidden="false" customHeight="true" outlineLevel="0" collapsed="false"/>
    <row r="40390" customFormat="false" ht="15" hidden="false" customHeight="true" outlineLevel="0" collapsed="false"/>
    <row r="40391" customFormat="false" ht="15" hidden="false" customHeight="true" outlineLevel="0" collapsed="false"/>
    <row r="40392" customFormat="false" ht="15" hidden="false" customHeight="true" outlineLevel="0" collapsed="false"/>
    <row r="40393" customFormat="false" ht="15" hidden="false" customHeight="true" outlineLevel="0" collapsed="false"/>
    <row r="40394" customFormat="false" ht="15" hidden="false" customHeight="true" outlineLevel="0" collapsed="false"/>
    <row r="40395" customFormat="false" ht="15" hidden="false" customHeight="true" outlineLevel="0" collapsed="false"/>
    <row r="40396" customFormat="false" ht="15" hidden="false" customHeight="true" outlineLevel="0" collapsed="false"/>
    <row r="40397" customFormat="false" ht="15" hidden="false" customHeight="true" outlineLevel="0" collapsed="false"/>
    <row r="40398" customFormat="false" ht="15" hidden="false" customHeight="true" outlineLevel="0" collapsed="false"/>
    <row r="40399" customFormat="false" ht="15" hidden="false" customHeight="true" outlineLevel="0" collapsed="false"/>
    <row r="40400" customFormat="false" ht="15" hidden="false" customHeight="true" outlineLevel="0" collapsed="false"/>
    <row r="40401" customFormat="false" ht="15" hidden="false" customHeight="true" outlineLevel="0" collapsed="false"/>
    <row r="40402" customFormat="false" ht="15" hidden="false" customHeight="true" outlineLevel="0" collapsed="false"/>
    <row r="40403" customFormat="false" ht="15" hidden="false" customHeight="true" outlineLevel="0" collapsed="false"/>
    <row r="40404" customFormat="false" ht="15" hidden="false" customHeight="true" outlineLevel="0" collapsed="false"/>
    <row r="40405" customFormat="false" ht="15" hidden="false" customHeight="true" outlineLevel="0" collapsed="false"/>
    <row r="40406" customFormat="false" ht="15" hidden="false" customHeight="true" outlineLevel="0" collapsed="false"/>
    <row r="40407" customFormat="false" ht="15" hidden="false" customHeight="true" outlineLevel="0" collapsed="false"/>
    <row r="40408" customFormat="false" ht="15" hidden="false" customHeight="true" outlineLevel="0" collapsed="false"/>
    <row r="40409" customFormat="false" ht="15" hidden="false" customHeight="true" outlineLevel="0" collapsed="false"/>
    <row r="40410" customFormat="false" ht="15" hidden="false" customHeight="true" outlineLevel="0" collapsed="false"/>
    <row r="40411" customFormat="false" ht="15" hidden="false" customHeight="true" outlineLevel="0" collapsed="false"/>
    <row r="40412" customFormat="false" ht="15" hidden="false" customHeight="true" outlineLevel="0" collapsed="false"/>
    <row r="40413" customFormat="false" ht="15" hidden="false" customHeight="true" outlineLevel="0" collapsed="false"/>
    <row r="40414" customFormat="false" ht="15" hidden="false" customHeight="true" outlineLevel="0" collapsed="false"/>
    <row r="40415" customFormat="false" ht="15" hidden="false" customHeight="true" outlineLevel="0" collapsed="false"/>
    <row r="40416" customFormat="false" ht="15" hidden="false" customHeight="true" outlineLevel="0" collapsed="false"/>
    <row r="40417" customFormat="false" ht="15" hidden="false" customHeight="true" outlineLevel="0" collapsed="false"/>
    <row r="40418" customFormat="false" ht="15" hidden="false" customHeight="true" outlineLevel="0" collapsed="false"/>
    <row r="40419" customFormat="false" ht="15" hidden="false" customHeight="true" outlineLevel="0" collapsed="false"/>
    <row r="40420" customFormat="false" ht="15" hidden="false" customHeight="true" outlineLevel="0" collapsed="false"/>
    <row r="40421" customFormat="false" ht="15" hidden="false" customHeight="true" outlineLevel="0" collapsed="false"/>
    <row r="40422" customFormat="false" ht="15" hidden="false" customHeight="true" outlineLevel="0" collapsed="false"/>
    <row r="40423" customFormat="false" ht="15" hidden="false" customHeight="true" outlineLevel="0" collapsed="false"/>
    <row r="40424" customFormat="false" ht="15" hidden="false" customHeight="true" outlineLevel="0" collapsed="false"/>
    <row r="40425" customFormat="false" ht="15" hidden="false" customHeight="true" outlineLevel="0" collapsed="false"/>
    <row r="40426" customFormat="false" ht="15" hidden="false" customHeight="true" outlineLevel="0" collapsed="false"/>
    <row r="40427" customFormat="false" ht="15" hidden="false" customHeight="true" outlineLevel="0" collapsed="false"/>
    <row r="40428" customFormat="false" ht="15" hidden="false" customHeight="true" outlineLevel="0" collapsed="false"/>
    <row r="40429" customFormat="false" ht="15" hidden="false" customHeight="true" outlineLevel="0" collapsed="false"/>
    <row r="40430" customFormat="false" ht="15" hidden="false" customHeight="true" outlineLevel="0" collapsed="false"/>
    <row r="40431" customFormat="false" ht="15" hidden="false" customHeight="true" outlineLevel="0" collapsed="false"/>
    <row r="40432" customFormat="false" ht="15" hidden="false" customHeight="true" outlineLevel="0" collapsed="false"/>
    <row r="40433" customFormat="false" ht="15" hidden="false" customHeight="true" outlineLevel="0" collapsed="false"/>
    <row r="40434" customFormat="false" ht="15" hidden="false" customHeight="true" outlineLevel="0" collapsed="false"/>
    <row r="40435" customFormat="false" ht="15" hidden="false" customHeight="true" outlineLevel="0" collapsed="false"/>
    <row r="40436" customFormat="false" ht="15" hidden="false" customHeight="true" outlineLevel="0" collapsed="false"/>
    <row r="40437" customFormat="false" ht="15" hidden="false" customHeight="true" outlineLevel="0" collapsed="false"/>
    <row r="40438" customFormat="false" ht="15" hidden="false" customHeight="true" outlineLevel="0" collapsed="false"/>
    <row r="40439" customFormat="false" ht="15" hidden="false" customHeight="true" outlineLevel="0" collapsed="false"/>
    <row r="40440" customFormat="false" ht="15" hidden="false" customHeight="true" outlineLevel="0" collapsed="false"/>
    <row r="40441" customFormat="false" ht="15" hidden="false" customHeight="true" outlineLevel="0" collapsed="false"/>
    <row r="40442" customFormat="false" ht="15" hidden="false" customHeight="true" outlineLevel="0" collapsed="false"/>
    <row r="40443" customFormat="false" ht="15" hidden="false" customHeight="true" outlineLevel="0" collapsed="false"/>
    <row r="40444" customFormat="false" ht="15" hidden="false" customHeight="true" outlineLevel="0" collapsed="false"/>
    <row r="40445" customFormat="false" ht="15" hidden="false" customHeight="true" outlineLevel="0" collapsed="false"/>
    <row r="40446" customFormat="false" ht="15" hidden="false" customHeight="true" outlineLevel="0" collapsed="false"/>
    <row r="40447" customFormat="false" ht="15" hidden="false" customHeight="true" outlineLevel="0" collapsed="false"/>
    <row r="40448" customFormat="false" ht="15" hidden="false" customHeight="true" outlineLevel="0" collapsed="false"/>
    <row r="40449" customFormat="false" ht="15" hidden="false" customHeight="true" outlineLevel="0" collapsed="false"/>
    <row r="40450" customFormat="false" ht="15" hidden="false" customHeight="true" outlineLevel="0" collapsed="false"/>
    <row r="40451" customFormat="false" ht="15" hidden="false" customHeight="true" outlineLevel="0" collapsed="false"/>
    <row r="40452" customFormat="false" ht="15" hidden="false" customHeight="true" outlineLevel="0" collapsed="false"/>
    <row r="40453" customFormat="false" ht="15" hidden="false" customHeight="true" outlineLevel="0" collapsed="false"/>
    <row r="40454" customFormat="false" ht="15" hidden="false" customHeight="true" outlineLevel="0" collapsed="false"/>
    <row r="40455" customFormat="false" ht="15" hidden="false" customHeight="true" outlineLevel="0" collapsed="false"/>
    <row r="40456" customFormat="false" ht="15" hidden="false" customHeight="true" outlineLevel="0" collapsed="false"/>
    <row r="40457" customFormat="false" ht="15" hidden="false" customHeight="true" outlineLevel="0" collapsed="false"/>
    <row r="40458" customFormat="false" ht="15" hidden="false" customHeight="true" outlineLevel="0" collapsed="false"/>
    <row r="40459" customFormat="false" ht="15" hidden="false" customHeight="true" outlineLevel="0" collapsed="false"/>
    <row r="40460" customFormat="false" ht="15" hidden="false" customHeight="true" outlineLevel="0" collapsed="false"/>
    <row r="40461" customFormat="false" ht="15" hidden="false" customHeight="true" outlineLevel="0" collapsed="false"/>
    <row r="40462" customFormat="false" ht="15" hidden="false" customHeight="true" outlineLevel="0" collapsed="false"/>
    <row r="40463" customFormat="false" ht="15" hidden="false" customHeight="true" outlineLevel="0" collapsed="false"/>
    <row r="40464" customFormat="false" ht="15" hidden="false" customHeight="true" outlineLevel="0" collapsed="false"/>
    <row r="40465" customFormat="false" ht="15" hidden="false" customHeight="true" outlineLevel="0" collapsed="false"/>
    <row r="40466" customFormat="false" ht="15" hidden="false" customHeight="true" outlineLevel="0" collapsed="false"/>
    <row r="40467" customFormat="false" ht="15" hidden="false" customHeight="true" outlineLevel="0" collapsed="false"/>
    <row r="40468" customFormat="false" ht="15" hidden="false" customHeight="true" outlineLevel="0" collapsed="false"/>
    <row r="40469" customFormat="false" ht="15" hidden="false" customHeight="true" outlineLevel="0" collapsed="false"/>
    <row r="40470" customFormat="false" ht="15" hidden="false" customHeight="true" outlineLevel="0" collapsed="false"/>
    <row r="40471" customFormat="false" ht="15" hidden="false" customHeight="true" outlineLevel="0" collapsed="false"/>
    <row r="40472" customFormat="false" ht="15" hidden="false" customHeight="true" outlineLevel="0" collapsed="false"/>
    <row r="40473" customFormat="false" ht="15" hidden="false" customHeight="true" outlineLevel="0" collapsed="false"/>
    <row r="40474" customFormat="false" ht="15" hidden="false" customHeight="true" outlineLevel="0" collapsed="false"/>
    <row r="40475" customFormat="false" ht="15" hidden="false" customHeight="true" outlineLevel="0" collapsed="false"/>
    <row r="40476" customFormat="false" ht="15" hidden="false" customHeight="true" outlineLevel="0" collapsed="false"/>
    <row r="40477" customFormat="false" ht="15" hidden="false" customHeight="true" outlineLevel="0" collapsed="false"/>
    <row r="40478" customFormat="false" ht="15" hidden="false" customHeight="true" outlineLevel="0" collapsed="false"/>
    <row r="40479" customFormat="false" ht="15" hidden="false" customHeight="true" outlineLevel="0" collapsed="false"/>
    <row r="40480" customFormat="false" ht="15" hidden="false" customHeight="true" outlineLevel="0" collapsed="false"/>
    <row r="40481" customFormat="false" ht="15" hidden="false" customHeight="true" outlineLevel="0" collapsed="false"/>
    <row r="40482" customFormat="false" ht="15" hidden="false" customHeight="true" outlineLevel="0" collapsed="false"/>
    <row r="40483" customFormat="false" ht="15" hidden="false" customHeight="true" outlineLevel="0" collapsed="false"/>
    <row r="40484" customFormat="false" ht="15" hidden="false" customHeight="true" outlineLevel="0" collapsed="false"/>
    <row r="40485" customFormat="false" ht="15" hidden="false" customHeight="true" outlineLevel="0" collapsed="false"/>
    <row r="40486" customFormat="false" ht="15" hidden="false" customHeight="true" outlineLevel="0" collapsed="false"/>
    <row r="40487" customFormat="false" ht="15" hidden="false" customHeight="true" outlineLevel="0" collapsed="false"/>
    <row r="40488" customFormat="false" ht="15" hidden="false" customHeight="true" outlineLevel="0" collapsed="false"/>
    <row r="40489" customFormat="false" ht="15" hidden="false" customHeight="true" outlineLevel="0" collapsed="false"/>
    <row r="40490" customFormat="false" ht="15" hidden="false" customHeight="true" outlineLevel="0" collapsed="false"/>
    <row r="40491" customFormat="false" ht="15" hidden="false" customHeight="true" outlineLevel="0" collapsed="false"/>
    <row r="40492" customFormat="false" ht="15" hidden="false" customHeight="true" outlineLevel="0" collapsed="false"/>
    <row r="40493" customFormat="false" ht="15" hidden="false" customHeight="true" outlineLevel="0" collapsed="false"/>
    <row r="40494" customFormat="false" ht="15" hidden="false" customHeight="true" outlineLevel="0" collapsed="false"/>
    <row r="40495" customFormat="false" ht="15" hidden="false" customHeight="true" outlineLevel="0" collapsed="false"/>
    <row r="40496" customFormat="false" ht="15" hidden="false" customHeight="true" outlineLevel="0" collapsed="false"/>
    <row r="40497" customFormat="false" ht="15" hidden="false" customHeight="true" outlineLevel="0" collapsed="false"/>
    <row r="40498" customFormat="false" ht="15" hidden="false" customHeight="true" outlineLevel="0" collapsed="false"/>
    <row r="40499" customFormat="false" ht="15" hidden="false" customHeight="true" outlineLevel="0" collapsed="false"/>
    <row r="40500" customFormat="false" ht="15" hidden="false" customHeight="true" outlineLevel="0" collapsed="false"/>
    <row r="40501" customFormat="false" ht="15" hidden="false" customHeight="true" outlineLevel="0" collapsed="false"/>
    <row r="40502" customFormat="false" ht="15" hidden="false" customHeight="true" outlineLevel="0" collapsed="false"/>
    <row r="40503" customFormat="false" ht="15" hidden="false" customHeight="true" outlineLevel="0" collapsed="false"/>
    <row r="40504" customFormat="false" ht="15" hidden="false" customHeight="true" outlineLevel="0" collapsed="false"/>
    <row r="40505" customFormat="false" ht="15" hidden="false" customHeight="true" outlineLevel="0" collapsed="false"/>
    <row r="40506" customFormat="false" ht="15" hidden="false" customHeight="true" outlineLevel="0" collapsed="false"/>
    <row r="40507" customFormat="false" ht="15" hidden="false" customHeight="true" outlineLevel="0" collapsed="false"/>
    <row r="40508" customFormat="false" ht="15" hidden="false" customHeight="true" outlineLevel="0" collapsed="false"/>
    <row r="40509" customFormat="false" ht="15" hidden="false" customHeight="true" outlineLevel="0" collapsed="false"/>
    <row r="40510" customFormat="false" ht="15" hidden="false" customHeight="true" outlineLevel="0" collapsed="false"/>
    <row r="40511" customFormat="false" ht="15" hidden="false" customHeight="true" outlineLevel="0" collapsed="false"/>
    <row r="40512" customFormat="false" ht="15" hidden="false" customHeight="true" outlineLevel="0" collapsed="false"/>
    <row r="40513" customFormat="false" ht="15" hidden="false" customHeight="true" outlineLevel="0" collapsed="false"/>
    <row r="40514" customFormat="false" ht="15" hidden="false" customHeight="true" outlineLevel="0" collapsed="false"/>
    <row r="40515" customFormat="false" ht="15" hidden="false" customHeight="true" outlineLevel="0" collapsed="false"/>
    <row r="40516" customFormat="false" ht="15" hidden="false" customHeight="true" outlineLevel="0" collapsed="false"/>
    <row r="40517" customFormat="false" ht="15" hidden="false" customHeight="true" outlineLevel="0" collapsed="false"/>
    <row r="40518" customFormat="false" ht="15" hidden="false" customHeight="true" outlineLevel="0" collapsed="false"/>
    <row r="40519" customFormat="false" ht="15" hidden="false" customHeight="true" outlineLevel="0" collapsed="false"/>
    <row r="40520" customFormat="false" ht="15" hidden="false" customHeight="true" outlineLevel="0" collapsed="false"/>
    <row r="40521" customFormat="false" ht="15" hidden="false" customHeight="true" outlineLevel="0" collapsed="false"/>
    <row r="40522" customFormat="false" ht="15" hidden="false" customHeight="true" outlineLevel="0" collapsed="false"/>
    <row r="40523" customFormat="false" ht="15" hidden="false" customHeight="true" outlineLevel="0" collapsed="false"/>
    <row r="40524" customFormat="false" ht="15" hidden="false" customHeight="true" outlineLevel="0" collapsed="false"/>
    <row r="40525" customFormat="false" ht="15" hidden="false" customHeight="true" outlineLevel="0" collapsed="false"/>
    <row r="40526" customFormat="false" ht="15" hidden="false" customHeight="true" outlineLevel="0" collapsed="false"/>
    <row r="40527" customFormat="false" ht="15" hidden="false" customHeight="true" outlineLevel="0" collapsed="false"/>
    <row r="40528" customFormat="false" ht="15" hidden="false" customHeight="true" outlineLevel="0" collapsed="false"/>
    <row r="40529" customFormat="false" ht="15" hidden="false" customHeight="true" outlineLevel="0" collapsed="false"/>
    <row r="40530" customFormat="false" ht="15" hidden="false" customHeight="true" outlineLevel="0" collapsed="false"/>
    <row r="40531" customFormat="false" ht="15" hidden="false" customHeight="true" outlineLevel="0" collapsed="false"/>
    <row r="40532" customFormat="false" ht="15" hidden="false" customHeight="true" outlineLevel="0" collapsed="false"/>
    <row r="40533" customFormat="false" ht="15" hidden="false" customHeight="true" outlineLevel="0" collapsed="false"/>
    <row r="40534" customFormat="false" ht="15" hidden="false" customHeight="true" outlineLevel="0" collapsed="false"/>
    <row r="40535" customFormat="false" ht="15" hidden="false" customHeight="true" outlineLevel="0" collapsed="false"/>
    <row r="40536" customFormat="false" ht="15" hidden="false" customHeight="true" outlineLevel="0" collapsed="false"/>
    <row r="40537" customFormat="false" ht="15" hidden="false" customHeight="true" outlineLevel="0" collapsed="false"/>
    <row r="40538" customFormat="false" ht="15" hidden="false" customHeight="true" outlineLevel="0" collapsed="false"/>
    <row r="40539" customFormat="false" ht="15" hidden="false" customHeight="true" outlineLevel="0" collapsed="false"/>
    <row r="40540" customFormat="false" ht="15" hidden="false" customHeight="true" outlineLevel="0" collapsed="false"/>
    <row r="40541" customFormat="false" ht="15" hidden="false" customHeight="true" outlineLevel="0" collapsed="false"/>
    <row r="40542" customFormat="false" ht="15" hidden="false" customHeight="true" outlineLevel="0" collapsed="false"/>
    <row r="40543" customFormat="false" ht="15" hidden="false" customHeight="true" outlineLevel="0" collapsed="false"/>
    <row r="40544" customFormat="false" ht="15" hidden="false" customHeight="true" outlineLevel="0" collapsed="false"/>
    <row r="40545" customFormat="false" ht="15" hidden="false" customHeight="true" outlineLevel="0" collapsed="false"/>
    <row r="40546" customFormat="false" ht="15" hidden="false" customHeight="true" outlineLevel="0" collapsed="false"/>
    <row r="40547" customFormat="false" ht="15" hidden="false" customHeight="true" outlineLevel="0" collapsed="false"/>
    <row r="40548" customFormat="false" ht="15" hidden="false" customHeight="true" outlineLevel="0" collapsed="false"/>
    <row r="40549" customFormat="false" ht="15" hidden="false" customHeight="true" outlineLevel="0" collapsed="false"/>
    <row r="40550" customFormat="false" ht="15" hidden="false" customHeight="true" outlineLevel="0" collapsed="false"/>
    <row r="40551" customFormat="false" ht="15" hidden="false" customHeight="true" outlineLevel="0" collapsed="false"/>
    <row r="40552" customFormat="false" ht="15" hidden="false" customHeight="true" outlineLevel="0" collapsed="false"/>
    <row r="40553" customFormat="false" ht="15" hidden="false" customHeight="true" outlineLevel="0" collapsed="false"/>
    <row r="40554" customFormat="false" ht="15" hidden="false" customHeight="true" outlineLevel="0" collapsed="false"/>
    <row r="40555" customFormat="false" ht="15" hidden="false" customHeight="true" outlineLevel="0" collapsed="false"/>
    <row r="40556" customFormat="false" ht="15" hidden="false" customHeight="true" outlineLevel="0" collapsed="false"/>
    <row r="40557" customFormat="false" ht="15" hidden="false" customHeight="true" outlineLevel="0" collapsed="false"/>
    <row r="40558" customFormat="false" ht="15" hidden="false" customHeight="true" outlineLevel="0" collapsed="false"/>
    <row r="40559" customFormat="false" ht="15" hidden="false" customHeight="true" outlineLevel="0" collapsed="false"/>
    <row r="40560" customFormat="false" ht="15" hidden="false" customHeight="true" outlineLevel="0" collapsed="false"/>
    <row r="40561" customFormat="false" ht="15" hidden="false" customHeight="true" outlineLevel="0" collapsed="false"/>
    <row r="40562" customFormat="false" ht="15" hidden="false" customHeight="true" outlineLevel="0" collapsed="false"/>
    <row r="40563" customFormat="false" ht="15" hidden="false" customHeight="true" outlineLevel="0" collapsed="false"/>
    <row r="40564" customFormat="false" ht="15" hidden="false" customHeight="true" outlineLevel="0" collapsed="false"/>
    <row r="40565" customFormat="false" ht="15" hidden="false" customHeight="true" outlineLevel="0" collapsed="false"/>
    <row r="40566" customFormat="false" ht="15" hidden="false" customHeight="true" outlineLevel="0" collapsed="false"/>
    <row r="40567" customFormat="false" ht="15" hidden="false" customHeight="true" outlineLevel="0" collapsed="false"/>
    <row r="40568" customFormat="false" ht="15" hidden="false" customHeight="true" outlineLevel="0" collapsed="false"/>
    <row r="40569" customFormat="false" ht="15" hidden="false" customHeight="true" outlineLevel="0" collapsed="false"/>
    <row r="40570" customFormat="false" ht="15" hidden="false" customHeight="true" outlineLevel="0" collapsed="false"/>
    <row r="40571" customFormat="false" ht="15" hidden="false" customHeight="true" outlineLevel="0" collapsed="false"/>
    <row r="40572" customFormat="false" ht="15" hidden="false" customHeight="true" outlineLevel="0" collapsed="false"/>
    <row r="40573" customFormat="false" ht="15" hidden="false" customHeight="true" outlineLevel="0" collapsed="false"/>
    <row r="40574" customFormat="false" ht="15" hidden="false" customHeight="true" outlineLevel="0" collapsed="false"/>
    <row r="40575" customFormat="false" ht="15" hidden="false" customHeight="true" outlineLevel="0" collapsed="false"/>
    <row r="40576" customFormat="false" ht="15" hidden="false" customHeight="true" outlineLevel="0" collapsed="false"/>
    <row r="40577" customFormat="false" ht="15" hidden="false" customHeight="true" outlineLevel="0" collapsed="false"/>
    <row r="40578" customFormat="false" ht="15" hidden="false" customHeight="true" outlineLevel="0" collapsed="false"/>
    <row r="40579" customFormat="false" ht="15" hidden="false" customHeight="true" outlineLevel="0" collapsed="false"/>
    <row r="40580" customFormat="false" ht="15" hidden="false" customHeight="true" outlineLevel="0" collapsed="false"/>
    <row r="40581" customFormat="false" ht="15" hidden="false" customHeight="true" outlineLevel="0" collapsed="false"/>
    <row r="40582" customFormat="false" ht="15" hidden="false" customHeight="true" outlineLevel="0" collapsed="false"/>
    <row r="40583" customFormat="false" ht="15" hidden="false" customHeight="true" outlineLevel="0" collapsed="false"/>
    <row r="40584" customFormat="false" ht="15" hidden="false" customHeight="true" outlineLevel="0" collapsed="false"/>
    <row r="40585" customFormat="false" ht="15" hidden="false" customHeight="true" outlineLevel="0" collapsed="false"/>
    <row r="40586" customFormat="false" ht="15" hidden="false" customHeight="true" outlineLevel="0" collapsed="false"/>
    <row r="40587" customFormat="false" ht="15" hidden="false" customHeight="true" outlineLevel="0" collapsed="false"/>
    <row r="40588" customFormat="false" ht="15" hidden="false" customHeight="true" outlineLevel="0" collapsed="false"/>
    <row r="40589" customFormat="false" ht="15" hidden="false" customHeight="true" outlineLevel="0" collapsed="false"/>
    <row r="40590" customFormat="false" ht="15" hidden="false" customHeight="true" outlineLevel="0" collapsed="false"/>
    <row r="40591" customFormat="false" ht="15" hidden="false" customHeight="true" outlineLevel="0" collapsed="false"/>
    <row r="40592" customFormat="false" ht="15" hidden="false" customHeight="true" outlineLevel="0" collapsed="false"/>
    <row r="40593" customFormat="false" ht="15" hidden="false" customHeight="true" outlineLevel="0" collapsed="false"/>
    <row r="40594" customFormat="false" ht="15" hidden="false" customHeight="true" outlineLevel="0" collapsed="false"/>
    <row r="40595" customFormat="false" ht="15" hidden="false" customHeight="true" outlineLevel="0" collapsed="false"/>
    <row r="40596" customFormat="false" ht="15" hidden="false" customHeight="true" outlineLevel="0" collapsed="false"/>
    <row r="40597" customFormat="false" ht="15" hidden="false" customHeight="true" outlineLevel="0" collapsed="false"/>
    <row r="40598" customFormat="false" ht="15" hidden="false" customHeight="true" outlineLevel="0" collapsed="false"/>
    <row r="40599" customFormat="false" ht="15" hidden="false" customHeight="true" outlineLevel="0" collapsed="false"/>
    <row r="40600" customFormat="false" ht="15" hidden="false" customHeight="true" outlineLevel="0" collapsed="false"/>
    <row r="40601" customFormat="false" ht="15" hidden="false" customHeight="true" outlineLevel="0" collapsed="false"/>
    <row r="40602" customFormat="false" ht="15" hidden="false" customHeight="true" outlineLevel="0" collapsed="false"/>
    <row r="40603" customFormat="false" ht="15" hidden="false" customHeight="true" outlineLevel="0" collapsed="false"/>
    <row r="40604" customFormat="false" ht="15" hidden="false" customHeight="true" outlineLevel="0" collapsed="false"/>
    <row r="40605" customFormat="false" ht="15" hidden="false" customHeight="true" outlineLevel="0" collapsed="false"/>
    <row r="40606" customFormat="false" ht="15" hidden="false" customHeight="true" outlineLevel="0" collapsed="false"/>
    <row r="40607" customFormat="false" ht="15" hidden="false" customHeight="true" outlineLevel="0" collapsed="false"/>
    <row r="40608" customFormat="false" ht="15" hidden="false" customHeight="true" outlineLevel="0" collapsed="false"/>
    <row r="40609" customFormat="false" ht="15" hidden="false" customHeight="true" outlineLevel="0" collapsed="false"/>
    <row r="40610" customFormat="false" ht="15" hidden="false" customHeight="true" outlineLevel="0" collapsed="false"/>
    <row r="40611" customFormat="false" ht="15" hidden="false" customHeight="true" outlineLevel="0" collapsed="false"/>
    <row r="40612" customFormat="false" ht="15" hidden="false" customHeight="true" outlineLevel="0" collapsed="false"/>
    <row r="40613" customFormat="false" ht="15" hidden="false" customHeight="true" outlineLevel="0" collapsed="false"/>
    <row r="40614" customFormat="false" ht="15" hidden="false" customHeight="true" outlineLevel="0" collapsed="false"/>
    <row r="40615" customFormat="false" ht="15" hidden="false" customHeight="true" outlineLevel="0" collapsed="false"/>
    <row r="40616" customFormat="false" ht="15" hidden="false" customHeight="true" outlineLevel="0" collapsed="false"/>
    <row r="40617" customFormat="false" ht="15" hidden="false" customHeight="true" outlineLevel="0" collapsed="false"/>
    <row r="40618" customFormat="false" ht="15" hidden="false" customHeight="true" outlineLevel="0" collapsed="false"/>
    <row r="40619" customFormat="false" ht="15" hidden="false" customHeight="true" outlineLevel="0" collapsed="false"/>
    <row r="40620" customFormat="false" ht="15" hidden="false" customHeight="true" outlineLevel="0" collapsed="false"/>
    <row r="40621" customFormat="false" ht="15" hidden="false" customHeight="true" outlineLevel="0" collapsed="false"/>
    <row r="40622" customFormat="false" ht="15" hidden="false" customHeight="true" outlineLevel="0" collapsed="false"/>
    <row r="40623" customFormat="false" ht="15" hidden="false" customHeight="true" outlineLevel="0" collapsed="false"/>
    <row r="40624" customFormat="false" ht="15" hidden="false" customHeight="true" outlineLevel="0" collapsed="false"/>
    <row r="40625" customFormat="false" ht="15" hidden="false" customHeight="true" outlineLevel="0" collapsed="false"/>
    <row r="40626" customFormat="false" ht="15" hidden="false" customHeight="true" outlineLevel="0" collapsed="false"/>
    <row r="40627" customFormat="false" ht="15" hidden="false" customHeight="true" outlineLevel="0" collapsed="false"/>
    <row r="40628" customFormat="false" ht="15" hidden="false" customHeight="true" outlineLevel="0" collapsed="false"/>
    <row r="40629" customFormat="false" ht="15" hidden="false" customHeight="true" outlineLevel="0" collapsed="false"/>
    <row r="40630" customFormat="false" ht="15" hidden="false" customHeight="true" outlineLevel="0" collapsed="false"/>
    <row r="40631" customFormat="false" ht="15" hidden="false" customHeight="true" outlineLevel="0" collapsed="false"/>
    <row r="40632" customFormat="false" ht="15" hidden="false" customHeight="true" outlineLevel="0" collapsed="false"/>
    <row r="40633" customFormat="false" ht="15" hidden="false" customHeight="true" outlineLevel="0" collapsed="false"/>
    <row r="40634" customFormat="false" ht="15" hidden="false" customHeight="true" outlineLevel="0" collapsed="false"/>
    <row r="40635" customFormat="false" ht="15" hidden="false" customHeight="true" outlineLevel="0" collapsed="false"/>
    <row r="40636" customFormat="false" ht="15" hidden="false" customHeight="true" outlineLevel="0" collapsed="false"/>
    <row r="40637" customFormat="false" ht="15" hidden="false" customHeight="true" outlineLevel="0" collapsed="false"/>
    <row r="40638" customFormat="false" ht="15" hidden="false" customHeight="true" outlineLevel="0" collapsed="false"/>
    <row r="40639" customFormat="false" ht="15" hidden="false" customHeight="true" outlineLevel="0" collapsed="false"/>
    <row r="40640" customFormat="false" ht="15" hidden="false" customHeight="true" outlineLevel="0" collapsed="false"/>
    <row r="40641" customFormat="false" ht="15" hidden="false" customHeight="true" outlineLevel="0" collapsed="false"/>
    <row r="40642" customFormat="false" ht="15" hidden="false" customHeight="true" outlineLevel="0" collapsed="false"/>
    <row r="40643" customFormat="false" ht="15" hidden="false" customHeight="true" outlineLevel="0" collapsed="false"/>
    <row r="40644" customFormat="false" ht="15" hidden="false" customHeight="true" outlineLevel="0" collapsed="false"/>
    <row r="40645" customFormat="false" ht="15" hidden="false" customHeight="true" outlineLevel="0" collapsed="false"/>
    <row r="40646" customFormat="false" ht="15" hidden="false" customHeight="true" outlineLevel="0" collapsed="false"/>
    <row r="40647" customFormat="false" ht="15" hidden="false" customHeight="true" outlineLevel="0" collapsed="false"/>
    <row r="40648" customFormat="false" ht="15" hidden="false" customHeight="true" outlineLevel="0" collapsed="false"/>
    <row r="40649" customFormat="false" ht="15" hidden="false" customHeight="true" outlineLevel="0" collapsed="false"/>
    <row r="40650" customFormat="false" ht="15" hidden="false" customHeight="true" outlineLevel="0" collapsed="false"/>
    <row r="40651" customFormat="false" ht="15" hidden="false" customHeight="true" outlineLevel="0" collapsed="false"/>
    <row r="40652" customFormat="false" ht="15" hidden="false" customHeight="true" outlineLevel="0" collapsed="false"/>
    <row r="40653" customFormat="false" ht="15" hidden="false" customHeight="true" outlineLevel="0" collapsed="false"/>
    <row r="40654" customFormat="false" ht="15" hidden="false" customHeight="true" outlineLevel="0" collapsed="false"/>
    <row r="40655" customFormat="false" ht="15" hidden="false" customHeight="true" outlineLevel="0" collapsed="false"/>
    <row r="40656" customFormat="false" ht="15" hidden="false" customHeight="true" outlineLevel="0" collapsed="false"/>
    <row r="40657" customFormat="false" ht="15" hidden="false" customHeight="true" outlineLevel="0" collapsed="false"/>
    <row r="40658" customFormat="false" ht="15" hidden="false" customHeight="true" outlineLevel="0" collapsed="false"/>
    <row r="40659" customFormat="false" ht="15" hidden="false" customHeight="true" outlineLevel="0" collapsed="false"/>
    <row r="40660" customFormat="false" ht="15" hidden="false" customHeight="true" outlineLevel="0" collapsed="false"/>
    <row r="40661" customFormat="false" ht="15" hidden="false" customHeight="true" outlineLevel="0" collapsed="false"/>
    <row r="40662" customFormat="false" ht="15" hidden="false" customHeight="true" outlineLevel="0" collapsed="false"/>
    <row r="40663" customFormat="false" ht="15" hidden="false" customHeight="true" outlineLevel="0" collapsed="false"/>
    <row r="40664" customFormat="false" ht="15" hidden="false" customHeight="true" outlineLevel="0" collapsed="false"/>
    <row r="40665" customFormat="false" ht="15" hidden="false" customHeight="true" outlineLevel="0" collapsed="false"/>
    <row r="40666" customFormat="false" ht="15" hidden="false" customHeight="true" outlineLevel="0" collapsed="false"/>
    <row r="40667" customFormat="false" ht="15" hidden="false" customHeight="true" outlineLevel="0" collapsed="false"/>
    <row r="40668" customFormat="false" ht="15" hidden="false" customHeight="true" outlineLevel="0" collapsed="false"/>
    <row r="40669" customFormat="false" ht="15" hidden="false" customHeight="true" outlineLevel="0" collapsed="false"/>
    <row r="40670" customFormat="false" ht="15" hidden="false" customHeight="true" outlineLevel="0" collapsed="false"/>
    <row r="40671" customFormat="false" ht="15" hidden="false" customHeight="true" outlineLevel="0" collapsed="false"/>
    <row r="40672" customFormat="false" ht="15" hidden="false" customHeight="true" outlineLevel="0" collapsed="false"/>
    <row r="40673" customFormat="false" ht="15" hidden="false" customHeight="true" outlineLevel="0" collapsed="false"/>
    <row r="40674" customFormat="false" ht="15" hidden="false" customHeight="true" outlineLevel="0" collapsed="false"/>
    <row r="40675" customFormat="false" ht="15" hidden="false" customHeight="true" outlineLevel="0" collapsed="false"/>
    <row r="40676" customFormat="false" ht="15" hidden="false" customHeight="true" outlineLevel="0" collapsed="false"/>
    <row r="40677" customFormat="false" ht="15" hidden="false" customHeight="true" outlineLevel="0" collapsed="false"/>
    <row r="40678" customFormat="false" ht="15" hidden="false" customHeight="true" outlineLevel="0" collapsed="false"/>
    <row r="40679" customFormat="false" ht="15" hidden="false" customHeight="true" outlineLevel="0" collapsed="false"/>
    <row r="40680" customFormat="false" ht="15" hidden="false" customHeight="true" outlineLevel="0" collapsed="false"/>
    <row r="40681" customFormat="false" ht="15" hidden="false" customHeight="true" outlineLevel="0" collapsed="false"/>
    <row r="40682" customFormat="false" ht="15" hidden="false" customHeight="true" outlineLevel="0" collapsed="false"/>
    <row r="40683" customFormat="false" ht="15" hidden="false" customHeight="true" outlineLevel="0" collapsed="false"/>
    <row r="40684" customFormat="false" ht="15" hidden="false" customHeight="true" outlineLevel="0" collapsed="false"/>
    <row r="40685" customFormat="false" ht="15" hidden="false" customHeight="true" outlineLevel="0" collapsed="false"/>
    <row r="40686" customFormat="false" ht="15" hidden="false" customHeight="true" outlineLevel="0" collapsed="false"/>
    <row r="40687" customFormat="false" ht="15" hidden="false" customHeight="true" outlineLevel="0" collapsed="false"/>
    <row r="40688" customFormat="false" ht="15" hidden="false" customHeight="true" outlineLevel="0" collapsed="false"/>
    <row r="40689" customFormat="false" ht="15" hidden="false" customHeight="true" outlineLevel="0" collapsed="false"/>
    <row r="40690" customFormat="false" ht="15" hidden="false" customHeight="true" outlineLevel="0" collapsed="false"/>
    <row r="40691" customFormat="false" ht="15" hidden="false" customHeight="true" outlineLevel="0" collapsed="false"/>
    <row r="40692" customFormat="false" ht="15" hidden="false" customHeight="true" outlineLevel="0" collapsed="false"/>
    <row r="40693" customFormat="false" ht="15" hidden="false" customHeight="true" outlineLevel="0" collapsed="false"/>
    <row r="40694" customFormat="false" ht="15" hidden="false" customHeight="true" outlineLevel="0" collapsed="false"/>
    <row r="40695" customFormat="false" ht="15" hidden="false" customHeight="true" outlineLevel="0" collapsed="false"/>
    <row r="40696" customFormat="false" ht="15" hidden="false" customHeight="true" outlineLevel="0" collapsed="false"/>
    <row r="40697" customFormat="false" ht="15" hidden="false" customHeight="true" outlineLevel="0" collapsed="false"/>
    <row r="40698" customFormat="false" ht="15" hidden="false" customHeight="true" outlineLevel="0" collapsed="false"/>
    <row r="40699" customFormat="false" ht="15" hidden="false" customHeight="true" outlineLevel="0" collapsed="false"/>
    <row r="40700" customFormat="false" ht="15" hidden="false" customHeight="true" outlineLevel="0" collapsed="false"/>
    <row r="40701" customFormat="false" ht="15" hidden="false" customHeight="true" outlineLevel="0" collapsed="false"/>
    <row r="40702" customFormat="false" ht="15" hidden="false" customHeight="true" outlineLevel="0" collapsed="false"/>
    <row r="40703" customFormat="false" ht="15" hidden="false" customHeight="true" outlineLevel="0" collapsed="false"/>
    <row r="40704" customFormat="false" ht="15" hidden="false" customHeight="true" outlineLevel="0" collapsed="false"/>
    <row r="40705" customFormat="false" ht="15" hidden="false" customHeight="true" outlineLevel="0" collapsed="false"/>
    <row r="40706" customFormat="false" ht="15" hidden="false" customHeight="true" outlineLevel="0" collapsed="false"/>
    <row r="40707" customFormat="false" ht="15" hidden="false" customHeight="true" outlineLevel="0" collapsed="false"/>
    <row r="40708" customFormat="false" ht="15" hidden="false" customHeight="true" outlineLevel="0" collapsed="false"/>
    <row r="40709" customFormat="false" ht="15" hidden="false" customHeight="true" outlineLevel="0" collapsed="false"/>
    <row r="40710" customFormat="false" ht="15" hidden="false" customHeight="true" outlineLevel="0" collapsed="false"/>
    <row r="40711" customFormat="false" ht="15" hidden="false" customHeight="true" outlineLevel="0" collapsed="false"/>
    <row r="40712" customFormat="false" ht="15" hidden="false" customHeight="true" outlineLevel="0" collapsed="false"/>
    <row r="40713" customFormat="false" ht="15" hidden="false" customHeight="true" outlineLevel="0" collapsed="false"/>
    <row r="40714" customFormat="false" ht="15" hidden="false" customHeight="true" outlineLevel="0" collapsed="false"/>
    <row r="40715" customFormat="false" ht="15" hidden="false" customHeight="true" outlineLevel="0" collapsed="false"/>
    <row r="40716" customFormat="false" ht="15" hidden="false" customHeight="true" outlineLevel="0" collapsed="false"/>
    <row r="40717" customFormat="false" ht="15" hidden="false" customHeight="true" outlineLevel="0" collapsed="false"/>
    <row r="40718" customFormat="false" ht="15" hidden="false" customHeight="true" outlineLevel="0" collapsed="false"/>
    <row r="40719" customFormat="false" ht="15" hidden="false" customHeight="true" outlineLevel="0" collapsed="false"/>
    <row r="40720" customFormat="false" ht="15" hidden="false" customHeight="true" outlineLevel="0" collapsed="false"/>
    <row r="40721" customFormat="false" ht="15" hidden="false" customHeight="true" outlineLevel="0" collapsed="false"/>
    <row r="40722" customFormat="false" ht="15" hidden="false" customHeight="true" outlineLevel="0" collapsed="false"/>
    <row r="40723" customFormat="false" ht="15" hidden="false" customHeight="true" outlineLevel="0" collapsed="false"/>
    <row r="40724" customFormat="false" ht="15" hidden="false" customHeight="true" outlineLevel="0" collapsed="false"/>
    <row r="40725" customFormat="false" ht="15" hidden="false" customHeight="true" outlineLevel="0" collapsed="false"/>
    <row r="40726" customFormat="false" ht="15" hidden="false" customHeight="true" outlineLevel="0" collapsed="false"/>
    <row r="40727" customFormat="false" ht="15" hidden="false" customHeight="true" outlineLevel="0" collapsed="false"/>
    <row r="40728" customFormat="false" ht="15" hidden="false" customHeight="true" outlineLevel="0" collapsed="false"/>
    <row r="40729" customFormat="false" ht="15" hidden="false" customHeight="true" outlineLevel="0" collapsed="false"/>
    <row r="40730" customFormat="false" ht="15" hidden="false" customHeight="true" outlineLevel="0" collapsed="false"/>
    <row r="40731" customFormat="false" ht="15" hidden="false" customHeight="true" outlineLevel="0" collapsed="false"/>
    <row r="40732" customFormat="false" ht="15" hidden="false" customHeight="true" outlineLevel="0" collapsed="false"/>
    <row r="40733" customFormat="false" ht="15" hidden="false" customHeight="true" outlineLevel="0" collapsed="false"/>
    <row r="40734" customFormat="false" ht="15" hidden="false" customHeight="true" outlineLevel="0" collapsed="false"/>
    <row r="40735" customFormat="false" ht="15" hidden="false" customHeight="true" outlineLevel="0" collapsed="false"/>
    <row r="40736" customFormat="false" ht="15" hidden="false" customHeight="true" outlineLevel="0" collapsed="false"/>
    <row r="40737" customFormat="false" ht="15" hidden="false" customHeight="true" outlineLevel="0" collapsed="false"/>
    <row r="40738" customFormat="false" ht="15" hidden="false" customHeight="true" outlineLevel="0" collapsed="false"/>
    <row r="40739" customFormat="false" ht="15" hidden="false" customHeight="true" outlineLevel="0" collapsed="false"/>
    <row r="40740" customFormat="false" ht="15" hidden="false" customHeight="true" outlineLevel="0" collapsed="false"/>
    <row r="40741" customFormat="false" ht="15" hidden="false" customHeight="true" outlineLevel="0" collapsed="false"/>
    <row r="40742" customFormat="false" ht="15" hidden="false" customHeight="true" outlineLevel="0" collapsed="false"/>
    <row r="40743" customFormat="false" ht="15" hidden="false" customHeight="true" outlineLevel="0" collapsed="false"/>
    <row r="40744" customFormat="false" ht="15" hidden="false" customHeight="true" outlineLevel="0" collapsed="false"/>
    <row r="40745" customFormat="false" ht="15" hidden="false" customHeight="true" outlineLevel="0" collapsed="false"/>
    <row r="40746" customFormat="false" ht="15" hidden="false" customHeight="true" outlineLevel="0" collapsed="false"/>
    <row r="40747" customFormat="false" ht="15" hidden="false" customHeight="true" outlineLevel="0" collapsed="false"/>
    <row r="40748" customFormat="false" ht="15" hidden="false" customHeight="true" outlineLevel="0" collapsed="false"/>
    <row r="40749" customFormat="false" ht="15" hidden="false" customHeight="true" outlineLevel="0" collapsed="false"/>
    <row r="40750" customFormat="false" ht="15" hidden="false" customHeight="true" outlineLevel="0" collapsed="false"/>
    <row r="40751" customFormat="false" ht="15" hidden="false" customHeight="true" outlineLevel="0" collapsed="false"/>
    <row r="40752" customFormat="false" ht="15" hidden="false" customHeight="true" outlineLevel="0" collapsed="false"/>
    <row r="40753" customFormat="false" ht="15" hidden="false" customHeight="true" outlineLevel="0" collapsed="false"/>
    <row r="40754" customFormat="false" ht="15" hidden="false" customHeight="true" outlineLevel="0" collapsed="false"/>
    <row r="40755" customFormat="false" ht="15" hidden="false" customHeight="true" outlineLevel="0" collapsed="false"/>
    <row r="40756" customFormat="false" ht="15" hidden="false" customHeight="true" outlineLevel="0" collapsed="false"/>
    <row r="40757" customFormat="false" ht="15" hidden="false" customHeight="true" outlineLevel="0" collapsed="false"/>
    <row r="40758" customFormat="false" ht="15" hidden="false" customHeight="true" outlineLevel="0" collapsed="false"/>
    <row r="40759" customFormat="false" ht="15" hidden="false" customHeight="true" outlineLevel="0" collapsed="false"/>
    <row r="40760" customFormat="false" ht="15" hidden="false" customHeight="true" outlineLevel="0" collapsed="false"/>
    <row r="40761" customFormat="false" ht="15" hidden="false" customHeight="true" outlineLevel="0" collapsed="false"/>
    <row r="40762" customFormat="false" ht="15" hidden="false" customHeight="true" outlineLevel="0" collapsed="false"/>
    <row r="40763" customFormat="false" ht="15" hidden="false" customHeight="true" outlineLevel="0" collapsed="false"/>
    <row r="40764" customFormat="false" ht="15" hidden="false" customHeight="true" outlineLevel="0" collapsed="false"/>
    <row r="40765" customFormat="false" ht="15" hidden="false" customHeight="true" outlineLevel="0" collapsed="false"/>
    <row r="40766" customFormat="false" ht="15" hidden="false" customHeight="true" outlineLevel="0" collapsed="false"/>
    <row r="40767" customFormat="false" ht="15" hidden="false" customHeight="true" outlineLevel="0" collapsed="false"/>
    <row r="40768" customFormat="false" ht="15" hidden="false" customHeight="true" outlineLevel="0" collapsed="false"/>
    <row r="40769" customFormat="false" ht="15" hidden="false" customHeight="true" outlineLevel="0" collapsed="false"/>
    <row r="40770" customFormat="false" ht="15" hidden="false" customHeight="true" outlineLevel="0" collapsed="false"/>
    <row r="40771" customFormat="false" ht="15" hidden="false" customHeight="true" outlineLevel="0" collapsed="false"/>
    <row r="40772" customFormat="false" ht="15" hidden="false" customHeight="true" outlineLevel="0" collapsed="false"/>
    <row r="40773" customFormat="false" ht="15" hidden="false" customHeight="true" outlineLevel="0" collapsed="false"/>
    <row r="40774" customFormat="false" ht="15" hidden="false" customHeight="true" outlineLevel="0" collapsed="false"/>
    <row r="40775" customFormat="false" ht="15" hidden="false" customHeight="true" outlineLevel="0" collapsed="false"/>
    <row r="40776" customFormat="false" ht="15" hidden="false" customHeight="true" outlineLevel="0" collapsed="false"/>
    <row r="40777" customFormat="false" ht="15" hidden="false" customHeight="true" outlineLevel="0" collapsed="false"/>
    <row r="40778" customFormat="false" ht="15" hidden="false" customHeight="true" outlineLevel="0" collapsed="false"/>
    <row r="40779" customFormat="false" ht="15" hidden="false" customHeight="true" outlineLevel="0" collapsed="false"/>
    <row r="40780" customFormat="false" ht="15" hidden="false" customHeight="true" outlineLevel="0" collapsed="false"/>
    <row r="40781" customFormat="false" ht="15" hidden="false" customHeight="true" outlineLevel="0" collapsed="false"/>
    <row r="40782" customFormat="false" ht="15" hidden="false" customHeight="true" outlineLevel="0" collapsed="false"/>
    <row r="40783" customFormat="false" ht="15" hidden="false" customHeight="true" outlineLevel="0" collapsed="false"/>
    <row r="40784" customFormat="false" ht="15" hidden="false" customHeight="true" outlineLevel="0" collapsed="false"/>
    <row r="40785" customFormat="false" ht="15" hidden="false" customHeight="true" outlineLevel="0" collapsed="false"/>
    <row r="40786" customFormat="false" ht="15" hidden="false" customHeight="true" outlineLevel="0" collapsed="false"/>
    <row r="40787" customFormat="false" ht="15" hidden="false" customHeight="true" outlineLevel="0" collapsed="false"/>
    <row r="40788" customFormat="false" ht="15" hidden="false" customHeight="true" outlineLevel="0" collapsed="false"/>
    <row r="40789" customFormat="false" ht="15" hidden="false" customHeight="true" outlineLevel="0" collapsed="false"/>
    <row r="40790" customFormat="false" ht="15" hidden="false" customHeight="true" outlineLevel="0" collapsed="false"/>
    <row r="40791" customFormat="false" ht="15" hidden="false" customHeight="true" outlineLevel="0" collapsed="false"/>
    <row r="40792" customFormat="false" ht="15" hidden="false" customHeight="true" outlineLevel="0" collapsed="false"/>
    <row r="40793" customFormat="false" ht="15" hidden="false" customHeight="true" outlineLevel="0" collapsed="false"/>
    <row r="40794" customFormat="false" ht="15" hidden="false" customHeight="true" outlineLevel="0" collapsed="false"/>
    <row r="40795" customFormat="false" ht="15" hidden="false" customHeight="true" outlineLevel="0" collapsed="false"/>
    <row r="40796" customFormat="false" ht="15" hidden="false" customHeight="true" outlineLevel="0" collapsed="false"/>
    <row r="40797" customFormat="false" ht="15" hidden="false" customHeight="true" outlineLevel="0" collapsed="false"/>
    <row r="40798" customFormat="false" ht="15" hidden="false" customHeight="true" outlineLevel="0" collapsed="false"/>
    <row r="40799" customFormat="false" ht="15" hidden="false" customHeight="true" outlineLevel="0" collapsed="false"/>
    <row r="40800" customFormat="false" ht="15" hidden="false" customHeight="true" outlineLevel="0" collapsed="false"/>
    <row r="40801" customFormat="false" ht="15" hidden="false" customHeight="true" outlineLevel="0" collapsed="false"/>
    <row r="40802" customFormat="false" ht="15" hidden="false" customHeight="true" outlineLevel="0" collapsed="false"/>
    <row r="40803" customFormat="false" ht="15" hidden="false" customHeight="true" outlineLevel="0" collapsed="false"/>
    <row r="40804" customFormat="false" ht="15" hidden="false" customHeight="true" outlineLevel="0" collapsed="false"/>
    <row r="40805" customFormat="false" ht="15" hidden="false" customHeight="true" outlineLevel="0" collapsed="false"/>
    <row r="40806" customFormat="false" ht="15" hidden="false" customHeight="true" outlineLevel="0" collapsed="false"/>
    <row r="40807" customFormat="false" ht="15" hidden="false" customHeight="true" outlineLevel="0" collapsed="false"/>
    <row r="40808" customFormat="false" ht="15" hidden="false" customHeight="true" outlineLevel="0" collapsed="false"/>
    <row r="40809" customFormat="false" ht="15" hidden="false" customHeight="true" outlineLevel="0" collapsed="false"/>
    <row r="40810" customFormat="false" ht="15" hidden="false" customHeight="true" outlineLevel="0" collapsed="false"/>
    <row r="40811" customFormat="false" ht="15" hidden="false" customHeight="true" outlineLevel="0" collapsed="false"/>
    <row r="40812" customFormat="false" ht="15" hidden="false" customHeight="true" outlineLevel="0" collapsed="false"/>
    <row r="40813" customFormat="false" ht="15" hidden="false" customHeight="true" outlineLevel="0" collapsed="false"/>
    <row r="40814" customFormat="false" ht="15" hidden="false" customHeight="true" outlineLevel="0" collapsed="false"/>
    <row r="40815" customFormat="false" ht="15" hidden="false" customHeight="true" outlineLevel="0" collapsed="false"/>
    <row r="40816" customFormat="false" ht="15" hidden="false" customHeight="true" outlineLevel="0" collapsed="false"/>
    <row r="40817" customFormat="false" ht="15" hidden="false" customHeight="true" outlineLevel="0" collapsed="false"/>
    <row r="40818" customFormat="false" ht="15" hidden="false" customHeight="true" outlineLevel="0" collapsed="false"/>
    <row r="40819" customFormat="false" ht="15" hidden="false" customHeight="true" outlineLevel="0" collapsed="false"/>
    <row r="40820" customFormat="false" ht="15" hidden="false" customHeight="true" outlineLevel="0" collapsed="false"/>
    <row r="40821" customFormat="false" ht="15" hidden="false" customHeight="true" outlineLevel="0" collapsed="false"/>
    <row r="40822" customFormat="false" ht="15" hidden="false" customHeight="true" outlineLevel="0" collapsed="false"/>
    <row r="40823" customFormat="false" ht="15" hidden="false" customHeight="true" outlineLevel="0" collapsed="false"/>
    <row r="40824" customFormat="false" ht="15" hidden="false" customHeight="true" outlineLevel="0" collapsed="false"/>
    <row r="40825" customFormat="false" ht="15" hidden="false" customHeight="true" outlineLevel="0" collapsed="false"/>
    <row r="40826" customFormat="false" ht="15" hidden="false" customHeight="true" outlineLevel="0" collapsed="false"/>
    <row r="40827" customFormat="false" ht="15" hidden="false" customHeight="true" outlineLevel="0" collapsed="false"/>
    <row r="40828" customFormat="false" ht="15" hidden="false" customHeight="true" outlineLevel="0" collapsed="false"/>
    <row r="40829" customFormat="false" ht="15" hidden="false" customHeight="true" outlineLevel="0" collapsed="false"/>
    <row r="40830" customFormat="false" ht="15" hidden="false" customHeight="true" outlineLevel="0" collapsed="false"/>
    <row r="40831" customFormat="false" ht="15" hidden="false" customHeight="true" outlineLevel="0" collapsed="false"/>
    <row r="40832" customFormat="false" ht="15" hidden="false" customHeight="true" outlineLevel="0" collapsed="false"/>
    <row r="40833" customFormat="false" ht="15" hidden="false" customHeight="true" outlineLevel="0" collapsed="false"/>
    <row r="40834" customFormat="false" ht="15" hidden="false" customHeight="true" outlineLevel="0" collapsed="false"/>
    <row r="40835" customFormat="false" ht="15" hidden="false" customHeight="true" outlineLevel="0" collapsed="false"/>
    <row r="40836" customFormat="false" ht="15" hidden="false" customHeight="true" outlineLevel="0" collapsed="false"/>
    <row r="40837" customFormat="false" ht="15" hidden="false" customHeight="true" outlineLevel="0" collapsed="false"/>
    <row r="40838" customFormat="false" ht="15" hidden="false" customHeight="true" outlineLevel="0" collapsed="false"/>
    <row r="40839" customFormat="false" ht="15" hidden="false" customHeight="true" outlineLevel="0" collapsed="false"/>
    <row r="40840" customFormat="false" ht="15" hidden="false" customHeight="true" outlineLevel="0" collapsed="false"/>
    <row r="40841" customFormat="false" ht="15" hidden="false" customHeight="true" outlineLevel="0" collapsed="false"/>
    <row r="40842" customFormat="false" ht="15" hidden="false" customHeight="true" outlineLevel="0" collapsed="false"/>
    <row r="40843" customFormat="false" ht="15" hidden="false" customHeight="true" outlineLevel="0" collapsed="false"/>
    <row r="40844" customFormat="false" ht="15" hidden="false" customHeight="true" outlineLevel="0" collapsed="false"/>
    <row r="40845" customFormat="false" ht="15" hidden="false" customHeight="true" outlineLevel="0" collapsed="false"/>
    <row r="40846" customFormat="false" ht="15" hidden="false" customHeight="true" outlineLevel="0" collapsed="false"/>
    <row r="40847" customFormat="false" ht="15" hidden="false" customHeight="true" outlineLevel="0" collapsed="false"/>
    <row r="40848" customFormat="false" ht="15" hidden="false" customHeight="true" outlineLevel="0" collapsed="false"/>
    <row r="40849" customFormat="false" ht="15" hidden="false" customHeight="true" outlineLevel="0" collapsed="false"/>
    <row r="40850" customFormat="false" ht="15" hidden="false" customHeight="true" outlineLevel="0" collapsed="false"/>
    <row r="40851" customFormat="false" ht="15" hidden="false" customHeight="true" outlineLevel="0" collapsed="false"/>
    <row r="40852" customFormat="false" ht="15" hidden="false" customHeight="true" outlineLevel="0" collapsed="false"/>
    <row r="40853" customFormat="false" ht="15" hidden="false" customHeight="true" outlineLevel="0" collapsed="false"/>
    <row r="40854" customFormat="false" ht="15" hidden="false" customHeight="true" outlineLevel="0" collapsed="false"/>
    <row r="40855" customFormat="false" ht="15" hidden="false" customHeight="true" outlineLevel="0" collapsed="false"/>
    <row r="40856" customFormat="false" ht="15" hidden="false" customHeight="true" outlineLevel="0" collapsed="false"/>
    <row r="40857" customFormat="false" ht="15" hidden="false" customHeight="true" outlineLevel="0" collapsed="false"/>
    <row r="40858" customFormat="false" ht="15" hidden="false" customHeight="true" outlineLevel="0" collapsed="false"/>
    <row r="40859" customFormat="false" ht="15" hidden="false" customHeight="true" outlineLevel="0" collapsed="false"/>
    <row r="40860" customFormat="false" ht="15" hidden="false" customHeight="true" outlineLevel="0" collapsed="false"/>
    <row r="40861" customFormat="false" ht="15" hidden="false" customHeight="true" outlineLevel="0" collapsed="false"/>
    <row r="40862" customFormat="false" ht="15" hidden="false" customHeight="true" outlineLevel="0" collapsed="false"/>
    <row r="40863" customFormat="false" ht="15" hidden="false" customHeight="true" outlineLevel="0" collapsed="false"/>
    <row r="40864" customFormat="false" ht="15" hidden="false" customHeight="true" outlineLevel="0" collapsed="false"/>
    <row r="40865" customFormat="false" ht="15" hidden="false" customHeight="true" outlineLevel="0" collapsed="false"/>
    <row r="40866" customFormat="false" ht="15" hidden="false" customHeight="true" outlineLevel="0" collapsed="false"/>
    <row r="40867" customFormat="false" ht="15" hidden="false" customHeight="true" outlineLevel="0" collapsed="false"/>
    <row r="40868" customFormat="false" ht="15" hidden="false" customHeight="true" outlineLevel="0" collapsed="false"/>
    <row r="40869" customFormat="false" ht="15" hidden="false" customHeight="true" outlineLevel="0" collapsed="false"/>
    <row r="40870" customFormat="false" ht="15" hidden="false" customHeight="true" outlineLevel="0" collapsed="false"/>
    <row r="40871" customFormat="false" ht="15" hidden="false" customHeight="true" outlineLevel="0" collapsed="false"/>
    <row r="40872" customFormat="false" ht="15" hidden="false" customHeight="true" outlineLevel="0" collapsed="false"/>
    <row r="40873" customFormat="false" ht="15" hidden="false" customHeight="true" outlineLevel="0" collapsed="false"/>
    <row r="40874" customFormat="false" ht="15" hidden="false" customHeight="true" outlineLevel="0" collapsed="false"/>
    <row r="40875" customFormat="false" ht="15" hidden="false" customHeight="true" outlineLevel="0" collapsed="false"/>
    <row r="40876" customFormat="false" ht="15" hidden="false" customHeight="true" outlineLevel="0" collapsed="false"/>
    <row r="40877" customFormat="false" ht="15" hidden="false" customHeight="true" outlineLevel="0" collapsed="false"/>
    <row r="40878" customFormat="false" ht="15" hidden="false" customHeight="true" outlineLevel="0" collapsed="false"/>
    <row r="40879" customFormat="false" ht="15" hidden="false" customHeight="true" outlineLevel="0" collapsed="false"/>
    <row r="40880" customFormat="false" ht="15" hidden="false" customHeight="true" outlineLevel="0" collapsed="false"/>
    <row r="40881" customFormat="false" ht="15" hidden="false" customHeight="true" outlineLevel="0" collapsed="false"/>
    <row r="40882" customFormat="false" ht="15" hidden="false" customHeight="true" outlineLevel="0" collapsed="false"/>
    <row r="40883" customFormat="false" ht="15" hidden="false" customHeight="true" outlineLevel="0" collapsed="false"/>
    <row r="40884" customFormat="false" ht="15" hidden="false" customHeight="true" outlineLevel="0" collapsed="false"/>
    <row r="40885" customFormat="false" ht="15" hidden="false" customHeight="true" outlineLevel="0" collapsed="false"/>
    <row r="40886" customFormat="false" ht="15" hidden="false" customHeight="true" outlineLevel="0" collapsed="false"/>
    <row r="40887" customFormat="false" ht="15" hidden="false" customHeight="true" outlineLevel="0" collapsed="false"/>
    <row r="40888" customFormat="false" ht="15" hidden="false" customHeight="true" outlineLevel="0" collapsed="false"/>
    <row r="40889" customFormat="false" ht="15" hidden="false" customHeight="true" outlineLevel="0" collapsed="false"/>
    <row r="40890" customFormat="false" ht="15" hidden="false" customHeight="true" outlineLevel="0" collapsed="false"/>
    <row r="40891" customFormat="false" ht="15" hidden="false" customHeight="true" outlineLevel="0" collapsed="false"/>
    <row r="40892" customFormat="false" ht="15" hidden="false" customHeight="true" outlineLevel="0" collapsed="false"/>
    <row r="40893" customFormat="false" ht="15" hidden="false" customHeight="true" outlineLevel="0" collapsed="false"/>
    <row r="40894" customFormat="false" ht="15" hidden="false" customHeight="true" outlineLevel="0" collapsed="false"/>
    <row r="40895" customFormat="false" ht="15" hidden="false" customHeight="true" outlineLevel="0" collapsed="false"/>
    <row r="40896" customFormat="false" ht="15" hidden="false" customHeight="true" outlineLevel="0" collapsed="false"/>
    <row r="40897" customFormat="false" ht="15" hidden="false" customHeight="true" outlineLevel="0" collapsed="false"/>
    <row r="40898" customFormat="false" ht="15" hidden="false" customHeight="true" outlineLevel="0" collapsed="false"/>
    <row r="40899" customFormat="false" ht="15" hidden="false" customHeight="true" outlineLevel="0" collapsed="false"/>
    <row r="40900" customFormat="false" ht="15" hidden="false" customHeight="true" outlineLevel="0" collapsed="false"/>
    <row r="40901" customFormat="false" ht="15" hidden="false" customHeight="true" outlineLevel="0" collapsed="false"/>
    <row r="40902" customFormat="false" ht="15" hidden="false" customHeight="true" outlineLevel="0" collapsed="false"/>
    <row r="40903" customFormat="false" ht="15" hidden="false" customHeight="true" outlineLevel="0" collapsed="false"/>
    <row r="40904" customFormat="false" ht="15" hidden="false" customHeight="true" outlineLevel="0" collapsed="false"/>
    <row r="40905" customFormat="false" ht="15" hidden="false" customHeight="true" outlineLevel="0" collapsed="false"/>
    <row r="40906" customFormat="false" ht="15" hidden="false" customHeight="true" outlineLevel="0" collapsed="false"/>
    <row r="40907" customFormat="false" ht="15" hidden="false" customHeight="true" outlineLevel="0" collapsed="false"/>
    <row r="40908" customFormat="false" ht="15" hidden="false" customHeight="true" outlineLevel="0" collapsed="false"/>
    <row r="40909" customFormat="false" ht="15" hidden="false" customHeight="true" outlineLevel="0" collapsed="false"/>
    <row r="40910" customFormat="false" ht="15" hidden="false" customHeight="true" outlineLevel="0" collapsed="false"/>
    <row r="40911" customFormat="false" ht="15" hidden="false" customHeight="true" outlineLevel="0" collapsed="false"/>
    <row r="40912" customFormat="false" ht="15" hidden="false" customHeight="true" outlineLevel="0" collapsed="false"/>
    <row r="40913" customFormat="false" ht="15" hidden="false" customHeight="true" outlineLevel="0" collapsed="false"/>
    <row r="40914" customFormat="false" ht="15" hidden="false" customHeight="true" outlineLevel="0" collapsed="false"/>
    <row r="40915" customFormat="false" ht="15" hidden="false" customHeight="true" outlineLevel="0" collapsed="false"/>
    <row r="40916" customFormat="false" ht="15" hidden="false" customHeight="true" outlineLevel="0" collapsed="false"/>
    <row r="40917" customFormat="false" ht="15" hidden="false" customHeight="true" outlineLevel="0" collapsed="false"/>
    <row r="40918" customFormat="false" ht="15" hidden="false" customHeight="true" outlineLevel="0" collapsed="false"/>
    <row r="40919" customFormat="false" ht="15" hidden="false" customHeight="true" outlineLevel="0" collapsed="false"/>
    <row r="40920" customFormat="false" ht="15" hidden="false" customHeight="true" outlineLevel="0" collapsed="false"/>
    <row r="40921" customFormat="false" ht="15" hidden="false" customHeight="true" outlineLevel="0" collapsed="false"/>
    <row r="40922" customFormat="false" ht="15" hidden="false" customHeight="true" outlineLevel="0" collapsed="false"/>
    <row r="40923" customFormat="false" ht="15" hidden="false" customHeight="true" outlineLevel="0" collapsed="false"/>
    <row r="40924" customFormat="false" ht="15" hidden="false" customHeight="true" outlineLevel="0" collapsed="false"/>
    <row r="40925" customFormat="false" ht="15" hidden="false" customHeight="true" outlineLevel="0" collapsed="false"/>
    <row r="40926" customFormat="false" ht="15" hidden="false" customHeight="true" outlineLevel="0" collapsed="false"/>
    <row r="40927" customFormat="false" ht="15" hidden="false" customHeight="true" outlineLevel="0" collapsed="false"/>
    <row r="40928" customFormat="false" ht="15" hidden="false" customHeight="true" outlineLevel="0" collapsed="false"/>
    <row r="40929" customFormat="false" ht="15" hidden="false" customHeight="true" outlineLevel="0" collapsed="false"/>
    <row r="40930" customFormat="false" ht="15" hidden="false" customHeight="true" outlineLevel="0" collapsed="false"/>
    <row r="40931" customFormat="false" ht="15" hidden="false" customHeight="true" outlineLevel="0" collapsed="false"/>
    <row r="40932" customFormat="false" ht="15" hidden="false" customHeight="true" outlineLevel="0" collapsed="false"/>
    <row r="40933" customFormat="false" ht="15" hidden="false" customHeight="true" outlineLevel="0" collapsed="false"/>
    <row r="40934" customFormat="false" ht="15" hidden="false" customHeight="true" outlineLevel="0" collapsed="false"/>
    <row r="40935" customFormat="false" ht="15" hidden="false" customHeight="true" outlineLevel="0" collapsed="false"/>
    <row r="40936" customFormat="false" ht="15" hidden="false" customHeight="true" outlineLevel="0" collapsed="false"/>
    <row r="40937" customFormat="false" ht="15" hidden="false" customHeight="true" outlineLevel="0" collapsed="false"/>
    <row r="40938" customFormat="false" ht="15" hidden="false" customHeight="true" outlineLevel="0" collapsed="false"/>
    <row r="40939" customFormat="false" ht="15" hidden="false" customHeight="true" outlineLevel="0" collapsed="false"/>
    <row r="40940" customFormat="false" ht="15" hidden="false" customHeight="true" outlineLevel="0" collapsed="false"/>
    <row r="40941" customFormat="false" ht="15" hidden="false" customHeight="true" outlineLevel="0" collapsed="false"/>
    <row r="40942" customFormat="false" ht="15" hidden="false" customHeight="true" outlineLevel="0" collapsed="false"/>
    <row r="40943" customFormat="false" ht="15" hidden="false" customHeight="true" outlineLevel="0" collapsed="false"/>
    <row r="40944" customFormat="false" ht="15" hidden="false" customHeight="true" outlineLevel="0" collapsed="false"/>
    <row r="40945" customFormat="false" ht="15" hidden="false" customHeight="true" outlineLevel="0" collapsed="false"/>
    <row r="40946" customFormat="false" ht="15" hidden="false" customHeight="true" outlineLevel="0" collapsed="false"/>
    <row r="40947" customFormat="false" ht="15" hidden="false" customHeight="true" outlineLevel="0" collapsed="false"/>
    <row r="40948" customFormat="false" ht="15" hidden="false" customHeight="true" outlineLevel="0" collapsed="false"/>
    <row r="40949" customFormat="false" ht="15" hidden="false" customHeight="true" outlineLevel="0" collapsed="false"/>
    <row r="40950" customFormat="false" ht="15" hidden="false" customHeight="true" outlineLevel="0" collapsed="false"/>
    <row r="40951" customFormat="false" ht="15" hidden="false" customHeight="true" outlineLevel="0" collapsed="false"/>
    <row r="40952" customFormat="false" ht="15" hidden="false" customHeight="true" outlineLevel="0" collapsed="false"/>
    <row r="40953" customFormat="false" ht="15" hidden="false" customHeight="true" outlineLevel="0" collapsed="false"/>
    <row r="40954" customFormat="false" ht="15" hidden="false" customHeight="true" outlineLevel="0" collapsed="false"/>
    <row r="40955" customFormat="false" ht="15" hidden="false" customHeight="true" outlineLevel="0" collapsed="false"/>
    <row r="40956" customFormat="false" ht="15" hidden="false" customHeight="true" outlineLevel="0" collapsed="false"/>
    <row r="40957" customFormat="false" ht="15" hidden="false" customHeight="true" outlineLevel="0" collapsed="false"/>
    <row r="40958" customFormat="false" ht="15" hidden="false" customHeight="true" outlineLevel="0" collapsed="false"/>
    <row r="40959" customFormat="false" ht="15" hidden="false" customHeight="true" outlineLevel="0" collapsed="false"/>
    <row r="40960" customFormat="false" ht="15" hidden="false" customHeight="true" outlineLevel="0" collapsed="false"/>
    <row r="40961" customFormat="false" ht="15" hidden="false" customHeight="true" outlineLevel="0" collapsed="false"/>
    <row r="40962" customFormat="false" ht="15" hidden="false" customHeight="true" outlineLevel="0" collapsed="false"/>
    <row r="40963" customFormat="false" ht="15" hidden="false" customHeight="true" outlineLevel="0" collapsed="false"/>
    <row r="40964" customFormat="false" ht="15" hidden="false" customHeight="true" outlineLevel="0" collapsed="false"/>
    <row r="40965" customFormat="false" ht="15" hidden="false" customHeight="true" outlineLevel="0" collapsed="false"/>
    <row r="40966" customFormat="false" ht="15" hidden="false" customHeight="true" outlineLevel="0" collapsed="false"/>
    <row r="40967" customFormat="false" ht="15" hidden="false" customHeight="true" outlineLevel="0" collapsed="false"/>
    <row r="40968" customFormat="false" ht="15" hidden="false" customHeight="true" outlineLevel="0" collapsed="false"/>
    <row r="40969" customFormat="false" ht="15" hidden="false" customHeight="true" outlineLevel="0" collapsed="false"/>
    <row r="40970" customFormat="false" ht="15" hidden="false" customHeight="true" outlineLevel="0" collapsed="false"/>
    <row r="40971" customFormat="false" ht="15" hidden="false" customHeight="true" outlineLevel="0" collapsed="false"/>
    <row r="40972" customFormat="false" ht="15" hidden="false" customHeight="true" outlineLevel="0" collapsed="false"/>
    <row r="40973" customFormat="false" ht="15" hidden="false" customHeight="true" outlineLevel="0" collapsed="false"/>
    <row r="40974" customFormat="false" ht="15" hidden="false" customHeight="true" outlineLevel="0" collapsed="false"/>
    <row r="40975" customFormat="false" ht="15" hidden="false" customHeight="true" outlineLevel="0" collapsed="false"/>
    <row r="40976" customFormat="false" ht="15" hidden="false" customHeight="true" outlineLevel="0" collapsed="false"/>
    <row r="40977" customFormat="false" ht="15" hidden="false" customHeight="true" outlineLevel="0" collapsed="false"/>
    <row r="40978" customFormat="false" ht="15" hidden="false" customHeight="true" outlineLevel="0" collapsed="false"/>
    <row r="40979" customFormat="false" ht="15" hidden="false" customHeight="true" outlineLevel="0" collapsed="false"/>
    <row r="40980" customFormat="false" ht="15" hidden="false" customHeight="true" outlineLevel="0" collapsed="false"/>
    <row r="40981" customFormat="false" ht="15" hidden="false" customHeight="true" outlineLevel="0" collapsed="false"/>
    <row r="40982" customFormat="false" ht="15" hidden="false" customHeight="true" outlineLevel="0" collapsed="false"/>
    <row r="40983" customFormat="false" ht="15" hidden="false" customHeight="true" outlineLevel="0" collapsed="false"/>
    <row r="40984" customFormat="false" ht="15" hidden="false" customHeight="true" outlineLevel="0" collapsed="false"/>
    <row r="40985" customFormat="false" ht="15" hidden="false" customHeight="true" outlineLevel="0" collapsed="false"/>
    <row r="40986" customFormat="false" ht="15" hidden="false" customHeight="true" outlineLevel="0" collapsed="false"/>
    <row r="40987" customFormat="false" ht="15" hidden="false" customHeight="true" outlineLevel="0" collapsed="false"/>
    <row r="40988" customFormat="false" ht="15" hidden="false" customHeight="true" outlineLevel="0" collapsed="false"/>
    <row r="40989" customFormat="false" ht="15" hidden="false" customHeight="true" outlineLevel="0" collapsed="false"/>
    <row r="40990" customFormat="false" ht="15" hidden="false" customHeight="true" outlineLevel="0" collapsed="false"/>
    <row r="40991" customFormat="false" ht="15" hidden="false" customHeight="true" outlineLevel="0" collapsed="false"/>
    <row r="40992" customFormat="false" ht="15" hidden="false" customHeight="true" outlineLevel="0" collapsed="false"/>
    <row r="40993" customFormat="false" ht="15" hidden="false" customHeight="true" outlineLevel="0" collapsed="false"/>
    <row r="40994" customFormat="false" ht="15" hidden="false" customHeight="true" outlineLevel="0" collapsed="false"/>
    <row r="40995" customFormat="false" ht="15" hidden="false" customHeight="true" outlineLevel="0" collapsed="false"/>
    <row r="40996" customFormat="false" ht="15" hidden="false" customHeight="true" outlineLevel="0" collapsed="false"/>
    <row r="40997" customFormat="false" ht="15" hidden="false" customHeight="true" outlineLevel="0" collapsed="false"/>
    <row r="40998" customFormat="false" ht="15" hidden="false" customHeight="true" outlineLevel="0" collapsed="false"/>
    <row r="40999" customFormat="false" ht="15" hidden="false" customHeight="true" outlineLevel="0" collapsed="false"/>
    <row r="41000" customFormat="false" ht="15" hidden="false" customHeight="true" outlineLevel="0" collapsed="false"/>
    <row r="41001" customFormat="false" ht="15" hidden="false" customHeight="true" outlineLevel="0" collapsed="false"/>
    <row r="41002" customFormat="false" ht="15" hidden="false" customHeight="true" outlineLevel="0" collapsed="false"/>
    <row r="41003" customFormat="false" ht="15" hidden="false" customHeight="true" outlineLevel="0" collapsed="false"/>
    <row r="41004" customFormat="false" ht="15" hidden="false" customHeight="true" outlineLevel="0" collapsed="false"/>
    <row r="41005" customFormat="false" ht="15" hidden="false" customHeight="true" outlineLevel="0" collapsed="false"/>
    <row r="41006" customFormat="false" ht="15" hidden="false" customHeight="true" outlineLevel="0" collapsed="false"/>
    <row r="41007" customFormat="false" ht="15" hidden="false" customHeight="true" outlineLevel="0" collapsed="false"/>
    <row r="41008" customFormat="false" ht="15" hidden="false" customHeight="true" outlineLevel="0" collapsed="false"/>
    <row r="41009" customFormat="false" ht="15" hidden="false" customHeight="true" outlineLevel="0" collapsed="false"/>
    <row r="41010" customFormat="false" ht="15" hidden="false" customHeight="true" outlineLevel="0" collapsed="false"/>
    <row r="41011" customFormat="false" ht="15" hidden="false" customHeight="true" outlineLevel="0" collapsed="false"/>
    <row r="41012" customFormat="false" ht="15" hidden="false" customHeight="true" outlineLevel="0" collapsed="false"/>
    <row r="41013" customFormat="false" ht="15" hidden="false" customHeight="true" outlineLevel="0" collapsed="false"/>
    <row r="41014" customFormat="false" ht="15" hidden="false" customHeight="true" outlineLevel="0" collapsed="false"/>
    <row r="41015" customFormat="false" ht="15" hidden="false" customHeight="true" outlineLevel="0" collapsed="false"/>
    <row r="41016" customFormat="false" ht="15" hidden="false" customHeight="true" outlineLevel="0" collapsed="false"/>
    <row r="41017" customFormat="false" ht="15" hidden="false" customHeight="true" outlineLevel="0" collapsed="false"/>
    <row r="41018" customFormat="false" ht="15" hidden="false" customHeight="true" outlineLevel="0" collapsed="false"/>
    <row r="41019" customFormat="false" ht="15" hidden="false" customHeight="true" outlineLevel="0" collapsed="false"/>
    <row r="41020" customFormat="false" ht="15" hidden="false" customHeight="true" outlineLevel="0" collapsed="false"/>
    <row r="41021" customFormat="false" ht="15" hidden="false" customHeight="true" outlineLevel="0" collapsed="false"/>
    <row r="41022" customFormat="false" ht="15" hidden="false" customHeight="true" outlineLevel="0" collapsed="false"/>
    <row r="41023" customFormat="false" ht="15" hidden="false" customHeight="true" outlineLevel="0" collapsed="false"/>
    <row r="41024" customFormat="false" ht="15" hidden="false" customHeight="true" outlineLevel="0" collapsed="false"/>
    <row r="41025" customFormat="false" ht="15" hidden="false" customHeight="true" outlineLevel="0" collapsed="false"/>
    <row r="41026" customFormat="false" ht="15" hidden="false" customHeight="true" outlineLevel="0" collapsed="false"/>
    <row r="41027" customFormat="false" ht="15" hidden="false" customHeight="true" outlineLevel="0" collapsed="false"/>
    <row r="41028" customFormat="false" ht="15" hidden="false" customHeight="true" outlineLevel="0" collapsed="false"/>
    <row r="41029" customFormat="false" ht="15" hidden="false" customHeight="true" outlineLevel="0" collapsed="false"/>
    <row r="41030" customFormat="false" ht="15" hidden="false" customHeight="true" outlineLevel="0" collapsed="false"/>
    <row r="41031" customFormat="false" ht="15" hidden="false" customHeight="true" outlineLevel="0" collapsed="false"/>
    <row r="41032" customFormat="false" ht="15" hidden="false" customHeight="true" outlineLevel="0" collapsed="false"/>
    <row r="41033" customFormat="false" ht="15" hidden="false" customHeight="true" outlineLevel="0" collapsed="false"/>
    <row r="41034" customFormat="false" ht="15" hidden="false" customHeight="true" outlineLevel="0" collapsed="false"/>
    <row r="41035" customFormat="false" ht="15" hidden="false" customHeight="true" outlineLevel="0" collapsed="false"/>
    <row r="41036" customFormat="false" ht="15" hidden="false" customHeight="true" outlineLevel="0" collapsed="false"/>
    <row r="41037" customFormat="false" ht="15" hidden="false" customHeight="true" outlineLevel="0" collapsed="false"/>
    <row r="41038" customFormat="false" ht="15" hidden="false" customHeight="true" outlineLevel="0" collapsed="false"/>
    <row r="41039" customFormat="false" ht="15" hidden="false" customHeight="true" outlineLevel="0" collapsed="false"/>
    <row r="41040" customFormat="false" ht="15" hidden="false" customHeight="true" outlineLevel="0" collapsed="false"/>
    <row r="41041" customFormat="false" ht="15" hidden="false" customHeight="true" outlineLevel="0" collapsed="false"/>
    <row r="41042" customFormat="false" ht="15" hidden="false" customHeight="true" outlineLevel="0" collapsed="false"/>
    <row r="41043" customFormat="false" ht="15" hidden="false" customHeight="true" outlineLevel="0" collapsed="false"/>
    <row r="41044" customFormat="false" ht="15" hidden="false" customHeight="true" outlineLevel="0" collapsed="false"/>
    <row r="41045" customFormat="false" ht="15" hidden="false" customHeight="true" outlineLevel="0" collapsed="false"/>
    <row r="41046" customFormat="false" ht="15" hidden="false" customHeight="true" outlineLevel="0" collapsed="false"/>
    <row r="41047" customFormat="false" ht="15" hidden="false" customHeight="true" outlineLevel="0" collapsed="false"/>
    <row r="41048" customFormat="false" ht="15" hidden="false" customHeight="true" outlineLevel="0" collapsed="false"/>
    <row r="41049" customFormat="false" ht="15" hidden="false" customHeight="true" outlineLevel="0" collapsed="false"/>
    <row r="41050" customFormat="false" ht="15" hidden="false" customHeight="true" outlineLevel="0" collapsed="false"/>
    <row r="41051" customFormat="false" ht="15" hidden="false" customHeight="true" outlineLevel="0" collapsed="false"/>
    <row r="41052" customFormat="false" ht="15" hidden="false" customHeight="true" outlineLevel="0" collapsed="false"/>
    <row r="41053" customFormat="false" ht="15" hidden="false" customHeight="true" outlineLevel="0" collapsed="false"/>
    <row r="41054" customFormat="false" ht="15" hidden="false" customHeight="true" outlineLevel="0" collapsed="false"/>
    <row r="41055" customFormat="false" ht="15" hidden="false" customHeight="true" outlineLevel="0" collapsed="false"/>
    <row r="41056" customFormat="false" ht="15" hidden="false" customHeight="true" outlineLevel="0" collapsed="false"/>
    <row r="41057" customFormat="false" ht="15" hidden="false" customHeight="true" outlineLevel="0" collapsed="false"/>
    <row r="41058" customFormat="false" ht="15" hidden="false" customHeight="true" outlineLevel="0" collapsed="false"/>
    <row r="41059" customFormat="false" ht="15" hidden="false" customHeight="true" outlineLevel="0" collapsed="false"/>
    <row r="41060" customFormat="false" ht="15" hidden="false" customHeight="true" outlineLevel="0" collapsed="false"/>
    <row r="41061" customFormat="false" ht="15" hidden="false" customHeight="true" outlineLevel="0" collapsed="false"/>
    <row r="41062" customFormat="false" ht="15" hidden="false" customHeight="true" outlineLevel="0" collapsed="false"/>
    <row r="41063" customFormat="false" ht="15" hidden="false" customHeight="true" outlineLevel="0" collapsed="false"/>
    <row r="41064" customFormat="false" ht="15" hidden="false" customHeight="true" outlineLevel="0" collapsed="false"/>
    <row r="41065" customFormat="false" ht="15" hidden="false" customHeight="true" outlineLevel="0" collapsed="false"/>
    <row r="41066" customFormat="false" ht="15" hidden="false" customHeight="true" outlineLevel="0" collapsed="false"/>
    <row r="41067" customFormat="false" ht="15" hidden="false" customHeight="true" outlineLevel="0" collapsed="false"/>
    <row r="41068" customFormat="false" ht="15" hidden="false" customHeight="true" outlineLevel="0" collapsed="false"/>
    <row r="41069" customFormat="false" ht="15" hidden="false" customHeight="true" outlineLevel="0" collapsed="false"/>
    <row r="41070" customFormat="false" ht="15" hidden="false" customHeight="true" outlineLevel="0" collapsed="false"/>
    <row r="41071" customFormat="false" ht="15" hidden="false" customHeight="true" outlineLevel="0" collapsed="false"/>
    <row r="41072" customFormat="false" ht="15" hidden="false" customHeight="true" outlineLevel="0" collapsed="false"/>
    <row r="41073" customFormat="false" ht="15" hidden="false" customHeight="true" outlineLevel="0" collapsed="false"/>
    <row r="41074" customFormat="false" ht="15" hidden="false" customHeight="true" outlineLevel="0" collapsed="false"/>
    <row r="41075" customFormat="false" ht="15" hidden="false" customHeight="true" outlineLevel="0" collapsed="false"/>
    <row r="41076" customFormat="false" ht="15" hidden="false" customHeight="true" outlineLevel="0" collapsed="false"/>
    <row r="41077" customFormat="false" ht="15" hidden="false" customHeight="true" outlineLevel="0" collapsed="false"/>
    <row r="41078" customFormat="false" ht="15" hidden="false" customHeight="true" outlineLevel="0" collapsed="false"/>
    <row r="41079" customFormat="false" ht="15" hidden="false" customHeight="true" outlineLevel="0" collapsed="false"/>
    <row r="41080" customFormat="false" ht="15" hidden="false" customHeight="true" outlineLevel="0" collapsed="false"/>
    <row r="41081" customFormat="false" ht="15" hidden="false" customHeight="true" outlineLevel="0" collapsed="false"/>
    <row r="41082" customFormat="false" ht="15" hidden="false" customHeight="true" outlineLevel="0" collapsed="false"/>
    <row r="41083" customFormat="false" ht="15" hidden="false" customHeight="true" outlineLevel="0" collapsed="false"/>
    <row r="41084" customFormat="false" ht="15" hidden="false" customHeight="true" outlineLevel="0" collapsed="false"/>
    <row r="41085" customFormat="false" ht="15" hidden="false" customHeight="true" outlineLevel="0" collapsed="false"/>
    <row r="41086" customFormat="false" ht="15" hidden="false" customHeight="true" outlineLevel="0" collapsed="false"/>
    <row r="41087" customFormat="false" ht="15" hidden="false" customHeight="true" outlineLevel="0" collapsed="false"/>
    <row r="41088" customFormat="false" ht="15" hidden="false" customHeight="true" outlineLevel="0" collapsed="false"/>
    <row r="41089" customFormat="false" ht="15" hidden="false" customHeight="true" outlineLevel="0" collapsed="false"/>
    <row r="41090" customFormat="false" ht="15" hidden="false" customHeight="true" outlineLevel="0" collapsed="false"/>
    <row r="41091" customFormat="false" ht="15" hidden="false" customHeight="true" outlineLevel="0" collapsed="false"/>
    <row r="41092" customFormat="false" ht="15" hidden="false" customHeight="true" outlineLevel="0" collapsed="false"/>
    <row r="41093" customFormat="false" ht="15" hidden="false" customHeight="true" outlineLevel="0" collapsed="false"/>
    <row r="41094" customFormat="false" ht="15" hidden="false" customHeight="true" outlineLevel="0" collapsed="false"/>
    <row r="41095" customFormat="false" ht="15" hidden="false" customHeight="true" outlineLevel="0" collapsed="false"/>
    <row r="41096" customFormat="false" ht="15" hidden="false" customHeight="true" outlineLevel="0" collapsed="false"/>
    <row r="41097" customFormat="false" ht="15" hidden="false" customHeight="true" outlineLevel="0" collapsed="false"/>
    <row r="41098" customFormat="false" ht="15" hidden="false" customHeight="true" outlineLevel="0" collapsed="false"/>
    <row r="41099" customFormat="false" ht="15" hidden="false" customHeight="true" outlineLevel="0" collapsed="false"/>
    <row r="41100" customFormat="false" ht="15" hidden="false" customHeight="true" outlineLevel="0" collapsed="false"/>
    <row r="41101" customFormat="false" ht="15" hidden="false" customHeight="true" outlineLevel="0" collapsed="false"/>
    <row r="41102" customFormat="false" ht="15" hidden="false" customHeight="true" outlineLevel="0" collapsed="false"/>
    <row r="41103" customFormat="false" ht="15" hidden="false" customHeight="true" outlineLevel="0" collapsed="false"/>
    <row r="41104" customFormat="false" ht="15" hidden="false" customHeight="true" outlineLevel="0" collapsed="false"/>
    <row r="41105" customFormat="false" ht="15" hidden="false" customHeight="true" outlineLevel="0" collapsed="false"/>
    <row r="41106" customFormat="false" ht="15" hidden="false" customHeight="true" outlineLevel="0" collapsed="false"/>
    <row r="41107" customFormat="false" ht="15" hidden="false" customHeight="true" outlineLevel="0" collapsed="false"/>
    <row r="41108" customFormat="false" ht="15" hidden="false" customHeight="true" outlineLevel="0" collapsed="false"/>
    <row r="41109" customFormat="false" ht="15" hidden="false" customHeight="true" outlineLevel="0" collapsed="false"/>
    <row r="41110" customFormat="false" ht="15" hidden="false" customHeight="true" outlineLevel="0" collapsed="false"/>
    <row r="41111" customFormat="false" ht="15" hidden="false" customHeight="true" outlineLevel="0" collapsed="false"/>
    <row r="41112" customFormat="false" ht="15" hidden="false" customHeight="true" outlineLevel="0" collapsed="false"/>
    <row r="41113" customFormat="false" ht="15" hidden="false" customHeight="true" outlineLevel="0" collapsed="false"/>
    <row r="41114" customFormat="false" ht="15" hidden="false" customHeight="true" outlineLevel="0" collapsed="false"/>
    <row r="41115" customFormat="false" ht="15" hidden="false" customHeight="true" outlineLevel="0" collapsed="false"/>
    <row r="41116" customFormat="false" ht="15" hidden="false" customHeight="true" outlineLevel="0" collapsed="false"/>
    <row r="41117" customFormat="false" ht="15" hidden="false" customHeight="true" outlineLevel="0" collapsed="false"/>
    <row r="41118" customFormat="false" ht="15" hidden="false" customHeight="true" outlineLevel="0" collapsed="false"/>
    <row r="41119" customFormat="false" ht="15" hidden="false" customHeight="true" outlineLevel="0" collapsed="false"/>
    <row r="41120" customFormat="false" ht="15" hidden="false" customHeight="true" outlineLevel="0" collapsed="false"/>
    <row r="41121" customFormat="false" ht="15" hidden="false" customHeight="true" outlineLevel="0" collapsed="false"/>
    <row r="41122" customFormat="false" ht="15" hidden="false" customHeight="true" outlineLevel="0" collapsed="false"/>
    <row r="41123" customFormat="false" ht="15" hidden="false" customHeight="true" outlineLevel="0" collapsed="false"/>
    <row r="41124" customFormat="false" ht="15" hidden="false" customHeight="true" outlineLevel="0" collapsed="false"/>
    <row r="41125" customFormat="false" ht="15" hidden="false" customHeight="true" outlineLevel="0" collapsed="false"/>
    <row r="41126" customFormat="false" ht="15" hidden="false" customHeight="true" outlineLevel="0" collapsed="false"/>
    <row r="41127" customFormat="false" ht="15" hidden="false" customHeight="true" outlineLevel="0" collapsed="false"/>
    <row r="41128" customFormat="false" ht="15" hidden="false" customHeight="true" outlineLevel="0" collapsed="false"/>
    <row r="41129" customFormat="false" ht="15" hidden="false" customHeight="true" outlineLevel="0" collapsed="false"/>
    <row r="41130" customFormat="false" ht="15" hidden="false" customHeight="true" outlineLevel="0" collapsed="false"/>
    <row r="41131" customFormat="false" ht="15" hidden="false" customHeight="true" outlineLevel="0" collapsed="false"/>
    <row r="41132" customFormat="false" ht="15" hidden="false" customHeight="true" outlineLevel="0" collapsed="false"/>
    <row r="41133" customFormat="false" ht="15" hidden="false" customHeight="true" outlineLevel="0" collapsed="false"/>
    <row r="41134" customFormat="false" ht="15" hidden="false" customHeight="true" outlineLevel="0" collapsed="false"/>
    <row r="41135" customFormat="false" ht="15" hidden="false" customHeight="true" outlineLevel="0" collapsed="false"/>
    <row r="41136" customFormat="false" ht="15" hidden="false" customHeight="true" outlineLevel="0" collapsed="false"/>
    <row r="41137" customFormat="false" ht="15" hidden="false" customHeight="true" outlineLevel="0" collapsed="false"/>
    <row r="41138" customFormat="false" ht="15" hidden="false" customHeight="true" outlineLevel="0" collapsed="false"/>
    <row r="41139" customFormat="false" ht="15" hidden="false" customHeight="true" outlineLevel="0" collapsed="false"/>
    <row r="41140" customFormat="false" ht="15" hidden="false" customHeight="true" outlineLevel="0" collapsed="false"/>
    <row r="41141" customFormat="false" ht="15" hidden="false" customHeight="true" outlineLevel="0" collapsed="false"/>
    <row r="41142" customFormat="false" ht="15" hidden="false" customHeight="true" outlineLevel="0" collapsed="false"/>
    <row r="41143" customFormat="false" ht="15" hidden="false" customHeight="true" outlineLevel="0" collapsed="false"/>
    <row r="41144" customFormat="false" ht="15" hidden="false" customHeight="true" outlineLevel="0" collapsed="false"/>
    <row r="41145" customFormat="false" ht="15" hidden="false" customHeight="true" outlineLevel="0" collapsed="false"/>
    <row r="41146" customFormat="false" ht="15" hidden="false" customHeight="true" outlineLevel="0" collapsed="false"/>
    <row r="41147" customFormat="false" ht="15" hidden="false" customHeight="true" outlineLevel="0" collapsed="false"/>
    <row r="41148" customFormat="false" ht="15" hidden="false" customHeight="true" outlineLevel="0" collapsed="false"/>
    <row r="41149" customFormat="false" ht="15" hidden="false" customHeight="true" outlineLevel="0" collapsed="false"/>
    <row r="41150" customFormat="false" ht="15" hidden="false" customHeight="true" outlineLevel="0" collapsed="false"/>
    <row r="41151" customFormat="false" ht="15" hidden="false" customHeight="true" outlineLevel="0" collapsed="false"/>
    <row r="41152" customFormat="false" ht="15" hidden="false" customHeight="true" outlineLevel="0" collapsed="false"/>
    <row r="41153" customFormat="false" ht="15" hidden="false" customHeight="true" outlineLevel="0" collapsed="false"/>
    <row r="41154" customFormat="false" ht="15" hidden="false" customHeight="true" outlineLevel="0" collapsed="false"/>
    <row r="41155" customFormat="false" ht="15" hidden="false" customHeight="true" outlineLevel="0" collapsed="false"/>
    <row r="41156" customFormat="false" ht="15" hidden="false" customHeight="true" outlineLevel="0" collapsed="false"/>
    <row r="41157" customFormat="false" ht="15" hidden="false" customHeight="true" outlineLevel="0" collapsed="false"/>
    <row r="41158" customFormat="false" ht="15" hidden="false" customHeight="true" outlineLevel="0" collapsed="false"/>
    <row r="41159" customFormat="false" ht="15" hidden="false" customHeight="true" outlineLevel="0" collapsed="false"/>
    <row r="41160" customFormat="false" ht="15" hidden="false" customHeight="true" outlineLevel="0" collapsed="false"/>
    <row r="41161" customFormat="false" ht="15" hidden="false" customHeight="true" outlineLevel="0" collapsed="false"/>
    <row r="41162" customFormat="false" ht="15" hidden="false" customHeight="true" outlineLevel="0" collapsed="false"/>
    <row r="41163" customFormat="false" ht="15" hidden="false" customHeight="true" outlineLevel="0" collapsed="false"/>
    <row r="41164" customFormat="false" ht="15" hidden="false" customHeight="true" outlineLevel="0" collapsed="false"/>
    <row r="41165" customFormat="false" ht="15" hidden="false" customHeight="true" outlineLevel="0" collapsed="false"/>
    <row r="41166" customFormat="false" ht="15" hidden="false" customHeight="true" outlineLevel="0" collapsed="false"/>
    <row r="41167" customFormat="false" ht="15" hidden="false" customHeight="true" outlineLevel="0" collapsed="false"/>
    <row r="41168" customFormat="false" ht="15" hidden="false" customHeight="true" outlineLevel="0" collapsed="false"/>
    <row r="41169" customFormat="false" ht="15" hidden="false" customHeight="true" outlineLevel="0" collapsed="false"/>
    <row r="41170" customFormat="false" ht="15" hidden="false" customHeight="true" outlineLevel="0" collapsed="false"/>
    <row r="41171" customFormat="false" ht="15" hidden="false" customHeight="true" outlineLevel="0" collapsed="false"/>
    <row r="41172" customFormat="false" ht="15" hidden="false" customHeight="true" outlineLevel="0" collapsed="false"/>
    <row r="41173" customFormat="false" ht="15" hidden="false" customHeight="true" outlineLevel="0" collapsed="false"/>
    <row r="41174" customFormat="false" ht="15" hidden="false" customHeight="true" outlineLevel="0" collapsed="false"/>
    <row r="41175" customFormat="false" ht="15" hidden="false" customHeight="true" outlineLevel="0" collapsed="false"/>
    <row r="41176" customFormat="false" ht="15" hidden="false" customHeight="true" outlineLevel="0" collapsed="false"/>
    <row r="41177" customFormat="false" ht="15" hidden="false" customHeight="true" outlineLevel="0" collapsed="false"/>
    <row r="41178" customFormat="false" ht="15" hidden="false" customHeight="true" outlineLevel="0" collapsed="false"/>
    <row r="41179" customFormat="false" ht="15" hidden="false" customHeight="true" outlineLevel="0" collapsed="false"/>
    <row r="41180" customFormat="false" ht="15" hidden="false" customHeight="true" outlineLevel="0" collapsed="false"/>
    <row r="41181" customFormat="false" ht="15" hidden="false" customHeight="true" outlineLevel="0" collapsed="false"/>
    <row r="41182" customFormat="false" ht="15" hidden="false" customHeight="true" outlineLevel="0" collapsed="false"/>
    <row r="41183" customFormat="false" ht="15" hidden="false" customHeight="true" outlineLevel="0" collapsed="false"/>
    <row r="41184" customFormat="false" ht="15" hidden="false" customHeight="true" outlineLevel="0" collapsed="false"/>
    <row r="41185" customFormat="false" ht="15" hidden="false" customHeight="true" outlineLevel="0" collapsed="false"/>
    <row r="41186" customFormat="false" ht="15" hidden="false" customHeight="true" outlineLevel="0" collapsed="false"/>
    <row r="41187" customFormat="false" ht="15" hidden="false" customHeight="true" outlineLevel="0" collapsed="false"/>
    <row r="41188" customFormat="false" ht="15" hidden="false" customHeight="true" outlineLevel="0" collapsed="false"/>
    <row r="41189" customFormat="false" ht="15" hidden="false" customHeight="true" outlineLevel="0" collapsed="false"/>
    <row r="41190" customFormat="false" ht="15" hidden="false" customHeight="true" outlineLevel="0" collapsed="false"/>
    <row r="41191" customFormat="false" ht="15" hidden="false" customHeight="true" outlineLevel="0" collapsed="false"/>
    <row r="41192" customFormat="false" ht="15" hidden="false" customHeight="true" outlineLevel="0" collapsed="false"/>
    <row r="41193" customFormat="false" ht="15" hidden="false" customHeight="true" outlineLevel="0" collapsed="false"/>
    <row r="41194" customFormat="false" ht="15" hidden="false" customHeight="true" outlineLevel="0" collapsed="false"/>
    <row r="41195" customFormat="false" ht="15" hidden="false" customHeight="true" outlineLevel="0" collapsed="false"/>
    <row r="41196" customFormat="false" ht="15" hidden="false" customHeight="true" outlineLevel="0" collapsed="false"/>
    <row r="41197" customFormat="false" ht="15" hidden="false" customHeight="true" outlineLevel="0" collapsed="false"/>
    <row r="41198" customFormat="false" ht="15" hidden="false" customHeight="true" outlineLevel="0" collapsed="false"/>
    <row r="41199" customFormat="false" ht="15" hidden="false" customHeight="true" outlineLevel="0" collapsed="false"/>
    <row r="41200" customFormat="false" ht="15" hidden="false" customHeight="true" outlineLevel="0" collapsed="false"/>
    <row r="41201" customFormat="false" ht="15" hidden="false" customHeight="true" outlineLevel="0" collapsed="false"/>
    <row r="41202" customFormat="false" ht="15" hidden="false" customHeight="true" outlineLevel="0" collapsed="false"/>
    <row r="41203" customFormat="false" ht="15" hidden="false" customHeight="true" outlineLevel="0" collapsed="false"/>
    <row r="41204" customFormat="false" ht="15" hidden="false" customHeight="true" outlineLevel="0" collapsed="false"/>
    <row r="41205" customFormat="false" ht="15" hidden="false" customHeight="true" outlineLevel="0" collapsed="false"/>
    <row r="41206" customFormat="false" ht="15" hidden="false" customHeight="true" outlineLevel="0" collapsed="false"/>
    <row r="41207" customFormat="false" ht="15" hidden="false" customHeight="true" outlineLevel="0" collapsed="false"/>
    <row r="41208" customFormat="false" ht="15" hidden="false" customHeight="true" outlineLevel="0" collapsed="false"/>
    <row r="41209" customFormat="false" ht="15" hidden="false" customHeight="true" outlineLevel="0" collapsed="false"/>
    <row r="41210" customFormat="false" ht="15" hidden="false" customHeight="true" outlineLevel="0" collapsed="false"/>
    <row r="41211" customFormat="false" ht="15" hidden="false" customHeight="true" outlineLevel="0" collapsed="false"/>
    <row r="41212" customFormat="false" ht="15" hidden="false" customHeight="true" outlineLevel="0" collapsed="false"/>
    <row r="41213" customFormat="false" ht="15" hidden="false" customHeight="true" outlineLevel="0" collapsed="false"/>
    <row r="41214" customFormat="false" ht="15" hidden="false" customHeight="true" outlineLevel="0" collapsed="false"/>
    <row r="41215" customFormat="false" ht="15" hidden="false" customHeight="true" outlineLevel="0" collapsed="false"/>
    <row r="41216" customFormat="false" ht="15" hidden="false" customHeight="true" outlineLevel="0" collapsed="false"/>
    <row r="41217" customFormat="false" ht="15" hidden="false" customHeight="true" outlineLevel="0" collapsed="false"/>
    <row r="41218" customFormat="false" ht="15" hidden="false" customHeight="true" outlineLevel="0" collapsed="false"/>
    <row r="41219" customFormat="false" ht="15" hidden="false" customHeight="true" outlineLevel="0" collapsed="false"/>
    <row r="41220" customFormat="false" ht="15" hidden="false" customHeight="true" outlineLevel="0" collapsed="false"/>
    <row r="41221" customFormat="false" ht="15" hidden="false" customHeight="true" outlineLevel="0" collapsed="false"/>
    <row r="41222" customFormat="false" ht="15" hidden="false" customHeight="true" outlineLevel="0" collapsed="false"/>
    <row r="41223" customFormat="false" ht="15" hidden="false" customHeight="true" outlineLevel="0" collapsed="false"/>
    <row r="41224" customFormat="false" ht="15" hidden="false" customHeight="true" outlineLevel="0" collapsed="false"/>
    <row r="41225" customFormat="false" ht="15" hidden="false" customHeight="true" outlineLevel="0" collapsed="false"/>
    <row r="41226" customFormat="false" ht="15" hidden="false" customHeight="true" outlineLevel="0" collapsed="false"/>
    <row r="41227" customFormat="false" ht="15" hidden="false" customHeight="true" outlineLevel="0" collapsed="false"/>
    <row r="41228" customFormat="false" ht="15" hidden="false" customHeight="true" outlineLevel="0" collapsed="false"/>
    <row r="41229" customFormat="false" ht="15" hidden="false" customHeight="true" outlineLevel="0" collapsed="false"/>
    <row r="41230" customFormat="false" ht="15" hidden="false" customHeight="true" outlineLevel="0" collapsed="false"/>
    <row r="41231" customFormat="false" ht="15" hidden="false" customHeight="true" outlineLevel="0" collapsed="false"/>
    <row r="41232" customFormat="false" ht="15" hidden="false" customHeight="true" outlineLevel="0" collapsed="false"/>
    <row r="41233" customFormat="false" ht="15" hidden="false" customHeight="true" outlineLevel="0" collapsed="false"/>
    <row r="41234" customFormat="false" ht="15" hidden="false" customHeight="true" outlineLevel="0" collapsed="false"/>
    <row r="41235" customFormat="false" ht="15" hidden="false" customHeight="true" outlineLevel="0" collapsed="false"/>
    <row r="41236" customFormat="false" ht="15" hidden="false" customHeight="true" outlineLevel="0" collapsed="false"/>
    <row r="41237" customFormat="false" ht="15" hidden="false" customHeight="true" outlineLevel="0" collapsed="false"/>
    <row r="41238" customFormat="false" ht="15" hidden="false" customHeight="true" outlineLevel="0" collapsed="false"/>
    <row r="41239" customFormat="false" ht="15" hidden="false" customHeight="true" outlineLevel="0" collapsed="false"/>
    <row r="41240" customFormat="false" ht="15" hidden="false" customHeight="true" outlineLevel="0" collapsed="false"/>
    <row r="41241" customFormat="false" ht="15" hidden="false" customHeight="true" outlineLevel="0" collapsed="false"/>
    <row r="41242" customFormat="false" ht="15" hidden="false" customHeight="true" outlineLevel="0" collapsed="false"/>
    <row r="41243" customFormat="false" ht="15" hidden="false" customHeight="true" outlineLevel="0" collapsed="false"/>
    <row r="41244" customFormat="false" ht="15" hidden="false" customHeight="true" outlineLevel="0" collapsed="false"/>
    <row r="41245" customFormat="false" ht="15" hidden="false" customHeight="true" outlineLevel="0" collapsed="false"/>
    <row r="41246" customFormat="false" ht="15" hidden="false" customHeight="true" outlineLevel="0" collapsed="false"/>
    <row r="41247" customFormat="false" ht="15" hidden="false" customHeight="true" outlineLevel="0" collapsed="false"/>
    <row r="41248" customFormat="false" ht="15" hidden="false" customHeight="true" outlineLevel="0" collapsed="false"/>
    <row r="41249" customFormat="false" ht="15" hidden="false" customHeight="true" outlineLevel="0" collapsed="false"/>
    <row r="41250" customFormat="false" ht="15" hidden="false" customHeight="true" outlineLevel="0" collapsed="false"/>
    <row r="41251" customFormat="false" ht="15" hidden="false" customHeight="true" outlineLevel="0" collapsed="false"/>
    <row r="41252" customFormat="false" ht="15" hidden="false" customHeight="true" outlineLevel="0" collapsed="false"/>
    <row r="41253" customFormat="false" ht="15" hidden="false" customHeight="true" outlineLevel="0" collapsed="false"/>
    <row r="41254" customFormat="false" ht="15" hidden="false" customHeight="true" outlineLevel="0" collapsed="false"/>
    <row r="41255" customFormat="false" ht="15" hidden="false" customHeight="true" outlineLevel="0" collapsed="false"/>
    <row r="41256" customFormat="false" ht="15" hidden="false" customHeight="true" outlineLevel="0" collapsed="false"/>
    <row r="41257" customFormat="false" ht="15" hidden="false" customHeight="true" outlineLevel="0" collapsed="false"/>
    <row r="41258" customFormat="false" ht="15" hidden="false" customHeight="true" outlineLevel="0" collapsed="false"/>
    <row r="41259" customFormat="false" ht="15" hidden="false" customHeight="true" outlineLevel="0" collapsed="false"/>
    <row r="41260" customFormat="false" ht="15" hidden="false" customHeight="true" outlineLevel="0" collapsed="false"/>
    <row r="41261" customFormat="false" ht="15" hidden="false" customHeight="true" outlineLevel="0" collapsed="false"/>
    <row r="41262" customFormat="false" ht="15" hidden="false" customHeight="true" outlineLevel="0" collapsed="false"/>
    <row r="41263" customFormat="false" ht="15" hidden="false" customHeight="true" outlineLevel="0" collapsed="false"/>
    <row r="41264" customFormat="false" ht="15" hidden="false" customHeight="true" outlineLevel="0" collapsed="false"/>
    <row r="41265" customFormat="false" ht="15" hidden="false" customHeight="true" outlineLevel="0" collapsed="false"/>
    <row r="41266" customFormat="false" ht="15" hidden="false" customHeight="true" outlineLevel="0" collapsed="false"/>
    <row r="41267" customFormat="false" ht="15" hidden="false" customHeight="true" outlineLevel="0" collapsed="false"/>
    <row r="41268" customFormat="false" ht="15" hidden="false" customHeight="true" outlineLevel="0" collapsed="false"/>
    <row r="41269" customFormat="false" ht="15" hidden="false" customHeight="true" outlineLevel="0" collapsed="false"/>
    <row r="41270" customFormat="false" ht="15" hidden="false" customHeight="true" outlineLevel="0" collapsed="false"/>
    <row r="41271" customFormat="false" ht="15" hidden="false" customHeight="true" outlineLevel="0" collapsed="false"/>
    <row r="41272" customFormat="false" ht="15" hidden="false" customHeight="true" outlineLevel="0" collapsed="false"/>
    <row r="41273" customFormat="false" ht="15" hidden="false" customHeight="true" outlineLevel="0" collapsed="false"/>
    <row r="41274" customFormat="false" ht="15" hidden="false" customHeight="true" outlineLevel="0" collapsed="false"/>
    <row r="41275" customFormat="false" ht="15" hidden="false" customHeight="true" outlineLevel="0" collapsed="false"/>
    <row r="41276" customFormat="false" ht="15" hidden="false" customHeight="true" outlineLevel="0" collapsed="false"/>
    <row r="41277" customFormat="false" ht="15" hidden="false" customHeight="true" outlineLevel="0" collapsed="false"/>
    <row r="41278" customFormat="false" ht="15" hidden="false" customHeight="true" outlineLevel="0" collapsed="false"/>
    <row r="41279" customFormat="false" ht="15" hidden="false" customHeight="true" outlineLevel="0" collapsed="false"/>
    <row r="41280" customFormat="false" ht="15" hidden="false" customHeight="true" outlineLevel="0" collapsed="false"/>
    <row r="41281" customFormat="false" ht="15" hidden="false" customHeight="true" outlineLevel="0" collapsed="false"/>
    <row r="41282" customFormat="false" ht="15" hidden="false" customHeight="true" outlineLevel="0" collapsed="false"/>
    <row r="41283" customFormat="false" ht="15" hidden="false" customHeight="true" outlineLevel="0" collapsed="false"/>
    <row r="41284" customFormat="false" ht="15" hidden="false" customHeight="true" outlineLevel="0" collapsed="false"/>
    <row r="41285" customFormat="false" ht="15" hidden="false" customHeight="true" outlineLevel="0" collapsed="false"/>
    <row r="41286" customFormat="false" ht="15" hidden="false" customHeight="true" outlineLevel="0" collapsed="false"/>
    <row r="41287" customFormat="false" ht="15" hidden="false" customHeight="true" outlineLevel="0" collapsed="false"/>
    <row r="41288" customFormat="false" ht="15" hidden="false" customHeight="true" outlineLevel="0" collapsed="false"/>
    <row r="41289" customFormat="false" ht="15" hidden="false" customHeight="true" outlineLevel="0" collapsed="false"/>
    <row r="41290" customFormat="false" ht="15" hidden="false" customHeight="true" outlineLevel="0" collapsed="false"/>
    <row r="41291" customFormat="false" ht="15" hidden="false" customHeight="true" outlineLevel="0" collapsed="false"/>
    <row r="41292" customFormat="false" ht="15" hidden="false" customHeight="true" outlineLevel="0" collapsed="false"/>
    <row r="41293" customFormat="false" ht="15" hidden="false" customHeight="true" outlineLevel="0" collapsed="false"/>
    <row r="41294" customFormat="false" ht="15" hidden="false" customHeight="true" outlineLevel="0" collapsed="false"/>
    <row r="41295" customFormat="false" ht="15" hidden="false" customHeight="true" outlineLevel="0" collapsed="false"/>
    <row r="41296" customFormat="false" ht="15" hidden="false" customHeight="true" outlineLevel="0" collapsed="false"/>
    <row r="41297" customFormat="false" ht="15" hidden="false" customHeight="true" outlineLevel="0" collapsed="false"/>
    <row r="41298" customFormat="false" ht="15" hidden="false" customHeight="true" outlineLevel="0" collapsed="false"/>
    <row r="41299" customFormat="false" ht="15" hidden="false" customHeight="true" outlineLevel="0" collapsed="false"/>
    <row r="41300" customFormat="false" ht="15" hidden="false" customHeight="true" outlineLevel="0" collapsed="false"/>
    <row r="41301" customFormat="false" ht="15" hidden="false" customHeight="true" outlineLevel="0" collapsed="false"/>
    <row r="41302" customFormat="false" ht="15" hidden="false" customHeight="true" outlineLevel="0" collapsed="false"/>
    <row r="41303" customFormat="false" ht="15" hidden="false" customHeight="true" outlineLevel="0" collapsed="false"/>
    <row r="41304" customFormat="false" ht="15" hidden="false" customHeight="true" outlineLevel="0" collapsed="false"/>
    <row r="41305" customFormat="false" ht="15" hidden="false" customHeight="true" outlineLevel="0" collapsed="false"/>
    <row r="41306" customFormat="false" ht="15" hidden="false" customHeight="true" outlineLevel="0" collapsed="false"/>
    <row r="41307" customFormat="false" ht="15" hidden="false" customHeight="true" outlineLevel="0" collapsed="false"/>
    <row r="41308" customFormat="false" ht="15" hidden="false" customHeight="true" outlineLevel="0" collapsed="false"/>
    <row r="41309" customFormat="false" ht="15" hidden="false" customHeight="true" outlineLevel="0" collapsed="false"/>
    <row r="41310" customFormat="false" ht="15" hidden="false" customHeight="true" outlineLevel="0" collapsed="false"/>
    <row r="41311" customFormat="false" ht="15" hidden="false" customHeight="true" outlineLevel="0" collapsed="false"/>
    <row r="41312" customFormat="false" ht="15" hidden="false" customHeight="true" outlineLevel="0" collapsed="false"/>
    <row r="41313" customFormat="false" ht="15" hidden="false" customHeight="true" outlineLevel="0" collapsed="false"/>
    <row r="41314" customFormat="false" ht="15" hidden="false" customHeight="true" outlineLevel="0" collapsed="false"/>
    <row r="41315" customFormat="false" ht="15" hidden="false" customHeight="true" outlineLevel="0" collapsed="false"/>
    <row r="41316" customFormat="false" ht="15" hidden="false" customHeight="true" outlineLevel="0" collapsed="false"/>
    <row r="41317" customFormat="false" ht="15" hidden="false" customHeight="true" outlineLevel="0" collapsed="false"/>
    <row r="41318" customFormat="false" ht="15" hidden="false" customHeight="true" outlineLevel="0" collapsed="false"/>
    <row r="41319" customFormat="false" ht="15" hidden="false" customHeight="true" outlineLevel="0" collapsed="false"/>
    <row r="41320" customFormat="false" ht="15" hidden="false" customHeight="true" outlineLevel="0" collapsed="false"/>
    <row r="41321" customFormat="false" ht="15" hidden="false" customHeight="true" outlineLevel="0" collapsed="false"/>
    <row r="41322" customFormat="false" ht="15" hidden="false" customHeight="true" outlineLevel="0" collapsed="false"/>
    <row r="41323" customFormat="false" ht="15" hidden="false" customHeight="true" outlineLevel="0" collapsed="false"/>
    <row r="41324" customFormat="false" ht="15" hidden="false" customHeight="true" outlineLevel="0" collapsed="false"/>
    <row r="41325" customFormat="false" ht="15" hidden="false" customHeight="true" outlineLevel="0" collapsed="false"/>
    <row r="41326" customFormat="false" ht="15" hidden="false" customHeight="true" outlineLevel="0" collapsed="false"/>
    <row r="41327" customFormat="false" ht="15" hidden="false" customHeight="true" outlineLevel="0" collapsed="false"/>
    <row r="41328" customFormat="false" ht="15" hidden="false" customHeight="true" outlineLevel="0" collapsed="false"/>
    <row r="41329" customFormat="false" ht="15" hidden="false" customHeight="true" outlineLevel="0" collapsed="false"/>
    <row r="41330" customFormat="false" ht="15" hidden="false" customHeight="true" outlineLevel="0" collapsed="false"/>
    <row r="41331" customFormat="false" ht="15" hidden="false" customHeight="true" outlineLevel="0" collapsed="false"/>
    <row r="41332" customFormat="false" ht="15" hidden="false" customHeight="true" outlineLevel="0" collapsed="false"/>
    <row r="41333" customFormat="false" ht="15" hidden="false" customHeight="true" outlineLevel="0" collapsed="false"/>
    <row r="41334" customFormat="false" ht="15" hidden="false" customHeight="true" outlineLevel="0" collapsed="false"/>
    <row r="41335" customFormat="false" ht="15" hidden="false" customHeight="true" outlineLevel="0" collapsed="false"/>
    <row r="41336" customFormat="false" ht="15" hidden="false" customHeight="true" outlineLevel="0" collapsed="false"/>
    <row r="41337" customFormat="false" ht="15" hidden="false" customHeight="true" outlineLevel="0" collapsed="false"/>
    <row r="41338" customFormat="false" ht="15" hidden="false" customHeight="true" outlineLevel="0" collapsed="false"/>
    <row r="41339" customFormat="false" ht="15" hidden="false" customHeight="true" outlineLevel="0" collapsed="false"/>
    <row r="41340" customFormat="false" ht="15" hidden="false" customHeight="true" outlineLevel="0" collapsed="false"/>
    <row r="41341" customFormat="false" ht="15" hidden="false" customHeight="true" outlineLevel="0" collapsed="false"/>
    <row r="41342" customFormat="false" ht="15" hidden="false" customHeight="true" outlineLevel="0" collapsed="false"/>
    <row r="41343" customFormat="false" ht="15" hidden="false" customHeight="true" outlineLevel="0" collapsed="false"/>
    <row r="41344" customFormat="false" ht="15" hidden="false" customHeight="true" outlineLevel="0" collapsed="false"/>
    <row r="41345" customFormat="false" ht="15" hidden="false" customHeight="true" outlineLevel="0" collapsed="false"/>
    <row r="41346" customFormat="false" ht="15" hidden="false" customHeight="true" outlineLevel="0" collapsed="false"/>
    <row r="41347" customFormat="false" ht="15" hidden="false" customHeight="true" outlineLevel="0" collapsed="false"/>
    <row r="41348" customFormat="false" ht="15" hidden="false" customHeight="true" outlineLevel="0" collapsed="false"/>
    <row r="41349" customFormat="false" ht="15" hidden="false" customHeight="true" outlineLevel="0" collapsed="false"/>
    <row r="41350" customFormat="false" ht="15" hidden="false" customHeight="true" outlineLevel="0" collapsed="false"/>
    <row r="41351" customFormat="false" ht="15" hidden="false" customHeight="true" outlineLevel="0" collapsed="false"/>
    <row r="41352" customFormat="false" ht="15" hidden="false" customHeight="true" outlineLevel="0" collapsed="false"/>
    <row r="41353" customFormat="false" ht="15" hidden="false" customHeight="true" outlineLevel="0" collapsed="false"/>
    <row r="41354" customFormat="false" ht="15" hidden="false" customHeight="true" outlineLevel="0" collapsed="false"/>
    <row r="41355" customFormat="false" ht="15" hidden="false" customHeight="true" outlineLevel="0" collapsed="false"/>
    <row r="41356" customFormat="false" ht="15" hidden="false" customHeight="true" outlineLevel="0" collapsed="false"/>
    <row r="41357" customFormat="false" ht="15" hidden="false" customHeight="true" outlineLevel="0" collapsed="false"/>
    <row r="41358" customFormat="false" ht="15" hidden="false" customHeight="true" outlineLevel="0" collapsed="false"/>
    <row r="41359" customFormat="false" ht="15" hidden="false" customHeight="true" outlineLevel="0" collapsed="false"/>
    <row r="41360" customFormat="false" ht="15" hidden="false" customHeight="true" outlineLevel="0" collapsed="false"/>
    <row r="41361" customFormat="false" ht="15" hidden="false" customHeight="true" outlineLevel="0" collapsed="false"/>
    <row r="41362" customFormat="false" ht="15" hidden="false" customHeight="true" outlineLevel="0" collapsed="false"/>
    <row r="41363" customFormat="false" ht="15" hidden="false" customHeight="true" outlineLevel="0" collapsed="false"/>
    <row r="41364" customFormat="false" ht="15" hidden="false" customHeight="true" outlineLevel="0" collapsed="false"/>
    <row r="41365" customFormat="false" ht="15" hidden="false" customHeight="true" outlineLevel="0" collapsed="false"/>
    <row r="41366" customFormat="false" ht="15" hidden="false" customHeight="true" outlineLevel="0" collapsed="false"/>
    <row r="41367" customFormat="false" ht="15" hidden="false" customHeight="true" outlineLevel="0" collapsed="false"/>
    <row r="41368" customFormat="false" ht="15" hidden="false" customHeight="true" outlineLevel="0" collapsed="false"/>
    <row r="41369" customFormat="false" ht="15" hidden="false" customHeight="true" outlineLevel="0" collapsed="false"/>
    <row r="41370" customFormat="false" ht="15" hidden="false" customHeight="true" outlineLevel="0" collapsed="false"/>
    <row r="41371" customFormat="false" ht="15" hidden="false" customHeight="true" outlineLevel="0" collapsed="false"/>
    <row r="41372" customFormat="false" ht="15" hidden="false" customHeight="true" outlineLevel="0" collapsed="false"/>
    <row r="41373" customFormat="false" ht="15" hidden="false" customHeight="true" outlineLevel="0" collapsed="false"/>
    <row r="41374" customFormat="false" ht="15" hidden="false" customHeight="true" outlineLevel="0" collapsed="false"/>
    <row r="41375" customFormat="false" ht="15" hidden="false" customHeight="true" outlineLevel="0" collapsed="false"/>
    <row r="41376" customFormat="false" ht="15" hidden="false" customHeight="true" outlineLevel="0" collapsed="false"/>
    <row r="41377" customFormat="false" ht="15" hidden="false" customHeight="true" outlineLevel="0" collapsed="false"/>
    <row r="41378" customFormat="false" ht="15" hidden="false" customHeight="true" outlineLevel="0" collapsed="false"/>
    <row r="41379" customFormat="false" ht="15" hidden="false" customHeight="true" outlineLevel="0" collapsed="false"/>
    <row r="41380" customFormat="false" ht="15" hidden="false" customHeight="true" outlineLevel="0" collapsed="false"/>
    <row r="41381" customFormat="false" ht="15" hidden="false" customHeight="true" outlineLevel="0" collapsed="false"/>
    <row r="41382" customFormat="false" ht="15" hidden="false" customHeight="true" outlineLevel="0" collapsed="false"/>
    <row r="41383" customFormat="false" ht="15" hidden="false" customHeight="true" outlineLevel="0" collapsed="false"/>
    <row r="41384" customFormat="false" ht="15" hidden="false" customHeight="true" outlineLevel="0" collapsed="false"/>
    <row r="41385" customFormat="false" ht="15" hidden="false" customHeight="true" outlineLevel="0" collapsed="false"/>
    <row r="41386" customFormat="false" ht="15" hidden="false" customHeight="true" outlineLevel="0" collapsed="false"/>
    <row r="41387" customFormat="false" ht="15" hidden="false" customHeight="true" outlineLevel="0" collapsed="false"/>
    <row r="41388" customFormat="false" ht="15" hidden="false" customHeight="true" outlineLevel="0" collapsed="false"/>
    <row r="41389" customFormat="false" ht="15" hidden="false" customHeight="true" outlineLevel="0" collapsed="false"/>
    <row r="41390" customFormat="false" ht="15" hidden="false" customHeight="true" outlineLevel="0" collapsed="false"/>
    <row r="41391" customFormat="false" ht="15" hidden="false" customHeight="true" outlineLevel="0" collapsed="false"/>
    <row r="41392" customFormat="false" ht="15" hidden="false" customHeight="true" outlineLevel="0" collapsed="false"/>
    <row r="41393" customFormat="false" ht="15" hidden="false" customHeight="true" outlineLevel="0" collapsed="false"/>
    <row r="41394" customFormat="false" ht="15" hidden="false" customHeight="true" outlineLevel="0" collapsed="false"/>
    <row r="41395" customFormat="false" ht="15" hidden="false" customHeight="true" outlineLevel="0" collapsed="false"/>
    <row r="41396" customFormat="false" ht="15" hidden="false" customHeight="true" outlineLevel="0" collapsed="false"/>
    <row r="41397" customFormat="false" ht="15" hidden="false" customHeight="true" outlineLevel="0" collapsed="false"/>
    <row r="41398" customFormat="false" ht="15" hidden="false" customHeight="true" outlineLevel="0" collapsed="false"/>
    <row r="41399" customFormat="false" ht="15" hidden="false" customHeight="true" outlineLevel="0" collapsed="false"/>
    <row r="41400" customFormat="false" ht="15" hidden="false" customHeight="true" outlineLevel="0" collapsed="false"/>
    <row r="41401" customFormat="false" ht="15" hidden="false" customHeight="true" outlineLevel="0" collapsed="false"/>
    <row r="41402" customFormat="false" ht="15" hidden="false" customHeight="true" outlineLevel="0" collapsed="false"/>
    <row r="41403" customFormat="false" ht="15" hidden="false" customHeight="true" outlineLevel="0" collapsed="false"/>
    <row r="41404" customFormat="false" ht="15" hidden="false" customHeight="true" outlineLevel="0" collapsed="false"/>
    <row r="41405" customFormat="false" ht="15" hidden="false" customHeight="true" outlineLevel="0" collapsed="false"/>
    <row r="41406" customFormat="false" ht="15" hidden="false" customHeight="true" outlineLevel="0" collapsed="false"/>
    <row r="41407" customFormat="false" ht="15" hidden="false" customHeight="true" outlineLevel="0" collapsed="false"/>
    <row r="41408" customFormat="false" ht="15" hidden="false" customHeight="true" outlineLevel="0" collapsed="false"/>
    <row r="41409" customFormat="false" ht="15" hidden="false" customHeight="true" outlineLevel="0" collapsed="false"/>
    <row r="41410" customFormat="false" ht="15" hidden="false" customHeight="true" outlineLevel="0" collapsed="false"/>
    <row r="41411" customFormat="false" ht="15" hidden="false" customHeight="true" outlineLevel="0" collapsed="false"/>
    <row r="41412" customFormat="false" ht="15" hidden="false" customHeight="true" outlineLevel="0" collapsed="false"/>
    <row r="41413" customFormat="false" ht="15" hidden="false" customHeight="true" outlineLevel="0" collapsed="false"/>
    <row r="41414" customFormat="false" ht="15" hidden="false" customHeight="true" outlineLevel="0" collapsed="false"/>
    <row r="41415" customFormat="false" ht="15" hidden="false" customHeight="true" outlineLevel="0" collapsed="false"/>
    <row r="41416" customFormat="false" ht="15" hidden="false" customHeight="true" outlineLevel="0" collapsed="false"/>
    <row r="41417" customFormat="false" ht="15" hidden="false" customHeight="true" outlineLevel="0" collapsed="false"/>
    <row r="41418" customFormat="false" ht="15" hidden="false" customHeight="true" outlineLevel="0" collapsed="false"/>
    <row r="41419" customFormat="false" ht="15" hidden="false" customHeight="true" outlineLevel="0" collapsed="false"/>
    <row r="41420" customFormat="false" ht="15" hidden="false" customHeight="true" outlineLevel="0" collapsed="false"/>
    <row r="41421" customFormat="false" ht="15" hidden="false" customHeight="true" outlineLevel="0" collapsed="false"/>
    <row r="41422" customFormat="false" ht="15" hidden="false" customHeight="true" outlineLevel="0" collapsed="false"/>
    <row r="41423" customFormat="false" ht="15" hidden="false" customHeight="true" outlineLevel="0" collapsed="false"/>
    <row r="41424" customFormat="false" ht="15" hidden="false" customHeight="true" outlineLevel="0" collapsed="false"/>
    <row r="41425" customFormat="false" ht="15" hidden="false" customHeight="true" outlineLevel="0" collapsed="false"/>
    <row r="41426" customFormat="false" ht="15" hidden="false" customHeight="true" outlineLevel="0" collapsed="false"/>
    <row r="41427" customFormat="false" ht="15" hidden="false" customHeight="true" outlineLevel="0" collapsed="false"/>
    <row r="41428" customFormat="false" ht="15" hidden="false" customHeight="true" outlineLevel="0" collapsed="false"/>
    <row r="41429" customFormat="false" ht="15" hidden="false" customHeight="true" outlineLevel="0" collapsed="false"/>
    <row r="41430" customFormat="false" ht="15" hidden="false" customHeight="true" outlineLevel="0" collapsed="false"/>
    <row r="41431" customFormat="false" ht="15" hidden="false" customHeight="true" outlineLevel="0" collapsed="false"/>
    <row r="41432" customFormat="false" ht="15" hidden="false" customHeight="true" outlineLevel="0" collapsed="false"/>
    <row r="41433" customFormat="false" ht="15" hidden="false" customHeight="true" outlineLevel="0" collapsed="false"/>
    <row r="41434" customFormat="false" ht="15" hidden="false" customHeight="true" outlineLevel="0" collapsed="false"/>
    <row r="41435" customFormat="false" ht="15" hidden="false" customHeight="true" outlineLevel="0" collapsed="false"/>
    <row r="41436" customFormat="false" ht="15" hidden="false" customHeight="true" outlineLevel="0" collapsed="false"/>
    <row r="41437" customFormat="false" ht="15" hidden="false" customHeight="true" outlineLevel="0" collapsed="false"/>
    <row r="41438" customFormat="false" ht="15" hidden="false" customHeight="true" outlineLevel="0" collapsed="false"/>
    <row r="41439" customFormat="false" ht="15" hidden="false" customHeight="true" outlineLevel="0" collapsed="false"/>
    <row r="41440" customFormat="false" ht="15" hidden="false" customHeight="true" outlineLevel="0" collapsed="false"/>
    <row r="41441" customFormat="false" ht="15" hidden="false" customHeight="true" outlineLevel="0" collapsed="false"/>
    <row r="41442" customFormat="false" ht="15" hidden="false" customHeight="true" outlineLevel="0" collapsed="false"/>
    <row r="41443" customFormat="false" ht="15" hidden="false" customHeight="true" outlineLevel="0" collapsed="false"/>
    <row r="41444" customFormat="false" ht="15" hidden="false" customHeight="true" outlineLevel="0" collapsed="false"/>
    <row r="41445" customFormat="false" ht="15" hidden="false" customHeight="true" outlineLevel="0" collapsed="false"/>
    <row r="41446" customFormat="false" ht="15" hidden="false" customHeight="true" outlineLevel="0" collapsed="false"/>
    <row r="41447" customFormat="false" ht="15" hidden="false" customHeight="true" outlineLevel="0" collapsed="false"/>
    <row r="41448" customFormat="false" ht="15" hidden="false" customHeight="true" outlineLevel="0" collapsed="false"/>
    <row r="41449" customFormat="false" ht="15" hidden="false" customHeight="true" outlineLevel="0" collapsed="false"/>
    <row r="41450" customFormat="false" ht="15" hidden="false" customHeight="true" outlineLevel="0" collapsed="false"/>
    <row r="41451" customFormat="false" ht="15" hidden="false" customHeight="true" outlineLevel="0" collapsed="false"/>
    <row r="41452" customFormat="false" ht="15" hidden="false" customHeight="true" outlineLevel="0" collapsed="false"/>
    <row r="41453" customFormat="false" ht="15" hidden="false" customHeight="true" outlineLevel="0" collapsed="false"/>
    <row r="41454" customFormat="false" ht="15" hidden="false" customHeight="true" outlineLevel="0" collapsed="false"/>
    <row r="41455" customFormat="false" ht="15" hidden="false" customHeight="true" outlineLevel="0" collapsed="false"/>
    <row r="41456" customFormat="false" ht="15" hidden="false" customHeight="true" outlineLevel="0" collapsed="false"/>
    <row r="41457" customFormat="false" ht="15" hidden="false" customHeight="true" outlineLevel="0" collapsed="false"/>
    <row r="41458" customFormat="false" ht="15" hidden="false" customHeight="true" outlineLevel="0" collapsed="false"/>
    <row r="41459" customFormat="false" ht="15" hidden="false" customHeight="true" outlineLevel="0" collapsed="false"/>
    <row r="41460" customFormat="false" ht="15" hidden="false" customHeight="true" outlineLevel="0" collapsed="false"/>
    <row r="41461" customFormat="false" ht="15" hidden="false" customHeight="true" outlineLevel="0" collapsed="false"/>
    <row r="41462" customFormat="false" ht="15" hidden="false" customHeight="true" outlineLevel="0" collapsed="false"/>
    <row r="41463" customFormat="false" ht="15" hidden="false" customHeight="true" outlineLevel="0" collapsed="false"/>
    <row r="41464" customFormat="false" ht="15" hidden="false" customHeight="true" outlineLevel="0" collapsed="false"/>
    <row r="41465" customFormat="false" ht="15" hidden="false" customHeight="true" outlineLevel="0" collapsed="false"/>
    <row r="41466" customFormat="false" ht="15" hidden="false" customHeight="true" outlineLevel="0" collapsed="false"/>
    <row r="41467" customFormat="false" ht="15" hidden="false" customHeight="true" outlineLevel="0" collapsed="false"/>
    <row r="41468" customFormat="false" ht="15" hidden="false" customHeight="true" outlineLevel="0" collapsed="false"/>
    <row r="41469" customFormat="false" ht="15" hidden="false" customHeight="true" outlineLevel="0" collapsed="false"/>
    <row r="41470" customFormat="false" ht="15" hidden="false" customHeight="true" outlineLevel="0" collapsed="false"/>
    <row r="41471" customFormat="false" ht="15" hidden="false" customHeight="true" outlineLevel="0" collapsed="false"/>
    <row r="41472" customFormat="false" ht="15" hidden="false" customHeight="true" outlineLevel="0" collapsed="false"/>
    <row r="41473" customFormat="false" ht="15" hidden="false" customHeight="true" outlineLevel="0" collapsed="false"/>
    <row r="41474" customFormat="false" ht="15" hidden="false" customHeight="true" outlineLevel="0" collapsed="false"/>
    <row r="41475" customFormat="false" ht="15" hidden="false" customHeight="true" outlineLevel="0" collapsed="false"/>
    <row r="41476" customFormat="false" ht="15" hidden="false" customHeight="true" outlineLevel="0" collapsed="false"/>
    <row r="41477" customFormat="false" ht="15" hidden="false" customHeight="true" outlineLevel="0" collapsed="false"/>
    <row r="41478" customFormat="false" ht="15" hidden="false" customHeight="true" outlineLevel="0" collapsed="false"/>
    <row r="41479" customFormat="false" ht="15" hidden="false" customHeight="true" outlineLevel="0" collapsed="false"/>
    <row r="41480" customFormat="false" ht="15" hidden="false" customHeight="true" outlineLevel="0" collapsed="false"/>
    <row r="41481" customFormat="false" ht="15" hidden="false" customHeight="true" outlineLevel="0" collapsed="false"/>
    <row r="41482" customFormat="false" ht="15" hidden="false" customHeight="true" outlineLevel="0" collapsed="false"/>
    <row r="41483" customFormat="false" ht="15" hidden="false" customHeight="true" outlineLevel="0" collapsed="false"/>
    <row r="41484" customFormat="false" ht="15" hidden="false" customHeight="true" outlineLevel="0" collapsed="false"/>
    <row r="41485" customFormat="false" ht="15" hidden="false" customHeight="true" outlineLevel="0" collapsed="false"/>
    <row r="41486" customFormat="false" ht="15" hidden="false" customHeight="true" outlineLevel="0" collapsed="false"/>
    <row r="41487" customFormat="false" ht="15" hidden="false" customHeight="true" outlineLevel="0" collapsed="false"/>
    <row r="41488" customFormat="false" ht="15" hidden="false" customHeight="true" outlineLevel="0" collapsed="false"/>
    <row r="41489" customFormat="false" ht="15" hidden="false" customHeight="true" outlineLevel="0" collapsed="false"/>
    <row r="41490" customFormat="false" ht="15" hidden="false" customHeight="true" outlineLevel="0" collapsed="false"/>
    <row r="41491" customFormat="false" ht="15" hidden="false" customHeight="true" outlineLevel="0" collapsed="false"/>
    <row r="41492" customFormat="false" ht="15" hidden="false" customHeight="true" outlineLevel="0" collapsed="false"/>
    <row r="41493" customFormat="false" ht="15" hidden="false" customHeight="true" outlineLevel="0" collapsed="false"/>
    <row r="41494" customFormat="false" ht="15" hidden="false" customHeight="true" outlineLevel="0" collapsed="false"/>
    <row r="41495" customFormat="false" ht="15" hidden="false" customHeight="true" outlineLevel="0" collapsed="false"/>
    <row r="41496" customFormat="false" ht="15" hidden="false" customHeight="true" outlineLevel="0" collapsed="false"/>
    <row r="41497" customFormat="false" ht="15" hidden="false" customHeight="true" outlineLevel="0" collapsed="false"/>
    <row r="41498" customFormat="false" ht="15" hidden="false" customHeight="true" outlineLevel="0" collapsed="false"/>
    <row r="41499" customFormat="false" ht="15" hidden="false" customHeight="true" outlineLevel="0" collapsed="false"/>
    <row r="41500" customFormat="false" ht="15" hidden="false" customHeight="true" outlineLevel="0" collapsed="false"/>
    <row r="41501" customFormat="false" ht="15" hidden="false" customHeight="true" outlineLevel="0" collapsed="false"/>
    <row r="41502" customFormat="false" ht="15" hidden="false" customHeight="true" outlineLevel="0" collapsed="false"/>
    <row r="41503" customFormat="false" ht="15" hidden="false" customHeight="true" outlineLevel="0" collapsed="false"/>
    <row r="41504" customFormat="false" ht="15" hidden="false" customHeight="true" outlineLevel="0" collapsed="false"/>
    <row r="41505" customFormat="false" ht="15" hidden="false" customHeight="true" outlineLevel="0" collapsed="false"/>
    <row r="41506" customFormat="false" ht="15" hidden="false" customHeight="true" outlineLevel="0" collapsed="false"/>
    <row r="41507" customFormat="false" ht="15" hidden="false" customHeight="true" outlineLevel="0" collapsed="false"/>
    <row r="41508" customFormat="false" ht="15" hidden="false" customHeight="true" outlineLevel="0" collapsed="false"/>
    <row r="41509" customFormat="false" ht="15" hidden="false" customHeight="true" outlineLevel="0" collapsed="false"/>
    <row r="41510" customFormat="false" ht="15" hidden="false" customHeight="true" outlineLevel="0" collapsed="false"/>
    <row r="41511" customFormat="false" ht="15" hidden="false" customHeight="true" outlineLevel="0" collapsed="false"/>
    <row r="41512" customFormat="false" ht="15" hidden="false" customHeight="true" outlineLevel="0" collapsed="false"/>
    <row r="41513" customFormat="false" ht="15" hidden="false" customHeight="true" outlineLevel="0" collapsed="false"/>
    <row r="41514" customFormat="false" ht="15" hidden="false" customHeight="true" outlineLevel="0" collapsed="false"/>
    <row r="41515" customFormat="false" ht="15" hidden="false" customHeight="true" outlineLevel="0" collapsed="false"/>
    <row r="41516" customFormat="false" ht="15" hidden="false" customHeight="true" outlineLevel="0" collapsed="false"/>
    <row r="41517" customFormat="false" ht="15" hidden="false" customHeight="true" outlineLevel="0" collapsed="false"/>
    <row r="41518" customFormat="false" ht="15" hidden="false" customHeight="true" outlineLevel="0" collapsed="false"/>
    <row r="41519" customFormat="false" ht="15" hidden="false" customHeight="true" outlineLevel="0" collapsed="false"/>
    <row r="41520" customFormat="false" ht="15" hidden="false" customHeight="true" outlineLevel="0" collapsed="false"/>
    <row r="41521" customFormat="false" ht="15" hidden="false" customHeight="true" outlineLevel="0" collapsed="false"/>
    <row r="41522" customFormat="false" ht="15" hidden="false" customHeight="true" outlineLevel="0" collapsed="false"/>
    <row r="41523" customFormat="false" ht="15" hidden="false" customHeight="true" outlineLevel="0" collapsed="false"/>
    <row r="41524" customFormat="false" ht="15" hidden="false" customHeight="true" outlineLevel="0" collapsed="false"/>
    <row r="41525" customFormat="false" ht="15" hidden="false" customHeight="true" outlineLevel="0" collapsed="false"/>
    <row r="41526" customFormat="false" ht="15" hidden="false" customHeight="true" outlineLevel="0" collapsed="false"/>
    <row r="41527" customFormat="false" ht="15" hidden="false" customHeight="true" outlineLevel="0" collapsed="false"/>
    <row r="41528" customFormat="false" ht="15" hidden="false" customHeight="true" outlineLevel="0" collapsed="false"/>
    <row r="41529" customFormat="false" ht="15" hidden="false" customHeight="true" outlineLevel="0" collapsed="false"/>
    <row r="41530" customFormat="false" ht="15" hidden="false" customHeight="true" outlineLevel="0" collapsed="false"/>
    <row r="41531" customFormat="false" ht="15" hidden="false" customHeight="true" outlineLevel="0" collapsed="false"/>
    <row r="41532" customFormat="false" ht="15" hidden="false" customHeight="true" outlineLevel="0" collapsed="false"/>
    <row r="41533" customFormat="false" ht="15" hidden="false" customHeight="true" outlineLevel="0" collapsed="false"/>
    <row r="41534" customFormat="false" ht="15" hidden="false" customHeight="true" outlineLevel="0" collapsed="false"/>
    <row r="41535" customFormat="false" ht="15" hidden="false" customHeight="true" outlineLevel="0" collapsed="false"/>
    <row r="41536" customFormat="false" ht="15" hidden="false" customHeight="true" outlineLevel="0" collapsed="false"/>
    <row r="41537" customFormat="false" ht="15" hidden="false" customHeight="true" outlineLevel="0" collapsed="false"/>
    <row r="41538" customFormat="false" ht="15" hidden="false" customHeight="true" outlineLevel="0" collapsed="false"/>
    <row r="41539" customFormat="false" ht="15" hidden="false" customHeight="true" outlineLevel="0" collapsed="false"/>
    <row r="41540" customFormat="false" ht="15" hidden="false" customHeight="true" outlineLevel="0" collapsed="false"/>
    <row r="41541" customFormat="false" ht="15" hidden="false" customHeight="true" outlineLevel="0" collapsed="false"/>
    <row r="41542" customFormat="false" ht="15" hidden="false" customHeight="true" outlineLevel="0" collapsed="false"/>
    <row r="41543" customFormat="false" ht="15" hidden="false" customHeight="true" outlineLevel="0" collapsed="false"/>
    <row r="41544" customFormat="false" ht="15" hidden="false" customHeight="true" outlineLevel="0" collapsed="false"/>
    <row r="41545" customFormat="false" ht="15" hidden="false" customHeight="true" outlineLevel="0" collapsed="false"/>
    <row r="41546" customFormat="false" ht="15" hidden="false" customHeight="true" outlineLevel="0" collapsed="false"/>
    <row r="41547" customFormat="false" ht="15" hidden="false" customHeight="true" outlineLevel="0" collapsed="false"/>
    <row r="41548" customFormat="false" ht="15" hidden="false" customHeight="true" outlineLevel="0" collapsed="false"/>
    <row r="41549" customFormat="false" ht="15" hidden="false" customHeight="true" outlineLevel="0" collapsed="false"/>
    <row r="41550" customFormat="false" ht="15" hidden="false" customHeight="true" outlineLevel="0" collapsed="false"/>
    <row r="41551" customFormat="false" ht="15" hidden="false" customHeight="true" outlineLevel="0" collapsed="false"/>
    <row r="41552" customFormat="false" ht="15" hidden="false" customHeight="true" outlineLevel="0" collapsed="false"/>
    <row r="41553" customFormat="false" ht="15" hidden="false" customHeight="true" outlineLevel="0" collapsed="false"/>
    <row r="41554" customFormat="false" ht="15" hidden="false" customHeight="true" outlineLevel="0" collapsed="false"/>
    <row r="41555" customFormat="false" ht="15" hidden="false" customHeight="true" outlineLevel="0" collapsed="false"/>
    <row r="41556" customFormat="false" ht="15" hidden="false" customHeight="true" outlineLevel="0" collapsed="false"/>
    <row r="41557" customFormat="false" ht="15" hidden="false" customHeight="true" outlineLevel="0" collapsed="false"/>
    <row r="41558" customFormat="false" ht="15" hidden="false" customHeight="true" outlineLevel="0" collapsed="false"/>
    <row r="41559" customFormat="false" ht="15" hidden="false" customHeight="true" outlineLevel="0" collapsed="false"/>
    <row r="41560" customFormat="false" ht="15" hidden="false" customHeight="true" outlineLevel="0" collapsed="false"/>
    <row r="41561" customFormat="false" ht="15" hidden="false" customHeight="true" outlineLevel="0" collapsed="false"/>
    <row r="41562" customFormat="false" ht="15" hidden="false" customHeight="true" outlineLevel="0" collapsed="false"/>
    <row r="41563" customFormat="false" ht="15" hidden="false" customHeight="true" outlineLevel="0" collapsed="false"/>
    <row r="41564" customFormat="false" ht="15" hidden="false" customHeight="true" outlineLevel="0" collapsed="false"/>
    <row r="41565" customFormat="false" ht="15" hidden="false" customHeight="true" outlineLevel="0" collapsed="false"/>
    <row r="41566" customFormat="false" ht="15" hidden="false" customHeight="true" outlineLevel="0" collapsed="false"/>
    <row r="41567" customFormat="false" ht="15" hidden="false" customHeight="true" outlineLevel="0" collapsed="false"/>
    <row r="41568" customFormat="false" ht="15" hidden="false" customHeight="true" outlineLevel="0" collapsed="false"/>
    <row r="41569" customFormat="false" ht="15" hidden="false" customHeight="true" outlineLevel="0" collapsed="false"/>
    <row r="41570" customFormat="false" ht="15" hidden="false" customHeight="true" outlineLevel="0" collapsed="false"/>
    <row r="41571" customFormat="false" ht="15" hidden="false" customHeight="true" outlineLevel="0" collapsed="false"/>
    <row r="41572" customFormat="false" ht="15" hidden="false" customHeight="true" outlineLevel="0" collapsed="false"/>
    <row r="41573" customFormat="false" ht="15" hidden="false" customHeight="true" outlineLevel="0" collapsed="false"/>
    <row r="41574" customFormat="false" ht="15" hidden="false" customHeight="true" outlineLevel="0" collapsed="false"/>
    <row r="41575" customFormat="false" ht="15" hidden="false" customHeight="true" outlineLevel="0" collapsed="false"/>
    <row r="41576" customFormat="false" ht="15" hidden="false" customHeight="true" outlineLevel="0" collapsed="false"/>
    <row r="41577" customFormat="false" ht="15" hidden="false" customHeight="true" outlineLevel="0" collapsed="false"/>
    <row r="41578" customFormat="false" ht="15" hidden="false" customHeight="true" outlineLevel="0" collapsed="false"/>
    <row r="41579" customFormat="false" ht="15" hidden="false" customHeight="true" outlineLevel="0" collapsed="false"/>
    <row r="41580" customFormat="false" ht="15" hidden="false" customHeight="true" outlineLevel="0" collapsed="false"/>
    <row r="41581" customFormat="false" ht="15" hidden="false" customHeight="true" outlineLevel="0" collapsed="false"/>
    <row r="41582" customFormat="false" ht="15" hidden="false" customHeight="true" outlineLevel="0" collapsed="false"/>
    <row r="41583" customFormat="false" ht="15" hidden="false" customHeight="true" outlineLevel="0" collapsed="false"/>
    <row r="41584" customFormat="false" ht="15" hidden="false" customHeight="true" outlineLevel="0" collapsed="false"/>
    <row r="41585" customFormat="false" ht="15" hidden="false" customHeight="true" outlineLevel="0" collapsed="false"/>
    <row r="41586" customFormat="false" ht="15" hidden="false" customHeight="true" outlineLevel="0" collapsed="false"/>
    <row r="41587" customFormat="false" ht="15" hidden="false" customHeight="true" outlineLevel="0" collapsed="false"/>
    <row r="41588" customFormat="false" ht="15" hidden="false" customHeight="true" outlineLevel="0" collapsed="false"/>
    <row r="41589" customFormat="false" ht="15" hidden="false" customHeight="true" outlineLevel="0" collapsed="false"/>
    <row r="41590" customFormat="false" ht="15" hidden="false" customHeight="true" outlineLevel="0" collapsed="false"/>
    <row r="41591" customFormat="false" ht="15" hidden="false" customHeight="true" outlineLevel="0" collapsed="false"/>
    <row r="41592" customFormat="false" ht="15" hidden="false" customHeight="true" outlineLevel="0" collapsed="false"/>
    <row r="41593" customFormat="false" ht="15" hidden="false" customHeight="true" outlineLevel="0" collapsed="false"/>
    <row r="41594" customFormat="false" ht="15" hidden="false" customHeight="true" outlineLevel="0" collapsed="false"/>
    <row r="41595" customFormat="false" ht="15" hidden="false" customHeight="true" outlineLevel="0" collapsed="false"/>
    <row r="41596" customFormat="false" ht="15" hidden="false" customHeight="true" outlineLevel="0" collapsed="false"/>
    <row r="41597" customFormat="false" ht="15" hidden="false" customHeight="true" outlineLevel="0" collapsed="false"/>
    <row r="41598" customFormat="false" ht="15" hidden="false" customHeight="true" outlineLevel="0" collapsed="false"/>
    <row r="41599" customFormat="false" ht="15" hidden="false" customHeight="true" outlineLevel="0" collapsed="false"/>
    <row r="41600" customFormat="false" ht="15" hidden="false" customHeight="true" outlineLevel="0" collapsed="false"/>
    <row r="41601" customFormat="false" ht="15" hidden="false" customHeight="true" outlineLevel="0" collapsed="false"/>
    <row r="41602" customFormat="false" ht="15" hidden="false" customHeight="true" outlineLevel="0" collapsed="false"/>
    <row r="41603" customFormat="false" ht="15" hidden="false" customHeight="true" outlineLevel="0" collapsed="false"/>
    <row r="41604" customFormat="false" ht="15" hidden="false" customHeight="true" outlineLevel="0" collapsed="false"/>
    <row r="41605" customFormat="false" ht="15" hidden="false" customHeight="true" outlineLevel="0" collapsed="false"/>
    <row r="41606" customFormat="false" ht="15" hidden="false" customHeight="true" outlineLevel="0" collapsed="false"/>
    <row r="41607" customFormat="false" ht="15" hidden="false" customHeight="true" outlineLevel="0" collapsed="false"/>
    <row r="41608" customFormat="false" ht="15" hidden="false" customHeight="true" outlineLevel="0" collapsed="false"/>
    <row r="41609" customFormat="false" ht="15" hidden="false" customHeight="true" outlineLevel="0" collapsed="false"/>
    <row r="41610" customFormat="false" ht="15" hidden="false" customHeight="true" outlineLevel="0" collapsed="false"/>
    <row r="41611" customFormat="false" ht="15" hidden="false" customHeight="true" outlineLevel="0" collapsed="false"/>
    <row r="41612" customFormat="false" ht="15" hidden="false" customHeight="true" outlineLevel="0" collapsed="false"/>
    <row r="41613" customFormat="false" ht="15" hidden="false" customHeight="true" outlineLevel="0" collapsed="false"/>
    <row r="41614" customFormat="false" ht="15" hidden="false" customHeight="true" outlineLevel="0" collapsed="false"/>
    <row r="41615" customFormat="false" ht="15" hidden="false" customHeight="true" outlineLevel="0" collapsed="false"/>
    <row r="41616" customFormat="false" ht="15" hidden="false" customHeight="true" outlineLevel="0" collapsed="false"/>
    <row r="41617" customFormat="false" ht="15" hidden="false" customHeight="true" outlineLevel="0" collapsed="false"/>
    <row r="41618" customFormat="false" ht="15" hidden="false" customHeight="true" outlineLevel="0" collapsed="false"/>
    <row r="41619" customFormat="false" ht="15" hidden="false" customHeight="true" outlineLevel="0" collapsed="false"/>
    <row r="41620" customFormat="false" ht="15" hidden="false" customHeight="true" outlineLevel="0" collapsed="false"/>
    <row r="41621" customFormat="false" ht="15" hidden="false" customHeight="true" outlineLevel="0" collapsed="false"/>
    <row r="41622" customFormat="false" ht="15" hidden="false" customHeight="true" outlineLevel="0" collapsed="false"/>
    <row r="41623" customFormat="false" ht="15" hidden="false" customHeight="true" outlineLevel="0" collapsed="false"/>
    <row r="41624" customFormat="false" ht="15" hidden="false" customHeight="true" outlineLevel="0" collapsed="false"/>
    <row r="41625" customFormat="false" ht="15" hidden="false" customHeight="true" outlineLevel="0" collapsed="false"/>
    <row r="41626" customFormat="false" ht="15" hidden="false" customHeight="true" outlineLevel="0" collapsed="false"/>
    <row r="41627" customFormat="false" ht="15" hidden="false" customHeight="true" outlineLevel="0" collapsed="false"/>
    <row r="41628" customFormat="false" ht="15" hidden="false" customHeight="true" outlineLevel="0" collapsed="false"/>
    <row r="41629" customFormat="false" ht="15" hidden="false" customHeight="true" outlineLevel="0" collapsed="false"/>
    <row r="41630" customFormat="false" ht="15" hidden="false" customHeight="true" outlineLevel="0" collapsed="false"/>
    <row r="41631" customFormat="false" ht="15" hidden="false" customHeight="true" outlineLevel="0" collapsed="false"/>
    <row r="41632" customFormat="false" ht="15" hidden="false" customHeight="true" outlineLevel="0" collapsed="false"/>
    <row r="41633" customFormat="false" ht="15" hidden="false" customHeight="true" outlineLevel="0" collapsed="false"/>
    <row r="41634" customFormat="false" ht="15" hidden="false" customHeight="true" outlineLevel="0" collapsed="false"/>
    <row r="41635" customFormat="false" ht="15" hidden="false" customHeight="true" outlineLevel="0" collapsed="false"/>
    <row r="41636" customFormat="false" ht="15" hidden="false" customHeight="true" outlineLevel="0" collapsed="false"/>
    <row r="41637" customFormat="false" ht="15" hidden="false" customHeight="true" outlineLevel="0" collapsed="false"/>
    <row r="41638" customFormat="false" ht="15" hidden="false" customHeight="true" outlineLevel="0" collapsed="false"/>
    <row r="41639" customFormat="false" ht="15" hidden="false" customHeight="true" outlineLevel="0" collapsed="false"/>
    <row r="41640" customFormat="false" ht="15" hidden="false" customHeight="true" outlineLevel="0" collapsed="false"/>
    <row r="41641" customFormat="false" ht="15" hidden="false" customHeight="true" outlineLevel="0" collapsed="false"/>
    <row r="41642" customFormat="false" ht="15" hidden="false" customHeight="true" outlineLevel="0" collapsed="false"/>
    <row r="41643" customFormat="false" ht="15" hidden="false" customHeight="true" outlineLevel="0" collapsed="false"/>
    <row r="41644" customFormat="false" ht="15" hidden="false" customHeight="true" outlineLevel="0" collapsed="false"/>
    <row r="41645" customFormat="false" ht="15" hidden="false" customHeight="true" outlineLevel="0" collapsed="false"/>
    <row r="41646" customFormat="false" ht="15" hidden="false" customHeight="true" outlineLevel="0" collapsed="false"/>
    <row r="41647" customFormat="false" ht="15" hidden="false" customHeight="true" outlineLevel="0" collapsed="false"/>
    <row r="41648" customFormat="false" ht="15" hidden="false" customHeight="true" outlineLevel="0" collapsed="false"/>
    <row r="41649" customFormat="false" ht="15" hidden="false" customHeight="true" outlineLevel="0" collapsed="false"/>
    <row r="41650" customFormat="false" ht="15" hidden="false" customHeight="true" outlineLevel="0" collapsed="false"/>
    <row r="41651" customFormat="false" ht="15" hidden="false" customHeight="true" outlineLevel="0" collapsed="false"/>
    <row r="41652" customFormat="false" ht="15" hidden="false" customHeight="true" outlineLevel="0" collapsed="false"/>
    <row r="41653" customFormat="false" ht="15" hidden="false" customHeight="true" outlineLevel="0" collapsed="false"/>
    <row r="41654" customFormat="false" ht="15" hidden="false" customHeight="true" outlineLevel="0" collapsed="false"/>
    <row r="41655" customFormat="false" ht="15" hidden="false" customHeight="true" outlineLevel="0" collapsed="false"/>
    <row r="41656" customFormat="false" ht="15" hidden="false" customHeight="true" outlineLevel="0" collapsed="false"/>
    <row r="41657" customFormat="false" ht="15" hidden="false" customHeight="true" outlineLevel="0" collapsed="false"/>
    <row r="41658" customFormat="false" ht="15" hidden="false" customHeight="true" outlineLevel="0" collapsed="false"/>
    <row r="41659" customFormat="false" ht="15" hidden="false" customHeight="true" outlineLevel="0" collapsed="false"/>
    <row r="41660" customFormat="false" ht="15" hidden="false" customHeight="true" outlineLevel="0" collapsed="false"/>
    <row r="41661" customFormat="false" ht="15" hidden="false" customHeight="true" outlineLevel="0" collapsed="false"/>
    <row r="41662" customFormat="false" ht="15" hidden="false" customHeight="true" outlineLevel="0" collapsed="false"/>
    <row r="41663" customFormat="false" ht="15" hidden="false" customHeight="true" outlineLevel="0" collapsed="false"/>
    <row r="41664" customFormat="false" ht="15" hidden="false" customHeight="true" outlineLevel="0" collapsed="false"/>
    <row r="41665" customFormat="false" ht="15" hidden="false" customHeight="true" outlineLevel="0" collapsed="false"/>
    <row r="41666" customFormat="false" ht="15" hidden="false" customHeight="true" outlineLevel="0" collapsed="false"/>
    <row r="41667" customFormat="false" ht="15" hidden="false" customHeight="true" outlineLevel="0" collapsed="false"/>
    <row r="41668" customFormat="false" ht="15" hidden="false" customHeight="true" outlineLevel="0" collapsed="false"/>
    <row r="41669" customFormat="false" ht="15" hidden="false" customHeight="true" outlineLevel="0" collapsed="false"/>
    <row r="41670" customFormat="false" ht="15" hidden="false" customHeight="true" outlineLevel="0" collapsed="false"/>
    <row r="41671" customFormat="false" ht="15" hidden="false" customHeight="true" outlineLevel="0" collapsed="false"/>
    <row r="41672" customFormat="false" ht="15" hidden="false" customHeight="true" outlineLevel="0" collapsed="false"/>
    <row r="41673" customFormat="false" ht="15" hidden="false" customHeight="true" outlineLevel="0" collapsed="false"/>
    <row r="41674" customFormat="false" ht="15" hidden="false" customHeight="true" outlineLevel="0" collapsed="false"/>
    <row r="41675" customFormat="false" ht="15" hidden="false" customHeight="true" outlineLevel="0" collapsed="false"/>
    <row r="41676" customFormat="false" ht="15" hidden="false" customHeight="true" outlineLevel="0" collapsed="false"/>
    <row r="41677" customFormat="false" ht="15" hidden="false" customHeight="true" outlineLevel="0" collapsed="false"/>
    <row r="41678" customFormat="false" ht="15" hidden="false" customHeight="true" outlineLevel="0" collapsed="false"/>
    <row r="41679" customFormat="false" ht="15" hidden="false" customHeight="true" outlineLevel="0" collapsed="false"/>
    <row r="41680" customFormat="false" ht="15" hidden="false" customHeight="true" outlineLevel="0" collapsed="false"/>
    <row r="41681" customFormat="false" ht="15" hidden="false" customHeight="true" outlineLevel="0" collapsed="false"/>
    <row r="41682" customFormat="false" ht="15" hidden="false" customHeight="true" outlineLevel="0" collapsed="false"/>
    <row r="41683" customFormat="false" ht="15" hidden="false" customHeight="true" outlineLevel="0" collapsed="false"/>
    <row r="41684" customFormat="false" ht="15" hidden="false" customHeight="true" outlineLevel="0" collapsed="false"/>
    <row r="41685" customFormat="false" ht="15" hidden="false" customHeight="true" outlineLevel="0" collapsed="false"/>
    <row r="41686" customFormat="false" ht="15" hidden="false" customHeight="true" outlineLevel="0" collapsed="false"/>
    <row r="41687" customFormat="false" ht="15" hidden="false" customHeight="true" outlineLevel="0" collapsed="false"/>
    <row r="41688" customFormat="false" ht="15" hidden="false" customHeight="true" outlineLevel="0" collapsed="false"/>
    <row r="41689" customFormat="false" ht="15" hidden="false" customHeight="true" outlineLevel="0" collapsed="false"/>
    <row r="41690" customFormat="false" ht="15" hidden="false" customHeight="true" outlineLevel="0" collapsed="false"/>
    <row r="41691" customFormat="false" ht="15" hidden="false" customHeight="true" outlineLevel="0" collapsed="false"/>
    <row r="41692" customFormat="false" ht="15" hidden="false" customHeight="true" outlineLevel="0" collapsed="false"/>
    <row r="41693" customFormat="false" ht="15" hidden="false" customHeight="true" outlineLevel="0" collapsed="false"/>
    <row r="41694" customFormat="false" ht="15" hidden="false" customHeight="true" outlineLevel="0" collapsed="false"/>
    <row r="41695" customFormat="false" ht="15" hidden="false" customHeight="true" outlineLevel="0" collapsed="false"/>
    <row r="41696" customFormat="false" ht="15" hidden="false" customHeight="true" outlineLevel="0" collapsed="false"/>
    <row r="41697" customFormat="false" ht="15" hidden="false" customHeight="true" outlineLevel="0" collapsed="false"/>
    <row r="41698" customFormat="false" ht="15" hidden="false" customHeight="true" outlineLevel="0" collapsed="false"/>
    <row r="41699" customFormat="false" ht="15" hidden="false" customHeight="true" outlineLevel="0" collapsed="false"/>
    <row r="41700" customFormat="false" ht="15" hidden="false" customHeight="true" outlineLevel="0" collapsed="false"/>
    <row r="41701" customFormat="false" ht="15" hidden="false" customHeight="true" outlineLevel="0" collapsed="false"/>
    <row r="41702" customFormat="false" ht="15" hidden="false" customHeight="true" outlineLevel="0" collapsed="false"/>
    <row r="41703" customFormat="false" ht="15" hidden="false" customHeight="true" outlineLevel="0" collapsed="false"/>
    <row r="41704" customFormat="false" ht="15" hidden="false" customHeight="true" outlineLevel="0" collapsed="false"/>
    <row r="41705" customFormat="false" ht="15" hidden="false" customHeight="true" outlineLevel="0" collapsed="false"/>
    <row r="41706" customFormat="false" ht="15" hidden="false" customHeight="true" outlineLevel="0" collapsed="false"/>
    <row r="41707" customFormat="false" ht="15" hidden="false" customHeight="true" outlineLevel="0" collapsed="false"/>
    <row r="41708" customFormat="false" ht="15" hidden="false" customHeight="true" outlineLevel="0" collapsed="false"/>
    <row r="41709" customFormat="false" ht="15" hidden="false" customHeight="true" outlineLevel="0" collapsed="false"/>
    <row r="41710" customFormat="false" ht="15" hidden="false" customHeight="true" outlineLevel="0" collapsed="false"/>
    <row r="41711" customFormat="false" ht="15" hidden="false" customHeight="true" outlineLevel="0" collapsed="false"/>
    <row r="41712" customFormat="false" ht="15" hidden="false" customHeight="true" outlineLevel="0" collapsed="false"/>
    <row r="41713" customFormat="false" ht="15" hidden="false" customHeight="true" outlineLevel="0" collapsed="false"/>
    <row r="41714" customFormat="false" ht="15" hidden="false" customHeight="true" outlineLevel="0" collapsed="false"/>
    <row r="41715" customFormat="false" ht="15" hidden="false" customHeight="true" outlineLevel="0" collapsed="false"/>
    <row r="41716" customFormat="false" ht="15" hidden="false" customHeight="true" outlineLevel="0" collapsed="false"/>
    <row r="41717" customFormat="false" ht="15" hidden="false" customHeight="true" outlineLevel="0" collapsed="false"/>
    <row r="41718" customFormat="false" ht="15" hidden="false" customHeight="true" outlineLevel="0" collapsed="false"/>
    <row r="41719" customFormat="false" ht="15" hidden="false" customHeight="true" outlineLevel="0" collapsed="false"/>
    <row r="41720" customFormat="false" ht="15" hidden="false" customHeight="true" outlineLevel="0" collapsed="false"/>
    <row r="41721" customFormat="false" ht="15" hidden="false" customHeight="true" outlineLevel="0" collapsed="false"/>
    <row r="41722" customFormat="false" ht="15" hidden="false" customHeight="true" outlineLevel="0" collapsed="false"/>
    <row r="41723" customFormat="false" ht="15" hidden="false" customHeight="true" outlineLevel="0" collapsed="false"/>
    <row r="41724" customFormat="false" ht="15" hidden="false" customHeight="true" outlineLevel="0" collapsed="false"/>
    <row r="41725" customFormat="false" ht="15" hidden="false" customHeight="true" outlineLevel="0" collapsed="false"/>
    <row r="41726" customFormat="false" ht="15" hidden="false" customHeight="true" outlineLevel="0" collapsed="false"/>
    <row r="41727" customFormat="false" ht="15" hidden="false" customHeight="true" outlineLevel="0" collapsed="false"/>
    <row r="41728" customFormat="false" ht="15" hidden="false" customHeight="true" outlineLevel="0" collapsed="false"/>
    <row r="41729" customFormat="false" ht="15" hidden="false" customHeight="true" outlineLevel="0" collapsed="false"/>
    <row r="41730" customFormat="false" ht="15" hidden="false" customHeight="true" outlineLevel="0" collapsed="false"/>
    <row r="41731" customFormat="false" ht="15" hidden="false" customHeight="true" outlineLevel="0" collapsed="false"/>
    <row r="41732" customFormat="false" ht="15" hidden="false" customHeight="true" outlineLevel="0" collapsed="false"/>
    <row r="41733" customFormat="false" ht="15" hidden="false" customHeight="true" outlineLevel="0" collapsed="false"/>
    <row r="41734" customFormat="false" ht="15" hidden="false" customHeight="true" outlineLevel="0" collapsed="false"/>
    <row r="41735" customFormat="false" ht="15" hidden="false" customHeight="true" outlineLevel="0" collapsed="false"/>
    <row r="41736" customFormat="false" ht="15" hidden="false" customHeight="true" outlineLevel="0" collapsed="false"/>
    <row r="41737" customFormat="false" ht="15" hidden="false" customHeight="true" outlineLevel="0" collapsed="false"/>
    <row r="41738" customFormat="false" ht="15" hidden="false" customHeight="true" outlineLevel="0" collapsed="false"/>
    <row r="41739" customFormat="false" ht="15" hidden="false" customHeight="true" outlineLevel="0" collapsed="false"/>
    <row r="41740" customFormat="false" ht="15" hidden="false" customHeight="true" outlineLevel="0" collapsed="false"/>
    <row r="41741" customFormat="false" ht="15" hidden="false" customHeight="true" outlineLevel="0" collapsed="false"/>
    <row r="41742" customFormat="false" ht="15" hidden="false" customHeight="true" outlineLevel="0" collapsed="false"/>
    <row r="41743" customFormat="false" ht="15" hidden="false" customHeight="true" outlineLevel="0" collapsed="false"/>
    <row r="41744" customFormat="false" ht="15" hidden="false" customHeight="true" outlineLevel="0" collapsed="false"/>
    <row r="41745" customFormat="false" ht="15" hidden="false" customHeight="true" outlineLevel="0" collapsed="false"/>
    <row r="41746" customFormat="false" ht="15" hidden="false" customHeight="true" outlineLevel="0" collapsed="false"/>
    <row r="41747" customFormat="false" ht="15" hidden="false" customHeight="true" outlineLevel="0" collapsed="false"/>
    <row r="41748" customFormat="false" ht="15" hidden="false" customHeight="true" outlineLevel="0" collapsed="false"/>
    <row r="41749" customFormat="false" ht="15" hidden="false" customHeight="true" outlineLevel="0" collapsed="false"/>
    <row r="41750" customFormat="false" ht="15" hidden="false" customHeight="true" outlineLevel="0" collapsed="false"/>
    <row r="41751" customFormat="false" ht="15" hidden="false" customHeight="true" outlineLevel="0" collapsed="false"/>
    <row r="41752" customFormat="false" ht="15" hidden="false" customHeight="true" outlineLevel="0" collapsed="false"/>
    <row r="41753" customFormat="false" ht="15" hidden="false" customHeight="true" outlineLevel="0" collapsed="false"/>
    <row r="41754" customFormat="false" ht="15" hidden="false" customHeight="true" outlineLevel="0" collapsed="false"/>
    <row r="41755" customFormat="false" ht="15" hidden="false" customHeight="true" outlineLevel="0" collapsed="false"/>
    <row r="41756" customFormat="false" ht="15" hidden="false" customHeight="true" outlineLevel="0" collapsed="false"/>
    <row r="41757" customFormat="false" ht="15" hidden="false" customHeight="true" outlineLevel="0" collapsed="false"/>
    <row r="41758" customFormat="false" ht="15" hidden="false" customHeight="true" outlineLevel="0" collapsed="false"/>
    <row r="41759" customFormat="false" ht="15" hidden="false" customHeight="true" outlineLevel="0" collapsed="false"/>
    <row r="41760" customFormat="false" ht="15" hidden="false" customHeight="true" outlineLevel="0" collapsed="false"/>
    <row r="41761" customFormat="false" ht="15" hidden="false" customHeight="true" outlineLevel="0" collapsed="false"/>
    <row r="41762" customFormat="false" ht="15" hidden="false" customHeight="true" outlineLevel="0" collapsed="false"/>
    <row r="41763" customFormat="false" ht="15" hidden="false" customHeight="true" outlineLevel="0" collapsed="false"/>
    <row r="41764" customFormat="false" ht="15" hidden="false" customHeight="true" outlineLevel="0" collapsed="false"/>
    <row r="41765" customFormat="false" ht="15" hidden="false" customHeight="true" outlineLevel="0" collapsed="false"/>
    <row r="41766" customFormat="false" ht="15" hidden="false" customHeight="true" outlineLevel="0" collapsed="false"/>
    <row r="41767" customFormat="false" ht="15" hidden="false" customHeight="true" outlineLevel="0" collapsed="false"/>
    <row r="41768" customFormat="false" ht="15" hidden="false" customHeight="true" outlineLevel="0" collapsed="false"/>
    <row r="41769" customFormat="false" ht="15" hidden="false" customHeight="true" outlineLevel="0" collapsed="false"/>
    <row r="41770" customFormat="false" ht="15" hidden="false" customHeight="true" outlineLevel="0" collapsed="false"/>
    <row r="41771" customFormat="false" ht="15" hidden="false" customHeight="true" outlineLevel="0" collapsed="false"/>
    <row r="41772" customFormat="false" ht="15" hidden="false" customHeight="true" outlineLevel="0" collapsed="false"/>
    <row r="41773" customFormat="false" ht="15" hidden="false" customHeight="true" outlineLevel="0" collapsed="false"/>
    <row r="41774" customFormat="false" ht="15" hidden="false" customHeight="true" outlineLevel="0" collapsed="false"/>
    <row r="41775" customFormat="false" ht="15" hidden="false" customHeight="true" outlineLevel="0" collapsed="false"/>
    <row r="41776" customFormat="false" ht="15" hidden="false" customHeight="true" outlineLevel="0" collapsed="false"/>
    <row r="41777" customFormat="false" ht="15" hidden="false" customHeight="true" outlineLevel="0" collapsed="false"/>
    <row r="41778" customFormat="false" ht="15" hidden="false" customHeight="true" outlineLevel="0" collapsed="false"/>
    <row r="41779" customFormat="false" ht="15" hidden="false" customHeight="true" outlineLevel="0" collapsed="false"/>
    <row r="41780" customFormat="false" ht="15" hidden="false" customHeight="true" outlineLevel="0" collapsed="false"/>
    <row r="41781" customFormat="false" ht="15" hidden="false" customHeight="true" outlineLevel="0" collapsed="false"/>
    <row r="41782" customFormat="false" ht="15" hidden="false" customHeight="true" outlineLevel="0" collapsed="false"/>
    <row r="41783" customFormat="false" ht="15" hidden="false" customHeight="true" outlineLevel="0" collapsed="false"/>
    <row r="41784" customFormat="false" ht="15" hidden="false" customHeight="true" outlineLevel="0" collapsed="false"/>
    <row r="41785" customFormat="false" ht="15" hidden="false" customHeight="true" outlineLevel="0" collapsed="false"/>
    <row r="41786" customFormat="false" ht="15" hidden="false" customHeight="true" outlineLevel="0" collapsed="false"/>
    <row r="41787" customFormat="false" ht="15" hidden="false" customHeight="true" outlineLevel="0" collapsed="false"/>
    <row r="41788" customFormat="false" ht="15" hidden="false" customHeight="true" outlineLevel="0" collapsed="false"/>
    <row r="41789" customFormat="false" ht="15" hidden="false" customHeight="true" outlineLevel="0" collapsed="false"/>
    <row r="41790" customFormat="false" ht="15" hidden="false" customHeight="true" outlineLevel="0" collapsed="false"/>
    <row r="41791" customFormat="false" ht="15" hidden="false" customHeight="true" outlineLevel="0" collapsed="false"/>
    <row r="41792" customFormat="false" ht="15" hidden="false" customHeight="true" outlineLevel="0" collapsed="false"/>
    <row r="41793" customFormat="false" ht="15" hidden="false" customHeight="true" outlineLevel="0" collapsed="false"/>
    <row r="41794" customFormat="false" ht="15" hidden="false" customHeight="true" outlineLevel="0" collapsed="false"/>
    <row r="41795" customFormat="false" ht="15" hidden="false" customHeight="true" outlineLevel="0" collapsed="false"/>
    <row r="41796" customFormat="false" ht="15" hidden="false" customHeight="true" outlineLevel="0" collapsed="false"/>
    <row r="41797" customFormat="false" ht="15" hidden="false" customHeight="true" outlineLevel="0" collapsed="false"/>
    <row r="41798" customFormat="false" ht="15" hidden="false" customHeight="true" outlineLevel="0" collapsed="false"/>
    <row r="41799" customFormat="false" ht="15" hidden="false" customHeight="true" outlineLevel="0" collapsed="false"/>
    <row r="41800" customFormat="false" ht="15" hidden="false" customHeight="true" outlineLevel="0" collapsed="false"/>
    <row r="41801" customFormat="false" ht="15" hidden="false" customHeight="true" outlineLevel="0" collapsed="false"/>
    <row r="41802" customFormat="false" ht="15" hidden="false" customHeight="true" outlineLevel="0" collapsed="false"/>
    <row r="41803" customFormat="false" ht="15" hidden="false" customHeight="true" outlineLevel="0" collapsed="false"/>
    <row r="41804" customFormat="false" ht="15" hidden="false" customHeight="true" outlineLevel="0" collapsed="false"/>
    <row r="41805" customFormat="false" ht="15" hidden="false" customHeight="true" outlineLevel="0" collapsed="false"/>
    <row r="41806" customFormat="false" ht="15" hidden="false" customHeight="true" outlineLevel="0" collapsed="false"/>
    <row r="41807" customFormat="false" ht="15" hidden="false" customHeight="true" outlineLevel="0" collapsed="false"/>
    <row r="41808" customFormat="false" ht="15" hidden="false" customHeight="true" outlineLevel="0" collapsed="false"/>
    <row r="41809" customFormat="false" ht="15" hidden="false" customHeight="true" outlineLevel="0" collapsed="false"/>
    <row r="41810" customFormat="false" ht="15" hidden="false" customHeight="true" outlineLevel="0" collapsed="false"/>
    <row r="41811" customFormat="false" ht="15" hidden="false" customHeight="true" outlineLevel="0" collapsed="false"/>
    <row r="41812" customFormat="false" ht="15" hidden="false" customHeight="true" outlineLevel="0" collapsed="false"/>
    <row r="41813" customFormat="false" ht="15" hidden="false" customHeight="true" outlineLevel="0" collapsed="false"/>
    <row r="41814" customFormat="false" ht="15" hidden="false" customHeight="true" outlineLevel="0" collapsed="false"/>
    <row r="41815" customFormat="false" ht="15" hidden="false" customHeight="true" outlineLevel="0" collapsed="false"/>
    <row r="41816" customFormat="false" ht="15" hidden="false" customHeight="true" outlineLevel="0" collapsed="false"/>
    <row r="41817" customFormat="false" ht="15" hidden="false" customHeight="true" outlineLevel="0" collapsed="false"/>
    <row r="41818" customFormat="false" ht="15" hidden="false" customHeight="true" outlineLevel="0" collapsed="false"/>
    <row r="41819" customFormat="false" ht="15" hidden="false" customHeight="true" outlineLevel="0" collapsed="false"/>
    <row r="41820" customFormat="false" ht="15" hidden="false" customHeight="true" outlineLevel="0" collapsed="false"/>
    <row r="41821" customFormat="false" ht="15" hidden="false" customHeight="true" outlineLevel="0" collapsed="false"/>
    <row r="41822" customFormat="false" ht="15" hidden="false" customHeight="true" outlineLevel="0" collapsed="false"/>
    <row r="41823" customFormat="false" ht="15" hidden="false" customHeight="true" outlineLevel="0" collapsed="false"/>
    <row r="41824" customFormat="false" ht="15" hidden="false" customHeight="true" outlineLevel="0" collapsed="false"/>
    <row r="41825" customFormat="false" ht="15" hidden="false" customHeight="true" outlineLevel="0" collapsed="false"/>
    <row r="41826" customFormat="false" ht="15" hidden="false" customHeight="true" outlineLevel="0" collapsed="false"/>
    <row r="41827" customFormat="false" ht="15" hidden="false" customHeight="true" outlineLevel="0" collapsed="false"/>
    <row r="41828" customFormat="false" ht="15" hidden="false" customHeight="true" outlineLevel="0" collapsed="false"/>
    <row r="41829" customFormat="false" ht="15" hidden="false" customHeight="true" outlineLevel="0" collapsed="false"/>
    <row r="41830" customFormat="false" ht="15" hidden="false" customHeight="true" outlineLevel="0" collapsed="false"/>
    <row r="41831" customFormat="false" ht="15" hidden="false" customHeight="true" outlineLevel="0" collapsed="false"/>
    <row r="41832" customFormat="false" ht="15" hidden="false" customHeight="true" outlineLevel="0" collapsed="false"/>
    <row r="41833" customFormat="false" ht="15" hidden="false" customHeight="true" outlineLevel="0" collapsed="false"/>
    <row r="41834" customFormat="false" ht="15" hidden="false" customHeight="true" outlineLevel="0" collapsed="false"/>
    <row r="41835" customFormat="false" ht="15" hidden="false" customHeight="true" outlineLevel="0" collapsed="false"/>
    <row r="41836" customFormat="false" ht="15" hidden="false" customHeight="true" outlineLevel="0" collapsed="false"/>
    <row r="41837" customFormat="false" ht="15" hidden="false" customHeight="true" outlineLevel="0" collapsed="false"/>
    <row r="41838" customFormat="false" ht="15" hidden="false" customHeight="true" outlineLevel="0" collapsed="false"/>
    <row r="41839" customFormat="false" ht="15" hidden="false" customHeight="true" outlineLevel="0" collapsed="false"/>
    <row r="41840" customFormat="false" ht="15" hidden="false" customHeight="true" outlineLevel="0" collapsed="false"/>
    <row r="41841" customFormat="false" ht="15" hidden="false" customHeight="true" outlineLevel="0" collapsed="false"/>
    <row r="41842" customFormat="false" ht="15" hidden="false" customHeight="true" outlineLevel="0" collapsed="false"/>
    <row r="41843" customFormat="false" ht="15" hidden="false" customHeight="true" outlineLevel="0" collapsed="false"/>
    <row r="41844" customFormat="false" ht="15" hidden="false" customHeight="true" outlineLevel="0" collapsed="false"/>
    <row r="41845" customFormat="false" ht="15" hidden="false" customHeight="true" outlineLevel="0" collapsed="false"/>
    <row r="41846" customFormat="false" ht="15" hidden="false" customHeight="true" outlineLevel="0" collapsed="false"/>
    <row r="41847" customFormat="false" ht="15" hidden="false" customHeight="true" outlineLevel="0" collapsed="false"/>
    <row r="41848" customFormat="false" ht="15" hidden="false" customHeight="true" outlineLevel="0" collapsed="false"/>
    <row r="41849" customFormat="false" ht="15" hidden="false" customHeight="true" outlineLevel="0" collapsed="false"/>
    <row r="41850" customFormat="false" ht="15" hidden="false" customHeight="true" outlineLevel="0" collapsed="false"/>
    <row r="41851" customFormat="false" ht="15" hidden="false" customHeight="true" outlineLevel="0" collapsed="false"/>
    <row r="41852" customFormat="false" ht="15" hidden="false" customHeight="true" outlineLevel="0" collapsed="false"/>
    <row r="41853" customFormat="false" ht="15" hidden="false" customHeight="true" outlineLevel="0" collapsed="false"/>
    <row r="41854" customFormat="false" ht="15" hidden="false" customHeight="true" outlineLevel="0" collapsed="false"/>
    <row r="41855" customFormat="false" ht="15" hidden="false" customHeight="true" outlineLevel="0" collapsed="false"/>
    <row r="41856" customFormat="false" ht="15" hidden="false" customHeight="true" outlineLevel="0" collapsed="false"/>
    <row r="41857" customFormat="false" ht="15" hidden="false" customHeight="true" outlineLevel="0" collapsed="false"/>
    <row r="41858" customFormat="false" ht="15" hidden="false" customHeight="true" outlineLevel="0" collapsed="false"/>
    <row r="41859" customFormat="false" ht="15" hidden="false" customHeight="true" outlineLevel="0" collapsed="false"/>
    <row r="41860" customFormat="false" ht="15" hidden="false" customHeight="true" outlineLevel="0" collapsed="false"/>
    <row r="41861" customFormat="false" ht="15" hidden="false" customHeight="true" outlineLevel="0" collapsed="false"/>
    <row r="41862" customFormat="false" ht="15" hidden="false" customHeight="true" outlineLevel="0" collapsed="false"/>
    <row r="41863" customFormat="false" ht="15" hidden="false" customHeight="true" outlineLevel="0" collapsed="false"/>
    <row r="41864" customFormat="false" ht="15" hidden="false" customHeight="true" outlineLevel="0" collapsed="false"/>
    <row r="41865" customFormat="false" ht="15" hidden="false" customHeight="true" outlineLevel="0" collapsed="false"/>
    <row r="41866" customFormat="false" ht="15" hidden="false" customHeight="true" outlineLevel="0" collapsed="false"/>
    <row r="41867" customFormat="false" ht="15" hidden="false" customHeight="true" outlineLevel="0" collapsed="false"/>
    <row r="41868" customFormat="false" ht="15" hidden="false" customHeight="true" outlineLevel="0" collapsed="false"/>
    <row r="41869" customFormat="false" ht="15" hidden="false" customHeight="true" outlineLevel="0" collapsed="false"/>
    <row r="41870" customFormat="false" ht="15" hidden="false" customHeight="true" outlineLevel="0" collapsed="false"/>
    <row r="41871" customFormat="false" ht="15" hidden="false" customHeight="true" outlineLevel="0" collapsed="false"/>
    <row r="41872" customFormat="false" ht="15" hidden="false" customHeight="true" outlineLevel="0" collapsed="false"/>
    <row r="41873" customFormat="false" ht="15" hidden="false" customHeight="true" outlineLevel="0" collapsed="false"/>
    <row r="41874" customFormat="false" ht="15" hidden="false" customHeight="true" outlineLevel="0" collapsed="false"/>
    <row r="41875" customFormat="false" ht="15" hidden="false" customHeight="true" outlineLevel="0" collapsed="false"/>
    <row r="41876" customFormat="false" ht="15" hidden="false" customHeight="true" outlineLevel="0" collapsed="false"/>
    <row r="41877" customFormat="false" ht="15" hidden="false" customHeight="true" outlineLevel="0" collapsed="false"/>
    <row r="41878" customFormat="false" ht="15" hidden="false" customHeight="true" outlineLevel="0" collapsed="false"/>
    <row r="41879" customFormat="false" ht="15" hidden="false" customHeight="true" outlineLevel="0" collapsed="false"/>
    <row r="41880" customFormat="false" ht="15" hidden="false" customHeight="true" outlineLevel="0" collapsed="false"/>
    <row r="41881" customFormat="false" ht="15" hidden="false" customHeight="true" outlineLevel="0" collapsed="false"/>
    <row r="41882" customFormat="false" ht="15" hidden="false" customHeight="true" outlineLevel="0" collapsed="false"/>
    <row r="41883" customFormat="false" ht="15" hidden="false" customHeight="true" outlineLevel="0" collapsed="false"/>
    <row r="41884" customFormat="false" ht="15" hidden="false" customHeight="true" outlineLevel="0" collapsed="false"/>
    <row r="41885" customFormat="false" ht="15" hidden="false" customHeight="true" outlineLevel="0" collapsed="false"/>
    <row r="41886" customFormat="false" ht="15" hidden="false" customHeight="true" outlineLevel="0" collapsed="false"/>
    <row r="41887" customFormat="false" ht="15" hidden="false" customHeight="true" outlineLevel="0" collapsed="false"/>
    <row r="41888" customFormat="false" ht="15" hidden="false" customHeight="true" outlineLevel="0" collapsed="false"/>
    <row r="41889" customFormat="false" ht="15" hidden="false" customHeight="true" outlineLevel="0" collapsed="false"/>
    <row r="41890" customFormat="false" ht="15" hidden="false" customHeight="true" outlineLevel="0" collapsed="false"/>
    <row r="41891" customFormat="false" ht="15" hidden="false" customHeight="true" outlineLevel="0" collapsed="false"/>
    <row r="41892" customFormat="false" ht="15" hidden="false" customHeight="true" outlineLevel="0" collapsed="false"/>
    <row r="41893" customFormat="false" ht="15" hidden="false" customHeight="true" outlineLevel="0" collapsed="false"/>
    <row r="41894" customFormat="false" ht="15" hidden="false" customHeight="true" outlineLevel="0" collapsed="false"/>
    <row r="41895" customFormat="false" ht="15" hidden="false" customHeight="true" outlineLevel="0" collapsed="false"/>
    <row r="41896" customFormat="false" ht="15" hidden="false" customHeight="true" outlineLevel="0" collapsed="false"/>
    <row r="41897" customFormat="false" ht="15" hidden="false" customHeight="true" outlineLevel="0" collapsed="false"/>
    <row r="41898" customFormat="false" ht="15" hidden="false" customHeight="true" outlineLevel="0" collapsed="false"/>
    <row r="41899" customFormat="false" ht="15" hidden="false" customHeight="true" outlineLevel="0" collapsed="false"/>
    <row r="41900" customFormat="false" ht="15" hidden="false" customHeight="true" outlineLevel="0" collapsed="false"/>
    <row r="41901" customFormat="false" ht="15" hidden="false" customHeight="true" outlineLevel="0" collapsed="false"/>
    <row r="41902" customFormat="false" ht="15" hidden="false" customHeight="true" outlineLevel="0" collapsed="false"/>
    <row r="41903" customFormat="false" ht="15" hidden="false" customHeight="true" outlineLevel="0" collapsed="false"/>
    <row r="41904" customFormat="false" ht="15" hidden="false" customHeight="true" outlineLevel="0" collapsed="false"/>
    <row r="41905" customFormat="false" ht="15" hidden="false" customHeight="true" outlineLevel="0" collapsed="false"/>
    <row r="41906" customFormat="false" ht="15" hidden="false" customHeight="true" outlineLevel="0" collapsed="false"/>
    <row r="41907" customFormat="false" ht="15" hidden="false" customHeight="true" outlineLevel="0" collapsed="false"/>
    <row r="41908" customFormat="false" ht="15" hidden="false" customHeight="true" outlineLevel="0" collapsed="false"/>
    <row r="41909" customFormat="false" ht="15" hidden="false" customHeight="true" outlineLevel="0" collapsed="false"/>
    <row r="41910" customFormat="false" ht="15" hidden="false" customHeight="true" outlineLevel="0" collapsed="false"/>
    <row r="41911" customFormat="false" ht="15" hidden="false" customHeight="true" outlineLevel="0" collapsed="false"/>
    <row r="41912" customFormat="false" ht="15" hidden="false" customHeight="true" outlineLevel="0" collapsed="false"/>
    <row r="41913" customFormat="false" ht="15" hidden="false" customHeight="true" outlineLevel="0" collapsed="false"/>
    <row r="41914" customFormat="false" ht="15" hidden="false" customHeight="true" outlineLevel="0" collapsed="false"/>
    <row r="41915" customFormat="false" ht="15" hidden="false" customHeight="true" outlineLevel="0" collapsed="false"/>
    <row r="41916" customFormat="false" ht="15" hidden="false" customHeight="true" outlineLevel="0" collapsed="false"/>
    <row r="41917" customFormat="false" ht="15" hidden="false" customHeight="true" outlineLevel="0" collapsed="false"/>
    <row r="41918" customFormat="false" ht="15" hidden="false" customHeight="true" outlineLevel="0" collapsed="false"/>
    <row r="41919" customFormat="false" ht="15" hidden="false" customHeight="true" outlineLevel="0" collapsed="false"/>
    <row r="41920" customFormat="false" ht="15" hidden="false" customHeight="true" outlineLevel="0" collapsed="false"/>
    <row r="41921" customFormat="false" ht="15" hidden="false" customHeight="true" outlineLevel="0" collapsed="false"/>
    <row r="41922" customFormat="false" ht="15" hidden="false" customHeight="true" outlineLevel="0" collapsed="false"/>
    <row r="41923" customFormat="false" ht="15" hidden="false" customHeight="true" outlineLevel="0" collapsed="false"/>
    <row r="41924" customFormat="false" ht="15" hidden="false" customHeight="true" outlineLevel="0" collapsed="false"/>
    <row r="41925" customFormat="false" ht="15" hidden="false" customHeight="true" outlineLevel="0" collapsed="false"/>
    <row r="41926" customFormat="false" ht="15" hidden="false" customHeight="true" outlineLevel="0" collapsed="false"/>
    <row r="41927" customFormat="false" ht="15" hidden="false" customHeight="true" outlineLevel="0" collapsed="false"/>
    <row r="41928" customFormat="false" ht="15" hidden="false" customHeight="true" outlineLevel="0" collapsed="false"/>
    <row r="41929" customFormat="false" ht="15" hidden="false" customHeight="true" outlineLevel="0" collapsed="false"/>
    <row r="41930" customFormat="false" ht="15" hidden="false" customHeight="true" outlineLevel="0" collapsed="false"/>
    <row r="41931" customFormat="false" ht="15" hidden="false" customHeight="true" outlineLevel="0" collapsed="false"/>
    <row r="41932" customFormat="false" ht="15" hidden="false" customHeight="true" outlineLevel="0" collapsed="false"/>
    <row r="41933" customFormat="false" ht="15" hidden="false" customHeight="true" outlineLevel="0" collapsed="false"/>
    <row r="41934" customFormat="false" ht="15" hidden="false" customHeight="true" outlineLevel="0" collapsed="false"/>
    <row r="41935" customFormat="false" ht="15" hidden="false" customHeight="true" outlineLevel="0" collapsed="false"/>
    <row r="41936" customFormat="false" ht="15" hidden="false" customHeight="true" outlineLevel="0" collapsed="false"/>
    <row r="41937" customFormat="false" ht="15" hidden="false" customHeight="true" outlineLevel="0" collapsed="false"/>
    <row r="41938" customFormat="false" ht="15" hidden="false" customHeight="true" outlineLevel="0" collapsed="false"/>
    <row r="41939" customFormat="false" ht="15" hidden="false" customHeight="true" outlineLevel="0" collapsed="false"/>
    <row r="41940" customFormat="false" ht="15" hidden="false" customHeight="true" outlineLevel="0" collapsed="false"/>
    <row r="41941" customFormat="false" ht="15" hidden="false" customHeight="true" outlineLevel="0" collapsed="false"/>
    <row r="41942" customFormat="false" ht="15" hidden="false" customHeight="true" outlineLevel="0" collapsed="false"/>
    <row r="41943" customFormat="false" ht="15" hidden="false" customHeight="true" outlineLevel="0" collapsed="false"/>
    <row r="41944" customFormat="false" ht="15" hidden="false" customHeight="true" outlineLevel="0" collapsed="false"/>
    <row r="41945" customFormat="false" ht="15" hidden="false" customHeight="true" outlineLevel="0" collapsed="false"/>
    <row r="41946" customFormat="false" ht="15" hidden="false" customHeight="true" outlineLevel="0" collapsed="false"/>
    <row r="41947" customFormat="false" ht="15" hidden="false" customHeight="true" outlineLevel="0" collapsed="false"/>
    <row r="41948" customFormat="false" ht="15" hidden="false" customHeight="true" outlineLevel="0" collapsed="false"/>
    <row r="41949" customFormat="false" ht="15" hidden="false" customHeight="true" outlineLevel="0" collapsed="false"/>
    <row r="41950" customFormat="false" ht="15" hidden="false" customHeight="true" outlineLevel="0" collapsed="false"/>
    <row r="41951" customFormat="false" ht="15" hidden="false" customHeight="true" outlineLevel="0" collapsed="false"/>
    <row r="41952" customFormat="false" ht="15" hidden="false" customHeight="true" outlineLevel="0" collapsed="false"/>
    <row r="41953" customFormat="false" ht="15" hidden="false" customHeight="true" outlineLevel="0" collapsed="false"/>
    <row r="41954" customFormat="false" ht="15" hidden="false" customHeight="true" outlineLevel="0" collapsed="false"/>
    <row r="41955" customFormat="false" ht="15" hidden="false" customHeight="true" outlineLevel="0" collapsed="false"/>
    <row r="41956" customFormat="false" ht="15" hidden="false" customHeight="true" outlineLevel="0" collapsed="false"/>
    <row r="41957" customFormat="false" ht="15" hidden="false" customHeight="true" outlineLevel="0" collapsed="false"/>
    <row r="41958" customFormat="false" ht="15" hidden="false" customHeight="true" outlineLevel="0" collapsed="false"/>
    <row r="41959" customFormat="false" ht="15" hidden="false" customHeight="true" outlineLevel="0" collapsed="false"/>
    <row r="41960" customFormat="false" ht="15" hidden="false" customHeight="true" outlineLevel="0" collapsed="false"/>
    <row r="41961" customFormat="false" ht="15" hidden="false" customHeight="true" outlineLevel="0" collapsed="false"/>
    <row r="41962" customFormat="false" ht="15" hidden="false" customHeight="true" outlineLevel="0" collapsed="false"/>
    <row r="41963" customFormat="false" ht="15" hidden="false" customHeight="true" outlineLevel="0" collapsed="false"/>
    <row r="41964" customFormat="false" ht="15" hidden="false" customHeight="true" outlineLevel="0" collapsed="false"/>
    <row r="41965" customFormat="false" ht="15" hidden="false" customHeight="true" outlineLevel="0" collapsed="false"/>
    <row r="41966" customFormat="false" ht="15" hidden="false" customHeight="true" outlineLevel="0" collapsed="false"/>
    <row r="41967" customFormat="false" ht="15" hidden="false" customHeight="true" outlineLevel="0" collapsed="false"/>
    <row r="41968" customFormat="false" ht="15" hidden="false" customHeight="true" outlineLevel="0" collapsed="false"/>
    <row r="41969" customFormat="false" ht="15" hidden="false" customHeight="true" outlineLevel="0" collapsed="false"/>
    <row r="41970" customFormat="false" ht="15" hidden="false" customHeight="true" outlineLevel="0" collapsed="false"/>
    <row r="41971" customFormat="false" ht="15" hidden="false" customHeight="true" outlineLevel="0" collapsed="false"/>
    <row r="41972" customFormat="false" ht="15" hidden="false" customHeight="true" outlineLevel="0" collapsed="false"/>
    <row r="41973" customFormat="false" ht="15" hidden="false" customHeight="true" outlineLevel="0" collapsed="false"/>
    <row r="41974" customFormat="false" ht="15" hidden="false" customHeight="true" outlineLevel="0" collapsed="false"/>
    <row r="41975" customFormat="false" ht="15" hidden="false" customHeight="true" outlineLevel="0" collapsed="false"/>
    <row r="41976" customFormat="false" ht="15" hidden="false" customHeight="true" outlineLevel="0" collapsed="false"/>
    <row r="41977" customFormat="false" ht="15" hidden="false" customHeight="true" outlineLevel="0" collapsed="false"/>
    <row r="41978" customFormat="false" ht="15" hidden="false" customHeight="true" outlineLevel="0" collapsed="false"/>
    <row r="41979" customFormat="false" ht="15" hidden="false" customHeight="true" outlineLevel="0" collapsed="false"/>
    <row r="41980" customFormat="false" ht="15" hidden="false" customHeight="true" outlineLevel="0" collapsed="false"/>
    <row r="41981" customFormat="false" ht="15" hidden="false" customHeight="true" outlineLevel="0" collapsed="false"/>
    <row r="41982" customFormat="false" ht="15" hidden="false" customHeight="true" outlineLevel="0" collapsed="false"/>
    <row r="41983" customFormat="false" ht="15" hidden="false" customHeight="true" outlineLevel="0" collapsed="false"/>
    <row r="41984" customFormat="false" ht="15" hidden="false" customHeight="true" outlineLevel="0" collapsed="false"/>
    <row r="41985" customFormat="false" ht="15" hidden="false" customHeight="true" outlineLevel="0" collapsed="false"/>
    <row r="41986" customFormat="false" ht="15" hidden="false" customHeight="true" outlineLevel="0" collapsed="false"/>
    <row r="41987" customFormat="false" ht="15" hidden="false" customHeight="true" outlineLevel="0" collapsed="false"/>
    <row r="41988" customFormat="false" ht="15" hidden="false" customHeight="true" outlineLevel="0" collapsed="false"/>
    <row r="41989" customFormat="false" ht="15" hidden="false" customHeight="true" outlineLevel="0" collapsed="false"/>
    <row r="41990" customFormat="false" ht="15" hidden="false" customHeight="true" outlineLevel="0" collapsed="false"/>
    <row r="41991" customFormat="false" ht="15" hidden="false" customHeight="true" outlineLevel="0" collapsed="false"/>
    <row r="41992" customFormat="false" ht="15" hidden="false" customHeight="true" outlineLevel="0" collapsed="false"/>
    <row r="41993" customFormat="false" ht="15" hidden="false" customHeight="true" outlineLevel="0" collapsed="false"/>
    <row r="41994" customFormat="false" ht="15" hidden="false" customHeight="true" outlineLevel="0" collapsed="false"/>
    <row r="41995" customFormat="false" ht="15" hidden="false" customHeight="true" outlineLevel="0" collapsed="false"/>
    <row r="41996" customFormat="false" ht="15" hidden="false" customHeight="true" outlineLevel="0" collapsed="false"/>
    <row r="41997" customFormat="false" ht="15" hidden="false" customHeight="true" outlineLevel="0" collapsed="false"/>
    <row r="41998" customFormat="false" ht="15" hidden="false" customHeight="true" outlineLevel="0" collapsed="false"/>
    <row r="41999" customFormat="false" ht="15" hidden="false" customHeight="true" outlineLevel="0" collapsed="false"/>
    <row r="42000" customFormat="false" ht="15" hidden="false" customHeight="true" outlineLevel="0" collapsed="false"/>
    <row r="42001" customFormat="false" ht="15" hidden="false" customHeight="true" outlineLevel="0" collapsed="false"/>
    <row r="42002" customFormat="false" ht="15" hidden="false" customHeight="true" outlineLevel="0" collapsed="false"/>
    <row r="42003" customFormat="false" ht="15" hidden="false" customHeight="true" outlineLevel="0" collapsed="false"/>
    <row r="42004" customFormat="false" ht="15" hidden="false" customHeight="true" outlineLevel="0" collapsed="false"/>
    <row r="42005" customFormat="false" ht="15" hidden="false" customHeight="true" outlineLevel="0" collapsed="false"/>
    <row r="42006" customFormat="false" ht="15" hidden="false" customHeight="true" outlineLevel="0" collapsed="false"/>
    <row r="42007" customFormat="false" ht="15" hidden="false" customHeight="true" outlineLevel="0" collapsed="false"/>
    <row r="42008" customFormat="false" ht="15" hidden="false" customHeight="true" outlineLevel="0" collapsed="false"/>
    <row r="42009" customFormat="false" ht="15" hidden="false" customHeight="true" outlineLevel="0" collapsed="false"/>
    <row r="42010" customFormat="false" ht="15" hidden="false" customHeight="true" outlineLevel="0" collapsed="false"/>
    <row r="42011" customFormat="false" ht="15" hidden="false" customHeight="true" outlineLevel="0" collapsed="false"/>
    <row r="42012" customFormat="false" ht="15" hidden="false" customHeight="true" outlineLevel="0" collapsed="false"/>
    <row r="42013" customFormat="false" ht="15" hidden="false" customHeight="true" outlineLevel="0" collapsed="false"/>
    <row r="42014" customFormat="false" ht="15" hidden="false" customHeight="true" outlineLevel="0" collapsed="false"/>
    <row r="42015" customFormat="false" ht="15" hidden="false" customHeight="true" outlineLevel="0" collapsed="false"/>
    <row r="42016" customFormat="false" ht="15" hidden="false" customHeight="true" outlineLevel="0" collapsed="false"/>
    <row r="42017" customFormat="false" ht="15" hidden="false" customHeight="true" outlineLevel="0" collapsed="false"/>
    <row r="42018" customFormat="false" ht="15" hidden="false" customHeight="true" outlineLevel="0" collapsed="false"/>
    <row r="42019" customFormat="false" ht="15" hidden="false" customHeight="true" outlineLevel="0" collapsed="false"/>
    <row r="42020" customFormat="false" ht="15" hidden="false" customHeight="true" outlineLevel="0" collapsed="false"/>
    <row r="42021" customFormat="false" ht="15" hidden="false" customHeight="true" outlineLevel="0" collapsed="false"/>
    <row r="42022" customFormat="false" ht="15" hidden="false" customHeight="true" outlineLevel="0" collapsed="false"/>
    <row r="42023" customFormat="false" ht="15" hidden="false" customHeight="true" outlineLevel="0" collapsed="false"/>
    <row r="42024" customFormat="false" ht="15" hidden="false" customHeight="true" outlineLevel="0" collapsed="false"/>
    <row r="42025" customFormat="false" ht="15" hidden="false" customHeight="true" outlineLevel="0" collapsed="false"/>
    <row r="42026" customFormat="false" ht="15" hidden="false" customHeight="true" outlineLevel="0" collapsed="false"/>
    <row r="42027" customFormat="false" ht="15" hidden="false" customHeight="true" outlineLevel="0" collapsed="false"/>
    <row r="42028" customFormat="false" ht="15" hidden="false" customHeight="true" outlineLevel="0" collapsed="false"/>
    <row r="42029" customFormat="false" ht="15" hidden="false" customHeight="true" outlineLevel="0" collapsed="false"/>
    <row r="42030" customFormat="false" ht="15" hidden="false" customHeight="true" outlineLevel="0" collapsed="false"/>
    <row r="42031" customFormat="false" ht="15" hidden="false" customHeight="true" outlineLevel="0" collapsed="false"/>
    <row r="42032" customFormat="false" ht="15" hidden="false" customHeight="true" outlineLevel="0" collapsed="false"/>
    <row r="42033" customFormat="false" ht="15" hidden="false" customHeight="true" outlineLevel="0" collapsed="false"/>
    <row r="42034" customFormat="false" ht="15" hidden="false" customHeight="true" outlineLevel="0" collapsed="false"/>
    <row r="42035" customFormat="false" ht="15" hidden="false" customHeight="true" outlineLevel="0" collapsed="false"/>
    <row r="42036" customFormat="false" ht="15" hidden="false" customHeight="true" outlineLevel="0" collapsed="false"/>
    <row r="42037" customFormat="false" ht="15" hidden="false" customHeight="true" outlineLevel="0" collapsed="false"/>
    <row r="42038" customFormat="false" ht="15" hidden="false" customHeight="true" outlineLevel="0" collapsed="false"/>
    <row r="42039" customFormat="false" ht="15" hidden="false" customHeight="true" outlineLevel="0" collapsed="false"/>
    <row r="42040" customFormat="false" ht="15" hidden="false" customHeight="true" outlineLevel="0" collapsed="false"/>
    <row r="42041" customFormat="false" ht="15" hidden="false" customHeight="true" outlineLevel="0" collapsed="false"/>
    <row r="42042" customFormat="false" ht="15" hidden="false" customHeight="true" outlineLevel="0" collapsed="false"/>
    <row r="42043" customFormat="false" ht="15" hidden="false" customHeight="true" outlineLevel="0" collapsed="false"/>
    <row r="42044" customFormat="false" ht="15" hidden="false" customHeight="true" outlineLevel="0" collapsed="false"/>
    <row r="42045" customFormat="false" ht="15" hidden="false" customHeight="true" outlineLevel="0" collapsed="false"/>
    <row r="42046" customFormat="false" ht="15" hidden="false" customHeight="true" outlineLevel="0" collapsed="false"/>
    <row r="42047" customFormat="false" ht="15" hidden="false" customHeight="true" outlineLevel="0" collapsed="false"/>
    <row r="42048" customFormat="false" ht="15" hidden="false" customHeight="true" outlineLevel="0" collapsed="false"/>
    <row r="42049" customFormat="false" ht="15" hidden="false" customHeight="true" outlineLevel="0" collapsed="false"/>
    <row r="42050" customFormat="false" ht="15" hidden="false" customHeight="true" outlineLevel="0" collapsed="false"/>
    <row r="42051" customFormat="false" ht="15" hidden="false" customHeight="true" outlineLevel="0" collapsed="false"/>
    <row r="42052" customFormat="false" ht="15" hidden="false" customHeight="true" outlineLevel="0" collapsed="false"/>
    <row r="42053" customFormat="false" ht="15" hidden="false" customHeight="true" outlineLevel="0" collapsed="false"/>
    <row r="42054" customFormat="false" ht="15" hidden="false" customHeight="true" outlineLevel="0" collapsed="false"/>
    <row r="42055" customFormat="false" ht="15" hidden="false" customHeight="true" outlineLevel="0" collapsed="false"/>
    <row r="42056" customFormat="false" ht="15" hidden="false" customHeight="true" outlineLevel="0" collapsed="false"/>
    <row r="42057" customFormat="false" ht="15" hidden="false" customHeight="true" outlineLevel="0" collapsed="false"/>
    <row r="42058" customFormat="false" ht="15" hidden="false" customHeight="true" outlineLevel="0" collapsed="false"/>
    <row r="42059" customFormat="false" ht="15" hidden="false" customHeight="true" outlineLevel="0" collapsed="false"/>
    <row r="42060" customFormat="false" ht="15" hidden="false" customHeight="true" outlineLevel="0" collapsed="false"/>
    <row r="42061" customFormat="false" ht="15" hidden="false" customHeight="true" outlineLevel="0" collapsed="false"/>
    <row r="42062" customFormat="false" ht="15" hidden="false" customHeight="true" outlineLevel="0" collapsed="false"/>
    <row r="42063" customFormat="false" ht="15" hidden="false" customHeight="true" outlineLevel="0" collapsed="false"/>
    <row r="42064" customFormat="false" ht="15" hidden="false" customHeight="true" outlineLevel="0" collapsed="false"/>
    <row r="42065" customFormat="false" ht="15" hidden="false" customHeight="true" outlineLevel="0" collapsed="false"/>
    <row r="42066" customFormat="false" ht="15" hidden="false" customHeight="true" outlineLevel="0" collapsed="false"/>
    <row r="42067" customFormat="false" ht="15" hidden="false" customHeight="true" outlineLevel="0" collapsed="false"/>
    <row r="42068" customFormat="false" ht="15" hidden="false" customHeight="true" outlineLevel="0" collapsed="false"/>
    <row r="42069" customFormat="false" ht="15" hidden="false" customHeight="true" outlineLevel="0" collapsed="false"/>
    <row r="42070" customFormat="false" ht="15" hidden="false" customHeight="true" outlineLevel="0" collapsed="false"/>
    <row r="42071" customFormat="false" ht="15" hidden="false" customHeight="true" outlineLevel="0" collapsed="false"/>
    <row r="42072" customFormat="false" ht="15" hidden="false" customHeight="true" outlineLevel="0" collapsed="false"/>
    <row r="42073" customFormat="false" ht="15" hidden="false" customHeight="true" outlineLevel="0" collapsed="false"/>
    <row r="42074" customFormat="false" ht="15" hidden="false" customHeight="true" outlineLevel="0" collapsed="false"/>
    <row r="42075" customFormat="false" ht="15" hidden="false" customHeight="true" outlineLevel="0" collapsed="false"/>
    <row r="42076" customFormat="false" ht="15" hidden="false" customHeight="true" outlineLevel="0" collapsed="false"/>
    <row r="42077" customFormat="false" ht="15" hidden="false" customHeight="true" outlineLevel="0" collapsed="false"/>
    <row r="42078" customFormat="false" ht="15" hidden="false" customHeight="true" outlineLevel="0" collapsed="false"/>
    <row r="42079" customFormat="false" ht="15" hidden="false" customHeight="true" outlineLevel="0" collapsed="false"/>
    <row r="42080" customFormat="false" ht="15" hidden="false" customHeight="true" outlineLevel="0" collapsed="false"/>
    <row r="42081" customFormat="false" ht="15" hidden="false" customHeight="true" outlineLevel="0" collapsed="false"/>
    <row r="42082" customFormat="false" ht="15" hidden="false" customHeight="true" outlineLevel="0" collapsed="false"/>
    <row r="42083" customFormat="false" ht="15" hidden="false" customHeight="true" outlineLevel="0" collapsed="false"/>
    <row r="42084" customFormat="false" ht="15" hidden="false" customHeight="true" outlineLevel="0" collapsed="false"/>
    <row r="42085" customFormat="false" ht="15" hidden="false" customHeight="true" outlineLevel="0" collapsed="false"/>
    <row r="42086" customFormat="false" ht="15" hidden="false" customHeight="true" outlineLevel="0" collapsed="false"/>
    <row r="42087" customFormat="false" ht="15" hidden="false" customHeight="true" outlineLevel="0" collapsed="false"/>
    <row r="42088" customFormat="false" ht="15" hidden="false" customHeight="true" outlineLevel="0" collapsed="false"/>
    <row r="42089" customFormat="false" ht="15" hidden="false" customHeight="true" outlineLevel="0" collapsed="false"/>
    <row r="42090" customFormat="false" ht="15" hidden="false" customHeight="true" outlineLevel="0" collapsed="false"/>
    <row r="42091" customFormat="false" ht="15" hidden="false" customHeight="true" outlineLevel="0" collapsed="false"/>
    <row r="42092" customFormat="false" ht="15" hidden="false" customHeight="true" outlineLevel="0" collapsed="false"/>
    <row r="42093" customFormat="false" ht="15" hidden="false" customHeight="true" outlineLevel="0" collapsed="false"/>
    <row r="42094" customFormat="false" ht="15" hidden="false" customHeight="true" outlineLevel="0" collapsed="false"/>
    <row r="42095" customFormat="false" ht="15" hidden="false" customHeight="true" outlineLevel="0" collapsed="false"/>
    <row r="42096" customFormat="false" ht="15" hidden="false" customHeight="true" outlineLevel="0" collapsed="false"/>
    <row r="42097" customFormat="false" ht="15" hidden="false" customHeight="true" outlineLevel="0" collapsed="false"/>
    <row r="42098" customFormat="false" ht="15" hidden="false" customHeight="true" outlineLevel="0" collapsed="false"/>
    <row r="42099" customFormat="false" ht="15" hidden="false" customHeight="true" outlineLevel="0" collapsed="false"/>
    <row r="42100" customFormat="false" ht="15" hidden="false" customHeight="true" outlineLevel="0" collapsed="false"/>
    <row r="42101" customFormat="false" ht="15" hidden="false" customHeight="true" outlineLevel="0" collapsed="false"/>
    <row r="42102" customFormat="false" ht="15" hidden="false" customHeight="true" outlineLevel="0" collapsed="false"/>
    <row r="42103" customFormat="false" ht="15" hidden="false" customHeight="true" outlineLevel="0" collapsed="false"/>
    <row r="42104" customFormat="false" ht="15" hidden="false" customHeight="true" outlineLevel="0" collapsed="false"/>
    <row r="42105" customFormat="false" ht="15" hidden="false" customHeight="true" outlineLevel="0" collapsed="false"/>
    <row r="42106" customFormat="false" ht="15" hidden="false" customHeight="true" outlineLevel="0" collapsed="false"/>
    <row r="42107" customFormat="false" ht="15" hidden="false" customHeight="true" outlineLevel="0" collapsed="false"/>
    <row r="42108" customFormat="false" ht="15" hidden="false" customHeight="true" outlineLevel="0" collapsed="false"/>
    <row r="42109" customFormat="false" ht="15" hidden="false" customHeight="true" outlineLevel="0" collapsed="false"/>
    <row r="42110" customFormat="false" ht="15" hidden="false" customHeight="true" outlineLevel="0" collapsed="false"/>
    <row r="42111" customFormat="false" ht="15" hidden="false" customHeight="true" outlineLevel="0" collapsed="false"/>
    <row r="42112" customFormat="false" ht="15" hidden="false" customHeight="true" outlineLevel="0" collapsed="false"/>
    <row r="42113" customFormat="false" ht="15" hidden="false" customHeight="true" outlineLevel="0" collapsed="false"/>
    <row r="42114" customFormat="false" ht="15" hidden="false" customHeight="true" outlineLevel="0" collapsed="false"/>
    <row r="42115" customFormat="false" ht="15" hidden="false" customHeight="true" outlineLevel="0" collapsed="false"/>
    <row r="42116" customFormat="false" ht="15" hidden="false" customHeight="true" outlineLevel="0" collapsed="false"/>
    <row r="42117" customFormat="false" ht="15" hidden="false" customHeight="true" outlineLevel="0" collapsed="false"/>
    <row r="42118" customFormat="false" ht="15" hidden="false" customHeight="true" outlineLevel="0" collapsed="false"/>
    <row r="42119" customFormat="false" ht="15" hidden="false" customHeight="true" outlineLevel="0" collapsed="false"/>
    <row r="42120" customFormat="false" ht="15" hidden="false" customHeight="true" outlineLevel="0" collapsed="false"/>
    <row r="42121" customFormat="false" ht="15" hidden="false" customHeight="true" outlineLevel="0" collapsed="false"/>
    <row r="42122" customFormat="false" ht="15" hidden="false" customHeight="true" outlineLevel="0" collapsed="false"/>
    <row r="42123" customFormat="false" ht="15" hidden="false" customHeight="true" outlineLevel="0" collapsed="false"/>
    <row r="42124" customFormat="false" ht="15" hidden="false" customHeight="true" outlineLevel="0" collapsed="false"/>
    <row r="42125" customFormat="false" ht="15" hidden="false" customHeight="true" outlineLevel="0" collapsed="false"/>
    <row r="42126" customFormat="false" ht="15" hidden="false" customHeight="true" outlineLevel="0" collapsed="false"/>
    <row r="42127" customFormat="false" ht="15" hidden="false" customHeight="true" outlineLevel="0" collapsed="false"/>
    <row r="42128" customFormat="false" ht="15" hidden="false" customHeight="true" outlineLevel="0" collapsed="false"/>
    <row r="42129" customFormat="false" ht="15" hidden="false" customHeight="true" outlineLevel="0" collapsed="false"/>
    <row r="42130" customFormat="false" ht="15" hidden="false" customHeight="true" outlineLevel="0" collapsed="false"/>
    <row r="42131" customFormat="false" ht="15" hidden="false" customHeight="true" outlineLevel="0" collapsed="false"/>
    <row r="42132" customFormat="false" ht="15" hidden="false" customHeight="true" outlineLevel="0" collapsed="false"/>
    <row r="42133" customFormat="false" ht="15" hidden="false" customHeight="true" outlineLevel="0" collapsed="false"/>
    <row r="42134" customFormat="false" ht="15" hidden="false" customHeight="true" outlineLevel="0" collapsed="false"/>
    <row r="42135" customFormat="false" ht="15" hidden="false" customHeight="true" outlineLevel="0" collapsed="false"/>
    <row r="42136" customFormat="false" ht="15" hidden="false" customHeight="true" outlineLevel="0" collapsed="false"/>
    <row r="42137" customFormat="false" ht="15" hidden="false" customHeight="true" outlineLevel="0" collapsed="false"/>
    <row r="42138" customFormat="false" ht="15" hidden="false" customHeight="true" outlineLevel="0" collapsed="false"/>
    <row r="42139" customFormat="false" ht="15" hidden="false" customHeight="true" outlineLevel="0" collapsed="false"/>
    <row r="42140" customFormat="false" ht="15" hidden="false" customHeight="true" outlineLevel="0" collapsed="false"/>
    <row r="42141" customFormat="false" ht="15" hidden="false" customHeight="true" outlineLevel="0" collapsed="false"/>
    <row r="42142" customFormat="false" ht="15" hidden="false" customHeight="true" outlineLevel="0" collapsed="false"/>
    <row r="42143" customFormat="false" ht="15" hidden="false" customHeight="true" outlineLevel="0" collapsed="false"/>
    <row r="42144" customFormat="false" ht="15" hidden="false" customHeight="true" outlineLevel="0" collapsed="false"/>
    <row r="42145" customFormat="false" ht="15" hidden="false" customHeight="true" outlineLevel="0" collapsed="false"/>
    <row r="42146" customFormat="false" ht="15" hidden="false" customHeight="true" outlineLevel="0" collapsed="false"/>
    <row r="42147" customFormat="false" ht="15" hidden="false" customHeight="true" outlineLevel="0" collapsed="false"/>
    <row r="42148" customFormat="false" ht="15" hidden="false" customHeight="true" outlineLevel="0" collapsed="false"/>
    <row r="42149" customFormat="false" ht="15" hidden="false" customHeight="true" outlineLevel="0" collapsed="false"/>
    <row r="42150" customFormat="false" ht="15" hidden="false" customHeight="true" outlineLevel="0" collapsed="false"/>
    <row r="42151" customFormat="false" ht="15" hidden="false" customHeight="true" outlineLevel="0" collapsed="false"/>
    <row r="42152" customFormat="false" ht="15" hidden="false" customHeight="true" outlineLevel="0" collapsed="false"/>
    <row r="42153" customFormat="false" ht="15" hidden="false" customHeight="true" outlineLevel="0" collapsed="false"/>
    <row r="42154" customFormat="false" ht="15" hidden="false" customHeight="true" outlineLevel="0" collapsed="false"/>
    <row r="42155" customFormat="false" ht="15" hidden="false" customHeight="true" outlineLevel="0" collapsed="false"/>
    <row r="42156" customFormat="false" ht="15" hidden="false" customHeight="true" outlineLevel="0" collapsed="false"/>
    <row r="42157" customFormat="false" ht="15" hidden="false" customHeight="true" outlineLevel="0" collapsed="false"/>
    <row r="42158" customFormat="false" ht="15" hidden="false" customHeight="true" outlineLevel="0" collapsed="false"/>
    <row r="42159" customFormat="false" ht="15" hidden="false" customHeight="true" outlineLevel="0" collapsed="false"/>
    <row r="42160" customFormat="false" ht="15" hidden="false" customHeight="true" outlineLevel="0" collapsed="false"/>
    <row r="42161" customFormat="false" ht="15" hidden="false" customHeight="true" outlineLevel="0" collapsed="false"/>
    <row r="42162" customFormat="false" ht="15" hidden="false" customHeight="true" outlineLevel="0" collapsed="false"/>
    <row r="42163" customFormat="false" ht="15" hidden="false" customHeight="true" outlineLevel="0" collapsed="false"/>
    <row r="42164" customFormat="false" ht="15" hidden="false" customHeight="true" outlineLevel="0" collapsed="false"/>
    <row r="42165" customFormat="false" ht="15" hidden="false" customHeight="true" outlineLevel="0" collapsed="false"/>
    <row r="42166" customFormat="false" ht="15" hidden="false" customHeight="true" outlineLevel="0" collapsed="false"/>
    <row r="42167" customFormat="false" ht="15" hidden="false" customHeight="true" outlineLevel="0" collapsed="false"/>
    <row r="42168" customFormat="false" ht="15" hidden="false" customHeight="true" outlineLevel="0" collapsed="false"/>
    <row r="42169" customFormat="false" ht="15" hidden="false" customHeight="true" outlineLevel="0" collapsed="false"/>
    <row r="42170" customFormat="false" ht="15" hidden="false" customHeight="true" outlineLevel="0" collapsed="false"/>
    <row r="42171" customFormat="false" ht="15" hidden="false" customHeight="true" outlineLevel="0" collapsed="false"/>
    <row r="42172" customFormat="false" ht="15" hidden="false" customHeight="true" outlineLevel="0" collapsed="false"/>
    <row r="42173" customFormat="false" ht="15" hidden="false" customHeight="true" outlineLevel="0" collapsed="false"/>
    <row r="42174" customFormat="false" ht="15" hidden="false" customHeight="true" outlineLevel="0" collapsed="false"/>
    <row r="42175" customFormat="false" ht="15" hidden="false" customHeight="true" outlineLevel="0" collapsed="false"/>
    <row r="42176" customFormat="false" ht="15" hidden="false" customHeight="true" outlineLevel="0" collapsed="false"/>
    <row r="42177" customFormat="false" ht="15" hidden="false" customHeight="true" outlineLevel="0" collapsed="false"/>
    <row r="42178" customFormat="false" ht="15" hidden="false" customHeight="true" outlineLevel="0" collapsed="false"/>
    <row r="42179" customFormat="false" ht="15" hidden="false" customHeight="true" outlineLevel="0" collapsed="false"/>
    <row r="42180" customFormat="false" ht="15" hidden="false" customHeight="true" outlineLevel="0" collapsed="false"/>
    <row r="42181" customFormat="false" ht="15" hidden="false" customHeight="true" outlineLevel="0" collapsed="false"/>
    <row r="42182" customFormat="false" ht="15" hidden="false" customHeight="true" outlineLevel="0" collapsed="false"/>
    <row r="42183" customFormat="false" ht="15" hidden="false" customHeight="true" outlineLevel="0" collapsed="false"/>
    <row r="42184" customFormat="false" ht="15" hidden="false" customHeight="true" outlineLevel="0" collapsed="false"/>
    <row r="42185" customFormat="false" ht="15" hidden="false" customHeight="true" outlineLevel="0" collapsed="false"/>
    <row r="42186" customFormat="false" ht="15" hidden="false" customHeight="true" outlineLevel="0" collapsed="false"/>
    <row r="42187" customFormat="false" ht="15" hidden="false" customHeight="true" outlineLevel="0" collapsed="false"/>
    <row r="42188" customFormat="false" ht="15" hidden="false" customHeight="true" outlineLevel="0" collapsed="false"/>
    <row r="42189" customFormat="false" ht="15" hidden="false" customHeight="true" outlineLevel="0" collapsed="false"/>
    <row r="42190" customFormat="false" ht="15" hidden="false" customHeight="true" outlineLevel="0" collapsed="false"/>
    <row r="42191" customFormat="false" ht="15" hidden="false" customHeight="true" outlineLevel="0" collapsed="false"/>
    <row r="42192" customFormat="false" ht="15" hidden="false" customHeight="true" outlineLevel="0" collapsed="false"/>
    <row r="42193" customFormat="false" ht="15" hidden="false" customHeight="true" outlineLevel="0" collapsed="false"/>
    <row r="42194" customFormat="false" ht="15" hidden="false" customHeight="true" outlineLevel="0" collapsed="false"/>
    <row r="42195" customFormat="false" ht="15" hidden="false" customHeight="true" outlineLevel="0" collapsed="false"/>
    <row r="42196" customFormat="false" ht="15" hidden="false" customHeight="true" outlineLevel="0" collapsed="false"/>
    <row r="42197" customFormat="false" ht="15" hidden="false" customHeight="true" outlineLevel="0" collapsed="false"/>
    <row r="42198" customFormat="false" ht="15" hidden="false" customHeight="true" outlineLevel="0" collapsed="false"/>
    <row r="42199" customFormat="false" ht="15" hidden="false" customHeight="true" outlineLevel="0" collapsed="false"/>
    <row r="42200" customFormat="false" ht="15" hidden="false" customHeight="true" outlineLevel="0" collapsed="false"/>
    <row r="42201" customFormat="false" ht="15" hidden="false" customHeight="true" outlineLevel="0" collapsed="false"/>
    <row r="42202" customFormat="false" ht="15" hidden="false" customHeight="true" outlineLevel="0" collapsed="false"/>
    <row r="42203" customFormat="false" ht="15" hidden="false" customHeight="true" outlineLevel="0" collapsed="false"/>
    <row r="42204" customFormat="false" ht="15" hidden="false" customHeight="true" outlineLevel="0" collapsed="false"/>
    <row r="42205" customFormat="false" ht="15" hidden="false" customHeight="true" outlineLevel="0" collapsed="false"/>
    <row r="42206" customFormat="false" ht="15" hidden="false" customHeight="true" outlineLevel="0" collapsed="false"/>
    <row r="42207" customFormat="false" ht="15" hidden="false" customHeight="true" outlineLevel="0" collapsed="false"/>
    <row r="42208" customFormat="false" ht="15" hidden="false" customHeight="true" outlineLevel="0" collapsed="false"/>
    <row r="42209" customFormat="false" ht="15" hidden="false" customHeight="true" outlineLevel="0" collapsed="false"/>
    <row r="42210" customFormat="false" ht="15" hidden="false" customHeight="true" outlineLevel="0" collapsed="false"/>
    <row r="42211" customFormat="false" ht="15" hidden="false" customHeight="true" outlineLevel="0" collapsed="false"/>
    <row r="42212" customFormat="false" ht="15" hidden="false" customHeight="true" outlineLevel="0" collapsed="false"/>
    <row r="42213" customFormat="false" ht="15" hidden="false" customHeight="true" outlineLevel="0" collapsed="false"/>
    <row r="42214" customFormat="false" ht="15" hidden="false" customHeight="true" outlineLevel="0" collapsed="false"/>
    <row r="42215" customFormat="false" ht="15" hidden="false" customHeight="true" outlineLevel="0" collapsed="false"/>
    <row r="42216" customFormat="false" ht="15" hidden="false" customHeight="true" outlineLevel="0" collapsed="false"/>
    <row r="42217" customFormat="false" ht="15" hidden="false" customHeight="true" outlineLevel="0" collapsed="false"/>
    <row r="42218" customFormat="false" ht="15" hidden="false" customHeight="true" outlineLevel="0" collapsed="false"/>
    <row r="42219" customFormat="false" ht="15" hidden="false" customHeight="true" outlineLevel="0" collapsed="false"/>
    <row r="42220" customFormat="false" ht="15" hidden="false" customHeight="true" outlineLevel="0" collapsed="false"/>
    <row r="42221" customFormat="false" ht="15" hidden="false" customHeight="true" outlineLevel="0" collapsed="false"/>
    <row r="42222" customFormat="false" ht="15" hidden="false" customHeight="true" outlineLevel="0" collapsed="false"/>
    <row r="42223" customFormat="false" ht="15" hidden="false" customHeight="true" outlineLevel="0" collapsed="false"/>
    <row r="42224" customFormat="false" ht="15" hidden="false" customHeight="true" outlineLevel="0" collapsed="false"/>
    <row r="42225" customFormat="false" ht="15" hidden="false" customHeight="true" outlineLevel="0" collapsed="false"/>
    <row r="42226" customFormat="false" ht="15" hidden="false" customHeight="true" outlineLevel="0" collapsed="false"/>
    <row r="42227" customFormat="false" ht="15" hidden="false" customHeight="true" outlineLevel="0" collapsed="false"/>
    <row r="42228" customFormat="false" ht="15" hidden="false" customHeight="true" outlineLevel="0" collapsed="false"/>
    <row r="42229" customFormat="false" ht="15" hidden="false" customHeight="true" outlineLevel="0" collapsed="false"/>
    <row r="42230" customFormat="false" ht="15" hidden="false" customHeight="true" outlineLevel="0" collapsed="false"/>
    <row r="42231" customFormat="false" ht="15" hidden="false" customHeight="true" outlineLevel="0" collapsed="false"/>
    <row r="42232" customFormat="false" ht="15" hidden="false" customHeight="true" outlineLevel="0" collapsed="false"/>
    <row r="42233" customFormat="false" ht="15" hidden="false" customHeight="true" outlineLevel="0" collapsed="false"/>
    <row r="42234" customFormat="false" ht="15" hidden="false" customHeight="true" outlineLevel="0" collapsed="false"/>
    <row r="42235" customFormat="false" ht="15" hidden="false" customHeight="true" outlineLevel="0" collapsed="false"/>
    <row r="42236" customFormat="false" ht="15" hidden="false" customHeight="true" outlineLevel="0" collapsed="false"/>
    <row r="42237" customFormat="false" ht="15" hidden="false" customHeight="true" outlineLevel="0" collapsed="false"/>
    <row r="42238" customFormat="false" ht="15" hidden="false" customHeight="true" outlineLevel="0" collapsed="false"/>
    <row r="42239" customFormat="false" ht="15" hidden="false" customHeight="true" outlineLevel="0" collapsed="false"/>
    <row r="42240" customFormat="false" ht="15" hidden="false" customHeight="true" outlineLevel="0" collapsed="false"/>
    <row r="42241" customFormat="false" ht="15" hidden="false" customHeight="true" outlineLevel="0" collapsed="false"/>
    <row r="42242" customFormat="false" ht="15" hidden="false" customHeight="true" outlineLevel="0" collapsed="false"/>
    <row r="42243" customFormat="false" ht="15" hidden="false" customHeight="true" outlineLevel="0" collapsed="false"/>
    <row r="42244" customFormat="false" ht="15" hidden="false" customHeight="true" outlineLevel="0" collapsed="false"/>
    <row r="42245" customFormat="false" ht="15" hidden="false" customHeight="true" outlineLevel="0" collapsed="false"/>
    <row r="42246" customFormat="false" ht="15" hidden="false" customHeight="true" outlineLevel="0" collapsed="false"/>
    <row r="42247" customFormat="false" ht="15" hidden="false" customHeight="true" outlineLevel="0" collapsed="false"/>
    <row r="42248" customFormat="false" ht="15" hidden="false" customHeight="true" outlineLevel="0" collapsed="false"/>
    <row r="42249" customFormat="false" ht="15" hidden="false" customHeight="true" outlineLevel="0" collapsed="false"/>
    <row r="42250" customFormat="false" ht="15" hidden="false" customHeight="true" outlineLevel="0" collapsed="false"/>
    <row r="42251" customFormat="false" ht="15" hidden="false" customHeight="true" outlineLevel="0" collapsed="false"/>
    <row r="42252" customFormat="false" ht="15" hidden="false" customHeight="true" outlineLevel="0" collapsed="false"/>
    <row r="42253" customFormat="false" ht="15" hidden="false" customHeight="true" outlineLevel="0" collapsed="false"/>
    <row r="42254" customFormat="false" ht="15" hidden="false" customHeight="true" outlineLevel="0" collapsed="false"/>
    <row r="42255" customFormat="false" ht="15" hidden="false" customHeight="true" outlineLevel="0" collapsed="false"/>
    <row r="42256" customFormat="false" ht="15" hidden="false" customHeight="true" outlineLevel="0" collapsed="false"/>
    <row r="42257" customFormat="false" ht="15" hidden="false" customHeight="true" outlineLevel="0" collapsed="false"/>
    <row r="42258" customFormat="false" ht="15" hidden="false" customHeight="true" outlineLevel="0" collapsed="false"/>
    <row r="42259" customFormat="false" ht="15" hidden="false" customHeight="true" outlineLevel="0" collapsed="false"/>
    <row r="42260" customFormat="false" ht="15" hidden="false" customHeight="true" outlineLevel="0" collapsed="false"/>
    <row r="42261" customFormat="false" ht="15" hidden="false" customHeight="true" outlineLevel="0" collapsed="false"/>
    <row r="42262" customFormat="false" ht="15" hidden="false" customHeight="true" outlineLevel="0" collapsed="false"/>
    <row r="42263" customFormat="false" ht="15" hidden="false" customHeight="true" outlineLevel="0" collapsed="false"/>
    <row r="42264" customFormat="false" ht="15" hidden="false" customHeight="true" outlineLevel="0" collapsed="false"/>
    <row r="42265" customFormat="false" ht="15" hidden="false" customHeight="true" outlineLevel="0" collapsed="false"/>
    <row r="42266" customFormat="false" ht="15" hidden="false" customHeight="true" outlineLevel="0" collapsed="false"/>
    <row r="42267" customFormat="false" ht="15" hidden="false" customHeight="true" outlineLevel="0" collapsed="false"/>
    <row r="42268" customFormat="false" ht="15" hidden="false" customHeight="true" outlineLevel="0" collapsed="false"/>
    <row r="42269" customFormat="false" ht="15" hidden="false" customHeight="true" outlineLevel="0" collapsed="false"/>
    <row r="42270" customFormat="false" ht="15" hidden="false" customHeight="true" outlineLevel="0" collapsed="false"/>
    <row r="42271" customFormat="false" ht="15" hidden="false" customHeight="true" outlineLevel="0" collapsed="false"/>
    <row r="42272" customFormat="false" ht="15" hidden="false" customHeight="true" outlineLevel="0" collapsed="false"/>
    <row r="42273" customFormat="false" ht="15" hidden="false" customHeight="true" outlineLevel="0" collapsed="false"/>
    <row r="42274" customFormat="false" ht="15" hidden="false" customHeight="true" outlineLevel="0" collapsed="false"/>
    <row r="42275" customFormat="false" ht="15" hidden="false" customHeight="true" outlineLevel="0" collapsed="false"/>
    <row r="42276" customFormat="false" ht="15" hidden="false" customHeight="true" outlineLevel="0" collapsed="false"/>
    <row r="42277" customFormat="false" ht="15" hidden="false" customHeight="true" outlineLevel="0" collapsed="false"/>
    <row r="42278" customFormat="false" ht="15" hidden="false" customHeight="true" outlineLevel="0" collapsed="false"/>
    <row r="42279" customFormat="false" ht="15" hidden="false" customHeight="true" outlineLevel="0" collapsed="false"/>
    <row r="42280" customFormat="false" ht="15" hidden="false" customHeight="true" outlineLevel="0" collapsed="false"/>
    <row r="42281" customFormat="false" ht="15" hidden="false" customHeight="true" outlineLevel="0" collapsed="false"/>
    <row r="42282" customFormat="false" ht="15" hidden="false" customHeight="true" outlineLevel="0" collapsed="false"/>
    <row r="42283" customFormat="false" ht="15" hidden="false" customHeight="true" outlineLevel="0" collapsed="false"/>
    <row r="42284" customFormat="false" ht="15" hidden="false" customHeight="true" outlineLevel="0" collapsed="false"/>
    <row r="42285" customFormat="false" ht="15" hidden="false" customHeight="true" outlineLevel="0" collapsed="false"/>
    <row r="42286" customFormat="false" ht="15" hidden="false" customHeight="true" outlineLevel="0" collapsed="false"/>
    <row r="42287" customFormat="false" ht="15" hidden="false" customHeight="true" outlineLevel="0" collapsed="false"/>
    <row r="42288" customFormat="false" ht="15" hidden="false" customHeight="true" outlineLevel="0" collapsed="false"/>
    <row r="42289" customFormat="false" ht="15" hidden="false" customHeight="true" outlineLevel="0" collapsed="false"/>
    <row r="42290" customFormat="false" ht="15" hidden="false" customHeight="true" outlineLevel="0" collapsed="false"/>
    <row r="42291" customFormat="false" ht="15" hidden="false" customHeight="true" outlineLevel="0" collapsed="false"/>
    <row r="42292" customFormat="false" ht="15" hidden="false" customHeight="true" outlineLevel="0" collapsed="false"/>
    <row r="42293" customFormat="false" ht="15" hidden="false" customHeight="true" outlineLevel="0" collapsed="false"/>
    <row r="42294" customFormat="false" ht="15" hidden="false" customHeight="true" outlineLevel="0" collapsed="false"/>
    <row r="42295" customFormat="false" ht="15" hidden="false" customHeight="true" outlineLevel="0" collapsed="false"/>
    <row r="42296" customFormat="false" ht="15" hidden="false" customHeight="true" outlineLevel="0" collapsed="false"/>
    <row r="42297" customFormat="false" ht="15" hidden="false" customHeight="true" outlineLevel="0" collapsed="false"/>
    <row r="42298" customFormat="false" ht="15" hidden="false" customHeight="true" outlineLevel="0" collapsed="false"/>
    <row r="42299" customFormat="false" ht="15" hidden="false" customHeight="true" outlineLevel="0" collapsed="false"/>
    <row r="42300" customFormat="false" ht="15" hidden="false" customHeight="true" outlineLevel="0" collapsed="false"/>
    <row r="42301" customFormat="false" ht="15" hidden="false" customHeight="true" outlineLevel="0" collapsed="false"/>
    <row r="42302" customFormat="false" ht="15" hidden="false" customHeight="true" outlineLevel="0" collapsed="false"/>
    <row r="42303" customFormat="false" ht="15" hidden="false" customHeight="true" outlineLevel="0" collapsed="false"/>
    <row r="42304" customFormat="false" ht="15" hidden="false" customHeight="true" outlineLevel="0" collapsed="false"/>
    <row r="42305" customFormat="false" ht="15" hidden="false" customHeight="true" outlineLevel="0" collapsed="false"/>
    <row r="42306" customFormat="false" ht="15" hidden="false" customHeight="true" outlineLevel="0" collapsed="false"/>
    <row r="42307" customFormat="false" ht="15" hidden="false" customHeight="true" outlineLevel="0" collapsed="false"/>
    <row r="42308" customFormat="false" ht="15" hidden="false" customHeight="true" outlineLevel="0" collapsed="false"/>
    <row r="42309" customFormat="false" ht="15" hidden="false" customHeight="true" outlineLevel="0" collapsed="false"/>
    <row r="42310" customFormat="false" ht="15" hidden="false" customHeight="true" outlineLevel="0" collapsed="false"/>
    <row r="42311" customFormat="false" ht="15" hidden="false" customHeight="true" outlineLevel="0" collapsed="false"/>
    <row r="42312" customFormat="false" ht="15" hidden="false" customHeight="true" outlineLevel="0" collapsed="false"/>
    <row r="42313" customFormat="false" ht="15" hidden="false" customHeight="true" outlineLevel="0" collapsed="false"/>
    <row r="42314" customFormat="false" ht="15" hidden="false" customHeight="true" outlineLevel="0" collapsed="false"/>
    <row r="42315" customFormat="false" ht="15" hidden="false" customHeight="true" outlineLevel="0" collapsed="false"/>
    <row r="42316" customFormat="false" ht="15" hidden="false" customHeight="true" outlineLevel="0" collapsed="false"/>
    <row r="42317" customFormat="false" ht="15" hidden="false" customHeight="true" outlineLevel="0" collapsed="false"/>
    <row r="42318" customFormat="false" ht="15" hidden="false" customHeight="true" outlineLevel="0" collapsed="false"/>
    <row r="42319" customFormat="false" ht="15" hidden="false" customHeight="true" outlineLevel="0" collapsed="false"/>
    <row r="42320" customFormat="false" ht="15" hidden="false" customHeight="true" outlineLevel="0" collapsed="false"/>
    <row r="42321" customFormat="false" ht="15" hidden="false" customHeight="true" outlineLevel="0" collapsed="false"/>
    <row r="42322" customFormat="false" ht="15" hidden="false" customHeight="true" outlineLevel="0" collapsed="false"/>
    <row r="42323" customFormat="false" ht="15" hidden="false" customHeight="true" outlineLevel="0" collapsed="false"/>
    <row r="42324" customFormat="false" ht="15" hidden="false" customHeight="true" outlineLevel="0" collapsed="false"/>
    <row r="42325" customFormat="false" ht="15" hidden="false" customHeight="true" outlineLevel="0" collapsed="false"/>
    <row r="42326" customFormat="false" ht="15" hidden="false" customHeight="true" outlineLevel="0" collapsed="false"/>
    <row r="42327" customFormat="false" ht="15" hidden="false" customHeight="true" outlineLevel="0" collapsed="false"/>
    <row r="42328" customFormat="false" ht="15" hidden="false" customHeight="true" outlineLevel="0" collapsed="false"/>
    <row r="42329" customFormat="false" ht="15" hidden="false" customHeight="true" outlineLevel="0" collapsed="false"/>
    <row r="42330" customFormat="false" ht="15" hidden="false" customHeight="true" outlineLevel="0" collapsed="false"/>
    <row r="42331" customFormat="false" ht="15" hidden="false" customHeight="true" outlineLevel="0" collapsed="false"/>
    <row r="42332" customFormat="false" ht="15" hidden="false" customHeight="true" outlineLevel="0" collapsed="false"/>
    <row r="42333" customFormat="false" ht="15" hidden="false" customHeight="true" outlineLevel="0" collapsed="false"/>
    <row r="42334" customFormat="false" ht="15" hidden="false" customHeight="true" outlineLevel="0" collapsed="false"/>
    <row r="42335" customFormat="false" ht="15" hidden="false" customHeight="true" outlineLevel="0" collapsed="false"/>
    <row r="42336" customFormat="false" ht="15" hidden="false" customHeight="true" outlineLevel="0" collapsed="false"/>
    <row r="42337" customFormat="false" ht="15" hidden="false" customHeight="true" outlineLevel="0" collapsed="false"/>
    <row r="42338" customFormat="false" ht="15" hidden="false" customHeight="true" outlineLevel="0" collapsed="false"/>
    <row r="42339" customFormat="false" ht="15" hidden="false" customHeight="true" outlineLevel="0" collapsed="false"/>
    <row r="42340" customFormat="false" ht="15" hidden="false" customHeight="true" outlineLevel="0" collapsed="false"/>
    <row r="42341" customFormat="false" ht="15" hidden="false" customHeight="true" outlineLevel="0" collapsed="false"/>
    <row r="42342" customFormat="false" ht="15" hidden="false" customHeight="true" outlineLevel="0" collapsed="false"/>
    <row r="42343" customFormat="false" ht="15" hidden="false" customHeight="true" outlineLevel="0" collapsed="false"/>
    <row r="42344" customFormat="false" ht="15" hidden="false" customHeight="true" outlineLevel="0" collapsed="false"/>
    <row r="42345" customFormat="false" ht="15" hidden="false" customHeight="true" outlineLevel="0" collapsed="false"/>
    <row r="42346" customFormat="false" ht="15" hidden="false" customHeight="true" outlineLevel="0" collapsed="false"/>
    <row r="42347" customFormat="false" ht="15" hidden="false" customHeight="true" outlineLevel="0" collapsed="false"/>
    <row r="42348" customFormat="false" ht="15" hidden="false" customHeight="true" outlineLevel="0" collapsed="false"/>
    <row r="42349" customFormat="false" ht="15" hidden="false" customHeight="true" outlineLevel="0" collapsed="false"/>
    <row r="42350" customFormat="false" ht="15" hidden="false" customHeight="true" outlineLevel="0" collapsed="false"/>
    <row r="42351" customFormat="false" ht="15" hidden="false" customHeight="true" outlineLevel="0" collapsed="false"/>
    <row r="42352" customFormat="false" ht="15" hidden="false" customHeight="true" outlineLevel="0" collapsed="false"/>
    <row r="42353" customFormat="false" ht="15" hidden="false" customHeight="true" outlineLevel="0" collapsed="false"/>
    <row r="42354" customFormat="false" ht="15" hidden="false" customHeight="true" outlineLevel="0" collapsed="false"/>
    <row r="42355" customFormat="false" ht="15" hidden="false" customHeight="true" outlineLevel="0" collapsed="false"/>
    <row r="42356" customFormat="false" ht="15" hidden="false" customHeight="true" outlineLevel="0" collapsed="false"/>
    <row r="42357" customFormat="false" ht="15" hidden="false" customHeight="true" outlineLevel="0" collapsed="false"/>
    <row r="42358" customFormat="false" ht="15" hidden="false" customHeight="true" outlineLevel="0" collapsed="false"/>
    <row r="42359" customFormat="false" ht="15" hidden="false" customHeight="true" outlineLevel="0" collapsed="false"/>
    <row r="42360" customFormat="false" ht="15" hidden="false" customHeight="true" outlineLevel="0" collapsed="false"/>
    <row r="42361" customFormat="false" ht="15" hidden="false" customHeight="true" outlineLevel="0" collapsed="false"/>
    <row r="42362" customFormat="false" ht="15" hidden="false" customHeight="true" outlineLevel="0" collapsed="false"/>
    <row r="42363" customFormat="false" ht="15" hidden="false" customHeight="true" outlineLevel="0" collapsed="false"/>
    <row r="42364" customFormat="false" ht="15" hidden="false" customHeight="true" outlineLevel="0" collapsed="false"/>
    <row r="42365" customFormat="false" ht="15" hidden="false" customHeight="true" outlineLevel="0" collapsed="false"/>
    <row r="42366" customFormat="false" ht="15" hidden="false" customHeight="true" outlineLevel="0" collapsed="false"/>
    <row r="42367" customFormat="false" ht="15" hidden="false" customHeight="true" outlineLevel="0" collapsed="false"/>
    <row r="42368" customFormat="false" ht="15" hidden="false" customHeight="true" outlineLevel="0" collapsed="false"/>
    <row r="42369" customFormat="false" ht="15" hidden="false" customHeight="true" outlineLevel="0" collapsed="false"/>
    <row r="42370" customFormat="false" ht="15" hidden="false" customHeight="true" outlineLevel="0" collapsed="false"/>
    <row r="42371" customFormat="false" ht="15" hidden="false" customHeight="true" outlineLevel="0" collapsed="false"/>
    <row r="42372" customFormat="false" ht="15" hidden="false" customHeight="true" outlineLevel="0" collapsed="false"/>
    <row r="42373" customFormat="false" ht="15" hidden="false" customHeight="true" outlineLevel="0" collapsed="false"/>
    <row r="42374" customFormat="false" ht="15" hidden="false" customHeight="true" outlineLevel="0" collapsed="false"/>
    <row r="42375" customFormat="false" ht="15" hidden="false" customHeight="true" outlineLevel="0" collapsed="false"/>
    <row r="42376" customFormat="false" ht="15" hidden="false" customHeight="true" outlineLevel="0" collapsed="false"/>
    <row r="42377" customFormat="false" ht="15" hidden="false" customHeight="true" outlineLevel="0" collapsed="false"/>
    <row r="42378" customFormat="false" ht="15" hidden="false" customHeight="true" outlineLevel="0" collapsed="false"/>
    <row r="42379" customFormat="false" ht="15" hidden="false" customHeight="true" outlineLevel="0" collapsed="false"/>
    <row r="42380" customFormat="false" ht="15" hidden="false" customHeight="true" outlineLevel="0" collapsed="false"/>
    <row r="42381" customFormat="false" ht="15" hidden="false" customHeight="true" outlineLevel="0" collapsed="false"/>
    <row r="42382" customFormat="false" ht="15" hidden="false" customHeight="true" outlineLevel="0" collapsed="false"/>
    <row r="42383" customFormat="false" ht="15" hidden="false" customHeight="true" outlineLevel="0" collapsed="false"/>
    <row r="42384" customFormat="false" ht="15" hidden="false" customHeight="true" outlineLevel="0" collapsed="false"/>
    <row r="42385" customFormat="false" ht="15" hidden="false" customHeight="true" outlineLevel="0" collapsed="false"/>
    <row r="42386" customFormat="false" ht="15" hidden="false" customHeight="true" outlineLevel="0" collapsed="false"/>
    <row r="42387" customFormat="false" ht="15" hidden="false" customHeight="true" outlineLevel="0" collapsed="false"/>
    <row r="42388" customFormat="false" ht="15" hidden="false" customHeight="true" outlineLevel="0" collapsed="false"/>
    <row r="42389" customFormat="false" ht="15" hidden="false" customHeight="true" outlineLevel="0" collapsed="false"/>
    <row r="42390" customFormat="false" ht="15" hidden="false" customHeight="true" outlineLevel="0" collapsed="false"/>
    <row r="42391" customFormat="false" ht="15" hidden="false" customHeight="true" outlineLevel="0" collapsed="false"/>
    <row r="42392" customFormat="false" ht="15" hidden="false" customHeight="true" outlineLevel="0" collapsed="false"/>
    <row r="42393" customFormat="false" ht="15" hidden="false" customHeight="true" outlineLevel="0" collapsed="false"/>
    <row r="42394" customFormat="false" ht="15" hidden="false" customHeight="true" outlineLevel="0" collapsed="false"/>
    <row r="42395" customFormat="false" ht="15" hidden="false" customHeight="true" outlineLevel="0" collapsed="false"/>
    <row r="42396" customFormat="false" ht="15" hidden="false" customHeight="true" outlineLevel="0" collapsed="false"/>
    <row r="42397" customFormat="false" ht="15" hidden="false" customHeight="true" outlineLevel="0" collapsed="false"/>
    <row r="42398" customFormat="false" ht="15" hidden="false" customHeight="true" outlineLevel="0" collapsed="false"/>
    <row r="42399" customFormat="false" ht="15" hidden="false" customHeight="true" outlineLevel="0" collapsed="false"/>
    <row r="42400" customFormat="false" ht="15" hidden="false" customHeight="true" outlineLevel="0" collapsed="false"/>
    <row r="42401" customFormat="false" ht="15" hidden="false" customHeight="true" outlineLevel="0" collapsed="false"/>
    <row r="42402" customFormat="false" ht="15" hidden="false" customHeight="true" outlineLevel="0" collapsed="false"/>
    <row r="42403" customFormat="false" ht="15" hidden="false" customHeight="true" outlineLevel="0" collapsed="false"/>
    <row r="42404" customFormat="false" ht="15" hidden="false" customHeight="true" outlineLevel="0" collapsed="false"/>
    <row r="42405" customFormat="false" ht="15" hidden="false" customHeight="true" outlineLevel="0" collapsed="false"/>
    <row r="42406" customFormat="false" ht="15" hidden="false" customHeight="true" outlineLevel="0" collapsed="false"/>
    <row r="42407" customFormat="false" ht="15" hidden="false" customHeight="true" outlineLevel="0" collapsed="false"/>
    <row r="42408" customFormat="false" ht="15" hidden="false" customHeight="true" outlineLevel="0" collapsed="false"/>
    <row r="42409" customFormat="false" ht="15" hidden="false" customHeight="true" outlineLevel="0" collapsed="false"/>
    <row r="42410" customFormat="false" ht="15" hidden="false" customHeight="true" outlineLevel="0" collapsed="false"/>
    <row r="42411" customFormat="false" ht="15" hidden="false" customHeight="true" outlineLevel="0" collapsed="false"/>
    <row r="42412" customFormat="false" ht="15" hidden="false" customHeight="true" outlineLevel="0" collapsed="false"/>
    <row r="42413" customFormat="false" ht="15" hidden="false" customHeight="true" outlineLevel="0" collapsed="false"/>
    <row r="42414" customFormat="false" ht="15" hidden="false" customHeight="true" outlineLevel="0" collapsed="false"/>
    <row r="42415" customFormat="false" ht="15" hidden="false" customHeight="true" outlineLevel="0" collapsed="false"/>
    <row r="42416" customFormat="false" ht="15" hidden="false" customHeight="true" outlineLevel="0" collapsed="false"/>
    <row r="42417" customFormat="false" ht="15" hidden="false" customHeight="true" outlineLevel="0" collapsed="false"/>
    <row r="42418" customFormat="false" ht="15" hidden="false" customHeight="true" outlineLevel="0" collapsed="false"/>
    <row r="42419" customFormat="false" ht="15" hidden="false" customHeight="true" outlineLevel="0" collapsed="false"/>
    <row r="42420" customFormat="false" ht="15" hidden="false" customHeight="true" outlineLevel="0" collapsed="false"/>
    <row r="42421" customFormat="false" ht="15" hidden="false" customHeight="true" outlineLevel="0" collapsed="false"/>
    <row r="42422" customFormat="false" ht="15" hidden="false" customHeight="true" outlineLevel="0" collapsed="false"/>
    <row r="42423" customFormat="false" ht="15" hidden="false" customHeight="true" outlineLevel="0" collapsed="false"/>
    <row r="42424" customFormat="false" ht="15" hidden="false" customHeight="true" outlineLevel="0" collapsed="false"/>
    <row r="42425" customFormat="false" ht="15" hidden="false" customHeight="true" outlineLevel="0" collapsed="false"/>
    <row r="42426" customFormat="false" ht="15" hidden="false" customHeight="true" outlineLevel="0" collapsed="false"/>
    <row r="42427" customFormat="false" ht="15" hidden="false" customHeight="true" outlineLevel="0" collapsed="false"/>
    <row r="42428" customFormat="false" ht="15" hidden="false" customHeight="true" outlineLevel="0" collapsed="false"/>
    <row r="42429" customFormat="false" ht="15" hidden="false" customHeight="true" outlineLevel="0" collapsed="false"/>
    <row r="42430" customFormat="false" ht="15" hidden="false" customHeight="true" outlineLevel="0" collapsed="false"/>
    <row r="42431" customFormat="false" ht="15" hidden="false" customHeight="true" outlineLevel="0" collapsed="false"/>
    <row r="42432" customFormat="false" ht="15" hidden="false" customHeight="true" outlineLevel="0" collapsed="false"/>
    <row r="42433" customFormat="false" ht="15" hidden="false" customHeight="true" outlineLevel="0" collapsed="false"/>
    <row r="42434" customFormat="false" ht="15" hidden="false" customHeight="true" outlineLevel="0" collapsed="false"/>
    <row r="42435" customFormat="false" ht="15" hidden="false" customHeight="true" outlineLevel="0" collapsed="false"/>
    <row r="42436" customFormat="false" ht="15" hidden="false" customHeight="true" outlineLevel="0" collapsed="false"/>
    <row r="42437" customFormat="false" ht="15" hidden="false" customHeight="true" outlineLevel="0" collapsed="false"/>
    <row r="42438" customFormat="false" ht="15" hidden="false" customHeight="true" outlineLevel="0" collapsed="false"/>
    <row r="42439" customFormat="false" ht="15" hidden="false" customHeight="true" outlineLevel="0" collapsed="false"/>
    <row r="42440" customFormat="false" ht="15" hidden="false" customHeight="true" outlineLevel="0" collapsed="false"/>
    <row r="42441" customFormat="false" ht="15" hidden="false" customHeight="true" outlineLevel="0" collapsed="false"/>
    <row r="42442" customFormat="false" ht="15" hidden="false" customHeight="true" outlineLevel="0" collapsed="false"/>
    <row r="42443" customFormat="false" ht="15" hidden="false" customHeight="true" outlineLevel="0" collapsed="false"/>
    <row r="42444" customFormat="false" ht="15" hidden="false" customHeight="true" outlineLevel="0" collapsed="false"/>
    <row r="42445" customFormat="false" ht="15" hidden="false" customHeight="true" outlineLevel="0" collapsed="false"/>
    <row r="42446" customFormat="false" ht="15" hidden="false" customHeight="true" outlineLevel="0" collapsed="false"/>
    <row r="42447" customFormat="false" ht="15" hidden="false" customHeight="true" outlineLevel="0" collapsed="false"/>
    <row r="42448" customFormat="false" ht="15" hidden="false" customHeight="true" outlineLevel="0" collapsed="false"/>
    <row r="42449" customFormat="false" ht="15" hidden="false" customHeight="true" outlineLevel="0" collapsed="false"/>
    <row r="42450" customFormat="false" ht="15" hidden="false" customHeight="true" outlineLevel="0" collapsed="false"/>
    <row r="42451" customFormat="false" ht="15" hidden="false" customHeight="true" outlineLevel="0" collapsed="false"/>
    <row r="42452" customFormat="false" ht="15" hidden="false" customHeight="true" outlineLevel="0" collapsed="false"/>
    <row r="42453" customFormat="false" ht="15" hidden="false" customHeight="true" outlineLevel="0" collapsed="false"/>
    <row r="42454" customFormat="false" ht="15" hidden="false" customHeight="true" outlineLevel="0" collapsed="false"/>
    <row r="42455" customFormat="false" ht="15" hidden="false" customHeight="true" outlineLevel="0" collapsed="false"/>
    <row r="42456" customFormat="false" ht="15" hidden="false" customHeight="true" outlineLevel="0" collapsed="false"/>
    <row r="42457" customFormat="false" ht="15" hidden="false" customHeight="true" outlineLevel="0" collapsed="false"/>
    <row r="42458" customFormat="false" ht="15" hidden="false" customHeight="true" outlineLevel="0" collapsed="false"/>
    <row r="42459" customFormat="false" ht="15" hidden="false" customHeight="true" outlineLevel="0" collapsed="false"/>
    <row r="42460" customFormat="false" ht="15" hidden="false" customHeight="true" outlineLevel="0" collapsed="false"/>
    <row r="42461" customFormat="false" ht="15" hidden="false" customHeight="true" outlineLevel="0" collapsed="false"/>
    <row r="42462" customFormat="false" ht="15" hidden="false" customHeight="true" outlineLevel="0" collapsed="false"/>
    <row r="42463" customFormat="false" ht="15" hidden="false" customHeight="true" outlineLevel="0" collapsed="false"/>
    <row r="42464" customFormat="false" ht="15" hidden="false" customHeight="true" outlineLevel="0" collapsed="false"/>
    <row r="42465" customFormat="false" ht="15" hidden="false" customHeight="true" outlineLevel="0" collapsed="false"/>
    <row r="42466" customFormat="false" ht="15" hidden="false" customHeight="true" outlineLevel="0" collapsed="false"/>
    <row r="42467" customFormat="false" ht="15" hidden="false" customHeight="true" outlineLevel="0" collapsed="false"/>
    <row r="42468" customFormat="false" ht="15" hidden="false" customHeight="true" outlineLevel="0" collapsed="false"/>
    <row r="42469" customFormat="false" ht="15" hidden="false" customHeight="true" outlineLevel="0" collapsed="false"/>
    <row r="42470" customFormat="false" ht="15" hidden="false" customHeight="true" outlineLevel="0" collapsed="false"/>
    <row r="42471" customFormat="false" ht="15" hidden="false" customHeight="true" outlineLevel="0" collapsed="false"/>
    <row r="42472" customFormat="false" ht="15" hidden="false" customHeight="true" outlineLevel="0" collapsed="false"/>
    <row r="42473" customFormat="false" ht="15" hidden="false" customHeight="true" outlineLevel="0" collapsed="false"/>
    <row r="42474" customFormat="false" ht="15" hidden="false" customHeight="true" outlineLevel="0" collapsed="false"/>
    <row r="42475" customFormat="false" ht="15" hidden="false" customHeight="true" outlineLevel="0" collapsed="false"/>
    <row r="42476" customFormat="false" ht="15" hidden="false" customHeight="true" outlineLevel="0" collapsed="false"/>
    <row r="42477" customFormat="false" ht="15" hidden="false" customHeight="true" outlineLevel="0" collapsed="false"/>
    <row r="42478" customFormat="false" ht="15" hidden="false" customHeight="true" outlineLevel="0" collapsed="false"/>
    <row r="42479" customFormat="false" ht="15" hidden="false" customHeight="true" outlineLevel="0" collapsed="false"/>
    <row r="42480" customFormat="false" ht="15" hidden="false" customHeight="true" outlineLevel="0" collapsed="false"/>
    <row r="42481" customFormat="false" ht="15" hidden="false" customHeight="true" outlineLevel="0" collapsed="false"/>
    <row r="42482" customFormat="false" ht="15" hidden="false" customHeight="true" outlineLevel="0" collapsed="false"/>
    <row r="42483" customFormat="false" ht="15" hidden="false" customHeight="true" outlineLevel="0" collapsed="false"/>
    <row r="42484" customFormat="false" ht="15" hidden="false" customHeight="true" outlineLevel="0" collapsed="false"/>
    <row r="42485" customFormat="false" ht="15" hidden="false" customHeight="true" outlineLevel="0" collapsed="false"/>
    <row r="42486" customFormat="false" ht="15" hidden="false" customHeight="true" outlineLevel="0" collapsed="false"/>
    <row r="42487" customFormat="false" ht="15" hidden="false" customHeight="true" outlineLevel="0" collapsed="false"/>
    <row r="42488" customFormat="false" ht="15" hidden="false" customHeight="true" outlineLevel="0" collapsed="false"/>
    <row r="42489" customFormat="false" ht="15" hidden="false" customHeight="true" outlineLevel="0" collapsed="false"/>
    <row r="42490" customFormat="false" ht="15" hidden="false" customHeight="true" outlineLevel="0" collapsed="false"/>
    <row r="42491" customFormat="false" ht="15" hidden="false" customHeight="true" outlineLevel="0" collapsed="false"/>
    <row r="42492" customFormat="false" ht="15" hidden="false" customHeight="true" outlineLevel="0" collapsed="false"/>
    <row r="42493" customFormat="false" ht="15" hidden="false" customHeight="true" outlineLevel="0" collapsed="false"/>
    <row r="42494" customFormat="false" ht="15" hidden="false" customHeight="true" outlineLevel="0" collapsed="false"/>
    <row r="42495" customFormat="false" ht="15" hidden="false" customHeight="true" outlineLevel="0" collapsed="false"/>
    <row r="42496" customFormat="false" ht="15" hidden="false" customHeight="true" outlineLevel="0" collapsed="false"/>
    <row r="42497" customFormat="false" ht="15" hidden="false" customHeight="true" outlineLevel="0" collapsed="false"/>
    <row r="42498" customFormat="false" ht="15" hidden="false" customHeight="true" outlineLevel="0" collapsed="false"/>
    <row r="42499" customFormat="false" ht="15" hidden="false" customHeight="true" outlineLevel="0" collapsed="false"/>
    <row r="42500" customFormat="false" ht="15" hidden="false" customHeight="true" outlineLevel="0" collapsed="false"/>
    <row r="42501" customFormat="false" ht="15" hidden="false" customHeight="true" outlineLevel="0" collapsed="false"/>
    <row r="42502" customFormat="false" ht="15" hidden="false" customHeight="true" outlineLevel="0" collapsed="false"/>
    <row r="42503" customFormat="false" ht="15" hidden="false" customHeight="true" outlineLevel="0" collapsed="false"/>
    <row r="42504" customFormat="false" ht="15" hidden="false" customHeight="true" outlineLevel="0" collapsed="false"/>
    <row r="42505" customFormat="false" ht="15" hidden="false" customHeight="true" outlineLevel="0" collapsed="false"/>
    <row r="42506" customFormat="false" ht="15" hidden="false" customHeight="true" outlineLevel="0" collapsed="false"/>
    <row r="42507" customFormat="false" ht="15" hidden="false" customHeight="true" outlineLevel="0" collapsed="false"/>
    <row r="42508" customFormat="false" ht="15" hidden="false" customHeight="true" outlineLevel="0" collapsed="false"/>
    <row r="42509" customFormat="false" ht="15" hidden="false" customHeight="true" outlineLevel="0" collapsed="false"/>
    <row r="42510" customFormat="false" ht="15" hidden="false" customHeight="true" outlineLevel="0" collapsed="false"/>
    <row r="42511" customFormat="false" ht="15" hidden="false" customHeight="true" outlineLevel="0" collapsed="false"/>
    <row r="42512" customFormat="false" ht="15" hidden="false" customHeight="true" outlineLevel="0" collapsed="false"/>
    <row r="42513" customFormat="false" ht="15" hidden="false" customHeight="true" outlineLevel="0" collapsed="false"/>
    <row r="42514" customFormat="false" ht="15" hidden="false" customHeight="true" outlineLevel="0" collapsed="false"/>
    <row r="42515" customFormat="false" ht="15" hidden="false" customHeight="true" outlineLevel="0" collapsed="false"/>
    <row r="42516" customFormat="false" ht="15" hidden="false" customHeight="true" outlineLevel="0" collapsed="false"/>
    <row r="42517" customFormat="false" ht="15" hidden="false" customHeight="true" outlineLevel="0" collapsed="false"/>
    <row r="42518" customFormat="false" ht="15" hidden="false" customHeight="true" outlineLevel="0" collapsed="false"/>
    <row r="42519" customFormat="false" ht="15" hidden="false" customHeight="true" outlineLevel="0" collapsed="false"/>
    <row r="42520" customFormat="false" ht="15" hidden="false" customHeight="true" outlineLevel="0" collapsed="false"/>
    <row r="42521" customFormat="false" ht="15" hidden="false" customHeight="true" outlineLevel="0" collapsed="false"/>
    <row r="42522" customFormat="false" ht="15" hidden="false" customHeight="true" outlineLevel="0" collapsed="false"/>
    <row r="42523" customFormat="false" ht="15" hidden="false" customHeight="true" outlineLevel="0" collapsed="false"/>
    <row r="42524" customFormat="false" ht="15" hidden="false" customHeight="true" outlineLevel="0" collapsed="false"/>
    <row r="42525" customFormat="false" ht="15" hidden="false" customHeight="true" outlineLevel="0" collapsed="false"/>
    <row r="42526" customFormat="false" ht="15" hidden="false" customHeight="true" outlineLevel="0" collapsed="false"/>
    <row r="42527" customFormat="false" ht="15" hidden="false" customHeight="true" outlineLevel="0" collapsed="false"/>
    <row r="42528" customFormat="false" ht="15" hidden="false" customHeight="true" outlineLevel="0" collapsed="false"/>
    <row r="42529" customFormat="false" ht="15" hidden="false" customHeight="true" outlineLevel="0" collapsed="false"/>
    <row r="42530" customFormat="false" ht="15" hidden="false" customHeight="true" outlineLevel="0" collapsed="false"/>
    <row r="42531" customFormat="false" ht="15" hidden="false" customHeight="true" outlineLevel="0" collapsed="false"/>
    <row r="42532" customFormat="false" ht="15" hidden="false" customHeight="true" outlineLevel="0" collapsed="false"/>
    <row r="42533" customFormat="false" ht="15" hidden="false" customHeight="true" outlineLevel="0" collapsed="false"/>
    <row r="42534" customFormat="false" ht="15" hidden="false" customHeight="true" outlineLevel="0" collapsed="false"/>
    <row r="42535" customFormat="false" ht="15" hidden="false" customHeight="true" outlineLevel="0" collapsed="false"/>
    <row r="42536" customFormat="false" ht="15" hidden="false" customHeight="true" outlineLevel="0" collapsed="false"/>
    <row r="42537" customFormat="false" ht="15" hidden="false" customHeight="true" outlineLevel="0" collapsed="false"/>
    <row r="42538" customFormat="false" ht="15" hidden="false" customHeight="true" outlineLevel="0" collapsed="false"/>
    <row r="42539" customFormat="false" ht="15" hidden="false" customHeight="true" outlineLevel="0" collapsed="false"/>
    <row r="42540" customFormat="false" ht="15" hidden="false" customHeight="true" outlineLevel="0" collapsed="false"/>
    <row r="42541" customFormat="false" ht="15" hidden="false" customHeight="true" outlineLevel="0" collapsed="false"/>
    <row r="42542" customFormat="false" ht="15" hidden="false" customHeight="true" outlineLevel="0" collapsed="false"/>
    <row r="42543" customFormat="false" ht="15" hidden="false" customHeight="true" outlineLevel="0" collapsed="false"/>
    <row r="42544" customFormat="false" ht="15" hidden="false" customHeight="true" outlineLevel="0" collapsed="false"/>
    <row r="42545" customFormat="false" ht="15" hidden="false" customHeight="true" outlineLevel="0" collapsed="false"/>
    <row r="42546" customFormat="false" ht="15" hidden="false" customHeight="true" outlineLevel="0" collapsed="false"/>
    <row r="42547" customFormat="false" ht="15" hidden="false" customHeight="true" outlineLevel="0" collapsed="false"/>
    <row r="42548" customFormat="false" ht="15" hidden="false" customHeight="true" outlineLevel="0" collapsed="false"/>
    <row r="42549" customFormat="false" ht="15" hidden="false" customHeight="true" outlineLevel="0" collapsed="false"/>
    <row r="42550" customFormat="false" ht="15" hidden="false" customHeight="true" outlineLevel="0" collapsed="false"/>
    <row r="42551" customFormat="false" ht="15" hidden="false" customHeight="true" outlineLevel="0" collapsed="false"/>
    <row r="42552" customFormat="false" ht="15" hidden="false" customHeight="true" outlineLevel="0" collapsed="false"/>
    <row r="42553" customFormat="false" ht="15" hidden="false" customHeight="true" outlineLevel="0" collapsed="false"/>
    <row r="42554" customFormat="false" ht="15" hidden="false" customHeight="true" outlineLevel="0" collapsed="false"/>
    <row r="42555" customFormat="false" ht="15" hidden="false" customHeight="true" outlineLevel="0" collapsed="false"/>
    <row r="42556" customFormat="false" ht="15" hidden="false" customHeight="true" outlineLevel="0" collapsed="false"/>
    <row r="42557" customFormat="false" ht="15" hidden="false" customHeight="true" outlineLevel="0" collapsed="false"/>
    <row r="42558" customFormat="false" ht="15" hidden="false" customHeight="true" outlineLevel="0" collapsed="false"/>
    <row r="42559" customFormat="false" ht="15" hidden="false" customHeight="true" outlineLevel="0" collapsed="false"/>
    <row r="42560" customFormat="false" ht="15" hidden="false" customHeight="true" outlineLevel="0" collapsed="false"/>
    <row r="42561" customFormat="false" ht="15" hidden="false" customHeight="true" outlineLevel="0" collapsed="false"/>
    <row r="42562" customFormat="false" ht="15" hidden="false" customHeight="true" outlineLevel="0" collapsed="false"/>
    <row r="42563" customFormat="false" ht="15" hidden="false" customHeight="true" outlineLevel="0" collapsed="false"/>
    <row r="42564" customFormat="false" ht="15" hidden="false" customHeight="true" outlineLevel="0" collapsed="false"/>
    <row r="42565" customFormat="false" ht="15" hidden="false" customHeight="true" outlineLevel="0" collapsed="false"/>
    <row r="42566" customFormat="false" ht="15" hidden="false" customHeight="true" outlineLevel="0" collapsed="false"/>
    <row r="42567" customFormat="false" ht="15" hidden="false" customHeight="true" outlineLevel="0" collapsed="false"/>
    <row r="42568" customFormat="false" ht="15" hidden="false" customHeight="true" outlineLevel="0" collapsed="false"/>
    <row r="42569" customFormat="false" ht="15" hidden="false" customHeight="true" outlineLevel="0" collapsed="false"/>
    <row r="42570" customFormat="false" ht="15" hidden="false" customHeight="true" outlineLevel="0" collapsed="false"/>
    <row r="42571" customFormat="false" ht="15" hidden="false" customHeight="true" outlineLevel="0" collapsed="false"/>
    <row r="42572" customFormat="false" ht="15" hidden="false" customHeight="true" outlineLevel="0" collapsed="false"/>
    <row r="42573" customFormat="false" ht="15" hidden="false" customHeight="true" outlineLevel="0" collapsed="false"/>
    <row r="42574" customFormat="false" ht="15" hidden="false" customHeight="true" outlineLevel="0" collapsed="false"/>
    <row r="42575" customFormat="false" ht="15" hidden="false" customHeight="true" outlineLevel="0" collapsed="false"/>
    <row r="42576" customFormat="false" ht="15" hidden="false" customHeight="true" outlineLevel="0" collapsed="false"/>
    <row r="42577" customFormat="false" ht="15" hidden="false" customHeight="true" outlineLevel="0" collapsed="false"/>
    <row r="42578" customFormat="false" ht="15" hidden="false" customHeight="true" outlineLevel="0" collapsed="false"/>
    <row r="42579" customFormat="false" ht="15" hidden="false" customHeight="true" outlineLevel="0" collapsed="false"/>
    <row r="42580" customFormat="false" ht="15" hidden="false" customHeight="true" outlineLevel="0" collapsed="false"/>
    <row r="42581" customFormat="false" ht="15" hidden="false" customHeight="true" outlineLevel="0" collapsed="false"/>
    <row r="42582" customFormat="false" ht="15" hidden="false" customHeight="true" outlineLevel="0" collapsed="false"/>
    <row r="42583" customFormat="false" ht="15" hidden="false" customHeight="true" outlineLevel="0" collapsed="false"/>
    <row r="42584" customFormat="false" ht="15" hidden="false" customHeight="true" outlineLevel="0" collapsed="false"/>
    <row r="42585" customFormat="false" ht="15" hidden="false" customHeight="true" outlineLevel="0" collapsed="false"/>
    <row r="42586" customFormat="false" ht="15" hidden="false" customHeight="true" outlineLevel="0" collapsed="false"/>
    <row r="42587" customFormat="false" ht="15" hidden="false" customHeight="true" outlineLevel="0" collapsed="false"/>
    <row r="42588" customFormat="false" ht="15" hidden="false" customHeight="true" outlineLevel="0" collapsed="false"/>
    <row r="42589" customFormat="false" ht="15" hidden="false" customHeight="true" outlineLevel="0" collapsed="false"/>
    <row r="42590" customFormat="false" ht="15" hidden="false" customHeight="true" outlineLevel="0" collapsed="false"/>
    <row r="42591" customFormat="false" ht="15" hidden="false" customHeight="true" outlineLevel="0" collapsed="false"/>
    <row r="42592" customFormat="false" ht="15" hidden="false" customHeight="true" outlineLevel="0" collapsed="false"/>
    <row r="42593" customFormat="false" ht="15" hidden="false" customHeight="true" outlineLevel="0" collapsed="false"/>
    <row r="42594" customFormat="false" ht="15" hidden="false" customHeight="true" outlineLevel="0" collapsed="false"/>
    <row r="42595" customFormat="false" ht="15" hidden="false" customHeight="true" outlineLevel="0" collapsed="false"/>
    <row r="42596" customFormat="false" ht="15" hidden="false" customHeight="true" outlineLevel="0" collapsed="false"/>
    <row r="42597" customFormat="false" ht="15" hidden="false" customHeight="true" outlineLevel="0" collapsed="false"/>
    <row r="42598" customFormat="false" ht="15" hidden="false" customHeight="true" outlineLevel="0" collapsed="false"/>
    <row r="42599" customFormat="false" ht="15" hidden="false" customHeight="true" outlineLevel="0" collapsed="false"/>
    <row r="42600" customFormat="false" ht="15" hidden="false" customHeight="true" outlineLevel="0" collapsed="false"/>
    <row r="42601" customFormat="false" ht="15" hidden="false" customHeight="true" outlineLevel="0" collapsed="false"/>
    <row r="42602" customFormat="false" ht="15" hidden="false" customHeight="true" outlineLevel="0" collapsed="false"/>
    <row r="42603" customFormat="false" ht="15" hidden="false" customHeight="true" outlineLevel="0" collapsed="false"/>
    <row r="42604" customFormat="false" ht="15" hidden="false" customHeight="true" outlineLevel="0" collapsed="false"/>
    <row r="42605" customFormat="false" ht="15" hidden="false" customHeight="true" outlineLevel="0" collapsed="false"/>
    <row r="42606" customFormat="false" ht="15" hidden="false" customHeight="true" outlineLevel="0" collapsed="false"/>
    <row r="42607" customFormat="false" ht="15" hidden="false" customHeight="true" outlineLevel="0" collapsed="false"/>
    <row r="42608" customFormat="false" ht="15" hidden="false" customHeight="true" outlineLevel="0" collapsed="false"/>
    <row r="42609" customFormat="false" ht="15" hidden="false" customHeight="true" outlineLevel="0" collapsed="false"/>
    <row r="42610" customFormat="false" ht="15" hidden="false" customHeight="true" outlineLevel="0" collapsed="false"/>
    <row r="42611" customFormat="false" ht="15" hidden="false" customHeight="true" outlineLevel="0" collapsed="false"/>
    <row r="42612" customFormat="false" ht="15" hidden="false" customHeight="true" outlineLevel="0" collapsed="false"/>
    <row r="42613" customFormat="false" ht="15" hidden="false" customHeight="true" outlineLevel="0" collapsed="false"/>
    <row r="42614" customFormat="false" ht="15" hidden="false" customHeight="true" outlineLevel="0" collapsed="false"/>
    <row r="42615" customFormat="false" ht="15" hidden="false" customHeight="true" outlineLevel="0" collapsed="false"/>
    <row r="42616" customFormat="false" ht="15" hidden="false" customHeight="true" outlineLevel="0" collapsed="false"/>
    <row r="42617" customFormat="false" ht="15" hidden="false" customHeight="true" outlineLevel="0" collapsed="false"/>
    <row r="42618" customFormat="false" ht="15" hidden="false" customHeight="true" outlineLevel="0" collapsed="false"/>
    <row r="42619" customFormat="false" ht="15" hidden="false" customHeight="true" outlineLevel="0" collapsed="false"/>
    <row r="42620" customFormat="false" ht="15" hidden="false" customHeight="true" outlineLevel="0" collapsed="false"/>
    <row r="42621" customFormat="false" ht="15" hidden="false" customHeight="true" outlineLevel="0" collapsed="false"/>
    <row r="42622" customFormat="false" ht="15" hidden="false" customHeight="true" outlineLevel="0" collapsed="false"/>
    <row r="42623" customFormat="false" ht="15" hidden="false" customHeight="true" outlineLevel="0" collapsed="false"/>
    <row r="42624" customFormat="false" ht="15" hidden="false" customHeight="true" outlineLevel="0" collapsed="false"/>
    <row r="42625" customFormat="false" ht="15" hidden="false" customHeight="true" outlineLevel="0" collapsed="false"/>
    <row r="42626" customFormat="false" ht="15" hidden="false" customHeight="true" outlineLevel="0" collapsed="false"/>
    <row r="42627" customFormat="false" ht="15" hidden="false" customHeight="true" outlineLevel="0" collapsed="false"/>
    <row r="42628" customFormat="false" ht="15" hidden="false" customHeight="true" outlineLevel="0" collapsed="false"/>
    <row r="42629" customFormat="false" ht="15" hidden="false" customHeight="true" outlineLevel="0" collapsed="false"/>
    <row r="42630" customFormat="false" ht="15" hidden="false" customHeight="true" outlineLevel="0" collapsed="false"/>
    <row r="42631" customFormat="false" ht="15" hidden="false" customHeight="true" outlineLevel="0" collapsed="false"/>
    <row r="42632" customFormat="false" ht="15" hidden="false" customHeight="true" outlineLevel="0" collapsed="false"/>
    <row r="42633" customFormat="false" ht="15" hidden="false" customHeight="true" outlineLevel="0" collapsed="false"/>
    <row r="42634" customFormat="false" ht="15" hidden="false" customHeight="true" outlineLevel="0" collapsed="false"/>
    <row r="42635" customFormat="false" ht="15" hidden="false" customHeight="true" outlineLevel="0" collapsed="false"/>
    <row r="42636" customFormat="false" ht="15" hidden="false" customHeight="true" outlineLevel="0" collapsed="false"/>
    <row r="42637" customFormat="false" ht="15" hidden="false" customHeight="true" outlineLevel="0" collapsed="false"/>
    <row r="42638" customFormat="false" ht="15" hidden="false" customHeight="true" outlineLevel="0" collapsed="false"/>
    <row r="42639" customFormat="false" ht="15" hidden="false" customHeight="true" outlineLevel="0" collapsed="false"/>
    <row r="42640" customFormat="false" ht="15" hidden="false" customHeight="true" outlineLevel="0" collapsed="false"/>
    <row r="42641" customFormat="false" ht="15" hidden="false" customHeight="true" outlineLevel="0" collapsed="false"/>
    <row r="42642" customFormat="false" ht="15" hidden="false" customHeight="true" outlineLevel="0" collapsed="false"/>
    <row r="42643" customFormat="false" ht="15" hidden="false" customHeight="true" outlineLevel="0" collapsed="false"/>
    <row r="42644" customFormat="false" ht="15" hidden="false" customHeight="true" outlineLevel="0" collapsed="false"/>
    <row r="42645" customFormat="false" ht="15" hidden="false" customHeight="true" outlineLevel="0" collapsed="false"/>
    <row r="42646" customFormat="false" ht="15" hidden="false" customHeight="true" outlineLevel="0" collapsed="false"/>
    <row r="42647" customFormat="false" ht="15" hidden="false" customHeight="true" outlineLevel="0" collapsed="false"/>
    <row r="42648" customFormat="false" ht="15" hidden="false" customHeight="true" outlineLevel="0" collapsed="false"/>
    <row r="42649" customFormat="false" ht="15" hidden="false" customHeight="true" outlineLevel="0" collapsed="false"/>
    <row r="42650" customFormat="false" ht="15" hidden="false" customHeight="true" outlineLevel="0" collapsed="false"/>
    <row r="42651" customFormat="false" ht="15" hidden="false" customHeight="true" outlineLevel="0" collapsed="false"/>
    <row r="42652" customFormat="false" ht="15" hidden="false" customHeight="true" outlineLevel="0" collapsed="false"/>
    <row r="42653" customFormat="false" ht="15" hidden="false" customHeight="true" outlineLevel="0" collapsed="false"/>
    <row r="42654" customFormat="false" ht="15" hidden="false" customHeight="true" outlineLevel="0" collapsed="false"/>
    <row r="42655" customFormat="false" ht="15" hidden="false" customHeight="true" outlineLevel="0" collapsed="false"/>
    <row r="42656" customFormat="false" ht="15" hidden="false" customHeight="true" outlineLevel="0" collapsed="false"/>
    <row r="42657" customFormat="false" ht="15" hidden="false" customHeight="true" outlineLevel="0" collapsed="false"/>
    <row r="42658" customFormat="false" ht="15" hidden="false" customHeight="true" outlineLevel="0" collapsed="false"/>
    <row r="42659" customFormat="false" ht="15" hidden="false" customHeight="true" outlineLevel="0" collapsed="false"/>
    <row r="42660" customFormat="false" ht="15" hidden="false" customHeight="true" outlineLevel="0" collapsed="false"/>
    <row r="42661" customFormat="false" ht="15" hidden="false" customHeight="true" outlineLevel="0" collapsed="false"/>
    <row r="42662" customFormat="false" ht="15" hidden="false" customHeight="true" outlineLevel="0" collapsed="false"/>
    <row r="42663" customFormat="false" ht="15" hidden="false" customHeight="true" outlineLevel="0" collapsed="false"/>
    <row r="42664" customFormat="false" ht="15" hidden="false" customHeight="true" outlineLevel="0" collapsed="false"/>
    <row r="42665" customFormat="false" ht="15" hidden="false" customHeight="true" outlineLevel="0" collapsed="false"/>
    <row r="42666" customFormat="false" ht="15" hidden="false" customHeight="true" outlineLevel="0" collapsed="false"/>
    <row r="42667" customFormat="false" ht="15" hidden="false" customHeight="true" outlineLevel="0" collapsed="false"/>
    <row r="42668" customFormat="false" ht="15" hidden="false" customHeight="true" outlineLevel="0" collapsed="false"/>
    <row r="42669" customFormat="false" ht="15" hidden="false" customHeight="true" outlineLevel="0" collapsed="false"/>
    <row r="42670" customFormat="false" ht="15" hidden="false" customHeight="true" outlineLevel="0" collapsed="false"/>
    <row r="42671" customFormat="false" ht="15" hidden="false" customHeight="true" outlineLevel="0" collapsed="false"/>
    <row r="42672" customFormat="false" ht="15" hidden="false" customHeight="true" outlineLevel="0" collapsed="false"/>
    <row r="42673" customFormat="false" ht="15" hidden="false" customHeight="true" outlineLevel="0" collapsed="false"/>
    <row r="42674" customFormat="false" ht="15" hidden="false" customHeight="true" outlineLevel="0" collapsed="false"/>
    <row r="42675" customFormat="false" ht="15" hidden="false" customHeight="true" outlineLevel="0" collapsed="false"/>
    <row r="42676" customFormat="false" ht="15" hidden="false" customHeight="true" outlineLevel="0" collapsed="false"/>
    <row r="42677" customFormat="false" ht="15" hidden="false" customHeight="true" outlineLevel="0" collapsed="false"/>
    <row r="42678" customFormat="false" ht="15" hidden="false" customHeight="true" outlineLevel="0" collapsed="false"/>
    <row r="42679" customFormat="false" ht="15" hidden="false" customHeight="true" outlineLevel="0" collapsed="false"/>
    <row r="42680" customFormat="false" ht="15" hidden="false" customHeight="true" outlineLevel="0" collapsed="false"/>
    <row r="42681" customFormat="false" ht="15" hidden="false" customHeight="true" outlineLevel="0" collapsed="false"/>
    <row r="42682" customFormat="false" ht="15" hidden="false" customHeight="true" outlineLevel="0" collapsed="false"/>
    <row r="42683" customFormat="false" ht="15" hidden="false" customHeight="true" outlineLevel="0" collapsed="false"/>
    <row r="42684" customFormat="false" ht="15" hidden="false" customHeight="true" outlineLevel="0" collapsed="false"/>
    <row r="42685" customFormat="false" ht="15" hidden="false" customHeight="true" outlineLevel="0" collapsed="false"/>
    <row r="42686" customFormat="false" ht="15" hidden="false" customHeight="true" outlineLevel="0" collapsed="false"/>
    <row r="42687" customFormat="false" ht="15" hidden="false" customHeight="true" outlineLevel="0" collapsed="false"/>
    <row r="42688" customFormat="false" ht="15" hidden="false" customHeight="true" outlineLevel="0" collapsed="false"/>
    <row r="42689" customFormat="false" ht="15" hidden="false" customHeight="true" outlineLevel="0" collapsed="false"/>
    <row r="42690" customFormat="false" ht="15" hidden="false" customHeight="true" outlineLevel="0" collapsed="false"/>
    <row r="42691" customFormat="false" ht="15" hidden="false" customHeight="true" outlineLevel="0" collapsed="false"/>
    <row r="42692" customFormat="false" ht="15" hidden="false" customHeight="true" outlineLevel="0" collapsed="false"/>
    <row r="42693" customFormat="false" ht="15" hidden="false" customHeight="true" outlineLevel="0" collapsed="false"/>
    <row r="42694" customFormat="false" ht="15" hidden="false" customHeight="true" outlineLevel="0" collapsed="false"/>
    <row r="42695" customFormat="false" ht="15" hidden="false" customHeight="true" outlineLevel="0" collapsed="false"/>
    <row r="42696" customFormat="false" ht="15" hidden="false" customHeight="true" outlineLevel="0" collapsed="false"/>
    <row r="42697" customFormat="false" ht="15" hidden="false" customHeight="true" outlineLevel="0" collapsed="false"/>
    <row r="42698" customFormat="false" ht="15" hidden="false" customHeight="true" outlineLevel="0" collapsed="false"/>
    <row r="42699" customFormat="false" ht="15" hidden="false" customHeight="true" outlineLevel="0" collapsed="false"/>
    <row r="42700" customFormat="false" ht="15" hidden="false" customHeight="true" outlineLevel="0" collapsed="false"/>
    <row r="42701" customFormat="false" ht="15" hidden="false" customHeight="true" outlineLevel="0" collapsed="false"/>
    <row r="42702" customFormat="false" ht="15" hidden="false" customHeight="true" outlineLevel="0" collapsed="false"/>
    <row r="42703" customFormat="false" ht="15" hidden="false" customHeight="true" outlineLevel="0" collapsed="false"/>
    <row r="42704" customFormat="false" ht="15" hidden="false" customHeight="true" outlineLevel="0" collapsed="false"/>
    <row r="42705" customFormat="false" ht="15" hidden="false" customHeight="true" outlineLevel="0" collapsed="false"/>
    <row r="42706" customFormat="false" ht="15" hidden="false" customHeight="true" outlineLevel="0" collapsed="false"/>
    <row r="42707" customFormat="false" ht="15" hidden="false" customHeight="true" outlineLevel="0" collapsed="false"/>
    <row r="42708" customFormat="false" ht="15" hidden="false" customHeight="true" outlineLevel="0" collapsed="false"/>
    <row r="42709" customFormat="false" ht="15" hidden="false" customHeight="true" outlineLevel="0" collapsed="false"/>
    <row r="42710" customFormat="false" ht="15" hidden="false" customHeight="true" outlineLevel="0" collapsed="false"/>
    <row r="42711" customFormat="false" ht="15" hidden="false" customHeight="true" outlineLevel="0" collapsed="false"/>
    <row r="42712" customFormat="false" ht="15" hidden="false" customHeight="true" outlineLevel="0" collapsed="false"/>
    <row r="42713" customFormat="false" ht="15" hidden="false" customHeight="true" outlineLevel="0" collapsed="false"/>
    <row r="42714" customFormat="false" ht="15" hidden="false" customHeight="true" outlineLevel="0" collapsed="false"/>
    <row r="42715" customFormat="false" ht="15" hidden="false" customHeight="true" outlineLevel="0" collapsed="false"/>
    <row r="42716" customFormat="false" ht="15" hidden="false" customHeight="true" outlineLevel="0" collapsed="false"/>
    <row r="42717" customFormat="false" ht="15" hidden="false" customHeight="true" outlineLevel="0" collapsed="false"/>
    <row r="42718" customFormat="false" ht="15" hidden="false" customHeight="true" outlineLevel="0" collapsed="false"/>
    <row r="42719" customFormat="false" ht="15" hidden="false" customHeight="true" outlineLevel="0" collapsed="false"/>
    <row r="42720" customFormat="false" ht="15" hidden="false" customHeight="true" outlineLevel="0" collapsed="false"/>
    <row r="42721" customFormat="false" ht="15" hidden="false" customHeight="true" outlineLevel="0" collapsed="false"/>
    <row r="42722" customFormat="false" ht="15" hidden="false" customHeight="true" outlineLevel="0" collapsed="false"/>
    <row r="42723" customFormat="false" ht="15" hidden="false" customHeight="true" outlineLevel="0" collapsed="false"/>
    <row r="42724" customFormat="false" ht="15" hidden="false" customHeight="true" outlineLevel="0" collapsed="false"/>
    <row r="42725" customFormat="false" ht="15" hidden="false" customHeight="true" outlineLevel="0" collapsed="false"/>
    <row r="42726" customFormat="false" ht="15" hidden="false" customHeight="true" outlineLevel="0" collapsed="false"/>
    <row r="42727" customFormat="false" ht="15" hidden="false" customHeight="true" outlineLevel="0" collapsed="false"/>
    <row r="42728" customFormat="false" ht="15" hidden="false" customHeight="true" outlineLevel="0" collapsed="false"/>
    <row r="42729" customFormat="false" ht="15" hidden="false" customHeight="true" outlineLevel="0" collapsed="false"/>
    <row r="42730" customFormat="false" ht="15" hidden="false" customHeight="true" outlineLevel="0" collapsed="false"/>
    <row r="42731" customFormat="false" ht="15" hidden="false" customHeight="true" outlineLevel="0" collapsed="false"/>
    <row r="42732" customFormat="false" ht="15" hidden="false" customHeight="true" outlineLevel="0" collapsed="false"/>
    <row r="42733" customFormat="false" ht="15" hidden="false" customHeight="true" outlineLevel="0" collapsed="false"/>
    <row r="42734" customFormat="false" ht="15" hidden="false" customHeight="true" outlineLevel="0" collapsed="false"/>
    <row r="42735" customFormat="false" ht="15" hidden="false" customHeight="true" outlineLevel="0" collapsed="false"/>
    <row r="42736" customFormat="false" ht="15" hidden="false" customHeight="true" outlineLevel="0" collapsed="false"/>
    <row r="42737" customFormat="false" ht="15" hidden="false" customHeight="true" outlineLevel="0" collapsed="false"/>
    <row r="42738" customFormat="false" ht="15" hidden="false" customHeight="true" outlineLevel="0" collapsed="false"/>
    <row r="42739" customFormat="false" ht="15" hidden="false" customHeight="true" outlineLevel="0" collapsed="false"/>
    <row r="42740" customFormat="false" ht="15" hidden="false" customHeight="true" outlineLevel="0" collapsed="false"/>
    <row r="42741" customFormat="false" ht="15" hidden="false" customHeight="true" outlineLevel="0" collapsed="false"/>
    <row r="42742" customFormat="false" ht="15" hidden="false" customHeight="true" outlineLevel="0" collapsed="false"/>
    <row r="42743" customFormat="false" ht="15" hidden="false" customHeight="true" outlineLevel="0" collapsed="false"/>
    <row r="42744" customFormat="false" ht="15" hidden="false" customHeight="true" outlineLevel="0" collapsed="false"/>
    <row r="42745" customFormat="false" ht="15" hidden="false" customHeight="true" outlineLevel="0" collapsed="false"/>
    <row r="42746" customFormat="false" ht="15" hidden="false" customHeight="true" outlineLevel="0" collapsed="false"/>
    <row r="42747" customFormat="false" ht="15" hidden="false" customHeight="true" outlineLevel="0" collapsed="false"/>
    <row r="42748" customFormat="false" ht="15" hidden="false" customHeight="true" outlineLevel="0" collapsed="false"/>
    <row r="42749" customFormat="false" ht="15" hidden="false" customHeight="true" outlineLevel="0" collapsed="false"/>
    <row r="42750" customFormat="false" ht="15" hidden="false" customHeight="true" outlineLevel="0" collapsed="false"/>
    <row r="42751" customFormat="false" ht="15" hidden="false" customHeight="true" outlineLevel="0" collapsed="false"/>
    <row r="42752" customFormat="false" ht="15" hidden="false" customHeight="true" outlineLevel="0" collapsed="false"/>
    <row r="42753" customFormat="false" ht="15" hidden="false" customHeight="true" outlineLevel="0" collapsed="false"/>
    <row r="42754" customFormat="false" ht="15" hidden="false" customHeight="true" outlineLevel="0" collapsed="false"/>
    <row r="42755" customFormat="false" ht="15" hidden="false" customHeight="true" outlineLevel="0" collapsed="false"/>
    <row r="42756" customFormat="false" ht="15" hidden="false" customHeight="true" outlineLevel="0" collapsed="false"/>
    <row r="42757" customFormat="false" ht="15" hidden="false" customHeight="true" outlineLevel="0" collapsed="false"/>
    <row r="42758" customFormat="false" ht="15" hidden="false" customHeight="true" outlineLevel="0" collapsed="false"/>
    <row r="42759" customFormat="false" ht="15" hidden="false" customHeight="true" outlineLevel="0" collapsed="false"/>
    <row r="42760" customFormat="false" ht="15" hidden="false" customHeight="true" outlineLevel="0" collapsed="false"/>
    <row r="42761" customFormat="false" ht="15" hidden="false" customHeight="true" outlineLevel="0" collapsed="false"/>
    <row r="42762" customFormat="false" ht="15" hidden="false" customHeight="true" outlineLevel="0" collapsed="false"/>
    <row r="42763" customFormat="false" ht="15" hidden="false" customHeight="true" outlineLevel="0" collapsed="false"/>
    <row r="42764" customFormat="false" ht="15" hidden="false" customHeight="true" outlineLevel="0" collapsed="false"/>
    <row r="42765" customFormat="false" ht="15" hidden="false" customHeight="true" outlineLevel="0" collapsed="false"/>
    <row r="42766" customFormat="false" ht="15" hidden="false" customHeight="true" outlineLevel="0" collapsed="false"/>
    <row r="42767" customFormat="false" ht="15" hidden="false" customHeight="true" outlineLevel="0" collapsed="false"/>
    <row r="42768" customFormat="false" ht="15" hidden="false" customHeight="true" outlineLevel="0" collapsed="false"/>
    <row r="42769" customFormat="false" ht="15" hidden="false" customHeight="true" outlineLevel="0" collapsed="false"/>
    <row r="42770" customFormat="false" ht="15" hidden="false" customHeight="true" outlineLevel="0" collapsed="false"/>
    <row r="42771" customFormat="false" ht="15" hidden="false" customHeight="true" outlineLevel="0" collapsed="false"/>
    <row r="42772" customFormat="false" ht="15" hidden="false" customHeight="true" outlineLevel="0" collapsed="false"/>
    <row r="42773" customFormat="false" ht="15" hidden="false" customHeight="true" outlineLevel="0" collapsed="false"/>
    <row r="42774" customFormat="false" ht="15" hidden="false" customHeight="true" outlineLevel="0" collapsed="false"/>
    <row r="42775" customFormat="false" ht="15" hidden="false" customHeight="true" outlineLevel="0" collapsed="false"/>
    <row r="42776" customFormat="false" ht="15" hidden="false" customHeight="true" outlineLevel="0" collapsed="false"/>
    <row r="42777" customFormat="false" ht="15" hidden="false" customHeight="true" outlineLevel="0" collapsed="false"/>
    <row r="42778" customFormat="false" ht="15" hidden="false" customHeight="true" outlineLevel="0" collapsed="false"/>
    <row r="42779" customFormat="false" ht="15" hidden="false" customHeight="true" outlineLevel="0" collapsed="false"/>
    <row r="42780" customFormat="false" ht="15" hidden="false" customHeight="true" outlineLevel="0" collapsed="false"/>
    <row r="42781" customFormat="false" ht="15" hidden="false" customHeight="true" outlineLevel="0" collapsed="false"/>
    <row r="42782" customFormat="false" ht="15" hidden="false" customHeight="true" outlineLevel="0" collapsed="false"/>
    <row r="42783" customFormat="false" ht="15" hidden="false" customHeight="true" outlineLevel="0" collapsed="false"/>
    <row r="42784" customFormat="false" ht="15" hidden="false" customHeight="true" outlineLevel="0" collapsed="false"/>
    <row r="42785" customFormat="false" ht="15" hidden="false" customHeight="true" outlineLevel="0" collapsed="false"/>
    <row r="42786" customFormat="false" ht="15" hidden="false" customHeight="true" outlineLevel="0" collapsed="false"/>
    <row r="42787" customFormat="false" ht="15" hidden="false" customHeight="true" outlineLevel="0" collapsed="false"/>
    <row r="42788" customFormat="false" ht="15" hidden="false" customHeight="true" outlineLevel="0" collapsed="false"/>
    <row r="42789" customFormat="false" ht="15" hidden="false" customHeight="true" outlineLevel="0" collapsed="false"/>
    <row r="42790" customFormat="false" ht="15" hidden="false" customHeight="true" outlineLevel="0" collapsed="false"/>
    <row r="42791" customFormat="false" ht="15" hidden="false" customHeight="true" outlineLevel="0" collapsed="false"/>
    <row r="42792" customFormat="false" ht="15" hidden="false" customHeight="true" outlineLevel="0" collapsed="false"/>
    <row r="42793" customFormat="false" ht="15" hidden="false" customHeight="true" outlineLevel="0" collapsed="false"/>
    <row r="42794" customFormat="false" ht="15" hidden="false" customHeight="true" outlineLevel="0" collapsed="false"/>
    <row r="42795" customFormat="false" ht="15" hidden="false" customHeight="true" outlineLevel="0" collapsed="false"/>
    <row r="42796" customFormat="false" ht="15" hidden="false" customHeight="true" outlineLevel="0" collapsed="false"/>
    <row r="42797" customFormat="false" ht="15" hidden="false" customHeight="true" outlineLevel="0" collapsed="false"/>
    <row r="42798" customFormat="false" ht="15" hidden="false" customHeight="true" outlineLevel="0" collapsed="false"/>
    <row r="42799" customFormat="false" ht="15" hidden="false" customHeight="true" outlineLevel="0" collapsed="false"/>
    <row r="42800" customFormat="false" ht="15" hidden="false" customHeight="true" outlineLevel="0" collapsed="false"/>
    <row r="42801" customFormat="false" ht="15" hidden="false" customHeight="true" outlineLevel="0" collapsed="false"/>
    <row r="42802" customFormat="false" ht="15" hidden="false" customHeight="true" outlineLevel="0" collapsed="false"/>
    <row r="42803" customFormat="false" ht="15" hidden="false" customHeight="true" outlineLevel="0" collapsed="false"/>
    <row r="42804" customFormat="false" ht="15" hidden="false" customHeight="true" outlineLevel="0" collapsed="false"/>
    <row r="42805" customFormat="false" ht="15" hidden="false" customHeight="true" outlineLevel="0" collapsed="false"/>
    <row r="42806" customFormat="false" ht="15" hidden="false" customHeight="true" outlineLevel="0" collapsed="false"/>
    <row r="42807" customFormat="false" ht="15" hidden="false" customHeight="true" outlineLevel="0" collapsed="false"/>
    <row r="42808" customFormat="false" ht="15" hidden="false" customHeight="true" outlineLevel="0" collapsed="false"/>
    <row r="42809" customFormat="false" ht="15" hidden="false" customHeight="true" outlineLevel="0" collapsed="false"/>
    <row r="42810" customFormat="false" ht="15" hidden="false" customHeight="true" outlineLevel="0" collapsed="false"/>
    <row r="42811" customFormat="false" ht="15" hidden="false" customHeight="true" outlineLevel="0" collapsed="false"/>
    <row r="42812" customFormat="false" ht="15" hidden="false" customHeight="true" outlineLevel="0" collapsed="false"/>
    <row r="42813" customFormat="false" ht="15" hidden="false" customHeight="true" outlineLevel="0" collapsed="false"/>
    <row r="42814" customFormat="false" ht="15" hidden="false" customHeight="true" outlineLevel="0" collapsed="false"/>
    <row r="42815" customFormat="false" ht="15" hidden="false" customHeight="true" outlineLevel="0" collapsed="false"/>
    <row r="42816" customFormat="false" ht="15" hidden="false" customHeight="true" outlineLevel="0" collapsed="false"/>
    <row r="42817" customFormat="false" ht="15" hidden="false" customHeight="true" outlineLevel="0" collapsed="false"/>
    <row r="42818" customFormat="false" ht="15" hidden="false" customHeight="true" outlineLevel="0" collapsed="false"/>
    <row r="42819" customFormat="false" ht="15" hidden="false" customHeight="true" outlineLevel="0" collapsed="false"/>
    <row r="42820" customFormat="false" ht="15" hidden="false" customHeight="true" outlineLevel="0" collapsed="false"/>
    <row r="42821" customFormat="false" ht="15" hidden="false" customHeight="true" outlineLevel="0" collapsed="false"/>
    <row r="42822" customFormat="false" ht="15" hidden="false" customHeight="true" outlineLevel="0" collapsed="false"/>
    <row r="42823" customFormat="false" ht="15" hidden="false" customHeight="true" outlineLevel="0" collapsed="false"/>
    <row r="42824" customFormat="false" ht="15" hidden="false" customHeight="true" outlineLevel="0" collapsed="false"/>
    <row r="42825" customFormat="false" ht="15" hidden="false" customHeight="true" outlineLevel="0" collapsed="false"/>
    <row r="42826" customFormat="false" ht="15" hidden="false" customHeight="true" outlineLevel="0" collapsed="false"/>
    <row r="42827" customFormat="false" ht="15" hidden="false" customHeight="true" outlineLevel="0" collapsed="false"/>
    <row r="42828" customFormat="false" ht="15" hidden="false" customHeight="true" outlineLevel="0" collapsed="false"/>
    <row r="42829" customFormat="false" ht="15" hidden="false" customHeight="true" outlineLevel="0" collapsed="false"/>
    <row r="42830" customFormat="false" ht="15" hidden="false" customHeight="true" outlineLevel="0" collapsed="false"/>
    <row r="42831" customFormat="false" ht="15" hidden="false" customHeight="true" outlineLevel="0" collapsed="false"/>
    <row r="42832" customFormat="false" ht="15" hidden="false" customHeight="true" outlineLevel="0" collapsed="false"/>
    <row r="42833" customFormat="false" ht="15" hidden="false" customHeight="true" outlineLevel="0" collapsed="false"/>
    <row r="42834" customFormat="false" ht="15" hidden="false" customHeight="true" outlineLevel="0" collapsed="false"/>
    <row r="42835" customFormat="false" ht="15" hidden="false" customHeight="true" outlineLevel="0" collapsed="false"/>
    <row r="42836" customFormat="false" ht="15" hidden="false" customHeight="true" outlineLevel="0" collapsed="false"/>
    <row r="42837" customFormat="false" ht="15" hidden="false" customHeight="true" outlineLevel="0" collapsed="false"/>
    <row r="42838" customFormat="false" ht="15" hidden="false" customHeight="true" outlineLevel="0" collapsed="false"/>
    <row r="42839" customFormat="false" ht="15" hidden="false" customHeight="true" outlineLevel="0" collapsed="false"/>
    <row r="42840" customFormat="false" ht="15" hidden="false" customHeight="true" outlineLevel="0" collapsed="false"/>
    <row r="42841" customFormat="false" ht="15" hidden="false" customHeight="true" outlineLevel="0" collapsed="false"/>
    <row r="42842" customFormat="false" ht="15" hidden="false" customHeight="true" outlineLevel="0" collapsed="false"/>
    <row r="42843" customFormat="false" ht="15" hidden="false" customHeight="true" outlineLevel="0" collapsed="false"/>
    <row r="42844" customFormat="false" ht="15" hidden="false" customHeight="true" outlineLevel="0" collapsed="false"/>
    <row r="42845" customFormat="false" ht="15" hidden="false" customHeight="true" outlineLevel="0" collapsed="false"/>
    <row r="42846" customFormat="false" ht="15" hidden="false" customHeight="true" outlineLevel="0" collapsed="false"/>
    <row r="42847" customFormat="false" ht="15" hidden="false" customHeight="true" outlineLevel="0" collapsed="false"/>
    <row r="42848" customFormat="false" ht="15" hidden="false" customHeight="true" outlineLevel="0" collapsed="false"/>
    <row r="42849" customFormat="false" ht="15" hidden="false" customHeight="true" outlineLevel="0" collapsed="false"/>
    <row r="42850" customFormat="false" ht="15" hidden="false" customHeight="true" outlineLevel="0" collapsed="false"/>
    <row r="42851" customFormat="false" ht="15" hidden="false" customHeight="true" outlineLevel="0" collapsed="false"/>
    <row r="42852" customFormat="false" ht="15" hidden="false" customHeight="true" outlineLevel="0" collapsed="false"/>
    <row r="42853" customFormat="false" ht="15" hidden="false" customHeight="true" outlineLevel="0" collapsed="false"/>
    <row r="42854" customFormat="false" ht="15" hidden="false" customHeight="true" outlineLevel="0" collapsed="false"/>
    <row r="42855" customFormat="false" ht="15" hidden="false" customHeight="true" outlineLevel="0" collapsed="false"/>
    <row r="42856" customFormat="false" ht="15" hidden="false" customHeight="true" outlineLevel="0" collapsed="false"/>
    <row r="42857" customFormat="false" ht="15" hidden="false" customHeight="true" outlineLevel="0" collapsed="false"/>
    <row r="42858" customFormat="false" ht="15" hidden="false" customHeight="true" outlineLevel="0" collapsed="false"/>
    <row r="42859" customFormat="false" ht="15" hidden="false" customHeight="true" outlineLevel="0" collapsed="false"/>
    <row r="42860" customFormat="false" ht="15" hidden="false" customHeight="true" outlineLevel="0" collapsed="false"/>
    <row r="42861" customFormat="false" ht="15" hidden="false" customHeight="true" outlineLevel="0" collapsed="false"/>
    <row r="42862" customFormat="false" ht="15" hidden="false" customHeight="true" outlineLevel="0" collapsed="false"/>
    <row r="42863" customFormat="false" ht="15" hidden="false" customHeight="true" outlineLevel="0" collapsed="false"/>
    <row r="42864" customFormat="false" ht="15" hidden="false" customHeight="true" outlineLevel="0" collapsed="false"/>
    <row r="42865" customFormat="false" ht="15" hidden="false" customHeight="true" outlineLevel="0" collapsed="false"/>
    <row r="42866" customFormat="false" ht="15" hidden="false" customHeight="true" outlineLevel="0" collapsed="false"/>
    <row r="42867" customFormat="false" ht="15" hidden="false" customHeight="true" outlineLevel="0" collapsed="false"/>
    <row r="42868" customFormat="false" ht="15" hidden="false" customHeight="true" outlineLevel="0" collapsed="false"/>
    <row r="42869" customFormat="false" ht="15" hidden="false" customHeight="true" outlineLevel="0" collapsed="false"/>
    <row r="42870" customFormat="false" ht="15" hidden="false" customHeight="true" outlineLevel="0" collapsed="false"/>
    <row r="42871" customFormat="false" ht="15" hidden="false" customHeight="true" outlineLevel="0" collapsed="false"/>
    <row r="42872" customFormat="false" ht="15" hidden="false" customHeight="true" outlineLevel="0" collapsed="false"/>
    <row r="42873" customFormat="false" ht="15" hidden="false" customHeight="true" outlineLevel="0" collapsed="false"/>
    <row r="42874" customFormat="false" ht="15" hidden="false" customHeight="true" outlineLevel="0" collapsed="false"/>
    <row r="42875" customFormat="false" ht="15" hidden="false" customHeight="true" outlineLevel="0" collapsed="false"/>
    <row r="42876" customFormat="false" ht="15" hidden="false" customHeight="true" outlineLevel="0" collapsed="false"/>
    <row r="42877" customFormat="false" ht="15" hidden="false" customHeight="true" outlineLevel="0" collapsed="false"/>
    <row r="42878" customFormat="false" ht="15" hidden="false" customHeight="true" outlineLevel="0" collapsed="false"/>
    <row r="42879" customFormat="false" ht="15" hidden="false" customHeight="true" outlineLevel="0" collapsed="false"/>
    <row r="42880" customFormat="false" ht="15" hidden="false" customHeight="true" outlineLevel="0" collapsed="false"/>
    <row r="42881" customFormat="false" ht="15" hidden="false" customHeight="true" outlineLevel="0" collapsed="false"/>
    <row r="42882" customFormat="false" ht="15" hidden="false" customHeight="true" outlineLevel="0" collapsed="false"/>
    <row r="42883" customFormat="false" ht="15" hidden="false" customHeight="true" outlineLevel="0" collapsed="false"/>
    <row r="42884" customFormat="false" ht="15" hidden="false" customHeight="true" outlineLevel="0" collapsed="false"/>
    <row r="42885" customFormat="false" ht="15" hidden="false" customHeight="true" outlineLevel="0" collapsed="false"/>
    <row r="42886" customFormat="false" ht="15" hidden="false" customHeight="true" outlineLevel="0" collapsed="false"/>
    <row r="42887" customFormat="false" ht="15" hidden="false" customHeight="true" outlineLevel="0" collapsed="false"/>
    <row r="42888" customFormat="false" ht="15" hidden="false" customHeight="true" outlineLevel="0" collapsed="false"/>
    <row r="42889" customFormat="false" ht="15" hidden="false" customHeight="true" outlineLevel="0" collapsed="false"/>
    <row r="42890" customFormat="false" ht="15" hidden="false" customHeight="true" outlineLevel="0" collapsed="false"/>
    <row r="42891" customFormat="false" ht="15" hidden="false" customHeight="true" outlineLevel="0" collapsed="false"/>
    <row r="42892" customFormat="false" ht="15" hidden="false" customHeight="true" outlineLevel="0" collapsed="false"/>
    <row r="42893" customFormat="false" ht="15" hidden="false" customHeight="true" outlineLevel="0" collapsed="false"/>
    <row r="42894" customFormat="false" ht="15" hidden="false" customHeight="true" outlineLevel="0" collapsed="false"/>
    <row r="42895" customFormat="false" ht="15" hidden="false" customHeight="true" outlineLevel="0" collapsed="false"/>
    <row r="42896" customFormat="false" ht="15" hidden="false" customHeight="true" outlineLevel="0" collapsed="false"/>
    <row r="42897" customFormat="false" ht="15" hidden="false" customHeight="true" outlineLevel="0" collapsed="false"/>
    <row r="42898" customFormat="false" ht="15" hidden="false" customHeight="true" outlineLevel="0" collapsed="false"/>
    <row r="42899" customFormat="false" ht="15" hidden="false" customHeight="true" outlineLevel="0" collapsed="false"/>
    <row r="42900" customFormat="false" ht="15" hidden="false" customHeight="true" outlineLevel="0" collapsed="false"/>
    <row r="42901" customFormat="false" ht="15" hidden="false" customHeight="true" outlineLevel="0" collapsed="false"/>
    <row r="42902" customFormat="false" ht="15" hidden="false" customHeight="true" outlineLevel="0" collapsed="false"/>
    <row r="42903" customFormat="false" ht="15" hidden="false" customHeight="true" outlineLevel="0" collapsed="false"/>
    <row r="42904" customFormat="false" ht="15" hidden="false" customHeight="true" outlineLevel="0" collapsed="false"/>
    <row r="42905" customFormat="false" ht="15" hidden="false" customHeight="true" outlineLevel="0" collapsed="false"/>
    <row r="42906" customFormat="false" ht="15" hidden="false" customHeight="true" outlineLevel="0" collapsed="false"/>
    <row r="42907" customFormat="false" ht="15" hidden="false" customHeight="true" outlineLevel="0" collapsed="false"/>
    <row r="42908" customFormat="false" ht="15" hidden="false" customHeight="true" outlineLevel="0" collapsed="false"/>
    <row r="42909" customFormat="false" ht="15" hidden="false" customHeight="true" outlineLevel="0" collapsed="false"/>
    <row r="42910" customFormat="false" ht="15" hidden="false" customHeight="true" outlineLevel="0" collapsed="false"/>
    <row r="42911" customFormat="false" ht="15" hidden="false" customHeight="true" outlineLevel="0" collapsed="false"/>
    <row r="42912" customFormat="false" ht="15" hidden="false" customHeight="true" outlineLevel="0" collapsed="false"/>
    <row r="42913" customFormat="false" ht="15" hidden="false" customHeight="true" outlineLevel="0" collapsed="false"/>
    <row r="42914" customFormat="false" ht="15" hidden="false" customHeight="true" outlineLevel="0" collapsed="false"/>
    <row r="42915" customFormat="false" ht="15" hidden="false" customHeight="true" outlineLevel="0" collapsed="false"/>
    <row r="42916" customFormat="false" ht="15" hidden="false" customHeight="true" outlineLevel="0" collapsed="false"/>
    <row r="42917" customFormat="false" ht="15" hidden="false" customHeight="true" outlineLevel="0" collapsed="false"/>
    <row r="42918" customFormat="false" ht="15" hidden="false" customHeight="true" outlineLevel="0" collapsed="false"/>
    <row r="42919" customFormat="false" ht="15" hidden="false" customHeight="true" outlineLevel="0" collapsed="false"/>
    <row r="42920" customFormat="false" ht="15" hidden="false" customHeight="true" outlineLevel="0" collapsed="false"/>
    <row r="42921" customFormat="false" ht="15" hidden="false" customHeight="true" outlineLevel="0" collapsed="false"/>
    <row r="42922" customFormat="false" ht="15" hidden="false" customHeight="true" outlineLevel="0" collapsed="false"/>
    <row r="42923" customFormat="false" ht="15" hidden="false" customHeight="true" outlineLevel="0" collapsed="false"/>
    <row r="42924" customFormat="false" ht="15" hidden="false" customHeight="true" outlineLevel="0" collapsed="false"/>
    <row r="42925" customFormat="false" ht="15" hidden="false" customHeight="true" outlineLevel="0" collapsed="false"/>
    <row r="42926" customFormat="false" ht="15" hidden="false" customHeight="true" outlineLevel="0" collapsed="false"/>
    <row r="42927" customFormat="false" ht="15" hidden="false" customHeight="true" outlineLevel="0" collapsed="false"/>
    <row r="42928" customFormat="false" ht="15" hidden="false" customHeight="true" outlineLevel="0" collapsed="false"/>
    <row r="42929" customFormat="false" ht="15" hidden="false" customHeight="true" outlineLevel="0" collapsed="false"/>
    <row r="42930" customFormat="false" ht="15" hidden="false" customHeight="true" outlineLevel="0" collapsed="false"/>
    <row r="42931" customFormat="false" ht="15" hidden="false" customHeight="true" outlineLevel="0" collapsed="false"/>
    <row r="42932" customFormat="false" ht="15" hidden="false" customHeight="true" outlineLevel="0" collapsed="false"/>
    <row r="42933" customFormat="false" ht="15" hidden="false" customHeight="true" outlineLevel="0" collapsed="false"/>
    <row r="42934" customFormat="false" ht="15" hidden="false" customHeight="true" outlineLevel="0" collapsed="false"/>
    <row r="42935" customFormat="false" ht="15" hidden="false" customHeight="true" outlineLevel="0" collapsed="false"/>
    <row r="42936" customFormat="false" ht="15" hidden="false" customHeight="true" outlineLevel="0" collapsed="false"/>
    <row r="42937" customFormat="false" ht="15" hidden="false" customHeight="true" outlineLevel="0" collapsed="false"/>
    <row r="42938" customFormat="false" ht="15" hidden="false" customHeight="true" outlineLevel="0" collapsed="false"/>
    <row r="42939" customFormat="false" ht="15" hidden="false" customHeight="true" outlineLevel="0" collapsed="false"/>
    <row r="42940" customFormat="false" ht="15" hidden="false" customHeight="true" outlineLevel="0" collapsed="false"/>
    <row r="42941" customFormat="false" ht="15" hidden="false" customHeight="true" outlineLevel="0" collapsed="false"/>
    <row r="42942" customFormat="false" ht="15" hidden="false" customHeight="true" outlineLevel="0" collapsed="false"/>
    <row r="42943" customFormat="false" ht="15" hidden="false" customHeight="true" outlineLevel="0" collapsed="false"/>
    <row r="42944" customFormat="false" ht="15" hidden="false" customHeight="true" outlineLevel="0" collapsed="false"/>
    <row r="42945" customFormat="false" ht="15" hidden="false" customHeight="true" outlineLevel="0" collapsed="false"/>
    <row r="42946" customFormat="false" ht="15" hidden="false" customHeight="true" outlineLevel="0" collapsed="false"/>
    <row r="42947" customFormat="false" ht="15" hidden="false" customHeight="true" outlineLevel="0" collapsed="false"/>
    <row r="42948" customFormat="false" ht="15" hidden="false" customHeight="true" outlineLevel="0" collapsed="false"/>
    <row r="42949" customFormat="false" ht="15" hidden="false" customHeight="true" outlineLevel="0" collapsed="false"/>
    <row r="42950" customFormat="false" ht="15" hidden="false" customHeight="true" outlineLevel="0" collapsed="false"/>
    <row r="42951" customFormat="false" ht="15" hidden="false" customHeight="true" outlineLevel="0" collapsed="false"/>
    <row r="42952" customFormat="false" ht="15" hidden="false" customHeight="true" outlineLevel="0" collapsed="false"/>
    <row r="42953" customFormat="false" ht="15" hidden="false" customHeight="true" outlineLevel="0" collapsed="false"/>
    <row r="42954" customFormat="false" ht="15" hidden="false" customHeight="true" outlineLevel="0" collapsed="false"/>
    <row r="42955" customFormat="false" ht="15" hidden="false" customHeight="true" outlineLevel="0" collapsed="false"/>
    <row r="42956" customFormat="false" ht="15" hidden="false" customHeight="true" outlineLevel="0" collapsed="false"/>
    <row r="42957" customFormat="false" ht="15" hidden="false" customHeight="true" outlineLevel="0" collapsed="false"/>
    <row r="42958" customFormat="false" ht="15" hidden="false" customHeight="true" outlineLevel="0" collapsed="false"/>
    <row r="42959" customFormat="false" ht="15" hidden="false" customHeight="true" outlineLevel="0" collapsed="false"/>
    <row r="42960" customFormat="false" ht="15" hidden="false" customHeight="true" outlineLevel="0" collapsed="false"/>
    <row r="42961" customFormat="false" ht="15" hidden="false" customHeight="true" outlineLevel="0" collapsed="false"/>
    <row r="42962" customFormat="false" ht="15" hidden="false" customHeight="true" outlineLevel="0" collapsed="false"/>
    <row r="42963" customFormat="false" ht="15" hidden="false" customHeight="true" outlineLevel="0" collapsed="false"/>
    <row r="42964" customFormat="false" ht="15" hidden="false" customHeight="true" outlineLevel="0" collapsed="false"/>
    <row r="42965" customFormat="false" ht="15" hidden="false" customHeight="true" outlineLevel="0" collapsed="false"/>
    <row r="42966" customFormat="false" ht="15" hidden="false" customHeight="true" outlineLevel="0" collapsed="false"/>
    <row r="42967" customFormat="false" ht="15" hidden="false" customHeight="true" outlineLevel="0" collapsed="false"/>
    <row r="42968" customFormat="false" ht="15" hidden="false" customHeight="true" outlineLevel="0" collapsed="false"/>
    <row r="42969" customFormat="false" ht="15" hidden="false" customHeight="true" outlineLevel="0" collapsed="false"/>
    <row r="42970" customFormat="false" ht="15" hidden="false" customHeight="true" outlineLevel="0" collapsed="false"/>
    <row r="42971" customFormat="false" ht="15" hidden="false" customHeight="true" outlineLevel="0" collapsed="false"/>
    <row r="42972" customFormat="false" ht="15" hidden="false" customHeight="true" outlineLevel="0" collapsed="false"/>
    <row r="42973" customFormat="false" ht="15" hidden="false" customHeight="true" outlineLevel="0" collapsed="false"/>
    <row r="42974" customFormat="false" ht="15" hidden="false" customHeight="true" outlineLevel="0" collapsed="false"/>
    <row r="42975" customFormat="false" ht="15" hidden="false" customHeight="true" outlineLevel="0" collapsed="false"/>
    <row r="42976" customFormat="false" ht="15" hidden="false" customHeight="true" outlineLevel="0" collapsed="false"/>
    <row r="42977" customFormat="false" ht="15" hidden="false" customHeight="true" outlineLevel="0" collapsed="false"/>
    <row r="42978" customFormat="false" ht="15" hidden="false" customHeight="true" outlineLevel="0" collapsed="false"/>
    <row r="42979" customFormat="false" ht="15" hidden="false" customHeight="true" outlineLevel="0" collapsed="false"/>
    <row r="42980" customFormat="false" ht="15" hidden="false" customHeight="true" outlineLevel="0" collapsed="false"/>
    <row r="42981" customFormat="false" ht="15" hidden="false" customHeight="true" outlineLevel="0" collapsed="false"/>
    <row r="42982" customFormat="false" ht="15" hidden="false" customHeight="true" outlineLevel="0" collapsed="false"/>
    <row r="42983" customFormat="false" ht="15" hidden="false" customHeight="true" outlineLevel="0" collapsed="false"/>
    <row r="42984" customFormat="false" ht="15" hidden="false" customHeight="true" outlineLevel="0" collapsed="false"/>
    <row r="42985" customFormat="false" ht="15" hidden="false" customHeight="true" outlineLevel="0" collapsed="false"/>
    <row r="42986" customFormat="false" ht="15" hidden="false" customHeight="true" outlineLevel="0" collapsed="false"/>
    <row r="42987" customFormat="false" ht="15" hidden="false" customHeight="true" outlineLevel="0" collapsed="false"/>
    <row r="42988" customFormat="false" ht="15" hidden="false" customHeight="true" outlineLevel="0" collapsed="false"/>
    <row r="42989" customFormat="false" ht="15" hidden="false" customHeight="true" outlineLevel="0" collapsed="false"/>
    <row r="42990" customFormat="false" ht="15" hidden="false" customHeight="true" outlineLevel="0" collapsed="false"/>
    <row r="42991" customFormat="false" ht="15" hidden="false" customHeight="true" outlineLevel="0" collapsed="false"/>
    <row r="42992" customFormat="false" ht="15" hidden="false" customHeight="true" outlineLevel="0" collapsed="false"/>
    <row r="42993" customFormat="false" ht="15" hidden="false" customHeight="true" outlineLevel="0" collapsed="false"/>
    <row r="42994" customFormat="false" ht="15" hidden="false" customHeight="true" outlineLevel="0" collapsed="false"/>
    <row r="42995" customFormat="false" ht="15" hidden="false" customHeight="true" outlineLevel="0" collapsed="false"/>
    <row r="42996" customFormat="false" ht="15" hidden="false" customHeight="true" outlineLevel="0" collapsed="false"/>
    <row r="42997" customFormat="false" ht="15" hidden="false" customHeight="true" outlineLevel="0" collapsed="false"/>
    <row r="42998" customFormat="false" ht="15" hidden="false" customHeight="true" outlineLevel="0" collapsed="false"/>
    <row r="42999" customFormat="false" ht="15" hidden="false" customHeight="true" outlineLevel="0" collapsed="false"/>
    <row r="43000" customFormat="false" ht="15" hidden="false" customHeight="true" outlineLevel="0" collapsed="false"/>
    <row r="43001" customFormat="false" ht="15" hidden="false" customHeight="true" outlineLevel="0" collapsed="false"/>
    <row r="43002" customFormat="false" ht="15" hidden="false" customHeight="true" outlineLevel="0" collapsed="false"/>
    <row r="43003" customFormat="false" ht="15" hidden="false" customHeight="true" outlineLevel="0" collapsed="false"/>
    <row r="43004" customFormat="false" ht="15" hidden="false" customHeight="true" outlineLevel="0" collapsed="false"/>
    <row r="43005" customFormat="false" ht="15" hidden="false" customHeight="true" outlineLevel="0" collapsed="false"/>
    <row r="43006" customFormat="false" ht="15" hidden="false" customHeight="true" outlineLevel="0" collapsed="false"/>
    <row r="43007" customFormat="false" ht="15" hidden="false" customHeight="true" outlineLevel="0" collapsed="false"/>
    <row r="43008" customFormat="false" ht="15" hidden="false" customHeight="true" outlineLevel="0" collapsed="false"/>
    <row r="43009" customFormat="false" ht="15" hidden="false" customHeight="true" outlineLevel="0" collapsed="false"/>
    <row r="43010" customFormat="false" ht="15" hidden="false" customHeight="true" outlineLevel="0" collapsed="false"/>
    <row r="43011" customFormat="false" ht="15" hidden="false" customHeight="true" outlineLevel="0" collapsed="false"/>
    <row r="43012" customFormat="false" ht="15" hidden="false" customHeight="true" outlineLevel="0" collapsed="false"/>
    <row r="43013" customFormat="false" ht="15" hidden="false" customHeight="true" outlineLevel="0" collapsed="false"/>
    <row r="43014" customFormat="false" ht="15" hidden="false" customHeight="true" outlineLevel="0" collapsed="false"/>
    <row r="43015" customFormat="false" ht="15" hidden="false" customHeight="true" outlineLevel="0" collapsed="false"/>
    <row r="43016" customFormat="false" ht="15" hidden="false" customHeight="true" outlineLevel="0" collapsed="false"/>
    <row r="43017" customFormat="false" ht="15" hidden="false" customHeight="true" outlineLevel="0" collapsed="false"/>
    <row r="43018" customFormat="false" ht="15" hidden="false" customHeight="true" outlineLevel="0" collapsed="false"/>
    <row r="43019" customFormat="false" ht="15" hidden="false" customHeight="true" outlineLevel="0" collapsed="false"/>
    <row r="43020" customFormat="false" ht="15" hidden="false" customHeight="true" outlineLevel="0" collapsed="false"/>
    <row r="43021" customFormat="false" ht="15" hidden="false" customHeight="true" outlineLevel="0" collapsed="false"/>
    <row r="43022" customFormat="false" ht="15" hidden="false" customHeight="true" outlineLevel="0" collapsed="false"/>
    <row r="43023" customFormat="false" ht="15" hidden="false" customHeight="true" outlineLevel="0" collapsed="false"/>
    <row r="43024" customFormat="false" ht="15" hidden="false" customHeight="true" outlineLevel="0" collapsed="false"/>
    <row r="43025" customFormat="false" ht="15" hidden="false" customHeight="true" outlineLevel="0" collapsed="false"/>
    <row r="43026" customFormat="false" ht="15" hidden="false" customHeight="true" outlineLevel="0" collapsed="false"/>
    <row r="43027" customFormat="false" ht="15" hidden="false" customHeight="true" outlineLevel="0" collapsed="false"/>
    <row r="43028" customFormat="false" ht="15" hidden="false" customHeight="true" outlineLevel="0" collapsed="false"/>
    <row r="43029" customFormat="false" ht="15" hidden="false" customHeight="true" outlineLevel="0" collapsed="false"/>
    <row r="43030" customFormat="false" ht="15" hidden="false" customHeight="true" outlineLevel="0" collapsed="false"/>
    <row r="43031" customFormat="false" ht="15" hidden="false" customHeight="true" outlineLevel="0" collapsed="false"/>
    <row r="43032" customFormat="false" ht="15" hidden="false" customHeight="true" outlineLevel="0" collapsed="false"/>
    <row r="43033" customFormat="false" ht="15" hidden="false" customHeight="true" outlineLevel="0" collapsed="false"/>
    <row r="43034" customFormat="false" ht="15" hidden="false" customHeight="true" outlineLevel="0" collapsed="false"/>
    <row r="43035" customFormat="false" ht="15" hidden="false" customHeight="true" outlineLevel="0" collapsed="false"/>
    <row r="43036" customFormat="false" ht="15" hidden="false" customHeight="true" outlineLevel="0" collapsed="false"/>
    <row r="43037" customFormat="false" ht="15" hidden="false" customHeight="true" outlineLevel="0" collapsed="false"/>
    <row r="43038" customFormat="false" ht="15" hidden="false" customHeight="true" outlineLevel="0" collapsed="false"/>
    <row r="43039" customFormat="false" ht="15" hidden="false" customHeight="true" outlineLevel="0" collapsed="false"/>
    <row r="43040" customFormat="false" ht="15" hidden="false" customHeight="true" outlineLevel="0" collapsed="false"/>
    <row r="43041" customFormat="false" ht="15" hidden="false" customHeight="true" outlineLevel="0" collapsed="false"/>
    <row r="43042" customFormat="false" ht="15" hidden="false" customHeight="true" outlineLevel="0" collapsed="false"/>
    <row r="43043" customFormat="false" ht="15" hidden="false" customHeight="true" outlineLevel="0" collapsed="false"/>
    <row r="43044" customFormat="false" ht="15" hidden="false" customHeight="true" outlineLevel="0" collapsed="false"/>
    <row r="43045" customFormat="false" ht="15" hidden="false" customHeight="true" outlineLevel="0" collapsed="false"/>
    <row r="43046" customFormat="false" ht="15" hidden="false" customHeight="true" outlineLevel="0" collapsed="false"/>
    <row r="43047" customFormat="false" ht="15" hidden="false" customHeight="true" outlineLevel="0" collapsed="false"/>
    <row r="43048" customFormat="false" ht="15" hidden="false" customHeight="true" outlineLevel="0" collapsed="false"/>
    <row r="43049" customFormat="false" ht="15" hidden="false" customHeight="true" outlineLevel="0" collapsed="false"/>
    <row r="43050" customFormat="false" ht="15" hidden="false" customHeight="true" outlineLevel="0" collapsed="false"/>
    <row r="43051" customFormat="false" ht="15" hidden="false" customHeight="true" outlineLevel="0" collapsed="false"/>
    <row r="43052" customFormat="false" ht="15" hidden="false" customHeight="true" outlineLevel="0" collapsed="false"/>
    <row r="43053" customFormat="false" ht="15" hidden="false" customHeight="true" outlineLevel="0" collapsed="false"/>
    <row r="43054" customFormat="false" ht="15" hidden="false" customHeight="true" outlineLevel="0" collapsed="false"/>
    <row r="43055" customFormat="false" ht="15" hidden="false" customHeight="true" outlineLevel="0" collapsed="false"/>
    <row r="43056" customFormat="false" ht="15" hidden="false" customHeight="true" outlineLevel="0" collapsed="false"/>
    <row r="43057" customFormat="false" ht="15" hidden="false" customHeight="true" outlineLevel="0" collapsed="false"/>
    <row r="43058" customFormat="false" ht="15" hidden="false" customHeight="true" outlineLevel="0" collapsed="false"/>
    <row r="43059" customFormat="false" ht="15" hidden="false" customHeight="true" outlineLevel="0" collapsed="false"/>
    <row r="43060" customFormat="false" ht="15" hidden="false" customHeight="true" outlineLevel="0" collapsed="false"/>
    <row r="43061" customFormat="false" ht="15" hidden="false" customHeight="true" outlineLevel="0" collapsed="false"/>
    <row r="43062" customFormat="false" ht="15" hidden="false" customHeight="true" outlineLevel="0" collapsed="false"/>
    <row r="43063" customFormat="false" ht="15" hidden="false" customHeight="true" outlineLevel="0" collapsed="false"/>
    <row r="43064" customFormat="false" ht="15" hidden="false" customHeight="true" outlineLevel="0" collapsed="false"/>
    <row r="43065" customFormat="false" ht="15" hidden="false" customHeight="true" outlineLevel="0" collapsed="false"/>
    <row r="43066" customFormat="false" ht="15" hidden="false" customHeight="true" outlineLevel="0" collapsed="false"/>
    <row r="43067" customFormat="false" ht="15" hidden="false" customHeight="true" outlineLevel="0" collapsed="false"/>
    <row r="43068" customFormat="false" ht="15" hidden="false" customHeight="true" outlineLevel="0" collapsed="false"/>
    <row r="43069" customFormat="false" ht="15" hidden="false" customHeight="true" outlineLevel="0" collapsed="false"/>
    <row r="43070" customFormat="false" ht="15" hidden="false" customHeight="true" outlineLevel="0" collapsed="false"/>
    <row r="43071" customFormat="false" ht="15" hidden="false" customHeight="true" outlineLevel="0" collapsed="false"/>
    <row r="43072" customFormat="false" ht="15" hidden="false" customHeight="true" outlineLevel="0" collapsed="false"/>
    <row r="43073" customFormat="false" ht="15" hidden="false" customHeight="true" outlineLevel="0" collapsed="false"/>
    <row r="43074" customFormat="false" ht="15" hidden="false" customHeight="true" outlineLevel="0" collapsed="false"/>
    <row r="43075" customFormat="false" ht="15" hidden="false" customHeight="true" outlineLevel="0" collapsed="false"/>
    <row r="43076" customFormat="false" ht="15" hidden="false" customHeight="true" outlineLevel="0" collapsed="false"/>
    <row r="43077" customFormat="false" ht="15" hidden="false" customHeight="true" outlineLevel="0" collapsed="false"/>
    <row r="43078" customFormat="false" ht="15" hidden="false" customHeight="true" outlineLevel="0" collapsed="false"/>
    <row r="43079" customFormat="false" ht="15" hidden="false" customHeight="true" outlineLevel="0" collapsed="false"/>
    <row r="43080" customFormat="false" ht="15" hidden="false" customHeight="true" outlineLevel="0" collapsed="false"/>
    <row r="43081" customFormat="false" ht="15" hidden="false" customHeight="true" outlineLevel="0" collapsed="false"/>
    <row r="43082" customFormat="false" ht="15" hidden="false" customHeight="true" outlineLevel="0" collapsed="false"/>
    <row r="43083" customFormat="false" ht="15" hidden="false" customHeight="true" outlineLevel="0" collapsed="false"/>
    <row r="43084" customFormat="false" ht="15" hidden="false" customHeight="true" outlineLevel="0" collapsed="false"/>
    <row r="43085" customFormat="false" ht="15" hidden="false" customHeight="true" outlineLevel="0" collapsed="false"/>
    <row r="43086" customFormat="false" ht="15" hidden="false" customHeight="true" outlineLevel="0" collapsed="false"/>
    <row r="43087" customFormat="false" ht="15" hidden="false" customHeight="true" outlineLevel="0" collapsed="false"/>
    <row r="43088" customFormat="false" ht="15" hidden="false" customHeight="true" outlineLevel="0" collapsed="false"/>
    <row r="43089" customFormat="false" ht="15" hidden="false" customHeight="true" outlineLevel="0" collapsed="false"/>
    <row r="43090" customFormat="false" ht="15" hidden="false" customHeight="true" outlineLevel="0" collapsed="false"/>
    <row r="43091" customFormat="false" ht="15" hidden="false" customHeight="true" outlineLevel="0" collapsed="false"/>
    <row r="43092" customFormat="false" ht="15" hidden="false" customHeight="true" outlineLevel="0" collapsed="false"/>
    <row r="43093" customFormat="false" ht="15" hidden="false" customHeight="true" outlineLevel="0" collapsed="false"/>
    <row r="43094" customFormat="false" ht="15" hidden="false" customHeight="true" outlineLevel="0" collapsed="false"/>
    <row r="43095" customFormat="false" ht="15" hidden="false" customHeight="true" outlineLevel="0" collapsed="false"/>
    <row r="43096" customFormat="false" ht="15" hidden="false" customHeight="true" outlineLevel="0" collapsed="false"/>
    <row r="43097" customFormat="false" ht="15" hidden="false" customHeight="true" outlineLevel="0" collapsed="false"/>
    <row r="43098" customFormat="false" ht="15" hidden="false" customHeight="true" outlineLevel="0" collapsed="false"/>
    <row r="43099" customFormat="false" ht="15" hidden="false" customHeight="true" outlineLevel="0" collapsed="false"/>
    <row r="43100" customFormat="false" ht="15" hidden="false" customHeight="true" outlineLevel="0" collapsed="false"/>
    <row r="43101" customFormat="false" ht="15" hidden="false" customHeight="true" outlineLevel="0" collapsed="false"/>
    <row r="43102" customFormat="false" ht="15" hidden="false" customHeight="true" outlineLevel="0" collapsed="false"/>
    <row r="43103" customFormat="false" ht="15" hidden="false" customHeight="true" outlineLevel="0" collapsed="false"/>
    <row r="43104" customFormat="false" ht="15" hidden="false" customHeight="true" outlineLevel="0" collapsed="false"/>
    <row r="43105" customFormat="false" ht="15" hidden="false" customHeight="true" outlineLevel="0" collapsed="false"/>
    <row r="43106" customFormat="false" ht="15" hidden="false" customHeight="true" outlineLevel="0" collapsed="false"/>
    <row r="43107" customFormat="false" ht="15" hidden="false" customHeight="true" outlineLevel="0" collapsed="false"/>
    <row r="43108" customFormat="false" ht="15" hidden="false" customHeight="true" outlineLevel="0" collapsed="false"/>
    <row r="43109" customFormat="false" ht="15" hidden="false" customHeight="true" outlineLevel="0" collapsed="false"/>
    <row r="43110" customFormat="false" ht="15" hidden="false" customHeight="true" outlineLevel="0" collapsed="false"/>
    <row r="43111" customFormat="false" ht="15" hidden="false" customHeight="true" outlineLevel="0" collapsed="false"/>
    <row r="43112" customFormat="false" ht="15" hidden="false" customHeight="true" outlineLevel="0" collapsed="false"/>
    <row r="43113" customFormat="false" ht="15" hidden="false" customHeight="true" outlineLevel="0" collapsed="false"/>
    <row r="43114" customFormat="false" ht="15" hidden="false" customHeight="true" outlineLevel="0" collapsed="false"/>
    <row r="43115" customFormat="false" ht="15" hidden="false" customHeight="true" outlineLevel="0" collapsed="false"/>
    <row r="43116" customFormat="false" ht="15" hidden="false" customHeight="true" outlineLevel="0" collapsed="false"/>
    <row r="43117" customFormat="false" ht="15" hidden="false" customHeight="true" outlineLevel="0" collapsed="false"/>
    <row r="43118" customFormat="false" ht="15" hidden="false" customHeight="true" outlineLevel="0" collapsed="false"/>
    <row r="43119" customFormat="false" ht="15" hidden="false" customHeight="true" outlineLevel="0" collapsed="false"/>
    <row r="43120" customFormat="false" ht="15" hidden="false" customHeight="true" outlineLevel="0" collapsed="false"/>
    <row r="43121" customFormat="false" ht="15" hidden="false" customHeight="true" outlineLevel="0" collapsed="false"/>
    <row r="43122" customFormat="false" ht="15" hidden="false" customHeight="true" outlineLevel="0" collapsed="false"/>
    <row r="43123" customFormat="false" ht="15" hidden="false" customHeight="true" outlineLevel="0" collapsed="false"/>
    <row r="43124" customFormat="false" ht="15" hidden="false" customHeight="true" outlineLevel="0" collapsed="false"/>
    <row r="43125" customFormat="false" ht="15" hidden="false" customHeight="true" outlineLevel="0" collapsed="false"/>
    <row r="43126" customFormat="false" ht="15" hidden="false" customHeight="true" outlineLevel="0" collapsed="false"/>
    <row r="43127" customFormat="false" ht="15" hidden="false" customHeight="true" outlineLevel="0" collapsed="false"/>
    <row r="43128" customFormat="false" ht="15" hidden="false" customHeight="true" outlineLevel="0" collapsed="false"/>
    <row r="43129" customFormat="false" ht="15" hidden="false" customHeight="true" outlineLevel="0" collapsed="false"/>
    <row r="43130" customFormat="false" ht="15" hidden="false" customHeight="true" outlineLevel="0" collapsed="false"/>
    <row r="43131" customFormat="false" ht="15" hidden="false" customHeight="true" outlineLevel="0" collapsed="false"/>
    <row r="43132" customFormat="false" ht="15" hidden="false" customHeight="true" outlineLevel="0" collapsed="false"/>
    <row r="43133" customFormat="false" ht="15" hidden="false" customHeight="true" outlineLevel="0" collapsed="false"/>
    <row r="43134" customFormat="false" ht="15" hidden="false" customHeight="true" outlineLevel="0" collapsed="false"/>
    <row r="43135" customFormat="false" ht="15" hidden="false" customHeight="true" outlineLevel="0" collapsed="false"/>
    <row r="43136" customFormat="false" ht="15" hidden="false" customHeight="true" outlineLevel="0" collapsed="false"/>
    <row r="43137" customFormat="false" ht="15" hidden="false" customHeight="true" outlineLevel="0" collapsed="false"/>
    <row r="43138" customFormat="false" ht="15" hidden="false" customHeight="true" outlineLevel="0" collapsed="false"/>
    <row r="43139" customFormat="false" ht="15" hidden="false" customHeight="true" outlineLevel="0" collapsed="false"/>
    <row r="43140" customFormat="false" ht="15" hidden="false" customHeight="true" outlineLevel="0" collapsed="false"/>
    <row r="43141" customFormat="false" ht="15" hidden="false" customHeight="true" outlineLevel="0" collapsed="false"/>
    <row r="43142" customFormat="false" ht="15" hidden="false" customHeight="true" outlineLevel="0" collapsed="false"/>
    <row r="43143" customFormat="false" ht="15" hidden="false" customHeight="true" outlineLevel="0" collapsed="false"/>
    <row r="43144" customFormat="false" ht="15" hidden="false" customHeight="true" outlineLevel="0" collapsed="false"/>
    <row r="43145" customFormat="false" ht="15" hidden="false" customHeight="true" outlineLevel="0" collapsed="false"/>
    <row r="43146" customFormat="false" ht="15" hidden="false" customHeight="true" outlineLevel="0" collapsed="false"/>
    <row r="43147" customFormat="false" ht="15" hidden="false" customHeight="true" outlineLevel="0" collapsed="false"/>
    <row r="43148" customFormat="false" ht="15" hidden="false" customHeight="true" outlineLevel="0" collapsed="false"/>
    <row r="43149" customFormat="false" ht="15" hidden="false" customHeight="true" outlineLevel="0" collapsed="false"/>
    <row r="43150" customFormat="false" ht="15" hidden="false" customHeight="true" outlineLevel="0" collapsed="false"/>
    <row r="43151" customFormat="false" ht="15" hidden="false" customHeight="true" outlineLevel="0" collapsed="false"/>
    <row r="43152" customFormat="false" ht="15" hidden="false" customHeight="true" outlineLevel="0" collapsed="false"/>
    <row r="43153" customFormat="false" ht="15" hidden="false" customHeight="true" outlineLevel="0" collapsed="false"/>
    <row r="43154" customFormat="false" ht="15" hidden="false" customHeight="true" outlineLevel="0" collapsed="false"/>
    <row r="43155" customFormat="false" ht="15" hidden="false" customHeight="true" outlineLevel="0" collapsed="false"/>
    <row r="43156" customFormat="false" ht="15" hidden="false" customHeight="true" outlineLevel="0" collapsed="false"/>
    <row r="43157" customFormat="false" ht="15" hidden="false" customHeight="true" outlineLevel="0" collapsed="false"/>
    <row r="43158" customFormat="false" ht="15" hidden="false" customHeight="true" outlineLevel="0" collapsed="false"/>
    <row r="43159" customFormat="false" ht="15" hidden="false" customHeight="true" outlineLevel="0" collapsed="false"/>
    <row r="43160" customFormat="false" ht="15" hidden="false" customHeight="true" outlineLevel="0" collapsed="false"/>
    <row r="43161" customFormat="false" ht="15" hidden="false" customHeight="true" outlineLevel="0" collapsed="false"/>
    <row r="43162" customFormat="false" ht="15" hidden="false" customHeight="true" outlineLevel="0" collapsed="false"/>
    <row r="43163" customFormat="false" ht="15" hidden="false" customHeight="true" outlineLevel="0" collapsed="false"/>
    <row r="43164" customFormat="false" ht="15" hidden="false" customHeight="true" outlineLevel="0" collapsed="false"/>
    <row r="43165" customFormat="false" ht="15" hidden="false" customHeight="true" outlineLevel="0" collapsed="false"/>
    <row r="43166" customFormat="false" ht="15" hidden="false" customHeight="true" outlineLevel="0" collapsed="false"/>
    <row r="43167" customFormat="false" ht="15" hidden="false" customHeight="true" outlineLevel="0" collapsed="false"/>
    <row r="43168" customFormat="false" ht="15" hidden="false" customHeight="true" outlineLevel="0" collapsed="false"/>
    <row r="43169" customFormat="false" ht="15" hidden="false" customHeight="true" outlineLevel="0" collapsed="false"/>
    <row r="43170" customFormat="false" ht="15" hidden="false" customHeight="true" outlineLevel="0" collapsed="false"/>
    <row r="43171" customFormat="false" ht="15" hidden="false" customHeight="true" outlineLevel="0" collapsed="false"/>
    <row r="43172" customFormat="false" ht="15" hidden="false" customHeight="true" outlineLevel="0" collapsed="false"/>
    <row r="43173" customFormat="false" ht="15" hidden="false" customHeight="true" outlineLevel="0" collapsed="false"/>
    <row r="43174" customFormat="false" ht="15" hidden="false" customHeight="true" outlineLevel="0" collapsed="false"/>
    <row r="43175" customFormat="false" ht="15" hidden="false" customHeight="true" outlineLevel="0" collapsed="false"/>
    <row r="43176" customFormat="false" ht="15" hidden="false" customHeight="true" outlineLevel="0" collapsed="false"/>
    <row r="43177" customFormat="false" ht="15" hidden="false" customHeight="true" outlineLevel="0" collapsed="false"/>
    <row r="43178" customFormat="false" ht="15" hidden="false" customHeight="true" outlineLevel="0" collapsed="false"/>
    <row r="43179" customFormat="false" ht="15" hidden="false" customHeight="true" outlineLevel="0" collapsed="false"/>
    <row r="43180" customFormat="false" ht="15" hidden="false" customHeight="true" outlineLevel="0" collapsed="false"/>
    <row r="43181" customFormat="false" ht="15" hidden="false" customHeight="true" outlineLevel="0" collapsed="false"/>
    <row r="43182" customFormat="false" ht="15" hidden="false" customHeight="true" outlineLevel="0" collapsed="false"/>
    <row r="43183" customFormat="false" ht="15" hidden="false" customHeight="true" outlineLevel="0" collapsed="false"/>
    <row r="43184" customFormat="false" ht="15" hidden="false" customHeight="true" outlineLevel="0" collapsed="false"/>
    <row r="43185" customFormat="false" ht="15" hidden="false" customHeight="true" outlineLevel="0" collapsed="false"/>
    <row r="43186" customFormat="false" ht="15" hidden="false" customHeight="true" outlineLevel="0" collapsed="false"/>
    <row r="43187" customFormat="false" ht="15" hidden="false" customHeight="true" outlineLevel="0" collapsed="false"/>
    <row r="43188" customFormat="false" ht="15" hidden="false" customHeight="true" outlineLevel="0" collapsed="false"/>
    <row r="43189" customFormat="false" ht="15" hidden="false" customHeight="true" outlineLevel="0" collapsed="false"/>
    <row r="43190" customFormat="false" ht="15" hidden="false" customHeight="true" outlineLevel="0" collapsed="false"/>
    <row r="43191" customFormat="false" ht="15" hidden="false" customHeight="true" outlineLevel="0" collapsed="false"/>
    <row r="43192" customFormat="false" ht="15" hidden="false" customHeight="true" outlineLevel="0" collapsed="false"/>
    <row r="43193" customFormat="false" ht="15" hidden="false" customHeight="true" outlineLevel="0" collapsed="false"/>
    <row r="43194" customFormat="false" ht="15" hidden="false" customHeight="true" outlineLevel="0" collapsed="false"/>
    <row r="43195" customFormat="false" ht="15" hidden="false" customHeight="true" outlineLevel="0" collapsed="false"/>
    <row r="43196" customFormat="false" ht="15" hidden="false" customHeight="true" outlineLevel="0" collapsed="false"/>
    <row r="43197" customFormat="false" ht="15" hidden="false" customHeight="true" outlineLevel="0" collapsed="false"/>
    <row r="43198" customFormat="false" ht="15" hidden="false" customHeight="true" outlineLevel="0" collapsed="false"/>
    <row r="43199" customFormat="false" ht="15" hidden="false" customHeight="true" outlineLevel="0" collapsed="false"/>
    <row r="43200" customFormat="false" ht="15" hidden="false" customHeight="true" outlineLevel="0" collapsed="false"/>
    <row r="43201" customFormat="false" ht="15" hidden="false" customHeight="true" outlineLevel="0" collapsed="false"/>
    <row r="43202" customFormat="false" ht="15" hidden="false" customHeight="true" outlineLevel="0" collapsed="false"/>
    <row r="43203" customFormat="false" ht="15" hidden="false" customHeight="true" outlineLevel="0" collapsed="false"/>
    <row r="43204" customFormat="false" ht="15" hidden="false" customHeight="true" outlineLevel="0" collapsed="false"/>
    <row r="43205" customFormat="false" ht="15" hidden="false" customHeight="true" outlineLevel="0" collapsed="false"/>
    <row r="43206" customFormat="false" ht="15" hidden="false" customHeight="true" outlineLevel="0" collapsed="false"/>
    <row r="43207" customFormat="false" ht="15" hidden="false" customHeight="true" outlineLevel="0" collapsed="false"/>
    <row r="43208" customFormat="false" ht="15" hidden="false" customHeight="true" outlineLevel="0" collapsed="false"/>
    <row r="43209" customFormat="false" ht="15" hidden="false" customHeight="true" outlineLevel="0" collapsed="false"/>
    <row r="43210" customFormat="false" ht="15" hidden="false" customHeight="true" outlineLevel="0" collapsed="false"/>
    <row r="43211" customFormat="false" ht="15" hidden="false" customHeight="true" outlineLevel="0" collapsed="false"/>
    <row r="43212" customFormat="false" ht="15" hidden="false" customHeight="true" outlineLevel="0" collapsed="false"/>
    <row r="43213" customFormat="false" ht="15" hidden="false" customHeight="true" outlineLevel="0" collapsed="false"/>
    <row r="43214" customFormat="false" ht="15" hidden="false" customHeight="true" outlineLevel="0" collapsed="false"/>
    <row r="43215" customFormat="false" ht="15" hidden="false" customHeight="true" outlineLevel="0" collapsed="false"/>
    <row r="43216" customFormat="false" ht="15" hidden="false" customHeight="true" outlineLevel="0" collapsed="false"/>
    <row r="43217" customFormat="false" ht="15" hidden="false" customHeight="true" outlineLevel="0" collapsed="false"/>
    <row r="43218" customFormat="false" ht="15" hidden="false" customHeight="true" outlineLevel="0" collapsed="false"/>
    <row r="43219" customFormat="false" ht="15" hidden="false" customHeight="true" outlineLevel="0" collapsed="false"/>
    <row r="43220" customFormat="false" ht="15" hidden="false" customHeight="true" outlineLevel="0" collapsed="false"/>
    <row r="43221" customFormat="false" ht="15" hidden="false" customHeight="true" outlineLevel="0" collapsed="false"/>
    <row r="43222" customFormat="false" ht="15" hidden="false" customHeight="true" outlineLevel="0" collapsed="false"/>
    <row r="43223" customFormat="false" ht="15" hidden="false" customHeight="true" outlineLevel="0" collapsed="false"/>
    <row r="43224" customFormat="false" ht="15" hidden="false" customHeight="true" outlineLevel="0" collapsed="false"/>
    <row r="43225" customFormat="false" ht="15" hidden="false" customHeight="true" outlineLevel="0" collapsed="false"/>
    <row r="43226" customFormat="false" ht="15" hidden="false" customHeight="true" outlineLevel="0" collapsed="false"/>
    <row r="43227" customFormat="false" ht="15" hidden="false" customHeight="true" outlineLevel="0" collapsed="false"/>
    <row r="43228" customFormat="false" ht="15" hidden="false" customHeight="true" outlineLevel="0" collapsed="false"/>
    <row r="43229" customFormat="false" ht="15" hidden="false" customHeight="true" outlineLevel="0" collapsed="false"/>
    <row r="43230" customFormat="false" ht="15" hidden="false" customHeight="true" outlineLevel="0" collapsed="false"/>
    <row r="43231" customFormat="false" ht="15" hidden="false" customHeight="true" outlineLevel="0" collapsed="false"/>
    <row r="43232" customFormat="false" ht="15" hidden="false" customHeight="true" outlineLevel="0" collapsed="false"/>
    <row r="43233" customFormat="false" ht="15" hidden="false" customHeight="true" outlineLevel="0" collapsed="false"/>
    <row r="43234" customFormat="false" ht="15" hidden="false" customHeight="true" outlineLevel="0" collapsed="false"/>
    <row r="43235" customFormat="false" ht="15" hidden="false" customHeight="true" outlineLevel="0" collapsed="false"/>
    <row r="43236" customFormat="false" ht="15" hidden="false" customHeight="true" outlineLevel="0" collapsed="false"/>
    <row r="43237" customFormat="false" ht="15" hidden="false" customHeight="true" outlineLevel="0" collapsed="false"/>
    <row r="43238" customFormat="false" ht="15" hidden="false" customHeight="true" outlineLevel="0" collapsed="false"/>
    <row r="43239" customFormat="false" ht="15" hidden="false" customHeight="true" outlineLevel="0" collapsed="false"/>
    <row r="43240" customFormat="false" ht="15" hidden="false" customHeight="true" outlineLevel="0" collapsed="false"/>
    <row r="43241" customFormat="false" ht="15" hidden="false" customHeight="true" outlineLevel="0" collapsed="false"/>
    <row r="43242" customFormat="false" ht="15" hidden="false" customHeight="true" outlineLevel="0" collapsed="false"/>
    <row r="43243" customFormat="false" ht="15" hidden="false" customHeight="true" outlineLevel="0" collapsed="false"/>
    <row r="43244" customFormat="false" ht="15" hidden="false" customHeight="true" outlineLevel="0" collapsed="false"/>
    <row r="43245" customFormat="false" ht="15" hidden="false" customHeight="true" outlineLevel="0" collapsed="false"/>
    <row r="43246" customFormat="false" ht="15" hidden="false" customHeight="true" outlineLevel="0" collapsed="false"/>
    <row r="43247" customFormat="false" ht="15" hidden="false" customHeight="true" outlineLevel="0" collapsed="false"/>
    <row r="43248" customFormat="false" ht="15" hidden="false" customHeight="true" outlineLevel="0" collapsed="false"/>
    <row r="43249" customFormat="false" ht="15" hidden="false" customHeight="true" outlineLevel="0" collapsed="false"/>
    <row r="43250" customFormat="false" ht="15" hidden="false" customHeight="true" outlineLevel="0" collapsed="false"/>
    <row r="43251" customFormat="false" ht="15" hidden="false" customHeight="true" outlineLevel="0" collapsed="false"/>
    <row r="43252" customFormat="false" ht="15" hidden="false" customHeight="true" outlineLevel="0" collapsed="false"/>
    <row r="43253" customFormat="false" ht="15" hidden="false" customHeight="true" outlineLevel="0" collapsed="false"/>
    <row r="43254" customFormat="false" ht="15" hidden="false" customHeight="true" outlineLevel="0" collapsed="false"/>
    <row r="43255" customFormat="false" ht="15" hidden="false" customHeight="true" outlineLevel="0" collapsed="false"/>
    <row r="43256" customFormat="false" ht="15" hidden="false" customHeight="true" outlineLevel="0" collapsed="false"/>
    <row r="43257" customFormat="false" ht="15" hidden="false" customHeight="true" outlineLevel="0" collapsed="false"/>
    <row r="43258" customFormat="false" ht="15" hidden="false" customHeight="true" outlineLevel="0" collapsed="false"/>
    <row r="43259" customFormat="false" ht="15" hidden="false" customHeight="true" outlineLevel="0" collapsed="false"/>
    <row r="43260" customFormat="false" ht="15" hidden="false" customHeight="true" outlineLevel="0" collapsed="false"/>
    <row r="43261" customFormat="false" ht="15" hidden="false" customHeight="true" outlineLevel="0" collapsed="false"/>
    <row r="43262" customFormat="false" ht="15" hidden="false" customHeight="true" outlineLevel="0" collapsed="false"/>
    <row r="43263" customFormat="false" ht="15" hidden="false" customHeight="true" outlineLevel="0" collapsed="false"/>
    <row r="43264" customFormat="false" ht="15" hidden="false" customHeight="true" outlineLevel="0" collapsed="false"/>
    <row r="43265" customFormat="false" ht="15" hidden="false" customHeight="true" outlineLevel="0" collapsed="false"/>
    <row r="43266" customFormat="false" ht="15" hidden="false" customHeight="true" outlineLevel="0" collapsed="false"/>
    <row r="43267" customFormat="false" ht="15" hidden="false" customHeight="true" outlineLevel="0" collapsed="false"/>
    <row r="43268" customFormat="false" ht="15" hidden="false" customHeight="true" outlineLevel="0" collapsed="false"/>
    <row r="43269" customFormat="false" ht="15" hidden="false" customHeight="true" outlineLevel="0" collapsed="false"/>
    <row r="43270" customFormat="false" ht="15" hidden="false" customHeight="true" outlineLevel="0" collapsed="false"/>
    <row r="43271" customFormat="false" ht="15" hidden="false" customHeight="true" outlineLevel="0" collapsed="false"/>
    <row r="43272" customFormat="false" ht="15" hidden="false" customHeight="true" outlineLevel="0" collapsed="false"/>
    <row r="43273" customFormat="false" ht="15" hidden="false" customHeight="true" outlineLevel="0" collapsed="false"/>
    <row r="43274" customFormat="false" ht="15" hidden="false" customHeight="true" outlineLevel="0" collapsed="false"/>
    <row r="43275" customFormat="false" ht="15" hidden="false" customHeight="true" outlineLevel="0" collapsed="false"/>
    <row r="43276" customFormat="false" ht="15" hidden="false" customHeight="true" outlineLevel="0" collapsed="false"/>
    <row r="43277" customFormat="false" ht="15" hidden="false" customHeight="true" outlineLevel="0" collapsed="false"/>
    <row r="43278" customFormat="false" ht="15" hidden="false" customHeight="true" outlineLevel="0" collapsed="false"/>
    <row r="43279" customFormat="false" ht="15" hidden="false" customHeight="true" outlineLevel="0" collapsed="false"/>
    <row r="43280" customFormat="false" ht="15" hidden="false" customHeight="true" outlineLevel="0" collapsed="false"/>
    <row r="43281" customFormat="false" ht="15" hidden="false" customHeight="true" outlineLevel="0" collapsed="false"/>
    <row r="43282" customFormat="false" ht="15" hidden="false" customHeight="true" outlineLevel="0" collapsed="false"/>
    <row r="43283" customFormat="false" ht="15" hidden="false" customHeight="true" outlineLevel="0" collapsed="false"/>
    <row r="43284" customFormat="false" ht="15" hidden="false" customHeight="true" outlineLevel="0" collapsed="false"/>
    <row r="43285" customFormat="false" ht="15" hidden="false" customHeight="true" outlineLevel="0" collapsed="false"/>
    <row r="43286" customFormat="false" ht="15" hidden="false" customHeight="true" outlineLevel="0" collapsed="false"/>
    <row r="43287" customFormat="false" ht="15" hidden="false" customHeight="true" outlineLevel="0" collapsed="false"/>
    <row r="43288" customFormat="false" ht="15" hidden="false" customHeight="true" outlineLevel="0" collapsed="false"/>
    <row r="43289" customFormat="false" ht="15" hidden="false" customHeight="true" outlineLevel="0" collapsed="false"/>
    <row r="43290" customFormat="false" ht="15" hidden="false" customHeight="true" outlineLevel="0" collapsed="false"/>
    <row r="43291" customFormat="false" ht="15" hidden="false" customHeight="true" outlineLevel="0" collapsed="false"/>
    <row r="43292" customFormat="false" ht="15" hidden="false" customHeight="true" outlineLevel="0" collapsed="false"/>
    <row r="43293" customFormat="false" ht="15" hidden="false" customHeight="true" outlineLevel="0" collapsed="false"/>
    <row r="43294" customFormat="false" ht="15" hidden="false" customHeight="true" outlineLevel="0" collapsed="false"/>
    <row r="43295" customFormat="false" ht="15" hidden="false" customHeight="true" outlineLevel="0" collapsed="false"/>
    <row r="43296" customFormat="false" ht="15" hidden="false" customHeight="true" outlineLevel="0" collapsed="false"/>
    <row r="43297" customFormat="false" ht="15" hidden="false" customHeight="true" outlineLevel="0" collapsed="false"/>
    <row r="43298" customFormat="false" ht="15" hidden="false" customHeight="true" outlineLevel="0" collapsed="false"/>
    <row r="43299" customFormat="false" ht="15" hidden="false" customHeight="true" outlineLevel="0" collapsed="false"/>
    <row r="43300" customFormat="false" ht="15" hidden="false" customHeight="true" outlineLevel="0" collapsed="false"/>
    <row r="43301" customFormat="false" ht="15" hidden="false" customHeight="true" outlineLevel="0" collapsed="false"/>
    <row r="43302" customFormat="false" ht="15" hidden="false" customHeight="true" outlineLevel="0" collapsed="false"/>
    <row r="43303" customFormat="false" ht="15" hidden="false" customHeight="true" outlineLevel="0" collapsed="false"/>
    <row r="43304" customFormat="false" ht="15" hidden="false" customHeight="true" outlineLevel="0" collapsed="false"/>
    <row r="43305" customFormat="false" ht="15" hidden="false" customHeight="true" outlineLevel="0" collapsed="false"/>
    <row r="43306" customFormat="false" ht="15" hidden="false" customHeight="true" outlineLevel="0" collapsed="false"/>
    <row r="43307" customFormat="false" ht="15" hidden="false" customHeight="true" outlineLevel="0" collapsed="false"/>
    <row r="43308" customFormat="false" ht="15" hidden="false" customHeight="true" outlineLevel="0" collapsed="false"/>
    <row r="43309" customFormat="false" ht="15" hidden="false" customHeight="true" outlineLevel="0" collapsed="false"/>
    <row r="43310" customFormat="false" ht="15" hidden="false" customHeight="true" outlineLevel="0" collapsed="false"/>
    <row r="43311" customFormat="false" ht="15" hidden="false" customHeight="true" outlineLevel="0" collapsed="false"/>
    <row r="43312" customFormat="false" ht="15" hidden="false" customHeight="true" outlineLevel="0" collapsed="false"/>
    <row r="43313" customFormat="false" ht="15" hidden="false" customHeight="true" outlineLevel="0" collapsed="false"/>
    <row r="43314" customFormat="false" ht="15" hidden="false" customHeight="true" outlineLevel="0" collapsed="false"/>
    <row r="43315" customFormat="false" ht="15" hidden="false" customHeight="true" outlineLevel="0" collapsed="false"/>
    <row r="43316" customFormat="false" ht="15" hidden="false" customHeight="true" outlineLevel="0" collapsed="false"/>
    <row r="43317" customFormat="false" ht="15" hidden="false" customHeight="true" outlineLevel="0" collapsed="false"/>
    <row r="43318" customFormat="false" ht="15" hidden="false" customHeight="true" outlineLevel="0" collapsed="false"/>
    <row r="43319" customFormat="false" ht="15" hidden="false" customHeight="true" outlineLevel="0" collapsed="false"/>
    <row r="43320" customFormat="false" ht="15" hidden="false" customHeight="true" outlineLevel="0" collapsed="false"/>
    <row r="43321" customFormat="false" ht="15" hidden="false" customHeight="true" outlineLevel="0" collapsed="false"/>
    <row r="43322" customFormat="false" ht="15" hidden="false" customHeight="true" outlineLevel="0" collapsed="false"/>
    <row r="43323" customFormat="false" ht="15" hidden="false" customHeight="true" outlineLevel="0" collapsed="false"/>
    <row r="43324" customFormat="false" ht="15" hidden="false" customHeight="true" outlineLevel="0" collapsed="false"/>
    <row r="43325" customFormat="false" ht="15" hidden="false" customHeight="true" outlineLevel="0" collapsed="false"/>
    <row r="43326" customFormat="false" ht="15" hidden="false" customHeight="true" outlineLevel="0" collapsed="false"/>
    <row r="43327" customFormat="false" ht="15" hidden="false" customHeight="true" outlineLevel="0" collapsed="false"/>
    <row r="43328" customFormat="false" ht="15" hidden="false" customHeight="true" outlineLevel="0" collapsed="false"/>
    <row r="43329" customFormat="false" ht="15" hidden="false" customHeight="true" outlineLevel="0" collapsed="false"/>
    <row r="43330" customFormat="false" ht="15" hidden="false" customHeight="true" outlineLevel="0" collapsed="false"/>
    <row r="43331" customFormat="false" ht="15" hidden="false" customHeight="true" outlineLevel="0" collapsed="false"/>
    <row r="43332" customFormat="false" ht="15" hidden="false" customHeight="true" outlineLevel="0" collapsed="false"/>
    <row r="43333" customFormat="false" ht="15" hidden="false" customHeight="true" outlineLevel="0" collapsed="false"/>
    <row r="43334" customFormat="false" ht="15" hidden="false" customHeight="true" outlineLevel="0" collapsed="false"/>
    <row r="43335" customFormat="false" ht="15" hidden="false" customHeight="true" outlineLevel="0" collapsed="false"/>
    <row r="43336" customFormat="false" ht="15" hidden="false" customHeight="true" outlineLevel="0" collapsed="false"/>
    <row r="43337" customFormat="false" ht="15" hidden="false" customHeight="true" outlineLevel="0" collapsed="false"/>
    <row r="43338" customFormat="false" ht="15" hidden="false" customHeight="true" outlineLevel="0" collapsed="false"/>
    <row r="43339" customFormat="false" ht="15" hidden="false" customHeight="true" outlineLevel="0" collapsed="false"/>
    <row r="43340" customFormat="false" ht="15" hidden="false" customHeight="true" outlineLevel="0" collapsed="false"/>
    <row r="43341" customFormat="false" ht="15" hidden="false" customHeight="true" outlineLevel="0" collapsed="false"/>
    <row r="43342" customFormat="false" ht="15" hidden="false" customHeight="true" outlineLevel="0" collapsed="false"/>
    <row r="43343" customFormat="false" ht="15" hidden="false" customHeight="true" outlineLevel="0" collapsed="false"/>
    <row r="43344" customFormat="false" ht="15" hidden="false" customHeight="true" outlineLevel="0" collapsed="false"/>
    <row r="43345" customFormat="false" ht="15" hidden="false" customHeight="true" outlineLevel="0" collapsed="false"/>
    <row r="43346" customFormat="false" ht="15" hidden="false" customHeight="true" outlineLevel="0" collapsed="false"/>
    <row r="43347" customFormat="false" ht="15" hidden="false" customHeight="true" outlineLevel="0" collapsed="false"/>
    <row r="43348" customFormat="false" ht="15" hidden="false" customHeight="true" outlineLevel="0" collapsed="false"/>
    <row r="43349" customFormat="false" ht="15" hidden="false" customHeight="true" outlineLevel="0" collapsed="false"/>
    <row r="43350" customFormat="false" ht="15" hidden="false" customHeight="true" outlineLevel="0" collapsed="false"/>
    <row r="43351" customFormat="false" ht="15" hidden="false" customHeight="true" outlineLevel="0" collapsed="false"/>
    <row r="43352" customFormat="false" ht="15" hidden="false" customHeight="true" outlineLevel="0" collapsed="false"/>
    <row r="43353" customFormat="false" ht="15" hidden="false" customHeight="true" outlineLevel="0" collapsed="false"/>
    <row r="43354" customFormat="false" ht="15" hidden="false" customHeight="true" outlineLevel="0" collapsed="false"/>
    <row r="43355" customFormat="false" ht="15" hidden="false" customHeight="true" outlineLevel="0" collapsed="false"/>
    <row r="43356" customFormat="false" ht="15" hidden="false" customHeight="true" outlineLevel="0" collapsed="false"/>
    <row r="43357" customFormat="false" ht="15" hidden="false" customHeight="true" outlineLevel="0" collapsed="false"/>
    <row r="43358" customFormat="false" ht="15" hidden="false" customHeight="true" outlineLevel="0" collapsed="false"/>
    <row r="43359" customFormat="false" ht="15" hidden="false" customHeight="true" outlineLevel="0" collapsed="false"/>
    <row r="43360" customFormat="false" ht="15" hidden="false" customHeight="true" outlineLevel="0" collapsed="false"/>
    <row r="43361" customFormat="false" ht="15" hidden="false" customHeight="true" outlineLevel="0" collapsed="false"/>
    <row r="43362" customFormat="false" ht="15" hidden="false" customHeight="true" outlineLevel="0" collapsed="false"/>
    <row r="43363" customFormat="false" ht="15" hidden="false" customHeight="true" outlineLevel="0" collapsed="false"/>
    <row r="43364" customFormat="false" ht="15" hidden="false" customHeight="true" outlineLevel="0" collapsed="false"/>
    <row r="43365" customFormat="false" ht="15" hidden="false" customHeight="true" outlineLevel="0" collapsed="false"/>
    <row r="43366" customFormat="false" ht="15" hidden="false" customHeight="true" outlineLevel="0" collapsed="false"/>
    <row r="43367" customFormat="false" ht="15" hidden="false" customHeight="true" outlineLevel="0" collapsed="false"/>
    <row r="43368" customFormat="false" ht="15" hidden="false" customHeight="true" outlineLevel="0" collapsed="false"/>
    <row r="43369" customFormat="false" ht="15" hidden="false" customHeight="true" outlineLevel="0" collapsed="false"/>
    <row r="43370" customFormat="false" ht="15" hidden="false" customHeight="true" outlineLevel="0" collapsed="false"/>
    <row r="43371" customFormat="false" ht="15" hidden="false" customHeight="true" outlineLevel="0" collapsed="false"/>
    <row r="43372" customFormat="false" ht="15" hidden="false" customHeight="true" outlineLevel="0" collapsed="false"/>
    <row r="43373" customFormat="false" ht="15" hidden="false" customHeight="true" outlineLevel="0" collapsed="false"/>
    <row r="43374" customFormat="false" ht="15" hidden="false" customHeight="true" outlineLevel="0" collapsed="false"/>
    <row r="43375" customFormat="false" ht="15" hidden="false" customHeight="true" outlineLevel="0" collapsed="false"/>
    <row r="43376" customFormat="false" ht="15" hidden="false" customHeight="true" outlineLevel="0" collapsed="false"/>
    <row r="43377" customFormat="false" ht="15" hidden="false" customHeight="true" outlineLevel="0" collapsed="false"/>
    <row r="43378" customFormat="false" ht="15" hidden="false" customHeight="true" outlineLevel="0" collapsed="false"/>
    <row r="43379" customFormat="false" ht="15" hidden="false" customHeight="true" outlineLevel="0" collapsed="false"/>
    <row r="43380" customFormat="false" ht="15" hidden="false" customHeight="true" outlineLevel="0" collapsed="false"/>
    <row r="43381" customFormat="false" ht="15" hidden="false" customHeight="true" outlineLevel="0" collapsed="false"/>
    <row r="43382" customFormat="false" ht="15" hidden="false" customHeight="true" outlineLevel="0" collapsed="false"/>
    <row r="43383" customFormat="false" ht="15" hidden="false" customHeight="true" outlineLevel="0" collapsed="false"/>
    <row r="43384" customFormat="false" ht="15" hidden="false" customHeight="true" outlineLevel="0" collapsed="false"/>
    <row r="43385" customFormat="false" ht="15" hidden="false" customHeight="true" outlineLevel="0" collapsed="false"/>
    <row r="43386" customFormat="false" ht="15" hidden="false" customHeight="true" outlineLevel="0" collapsed="false"/>
    <row r="43387" customFormat="false" ht="15" hidden="false" customHeight="true" outlineLevel="0" collapsed="false"/>
    <row r="43388" customFormat="false" ht="15" hidden="false" customHeight="true" outlineLevel="0" collapsed="false"/>
    <row r="43389" customFormat="false" ht="15" hidden="false" customHeight="true" outlineLevel="0" collapsed="false"/>
    <row r="43390" customFormat="false" ht="15" hidden="false" customHeight="true" outlineLevel="0" collapsed="false"/>
    <row r="43391" customFormat="false" ht="15" hidden="false" customHeight="true" outlineLevel="0" collapsed="false"/>
    <row r="43392" customFormat="false" ht="15" hidden="false" customHeight="true" outlineLevel="0" collapsed="false"/>
    <row r="43393" customFormat="false" ht="15" hidden="false" customHeight="true" outlineLevel="0" collapsed="false"/>
    <row r="43394" customFormat="false" ht="15" hidden="false" customHeight="true" outlineLevel="0" collapsed="false"/>
    <row r="43395" customFormat="false" ht="15" hidden="false" customHeight="true" outlineLevel="0" collapsed="false"/>
    <row r="43396" customFormat="false" ht="15" hidden="false" customHeight="true" outlineLevel="0" collapsed="false"/>
    <row r="43397" customFormat="false" ht="15" hidden="false" customHeight="true" outlineLevel="0" collapsed="false"/>
    <row r="43398" customFormat="false" ht="15" hidden="false" customHeight="true" outlineLevel="0" collapsed="false"/>
    <row r="43399" customFormat="false" ht="15" hidden="false" customHeight="true" outlineLevel="0" collapsed="false"/>
    <row r="43400" customFormat="false" ht="15" hidden="false" customHeight="true" outlineLevel="0" collapsed="false"/>
    <row r="43401" customFormat="false" ht="15" hidden="false" customHeight="true" outlineLevel="0" collapsed="false"/>
    <row r="43402" customFormat="false" ht="15" hidden="false" customHeight="true" outlineLevel="0" collapsed="false"/>
    <row r="43403" customFormat="false" ht="15" hidden="false" customHeight="true" outlineLevel="0" collapsed="false"/>
    <row r="43404" customFormat="false" ht="15" hidden="false" customHeight="true" outlineLevel="0" collapsed="false"/>
    <row r="43405" customFormat="false" ht="15" hidden="false" customHeight="true" outlineLevel="0" collapsed="false"/>
    <row r="43406" customFormat="false" ht="15" hidden="false" customHeight="true" outlineLevel="0" collapsed="false"/>
    <row r="43407" customFormat="false" ht="15" hidden="false" customHeight="true" outlineLevel="0" collapsed="false"/>
    <row r="43408" customFormat="false" ht="15" hidden="false" customHeight="true" outlineLevel="0" collapsed="false"/>
    <row r="43409" customFormat="false" ht="15" hidden="false" customHeight="true" outlineLevel="0" collapsed="false"/>
    <row r="43410" customFormat="false" ht="15" hidden="false" customHeight="true" outlineLevel="0" collapsed="false"/>
    <row r="43411" customFormat="false" ht="15" hidden="false" customHeight="true" outlineLevel="0" collapsed="false"/>
    <row r="43412" customFormat="false" ht="15" hidden="false" customHeight="true" outlineLevel="0" collapsed="false"/>
    <row r="43413" customFormat="false" ht="15" hidden="false" customHeight="true" outlineLevel="0" collapsed="false"/>
    <row r="43414" customFormat="false" ht="15" hidden="false" customHeight="true" outlineLevel="0" collapsed="false"/>
    <row r="43415" customFormat="false" ht="15" hidden="false" customHeight="true" outlineLevel="0" collapsed="false"/>
    <row r="43416" customFormat="false" ht="15" hidden="false" customHeight="true" outlineLevel="0" collapsed="false"/>
    <row r="43417" customFormat="false" ht="15" hidden="false" customHeight="true" outlineLevel="0" collapsed="false"/>
    <row r="43418" customFormat="false" ht="15" hidden="false" customHeight="true" outlineLevel="0" collapsed="false"/>
    <row r="43419" customFormat="false" ht="15" hidden="false" customHeight="true" outlineLevel="0" collapsed="false"/>
    <row r="43420" customFormat="false" ht="15" hidden="false" customHeight="true" outlineLevel="0" collapsed="false"/>
    <row r="43421" customFormat="false" ht="15" hidden="false" customHeight="true" outlineLevel="0" collapsed="false"/>
    <row r="43422" customFormat="false" ht="15" hidden="false" customHeight="true" outlineLevel="0" collapsed="false"/>
    <row r="43423" customFormat="false" ht="15" hidden="false" customHeight="true" outlineLevel="0" collapsed="false"/>
    <row r="43424" customFormat="false" ht="15" hidden="false" customHeight="true" outlineLevel="0" collapsed="false"/>
    <row r="43425" customFormat="false" ht="15" hidden="false" customHeight="true" outlineLevel="0" collapsed="false"/>
    <row r="43426" customFormat="false" ht="15" hidden="false" customHeight="true" outlineLevel="0" collapsed="false"/>
    <row r="43427" customFormat="false" ht="15" hidden="false" customHeight="true" outlineLevel="0" collapsed="false"/>
    <row r="43428" customFormat="false" ht="15" hidden="false" customHeight="true" outlineLevel="0" collapsed="false"/>
    <row r="43429" customFormat="false" ht="15" hidden="false" customHeight="true" outlineLevel="0" collapsed="false"/>
    <row r="43430" customFormat="false" ht="15" hidden="false" customHeight="true" outlineLevel="0" collapsed="false"/>
    <row r="43431" customFormat="false" ht="15" hidden="false" customHeight="true" outlineLevel="0" collapsed="false"/>
    <row r="43432" customFormat="false" ht="15" hidden="false" customHeight="true" outlineLevel="0" collapsed="false"/>
    <row r="43433" customFormat="false" ht="15" hidden="false" customHeight="true" outlineLevel="0" collapsed="false"/>
    <row r="43434" customFormat="false" ht="15" hidden="false" customHeight="true" outlineLevel="0" collapsed="false"/>
    <row r="43435" customFormat="false" ht="15" hidden="false" customHeight="true" outlineLevel="0" collapsed="false"/>
    <row r="43436" customFormat="false" ht="15" hidden="false" customHeight="true" outlineLevel="0" collapsed="false"/>
    <row r="43437" customFormat="false" ht="15" hidden="false" customHeight="true" outlineLevel="0" collapsed="false"/>
    <row r="43438" customFormat="false" ht="15" hidden="false" customHeight="true" outlineLevel="0" collapsed="false"/>
    <row r="43439" customFormat="false" ht="15" hidden="false" customHeight="true" outlineLevel="0" collapsed="false"/>
    <row r="43440" customFormat="false" ht="15" hidden="false" customHeight="true" outlineLevel="0" collapsed="false"/>
    <row r="43441" customFormat="false" ht="15" hidden="false" customHeight="true" outlineLevel="0" collapsed="false"/>
    <row r="43442" customFormat="false" ht="15" hidden="false" customHeight="true" outlineLevel="0" collapsed="false"/>
    <row r="43443" customFormat="false" ht="15" hidden="false" customHeight="true" outlineLevel="0" collapsed="false"/>
    <row r="43444" customFormat="false" ht="15" hidden="false" customHeight="true" outlineLevel="0" collapsed="false"/>
    <row r="43445" customFormat="false" ht="15" hidden="false" customHeight="true" outlineLevel="0" collapsed="false"/>
    <row r="43446" customFormat="false" ht="15" hidden="false" customHeight="true" outlineLevel="0" collapsed="false"/>
    <row r="43447" customFormat="false" ht="15" hidden="false" customHeight="true" outlineLevel="0" collapsed="false"/>
    <row r="43448" customFormat="false" ht="15" hidden="false" customHeight="true" outlineLevel="0" collapsed="false"/>
    <row r="43449" customFormat="false" ht="15" hidden="false" customHeight="true" outlineLevel="0" collapsed="false"/>
    <row r="43450" customFormat="false" ht="15" hidden="false" customHeight="true" outlineLevel="0" collapsed="false"/>
    <row r="43451" customFormat="false" ht="15" hidden="false" customHeight="true" outlineLevel="0" collapsed="false"/>
    <row r="43452" customFormat="false" ht="15" hidden="false" customHeight="true" outlineLevel="0" collapsed="false"/>
    <row r="43453" customFormat="false" ht="15" hidden="false" customHeight="true" outlineLevel="0" collapsed="false"/>
    <row r="43454" customFormat="false" ht="15" hidden="false" customHeight="true" outlineLevel="0" collapsed="false"/>
    <row r="43455" customFormat="false" ht="15" hidden="false" customHeight="true" outlineLevel="0" collapsed="false"/>
    <row r="43456" customFormat="false" ht="15" hidden="false" customHeight="true" outlineLevel="0" collapsed="false"/>
    <row r="43457" customFormat="false" ht="15" hidden="false" customHeight="true" outlineLevel="0" collapsed="false"/>
    <row r="43458" customFormat="false" ht="15" hidden="false" customHeight="true" outlineLevel="0" collapsed="false"/>
    <row r="43459" customFormat="false" ht="15" hidden="false" customHeight="true" outlineLevel="0" collapsed="false"/>
    <row r="43460" customFormat="false" ht="15" hidden="false" customHeight="true" outlineLevel="0" collapsed="false"/>
    <row r="43461" customFormat="false" ht="15" hidden="false" customHeight="true" outlineLevel="0" collapsed="false"/>
    <row r="43462" customFormat="false" ht="15" hidden="false" customHeight="true" outlineLevel="0" collapsed="false"/>
    <row r="43463" customFormat="false" ht="15" hidden="false" customHeight="true" outlineLevel="0" collapsed="false"/>
    <row r="43464" customFormat="false" ht="15" hidden="false" customHeight="true" outlineLevel="0" collapsed="false"/>
    <row r="43465" customFormat="false" ht="15" hidden="false" customHeight="true" outlineLevel="0" collapsed="false"/>
    <row r="43466" customFormat="false" ht="15" hidden="false" customHeight="true" outlineLevel="0" collapsed="false"/>
    <row r="43467" customFormat="false" ht="15" hidden="false" customHeight="true" outlineLevel="0" collapsed="false"/>
    <row r="43468" customFormat="false" ht="15" hidden="false" customHeight="true" outlineLevel="0" collapsed="false"/>
    <row r="43469" customFormat="false" ht="15" hidden="false" customHeight="true" outlineLevel="0" collapsed="false"/>
    <row r="43470" customFormat="false" ht="15" hidden="false" customHeight="true" outlineLevel="0" collapsed="false"/>
    <row r="43471" customFormat="false" ht="15" hidden="false" customHeight="true" outlineLevel="0" collapsed="false"/>
    <row r="43472" customFormat="false" ht="15" hidden="false" customHeight="true" outlineLevel="0" collapsed="false"/>
    <row r="43473" customFormat="false" ht="15" hidden="false" customHeight="true" outlineLevel="0" collapsed="false"/>
    <row r="43474" customFormat="false" ht="15" hidden="false" customHeight="true" outlineLevel="0" collapsed="false"/>
    <row r="43475" customFormat="false" ht="15" hidden="false" customHeight="true" outlineLevel="0" collapsed="false"/>
    <row r="43476" customFormat="false" ht="15" hidden="false" customHeight="true" outlineLevel="0" collapsed="false"/>
    <row r="43477" customFormat="false" ht="15" hidden="false" customHeight="true" outlineLevel="0" collapsed="false"/>
    <row r="43478" customFormat="false" ht="15" hidden="false" customHeight="true" outlineLevel="0" collapsed="false"/>
    <row r="43479" customFormat="false" ht="15" hidden="false" customHeight="true" outlineLevel="0" collapsed="false"/>
    <row r="43480" customFormat="false" ht="15" hidden="false" customHeight="true" outlineLevel="0" collapsed="false"/>
    <row r="43481" customFormat="false" ht="15" hidden="false" customHeight="true" outlineLevel="0" collapsed="false"/>
    <row r="43482" customFormat="false" ht="15" hidden="false" customHeight="true" outlineLevel="0" collapsed="false"/>
    <row r="43483" customFormat="false" ht="15" hidden="false" customHeight="true" outlineLevel="0" collapsed="false"/>
    <row r="43484" customFormat="false" ht="15" hidden="false" customHeight="true" outlineLevel="0" collapsed="false"/>
    <row r="43485" customFormat="false" ht="15" hidden="false" customHeight="true" outlineLevel="0" collapsed="false"/>
    <row r="43486" customFormat="false" ht="15" hidden="false" customHeight="true" outlineLevel="0" collapsed="false"/>
    <row r="43487" customFormat="false" ht="15" hidden="false" customHeight="true" outlineLevel="0" collapsed="false"/>
    <row r="43488" customFormat="false" ht="15" hidden="false" customHeight="true" outlineLevel="0" collapsed="false"/>
    <row r="43489" customFormat="false" ht="15" hidden="false" customHeight="true" outlineLevel="0" collapsed="false"/>
    <row r="43490" customFormat="false" ht="15" hidden="false" customHeight="true" outlineLevel="0" collapsed="false"/>
    <row r="43491" customFormat="false" ht="15" hidden="false" customHeight="true" outlineLevel="0" collapsed="false"/>
    <row r="43492" customFormat="false" ht="15" hidden="false" customHeight="true" outlineLevel="0" collapsed="false"/>
    <row r="43493" customFormat="false" ht="15" hidden="false" customHeight="true" outlineLevel="0" collapsed="false"/>
    <row r="43494" customFormat="false" ht="15" hidden="false" customHeight="true" outlineLevel="0" collapsed="false"/>
    <row r="43495" customFormat="false" ht="15" hidden="false" customHeight="true" outlineLevel="0" collapsed="false"/>
    <row r="43496" customFormat="false" ht="15" hidden="false" customHeight="true" outlineLevel="0" collapsed="false"/>
    <row r="43497" customFormat="false" ht="15" hidden="false" customHeight="true" outlineLevel="0" collapsed="false"/>
    <row r="43498" customFormat="false" ht="15" hidden="false" customHeight="true" outlineLevel="0" collapsed="false"/>
    <row r="43499" customFormat="false" ht="15" hidden="false" customHeight="true" outlineLevel="0" collapsed="false"/>
    <row r="43500" customFormat="false" ht="15" hidden="false" customHeight="true" outlineLevel="0" collapsed="false"/>
    <row r="43501" customFormat="false" ht="15" hidden="false" customHeight="true" outlineLevel="0" collapsed="false"/>
    <row r="43502" customFormat="false" ht="15" hidden="false" customHeight="true" outlineLevel="0" collapsed="false"/>
    <row r="43503" customFormat="false" ht="15" hidden="false" customHeight="true" outlineLevel="0" collapsed="false"/>
    <row r="43504" customFormat="false" ht="15" hidden="false" customHeight="true" outlineLevel="0" collapsed="false"/>
    <row r="43505" customFormat="false" ht="15" hidden="false" customHeight="true" outlineLevel="0" collapsed="false"/>
    <row r="43506" customFormat="false" ht="15" hidden="false" customHeight="true" outlineLevel="0" collapsed="false"/>
    <row r="43507" customFormat="false" ht="15" hidden="false" customHeight="true" outlineLevel="0" collapsed="false"/>
    <row r="43508" customFormat="false" ht="15" hidden="false" customHeight="true" outlineLevel="0" collapsed="false"/>
    <row r="43509" customFormat="false" ht="15" hidden="false" customHeight="true" outlineLevel="0" collapsed="false"/>
    <row r="43510" customFormat="false" ht="15" hidden="false" customHeight="true" outlineLevel="0" collapsed="false"/>
    <row r="43511" customFormat="false" ht="15" hidden="false" customHeight="true" outlineLevel="0" collapsed="false"/>
    <row r="43512" customFormat="false" ht="15" hidden="false" customHeight="true" outlineLevel="0" collapsed="false"/>
    <row r="43513" customFormat="false" ht="15" hidden="false" customHeight="true" outlineLevel="0" collapsed="false"/>
    <row r="43514" customFormat="false" ht="15" hidden="false" customHeight="true" outlineLevel="0" collapsed="false"/>
    <row r="43515" customFormat="false" ht="15" hidden="false" customHeight="true" outlineLevel="0" collapsed="false"/>
    <row r="43516" customFormat="false" ht="15" hidden="false" customHeight="true" outlineLevel="0" collapsed="false"/>
    <row r="43517" customFormat="false" ht="15" hidden="false" customHeight="true" outlineLevel="0" collapsed="false"/>
    <row r="43518" customFormat="false" ht="15" hidden="false" customHeight="true" outlineLevel="0" collapsed="false"/>
    <row r="43519" customFormat="false" ht="15" hidden="false" customHeight="true" outlineLevel="0" collapsed="false"/>
    <row r="43520" customFormat="false" ht="15" hidden="false" customHeight="true" outlineLevel="0" collapsed="false"/>
    <row r="43521" customFormat="false" ht="15" hidden="false" customHeight="true" outlineLevel="0" collapsed="false"/>
    <row r="43522" customFormat="false" ht="15" hidden="false" customHeight="true" outlineLevel="0" collapsed="false"/>
    <row r="43523" customFormat="false" ht="15" hidden="false" customHeight="true" outlineLevel="0" collapsed="false"/>
    <row r="43524" customFormat="false" ht="15" hidden="false" customHeight="true" outlineLevel="0" collapsed="false"/>
    <row r="43525" customFormat="false" ht="15" hidden="false" customHeight="true" outlineLevel="0" collapsed="false"/>
    <row r="43526" customFormat="false" ht="15" hidden="false" customHeight="true" outlineLevel="0" collapsed="false"/>
    <row r="43527" customFormat="false" ht="15" hidden="false" customHeight="true" outlineLevel="0" collapsed="false"/>
    <row r="43528" customFormat="false" ht="15" hidden="false" customHeight="true" outlineLevel="0" collapsed="false"/>
    <row r="43529" customFormat="false" ht="15" hidden="false" customHeight="true" outlineLevel="0" collapsed="false"/>
    <row r="43530" customFormat="false" ht="15" hidden="false" customHeight="true" outlineLevel="0" collapsed="false"/>
    <row r="43531" customFormat="false" ht="15" hidden="false" customHeight="true" outlineLevel="0" collapsed="false"/>
    <row r="43532" customFormat="false" ht="15" hidden="false" customHeight="true" outlineLevel="0" collapsed="false"/>
    <row r="43533" customFormat="false" ht="15" hidden="false" customHeight="true" outlineLevel="0" collapsed="false"/>
    <row r="43534" customFormat="false" ht="15" hidden="false" customHeight="true" outlineLevel="0" collapsed="false"/>
    <row r="43535" customFormat="false" ht="15" hidden="false" customHeight="true" outlineLevel="0" collapsed="false"/>
    <row r="43536" customFormat="false" ht="15" hidden="false" customHeight="true" outlineLevel="0" collapsed="false"/>
    <row r="43537" customFormat="false" ht="15" hidden="false" customHeight="true" outlineLevel="0" collapsed="false"/>
    <row r="43538" customFormat="false" ht="15" hidden="false" customHeight="true" outlineLevel="0" collapsed="false"/>
    <row r="43539" customFormat="false" ht="15" hidden="false" customHeight="true" outlineLevel="0" collapsed="false"/>
    <row r="43540" customFormat="false" ht="15" hidden="false" customHeight="true" outlineLevel="0" collapsed="false"/>
    <row r="43541" customFormat="false" ht="15" hidden="false" customHeight="true" outlineLevel="0" collapsed="false"/>
    <row r="43542" customFormat="false" ht="15" hidden="false" customHeight="true" outlineLevel="0" collapsed="false"/>
    <row r="43543" customFormat="false" ht="15" hidden="false" customHeight="true" outlineLevel="0" collapsed="false"/>
    <row r="43544" customFormat="false" ht="15" hidden="false" customHeight="true" outlineLevel="0" collapsed="false"/>
    <row r="43545" customFormat="false" ht="15" hidden="false" customHeight="true" outlineLevel="0" collapsed="false"/>
    <row r="43546" customFormat="false" ht="15" hidden="false" customHeight="true" outlineLevel="0" collapsed="false"/>
    <row r="43547" customFormat="false" ht="15" hidden="false" customHeight="true" outlineLevel="0" collapsed="false"/>
    <row r="43548" customFormat="false" ht="15" hidden="false" customHeight="true" outlineLevel="0" collapsed="false"/>
    <row r="43549" customFormat="false" ht="15" hidden="false" customHeight="true" outlineLevel="0" collapsed="false"/>
    <row r="43550" customFormat="false" ht="15" hidden="false" customHeight="true" outlineLevel="0" collapsed="false"/>
    <row r="43551" customFormat="false" ht="15" hidden="false" customHeight="true" outlineLevel="0" collapsed="false"/>
    <row r="43552" customFormat="false" ht="15" hidden="false" customHeight="true" outlineLevel="0" collapsed="false"/>
    <row r="43553" customFormat="false" ht="15" hidden="false" customHeight="true" outlineLevel="0" collapsed="false"/>
    <row r="43554" customFormat="false" ht="15" hidden="false" customHeight="true" outlineLevel="0" collapsed="false"/>
    <row r="43555" customFormat="false" ht="15" hidden="false" customHeight="true" outlineLevel="0" collapsed="false"/>
    <row r="43556" customFormat="false" ht="15" hidden="false" customHeight="true" outlineLevel="0" collapsed="false"/>
    <row r="43557" customFormat="false" ht="15" hidden="false" customHeight="true" outlineLevel="0" collapsed="false"/>
    <row r="43558" customFormat="false" ht="15" hidden="false" customHeight="true" outlineLevel="0" collapsed="false"/>
    <row r="43559" customFormat="false" ht="15" hidden="false" customHeight="true" outlineLevel="0" collapsed="false"/>
    <row r="43560" customFormat="false" ht="15" hidden="false" customHeight="true" outlineLevel="0" collapsed="false"/>
    <row r="43561" customFormat="false" ht="15" hidden="false" customHeight="true" outlineLevel="0" collapsed="false"/>
    <row r="43562" customFormat="false" ht="15" hidden="false" customHeight="true" outlineLevel="0" collapsed="false"/>
    <row r="43563" customFormat="false" ht="15" hidden="false" customHeight="true" outlineLevel="0" collapsed="false"/>
    <row r="43564" customFormat="false" ht="15" hidden="false" customHeight="true" outlineLevel="0" collapsed="false"/>
    <row r="43565" customFormat="false" ht="15" hidden="false" customHeight="true" outlineLevel="0" collapsed="false"/>
    <row r="43566" customFormat="false" ht="15" hidden="false" customHeight="true" outlineLevel="0" collapsed="false"/>
    <row r="43567" customFormat="false" ht="15" hidden="false" customHeight="true" outlineLevel="0" collapsed="false"/>
    <row r="43568" customFormat="false" ht="15" hidden="false" customHeight="true" outlineLevel="0" collapsed="false"/>
    <row r="43569" customFormat="false" ht="15" hidden="false" customHeight="true" outlineLevel="0" collapsed="false"/>
    <row r="43570" customFormat="false" ht="15" hidden="false" customHeight="true" outlineLevel="0" collapsed="false"/>
    <row r="43571" customFormat="false" ht="15" hidden="false" customHeight="true" outlineLevel="0" collapsed="false"/>
    <row r="43572" customFormat="false" ht="15" hidden="false" customHeight="true" outlineLevel="0" collapsed="false"/>
    <row r="43573" customFormat="false" ht="15" hidden="false" customHeight="true" outlineLevel="0" collapsed="false"/>
    <row r="43574" customFormat="false" ht="15" hidden="false" customHeight="true" outlineLevel="0" collapsed="false"/>
    <row r="43575" customFormat="false" ht="15" hidden="false" customHeight="true" outlineLevel="0" collapsed="false"/>
    <row r="43576" customFormat="false" ht="15" hidden="false" customHeight="true" outlineLevel="0" collapsed="false"/>
    <row r="43577" customFormat="false" ht="15" hidden="false" customHeight="true" outlineLevel="0" collapsed="false"/>
    <row r="43578" customFormat="false" ht="15" hidden="false" customHeight="true" outlineLevel="0" collapsed="false"/>
    <row r="43579" customFormat="false" ht="15" hidden="false" customHeight="true" outlineLevel="0" collapsed="false"/>
    <row r="43580" customFormat="false" ht="15" hidden="false" customHeight="true" outlineLevel="0" collapsed="false"/>
    <row r="43581" customFormat="false" ht="15" hidden="false" customHeight="true" outlineLevel="0" collapsed="false"/>
    <row r="43582" customFormat="false" ht="15" hidden="false" customHeight="true" outlineLevel="0" collapsed="false"/>
    <row r="43583" customFormat="false" ht="15" hidden="false" customHeight="true" outlineLevel="0" collapsed="false"/>
    <row r="43584" customFormat="false" ht="15" hidden="false" customHeight="true" outlineLevel="0" collapsed="false"/>
    <row r="43585" customFormat="false" ht="15" hidden="false" customHeight="true" outlineLevel="0" collapsed="false"/>
    <row r="43586" customFormat="false" ht="15" hidden="false" customHeight="true" outlineLevel="0" collapsed="false"/>
    <row r="43587" customFormat="false" ht="15" hidden="false" customHeight="true" outlineLevel="0" collapsed="false"/>
    <row r="43588" customFormat="false" ht="15" hidden="false" customHeight="true" outlineLevel="0" collapsed="false"/>
    <row r="43589" customFormat="false" ht="15" hidden="false" customHeight="true" outlineLevel="0" collapsed="false"/>
    <row r="43590" customFormat="false" ht="15" hidden="false" customHeight="true" outlineLevel="0" collapsed="false"/>
    <row r="43591" customFormat="false" ht="15" hidden="false" customHeight="true" outlineLevel="0" collapsed="false"/>
    <row r="43592" customFormat="false" ht="15" hidden="false" customHeight="true" outlineLevel="0" collapsed="false"/>
    <row r="43593" customFormat="false" ht="15" hidden="false" customHeight="true" outlineLevel="0" collapsed="false"/>
    <row r="43594" customFormat="false" ht="15" hidden="false" customHeight="true" outlineLevel="0" collapsed="false"/>
    <row r="43595" customFormat="false" ht="15" hidden="false" customHeight="true" outlineLevel="0" collapsed="false"/>
    <row r="43596" customFormat="false" ht="15" hidden="false" customHeight="true" outlineLevel="0" collapsed="false"/>
    <row r="43597" customFormat="false" ht="15" hidden="false" customHeight="true" outlineLevel="0" collapsed="false"/>
    <row r="43598" customFormat="false" ht="15" hidden="false" customHeight="true" outlineLevel="0" collapsed="false"/>
    <row r="43599" customFormat="false" ht="15" hidden="false" customHeight="true" outlineLevel="0" collapsed="false"/>
    <row r="43600" customFormat="false" ht="15" hidden="false" customHeight="true" outlineLevel="0" collapsed="false"/>
    <row r="43601" customFormat="false" ht="15" hidden="false" customHeight="true" outlineLevel="0" collapsed="false"/>
    <row r="43602" customFormat="false" ht="15" hidden="false" customHeight="true" outlineLevel="0" collapsed="false"/>
    <row r="43603" customFormat="false" ht="15" hidden="false" customHeight="true" outlineLevel="0" collapsed="false"/>
    <row r="43604" customFormat="false" ht="15" hidden="false" customHeight="true" outlineLevel="0" collapsed="false"/>
    <row r="43605" customFormat="false" ht="15" hidden="false" customHeight="true" outlineLevel="0" collapsed="false"/>
    <row r="43606" customFormat="false" ht="15" hidden="false" customHeight="true" outlineLevel="0" collapsed="false"/>
    <row r="43607" customFormat="false" ht="15" hidden="false" customHeight="true" outlineLevel="0" collapsed="false"/>
    <row r="43608" customFormat="false" ht="15" hidden="false" customHeight="true" outlineLevel="0" collapsed="false"/>
    <row r="43609" customFormat="false" ht="15" hidden="false" customHeight="true" outlineLevel="0" collapsed="false"/>
    <row r="43610" customFormat="false" ht="15" hidden="false" customHeight="true" outlineLevel="0" collapsed="false"/>
    <row r="43611" customFormat="false" ht="15" hidden="false" customHeight="true" outlineLevel="0" collapsed="false"/>
    <row r="43612" customFormat="false" ht="15" hidden="false" customHeight="true" outlineLevel="0" collapsed="false"/>
    <row r="43613" customFormat="false" ht="15" hidden="false" customHeight="true" outlineLevel="0" collapsed="false"/>
    <row r="43614" customFormat="false" ht="15" hidden="false" customHeight="true" outlineLevel="0" collapsed="false"/>
    <row r="43615" customFormat="false" ht="15" hidden="false" customHeight="true" outlineLevel="0" collapsed="false"/>
    <row r="43616" customFormat="false" ht="15" hidden="false" customHeight="true" outlineLevel="0" collapsed="false"/>
    <row r="43617" customFormat="false" ht="15" hidden="false" customHeight="true" outlineLevel="0" collapsed="false"/>
    <row r="43618" customFormat="false" ht="15" hidden="false" customHeight="true" outlineLevel="0" collapsed="false"/>
    <row r="43619" customFormat="false" ht="15" hidden="false" customHeight="true" outlineLevel="0" collapsed="false"/>
    <row r="43620" customFormat="false" ht="15" hidden="false" customHeight="true" outlineLevel="0" collapsed="false"/>
    <row r="43621" customFormat="false" ht="15" hidden="false" customHeight="true" outlineLevel="0" collapsed="false"/>
    <row r="43622" customFormat="false" ht="15" hidden="false" customHeight="true" outlineLevel="0" collapsed="false"/>
    <row r="43623" customFormat="false" ht="15" hidden="false" customHeight="true" outlineLevel="0" collapsed="false"/>
    <row r="43624" customFormat="false" ht="15" hidden="false" customHeight="true" outlineLevel="0" collapsed="false"/>
    <row r="43625" customFormat="false" ht="15" hidden="false" customHeight="true" outlineLevel="0" collapsed="false"/>
    <row r="43626" customFormat="false" ht="15" hidden="false" customHeight="true" outlineLevel="0" collapsed="false"/>
    <row r="43627" customFormat="false" ht="15" hidden="false" customHeight="true" outlineLevel="0" collapsed="false"/>
    <row r="43628" customFormat="false" ht="15" hidden="false" customHeight="true" outlineLevel="0" collapsed="false"/>
    <row r="43629" customFormat="false" ht="15" hidden="false" customHeight="true" outlineLevel="0" collapsed="false"/>
    <row r="43630" customFormat="false" ht="15" hidden="false" customHeight="true" outlineLevel="0" collapsed="false"/>
    <row r="43631" customFormat="false" ht="15" hidden="false" customHeight="true" outlineLevel="0" collapsed="false"/>
    <row r="43632" customFormat="false" ht="15" hidden="false" customHeight="true" outlineLevel="0" collapsed="false"/>
    <row r="43633" customFormat="false" ht="15" hidden="false" customHeight="true" outlineLevel="0" collapsed="false"/>
    <row r="43634" customFormat="false" ht="15" hidden="false" customHeight="true" outlineLevel="0" collapsed="false"/>
    <row r="43635" customFormat="false" ht="15" hidden="false" customHeight="true" outlineLevel="0" collapsed="false"/>
    <row r="43636" customFormat="false" ht="15" hidden="false" customHeight="true" outlineLevel="0" collapsed="false"/>
    <row r="43637" customFormat="false" ht="15" hidden="false" customHeight="true" outlineLevel="0" collapsed="false"/>
    <row r="43638" customFormat="false" ht="15" hidden="false" customHeight="true" outlineLevel="0" collapsed="false"/>
    <row r="43639" customFormat="false" ht="15" hidden="false" customHeight="true" outlineLevel="0" collapsed="false"/>
    <row r="43640" customFormat="false" ht="15" hidden="false" customHeight="true" outlineLevel="0" collapsed="false"/>
    <row r="43641" customFormat="false" ht="15" hidden="false" customHeight="true" outlineLevel="0" collapsed="false"/>
    <row r="43642" customFormat="false" ht="15" hidden="false" customHeight="true" outlineLevel="0" collapsed="false"/>
    <row r="43643" customFormat="false" ht="15" hidden="false" customHeight="true" outlineLevel="0" collapsed="false"/>
    <row r="43644" customFormat="false" ht="15" hidden="false" customHeight="true" outlineLevel="0" collapsed="false"/>
    <row r="43645" customFormat="false" ht="15" hidden="false" customHeight="true" outlineLevel="0" collapsed="false"/>
    <row r="43646" customFormat="false" ht="15" hidden="false" customHeight="true" outlineLevel="0" collapsed="false"/>
    <row r="43647" customFormat="false" ht="15" hidden="false" customHeight="true" outlineLevel="0" collapsed="false"/>
    <row r="43648" customFormat="false" ht="15" hidden="false" customHeight="true" outlineLevel="0" collapsed="false"/>
    <row r="43649" customFormat="false" ht="15" hidden="false" customHeight="true" outlineLevel="0" collapsed="false"/>
    <row r="43650" customFormat="false" ht="15" hidden="false" customHeight="true" outlineLevel="0" collapsed="false"/>
    <row r="43651" customFormat="false" ht="15" hidden="false" customHeight="true" outlineLevel="0" collapsed="false"/>
    <row r="43652" customFormat="false" ht="15" hidden="false" customHeight="true" outlineLevel="0" collapsed="false"/>
    <row r="43653" customFormat="false" ht="15" hidden="false" customHeight="true" outlineLevel="0" collapsed="false"/>
    <row r="43654" customFormat="false" ht="15" hidden="false" customHeight="true" outlineLevel="0" collapsed="false"/>
    <row r="43655" customFormat="false" ht="15" hidden="false" customHeight="true" outlineLevel="0" collapsed="false"/>
    <row r="43656" customFormat="false" ht="15" hidden="false" customHeight="true" outlineLevel="0" collapsed="false"/>
    <row r="43657" customFormat="false" ht="15" hidden="false" customHeight="true" outlineLevel="0" collapsed="false"/>
    <row r="43658" customFormat="false" ht="15" hidden="false" customHeight="true" outlineLevel="0" collapsed="false"/>
    <row r="43659" customFormat="false" ht="15" hidden="false" customHeight="true" outlineLevel="0" collapsed="false"/>
    <row r="43660" customFormat="false" ht="15" hidden="false" customHeight="true" outlineLevel="0" collapsed="false"/>
    <row r="43661" customFormat="false" ht="15" hidden="false" customHeight="true" outlineLevel="0" collapsed="false"/>
    <row r="43662" customFormat="false" ht="15" hidden="false" customHeight="true" outlineLevel="0" collapsed="false"/>
    <row r="43663" customFormat="false" ht="15" hidden="false" customHeight="true" outlineLevel="0" collapsed="false"/>
    <row r="43664" customFormat="false" ht="15" hidden="false" customHeight="true" outlineLevel="0" collapsed="false"/>
    <row r="43665" customFormat="false" ht="15" hidden="false" customHeight="true" outlineLevel="0" collapsed="false"/>
    <row r="43666" customFormat="false" ht="15" hidden="false" customHeight="true" outlineLevel="0" collapsed="false"/>
    <row r="43667" customFormat="false" ht="15" hidden="false" customHeight="true" outlineLevel="0" collapsed="false"/>
    <row r="43668" customFormat="false" ht="15" hidden="false" customHeight="true" outlineLevel="0" collapsed="false"/>
    <row r="43669" customFormat="false" ht="15" hidden="false" customHeight="true" outlineLevel="0" collapsed="false"/>
    <row r="43670" customFormat="false" ht="15" hidden="false" customHeight="true" outlineLevel="0" collapsed="false"/>
    <row r="43671" customFormat="false" ht="15" hidden="false" customHeight="true" outlineLevel="0" collapsed="false"/>
    <row r="43672" customFormat="false" ht="15" hidden="false" customHeight="true" outlineLevel="0" collapsed="false"/>
    <row r="43673" customFormat="false" ht="15" hidden="false" customHeight="true" outlineLevel="0" collapsed="false"/>
    <row r="43674" customFormat="false" ht="15" hidden="false" customHeight="true" outlineLevel="0" collapsed="false"/>
    <row r="43675" customFormat="false" ht="15" hidden="false" customHeight="true" outlineLevel="0" collapsed="false"/>
    <row r="43676" customFormat="false" ht="15" hidden="false" customHeight="true" outlineLevel="0" collapsed="false"/>
    <row r="43677" customFormat="false" ht="15" hidden="false" customHeight="true" outlineLevel="0" collapsed="false"/>
    <row r="43678" customFormat="false" ht="15" hidden="false" customHeight="true" outlineLevel="0" collapsed="false"/>
    <row r="43679" customFormat="false" ht="15" hidden="false" customHeight="true" outlineLevel="0" collapsed="false"/>
    <row r="43680" customFormat="false" ht="15" hidden="false" customHeight="true" outlineLevel="0" collapsed="false"/>
    <row r="43681" customFormat="false" ht="15" hidden="false" customHeight="true" outlineLevel="0" collapsed="false"/>
    <row r="43682" customFormat="false" ht="15" hidden="false" customHeight="true" outlineLevel="0" collapsed="false"/>
    <row r="43683" customFormat="false" ht="15" hidden="false" customHeight="true" outlineLevel="0" collapsed="false"/>
    <row r="43684" customFormat="false" ht="15" hidden="false" customHeight="true" outlineLevel="0" collapsed="false"/>
    <row r="43685" customFormat="false" ht="15" hidden="false" customHeight="true" outlineLevel="0" collapsed="false"/>
    <row r="43686" customFormat="false" ht="15" hidden="false" customHeight="true" outlineLevel="0" collapsed="false"/>
    <row r="43687" customFormat="false" ht="15" hidden="false" customHeight="true" outlineLevel="0" collapsed="false"/>
    <row r="43688" customFormat="false" ht="15" hidden="false" customHeight="true" outlineLevel="0" collapsed="false"/>
    <row r="43689" customFormat="false" ht="15" hidden="false" customHeight="true" outlineLevel="0" collapsed="false"/>
    <row r="43690" customFormat="false" ht="15" hidden="false" customHeight="true" outlineLevel="0" collapsed="false"/>
    <row r="43691" customFormat="false" ht="15" hidden="false" customHeight="true" outlineLevel="0" collapsed="false"/>
    <row r="43692" customFormat="false" ht="15" hidden="false" customHeight="true" outlineLevel="0" collapsed="false"/>
    <row r="43693" customFormat="false" ht="15" hidden="false" customHeight="true" outlineLevel="0" collapsed="false"/>
    <row r="43694" customFormat="false" ht="15" hidden="false" customHeight="true" outlineLevel="0" collapsed="false"/>
    <row r="43695" customFormat="false" ht="15" hidden="false" customHeight="true" outlineLevel="0" collapsed="false"/>
    <row r="43696" customFormat="false" ht="15" hidden="false" customHeight="true" outlineLevel="0" collapsed="false"/>
    <row r="43697" customFormat="false" ht="15" hidden="false" customHeight="true" outlineLevel="0" collapsed="false"/>
    <row r="43698" customFormat="false" ht="15" hidden="false" customHeight="true" outlineLevel="0" collapsed="false"/>
    <row r="43699" customFormat="false" ht="15" hidden="false" customHeight="true" outlineLevel="0" collapsed="false"/>
    <row r="43700" customFormat="false" ht="15" hidden="false" customHeight="true" outlineLevel="0" collapsed="false"/>
    <row r="43701" customFormat="false" ht="15" hidden="false" customHeight="true" outlineLevel="0" collapsed="false"/>
    <row r="43702" customFormat="false" ht="15" hidden="false" customHeight="true" outlineLevel="0" collapsed="false"/>
    <row r="43703" customFormat="false" ht="15" hidden="false" customHeight="true" outlineLevel="0" collapsed="false"/>
    <row r="43704" customFormat="false" ht="15" hidden="false" customHeight="true" outlineLevel="0" collapsed="false"/>
    <row r="43705" customFormat="false" ht="15" hidden="false" customHeight="true" outlineLevel="0" collapsed="false"/>
    <row r="43706" customFormat="false" ht="15" hidden="false" customHeight="true" outlineLevel="0" collapsed="false"/>
    <row r="43707" customFormat="false" ht="15" hidden="false" customHeight="true" outlineLevel="0" collapsed="false"/>
    <row r="43708" customFormat="false" ht="15" hidden="false" customHeight="true" outlineLevel="0" collapsed="false"/>
    <row r="43709" customFormat="false" ht="15" hidden="false" customHeight="true" outlineLevel="0" collapsed="false"/>
    <row r="43710" customFormat="false" ht="15" hidden="false" customHeight="true" outlineLevel="0" collapsed="false"/>
    <row r="43711" customFormat="false" ht="15" hidden="false" customHeight="true" outlineLevel="0" collapsed="false"/>
    <row r="43712" customFormat="false" ht="15" hidden="false" customHeight="true" outlineLevel="0" collapsed="false"/>
    <row r="43713" customFormat="false" ht="15" hidden="false" customHeight="true" outlineLevel="0" collapsed="false"/>
    <row r="43714" customFormat="false" ht="15" hidden="false" customHeight="true" outlineLevel="0" collapsed="false"/>
    <row r="43715" customFormat="false" ht="15" hidden="false" customHeight="true" outlineLevel="0" collapsed="false"/>
    <row r="43716" customFormat="false" ht="15" hidden="false" customHeight="true" outlineLevel="0" collapsed="false"/>
    <row r="43717" customFormat="false" ht="15" hidden="false" customHeight="true" outlineLevel="0" collapsed="false"/>
    <row r="43718" customFormat="false" ht="15" hidden="false" customHeight="true" outlineLevel="0" collapsed="false"/>
    <row r="43719" customFormat="false" ht="15" hidden="false" customHeight="true" outlineLevel="0" collapsed="false"/>
    <row r="43720" customFormat="false" ht="15" hidden="false" customHeight="true" outlineLevel="0" collapsed="false"/>
    <row r="43721" customFormat="false" ht="15" hidden="false" customHeight="true" outlineLevel="0" collapsed="false"/>
    <row r="43722" customFormat="false" ht="15" hidden="false" customHeight="true" outlineLevel="0" collapsed="false"/>
    <row r="43723" customFormat="false" ht="15" hidden="false" customHeight="true" outlineLevel="0" collapsed="false"/>
    <row r="43724" customFormat="false" ht="15" hidden="false" customHeight="true" outlineLevel="0" collapsed="false"/>
    <row r="43725" customFormat="false" ht="15" hidden="false" customHeight="true" outlineLevel="0" collapsed="false"/>
    <row r="43726" customFormat="false" ht="15" hidden="false" customHeight="true" outlineLevel="0" collapsed="false"/>
    <row r="43727" customFormat="false" ht="15" hidden="false" customHeight="true" outlineLevel="0" collapsed="false"/>
    <row r="43728" customFormat="false" ht="15" hidden="false" customHeight="true" outlineLevel="0" collapsed="false"/>
    <row r="43729" customFormat="false" ht="15" hidden="false" customHeight="true" outlineLevel="0" collapsed="false"/>
    <row r="43730" customFormat="false" ht="15" hidden="false" customHeight="true" outlineLevel="0" collapsed="false"/>
    <row r="43731" customFormat="false" ht="15" hidden="false" customHeight="true" outlineLevel="0" collapsed="false"/>
    <row r="43732" customFormat="false" ht="15" hidden="false" customHeight="true" outlineLevel="0" collapsed="false"/>
    <row r="43733" customFormat="false" ht="15" hidden="false" customHeight="true" outlineLevel="0" collapsed="false"/>
    <row r="43734" customFormat="false" ht="15" hidden="false" customHeight="true" outlineLevel="0" collapsed="false"/>
    <row r="43735" customFormat="false" ht="15" hidden="false" customHeight="true" outlineLevel="0" collapsed="false"/>
    <row r="43736" customFormat="false" ht="15" hidden="false" customHeight="true" outlineLevel="0" collapsed="false"/>
    <row r="43737" customFormat="false" ht="15" hidden="false" customHeight="true" outlineLevel="0" collapsed="false"/>
    <row r="43738" customFormat="false" ht="15" hidden="false" customHeight="true" outlineLevel="0" collapsed="false"/>
    <row r="43739" customFormat="false" ht="15" hidden="false" customHeight="true" outlineLevel="0" collapsed="false"/>
    <row r="43740" customFormat="false" ht="15" hidden="false" customHeight="true" outlineLevel="0" collapsed="false"/>
    <row r="43741" customFormat="false" ht="15" hidden="false" customHeight="true" outlineLevel="0" collapsed="false"/>
    <row r="43742" customFormat="false" ht="15" hidden="false" customHeight="true" outlineLevel="0" collapsed="false"/>
    <row r="43743" customFormat="false" ht="15" hidden="false" customHeight="true" outlineLevel="0" collapsed="false"/>
    <row r="43744" customFormat="false" ht="15" hidden="false" customHeight="true" outlineLevel="0" collapsed="false"/>
    <row r="43745" customFormat="false" ht="15" hidden="false" customHeight="true" outlineLevel="0" collapsed="false"/>
    <row r="43746" customFormat="false" ht="15" hidden="false" customHeight="true" outlineLevel="0" collapsed="false"/>
    <row r="43747" customFormat="false" ht="15" hidden="false" customHeight="true" outlineLevel="0" collapsed="false"/>
    <row r="43748" customFormat="false" ht="15" hidden="false" customHeight="true" outlineLevel="0" collapsed="false"/>
    <row r="43749" customFormat="false" ht="15" hidden="false" customHeight="true" outlineLevel="0" collapsed="false"/>
    <row r="43750" customFormat="false" ht="15" hidden="false" customHeight="true" outlineLevel="0" collapsed="false"/>
    <row r="43751" customFormat="false" ht="15" hidden="false" customHeight="true" outlineLevel="0" collapsed="false"/>
    <row r="43752" customFormat="false" ht="15" hidden="false" customHeight="true" outlineLevel="0" collapsed="false"/>
    <row r="43753" customFormat="false" ht="15" hidden="false" customHeight="true" outlineLevel="0" collapsed="false"/>
    <row r="43754" customFormat="false" ht="15" hidden="false" customHeight="true" outlineLevel="0" collapsed="false"/>
    <row r="43755" customFormat="false" ht="15" hidden="false" customHeight="true" outlineLevel="0" collapsed="false"/>
    <row r="43756" customFormat="false" ht="15" hidden="false" customHeight="true" outlineLevel="0" collapsed="false"/>
    <row r="43757" customFormat="false" ht="15" hidden="false" customHeight="true" outlineLevel="0" collapsed="false"/>
    <row r="43758" customFormat="false" ht="15" hidden="false" customHeight="true" outlineLevel="0" collapsed="false"/>
    <row r="43759" customFormat="false" ht="15" hidden="false" customHeight="true" outlineLevel="0" collapsed="false"/>
    <row r="43760" customFormat="false" ht="15" hidden="false" customHeight="true" outlineLevel="0" collapsed="false"/>
    <row r="43761" customFormat="false" ht="15" hidden="false" customHeight="true" outlineLevel="0" collapsed="false"/>
    <row r="43762" customFormat="false" ht="15" hidden="false" customHeight="true" outlineLevel="0" collapsed="false"/>
    <row r="43763" customFormat="false" ht="15" hidden="false" customHeight="true" outlineLevel="0" collapsed="false"/>
    <row r="43764" customFormat="false" ht="15" hidden="false" customHeight="true" outlineLevel="0" collapsed="false"/>
    <row r="43765" customFormat="false" ht="15" hidden="false" customHeight="true" outlineLevel="0" collapsed="false"/>
    <row r="43766" customFormat="false" ht="15" hidden="false" customHeight="true" outlineLevel="0" collapsed="false"/>
    <row r="43767" customFormat="false" ht="15" hidden="false" customHeight="true" outlineLevel="0" collapsed="false"/>
    <row r="43768" customFormat="false" ht="15" hidden="false" customHeight="true" outlineLevel="0" collapsed="false"/>
    <row r="43769" customFormat="false" ht="15" hidden="false" customHeight="true" outlineLevel="0" collapsed="false"/>
    <row r="43770" customFormat="false" ht="15" hidden="false" customHeight="true" outlineLevel="0" collapsed="false"/>
    <row r="43771" customFormat="false" ht="15" hidden="false" customHeight="true" outlineLevel="0" collapsed="false"/>
    <row r="43772" customFormat="false" ht="15" hidden="false" customHeight="true" outlineLevel="0" collapsed="false"/>
    <row r="43773" customFormat="false" ht="15" hidden="false" customHeight="true" outlineLevel="0" collapsed="false"/>
    <row r="43774" customFormat="false" ht="15" hidden="false" customHeight="true" outlineLevel="0" collapsed="false"/>
    <row r="43775" customFormat="false" ht="15" hidden="false" customHeight="true" outlineLevel="0" collapsed="false"/>
    <row r="43776" customFormat="false" ht="15" hidden="false" customHeight="true" outlineLevel="0" collapsed="false"/>
    <row r="43777" customFormat="false" ht="15" hidden="false" customHeight="true" outlineLevel="0" collapsed="false"/>
    <row r="43778" customFormat="false" ht="15" hidden="false" customHeight="true" outlineLevel="0" collapsed="false"/>
    <row r="43779" customFormat="false" ht="15" hidden="false" customHeight="true" outlineLevel="0" collapsed="false"/>
    <row r="43780" customFormat="false" ht="15" hidden="false" customHeight="true" outlineLevel="0" collapsed="false"/>
    <row r="43781" customFormat="false" ht="15" hidden="false" customHeight="true" outlineLevel="0" collapsed="false"/>
    <row r="43782" customFormat="false" ht="15" hidden="false" customHeight="true" outlineLevel="0" collapsed="false"/>
    <row r="43783" customFormat="false" ht="15" hidden="false" customHeight="true" outlineLevel="0" collapsed="false"/>
    <row r="43784" customFormat="false" ht="15" hidden="false" customHeight="true" outlineLevel="0" collapsed="false"/>
    <row r="43785" customFormat="false" ht="15" hidden="false" customHeight="true" outlineLevel="0" collapsed="false"/>
    <row r="43786" customFormat="false" ht="15" hidden="false" customHeight="true" outlineLevel="0" collapsed="false"/>
    <row r="43787" customFormat="false" ht="15" hidden="false" customHeight="true" outlineLevel="0" collapsed="false"/>
    <row r="43788" customFormat="false" ht="15" hidden="false" customHeight="true" outlineLevel="0" collapsed="false"/>
    <row r="43789" customFormat="false" ht="15" hidden="false" customHeight="true" outlineLevel="0" collapsed="false"/>
    <row r="43790" customFormat="false" ht="15" hidden="false" customHeight="true" outlineLevel="0" collapsed="false"/>
    <row r="43791" customFormat="false" ht="15" hidden="false" customHeight="true" outlineLevel="0" collapsed="false"/>
    <row r="43792" customFormat="false" ht="15" hidden="false" customHeight="true" outlineLevel="0" collapsed="false"/>
    <row r="43793" customFormat="false" ht="15" hidden="false" customHeight="true" outlineLevel="0" collapsed="false"/>
    <row r="43794" customFormat="false" ht="15" hidden="false" customHeight="true" outlineLevel="0" collapsed="false"/>
    <row r="43795" customFormat="false" ht="15" hidden="false" customHeight="true" outlineLevel="0" collapsed="false"/>
    <row r="43796" customFormat="false" ht="15" hidden="false" customHeight="true" outlineLevel="0" collapsed="false"/>
    <row r="43797" customFormat="false" ht="15" hidden="false" customHeight="true" outlineLevel="0" collapsed="false"/>
    <row r="43798" customFormat="false" ht="15" hidden="false" customHeight="true" outlineLevel="0" collapsed="false"/>
    <row r="43799" customFormat="false" ht="15" hidden="false" customHeight="true" outlineLevel="0" collapsed="false"/>
    <row r="43800" customFormat="false" ht="15" hidden="false" customHeight="true" outlineLevel="0" collapsed="false"/>
    <row r="43801" customFormat="false" ht="15" hidden="false" customHeight="true" outlineLevel="0" collapsed="false"/>
    <row r="43802" customFormat="false" ht="15" hidden="false" customHeight="true" outlineLevel="0" collapsed="false"/>
    <row r="43803" customFormat="false" ht="15" hidden="false" customHeight="true" outlineLevel="0" collapsed="false"/>
    <row r="43804" customFormat="false" ht="15" hidden="false" customHeight="true" outlineLevel="0" collapsed="false"/>
    <row r="43805" customFormat="false" ht="15" hidden="false" customHeight="true" outlineLevel="0" collapsed="false"/>
    <row r="43806" customFormat="false" ht="15" hidden="false" customHeight="true" outlineLevel="0" collapsed="false"/>
    <row r="43807" customFormat="false" ht="15" hidden="false" customHeight="true" outlineLevel="0" collapsed="false"/>
    <row r="43808" customFormat="false" ht="15" hidden="false" customHeight="true" outlineLevel="0" collapsed="false"/>
    <row r="43809" customFormat="false" ht="15" hidden="false" customHeight="true" outlineLevel="0" collapsed="false"/>
    <row r="43810" customFormat="false" ht="15" hidden="false" customHeight="true" outlineLevel="0" collapsed="false"/>
    <row r="43811" customFormat="false" ht="15" hidden="false" customHeight="true" outlineLevel="0" collapsed="false"/>
    <row r="43812" customFormat="false" ht="15" hidden="false" customHeight="true" outlineLevel="0" collapsed="false"/>
    <row r="43813" customFormat="false" ht="15" hidden="false" customHeight="true" outlineLevel="0" collapsed="false"/>
    <row r="43814" customFormat="false" ht="15" hidden="false" customHeight="true" outlineLevel="0" collapsed="false"/>
    <row r="43815" customFormat="false" ht="15" hidden="false" customHeight="true" outlineLevel="0" collapsed="false"/>
    <row r="43816" customFormat="false" ht="15" hidden="false" customHeight="true" outlineLevel="0" collapsed="false"/>
    <row r="43817" customFormat="false" ht="15" hidden="false" customHeight="true" outlineLevel="0" collapsed="false"/>
    <row r="43818" customFormat="false" ht="15" hidden="false" customHeight="true" outlineLevel="0" collapsed="false"/>
    <row r="43819" customFormat="false" ht="15" hidden="false" customHeight="true" outlineLevel="0" collapsed="false"/>
    <row r="43820" customFormat="false" ht="15" hidden="false" customHeight="true" outlineLevel="0" collapsed="false"/>
    <row r="43821" customFormat="false" ht="15" hidden="false" customHeight="true" outlineLevel="0" collapsed="false"/>
    <row r="43822" customFormat="false" ht="15" hidden="false" customHeight="true" outlineLevel="0" collapsed="false"/>
    <row r="43823" customFormat="false" ht="15" hidden="false" customHeight="true" outlineLevel="0" collapsed="false"/>
    <row r="43824" customFormat="false" ht="15" hidden="false" customHeight="true" outlineLevel="0" collapsed="false"/>
    <row r="43825" customFormat="false" ht="15" hidden="false" customHeight="true" outlineLevel="0" collapsed="false"/>
    <row r="43826" customFormat="false" ht="15" hidden="false" customHeight="true" outlineLevel="0" collapsed="false"/>
    <row r="43827" customFormat="false" ht="15" hidden="false" customHeight="true" outlineLevel="0" collapsed="false"/>
    <row r="43828" customFormat="false" ht="15" hidden="false" customHeight="true" outlineLevel="0" collapsed="false"/>
    <row r="43829" customFormat="false" ht="15" hidden="false" customHeight="true" outlineLevel="0" collapsed="false"/>
    <row r="43830" customFormat="false" ht="15" hidden="false" customHeight="true" outlineLevel="0" collapsed="false"/>
    <row r="43831" customFormat="false" ht="15" hidden="false" customHeight="true" outlineLevel="0" collapsed="false"/>
    <row r="43832" customFormat="false" ht="15" hidden="false" customHeight="true" outlineLevel="0" collapsed="false"/>
    <row r="43833" customFormat="false" ht="15" hidden="false" customHeight="true" outlineLevel="0" collapsed="false"/>
    <row r="43834" customFormat="false" ht="15" hidden="false" customHeight="true" outlineLevel="0" collapsed="false"/>
    <row r="43835" customFormat="false" ht="15" hidden="false" customHeight="true" outlineLevel="0" collapsed="false"/>
    <row r="43836" customFormat="false" ht="15" hidden="false" customHeight="true" outlineLevel="0" collapsed="false"/>
    <row r="43837" customFormat="false" ht="15" hidden="false" customHeight="true" outlineLevel="0" collapsed="false"/>
    <row r="43838" customFormat="false" ht="15" hidden="false" customHeight="true" outlineLevel="0" collapsed="false"/>
    <row r="43839" customFormat="false" ht="15" hidden="false" customHeight="true" outlineLevel="0" collapsed="false"/>
    <row r="43840" customFormat="false" ht="15" hidden="false" customHeight="true" outlineLevel="0" collapsed="false"/>
    <row r="43841" customFormat="false" ht="15" hidden="false" customHeight="true" outlineLevel="0" collapsed="false"/>
    <row r="43842" customFormat="false" ht="15" hidden="false" customHeight="true" outlineLevel="0" collapsed="false"/>
    <row r="43843" customFormat="false" ht="15" hidden="false" customHeight="true" outlineLevel="0" collapsed="false"/>
    <row r="43844" customFormat="false" ht="15" hidden="false" customHeight="true" outlineLevel="0" collapsed="false"/>
    <row r="43845" customFormat="false" ht="15" hidden="false" customHeight="true" outlineLevel="0" collapsed="false"/>
    <row r="43846" customFormat="false" ht="15" hidden="false" customHeight="true" outlineLevel="0" collapsed="false"/>
    <row r="43847" customFormat="false" ht="15" hidden="false" customHeight="true" outlineLevel="0" collapsed="false"/>
    <row r="43848" customFormat="false" ht="15" hidden="false" customHeight="true" outlineLevel="0" collapsed="false"/>
    <row r="43849" customFormat="false" ht="15" hidden="false" customHeight="true" outlineLevel="0" collapsed="false"/>
    <row r="43850" customFormat="false" ht="15" hidden="false" customHeight="true" outlineLevel="0" collapsed="false"/>
    <row r="43851" customFormat="false" ht="15" hidden="false" customHeight="true" outlineLevel="0" collapsed="false"/>
    <row r="43852" customFormat="false" ht="15" hidden="false" customHeight="true" outlineLevel="0" collapsed="false"/>
    <row r="43853" customFormat="false" ht="15" hidden="false" customHeight="true" outlineLevel="0" collapsed="false"/>
    <row r="43854" customFormat="false" ht="15" hidden="false" customHeight="true" outlineLevel="0" collapsed="false"/>
    <row r="43855" customFormat="false" ht="15" hidden="false" customHeight="true" outlineLevel="0" collapsed="false"/>
    <row r="43856" customFormat="false" ht="15" hidden="false" customHeight="true" outlineLevel="0" collapsed="false"/>
    <row r="43857" customFormat="false" ht="15" hidden="false" customHeight="true" outlineLevel="0" collapsed="false"/>
    <row r="43858" customFormat="false" ht="15" hidden="false" customHeight="true" outlineLevel="0" collapsed="false"/>
    <row r="43859" customFormat="false" ht="15" hidden="false" customHeight="true" outlineLevel="0" collapsed="false"/>
    <row r="43860" customFormat="false" ht="15" hidden="false" customHeight="true" outlineLevel="0" collapsed="false"/>
    <row r="43861" customFormat="false" ht="15" hidden="false" customHeight="true" outlineLevel="0" collapsed="false"/>
    <row r="43862" customFormat="false" ht="15" hidden="false" customHeight="true" outlineLevel="0" collapsed="false"/>
    <row r="43863" customFormat="false" ht="15" hidden="false" customHeight="true" outlineLevel="0" collapsed="false"/>
    <row r="43864" customFormat="false" ht="15" hidden="false" customHeight="true" outlineLevel="0" collapsed="false"/>
    <row r="43865" customFormat="false" ht="15" hidden="false" customHeight="true" outlineLevel="0" collapsed="false"/>
    <row r="43866" customFormat="false" ht="15" hidden="false" customHeight="true" outlineLevel="0" collapsed="false"/>
    <row r="43867" customFormat="false" ht="15" hidden="false" customHeight="true" outlineLevel="0" collapsed="false"/>
    <row r="43868" customFormat="false" ht="15" hidden="false" customHeight="true" outlineLevel="0" collapsed="false"/>
    <row r="43869" customFormat="false" ht="15" hidden="false" customHeight="true" outlineLevel="0" collapsed="false"/>
    <row r="43870" customFormat="false" ht="15" hidden="false" customHeight="true" outlineLevel="0" collapsed="false"/>
    <row r="43871" customFormat="false" ht="15" hidden="false" customHeight="true" outlineLevel="0" collapsed="false"/>
    <row r="43872" customFormat="false" ht="15" hidden="false" customHeight="true" outlineLevel="0" collapsed="false"/>
    <row r="43873" customFormat="false" ht="15" hidden="false" customHeight="true" outlineLevel="0" collapsed="false"/>
    <row r="43874" customFormat="false" ht="15" hidden="false" customHeight="true" outlineLevel="0" collapsed="false"/>
    <row r="43875" customFormat="false" ht="15" hidden="false" customHeight="true" outlineLevel="0" collapsed="false"/>
    <row r="43876" customFormat="false" ht="15" hidden="false" customHeight="true" outlineLevel="0" collapsed="false"/>
    <row r="43877" customFormat="false" ht="15" hidden="false" customHeight="true" outlineLevel="0" collapsed="false"/>
    <row r="43878" customFormat="false" ht="15" hidden="false" customHeight="true" outlineLevel="0" collapsed="false"/>
    <row r="43879" customFormat="false" ht="15" hidden="false" customHeight="true" outlineLevel="0" collapsed="false"/>
    <row r="43880" customFormat="false" ht="15" hidden="false" customHeight="true" outlineLevel="0" collapsed="false"/>
    <row r="43881" customFormat="false" ht="15" hidden="false" customHeight="true" outlineLevel="0" collapsed="false"/>
    <row r="43882" customFormat="false" ht="15" hidden="false" customHeight="true" outlineLevel="0" collapsed="false"/>
    <row r="43883" customFormat="false" ht="15" hidden="false" customHeight="true" outlineLevel="0" collapsed="false"/>
    <row r="43884" customFormat="false" ht="15" hidden="false" customHeight="true" outlineLevel="0" collapsed="false"/>
    <row r="43885" customFormat="false" ht="15" hidden="false" customHeight="true" outlineLevel="0" collapsed="false"/>
    <row r="43886" customFormat="false" ht="15" hidden="false" customHeight="true" outlineLevel="0" collapsed="false"/>
    <row r="43887" customFormat="false" ht="15" hidden="false" customHeight="true" outlineLevel="0" collapsed="false"/>
    <row r="43888" customFormat="false" ht="15" hidden="false" customHeight="true" outlineLevel="0" collapsed="false"/>
    <row r="43889" customFormat="false" ht="15" hidden="false" customHeight="true" outlineLevel="0" collapsed="false"/>
    <row r="43890" customFormat="false" ht="15" hidden="false" customHeight="true" outlineLevel="0" collapsed="false"/>
    <row r="43891" customFormat="false" ht="15" hidden="false" customHeight="true" outlineLevel="0" collapsed="false"/>
    <row r="43892" customFormat="false" ht="15" hidden="false" customHeight="true" outlineLevel="0" collapsed="false"/>
    <row r="43893" customFormat="false" ht="15" hidden="false" customHeight="true" outlineLevel="0" collapsed="false"/>
    <row r="43894" customFormat="false" ht="15" hidden="false" customHeight="true" outlineLevel="0" collapsed="false"/>
    <row r="43895" customFormat="false" ht="15" hidden="false" customHeight="true" outlineLevel="0" collapsed="false"/>
    <row r="43896" customFormat="false" ht="15" hidden="false" customHeight="true" outlineLevel="0" collapsed="false"/>
    <row r="43897" customFormat="false" ht="15" hidden="false" customHeight="true" outlineLevel="0" collapsed="false"/>
    <row r="43898" customFormat="false" ht="15" hidden="false" customHeight="true" outlineLevel="0" collapsed="false"/>
    <row r="43899" customFormat="false" ht="15" hidden="false" customHeight="true" outlineLevel="0" collapsed="false"/>
    <row r="43900" customFormat="false" ht="15" hidden="false" customHeight="true" outlineLevel="0" collapsed="false"/>
    <row r="43901" customFormat="false" ht="15" hidden="false" customHeight="true" outlineLevel="0" collapsed="false"/>
    <row r="43902" customFormat="false" ht="15" hidden="false" customHeight="true" outlineLevel="0" collapsed="false"/>
    <row r="43903" customFormat="false" ht="15" hidden="false" customHeight="true" outlineLevel="0" collapsed="false"/>
    <row r="43904" customFormat="false" ht="15" hidden="false" customHeight="true" outlineLevel="0" collapsed="false"/>
    <row r="43905" customFormat="false" ht="15" hidden="false" customHeight="true" outlineLevel="0" collapsed="false"/>
    <row r="43906" customFormat="false" ht="15" hidden="false" customHeight="true" outlineLevel="0" collapsed="false"/>
    <row r="43907" customFormat="false" ht="15" hidden="false" customHeight="true" outlineLevel="0" collapsed="false"/>
    <row r="43908" customFormat="false" ht="15" hidden="false" customHeight="true" outlineLevel="0" collapsed="false"/>
    <row r="43909" customFormat="false" ht="15" hidden="false" customHeight="true" outlineLevel="0" collapsed="false"/>
    <row r="43910" customFormat="false" ht="15" hidden="false" customHeight="true" outlineLevel="0" collapsed="false"/>
    <row r="43911" customFormat="false" ht="15" hidden="false" customHeight="true" outlineLevel="0" collapsed="false"/>
    <row r="43912" customFormat="false" ht="15" hidden="false" customHeight="true" outlineLevel="0" collapsed="false"/>
    <row r="43913" customFormat="false" ht="15" hidden="false" customHeight="true" outlineLevel="0" collapsed="false"/>
    <row r="43914" customFormat="false" ht="15" hidden="false" customHeight="true" outlineLevel="0" collapsed="false"/>
    <row r="43915" customFormat="false" ht="15" hidden="false" customHeight="true" outlineLevel="0" collapsed="false"/>
    <row r="43916" customFormat="false" ht="15" hidden="false" customHeight="true" outlineLevel="0" collapsed="false"/>
    <row r="43917" customFormat="false" ht="15" hidden="false" customHeight="true" outlineLevel="0" collapsed="false"/>
    <row r="43918" customFormat="false" ht="15" hidden="false" customHeight="true" outlineLevel="0" collapsed="false"/>
    <row r="43919" customFormat="false" ht="15" hidden="false" customHeight="true" outlineLevel="0" collapsed="false"/>
    <row r="43920" customFormat="false" ht="15" hidden="false" customHeight="true" outlineLevel="0" collapsed="false"/>
    <row r="43921" customFormat="false" ht="15" hidden="false" customHeight="true" outlineLevel="0" collapsed="false"/>
    <row r="43922" customFormat="false" ht="15" hidden="false" customHeight="true" outlineLevel="0" collapsed="false"/>
    <row r="43923" customFormat="false" ht="15" hidden="false" customHeight="true" outlineLevel="0" collapsed="false"/>
    <row r="43924" customFormat="false" ht="15" hidden="false" customHeight="true" outlineLevel="0" collapsed="false"/>
    <row r="43925" customFormat="false" ht="15" hidden="false" customHeight="true" outlineLevel="0" collapsed="false"/>
    <row r="43926" customFormat="false" ht="15" hidden="false" customHeight="true" outlineLevel="0" collapsed="false"/>
    <row r="43927" customFormat="false" ht="15" hidden="false" customHeight="true" outlineLevel="0" collapsed="false"/>
    <row r="43928" customFormat="false" ht="15" hidden="false" customHeight="true" outlineLevel="0" collapsed="false"/>
    <row r="43929" customFormat="false" ht="15" hidden="false" customHeight="true" outlineLevel="0" collapsed="false"/>
    <row r="43930" customFormat="false" ht="15" hidden="false" customHeight="true" outlineLevel="0" collapsed="false"/>
    <row r="43931" customFormat="false" ht="15" hidden="false" customHeight="true" outlineLevel="0" collapsed="false"/>
    <row r="43932" customFormat="false" ht="15" hidden="false" customHeight="true" outlineLevel="0" collapsed="false"/>
    <row r="43933" customFormat="false" ht="15" hidden="false" customHeight="true" outlineLevel="0" collapsed="false"/>
    <row r="43934" customFormat="false" ht="15" hidden="false" customHeight="true" outlineLevel="0" collapsed="false"/>
    <row r="43935" customFormat="false" ht="15" hidden="false" customHeight="true" outlineLevel="0" collapsed="false"/>
    <row r="43936" customFormat="false" ht="15" hidden="false" customHeight="true" outlineLevel="0" collapsed="false"/>
    <row r="43937" customFormat="false" ht="15" hidden="false" customHeight="true" outlineLevel="0" collapsed="false"/>
    <row r="43938" customFormat="false" ht="15" hidden="false" customHeight="true" outlineLevel="0" collapsed="false"/>
    <row r="43939" customFormat="false" ht="15" hidden="false" customHeight="true" outlineLevel="0" collapsed="false"/>
    <row r="43940" customFormat="false" ht="15" hidden="false" customHeight="true" outlineLevel="0" collapsed="false"/>
    <row r="43941" customFormat="false" ht="15" hidden="false" customHeight="true" outlineLevel="0" collapsed="false"/>
    <row r="43942" customFormat="false" ht="15" hidden="false" customHeight="true" outlineLevel="0" collapsed="false"/>
    <row r="43943" customFormat="false" ht="15" hidden="false" customHeight="true" outlineLevel="0" collapsed="false"/>
    <row r="43944" customFormat="false" ht="15" hidden="false" customHeight="true" outlineLevel="0" collapsed="false"/>
    <row r="43945" customFormat="false" ht="15" hidden="false" customHeight="true" outlineLevel="0" collapsed="false"/>
    <row r="43946" customFormat="false" ht="15" hidden="false" customHeight="true" outlineLevel="0" collapsed="false"/>
    <row r="43947" customFormat="false" ht="15" hidden="false" customHeight="true" outlineLevel="0" collapsed="false"/>
    <row r="43948" customFormat="false" ht="15" hidden="false" customHeight="true" outlineLevel="0" collapsed="false"/>
    <row r="43949" customFormat="false" ht="15" hidden="false" customHeight="true" outlineLevel="0" collapsed="false"/>
    <row r="43950" customFormat="false" ht="15" hidden="false" customHeight="true" outlineLevel="0" collapsed="false"/>
    <row r="43951" customFormat="false" ht="15" hidden="false" customHeight="true" outlineLevel="0" collapsed="false"/>
    <row r="43952" customFormat="false" ht="15" hidden="false" customHeight="true" outlineLevel="0" collapsed="false"/>
    <row r="43953" customFormat="false" ht="15" hidden="false" customHeight="true" outlineLevel="0" collapsed="false"/>
    <row r="43954" customFormat="false" ht="15" hidden="false" customHeight="true" outlineLevel="0" collapsed="false"/>
    <row r="43955" customFormat="false" ht="15" hidden="false" customHeight="true" outlineLevel="0" collapsed="false"/>
    <row r="43956" customFormat="false" ht="15" hidden="false" customHeight="true" outlineLevel="0" collapsed="false"/>
    <row r="43957" customFormat="false" ht="15" hidden="false" customHeight="true" outlineLevel="0" collapsed="false"/>
    <row r="43958" customFormat="false" ht="15" hidden="false" customHeight="true" outlineLevel="0" collapsed="false"/>
    <row r="43959" customFormat="false" ht="15" hidden="false" customHeight="true" outlineLevel="0" collapsed="false"/>
    <row r="43960" customFormat="false" ht="15" hidden="false" customHeight="true" outlineLevel="0" collapsed="false"/>
    <row r="43961" customFormat="false" ht="15" hidden="false" customHeight="true" outlineLevel="0" collapsed="false"/>
    <row r="43962" customFormat="false" ht="15" hidden="false" customHeight="true" outlineLevel="0" collapsed="false"/>
    <row r="43963" customFormat="false" ht="15" hidden="false" customHeight="true" outlineLevel="0" collapsed="false"/>
    <row r="43964" customFormat="false" ht="15" hidden="false" customHeight="true" outlineLevel="0" collapsed="false"/>
    <row r="43965" customFormat="false" ht="15" hidden="false" customHeight="true" outlineLevel="0" collapsed="false"/>
    <row r="43966" customFormat="false" ht="15" hidden="false" customHeight="true" outlineLevel="0" collapsed="false"/>
    <row r="43967" customFormat="false" ht="15" hidden="false" customHeight="true" outlineLevel="0" collapsed="false"/>
    <row r="43968" customFormat="false" ht="15" hidden="false" customHeight="true" outlineLevel="0" collapsed="false"/>
    <row r="43969" customFormat="false" ht="15" hidden="false" customHeight="true" outlineLevel="0" collapsed="false"/>
    <row r="43970" customFormat="false" ht="15" hidden="false" customHeight="true" outlineLevel="0" collapsed="false"/>
    <row r="43971" customFormat="false" ht="15" hidden="false" customHeight="true" outlineLevel="0" collapsed="false"/>
    <row r="43972" customFormat="false" ht="15" hidden="false" customHeight="true" outlineLevel="0" collapsed="false"/>
    <row r="43973" customFormat="false" ht="15" hidden="false" customHeight="true" outlineLevel="0" collapsed="false"/>
    <row r="43974" customFormat="false" ht="15" hidden="false" customHeight="true" outlineLevel="0" collapsed="false"/>
    <row r="43975" customFormat="false" ht="15" hidden="false" customHeight="true" outlineLevel="0" collapsed="false"/>
    <row r="43976" customFormat="false" ht="15" hidden="false" customHeight="true" outlineLevel="0" collapsed="false"/>
    <row r="43977" customFormat="false" ht="15" hidden="false" customHeight="true" outlineLevel="0" collapsed="false"/>
    <row r="43978" customFormat="false" ht="15" hidden="false" customHeight="true" outlineLevel="0" collapsed="false"/>
    <row r="43979" customFormat="false" ht="15" hidden="false" customHeight="true" outlineLevel="0" collapsed="false"/>
    <row r="43980" customFormat="false" ht="15" hidden="false" customHeight="true" outlineLevel="0" collapsed="false"/>
    <row r="43981" customFormat="false" ht="15" hidden="false" customHeight="true" outlineLevel="0" collapsed="false"/>
    <row r="43982" customFormat="false" ht="15" hidden="false" customHeight="true" outlineLevel="0" collapsed="false"/>
    <row r="43983" customFormat="false" ht="15" hidden="false" customHeight="true" outlineLevel="0" collapsed="false"/>
    <row r="43984" customFormat="false" ht="15" hidden="false" customHeight="true" outlineLevel="0" collapsed="false"/>
    <row r="43985" customFormat="false" ht="15" hidden="false" customHeight="true" outlineLevel="0" collapsed="false"/>
    <row r="43986" customFormat="false" ht="15" hidden="false" customHeight="true" outlineLevel="0" collapsed="false"/>
    <row r="43987" customFormat="false" ht="15" hidden="false" customHeight="true" outlineLevel="0" collapsed="false"/>
    <row r="43988" customFormat="false" ht="15" hidden="false" customHeight="true" outlineLevel="0" collapsed="false"/>
    <row r="43989" customFormat="false" ht="15" hidden="false" customHeight="true" outlineLevel="0" collapsed="false"/>
    <row r="43990" customFormat="false" ht="15" hidden="false" customHeight="true" outlineLevel="0" collapsed="false"/>
    <row r="43991" customFormat="false" ht="15" hidden="false" customHeight="true" outlineLevel="0" collapsed="false"/>
    <row r="43992" customFormat="false" ht="15" hidden="false" customHeight="true" outlineLevel="0" collapsed="false"/>
    <row r="43993" customFormat="false" ht="15" hidden="false" customHeight="true" outlineLevel="0" collapsed="false"/>
    <row r="43994" customFormat="false" ht="15" hidden="false" customHeight="true" outlineLevel="0" collapsed="false"/>
    <row r="43995" customFormat="false" ht="15" hidden="false" customHeight="true" outlineLevel="0" collapsed="false"/>
    <row r="43996" customFormat="false" ht="15" hidden="false" customHeight="true" outlineLevel="0" collapsed="false"/>
    <row r="43997" customFormat="false" ht="15" hidden="false" customHeight="true" outlineLevel="0" collapsed="false"/>
    <row r="43998" customFormat="false" ht="15" hidden="false" customHeight="true" outlineLevel="0" collapsed="false"/>
    <row r="43999" customFormat="false" ht="15" hidden="false" customHeight="true" outlineLevel="0" collapsed="false"/>
    <row r="44000" customFormat="false" ht="15" hidden="false" customHeight="true" outlineLevel="0" collapsed="false"/>
    <row r="44001" customFormat="false" ht="15" hidden="false" customHeight="true" outlineLevel="0" collapsed="false"/>
    <row r="44002" customFormat="false" ht="15" hidden="false" customHeight="true" outlineLevel="0" collapsed="false"/>
    <row r="44003" customFormat="false" ht="15" hidden="false" customHeight="true" outlineLevel="0" collapsed="false"/>
    <row r="44004" customFormat="false" ht="15" hidden="false" customHeight="true" outlineLevel="0" collapsed="false"/>
    <row r="44005" customFormat="false" ht="15" hidden="false" customHeight="true" outlineLevel="0" collapsed="false"/>
    <row r="44006" customFormat="false" ht="15" hidden="false" customHeight="true" outlineLevel="0" collapsed="false"/>
    <row r="44007" customFormat="false" ht="15" hidden="false" customHeight="true" outlineLevel="0" collapsed="false"/>
    <row r="44008" customFormat="false" ht="15" hidden="false" customHeight="true" outlineLevel="0" collapsed="false"/>
    <row r="44009" customFormat="false" ht="15" hidden="false" customHeight="true" outlineLevel="0" collapsed="false"/>
    <row r="44010" customFormat="false" ht="15" hidden="false" customHeight="true" outlineLevel="0" collapsed="false"/>
    <row r="44011" customFormat="false" ht="15" hidden="false" customHeight="true" outlineLevel="0" collapsed="false"/>
    <row r="44012" customFormat="false" ht="15" hidden="false" customHeight="true" outlineLevel="0" collapsed="false"/>
    <row r="44013" customFormat="false" ht="15" hidden="false" customHeight="true" outlineLevel="0" collapsed="false"/>
    <row r="44014" customFormat="false" ht="15" hidden="false" customHeight="true" outlineLevel="0" collapsed="false"/>
    <row r="44015" customFormat="false" ht="15" hidden="false" customHeight="true" outlineLevel="0" collapsed="false"/>
    <row r="44016" customFormat="false" ht="15" hidden="false" customHeight="true" outlineLevel="0" collapsed="false"/>
    <row r="44017" customFormat="false" ht="15" hidden="false" customHeight="true" outlineLevel="0" collapsed="false"/>
    <row r="44018" customFormat="false" ht="15" hidden="false" customHeight="true" outlineLevel="0" collapsed="false"/>
    <row r="44019" customFormat="false" ht="15" hidden="false" customHeight="true" outlineLevel="0" collapsed="false"/>
    <row r="44020" customFormat="false" ht="15" hidden="false" customHeight="true" outlineLevel="0" collapsed="false"/>
    <row r="44021" customFormat="false" ht="15" hidden="false" customHeight="true" outlineLevel="0" collapsed="false"/>
    <row r="44022" customFormat="false" ht="15" hidden="false" customHeight="true" outlineLevel="0" collapsed="false"/>
    <row r="44023" customFormat="false" ht="15" hidden="false" customHeight="true" outlineLevel="0" collapsed="false"/>
    <row r="44024" customFormat="false" ht="15" hidden="false" customHeight="true" outlineLevel="0" collapsed="false"/>
    <row r="44025" customFormat="false" ht="15" hidden="false" customHeight="true" outlineLevel="0" collapsed="false"/>
    <row r="44026" customFormat="false" ht="15" hidden="false" customHeight="true" outlineLevel="0" collapsed="false"/>
    <row r="44027" customFormat="false" ht="15" hidden="false" customHeight="true" outlineLevel="0" collapsed="false"/>
    <row r="44028" customFormat="false" ht="15" hidden="false" customHeight="true" outlineLevel="0" collapsed="false"/>
    <row r="44029" customFormat="false" ht="15" hidden="false" customHeight="true" outlineLevel="0" collapsed="false"/>
    <row r="44030" customFormat="false" ht="15" hidden="false" customHeight="true" outlineLevel="0" collapsed="false"/>
    <row r="44031" customFormat="false" ht="15" hidden="false" customHeight="true" outlineLevel="0" collapsed="false"/>
    <row r="44032" customFormat="false" ht="15" hidden="false" customHeight="true" outlineLevel="0" collapsed="false"/>
    <row r="44033" customFormat="false" ht="15" hidden="false" customHeight="true" outlineLevel="0" collapsed="false"/>
    <row r="44034" customFormat="false" ht="15" hidden="false" customHeight="true" outlineLevel="0" collapsed="false"/>
    <row r="44035" customFormat="false" ht="15" hidden="false" customHeight="true" outlineLevel="0" collapsed="false"/>
    <row r="44036" customFormat="false" ht="15" hidden="false" customHeight="true" outlineLevel="0" collapsed="false"/>
    <row r="44037" customFormat="false" ht="15" hidden="false" customHeight="true" outlineLevel="0" collapsed="false"/>
    <row r="44038" customFormat="false" ht="15" hidden="false" customHeight="true" outlineLevel="0" collapsed="false"/>
    <row r="44039" customFormat="false" ht="15" hidden="false" customHeight="true" outlineLevel="0" collapsed="false"/>
    <row r="44040" customFormat="false" ht="15" hidden="false" customHeight="true" outlineLevel="0" collapsed="false"/>
    <row r="44041" customFormat="false" ht="15" hidden="false" customHeight="true" outlineLevel="0" collapsed="false"/>
    <row r="44042" customFormat="false" ht="15" hidden="false" customHeight="true" outlineLevel="0" collapsed="false"/>
    <row r="44043" customFormat="false" ht="15" hidden="false" customHeight="true" outlineLevel="0" collapsed="false"/>
    <row r="44044" customFormat="false" ht="15" hidden="false" customHeight="true" outlineLevel="0" collapsed="false"/>
    <row r="44045" customFormat="false" ht="15" hidden="false" customHeight="true" outlineLevel="0" collapsed="false"/>
    <row r="44046" customFormat="false" ht="15" hidden="false" customHeight="true" outlineLevel="0" collapsed="false"/>
    <row r="44047" customFormat="false" ht="15" hidden="false" customHeight="true" outlineLevel="0" collapsed="false"/>
    <row r="44048" customFormat="false" ht="15" hidden="false" customHeight="true" outlineLevel="0" collapsed="false"/>
    <row r="44049" customFormat="false" ht="15" hidden="false" customHeight="true" outlineLevel="0" collapsed="false"/>
    <row r="44050" customFormat="false" ht="15" hidden="false" customHeight="true" outlineLevel="0" collapsed="false"/>
    <row r="44051" customFormat="false" ht="15" hidden="false" customHeight="true" outlineLevel="0" collapsed="false"/>
    <row r="44052" customFormat="false" ht="15" hidden="false" customHeight="true" outlineLevel="0" collapsed="false"/>
    <row r="44053" customFormat="false" ht="15" hidden="false" customHeight="true" outlineLevel="0" collapsed="false"/>
    <row r="44054" customFormat="false" ht="15" hidden="false" customHeight="true" outlineLevel="0" collapsed="false"/>
    <row r="44055" customFormat="false" ht="15" hidden="false" customHeight="true" outlineLevel="0" collapsed="false"/>
    <row r="44056" customFormat="false" ht="15" hidden="false" customHeight="true" outlineLevel="0" collapsed="false"/>
    <row r="44057" customFormat="false" ht="15" hidden="false" customHeight="true" outlineLevel="0" collapsed="false"/>
    <row r="44058" customFormat="false" ht="15" hidden="false" customHeight="true" outlineLevel="0" collapsed="false"/>
    <row r="44059" customFormat="false" ht="15" hidden="false" customHeight="true" outlineLevel="0" collapsed="false"/>
    <row r="44060" customFormat="false" ht="15" hidden="false" customHeight="true" outlineLevel="0" collapsed="false"/>
    <row r="44061" customFormat="false" ht="15" hidden="false" customHeight="true" outlineLevel="0" collapsed="false"/>
    <row r="44062" customFormat="false" ht="15" hidden="false" customHeight="true" outlineLevel="0" collapsed="false"/>
    <row r="44063" customFormat="false" ht="15" hidden="false" customHeight="true" outlineLevel="0" collapsed="false"/>
    <row r="44064" customFormat="false" ht="15" hidden="false" customHeight="true" outlineLevel="0" collapsed="false"/>
    <row r="44065" customFormat="false" ht="15" hidden="false" customHeight="true" outlineLevel="0" collapsed="false"/>
    <row r="44066" customFormat="false" ht="15" hidden="false" customHeight="true" outlineLevel="0" collapsed="false"/>
    <row r="44067" customFormat="false" ht="15" hidden="false" customHeight="true" outlineLevel="0" collapsed="false"/>
    <row r="44068" customFormat="false" ht="15" hidden="false" customHeight="true" outlineLevel="0" collapsed="false"/>
    <row r="44069" customFormat="false" ht="15" hidden="false" customHeight="true" outlineLevel="0" collapsed="false"/>
    <row r="44070" customFormat="false" ht="15" hidden="false" customHeight="true" outlineLevel="0" collapsed="false"/>
    <row r="44071" customFormat="false" ht="15" hidden="false" customHeight="true" outlineLevel="0" collapsed="false"/>
    <row r="44072" customFormat="false" ht="15" hidden="false" customHeight="true" outlineLevel="0" collapsed="false"/>
    <row r="44073" customFormat="false" ht="15" hidden="false" customHeight="true" outlineLevel="0" collapsed="false"/>
    <row r="44074" customFormat="false" ht="15" hidden="false" customHeight="true" outlineLevel="0" collapsed="false"/>
    <row r="44075" customFormat="false" ht="15" hidden="false" customHeight="true" outlineLevel="0" collapsed="false"/>
    <row r="44076" customFormat="false" ht="15" hidden="false" customHeight="true" outlineLevel="0" collapsed="false"/>
    <row r="44077" customFormat="false" ht="15" hidden="false" customHeight="true" outlineLevel="0" collapsed="false"/>
    <row r="44078" customFormat="false" ht="15" hidden="false" customHeight="true" outlineLevel="0" collapsed="false"/>
    <row r="44079" customFormat="false" ht="15" hidden="false" customHeight="true" outlineLevel="0" collapsed="false"/>
    <row r="44080" customFormat="false" ht="15" hidden="false" customHeight="true" outlineLevel="0" collapsed="false"/>
    <row r="44081" customFormat="false" ht="15" hidden="false" customHeight="true" outlineLevel="0" collapsed="false"/>
    <row r="44082" customFormat="false" ht="15" hidden="false" customHeight="true" outlineLevel="0" collapsed="false"/>
    <row r="44083" customFormat="false" ht="15" hidden="false" customHeight="true" outlineLevel="0" collapsed="false"/>
    <row r="44084" customFormat="false" ht="15" hidden="false" customHeight="true" outlineLevel="0" collapsed="false"/>
    <row r="44085" customFormat="false" ht="15" hidden="false" customHeight="true" outlineLevel="0" collapsed="false"/>
    <row r="44086" customFormat="false" ht="15" hidden="false" customHeight="true" outlineLevel="0" collapsed="false"/>
    <row r="44087" customFormat="false" ht="15" hidden="false" customHeight="true" outlineLevel="0" collapsed="false"/>
    <row r="44088" customFormat="false" ht="15" hidden="false" customHeight="true" outlineLevel="0" collapsed="false"/>
    <row r="44089" customFormat="false" ht="15" hidden="false" customHeight="true" outlineLevel="0" collapsed="false"/>
    <row r="44090" customFormat="false" ht="15" hidden="false" customHeight="true" outlineLevel="0" collapsed="false"/>
    <row r="44091" customFormat="false" ht="15" hidden="false" customHeight="true" outlineLevel="0" collapsed="false"/>
    <row r="44092" customFormat="false" ht="15" hidden="false" customHeight="true" outlineLevel="0" collapsed="false"/>
    <row r="44093" customFormat="false" ht="15" hidden="false" customHeight="true" outlineLevel="0" collapsed="false"/>
    <row r="44094" customFormat="false" ht="15" hidden="false" customHeight="true" outlineLevel="0" collapsed="false"/>
    <row r="44095" customFormat="false" ht="15" hidden="false" customHeight="true" outlineLevel="0" collapsed="false"/>
    <row r="44096" customFormat="false" ht="15" hidden="false" customHeight="true" outlineLevel="0" collapsed="false"/>
    <row r="44097" customFormat="false" ht="15" hidden="false" customHeight="true" outlineLevel="0" collapsed="false"/>
    <row r="44098" customFormat="false" ht="15" hidden="false" customHeight="true" outlineLevel="0" collapsed="false"/>
    <row r="44099" customFormat="false" ht="15" hidden="false" customHeight="true" outlineLevel="0" collapsed="false"/>
    <row r="44100" customFormat="false" ht="15" hidden="false" customHeight="true" outlineLevel="0" collapsed="false"/>
    <row r="44101" customFormat="false" ht="15" hidden="false" customHeight="true" outlineLevel="0" collapsed="false"/>
    <row r="44102" customFormat="false" ht="15" hidden="false" customHeight="true" outlineLevel="0" collapsed="false"/>
    <row r="44103" customFormat="false" ht="15" hidden="false" customHeight="true" outlineLevel="0" collapsed="false"/>
    <row r="44104" customFormat="false" ht="15" hidden="false" customHeight="true" outlineLevel="0" collapsed="false"/>
    <row r="44105" customFormat="false" ht="15" hidden="false" customHeight="true" outlineLevel="0" collapsed="false"/>
    <row r="44106" customFormat="false" ht="15" hidden="false" customHeight="true" outlineLevel="0" collapsed="false"/>
    <row r="44107" customFormat="false" ht="15" hidden="false" customHeight="true" outlineLevel="0" collapsed="false"/>
    <row r="44108" customFormat="false" ht="15" hidden="false" customHeight="true" outlineLevel="0" collapsed="false"/>
    <row r="44109" customFormat="false" ht="15" hidden="false" customHeight="true" outlineLevel="0" collapsed="false"/>
    <row r="44110" customFormat="false" ht="15" hidden="false" customHeight="true" outlineLevel="0" collapsed="false"/>
    <row r="44111" customFormat="false" ht="15" hidden="false" customHeight="true" outlineLevel="0" collapsed="false"/>
    <row r="44112" customFormat="false" ht="15" hidden="false" customHeight="true" outlineLevel="0" collapsed="false"/>
    <row r="44113" customFormat="false" ht="15" hidden="false" customHeight="true" outlineLevel="0" collapsed="false"/>
    <row r="44114" customFormat="false" ht="15" hidden="false" customHeight="true" outlineLevel="0" collapsed="false"/>
    <row r="44115" customFormat="false" ht="15" hidden="false" customHeight="true" outlineLevel="0" collapsed="false"/>
    <row r="44116" customFormat="false" ht="15" hidden="false" customHeight="true" outlineLevel="0" collapsed="false"/>
    <row r="44117" customFormat="false" ht="15" hidden="false" customHeight="true" outlineLevel="0" collapsed="false"/>
    <row r="44118" customFormat="false" ht="15" hidden="false" customHeight="true" outlineLevel="0" collapsed="false"/>
    <row r="44119" customFormat="false" ht="15" hidden="false" customHeight="true" outlineLevel="0" collapsed="false"/>
    <row r="44120" customFormat="false" ht="15" hidden="false" customHeight="true" outlineLevel="0" collapsed="false"/>
    <row r="44121" customFormat="false" ht="15" hidden="false" customHeight="true" outlineLevel="0" collapsed="false"/>
    <row r="44122" customFormat="false" ht="15" hidden="false" customHeight="true" outlineLevel="0" collapsed="false"/>
    <row r="44123" customFormat="false" ht="15" hidden="false" customHeight="true" outlineLevel="0" collapsed="false"/>
    <row r="44124" customFormat="false" ht="15" hidden="false" customHeight="true" outlineLevel="0" collapsed="false"/>
    <row r="44125" customFormat="false" ht="15" hidden="false" customHeight="true" outlineLevel="0" collapsed="false"/>
    <row r="44126" customFormat="false" ht="15" hidden="false" customHeight="true" outlineLevel="0" collapsed="false"/>
    <row r="44127" customFormat="false" ht="15" hidden="false" customHeight="true" outlineLevel="0" collapsed="false"/>
    <row r="44128" customFormat="false" ht="15" hidden="false" customHeight="true" outlineLevel="0" collapsed="false"/>
    <row r="44129" customFormat="false" ht="15" hidden="false" customHeight="true" outlineLevel="0" collapsed="false"/>
    <row r="44130" customFormat="false" ht="15" hidden="false" customHeight="true" outlineLevel="0" collapsed="false"/>
    <row r="44131" customFormat="false" ht="15" hidden="false" customHeight="true" outlineLevel="0" collapsed="false"/>
    <row r="44132" customFormat="false" ht="15" hidden="false" customHeight="true" outlineLevel="0" collapsed="false"/>
    <row r="44133" customFormat="false" ht="15" hidden="false" customHeight="true" outlineLevel="0" collapsed="false"/>
    <row r="44134" customFormat="false" ht="15" hidden="false" customHeight="true" outlineLevel="0" collapsed="false"/>
    <row r="44135" customFormat="false" ht="15" hidden="false" customHeight="true" outlineLevel="0" collapsed="false"/>
    <row r="44136" customFormat="false" ht="15" hidden="false" customHeight="true" outlineLevel="0" collapsed="false"/>
    <row r="44137" customFormat="false" ht="15" hidden="false" customHeight="true" outlineLevel="0" collapsed="false"/>
    <row r="44138" customFormat="false" ht="15" hidden="false" customHeight="true" outlineLevel="0" collapsed="false"/>
    <row r="44139" customFormat="false" ht="15" hidden="false" customHeight="true" outlineLevel="0" collapsed="false"/>
    <row r="44140" customFormat="false" ht="15" hidden="false" customHeight="true" outlineLevel="0" collapsed="false"/>
    <row r="44141" customFormat="false" ht="15" hidden="false" customHeight="true" outlineLevel="0" collapsed="false"/>
    <row r="44142" customFormat="false" ht="15" hidden="false" customHeight="true" outlineLevel="0" collapsed="false"/>
    <row r="44143" customFormat="false" ht="15" hidden="false" customHeight="true" outlineLevel="0" collapsed="false"/>
    <row r="44144" customFormat="false" ht="15" hidden="false" customHeight="true" outlineLevel="0" collapsed="false"/>
    <row r="44145" customFormat="false" ht="15" hidden="false" customHeight="true" outlineLevel="0" collapsed="false"/>
    <row r="44146" customFormat="false" ht="15" hidden="false" customHeight="true" outlineLevel="0" collapsed="false"/>
    <row r="44147" customFormat="false" ht="15" hidden="false" customHeight="true" outlineLevel="0" collapsed="false"/>
    <row r="44148" customFormat="false" ht="15" hidden="false" customHeight="true" outlineLevel="0" collapsed="false"/>
    <row r="44149" customFormat="false" ht="15" hidden="false" customHeight="true" outlineLevel="0" collapsed="false"/>
    <row r="44150" customFormat="false" ht="15" hidden="false" customHeight="true" outlineLevel="0" collapsed="false"/>
    <row r="44151" customFormat="false" ht="15" hidden="false" customHeight="true" outlineLevel="0" collapsed="false"/>
    <row r="44152" customFormat="false" ht="15" hidden="false" customHeight="true" outlineLevel="0" collapsed="false"/>
    <row r="44153" customFormat="false" ht="15" hidden="false" customHeight="true" outlineLevel="0" collapsed="false"/>
    <row r="44154" customFormat="false" ht="15" hidden="false" customHeight="true" outlineLevel="0" collapsed="false"/>
    <row r="44155" customFormat="false" ht="15" hidden="false" customHeight="true" outlineLevel="0" collapsed="false"/>
    <row r="44156" customFormat="false" ht="15" hidden="false" customHeight="true" outlineLevel="0" collapsed="false"/>
    <row r="44157" customFormat="false" ht="15" hidden="false" customHeight="true" outlineLevel="0" collapsed="false"/>
    <row r="44158" customFormat="false" ht="15" hidden="false" customHeight="true" outlineLevel="0" collapsed="false"/>
    <row r="44159" customFormat="false" ht="15" hidden="false" customHeight="true" outlineLevel="0" collapsed="false"/>
    <row r="44160" customFormat="false" ht="15" hidden="false" customHeight="true" outlineLevel="0" collapsed="false"/>
    <row r="44161" customFormat="false" ht="15" hidden="false" customHeight="true" outlineLevel="0" collapsed="false"/>
    <row r="44162" customFormat="false" ht="15" hidden="false" customHeight="true" outlineLevel="0" collapsed="false"/>
    <row r="44163" customFormat="false" ht="15" hidden="false" customHeight="true" outlineLevel="0" collapsed="false"/>
    <row r="44164" customFormat="false" ht="15" hidden="false" customHeight="true" outlineLevel="0" collapsed="false"/>
    <row r="44165" customFormat="false" ht="15" hidden="false" customHeight="true" outlineLevel="0" collapsed="false"/>
    <row r="44166" customFormat="false" ht="15" hidden="false" customHeight="true" outlineLevel="0" collapsed="false"/>
    <row r="44167" customFormat="false" ht="15" hidden="false" customHeight="true" outlineLevel="0" collapsed="false"/>
    <row r="44168" customFormat="false" ht="15" hidden="false" customHeight="true" outlineLevel="0" collapsed="false"/>
    <row r="44169" customFormat="false" ht="15" hidden="false" customHeight="true" outlineLevel="0" collapsed="false"/>
    <row r="44170" customFormat="false" ht="15" hidden="false" customHeight="true" outlineLevel="0" collapsed="false"/>
    <row r="44171" customFormat="false" ht="15" hidden="false" customHeight="true" outlineLevel="0" collapsed="false"/>
    <row r="44172" customFormat="false" ht="15" hidden="false" customHeight="true" outlineLevel="0" collapsed="false"/>
    <row r="44173" customFormat="false" ht="15" hidden="false" customHeight="true" outlineLevel="0" collapsed="false"/>
    <row r="44174" customFormat="false" ht="15" hidden="false" customHeight="true" outlineLevel="0" collapsed="false"/>
    <row r="44175" customFormat="false" ht="15" hidden="false" customHeight="true" outlineLevel="0" collapsed="false"/>
    <row r="44176" customFormat="false" ht="15" hidden="false" customHeight="true" outlineLevel="0" collapsed="false"/>
    <row r="44177" customFormat="false" ht="15" hidden="false" customHeight="true" outlineLevel="0" collapsed="false"/>
    <row r="44178" customFormat="false" ht="15" hidden="false" customHeight="true" outlineLevel="0" collapsed="false"/>
    <row r="44179" customFormat="false" ht="15" hidden="false" customHeight="true" outlineLevel="0" collapsed="false"/>
    <row r="44180" customFormat="false" ht="15" hidden="false" customHeight="true" outlineLevel="0" collapsed="false"/>
    <row r="44181" customFormat="false" ht="15" hidden="false" customHeight="true" outlineLevel="0" collapsed="false"/>
    <row r="44182" customFormat="false" ht="15" hidden="false" customHeight="true" outlineLevel="0" collapsed="false"/>
    <row r="44183" customFormat="false" ht="15" hidden="false" customHeight="true" outlineLevel="0" collapsed="false"/>
    <row r="44184" customFormat="false" ht="15" hidden="false" customHeight="true" outlineLevel="0" collapsed="false"/>
    <row r="44185" customFormat="false" ht="15" hidden="false" customHeight="true" outlineLevel="0" collapsed="false"/>
    <row r="44186" customFormat="false" ht="15" hidden="false" customHeight="true" outlineLevel="0" collapsed="false"/>
    <row r="44187" customFormat="false" ht="15" hidden="false" customHeight="true" outlineLevel="0" collapsed="false"/>
    <row r="44188" customFormat="false" ht="15" hidden="false" customHeight="true" outlineLevel="0" collapsed="false"/>
    <row r="44189" customFormat="false" ht="15" hidden="false" customHeight="true" outlineLevel="0" collapsed="false"/>
    <row r="44190" customFormat="false" ht="15" hidden="false" customHeight="true" outlineLevel="0" collapsed="false"/>
    <row r="44191" customFormat="false" ht="15" hidden="false" customHeight="true" outlineLevel="0" collapsed="false"/>
    <row r="44192" customFormat="false" ht="15" hidden="false" customHeight="true" outlineLevel="0" collapsed="false"/>
    <row r="44193" customFormat="false" ht="15" hidden="false" customHeight="true" outlineLevel="0" collapsed="false"/>
    <row r="44194" customFormat="false" ht="15" hidden="false" customHeight="true" outlineLevel="0" collapsed="false"/>
    <row r="44195" customFormat="false" ht="15" hidden="false" customHeight="true" outlineLevel="0" collapsed="false"/>
    <row r="44196" customFormat="false" ht="15" hidden="false" customHeight="true" outlineLevel="0" collapsed="false"/>
    <row r="44197" customFormat="false" ht="15" hidden="false" customHeight="true" outlineLevel="0" collapsed="false"/>
    <row r="44198" customFormat="false" ht="15" hidden="false" customHeight="true" outlineLevel="0" collapsed="false"/>
    <row r="44199" customFormat="false" ht="15" hidden="false" customHeight="true" outlineLevel="0" collapsed="false"/>
    <row r="44200" customFormat="false" ht="15" hidden="false" customHeight="true" outlineLevel="0" collapsed="false"/>
    <row r="44201" customFormat="false" ht="15" hidden="false" customHeight="true" outlineLevel="0" collapsed="false"/>
    <row r="44202" customFormat="false" ht="15" hidden="false" customHeight="true" outlineLevel="0" collapsed="false"/>
    <row r="44203" customFormat="false" ht="15" hidden="false" customHeight="true" outlineLevel="0" collapsed="false"/>
    <row r="44204" customFormat="false" ht="15" hidden="false" customHeight="true" outlineLevel="0" collapsed="false"/>
    <row r="44205" customFormat="false" ht="15" hidden="false" customHeight="true" outlineLevel="0" collapsed="false"/>
    <row r="44206" customFormat="false" ht="15" hidden="false" customHeight="true" outlineLevel="0" collapsed="false"/>
    <row r="44207" customFormat="false" ht="15" hidden="false" customHeight="true" outlineLevel="0" collapsed="false"/>
    <row r="44208" customFormat="false" ht="15" hidden="false" customHeight="true" outlineLevel="0" collapsed="false"/>
    <row r="44209" customFormat="false" ht="15" hidden="false" customHeight="true" outlineLevel="0" collapsed="false"/>
    <row r="44210" customFormat="false" ht="15" hidden="false" customHeight="true" outlineLevel="0" collapsed="false"/>
    <row r="44211" customFormat="false" ht="15" hidden="false" customHeight="true" outlineLevel="0" collapsed="false"/>
    <row r="44212" customFormat="false" ht="15" hidden="false" customHeight="true" outlineLevel="0" collapsed="false"/>
    <row r="44213" customFormat="false" ht="15" hidden="false" customHeight="true" outlineLevel="0" collapsed="false"/>
    <row r="44214" customFormat="false" ht="15" hidden="false" customHeight="true" outlineLevel="0" collapsed="false"/>
    <row r="44215" customFormat="false" ht="15" hidden="false" customHeight="true" outlineLevel="0" collapsed="false"/>
    <row r="44216" customFormat="false" ht="15" hidden="false" customHeight="true" outlineLevel="0" collapsed="false"/>
    <row r="44217" customFormat="false" ht="15" hidden="false" customHeight="true" outlineLevel="0" collapsed="false"/>
    <row r="44218" customFormat="false" ht="15" hidden="false" customHeight="true" outlineLevel="0" collapsed="false"/>
    <row r="44219" customFormat="false" ht="15" hidden="false" customHeight="true" outlineLevel="0" collapsed="false"/>
    <row r="44220" customFormat="false" ht="15" hidden="false" customHeight="true" outlineLevel="0" collapsed="false"/>
    <row r="44221" customFormat="false" ht="15" hidden="false" customHeight="true" outlineLevel="0" collapsed="false"/>
    <row r="44222" customFormat="false" ht="15" hidden="false" customHeight="true" outlineLevel="0" collapsed="false"/>
    <row r="44223" customFormat="false" ht="15" hidden="false" customHeight="true" outlineLevel="0" collapsed="false"/>
    <row r="44224" customFormat="false" ht="15" hidden="false" customHeight="true" outlineLevel="0" collapsed="false"/>
    <row r="44225" customFormat="false" ht="15" hidden="false" customHeight="true" outlineLevel="0" collapsed="false"/>
    <row r="44226" customFormat="false" ht="15" hidden="false" customHeight="true" outlineLevel="0" collapsed="false"/>
    <row r="44227" customFormat="false" ht="15" hidden="false" customHeight="true" outlineLevel="0" collapsed="false"/>
    <row r="44228" customFormat="false" ht="15" hidden="false" customHeight="true" outlineLevel="0" collapsed="false"/>
    <row r="44229" customFormat="false" ht="15" hidden="false" customHeight="true" outlineLevel="0" collapsed="false"/>
    <row r="44230" customFormat="false" ht="15" hidden="false" customHeight="true" outlineLevel="0" collapsed="false"/>
    <row r="44231" customFormat="false" ht="15" hidden="false" customHeight="true" outlineLevel="0" collapsed="false"/>
    <row r="44232" customFormat="false" ht="15" hidden="false" customHeight="true" outlineLevel="0" collapsed="false"/>
    <row r="44233" customFormat="false" ht="15" hidden="false" customHeight="true" outlineLevel="0" collapsed="false"/>
    <row r="44234" customFormat="false" ht="15" hidden="false" customHeight="true" outlineLevel="0" collapsed="false"/>
    <row r="44235" customFormat="false" ht="15" hidden="false" customHeight="true" outlineLevel="0" collapsed="false"/>
    <row r="44236" customFormat="false" ht="15" hidden="false" customHeight="true" outlineLevel="0" collapsed="false"/>
    <row r="44237" customFormat="false" ht="15" hidden="false" customHeight="true" outlineLevel="0" collapsed="false"/>
    <row r="44238" customFormat="false" ht="15" hidden="false" customHeight="true" outlineLevel="0" collapsed="false"/>
    <row r="44239" customFormat="false" ht="15" hidden="false" customHeight="true" outlineLevel="0" collapsed="false"/>
    <row r="44240" customFormat="false" ht="15" hidden="false" customHeight="true" outlineLevel="0" collapsed="false"/>
    <row r="44241" customFormat="false" ht="15" hidden="false" customHeight="true" outlineLevel="0" collapsed="false"/>
    <row r="44242" customFormat="false" ht="15" hidden="false" customHeight="true" outlineLevel="0" collapsed="false"/>
    <row r="44243" customFormat="false" ht="15" hidden="false" customHeight="true" outlineLevel="0" collapsed="false"/>
    <row r="44244" customFormat="false" ht="15" hidden="false" customHeight="true" outlineLevel="0" collapsed="false"/>
    <row r="44245" customFormat="false" ht="15" hidden="false" customHeight="true" outlineLevel="0" collapsed="false"/>
    <row r="44246" customFormat="false" ht="15" hidden="false" customHeight="true" outlineLevel="0" collapsed="false"/>
    <row r="44247" customFormat="false" ht="15" hidden="false" customHeight="true" outlineLevel="0" collapsed="false"/>
    <row r="44248" customFormat="false" ht="15" hidden="false" customHeight="true" outlineLevel="0" collapsed="false"/>
    <row r="44249" customFormat="false" ht="15" hidden="false" customHeight="true" outlineLevel="0" collapsed="false"/>
    <row r="44250" customFormat="false" ht="15" hidden="false" customHeight="true" outlineLevel="0" collapsed="false"/>
    <row r="44251" customFormat="false" ht="15" hidden="false" customHeight="true" outlineLevel="0" collapsed="false"/>
    <row r="44252" customFormat="false" ht="15" hidden="false" customHeight="true" outlineLevel="0" collapsed="false"/>
    <row r="44253" customFormat="false" ht="15" hidden="false" customHeight="true" outlineLevel="0" collapsed="false"/>
    <row r="44254" customFormat="false" ht="15" hidden="false" customHeight="true" outlineLevel="0" collapsed="false"/>
    <row r="44255" customFormat="false" ht="15" hidden="false" customHeight="true" outlineLevel="0" collapsed="false"/>
    <row r="44256" customFormat="false" ht="15" hidden="false" customHeight="true" outlineLevel="0" collapsed="false"/>
    <row r="44257" customFormat="false" ht="15" hidden="false" customHeight="true" outlineLevel="0" collapsed="false"/>
    <row r="44258" customFormat="false" ht="15" hidden="false" customHeight="true" outlineLevel="0" collapsed="false"/>
    <row r="44259" customFormat="false" ht="15" hidden="false" customHeight="true" outlineLevel="0" collapsed="false"/>
    <row r="44260" customFormat="false" ht="15" hidden="false" customHeight="true" outlineLevel="0" collapsed="false"/>
    <row r="44261" customFormat="false" ht="15" hidden="false" customHeight="true" outlineLevel="0" collapsed="false"/>
    <row r="44262" customFormat="false" ht="15" hidden="false" customHeight="true" outlineLevel="0" collapsed="false"/>
    <row r="44263" customFormat="false" ht="15" hidden="false" customHeight="true" outlineLevel="0" collapsed="false"/>
    <row r="44264" customFormat="false" ht="15" hidden="false" customHeight="true" outlineLevel="0" collapsed="false"/>
    <row r="44265" customFormat="false" ht="15" hidden="false" customHeight="true" outlineLevel="0" collapsed="false"/>
    <row r="44266" customFormat="false" ht="15" hidden="false" customHeight="true" outlineLevel="0" collapsed="false"/>
    <row r="44267" customFormat="false" ht="15" hidden="false" customHeight="true" outlineLevel="0" collapsed="false"/>
    <row r="44268" customFormat="false" ht="15" hidden="false" customHeight="true" outlineLevel="0" collapsed="false"/>
    <row r="44269" customFormat="false" ht="15" hidden="false" customHeight="true" outlineLevel="0" collapsed="false"/>
    <row r="44270" customFormat="false" ht="15" hidden="false" customHeight="true" outlineLevel="0" collapsed="false"/>
    <row r="44271" customFormat="false" ht="15" hidden="false" customHeight="true" outlineLevel="0" collapsed="false"/>
    <row r="44272" customFormat="false" ht="15" hidden="false" customHeight="true" outlineLevel="0" collapsed="false"/>
    <row r="44273" customFormat="false" ht="15" hidden="false" customHeight="true" outlineLevel="0" collapsed="false"/>
    <row r="44274" customFormat="false" ht="15" hidden="false" customHeight="true" outlineLevel="0" collapsed="false"/>
    <row r="44275" customFormat="false" ht="15" hidden="false" customHeight="true" outlineLevel="0" collapsed="false"/>
    <row r="44276" customFormat="false" ht="15" hidden="false" customHeight="true" outlineLevel="0" collapsed="false"/>
    <row r="44277" customFormat="false" ht="15" hidden="false" customHeight="true" outlineLevel="0" collapsed="false"/>
    <row r="44278" customFormat="false" ht="15" hidden="false" customHeight="true" outlineLevel="0" collapsed="false"/>
    <row r="44279" customFormat="false" ht="15" hidden="false" customHeight="true" outlineLevel="0" collapsed="false"/>
    <row r="44280" customFormat="false" ht="15" hidden="false" customHeight="true" outlineLevel="0" collapsed="false"/>
    <row r="44281" customFormat="false" ht="15" hidden="false" customHeight="true" outlineLevel="0" collapsed="false"/>
    <row r="44282" customFormat="false" ht="15" hidden="false" customHeight="true" outlineLevel="0" collapsed="false"/>
    <row r="44283" customFormat="false" ht="15" hidden="false" customHeight="true" outlineLevel="0" collapsed="false"/>
    <row r="44284" customFormat="false" ht="15" hidden="false" customHeight="true" outlineLevel="0" collapsed="false"/>
    <row r="44285" customFormat="false" ht="15" hidden="false" customHeight="true" outlineLevel="0" collapsed="false"/>
    <row r="44286" customFormat="false" ht="15" hidden="false" customHeight="true" outlineLevel="0" collapsed="false"/>
    <row r="44287" customFormat="false" ht="15" hidden="false" customHeight="true" outlineLevel="0" collapsed="false"/>
    <row r="44288" customFormat="false" ht="15" hidden="false" customHeight="true" outlineLevel="0" collapsed="false"/>
    <row r="44289" customFormat="false" ht="15" hidden="false" customHeight="true" outlineLevel="0" collapsed="false"/>
    <row r="44290" customFormat="false" ht="15" hidden="false" customHeight="true" outlineLevel="0" collapsed="false"/>
    <row r="44291" customFormat="false" ht="15" hidden="false" customHeight="true" outlineLevel="0" collapsed="false"/>
    <row r="44292" customFormat="false" ht="15" hidden="false" customHeight="true" outlineLevel="0" collapsed="false"/>
    <row r="44293" customFormat="false" ht="15" hidden="false" customHeight="true" outlineLevel="0" collapsed="false"/>
    <row r="44294" customFormat="false" ht="15" hidden="false" customHeight="true" outlineLevel="0" collapsed="false"/>
    <row r="44295" customFormat="false" ht="15" hidden="false" customHeight="true" outlineLevel="0" collapsed="false"/>
    <row r="44296" customFormat="false" ht="15" hidden="false" customHeight="true" outlineLevel="0" collapsed="false"/>
    <row r="44297" customFormat="false" ht="15" hidden="false" customHeight="true" outlineLevel="0" collapsed="false"/>
    <row r="44298" customFormat="false" ht="15" hidden="false" customHeight="true" outlineLevel="0" collapsed="false"/>
    <row r="44299" customFormat="false" ht="15" hidden="false" customHeight="true" outlineLevel="0" collapsed="false"/>
    <row r="44300" customFormat="false" ht="15" hidden="false" customHeight="true" outlineLevel="0" collapsed="false"/>
    <row r="44301" customFormat="false" ht="15" hidden="false" customHeight="true" outlineLevel="0" collapsed="false"/>
    <row r="44302" customFormat="false" ht="15" hidden="false" customHeight="true" outlineLevel="0" collapsed="false"/>
    <row r="44303" customFormat="false" ht="15" hidden="false" customHeight="true" outlineLevel="0" collapsed="false"/>
    <row r="44304" customFormat="false" ht="15" hidden="false" customHeight="true" outlineLevel="0" collapsed="false"/>
    <row r="44305" customFormat="false" ht="15" hidden="false" customHeight="true" outlineLevel="0" collapsed="false"/>
    <row r="44306" customFormat="false" ht="15" hidden="false" customHeight="true" outlineLevel="0" collapsed="false"/>
    <row r="44307" customFormat="false" ht="15" hidden="false" customHeight="true" outlineLevel="0" collapsed="false"/>
    <row r="44308" customFormat="false" ht="15" hidden="false" customHeight="true" outlineLevel="0" collapsed="false"/>
    <row r="44309" customFormat="false" ht="15" hidden="false" customHeight="true" outlineLevel="0" collapsed="false"/>
    <row r="44310" customFormat="false" ht="15" hidden="false" customHeight="true" outlineLevel="0" collapsed="false"/>
    <row r="44311" customFormat="false" ht="15" hidden="false" customHeight="true" outlineLevel="0" collapsed="false"/>
    <row r="44312" customFormat="false" ht="15" hidden="false" customHeight="true" outlineLevel="0" collapsed="false"/>
    <row r="44313" customFormat="false" ht="15" hidden="false" customHeight="true" outlineLevel="0" collapsed="false"/>
    <row r="44314" customFormat="false" ht="15" hidden="false" customHeight="true" outlineLevel="0" collapsed="false"/>
    <row r="44315" customFormat="false" ht="15" hidden="false" customHeight="true" outlineLevel="0" collapsed="false"/>
    <row r="44316" customFormat="false" ht="15" hidden="false" customHeight="true" outlineLevel="0" collapsed="false"/>
    <row r="44317" customFormat="false" ht="15" hidden="false" customHeight="true" outlineLevel="0" collapsed="false"/>
    <row r="44318" customFormat="false" ht="15" hidden="false" customHeight="true" outlineLevel="0" collapsed="false"/>
    <row r="44319" customFormat="false" ht="15" hidden="false" customHeight="true" outlineLevel="0" collapsed="false"/>
    <row r="44320" customFormat="false" ht="15" hidden="false" customHeight="true" outlineLevel="0" collapsed="false"/>
    <row r="44321" customFormat="false" ht="15" hidden="false" customHeight="true" outlineLevel="0" collapsed="false"/>
    <row r="44322" customFormat="false" ht="15" hidden="false" customHeight="true" outlineLevel="0" collapsed="false"/>
    <row r="44323" customFormat="false" ht="15" hidden="false" customHeight="true" outlineLevel="0" collapsed="false"/>
    <row r="44324" customFormat="false" ht="15" hidden="false" customHeight="true" outlineLevel="0" collapsed="false"/>
    <row r="44325" customFormat="false" ht="15" hidden="false" customHeight="true" outlineLevel="0" collapsed="false"/>
    <row r="44326" customFormat="false" ht="15" hidden="false" customHeight="true" outlineLevel="0" collapsed="false"/>
    <row r="44327" customFormat="false" ht="15" hidden="false" customHeight="true" outlineLevel="0" collapsed="false"/>
    <row r="44328" customFormat="false" ht="15" hidden="false" customHeight="true" outlineLevel="0" collapsed="false"/>
    <row r="44329" customFormat="false" ht="15" hidden="false" customHeight="true" outlineLevel="0" collapsed="false"/>
    <row r="44330" customFormat="false" ht="15" hidden="false" customHeight="true" outlineLevel="0" collapsed="false"/>
    <row r="44331" customFormat="false" ht="15" hidden="false" customHeight="true" outlineLevel="0" collapsed="false"/>
    <row r="44332" customFormat="false" ht="15" hidden="false" customHeight="true" outlineLevel="0" collapsed="false"/>
    <row r="44333" customFormat="false" ht="15" hidden="false" customHeight="true" outlineLevel="0" collapsed="false"/>
    <row r="44334" customFormat="false" ht="15" hidden="false" customHeight="true" outlineLevel="0" collapsed="false"/>
    <row r="44335" customFormat="false" ht="15" hidden="false" customHeight="true" outlineLevel="0" collapsed="false"/>
    <row r="44336" customFormat="false" ht="15" hidden="false" customHeight="true" outlineLevel="0" collapsed="false"/>
    <row r="44337" customFormat="false" ht="15" hidden="false" customHeight="true" outlineLevel="0" collapsed="false"/>
    <row r="44338" customFormat="false" ht="15" hidden="false" customHeight="true" outlineLevel="0" collapsed="false"/>
    <row r="44339" customFormat="false" ht="15" hidden="false" customHeight="true" outlineLevel="0" collapsed="false"/>
    <row r="44340" customFormat="false" ht="15" hidden="false" customHeight="true" outlineLevel="0" collapsed="false"/>
    <row r="44341" customFormat="false" ht="15" hidden="false" customHeight="true" outlineLevel="0" collapsed="false"/>
    <row r="44342" customFormat="false" ht="15" hidden="false" customHeight="true" outlineLevel="0" collapsed="false"/>
    <row r="44343" customFormat="false" ht="15" hidden="false" customHeight="true" outlineLevel="0" collapsed="false"/>
    <row r="44344" customFormat="false" ht="15" hidden="false" customHeight="true" outlineLevel="0" collapsed="false"/>
    <row r="44345" customFormat="false" ht="15" hidden="false" customHeight="true" outlineLevel="0" collapsed="false"/>
    <row r="44346" customFormat="false" ht="15" hidden="false" customHeight="true" outlineLevel="0" collapsed="false"/>
    <row r="44347" customFormat="false" ht="15" hidden="false" customHeight="true" outlineLevel="0" collapsed="false"/>
    <row r="44348" customFormat="false" ht="15" hidden="false" customHeight="true" outlineLevel="0" collapsed="false"/>
    <row r="44349" customFormat="false" ht="15" hidden="false" customHeight="true" outlineLevel="0" collapsed="false"/>
    <row r="44350" customFormat="false" ht="15" hidden="false" customHeight="true" outlineLevel="0" collapsed="false"/>
    <row r="44351" customFormat="false" ht="15" hidden="false" customHeight="true" outlineLevel="0" collapsed="false"/>
    <row r="44352" customFormat="false" ht="15" hidden="false" customHeight="true" outlineLevel="0" collapsed="false"/>
    <row r="44353" customFormat="false" ht="15" hidden="false" customHeight="true" outlineLevel="0" collapsed="false"/>
    <row r="44354" customFormat="false" ht="15" hidden="false" customHeight="true" outlineLevel="0" collapsed="false"/>
    <row r="44355" customFormat="false" ht="15" hidden="false" customHeight="true" outlineLevel="0" collapsed="false"/>
    <row r="44356" customFormat="false" ht="15" hidden="false" customHeight="true" outlineLevel="0" collapsed="false"/>
    <row r="44357" customFormat="false" ht="15" hidden="false" customHeight="true" outlineLevel="0" collapsed="false"/>
    <row r="44358" customFormat="false" ht="15" hidden="false" customHeight="true" outlineLevel="0" collapsed="false"/>
    <row r="44359" customFormat="false" ht="15" hidden="false" customHeight="true" outlineLevel="0" collapsed="false"/>
    <row r="44360" customFormat="false" ht="15" hidden="false" customHeight="true" outlineLevel="0" collapsed="false"/>
    <row r="44361" customFormat="false" ht="15" hidden="false" customHeight="true" outlineLevel="0" collapsed="false"/>
    <row r="44362" customFormat="false" ht="15" hidden="false" customHeight="true" outlineLevel="0" collapsed="false"/>
    <row r="44363" customFormat="false" ht="15" hidden="false" customHeight="true" outlineLevel="0" collapsed="false"/>
    <row r="44364" customFormat="false" ht="15" hidden="false" customHeight="true" outlineLevel="0" collapsed="false"/>
    <row r="44365" customFormat="false" ht="15" hidden="false" customHeight="true" outlineLevel="0" collapsed="false"/>
    <row r="44366" customFormat="false" ht="15" hidden="false" customHeight="true" outlineLevel="0" collapsed="false"/>
    <row r="44367" customFormat="false" ht="15" hidden="false" customHeight="true" outlineLevel="0" collapsed="false"/>
    <row r="44368" customFormat="false" ht="15" hidden="false" customHeight="true" outlineLevel="0" collapsed="false"/>
    <row r="44369" customFormat="false" ht="15" hidden="false" customHeight="true" outlineLevel="0" collapsed="false"/>
    <row r="44370" customFormat="false" ht="15" hidden="false" customHeight="true" outlineLevel="0" collapsed="false"/>
    <row r="44371" customFormat="false" ht="15" hidden="false" customHeight="true" outlineLevel="0" collapsed="false"/>
    <row r="44372" customFormat="false" ht="15" hidden="false" customHeight="true" outlineLevel="0" collapsed="false"/>
    <row r="44373" customFormat="false" ht="15" hidden="false" customHeight="true" outlineLevel="0" collapsed="false"/>
    <row r="44374" customFormat="false" ht="15" hidden="false" customHeight="true" outlineLevel="0" collapsed="false"/>
    <row r="44375" customFormat="false" ht="15" hidden="false" customHeight="true" outlineLevel="0" collapsed="false"/>
    <row r="44376" customFormat="false" ht="15" hidden="false" customHeight="true" outlineLevel="0" collapsed="false"/>
    <row r="44377" customFormat="false" ht="15" hidden="false" customHeight="true" outlineLevel="0" collapsed="false"/>
    <row r="44378" customFormat="false" ht="15" hidden="false" customHeight="true" outlineLevel="0" collapsed="false"/>
    <row r="44379" customFormat="false" ht="15" hidden="false" customHeight="true" outlineLevel="0" collapsed="false"/>
    <row r="44380" customFormat="false" ht="15" hidden="false" customHeight="true" outlineLevel="0" collapsed="false"/>
    <row r="44381" customFormat="false" ht="15" hidden="false" customHeight="true" outlineLevel="0" collapsed="false"/>
    <row r="44382" customFormat="false" ht="15" hidden="false" customHeight="true" outlineLevel="0" collapsed="false"/>
    <row r="44383" customFormat="false" ht="15" hidden="false" customHeight="true" outlineLevel="0" collapsed="false"/>
    <row r="44384" customFormat="false" ht="15" hidden="false" customHeight="true" outlineLevel="0" collapsed="false"/>
    <row r="44385" customFormat="false" ht="15" hidden="false" customHeight="true" outlineLevel="0" collapsed="false"/>
    <row r="44386" customFormat="false" ht="15" hidden="false" customHeight="true" outlineLevel="0" collapsed="false"/>
    <row r="44387" customFormat="false" ht="15" hidden="false" customHeight="true" outlineLevel="0" collapsed="false"/>
    <row r="44388" customFormat="false" ht="15" hidden="false" customHeight="true" outlineLevel="0" collapsed="false"/>
    <row r="44389" customFormat="false" ht="15" hidden="false" customHeight="true" outlineLevel="0" collapsed="false"/>
    <row r="44390" customFormat="false" ht="15" hidden="false" customHeight="true" outlineLevel="0" collapsed="false"/>
    <row r="44391" customFormat="false" ht="15" hidden="false" customHeight="true" outlineLevel="0" collapsed="false"/>
    <row r="44392" customFormat="false" ht="15" hidden="false" customHeight="true" outlineLevel="0" collapsed="false"/>
    <row r="44393" customFormat="false" ht="15" hidden="false" customHeight="true" outlineLevel="0" collapsed="false"/>
    <row r="44394" customFormat="false" ht="15" hidden="false" customHeight="true" outlineLevel="0" collapsed="false"/>
    <row r="44395" customFormat="false" ht="15" hidden="false" customHeight="true" outlineLevel="0" collapsed="false"/>
    <row r="44396" customFormat="false" ht="15" hidden="false" customHeight="true" outlineLevel="0" collapsed="false"/>
    <row r="44397" customFormat="false" ht="15" hidden="false" customHeight="true" outlineLevel="0" collapsed="false"/>
    <row r="44398" customFormat="false" ht="15" hidden="false" customHeight="true" outlineLevel="0" collapsed="false"/>
    <row r="44399" customFormat="false" ht="15" hidden="false" customHeight="true" outlineLevel="0" collapsed="false"/>
    <row r="44400" customFormat="false" ht="15" hidden="false" customHeight="true" outlineLevel="0" collapsed="false"/>
    <row r="44401" customFormat="false" ht="15" hidden="false" customHeight="true" outlineLevel="0" collapsed="false"/>
    <row r="44402" customFormat="false" ht="15" hidden="false" customHeight="true" outlineLevel="0" collapsed="false"/>
    <row r="44403" customFormat="false" ht="15" hidden="false" customHeight="true" outlineLevel="0" collapsed="false"/>
    <row r="44404" customFormat="false" ht="15" hidden="false" customHeight="true" outlineLevel="0" collapsed="false"/>
    <row r="44405" customFormat="false" ht="15" hidden="false" customHeight="true" outlineLevel="0" collapsed="false"/>
    <row r="44406" customFormat="false" ht="15" hidden="false" customHeight="true" outlineLevel="0" collapsed="false"/>
    <row r="44407" customFormat="false" ht="15" hidden="false" customHeight="true" outlineLevel="0" collapsed="false"/>
    <row r="44408" customFormat="false" ht="15" hidden="false" customHeight="true" outlineLevel="0" collapsed="false"/>
    <row r="44409" customFormat="false" ht="15" hidden="false" customHeight="true" outlineLevel="0" collapsed="false"/>
    <row r="44410" customFormat="false" ht="15" hidden="false" customHeight="true" outlineLevel="0" collapsed="false"/>
    <row r="44411" customFormat="false" ht="15" hidden="false" customHeight="true" outlineLevel="0" collapsed="false"/>
    <row r="44412" customFormat="false" ht="15" hidden="false" customHeight="true" outlineLevel="0" collapsed="false"/>
    <row r="44413" customFormat="false" ht="15" hidden="false" customHeight="true" outlineLevel="0" collapsed="false"/>
    <row r="44414" customFormat="false" ht="15" hidden="false" customHeight="true" outlineLevel="0" collapsed="false"/>
    <row r="44415" customFormat="false" ht="15" hidden="false" customHeight="true" outlineLevel="0" collapsed="false"/>
    <row r="44416" customFormat="false" ht="15" hidden="false" customHeight="true" outlineLevel="0" collapsed="false"/>
    <row r="44417" customFormat="false" ht="15" hidden="false" customHeight="true" outlineLevel="0" collapsed="false"/>
    <row r="44418" customFormat="false" ht="15" hidden="false" customHeight="true" outlineLevel="0" collapsed="false"/>
    <row r="44419" customFormat="false" ht="15" hidden="false" customHeight="true" outlineLevel="0" collapsed="false"/>
    <row r="44420" customFormat="false" ht="15" hidden="false" customHeight="true" outlineLevel="0" collapsed="false"/>
    <row r="44421" customFormat="false" ht="15" hidden="false" customHeight="true" outlineLevel="0" collapsed="false"/>
    <row r="44422" customFormat="false" ht="15" hidden="false" customHeight="true" outlineLevel="0" collapsed="false"/>
    <row r="44423" customFormat="false" ht="15" hidden="false" customHeight="true" outlineLevel="0" collapsed="false"/>
    <row r="44424" customFormat="false" ht="15" hidden="false" customHeight="true" outlineLevel="0" collapsed="false"/>
    <row r="44425" customFormat="false" ht="15" hidden="false" customHeight="true" outlineLevel="0" collapsed="false"/>
    <row r="44426" customFormat="false" ht="15" hidden="false" customHeight="true" outlineLevel="0" collapsed="false"/>
    <row r="44427" customFormat="false" ht="15" hidden="false" customHeight="true" outlineLevel="0" collapsed="false"/>
    <row r="44428" customFormat="false" ht="15" hidden="false" customHeight="true" outlineLevel="0" collapsed="false"/>
    <row r="44429" customFormat="false" ht="15" hidden="false" customHeight="true" outlineLevel="0" collapsed="false"/>
    <row r="44430" customFormat="false" ht="15" hidden="false" customHeight="true" outlineLevel="0" collapsed="false"/>
    <row r="44431" customFormat="false" ht="15" hidden="false" customHeight="true" outlineLevel="0" collapsed="false"/>
    <row r="44432" customFormat="false" ht="15" hidden="false" customHeight="true" outlineLevel="0" collapsed="false"/>
    <row r="44433" customFormat="false" ht="15" hidden="false" customHeight="true" outlineLevel="0" collapsed="false"/>
    <row r="44434" customFormat="false" ht="15" hidden="false" customHeight="true" outlineLevel="0" collapsed="false"/>
    <row r="44435" customFormat="false" ht="15" hidden="false" customHeight="true" outlineLevel="0" collapsed="false"/>
    <row r="44436" customFormat="false" ht="15" hidden="false" customHeight="true" outlineLevel="0" collapsed="false"/>
    <row r="44437" customFormat="false" ht="15" hidden="false" customHeight="true" outlineLevel="0" collapsed="false"/>
    <row r="44438" customFormat="false" ht="15" hidden="false" customHeight="true" outlineLevel="0" collapsed="false"/>
    <row r="44439" customFormat="false" ht="15" hidden="false" customHeight="true" outlineLevel="0" collapsed="false"/>
    <row r="44440" customFormat="false" ht="15" hidden="false" customHeight="true" outlineLevel="0" collapsed="false"/>
    <row r="44441" customFormat="false" ht="15" hidden="false" customHeight="true" outlineLevel="0" collapsed="false"/>
    <row r="44442" customFormat="false" ht="15" hidden="false" customHeight="true" outlineLevel="0" collapsed="false"/>
    <row r="44443" customFormat="false" ht="15" hidden="false" customHeight="true" outlineLevel="0" collapsed="false"/>
    <row r="44444" customFormat="false" ht="15" hidden="false" customHeight="true" outlineLevel="0" collapsed="false"/>
    <row r="44445" customFormat="false" ht="15" hidden="false" customHeight="true" outlineLevel="0" collapsed="false"/>
    <row r="44446" customFormat="false" ht="15" hidden="false" customHeight="true" outlineLevel="0" collapsed="false"/>
    <row r="44447" customFormat="false" ht="15" hidden="false" customHeight="true" outlineLevel="0" collapsed="false"/>
    <row r="44448" customFormat="false" ht="15" hidden="false" customHeight="true" outlineLevel="0" collapsed="false"/>
    <row r="44449" customFormat="false" ht="15" hidden="false" customHeight="true" outlineLevel="0" collapsed="false"/>
    <row r="44450" customFormat="false" ht="15" hidden="false" customHeight="true" outlineLevel="0" collapsed="false"/>
    <row r="44451" customFormat="false" ht="15" hidden="false" customHeight="true" outlineLevel="0" collapsed="false"/>
    <row r="44452" customFormat="false" ht="15" hidden="false" customHeight="true" outlineLevel="0" collapsed="false"/>
    <row r="44453" customFormat="false" ht="15" hidden="false" customHeight="true" outlineLevel="0" collapsed="false"/>
    <row r="44454" customFormat="false" ht="15" hidden="false" customHeight="true" outlineLevel="0" collapsed="false"/>
    <row r="44455" customFormat="false" ht="15" hidden="false" customHeight="true" outlineLevel="0" collapsed="false"/>
    <row r="44456" customFormat="false" ht="15" hidden="false" customHeight="true" outlineLevel="0" collapsed="false"/>
    <row r="44457" customFormat="false" ht="15" hidden="false" customHeight="true" outlineLevel="0" collapsed="false"/>
    <row r="44458" customFormat="false" ht="15" hidden="false" customHeight="true" outlineLevel="0" collapsed="false"/>
    <row r="44459" customFormat="false" ht="15" hidden="false" customHeight="true" outlineLevel="0" collapsed="false"/>
    <row r="44460" customFormat="false" ht="15" hidden="false" customHeight="true" outlineLevel="0" collapsed="false"/>
    <row r="44461" customFormat="false" ht="15" hidden="false" customHeight="true" outlineLevel="0" collapsed="false"/>
    <row r="44462" customFormat="false" ht="15" hidden="false" customHeight="true" outlineLevel="0" collapsed="false"/>
    <row r="44463" customFormat="false" ht="15" hidden="false" customHeight="true" outlineLevel="0" collapsed="false"/>
    <row r="44464" customFormat="false" ht="15" hidden="false" customHeight="true" outlineLevel="0" collapsed="false"/>
    <row r="44465" customFormat="false" ht="15" hidden="false" customHeight="true" outlineLevel="0" collapsed="false"/>
    <row r="44466" customFormat="false" ht="15" hidden="false" customHeight="true" outlineLevel="0" collapsed="false"/>
    <row r="44467" customFormat="false" ht="15" hidden="false" customHeight="true" outlineLevel="0" collapsed="false"/>
    <row r="44468" customFormat="false" ht="15" hidden="false" customHeight="true" outlineLevel="0" collapsed="false"/>
    <row r="44469" customFormat="false" ht="15" hidden="false" customHeight="true" outlineLevel="0" collapsed="false"/>
    <row r="44470" customFormat="false" ht="15" hidden="false" customHeight="true" outlineLevel="0" collapsed="false"/>
    <row r="44471" customFormat="false" ht="15" hidden="false" customHeight="true" outlineLevel="0" collapsed="false"/>
    <row r="44472" customFormat="false" ht="15" hidden="false" customHeight="true" outlineLevel="0" collapsed="false"/>
    <row r="44473" customFormat="false" ht="15" hidden="false" customHeight="true" outlineLevel="0" collapsed="false"/>
    <row r="44474" customFormat="false" ht="15" hidden="false" customHeight="true" outlineLevel="0" collapsed="false"/>
    <row r="44475" customFormat="false" ht="15" hidden="false" customHeight="true" outlineLevel="0" collapsed="false"/>
    <row r="44476" customFormat="false" ht="15" hidden="false" customHeight="true" outlineLevel="0" collapsed="false"/>
    <row r="44477" customFormat="false" ht="15" hidden="false" customHeight="true" outlineLevel="0" collapsed="false"/>
    <row r="44478" customFormat="false" ht="15" hidden="false" customHeight="true" outlineLevel="0" collapsed="false"/>
    <row r="44479" customFormat="false" ht="15" hidden="false" customHeight="true" outlineLevel="0" collapsed="false"/>
    <row r="44480" customFormat="false" ht="15" hidden="false" customHeight="true" outlineLevel="0" collapsed="false"/>
    <row r="44481" customFormat="false" ht="15" hidden="false" customHeight="true" outlineLevel="0" collapsed="false"/>
    <row r="44482" customFormat="false" ht="15" hidden="false" customHeight="true" outlineLevel="0" collapsed="false"/>
    <row r="44483" customFormat="false" ht="15" hidden="false" customHeight="true" outlineLevel="0" collapsed="false"/>
    <row r="44484" customFormat="false" ht="15" hidden="false" customHeight="true" outlineLevel="0" collapsed="false"/>
    <row r="44485" customFormat="false" ht="15" hidden="false" customHeight="true" outlineLevel="0" collapsed="false"/>
    <row r="44486" customFormat="false" ht="15" hidden="false" customHeight="true" outlineLevel="0" collapsed="false"/>
    <row r="44487" customFormat="false" ht="15" hidden="false" customHeight="true" outlineLevel="0" collapsed="false"/>
    <row r="44488" customFormat="false" ht="15" hidden="false" customHeight="true" outlineLevel="0" collapsed="false"/>
    <row r="44489" customFormat="false" ht="15" hidden="false" customHeight="true" outlineLevel="0" collapsed="false"/>
    <row r="44490" customFormat="false" ht="15" hidden="false" customHeight="true" outlineLevel="0" collapsed="false"/>
    <row r="44491" customFormat="false" ht="15" hidden="false" customHeight="true" outlineLevel="0" collapsed="false"/>
    <row r="44492" customFormat="false" ht="15" hidden="false" customHeight="true" outlineLevel="0" collapsed="false"/>
    <row r="44493" customFormat="false" ht="15" hidden="false" customHeight="true" outlineLevel="0" collapsed="false"/>
    <row r="44494" customFormat="false" ht="15" hidden="false" customHeight="true" outlineLevel="0" collapsed="false"/>
    <row r="44495" customFormat="false" ht="15" hidden="false" customHeight="true" outlineLevel="0" collapsed="false"/>
    <row r="44496" customFormat="false" ht="15" hidden="false" customHeight="true" outlineLevel="0" collapsed="false"/>
    <row r="44497" customFormat="false" ht="15" hidden="false" customHeight="true" outlineLevel="0" collapsed="false"/>
    <row r="44498" customFormat="false" ht="15" hidden="false" customHeight="true" outlineLevel="0" collapsed="false"/>
    <row r="44499" customFormat="false" ht="15" hidden="false" customHeight="true" outlineLevel="0" collapsed="false"/>
    <row r="44500" customFormat="false" ht="15" hidden="false" customHeight="true" outlineLevel="0" collapsed="false"/>
    <row r="44501" customFormat="false" ht="15" hidden="false" customHeight="true" outlineLevel="0" collapsed="false"/>
    <row r="44502" customFormat="false" ht="15" hidden="false" customHeight="true" outlineLevel="0" collapsed="false"/>
    <row r="44503" customFormat="false" ht="15" hidden="false" customHeight="true" outlineLevel="0" collapsed="false"/>
    <row r="44504" customFormat="false" ht="15" hidden="false" customHeight="true" outlineLevel="0" collapsed="false"/>
    <row r="44505" customFormat="false" ht="15" hidden="false" customHeight="true" outlineLevel="0" collapsed="false"/>
    <row r="44506" customFormat="false" ht="15" hidden="false" customHeight="true" outlineLevel="0" collapsed="false"/>
    <row r="44507" customFormat="false" ht="15" hidden="false" customHeight="true" outlineLevel="0" collapsed="false"/>
    <row r="44508" customFormat="false" ht="15" hidden="false" customHeight="true" outlineLevel="0" collapsed="false"/>
    <row r="44509" customFormat="false" ht="15" hidden="false" customHeight="true" outlineLevel="0" collapsed="false"/>
    <row r="44510" customFormat="false" ht="15" hidden="false" customHeight="true" outlineLevel="0" collapsed="false"/>
    <row r="44511" customFormat="false" ht="15" hidden="false" customHeight="true" outlineLevel="0" collapsed="false"/>
    <row r="44512" customFormat="false" ht="15" hidden="false" customHeight="true" outlineLevel="0" collapsed="false"/>
    <row r="44513" customFormat="false" ht="15" hidden="false" customHeight="true" outlineLevel="0" collapsed="false"/>
    <row r="44514" customFormat="false" ht="15" hidden="false" customHeight="true" outlineLevel="0" collapsed="false"/>
    <row r="44515" customFormat="false" ht="15" hidden="false" customHeight="true" outlineLevel="0" collapsed="false"/>
    <row r="44516" customFormat="false" ht="15" hidden="false" customHeight="true" outlineLevel="0" collapsed="false"/>
    <row r="44517" customFormat="false" ht="15" hidden="false" customHeight="true" outlineLevel="0" collapsed="false"/>
    <row r="44518" customFormat="false" ht="15" hidden="false" customHeight="true" outlineLevel="0" collapsed="false"/>
    <row r="44519" customFormat="false" ht="15" hidden="false" customHeight="true" outlineLevel="0" collapsed="false"/>
    <row r="44520" customFormat="false" ht="15" hidden="false" customHeight="true" outlineLevel="0" collapsed="false"/>
    <row r="44521" customFormat="false" ht="15" hidden="false" customHeight="true" outlineLevel="0" collapsed="false"/>
    <row r="44522" customFormat="false" ht="15" hidden="false" customHeight="true" outlineLevel="0" collapsed="false"/>
    <row r="44523" customFormat="false" ht="15" hidden="false" customHeight="true" outlineLevel="0" collapsed="false"/>
    <row r="44524" customFormat="false" ht="15" hidden="false" customHeight="true" outlineLevel="0" collapsed="false"/>
    <row r="44525" customFormat="false" ht="15" hidden="false" customHeight="true" outlineLevel="0" collapsed="false"/>
    <row r="44526" customFormat="false" ht="15" hidden="false" customHeight="true" outlineLevel="0" collapsed="false"/>
    <row r="44527" customFormat="false" ht="15" hidden="false" customHeight="true" outlineLevel="0" collapsed="false"/>
    <row r="44528" customFormat="false" ht="15" hidden="false" customHeight="true" outlineLevel="0" collapsed="false"/>
    <row r="44529" customFormat="false" ht="15" hidden="false" customHeight="true" outlineLevel="0" collapsed="false"/>
    <row r="44530" customFormat="false" ht="15" hidden="false" customHeight="true" outlineLevel="0" collapsed="false"/>
    <row r="44531" customFormat="false" ht="15" hidden="false" customHeight="true" outlineLevel="0" collapsed="false"/>
    <row r="44532" customFormat="false" ht="15" hidden="false" customHeight="true" outlineLevel="0" collapsed="false"/>
    <row r="44533" customFormat="false" ht="15" hidden="false" customHeight="true" outlineLevel="0" collapsed="false"/>
    <row r="44534" customFormat="false" ht="15" hidden="false" customHeight="true" outlineLevel="0" collapsed="false"/>
    <row r="44535" customFormat="false" ht="15" hidden="false" customHeight="true" outlineLevel="0" collapsed="false"/>
    <row r="44536" customFormat="false" ht="15" hidden="false" customHeight="true" outlineLevel="0" collapsed="false"/>
    <row r="44537" customFormat="false" ht="15" hidden="false" customHeight="true" outlineLevel="0" collapsed="false"/>
    <row r="44538" customFormat="false" ht="15" hidden="false" customHeight="true" outlineLevel="0" collapsed="false"/>
    <row r="44539" customFormat="false" ht="15" hidden="false" customHeight="true" outlineLevel="0" collapsed="false"/>
    <row r="44540" customFormat="false" ht="15" hidden="false" customHeight="true" outlineLevel="0" collapsed="false"/>
    <row r="44541" customFormat="false" ht="15" hidden="false" customHeight="true" outlineLevel="0" collapsed="false"/>
    <row r="44542" customFormat="false" ht="15" hidden="false" customHeight="true" outlineLevel="0" collapsed="false"/>
    <row r="44543" customFormat="false" ht="15" hidden="false" customHeight="true" outlineLevel="0" collapsed="false"/>
    <row r="44544" customFormat="false" ht="15" hidden="false" customHeight="true" outlineLevel="0" collapsed="false"/>
    <row r="44545" customFormat="false" ht="15" hidden="false" customHeight="true" outlineLevel="0" collapsed="false"/>
    <row r="44546" customFormat="false" ht="15" hidden="false" customHeight="true" outlineLevel="0" collapsed="false"/>
    <row r="44547" customFormat="false" ht="15" hidden="false" customHeight="true" outlineLevel="0" collapsed="false"/>
    <row r="44548" customFormat="false" ht="15" hidden="false" customHeight="true" outlineLevel="0" collapsed="false"/>
    <row r="44549" customFormat="false" ht="15" hidden="false" customHeight="true" outlineLevel="0" collapsed="false"/>
    <row r="44550" customFormat="false" ht="15" hidden="false" customHeight="true" outlineLevel="0" collapsed="false"/>
    <row r="44551" customFormat="false" ht="15" hidden="false" customHeight="true" outlineLevel="0" collapsed="false"/>
    <row r="44552" customFormat="false" ht="15" hidden="false" customHeight="true" outlineLevel="0" collapsed="false"/>
    <row r="44553" customFormat="false" ht="15" hidden="false" customHeight="true" outlineLevel="0" collapsed="false"/>
    <row r="44554" customFormat="false" ht="15" hidden="false" customHeight="true" outlineLevel="0" collapsed="false"/>
    <row r="44555" customFormat="false" ht="15" hidden="false" customHeight="true" outlineLevel="0" collapsed="false"/>
    <row r="44556" customFormat="false" ht="15" hidden="false" customHeight="true" outlineLevel="0" collapsed="false"/>
    <row r="44557" customFormat="false" ht="15" hidden="false" customHeight="true" outlineLevel="0" collapsed="false"/>
    <row r="44558" customFormat="false" ht="15" hidden="false" customHeight="true" outlineLevel="0" collapsed="false"/>
    <row r="44559" customFormat="false" ht="15" hidden="false" customHeight="true" outlineLevel="0" collapsed="false"/>
    <row r="44560" customFormat="false" ht="15" hidden="false" customHeight="true" outlineLevel="0" collapsed="false"/>
    <row r="44561" customFormat="false" ht="15" hidden="false" customHeight="true" outlineLevel="0" collapsed="false"/>
    <row r="44562" customFormat="false" ht="15" hidden="false" customHeight="true" outlineLevel="0" collapsed="false"/>
    <row r="44563" customFormat="false" ht="15" hidden="false" customHeight="true" outlineLevel="0" collapsed="false"/>
    <row r="44564" customFormat="false" ht="15" hidden="false" customHeight="true" outlineLevel="0" collapsed="false"/>
    <row r="44565" customFormat="false" ht="15" hidden="false" customHeight="true" outlineLevel="0" collapsed="false"/>
    <row r="44566" customFormat="false" ht="15" hidden="false" customHeight="true" outlineLevel="0" collapsed="false"/>
    <row r="44567" customFormat="false" ht="15" hidden="false" customHeight="true" outlineLevel="0" collapsed="false"/>
    <row r="44568" customFormat="false" ht="15" hidden="false" customHeight="true" outlineLevel="0" collapsed="false"/>
    <row r="44569" customFormat="false" ht="15" hidden="false" customHeight="true" outlineLevel="0" collapsed="false"/>
    <row r="44570" customFormat="false" ht="15" hidden="false" customHeight="true" outlineLevel="0" collapsed="false"/>
    <row r="44571" customFormat="false" ht="15" hidden="false" customHeight="true" outlineLevel="0" collapsed="false"/>
    <row r="44572" customFormat="false" ht="15" hidden="false" customHeight="true" outlineLevel="0" collapsed="false"/>
    <row r="44573" customFormat="false" ht="15" hidden="false" customHeight="true" outlineLevel="0" collapsed="false"/>
    <row r="44574" customFormat="false" ht="15" hidden="false" customHeight="true" outlineLevel="0" collapsed="false"/>
    <row r="44575" customFormat="false" ht="15" hidden="false" customHeight="true" outlineLevel="0" collapsed="false"/>
    <row r="44576" customFormat="false" ht="15" hidden="false" customHeight="true" outlineLevel="0" collapsed="false"/>
    <row r="44577" customFormat="false" ht="15" hidden="false" customHeight="true" outlineLevel="0" collapsed="false"/>
    <row r="44578" customFormat="false" ht="15" hidden="false" customHeight="true" outlineLevel="0" collapsed="false"/>
    <row r="44579" customFormat="false" ht="15" hidden="false" customHeight="true" outlineLevel="0" collapsed="false"/>
    <row r="44580" customFormat="false" ht="15" hidden="false" customHeight="true" outlineLevel="0" collapsed="false"/>
    <row r="44581" customFormat="false" ht="15" hidden="false" customHeight="true" outlineLevel="0" collapsed="false"/>
    <row r="44582" customFormat="false" ht="15" hidden="false" customHeight="true" outlineLevel="0" collapsed="false"/>
    <row r="44583" customFormat="false" ht="15" hidden="false" customHeight="true" outlineLevel="0" collapsed="false"/>
    <row r="44584" customFormat="false" ht="15" hidden="false" customHeight="true" outlineLevel="0" collapsed="false"/>
    <row r="44585" customFormat="false" ht="15" hidden="false" customHeight="true" outlineLevel="0" collapsed="false"/>
    <row r="44586" customFormat="false" ht="15" hidden="false" customHeight="true" outlineLevel="0" collapsed="false"/>
    <row r="44587" customFormat="false" ht="15" hidden="false" customHeight="true" outlineLevel="0" collapsed="false"/>
    <row r="44588" customFormat="false" ht="15" hidden="false" customHeight="true" outlineLevel="0" collapsed="false"/>
    <row r="44589" customFormat="false" ht="15" hidden="false" customHeight="true" outlineLevel="0" collapsed="false"/>
    <row r="44590" customFormat="false" ht="15" hidden="false" customHeight="true" outlineLevel="0" collapsed="false"/>
    <row r="44591" customFormat="false" ht="15" hidden="false" customHeight="true" outlineLevel="0" collapsed="false"/>
    <row r="44592" customFormat="false" ht="15" hidden="false" customHeight="true" outlineLevel="0" collapsed="false"/>
    <row r="44593" customFormat="false" ht="15" hidden="false" customHeight="true" outlineLevel="0" collapsed="false"/>
    <row r="44594" customFormat="false" ht="15" hidden="false" customHeight="true" outlineLevel="0" collapsed="false"/>
    <row r="44595" customFormat="false" ht="15" hidden="false" customHeight="true" outlineLevel="0" collapsed="false"/>
    <row r="44596" customFormat="false" ht="15" hidden="false" customHeight="true" outlineLevel="0" collapsed="false"/>
    <row r="44597" customFormat="false" ht="15" hidden="false" customHeight="true" outlineLevel="0" collapsed="false"/>
    <row r="44598" customFormat="false" ht="15" hidden="false" customHeight="true" outlineLevel="0" collapsed="false"/>
    <row r="44599" customFormat="false" ht="15" hidden="false" customHeight="true" outlineLevel="0" collapsed="false"/>
    <row r="44600" customFormat="false" ht="15" hidden="false" customHeight="true" outlineLevel="0" collapsed="false"/>
    <row r="44601" customFormat="false" ht="15" hidden="false" customHeight="true" outlineLevel="0" collapsed="false"/>
    <row r="44602" customFormat="false" ht="15" hidden="false" customHeight="true" outlineLevel="0" collapsed="false"/>
    <row r="44603" customFormat="false" ht="15" hidden="false" customHeight="true" outlineLevel="0" collapsed="false"/>
    <row r="44604" customFormat="false" ht="15" hidden="false" customHeight="true" outlineLevel="0" collapsed="false"/>
    <row r="44605" customFormat="false" ht="15" hidden="false" customHeight="true" outlineLevel="0" collapsed="false"/>
    <row r="44606" customFormat="false" ht="15" hidden="false" customHeight="true" outlineLevel="0" collapsed="false"/>
    <row r="44607" customFormat="false" ht="15" hidden="false" customHeight="true" outlineLevel="0" collapsed="false"/>
    <row r="44608" customFormat="false" ht="15" hidden="false" customHeight="true" outlineLevel="0" collapsed="false"/>
    <row r="44609" customFormat="false" ht="15" hidden="false" customHeight="true" outlineLevel="0" collapsed="false"/>
    <row r="44610" customFormat="false" ht="15" hidden="false" customHeight="true" outlineLevel="0" collapsed="false"/>
    <row r="44611" customFormat="false" ht="15" hidden="false" customHeight="true" outlineLevel="0" collapsed="false"/>
    <row r="44612" customFormat="false" ht="15" hidden="false" customHeight="true" outlineLevel="0" collapsed="false"/>
    <row r="44613" customFormat="false" ht="15" hidden="false" customHeight="true" outlineLevel="0" collapsed="false"/>
    <row r="44614" customFormat="false" ht="15" hidden="false" customHeight="true" outlineLevel="0" collapsed="false"/>
    <row r="44615" customFormat="false" ht="15" hidden="false" customHeight="true" outlineLevel="0" collapsed="false"/>
    <row r="44616" customFormat="false" ht="15" hidden="false" customHeight="true" outlineLevel="0" collapsed="false"/>
    <row r="44617" customFormat="false" ht="15" hidden="false" customHeight="true" outlineLevel="0" collapsed="false"/>
    <row r="44618" customFormat="false" ht="15" hidden="false" customHeight="true" outlineLevel="0" collapsed="false"/>
    <row r="44619" customFormat="false" ht="15" hidden="false" customHeight="true" outlineLevel="0" collapsed="false"/>
    <row r="44620" customFormat="false" ht="15" hidden="false" customHeight="true" outlineLevel="0" collapsed="false"/>
    <row r="44621" customFormat="false" ht="15" hidden="false" customHeight="true" outlineLevel="0" collapsed="false"/>
    <row r="44622" customFormat="false" ht="15" hidden="false" customHeight="true" outlineLevel="0" collapsed="false"/>
    <row r="44623" customFormat="false" ht="15" hidden="false" customHeight="true" outlineLevel="0" collapsed="false"/>
    <row r="44624" customFormat="false" ht="15" hidden="false" customHeight="true" outlineLevel="0" collapsed="false"/>
    <row r="44625" customFormat="false" ht="15" hidden="false" customHeight="true" outlineLevel="0" collapsed="false"/>
    <row r="44626" customFormat="false" ht="15" hidden="false" customHeight="true" outlineLevel="0" collapsed="false"/>
    <row r="44627" customFormat="false" ht="15" hidden="false" customHeight="true" outlineLevel="0" collapsed="false"/>
    <row r="44628" customFormat="false" ht="15" hidden="false" customHeight="true" outlineLevel="0" collapsed="false"/>
    <row r="44629" customFormat="false" ht="15" hidden="false" customHeight="true" outlineLevel="0" collapsed="false"/>
    <row r="44630" customFormat="false" ht="15" hidden="false" customHeight="true" outlineLevel="0" collapsed="false"/>
    <row r="44631" customFormat="false" ht="15" hidden="false" customHeight="true" outlineLevel="0" collapsed="false"/>
    <row r="44632" customFormat="false" ht="15" hidden="false" customHeight="true" outlineLevel="0" collapsed="false"/>
    <row r="44633" customFormat="false" ht="15" hidden="false" customHeight="true" outlineLevel="0" collapsed="false"/>
    <row r="44634" customFormat="false" ht="15" hidden="false" customHeight="true" outlineLevel="0" collapsed="false"/>
    <row r="44635" customFormat="false" ht="15" hidden="false" customHeight="true" outlineLevel="0" collapsed="false"/>
    <row r="44636" customFormat="false" ht="15" hidden="false" customHeight="true" outlineLevel="0" collapsed="false"/>
    <row r="44637" customFormat="false" ht="15" hidden="false" customHeight="true" outlineLevel="0" collapsed="false"/>
    <row r="44638" customFormat="false" ht="15" hidden="false" customHeight="true" outlineLevel="0" collapsed="false"/>
    <row r="44639" customFormat="false" ht="15" hidden="false" customHeight="true" outlineLevel="0" collapsed="false"/>
    <row r="44640" customFormat="false" ht="15" hidden="false" customHeight="true" outlineLevel="0" collapsed="false"/>
    <row r="44641" customFormat="false" ht="15" hidden="false" customHeight="true" outlineLevel="0" collapsed="false"/>
    <row r="44642" customFormat="false" ht="15" hidden="false" customHeight="true" outlineLevel="0" collapsed="false"/>
    <row r="44643" customFormat="false" ht="15" hidden="false" customHeight="true" outlineLevel="0" collapsed="false"/>
    <row r="44644" customFormat="false" ht="15" hidden="false" customHeight="true" outlineLevel="0" collapsed="false"/>
    <row r="44645" customFormat="false" ht="15" hidden="false" customHeight="true" outlineLevel="0" collapsed="false"/>
    <row r="44646" customFormat="false" ht="15" hidden="false" customHeight="true" outlineLevel="0" collapsed="false"/>
    <row r="44647" customFormat="false" ht="15" hidden="false" customHeight="true" outlineLevel="0" collapsed="false"/>
    <row r="44648" customFormat="false" ht="15" hidden="false" customHeight="true" outlineLevel="0" collapsed="false"/>
    <row r="44649" customFormat="false" ht="15" hidden="false" customHeight="true" outlineLevel="0" collapsed="false"/>
    <row r="44650" customFormat="false" ht="15" hidden="false" customHeight="true" outlineLevel="0" collapsed="false"/>
    <row r="44651" customFormat="false" ht="15" hidden="false" customHeight="true" outlineLevel="0" collapsed="false"/>
    <row r="44652" customFormat="false" ht="15" hidden="false" customHeight="true" outlineLevel="0" collapsed="false"/>
    <row r="44653" customFormat="false" ht="15" hidden="false" customHeight="true" outlineLevel="0" collapsed="false"/>
    <row r="44654" customFormat="false" ht="15" hidden="false" customHeight="true" outlineLevel="0" collapsed="false"/>
    <row r="44655" customFormat="false" ht="15" hidden="false" customHeight="true" outlineLevel="0" collapsed="false"/>
    <row r="44656" customFormat="false" ht="15" hidden="false" customHeight="true" outlineLevel="0" collapsed="false"/>
    <row r="44657" customFormat="false" ht="15" hidden="false" customHeight="true" outlineLevel="0" collapsed="false"/>
    <row r="44658" customFormat="false" ht="15" hidden="false" customHeight="true" outlineLevel="0" collapsed="false"/>
    <row r="44659" customFormat="false" ht="15" hidden="false" customHeight="true" outlineLevel="0" collapsed="false"/>
    <row r="44660" customFormat="false" ht="15" hidden="false" customHeight="true" outlineLevel="0" collapsed="false"/>
    <row r="44661" customFormat="false" ht="15" hidden="false" customHeight="true" outlineLevel="0" collapsed="false"/>
    <row r="44662" customFormat="false" ht="15" hidden="false" customHeight="true" outlineLevel="0" collapsed="false"/>
    <row r="44663" customFormat="false" ht="15" hidden="false" customHeight="true" outlineLevel="0" collapsed="false"/>
    <row r="44664" customFormat="false" ht="15" hidden="false" customHeight="true" outlineLevel="0" collapsed="false"/>
    <row r="44665" customFormat="false" ht="15" hidden="false" customHeight="true" outlineLevel="0" collapsed="false"/>
    <row r="44666" customFormat="false" ht="15" hidden="false" customHeight="true" outlineLevel="0" collapsed="false"/>
    <row r="44667" customFormat="false" ht="15" hidden="false" customHeight="true" outlineLevel="0" collapsed="false"/>
    <row r="44668" customFormat="false" ht="15" hidden="false" customHeight="true" outlineLevel="0" collapsed="false"/>
    <row r="44669" customFormat="false" ht="15" hidden="false" customHeight="true" outlineLevel="0" collapsed="false"/>
    <row r="44670" customFormat="false" ht="15" hidden="false" customHeight="true" outlineLevel="0" collapsed="false"/>
    <row r="44671" customFormat="false" ht="15" hidden="false" customHeight="true" outlineLevel="0" collapsed="false"/>
    <row r="44672" customFormat="false" ht="15" hidden="false" customHeight="true" outlineLevel="0" collapsed="false"/>
    <row r="44673" customFormat="false" ht="15" hidden="false" customHeight="true" outlineLevel="0" collapsed="false"/>
    <row r="44674" customFormat="false" ht="15" hidden="false" customHeight="true" outlineLevel="0" collapsed="false"/>
    <row r="44675" customFormat="false" ht="15" hidden="false" customHeight="true" outlineLevel="0" collapsed="false"/>
    <row r="44676" customFormat="false" ht="15" hidden="false" customHeight="true" outlineLevel="0" collapsed="false"/>
    <row r="44677" customFormat="false" ht="15" hidden="false" customHeight="true" outlineLevel="0" collapsed="false"/>
    <row r="44678" customFormat="false" ht="15" hidden="false" customHeight="true" outlineLevel="0" collapsed="false"/>
    <row r="44679" customFormat="false" ht="15" hidden="false" customHeight="true" outlineLevel="0" collapsed="false"/>
    <row r="44680" customFormat="false" ht="15" hidden="false" customHeight="true" outlineLevel="0" collapsed="false"/>
    <row r="44681" customFormat="false" ht="15" hidden="false" customHeight="true" outlineLevel="0" collapsed="false"/>
    <row r="44682" customFormat="false" ht="15" hidden="false" customHeight="true" outlineLevel="0" collapsed="false"/>
    <row r="44683" customFormat="false" ht="15" hidden="false" customHeight="true" outlineLevel="0" collapsed="false"/>
    <row r="44684" customFormat="false" ht="15" hidden="false" customHeight="true" outlineLevel="0" collapsed="false"/>
    <row r="44685" customFormat="false" ht="15" hidden="false" customHeight="true" outlineLevel="0" collapsed="false"/>
    <row r="44686" customFormat="false" ht="15" hidden="false" customHeight="true" outlineLevel="0" collapsed="false"/>
    <row r="44687" customFormat="false" ht="15" hidden="false" customHeight="true" outlineLevel="0" collapsed="false"/>
    <row r="44688" customFormat="false" ht="15" hidden="false" customHeight="true" outlineLevel="0" collapsed="false"/>
    <row r="44689" customFormat="false" ht="15" hidden="false" customHeight="true" outlineLevel="0" collapsed="false"/>
    <row r="44690" customFormat="false" ht="15" hidden="false" customHeight="true" outlineLevel="0" collapsed="false"/>
    <row r="44691" customFormat="false" ht="15" hidden="false" customHeight="true" outlineLevel="0" collapsed="false"/>
    <row r="44692" customFormat="false" ht="15" hidden="false" customHeight="true" outlineLevel="0" collapsed="false"/>
    <row r="44693" customFormat="false" ht="15" hidden="false" customHeight="true" outlineLevel="0" collapsed="false"/>
    <row r="44694" customFormat="false" ht="15" hidden="false" customHeight="true" outlineLevel="0" collapsed="false"/>
    <row r="44695" customFormat="false" ht="15" hidden="false" customHeight="true" outlineLevel="0" collapsed="false"/>
    <row r="44696" customFormat="false" ht="15" hidden="false" customHeight="true" outlineLevel="0" collapsed="false"/>
    <row r="44697" customFormat="false" ht="15" hidden="false" customHeight="true" outlineLevel="0" collapsed="false"/>
    <row r="44698" customFormat="false" ht="15" hidden="false" customHeight="true" outlineLevel="0" collapsed="false"/>
    <row r="44699" customFormat="false" ht="15" hidden="false" customHeight="true" outlineLevel="0" collapsed="false"/>
    <row r="44700" customFormat="false" ht="15" hidden="false" customHeight="true" outlineLevel="0" collapsed="false"/>
    <row r="44701" customFormat="false" ht="15" hidden="false" customHeight="true" outlineLevel="0" collapsed="false"/>
    <row r="44702" customFormat="false" ht="15" hidden="false" customHeight="true" outlineLevel="0" collapsed="false"/>
    <row r="44703" customFormat="false" ht="15" hidden="false" customHeight="true" outlineLevel="0" collapsed="false"/>
    <row r="44704" customFormat="false" ht="15" hidden="false" customHeight="true" outlineLevel="0" collapsed="false"/>
    <row r="44705" customFormat="false" ht="15" hidden="false" customHeight="true" outlineLevel="0" collapsed="false"/>
    <row r="44706" customFormat="false" ht="15" hidden="false" customHeight="true" outlineLevel="0" collapsed="false"/>
    <row r="44707" customFormat="false" ht="15" hidden="false" customHeight="true" outlineLevel="0" collapsed="false"/>
    <row r="44708" customFormat="false" ht="15" hidden="false" customHeight="true" outlineLevel="0" collapsed="false"/>
    <row r="44709" customFormat="false" ht="15" hidden="false" customHeight="true" outlineLevel="0" collapsed="false"/>
    <row r="44710" customFormat="false" ht="15" hidden="false" customHeight="true" outlineLevel="0" collapsed="false"/>
    <row r="44711" customFormat="false" ht="15" hidden="false" customHeight="true" outlineLevel="0" collapsed="false"/>
    <row r="44712" customFormat="false" ht="15" hidden="false" customHeight="true" outlineLevel="0" collapsed="false"/>
    <row r="44713" customFormat="false" ht="15" hidden="false" customHeight="true" outlineLevel="0" collapsed="false"/>
    <row r="44714" customFormat="false" ht="15" hidden="false" customHeight="true" outlineLevel="0" collapsed="false"/>
    <row r="44715" customFormat="false" ht="15" hidden="false" customHeight="true" outlineLevel="0" collapsed="false"/>
    <row r="44716" customFormat="false" ht="15" hidden="false" customHeight="true" outlineLevel="0" collapsed="false"/>
    <row r="44717" customFormat="false" ht="15" hidden="false" customHeight="true" outlineLevel="0" collapsed="false"/>
    <row r="44718" customFormat="false" ht="15" hidden="false" customHeight="true" outlineLevel="0" collapsed="false"/>
    <row r="44719" customFormat="false" ht="15" hidden="false" customHeight="true" outlineLevel="0" collapsed="false"/>
    <row r="44720" customFormat="false" ht="15" hidden="false" customHeight="true" outlineLevel="0" collapsed="false"/>
    <row r="44721" customFormat="false" ht="15" hidden="false" customHeight="true" outlineLevel="0" collapsed="false"/>
    <row r="44722" customFormat="false" ht="15" hidden="false" customHeight="true" outlineLevel="0" collapsed="false"/>
    <row r="44723" customFormat="false" ht="15" hidden="false" customHeight="true" outlineLevel="0" collapsed="false"/>
    <row r="44724" customFormat="false" ht="15" hidden="false" customHeight="true" outlineLevel="0" collapsed="false"/>
    <row r="44725" customFormat="false" ht="15" hidden="false" customHeight="true" outlineLevel="0" collapsed="false"/>
    <row r="44726" customFormat="false" ht="15" hidden="false" customHeight="true" outlineLevel="0" collapsed="false"/>
    <row r="44727" customFormat="false" ht="15" hidden="false" customHeight="true" outlineLevel="0" collapsed="false"/>
    <row r="44728" customFormat="false" ht="15" hidden="false" customHeight="true" outlineLevel="0" collapsed="false"/>
    <row r="44729" customFormat="false" ht="15" hidden="false" customHeight="true" outlineLevel="0" collapsed="false"/>
    <row r="44730" customFormat="false" ht="15" hidden="false" customHeight="true" outlineLevel="0" collapsed="false"/>
    <row r="44731" customFormat="false" ht="15" hidden="false" customHeight="true" outlineLevel="0" collapsed="false"/>
    <row r="44732" customFormat="false" ht="15" hidden="false" customHeight="true" outlineLevel="0" collapsed="false"/>
    <row r="44733" customFormat="false" ht="15" hidden="false" customHeight="true" outlineLevel="0" collapsed="false"/>
    <row r="44734" customFormat="false" ht="15" hidden="false" customHeight="true" outlineLevel="0" collapsed="false"/>
    <row r="44735" customFormat="false" ht="15" hidden="false" customHeight="true" outlineLevel="0" collapsed="false"/>
    <row r="44736" customFormat="false" ht="15" hidden="false" customHeight="true" outlineLevel="0" collapsed="false"/>
    <row r="44737" customFormat="false" ht="15" hidden="false" customHeight="true" outlineLevel="0" collapsed="false"/>
    <row r="44738" customFormat="false" ht="15" hidden="false" customHeight="true" outlineLevel="0" collapsed="false"/>
    <row r="44739" customFormat="false" ht="15" hidden="false" customHeight="true" outlineLevel="0" collapsed="false"/>
    <row r="44740" customFormat="false" ht="15" hidden="false" customHeight="true" outlineLevel="0" collapsed="false"/>
    <row r="44741" customFormat="false" ht="15" hidden="false" customHeight="true" outlineLevel="0" collapsed="false"/>
    <row r="44742" customFormat="false" ht="15" hidden="false" customHeight="true" outlineLevel="0" collapsed="false"/>
    <row r="44743" customFormat="false" ht="15" hidden="false" customHeight="true" outlineLevel="0" collapsed="false"/>
    <row r="44744" customFormat="false" ht="15" hidden="false" customHeight="true" outlineLevel="0" collapsed="false"/>
    <row r="44745" customFormat="false" ht="15" hidden="false" customHeight="true" outlineLevel="0" collapsed="false"/>
    <row r="44746" customFormat="false" ht="15" hidden="false" customHeight="true" outlineLevel="0" collapsed="false"/>
    <row r="44747" customFormat="false" ht="15" hidden="false" customHeight="true" outlineLevel="0" collapsed="false"/>
    <row r="44748" customFormat="false" ht="15" hidden="false" customHeight="true" outlineLevel="0" collapsed="false"/>
    <row r="44749" customFormat="false" ht="15" hidden="false" customHeight="true" outlineLevel="0" collapsed="false"/>
    <row r="44750" customFormat="false" ht="15" hidden="false" customHeight="true" outlineLevel="0" collapsed="false"/>
    <row r="44751" customFormat="false" ht="15" hidden="false" customHeight="true" outlineLevel="0" collapsed="false"/>
    <row r="44752" customFormat="false" ht="15" hidden="false" customHeight="true" outlineLevel="0" collapsed="false"/>
    <row r="44753" customFormat="false" ht="15" hidden="false" customHeight="true" outlineLevel="0" collapsed="false"/>
    <row r="44754" customFormat="false" ht="15" hidden="false" customHeight="true" outlineLevel="0" collapsed="false"/>
    <row r="44755" customFormat="false" ht="15" hidden="false" customHeight="true" outlineLevel="0" collapsed="false"/>
    <row r="44756" customFormat="false" ht="15" hidden="false" customHeight="true" outlineLevel="0" collapsed="false"/>
    <row r="44757" customFormat="false" ht="15" hidden="false" customHeight="true" outlineLevel="0" collapsed="false"/>
    <row r="44758" customFormat="false" ht="15" hidden="false" customHeight="true" outlineLevel="0" collapsed="false"/>
    <row r="44759" customFormat="false" ht="15" hidden="false" customHeight="true" outlineLevel="0" collapsed="false"/>
    <row r="44760" customFormat="false" ht="15" hidden="false" customHeight="true" outlineLevel="0" collapsed="false"/>
    <row r="44761" customFormat="false" ht="15" hidden="false" customHeight="true" outlineLevel="0" collapsed="false"/>
    <row r="44762" customFormat="false" ht="15" hidden="false" customHeight="true" outlineLevel="0" collapsed="false"/>
    <row r="44763" customFormat="false" ht="15" hidden="false" customHeight="true" outlineLevel="0" collapsed="false"/>
    <row r="44764" customFormat="false" ht="15" hidden="false" customHeight="true" outlineLevel="0" collapsed="false"/>
    <row r="44765" customFormat="false" ht="15" hidden="false" customHeight="true" outlineLevel="0" collapsed="false"/>
    <row r="44766" customFormat="false" ht="15" hidden="false" customHeight="true" outlineLevel="0" collapsed="false"/>
    <row r="44767" customFormat="false" ht="15" hidden="false" customHeight="true" outlineLevel="0" collapsed="false"/>
    <row r="44768" customFormat="false" ht="15" hidden="false" customHeight="true" outlineLevel="0" collapsed="false"/>
    <row r="44769" customFormat="false" ht="15" hidden="false" customHeight="true" outlineLevel="0" collapsed="false"/>
    <row r="44770" customFormat="false" ht="15" hidden="false" customHeight="true" outlineLevel="0" collapsed="false"/>
    <row r="44771" customFormat="false" ht="15" hidden="false" customHeight="true" outlineLevel="0" collapsed="false"/>
    <row r="44772" customFormat="false" ht="15" hidden="false" customHeight="true" outlineLevel="0" collapsed="false"/>
    <row r="44773" customFormat="false" ht="15" hidden="false" customHeight="true" outlineLevel="0" collapsed="false"/>
    <row r="44774" customFormat="false" ht="15" hidden="false" customHeight="true" outlineLevel="0" collapsed="false"/>
    <row r="44775" customFormat="false" ht="15" hidden="false" customHeight="true" outlineLevel="0" collapsed="false"/>
    <row r="44776" customFormat="false" ht="15" hidden="false" customHeight="true" outlineLevel="0" collapsed="false"/>
    <row r="44777" customFormat="false" ht="15" hidden="false" customHeight="true" outlineLevel="0" collapsed="false"/>
    <row r="44778" customFormat="false" ht="15" hidden="false" customHeight="true" outlineLevel="0" collapsed="false"/>
    <row r="44779" customFormat="false" ht="15" hidden="false" customHeight="true" outlineLevel="0" collapsed="false"/>
    <row r="44780" customFormat="false" ht="15" hidden="false" customHeight="true" outlineLevel="0" collapsed="false"/>
    <row r="44781" customFormat="false" ht="15" hidden="false" customHeight="true" outlineLevel="0" collapsed="false"/>
    <row r="44782" customFormat="false" ht="15" hidden="false" customHeight="true" outlineLevel="0" collapsed="false"/>
    <row r="44783" customFormat="false" ht="15" hidden="false" customHeight="true" outlineLevel="0" collapsed="false"/>
    <row r="44784" customFormat="false" ht="15" hidden="false" customHeight="true" outlineLevel="0" collapsed="false"/>
    <row r="44785" customFormat="false" ht="15" hidden="false" customHeight="true" outlineLevel="0" collapsed="false"/>
    <row r="44786" customFormat="false" ht="15" hidden="false" customHeight="true" outlineLevel="0" collapsed="false"/>
    <row r="44787" customFormat="false" ht="15" hidden="false" customHeight="true" outlineLevel="0" collapsed="false"/>
    <row r="44788" customFormat="false" ht="15" hidden="false" customHeight="true" outlineLevel="0" collapsed="false"/>
    <row r="44789" customFormat="false" ht="15" hidden="false" customHeight="true" outlineLevel="0" collapsed="false"/>
    <row r="44790" customFormat="false" ht="15" hidden="false" customHeight="true" outlineLevel="0" collapsed="false"/>
    <row r="44791" customFormat="false" ht="15" hidden="false" customHeight="true" outlineLevel="0" collapsed="false"/>
    <row r="44792" customFormat="false" ht="15" hidden="false" customHeight="true" outlineLevel="0" collapsed="false"/>
    <row r="44793" customFormat="false" ht="15" hidden="false" customHeight="true" outlineLevel="0" collapsed="false"/>
    <row r="44794" customFormat="false" ht="15" hidden="false" customHeight="true" outlineLevel="0" collapsed="false"/>
    <row r="44795" customFormat="false" ht="15" hidden="false" customHeight="true" outlineLevel="0" collapsed="false"/>
    <row r="44796" customFormat="false" ht="15" hidden="false" customHeight="true" outlineLevel="0" collapsed="false"/>
    <row r="44797" customFormat="false" ht="15" hidden="false" customHeight="true" outlineLevel="0" collapsed="false"/>
    <row r="44798" customFormat="false" ht="15" hidden="false" customHeight="true" outlineLevel="0" collapsed="false"/>
    <row r="44799" customFormat="false" ht="15" hidden="false" customHeight="true" outlineLevel="0" collapsed="false"/>
    <row r="44800" customFormat="false" ht="15" hidden="false" customHeight="true" outlineLevel="0" collapsed="false"/>
    <row r="44801" customFormat="false" ht="15" hidden="false" customHeight="true" outlineLevel="0" collapsed="false"/>
    <row r="44802" customFormat="false" ht="15" hidden="false" customHeight="true" outlineLevel="0" collapsed="false"/>
    <row r="44803" customFormat="false" ht="15" hidden="false" customHeight="true" outlineLevel="0" collapsed="false"/>
    <row r="44804" customFormat="false" ht="15" hidden="false" customHeight="true" outlineLevel="0" collapsed="false"/>
    <row r="44805" customFormat="false" ht="15" hidden="false" customHeight="true" outlineLevel="0" collapsed="false"/>
    <row r="44806" customFormat="false" ht="15" hidden="false" customHeight="true" outlineLevel="0" collapsed="false"/>
    <row r="44807" customFormat="false" ht="15" hidden="false" customHeight="true" outlineLevel="0" collapsed="false"/>
    <row r="44808" customFormat="false" ht="15" hidden="false" customHeight="true" outlineLevel="0" collapsed="false"/>
    <row r="44809" customFormat="false" ht="15" hidden="false" customHeight="true" outlineLevel="0" collapsed="false"/>
    <row r="44810" customFormat="false" ht="15" hidden="false" customHeight="true" outlineLevel="0" collapsed="false"/>
    <row r="44811" customFormat="false" ht="15" hidden="false" customHeight="true" outlineLevel="0" collapsed="false"/>
    <row r="44812" customFormat="false" ht="15" hidden="false" customHeight="true" outlineLevel="0" collapsed="false"/>
    <row r="44813" customFormat="false" ht="15" hidden="false" customHeight="true" outlineLevel="0" collapsed="false"/>
    <row r="44814" customFormat="false" ht="15" hidden="false" customHeight="true" outlineLevel="0" collapsed="false"/>
    <row r="44815" customFormat="false" ht="15" hidden="false" customHeight="true" outlineLevel="0" collapsed="false"/>
    <row r="44816" customFormat="false" ht="15" hidden="false" customHeight="true" outlineLevel="0" collapsed="false"/>
    <row r="44817" customFormat="false" ht="15" hidden="false" customHeight="true" outlineLevel="0" collapsed="false"/>
    <row r="44818" customFormat="false" ht="15" hidden="false" customHeight="true" outlineLevel="0" collapsed="false"/>
    <row r="44819" customFormat="false" ht="15" hidden="false" customHeight="true" outlineLevel="0" collapsed="false"/>
    <row r="44820" customFormat="false" ht="15" hidden="false" customHeight="true" outlineLevel="0" collapsed="false"/>
    <row r="44821" customFormat="false" ht="15" hidden="false" customHeight="true" outlineLevel="0" collapsed="false"/>
    <row r="44822" customFormat="false" ht="15" hidden="false" customHeight="true" outlineLevel="0" collapsed="false"/>
    <row r="44823" customFormat="false" ht="15" hidden="false" customHeight="true" outlineLevel="0" collapsed="false"/>
    <row r="44824" customFormat="false" ht="15" hidden="false" customHeight="true" outlineLevel="0" collapsed="false"/>
    <row r="44825" customFormat="false" ht="15" hidden="false" customHeight="true" outlineLevel="0" collapsed="false"/>
    <row r="44826" customFormat="false" ht="15" hidden="false" customHeight="true" outlineLevel="0" collapsed="false"/>
    <row r="44827" customFormat="false" ht="15" hidden="false" customHeight="true" outlineLevel="0" collapsed="false"/>
    <row r="44828" customFormat="false" ht="15" hidden="false" customHeight="true" outlineLevel="0" collapsed="false"/>
    <row r="44829" customFormat="false" ht="15" hidden="false" customHeight="true" outlineLevel="0" collapsed="false"/>
    <row r="44830" customFormat="false" ht="15" hidden="false" customHeight="true" outlineLevel="0" collapsed="false"/>
    <row r="44831" customFormat="false" ht="15" hidden="false" customHeight="true" outlineLevel="0" collapsed="false"/>
    <row r="44832" customFormat="false" ht="15" hidden="false" customHeight="true" outlineLevel="0" collapsed="false"/>
    <row r="44833" customFormat="false" ht="15" hidden="false" customHeight="true" outlineLevel="0" collapsed="false"/>
    <row r="44834" customFormat="false" ht="15" hidden="false" customHeight="true" outlineLevel="0" collapsed="false"/>
    <row r="44835" customFormat="false" ht="15" hidden="false" customHeight="true" outlineLevel="0" collapsed="false"/>
    <row r="44836" customFormat="false" ht="15" hidden="false" customHeight="true" outlineLevel="0" collapsed="false"/>
    <row r="44837" customFormat="false" ht="15" hidden="false" customHeight="true" outlineLevel="0" collapsed="false"/>
    <row r="44838" customFormat="false" ht="15" hidden="false" customHeight="true" outlineLevel="0" collapsed="false"/>
    <row r="44839" customFormat="false" ht="15" hidden="false" customHeight="true" outlineLevel="0" collapsed="false"/>
    <row r="44840" customFormat="false" ht="15" hidden="false" customHeight="true" outlineLevel="0" collapsed="false"/>
    <row r="44841" customFormat="false" ht="15" hidden="false" customHeight="true" outlineLevel="0" collapsed="false"/>
    <row r="44842" customFormat="false" ht="15" hidden="false" customHeight="true" outlineLevel="0" collapsed="false"/>
    <row r="44843" customFormat="false" ht="15" hidden="false" customHeight="true" outlineLevel="0" collapsed="false"/>
    <row r="44844" customFormat="false" ht="15" hidden="false" customHeight="true" outlineLevel="0" collapsed="false"/>
    <row r="44845" customFormat="false" ht="15" hidden="false" customHeight="true" outlineLevel="0" collapsed="false"/>
    <row r="44846" customFormat="false" ht="15" hidden="false" customHeight="true" outlineLevel="0" collapsed="false"/>
    <row r="44847" customFormat="false" ht="15" hidden="false" customHeight="true" outlineLevel="0" collapsed="false"/>
    <row r="44848" customFormat="false" ht="15" hidden="false" customHeight="true" outlineLevel="0" collapsed="false"/>
    <row r="44849" customFormat="false" ht="15" hidden="false" customHeight="true" outlineLevel="0" collapsed="false"/>
    <row r="44850" customFormat="false" ht="15" hidden="false" customHeight="true" outlineLevel="0" collapsed="false"/>
    <row r="44851" customFormat="false" ht="15" hidden="false" customHeight="true" outlineLevel="0" collapsed="false"/>
    <row r="44852" customFormat="false" ht="15" hidden="false" customHeight="true" outlineLevel="0" collapsed="false"/>
    <row r="44853" customFormat="false" ht="15" hidden="false" customHeight="true" outlineLevel="0" collapsed="false"/>
    <row r="44854" customFormat="false" ht="15" hidden="false" customHeight="true" outlineLevel="0" collapsed="false"/>
    <row r="44855" customFormat="false" ht="15" hidden="false" customHeight="true" outlineLevel="0" collapsed="false"/>
    <row r="44856" customFormat="false" ht="15" hidden="false" customHeight="true" outlineLevel="0" collapsed="false"/>
    <row r="44857" customFormat="false" ht="15" hidden="false" customHeight="true" outlineLevel="0" collapsed="false"/>
    <row r="44858" customFormat="false" ht="15" hidden="false" customHeight="true" outlineLevel="0" collapsed="false"/>
    <row r="44859" customFormat="false" ht="15" hidden="false" customHeight="true" outlineLevel="0" collapsed="false"/>
    <row r="44860" customFormat="false" ht="15" hidden="false" customHeight="true" outlineLevel="0" collapsed="false"/>
    <row r="44861" customFormat="false" ht="15" hidden="false" customHeight="true" outlineLevel="0" collapsed="false"/>
    <row r="44862" customFormat="false" ht="15" hidden="false" customHeight="true" outlineLevel="0" collapsed="false"/>
    <row r="44863" customFormat="false" ht="15" hidden="false" customHeight="true" outlineLevel="0" collapsed="false"/>
    <row r="44864" customFormat="false" ht="15" hidden="false" customHeight="true" outlineLevel="0" collapsed="false"/>
    <row r="44865" customFormat="false" ht="15" hidden="false" customHeight="true" outlineLevel="0" collapsed="false"/>
    <row r="44866" customFormat="false" ht="15" hidden="false" customHeight="true" outlineLevel="0" collapsed="false"/>
    <row r="44867" customFormat="false" ht="15" hidden="false" customHeight="true" outlineLevel="0" collapsed="false"/>
    <row r="44868" customFormat="false" ht="15" hidden="false" customHeight="true" outlineLevel="0" collapsed="false"/>
    <row r="44869" customFormat="false" ht="15" hidden="false" customHeight="true" outlineLevel="0" collapsed="false"/>
    <row r="44870" customFormat="false" ht="15" hidden="false" customHeight="true" outlineLevel="0" collapsed="false"/>
    <row r="44871" customFormat="false" ht="15" hidden="false" customHeight="true" outlineLevel="0" collapsed="false"/>
    <row r="44872" customFormat="false" ht="15" hidden="false" customHeight="true" outlineLevel="0" collapsed="false"/>
    <row r="44873" customFormat="false" ht="15" hidden="false" customHeight="true" outlineLevel="0" collapsed="false"/>
    <row r="44874" customFormat="false" ht="15" hidden="false" customHeight="true" outlineLevel="0" collapsed="false"/>
    <row r="44875" customFormat="false" ht="15" hidden="false" customHeight="true" outlineLevel="0" collapsed="false"/>
    <row r="44876" customFormat="false" ht="15" hidden="false" customHeight="true" outlineLevel="0" collapsed="false"/>
    <row r="44877" customFormat="false" ht="15" hidden="false" customHeight="true" outlineLevel="0" collapsed="false"/>
    <row r="44878" customFormat="false" ht="15" hidden="false" customHeight="true" outlineLevel="0" collapsed="false"/>
    <row r="44879" customFormat="false" ht="15" hidden="false" customHeight="true" outlineLevel="0" collapsed="false"/>
    <row r="44880" customFormat="false" ht="15" hidden="false" customHeight="true" outlineLevel="0" collapsed="false"/>
    <row r="44881" customFormat="false" ht="15" hidden="false" customHeight="true" outlineLevel="0" collapsed="false"/>
    <row r="44882" customFormat="false" ht="15" hidden="false" customHeight="true" outlineLevel="0" collapsed="false"/>
    <row r="44883" customFormat="false" ht="15" hidden="false" customHeight="true" outlineLevel="0" collapsed="false"/>
    <row r="44884" customFormat="false" ht="15" hidden="false" customHeight="true" outlineLevel="0" collapsed="false"/>
    <row r="44885" customFormat="false" ht="15" hidden="false" customHeight="true" outlineLevel="0" collapsed="false"/>
    <row r="44886" customFormat="false" ht="15" hidden="false" customHeight="true" outlineLevel="0" collapsed="false"/>
    <row r="44887" customFormat="false" ht="15" hidden="false" customHeight="true" outlineLevel="0" collapsed="false"/>
    <row r="44888" customFormat="false" ht="15" hidden="false" customHeight="true" outlineLevel="0" collapsed="false"/>
    <row r="44889" customFormat="false" ht="15" hidden="false" customHeight="true" outlineLevel="0" collapsed="false"/>
    <row r="44890" customFormat="false" ht="15" hidden="false" customHeight="true" outlineLevel="0" collapsed="false"/>
    <row r="44891" customFormat="false" ht="15" hidden="false" customHeight="true" outlineLevel="0" collapsed="false"/>
    <row r="44892" customFormat="false" ht="15" hidden="false" customHeight="true" outlineLevel="0" collapsed="false"/>
    <row r="44893" customFormat="false" ht="15" hidden="false" customHeight="true" outlineLevel="0" collapsed="false"/>
    <row r="44894" customFormat="false" ht="15" hidden="false" customHeight="true" outlineLevel="0" collapsed="false"/>
    <row r="44895" customFormat="false" ht="15" hidden="false" customHeight="true" outlineLevel="0" collapsed="false"/>
    <row r="44896" customFormat="false" ht="15" hidden="false" customHeight="true" outlineLevel="0" collapsed="false"/>
    <row r="44897" customFormat="false" ht="15" hidden="false" customHeight="true" outlineLevel="0" collapsed="false"/>
    <row r="44898" customFormat="false" ht="15" hidden="false" customHeight="true" outlineLevel="0" collapsed="false"/>
    <row r="44899" customFormat="false" ht="15" hidden="false" customHeight="true" outlineLevel="0" collapsed="false"/>
    <row r="44900" customFormat="false" ht="15" hidden="false" customHeight="true" outlineLevel="0" collapsed="false"/>
    <row r="44901" customFormat="false" ht="15" hidden="false" customHeight="true" outlineLevel="0" collapsed="false"/>
    <row r="44902" customFormat="false" ht="15" hidden="false" customHeight="true" outlineLevel="0" collapsed="false"/>
    <row r="44903" customFormat="false" ht="15" hidden="false" customHeight="true" outlineLevel="0" collapsed="false"/>
    <row r="44904" customFormat="false" ht="15" hidden="false" customHeight="true" outlineLevel="0" collapsed="false"/>
    <row r="44905" customFormat="false" ht="15" hidden="false" customHeight="true" outlineLevel="0" collapsed="false"/>
    <row r="44906" customFormat="false" ht="15" hidden="false" customHeight="true" outlineLevel="0" collapsed="false"/>
    <row r="44907" customFormat="false" ht="15" hidden="false" customHeight="true" outlineLevel="0" collapsed="false"/>
    <row r="44908" customFormat="false" ht="15" hidden="false" customHeight="true" outlineLevel="0" collapsed="false"/>
    <row r="44909" customFormat="false" ht="15" hidden="false" customHeight="true" outlineLevel="0" collapsed="false"/>
    <row r="44910" customFormat="false" ht="15" hidden="false" customHeight="true" outlineLevel="0" collapsed="false"/>
    <row r="44911" customFormat="false" ht="15" hidden="false" customHeight="true" outlineLevel="0" collapsed="false"/>
    <row r="44912" customFormat="false" ht="15" hidden="false" customHeight="true" outlineLevel="0" collapsed="false"/>
    <row r="44913" customFormat="false" ht="15" hidden="false" customHeight="true" outlineLevel="0" collapsed="false"/>
    <row r="44914" customFormat="false" ht="15" hidden="false" customHeight="true" outlineLevel="0" collapsed="false"/>
    <row r="44915" customFormat="false" ht="15" hidden="false" customHeight="true" outlineLevel="0" collapsed="false"/>
    <row r="44916" customFormat="false" ht="15" hidden="false" customHeight="true" outlineLevel="0" collapsed="false"/>
    <row r="44917" customFormat="false" ht="15" hidden="false" customHeight="true" outlineLevel="0" collapsed="false"/>
    <row r="44918" customFormat="false" ht="15" hidden="false" customHeight="true" outlineLevel="0" collapsed="false"/>
    <row r="44919" customFormat="false" ht="15" hidden="false" customHeight="true" outlineLevel="0" collapsed="false"/>
    <row r="44920" customFormat="false" ht="15" hidden="false" customHeight="true" outlineLevel="0" collapsed="false"/>
    <row r="44921" customFormat="false" ht="15" hidden="false" customHeight="true" outlineLevel="0" collapsed="false"/>
    <row r="44922" customFormat="false" ht="15" hidden="false" customHeight="true" outlineLevel="0" collapsed="false"/>
    <row r="44923" customFormat="false" ht="15" hidden="false" customHeight="true" outlineLevel="0" collapsed="false"/>
    <row r="44924" customFormat="false" ht="15" hidden="false" customHeight="true" outlineLevel="0" collapsed="false"/>
    <row r="44925" customFormat="false" ht="15" hidden="false" customHeight="true" outlineLevel="0" collapsed="false"/>
    <row r="44926" customFormat="false" ht="15" hidden="false" customHeight="true" outlineLevel="0" collapsed="false"/>
    <row r="44927" customFormat="false" ht="15" hidden="false" customHeight="true" outlineLevel="0" collapsed="false"/>
    <row r="44928" customFormat="false" ht="15" hidden="false" customHeight="true" outlineLevel="0" collapsed="false"/>
    <row r="44929" customFormat="false" ht="15" hidden="false" customHeight="true" outlineLevel="0" collapsed="false"/>
    <row r="44930" customFormat="false" ht="15" hidden="false" customHeight="true" outlineLevel="0" collapsed="false"/>
    <row r="44931" customFormat="false" ht="15" hidden="false" customHeight="true" outlineLevel="0" collapsed="false"/>
    <row r="44932" customFormat="false" ht="15" hidden="false" customHeight="true" outlineLevel="0" collapsed="false"/>
    <row r="44933" customFormat="false" ht="15" hidden="false" customHeight="true" outlineLevel="0" collapsed="false"/>
    <row r="44934" customFormat="false" ht="15" hidden="false" customHeight="true" outlineLevel="0" collapsed="false"/>
    <row r="44935" customFormat="false" ht="15" hidden="false" customHeight="true" outlineLevel="0" collapsed="false"/>
    <row r="44936" customFormat="false" ht="15" hidden="false" customHeight="true" outlineLevel="0" collapsed="false"/>
    <row r="44937" customFormat="false" ht="15" hidden="false" customHeight="true" outlineLevel="0" collapsed="false"/>
    <row r="44938" customFormat="false" ht="15" hidden="false" customHeight="true" outlineLevel="0" collapsed="false"/>
    <row r="44939" customFormat="false" ht="15" hidden="false" customHeight="true" outlineLevel="0" collapsed="false"/>
    <row r="44940" customFormat="false" ht="15" hidden="false" customHeight="true" outlineLevel="0" collapsed="false"/>
    <row r="44941" customFormat="false" ht="15" hidden="false" customHeight="true" outlineLevel="0" collapsed="false"/>
    <row r="44942" customFormat="false" ht="15" hidden="false" customHeight="true" outlineLevel="0" collapsed="false"/>
    <row r="44943" customFormat="false" ht="15" hidden="false" customHeight="true" outlineLevel="0" collapsed="false"/>
    <row r="44944" customFormat="false" ht="15" hidden="false" customHeight="true" outlineLevel="0" collapsed="false"/>
    <row r="44945" customFormat="false" ht="15" hidden="false" customHeight="true" outlineLevel="0" collapsed="false"/>
    <row r="44946" customFormat="false" ht="15" hidden="false" customHeight="true" outlineLevel="0" collapsed="false"/>
    <row r="44947" customFormat="false" ht="15" hidden="false" customHeight="true" outlineLevel="0" collapsed="false"/>
    <row r="44948" customFormat="false" ht="15" hidden="false" customHeight="true" outlineLevel="0" collapsed="false"/>
    <row r="44949" customFormat="false" ht="15" hidden="false" customHeight="true" outlineLevel="0" collapsed="false"/>
    <row r="44950" customFormat="false" ht="15" hidden="false" customHeight="true" outlineLevel="0" collapsed="false"/>
    <row r="44951" customFormat="false" ht="15" hidden="false" customHeight="true" outlineLevel="0" collapsed="false"/>
    <row r="44952" customFormat="false" ht="15" hidden="false" customHeight="true" outlineLevel="0" collapsed="false"/>
    <row r="44953" customFormat="false" ht="15" hidden="false" customHeight="true" outlineLevel="0" collapsed="false"/>
    <row r="44954" customFormat="false" ht="15" hidden="false" customHeight="true" outlineLevel="0" collapsed="false"/>
    <row r="44955" customFormat="false" ht="15" hidden="false" customHeight="true" outlineLevel="0" collapsed="false"/>
    <row r="44956" customFormat="false" ht="15" hidden="false" customHeight="true" outlineLevel="0" collapsed="false"/>
    <row r="44957" customFormat="false" ht="15" hidden="false" customHeight="true" outlineLevel="0" collapsed="false"/>
    <row r="44958" customFormat="false" ht="15" hidden="false" customHeight="true" outlineLevel="0" collapsed="false"/>
    <row r="44959" customFormat="false" ht="15" hidden="false" customHeight="true" outlineLevel="0" collapsed="false"/>
    <row r="44960" customFormat="false" ht="15" hidden="false" customHeight="true" outlineLevel="0" collapsed="false"/>
    <row r="44961" customFormat="false" ht="15" hidden="false" customHeight="true" outlineLevel="0" collapsed="false"/>
    <row r="44962" customFormat="false" ht="15" hidden="false" customHeight="true" outlineLevel="0" collapsed="false"/>
    <row r="44963" customFormat="false" ht="15" hidden="false" customHeight="true" outlineLevel="0" collapsed="false"/>
    <row r="44964" customFormat="false" ht="15" hidden="false" customHeight="true" outlineLevel="0" collapsed="false"/>
    <row r="44965" customFormat="false" ht="15" hidden="false" customHeight="true" outlineLevel="0" collapsed="false"/>
    <row r="44966" customFormat="false" ht="15" hidden="false" customHeight="true" outlineLevel="0" collapsed="false"/>
    <row r="44967" customFormat="false" ht="15" hidden="false" customHeight="true" outlineLevel="0" collapsed="false"/>
    <row r="44968" customFormat="false" ht="15" hidden="false" customHeight="true" outlineLevel="0" collapsed="false"/>
    <row r="44969" customFormat="false" ht="15" hidden="false" customHeight="true" outlineLevel="0" collapsed="false"/>
    <row r="44970" customFormat="false" ht="15" hidden="false" customHeight="true" outlineLevel="0" collapsed="false"/>
    <row r="44971" customFormat="false" ht="15" hidden="false" customHeight="true" outlineLevel="0" collapsed="false"/>
    <row r="44972" customFormat="false" ht="15" hidden="false" customHeight="true" outlineLevel="0" collapsed="false"/>
    <row r="44973" customFormat="false" ht="15" hidden="false" customHeight="true" outlineLevel="0" collapsed="false"/>
    <row r="44974" customFormat="false" ht="15" hidden="false" customHeight="true" outlineLevel="0" collapsed="false"/>
    <row r="44975" customFormat="false" ht="15" hidden="false" customHeight="true" outlineLevel="0" collapsed="false"/>
    <row r="44976" customFormat="false" ht="15" hidden="false" customHeight="true" outlineLevel="0" collapsed="false"/>
    <row r="44977" customFormat="false" ht="15" hidden="false" customHeight="true" outlineLevel="0" collapsed="false"/>
    <row r="44978" customFormat="false" ht="15" hidden="false" customHeight="true" outlineLevel="0" collapsed="false"/>
    <row r="44979" customFormat="false" ht="15" hidden="false" customHeight="true" outlineLevel="0" collapsed="false"/>
    <row r="44980" customFormat="false" ht="15" hidden="false" customHeight="true" outlineLevel="0" collapsed="false"/>
    <row r="44981" customFormat="false" ht="15" hidden="false" customHeight="true" outlineLevel="0" collapsed="false"/>
    <row r="44982" customFormat="false" ht="15" hidden="false" customHeight="true" outlineLevel="0" collapsed="false"/>
    <row r="44983" customFormat="false" ht="15" hidden="false" customHeight="true" outlineLevel="0" collapsed="false"/>
    <row r="44984" customFormat="false" ht="15" hidden="false" customHeight="true" outlineLevel="0" collapsed="false"/>
    <row r="44985" customFormat="false" ht="15" hidden="false" customHeight="true" outlineLevel="0" collapsed="false"/>
    <row r="44986" customFormat="false" ht="15" hidden="false" customHeight="true" outlineLevel="0" collapsed="false"/>
    <row r="44987" customFormat="false" ht="15" hidden="false" customHeight="true" outlineLevel="0" collapsed="false"/>
    <row r="44988" customFormat="false" ht="15" hidden="false" customHeight="true" outlineLevel="0" collapsed="false"/>
    <row r="44989" customFormat="false" ht="15" hidden="false" customHeight="true" outlineLevel="0" collapsed="false"/>
    <row r="44990" customFormat="false" ht="15" hidden="false" customHeight="true" outlineLevel="0" collapsed="false"/>
    <row r="44991" customFormat="false" ht="15" hidden="false" customHeight="true" outlineLevel="0" collapsed="false"/>
    <row r="44992" customFormat="false" ht="15" hidden="false" customHeight="true" outlineLevel="0" collapsed="false"/>
    <row r="44993" customFormat="false" ht="15" hidden="false" customHeight="true" outlineLevel="0" collapsed="false"/>
    <row r="44994" customFormat="false" ht="15" hidden="false" customHeight="true" outlineLevel="0" collapsed="false"/>
    <row r="44995" customFormat="false" ht="15" hidden="false" customHeight="true" outlineLevel="0" collapsed="false"/>
    <row r="44996" customFormat="false" ht="15" hidden="false" customHeight="true" outlineLevel="0" collapsed="false"/>
    <row r="44997" customFormat="false" ht="15" hidden="false" customHeight="true" outlineLevel="0" collapsed="false"/>
    <row r="44998" customFormat="false" ht="15" hidden="false" customHeight="true" outlineLevel="0" collapsed="false"/>
    <row r="44999" customFormat="false" ht="15" hidden="false" customHeight="true" outlineLevel="0" collapsed="false"/>
    <row r="45000" customFormat="false" ht="15" hidden="false" customHeight="true" outlineLevel="0" collapsed="false"/>
    <row r="45001" customFormat="false" ht="15" hidden="false" customHeight="true" outlineLevel="0" collapsed="false"/>
    <row r="45002" customFormat="false" ht="15" hidden="false" customHeight="true" outlineLevel="0" collapsed="false"/>
    <row r="45003" customFormat="false" ht="15" hidden="false" customHeight="true" outlineLevel="0" collapsed="false"/>
    <row r="45004" customFormat="false" ht="15" hidden="false" customHeight="true" outlineLevel="0" collapsed="false"/>
    <row r="45005" customFormat="false" ht="15" hidden="false" customHeight="true" outlineLevel="0" collapsed="false"/>
    <row r="45006" customFormat="false" ht="15" hidden="false" customHeight="true" outlineLevel="0" collapsed="false"/>
    <row r="45007" customFormat="false" ht="15" hidden="false" customHeight="true" outlineLevel="0" collapsed="false"/>
    <row r="45008" customFormat="false" ht="15" hidden="false" customHeight="true" outlineLevel="0" collapsed="false"/>
    <row r="45009" customFormat="false" ht="15" hidden="false" customHeight="true" outlineLevel="0" collapsed="false"/>
    <row r="45010" customFormat="false" ht="15" hidden="false" customHeight="true" outlineLevel="0" collapsed="false"/>
    <row r="45011" customFormat="false" ht="15" hidden="false" customHeight="true" outlineLevel="0" collapsed="false"/>
    <row r="45012" customFormat="false" ht="15" hidden="false" customHeight="true" outlineLevel="0" collapsed="false"/>
    <row r="45013" customFormat="false" ht="15" hidden="false" customHeight="true" outlineLevel="0" collapsed="false"/>
    <row r="45014" customFormat="false" ht="15" hidden="false" customHeight="true" outlineLevel="0" collapsed="false"/>
    <row r="45015" customFormat="false" ht="15" hidden="false" customHeight="true" outlineLevel="0" collapsed="false"/>
    <row r="45016" customFormat="false" ht="15" hidden="false" customHeight="true" outlineLevel="0" collapsed="false"/>
    <row r="45017" customFormat="false" ht="15" hidden="false" customHeight="true" outlineLevel="0" collapsed="false"/>
    <row r="45018" customFormat="false" ht="15" hidden="false" customHeight="true" outlineLevel="0" collapsed="false"/>
    <row r="45019" customFormat="false" ht="15" hidden="false" customHeight="true" outlineLevel="0" collapsed="false"/>
    <row r="45020" customFormat="false" ht="15" hidden="false" customHeight="true" outlineLevel="0" collapsed="false"/>
    <row r="45021" customFormat="false" ht="15" hidden="false" customHeight="true" outlineLevel="0" collapsed="false"/>
    <row r="45022" customFormat="false" ht="15" hidden="false" customHeight="true" outlineLevel="0" collapsed="false"/>
    <row r="45023" customFormat="false" ht="15" hidden="false" customHeight="true" outlineLevel="0" collapsed="false"/>
    <row r="45024" customFormat="false" ht="15" hidden="false" customHeight="true" outlineLevel="0" collapsed="false"/>
    <row r="45025" customFormat="false" ht="15" hidden="false" customHeight="true" outlineLevel="0" collapsed="false"/>
    <row r="45026" customFormat="false" ht="15" hidden="false" customHeight="true" outlineLevel="0" collapsed="false"/>
    <row r="45027" customFormat="false" ht="15" hidden="false" customHeight="true" outlineLevel="0" collapsed="false"/>
    <row r="45028" customFormat="false" ht="15" hidden="false" customHeight="true" outlineLevel="0" collapsed="false"/>
    <row r="45029" customFormat="false" ht="15" hidden="false" customHeight="true" outlineLevel="0" collapsed="false"/>
    <row r="45030" customFormat="false" ht="15" hidden="false" customHeight="true" outlineLevel="0" collapsed="false"/>
    <row r="45031" customFormat="false" ht="15" hidden="false" customHeight="true" outlineLevel="0" collapsed="false"/>
    <row r="45032" customFormat="false" ht="15" hidden="false" customHeight="true" outlineLevel="0" collapsed="false"/>
    <row r="45033" customFormat="false" ht="15" hidden="false" customHeight="true" outlineLevel="0" collapsed="false"/>
    <row r="45034" customFormat="false" ht="15" hidden="false" customHeight="true" outlineLevel="0" collapsed="false"/>
    <row r="45035" customFormat="false" ht="15" hidden="false" customHeight="true" outlineLevel="0" collapsed="false"/>
    <row r="45036" customFormat="false" ht="15" hidden="false" customHeight="true" outlineLevel="0" collapsed="false"/>
    <row r="45037" customFormat="false" ht="15" hidden="false" customHeight="true" outlineLevel="0" collapsed="false"/>
    <row r="45038" customFormat="false" ht="15" hidden="false" customHeight="true" outlineLevel="0" collapsed="false"/>
    <row r="45039" customFormat="false" ht="15" hidden="false" customHeight="true" outlineLevel="0" collapsed="false"/>
    <row r="45040" customFormat="false" ht="15" hidden="false" customHeight="true" outlineLevel="0" collapsed="false"/>
    <row r="45041" customFormat="false" ht="15" hidden="false" customHeight="true" outlineLevel="0" collapsed="false"/>
    <row r="45042" customFormat="false" ht="15" hidden="false" customHeight="true" outlineLevel="0" collapsed="false"/>
    <row r="45043" customFormat="false" ht="15" hidden="false" customHeight="true" outlineLevel="0" collapsed="false"/>
    <row r="45044" customFormat="false" ht="15" hidden="false" customHeight="true" outlineLevel="0" collapsed="false"/>
    <row r="45045" customFormat="false" ht="15" hidden="false" customHeight="true" outlineLevel="0" collapsed="false"/>
    <row r="45046" customFormat="false" ht="15" hidden="false" customHeight="true" outlineLevel="0" collapsed="false"/>
    <row r="45047" customFormat="false" ht="15" hidden="false" customHeight="true" outlineLevel="0" collapsed="false"/>
    <row r="45048" customFormat="false" ht="15" hidden="false" customHeight="true" outlineLevel="0" collapsed="false"/>
    <row r="45049" customFormat="false" ht="15" hidden="false" customHeight="true" outlineLevel="0" collapsed="false"/>
    <row r="45050" customFormat="false" ht="15" hidden="false" customHeight="true" outlineLevel="0" collapsed="false"/>
    <row r="45051" customFormat="false" ht="15" hidden="false" customHeight="true" outlineLevel="0" collapsed="false"/>
    <row r="45052" customFormat="false" ht="15" hidden="false" customHeight="true" outlineLevel="0" collapsed="false"/>
    <row r="45053" customFormat="false" ht="15" hidden="false" customHeight="true" outlineLevel="0" collapsed="false"/>
    <row r="45054" customFormat="false" ht="15" hidden="false" customHeight="true" outlineLevel="0" collapsed="false"/>
    <row r="45055" customFormat="false" ht="15" hidden="false" customHeight="true" outlineLevel="0" collapsed="false"/>
    <row r="45056" customFormat="false" ht="15" hidden="false" customHeight="true" outlineLevel="0" collapsed="false"/>
    <row r="45057" customFormat="false" ht="15" hidden="false" customHeight="true" outlineLevel="0" collapsed="false"/>
    <row r="45058" customFormat="false" ht="15" hidden="false" customHeight="true" outlineLevel="0" collapsed="false"/>
    <row r="45059" customFormat="false" ht="15" hidden="false" customHeight="true" outlineLevel="0" collapsed="false"/>
    <row r="45060" customFormat="false" ht="15" hidden="false" customHeight="true" outlineLevel="0" collapsed="false"/>
    <row r="45061" customFormat="false" ht="15" hidden="false" customHeight="true" outlineLevel="0" collapsed="false"/>
    <row r="45062" customFormat="false" ht="15" hidden="false" customHeight="true" outlineLevel="0" collapsed="false"/>
    <row r="45063" customFormat="false" ht="15" hidden="false" customHeight="true" outlineLevel="0" collapsed="false"/>
    <row r="45064" customFormat="false" ht="15" hidden="false" customHeight="true" outlineLevel="0" collapsed="false"/>
    <row r="45065" customFormat="false" ht="15" hidden="false" customHeight="true" outlineLevel="0" collapsed="false"/>
    <row r="45066" customFormat="false" ht="15" hidden="false" customHeight="true" outlineLevel="0" collapsed="false"/>
    <row r="45067" customFormat="false" ht="15" hidden="false" customHeight="true" outlineLevel="0" collapsed="false"/>
    <row r="45068" customFormat="false" ht="15" hidden="false" customHeight="true" outlineLevel="0" collapsed="false"/>
    <row r="45069" customFormat="false" ht="15" hidden="false" customHeight="true" outlineLevel="0" collapsed="false"/>
    <row r="45070" customFormat="false" ht="15" hidden="false" customHeight="true" outlineLevel="0" collapsed="false"/>
    <row r="45071" customFormat="false" ht="15" hidden="false" customHeight="true" outlineLevel="0" collapsed="false"/>
    <row r="45072" customFormat="false" ht="15" hidden="false" customHeight="true" outlineLevel="0" collapsed="false"/>
    <row r="45073" customFormat="false" ht="15" hidden="false" customHeight="true" outlineLevel="0" collapsed="false"/>
    <row r="45074" customFormat="false" ht="15" hidden="false" customHeight="true" outlineLevel="0" collapsed="false"/>
    <row r="45075" customFormat="false" ht="15" hidden="false" customHeight="true" outlineLevel="0" collapsed="false"/>
    <row r="45076" customFormat="false" ht="15" hidden="false" customHeight="true" outlineLevel="0" collapsed="false"/>
    <row r="45077" customFormat="false" ht="15" hidden="false" customHeight="true" outlineLevel="0" collapsed="false"/>
    <row r="45078" customFormat="false" ht="15" hidden="false" customHeight="true" outlineLevel="0" collapsed="false"/>
    <row r="45079" customFormat="false" ht="15" hidden="false" customHeight="true" outlineLevel="0" collapsed="false"/>
    <row r="45080" customFormat="false" ht="15" hidden="false" customHeight="true" outlineLevel="0" collapsed="false"/>
    <row r="45081" customFormat="false" ht="15" hidden="false" customHeight="true" outlineLevel="0" collapsed="false"/>
    <row r="45082" customFormat="false" ht="15" hidden="false" customHeight="true" outlineLevel="0" collapsed="false"/>
    <row r="45083" customFormat="false" ht="15" hidden="false" customHeight="true" outlineLevel="0" collapsed="false"/>
    <row r="45084" customFormat="false" ht="15" hidden="false" customHeight="true" outlineLevel="0" collapsed="false"/>
    <row r="45085" customFormat="false" ht="15" hidden="false" customHeight="true" outlineLevel="0" collapsed="false"/>
    <row r="45086" customFormat="false" ht="15" hidden="false" customHeight="true" outlineLevel="0" collapsed="false"/>
    <row r="45087" customFormat="false" ht="15" hidden="false" customHeight="true" outlineLevel="0" collapsed="false"/>
    <row r="45088" customFormat="false" ht="15" hidden="false" customHeight="true" outlineLevel="0" collapsed="false"/>
    <row r="45089" customFormat="false" ht="15" hidden="false" customHeight="true" outlineLevel="0" collapsed="false"/>
    <row r="45090" customFormat="false" ht="15" hidden="false" customHeight="true" outlineLevel="0" collapsed="false"/>
    <row r="45091" customFormat="false" ht="15" hidden="false" customHeight="true" outlineLevel="0" collapsed="false"/>
    <row r="45092" customFormat="false" ht="15" hidden="false" customHeight="true" outlineLevel="0" collapsed="false"/>
    <row r="45093" customFormat="false" ht="15" hidden="false" customHeight="true" outlineLevel="0" collapsed="false"/>
    <row r="45094" customFormat="false" ht="15" hidden="false" customHeight="true" outlineLevel="0" collapsed="false"/>
    <row r="45095" customFormat="false" ht="15" hidden="false" customHeight="true" outlineLevel="0" collapsed="false"/>
    <row r="45096" customFormat="false" ht="15" hidden="false" customHeight="true" outlineLevel="0" collapsed="false"/>
    <row r="45097" customFormat="false" ht="15" hidden="false" customHeight="true" outlineLevel="0" collapsed="false"/>
    <row r="45098" customFormat="false" ht="15" hidden="false" customHeight="true" outlineLevel="0" collapsed="false"/>
    <row r="45099" customFormat="false" ht="15" hidden="false" customHeight="true" outlineLevel="0" collapsed="false"/>
    <row r="45100" customFormat="false" ht="15" hidden="false" customHeight="true" outlineLevel="0" collapsed="false"/>
    <row r="45101" customFormat="false" ht="15" hidden="false" customHeight="true" outlineLevel="0" collapsed="false"/>
    <row r="45102" customFormat="false" ht="15" hidden="false" customHeight="true" outlineLevel="0" collapsed="false"/>
    <row r="45103" customFormat="false" ht="15" hidden="false" customHeight="true" outlineLevel="0" collapsed="false"/>
    <row r="45104" customFormat="false" ht="15" hidden="false" customHeight="true" outlineLevel="0" collapsed="false"/>
    <row r="45105" customFormat="false" ht="15" hidden="false" customHeight="true" outlineLevel="0" collapsed="false"/>
    <row r="45106" customFormat="false" ht="15" hidden="false" customHeight="true" outlineLevel="0" collapsed="false"/>
    <row r="45107" customFormat="false" ht="15" hidden="false" customHeight="true" outlineLevel="0" collapsed="false"/>
    <row r="45108" customFormat="false" ht="15" hidden="false" customHeight="true" outlineLevel="0" collapsed="false"/>
    <row r="45109" customFormat="false" ht="15" hidden="false" customHeight="true" outlineLevel="0" collapsed="false"/>
    <row r="45110" customFormat="false" ht="15" hidden="false" customHeight="true" outlineLevel="0" collapsed="false"/>
    <row r="45111" customFormat="false" ht="15" hidden="false" customHeight="true" outlineLevel="0" collapsed="false"/>
    <row r="45112" customFormat="false" ht="15" hidden="false" customHeight="true" outlineLevel="0" collapsed="false"/>
    <row r="45113" customFormat="false" ht="15" hidden="false" customHeight="true" outlineLevel="0" collapsed="false"/>
    <row r="45114" customFormat="false" ht="15" hidden="false" customHeight="true" outlineLevel="0" collapsed="false"/>
    <row r="45115" customFormat="false" ht="15" hidden="false" customHeight="true" outlineLevel="0" collapsed="false"/>
    <row r="45116" customFormat="false" ht="15" hidden="false" customHeight="true" outlineLevel="0" collapsed="false"/>
    <row r="45117" customFormat="false" ht="15" hidden="false" customHeight="true" outlineLevel="0" collapsed="false"/>
    <row r="45118" customFormat="false" ht="15" hidden="false" customHeight="true" outlineLevel="0" collapsed="false"/>
    <row r="45119" customFormat="false" ht="15" hidden="false" customHeight="true" outlineLevel="0" collapsed="false"/>
    <row r="45120" customFormat="false" ht="15" hidden="false" customHeight="true" outlineLevel="0" collapsed="false"/>
    <row r="45121" customFormat="false" ht="15" hidden="false" customHeight="true" outlineLevel="0" collapsed="false"/>
    <row r="45122" customFormat="false" ht="15" hidden="false" customHeight="true" outlineLevel="0" collapsed="false"/>
    <row r="45123" customFormat="false" ht="15" hidden="false" customHeight="true" outlineLevel="0" collapsed="false"/>
    <row r="45124" customFormat="false" ht="15" hidden="false" customHeight="true" outlineLevel="0" collapsed="false"/>
    <row r="45125" customFormat="false" ht="15" hidden="false" customHeight="true" outlineLevel="0" collapsed="false"/>
    <row r="45126" customFormat="false" ht="15" hidden="false" customHeight="true" outlineLevel="0" collapsed="false"/>
    <row r="45127" customFormat="false" ht="15" hidden="false" customHeight="true" outlineLevel="0" collapsed="false"/>
    <row r="45128" customFormat="false" ht="15" hidden="false" customHeight="true" outlineLevel="0" collapsed="false"/>
    <row r="45129" customFormat="false" ht="15" hidden="false" customHeight="true" outlineLevel="0" collapsed="false"/>
    <row r="45130" customFormat="false" ht="15" hidden="false" customHeight="true" outlineLevel="0" collapsed="false"/>
    <row r="45131" customFormat="false" ht="15" hidden="false" customHeight="true" outlineLevel="0" collapsed="false"/>
    <row r="45132" customFormat="false" ht="15" hidden="false" customHeight="true" outlineLevel="0" collapsed="false"/>
    <row r="45133" customFormat="false" ht="15" hidden="false" customHeight="true" outlineLevel="0" collapsed="false"/>
    <row r="45134" customFormat="false" ht="15" hidden="false" customHeight="true" outlineLevel="0" collapsed="false"/>
    <row r="45135" customFormat="false" ht="15" hidden="false" customHeight="true" outlineLevel="0" collapsed="false"/>
    <row r="45136" customFormat="false" ht="15" hidden="false" customHeight="true" outlineLevel="0" collapsed="false"/>
    <row r="45137" customFormat="false" ht="15" hidden="false" customHeight="true" outlineLevel="0" collapsed="false"/>
    <row r="45138" customFormat="false" ht="15" hidden="false" customHeight="true" outlineLevel="0" collapsed="false"/>
    <row r="45139" customFormat="false" ht="15" hidden="false" customHeight="true" outlineLevel="0" collapsed="false"/>
    <row r="45140" customFormat="false" ht="15" hidden="false" customHeight="true" outlineLevel="0" collapsed="false"/>
    <row r="45141" customFormat="false" ht="15" hidden="false" customHeight="true" outlineLevel="0" collapsed="false"/>
    <row r="45142" customFormat="false" ht="15" hidden="false" customHeight="true" outlineLevel="0" collapsed="false"/>
    <row r="45143" customFormat="false" ht="15" hidden="false" customHeight="true" outlineLevel="0" collapsed="false"/>
    <row r="45144" customFormat="false" ht="15" hidden="false" customHeight="true" outlineLevel="0" collapsed="false"/>
    <row r="45145" customFormat="false" ht="15" hidden="false" customHeight="true" outlineLevel="0" collapsed="false"/>
    <row r="45146" customFormat="false" ht="15" hidden="false" customHeight="true" outlineLevel="0" collapsed="false"/>
    <row r="45147" customFormat="false" ht="15" hidden="false" customHeight="true" outlineLevel="0" collapsed="false"/>
    <row r="45148" customFormat="false" ht="15" hidden="false" customHeight="true" outlineLevel="0" collapsed="false"/>
    <row r="45149" customFormat="false" ht="15" hidden="false" customHeight="true" outlineLevel="0" collapsed="false"/>
    <row r="45150" customFormat="false" ht="15" hidden="false" customHeight="true" outlineLevel="0" collapsed="false"/>
    <row r="45151" customFormat="false" ht="15" hidden="false" customHeight="true" outlineLevel="0" collapsed="false"/>
    <row r="45152" customFormat="false" ht="15" hidden="false" customHeight="true" outlineLevel="0" collapsed="false"/>
    <row r="45153" customFormat="false" ht="15" hidden="false" customHeight="true" outlineLevel="0" collapsed="false"/>
    <row r="45154" customFormat="false" ht="15" hidden="false" customHeight="true" outlineLevel="0" collapsed="false"/>
    <row r="45155" customFormat="false" ht="15" hidden="false" customHeight="true" outlineLevel="0" collapsed="false"/>
    <row r="45156" customFormat="false" ht="15" hidden="false" customHeight="true" outlineLevel="0" collapsed="false"/>
    <row r="45157" customFormat="false" ht="15" hidden="false" customHeight="true" outlineLevel="0" collapsed="false"/>
    <row r="45158" customFormat="false" ht="15" hidden="false" customHeight="true" outlineLevel="0" collapsed="false"/>
    <row r="45159" customFormat="false" ht="15" hidden="false" customHeight="true" outlineLevel="0" collapsed="false"/>
    <row r="45160" customFormat="false" ht="15" hidden="false" customHeight="true" outlineLevel="0" collapsed="false"/>
    <row r="45161" customFormat="false" ht="15" hidden="false" customHeight="true" outlineLevel="0" collapsed="false"/>
    <row r="45162" customFormat="false" ht="15" hidden="false" customHeight="true" outlineLevel="0" collapsed="false"/>
    <row r="45163" customFormat="false" ht="15" hidden="false" customHeight="true" outlineLevel="0" collapsed="false"/>
    <row r="45164" customFormat="false" ht="15" hidden="false" customHeight="true" outlineLevel="0" collapsed="false"/>
    <row r="45165" customFormat="false" ht="15" hidden="false" customHeight="true" outlineLevel="0" collapsed="false"/>
    <row r="45166" customFormat="false" ht="15" hidden="false" customHeight="true" outlineLevel="0" collapsed="false"/>
    <row r="45167" customFormat="false" ht="15" hidden="false" customHeight="true" outlineLevel="0" collapsed="false"/>
    <row r="45168" customFormat="false" ht="15" hidden="false" customHeight="true" outlineLevel="0" collapsed="false"/>
    <row r="45169" customFormat="false" ht="15" hidden="false" customHeight="true" outlineLevel="0" collapsed="false"/>
    <row r="45170" customFormat="false" ht="15" hidden="false" customHeight="true" outlineLevel="0" collapsed="false"/>
    <row r="45171" customFormat="false" ht="15" hidden="false" customHeight="true" outlineLevel="0" collapsed="false"/>
    <row r="45172" customFormat="false" ht="15" hidden="false" customHeight="true" outlineLevel="0" collapsed="false"/>
    <row r="45173" customFormat="false" ht="15" hidden="false" customHeight="true" outlineLevel="0" collapsed="false"/>
    <row r="45174" customFormat="false" ht="15" hidden="false" customHeight="true" outlineLevel="0" collapsed="false"/>
    <row r="45175" customFormat="false" ht="15" hidden="false" customHeight="true" outlineLevel="0" collapsed="false"/>
    <row r="45176" customFormat="false" ht="15" hidden="false" customHeight="true" outlineLevel="0" collapsed="false"/>
    <row r="45177" customFormat="false" ht="15" hidden="false" customHeight="true" outlineLevel="0" collapsed="false"/>
    <row r="45178" customFormat="false" ht="15" hidden="false" customHeight="true" outlineLevel="0" collapsed="false"/>
    <row r="45179" customFormat="false" ht="15" hidden="false" customHeight="true" outlineLevel="0" collapsed="false"/>
    <row r="45180" customFormat="false" ht="15" hidden="false" customHeight="true" outlineLevel="0" collapsed="false"/>
    <row r="45181" customFormat="false" ht="15" hidden="false" customHeight="true" outlineLevel="0" collapsed="false"/>
    <row r="45182" customFormat="false" ht="15" hidden="false" customHeight="true" outlineLevel="0" collapsed="false"/>
    <row r="45183" customFormat="false" ht="15" hidden="false" customHeight="true" outlineLevel="0" collapsed="false"/>
    <row r="45184" customFormat="false" ht="15" hidden="false" customHeight="true" outlineLevel="0" collapsed="false"/>
    <row r="45185" customFormat="false" ht="15" hidden="false" customHeight="true" outlineLevel="0" collapsed="false"/>
    <row r="45186" customFormat="false" ht="15" hidden="false" customHeight="true" outlineLevel="0" collapsed="false"/>
    <row r="45187" customFormat="false" ht="15" hidden="false" customHeight="true" outlineLevel="0" collapsed="false"/>
    <row r="45188" customFormat="false" ht="15" hidden="false" customHeight="true" outlineLevel="0" collapsed="false"/>
    <row r="45189" customFormat="false" ht="15" hidden="false" customHeight="true" outlineLevel="0" collapsed="false"/>
    <row r="45190" customFormat="false" ht="15" hidden="false" customHeight="true" outlineLevel="0" collapsed="false"/>
    <row r="45191" customFormat="false" ht="15" hidden="false" customHeight="true" outlineLevel="0" collapsed="false"/>
    <row r="45192" customFormat="false" ht="15" hidden="false" customHeight="true" outlineLevel="0" collapsed="false"/>
    <row r="45193" customFormat="false" ht="15" hidden="false" customHeight="true" outlineLevel="0" collapsed="false"/>
    <row r="45194" customFormat="false" ht="15" hidden="false" customHeight="true" outlineLevel="0" collapsed="false"/>
    <row r="45195" customFormat="false" ht="15" hidden="false" customHeight="true" outlineLevel="0" collapsed="false"/>
    <row r="45196" customFormat="false" ht="15" hidden="false" customHeight="true" outlineLevel="0" collapsed="false"/>
    <row r="45197" customFormat="false" ht="15" hidden="false" customHeight="true" outlineLevel="0" collapsed="false"/>
    <row r="45198" customFormat="false" ht="15" hidden="false" customHeight="true" outlineLevel="0" collapsed="false"/>
    <row r="45199" customFormat="false" ht="15" hidden="false" customHeight="true" outlineLevel="0" collapsed="false"/>
    <row r="45200" customFormat="false" ht="15" hidden="false" customHeight="true" outlineLevel="0" collapsed="false"/>
  </sheetData>
  <autoFilter ref="A8:F45200"/>
  <mergeCells count="2">
    <mergeCell ref="A1:F1"/>
    <mergeCell ref="H1:J6"/>
  </mergeCells>
  <conditionalFormatting sqref="C9:C45200">
    <cfRule type="cellIs" priority="2" operator="lessThan" aboveAverage="0" equalAverage="0" bottom="0" percent="0" rank="0" text="" dxfId="4">
      <formula>0</formula>
    </cfRule>
  </conditionalFormatting>
  <dataValidations count="1">
    <dataValidation allowBlank="true" error="Bitte nur positive Zahlen oder leer eingeben." errorStyle="stop" errorTitle="Ungültiger Wert" operator="greaterThanOrEqual" prompt="Bitte hier den stündlichen Verbrauch in kWh eintragen." promptTitle="Verbrauch eingeben" showDropDown="false" showErrorMessage="false" showInputMessage="false" sqref="C9:C19896"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1" min="1" style="1" width="36"/>
    <col collapsed="false" customWidth="true" hidden="false" outlineLevel="0" max="2" min="2" style="1" width="28"/>
  </cols>
  <sheetData>
    <row r="1" customFormat="false" ht="17.25" hidden="false" customHeight="true" outlineLevel="0" collapsed="false">
      <c r="A1" s="2" t="s">
        <v>12</v>
      </c>
      <c r="B1" s="2"/>
    </row>
    <row r="2" customFormat="false" ht="13.5" hidden="false" customHeight="true" outlineLevel="0" collapsed="false"/>
    <row r="3" customFormat="false" ht="13.5" hidden="false" customHeight="true" outlineLevel="0" collapsed="false">
      <c r="A3" s="16" t="s">
        <v>13</v>
      </c>
      <c r="B3" s="17" t="n">
        <v>15.92</v>
      </c>
    </row>
    <row r="4" customFormat="false" ht="13.5" hidden="false" customHeight="true" outlineLevel="0" collapsed="false">
      <c r="A4" s="16" t="s">
        <v>14</v>
      </c>
      <c r="B4" s="17" t="n">
        <v>29.13</v>
      </c>
    </row>
    <row r="5" customFormat="false" ht="13.5" hidden="false" customHeight="true" outlineLevel="0" collapsed="false">
      <c r="A5" s="16" t="s">
        <v>15</v>
      </c>
      <c r="B5" s="18" t="n">
        <v>45966</v>
      </c>
    </row>
    <row r="6" customFormat="false" ht="13.5" hidden="false" customHeight="true" outlineLevel="0" collapsed="false">
      <c r="A6" s="16" t="s">
        <v>16</v>
      </c>
      <c r="B6" s="18" t="n">
        <v>46752</v>
      </c>
    </row>
    <row r="7" customFormat="false" ht="13.5" hidden="false" customHeight="true" outlineLevel="0" collapsed="false">
      <c r="A7" s="16" t="s">
        <v>17</v>
      </c>
      <c r="B7" s="17" t="n">
        <v>15.94</v>
      </c>
    </row>
    <row r="8" customFormat="false" ht="27.75" hidden="false" customHeight="true" outlineLevel="0" collapsed="false">
      <c r="A8" s="19" t="s">
        <v>18</v>
      </c>
      <c r="B8" s="20" t="s">
        <v>19</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1" min="1" style="1" width="13"/>
    <col collapsed="false" customWidth="true" hidden="true" outlineLevel="0" max="2" min="2" style="1" width="13"/>
    <col collapsed="false" customWidth="true" hidden="false" outlineLevel="0" max="3" min="3" style="1" width="22"/>
    <col collapsed="false" customWidth="true" hidden="false" outlineLevel="0" max="4" min="4" style="1" width="17"/>
    <col collapsed="false" customWidth="true" hidden="false" outlineLevel="0" max="5" min="5" style="1" width="22"/>
    <col collapsed="false" customWidth="true" hidden="false" outlineLevel="0" max="6" min="6" style="1" width="17"/>
    <col collapsed="false" customWidth="true" hidden="false" outlineLevel="0" max="7" min="7" style="1" width="16"/>
    <col collapsed="false" customWidth="true" hidden="false" outlineLevel="0" max="8" min="8" style="1" width="15"/>
  </cols>
  <sheetData>
    <row r="1" customFormat="false" ht="17.25" hidden="false" customHeight="true" outlineLevel="0" collapsed="false">
      <c r="A1" s="2" t="s">
        <v>20</v>
      </c>
      <c r="B1" s="2"/>
      <c r="C1" s="2"/>
      <c r="D1" s="2"/>
      <c r="E1" s="2"/>
      <c r="F1" s="2"/>
      <c r="G1" s="2"/>
      <c r="H1" s="2"/>
    </row>
    <row r="2" customFormat="false" ht="36" hidden="false" customHeight="true" outlineLevel="0" collapsed="false">
      <c r="A2" s="21" t="s">
        <v>21</v>
      </c>
      <c r="B2" s="21"/>
      <c r="C2" s="21"/>
      <c r="D2" s="21"/>
      <c r="E2" s="21"/>
      <c r="F2" s="21"/>
      <c r="G2" s="21"/>
      <c r="H2" s="21"/>
    </row>
    <row r="3" customFormat="false" ht="13.5" hidden="false" customHeight="true" outlineLevel="0" collapsed="false"/>
    <row r="4" customFormat="false" ht="13.5" hidden="false" customHeight="true" outlineLevel="0" collapsed="false">
      <c r="A4" s="9" t="s">
        <v>6</v>
      </c>
      <c r="B4" s="9" t="s">
        <v>22</v>
      </c>
      <c r="C4" s="9" t="s">
        <v>23</v>
      </c>
      <c r="D4" s="9" t="s">
        <v>24</v>
      </c>
      <c r="E4" s="9" t="s">
        <v>25</v>
      </c>
      <c r="F4" s="9" t="s">
        <v>26</v>
      </c>
      <c r="G4" s="9" t="s">
        <v>27</v>
      </c>
      <c r="H4" s="9" t="s">
        <v>5</v>
      </c>
    </row>
    <row r="5" customFormat="false" ht="13.5" hidden="false" customHeight="true" outlineLevel="0" collapsed="false">
      <c r="A5" s="10" t="n">
        <v>45966</v>
      </c>
      <c r="B5" s="10" t="n">
        <v>45967</v>
      </c>
      <c r="C5" s="22" t="n">
        <f aca="false">SUMIFS(Verbrauch!$C$9:$C$18896,Verbrauch!$A$9:$A$18896,"&gt;="&amp;A5,Verbrauch!$A$9:$A$18896,"&lt;"&amp;B5)</f>
        <v>0</v>
      </c>
      <c r="D5" s="22" t="n">
        <f aca="false">SUMIFS(Verbrauch!$C$9:$C$18896,Verbrauch!$A$9:$A$18896,"&gt;="&amp;A5,Verbrauch!$A$9:$A$18896,"&lt;"&amp;B5,Verbrauch!$F$9:$F$18896,"Go")</f>
        <v>0</v>
      </c>
      <c r="E5" s="22" t="n">
        <f aca="false">SUMIFS(Verbrauch!$C$9:$C$18896,Verbrauch!$A$9:$A$18896,"&gt;="&amp;A5,Verbrauch!$A$9:$A$18896,"&lt;"&amp;B5,Verbrauch!$F$9:$F$18896,"Standard")</f>
        <v>0</v>
      </c>
      <c r="F5" s="23" t="n">
        <f aca="false">SUMIFS(Verbrauch!$E$9:$E$18896,Verbrauch!$A$9:$A$18896,"&gt;="&amp;A5,Verbrauch!$A$9:$A$18896,"&lt;"&amp;B5)</f>
        <v>0</v>
      </c>
      <c r="G5" s="13" t="str">
        <f aca="false">IFERROR(F5/C5*100,"")</f>
        <v/>
      </c>
      <c r="H5" s="11" t="n">
        <f aca="false">COUNTIFS(Verbrauch!$A$9:$A$18896,"&gt;="&amp;A5,Verbrauch!$A$9:$A$18896,"&lt;"&amp;B5,Verbrauch!$C$9:$C$18896,"&lt;&gt;")</f>
        <v>0</v>
      </c>
    </row>
    <row r="6" customFormat="false" ht="13.5" hidden="false" customHeight="true" outlineLevel="0" collapsed="false">
      <c r="A6" s="10" t="n">
        <v>45967</v>
      </c>
      <c r="B6" s="10" t="n">
        <v>45968</v>
      </c>
      <c r="C6" s="22" t="n">
        <f aca="false">SUMIFS(Verbrauch!$C$9:$C$18896,Verbrauch!$A$9:$A$18896,"&gt;="&amp;A6,Verbrauch!$A$9:$A$18896,"&lt;"&amp;B6)</f>
        <v>0</v>
      </c>
      <c r="D6" s="22" t="n">
        <f aca="false">SUMIFS(Verbrauch!$C$9:$C$18896,Verbrauch!$A$9:$A$18896,"&gt;="&amp;A6,Verbrauch!$A$9:$A$18896,"&lt;"&amp;B6,Verbrauch!$F$9:$F$18896,"Go")</f>
        <v>0</v>
      </c>
      <c r="E6" s="22" t="n">
        <f aca="false">SUMIFS(Verbrauch!$C$9:$C$18896,Verbrauch!$A$9:$A$18896,"&gt;="&amp;A6,Verbrauch!$A$9:$A$18896,"&lt;"&amp;B6,Verbrauch!$F$9:$F$18896,"Standard")</f>
        <v>0</v>
      </c>
      <c r="F6" s="23" t="n">
        <f aca="false">SUMIFS(Verbrauch!$E$9:$E$18896,Verbrauch!$A$9:$A$18896,"&gt;="&amp;A6,Verbrauch!$A$9:$A$18896,"&lt;"&amp;B6)</f>
        <v>0</v>
      </c>
      <c r="G6" s="13" t="str">
        <f aca="false">IFERROR(F6/C6*100,"")</f>
        <v/>
      </c>
      <c r="H6" s="11" t="n">
        <f aca="false">COUNTIFS(Verbrauch!$A$9:$A$18896,"&gt;="&amp;A6,Verbrauch!$A$9:$A$18896,"&lt;"&amp;B6,Verbrauch!$C$9:$C$18896,"&lt;&gt;")</f>
        <v>0</v>
      </c>
    </row>
    <row r="7" customFormat="false" ht="13.5" hidden="false" customHeight="true" outlineLevel="0" collapsed="false">
      <c r="A7" s="10" t="n">
        <v>45968</v>
      </c>
      <c r="B7" s="10" t="n">
        <v>45969</v>
      </c>
      <c r="C7" s="22" t="n">
        <f aca="false">SUMIFS(Verbrauch!$C$9:$C$18896,Verbrauch!$A$9:$A$18896,"&gt;="&amp;A7,Verbrauch!$A$9:$A$18896,"&lt;"&amp;B7)</f>
        <v>0</v>
      </c>
      <c r="D7" s="22" t="n">
        <f aca="false">SUMIFS(Verbrauch!$C$9:$C$18896,Verbrauch!$A$9:$A$18896,"&gt;="&amp;A7,Verbrauch!$A$9:$A$18896,"&lt;"&amp;B7,Verbrauch!$F$9:$F$18896,"Go")</f>
        <v>0</v>
      </c>
      <c r="E7" s="22" t="n">
        <f aca="false">SUMIFS(Verbrauch!$C$9:$C$18896,Verbrauch!$A$9:$A$18896,"&gt;="&amp;A7,Verbrauch!$A$9:$A$18896,"&lt;"&amp;B7,Verbrauch!$F$9:$F$18896,"Standard")</f>
        <v>0</v>
      </c>
      <c r="F7" s="23" t="n">
        <f aca="false">SUMIFS(Verbrauch!$E$9:$E$18896,Verbrauch!$A$9:$A$18896,"&gt;="&amp;A7,Verbrauch!$A$9:$A$18896,"&lt;"&amp;B7)</f>
        <v>0</v>
      </c>
      <c r="G7" s="13" t="str">
        <f aca="false">IFERROR(F7/C7*100,"")</f>
        <v/>
      </c>
      <c r="H7" s="11" t="n">
        <f aca="false">COUNTIFS(Verbrauch!$A$9:$A$18896,"&gt;="&amp;A7,Verbrauch!$A$9:$A$18896,"&lt;"&amp;B7,Verbrauch!$C$9:$C$18896,"&lt;&gt;")</f>
        <v>0</v>
      </c>
    </row>
    <row r="8" customFormat="false" ht="13.5" hidden="false" customHeight="true" outlineLevel="0" collapsed="false">
      <c r="A8" s="10" t="n">
        <v>45969</v>
      </c>
      <c r="B8" s="10" t="n">
        <v>45970</v>
      </c>
      <c r="C8" s="22" t="n">
        <f aca="false">SUMIFS(Verbrauch!$C$9:$C$18896,Verbrauch!$A$9:$A$18896,"&gt;="&amp;A8,Verbrauch!$A$9:$A$18896,"&lt;"&amp;B8)</f>
        <v>0</v>
      </c>
      <c r="D8" s="22" t="n">
        <f aca="false">SUMIFS(Verbrauch!$C$9:$C$18896,Verbrauch!$A$9:$A$18896,"&gt;="&amp;A8,Verbrauch!$A$9:$A$18896,"&lt;"&amp;B8,Verbrauch!$F$9:$F$18896,"Go")</f>
        <v>0</v>
      </c>
      <c r="E8" s="22" t="n">
        <f aca="false">SUMIFS(Verbrauch!$C$9:$C$18896,Verbrauch!$A$9:$A$18896,"&gt;="&amp;A8,Verbrauch!$A$9:$A$18896,"&lt;"&amp;B8,Verbrauch!$F$9:$F$18896,"Standard")</f>
        <v>0</v>
      </c>
      <c r="F8" s="23" t="n">
        <f aca="false">SUMIFS(Verbrauch!$E$9:$E$18896,Verbrauch!$A$9:$A$18896,"&gt;="&amp;A8,Verbrauch!$A$9:$A$18896,"&lt;"&amp;B8)</f>
        <v>0</v>
      </c>
      <c r="G8" s="13" t="str">
        <f aca="false">IFERROR(F8/C8*100,"")</f>
        <v/>
      </c>
      <c r="H8" s="11" t="n">
        <f aca="false">COUNTIFS(Verbrauch!$A$9:$A$18896,"&gt;="&amp;A8,Verbrauch!$A$9:$A$18896,"&lt;"&amp;B8,Verbrauch!$C$9:$C$18896,"&lt;&gt;")</f>
        <v>0</v>
      </c>
    </row>
    <row r="9" customFormat="false" ht="13.5" hidden="false" customHeight="true" outlineLevel="0" collapsed="false">
      <c r="A9" s="10" t="n">
        <v>45970</v>
      </c>
      <c r="B9" s="10" t="n">
        <v>45971</v>
      </c>
      <c r="C9" s="22" t="n">
        <f aca="false">SUMIFS(Verbrauch!$C$9:$C$18896,Verbrauch!$A$9:$A$18896,"&gt;="&amp;A9,Verbrauch!$A$9:$A$18896,"&lt;"&amp;B9)</f>
        <v>0</v>
      </c>
      <c r="D9" s="22" t="n">
        <f aca="false">SUMIFS(Verbrauch!$C$9:$C$18896,Verbrauch!$A$9:$A$18896,"&gt;="&amp;A9,Verbrauch!$A$9:$A$18896,"&lt;"&amp;B9,Verbrauch!$F$9:$F$18896,"Go")</f>
        <v>0</v>
      </c>
      <c r="E9" s="22" t="n">
        <f aca="false">SUMIFS(Verbrauch!$C$9:$C$18896,Verbrauch!$A$9:$A$18896,"&gt;="&amp;A9,Verbrauch!$A$9:$A$18896,"&lt;"&amp;B9,Verbrauch!$F$9:$F$18896,"Standard")</f>
        <v>0</v>
      </c>
      <c r="F9" s="23" t="n">
        <f aca="false">SUMIFS(Verbrauch!$E$9:$E$18896,Verbrauch!$A$9:$A$18896,"&gt;="&amp;A9,Verbrauch!$A$9:$A$18896,"&lt;"&amp;B9)</f>
        <v>0</v>
      </c>
      <c r="G9" s="13" t="str">
        <f aca="false">IFERROR(F9/C9*100,"")</f>
        <v/>
      </c>
      <c r="H9" s="11" t="n">
        <f aca="false">COUNTIFS(Verbrauch!$A$9:$A$18896,"&gt;="&amp;A9,Verbrauch!$A$9:$A$18896,"&lt;"&amp;B9,Verbrauch!$C$9:$C$18896,"&lt;&gt;")</f>
        <v>0</v>
      </c>
    </row>
    <row r="10" customFormat="false" ht="13.5" hidden="false" customHeight="true" outlineLevel="0" collapsed="false">
      <c r="A10" s="10" t="n">
        <v>45971</v>
      </c>
      <c r="B10" s="10" t="n">
        <v>45972</v>
      </c>
      <c r="C10" s="22" t="n">
        <f aca="false">SUMIFS(Verbrauch!$C$9:$C$18896,Verbrauch!$A$9:$A$18896,"&gt;="&amp;A10,Verbrauch!$A$9:$A$18896,"&lt;"&amp;B10)</f>
        <v>0</v>
      </c>
      <c r="D10" s="22" t="n">
        <f aca="false">SUMIFS(Verbrauch!$C$9:$C$18896,Verbrauch!$A$9:$A$18896,"&gt;="&amp;A10,Verbrauch!$A$9:$A$18896,"&lt;"&amp;B10,Verbrauch!$F$9:$F$18896,"Go")</f>
        <v>0</v>
      </c>
      <c r="E10" s="22" t="n">
        <f aca="false">SUMIFS(Verbrauch!$C$9:$C$18896,Verbrauch!$A$9:$A$18896,"&gt;="&amp;A10,Verbrauch!$A$9:$A$18896,"&lt;"&amp;B10,Verbrauch!$F$9:$F$18896,"Standard")</f>
        <v>0</v>
      </c>
      <c r="F10" s="23" t="n">
        <f aca="false">SUMIFS(Verbrauch!$E$9:$E$18896,Verbrauch!$A$9:$A$18896,"&gt;="&amp;A10,Verbrauch!$A$9:$A$18896,"&lt;"&amp;B10)</f>
        <v>0</v>
      </c>
      <c r="G10" s="13" t="str">
        <f aca="false">IFERROR(F10/C10*100,"")</f>
        <v/>
      </c>
      <c r="H10" s="11" t="n">
        <f aca="false">COUNTIFS(Verbrauch!$A$9:$A$18896,"&gt;="&amp;A10,Verbrauch!$A$9:$A$18896,"&lt;"&amp;B10,Verbrauch!$C$9:$C$18896,"&lt;&gt;")</f>
        <v>0</v>
      </c>
    </row>
    <row r="11" customFormat="false" ht="13.5" hidden="false" customHeight="true" outlineLevel="0" collapsed="false">
      <c r="A11" s="10" t="n">
        <v>45972</v>
      </c>
      <c r="B11" s="10" t="n">
        <v>45973</v>
      </c>
      <c r="C11" s="22" t="n">
        <f aca="false">SUMIFS(Verbrauch!$C$9:$C$18896,Verbrauch!$A$9:$A$18896,"&gt;="&amp;A11,Verbrauch!$A$9:$A$18896,"&lt;"&amp;B11)</f>
        <v>0</v>
      </c>
      <c r="D11" s="22" t="n">
        <f aca="false">SUMIFS(Verbrauch!$C$9:$C$18896,Verbrauch!$A$9:$A$18896,"&gt;="&amp;A11,Verbrauch!$A$9:$A$18896,"&lt;"&amp;B11,Verbrauch!$F$9:$F$18896,"Go")</f>
        <v>0</v>
      </c>
      <c r="E11" s="22" t="n">
        <f aca="false">SUMIFS(Verbrauch!$C$9:$C$18896,Verbrauch!$A$9:$A$18896,"&gt;="&amp;A11,Verbrauch!$A$9:$A$18896,"&lt;"&amp;B11,Verbrauch!$F$9:$F$18896,"Standard")</f>
        <v>0</v>
      </c>
      <c r="F11" s="23" t="n">
        <f aca="false">SUMIFS(Verbrauch!$E$9:$E$18896,Verbrauch!$A$9:$A$18896,"&gt;="&amp;A11,Verbrauch!$A$9:$A$18896,"&lt;"&amp;B11)</f>
        <v>0</v>
      </c>
      <c r="G11" s="13" t="str">
        <f aca="false">IFERROR(F11/C11*100,"")</f>
        <v/>
      </c>
      <c r="H11" s="11" t="n">
        <f aca="false">COUNTIFS(Verbrauch!$A$9:$A$18896,"&gt;="&amp;A11,Verbrauch!$A$9:$A$18896,"&lt;"&amp;B11,Verbrauch!$C$9:$C$18896,"&lt;&gt;")</f>
        <v>0</v>
      </c>
    </row>
    <row r="12" customFormat="false" ht="13.5" hidden="false" customHeight="true" outlineLevel="0" collapsed="false">
      <c r="A12" s="10" t="n">
        <v>45973</v>
      </c>
      <c r="B12" s="10" t="n">
        <v>45974</v>
      </c>
      <c r="C12" s="22" t="n">
        <f aca="false">SUMIFS(Verbrauch!$C$9:$C$18896,Verbrauch!$A$9:$A$18896,"&gt;="&amp;A12,Verbrauch!$A$9:$A$18896,"&lt;"&amp;B12)</f>
        <v>0</v>
      </c>
      <c r="D12" s="22" t="n">
        <f aca="false">SUMIFS(Verbrauch!$C$9:$C$18896,Verbrauch!$A$9:$A$18896,"&gt;="&amp;A12,Verbrauch!$A$9:$A$18896,"&lt;"&amp;B12,Verbrauch!$F$9:$F$18896,"Go")</f>
        <v>0</v>
      </c>
      <c r="E12" s="22" t="n">
        <f aca="false">SUMIFS(Verbrauch!$C$9:$C$18896,Verbrauch!$A$9:$A$18896,"&gt;="&amp;A12,Verbrauch!$A$9:$A$18896,"&lt;"&amp;B12,Verbrauch!$F$9:$F$18896,"Standard")</f>
        <v>0</v>
      </c>
      <c r="F12" s="23" t="n">
        <f aca="false">SUMIFS(Verbrauch!$E$9:$E$18896,Verbrauch!$A$9:$A$18896,"&gt;="&amp;A12,Verbrauch!$A$9:$A$18896,"&lt;"&amp;B12)</f>
        <v>0</v>
      </c>
      <c r="G12" s="13" t="str">
        <f aca="false">IFERROR(F12/C12*100,"")</f>
        <v/>
      </c>
      <c r="H12" s="11" t="n">
        <f aca="false">COUNTIFS(Verbrauch!$A$9:$A$18896,"&gt;="&amp;A12,Verbrauch!$A$9:$A$18896,"&lt;"&amp;B12,Verbrauch!$C$9:$C$18896,"&lt;&gt;")</f>
        <v>0</v>
      </c>
    </row>
    <row r="13" customFormat="false" ht="13.5" hidden="false" customHeight="true" outlineLevel="0" collapsed="false">
      <c r="A13" s="10" t="n">
        <v>45974</v>
      </c>
      <c r="B13" s="10" t="n">
        <v>45975</v>
      </c>
      <c r="C13" s="22" t="n">
        <f aca="false">SUMIFS(Verbrauch!$C$9:$C$18896,Verbrauch!$A$9:$A$18896,"&gt;="&amp;A13,Verbrauch!$A$9:$A$18896,"&lt;"&amp;B13)</f>
        <v>0</v>
      </c>
      <c r="D13" s="22" t="n">
        <f aca="false">SUMIFS(Verbrauch!$C$9:$C$18896,Verbrauch!$A$9:$A$18896,"&gt;="&amp;A13,Verbrauch!$A$9:$A$18896,"&lt;"&amp;B13,Verbrauch!$F$9:$F$18896,"Go")</f>
        <v>0</v>
      </c>
      <c r="E13" s="22" t="n">
        <f aca="false">SUMIFS(Verbrauch!$C$9:$C$18896,Verbrauch!$A$9:$A$18896,"&gt;="&amp;A13,Verbrauch!$A$9:$A$18896,"&lt;"&amp;B13,Verbrauch!$F$9:$F$18896,"Standard")</f>
        <v>0</v>
      </c>
      <c r="F13" s="23" t="n">
        <f aca="false">SUMIFS(Verbrauch!$E$9:$E$18896,Verbrauch!$A$9:$A$18896,"&gt;="&amp;A13,Verbrauch!$A$9:$A$18896,"&lt;"&amp;B13)</f>
        <v>0</v>
      </c>
      <c r="G13" s="13" t="str">
        <f aca="false">IFERROR(F13/C13*100,"")</f>
        <v/>
      </c>
      <c r="H13" s="11" t="n">
        <f aca="false">COUNTIFS(Verbrauch!$A$9:$A$18896,"&gt;="&amp;A13,Verbrauch!$A$9:$A$18896,"&lt;"&amp;B13,Verbrauch!$C$9:$C$18896,"&lt;&gt;")</f>
        <v>0</v>
      </c>
    </row>
    <row r="14" customFormat="false" ht="13.5" hidden="false" customHeight="true" outlineLevel="0" collapsed="false">
      <c r="A14" s="10" t="n">
        <v>45975</v>
      </c>
      <c r="B14" s="10" t="n">
        <v>45976</v>
      </c>
      <c r="C14" s="22" t="n">
        <f aca="false">SUMIFS(Verbrauch!$C$9:$C$18896,Verbrauch!$A$9:$A$18896,"&gt;="&amp;A14,Verbrauch!$A$9:$A$18896,"&lt;"&amp;B14)</f>
        <v>0</v>
      </c>
      <c r="D14" s="22" t="n">
        <f aca="false">SUMIFS(Verbrauch!$C$9:$C$18896,Verbrauch!$A$9:$A$18896,"&gt;="&amp;A14,Verbrauch!$A$9:$A$18896,"&lt;"&amp;B14,Verbrauch!$F$9:$F$18896,"Go")</f>
        <v>0</v>
      </c>
      <c r="E14" s="22" t="n">
        <f aca="false">SUMIFS(Verbrauch!$C$9:$C$18896,Verbrauch!$A$9:$A$18896,"&gt;="&amp;A14,Verbrauch!$A$9:$A$18896,"&lt;"&amp;B14,Verbrauch!$F$9:$F$18896,"Standard")</f>
        <v>0</v>
      </c>
      <c r="F14" s="23" t="n">
        <f aca="false">SUMIFS(Verbrauch!$E$9:$E$18896,Verbrauch!$A$9:$A$18896,"&gt;="&amp;A14,Verbrauch!$A$9:$A$18896,"&lt;"&amp;B14)</f>
        <v>0</v>
      </c>
      <c r="G14" s="13" t="str">
        <f aca="false">IFERROR(F14/C14*100,"")</f>
        <v/>
      </c>
      <c r="H14" s="11" t="n">
        <f aca="false">COUNTIFS(Verbrauch!$A$9:$A$18896,"&gt;="&amp;A14,Verbrauch!$A$9:$A$18896,"&lt;"&amp;B14,Verbrauch!$C$9:$C$18896,"&lt;&gt;")</f>
        <v>0</v>
      </c>
    </row>
    <row r="15" customFormat="false" ht="13.5" hidden="false" customHeight="true" outlineLevel="0" collapsed="false">
      <c r="A15" s="10" t="n">
        <v>45976</v>
      </c>
      <c r="B15" s="10" t="n">
        <v>45977</v>
      </c>
      <c r="C15" s="22" t="n">
        <f aca="false">SUMIFS(Verbrauch!$C$9:$C$18896,Verbrauch!$A$9:$A$18896,"&gt;="&amp;A15,Verbrauch!$A$9:$A$18896,"&lt;"&amp;B15)</f>
        <v>0</v>
      </c>
      <c r="D15" s="22" t="n">
        <f aca="false">SUMIFS(Verbrauch!$C$9:$C$18896,Verbrauch!$A$9:$A$18896,"&gt;="&amp;A15,Verbrauch!$A$9:$A$18896,"&lt;"&amp;B15,Verbrauch!$F$9:$F$18896,"Go")</f>
        <v>0</v>
      </c>
      <c r="E15" s="22" t="n">
        <f aca="false">SUMIFS(Verbrauch!$C$9:$C$18896,Verbrauch!$A$9:$A$18896,"&gt;="&amp;A15,Verbrauch!$A$9:$A$18896,"&lt;"&amp;B15,Verbrauch!$F$9:$F$18896,"Standard")</f>
        <v>0</v>
      </c>
      <c r="F15" s="23" t="n">
        <f aca="false">SUMIFS(Verbrauch!$E$9:$E$18896,Verbrauch!$A$9:$A$18896,"&gt;="&amp;A15,Verbrauch!$A$9:$A$18896,"&lt;"&amp;B15)</f>
        <v>0</v>
      </c>
      <c r="G15" s="13" t="str">
        <f aca="false">IFERROR(F15/C15*100,"")</f>
        <v/>
      </c>
      <c r="H15" s="11" t="n">
        <f aca="false">COUNTIFS(Verbrauch!$A$9:$A$18896,"&gt;="&amp;A15,Verbrauch!$A$9:$A$18896,"&lt;"&amp;B15,Verbrauch!$C$9:$C$18896,"&lt;&gt;")</f>
        <v>0</v>
      </c>
    </row>
    <row r="16" customFormat="false" ht="13.5" hidden="false" customHeight="true" outlineLevel="0" collapsed="false">
      <c r="A16" s="10" t="n">
        <v>45977</v>
      </c>
      <c r="B16" s="10" t="n">
        <v>45978</v>
      </c>
      <c r="C16" s="22" t="n">
        <f aca="false">SUMIFS(Verbrauch!$C$9:$C$18896,Verbrauch!$A$9:$A$18896,"&gt;="&amp;A16,Verbrauch!$A$9:$A$18896,"&lt;"&amp;B16)</f>
        <v>0</v>
      </c>
      <c r="D16" s="22" t="n">
        <f aca="false">SUMIFS(Verbrauch!$C$9:$C$18896,Verbrauch!$A$9:$A$18896,"&gt;="&amp;A16,Verbrauch!$A$9:$A$18896,"&lt;"&amp;B16,Verbrauch!$F$9:$F$18896,"Go")</f>
        <v>0</v>
      </c>
      <c r="E16" s="22" t="n">
        <f aca="false">SUMIFS(Verbrauch!$C$9:$C$18896,Verbrauch!$A$9:$A$18896,"&gt;="&amp;A16,Verbrauch!$A$9:$A$18896,"&lt;"&amp;B16,Verbrauch!$F$9:$F$18896,"Standard")</f>
        <v>0</v>
      </c>
      <c r="F16" s="23" t="n">
        <f aca="false">SUMIFS(Verbrauch!$E$9:$E$18896,Verbrauch!$A$9:$A$18896,"&gt;="&amp;A16,Verbrauch!$A$9:$A$18896,"&lt;"&amp;B16)</f>
        <v>0</v>
      </c>
      <c r="G16" s="13" t="str">
        <f aca="false">IFERROR(F16/C16*100,"")</f>
        <v/>
      </c>
      <c r="H16" s="11" t="n">
        <f aca="false">COUNTIFS(Verbrauch!$A$9:$A$18896,"&gt;="&amp;A16,Verbrauch!$A$9:$A$18896,"&lt;"&amp;B16,Verbrauch!$C$9:$C$18896,"&lt;&gt;")</f>
        <v>0</v>
      </c>
    </row>
    <row r="17" customFormat="false" ht="13.5" hidden="false" customHeight="true" outlineLevel="0" collapsed="false">
      <c r="A17" s="10" t="n">
        <v>45978</v>
      </c>
      <c r="B17" s="10" t="n">
        <v>45979</v>
      </c>
      <c r="C17" s="22" t="n">
        <f aca="false">SUMIFS(Verbrauch!$C$9:$C$18896,Verbrauch!$A$9:$A$18896,"&gt;="&amp;A17,Verbrauch!$A$9:$A$18896,"&lt;"&amp;B17)</f>
        <v>0</v>
      </c>
      <c r="D17" s="22" t="n">
        <f aca="false">SUMIFS(Verbrauch!$C$9:$C$18896,Verbrauch!$A$9:$A$18896,"&gt;="&amp;A17,Verbrauch!$A$9:$A$18896,"&lt;"&amp;B17,Verbrauch!$F$9:$F$18896,"Go")</f>
        <v>0</v>
      </c>
      <c r="E17" s="22" t="n">
        <f aca="false">SUMIFS(Verbrauch!$C$9:$C$18896,Verbrauch!$A$9:$A$18896,"&gt;="&amp;A17,Verbrauch!$A$9:$A$18896,"&lt;"&amp;B17,Verbrauch!$F$9:$F$18896,"Standard")</f>
        <v>0</v>
      </c>
      <c r="F17" s="23" t="n">
        <f aca="false">SUMIFS(Verbrauch!$E$9:$E$18896,Verbrauch!$A$9:$A$18896,"&gt;="&amp;A17,Verbrauch!$A$9:$A$18896,"&lt;"&amp;B17)</f>
        <v>0</v>
      </c>
      <c r="G17" s="13" t="str">
        <f aca="false">IFERROR(F17/C17*100,"")</f>
        <v/>
      </c>
      <c r="H17" s="11" t="n">
        <f aca="false">COUNTIFS(Verbrauch!$A$9:$A$18896,"&gt;="&amp;A17,Verbrauch!$A$9:$A$18896,"&lt;"&amp;B17,Verbrauch!$C$9:$C$18896,"&lt;&gt;")</f>
        <v>0</v>
      </c>
    </row>
    <row r="18" customFormat="false" ht="13.5" hidden="false" customHeight="true" outlineLevel="0" collapsed="false">
      <c r="A18" s="10" t="n">
        <v>45979</v>
      </c>
      <c r="B18" s="10" t="n">
        <v>45980</v>
      </c>
      <c r="C18" s="22" t="n">
        <f aca="false">SUMIFS(Verbrauch!$C$9:$C$18896,Verbrauch!$A$9:$A$18896,"&gt;="&amp;A18,Verbrauch!$A$9:$A$18896,"&lt;"&amp;B18)</f>
        <v>0</v>
      </c>
      <c r="D18" s="22" t="n">
        <f aca="false">SUMIFS(Verbrauch!$C$9:$C$18896,Verbrauch!$A$9:$A$18896,"&gt;="&amp;A18,Verbrauch!$A$9:$A$18896,"&lt;"&amp;B18,Verbrauch!$F$9:$F$18896,"Go")</f>
        <v>0</v>
      </c>
      <c r="E18" s="22" t="n">
        <f aca="false">SUMIFS(Verbrauch!$C$9:$C$18896,Verbrauch!$A$9:$A$18896,"&gt;="&amp;A18,Verbrauch!$A$9:$A$18896,"&lt;"&amp;B18,Verbrauch!$F$9:$F$18896,"Standard")</f>
        <v>0</v>
      </c>
      <c r="F18" s="23" t="n">
        <f aca="false">SUMIFS(Verbrauch!$E$9:$E$18896,Verbrauch!$A$9:$A$18896,"&gt;="&amp;A18,Verbrauch!$A$9:$A$18896,"&lt;"&amp;B18)</f>
        <v>0</v>
      </c>
      <c r="G18" s="13" t="str">
        <f aca="false">IFERROR(F18/C18*100,"")</f>
        <v/>
      </c>
      <c r="H18" s="11" t="n">
        <f aca="false">COUNTIFS(Verbrauch!$A$9:$A$18896,"&gt;="&amp;A18,Verbrauch!$A$9:$A$18896,"&lt;"&amp;B18,Verbrauch!$C$9:$C$18896,"&lt;&gt;")</f>
        <v>0</v>
      </c>
    </row>
    <row r="19" customFormat="false" ht="13.5" hidden="false" customHeight="true" outlineLevel="0" collapsed="false">
      <c r="A19" s="10" t="n">
        <v>45980</v>
      </c>
      <c r="B19" s="10" t="n">
        <v>45981</v>
      </c>
      <c r="C19" s="22" t="n">
        <f aca="false">SUMIFS(Verbrauch!$C$9:$C$18896,Verbrauch!$A$9:$A$18896,"&gt;="&amp;A19,Verbrauch!$A$9:$A$18896,"&lt;"&amp;B19)</f>
        <v>0</v>
      </c>
      <c r="D19" s="22" t="n">
        <f aca="false">SUMIFS(Verbrauch!$C$9:$C$18896,Verbrauch!$A$9:$A$18896,"&gt;="&amp;A19,Verbrauch!$A$9:$A$18896,"&lt;"&amp;B19,Verbrauch!$F$9:$F$18896,"Go")</f>
        <v>0</v>
      </c>
      <c r="E19" s="22" t="n">
        <f aca="false">SUMIFS(Verbrauch!$C$9:$C$18896,Verbrauch!$A$9:$A$18896,"&gt;="&amp;A19,Verbrauch!$A$9:$A$18896,"&lt;"&amp;B19,Verbrauch!$F$9:$F$18896,"Standard")</f>
        <v>0</v>
      </c>
      <c r="F19" s="23" t="n">
        <f aca="false">SUMIFS(Verbrauch!$E$9:$E$18896,Verbrauch!$A$9:$A$18896,"&gt;="&amp;A19,Verbrauch!$A$9:$A$18896,"&lt;"&amp;B19)</f>
        <v>0</v>
      </c>
      <c r="G19" s="13" t="str">
        <f aca="false">IFERROR(F19/C19*100,"")</f>
        <v/>
      </c>
      <c r="H19" s="11" t="n">
        <f aca="false">COUNTIFS(Verbrauch!$A$9:$A$18896,"&gt;="&amp;A19,Verbrauch!$A$9:$A$18896,"&lt;"&amp;B19,Verbrauch!$C$9:$C$18896,"&lt;&gt;")</f>
        <v>0</v>
      </c>
    </row>
    <row r="20" customFormat="false" ht="13.5" hidden="false" customHeight="true" outlineLevel="0" collapsed="false">
      <c r="A20" s="10" t="n">
        <v>45981</v>
      </c>
      <c r="B20" s="10" t="n">
        <v>45982</v>
      </c>
      <c r="C20" s="22" t="n">
        <f aca="false">SUMIFS(Verbrauch!$C$9:$C$18896,Verbrauch!$A$9:$A$18896,"&gt;="&amp;A20,Verbrauch!$A$9:$A$18896,"&lt;"&amp;B20)</f>
        <v>0</v>
      </c>
      <c r="D20" s="22" t="n">
        <f aca="false">SUMIFS(Verbrauch!$C$9:$C$18896,Verbrauch!$A$9:$A$18896,"&gt;="&amp;A20,Verbrauch!$A$9:$A$18896,"&lt;"&amp;B20,Verbrauch!$F$9:$F$18896,"Go")</f>
        <v>0</v>
      </c>
      <c r="E20" s="22" t="n">
        <f aca="false">SUMIFS(Verbrauch!$C$9:$C$18896,Verbrauch!$A$9:$A$18896,"&gt;="&amp;A20,Verbrauch!$A$9:$A$18896,"&lt;"&amp;B20,Verbrauch!$F$9:$F$18896,"Standard")</f>
        <v>0</v>
      </c>
      <c r="F20" s="23" t="n">
        <f aca="false">SUMIFS(Verbrauch!$E$9:$E$18896,Verbrauch!$A$9:$A$18896,"&gt;="&amp;A20,Verbrauch!$A$9:$A$18896,"&lt;"&amp;B20)</f>
        <v>0</v>
      </c>
      <c r="G20" s="13" t="str">
        <f aca="false">IFERROR(F20/C20*100,"")</f>
        <v/>
      </c>
      <c r="H20" s="11" t="n">
        <f aca="false">COUNTIFS(Verbrauch!$A$9:$A$18896,"&gt;="&amp;A20,Verbrauch!$A$9:$A$18896,"&lt;"&amp;B20,Verbrauch!$C$9:$C$18896,"&lt;&gt;")</f>
        <v>0</v>
      </c>
    </row>
    <row r="21" customFormat="false" ht="13.5" hidden="false" customHeight="true" outlineLevel="0" collapsed="false">
      <c r="A21" s="10" t="n">
        <v>45982</v>
      </c>
      <c r="B21" s="10" t="n">
        <v>45983</v>
      </c>
      <c r="C21" s="22" t="n">
        <f aca="false">SUMIFS(Verbrauch!$C$9:$C$18896,Verbrauch!$A$9:$A$18896,"&gt;="&amp;A21,Verbrauch!$A$9:$A$18896,"&lt;"&amp;B21)</f>
        <v>0</v>
      </c>
      <c r="D21" s="22" t="n">
        <f aca="false">SUMIFS(Verbrauch!$C$9:$C$18896,Verbrauch!$A$9:$A$18896,"&gt;="&amp;A21,Verbrauch!$A$9:$A$18896,"&lt;"&amp;B21,Verbrauch!$F$9:$F$18896,"Go")</f>
        <v>0</v>
      </c>
      <c r="E21" s="22" t="n">
        <f aca="false">SUMIFS(Verbrauch!$C$9:$C$18896,Verbrauch!$A$9:$A$18896,"&gt;="&amp;A21,Verbrauch!$A$9:$A$18896,"&lt;"&amp;B21,Verbrauch!$F$9:$F$18896,"Standard")</f>
        <v>0</v>
      </c>
      <c r="F21" s="23" t="n">
        <f aca="false">SUMIFS(Verbrauch!$E$9:$E$18896,Verbrauch!$A$9:$A$18896,"&gt;="&amp;A21,Verbrauch!$A$9:$A$18896,"&lt;"&amp;B21)</f>
        <v>0</v>
      </c>
      <c r="G21" s="13" t="str">
        <f aca="false">IFERROR(F21/C21*100,"")</f>
        <v/>
      </c>
      <c r="H21" s="11" t="n">
        <f aca="false">COUNTIFS(Verbrauch!$A$9:$A$18896,"&gt;="&amp;A21,Verbrauch!$A$9:$A$18896,"&lt;"&amp;B21,Verbrauch!$C$9:$C$18896,"&lt;&gt;")</f>
        <v>0</v>
      </c>
    </row>
    <row r="22" customFormat="false" ht="13.5" hidden="false" customHeight="true" outlineLevel="0" collapsed="false">
      <c r="A22" s="10" t="n">
        <v>45983</v>
      </c>
      <c r="B22" s="10" t="n">
        <v>45984</v>
      </c>
      <c r="C22" s="22" t="n">
        <f aca="false">SUMIFS(Verbrauch!$C$9:$C$18896,Verbrauch!$A$9:$A$18896,"&gt;="&amp;A22,Verbrauch!$A$9:$A$18896,"&lt;"&amp;B22)</f>
        <v>0</v>
      </c>
      <c r="D22" s="22" t="n">
        <f aca="false">SUMIFS(Verbrauch!$C$9:$C$18896,Verbrauch!$A$9:$A$18896,"&gt;="&amp;A22,Verbrauch!$A$9:$A$18896,"&lt;"&amp;B22,Verbrauch!$F$9:$F$18896,"Go")</f>
        <v>0</v>
      </c>
      <c r="E22" s="22" t="n">
        <f aca="false">SUMIFS(Verbrauch!$C$9:$C$18896,Verbrauch!$A$9:$A$18896,"&gt;="&amp;A22,Verbrauch!$A$9:$A$18896,"&lt;"&amp;B22,Verbrauch!$F$9:$F$18896,"Standard")</f>
        <v>0</v>
      </c>
      <c r="F22" s="23" t="n">
        <f aca="false">SUMIFS(Verbrauch!$E$9:$E$18896,Verbrauch!$A$9:$A$18896,"&gt;="&amp;A22,Verbrauch!$A$9:$A$18896,"&lt;"&amp;B22)</f>
        <v>0</v>
      </c>
      <c r="G22" s="13" t="str">
        <f aca="false">IFERROR(F22/C22*100,"")</f>
        <v/>
      </c>
      <c r="H22" s="11" t="n">
        <f aca="false">COUNTIFS(Verbrauch!$A$9:$A$18896,"&gt;="&amp;A22,Verbrauch!$A$9:$A$18896,"&lt;"&amp;B22,Verbrauch!$C$9:$C$18896,"&lt;&gt;")</f>
        <v>0</v>
      </c>
    </row>
    <row r="23" customFormat="false" ht="13.5" hidden="false" customHeight="true" outlineLevel="0" collapsed="false">
      <c r="A23" s="10" t="n">
        <v>45984</v>
      </c>
      <c r="B23" s="10" t="n">
        <v>45985</v>
      </c>
      <c r="C23" s="22" t="n">
        <f aca="false">SUMIFS(Verbrauch!$C$9:$C$18896,Verbrauch!$A$9:$A$18896,"&gt;="&amp;A23,Verbrauch!$A$9:$A$18896,"&lt;"&amp;B23)</f>
        <v>0</v>
      </c>
      <c r="D23" s="22" t="n">
        <f aca="false">SUMIFS(Verbrauch!$C$9:$C$18896,Verbrauch!$A$9:$A$18896,"&gt;="&amp;A23,Verbrauch!$A$9:$A$18896,"&lt;"&amp;B23,Verbrauch!$F$9:$F$18896,"Go")</f>
        <v>0</v>
      </c>
      <c r="E23" s="22" t="n">
        <f aca="false">SUMIFS(Verbrauch!$C$9:$C$18896,Verbrauch!$A$9:$A$18896,"&gt;="&amp;A23,Verbrauch!$A$9:$A$18896,"&lt;"&amp;B23,Verbrauch!$F$9:$F$18896,"Standard")</f>
        <v>0</v>
      </c>
      <c r="F23" s="23" t="n">
        <f aca="false">SUMIFS(Verbrauch!$E$9:$E$18896,Verbrauch!$A$9:$A$18896,"&gt;="&amp;A23,Verbrauch!$A$9:$A$18896,"&lt;"&amp;B23)</f>
        <v>0</v>
      </c>
      <c r="G23" s="13" t="str">
        <f aca="false">IFERROR(F23/C23*100,"")</f>
        <v/>
      </c>
      <c r="H23" s="11" t="n">
        <f aca="false">COUNTIFS(Verbrauch!$A$9:$A$18896,"&gt;="&amp;A23,Verbrauch!$A$9:$A$18896,"&lt;"&amp;B23,Verbrauch!$C$9:$C$18896,"&lt;&gt;")</f>
        <v>0</v>
      </c>
    </row>
    <row r="24" customFormat="false" ht="13.5" hidden="false" customHeight="true" outlineLevel="0" collapsed="false">
      <c r="A24" s="10" t="n">
        <v>45985</v>
      </c>
      <c r="B24" s="10" t="n">
        <v>45986</v>
      </c>
      <c r="C24" s="22" t="n">
        <f aca="false">SUMIFS(Verbrauch!$C$9:$C$18896,Verbrauch!$A$9:$A$18896,"&gt;="&amp;A24,Verbrauch!$A$9:$A$18896,"&lt;"&amp;B24)</f>
        <v>0</v>
      </c>
      <c r="D24" s="22" t="n">
        <f aca="false">SUMIFS(Verbrauch!$C$9:$C$18896,Verbrauch!$A$9:$A$18896,"&gt;="&amp;A24,Verbrauch!$A$9:$A$18896,"&lt;"&amp;B24,Verbrauch!$F$9:$F$18896,"Go")</f>
        <v>0</v>
      </c>
      <c r="E24" s="22" t="n">
        <f aca="false">SUMIFS(Verbrauch!$C$9:$C$18896,Verbrauch!$A$9:$A$18896,"&gt;="&amp;A24,Verbrauch!$A$9:$A$18896,"&lt;"&amp;B24,Verbrauch!$F$9:$F$18896,"Standard")</f>
        <v>0</v>
      </c>
      <c r="F24" s="23" t="n">
        <f aca="false">SUMIFS(Verbrauch!$E$9:$E$18896,Verbrauch!$A$9:$A$18896,"&gt;="&amp;A24,Verbrauch!$A$9:$A$18896,"&lt;"&amp;B24)</f>
        <v>0</v>
      </c>
      <c r="G24" s="13" t="str">
        <f aca="false">IFERROR(F24/C24*100,"")</f>
        <v/>
      </c>
      <c r="H24" s="11" t="n">
        <f aca="false">COUNTIFS(Verbrauch!$A$9:$A$18896,"&gt;="&amp;A24,Verbrauch!$A$9:$A$18896,"&lt;"&amp;B24,Verbrauch!$C$9:$C$18896,"&lt;&gt;")</f>
        <v>0</v>
      </c>
    </row>
    <row r="25" customFormat="false" ht="13.5" hidden="false" customHeight="true" outlineLevel="0" collapsed="false">
      <c r="A25" s="10" t="n">
        <v>45986</v>
      </c>
      <c r="B25" s="10" t="n">
        <v>45987</v>
      </c>
      <c r="C25" s="22" t="n">
        <f aca="false">SUMIFS(Verbrauch!$C$9:$C$18896,Verbrauch!$A$9:$A$18896,"&gt;="&amp;A25,Verbrauch!$A$9:$A$18896,"&lt;"&amp;B25)</f>
        <v>0</v>
      </c>
      <c r="D25" s="22" t="n">
        <f aca="false">SUMIFS(Verbrauch!$C$9:$C$18896,Verbrauch!$A$9:$A$18896,"&gt;="&amp;A25,Verbrauch!$A$9:$A$18896,"&lt;"&amp;B25,Verbrauch!$F$9:$F$18896,"Go")</f>
        <v>0</v>
      </c>
      <c r="E25" s="22" t="n">
        <f aca="false">SUMIFS(Verbrauch!$C$9:$C$18896,Verbrauch!$A$9:$A$18896,"&gt;="&amp;A25,Verbrauch!$A$9:$A$18896,"&lt;"&amp;B25,Verbrauch!$F$9:$F$18896,"Standard")</f>
        <v>0</v>
      </c>
      <c r="F25" s="23" t="n">
        <f aca="false">SUMIFS(Verbrauch!$E$9:$E$18896,Verbrauch!$A$9:$A$18896,"&gt;="&amp;A25,Verbrauch!$A$9:$A$18896,"&lt;"&amp;B25)</f>
        <v>0</v>
      </c>
      <c r="G25" s="13" t="str">
        <f aca="false">IFERROR(F25/C25*100,"")</f>
        <v/>
      </c>
      <c r="H25" s="11" t="n">
        <f aca="false">COUNTIFS(Verbrauch!$A$9:$A$18896,"&gt;="&amp;A25,Verbrauch!$A$9:$A$18896,"&lt;"&amp;B25,Verbrauch!$C$9:$C$18896,"&lt;&gt;")</f>
        <v>0</v>
      </c>
    </row>
    <row r="26" customFormat="false" ht="13.5" hidden="false" customHeight="true" outlineLevel="0" collapsed="false">
      <c r="A26" s="10" t="n">
        <v>45987</v>
      </c>
      <c r="B26" s="10" t="n">
        <v>45988</v>
      </c>
      <c r="C26" s="22" t="n">
        <f aca="false">SUMIFS(Verbrauch!$C$9:$C$18896,Verbrauch!$A$9:$A$18896,"&gt;="&amp;A26,Verbrauch!$A$9:$A$18896,"&lt;"&amp;B26)</f>
        <v>0</v>
      </c>
      <c r="D26" s="22" t="n">
        <f aca="false">SUMIFS(Verbrauch!$C$9:$C$18896,Verbrauch!$A$9:$A$18896,"&gt;="&amp;A26,Verbrauch!$A$9:$A$18896,"&lt;"&amp;B26,Verbrauch!$F$9:$F$18896,"Go")</f>
        <v>0</v>
      </c>
      <c r="E26" s="22" t="n">
        <f aca="false">SUMIFS(Verbrauch!$C$9:$C$18896,Verbrauch!$A$9:$A$18896,"&gt;="&amp;A26,Verbrauch!$A$9:$A$18896,"&lt;"&amp;B26,Verbrauch!$F$9:$F$18896,"Standard")</f>
        <v>0</v>
      </c>
      <c r="F26" s="23" t="n">
        <f aca="false">SUMIFS(Verbrauch!$E$9:$E$18896,Verbrauch!$A$9:$A$18896,"&gt;="&amp;A26,Verbrauch!$A$9:$A$18896,"&lt;"&amp;B26)</f>
        <v>0</v>
      </c>
      <c r="G26" s="13" t="str">
        <f aca="false">IFERROR(F26/C26*100,"")</f>
        <v/>
      </c>
      <c r="H26" s="11" t="n">
        <f aca="false">COUNTIFS(Verbrauch!$A$9:$A$18896,"&gt;="&amp;A26,Verbrauch!$A$9:$A$18896,"&lt;"&amp;B26,Verbrauch!$C$9:$C$18896,"&lt;&gt;")</f>
        <v>0</v>
      </c>
    </row>
    <row r="27" customFormat="false" ht="13.5" hidden="false" customHeight="true" outlineLevel="0" collapsed="false">
      <c r="A27" s="10" t="n">
        <v>45988</v>
      </c>
      <c r="B27" s="10" t="n">
        <v>45989</v>
      </c>
      <c r="C27" s="22" t="n">
        <f aca="false">SUMIFS(Verbrauch!$C$9:$C$18896,Verbrauch!$A$9:$A$18896,"&gt;="&amp;A27,Verbrauch!$A$9:$A$18896,"&lt;"&amp;B27)</f>
        <v>0</v>
      </c>
      <c r="D27" s="22" t="n">
        <f aca="false">SUMIFS(Verbrauch!$C$9:$C$18896,Verbrauch!$A$9:$A$18896,"&gt;="&amp;A27,Verbrauch!$A$9:$A$18896,"&lt;"&amp;B27,Verbrauch!$F$9:$F$18896,"Go")</f>
        <v>0</v>
      </c>
      <c r="E27" s="22" t="n">
        <f aca="false">SUMIFS(Verbrauch!$C$9:$C$18896,Verbrauch!$A$9:$A$18896,"&gt;="&amp;A27,Verbrauch!$A$9:$A$18896,"&lt;"&amp;B27,Verbrauch!$F$9:$F$18896,"Standard")</f>
        <v>0</v>
      </c>
      <c r="F27" s="23" t="n">
        <f aca="false">SUMIFS(Verbrauch!$E$9:$E$18896,Verbrauch!$A$9:$A$18896,"&gt;="&amp;A27,Verbrauch!$A$9:$A$18896,"&lt;"&amp;B27)</f>
        <v>0</v>
      </c>
      <c r="G27" s="13" t="str">
        <f aca="false">IFERROR(F27/C27*100,"")</f>
        <v/>
      </c>
      <c r="H27" s="11" t="n">
        <f aca="false">COUNTIFS(Verbrauch!$A$9:$A$18896,"&gt;="&amp;A27,Verbrauch!$A$9:$A$18896,"&lt;"&amp;B27,Verbrauch!$C$9:$C$18896,"&lt;&gt;")</f>
        <v>0</v>
      </c>
    </row>
    <row r="28" customFormat="false" ht="13.5" hidden="false" customHeight="true" outlineLevel="0" collapsed="false">
      <c r="A28" s="10" t="n">
        <v>45989</v>
      </c>
      <c r="B28" s="10" t="n">
        <v>45990</v>
      </c>
      <c r="C28" s="22" t="n">
        <f aca="false">SUMIFS(Verbrauch!$C$9:$C$18896,Verbrauch!$A$9:$A$18896,"&gt;="&amp;A28,Verbrauch!$A$9:$A$18896,"&lt;"&amp;B28)</f>
        <v>0</v>
      </c>
      <c r="D28" s="22" t="n">
        <f aca="false">SUMIFS(Verbrauch!$C$9:$C$18896,Verbrauch!$A$9:$A$18896,"&gt;="&amp;A28,Verbrauch!$A$9:$A$18896,"&lt;"&amp;B28,Verbrauch!$F$9:$F$18896,"Go")</f>
        <v>0</v>
      </c>
      <c r="E28" s="22" t="n">
        <f aca="false">SUMIFS(Verbrauch!$C$9:$C$18896,Verbrauch!$A$9:$A$18896,"&gt;="&amp;A28,Verbrauch!$A$9:$A$18896,"&lt;"&amp;B28,Verbrauch!$F$9:$F$18896,"Standard")</f>
        <v>0</v>
      </c>
      <c r="F28" s="23" t="n">
        <f aca="false">SUMIFS(Verbrauch!$E$9:$E$18896,Verbrauch!$A$9:$A$18896,"&gt;="&amp;A28,Verbrauch!$A$9:$A$18896,"&lt;"&amp;B28)</f>
        <v>0</v>
      </c>
      <c r="G28" s="13" t="str">
        <f aca="false">IFERROR(F28/C28*100,"")</f>
        <v/>
      </c>
      <c r="H28" s="11" t="n">
        <f aca="false">COUNTIFS(Verbrauch!$A$9:$A$18896,"&gt;="&amp;A28,Verbrauch!$A$9:$A$18896,"&lt;"&amp;B28,Verbrauch!$C$9:$C$18896,"&lt;&gt;")</f>
        <v>0</v>
      </c>
    </row>
    <row r="29" customFormat="false" ht="13.5" hidden="false" customHeight="true" outlineLevel="0" collapsed="false">
      <c r="A29" s="10" t="n">
        <v>45990</v>
      </c>
      <c r="B29" s="10" t="n">
        <v>45991</v>
      </c>
      <c r="C29" s="22" t="n">
        <f aca="false">SUMIFS(Verbrauch!$C$9:$C$18896,Verbrauch!$A$9:$A$18896,"&gt;="&amp;A29,Verbrauch!$A$9:$A$18896,"&lt;"&amp;B29)</f>
        <v>0</v>
      </c>
      <c r="D29" s="22" t="n">
        <f aca="false">SUMIFS(Verbrauch!$C$9:$C$18896,Verbrauch!$A$9:$A$18896,"&gt;="&amp;A29,Verbrauch!$A$9:$A$18896,"&lt;"&amp;B29,Verbrauch!$F$9:$F$18896,"Go")</f>
        <v>0</v>
      </c>
      <c r="E29" s="22" t="n">
        <f aca="false">SUMIFS(Verbrauch!$C$9:$C$18896,Verbrauch!$A$9:$A$18896,"&gt;="&amp;A29,Verbrauch!$A$9:$A$18896,"&lt;"&amp;B29,Verbrauch!$F$9:$F$18896,"Standard")</f>
        <v>0</v>
      </c>
      <c r="F29" s="23" t="n">
        <f aca="false">SUMIFS(Verbrauch!$E$9:$E$18896,Verbrauch!$A$9:$A$18896,"&gt;="&amp;A29,Verbrauch!$A$9:$A$18896,"&lt;"&amp;B29)</f>
        <v>0</v>
      </c>
      <c r="G29" s="13" t="str">
        <f aca="false">IFERROR(F29/C29*100,"")</f>
        <v/>
      </c>
      <c r="H29" s="11" t="n">
        <f aca="false">COUNTIFS(Verbrauch!$A$9:$A$18896,"&gt;="&amp;A29,Verbrauch!$A$9:$A$18896,"&lt;"&amp;B29,Verbrauch!$C$9:$C$18896,"&lt;&gt;")</f>
        <v>0</v>
      </c>
    </row>
    <row r="30" customFormat="false" ht="13.5" hidden="false" customHeight="true" outlineLevel="0" collapsed="false">
      <c r="A30" s="10" t="n">
        <v>45991</v>
      </c>
      <c r="B30" s="10" t="n">
        <v>45992</v>
      </c>
      <c r="C30" s="22" t="n">
        <f aca="false">SUMIFS(Verbrauch!$C$9:$C$18896,Verbrauch!$A$9:$A$18896,"&gt;="&amp;A30,Verbrauch!$A$9:$A$18896,"&lt;"&amp;B30)</f>
        <v>0</v>
      </c>
      <c r="D30" s="22" t="n">
        <f aca="false">SUMIFS(Verbrauch!$C$9:$C$18896,Verbrauch!$A$9:$A$18896,"&gt;="&amp;A30,Verbrauch!$A$9:$A$18896,"&lt;"&amp;B30,Verbrauch!$F$9:$F$18896,"Go")</f>
        <v>0</v>
      </c>
      <c r="E30" s="22" t="n">
        <f aca="false">SUMIFS(Verbrauch!$C$9:$C$18896,Verbrauch!$A$9:$A$18896,"&gt;="&amp;A30,Verbrauch!$A$9:$A$18896,"&lt;"&amp;B30,Verbrauch!$F$9:$F$18896,"Standard")</f>
        <v>0</v>
      </c>
      <c r="F30" s="23" t="n">
        <f aca="false">SUMIFS(Verbrauch!$E$9:$E$18896,Verbrauch!$A$9:$A$18896,"&gt;="&amp;A30,Verbrauch!$A$9:$A$18896,"&lt;"&amp;B30)</f>
        <v>0</v>
      </c>
      <c r="G30" s="13" t="str">
        <f aca="false">IFERROR(F30/C30*100,"")</f>
        <v/>
      </c>
      <c r="H30" s="11" t="n">
        <f aca="false">COUNTIFS(Verbrauch!$A$9:$A$18896,"&gt;="&amp;A30,Verbrauch!$A$9:$A$18896,"&lt;"&amp;B30,Verbrauch!$C$9:$C$18896,"&lt;&gt;")</f>
        <v>0</v>
      </c>
    </row>
    <row r="31" customFormat="false" ht="13.5" hidden="false" customHeight="true" outlineLevel="0" collapsed="false">
      <c r="A31" s="10" t="n">
        <v>45992</v>
      </c>
      <c r="B31" s="10" t="n">
        <v>45993</v>
      </c>
      <c r="C31" s="22" t="n">
        <f aca="false">SUMIFS(Verbrauch!$C$9:$C$18896,Verbrauch!$A$9:$A$18896,"&gt;="&amp;A31,Verbrauch!$A$9:$A$18896,"&lt;"&amp;B31)</f>
        <v>0</v>
      </c>
      <c r="D31" s="22" t="n">
        <f aca="false">SUMIFS(Verbrauch!$C$9:$C$18896,Verbrauch!$A$9:$A$18896,"&gt;="&amp;A31,Verbrauch!$A$9:$A$18896,"&lt;"&amp;B31,Verbrauch!$F$9:$F$18896,"Go")</f>
        <v>0</v>
      </c>
      <c r="E31" s="22" t="n">
        <f aca="false">SUMIFS(Verbrauch!$C$9:$C$18896,Verbrauch!$A$9:$A$18896,"&gt;="&amp;A31,Verbrauch!$A$9:$A$18896,"&lt;"&amp;B31,Verbrauch!$F$9:$F$18896,"Standard")</f>
        <v>0</v>
      </c>
      <c r="F31" s="23" t="n">
        <f aca="false">SUMIFS(Verbrauch!$E$9:$E$18896,Verbrauch!$A$9:$A$18896,"&gt;="&amp;A31,Verbrauch!$A$9:$A$18896,"&lt;"&amp;B31)</f>
        <v>0</v>
      </c>
      <c r="G31" s="13" t="str">
        <f aca="false">IFERROR(F31/C31*100,"")</f>
        <v/>
      </c>
      <c r="H31" s="11" t="n">
        <f aca="false">COUNTIFS(Verbrauch!$A$9:$A$18896,"&gt;="&amp;A31,Verbrauch!$A$9:$A$18896,"&lt;"&amp;B31,Verbrauch!$C$9:$C$18896,"&lt;&gt;")</f>
        <v>0</v>
      </c>
    </row>
    <row r="32" customFormat="false" ht="13.5" hidden="false" customHeight="true" outlineLevel="0" collapsed="false">
      <c r="A32" s="10" t="n">
        <v>45993</v>
      </c>
      <c r="B32" s="10" t="n">
        <v>45994</v>
      </c>
      <c r="C32" s="22" t="n">
        <f aca="false">SUMIFS(Verbrauch!$C$9:$C$18896,Verbrauch!$A$9:$A$18896,"&gt;="&amp;A32,Verbrauch!$A$9:$A$18896,"&lt;"&amp;B32)</f>
        <v>0</v>
      </c>
      <c r="D32" s="22" t="n">
        <f aca="false">SUMIFS(Verbrauch!$C$9:$C$18896,Verbrauch!$A$9:$A$18896,"&gt;="&amp;A32,Verbrauch!$A$9:$A$18896,"&lt;"&amp;B32,Verbrauch!$F$9:$F$18896,"Go")</f>
        <v>0</v>
      </c>
      <c r="E32" s="22" t="n">
        <f aca="false">SUMIFS(Verbrauch!$C$9:$C$18896,Verbrauch!$A$9:$A$18896,"&gt;="&amp;A32,Verbrauch!$A$9:$A$18896,"&lt;"&amp;B32,Verbrauch!$F$9:$F$18896,"Standard")</f>
        <v>0</v>
      </c>
      <c r="F32" s="23" t="n">
        <f aca="false">SUMIFS(Verbrauch!$E$9:$E$18896,Verbrauch!$A$9:$A$18896,"&gt;="&amp;A32,Verbrauch!$A$9:$A$18896,"&lt;"&amp;B32)</f>
        <v>0</v>
      </c>
      <c r="G32" s="13" t="str">
        <f aca="false">IFERROR(F32/C32*100,"")</f>
        <v/>
      </c>
      <c r="H32" s="11" t="n">
        <f aca="false">COUNTIFS(Verbrauch!$A$9:$A$18896,"&gt;="&amp;A32,Verbrauch!$A$9:$A$18896,"&lt;"&amp;B32,Verbrauch!$C$9:$C$18896,"&lt;&gt;")</f>
        <v>0</v>
      </c>
    </row>
    <row r="33" customFormat="false" ht="13.5" hidden="false" customHeight="true" outlineLevel="0" collapsed="false">
      <c r="A33" s="10" t="n">
        <v>45994</v>
      </c>
      <c r="B33" s="10" t="n">
        <v>45995</v>
      </c>
      <c r="C33" s="22" t="n">
        <f aca="false">SUMIFS(Verbrauch!$C$9:$C$18896,Verbrauch!$A$9:$A$18896,"&gt;="&amp;A33,Verbrauch!$A$9:$A$18896,"&lt;"&amp;B33)</f>
        <v>0</v>
      </c>
      <c r="D33" s="22" t="n">
        <f aca="false">SUMIFS(Verbrauch!$C$9:$C$18896,Verbrauch!$A$9:$A$18896,"&gt;="&amp;A33,Verbrauch!$A$9:$A$18896,"&lt;"&amp;B33,Verbrauch!$F$9:$F$18896,"Go")</f>
        <v>0</v>
      </c>
      <c r="E33" s="22" t="n">
        <f aca="false">SUMIFS(Verbrauch!$C$9:$C$18896,Verbrauch!$A$9:$A$18896,"&gt;="&amp;A33,Verbrauch!$A$9:$A$18896,"&lt;"&amp;B33,Verbrauch!$F$9:$F$18896,"Standard")</f>
        <v>0</v>
      </c>
      <c r="F33" s="23" t="n">
        <f aca="false">SUMIFS(Verbrauch!$E$9:$E$18896,Verbrauch!$A$9:$A$18896,"&gt;="&amp;A33,Verbrauch!$A$9:$A$18896,"&lt;"&amp;B33)</f>
        <v>0</v>
      </c>
      <c r="G33" s="13" t="str">
        <f aca="false">IFERROR(F33/C33*100,"")</f>
        <v/>
      </c>
      <c r="H33" s="11" t="n">
        <f aca="false">COUNTIFS(Verbrauch!$A$9:$A$18896,"&gt;="&amp;A33,Verbrauch!$A$9:$A$18896,"&lt;"&amp;B33,Verbrauch!$C$9:$C$18896,"&lt;&gt;")</f>
        <v>0</v>
      </c>
    </row>
    <row r="34" customFormat="false" ht="13.5" hidden="false" customHeight="true" outlineLevel="0" collapsed="false">
      <c r="A34" s="10" t="n">
        <v>45995</v>
      </c>
      <c r="B34" s="10" t="n">
        <v>45996</v>
      </c>
      <c r="C34" s="22" t="n">
        <f aca="false">SUMIFS(Verbrauch!$C$9:$C$18896,Verbrauch!$A$9:$A$18896,"&gt;="&amp;A34,Verbrauch!$A$9:$A$18896,"&lt;"&amp;B34)</f>
        <v>0</v>
      </c>
      <c r="D34" s="22" t="n">
        <f aca="false">SUMIFS(Verbrauch!$C$9:$C$18896,Verbrauch!$A$9:$A$18896,"&gt;="&amp;A34,Verbrauch!$A$9:$A$18896,"&lt;"&amp;B34,Verbrauch!$F$9:$F$18896,"Go")</f>
        <v>0</v>
      </c>
      <c r="E34" s="22" t="n">
        <f aca="false">SUMIFS(Verbrauch!$C$9:$C$18896,Verbrauch!$A$9:$A$18896,"&gt;="&amp;A34,Verbrauch!$A$9:$A$18896,"&lt;"&amp;B34,Verbrauch!$F$9:$F$18896,"Standard")</f>
        <v>0</v>
      </c>
      <c r="F34" s="23" t="n">
        <f aca="false">SUMIFS(Verbrauch!$E$9:$E$18896,Verbrauch!$A$9:$A$18896,"&gt;="&amp;A34,Verbrauch!$A$9:$A$18896,"&lt;"&amp;B34)</f>
        <v>0</v>
      </c>
      <c r="G34" s="13" t="str">
        <f aca="false">IFERROR(F34/C34*100,"")</f>
        <v/>
      </c>
      <c r="H34" s="11" t="n">
        <f aca="false">COUNTIFS(Verbrauch!$A$9:$A$18896,"&gt;="&amp;A34,Verbrauch!$A$9:$A$18896,"&lt;"&amp;B34,Verbrauch!$C$9:$C$18896,"&lt;&gt;")</f>
        <v>0</v>
      </c>
    </row>
    <row r="35" customFormat="false" ht="13.5" hidden="false" customHeight="true" outlineLevel="0" collapsed="false">
      <c r="A35" s="10" t="n">
        <v>45996</v>
      </c>
      <c r="B35" s="10" t="n">
        <v>45997</v>
      </c>
      <c r="C35" s="22" t="n">
        <f aca="false">SUMIFS(Verbrauch!$C$9:$C$18896,Verbrauch!$A$9:$A$18896,"&gt;="&amp;A35,Verbrauch!$A$9:$A$18896,"&lt;"&amp;B35)</f>
        <v>0</v>
      </c>
      <c r="D35" s="22" t="n">
        <f aca="false">SUMIFS(Verbrauch!$C$9:$C$18896,Verbrauch!$A$9:$A$18896,"&gt;="&amp;A35,Verbrauch!$A$9:$A$18896,"&lt;"&amp;B35,Verbrauch!$F$9:$F$18896,"Go")</f>
        <v>0</v>
      </c>
      <c r="E35" s="22" t="n">
        <f aca="false">SUMIFS(Verbrauch!$C$9:$C$18896,Verbrauch!$A$9:$A$18896,"&gt;="&amp;A35,Verbrauch!$A$9:$A$18896,"&lt;"&amp;B35,Verbrauch!$F$9:$F$18896,"Standard")</f>
        <v>0</v>
      </c>
      <c r="F35" s="23" t="n">
        <f aca="false">SUMIFS(Verbrauch!$E$9:$E$18896,Verbrauch!$A$9:$A$18896,"&gt;="&amp;A35,Verbrauch!$A$9:$A$18896,"&lt;"&amp;B35)</f>
        <v>0</v>
      </c>
      <c r="G35" s="13" t="str">
        <f aca="false">IFERROR(F35/C35*100,"")</f>
        <v/>
      </c>
      <c r="H35" s="11" t="n">
        <f aca="false">COUNTIFS(Verbrauch!$A$9:$A$18896,"&gt;="&amp;A35,Verbrauch!$A$9:$A$18896,"&lt;"&amp;B35,Verbrauch!$C$9:$C$18896,"&lt;&gt;")</f>
        <v>0</v>
      </c>
    </row>
    <row r="36" customFormat="false" ht="13.5" hidden="false" customHeight="true" outlineLevel="0" collapsed="false">
      <c r="A36" s="10" t="n">
        <v>45997</v>
      </c>
      <c r="B36" s="10" t="n">
        <v>45998</v>
      </c>
      <c r="C36" s="22" t="n">
        <f aca="false">SUMIFS(Verbrauch!$C$9:$C$18896,Verbrauch!$A$9:$A$18896,"&gt;="&amp;A36,Verbrauch!$A$9:$A$18896,"&lt;"&amp;B36)</f>
        <v>0</v>
      </c>
      <c r="D36" s="22" t="n">
        <f aca="false">SUMIFS(Verbrauch!$C$9:$C$18896,Verbrauch!$A$9:$A$18896,"&gt;="&amp;A36,Verbrauch!$A$9:$A$18896,"&lt;"&amp;B36,Verbrauch!$F$9:$F$18896,"Go")</f>
        <v>0</v>
      </c>
      <c r="E36" s="22" t="n">
        <f aca="false">SUMIFS(Verbrauch!$C$9:$C$18896,Verbrauch!$A$9:$A$18896,"&gt;="&amp;A36,Verbrauch!$A$9:$A$18896,"&lt;"&amp;B36,Verbrauch!$F$9:$F$18896,"Standard")</f>
        <v>0</v>
      </c>
      <c r="F36" s="23" t="n">
        <f aca="false">SUMIFS(Verbrauch!$E$9:$E$18896,Verbrauch!$A$9:$A$18896,"&gt;="&amp;A36,Verbrauch!$A$9:$A$18896,"&lt;"&amp;B36)</f>
        <v>0</v>
      </c>
      <c r="G36" s="13" t="str">
        <f aca="false">IFERROR(F36/C36*100,"")</f>
        <v/>
      </c>
      <c r="H36" s="11" t="n">
        <f aca="false">COUNTIFS(Verbrauch!$A$9:$A$18896,"&gt;="&amp;A36,Verbrauch!$A$9:$A$18896,"&lt;"&amp;B36,Verbrauch!$C$9:$C$18896,"&lt;&gt;")</f>
        <v>0</v>
      </c>
    </row>
    <row r="37" customFormat="false" ht="13.5" hidden="false" customHeight="true" outlineLevel="0" collapsed="false">
      <c r="A37" s="10" t="n">
        <v>45998</v>
      </c>
      <c r="B37" s="10" t="n">
        <v>45999</v>
      </c>
      <c r="C37" s="22" t="n">
        <f aca="false">SUMIFS(Verbrauch!$C$9:$C$18896,Verbrauch!$A$9:$A$18896,"&gt;="&amp;A37,Verbrauch!$A$9:$A$18896,"&lt;"&amp;B37)</f>
        <v>0</v>
      </c>
      <c r="D37" s="22" t="n">
        <f aca="false">SUMIFS(Verbrauch!$C$9:$C$18896,Verbrauch!$A$9:$A$18896,"&gt;="&amp;A37,Verbrauch!$A$9:$A$18896,"&lt;"&amp;B37,Verbrauch!$F$9:$F$18896,"Go")</f>
        <v>0</v>
      </c>
      <c r="E37" s="22" t="n">
        <f aca="false">SUMIFS(Verbrauch!$C$9:$C$18896,Verbrauch!$A$9:$A$18896,"&gt;="&amp;A37,Verbrauch!$A$9:$A$18896,"&lt;"&amp;B37,Verbrauch!$F$9:$F$18896,"Standard")</f>
        <v>0</v>
      </c>
      <c r="F37" s="23" t="n">
        <f aca="false">SUMIFS(Verbrauch!$E$9:$E$18896,Verbrauch!$A$9:$A$18896,"&gt;="&amp;A37,Verbrauch!$A$9:$A$18896,"&lt;"&amp;B37)</f>
        <v>0</v>
      </c>
      <c r="G37" s="13" t="str">
        <f aca="false">IFERROR(F37/C37*100,"")</f>
        <v/>
      </c>
      <c r="H37" s="11" t="n">
        <f aca="false">COUNTIFS(Verbrauch!$A$9:$A$18896,"&gt;="&amp;A37,Verbrauch!$A$9:$A$18896,"&lt;"&amp;B37,Verbrauch!$C$9:$C$18896,"&lt;&gt;")</f>
        <v>0</v>
      </c>
    </row>
    <row r="38" customFormat="false" ht="13.5" hidden="false" customHeight="true" outlineLevel="0" collapsed="false">
      <c r="A38" s="10" t="n">
        <v>45999</v>
      </c>
      <c r="B38" s="10" t="n">
        <v>46000</v>
      </c>
      <c r="C38" s="22" t="n">
        <f aca="false">SUMIFS(Verbrauch!$C$9:$C$18896,Verbrauch!$A$9:$A$18896,"&gt;="&amp;A38,Verbrauch!$A$9:$A$18896,"&lt;"&amp;B38)</f>
        <v>0</v>
      </c>
      <c r="D38" s="22" t="n">
        <f aca="false">SUMIFS(Verbrauch!$C$9:$C$18896,Verbrauch!$A$9:$A$18896,"&gt;="&amp;A38,Verbrauch!$A$9:$A$18896,"&lt;"&amp;B38,Verbrauch!$F$9:$F$18896,"Go")</f>
        <v>0</v>
      </c>
      <c r="E38" s="22" t="n">
        <f aca="false">SUMIFS(Verbrauch!$C$9:$C$18896,Verbrauch!$A$9:$A$18896,"&gt;="&amp;A38,Verbrauch!$A$9:$A$18896,"&lt;"&amp;B38,Verbrauch!$F$9:$F$18896,"Standard")</f>
        <v>0</v>
      </c>
      <c r="F38" s="23" t="n">
        <f aca="false">SUMIFS(Verbrauch!$E$9:$E$18896,Verbrauch!$A$9:$A$18896,"&gt;="&amp;A38,Verbrauch!$A$9:$A$18896,"&lt;"&amp;B38)</f>
        <v>0</v>
      </c>
      <c r="G38" s="13" t="str">
        <f aca="false">IFERROR(F38/C38*100,"")</f>
        <v/>
      </c>
      <c r="H38" s="11" t="n">
        <f aca="false">COUNTIFS(Verbrauch!$A$9:$A$18896,"&gt;="&amp;A38,Verbrauch!$A$9:$A$18896,"&lt;"&amp;B38,Verbrauch!$C$9:$C$18896,"&lt;&gt;")</f>
        <v>0</v>
      </c>
    </row>
    <row r="39" customFormat="false" ht="13.5" hidden="false" customHeight="true" outlineLevel="0" collapsed="false">
      <c r="A39" s="10" t="n">
        <v>46000</v>
      </c>
      <c r="B39" s="10" t="n">
        <v>46001</v>
      </c>
      <c r="C39" s="22" t="n">
        <f aca="false">SUMIFS(Verbrauch!$C$9:$C$18896,Verbrauch!$A$9:$A$18896,"&gt;="&amp;A39,Verbrauch!$A$9:$A$18896,"&lt;"&amp;B39)</f>
        <v>0</v>
      </c>
      <c r="D39" s="22" t="n">
        <f aca="false">SUMIFS(Verbrauch!$C$9:$C$18896,Verbrauch!$A$9:$A$18896,"&gt;="&amp;A39,Verbrauch!$A$9:$A$18896,"&lt;"&amp;B39,Verbrauch!$F$9:$F$18896,"Go")</f>
        <v>0</v>
      </c>
      <c r="E39" s="22" t="n">
        <f aca="false">SUMIFS(Verbrauch!$C$9:$C$18896,Verbrauch!$A$9:$A$18896,"&gt;="&amp;A39,Verbrauch!$A$9:$A$18896,"&lt;"&amp;B39,Verbrauch!$F$9:$F$18896,"Standard")</f>
        <v>0</v>
      </c>
      <c r="F39" s="23" t="n">
        <f aca="false">SUMIFS(Verbrauch!$E$9:$E$18896,Verbrauch!$A$9:$A$18896,"&gt;="&amp;A39,Verbrauch!$A$9:$A$18896,"&lt;"&amp;B39)</f>
        <v>0</v>
      </c>
      <c r="G39" s="13" t="str">
        <f aca="false">IFERROR(F39/C39*100,"")</f>
        <v/>
      </c>
      <c r="H39" s="11" t="n">
        <f aca="false">COUNTIFS(Verbrauch!$A$9:$A$18896,"&gt;="&amp;A39,Verbrauch!$A$9:$A$18896,"&lt;"&amp;B39,Verbrauch!$C$9:$C$18896,"&lt;&gt;")</f>
        <v>0</v>
      </c>
    </row>
    <row r="40" customFormat="false" ht="13.5" hidden="false" customHeight="true" outlineLevel="0" collapsed="false">
      <c r="A40" s="10" t="n">
        <v>46001</v>
      </c>
      <c r="B40" s="10" t="n">
        <v>46002</v>
      </c>
      <c r="C40" s="22" t="n">
        <f aca="false">SUMIFS(Verbrauch!$C$9:$C$18896,Verbrauch!$A$9:$A$18896,"&gt;="&amp;A40,Verbrauch!$A$9:$A$18896,"&lt;"&amp;B40)</f>
        <v>0</v>
      </c>
      <c r="D40" s="22" t="n">
        <f aca="false">SUMIFS(Verbrauch!$C$9:$C$18896,Verbrauch!$A$9:$A$18896,"&gt;="&amp;A40,Verbrauch!$A$9:$A$18896,"&lt;"&amp;B40,Verbrauch!$F$9:$F$18896,"Go")</f>
        <v>0</v>
      </c>
      <c r="E40" s="22" t="n">
        <f aca="false">SUMIFS(Verbrauch!$C$9:$C$18896,Verbrauch!$A$9:$A$18896,"&gt;="&amp;A40,Verbrauch!$A$9:$A$18896,"&lt;"&amp;B40,Verbrauch!$F$9:$F$18896,"Standard")</f>
        <v>0</v>
      </c>
      <c r="F40" s="23" t="n">
        <f aca="false">SUMIFS(Verbrauch!$E$9:$E$18896,Verbrauch!$A$9:$A$18896,"&gt;="&amp;A40,Verbrauch!$A$9:$A$18896,"&lt;"&amp;B40)</f>
        <v>0</v>
      </c>
      <c r="G40" s="13" t="str">
        <f aca="false">IFERROR(F40/C40*100,"")</f>
        <v/>
      </c>
      <c r="H40" s="11" t="n">
        <f aca="false">COUNTIFS(Verbrauch!$A$9:$A$18896,"&gt;="&amp;A40,Verbrauch!$A$9:$A$18896,"&lt;"&amp;B40,Verbrauch!$C$9:$C$18896,"&lt;&gt;")</f>
        <v>0</v>
      </c>
    </row>
    <row r="41" customFormat="false" ht="13.5" hidden="false" customHeight="true" outlineLevel="0" collapsed="false">
      <c r="A41" s="10" t="n">
        <v>46002</v>
      </c>
      <c r="B41" s="10" t="n">
        <v>46003</v>
      </c>
      <c r="C41" s="22" t="n">
        <f aca="false">SUMIFS(Verbrauch!$C$9:$C$18896,Verbrauch!$A$9:$A$18896,"&gt;="&amp;A41,Verbrauch!$A$9:$A$18896,"&lt;"&amp;B41)</f>
        <v>0</v>
      </c>
      <c r="D41" s="22" t="n">
        <f aca="false">SUMIFS(Verbrauch!$C$9:$C$18896,Verbrauch!$A$9:$A$18896,"&gt;="&amp;A41,Verbrauch!$A$9:$A$18896,"&lt;"&amp;B41,Verbrauch!$F$9:$F$18896,"Go")</f>
        <v>0</v>
      </c>
      <c r="E41" s="22" t="n">
        <f aca="false">SUMIFS(Verbrauch!$C$9:$C$18896,Verbrauch!$A$9:$A$18896,"&gt;="&amp;A41,Verbrauch!$A$9:$A$18896,"&lt;"&amp;B41,Verbrauch!$F$9:$F$18896,"Standard")</f>
        <v>0</v>
      </c>
      <c r="F41" s="23" t="n">
        <f aca="false">SUMIFS(Verbrauch!$E$9:$E$18896,Verbrauch!$A$9:$A$18896,"&gt;="&amp;A41,Verbrauch!$A$9:$A$18896,"&lt;"&amp;B41)</f>
        <v>0</v>
      </c>
      <c r="G41" s="13" t="str">
        <f aca="false">IFERROR(F41/C41*100,"")</f>
        <v/>
      </c>
      <c r="H41" s="11" t="n">
        <f aca="false">COUNTIFS(Verbrauch!$A$9:$A$18896,"&gt;="&amp;A41,Verbrauch!$A$9:$A$18896,"&lt;"&amp;B41,Verbrauch!$C$9:$C$18896,"&lt;&gt;")</f>
        <v>0</v>
      </c>
    </row>
    <row r="42" customFormat="false" ht="13.5" hidden="false" customHeight="true" outlineLevel="0" collapsed="false">
      <c r="A42" s="10" t="n">
        <v>46003</v>
      </c>
      <c r="B42" s="10" t="n">
        <v>46004</v>
      </c>
      <c r="C42" s="22" t="n">
        <f aca="false">SUMIFS(Verbrauch!$C$9:$C$18896,Verbrauch!$A$9:$A$18896,"&gt;="&amp;A42,Verbrauch!$A$9:$A$18896,"&lt;"&amp;B42)</f>
        <v>0</v>
      </c>
      <c r="D42" s="22" t="n">
        <f aca="false">SUMIFS(Verbrauch!$C$9:$C$18896,Verbrauch!$A$9:$A$18896,"&gt;="&amp;A42,Verbrauch!$A$9:$A$18896,"&lt;"&amp;B42,Verbrauch!$F$9:$F$18896,"Go")</f>
        <v>0</v>
      </c>
      <c r="E42" s="22" t="n">
        <f aca="false">SUMIFS(Verbrauch!$C$9:$C$18896,Verbrauch!$A$9:$A$18896,"&gt;="&amp;A42,Verbrauch!$A$9:$A$18896,"&lt;"&amp;B42,Verbrauch!$F$9:$F$18896,"Standard")</f>
        <v>0</v>
      </c>
      <c r="F42" s="23" t="n">
        <f aca="false">SUMIFS(Verbrauch!$E$9:$E$18896,Verbrauch!$A$9:$A$18896,"&gt;="&amp;A42,Verbrauch!$A$9:$A$18896,"&lt;"&amp;B42)</f>
        <v>0</v>
      </c>
      <c r="G42" s="13" t="str">
        <f aca="false">IFERROR(F42/C42*100,"")</f>
        <v/>
      </c>
      <c r="H42" s="11" t="n">
        <f aca="false">COUNTIFS(Verbrauch!$A$9:$A$18896,"&gt;="&amp;A42,Verbrauch!$A$9:$A$18896,"&lt;"&amp;B42,Verbrauch!$C$9:$C$18896,"&lt;&gt;")</f>
        <v>0</v>
      </c>
    </row>
    <row r="43" customFormat="false" ht="13.5" hidden="false" customHeight="true" outlineLevel="0" collapsed="false">
      <c r="A43" s="10" t="n">
        <v>46004</v>
      </c>
      <c r="B43" s="10" t="n">
        <v>46005</v>
      </c>
      <c r="C43" s="22" t="n">
        <f aca="false">SUMIFS(Verbrauch!$C$9:$C$18896,Verbrauch!$A$9:$A$18896,"&gt;="&amp;A43,Verbrauch!$A$9:$A$18896,"&lt;"&amp;B43)</f>
        <v>0</v>
      </c>
      <c r="D43" s="22" t="n">
        <f aca="false">SUMIFS(Verbrauch!$C$9:$C$18896,Verbrauch!$A$9:$A$18896,"&gt;="&amp;A43,Verbrauch!$A$9:$A$18896,"&lt;"&amp;B43,Verbrauch!$F$9:$F$18896,"Go")</f>
        <v>0</v>
      </c>
      <c r="E43" s="22" t="n">
        <f aca="false">SUMIFS(Verbrauch!$C$9:$C$18896,Verbrauch!$A$9:$A$18896,"&gt;="&amp;A43,Verbrauch!$A$9:$A$18896,"&lt;"&amp;B43,Verbrauch!$F$9:$F$18896,"Standard")</f>
        <v>0</v>
      </c>
      <c r="F43" s="23" t="n">
        <f aca="false">SUMIFS(Verbrauch!$E$9:$E$18896,Verbrauch!$A$9:$A$18896,"&gt;="&amp;A43,Verbrauch!$A$9:$A$18896,"&lt;"&amp;B43)</f>
        <v>0</v>
      </c>
      <c r="G43" s="13" t="str">
        <f aca="false">IFERROR(F43/C43*100,"")</f>
        <v/>
      </c>
      <c r="H43" s="11" t="n">
        <f aca="false">COUNTIFS(Verbrauch!$A$9:$A$18896,"&gt;="&amp;A43,Verbrauch!$A$9:$A$18896,"&lt;"&amp;B43,Verbrauch!$C$9:$C$18896,"&lt;&gt;")</f>
        <v>0</v>
      </c>
    </row>
    <row r="44" customFormat="false" ht="13.5" hidden="false" customHeight="true" outlineLevel="0" collapsed="false">
      <c r="A44" s="10" t="n">
        <v>46005</v>
      </c>
      <c r="B44" s="10" t="n">
        <v>46006</v>
      </c>
      <c r="C44" s="22" t="n">
        <f aca="false">SUMIFS(Verbrauch!$C$9:$C$18896,Verbrauch!$A$9:$A$18896,"&gt;="&amp;A44,Verbrauch!$A$9:$A$18896,"&lt;"&amp;B44)</f>
        <v>0</v>
      </c>
      <c r="D44" s="22" t="n">
        <f aca="false">SUMIFS(Verbrauch!$C$9:$C$18896,Verbrauch!$A$9:$A$18896,"&gt;="&amp;A44,Verbrauch!$A$9:$A$18896,"&lt;"&amp;B44,Verbrauch!$F$9:$F$18896,"Go")</f>
        <v>0</v>
      </c>
      <c r="E44" s="22" t="n">
        <f aca="false">SUMIFS(Verbrauch!$C$9:$C$18896,Verbrauch!$A$9:$A$18896,"&gt;="&amp;A44,Verbrauch!$A$9:$A$18896,"&lt;"&amp;B44,Verbrauch!$F$9:$F$18896,"Standard")</f>
        <v>0</v>
      </c>
      <c r="F44" s="23" t="n">
        <f aca="false">SUMIFS(Verbrauch!$E$9:$E$18896,Verbrauch!$A$9:$A$18896,"&gt;="&amp;A44,Verbrauch!$A$9:$A$18896,"&lt;"&amp;B44)</f>
        <v>0</v>
      </c>
      <c r="G44" s="13" t="str">
        <f aca="false">IFERROR(F44/C44*100,"")</f>
        <v/>
      </c>
      <c r="H44" s="11" t="n">
        <f aca="false">COUNTIFS(Verbrauch!$A$9:$A$18896,"&gt;="&amp;A44,Verbrauch!$A$9:$A$18896,"&lt;"&amp;B44,Verbrauch!$C$9:$C$18896,"&lt;&gt;")</f>
        <v>0</v>
      </c>
    </row>
    <row r="45" customFormat="false" ht="13.5" hidden="false" customHeight="true" outlineLevel="0" collapsed="false">
      <c r="A45" s="10" t="n">
        <v>46006</v>
      </c>
      <c r="B45" s="10" t="n">
        <v>46007</v>
      </c>
      <c r="C45" s="22" t="n">
        <f aca="false">SUMIFS(Verbrauch!$C$9:$C$18896,Verbrauch!$A$9:$A$18896,"&gt;="&amp;A45,Verbrauch!$A$9:$A$18896,"&lt;"&amp;B45)</f>
        <v>0</v>
      </c>
      <c r="D45" s="22" t="n">
        <f aca="false">SUMIFS(Verbrauch!$C$9:$C$18896,Verbrauch!$A$9:$A$18896,"&gt;="&amp;A45,Verbrauch!$A$9:$A$18896,"&lt;"&amp;B45,Verbrauch!$F$9:$F$18896,"Go")</f>
        <v>0</v>
      </c>
      <c r="E45" s="22" t="n">
        <f aca="false">SUMIFS(Verbrauch!$C$9:$C$18896,Verbrauch!$A$9:$A$18896,"&gt;="&amp;A45,Verbrauch!$A$9:$A$18896,"&lt;"&amp;B45,Verbrauch!$F$9:$F$18896,"Standard")</f>
        <v>0</v>
      </c>
      <c r="F45" s="23" t="n">
        <f aca="false">SUMIFS(Verbrauch!$E$9:$E$18896,Verbrauch!$A$9:$A$18896,"&gt;="&amp;A45,Verbrauch!$A$9:$A$18896,"&lt;"&amp;B45)</f>
        <v>0</v>
      </c>
      <c r="G45" s="13" t="str">
        <f aca="false">IFERROR(F45/C45*100,"")</f>
        <v/>
      </c>
      <c r="H45" s="11" t="n">
        <f aca="false">COUNTIFS(Verbrauch!$A$9:$A$18896,"&gt;="&amp;A45,Verbrauch!$A$9:$A$18896,"&lt;"&amp;B45,Verbrauch!$C$9:$C$18896,"&lt;&gt;")</f>
        <v>0</v>
      </c>
    </row>
    <row r="46" customFormat="false" ht="13.5" hidden="false" customHeight="true" outlineLevel="0" collapsed="false">
      <c r="A46" s="10" t="n">
        <v>46007</v>
      </c>
      <c r="B46" s="10" t="n">
        <v>46008</v>
      </c>
      <c r="C46" s="22" t="n">
        <f aca="false">SUMIFS(Verbrauch!$C$9:$C$18896,Verbrauch!$A$9:$A$18896,"&gt;="&amp;A46,Verbrauch!$A$9:$A$18896,"&lt;"&amp;B46)</f>
        <v>0</v>
      </c>
      <c r="D46" s="22" t="n">
        <f aca="false">SUMIFS(Verbrauch!$C$9:$C$18896,Verbrauch!$A$9:$A$18896,"&gt;="&amp;A46,Verbrauch!$A$9:$A$18896,"&lt;"&amp;B46,Verbrauch!$F$9:$F$18896,"Go")</f>
        <v>0</v>
      </c>
      <c r="E46" s="22" t="n">
        <f aca="false">SUMIFS(Verbrauch!$C$9:$C$18896,Verbrauch!$A$9:$A$18896,"&gt;="&amp;A46,Verbrauch!$A$9:$A$18896,"&lt;"&amp;B46,Verbrauch!$F$9:$F$18896,"Standard")</f>
        <v>0</v>
      </c>
      <c r="F46" s="23" t="n">
        <f aca="false">SUMIFS(Verbrauch!$E$9:$E$18896,Verbrauch!$A$9:$A$18896,"&gt;="&amp;A46,Verbrauch!$A$9:$A$18896,"&lt;"&amp;B46)</f>
        <v>0</v>
      </c>
      <c r="G46" s="13" t="str">
        <f aca="false">IFERROR(F46/C46*100,"")</f>
        <v/>
      </c>
      <c r="H46" s="11" t="n">
        <f aca="false">COUNTIFS(Verbrauch!$A$9:$A$18896,"&gt;="&amp;A46,Verbrauch!$A$9:$A$18896,"&lt;"&amp;B46,Verbrauch!$C$9:$C$18896,"&lt;&gt;")</f>
        <v>0</v>
      </c>
    </row>
    <row r="47" customFormat="false" ht="13.5" hidden="false" customHeight="true" outlineLevel="0" collapsed="false">
      <c r="A47" s="10" t="n">
        <v>46008</v>
      </c>
      <c r="B47" s="10" t="n">
        <v>46009</v>
      </c>
      <c r="C47" s="22" t="n">
        <f aca="false">SUMIFS(Verbrauch!$C$9:$C$18896,Verbrauch!$A$9:$A$18896,"&gt;="&amp;A47,Verbrauch!$A$9:$A$18896,"&lt;"&amp;B47)</f>
        <v>0</v>
      </c>
      <c r="D47" s="22" t="n">
        <f aca="false">SUMIFS(Verbrauch!$C$9:$C$18896,Verbrauch!$A$9:$A$18896,"&gt;="&amp;A47,Verbrauch!$A$9:$A$18896,"&lt;"&amp;B47,Verbrauch!$F$9:$F$18896,"Go")</f>
        <v>0</v>
      </c>
      <c r="E47" s="22" t="n">
        <f aca="false">SUMIFS(Verbrauch!$C$9:$C$18896,Verbrauch!$A$9:$A$18896,"&gt;="&amp;A47,Verbrauch!$A$9:$A$18896,"&lt;"&amp;B47,Verbrauch!$F$9:$F$18896,"Standard")</f>
        <v>0</v>
      </c>
      <c r="F47" s="23" t="n">
        <f aca="false">SUMIFS(Verbrauch!$E$9:$E$18896,Verbrauch!$A$9:$A$18896,"&gt;="&amp;A47,Verbrauch!$A$9:$A$18896,"&lt;"&amp;B47)</f>
        <v>0</v>
      </c>
      <c r="G47" s="13" t="str">
        <f aca="false">IFERROR(F47/C47*100,"")</f>
        <v/>
      </c>
      <c r="H47" s="11" t="n">
        <f aca="false">COUNTIFS(Verbrauch!$A$9:$A$18896,"&gt;="&amp;A47,Verbrauch!$A$9:$A$18896,"&lt;"&amp;B47,Verbrauch!$C$9:$C$18896,"&lt;&gt;")</f>
        <v>0</v>
      </c>
    </row>
    <row r="48" customFormat="false" ht="13.5" hidden="false" customHeight="true" outlineLevel="0" collapsed="false">
      <c r="A48" s="10" t="n">
        <v>46009</v>
      </c>
      <c r="B48" s="10" t="n">
        <v>46010</v>
      </c>
      <c r="C48" s="22" t="n">
        <f aca="false">SUMIFS(Verbrauch!$C$9:$C$18896,Verbrauch!$A$9:$A$18896,"&gt;="&amp;A48,Verbrauch!$A$9:$A$18896,"&lt;"&amp;B48)</f>
        <v>0</v>
      </c>
      <c r="D48" s="22" t="n">
        <f aca="false">SUMIFS(Verbrauch!$C$9:$C$18896,Verbrauch!$A$9:$A$18896,"&gt;="&amp;A48,Verbrauch!$A$9:$A$18896,"&lt;"&amp;B48,Verbrauch!$F$9:$F$18896,"Go")</f>
        <v>0</v>
      </c>
      <c r="E48" s="22" t="n">
        <f aca="false">SUMIFS(Verbrauch!$C$9:$C$18896,Verbrauch!$A$9:$A$18896,"&gt;="&amp;A48,Verbrauch!$A$9:$A$18896,"&lt;"&amp;B48,Verbrauch!$F$9:$F$18896,"Standard")</f>
        <v>0</v>
      </c>
      <c r="F48" s="23" t="n">
        <f aca="false">SUMIFS(Verbrauch!$E$9:$E$18896,Verbrauch!$A$9:$A$18896,"&gt;="&amp;A48,Verbrauch!$A$9:$A$18896,"&lt;"&amp;B48)</f>
        <v>0</v>
      </c>
      <c r="G48" s="13" t="str">
        <f aca="false">IFERROR(F48/C48*100,"")</f>
        <v/>
      </c>
      <c r="H48" s="11" t="n">
        <f aca="false">COUNTIFS(Verbrauch!$A$9:$A$18896,"&gt;="&amp;A48,Verbrauch!$A$9:$A$18896,"&lt;"&amp;B48,Verbrauch!$C$9:$C$18896,"&lt;&gt;")</f>
        <v>0</v>
      </c>
    </row>
    <row r="49" customFormat="false" ht="13.5" hidden="false" customHeight="true" outlineLevel="0" collapsed="false">
      <c r="A49" s="10" t="n">
        <v>46010</v>
      </c>
      <c r="B49" s="10" t="n">
        <v>46011</v>
      </c>
      <c r="C49" s="22" t="n">
        <f aca="false">SUMIFS(Verbrauch!$C$9:$C$18896,Verbrauch!$A$9:$A$18896,"&gt;="&amp;A49,Verbrauch!$A$9:$A$18896,"&lt;"&amp;B49)</f>
        <v>0</v>
      </c>
      <c r="D49" s="22" t="n">
        <f aca="false">SUMIFS(Verbrauch!$C$9:$C$18896,Verbrauch!$A$9:$A$18896,"&gt;="&amp;A49,Verbrauch!$A$9:$A$18896,"&lt;"&amp;B49,Verbrauch!$F$9:$F$18896,"Go")</f>
        <v>0</v>
      </c>
      <c r="E49" s="22" t="n">
        <f aca="false">SUMIFS(Verbrauch!$C$9:$C$18896,Verbrauch!$A$9:$A$18896,"&gt;="&amp;A49,Verbrauch!$A$9:$A$18896,"&lt;"&amp;B49,Verbrauch!$F$9:$F$18896,"Standard")</f>
        <v>0</v>
      </c>
      <c r="F49" s="23" t="n">
        <f aca="false">SUMIFS(Verbrauch!$E$9:$E$18896,Verbrauch!$A$9:$A$18896,"&gt;="&amp;A49,Verbrauch!$A$9:$A$18896,"&lt;"&amp;B49)</f>
        <v>0</v>
      </c>
      <c r="G49" s="13" t="str">
        <f aca="false">IFERROR(F49/C49*100,"")</f>
        <v/>
      </c>
      <c r="H49" s="11" t="n">
        <f aca="false">COUNTIFS(Verbrauch!$A$9:$A$18896,"&gt;="&amp;A49,Verbrauch!$A$9:$A$18896,"&lt;"&amp;B49,Verbrauch!$C$9:$C$18896,"&lt;&gt;")</f>
        <v>0</v>
      </c>
    </row>
    <row r="50" customFormat="false" ht="13.5" hidden="false" customHeight="true" outlineLevel="0" collapsed="false">
      <c r="A50" s="10" t="n">
        <v>46011</v>
      </c>
      <c r="B50" s="10" t="n">
        <v>46012</v>
      </c>
      <c r="C50" s="22" t="n">
        <f aca="false">SUMIFS(Verbrauch!$C$9:$C$18896,Verbrauch!$A$9:$A$18896,"&gt;="&amp;A50,Verbrauch!$A$9:$A$18896,"&lt;"&amp;B50)</f>
        <v>0</v>
      </c>
      <c r="D50" s="22" t="n">
        <f aca="false">SUMIFS(Verbrauch!$C$9:$C$18896,Verbrauch!$A$9:$A$18896,"&gt;="&amp;A50,Verbrauch!$A$9:$A$18896,"&lt;"&amp;B50,Verbrauch!$F$9:$F$18896,"Go")</f>
        <v>0</v>
      </c>
      <c r="E50" s="22" t="n">
        <f aca="false">SUMIFS(Verbrauch!$C$9:$C$18896,Verbrauch!$A$9:$A$18896,"&gt;="&amp;A50,Verbrauch!$A$9:$A$18896,"&lt;"&amp;B50,Verbrauch!$F$9:$F$18896,"Standard")</f>
        <v>0</v>
      </c>
      <c r="F50" s="23" t="n">
        <f aca="false">SUMIFS(Verbrauch!$E$9:$E$18896,Verbrauch!$A$9:$A$18896,"&gt;="&amp;A50,Verbrauch!$A$9:$A$18896,"&lt;"&amp;B50)</f>
        <v>0</v>
      </c>
      <c r="G50" s="13" t="str">
        <f aca="false">IFERROR(F50/C50*100,"")</f>
        <v/>
      </c>
      <c r="H50" s="11" t="n">
        <f aca="false">COUNTIFS(Verbrauch!$A$9:$A$18896,"&gt;="&amp;A50,Verbrauch!$A$9:$A$18896,"&lt;"&amp;B50,Verbrauch!$C$9:$C$18896,"&lt;&gt;")</f>
        <v>0</v>
      </c>
    </row>
    <row r="51" customFormat="false" ht="13.5" hidden="false" customHeight="true" outlineLevel="0" collapsed="false">
      <c r="A51" s="10" t="n">
        <v>46012</v>
      </c>
      <c r="B51" s="10" t="n">
        <v>46013</v>
      </c>
      <c r="C51" s="22" t="n">
        <f aca="false">SUMIFS(Verbrauch!$C$9:$C$18896,Verbrauch!$A$9:$A$18896,"&gt;="&amp;A51,Verbrauch!$A$9:$A$18896,"&lt;"&amp;B51)</f>
        <v>0</v>
      </c>
      <c r="D51" s="22" t="n">
        <f aca="false">SUMIFS(Verbrauch!$C$9:$C$18896,Verbrauch!$A$9:$A$18896,"&gt;="&amp;A51,Verbrauch!$A$9:$A$18896,"&lt;"&amp;B51,Verbrauch!$F$9:$F$18896,"Go")</f>
        <v>0</v>
      </c>
      <c r="E51" s="22" t="n">
        <f aca="false">SUMIFS(Verbrauch!$C$9:$C$18896,Verbrauch!$A$9:$A$18896,"&gt;="&amp;A51,Verbrauch!$A$9:$A$18896,"&lt;"&amp;B51,Verbrauch!$F$9:$F$18896,"Standard")</f>
        <v>0</v>
      </c>
      <c r="F51" s="23" t="n">
        <f aca="false">SUMIFS(Verbrauch!$E$9:$E$18896,Verbrauch!$A$9:$A$18896,"&gt;="&amp;A51,Verbrauch!$A$9:$A$18896,"&lt;"&amp;B51)</f>
        <v>0</v>
      </c>
      <c r="G51" s="13" t="str">
        <f aca="false">IFERROR(F51/C51*100,"")</f>
        <v/>
      </c>
      <c r="H51" s="11" t="n">
        <f aca="false">COUNTIFS(Verbrauch!$A$9:$A$18896,"&gt;="&amp;A51,Verbrauch!$A$9:$A$18896,"&lt;"&amp;B51,Verbrauch!$C$9:$C$18896,"&lt;&gt;")</f>
        <v>0</v>
      </c>
    </row>
    <row r="52" customFormat="false" ht="13.5" hidden="false" customHeight="true" outlineLevel="0" collapsed="false">
      <c r="A52" s="10" t="n">
        <v>46013</v>
      </c>
      <c r="B52" s="10" t="n">
        <v>46014</v>
      </c>
      <c r="C52" s="22" t="n">
        <f aca="false">SUMIFS(Verbrauch!$C$9:$C$18896,Verbrauch!$A$9:$A$18896,"&gt;="&amp;A52,Verbrauch!$A$9:$A$18896,"&lt;"&amp;B52)</f>
        <v>0</v>
      </c>
      <c r="D52" s="22" t="n">
        <f aca="false">SUMIFS(Verbrauch!$C$9:$C$18896,Verbrauch!$A$9:$A$18896,"&gt;="&amp;A52,Verbrauch!$A$9:$A$18896,"&lt;"&amp;B52,Verbrauch!$F$9:$F$18896,"Go")</f>
        <v>0</v>
      </c>
      <c r="E52" s="22" t="n">
        <f aca="false">SUMIFS(Verbrauch!$C$9:$C$18896,Verbrauch!$A$9:$A$18896,"&gt;="&amp;A52,Verbrauch!$A$9:$A$18896,"&lt;"&amp;B52,Verbrauch!$F$9:$F$18896,"Standard")</f>
        <v>0</v>
      </c>
      <c r="F52" s="23" t="n">
        <f aca="false">SUMIFS(Verbrauch!$E$9:$E$18896,Verbrauch!$A$9:$A$18896,"&gt;="&amp;A52,Verbrauch!$A$9:$A$18896,"&lt;"&amp;B52)</f>
        <v>0</v>
      </c>
      <c r="G52" s="13" t="str">
        <f aca="false">IFERROR(F52/C52*100,"")</f>
        <v/>
      </c>
      <c r="H52" s="11" t="n">
        <f aca="false">COUNTIFS(Verbrauch!$A$9:$A$18896,"&gt;="&amp;A52,Verbrauch!$A$9:$A$18896,"&lt;"&amp;B52,Verbrauch!$C$9:$C$18896,"&lt;&gt;")</f>
        <v>0</v>
      </c>
    </row>
    <row r="53" customFormat="false" ht="13.5" hidden="false" customHeight="true" outlineLevel="0" collapsed="false">
      <c r="A53" s="10" t="n">
        <v>46014</v>
      </c>
      <c r="B53" s="10" t="n">
        <v>46015</v>
      </c>
      <c r="C53" s="22" t="n">
        <f aca="false">SUMIFS(Verbrauch!$C$9:$C$18896,Verbrauch!$A$9:$A$18896,"&gt;="&amp;A53,Verbrauch!$A$9:$A$18896,"&lt;"&amp;B53)</f>
        <v>0</v>
      </c>
      <c r="D53" s="22" t="n">
        <f aca="false">SUMIFS(Verbrauch!$C$9:$C$18896,Verbrauch!$A$9:$A$18896,"&gt;="&amp;A53,Verbrauch!$A$9:$A$18896,"&lt;"&amp;B53,Verbrauch!$F$9:$F$18896,"Go")</f>
        <v>0</v>
      </c>
      <c r="E53" s="22" t="n">
        <f aca="false">SUMIFS(Verbrauch!$C$9:$C$18896,Verbrauch!$A$9:$A$18896,"&gt;="&amp;A53,Verbrauch!$A$9:$A$18896,"&lt;"&amp;B53,Verbrauch!$F$9:$F$18896,"Standard")</f>
        <v>0</v>
      </c>
      <c r="F53" s="23" t="n">
        <f aca="false">SUMIFS(Verbrauch!$E$9:$E$18896,Verbrauch!$A$9:$A$18896,"&gt;="&amp;A53,Verbrauch!$A$9:$A$18896,"&lt;"&amp;B53)</f>
        <v>0</v>
      </c>
      <c r="G53" s="13" t="str">
        <f aca="false">IFERROR(F53/C53*100,"")</f>
        <v/>
      </c>
      <c r="H53" s="11" t="n">
        <f aca="false">COUNTIFS(Verbrauch!$A$9:$A$18896,"&gt;="&amp;A53,Verbrauch!$A$9:$A$18896,"&lt;"&amp;B53,Verbrauch!$C$9:$C$18896,"&lt;&gt;")</f>
        <v>0</v>
      </c>
    </row>
    <row r="54" customFormat="false" ht="13.5" hidden="false" customHeight="true" outlineLevel="0" collapsed="false">
      <c r="A54" s="10" t="n">
        <v>46015</v>
      </c>
      <c r="B54" s="10" t="n">
        <v>46016</v>
      </c>
      <c r="C54" s="22" t="n">
        <f aca="false">SUMIFS(Verbrauch!$C$9:$C$18896,Verbrauch!$A$9:$A$18896,"&gt;="&amp;A54,Verbrauch!$A$9:$A$18896,"&lt;"&amp;B54)</f>
        <v>0</v>
      </c>
      <c r="D54" s="22" t="n">
        <f aca="false">SUMIFS(Verbrauch!$C$9:$C$18896,Verbrauch!$A$9:$A$18896,"&gt;="&amp;A54,Verbrauch!$A$9:$A$18896,"&lt;"&amp;B54,Verbrauch!$F$9:$F$18896,"Go")</f>
        <v>0</v>
      </c>
      <c r="E54" s="22" t="n">
        <f aca="false">SUMIFS(Verbrauch!$C$9:$C$18896,Verbrauch!$A$9:$A$18896,"&gt;="&amp;A54,Verbrauch!$A$9:$A$18896,"&lt;"&amp;B54,Verbrauch!$F$9:$F$18896,"Standard")</f>
        <v>0</v>
      </c>
      <c r="F54" s="23" t="n">
        <f aca="false">SUMIFS(Verbrauch!$E$9:$E$18896,Verbrauch!$A$9:$A$18896,"&gt;="&amp;A54,Verbrauch!$A$9:$A$18896,"&lt;"&amp;B54)</f>
        <v>0</v>
      </c>
      <c r="G54" s="13" t="str">
        <f aca="false">IFERROR(F54/C54*100,"")</f>
        <v/>
      </c>
      <c r="H54" s="11" t="n">
        <f aca="false">COUNTIFS(Verbrauch!$A$9:$A$18896,"&gt;="&amp;A54,Verbrauch!$A$9:$A$18896,"&lt;"&amp;B54,Verbrauch!$C$9:$C$18896,"&lt;&gt;")</f>
        <v>0</v>
      </c>
    </row>
    <row r="55" customFormat="false" ht="13.5" hidden="false" customHeight="true" outlineLevel="0" collapsed="false">
      <c r="A55" s="10" t="n">
        <v>46016</v>
      </c>
      <c r="B55" s="10" t="n">
        <v>46017</v>
      </c>
      <c r="C55" s="22" t="n">
        <f aca="false">SUMIFS(Verbrauch!$C$9:$C$18896,Verbrauch!$A$9:$A$18896,"&gt;="&amp;A55,Verbrauch!$A$9:$A$18896,"&lt;"&amp;B55)</f>
        <v>0</v>
      </c>
      <c r="D55" s="22" t="n">
        <f aca="false">SUMIFS(Verbrauch!$C$9:$C$18896,Verbrauch!$A$9:$A$18896,"&gt;="&amp;A55,Verbrauch!$A$9:$A$18896,"&lt;"&amp;B55,Verbrauch!$F$9:$F$18896,"Go")</f>
        <v>0</v>
      </c>
      <c r="E55" s="22" t="n">
        <f aca="false">SUMIFS(Verbrauch!$C$9:$C$18896,Verbrauch!$A$9:$A$18896,"&gt;="&amp;A55,Verbrauch!$A$9:$A$18896,"&lt;"&amp;B55,Verbrauch!$F$9:$F$18896,"Standard")</f>
        <v>0</v>
      </c>
      <c r="F55" s="23" t="n">
        <f aca="false">SUMIFS(Verbrauch!$E$9:$E$18896,Verbrauch!$A$9:$A$18896,"&gt;="&amp;A55,Verbrauch!$A$9:$A$18896,"&lt;"&amp;B55)</f>
        <v>0</v>
      </c>
      <c r="G55" s="13" t="str">
        <f aca="false">IFERROR(F55/C55*100,"")</f>
        <v/>
      </c>
      <c r="H55" s="11" t="n">
        <f aca="false">COUNTIFS(Verbrauch!$A$9:$A$18896,"&gt;="&amp;A55,Verbrauch!$A$9:$A$18896,"&lt;"&amp;B55,Verbrauch!$C$9:$C$18896,"&lt;&gt;")</f>
        <v>0</v>
      </c>
    </row>
    <row r="56" customFormat="false" ht="13.5" hidden="false" customHeight="true" outlineLevel="0" collapsed="false">
      <c r="A56" s="10" t="n">
        <v>46017</v>
      </c>
      <c r="B56" s="10" t="n">
        <v>46018</v>
      </c>
      <c r="C56" s="22" t="n">
        <f aca="false">SUMIFS(Verbrauch!$C$9:$C$18896,Verbrauch!$A$9:$A$18896,"&gt;="&amp;A56,Verbrauch!$A$9:$A$18896,"&lt;"&amp;B56)</f>
        <v>0</v>
      </c>
      <c r="D56" s="22" t="n">
        <f aca="false">SUMIFS(Verbrauch!$C$9:$C$18896,Verbrauch!$A$9:$A$18896,"&gt;="&amp;A56,Verbrauch!$A$9:$A$18896,"&lt;"&amp;B56,Verbrauch!$F$9:$F$18896,"Go")</f>
        <v>0</v>
      </c>
      <c r="E56" s="22" t="n">
        <f aca="false">SUMIFS(Verbrauch!$C$9:$C$18896,Verbrauch!$A$9:$A$18896,"&gt;="&amp;A56,Verbrauch!$A$9:$A$18896,"&lt;"&amp;B56,Verbrauch!$F$9:$F$18896,"Standard")</f>
        <v>0</v>
      </c>
      <c r="F56" s="23" t="n">
        <f aca="false">SUMIFS(Verbrauch!$E$9:$E$18896,Verbrauch!$A$9:$A$18896,"&gt;="&amp;A56,Verbrauch!$A$9:$A$18896,"&lt;"&amp;B56)</f>
        <v>0</v>
      </c>
      <c r="G56" s="13" t="str">
        <f aca="false">IFERROR(F56/C56*100,"")</f>
        <v/>
      </c>
      <c r="H56" s="11" t="n">
        <f aca="false">COUNTIFS(Verbrauch!$A$9:$A$18896,"&gt;="&amp;A56,Verbrauch!$A$9:$A$18896,"&lt;"&amp;B56,Verbrauch!$C$9:$C$18896,"&lt;&gt;")</f>
        <v>0</v>
      </c>
    </row>
    <row r="57" customFormat="false" ht="13.5" hidden="false" customHeight="true" outlineLevel="0" collapsed="false">
      <c r="A57" s="10" t="n">
        <v>46018</v>
      </c>
      <c r="B57" s="10" t="n">
        <v>46019</v>
      </c>
      <c r="C57" s="22" t="n">
        <f aca="false">SUMIFS(Verbrauch!$C$9:$C$18896,Verbrauch!$A$9:$A$18896,"&gt;="&amp;A57,Verbrauch!$A$9:$A$18896,"&lt;"&amp;B57)</f>
        <v>0</v>
      </c>
      <c r="D57" s="22" t="n">
        <f aca="false">SUMIFS(Verbrauch!$C$9:$C$18896,Verbrauch!$A$9:$A$18896,"&gt;="&amp;A57,Verbrauch!$A$9:$A$18896,"&lt;"&amp;B57,Verbrauch!$F$9:$F$18896,"Go")</f>
        <v>0</v>
      </c>
      <c r="E57" s="22" t="n">
        <f aca="false">SUMIFS(Verbrauch!$C$9:$C$18896,Verbrauch!$A$9:$A$18896,"&gt;="&amp;A57,Verbrauch!$A$9:$A$18896,"&lt;"&amp;B57,Verbrauch!$F$9:$F$18896,"Standard")</f>
        <v>0</v>
      </c>
      <c r="F57" s="23" t="n">
        <f aca="false">SUMIFS(Verbrauch!$E$9:$E$18896,Verbrauch!$A$9:$A$18896,"&gt;="&amp;A57,Verbrauch!$A$9:$A$18896,"&lt;"&amp;B57)</f>
        <v>0</v>
      </c>
      <c r="G57" s="13" t="str">
        <f aca="false">IFERROR(F57/C57*100,"")</f>
        <v/>
      </c>
      <c r="H57" s="11" t="n">
        <f aca="false">COUNTIFS(Verbrauch!$A$9:$A$18896,"&gt;="&amp;A57,Verbrauch!$A$9:$A$18896,"&lt;"&amp;B57,Verbrauch!$C$9:$C$18896,"&lt;&gt;")</f>
        <v>0</v>
      </c>
    </row>
    <row r="58" customFormat="false" ht="13.5" hidden="false" customHeight="true" outlineLevel="0" collapsed="false">
      <c r="A58" s="10" t="n">
        <v>46019</v>
      </c>
      <c r="B58" s="10" t="n">
        <v>46020</v>
      </c>
      <c r="C58" s="22" t="n">
        <f aca="false">SUMIFS(Verbrauch!$C$9:$C$18896,Verbrauch!$A$9:$A$18896,"&gt;="&amp;A58,Verbrauch!$A$9:$A$18896,"&lt;"&amp;B58)</f>
        <v>0</v>
      </c>
      <c r="D58" s="22" t="n">
        <f aca="false">SUMIFS(Verbrauch!$C$9:$C$18896,Verbrauch!$A$9:$A$18896,"&gt;="&amp;A58,Verbrauch!$A$9:$A$18896,"&lt;"&amp;B58,Verbrauch!$F$9:$F$18896,"Go")</f>
        <v>0</v>
      </c>
      <c r="E58" s="22" t="n">
        <f aca="false">SUMIFS(Verbrauch!$C$9:$C$18896,Verbrauch!$A$9:$A$18896,"&gt;="&amp;A58,Verbrauch!$A$9:$A$18896,"&lt;"&amp;B58,Verbrauch!$F$9:$F$18896,"Standard")</f>
        <v>0</v>
      </c>
      <c r="F58" s="23" t="n">
        <f aca="false">SUMIFS(Verbrauch!$E$9:$E$18896,Verbrauch!$A$9:$A$18896,"&gt;="&amp;A58,Verbrauch!$A$9:$A$18896,"&lt;"&amp;B58)</f>
        <v>0</v>
      </c>
      <c r="G58" s="13" t="str">
        <f aca="false">IFERROR(F58/C58*100,"")</f>
        <v/>
      </c>
      <c r="H58" s="11" t="n">
        <f aca="false">COUNTIFS(Verbrauch!$A$9:$A$18896,"&gt;="&amp;A58,Verbrauch!$A$9:$A$18896,"&lt;"&amp;B58,Verbrauch!$C$9:$C$18896,"&lt;&gt;")</f>
        <v>0</v>
      </c>
    </row>
    <row r="59" customFormat="false" ht="13.5" hidden="false" customHeight="true" outlineLevel="0" collapsed="false">
      <c r="A59" s="10" t="n">
        <v>46020</v>
      </c>
      <c r="B59" s="10" t="n">
        <v>46021</v>
      </c>
      <c r="C59" s="22" t="n">
        <f aca="false">SUMIFS(Verbrauch!$C$9:$C$18896,Verbrauch!$A$9:$A$18896,"&gt;="&amp;A59,Verbrauch!$A$9:$A$18896,"&lt;"&amp;B59)</f>
        <v>0</v>
      </c>
      <c r="D59" s="22" t="n">
        <f aca="false">SUMIFS(Verbrauch!$C$9:$C$18896,Verbrauch!$A$9:$A$18896,"&gt;="&amp;A59,Verbrauch!$A$9:$A$18896,"&lt;"&amp;B59,Verbrauch!$F$9:$F$18896,"Go")</f>
        <v>0</v>
      </c>
      <c r="E59" s="22" t="n">
        <f aca="false">SUMIFS(Verbrauch!$C$9:$C$18896,Verbrauch!$A$9:$A$18896,"&gt;="&amp;A59,Verbrauch!$A$9:$A$18896,"&lt;"&amp;B59,Verbrauch!$F$9:$F$18896,"Standard")</f>
        <v>0</v>
      </c>
      <c r="F59" s="23" t="n">
        <f aca="false">SUMIFS(Verbrauch!$E$9:$E$18896,Verbrauch!$A$9:$A$18896,"&gt;="&amp;A59,Verbrauch!$A$9:$A$18896,"&lt;"&amp;B59)</f>
        <v>0</v>
      </c>
      <c r="G59" s="13" t="str">
        <f aca="false">IFERROR(F59/C59*100,"")</f>
        <v/>
      </c>
      <c r="H59" s="11" t="n">
        <f aca="false">COUNTIFS(Verbrauch!$A$9:$A$18896,"&gt;="&amp;A59,Verbrauch!$A$9:$A$18896,"&lt;"&amp;B59,Verbrauch!$C$9:$C$18896,"&lt;&gt;")</f>
        <v>0</v>
      </c>
    </row>
    <row r="60" customFormat="false" ht="13.5" hidden="false" customHeight="true" outlineLevel="0" collapsed="false">
      <c r="A60" s="10" t="n">
        <v>46021</v>
      </c>
      <c r="B60" s="10" t="n">
        <v>46022</v>
      </c>
      <c r="C60" s="22" t="n">
        <f aca="false">SUMIFS(Verbrauch!$C$9:$C$18896,Verbrauch!$A$9:$A$18896,"&gt;="&amp;A60,Verbrauch!$A$9:$A$18896,"&lt;"&amp;B60)</f>
        <v>0</v>
      </c>
      <c r="D60" s="22" t="n">
        <f aca="false">SUMIFS(Verbrauch!$C$9:$C$18896,Verbrauch!$A$9:$A$18896,"&gt;="&amp;A60,Verbrauch!$A$9:$A$18896,"&lt;"&amp;B60,Verbrauch!$F$9:$F$18896,"Go")</f>
        <v>0</v>
      </c>
      <c r="E60" s="22" t="n">
        <f aca="false">SUMIFS(Verbrauch!$C$9:$C$18896,Verbrauch!$A$9:$A$18896,"&gt;="&amp;A60,Verbrauch!$A$9:$A$18896,"&lt;"&amp;B60,Verbrauch!$F$9:$F$18896,"Standard")</f>
        <v>0</v>
      </c>
      <c r="F60" s="23" t="n">
        <f aca="false">SUMIFS(Verbrauch!$E$9:$E$18896,Verbrauch!$A$9:$A$18896,"&gt;="&amp;A60,Verbrauch!$A$9:$A$18896,"&lt;"&amp;B60)</f>
        <v>0</v>
      </c>
      <c r="G60" s="13" t="str">
        <f aca="false">IFERROR(F60/C60*100,"")</f>
        <v/>
      </c>
      <c r="H60" s="11" t="n">
        <f aca="false">COUNTIFS(Verbrauch!$A$9:$A$18896,"&gt;="&amp;A60,Verbrauch!$A$9:$A$18896,"&lt;"&amp;B60,Verbrauch!$C$9:$C$18896,"&lt;&gt;")</f>
        <v>0</v>
      </c>
    </row>
    <row r="61" customFormat="false" ht="13.5" hidden="false" customHeight="true" outlineLevel="0" collapsed="false">
      <c r="A61" s="10" t="n">
        <v>46022</v>
      </c>
      <c r="B61" s="10" t="n">
        <v>46023</v>
      </c>
      <c r="C61" s="22" t="n">
        <f aca="false">SUMIFS(Verbrauch!$C$9:$C$18896,Verbrauch!$A$9:$A$18896,"&gt;="&amp;A61,Verbrauch!$A$9:$A$18896,"&lt;"&amp;B61)</f>
        <v>0</v>
      </c>
      <c r="D61" s="22" t="n">
        <f aca="false">SUMIFS(Verbrauch!$C$9:$C$18896,Verbrauch!$A$9:$A$18896,"&gt;="&amp;A61,Verbrauch!$A$9:$A$18896,"&lt;"&amp;B61,Verbrauch!$F$9:$F$18896,"Go")</f>
        <v>0</v>
      </c>
      <c r="E61" s="22" t="n">
        <f aca="false">SUMIFS(Verbrauch!$C$9:$C$18896,Verbrauch!$A$9:$A$18896,"&gt;="&amp;A61,Verbrauch!$A$9:$A$18896,"&lt;"&amp;B61,Verbrauch!$F$9:$F$18896,"Standard")</f>
        <v>0</v>
      </c>
      <c r="F61" s="23" t="n">
        <f aca="false">SUMIFS(Verbrauch!$E$9:$E$18896,Verbrauch!$A$9:$A$18896,"&gt;="&amp;A61,Verbrauch!$A$9:$A$18896,"&lt;"&amp;B61)</f>
        <v>0</v>
      </c>
      <c r="G61" s="13" t="str">
        <f aca="false">IFERROR(F61/C61*100,"")</f>
        <v/>
      </c>
      <c r="H61" s="11" t="n">
        <f aca="false">COUNTIFS(Verbrauch!$A$9:$A$18896,"&gt;="&amp;A61,Verbrauch!$A$9:$A$18896,"&lt;"&amp;B61,Verbrauch!$C$9:$C$18896,"&lt;&gt;")</f>
        <v>0</v>
      </c>
    </row>
    <row r="62" customFormat="false" ht="13.5" hidden="false" customHeight="true" outlineLevel="0" collapsed="false">
      <c r="A62" s="10" t="n">
        <v>46023</v>
      </c>
      <c r="B62" s="10" t="n">
        <v>46024</v>
      </c>
      <c r="C62" s="22" t="n">
        <f aca="false">SUMIFS(Verbrauch!$C$9:$C$18896,Verbrauch!$A$9:$A$18896,"&gt;="&amp;A62,Verbrauch!$A$9:$A$18896,"&lt;"&amp;B62)</f>
        <v>0</v>
      </c>
      <c r="D62" s="22" t="n">
        <f aca="false">SUMIFS(Verbrauch!$C$9:$C$18896,Verbrauch!$A$9:$A$18896,"&gt;="&amp;A62,Verbrauch!$A$9:$A$18896,"&lt;"&amp;B62,Verbrauch!$F$9:$F$18896,"Go")</f>
        <v>0</v>
      </c>
      <c r="E62" s="22" t="n">
        <f aca="false">SUMIFS(Verbrauch!$C$9:$C$18896,Verbrauch!$A$9:$A$18896,"&gt;="&amp;A62,Verbrauch!$A$9:$A$18896,"&lt;"&amp;B62,Verbrauch!$F$9:$F$18896,"Standard")</f>
        <v>0</v>
      </c>
      <c r="F62" s="23" t="n">
        <f aca="false">SUMIFS(Verbrauch!$E$9:$E$18896,Verbrauch!$A$9:$A$18896,"&gt;="&amp;A62,Verbrauch!$A$9:$A$18896,"&lt;"&amp;B62)</f>
        <v>0</v>
      </c>
      <c r="G62" s="13" t="str">
        <f aca="false">IFERROR(F62/C62*100,"")</f>
        <v/>
      </c>
      <c r="H62" s="11" t="n">
        <f aca="false">COUNTIFS(Verbrauch!$A$9:$A$18896,"&gt;="&amp;A62,Verbrauch!$A$9:$A$18896,"&lt;"&amp;B62,Verbrauch!$C$9:$C$18896,"&lt;&gt;")</f>
        <v>0</v>
      </c>
    </row>
    <row r="63" customFormat="false" ht="13.5" hidden="false" customHeight="true" outlineLevel="0" collapsed="false">
      <c r="A63" s="10" t="n">
        <v>46024</v>
      </c>
      <c r="B63" s="10" t="n">
        <v>46025</v>
      </c>
      <c r="C63" s="22" t="n">
        <f aca="false">SUMIFS(Verbrauch!$C$9:$C$18896,Verbrauch!$A$9:$A$18896,"&gt;="&amp;A63,Verbrauch!$A$9:$A$18896,"&lt;"&amp;B63)</f>
        <v>0</v>
      </c>
      <c r="D63" s="22" t="n">
        <f aca="false">SUMIFS(Verbrauch!$C$9:$C$18896,Verbrauch!$A$9:$A$18896,"&gt;="&amp;A63,Verbrauch!$A$9:$A$18896,"&lt;"&amp;B63,Verbrauch!$F$9:$F$18896,"Go")</f>
        <v>0</v>
      </c>
      <c r="E63" s="22" t="n">
        <f aca="false">SUMIFS(Verbrauch!$C$9:$C$18896,Verbrauch!$A$9:$A$18896,"&gt;="&amp;A63,Verbrauch!$A$9:$A$18896,"&lt;"&amp;B63,Verbrauch!$F$9:$F$18896,"Standard")</f>
        <v>0</v>
      </c>
      <c r="F63" s="23" t="n">
        <f aca="false">SUMIFS(Verbrauch!$E$9:$E$18896,Verbrauch!$A$9:$A$18896,"&gt;="&amp;A63,Verbrauch!$A$9:$A$18896,"&lt;"&amp;B63)</f>
        <v>0</v>
      </c>
      <c r="G63" s="13" t="str">
        <f aca="false">IFERROR(F63/C63*100,"")</f>
        <v/>
      </c>
      <c r="H63" s="11" t="n">
        <f aca="false">COUNTIFS(Verbrauch!$A$9:$A$18896,"&gt;="&amp;A63,Verbrauch!$A$9:$A$18896,"&lt;"&amp;B63,Verbrauch!$C$9:$C$18896,"&lt;&gt;")</f>
        <v>0</v>
      </c>
    </row>
    <row r="64" customFormat="false" ht="13.5" hidden="false" customHeight="true" outlineLevel="0" collapsed="false">
      <c r="A64" s="10" t="n">
        <v>46025</v>
      </c>
      <c r="B64" s="10" t="n">
        <v>46026</v>
      </c>
      <c r="C64" s="22" t="n">
        <f aca="false">SUMIFS(Verbrauch!$C$9:$C$18896,Verbrauch!$A$9:$A$18896,"&gt;="&amp;A64,Verbrauch!$A$9:$A$18896,"&lt;"&amp;B64)</f>
        <v>0</v>
      </c>
      <c r="D64" s="22" t="n">
        <f aca="false">SUMIFS(Verbrauch!$C$9:$C$18896,Verbrauch!$A$9:$A$18896,"&gt;="&amp;A64,Verbrauch!$A$9:$A$18896,"&lt;"&amp;B64,Verbrauch!$F$9:$F$18896,"Go")</f>
        <v>0</v>
      </c>
      <c r="E64" s="22" t="n">
        <f aca="false">SUMIFS(Verbrauch!$C$9:$C$18896,Verbrauch!$A$9:$A$18896,"&gt;="&amp;A64,Verbrauch!$A$9:$A$18896,"&lt;"&amp;B64,Verbrauch!$F$9:$F$18896,"Standard")</f>
        <v>0</v>
      </c>
      <c r="F64" s="23" t="n">
        <f aca="false">SUMIFS(Verbrauch!$E$9:$E$18896,Verbrauch!$A$9:$A$18896,"&gt;="&amp;A64,Verbrauch!$A$9:$A$18896,"&lt;"&amp;B64)</f>
        <v>0</v>
      </c>
      <c r="G64" s="13" t="str">
        <f aca="false">IFERROR(F64/C64*100,"")</f>
        <v/>
      </c>
      <c r="H64" s="11" t="n">
        <f aca="false">COUNTIFS(Verbrauch!$A$9:$A$18896,"&gt;="&amp;A64,Verbrauch!$A$9:$A$18896,"&lt;"&amp;B64,Verbrauch!$C$9:$C$18896,"&lt;&gt;")</f>
        <v>0</v>
      </c>
    </row>
    <row r="65" customFormat="false" ht="13.5" hidden="false" customHeight="true" outlineLevel="0" collapsed="false">
      <c r="A65" s="10" t="n">
        <v>46026</v>
      </c>
      <c r="B65" s="10" t="n">
        <v>46027</v>
      </c>
      <c r="C65" s="22" t="n">
        <f aca="false">SUMIFS(Verbrauch!$C$9:$C$18896,Verbrauch!$A$9:$A$18896,"&gt;="&amp;A65,Verbrauch!$A$9:$A$18896,"&lt;"&amp;B65)</f>
        <v>0</v>
      </c>
      <c r="D65" s="22" t="n">
        <f aca="false">SUMIFS(Verbrauch!$C$9:$C$18896,Verbrauch!$A$9:$A$18896,"&gt;="&amp;A65,Verbrauch!$A$9:$A$18896,"&lt;"&amp;B65,Verbrauch!$F$9:$F$18896,"Go")</f>
        <v>0</v>
      </c>
      <c r="E65" s="22" t="n">
        <f aca="false">SUMIFS(Verbrauch!$C$9:$C$18896,Verbrauch!$A$9:$A$18896,"&gt;="&amp;A65,Verbrauch!$A$9:$A$18896,"&lt;"&amp;B65,Verbrauch!$F$9:$F$18896,"Standard")</f>
        <v>0</v>
      </c>
      <c r="F65" s="23" t="n">
        <f aca="false">SUMIFS(Verbrauch!$E$9:$E$18896,Verbrauch!$A$9:$A$18896,"&gt;="&amp;A65,Verbrauch!$A$9:$A$18896,"&lt;"&amp;B65)</f>
        <v>0</v>
      </c>
      <c r="G65" s="13" t="str">
        <f aca="false">IFERROR(F65/C65*100,"")</f>
        <v/>
      </c>
      <c r="H65" s="11" t="n">
        <f aca="false">COUNTIFS(Verbrauch!$A$9:$A$18896,"&gt;="&amp;A65,Verbrauch!$A$9:$A$18896,"&lt;"&amp;B65,Verbrauch!$C$9:$C$18896,"&lt;&gt;")</f>
        <v>0</v>
      </c>
    </row>
    <row r="66" customFormat="false" ht="13.5" hidden="false" customHeight="true" outlineLevel="0" collapsed="false">
      <c r="A66" s="10" t="n">
        <v>46027</v>
      </c>
      <c r="B66" s="10" t="n">
        <v>46028</v>
      </c>
      <c r="C66" s="22" t="n">
        <f aca="false">SUMIFS(Verbrauch!$C$9:$C$18896,Verbrauch!$A$9:$A$18896,"&gt;="&amp;A66,Verbrauch!$A$9:$A$18896,"&lt;"&amp;B66)</f>
        <v>0</v>
      </c>
      <c r="D66" s="22" t="n">
        <f aca="false">SUMIFS(Verbrauch!$C$9:$C$18896,Verbrauch!$A$9:$A$18896,"&gt;="&amp;A66,Verbrauch!$A$9:$A$18896,"&lt;"&amp;B66,Verbrauch!$F$9:$F$18896,"Go")</f>
        <v>0</v>
      </c>
      <c r="E66" s="22" t="n">
        <f aca="false">SUMIFS(Verbrauch!$C$9:$C$18896,Verbrauch!$A$9:$A$18896,"&gt;="&amp;A66,Verbrauch!$A$9:$A$18896,"&lt;"&amp;B66,Verbrauch!$F$9:$F$18896,"Standard")</f>
        <v>0</v>
      </c>
      <c r="F66" s="23" t="n">
        <f aca="false">SUMIFS(Verbrauch!$E$9:$E$18896,Verbrauch!$A$9:$A$18896,"&gt;="&amp;A66,Verbrauch!$A$9:$A$18896,"&lt;"&amp;B66)</f>
        <v>0</v>
      </c>
      <c r="G66" s="13" t="str">
        <f aca="false">IFERROR(F66/C66*100,"")</f>
        <v/>
      </c>
      <c r="H66" s="11" t="n">
        <f aca="false">COUNTIFS(Verbrauch!$A$9:$A$18896,"&gt;="&amp;A66,Verbrauch!$A$9:$A$18896,"&lt;"&amp;B66,Verbrauch!$C$9:$C$18896,"&lt;&gt;")</f>
        <v>0</v>
      </c>
    </row>
    <row r="67" customFormat="false" ht="13.5" hidden="false" customHeight="true" outlineLevel="0" collapsed="false">
      <c r="A67" s="10" t="n">
        <v>46028</v>
      </c>
      <c r="B67" s="10" t="n">
        <v>46029</v>
      </c>
      <c r="C67" s="22" t="n">
        <f aca="false">SUMIFS(Verbrauch!$C$9:$C$18896,Verbrauch!$A$9:$A$18896,"&gt;="&amp;A67,Verbrauch!$A$9:$A$18896,"&lt;"&amp;B67)</f>
        <v>0</v>
      </c>
      <c r="D67" s="22" t="n">
        <f aca="false">SUMIFS(Verbrauch!$C$9:$C$18896,Verbrauch!$A$9:$A$18896,"&gt;="&amp;A67,Verbrauch!$A$9:$A$18896,"&lt;"&amp;B67,Verbrauch!$F$9:$F$18896,"Go")</f>
        <v>0</v>
      </c>
      <c r="E67" s="22" t="n">
        <f aca="false">SUMIFS(Verbrauch!$C$9:$C$18896,Verbrauch!$A$9:$A$18896,"&gt;="&amp;A67,Verbrauch!$A$9:$A$18896,"&lt;"&amp;B67,Verbrauch!$F$9:$F$18896,"Standard")</f>
        <v>0</v>
      </c>
      <c r="F67" s="23" t="n">
        <f aca="false">SUMIFS(Verbrauch!$E$9:$E$18896,Verbrauch!$A$9:$A$18896,"&gt;="&amp;A67,Verbrauch!$A$9:$A$18896,"&lt;"&amp;B67)</f>
        <v>0</v>
      </c>
      <c r="G67" s="13" t="str">
        <f aca="false">IFERROR(F67/C67*100,"")</f>
        <v/>
      </c>
      <c r="H67" s="11" t="n">
        <f aca="false">COUNTIFS(Verbrauch!$A$9:$A$18896,"&gt;="&amp;A67,Verbrauch!$A$9:$A$18896,"&lt;"&amp;B67,Verbrauch!$C$9:$C$18896,"&lt;&gt;")</f>
        <v>0</v>
      </c>
    </row>
    <row r="68" customFormat="false" ht="13.5" hidden="false" customHeight="true" outlineLevel="0" collapsed="false">
      <c r="A68" s="10" t="n">
        <v>46029</v>
      </c>
      <c r="B68" s="10" t="n">
        <v>46030</v>
      </c>
      <c r="C68" s="22" t="n">
        <f aca="false">SUMIFS(Verbrauch!$C$9:$C$18896,Verbrauch!$A$9:$A$18896,"&gt;="&amp;A68,Verbrauch!$A$9:$A$18896,"&lt;"&amp;B68)</f>
        <v>0</v>
      </c>
      <c r="D68" s="22" t="n">
        <f aca="false">SUMIFS(Verbrauch!$C$9:$C$18896,Verbrauch!$A$9:$A$18896,"&gt;="&amp;A68,Verbrauch!$A$9:$A$18896,"&lt;"&amp;B68,Verbrauch!$F$9:$F$18896,"Go")</f>
        <v>0</v>
      </c>
      <c r="E68" s="22" t="n">
        <f aca="false">SUMIFS(Verbrauch!$C$9:$C$18896,Verbrauch!$A$9:$A$18896,"&gt;="&amp;A68,Verbrauch!$A$9:$A$18896,"&lt;"&amp;B68,Verbrauch!$F$9:$F$18896,"Standard")</f>
        <v>0</v>
      </c>
      <c r="F68" s="23" t="n">
        <f aca="false">SUMIFS(Verbrauch!$E$9:$E$18896,Verbrauch!$A$9:$A$18896,"&gt;="&amp;A68,Verbrauch!$A$9:$A$18896,"&lt;"&amp;B68)</f>
        <v>0</v>
      </c>
      <c r="G68" s="13" t="str">
        <f aca="false">IFERROR(F68/C68*100,"")</f>
        <v/>
      </c>
      <c r="H68" s="11" t="n">
        <f aca="false">COUNTIFS(Verbrauch!$A$9:$A$18896,"&gt;="&amp;A68,Verbrauch!$A$9:$A$18896,"&lt;"&amp;B68,Verbrauch!$C$9:$C$18896,"&lt;&gt;")</f>
        <v>0</v>
      </c>
    </row>
    <row r="69" customFormat="false" ht="13.5" hidden="false" customHeight="true" outlineLevel="0" collapsed="false">
      <c r="A69" s="10" t="n">
        <v>46030</v>
      </c>
      <c r="B69" s="10" t="n">
        <v>46031</v>
      </c>
      <c r="C69" s="22" t="n">
        <f aca="false">SUMIFS(Verbrauch!$C$9:$C$18896,Verbrauch!$A$9:$A$18896,"&gt;="&amp;A69,Verbrauch!$A$9:$A$18896,"&lt;"&amp;B69)</f>
        <v>0</v>
      </c>
      <c r="D69" s="22" t="n">
        <f aca="false">SUMIFS(Verbrauch!$C$9:$C$18896,Verbrauch!$A$9:$A$18896,"&gt;="&amp;A69,Verbrauch!$A$9:$A$18896,"&lt;"&amp;B69,Verbrauch!$F$9:$F$18896,"Go")</f>
        <v>0</v>
      </c>
      <c r="E69" s="22" t="n">
        <f aca="false">SUMIFS(Verbrauch!$C$9:$C$18896,Verbrauch!$A$9:$A$18896,"&gt;="&amp;A69,Verbrauch!$A$9:$A$18896,"&lt;"&amp;B69,Verbrauch!$F$9:$F$18896,"Standard")</f>
        <v>0</v>
      </c>
      <c r="F69" s="23" t="n">
        <f aca="false">SUMIFS(Verbrauch!$E$9:$E$18896,Verbrauch!$A$9:$A$18896,"&gt;="&amp;A69,Verbrauch!$A$9:$A$18896,"&lt;"&amp;B69)</f>
        <v>0</v>
      </c>
      <c r="G69" s="13" t="str">
        <f aca="false">IFERROR(F69/C69*100,"")</f>
        <v/>
      </c>
      <c r="H69" s="11" t="n">
        <f aca="false">COUNTIFS(Verbrauch!$A$9:$A$18896,"&gt;="&amp;A69,Verbrauch!$A$9:$A$18896,"&lt;"&amp;B69,Verbrauch!$C$9:$C$18896,"&lt;&gt;")</f>
        <v>0</v>
      </c>
    </row>
    <row r="70" customFormat="false" ht="13.5" hidden="false" customHeight="true" outlineLevel="0" collapsed="false">
      <c r="A70" s="10" t="n">
        <v>46031</v>
      </c>
      <c r="B70" s="10" t="n">
        <v>46032</v>
      </c>
      <c r="C70" s="22" t="n">
        <f aca="false">SUMIFS(Verbrauch!$C$9:$C$18896,Verbrauch!$A$9:$A$18896,"&gt;="&amp;A70,Verbrauch!$A$9:$A$18896,"&lt;"&amp;B70)</f>
        <v>0</v>
      </c>
      <c r="D70" s="22" t="n">
        <f aca="false">SUMIFS(Verbrauch!$C$9:$C$18896,Verbrauch!$A$9:$A$18896,"&gt;="&amp;A70,Verbrauch!$A$9:$A$18896,"&lt;"&amp;B70,Verbrauch!$F$9:$F$18896,"Go")</f>
        <v>0</v>
      </c>
      <c r="E70" s="22" t="n">
        <f aca="false">SUMIFS(Verbrauch!$C$9:$C$18896,Verbrauch!$A$9:$A$18896,"&gt;="&amp;A70,Verbrauch!$A$9:$A$18896,"&lt;"&amp;B70,Verbrauch!$F$9:$F$18896,"Standard")</f>
        <v>0</v>
      </c>
      <c r="F70" s="23" t="n">
        <f aca="false">SUMIFS(Verbrauch!$E$9:$E$18896,Verbrauch!$A$9:$A$18896,"&gt;="&amp;A70,Verbrauch!$A$9:$A$18896,"&lt;"&amp;B70)</f>
        <v>0</v>
      </c>
      <c r="G70" s="13" t="str">
        <f aca="false">IFERROR(F70/C70*100,"")</f>
        <v/>
      </c>
      <c r="H70" s="11" t="n">
        <f aca="false">COUNTIFS(Verbrauch!$A$9:$A$18896,"&gt;="&amp;A70,Verbrauch!$A$9:$A$18896,"&lt;"&amp;B70,Verbrauch!$C$9:$C$18896,"&lt;&gt;")</f>
        <v>0</v>
      </c>
    </row>
    <row r="71" customFormat="false" ht="13.5" hidden="false" customHeight="true" outlineLevel="0" collapsed="false">
      <c r="A71" s="10" t="n">
        <v>46032</v>
      </c>
      <c r="B71" s="10" t="n">
        <v>46033</v>
      </c>
      <c r="C71" s="22" t="n">
        <f aca="false">SUMIFS(Verbrauch!$C$9:$C$18896,Verbrauch!$A$9:$A$18896,"&gt;="&amp;A71,Verbrauch!$A$9:$A$18896,"&lt;"&amp;B71)</f>
        <v>0</v>
      </c>
      <c r="D71" s="22" t="n">
        <f aca="false">SUMIFS(Verbrauch!$C$9:$C$18896,Verbrauch!$A$9:$A$18896,"&gt;="&amp;A71,Verbrauch!$A$9:$A$18896,"&lt;"&amp;B71,Verbrauch!$F$9:$F$18896,"Go")</f>
        <v>0</v>
      </c>
      <c r="E71" s="22" t="n">
        <f aca="false">SUMIFS(Verbrauch!$C$9:$C$18896,Verbrauch!$A$9:$A$18896,"&gt;="&amp;A71,Verbrauch!$A$9:$A$18896,"&lt;"&amp;B71,Verbrauch!$F$9:$F$18896,"Standard")</f>
        <v>0</v>
      </c>
      <c r="F71" s="23" t="n">
        <f aca="false">SUMIFS(Verbrauch!$E$9:$E$18896,Verbrauch!$A$9:$A$18896,"&gt;="&amp;A71,Verbrauch!$A$9:$A$18896,"&lt;"&amp;B71)</f>
        <v>0</v>
      </c>
      <c r="G71" s="13" t="str">
        <f aca="false">IFERROR(F71/C71*100,"")</f>
        <v/>
      </c>
      <c r="H71" s="11" t="n">
        <f aca="false">COUNTIFS(Verbrauch!$A$9:$A$18896,"&gt;="&amp;A71,Verbrauch!$A$9:$A$18896,"&lt;"&amp;B71,Verbrauch!$C$9:$C$18896,"&lt;&gt;")</f>
        <v>0</v>
      </c>
    </row>
    <row r="72" customFormat="false" ht="13.5" hidden="false" customHeight="true" outlineLevel="0" collapsed="false">
      <c r="A72" s="10" t="n">
        <v>46033</v>
      </c>
      <c r="B72" s="10" t="n">
        <v>46034</v>
      </c>
      <c r="C72" s="22" t="n">
        <f aca="false">SUMIFS(Verbrauch!$C$9:$C$18896,Verbrauch!$A$9:$A$18896,"&gt;="&amp;A72,Verbrauch!$A$9:$A$18896,"&lt;"&amp;B72)</f>
        <v>0</v>
      </c>
      <c r="D72" s="22" t="n">
        <f aca="false">SUMIFS(Verbrauch!$C$9:$C$18896,Verbrauch!$A$9:$A$18896,"&gt;="&amp;A72,Verbrauch!$A$9:$A$18896,"&lt;"&amp;B72,Verbrauch!$F$9:$F$18896,"Go")</f>
        <v>0</v>
      </c>
      <c r="E72" s="22" t="n">
        <f aca="false">SUMIFS(Verbrauch!$C$9:$C$18896,Verbrauch!$A$9:$A$18896,"&gt;="&amp;A72,Verbrauch!$A$9:$A$18896,"&lt;"&amp;B72,Verbrauch!$F$9:$F$18896,"Standard")</f>
        <v>0</v>
      </c>
      <c r="F72" s="23" t="n">
        <f aca="false">SUMIFS(Verbrauch!$E$9:$E$18896,Verbrauch!$A$9:$A$18896,"&gt;="&amp;A72,Verbrauch!$A$9:$A$18896,"&lt;"&amp;B72)</f>
        <v>0</v>
      </c>
      <c r="G72" s="13" t="str">
        <f aca="false">IFERROR(F72/C72*100,"")</f>
        <v/>
      </c>
      <c r="H72" s="11" t="n">
        <f aca="false">COUNTIFS(Verbrauch!$A$9:$A$18896,"&gt;="&amp;A72,Verbrauch!$A$9:$A$18896,"&lt;"&amp;B72,Verbrauch!$C$9:$C$18896,"&lt;&gt;")</f>
        <v>0</v>
      </c>
    </row>
    <row r="73" customFormat="false" ht="13.5" hidden="false" customHeight="true" outlineLevel="0" collapsed="false">
      <c r="A73" s="10" t="n">
        <v>46034</v>
      </c>
      <c r="B73" s="10" t="n">
        <v>46035</v>
      </c>
      <c r="C73" s="22" t="n">
        <f aca="false">SUMIFS(Verbrauch!$C$9:$C$18896,Verbrauch!$A$9:$A$18896,"&gt;="&amp;A73,Verbrauch!$A$9:$A$18896,"&lt;"&amp;B73)</f>
        <v>0</v>
      </c>
      <c r="D73" s="22" t="n">
        <f aca="false">SUMIFS(Verbrauch!$C$9:$C$18896,Verbrauch!$A$9:$A$18896,"&gt;="&amp;A73,Verbrauch!$A$9:$A$18896,"&lt;"&amp;B73,Verbrauch!$F$9:$F$18896,"Go")</f>
        <v>0</v>
      </c>
      <c r="E73" s="22" t="n">
        <f aca="false">SUMIFS(Verbrauch!$C$9:$C$18896,Verbrauch!$A$9:$A$18896,"&gt;="&amp;A73,Verbrauch!$A$9:$A$18896,"&lt;"&amp;B73,Verbrauch!$F$9:$F$18896,"Standard")</f>
        <v>0</v>
      </c>
      <c r="F73" s="23" t="n">
        <f aca="false">SUMIFS(Verbrauch!$E$9:$E$18896,Verbrauch!$A$9:$A$18896,"&gt;="&amp;A73,Verbrauch!$A$9:$A$18896,"&lt;"&amp;B73)</f>
        <v>0</v>
      </c>
      <c r="G73" s="13" t="str">
        <f aca="false">IFERROR(F73/C73*100,"")</f>
        <v/>
      </c>
      <c r="H73" s="11" t="n">
        <f aca="false">COUNTIFS(Verbrauch!$A$9:$A$18896,"&gt;="&amp;A73,Verbrauch!$A$9:$A$18896,"&lt;"&amp;B73,Verbrauch!$C$9:$C$18896,"&lt;&gt;")</f>
        <v>0</v>
      </c>
    </row>
    <row r="74" customFormat="false" ht="13.5" hidden="false" customHeight="true" outlineLevel="0" collapsed="false">
      <c r="A74" s="10" t="n">
        <v>46035</v>
      </c>
      <c r="B74" s="10" t="n">
        <v>46036</v>
      </c>
      <c r="C74" s="22" t="n">
        <f aca="false">SUMIFS(Verbrauch!$C$9:$C$18896,Verbrauch!$A$9:$A$18896,"&gt;="&amp;A74,Verbrauch!$A$9:$A$18896,"&lt;"&amp;B74)</f>
        <v>0</v>
      </c>
      <c r="D74" s="22" t="n">
        <f aca="false">SUMIFS(Verbrauch!$C$9:$C$18896,Verbrauch!$A$9:$A$18896,"&gt;="&amp;A74,Verbrauch!$A$9:$A$18896,"&lt;"&amp;B74,Verbrauch!$F$9:$F$18896,"Go")</f>
        <v>0</v>
      </c>
      <c r="E74" s="22" t="n">
        <f aca="false">SUMIFS(Verbrauch!$C$9:$C$18896,Verbrauch!$A$9:$A$18896,"&gt;="&amp;A74,Verbrauch!$A$9:$A$18896,"&lt;"&amp;B74,Verbrauch!$F$9:$F$18896,"Standard")</f>
        <v>0</v>
      </c>
      <c r="F74" s="23" t="n">
        <f aca="false">SUMIFS(Verbrauch!$E$9:$E$18896,Verbrauch!$A$9:$A$18896,"&gt;="&amp;A74,Verbrauch!$A$9:$A$18896,"&lt;"&amp;B74)</f>
        <v>0</v>
      </c>
      <c r="G74" s="13" t="str">
        <f aca="false">IFERROR(F74/C74*100,"")</f>
        <v/>
      </c>
      <c r="H74" s="11" t="n">
        <f aca="false">COUNTIFS(Verbrauch!$A$9:$A$18896,"&gt;="&amp;A74,Verbrauch!$A$9:$A$18896,"&lt;"&amp;B74,Verbrauch!$C$9:$C$18896,"&lt;&gt;")</f>
        <v>0</v>
      </c>
    </row>
    <row r="75" customFormat="false" ht="13.5" hidden="false" customHeight="true" outlineLevel="0" collapsed="false">
      <c r="A75" s="10" t="n">
        <v>46036</v>
      </c>
      <c r="B75" s="10" t="n">
        <v>46037</v>
      </c>
      <c r="C75" s="22" t="n">
        <f aca="false">SUMIFS(Verbrauch!$C$9:$C$18896,Verbrauch!$A$9:$A$18896,"&gt;="&amp;A75,Verbrauch!$A$9:$A$18896,"&lt;"&amp;B75)</f>
        <v>0</v>
      </c>
      <c r="D75" s="22" t="n">
        <f aca="false">SUMIFS(Verbrauch!$C$9:$C$18896,Verbrauch!$A$9:$A$18896,"&gt;="&amp;A75,Verbrauch!$A$9:$A$18896,"&lt;"&amp;B75,Verbrauch!$F$9:$F$18896,"Go")</f>
        <v>0</v>
      </c>
      <c r="E75" s="22" t="n">
        <f aca="false">SUMIFS(Verbrauch!$C$9:$C$18896,Verbrauch!$A$9:$A$18896,"&gt;="&amp;A75,Verbrauch!$A$9:$A$18896,"&lt;"&amp;B75,Verbrauch!$F$9:$F$18896,"Standard")</f>
        <v>0</v>
      </c>
      <c r="F75" s="23" t="n">
        <f aca="false">SUMIFS(Verbrauch!$E$9:$E$18896,Verbrauch!$A$9:$A$18896,"&gt;="&amp;A75,Verbrauch!$A$9:$A$18896,"&lt;"&amp;B75)</f>
        <v>0</v>
      </c>
      <c r="G75" s="13" t="str">
        <f aca="false">IFERROR(F75/C75*100,"")</f>
        <v/>
      </c>
      <c r="H75" s="11" t="n">
        <f aca="false">COUNTIFS(Verbrauch!$A$9:$A$18896,"&gt;="&amp;A75,Verbrauch!$A$9:$A$18896,"&lt;"&amp;B75,Verbrauch!$C$9:$C$18896,"&lt;&gt;")</f>
        <v>0</v>
      </c>
    </row>
    <row r="76" customFormat="false" ht="13.5" hidden="false" customHeight="true" outlineLevel="0" collapsed="false">
      <c r="A76" s="10" t="n">
        <v>46037</v>
      </c>
      <c r="B76" s="10" t="n">
        <v>46038</v>
      </c>
      <c r="C76" s="22" t="n">
        <f aca="false">SUMIFS(Verbrauch!$C$9:$C$18896,Verbrauch!$A$9:$A$18896,"&gt;="&amp;A76,Verbrauch!$A$9:$A$18896,"&lt;"&amp;B76)</f>
        <v>0</v>
      </c>
      <c r="D76" s="22" t="n">
        <f aca="false">SUMIFS(Verbrauch!$C$9:$C$18896,Verbrauch!$A$9:$A$18896,"&gt;="&amp;A76,Verbrauch!$A$9:$A$18896,"&lt;"&amp;B76,Verbrauch!$F$9:$F$18896,"Go")</f>
        <v>0</v>
      </c>
      <c r="E76" s="22" t="n">
        <f aca="false">SUMIFS(Verbrauch!$C$9:$C$18896,Verbrauch!$A$9:$A$18896,"&gt;="&amp;A76,Verbrauch!$A$9:$A$18896,"&lt;"&amp;B76,Verbrauch!$F$9:$F$18896,"Standard")</f>
        <v>0</v>
      </c>
      <c r="F76" s="23" t="n">
        <f aca="false">SUMIFS(Verbrauch!$E$9:$E$18896,Verbrauch!$A$9:$A$18896,"&gt;="&amp;A76,Verbrauch!$A$9:$A$18896,"&lt;"&amp;B76)</f>
        <v>0</v>
      </c>
      <c r="G76" s="13" t="str">
        <f aca="false">IFERROR(F76/C76*100,"")</f>
        <v/>
      </c>
      <c r="H76" s="11" t="n">
        <f aca="false">COUNTIFS(Verbrauch!$A$9:$A$18896,"&gt;="&amp;A76,Verbrauch!$A$9:$A$18896,"&lt;"&amp;B76,Verbrauch!$C$9:$C$18896,"&lt;&gt;")</f>
        <v>0</v>
      </c>
    </row>
    <row r="77" customFormat="false" ht="13.5" hidden="false" customHeight="true" outlineLevel="0" collapsed="false">
      <c r="A77" s="10" t="n">
        <v>46038</v>
      </c>
      <c r="B77" s="10" t="n">
        <v>46039</v>
      </c>
      <c r="C77" s="22" t="n">
        <f aca="false">SUMIFS(Verbrauch!$C$9:$C$18896,Verbrauch!$A$9:$A$18896,"&gt;="&amp;A77,Verbrauch!$A$9:$A$18896,"&lt;"&amp;B77)</f>
        <v>0</v>
      </c>
      <c r="D77" s="22" t="n">
        <f aca="false">SUMIFS(Verbrauch!$C$9:$C$18896,Verbrauch!$A$9:$A$18896,"&gt;="&amp;A77,Verbrauch!$A$9:$A$18896,"&lt;"&amp;B77,Verbrauch!$F$9:$F$18896,"Go")</f>
        <v>0</v>
      </c>
      <c r="E77" s="22" t="n">
        <f aca="false">SUMIFS(Verbrauch!$C$9:$C$18896,Verbrauch!$A$9:$A$18896,"&gt;="&amp;A77,Verbrauch!$A$9:$A$18896,"&lt;"&amp;B77,Verbrauch!$F$9:$F$18896,"Standard")</f>
        <v>0</v>
      </c>
      <c r="F77" s="23" t="n">
        <f aca="false">SUMIFS(Verbrauch!$E$9:$E$18896,Verbrauch!$A$9:$A$18896,"&gt;="&amp;A77,Verbrauch!$A$9:$A$18896,"&lt;"&amp;B77)</f>
        <v>0</v>
      </c>
      <c r="G77" s="13" t="str">
        <f aca="false">IFERROR(F77/C77*100,"")</f>
        <v/>
      </c>
      <c r="H77" s="11" t="n">
        <f aca="false">COUNTIFS(Verbrauch!$A$9:$A$18896,"&gt;="&amp;A77,Verbrauch!$A$9:$A$18896,"&lt;"&amp;B77,Verbrauch!$C$9:$C$18896,"&lt;&gt;")</f>
        <v>0</v>
      </c>
    </row>
    <row r="78" customFormat="false" ht="13.5" hidden="false" customHeight="true" outlineLevel="0" collapsed="false">
      <c r="A78" s="10" t="n">
        <v>46039</v>
      </c>
      <c r="B78" s="10" t="n">
        <v>46040</v>
      </c>
      <c r="C78" s="22" t="n">
        <f aca="false">SUMIFS(Verbrauch!$C$9:$C$18896,Verbrauch!$A$9:$A$18896,"&gt;="&amp;A78,Verbrauch!$A$9:$A$18896,"&lt;"&amp;B78)</f>
        <v>0</v>
      </c>
      <c r="D78" s="22" t="n">
        <f aca="false">SUMIFS(Verbrauch!$C$9:$C$18896,Verbrauch!$A$9:$A$18896,"&gt;="&amp;A78,Verbrauch!$A$9:$A$18896,"&lt;"&amp;B78,Verbrauch!$F$9:$F$18896,"Go")</f>
        <v>0</v>
      </c>
      <c r="E78" s="22" t="n">
        <f aca="false">SUMIFS(Verbrauch!$C$9:$C$18896,Verbrauch!$A$9:$A$18896,"&gt;="&amp;A78,Verbrauch!$A$9:$A$18896,"&lt;"&amp;B78,Verbrauch!$F$9:$F$18896,"Standard")</f>
        <v>0</v>
      </c>
      <c r="F78" s="23" t="n">
        <f aca="false">SUMIFS(Verbrauch!$E$9:$E$18896,Verbrauch!$A$9:$A$18896,"&gt;="&amp;A78,Verbrauch!$A$9:$A$18896,"&lt;"&amp;B78)</f>
        <v>0</v>
      </c>
      <c r="G78" s="13" t="str">
        <f aca="false">IFERROR(F78/C78*100,"")</f>
        <v/>
      </c>
      <c r="H78" s="11" t="n">
        <f aca="false">COUNTIFS(Verbrauch!$A$9:$A$18896,"&gt;="&amp;A78,Verbrauch!$A$9:$A$18896,"&lt;"&amp;B78,Verbrauch!$C$9:$C$18896,"&lt;&gt;")</f>
        <v>0</v>
      </c>
    </row>
    <row r="79" customFormat="false" ht="13.5" hidden="false" customHeight="true" outlineLevel="0" collapsed="false">
      <c r="A79" s="10" t="n">
        <v>46040</v>
      </c>
      <c r="B79" s="10" t="n">
        <v>46041</v>
      </c>
      <c r="C79" s="22" t="n">
        <f aca="false">SUMIFS(Verbrauch!$C$9:$C$18896,Verbrauch!$A$9:$A$18896,"&gt;="&amp;A79,Verbrauch!$A$9:$A$18896,"&lt;"&amp;B79)</f>
        <v>0</v>
      </c>
      <c r="D79" s="22" t="n">
        <f aca="false">SUMIFS(Verbrauch!$C$9:$C$18896,Verbrauch!$A$9:$A$18896,"&gt;="&amp;A79,Verbrauch!$A$9:$A$18896,"&lt;"&amp;B79,Verbrauch!$F$9:$F$18896,"Go")</f>
        <v>0</v>
      </c>
      <c r="E79" s="22" t="n">
        <f aca="false">SUMIFS(Verbrauch!$C$9:$C$18896,Verbrauch!$A$9:$A$18896,"&gt;="&amp;A79,Verbrauch!$A$9:$A$18896,"&lt;"&amp;B79,Verbrauch!$F$9:$F$18896,"Standard")</f>
        <v>0</v>
      </c>
      <c r="F79" s="23" t="n">
        <f aca="false">SUMIFS(Verbrauch!$E$9:$E$18896,Verbrauch!$A$9:$A$18896,"&gt;="&amp;A79,Verbrauch!$A$9:$A$18896,"&lt;"&amp;B79)</f>
        <v>0</v>
      </c>
      <c r="G79" s="13" t="str">
        <f aca="false">IFERROR(F79/C79*100,"")</f>
        <v/>
      </c>
      <c r="H79" s="11" t="n">
        <f aca="false">COUNTIFS(Verbrauch!$A$9:$A$18896,"&gt;="&amp;A79,Verbrauch!$A$9:$A$18896,"&lt;"&amp;B79,Verbrauch!$C$9:$C$18896,"&lt;&gt;")</f>
        <v>0</v>
      </c>
    </row>
    <row r="80" customFormat="false" ht="13.5" hidden="false" customHeight="true" outlineLevel="0" collapsed="false">
      <c r="A80" s="10" t="n">
        <v>46041</v>
      </c>
      <c r="B80" s="10" t="n">
        <v>46042</v>
      </c>
      <c r="C80" s="22" t="n">
        <f aca="false">SUMIFS(Verbrauch!$C$9:$C$18896,Verbrauch!$A$9:$A$18896,"&gt;="&amp;A80,Verbrauch!$A$9:$A$18896,"&lt;"&amp;B80)</f>
        <v>0</v>
      </c>
      <c r="D80" s="22" t="n">
        <f aca="false">SUMIFS(Verbrauch!$C$9:$C$18896,Verbrauch!$A$9:$A$18896,"&gt;="&amp;A80,Verbrauch!$A$9:$A$18896,"&lt;"&amp;B80,Verbrauch!$F$9:$F$18896,"Go")</f>
        <v>0</v>
      </c>
      <c r="E80" s="22" t="n">
        <f aca="false">SUMIFS(Verbrauch!$C$9:$C$18896,Verbrauch!$A$9:$A$18896,"&gt;="&amp;A80,Verbrauch!$A$9:$A$18896,"&lt;"&amp;B80,Verbrauch!$F$9:$F$18896,"Standard")</f>
        <v>0</v>
      </c>
      <c r="F80" s="23" t="n">
        <f aca="false">SUMIFS(Verbrauch!$E$9:$E$18896,Verbrauch!$A$9:$A$18896,"&gt;="&amp;A80,Verbrauch!$A$9:$A$18896,"&lt;"&amp;B80)</f>
        <v>0</v>
      </c>
      <c r="G80" s="13" t="str">
        <f aca="false">IFERROR(F80/C80*100,"")</f>
        <v/>
      </c>
      <c r="H80" s="11" t="n">
        <f aca="false">COUNTIFS(Verbrauch!$A$9:$A$18896,"&gt;="&amp;A80,Verbrauch!$A$9:$A$18896,"&lt;"&amp;B80,Verbrauch!$C$9:$C$18896,"&lt;&gt;")</f>
        <v>0</v>
      </c>
    </row>
    <row r="81" customFormat="false" ht="13.5" hidden="false" customHeight="true" outlineLevel="0" collapsed="false">
      <c r="A81" s="10" t="n">
        <v>46042</v>
      </c>
      <c r="B81" s="10" t="n">
        <v>46043</v>
      </c>
      <c r="C81" s="22" t="n">
        <f aca="false">SUMIFS(Verbrauch!$C$9:$C$18896,Verbrauch!$A$9:$A$18896,"&gt;="&amp;A81,Verbrauch!$A$9:$A$18896,"&lt;"&amp;B81)</f>
        <v>0</v>
      </c>
      <c r="D81" s="22" t="n">
        <f aca="false">SUMIFS(Verbrauch!$C$9:$C$18896,Verbrauch!$A$9:$A$18896,"&gt;="&amp;A81,Verbrauch!$A$9:$A$18896,"&lt;"&amp;B81,Verbrauch!$F$9:$F$18896,"Go")</f>
        <v>0</v>
      </c>
      <c r="E81" s="22" t="n">
        <f aca="false">SUMIFS(Verbrauch!$C$9:$C$18896,Verbrauch!$A$9:$A$18896,"&gt;="&amp;A81,Verbrauch!$A$9:$A$18896,"&lt;"&amp;B81,Verbrauch!$F$9:$F$18896,"Standard")</f>
        <v>0</v>
      </c>
      <c r="F81" s="23" t="n">
        <f aca="false">SUMIFS(Verbrauch!$E$9:$E$18896,Verbrauch!$A$9:$A$18896,"&gt;="&amp;A81,Verbrauch!$A$9:$A$18896,"&lt;"&amp;B81)</f>
        <v>0</v>
      </c>
      <c r="G81" s="13" t="str">
        <f aca="false">IFERROR(F81/C81*100,"")</f>
        <v/>
      </c>
      <c r="H81" s="11" t="n">
        <f aca="false">COUNTIFS(Verbrauch!$A$9:$A$18896,"&gt;="&amp;A81,Verbrauch!$A$9:$A$18896,"&lt;"&amp;B81,Verbrauch!$C$9:$C$18896,"&lt;&gt;")</f>
        <v>0</v>
      </c>
    </row>
    <row r="82" customFormat="false" ht="13.5" hidden="false" customHeight="true" outlineLevel="0" collapsed="false">
      <c r="A82" s="10" t="n">
        <v>46043</v>
      </c>
      <c r="B82" s="10" t="n">
        <v>46044</v>
      </c>
      <c r="C82" s="22" t="n">
        <f aca="false">SUMIFS(Verbrauch!$C$9:$C$18896,Verbrauch!$A$9:$A$18896,"&gt;="&amp;A82,Verbrauch!$A$9:$A$18896,"&lt;"&amp;B82)</f>
        <v>0</v>
      </c>
      <c r="D82" s="22" t="n">
        <f aca="false">SUMIFS(Verbrauch!$C$9:$C$18896,Verbrauch!$A$9:$A$18896,"&gt;="&amp;A82,Verbrauch!$A$9:$A$18896,"&lt;"&amp;B82,Verbrauch!$F$9:$F$18896,"Go")</f>
        <v>0</v>
      </c>
      <c r="E82" s="22" t="n">
        <f aca="false">SUMIFS(Verbrauch!$C$9:$C$18896,Verbrauch!$A$9:$A$18896,"&gt;="&amp;A82,Verbrauch!$A$9:$A$18896,"&lt;"&amp;B82,Verbrauch!$F$9:$F$18896,"Standard")</f>
        <v>0</v>
      </c>
      <c r="F82" s="23" t="n">
        <f aca="false">SUMIFS(Verbrauch!$E$9:$E$18896,Verbrauch!$A$9:$A$18896,"&gt;="&amp;A82,Verbrauch!$A$9:$A$18896,"&lt;"&amp;B82)</f>
        <v>0</v>
      </c>
      <c r="G82" s="13" t="str">
        <f aca="false">IFERROR(F82/C82*100,"")</f>
        <v/>
      </c>
      <c r="H82" s="11" t="n">
        <f aca="false">COUNTIFS(Verbrauch!$A$9:$A$18896,"&gt;="&amp;A82,Verbrauch!$A$9:$A$18896,"&lt;"&amp;B82,Verbrauch!$C$9:$C$18896,"&lt;&gt;")</f>
        <v>0</v>
      </c>
    </row>
    <row r="83" customFormat="false" ht="13.5" hidden="false" customHeight="true" outlineLevel="0" collapsed="false">
      <c r="A83" s="10" t="n">
        <v>46044</v>
      </c>
      <c r="B83" s="10" t="n">
        <v>46045</v>
      </c>
      <c r="C83" s="22" t="n">
        <f aca="false">SUMIFS(Verbrauch!$C$9:$C$18896,Verbrauch!$A$9:$A$18896,"&gt;="&amp;A83,Verbrauch!$A$9:$A$18896,"&lt;"&amp;B83)</f>
        <v>0</v>
      </c>
      <c r="D83" s="22" t="n">
        <f aca="false">SUMIFS(Verbrauch!$C$9:$C$18896,Verbrauch!$A$9:$A$18896,"&gt;="&amp;A83,Verbrauch!$A$9:$A$18896,"&lt;"&amp;B83,Verbrauch!$F$9:$F$18896,"Go")</f>
        <v>0</v>
      </c>
      <c r="E83" s="22" t="n">
        <f aca="false">SUMIFS(Verbrauch!$C$9:$C$18896,Verbrauch!$A$9:$A$18896,"&gt;="&amp;A83,Verbrauch!$A$9:$A$18896,"&lt;"&amp;B83,Verbrauch!$F$9:$F$18896,"Standard")</f>
        <v>0</v>
      </c>
      <c r="F83" s="23" t="n">
        <f aca="false">SUMIFS(Verbrauch!$E$9:$E$18896,Verbrauch!$A$9:$A$18896,"&gt;="&amp;A83,Verbrauch!$A$9:$A$18896,"&lt;"&amp;B83)</f>
        <v>0</v>
      </c>
      <c r="G83" s="13" t="str">
        <f aca="false">IFERROR(F83/C83*100,"")</f>
        <v/>
      </c>
      <c r="H83" s="11" t="n">
        <f aca="false">COUNTIFS(Verbrauch!$A$9:$A$18896,"&gt;="&amp;A83,Verbrauch!$A$9:$A$18896,"&lt;"&amp;B83,Verbrauch!$C$9:$C$18896,"&lt;&gt;")</f>
        <v>0</v>
      </c>
    </row>
    <row r="84" customFormat="false" ht="13.5" hidden="false" customHeight="true" outlineLevel="0" collapsed="false">
      <c r="A84" s="10" t="n">
        <v>46045</v>
      </c>
      <c r="B84" s="10" t="n">
        <v>46046</v>
      </c>
      <c r="C84" s="22" t="n">
        <f aca="false">SUMIFS(Verbrauch!$C$9:$C$18896,Verbrauch!$A$9:$A$18896,"&gt;="&amp;A84,Verbrauch!$A$9:$A$18896,"&lt;"&amp;B84)</f>
        <v>0</v>
      </c>
      <c r="D84" s="22" t="n">
        <f aca="false">SUMIFS(Verbrauch!$C$9:$C$18896,Verbrauch!$A$9:$A$18896,"&gt;="&amp;A84,Verbrauch!$A$9:$A$18896,"&lt;"&amp;B84,Verbrauch!$F$9:$F$18896,"Go")</f>
        <v>0</v>
      </c>
      <c r="E84" s="22" t="n">
        <f aca="false">SUMIFS(Verbrauch!$C$9:$C$18896,Verbrauch!$A$9:$A$18896,"&gt;="&amp;A84,Verbrauch!$A$9:$A$18896,"&lt;"&amp;B84,Verbrauch!$F$9:$F$18896,"Standard")</f>
        <v>0</v>
      </c>
      <c r="F84" s="23" t="n">
        <f aca="false">SUMIFS(Verbrauch!$E$9:$E$18896,Verbrauch!$A$9:$A$18896,"&gt;="&amp;A84,Verbrauch!$A$9:$A$18896,"&lt;"&amp;B84)</f>
        <v>0</v>
      </c>
      <c r="G84" s="13" t="str">
        <f aca="false">IFERROR(F84/C84*100,"")</f>
        <v/>
      </c>
      <c r="H84" s="11" t="n">
        <f aca="false">COUNTIFS(Verbrauch!$A$9:$A$18896,"&gt;="&amp;A84,Verbrauch!$A$9:$A$18896,"&lt;"&amp;B84,Verbrauch!$C$9:$C$18896,"&lt;&gt;")</f>
        <v>0</v>
      </c>
    </row>
    <row r="85" customFormat="false" ht="13.5" hidden="false" customHeight="true" outlineLevel="0" collapsed="false">
      <c r="A85" s="10" t="n">
        <v>46046</v>
      </c>
      <c r="B85" s="10" t="n">
        <v>46047</v>
      </c>
      <c r="C85" s="22" t="n">
        <f aca="false">SUMIFS(Verbrauch!$C$9:$C$18896,Verbrauch!$A$9:$A$18896,"&gt;="&amp;A85,Verbrauch!$A$9:$A$18896,"&lt;"&amp;B85)</f>
        <v>0</v>
      </c>
      <c r="D85" s="22" t="n">
        <f aca="false">SUMIFS(Verbrauch!$C$9:$C$18896,Verbrauch!$A$9:$A$18896,"&gt;="&amp;A85,Verbrauch!$A$9:$A$18896,"&lt;"&amp;B85,Verbrauch!$F$9:$F$18896,"Go")</f>
        <v>0</v>
      </c>
      <c r="E85" s="22" t="n">
        <f aca="false">SUMIFS(Verbrauch!$C$9:$C$18896,Verbrauch!$A$9:$A$18896,"&gt;="&amp;A85,Verbrauch!$A$9:$A$18896,"&lt;"&amp;B85,Verbrauch!$F$9:$F$18896,"Standard")</f>
        <v>0</v>
      </c>
      <c r="F85" s="23" t="n">
        <f aca="false">SUMIFS(Verbrauch!$E$9:$E$18896,Verbrauch!$A$9:$A$18896,"&gt;="&amp;A85,Verbrauch!$A$9:$A$18896,"&lt;"&amp;B85)</f>
        <v>0</v>
      </c>
      <c r="G85" s="13" t="str">
        <f aca="false">IFERROR(F85/C85*100,"")</f>
        <v/>
      </c>
      <c r="H85" s="11" t="n">
        <f aca="false">COUNTIFS(Verbrauch!$A$9:$A$18896,"&gt;="&amp;A85,Verbrauch!$A$9:$A$18896,"&lt;"&amp;B85,Verbrauch!$C$9:$C$18896,"&lt;&gt;")</f>
        <v>0</v>
      </c>
    </row>
    <row r="86" customFormat="false" ht="13.5" hidden="false" customHeight="true" outlineLevel="0" collapsed="false">
      <c r="A86" s="10" t="n">
        <v>46047</v>
      </c>
      <c r="B86" s="10" t="n">
        <v>46048</v>
      </c>
      <c r="C86" s="22" t="n">
        <f aca="false">SUMIFS(Verbrauch!$C$9:$C$18896,Verbrauch!$A$9:$A$18896,"&gt;="&amp;A86,Verbrauch!$A$9:$A$18896,"&lt;"&amp;B86)</f>
        <v>0</v>
      </c>
      <c r="D86" s="22" t="n">
        <f aca="false">SUMIFS(Verbrauch!$C$9:$C$18896,Verbrauch!$A$9:$A$18896,"&gt;="&amp;A86,Verbrauch!$A$9:$A$18896,"&lt;"&amp;B86,Verbrauch!$F$9:$F$18896,"Go")</f>
        <v>0</v>
      </c>
      <c r="E86" s="22" t="n">
        <f aca="false">SUMIFS(Verbrauch!$C$9:$C$18896,Verbrauch!$A$9:$A$18896,"&gt;="&amp;A86,Verbrauch!$A$9:$A$18896,"&lt;"&amp;B86,Verbrauch!$F$9:$F$18896,"Standard")</f>
        <v>0</v>
      </c>
      <c r="F86" s="23" t="n">
        <f aca="false">SUMIFS(Verbrauch!$E$9:$E$18896,Verbrauch!$A$9:$A$18896,"&gt;="&amp;A86,Verbrauch!$A$9:$A$18896,"&lt;"&amp;B86)</f>
        <v>0</v>
      </c>
      <c r="G86" s="13" t="str">
        <f aca="false">IFERROR(F86/C86*100,"")</f>
        <v/>
      </c>
      <c r="H86" s="11" t="n">
        <f aca="false">COUNTIFS(Verbrauch!$A$9:$A$18896,"&gt;="&amp;A86,Verbrauch!$A$9:$A$18896,"&lt;"&amp;B86,Verbrauch!$C$9:$C$18896,"&lt;&gt;")</f>
        <v>0</v>
      </c>
    </row>
    <row r="87" customFormat="false" ht="13.5" hidden="false" customHeight="true" outlineLevel="0" collapsed="false">
      <c r="A87" s="10" t="n">
        <v>46048</v>
      </c>
      <c r="B87" s="10" t="n">
        <v>46049</v>
      </c>
      <c r="C87" s="22" t="n">
        <f aca="false">SUMIFS(Verbrauch!$C$9:$C$18896,Verbrauch!$A$9:$A$18896,"&gt;="&amp;A87,Verbrauch!$A$9:$A$18896,"&lt;"&amp;B87)</f>
        <v>0</v>
      </c>
      <c r="D87" s="22" t="n">
        <f aca="false">SUMIFS(Verbrauch!$C$9:$C$18896,Verbrauch!$A$9:$A$18896,"&gt;="&amp;A87,Verbrauch!$A$9:$A$18896,"&lt;"&amp;B87,Verbrauch!$F$9:$F$18896,"Go")</f>
        <v>0</v>
      </c>
      <c r="E87" s="22" t="n">
        <f aca="false">SUMIFS(Verbrauch!$C$9:$C$18896,Verbrauch!$A$9:$A$18896,"&gt;="&amp;A87,Verbrauch!$A$9:$A$18896,"&lt;"&amp;B87,Verbrauch!$F$9:$F$18896,"Standard")</f>
        <v>0</v>
      </c>
      <c r="F87" s="23" t="n">
        <f aca="false">SUMIFS(Verbrauch!$E$9:$E$18896,Verbrauch!$A$9:$A$18896,"&gt;="&amp;A87,Verbrauch!$A$9:$A$18896,"&lt;"&amp;B87)</f>
        <v>0</v>
      </c>
      <c r="G87" s="13" t="str">
        <f aca="false">IFERROR(F87/C87*100,"")</f>
        <v/>
      </c>
      <c r="H87" s="11" t="n">
        <f aca="false">COUNTIFS(Verbrauch!$A$9:$A$18896,"&gt;="&amp;A87,Verbrauch!$A$9:$A$18896,"&lt;"&amp;B87,Verbrauch!$C$9:$C$18896,"&lt;&gt;")</f>
        <v>0</v>
      </c>
    </row>
    <row r="88" customFormat="false" ht="13.5" hidden="false" customHeight="true" outlineLevel="0" collapsed="false">
      <c r="A88" s="10" t="n">
        <v>46049</v>
      </c>
      <c r="B88" s="10" t="n">
        <v>46050</v>
      </c>
      <c r="C88" s="22" t="n">
        <f aca="false">SUMIFS(Verbrauch!$C$9:$C$18896,Verbrauch!$A$9:$A$18896,"&gt;="&amp;A88,Verbrauch!$A$9:$A$18896,"&lt;"&amp;B88)</f>
        <v>0</v>
      </c>
      <c r="D88" s="22" t="n">
        <f aca="false">SUMIFS(Verbrauch!$C$9:$C$18896,Verbrauch!$A$9:$A$18896,"&gt;="&amp;A88,Verbrauch!$A$9:$A$18896,"&lt;"&amp;B88,Verbrauch!$F$9:$F$18896,"Go")</f>
        <v>0</v>
      </c>
      <c r="E88" s="22" t="n">
        <f aca="false">SUMIFS(Verbrauch!$C$9:$C$18896,Verbrauch!$A$9:$A$18896,"&gt;="&amp;A88,Verbrauch!$A$9:$A$18896,"&lt;"&amp;B88,Verbrauch!$F$9:$F$18896,"Standard")</f>
        <v>0</v>
      </c>
      <c r="F88" s="23" t="n">
        <f aca="false">SUMIFS(Verbrauch!$E$9:$E$18896,Verbrauch!$A$9:$A$18896,"&gt;="&amp;A88,Verbrauch!$A$9:$A$18896,"&lt;"&amp;B88)</f>
        <v>0</v>
      </c>
      <c r="G88" s="13" t="str">
        <f aca="false">IFERROR(F88/C88*100,"")</f>
        <v/>
      </c>
      <c r="H88" s="11" t="n">
        <f aca="false">COUNTIFS(Verbrauch!$A$9:$A$18896,"&gt;="&amp;A88,Verbrauch!$A$9:$A$18896,"&lt;"&amp;B88,Verbrauch!$C$9:$C$18896,"&lt;&gt;")</f>
        <v>0</v>
      </c>
    </row>
    <row r="89" customFormat="false" ht="13.5" hidden="false" customHeight="true" outlineLevel="0" collapsed="false">
      <c r="A89" s="10" t="n">
        <v>46050</v>
      </c>
      <c r="B89" s="10" t="n">
        <v>46051</v>
      </c>
      <c r="C89" s="22" t="n">
        <f aca="false">SUMIFS(Verbrauch!$C$9:$C$18896,Verbrauch!$A$9:$A$18896,"&gt;="&amp;A89,Verbrauch!$A$9:$A$18896,"&lt;"&amp;B89)</f>
        <v>0</v>
      </c>
      <c r="D89" s="22" t="n">
        <f aca="false">SUMIFS(Verbrauch!$C$9:$C$18896,Verbrauch!$A$9:$A$18896,"&gt;="&amp;A89,Verbrauch!$A$9:$A$18896,"&lt;"&amp;B89,Verbrauch!$F$9:$F$18896,"Go")</f>
        <v>0</v>
      </c>
      <c r="E89" s="22" t="n">
        <f aca="false">SUMIFS(Verbrauch!$C$9:$C$18896,Verbrauch!$A$9:$A$18896,"&gt;="&amp;A89,Verbrauch!$A$9:$A$18896,"&lt;"&amp;B89,Verbrauch!$F$9:$F$18896,"Standard")</f>
        <v>0</v>
      </c>
      <c r="F89" s="23" t="n">
        <f aca="false">SUMIFS(Verbrauch!$E$9:$E$18896,Verbrauch!$A$9:$A$18896,"&gt;="&amp;A89,Verbrauch!$A$9:$A$18896,"&lt;"&amp;B89)</f>
        <v>0</v>
      </c>
      <c r="G89" s="13" t="str">
        <f aca="false">IFERROR(F89/C89*100,"")</f>
        <v/>
      </c>
      <c r="H89" s="11" t="n">
        <f aca="false">COUNTIFS(Verbrauch!$A$9:$A$18896,"&gt;="&amp;A89,Verbrauch!$A$9:$A$18896,"&lt;"&amp;B89,Verbrauch!$C$9:$C$18896,"&lt;&gt;")</f>
        <v>0</v>
      </c>
    </row>
    <row r="90" customFormat="false" ht="13.5" hidden="false" customHeight="true" outlineLevel="0" collapsed="false">
      <c r="A90" s="10" t="n">
        <v>46051</v>
      </c>
      <c r="B90" s="10" t="n">
        <v>46052</v>
      </c>
      <c r="C90" s="22" t="n">
        <f aca="false">SUMIFS(Verbrauch!$C$9:$C$18896,Verbrauch!$A$9:$A$18896,"&gt;="&amp;A90,Verbrauch!$A$9:$A$18896,"&lt;"&amp;B90)</f>
        <v>0</v>
      </c>
      <c r="D90" s="22" t="n">
        <f aca="false">SUMIFS(Verbrauch!$C$9:$C$18896,Verbrauch!$A$9:$A$18896,"&gt;="&amp;A90,Verbrauch!$A$9:$A$18896,"&lt;"&amp;B90,Verbrauch!$F$9:$F$18896,"Go")</f>
        <v>0</v>
      </c>
      <c r="E90" s="22" t="n">
        <f aca="false">SUMIFS(Verbrauch!$C$9:$C$18896,Verbrauch!$A$9:$A$18896,"&gt;="&amp;A90,Verbrauch!$A$9:$A$18896,"&lt;"&amp;B90,Verbrauch!$F$9:$F$18896,"Standard")</f>
        <v>0</v>
      </c>
      <c r="F90" s="23" t="n">
        <f aca="false">SUMIFS(Verbrauch!$E$9:$E$18896,Verbrauch!$A$9:$A$18896,"&gt;="&amp;A90,Verbrauch!$A$9:$A$18896,"&lt;"&amp;B90)</f>
        <v>0</v>
      </c>
      <c r="G90" s="13" t="str">
        <f aca="false">IFERROR(F90/C90*100,"")</f>
        <v/>
      </c>
      <c r="H90" s="11" t="n">
        <f aca="false">COUNTIFS(Verbrauch!$A$9:$A$18896,"&gt;="&amp;A90,Verbrauch!$A$9:$A$18896,"&lt;"&amp;B90,Verbrauch!$C$9:$C$18896,"&lt;&gt;")</f>
        <v>0</v>
      </c>
    </row>
    <row r="91" customFormat="false" ht="13.5" hidden="false" customHeight="true" outlineLevel="0" collapsed="false">
      <c r="A91" s="10" t="n">
        <v>46052</v>
      </c>
      <c r="B91" s="10" t="n">
        <v>46053</v>
      </c>
      <c r="C91" s="22" t="n">
        <f aca="false">SUMIFS(Verbrauch!$C$9:$C$18896,Verbrauch!$A$9:$A$18896,"&gt;="&amp;A91,Verbrauch!$A$9:$A$18896,"&lt;"&amp;B91)</f>
        <v>0</v>
      </c>
      <c r="D91" s="22" t="n">
        <f aca="false">SUMIFS(Verbrauch!$C$9:$C$18896,Verbrauch!$A$9:$A$18896,"&gt;="&amp;A91,Verbrauch!$A$9:$A$18896,"&lt;"&amp;B91,Verbrauch!$F$9:$F$18896,"Go")</f>
        <v>0</v>
      </c>
      <c r="E91" s="22" t="n">
        <f aca="false">SUMIFS(Verbrauch!$C$9:$C$18896,Verbrauch!$A$9:$A$18896,"&gt;="&amp;A91,Verbrauch!$A$9:$A$18896,"&lt;"&amp;B91,Verbrauch!$F$9:$F$18896,"Standard")</f>
        <v>0</v>
      </c>
      <c r="F91" s="23" t="n">
        <f aca="false">SUMIFS(Verbrauch!$E$9:$E$18896,Verbrauch!$A$9:$A$18896,"&gt;="&amp;A91,Verbrauch!$A$9:$A$18896,"&lt;"&amp;B91)</f>
        <v>0</v>
      </c>
      <c r="G91" s="13" t="str">
        <f aca="false">IFERROR(F91/C91*100,"")</f>
        <v/>
      </c>
      <c r="H91" s="11" t="n">
        <f aca="false">COUNTIFS(Verbrauch!$A$9:$A$18896,"&gt;="&amp;A91,Verbrauch!$A$9:$A$18896,"&lt;"&amp;B91,Verbrauch!$C$9:$C$18896,"&lt;&gt;")</f>
        <v>0</v>
      </c>
    </row>
    <row r="92" customFormat="false" ht="13.5" hidden="false" customHeight="true" outlineLevel="0" collapsed="false">
      <c r="A92" s="10" t="n">
        <v>46053</v>
      </c>
      <c r="B92" s="10" t="n">
        <v>46054</v>
      </c>
      <c r="C92" s="22" t="n">
        <f aca="false">SUMIFS(Verbrauch!$C$9:$C$18896,Verbrauch!$A$9:$A$18896,"&gt;="&amp;A92,Verbrauch!$A$9:$A$18896,"&lt;"&amp;B92)</f>
        <v>0</v>
      </c>
      <c r="D92" s="22" t="n">
        <f aca="false">SUMIFS(Verbrauch!$C$9:$C$18896,Verbrauch!$A$9:$A$18896,"&gt;="&amp;A92,Verbrauch!$A$9:$A$18896,"&lt;"&amp;B92,Verbrauch!$F$9:$F$18896,"Go")</f>
        <v>0</v>
      </c>
      <c r="E92" s="22" t="n">
        <f aca="false">SUMIFS(Verbrauch!$C$9:$C$18896,Verbrauch!$A$9:$A$18896,"&gt;="&amp;A92,Verbrauch!$A$9:$A$18896,"&lt;"&amp;B92,Verbrauch!$F$9:$F$18896,"Standard")</f>
        <v>0</v>
      </c>
      <c r="F92" s="23" t="n">
        <f aca="false">SUMIFS(Verbrauch!$E$9:$E$18896,Verbrauch!$A$9:$A$18896,"&gt;="&amp;A92,Verbrauch!$A$9:$A$18896,"&lt;"&amp;B92)</f>
        <v>0</v>
      </c>
      <c r="G92" s="13" t="str">
        <f aca="false">IFERROR(F92/C92*100,"")</f>
        <v/>
      </c>
      <c r="H92" s="11" t="n">
        <f aca="false">COUNTIFS(Verbrauch!$A$9:$A$18896,"&gt;="&amp;A92,Verbrauch!$A$9:$A$18896,"&lt;"&amp;B92,Verbrauch!$C$9:$C$18896,"&lt;&gt;")</f>
        <v>0</v>
      </c>
    </row>
    <row r="93" customFormat="false" ht="13.5" hidden="false" customHeight="true" outlineLevel="0" collapsed="false">
      <c r="A93" s="10" t="n">
        <v>46054</v>
      </c>
      <c r="B93" s="10" t="n">
        <v>46055</v>
      </c>
      <c r="C93" s="22" t="n">
        <f aca="false">SUMIFS(Verbrauch!$C$9:$C$18896,Verbrauch!$A$9:$A$18896,"&gt;="&amp;A93,Verbrauch!$A$9:$A$18896,"&lt;"&amp;B93)</f>
        <v>0</v>
      </c>
      <c r="D93" s="22" t="n">
        <f aca="false">SUMIFS(Verbrauch!$C$9:$C$18896,Verbrauch!$A$9:$A$18896,"&gt;="&amp;A93,Verbrauch!$A$9:$A$18896,"&lt;"&amp;B93,Verbrauch!$F$9:$F$18896,"Go")</f>
        <v>0</v>
      </c>
      <c r="E93" s="22" t="n">
        <f aca="false">SUMIFS(Verbrauch!$C$9:$C$18896,Verbrauch!$A$9:$A$18896,"&gt;="&amp;A93,Verbrauch!$A$9:$A$18896,"&lt;"&amp;B93,Verbrauch!$F$9:$F$18896,"Standard")</f>
        <v>0</v>
      </c>
      <c r="F93" s="23" t="n">
        <f aca="false">SUMIFS(Verbrauch!$E$9:$E$18896,Verbrauch!$A$9:$A$18896,"&gt;="&amp;A93,Verbrauch!$A$9:$A$18896,"&lt;"&amp;B93)</f>
        <v>0</v>
      </c>
      <c r="G93" s="13" t="str">
        <f aca="false">IFERROR(F93/C93*100,"")</f>
        <v/>
      </c>
      <c r="H93" s="11" t="n">
        <f aca="false">COUNTIFS(Verbrauch!$A$9:$A$18896,"&gt;="&amp;A93,Verbrauch!$A$9:$A$18896,"&lt;"&amp;B93,Verbrauch!$C$9:$C$18896,"&lt;&gt;")</f>
        <v>0</v>
      </c>
    </row>
    <row r="94" customFormat="false" ht="13.5" hidden="false" customHeight="true" outlineLevel="0" collapsed="false">
      <c r="A94" s="10" t="n">
        <v>46055</v>
      </c>
      <c r="B94" s="10" t="n">
        <v>46056</v>
      </c>
      <c r="C94" s="22" t="n">
        <f aca="false">SUMIFS(Verbrauch!$C$9:$C$18896,Verbrauch!$A$9:$A$18896,"&gt;="&amp;A94,Verbrauch!$A$9:$A$18896,"&lt;"&amp;B94)</f>
        <v>0</v>
      </c>
      <c r="D94" s="22" t="n">
        <f aca="false">SUMIFS(Verbrauch!$C$9:$C$18896,Verbrauch!$A$9:$A$18896,"&gt;="&amp;A94,Verbrauch!$A$9:$A$18896,"&lt;"&amp;B94,Verbrauch!$F$9:$F$18896,"Go")</f>
        <v>0</v>
      </c>
      <c r="E94" s="22" t="n">
        <f aca="false">SUMIFS(Verbrauch!$C$9:$C$18896,Verbrauch!$A$9:$A$18896,"&gt;="&amp;A94,Verbrauch!$A$9:$A$18896,"&lt;"&amp;B94,Verbrauch!$F$9:$F$18896,"Standard")</f>
        <v>0</v>
      </c>
      <c r="F94" s="23" t="n">
        <f aca="false">SUMIFS(Verbrauch!$E$9:$E$18896,Verbrauch!$A$9:$A$18896,"&gt;="&amp;A94,Verbrauch!$A$9:$A$18896,"&lt;"&amp;B94)</f>
        <v>0</v>
      </c>
      <c r="G94" s="13" t="str">
        <f aca="false">IFERROR(F94/C94*100,"")</f>
        <v/>
      </c>
      <c r="H94" s="11" t="n">
        <f aca="false">COUNTIFS(Verbrauch!$A$9:$A$18896,"&gt;="&amp;A94,Verbrauch!$A$9:$A$18896,"&lt;"&amp;B94,Verbrauch!$C$9:$C$18896,"&lt;&gt;")</f>
        <v>0</v>
      </c>
    </row>
    <row r="95" customFormat="false" ht="13.5" hidden="false" customHeight="true" outlineLevel="0" collapsed="false">
      <c r="A95" s="10" t="n">
        <v>46056</v>
      </c>
      <c r="B95" s="10" t="n">
        <v>46057</v>
      </c>
      <c r="C95" s="22" t="n">
        <f aca="false">SUMIFS(Verbrauch!$C$9:$C$18896,Verbrauch!$A$9:$A$18896,"&gt;="&amp;A95,Verbrauch!$A$9:$A$18896,"&lt;"&amp;B95)</f>
        <v>0</v>
      </c>
      <c r="D95" s="22" t="n">
        <f aca="false">SUMIFS(Verbrauch!$C$9:$C$18896,Verbrauch!$A$9:$A$18896,"&gt;="&amp;A95,Verbrauch!$A$9:$A$18896,"&lt;"&amp;B95,Verbrauch!$F$9:$F$18896,"Go")</f>
        <v>0</v>
      </c>
      <c r="E95" s="22" t="n">
        <f aca="false">SUMIFS(Verbrauch!$C$9:$C$18896,Verbrauch!$A$9:$A$18896,"&gt;="&amp;A95,Verbrauch!$A$9:$A$18896,"&lt;"&amp;B95,Verbrauch!$F$9:$F$18896,"Standard")</f>
        <v>0</v>
      </c>
      <c r="F95" s="23" t="n">
        <f aca="false">SUMIFS(Verbrauch!$E$9:$E$18896,Verbrauch!$A$9:$A$18896,"&gt;="&amp;A95,Verbrauch!$A$9:$A$18896,"&lt;"&amp;B95)</f>
        <v>0</v>
      </c>
      <c r="G95" s="13" t="str">
        <f aca="false">IFERROR(F95/C95*100,"")</f>
        <v/>
      </c>
      <c r="H95" s="11" t="n">
        <f aca="false">COUNTIFS(Verbrauch!$A$9:$A$18896,"&gt;="&amp;A95,Verbrauch!$A$9:$A$18896,"&lt;"&amp;B95,Verbrauch!$C$9:$C$18896,"&lt;&gt;")</f>
        <v>0</v>
      </c>
    </row>
    <row r="96" customFormat="false" ht="13.5" hidden="false" customHeight="true" outlineLevel="0" collapsed="false">
      <c r="A96" s="10" t="n">
        <v>46057</v>
      </c>
      <c r="B96" s="10" t="n">
        <v>46058</v>
      </c>
      <c r="C96" s="22" t="n">
        <f aca="false">SUMIFS(Verbrauch!$C$9:$C$18896,Verbrauch!$A$9:$A$18896,"&gt;="&amp;A96,Verbrauch!$A$9:$A$18896,"&lt;"&amp;B96)</f>
        <v>0</v>
      </c>
      <c r="D96" s="22" t="n">
        <f aca="false">SUMIFS(Verbrauch!$C$9:$C$18896,Verbrauch!$A$9:$A$18896,"&gt;="&amp;A96,Verbrauch!$A$9:$A$18896,"&lt;"&amp;B96,Verbrauch!$F$9:$F$18896,"Go")</f>
        <v>0</v>
      </c>
      <c r="E96" s="22" t="n">
        <f aca="false">SUMIFS(Verbrauch!$C$9:$C$18896,Verbrauch!$A$9:$A$18896,"&gt;="&amp;A96,Verbrauch!$A$9:$A$18896,"&lt;"&amp;B96,Verbrauch!$F$9:$F$18896,"Standard")</f>
        <v>0</v>
      </c>
      <c r="F96" s="23" t="n">
        <f aca="false">SUMIFS(Verbrauch!$E$9:$E$18896,Verbrauch!$A$9:$A$18896,"&gt;="&amp;A96,Verbrauch!$A$9:$A$18896,"&lt;"&amp;B96)</f>
        <v>0</v>
      </c>
      <c r="G96" s="13" t="str">
        <f aca="false">IFERROR(F96/C96*100,"")</f>
        <v/>
      </c>
      <c r="H96" s="11" t="n">
        <f aca="false">COUNTIFS(Verbrauch!$A$9:$A$18896,"&gt;="&amp;A96,Verbrauch!$A$9:$A$18896,"&lt;"&amp;B96,Verbrauch!$C$9:$C$18896,"&lt;&gt;")</f>
        <v>0</v>
      </c>
    </row>
    <row r="97" customFormat="false" ht="13.5" hidden="false" customHeight="true" outlineLevel="0" collapsed="false">
      <c r="A97" s="10" t="n">
        <v>46058</v>
      </c>
      <c r="B97" s="10" t="n">
        <v>46059</v>
      </c>
      <c r="C97" s="22" t="n">
        <f aca="false">SUMIFS(Verbrauch!$C$9:$C$18896,Verbrauch!$A$9:$A$18896,"&gt;="&amp;A97,Verbrauch!$A$9:$A$18896,"&lt;"&amp;B97)</f>
        <v>0</v>
      </c>
      <c r="D97" s="22" t="n">
        <f aca="false">SUMIFS(Verbrauch!$C$9:$C$18896,Verbrauch!$A$9:$A$18896,"&gt;="&amp;A97,Verbrauch!$A$9:$A$18896,"&lt;"&amp;B97,Verbrauch!$F$9:$F$18896,"Go")</f>
        <v>0</v>
      </c>
      <c r="E97" s="22" t="n">
        <f aca="false">SUMIFS(Verbrauch!$C$9:$C$18896,Verbrauch!$A$9:$A$18896,"&gt;="&amp;A97,Verbrauch!$A$9:$A$18896,"&lt;"&amp;B97,Verbrauch!$F$9:$F$18896,"Standard")</f>
        <v>0</v>
      </c>
      <c r="F97" s="23" t="n">
        <f aca="false">SUMIFS(Verbrauch!$E$9:$E$18896,Verbrauch!$A$9:$A$18896,"&gt;="&amp;A97,Verbrauch!$A$9:$A$18896,"&lt;"&amp;B97)</f>
        <v>0</v>
      </c>
      <c r="G97" s="13" t="str">
        <f aca="false">IFERROR(F97/C97*100,"")</f>
        <v/>
      </c>
      <c r="H97" s="11" t="n">
        <f aca="false">COUNTIFS(Verbrauch!$A$9:$A$18896,"&gt;="&amp;A97,Verbrauch!$A$9:$A$18896,"&lt;"&amp;B97,Verbrauch!$C$9:$C$18896,"&lt;&gt;")</f>
        <v>0</v>
      </c>
    </row>
    <row r="98" customFormat="false" ht="13.5" hidden="false" customHeight="true" outlineLevel="0" collapsed="false">
      <c r="A98" s="10" t="n">
        <v>46059</v>
      </c>
      <c r="B98" s="10" t="n">
        <v>46060</v>
      </c>
      <c r="C98" s="22" t="n">
        <f aca="false">SUMIFS(Verbrauch!$C$9:$C$18896,Verbrauch!$A$9:$A$18896,"&gt;="&amp;A98,Verbrauch!$A$9:$A$18896,"&lt;"&amp;B98)</f>
        <v>0</v>
      </c>
      <c r="D98" s="22" t="n">
        <f aca="false">SUMIFS(Verbrauch!$C$9:$C$18896,Verbrauch!$A$9:$A$18896,"&gt;="&amp;A98,Verbrauch!$A$9:$A$18896,"&lt;"&amp;B98,Verbrauch!$F$9:$F$18896,"Go")</f>
        <v>0</v>
      </c>
      <c r="E98" s="22" t="n">
        <f aca="false">SUMIFS(Verbrauch!$C$9:$C$18896,Verbrauch!$A$9:$A$18896,"&gt;="&amp;A98,Verbrauch!$A$9:$A$18896,"&lt;"&amp;B98,Verbrauch!$F$9:$F$18896,"Standard")</f>
        <v>0</v>
      </c>
      <c r="F98" s="23" t="n">
        <f aca="false">SUMIFS(Verbrauch!$E$9:$E$18896,Verbrauch!$A$9:$A$18896,"&gt;="&amp;A98,Verbrauch!$A$9:$A$18896,"&lt;"&amp;B98)</f>
        <v>0</v>
      </c>
      <c r="G98" s="13" t="str">
        <f aca="false">IFERROR(F98/C98*100,"")</f>
        <v/>
      </c>
      <c r="H98" s="11" t="n">
        <f aca="false">COUNTIFS(Verbrauch!$A$9:$A$18896,"&gt;="&amp;A98,Verbrauch!$A$9:$A$18896,"&lt;"&amp;B98,Verbrauch!$C$9:$C$18896,"&lt;&gt;")</f>
        <v>0</v>
      </c>
    </row>
    <row r="99" customFormat="false" ht="13.5" hidden="false" customHeight="true" outlineLevel="0" collapsed="false">
      <c r="A99" s="10" t="n">
        <v>46060</v>
      </c>
      <c r="B99" s="10" t="n">
        <v>46061</v>
      </c>
      <c r="C99" s="22" t="n">
        <f aca="false">SUMIFS(Verbrauch!$C$9:$C$18896,Verbrauch!$A$9:$A$18896,"&gt;="&amp;A99,Verbrauch!$A$9:$A$18896,"&lt;"&amp;B99)</f>
        <v>0</v>
      </c>
      <c r="D99" s="22" t="n">
        <f aca="false">SUMIFS(Verbrauch!$C$9:$C$18896,Verbrauch!$A$9:$A$18896,"&gt;="&amp;A99,Verbrauch!$A$9:$A$18896,"&lt;"&amp;B99,Verbrauch!$F$9:$F$18896,"Go")</f>
        <v>0</v>
      </c>
      <c r="E99" s="22" t="n">
        <f aca="false">SUMIFS(Verbrauch!$C$9:$C$18896,Verbrauch!$A$9:$A$18896,"&gt;="&amp;A99,Verbrauch!$A$9:$A$18896,"&lt;"&amp;B99,Verbrauch!$F$9:$F$18896,"Standard")</f>
        <v>0</v>
      </c>
      <c r="F99" s="23" t="n">
        <f aca="false">SUMIFS(Verbrauch!$E$9:$E$18896,Verbrauch!$A$9:$A$18896,"&gt;="&amp;A99,Verbrauch!$A$9:$A$18896,"&lt;"&amp;B99)</f>
        <v>0</v>
      </c>
      <c r="G99" s="13" t="str">
        <f aca="false">IFERROR(F99/C99*100,"")</f>
        <v/>
      </c>
      <c r="H99" s="11" t="n">
        <f aca="false">COUNTIFS(Verbrauch!$A$9:$A$18896,"&gt;="&amp;A99,Verbrauch!$A$9:$A$18896,"&lt;"&amp;B99,Verbrauch!$C$9:$C$18896,"&lt;&gt;")</f>
        <v>0</v>
      </c>
    </row>
    <row r="100" customFormat="false" ht="13.5" hidden="false" customHeight="true" outlineLevel="0" collapsed="false">
      <c r="A100" s="10" t="n">
        <v>46061</v>
      </c>
      <c r="B100" s="10" t="n">
        <v>46062</v>
      </c>
      <c r="C100" s="22" t="n">
        <f aca="false">SUMIFS(Verbrauch!$C$9:$C$18896,Verbrauch!$A$9:$A$18896,"&gt;="&amp;A100,Verbrauch!$A$9:$A$18896,"&lt;"&amp;B100)</f>
        <v>0</v>
      </c>
      <c r="D100" s="22" t="n">
        <f aca="false">SUMIFS(Verbrauch!$C$9:$C$18896,Verbrauch!$A$9:$A$18896,"&gt;="&amp;A100,Verbrauch!$A$9:$A$18896,"&lt;"&amp;B100,Verbrauch!$F$9:$F$18896,"Go")</f>
        <v>0</v>
      </c>
      <c r="E100" s="22" t="n">
        <f aca="false">SUMIFS(Verbrauch!$C$9:$C$18896,Verbrauch!$A$9:$A$18896,"&gt;="&amp;A100,Verbrauch!$A$9:$A$18896,"&lt;"&amp;B100,Verbrauch!$F$9:$F$18896,"Standard")</f>
        <v>0</v>
      </c>
      <c r="F100" s="23" t="n">
        <f aca="false">SUMIFS(Verbrauch!$E$9:$E$18896,Verbrauch!$A$9:$A$18896,"&gt;="&amp;A100,Verbrauch!$A$9:$A$18896,"&lt;"&amp;B100)</f>
        <v>0</v>
      </c>
      <c r="G100" s="13" t="str">
        <f aca="false">IFERROR(F100/C100*100,"")</f>
        <v/>
      </c>
      <c r="H100" s="11" t="n">
        <f aca="false">COUNTIFS(Verbrauch!$A$9:$A$18896,"&gt;="&amp;A100,Verbrauch!$A$9:$A$18896,"&lt;"&amp;B100,Verbrauch!$C$9:$C$18896,"&lt;&gt;")</f>
        <v>0</v>
      </c>
    </row>
    <row r="101" customFormat="false" ht="13.5" hidden="false" customHeight="true" outlineLevel="0" collapsed="false">
      <c r="A101" s="10" t="n">
        <v>46062</v>
      </c>
      <c r="B101" s="10" t="n">
        <v>46063</v>
      </c>
      <c r="C101" s="22" t="n">
        <f aca="false">SUMIFS(Verbrauch!$C$9:$C$18896,Verbrauch!$A$9:$A$18896,"&gt;="&amp;A101,Verbrauch!$A$9:$A$18896,"&lt;"&amp;B101)</f>
        <v>0</v>
      </c>
      <c r="D101" s="22" t="n">
        <f aca="false">SUMIFS(Verbrauch!$C$9:$C$18896,Verbrauch!$A$9:$A$18896,"&gt;="&amp;A101,Verbrauch!$A$9:$A$18896,"&lt;"&amp;B101,Verbrauch!$F$9:$F$18896,"Go")</f>
        <v>0</v>
      </c>
      <c r="E101" s="22" t="n">
        <f aca="false">SUMIFS(Verbrauch!$C$9:$C$18896,Verbrauch!$A$9:$A$18896,"&gt;="&amp;A101,Verbrauch!$A$9:$A$18896,"&lt;"&amp;B101,Verbrauch!$F$9:$F$18896,"Standard")</f>
        <v>0</v>
      </c>
      <c r="F101" s="23" t="n">
        <f aca="false">SUMIFS(Verbrauch!$E$9:$E$18896,Verbrauch!$A$9:$A$18896,"&gt;="&amp;A101,Verbrauch!$A$9:$A$18896,"&lt;"&amp;B101)</f>
        <v>0</v>
      </c>
      <c r="G101" s="13" t="str">
        <f aca="false">IFERROR(F101/C101*100,"")</f>
        <v/>
      </c>
      <c r="H101" s="11" t="n">
        <f aca="false">COUNTIFS(Verbrauch!$A$9:$A$18896,"&gt;="&amp;A101,Verbrauch!$A$9:$A$18896,"&lt;"&amp;B101,Verbrauch!$C$9:$C$18896,"&lt;&gt;")</f>
        <v>0</v>
      </c>
    </row>
    <row r="102" customFormat="false" ht="13.5" hidden="false" customHeight="true" outlineLevel="0" collapsed="false">
      <c r="A102" s="10" t="n">
        <v>46063</v>
      </c>
      <c r="B102" s="10" t="n">
        <v>46064</v>
      </c>
      <c r="C102" s="22" t="n">
        <f aca="false">SUMIFS(Verbrauch!$C$9:$C$18896,Verbrauch!$A$9:$A$18896,"&gt;="&amp;A102,Verbrauch!$A$9:$A$18896,"&lt;"&amp;B102)</f>
        <v>0</v>
      </c>
      <c r="D102" s="22" t="n">
        <f aca="false">SUMIFS(Verbrauch!$C$9:$C$18896,Verbrauch!$A$9:$A$18896,"&gt;="&amp;A102,Verbrauch!$A$9:$A$18896,"&lt;"&amp;B102,Verbrauch!$F$9:$F$18896,"Go")</f>
        <v>0</v>
      </c>
      <c r="E102" s="22" t="n">
        <f aca="false">SUMIFS(Verbrauch!$C$9:$C$18896,Verbrauch!$A$9:$A$18896,"&gt;="&amp;A102,Verbrauch!$A$9:$A$18896,"&lt;"&amp;B102,Verbrauch!$F$9:$F$18896,"Standard")</f>
        <v>0</v>
      </c>
      <c r="F102" s="23" t="n">
        <f aca="false">SUMIFS(Verbrauch!$E$9:$E$18896,Verbrauch!$A$9:$A$18896,"&gt;="&amp;A102,Verbrauch!$A$9:$A$18896,"&lt;"&amp;B102)</f>
        <v>0</v>
      </c>
      <c r="G102" s="13" t="str">
        <f aca="false">IFERROR(F102/C102*100,"")</f>
        <v/>
      </c>
      <c r="H102" s="11" t="n">
        <f aca="false">COUNTIFS(Verbrauch!$A$9:$A$18896,"&gt;="&amp;A102,Verbrauch!$A$9:$A$18896,"&lt;"&amp;B102,Verbrauch!$C$9:$C$18896,"&lt;&gt;")</f>
        <v>0</v>
      </c>
    </row>
    <row r="103" customFormat="false" ht="13.5" hidden="false" customHeight="true" outlineLevel="0" collapsed="false">
      <c r="A103" s="10" t="n">
        <v>46064</v>
      </c>
      <c r="B103" s="10" t="n">
        <v>46065</v>
      </c>
      <c r="C103" s="22" t="n">
        <f aca="false">SUMIFS(Verbrauch!$C$9:$C$18896,Verbrauch!$A$9:$A$18896,"&gt;="&amp;A103,Verbrauch!$A$9:$A$18896,"&lt;"&amp;B103)</f>
        <v>0</v>
      </c>
      <c r="D103" s="22" t="n">
        <f aca="false">SUMIFS(Verbrauch!$C$9:$C$18896,Verbrauch!$A$9:$A$18896,"&gt;="&amp;A103,Verbrauch!$A$9:$A$18896,"&lt;"&amp;B103,Verbrauch!$F$9:$F$18896,"Go")</f>
        <v>0</v>
      </c>
      <c r="E103" s="22" t="n">
        <f aca="false">SUMIFS(Verbrauch!$C$9:$C$18896,Verbrauch!$A$9:$A$18896,"&gt;="&amp;A103,Verbrauch!$A$9:$A$18896,"&lt;"&amp;B103,Verbrauch!$F$9:$F$18896,"Standard")</f>
        <v>0</v>
      </c>
      <c r="F103" s="23" t="n">
        <f aca="false">SUMIFS(Verbrauch!$E$9:$E$18896,Verbrauch!$A$9:$A$18896,"&gt;="&amp;A103,Verbrauch!$A$9:$A$18896,"&lt;"&amp;B103)</f>
        <v>0</v>
      </c>
      <c r="G103" s="13" t="str">
        <f aca="false">IFERROR(F103/C103*100,"")</f>
        <v/>
      </c>
      <c r="H103" s="11" t="n">
        <f aca="false">COUNTIFS(Verbrauch!$A$9:$A$18896,"&gt;="&amp;A103,Verbrauch!$A$9:$A$18896,"&lt;"&amp;B103,Verbrauch!$C$9:$C$18896,"&lt;&gt;")</f>
        <v>0</v>
      </c>
    </row>
    <row r="104" customFormat="false" ht="13.5" hidden="false" customHeight="true" outlineLevel="0" collapsed="false">
      <c r="A104" s="10" t="n">
        <v>46065</v>
      </c>
      <c r="B104" s="10" t="n">
        <v>46066</v>
      </c>
      <c r="C104" s="22" t="n">
        <f aca="false">SUMIFS(Verbrauch!$C$9:$C$18896,Verbrauch!$A$9:$A$18896,"&gt;="&amp;A104,Verbrauch!$A$9:$A$18896,"&lt;"&amp;B104)</f>
        <v>0</v>
      </c>
      <c r="D104" s="22" t="n">
        <f aca="false">SUMIFS(Verbrauch!$C$9:$C$18896,Verbrauch!$A$9:$A$18896,"&gt;="&amp;A104,Verbrauch!$A$9:$A$18896,"&lt;"&amp;B104,Verbrauch!$F$9:$F$18896,"Go")</f>
        <v>0</v>
      </c>
      <c r="E104" s="22" t="n">
        <f aca="false">SUMIFS(Verbrauch!$C$9:$C$18896,Verbrauch!$A$9:$A$18896,"&gt;="&amp;A104,Verbrauch!$A$9:$A$18896,"&lt;"&amp;B104,Verbrauch!$F$9:$F$18896,"Standard")</f>
        <v>0</v>
      </c>
      <c r="F104" s="23" t="n">
        <f aca="false">SUMIFS(Verbrauch!$E$9:$E$18896,Verbrauch!$A$9:$A$18896,"&gt;="&amp;A104,Verbrauch!$A$9:$A$18896,"&lt;"&amp;B104)</f>
        <v>0</v>
      </c>
      <c r="G104" s="13" t="str">
        <f aca="false">IFERROR(F104/C104*100,"")</f>
        <v/>
      </c>
      <c r="H104" s="11" t="n">
        <f aca="false">COUNTIFS(Verbrauch!$A$9:$A$18896,"&gt;="&amp;A104,Verbrauch!$A$9:$A$18896,"&lt;"&amp;B104,Verbrauch!$C$9:$C$18896,"&lt;&gt;")</f>
        <v>0</v>
      </c>
    </row>
    <row r="105" customFormat="false" ht="13.5" hidden="false" customHeight="true" outlineLevel="0" collapsed="false">
      <c r="A105" s="10" t="n">
        <v>46066</v>
      </c>
      <c r="B105" s="10" t="n">
        <v>46067</v>
      </c>
      <c r="C105" s="22" t="n">
        <f aca="false">SUMIFS(Verbrauch!$C$9:$C$18896,Verbrauch!$A$9:$A$18896,"&gt;="&amp;A105,Verbrauch!$A$9:$A$18896,"&lt;"&amp;B105)</f>
        <v>0</v>
      </c>
      <c r="D105" s="22" t="n">
        <f aca="false">SUMIFS(Verbrauch!$C$9:$C$18896,Verbrauch!$A$9:$A$18896,"&gt;="&amp;A105,Verbrauch!$A$9:$A$18896,"&lt;"&amp;B105,Verbrauch!$F$9:$F$18896,"Go")</f>
        <v>0</v>
      </c>
      <c r="E105" s="22" t="n">
        <f aca="false">SUMIFS(Verbrauch!$C$9:$C$18896,Verbrauch!$A$9:$A$18896,"&gt;="&amp;A105,Verbrauch!$A$9:$A$18896,"&lt;"&amp;B105,Verbrauch!$F$9:$F$18896,"Standard")</f>
        <v>0</v>
      </c>
      <c r="F105" s="23" t="n">
        <f aca="false">SUMIFS(Verbrauch!$E$9:$E$18896,Verbrauch!$A$9:$A$18896,"&gt;="&amp;A105,Verbrauch!$A$9:$A$18896,"&lt;"&amp;B105)</f>
        <v>0</v>
      </c>
      <c r="G105" s="13" t="str">
        <f aca="false">IFERROR(F105/C105*100,"")</f>
        <v/>
      </c>
      <c r="H105" s="11" t="n">
        <f aca="false">COUNTIFS(Verbrauch!$A$9:$A$18896,"&gt;="&amp;A105,Verbrauch!$A$9:$A$18896,"&lt;"&amp;B105,Verbrauch!$C$9:$C$18896,"&lt;&gt;")</f>
        <v>0</v>
      </c>
    </row>
    <row r="106" customFormat="false" ht="13.5" hidden="false" customHeight="true" outlineLevel="0" collapsed="false">
      <c r="A106" s="10" t="n">
        <v>46067</v>
      </c>
      <c r="B106" s="10" t="n">
        <v>46068</v>
      </c>
      <c r="C106" s="22" t="n">
        <f aca="false">SUMIFS(Verbrauch!$C$9:$C$18896,Verbrauch!$A$9:$A$18896,"&gt;="&amp;A106,Verbrauch!$A$9:$A$18896,"&lt;"&amp;B106)</f>
        <v>0</v>
      </c>
      <c r="D106" s="22" t="n">
        <f aca="false">SUMIFS(Verbrauch!$C$9:$C$18896,Verbrauch!$A$9:$A$18896,"&gt;="&amp;A106,Verbrauch!$A$9:$A$18896,"&lt;"&amp;B106,Verbrauch!$F$9:$F$18896,"Go")</f>
        <v>0</v>
      </c>
      <c r="E106" s="22" t="n">
        <f aca="false">SUMIFS(Verbrauch!$C$9:$C$18896,Verbrauch!$A$9:$A$18896,"&gt;="&amp;A106,Verbrauch!$A$9:$A$18896,"&lt;"&amp;B106,Verbrauch!$F$9:$F$18896,"Standard")</f>
        <v>0</v>
      </c>
      <c r="F106" s="23" t="n">
        <f aca="false">SUMIFS(Verbrauch!$E$9:$E$18896,Verbrauch!$A$9:$A$18896,"&gt;="&amp;A106,Verbrauch!$A$9:$A$18896,"&lt;"&amp;B106)</f>
        <v>0</v>
      </c>
      <c r="G106" s="13" t="str">
        <f aca="false">IFERROR(F106/C106*100,"")</f>
        <v/>
      </c>
      <c r="H106" s="11" t="n">
        <f aca="false">COUNTIFS(Verbrauch!$A$9:$A$18896,"&gt;="&amp;A106,Verbrauch!$A$9:$A$18896,"&lt;"&amp;B106,Verbrauch!$C$9:$C$18896,"&lt;&gt;")</f>
        <v>0</v>
      </c>
    </row>
    <row r="107" customFormat="false" ht="13.5" hidden="false" customHeight="true" outlineLevel="0" collapsed="false">
      <c r="A107" s="10" t="n">
        <v>46068</v>
      </c>
      <c r="B107" s="10" t="n">
        <v>46069</v>
      </c>
      <c r="C107" s="22" t="n">
        <f aca="false">SUMIFS(Verbrauch!$C$9:$C$18896,Verbrauch!$A$9:$A$18896,"&gt;="&amp;A107,Verbrauch!$A$9:$A$18896,"&lt;"&amp;B107)</f>
        <v>0</v>
      </c>
      <c r="D107" s="22" t="n">
        <f aca="false">SUMIFS(Verbrauch!$C$9:$C$18896,Verbrauch!$A$9:$A$18896,"&gt;="&amp;A107,Verbrauch!$A$9:$A$18896,"&lt;"&amp;B107,Verbrauch!$F$9:$F$18896,"Go")</f>
        <v>0</v>
      </c>
      <c r="E107" s="22" t="n">
        <f aca="false">SUMIFS(Verbrauch!$C$9:$C$18896,Verbrauch!$A$9:$A$18896,"&gt;="&amp;A107,Verbrauch!$A$9:$A$18896,"&lt;"&amp;B107,Verbrauch!$F$9:$F$18896,"Standard")</f>
        <v>0</v>
      </c>
      <c r="F107" s="23" t="n">
        <f aca="false">SUMIFS(Verbrauch!$E$9:$E$18896,Verbrauch!$A$9:$A$18896,"&gt;="&amp;A107,Verbrauch!$A$9:$A$18896,"&lt;"&amp;B107)</f>
        <v>0</v>
      </c>
      <c r="G107" s="13" t="str">
        <f aca="false">IFERROR(F107/C107*100,"")</f>
        <v/>
      </c>
      <c r="H107" s="11" t="n">
        <f aca="false">COUNTIFS(Verbrauch!$A$9:$A$18896,"&gt;="&amp;A107,Verbrauch!$A$9:$A$18896,"&lt;"&amp;B107,Verbrauch!$C$9:$C$18896,"&lt;&gt;")</f>
        <v>0</v>
      </c>
    </row>
    <row r="108" customFormat="false" ht="13.5" hidden="false" customHeight="true" outlineLevel="0" collapsed="false">
      <c r="A108" s="10" t="n">
        <v>46069</v>
      </c>
      <c r="B108" s="10" t="n">
        <v>46070</v>
      </c>
      <c r="C108" s="22" t="n">
        <f aca="false">SUMIFS(Verbrauch!$C$9:$C$18896,Verbrauch!$A$9:$A$18896,"&gt;="&amp;A108,Verbrauch!$A$9:$A$18896,"&lt;"&amp;B108)</f>
        <v>0</v>
      </c>
      <c r="D108" s="22" t="n">
        <f aca="false">SUMIFS(Verbrauch!$C$9:$C$18896,Verbrauch!$A$9:$A$18896,"&gt;="&amp;A108,Verbrauch!$A$9:$A$18896,"&lt;"&amp;B108,Verbrauch!$F$9:$F$18896,"Go")</f>
        <v>0</v>
      </c>
      <c r="E108" s="22" t="n">
        <f aca="false">SUMIFS(Verbrauch!$C$9:$C$18896,Verbrauch!$A$9:$A$18896,"&gt;="&amp;A108,Verbrauch!$A$9:$A$18896,"&lt;"&amp;B108,Verbrauch!$F$9:$F$18896,"Standard")</f>
        <v>0</v>
      </c>
      <c r="F108" s="23" t="n">
        <f aca="false">SUMIFS(Verbrauch!$E$9:$E$18896,Verbrauch!$A$9:$A$18896,"&gt;="&amp;A108,Verbrauch!$A$9:$A$18896,"&lt;"&amp;B108)</f>
        <v>0</v>
      </c>
      <c r="G108" s="13" t="str">
        <f aca="false">IFERROR(F108/C108*100,"")</f>
        <v/>
      </c>
      <c r="H108" s="11" t="n">
        <f aca="false">COUNTIFS(Verbrauch!$A$9:$A$18896,"&gt;="&amp;A108,Verbrauch!$A$9:$A$18896,"&lt;"&amp;B108,Verbrauch!$C$9:$C$18896,"&lt;&gt;")</f>
        <v>0</v>
      </c>
    </row>
    <row r="109" customFormat="false" ht="13.5" hidden="false" customHeight="true" outlineLevel="0" collapsed="false">
      <c r="A109" s="10" t="n">
        <v>46070</v>
      </c>
      <c r="B109" s="10" t="n">
        <v>46071</v>
      </c>
      <c r="C109" s="22" t="n">
        <f aca="false">SUMIFS(Verbrauch!$C$9:$C$18896,Verbrauch!$A$9:$A$18896,"&gt;="&amp;A109,Verbrauch!$A$9:$A$18896,"&lt;"&amp;B109)</f>
        <v>0</v>
      </c>
      <c r="D109" s="22" t="n">
        <f aca="false">SUMIFS(Verbrauch!$C$9:$C$18896,Verbrauch!$A$9:$A$18896,"&gt;="&amp;A109,Verbrauch!$A$9:$A$18896,"&lt;"&amp;B109,Verbrauch!$F$9:$F$18896,"Go")</f>
        <v>0</v>
      </c>
      <c r="E109" s="22" t="n">
        <f aca="false">SUMIFS(Verbrauch!$C$9:$C$18896,Verbrauch!$A$9:$A$18896,"&gt;="&amp;A109,Verbrauch!$A$9:$A$18896,"&lt;"&amp;B109,Verbrauch!$F$9:$F$18896,"Standard")</f>
        <v>0</v>
      </c>
      <c r="F109" s="23" t="n">
        <f aca="false">SUMIFS(Verbrauch!$E$9:$E$18896,Verbrauch!$A$9:$A$18896,"&gt;="&amp;A109,Verbrauch!$A$9:$A$18896,"&lt;"&amp;B109)</f>
        <v>0</v>
      </c>
      <c r="G109" s="13" t="str">
        <f aca="false">IFERROR(F109/C109*100,"")</f>
        <v/>
      </c>
      <c r="H109" s="11" t="n">
        <f aca="false">COUNTIFS(Verbrauch!$A$9:$A$18896,"&gt;="&amp;A109,Verbrauch!$A$9:$A$18896,"&lt;"&amp;B109,Verbrauch!$C$9:$C$18896,"&lt;&gt;")</f>
        <v>0</v>
      </c>
    </row>
    <row r="110" customFormat="false" ht="13.5" hidden="false" customHeight="true" outlineLevel="0" collapsed="false">
      <c r="A110" s="10" t="n">
        <v>46071</v>
      </c>
      <c r="B110" s="10" t="n">
        <v>46072</v>
      </c>
      <c r="C110" s="22" t="n">
        <f aca="false">SUMIFS(Verbrauch!$C$9:$C$18896,Verbrauch!$A$9:$A$18896,"&gt;="&amp;A110,Verbrauch!$A$9:$A$18896,"&lt;"&amp;B110)</f>
        <v>0</v>
      </c>
      <c r="D110" s="22" t="n">
        <f aca="false">SUMIFS(Verbrauch!$C$9:$C$18896,Verbrauch!$A$9:$A$18896,"&gt;="&amp;A110,Verbrauch!$A$9:$A$18896,"&lt;"&amp;B110,Verbrauch!$F$9:$F$18896,"Go")</f>
        <v>0</v>
      </c>
      <c r="E110" s="22" t="n">
        <f aca="false">SUMIFS(Verbrauch!$C$9:$C$18896,Verbrauch!$A$9:$A$18896,"&gt;="&amp;A110,Verbrauch!$A$9:$A$18896,"&lt;"&amp;B110,Verbrauch!$F$9:$F$18896,"Standard")</f>
        <v>0</v>
      </c>
      <c r="F110" s="23" t="n">
        <f aca="false">SUMIFS(Verbrauch!$E$9:$E$18896,Verbrauch!$A$9:$A$18896,"&gt;="&amp;A110,Verbrauch!$A$9:$A$18896,"&lt;"&amp;B110)</f>
        <v>0</v>
      </c>
      <c r="G110" s="13" t="str">
        <f aca="false">IFERROR(F110/C110*100,"")</f>
        <v/>
      </c>
      <c r="H110" s="11" t="n">
        <f aca="false">COUNTIFS(Verbrauch!$A$9:$A$18896,"&gt;="&amp;A110,Verbrauch!$A$9:$A$18896,"&lt;"&amp;B110,Verbrauch!$C$9:$C$18896,"&lt;&gt;")</f>
        <v>0</v>
      </c>
    </row>
    <row r="111" customFormat="false" ht="13.5" hidden="false" customHeight="true" outlineLevel="0" collapsed="false">
      <c r="A111" s="10" t="n">
        <v>46072</v>
      </c>
      <c r="B111" s="10" t="n">
        <v>46073</v>
      </c>
      <c r="C111" s="22" t="n">
        <f aca="false">SUMIFS(Verbrauch!$C$9:$C$18896,Verbrauch!$A$9:$A$18896,"&gt;="&amp;A111,Verbrauch!$A$9:$A$18896,"&lt;"&amp;B111)</f>
        <v>0</v>
      </c>
      <c r="D111" s="22" t="n">
        <f aca="false">SUMIFS(Verbrauch!$C$9:$C$18896,Verbrauch!$A$9:$A$18896,"&gt;="&amp;A111,Verbrauch!$A$9:$A$18896,"&lt;"&amp;B111,Verbrauch!$F$9:$F$18896,"Go")</f>
        <v>0</v>
      </c>
      <c r="E111" s="22" t="n">
        <f aca="false">SUMIFS(Verbrauch!$C$9:$C$18896,Verbrauch!$A$9:$A$18896,"&gt;="&amp;A111,Verbrauch!$A$9:$A$18896,"&lt;"&amp;B111,Verbrauch!$F$9:$F$18896,"Standard")</f>
        <v>0</v>
      </c>
      <c r="F111" s="23" t="n">
        <f aca="false">SUMIFS(Verbrauch!$E$9:$E$18896,Verbrauch!$A$9:$A$18896,"&gt;="&amp;A111,Verbrauch!$A$9:$A$18896,"&lt;"&amp;B111)</f>
        <v>0</v>
      </c>
      <c r="G111" s="13" t="str">
        <f aca="false">IFERROR(F111/C111*100,"")</f>
        <v/>
      </c>
      <c r="H111" s="11" t="n">
        <f aca="false">COUNTIFS(Verbrauch!$A$9:$A$18896,"&gt;="&amp;A111,Verbrauch!$A$9:$A$18896,"&lt;"&amp;B111,Verbrauch!$C$9:$C$18896,"&lt;&gt;")</f>
        <v>0</v>
      </c>
    </row>
    <row r="112" customFormat="false" ht="13.5" hidden="false" customHeight="true" outlineLevel="0" collapsed="false">
      <c r="A112" s="10" t="n">
        <v>46073</v>
      </c>
      <c r="B112" s="10" t="n">
        <v>46074</v>
      </c>
      <c r="C112" s="22" t="n">
        <f aca="false">SUMIFS(Verbrauch!$C$9:$C$18896,Verbrauch!$A$9:$A$18896,"&gt;="&amp;A112,Verbrauch!$A$9:$A$18896,"&lt;"&amp;B112)</f>
        <v>0</v>
      </c>
      <c r="D112" s="22" t="n">
        <f aca="false">SUMIFS(Verbrauch!$C$9:$C$18896,Verbrauch!$A$9:$A$18896,"&gt;="&amp;A112,Verbrauch!$A$9:$A$18896,"&lt;"&amp;B112,Verbrauch!$F$9:$F$18896,"Go")</f>
        <v>0</v>
      </c>
      <c r="E112" s="22" t="n">
        <f aca="false">SUMIFS(Verbrauch!$C$9:$C$18896,Verbrauch!$A$9:$A$18896,"&gt;="&amp;A112,Verbrauch!$A$9:$A$18896,"&lt;"&amp;B112,Verbrauch!$F$9:$F$18896,"Standard")</f>
        <v>0</v>
      </c>
      <c r="F112" s="23" t="n">
        <f aca="false">SUMIFS(Verbrauch!$E$9:$E$18896,Verbrauch!$A$9:$A$18896,"&gt;="&amp;A112,Verbrauch!$A$9:$A$18896,"&lt;"&amp;B112)</f>
        <v>0</v>
      </c>
      <c r="G112" s="13" t="str">
        <f aca="false">IFERROR(F112/C112*100,"")</f>
        <v/>
      </c>
      <c r="H112" s="11" t="n">
        <f aca="false">COUNTIFS(Verbrauch!$A$9:$A$18896,"&gt;="&amp;A112,Verbrauch!$A$9:$A$18896,"&lt;"&amp;B112,Verbrauch!$C$9:$C$18896,"&lt;&gt;")</f>
        <v>0</v>
      </c>
    </row>
    <row r="113" customFormat="false" ht="13.5" hidden="false" customHeight="true" outlineLevel="0" collapsed="false">
      <c r="A113" s="10" t="n">
        <v>46074</v>
      </c>
      <c r="B113" s="10" t="n">
        <v>46075</v>
      </c>
      <c r="C113" s="22" t="n">
        <f aca="false">SUMIFS(Verbrauch!$C$9:$C$18896,Verbrauch!$A$9:$A$18896,"&gt;="&amp;A113,Verbrauch!$A$9:$A$18896,"&lt;"&amp;B113)</f>
        <v>0</v>
      </c>
      <c r="D113" s="22" t="n">
        <f aca="false">SUMIFS(Verbrauch!$C$9:$C$18896,Verbrauch!$A$9:$A$18896,"&gt;="&amp;A113,Verbrauch!$A$9:$A$18896,"&lt;"&amp;B113,Verbrauch!$F$9:$F$18896,"Go")</f>
        <v>0</v>
      </c>
      <c r="E113" s="22" t="n">
        <f aca="false">SUMIFS(Verbrauch!$C$9:$C$18896,Verbrauch!$A$9:$A$18896,"&gt;="&amp;A113,Verbrauch!$A$9:$A$18896,"&lt;"&amp;B113,Verbrauch!$F$9:$F$18896,"Standard")</f>
        <v>0</v>
      </c>
      <c r="F113" s="23" t="n">
        <f aca="false">SUMIFS(Verbrauch!$E$9:$E$18896,Verbrauch!$A$9:$A$18896,"&gt;="&amp;A113,Verbrauch!$A$9:$A$18896,"&lt;"&amp;B113)</f>
        <v>0</v>
      </c>
      <c r="G113" s="13" t="str">
        <f aca="false">IFERROR(F113/C113*100,"")</f>
        <v/>
      </c>
      <c r="H113" s="11" t="n">
        <f aca="false">COUNTIFS(Verbrauch!$A$9:$A$18896,"&gt;="&amp;A113,Verbrauch!$A$9:$A$18896,"&lt;"&amp;B113,Verbrauch!$C$9:$C$18896,"&lt;&gt;")</f>
        <v>0</v>
      </c>
    </row>
    <row r="114" customFormat="false" ht="13.5" hidden="false" customHeight="true" outlineLevel="0" collapsed="false">
      <c r="A114" s="10" t="n">
        <v>46075</v>
      </c>
      <c r="B114" s="10" t="n">
        <v>46076</v>
      </c>
      <c r="C114" s="22" t="n">
        <f aca="false">SUMIFS(Verbrauch!$C$9:$C$18896,Verbrauch!$A$9:$A$18896,"&gt;="&amp;A114,Verbrauch!$A$9:$A$18896,"&lt;"&amp;B114)</f>
        <v>0</v>
      </c>
      <c r="D114" s="22" t="n">
        <f aca="false">SUMIFS(Verbrauch!$C$9:$C$18896,Verbrauch!$A$9:$A$18896,"&gt;="&amp;A114,Verbrauch!$A$9:$A$18896,"&lt;"&amp;B114,Verbrauch!$F$9:$F$18896,"Go")</f>
        <v>0</v>
      </c>
      <c r="E114" s="22" t="n">
        <f aca="false">SUMIFS(Verbrauch!$C$9:$C$18896,Verbrauch!$A$9:$A$18896,"&gt;="&amp;A114,Verbrauch!$A$9:$A$18896,"&lt;"&amp;B114,Verbrauch!$F$9:$F$18896,"Standard")</f>
        <v>0</v>
      </c>
      <c r="F114" s="23" t="n">
        <f aca="false">SUMIFS(Verbrauch!$E$9:$E$18896,Verbrauch!$A$9:$A$18896,"&gt;="&amp;A114,Verbrauch!$A$9:$A$18896,"&lt;"&amp;B114)</f>
        <v>0</v>
      </c>
      <c r="G114" s="13" t="str">
        <f aca="false">IFERROR(F114/C114*100,"")</f>
        <v/>
      </c>
      <c r="H114" s="11" t="n">
        <f aca="false">COUNTIFS(Verbrauch!$A$9:$A$18896,"&gt;="&amp;A114,Verbrauch!$A$9:$A$18896,"&lt;"&amp;B114,Verbrauch!$C$9:$C$18896,"&lt;&gt;")</f>
        <v>0</v>
      </c>
    </row>
    <row r="115" customFormat="false" ht="13.5" hidden="false" customHeight="true" outlineLevel="0" collapsed="false">
      <c r="A115" s="10" t="n">
        <v>46076</v>
      </c>
      <c r="B115" s="10" t="n">
        <v>46077</v>
      </c>
      <c r="C115" s="22" t="n">
        <f aca="false">SUMIFS(Verbrauch!$C$9:$C$18896,Verbrauch!$A$9:$A$18896,"&gt;="&amp;A115,Verbrauch!$A$9:$A$18896,"&lt;"&amp;B115)</f>
        <v>0</v>
      </c>
      <c r="D115" s="22" t="n">
        <f aca="false">SUMIFS(Verbrauch!$C$9:$C$18896,Verbrauch!$A$9:$A$18896,"&gt;="&amp;A115,Verbrauch!$A$9:$A$18896,"&lt;"&amp;B115,Verbrauch!$F$9:$F$18896,"Go")</f>
        <v>0</v>
      </c>
      <c r="E115" s="22" t="n">
        <f aca="false">SUMIFS(Verbrauch!$C$9:$C$18896,Verbrauch!$A$9:$A$18896,"&gt;="&amp;A115,Verbrauch!$A$9:$A$18896,"&lt;"&amp;B115,Verbrauch!$F$9:$F$18896,"Standard")</f>
        <v>0</v>
      </c>
      <c r="F115" s="23" t="n">
        <f aca="false">SUMIFS(Verbrauch!$E$9:$E$18896,Verbrauch!$A$9:$A$18896,"&gt;="&amp;A115,Verbrauch!$A$9:$A$18896,"&lt;"&amp;B115)</f>
        <v>0</v>
      </c>
      <c r="G115" s="13" t="str">
        <f aca="false">IFERROR(F115/C115*100,"")</f>
        <v/>
      </c>
      <c r="H115" s="11" t="n">
        <f aca="false">COUNTIFS(Verbrauch!$A$9:$A$18896,"&gt;="&amp;A115,Verbrauch!$A$9:$A$18896,"&lt;"&amp;B115,Verbrauch!$C$9:$C$18896,"&lt;&gt;")</f>
        <v>0</v>
      </c>
    </row>
    <row r="116" customFormat="false" ht="13.5" hidden="false" customHeight="true" outlineLevel="0" collapsed="false">
      <c r="A116" s="10" t="n">
        <v>46077</v>
      </c>
      <c r="B116" s="10" t="n">
        <v>46078</v>
      </c>
      <c r="C116" s="22" t="n">
        <f aca="false">SUMIFS(Verbrauch!$C$9:$C$18896,Verbrauch!$A$9:$A$18896,"&gt;="&amp;A116,Verbrauch!$A$9:$A$18896,"&lt;"&amp;B116)</f>
        <v>0</v>
      </c>
      <c r="D116" s="22" t="n">
        <f aca="false">SUMIFS(Verbrauch!$C$9:$C$18896,Verbrauch!$A$9:$A$18896,"&gt;="&amp;A116,Verbrauch!$A$9:$A$18896,"&lt;"&amp;B116,Verbrauch!$F$9:$F$18896,"Go")</f>
        <v>0</v>
      </c>
      <c r="E116" s="22" t="n">
        <f aca="false">SUMIFS(Verbrauch!$C$9:$C$18896,Verbrauch!$A$9:$A$18896,"&gt;="&amp;A116,Verbrauch!$A$9:$A$18896,"&lt;"&amp;B116,Verbrauch!$F$9:$F$18896,"Standard")</f>
        <v>0</v>
      </c>
      <c r="F116" s="23" t="n">
        <f aca="false">SUMIFS(Verbrauch!$E$9:$E$18896,Verbrauch!$A$9:$A$18896,"&gt;="&amp;A116,Verbrauch!$A$9:$A$18896,"&lt;"&amp;B116)</f>
        <v>0</v>
      </c>
      <c r="G116" s="13" t="str">
        <f aca="false">IFERROR(F116/C116*100,"")</f>
        <v/>
      </c>
      <c r="H116" s="11" t="n">
        <f aca="false">COUNTIFS(Verbrauch!$A$9:$A$18896,"&gt;="&amp;A116,Verbrauch!$A$9:$A$18896,"&lt;"&amp;B116,Verbrauch!$C$9:$C$18896,"&lt;&gt;")</f>
        <v>0</v>
      </c>
    </row>
    <row r="117" customFormat="false" ht="13.5" hidden="false" customHeight="true" outlineLevel="0" collapsed="false">
      <c r="A117" s="10" t="n">
        <v>46078</v>
      </c>
      <c r="B117" s="10" t="n">
        <v>46079</v>
      </c>
      <c r="C117" s="22" t="n">
        <f aca="false">SUMIFS(Verbrauch!$C$9:$C$18896,Verbrauch!$A$9:$A$18896,"&gt;="&amp;A117,Verbrauch!$A$9:$A$18896,"&lt;"&amp;B117)</f>
        <v>0</v>
      </c>
      <c r="D117" s="22" t="n">
        <f aca="false">SUMIFS(Verbrauch!$C$9:$C$18896,Verbrauch!$A$9:$A$18896,"&gt;="&amp;A117,Verbrauch!$A$9:$A$18896,"&lt;"&amp;B117,Verbrauch!$F$9:$F$18896,"Go")</f>
        <v>0</v>
      </c>
      <c r="E117" s="22" t="n">
        <f aca="false">SUMIFS(Verbrauch!$C$9:$C$18896,Verbrauch!$A$9:$A$18896,"&gt;="&amp;A117,Verbrauch!$A$9:$A$18896,"&lt;"&amp;B117,Verbrauch!$F$9:$F$18896,"Standard")</f>
        <v>0</v>
      </c>
      <c r="F117" s="23" t="n">
        <f aca="false">SUMIFS(Verbrauch!$E$9:$E$18896,Verbrauch!$A$9:$A$18896,"&gt;="&amp;A117,Verbrauch!$A$9:$A$18896,"&lt;"&amp;B117)</f>
        <v>0</v>
      </c>
      <c r="G117" s="13" t="str">
        <f aca="false">IFERROR(F117/C117*100,"")</f>
        <v/>
      </c>
      <c r="H117" s="11" t="n">
        <f aca="false">COUNTIFS(Verbrauch!$A$9:$A$18896,"&gt;="&amp;A117,Verbrauch!$A$9:$A$18896,"&lt;"&amp;B117,Verbrauch!$C$9:$C$18896,"&lt;&gt;")</f>
        <v>0</v>
      </c>
    </row>
    <row r="118" customFormat="false" ht="13.5" hidden="false" customHeight="true" outlineLevel="0" collapsed="false">
      <c r="A118" s="10" t="n">
        <v>46079</v>
      </c>
      <c r="B118" s="10" t="n">
        <v>46080</v>
      </c>
      <c r="C118" s="22" t="n">
        <f aca="false">SUMIFS(Verbrauch!$C$9:$C$18896,Verbrauch!$A$9:$A$18896,"&gt;="&amp;A118,Verbrauch!$A$9:$A$18896,"&lt;"&amp;B118)</f>
        <v>0</v>
      </c>
      <c r="D118" s="22" t="n">
        <f aca="false">SUMIFS(Verbrauch!$C$9:$C$18896,Verbrauch!$A$9:$A$18896,"&gt;="&amp;A118,Verbrauch!$A$9:$A$18896,"&lt;"&amp;B118,Verbrauch!$F$9:$F$18896,"Go")</f>
        <v>0</v>
      </c>
      <c r="E118" s="22" t="n">
        <f aca="false">SUMIFS(Verbrauch!$C$9:$C$18896,Verbrauch!$A$9:$A$18896,"&gt;="&amp;A118,Verbrauch!$A$9:$A$18896,"&lt;"&amp;B118,Verbrauch!$F$9:$F$18896,"Standard")</f>
        <v>0</v>
      </c>
      <c r="F118" s="23" t="n">
        <f aca="false">SUMIFS(Verbrauch!$E$9:$E$18896,Verbrauch!$A$9:$A$18896,"&gt;="&amp;A118,Verbrauch!$A$9:$A$18896,"&lt;"&amp;B118)</f>
        <v>0</v>
      </c>
      <c r="G118" s="13" t="str">
        <f aca="false">IFERROR(F118/C118*100,"")</f>
        <v/>
      </c>
      <c r="H118" s="11" t="n">
        <f aca="false">COUNTIFS(Verbrauch!$A$9:$A$18896,"&gt;="&amp;A118,Verbrauch!$A$9:$A$18896,"&lt;"&amp;B118,Verbrauch!$C$9:$C$18896,"&lt;&gt;")</f>
        <v>0</v>
      </c>
    </row>
    <row r="119" customFormat="false" ht="13.5" hidden="false" customHeight="true" outlineLevel="0" collapsed="false">
      <c r="A119" s="10" t="n">
        <v>46080</v>
      </c>
      <c r="B119" s="10" t="n">
        <v>46081</v>
      </c>
      <c r="C119" s="22" t="n">
        <f aca="false">SUMIFS(Verbrauch!$C$9:$C$18896,Verbrauch!$A$9:$A$18896,"&gt;="&amp;A119,Verbrauch!$A$9:$A$18896,"&lt;"&amp;B119)</f>
        <v>0</v>
      </c>
      <c r="D119" s="22" t="n">
        <f aca="false">SUMIFS(Verbrauch!$C$9:$C$18896,Verbrauch!$A$9:$A$18896,"&gt;="&amp;A119,Verbrauch!$A$9:$A$18896,"&lt;"&amp;B119,Verbrauch!$F$9:$F$18896,"Go")</f>
        <v>0</v>
      </c>
      <c r="E119" s="22" t="n">
        <f aca="false">SUMIFS(Verbrauch!$C$9:$C$18896,Verbrauch!$A$9:$A$18896,"&gt;="&amp;A119,Verbrauch!$A$9:$A$18896,"&lt;"&amp;B119,Verbrauch!$F$9:$F$18896,"Standard")</f>
        <v>0</v>
      </c>
      <c r="F119" s="23" t="n">
        <f aca="false">SUMIFS(Verbrauch!$E$9:$E$18896,Verbrauch!$A$9:$A$18896,"&gt;="&amp;A119,Verbrauch!$A$9:$A$18896,"&lt;"&amp;B119)</f>
        <v>0</v>
      </c>
      <c r="G119" s="13" t="str">
        <f aca="false">IFERROR(F119/C119*100,"")</f>
        <v/>
      </c>
      <c r="H119" s="11" t="n">
        <f aca="false">COUNTIFS(Verbrauch!$A$9:$A$18896,"&gt;="&amp;A119,Verbrauch!$A$9:$A$18896,"&lt;"&amp;B119,Verbrauch!$C$9:$C$18896,"&lt;&gt;")</f>
        <v>0</v>
      </c>
    </row>
    <row r="120" customFormat="false" ht="13.5" hidden="false" customHeight="true" outlineLevel="0" collapsed="false">
      <c r="A120" s="10" t="n">
        <v>46081</v>
      </c>
      <c r="B120" s="10" t="n">
        <v>46082</v>
      </c>
      <c r="C120" s="22" t="n">
        <f aca="false">SUMIFS(Verbrauch!$C$9:$C$18896,Verbrauch!$A$9:$A$18896,"&gt;="&amp;A120,Verbrauch!$A$9:$A$18896,"&lt;"&amp;B120)</f>
        <v>0</v>
      </c>
      <c r="D120" s="22" t="n">
        <f aca="false">SUMIFS(Verbrauch!$C$9:$C$18896,Verbrauch!$A$9:$A$18896,"&gt;="&amp;A120,Verbrauch!$A$9:$A$18896,"&lt;"&amp;B120,Verbrauch!$F$9:$F$18896,"Go")</f>
        <v>0</v>
      </c>
      <c r="E120" s="22" t="n">
        <f aca="false">SUMIFS(Verbrauch!$C$9:$C$18896,Verbrauch!$A$9:$A$18896,"&gt;="&amp;A120,Verbrauch!$A$9:$A$18896,"&lt;"&amp;B120,Verbrauch!$F$9:$F$18896,"Standard")</f>
        <v>0</v>
      </c>
      <c r="F120" s="23" t="n">
        <f aca="false">SUMIFS(Verbrauch!$E$9:$E$18896,Verbrauch!$A$9:$A$18896,"&gt;="&amp;A120,Verbrauch!$A$9:$A$18896,"&lt;"&amp;B120)</f>
        <v>0</v>
      </c>
      <c r="G120" s="13" t="str">
        <f aca="false">IFERROR(F120/C120*100,"")</f>
        <v/>
      </c>
      <c r="H120" s="11" t="n">
        <f aca="false">COUNTIFS(Verbrauch!$A$9:$A$18896,"&gt;="&amp;A120,Verbrauch!$A$9:$A$18896,"&lt;"&amp;B120,Verbrauch!$C$9:$C$18896,"&lt;&gt;")</f>
        <v>0</v>
      </c>
    </row>
    <row r="121" customFormat="false" ht="13.5" hidden="false" customHeight="true" outlineLevel="0" collapsed="false">
      <c r="A121" s="10" t="n">
        <v>46082</v>
      </c>
      <c r="B121" s="10" t="n">
        <v>46083</v>
      </c>
      <c r="C121" s="22" t="n">
        <f aca="false">SUMIFS(Verbrauch!$C$9:$C$18896,Verbrauch!$A$9:$A$18896,"&gt;="&amp;A121,Verbrauch!$A$9:$A$18896,"&lt;"&amp;B121)</f>
        <v>0</v>
      </c>
      <c r="D121" s="22" t="n">
        <f aca="false">SUMIFS(Verbrauch!$C$9:$C$18896,Verbrauch!$A$9:$A$18896,"&gt;="&amp;A121,Verbrauch!$A$9:$A$18896,"&lt;"&amp;B121,Verbrauch!$F$9:$F$18896,"Go")</f>
        <v>0</v>
      </c>
      <c r="E121" s="22" t="n">
        <f aca="false">SUMIFS(Verbrauch!$C$9:$C$18896,Verbrauch!$A$9:$A$18896,"&gt;="&amp;A121,Verbrauch!$A$9:$A$18896,"&lt;"&amp;B121,Verbrauch!$F$9:$F$18896,"Standard")</f>
        <v>0</v>
      </c>
      <c r="F121" s="23" t="n">
        <f aca="false">SUMIFS(Verbrauch!$E$9:$E$18896,Verbrauch!$A$9:$A$18896,"&gt;="&amp;A121,Verbrauch!$A$9:$A$18896,"&lt;"&amp;B121)</f>
        <v>0</v>
      </c>
      <c r="G121" s="13" t="str">
        <f aca="false">IFERROR(F121/C121*100,"")</f>
        <v/>
      </c>
      <c r="H121" s="11" t="n">
        <f aca="false">COUNTIFS(Verbrauch!$A$9:$A$18896,"&gt;="&amp;A121,Verbrauch!$A$9:$A$18896,"&lt;"&amp;B121,Verbrauch!$C$9:$C$18896,"&lt;&gt;")</f>
        <v>0</v>
      </c>
    </row>
    <row r="122" customFormat="false" ht="13.5" hidden="false" customHeight="true" outlineLevel="0" collapsed="false">
      <c r="A122" s="10" t="n">
        <v>46083</v>
      </c>
      <c r="B122" s="10" t="n">
        <v>46084</v>
      </c>
      <c r="C122" s="22" t="n">
        <f aca="false">SUMIFS(Verbrauch!$C$9:$C$18896,Verbrauch!$A$9:$A$18896,"&gt;="&amp;A122,Verbrauch!$A$9:$A$18896,"&lt;"&amp;B122)</f>
        <v>0</v>
      </c>
      <c r="D122" s="22" t="n">
        <f aca="false">SUMIFS(Verbrauch!$C$9:$C$18896,Verbrauch!$A$9:$A$18896,"&gt;="&amp;A122,Verbrauch!$A$9:$A$18896,"&lt;"&amp;B122,Verbrauch!$F$9:$F$18896,"Go")</f>
        <v>0</v>
      </c>
      <c r="E122" s="22" t="n">
        <f aca="false">SUMIFS(Verbrauch!$C$9:$C$18896,Verbrauch!$A$9:$A$18896,"&gt;="&amp;A122,Verbrauch!$A$9:$A$18896,"&lt;"&amp;B122,Verbrauch!$F$9:$F$18896,"Standard")</f>
        <v>0</v>
      </c>
      <c r="F122" s="23" t="n">
        <f aca="false">SUMIFS(Verbrauch!$E$9:$E$18896,Verbrauch!$A$9:$A$18896,"&gt;="&amp;A122,Verbrauch!$A$9:$A$18896,"&lt;"&amp;B122)</f>
        <v>0</v>
      </c>
      <c r="G122" s="13" t="str">
        <f aca="false">IFERROR(F122/C122*100,"")</f>
        <v/>
      </c>
      <c r="H122" s="11" t="n">
        <f aca="false">COUNTIFS(Verbrauch!$A$9:$A$18896,"&gt;="&amp;A122,Verbrauch!$A$9:$A$18896,"&lt;"&amp;B122,Verbrauch!$C$9:$C$18896,"&lt;&gt;")</f>
        <v>0</v>
      </c>
    </row>
    <row r="123" customFormat="false" ht="13.5" hidden="false" customHeight="true" outlineLevel="0" collapsed="false">
      <c r="A123" s="10" t="n">
        <v>46084</v>
      </c>
      <c r="B123" s="10" t="n">
        <v>46085</v>
      </c>
      <c r="C123" s="22" t="n">
        <f aca="false">SUMIFS(Verbrauch!$C$9:$C$18896,Verbrauch!$A$9:$A$18896,"&gt;="&amp;A123,Verbrauch!$A$9:$A$18896,"&lt;"&amp;B123)</f>
        <v>0</v>
      </c>
      <c r="D123" s="22" t="n">
        <f aca="false">SUMIFS(Verbrauch!$C$9:$C$18896,Verbrauch!$A$9:$A$18896,"&gt;="&amp;A123,Verbrauch!$A$9:$A$18896,"&lt;"&amp;B123,Verbrauch!$F$9:$F$18896,"Go")</f>
        <v>0</v>
      </c>
      <c r="E123" s="22" t="n">
        <f aca="false">SUMIFS(Verbrauch!$C$9:$C$18896,Verbrauch!$A$9:$A$18896,"&gt;="&amp;A123,Verbrauch!$A$9:$A$18896,"&lt;"&amp;B123,Verbrauch!$F$9:$F$18896,"Standard")</f>
        <v>0</v>
      </c>
      <c r="F123" s="23" t="n">
        <f aca="false">SUMIFS(Verbrauch!$E$9:$E$18896,Verbrauch!$A$9:$A$18896,"&gt;="&amp;A123,Verbrauch!$A$9:$A$18896,"&lt;"&amp;B123)</f>
        <v>0</v>
      </c>
      <c r="G123" s="13" t="str">
        <f aca="false">IFERROR(F123/C123*100,"")</f>
        <v/>
      </c>
      <c r="H123" s="11" t="n">
        <f aca="false">COUNTIFS(Verbrauch!$A$9:$A$18896,"&gt;="&amp;A123,Verbrauch!$A$9:$A$18896,"&lt;"&amp;B123,Verbrauch!$C$9:$C$18896,"&lt;&gt;")</f>
        <v>0</v>
      </c>
    </row>
    <row r="124" customFormat="false" ht="13.5" hidden="false" customHeight="true" outlineLevel="0" collapsed="false">
      <c r="A124" s="10" t="n">
        <v>46085</v>
      </c>
      <c r="B124" s="10" t="n">
        <v>46086</v>
      </c>
      <c r="C124" s="22" t="n">
        <f aca="false">SUMIFS(Verbrauch!$C$9:$C$18896,Verbrauch!$A$9:$A$18896,"&gt;="&amp;A124,Verbrauch!$A$9:$A$18896,"&lt;"&amp;B124)</f>
        <v>0</v>
      </c>
      <c r="D124" s="22" t="n">
        <f aca="false">SUMIFS(Verbrauch!$C$9:$C$18896,Verbrauch!$A$9:$A$18896,"&gt;="&amp;A124,Verbrauch!$A$9:$A$18896,"&lt;"&amp;B124,Verbrauch!$F$9:$F$18896,"Go")</f>
        <v>0</v>
      </c>
      <c r="E124" s="22" t="n">
        <f aca="false">SUMIFS(Verbrauch!$C$9:$C$18896,Verbrauch!$A$9:$A$18896,"&gt;="&amp;A124,Verbrauch!$A$9:$A$18896,"&lt;"&amp;B124,Verbrauch!$F$9:$F$18896,"Standard")</f>
        <v>0</v>
      </c>
      <c r="F124" s="23" t="n">
        <f aca="false">SUMIFS(Verbrauch!$E$9:$E$18896,Verbrauch!$A$9:$A$18896,"&gt;="&amp;A124,Verbrauch!$A$9:$A$18896,"&lt;"&amp;B124)</f>
        <v>0</v>
      </c>
      <c r="G124" s="13" t="str">
        <f aca="false">IFERROR(F124/C124*100,"")</f>
        <v/>
      </c>
      <c r="H124" s="11" t="n">
        <f aca="false">COUNTIFS(Verbrauch!$A$9:$A$18896,"&gt;="&amp;A124,Verbrauch!$A$9:$A$18896,"&lt;"&amp;B124,Verbrauch!$C$9:$C$18896,"&lt;&gt;")</f>
        <v>0</v>
      </c>
    </row>
    <row r="125" customFormat="false" ht="13.5" hidden="false" customHeight="true" outlineLevel="0" collapsed="false">
      <c r="A125" s="10" t="n">
        <v>46086</v>
      </c>
      <c r="B125" s="10" t="n">
        <v>46087</v>
      </c>
      <c r="C125" s="22" t="n">
        <f aca="false">SUMIFS(Verbrauch!$C$9:$C$18896,Verbrauch!$A$9:$A$18896,"&gt;="&amp;A125,Verbrauch!$A$9:$A$18896,"&lt;"&amp;B125)</f>
        <v>0</v>
      </c>
      <c r="D125" s="22" t="n">
        <f aca="false">SUMIFS(Verbrauch!$C$9:$C$18896,Verbrauch!$A$9:$A$18896,"&gt;="&amp;A125,Verbrauch!$A$9:$A$18896,"&lt;"&amp;B125,Verbrauch!$F$9:$F$18896,"Go")</f>
        <v>0</v>
      </c>
      <c r="E125" s="22" t="n">
        <f aca="false">SUMIFS(Verbrauch!$C$9:$C$18896,Verbrauch!$A$9:$A$18896,"&gt;="&amp;A125,Verbrauch!$A$9:$A$18896,"&lt;"&amp;B125,Verbrauch!$F$9:$F$18896,"Standard")</f>
        <v>0</v>
      </c>
      <c r="F125" s="23" t="n">
        <f aca="false">SUMIFS(Verbrauch!$E$9:$E$18896,Verbrauch!$A$9:$A$18896,"&gt;="&amp;A125,Verbrauch!$A$9:$A$18896,"&lt;"&amp;B125)</f>
        <v>0</v>
      </c>
      <c r="G125" s="13" t="str">
        <f aca="false">IFERROR(F125/C125*100,"")</f>
        <v/>
      </c>
      <c r="H125" s="11" t="n">
        <f aca="false">COUNTIFS(Verbrauch!$A$9:$A$18896,"&gt;="&amp;A125,Verbrauch!$A$9:$A$18896,"&lt;"&amp;B125,Verbrauch!$C$9:$C$18896,"&lt;&gt;")</f>
        <v>0</v>
      </c>
    </row>
    <row r="126" customFormat="false" ht="13.5" hidden="false" customHeight="true" outlineLevel="0" collapsed="false">
      <c r="A126" s="10" t="n">
        <v>46087</v>
      </c>
      <c r="B126" s="10" t="n">
        <v>46088</v>
      </c>
      <c r="C126" s="22" t="n">
        <f aca="false">SUMIFS(Verbrauch!$C$9:$C$18896,Verbrauch!$A$9:$A$18896,"&gt;="&amp;A126,Verbrauch!$A$9:$A$18896,"&lt;"&amp;B126)</f>
        <v>0</v>
      </c>
      <c r="D126" s="22" t="n">
        <f aca="false">SUMIFS(Verbrauch!$C$9:$C$18896,Verbrauch!$A$9:$A$18896,"&gt;="&amp;A126,Verbrauch!$A$9:$A$18896,"&lt;"&amp;B126,Verbrauch!$F$9:$F$18896,"Go")</f>
        <v>0</v>
      </c>
      <c r="E126" s="22" t="n">
        <f aca="false">SUMIFS(Verbrauch!$C$9:$C$18896,Verbrauch!$A$9:$A$18896,"&gt;="&amp;A126,Verbrauch!$A$9:$A$18896,"&lt;"&amp;B126,Verbrauch!$F$9:$F$18896,"Standard")</f>
        <v>0</v>
      </c>
      <c r="F126" s="23" t="n">
        <f aca="false">SUMIFS(Verbrauch!$E$9:$E$18896,Verbrauch!$A$9:$A$18896,"&gt;="&amp;A126,Verbrauch!$A$9:$A$18896,"&lt;"&amp;B126)</f>
        <v>0</v>
      </c>
      <c r="G126" s="13" t="str">
        <f aca="false">IFERROR(F126/C126*100,"")</f>
        <v/>
      </c>
      <c r="H126" s="11" t="n">
        <f aca="false">COUNTIFS(Verbrauch!$A$9:$A$18896,"&gt;="&amp;A126,Verbrauch!$A$9:$A$18896,"&lt;"&amp;B126,Verbrauch!$C$9:$C$18896,"&lt;&gt;")</f>
        <v>0</v>
      </c>
    </row>
    <row r="127" customFormat="false" ht="13.5" hidden="false" customHeight="true" outlineLevel="0" collapsed="false">
      <c r="A127" s="10" t="n">
        <v>46088</v>
      </c>
      <c r="B127" s="10" t="n">
        <v>46089</v>
      </c>
      <c r="C127" s="22" t="n">
        <f aca="false">SUMIFS(Verbrauch!$C$9:$C$18896,Verbrauch!$A$9:$A$18896,"&gt;="&amp;A127,Verbrauch!$A$9:$A$18896,"&lt;"&amp;B127)</f>
        <v>0</v>
      </c>
      <c r="D127" s="22" t="n">
        <f aca="false">SUMIFS(Verbrauch!$C$9:$C$18896,Verbrauch!$A$9:$A$18896,"&gt;="&amp;A127,Verbrauch!$A$9:$A$18896,"&lt;"&amp;B127,Verbrauch!$F$9:$F$18896,"Go")</f>
        <v>0</v>
      </c>
      <c r="E127" s="22" t="n">
        <f aca="false">SUMIFS(Verbrauch!$C$9:$C$18896,Verbrauch!$A$9:$A$18896,"&gt;="&amp;A127,Verbrauch!$A$9:$A$18896,"&lt;"&amp;B127,Verbrauch!$F$9:$F$18896,"Standard")</f>
        <v>0</v>
      </c>
      <c r="F127" s="23" t="n">
        <f aca="false">SUMIFS(Verbrauch!$E$9:$E$18896,Verbrauch!$A$9:$A$18896,"&gt;="&amp;A127,Verbrauch!$A$9:$A$18896,"&lt;"&amp;B127)</f>
        <v>0</v>
      </c>
      <c r="G127" s="13" t="str">
        <f aca="false">IFERROR(F127/C127*100,"")</f>
        <v/>
      </c>
      <c r="H127" s="11" t="n">
        <f aca="false">COUNTIFS(Verbrauch!$A$9:$A$18896,"&gt;="&amp;A127,Verbrauch!$A$9:$A$18896,"&lt;"&amp;B127,Verbrauch!$C$9:$C$18896,"&lt;&gt;")</f>
        <v>0</v>
      </c>
    </row>
    <row r="128" customFormat="false" ht="13.5" hidden="false" customHeight="true" outlineLevel="0" collapsed="false">
      <c r="A128" s="10" t="n">
        <v>46089</v>
      </c>
      <c r="B128" s="10" t="n">
        <v>46090</v>
      </c>
      <c r="C128" s="22" t="n">
        <f aca="false">SUMIFS(Verbrauch!$C$9:$C$18896,Verbrauch!$A$9:$A$18896,"&gt;="&amp;A128,Verbrauch!$A$9:$A$18896,"&lt;"&amp;B128)</f>
        <v>0</v>
      </c>
      <c r="D128" s="22" t="n">
        <f aca="false">SUMIFS(Verbrauch!$C$9:$C$18896,Verbrauch!$A$9:$A$18896,"&gt;="&amp;A128,Verbrauch!$A$9:$A$18896,"&lt;"&amp;B128,Verbrauch!$F$9:$F$18896,"Go")</f>
        <v>0</v>
      </c>
      <c r="E128" s="22" t="n">
        <f aca="false">SUMIFS(Verbrauch!$C$9:$C$18896,Verbrauch!$A$9:$A$18896,"&gt;="&amp;A128,Verbrauch!$A$9:$A$18896,"&lt;"&amp;B128,Verbrauch!$F$9:$F$18896,"Standard")</f>
        <v>0</v>
      </c>
      <c r="F128" s="23" t="n">
        <f aca="false">SUMIFS(Verbrauch!$E$9:$E$18896,Verbrauch!$A$9:$A$18896,"&gt;="&amp;A128,Verbrauch!$A$9:$A$18896,"&lt;"&amp;B128)</f>
        <v>0</v>
      </c>
      <c r="G128" s="13" t="str">
        <f aca="false">IFERROR(F128/C128*100,"")</f>
        <v/>
      </c>
      <c r="H128" s="11" t="n">
        <f aca="false">COUNTIFS(Verbrauch!$A$9:$A$18896,"&gt;="&amp;A128,Verbrauch!$A$9:$A$18896,"&lt;"&amp;B128,Verbrauch!$C$9:$C$18896,"&lt;&gt;")</f>
        <v>0</v>
      </c>
    </row>
    <row r="129" customFormat="false" ht="13.5" hidden="false" customHeight="true" outlineLevel="0" collapsed="false">
      <c r="A129" s="10" t="n">
        <v>46090</v>
      </c>
      <c r="B129" s="10" t="n">
        <v>46091</v>
      </c>
      <c r="C129" s="22" t="n">
        <f aca="false">SUMIFS(Verbrauch!$C$9:$C$18896,Verbrauch!$A$9:$A$18896,"&gt;="&amp;A129,Verbrauch!$A$9:$A$18896,"&lt;"&amp;B129)</f>
        <v>0</v>
      </c>
      <c r="D129" s="22" t="n">
        <f aca="false">SUMIFS(Verbrauch!$C$9:$C$18896,Verbrauch!$A$9:$A$18896,"&gt;="&amp;A129,Verbrauch!$A$9:$A$18896,"&lt;"&amp;B129,Verbrauch!$F$9:$F$18896,"Go")</f>
        <v>0</v>
      </c>
      <c r="E129" s="22" t="n">
        <f aca="false">SUMIFS(Verbrauch!$C$9:$C$18896,Verbrauch!$A$9:$A$18896,"&gt;="&amp;A129,Verbrauch!$A$9:$A$18896,"&lt;"&amp;B129,Verbrauch!$F$9:$F$18896,"Standard")</f>
        <v>0</v>
      </c>
      <c r="F129" s="23" t="n">
        <f aca="false">SUMIFS(Verbrauch!$E$9:$E$18896,Verbrauch!$A$9:$A$18896,"&gt;="&amp;A129,Verbrauch!$A$9:$A$18896,"&lt;"&amp;B129)</f>
        <v>0</v>
      </c>
      <c r="G129" s="13" t="str">
        <f aca="false">IFERROR(F129/C129*100,"")</f>
        <v/>
      </c>
      <c r="H129" s="11" t="n">
        <f aca="false">COUNTIFS(Verbrauch!$A$9:$A$18896,"&gt;="&amp;A129,Verbrauch!$A$9:$A$18896,"&lt;"&amp;B129,Verbrauch!$C$9:$C$18896,"&lt;&gt;")</f>
        <v>0</v>
      </c>
    </row>
    <row r="130" customFormat="false" ht="13.5" hidden="false" customHeight="true" outlineLevel="0" collapsed="false">
      <c r="A130" s="10" t="n">
        <v>46091</v>
      </c>
      <c r="B130" s="10" t="n">
        <v>46092</v>
      </c>
      <c r="C130" s="22" t="n">
        <f aca="false">SUMIFS(Verbrauch!$C$9:$C$18896,Verbrauch!$A$9:$A$18896,"&gt;="&amp;A130,Verbrauch!$A$9:$A$18896,"&lt;"&amp;B130)</f>
        <v>0</v>
      </c>
      <c r="D130" s="22" t="n">
        <f aca="false">SUMIFS(Verbrauch!$C$9:$C$18896,Verbrauch!$A$9:$A$18896,"&gt;="&amp;A130,Verbrauch!$A$9:$A$18896,"&lt;"&amp;B130,Verbrauch!$F$9:$F$18896,"Go")</f>
        <v>0</v>
      </c>
      <c r="E130" s="22" t="n">
        <f aca="false">SUMIFS(Verbrauch!$C$9:$C$18896,Verbrauch!$A$9:$A$18896,"&gt;="&amp;A130,Verbrauch!$A$9:$A$18896,"&lt;"&amp;B130,Verbrauch!$F$9:$F$18896,"Standard")</f>
        <v>0</v>
      </c>
      <c r="F130" s="23" t="n">
        <f aca="false">SUMIFS(Verbrauch!$E$9:$E$18896,Verbrauch!$A$9:$A$18896,"&gt;="&amp;A130,Verbrauch!$A$9:$A$18896,"&lt;"&amp;B130)</f>
        <v>0</v>
      </c>
      <c r="G130" s="13" t="str">
        <f aca="false">IFERROR(F130/C130*100,"")</f>
        <v/>
      </c>
      <c r="H130" s="11" t="n">
        <f aca="false">COUNTIFS(Verbrauch!$A$9:$A$18896,"&gt;="&amp;A130,Verbrauch!$A$9:$A$18896,"&lt;"&amp;B130,Verbrauch!$C$9:$C$18896,"&lt;&gt;")</f>
        <v>0</v>
      </c>
    </row>
    <row r="131" customFormat="false" ht="13.5" hidden="false" customHeight="true" outlineLevel="0" collapsed="false">
      <c r="A131" s="10" t="n">
        <v>46092</v>
      </c>
      <c r="B131" s="10" t="n">
        <v>46093</v>
      </c>
      <c r="C131" s="22" t="n">
        <f aca="false">SUMIFS(Verbrauch!$C$9:$C$18896,Verbrauch!$A$9:$A$18896,"&gt;="&amp;A131,Verbrauch!$A$9:$A$18896,"&lt;"&amp;B131)</f>
        <v>0</v>
      </c>
      <c r="D131" s="22" t="n">
        <f aca="false">SUMIFS(Verbrauch!$C$9:$C$18896,Verbrauch!$A$9:$A$18896,"&gt;="&amp;A131,Verbrauch!$A$9:$A$18896,"&lt;"&amp;B131,Verbrauch!$F$9:$F$18896,"Go")</f>
        <v>0</v>
      </c>
      <c r="E131" s="22" t="n">
        <f aca="false">SUMIFS(Verbrauch!$C$9:$C$18896,Verbrauch!$A$9:$A$18896,"&gt;="&amp;A131,Verbrauch!$A$9:$A$18896,"&lt;"&amp;B131,Verbrauch!$F$9:$F$18896,"Standard")</f>
        <v>0</v>
      </c>
      <c r="F131" s="23" t="n">
        <f aca="false">SUMIFS(Verbrauch!$E$9:$E$18896,Verbrauch!$A$9:$A$18896,"&gt;="&amp;A131,Verbrauch!$A$9:$A$18896,"&lt;"&amp;B131)</f>
        <v>0</v>
      </c>
      <c r="G131" s="13" t="str">
        <f aca="false">IFERROR(F131/C131*100,"")</f>
        <v/>
      </c>
      <c r="H131" s="11" t="n">
        <f aca="false">COUNTIFS(Verbrauch!$A$9:$A$18896,"&gt;="&amp;A131,Verbrauch!$A$9:$A$18896,"&lt;"&amp;B131,Verbrauch!$C$9:$C$18896,"&lt;&gt;")</f>
        <v>0</v>
      </c>
    </row>
    <row r="132" customFormat="false" ht="13.5" hidden="false" customHeight="true" outlineLevel="0" collapsed="false">
      <c r="A132" s="10" t="n">
        <v>46093</v>
      </c>
      <c r="B132" s="10" t="n">
        <v>46094</v>
      </c>
      <c r="C132" s="22" t="n">
        <f aca="false">SUMIFS(Verbrauch!$C$9:$C$18896,Verbrauch!$A$9:$A$18896,"&gt;="&amp;A132,Verbrauch!$A$9:$A$18896,"&lt;"&amp;B132)</f>
        <v>0</v>
      </c>
      <c r="D132" s="22" t="n">
        <f aca="false">SUMIFS(Verbrauch!$C$9:$C$18896,Verbrauch!$A$9:$A$18896,"&gt;="&amp;A132,Verbrauch!$A$9:$A$18896,"&lt;"&amp;B132,Verbrauch!$F$9:$F$18896,"Go")</f>
        <v>0</v>
      </c>
      <c r="E132" s="22" t="n">
        <f aca="false">SUMIFS(Verbrauch!$C$9:$C$18896,Verbrauch!$A$9:$A$18896,"&gt;="&amp;A132,Verbrauch!$A$9:$A$18896,"&lt;"&amp;B132,Verbrauch!$F$9:$F$18896,"Standard")</f>
        <v>0</v>
      </c>
      <c r="F132" s="23" t="n">
        <f aca="false">SUMIFS(Verbrauch!$E$9:$E$18896,Verbrauch!$A$9:$A$18896,"&gt;="&amp;A132,Verbrauch!$A$9:$A$18896,"&lt;"&amp;B132)</f>
        <v>0</v>
      </c>
      <c r="G132" s="13" t="str">
        <f aca="false">IFERROR(F132/C132*100,"")</f>
        <v/>
      </c>
      <c r="H132" s="11" t="n">
        <f aca="false">COUNTIFS(Verbrauch!$A$9:$A$18896,"&gt;="&amp;A132,Verbrauch!$A$9:$A$18896,"&lt;"&amp;B132,Verbrauch!$C$9:$C$18896,"&lt;&gt;")</f>
        <v>0</v>
      </c>
    </row>
    <row r="133" customFormat="false" ht="13.5" hidden="false" customHeight="true" outlineLevel="0" collapsed="false">
      <c r="A133" s="10" t="n">
        <v>46094</v>
      </c>
      <c r="B133" s="10" t="n">
        <v>46095</v>
      </c>
      <c r="C133" s="22" t="n">
        <f aca="false">SUMIFS(Verbrauch!$C$9:$C$18896,Verbrauch!$A$9:$A$18896,"&gt;="&amp;A133,Verbrauch!$A$9:$A$18896,"&lt;"&amp;B133)</f>
        <v>0</v>
      </c>
      <c r="D133" s="22" t="n">
        <f aca="false">SUMIFS(Verbrauch!$C$9:$C$18896,Verbrauch!$A$9:$A$18896,"&gt;="&amp;A133,Verbrauch!$A$9:$A$18896,"&lt;"&amp;B133,Verbrauch!$F$9:$F$18896,"Go")</f>
        <v>0</v>
      </c>
      <c r="E133" s="22" t="n">
        <f aca="false">SUMIFS(Verbrauch!$C$9:$C$18896,Verbrauch!$A$9:$A$18896,"&gt;="&amp;A133,Verbrauch!$A$9:$A$18896,"&lt;"&amp;B133,Verbrauch!$F$9:$F$18896,"Standard")</f>
        <v>0</v>
      </c>
      <c r="F133" s="23" t="n">
        <f aca="false">SUMIFS(Verbrauch!$E$9:$E$18896,Verbrauch!$A$9:$A$18896,"&gt;="&amp;A133,Verbrauch!$A$9:$A$18896,"&lt;"&amp;B133)</f>
        <v>0</v>
      </c>
      <c r="G133" s="13" t="str">
        <f aca="false">IFERROR(F133/C133*100,"")</f>
        <v/>
      </c>
      <c r="H133" s="11" t="n">
        <f aca="false">COUNTIFS(Verbrauch!$A$9:$A$18896,"&gt;="&amp;A133,Verbrauch!$A$9:$A$18896,"&lt;"&amp;B133,Verbrauch!$C$9:$C$18896,"&lt;&gt;")</f>
        <v>0</v>
      </c>
    </row>
    <row r="134" customFormat="false" ht="13.5" hidden="false" customHeight="true" outlineLevel="0" collapsed="false">
      <c r="A134" s="10" t="n">
        <v>46095</v>
      </c>
      <c r="B134" s="10" t="n">
        <v>46096</v>
      </c>
      <c r="C134" s="22" t="n">
        <f aca="false">SUMIFS(Verbrauch!$C$9:$C$18896,Verbrauch!$A$9:$A$18896,"&gt;="&amp;A134,Verbrauch!$A$9:$A$18896,"&lt;"&amp;B134)</f>
        <v>0</v>
      </c>
      <c r="D134" s="22" t="n">
        <f aca="false">SUMIFS(Verbrauch!$C$9:$C$18896,Verbrauch!$A$9:$A$18896,"&gt;="&amp;A134,Verbrauch!$A$9:$A$18896,"&lt;"&amp;B134,Verbrauch!$F$9:$F$18896,"Go")</f>
        <v>0</v>
      </c>
      <c r="E134" s="22" t="n">
        <f aca="false">SUMIFS(Verbrauch!$C$9:$C$18896,Verbrauch!$A$9:$A$18896,"&gt;="&amp;A134,Verbrauch!$A$9:$A$18896,"&lt;"&amp;B134,Verbrauch!$F$9:$F$18896,"Standard")</f>
        <v>0</v>
      </c>
      <c r="F134" s="23" t="n">
        <f aca="false">SUMIFS(Verbrauch!$E$9:$E$18896,Verbrauch!$A$9:$A$18896,"&gt;="&amp;A134,Verbrauch!$A$9:$A$18896,"&lt;"&amp;B134)</f>
        <v>0</v>
      </c>
      <c r="G134" s="13" t="str">
        <f aca="false">IFERROR(F134/C134*100,"")</f>
        <v/>
      </c>
      <c r="H134" s="11" t="n">
        <f aca="false">COUNTIFS(Verbrauch!$A$9:$A$18896,"&gt;="&amp;A134,Verbrauch!$A$9:$A$18896,"&lt;"&amp;B134,Verbrauch!$C$9:$C$18896,"&lt;&gt;")</f>
        <v>0</v>
      </c>
    </row>
    <row r="135" customFormat="false" ht="13.5" hidden="false" customHeight="true" outlineLevel="0" collapsed="false">
      <c r="A135" s="10" t="n">
        <v>46096</v>
      </c>
      <c r="B135" s="10" t="n">
        <v>46097</v>
      </c>
      <c r="C135" s="22" t="n">
        <f aca="false">SUMIFS(Verbrauch!$C$9:$C$18896,Verbrauch!$A$9:$A$18896,"&gt;="&amp;A135,Verbrauch!$A$9:$A$18896,"&lt;"&amp;B135)</f>
        <v>0</v>
      </c>
      <c r="D135" s="22" t="n">
        <f aca="false">SUMIFS(Verbrauch!$C$9:$C$18896,Verbrauch!$A$9:$A$18896,"&gt;="&amp;A135,Verbrauch!$A$9:$A$18896,"&lt;"&amp;B135,Verbrauch!$F$9:$F$18896,"Go")</f>
        <v>0</v>
      </c>
      <c r="E135" s="22" t="n">
        <f aca="false">SUMIFS(Verbrauch!$C$9:$C$18896,Verbrauch!$A$9:$A$18896,"&gt;="&amp;A135,Verbrauch!$A$9:$A$18896,"&lt;"&amp;B135,Verbrauch!$F$9:$F$18896,"Standard")</f>
        <v>0</v>
      </c>
      <c r="F135" s="23" t="n">
        <f aca="false">SUMIFS(Verbrauch!$E$9:$E$18896,Verbrauch!$A$9:$A$18896,"&gt;="&amp;A135,Verbrauch!$A$9:$A$18896,"&lt;"&amp;B135)</f>
        <v>0</v>
      </c>
      <c r="G135" s="13" t="str">
        <f aca="false">IFERROR(F135/C135*100,"")</f>
        <v/>
      </c>
      <c r="H135" s="11" t="n">
        <f aca="false">COUNTIFS(Verbrauch!$A$9:$A$18896,"&gt;="&amp;A135,Verbrauch!$A$9:$A$18896,"&lt;"&amp;B135,Verbrauch!$C$9:$C$18896,"&lt;&gt;")</f>
        <v>0</v>
      </c>
    </row>
    <row r="136" customFormat="false" ht="13.5" hidden="false" customHeight="true" outlineLevel="0" collapsed="false">
      <c r="A136" s="10" t="n">
        <v>46097</v>
      </c>
      <c r="B136" s="10" t="n">
        <v>46098</v>
      </c>
      <c r="C136" s="22" t="n">
        <f aca="false">SUMIFS(Verbrauch!$C$9:$C$18896,Verbrauch!$A$9:$A$18896,"&gt;="&amp;A136,Verbrauch!$A$9:$A$18896,"&lt;"&amp;B136)</f>
        <v>0</v>
      </c>
      <c r="D136" s="22" t="n">
        <f aca="false">SUMIFS(Verbrauch!$C$9:$C$18896,Verbrauch!$A$9:$A$18896,"&gt;="&amp;A136,Verbrauch!$A$9:$A$18896,"&lt;"&amp;B136,Verbrauch!$F$9:$F$18896,"Go")</f>
        <v>0</v>
      </c>
      <c r="E136" s="22" t="n">
        <f aca="false">SUMIFS(Verbrauch!$C$9:$C$18896,Verbrauch!$A$9:$A$18896,"&gt;="&amp;A136,Verbrauch!$A$9:$A$18896,"&lt;"&amp;B136,Verbrauch!$F$9:$F$18896,"Standard")</f>
        <v>0</v>
      </c>
      <c r="F136" s="23" t="n">
        <f aca="false">SUMIFS(Verbrauch!$E$9:$E$18896,Verbrauch!$A$9:$A$18896,"&gt;="&amp;A136,Verbrauch!$A$9:$A$18896,"&lt;"&amp;B136)</f>
        <v>0</v>
      </c>
      <c r="G136" s="13" t="str">
        <f aca="false">IFERROR(F136/C136*100,"")</f>
        <v/>
      </c>
      <c r="H136" s="11" t="n">
        <f aca="false">COUNTIFS(Verbrauch!$A$9:$A$18896,"&gt;="&amp;A136,Verbrauch!$A$9:$A$18896,"&lt;"&amp;B136,Verbrauch!$C$9:$C$18896,"&lt;&gt;")</f>
        <v>0</v>
      </c>
    </row>
    <row r="137" customFormat="false" ht="13.5" hidden="false" customHeight="true" outlineLevel="0" collapsed="false">
      <c r="A137" s="10" t="n">
        <v>46098</v>
      </c>
      <c r="B137" s="10" t="n">
        <v>46099</v>
      </c>
      <c r="C137" s="22" t="n">
        <f aca="false">SUMIFS(Verbrauch!$C$9:$C$18896,Verbrauch!$A$9:$A$18896,"&gt;="&amp;A137,Verbrauch!$A$9:$A$18896,"&lt;"&amp;B137)</f>
        <v>0</v>
      </c>
      <c r="D137" s="22" t="n">
        <f aca="false">SUMIFS(Verbrauch!$C$9:$C$18896,Verbrauch!$A$9:$A$18896,"&gt;="&amp;A137,Verbrauch!$A$9:$A$18896,"&lt;"&amp;B137,Verbrauch!$F$9:$F$18896,"Go")</f>
        <v>0</v>
      </c>
      <c r="E137" s="22" t="n">
        <f aca="false">SUMIFS(Verbrauch!$C$9:$C$18896,Verbrauch!$A$9:$A$18896,"&gt;="&amp;A137,Verbrauch!$A$9:$A$18896,"&lt;"&amp;B137,Verbrauch!$F$9:$F$18896,"Standard")</f>
        <v>0</v>
      </c>
      <c r="F137" s="23" t="n">
        <f aca="false">SUMIFS(Verbrauch!$E$9:$E$18896,Verbrauch!$A$9:$A$18896,"&gt;="&amp;A137,Verbrauch!$A$9:$A$18896,"&lt;"&amp;B137)</f>
        <v>0</v>
      </c>
      <c r="G137" s="13" t="str">
        <f aca="false">IFERROR(F137/C137*100,"")</f>
        <v/>
      </c>
      <c r="H137" s="11" t="n">
        <f aca="false">COUNTIFS(Verbrauch!$A$9:$A$18896,"&gt;="&amp;A137,Verbrauch!$A$9:$A$18896,"&lt;"&amp;B137,Verbrauch!$C$9:$C$18896,"&lt;&gt;")</f>
        <v>0</v>
      </c>
    </row>
    <row r="138" customFormat="false" ht="13.5" hidden="false" customHeight="true" outlineLevel="0" collapsed="false">
      <c r="A138" s="10" t="n">
        <v>46099</v>
      </c>
      <c r="B138" s="10" t="n">
        <v>46100</v>
      </c>
      <c r="C138" s="22" t="n">
        <f aca="false">SUMIFS(Verbrauch!$C$9:$C$18896,Verbrauch!$A$9:$A$18896,"&gt;="&amp;A138,Verbrauch!$A$9:$A$18896,"&lt;"&amp;B138)</f>
        <v>0</v>
      </c>
      <c r="D138" s="22" t="n">
        <f aca="false">SUMIFS(Verbrauch!$C$9:$C$18896,Verbrauch!$A$9:$A$18896,"&gt;="&amp;A138,Verbrauch!$A$9:$A$18896,"&lt;"&amp;B138,Verbrauch!$F$9:$F$18896,"Go")</f>
        <v>0</v>
      </c>
      <c r="E138" s="22" t="n">
        <f aca="false">SUMIFS(Verbrauch!$C$9:$C$18896,Verbrauch!$A$9:$A$18896,"&gt;="&amp;A138,Verbrauch!$A$9:$A$18896,"&lt;"&amp;B138,Verbrauch!$F$9:$F$18896,"Standard")</f>
        <v>0</v>
      </c>
      <c r="F138" s="23" t="n">
        <f aca="false">SUMIFS(Verbrauch!$E$9:$E$18896,Verbrauch!$A$9:$A$18896,"&gt;="&amp;A138,Verbrauch!$A$9:$A$18896,"&lt;"&amp;B138)</f>
        <v>0</v>
      </c>
      <c r="G138" s="13" t="str">
        <f aca="false">IFERROR(F138/C138*100,"")</f>
        <v/>
      </c>
      <c r="H138" s="11" t="n">
        <f aca="false">COUNTIFS(Verbrauch!$A$9:$A$18896,"&gt;="&amp;A138,Verbrauch!$A$9:$A$18896,"&lt;"&amp;B138,Verbrauch!$C$9:$C$18896,"&lt;&gt;")</f>
        <v>0</v>
      </c>
    </row>
    <row r="139" customFormat="false" ht="13.5" hidden="false" customHeight="true" outlineLevel="0" collapsed="false">
      <c r="A139" s="10" t="n">
        <v>46100</v>
      </c>
      <c r="B139" s="10" t="n">
        <v>46101</v>
      </c>
      <c r="C139" s="22" t="n">
        <f aca="false">SUMIFS(Verbrauch!$C$9:$C$18896,Verbrauch!$A$9:$A$18896,"&gt;="&amp;A139,Verbrauch!$A$9:$A$18896,"&lt;"&amp;B139)</f>
        <v>0</v>
      </c>
      <c r="D139" s="22" t="n">
        <f aca="false">SUMIFS(Verbrauch!$C$9:$C$18896,Verbrauch!$A$9:$A$18896,"&gt;="&amp;A139,Verbrauch!$A$9:$A$18896,"&lt;"&amp;B139,Verbrauch!$F$9:$F$18896,"Go")</f>
        <v>0</v>
      </c>
      <c r="E139" s="22" t="n">
        <f aca="false">SUMIFS(Verbrauch!$C$9:$C$18896,Verbrauch!$A$9:$A$18896,"&gt;="&amp;A139,Verbrauch!$A$9:$A$18896,"&lt;"&amp;B139,Verbrauch!$F$9:$F$18896,"Standard")</f>
        <v>0</v>
      </c>
      <c r="F139" s="23" t="n">
        <f aca="false">SUMIFS(Verbrauch!$E$9:$E$18896,Verbrauch!$A$9:$A$18896,"&gt;="&amp;A139,Verbrauch!$A$9:$A$18896,"&lt;"&amp;B139)</f>
        <v>0</v>
      </c>
      <c r="G139" s="13" t="str">
        <f aca="false">IFERROR(F139/C139*100,"")</f>
        <v/>
      </c>
      <c r="H139" s="11" t="n">
        <f aca="false">COUNTIFS(Verbrauch!$A$9:$A$18896,"&gt;="&amp;A139,Verbrauch!$A$9:$A$18896,"&lt;"&amp;B139,Verbrauch!$C$9:$C$18896,"&lt;&gt;")</f>
        <v>0</v>
      </c>
    </row>
    <row r="140" customFormat="false" ht="13.5" hidden="false" customHeight="true" outlineLevel="0" collapsed="false">
      <c r="A140" s="10" t="n">
        <v>46101</v>
      </c>
      <c r="B140" s="10" t="n">
        <v>46102</v>
      </c>
      <c r="C140" s="22" t="n">
        <f aca="false">SUMIFS(Verbrauch!$C$9:$C$18896,Verbrauch!$A$9:$A$18896,"&gt;="&amp;A140,Verbrauch!$A$9:$A$18896,"&lt;"&amp;B140)</f>
        <v>0</v>
      </c>
      <c r="D140" s="22" t="n">
        <f aca="false">SUMIFS(Verbrauch!$C$9:$C$18896,Verbrauch!$A$9:$A$18896,"&gt;="&amp;A140,Verbrauch!$A$9:$A$18896,"&lt;"&amp;B140,Verbrauch!$F$9:$F$18896,"Go")</f>
        <v>0</v>
      </c>
      <c r="E140" s="22" t="n">
        <f aca="false">SUMIFS(Verbrauch!$C$9:$C$18896,Verbrauch!$A$9:$A$18896,"&gt;="&amp;A140,Verbrauch!$A$9:$A$18896,"&lt;"&amp;B140,Verbrauch!$F$9:$F$18896,"Standard")</f>
        <v>0</v>
      </c>
      <c r="F140" s="23" t="n">
        <f aca="false">SUMIFS(Verbrauch!$E$9:$E$18896,Verbrauch!$A$9:$A$18896,"&gt;="&amp;A140,Verbrauch!$A$9:$A$18896,"&lt;"&amp;B140)</f>
        <v>0</v>
      </c>
      <c r="G140" s="13" t="str">
        <f aca="false">IFERROR(F140/C140*100,"")</f>
        <v/>
      </c>
      <c r="H140" s="11" t="n">
        <f aca="false">COUNTIFS(Verbrauch!$A$9:$A$18896,"&gt;="&amp;A140,Verbrauch!$A$9:$A$18896,"&lt;"&amp;B140,Verbrauch!$C$9:$C$18896,"&lt;&gt;")</f>
        <v>0</v>
      </c>
    </row>
    <row r="141" customFormat="false" ht="13.5" hidden="false" customHeight="true" outlineLevel="0" collapsed="false">
      <c r="A141" s="10" t="n">
        <v>46102</v>
      </c>
      <c r="B141" s="10" t="n">
        <v>46103</v>
      </c>
      <c r="C141" s="22" t="n">
        <f aca="false">SUMIFS(Verbrauch!$C$9:$C$18896,Verbrauch!$A$9:$A$18896,"&gt;="&amp;A141,Verbrauch!$A$9:$A$18896,"&lt;"&amp;B141)</f>
        <v>0</v>
      </c>
      <c r="D141" s="22" t="n">
        <f aca="false">SUMIFS(Verbrauch!$C$9:$C$18896,Verbrauch!$A$9:$A$18896,"&gt;="&amp;A141,Verbrauch!$A$9:$A$18896,"&lt;"&amp;B141,Verbrauch!$F$9:$F$18896,"Go")</f>
        <v>0</v>
      </c>
      <c r="E141" s="22" t="n">
        <f aca="false">SUMIFS(Verbrauch!$C$9:$C$18896,Verbrauch!$A$9:$A$18896,"&gt;="&amp;A141,Verbrauch!$A$9:$A$18896,"&lt;"&amp;B141,Verbrauch!$F$9:$F$18896,"Standard")</f>
        <v>0</v>
      </c>
      <c r="F141" s="23" t="n">
        <f aca="false">SUMIFS(Verbrauch!$E$9:$E$18896,Verbrauch!$A$9:$A$18896,"&gt;="&amp;A141,Verbrauch!$A$9:$A$18896,"&lt;"&amp;B141)</f>
        <v>0</v>
      </c>
      <c r="G141" s="13" t="str">
        <f aca="false">IFERROR(F141/C141*100,"")</f>
        <v/>
      </c>
      <c r="H141" s="11" t="n">
        <f aca="false">COUNTIFS(Verbrauch!$A$9:$A$18896,"&gt;="&amp;A141,Verbrauch!$A$9:$A$18896,"&lt;"&amp;B141,Verbrauch!$C$9:$C$18896,"&lt;&gt;")</f>
        <v>0</v>
      </c>
    </row>
    <row r="142" customFormat="false" ht="13.5" hidden="false" customHeight="true" outlineLevel="0" collapsed="false">
      <c r="A142" s="10" t="n">
        <v>46103</v>
      </c>
      <c r="B142" s="10" t="n">
        <v>46104</v>
      </c>
      <c r="C142" s="22" t="n">
        <f aca="false">SUMIFS(Verbrauch!$C$9:$C$18896,Verbrauch!$A$9:$A$18896,"&gt;="&amp;A142,Verbrauch!$A$9:$A$18896,"&lt;"&amp;B142)</f>
        <v>0</v>
      </c>
      <c r="D142" s="22" t="n">
        <f aca="false">SUMIFS(Verbrauch!$C$9:$C$18896,Verbrauch!$A$9:$A$18896,"&gt;="&amp;A142,Verbrauch!$A$9:$A$18896,"&lt;"&amp;B142,Verbrauch!$F$9:$F$18896,"Go")</f>
        <v>0</v>
      </c>
      <c r="E142" s="22" t="n">
        <f aca="false">SUMIFS(Verbrauch!$C$9:$C$18896,Verbrauch!$A$9:$A$18896,"&gt;="&amp;A142,Verbrauch!$A$9:$A$18896,"&lt;"&amp;B142,Verbrauch!$F$9:$F$18896,"Standard")</f>
        <v>0</v>
      </c>
      <c r="F142" s="23" t="n">
        <f aca="false">SUMIFS(Verbrauch!$E$9:$E$18896,Verbrauch!$A$9:$A$18896,"&gt;="&amp;A142,Verbrauch!$A$9:$A$18896,"&lt;"&amp;B142)</f>
        <v>0</v>
      </c>
      <c r="G142" s="13" t="str">
        <f aca="false">IFERROR(F142/C142*100,"")</f>
        <v/>
      </c>
      <c r="H142" s="11" t="n">
        <f aca="false">COUNTIFS(Verbrauch!$A$9:$A$18896,"&gt;="&amp;A142,Verbrauch!$A$9:$A$18896,"&lt;"&amp;B142,Verbrauch!$C$9:$C$18896,"&lt;&gt;")</f>
        <v>0</v>
      </c>
    </row>
    <row r="143" customFormat="false" ht="13.5" hidden="false" customHeight="true" outlineLevel="0" collapsed="false">
      <c r="A143" s="10" t="n">
        <v>46104</v>
      </c>
      <c r="B143" s="10" t="n">
        <v>46105</v>
      </c>
      <c r="C143" s="22" t="n">
        <f aca="false">SUMIFS(Verbrauch!$C$9:$C$18896,Verbrauch!$A$9:$A$18896,"&gt;="&amp;A143,Verbrauch!$A$9:$A$18896,"&lt;"&amp;B143)</f>
        <v>0</v>
      </c>
      <c r="D143" s="22" t="n">
        <f aca="false">SUMIFS(Verbrauch!$C$9:$C$18896,Verbrauch!$A$9:$A$18896,"&gt;="&amp;A143,Verbrauch!$A$9:$A$18896,"&lt;"&amp;B143,Verbrauch!$F$9:$F$18896,"Go")</f>
        <v>0</v>
      </c>
      <c r="E143" s="22" t="n">
        <f aca="false">SUMIFS(Verbrauch!$C$9:$C$18896,Verbrauch!$A$9:$A$18896,"&gt;="&amp;A143,Verbrauch!$A$9:$A$18896,"&lt;"&amp;B143,Verbrauch!$F$9:$F$18896,"Standard")</f>
        <v>0</v>
      </c>
      <c r="F143" s="23" t="n">
        <f aca="false">SUMIFS(Verbrauch!$E$9:$E$18896,Verbrauch!$A$9:$A$18896,"&gt;="&amp;A143,Verbrauch!$A$9:$A$18896,"&lt;"&amp;B143)</f>
        <v>0</v>
      </c>
      <c r="G143" s="13" t="str">
        <f aca="false">IFERROR(F143/C143*100,"")</f>
        <v/>
      </c>
      <c r="H143" s="11" t="n">
        <f aca="false">COUNTIFS(Verbrauch!$A$9:$A$18896,"&gt;="&amp;A143,Verbrauch!$A$9:$A$18896,"&lt;"&amp;B143,Verbrauch!$C$9:$C$18896,"&lt;&gt;")</f>
        <v>0</v>
      </c>
    </row>
    <row r="144" customFormat="false" ht="13.5" hidden="false" customHeight="true" outlineLevel="0" collapsed="false">
      <c r="A144" s="10" t="n">
        <v>46105</v>
      </c>
      <c r="B144" s="10" t="n">
        <v>46106</v>
      </c>
      <c r="C144" s="22" t="n">
        <f aca="false">SUMIFS(Verbrauch!$C$9:$C$18896,Verbrauch!$A$9:$A$18896,"&gt;="&amp;A144,Verbrauch!$A$9:$A$18896,"&lt;"&amp;B144)</f>
        <v>0</v>
      </c>
      <c r="D144" s="22" t="n">
        <f aca="false">SUMIFS(Verbrauch!$C$9:$C$18896,Verbrauch!$A$9:$A$18896,"&gt;="&amp;A144,Verbrauch!$A$9:$A$18896,"&lt;"&amp;B144,Verbrauch!$F$9:$F$18896,"Go")</f>
        <v>0</v>
      </c>
      <c r="E144" s="22" t="n">
        <f aca="false">SUMIFS(Verbrauch!$C$9:$C$18896,Verbrauch!$A$9:$A$18896,"&gt;="&amp;A144,Verbrauch!$A$9:$A$18896,"&lt;"&amp;B144,Verbrauch!$F$9:$F$18896,"Standard")</f>
        <v>0</v>
      </c>
      <c r="F144" s="23" t="n">
        <f aca="false">SUMIFS(Verbrauch!$E$9:$E$18896,Verbrauch!$A$9:$A$18896,"&gt;="&amp;A144,Verbrauch!$A$9:$A$18896,"&lt;"&amp;B144)</f>
        <v>0</v>
      </c>
      <c r="G144" s="13" t="str">
        <f aca="false">IFERROR(F144/C144*100,"")</f>
        <v/>
      </c>
      <c r="H144" s="11" t="n">
        <f aca="false">COUNTIFS(Verbrauch!$A$9:$A$18896,"&gt;="&amp;A144,Verbrauch!$A$9:$A$18896,"&lt;"&amp;B144,Verbrauch!$C$9:$C$18896,"&lt;&gt;")</f>
        <v>0</v>
      </c>
    </row>
    <row r="145" customFormat="false" ht="13.5" hidden="false" customHeight="true" outlineLevel="0" collapsed="false">
      <c r="A145" s="10" t="n">
        <v>46106</v>
      </c>
      <c r="B145" s="10" t="n">
        <v>46107</v>
      </c>
      <c r="C145" s="22" t="n">
        <f aca="false">SUMIFS(Verbrauch!$C$9:$C$18896,Verbrauch!$A$9:$A$18896,"&gt;="&amp;A145,Verbrauch!$A$9:$A$18896,"&lt;"&amp;B145)</f>
        <v>0</v>
      </c>
      <c r="D145" s="22" t="n">
        <f aca="false">SUMIFS(Verbrauch!$C$9:$C$18896,Verbrauch!$A$9:$A$18896,"&gt;="&amp;A145,Verbrauch!$A$9:$A$18896,"&lt;"&amp;B145,Verbrauch!$F$9:$F$18896,"Go")</f>
        <v>0</v>
      </c>
      <c r="E145" s="22" t="n">
        <f aca="false">SUMIFS(Verbrauch!$C$9:$C$18896,Verbrauch!$A$9:$A$18896,"&gt;="&amp;A145,Verbrauch!$A$9:$A$18896,"&lt;"&amp;B145,Verbrauch!$F$9:$F$18896,"Standard")</f>
        <v>0</v>
      </c>
      <c r="F145" s="23" t="n">
        <f aca="false">SUMIFS(Verbrauch!$E$9:$E$18896,Verbrauch!$A$9:$A$18896,"&gt;="&amp;A145,Verbrauch!$A$9:$A$18896,"&lt;"&amp;B145)</f>
        <v>0</v>
      </c>
      <c r="G145" s="13" t="str">
        <f aca="false">IFERROR(F145/C145*100,"")</f>
        <v/>
      </c>
      <c r="H145" s="11" t="n">
        <f aca="false">COUNTIFS(Verbrauch!$A$9:$A$18896,"&gt;="&amp;A145,Verbrauch!$A$9:$A$18896,"&lt;"&amp;B145,Verbrauch!$C$9:$C$18896,"&lt;&gt;")</f>
        <v>0</v>
      </c>
    </row>
    <row r="146" customFormat="false" ht="13.5" hidden="false" customHeight="true" outlineLevel="0" collapsed="false">
      <c r="A146" s="10" t="n">
        <v>46107</v>
      </c>
      <c r="B146" s="10" t="n">
        <v>46108</v>
      </c>
      <c r="C146" s="22" t="n">
        <f aca="false">SUMIFS(Verbrauch!$C$9:$C$18896,Verbrauch!$A$9:$A$18896,"&gt;="&amp;A146,Verbrauch!$A$9:$A$18896,"&lt;"&amp;B146)</f>
        <v>0</v>
      </c>
      <c r="D146" s="22" t="n">
        <f aca="false">SUMIFS(Verbrauch!$C$9:$C$18896,Verbrauch!$A$9:$A$18896,"&gt;="&amp;A146,Verbrauch!$A$9:$A$18896,"&lt;"&amp;B146,Verbrauch!$F$9:$F$18896,"Go")</f>
        <v>0</v>
      </c>
      <c r="E146" s="22" t="n">
        <f aca="false">SUMIFS(Verbrauch!$C$9:$C$18896,Verbrauch!$A$9:$A$18896,"&gt;="&amp;A146,Verbrauch!$A$9:$A$18896,"&lt;"&amp;B146,Verbrauch!$F$9:$F$18896,"Standard")</f>
        <v>0</v>
      </c>
      <c r="F146" s="23" t="n">
        <f aca="false">SUMIFS(Verbrauch!$E$9:$E$18896,Verbrauch!$A$9:$A$18896,"&gt;="&amp;A146,Verbrauch!$A$9:$A$18896,"&lt;"&amp;B146)</f>
        <v>0</v>
      </c>
      <c r="G146" s="13" t="str">
        <f aca="false">IFERROR(F146/C146*100,"")</f>
        <v/>
      </c>
      <c r="H146" s="11" t="n">
        <f aca="false">COUNTIFS(Verbrauch!$A$9:$A$18896,"&gt;="&amp;A146,Verbrauch!$A$9:$A$18896,"&lt;"&amp;B146,Verbrauch!$C$9:$C$18896,"&lt;&gt;")</f>
        <v>0</v>
      </c>
    </row>
    <row r="147" customFormat="false" ht="13.5" hidden="false" customHeight="true" outlineLevel="0" collapsed="false">
      <c r="A147" s="10" t="n">
        <v>46108</v>
      </c>
      <c r="B147" s="10" t="n">
        <v>46109</v>
      </c>
      <c r="C147" s="22" t="n">
        <f aca="false">SUMIFS(Verbrauch!$C$9:$C$18896,Verbrauch!$A$9:$A$18896,"&gt;="&amp;A147,Verbrauch!$A$9:$A$18896,"&lt;"&amp;B147)</f>
        <v>0</v>
      </c>
      <c r="D147" s="22" t="n">
        <f aca="false">SUMIFS(Verbrauch!$C$9:$C$18896,Verbrauch!$A$9:$A$18896,"&gt;="&amp;A147,Verbrauch!$A$9:$A$18896,"&lt;"&amp;B147,Verbrauch!$F$9:$F$18896,"Go")</f>
        <v>0</v>
      </c>
      <c r="E147" s="22" t="n">
        <f aca="false">SUMIFS(Verbrauch!$C$9:$C$18896,Verbrauch!$A$9:$A$18896,"&gt;="&amp;A147,Verbrauch!$A$9:$A$18896,"&lt;"&amp;B147,Verbrauch!$F$9:$F$18896,"Standard")</f>
        <v>0</v>
      </c>
      <c r="F147" s="23" t="n">
        <f aca="false">SUMIFS(Verbrauch!$E$9:$E$18896,Verbrauch!$A$9:$A$18896,"&gt;="&amp;A147,Verbrauch!$A$9:$A$18896,"&lt;"&amp;B147)</f>
        <v>0</v>
      </c>
      <c r="G147" s="13" t="str">
        <f aca="false">IFERROR(F147/C147*100,"")</f>
        <v/>
      </c>
      <c r="H147" s="11" t="n">
        <f aca="false">COUNTIFS(Verbrauch!$A$9:$A$18896,"&gt;="&amp;A147,Verbrauch!$A$9:$A$18896,"&lt;"&amp;B147,Verbrauch!$C$9:$C$18896,"&lt;&gt;")</f>
        <v>0</v>
      </c>
    </row>
    <row r="148" customFormat="false" ht="13.5" hidden="false" customHeight="true" outlineLevel="0" collapsed="false">
      <c r="A148" s="10" t="n">
        <v>46109</v>
      </c>
      <c r="B148" s="10" t="n">
        <v>46110</v>
      </c>
      <c r="C148" s="22" t="n">
        <f aca="false">SUMIFS(Verbrauch!$C$9:$C$18896,Verbrauch!$A$9:$A$18896,"&gt;="&amp;A148,Verbrauch!$A$9:$A$18896,"&lt;"&amp;B148)</f>
        <v>0</v>
      </c>
      <c r="D148" s="22" t="n">
        <f aca="false">SUMIFS(Verbrauch!$C$9:$C$18896,Verbrauch!$A$9:$A$18896,"&gt;="&amp;A148,Verbrauch!$A$9:$A$18896,"&lt;"&amp;B148,Verbrauch!$F$9:$F$18896,"Go")</f>
        <v>0</v>
      </c>
      <c r="E148" s="22" t="n">
        <f aca="false">SUMIFS(Verbrauch!$C$9:$C$18896,Verbrauch!$A$9:$A$18896,"&gt;="&amp;A148,Verbrauch!$A$9:$A$18896,"&lt;"&amp;B148,Verbrauch!$F$9:$F$18896,"Standard")</f>
        <v>0</v>
      </c>
      <c r="F148" s="23" t="n">
        <f aca="false">SUMIFS(Verbrauch!$E$9:$E$18896,Verbrauch!$A$9:$A$18896,"&gt;="&amp;A148,Verbrauch!$A$9:$A$18896,"&lt;"&amp;B148)</f>
        <v>0</v>
      </c>
      <c r="G148" s="13" t="str">
        <f aca="false">IFERROR(F148/C148*100,"")</f>
        <v/>
      </c>
      <c r="H148" s="11" t="n">
        <f aca="false">COUNTIFS(Verbrauch!$A$9:$A$18896,"&gt;="&amp;A148,Verbrauch!$A$9:$A$18896,"&lt;"&amp;B148,Verbrauch!$C$9:$C$18896,"&lt;&gt;")</f>
        <v>0</v>
      </c>
    </row>
    <row r="149" customFormat="false" ht="13.5" hidden="false" customHeight="true" outlineLevel="0" collapsed="false">
      <c r="A149" s="10" t="n">
        <v>46110</v>
      </c>
      <c r="B149" s="10" t="n">
        <v>46111</v>
      </c>
      <c r="C149" s="22" t="n">
        <f aca="false">SUMIFS(Verbrauch!$C$9:$C$18896,Verbrauch!$A$9:$A$18896,"&gt;="&amp;A149,Verbrauch!$A$9:$A$18896,"&lt;"&amp;B149)</f>
        <v>0</v>
      </c>
      <c r="D149" s="22" t="n">
        <f aca="false">SUMIFS(Verbrauch!$C$9:$C$18896,Verbrauch!$A$9:$A$18896,"&gt;="&amp;A149,Verbrauch!$A$9:$A$18896,"&lt;"&amp;B149,Verbrauch!$F$9:$F$18896,"Go")</f>
        <v>0</v>
      </c>
      <c r="E149" s="22" t="n">
        <f aca="false">SUMIFS(Verbrauch!$C$9:$C$18896,Verbrauch!$A$9:$A$18896,"&gt;="&amp;A149,Verbrauch!$A$9:$A$18896,"&lt;"&amp;B149,Verbrauch!$F$9:$F$18896,"Standard")</f>
        <v>0</v>
      </c>
      <c r="F149" s="23" t="n">
        <f aca="false">SUMIFS(Verbrauch!$E$9:$E$18896,Verbrauch!$A$9:$A$18896,"&gt;="&amp;A149,Verbrauch!$A$9:$A$18896,"&lt;"&amp;B149)</f>
        <v>0</v>
      </c>
      <c r="G149" s="13" t="str">
        <f aca="false">IFERROR(F149/C149*100,"")</f>
        <v/>
      </c>
      <c r="H149" s="11" t="n">
        <f aca="false">COUNTIFS(Verbrauch!$A$9:$A$18896,"&gt;="&amp;A149,Verbrauch!$A$9:$A$18896,"&lt;"&amp;B149,Verbrauch!$C$9:$C$18896,"&lt;&gt;")</f>
        <v>0</v>
      </c>
    </row>
    <row r="150" customFormat="false" ht="13.5" hidden="false" customHeight="true" outlineLevel="0" collapsed="false">
      <c r="A150" s="10" t="n">
        <v>46111</v>
      </c>
      <c r="B150" s="10" t="n">
        <v>46112</v>
      </c>
      <c r="C150" s="22" t="n">
        <f aca="false">SUMIFS(Verbrauch!$C$9:$C$18896,Verbrauch!$A$9:$A$18896,"&gt;="&amp;A150,Verbrauch!$A$9:$A$18896,"&lt;"&amp;B150)</f>
        <v>0</v>
      </c>
      <c r="D150" s="22" t="n">
        <f aca="false">SUMIFS(Verbrauch!$C$9:$C$18896,Verbrauch!$A$9:$A$18896,"&gt;="&amp;A150,Verbrauch!$A$9:$A$18896,"&lt;"&amp;B150,Verbrauch!$F$9:$F$18896,"Go")</f>
        <v>0</v>
      </c>
      <c r="E150" s="22" t="n">
        <f aca="false">SUMIFS(Verbrauch!$C$9:$C$18896,Verbrauch!$A$9:$A$18896,"&gt;="&amp;A150,Verbrauch!$A$9:$A$18896,"&lt;"&amp;B150,Verbrauch!$F$9:$F$18896,"Standard")</f>
        <v>0</v>
      </c>
      <c r="F150" s="23" t="n">
        <f aca="false">SUMIFS(Verbrauch!$E$9:$E$18896,Verbrauch!$A$9:$A$18896,"&gt;="&amp;A150,Verbrauch!$A$9:$A$18896,"&lt;"&amp;B150)</f>
        <v>0</v>
      </c>
      <c r="G150" s="13" t="str">
        <f aca="false">IFERROR(F150/C150*100,"")</f>
        <v/>
      </c>
      <c r="H150" s="11" t="n">
        <f aca="false">COUNTIFS(Verbrauch!$A$9:$A$18896,"&gt;="&amp;A150,Verbrauch!$A$9:$A$18896,"&lt;"&amp;B150,Verbrauch!$C$9:$C$18896,"&lt;&gt;")</f>
        <v>0</v>
      </c>
    </row>
    <row r="151" customFormat="false" ht="13.5" hidden="false" customHeight="true" outlineLevel="0" collapsed="false">
      <c r="A151" s="10" t="n">
        <v>46112</v>
      </c>
      <c r="B151" s="10" t="n">
        <v>46113</v>
      </c>
      <c r="C151" s="22" t="n">
        <f aca="false">SUMIFS(Verbrauch!$C$9:$C$18896,Verbrauch!$A$9:$A$18896,"&gt;="&amp;A151,Verbrauch!$A$9:$A$18896,"&lt;"&amp;B151)</f>
        <v>0</v>
      </c>
      <c r="D151" s="22" t="n">
        <f aca="false">SUMIFS(Verbrauch!$C$9:$C$18896,Verbrauch!$A$9:$A$18896,"&gt;="&amp;A151,Verbrauch!$A$9:$A$18896,"&lt;"&amp;B151,Verbrauch!$F$9:$F$18896,"Go")</f>
        <v>0</v>
      </c>
      <c r="E151" s="22" t="n">
        <f aca="false">SUMIFS(Verbrauch!$C$9:$C$18896,Verbrauch!$A$9:$A$18896,"&gt;="&amp;A151,Verbrauch!$A$9:$A$18896,"&lt;"&amp;B151,Verbrauch!$F$9:$F$18896,"Standard")</f>
        <v>0</v>
      </c>
      <c r="F151" s="23" t="n">
        <f aca="false">SUMIFS(Verbrauch!$E$9:$E$18896,Verbrauch!$A$9:$A$18896,"&gt;="&amp;A151,Verbrauch!$A$9:$A$18896,"&lt;"&amp;B151)</f>
        <v>0</v>
      </c>
      <c r="G151" s="13" t="str">
        <f aca="false">IFERROR(F151/C151*100,"")</f>
        <v/>
      </c>
      <c r="H151" s="11" t="n">
        <f aca="false">COUNTIFS(Verbrauch!$A$9:$A$18896,"&gt;="&amp;A151,Verbrauch!$A$9:$A$18896,"&lt;"&amp;B151,Verbrauch!$C$9:$C$18896,"&lt;&gt;")</f>
        <v>0</v>
      </c>
    </row>
    <row r="152" customFormat="false" ht="13.5" hidden="false" customHeight="true" outlineLevel="0" collapsed="false">
      <c r="A152" s="10" t="n">
        <v>46113</v>
      </c>
      <c r="B152" s="10" t="n">
        <v>46114</v>
      </c>
      <c r="C152" s="22" t="n">
        <f aca="false">SUMIFS(Verbrauch!$C$9:$C$18896,Verbrauch!$A$9:$A$18896,"&gt;="&amp;A152,Verbrauch!$A$9:$A$18896,"&lt;"&amp;B152)</f>
        <v>0</v>
      </c>
      <c r="D152" s="22" t="n">
        <f aca="false">SUMIFS(Verbrauch!$C$9:$C$18896,Verbrauch!$A$9:$A$18896,"&gt;="&amp;A152,Verbrauch!$A$9:$A$18896,"&lt;"&amp;B152,Verbrauch!$F$9:$F$18896,"Go")</f>
        <v>0</v>
      </c>
      <c r="E152" s="22" t="n">
        <f aca="false">SUMIFS(Verbrauch!$C$9:$C$18896,Verbrauch!$A$9:$A$18896,"&gt;="&amp;A152,Verbrauch!$A$9:$A$18896,"&lt;"&amp;B152,Verbrauch!$F$9:$F$18896,"Standard")</f>
        <v>0</v>
      </c>
      <c r="F152" s="23" t="n">
        <f aca="false">SUMIFS(Verbrauch!$E$9:$E$18896,Verbrauch!$A$9:$A$18896,"&gt;="&amp;A152,Verbrauch!$A$9:$A$18896,"&lt;"&amp;B152)</f>
        <v>0</v>
      </c>
      <c r="G152" s="13" t="str">
        <f aca="false">IFERROR(F152/C152*100,"")</f>
        <v/>
      </c>
      <c r="H152" s="11" t="n">
        <f aca="false">COUNTIFS(Verbrauch!$A$9:$A$18896,"&gt;="&amp;A152,Verbrauch!$A$9:$A$18896,"&lt;"&amp;B152,Verbrauch!$C$9:$C$18896,"&lt;&gt;")</f>
        <v>0</v>
      </c>
    </row>
    <row r="153" customFormat="false" ht="13.5" hidden="false" customHeight="true" outlineLevel="0" collapsed="false">
      <c r="A153" s="10" t="n">
        <v>46114</v>
      </c>
      <c r="B153" s="10" t="n">
        <v>46115</v>
      </c>
      <c r="C153" s="22" t="n">
        <f aca="false">SUMIFS(Verbrauch!$C$9:$C$18896,Verbrauch!$A$9:$A$18896,"&gt;="&amp;A153,Verbrauch!$A$9:$A$18896,"&lt;"&amp;B153)</f>
        <v>0</v>
      </c>
      <c r="D153" s="22" t="n">
        <f aca="false">SUMIFS(Verbrauch!$C$9:$C$18896,Verbrauch!$A$9:$A$18896,"&gt;="&amp;A153,Verbrauch!$A$9:$A$18896,"&lt;"&amp;B153,Verbrauch!$F$9:$F$18896,"Go")</f>
        <v>0</v>
      </c>
      <c r="E153" s="22" t="n">
        <f aca="false">SUMIFS(Verbrauch!$C$9:$C$18896,Verbrauch!$A$9:$A$18896,"&gt;="&amp;A153,Verbrauch!$A$9:$A$18896,"&lt;"&amp;B153,Verbrauch!$F$9:$F$18896,"Standard")</f>
        <v>0</v>
      </c>
      <c r="F153" s="23" t="n">
        <f aca="false">SUMIFS(Verbrauch!$E$9:$E$18896,Verbrauch!$A$9:$A$18896,"&gt;="&amp;A153,Verbrauch!$A$9:$A$18896,"&lt;"&amp;B153)</f>
        <v>0</v>
      </c>
      <c r="G153" s="13" t="str">
        <f aca="false">IFERROR(F153/C153*100,"")</f>
        <v/>
      </c>
      <c r="H153" s="11" t="n">
        <f aca="false">COUNTIFS(Verbrauch!$A$9:$A$18896,"&gt;="&amp;A153,Verbrauch!$A$9:$A$18896,"&lt;"&amp;B153,Verbrauch!$C$9:$C$18896,"&lt;&gt;")</f>
        <v>0</v>
      </c>
    </row>
    <row r="154" customFormat="false" ht="13.5" hidden="false" customHeight="true" outlineLevel="0" collapsed="false">
      <c r="A154" s="10" t="n">
        <v>46115</v>
      </c>
      <c r="B154" s="10" t="n">
        <v>46116</v>
      </c>
      <c r="C154" s="22" t="n">
        <f aca="false">SUMIFS(Verbrauch!$C$9:$C$18896,Verbrauch!$A$9:$A$18896,"&gt;="&amp;A154,Verbrauch!$A$9:$A$18896,"&lt;"&amp;B154)</f>
        <v>0</v>
      </c>
      <c r="D154" s="22" t="n">
        <f aca="false">SUMIFS(Verbrauch!$C$9:$C$18896,Verbrauch!$A$9:$A$18896,"&gt;="&amp;A154,Verbrauch!$A$9:$A$18896,"&lt;"&amp;B154,Verbrauch!$F$9:$F$18896,"Go")</f>
        <v>0</v>
      </c>
      <c r="E154" s="22" t="n">
        <f aca="false">SUMIFS(Verbrauch!$C$9:$C$18896,Verbrauch!$A$9:$A$18896,"&gt;="&amp;A154,Verbrauch!$A$9:$A$18896,"&lt;"&amp;B154,Verbrauch!$F$9:$F$18896,"Standard")</f>
        <v>0</v>
      </c>
      <c r="F154" s="23" t="n">
        <f aca="false">SUMIFS(Verbrauch!$E$9:$E$18896,Verbrauch!$A$9:$A$18896,"&gt;="&amp;A154,Verbrauch!$A$9:$A$18896,"&lt;"&amp;B154)</f>
        <v>0</v>
      </c>
      <c r="G154" s="13" t="str">
        <f aca="false">IFERROR(F154/C154*100,"")</f>
        <v/>
      </c>
      <c r="H154" s="11" t="n">
        <f aca="false">COUNTIFS(Verbrauch!$A$9:$A$18896,"&gt;="&amp;A154,Verbrauch!$A$9:$A$18896,"&lt;"&amp;B154,Verbrauch!$C$9:$C$18896,"&lt;&gt;")</f>
        <v>0</v>
      </c>
    </row>
    <row r="155" customFormat="false" ht="13.5" hidden="false" customHeight="true" outlineLevel="0" collapsed="false">
      <c r="A155" s="10" t="n">
        <v>46116</v>
      </c>
      <c r="B155" s="10" t="n">
        <v>46117</v>
      </c>
      <c r="C155" s="22" t="n">
        <f aca="false">SUMIFS(Verbrauch!$C$9:$C$18896,Verbrauch!$A$9:$A$18896,"&gt;="&amp;A155,Verbrauch!$A$9:$A$18896,"&lt;"&amp;B155)</f>
        <v>0</v>
      </c>
      <c r="D155" s="22" t="n">
        <f aca="false">SUMIFS(Verbrauch!$C$9:$C$18896,Verbrauch!$A$9:$A$18896,"&gt;="&amp;A155,Verbrauch!$A$9:$A$18896,"&lt;"&amp;B155,Verbrauch!$F$9:$F$18896,"Go")</f>
        <v>0</v>
      </c>
      <c r="E155" s="22" t="n">
        <f aca="false">SUMIFS(Verbrauch!$C$9:$C$18896,Verbrauch!$A$9:$A$18896,"&gt;="&amp;A155,Verbrauch!$A$9:$A$18896,"&lt;"&amp;B155,Verbrauch!$F$9:$F$18896,"Standard")</f>
        <v>0</v>
      </c>
      <c r="F155" s="23" t="n">
        <f aca="false">SUMIFS(Verbrauch!$E$9:$E$18896,Verbrauch!$A$9:$A$18896,"&gt;="&amp;A155,Verbrauch!$A$9:$A$18896,"&lt;"&amp;B155)</f>
        <v>0</v>
      </c>
      <c r="G155" s="13" t="str">
        <f aca="false">IFERROR(F155/C155*100,"")</f>
        <v/>
      </c>
      <c r="H155" s="11" t="n">
        <f aca="false">COUNTIFS(Verbrauch!$A$9:$A$18896,"&gt;="&amp;A155,Verbrauch!$A$9:$A$18896,"&lt;"&amp;B155,Verbrauch!$C$9:$C$18896,"&lt;&gt;")</f>
        <v>0</v>
      </c>
    </row>
    <row r="156" customFormat="false" ht="13.5" hidden="false" customHeight="true" outlineLevel="0" collapsed="false">
      <c r="A156" s="10" t="n">
        <v>46117</v>
      </c>
      <c r="B156" s="10" t="n">
        <v>46118</v>
      </c>
      <c r="C156" s="22" t="n">
        <f aca="false">SUMIFS(Verbrauch!$C$9:$C$18896,Verbrauch!$A$9:$A$18896,"&gt;="&amp;A156,Verbrauch!$A$9:$A$18896,"&lt;"&amp;B156)</f>
        <v>0</v>
      </c>
      <c r="D156" s="22" t="n">
        <f aca="false">SUMIFS(Verbrauch!$C$9:$C$18896,Verbrauch!$A$9:$A$18896,"&gt;="&amp;A156,Verbrauch!$A$9:$A$18896,"&lt;"&amp;B156,Verbrauch!$F$9:$F$18896,"Go")</f>
        <v>0</v>
      </c>
      <c r="E156" s="22" t="n">
        <f aca="false">SUMIFS(Verbrauch!$C$9:$C$18896,Verbrauch!$A$9:$A$18896,"&gt;="&amp;A156,Verbrauch!$A$9:$A$18896,"&lt;"&amp;B156,Verbrauch!$F$9:$F$18896,"Standard")</f>
        <v>0</v>
      </c>
      <c r="F156" s="23" t="n">
        <f aca="false">SUMIFS(Verbrauch!$E$9:$E$18896,Verbrauch!$A$9:$A$18896,"&gt;="&amp;A156,Verbrauch!$A$9:$A$18896,"&lt;"&amp;B156)</f>
        <v>0</v>
      </c>
      <c r="G156" s="13" t="str">
        <f aca="false">IFERROR(F156/C156*100,"")</f>
        <v/>
      </c>
      <c r="H156" s="11" t="n">
        <f aca="false">COUNTIFS(Verbrauch!$A$9:$A$18896,"&gt;="&amp;A156,Verbrauch!$A$9:$A$18896,"&lt;"&amp;B156,Verbrauch!$C$9:$C$18896,"&lt;&gt;")</f>
        <v>0</v>
      </c>
    </row>
    <row r="157" customFormat="false" ht="13.5" hidden="false" customHeight="true" outlineLevel="0" collapsed="false">
      <c r="A157" s="10" t="n">
        <v>46118</v>
      </c>
      <c r="B157" s="10" t="n">
        <v>46119</v>
      </c>
      <c r="C157" s="22" t="n">
        <f aca="false">SUMIFS(Verbrauch!$C$9:$C$18896,Verbrauch!$A$9:$A$18896,"&gt;="&amp;A157,Verbrauch!$A$9:$A$18896,"&lt;"&amp;B157)</f>
        <v>0</v>
      </c>
      <c r="D157" s="22" t="n">
        <f aca="false">SUMIFS(Verbrauch!$C$9:$C$18896,Verbrauch!$A$9:$A$18896,"&gt;="&amp;A157,Verbrauch!$A$9:$A$18896,"&lt;"&amp;B157,Verbrauch!$F$9:$F$18896,"Go")</f>
        <v>0</v>
      </c>
      <c r="E157" s="22" t="n">
        <f aca="false">SUMIFS(Verbrauch!$C$9:$C$18896,Verbrauch!$A$9:$A$18896,"&gt;="&amp;A157,Verbrauch!$A$9:$A$18896,"&lt;"&amp;B157,Verbrauch!$F$9:$F$18896,"Standard")</f>
        <v>0</v>
      </c>
      <c r="F157" s="23" t="n">
        <f aca="false">SUMIFS(Verbrauch!$E$9:$E$18896,Verbrauch!$A$9:$A$18896,"&gt;="&amp;A157,Verbrauch!$A$9:$A$18896,"&lt;"&amp;B157)</f>
        <v>0</v>
      </c>
      <c r="G157" s="13" t="str">
        <f aca="false">IFERROR(F157/C157*100,"")</f>
        <v/>
      </c>
      <c r="H157" s="11" t="n">
        <f aca="false">COUNTIFS(Verbrauch!$A$9:$A$18896,"&gt;="&amp;A157,Verbrauch!$A$9:$A$18896,"&lt;"&amp;B157,Verbrauch!$C$9:$C$18896,"&lt;&gt;")</f>
        <v>0</v>
      </c>
    </row>
    <row r="158" customFormat="false" ht="13.5" hidden="false" customHeight="true" outlineLevel="0" collapsed="false">
      <c r="A158" s="10" t="n">
        <v>46119</v>
      </c>
      <c r="B158" s="10" t="n">
        <v>46120</v>
      </c>
      <c r="C158" s="22" t="n">
        <f aca="false">SUMIFS(Verbrauch!$C$9:$C$18896,Verbrauch!$A$9:$A$18896,"&gt;="&amp;A158,Verbrauch!$A$9:$A$18896,"&lt;"&amp;B158)</f>
        <v>0</v>
      </c>
      <c r="D158" s="22" t="n">
        <f aca="false">SUMIFS(Verbrauch!$C$9:$C$18896,Verbrauch!$A$9:$A$18896,"&gt;="&amp;A158,Verbrauch!$A$9:$A$18896,"&lt;"&amp;B158,Verbrauch!$F$9:$F$18896,"Go")</f>
        <v>0</v>
      </c>
      <c r="E158" s="22" t="n">
        <f aca="false">SUMIFS(Verbrauch!$C$9:$C$18896,Verbrauch!$A$9:$A$18896,"&gt;="&amp;A158,Verbrauch!$A$9:$A$18896,"&lt;"&amp;B158,Verbrauch!$F$9:$F$18896,"Standard")</f>
        <v>0</v>
      </c>
      <c r="F158" s="23" t="n">
        <f aca="false">SUMIFS(Verbrauch!$E$9:$E$18896,Verbrauch!$A$9:$A$18896,"&gt;="&amp;A158,Verbrauch!$A$9:$A$18896,"&lt;"&amp;B158)</f>
        <v>0</v>
      </c>
      <c r="G158" s="13" t="str">
        <f aca="false">IFERROR(F158/C158*100,"")</f>
        <v/>
      </c>
      <c r="H158" s="11" t="n">
        <f aca="false">COUNTIFS(Verbrauch!$A$9:$A$18896,"&gt;="&amp;A158,Verbrauch!$A$9:$A$18896,"&lt;"&amp;B158,Verbrauch!$C$9:$C$18896,"&lt;&gt;")</f>
        <v>0</v>
      </c>
    </row>
    <row r="159" customFormat="false" ht="13.5" hidden="false" customHeight="true" outlineLevel="0" collapsed="false">
      <c r="A159" s="10" t="n">
        <v>46120</v>
      </c>
      <c r="B159" s="10" t="n">
        <v>46121</v>
      </c>
      <c r="C159" s="22" t="n">
        <f aca="false">SUMIFS(Verbrauch!$C$9:$C$18896,Verbrauch!$A$9:$A$18896,"&gt;="&amp;A159,Verbrauch!$A$9:$A$18896,"&lt;"&amp;B159)</f>
        <v>0</v>
      </c>
      <c r="D159" s="22" t="n">
        <f aca="false">SUMIFS(Verbrauch!$C$9:$C$18896,Verbrauch!$A$9:$A$18896,"&gt;="&amp;A159,Verbrauch!$A$9:$A$18896,"&lt;"&amp;B159,Verbrauch!$F$9:$F$18896,"Go")</f>
        <v>0</v>
      </c>
      <c r="E159" s="22" t="n">
        <f aca="false">SUMIFS(Verbrauch!$C$9:$C$18896,Verbrauch!$A$9:$A$18896,"&gt;="&amp;A159,Verbrauch!$A$9:$A$18896,"&lt;"&amp;B159,Verbrauch!$F$9:$F$18896,"Standard")</f>
        <v>0</v>
      </c>
      <c r="F159" s="23" t="n">
        <f aca="false">SUMIFS(Verbrauch!$E$9:$E$18896,Verbrauch!$A$9:$A$18896,"&gt;="&amp;A159,Verbrauch!$A$9:$A$18896,"&lt;"&amp;B159)</f>
        <v>0</v>
      </c>
      <c r="G159" s="13" t="str">
        <f aca="false">IFERROR(F159/C159*100,"")</f>
        <v/>
      </c>
      <c r="H159" s="11" t="n">
        <f aca="false">COUNTIFS(Verbrauch!$A$9:$A$18896,"&gt;="&amp;A159,Verbrauch!$A$9:$A$18896,"&lt;"&amp;B159,Verbrauch!$C$9:$C$18896,"&lt;&gt;")</f>
        <v>0</v>
      </c>
    </row>
    <row r="160" customFormat="false" ht="13.5" hidden="false" customHeight="true" outlineLevel="0" collapsed="false">
      <c r="A160" s="10" t="n">
        <v>46121</v>
      </c>
      <c r="B160" s="10" t="n">
        <v>46122</v>
      </c>
      <c r="C160" s="22" t="n">
        <f aca="false">SUMIFS(Verbrauch!$C$9:$C$18896,Verbrauch!$A$9:$A$18896,"&gt;="&amp;A160,Verbrauch!$A$9:$A$18896,"&lt;"&amp;B160)</f>
        <v>0</v>
      </c>
      <c r="D160" s="22" t="n">
        <f aca="false">SUMIFS(Verbrauch!$C$9:$C$18896,Verbrauch!$A$9:$A$18896,"&gt;="&amp;A160,Verbrauch!$A$9:$A$18896,"&lt;"&amp;B160,Verbrauch!$F$9:$F$18896,"Go")</f>
        <v>0</v>
      </c>
      <c r="E160" s="22" t="n">
        <f aca="false">SUMIFS(Verbrauch!$C$9:$C$18896,Verbrauch!$A$9:$A$18896,"&gt;="&amp;A160,Verbrauch!$A$9:$A$18896,"&lt;"&amp;B160,Verbrauch!$F$9:$F$18896,"Standard")</f>
        <v>0</v>
      </c>
      <c r="F160" s="23" t="n">
        <f aca="false">SUMIFS(Verbrauch!$E$9:$E$18896,Verbrauch!$A$9:$A$18896,"&gt;="&amp;A160,Verbrauch!$A$9:$A$18896,"&lt;"&amp;B160)</f>
        <v>0</v>
      </c>
      <c r="G160" s="13" t="str">
        <f aca="false">IFERROR(F160/C160*100,"")</f>
        <v/>
      </c>
      <c r="H160" s="11" t="n">
        <f aca="false">COUNTIFS(Verbrauch!$A$9:$A$18896,"&gt;="&amp;A160,Verbrauch!$A$9:$A$18896,"&lt;"&amp;B160,Verbrauch!$C$9:$C$18896,"&lt;&gt;")</f>
        <v>0</v>
      </c>
    </row>
    <row r="161" customFormat="false" ht="13.5" hidden="false" customHeight="true" outlineLevel="0" collapsed="false">
      <c r="A161" s="10" t="n">
        <v>46122</v>
      </c>
      <c r="B161" s="10" t="n">
        <v>46123</v>
      </c>
      <c r="C161" s="22" t="n">
        <f aca="false">SUMIFS(Verbrauch!$C$9:$C$18896,Verbrauch!$A$9:$A$18896,"&gt;="&amp;A161,Verbrauch!$A$9:$A$18896,"&lt;"&amp;B161)</f>
        <v>0</v>
      </c>
      <c r="D161" s="22" t="n">
        <f aca="false">SUMIFS(Verbrauch!$C$9:$C$18896,Verbrauch!$A$9:$A$18896,"&gt;="&amp;A161,Verbrauch!$A$9:$A$18896,"&lt;"&amp;B161,Verbrauch!$F$9:$F$18896,"Go")</f>
        <v>0</v>
      </c>
      <c r="E161" s="22" t="n">
        <f aca="false">SUMIFS(Verbrauch!$C$9:$C$18896,Verbrauch!$A$9:$A$18896,"&gt;="&amp;A161,Verbrauch!$A$9:$A$18896,"&lt;"&amp;B161,Verbrauch!$F$9:$F$18896,"Standard")</f>
        <v>0</v>
      </c>
      <c r="F161" s="23" t="n">
        <f aca="false">SUMIFS(Verbrauch!$E$9:$E$18896,Verbrauch!$A$9:$A$18896,"&gt;="&amp;A161,Verbrauch!$A$9:$A$18896,"&lt;"&amp;B161)</f>
        <v>0</v>
      </c>
      <c r="G161" s="13" t="str">
        <f aca="false">IFERROR(F161/C161*100,"")</f>
        <v/>
      </c>
      <c r="H161" s="11" t="n">
        <f aca="false">COUNTIFS(Verbrauch!$A$9:$A$18896,"&gt;="&amp;A161,Verbrauch!$A$9:$A$18896,"&lt;"&amp;B161,Verbrauch!$C$9:$C$18896,"&lt;&gt;")</f>
        <v>0</v>
      </c>
    </row>
    <row r="162" customFormat="false" ht="13.5" hidden="false" customHeight="true" outlineLevel="0" collapsed="false">
      <c r="A162" s="10" t="n">
        <v>46123</v>
      </c>
      <c r="B162" s="10" t="n">
        <v>46124</v>
      </c>
      <c r="C162" s="22" t="n">
        <f aca="false">SUMIFS(Verbrauch!$C$9:$C$18896,Verbrauch!$A$9:$A$18896,"&gt;="&amp;A162,Verbrauch!$A$9:$A$18896,"&lt;"&amp;B162)</f>
        <v>0</v>
      </c>
      <c r="D162" s="22" t="n">
        <f aca="false">SUMIFS(Verbrauch!$C$9:$C$18896,Verbrauch!$A$9:$A$18896,"&gt;="&amp;A162,Verbrauch!$A$9:$A$18896,"&lt;"&amp;B162,Verbrauch!$F$9:$F$18896,"Go")</f>
        <v>0</v>
      </c>
      <c r="E162" s="22" t="n">
        <f aca="false">SUMIFS(Verbrauch!$C$9:$C$18896,Verbrauch!$A$9:$A$18896,"&gt;="&amp;A162,Verbrauch!$A$9:$A$18896,"&lt;"&amp;B162,Verbrauch!$F$9:$F$18896,"Standard")</f>
        <v>0</v>
      </c>
      <c r="F162" s="23" t="n">
        <f aca="false">SUMIFS(Verbrauch!$E$9:$E$18896,Verbrauch!$A$9:$A$18896,"&gt;="&amp;A162,Verbrauch!$A$9:$A$18896,"&lt;"&amp;B162)</f>
        <v>0</v>
      </c>
      <c r="G162" s="13" t="str">
        <f aca="false">IFERROR(F162/C162*100,"")</f>
        <v/>
      </c>
      <c r="H162" s="11" t="n">
        <f aca="false">COUNTIFS(Verbrauch!$A$9:$A$18896,"&gt;="&amp;A162,Verbrauch!$A$9:$A$18896,"&lt;"&amp;B162,Verbrauch!$C$9:$C$18896,"&lt;&gt;")</f>
        <v>0</v>
      </c>
    </row>
    <row r="163" customFormat="false" ht="13.5" hidden="false" customHeight="true" outlineLevel="0" collapsed="false">
      <c r="A163" s="10" t="n">
        <v>46124</v>
      </c>
      <c r="B163" s="10" t="n">
        <v>46125</v>
      </c>
      <c r="C163" s="22" t="n">
        <f aca="false">SUMIFS(Verbrauch!$C$9:$C$18896,Verbrauch!$A$9:$A$18896,"&gt;="&amp;A163,Verbrauch!$A$9:$A$18896,"&lt;"&amp;B163)</f>
        <v>0</v>
      </c>
      <c r="D163" s="22" t="n">
        <f aca="false">SUMIFS(Verbrauch!$C$9:$C$18896,Verbrauch!$A$9:$A$18896,"&gt;="&amp;A163,Verbrauch!$A$9:$A$18896,"&lt;"&amp;B163,Verbrauch!$F$9:$F$18896,"Go")</f>
        <v>0</v>
      </c>
      <c r="E163" s="22" t="n">
        <f aca="false">SUMIFS(Verbrauch!$C$9:$C$18896,Verbrauch!$A$9:$A$18896,"&gt;="&amp;A163,Verbrauch!$A$9:$A$18896,"&lt;"&amp;B163,Verbrauch!$F$9:$F$18896,"Standard")</f>
        <v>0</v>
      </c>
      <c r="F163" s="23" t="n">
        <f aca="false">SUMIFS(Verbrauch!$E$9:$E$18896,Verbrauch!$A$9:$A$18896,"&gt;="&amp;A163,Verbrauch!$A$9:$A$18896,"&lt;"&amp;B163)</f>
        <v>0</v>
      </c>
      <c r="G163" s="13" t="str">
        <f aca="false">IFERROR(F163/C163*100,"")</f>
        <v/>
      </c>
      <c r="H163" s="11" t="n">
        <f aca="false">COUNTIFS(Verbrauch!$A$9:$A$18896,"&gt;="&amp;A163,Verbrauch!$A$9:$A$18896,"&lt;"&amp;B163,Verbrauch!$C$9:$C$18896,"&lt;&gt;")</f>
        <v>0</v>
      </c>
    </row>
    <row r="164" customFormat="false" ht="13.5" hidden="false" customHeight="true" outlineLevel="0" collapsed="false">
      <c r="A164" s="10" t="n">
        <v>46125</v>
      </c>
      <c r="B164" s="10" t="n">
        <v>46126</v>
      </c>
      <c r="C164" s="22" t="n">
        <f aca="false">SUMIFS(Verbrauch!$C$9:$C$18896,Verbrauch!$A$9:$A$18896,"&gt;="&amp;A164,Verbrauch!$A$9:$A$18896,"&lt;"&amp;B164)</f>
        <v>0</v>
      </c>
      <c r="D164" s="22" t="n">
        <f aca="false">SUMIFS(Verbrauch!$C$9:$C$18896,Verbrauch!$A$9:$A$18896,"&gt;="&amp;A164,Verbrauch!$A$9:$A$18896,"&lt;"&amp;B164,Verbrauch!$F$9:$F$18896,"Go")</f>
        <v>0</v>
      </c>
      <c r="E164" s="22" t="n">
        <f aca="false">SUMIFS(Verbrauch!$C$9:$C$18896,Verbrauch!$A$9:$A$18896,"&gt;="&amp;A164,Verbrauch!$A$9:$A$18896,"&lt;"&amp;B164,Verbrauch!$F$9:$F$18896,"Standard")</f>
        <v>0</v>
      </c>
      <c r="F164" s="23" t="n">
        <f aca="false">SUMIFS(Verbrauch!$E$9:$E$18896,Verbrauch!$A$9:$A$18896,"&gt;="&amp;A164,Verbrauch!$A$9:$A$18896,"&lt;"&amp;B164)</f>
        <v>0</v>
      </c>
      <c r="G164" s="13" t="str">
        <f aca="false">IFERROR(F164/C164*100,"")</f>
        <v/>
      </c>
      <c r="H164" s="11" t="n">
        <f aca="false">COUNTIFS(Verbrauch!$A$9:$A$18896,"&gt;="&amp;A164,Verbrauch!$A$9:$A$18896,"&lt;"&amp;B164,Verbrauch!$C$9:$C$18896,"&lt;&gt;")</f>
        <v>0</v>
      </c>
    </row>
    <row r="165" customFormat="false" ht="13.5" hidden="false" customHeight="true" outlineLevel="0" collapsed="false">
      <c r="A165" s="10" t="n">
        <v>46126</v>
      </c>
      <c r="B165" s="10" t="n">
        <v>46127</v>
      </c>
      <c r="C165" s="22" t="n">
        <f aca="false">SUMIFS(Verbrauch!$C$9:$C$18896,Verbrauch!$A$9:$A$18896,"&gt;="&amp;A165,Verbrauch!$A$9:$A$18896,"&lt;"&amp;B165)</f>
        <v>0</v>
      </c>
      <c r="D165" s="22" t="n">
        <f aca="false">SUMIFS(Verbrauch!$C$9:$C$18896,Verbrauch!$A$9:$A$18896,"&gt;="&amp;A165,Verbrauch!$A$9:$A$18896,"&lt;"&amp;B165,Verbrauch!$F$9:$F$18896,"Go")</f>
        <v>0</v>
      </c>
      <c r="E165" s="22" t="n">
        <f aca="false">SUMIFS(Verbrauch!$C$9:$C$18896,Verbrauch!$A$9:$A$18896,"&gt;="&amp;A165,Verbrauch!$A$9:$A$18896,"&lt;"&amp;B165,Verbrauch!$F$9:$F$18896,"Standard")</f>
        <v>0</v>
      </c>
      <c r="F165" s="23" t="n">
        <f aca="false">SUMIFS(Verbrauch!$E$9:$E$18896,Verbrauch!$A$9:$A$18896,"&gt;="&amp;A165,Verbrauch!$A$9:$A$18896,"&lt;"&amp;B165)</f>
        <v>0</v>
      </c>
      <c r="G165" s="13" t="str">
        <f aca="false">IFERROR(F165/C165*100,"")</f>
        <v/>
      </c>
      <c r="H165" s="11" t="n">
        <f aca="false">COUNTIFS(Verbrauch!$A$9:$A$18896,"&gt;="&amp;A165,Verbrauch!$A$9:$A$18896,"&lt;"&amp;B165,Verbrauch!$C$9:$C$18896,"&lt;&gt;")</f>
        <v>0</v>
      </c>
    </row>
    <row r="166" customFormat="false" ht="13.5" hidden="false" customHeight="true" outlineLevel="0" collapsed="false">
      <c r="A166" s="10" t="n">
        <v>46127</v>
      </c>
      <c r="B166" s="10" t="n">
        <v>46128</v>
      </c>
      <c r="C166" s="22" t="n">
        <f aca="false">SUMIFS(Verbrauch!$C$9:$C$18896,Verbrauch!$A$9:$A$18896,"&gt;="&amp;A166,Verbrauch!$A$9:$A$18896,"&lt;"&amp;B166)</f>
        <v>0</v>
      </c>
      <c r="D166" s="22" t="n">
        <f aca="false">SUMIFS(Verbrauch!$C$9:$C$18896,Verbrauch!$A$9:$A$18896,"&gt;="&amp;A166,Verbrauch!$A$9:$A$18896,"&lt;"&amp;B166,Verbrauch!$F$9:$F$18896,"Go")</f>
        <v>0</v>
      </c>
      <c r="E166" s="22" t="n">
        <f aca="false">SUMIFS(Verbrauch!$C$9:$C$18896,Verbrauch!$A$9:$A$18896,"&gt;="&amp;A166,Verbrauch!$A$9:$A$18896,"&lt;"&amp;B166,Verbrauch!$F$9:$F$18896,"Standard")</f>
        <v>0</v>
      </c>
      <c r="F166" s="23" t="n">
        <f aca="false">SUMIFS(Verbrauch!$E$9:$E$18896,Verbrauch!$A$9:$A$18896,"&gt;="&amp;A166,Verbrauch!$A$9:$A$18896,"&lt;"&amp;B166)</f>
        <v>0</v>
      </c>
      <c r="G166" s="13" t="str">
        <f aca="false">IFERROR(F166/C166*100,"")</f>
        <v/>
      </c>
      <c r="H166" s="11" t="n">
        <f aca="false">COUNTIFS(Verbrauch!$A$9:$A$18896,"&gt;="&amp;A166,Verbrauch!$A$9:$A$18896,"&lt;"&amp;B166,Verbrauch!$C$9:$C$18896,"&lt;&gt;")</f>
        <v>0</v>
      </c>
    </row>
    <row r="167" customFormat="false" ht="13.5" hidden="false" customHeight="true" outlineLevel="0" collapsed="false">
      <c r="A167" s="10" t="n">
        <v>46128</v>
      </c>
      <c r="B167" s="10" t="n">
        <v>46129</v>
      </c>
      <c r="C167" s="22" t="n">
        <f aca="false">SUMIFS(Verbrauch!$C$9:$C$18896,Verbrauch!$A$9:$A$18896,"&gt;="&amp;A167,Verbrauch!$A$9:$A$18896,"&lt;"&amp;B167)</f>
        <v>0</v>
      </c>
      <c r="D167" s="22" t="n">
        <f aca="false">SUMIFS(Verbrauch!$C$9:$C$18896,Verbrauch!$A$9:$A$18896,"&gt;="&amp;A167,Verbrauch!$A$9:$A$18896,"&lt;"&amp;B167,Verbrauch!$F$9:$F$18896,"Go")</f>
        <v>0</v>
      </c>
      <c r="E167" s="22" t="n">
        <f aca="false">SUMIFS(Verbrauch!$C$9:$C$18896,Verbrauch!$A$9:$A$18896,"&gt;="&amp;A167,Verbrauch!$A$9:$A$18896,"&lt;"&amp;B167,Verbrauch!$F$9:$F$18896,"Standard")</f>
        <v>0</v>
      </c>
      <c r="F167" s="23" t="n">
        <f aca="false">SUMIFS(Verbrauch!$E$9:$E$18896,Verbrauch!$A$9:$A$18896,"&gt;="&amp;A167,Verbrauch!$A$9:$A$18896,"&lt;"&amp;B167)</f>
        <v>0</v>
      </c>
      <c r="G167" s="13" t="str">
        <f aca="false">IFERROR(F167/C167*100,"")</f>
        <v/>
      </c>
      <c r="H167" s="11" t="n">
        <f aca="false">COUNTIFS(Verbrauch!$A$9:$A$18896,"&gt;="&amp;A167,Verbrauch!$A$9:$A$18896,"&lt;"&amp;B167,Verbrauch!$C$9:$C$18896,"&lt;&gt;")</f>
        <v>0</v>
      </c>
    </row>
    <row r="168" customFormat="false" ht="13.5" hidden="false" customHeight="true" outlineLevel="0" collapsed="false">
      <c r="A168" s="10" t="n">
        <v>46129</v>
      </c>
      <c r="B168" s="10" t="n">
        <v>46130</v>
      </c>
      <c r="C168" s="22" t="n">
        <f aca="false">SUMIFS(Verbrauch!$C$9:$C$18896,Verbrauch!$A$9:$A$18896,"&gt;="&amp;A168,Verbrauch!$A$9:$A$18896,"&lt;"&amp;B168)</f>
        <v>0</v>
      </c>
      <c r="D168" s="22" t="n">
        <f aca="false">SUMIFS(Verbrauch!$C$9:$C$18896,Verbrauch!$A$9:$A$18896,"&gt;="&amp;A168,Verbrauch!$A$9:$A$18896,"&lt;"&amp;B168,Verbrauch!$F$9:$F$18896,"Go")</f>
        <v>0</v>
      </c>
      <c r="E168" s="22" t="n">
        <f aca="false">SUMIFS(Verbrauch!$C$9:$C$18896,Verbrauch!$A$9:$A$18896,"&gt;="&amp;A168,Verbrauch!$A$9:$A$18896,"&lt;"&amp;B168,Verbrauch!$F$9:$F$18896,"Standard")</f>
        <v>0</v>
      </c>
      <c r="F168" s="23" t="n">
        <f aca="false">SUMIFS(Verbrauch!$E$9:$E$18896,Verbrauch!$A$9:$A$18896,"&gt;="&amp;A168,Verbrauch!$A$9:$A$18896,"&lt;"&amp;B168)</f>
        <v>0</v>
      </c>
      <c r="G168" s="13" t="str">
        <f aca="false">IFERROR(F168/C168*100,"")</f>
        <v/>
      </c>
      <c r="H168" s="11" t="n">
        <f aca="false">COUNTIFS(Verbrauch!$A$9:$A$18896,"&gt;="&amp;A168,Verbrauch!$A$9:$A$18896,"&lt;"&amp;B168,Verbrauch!$C$9:$C$18896,"&lt;&gt;")</f>
        <v>0</v>
      </c>
    </row>
    <row r="169" customFormat="false" ht="13.5" hidden="false" customHeight="true" outlineLevel="0" collapsed="false">
      <c r="A169" s="10" t="n">
        <v>46130</v>
      </c>
      <c r="B169" s="10" t="n">
        <v>46131</v>
      </c>
      <c r="C169" s="22" t="n">
        <f aca="false">SUMIFS(Verbrauch!$C$9:$C$18896,Verbrauch!$A$9:$A$18896,"&gt;="&amp;A169,Verbrauch!$A$9:$A$18896,"&lt;"&amp;B169)</f>
        <v>0</v>
      </c>
      <c r="D169" s="22" t="n">
        <f aca="false">SUMIFS(Verbrauch!$C$9:$C$18896,Verbrauch!$A$9:$A$18896,"&gt;="&amp;A169,Verbrauch!$A$9:$A$18896,"&lt;"&amp;B169,Verbrauch!$F$9:$F$18896,"Go")</f>
        <v>0</v>
      </c>
      <c r="E169" s="22" t="n">
        <f aca="false">SUMIFS(Verbrauch!$C$9:$C$18896,Verbrauch!$A$9:$A$18896,"&gt;="&amp;A169,Verbrauch!$A$9:$A$18896,"&lt;"&amp;B169,Verbrauch!$F$9:$F$18896,"Standard")</f>
        <v>0</v>
      </c>
      <c r="F169" s="23" t="n">
        <f aca="false">SUMIFS(Verbrauch!$E$9:$E$18896,Verbrauch!$A$9:$A$18896,"&gt;="&amp;A169,Verbrauch!$A$9:$A$18896,"&lt;"&amp;B169)</f>
        <v>0</v>
      </c>
      <c r="G169" s="13" t="str">
        <f aca="false">IFERROR(F169/C169*100,"")</f>
        <v/>
      </c>
      <c r="H169" s="11" t="n">
        <f aca="false">COUNTIFS(Verbrauch!$A$9:$A$18896,"&gt;="&amp;A169,Verbrauch!$A$9:$A$18896,"&lt;"&amp;B169,Verbrauch!$C$9:$C$18896,"&lt;&gt;")</f>
        <v>0</v>
      </c>
    </row>
    <row r="170" customFormat="false" ht="13.5" hidden="false" customHeight="true" outlineLevel="0" collapsed="false">
      <c r="A170" s="10" t="n">
        <v>46131</v>
      </c>
      <c r="B170" s="10" t="n">
        <v>46132</v>
      </c>
      <c r="C170" s="22" t="n">
        <f aca="false">SUMIFS(Verbrauch!$C$9:$C$18896,Verbrauch!$A$9:$A$18896,"&gt;="&amp;A170,Verbrauch!$A$9:$A$18896,"&lt;"&amp;B170)</f>
        <v>0</v>
      </c>
      <c r="D170" s="22" t="n">
        <f aca="false">SUMIFS(Verbrauch!$C$9:$C$18896,Verbrauch!$A$9:$A$18896,"&gt;="&amp;A170,Verbrauch!$A$9:$A$18896,"&lt;"&amp;B170,Verbrauch!$F$9:$F$18896,"Go")</f>
        <v>0</v>
      </c>
      <c r="E170" s="22" t="n">
        <f aca="false">SUMIFS(Verbrauch!$C$9:$C$18896,Verbrauch!$A$9:$A$18896,"&gt;="&amp;A170,Verbrauch!$A$9:$A$18896,"&lt;"&amp;B170,Verbrauch!$F$9:$F$18896,"Standard")</f>
        <v>0</v>
      </c>
      <c r="F170" s="23" t="n">
        <f aca="false">SUMIFS(Verbrauch!$E$9:$E$18896,Verbrauch!$A$9:$A$18896,"&gt;="&amp;A170,Verbrauch!$A$9:$A$18896,"&lt;"&amp;B170)</f>
        <v>0</v>
      </c>
      <c r="G170" s="13" t="str">
        <f aca="false">IFERROR(F170/C170*100,"")</f>
        <v/>
      </c>
      <c r="H170" s="11" t="n">
        <f aca="false">COUNTIFS(Verbrauch!$A$9:$A$18896,"&gt;="&amp;A170,Verbrauch!$A$9:$A$18896,"&lt;"&amp;B170,Verbrauch!$C$9:$C$18896,"&lt;&gt;")</f>
        <v>0</v>
      </c>
    </row>
    <row r="171" customFormat="false" ht="13.5" hidden="false" customHeight="true" outlineLevel="0" collapsed="false">
      <c r="A171" s="10" t="n">
        <v>46132</v>
      </c>
      <c r="B171" s="10" t="n">
        <v>46133</v>
      </c>
      <c r="C171" s="22" t="n">
        <f aca="false">SUMIFS(Verbrauch!$C$9:$C$18896,Verbrauch!$A$9:$A$18896,"&gt;="&amp;A171,Verbrauch!$A$9:$A$18896,"&lt;"&amp;B171)</f>
        <v>0</v>
      </c>
      <c r="D171" s="22" t="n">
        <f aca="false">SUMIFS(Verbrauch!$C$9:$C$18896,Verbrauch!$A$9:$A$18896,"&gt;="&amp;A171,Verbrauch!$A$9:$A$18896,"&lt;"&amp;B171,Verbrauch!$F$9:$F$18896,"Go")</f>
        <v>0</v>
      </c>
      <c r="E171" s="22" t="n">
        <f aca="false">SUMIFS(Verbrauch!$C$9:$C$18896,Verbrauch!$A$9:$A$18896,"&gt;="&amp;A171,Verbrauch!$A$9:$A$18896,"&lt;"&amp;B171,Verbrauch!$F$9:$F$18896,"Standard")</f>
        <v>0</v>
      </c>
      <c r="F171" s="23" t="n">
        <f aca="false">SUMIFS(Verbrauch!$E$9:$E$18896,Verbrauch!$A$9:$A$18896,"&gt;="&amp;A171,Verbrauch!$A$9:$A$18896,"&lt;"&amp;B171)</f>
        <v>0</v>
      </c>
      <c r="G171" s="13" t="str">
        <f aca="false">IFERROR(F171/C171*100,"")</f>
        <v/>
      </c>
      <c r="H171" s="11" t="n">
        <f aca="false">COUNTIFS(Verbrauch!$A$9:$A$18896,"&gt;="&amp;A171,Verbrauch!$A$9:$A$18896,"&lt;"&amp;B171,Verbrauch!$C$9:$C$18896,"&lt;&gt;")</f>
        <v>0</v>
      </c>
    </row>
    <row r="172" customFormat="false" ht="13.5" hidden="false" customHeight="true" outlineLevel="0" collapsed="false">
      <c r="A172" s="10" t="n">
        <v>46133</v>
      </c>
      <c r="B172" s="10" t="n">
        <v>46134</v>
      </c>
      <c r="C172" s="22" t="n">
        <f aca="false">SUMIFS(Verbrauch!$C$9:$C$18896,Verbrauch!$A$9:$A$18896,"&gt;="&amp;A172,Verbrauch!$A$9:$A$18896,"&lt;"&amp;B172)</f>
        <v>0</v>
      </c>
      <c r="D172" s="22" t="n">
        <f aca="false">SUMIFS(Verbrauch!$C$9:$C$18896,Verbrauch!$A$9:$A$18896,"&gt;="&amp;A172,Verbrauch!$A$9:$A$18896,"&lt;"&amp;B172,Verbrauch!$F$9:$F$18896,"Go")</f>
        <v>0</v>
      </c>
      <c r="E172" s="22" t="n">
        <f aca="false">SUMIFS(Verbrauch!$C$9:$C$18896,Verbrauch!$A$9:$A$18896,"&gt;="&amp;A172,Verbrauch!$A$9:$A$18896,"&lt;"&amp;B172,Verbrauch!$F$9:$F$18896,"Standard")</f>
        <v>0</v>
      </c>
      <c r="F172" s="23" t="n">
        <f aca="false">SUMIFS(Verbrauch!$E$9:$E$18896,Verbrauch!$A$9:$A$18896,"&gt;="&amp;A172,Verbrauch!$A$9:$A$18896,"&lt;"&amp;B172)</f>
        <v>0</v>
      </c>
      <c r="G172" s="13" t="str">
        <f aca="false">IFERROR(F172/C172*100,"")</f>
        <v/>
      </c>
      <c r="H172" s="11" t="n">
        <f aca="false">COUNTIFS(Verbrauch!$A$9:$A$18896,"&gt;="&amp;A172,Verbrauch!$A$9:$A$18896,"&lt;"&amp;B172,Verbrauch!$C$9:$C$18896,"&lt;&gt;")</f>
        <v>0</v>
      </c>
    </row>
    <row r="173" customFormat="false" ht="13.5" hidden="false" customHeight="true" outlineLevel="0" collapsed="false">
      <c r="A173" s="10" t="n">
        <v>46134</v>
      </c>
      <c r="B173" s="10" t="n">
        <v>46135</v>
      </c>
      <c r="C173" s="22" t="n">
        <f aca="false">SUMIFS(Verbrauch!$C$9:$C$18896,Verbrauch!$A$9:$A$18896,"&gt;="&amp;A173,Verbrauch!$A$9:$A$18896,"&lt;"&amp;B173)</f>
        <v>0</v>
      </c>
      <c r="D173" s="22" t="n">
        <f aca="false">SUMIFS(Verbrauch!$C$9:$C$18896,Verbrauch!$A$9:$A$18896,"&gt;="&amp;A173,Verbrauch!$A$9:$A$18896,"&lt;"&amp;B173,Verbrauch!$F$9:$F$18896,"Go")</f>
        <v>0</v>
      </c>
      <c r="E173" s="22" t="n">
        <f aca="false">SUMIFS(Verbrauch!$C$9:$C$18896,Verbrauch!$A$9:$A$18896,"&gt;="&amp;A173,Verbrauch!$A$9:$A$18896,"&lt;"&amp;B173,Verbrauch!$F$9:$F$18896,"Standard")</f>
        <v>0</v>
      </c>
      <c r="F173" s="23" t="n">
        <f aca="false">SUMIFS(Verbrauch!$E$9:$E$18896,Verbrauch!$A$9:$A$18896,"&gt;="&amp;A173,Verbrauch!$A$9:$A$18896,"&lt;"&amp;B173)</f>
        <v>0</v>
      </c>
      <c r="G173" s="13" t="str">
        <f aca="false">IFERROR(F173/C173*100,"")</f>
        <v/>
      </c>
      <c r="H173" s="11" t="n">
        <f aca="false">COUNTIFS(Verbrauch!$A$9:$A$18896,"&gt;="&amp;A173,Verbrauch!$A$9:$A$18896,"&lt;"&amp;B173,Verbrauch!$C$9:$C$18896,"&lt;&gt;")</f>
        <v>0</v>
      </c>
    </row>
    <row r="174" customFormat="false" ht="13.5" hidden="false" customHeight="true" outlineLevel="0" collapsed="false">
      <c r="A174" s="10" t="n">
        <v>46135</v>
      </c>
      <c r="B174" s="10" t="n">
        <v>46136</v>
      </c>
      <c r="C174" s="22" t="n">
        <f aca="false">SUMIFS(Verbrauch!$C$9:$C$18896,Verbrauch!$A$9:$A$18896,"&gt;="&amp;A174,Verbrauch!$A$9:$A$18896,"&lt;"&amp;B174)</f>
        <v>0</v>
      </c>
      <c r="D174" s="22" t="n">
        <f aca="false">SUMIFS(Verbrauch!$C$9:$C$18896,Verbrauch!$A$9:$A$18896,"&gt;="&amp;A174,Verbrauch!$A$9:$A$18896,"&lt;"&amp;B174,Verbrauch!$F$9:$F$18896,"Go")</f>
        <v>0</v>
      </c>
      <c r="E174" s="22" t="n">
        <f aca="false">SUMIFS(Verbrauch!$C$9:$C$18896,Verbrauch!$A$9:$A$18896,"&gt;="&amp;A174,Verbrauch!$A$9:$A$18896,"&lt;"&amp;B174,Verbrauch!$F$9:$F$18896,"Standard")</f>
        <v>0</v>
      </c>
      <c r="F174" s="23" t="n">
        <f aca="false">SUMIFS(Verbrauch!$E$9:$E$18896,Verbrauch!$A$9:$A$18896,"&gt;="&amp;A174,Verbrauch!$A$9:$A$18896,"&lt;"&amp;B174)</f>
        <v>0</v>
      </c>
      <c r="G174" s="13" t="str">
        <f aca="false">IFERROR(F174/C174*100,"")</f>
        <v/>
      </c>
      <c r="H174" s="11" t="n">
        <f aca="false">COUNTIFS(Verbrauch!$A$9:$A$18896,"&gt;="&amp;A174,Verbrauch!$A$9:$A$18896,"&lt;"&amp;B174,Verbrauch!$C$9:$C$18896,"&lt;&gt;")</f>
        <v>0</v>
      </c>
    </row>
    <row r="175" customFormat="false" ht="13.5" hidden="false" customHeight="true" outlineLevel="0" collapsed="false">
      <c r="A175" s="10" t="n">
        <v>46136</v>
      </c>
      <c r="B175" s="10" t="n">
        <v>46137</v>
      </c>
      <c r="C175" s="22" t="n">
        <f aca="false">SUMIFS(Verbrauch!$C$9:$C$18896,Verbrauch!$A$9:$A$18896,"&gt;="&amp;A175,Verbrauch!$A$9:$A$18896,"&lt;"&amp;B175)</f>
        <v>0</v>
      </c>
      <c r="D175" s="22" t="n">
        <f aca="false">SUMIFS(Verbrauch!$C$9:$C$18896,Verbrauch!$A$9:$A$18896,"&gt;="&amp;A175,Verbrauch!$A$9:$A$18896,"&lt;"&amp;B175,Verbrauch!$F$9:$F$18896,"Go")</f>
        <v>0</v>
      </c>
      <c r="E175" s="22" t="n">
        <f aca="false">SUMIFS(Verbrauch!$C$9:$C$18896,Verbrauch!$A$9:$A$18896,"&gt;="&amp;A175,Verbrauch!$A$9:$A$18896,"&lt;"&amp;B175,Verbrauch!$F$9:$F$18896,"Standard")</f>
        <v>0</v>
      </c>
      <c r="F175" s="23" t="n">
        <f aca="false">SUMIFS(Verbrauch!$E$9:$E$18896,Verbrauch!$A$9:$A$18896,"&gt;="&amp;A175,Verbrauch!$A$9:$A$18896,"&lt;"&amp;B175)</f>
        <v>0</v>
      </c>
      <c r="G175" s="13" t="str">
        <f aca="false">IFERROR(F175/C175*100,"")</f>
        <v/>
      </c>
      <c r="H175" s="11" t="n">
        <f aca="false">COUNTIFS(Verbrauch!$A$9:$A$18896,"&gt;="&amp;A175,Verbrauch!$A$9:$A$18896,"&lt;"&amp;B175,Verbrauch!$C$9:$C$18896,"&lt;&gt;")</f>
        <v>0</v>
      </c>
    </row>
    <row r="176" customFormat="false" ht="13.5" hidden="false" customHeight="true" outlineLevel="0" collapsed="false">
      <c r="A176" s="10" t="n">
        <v>46137</v>
      </c>
      <c r="B176" s="10" t="n">
        <v>46138</v>
      </c>
      <c r="C176" s="22" t="n">
        <f aca="false">SUMIFS(Verbrauch!$C$9:$C$18896,Verbrauch!$A$9:$A$18896,"&gt;="&amp;A176,Verbrauch!$A$9:$A$18896,"&lt;"&amp;B176)</f>
        <v>0</v>
      </c>
      <c r="D176" s="22" t="n">
        <f aca="false">SUMIFS(Verbrauch!$C$9:$C$18896,Verbrauch!$A$9:$A$18896,"&gt;="&amp;A176,Verbrauch!$A$9:$A$18896,"&lt;"&amp;B176,Verbrauch!$F$9:$F$18896,"Go")</f>
        <v>0</v>
      </c>
      <c r="E176" s="22" t="n">
        <f aca="false">SUMIFS(Verbrauch!$C$9:$C$18896,Verbrauch!$A$9:$A$18896,"&gt;="&amp;A176,Verbrauch!$A$9:$A$18896,"&lt;"&amp;B176,Verbrauch!$F$9:$F$18896,"Standard")</f>
        <v>0</v>
      </c>
      <c r="F176" s="23" t="n">
        <f aca="false">SUMIFS(Verbrauch!$E$9:$E$18896,Verbrauch!$A$9:$A$18896,"&gt;="&amp;A176,Verbrauch!$A$9:$A$18896,"&lt;"&amp;B176)</f>
        <v>0</v>
      </c>
      <c r="G176" s="13" t="str">
        <f aca="false">IFERROR(F176/C176*100,"")</f>
        <v/>
      </c>
      <c r="H176" s="11" t="n">
        <f aca="false">COUNTIFS(Verbrauch!$A$9:$A$18896,"&gt;="&amp;A176,Verbrauch!$A$9:$A$18896,"&lt;"&amp;B176,Verbrauch!$C$9:$C$18896,"&lt;&gt;")</f>
        <v>0</v>
      </c>
    </row>
    <row r="177" customFormat="false" ht="13.5" hidden="false" customHeight="true" outlineLevel="0" collapsed="false">
      <c r="A177" s="10" t="n">
        <v>46138</v>
      </c>
      <c r="B177" s="10" t="n">
        <v>46139</v>
      </c>
      <c r="C177" s="22" t="n">
        <f aca="false">SUMIFS(Verbrauch!$C$9:$C$18896,Verbrauch!$A$9:$A$18896,"&gt;="&amp;A177,Verbrauch!$A$9:$A$18896,"&lt;"&amp;B177)</f>
        <v>0</v>
      </c>
      <c r="D177" s="22" t="n">
        <f aca="false">SUMIFS(Verbrauch!$C$9:$C$18896,Verbrauch!$A$9:$A$18896,"&gt;="&amp;A177,Verbrauch!$A$9:$A$18896,"&lt;"&amp;B177,Verbrauch!$F$9:$F$18896,"Go")</f>
        <v>0</v>
      </c>
      <c r="E177" s="22" t="n">
        <f aca="false">SUMIFS(Verbrauch!$C$9:$C$18896,Verbrauch!$A$9:$A$18896,"&gt;="&amp;A177,Verbrauch!$A$9:$A$18896,"&lt;"&amp;B177,Verbrauch!$F$9:$F$18896,"Standard")</f>
        <v>0</v>
      </c>
      <c r="F177" s="23" t="n">
        <f aca="false">SUMIFS(Verbrauch!$E$9:$E$18896,Verbrauch!$A$9:$A$18896,"&gt;="&amp;A177,Verbrauch!$A$9:$A$18896,"&lt;"&amp;B177)</f>
        <v>0</v>
      </c>
      <c r="G177" s="13" t="str">
        <f aca="false">IFERROR(F177/C177*100,"")</f>
        <v/>
      </c>
      <c r="H177" s="11" t="n">
        <f aca="false">COUNTIFS(Verbrauch!$A$9:$A$18896,"&gt;="&amp;A177,Verbrauch!$A$9:$A$18896,"&lt;"&amp;B177,Verbrauch!$C$9:$C$18896,"&lt;&gt;")</f>
        <v>0</v>
      </c>
    </row>
    <row r="178" customFormat="false" ht="13.5" hidden="false" customHeight="true" outlineLevel="0" collapsed="false">
      <c r="A178" s="10" t="n">
        <v>46139</v>
      </c>
      <c r="B178" s="10" t="n">
        <v>46140</v>
      </c>
      <c r="C178" s="22" t="n">
        <f aca="false">SUMIFS(Verbrauch!$C$9:$C$18896,Verbrauch!$A$9:$A$18896,"&gt;="&amp;A178,Verbrauch!$A$9:$A$18896,"&lt;"&amp;B178)</f>
        <v>0</v>
      </c>
      <c r="D178" s="22" t="n">
        <f aca="false">SUMIFS(Verbrauch!$C$9:$C$18896,Verbrauch!$A$9:$A$18896,"&gt;="&amp;A178,Verbrauch!$A$9:$A$18896,"&lt;"&amp;B178,Verbrauch!$F$9:$F$18896,"Go")</f>
        <v>0</v>
      </c>
      <c r="E178" s="22" t="n">
        <f aca="false">SUMIFS(Verbrauch!$C$9:$C$18896,Verbrauch!$A$9:$A$18896,"&gt;="&amp;A178,Verbrauch!$A$9:$A$18896,"&lt;"&amp;B178,Verbrauch!$F$9:$F$18896,"Standard")</f>
        <v>0</v>
      </c>
      <c r="F178" s="23" t="n">
        <f aca="false">SUMIFS(Verbrauch!$E$9:$E$18896,Verbrauch!$A$9:$A$18896,"&gt;="&amp;A178,Verbrauch!$A$9:$A$18896,"&lt;"&amp;B178)</f>
        <v>0</v>
      </c>
      <c r="G178" s="13" t="str">
        <f aca="false">IFERROR(F178/C178*100,"")</f>
        <v/>
      </c>
      <c r="H178" s="11" t="n">
        <f aca="false">COUNTIFS(Verbrauch!$A$9:$A$18896,"&gt;="&amp;A178,Verbrauch!$A$9:$A$18896,"&lt;"&amp;B178,Verbrauch!$C$9:$C$18896,"&lt;&gt;")</f>
        <v>0</v>
      </c>
    </row>
    <row r="179" customFormat="false" ht="13.5" hidden="false" customHeight="true" outlineLevel="0" collapsed="false">
      <c r="A179" s="10" t="n">
        <v>46140</v>
      </c>
      <c r="B179" s="10" t="n">
        <v>46141</v>
      </c>
      <c r="C179" s="22" t="n">
        <f aca="false">SUMIFS(Verbrauch!$C$9:$C$18896,Verbrauch!$A$9:$A$18896,"&gt;="&amp;A179,Verbrauch!$A$9:$A$18896,"&lt;"&amp;B179)</f>
        <v>0</v>
      </c>
      <c r="D179" s="22" t="n">
        <f aca="false">SUMIFS(Verbrauch!$C$9:$C$18896,Verbrauch!$A$9:$A$18896,"&gt;="&amp;A179,Verbrauch!$A$9:$A$18896,"&lt;"&amp;B179,Verbrauch!$F$9:$F$18896,"Go")</f>
        <v>0</v>
      </c>
      <c r="E179" s="22" t="n">
        <f aca="false">SUMIFS(Verbrauch!$C$9:$C$18896,Verbrauch!$A$9:$A$18896,"&gt;="&amp;A179,Verbrauch!$A$9:$A$18896,"&lt;"&amp;B179,Verbrauch!$F$9:$F$18896,"Standard")</f>
        <v>0</v>
      </c>
      <c r="F179" s="23" t="n">
        <f aca="false">SUMIFS(Verbrauch!$E$9:$E$18896,Verbrauch!$A$9:$A$18896,"&gt;="&amp;A179,Verbrauch!$A$9:$A$18896,"&lt;"&amp;B179)</f>
        <v>0</v>
      </c>
      <c r="G179" s="13" t="str">
        <f aca="false">IFERROR(F179/C179*100,"")</f>
        <v/>
      </c>
      <c r="H179" s="11" t="n">
        <f aca="false">COUNTIFS(Verbrauch!$A$9:$A$18896,"&gt;="&amp;A179,Verbrauch!$A$9:$A$18896,"&lt;"&amp;B179,Verbrauch!$C$9:$C$18896,"&lt;&gt;")</f>
        <v>0</v>
      </c>
    </row>
    <row r="180" customFormat="false" ht="13.5" hidden="false" customHeight="true" outlineLevel="0" collapsed="false">
      <c r="A180" s="10" t="n">
        <v>46141</v>
      </c>
      <c r="B180" s="10" t="n">
        <v>46142</v>
      </c>
      <c r="C180" s="22" t="n">
        <f aca="false">SUMIFS(Verbrauch!$C$9:$C$18896,Verbrauch!$A$9:$A$18896,"&gt;="&amp;A180,Verbrauch!$A$9:$A$18896,"&lt;"&amp;B180)</f>
        <v>0</v>
      </c>
      <c r="D180" s="22" t="n">
        <f aca="false">SUMIFS(Verbrauch!$C$9:$C$18896,Verbrauch!$A$9:$A$18896,"&gt;="&amp;A180,Verbrauch!$A$9:$A$18896,"&lt;"&amp;B180,Verbrauch!$F$9:$F$18896,"Go")</f>
        <v>0</v>
      </c>
      <c r="E180" s="22" t="n">
        <f aca="false">SUMIFS(Verbrauch!$C$9:$C$18896,Verbrauch!$A$9:$A$18896,"&gt;="&amp;A180,Verbrauch!$A$9:$A$18896,"&lt;"&amp;B180,Verbrauch!$F$9:$F$18896,"Standard")</f>
        <v>0</v>
      </c>
      <c r="F180" s="23" t="n">
        <f aca="false">SUMIFS(Verbrauch!$E$9:$E$18896,Verbrauch!$A$9:$A$18896,"&gt;="&amp;A180,Verbrauch!$A$9:$A$18896,"&lt;"&amp;B180)</f>
        <v>0</v>
      </c>
      <c r="G180" s="13" t="str">
        <f aca="false">IFERROR(F180/C180*100,"")</f>
        <v/>
      </c>
      <c r="H180" s="11" t="n">
        <f aca="false">COUNTIFS(Verbrauch!$A$9:$A$18896,"&gt;="&amp;A180,Verbrauch!$A$9:$A$18896,"&lt;"&amp;B180,Verbrauch!$C$9:$C$18896,"&lt;&gt;")</f>
        <v>0</v>
      </c>
    </row>
    <row r="181" customFormat="false" ht="13.5" hidden="false" customHeight="true" outlineLevel="0" collapsed="false">
      <c r="A181" s="10" t="n">
        <v>46142</v>
      </c>
      <c r="B181" s="10" t="n">
        <v>46143</v>
      </c>
      <c r="C181" s="22" t="n">
        <f aca="false">SUMIFS(Verbrauch!$C$9:$C$18896,Verbrauch!$A$9:$A$18896,"&gt;="&amp;A181,Verbrauch!$A$9:$A$18896,"&lt;"&amp;B181)</f>
        <v>0</v>
      </c>
      <c r="D181" s="22" t="n">
        <f aca="false">SUMIFS(Verbrauch!$C$9:$C$18896,Verbrauch!$A$9:$A$18896,"&gt;="&amp;A181,Verbrauch!$A$9:$A$18896,"&lt;"&amp;B181,Verbrauch!$F$9:$F$18896,"Go")</f>
        <v>0</v>
      </c>
      <c r="E181" s="22" t="n">
        <f aca="false">SUMIFS(Verbrauch!$C$9:$C$18896,Verbrauch!$A$9:$A$18896,"&gt;="&amp;A181,Verbrauch!$A$9:$A$18896,"&lt;"&amp;B181,Verbrauch!$F$9:$F$18896,"Standard")</f>
        <v>0</v>
      </c>
      <c r="F181" s="23" t="n">
        <f aca="false">SUMIFS(Verbrauch!$E$9:$E$18896,Verbrauch!$A$9:$A$18896,"&gt;="&amp;A181,Verbrauch!$A$9:$A$18896,"&lt;"&amp;B181)</f>
        <v>0</v>
      </c>
      <c r="G181" s="13" t="str">
        <f aca="false">IFERROR(F181/C181*100,"")</f>
        <v/>
      </c>
      <c r="H181" s="11" t="n">
        <f aca="false">COUNTIFS(Verbrauch!$A$9:$A$18896,"&gt;="&amp;A181,Verbrauch!$A$9:$A$18896,"&lt;"&amp;B181,Verbrauch!$C$9:$C$18896,"&lt;&gt;")</f>
        <v>0</v>
      </c>
    </row>
    <row r="182" customFormat="false" ht="13.5" hidden="false" customHeight="true" outlineLevel="0" collapsed="false">
      <c r="A182" s="10" t="n">
        <v>46143</v>
      </c>
      <c r="B182" s="10" t="n">
        <v>46144</v>
      </c>
      <c r="C182" s="22" t="n">
        <f aca="false">SUMIFS(Verbrauch!$C$9:$C$18896,Verbrauch!$A$9:$A$18896,"&gt;="&amp;A182,Verbrauch!$A$9:$A$18896,"&lt;"&amp;B182)</f>
        <v>0</v>
      </c>
      <c r="D182" s="22" t="n">
        <f aca="false">SUMIFS(Verbrauch!$C$9:$C$18896,Verbrauch!$A$9:$A$18896,"&gt;="&amp;A182,Verbrauch!$A$9:$A$18896,"&lt;"&amp;B182,Verbrauch!$F$9:$F$18896,"Go")</f>
        <v>0</v>
      </c>
      <c r="E182" s="22" t="n">
        <f aca="false">SUMIFS(Verbrauch!$C$9:$C$18896,Verbrauch!$A$9:$A$18896,"&gt;="&amp;A182,Verbrauch!$A$9:$A$18896,"&lt;"&amp;B182,Verbrauch!$F$9:$F$18896,"Standard")</f>
        <v>0</v>
      </c>
      <c r="F182" s="23" t="n">
        <f aca="false">SUMIFS(Verbrauch!$E$9:$E$18896,Verbrauch!$A$9:$A$18896,"&gt;="&amp;A182,Verbrauch!$A$9:$A$18896,"&lt;"&amp;B182)</f>
        <v>0</v>
      </c>
      <c r="G182" s="13" t="str">
        <f aca="false">IFERROR(F182/C182*100,"")</f>
        <v/>
      </c>
      <c r="H182" s="11" t="n">
        <f aca="false">COUNTIFS(Verbrauch!$A$9:$A$18896,"&gt;="&amp;A182,Verbrauch!$A$9:$A$18896,"&lt;"&amp;B182,Verbrauch!$C$9:$C$18896,"&lt;&gt;")</f>
        <v>0</v>
      </c>
    </row>
    <row r="183" customFormat="false" ht="13.5" hidden="false" customHeight="true" outlineLevel="0" collapsed="false">
      <c r="A183" s="10" t="n">
        <v>46144</v>
      </c>
      <c r="B183" s="10" t="n">
        <v>46145</v>
      </c>
      <c r="C183" s="22" t="n">
        <f aca="false">SUMIFS(Verbrauch!$C$9:$C$18896,Verbrauch!$A$9:$A$18896,"&gt;="&amp;A183,Verbrauch!$A$9:$A$18896,"&lt;"&amp;B183)</f>
        <v>0</v>
      </c>
      <c r="D183" s="22" t="n">
        <f aca="false">SUMIFS(Verbrauch!$C$9:$C$18896,Verbrauch!$A$9:$A$18896,"&gt;="&amp;A183,Verbrauch!$A$9:$A$18896,"&lt;"&amp;B183,Verbrauch!$F$9:$F$18896,"Go")</f>
        <v>0</v>
      </c>
      <c r="E183" s="22" t="n">
        <f aca="false">SUMIFS(Verbrauch!$C$9:$C$18896,Verbrauch!$A$9:$A$18896,"&gt;="&amp;A183,Verbrauch!$A$9:$A$18896,"&lt;"&amp;B183,Verbrauch!$F$9:$F$18896,"Standard")</f>
        <v>0</v>
      </c>
      <c r="F183" s="23" t="n">
        <f aca="false">SUMIFS(Verbrauch!$E$9:$E$18896,Verbrauch!$A$9:$A$18896,"&gt;="&amp;A183,Verbrauch!$A$9:$A$18896,"&lt;"&amp;B183)</f>
        <v>0</v>
      </c>
      <c r="G183" s="13" t="str">
        <f aca="false">IFERROR(F183/C183*100,"")</f>
        <v/>
      </c>
      <c r="H183" s="11" t="n">
        <f aca="false">COUNTIFS(Verbrauch!$A$9:$A$18896,"&gt;="&amp;A183,Verbrauch!$A$9:$A$18896,"&lt;"&amp;B183,Verbrauch!$C$9:$C$18896,"&lt;&gt;")</f>
        <v>0</v>
      </c>
    </row>
    <row r="184" customFormat="false" ht="13.5" hidden="false" customHeight="true" outlineLevel="0" collapsed="false">
      <c r="A184" s="10" t="n">
        <v>46145</v>
      </c>
      <c r="B184" s="10" t="n">
        <v>46146</v>
      </c>
      <c r="C184" s="22" t="n">
        <f aca="false">SUMIFS(Verbrauch!$C$9:$C$18896,Verbrauch!$A$9:$A$18896,"&gt;="&amp;A184,Verbrauch!$A$9:$A$18896,"&lt;"&amp;B184)</f>
        <v>0</v>
      </c>
      <c r="D184" s="22" t="n">
        <f aca="false">SUMIFS(Verbrauch!$C$9:$C$18896,Verbrauch!$A$9:$A$18896,"&gt;="&amp;A184,Verbrauch!$A$9:$A$18896,"&lt;"&amp;B184,Verbrauch!$F$9:$F$18896,"Go")</f>
        <v>0</v>
      </c>
      <c r="E184" s="22" t="n">
        <f aca="false">SUMIFS(Verbrauch!$C$9:$C$18896,Verbrauch!$A$9:$A$18896,"&gt;="&amp;A184,Verbrauch!$A$9:$A$18896,"&lt;"&amp;B184,Verbrauch!$F$9:$F$18896,"Standard")</f>
        <v>0</v>
      </c>
      <c r="F184" s="23" t="n">
        <f aca="false">SUMIFS(Verbrauch!$E$9:$E$18896,Verbrauch!$A$9:$A$18896,"&gt;="&amp;A184,Verbrauch!$A$9:$A$18896,"&lt;"&amp;B184)</f>
        <v>0</v>
      </c>
      <c r="G184" s="13" t="str">
        <f aca="false">IFERROR(F184/C184*100,"")</f>
        <v/>
      </c>
      <c r="H184" s="11" t="n">
        <f aca="false">COUNTIFS(Verbrauch!$A$9:$A$18896,"&gt;="&amp;A184,Verbrauch!$A$9:$A$18896,"&lt;"&amp;B184,Verbrauch!$C$9:$C$18896,"&lt;&gt;")</f>
        <v>0</v>
      </c>
    </row>
    <row r="185" customFormat="false" ht="13.5" hidden="false" customHeight="true" outlineLevel="0" collapsed="false">
      <c r="A185" s="10" t="n">
        <v>46146</v>
      </c>
      <c r="B185" s="10" t="n">
        <v>46147</v>
      </c>
      <c r="C185" s="22" t="n">
        <f aca="false">SUMIFS(Verbrauch!$C$9:$C$18896,Verbrauch!$A$9:$A$18896,"&gt;="&amp;A185,Verbrauch!$A$9:$A$18896,"&lt;"&amp;B185)</f>
        <v>0</v>
      </c>
      <c r="D185" s="22" t="n">
        <f aca="false">SUMIFS(Verbrauch!$C$9:$C$18896,Verbrauch!$A$9:$A$18896,"&gt;="&amp;A185,Verbrauch!$A$9:$A$18896,"&lt;"&amp;B185,Verbrauch!$F$9:$F$18896,"Go")</f>
        <v>0</v>
      </c>
      <c r="E185" s="22" t="n">
        <f aca="false">SUMIFS(Verbrauch!$C$9:$C$18896,Verbrauch!$A$9:$A$18896,"&gt;="&amp;A185,Verbrauch!$A$9:$A$18896,"&lt;"&amp;B185,Verbrauch!$F$9:$F$18896,"Standard")</f>
        <v>0</v>
      </c>
      <c r="F185" s="23" t="n">
        <f aca="false">SUMIFS(Verbrauch!$E$9:$E$18896,Verbrauch!$A$9:$A$18896,"&gt;="&amp;A185,Verbrauch!$A$9:$A$18896,"&lt;"&amp;B185)</f>
        <v>0</v>
      </c>
      <c r="G185" s="13" t="str">
        <f aca="false">IFERROR(F185/C185*100,"")</f>
        <v/>
      </c>
      <c r="H185" s="11" t="n">
        <f aca="false">COUNTIFS(Verbrauch!$A$9:$A$18896,"&gt;="&amp;A185,Verbrauch!$A$9:$A$18896,"&lt;"&amp;B185,Verbrauch!$C$9:$C$18896,"&lt;&gt;")</f>
        <v>0</v>
      </c>
    </row>
    <row r="186" customFormat="false" ht="13.5" hidden="false" customHeight="true" outlineLevel="0" collapsed="false">
      <c r="A186" s="10" t="n">
        <v>46147</v>
      </c>
      <c r="B186" s="10" t="n">
        <v>46148</v>
      </c>
      <c r="C186" s="22" t="n">
        <f aca="false">SUMIFS(Verbrauch!$C$9:$C$18896,Verbrauch!$A$9:$A$18896,"&gt;="&amp;A186,Verbrauch!$A$9:$A$18896,"&lt;"&amp;B186)</f>
        <v>0</v>
      </c>
      <c r="D186" s="22" t="n">
        <f aca="false">SUMIFS(Verbrauch!$C$9:$C$18896,Verbrauch!$A$9:$A$18896,"&gt;="&amp;A186,Verbrauch!$A$9:$A$18896,"&lt;"&amp;B186,Verbrauch!$F$9:$F$18896,"Go")</f>
        <v>0</v>
      </c>
      <c r="E186" s="22" t="n">
        <f aca="false">SUMIFS(Verbrauch!$C$9:$C$18896,Verbrauch!$A$9:$A$18896,"&gt;="&amp;A186,Verbrauch!$A$9:$A$18896,"&lt;"&amp;B186,Verbrauch!$F$9:$F$18896,"Standard")</f>
        <v>0</v>
      </c>
      <c r="F186" s="23" t="n">
        <f aca="false">SUMIFS(Verbrauch!$E$9:$E$18896,Verbrauch!$A$9:$A$18896,"&gt;="&amp;A186,Verbrauch!$A$9:$A$18896,"&lt;"&amp;B186)</f>
        <v>0</v>
      </c>
      <c r="G186" s="13" t="str">
        <f aca="false">IFERROR(F186/C186*100,"")</f>
        <v/>
      </c>
      <c r="H186" s="11" t="n">
        <f aca="false">COUNTIFS(Verbrauch!$A$9:$A$18896,"&gt;="&amp;A186,Verbrauch!$A$9:$A$18896,"&lt;"&amp;B186,Verbrauch!$C$9:$C$18896,"&lt;&gt;")</f>
        <v>0</v>
      </c>
    </row>
    <row r="187" customFormat="false" ht="13.5" hidden="false" customHeight="true" outlineLevel="0" collapsed="false">
      <c r="A187" s="10" t="n">
        <v>46148</v>
      </c>
      <c r="B187" s="10" t="n">
        <v>46149</v>
      </c>
      <c r="C187" s="22" t="n">
        <f aca="false">SUMIFS(Verbrauch!$C$9:$C$18896,Verbrauch!$A$9:$A$18896,"&gt;="&amp;A187,Verbrauch!$A$9:$A$18896,"&lt;"&amp;B187)</f>
        <v>0</v>
      </c>
      <c r="D187" s="22" t="n">
        <f aca="false">SUMIFS(Verbrauch!$C$9:$C$18896,Verbrauch!$A$9:$A$18896,"&gt;="&amp;A187,Verbrauch!$A$9:$A$18896,"&lt;"&amp;B187,Verbrauch!$F$9:$F$18896,"Go")</f>
        <v>0</v>
      </c>
      <c r="E187" s="22" t="n">
        <f aca="false">SUMIFS(Verbrauch!$C$9:$C$18896,Verbrauch!$A$9:$A$18896,"&gt;="&amp;A187,Verbrauch!$A$9:$A$18896,"&lt;"&amp;B187,Verbrauch!$F$9:$F$18896,"Standard")</f>
        <v>0</v>
      </c>
      <c r="F187" s="23" t="n">
        <f aca="false">SUMIFS(Verbrauch!$E$9:$E$18896,Verbrauch!$A$9:$A$18896,"&gt;="&amp;A187,Verbrauch!$A$9:$A$18896,"&lt;"&amp;B187)</f>
        <v>0</v>
      </c>
      <c r="G187" s="13" t="str">
        <f aca="false">IFERROR(F187/C187*100,"")</f>
        <v/>
      </c>
      <c r="H187" s="11" t="n">
        <f aca="false">COUNTIFS(Verbrauch!$A$9:$A$18896,"&gt;="&amp;A187,Verbrauch!$A$9:$A$18896,"&lt;"&amp;B187,Verbrauch!$C$9:$C$18896,"&lt;&gt;")</f>
        <v>0</v>
      </c>
    </row>
    <row r="188" customFormat="false" ht="13.5" hidden="false" customHeight="true" outlineLevel="0" collapsed="false">
      <c r="A188" s="10" t="n">
        <v>46149</v>
      </c>
      <c r="B188" s="10" t="n">
        <v>46150</v>
      </c>
      <c r="C188" s="22" t="n">
        <f aca="false">SUMIFS(Verbrauch!$C$9:$C$18896,Verbrauch!$A$9:$A$18896,"&gt;="&amp;A188,Verbrauch!$A$9:$A$18896,"&lt;"&amp;B188)</f>
        <v>0</v>
      </c>
      <c r="D188" s="22" t="n">
        <f aca="false">SUMIFS(Verbrauch!$C$9:$C$18896,Verbrauch!$A$9:$A$18896,"&gt;="&amp;A188,Verbrauch!$A$9:$A$18896,"&lt;"&amp;B188,Verbrauch!$F$9:$F$18896,"Go")</f>
        <v>0</v>
      </c>
      <c r="E188" s="22" t="n">
        <f aca="false">SUMIFS(Verbrauch!$C$9:$C$18896,Verbrauch!$A$9:$A$18896,"&gt;="&amp;A188,Verbrauch!$A$9:$A$18896,"&lt;"&amp;B188,Verbrauch!$F$9:$F$18896,"Standard")</f>
        <v>0</v>
      </c>
      <c r="F188" s="23" t="n">
        <f aca="false">SUMIFS(Verbrauch!$E$9:$E$18896,Verbrauch!$A$9:$A$18896,"&gt;="&amp;A188,Verbrauch!$A$9:$A$18896,"&lt;"&amp;B188)</f>
        <v>0</v>
      </c>
      <c r="G188" s="13" t="str">
        <f aca="false">IFERROR(F188/C188*100,"")</f>
        <v/>
      </c>
      <c r="H188" s="11" t="n">
        <f aca="false">COUNTIFS(Verbrauch!$A$9:$A$18896,"&gt;="&amp;A188,Verbrauch!$A$9:$A$18896,"&lt;"&amp;B188,Verbrauch!$C$9:$C$18896,"&lt;&gt;")</f>
        <v>0</v>
      </c>
    </row>
    <row r="189" customFormat="false" ht="13.5" hidden="false" customHeight="true" outlineLevel="0" collapsed="false">
      <c r="A189" s="10" t="n">
        <v>46150</v>
      </c>
      <c r="B189" s="10" t="n">
        <v>46151</v>
      </c>
      <c r="C189" s="22" t="n">
        <f aca="false">SUMIFS(Verbrauch!$C$9:$C$18896,Verbrauch!$A$9:$A$18896,"&gt;="&amp;A189,Verbrauch!$A$9:$A$18896,"&lt;"&amp;B189)</f>
        <v>0</v>
      </c>
      <c r="D189" s="22" t="n">
        <f aca="false">SUMIFS(Verbrauch!$C$9:$C$18896,Verbrauch!$A$9:$A$18896,"&gt;="&amp;A189,Verbrauch!$A$9:$A$18896,"&lt;"&amp;B189,Verbrauch!$F$9:$F$18896,"Go")</f>
        <v>0</v>
      </c>
      <c r="E189" s="22" t="n">
        <f aca="false">SUMIFS(Verbrauch!$C$9:$C$18896,Verbrauch!$A$9:$A$18896,"&gt;="&amp;A189,Verbrauch!$A$9:$A$18896,"&lt;"&amp;B189,Verbrauch!$F$9:$F$18896,"Standard")</f>
        <v>0</v>
      </c>
      <c r="F189" s="23" t="n">
        <f aca="false">SUMIFS(Verbrauch!$E$9:$E$18896,Verbrauch!$A$9:$A$18896,"&gt;="&amp;A189,Verbrauch!$A$9:$A$18896,"&lt;"&amp;B189)</f>
        <v>0</v>
      </c>
      <c r="G189" s="13" t="str">
        <f aca="false">IFERROR(F189/C189*100,"")</f>
        <v/>
      </c>
      <c r="H189" s="11" t="n">
        <f aca="false">COUNTIFS(Verbrauch!$A$9:$A$18896,"&gt;="&amp;A189,Verbrauch!$A$9:$A$18896,"&lt;"&amp;B189,Verbrauch!$C$9:$C$18896,"&lt;&gt;")</f>
        <v>0</v>
      </c>
    </row>
    <row r="190" customFormat="false" ht="13.5" hidden="false" customHeight="true" outlineLevel="0" collapsed="false">
      <c r="A190" s="10" t="n">
        <v>46151</v>
      </c>
      <c r="B190" s="10" t="n">
        <v>46152</v>
      </c>
      <c r="C190" s="22" t="n">
        <f aca="false">SUMIFS(Verbrauch!$C$9:$C$18896,Verbrauch!$A$9:$A$18896,"&gt;="&amp;A190,Verbrauch!$A$9:$A$18896,"&lt;"&amp;B190)</f>
        <v>0</v>
      </c>
      <c r="D190" s="22" t="n">
        <f aca="false">SUMIFS(Verbrauch!$C$9:$C$18896,Verbrauch!$A$9:$A$18896,"&gt;="&amp;A190,Verbrauch!$A$9:$A$18896,"&lt;"&amp;B190,Verbrauch!$F$9:$F$18896,"Go")</f>
        <v>0</v>
      </c>
      <c r="E190" s="22" t="n">
        <f aca="false">SUMIFS(Verbrauch!$C$9:$C$18896,Verbrauch!$A$9:$A$18896,"&gt;="&amp;A190,Verbrauch!$A$9:$A$18896,"&lt;"&amp;B190,Verbrauch!$F$9:$F$18896,"Standard")</f>
        <v>0</v>
      </c>
      <c r="F190" s="23" t="n">
        <f aca="false">SUMIFS(Verbrauch!$E$9:$E$18896,Verbrauch!$A$9:$A$18896,"&gt;="&amp;A190,Verbrauch!$A$9:$A$18896,"&lt;"&amp;B190)</f>
        <v>0</v>
      </c>
      <c r="G190" s="13" t="str">
        <f aca="false">IFERROR(F190/C190*100,"")</f>
        <v/>
      </c>
      <c r="H190" s="11" t="n">
        <f aca="false">COUNTIFS(Verbrauch!$A$9:$A$18896,"&gt;="&amp;A190,Verbrauch!$A$9:$A$18896,"&lt;"&amp;B190,Verbrauch!$C$9:$C$18896,"&lt;&gt;")</f>
        <v>0</v>
      </c>
    </row>
    <row r="191" customFormat="false" ht="13.5" hidden="false" customHeight="true" outlineLevel="0" collapsed="false">
      <c r="A191" s="10" t="n">
        <v>46152</v>
      </c>
      <c r="B191" s="10" t="n">
        <v>46153</v>
      </c>
      <c r="C191" s="22" t="n">
        <f aca="false">SUMIFS(Verbrauch!$C$9:$C$18896,Verbrauch!$A$9:$A$18896,"&gt;="&amp;A191,Verbrauch!$A$9:$A$18896,"&lt;"&amp;B191)</f>
        <v>0</v>
      </c>
      <c r="D191" s="22" t="n">
        <f aca="false">SUMIFS(Verbrauch!$C$9:$C$18896,Verbrauch!$A$9:$A$18896,"&gt;="&amp;A191,Verbrauch!$A$9:$A$18896,"&lt;"&amp;B191,Verbrauch!$F$9:$F$18896,"Go")</f>
        <v>0</v>
      </c>
      <c r="E191" s="22" t="n">
        <f aca="false">SUMIFS(Verbrauch!$C$9:$C$18896,Verbrauch!$A$9:$A$18896,"&gt;="&amp;A191,Verbrauch!$A$9:$A$18896,"&lt;"&amp;B191,Verbrauch!$F$9:$F$18896,"Standard")</f>
        <v>0</v>
      </c>
      <c r="F191" s="23" t="n">
        <f aca="false">SUMIFS(Verbrauch!$E$9:$E$18896,Verbrauch!$A$9:$A$18896,"&gt;="&amp;A191,Verbrauch!$A$9:$A$18896,"&lt;"&amp;B191)</f>
        <v>0</v>
      </c>
      <c r="G191" s="13" t="str">
        <f aca="false">IFERROR(F191/C191*100,"")</f>
        <v/>
      </c>
      <c r="H191" s="11" t="n">
        <f aca="false">COUNTIFS(Verbrauch!$A$9:$A$18896,"&gt;="&amp;A191,Verbrauch!$A$9:$A$18896,"&lt;"&amp;B191,Verbrauch!$C$9:$C$18896,"&lt;&gt;")</f>
        <v>0</v>
      </c>
    </row>
    <row r="192" customFormat="false" ht="13.5" hidden="false" customHeight="true" outlineLevel="0" collapsed="false">
      <c r="A192" s="10" t="n">
        <v>46153</v>
      </c>
      <c r="B192" s="10" t="n">
        <v>46154</v>
      </c>
      <c r="C192" s="22" t="n">
        <f aca="false">SUMIFS(Verbrauch!$C$9:$C$18896,Verbrauch!$A$9:$A$18896,"&gt;="&amp;A192,Verbrauch!$A$9:$A$18896,"&lt;"&amp;B192)</f>
        <v>0</v>
      </c>
      <c r="D192" s="22" t="n">
        <f aca="false">SUMIFS(Verbrauch!$C$9:$C$18896,Verbrauch!$A$9:$A$18896,"&gt;="&amp;A192,Verbrauch!$A$9:$A$18896,"&lt;"&amp;B192,Verbrauch!$F$9:$F$18896,"Go")</f>
        <v>0</v>
      </c>
      <c r="E192" s="22" t="n">
        <f aca="false">SUMIFS(Verbrauch!$C$9:$C$18896,Verbrauch!$A$9:$A$18896,"&gt;="&amp;A192,Verbrauch!$A$9:$A$18896,"&lt;"&amp;B192,Verbrauch!$F$9:$F$18896,"Standard")</f>
        <v>0</v>
      </c>
      <c r="F192" s="23" t="n">
        <f aca="false">SUMIFS(Verbrauch!$E$9:$E$18896,Verbrauch!$A$9:$A$18896,"&gt;="&amp;A192,Verbrauch!$A$9:$A$18896,"&lt;"&amp;B192)</f>
        <v>0</v>
      </c>
      <c r="G192" s="13" t="str">
        <f aca="false">IFERROR(F192/C192*100,"")</f>
        <v/>
      </c>
      <c r="H192" s="11" t="n">
        <f aca="false">COUNTIFS(Verbrauch!$A$9:$A$18896,"&gt;="&amp;A192,Verbrauch!$A$9:$A$18896,"&lt;"&amp;B192,Verbrauch!$C$9:$C$18896,"&lt;&gt;")</f>
        <v>0</v>
      </c>
    </row>
    <row r="193" customFormat="false" ht="13.5" hidden="false" customHeight="true" outlineLevel="0" collapsed="false">
      <c r="A193" s="10" t="n">
        <v>46154</v>
      </c>
      <c r="B193" s="10" t="n">
        <v>46155</v>
      </c>
      <c r="C193" s="22" t="n">
        <f aca="false">SUMIFS(Verbrauch!$C$9:$C$18896,Verbrauch!$A$9:$A$18896,"&gt;="&amp;A193,Verbrauch!$A$9:$A$18896,"&lt;"&amp;B193)</f>
        <v>0</v>
      </c>
      <c r="D193" s="22" t="n">
        <f aca="false">SUMIFS(Verbrauch!$C$9:$C$18896,Verbrauch!$A$9:$A$18896,"&gt;="&amp;A193,Verbrauch!$A$9:$A$18896,"&lt;"&amp;B193,Verbrauch!$F$9:$F$18896,"Go")</f>
        <v>0</v>
      </c>
      <c r="E193" s="22" t="n">
        <f aca="false">SUMIFS(Verbrauch!$C$9:$C$18896,Verbrauch!$A$9:$A$18896,"&gt;="&amp;A193,Verbrauch!$A$9:$A$18896,"&lt;"&amp;B193,Verbrauch!$F$9:$F$18896,"Standard")</f>
        <v>0</v>
      </c>
      <c r="F193" s="23" t="n">
        <f aca="false">SUMIFS(Verbrauch!$E$9:$E$18896,Verbrauch!$A$9:$A$18896,"&gt;="&amp;A193,Verbrauch!$A$9:$A$18896,"&lt;"&amp;B193)</f>
        <v>0</v>
      </c>
      <c r="G193" s="13" t="str">
        <f aca="false">IFERROR(F193/C193*100,"")</f>
        <v/>
      </c>
      <c r="H193" s="11" t="n">
        <f aca="false">COUNTIFS(Verbrauch!$A$9:$A$18896,"&gt;="&amp;A193,Verbrauch!$A$9:$A$18896,"&lt;"&amp;B193,Verbrauch!$C$9:$C$18896,"&lt;&gt;")</f>
        <v>0</v>
      </c>
    </row>
    <row r="194" customFormat="false" ht="13.5" hidden="false" customHeight="true" outlineLevel="0" collapsed="false">
      <c r="A194" s="10" t="n">
        <v>46155</v>
      </c>
      <c r="B194" s="10" t="n">
        <v>46156</v>
      </c>
      <c r="C194" s="22" t="n">
        <f aca="false">SUMIFS(Verbrauch!$C$9:$C$18896,Verbrauch!$A$9:$A$18896,"&gt;="&amp;A194,Verbrauch!$A$9:$A$18896,"&lt;"&amp;B194)</f>
        <v>0</v>
      </c>
      <c r="D194" s="22" t="n">
        <f aca="false">SUMIFS(Verbrauch!$C$9:$C$18896,Verbrauch!$A$9:$A$18896,"&gt;="&amp;A194,Verbrauch!$A$9:$A$18896,"&lt;"&amp;B194,Verbrauch!$F$9:$F$18896,"Go")</f>
        <v>0</v>
      </c>
      <c r="E194" s="22" t="n">
        <f aca="false">SUMIFS(Verbrauch!$C$9:$C$18896,Verbrauch!$A$9:$A$18896,"&gt;="&amp;A194,Verbrauch!$A$9:$A$18896,"&lt;"&amp;B194,Verbrauch!$F$9:$F$18896,"Standard")</f>
        <v>0</v>
      </c>
      <c r="F194" s="23" t="n">
        <f aca="false">SUMIFS(Verbrauch!$E$9:$E$18896,Verbrauch!$A$9:$A$18896,"&gt;="&amp;A194,Verbrauch!$A$9:$A$18896,"&lt;"&amp;B194)</f>
        <v>0</v>
      </c>
      <c r="G194" s="13" t="str">
        <f aca="false">IFERROR(F194/C194*100,"")</f>
        <v/>
      </c>
      <c r="H194" s="11" t="n">
        <f aca="false">COUNTIFS(Verbrauch!$A$9:$A$18896,"&gt;="&amp;A194,Verbrauch!$A$9:$A$18896,"&lt;"&amp;B194,Verbrauch!$C$9:$C$18896,"&lt;&gt;")</f>
        <v>0</v>
      </c>
    </row>
    <row r="195" customFormat="false" ht="13.5" hidden="false" customHeight="true" outlineLevel="0" collapsed="false">
      <c r="A195" s="10" t="n">
        <v>46156</v>
      </c>
      <c r="B195" s="10" t="n">
        <v>46157</v>
      </c>
      <c r="C195" s="22" t="n">
        <f aca="false">SUMIFS(Verbrauch!$C$9:$C$18896,Verbrauch!$A$9:$A$18896,"&gt;="&amp;A195,Verbrauch!$A$9:$A$18896,"&lt;"&amp;B195)</f>
        <v>0</v>
      </c>
      <c r="D195" s="22" t="n">
        <f aca="false">SUMIFS(Verbrauch!$C$9:$C$18896,Verbrauch!$A$9:$A$18896,"&gt;="&amp;A195,Verbrauch!$A$9:$A$18896,"&lt;"&amp;B195,Verbrauch!$F$9:$F$18896,"Go")</f>
        <v>0</v>
      </c>
      <c r="E195" s="22" t="n">
        <f aca="false">SUMIFS(Verbrauch!$C$9:$C$18896,Verbrauch!$A$9:$A$18896,"&gt;="&amp;A195,Verbrauch!$A$9:$A$18896,"&lt;"&amp;B195,Verbrauch!$F$9:$F$18896,"Standard")</f>
        <v>0</v>
      </c>
      <c r="F195" s="23" t="n">
        <f aca="false">SUMIFS(Verbrauch!$E$9:$E$18896,Verbrauch!$A$9:$A$18896,"&gt;="&amp;A195,Verbrauch!$A$9:$A$18896,"&lt;"&amp;B195)</f>
        <v>0</v>
      </c>
      <c r="G195" s="13" t="str">
        <f aca="false">IFERROR(F195/C195*100,"")</f>
        <v/>
      </c>
      <c r="H195" s="11" t="n">
        <f aca="false">COUNTIFS(Verbrauch!$A$9:$A$18896,"&gt;="&amp;A195,Verbrauch!$A$9:$A$18896,"&lt;"&amp;B195,Verbrauch!$C$9:$C$18896,"&lt;&gt;")</f>
        <v>0</v>
      </c>
    </row>
    <row r="196" customFormat="false" ht="13.5" hidden="false" customHeight="true" outlineLevel="0" collapsed="false">
      <c r="A196" s="10" t="n">
        <v>46157</v>
      </c>
      <c r="B196" s="10" t="n">
        <v>46158</v>
      </c>
      <c r="C196" s="22" t="n">
        <f aca="false">SUMIFS(Verbrauch!$C$9:$C$18896,Verbrauch!$A$9:$A$18896,"&gt;="&amp;A196,Verbrauch!$A$9:$A$18896,"&lt;"&amp;B196)</f>
        <v>0</v>
      </c>
      <c r="D196" s="22" t="n">
        <f aca="false">SUMIFS(Verbrauch!$C$9:$C$18896,Verbrauch!$A$9:$A$18896,"&gt;="&amp;A196,Verbrauch!$A$9:$A$18896,"&lt;"&amp;B196,Verbrauch!$F$9:$F$18896,"Go")</f>
        <v>0</v>
      </c>
      <c r="E196" s="22" t="n">
        <f aca="false">SUMIFS(Verbrauch!$C$9:$C$18896,Verbrauch!$A$9:$A$18896,"&gt;="&amp;A196,Verbrauch!$A$9:$A$18896,"&lt;"&amp;B196,Verbrauch!$F$9:$F$18896,"Standard")</f>
        <v>0</v>
      </c>
      <c r="F196" s="23" t="n">
        <f aca="false">SUMIFS(Verbrauch!$E$9:$E$18896,Verbrauch!$A$9:$A$18896,"&gt;="&amp;A196,Verbrauch!$A$9:$A$18896,"&lt;"&amp;B196)</f>
        <v>0</v>
      </c>
      <c r="G196" s="13" t="str">
        <f aca="false">IFERROR(F196/C196*100,"")</f>
        <v/>
      </c>
      <c r="H196" s="11" t="n">
        <f aca="false">COUNTIFS(Verbrauch!$A$9:$A$18896,"&gt;="&amp;A196,Verbrauch!$A$9:$A$18896,"&lt;"&amp;B196,Verbrauch!$C$9:$C$18896,"&lt;&gt;")</f>
        <v>0</v>
      </c>
    </row>
    <row r="197" customFormat="false" ht="13.5" hidden="false" customHeight="true" outlineLevel="0" collapsed="false">
      <c r="A197" s="10" t="n">
        <v>46158</v>
      </c>
      <c r="B197" s="10" t="n">
        <v>46159</v>
      </c>
      <c r="C197" s="22" t="n">
        <f aca="false">SUMIFS(Verbrauch!$C$9:$C$18896,Verbrauch!$A$9:$A$18896,"&gt;="&amp;A197,Verbrauch!$A$9:$A$18896,"&lt;"&amp;B197)</f>
        <v>0</v>
      </c>
      <c r="D197" s="22" t="n">
        <f aca="false">SUMIFS(Verbrauch!$C$9:$C$18896,Verbrauch!$A$9:$A$18896,"&gt;="&amp;A197,Verbrauch!$A$9:$A$18896,"&lt;"&amp;B197,Verbrauch!$F$9:$F$18896,"Go")</f>
        <v>0</v>
      </c>
      <c r="E197" s="22" t="n">
        <f aca="false">SUMIFS(Verbrauch!$C$9:$C$18896,Verbrauch!$A$9:$A$18896,"&gt;="&amp;A197,Verbrauch!$A$9:$A$18896,"&lt;"&amp;B197,Verbrauch!$F$9:$F$18896,"Standard")</f>
        <v>0</v>
      </c>
      <c r="F197" s="23" t="n">
        <f aca="false">SUMIFS(Verbrauch!$E$9:$E$18896,Verbrauch!$A$9:$A$18896,"&gt;="&amp;A197,Verbrauch!$A$9:$A$18896,"&lt;"&amp;B197)</f>
        <v>0</v>
      </c>
      <c r="G197" s="13" t="str">
        <f aca="false">IFERROR(F197/C197*100,"")</f>
        <v/>
      </c>
      <c r="H197" s="11" t="n">
        <f aca="false">COUNTIFS(Verbrauch!$A$9:$A$18896,"&gt;="&amp;A197,Verbrauch!$A$9:$A$18896,"&lt;"&amp;B197,Verbrauch!$C$9:$C$18896,"&lt;&gt;")</f>
        <v>0</v>
      </c>
    </row>
    <row r="198" customFormat="false" ht="13.5" hidden="false" customHeight="true" outlineLevel="0" collapsed="false">
      <c r="A198" s="10" t="n">
        <v>46159</v>
      </c>
      <c r="B198" s="10" t="n">
        <v>46160</v>
      </c>
      <c r="C198" s="22" t="n">
        <f aca="false">SUMIFS(Verbrauch!$C$9:$C$18896,Verbrauch!$A$9:$A$18896,"&gt;="&amp;A198,Verbrauch!$A$9:$A$18896,"&lt;"&amp;B198)</f>
        <v>0</v>
      </c>
      <c r="D198" s="22" t="n">
        <f aca="false">SUMIFS(Verbrauch!$C$9:$C$18896,Verbrauch!$A$9:$A$18896,"&gt;="&amp;A198,Verbrauch!$A$9:$A$18896,"&lt;"&amp;B198,Verbrauch!$F$9:$F$18896,"Go")</f>
        <v>0</v>
      </c>
      <c r="E198" s="22" t="n">
        <f aca="false">SUMIFS(Verbrauch!$C$9:$C$18896,Verbrauch!$A$9:$A$18896,"&gt;="&amp;A198,Verbrauch!$A$9:$A$18896,"&lt;"&amp;B198,Verbrauch!$F$9:$F$18896,"Standard")</f>
        <v>0</v>
      </c>
      <c r="F198" s="23" t="n">
        <f aca="false">SUMIFS(Verbrauch!$E$9:$E$18896,Verbrauch!$A$9:$A$18896,"&gt;="&amp;A198,Verbrauch!$A$9:$A$18896,"&lt;"&amp;B198)</f>
        <v>0</v>
      </c>
      <c r="G198" s="13" t="str">
        <f aca="false">IFERROR(F198/C198*100,"")</f>
        <v/>
      </c>
      <c r="H198" s="11" t="n">
        <f aca="false">COUNTIFS(Verbrauch!$A$9:$A$18896,"&gt;="&amp;A198,Verbrauch!$A$9:$A$18896,"&lt;"&amp;B198,Verbrauch!$C$9:$C$18896,"&lt;&gt;")</f>
        <v>0</v>
      </c>
    </row>
    <row r="199" customFormat="false" ht="13.5" hidden="false" customHeight="true" outlineLevel="0" collapsed="false">
      <c r="A199" s="10" t="n">
        <v>46160</v>
      </c>
      <c r="B199" s="10" t="n">
        <v>46161</v>
      </c>
      <c r="C199" s="22" t="n">
        <f aca="false">SUMIFS(Verbrauch!$C$9:$C$18896,Verbrauch!$A$9:$A$18896,"&gt;="&amp;A199,Verbrauch!$A$9:$A$18896,"&lt;"&amp;B199)</f>
        <v>0</v>
      </c>
      <c r="D199" s="22" t="n">
        <f aca="false">SUMIFS(Verbrauch!$C$9:$C$18896,Verbrauch!$A$9:$A$18896,"&gt;="&amp;A199,Verbrauch!$A$9:$A$18896,"&lt;"&amp;B199,Verbrauch!$F$9:$F$18896,"Go")</f>
        <v>0</v>
      </c>
      <c r="E199" s="22" t="n">
        <f aca="false">SUMIFS(Verbrauch!$C$9:$C$18896,Verbrauch!$A$9:$A$18896,"&gt;="&amp;A199,Verbrauch!$A$9:$A$18896,"&lt;"&amp;B199,Verbrauch!$F$9:$F$18896,"Standard")</f>
        <v>0</v>
      </c>
      <c r="F199" s="23" t="n">
        <f aca="false">SUMIFS(Verbrauch!$E$9:$E$18896,Verbrauch!$A$9:$A$18896,"&gt;="&amp;A199,Verbrauch!$A$9:$A$18896,"&lt;"&amp;B199)</f>
        <v>0</v>
      </c>
      <c r="G199" s="13" t="str">
        <f aca="false">IFERROR(F199/C199*100,"")</f>
        <v/>
      </c>
      <c r="H199" s="11" t="n">
        <f aca="false">COUNTIFS(Verbrauch!$A$9:$A$18896,"&gt;="&amp;A199,Verbrauch!$A$9:$A$18896,"&lt;"&amp;B199,Verbrauch!$C$9:$C$18896,"&lt;&gt;")</f>
        <v>0</v>
      </c>
    </row>
    <row r="200" customFormat="false" ht="13.5" hidden="false" customHeight="true" outlineLevel="0" collapsed="false">
      <c r="A200" s="10" t="n">
        <v>46161</v>
      </c>
      <c r="B200" s="10" t="n">
        <v>46162</v>
      </c>
      <c r="C200" s="22" t="n">
        <f aca="false">SUMIFS(Verbrauch!$C$9:$C$18896,Verbrauch!$A$9:$A$18896,"&gt;="&amp;A200,Verbrauch!$A$9:$A$18896,"&lt;"&amp;B200)</f>
        <v>0</v>
      </c>
      <c r="D200" s="22" t="n">
        <f aca="false">SUMIFS(Verbrauch!$C$9:$C$18896,Verbrauch!$A$9:$A$18896,"&gt;="&amp;A200,Verbrauch!$A$9:$A$18896,"&lt;"&amp;B200,Verbrauch!$F$9:$F$18896,"Go")</f>
        <v>0</v>
      </c>
      <c r="E200" s="22" t="n">
        <f aca="false">SUMIFS(Verbrauch!$C$9:$C$18896,Verbrauch!$A$9:$A$18896,"&gt;="&amp;A200,Verbrauch!$A$9:$A$18896,"&lt;"&amp;B200,Verbrauch!$F$9:$F$18896,"Standard")</f>
        <v>0</v>
      </c>
      <c r="F200" s="23" t="n">
        <f aca="false">SUMIFS(Verbrauch!$E$9:$E$18896,Verbrauch!$A$9:$A$18896,"&gt;="&amp;A200,Verbrauch!$A$9:$A$18896,"&lt;"&amp;B200)</f>
        <v>0</v>
      </c>
      <c r="G200" s="13" t="str">
        <f aca="false">IFERROR(F200/C200*100,"")</f>
        <v/>
      </c>
      <c r="H200" s="11" t="n">
        <f aca="false">COUNTIFS(Verbrauch!$A$9:$A$18896,"&gt;="&amp;A200,Verbrauch!$A$9:$A$18896,"&lt;"&amp;B200,Verbrauch!$C$9:$C$18896,"&lt;&gt;")</f>
        <v>0</v>
      </c>
    </row>
    <row r="201" customFormat="false" ht="13.5" hidden="false" customHeight="true" outlineLevel="0" collapsed="false">
      <c r="A201" s="10" t="n">
        <v>46162</v>
      </c>
      <c r="B201" s="10" t="n">
        <v>46163</v>
      </c>
      <c r="C201" s="22" t="n">
        <f aca="false">SUMIFS(Verbrauch!$C$9:$C$18896,Verbrauch!$A$9:$A$18896,"&gt;="&amp;A201,Verbrauch!$A$9:$A$18896,"&lt;"&amp;B201)</f>
        <v>0</v>
      </c>
      <c r="D201" s="22" t="n">
        <f aca="false">SUMIFS(Verbrauch!$C$9:$C$18896,Verbrauch!$A$9:$A$18896,"&gt;="&amp;A201,Verbrauch!$A$9:$A$18896,"&lt;"&amp;B201,Verbrauch!$F$9:$F$18896,"Go")</f>
        <v>0</v>
      </c>
      <c r="E201" s="22" t="n">
        <f aca="false">SUMIFS(Verbrauch!$C$9:$C$18896,Verbrauch!$A$9:$A$18896,"&gt;="&amp;A201,Verbrauch!$A$9:$A$18896,"&lt;"&amp;B201,Verbrauch!$F$9:$F$18896,"Standard")</f>
        <v>0</v>
      </c>
      <c r="F201" s="23" t="n">
        <f aca="false">SUMIFS(Verbrauch!$E$9:$E$18896,Verbrauch!$A$9:$A$18896,"&gt;="&amp;A201,Verbrauch!$A$9:$A$18896,"&lt;"&amp;B201)</f>
        <v>0</v>
      </c>
      <c r="G201" s="13" t="str">
        <f aca="false">IFERROR(F201/C201*100,"")</f>
        <v/>
      </c>
      <c r="H201" s="11" t="n">
        <f aca="false">COUNTIFS(Verbrauch!$A$9:$A$18896,"&gt;="&amp;A201,Verbrauch!$A$9:$A$18896,"&lt;"&amp;B201,Verbrauch!$C$9:$C$18896,"&lt;&gt;")</f>
        <v>0</v>
      </c>
    </row>
    <row r="202" customFormat="false" ht="15" hidden="false" customHeight="true" outlineLevel="0" collapsed="false">
      <c r="A202" s="10" t="n">
        <v>46163</v>
      </c>
      <c r="B202" s="10" t="n">
        <v>46164</v>
      </c>
      <c r="C202" s="22" t="n">
        <f aca="false">SUMIFS(Verbrauch!$C$9:$C$18896,Verbrauch!$A$9:$A$18896,"&gt;="&amp;A202,Verbrauch!$A$9:$A$18896,"&lt;"&amp;B202)</f>
        <v>0</v>
      </c>
      <c r="D202" s="22" t="n">
        <f aca="false">SUMIFS(Verbrauch!$C$9:$C$18896,Verbrauch!$A$9:$A$18896,"&gt;="&amp;A202,Verbrauch!$A$9:$A$18896,"&lt;"&amp;B202,Verbrauch!$F$9:$F$18896,"Go")</f>
        <v>0</v>
      </c>
      <c r="E202" s="22" t="n">
        <f aca="false">SUMIFS(Verbrauch!$C$9:$C$18896,Verbrauch!$A$9:$A$18896,"&gt;="&amp;A202,Verbrauch!$A$9:$A$18896,"&lt;"&amp;B202,Verbrauch!$F$9:$F$18896,"Standard")</f>
        <v>0</v>
      </c>
      <c r="F202" s="23" t="n">
        <f aca="false">SUMIFS(Verbrauch!$E$9:$E$18896,Verbrauch!$A$9:$A$18896,"&gt;="&amp;A202,Verbrauch!$A$9:$A$18896,"&lt;"&amp;B202)</f>
        <v>0</v>
      </c>
      <c r="G202" s="13" t="str">
        <f aca="false">IFERROR(F202/C202*100,"")</f>
        <v/>
      </c>
      <c r="H202" s="11" t="n">
        <f aca="false">COUNTIFS(Verbrauch!$A$9:$A$18896,"&gt;="&amp;A202,Verbrauch!$A$9:$A$18896,"&lt;"&amp;B202,Verbrauch!$C$9:$C$18896,"&lt;&gt;")</f>
        <v>0</v>
      </c>
    </row>
    <row r="203" customFormat="false" ht="15" hidden="false" customHeight="true" outlineLevel="0" collapsed="false">
      <c r="A203" s="10" t="n">
        <v>46164</v>
      </c>
      <c r="B203" s="10" t="n">
        <v>46165</v>
      </c>
      <c r="C203" s="22" t="n">
        <f aca="false">SUMIFS(Verbrauch!$C$9:$C$18896,Verbrauch!$A$9:$A$18896,"&gt;="&amp;A203,Verbrauch!$A$9:$A$18896,"&lt;"&amp;B203)</f>
        <v>0</v>
      </c>
      <c r="D203" s="22" t="n">
        <f aca="false">SUMIFS(Verbrauch!$C$9:$C$18896,Verbrauch!$A$9:$A$18896,"&gt;="&amp;A203,Verbrauch!$A$9:$A$18896,"&lt;"&amp;B203,Verbrauch!$F$9:$F$18896,"Go")</f>
        <v>0</v>
      </c>
      <c r="E203" s="22" t="n">
        <f aca="false">SUMIFS(Verbrauch!$C$9:$C$18896,Verbrauch!$A$9:$A$18896,"&gt;="&amp;A203,Verbrauch!$A$9:$A$18896,"&lt;"&amp;B203,Verbrauch!$F$9:$F$18896,"Standard")</f>
        <v>0</v>
      </c>
      <c r="F203" s="23" t="n">
        <f aca="false">SUMIFS(Verbrauch!$E$9:$E$18896,Verbrauch!$A$9:$A$18896,"&gt;="&amp;A203,Verbrauch!$A$9:$A$18896,"&lt;"&amp;B203)</f>
        <v>0</v>
      </c>
      <c r="G203" s="13" t="str">
        <f aca="false">IFERROR(F203/C203*100,"")</f>
        <v/>
      </c>
      <c r="H203" s="11" t="n">
        <f aca="false">COUNTIFS(Verbrauch!$A$9:$A$18896,"&gt;="&amp;A203,Verbrauch!$A$9:$A$18896,"&lt;"&amp;B203,Verbrauch!$C$9:$C$18896,"&lt;&gt;")</f>
        <v>0</v>
      </c>
    </row>
    <row r="204" customFormat="false" ht="15" hidden="false" customHeight="true" outlineLevel="0" collapsed="false">
      <c r="A204" s="10" t="n">
        <v>46165</v>
      </c>
      <c r="B204" s="10" t="n">
        <v>46166</v>
      </c>
      <c r="C204" s="22" t="n">
        <f aca="false">SUMIFS(Verbrauch!$C$9:$C$18896,Verbrauch!$A$9:$A$18896,"&gt;="&amp;A204,Verbrauch!$A$9:$A$18896,"&lt;"&amp;B204)</f>
        <v>0</v>
      </c>
      <c r="D204" s="22" t="n">
        <f aca="false">SUMIFS(Verbrauch!$C$9:$C$18896,Verbrauch!$A$9:$A$18896,"&gt;="&amp;A204,Verbrauch!$A$9:$A$18896,"&lt;"&amp;B204,Verbrauch!$F$9:$F$18896,"Go")</f>
        <v>0</v>
      </c>
      <c r="E204" s="22" t="n">
        <f aca="false">SUMIFS(Verbrauch!$C$9:$C$18896,Verbrauch!$A$9:$A$18896,"&gt;="&amp;A204,Verbrauch!$A$9:$A$18896,"&lt;"&amp;B204,Verbrauch!$F$9:$F$18896,"Standard")</f>
        <v>0</v>
      </c>
      <c r="F204" s="23" t="n">
        <f aca="false">SUMIFS(Verbrauch!$E$9:$E$18896,Verbrauch!$A$9:$A$18896,"&gt;="&amp;A204,Verbrauch!$A$9:$A$18896,"&lt;"&amp;B204)</f>
        <v>0</v>
      </c>
      <c r="G204" s="13" t="str">
        <f aca="false">IFERROR(F204/C204*100,"")</f>
        <v/>
      </c>
      <c r="H204" s="11" t="n">
        <f aca="false">COUNTIFS(Verbrauch!$A$9:$A$18896,"&gt;="&amp;A204,Verbrauch!$A$9:$A$18896,"&lt;"&amp;B204,Verbrauch!$C$9:$C$18896,"&lt;&gt;")</f>
        <v>0</v>
      </c>
    </row>
    <row r="205" customFormat="false" ht="15" hidden="false" customHeight="true" outlineLevel="0" collapsed="false">
      <c r="A205" s="10" t="n">
        <v>46166</v>
      </c>
      <c r="B205" s="10" t="n">
        <v>46167</v>
      </c>
      <c r="C205" s="22" t="n">
        <f aca="false">SUMIFS(Verbrauch!$C$9:$C$18896,Verbrauch!$A$9:$A$18896,"&gt;="&amp;A205,Verbrauch!$A$9:$A$18896,"&lt;"&amp;B205)</f>
        <v>0</v>
      </c>
      <c r="D205" s="22" t="n">
        <f aca="false">SUMIFS(Verbrauch!$C$9:$C$18896,Verbrauch!$A$9:$A$18896,"&gt;="&amp;A205,Verbrauch!$A$9:$A$18896,"&lt;"&amp;B205,Verbrauch!$F$9:$F$18896,"Go")</f>
        <v>0</v>
      </c>
      <c r="E205" s="22" t="n">
        <f aca="false">SUMIFS(Verbrauch!$C$9:$C$18896,Verbrauch!$A$9:$A$18896,"&gt;="&amp;A205,Verbrauch!$A$9:$A$18896,"&lt;"&amp;B205,Verbrauch!$F$9:$F$18896,"Standard")</f>
        <v>0</v>
      </c>
      <c r="F205" s="23" t="n">
        <f aca="false">SUMIFS(Verbrauch!$E$9:$E$18896,Verbrauch!$A$9:$A$18896,"&gt;="&amp;A205,Verbrauch!$A$9:$A$18896,"&lt;"&amp;B205)</f>
        <v>0</v>
      </c>
      <c r="G205" s="13" t="str">
        <f aca="false">IFERROR(F205/C205*100,"")</f>
        <v/>
      </c>
      <c r="H205" s="11" t="n">
        <f aca="false">COUNTIFS(Verbrauch!$A$9:$A$18896,"&gt;="&amp;A205,Verbrauch!$A$9:$A$18896,"&lt;"&amp;B205,Verbrauch!$C$9:$C$18896,"&lt;&gt;")</f>
        <v>0</v>
      </c>
    </row>
    <row r="206" customFormat="false" ht="15" hidden="false" customHeight="true" outlineLevel="0" collapsed="false">
      <c r="A206" s="10" t="n">
        <v>46167</v>
      </c>
      <c r="B206" s="10" t="n">
        <v>46168</v>
      </c>
      <c r="C206" s="22" t="n">
        <f aca="false">SUMIFS(Verbrauch!$C$9:$C$18896,Verbrauch!$A$9:$A$18896,"&gt;="&amp;A206,Verbrauch!$A$9:$A$18896,"&lt;"&amp;B206)</f>
        <v>0</v>
      </c>
      <c r="D206" s="22" t="n">
        <f aca="false">SUMIFS(Verbrauch!$C$9:$C$18896,Verbrauch!$A$9:$A$18896,"&gt;="&amp;A206,Verbrauch!$A$9:$A$18896,"&lt;"&amp;B206,Verbrauch!$F$9:$F$18896,"Go")</f>
        <v>0</v>
      </c>
      <c r="E206" s="22" t="n">
        <f aca="false">SUMIFS(Verbrauch!$C$9:$C$18896,Verbrauch!$A$9:$A$18896,"&gt;="&amp;A206,Verbrauch!$A$9:$A$18896,"&lt;"&amp;B206,Verbrauch!$F$9:$F$18896,"Standard")</f>
        <v>0</v>
      </c>
      <c r="F206" s="23" t="n">
        <f aca="false">SUMIFS(Verbrauch!$E$9:$E$18896,Verbrauch!$A$9:$A$18896,"&gt;="&amp;A206,Verbrauch!$A$9:$A$18896,"&lt;"&amp;B206)</f>
        <v>0</v>
      </c>
      <c r="G206" s="13" t="str">
        <f aca="false">IFERROR(F206/C206*100,"")</f>
        <v/>
      </c>
      <c r="H206" s="11" t="n">
        <f aca="false">COUNTIFS(Verbrauch!$A$9:$A$18896,"&gt;="&amp;A206,Verbrauch!$A$9:$A$18896,"&lt;"&amp;B206,Verbrauch!$C$9:$C$18896,"&lt;&gt;")</f>
        <v>0</v>
      </c>
    </row>
    <row r="207" customFormat="false" ht="15" hidden="false" customHeight="true" outlineLevel="0" collapsed="false">
      <c r="A207" s="10" t="n">
        <v>46168</v>
      </c>
      <c r="B207" s="10" t="n">
        <v>46169</v>
      </c>
      <c r="C207" s="22" t="n">
        <f aca="false">SUMIFS(Verbrauch!$C$9:$C$18896,Verbrauch!$A$9:$A$18896,"&gt;="&amp;A207,Verbrauch!$A$9:$A$18896,"&lt;"&amp;B207)</f>
        <v>0</v>
      </c>
      <c r="D207" s="22" t="n">
        <f aca="false">SUMIFS(Verbrauch!$C$9:$C$18896,Verbrauch!$A$9:$A$18896,"&gt;="&amp;A207,Verbrauch!$A$9:$A$18896,"&lt;"&amp;B207,Verbrauch!$F$9:$F$18896,"Go")</f>
        <v>0</v>
      </c>
      <c r="E207" s="22" t="n">
        <f aca="false">SUMIFS(Verbrauch!$C$9:$C$18896,Verbrauch!$A$9:$A$18896,"&gt;="&amp;A207,Verbrauch!$A$9:$A$18896,"&lt;"&amp;B207,Verbrauch!$F$9:$F$18896,"Standard")</f>
        <v>0</v>
      </c>
      <c r="F207" s="23" t="n">
        <f aca="false">SUMIFS(Verbrauch!$E$9:$E$18896,Verbrauch!$A$9:$A$18896,"&gt;="&amp;A207,Verbrauch!$A$9:$A$18896,"&lt;"&amp;B207)</f>
        <v>0</v>
      </c>
      <c r="G207" s="13" t="str">
        <f aca="false">IFERROR(F207/C207*100,"")</f>
        <v/>
      </c>
      <c r="H207" s="11" t="n">
        <f aca="false">COUNTIFS(Verbrauch!$A$9:$A$18896,"&gt;="&amp;A207,Verbrauch!$A$9:$A$18896,"&lt;"&amp;B207,Verbrauch!$C$9:$C$18896,"&lt;&gt;")</f>
        <v>0</v>
      </c>
    </row>
    <row r="208" customFormat="false" ht="15" hidden="false" customHeight="true" outlineLevel="0" collapsed="false">
      <c r="A208" s="10" t="n">
        <v>46169</v>
      </c>
      <c r="B208" s="10" t="n">
        <v>46170</v>
      </c>
      <c r="C208" s="22" t="n">
        <f aca="false">SUMIFS(Verbrauch!$C$9:$C$18896,Verbrauch!$A$9:$A$18896,"&gt;="&amp;A208,Verbrauch!$A$9:$A$18896,"&lt;"&amp;B208)</f>
        <v>0</v>
      </c>
      <c r="D208" s="22" t="n">
        <f aca="false">SUMIFS(Verbrauch!$C$9:$C$18896,Verbrauch!$A$9:$A$18896,"&gt;="&amp;A208,Verbrauch!$A$9:$A$18896,"&lt;"&amp;B208,Verbrauch!$F$9:$F$18896,"Go")</f>
        <v>0</v>
      </c>
      <c r="E208" s="22" t="n">
        <f aca="false">SUMIFS(Verbrauch!$C$9:$C$18896,Verbrauch!$A$9:$A$18896,"&gt;="&amp;A208,Verbrauch!$A$9:$A$18896,"&lt;"&amp;B208,Verbrauch!$F$9:$F$18896,"Standard")</f>
        <v>0</v>
      </c>
      <c r="F208" s="23" t="n">
        <f aca="false">SUMIFS(Verbrauch!$E$9:$E$18896,Verbrauch!$A$9:$A$18896,"&gt;="&amp;A208,Verbrauch!$A$9:$A$18896,"&lt;"&amp;B208)</f>
        <v>0</v>
      </c>
      <c r="G208" s="13" t="str">
        <f aca="false">IFERROR(F208/C208*100,"")</f>
        <v/>
      </c>
      <c r="H208" s="11" t="n">
        <f aca="false">COUNTIFS(Verbrauch!$A$9:$A$18896,"&gt;="&amp;A208,Verbrauch!$A$9:$A$18896,"&lt;"&amp;B208,Verbrauch!$C$9:$C$18896,"&lt;&gt;")</f>
        <v>0</v>
      </c>
    </row>
    <row r="209" customFormat="false" ht="15" hidden="false" customHeight="true" outlineLevel="0" collapsed="false">
      <c r="A209" s="10" t="n">
        <v>46170</v>
      </c>
      <c r="B209" s="10" t="n">
        <v>46171</v>
      </c>
      <c r="C209" s="22" t="n">
        <f aca="false">SUMIFS(Verbrauch!$C$9:$C$18896,Verbrauch!$A$9:$A$18896,"&gt;="&amp;A209,Verbrauch!$A$9:$A$18896,"&lt;"&amp;B209)</f>
        <v>0</v>
      </c>
      <c r="D209" s="22" t="n">
        <f aca="false">SUMIFS(Verbrauch!$C$9:$C$18896,Verbrauch!$A$9:$A$18896,"&gt;="&amp;A209,Verbrauch!$A$9:$A$18896,"&lt;"&amp;B209,Verbrauch!$F$9:$F$18896,"Go")</f>
        <v>0</v>
      </c>
      <c r="E209" s="22" t="n">
        <f aca="false">SUMIFS(Verbrauch!$C$9:$C$18896,Verbrauch!$A$9:$A$18896,"&gt;="&amp;A209,Verbrauch!$A$9:$A$18896,"&lt;"&amp;B209,Verbrauch!$F$9:$F$18896,"Standard")</f>
        <v>0</v>
      </c>
      <c r="F209" s="23" t="n">
        <f aca="false">SUMIFS(Verbrauch!$E$9:$E$18896,Verbrauch!$A$9:$A$18896,"&gt;="&amp;A209,Verbrauch!$A$9:$A$18896,"&lt;"&amp;B209)</f>
        <v>0</v>
      </c>
      <c r="G209" s="13" t="str">
        <f aca="false">IFERROR(F209/C209*100,"")</f>
        <v/>
      </c>
      <c r="H209" s="11" t="n">
        <f aca="false">COUNTIFS(Verbrauch!$A$9:$A$18896,"&gt;="&amp;A209,Verbrauch!$A$9:$A$18896,"&lt;"&amp;B209,Verbrauch!$C$9:$C$18896,"&lt;&gt;")</f>
        <v>0</v>
      </c>
    </row>
    <row r="210" customFormat="false" ht="15" hidden="false" customHeight="true" outlineLevel="0" collapsed="false">
      <c r="A210" s="10" t="n">
        <v>46171</v>
      </c>
      <c r="B210" s="10" t="n">
        <v>46172</v>
      </c>
      <c r="C210" s="22" t="n">
        <f aca="false">SUMIFS(Verbrauch!$C$9:$C$18896,Verbrauch!$A$9:$A$18896,"&gt;="&amp;A210,Verbrauch!$A$9:$A$18896,"&lt;"&amp;B210)</f>
        <v>0</v>
      </c>
      <c r="D210" s="22" t="n">
        <f aca="false">SUMIFS(Verbrauch!$C$9:$C$18896,Verbrauch!$A$9:$A$18896,"&gt;="&amp;A210,Verbrauch!$A$9:$A$18896,"&lt;"&amp;B210,Verbrauch!$F$9:$F$18896,"Go")</f>
        <v>0</v>
      </c>
      <c r="E210" s="22" t="n">
        <f aca="false">SUMIFS(Verbrauch!$C$9:$C$18896,Verbrauch!$A$9:$A$18896,"&gt;="&amp;A210,Verbrauch!$A$9:$A$18896,"&lt;"&amp;B210,Verbrauch!$F$9:$F$18896,"Standard")</f>
        <v>0</v>
      </c>
      <c r="F210" s="23" t="n">
        <f aca="false">SUMIFS(Verbrauch!$E$9:$E$18896,Verbrauch!$A$9:$A$18896,"&gt;="&amp;A210,Verbrauch!$A$9:$A$18896,"&lt;"&amp;B210)</f>
        <v>0</v>
      </c>
      <c r="G210" s="13" t="str">
        <f aca="false">IFERROR(F210/C210*100,"")</f>
        <v/>
      </c>
      <c r="H210" s="11" t="n">
        <f aca="false">COUNTIFS(Verbrauch!$A$9:$A$18896,"&gt;="&amp;A210,Verbrauch!$A$9:$A$18896,"&lt;"&amp;B210,Verbrauch!$C$9:$C$18896,"&lt;&gt;")</f>
        <v>0</v>
      </c>
    </row>
    <row r="211" customFormat="false" ht="15" hidden="false" customHeight="true" outlineLevel="0" collapsed="false">
      <c r="A211" s="10" t="n">
        <v>46172</v>
      </c>
      <c r="B211" s="10" t="n">
        <v>46173</v>
      </c>
      <c r="C211" s="22" t="n">
        <f aca="false">SUMIFS(Verbrauch!$C$9:$C$18896,Verbrauch!$A$9:$A$18896,"&gt;="&amp;A211,Verbrauch!$A$9:$A$18896,"&lt;"&amp;B211)</f>
        <v>0</v>
      </c>
      <c r="D211" s="22" t="n">
        <f aca="false">SUMIFS(Verbrauch!$C$9:$C$18896,Verbrauch!$A$9:$A$18896,"&gt;="&amp;A211,Verbrauch!$A$9:$A$18896,"&lt;"&amp;B211,Verbrauch!$F$9:$F$18896,"Go")</f>
        <v>0</v>
      </c>
      <c r="E211" s="22" t="n">
        <f aca="false">SUMIFS(Verbrauch!$C$9:$C$18896,Verbrauch!$A$9:$A$18896,"&gt;="&amp;A211,Verbrauch!$A$9:$A$18896,"&lt;"&amp;B211,Verbrauch!$F$9:$F$18896,"Standard")</f>
        <v>0</v>
      </c>
      <c r="F211" s="23" t="n">
        <f aca="false">SUMIFS(Verbrauch!$E$9:$E$18896,Verbrauch!$A$9:$A$18896,"&gt;="&amp;A211,Verbrauch!$A$9:$A$18896,"&lt;"&amp;B211)</f>
        <v>0</v>
      </c>
      <c r="G211" s="13" t="str">
        <f aca="false">IFERROR(F211/C211*100,"")</f>
        <v/>
      </c>
      <c r="H211" s="11" t="n">
        <f aca="false">COUNTIFS(Verbrauch!$A$9:$A$18896,"&gt;="&amp;A211,Verbrauch!$A$9:$A$18896,"&lt;"&amp;B211,Verbrauch!$C$9:$C$18896,"&lt;&gt;")</f>
        <v>0</v>
      </c>
    </row>
    <row r="212" customFormat="false" ht="15" hidden="false" customHeight="true" outlineLevel="0" collapsed="false">
      <c r="A212" s="10" t="n">
        <v>46173</v>
      </c>
      <c r="B212" s="10" t="n">
        <v>46174</v>
      </c>
      <c r="C212" s="22" t="n">
        <f aca="false">SUMIFS(Verbrauch!$C$9:$C$18896,Verbrauch!$A$9:$A$18896,"&gt;="&amp;A212,Verbrauch!$A$9:$A$18896,"&lt;"&amp;B212)</f>
        <v>0</v>
      </c>
      <c r="D212" s="22" t="n">
        <f aca="false">SUMIFS(Verbrauch!$C$9:$C$18896,Verbrauch!$A$9:$A$18896,"&gt;="&amp;A212,Verbrauch!$A$9:$A$18896,"&lt;"&amp;B212,Verbrauch!$F$9:$F$18896,"Go")</f>
        <v>0</v>
      </c>
      <c r="E212" s="22" t="n">
        <f aca="false">SUMIFS(Verbrauch!$C$9:$C$18896,Verbrauch!$A$9:$A$18896,"&gt;="&amp;A212,Verbrauch!$A$9:$A$18896,"&lt;"&amp;B212,Verbrauch!$F$9:$F$18896,"Standard")</f>
        <v>0</v>
      </c>
      <c r="F212" s="23" t="n">
        <f aca="false">SUMIFS(Verbrauch!$E$9:$E$18896,Verbrauch!$A$9:$A$18896,"&gt;="&amp;A212,Verbrauch!$A$9:$A$18896,"&lt;"&amp;B212)</f>
        <v>0</v>
      </c>
      <c r="G212" s="13" t="str">
        <f aca="false">IFERROR(F212/C212*100,"")</f>
        <v/>
      </c>
      <c r="H212" s="11" t="n">
        <f aca="false">COUNTIFS(Verbrauch!$A$9:$A$18896,"&gt;="&amp;A212,Verbrauch!$A$9:$A$18896,"&lt;"&amp;B212,Verbrauch!$C$9:$C$18896,"&lt;&gt;")</f>
        <v>0</v>
      </c>
    </row>
    <row r="213" customFormat="false" ht="15" hidden="false" customHeight="true" outlineLevel="0" collapsed="false">
      <c r="A213" s="10" t="n">
        <v>46174</v>
      </c>
      <c r="B213" s="10" t="n">
        <v>46175</v>
      </c>
      <c r="C213" s="22" t="n">
        <f aca="false">SUMIFS(Verbrauch!$C$9:$C$18896,Verbrauch!$A$9:$A$18896,"&gt;="&amp;A213,Verbrauch!$A$9:$A$18896,"&lt;"&amp;B213)</f>
        <v>0</v>
      </c>
      <c r="D213" s="22" t="n">
        <f aca="false">SUMIFS(Verbrauch!$C$9:$C$18896,Verbrauch!$A$9:$A$18896,"&gt;="&amp;A213,Verbrauch!$A$9:$A$18896,"&lt;"&amp;B213,Verbrauch!$F$9:$F$18896,"Go")</f>
        <v>0</v>
      </c>
      <c r="E213" s="22" t="n">
        <f aca="false">SUMIFS(Verbrauch!$C$9:$C$18896,Verbrauch!$A$9:$A$18896,"&gt;="&amp;A213,Verbrauch!$A$9:$A$18896,"&lt;"&amp;B213,Verbrauch!$F$9:$F$18896,"Standard")</f>
        <v>0</v>
      </c>
      <c r="F213" s="23" t="n">
        <f aca="false">SUMIFS(Verbrauch!$E$9:$E$18896,Verbrauch!$A$9:$A$18896,"&gt;="&amp;A213,Verbrauch!$A$9:$A$18896,"&lt;"&amp;B213)</f>
        <v>0</v>
      </c>
      <c r="G213" s="13" t="str">
        <f aca="false">IFERROR(F213/C213*100,"")</f>
        <v/>
      </c>
      <c r="H213" s="11" t="n">
        <f aca="false">COUNTIFS(Verbrauch!$A$9:$A$18896,"&gt;="&amp;A213,Verbrauch!$A$9:$A$18896,"&lt;"&amp;B213,Verbrauch!$C$9:$C$18896,"&lt;&gt;")</f>
        <v>0</v>
      </c>
    </row>
    <row r="214" customFormat="false" ht="15" hidden="false" customHeight="true" outlineLevel="0" collapsed="false">
      <c r="A214" s="10" t="n">
        <v>46175</v>
      </c>
      <c r="B214" s="10" t="n">
        <v>46176</v>
      </c>
      <c r="C214" s="22" t="n">
        <f aca="false">SUMIFS(Verbrauch!$C$9:$C$18896,Verbrauch!$A$9:$A$18896,"&gt;="&amp;A214,Verbrauch!$A$9:$A$18896,"&lt;"&amp;B214)</f>
        <v>0</v>
      </c>
      <c r="D214" s="22" t="n">
        <f aca="false">SUMIFS(Verbrauch!$C$9:$C$18896,Verbrauch!$A$9:$A$18896,"&gt;="&amp;A214,Verbrauch!$A$9:$A$18896,"&lt;"&amp;B214,Verbrauch!$F$9:$F$18896,"Go")</f>
        <v>0</v>
      </c>
      <c r="E214" s="22" t="n">
        <f aca="false">SUMIFS(Verbrauch!$C$9:$C$18896,Verbrauch!$A$9:$A$18896,"&gt;="&amp;A214,Verbrauch!$A$9:$A$18896,"&lt;"&amp;B214,Verbrauch!$F$9:$F$18896,"Standard")</f>
        <v>0</v>
      </c>
      <c r="F214" s="23" t="n">
        <f aca="false">SUMIFS(Verbrauch!$E$9:$E$18896,Verbrauch!$A$9:$A$18896,"&gt;="&amp;A214,Verbrauch!$A$9:$A$18896,"&lt;"&amp;B214)</f>
        <v>0</v>
      </c>
      <c r="G214" s="13" t="str">
        <f aca="false">IFERROR(F214/C214*100,"")</f>
        <v/>
      </c>
      <c r="H214" s="11" t="n">
        <f aca="false">COUNTIFS(Verbrauch!$A$9:$A$18896,"&gt;="&amp;A214,Verbrauch!$A$9:$A$18896,"&lt;"&amp;B214,Verbrauch!$C$9:$C$18896,"&lt;&gt;")</f>
        <v>0</v>
      </c>
    </row>
    <row r="215" customFormat="false" ht="15" hidden="false" customHeight="true" outlineLevel="0" collapsed="false">
      <c r="A215" s="10" t="n">
        <v>46176</v>
      </c>
      <c r="B215" s="10" t="n">
        <v>46177</v>
      </c>
      <c r="C215" s="22" t="n">
        <f aca="false">SUMIFS(Verbrauch!$C$9:$C$18896,Verbrauch!$A$9:$A$18896,"&gt;="&amp;A215,Verbrauch!$A$9:$A$18896,"&lt;"&amp;B215)</f>
        <v>0</v>
      </c>
      <c r="D215" s="22" t="n">
        <f aca="false">SUMIFS(Verbrauch!$C$9:$C$18896,Verbrauch!$A$9:$A$18896,"&gt;="&amp;A215,Verbrauch!$A$9:$A$18896,"&lt;"&amp;B215,Verbrauch!$F$9:$F$18896,"Go")</f>
        <v>0</v>
      </c>
      <c r="E215" s="22" t="n">
        <f aca="false">SUMIFS(Verbrauch!$C$9:$C$18896,Verbrauch!$A$9:$A$18896,"&gt;="&amp;A215,Verbrauch!$A$9:$A$18896,"&lt;"&amp;B215,Verbrauch!$F$9:$F$18896,"Standard")</f>
        <v>0</v>
      </c>
      <c r="F215" s="23" t="n">
        <f aca="false">SUMIFS(Verbrauch!$E$9:$E$18896,Verbrauch!$A$9:$A$18896,"&gt;="&amp;A215,Verbrauch!$A$9:$A$18896,"&lt;"&amp;B215)</f>
        <v>0</v>
      </c>
      <c r="G215" s="13" t="str">
        <f aca="false">IFERROR(F215/C215*100,"")</f>
        <v/>
      </c>
      <c r="H215" s="11" t="n">
        <f aca="false">COUNTIFS(Verbrauch!$A$9:$A$18896,"&gt;="&amp;A215,Verbrauch!$A$9:$A$18896,"&lt;"&amp;B215,Verbrauch!$C$9:$C$18896,"&lt;&gt;")</f>
        <v>0</v>
      </c>
    </row>
    <row r="216" customFormat="false" ht="15" hidden="false" customHeight="true" outlineLevel="0" collapsed="false">
      <c r="A216" s="10" t="n">
        <v>46177</v>
      </c>
      <c r="B216" s="10" t="n">
        <v>46178</v>
      </c>
      <c r="C216" s="22" t="n">
        <f aca="false">SUMIFS(Verbrauch!$C$9:$C$18896,Verbrauch!$A$9:$A$18896,"&gt;="&amp;A216,Verbrauch!$A$9:$A$18896,"&lt;"&amp;B216)</f>
        <v>0</v>
      </c>
      <c r="D216" s="22" t="n">
        <f aca="false">SUMIFS(Verbrauch!$C$9:$C$18896,Verbrauch!$A$9:$A$18896,"&gt;="&amp;A216,Verbrauch!$A$9:$A$18896,"&lt;"&amp;B216,Verbrauch!$F$9:$F$18896,"Go")</f>
        <v>0</v>
      </c>
      <c r="E216" s="22" t="n">
        <f aca="false">SUMIFS(Verbrauch!$C$9:$C$18896,Verbrauch!$A$9:$A$18896,"&gt;="&amp;A216,Verbrauch!$A$9:$A$18896,"&lt;"&amp;B216,Verbrauch!$F$9:$F$18896,"Standard")</f>
        <v>0</v>
      </c>
      <c r="F216" s="23" t="n">
        <f aca="false">SUMIFS(Verbrauch!$E$9:$E$18896,Verbrauch!$A$9:$A$18896,"&gt;="&amp;A216,Verbrauch!$A$9:$A$18896,"&lt;"&amp;B216)</f>
        <v>0</v>
      </c>
      <c r="G216" s="13" t="str">
        <f aca="false">IFERROR(F216/C216*100,"")</f>
        <v/>
      </c>
      <c r="H216" s="11" t="n">
        <f aca="false">COUNTIFS(Verbrauch!$A$9:$A$18896,"&gt;="&amp;A216,Verbrauch!$A$9:$A$18896,"&lt;"&amp;B216,Verbrauch!$C$9:$C$18896,"&lt;&gt;")</f>
        <v>0</v>
      </c>
    </row>
    <row r="217" customFormat="false" ht="15" hidden="false" customHeight="true" outlineLevel="0" collapsed="false">
      <c r="A217" s="10" t="n">
        <v>46178</v>
      </c>
      <c r="B217" s="10" t="n">
        <v>46179</v>
      </c>
      <c r="C217" s="22" t="n">
        <f aca="false">SUMIFS(Verbrauch!$C$9:$C$18896,Verbrauch!$A$9:$A$18896,"&gt;="&amp;A217,Verbrauch!$A$9:$A$18896,"&lt;"&amp;B217)</f>
        <v>0</v>
      </c>
      <c r="D217" s="22" t="n">
        <f aca="false">SUMIFS(Verbrauch!$C$9:$C$18896,Verbrauch!$A$9:$A$18896,"&gt;="&amp;A217,Verbrauch!$A$9:$A$18896,"&lt;"&amp;B217,Verbrauch!$F$9:$F$18896,"Go")</f>
        <v>0</v>
      </c>
      <c r="E217" s="22" t="n">
        <f aca="false">SUMIFS(Verbrauch!$C$9:$C$18896,Verbrauch!$A$9:$A$18896,"&gt;="&amp;A217,Verbrauch!$A$9:$A$18896,"&lt;"&amp;B217,Verbrauch!$F$9:$F$18896,"Standard")</f>
        <v>0</v>
      </c>
      <c r="F217" s="23" t="n">
        <f aca="false">SUMIFS(Verbrauch!$E$9:$E$18896,Verbrauch!$A$9:$A$18896,"&gt;="&amp;A217,Verbrauch!$A$9:$A$18896,"&lt;"&amp;B217)</f>
        <v>0</v>
      </c>
      <c r="G217" s="13" t="str">
        <f aca="false">IFERROR(F217/C217*100,"")</f>
        <v/>
      </c>
      <c r="H217" s="11" t="n">
        <f aca="false">COUNTIFS(Verbrauch!$A$9:$A$18896,"&gt;="&amp;A217,Verbrauch!$A$9:$A$18896,"&lt;"&amp;B217,Verbrauch!$C$9:$C$18896,"&lt;&gt;")</f>
        <v>0</v>
      </c>
    </row>
    <row r="218" customFormat="false" ht="15" hidden="false" customHeight="true" outlineLevel="0" collapsed="false">
      <c r="A218" s="10" t="n">
        <v>46179</v>
      </c>
      <c r="B218" s="10" t="n">
        <v>46180</v>
      </c>
      <c r="C218" s="22" t="n">
        <f aca="false">SUMIFS(Verbrauch!$C$9:$C$18896,Verbrauch!$A$9:$A$18896,"&gt;="&amp;A218,Verbrauch!$A$9:$A$18896,"&lt;"&amp;B218)</f>
        <v>0</v>
      </c>
      <c r="D218" s="22" t="n">
        <f aca="false">SUMIFS(Verbrauch!$C$9:$C$18896,Verbrauch!$A$9:$A$18896,"&gt;="&amp;A218,Verbrauch!$A$9:$A$18896,"&lt;"&amp;B218,Verbrauch!$F$9:$F$18896,"Go")</f>
        <v>0</v>
      </c>
      <c r="E218" s="22" t="n">
        <f aca="false">SUMIFS(Verbrauch!$C$9:$C$18896,Verbrauch!$A$9:$A$18896,"&gt;="&amp;A218,Verbrauch!$A$9:$A$18896,"&lt;"&amp;B218,Verbrauch!$F$9:$F$18896,"Standard")</f>
        <v>0</v>
      </c>
      <c r="F218" s="23" t="n">
        <f aca="false">SUMIFS(Verbrauch!$E$9:$E$18896,Verbrauch!$A$9:$A$18896,"&gt;="&amp;A218,Verbrauch!$A$9:$A$18896,"&lt;"&amp;B218)</f>
        <v>0</v>
      </c>
      <c r="G218" s="13" t="str">
        <f aca="false">IFERROR(F218/C218*100,"")</f>
        <v/>
      </c>
      <c r="H218" s="11" t="n">
        <f aca="false">COUNTIFS(Verbrauch!$A$9:$A$18896,"&gt;="&amp;A218,Verbrauch!$A$9:$A$18896,"&lt;"&amp;B218,Verbrauch!$C$9:$C$18896,"&lt;&gt;")</f>
        <v>0</v>
      </c>
    </row>
    <row r="219" customFormat="false" ht="15" hidden="false" customHeight="true" outlineLevel="0" collapsed="false">
      <c r="A219" s="10" t="n">
        <v>46180</v>
      </c>
      <c r="B219" s="10" t="n">
        <v>46181</v>
      </c>
      <c r="C219" s="22" t="n">
        <f aca="false">SUMIFS(Verbrauch!$C$9:$C$18896,Verbrauch!$A$9:$A$18896,"&gt;="&amp;A219,Verbrauch!$A$9:$A$18896,"&lt;"&amp;B219)</f>
        <v>0</v>
      </c>
      <c r="D219" s="22" t="n">
        <f aca="false">SUMIFS(Verbrauch!$C$9:$C$18896,Verbrauch!$A$9:$A$18896,"&gt;="&amp;A219,Verbrauch!$A$9:$A$18896,"&lt;"&amp;B219,Verbrauch!$F$9:$F$18896,"Go")</f>
        <v>0</v>
      </c>
      <c r="E219" s="22" t="n">
        <f aca="false">SUMIFS(Verbrauch!$C$9:$C$18896,Verbrauch!$A$9:$A$18896,"&gt;="&amp;A219,Verbrauch!$A$9:$A$18896,"&lt;"&amp;B219,Verbrauch!$F$9:$F$18896,"Standard")</f>
        <v>0</v>
      </c>
      <c r="F219" s="23" t="n">
        <f aca="false">SUMIFS(Verbrauch!$E$9:$E$18896,Verbrauch!$A$9:$A$18896,"&gt;="&amp;A219,Verbrauch!$A$9:$A$18896,"&lt;"&amp;B219)</f>
        <v>0</v>
      </c>
      <c r="G219" s="13" t="str">
        <f aca="false">IFERROR(F219/C219*100,"")</f>
        <v/>
      </c>
      <c r="H219" s="11" t="n">
        <f aca="false">COUNTIFS(Verbrauch!$A$9:$A$18896,"&gt;="&amp;A219,Verbrauch!$A$9:$A$18896,"&lt;"&amp;B219,Verbrauch!$C$9:$C$18896,"&lt;&gt;")</f>
        <v>0</v>
      </c>
    </row>
    <row r="220" customFormat="false" ht="15" hidden="false" customHeight="true" outlineLevel="0" collapsed="false">
      <c r="A220" s="10" t="n">
        <v>46181</v>
      </c>
      <c r="B220" s="10" t="n">
        <v>46182</v>
      </c>
      <c r="C220" s="22" t="n">
        <f aca="false">SUMIFS(Verbrauch!$C$9:$C$18896,Verbrauch!$A$9:$A$18896,"&gt;="&amp;A220,Verbrauch!$A$9:$A$18896,"&lt;"&amp;B220)</f>
        <v>0</v>
      </c>
      <c r="D220" s="22" t="n">
        <f aca="false">SUMIFS(Verbrauch!$C$9:$C$18896,Verbrauch!$A$9:$A$18896,"&gt;="&amp;A220,Verbrauch!$A$9:$A$18896,"&lt;"&amp;B220,Verbrauch!$F$9:$F$18896,"Go")</f>
        <v>0</v>
      </c>
      <c r="E220" s="22" t="n">
        <f aca="false">SUMIFS(Verbrauch!$C$9:$C$18896,Verbrauch!$A$9:$A$18896,"&gt;="&amp;A220,Verbrauch!$A$9:$A$18896,"&lt;"&amp;B220,Verbrauch!$F$9:$F$18896,"Standard")</f>
        <v>0</v>
      </c>
      <c r="F220" s="23" t="n">
        <f aca="false">SUMIFS(Verbrauch!$E$9:$E$18896,Verbrauch!$A$9:$A$18896,"&gt;="&amp;A220,Verbrauch!$A$9:$A$18896,"&lt;"&amp;B220)</f>
        <v>0</v>
      </c>
      <c r="G220" s="13" t="str">
        <f aca="false">IFERROR(F220/C220*100,"")</f>
        <v/>
      </c>
      <c r="H220" s="11" t="n">
        <f aca="false">COUNTIFS(Verbrauch!$A$9:$A$18896,"&gt;="&amp;A220,Verbrauch!$A$9:$A$18896,"&lt;"&amp;B220,Verbrauch!$C$9:$C$18896,"&lt;&gt;")</f>
        <v>0</v>
      </c>
    </row>
    <row r="221" customFormat="false" ht="15" hidden="false" customHeight="true" outlineLevel="0" collapsed="false">
      <c r="A221" s="10" t="n">
        <v>46182</v>
      </c>
      <c r="B221" s="10" t="n">
        <v>46183</v>
      </c>
      <c r="C221" s="22" t="n">
        <f aca="false">SUMIFS(Verbrauch!$C$9:$C$18896,Verbrauch!$A$9:$A$18896,"&gt;="&amp;A221,Verbrauch!$A$9:$A$18896,"&lt;"&amp;B221)</f>
        <v>0</v>
      </c>
      <c r="D221" s="22" t="n">
        <f aca="false">SUMIFS(Verbrauch!$C$9:$C$18896,Verbrauch!$A$9:$A$18896,"&gt;="&amp;A221,Verbrauch!$A$9:$A$18896,"&lt;"&amp;B221,Verbrauch!$F$9:$F$18896,"Go")</f>
        <v>0</v>
      </c>
      <c r="E221" s="22" t="n">
        <f aca="false">SUMIFS(Verbrauch!$C$9:$C$18896,Verbrauch!$A$9:$A$18896,"&gt;="&amp;A221,Verbrauch!$A$9:$A$18896,"&lt;"&amp;B221,Verbrauch!$F$9:$F$18896,"Standard")</f>
        <v>0</v>
      </c>
      <c r="F221" s="23" t="n">
        <f aca="false">SUMIFS(Verbrauch!$E$9:$E$18896,Verbrauch!$A$9:$A$18896,"&gt;="&amp;A221,Verbrauch!$A$9:$A$18896,"&lt;"&amp;B221)</f>
        <v>0</v>
      </c>
      <c r="G221" s="13" t="str">
        <f aca="false">IFERROR(F221/C221*100,"")</f>
        <v/>
      </c>
      <c r="H221" s="11" t="n">
        <f aca="false">COUNTIFS(Verbrauch!$A$9:$A$18896,"&gt;="&amp;A221,Verbrauch!$A$9:$A$18896,"&lt;"&amp;B221,Verbrauch!$C$9:$C$18896,"&lt;&gt;")</f>
        <v>0</v>
      </c>
    </row>
    <row r="222" customFormat="false" ht="15" hidden="false" customHeight="true" outlineLevel="0" collapsed="false">
      <c r="A222" s="10" t="n">
        <v>46183</v>
      </c>
      <c r="B222" s="10" t="n">
        <v>46184</v>
      </c>
      <c r="C222" s="22" t="n">
        <f aca="false">SUMIFS(Verbrauch!$C$9:$C$18896,Verbrauch!$A$9:$A$18896,"&gt;="&amp;A222,Verbrauch!$A$9:$A$18896,"&lt;"&amp;B222)</f>
        <v>0</v>
      </c>
      <c r="D222" s="22" t="n">
        <f aca="false">SUMIFS(Verbrauch!$C$9:$C$18896,Verbrauch!$A$9:$A$18896,"&gt;="&amp;A222,Verbrauch!$A$9:$A$18896,"&lt;"&amp;B222,Verbrauch!$F$9:$F$18896,"Go")</f>
        <v>0</v>
      </c>
      <c r="E222" s="22" t="n">
        <f aca="false">SUMIFS(Verbrauch!$C$9:$C$18896,Verbrauch!$A$9:$A$18896,"&gt;="&amp;A222,Verbrauch!$A$9:$A$18896,"&lt;"&amp;B222,Verbrauch!$F$9:$F$18896,"Standard")</f>
        <v>0</v>
      </c>
      <c r="F222" s="23" t="n">
        <f aca="false">SUMIFS(Verbrauch!$E$9:$E$18896,Verbrauch!$A$9:$A$18896,"&gt;="&amp;A222,Verbrauch!$A$9:$A$18896,"&lt;"&amp;B222)</f>
        <v>0</v>
      </c>
      <c r="G222" s="13" t="str">
        <f aca="false">IFERROR(F222/C222*100,"")</f>
        <v/>
      </c>
      <c r="H222" s="11" t="n">
        <f aca="false">COUNTIFS(Verbrauch!$A$9:$A$18896,"&gt;="&amp;A222,Verbrauch!$A$9:$A$18896,"&lt;"&amp;B222,Verbrauch!$C$9:$C$18896,"&lt;&gt;")</f>
        <v>0</v>
      </c>
    </row>
    <row r="223" customFormat="false" ht="15" hidden="false" customHeight="true" outlineLevel="0" collapsed="false">
      <c r="A223" s="10" t="n">
        <v>46184</v>
      </c>
      <c r="B223" s="10" t="n">
        <v>46185</v>
      </c>
      <c r="C223" s="22" t="n">
        <f aca="false">SUMIFS(Verbrauch!$C$9:$C$18896,Verbrauch!$A$9:$A$18896,"&gt;="&amp;A223,Verbrauch!$A$9:$A$18896,"&lt;"&amp;B223)</f>
        <v>0</v>
      </c>
      <c r="D223" s="22" t="n">
        <f aca="false">SUMIFS(Verbrauch!$C$9:$C$18896,Verbrauch!$A$9:$A$18896,"&gt;="&amp;A223,Verbrauch!$A$9:$A$18896,"&lt;"&amp;B223,Verbrauch!$F$9:$F$18896,"Go")</f>
        <v>0</v>
      </c>
      <c r="E223" s="22" t="n">
        <f aca="false">SUMIFS(Verbrauch!$C$9:$C$18896,Verbrauch!$A$9:$A$18896,"&gt;="&amp;A223,Verbrauch!$A$9:$A$18896,"&lt;"&amp;B223,Verbrauch!$F$9:$F$18896,"Standard")</f>
        <v>0</v>
      </c>
      <c r="F223" s="23" t="n">
        <f aca="false">SUMIFS(Verbrauch!$E$9:$E$18896,Verbrauch!$A$9:$A$18896,"&gt;="&amp;A223,Verbrauch!$A$9:$A$18896,"&lt;"&amp;B223)</f>
        <v>0</v>
      </c>
      <c r="G223" s="13" t="str">
        <f aca="false">IFERROR(F223/C223*100,"")</f>
        <v/>
      </c>
      <c r="H223" s="11" t="n">
        <f aca="false">COUNTIFS(Verbrauch!$A$9:$A$18896,"&gt;="&amp;A223,Verbrauch!$A$9:$A$18896,"&lt;"&amp;B223,Verbrauch!$C$9:$C$18896,"&lt;&gt;")</f>
        <v>0</v>
      </c>
    </row>
    <row r="224" customFormat="false" ht="15" hidden="false" customHeight="true" outlineLevel="0" collapsed="false">
      <c r="A224" s="10" t="n">
        <v>46185</v>
      </c>
      <c r="B224" s="10" t="n">
        <v>46186</v>
      </c>
      <c r="C224" s="22" t="n">
        <f aca="false">SUMIFS(Verbrauch!$C$9:$C$18896,Verbrauch!$A$9:$A$18896,"&gt;="&amp;A224,Verbrauch!$A$9:$A$18896,"&lt;"&amp;B224)</f>
        <v>0</v>
      </c>
      <c r="D224" s="22" t="n">
        <f aca="false">SUMIFS(Verbrauch!$C$9:$C$18896,Verbrauch!$A$9:$A$18896,"&gt;="&amp;A224,Verbrauch!$A$9:$A$18896,"&lt;"&amp;B224,Verbrauch!$F$9:$F$18896,"Go")</f>
        <v>0</v>
      </c>
      <c r="E224" s="22" t="n">
        <f aca="false">SUMIFS(Verbrauch!$C$9:$C$18896,Verbrauch!$A$9:$A$18896,"&gt;="&amp;A224,Verbrauch!$A$9:$A$18896,"&lt;"&amp;B224,Verbrauch!$F$9:$F$18896,"Standard")</f>
        <v>0</v>
      </c>
      <c r="F224" s="23" t="n">
        <f aca="false">SUMIFS(Verbrauch!$E$9:$E$18896,Verbrauch!$A$9:$A$18896,"&gt;="&amp;A224,Verbrauch!$A$9:$A$18896,"&lt;"&amp;B224)</f>
        <v>0</v>
      </c>
      <c r="G224" s="13" t="str">
        <f aca="false">IFERROR(F224/C224*100,"")</f>
        <v/>
      </c>
      <c r="H224" s="11" t="n">
        <f aca="false">COUNTIFS(Verbrauch!$A$9:$A$18896,"&gt;="&amp;A224,Verbrauch!$A$9:$A$18896,"&lt;"&amp;B224,Verbrauch!$C$9:$C$18896,"&lt;&gt;")</f>
        <v>0</v>
      </c>
    </row>
    <row r="225" customFormat="false" ht="15" hidden="false" customHeight="true" outlineLevel="0" collapsed="false">
      <c r="A225" s="10" t="n">
        <v>46186</v>
      </c>
      <c r="B225" s="10" t="n">
        <v>46187</v>
      </c>
      <c r="C225" s="22" t="n">
        <f aca="false">SUMIFS(Verbrauch!$C$9:$C$18896,Verbrauch!$A$9:$A$18896,"&gt;="&amp;A225,Verbrauch!$A$9:$A$18896,"&lt;"&amp;B225)</f>
        <v>0</v>
      </c>
      <c r="D225" s="22" t="n">
        <f aca="false">SUMIFS(Verbrauch!$C$9:$C$18896,Verbrauch!$A$9:$A$18896,"&gt;="&amp;A225,Verbrauch!$A$9:$A$18896,"&lt;"&amp;B225,Verbrauch!$F$9:$F$18896,"Go")</f>
        <v>0</v>
      </c>
      <c r="E225" s="22" t="n">
        <f aca="false">SUMIFS(Verbrauch!$C$9:$C$18896,Verbrauch!$A$9:$A$18896,"&gt;="&amp;A225,Verbrauch!$A$9:$A$18896,"&lt;"&amp;B225,Verbrauch!$F$9:$F$18896,"Standard")</f>
        <v>0</v>
      </c>
      <c r="F225" s="23" t="n">
        <f aca="false">SUMIFS(Verbrauch!$E$9:$E$18896,Verbrauch!$A$9:$A$18896,"&gt;="&amp;A225,Verbrauch!$A$9:$A$18896,"&lt;"&amp;B225)</f>
        <v>0</v>
      </c>
      <c r="G225" s="13" t="str">
        <f aca="false">IFERROR(F225/C225*100,"")</f>
        <v/>
      </c>
      <c r="H225" s="11" t="n">
        <f aca="false">COUNTIFS(Verbrauch!$A$9:$A$18896,"&gt;="&amp;A225,Verbrauch!$A$9:$A$18896,"&lt;"&amp;B225,Verbrauch!$C$9:$C$18896,"&lt;&gt;")</f>
        <v>0</v>
      </c>
    </row>
    <row r="226" customFormat="false" ht="15" hidden="false" customHeight="true" outlineLevel="0" collapsed="false">
      <c r="A226" s="10" t="n">
        <v>46187</v>
      </c>
      <c r="B226" s="10" t="n">
        <v>46188</v>
      </c>
      <c r="C226" s="22" t="n">
        <f aca="false">SUMIFS(Verbrauch!$C$9:$C$18896,Verbrauch!$A$9:$A$18896,"&gt;="&amp;A226,Verbrauch!$A$9:$A$18896,"&lt;"&amp;B226)</f>
        <v>0</v>
      </c>
      <c r="D226" s="22" t="n">
        <f aca="false">SUMIFS(Verbrauch!$C$9:$C$18896,Verbrauch!$A$9:$A$18896,"&gt;="&amp;A226,Verbrauch!$A$9:$A$18896,"&lt;"&amp;B226,Verbrauch!$F$9:$F$18896,"Go")</f>
        <v>0</v>
      </c>
      <c r="E226" s="22" t="n">
        <f aca="false">SUMIFS(Verbrauch!$C$9:$C$18896,Verbrauch!$A$9:$A$18896,"&gt;="&amp;A226,Verbrauch!$A$9:$A$18896,"&lt;"&amp;B226,Verbrauch!$F$9:$F$18896,"Standard")</f>
        <v>0</v>
      </c>
      <c r="F226" s="23" t="n">
        <f aca="false">SUMIFS(Verbrauch!$E$9:$E$18896,Verbrauch!$A$9:$A$18896,"&gt;="&amp;A226,Verbrauch!$A$9:$A$18896,"&lt;"&amp;B226)</f>
        <v>0</v>
      </c>
      <c r="G226" s="13" t="str">
        <f aca="false">IFERROR(F226/C226*100,"")</f>
        <v/>
      </c>
      <c r="H226" s="11" t="n">
        <f aca="false">COUNTIFS(Verbrauch!$A$9:$A$18896,"&gt;="&amp;A226,Verbrauch!$A$9:$A$18896,"&lt;"&amp;B226,Verbrauch!$C$9:$C$18896,"&lt;&gt;")</f>
        <v>0</v>
      </c>
    </row>
    <row r="227" customFormat="false" ht="15" hidden="false" customHeight="true" outlineLevel="0" collapsed="false">
      <c r="A227" s="10" t="n">
        <v>46188</v>
      </c>
      <c r="B227" s="10" t="n">
        <v>46189</v>
      </c>
      <c r="C227" s="22" t="n">
        <f aca="false">SUMIFS(Verbrauch!$C$9:$C$18896,Verbrauch!$A$9:$A$18896,"&gt;="&amp;A227,Verbrauch!$A$9:$A$18896,"&lt;"&amp;B227)</f>
        <v>0</v>
      </c>
      <c r="D227" s="22" t="n">
        <f aca="false">SUMIFS(Verbrauch!$C$9:$C$18896,Verbrauch!$A$9:$A$18896,"&gt;="&amp;A227,Verbrauch!$A$9:$A$18896,"&lt;"&amp;B227,Verbrauch!$F$9:$F$18896,"Go")</f>
        <v>0</v>
      </c>
      <c r="E227" s="22" t="n">
        <f aca="false">SUMIFS(Verbrauch!$C$9:$C$18896,Verbrauch!$A$9:$A$18896,"&gt;="&amp;A227,Verbrauch!$A$9:$A$18896,"&lt;"&amp;B227,Verbrauch!$F$9:$F$18896,"Standard")</f>
        <v>0</v>
      </c>
      <c r="F227" s="23" t="n">
        <f aca="false">SUMIFS(Verbrauch!$E$9:$E$18896,Verbrauch!$A$9:$A$18896,"&gt;="&amp;A227,Verbrauch!$A$9:$A$18896,"&lt;"&amp;B227)</f>
        <v>0</v>
      </c>
      <c r="G227" s="13" t="str">
        <f aca="false">IFERROR(F227/C227*100,"")</f>
        <v/>
      </c>
      <c r="H227" s="11" t="n">
        <f aca="false">COUNTIFS(Verbrauch!$A$9:$A$18896,"&gt;="&amp;A227,Verbrauch!$A$9:$A$18896,"&lt;"&amp;B227,Verbrauch!$C$9:$C$18896,"&lt;&gt;")</f>
        <v>0</v>
      </c>
    </row>
    <row r="228" customFormat="false" ht="15" hidden="false" customHeight="true" outlineLevel="0" collapsed="false">
      <c r="A228" s="10" t="n">
        <v>46189</v>
      </c>
      <c r="B228" s="10" t="n">
        <v>46190</v>
      </c>
      <c r="C228" s="22" t="n">
        <f aca="false">SUMIFS(Verbrauch!$C$9:$C$18896,Verbrauch!$A$9:$A$18896,"&gt;="&amp;A228,Verbrauch!$A$9:$A$18896,"&lt;"&amp;B228)</f>
        <v>0</v>
      </c>
      <c r="D228" s="22" t="n">
        <f aca="false">SUMIFS(Verbrauch!$C$9:$C$18896,Verbrauch!$A$9:$A$18896,"&gt;="&amp;A228,Verbrauch!$A$9:$A$18896,"&lt;"&amp;B228,Verbrauch!$F$9:$F$18896,"Go")</f>
        <v>0</v>
      </c>
      <c r="E228" s="22" t="n">
        <f aca="false">SUMIFS(Verbrauch!$C$9:$C$18896,Verbrauch!$A$9:$A$18896,"&gt;="&amp;A228,Verbrauch!$A$9:$A$18896,"&lt;"&amp;B228,Verbrauch!$F$9:$F$18896,"Standard")</f>
        <v>0</v>
      </c>
      <c r="F228" s="23" t="n">
        <f aca="false">SUMIFS(Verbrauch!$E$9:$E$18896,Verbrauch!$A$9:$A$18896,"&gt;="&amp;A228,Verbrauch!$A$9:$A$18896,"&lt;"&amp;B228)</f>
        <v>0</v>
      </c>
      <c r="G228" s="13" t="str">
        <f aca="false">IFERROR(F228/C228*100,"")</f>
        <v/>
      </c>
      <c r="H228" s="11" t="n">
        <f aca="false">COUNTIFS(Verbrauch!$A$9:$A$18896,"&gt;="&amp;A228,Verbrauch!$A$9:$A$18896,"&lt;"&amp;B228,Verbrauch!$C$9:$C$18896,"&lt;&gt;")</f>
        <v>0</v>
      </c>
    </row>
    <row r="229" customFormat="false" ht="15" hidden="false" customHeight="true" outlineLevel="0" collapsed="false">
      <c r="A229" s="10" t="n">
        <v>46190</v>
      </c>
      <c r="B229" s="10" t="n">
        <v>46191</v>
      </c>
      <c r="C229" s="22" t="n">
        <f aca="false">SUMIFS(Verbrauch!$C$9:$C$18896,Verbrauch!$A$9:$A$18896,"&gt;="&amp;A229,Verbrauch!$A$9:$A$18896,"&lt;"&amp;B229)</f>
        <v>0</v>
      </c>
      <c r="D229" s="22" t="n">
        <f aca="false">SUMIFS(Verbrauch!$C$9:$C$18896,Verbrauch!$A$9:$A$18896,"&gt;="&amp;A229,Verbrauch!$A$9:$A$18896,"&lt;"&amp;B229,Verbrauch!$F$9:$F$18896,"Go")</f>
        <v>0</v>
      </c>
      <c r="E229" s="22" t="n">
        <f aca="false">SUMIFS(Verbrauch!$C$9:$C$18896,Verbrauch!$A$9:$A$18896,"&gt;="&amp;A229,Verbrauch!$A$9:$A$18896,"&lt;"&amp;B229,Verbrauch!$F$9:$F$18896,"Standard")</f>
        <v>0</v>
      </c>
      <c r="F229" s="23" t="n">
        <f aca="false">SUMIFS(Verbrauch!$E$9:$E$18896,Verbrauch!$A$9:$A$18896,"&gt;="&amp;A229,Verbrauch!$A$9:$A$18896,"&lt;"&amp;B229)</f>
        <v>0</v>
      </c>
      <c r="G229" s="13" t="str">
        <f aca="false">IFERROR(F229/C229*100,"")</f>
        <v/>
      </c>
      <c r="H229" s="11" t="n">
        <f aca="false">COUNTIFS(Verbrauch!$A$9:$A$18896,"&gt;="&amp;A229,Verbrauch!$A$9:$A$18896,"&lt;"&amp;B229,Verbrauch!$C$9:$C$18896,"&lt;&gt;")</f>
        <v>0</v>
      </c>
    </row>
    <row r="230" customFormat="false" ht="15" hidden="false" customHeight="true" outlineLevel="0" collapsed="false">
      <c r="A230" s="10" t="n">
        <v>46191</v>
      </c>
      <c r="B230" s="10" t="n">
        <v>46192</v>
      </c>
      <c r="C230" s="22" t="n">
        <f aca="false">SUMIFS(Verbrauch!$C$9:$C$18896,Verbrauch!$A$9:$A$18896,"&gt;="&amp;A230,Verbrauch!$A$9:$A$18896,"&lt;"&amp;B230)</f>
        <v>0</v>
      </c>
      <c r="D230" s="22" t="n">
        <f aca="false">SUMIFS(Verbrauch!$C$9:$C$18896,Verbrauch!$A$9:$A$18896,"&gt;="&amp;A230,Verbrauch!$A$9:$A$18896,"&lt;"&amp;B230,Verbrauch!$F$9:$F$18896,"Go")</f>
        <v>0</v>
      </c>
      <c r="E230" s="22" t="n">
        <f aca="false">SUMIFS(Verbrauch!$C$9:$C$18896,Verbrauch!$A$9:$A$18896,"&gt;="&amp;A230,Verbrauch!$A$9:$A$18896,"&lt;"&amp;B230,Verbrauch!$F$9:$F$18896,"Standard")</f>
        <v>0</v>
      </c>
      <c r="F230" s="23" t="n">
        <f aca="false">SUMIFS(Verbrauch!$E$9:$E$18896,Verbrauch!$A$9:$A$18896,"&gt;="&amp;A230,Verbrauch!$A$9:$A$18896,"&lt;"&amp;B230)</f>
        <v>0</v>
      </c>
      <c r="G230" s="13" t="str">
        <f aca="false">IFERROR(F230/C230*100,"")</f>
        <v/>
      </c>
      <c r="H230" s="11" t="n">
        <f aca="false">COUNTIFS(Verbrauch!$A$9:$A$18896,"&gt;="&amp;A230,Verbrauch!$A$9:$A$18896,"&lt;"&amp;B230,Verbrauch!$C$9:$C$18896,"&lt;&gt;")</f>
        <v>0</v>
      </c>
    </row>
    <row r="231" customFormat="false" ht="15" hidden="false" customHeight="true" outlineLevel="0" collapsed="false">
      <c r="A231" s="10" t="n">
        <v>46192</v>
      </c>
      <c r="B231" s="10" t="n">
        <v>46193</v>
      </c>
      <c r="C231" s="22" t="n">
        <f aca="false">SUMIFS(Verbrauch!$C$9:$C$18896,Verbrauch!$A$9:$A$18896,"&gt;="&amp;A231,Verbrauch!$A$9:$A$18896,"&lt;"&amp;B231)</f>
        <v>0</v>
      </c>
      <c r="D231" s="22" t="n">
        <f aca="false">SUMIFS(Verbrauch!$C$9:$C$18896,Verbrauch!$A$9:$A$18896,"&gt;="&amp;A231,Verbrauch!$A$9:$A$18896,"&lt;"&amp;B231,Verbrauch!$F$9:$F$18896,"Go")</f>
        <v>0</v>
      </c>
      <c r="E231" s="22" t="n">
        <f aca="false">SUMIFS(Verbrauch!$C$9:$C$18896,Verbrauch!$A$9:$A$18896,"&gt;="&amp;A231,Verbrauch!$A$9:$A$18896,"&lt;"&amp;B231,Verbrauch!$F$9:$F$18896,"Standard")</f>
        <v>0</v>
      </c>
      <c r="F231" s="23" t="n">
        <f aca="false">SUMIFS(Verbrauch!$E$9:$E$18896,Verbrauch!$A$9:$A$18896,"&gt;="&amp;A231,Verbrauch!$A$9:$A$18896,"&lt;"&amp;B231)</f>
        <v>0</v>
      </c>
      <c r="G231" s="13" t="str">
        <f aca="false">IFERROR(F231/C231*100,"")</f>
        <v/>
      </c>
      <c r="H231" s="11" t="n">
        <f aca="false">COUNTIFS(Verbrauch!$A$9:$A$18896,"&gt;="&amp;A231,Verbrauch!$A$9:$A$18896,"&lt;"&amp;B231,Verbrauch!$C$9:$C$18896,"&lt;&gt;")</f>
        <v>0</v>
      </c>
    </row>
    <row r="232" customFormat="false" ht="15" hidden="false" customHeight="true" outlineLevel="0" collapsed="false">
      <c r="A232" s="10" t="n">
        <v>46193</v>
      </c>
      <c r="B232" s="10" t="n">
        <v>46194</v>
      </c>
      <c r="C232" s="22" t="n">
        <f aca="false">SUMIFS(Verbrauch!$C$9:$C$18896,Verbrauch!$A$9:$A$18896,"&gt;="&amp;A232,Verbrauch!$A$9:$A$18896,"&lt;"&amp;B232)</f>
        <v>0</v>
      </c>
      <c r="D232" s="22" t="n">
        <f aca="false">SUMIFS(Verbrauch!$C$9:$C$18896,Verbrauch!$A$9:$A$18896,"&gt;="&amp;A232,Verbrauch!$A$9:$A$18896,"&lt;"&amp;B232,Verbrauch!$F$9:$F$18896,"Go")</f>
        <v>0</v>
      </c>
      <c r="E232" s="22" t="n">
        <f aca="false">SUMIFS(Verbrauch!$C$9:$C$18896,Verbrauch!$A$9:$A$18896,"&gt;="&amp;A232,Verbrauch!$A$9:$A$18896,"&lt;"&amp;B232,Verbrauch!$F$9:$F$18896,"Standard")</f>
        <v>0</v>
      </c>
      <c r="F232" s="23" t="n">
        <f aca="false">SUMIFS(Verbrauch!$E$9:$E$18896,Verbrauch!$A$9:$A$18896,"&gt;="&amp;A232,Verbrauch!$A$9:$A$18896,"&lt;"&amp;B232)</f>
        <v>0</v>
      </c>
      <c r="G232" s="13" t="str">
        <f aca="false">IFERROR(F232/C232*100,"")</f>
        <v/>
      </c>
      <c r="H232" s="11" t="n">
        <f aca="false">COUNTIFS(Verbrauch!$A$9:$A$18896,"&gt;="&amp;A232,Verbrauch!$A$9:$A$18896,"&lt;"&amp;B232,Verbrauch!$C$9:$C$18896,"&lt;&gt;")</f>
        <v>0</v>
      </c>
    </row>
    <row r="233" customFormat="false" ht="15" hidden="false" customHeight="true" outlineLevel="0" collapsed="false">
      <c r="A233" s="10" t="n">
        <v>46194</v>
      </c>
      <c r="B233" s="10" t="n">
        <v>46195</v>
      </c>
      <c r="C233" s="22" t="n">
        <f aca="false">SUMIFS(Verbrauch!$C$9:$C$18896,Verbrauch!$A$9:$A$18896,"&gt;="&amp;A233,Verbrauch!$A$9:$A$18896,"&lt;"&amp;B233)</f>
        <v>0</v>
      </c>
      <c r="D233" s="22" t="n">
        <f aca="false">SUMIFS(Verbrauch!$C$9:$C$18896,Verbrauch!$A$9:$A$18896,"&gt;="&amp;A233,Verbrauch!$A$9:$A$18896,"&lt;"&amp;B233,Verbrauch!$F$9:$F$18896,"Go")</f>
        <v>0</v>
      </c>
      <c r="E233" s="22" t="n">
        <f aca="false">SUMIFS(Verbrauch!$C$9:$C$18896,Verbrauch!$A$9:$A$18896,"&gt;="&amp;A233,Verbrauch!$A$9:$A$18896,"&lt;"&amp;B233,Verbrauch!$F$9:$F$18896,"Standard")</f>
        <v>0</v>
      </c>
      <c r="F233" s="23" t="n">
        <f aca="false">SUMIFS(Verbrauch!$E$9:$E$18896,Verbrauch!$A$9:$A$18896,"&gt;="&amp;A233,Verbrauch!$A$9:$A$18896,"&lt;"&amp;B233)</f>
        <v>0</v>
      </c>
      <c r="G233" s="13" t="str">
        <f aca="false">IFERROR(F233/C233*100,"")</f>
        <v/>
      </c>
      <c r="H233" s="11" t="n">
        <f aca="false">COUNTIFS(Verbrauch!$A$9:$A$18896,"&gt;="&amp;A233,Verbrauch!$A$9:$A$18896,"&lt;"&amp;B233,Verbrauch!$C$9:$C$18896,"&lt;&gt;")</f>
        <v>0</v>
      </c>
    </row>
    <row r="234" customFormat="false" ht="15" hidden="false" customHeight="true" outlineLevel="0" collapsed="false">
      <c r="A234" s="10" t="n">
        <v>46195</v>
      </c>
      <c r="B234" s="10" t="n">
        <v>46196</v>
      </c>
      <c r="C234" s="22" t="n">
        <f aca="false">SUMIFS(Verbrauch!$C$9:$C$18896,Verbrauch!$A$9:$A$18896,"&gt;="&amp;A234,Verbrauch!$A$9:$A$18896,"&lt;"&amp;B234)</f>
        <v>0</v>
      </c>
      <c r="D234" s="22" t="n">
        <f aca="false">SUMIFS(Verbrauch!$C$9:$C$18896,Verbrauch!$A$9:$A$18896,"&gt;="&amp;A234,Verbrauch!$A$9:$A$18896,"&lt;"&amp;B234,Verbrauch!$F$9:$F$18896,"Go")</f>
        <v>0</v>
      </c>
      <c r="E234" s="22" t="n">
        <f aca="false">SUMIFS(Verbrauch!$C$9:$C$18896,Verbrauch!$A$9:$A$18896,"&gt;="&amp;A234,Verbrauch!$A$9:$A$18896,"&lt;"&amp;B234,Verbrauch!$F$9:$F$18896,"Standard")</f>
        <v>0</v>
      </c>
      <c r="F234" s="23" t="n">
        <f aca="false">SUMIFS(Verbrauch!$E$9:$E$18896,Verbrauch!$A$9:$A$18896,"&gt;="&amp;A234,Verbrauch!$A$9:$A$18896,"&lt;"&amp;B234)</f>
        <v>0</v>
      </c>
      <c r="G234" s="13" t="str">
        <f aca="false">IFERROR(F234/C234*100,"")</f>
        <v/>
      </c>
      <c r="H234" s="11" t="n">
        <f aca="false">COUNTIFS(Verbrauch!$A$9:$A$18896,"&gt;="&amp;A234,Verbrauch!$A$9:$A$18896,"&lt;"&amp;B234,Verbrauch!$C$9:$C$18896,"&lt;&gt;")</f>
        <v>0</v>
      </c>
    </row>
    <row r="235" customFormat="false" ht="15" hidden="false" customHeight="true" outlineLevel="0" collapsed="false">
      <c r="A235" s="10" t="n">
        <v>46196</v>
      </c>
      <c r="B235" s="10" t="n">
        <v>46197</v>
      </c>
      <c r="C235" s="22" t="n">
        <f aca="false">SUMIFS(Verbrauch!$C$9:$C$18896,Verbrauch!$A$9:$A$18896,"&gt;="&amp;A235,Verbrauch!$A$9:$A$18896,"&lt;"&amp;B235)</f>
        <v>0</v>
      </c>
      <c r="D235" s="22" t="n">
        <f aca="false">SUMIFS(Verbrauch!$C$9:$C$18896,Verbrauch!$A$9:$A$18896,"&gt;="&amp;A235,Verbrauch!$A$9:$A$18896,"&lt;"&amp;B235,Verbrauch!$F$9:$F$18896,"Go")</f>
        <v>0</v>
      </c>
      <c r="E235" s="22" t="n">
        <f aca="false">SUMIFS(Verbrauch!$C$9:$C$18896,Verbrauch!$A$9:$A$18896,"&gt;="&amp;A235,Verbrauch!$A$9:$A$18896,"&lt;"&amp;B235,Verbrauch!$F$9:$F$18896,"Standard")</f>
        <v>0</v>
      </c>
      <c r="F235" s="23" t="n">
        <f aca="false">SUMIFS(Verbrauch!$E$9:$E$18896,Verbrauch!$A$9:$A$18896,"&gt;="&amp;A235,Verbrauch!$A$9:$A$18896,"&lt;"&amp;B235)</f>
        <v>0</v>
      </c>
      <c r="G235" s="13" t="str">
        <f aca="false">IFERROR(F235/C235*100,"")</f>
        <v/>
      </c>
      <c r="H235" s="11" t="n">
        <f aca="false">COUNTIFS(Verbrauch!$A$9:$A$18896,"&gt;="&amp;A235,Verbrauch!$A$9:$A$18896,"&lt;"&amp;B235,Verbrauch!$C$9:$C$18896,"&lt;&gt;")</f>
        <v>0</v>
      </c>
    </row>
    <row r="236" customFormat="false" ht="15" hidden="false" customHeight="true" outlineLevel="0" collapsed="false">
      <c r="A236" s="10" t="n">
        <v>46197</v>
      </c>
      <c r="B236" s="10" t="n">
        <v>46198</v>
      </c>
      <c r="C236" s="22" t="n">
        <f aca="false">SUMIFS(Verbrauch!$C$9:$C$18896,Verbrauch!$A$9:$A$18896,"&gt;="&amp;A236,Verbrauch!$A$9:$A$18896,"&lt;"&amp;B236)</f>
        <v>0</v>
      </c>
      <c r="D236" s="22" t="n">
        <f aca="false">SUMIFS(Verbrauch!$C$9:$C$18896,Verbrauch!$A$9:$A$18896,"&gt;="&amp;A236,Verbrauch!$A$9:$A$18896,"&lt;"&amp;B236,Verbrauch!$F$9:$F$18896,"Go")</f>
        <v>0</v>
      </c>
      <c r="E236" s="22" t="n">
        <f aca="false">SUMIFS(Verbrauch!$C$9:$C$18896,Verbrauch!$A$9:$A$18896,"&gt;="&amp;A236,Verbrauch!$A$9:$A$18896,"&lt;"&amp;B236,Verbrauch!$F$9:$F$18896,"Standard")</f>
        <v>0</v>
      </c>
      <c r="F236" s="23" t="n">
        <f aca="false">SUMIFS(Verbrauch!$E$9:$E$18896,Verbrauch!$A$9:$A$18896,"&gt;="&amp;A236,Verbrauch!$A$9:$A$18896,"&lt;"&amp;B236)</f>
        <v>0</v>
      </c>
      <c r="G236" s="13" t="str">
        <f aca="false">IFERROR(F236/C236*100,"")</f>
        <v/>
      </c>
      <c r="H236" s="11" t="n">
        <f aca="false">COUNTIFS(Verbrauch!$A$9:$A$18896,"&gt;="&amp;A236,Verbrauch!$A$9:$A$18896,"&lt;"&amp;B236,Verbrauch!$C$9:$C$18896,"&lt;&gt;")</f>
        <v>0</v>
      </c>
    </row>
    <row r="237" customFormat="false" ht="15" hidden="false" customHeight="true" outlineLevel="0" collapsed="false">
      <c r="A237" s="10" t="n">
        <v>46198</v>
      </c>
      <c r="B237" s="10" t="n">
        <v>46199</v>
      </c>
      <c r="C237" s="22" t="n">
        <f aca="false">SUMIFS(Verbrauch!$C$9:$C$18896,Verbrauch!$A$9:$A$18896,"&gt;="&amp;A237,Verbrauch!$A$9:$A$18896,"&lt;"&amp;B237)</f>
        <v>0</v>
      </c>
      <c r="D237" s="22" t="n">
        <f aca="false">SUMIFS(Verbrauch!$C$9:$C$18896,Verbrauch!$A$9:$A$18896,"&gt;="&amp;A237,Verbrauch!$A$9:$A$18896,"&lt;"&amp;B237,Verbrauch!$F$9:$F$18896,"Go")</f>
        <v>0</v>
      </c>
      <c r="E237" s="22" t="n">
        <f aca="false">SUMIFS(Verbrauch!$C$9:$C$18896,Verbrauch!$A$9:$A$18896,"&gt;="&amp;A237,Verbrauch!$A$9:$A$18896,"&lt;"&amp;B237,Verbrauch!$F$9:$F$18896,"Standard")</f>
        <v>0</v>
      </c>
      <c r="F237" s="23" t="n">
        <f aca="false">SUMIFS(Verbrauch!$E$9:$E$18896,Verbrauch!$A$9:$A$18896,"&gt;="&amp;A237,Verbrauch!$A$9:$A$18896,"&lt;"&amp;B237)</f>
        <v>0</v>
      </c>
      <c r="G237" s="13" t="str">
        <f aca="false">IFERROR(F237/C237*100,"")</f>
        <v/>
      </c>
      <c r="H237" s="11" t="n">
        <f aca="false">COUNTIFS(Verbrauch!$A$9:$A$18896,"&gt;="&amp;A237,Verbrauch!$A$9:$A$18896,"&lt;"&amp;B237,Verbrauch!$C$9:$C$18896,"&lt;&gt;")</f>
        <v>0</v>
      </c>
    </row>
    <row r="238" customFormat="false" ht="15" hidden="false" customHeight="true" outlineLevel="0" collapsed="false">
      <c r="A238" s="10" t="n">
        <v>46199</v>
      </c>
      <c r="B238" s="10" t="n">
        <v>46200</v>
      </c>
      <c r="C238" s="22" t="n">
        <f aca="false">SUMIFS(Verbrauch!$C$9:$C$18896,Verbrauch!$A$9:$A$18896,"&gt;="&amp;A238,Verbrauch!$A$9:$A$18896,"&lt;"&amp;B238)</f>
        <v>0</v>
      </c>
      <c r="D238" s="22" t="n">
        <f aca="false">SUMIFS(Verbrauch!$C$9:$C$18896,Verbrauch!$A$9:$A$18896,"&gt;="&amp;A238,Verbrauch!$A$9:$A$18896,"&lt;"&amp;B238,Verbrauch!$F$9:$F$18896,"Go")</f>
        <v>0</v>
      </c>
      <c r="E238" s="22" t="n">
        <f aca="false">SUMIFS(Verbrauch!$C$9:$C$18896,Verbrauch!$A$9:$A$18896,"&gt;="&amp;A238,Verbrauch!$A$9:$A$18896,"&lt;"&amp;B238,Verbrauch!$F$9:$F$18896,"Standard")</f>
        <v>0</v>
      </c>
      <c r="F238" s="23" t="n">
        <f aca="false">SUMIFS(Verbrauch!$E$9:$E$18896,Verbrauch!$A$9:$A$18896,"&gt;="&amp;A238,Verbrauch!$A$9:$A$18896,"&lt;"&amp;B238)</f>
        <v>0</v>
      </c>
      <c r="G238" s="13" t="str">
        <f aca="false">IFERROR(F238/C238*100,"")</f>
        <v/>
      </c>
      <c r="H238" s="11" t="n">
        <f aca="false">COUNTIFS(Verbrauch!$A$9:$A$18896,"&gt;="&amp;A238,Verbrauch!$A$9:$A$18896,"&lt;"&amp;B238,Verbrauch!$C$9:$C$18896,"&lt;&gt;")</f>
        <v>0</v>
      </c>
    </row>
    <row r="239" customFormat="false" ht="15" hidden="false" customHeight="true" outlineLevel="0" collapsed="false">
      <c r="A239" s="10" t="n">
        <v>46200</v>
      </c>
      <c r="B239" s="10" t="n">
        <v>46201</v>
      </c>
      <c r="C239" s="22" t="n">
        <f aca="false">SUMIFS(Verbrauch!$C$9:$C$18896,Verbrauch!$A$9:$A$18896,"&gt;="&amp;A239,Verbrauch!$A$9:$A$18896,"&lt;"&amp;B239)</f>
        <v>0</v>
      </c>
      <c r="D239" s="22" t="n">
        <f aca="false">SUMIFS(Verbrauch!$C$9:$C$18896,Verbrauch!$A$9:$A$18896,"&gt;="&amp;A239,Verbrauch!$A$9:$A$18896,"&lt;"&amp;B239,Verbrauch!$F$9:$F$18896,"Go")</f>
        <v>0</v>
      </c>
      <c r="E239" s="22" t="n">
        <f aca="false">SUMIFS(Verbrauch!$C$9:$C$18896,Verbrauch!$A$9:$A$18896,"&gt;="&amp;A239,Verbrauch!$A$9:$A$18896,"&lt;"&amp;B239,Verbrauch!$F$9:$F$18896,"Standard")</f>
        <v>0</v>
      </c>
      <c r="F239" s="23" t="n">
        <f aca="false">SUMIFS(Verbrauch!$E$9:$E$18896,Verbrauch!$A$9:$A$18896,"&gt;="&amp;A239,Verbrauch!$A$9:$A$18896,"&lt;"&amp;B239)</f>
        <v>0</v>
      </c>
      <c r="G239" s="13" t="str">
        <f aca="false">IFERROR(F239/C239*100,"")</f>
        <v/>
      </c>
      <c r="H239" s="11" t="n">
        <f aca="false">COUNTIFS(Verbrauch!$A$9:$A$18896,"&gt;="&amp;A239,Verbrauch!$A$9:$A$18896,"&lt;"&amp;B239,Verbrauch!$C$9:$C$18896,"&lt;&gt;")</f>
        <v>0</v>
      </c>
    </row>
    <row r="240" customFormat="false" ht="15" hidden="false" customHeight="true" outlineLevel="0" collapsed="false">
      <c r="A240" s="10" t="n">
        <v>46201</v>
      </c>
      <c r="B240" s="10" t="n">
        <v>46202</v>
      </c>
      <c r="C240" s="22" t="n">
        <f aca="false">SUMIFS(Verbrauch!$C$9:$C$18896,Verbrauch!$A$9:$A$18896,"&gt;="&amp;A240,Verbrauch!$A$9:$A$18896,"&lt;"&amp;B240)</f>
        <v>0</v>
      </c>
      <c r="D240" s="22" t="n">
        <f aca="false">SUMIFS(Verbrauch!$C$9:$C$18896,Verbrauch!$A$9:$A$18896,"&gt;="&amp;A240,Verbrauch!$A$9:$A$18896,"&lt;"&amp;B240,Verbrauch!$F$9:$F$18896,"Go")</f>
        <v>0</v>
      </c>
      <c r="E240" s="22" t="n">
        <f aca="false">SUMIFS(Verbrauch!$C$9:$C$18896,Verbrauch!$A$9:$A$18896,"&gt;="&amp;A240,Verbrauch!$A$9:$A$18896,"&lt;"&amp;B240,Verbrauch!$F$9:$F$18896,"Standard")</f>
        <v>0</v>
      </c>
      <c r="F240" s="23" t="n">
        <f aca="false">SUMIFS(Verbrauch!$E$9:$E$18896,Verbrauch!$A$9:$A$18896,"&gt;="&amp;A240,Verbrauch!$A$9:$A$18896,"&lt;"&amp;B240)</f>
        <v>0</v>
      </c>
      <c r="G240" s="13" t="str">
        <f aca="false">IFERROR(F240/C240*100,"")</f>
        <v/>
      </c>
      <c r="H240" s="11" t="n">
        <f aca="false">COUNTIFS(Verbrauch!$A$9:$A$18896,"&gt;="&amp;A240,Verbrauch!$A$9:$A$18896,"&lt;"&amp;B240,Verbrauch!$C$9:$C$18896,"&lt;&gt;")</f>
        <v>0</v>
      </c>
    </row>
    <row r="241" customFormat="false" ht="15" hidden="false" customHeight="true" outlineLevel="0" collapsed="false">
      <c r="A241" s="10" t="n">
        <v>46202</v>
      </c>
      <c r="B241" s="10" t="n">
        <v>46203</v>
      </c>
      <c r="C241" s="22" t="n">
        <f aca="false">SUMIFS(Verbrauch!$C$9:$C$18896,Verbrauch!$A$9:$A$18896,"&gt;="&amp;A241,Verbrauch!$A$9:$A$18896,"&lt;"&amp;B241)</f>
        <v>0</v>
      </c>
      <c r="D241" s="22" t="n">
        <f aca="false">SUMIFS(Verbrauch!$C$9:$C$18896,Verbrauch!$A$9:$A$18896,"&gt;="&amp;A241,Verbrauch!$A$9:$A$18896,"&lt;"&amp;B241,Verbrauch!$F$9:$F$18896,"Go")</f>
        <v>0</v>
      </c>
      <c r="E241" s="22" t="n">
        <f aca="false">SUMIFS(Verbrauch!$C$9:$C$18896,Verbrauch!$A$9:$A$18896,"&gt;="&amp;A241,Verbrauch!$A$9:$A$18896,"&lt;"&amp;B241,Verbrauch!$F$9:$F$18896,"Standard")</f>
        <v>0</v>
      </c>
      <c r="F241" s="23" t="n">
        <f aca="false">SUMIFS(Verbrauch!$E$9:$E$18896,Verbrauch!$A$9:$A$18896,"&gt;="&amp;A241,Verbrauch!$A$9:$A$18896,"&lt;"&amp;B241)</f>
        <v>0</v>
      </c>
      <c r="G241" s="13" t="str">
        <f aca="false">IFERROR(F241/C241*100,"")</f>
        <v/>
      </c>
      <c r="H241" s="11" t="n">
        <f aca="false">COUNTIFS(Verbrauch!$A$9:$A$18896,"&gt;="&amp;A241,Verbrauch!$A$9:$A$18896,"&lt;"&amp;B241,Verbrauch!$C$9:$C$18896,"&lt;&gt;")</f>
        <v>0</v>
      </c>
    </row>
    <row r="242" customFormat="false" ht="15" hidden="false" customHeight="true" outlineLevel="0" collapsed="false">
      <c r="A242" s="10" t="n">
        <v>46203</v>
      </c>
      <c r="B242" s="10" t="n">
        <v>46204</v>
      </c>
      <c r="C242" s="22" t="n">
        <f aca="false">SUMIFS(Verbrauch!$C$9:$C$18896,Verbrauch!$A$9:$A$18896,"&gt;="&amp;A242,Verbrauch!$A$9:$A$18896,"&lt;"&amp;B242)</f>
        <v>0</v>
      </c>
      <c r="D242" s="22" t="n">
        <f aca="false">SUMIFS(Verbrauch!$C$9:$C$18896,Verbrauch!$A$9:$A$18896,"&gt;="&amp;A242,Verbrauch!$A$9:$A$18896,"&lt;"&amp;B242,Verbrauch!$F$9:$F$18896,"Go")</f>
        <v>0</v>
      </c>
      <c r="E242" s="22" t="n">
        <f aca="false">SUMIFS(Verbrauch!$C$9:$C$18896,Verbrauch!$A$9:$A$18896,"&gt;="&amp;A242,Verbrauch!$A$9:$A$18896,"&lt;"&amp;B242,Verbrauch!$F$9:$F$18896,"Standard")</f>
        <v>0</v>
      </c>
      <c r="F242" s="23" t="n">
        <f aca="false">SUMIFS(Verbrauch!$E$9:$E$18896,Verbrauch!$A$9:$A$18896,"&gt;="&amp;A242,Verbrauch!$A$9:$A$18896,"&lt;"&amp;B242)</f>
        <v>0</v>
      </c>
      <c r="G242" s="13" t="str">
        <f aca="false">IFERROR(F242/C242*100,"")</f>
        <v/>
      </c>
      <c r="H242" s="11" t="n">
        <f aca="false">COUNTIFS(Verbrauch!$A$9:$A$18896,"&gt;="&amp;A242,Verbrauch!$A$9:$A$18896,"&lt;"&amp;B242,Verbrauch!$C$9:$C$18896,"&lt;&gt;")</f>
        <v>0</v>
      </c>
    </row>
    <row r="243" customFormat="false" ht="15" hidden="false" customHeight="true" outlineLevel="0" collapsed="false">
      <c r="A243" s="10" t="n">
        <v>46204</v>
      </c>
      <c r="B243" s="10" t="n">
        <v>46205</v>
      </c>
      <c r="C243" s="22" t="n">
        <f aca="false">SUMIFS(Verbrauch!$C$9:$C$18896,Verbrauch!$A$9:$A$18896,"&gt;="&amp;A243,Verbrauch!$A$9:$A$18896,"&lt;"&amp;B243)</f>
        <v>0</v>
      </c>
      <c r="D243" s="22" t="n">
        <f aca="false">SUMIFS(Verbrauch!$C$9:$C$18896,Verbrauch!$A$9:$A$18896,"&gt;="&amp;A243,Verbrauch!$A$9:$A$18896,"&lt;"&amp;B243,Verbrauch!$F$9:$F$18896,"Go")</f>
        <v>0</v>
      </c>
      <c r="E243" s="22" t="n">
        <f aca="false">SUMIFS(Verbrauch!$C$9:$C$18896,Verbrauch!$A$9:$A$18896,"&gt;="&amp;A243,Verbrauch!$A$9:$A$18896,"&lt;"&amp;B243,Verbrauch!$F$9:$F$18896,"Standard")</f>
        <v>0</v>
      </c>
      <c r="F243" s="23" t="n">
        <f aca="false">SUMIFS(Verbrauch!$E$9:$E$18896,Verbrauch!$A$9:$A$18896,"&gt;="&amp;A243,Verbrauch!$A$9:$A$18896,"&lt;"&amp;B243)</f>
        <v>0</v>
      </c>
      <c r="G243" s="13" t="str">
        <f aca="false">IFERROR(F243/C243*100,"")</f>
        <v/>
      </c>
      <c r="H243" s="11" t="n">
        <f aca="false">COUNTIFS(Verbrauch!$A$9:$A$18896,"&gt;="&amp;A243,Verbrauch!$A$9:$A$18896,"&lt;"&amp;B243,Verbrauch!$C$9:$C$18896,"&lt;&gt;")</f>
        <v>0</v>
      </c>
    </row>
    <row r="244" customFormat="false" ht="15" hidden="false" customHeight="true" outlineLevel="0" collapsed="false">
      <c r="A244" s="10" t="n">
        <v>46205</v>
      </c>
      <c r="B244" s="10" t="n">
        <v>46206</v>
      </c>
      <c r="C244" s="22" t="n">
        <f aca="false">SUMIFS(Verbrauch!$C$9:$C$18896,Verbrauch!$A$9:$A$18896,"&gt;="&amp;A244,Verbrauch!$A$9:$A$18896,"&lt;"&amp;B244)</f>
        <v>0</v>
      </c>
      <c r="D244" s="22" t="n">
        <f aca="false">SUMIFS(Verbrauch!$C$9:$C$18896,Verbrauch!$A$9:$A$18896,"&gt;="&amp;A244,Verbrauch!$A$9:$A$18896,"&lt;"&amp;B244,Verbrauch!$F$9:$F$18896,"Go")</f>
        <v>0</v>
      </c>
      <c r="E244" s="22" t="n">
        <f aca="false">SUMIFS(Verbrauch!$C$9:$C$18896,Verbrauch!$A$9:$A$18896,"&gt;="&amp;A244,Verbrauch!$A$9:$A$18896,"&lt;"&amp;B244,Verbrauch!$F$9:$F$18896,"Standard")</f>
        <v>0</v>
      </c>
      <c r="F244" s="23" t="n">
        <f aca="false">SUMIFS(Verbrauch!$E$9:$E$18896,Verbrauch!$A$9:$A$18896,"&gt;="&amp;A244,Verbrauch!$A$9:$A$18896,"&lt;"&amp;B244)</f>
        <v>0</v>
      </c>
      <c r="G244" s="13" t="str">
        <f aca="false">IFERROR(F244/C244*100,"")</f>
        <v/>
      </c>
      <c r="H244" s="11" t="n">
        <f aca="false">COUNTIFS(Verbrauch!$A$9:$A$18896,"&gt;="&amp;A244,Verbrauch!$A$9:$A$18896,"&lt;"&amp;B244,Verbrauch!$C$9:$C$18896,"&lt;&gt;")</f>
        <v>0</v>
      </c>
    </row>
    <row r="245" customFormat="false" ht="15" hidden="false" customHeight="true" outlineLevel="0" collapsed="false">
      <c r="A245" s="10" t="n">
        <v>46206</v>
      </c>
      <c r="B245" s="10" t="n">
        <v>46207</v>
      </c>
      <c r="C245" s="22" t="n">
        <f aca="false">SUMIFS(Verbrauch!$C$9:$C$18896,Verbrauch!$A$9:$A$18896,"&gt;="&amp;A245,Verbrauch!$A$9:$A$18896,"&lt;"&amp;B245)</f>
        <v>0</v>
      </c>
      <c r="D245" s="22" t="n">
        <f aca="false">SUMIFS(Verbrauch!$C$9:$C$18896,Verbrauch!$A$9:$A$18896,"&gt;="&amp;A245,Verbrauch!$A$9:$A$18896,"&lt;"&amp;B245,Verbrauch!$F$9:$F$18896,"Go")</f>
        <v>0</v>
      </c>
      <c r="E245" s="22" t="n">
        <f aca="false">SUMIFS(Verbrauch!$C$9:$C$18896,Verbrauch!$A$9:$A$18896,"&gt;="&amp;A245,Verbrauch!$A$9:$A$18896,"&lt;"&amp;B245,Verbrauch!$F$9:$F$18896,"Standard")</f>
        <v>0</v>
      </c>
      <c r="F245" s="23" t="n">
        <f aca="false">SUMIFS(Verbrauch!$E$9:$E$18896,Verbrauch!$A$9:$A$18896,"&gt;="&amp;A245,Verbrauch!$A$9:$A$18896,"&lt;"&amp;B245)</f>
        <v>0</v>
      </c>
      <c r="G245" s="13" t="str">
        <f aca="false">IFERROR(F245/C245*100,"")</f>
        <v/>
      </c>
      <c r="H245" s="11" t="n">
        <f aca="false">COUNTIFS(Verbrauch!$A$9:$A$18896,"&gt;="&amp;A245,Verbrauch!$A$9:$A$18896,"&lt;"&amp;B245,Verbrauch!$C$9:$C$18896,"&lt;&gt;")</f>
        <v>0</v>
      </c>
    </row>
    <row r="246" customFormat="false" ht="15" hidden="false" customHeight="true" outlineLevel="0" collapsed="false">
      <c r="A246" s="10" t="n">
        <v>46207</v>
      </c>
      <c r="B246" s="10" t="n">
        <v>46208</v>
      </c>
      <c r="C246" s="22" t="n">
        <f aca="false">SUMIFS(Verbrauch!$C$9:$C$18896,Verbrauch!$A$9:$A$18896,"&gt;="&amp;A246,Verbrauch!$A$9:$A$18896,"&lt;"&amp;B246)</f>
        <v>0</v>
      </c>
      <c r="D246" s="22" t="n">
        <f aca="false">SUMIFS(Verbrauch!$C$9:$C$18896,Verbrauch!$A$9:$A$18896,"&gt;="&amp;A246,Verbrauch!$A$9:$A$18896,"&lt;"&amp;B246,Verbrauch!$F$9:$F$18896,"Go")</f>
        <v>0</v>
      </c>
      <c r="E246" s="22" t="n">
        <f aca="false">SUMIFS(Verbrauch!$C$9:$C$18896,Verbrauch!$A$9:$A$18896,"&gt;="&amp;A246,Verbrauch!$A$9:$A$18896,"&lt;"&amp;B246,Verbrauch!$F$9:$F$18896,"Standard")</f>
        <v>0</v>
      </c>
      <c r="F246" s="23" t="n">
        <f aca="false">SUMIFS(Verbrauch!$E$9:$E$18896,Verbrauch!$A$9:$A$18896,"&gt;="&amp;A246,Verbrauch!$A$9:$A$18896,"&lt;"&amp;B246)</f>
        <v>0</v>
      </c>
      <c r="G246" s="13" t="str">
        <f aca="false">IFERROR(F246/C246*100,"")</f>
        <v/>
      </c>
      <c r="H246" s="11" t="n">
        <f aca="false">COUNTIFS(Verbrauch!$A$9:$A$18896,"&gt;="&amp;A246,Verbrauch!$A$9:$A$18896,"&lt;"&amp;B246,Verbrauch!$C$9:$C$18896,"&lt;&gt;")</f>
        <v>0</v>
      </c>
    </row>
    <row r="247" customFormat="false" ht="15" hidden="false" customHeight="true" outlineLevel="0" collapsed="false">
      <c r="A247" s="10" t="n">
        <v>46208</v>
      </c>
      <c r="B247" s="10" t="n">
        <v>46209</v>
      </c>
      <c r="C247" s="22" t="n">
        <f aca="false">SUMIFS(Verbrauch!$C$9:$C$18896,Verbrauch!$A$9:$A$18896,"&gt;="&amp;A247,Verbrauch!$A$9:$A$18896,"&lt;"&amp;B247)</f>
        <v>0</v>
      </c>
      <c r="D247" s="22" t="n">
        <f aca="false">SUMIFS(Verbrauch!$C$9:$C$18896,Verbrauch!$A$9:$A$18896,"&gt;="&amp;A247,Verbrauch!$A$9:$A$18896,"&lt;"&amp;B247,Verbrauch!$F$9:$F$18896,"Go")</f>
        <v>0</v>
      </c>
      <c r="E247" s="22" t="n">
        <f aca="false">SUMIFS(Verbrauch!$C$9:$C$18896,Verbrauch!$A$9:$A$18896,"&gt;="&amp;A247,Verbrauch!$A$9:$A$18896,"&lt;"&amp;B247,Verbrauch!$F$9:$F$18896,"Standard")</f>
        <v>0</v>
      </c>
      <c r="F247" s="23" t="n">
        <f aca="false">SUMIFS(Verbrauch!$E$9:$E$18896,Verbrauch!$A$9:$A$18896,"&gt;="&amp;A247,Verbrauch!$A$9:$A$18896,"&lt;"&amp;B247)</f>
        <v>0</v>
      </c>
      <c r="G247" s="13" t="str">
        <f aca="false">IFERROR(F247/C247*100,"")</f>
        <v/>
      </c>
      <c r="H247" s="11" t="n">
        <f aca="false">COUNTIFS(Verbrauch!$A$9:$A$18896,"&gt;="&amp;A247,Verbrauch!$A$9:$A$18896,"&lt;"&amp;B247,Verbrauch!$C$9:$C$18896,"&lt;&gt;")</f>
        <v>0</v>
      </c>
    </row>
    <row r="248" customFormat="false" ht="15" hidden="false" customHeight="true" outlineLevel="0" collapsed="false">
      <c r="A248" s="10" t="n">
        <v>46209</v>
      </c>
      <c r="B248" s="10" t="n">
        <v>46210</v>
      </c>
      <c r="C248" s="22" t="n">
        <f aca="false">SUMIFS(Verbrauch!$C$9:$C$18896,Verbrauch!$A$9:$A$18896,"&gt;="&amp;A248,Verbrauch!$A$9:$A$18896,"&lt;"&amp;B248)</f>
        <v>0</v>
      </c>
      <c r="D248" s="22" t="n">
        <f aca="false">SUMIFS(Verbrauch!$C$9:$C$18896,Verbrauch!$A$9:$A$18896,"&gt;="&amp;A248,Verbrauch!$A$9:$A$18896,"&lt;"&amp;B248,Verbrauch!$F$9:$F$18896,"Go")</f>
        <v>0</v>
      </c>
      <c r="E248" s="22" t="n">
        <f aca="false">SUMIFS(Verbrauch!$C$9:$C$18896,Verbrauch!$A$9:$A$18896,"&gt;="&amp;A248,Verbrauch!$A$9:$A$18896,"&lt;"&amp;B248,Verbrauch!$F$9:$F$18896,"Standard")</f>
        <v>0</v>
      </c>
      <c r="F248" s="23" t="n">
        <f aca="false">SUMIFS(Verbrauch!$E$9:$E$18896,Verbrauch!$A$9:$A$18896,"&gt;="&amp;A248,Verbrauch!$A$9:$A$18896,"&lt;"&amp;B248)</f>
        <v>0</v>
      </c>
      <c r="G248" s="13" t="str">
        <f aca="false">IFERROR(F248/C248*100,"")</f>
        <v/>
      </c>
      <c r="H248" s="11" t="n">
        <f aca="false">COUNTIFS(Verbrauch!$A$9:$A$18896,"&gt;="&amp;A248,Verbrauch!$A$9:$A$18896,"&lt;"&amp;B248,Verbrauch!$C$9:$C$18896,"&lt;&gt;")</f>
        <v>0</v>
      </c>
    </row>
    <row r="249" customFormat="false" ht="15" hidden="false" customHeight="true" outlineLevel="0" collapsed="false">
      <c r="A249" s="10" t="n">
        <v>46210</v>
      </c>
      <c r="B249" s="10" t="n">
        <v>46211</v>
      </c>
      <c r="C249" s="22" t="n">
        <f aca="false">SUMIFS(Verbrauch!$C$9:$C$18896,Verbrauch!$A$9:$A$18896,"&gt;="&amp;A249,Verbrauch!$A$9:$A$18896,"&lt;"&amp;B249)</f>
        <v>0</v>
      </c>
      <c r="D249" s="22" t="n">
        <f aca="false">SUMIFS(Verbrauch!$C$9:$C$18896,Verbrauch!$A$9:$A$18896,"&gt;="&amp;A249,Verbrauch!$A$9:$A$18896,"&lt;"&amp;B249,Verbrauch!$F$9:$F$18896,"Go")</f>
        <v>0</v>
      </c>
      <c r="E249" s="22" t="n">
        <f aca="false">SUMIFS(Verbrauch!$C$9:$C$18896,Verbrauch!$A$9:$A$18896,"&gt;="&amp;A249,Verbrauch!$A$9:$A$18896,"&lt;"&amp;B249,Verbrauch!$F$9:$F$18896,"Standard")</f>
        <v>0</v>
      </c>
      <c r="F249" s="23" t="n">
        <f aca="false">SUMIFS(Verbrauch!$E$9:$E$18896,Verbrauch!$A$9:$A$18896,"&gt;="&amp;A249,Verbrauch!$A$9:$A$18896,"&lt;"&amp;B249)</f>
        <v>0</v>
      </c>
      <c r="G249" s="13" t="str">
        <f aca="false">IFERROR(F249/C249*100,"")</f>
        <v/>
      </c>
      <c r="H249" s="11" t="n">
        <f aca="false">COUNTIFS(Verbrauch!$A$9:$A$18896,"&gt;="&amp;A249,Verbrauch!$A$9:$A$18896,"&lt;"&amp;B249,Verbrauch!$C$9:$C$18896,"&lt;&gt;")</f>
        <v>0</v>
      </c>
    </row>
    <row r="250" customFormat="false" ht="15" hidden="false" customHeight="true" outlineLevel="0" collapsed="false">
      <c r="A250" s="10" t="n">
        <v>46211</v>
      </c>
      <c r="B250" s="10" t="n">
        <v>46212</v>
      </c>
      <c r="C250" s="22" t="n">
        <f aca="false">SUMIFS(Verbrauch!$C$9:$C$18896,Verbrauch!$A$9:$A$18896,"&gt;="&amp;A250,Verbrauch!$A$9:$A$18896,"&lt;"&amp;B250)</f>
        <v>0</v>
      </c>
      <c r="D250" s="22" t="n">
        <f aca="false">SUMIFS(Verbrauch!$C$9:$C$18896,Verbrauch!$A$9:$A$18896,"&gt;="&amp;A250,Verbrauch!$A$9:$A$18896,"&lt;"&amp;B250,Verbrauch!$F$9:$F$18896,"Go")</f>
        <v>0</v>
      </c>
      <c r="E250" s="22" t="n">
        <f aca="false">SUMIFS(Verbrauch!$C$9:$C$18896,Verbrauch!$A$9:$A$18896,"&gt;="&amp;A250,Verbrauch!$A$9:$A$18896,"&lt;"&amp;B250,Verbrauch!$F$9:$F$18896,"Standard")</f>
        <v>0</v>
      </c>
      <c r="F250" s="23" t="n">
        <f aca="false">SUMIFS(Verbrauch!$E$9:$E$18896,Verbrauch!$A$9:$A$18896,"&gt;="&amp;A250,Verbrauch!$A$9:$A$18896,"&lt;"&amp;B250)</f>
        <v>0</v>
      </c>
      <c r="G250" s="13" t="str">
        <f aca="false">IFERROR(F250/C250*100,"")</f>
        <v/>
      </c>
      <c r="H250" s="11" t="n">
        <f aca="false">COUNTIFS(Verbrauch!$A$9:$A$18896,"&gt;="&amp;A250,Verbrauch!$A$9:$A$18896,"&lt;"&amp;B250,Verbrauch!$C$9:$C$18896,"&lt;&gt;")</f>
        <v>0</v>
      </c>
    </row>
    <row r="251" customFormat="false" ht="15" hidden="false" customHeight="true" outlineLevel="0" collapsed="false">
      <c r="A251" s="10" t="n">
        <v>46212</v>
      </c>
      <c r="B251" s="10" t="n">
        <v>46213</v>
      </c>
      <c r="C251" s="22" t="n">
        <f aca="false">SUMIFS(Verbrauch!$C$9:$C$18896,Verbrauch!$A$9:$A$18896,"&gt;="&amp;A251,Verbrauch!$A$9:$A$18896,"&lt;"&amp;B251)</f>
        <v>0</v>
      </c>
      <c r="D251" s="22" t="n">
        <f aca="false">SUMIFS(Verbrauch!$C$9:$C$18896,Verbrauch!$A$9:$A$18896,"&gt;="&amp;A251,Verbrauch!$A$9:$A$18896,"&lt;"&amp;B251,Verbrauch!$F$9:$F$18896,"Go")</f>
        <v>0</v>
      </c>
      <c r="E251" s="22" t="n">
        <f aca="false">SUMIFS(Verbrauch!$C$9:$C$18896,Verbrauch!$A$9:$A$18896,"&gt;="&amp;A251,Verbrauch!$A$9:$A$18896,"&lt;"&amp;B251,Verbrauch!$F$9:$F$18896,"Standard")</f>
        <v>0</v>
      </c>
      <c r="F251" s="23" t="n">
        <f aca="false">SUMIFS(Verbrauch!$E$9:$E$18896,Verbrauch!$A$9:$A$18896,"&gt;="&amp;A251,Verbrauch!$A$9:$A$18896,"&lt;"&amp;B251)</f>
        <v>0</v>
      </c>
      <c r="G251" s="13" t="str">
        <f aca="false">IFERROR(F251/C251*100,"")</f>
        <v/>
      </c>
      <c r="H251" s="11" t="n">
        <f aca="false">COUNTIFS(Verbrauch!$A$9:$A$18896,"&gt;="&amp;A251,Verbrauch!$A$9:$A$18896,"&lt;"&amp;B251,Verbrauch!$C$9:$C$18896,"&lt;&gt;")</f>
        <v>0</v>
      </c>
    </row>
    <row r="252" customFormat="false" ht="15" hidden="false" customHeight="true" outlineLevel="0" collapsed="false">
      <c r="A252" s="10" t="n">
        <v>46213</v>
      </c>
      <c r="B252" s="10" t="n">
        <v>46214</v>
      </c>
      <c r="C252" s="22" t="n">
        <f aca="false">SUMIFS(Verbrauch!$C$9:$C$18896,Verbrauch!$A$9:$A$18896,"&gt;="&amp;A252,Verbrauch!$A$9:$A$18896,"&lt;"&amp;B252)</f>
        <v>0</v>
      </c>
      <c r="D252" s="22" t="n">
        <f aca="false">SUMIFS(Verbrauch!$C$9:$C$18896,Verbrauch!$A$9:$A$18896,"&gt;="&amp;A252,Verbrauch!$A$9:$A$18896,"&lt;"&amp;B252,Verbrauch!$F$9:$F$18896,"Go")</f>
        <v>0</v>
      </c>
      <c r="E252" s="22" t="n">
        <f aca="false">SUMIFS(Verbrauch!$C$9:$C$18896,Verbrauch!$A$9:$A$18896,"&gt;="&amp;A252,Verbrauch!$A$9:$A$18896,"&lt;"&amp;B252,Verbrauch!$F$9:$F$18896,"Standard")</f>
        <v>0</v>
      </c>
      <c r="F252" s="23" t="n">
        <f aca="false">SUMIFS(Verbrauch!$E$9:$E$18896,Verbrauch!$A$9:$A$18896,"&gt;="&amp;A252,Verbrauch!$A$9:$A$18896,"&lt;"&amp;B252)</f>
        <v>0</v>
      </c>
      <c r="G252" s="13" t="str">
        <f aca="false">IFERROR(F252/C252*100,"")</f>
        <v/>
      </c>
      <c r="H252" s="11" t="n">
        <f aca="false">COUNTIFS(Verbrauch!$A$9:$A$18896,"&gt;="&amp;A252,Verbrauch!$A$9:$A$18896,"&lt;"&amp;B252,Verbrauch!$C$9:$C$18896,"&lt;&gt;")</f>
        <v>0</v>
      </c>
    </row>
    <row r="253" customFormat="false" ht="15" hidden="false" customHeight="true" outlineLevel="0" collapsed="false">
      <c r="A253" s="10" t="n">
        <v>46214</v>
      </c>
      <c r="B253" s="10" t="n">
        <v>46215</v>
      </c>
      <c r="C253" s="22" t="n">
        <f aca="false">SUMIFS(Verbrauch!$C$9:$C$18896,Verbrauch!$A$9:$A$18896,"&gt;="&amp;A253,Verbrauch!$A$9:$A$18896,"&lt;"&amp;B253)</f>
        <v>0</v>
      </c>
      <c r="D253" s="22" t="n">
        <f aca="false">SUMIFS(Verbrauch!$C$9:$C$18896,Verbrauch!$A$9:$A$18896,"&gt;="&amp;A253,Verbrauch!$A$9:$A$18896,"&lt;"&amp;B253,Verbrauch!$F$9:$F$18896,"Go")</f>
        <v>0</v>
      </c>
      <c r="E253" s="22" t="n">
        <f aca="false">SUMIFS(Verbrauch!$C$9:$C$18896,Verbrauch!$A$9:$A$18896,"&gt;="&amp;A253,Verbrauch!$A$9:$A$18896,"&lt;"&amp;B253,Verbrauch!$F$9:$F$18896,"Standard")</f>
        <v>0</v>
      </c>
      <c r="F253" s="23" t="n">
        <f aca="false">SUMIFS(Verbrauch!$E$9:$E$18896,Verbrauch!$A$9:$A$18896,"&gt;="&amp;A253,Verbrauch!$A$9:$A$18896,"&lt;"&amp;B253)</f>
        <v>0</v>
      </c>
      <c r="G253" s="13" t="str">
        <f aca="false">IFERROR(F253/C253*100,"")</f>
        <v/>
      </c>
      <c r="H253" s="11" t="n">
        <f aca="false">COUNTIFS(Verbrauch!$A$9:$A$18896,"&gt;="&amp;A253,Verbrauch!$A$9:$A$18896,"&lt;"&amp;B253,Verbrauch!$C$9:$C$18896,"&lt;&gt;")</f>
        <v>0</v>
      </c>
    </row>
    <row r="254" customFormat="false" ht="15" hidden="false" customHeight="true" outlineLevel="0" collapsed="false">
      <c r="A254" s="10" t="n">
        <v>46215</v>
      </c>
      <c r="B254" s="10" t="n">
        <v>46216</v>
      </c>
      <c r="C254" s="22" t="n">
        <f aca="false">SUMIFS(Verbrauch!$C$9:$C$18896,Verbrauch!$A$9:$A$18896,"&gt;="&amp;A254,Verbrauch!$A$9:$A$18896,"&lt;"&amp;B254)</f>
        <v>0</v>
      </c>
      <c r="D254" s="22" t="n">
        <f aca="false">SUMIFS(Verbrauch!$C$9:$C$18896,Verbrauch!$A$9:$A$18896,"&gt;="&amp;A254,Verbrauch!$A$9:$A$18896,"&lt;"&amp;B254,Verbrauch!$F$9:$F$18896,"Go")</f>
        <v>0</v>
      </c>
      <c r="E254" s="22" t="n">
        <f aca="false">SUMIFS(Verbrauch!$C$9:$C$18896,Verbrauch!$A$9:$A$18896,"&gt;="&amp;A254,Verbrauch!$A$9:$A$18896,"&lt;"&amp;B254,Verbrauch!$F$9:$F$18896,"Standard")</f>
        <v>0</v>
      </c>
      <c r="F254" s="23" t="n">
        <f aca="false">SUMIFS(Verbrauch!$E$9:$E$18896,Verbrauch!$A$9:$A$18896,"&gt;="&amp;A254,Verbrauch!$A$9:$A$18896,"&lt;"&amp;B254)</f>
        <v>0</v>
      </c>
      <c r="G254" s="13" t="str">
        <f aca="false">IFERROR(F254/C254*100,"")</f>
        <v/>
      </c>
      <c r="H254" s="11" t="n">
        <f aca="false">COUNTIFS(Verbrauch!$A$9:$A$18896,"&gt;="&amp;A254,Verbrauch!$A$9:$A$18896,"&lt;"&amp;B254,Verbrauch!$C$9:$C$18896,"&lt;&gt;")</f>
        <v>0</v>
      </c>
    </row>
    <row r="255" customFormat="false" ht="15" hidden="false" customHeight="true" outlineLevel="0" collapsed="false">
      <c r="A255" s="10" t="n">
        <v>46216</v>
      </c>
      <c r="B255" s="10" t="n">
        <v>46217</v>
      </c>
      <c r="C255" s="22" t="n">
        <f aca="false">SUMIFS(Verbrauch!$C$9:$C$18896,Verbrauch!$A$9:$A$18896,"&gt;="&amp;A255,Verbrauch!$A$9:$A$18896,"&lt;"&amp;B255)</f>
        <v>0</v>
      </c>
      <c r="D255" s="22" t="n">
        <f aca="false">SUMIFS(Verbrauch!$C$9:$C$18896,Verbrauch!$A$9:$A$18896,"&gt;="&amp;A255,Verbrauch!$A$9:$A$18896,"&lt;"&amp;B255,Verbrauch!$F$9:$F$18896,"Go")</f>
        <v>0</v>
      </c>
      <c r="E255" s="22" t="n">
        <f aca="false">SUMIFS(Verbrauch!$C$9:$C$18896,Verbrauch!$A$9:$A$18896,"&gt;="&amp;A255,Verbrauch!$A$9:$A$18896,"&lt;"&amp;B255,Verbrauch!$F$9:$F$18896,"Standard")</f>
        <v>0</v>
      </c>
      <c r="F255" s="23" t="n">
        <f aca="false">SUMIFS(Verbrauch!$E$9:$E$18896,Verbrauch!$A$9:$A$18896,"&gt;="&amp;A255,Verbrauch!$A$9:$A$18896,"&lt;"&amp;B255)</f>
        <v>0</v>
      </c>
      <c r="G255" s="13" t="str">
        <f aca="false">IFERROR(F255/C255*100,"")</f>
        <v/>
      </c>
      <c r="H255" s="11" t="n">
        <f aca="false">COUNTIFS(Verbrauch!$A$9:$A$18896,"&gt;="&amp;A255,Verbrauch!$A$9:$A$18896,"&lt;"&amp;B255,Verbrauch!$C$9:$C$18896,"&lt;&gt;")</f>
        <v>0</v>
      </c>
    </row>
    <row r="256" customFormat="false" ht="15" hidden="false" customHeight="true" outlineLevel="0" collapsed="false">
      <c r="A256" s="10" t="n">
        <v>46217</v>
      </c>
      <c r="B256" s="10" t="n">
        <v>46218</v>
      </c>
      <c r="C256" s="22" t="n">
        <f aca="false">SUMIFS(Verbrauch!$C$9:$C$18896,Verbrauch!$A$9:$A$18896,"&gt;="&amp;A256,Verbrauch!$A$9:$A$18896,"&lt;"&amp;B256)</f>
        <v>0</v>
      </c>
      <c r="D256" s="22" t="n">
        <f aca="false">SUMIFS(Verbrauch!$C$9:$C$18896,Verbrauch!$A$9:$A$18896,"&gt;="&amp;A256,Verbrauch!$A$9:$A$18896,"&lt;"&amp;B256,Verbrauch!$F$9:$F$18896,"Go")</f>
        <v>0</v>
      </c>
      <c r="E256" s="22" t="n">
        <f aca="false">SUMIFS(Verbrauch!$C$9:$C$18896,Verbrauch!$A$9:$A$18896,"&gt;="&amp;A256,Verbrauch!$A$9:$A$18896,"&lt;"&amp;B256,Verbrauch!$F$9:$F$18896,"Standard")</f>
        <v>0</v>
      </c>
      <c r="F256" s="23" t="n">
        <f aca="false">SUMIFS(Verbrauch!$E$9:$E$18896,Verbrauch!$A$9:$A$18896,"&gt;="&amp;A256,Verbrauch!$A$9:$A$18896,"&lt;"&amp;B256)</f>
        <v>0</v>
      </c>
      <c r="G256" s="13" t="str">
        <f aca="false">IFERROR(F256/C256*100,"")</f>
        <v/>
      </c>
      <c r="H256" s="11" t="n">
        <f aca="false">COUNTIFS(Verbrauch!$A$9:$A$18896,"&gt;="&amp;A256,Verbrauch!$A$9:$A$18896,"&lt;"&amp;B256,Verbrauch!$C$9:$C$18896,"&lt;&gt;")</f>
        <v>0</v>
      </c>
    </row>
    <row r="257" customFormat="false" ht="15" hidden="false" customHeight="true" outlineLevel="0" collapsed="false">
      <c r="A257" s="10" t="n">
        <v>46218</v>
      </c>
      <c r="B257" s="10" t="n">
        <v>46219</v>
      </c>
      <c r="C257" s="22" t="n">
        <f aca="false">SUMIFS(Verbrauch!$C$9:$C$18896,Verbrauch!$A$9:$A$18896,"&gt;="&amp;A257,Verbrauch!$A$9:$A$18896,"&lt;"&amp;B257)</f>
        <v>0</v>
      </c>
      <c r="D257" s="22" t="n">
        <f aca="false">SUMIFS(Verbrauch!$C$9:$C$18896,Verbrauch!$A$9:$A$18896,"&gt;="&amp;A257,Verbrauch!$A$9:$A$18896,"&lt;"&amp;B257,Verbrauch!$F$9:$F$18896,"Go")</f>
        <v>0</v>
      </c>
      <c r="E257" s="22" t="n">
        <f aca="false">SUMIFS(Verbrauch!$C$9:$C$18896,Verbrauch!$A$9:$A$18896,"&gt;="&amp;A257,Verbrauch!$A$9:$A$18896,"&lt;"&amp;B257,Verbrauch!$F$9:$F$18896,"Standard")</f>
        <v>0</v>
      </c>
      <c r="F257" s="23" t="n">
        <f aca="false">SUMIFS(Verbrauch!$E$9:$E$18896,Verbrauch!$A$9:$A$18896,"&gt;="&amp;A257,Verbrauch!$A$9:$A$18896,"&lt;"&amp;B257)</f>
        <v>0</v>
      </c>
      <c r="G257" s="13" t="str">
        <f aca="false">IFERROR(F257/C257*100,"")</f>
        <v/>
      </c>
      <c r="H257" s="11" t="n">
        <f aca="false">COUNTIFS(Verbrauch!$A$9:$A$18896,"&gt;="&amp;A257,Verbrauch!$A$9:$A$18896,"&lt;"&amp;B257,Verbrauch!$C$9:$C$18896,"&lt;&gt;")</f>
        <v>0</v>
      </c>
    </row>
    <row r="258" customFormat="false" ht="15" hidden="false" customHeight="true" outlineLevel="0" collapsed="false">
      <c r="A258" s="10" t="n">
        <v>46219</v>
      </c>
      <c r="B258" s="10" t="n">
        <v>46220</v>
      </c>
      <c r="C258" s="22" t="n">
        <f aca="false">SUMIFS(Verbrauch!$C$9:$C$18896,Verbrauch!$A$9:$A$18896,"&gt;="&amp;A258,Verbrauch!$A$9:$A$18896,"&lt;"&amp;B258)</f>
        <v>0</v>
      </c>
      <c r="D258" s="22" t="n">
        <f aca="false">SUMIFS(Verbrauch!$C$9:$C$18896,Verbrauch!$A$9:$A$18896,"&gt;="&amp;A258,Verbrauch!$A$9:$A$18896,"&lt;"&amp;B258,Verbrauch!$F$9:$F$18896,"Go")</f>
        <v>0</v>
      </c>
      <c r="E258" s="22" t="n">
        <f aca="false">SUMIFS(Verbrauch!$C$9:$C$18896,Verbrauch!$A$9:$A$18896,"&gt;="&amp;A258,Verbrauch!$A$9:$A$18896,"&lt;"&amp;B258,Verbrauch!$F$9:$F$18896,"Standard")</f>
        <v>0</v>
      </c>
      <c r="F258" s="23" t="n">
        <f aca="false">SUMIFS(Verbrauch!$E$9:$E$18896,Verbrauch!$A$9:$A$18896,"&gt;="&amp;A258,Verbrauch!$A$9:$A$18896,"&lt;"&amp;B258)</f>
        <v>0</v>
      </c>
      <c r="G258" s="13" t="str">
        <f aca="false">IFERROR(F258/C258*100,"")</f>
        <v/>
      </c>
      <c r="H258" s="11" t="n">
        <f aca="false">COUNTIFS(Verbrauch!$A$9:$A$18896,"&gt;="&amp;A258,Verbrauch!$A$9:$A$18896,"&lt;"&amp;B258,Verbrauch!$C$9:$C$18896,"&lt;&gt;")</f>
        <v>0</v>
      </c>
    </row>
    <row r="259" customFormat="false" ht="15" hidden="false" customHeight="true" outlineLevel="0" collapsed="false">
      <c r="A259" s="10" t="n">
        <v>46220</v>
      </c>
      <c r="B259" s="10" t="n">
        <v>46221</v>
      </c>
      <c r="C259" s="22" t="n">
        <f aca="false">SUMIFS(Verbrauch!$C$9:$C$18896,Verbrauch!$A$9:$A$18896,"&gt;="&amp;A259,Verbrauch!$A$9:$A$18896,"&lt;"&amp;B259)</f>
        <v>0</v>
      </c>
      <c r="D259" s="22" t="n">
        <f aca="false">SUMIFS(Verbrauch!$C$9:$C$18896,Verbrauch!$A$9:$A$18896,"&gt;="&amp;A259,Verbrauch!$A$9:$A$18896,"&lt;"&amp;B259,Verbrauch!$F$9:$F$18896,"Go")</f>
        <v>0</v>
      </c>
      <c r="E259" s="22" t="n">
        <f aca="false">SUMIFS(Verbrauch!$C$9:$C$18896,Verbrauch!$A$9:$A$18896,"&gt;="&amp;A259,Verbrauch!$A$9:$A$18896,"&lt;"&amp;B259,Verbrauch!$F$9:$F$18896,"Standard")</f>
        <v>0</v>
      </c>
      <c r="F259" s="23" t="n">
        <f aca="false">SUMIFS(Verbrauch!$E$9:$E$18896,Verbrauch!$A$9:$A$18896,"&gt;="&amp;A259,Verbrauch!$A$9:$A$18896,"&lt;"&amp;B259)</f>
        <v>0</v>
      </c>
      <c r="G259" s="13" t="str">
        <f aca="false">IFERROR(F259/C259*100,"")</f>
        <v/>
      </c>
      <c r="H259" s="11" t="n">
        <f aca="false">COUNTIFS(Verbrauch!$A$9:$A$18896,"&gt;="&amp;A259,Verbrauch!$A$9:$A$18896,"&lt;"&amp;B259,Verbrauch!$C$9:$C$18896,"&lt;&gt;")</f>
        <v>0</v>
      </c>
    </row>
    <row r="260" customFormat="false" ht="15" hidden="false" customHeight="true" outlineLevel="0" collapsed="false">
      <c r="A260" s="10" t="n">
        <v>46221</v>
      </c>
      <c r="B260" s="10" t="n">
        <v>46222</v>
      </c>
      <c r="C260" s="22" t="n">
        <f aca="false">SUMIFS(Verbrauch!$C$9:$C$18896,Verbrauch!$A$9:$A$18896,"&gt;="&amp;A260,Verbrauch!$A$9:$A$18896,"&lt;"&amp;B260)</f>
        <v>0</v>
      </c>
      <c r="D260" s="22" t="n">
        <f aca="false">SUMIFS(Verbrauch!$C$9:$C$18896,Verbrauch!$A$9:$A$18896,"&gt;="&amp;A260,Verbrauch!$A$9:$A$18896,"&lt;"&amp;B260,Verbrauch!$F$9:$F$18896,"Go")</f>
        <v>0</v>
      </c>
      <c r="E260" s="22" t="n">
        <f aca="false">SUMIFS(Verbrauch!$C$9:$C$18896,Verbrauch!$A$9:$A$18896,"&gt;="&amp;A260,Verbrauch!$A$9:$A$18896,"&lt;"&amp;B260,Verbrauch!$F$9:$F$18896,"Standard")</f>
        <v>0</v>
      </c>
      <c r="F260" s="23" t="n">
        <f aca="false">SUMIFS(Verbrauch!$E$9:$E$18896,Verbrauch!$A$9:$A$18896,"&gt;="&amp;A260,Verbrauch!$A$9:$A$18896,"&lt;"&amp;B260)</f>
        <v>0</v>
      </c>
      <c r="G260" s="13" t="str">
        <f aca="false">IFERROR(F260/C260*100,"")</f>
        <v/>
      </c>
      <c r="H260" s="11" t="n">
        <f aca="false">COUNTIFS(Verbrauch!$A$9:$A$18896,"&gt;="&amp;A260,Verbrauch!$A$9:$A$18896,"&lt;"&amp;B260,Verbrauch!$C$9:$C$18896,"&lt;&gt;")</f>
        <v>0</v>
      </c>
    </row>
    <row r="261" customFormat="false" ht="15" hidden="false" customHeight="true" outlineLevel="0" collapsed="false">
      <c r="A261" s="10" t="n">
        <v>46222</v>
      </c>
      <c r="B261" s="10" t="n">
        <v>46223</v>
      </c>
      <c r="C261" s="22" t="n">
        <f aca="false">SUMIFS(Verbrauch!$C$9:$C$18896,Verbrauch!$A$9:$A$18896,"&gt;="&amp;A261,Verbrauch!$A$9:$A$18896,"&lt;"&amp;B261)</f>
        <v>0</v>
      </c>
      <c r="D261" s="22" t="n">
        <f aca="false">SUMIFS(Verbrauch!$C$9:$C$18896,Verbrauch!$A$9:$A$18896,"&gt;="&amp;A261,Verbrauch!$A$9:$A$18896,"&lt;"&amp;B261,Verbrauch!$F$9:$F$18896,"Go")</f>
        <v>0</v>
      </c>
      <c r="E261" s="22" t="n">
        <f aca="false">SUMIFS(Verbrauch!$C$9:$C$18896,Verbrauch!$A$9:$A$18896,"&gt;="&amp;A261,Verbrauch!$A$9:$A$18896,"&lt;"&amp;B261,Verbrauch!$F$9:$F$18896,"Standard")</f>
        <v>0</v>
      </c>
      <c r="F261" s="23" t="n">
        <f aca="false">SUMIFS(Verbrauch!$E$9:$E$18896,Verbrauch!$A$9:$A$18896,"&gt;="&amp;A261,Verbrauch!$A$9:$A$18896,"&lt;"&amp;B261)</f>
        <v>0</v>
      </c>
      <c r="G261" s="13" t="str">
        <f aca="false">IFERROR(F261/C261*100,"")</f>
        <v/>
      </c>
      <c r="H261" s="11" t="n">
        <f aca="false">COUNTIFS(Verbrauch!$A$9:$A$18896,"&gt;="&amp;A261,Verbrauch!$A$9:$A$18896,"&lt;"&amp;B261,Verbrauch!$C$9:$C$18896,"&lt;&gt;")</f>
        <v>0</v>
      </c>
    </row>
    <row r="262" customFormat="false" ht="15" hidden="false" customHeight="true" outlineLevel="0" collapsed="false">
      <c r="A262" s="10" t="n">
        <v>46223</v>
      </c>
      <c r="B262" s="10" t="n">
        <v>46224</v>
      </c>
      <c r="C262" s="22" t="n">
        <f aca="false">SUMIFS(Verbrauch!$C$9:$C$18896,Verbrauch!$A$9:$A$18896,"&gt;="&amp;A262,Verbrauch!$A$9:$A$18896,"&lt;"&amp;B262)</f>
        <v>0</v>
      </c>
      <c r="D262" s="22" t="n">
        <f aca="false">SUMIFS(Verbrauch!$C$9:$C$18896,Verbrauch!$A$9:$A$18896,"&gt;="&amp;A262,Verbrauch!$A$9:$A$18896,"&lt;"&amp;B262,Verbrauch!$F$9:$F$18896,"Go")</f>
        <v>0</v>
      </c>
      <c r="E262" s="22" t="n">
        <f aca="false">SUMIFS(Verbrauch!$C$9:$C$18896,Verbrauch!$A$9:$A$18896,"&gt;="&amp;A262,Verbrauch!$A$9:$A$18896,"&lt;"&amp;B262,Verbrauch!$F$9:$F$18896,"Standard")</f>
        <v>0</v>
      </c>
      <c r="F262" s="23" t="n">
        <f aca="false">SUMIFS(Verbrauch!$E$9:$E$18896,Verbrauch!$A$9:$A$18896,"&gt;="&amp;A262,Verbrauch!$A$9:$A$18896,"&lt;"&amp;B262)</f>
        <v>0</v>
      </c>
      <c r="G262" s="13" t="str">
        <f aca="false">IFERROR(F262/C262*100,"")</f>
        <v/>
      </c>
      <c r="H262" s="11" t="n">
        <f aca="false">COUNTIFS(Verbrauch!$A$9:$A$18896,"&gt;="&amp;A262,Verbrauch!$A$9:$A$18896,"&lt;"&amp;B262,Verbrauch!$C$9:$C$18896,"&lt;&gt;")</f>
        <v>0</v>
      </c>
    </row>
    <row r="263" customFormat="false" ht="15" hidden="false" customHeight="true" outlineLevel="0" collapsed="false">
      <c r="A263" s="10" t="n">
        <v>46224</v>
      </c>
      <c r="B263" s="10" t="n">
        <v>46225</v>
      </c>
      <c r="C263" s="22" t="n">
        <f aca="false">SUMIFS(Verbrauch!$C$9:$C$18896,Verbrauch!$A$9:$A$18896,"&gt;="&amp;A263,Verbrauch!$A$9:$A$18896,"&lt;"&amp;B263)</f>
        <v>0</v>
      </c>
      <c r="D263" s="22" t="n">
        <f aca="false">SUMIFS(Verbrauch!$C$9:$C$18896,Verbrauch!$A$9:$A$18896,"&gt;="&amp;A263,Verbrauch!$A$9:$A$18896,"&lt;"&amp;B263,Verbrauch!$F$9:$F$18896,"Go")</f>
        <v>0</v>
      </c>
      <c r="E263" s="22" t="n">
        <f aca="false">SUMIFS(Verbrauch!$C$9:$C$18896,Verbrauch!$A$9:$A$18896,"&gt;="&amp;A263,Verbrauch!$A$9:$A$18896,"&lt;"&amp;B263,Verbrauch!$F$9:$F$18896,"Standard")</f>
        <v>0</v>
      </c>
      <c r="F263" s="23" t="n">
        <f aca="false">SUMIFS(Verbrauch!$E$9:$E$18896,Verbrauch!$A$9:$A$18896,"&gt;="&amp;A263,Verbrauch!$A$9:$A$18896,"&lt;"&amp;B263)</f>
        <v>0</v>
      </c>
      <c r="G263" s="13" t="str">
        <f aca="false">IFERROR(F263/C263*100,"")</f>
        <v/>
      </c>
      <c r="H263" s="11" t="n">
        <f aca="false">COUNTIFS(Verbrauch!$A$9:$A$18896,"&gt;="&amp;A263,Verbrauch!$A$9:$A$18896,"&lt;"&amp;B263,Verbrauch!$C$9:$C$18896,"&lt;&gt;")</f>
        <v>0</v>
      </c>
    </row>
    <row r="264" customFormat="false" ht="15" hidden="false" customHeight="true" outlineLevel="0" collapsed="false">
      <c r="A264" s="10" t="n">
        <v>46225</v>
      </c>
      <c r="B264" s="10" t="n">
        <v>46226</v>
      </c>
      <c r="C264" s="22" t="n">
        <f aca="false">SUMIFS(Verbrauch!$C$9:$C$18896,Verbrauch!$A$9:$A$18896,"&gt;="&amp;A264,Verbrauch!$A$9:$A$18896,"&lt;"&amp;B264)</f>
        <v>0</v>
      </c>
      <c r="D264" s="22" t="n">
        <f aca="false">SUMIFS(Verbrauch!$C$9:$C$18896,Verbrauch!$A$9:$A$18896,"&gt;="&amp;A264,Verbrauch!$A$9:$A$18896,"&lt;"&amp;B264,Verbrauch!$F$9:$F$18896,"Go")</f>
        <v>0</v>
      </c>
      <c r="E264" s="22" t="n">
        <f aca="false">SUMIFS(Verbrauch!$C$9:$C$18896,Verbrauch!$A$9:$A$18896,"&gt;="&amp;A264,Verbrauch!$A$9:$A$18896,"&lt;"&amp;B264,Verbrauch!$F$9:$F$18896,"Standard")</f>
        <v>0</v>
      </c>
      <c r="F264" s="23" t="n">
        <f aca="false">SUMIFS(Verbrauch!$E$9:$E$18896,Verbrauch!$A$9:$A$18896,"&gt;="&amp;A264,Verbrauch!$A$9:$A$18896,"&lt;"&amp;B264)</f>
        <v>0</v>
      </c>
      <c r="G264" s="13" t="str">
        <f aca="false">IFERROR(F264/C264*100,"")</f>
        <v/>
      </c>
      <c r="H264" s="11" t="n">
        <f aca="false">COUNTIFS(Verbrauch!$A$9:$A$18896,"&gt;="&amp;A264,Verbrauch!$A$9:$A$18896,"&lt;"&amp;B264,Verbrauch!$C$9:$C$18896,"&lt;&gt;")</f>
        <v>0</v>
      </c>
    </row>
    <row r="265" customFormat="false" ht="15" hidden="false" customHeight="true" outlineLevel="0" collapsed="false">
      <c r="A265" s="10" t="n">
        <v>46226</v>
      </c>
      <c r="B265" s="10" t="n">
        <v>46227</v>
      </c>
      <c r="C265" s="22" t="n">
        <f aca="false">SUMIFS(Verbrauch!$C$9:$C$18896,Verbrauch!$A$9:$A$18896,"&gt;="&amp;A265,Verbrauch!$A$9:$A$18896,"&lt;"&amp;B265)</f>
        <v>0</v>
      </c>
      <c r="D265" s="22" t="n">
        <f aca="false">SUMIFS(Verbrauch!$C$9:$C$18896,Verbrauch!$A$9:$A$18896,"&gt;="&amp;A265,Verbrauch!$A$9:$A$18896,"&lt;"&amp;B265,Verbrauch!$F$9:$F$18896,"Go")</f>
        <v>0</v>
      </c>
      <c r="E265" s="22" t="n">
        <f aca="false">SUMIFS(Verbrauch!$C$9:$C$18896,Verbrauch!$A$9:$A$18896,"&gt;="&amp;A265,Verbrauch!$A$9:$A$18896,"&lt;"&amp;B265,Verbrauch!$F$9:$F$18896,"Standard")</f>
        <v>0</v>
      </c>
      <c r="F265" s="23" t="n">
        <f aca="false">SUMIFS(Verbrauch!$E$9:$E$18896,Verbrauch!$A$9:$A$18896,"&gt;="&amp;A265,Verbrauch!$A$9:$A$18896,"&lt;"&amp;B265)</f>
        <v>0</v>
      </c>
      <c r="G265" s="13" t="str">
        <f aca="false">IFERROR(F265/C265*100,"")</f>
        <v/>
      </c>
      <c r="H265" s="11" t="n">
        <f aca="false">COUNTIFS(Verbrauch!$A$9:$A$18896,"&gt;="&amp;A265,Verbrauch!$A$9:$A$18896,"&lt;"&amp;B265,Verbrauch!$C$9:$C$18896,"&lt;&gt;")</f>
        <v>0</v>
      </c>
    </row>
    <row r="266" customFormat="false" ht="15" hidden="false" customHeight="true" outlineLevel="0" collapsed="false">
      <c r="A266" s="10" t="n">
        <v>46227</v>
      </c>
      <c r="B266" s="10" t="n">
        <v>46228</v>
      </c>
      <c r="C266" s="22" t="n">
        <f aca="false">SUMIFS(Verbrauch!$C$9:$C$18896,Verbrauch!$A$9:$A$18896,"&gt;="&amp;A266,Verbrauch!$A$9:$A$18896,"&lt;"&amp;B266)</f>
        <v>0</v>
      </c>
      <c r="D266" s="22" t="n">
        <f aca="false">SUMIFS(Verbrauch!$C$9:$C$18896,Verbrauch!$A$9:$A$18896,"&gt;="&amp;A266,Verbrauch!$A$9:$A$18896,"&lt;"&amp;B266,Verbrauch!$F$9:$F$18896,"Go")</f>
        <v>0</v>
      </c>
      <c r="E266" s="22" t="n">
        <f aca="false">SUMIFS(Verbrauch!$C$9:$C$18896,Verbrauch!$A$9:$A$18896,"&gt;="&amp;A266,Verbrauch!$A$9:$A$18896,"&lt;"&amp;B266,Verbrauch!$F$9:$F$18896,"Standard")</f>
        <v>0</v>
      </c>
      <c r="F266" s="23" t="n">
        <f aca="false">SUMIFS(Verbrauch!$E$9:$E$18896,Verbrauch!$A$9:$A$18896,"&gt;="&amp;A266,Verbrauch!$A$9:$A$18896,"&lt;"&amp;B266)</f>
        <v>0</v>
      </c>
      <c r="G266" s="13" t="str">
        <f aca="false">IFERROR(F266/C266*100,"")</f>
        <v/>
      </c>
      <c r="H266" s="11" t="n">
        <f aca="false">COUNTIFS(Verbrauch!$A$9:$A$18896,"&gt;="&amp;A266,Verbrauch!$A$9:$A$18896,"&lt;"&amp;B266,Verbrauch!$C$9:$C$18896,"&lt;&gt;")</f>
        <v>0</v>
      </c>
    </row>
    <row r="267" customFormat="false" ht="15" hidden="false" customHeight="true" outlineLevel="0" collapsed="false">
      <c r="A267" s="10" t="n">
        <v>46228</v>
      </c>
      <c r="B267" s="10" t="n">
        <v>46229</v>
      </c>
      <c r="C267" s="22" t="n">
        <f aca="false">SUMIFS(Verbrauch!$C$9:$C$18896,Verbrauch!$A$9:$A$18896,"&gt;="&amp;A267,Verbrauch!$A$9:$A$18896,"&lt;"&amp;B267)</f>
        <v>0</v>
      </c>
      <c r="D267" s="22" t="n">
        <f aca="false">SUMIFS(Verbrauch!$C$9:$C$18896,Verbrauch!$A$9:$A$18896,"&gt;="&amp;A267,Verbrauch!$A$9:$A$18896,"&lt;"&amp;B267,Verbrauch!$F$9:$F$18896,"Go")</f>
        <v>0</v>
      </c>
      <c r="E267" s="22" t="n">
        <f aca="false">SUMIFS(Verbrauch!$C$9:$C$18896,Verbrauch!$A$9:$A$18896,"&gt;="&amp;A267,Verbrauch!$A$9:$A$18896,"&lt;"&amp;B267,Verbrauch!$F$9:$F$18896,"Standard")</f>
        <v>0</v>
      </c>
      <c r="F267" s="23" t="n">
        <f aca="false">SUMIFS(Verbrauch!$E$9:$E$18896,Verbrauch!$A$9:$A$18896,"&gt;="&amp;A267,Verbrauch!$A$9:$A$18896,"&lt;"&amp;B267)</f>
        <v>0</v>
      </c>
      <c r="G267" s="13" t="str">
        <f aca="false">IFERROR(F267/C267*100,"")</f>
        <v/>
      </c>
      <c r="H267" s="11" t="n">
        <f aca="false">COUNTIFS(Verbrauch!$A$9:$A$18896,"&gt;="&amp;A267,Verbrauch!$A$9:$A$18896,"&lt;"&amp;B267,Verbrauch!$C$9:$C$18896,"&lt;&gt;")</f>
        <v>0</v>
      </c>
    </row>
    <row r="268" customFormat="false" ht="15" hidden="false" customHeight="true" outlineLevel="0" collapsed="false">
      <c r="A268" s="10" t="n">
        <v>46229</v>
      </c>
      <c r="B268" s="10" t="n">
        <v>46230</v>
      </c>
      <c r="C268" s="22" t="n">
        <f aca="false">SUMIFS(Verbrauch!$C$9:$C$18896,Verbrauch!$A$9:$A$18896,"&gt;="&amp;A268,Verbrauch!$A$9:$A$18896,"&lt;"&amp;B268)</f>
        <v>0</v>
      </c>
      <c r="D268" s="22" t="n">
        <f aca="false">SUMIFS(Verbrauch!$C$9:$C$18896,Verbrauch!$A$9:$A$18896,"&gt;="&amp;A268,Verbrauch!$A$9:$A$18896,"&lt;"&amp;B268,Verbrauch!$F$9:$F$18896,"Go")</f>
        <v>0</v>
      </c>
      <c r="E268" s="22" t="n">
        <f aca="false">SUMIFS(Verbrauch!$C$9:$C$18896,Verbrauch!$A$9:$A$18896,"&gt;="&amp;A268,Verbrauch!$A$9:$A$18896,"&lt;"&amp;B268,Verbrauch!$F$9:$F$18896,"Standard")</f>
        <v>0</v>
      </c>
      <c r="F268" s="23" t="n">
        <f aca="false">SUMIFS(Verbrauch!$E$9:$E$18896,Verbrauch!$A$9:$A$18896,"&gt;="&amp;A268,Verbrauch!$A$9:$A$18896,"&lt;"&amp;B268)</f>
        <v>0</v>
      </c>
      <c r="G268" s="13" t="str">
        <f aca="false">IFERROR(F268/C268*100,"")</f>
        <v/>
      </c>
      <c r="H268" s="11" t="n">
        <f aca="false">COUNTIFS(Verbrauch!$A$9:$A$18896,"&gt;="&amp;A268,Verbrauch!$A$9:$A$18896,"&lt;"&amp;B268,Verbrauch!$C$9:$C$18896,"&lt;&gt;")</f>
        <v>0</v>
      </c>
    </row>
    <row r="269" customFormat="false" ht="15" hidden="false" customHeight="true" outlineLevel="0" collapsed="false">
      <c r="A269" s="10" t="n">
        <v>46230</v>
      </c>
      <c r="B269" s="10" t="n">
        <v>46231</v>
      </c>
      <c r="C269" s="22" t="n">
        <f aca="false">SUMIFS(Verbrauch!$C$9:$C$18896,Verbrauch!$A$9:$A$18896,"&gt;="&amp;A269,Verbrauch!$A$9:$A$18896,"&lt;"&amp;B269)</f>
        <v>0</v>
      </c>
      <c r="D269" s="22" t="n">
        <f aca="false">SUMIFS(Verbrauch!$C$9:$C$18896,Verbrauch!$A$9:$A$18896,"&gt;="&amp;A269,Verbrauch!$A$9:$A$18896,"&lt;"&amp;B269,Verbrauch!$F$9:$F$18896,"Go")</f>
        <v>0</v>
      </c>
      <c r="E269" s="22" t="n">
        <f aca="false">SUMIFS(Verbrauch!$C$9:$C$18896,Verbrauch!$A$9:$A$18896,"&gt;="&amp;A269,Verbrauch!$A$9:$A$18896,"&lt;"&amp;B269,Verbrauch!$F$9:$F$18896,"Standard")</f>
        <v>0</v>
      </c>
      <c r="F269" s="23" t="n">
        <f aca="false">SUMIFS(Verbrauch!$E$9:$E$18896,Verbrauch!$A$9:$A$18896,"&gt;="&amp;A269,Verbrauch!$A$9:$A$18896,"&lt;"&amp;B269)</f>
        <v>0</v>
      </c>
      <c r="G269" s="13" t="str">
        <f aca="false">IFERROR(F269/C269*100,"")</f>
        <v/>
      </c>
      <c r="H269" s="11" t="n">
        <f aca="false">COUNTIFS(Verbrauch!$A$9:$A$18896,"&gt;="&amp;A269,Verbrauch!$A$9:$A$18896,"&lt;"&amp;B269,Verbrauch!$C$9:$C$18896,"&lt;&gt;")</f>
        <v>0</v>
      </c>
    </row>
    <row r="270" customFormat="false" ht="15" hidden="false" customHeight="true" outlineLevel="0" collapsed="false">
      <c r="A270" s="10" t="n">
        <v>46231</v>
      </c>
      <c r="B270" s="10" t="n">
        <v>46232</v>
      </c>
      <c r="C270" s="22" t="n">
        <f aca="false">SUMIFS(Verbrauch!$C$9:$C$18896,Verbrauch!$A$9:$A$18896,"&gt;="&amp;A270,Verbrauch!$A$9:$A$18896,"&lt;"&amp;B270)</f>
        <v>0</v>
      </c>
      <c r="D270" s="22" t="n">
        <f aca="false">SUMIFS(Verbrauch!$C$9:$C$18896,Verbrauch!$A$9:$A$18896,"&gt;="&amp;A270,Verbrauch!$A$9:$A$18896,"&lt;"&amp;B270,Verbrauch!$F$9:$F$18896,"Go")</f>
        <v>0</v>
      </c>
      <c r="E270" s="22" t="n">
        <f aca="false">SUMIFS(Verbrauch!$C$9:$C$18896,Verbrauch!$A$9:$A$18896,"&gt;="&amp;A270,Verbrauch!$A$9:$A$18896,"&lt;"&amp;B270,Verbrauch!$F$9:$F$18896,"Standard")</f>
        <v>0</v>
      </c>
      <c r="F270" s="23" t="n">
        <f aca="false">SUMIFS(Verbrauch!$E$9:$E$18896,Verbrauch!$A$9:$A$18896,"&gt;="&amp;A270,Verbrauch!$A$9:$A$18896,"&lt;"&amp;B270)</f>
        <v>0</v>
      </c>
      <c r="G270" s="13" t="str">
        <f aca="false">IFERROR(F270/C270*100,"")</f>
        <v/>
      </c>
      <c r="H270" s="11" t="n">
        <f aca="false">COUNTIFS(Verbrauch!$A$9:$A$18896,"&gt;="&amp;A270,Verbrauch!$A$9:$A$18896,"&lt;"&amp;B270,Verbrauch!$C$9:$C$18896,"&lt;&gt;")</f>
        <v>0</v>
      </c>
    </row>
    <row r="271" customFormat="false" ht="15" hidden="false" customHeight="true" outlineLevel="0" collapsed="false">
      <c r="A271" s="10" t="n">
        <v>46232</v>
      </c>
      <c r="B271" s="10" t="n">
        <v>46233</v>
      </c>
      <c r="C271" s="22" t="n">
        <f aca="false">SUMIFS(Verbrauch!$C$9:$C$18896,Verbrauch!$A$9:$A$18896,"&gt;="&amp;A271,Verbrauch!$A$9:$A$18896,"&lt;"&amp;B271)</f>
        <v>0</v>
      </c>
      <c r="D271" s="22" t="n">
        <f aca="false">SUMIFS(Verbrauch!$C$9:$C$18896,Verbrauch!$A$9:$A$18896,"&gt;="&amp;A271,Verbrauch!$A$9:$A$18896,"&lt;"&amp;B271,Verbrauch!$F$9:$F$18896,"Go")</f>
        <v>0</v>
      </c>
      <c r="E271" s="22" t="n">
        <f aca="false">SUMIFS(Verbrauch!$C$9:$C$18896,Verbrauch!$A$9:$A$18896,"&gt;="&amp;A271,Verbrauch!$A$9:$A$18896,"&lt;"&amp;B271,Verbrauch!$F$9:$F$18896,"Standard")</f>
        <v>0</v>
      </c>
      <c r="F271" s="23" t="n">
        <f aca="false">SUMIFS(Verbrauch!$E$9:$E$18896,Verbrauch!$A$9:$A$18896,"&gt;="&amp;A271,Verbrauch!$A$9:$A$18896,"&lt;"&amp;B271)</f>
        <v>0</v>
      </c>
      <c r="G271" s="13" t="str">
        <f aca="false">IFERROR(F271/C271*100,"")</f>
        <v/>
      </c>
      <c r="H271" s="11" t="n">
        <f aca="false">COUNTIFS(Verbrauch!$A$9:$A$18896,"&gt;="&amp;A271,Verbrauch!$A$9:$A$18896,"&lt;"&amp;B271,Verbrauch!$C$9:$C$18896,"&lt;&gt;")</f>
        <v>0</v>
      </c>
    </row>
    <row r="272" customFormat="false" ht="15" hidden="false" customHeight="true" outlineLevel="0" collapsed="false">
      <c r="A272" s="10" t="n">
        <v>46233</v>
      </c>
      <c r="B272" s="10" t="n">
        <v>46234</v>
      </c>
      <c r="C272" s="22" t="n">
        <f aca="false">SUMIFS(Verbrauch!$C$9:$C$18896,Verbrauch!$A$9:$A$18896,"&gt;="&amp;A272,Verbrauch!$A$9:$A$18896,"&lt;"&amp;B272)</f>
        <v>0</v>
      </c>
      <c r="D272" s="22" t="n">
        <f aca="false">SUMIFS(Verbrauch!$C$9:$C$18896,Verbrauch!$A$9:$A$18896,"&gt;="&amp;A272,Verbrauch!$A$9:$A$18896,"&lt;"&amp;B272,Verbrauch!$F$9:$F$18896,"Go")</f>
        <v>0</v>
      </c>
      <c r="E272" s="22" t="n">
        <f aca="false">SUMIFS(Verbrauch!$C$9:$C$18896,Verbrauch!$A$9:$A$18896,"&gt;="&amp;A272,Verbrauch!$A$9:$A$18896,"&lt;"&amp;B272,Verbrauch!$F$9:$F$18896,"Standard")</f>
        <v>0</v>
      </c>
      <c r="F272" s="23" t="n">
        <f aca="false">SUMIFS(Verbrauch!$E$9:$E$18896,Verbrauch!$A$9:$A$18896,"&gt;="&amp;A272,Verbrauch!$A$9:$A$18896,"&lt;"&amp;B272)</f>
        <v>0</v>
      </c>
      <c r="G272" s="13" t="str">
        <f aca="false">IFERROR(F272/C272*100,"")</f>
        <v/>
      </c>
      <c r="H272" s="11" t="n">
        <f aca="false">COUNTIFS(Verbrauch!$A$9:$A$18896,"&gt;="&amp;A272,Verbrauch!$A$9:$A$18896,"&lt;"&amp;B272,Verbrauch!$C$9:$C$18896,"&lt;&gt;")</f>
        <v>0</v>
      </c>
    </row>
    <row r="273" customFormat="false" ht="15" hidden="false" customHeight="true" outlineLevel="0" collapsed="false">
      <c r="A273" s="10" t="n">
        <v>46234</v>
      </c>
      <c r="B273" s="10" t="n">
        <v>46235</v>
      </c>
      <c r="C273" s="22" t="n">
        <f aca="false">SUMIFS(Verbrauch!$C$9:$C$18896,Verbrauch!$A$9:$A$18896,"&gt;="&amp;A273,Verbrauch!$A$9:$A$18896,"&lt;"&amp;B273)</f>
        <v>0</v>
      </c>
      <c r="D273" s="22" t="n">
        <f aca="false">SUMIFS(Verbrauch!$C$9:$C$18896,Verbrauch!$A$9:$A$18896,"&gt;="&amp;A273,Verbrauch!$A$9:$A$18896,"&lt;"&amp;B273,Verbrauch!$F$9:$F$18896,"Go")</f>
        <v>0</v>
      </c>
      <c r="E273" s="22" t="n">
        <f aca="false">SUMIFS(Verbrauch!$C$9:$C$18896,Verbrauch!$A$9:$A$18896,"&gt;="&amp;A273,Verbrauch!$A$9:$A$18896,"&lt;"&amp;B273,Verbrauch!$F$9:$F$18896,"Standard")</f>
        <v>0</v>
      </c>
      <c r="F273" s="23" t="n">
        <f aca="false">SUMIFS(Verbrauch!$E$9:$E$18896,Verbrauch!$A$9:$A$18896,"&gt;="&amp;A273,Verbrauch!$A$9:$A$18896,"&lt;"&amp;B273)</f>
        <v>0</v>
      </c>
      <c r="G273" s="13" t="str">
        <f aca="false">IFERROR(F273/C273*100,"")</f>
        <v/>
      </c>
      <c r="H273" s="11" t="n">
        <f aca="false">COUNTIFS(Verbrauch!$A$9:$A$18896,"&gt;="&amp;A273,Verbrauch!$A$9:$A$18896,"&lt;"&amp;B273,Verbrauch!$C$9:$C$18896,"&lt;&gt;")</f>
        <v>0</v>
      </c>
    </row>
    <row r="274" customFormat="false" ht="15" hidden="false" customHeight="true" outlineLevel="0" collapsed="false">
      <c r="A274" s="10" t="n">
        <v>46235</v>
      </c>
      <c r="B274" s="10" t="n">
        <v>46236</v>
      </c>
      <c r="C274" s="22" t="n">
        <f aca="false">SUMIFS(Verbrauch!$C$9:$C$18896,Verbrauch!$A$9:$A$18896,"&gt;="&amp;A274,Verbrauch!$A$9:$A$18896,"&lt;"&amp;B274)</f>
        <v>0</v>
      </c>
      <c r="D274" s="22" t="n">
        <f aca="false">SUMIFS(Verbrauch!$C$9:$C$18896,Verbrauch!$A$9:$A$18896,"&gt;="&amp;A274,Verbrauch!$A$9:$A$18896,"&lt;"&amp;B274,Verbrauch!$F$9:$F$18896,"Go")</f>
        <v>0</v>
      </c>
      <c r="E274" s="22" t="n">
        <f aca="false">SUMIFS(Verbrauch!$C$9:$C$18896,Verbrauch!$A$9:$A$18896,"&gt;="&amp;A274,Verbrauch!$A$9:$A$18896,"&lt;"&amp;B274,Verbrauch!$F$9:$F$18896,"Standard")</f>
        <v>0</v>
      </c>
      <c r="F274" s="23" t="n">
        <f aca="false">SUMIFS(Verbrauch!$E$9:$E$18896,Verbrauch!$A$9:$A$18896,"&gt;="&amp;A274,Verbrauch!$A$9:$A$18896,"&lt;"&amp;B274)</f>
        <v>0</v>
      </c>
      <c r="G274" s="13" t="str">
        <f aca="false">IFERROR(F274/C274*100,"")</f>
        <v/>
      </c>
      <c r="H274" s="11" t="n">
        <f aca="false">COUNTIFS(Verbrauch!$A$9:$A$18896,"&gt;="&amp;A274,Verbrauch!$A$9:$A$18896,"&lt;"&amp;B274,Verbrauch!$C$9:$C$18896,"&lt;&gt;")</f>
        <v>0</v>
      </c>
    </row>
    <row r="275" customFormat="false" ht="15" hidden="false" customHeight="true" outlineLevel="0" collapsed="false">
      <c r="A275" s="10" t="n">
        <v>46236</v>
      </c>
      <c r="B275" s="10" t="n">
        <v>46237</v>
      </c>
      <c r="C275" s="22" t="n">
        <f aca="false">SUMIFS(Verbrauch!$C$9:$C$18896,Verbrauch!$A$9:$A$18896,"&gt;="&amp;A275,Verbrauch!$A$9:$A$18896,"&lt;"&amp;B275)</f>
        <v>0</v>
      </c>
      <c r="D275" s="22" t="n">
        <f aca="false">SUMIFS(Verbrauch!$C$9:$C$18896,Verbrauch!$A$9:$A$18896,"&gt;="&amp;A275,Verbrauch!$A$9:$A$18896,"&lt;"&amp;B275,Verbrauch!$F$9:$F$18896,"Go")</f>
        <v>0</v>
      </c>
      <c r="E275" s="22" t="n">
        <f aca="false">SUMIFS(Verbrauch!$C$9:$C$18896,Verbrauch!$A$9:$A$18896,"&gt;="&amp;A275,Verbrauch!$A$9:$A$18896,"&lt;"&amp;B275,Verbrauch!$F$9:$F$18896,"Standard")</f>
        <v>0</v>
      </c>
      <c r="F275" s="23" t="n">
        <f aca="false">SUMIFS(Verbrauch!$E$9:$E$18896,Verbrauch!$A$9:$A$18896,"&gt;="&amp;A275,Verbrauch!$A$9:$A$18896,"&lt;"&amp;B275)</f>
        <v>0</v>
      </c>
      <c r="G275" s="13" t="str">
        <f aca="false">IFERROR(F275/C275*100,"")</f>
        <v/>
      </c>
      <c r="H275" s="11" t="n">
        <f aca="false">COUNTIFS(Verbrauch!$A$9:$A$18896,"&gt;="&amp;A275,Verbrauch!$A$9:$A$18896,"&lt;"&amp;B275,Verbrauch!$C$9:$C$18896,"&lt;&gt;")</f>
        <v>0</v>
      </c>
    </row>
    <row r="276" customFormat="false" ht="15" hidden="false" customHeight="true" outlineLevel="0" collapsed="false">
      <c r="A276" s="10" t="n">
        <v>46237</v>
      </c>
      <c r="B276" s="10" t="n">
        <v>46238</v>
      </c>
      <c r="C276" s="22" t="n">
        <f aca="false">SUMIFS(Verbrauch!$C$9:$C$18896,Verbrauch!$A$9:$A$18896,"&gt;="&amp;A276,Verbrauch!$A$9:$A$18896,"&lt;"&amp;B276)</f>
        <v>0</v>
      </c>
      <c r="D276" s="22" t="n">
        <f aca="false">SUMIFS(Verbrauch!$C$9:$C$18896,Verbrauch!$A$9:$A$18896,"&gt;="&amp;A276,Verbrauch!$A$9:$A$18896,"&lt;"&amp;B276,Verbrauch!$F$9:$F$18896,"Go")</f>
        <v>0</v>
      </c>
      <c r="E276" s="22" t="n">
        <f aca="false">SUMIFS(Verbrauch!$C$9:$C$18896,Verbrauch!$A$9:$A$18896,"&gt;="&amp;A276,Verbrauch!$A$9:$A$18896,"&lt;"&amp;B276,Verbrauch!$F$9:$F$18896,"Standard")</f>
        <v>0</v>
      </c>
      <c r="F276" s="23" t="n">
        <f aca="false">SUMIFS(Verbrauch!$E$9:$E$18896,Verbrauch!$A$9:$A$18896,"&gt;="&amp;A276,Verbrauch!$A$9:$A$18896,"&lt;"&amp;B276)</f>
        <v>0</v>
      </c>
      <c r="G276" s="13" t="str">
        <f aca="false">IFERROR(F276/C276*100,"")</f>
        <v/>
      </c>
      <c r="H276" s="11" t="n">
        <f aca="false">COUNTIFS(Verbrauch!$A$9:$A$18896,"&gt;="&amp;A276,Verbrauch!$A$9:$A$18896,"&lt;"&amp;B276,Verbrauch!$C$9:$C$18896,"&lt;&gt;")</f>
        <v>0</v>
      </c>
    </row>
    <row r="277" customFormat="false" ht="15" hidden="false" customHeight="true" outlineLevel="0" collapsed="false">
      <c r="A277" s="10" t="n">
        <v>46238</v>
      </c>
      <c r="B277" s="10" t="n">
        <v>46239</v>
      </c>
      <c r="C277" s="22" t="n">
        <f aca="false">SUMIFS(Verbrauch!$C$9:$C$18896,Verbrauch!$A$9:$A$18896,"&gt;="&amp;A277,Verbrauch!$A$9:$A$18896,"&lt;"&amp;B277)</f>
        <v>0</v>
      </c>
      <c r="D277" s="22" t="n">
        <f aca="false">SUMIFS(Verbrauch!$C$9:$C$18896,Verbrauch!$A$9:$A$18896,"&gt;="&amp;A277,Verbrauch!$A$9:$A$18896,"&lt;"&amp;B277,Verbrauch!$F$9:$F$18896,"Go")</f>
        <v>0</v>
      </c>
      <c r="E277" s="22" t="n">
        <f aca="false">SUMIFS(Verbrauch!$C$9:$C$18896,Verbrauch!$A$9:$A$18896,"&gt;="&amp;A277,Verbrauch!$A$9:$A$18896,"&lt;"&amp;B277,Verbrauch!$F$9:$F$18896,"Standard")</f>
        <v>0</v>
      </c>
      <c r="F277" s="23" t="n">
        <f aca="false">SUMIFS(Verbrauch!$E$9:$E$18896,Verbrauch!$A$9:$A$18896,"&gt;="&amp;A277,Verbrauch!$A$9:$A$18896,"&lt;"&amp;B277)</f>
        <v>0</v>
      </c>
      <c r="G277" s="13" t="str">
        <f aca="false">IFERROR(F277/C277*100,"")</f>
        <v/>
      </c>
      <c r="H277" s="11" t="n">
        <f aca="false">COUNTIFS(Verbrauch!$A$9:$A$18896,"&gt;="&amp;A277,Verbrauch!$A$9:$A$18896,"&lt;"&amp;B277,Verbrauch!$C$9:$C$18896,"&lt;&gt;")</f>
        <v>0</v>
      </c>
    </row>
    <row r="278" customFormat="false" ht="15" hidden="false" customHeight="true" outlineLevel="0" collapsed="false">
      <c r="A278" s="10" t="n">
        <v>46239</v>
      </c>
      <c r="B278" s="10" t="n">
        <v>46240</v>
      </c>
      <c r="C278" s="22" t="n">
        <f aca="false">SUMIFS(Verbrauch!$C$9:$C$18896,Verbrauch!$A$9:$A$18896,"&gt;="&amp;A278,Verbrauch!$A$9:$A$18896,"&lt;"&amp;B278)</f>
        <v>0</v>
      </c>
      <c r="D278" s="22" t="n">
        <f aca="false">SUMIFS(Verbrauch!$C$9:$C$18896,Verbrauch!$A$9:$A$18896,"&gt;="&amp;A278,Verbrauch!$A$9:$A$18896,"&lt;"&amp;B278,Verbrauch!$F$9:$F$18896,"Go")</f>
        <v>0</v>
      </c>
      <c r="E278" s="22" t="n">
        <f aca="false">SUMIFS(Verbrauch!$C$9:$C$18896,Verbrauch!$A$9:$A$18896,"&gt;="&amp;A278,Verbrauch!$A$9:$A$18896,"&lt;"&amp;B278,Verbrauch!$F$9:$F$18896,"Standard")</f>
        <v>0</v>
      </c>
      <c r="F278" s="23" t="n">
        <f aca="false">SUMIFS(Verbrauch!$E$9:$E$18896,Verbrauch!$A$9:$A$18896,"&gt;="&amp;A278,Verbrauch!$A$9:$A$18896,"&lt;"&amp;B278)</f>
        <v>0</v>
      </c>
      <c r="G278" s="13" t="str">
        <f aca="false">IFERROR(F278/C278*100,"")</f>
        <v/>
      </c>
      <c r="H278" s="11" t="n">
        <f aca="false">COUNTIFS(Verbrauch!$A$9:$A$18896,"&gt;="&amp;A278,Verbrauch!$A$9:$A$18896,"&lt;"&amp;B278,Verbrauch!$C$9:$C$18896,"&lt;&gt;")</f>
        <v>0</v>
      </c>
    </row>
    <row r="279" customFormat="false" ht="15" hidden="false" customHeight="true" outlineLevel="0" collapsed="false">
      <c r="A279" s="10" t="n">
        <v>46240</v>
      </c>
      <c r="B279" s="10" t="n">
        <v>46241</v>
      </c>
      <c r="C279" s="22" t="n">
        <f aca="false">SUMIFS(Verbrauch!$C$9:$C$18896,Verbrauch!$A$9:$A$18896,"&gt;="&amp;A279,Verbrauch!$A$9:$A$18896,"&lt;"&amp;B279)</f>
        <v>0</v>
      </c>
      <c r="D279" s="22" t="n">
        <f aca="false">SUMIFS(Verbrauch!$C$9:$C$18896,Verbrauch!$A$9:$A$18896,"&gt;="&amp;A279,Verbrauch!$A$9:$A$18896,"&lt;"&amp;B279,Verbrauch!$F$9:$F$18896,"Go")</f>
        <v>0</v>
      </c>
      <c r="E279" s="22" t="n">
        <f aca="false">SUMIFS(Verbrauch!$C$9:$C$18896,Verbrauch!$A$9:$A$18896,"&gt;="&amp;A279,Verbrauch!$A$9:$A$18896,"&lt;"&amp;B279,Verbrauch!$F$9:$F$18896,"Standard")</f>
        <v>0</v>
      </c>
      <c r="F279" s="23" t="n">
        <f aca="false">SUMIFS(Verbrauch!$E$9:$E$18896,Verbrauch!$A$9:$A$18896,"&gt;="&amp;A279,Verbrauch!$A$9:$A$18896,"&lt;"&amp;B279)</f>
        <v>0</v>
      </c>
      <c r="G279" s="13" t="str">
        <f aca="false">IFERROR(F279/C279*100,"")</f>
        <v/>
      </c>
      <c r="H279" s="11" t="n">
        <f aca="false">COUNTIFS(Verbrauch!$A$9:$A$18896,"&gt;="&amp;A279,Verbrauch!$A$9:$A$18896,"&lt;"&amp;B279,Verbrauch!$C$9:$C$18896,"&lt;&gt;")</f>
        <v>0</v>
      </c>
    </row>
    <row r="280" customFormat="false" ht="15" hidden="false" customHeight="true" outlineLevel="0" collapsed="false">
      <c r="A280" s="10" t="n">
        <v>46241</v>
      </c>
      <c r="B280" s="10" t="n">
        <v>46242</v>
      </c>
      <c r="C280" s="22" t="n">
        <f aca="false">SUMIFS(Verbrauch!$C$9:$C$18896,Verbrauch!$A$9:$A$18896,"&gt;="&amp;A280,Verbrauch!$A$9:$A$18896,"&lt;"&amp;B280)</f>
        <v>0</v>
      </c>
      <c r="D280" s="22" t="n">
        <f aca="false">SUMIFS(Verbrauch!$C$9:$C$18896,Verbrauch!$A$9:$A$18896,"&gt;="&amp;A280,Verbrauch!$A$9:$A$18896,"&lt;"&amp;B280,Verbrauch!$F$9:$F$18896,"Go")</f>
        <v>0</v>
      </c>
      <c r="E280" s="22" t="n">
        <f aca="false">SUMIFS(Verbrauch!$C$9:$C$18896,Verbrauch!$A$9:$A$18896,"&gt;="&amp;A280,Verbrauch!$A$9:$A$18896,"&lt;"&amp;B280,Verbrauch!$F$9:$F$18896,"Standard")</f>
        <v>0</v>
      </c>
      <c r="F280" s="23" t="n">
        <f aca="false">SUMIFS(Verbrauch!$E$9:$E$18896,Verbrauch!$A$9:$A$18896,"&gt;="&amp;A280,Verbrauch!$A$9:$A$18896,"&lt;"&amp;B280)</f>
        <v>0</v>
      </c>
      <c r="G280" s="13" t="str">
        <f aca="false">IFERROR(F280/C280*100,"")</f>
        <v/>
      </c>
      <c r="H280" s="11" t="n">
        <f aca="false">COUNTIFS(Verbrauch!$A$9:$A$18896,"&gt;="&amp;A280,Verbrauch!$A$9:$A$18896,"&lt;"&amp;B280,Verbrauch!$C$9:$C$18896,"&lt;&gt;")</f>
        <v>0</v>
      </c>
    </row>
    <row r="281" customFormat="false" ht="15" hidden="false" customHeight="true" outlineLevel="0" collapsed="false">
      <c r="A281" s="10" t="n">
        <v>46242</v>
      </c>
      <c r="B281" s="10" t="n">
        <v>46243</v>
      </c>
      <c r="C281" s="22" t="n">
        <f aca="false">SUMIFS(Verbrauch!$C$9:$C$18896,Verbrauch!$A$9:$A$18896,"&gt;="&amp;A281,Verbrauch!$A$9:$A$18896,"&lt;"&amp;B281)</f>
        <v>0</v>
      </c>
      <c r="D281" s="22" t="n">
        <f aca="false">SUMIFS(Verbrauch!$C$9:$C$18896,Verbrauch!$A$9:$A$18896,"&gt;="&amp;A281,Verbrauch!$A$9:$A$18896,"&lt;"&amp;B281,Verbrauch!$F$9:$F$18896,"Go")</f>
        <v>0</v>
      </c>
      <c r="E281" s="22" t="n">
        <f aca="false">SUMIFS(Verbrauch!$C$9:$C$18896,Verbrauch!$A$9:$A$18896,"&gt;="&amp;A281,Verbrauch!$A$9:$A$18896,"&lt;"&amp;B281,Verbrauch!$F$9:$F$18896,"Standard")</f>
        <v>0</v>
      </c>
      <c r="F281" s="23" t="n">
        <f aca="false">SUMIFS(Verbrauch!$E$9:$E$18896,Verbrauch!$A$9:$A$18896,"&gt;="&amp;A281,Verbrauch!$A$9:$A$18896,"&lt;"&amp;B281)</f>
        <v>0</v>
      </c>
      <c r="G281" s="13" t="str">
        <f aca="false">IFERROR(F281/C281*100,"")</f>
        <v/>
      </c>
      <c r="H281" s="11" t="n">
        <f aca="false">COUNTIFS(Verbrauch!$A$9:$A$18896,"&gt;="&amp;A281,Verbrauch!$A$9:$A$18896,"&lt;"&amp;B281,Verbrauch!$C$9:$C$18896,"&lt;&gt;")</f>
        <v>0</v>
      </c>
    </row>
    <row r="282" customFormat="false" ht="15" hidden="false" customHeight="true" outlineLevel="0" collapsed="false">
      <c r="A282" s="10" t="n">
        <v>46243</v>
      </c>
      <c r="B282" s="10" t="n">
        <v>46244</v>
      </c>
      <c r="C282" s="22" t="n">
        <f aca="false">SUMIFS(Verbrauch!$C$9:$C$18896,Verbrauch!$A$9:$A$18896,"&gt;="&amp;A282,Verbrauch!$A$9:$A$18896,"&lt;"&amp;B282)</f>
        <v>0</v>
      </c>
      <c r="D282" s="22" t="n">
        <f aca="false">SUMIFS(Verbrauch!$C$9:$C$18896,Verbrauch!$A$9:$A$18896,"&gt;="&amp;A282,Verbrauch!$A$9:$A$18896,"&lt;"&amp;B282,Verbrauch!$F$9:$F$18896,"Go")</f>
        <v>0</v>
      </c>
      <c r="E282" s="22" t="n">
        <f aca="false">SUMIFS(Verbrauch!$C$9:$C$18896,Verbrauch!$A$9:$A$18896,"&gt;="&amp;A282,Verbrauch!$A$9:$A$18896,"&lt;"&amp;B282,Verbrauch!$F$9:$F$18896,"Standard")</f>
        <v>0</v>
      </c>
      <c r="F282" s="23" t="n">
        <f aca="false">SUMIFS(Verbrauch!$E$9:$E$18896,Verbrauch!$A$9:$A$18896,"&gt;="&amp;A282,Verbrauch!$A$9:$A$18896,"&lt;"&amp;B282)</f>
        <v>0</v>
      </c>
      <c r="G282" s="13" t="str">
        <f aca="false">IFERROR(F282/C282*100,"")</f>
        <v/>
      </c>
      <c r="H282" s="11" t="n">
        <f aca="false">COUNTIFS(Verbrauch!$A$9:$A$18896,"&gt;="&amp;A282,Verbrauch!$A$9:$A$18896,"&lt;"&amp;B282,Verbrauch!$C$9:$C$18896,"&lt;&gt;")</f>
        <v>0</v>
      </c>
    </row>
    <row r="283" customFormat="false" ht="15" hidden="false" customHeight="true" outlineLevel="0" collapsed="false">
      <c r="A283" s="10" t="n">
        <v>46244</v>
      </c>
      <c r="B283" s="10" t="n">
        <v>46245</v>
      </c>
      <c r="C283" s="22" t="n">
        <f aca="false">SUMIFS(Verbrauch!$C$9:$C$18896,Verbrauch!$A$9:$A$18896,"&gt;="&amp;A283,Verbrauch!$A$9:$A$18896,"&lt;"&amp;B283)</f>
        <v>0</v>
      </c>
      <c r="D283" s="22" t="n">
        <f aca="false">SUMIFS(Verbrauch!$C$9:$C$18896,Verbrauch!$A$9:$A$18896,"&gt;="&amp;A283,Verbrauch!$A$9:$A$18896,"&lt;"&amp;B283,Verbrauch!$F$9:$F$18896,"Go")</f>
        <v>0</v>
      </c>
      <c r="E283" s="22" t="n">
        <f aca="false">SUMIFS(Verbrauch!$C$9:$C$18896,Verbrauch!$A$9:$A$18896,"&gt;="&amp;A283,Verbrauch!$A$9:$A$18896,"&lt;"&amp;B283,Verbrauch!$F$9:$F$18896,"Standard")</f>
        <v>0</v>
      </c>
      <c r="F283" s="23" t="n">
        <f aca="false">SUMIFS(Verbrauch!$E$9:$E$18896,Verbrauch!$A$9:$A$18896,"&gt;="&amp;A283,Verbrauch!$A$9:$A$18896,"&lt;"&amp;B283)</f>
        <v>0</v>
      </c>
      <c r="G283" s="13" t="str">
        <f aca="false">IFERROR(F283/C283*100,"")</f>
        <v/>
      </c>
      <c r="H283" s="11" t="n">
        <f aca="false">COUNTIFS(Verbrauch!$A$9:$A$18896,"&gt;="&amp;A283,Verbrauch!$A$9:$A$18896,"&lt;"&amp;B283,Verbrauch!$C$9:$C$18896,"&lt;&gt;")</f>
        <v>0</v>
      </c>
    </row>
    <row r="284" customFormat="false" ht="15" hidden="false" customHeight="true" outlineLevel="0" collapsed="false">
      <c r="A284" s="10" t="n">
        <v>46245</v>
      </c>
      <c r="B284" s="10" t="n">
        <v>46246</v>
      </c>
      <c r="C284" s="22" t="n">
        <f aca="false">SUMIFS(Verbrauch!$C$9:$C$18896,Verbrauch!$A$9:$A$18896,"&gt;="&amp;A284,Verbrauch!$A$9:$A$18896,"&lt;"&amp;B284)</f>
        <v>0</v>
      </c>
      <c r="D284" s="22" t="n">
        <f aca="false">SUMIFS(Verbrauch!$C$9:$C$18896,Verbrauch!$A$9:$A$18896,"&gt;="&amp;A284,Verbrauch!$A$9:$A$18896,"&lt;"&amp;B284,Verbrauch!$F$9:$F$18896,"Go")</f>
        <v>0</v>
      </c>
      <c r="E284" s="22" t="n">
        <f aca="false">SUMIFS(Verbrauch!$C$9:$C$18896,Verbrauch!$A$9:$A$18896,"&gt;="&amp;A284,Verbrauch!$A$9:$A$18896,"&lt;"&amp;B284,Verbrauch!$F$9:$F$18896,"Standard")</f>
        <v>0</v>
      </c>
      <c r="F284" s="23" t="n">
        <f aca="false">SUMIFS(Verbrauch!$E$9:$E$18896,Verbrauch!$A$9:$A$18896,"&gt;="&amp;A284,Verbrauch!$A$9:$A$18896,"&lt;"&amp;B284)</f>
        <v>0</v>
      </c>
      <c r="G284" s="13" t="str">
        <f aca="false">IFERROR(F284/C284*100,"")</f>
        <v/>
      </c>
      <c r="H284" s="11" t="n">
        <f aca="false">COUNTIFS(Verbrauch!$A$9:$A$18896,"&gt;="&amp;A284,Verbrauch!$A$9:$A$18896,"&lt;"&amp;B284,Verbrauch!$C$9:$C$18896,"&lt;&gt;")</f>
        <v>0</v>
      </c>
    </row>
    <row r="285" customFormat="false" ht="15" hidden="false" customHeight="true" outlineLevel="0" collapsed="false">
      <c r="A285" s="10" t="n">
        <v>46246</v>
      </c>
      <c r="B285" s="10" t="n">
        <v>46247</v>
      </c>
      <c r="C285" s="22" t="n">
        <f aca="false">SUMIFS(Verbrauch!$C$9:$C$18896,Verbrauch!$A$9:$A$18896,"&gt;="&amp;A285,Verbrauch!$A$9:$A$18896,"&lt;"&amp;B285)</f>
        <v>0</v>
      </c>
      <c r="D285" s="22" t="n">
        <f aca="false">SUMIFS(Verbrauch!$C$9:$C$18896,Verbrauch!$A$9:$A$18896,"&gt;="&amp;A285,Verbrauch!$A$9:$A$18896,"&lt;"&amp;B285,Verbrauch!$F$9:$F$18896,"Go")</f>
        <v>0</v>
      </c>
      <c r="E285" s="22" t="n">
        <f aca="false">SUMIFS(Verbrauch!$C$9:$C$18896,Verbrauch!$A$9:$A$18896,"&gt;="&amp;A285,Verbrauch!$A$9:$A$18896,"&lt;"&amp;B285,Verbrauch!$F$9:$F$18896,"Standard")</f>
        <v>0</v>
      </c>
      <c r="F285" s="23" t="n">
        <f aca="false">SUMIFS(Verbrauch!$E$9:$E$18896,Verbrauch!$A$9:$A$18896,"&gt;="&amp;A285,Verbrauch!$A$9:$A$18896,"&lt;"&amp;B285)</f>
        <v>0</v>
      </c>
      <c r="G285" s="13" t="str">
        <f aca="false">IFERROR(F285/C285*100,"")</f>
        <v/>
      </c>
      <c r="H285" s="11" t="n">
        <f aca="false">COUNTIFS(Verbrauch!$A$9:$A$18896,"&gt;="&amp;A285,Verbrauch!$A$9:$A$18896,"&lt;"&amp;B285,Verbrauch!$C$9:$C$18896,"&lt;&gt;")</f>
        <v>0</v>
      </c>
    </row>
    <row r="286" customFormat="false" ht="15" hidden="false" customHeight="true" outlineLevel="0" collapsed="false">
      <c r="A286" s="10" t="n">
        <v>46247</v>
      </c>
      <c r="B286" s="10" t="n">
        <v>46248</v>
      </c>
      <c r="C286" s="22" t="n">
        <f aca="false">SUMIFS(Verbrauch!$C$9:$C$18896,Verbrauch!$A$9:$A$18896,"&gt;="&amp;A286,Verbrauch!$A$9:$A$18896,"&lt;"&amp;B286)</f>
        <v>0</v>
      </c>
      <c r="D286" s="22" t="n">
        <f aca="false">SUMIFS(Verbrauch!$C$9:$C$18896,Verbrauch!$A$9:$A$18896,"&gt;="&amp;A286,Verbrauch!$A$9:$A$18896,"&lt;"&amp;B286,Verbrauch!$F$9:$F$18896,"Go")</f>
        <v>0</v>
      </c>
      <c r="E286" s="22" t="n">
        <f aca="false">SUMIFS(Verbrauch!$C$9:$C$18896,Verbrauch!$A$9:$A$18896,"&gt;="&amp;A286,Verbrauch!$A$9:$A$18896,"&lt;"&amp;B286,Verbrauch!$F$9:$F$18896,"Standard")</f>
        <v>0</v>
      </c>
      <c r="F286" s="23" t="n">
        <f aca="false">SUMIFS(Verbrauch!$E$9:$E$18896,Verbrauch!$A$9:$A$18896,"&gt;="&amp;A286,Verbrauch!$A$9:$A$18896,"&lt;"&amp;B286)</f>
        <v>0</v>
      </c>
      <c r="G286" s="13" t="str">
        <f aca="false">IFERROR(F286/C286*100,"")</f>
        <v/>
      </c>
      <c r="H286" s="11" t="n">
        <f aca="false">COUNTIFS(Verbrauch!$A$9:$A$18896,"&gt;="&amp;A286,Verbrauch!$A$9:$A$18896,"&lt;"&amp;B286,Verbrauch!$C$9:$C$18896,"&lt;&gt;")</f>
        <v>0</v>
      </c>
    </row>
    <row r="287" customFormat="false" ht="15" hidden="false" customHeight="true" outlineLevel="0" collapsed="false">
      <c r="A287" s="10" t="n">
        <v>46248</v>
      </c>
      <c r="B287" s="10" t="n">
        <v>46249</v>
      </c>
      <c r="C287" s="22" t="n">
        <f aca="false">SUMIFS(Verbrauch!$C$9:$C$18896,Verbrauch!$A$9:$A$18896,"&gt;="&amp;A287,Verbrauch!$A$9:$A$18896,"&lt;"&amp;B287)</f>
        <v>0</v>
      </c>
      <c r="D287" s="22" t="n">
        <f aca="false">SUMIFS(Verbrauch!$C$9:$C$18896,Verbrauch!$A$9:$A$18896,"&gt;="&amp;A287,Verbrauch!$A$9:$A$18896,"&lt;"&amp;B287,Verbrauch!$F$9:$F$18896,"Go")</f>
        <v>0</v>
      </c>
      <c r="E287" s="22" t="n">
        <f aca="false">SUMIFS(Verbrauch!$C$9:$C$18896,Verbrauch!$A$9:$A$18896,"&gt;="&amp;A287,Verbrauch!$A$9:$A$18896,"&lt;"&amp;B287,Verbrauch!$F$9:$F$18896,"Standard")</f>
        <v>0</v>
      </c>
      <c r="F287" s="23" t="n">
        <f aca="false">SUMIFS(Verbrauch!$E$9:$E$18896,Verbrauch!$A$9:$A$18896,"&gt;="&amp;A287,Verbrauch!$A$9:$A$18896,"&lt;"&amp;B287)</f>
        <v>0</v>
      </c>
      <c r="G287" s="13" t="str">
        <f aca="false">IFERROR(F287/C287*100,"")</f>
        <v/>
      </c>
      <c r="H287" s="11" t="n">
        <f aca="false">COUNTIFS(Verbrauch!$A$9:$A$18896,"&gt;="&amp;A287,Verbrauch!$A$9:$A$18896,"&lt;"&amp;B287,Verbrauch!$C$9:$C$18896,"&lt;&gt;")</f>
        <v>0</v>
      </c>
    </row>
    <row r="288" customFormat="false" ht="15" hidden="false" customHeight="true" outlineLevel="0" collapsed="false">
      <c r="A288" s="10" t="n">
        <v>46249</v>
      </c>
      <c r="B288" s="10" t="n">
        <v>46250</v>
      </c>
      <c r="C288" s="22" t="n">
        <f aca="false">SUMIFS(Verbrauch!$C$9:$C$18896,Verbrauch!$A$9:$A$18896,"&gt;="&amp;A288,Verbrauch!$A$9:$A$18896,"&lt;"&amp;B288)</f>
        <v>0</v>
      </c>
      <c r="D288" s="22" t="n">
        <f aca="false">SUMIFS(Verbrauch!$C$9:$C$18896,Verbrauch!$A$9:$A$18896,"&gt;="&amp;A288,Verbrauch!$A$9:$A$18896,"&lt;"&amp;B288,Verbrauch!$F$9:$F$18896,"Go")</f>
        <v>0</v>
      </c>
      <c r="E288" s="22" t="n">
        <f aca="false">SUMIFS(Verbrauch!$C$9:$C$18896,Verbrauch!$A$9:$A$18896,"&gt;="&amp;A288,Verbrauch!$A$9:$A$18896,"&lt;"&amp;B288,Verbrauch!$F$9:$F$18896,"Standard")</f>
        <v>0</v>
      </c>
      <c r="F288" s="23" t="n">
        <f aca="false">SUMIFS(Verbrauch!$E$9:$E$18896,Verbrauch!$A$9:$A$18896,"&gt;="&amp;A288,Verbrauch!$A$9:$A$18896,"&lt;"&amp;B288)</f>
        <v>0</v>
      </c>
      <c r="G288" s="13" t="str">
        <f aca="false">IFERROR(F288/C288*100,"")</f>
        <v/>
      </c>
      <c r="H288" s="11" t="n">
        <f aca="false">COUNTIFS(Verbrauch!$A$9:$A$18896,"&gt;="&amp;A288,Verbrauch!$A$9:$A$18896,"&lt;"&amp;B288,Verbrauch!$C$9:$C$18896,"&lt;&gt;")</f>
        <v>0</v>
      </c>
    </row>
    <row r="289" customFormat="false" ht="15" hidden="false" customHeight="true" outlineLevel="0" collapsed="false">
      <c r="A289" s="10" t="n">
        <v>46250</v>
      </c>
      <c r="B289" s="10" t="n">
        <v>46251</v>
      </c>
      <c r="C289" s="22" t="n">
        <f aca="false">SUMIFS(Verbrauch!$C$9:$C$18896,Verbrauch!$A$9:$A$18896,"&gt;="&amp;A289,Verbrauch!$A$9:$A$18896,"&lt;"&amp;B289)</f>
        <v>0</v>
      </c>
      <c r="D289" s="22" t="n">
        <f aca="false">SUMIFS(Verbrauch!$C$9:$C$18896,Verbrauch!$A$9:$A$18896,"&gt;="&amp;A289,Verbrauch!$A$9:$A$18896,"&lt;"&amp;B289,Verbrauch!$F$9:$F$18896,"Go")</f>
        <v>0</v>
      </c>
      <c r="E289" s="22" t="n">
        <f aca="false">SUMIFS(Verbrauch!$C$9:$C$18896,Verbrauch!$A$9:$A$18896,"&gt;="&amp;A289,Verbrauch!$A$9:$A$18896,"&lt;"&amp;B289,Verbrauch!$F$9:$F$18896,"Standard")</f>
        <v>0</v>
      </c>
      <c r="F289" s="23" t="n">
        <f aca="false">SUMIFS(Verbrauch!$E$9:$E$18896,Verbrauch!$A$9:$A$18896,"&gt;="&amp;A289,Verbrauch!$A$9:$A$18896,"&lt;"&amp;B289)</f>
        <v>0</v>
      </c>
      <c r="G289" s="13" t="str">
        <f aca="false">IFERROR(F289/C289*100,"")</f>
        <v/>
      </c>
      <c r="H289" s="11" t="n">
        <f aca="false">COUNTIFS(Verbrauch!$A$9:$A$18896,"&gt;="&amp;A289,Verbrauch!$A$9:$A$18896,"&lt;"&amp;B289,Verbrauch!$C$9:$C$18896,"&lt;&gt;")</f>
        <v>0</v>
      </c>
    </row>
    <row r="290" customFormat="false" ht="15" hidden="false" customHeight="true" outlineLevel="0" collapsed="false">
      <c r="A290" s="10" t="n">
        <v>46251</v>
      </c>
      <c r="B290" s="10" t="n">
        <v>46252</v>
      </c>
      <c r="C290" s="22" t="n">
        <f aca="false">SUMIFS(Verbrauch!$C$9:$C$18896,Verbrauch!$A$9:$A$18896,"&gt;="&amp;A290,Verbrauch!$A$9:$A$18896,"&lt;"&amp;B290)</f>
        <v>0</v>
      </c>
      <c r="D290" s="22" t="n">
        <f aca="false">SUMIFS(Verbrauch!$C$9:$C$18896,Verbrauch!$A$9:$A$18896,"&gt;="&amp;A290,Verbrauch!$A$9:$A$18896,"&lt;"&amp;B290,Verbrauch!$F$9:$F$18896,"Go")</f>
        <v>0</v>
      </c>
      <c r="E290" s="22" t="n">
        <f aca="false">SUMIFS(Verbrauch!$C$9:$C$18896,Verbrauch!$A$9:$A$18896,"&gt;="&amp;A290,Verbrauch!$A$9:$A$18896,"&lt;"&amp;B290,Verbrauch!$F$9:$F$18896,"Standard")</f>
        <v>0</v>
      </c>
      <c r="F290" s="23" t="n">
        <f aca="false">SUMIFS(Verbrauch!$E$9:$E$18896,Verbrauch!$A$9:$A$18896,"&gt;="&amp;A290,Verbrauch!$A$9:$A$18896,"&lt;"&amp;B290)</f>
        <v>0</v>
      </c>
      <c r="G290" s="13" t="str">
        <f aca="false">IFERROR(F290/C290*100,"")</f>
        <v/>
      </c>
      <c r="H290" s="11" t="n">
        <f aca="false">COUNTIFS(Verbrauch!$A$9:$A$18896,"&gt;="&amp;A290,Verbrauch!$A$9:$A$18896,"&lt;"&amp;B290,Verbrauch!$C$9:$C$18896,"&lt;&gt;")</f>
        <v>0</v>
      </c>
    </row>
    <row r="291" customFormat="false" ht="15" hidden="false" customHeight="true" outlineLevel="0" collapsed="false">
      <c r="A291" s="10" t="n">
        <v>46252</v>
      </c>
      <c r="B291" s="10" t="n">
        <v>46253</v>
      </c>
      <c r="C291" s="22" t="n">
        <f aca="false">SUMIFS(Verbrauch!$C$9:$C$18896,Verbrauch!$A$9:$A$18896,"&gt;="&amp;A291,Verbrauch!$A$9:$A$18896,"&lt;"&amp;B291)</f>
        <v>0</v>
      </c>
      <c r="D291" s="22" t="n">
        <f aca="false">SUMIFS(Verbrauch!$C$9:$C$18896,Verbrauch!$A$9:$A$18896,"&gt;="&amp;A291,Verbrauch!$A$9:$A$18896,"&lt;"&amp;B291,Verbrauch!$F$9:$F$18896,"Go")</f>
        <v>0</v>
      </c>
      <c r="E291" s="22" t="n">
        <f aca="false">SUMIFS(Verbrauch!$C$9:$C$18896,Verbrauch!$A$9:$A$18896,"&gt;="&amp;A291,Verbrauch!$A$9:$A$18896,"&lt;"&amp;B291,Verbrauch!$F$9:$F$18896,"Standard")</f>
        <v>0</v>
      </c>
      <c r="F291" s="23" t="n">
        <f aca="false">SUMIFS(Verbrauch!$E$9:$E$18896,Verbrauch!$A$9:$A$18896,"&gt;="&amp;A291,Verbrauch!$A$9:$A$18896,"&lt;"&amp;B291)</f>
        <v>0</v>
      </c>
      <c r="G291" s="13" t="str">
        <f aca="false">IFERROR(F291/C291*100,"")</f>
        <v/>
      </c>
      <c r="H291" s="11" t="n">
        <f aca="false">COUNTIFS(Verbrauch!$A$9:$A$18896,"&gt;="&amp;A291,Verbrauch!$A$9:$A$18896,"&lt;"&amp;B291,Verbrauch!$C$9:$C$18896,"&lt;&gt;")</f>
        <v>0</v>
      </c>
    </row>
    <row r="292" customFormat="false" ht="15" hidden="false" customHeight="true" outlineLevel="0" collapsed="false">
      <c r="A292" s="10" t="n">
        <v>46253</v>
      </c>
      <c r="B292" s="10" t="n">
        <v>46254</v>
      </c>
      <c r="C292" s="22" t="n">
        <f aca="false">SUMIFS(Verbrauch!$C$9:$C$18896,Verbrauch!$A$9:$A$18896,"&gt;="&amp;A292,Verbrauch!$A$9:$A$18896,"&lt;"&amp;B292)</f>
        <v>0</v>
      </c>
      <c r="D292" s="22" t="n">
        <f aca="false">SUMIFS(Verbrauch!$C$9:$C$18896,Verbrauch!$A$9:$A$18896,"&gt;="&amp;A292,Verbrauch!$A$9:$A$18896,"&lt;"&amp;B292,Verbrauch!$F$9:$F$18896,"Go")</f>
        <v>0</v>
      </c>
      <c r="E292" s="22" t="n">
        <f aca="false">SUMIFS(Verbrauch!$C$9:$C$18896,Verbrauch!$A$9:$A$18896,"&gt;="&amp;A292,Verbrauch!$A$9:$A$18896,"&lt;"&amp;B292,Verbrauch!$F$9:$F$18896,"Standard")</f>
        <v>0</v>
      </c>
      <c r="F292" s="23" t="n">
        <f aca="false">SUMIFS(Verbrauch!$E$9:$E$18896,Verbrauch!$A$9:$A$18896,"&gt;="&amp;A292,Verbrauch!$A$9:$A$18896,"&lt;"&amp;B292)</f>
        <v>0</v>
      </c>
      <c r="G292" s="13" t="str">
        <f aca="false">IFERROR(F292/C292*100,"")</f>
        <v/>
      </c>
      <c r="H292" s="11" t="n">
        <f aca="false">COUNTIFS(Verbrauch!$A$9:$A$18896,"&gt;="&amp;A292,Verbrauch!$A$9:$A$18896,"&lt;"&amp;B292,Verbrauch!$C$9:$C$18896,"&lt;&gt;")</f>
        <v>0</v>
      </c>
    </row>
    <row r="293" customFormat="false" ht="15" hidden="false" customHeight="true" outlineLevel="0" collapsed="false">
      <c r="A293" s="10" t="n">
        <v>46254</v>
      </c>
      <c r="B293" s="10" t="n">
        <v>46255</v>
      </c>
      <c r="C293" s="22" t="n">
        <f aca="false">SUMIFS(Verbrauch!$C$9:$C$18896,Verbrauch!$A$9:$A$18896,"&gt;="&amp;A293,Verbrauch!$A$9:$A$18896,"&lt;"&amp;B293)</f>
        <v>0</v>
      </c>
      <c r="D293" s="22" t="n">
        <f aca="false">SUMIFS(Verbrauch!$C$9:$C$18896,Verbrauch!$A$9:$A$18896,"&gt;="&amp;A293,Verbrauch!$A$9:$A$18896,"&lt;"&amp;B293,Verbrauch!$F$9:$F$18896,"Go")</f>
        <v>0</v>
      </c>
      <c r="E293" s="22" t="n">
        <f aca="false">SUMIFS(Verbrauch!$C$9:$C$18896,Verbrauch!$A$9:$A$18896,"&gt;="&amp;A293,Verbrauch!$A$9:$A$18896,"&lt;"&amp;B293,Verbrauch!$F$9:$F$18896,"Standard")</f>
        <v>0</v>
      </c>
      <c r="F293" s="23" t="n">
        <f aca="false">SUMIFS(Verbrauch!$E$9:$E$18896,Verbrauch!$A$9:$A$18896,"&gt;="&amp;A293,Verbrauch!$A$9:$A$18896,"&lt;"&amp;B293)</f>
        <v>0</v>
      </c>
      <c r="G293" s="13" t="str">
        <f aca="false">IFERROR(F293/C293*100,"")</f>
        <v/>
      </c>
      <c r="H293" s="11" t="n">
        <f aca="false">COUNTIFS(Verbrauch!$A$9:$A$18896,"&gt;="&amp;A293,Verbrauch!$A$9:$A$18896,"&lt;"&amp;B293,Verbrauch!$C$9:$C$18896,"&lt;&gt;")</f>
        <v>0</v>
      </c>
    </row>
    <row r="294" customFormat="false" ht="15" hidden="false" customHeight="true" outlineLevel="0" collapsed="false">
      <c r="A294" s="10" t="n">
        <v>46255</v>
      </c>
      <c r="B294" s="10" t="n">
        <v>46256</v>
      </c>
      <c r="C294" s="22" t="n">
        <f aca="false">SUMIFS(Verbrauch!$C$9:$C$18896,Verbrauch!$A$9:$A$18896,"&gt;="&amp;A294,Verbrauch!$A$9:$A$18896,"&lt;"&amp;B294)</f>
        <v>0</v>
      </c>
      <c r="D294" s="22" t="n">
        <f aca="false">SUMIFS(Verbrauch!$C$9:$C$18896,Verbrauch!$A$9:$A$18896,"&gt;="&amp;A294,Verbrauch!$A$9:$A$18896,"&lt;"&amp;B294,Verbrauch!$F$9:$F$18896,"Go")</f>
        <v>0</v>
      </c>
      <c r="E294" s="22" t="n">
        <f aca="false">SUMIFS(Verbrauch!$C$9:$C$18896,Verbrauch!$A$9:$A$18896,"&gt;="&amp;A294,Verbrauch!$A$9:$A$18896,"&lt;"&amp;B294,Verbrauch!$F$9:$F$18896,"Standard")</f>
        <v>0</v>
      </c>
      <c r="F294" s="23" t="n">
        <f aca="false">SUMIFS(Verbrauch!$E$9:$E$18896,Verbrauch!$A$9:$A$18896,"&gt;="&amp;A294,Verbrauch!$A$9:$A$18896,"&lt;"&amp;B294)</f>
        <v>0</v>
      </c>
      <c r="G294" s="13" t="str">
        <f aca="false">IFERROR(F294/C294*100,"")</f>
        <v/>
      </c>
      <c r="H294" s="11" t="n">
        <f aca="false">COUNTIFS(Verbrauch!$A$9:$A$18896,"&gt;="&amp;A294,Verbrauch!$A$9:$A$18896,"&lt;"&amp;B294,Verbrauch!$C$9:$C$18896,"&lt;&gt;")</f>
        <v>0</v>
      </c>
    </row>
    <row r="295" customFormat="false" ht="15" hidden="false" customHeight="true" outlineLevel="0" collapsed="false">
      <c r="A295" s="10" t="n">
        <v>46256</v>
      </c>
      <c r="B295" s="10" t="n">
        <v>46257</v>
      </c>
      <c r="C295" s="22" t="n">
        <f aca="false">SUMIFS(Verbrauch!$C$9:$C$18896,Verbrauch!$A$9:$A$18896,"&gt;="&amp;A295,Verbrauch!$A$9:$A$18896,"&lt;"&amp;B295)</f>
        <v>0</v>
      </c>
      <c r="D295" s="22" t="n">
        <f aca="false">SUMIFS(Verbrauch!$C$9:$C$18896,Verbrauch!$A$9:$A$18896,"&gt;="&amp;A295,Verbrauch!$A$9:$A$18896,"&lt;"&amp;B295,Verbrauch!$F$9:$F$18896,"Go")</f>
        <v>0</v>
      </c>
      <c r="E295" s="22" t="n">
        <f aca="false">SUMIFS(Verbrauch!$C$9:$C$18896,Verbrauch!$A$9:$A$18896,"&gt;="&amp;A295,Verbrauch!$A$9:$A$18896,"&lt;"&amp;B295,Verbrauch!$F$9:$F$18896,"Standard")</f>
        <v>0</v>
      </c>
      <c r="F295" s="23" t="n">
        <f aca="false">SUMIFS(Verbrauch!$E$9:$E$18896,Verbrauch!$A$9:$A$18896,"&gt;="&amp;A295,Verbrauch!$A$9:$A$18896,"&lt;"&amp;B295)</f>
        <v>0</v>
      </c>
      <c r="G295" s="13" t="str">
        <f aca="false">IFERROR(F295/C295*100,"")</f>
        <v/>
      </c>
      <c r="H295" s="11" t="n">
        <f aca="false">COUNTIFS(Verbrauch!$A$9:$A$18896,"&gt;="&amp;A295,Verbrauch!$A$9:$A$18896,"&lt;"&amp;B295,Verbrauch!$C$9:$C$18896,"&lt;&gt;")</f>
        <v>0</v>
      </c>
    </row>
    <row r="296" customFormat="false" ht="15" hidden="false" customHeight="true" outlineLevel="0" collapsed="false">
      <c r="A296" s="10" t="n">
        <v>46257</v>
      </c>
      <c r="B296" s="10" t="n">
        <v>46258</v>
      </c>
      <c r="C296" s="22" t="n">
        <f aca="false">SUMIFS(Verbrauch!$C$9:$C$18896,Verbrauch!$A$9:$A$18896,"&gt;="&amp;A296,Verbrauch!$A$9:$A$18896,"&lt;"&amp;B296)</f>
        <v>0</v>
      </c>
      <c r="D296" s="22" t="n">
        <f aca="false">SUMIFS(Verbrauch!$C$9:$C$18896,Verbrauch!$A$9:$A$18896,"&gt;="&amp;A296,Verbrauch!$A$9:$A$18896,"&lt;"&amp;B296,Verbrauch!$F$9:$F$18896,"Go")</f>
        <v>0</v>
      </c>
      <c r="E296" s="22" t="n">
        <f aca="false">SUMIFS(Verbrauch!$C$9:$C$18896,Verbrauch!$A$9:$A$18896,"&gt;="&amp;A296,Verbrauch!$A$9:$A$18896,"&lt;"&amp;B296,Verbrauch!$F$9:$F$18896,"Standard")</f>
        <v>0</v>
      </c>
      <c r="F296" s="23" t="n">
        <f aca="false">SUMIFS(Verbrauch!$E$9:$E$18896,Verbrauch!$A$9:$A$18896,"&gt;="&amp;A296,Verbrauch!$A$9:$A$18896,"&lt;"&amp;B296)</f>
        <v>0</v>
      </c>
      <c r="G296" s="13" t="str">
        <f aca="false">IFERROR(F296/C296*100,"")</f>
        <v/>
      </c>
      <c r="H296" s="11" t="n">
        <f aca="false">COUNTIFS(Verbrauch!$A$9:$A$18896,"&gt;="&amp;A296,Verbrauch!$A$9:$A$18896,"&lt;"&amp;B296,Verbrauch!$C$9:$C$18896,"&lt;&gt;")</f>
        <v>0</v>
      </c>
    </row>
    <row r="297" customFormat="false" ht="15" hidden="false" customHeight="true" outlineLevel="0" collapsed="false">
      <c r="A297" s="10" t="n">
        <v>46258</v>
      </c>
      <c r="B297" s="10" t="n">
        <v>46259</v>
      </c>
      <c r="C297" s="22" t="n">
        <f aca="false">SUMIFS(Verbrauch!$C$9:$C$18896,Verbrauch!$A$9:$A$18896,"&gt;="&amp;A297,Verbrauch!$A$9:$A$18896,"&lt;"&amp;B297)</f>
        <v>0</v>
      </c>
      <c r="D297" s="22" t="n">
        <f aca="false">SUMIFS(Verbrauch!$C$9:$C$18896,Verbrauch!$A$9:$A$18896,"&gt;="&amp;A297,Verbrauch!$A$9:$A$18896,"&lt;"&amp;B297,Verbrauch!$F$9:$F$18896,"Go")</f>
        <v>0</v>
      </c>
      <c r="E297" s="22" t="n">
        <f aca="false">SUMIFS(Verbrauch!$C$9:$C$18896,Verbrauch!$A$9:$A$18896,"&gt;="&amp;A297,Verbrauch!$A$9:$A$18896,"&lt;"&amp;B297,Verbrauch!$F$9:$F$18896,"Standard")</f>
        <v>0</v>
      </c>
      <c r="F297" s="23" t="n">
        <f aca="false">SUMIFS(Verbrauch!$E$9:$E$18896,Verbrauch!$A$9:$A$18896,"&gt;="&amp;A297,Verbrauch!$A$9:$A$18896,"&lt;"&amp;B297)</f>
        <v>0</v>
      </c>
      <c r="G297" s="13" t="str">
        <f aca="false">IFERROR(F297/C297*100,"")</f>
        <v/>
      </c>
      <c r="H297" s="11" t="n">
        <f aca="false">COUNTIFS(Verbrauch!$A$9:$A$18896,"&gt;="&amp;A297,Verbrauch!$A$9:$A$18896,"&lt;"&amp;B297,Verbrauch!$C$9:$C$18896,"&lt;&gt;")</f>
        <v>0</v>
      </c>
    </row>
    <row r="298" customFormat="false" ht="15" hidden="false" customHeight="true" outlineLevel="0" collapsed="false">
      <c r="A298" s="10" t="n">
        <v>46259</v>
      </c>
      <c r="B298" s="10" t="n">
        <v>46260</v>
      </c>
      <c r="C298" s="22" t="n">
        <f aca="false">SUMIFS(Verbrauch!$C$9:$C$18896,Verbrauch!$A$9:$A$18896,"&gt;="&amp;A298,Verbrauch!$A$9:$A$18896,"&lt;"&amp;B298)</f>
        <v>0</v>
      </c>
      <c r="D298" s="22" t="n">
        <f aca="false">SUMIFS(Verbrauch!$C$9:$C$18896,Verbrauch!$A$9:$A$18896,"&gt;="&amp;A298,Verbrauch!$A$9:$A$18896,"&lt;"&amp;B298,Verbrauch!$F$9:$F$18896,"Go")</f>
        <v>0</v>
      </c>
      <c r="E298" s="22" t="n">
        <f aca="false">SUMIFS(Verbrauch!$C$9:$C$18896,Verbrauch!$A$9:$A$18896,"&gt;="&amp;A298,Verbrauch!$A$9:$A$18896,"&lt;"&amp;B298,Verbrauch!$F$9:$F$18896,"Standard")</f>
        <v>0</v>
      </c>
      <c r="F298" s="23" t="n">
        <f aca="false">SUMIFS(Verbrauch!$E$9:$E$18896,Verbrauch!$A$9:$A$18896,"&gt;="&amp;A298,Verbrauch!$A$9:$A$18896,"&lt;"&amp;B298)</f>
        <v>0</v>
      </c>
      <c r="G298" s="13" t="str">
        <f aca="false">IFERROR(F298/C298*100,"")</f>
        <v/>
      </c>
      <c r="H298" s="11" t="n">
        <f aca="false">COUNTIFS(Verbrauch!$A$9:$A$18896,"&gt;="&amp;A298,Verbrauch!$A$9:$A$18896,"&lt;"&amp;B298,Verbrauch!$C$9:$C$18896,"&lt;&gt;")</f>
        <v>0</v>
      </c>
    </row>
    <row r="299" customFormat="false" ht="15" hidden="false" customHeight="true" outlineLevel="0" collapsed="false">
      <c r="A299" s="10" t="n">
        <v>46260</v>
      </c>
      <c r="B299" s="10" t="n">
        <v>46261</v>
      </c>
      <c r="C299" s="22" t="n">
        <f aca="false">SUMIFS(Verbrauch!$C$9:$C$18896,Verbrauch!$A$9:$A$18896,"&gt;="&amp;A299,Verbrauch!$A$9:$A$18896,"&lt;"&amp;B299)</f>
        <v>0</v>
      </c>
      <c r="D299" s="22" t="n">
        <f aca="false">SUMIFS(Verbrauch!$C$9:$C$18896,Verbrauch!$A$9:$A$18896,"&gt;="&amp;A299,Verbrauch!$A$9:$A$18896,"&lt;"&amp;B299,Verbrauch!$F$9:$F$18896,"Go")</f>
        <v>0</v>
      </c>
      <c r="E299" s="22" t="n">
        <f aca="false">SUMIFS(Verbrauch!$C$9:$C$18896,Verbrauch!$A$9:$A$18896,"&gt;="&amp;A299,Verbrauch!$A$9:$A$18896,"&lt;"&amp;B299,Verbrauch!$F$9:$F$18896,"Standard")</f>
        <v>0</v>
      </c>
      <c r="F299" s="23" t="n">
        <f aca="false">SUMIFS(Verbrauch!$E$9:$E$18896,Verbrauch!$A$9:$A$18896,"&gt;="&amp;A299,Verbrauch!$A$9:$A$18896,"&lt;"&amp;B299)</f>
        <v>0</v>
      </c>
      <c r="G299" s="13" t="str">
        <f aca="false">IFERROR(F299/C299*100,"")</f>
        <v/>
      </c>
      <c r="H299" s="11" t="n">
        <f aca="false">COUNTIFS(Verbrauch!$A$9:$A$18896,"&gt;="&amp;A299,Verbrauch!$A$9:$A$18896,"&lt;"&amp;B299,Verbrauch!$C$9:$C$18896,"&lt;&gt;")</f>
        <v>0</v>
      </c>
    </row>
    <row r="300" customFormat="false" ht="15" hidden="false" customHeight="true" outlineLevel="0" collapsed="false">
      <c r="A300" s="10" t="n">
        <v>46261</v>
      </c>
      <c r="B300" s="10" t="n">
        <v>46262</v>
      </c>
      <c r="C300" s="22" t="n">
        <f aca="false">SUMIFS(Verbrauch!$C$9:$C$18896,Verbrauch!$A$9:$A$18896,"&gt;="&amp;A300,Verbrauch!$A$9:$A$18896,"&lt;"&amp;B300)</f>
        <v>0</v>
      </c>
      <c r="D300" s="22" t="n">
        <f aca="false">SUMIFS(Verbrauch!$C$9:$C$18896,Verbrauch!$A$9:$A$18896,"&gt;="&amp;A300,Verbrauch!$A$9:$A$18896,"&lt;"&amp;B300,Verbrauch!$F$9:$F$18896,"Go")</f>
        <v>0</v>
      </c>
      <c r="E300" s="22" t="n">
        <f aca="false">SUMIFS(Verbrauch!$C$9:$C$18896,Verbrauch!$A$9:$A$18896,"&gt;="&amp;A300,Verbrauch!$A$9:$A$18896,"&lt;"&amp;B300,Verbrauch!$F$9:$F$18896,"Standard")</f>
        <v>0</v>
      </c>
      <c r="F300" s="23" t="n">
        <f aca="false">SUMIFS(Verbrauch!$E$9:$E$18896,Verbrauch!$A$9:$A$18896,"&gt;="&amp;A300,Verbrauch!$A$9:$A$18896,"&lt;"&amp;B300)</f>
        <v>0</v>
      </c>
      <c r="G300" s="13" t="str">
        <f aca="false">IFERROR(F300/C300*100,"")</f>
        <v/>
      </c>
      <c r="H300" s="11" t="n">
        <f aca="false">COUNTIFS(Verbrauch!$A$9:$A$18896,"&gt;="&amp;A300,Verbrauch!$A$9:$A$18896,"&lt;"&amp;B300,Verbrauch!$C$9:$C$18896,"&lt;&gt;")</f>
        <v>0</v>
      </c>
    </row>
    <row r="301" customFormat="false" ht="15" hidden="false" customHeight="true" outlineLevel="0" collapsed="false">
      <c r="A301" s="10" t="n">
        <v>46262</v>
      </c>
      <c r="B301" s="10" t="n">
        <v>46263</v>
      </c>
      <c r="C301" s="22" t="n">
        <f aca="false">SUMIFS(Verbrauch!$C$9:$C$18896,Verbrauch!$A$9:$A$18896,"&gt;="&amp;A301,Verbrauch!$A$9:$A$18896,"&lt;"&amp;B301)</f>
        <v>0</v>
      </c>
      <c r="D301" s="22" t="n">
        <f aca="false">SUMIFS(Verbrauch!$C$9:$C$18896,Verbrauch!$A$9:$A$18896,"&gt;="&amp;A301,Verbrauch!$A$9:$A$18896,"&lt;"&amp;B301,Verbrauch!$F$9:$F$18896,"Go")</f>
        <v>0</v>
      </c>
      <c r="E301" s="22" t="n">
        <f aca="false">SUMIFS(Verbrauch!$C$9:$C$18896,Verbrauch!$A$9:$A$18896,"&gt;="&amp;A301,Verbrauch!$A$9:$A$18896,"&lt;"&amp;B301,Verbrauch!$F$9:$F$18896,"Standard")</f>
        <v>0</v>
      </c>
      <c r="F301" s="23" t="n">
        <f aca="false">SUMIFS(Verbrauch!$E$9:$E$18896,Verbrauch!$A$9:$A$18896,"&gt;="&amp;A301,Verbrauch!$A$9:$A$18896,"&lt;"&amp;B301)</f>
        <v>0</v>
      </c>
      <c r="G301" s="13" t="str">
        <f aca="false">IFERROR(F301/C301*100,"")</f>
        <v/>
      </c>
      <c r="H301" s="11" t="n">
        <f aca="false">COUNTIFS(Verbrauch!$A$9:$A$18896,"&gt;="&amp;A301,Verbrauch!$A$9:$A$18896,"&lt;"&amp;B301,Verbrauch!$C$9:$C$18896,"&lt;&gt;")</f>
        <v>0</v>
      </c>
    </row>
    <row r="302" customFormat="false" ht="15" hidden="false" customHeight="true" outlineLevel="0" collapsed="false">
      <c r="A302" s="10" t="n">
        <v>46263</v>
      </c>
      <c r="B302" s="10" t="n">
        <v>46264</v>
      </c>
      <c r="C302" s="22" t="n">
        <f aca="false">SUMIFS(Verbrauch!$C$9:$C$18896,Verbrauch!$A$9:$A$18896,"&gt;="&amp;A302,Verbrauch!$A$9:$A$18896,"&lt;"&amp;B302)</f>
        <v>0</v>
      </c>
      <c r="D302" s="22" t="n">
        <f aca="false">SUMIFS(Verbrauch!$C$9:$C$18896,Verbrauch!$A$9:$A$18896,"&gt;="&amp;A302,Verbrauch!$A$9:$A$18896,"&lt;"&amp;B302,Verbrauch!$F$9:$F$18896,"Go")</f>
        <v>0</v>
      </c>
      <c r="E302" s="22" t="n">
        <f aca="false">SUMIFS(Verbrauch!$C$9:$C$18896,Verbrauch!$A$9:$A$18896,"&gt;="&amp;A302,Verbrauch!$A$9:$A$18896,"&lt;"&amp;B302,Verbrauch!$F$9:$F$18896,"Standard")</f>
        <v>0</v>
      </c>
      <c r="F302" s="23" t="n">
        <f aca="false">SUMIFS(Verbrauch!$E$9:$E$18896,Verbrauch!$A$9:$A$18896,"&gt;="&amp;A302,Verbrauch!$A$9:$A$18896,"&lt;"&amp;B302)</f>
        <v>0</v>
      </c>
      <c r="G302" s="13" t="str">
        <f aca="false">IFERROR(F302/C302*100,"")</f>
        <v/>
      </c>
      <c r="H302" s="11" t="n">
        <f aca="false">COUNTIFS(Verbrauch!$A$9:$A$18896,"&gt;="&amp;A302,Verbrauch!$A$9:$A$18896,"&lt;"&amp;B302,Verbrauch!$C$9:$C$18896,"&lt;&gt;")</f>
        <v>0</v>
      </c>
    </row>
    <row r="303" customFormat="false" ht="15" hidden="false" customHeight="true" outlineLevel="0" collapsed="false">
      <c r="A303" s="10" t="n">
        <v>46264</v>
      </c>
      <c r="B303" s="10" t="n">
        <v>46265</v>
      </c>
      <c r="C303" s="22" t="n">
        <f aca="false">SUMIFS(Verbrauch!$C$9:$C$18896,Verbrauch!$A$9:$A$18896,"&gt;="&amp;A303,Verbrauch!$A$9:$A$18896,"&lt;"&amp;B303)</f>
        <v>0</v>
      </c>
      <c r="D303" s="22" t="n">
        <f aca="false">SUMIFS(Verbrauch!$C$9:$C$18896,Verbrauch!$A$9:$A$18896,"&gt;="&amp;A303,Verbrauch!$A$9:$A$18896,"&lt;"&amp;B303,Verbrauch!$F$9:$F$18896,"Go")</f>
        <v>0</v>
      </c>
      <c r="E303" s="22" t="n">
        <f aca="false">SUMIFS(Verbrauch!$C$9:$C$18896,Verbrauch!$A$9:$A$18896,"&gt;="&amp;A303,Verbrauch!$A$9:$A$18896,"&lt;"&amp;B303,Verbrauch!$F$9:$F$18896,"Standard")</f>
        <v>0</v>
      </c>
      <c r="F303" s="23" t="n">
        <f aca="false">SUMIFS(Verbrauch!$E$9:$E$18896,Verbrauch!$A$9:$A$18896,"&gt;="&amp;A303,Verbrauch!$A$9:$A$18896,"&lt;"&amp;B303)</f>
        <v>0</v>
      </c>
      <c r="G303" s="13" t="str">
        <f aca="false">IFERROR(F303/C303*100,"")</f>
        <v/>
      </c>
      <c r="H303" s="11" t="n">
        <f aca="false">COUNTIFS(Verbrauch!$A$9:$A$18896,"&gt;="&amp;A303,Verbrauch!$A$9:$A$18896,"&lt;"&amp;B303,Verbrauch!$C$9:$C$18896,"&lt;&gt;")</f>
        <v>0</v>
      </c>
    </row>
    <row r="304" customFormat="false" ht="15" hidden="false" customHeight="true" outlineLevel="0" collapsed="false">
      <c r="A304" s="10" t="n">
        <v>46265</v>
      </c>
      <c r="B304" s="10" t="n">
        <v>46266</v>
      </c>
      <c r="C304" s="22" t="n">
        <f aca="false">SUMIFS(Verbrauch!$C$9:$C$18896,Verbrauch!$A$9:$A$18896,"&gt;="&amp;A304,Verbrauch!$A$9:$A$18896,"&lt;"&amp;B304)</f>
        <v>0</v>
      </c>
      <c r="D304" s="22" t="n">
        <f aca="false">SUMIFS(Verbrauch!$C$9:$C$18896,Verbrauch!$A$9:$A$18896,"&gt;="&amp;A304,Verbrauch!$A$9:$A$18896,"&lt;"&amp;B304,Verbrauch!$F$9:$F$18896,"Go")</f>
        <v>0</v>
      </c>
      <c r="E304" s="22" t="n">
        <f aca="false">SUMIFS(Verbrauch!$C$9:$C$18896,Verbrauch!$A$9:$A$18896,"&gt;="&amp;A304,Verbrauch!$A$9:$A$18896,"&lt;"&amp;B304,Verbrauch!$F$9:$F$18896,"Standard")</f>
        <v>0</v>
      </c>
      <c r="F304" s="23" t="n">
        <f aca="false">SUMIFS(Verbrauch!$E$9:$E$18896,Verbrauch!$A$9:$A$18896,"&gt;="&amp;A304,Verbrauch!$A$9:$A$18896,"&lt;"&amp;B304)</f>
        <v>0</v>
      </c>
      <c r="G304" s="13" t="str">
        <f aca="false">IFERROR(F304/C304*100,"")</f>
        <v/>
      </c>
      <c r="H304" s="11" t="n">
        <f aca="false">COUNTIFS(Verbrauch!$A$9:$A$18896,"&gt;="&amp;A304,Verbrauch!$A$9:$A$18896,"&lt;"&amp;B304,Verbrauch!$C$9:$C$18896,"&lt;&gt;")</f>
        <v>0</v>
      </c>
    </row>
    <row r="305" customFormat="false" ht="15" hidden="false" customHeight="true" outlineLevel="0" collapsed="false">
      <c r="A305" s="10" t="n">
        <v>46266</v>
      </c>
      <c r="B305" s="10" t="n">
        <v>46267</v>
      </c>
      <c r="C305" s="22" t="n">
        <f aca="false">SUMIFS(Verbrauch!$C$9:$C$18896,Verbrauch!$A$9:$A$18896,"&gt;="&amp;A305,Verbrauch!$A$9:$A$18896,"&lt;"&amp;B305)</f>
        <v>0</v>
      </c>
      <c r="D305" s="22" t="n">
        <f aca="false">SUMIFS(Verbrauch!$C$9:$C$18896,Verbrauch!$A$9:$A$18896,"&gt;="&amp;A305,Verbrauch!$A$9:$A$18896,"&lt;"&amp;B305,Verbrauch!$F$9:$F$18896,"Go")</f>
        <v>0</v>
      </c>
      <c r="E305" s="22" t="n">
        <f aca="false">SUMIFS(Verbrauch!$C$9:$C$18896,Verbrauch!$A$9:$A$18896,"&gt;="&amp;A305,Verbrauch!$A$9:$A$18896,"&lt;"&amp;B305,Verbrauch!$F$9:$F$18896,"Standard")</f>
        <v>0</v>
      </c>
      <c r="F305" s="23" t="n">
        <f aca="false">SUMIFS(Verbrauch!$E$9:$E$18896,Verbrauch!$A$9:$A$18896,"&gt;="&amp;A305,Verbrauch!$A$9:$A$18896,"&lt;"&amp;B305)</f>
        <v>0</v>
      </c>
      <c r="G305" s="13" t="str">
        <f aca="false">IFERROR(F305/C305*100,"")</f>
        <v/>
      </c>
      <c r="H305" s="11" t="n">
        <f aca="false">COUNTIFS(Verbrauch!$A$9:$A$18896,"&gt;="&amp;A305,Verbrauch!$A$9:$A$18896,"&lt;"&amp;B305,Verbrauch!$C$9:$C$18896,"&lt;&gt;")</f>
        <v>0</v>
      </c>
    </row>
    <row r="306" customFormat="false" ht="15" hidden="false" customHeight="true" outlineLevel="0" collapsed="false">
      <c r="A306" s="10" t="n">
        <v>46267</v>
      </c>
      <c r="B306" s="10" t="n">
        <v>46268</v>
      </c>
      <c r="C306" s="22" t="n">
        <f aca="false">SUMIFS(Verbrauch!$C$9:$C$18896,Verbrauch!$A$9:$A$18896,"&gt;="&amp;A306,Verbrauch!$A$9:$A$18896,"&lt;"&amp;B306)</f>
        <v>0</v>
      </c>
      <c r="D306" s="22" t="n">
        <f aca="false">SUMIFS(Verbrauch!$C$9:$C$18896,Verbrauch!$A$9:$A$18896,"&gt;="&amp;A306,Verbrauch!$A$9:$A$18896,"&lt;"&amp;B306,Verbrauch!$F$9:$F$18896,"Go")</f>
        <v>0</v>
      </c>
      <c r="E306" s="22" t="n">
        <f aca="false">SUMIFS(Verbrauch!$C$9:$C$18896,Verbrauch!$A$9:$A$18896,"&gt;="&amp;A306,Verbrauch!$A$9:$A$18896,"&lt;"&amp;B306,Verbrauch!$F$9:$F$18896,"Standard")</f>
        <v>0</v>
      </c>
      <c r="F306" s="23" t="n">
        <f aca="false">SUMIFS(Verbrauch!$E$9:$E$18896,Verbrauch!$A$9:$A$18896,"&gt;="&amp;A306,Verbrauch!$A$9:$A$18896,"&lt;"&amp;B306)</f>
        <v>0</v>
      </c>
      <c r="G306" s="13" t="str">
        <f aca="false">IFERROR(F306/C306*100,"")</f>
        <v/>
      </c>
      <c r="H306" s="11" t="n">
        <f aca="false">COUNTIFS(Verbrauch!$A$9:$A$18896,"&gt;="&amp;A306,Verbrauch!$A$9:$A$18896,"&lt;"&amp;B306,Verbrauch!$C$9:$C$18896,"&lt;&gt;")</f>
        <v>0</v>
      </c>
    </row>
    <row r="307" customFormat="false" ht="15" hidden="false" customHeight="true" outlineLevel="0" collapsed="false">
      <c r="A307" s="10" t="n">
        <v>46268</v>
      </c>
      <c r="B307" s="10" t="n">
        <v>46269</v>
      </c>
      <c r="C307" s="22" t="n">
        <f aca="false">SUMIFS(Verbrauch!$C$9:$C$18896,Verbrauch!$A$9:$A$18896,"&gt;="&amp;A307,Verbrauch!$A$9:$A$18896,"&lt;"&amp;B307)</f>
        <v>0</v>
      </c>
      <c r="D307" s="22" t="n">
        <f aca="false">SUMIFS(Verbrauch!$C$9:$C$18896,Verbrauch!$A$9:$A$18896,"&gt;="&amp;A307,Verbrauch!$A$9:$A$18896,"&lt;"&amp;B307,Verbrauch!$F$9:$F$18896,"Go")</f>
        <v>0</v>
      </c>
      <c r="E307" s="22" t="n">
        <f aca="false">SUMIFS(Verbrauch!$C$9:$C$18896,Verbrauch!$A$9:$A$18896,"&gt;="&amp;A307,Verbrauch!$A$9:$A$18896,"&lt;"&amp;B307,Verbrauch!$F$9:$F$18896,"Standard")</f>
        <v>0</v>
      </c>
      <c r="F307" s="23" t="n">
        <f aca="false">SUMIFS(Verbrauch!$E$9:$E$18896,Verbrauch!$A$9:$A$18896,"&gt;="&amp;A307,Verbrauch!$A$9:$A$18896,"&lt;"&amp;B307)</f>
        <v>0</v>
      </c>
      <c r="G307" s="13" t="str">
        <f aca="false">IFERROR(F307/C307*100,"")</f>
        <v/>
      </c>
      <c r="H307" s="11" t="n">
        <f aca="false">COUNTIFS(Verbrauch!$A$9:$A$18896,"&gt;="&amp;A307,Verbrauch!$A$9:$A$18896,"&lt;"&amp;B307,Verbrauch!$C$9:$C$18896,"&lt;&gt;")</f>
        <v>0</v>
      </c>
    </row>
    <row r="308" customFormat="false" ht="15" hidden="false" customHeight="true" outlineLevel="0" collapsed="false">
      <c r="A308" s="10" t="n">
        <v>46269</v>
      </c>
      <c r="B308" s="10" t="n">
        <v>46270</v>
      </c>
      <c r="C308" s="22" t="n">
        <f aca="false">SUMIFS(Verbrauch!$C$9:$C$18896,Verbrauch!$A$9:$A$18896,"&gt;="&amp;A308,Verbrauch!$A$9:$A$18896,"&lt;"&amp;B308)</f>
        <v>0</v>
      </c>
      <c r="D308" s="22" t="n">
        <f aca="false">SUMIFS(Verbrauch!$C$9:$C$18896,Verbrauch!$A$9:$A$18896,"&gt;="&amp;A308,Verbrauch!$A$9:$A$18896,"&lt;"&amp;B308,Verbrauch!$F$9:$F$18896,"Go")</f>
        <v>0</v>
      </c>
      <c r="E308" s="22" t="n">
        <f aca="false">SUMIFS(Verbrauch!$C$9:$C$18896,Verbrauch!$A$9:$A$18896,"&gt;="&amp;A308,Verbrauch!$A$9:$A$18896,"&lt;"&amp;B308,Verbrauch!$F$9:$F$18896,"Standard")</f>
        <v>0</v>
      </c>
      <c r="F308" s="23" t="n">
        <f aca="false">SUMIFS(Verbrauch!$E$9:$E$18896,Verbrauch!$A$9:$A$18896,"&gt;="&amp;A308,Verbrauch!$A$9:$A$18896,"&lt;"&amp;B308)</f>
        <v>0</v>
      </c>
      <c r="G308" s="13" t="str">
        <f aca="false">IFERROR(F308/C308*100,"")</f>
        <v/>
      </c>
      <c r="H308" s="11" t="n">
        <f aca="false">COUNTIFS(Verbrauch!$A$9:$A$18896,"&gt;="&amp;A308,Verbrauch!$A$9:$A$18896,"&lt;"&amp;B308,Verbrauch!$C$9:$C$18896,"&lt;&gt;")</f>
        <v>0</v>
      </c>
    </row>
    <row r="309" customFormat="false" ht="15" hidden="false" customHeight="true" outlineLevel="0" collapsed="false">
      <c r="A309" s="10" t="n">
        <v>46270</v>
      </c>
      <c r="B309" s="10" t="n">
        <v>46271</v>
      </c>
      <c r="C309" s="22" t="n">
        <f aca="false">SUMIFS(Verbrauch!$C$9:$C$18896,Verbrauch!$A$9:$A$18896,"&gt;="&amp;A309,Verbrauch!$A$9:$A$18896,"&lt;"&amp;B309)</f>
        <v>0</v>
      </c>
      <c r="D309" s="22" t="n">
        <f aca="false">SUMIFS(Verbrauch!$C$9:$C$18896,Verbrauch!$A$9:$A$18896,"&gt;="&amp;A309,Verbrauch!$A$9:$A$18896,"&lt;"&amp;B309,Verbrauch!$F$9:$F$18896,"Go")</f>
        <v>0</v>
      </c>
      <c r="E309" s="22" t="n">
        <f aca="false">SUMIFS(Verbrauch!$C$9:$C$18896,Verbrauch!$A$9:$A$18896,"&gt;="&amp;A309,Verbrauch!$A$9:$A$18896,"&lt;"&amp;B309,Verbrauch!$F$9:$F$18896,"Standard")</f>
        <v>0</v>
      </c>
      <c r="F309" s="23" t="n">
        <f aca="false">SUMIFS(Verbrauch!$E$9:$E$18896,Verbrauch!$A$9:$A$18896,"&gt;="&amp;A309,Verbrauch!$A$9:$A$18896,"&lt;"&amp;B309)</f>
        <v>0</v>
      </c>
      <c r="G309" s="13" t="str">
        <f aca="false">IFERROR(F309/C309*100,"")</f>
        <v/>
      </c>
      <c r="H309" s="11" t="n">
        <f aca="false">COUNTIFS(Verbrauch!$A$9:$A$18896,"&gt;="&amp;A309,Verbrauch!$A$9:$A$18896,"&lt;"&amp;B309,Verbrauch!$C$9:$C$18896,"&lt;&gt;")</f>
        <v>0</v>
      </c>
    </row>
    <row r="310" customFormat="false" ht="15" hidden="false" customHeight="true" outlineLevel="0" collapsed="false">
      <c r="A310" s="10" t="n">
        <v>46271</v>
      </c>
      <c r="B310" s="10" t="n">
        <v>46272</v>
      </c>
      <c r="C310" s="22" t="n">
        <f aca="false">SUMIFS(Verbrauch!$C$9:$C$18896,Verbrauch!$A$9:$A$18896,"&gt;="&amp;A310,Verbrauch!$A$9:$A$18896,"&lt;"&amp;B310)</f>
        <v>0</v>
      </c>
      <c r="D310" s="22" t="n">
        <f aca="false">SUMIFS(Verbrauch!$C$9:$C$18896,Verbrauch!$A$9:$A$18896,"&gt;="&amp;A310,Verbrauch!$A$9:$A$18896,"&lt;"&amp;B310,Verbrauch!$F$9:$F$18896,"Go")</f>
        <v>0</v>
      </c>
      <c r="E310" s="22" t="n">
        <f aca="false">SUMIFS(Verbrauch!$C$9:$C$18896,Verbrauch!$A$9:$A$18896,"&gt;="&amp;A310,Verbrauch!$A$9:$A$18896,"&lt;"&amp;B310,Verbrauch!$F$9:$F$18896,"Standard")</f>
        <v>0</v>
      </c>
      <c r="F310" s="23" t="n">
        <f aca="false">SUMIFS(Verbrauch!$E$9:$E$18896,Verbrauch!$A$9:$A$18896,"&gt;="&amp;A310,Verbrauch!$A$9:$A$18896,"&lt;"&amp;B310)</f>
        <v>0</v>
      </c>
      <c r="G310" s="13" t="str">
        <f aca="false">IFERROR(F310/C310*100,"")</f>
        <v/>
      </c>
      <c r="H310" s="11" t="n">
        <f aca="false">COUNTIFS(Verbrauch!$A$9:$A$18896,"&gt;="&amp;A310,Verbrauch!$A$9:$A$18896,"&lt;"&amp;B310,Verbrauch!$C$9:$C$18896,"&lt;&gt;")</f>
        <v>0</v>
      </c>
    </row>
    <row r="311" customFormat="false" ht="15" hidden="false" customHeight="true" outlineLevel="0" collapsed="false">
      <c r="A311" s="10" t="n">
        <v>46272</v>
      </c>
      <c r="B311" s="10" t="n">
        <v>46273</v>
      </c>
      <c r="C311" s="22" t="n">
        <f aca="false">SUMIFS(Verbrauch!$C$9:$C$18896,Verbrauch!$A$9:$A$18896,"&gt;="&amp;A311,Verbrauch!$A$9:$A$18896,"&lt;"&amp;B311)</f>
        <v>0</v>
      </c>
      <c r="D311" s="22" t="n">
        <f aca="false">SUMIFS(Verbrauch!$C$9:$C$18896,Verbrauch!$A$9:$A$18896,"&gt;="&amp;A311,Verbrauch!$A$9:$A$18896,"&lt;"&amp;B311,Verbrauch!$F$9:$F$18896,"Go")</f>
        <v>0</v>
      </c>
      <c r="E311" s="22" t="n">
        <f aca="false">SUMIFS(Verbrauch!$C$9:$C$18896,Verbrauch!$A$9:$A$18896,"&gt;="&amp;A311,Verbrauch!$A$9:$A$18896,"&lt;"&amp;B311,Verbrauch!$F$9:$F$18896,"Standard")</f>
        <v>0</v>
      </c>
      <c r="F311" s="23" t="n">
        <f aca="false">SUMIFS(Verbrauch!$E$9:$E$18896,Verbrauch!$A$9:$A$18896,"&gt;="&amp;A311,Verbrauch!$A$9:$A$18896,"&lt;"&amp;B311)</f>
        <v>0</v>
      </c>
      <c r="G311" s="13" t="str">
        <f aca="false">IFERROR(F311/C311*100,"")</f>
        <v/>
      </c>
      <c r="H311" s="11" t="n">
        <f aca="false">COUNTIFS(Verbrauch!$A$9:$A$18896,"&gt;="&amp;A311,Verbrauch!$A$9:$A$18896,"&lt;"&amp;B311,Verbrauch!$C$9:$C$18896,"&lt;&gt;")</f>
        <v>0</v>
      </c>
    </row>
    <row r="312" customFormat="false" ht="15" hidden="false" customHeight="true" outlineLevel="0" collapsed="false">
      <c r="A312" s="10" t="n">
        <v>46273</v>
      </c>
      <c r="B312" s="10" t="n">
        <v>46274</v>
      </c>
      <c r="C312" s="22" t="n">
        <f aca="false">SUMIFS(Verbrauch!$C$9:$C$18896,Verbrauch!$A$9:$A$18896,"&gt;="&amp;A312,Verbrauch!$A$9:$A$18896,"&lt;"&amp;B312)</f>
        <v>0</v>
      </c>
      <c r="D312" s="22" t="n">
        <f aca="false">SUMIFS(Verbrauch!$C$9:$C$18896,Verbrauch!$A$9:$A$18896,"&gt;="&amp;A312,Verbrauch!$A$9:$A$18896,"&lt;"&amp;B312,Verbrauch!$F$9:$F$18896,"Go")</f>
        <v>0</v>
      </c>
      <c r="E312" s="22" t="n">
        <f aca="false">SUMIFS(Verbrauch!$C$9:$C$18896,Verbrauch!$A$9:$A$18896,"&gt;="&amp;A312,Verbrauch!$A$9:$A$18896,"&lt;"&amp;B312,Verbrauch!$F$9:$F$18896,"Standard")</f>
        <v>0</v>
      </c>
      <c r="F312" s="23" t="n">
        <f aca="false">SUMIFS(Verbrauch!$E$9:$E$18896,Verbrauch!$A$9:$A$18896,"&gt;="&amp;A312,Verbrauch!$A$9:$A$18896,"&lt;"&amp;B312)</f>
        <v>0</v>
      </c>
      <c r="G312" s="13" t="str">
        <f aca="false">IFERROR(F312/C312*100,"")</f>
        <v/>
      </c>
      <c r="H312" s="11" t="n">
        <f aca="false">COUNTIFS(Verbrauch!$A$9:$A$18896,"&gt;="&amp;A312,Verbrauch!$A$9:$A$18896,"&lt;"&amp;B312,Verbrauch!$C$9:$C$18896,"&lt;&gt;")</f>
        <v>0</v>
      </c>
    </row>
    <row r="313" customFormat="false" ht="15" hidden="false" customHeight="true" outlineLevel="0" collapsed="false">
      <c r="A313" s="10" t="n">
        <v>46274</v>
      </c>
      <c r="B313" s="10" t="n">
        <v>46275</v>
      </c>
      <c r="C313" s="22" t="n">
        <f aca="false">SUMIFS(Verbrauch!$C$9:$C$18896,Verbrauch!$A$9:$A$18896,"&gt;="&amp;A313,Verbrauch!$A$9:$A$18896,"&lt;"&amp;B313)</f>
        <v>0</v>
      </c>
      <c r="D313" s="22" t="n">
        <f aca="false">SUMIFS(Verbrauch!$C$9:$C$18896,Verbrauch!$A$9:$A$18896,"&gt;="&amp;A313,Verbrauch!$A$9:$A$18896,"&lt;"&amp;B313,Verbrauch!$F$9:$F$18896,"Go")</f>
        <v>0</v>
      </c>
      <c r="E313" s="22" t="n">
        <f aca="false">SUMIFS(Verbrauch!$C$9:$C$18896,Verbrauch!$A$9:$A$18896,"&gt;="&amp;A313,Verbrauch!$A$9:$A$18896,"&lt;"&amp;B313,Verbrauch!$F$9:$F$18896,"Standard")</f>
        <v>0</v>
      </c>
      <c r="F313" s="23" t="n">
        <f aca="false">SUMIFS(Verbrauch!$E$9:$E$18896,Verbrauch!$A$9:$A$18896,"&gt;="&amp;A313,Verbrauch!$A$9:$A$18896,"&lt;"&amp;B313)</f>
        <v>0</v>
      </c>
      <c r="G313" s="13" t="str">
        <f aca="false">IFERROR(F313/C313*100,"")</f>
        <v/>
      </c>
      <c r="H313" s="11" t="n">
        <f aca="false">COUNTIFS(Verbrauch!$A$9:$A$18896,"&gt;="&amp;A313,Verbrauch!$A$9:$A$18896,"&lt;"&amp;B313,Verbrauch!$C$9:$C$18896,"&lt;&gt;")</f>
        <v>0</v>
      </c>
    </row>
    <row r="314" customFormat="false" ht="15" hidden="false" customHeight="true" outlineLevel="0" collapsed="false">
      <c r="A314" s="10" t="n">
        <v>46275</v>
      </c>
      <c r="B314" s="10" t="n">
        <v>46276</v>
      </c>
      <c r="C314" s="22" t="n">
        <f aca="false">SUMIFS(Verbrauch!$C$9:$C$18896,Verbrauch!$A$9:$A$18896,"&gt;="&amp;A314,Verbrauch!$A$9:$A$18896,"&lt;"&amp;B314)</f>
        <v>0</v>
      </c>
      <c r="D314" s="22" t="n">
        <f aca="false">SUMIFS(Verbrauch!$C$9:$C$18896,Verbrauch!$A$9:$A$18896,"&gt;="&amp;A314,Verbrauch!$A$9:$A$18896,"&lt;"&amp;B314,Verbrauch!$F$9:$F$18896,"Go")</f>
        <v>0</v>
      </c>
      <c r="E314" s="22" t="n">
        <f aca="false">SUMIFS(Verbrauch!$C$9:$C$18896,Verbrauch!$A$9:$A$18896,"&gt;="&amp;A314,Verbrauch!$A$9:$A$18896,"&lt;"&amp;B314,Verbrauch!$F$9:$F$18896,"Standard")</f>
        <v>0</v>
      </c>
      <c r="F314" s="23" t="n">
        <f aca="false">SUMIFS(Verbrauch!$E$9:$E$18896,Verbrauch!$A$9:$A$18896,"&gt;="&amp;A314,Verbrauch!$A$9:$A$18896,"&lt;"&amp;B314)</f>
        <v>0</v>
      </c>
      <c r="G314" s="13" t="str">
        <f aca="false">IFERROR(F314/C314*100,"")</f>
        <v/>
      </c>
      <c r="H314" s="11" t="n">
        <f aca="false">COUNTIFS(Verbrauch!$A$9:$A$18896,"&gt;="&amp;A314,Verbrauch!$A$9:$A$18896,"&lt;"&amp;B314,Verbrauch!$C$9:$C$18896,"&lt;&gt;")</f>
        <v>0</v>
      </c>
    </row>
    <row r="315" customFormat="false" ht="15" hidden="false" customHeight="true" outlineLevel="0" collapsed="false">
      <c r="A315" s="10" t="n">
        <v>46276</v>
      </c>
      <c r="B315" s="10" t="n">
        <v>46277</v>
      </c>
      <c r="C315" s="22" t="n">
        <f aca="false">SUMIFS(Verbrauch!$C$9:$C$18896,Verbrauch!$A$9:$A$18896,"&gt;="&amp;A315,Verbrauch!$A$9:$A$18896,"&lt;"&amp;B315)</f>
        <v>0</v>
      </c>
      <c r="D315" s="22" t="n">
        <f aca="false">SUMIFS(Verbrauch!$C$9:$C$18896,Verbrauch!$A$9:$A$18896,"&gt;="&amp;A315,Verbrauch!$A$9:$A$18896,"&lt;"&amp;B315,Verbrauch!$F$9:$F$18896,"Go")</f>
        <v>0</v>
      </c>
      <c r="E315" s="22" t="n">
        <f aca="false">SUMIFS(Verbrauch!$C$9:$C$18896,Verbrauch!$A$9:$A$18896,"&gt;="&amp;A315,Verbrauch!$A$9:$A$18896,"&lt;"&amp;B315,Verbrauch!$F$9:$F$18896,"Standard")</f>
        <v>0</v>
      </c>
      <c r="F315" s="23" t="n">
        <f aca="false">SUMIFS(Verbrauch!$E$9:$E$18896,Verbrauch!$A$9:$A$18896,"&gt;="&amp;A315,Verbrauch!$A$9:$A$18896,"&lt;"&amp;B315)</f>
        <v>0</v>
      </c>
      <c r="G315" s="13" t="str">
        <f aca="false">IFERROR(F315/C315*100,"")</f>
        <v/>
      </c>
      <c r="H315" s="11" t="n">
        <f aca="false">COUNTIFS(Verbrauch!$A$9:$A$18896,"&gt;="&amp;A315,Verbrauch!$A$9:$A$18896,"&lt;"&amp;B315,Verbrauch!$C$9:$C$18896,"&lt;&gt;")</f>
        <v>0</v>
      </c>
    </row>
    <row r="316" customFormat="false" ht="15" hidden="false" customHeight="true" outlineLevel="0" collapsed="false">
      <c r="A316" s="10" t="n">
        <v>46277</v>
      </c>
      <c r="B316" s="10" t="n">
        <v>46278</v>
      </c>
      <c r="C316" s="22" t="n">
        <f aca="false">SUMIFS(Verbrauch!$C$9:$C$18896,Verbrauch!$A$9:$A$18896,"&gt;="&amp;A316,Verbrauch!$A$9:$A$18896,"&lt;"&amp;B316)</f>
        <v>0</v>
      </c>
      <c r="D316" s="22" t="n">
        <f aca="false">SUMIFS(Verbrauch!$C$9:$C$18896,Verbrauch!$A$9:$A$18896,"&gt;="&amp;A316,Verbrauch!$A$9:$A$18896,"&lt;"&amp;B316,Verbrauch!$F$9:$F$18896,"Go")</f>
        <v>0</v>
      </c>
      <c r="E316" s="22" t="n">
        <f aca="false">SUMIFS(Verbrauch!$C$9:$C$18896,Verbrauch!$A$9:$A$18896,"&gt;="&amp;A316,Verbrauch!$A$9:$A$18896,"&lt;"&amp;B316,Verbrauch!$F$9:$F$18896,"Standard")</f>
        <v>0</v>
      </c>
      <c r="F316" s="23" t="n">
        <f aca="false">SUMIFS(Verbrauch!$E$9:$E$18896,Verbrauch!$A$9:$A$18896,"&gt;="&amp;A316,Verbrauch!$A$9:$A$18896,"&lt;"&amp;B316)</f>
        <v>0</v>
      </c>
      <c r="G316" s="13" t="str">
        <f aca="false">IFERROR(F316/C316*100,"")</f>
        <v/>
      </c>
      <c r="H316" s="11" t="n">
        <f aca="false">COUNTIFS(Verbrauch!$A$9:$A$18896,"&gt;="&amp;A316,Verbrauch!$A$9:$A$18896,"&lt;"&amp;B316,Verbrauch!$C$9:$C$18896,"&lt;&gt;")</f>
        <v>0</v>
      </c>
    </row>
    <row r="317" customFormat="false" ht="15" hidden="false" customHeight="true" outlineLevel="0" collapsed="false">
      <c r="A317" s="10" t="n">
        <v>46278</v>
      </c>
      <c r="B317" s="10" t="n">
        <v>46279</v>
      </c>
      <c r="C317" s="22" t="n">
        <f aca="false">SUMIFS(Verbrauch!$C$9:$C$18896,Verbrauch!$A$9:$A$18896,"&gt;="&amp;A317,Verbrauch!$A$9:$A$18896,"&lt;"&amp;B317)</f>
        <v>0</v>
      </c>
      <c r="D317" s="22" t="n">
        <f aca="false">SUMIFS(Verbrauch!$C$9:$C$18896,Verbrauch!$A$9:$A$18896,"&gt;="&amp;A317,Verbrauch!$A$9:$A$18896,"&lt;"&amp;B317,Verbrauch!$F$9:$F$18896,"Go")</f>
        <v>0</v>
      </c>
      <c r="E317" s="22" t="n">
        <f aca="false">SUMIFS(Verbrauch!$C$9:$C$18896,Verbrauch!$A$9:$A$18896,"&gt;="&amp;A317,Verbrauch!$A$9:$A$18896,"&lt;"&amp;B317,Verbrauch!$F$9:$F$18896,"Standard")</f>
        <v>0</v>
      </c>
      <c r="F317" s="23" t="n">
        <f aca="false">SUMIFS(Verbrauch!$E$9:$E$18896,Verbrauch!$A$9:$A$18896,"&gt;="&amp;A317,Verbrauch!$A$9:$A$18896,"&lt;"&amp;B317)</f>
        <v>0</v>
      </c>
      <c r="G317" s="13" t="str">
        <f aca="false">IFERROR(F317/C317*100,"")</f>
        <v/>
      </c>
      <c r="H317" s="11" t="n">
        <f aca="false">COUNTIFS(Verbrauch!$A$9:$A$18896,"&gt;="&amp;A317,Verbrauch!$A$9:$A$18896,"&lt;"&amp;B317,Verbrauch!$C$9:$C$18896,"&lt;&gt;")</f>
        <v>0</v>
      </c>
    </row>
    <row r="318" customFormat="false" ht="15" hidden="false" customHeight="true" outlineLevel="0" collapsed="false">
      <c r="A318" s="10" t="n">
        <v>46279</v>
      </c>
      <c r="B318" s="10" t="n">
        <v>46280</v>
      </c>
      <c r="C318" s="22" t="n">
        <f aca="false">SUMIFS(Verbrauch!$C$9:$C$18896,Verbrauch!$A$9:$A$18896,"&gt;="&amp;A318,Verbrauch!$A$9:$A$18896,"&lt;"&amp;B318)</f>
        <v>0</v>
      </c>
      <c r="D318" s="22" t="n">
        <f aca="false">SUMIFS(Verbrauch!$C$9:$C$18896,Verbrauch!$A$9:$A$18896,"&gt;="&amp;A318,Verbrauch!$A$9:$A$18896,"&lt;"&amp;B318,Verbrauch!$F$9:$F$18896,"Go")</f>
        <v>0</v>
      </c>
      <c r="E318" s="22" t="n">
        <f aca="false">SUMIFS(Verbrauch!$C$9:$C$18896,Verbrauch!$A$9:$A$18896,"&gt;="&amp;A318,Verbrauch!$A$9:$A$18896,"&lt;"&amp;B318,Verbrauch!$F$9:$F$18896,"Standard")</f>
        <v>0</v>
      </c>
      <c r="F318" s="23" t="n">
        <f aca="false">SUMIFS(Verbrauch!$E$9:$E$18896,Verbrauch!$A$9:$A$18896,"&gt;="&amp;A318,Verbrauch!$A$9:$A$18896,"&lt;"&amp;B318)</f>
        <v>0</v>
      </c>
      <c r="G318" s="13" t="str">
        <f aca="false">IFERROR(F318/C318*100,"")</f>
        <v/>
      </c>
      <c r="H318" s="11" t="n">
        <f aca="false">COUNTIFS(Verbrauch!$A$9:$A$18896,"&gt;="&amp;A318,Verbrauch!$A$9:$A$18896,"&lt;"&amp;B318,Verbrauch!$C$9:$C$18896,"&lt;&gt;")</f>
        <v>0</v>
      </c>
    </row>
    <row r="319" customFormat="false" ht="15" hidden="false" customHeight="true" outlineLevel="0" collapsed="false">
      <c r="A319" s="10" t="n">
        <v>46280</v>
      </c>
      <c r="B319" s="10" t="n">
        <v>46281</v>
      </c>
      <c r="C319" s="22" t="n">
        <f aca="false">SUMIFS(Verbrauch!$C$9:$C$18896,Verbrauch!$A$9:$A$18896,"&gt;="&amp;A319,Verbrauch!$A$9:$A$18896,"&lt;"&amp;B319)</f>
        <v>0</v>
      </c>
      <c r="D319" s="22" t="n">
        <f aca="false">SUMIFS(Verbrauch!$C$9:$C$18896,Verbrauch!$A$9:$A$18896,"&gt;="&amp;A319,Verbrauch!$A$9:$A$18896,"&lt;"&amp;B319,Verbrauch!$F$9:$F$18896,"Go")</f>
        <v>0</v>
      </c>
      <c r="E319" s="22" t="n">
        <f aca="false">SUMIFS(Verbrauch!$C$9:$C$18896,Verbrauch!$A$9:$A$18896,"&gt;="&amp;A319,Verbrauch!$A$9:$A$18896,"&lt;"&amp;B319,Verbrauch!$F$9:$F$18896,"Standard")</f>
        <v>0</v>
      </c>
      <c r="F319" s="23" t="n">
        <f aca="false">SUMIFS(Verbrauch!$E$9:$E$18896,Verbrauch!$A$9:$A$18896,"&gt;="&amp;A319,Verbrauch!$A$9:$A$18896,"&lt;"&amp;B319)</f>
        <v>0</v>
      </c>
      <c r="G319" s="13" t="str">
        <f aca="false">IFERROR(F319/C319*100,"")</f>
        <v/>
      </c>
      <c r="H319" s="11" t="n">
        <f aca="false">COUNTIFS(Verbrauch!$A$9:$A$18896,"&gt;="&amp;A319,Verbrauch!$A$9:$A$18896,"&lt;"&amp;B319,Verbrauch!$C$9:$C$18896,"&lt;&gt;")</f>
        <v>0</v>
      </c>
    </row>
    <row r="320" customFormat="false" ht="15" hidden="false" customHeight="true" outlineLevel="0" collapsed="false">
      <c r="A320" s="10" t="n">
        <v>46281</v>
      </c>
      <c r="B320" s="10" t="n">
        <v>46282</v>
      </c>
      <c r="C320" s="22" t="n">
        <f aca="false">SUMIFS(Verbrauch!$C$9:$C$18896,Verbrauch!$A$9:$A$18896,"&gt;="&amp;A320,Verbrauch!$A$9:$A$18896,"&lt;"&amp;B320)</f>
        <v>0</v>
      </c>
      <c r="D320" s="22" t="n">
        <f aca="false">SUMIFS(Verbrauch!$C$9:$C$18896,Verbrauch!$A$9:$A$18896,"&gt;="&amp;A320,Verbrauch!$A$9:$A$18896,"&lt;"&amp;B320,Verbrauch!$F$9:$F$18896,"Go")</f>
        <v>0</v>
      </c>
      <c r="E320" s="22" t="n">
        <f aca="false">SUMIFS(Verbrauch!$C$9:$C$18896,Verbrauch!$A$9:$A$18896,"&gt;="&amp;A320,Verbrauch!$A$9:$A$18896,"&lt;"&amp;B320,Verbrauch!$F$9:$F$18896,"Standard")</f>
        <v>0</v>
      </c>
      <c r="F320" s="23" t="n">
        <f aca="false">SUMIFS(Verbrauch!$E$9:$E$18896,Verbrauch!$A$9:$A$18896,"&gt;="&amp;A320,Verbrauch!$A$9:$A$18896,"&lt;"&amp;B320)</f>
        <v>0</v>
      </c>
      <c r="G320" s="13" t="str">
        <f aca="false">IFERROR(F320/C320*100,"")</f>
        <v/>
      </c>
      <c r="H320" s="11" t="n">
        <f aca="false">COUNTIFS(Verbrauch!$A$9:$A$18896,"&gt;="&amp;A320,Verbrauch!$A$9:$A$18896,"&lt;"&amp;B320,Verbrauch!$C$9:$C$18896,"&lt;&gt;")</f>
        <v>0</v>
      </c>
    </row>
    <row r="321" customFormat="false" ht="15" hidden="false" customHeight="true" outlineLevel="0" collapsed="false">
      <c r="A321" s="10" t="n">
        <v>46282</v>
      </c>
      <c r="B321" s="10" t="n">
        <v>46283</v>
      </c>
      <c r="C321" s="22" t="n">
        <f aca="false">SUMIFS(Verbrauch!$C$9:$C$18896,Verbrauch!$A$9:$A$18896,"&gt;="&amp;A321,Verbrauch!$A$9:$A$18896,"&lt;"&amp;B321)</f>
        <v>0</v>
      </c>
      <c r="D321" s="22" t="n">
        <f aca="false">SUMIFS(Verbrauch!$C$9:$C$18896,Verbrauch!$A$9:$A$18896,"&gt;="&amp;A321,Verbrauch!$A$9:$A$18896,"&lt;"&amp;B321,Verbrauch!$F$9:$F$18896,"Go")</f>
        <v>0</v>
      </c>
      <c r="E321" s="22" t="n">
        <f aca="false">SUMIFS(Verbrauch!$C$9:$C$18896,Verbrauch!$A$9:$A$18896,"&gt;="&amp;A321,Verbrauch!$A$9:$A$18896,"&lt;"&amp;B321,Verbrauch!$F$9:$F$18896,"Standard")</f>
        <v>0</v>
      </c>
      <c r="F321" s="23" t="n">
        <f aca="false">SUMIFS(Verbrauch!$E$9:$E$18896,Verbrauch!$A$9:$A$18896,"&gt;="&amp;A321,Verbrauch!$A$9:$A$18896,"&lt;"&amp;B321)</f>
        <v>0</v>
      </c>
      <c r="G321" s="13" t="str">
        <f aca="false">IFERROR(F321/C321*100,"")</f>
        <v/>
      </c>
      <c r="H321" s="11" t="n">
        <f aca="false">COUNTIFS(Verbrauch!$A$9:$A$18896,"&gt;="&amp;A321,Verbrauch!$A$9:$A$18896,"&lt;"&amp;B321,Verbrauch!$C$9:$C$18896,"&lt;&gt;")</f>
        <v>0</v>
      </c>
    </row>
    <row r="322" customFormat="false" ht="15" hidden="false" customHeight="true" outlineLevel="0" collapsed="false">
      <c r="A322" s="10" t="n">
        <v>46283</v>
      </c>
      <c r="B322" s="10" t="n">
        <v>46284</v>
      </c>
      <c r="C322" s="22" t="n">
        <f aca="false">SUMIFS(Verbrauch!$C$9:$C$18896,Verbrauch!$A$9:$A$18896,"&gt;="&amp;A322,Verbrauch!$A$9:$A$18896,"&lt;"&amp;B322)</f>
        <v>0</v>
      </c>
      <c r="D322" s="22" t="n">
        <f aca="false">SUMIFS(Verbrauch!$C$9:$C$18896,Verbrauch!$A$9:$A$18896,"&gt;="&amp;A322,Verbrauch!$A$9:$A$18896,"&lt;"&amp;B322,Verbrauch!$F$9:$F$18896,"Go")</f>
        <v>0</v>
      </c>
      <c r="E322" s="22" t="n">
        <f aca="false">SUMIFS(Verbrauch!$C$9:$C$18896,Verbrauch!$A$9:$A$18896,"&gt;="&amp;A322,Verbrauch!$A$9:$A$18896,"&lt;"&amp;B322,Verbrauch!$F$9:$F$18896,"Standard")</f>
        <v>0</v>
      </c>
      <c r="F322" s="23" t="n">
        <f aca="false">SUMIFS(Verbrauch!$E$9:$E$18896,Verbrauch!$A$9:$A$18896,"&gt;="&amp;A322,Verbrauch!$A$9:$A$18896,"&lt;"&amp;B322)</f>
        <v>0</v>
      </c>
      <c r="G322" s="13" t="str">
        <f aca="false">IFERROR(F322/C322*100,"")</f>
        <v/>
      </c>
      <c r="H322" s="11" t="n">
        <f aca="false">COUNTIFS(Verbrauch!$A$9:$A$18896,"&gt;="&amp;A322,Verbrauch!$A$9:$A$18896,"&lt;"&amp;B322,Verbrauch!$C$9:$C$18896,"&lt;&gt;")</f>
        <v>0</v>
      </c>
    </row>
    <row r="323" customFormat="false" ht="15" hidden="false" customHeight="true" outlineLevel="0" collapsed="false">
      <c r="A323" s="10" t="n">
        <v>46284</v>
      </c>
      <c r="B323" s="10" t="n">
        <v>46285</v>
      </c>
      <c r="C323" s="22" t="n">
        <f aca="false">SUMIFS(Verbrauch!$C$9:$C$18896,Verbrauch!$A$9:$A$18896,"&gt;="&amp;A323,Verbrauch!$A$9:$A$18896,"&lt;"&amp;B323)</f>
        <v>0</v>
      </c>
      <c r="D323" s="22" t="n">
        <f aca="false">SUMIFS(Verbrauch!$C$9:$C$18896,Verbrauch!$A$9:$A$18896,"&gt;="&amp;A323,Verbrauch!$A$9:$A$18896,"&lt;"&amp;B323,Verbrauch!$F$9:$F$18896,"Go")</f>
        <v>0</v>
      </c>
      <c r="E323" s="22" t="n">
        <f aca="false">SUMIFS(Verbrauch!$C$9:$C$18896,Verbrauch!$A$9:$A$18896,"&gt;="&amp;A323,Verbrauch!$A$9:$A$18896,"&lt;"&amp;B323,Verbrauch!$F$9:$F$18896,"Standard")</f>
        <v>0</v>
      </c>
      <c r="F323" s="23" t="n">
        <f aca="false">SUMIFS(Verbrauch!$E$9:$E$18896,Verbrauch!$A$9:$A$18896,"&gt;="&amp;A323,Verbrauch!$A$9:$A$18896,"&lt;"&amp;B323)</f>
        <v>0</v>
      </c>
      <c r="G323" s="13" t="str">
        <f aca="false">IFERROR(F323/C323*100,"")</f>
        <v/>
      </c>
      <c r="H323" s="11" t="n">
        <f aca="false">COUNTIFS(Verbrauch!$A$9:$A$18896,"&gt;="&amp;A323,Verbrauch!$A$9:$A$18896,"&lt;"&amp;B323,Verbrauch!$C$9:$C$18896,"&lt;&gt;")</f>
        <v>0</v>
      </c>
    </row>
    <row r="324" customFormat="false" ht="15" hidden="false" customHeight="true" outlineLevel="0" collapsed="false">
      <c r="A324" s="10" t="n">
        <v>46285</v>
      </c>
      <c r="B324" s="10" t="n">
        <v>46286</v>
      </c>
      <c r="C324" s="22" t="n">
        <f aca="false">SUMIFS(Verbrauch!$C$9:$C$18896,Verbrauch!$A$9:$A$18896,"&gt;="&amp;A324,Verbrauch!$A$9:$A$18896,"&lt;"&amp;B324)</f>
        <v>0</v>
      </c>
      <c r="D324" s="22" t="n">
        <f aca="false">SUMIFS(Verbrauch!$C$9:$C$18896,Verbrauch!$A$9:$A$18896,"&gt;="&amp;A324,Verbrauch!$A$9:$A$18896,"&lt;"&amp;B324,Verbrauch!$F$9:$F$18896,"Go")</f>
        <v>0</v>
      </c>
      <c r="E324" s="22" t="n">
        <f aca="false">SUMIFS(Verbrauch!$C$9:$C$18896,Verbrauch!$A$9:$A$18896,"&gt;="&amp;A324,Verbrauch!$A$9:$A$18896,"&lt;"&amp;B324,Verbrauch!$F$9:$F$18896,"Standard")</f>
        <v>0</v>
      </c>
      <c r="F324" s="23" t="n">
        <f aca="false">SUMIFS(Verbrauch!$E$9:$E$18896,Verbrauch!$A$9:$A$18896,"&gt;="&amp;A324,Verbrauch!$A$9:$A$18896,"&lt;"&amp;B324)</f>
        <v>0</v>
      </c>
      <c r="G324" s="13" t="str">
        <f aca="false">IFERROR(F324/C324*100,"")</f>
        <v/>
      </c>
      <c r="H324" s="11" t="n">
        <f aca="false">COUNTIFS(Verbrauch!$A$9:$A$18896,"&gt;="&amp;A324,Verbrauch!$A$9:$A$18896,"&lt;"&amp;B324,Verbrauch!$C$9:$C$18896,"&lt;&gt;")</f>
        <v>0</v>
      </c>
    </row>
    <row r="325" customFormat="false" ht="15" hidden="false" customHeight="true" outlineLevel="0" collapsed="false">
      <c r="A325" s="10" t="n">
        <v>46286</v>
      </c>
      <c r="B325" s="10" t="n">
        <v>46287</v>
      </c>
      <c r="C325" s="22" t="n">
        <f aca="false">SUMIFS(Verbrauch!$C$9:$C$18896,Verbrauch!$A$9:$A$18896,"&gt;="&amp;A325,Verbrauch!$A$9:$A$18896,"&lt;"&amp;B325)</f>
        <v>0</v>
      </c>
      <c r="D325" s="22" t="n">
        <f aca="false">SUMIFS(Verbrauch!$C$9:$C$18896,Verbrauch!$A$9:$A$18896,"&gt;="&amp;A325,Verbrauch!$A$9:$A$18896,"&lt;"&amp;B325,Verbrauch!$F$9:$F$18896,"Go")</f>
        <v>0</v>
      </c>
      <c r="E325" s="22" t="n">
        <f aca="false">SUMIFS(Verbrauch!$C$9:$C$18896,Verbrauch!$A$9:$A$18896,"&gt;="&amp;A325,Verbrauch!$A$9:$A$18896,"&lt;"&amp;B325,Verbrauch!$F$9:$F$18896,"Standard")</f>
        <v>0</v>
      </c>
      <c r="F325" s="23" t="n">
        <f aca="false">SUMIFS(Verbrauch!$E$9:$E$18896,Verbrauch!$A$9:$A$18896,"&gt;="&amp;A325,Verbrauch!$A$9:$A$18896,"&lt;"&amp;B325)</f>
        <v>0</v>
      </c>
      <c r="G325" s="13" t="str">
        <f aca="false">IFERROR(F325/C325*100,"")</f>
        <v/>
      </c>
      <c r="H325" s="11" t="n">
        <f aca="false">COUNTIFS(Verbrauch!$A$9:$A$18896,"&gt;="&amp;A325,Verbrauch!$A$9:$A$18896,"&lt;"&amp;B325,Verbrauch!$C$9:$C$18896,"&lt;&gt;")</f>
        <v>0</v>
      </c>
    </row>
    <row r="326" customFormat="false" ht="15" hidden="false" customHeight="true" outlineLevel="0" collapsed="false">
      <c r="A326" s="10" t="n">
        <v>46287</v>
      </c>
      <c r="B326" s="10" t="n">
        <v>46288</v>
      </c>
      <c r="C326" s="22" t="n">
        <f aca="false">SUMIFS(Verbrauch!$C$9:$C$18896,Verbrauch!$A$9:$A$18896,"&gt;="&amp;A326,Verbrauch!$A$9:$A$18896,"&lt;"&amp;B326)</f>
        <v>0</v>
      </c>
      <c r="D326" s="22" t="n">
        <f aca="false">SUMIFS(Verbrauch!$C$9:$C$18896,Verbrauch!$A$9:$A$18896,"&gt;="&amp;A326,Verbrauch!$A$9:$A$18896,"&lt;"&amp;B326,Verbrauch!$F$9:$F$18896,"Go")</f>
        <v>0</v>
      </c>
      <c r="E326" s="22" t="n">
        <f aca="false">SUMIFS(Verbrauch!$C$9:$C$18896,Verbrauch!$A$9:$A$18896,"&gt;="&amp;A326,Verbrauch!$A$9:$A$18896,"&lt;"&amp;B326,Verbrauch!$F$9:$F$18896,"Standard")</f>
        <v>0</v>
      </c>
      <c r="F326" s="23" t="n">
        <f aca="false">SUMIFS(Verbrauch!$E$9:$E$18896,Verbrauch!$A$9:$A$18896,"&gt;="&amp;A326,Verbrauch!$A$9:$A$18896,"&lt;"&amp;B326)</f>
        <v>0</v>
      </c>
      <c r="G326" s="13" t="str">
        <f aca="false">IFERROR(F326/C326*100,"")</f>
        <v/>
      </c>
      <c r="H326" s="11" t="n">
        <f aca="false">COUNTIFS(Verbrauch!$A$9:$A$18896,"&gt;="&amp;A326,Verbrauch!$A$9:$A$18896,"&lt;"&amp;B326,Verbrauch!$C$9:$C$18896,"&lt;&gt;")</f>
        <v>0</v>
      </c>
    </row>
    <row r="327" customFormat="false" ht="15" hidden="false" customHeight="true" outlineLevel="0" collapsed="false">
      <c r="A327" s="10" t="n">
        <v>46288</v>
      </c>
      <c r="B327" s="10" t="n">
        <v>46289</v>
      </c>
      <c r="C327" s="22" t="n">
        <f aca="false">SUMIFS(Verbrauch!$C$9:$C$18896,Verbrauch!$A$9:$A$18896,"&gt;="&amp;A327,Verbrauch!$A$9:$A$18896,"&lt;"&amp;B327)</f>
        <v>0</v>
      </c>
      <c r="D327" s="22" t="n">
        <f aca="false">SUMIFS(Verbrauch!$C$9:$C$18896,Verbrauch!$A$9:$A$18896,"&gt;="&amp;A327,Verbrauch!$A$9:$A$18896,"&lt;"&amp;B327,Verbrauch!$F$9:$F$18896,"Go")</f>
        <v>0</v>
      </c>
      <c r="E327" s="22" t="n">
        <f aca="false">SUMIFS(Verbrauch!$C$9:$C$18896,Verbrauch!$A$9:$A$18896,"&gt;="&amp;A327,Verbrauch!$A$9:$A$18896,"&lt;"&amp;B327,Verbrauch!$F$9:$F$18896,"Standard")</f>
        <v>0</v>
      </c>
      <c r="F327" s="23" t="n">
        <f aca="false">SUMIFS(Verbrauch!$E$9:$E$18896,Verbrauch!$A$9:$A$18896,"&gt;="&amp;A327,Verbrauch!$A$9:$A$18896,"&lt;"&amp;B327)</f>
        <v>0</v>
      </c>
      <c r="G327" s="13" t="str">
        <f aca="false">IFERROR(F327/C327*100,"")</f>
        <v/>
      </c>
      <c r="H327" s="11" t="n">
        <f aca="false">COUNTIFS(Verbrauch!$A$9:$A$18896,"&gt;="&amp;A327,Verbrauch!$A$9:$A$18896,"&lt;"&amp;B327,Verbrauch!$C$9:$C$18896,"&lt;&gt;")</f>
        <v>0</v>
      </c>
    </row>
    <row r="328" customFormat="false" ht="15" hidden="false" customHeight="true" outlineLevel="0" collapsed="false">
      <c r="A328" s="10" t="n">
        <v>46289</v>
      </c>
      <c r="B328" s="10" t="n">
        <v>46290</v>
      </c>
      <c r="C328" s="22" t="n">
        <f aca="false">SUMIFS(Verbrauch!$C$9:$C$18896,Verbrauch!$A$9:$A$18896,"&gt;="&amp;A328,Verbrauch!$A$9:$A$18896,"&lt;"&amp;B328)</f>
        <v>0</v>
      </c>
      <c r="D328" s="22" t="n">
        <f aca="false">SUMIFS(Verbrauch!$C$9:$C$18896,Verbrauch!$A$9:$A$18896,"&gt;="&amp;A328,Verbrauch!$A$9:$A$18896,"&lt;"&amp;B328,Verbrauch!$F$9:$F$18896,"Go")</f>
        <v>0</v>
      </c>
      <c r="E328" s="22" t="n">
        <f aca="false">SUMIFS(Verbrauch!$C$9:$C$18896,Verbrauch!$A$9:$A$18896,"&gt;="&amp;A328,Verbrauch!$A$9:$A$18896,"&lt;"&amp;B328,Verbrauch!$F$9:$F$18896,"Standard")</f>
        <v>0</v>
      </c>
      <c r="F328" s="23" t="n">
        <f aca="false">SUMIFS(Verbrauch!$E$9:$E$18896,Verbrauch!$A$9:$A$18896,"&gt;="&amp;A328,Verbrauch!$A$9:$A$18896,"&lt;"&amp;B328)</f>
        <v>0</v>
      </c>
      <c r="G328" s="13" t="str">
        <f aca="false">IFERROR(F328/C328*100,"")</f>
        <v/>
      </c>
      <c r="H328" s="11" t="n">
        <f aca="false">COUNTIFS(Verbrauch!$A$9:$A$18896,"&gt;="&amp;A328,Verbrauch!$A$9:$A$18896,"&lt;"&amp;B328,Verbrauch!$C$9:$C$18896,"&lt;&gt;")</f>
        <v>0</v>
      </c>
    </row>
    <row r="329" customFormat="false" ht="15" hidden="false" customHeight="true" outlineLevel="0" collapsed="false">
      <c r="A329" s="10" t="n">
        <v>46290</v>
      </c>
      <c r="B329" s="10" t="n">
        <v>46291</v>
      </c>
      <c r="C329" s="22" t="n">
        <f aca="false">SUMIFS(Verbrauch!$C$9:$C$18896,Verbrauch!$A$9:$A$18896,"&gt;="&amp;A329,Verbrauch!$A$9:$A$18896,"&lt;"&amp;B329)</f>
        <v>0</v>
      </c>
      <c r="D329" s="22" t="n">
        <f aca="false">SUMIFS(Verbrauch!$C$9:$C$18896,Verbrauch!$A$9:$A$18896,"&gt;="&amp;A329,Verbrauch!$A$9:$A$18896,"&lt;"&amp;B329,Verbrauch!$F$9:$F$18896,"Go")</f>
        <v>0</v>
      </c>
      <c r="E329" s="22" t="n">
        <f aca="false">SUMIFS(Verbrauch!$C$9:$C$18896,Verbrauch!$A$9:$A$18896,"&gt;="&amp;A329,Verbrauch!$A$9:$A$18896,"&lt;"&amp;B329,Verbrauch!$F$9:$F$18896,"Standard")</f>
        <v>0</v>
      </c>
      <c r="F329" s="23" t="n">
        <f aca="false">SUMIFS(Verbrauch!$E$9:$E$18896,Verbrauch!$A$9:$A$18896,"&gt;="&amp;A329,Verbrauch!$A$9:$A$18896,"&lt;"&amp;B329)</f>
        <v>0</v>
      </c>
      <c r="G329" s="13" t="str">
        <f aca="false">IFERROR(F329/C329*100,"")</f>
        <v/>
      </c>
      <c r="H329" s="11" t="n">
        <f aca="false">COUNTIFS(Verbrauch!$A$9:$A$18896,"&gt;="&amp;A329,Verbrauch!$A$9:$A$18896,"&lt;"&amp;B329,Verbrauch!$C$9:$C$18896,"&lt;&gt;")</f>
        <v>0</v>
      </c>
    </row>
    <row r="330" customFormat="false" ht="15" hidden="false" customHeight="true" outlineLevel="0" collapsed="false">
      <c r="A330" s="10" t="n">
        <v>46291</v>
      </c>
      <c r="B330" s="10" t="n">
        <v>46292</v>
      </c>
      <c r="C330" s="22" t="n">
        <f aca="false">SUMIFS(Verbrauch!$C$9:$C$18896,Verbrauch!$A$9:$A$18896,"&gt;="&amp;A330,Verbrauch!$A$9:$A$18896,"&lt;"&amp;B330)</f>
        <v>0</v>
      </c>
      <c r="D330" s="22" t="n">
        <f aca="false">SUMIFS(Verbrauch!$C$9:$C$18896,Verbrauch!$A$9:$A$18896,"&gt;="&amp;A330,Verbrauch!$A$9:$A$18896,"&lt;"&amp;B330,Verbrauch!$F$9:$F$18896,"Go")</f>
        <v>0</v>
      </c>
      <c r="E330" s="22" t="n">
        <f aca="false">SUMIFS(Verbrauch!$C$9:$C$18896,Verbrauch!$A$9:$A$18896,"&gt;="&amp;A330,Verbrauch!$A$9:$A$18896,"&lt;"&amp;B330,Verbrauch!$F$9:$F$18896,"Standard")</f>
        <v>0</v>
      </c>
      <c r="F330" s="23" t="n">
        <f aca="false">SUMIFS(Verbrauch!$E$9:$E$18896,Verbrauch!$A$9:$A$18896,"&gt;="&amp;A330,Verbrauch!$A$9:$A$18896,"&lt;"&amp;B330)</f>
        <v>0</v>
      </c>
      <c r="G330" s="13" t="str">
        <f aca="false">IFERROR(F330/C330*100,"")</f>
        <v/>
      </c>
      <c r="H330" s="11" t="n">
        <f aca="false">COUNTIFS(Verbrauch!$A$9:$A$18896,"&gt;="&amp;A330,Verbrauch!$A$9:$A$18896,"&lt;"&amp;B330,Verbrauch!$C$9:$C$18896,"&lt;&gt;")</f>
        <v>0</v>
      </c>
    </row>
    <row r="331" customFormat="false" ht="15" hidden="false" customHeight="true" outlineLevel="0" collapsed="false">
      <c r="A331" s="10" t="n">
        <v>46292</v>
      </c>
      <c r="B331" s="10" t="n">
        <v>46293</v>
      </c>
      <c r="C331" s="22" t="n">
        <f aca="false">SUMIFS(Verbrauch!$C$9:$C$18896,Verbrauch!$A$9:$A$18896,"&gt;="&amp;A331,Verbrauch!$A$9:$A$18896,"&lt;"&amp;B331)</f>
        <v>0</v>
      </c>
      <c r="D331" s="22" t="n">
        <f aca="false">SUMIFS(Verbrauch!$C$9:$C$18896,Verbrauch!$A$9:$A$18896,"&gt;="&amp;A331,Verbrauch!$A$9:$A$18896,"&lt;"&amp;B331,Verbrauch!$F$9:$F$18896,"Go")</f>
        <v>0</v>
      </c>
      <c r="E331" s="22" t="n">
        <f aca="false">SUMIFS(Verbrauch!$C$9:$C$18896,Verbrauch!$A$9:$A$18896,"&gt;="&amp;A331,Verbrauch!$A$9:$A$18896,"&lt;"&amp;B331,Verbrauch!$F$9:$F$18896,"Standard")</f>
        <v>0</v>
      </c>
      <c r="F331" s="23" t="n">
        <f aca="false">SUMIFS(Verbrauch!$E$9:$E$18896,Verbrauch!$A$9:$A$18896,"&gt;="&amp;A331,Verbrauch!$A$9:$A$18896,"&lt;"&amp;B331)</f>
        <v>0</v>
      </c>
      <c r="G331" s="13" t="str">
        <f aca="false">IFERROR(F331/C331*100,"")</f>
        <v/>
      </c>
      <c r="H331" s="11" t="n">
        <f aca="false">COUNTIFS(Verbrauch!$A$9:$A$18896,"&gt;="&amp;A331,Verbrauch!$A$9:$A$18896,"&lt;"&amp;B331,Verbrauch!$C$9:$C$18896,"&lt;&gt;")</f>
        <v>0</v>
      </c>
    </row>
    <row r="332" customFormat="false" ht="15" hidden="false" customHeight="true" outlineLevel="0" collapsed="false">
      <c r="A332" s="10" t="n">
        <v>46293</v>
      </c>
      <c r="B332" s="10" t="n">
        <v>46294</v>
      </c>
      <c r="C332" s="22" t="n">
        <f aca="false">SUMIFS(Verbrauch!$C$9:$C$18896,Verbrauch!$A$9:$A$18896,"&gt;="&amp;A332,Verbrauch!$A$9:$A$18896,"&lt;"&amp;B332)</f>
        <v>0</v>
      </c>
      <c r="D332" s="22" t="n">
        <f aca="false">SUMIFS(Verbrauch!$C$9:$C$18896,Verbrauch!$A$9:$A$18896,"&gt;="&amp;A332,Verbrauch!$A$9:$A$18896,"&lt;"&amp;B332,Verbrauch!$F$9:$F$18896,"Go")</f>
        <v>0</v>
      </c>
      <c r="E332" s="22" t="n">
        <f aca="false">SUMIFS(Verbrauch!$C$9:$C$18896,Verbrauch!$A$9:$A$18896,"&gt;="&amp;A332,Verbrauch!$A$9:$A$18896,"&lt;"&amp;B332,Verbrauch!$F$9:$F$18896,"Standard")</f>
        <v>0</v>
      </c>
      <c r="F332" s="23" t="n">
        <f aca="false">SUMIFS(Verbrauch!$E$9:$E$18896,Verbrauch!$A$9:$A$18896,"&gt;="&amp;A332,Verbrauch!$A$9:$A$18896,"&lt;"&amp;B332)</f>
        <v>0</v>
      </c>
      <c r="G332" s="13" t="str">
        <f aca="false">IFERROR(F332/C332*100,"")</f>
        <v/>
      </c>
      <c r="H332" s="11" t="n">
        <f aca="false">COUNTIFS(Verbrauch!$A$9:$A$18896,"&gt;="&amp;A332,Verbrauch!$A$9:$A$18896,"&lt;"&amp;B332,Verbrauch!$C$9:$C$18896,"&lt;&gt;")</f>
        <v>0</v>
      </c>
    </row>
    <row r="333" customFormat="false" ht="15" hidden="false" customHeight="true" outlineLevel="0" collapsed="false">
      <c r="A333" s="10" t="n">
        <v>46294</v>
      </c>
      <c r="B333" s="10" t="n">
        <v>46295</v>
      </c>
      <c r="C333" s="22" t="n">
        <f aca="false">SUMIFS(Verbrauch!$C$9:$C$18896,Verbrauch!$A$9:$A$18896,"&gt;="&amp;A333,Verbrauch!$A$9:$A$18896,"&lt;"&amp;B333)</f>
        <v>0</v>
      </c>
      <c r="D333" s="22" t="n">
        <f aca="false">SUMIFS(Verbrauch!$C$9:$C$18896,Verbrauch!$A$9:$A$18896,"&gt;="&amp;A333,Verbrauch!$A$9:$A$18896,"&lt;"&amp;B333,Verbrauch!$F$9:$F$18896,"Go")</f>
        <v>0</v>
      </c>
      <c r="E333" s="22" t="n">
        <f aca="false">SUMIFS(Verbrauch!$C$9:$C$18896,Verbrauch!$A$9:$A$18896,"&gt;="&amp;A333,Verbrauch!$A$9:$A$18896,"&lt;"&amp;B333,Verbrauch!$F$9:$F$18896,"Standard")</f>
        <v>0</v>
      </c>
      <c r="F333" s="23" t="n">
        <f aca="false">SUMIFS(Verbrauch!$E$9:$E$18896,Verbrauch!$A$9:$A$18896,"&gt;="&amp;A333,Verbrauch!$A$9:$A$18896,"&lt;"&amp;B333)</f>
        <v>0</v>
      </c>
      <c r="G333" s="13" t="str">
        <f aca="false">IFERROR(F333/C333*100,"")</f>
        <v/>
      </c>
      <c r="H333" s="11" t="n">
        <f aca="false">COUNTIFS(Verbrauch!$A$9:$A$18896,"&gt;="&amp;A333,Verbrauch!$A$9:$A$18896,"&lt;"&amp;B333,Verbrauch!$C$9:$C$18896,"&lt;&gt;")</f>
        <v>0</v>
      </c>
    </row>
    <row r="334" customFormat="false" ht="15" hidden="false" customHeight="true" outlineLevel="0" collapsed="false">
      <c r="A334" s="10" t="n">
        <v>46295</v>
      </c>
      <c r="B334" s="10" t="n">
        <v>46296</v>
      </c>
      <c r="C334" s="22" t="n">
        <f aca="false">SUMIFS(Verbrauch!$C$9:$C$18896,Verbrauch!$A$9:$A$18896,"&gt;="&amp;A334,Verbrauch!$A$9:$A$18896,"&lt;"&amp;B334)</f>
        <v>0</v>
      </c>
      <c r="D334" s="22" t="n">
        <f aca="false">SUMIFS(Verbrauch!$C$9:$C$18896,Verbrauch!$A$9:$A$18896,"&gt;="&amp;A334,Verbrauch!$A$9:$A$18896,"&lt;"&amp;B334,Verbrauch!$F$9:$F$18896,"Go")</f>
        <v>0</v>
      </c>
      <c r="E334" s="22" t="n">
        <f aca="false">SUMIFS(Verbrauch!$C$9:$C$18896,Verbrauch!$A$9:$A$18896,"&gt;="&amp;A334,Verbrauch!$A$9:$A$18896,"&lt;"&amp;B334,Verbrauch!$F$9:$F$18896,"Standard")</f>
        <v>0</v>
      </c>
      <c r="F334" s="23" t="n">
        <f aca="false">SUMIFS(Verbrauch!$E$9:$E$18896,Verbrauch!$A$9:$A$18896,"&gt;="&amp;A334,Verbrauch!$A$9:$A$18896,"&lt;"&amp;B334)</f>
        <v>0</v>
      </c>
      <c r="G334" s="13" t="str">
        <f aca="false">IFERROR(F334/C334*100,"")</f>
        <v/>
      </c>
      <c r="H334" s="11" t="n">
        <f aca="false">COUNTIFS(Verbrauch!$A$9:$A$18896,"&gt;="&amp;A334,Verbrauch!$A$9:$A$18896,"&lt;"&amp;B334,Verbrauch!$C$9:$C$18896,"&lt;&gt;")</f>
        <v>0</v>
      </c>
    </row>
    <row r="335" customFormat="false" ht="15" hidden="false" customHeight="true" outlineLevel="0" collapsed="false">
      <c r="A335" s="10" t="n">
        <v>46296</v>
      </c>
      <c r="B335" s="10" t="n">
        <v>46297</v>
      </c>
      <c r="C335" s="22" t="n">
        <f aca="false">SUMIFS(Verbrauch!$C$9:$C$18896,Verbrauch!$A$9:$A$18896,"&gt;="&amp;A335,Verbrauch!$A$9:$A$18896,"&lt;"&amp;B335)</f>
        <v>0</v>
      </c>
      <c r="D335" s="22" t="n">
        <f aca="false">SUMIFS(Verbrauch!$C$9:$C$18896,Verbrauch!$A$9:$A$18896,"&gt;="&amp;A335,Verbrauch!$A$9:$A$18896,"&lt;"&amp;B335,Verbrauch!$F$9:$F$18896,"Go")</f>
        <v>0</v>
      </c>
      <c r="E335" s="22" t="n">
        <f aca="false">SUMIFS(Verbrauch!$C$9:$C$18896,Verbrauch!$A$9:$A$18896,"&gt;="&amp;A335,Verbrauch!$A$9:$A$18896,"&lt;"&amp;B335,Verbrauch!$F$9:$F$18896,"Standard")</f>
        <v>0</v>
      </c>
      <c r="F335" s="23" t="n">
        <f aca="false">SUMIFS(Verbrauch!$E$9:$E$18896,Verbrauch!$A$9:$A$18896,"&gt;="&amp;A335,Verbrauch!$A$9:$A$18896,"&lt;"&amp;B335)</f>
        <v>0</v>
      </c>
      <c r="G335" s="13" t="str">
        <f aca="false">IFERROR(F335/C335*100,"")</f>
        <v/>
      </c>
      <c r="H335" s="11" t="n">
        <f aca="false">COUNTIFS(Verbrauch!$A$9:$A$18896,"&gt;="&amp;A335,Verbrauch!$A$9:$A$18896,"&lt;"&amp;B335,Verbrauch!$C$9:$C$18896,"&lt;&gt;")</f>
        <v>0</v>
      </c>
    </row>
    <row r="336" customFormat="false" ht="15" hidden="false" customHeight="true" outlineLevel="0" collapsed="false">
      <c r="A336" s="10" t="n">
        <v>46297</v>
      </c>
      <c r="B336" s="10" t="n">
        <v>46298</v>
      </c>
      <c r="C336" s="22" t="n">
        <f aca="false">SUMIFS(Verbrauch!$C$9:$C$18896,Verbrauch!$A$9:$A$18896,"&gt;="&amp;A336,Verbrauch!$A$9:$A$18896,"&lt;"&amp;B336)</f>
        <v>0</v>
      </c>
      <c r="D336" s="22" t="n">
        <f aca="false">SUMIFS(Verbrauch!$C$9:$C$18896,Verbrauch!$A$9:$A$18896,"&gt;="&amp;A336,Verbrauch!$A$9:$A$18896,"&lt;"&amp;B336,Verbrauch!$F$9:$F$18896,"Go")</f>
        <v>0</v>
      </c>
      <c r="E336" s="22" t="n">
        <f aca="false">SUMIFS(Verbrauch!$C$9:$C$18896,Verbrauch!$A$9:$A$18896,"&gt;="&amp;A336,Verbrauch!$A$9:$A$18896,"&lt;"&amp;B336,Verbrauch!$F$9:$F$18896,"Standard")</f>
        <v>0</v>
      </c>
      <c r="F336" s="23" t="n">
        <f aca="false">SUMIFS(Verbrauch!$E$9:$E$18896,Verbrauch!$A$9:$A$18896,"&gt;="&amp;A336,Verbrauch!$A$9:$A$18896,"&lt;"&amp;B336)</f>
        <v>0</v>
      </c>
      <c r="G336" s="13" t="str">
        <f aca="false">IFERROR(F336/C336*100,"")</f>
        <v/>
      </c>
      <c r="H336" s="11" t="n">
        <f aca="false">COUNTIFS(Verbrauch!$A$9:$A$18896,"&gt;="&amp;A336,Verbrauch!$A$9:$A$18896,"&lt;"&amp;B336,Verbrauch!$C$9:$C$18896,"&lt;&gt;")</f>
        <v>0</v>
      </c>
    </row>
    <row r="337" customFormat="false" ht="15" hidden="false" customHeight="true" outlineLevel="0" collapsed="false">
      <c r="A337" s="10" t="n">
        <v>46298</v>
      </c>
      <c r="B337" s="10" t="n">
        <v>46299</v>
      </c>
      <c r="C337" s="22" t="n">
        <f aca="false">SUMIFS(Verbrauch!$C$9:$C$18896,Verbrauch!$A$9:$A$18896,"&gt;="&amp;A337,Verbrauch!$A$9:$A$18896,"&lt;"&amp;B337)</f>
        <v>0</v>
      </c>
      <c r="D337" s="22" t="n">
        <f aca="false">SUMIFS(Verbrauch!$C$9:$C$18896,Verbrauch!$A$9:$A$18896,"&gt;="&amp;A337,Verbrauch!$A$9:$A$18896,"&lt;"&amp;B337,Verbrauch!$F$9:$F$18896,"Go")</f>
        <v>0</v>
      </c>
      <c r="E337" s="22" t="n">
        <f aca="false">SUMIFS(Verbrauch!$C$9:$C$18896,Verbrauch!$A$9:$A$18896,"&gt;="&amp;A337,Verbrauch!$A$9:$A$18896,"&lt;"&amp;B337,Verbrauch!$F$9:$F$18896,"Standard")</f>
        <v>0</v>
      </c>
      <c r="F337" s="23" t="n">
        <f aca="false">SUMIFS(Verbrauch!$E$9:$E$18896,Verbrauch!$A$9:$A$18896,"&gt;="&amp;A337,Verbrauch!$A$9:$A$18896,"&lt;"&amp;B337)</f>
        <v>0</v>
      </c>
      <c r="G337" s="13" t="str">
        <f aca="false">IFERROR(F337/C337*100,"")</f>
        <v/>
      </c>
      <c r="H337" s="11" t="n">
        <f aca="false">COUNTIFS(Verbrauch!$A$9:$A$18896,"&gt;="&amp;A337,Verbrauch!$A$9:$A$18896,"&lt;"&amp;B337,Verbrauch!$C$9:$C$18896,"&lt;&gt;")</f>
        <v>0</v>
      </c>
    </row>
    <row r="338" customFormat="false" ht="15" hidden="false" customHeight="true" outlineLevel="0" collapsed="false">
      <c r="A338" s="10" t="n">
        <v>46299</v>
      </c>
      <c r="B338" s="10" t="n">
        <v>46300</v>
      </c>
      <c r="C338" s="22" t="n">
        <f aca="false">SUMIFS(Verbrauch!$C$9:$C$18896,Verbrauch!$A$9:$A$18896,"&gt;="&amp;A338,Verbrauch!$A$9:$A$18896,"&lt;"&amp;B338)</f>
        <v>0</v>
      </c>
      <c r="D338" s="22" t="n">
        <f aca="false">SUMIFS(Verbrauch!$C$9:$C$18896,Verbrauch!$A$9:$A$18896,"&gt;="&amp;A338,Verbrauch!$A$9:$A$18896,"&lt;"&amp;B338,Verbrauch!$F$9:$F$18896,"Go")</f>
        <v>0</v>
      </c>
      <c r="E338" s="22" t="n">
        <f aca="false">SUMIFS(Verbrauch!$C$9:$C$18896,Verbrauch!$A$9:$A$18896,"&gt;="&amp;A338,Verbrauch!$A$9:$A$18896,"&lt;"&amp;B338,Verbrauch!$F$9:$F$18896,"Standard")</f>
        <v>0</v>
      </c>
      <c r="F338" s="23" t="n">
        <f aca="false">SUMIFS(Verbrauch!$E$9:$E$18896,Verbrauch!$A$9:$A$18896,"&gt;="&amp;A338,Verbrauch!$A$9:$A$18896,"&lt;"&amp;B338)</f>
        <v>0</v>
      </c>
      <c r="G338" s="13" t="str">
        <f aca="false">IFERROR(F338/C338*100,"")</f>
        <v/>
      </c>
      <c r="H338" s="11" t="n">
        <f aca="false">COUNTIFS(Verbrauch!$A$9:$A$18896,"&gt;="&amp;A338,Verbrauch!$A$9:$A$18896,"&lt;"&amp;B338,Verbrauch!$C$9:$C$18896,"&lt;&gt;")</f>
        <v>0</v>
      </c>
    </row>
    <row r="339" customFormat="false" ht="15" hidden="false" customHeight="true" outlineLevel="0" collapsed="false">
      <c r="A339" s="10" t="n">
        <v>46300</v>
      </c>
      <c r="B339" s="10" t="n">
        <v>46301</v>
      </c>
      <c r="C339" s="22" t="n">
        <f aca="false">SUMIFS(Verbrauch!$C$9:$C$18896,Verbrauch!$A$9:$A$18896,"&gt;="&amp;A339,Verbrauch!$A$9:$A$18896,"&lt;"&amp;B339)</f>
        <v>0</v>
      </c>
      <c r="D339" s="22" t="n">
        <f aca="false">SUMIFS(Verbrauch!$C$9:$C$18896,Verbrauch!$A$9:$A$18896,"&gt;="&amp;A339,Verbrauch!$A$9:$A$18896,"&lt;"&amp;B339,Verbrauch!$F$9:$F$18896,"Go")</f>
        <v>0</v>
      </c>
      <c r="E339" s="22" t="n">
        <f aca="false">SUMIFS(Verbrauch!$C$9:$C$18896,Verbrauch!$A$9:$A$18896,"&gt;="&amp;A339,Verbrauch!$A$9:$A$18896,"&lt;"&amp;B339,Verbrauch!$F$9:$F$18896,"Standard")</f>
        <v>0</v>
      </c>
      <c r="F339" s="23" t="n">
        <f aca="false">SUMIFS(Verbrauch!$E$9:$E$18896,Verbrauch!$A$9:$A$18896,"&gt;="&amp;A339,Verbrauch!$A$9:$A$18896,"&lt;"&amp;B339)</f>
        <v>0</v>
      </c>
      <c r="G339" s="13" t="str">
        <f aca="false">IFERROR(F339/C339*100,"")</f>
        <v/>
      </c>
      <c r="H339" s="11" t="n">
        <f aca="false">COUNTIFS(Verbrauch!$A$9:$A$18896,"&gt;="&amp;A339,Verbrauch!$A$9:$A$18896,"&lt;"&amp;B339,Verbrauch!$C$9:$C$18896,"&lt;&gt;")</f>
        <v>0</v>
      </c>
    </row>
    <row r="340" customFormat="false" ht="15" hidden="false" customHeight="true" outlineLevel="0" collapsed="false">
      <c r="A340" s="10" t="n">
        <v>46301</v>
      </c>
      <c r="B340" s="10" t="n">
        <v>46302</v>
      </c>
      <c r="C340" s="22" t="n">
        <f aca="false">SUMIFS(Verbrauch!$C$9:$C$18896,Verbrauch!$A$9:$A$18896,"&gt;="&amp;A340,Verbrauch!$A$9:$A$18896,"&lt;"&amp;B340)</f>
        <v>0</v>
      </c>
      <c r="D340" s="22" t="n">
        <f aca="false">SUMIFS(Verbrauch!$C$9:$C$18896,Verbrauch!$A$9:$A$18896,"&gt;="&amp;A340,Verbrauch!$A$9:$A$18896,"&lt;"&amp;B340,Verbrauch!$F$9:$F$18896,"Go")</f>
        <v>0</v>
      </c>
      <c r="E340" s="22" t="n">
        <f aca="false">SUMIFS(Verbrauch!$C$9:$C$18896,Verbrauch!$A$9:$A$18896,"&gt;="&amp;A340,Verbrauch!$A$9:$A$18896,"&lt;"&amp;B340,Verbrauch!$F$9:$F$18896,"Standard")</f>
        <v>0</v>
      </c>
      <c r="F340" s="23" t="n">
        <f aca="false">SUMIFS(Verbrauch!$E$9:$E$18896,Verbrauch!$A$9:$A$18896,"&gt;="&amp;A340,Verbrauch!$A$9:$A$18896,"&lt;"&amp;B340)</f>
        <v>0</v>
      </c>
      <c r="G340" s="13" t="str">
        <f aca="false">IFERROR(F340/C340*100,"")</f>
        <v/>
      </c>
      <c r="H340" s="11" t="n">
        <f aca="false">COUNTIFS(Verbrauch!$A$9:$A$18896,"&gt;="&amp;A340,Verbrauch!$A$9:$A$18896,"&lt;"&amp;B340,Verbrauch!$C$9:$C$18896,"&lt;&gt;")</f>
        <v>0</v>
      </c>
    </row>
    <row r="341" customFormat="false" ht="15" hidden="false" customHeight="true" outlineLevel="0" collapsed="false">
      <c r="A341" s="10" t="n">
        <v>46302</v>
      </c>
      <c r="B341" s="10" t="n">
        <v>46303</v>
      </c>
      <c r="C341" s="22" t="n">
        <f aca="false">SUMIFS(Verbrauch!$C$9:$C$18896,Verbrauch!$A$9:$A$18896,"&gt;="&amp;A341,Verbrauch!$A$9:$A$18896,"&lt;"&amp;B341)</f>
        <v>0</v>
      </c>
      <c r="D341" s="22" t="n">
        <f aca="false">SUMIFS(Verbrauch!$C$9:$C$18896,Verbrauch!$A$9:$A$18896,"&gt;="&amp;A341,Verbrauch!$A$9:$A$18896,"&lt;"&amp;B341,Verbrauch!$F$9:$F$18896,"Go")</f>
        <v>0</v>
      </c>
      <c r="E341" s="22" t="n">
        <f aca="false">SUMIFS(Verbrauch!$C$9:$C$18896,Verbrauch!$A$9:$A$18896,"&gt;="&amp;A341,Verbrauch!$A$9:$A$18896,"&lt;"&amp;B341,Verbrauch!$F$9:$F$18896,"Standard")</f>
        <v>0</v>
      </c>
      <c r="F341" s="23" t="n">
        <f aca="false">SUMIFS(Verbrauch!$E$9:$E$18896,Verbrauch!$A$9:$A$18896,"&gt;="&amp;A341,Verbrauch!$A$9:$A$18896,"&lt;"&amp;B341)</f>
        <v>0</v>
      </c>
      <c r="G341" s="13" t="str">
        <f aca="false">IFERROR(F341/C341*100,"")</f>
        <v/>
      </c>
      <c r="H341" s="11" t="n">
        <f aca="false">COUNTIFS(Verbrauch!$A$9:$A$18896,"&gt;="&amp;A341,Verbrauch!$A$9:$A$18896,"&lt;"&amp;B341,Verbrauch!$C$9:$C$18896,"&lt;&gt;")</f>
        <v>0</v>
      </c>
    </row>
    <row r="342" customFormat="false" ht="15" hidden="false" customHeight="true" outlineLevel="0" collapsed="false">
      <c r="A342" s="10" t="n">
        <v>46303</v>
      </c>
      <c r="B342" s="10" t="n">
        <v>46304</v>
      </c>
      <c r="C342" s="22" t="n">
        <f aca="false">SUMIFS(Verbrauch!$C$9:$C$18896,Verbrauch!$A$9:$A$18896,"&gt;="&amp;A342,Verbrauch!$A$9:$A$18896,"&lt;"&amp;B342)</f>
        <v>0</v>
      </c>
      <c r="D342" s="22" t="n">
        <f aca="false">SUMIFS(Verbrauch!$C$9:$C$18896,Verbrauch!$A$9:$A$18896,"&gt;="&amp;A342,Verbrauch!$A$9:$A$18896,"&lt;"&amp;B342,Verbrauch!$F$9:$F$18896,"Go")</f>
        <v>0</v>
      </c>
      <c r="E342" s="22" t="n">
        <f aca="false">SUMIFS(Verbrauch!$C$9:$C$18896,Verbrauch!$A$9:$A$18896,"&gt;="&amp;A342,Verbrauch!$A$9:$A$18896,"&lt;"&amp;B342,Verbrauch!$F$9:$F$18896,"Standard")</f>
        <v>0</v>
      </c>
      <c r="F342" s="23" t="n">
        <f aca="false">SUMIFS(Verbrauch!$E$9:$E$18896,Verbrauch!$A$9:$A$18896,"&gt;="&amp;A342,Verbrauch!$A$9:$A$18896,"&lt;"&amp;B342)</f>
        <v>0</v>
      </c>
      <c r="G342" s="13" t="str">
        <f aca="false">IFERROR(F342/C342*100,"")</f>
        <v/>
      </c>
      <c r="H342" s="11" t="n">
        <f aca="false">COUNTIFS(Verbrauch!$A$9:$A$18896,"&gt;="&amp;A342,Verbrauch!$A$9:$A$18896,"&lt;"&amp;B342,Verbrauch!$C$9:$C$18896,"&lt;&gt;")</f>
        <v>0</v>
      </c>
    </row>
    <row r="343" customFormat="false" ht="15" hidden="false" customHeight="true" outlineLevel="0" collapsed="false">
      <c r="A343" s="10" t="n">
        <v>46304</v>
      </c>
      <c r="B343" s="10" t="n">
        <v>46305</v>
      </c>
      <c r="C343" s="22" t="n">
        <f aca="false">SUMIFS(Verbrauch!$C$9:$C$18896,Verbrauch!$A$9:$A$18896,"&gt;="&amp;A343,Verbrauch!$A$9:$A$18896,"&lt;"&amp;B343)</f>
        <v>0</v>
      </c>
      <c r="D343" s="22" t="n">
        <f aca="false">SUMIFS(Verbrauch!$C$9:$C$18896,Verbrauch!$A$9:$A$18896,"&gt;="&amp;A343,Verbrauch!$A$9:$A$18896,"&lt;"&amp;B343,Verbrauch!$F$9:$F$18896,"Go")</f>
        <v>0</v>
      </c>
      <c r="E343" s="22" t="n">
        <f aca="false">SUMIFS(Verbrauch!$C$9:$C$18896,Verbrauch!$A$9:$A$18896,"&gt;="&amp;A343,Verbrauch!$A$9:$A$18896,"&lt;"&amp;B343,Verbrauch!$F$9:$F$18896,"Standard")</f>
        <v>0</v>
      </c>
      <c r="F343" s="23" t="n">
        <f aca="false">SUMIFS(Verbrauch!$E$9:$E$18896,Verbrauch!$A$9:$A$18896,"&gt;="&amp;A343,Verbrauch!$A$9:$A$18896,"&lt;"&amp;B343)</f>
        <v>0</v>
      </c>
      <c r="G343" s="13" t="str">
        <f aca="false">IFERROR(F343/C343*100,"")</f>
        <v/>
      </c>
      <c r="H343" s="11" t="n">
        <f aca="false">COUNTIFS(Verbrauch!$A$9:$A$18896,"&gt;="&amp;A343,Verbrauch!$A$9:$A$18896,"&lt;"&amp;B343,Verbrauch!$C$9:$C$18896,"&lt;&gt;")</f>
        <v>0</v>
      </c>
    </row>
    <row r="344" customFormat="false" ht="15" hidden="false" customHeight="true" outlineLevel="0" collapsed="false">
      <c r="A344" s="10" t="n">
        <v>46305</v>
      </c>
      <c r="B344" s="10" t="n">
        <v>46306</v>
      </c>
      <c r="C344" s="22" t="n">
        <f aca="false">SUMIFS(Verbrauch!$C$9:$C$18896,Verbrauch!$A$9:$A$18896,"&gt;="&amp;A344,Verbrauch!$A$9:$A$18896,"&lt;"&amp;B344)</f>
        <v>0</v>
      </c>
      <c r="D344" s="22" t="n">
        <f aca="false">SUMIFS(Verbrauch!$C$9:$C$18896,Verbrauch!$A$9:$A$18896,"&gt;="&amp;A344,Verbrauch!$A$9:$A$18896,"&lt;"&amp;B344,Verbrauch!$F$9:$F$18896,"Go")</f>
        <v>0</v>
      </c>
      <c r="E344" s="22" t="n">
        <f aca="false">SUMIFS(Verbrauch!$C$9:$C$18896,Verbrauch!$A$9:$A$18896,"&gt;="&amp;A344,Verbrauch!$A$9:$A$18896,"&lt;"&amp;B344,Verbrauch!$F$9:$F$18896,"Standard")</f>
        <v>0</v>
      </c>
      <c r="F344" s="23" t="n">
        <f aca="false">SUMIFS(Verbrauch!$E$9:$E$18896,Verbrauch!$A$9:$A$18896,"&gt;="&amp;A344,Verbrauch!$A$9:$A$18896,"&lt;"&amp;B344)</f>
        <v>0</v>
      </c>
      <c r="G344" s="13" t="str">
        <f aca="false">IFERROR(F344/C344*100,"")</f>
        <v/>
      </c>
      <c r="H344" s="11" t="n">
        <f aca="false">COUNTIFS(Verbrauch!$A$9:$A$18896,"&gt;="&amp;A344,Verbrauch!$A$9:$A$18896,"&lt;"&amp;B344,Verbrauch!$C$9:$C$18896,"&lt;&gt;")</f>
        <v>0</v>
      </c>
    </row>
    <row r="345" customFormat="false" ht="15" hidden="false" customHeight="true" outlineLevel="0" collapsed="false">
      <c r="A345" s="10" t="n">
        <v>46306</v>
      </c>
      <c r="B345" s="10" t="n">
        <v>46307</v>
      </c>
      <c r="C345" s="22" t="n">
        <f aca="false">SUMIFS(Verbrauch!$C$9:$C$18896,Verbrauch!$A$9:$A$18896,"&gt;="&amp;A345,Verbrauch!$A$9:$A$18896,"&lt;"&amp;B345)</f>
        <v>0</v>
      </c>
      <c r="D345" s="22" t="n">
        <f aca="false">SUMIFS(Verbrauch!$C$9:$C$18896,Verbrauch!$A$9:$A$18896,"&gt;="&amp;A345,Verbrauch!$A$9:$A$18896,"&lt;"&amp;B345,Verbrauch!$F$9:$F$18896,"Go")</f>
        <v>0</v>
      </c>
      <c r="E345" s="22" t="n">
        <f aca="false">SUMIFS(Verbrauch!$C$9:$C$18896,Verbrauch!$A$9:$A$18896,"&gt;="&amp;A345,Verbrauch!$A$9:$A$18896,"&lt;"&amp;B345,Verbrauch!$F$9:$F$18896,"Standard")</f>
        <v>0</v>
      </c>
      <c r="F345" s="23" t="n">
        <f aca="false">SUMIFS(Verbrauch!$E$9:$E$18896,Verbrauch!$A$9:$A$18896,"&gt;="&amp;A345,Verbrauch!$A$9:$A$18896,"&lt;"&amp;B345)</f>
        <v>0</v>
      </c>
      <c r="G345" s="13" t="str">
        <f aca="false">IFERROR(F345/C345*100,"")</f>
        <v/>
      </c>
      <c r="H345" s="11" t="n">
        <f aca="false">COUNTIFS(Verbrauch!$A$9:$A$18896,"&gt;="&amp;A345,Verbrauch!$A$9:$A$18896,"&lt;"&amp;B345,Verbrauch!$C$9:$C$18896,"&lt;&gt;")</f>
        <v>0</v>
      </c>
    </row>
    <row r="346" customFormat="false" ht="15" hidden="false" customHeight="true" outlineLevel="0" collapsed="false">
      <c r="A346" s="10" t="n">
        <v>46307</v>
      </c>
      <c r="B346" s="10" t="n">
        <v>46308</v>
      </c>
      <c r="C346" s="22" t="n">
        <f aca="false">SUMIFS(Verbrauch!$C$9:$C$18896,Verbrauch!$A$9:$A$18896,"&gt;="&amp;A346,Verbrauch!$A$9:$A$18896,"&lt;"&amp;B346)</f>
        <v>0</v>
      </c>
      <c r="D346" s="22" t="n">
        <f aca="false">SUMIFS(Verbrauch!$C$9:$C$18896,Verbrauch!$A$9:$A$18896,"&gt;="&amp;A346,Verbrauch!$A$9:$A$18896,"&lt;"&amp;B346,Verbrauch!$F$9:$F$18896,"Go")</f>
        <v>0</v>
      </c>
      <c r="E346" s="22" t="n">
        <f aca="false">SUMIFS(Verbrauch!$C$9:$C$18896,Verbrauch!$A$9:$A$18896,"&gt;="&amp;A346,Verbrauch!$A$9:$A$18896,"&lt;"&amp;B346,Verbrauch!$F$9:$F$18896,"Standard")</f>
        <v>0</v>
      </c>
      <c r="F346" s="23" t="n">
        <f aca="false">SUMIFS(Verbrauch!$E$9:$E$18896,Verbrauch!$A$9:$A$18896,"&gt;="&amp;A346,Verbrauch!$A$9:$A$18896,"&lt;"&amp;B346)</f>
        <v>0</v>
      </c>
      <c r="G346" s="13" t="str">
        <f aca="false">IFERROR(F346/C346*100,"")</f>
        <v/>
      </c>
      <c r="H346" s="11" t="n">
        <f aca="false">COUNTIFS(Verbrauch!$A$9:$A$18896,"&gt;="&amp;A346,Verbrauch!$A$9:$A$18896,"&lt;"&amp;B346,Verbrauch!$C$9:$C$18896,"&lt;&gt;")</f>
        <v>0</v>
      </c>
    </row>
    <row r="347" customFormat="false" ht="15" hidden="false" customHeight="true" outlineLevel="0" collapsed="false">
      <c r="A347" s="10" t="n">
        <v>46308</v>
      </c>
      <c r="B347" s="10" t="n">
        <v>46309</v>
      </c>
      <c r="C347" s="22" t="n">
        <f aca="false">SUMIFS(Verbrauch!$C$9:$C$18896,Verbrauch!$A$9:$A$18896,"&gt;="&amp;A347,Verbrauch!$A$9:$A$18896,"&lt;"&amp;B347)</f>
        <v>0</v>
      </c>
      <c r="D347" s="22" t="n">
        <f aca="false">SUMIFS(Verbrauch!$C$9:$C$18896,Verbrauch!$A$9:$A$18896,"&gt;="&amp;A347,Verbrauch!$A$9:$A$18896,"&lt;"&amp;B347,Verbrauch!$F$9:$F$18896,"Go")</f>
        <v>0</v>
      </c>
      <c r="E347" s="22" t="n">
        <f aca="false">SUMIFS(Verbrauch!$C$9:$C$18896,Verbrauch!$A$9:$A$18896,"&gt;="&amp;A347,Verbrauch!$A$9:$A$18896,"&lt;"&amp;B347,Verbrauch!$F$9:$F$18896,"Standard")</f>
        <v>0</v>
      </c>
      <c r="F347" s="23" t="n">
        <f aca="false">SUMIFS(Verbrauch!$E$9:$E$18896,Verbrauch!$A$9:$A$18896,"&gt;="&amp;A347,Verbrauch!$A$9:$A$18896,"&lt;"&amp;B347)</f>
        <v>0</v>
      </c>
      <c r="G347" s="13" t="str">
        <f aca="false">IFERROR(F347/C347*100,"")</f>
        <v/>
      </c>
      <c r="H347" s="11" t="n">
        <f aca="false">COUNTIFS(Verbrauch!$A$9:$A$18896,"&gt;="&amp;A347,Verbrauch!$A$9:$A$18896,"&lt;"&amp;B347,Verbrauch!$C$9:$C$18896,"&lt;&gt;")</f>
        <v>0</v>
      </c>
    </row>
    <row r="348" customFormat="false" ht="15" hidden="false" customHeight="true" outlineLevel="0" collapsed="false">
      <c r="A348" s="10" t="n">
        <v>46309</v>
      </c>
      <c r="B348" s="10" t="n">
        <v>46310</v>
      </c>
      <c r="C348" s="22" t="n">
        <f aca="false">SUMIFS(Verbrauch!$C$9:$C$18896,Verbrauch!$A$9:$A$18896,"&gt;="&amp;A348,Verbrauch!$A$9:$A$18896,"&lt;"&amp;B348)</f>
        <v>0</v>
      </c>
      <c r="D348" s="22" t="n">
        <f aca="false">SUMIFS(Verbrauch!$C$9:$C$18896,Verbrauch!$A$9:$A$18896,"&gt;="&amp;A348,Verbrauch!$A$9:$A$18896,"&lt;"&amp;B348,Verbrauch!$F$9:$F$18896,"Go")</f>
        <v>0</v>
      </c>
      <c r="E348" s="22" t="n">
        <f aca="false">SUMIFS(Verbrauch!$C$9:$C$18896,Verbrauch!$A$9:$A$18896,"&gt;="&amp;A348,Verbrauch!$A$9:$A$18896,"&lt;"&amp;B348,Verbrauch!$F$9:$F$18896,"Standard")</f>
        <v>0</v>
      </c>
      <c r="F348" s="23" t="n">
        <f aca="false">SUMIFS(Verbrauch!$E$9:$E$18896,Verbrauch!$A$9:$A$18896,"&gt;="&amp;A348,Verbrauch!$A$9:$A$18896,"&lt;"&amp;B348)</f>
        <v>0</v>
      </c>
      <c r="G348" s="13" t="str">
        <f aca="false">IFERROR(F348/C348*100,"")</f>
        <v/>
      </c>
      <c r="H348" s="11" t="n">
        <f aca="false">COUNTIFS(Verbrauch!$A$9:$A$18896,"&gt;="&amp;A348,Verbrauch!$A$9:$A$18896,"&lt;"&amp;B348,Verbrauch!$C$9:$C$18896,"&lt;&gt;")</f>
        <v>0</v>
      </c>
    </row>
    <row r="349" customFormat="false" ht="15" hidden="false" customHeight="true" outlineLevel="0" collapsed="false">
      <c r="A349" s="10" t="n">
        <v>46310</v>
      </c>
      <c r="B349" s="10" t="n">
        <v>46311</v>
      </c>
      <c r="C349" s="22" t="n">
        <f aca="false">SUMIFS(Verbrauch!$C$9:$C$18896,Verbrauch!$A$9:$A$18896,"&gt;="&amp;A349,Verbrauch!$A$9:$A$18896,"&lt;"&amp;B349)</f>
        <v>0</v>
      </c>
      <c r="D349" s="22" t="n">
        <f aca="false">SUMIFS(Verbrauch!$C$9:$C$18896,Verbrauch!$A$9:$A$18896,"&gt;="&amp;A349,Verbrauch!$A$9:$A$18896,"&lt;"&amp;B349,Verbrauch!$F$9:$F$18896,"Go")</f>
        <v>0</v>
      </c>
      <c r="E349" s="22" t="n">
        <f aca="false">SUMIFS(Verbrauch!$C$9:$C$18896,Verbrauch!$A$9:$A$18896,"&gt;="&amp;A349,Verbrauch!$A$9:$A$18896,"&lt;"&amp;B349,Verbrauch!$F$9:$F$18896,"Standard")</f>
        <v>0</v>
      </c>
      <c r="F349" s="23" t="n">
        <f aca="false">SUMIFS(Verbrauch!$E$9:$E$18896,Verbrauch!$A$9:$A$18896,"&gt;="&amp;A349,Verbrauch!$A$9:$A$18896,"&lt;"&amp;B349)</f>
        <v>0</v>
      </c>
      <c r="G349" s="13" t="str">
        <f aca="false">IFERROR(F349/C349*100,"")</f>
        <v/>
      </c>
      <c r="H349" s="11" t="n">
        <f aca="false">COUNTIFS(Verbrauch!$A$9:$A$18896,"&gt;="&amp;A349,Verbrauch!$A$9:$A$18896,"&lt;"&amp;B349,Verbrauch!$C$9:$C$18896,"&lt;&gt;")</f>
        <v>0</v>
      </c>
    </row>
    <row r="350" customFormat="false" ht="15" hidden="false" customHeight="true" outlineLevel="0" collapsed="false">
      <c r="A350" s="10" t="n">
        <v>46311</v>
      </c>
      <c r="B350" s="10" t="n">
        <v>46312</v>
      </c>
      <c r="C350" s="22" t="n">
        <f aca="false">SUMIFS(Verbrauch!$C$9:$C$18896,Verbrauch!$A$9:$A$18896,"&gt;="&amp;A350,Verbrauch!$A$9:$A$18896,"&lt;"&amp;B350)</f>
        <v>0</v>
      </c>
      <c r="D350" s="22" t="n">
        <f aca="false">SUMIFS(Verbrauch!$C$9:$C$18896,Verbrauch!$A$9:$A$18896,"&gt;="&amp;A350,Verbrauch!$A$9:$A$18896,"&lt;"&amp;B350,Verbrauch!$F$9:$F$18896,"Go")</f>
        <v>0</v>
      </c>
      <c r="E350" s="22" t="n">
        <f aca="false">SUMIFS(Verbrauch!$C$9:$C$18896,Verbrauch!$A$9:$A$18896,"&gt;="&amp;A350,Verbrauch!$A$9:$A$18896,"&lt;"&amp;B350,Verbrauch!$F$9:$F$18896,"Standard")</f>
        <v>0</v>
      </c>
      <c r="F350" s="23" t="n">
        <f aca="false">SUMIFS(Verbrauch!$E$9:$E$18896,Verbrauch!$A$9:$A$18896,"&gt;="&amp;A350,Verbrauch!$A$9:$A$18896,"&lt;"&amp;B350)</f>
        <v>0</v>
      </c>
      <c r="G350" s="13" t="str">
        <f aca="false">IFERROR(F350/C350*100,"")</f>
        <v/>
      </c>
      <c r="H350" s="11" t="n">
        <f aca="false">COUNTIFS(Verbrauch!$A$9:$A$18896,"&gt;="&amp;A350,Verbrauch!$A$9:$A$18896,"&lt;"&amp;B350,Verbrauch!$C$9:$C$18896,"&lt;&gt;")</f>
        <v>0</v>
      </c>
    </row>
    <row r="351" customFormat="false" ht="15" hidden="false" customHeight="true" outlineLevel="0" collapsed="false">
      <c r="A351" s="10" t="n">
        <v>46312</v>
      </c>
      <c r="B351" s="10" t="n">
        <v>46313</v>
      </c>
      <c r="C351" s="22" t="n">
        <f aca="false">SUMIFS(Verbrauch!$C$9:$C$18896,Verbrauch!$A$9:$A$18896,"&gt;="&amp;A351,Verbrauch!$A$9:$A$18896,"&lt;"&amp;B351)</f>
        <v>0</v>
      </c>
      <c r="D351" s="22" t="n">
        <f aca="false">SUMIFS(Verbrauch!$C$9:$C$18896,Verbrauch!$A$9:$A$18896,"&gt;="&amp;A351,Verbrauch!$A$9:$A$18896,"&lt;"&amp;B351,Verbrauch!$F$9:$F$18896,"Go")</f>
        <v>0</v>
      </c>
      <c r="E351" s="22" t="n">
        <f aca="false">SUMIFS(Verbrauch!$C$9:$C$18896,Verbrauch!$A$9:$A$18896,"&gt;="&amp;A351,Verbrauch!$A$9:$A$18896,"&lt;"&amp;B351,Verbrauch!$F$9:$F$18896,"Standard")</f>
        <v>0</v>
      </c>
      <c r="F351" s="23" t="n">
        <f aca="false">SUMIFS(Verbrauch!$E$9:$E$18896,Verbrauch!$A$9:$A$18896,"&gt;="&amp;A351,Verbrauch!$A$9:$A$18896,"&lt;"&amp;B351)</f>
        <v>0</v>
      </c>
      <c r="G351" s="13" t="str">
        <f aca="false">IFERROR(F351/C351*100,"")</f>
        <v/>
      </c>
      <c r="H351" s="11" t="n">
        <f aca="false">COUNTIFS(Verbrauch!$A$9:$A$18896,"&gt;="&amp;A351,Verbrauch!$A$9:$A$18896,"&lt;"&amp;B351,Verbrauch!$C$9:$C$18896,"&lt;&gt;")</f>
        <v>0</v>
      </c>
    </row>
    <row r="352" customFormat="false" ht="15" hidden="false" customHeight="true" outlineLevel="0" collapsed="false">
      <c r="A352" s="10" t="n">
        <v>46313</v>
      </c>
      <c r="B352" s="10" t="n">
        <v>46314</v>
      </c>
      <c r="C352" s="22" t="n">
        <f aca="false">SUMIFS(Verbrauch!$C$9:$C$18896,Verbrauch!$A$9:$A$18896,"&gt;="&amp;A352,Verbrauch!$A$9:$A$18896,"&lt;"&amp;B352)</f>
        <v>0</v>
      </c>
      <c r="D352" s="22" t="n">
        <f aca="false">SUMIFS(Verbrauch!$C$9:$C$18896,Verbrauch!$A$9:$A$18896,"&gt;="&amp;A352,Verbrauch!$A$9:$A$18896,"&lt;"&amp;B352,Verbrauch!$F$9:$F$18896,"Go")</f>
        <v>0</v>
      </c>
      <c r="E352" s="22" t="n">
        <f aca="false">SUMIFS(Verbrauch!$C$9:$C$18896,Verbrauch!$A$9:$A$18896,"&gt;="&amp;A352,Verbrauch!$A$9:$A$18896,"&lt;"&amp;B352,Verbrauch!$F$9:$F$18896,"Standard")</f>
        <v>0</v>
      </c>
      <c r="F352" s="23" t="n">
        <f aca="false">SUMIFS(Verbrauch!$E$9:$E$18896,Verbrauch!$A$9:$A$18896,"&gt;="&amp;A352,Verbrauch!$A$9:$A$18896,"&lt;"&amp;B352)</f>
        <v>0</v>
      </c>
      <c r="G352" s="13" t="str">
        <f aca="false">IFERROR(F352/C352*100,"")</f>
        <v/>
      </c>
      <c r="H352" s="11" t="n">
        <f aca="false">COUNTIFS(Verbrauch!$A$9:$A$18896,"&gt;="&amp;A352,Verbrauch!$A$9:$A$18896,"&lt;"&amp;B352,Verbrauch!$C$9:$C$18896,"&lt;&gt;")</f>
        <v>0</v>
      </c>
    </row>
    <row r="353" customFormat="false" ht="15" hidden="false" customHeight="true" outlineLevel="0" collapsed="false">
      <c r="A353" s="10" t="n">
        <v>46314</v>
      </c>
      <c r="B353" s="10" t="n">
        <v>46315</v>
      </c>
      <c r="C353" s="22" t="n">
        <f aca="false">SUMIFS(Verbrauch!$C$9:$C$18896,Verbrauch!$A$9:$A$18896,"&gt;="&amp;A353,Verbrauch!$A$9:$A$18896,"&lt;"&amp;B353)</f>
        <v>0</v>
      </c>
      <c r="D353" s="22" t="n">
        <f aca="false">SUMIFS(Verbrauch!$C$9:$C$18896,Verbrauch!$A$9:$A$18896,"&gt;="&amp;A353,Verbrauch!$A$9:$A$18896,"&lt;"&amp;B353,Verbrauch!$F$9:$F$18896,"Go")</f>
        <v>0</v>
      </c>
      <c r="E353" s="22" t="n">
        <f aca="false">SUMIFS(Verbrauch!$C$9:$C$18896,Verbrauch!$A$9:$A$18896,"&gt;="&amp;A353,Verbrauch!$A$9:$A$18896,"&lt;"&amp;B353,Verbrauch!$F$9:$F$18896,"Standard")</f>
        <v>0</v>
      </c>
      <c r="F353" s="23" t="n">
        <f aca="false">SUMIFS(Verbrauch!$E$9:$E$18896,Verbrauch!$A$9:$A$18896,"&gt;="&amp;A353,Verbrauch!$A$9:$A$18896,"&lt;"&amp;B353)</f>
        <v>0</v>
      </c>
      <c r="G353" s="13" t="str">
        <f aca="false">IFERROR(F353/C353*100,"")</f>
        <v/>
      </c>
      <c r="H353" s="11" t="n">
        <f aca="false">COUNTIFS(Verbrauch!$A$9:$A$18896,"&gt;="&amp;A353,Verbrauch!$A$9:$A$18896,"&lt;"&amp;B353,Verbrauch!$C$9:$C$18896,"&lt;&gt;")</f>
        <v>0</v>
      </c>
    </row>
    <row r="354" customFormat="false" ht="15" hidden="false" customHeight="true" outlineLevel="0" collapsed="false">
      <c r="A354" s="10" t="n">
        <v>46315</v>
      </c>
      <c r="B354" s="10" t="n">
        <v>46316</v>
      </c>
      <c r="C354" s="22" t="n">
        <f aca="false">SUMIFS(Verbrauch!$C$9:$C$18896,Verbrauch!$A$9:$A$18896,"&gt;="&amp;A354,Verbrauch!$A$9:$A$18896,"&lt;"&amp;B354)</f>
        <v>0</v>
      </c>
      <c r="D354" s="22" t="n">
        <f aca="false">SUMIFS(Verbrauch!$C$9:$C$18896,Verbrauch!$A$9:$A$18896,"&gt;="&amp;A354,Verbrauch!$A$9:$A$18896,"&lt;"&amp;B354,Verbrauch!$F$9:$F$18896,"Go")</f>
        <v>0</v>
      </c>
      <c r="E354" s="22" t="n">
        <f aca="false">SUMIFS(Verbrauch!$C$9:$C$18896,Verbrauch!$A$9:$A$18896,"&gt;="&amp;A354,Verbrauch!$A$9:$A$18896,"&lt;"&amp;B354,Verbrauch!$F$9:$F$18896,"Standard")</f>
        <v>0</v>
      </c>
      <c r="F354" s="23" t="n">
        <f aca="false">SUMIFS(Verbrauch!$E$9:$E$18896,Verbrauch!$A$9:$A$18896,"&gt;="&amp;A354,Verbrauch!$A$9:$A$18896,"&lt;"&amp;B354)</f>
        <v>0</v>
      </c>
      <c r="G354" s="13" t="str">
        <f aca="false">IFERROR(F354/C354*100,"")</f>
        <v/>
      </c>
      <c r="H354" s="11" t="n">
        <f aca="false">COUNTIFS(Verbrauch!$A$9:$A$18896,"&gt;="&amp;A354,Verbrauch!$A$9:$A$18896,"&lt;"&amp;B354,Verbrauch!$C$9:$C$18896,"&lt;&gt;")</f>
        <v>0</v>
      </c>
    </row>
    <row r="355" customFormat="false" ht="15" hidden="false" customHeight="true" outlineLevel="0" collapsed="false">
      <c r="A355" s="10" t="n">
        <v>46316</v>
      </c>
      <c r="B355" s="10" t="n">
        <v>46317</v>
      </c>
      <c r="C355" s="22" t="n">
        <f aca="false">SUMIFS(Verbrauch!$C$9:$C$18896,Verbrauch!$A$9:$A$18896,"&gt;="&amp;A355,Verbrauch!$A$9:$A$18896,"&lt;"&amp;B355)</f>
        <v>0</v>
      </c>
      <c r="D355" s="22" t="n">
        <f aca="false">SUMIFS(Verbrauch!$C$9:$C$18896,Verbrauch!$A$9:$A$18896,"&gt;="&amp;A355,Verbrauch!$A$9:$A$18896,"&lt;"&amp;B355,Verbrauch!$F$9:$F$18896,"Go")</f>
        <v>0</v>
      </c>
      <c r="E355" s="22" t="n">
        <f aca="false">SUMIFS(Verbrauch!$C$9:$C$18896,Verbrauch!$A$9:$A$18896,"&gt;="&amp;A355,Verbrauch!$A$9:$A$18896,"&lt;"&amp;B355,Verbrauch!$F$9:$F$18896,"Standard")</f>
        <v>0</v>
      </c>
      <c r="F355" s="23" t="n">
        <f aca="false">SUMIFS(Verbrauch!$E$9:$E$18896,Verbrauch!$A$9:$A$18896,"&gt;="&amp;A355,Verbrauch!$A$9:$A$18896,"&lt;"&amp;B355)</f>
        <v>0</v>
      </c>
      <c r="G355" s="13" t="str">
        <f aca="false">IFERROR(F355/C355*100,"")</f>
        <v/>
      </c>
      <c r="H355" s="11" t="n">
        <f aca="false">COUNTIFS(Verbrauch!$A$9:$A$18896,"&gt;="&amp;A355,Verbrauch!$A$9:$A$18896,"&lt;"&amp;B355,Verbrauch!$C$9:$C$18896,"&lt;&gt;")</f>
        <v>0</v>
      </c>
    </row>
    <row r="356" customFormat="false" ht="15" hidden="false" customHeight="true" outlineLevel="0" collapsed="false">
      <c r="A356" s="10" t="n">
        <v>46317</v>
      </c>
      <c r="B356" s="10" t="n">
        <v>46318</v>
      </c>
      <c r="C356" s="22" t="n">
        <f aca="false">SUMIFS(Verbrauch!$C$9:$C$18896,Verbrauch!$A$9:$A$18896,"&gt;="&amp;A356,Verbrauch!$A$9:$A$18896,"&lt;"&amp;B356)</f>
        <v>0</v>
      </c>
      <c r="D356" s="22" t="n">
        <f aca="false">SUMIFS(Verbrauch!$C$9:$C$18896,Verbrauch!$A$9:$A$18896,"&gt;="&amp;A356,Verbrauch!$A$9:$A$18896,"&lt;"&amp;B356,Verbrauch!$F$9:$F$18896,"Go")</f>
        <v>0</v>
      </c>
      <c r="E356" s="22" t="n">
        <f aca="false">SUMIFS(Verbrauch!$C$9:$C$18896,Verbrauch!$A$9:$A$18896,"&gt;="&amp;A356,Verbrauch!$A$9:$A$18896,"&lt;"&amp;B356,Verbrauch!$F$9:$F$18896,"Standard")</f>
        <v>0</v>
      </c>
      <c r="F356" s="23" t="n">
        <f aca="false">SUMIFS(Verbrauch!$E$9:$E$18896,Verbrauch!$A$9:$A$18896,"&gt;="&amp;A356,Verbrauch!$A$9:$A$18896,"&lt;"&amp;B356)</f>
        <v>0</v>
      </c>
      <c r="G356" s="13" t="str">
        <f aca="false">IFERROR(F356/C356*100,"")</f>
        <v/>
      </c>
      <c r="H356" s="11" t="n">
        <f aca="false">COUNTIFS(Verbrauch!$A$9:$A$18896,"&gt;="&amp;A356,Verbrauch!$A$9:$A$18896,"&lt;"&amp;B356,Verbrauch!$C$9:$C$18896,"&lt;&gt;")</f>
        <v>0</v>
      </c>
    </row>
    <row r="357" customFormat="false" ht="15" hidden="false" customHeight="true" outlineLevel="0" collapsed="false">
      <c r="A357" s="10" t="n">
        <v>46318</v>
      </c>
      <c r="B357" s="10" t="n">
        <v>46319</v>
      </c>
      <c r="C357" s="22" t="n">
        <f aca="false">SUMIFS(Verbrauch!$C$9:$C$18896,Verbrauch!$A$9:$A$18896,"&gt;="&amp;A357,Verbrauch!$A$9:$A$18896,"&lt;"&amp;B357)</f>
        <v>0</v>
      </c>
      <c r="D357" s="22" t="n">
        <f aca="false">SUMIFS(Verbrauch!$C$9:$C$18896,Verbrauch!$A$9:$A$18896,"&gt;="&amp;A357,Verbrauch!$A$9:$A$18896,"&lt;"&amp;B357,Verbrauch!$F$9:$F$18896,"Go")</f>
        <v>0</v>
      </c>
      <c r="E357" s="22" t="n">
        <f aca="false">SUMIFS(Verbrauch!$C$9:$C$18896,Verbrauch!$A$9:$A$18896,"&gt;="&amp;A357,Verbrauch!$A$9:$A$18896,"&lt;"&amp;B357,Verbrauch!$F$9:$F$18896,"Standard")</f>
        <v>0</v>
      </c>
      <c r="F357" s="23" t="n">
        <f aca="false">SUMIFS(Verbrauch!$E$9:$E$18896,Verbrauch!$A$9:$A$18896,"&gt;="&amp;A357,Verbrauch!$A$9:$A$18896,"&lt;"&amp;B357)</f>
        <v>0</v>
      </c>
      <c r="G357" s="13" t="str">
        <f aca="false">IFERROR(F357/C357*100,"")</f>
        <v/>
      </c>
      <c r="H357" s="11" t="n">
        <f aca="false">COUNTIFS(Verbrauch!$A$9:$A$18896,"&gt;="&amp;A357,Verbrauch!$A$9:$A$18896,"&lt;"&amp;B357,Verbrauch!$C$9:$C$18896,"&lt;&gt;")</f>
        <v>0</v>
      </c>
    </row>
    <row r="358" customFormat="false" ht="15" hidden="false" customHeight="true" outlineLevel="0" collapsed="false">
      <c r="A358" s="10" t="n">
        <v>46319</v>
      </c>
      <c r="B358" s="10" t="n">
        <v>46320</v>
      </c>
      <c r="C358" s="22" t="n">
        <f aca="false">SUMIFS(Verbrauch!$C$9:$C$18896,Verbrauch!$A$9:$A$18896,"&gt;="&amp;A358,Verbrauch!$A$9:$A$18896,"&lt;"&amp;B358)</f>
        <v>0</v>
      </c>
      <c r="D358" s="22" t="n">
        <f aca="false">SUMIFS(Verbrauch!$C$9:$C$18896,Verbrauch!$A$9:$A$18896,"&gt;="&amp;A358,Verbrauch!$A$9:$A$18896,"&lt;"&amp;B358,Verbrauch!$F$9:$F$18896,"Go")</f>
        <v>0</v>
      </c>
      <c r="E358" s="22" t="n">
        <f aca="false">SUMIFS(Verbrauch!$C$9:$C$18896,Verbrauch!$A$9:$A$18896,"&gt;="&amp;A358,Verbrauch!$A$9:$A$18896,"&lt;"&amp;B358,Verbrauch!$F$9:$F$18896,"Standard")</f>
        <v>0</v>
      </c>
      <c r="F358" s="23" t="n">
        <f aca="false">SUMIFS(Verbrauch!$E$9:$E$18896,Verbrauch!$A$9:$A$18896,"&gt;="&amp;A358,Verbrauch!$A$9:$A$18896,"&lt;"&amp;B358)</f>
        <v>0</v>
      </c>
      <c r="G358" s="13" t="str">
        <f aca="false">IFERROR(F358/C358*100,"")</f>
        <v/>
      </c>
      <c r="H358" s="11" t="n">
        <f aca="false">COUNTIFS(Verbrauch!$A$9:$A$18896,"&gt;="&amp;A358,Verbrauch!$A$9:$A$18896,"&lt;"&amp;B358,Verbrauch!$C$9:$C$18896,"&lt;&gt;")</f>
        <v>0</v>
      </c>
    </row>
    <row r="359" customFormat="false" ht="15" hidden="false" customHeight="true" outlineLevel="0" collapsed="false">
      <c r="A359" s="10" t="n">
        <v>46320</v>
      </c>
      <c r="B359" s="10" t="n">
        <v>46321</v>
      </c>
      <c r="C359" s="22" t="n">
        <f aca="false">SUMIFS(Verbrauch!$C$9:$C$18896,Verbrauch!$A$9:$A$18896,"&gt;="&amp;A359,Verbrauch!$A$9:$A$18896,"&lt;"&amp;B359)</f>
        <v>0</v>
      </c>
      <c r="D359" s="22" t="n">
        <f aca="false">SUMIFS(Verbrauch!$C$9:$C$18896,Verbrauch!$A$9:$A$18896,"&gt;="&amp;A359,Verbrauch!$A$9:$A$18896,"&lt;"&amp;B359,Verbrauch!$F$9:$F$18896,"Go")</f>
        <v>0</v>
      </c>
      <c r="E359" s="22" t="n">
        <f aca="false">SUMIFS(Verbrauch!$C$9:$C$18896,Verbrauch!$A$9:$A$18896,"&gt;="&amp;A359,Verbrauch!$A$9:$A$18896,"&lt;"&amp;B359,Verbrauch!$F$9:$F$18896,"Standard")</f>
        <v>0</v>
      </c>
      <c r="F359" s="23" t="n">
        <f aca="false">SUMIFS(Verbrauch!$E$9:$E$18896,Verbrauch!$A$9:$A$18896,"&gt;="&amp;A359,Verbrauch!$A$9:$A$18896,"&lt;"&amp;B359)</f>
        <v>0</v>
      </c>
      <c r="G359" s="13" t="str">
        <f aca="false">IFERROR(F359/C359*100,"")</f>
        <v/>
      </c>
      <c r="H359" s="11" t="n">
        <f aca="false">COUNTIFS(Verbrauch!$A$9:$A$18896,"&gt;="&amp;A359,Verbrauch!$A$9:$A$18896,"&lt;"&amp;B359,Verbrauch!$C$9:$C$18896,"&lt;&gt;")</f>
        <v>0</v>
      </c>
    </row>
    <row r="360" customFormat="false" ht="15" hidden="false" customHeight="true" outlineLevel="0" collapsed="false">
      <c r="A360" s="10" t="n">
        <v>46321</v>
      </c>
      <c r="B360" s="10" t="n">
        <v>46322</v>
      </c>
      <c r="C360" s="22" t="n">
        <f aca="false">SUMIFS(Verbrauch!$C$9:$C$18896,Verbrauch!$A$9:$A$18896,"&gt;="&amp;A360,Verbrauch!$A$9:$A$18896,"&lt;"&amp;B360)</f>
        <v>0</v>
      </c>
      <c r="D360" s="22" t="n">
        <f aca="false">SUMIFS(Verbrauch!$C$9:$C$18896,Verbrauch!$A$9:$A$18896,"&gt;="&amp;A360,Verbrauch!$A$9:$A$18896,"&lt;"&amp;B360,Verbrauch!$F$9:$F$18896,"Go")</f>
        <v>0</v>
      </c>
      <c r="E360" s="22" t="n">
        <f aca="false">SUMIFS(Verbrauch!$C$9:$C$18896,Verbrauch!$A$9:$A$18896,"&gt;="&amp;A360,Verbrauch!$A$9:$A$18896,"&lt;"&amp;B360,Verbrauch!$F$9:$F$18896,"Standard")</f>
        <v>0</v>
      </c>
      <c r="F360" s="23" t="n">
        <f aca="false">SUMIFS(Verbrauch!$E$9:$E$18896,Verbrauch!$A$9:$A$18896,"&gt;="&amp;A360,Verbrauch!$A$9:$A$18896,"&lt;"&amp;B360)</f>
        <v>0</v>
      </c>
      <c r="G360" s="13" t="str">
        <f aca="false">IFERROR(F360/C360*100,"")</f>
        <v/>
      </c>
      <c r="H360" s="11" t="n">
        <f aca="false">COUNTIFS(Verbrauch!$A$9:$A$18896,"&gt;="&amp;A360,Verbrauch!$A$9:$A$18896,"&lt;"&amp;B360,Verbrauch!$C$9:$C$18896,"&lt;&gt;")</f>
        <v>0</v>
      </c>
    </row>
    <row r="361" customFormat="false" ht="15" hidden="false" customHeight="true" outlineLevel="0" collapsed="false">
      <c r="A361" s="10" t="n">
        <v>46322</v>
      </c>
      <c r="B361" s="10" t="n">
        <v>46323</v>
      </c>
      <c r="C361" s="22" t="n">
        <f aca="false">SUMIFS(Verbrauch!$C$9:$C$18896,Verbrauch!$A$9:$A$18896,"&gt;="&amp;A361,Verbrauch!$A$9:$A$18896,"&lt;"&amp;B361)</f>
        <v>0</v>
      </c>
      <c r="D361" s="22" t="n">
        <f aca="false">SUMIFS(Verbrauch!$C$9:$C$18896,Verbrauch!$A$9:$A$18896,"&gt;="&amp;A361,Verbrauch!$A$9:$A$18896,"&lt;"&amp;B361,Verbrauch!$F$9:$F$18896,"Go")</f>
        <v>0</v>
      </c>
      <c r="E361" s="22" t="n">
        <f aca="false">SUMIFS(Verbrauch!$C$9:$C$18896,Verbrauch!$A$9:$A$18896,"&gt;="&amp;A361,Verbrauch!$A$9:$A$18896,"&lt;"&amp;B361,Verbrauch!$F$9:$F$18896,"Standard")</f>
        <v>0</v>
      </c>
      <c r="F361" s="23" t="n">
        <f aca="false">SUMIFS(Verbrauch!$E$9:$E$18896,Verbrauch!$A$9:$A$18896,"&gt;="&amp;A361,Verbrauch!$A$9:$A$18896,"&lt;"&amp;B361)</f>
        <v>0</v>
      </c>
      <c r="G361" s="13" t="str">
        <f aca="false">IFERROR(F361/C361*100,"")</f>
        <v/>
      </c>
      <c r="H361" s="11" t="n">
        <f aca="false">COUNTIFS(Verbrauch!$A$9:$A$18896,"&gt;="&amp;A361,Verbrauch!$A$9:$A$18896,"&lt;"&amp;B361,Verbrauch!$C$9:$C$18896,"&lt;&gt;")</f>
        <v>0</v>
      </c>
    </row>
    <row r="362" customFormat="false" ht="15" hidden="false" customHeight="true" outlineLevel="0" collapsed="false">
      <c r="A362" s="10" t="n">
        <v>46323</v>
      </c>
      <c r="B362" s="10" t="n">
        <v>46324</v>
      </c>
      <c r="C362" s="22" t="n">
        <f aca="false">SUMIFS(Verbrauch!$C$9:$C$18896,Verbrauch!$A$9:$A$18896,"&gt;="&amp;A362,Verbrauch!$A$9:$A$18896,"&lt;"&amp;B362)</f>
        <v>0</v>
      </c>
      <c r="D362" s="22" t="n">
        <f aca="false">SUMIFS(Verbrauch!$C$9:$C$18896,Verbrauch!$A$9:$A$18896,"&gt;="&amp;A362,Verbrauch!$A$9:$A$18896,"&lt;"&amp;B362,Verbrauch!$F$9:$F$18896,"Go")</f>
        <v>0</v>
      </c>
      <c r="E362" s="22" t="n">
        <f aca="false">SUMIFS(Verbrauch!$C$9:$C$18896,Verbrauch!$A$9:$A$18896,"&gt;="&amp;A362,Verbrauch!$A$9:$A$18896,"&lt;"&amp;B362,Verbrauch!$F$9:$F$18896,"Standard")</f>
        <v>0</v>
      </c>
      <c r="F362" s="23" t="n">
        <f aca="false">SUMIFS(Verbrauch!$E$9:$E$18896,Verbrauch!$A$9:$A$18896,"&gt;="&amp;A362,Verbrauch!$A$9:$A$18896,"&lt;"&amp;B362)</f>
        <v>0</v>
      </c>
      <c r="G362" s="13" t="str">
        <f aca="false">IFERROR(F362/C362*100,"")</f>
        <v/>
      </c>
      <c r="H362" s="11" t="n">
        <f aca="false">COUNTIFS(Verbrauch!$A$9:$A$18896,"&gt;="&amp;A362,Verbrauch!$A$9:$A$18896,"&lt;"&amp;B362,Verbrauch!$C$9:$C$18896,"&lt;&gt;")</f>
        <v>0</v>
      </c>
    </row>
    <row r="363" customFormat="false" ht="15" hidden="false" customHeight="true" outlineLevel="0" collapsed="false">
      <c r="A363" s="10" t="n">
        <v>46324</v>
      </c>
      <c r="B363" s="10" t="n">
        <v>46325</v>
      </c>
      <c r="C363" s="22" t="n">
        <f aca="false">SUMIFS(Verbrauch!$C$9:$C$18896,Verbrauch!$A$9:$A$18896,"&gt;="&amp;A363,Verbrauch!$A$9:$A$18896,"&lt;"&amp;B363)</f>
        <v>0</v>
      </c>
      <c r="D363" s="22" t="n">
        <f aca="false">SUMIFS(Verbrauch!$C$9:$C$18896,Verbrauch!$A$9:$A$18896,"&gt;="&amp;A363,Verbrauch!$A$9:$A$18896,"&lt;"&amp;B363,Verbrauch!$F$9:$F$18896,"Go")</f>
        <v>0</v>
      </c>
      <c r="E363" s="22" t="n">
        <f aca="false">SUMIFS(Verbrauch!$C$9:$C$18896,Verbrauch!$A$9:$A$18896,"&gt;="&amp;A363,Verbrauch!$A$9:$A$18896,"&lt;"&amp;B363,Verbrauch!$F$9:$F$18896,"Standard")</f>
        <v>0</v>
      </c>
      <c r="F363" s="23" t="n">
        <f aca="false">SUMIFS(Verbrauch!$E$9:$E$18896,Verbrauch!$A$9:$A$18896,"&gt;="&amp;A363,Verbrauch!$A$9:$A$18896,"&lt;"&amp;B363)</f>
        <v>0</v>
      </c>
      <c r="G363" s="13" t="str">
        <f aca="false">IFERROR(F363/C363*100,"")</f>
        <v/>
      </c>
      <c r="H363" s="11" t="n">
        <f aca="false">COUNTIFS(Verbrauch!$A$9:$A$18896,"&gt;="&amp;A363,Verbrauch!$A$9:$A$18896,"&lt;"&amp;B363,Verbrauch!$C$9:$C$18896,"&lt;&gt;")</f>
        <v>0</v>
      </c>
    </row>
    <row r="364" customFormat="false" ht="15" hidden="false" customHeight="true" outlineLevel="0" collapsed="false">
      <c r="A364" s="10" t="n">
        <v>46325</v>
      </c>
      <c r="B364" s="10" t="n">
        <v>46326</v>
      </c>
      <c r="C364" s="22" t="n">
        <f aca="false">SUMIFS(Verbrauch!$C$9:$C$18896,Verbrauch!$A$9:$A$18896,"&gt;="&amp;A364,Verbrauch!$A$9:$A$18896,"&lt;"&amp;B364)</f>
        <v>0</v>
      </c>
      <c r="D364" s="22" t="n">
        <f aca="false">SUMIFS(Verbrauch!$C$9:$C$18896,Verbrauch!$A$9:$A$18896,"&gt;="&amp;A364,Verbrauch!$A$9:$A$18896,"&lt;"&amp;B364,Verbrauch!$F$9:$F$18896,"Go")</f>
        <v>0</v>
      </c>
      <c r="E364" s="22" t="n">
        <f aca="false">SUMIFS(Verbrauch!$C$9:$C$18896,Verbrauch!$A$9:$A$18896,"&gt;="&amp;A364,Verbrauch!$A$9:$A$18896,"&lt;"&amp;B364,Verbrauch!$F$9:$F$18896,"Standard")</f>
        <v>0</v>
      </c>
      <c r="F364" s="23" t="n">
        <f aca="false">SUMIFS(Verbrauch!$E$9:$E$18896,Verbrauch!$A$9:$A$18896,"&gt;="&amp;A364,Verbrauch!$A$9:$A$18896,"&lt;"&amp;B364)</f>
        <v>0</v>
      </c>
      <c r="G364" s="13" t="str">
        <f aca="false">IFERROR(F364/C364*100,"")</f>
        <v/>
      </c>
      <c r="H364" s="11" t="n">
        <f aca="false">COUNTIFS(Verbrauch!$A$9:$A$18896,"&gt;="&amp;A364,Verbrauch!$A$9:$A$18896,"&lt;"&amp;B364,Verbrauch!$C$9:$C$18896,"&lt;&gt;")</f>
        <v>0</v>
      </c>
    </row>
    <row r="365" customFormat="false" ht="15" hidden="false" customHeight="true" outlineLevel="0" collapsed="false">
      <c r="A365" s="10" t="n">
        <v>46326</v>
      </c>
      <c r="B365" s="10" t="n">
        <v>46327</v>
      </c>
      <c r="C365" s="22" t="n">
        <f aca="false">SUMIFS(Verbrauch!$C$9:$C$18896,Verbrauch!$A$9:$A$18896,"&gt;="&amp;A365,Verbrauch!$A$9:$A$18896,"&lt;"&amp;B365)</f>
        <v>0</v>
      </c>
      <c r="D365" s="22" t="n">
        <f aca="false">SUMIFS(Verbrauch!$C$9:$C$18896,Verbrauch!$A$9:$A$18896,"&gt;="&amp;A365,Verbrauch!$A$9:$A$18896,"&lt;"&amp;B365,Verbrauch!$F$9:$F$18896,"Go")</f>
        <v>0</v>
      </c>
      <c r="E365" s="22" t="n">
        <f aca="false">SUMIFS(Verbrauch!$C$9:$C$18896,Verbrauch!$A$9:$A$18896,"&gt;="&amp;A365,Verbrauch!$A$9:$A$18896,"&lt;"&amp;B365,Verbrauch!$F$9:$F$18896,"Standard")</f>
        <v>0</v>
      </c>
      <c r="F365" s="23" t="n">
        <f aca="false">SUMIFS(Verbrauch!$E$9:$E$18896,Verbrauch!$A$9:$A$18896,"&gt;="&amp;A365,Verbrauch!$A$9:$A$18896,"&lt;"&amp;B365)</f>
        <v>0</v>
      </c>
      <c r="G365" s="13" t="str">
        <f aca="false">IFERROR(F365/C365*100,"")</f>
        <v/>
      </c>
      <c r="H365" s="11" t="n">
        <f aca="false">COUNTIFS(Verbrauch!$A$9:$A$18896,"&gt;="&amp;A365,Verbrauch!$A$9:$A$18896,"&lt;"&amp;B365,Verbrauch!$C$9:$C$18896,"&lt;&gt;")</f>
        <v>0</v>
      </c>
    </row>
    <row r="366" customFormat="false" ht="15" hidden="false" customHeight="true" outlineLevel="0" collapsed="false">
      <c r="A366" s="10" t="n">
        <v>46327</v>
      </c>
      <c r="B366" s="10" t="n">
        <v>46328</v>
      </c>
      <c r="C366" s="22" t="n">
        <f aca="false">SUMIFS(Verbrauch!$C$9:$C$18896,Verbrauch!$A$9:$A$18896,"&gt;="&amp;A366,Verbrauch!$A$9:$A$18896,"&lt;"&amp;B366)</f>
        <v>0</v>
      </c>
      <c r="D366" s="22" t="n">
        <f aca="false">SUMIFS(Verbrauch!$C$9:$C$18896,Verbrauch!$A$9:$A$18896,"&gt;="&amp;A366,Verbrauch!$A$9:$A$18896,"&lt;"&amp;B366,Verbrauch!$F$9:$F$18896,"Go")</f>
        <v>0</v>
      </c>
      <c r="E366" s="22" t="n">
        <f aca="false">SUMIFS(Verbrauch!$C$9:$C$18896,Verbrauch!$A$9:$A$18896,"&gt;="&amp;A366,Verbrauch!$A$9:$A$18896,"&lt;"&amp;B366,Verbrauch!$F$9:$F$18896,"Standard")</f>
        <v>0</v>
      </c>
      <c r="F366" s="23" t="n">
        <f aca="false">SUMIFS(Verbrauch!$E$9:$E$18896,Verbrauch!$A$9:$A$18896,"&gt;="&amp;A366,Verbrauch!$A$9:$A$18896,"&lt;"&amp;B366)</f>
        <v>0</v>
      </c>
      <c r="G366" s="13" t="str">
        <f aca="false">IFERROR(F366/C366*100,"")</f>
        <v/>
      </c>
      <c r="H366" s="11" t="n">
        <f aca="false">COUNTIFS(Verbrauch!$A$9:$A$18896,"&gt;="&amp;A366,Verbrauch!$A$9:$A$18896,"&lt;"&amp;B366,Verbrauch!$C$9:$C$18896,"&lt;&gt;")</f>
        <v>0</v>
      </c>
    </row>
    <row r="367" customFormat="false" ht="15" hidden="false" customHeight="true" outlineLevel="0" collapsed="false">
      <c r="A367" s="10" t="n">
        <v>46328</v>
      </c>
      <c r="B367" s="10" t="n">
        <v>46329</v>
      </c>
      <c r="C367" s="22" t="n">
        <f aca="false">SUMIFS(Verbrauch!$C$9:$C$18896,Verbrauch!$A$9:$A$18896,"&gt;="&amp;A367,Verbrauch!$A$9:$A$18896,"&lt;"&amp;B367)</f>
        <v>0</v>
      </c>
      <c r="D367" s="22" t="n">
        <f aca="false">SUMIFS(Verbrauch!$C$9:$C$18896,Verbrauch!$A$9:$A$18896,"&gt;="&amp;A367,Verbrauch!$A$9:$A$18896,"&lt;"&amp;B367,Verbrauch!$F$9:$F$18896,"Go")</f>
        <v>0</v>
      </c>
      <c r="E367" s="22" t="n">
        <f aca="false">SUMIFS(Verbrauch!$C$9:$C$18896,Verbrauch!$A$9:$A$18896,"&gt;="&amp;A367,Verbrauch!$A$9:$A$18896,"&lt;"&amp;B367,Verbrauch!$F$9:$F$18896,"Standard")</f>
        <v>0</v>
      </c>
      <c r="F367" s="23" t="n">
        <f aca="false">SUMIFS(Verbrauch!$E$9:$E$18896,Verbrauch!$A$9:$A$18896,"&gt;="&amp;A367,Verbrauch!$A$9:$A$18896,"&lt;"&amp;B367)</f>
        <v>0</v>
      </c>
      <c r="G367" s="13" t="str">
        <f aca="false">IFERROR(F367/C367*100,"")</f>
        <v/>
      </c>
      <c r="H367" s="11" t="n">
        <f aca="false">COUNTIFS(Verbrauch!$A$9:$A$18896,"&gt;="&amp;A367,Verbrauch!$A$9:$A$18896,"&lt;"&amp;B367,Verbrauch!$C$9:$C$18896,"&lt;&gt;")</f>
        <v>0</v>
      </c>
    </row>
    <row r="368" customFormat="false" ht="15" hidden="false" customHeight="true" outlineLevel="0" collapsed="false">
      <c r="A368" s="10" t="n">
        <v>46329</v>
      </c>
      <c r="B368" s="10" t="n">
        <v>46330</v>
      </c>
      <c r="C368" s="22" t="n">
        <f aca="false">SUMIFS(Verbrauch!$C$9:$C$18896,Verbrauch!$A$9:$A$18896,"&gt;="&amp;A368,Verbrauch!$A$9:$A$18896,"&lt;"&amp;B368)</f>
        <v>0</v>
      </c>
      <c r="D368" s="22" t="n">
        <f aca="false">SUMIFS(Verbrauch!$C$9:$C$18896,Verbrauch!$A$9:$A$18896,"&gt;="&amp;A368,Verbrauch!$A$9:$A$18896,"&lt;"&amp;B368,Verbrauch!$F$9:$F$18896,"Go")</f>
        <v>0</v>
      </c>
      <c r="E368" s="22" t="n">
        <f aca="false">SUMIFS(Verbrauch!$C$9:$C$18896,Verbrauch!$A$9:$A$18896,"&gt;="&amp;A368,Verbrauch!$A$9:$A$18896,"&lt;"&amp;B368,Verbrauch!$F$9:$F$18896,"Standard")</f>
        <v>0</v>
      </c>
      <c r="F368" s="23" t="n">
        <f aca="false">SUMIFS(Verbrauch!$E$9:$E$18896,Verbrauch!$A$9:$A$18896,"&gt;="&amp;A368,Verbrauch!$A$9:$A$18896,"&lt;"&amp;B368)</f>
        <v>0</v>
      </c>
      <c r="G368" s="13" t="str">
        <f aca="false">IFERROR(F368/C368*100,"")</f>
        <v/>
      </c>
      <c r="H368" s="11" t="n">
        <f aca="false">COUNTIFS(Verbrauch!$A$9:$A$18896,"&gt;="&amp;A368,Verbrauch!$A$9:$A$18896,"&lt;"&amp;B368,Verbrauch!$C$9:$C$18896,"&lt;&gt;")</f>
        <v>0</v>
      </c>
    </row>
    <row r="369" customFormat="false" ht="15" hidden="false" customHeight="true" outlineLevel="0" collapsed="false">
      <c r="A369" s="10" t="n">
        <v>46330</v>
      </c>
      <c r="B369" s="10" t="n">
        <v>46331</v>
      </c>
      <c r="C369" s="22" t="n">
        <f aca="false">SUMIFS(Verbrauch!$C$9:$C$18896,Verbrauch!$A$9:$A$18896,"&gt;="&amp;A369,Verbrauch!$A$9:$A$18896,"&lt;"&amp;B369)</f>
        <v>0</v>
      </c>
      <c r="D369" s="22" t="n">
        <f aca="false">SUMIFS(Verbrauch!$C$9:$C$18896,Verbrauch!$A$9:$A$18896,"&gt;="&amp;A369,Verbrauch!$A$9:$A$18896,"&lt;"&amp;B369,Verbrauch!$F$9:$F$18896,"Go")</f>
        <v>0</v>
      </c>
      <c r="E369" s="22" t="n">
        <f aca="false">SUMIFS(Verbrauch!$C$9:$C$18896,Verbrauch!$A$9:$A$18896,"&gt;="&amp;A369,Verbrauch!$A$9:$A$18896,"&lt;"&amp;B369,Verbrauch!$F$9:$F$18896,"Standard")</f>
        <v>0</v>
      </c>
      <c r="F369" s="23" t="n">
        <f aca="false">SUMIFS(Verbrauch!$E$9:$E$18896,Verbrauch!$A$9:$A$18896,"&gt;="&amp;A369,Verbrauch!$A$9:$A$18896,"&lt;"&amp;B369)</f>
        <v>0</v>
      </c>
      <c r="G369" s="13" t="str">
        <f aca="false">IFERROR(F369/C369*100,"")</f>
        <v/>
      </c>
      <c r="H369" s="11" t="n">
        <f aca="false">COUNTIFS(Verbrauch!$A$9:$A$18896,"&gt;="&amp;A369,Verbrauch!$A$9:$A$18896,"&lt;"&amp;B369,Verbrauch!$C$9:$C$18896,"&lt;&gt;")</f>
        <v>0</v>
      </c>
    </row>
    <row r="370" customFormat="false" ht="15" hidden="false" customHeight="true" outlineLevel="0" collapsed="false">
      <c r="A370" s="10" t="n">
        <v>46331</v>
      </c>
      <c r="B370" s="10" t="n">
        <v>46332</v>
      </c>
      <c r="C370" s="22" t="n">
        <f aca="false">SUMIFS(Verbrauch!$C$9:$C$18896,Verbrauch!$A$9:$A$18896,"&gt;="&amp;A370,Verbrauch!$A$9:$A$18896,"&lt;"&amp;B370)</f>
        <v>0</v>
      </c>
      <c r="D370" s="22" t="n">
        <f aca="false">SUMIFS(Verbrauch!$C$9:$C$18896,Verbrauch!$A$9:$A$18896,"&gt;="&amp;A370,Verbrauch!$A$9:$A$18896,"&lt;"&amp;B370,Verbrauch!$F$9:$F$18896,"Go")</f>
        <v>0</v>
      </c>
      <c r="E370" s="22" t="n">
        <f aca="false">SUMIFS(Verbrauch!$C$9:$C$18896,Verbrauch!$A$9:$A$18896,"&gt;="&amp;A370,Verbrauch!$A$9:$A$18896,"&lt;"&amp;B370,Verbrauch!$F$9:$F$18896,"Standard")</f>
        <v>0</v>
      </c>
      <c r="F370" s="23" t="n">
        <f aca="false">SUMIFS(Verbrauch!$E$9:$E$18896,Verbrauch!$A$9:$A$18896,"&gt;="&amp;A370,Verbrauch!$A$9:$A$18896,"&lt;"&amp;B370)</f>
        <v>0</v>
      </c>
      <c r="G370" s="13" t="str">
        <f aca="false">IFERROR(F370/C370*100,"")</f>
        <v/>
      </c>
      <c r="H370" s="11" t="n">
        <f aca="false">COUNTIFS(Verbrauch!$A$9:$A$18896,"&gt;="&amp;A370,Verbrauch!$A$9:$A$18896,"&lt;"&amp;B370,Verbrauch!$C$9:$C$18896,"&lt;&gt;")</f>
        <v>0</v>
      </c>
    </row>
    <row r="371" customFormat="false" ht="15" hidden="false" customHeight="true" outlineLevel="0" collapsed="false">
      <c r="A371" s="10" t="n">
        <v>46332</v>
      </c>
      <c r="B371" s="10" t="n">
        <v>46333</v>
      </c>
      <c r="C371" s="22" t="n">
        <f aca="false">SUMIFS(Verbrauch!$C$9:$C$18896,Verbrauch!$A$9:$A$18896,"&gt;="&amp;A371,Verbrauch!$A$9:$A$18896,"&lt;"&amp;B371)</f>
        <v>0</v>
      </c>
      <c r="D371" s="22" t="n">
        <f aca="false">SUMIFS(Verbrauch!$C$9:$C$18896,Verbrauch!$A$9:$A$18896,"&gt;="&amp;A371,Verbrauch!$A$9:$A$18896,"&lt;"&amp;B371,Verbrauch!$F$9:$F$18896,"Go")</f>
        <v>0</v>
      </c>
      <c r="E371" s="22" t="n">
        <f aca="false">SUMIFS(Verbrauch!$C$9:$C$18896,Verbrauch!$A$9:$A$18896,"&gt;="&amp;A371,Verbrauch!$A$9:$A$18896,"&lt;"&amp;B371,Verbrauch!$F$9:$F$18896,"Standard")</f>
        <v>0</v>
      </c>
      <c r="F371" s="23" t="n">
        <f aca="false">SUMIFS(Verbrauch!$E$9:$E$18896,Verbrauch!$A$9:$A$18896,"&gt;="&amp;A371,Verbrauch!$A$9:$A$18896,"&lt;"&amp;B371)</f>
        <v>0</v>
      </c>
      <c r="G371" s="13" t="str">
        <f aca="false">IFERROR(F371/C371*100,"")</f>
        <v/>
      </c>
      <c r="H371" s="11" t="n">
        <f aca="false">COUNTIFS(Verbrauch!$A$9:$A$18896,"&gt;="&amp;A371,Verbrauch!$A$9:$A$18896,"&lt;"&amp;B371,Verbrauch!$C$9:$C$18896,"&lt;&gt;")</f>
        <v>0</v>
      </c>
    </row>
    <row r="372" customFormat="false" ht="15" hidden="false" customHeight="true" outlineLevel="0" collapsed="false">
      <c r="A372" s="10" t="n">
        <v>46333</v>
      </c>
      <c r="B372" s="10" t="n">
        <v>46334</v>
      </c>
      <c r="C372" s="22" t="n">
        <f aca="false">SUMIFS(Verbrauch!$C$9:$C$18896,Verbrauch!$A$9:$A$18896,"&gt;="&amp;A372,Verbrauch!$A$9:$A$18896,"&lt;"&amp;B372)</f>
        <v>0</v>
      </c>
      <c r="D372" s="22" t="n">
        <f aca="false">SUMIFS(Verbrauch!$C$9:$C$18896,Verbrauch!$A$9:$A$18896,"&gt;="&amp;A372,Verbrauch!$A$9:$A$18896,"&lt;"&amp;B372,Verbrauch!$F$9:$F$18896,"Go")</f>
        <v>0</v>
      </c>
      <c r="E372" s="22" t="n">
        <f aca="false">SUMIFS(Verbrauch!$C$9:$C$18896,Verbrauch!$A$9:$A$18896,"&gt;="&amp;A372,Verbrauch!$A$9:$A$18896,"&lt;"&amp;B372,Verbrauch!$F$9:$F$18896,"Standard")</f>
        <v>0</v>
      </c>
      <c r="F372" s="23" t="n">
        <f aca="false">SUMIFS(Verbrauch!$E$9:$E$18896,Verbrauch!$A$9:$A$18896,"&gt;="&amp;A372,Verbrauch!$A$9:$A$18896,"&lt;"&amp;B372)</f>
        <v>0</v>
      </c>
      <c r="G372" s="13" t="str">
        <f aca="false">IFERROR(F372/C372*100,"")</f>
        <v/>
      </c>
      <c r="H372" s="11" t="n">
        <f aca="false">COUNTIFS(Verbrauch!$A$9:$A$18896,"&gt;="&amp;A372,Verbrauch!$A$9:$A$18896,"&lt;"&amp;B372,Verbrauch!$C$9:$C$18896,"&lt;&gt;")</f>
        <v>0</v>
      </c>
    </row>
    <row r="373" customFormat="false" ht="15" hidden="false" customHeight="true" outlineLevel="0" collapsed="false">
      <c r="A373" s="10" t="n">
        <v>46334</v>
      </c>
      <c r="B373" s="10" t="n">
        <v>46335</v>
      </c>
      <c r="C373" s="22" t="n">
        <f aca="false">SUMIFS(Verbrauch!$C$9:$C$18896,Verbrauch!$A$9:$A$18896,"&gt;="&amp;A373,Verbrauch!$A$9:$A$18896,"&lt;"&amp;B373)</f>
        <v>0</v>
      </c>
      <c r="D373" s="22" t="n">
        <f aca="false">SUMIFS(Verbrauch!$C$9:$C$18896,Verbrauch!$A$9:$A$18896,"&gt;="&amp;A373,Verbrauch!$A$9:$A$18896,"&lt;"&amp;B373,Verbrauch!$F$9:$F$18896,"Go")</f>
        <v>0</v>
      </c>
      <c r="E373" s="22" t="n">
        <f aca="false">SUMIFS(Verbrauch!$C$9:$C$18896,Verbrauch!$A$9:$A$18896,"&gt;="&amp;A373,Verbrauch!$A$9:$A$18896,"&lt;"&amp;B373,Verbrauch!$F$9:$F$18896,"Standard")</f>
        <v>0</v>
      </c>
      <c r="F373" s="23" t="n">
        <f aca="false">SUMIFS(Verbrauch!$E$9:$E$18896,Verbrauch!$A$9:$A$18896,"&gt;="&amp;A373,Verbrauch!$A$9:$A$18896,"&lt;"&amp;B373)</f>
        <v>0</v>
      </c>
      <c r="G373" s="13" t="str">
        <f aca="false">IFERROR(F373/C373*100,"")</f>
        <v/>
      </c>
      <c r="H373" s="11" t="n">
        <f aca="false">COUNTIFS(Verbrauch!$A$9:$A$18896,"&gt;="&amp;A373,Verbrauch!$A$9:$A$18896,"&lt;"&amp;B373,Verbrauch!$C$9:$C$18896,"&lt;&gt;")</f>
        <v>0</v>
      </c>
    </row>
    <row r="374" customFormat="false" ht="15" hidden="false" customHeight="true" outlineLevel="0" collapsed="false">
      <c r="A374" s="10" t="n">
        <v>46335</v>
      </c>
      <c r="B374" s="10" t="n">
        <v>46336</v>
      </c>
      <c r="C374" s="22" t="n">
        <f aca="false">SUMIFS(Verbrauch!$C$9:$C$18896,Verbrauch!$A$9:$A$18896,"&gt;="&amp;A374,Verbrauch!$A$9:$A$18896,"&lt;"&amp;B374)</f>
        <v>0</v>
      </c>
      <c r="D374" s="22" t="n">
        <f aca="false">SUMIFS(Verbrauch!$C$9:$C$18896,Verbrauch!$A$9:$A$18896,"&gt;="&amp;A374,Verbrauch!$A$9:$A$18896,"&lt;"&amp;B374,Verbrauch!$F$9:$F$18896,"Go")</f>
        <v>0</v>
      </c>
      <c r="E374" s="22" t="n">
        <f aca="false">SUMIFS(Verbrauch!$C$9:$C$18896,Verbrauch!$A$9:$A$18896,"&gt;="&amp;A374,Verbrauch!$A$9:$A$18896,"&lt;"&amp;B374,Verbrauch!$F$9:$F$18896,"Standard")</f>
        <v>0</v>
      </c>
      <c r="F374" s="23" t="n">
        <f aca="false">SUMIFS(Verbrauch!$E$9:$E$18896,Verbrauch!$A$9:$A$18896,"&gt;="&amp;A374,Verbrauch!$A$9:$A$18896,"&lt;"&amp;B374)</f>
        <v>0</v>
      </c>
      <c r="G374" s="13" t="str">
        <f aca="false">IFERROR(F374/C374*100,"")</f>
        <v/>
      </c>
      <c r="H374" s="11" t="n">
        <f aca="false">COUNTIFS(Verbrauch!$A$9:$A$18896,"&gt;="&amp;A374,Verbrauch!$A$9:$A$18896,"&lt;"&amp;B374,Verbrauch!$C$9:$C$18896,"&lt;&gt;")</f>
        <v>0</v>
      </c>
    </row>
    <row r="375" customFormat="false" ht="15" hidden="false" customHeight="true" outlineLevel="0" collapsed="false">
      <c r="A375" s="10" t="n">
        <v>46336</v>
      </c>
      <c r="B375" s="10" t="n">
        <v>46337</v>
      </c>
      <c r="C375" s="22" t="n">
        <f aca="false">SUMIFS(Verbrauch!$C$9:$C$18896,Verbrauch!$A$9:$A$18896,"&gt;="&amp;A375,Verbrauch!$A$9:$A$18896,"&lt;"&amp;B375)</f>
        <v>0</v>
      </c>
      <c r="D375" s="22" t="n">
        <f aca="false">SUMIFS(Verbrauch!$C$9:$C$18896,Verbrauch!$A$9:$A$18896,"&gt;="&amp;A375,Verbrauch!$A$9:$A$18896,"&lt;"&amp;B375,Verbrauch!$F$9:$F$18896,"Go")</f>
        <v>0</v>
      </c>
      <c r="E375" s="22" t="n">
        <f aca="false">SUMIFS(Verbrauch!$C$9:$C$18896,Verbrauch!$A$9:$A$18896,"&gt;="&amp;A375,Verbrauch!$A$9:$A$18896,"&lt;"&amp;B375,Verbrauch!$F$9:$F$18896,"Standard")</f>
        <v>0</v>
      </c>
      <c r="F375" s="23" t="n">
        <f aca="false">SUMIFS(Verbrauch!$E$9:$E$18896,Verbrauch!$A$9:$A$18896,"&gt;="&amp;A375,Verbrauch!$A$9:$A$18896,"&lt;"&amp;B375)</f>
        <v>0</v>
      </c>
      <c r="G375" s="13" t="str">
        <f aca="false">IFERROR(F375/C375*100,"")</f>
        <v/>
      </c>
      <c r="H375" s="11" t="n">
        <f aca="false">COUNTIFS(Verbrauch!$A$9:$A$18896,"&gt;="&amp;A375,Verbrauch!$A$9:$A$18896,"&lt;"&amp;B375,Verbrauch!$C$9:$C$18896,"&lt;&gt;")</f>
        <v>0</v>
      </c>
    </row>
    <row r="376" customFormat="false" ht="15" hidden="false" customHeight="true" outlineLevel="0" collapsed="false">
      <c r="A376" s="10" t="n">
        <v>46337</v>
      </c>
      <c r="B376" s="10" t="n">
        <v>46338</v>
      </c>
      <c r="C376" s="22" t="n">
        <f aca="false">SUMIFS(Verbrauch!$C$9:$C$18896,Verbrauch!$A$9:$A$18896,"&gt;="&amp;A376,Verbrauch!$A$9:$A$18896,"&lt;"&amp;B376)</f>
        <v>0</v>
      </c>
      <c r="D376" s="22" t="n">
        <f aca="false">SUMIFS(Verbrauch!$C$9:$C$18896,Verbrauch!$A$9:$A$18896,"&gt;="&amp;A376,Verbrauch!$A$9:$A$18896,"&lt;"&amp;B376,Verbrauch!$F$9:$F$18896,"Go")</f>
        <v>0</v>
      </c>
      <c r="E376" s="22" t="n">
        <f aca="false">SUMIFS(Verbrauch!$C$9:$C$18896,Verbrauch!$A$9:$A$18896,"&gt;="&amp;A376,Verbrauch!$A$9:$A$18896,"&lt;"&amp;B376,Verbrauch!$F$9:$F$18896,"Standard")</f>
        <v>0</v>
      </c>
      <c r="F376" s="23" t="n">
        <f aca="false">SUMIFS(Verbrauch!$E$9:$E$18896,Verbrauch!$A$9:$A$18896,"&gt;="&amp;A376,Verbrauch!$A$9:$A$18896,"&lt;"&amp;B376)</f>
        <v>0</v>
      </c>
      <c r="G376" s="13" t="str">
        <f aca="false">IFERROR(F376/C376*100,"")</f>
        <v/>
      </c>
      <c r="H376" s="11" t="n">
        <f aca="false">COUNTIFS(Verbrauch!$A$9:$A$18896,"&gt;="&amp;A376,Verbrauch!$A$9:$A$18896,"&lt;"&amp;B376,Verbrauch!$C$9:$C$18896,"&lt;&gt;")</f>
        <v>0</v>
      </c>
    </row>
    <row r="377" customFormat="false" ht="15" hidden="false" customHeight="true" outlineLevel="0" collapsed="false">
      <c r="A377" s="10" t="n">
        <v>46338</v>
      </c>
      <c r="B377" s="10" t="n">
        <v>46339</v>
      </c>
      <c r="C377" s="22" t="n">
        <f aca="false">SUMIFS(Verbrauch!$C$9:$C$18896,Verbrauch!$A$9:$A$18896,"&gt;="&amp;A377,Verbrauch!$A$9:$A$18896,"&lt;"&amp;B377)</f>
        <v>0</v>
      </c>
      <c r="D377" s="22" t="n">
        <f aca="false">SUMIFS(Verbrauch!$C$9:$C$18896,Verbrauch!$A$9:$A$18896,"&gt;="&amp;A377,Verbrauch!$A$9:$A$18896,"&lt;"&amp;B377,Verbrauch!$F$9:$F$18896,"Go")</f>
        <v>0</v>
      </c>
      <c r="E377" s="22" t="n">
        <f aca="false">SUMIFS(Verbrauch!$C$9:$C$18896,Verbrauch!$A$9:$A$18896,"&gt;="&amp;A377,Verbrauch!$A$9:$A$18896,"&lt;"&amp;B377,Verbrauch!$F$9:$F$18896,"Standard")</f>
        <v>0</v>
      </c>
      <c r="F377" s="23" t="n">
        <f aca="false">SUMIFS(Verbrauch!$E$9:$E$18896,Verbrauch!$A$9:$A$18896,"&gt;="&amp;A377,Verbrauch!$A$9:$A$18896,"&lt;"&amp;B377)</f>
        <v>0</v>
      </c>
      <c r="G377" s="13" t="str">
        <f aca="false">IFERROR(F377/C377*100,"")</f>
        <v/>
      </c>
      <c r="H377" s="11" t="n">
        <f aca="false">COUNTIFS(Verbrauch!$A$9:$A$18896,"&gt;="&amp;A377,Verbrauch!$A$9:$A$18896,"&lt;"&amp;B377,Verbrauch!$C$9:$C$18896,"&lt;&gt;")</f>
        <v>0</v>
      </c>
    </row>
    <row r="378" customFormat="false" ht="15" hidden="false" customHeight="true" outlineLevel="0" collapsed="false">
      <c r="A378" s="10" t="n">
        <v>46339</v>
      </c>
      <c r="B378" s="10" t="n">
        <v>46340</v>
      </c>
      <c r="C378" s="22" t="n">
        <f aca="false">SUMIFS(Verbrauch!$C$9:$C$18896,Verbrauch!$A$9:$A$18896,"&gt;="&amp;A378,Verbrauch!$A$9:$A$18896,"&lt;"&amp;B378)</f>
        <v>0</v>
      </c>
      <c r="D378" s="22" t="n">
        <f aca="false">SUMIFS(Verbrauch!$C$9:$C$18896,Verbrauch!$A$9:$A$18896,"&gt;="&amp;A378,Verbrauch!$A$9:$A$18896,"&lt;"&amp;B378,Verbrauch!$F$9:$F$18896,"Go")</f>
        <v>0</v>
      </c>
      <c r="E378" s="22" t="n">
        <f aca="false">SUMIFS(Verbrauch!$C$9:$C$18896,Verbrauch!$A$9:$A$18896,"&gt;="&amp;A378,Verbrauch!$A$9:$A$18896,"&lt;"&amp;B378,Verbrauch!$F$9:$F$18896,"Standard")</f>
        <v>0</v>
      </c>
      <c r="F378" s="23" t="n">
        <f aca="false">SUMIFS(Verbrauch!$E$9:$E$18896,Verbrauch!$A$9:$A$18896,"&gt;="&amp;A378,Verbrauch!$A$9:$A$18896,"&lt;"&amp;B378)</f>
        <v>0</v>
      </c>
      <c r="G378" s="13" t="str">
        <f aca="false">IFERROR(F378/C378*100,"")</f>
        <v/>
      </c>
      <c r="H378" s="11" t="n">
        <f aca="false">COUNTIFS(Verbrauch!$A$9:$A$18896,"&gt;="&amp;A378,Verbrauch!$A$9:$A$18896,"&lt;"&amp;B378,Verbrauch!$C$9:$C$18896,"&lt;&gt;")</f>
        <v>0</v>
      </c>
    </row>
    <row r="379" customFormat="false" ht="15" hidden="false" customHeight="true" outlineLevel="0" collapsed="false">
      <c r="A379" s="10" t="n">
        <v>46340</v>
      </c>
      <c r="B379" s="10" t="n">
        <v>46341</v>
      </c>
      <c r="C379" s="22" t="n">
        <f aca="false">SUMIFS(Verbrauch!$C$9:$C$18896,Verbrauch!$A$9:$A$18896,"&gt;="&amp;A379,Verbrauch!$A$9:$A$18896,"&lt;"&amp;B379)</f>
        <v>0</v>
      </c>
      <c r="D379" s="22" t="n">
        <f aca="false">SUMIFS(Verbrauch!$C$9:$C$18896,Verbrauch!$A$9:$A$18896,"&gt;="&amp;A379,Verbrauch!$A$9:$A$18896,"&lt;"&amp;B379,Verbrauch!$F$9:$F$18896,"Go")</f>
        <v>0</v>
      </c>
      <c r="E379" s="22" t="n">
        <f aca="false">SUMIFS(Verbrauch!$C$9:$C$18896,Verbrauch!$A$9:$A$18896,"&gt;="&amp;A379,Verbrauch!$A$9:$A$18896,"&lt;"&amp;B379,Verbrauch!$F$9:$F$18896,"Standard")</f>
        <v>0</v>
      </c>
      <c r="F379" s="23" t="n">
        <f aca="false">SUMIFS(Verbrauch!$E$9:$E$18896,Verbrauch!$A$9:$A$18896,"&gt;="&amp;A379,Verbrauch!$A$9:$A$18896,"&lt;"&amp;B379)</f>
        <v>0</v>
      </c>
      <c r="G379" s="13" t="str">
        <f aca="false">IFERROR(F379/C379*100,"")</f>
        <v/>
      </c>
      <c r="H379" s="11" t="n">
        <f aca="false">COUNTIFS(Verbrauch!$A$9:$A$18896,"&gt;="&amp;A379,Verbrauch!$A$9:$A$18896,"&lt;"&amp;B379,Verbrauch!$C$9:$C$18896,"&lt;&gt;")</f>
        <v>0</v>
      </c>
    </row>
    <row r="380" customFormat="false" ht="15" hidden="false" customHeight="true" outlineLevel="0" collapsed="false">
      <c r="A380" s="10" t="n">
        <v>46341</v>
      </c>
      <c r="B380" s="10" t="n">
        <v>46342</v>
      </c>
      <c r="C380" s="22" t="n">
        <f aca="false">SUMIFS(Verbrauch!$C$9:$C$18896,Verbrauch!$A$9:$A$18896,"&gt;="&amp;A380,Verbrauch!$A$9:$A$18896,"&lt;"&amp;B380)</f>
        <v>0</v>
      </c>
      <c r="D380" s="22" t="n">
        <f aca="false">SUMIFS(Verbrauch!$C$9:$C$18896,Verbrauch!$A$9:$A$18896,"&gt;="&amp;A380,Verbrauch!$A$9:$A$18896,"&lt;"&amp;B380,Verbrauch!$F$9:$F$18896,"Go")</f>
        <v>0</v>
      </c>
      <c r="E380" s="22" t="n">
        <f aca="false">SUMIFS(Verbrauch!$C$9:$C$18896,Verbrauch!$A$9:$A$18896,"&gt;="&amp;A380,Verbrauch!$A$9:$A$18896,"&lt;"&amp;B380,Verbrauch!$F$9:$F$18896,"Standard")</f>
        <v>0</v>
      </c>
      <c r="F380" s="23" t="n">
        <f aca="false">SUMIFS(Verbrauch!$E$9:$E$18896,Verbrauch!$A$9:$A$18896,"&gt;="&amp;A380,Verbrauch!$A$9:$A$18896,"&lt;"&amp;B380)</f>
        <v>0</v>
      </c>
      <c r="G380" s="13" t="str">
        <f aca="false">IFERROR(F380/C380*100,"")</f>
        <v/>
      </c>
      <c r="H380" s="11" t="n">
        <f aca="false">COUNTIFS(Verbrauch!$A$9:$A$18896,"&gt;="&amp;A380,Verbrauch!$A$9:$A$18896,"&lt;"&amp;B380,Verbrauch!$C$9:$C$18896,"&lt;&gt;")</f>
        <v>0</v>
      </c>
    </row>
    <row r="381" customFormat="false" ht="15" hidden="false" customHeight="true" outlineLevel="0" collapsed="false">
      <c r="A381" s="10" t="n">
        <v>46342</v>
      </c>
      <c r="B381" s="10" t="n">
        <v>46343</v>
      </c>
      <c r="C381" s="22" t="n">
        <f aca="false">SUMIFS(Verbrauch!$C$9:$C$18896,Verbrauch!$A$9:$A$18896,"&gt;="&amp;A381,Verbrauch!$A$9:$A$18896,"&lt;"&amp;B381)</f>
        <v>0</v>
      </c>
      <c r="D381" s="22" t="n">
        <f aca="false">SUMIFS(Verbrauch!$C$9:$C$18896,Verbrauch!$A$9:$A$18896,"&gt;="&amp;A381,Verbrauch!$A$9:$A$18896,"&lt;"&amp;B381,Verbrauch!$F$9:$F$18896,"Go")</f>
        <v>0</v>
      </c>
      <c r="E381" s="22" t="n">
        <f aca="false">SUMIFS(Verbrauch!$C$9:$C$18896,Verbrauch!$A$9:$A$18896,"&gt;="&amp;A381,Verbrauch!$A$9:$A$18896,"&lt;"&amp;B381,Verbrauch!$F$9:$F$18896,"Standard")</f>
        <v>0</v>
      </c>
      <c r="F381" s="23" t="n">
        <f aca="false">SUMIFS(Verbrauch!$E$9:$E$18896,Verbrauch!$A$9:$A$18896,"&gt;="&amp;A381,Verbrauch!$A$9:$A$18896,"&lt;"&amp;B381)</f>
        <v>0</v>
      </c>
      <c r="G381" s="13" t="str">
        <f aca="false">IFERROR(F381/C381*100,"")</f>
        <v/>
      </c>
      <c r="H381" s="11" t="n">
        <f aca="false">COUNTIFS(Verbrauch!$A$9:$A$18896,"&gt;="&amp;A381,Verbrauch!$A$9:$A$18896,"&lt;"&amp;B381,Verbrauch!$C$9:$C$18896,"&lt;&gt;")</f>
        <v>0</v>
      </c>
    </row>
    <row r="382" customFormat="false" ht="15" hidden="false" customHeight="true" outlineLevel="0" collapsed="false">
      <c r="A382" s="10" t="n">
        <v>46343</v>
      </c>
      <c r="B382" s="10" t="n">
        <v>46344</v>
      </c>
      <c r="C382" s="22" t="n">
        <f aca="false">SUMIFS(Verbrauch!$C$9:$C$18896,Verbrauch!$A$9:$A$18896,"&gt;="&amp;A382,Verbrauch!$A$9:$A$18896,"&lt;"&amp;B382)</f>
        <v>0</v>
      </c>
      <c r="D382" s="22" t="n">
        <f aca="false">SUMIFS(Verbrauch!$C$9:$C$18896,Verbrauch!$A$9:$A$18896,"&gt;="&amp;A382,Verbrauch!$A$9:$A$18896,"&lt;"&amp;B382,Verbrauch!$F$9:$F$18896,"Go")</f>
        <v>0</v>
      </c>
      <c r="E382" s="22" t="n">
        <f aca="false">SUMIFS(Verbrauch!$C$9:$C$18896,Verbrauch!$A$9:$A$18896,"&gt;="&amp;A382,Verbrauch!$A$9:$A$18896,"&lt;"&amp;B382,Verbrauch!$F$9:$F$18896,"Standard")</f>
        <v>0</v>
      </c>
      <c r="F382" s="23" t="n">
        <f aca="false">SUMIFS(Verbrauch!$E$9:$E$18896,Verbrauch!$A$9:$A$18896,"&gt;="&amp;A382,Verbrauch!$A$9:$A$18896,"&lt;"&amp;B382)</f>
        <v>0</v>
      </c>
      <c r="G382" s="13" t="str">
        <f aca="false">IFERROR(F382/C382*100,"")</f>
        <v/>
      </c>
      <c r="H382" s="11" t="n">
        <f aca="false">COUNTIFS(Verbrauch!$A$9:$A$18896,"&gt;="&amp;A382,Verbrauch!$A$9:$A$18896,"&lt;"&amp;B382,Verbrauch!$C$9:$C$18896,"&lt;&gt;")</f>
        <v>0</v>
      </c>
    </row>
    <row r="383" customFormat="false" ht="15" hidden="false" customHeight="true" outlineLevel="0" collapsed="false">
      <c r="A383" s="10" t="n">
        <v>46344</v>
      </c>
      <c r="B383" s="10" t="n">
        <v>46345</v>
      </c>
      <c r="C383" s="22" t="n">
        <f aca="false">SUMIFS(Verbrauch!$C$9:$C$18896,Verbrauch!$A$9:$A$18896,"&gt;="&amp;A383,Verbrauch!$A$9:$A$18896,"&lt;"&amp;B383)</f>
        <v>0</v>
      </c>
      <c r="D383" s="22" t="n">
        <f aca="false">SUMIFS(Verbrauch!$C$9:$C$18896,Verbrauch!$A$9:$A$18896,"&gt;="&amp;A383,Verbrauch!$A$9:$A$18896,"&lt;"&amp;B383,Verbrauch!$F$9:$F$18896,"Go")</f>
        <v>0</v>
      </c>
      <c r="E383" s="22" t="n">
        <f aca="false">SUMIFS(Verbrauch!$C$9:$C$18896,Verbrauch!$A$9:$A$18896,"&gt;="&amp;A383,Verbrauch!$A$9:$A$18896,"&lt;"&amp;B383,Verbrauch!$F$9:$F$18896,"Standard")</f>
        <v>0</v>
      </c>
      <c r="F383" s="23" t="n">
        <f aca="false">SUMIFS(Verbrauch!$E$9:$E$18896,Verbrauch!$A$9:$A$18896,"&gt;="&amp;A383,Verbrauch!$A$9:$A$18896,"&lt;"&amp;B383)</f>
        <v>0</v>
      </c>
      <c r="G383" s="13" t="str">
        <f aca="false">IFERROR(F383/C383*100,"")</f>
        <v/>
      </c>
      <c r="H383" s="11" t="n">
        <f aca="false">COUNTIFS(Verbrauch!$A$9:$A$18896,"&gt;="&amp;A383,Verbrauch!$A$9:$A$18896,"&lt;"&amp;B383,Verbrauch!$C$9:$C$18896,"&lt;&gt;")</f>
        <v>0</v>
      </c>
    </row>
    <row r="384" customFormat="false" ht="15" hidden="false" customHeight="true" outlineLevel="0" collapsed="false">
      <c r="A384" s="10" t="n">
        <v>46345</v>
      </c>
      <c r="B384" s="10" t="n">
        <v>46346</v>
      </c>
      <c r="C384" s="22" t="n">
        <f aca="false">SUMIFS(Verbrauch!$C$9:$C$18896,Verbrauch!$A$9:$A$18896,"&gt;="&amp;A384,Verbrauch!$A$9:$A$18896,"&lt;"&amp;B384)</f>
        <v>0</v>
      </c>
      <c r="D384" s="22" t="n">
        <f aca="false">SUMIFS(Verbrauch!$C$9:$C$18896,Verbrauch!$A$9:$A$18896,"&gt;="&amp;A384,Verbrauch!$A$9:$A$18896,"&lt;"&amp;B384,Verbrauch!$F$9:$F$18896,"Go")</f>
        <v>0</v>
      </c>
      <c r="E384" s="22" t="n">
        <f aca="false">SUMIFS(Verbrauch!$C$9:$C$18896,Verbrauch!$A$9:$A$18896,"&gt;="&amp;A384,Verbrauch!$A$9:$A$18896,"&lt;"&amp;B384,Verbrauch!$F$9:$F$18896,"Standard")</f>
        <v>0</v>
      </c>
      <c r="F384" s="23" t="n">
        <f aca="false">SUMIFS(Verbrauch!$E$9:$E$18896,Verbrauch!$A$9:$A$18896,"&gt;="&amp;A384,Verbrauch!$A$9:$A$18896,"&lt;"&amp;B384)</f>
        <v>0</v>
      </c>
      <c r="G384" s="13" t="str">
        <f aca="false">IFERROR(F384/C384*100,"")</f>
        <v/>
      </c>
      <c r="H384" s="11" t="n">
        <f aca="false">COUNTIFS(Verbrauch!$A$9:$A$18896,"&gt;="&amp;A384,Verbrauch!$A$9:$A$18896,"&lt;"&amp;B384,Verbrauch!$C$9:$C$18896,"&lt;&gt;")</f>
        <v>0</v>
      </c>
    </row>
    <row r="385" customFormat="false" ht="15" hidden="false" customHeight="true" outlineLevel="0" collapsed="false">
      <c r="A385" s="10" t="n">
        <v>46346</v>
      </c>
      <c r="B385" s="10" t="n">
        <v>46347</v>
      </c>
      <c r="C385" s="22" t="n">
        <f aca="false">SUMIFS(Verbrauch!$C$9:$C$18896,Verbrauch!$A$9:$A$18896,"&gt;="&amp;A385,Verbrauch!$A$9:$A$18896,"&lt;"&amp;B385)</f>
        <v>0</v>
      </c>
      <c r="D385" s="22" t="n">
        <f aca="false">SUMIFS(Verbrauch!$C$9:$C$18896,Verbrauch!$A$9:$A$18896,"&gt;="&amp;A385,Verbrauch!$A$9:$A$18896,"&lt;"&amp;B385,Verbrauch!$F$9:$F$18896,"Go")</f>
        <v>0</v>
      </c>
      <c r="E385" s="22" t="n">
        <f aca="false">SUMIFS(Verbrauch!$C$9:$C$18896,Verbrauch!$A$9:$A$18896,"&gt;="&amp;A385,Verbrauch!$A$9:$A$18896,"&lt;"&amp;B385,Verbrauch!$F$9:$F$18896,"Standard")</f>
        <v>0</v>
      </c>
      <c r="F385" s="23" t="n">
        <f aca="false">SUMIFS(Verbrauch!$E$9:$E$18896,Verbrauch!$A$9:$A$18896,"&gt;="&amp;A385,Verbrauch!$A$9:$A$18896,"&lt;"&amp;B385)</f>
        <v>0</v>
      </c>
      <c r="G385" s="13" t="str">
        <f aca="false">IFERROR(F385/C385*100,"")</f>
        <v/>
      </c>
      <c r="H385" s="11" t="n">
        <f aca="false">COUNTIFS(Verbrauch!$A$9:$A$18896,"&gt;="&amp;A385,Verbrauch!$A$9:$A$18896,"&lt;"&amp;B385,Verbrauch!$C$9:$C$18896,"&lt;&gt;")</f>
        <v>0</v>
      </c>
    </row>
    <row r="386" customFormat="false" ht="15" hidden="false" customHeight="true" outlineLevel="0" collapsed="false">
      <c r="A386" s="10" t="n">
        <v>46347</v>
      </c>
      <c r="B386" s="10" t="n">
        <v>46348</v>
      </c>
      <c r="C386" s="22" t="n">
        <f aca="false">SUMIFS(Verbrauch!$C$9:$C$18896,Verbrauch!$A$9:$A$18896,"&gt;="&amp;A386,Verbrauch!$A$9:$A$18896,"&lt;"&amp;B386)</f>
        <v>0</v>
      </c>
      <c r="D386" s="22" t="n">
        <f aca="false">SUMIFS(Verbrauch!$C$9:$C$18896,Verbrauch!$A$9:$A$18896,"&gt;="&amp;A386,Verbrauch!$A$9:$A$18896,"&lt;"&amp;B386,Verbrauch!$F$9:$F$18896,"Go")</f>
        <v>0</v>
      </c>
      <c r="E386" s="22" t="n">
        <f aca="false">SUMIFS(Verbrauch!$C$9:$C$18896,Verbrauch!$A$9:$A$18896,"&gt;="&amp;A386,Verbrauch!$A$9:$A$18896,"&lt;"&amp;B386,Verbrauch!$F$9:$F$18896,"Standard")</f>
        <v>0</v>
      </c>
      <c r="F386" s="23" t="n">
        <f aca="false">SUMIFS(Verbrauch!$E$9:$E$18896,Verbrauch!$A$9:$A$18896,"&gt;="&amp;A386,Verbrauch!$A$9:$A$18896,"&lt;"&amp;B386)</f>
        <v>0</v>
      </c>
      <c r="G386" s="13" t="str">
        <f aca="false">IFERROR(F386/C386*100,"")</f>
        <v/>
      </c>
      <c r="H386" s="11" t="n">
        <f aca="false">COUNTIFS(Verbrauch!$A$9:$A$18896,"&gt;="&amp;A386,Verbrauch!$A$9:$A$18896,"&lt;"&amp;B386,Verbrauch!$C$9:$C$18896,"&lt;&gt;")</f>
        <v>0</v>
      </c>
    </row>
    <row r="387" customFormat="false" ht="15" hidden="false" customHeight="true" outlineLevel="0" collapsed="false">
      <c r="A387" s="10" t="n">
        <v>46348</v>
      </c>
      <c r="B387" s="10" t="n">
        <v>46349</v>
      </c>
      <c r="C387" s="22" t="n">
        <f aca="false">SUMIFS(Verbrauch!$C$9:$C$18896,Verbrauch!$A$9:$A$18896,"&gt;="&amp;A387,Verbrauch!$A$9:$A$18896,"&lt;"&amp;B387)</f>
        <v>0</v>
      </c>
      <c r="D387" s="22" t="n">
        <f aca="false">SUMIFS(Verbrauch!$C$9:$C$18896,Verbrauch!$A$9:$A$18896,"&gt;="&amp;A387,Verbrauch!$A$9:$A$18896,"&lt;"&amp;B387,Verbrauch!$F$9:$F$18896,"Go")</f>
        <v>0</v>
      </c>
      <c r="E387" s="22" t="n">
        <f aca="false">SUMIFS(Verbrauch!$C$9:$C$18896,Verbrauch!$A$9:$A$18896,"&gt;="&amp;A387,Verbrauch!$A$9:$A$18896,"&lt;"&amp;B387,Verbrauch!$F$9:$F$18896,"Standard")</f>
        <v>0</v>
      </c>
      <c r="F387" s="23" t="n">
        <f aca="false">SUMIFS(Verbrauch!$E$9:$E$18896,Verbrauch!$A$9:$A$18896,"&gt;="&amp;A387,Verbrauch!$A$9:$A$18896,"&lt;"&amp;B387)</f>
        <v>0</v>
      </c>
      <c r="G387" s="13" t="str">
        <f aca="false">IFERROR(F387/C387*100,"")</f>
        <v/>
      </c>
      <c r="H387" s="11" t="n">
        <f aca="false">COUNTIFS(Verbrauch!$A$9:$A$18896,"&gt;="&amp;A387,Verbrauch!$A$9:$A$18896,"&lt;"&amp;B387,Verbrauch!$C$9:$C$18896,"&lt;&gt;")</f>
        <v>0</v>
      </c>
    </row>
    <row r="388" customFormat="false" ht="15" hidden="false" customHeight="true" outlineLevel="0" collapsed="false">
      <c r="A388" s="10" t="n">
        <v>46349</v>
      </c>
      <c r="B388" s="10" t="n">
        <v>46350</v>
      </c>
      <c r="C388" s="22" t="n">
        <f aca="false">SUMIFS(Verbrauch!$C$9:$C$18896,Verbrauch!$A$9:$A$18896,"&gt;="&amp;A388,Verbrauch!$A$9:$A$18896,"&lt;"&amp;B388)</f>
        <v>0</v>
      </c>
      <c r="D388" s="22" t="n">
        <f aca="false">SUMIFS(Verbrauch!$C$9:$C$18896,Verbrauch!$A$9:$A$18896,"&gt;="&amp;A388,Verbrauch!$A$9:$A$18896,"&lt;"&amp;B388,Verbrauch!$F$9:$F$18896,"Go")</f>
        <v>0</v>
      </c>
      <c r="E388" s="22" t="n">
        <f aca="false">SUMIFS(Verbrauch!$C$9:$C$18896,Verbrauch!$A$9:$A$18896,"&gt;="&amp;A388,Verbrauch!$A$9:$A$18896,"&lt;"&amp;B388,Verbrauch!$F$9:$F$18896,"Standard")</f>
        <v>0</v>
      </c>
      <c r="F388" s="23" t="n">
        <f aca="false">SUMIFS(Verbrauch!$E$9:$E$18896,Verbrauch!$A$9:$A$18896,"&gt;="&amp;A388,Verbrauch!$A$9:$A$18896,"&lt;"&amp;B388)</f>
        <v>0</v>
      </c>
      <c r="G388" s="13" t="str">
        <f aca="false">IFERROR(F388/C388*100,"")</f>
        <v/>
      </c>
      <c r="H388" s="11" t="n">
        <f aca="false">COUNTIFS(Verbrauch!$A$9:$A$18896,"&gt;="&amp;A388,Verbrauch!$A$9:$A$18896,"&lt;"&amp;B388,Verbrauch!$C$9:$C$18896,"&lt;&gt;")</f>
        <v>0</v>
      </c>
    </row>
    <row r="389" customFormat="false" ht="15" hidden="false" customHeight="true" outlineLevel="0" collapsed="false">
      <c r="A389" s="10" t="n">
        <v>46350</v>
      </c>
      <c r="B389" s="10" t="n">
        <v>46351</v>
      </c>
      <c r="C389" s="22" t="n">
        <f aca="false">SUMIFS(Verbrauch!$C$9:$C$18896,Verbrauch!$A$9:$A$18896,"&gt;="&amp;A389,Verbrauch!$A$9:$A$18896,"&lt;"&amp;B389)</f>
        <v>0</v>
      </c>
      <c r="D389" s="22" t="n">
        <f aca="false">SUMIFS(Verbrauch!$C$9:$C$18896,Verbrauch!$A$9:$A$18896,"&gt;="&amp;A389,Verbrauch!$A$9:$A$18896,"&lt;"&amp;B389,Verbrauch!$F$9:$F$18896,"Go")</f>
        <v>0</v>
      </c>
      <c r="E389" s="22" t="n">
        <f aca="false">SUMIFS(Verbrauch!$C$9:$C$18896,Verbrauch!$A$9:$A$18896,"&gt;="&amp;A389,Verbrauch!$A$9:$A$18896,"&lt;"&amp;B389,Verbrauch!$F$9:$F$18896,"Standard")</f>
        <v>0</v>
      </c>
      <c r="F389" s="23" t="n">
        <f aca="false">SUMIFS(Verbrauch!$E$9:$E$18896,Verbrauch!$A$9:$A$18896,"&gt;="&amp;A389,Verbrauch!$A$9:$A$18896,"&lt;"&amp;B389)</f>
        <v>0</v>
      </c>
      <c r="G389" s="13" t="str">
        <f aca="false">IFERROR(F389/C389*100,"")</f>
        <v/>
      </c>
      <c r="H389" s="11" t="n">
        <f aca="false">COUNTIFS(Verbrauch!$A$9:$A$18896,"&gt;="&amp;A389,Verbrauch!$A$9:$A$18896,"&lt;"&amp;B389,Verbrauch!$C$9:$C$18896,"&lt;&gt;")</f>
        <v>0</v>
      </c>
    </row>
    <row r="390" customFormat="false" ht="15" hidden="false" customHeight="true" outlineLevel="0" collapsed="false">
      <c r="A390" s="10" t="n">
        <v>46351</v>
      </c>
      <c r="B390" s="10" t="n">
        <v>46352</v>
      </c>
      <c r="C390" s="22" t="n">
        <f aca="false">SUMIFS(Verbrauch!$C$9:$C$18896,Verbrauch!$A$9:$A$18896,"&gt;="&amp;A390,Verbrauch!$A$9:$A$18896,"&lt;"&amp;B390)</f>
        <v>0</v>
      </c>
      <c r="D390" s="22" t="n">
        <f aca="false">SUMIFS(Verbrauch!$C$9:$C$18896,Verbrauch!$A$9:$A$18896,"&gt;="&amp;A390,Verbrauch!$A$9:$A$18896,"&lt;"&amp;B390,Verbrauch!$F$9:$F$18896,"Go")</f>
        <v>0</v>
      </c>
      <c r="E390" s="22" t="n">
        <f aca="false">SUMIFS(Verbrauch!$C$9:$C$18896,Verbrauch!$A$9:$A$18896,"&gt;="&amp;A390,Verbrauch!$A$9:$A$18896,"&lt;"&amp;B390,Verbrauch!$F$9:$F$18896,"Standard")</f>
        <v>0</v>
      </c>
      <c r="F390" s="23" t="n">
        <f aca="false">SUMIFS(Verbrauch!$E$9:$E$18896,Verbrauch!$A$9:$A$18896,"&gt;="&amp;A390,Verbrauch!$A$9:$A$18896,"&lt;"&amp;B390)</f>
        <v>0</v>
      </c>
      <c r="G390" s="13" t="str">
        <f aca="false">IFERROR(F390/C390*100,"")</f>
        <v/>
      </c>
      <c r="H390" s="11" t="n">
        <f aca="false">COUNTIFS(Verbrauch!$A$9:$A$18896,"&gt;="&amp;A390,Verbrauch!$A$9:$A$18896,"&lt;"&amp;B390,Verbrauch!$C$9:$C$18896,"&lt;&gt;")</f>
        <v>0</v>
      </c>
    </row>
    <row r="391" customFormat="false" ht="15" hidden="false" customHeight="true" outlineLevel="0" collapsed="false">
      <c r="A391" s="10" t="n">
        <v>46352</v>
      </c>
      <c r="B391" s="10" t="n">
        <v>46353</v>
      </c>
      <c r="C391" s="22" t="n">
        <f aca="false">SUMIFS(Verbrauch!$C$9:$C$18896,Verbrauch!$A$9:$A$18896,"&gt;="&amp;A391,Verbrauch!$A$9:$A$18896,"&lt;"&amp;B391)</f>
        <v>0</v>
      </c>
      <c r="D391" s="22" t="n">
        <f aca="false">SUMIFS(Verbrauch!$C$9:$C$18896,Verbrauch!$A$9:$A$18896,"&gt;="&amp;A391,Verbrauch!$A$9:$A$18896,"&lt;"&amp;B391,Verbrauch!$F$9:$F$18896,"Go")</f>
        <v>0</v>
      </c>
      <c r="E391" s="22" t="n">
        <f aca="false">SUMIFS(Verbrauch!$C$9:$C$18896,Verbrauch!$A$9:$A$18896,"&gt;="&amp;A391,Verbrauch!$A$9:$A$18896,"&lt;"&amp;B391,Verbrauch!$F$9:$F$18896,"Standard")</f>
        <v>0</v>
      </c>
      <c r="F391" s="23" t="n">
        <f aca="false">SUMIFS(Verbrauch!$E$9:$E$18896,Verbrauch!$A$9:$A$18896,"&gt;="&amp;A391,Verbrauch!$A$9:$A$18896,"&lt;"&amp;B391)</f>
        <v>0</v>
      </c>
      <c r="G391" s="13" t="str">
        <f aca="false">IFERROR(F391/C391*100,"")</f>
        <v/>
      </c>
      <c r="H391" s="11" t="n">
        <f aca="false">COUNTIFS(Verbrauch!$A$9:$A$18896,"&gt;="&amp;A391,Verbrauch!$A$9:$A$18896,"&lt;"&amp;B391,Verbrauch!$C$9:$C$18896,"&lt;&gt;")</f>
        <v>0</v>
      </c>
    </row>
    <row r="392" customFormat="false" ht="15" hidden="false" customHeight="true" outlineLevel="0" collapsed="false">
      <c r="A392" s="10" t="n">
        <v>46353</v>
      </c>
      <c r="B392" s="10" t="n">
        <v>46354</v>
      </c>
      <c r="C392" s="22" t="n">
        <f aca="false">SUMIFS(Verbrauch!$C$9:$C$18896,Verbrauch!$A$9:$A$18896,"&gt;="&amp;A392,Verbrauch!$A$9:$A$18896,"&lt;"&amp;B392)</f>
        <v>0</v>
      </c>
      <c r="D392" s="22" t="n">
        <f aca="false">SUMIFS(Verbrauch!$C$9:$C$18896,Verbrauch!$A$9:$A$18896,"&gt;="&amp;A392,Verbrauch!$A$9:$A$18896,"&lt;"&amp;B392,Verbrauch!$F$9:$F$18896,"Go")</f>
        <v>0</v>
      </c>
      <c r="E392" s="22" t="n">
        <f aca="false">SUMIFS(Verbrauch!$C$9:$C$18896,Verbrauch!$A$9:$A$18896,"&gt;="&amp;A392,Verbrauch!$A$9:$A$18896,"&lt;"&amp;B392,Verbrauch!$F$9:$F$18896,"Standard")</f>
        <v>0</v>
      </c>
      <c r="F392" s="23" t="n">
        <f aca="false">SUMIFS(Verbrauch!$E$9:$E$18896,Verbrauch!$A$9:$A$18896,"&gt;="&amp;A392,Verbrauch!$A$9:$A$18896,"&lt;"&amp;B392)</f>
        <v>0</v>
      </c>
      <c r="G392" s="13" t="str">
        <f aca="false">IFERROR(F392/C392*100,"")</f>
        <v/>
      </c>
      <c r="H392" s="11" t="n">
        <f aca="false">COUNTIFS(Verbrauch!$A$9:$A$18896,"&gt;="&amp;A392,Verbrauch!$A$9:$A$18896,"&lt;"&amp;B392,Verbrauch!$C$9:$C$18896,"&lt;&gt;")</f>
        <v>0</v>
      </c>
    </row>
    <row r="393" customFormat="false" ht="15" hidden="false" customHeight="true" outlineLevel="0" collapsed="false">
      <c r="A393" s="10" t="n">
        <v>46354</v>
      </c>
      <c r="B393" s="10" t="n">
        <v>46355</v>
      </c>
      <c r="C393" s="22" t="n">
        <f aca="false">SUMIFS(Verbrauch!$C$9:$C$18896,Verbrauch!$A$9:$A$18896,"&gt;="&amp;A393,Verbrauch!$A$9:$A$18896,"&lt;"&amp;B393)</f>
        <v>0</v>
      </c>
      <c r="D393" s="22" t="n">
        <f aca="false">SUMIFS(Verbrauch!$C$9:$C$18896,Verbrauch!$A$9:$A$18896,"&gt;="&amp;A393,Verbrauch!$A$9:$A$18896,"&lt;"&amp;B393,Verbrauch!$F$9:$F$18896,"Go")</f>
        <v>0</v>
      </c>
      <c r="E393" s="22" t="n">
        <f aca="false">SUMIFS(Verbrauch!$C$9:$C$18896,Verbrauch!$A$9:$A$18896,"&gt;="&amp;A393,Verbrauch!$A$9:$A$18896,"&lt;"&amp;B393,Verbrauch!$F$9:$F$18896,"Standard")</f>
        <v>0</v>
      </c>
      <c r="F393" s="23" t="n">
        <f aca="false">SUMIFS(Verbrauch!$E$9:$E$18896,Verbrauch!$A$9:$A$18896,"&gt;="&amp;A393,Verbrauch!$A$9:$A$18896,"&lt;"&amp;B393)</f>
        <v>0</v>
      </c>
      <c r="G393" s="13" t="str">
        <f aca="false">IFERROR(F393/C393*100,"")</f>
        <v/>
      </c>
      <c r="H393" s="11" t="n">
        <f aca="false">COUNTIFS(Verbrauch!$A$9:$A$18896,"&gt;="&amp;A393,Verbrauch!$A$9:$A$18896,"&lt;"&amp;B393,Verbrauch!$C$9:$C$18896,"&lt;&gt;")</f>
        <v>0</v>
      </c>
    </row>
    <row r="394" customFormat="false" ht="15" hidden="false" customHeight="true" outlineLevel="0" collapsed="false">
      <c r="A394" s="10" t="n">
        <v>46355</v>
      </c>
      <c r="B394" s="10" t="n">
        <v>46356</v>
      </c>
      <c r="C394" s="22" t="n">
        <f aca="false">SUMIFS(Verbrauch!$C$9:$C$18896,Verbrauch!$A$9:$A$18896,"&gt;="&amp;A394,Verbrauch!$A$9:$A$18896,"&lt;"&amp;B394)</f>
        <v>0</v>
      </c>
      <c r="D394" s="22" t="n">
        <f aca="false">SUMIFS(Verbrauch!$C$9:$C$18896,Verbrauch!$A$9:$A$18896,"&gt;="&amp;A394,Verbrauch!$A$9:$A$18896,"&lt;"&amp;B394,Verbrauch!$F$9:$F$18896,"Go")</f>
        <v>0</v>
      </c>
      <c r="E394" s="22" t="n">
        <f aca="false">SUMIFS(Verbrauch!$C$9:$C$18896,Verbrauch!$A$9:$A$18896,"&gt;="&amp;A394,Verbrauch!$A$9:$A$18896,"&lt;"&amp;B394,Verbrauch!$F$9:$F$18896,"Standard")</f>
        <v>0</v>
      </c>
      <c r="F394" s="23" t="n">
        <f aca="false">SUMIFS(Verbrauch!$E$9:$E$18896,Verbrauch!$A$9:$A$18896,"&gt;="&amp;A394,Verbrauch!$A$9:$A$18896,"&lt;"&amp;B394)</f>
        <v>0</v>
      </c>
      <c r="G394" s="13" t="str">
        <f aca="false">IFERROR(F394/C394*100,"")</f>
        <v/>
      </c>
      <c r="H394" s="11" t="n">
        <f aca="false">COUNTIFS(Verbrauch!$A$9:$A$18896,"&gt;="&amp;A394,Verbrauch!$A$9:$A$18896,"&lt;"&amp;B394,Verbrauch!$C$9:$C$18896,"&lt;&gt;")</f>
        <v>0</v>
      </c>
    </row>
    <row r="395" customFormat="false" ht="15" hidden="false" customHeight="true" outlineLevel="0" collapsed="false">
      <c r="A395" s="10" t="n">
        <v>46356</v>
      </c>
      <c r="B395" s="10" t="n">
        <v>46357</v>
      </c>
      <c r="C395" s="22" t="n">
        <f aca="false">SUMIFS(Verbrauch!$C$9:$C$18896,Verbrauch!$A$9:$A$18896,"&gt;="&amp;A395,Verbrauch!$A$9:$A$18896,"&lt;"&amp;B395)</f>
        <v>0</v>
      </c>
      <c r="D395" s="22" t="n">
        <f aca="false">SUMIFS(Verbrauch!$C$9:$C$18896,Verbrauch!$A$9:$A$18896,"&gt;="&amp;A395,Verbrauch!$A$9:$A$18896,"&lt;"&amp;B395,Verbrauch!$F$9:$F$18896,"Go")</f>
        <v>0</v>
      </c>
      <c r="E395" s="22" t="n">
        <f aca="false">SUMIFS(Verbrauch!$C$9:$C$18896,Verbrauch!$A$9:$A$18896,"&gt;="&amp;A395,Verbrauch!$A$9:$A$18896,"&lt;"&amp;B395,Verbrauch!$F$9:$F$18896,"Standard")</f>
        <v>0</v>
      </c>
      <c r="F395" s="23" t="n">
        <f aca="false">SUMIFS(Verbrauch!$E$9:$E$18896,Verbrauch!$A$9:$A$18896,"&gt;="&amp;A395,Verbrauch!$A$9:$A$18896,"&lt;"&amp;B395)</f>
        <v>0</v>
      </c>
      <c r="G395" s="13" t="str">
        <f aca="false">IFERROR(F395/C395*100,"")</f>
        <v/>
      </c>
      <c r="H395" s="11" t="n">
        <f aca="false">COUNTIFS(Verbrauch!$A$9:$A$18896,"&gt;="&amp;A395,Verbrauch!$A$9:$A$18896,"&lt;"&amp;B395,Verbrauch!$C$9:$C$18896,"&lt;&gt;")</f>
        <v>0</v>
      </c>
    </row>
    <row r="396" customFormat="false" ht="15" hidden="false" customHeight="true" outlineLevel="0" collapsed="false">
      <c r="A396" s="10" t="n">
        <v>46357</v>
      </c>
      <c r="B396" s="10" t="n">
        <v>46358</v>
      </c>
      <c r="C396" s="22" t="n">
        <f aca="false">SUMIFS(Verbrauch!$C$9:$C$18896,Verbrauch!$A$9:$A$18896,"&gt;="&amp;A396,Verbrauch!$A$9:$A$18896,"&lt;"&amp;B396)</f>
        <v>0</v>
      </c>
      <c r="D396" s="22" t="n">
        <f aca="false">SUMIFS(Verbrauch!$C$9:$C$18896,Verbrauch!$A$9:$A$18896,"&gt;="&amp;A396,Verbrauch!$A$9:$A$18896,"&lt;"&amp;B396,Verbrauch!$F$9:$F$18896,"Go")</f>
        <v>0</v>
      </c>
      <c r="E396" s="22" t="n">
        <f aca="false">SUMIFS(Verbrauch!$C$9:$C$18896,Verbrauch!$A$9:$A$18896,"&gt;="&amp;A396,Verbrauch!$A$9:$A$18896,"&lt;"&amp;B396,Verbrauch!$F$9:$F$18896,"Standard")</f>
        <v>0</v>
      </c>
      <c r="F396" s="23" t="n">
        <f aca="false">SUMIFS(Verbrauch!$E$9:$E$18896,Verbrauch!$A$9:$A$18896,"&gt;="&amp;A396,Verbrauch!$A$9:$A$18896,"&lt;"&amp;B396)</f>
        <v>0</v>
      </c>
      <c r="G396" s="13" t="str">
        <f aca="false">IFERROR(F396/C396*100,"")</f>
        <v/>
      </c>
      <c r="H396" s="11" t="n">
        <f aca="false">COUNTIFS(Verbrauch!$A$9:$A$18896,"&gt;="&amp;A396,Verbrauch!$A$9:$A$18896,"&lt;"&amp;B396,Verbrauch!$C$9:$C$18896,"&lt;&gt;")</f>
        <v>0</v>
      </c>
    </row>
    <row r="397" customFormat="false" ht="15" hidden="false" customHeight="true" outlineLevel="0" collapsed="false">
      <c r="A397" s="10" t="n">
        <v>46358</v>
      </c>
      <c r="B397" s="10" t="n">
        <v>46359</v>
      </c>
      <c r="C397" s="22" t="n">
        <f aca="false">SUMIFS(Verbrauch!$C$9:$C$18896,Verbrauch!$A$9:$A$18896,"&gt;="&amp;A397,Verbrauch!$A$9:$A$18896,"&lt;"&amp;B397)</f>
        <v>0</v>
      </c>
      <c r="D397" s="22" t="n">
        <f aca="false">SUMIFS(Verbrauch!$C$9:$C$18896,Verbrauch!$A$9:$A$18896,"&gt;="&amp;A397,Verbrauch!$A$9:$A$18896,"&lt;"&amp;B397,Verbrauch!$F$9:$F$18896,"Go")</f>
        <v>0</v>
      </c>
      <c r="E397" s="22" t="n">
        <f aca="false">SUMIFS(Verbrauch!$C$9:$C$18896,Verbrauch!$A$9:$A$18896,"&gt;="&amp;A397,Verbrauch!$A$9:$A$18896,"&lt;"&amp;B397,Verbrauch!$F$9:$F$18896,"Standard")</f>
        <v>0</v>
      </c>
      <c r="F397" s="23" t="n">
        <f aca="false">SUMIFS(Verbrauch!$E$9:$E$18896,Verbrauch!$A$9:$A$18896,"&gt;="&amp;A397,Verbrauch!$A$9:$A$18896,"&lt;"&amp;B397)</f>
        <v>0</v>
      </c>
      <c r="G397" s="13" t="str">
        <f aca="false">IFERROR(F397/C397*100,"")</f>
        <v/>
      </c>
      <c r="H397" s="11" t="n">
        <f aca="false">COUNTIFS(Verbrauch!$A$9:$A$18896,"&gt;="&amp;A397,Verbrauch!$A$9:$A$18896,"&lt;"&amp;B397,Verbrauch!$C$9:$C$18896,"&lt;&gt;")</f>
        <v>0</v>
      </c>
    </row>
    <row r="398" customFormat="false" ht="15" hidden="false" customHeight="true" outlineLevel="0" collapsed="false">
      <c r="A398" s="10" t="n">
        <v>46359</v>
      </c>
      <c r="B398" s="10" t="n">
        <v>46360</v>
      </c>
      <c r="C398" s="22" t="n">
        <f aca="false">SUMIFS(Verbrauch!$C$9:$C$18896,Verbrauch!$A$9:$A$18896,"&gt;="&amp;A398,Verbrauch!$A$9:$A$18896,"&lt;"&amp;B398)</f>
        <v>0</v>
      </c>
      <c r="D398" s="22" t="n">
        <f aca="false">SUMIFS(Verbrauch!$C$9:$C$18896,Verbrauch!$A$9:$A$18896,"&gt;="&amp;A398,Verbrauch!$A$9:$A$18896,"&lt;"&amp;B398,Verbrauch!$F$9:$F$18896,"Go")</f>
        <v>0</v>
      </c>
      <c r="E398" s="22" t="n">
        <f aca="false">SUMIFS(Verbrauch!$C$9:$C$18896,Verbrauch!$A$9:$A$18896,"&gt;="&amp;A398,Verbrauch!$A$9:$A$18896,"&lt;"&amp;B398,Verbrauch!$F$9:$F$18896,"Standard")</f>
        <v>0</v>
      </c>
      <c r="F398" s="23" t="n">
        <f aca="false">SUMIFS(Verbrauch!$E$9:$E$18896,Verbrauch!$A$9:$A$18896,"&gt;="&amp;A398,Verbrauch!$A$9:$A$18896,"&lt;"&amp;B398)</f>
        <v>0</v>
      </c>
      <c r="G398" s="13" t="str">
        <f aca="false">IFERROR(F398/C398*100,"")</f>
        <v/>
      </c>
      <c r="H398" s="11" t="n">
        <f aca="false">COUNTIFS(Verbrauch!$A$9:$A$18896,"&gt;="&amp;A398,Verbrauch!$A$9:$A$18896,"&lt;"&amp;B398,Verbrauch!$C$9:$C$18896,"&lt;&gt;")</f>
        <v>0</v>
      </c>
    </row>
    <row r="399" customFormat="false" ht="15" hidden="false" customHeight="true" outlineLevel="0" collapsed="false">
      <c r="A399" s="10" t="n">
        <v>46360</v>
      </c>
      <c r="B399" s="10" t="n">
        <v>46361</v>
      </c>
      <c r="C399" s="22" t="n">
        <f aca="false">SUMIFS(Verbrauch!$C$9:$C$18896,Verbrauch!$A$9:$A$18896,"&gt;="&amp;A399,Verbrauch!$A$9:$A$18896,"&lt;"&amp;B399)</f>
        <v>0</v>
      </c>
      <c r="D399" s="22" t="n">
        <f aca="false">SUMIFS(Verbrauch!$C$9:$C$18896,Verbrauch!$A$9:$A$18896,"&gt;="&amp;A399,Verbrauch!$A$9:$A$18896,"&lt;"&amp;B399,Verbrauch!$F$9:$F$18896,"Go")</f>
        <v>0</v>
      </c>
      <c r="E399" s="22" t="n">
        <f aca="false">SUMIFS(Verbrauch!$C$9:$C$18896,Verbrauch!$A$9:$A$18896,"&gt;="&amp;A399,Verbrauch!$A$9:$A$18896,"&lt;"&amp;B399,Verbrauch!$F$9:$F$18896,"Standard")</f>
        <v>0</v>
      </c>
      <c r="F399" s="23" t="n">
        <f aca="false">SUMIFS(Verbrauch!$E$9:$E$18896,Verbrauch!$A$9:$A$18896,"&gt;="&amp;A399,Verbrauch!$A$9:$A$18896,"&lt;"&amp;B399)</f>
        <v>0</v>
      </c>
      <c r="G399" s="13" t="str">
        <f aca="false">IFERROR(F399/C399*100,"")</f>
        <v/>
      </c>
      <c r="H399" s="11" t="n">
        <f aca="false">COUNTIFS(Verbrauch!$A$9:$A$18896,"&gt;="&amp;A399,Verbrauch!$A$9:$A$18896,"&lt;"&amp;B399,Verbrauch!$C$9:$C$18896,"&lt;&gt;")</f>
        <v>0</v>
      </c>
    </row>
    <row r="400" customFormat="false" ht="15" hidden="false" customHeight="true" outlineLevel="0" collapsed="false">
      <c r="A400" s="10" t="n">
        <v>46361</v>
      </c>
      <c r="B400" s="10" t="n">
        <v>46362</v>
      </c>
      <c r="C400" s="22" t="n">
        <f aca="false">SUMIFS(Verbrauch!$C$9:$C$18896,Verbrauch!$A$9:$A$18896,"&gt;="&amp;A400,Verbrauch!$A$9:$A$18896,"&lt;"&amp;B400)</f>
        <v>0</v>
      </c>
      <c r="D400" s="22" t="n">
        <f aca="false">SUMIFS(Verbrauch!$C$9:$C$18896,Verbrauch!$A$9:$A$18896,"&gt;="&amp;A400,Verbrauch!$A$9:$A$18896,"&lt;"&amp;B400,Verbrauch!$F$9:$F$18896,"Go")</f>
        <v>0</v>
      </c>
      <c r="E400" s="22" t="n">
        <f aca="false">SUMIFS(Verbrauch!$C$9:$C$18896,Verbrauch!$A$9:$A$18896,"&gt;="&amp;A400,Verbrauch!$A$9:$A$18896,"&lt;"&amp;B400,Verbrauch!$F$9:$F$18896,"Standard")</f>
        <v>0</v>
      </c>
      <c r="F400" s="23" t="n">
        <f aca="false">SUMIFS(Verbrauch!$E$9:$E$18896,Verbrauch!$A$9:$A$18896,"&gt;="&amp;A400,Verbrauch!$A$9:$A$18896,"&lt;"&amp;B400)</f>
        <v>0</v>
      </c>
      <c r="G400" s="13" t="str">
        <f aca="false">IFERROR(F400/C400*100,"")</f>
        <v/>
      </c>
      <c r="H400" s="11" t="n">
        <f aca="false">COUNTIFS(Verbrauch!$A$9:$A$18896,"&gt;="&amp;A400,Verbrauch!$A$9:$A$18896,"&lt;"&amp;B400,Verbrauch!$C$9:$C$18896,"&lt;&gt;")</f>
        <v>0</v>
      </c>
    </row>
    <row r="401" customFormat="false" ht="15" hidden="false" customHeight="true" outlineLevel="0" collapsed="false">
      <c r="A401" s="10" t="n">
        <v>46362</v>
      </c>
      <c r="B401" s="10" t="n">
        <v>46363</v>
      </c>
      <c r="C401" s="22" t="n">
        <f aca="false">SUMIFS(Verbrauch!$C$9:$C$18896,Verbrauch!$A$9:$A$18896,"&gt;="&amp;A401,Verbrauch!$A$9:$A$18896,"&lt;"&amp;B401)</f>
        <v>0</v>
      </c>
      <c r="D401" s="22" t="n">
        <f aca="false">SUMIFS(Verbrauch!$C$9:$C$18896,Verbrauch!$A$9:$A$18896,"&gt;="&amp;A401,Verbrauch!$A$9:$A$18896,"&lt;"&amp;B401,Verbrauch!$F$9:$F$18896,"Go")</f>
        <v>0</v>
      </c>
      <c r="E401" s="22" t="n">
        <f aca="false">SUMIFS(Verbrauch!$C$9:$C$18896,Verbrauch!$A$9:$A$18896,"&gt;="&amp;A401,Verbrauch!$A$9:$A$18896,"&lt;"&amp;B401,Verbrauch!$F$9:$F$18896,"Standard")</f>
        <v>0</v>
      </c>
      <c r="F401" s="23" t="n">
        <f aca="false">SUMIFS(Verbrauch!$E$9:$E$18896,Verbrauch!$A$9:$A$18896,"&gt;="&amp;A401,Verbrauch!$A$9:$A$18896,"&lt;"&amp;B401)</f>
        <v>0</v>
      </c>
      <c r="G401" s="13" t="str">
        <f aca="false">IFERROR(F401/C401*100,"")</f>
        <v/>
      </c>
      <c r="H401" s="11" t="n">
        <f aca="false">COUNTIFS(Verbrauch!$A$9:$A$18896,"&gt;="&amp;A401,Verbrauch!$A$9:$A$18896,"&lt;"&amp;B401,Verbrauch!$C$9:$C$18896,"&lt;&gt;")</f>
        <v>0</v>
      </c>
    </row>
    <row r="402" customFormat="false" ht="15" hidden="false" customHeight="true" outlineLevel="0" collapsed="false">
      <c r="A402" s="10" t="n">
        <v>46363</v>
      </c>
      <c r="B402" s="10" t="n">
        <v>46364</v>
      </c>
      <c r="C402" s="22" t="n">
        <f aca="false">SUMIFS(Verbrauch!$C$9:$C$18896,Verbrauch!$A$9:$A$18896,"&gt;="&amp;A402,Verbrauch!$A$9:$A$18896,"&lt;"&amp;B402)</f>
        <v>0</v>
      </c>
      <c r="D402" s="22" t="n">
        <f aca="false">SUMIFS(Verbrauch!$C$9:$C$18896,Verbrauch!$A$9:$A$18896,"&gt;="&amp;A402,Verbrauch!$A$9:$A$18896,"&lt;"&amp;B402,Verbrauch!$F$9:$F$18896,"Go")</f>
        <v>0</v>
      </c>
      <c r="E402" s="22" t="n">
        <f aca="false">SUMIFS(Verbrauch!$C$9:$C$18896,Verbrauch!$A$9:$A$18896,"&gt;="&amp;A402,Verbrauch!$A$9:$A$18896,"&lt;"&amp;B402,Verbrauch!$F$9:$F$18896,"Standard")</f>
        <v>0</v>
      </c>
      <c r="F402" s="23" t="n">
        <f aca="false">SUMIFS(Verbrauch!$E$9:$E$18896,Verbrauch!$A$9:$A$18896,"&gt;="&amp;A402,Verbrauch!$A$9:$A$18896,"&lt;"&amp;B402)</f>
        <v>0</v>
      </c>
      <c r="G402" s="13" t="str">
        <f aca="false">IFERROR(F402/C402*100,"")</f>
        <v/>
      </c>
      <c r="H402" s="11" t="n">
        <f aca="false">COUNTIFS(Verbrauch!$A$9:$A$18896,"&gt;="&amp;A402,Verbrauch!$A$9:$A$18896,"&lt;"&amp;B402,Verbrauch!$C$9:$C$18896,"&lt;&gt;")</f>
        <v>0</v>
      </c>
    </row>
    <row r="403" customFormat="false" ht="15" hidden="false" customHeight="true" outlineLevel="0" collapsed="false">
      <c r="A403" s="10" t="n">
        <v>46364</v>
      </c>
      <c r="B403" s="10" t="n">
        <v>46365</v>
      </c>
      <c r="C403" s="22" t="n">
        <f aca="false">SUMIFS(Verbrauch!$C$9:$C$18896,Verbrauch!$A$9:$A$18896,"&gt;="&amp;A403,Verbrauch!$A$9:$A$18896,"&lt;"&amp;B403)</f>
        <v>0</v>
      </c>
      <c r="D403" s="22" t="n">
        <f aca="false">SUMIFS(Verbrauch!$C$9:$C$18896,Verbrauch!$A$9:$A$18896,"&gt;="&amp;A403,Verbrauch!$A$9:$A$18896,"&lt;"&amp;B403,Verbrauch!$F$9:$F$18896,"Go")</f>
        <v>0</v>
      </c>
      <c r="E403" s="22" t="n">
        <f aca="false">SUMIFS(Verbrauch!$C$9:$C$18896,Verbrauch!$A$9:$A$18896,"&gt;="&amp;A403,Verbrauch!$A$9:$A$18896,"&lt;"&amp;B403,Verbrauch!$F$9:$F$18896,"Standard")</f>
        <v>0</v>
      </c>
      <c r="F403" s="23" t="n">
        <f aca="false">SUMIFS(Verbrauch!$E$9:$E$18896,Verbrauch!$A$9:$A$18896,"&gt;="&amp;A403,Verbrauch!$A$9:$A$18896,"&lt;"&amp;B403)</f>
        <v>0</v>
      </c>
      <c r="G403" s="13" t="str">
        <f aca="false">IFERROR(F403/C403*100,"")</f>
        <v/>
      </c>
      <c r="H403" s="11" t="n">
        <f aca="false">COUNTIFS(Verbrauch!$A$9:$A$18896,"&gt;="&amp;A403,Verbrauch!$A$9:$A$18896,"&lt;"&amp;B403,Verbrauch!$C$9:$C$18896,"&lt;&gt;")</f>
        <v>0</v>
      </c>
    </row>
    <row r="404" customFormat="false" ht="15" hidden="false" customHeight="true" outlineLevel="0" collapsed="false">
      <c r="A404" s="10" t="n">
        <v>46365</v>
      </c>
      <c r="B404" s="10" t="n">
        <v>46366</v>
      </c>
      <c r="C404" s="22" t="n">
        <f aca="false">SUMIFS(Verbrauch!$C$9:$C$18896,Verbrauch!$A$9:$A$18896,"&gt;="&amp;A404,Verbrauch!$A$9:$A$18896,"&lt;"&amp;B404)</f>
        <v>0</v>
      </c>
      <c r="D404" s="22" t="n">
        <f aca="false">SUMIFS(Verbrauch!$C$9:$C$18896,Verbrauch!$A$9:$A$18896,"&gt;="&amp;A404,Verbrauch!$A$9:$A$18896,"&lt;"&amp;B404,Verbrauch!$F$9:$F$18896,"Go")</f>
        <v>0</v>
      </c>
      <c r="E404" s="22" t="n">
        <f aca="false">SUMIFS(Verbrauch!$C$9:$C$18896,Verbrauch!$A$9:$A$18896,"&gt;="&amp;A404,Verbrauch!$A$9:$A$18896,"&lt;"&amp;B404,Verbrauch!$F$9:$F$18896,"Standard")</f>
        <v>0</v>
      </c>
      <c r="F404" s="23" t="n">
        <f aca="false">SUMIFS(Verbrauch!$E$9:$E$18896,Verbrauch!$A$9:$A$18896,"&gt;="&amp;A404,Verbrauch!$A$9:$A$18896,"&lt;"&amp;B404)</f>
        <v>0</v>
      </c>
      <c r="G404" s="13" t="str">
        <f aca="false">IFERROR(F404/C404*100,"")</f>
        <v/>
      </c>
      <c r="H404" s="11" t="n">
        <f aca="false">COUNTIFS(Verbrauch!$A$9:$A$18896,"&gt;="&amp;A404,Verbrauch!$A$9:$A$18896,"&lt;"&amp;B404,Verbrauch!$C$9:$C$18896,"&lt;&gt;")</f>
        <v>0</v>
      </c>
    </row>
    <row r="405" customFormat="false" ht="15" hidden="false" customHeight="true" outlineLevel="0" collapsed="false">
      <c r="A405" s="10" t="n">
        <v>46366</v>
      </c>
      <c r="B405" s="10" t="n">
        <v>46367</v>
      </c>
      <c r="C405" s="22" t="n">
        <f aca="false">SUMIFS(Verbrauch!$C$9:$C$18896,Verbrauch!$A$9:$A$18896,"&gt;="&amp;A405,Verbrauch!$A$9:$A$18896,"&lt;"&amp;B405)</f>
        <v>0</v>
      </c>
      <c r="D405" s="22" t="n">
        <f aca="false">SUMIFS(Verbrauch!$C$9:$C$18896,Verbrauch!$A$9:$A$18896,"&gt;="&amp;A405,Verbrauch!$A$9:$A$18896,"&lt;"&amp;B405,Verbrauch!$F$9:$F$18896,"Go")</f>
        <v>0</v>
      </c>
      <c r="E405" s="22" t="n">
        <f aca="false">SUMIFS(Verbrauch!$C$9:$C$18896,Verbrauch!$A$9:$A$18896,"&gt;="&amp;A405,Verbrauch!$A$9:$A$18896,"&lt;"&amp;B405,Verbrauch!$F$9:$F$18896,"Standard")</f>
        <v>0</v>
      </c>
      <c r="F405" s="23" t="n">
        <f aca="false">SUMIFS(Verbrauch!$E$9:$E$18896,Verbrauch!$A$9:$A$18896,"&gt;="&amp;A405,Verbrauch!$A$9:$A$18896,"&lt;"&amp;B405)</f>
        <v>0</v>
      </c>
      <c r="G405" s="13" t="str">
        <f aca="false">IFERROR(F405/C405*100,"")</f>
        <v/>
      </c>
      <c r="H405" s="11" t="n">
        <f aca="false">COUNTIFS(Verbrauch!$A$9:$A$18896,"&gt;="&amp;A405,Verbrauch!$A$9:$A$18896,"&lt;"&amp;B405,Verbrauch!$C$9:$C$18896,"&lt;&gt;")</f>
        <v>0</v>
      </c>
    </row>
    <row r="406" customFormat="false" ht="15" hidden="false" customHeight="true" outlineLevel="0" collapsed="false">
      <c r="A406" s="10" t="n">
        <v>46367</v>
      </c>
      <c r="B406" s="10" t="n">
        <v>46368</v>
      </c>
      <c r="C406" s="22" t="n">
        <f aca="false">SUMIFS(Verbrauch!$C$9:$C$18896,Verbrauch!$A$9:$A$18896,"&gt;="&amp;A406,Verbrauch!$A$9:$A$18896,"&lt;"&amp;B406)</f>
        <v>0</v>
      </c>
      <c r="D406" s="22" t="n">
        <f aca="false">SUMIFS(Verbrauch!$C$9:$C$18896,Verbrauch!$A$9:$A$18896,"&gt;="&amp;A406,Verbrauch!$A$9:$A$18896,"&lt;"&amp;B406,Verbrauch!$F$9:$F$18896,"Go")</f>
        <v>0</v>
      </c>
      <c r="E406" s="22" t="n">
        <f aca="false">SUMIFS(Verbrauch!$C$9:$C$18896,Verbrauch!$A$9:$A$18896,"&gt;="&amp;A406,Verbrauch!$A$9:$A$18896,"&lt;"&amp;B406,Verbrauch!$F$9:$F$18896,"Standard")</f>
        <v>0</v>
      </c>
      <c r="F406" s="23" t="n">
        <f aca="false">SUMIFS(Verbrauch!$E$9:$E$18896,Verbrauch!$A$9:$A$18896,"&gt;="&amp;A406,Verbrauch!$A$9:$A$18896,"&lt;"&amp;B406)</f>
        <v>0</v>
      </c>
      <c r="G406" s="13" t="str">
        <f aca="false">IFERROR(F406/C406*100,"")</f>
        <v/>
      </c>
      <c r="H406" s="11" t="n">
        <f aca="false">COUNTIFS(Verbrauch!$A$9:$A$18896,"&gt;="&amp;A406,Verbrauch!$A$9:$A$18896,"&lt;"&amp;B406,Verbrauch!$C$9:$C$18896,"&lt;&gt;")</f>
        <v>0</v>
      </c>
    </row>
    <row r="407" customFormat="false" ht="15" hidden="false" customHeight="true" outlineLevel="0" collapsed="false">
      <c r="A407" s="10" t="n">
        <v>46368</v>
      </c>
      <c r="B407" s="10" t="n">
        <v>46369</v>
      </c>
      <c r="C407" s="22" t="n">
        <f aca="false">SUMIFS(Verbrauch!$C$9:$C$18896,Verbrauch!$A$9:$A$18896,"&gt;="&amp;A407,Verbrauch!$A$9:$A$18896,"&lt;"&amp;B407)</f>
        <v>0</v>
      </c>
      <c r="D407" s="22" t="n">
        <f aca="false">SUMIFS(Verbrauch!$C$9:$C$18896,Verbrauch!$A$9:$A$18896,"&gt;="&amp;A407,Verbrauch!$A$9:$A$18896,"&lt;"&amp;B407,Verbrauch!$F$9:$F$18896,"Go")</f>
        <v>0</v>
      </c>
      <c r="E407" s="22" t="n">
        <f aca="false">SUMIFS(Verbrauch!$C$9:$C$18896,Verbrauch!$A$9:$A$18896,"&gt;="&amp;A407,Verbrauch!$A$9:$A$18896,"&lt;"&amp;B407,Verbrauch!$F$9:$F$18896,"Standard")</f>
        <v>0</v>
      </c>
      <c r="F407" s="23" t="n">
        <f aca="false">SUMIFS(Verbrauch!$E$9:$E$18896,Verbrauch!$A$9:$A$18896,"&gt;="&amp;A407,Verbrauch!$A$9:$A$18896,"&lt;"&amp;B407)</f>
        <v>0</v>
      </c>
      <c r="G407" s="13" t="str">
        <f aca="false">IFERROR(F407/C407*100,"")</f>
        <v/>
      </c>
      <c r="H407" s="11" t="n">
        <f aca="false">COUNTIFS(Verbrauch!$A$9:$A$18896,"&gt;="&amp;A407,Verbrauch!$A$9:$A$18896,"&lt;"&amp;B407,Verbrauch!$C$9:$C$18896,"&lt;&gt;")</f>
        <v>0</v>
      </c>
    </row>
    <row r="408" customFormat="false" ht="15" hidden="false" customHeight="true" outlineLevel="0" collapsed="false">
      <c r="A408" s="10" t="n">
        <v>46369</v>
      </c>
      <c r="B408" s="10" t="n">
        <v>46370</v>
      </c>
      <c r="C408" s="22" t="n">
        <f aca="false">SUMIFS(Verbrauch!$C$9:$C$18896,Verbrauch!$A$9:$A$18896,"&gt;="&amp;A408,Verbrauch!$A$9:$A$18896,"&lt;"&amp;B408)</f>
        <v>0</v>
      </c>
      <c r="D408" s="22" t="n">
        <f aca="false">SUMIFS(Verbrauch!$C$9:$C$18896,Verbrauch!$A$9:$A$18896,"&gt;="&amp;A408,Verbrauch!$A$9:$A$18896,"&lt;"&amp;B408,Verbrauch!$F$9:$F$18896,"Go")</f>
        <v>0</v>
      </c>
      <c r="E408" s="22" t="n">
        <f aca="false">SUMIFS(Verbrauch!$C$9:$C$18896,Verbrauch!$A$9:$A$18896,"&gt;="&amp;A408,Verbrauch!$A$9:$A$18896,"&lt;"&amp;B408,Verbrauch!$F$9:$F$18896,"Standard")</f>
        <v>0</v>
      </c>
      <c r="F408" s="23" t="n">
        <f aca="false">SUMIFS(Verbrauch!$E$9:$E$18896,Verbrauch!$A$9:$A$18896,"&gt;="&amp;A408,Verbrauch!$A$9:$A$18896,"&lt;"&amp;B408)</f>
        <v>0</v>
      </c>
      <c r="G408" s="13" t="str">
        <f aca="false">IFERROR(F408/C408*100,"")</f>
        <v/>
      </c>
      <c r="H408" s="11" t="n">
        <f aca="false">COUNTIFS(Verbrauch!$A$9:$A$18896,"&gt;="&amp;A408,Verbrauch!$A$9:$A$18896,"&lt;"&amp;B408,Verbrauch!$C$9:$C$18896,"&lt;&gt;")</f>
        <v>0</v>
      </c>
    </row>
    <row r="409" customFormat="false" ht="15" hidden="false" customHeight="true" outlineLevel="0" collapsed="false">
      <c r="A409" s="10" t="n">
        <v>46370</v>
      </c>
      <c r="B409" s="10" t="n">
        <v>46371</v>
      </c>
      <c r="C409" s="22" t="n">
        <f aca="false">SUMIFS(Verbrauch!$C$9:$C$18896,Verbrauch!$A$9:$A$18896,"&gt;="&amp;A409,Verbrauch!$A$9:$A$18896,"&lt;"&amp;B409)</f>
        <v>0</v>
      </c>
      <c r="D409" s="22" t="n">
        <f aca="false">SUMIFS(Verbrauch!$C$9:$C$18896,Verbrauch!$A$9:$A$18896,"&gt;="&amp;A409,Verbrauch!$A$9:$A$18896,"&lt;"&amp;B409,Verbrauch!$F$9:$F$18896,"Go")</f>
        <v>0</v>
      </c>
      <c r="E409" s="22" t="n">
        <f aca="false">SUMIFS(Verbrauch!$C$9:$C$18896,Verbrauch!$A$9:$A$18896,"&gt;="&amp;A409,Verbrauch!$A$9:$A$18896,"&lt;"&amp;B409,Verbrauch!$F$9:$F$18896,"Standard")</f>
        <v>0</v>
      </c>
      <c r="F409" s="23" t="n">
        <f aca="false">SUMIFS(Verbrauch!$E$9:$E$18896,Verbrauch!$A$9:$A$18896,"&gt;="&amp;A409,Verbrauch!$A$9:$A$18896,"&lt;"&amp;B409)</f>
        <v>0</v>
      </c>
      <c r="G409" s="13" t="str">
        <f aca="false">IFERROR(F409/C409*100,"")</f>
        <v/>
      </c>
      <c r="H409" s="11" t="n">
        <f aca="false">COUNTIFS(Verbrauch!$A$9:$A$18896,"&gt;="&amp;A409,Verbrauch!$A$9:$A$18896,"&lt;"&amp;B409,Verbrauch!$C$9:$C$18896,"&lt;&gt;")</f>
        <v>0</v>
      </c>
    </row>
    <row r="410" customFormat="false" ht="15" hidden="false" customHeight="true" outlineLevel="0" collapsed="false">
      <c r="A410" s="10" t="n">
        <v>46371</v>
      </c>
      <c r="B410" s="10" t="n">
        <v>46372</v>
      </c>
      <c r="C410" s="22" t="n">
        <f aca="false">SUMIFS(Verbrauch!$C$9:$C$18896,Verbrauch!$A$9:$A$18896,"&gt;="&amp;A410,Verbrauch!$A$9:$A$18896,"&lt;"&amp;B410)</f>
        <v>0</v>
      </c>
      <c r="D410" s="22" t="n">
        <f aca="false">SUMIFS(Verbrauch!$C$9:$C$18896,Verbrauch!$A$9:$A$18896,"&gt;="&amp;A410,Verbrauch!$A$9:$A$18896,"&lt;"&amp;B410,Verbrauch!$F$9:$F$18896,"Go")</f>
        <v>0</v>
      </c>
      <c r="E410" s="22" t="n">
        <f aca="false">SUMIFS(Verbrauch!$C$9:$C$18896,Verbrauch!$A$9:$A$18896,"&gt;="&amp;A410,Verbrauch!$A$9:$A$18896,"&lt;"&amp;B410,Verbrauch!$F$9:$F$18896,"Standard")</f>
        <v>0</v>
      </c>
      <c r="F410" s="23" t="n">
        <f aca="false">SUMIFS(Verbrauch!$E$9:$E$18896,Verbrauch!$A$9:$A$18896,"&gt;="&amp;A410,Verbrauch!$A$9:$A$18896,"&lt;"&amp;B410)</f>
        <v>0</v>
      </c>
      <c r="G410" s="13" t="str">
        <f aca="false">IFERROR(F410/C410*100,"")</f>
        <v/>
      </c>
      <c r="H410" s="11" t="n">
        <f aca="false">COUNTIFS(Verbrauch!$A$9:$A$18896,"&gt;="&amp;A410,Verbrauch!$A$9:$A$18896,"&lt;"&amp;B410,Verbrauch!$C$9:$C$18896,"&lt;&gt;")</f>
        <v>0</v>
      </c>
    </row>
    <row r="411" customFormat="false" ht="15" hidden="false" customHeight="true" outlineLevel="0" collapsed="false">
      <c r="A411" s="10" t="n">
        <v>46372</v>
      </c>
      <c r="B411" s="10" t="n">
        <v>46373</v>
      </c>
      <c r="C411" s="22" t="n">
        <f aca="false">SUMIFS(Verbrauch!$C$9:$C$18896,Verbrauch!$A$9:$A$18896,"&gt;="&amp;A411,Verbrauch!$A$9:$A$18896,"&lt;"&amp;B411)</f>
        <v>0</v>
      </c>
      <c r="D411" s="22" t="n">
        <f aca="false">SUMIFS(Verbrauch!$C$9:$C$18896,Verbrauch!$A$9:$A$18896,"&gt;="&amp;A411,Verbrauch!$A$9:$A$18896,"&lt;"&amp;B411,Verbrauch!$F$9:$F$18896,"Go")</f>
        <v>0</v>
      </c>
      <c r="E411" s="22" t="n">
        <f aca="false">SUMIFS(Verbrauch!$C$9:$C$18896,Verbrauch!$A$9:$A$18896,"&gt;="&amp;A411,Verbrauch!$A$9:$A$18896,"&lt;"&amp;B411,Verbrauch!$F$9:$F$18896,"Standard")</f>
        <v>0</v>
      </c>
      <c r="F411" s="23" t="n">
        <f aca="false">SUMIFS(Verbrauch!$E$9:$E$18896,Verbrauch!$A$9:$A$18896,"&gt;="&amp;A411,Verbrauch!$A$9:$A$18896,"&lt;"&amp;B411)</f>
        <v>0</v>
      </c>
      <c r="G411" s="13" t="str">
        <f aca="false">IFERROR(F411/C411*100,"")</f>
        <v/>
      </c>
      <c r="H411" s="11" t="n">
        <f aca="false">COUNTIFS(Verbrauch!$A$9:$A$18896,"&gt;="&amp;A411,Verbrauch!$A$9:$A$18896,"&lt;"&amp;B411,Verbrauch!$C$9:$C$18896,"&lt;&gt;")</f>
        <v>0</v>
      </c>
    </row>
    <row r="412" customFormat="false" ht="15" hidden="false" customHeight="true" outlineLevel="0" collapsed="false">
      <c r="A412" s="10" t="n">
        <v>46373</v>
      </c>
      <c r="B412" s="10" t="n">
        <v>46374</v>
      </c>
      <c r="C412" s="22" t="n">
        <f aca="false">SUMIFS(Verbrauch!$C$9:$C$18896,Verbrauch!$A$9:$A$18896,"&gt;="&amp;A412,Verbrauch!$A$9:$A$18896,"&lt;"&amp;B412)</f>
        <v>0</v>
      </c>
      <c r="D412" s="22" t="n">
        <f aca="false">SUMIFS(Verbrauch!$C$9:$C$18896,Verbrauch!$A$9:$A$18896,"&gt;="&amp;A412,Verbrauch!$A$9:$A$18896,"&lt;"&amp;B412,Verbrauch!$F$9:$F$18896,"Go")</f>
        <v>0</v>
      </c>
      <c r="E412" s="22" t="n">
        <f aca="false">SUMIFS(Verbrauch!$C$9:$C$18896,Verbrauch!$A$9:$A$18896,"&gt;="&amp;A412,Verbrauch!$A$9:$A$18896,"&lt;"&amp;B412,Verbrauch!$F$9:$F$18896,"Standard")</f>
        <v>0</v>
      </c>
      <c r="F412" s="23" t="n">
        <f aca="false">SUMIFS(Verbrauch!$E$9:$E$18896,Verbrauch!$A$9:$A$18896,"&gt;="&amp;A412,Verbrauch!$A$9:$A$18896,"&lt;"&amp;B412)</f>
        <v>0</v>
      </c>
      <c r="G412" s="13" t="str">
        <f aca="false">IFERROR(F412/C412*100,"")</f>
        <v/>
      </c>
      <c r="H412" s="11" t="n">
        <f aca="false">COUNTIFS(Verbrauch!$A$9:$A$18896,"&gt;="&amp;A412,Verbrauch!$A$9:$A$18896,"&lt;"&amp;B412,Verbrauch!$C$9:$C$18896,"&lt;&gt;")</f>
        <v>0</v>
      </c>
    </row>
    <row r="413" customFormat="false" ht="15" hidden="false" customHeight="true" outlineLevel="0" collapsed="false">
      <c r="A413" s="10" t="n">
        <v>46374</v>
      </c>
      <c r="B413" s="10" t="n">
        <v>46375</v>
      </c>
      <c r="C413" s="22" t="n">
        <f aca="false">SUMIFS(Verbrauch!$C$9:$C$18896,Verbrauch!$A$9:$A$18896,"&gt;="&amp;A413,Verbrauch!$A$9:$A$18896,"&lt;"&amp;B413)</f>
        <v>0</v>
      </c>
      <c r="D413" s="22" t="n">
        <f aca="false">SUMIFS(Verbrauch!$C$9:$C$18896,Verbrauch!$A$9:$A$18896,"&gt;="&amp;A413,Verbrauch!$A$9:$A$18896,"&lt;"&amp;B413,Verbrauch!$F$9:$F$18896,"Go")</f>
        <v>0</v>
      </c>
      <c r="E413" s="22" t="n">
        <f aca="false">SUMIFS(Verbrauch!$C$9:$C$18896,Verbrauch!$A$9:$A$18896,"&gt;="&amp;A413,Verbrauch!$A$9:$A$18896,"&lt;"&amp;B413,Verbrauch!$F$9:$F$18896,"Standard")</f>
        <v>0</v>
      </c>
      <c r="F413" s="23" t="n">
        <f aca="false">SUMIFS(Verbrauch!$E$9:$E$18896,Verbrauch!$A$9:$A$18896,"&gt;="&amp;A413,Verbrauch!$A$9:$A$18896,"&lt;"&amp;B413)</f>
        <v>0</v>
      </c>
      <c r="G413" s="13" t="str">
        <f aca="false">IFERROR(F413/C413*100,"")</f>
        <v/>
      </c>
      <c r="H413" s="11" t="n">
        <f aca="false">COUNTIFS(Verbrauch!$A$9:$A$18896,"&gt;="&amp;A413,Verbrauch!$A$9:$A$18896,"&lt;"&amp;B413,Verbrauch!$C$9:$C$18896,"&lt;&gt;")</f>
        <v>0</v>
      </c>
    </row>
    <row r="414" customFormat="false" ht="15" hidden="false" customHeight="true" outlineLevel="0" collapsed="false">
      <c r="A414" s="10" t="n">
        <v>46375</v>
      </c>
      <c r="B414" s="10" t="n">
        <v>46376</v>
      </c>
      <c r="C414" s="22" t="n">
        <f aca="false">SUMIFS(Verbrauch!$C$9:$C$18896,Verbrauch!$A$9:$A$18896,"&gt;="&amp;A414,Verbrauch!$A$9:$A$18896,"&lt;"&amp;B414)</f>
        <v>0</v>
      </c>
      <c r="D414" s="22" t="n">
        <f aca="false">SUMIFS(Verbrauch!$C$9:$C$18896,Verbrauch!$A$9:$A$18896,"&gt;="&amp;A414,Verbrauch!$A$9:$A$18896,"&lt;"&amp;B414,Verbrauch!$F$9:$F$18896,"Go")</f>
        <v>0</v>
      </c>
      <c r="E414" s="22" t="n">
        <f aca="false">SUMIFS(Verbrauch!$C$9:$C$18896,Verbrauch!$A$9:$A$18896,"&gt;="&amp;A414,Verbrauch!$A$9:$A$18896,"&lt;"&amp;B414,Verbrauch!$F$9:$F$18896,"Standard")</f>
        <v>0</v>
      </c>
      <c r="F414" s="23" t="n">
        <f aca="false">SUMIFS(Verbrauch!$E$9:$E$18896,Verbrauch!$A$9:$A$18896,"&gt;="&amp;A414,Verbrauch!$A$9:$A$18896,"&lt;"&amp;B414)</f>
        <v>0</v>
      </c>
      <c r="G414" s="13" t="str">
        <f aca="false">IFERROR(F414/C414*100,"")</f>
        <v/>
      </c>
      <c r="H414" s="11" t="n">
        <f aca="false">COUNTIFS(Verbrauch!$A$9:$A$18896,"&gt;="&amp;A414,Verbrauch!$A$9:$A$18896,"&lt;"&amp;B414,Verbrauch!$C$9:$C$18896,"&lt;&gt;")</f>
        <v>0</v>
      </c>
    </row>
    <row r="415" customFormat="false" ht="15" hidden="false" customHeight="true" outlineLevel="0" collapsed="false">
      <c r="A415" s="10" t="n">
        <v>46376</v>
      </c>
      <c r="B415" s="10" t="n">
        <v>46377</v>
      </c>
      <c r="C415" s="22" t="n">
        <f aca="false">SUMIFS(Verbrauch!$C$9:$C$18896,Verbrauch!$A$9:$A$18896,"&gt;="&amp;A415,Verbrauch!$A$9:$A$18896,"&lt;"&amp;B415)</f>
        <v>0</v>
      </c>
      <c r="D415" s="22" t="n">
        <f aca="false">SUMIFS(Verbrauch!$C$9:$C$18896,Verbrauch!$A$9:$A$18896,"&gt;="&amp;A415,Verbrauch!$A$9:$A$18896,"&lt;"&amp;B415,Verbrauch!$F$9:$F$18896,"Go")</f>
        <v>0</v>
      </c>
      <c r="E415" s="22" t="n">
        <f aca="false">SUMIFS(Verbrauch!$C$9:$C$18896,Verbrauch!$A$9:$A$18896,"&gt;="&amp;A415,Verbrauch!$A$9:$A$18896,"&lt;"&amp;B415,Verbrauch!$F$9:$F$18896,"Standard")</f>
        <v>0</v>
      </c>
      <c r="F415" s="23" t="n">
        <f aca="false">SUMIFS(Verbrauch!$E$9:$E$18896,Verbrauch!$A$9:$A$18896,"&gt;="&amp;A415,Verbrauch!$A$9:$A$18896,"&lt;"&amp;B415)</f>
        <v>0</v>
      </c>
      <c r="G415" s="13" t="str">
        <f aca="false">IFERROR(F415/C415*100,"")</f>
        <v/>
      </c>
      <c r="H415" s="11" t="n">
        <f aca="false">COUNTIFS(Verbrauch!$A$9:$A$18896,"&gt;="&amp;A415,Verbrauch!$A$9:$A$18896,"&lt;"&amp;B415,Verbrauch!$C$9:$C$18896,"&lt;&gt;")</f>
        <v>0</v>
      </c>
    </row>
    <row r="416" customFormat="false" ht="15" hidden="false" customHeight="true" outlineLevel="0" collapsed="false">
      <c r="A416" s="10" t="n">
        <v>46377</v>
      </c>
      <c r="B416" s="10" t="n">
        <v>46378</v>
      </c>
      <c r="C416" s="22" t="n">
        <f aca="false">SUMIFS(Verbrauch!$C$9:$C$18896,Verbrauch!$A$9:$A$18896,"&gt;="&amp;A416,Verbrauch!$A$9:$A$18896,"&lt;"&amp;B416)</f>
        <v>0</v>
      </c>
      <c r="D416" s="22" t="n">
        <f aca="false">SUMIFS(Verbrauch!$C$9:$C$18896,Verbrauch!$A$9:$A$18896,"&gt;="&amp;A416,Verbrauch!$A$9:$A$18896,"&lt;"&amp;B416,Verbrauch!$F$9:$F$18896,"Go")</f>
        <v>0</v>
      </c>
      <c r="E416" s="22" t="n">
        <f aca="false">SUMIFS(Verbrauch!$C$9:$C$18896,Verbrauch!$A$9:$A$18896,"&gt;="&amp;A416,Verbrauch!$A$9:$A$18896,"&lt;"&amp;B416,Verbrauch!$F$9:$F$18896,"Standard")</f>
        <v>0</v>
      </c>
      <c r="F416" s="23" t="n">
        <f aca="false">SUMIFS(Verbrauch!$E$9:$E$18896,Verbrauch!$A$9:$A$18896,"&gt;="&amp;A416,Verbrauch!$A$9:$A$18896,"&lt;"&amp;B416)</f>
        <v>0</v>
      </c>
      <c r="G416" s="13" t="str">
        <f aca="false">IFERROR(F416/C416*100,"")</f>
        <v/>
      </c>
      <c r="H416" s="11" t="n">
        <f aca="false">COUNTIFS(Verbrauch!$A$9:$A$18896,"&gt;="&amp;A416,Verbrauch!$A$9:$A$18896,"&lt;"&amp;B416,Verbrauch!$C$9:$C$18896,"&lt;&gt;")</f>
        <v>0</v>
      </c>
    </row>
    <row r="417" customFormat="false" ht="15" hidden="false" customHeight="true" outlineLevel="0" collapsed="false">
      <c r="A417" s="10" t="n">
        <v>46378</v>
      </c>
      <c r="B417" s="10" t="n">
        <v>46379</v>
      </c>
      <c r="C417" s="22" t="n">
        <f aca="false">SUMIFS(Verbrauch!$C$9:$C$18896,Verbrauch!$A$9:$A$18896,"&gt;="&amp;A417,Verbrauch!$A$9:$A$18896,"&lt;"&amp;B417)</f>
        <v>0</v>
      </c>
      <c r="D417" s="22" t="n">
        <f aca="false">SUMIFS(Verbrauch!$C$9:$C$18896,Verbrauch!$A$9:$A$18896,"&gt;="&amp;A417,Verbrauch!$A$9:$A$18896,"&lt;"&amp;B417,Verbrauch!$F$9:$F$18896,"Go")</f>
        <v>0</v>
      </c>
      <c r="E417" s="22" t="n">
        <f aca="false">SUMIFS(Verbrauch!$C$9:$C$18896,Verbrauch!$A$9:$A$18896,"&gt;="&amp;A417,Verbrauch!$A$9:$A$18896,"&lt;"&amp;B417,Verbrauch!$F$9:$F$18896,"Standard")</f>
        <v>0</v>
      </c>
      <c r="F417" s="23" t="n">
        <f aca="false">SUMIFS(Verbrauch!$E$9:$E$18896,Verbrauch!$A$9:$A$18896,"&gt;="&amp;A417,Verbrauch!$A$9:$A$18896,"&lt;"&amp;B417)</f>
        <v>0</v>
      </c>
      <c r="G417" s="13" t="str">
        <f aca="false">IFERROR(F417/C417*100,"")</f>
        <v/>
      </c>
      <c r="H417" s="11" t="n">
        <f aca="false">COUNTIFS(Verbrauch!$A$9:$A$18896,"&gt;="&amp;A417,Verbrauch!$A$9:$A$18896,"&lt;"&amp;B417,Verbrauch!$C$9:$C$18896,"&lt;&gt;")</f>
        <v>0</v>
      </c>
    </row>
    <row r="418" customFormat="false" ht="15" hidden="false" customHeight="true" outlineLevel="0" collapsed="false">
      <c r="A418" s="10" t="n">
        <v>46379</v>
      </c>
      <c r="B418" s="10" t="n">
        <v>46380</v>
      </c>
      <c r="C418" s="22" t="n">
        <f aca="false">SUMIFS(Verbrauch!$C$9:$C$18896,Verbrauch!$A$9:$A$18896,"&gt;="&amp;A418,Verbrauch!$A$9:$A$18896,"&lt;"&amp;B418)</f>
        <v>0</v>
      </c>
      <c r="D418" s="22" t="n">
        <f aca="false">SUMIFS(Verbrauch!$C$9:$C$18896,Verbrauch!$A$9:$A$18896,"&gt;="&amp;A418,Verbrauch!$A$9:$A$18896,"&lt;"&amp;B418,Verbrauch!$F$9:$F$18896,"Go")</f>
        <v>0</v>
      </c>
      <c r="E418" s="22" t="n">
        <f aca="false">SUMIFS(Verbrauch!$C$9:$C$18896,Verbrauch!$A$9:$A$18896,"&gt;="&amp;A418,Verbrauch!$A$9:$A$18896,"&lt;"&amp;B418,Verbrauch!$F$9:$F$18896,"Standard")</f>
        <v>0</v>
      </c>
      <c r="F418" s="23" t="n">
        <f aca="false">SUMIFS(Verbrauch!$E$9:$E$18896,Verbrauch!$A$9:$A$18896,"&gt;="&amp;A418,Verbrauch!$A$9:$A$18896,"&lt;"&amp;B418)</f>
        <v>0</v>
      </c>
      <c r="G418" s="13" t="str">
        <f aca="false">IFERROR(F418/C418*100,"")</f>
        <v/>
      </c>
      <c r="H418" s="11" t="n">
        <f aca="false">COUNTIFS(Verbrauch!$A$9:$A$18896,"&gt;="&amp;A418,Verbrauch!$A$9:$A$18896,"&lt;"&amp;B418,Verbrauch!$C$9:$C$18896,"&lt;&gt;")</f>
        <v>0</v>
      </c>
    </row>
    <row r="419" customFormat="false" ht="15" hidden="false" customHeight="true" outlineLevel="0" collapsed="false">
      <c r="A419" s="10" t="n">
        <v>46380</v>
      </c>
      <c r="B419" s="10" t="n">
        <v>46381</v>
      </c>
      <c r="C419" s="22" t="n">
        <f aca="false">SUMIFS(Verbrauch!$C$9:$C$18896,Verbrauch!$A$9:$A$18896,"&gt;="&amp;A419,Verbrauch!$A$9:$A$18896,"&lt;"&amp;B419)</f>
        <v>0</v>
      </c>
      <c r="D419" s="22" t="n">
        <f aca="false">SUMIFS(Verbrauch!$C$9:$C$18896,Verbrauch!$A$9:$A$18896,"&gt;="&amp;A419,Verbrauch!$A$9:$A$18896,"&lt;"&amp;B419,Verbrauch!$F$9:$F$18896,"Go")</f>
        <v>0</v>
      </c>
      <c r="E419" s="22" t="n">
        <f aca="false">SUMIFS(Verbrauch!$C$9:$C$18896,Verbrauch!$A$9:$A$18896,"&gt;="&amp;A419,Verbrauch!$A$9:$A$18896,"&lt;"&amp;B419,Verbrauch!$F$9:$F$18896,"Standard")</f>
        <v>0</v>
      </c>
      <c r="F419" s="23" t="n">
        <f aca="false">SUMIFS(Verbrauch!$E$9:$E$18896,Verbrauch!$A$9:$A$18896,"&gt;="&amp;A419,Verbrauch!$A$9:$A$18896,"&lt;"&amp;B419)</f>
        <v>0</v>
      </c>
      <c r="G419" s="13" t="str">
        <f aca="false">IFERROR(F419/C419*100,"")</f>
        <v/>
      </c>
      <c r="H419" s="11" t="n">
        <f aca="false">COUNTIFS(Verbrauch!$A$9:$A$18896,"&gt;="&amp;A419,Verbrauch!$A$9:$A$18896,"&lt;"&amp;B419,Verbrauch!$C$9:$C$18896,"&lt;&gt;")</f>
        <v>0</v>
      </c>
    </row>
    <row r="420" customFormat="false" ht="15" hidden="false" customHeight="true" outlineLevel="0" collapsed="false">
      <c r="A420" s="10" t="n">
        <v>46381</v>
      </c>
      <c r="B420" s="10" t="n">
        <v>46382</v>
      </c>
      <c r="C420" s="22" t="n">
        <f aca="false">SUMIFS(Verbrauch!$C$9:$C$18896,Verbrauch!$A$9:$A$18896,"&gt;="&amp;A420,Verbrauch!$A$9:$A$18896,"&lt;"&amp;B420)</f>
        <v>0</v>
      </c>
      <c r="D420" s="22" t="n">
        <f aca="false">SUMIFS(Verbrauch!$C$9:$C$18896,Verbrauch!$A$9:$A$18896,"&gt;="&amp;A420,Verbrauch!$A$9:$A$18896,"&lt;"&amp;B420,Verbrauch!$F$9:$F$18896,"Go")</f>
        <v>0</v>
      </c>
      <c r="E420" s="22" t="n">
        <f aca="false">SUMIFS(Verbrauch!$C$9:$C$18896,Verbrauch!$A$9:$A$18896,"&gt;="&amp;A420,Verbrauch!$A$9:$A$18896,"&lt;"&amp;B420,Verbrauch!$F$9:$F$18896,"Standard")</f>
        <v>0</v>
      </c>
      <c r="F420" s="23" t="n">
        <f aca="false">SUMIFS(Verbrauch!$E$9:$E$18896,Verbrauch!$A$9:$A$18896,"&gt;="&amp;A420,Verbrauch!$A$9:$A$18896,"&lt;"&amp;B420)</f>
        <v>0</v>
      </c>
      <c r="G420" s="13" t="str">
        <f aca="false">IFERROR(F420/C420*100,"")</f>
        <v/>
      </c>
      <c r="H420" s="11" t="n">
        <f aca="false">COUNTIFS(Verbrauch!$A$9:$A$18896,"&gt;="&amp;A420,Verbrauch!$A$9:$A$18896,"&lt;"&amp;B420,Verbrauch!$C$9:$C$18896,"&lt;&gt;")</f>
        <v>0</v>
      </c>
    </row>
    <row r="421" customFormat="false" ht="15" hidden="false" customHeight="true" outlineLevel="0" collapsed="false">
      <c r="A421" s="10" t="n">
        <v>46382</v>
      </c>
      <c r="B421" s="10" t="n">
        <v>46383</v>
      </c>
      <c r="C421" s="22" t="n">
        <f aca="false">SUMIFS(Verbrauch!$C$9:$C$18896,Verbrauch!$A$9:$A$18896,"&gt;="&amp;A421,Verbrauch!$A$9:$A$18896,"&lt;"&amp;B421)</f>
        <v>0</v>
      </c>
      <c r="D421" s="22" t="n">
        <f aca="false">SUMIFS(Verbrauch!$C$9:$C$18896,Verbrauch!$A$9:$A$18896,"&gt;="&amp;A421,Verbrauch!$A$9:$A$18896,"&lt;"&amp;B421,Verbrauch!$F$9:$F$18896,"Go")</f>
        <v>0</v>
      </c>
      <c r="E421" s="22" t="n">
        <f aca="false">SUMIFS(Verbrauch!$C$9:$C$18896,Verbrauch!$A$9:$A$18896,"&gt;="&amp;A421,Verbrauch!$A$9:$A$18896,"&lt;"&amp;B421,Verbrauch!$F$9:$F$18896,"Standard")</f>
        <v>0</v>
      </c>
      <c r="F421" s="23" t="n">
        <f aca="false">SUMIFS(Verbrauch!$E$9:$E$18896,Verbrauch!$A$9:$A$18896,"&gt;="&amp;A421,Verbrauch!$A$9:$A$18896,"&lt;"&amp;B421)</f>
        <v>0</v>
      </c>
      <c r="G421" s="13" t="str">
        <f aca="false">IFERROR(F421/C421*100,"")</f>
        <v/>
      </c>
      <c r="H421" s="11" t="n">
        <f aca="false">COUNTIFS(Verbrauch!$A$9:$A$18896,"&gt;="&amp;A421,Verbrauch!$A$9:$A$18896,"&lt;"&amp;B421,Verbrauch!$C$9:$C$18896,"&lt;&gt;")</f>
        <v>0</v>
      </c>
    </row>
    <row r="422" customFormat="false" ht="15" hidden="false" customHeight="true" outlineLevel="0" collapsed="false">
      <c r="A422" s="10" t="n">
        <v>46383</v>
      </c>
      <c r="B422" s="10" t="n">
        <v>46384</v>
      </c>
      <c r="C422" s="22" t="n">
        <f aca="false">SUMIFS(Verbrauch!$C$9:$C$18896,Verbrauch!$A$9:$A$18896,"&gt;="&amp;A422,Verbrauch!$A$9:$A$18896,"&lt;"&amp;B422)</f>
        <v>0</v>
      </c>
      <c r="D422" s="22" t="n">
        <f aca="false">SUMIFS(Verbrauch!$C$9:$C$18896,Verbrauch!$A$9:$A$18896,"&gt;="&amp;A422,Verbrauch!$A$9:$A$18896,"&lt;"&amp;B422,Verbrauch!$F$9:$F$18896,"Go")</f>
        <v>0</v>
      </c>
      <c r="E422" s="22" t="n">
        <f aca="false">SUMIFS(Verbrauch!$C$9:$C$18896,Verbrauch!$A$9:$A$18896,"&gt;="&amp;A422,Verbrauch!$A$9:$A$18896,"&lt;"&amp;B422,Verbrauch!$F$9:$F$18896,"Standard")</f>
        <v>0</v>
      </c>
      <c r="F422" s="23" t="n">
        <f aca="false">SUMIFS(Verbrauch!$E$9:$E$18896,Verbrauch!$A$9:$A$18896,"&gt;="&amp;A422,Verbrauch!$A$9:$A$18896,"&lt;"&amp;B422)</f>
        <v>0</v>
      </c>
      <c r="G422" s="13" t="str">
        <f aca="false">IFERROR(F422/C422*100,"")</f>
        <v/>
      </c>
      <c r="H422" s="11" t="n">
        <f aca="false">COUNTIFS(Verbrauch!$A$9:$A$18896,"&gt;="&amp;A422,Verbrauch!$A$9:$A$18896,"&lt;"&amp;B422,Verbrauch!$C$9:$C$18896,"&lt;&gt;")</f>
        <v>0</v>
      </c>
    </row>
    <row r="423" customFormat="false" ht="15" hidden="false" customHeight="true" outlineLevel="0" collapsed="false">
      <c r="A423" s="10" t="n">
        <v>46384</v>
      </c>
      <c r="B423" s="10" t="n">
        <v>46385</v>
      </c>
      <c r="C423" s="22" t="n">
        <f aca="false">SUMIFS(Verbrauch!$C$9:$C$18896,Verbrauch!$A$9:$A$18896,"&gt;="&amp;A423,Verbrauch!$A$9:$A$18896,"&lt;"&amp;B423)</f>
        <v>0</v>
      </c>
      <c r="D423" s="22" t="n">
        <f aca="false">SUMIFS(Verbrauch!$C$9:$C$18896,Verbrauch!$A$9:$A$18896,"&gt;="&amp;A423,Verbrauch!$A$9:$A$18896,"&lt;"&amp;B423,Verbrauch!$F$9:$F$18896,"Go")</f>
        <v>0</v>
      </c>
      <c r="E423" s="22" t="n">
        <f aca="false">SUMIFS(Verbrauch!$C$9:$C$18896,Verbrauch!$A$9:$A$18896,"&gt;="&amp;A423,Verbrauch!$A$9:$A$18896,"&lt;"&amp;B423,Verbrauch!$F$9:$F$18896,"Standard")</f>
        <v>0</v>
      </c>
      <c r="F423" s="23" t="n">
        <f aca="false">SUMIFS(Verbrauch!$E$9:$E$18896,Verbrauch!$A$9:$A$18896,"&gt;="&amp;A423,Verbrauch!$A$9:$A$18896,"&lt;"&amp;B423)</f>
        <v>0</v>
      </c>
      <c r="G423" s="13" t="str">
        <f aca="false">IFERROR(F423/C423*100,"")</f>
        <v/>
      </c>
      <c r="H423" s="11" t="n">
        <f aca="false">COUNTIFS(Verbrauch!$A$9:$A$18896,"&gt;="&amp;A423,Verbrauch!$A$9:$A$18896,"&lt;"&amp;B423,Verbrauch!$C$9:$C$18896,"&lt;&gt;")</f>
        <v>0</v>
      </c>
    </row>
    <row r="424" customFormat="false" ht="15" hidden="false" customHeight="true" outlineLevel="0" collapsed="false">
      <c r="A424" s="10" t="n">
        <v>46385</v>
      </c>
      <c r="B424" s="10" t="n">
        <v>46386</v>
      </c>
      <c r="C424" s="22" t="n">
        <f aca="false">SUMIFS(Verbrauch!$C$9:$C$18896,Verbrauch!$A$9:$A$18896,"&gt;="&amp;A424,Verbrauch!$A$9:$A$18896,"&lt;"&amp;B424)</f>
        <v>0</v>
      </c>
      <c r="D424" s="22" t="n">
        <f aca="false">SUMIFS(Verbrauch!$C$9:$C$18896,Verbrauch!$A$9:$A$18896,"&gt;="&amp;A424,Verbrauch!$A$9:$A$18896,"&lt;"&amp;B424,Verbrauch!$F$9:$F$18896,"Go")</f>
        <v>0</v>
      </c>
      <c r="E424" s="22" t="n">
        <f aca="false">SUMIFS(Verbrauch!$C$9:$C$18896,Verbrauch!$A$9:$A$18896,"&gt;="&amp;A424,Verbrauch!$A$9:$A$18896,"&lt;"&amp;B424,Verbrauch!$F$9:$F$18896,"Standard")</f>
        <v>0</v>
      </c>
      <c r="F424" s="23" t="n">
        <f aca="false">SUMIFS(Verbrauch!$E$9:$E$18896,Verbrauch!$A$9:$A$18896,"&gt;="&amp;A424,Verbrauch!$A$9:$A$18896,"&lt;"&amp;B424)</f>
        <v>0</v>
      </c>
      <c r="G424" s="13" t="str">
        <f aca="false">IFERROR(F424/C424*100,"")</f>
        <v/>
      </c>
      <c r="H424" s="11" t="n">
        <f aca="false">COUNTIFS(Verbrauch!$A$9:$A$18896,"&gt;="&amp;A424,Verbrauch!$A$9:$A$18896,"&lt;"&amp;B424,Verbrauch!$C$9:$C$18896,"&lt;&gt;")</f>
        <v>0</v>
      </c>
    </row>
    <row r="425" customFormat="false" ht="15" hidden="false" customHeight="true" outlineLevel="0" collapsed="false">
      <c r="A425" s="10" t="n">
        <v>46386</v>
      </c>
      <c r="B425" s="10" t="n">
        <v>46387</v>
      </c>
      <c r="C425" s="22" t="n">
        <f aca="false">SUMIFS(Verbrauch!$C$9:$C$18896,Verbrauch!$A$9:$A$18896,"&gt;="&amp;A425,Verbrauch!$A$9:$A$18896,"&lt;"&amp;B425)</f>
        <v>0</v>
      </c>
      <c r="D425" s="22" t="n">
        <f aca="false">SUMIFS(Verbrauch!$C$9:$C$18896,Verbrauch!$A$9:$A$18896,"&gt;="&amp;A425,Verbrauch!$A$9:$A$18896,"&lt;"&amp;B425,Verbrauch!$F$9:$F$18896,"Go")</f>
        <v>0</v>
      </c>
      <c r="E425" s="22" t="n">
        <f aca="false">SUMIFS(Verbrauch!$C$9:$C$18896,Verbrauch!$A$9:$A$18896,"&gt;="&amp;A425,Verbrauch!$A$9:$A$18896,"&lt;"&amp;B425,Verbrauch!$F$9:$F$18896,"Standard")</f>
        <v>0</v>
      </c>
      <c r="F425" s="23" t="n">
        <f aca="false">SUMIFS(Verbrauch!$E$9:$E$18896,Verbrauch!$A$9:$A$18896,"&gt;="&amp;A425,Verbrauch!$A$9:$A$18896,"&lt;"&amp;B425)</f>
        <v>0</v>
      </c>
      <c r="G425" s="13" t="str">
        <f aca="false">IFERROR(F425/C425*100,"")</f>
        <v/>
      </c>
      <c r="H425" s="11" t="n">
        <f aca="false">COUNTIFS(Verbrauch!$A$9:$A$18896,"&gt;="&amp;A425,Verbrauch!$A$9:$A$18896,"&lt;"&amp;B425,Verbrauch!$C$9:$C$18896,"&lt;&gt;")</f>
        <v>0</v>
      </c>
    </row>
    <row r="426" customFormat="false" ht="15" hidden="false" customHeight="true" outlineLevel="0" collapsed="false">
      <c r="A426" s="10" t="n">
        <v>46387</v>
      </c>
      <c r="B426" s="10" t="n">
        <v>46388</v>
      </c>
      <c r="C426" s="22" t="n">
        <f aca="false">SUMIFS(Verbrauch!$C$9:$C$18896,Verbrauch!$A$9:$A$18896,"&gt;="&amp;A426,Verbrauch!$A$9:$A$18896,"&lt;"&amp;B426)</f>
        <v>0</v>
      </c>
      <c r="D426" s="22" t="n">
        <f aca="false">SUMIFS(Verbrauch!$C$9:$C$18896,Verbrauch!$A$9:$A$18896,"&gt;="&amp;A426,Verbrauch!$A$9:$A$18896,"&lt;"&amp;B426,Verbrauch!$F$9:$F$18896,"Go")</f>
        <v>0</v>
      </c>
      <c r="E426" s="22" t="n">
        <f aca="false">SUMIFS(Verbrauch!$C$9:$C$18896,Verbrauch!$A$9:$A$18896,"&gt;="&amp;A426,Verbrauch!$A$9:$A$18896,"&lt;"&amp;B426,Verbrauch!$F$9:$F$18896,"Standard")</f>
        <v>0</v>
      </c>
      <c r="F426" s="23" t="n">
        <f aca="false">SUMIFS(Verbrauch!$E$9:$E$18896,Verbrauch!$A$9:$A$18896,"&gt;="&amp;A426,Verbrauch!$A$9:$A$18896,"&lt;"&amp;B426)</f>
        <v>0</v>
      </c>
      <c r="G426" s="13" t="str">
        <f aca="false">IFERROR(F426/C426*100,"")</f>
        <v/>
      </c>
      <c r="H426" s="11" t="n">
        <f aca="false">COUNTIFS(Verbrauch!$A$9:$A$18896,"&gt;="&amp;A426,Verbrauch!$A$9:$A$18896,"&lt;"&amp;B426,Verbrauch!$C$9:$C$18896,"&lt;&gt;")</f>
        <v>0</v>
      </c>
    </row>
    <row r="427" customFormat="false" ht="15" hidden="false" customHeight="true" outlineLevel="0" collapsed="false">
      <c r="A427" s="10" t="n">
        <v>46388</v>
      </c>
      <c r="B427" s="10" t="n">
        <v>46389</v>
      </c>
      <c r="C427" s="22" t="n">
        <f aca="false">SUMIFS(Verbrauch!$C$9:$C$18896,Verbrauch!$A$9:$A$18896,"&gt;="&amp;A427,Verbrauch!$A$9:$A$18896,"&lt;"&amp;B427)</f>
        <v>0</v>
      </c>
      <c r="D427" s="22" t="n">
        <f aca="false">SUMIFS(Verbrauch!$C$9:$C$18896,Verbrauch!$A$9:$A$18896,"&gt;="&amp;A427,Verbrauch!$A$9:$A$18896,"&lt;"&amp;B427,Verbrauch!$F$9:$F$18896,"Go")</f>
        <v>0</v>
      </c>
      <c r="E427" s="22" t="n">
        <f aca="false">SUMIFS(Verbrauch!$C$9:$C$18896,Verbrauch!$A$9:$A$18896,"&gt;="&amp;A427,Verbrauch!$A$9:$A$18896,"&lt;"&amp;B427,Verbrauch!$F$9:$F$18896,"Standard")</f>
        <v>0</v>
      </c>
      <c r="F427" s="23" t="n">
        <f aca="false">SUMIFS(Verbrauch!$E$9:$E$18896,Verbrauch!$A$9:$A$18896,"&gt;="&amp;A427,Verbrauch!$A$9:$A$18896,"&lt;"&amp;B427)</f>
        <v>0</v>
      </c>
      <c r="G427" s="13" t="str">
        <f aca="false">IFERROR(F427/C427*100,"")</f>
        <v/>
      </c>
      <c r="H427" s="11" t="n">
        <f aca="false">COUNTIFS(Verbrauch!$A$9:$A$18896,"&gt;="&amp;A427,Verbrauch!$A$9:$A$18896,"&lt;"&amp;B427,Verbrauch!$C$9:$C$18896,"&lt;&gt;")</f>
        <v>0</v>
      </c>
    </row>
    <row r="428" customFormat="false" ht="15" hidden="false" customHeight="true" outlineLevel="0" collapsed="false">
      <c r="A428" s="10" t="n">
        <v>46389</v>
      </c>
      <c r="B428" s="10" t="n">
        <v>46390</v>
      </c>
      <c r="C428" s="22" t="n">
        <f aca="false">SUMIFS(Verbrauch!$C$9:$C$18896,Verbrauch!$A$9:$A$18896,"&gt;="&amp;A428,Verbrauch!$A$9:$A$18896,"&lt;"&amp;B428)</f>
        <v>0</v>
      </c>
      <c r="D428" s="22" t="n">
        <f aca="false">SUMIFS(Verbrauch!$C$9:$C$18896,Verbrauch!$A$9:$A$18896,"&gt;="&amp;A428,Verbrauch!$A$9:$A$18896,"&lt;"&amp;B428,Verbrauch!$F$9:$F$18896,"Go")</f>
        <v>0</v>
      </c>
      <c r="E428" s="22" t="n">
        <f aca="false">SUMIFS(Verbrauch!$C$9:$C$18896,Verbrauch!$A$9:$A$18896,"&gt;="&amp;A428,Verbrauch!$A$9:$A$18896,"&lt;"&amp;B428,Verbrauch!$F$9:$F$18896,"Standard")</f>
        <v>0</v>
      </c>
      <c r="F428" s="23" t="n">
        <f aca="false">SUMIFS(Verbrauch!$E$9:$E$18896,Verbrauch!$A$9:$A$18896,"&gt;="&amp;A428,Verbrauch!$A$9:$A$18896,"&lt;"&amp;B428)</f>
        <v>0</v>
      </c>
      <c r="G428" s="13" t="str">
        <f aca="false">IFERROR(F428/C428*100,"")</f>
        <v/>
      </c>
      <c r="H428" s="11" t="n">
        <f aca="false">COUNTIFS(Verbrauch!$A$9:$A$18896,"&gt;="&amp;A428,Verbrauch!$A$9:$A$18896,"&lt;"&amp;B428,Verbrauch!$C$9:$C$18896,"&lt;&gt;")</f>
        <v>0</v>
      </c>
    </row>
    <row r="429" customFormat="false" ht="15" hidden="false" customHeight="true" outlineLevel="0" collapsed="false">
      <c r="A429" s="10" t="n">
        <v>46390</v>
      </c>
      <c r="B429" s="10" t="n">
        <v>46391</v>
      </c>
      <c r="C429" s="22" t="n">
        <f aca="false">SUMIFS(Verbrauch!$C$9:$C$18896,Verbrauch!$A$9:$A$18896,"&gt;="&amp;A429,Verbrauch!$A$9:$A$18896,"&lt;"&amp;B429)</f>
        <v>0</v>
      </c>
      <c r="D429" s="22" t="n">
        <f aca="false">SUMIFS(Verbrauch!$C$9:$C$18896,Verbrauch!$A$9:$A$18896,"&gt;="&amp;A429,Verbrauch!$A$9:$A$18896,"&lt;"&amp;B429,Verbrauch!$F$9:$F$18896,"Go")</f>
        <v>0</v>
      </c>
      <c r="E429" s="22" t="n">
        <f aca="false">SUMIFS(Verbrauch!$C$9:$C$18896,Verbrauch!$A$9:$A$18896,"&gt;="&amp;A429,Verbrauch!$A$9:$A$18896,"&lt;"&amp;B429,Verbrauch!$F$9:$F$18896,"Standard")</f>
        <v>0</v>
      </c>
      <c r="F429" s="23" t="n">
        <f aca="false">SUMIFS(Verbrauch!$E$9:$E$18896,Verbrauch!$A$9:$A$18896,"&gt;="&amp;A429,Verbrauch!$A$9:$A$18896,"&lt;"&amp;B429)</f>
        <v>0</v>
      </c>
      <c r="G429" s="13" t="str">
        <f aca="false">IFERROR(F429/C429*100,"")</f>
        <v/>
      </c>
      <c r="H429" s="11" t="n">
        <f aca="false">COUNTIFS(Verbrauch!$A$9:$A$18896,"&gt;="&amp;A429,Verbrauch!$A$9:$A$18896,"&lt;"&amp;B429,Verbrauch!$C$9:$C$18896,"&lt;&gt;")</f>
        <v>0</v>
      </c>
    </row>
    <row r="430" customFormat="false" ht="15" hidden="false" customHeight="true" outlineLevel="0" collapsed="false">
      <c r="A430" s="10" t="n">
        <v>46391</v>
      </c>
      <c r="B430" s="10" t="n">
        <v>46392</v>
      </c>
      <c r="C430" s="22" t="n">
        <f aca="false">SUMIFS(Verbrauch!$C$9:$C$18896,Verbrauch!$A$9:$A$18896,"&gt;="&amp;A430,Verbrauch!$A$9:$A$18896,"&lt;"&amp;B430)</f>
        <v>0</v>
      </c>
      <c r="D430" s="22" t="n">
        <f aca="false">SUMIFS(Verbrauch!$C$9:$C$18896,Verbrauch!$A$9:$A$18896,"&gt;="&amp;A430,Verbrauch!$A$9:$A$18896,"&lt;"&amp;B430,Verbrauch!$F$9:$F$18896,"Go")</f>
        <v>0</v>
      </c>
      <c r="E430" s="22" t="n">
        <f aca="false">SUMIFS(Verbrauch!$C$9:$C$18896,Verbrauch!$A$9:$A$18896,"&gt;="&amp;A430,Verbrauch!$A$9:$A$18896,"&lt;"&amp;B430,Verbrauch!$F$9:$F$18896,"Standard")</f>
        <v>0</v>
      </c>
      <c r="F430" s="23" t="n">
        <f aca="false">SUMIFS(Verbrauch!$E$9:$E$18896,Verbrauch!$A$9:$A$18896,"&gt;="&amp;A430,Verbrauch!$A$9:$A$18896,"&lt;"&amp;B430)</f>
        <v>0</v>
      </c>
      <c r="G430" s="13" t="str">
        <f aca="false">IFERROR(F430/C430*100,"")</f>
        <v/>
      </c>
      <c r="H430" s="11" t="n">
        <f aca="false">COUNTIFS(Verbrauch!$A$9:$A$18896,"&gt;="&amp;A430,Verbrauch!$A$9:$A$18896,"&lt;"&amp;B430,Verbrauch!$C$9:$C$18896,"&lt;&gt;")</f>
        <v>0</v>
      </c>
    </row>
    <row r="431" customFormat="false" ht="15" hidden="false" customHeight="true" outlineLevel="0" collapsed="false">
      <c r="A431" s="10" t="n">
        <v>46392</v>
      </c>
      <c r="B431" s="10" t="n">
        <v>46393</v>
      </c>
      <c r="C431" s="22" t="n">
        <f aca="false">SUMIFS(Verbrauch!$C$9:$C$18896,Verbrauch!$A$9:$A$18896,"&gt;="&amp;A431,Verbrauch!$A$9:$A$18896,"&lt;"&amp;B431)</f>
        <v>0</v>
      </c>
      <c r="D431" s="22" t="n">
        <f aca="false">SUMIFS(Verbrauch!$C$9:$C$18896,Verbrauch!$A$9:$A$18896,"&gt;="&amp;A431,Verbrauch!$A$9:$A$18896,"&lt;"&amp;B431,Verbrauch!$F$9:$F$18896,"Go")</f>
        <v>0</v>
      </c>
      <c r="E431" s="22" t="n">
        <f aca="false">SUMIFS(Verbrauch!$C$9:$C$18896,Verbrauch!$A$9:$A$18896,"&gt;="&amp;A431,Verbrauch!$A$9:$A$18896,"&lt;"&amp;B431,Verbrauch!$F$9:$F$18896,"Standard")</f>
        <v>0</v>
      </c>
      <c r="F431" s="23" t="n">
        <f aca="false">SUMIFS(Verbrauch!$E$9:$E$18896,Verbrauch!$A$9:$A$18896,"&gt;="&amp;A431,Verbrauch!$A$9:$A$18896,"&lt;"&amp;B431)</f>
        <v>0</v>
      </c>
      <c r="G431" s="13" t="str">
        <f aca="false">IFERROR(F431/C431*100,"")</f>
        <v/>
      </c>
      <c r="H431" s="11" t="n">
        <f aca="false">COUNTIFS(Verbrauch!$A$9:$A$18896,"&gt;="&amp;A431,Verbrauch!$A$9:$A$18896,"&lt;"&amp;B431,Verbrauch!$C$9:$C$18896,"&lt;&gt;")</f>
        <v>0</v>
      </c>
    </row>
    <row r="432" customFormat="false" ht="15" hidden="false" customHeight="true" outlineLevel="0" collapsed="false">
      <c r="A432" s="10" t="n">
        <v>46393</v>
      </c>
      <c r="B432" s="10" t="n">
        <v>46394</v>
      </c>
      <c r="C432" s="22" t="n">
        <f aca="false">SUMIFS(Verbrauch!$C$9:$C$18896,Verbrauch!$A$9:$A$18896,"&gt;="&amp;A432,Verbrauch!$A$9:$A$18896,"&lt;"&amp;B432)</f>
        <v>0</v>
      </c>
      <c r="D432" s="22" t="n">
        <f aca="false">SUMIFS(Verbrauch!$C$9:$C$18896,Verbrauch!$A$9:$A$18896,"&gt;="&amp;A432,Verbrauch!$A$9:$A$18896,"&lt;"&amp;B432,Verbrauch!$F$9:$F$18896,"Go")</f>
        <v>0</v>
      </c>
      <c r="E432" s="22" t="n">
        <f aca="false">SUMIFS(Verbrauch!$C$9:$C$18896,Verbrauch!$A$9:$A$18896,"&gt;="&amp;A432,Verbrauch!$A$9:$A$18896,"&lt;"&amp;B432,Verbrauch!$F$9:$F$18896,"Standard")</f>
        <v>0</v>
      </c>
      <c r="F432" s="23" t="n">
        <f aca="false">SUMIFS(Verbrauch!$E$9:$E$18896,Verbrauch!$A$9:$A$18896,"&gt;="&amp;A432,Verbrauch!$A$9:$A$18896,"&lt;"&amp;B432)</f>
        <v>0</v>
      </c>
      <c r="G432" s="13" t="str">
        <f aca="false">IFERROR(F432/C432*100,"")</f>
        <v/>
      </c>
      <c r="H432" s="11" t="n">
        <f aca="false">COUNTIFS(Verbrauch!$A$9:$A$18896,"&gt;="&amp;A432,Verbrauch!$A$9:$A$18896,"&lt;"&amp;B432,Verbrauch!$C$9:$C$18896,"&lt;&gt;")</f>
        <v>0</v>
      </c>
    </row>
    <row r="433" customFormat="false" ht="15" hidden="false" customHeight="true" outlineLevel="0" collapsed="false">
      <c r="A433" s="10" t="n">
        <v>46394</v>
      </c>
      <c r="B433" s="10" t="n">
        <v>46395</v>
      </c>
      <c r="C433" s="22" t="n">
        <f aca="false">SUMIFS(Verbrauch!$C$9:$C$18896,Verbrauch!$A$9:$A$18896,"&gt;="&amp;A433,Verbrauch!$A$9:$A$18896,"&lt;"&amp;B433)</f>
        <v>0</v>
      </c>
      <c r="D433" s="22" t="n">
        <f aca="false">SUMIFS(Verbrauch!$C$9:$C$18896,Verbrauch!$A$9:$A$18896,"&gt;="&amp;A433,Verbrauch!$A$9:$A$18896,"&lt;"&amp;B433,Verbrauch!$F$9:$F$18896,"Go")</f>
        <v>0</v>
      </c>
      <c r="E433" s="22" t="n">
        <f aca="false">SUMIFS(Verbrauch!$C$9:$C$18896,Verbrauch!$A$9:$A$18896,"&gt;="&amp;A433,Verbrauch!$A$9:$A$18896,"&lt;"&amp;B433,Verbrauch!$F$9:$F$18896,"Standard")</f>
        <v>0</v>
      </c>
      <c r="F433" s="23" t="n">
        <f aca="false">SUMIFS(Verbrauch!$E$9:$E$18896,Verbrauch!$A$9:$A$18896,"&gt;="&amp;A433,Verbrauch!$A$9:$A$18896,"&lt;"&amp;B433)</f>
        <v>0</v>
      </c>
      <c r="G433" s="13" t="str">
        <f aca="false">IFERROR(F433/C433*100,"")</f>
        <v/>
      </c>
      <c r="H433" s="11" t="n">
        <f aca="false">COUNTIFS(Verbrauch!$A$9:$A$18896,"&gt;="&amp;A433,Verbrauch!$A$9:$A$18896,"&lt;"&amp;B433,Verbrauch!$C$9:$C$18896,"&lt;&gt;")</f>
        <v>0</v>
      </c>
    </row>
    <row r="434" customFormat="false" ht="15" hidden="false" customHeight="true" outlineLevel="0" collapsed="false">
      <c r="A434" s="10" t="n">
        <v>46395</v>
      </c>
      <c r="B434" s="10" t="n">
        <v>46396</v>
      </c>
      <c r="C434" s="22" t="n">
        <f aca="false">SUMIFS(Verbrauch!$C$9:$C$18896,Verbrauch!$A$9:$A$18896,"&gt;="&amp;A434,Verbrauch!$A$9:$A$18896,"&lt;"&amp;B434)</f>
        <v>0</v>
      </c>
      <c r="D434" s="22" t="n">
        <f aca="false">SUMIFS(Verbrauch!$C$9:$C$18896,Verbrauch!$A$9:$A$18896,"&gt;="&amp;A434,Verbrauch!$A$9:$A$18896,"&lt;"&amp;B434,Verbrauch!$F$9:$F$18896,"Go")</f>
        <v>0</v>
      </c>
      <c r="E434" s="22" t="n">
        <f aca="false">SUMIFS(Verbrauch!$C$9:$C$18896,Verbrauch!$A$9:$A$18896,"&gt;="&amp;A434,Verbrauch!$A$9:$A$18896,"&lt;"&amp;B434,Verbrauch!$F$9:$F$18896,"Standard")</f>
        <v>0</v>
      </c>
      <c r="F434" s="23" t="n">
        <f aca="false">SUMIFS(Verbrauch!$E$9:$E$18896,Verbrauch!$A$9:$A$18896,"&gt;="&amp;A434,Verbrauch!$A$9:$A$18896,"&lt;"&amp;B434)</f>
        <v>0</v>
      </c>
      <c r="G434" s="13" t="str">
        <f aca="false">IFERROR(F434/C434*100,"")</f>
        <v/>
      </c>
      <c r="H434" s="11" t="n">
        <f aca="false">COUNTIFS(Verbrauch!$A$9:$A$18896,"&gt;="&amp;A434,Verbrauch!$A$9:$A$18896,"&lt;"&amp;B434,Verbrauch!$C$9:$C$18896,"&lt;&gt;")</f>
        <v>0</v>
      </c>
    </row>
    <row r="435" customFormat="false" ht="15" hidden="false" customHeight="true" outlineLevel="0" collapsed="false">
      <c r="A435" s="10" t="n">
        <v>46396</v>
      </c>
      <c r="B435" s="10" t="n">
        <v>46397</v>
      </c>
      <c r="C435" s="22" t="n">
        <f aca="false">SUMIFS(Verbrauch!$C$9:$C$18896,Verbrauch!$A$9:$A$18896,"&gt;="&amp;A435,Verbrauch!$A$9:$A$18896,"&lt;"&amp;B435)</f>
        <v>0</v>
      </c>
      <c r="D435" s="22" t="n">
        <f aca="false">SUMIFS(Verbrauch!$C$9:$C$18896,Verbrauch!$A$9:$A$18896,"&gt;="&amp;A435,Verbrauch!$A$9:$A$18896,"&lt;"&amp;B435,Verbrauch!$F$9:$F$18896,"Go")</f>
        <v>0</v>
      </c>
      <c r="E435" s="22" t="n">
        <f aca="false">SUMIFS(Verbrauch!$C$9:$C$18896,Verbrauch!$A$9:$A$18896,"&gt;="&amp;A435,Verbrauch!$A$9:$A$18896,"&lt;"&amp;B435,Verbrauch!$F$9:$F$18896,"Standard")</f>
        <v>0</v>
      </c>
      <c r="F435" s="23" t="n">
        <f aca="false">SUMIFS(Verbrauch!$E$9:$E$18896,Verbrauch!$A$9:$A$18896,"&gt;="&amp;A435,Verbrauch!$A$9:$A$18896,"&lt;"&amp;B435)</f>
        <v>0</v>
      </c>
      <c r="G435" s="13" t="str">
        <f aca="false">IFERROR(F435/C435*100,"")</f>
        <v/>
      </c>
      <c r="H435" s="11" t="n">
        <f aca="false">COUNTIFS(Verbrauch!$A$9:$A$18896,"&gt;="&amp;A435,Verbrauch!$A$9:$A$18896,"&lt;"&amp;B435,Verbrauch!$C$9:$C$18896,"&lt;&gt;")</f>
        <v>0</v>
      </c>
    </row>
    <row r="436" customFormat="false" ht="15" hidden="false" customHeight="true" outlineLevel="0" collapsed="false">
      <c r="A436" s="10" t="n">
        <v>46397</v>
      </c>
      <c r="B436" s="10" t="n">
        <v>46398</v>
      </c>
      <c r="C436" s="22" t="n">
        <f aca="false">SUMIFS(Verbrauch!$C$9:$C$18896,Verbrauch!$A$9:$A$18896,"&gt;="&amp;A436,Verbrauch!$A$9:$A$18896,"&lt;"&amp;B436)</f>
        <v>0</v>
      </c>
      <c r="D436" s="22" t="n">
        <f aca="false">SUMIFS(Verbrauch!$C$9:$C$18896,Verbrauch!$A$9:$A$18896,"&gt;="&amp;A436,Verbrauch!$A$9:$A$18896,"&lt;"&amp;B436,Verbrauch!$F$9:$F$18896,"Go")</f>
        <v>0</v>
      </c>
      <c r="E436" s="22" t="n">
        <f aca="false">SUMIFS(Verbrauch!$C$9:$C$18896,Verbrauch!$A$9:$A$18896,"&gt;="&amp;A436,Verbrauch!$A$9:$A$18896,"&lt;"&amp;B436,Verbrauch!$F$9:$F$18896,"Standard")</f>
        <v>0</v>
      </c>
      <c r="F436" s="23" t="n">
        <f aca="false">SUMIFS(Verbrauch!$E$9:$E$18896,Verbrauch!$A$9:$A$18896,"&gt;="&amp;A436,Verbrauch!$A$9:$A$18896,"&lt;"&amp;B436)</f>
        <v>0</v>
      </c>
      <c r="G436" s="13" t="str">
        <f aca="false">IFERROR(F436/C436*100,"")</f>
        <v/>
      </c>
      <c r="H436" s="11" t="n">
        <f aca="false">COUNTIFS(Verbrauch!$A$9:$A$18896,"&gt;="&amp;A436,Verbrauch!$A$9:$A$18896,"&lt;"&amp;B436,Verbrauch!$C$9:$C$18896,"&lt;&gt;")</f>
        <v>0</v>
      </c>
    </row>
    <row r="437" customFormat="false" ht="15" hidden="false" customHeight="true" outlineLevel="0" collapsed="false">
      <c r="A437" s="10" t="n">
        <v>46398</v>
      </c>
      <c r="B437" s="10" t="n">
        <v>46399</v>
      </c>
      <c r="C437" s="22" t="n">
        <f aca="false">SUMIFS(Verbrauch!$C$9:$C$18896,Verbrauch!$A$9:$A$18896,"&gt;="&amp;A437,Verbrauch!$A$9:$A$18896,"&lt;"&amp;B437)</f>
        <v>0</v>
      </c>
      <c r="D437" s="22" t="n">
        <f aca="false">SUMIFS(Verbrauch!$C$9:$C$18896,Verbrauch!$A$9:$A$18896,"&gt;="&amp;A437,Verbrauch!$A$9:$A$18896,"&lt;"&amp;B437,Verbrauch!$F$9:$F$18896,"Go")</f>
        <v>0</v>
      </c>
      <c r="E437" s="22" t="n">
        <f aca="false">SUMIFS(Verbrauch!$C$9:$C$18896,Verbrauch!$A$9:$A$18896,"&gt;="&amp;A437,Verbrauch!$A$9:$A$18896,"&lt;"&amp;B437,Verbrauch!$F$9:$F$18896,"Standard")</f>
        <v>0</v>
      </c>
      <c r="F437" s="23" t="n">
        <f aca="false">SUMIFS(Verbrauch!$E$9:$E$18896,Verbrauch!$A$9:$A$18896,"&gt;="&amp;A437,Verbrauch!$A$9:$A$18896,"&lt;"&amp;B437)</f>
        <v>0</v>
      </c>
      <c r="G437" s="13" t="str">
        <f aca="false">IFERROR(F437/C437*100,"")</f>
        <v/>
      </c>
      <c r="H437" s="11" t="n">
        <f aca="false">COUNTIFS(Verbrauch!$A$9:$A$18896,"&gt;="&amp;A437,Verbrauch!$A$9:$A$18896,"&lt;"&amp;B437,Verbrauch!$C$9:$C$18896,"&lt;&gt;")</f>
        <v>0</v>
      </c>
    </row>
    <row r="438" customFormat="false" ht="15" hidden="false" customHeight="true" outlineLevel="0" collapsed="false">
      <c r="A438" s="10" t="n">
        <v>46399</v>
      </c>
      <c r="B438" s="10" t="n">
        <v>46400</v>
      </c>
      <c r="C438" s="22" t="n">
        <f aca="false">SUMIFS(Verbrauch!$C$9:$C$18896,Verbrauch!$A$9:$A$18896,"&gt;="&amp;A438,Verbrauch!$A$9:$A$18896,"&lt;"&amp;B438)</f>
        <v>0</v>
      </c>
      <c r="D438" s="22" t="n">
        <f aca="false">SUMIFS(Verbrauch!$C$9:$C$18896,Verbrauch!$A$9:$A$18896,"&gt;="&amp;A438,Verbrauch!$A$9:$A$18896,"&lt;"&amp;B438,Verbrauch!$F$9:$F$18896,"Go")</f>
        <v>0</v>
      </c>
      <c r="E438" s="22" t="n">
        <f aca="false">SUMIFS(Verbrauch!$C$9:$C$18896,Verbrauch!$A$9:$A$18896,"&gt;="&amp;A438,Verbrauch!$A$9:$A$18896,"&lt;"&amp;B438,Verbrauch!$F$9:$F$18896,"Standard")</f>
        <v>0</v>
      </c>
      <c r="F438" s="23" t="n">
        <f aca="false">SUMIFS(Verbrauch!$E$9:$E$18896,Verbrauch!$A$9:$A$18896,"&gt;="&amp;A438,Verbrauch!$A$9:$A$18896,"&lt;"&amp;B438)</f>
        <v>0</v>
      </c>
      <c r="G438" s="13" t="str">
        <f aca="false">IFERROR(F438/C438*100,"")</f>
        <v/>
      </c>
      <c r="H438" s="11" t="n">
        <f aca="false">COUNTIFS(Verbrauch!$A$9:$A$18896,"&gt;="&amp;A438,Verbrauch!$A$9:$A$18896,"&lt;"&amp;B438,Verbrauch!$C$9:$C$18896,"&lt;&gt;")</f>
        <v>0</v>
      </c>
    </row>
    <row r="439" customFormat="false" ht="15" hidden="false" customHeight="true" outlineLevel="0" collapsed="false">
      <c r="A439" s="10" t="n">
        <v>46400</v>
      </c>
      <c r="B439" s="10" t="n">
        <v>46401</v>
      </c>
      <c r="C439" s="22" t="n">
        <f aca="false">SUMIFS(Verbrauch!$C$9:$C$18896,Verbrauch!$A$9:$A$18896,"&gt;="&amp;A439,Verbrauch!$A$9:$A$18896,"&lt;"&amp;B439)</f>
        <v>0</v>
      </c>
      <c r="D439" s="22" t="n">
        <f aca="false">SUMIFS(Verbrauch!$C$9:$C$18896,Verbrauch!$A$9:$A$18896,"&gt;="&amp;A439,Verbrauch!$A$9:$A$18896,"&lt;"&amp;B439,Verbrauch!$F$9:$F$18896,"Go")</f>
        <v>0</v>
      </c>
      <c r="E439" s="22" t="n">
        <f aca="false">SUMIFS(Verbrauch!$C$9:$C$18896,Verbrauch!$A$9:$A$18896,"&gt;="&amp;A439,Verbrauch!$A$9:$A$18896,"&lt;"&amp;B439,Verbrauch!$F$9:$F$18896,"Standard")</f>
        <v>0</v>
      </c>
      <c r="F439" s="23" t="n">
        <f aca="false">SUMIFS(Verbrauch!$E$9:$E$18896,Verbrauch!$A$9:$A$18896,"&gt;="&amp;A439,Verbrauch!$A$9:$A$18896,"&lt;"&amp;B439)</f>
        <v>0</v>
      </c>
      <c r="G439" s="13" t="str">
        <f aca="false">IFERROR(F439/C439*100,"")</f>
        <v/>
      </c>
      <c r="H439" s="11" t="n">
        <f aca="false">COUNTIFS(Verbrauch!$A$9:$A$18896,"&gt;="&amp;A439,Verbrauch!$A$9:$A$18896,"&lt;"&amp;B439,Verbrauch!$C$9:$C$18896,"&lt;&gt;")</f>
        <v>0</v>
      </c>
    </row>
    <row r="440" customFormat="false" ht="15" hidden="false" customHeight="true" outlineLevel="0" collapsed="false">
      <c r="A440" s="10" t="n">
        <v>46401</v>
      </c>
      <c r="B440" s="10" t="n">
        <v>46402</v>
      </c>
      <c r="C440" s="22" t="n">
        <f aca="false">SUMIFS(Verbrauch!$C$9:$C$18896,Verbrauch!$A$9:$A$18896,"&gt;="&amp;A440,Verbrauch!$A$9:$A$18896,"&lt;"&amp;B440)</f>
        <v>0</v>
      </c>
      <c r="D440" s="22" t="n">
        <f aca="false">SUMIFS(Verbrauch!$C$9:$C$18896,Verbrauch!$A$9:$A$18896,"&gt;="&amp;A440,Verbrauch!$A$9:$A$18896,"&lt;"&amp;B440,Verbrauch!$F$9:$F$18896,"Go")</f>
        <v>0</v>
      </c>
      <c r="E440" s="22" t="n">
        <f aca="false">SUMIFS(Verbrauch!$C$9:$C$18896,Verbrauch!$A$9:$A$18896,"&gt;="&amp;A440,Verbrauch!$A$9:$A$18896,"&lt;"&amp;B440,Verbrauch!$F$9:$F$18896,"Standard")</f>
        <v>0</v>
      </c>
      <c r="F440" s="23" t="n">
        <f aca="false">SUMIFS(Verbrauch!$E$9:$E$18896,Verbrauch!$A$9:$A$18896,"&gt;="&amp;A440,Verbrauch!$A$9:$A$18896,"&lt;"&amp;B440)</f>
        <v>0</v>
      </c>
      <c r="G440" s="13" t="str">
        <f aca="false">IFERROR(F440/C440*100,"")</f>
        <v/>
      </c>
      <c r="H440" s="11" t="n">
        <f aca="false">COUNTIFS(Verbrauch!$A$9:$A$18896,"&gt;="&amp;A440,Verbrauch!$A$9:$A$18896,"&lt;"&amp;B440,Verbrauch!$C$9:$C$18896,"&lt;&gt;")</f>
        <v>0</v>
      </c>
    </row>
    <row r="441" customFormat="false" ht="15" hidden="false" customHeight="true" outlineLevel="0" collapsed="false">
      <c r="A441" s="10" t="n">
        <v>46402</v>
      </c>
      <c r="B441" s="10" t="n">
        <v>46403</v>
      </c>
      <c r="C441" s="22" t="n">
        <f aca="false">SUMIFS(Verbrauch!$C$9:$C$18896,Verbrauch!$A$9:$A$18896,"&gt;="&amp;A441,Verbrauch!$A$9:$A$18896,"&lt;"&amp;B441)</f>
        <v>0</v>
      </c>
      <c r="D441" s="22" t="n">
        <f aca="false">SUMIFS(Verbrauch!$C$9:$C$18896,Verbrauch!$A$9:$A$18896,"&gt;="&amp;A441,Verbrauch!$A$9:$A$18896,"&lt;"&amp;B441,Verbrauch!$F$9:$F$18896,"Go")</f>
        <v>0</v>
      </c>
      <c r="E441" s="22" t="n">
        <f aca="false">SUMIFS(Verbrauch!$C$9:$C$18896,Verbrauch!$A$9:$A$18896,"&gt;="&amp;A441,Verbrauch!$A$9:$A$18896,"&lt;"&amp;B441,Verbrauch!$F$9:$F$18896,"Standard")</f>
        <v>0</v>
      </c>
      <c r="F441" s="23" t="n">
        <f aca="false">SUMIFS(Verbrauch!$E$9:$E$18896,Verbrauch!$A$9:$A$18896,"&gt;="&amp;A441,Verbrauch!$A$9:$A$18896,"&lt;"&amp;B441)</f>
        <v>0</v>
      </c>
      <c r="G441" s="13" t="str">
        <f aca="false">IFERROR(F441/C441*100,"")</f>
        <v/>
      </c>
      <c r="H441" s="11" t="n">
        <f aca="false">COUNTIFS(Verbrauch!$A$9:$A$18896,"&gt;="&amp;A441,Verbrauch!$A$9:$A$18896,"&lt;"&amp;B441,Verbrauch!$C$9:$C$18896,"&lt;&gt;")</f>
        <v>0</v>
      </c>
    </row>
    <row r="442" customFormat="false" ht="15" hidden="false" customHeight="true" outlineLevel="0" collapsed="false">
      <c r="A442" s="10" t="n">
        <v>46403</v>
      </c>
      <c r="B442" s="10" t="n">
        <v>46404</v>
      </c>
      <c r="C442" s="22" t="n">
        <f aca="false">SUMIFS(Verbrauch!$C$9:$C$18896,Verbrauch!$A$9:$A$18896,"&gt;="&amp;A442,Verbrauch!$A$9:$A$18896,"&lt;"&amp;B442)</f>
        <v>0</v>
      </c>
      <c r="D442" s="22" t="n">
        <f aca="false">SUMIFS(Verbrauch!$C$9:$C$18896,Verbrauch!$A$9:$A$18896,"&gt;="&amp;A442,Verbrauch!$A$9:$A$18896,"&lt;"&amp;B442,Verbrauch!$F$9:$F$18896,"Go")</f>
        <v>0</v>
      </c>
      <c r="E442" s="22" t="n">
        <f aca="false">SUMIFS(Verbrauch!$C$9:$C$18896,Verbrauch!$A$9:$A$18896,"&gt;="&amp;A442,Verbrauch!$A$9:$A$18896,"&lt;"&amp;B442,Verbrauch!$F$9:$F$18896,"Standard")</f>
        <v>0</v>
      </c>
      <c r="F442" s="23" t="n">
        <f aca="false">SUMIFS(Verbrauch!$E$9:$E$18896,Verbrauch!$A$9:$A$18896,"&gt;="&amp;A442,Verbrauch!$A$9:$A$18896,"&lt;"&amp;B442)</f>
        <v>0</v>
      </c>
      <c r="G442" s="13" t="str">
        <f aca="false">IFERROR(F442/C442*100,"")</f>
        <v/>
      </c>
      <c r="H442" s="11" t="n">
        <f aca="false">COUNTIFS(Verbrauch!$A$9:$A$18896,"&gt;="&amp;A442,Verbrauch!$A$9:$A$18896,"&lt;"&amp;B442,Verbrauch!$C$9:$C$18896,"&lt;&gt;")</f>
        <v>0</v>
      </c>
    </row>
    <row r="443" customFormat="false" ht="15" hidden="false" customHeight="true" outlineLevel="0" collapsed="false">
      <c r="A443" s="10" t="n">
        <v>46404</v>
      </c>
      <c r="B443" s="10" t="n">
        <v>46405</v>
      </c>
      <c r="C443" s="22" t="n">
        <f aca="false">SUMIFS(Verbrauch!$C$9:$C$18896,Verbrauch!$A$9:$A$18896,"&gt;="&amp;A443,Verbrauch!$A$9:$A$18896,"&lt;"&amp;B443)</f>
        <v>0</v>
      </c>
      <c r="D443" s="22" t="n">
        <f aca="false">SUMIFS(Verbrauch!$C$9:$C$18896,Verbrauch!$A$9:$A$18896,"&gt;="&amp;A443,Verbrauch!$A$9:$A$18896,"&lt;"&amp;B443,Verbrauch!$F$9:$F$18896,"Go")</f>
        <v>0</v>
      </c>
      <c r="E443" s="22" t="n">
        <f aca="false">SUMIFS(Verbrauch!$C$9:$C$18896,Verbrauch!$A$9:$A$18896,"&gt;="&amp;A443,Verbrauch!$A$9:$A$18896,"&lt;"&amp;B443,Verbrauch!$F$9:$F$18896,"Standard")</f>
        <v>0</v>
      </c>
      <c r="F443" s="23" t="n">
        <f aca="false">SUMIFS(Verbrauch!$E$9:$E$18896,Verbrauch!$A$9:$A$18896,"&gt;="&amp;A443,Verbrauch!$A$9:$A$18896,"&lt;"&amp;B443)</f>
        <v>0</v>
      </c>
      <c r="G443" s="13" t="str">
        <f aca="false">IFERROR(F443/C443*100,"")</f>
        <v/>
      </c>
      <c r="H443" s="11" t="n">
        <f aca="false">COUNTIFS(Verbrauch!$A$9:$A$18896,"&gt;="&amp;A443,Verbrauch!$A$9:$A$18896,"&lt;"&amp;B443,Verbrauch!$C$9:$C$18896,"&lt;&gt;")</f>
        <v>0</v>
      </c>
    </row>
    <row r="444" customFormat="false" ht="15" hidden="false" customHeight="true" outlineLevel="0" collapsed="false">
      <c r="A444" s="10" t="n">
        <v>46405</v>
      </c>
      <c r="B444" s="10" t="n">
        <v>46406</v>
      </c>
      <c r="C444" s="22" t="n">
        <f aca="false">SUMIFS(Verbrauch!$C$9:$C$18896,Verbrauch!$A$9:$A$18896,"&gt;="&amp;A444,Verbrauch!$A$9:$A$18896,"&lt;"&amp;B444)</f>
        <v>0</v>
      </c>
      <c r="D444" s="22" t="n">
        <f aca="false">SUMIFS(Verbrauch!$C$9:$C$18896,Verbrauch!$A$9:$A$18896,"&gt;="&amp;A444,Verbrauch!$A$9:$A$18896,"&lt;"&amp;B444,Verbrauch!$F$9:$F$18896,"Go")</f>
        <v>0</v>
      </c>
      <c r="E444" s="22" t="n">
        <f aca="false">SUMIFS(Verbrauch!$C$9:$C$18896,Verbrauch!$A$9:$A$18896,"&gt;="&amp;A444,Verbrauch!$A$9:$A$18896,"&lt;"&amp;B444,Verbrauch!$F$9:$F$18896,"Standard")</f>
        <v>0</v>
      </c>
      <c r="F444" s="23" t="n">
        <f aca="false">SUMIFS(Verbrauch!$E$9:$E$18896,Verbrauch!$A$9:$A$18896,"&gt;="&amp;A444,Verbrauch!$A$9:$A$18896,"&lt;"&amp;B444)</f>
        <v>0</v>
      </c>
      <c r="G444" s="13" t="str">
        <f aca="false">IFERROR(F444/C444*100,"")</f>
        <v/>
      </c>
      <c r="H444" s="11" t="n">
        <f aca="false">COUNTIFS(Verbrauch!$A$9:$A$18896,"&gt;="&amp;A444,Verbrauch!$A$9:$A$18896,"&lt;"&amp;B444,Verbrauch!$C$9:$C$18896,"&lt;&gt;")</f>
        <v>0</v>
      </c>
    </row>
    <row r="445" customFormat="false" ht="15" hidden="false" customHeight="true" outlineLevel="0" collapsed="false">
      <c r="A445" s="10" t="n">
        <v>46406</v>
      </c>
      <c r="B445" s="10" t="n">
        <v>46407</v>
      </c>
      <c r="C445" s="22" t="n">
        <f aca="false">SUMIFS(Verbrauch!$C$9:$C$18896,Verbrauch!$A$9:$A$18896,"&gt;="&amp;A445,Verbrauch!$A$9:$A$18896,"&lt;"&amp;B445)</f>
        <v>0</v>
      </c>
      <c r="D445" s="22" t="n">
        <f aca="false">SUMIFS(Verbrauch!$C$9:$C$18896,Verbrauch!$A$9:$A$18896,"&gt;="&amp;A445,Verbrauch!$A$9:$A$18896,"&lt;"&amp;B445,Verbrauch!$F$9:$F$18896,"Go")</f>
        <v>0</v>
      </c>
      <c r="E445" s="22" t="n">
        <f aca="false">SUMIFS(Verbrauch!$C$9:$C$18896,Verbrauch!$A$9:$A$18896,"&gt;="&amp;A445,Verbrauch!$A$9:$A$18896,"&lt;"&amp;B445,Verbrauch!$F$9:$F$18896,"Standard")</f>
        <v>0</v>
      </c>
      <c r="F445" s="23" t="n">
        <f aca="false">SUMIFS(Verbrauch!$E$9:$E$18896,Verbrauch!$A$9:$A$18896,"&gt;="&amp;A445,Verbrauch!$A$9:$A$18896,"&lt;"&amp;B445)</f>
        <v>0</v>
      </c>
      <c r="G445" s="13" t="str">
        <f aca="false">IFERROR(F445/C445*100,"")</f>
        <v/>
      </c>
      <c r="H445" s="11" t="n">
        <f aca="false">COUNTIFS(Verbrauch!$A$9:$A$18896,"&gt;="&amp;A445,Verbrauch!$A$9:$A$18896,"&lt;"&amp;B445,Verbrauch!$C$9:$C$18896,"&lt;&gt;")</f>
        <v>0</v>
      </c>
    </row>
    <row r="446" customFormat="false" ht="15" hidden="false" customHeight="true" outlineLevel="0" collapsed="false">
      <c r="A446" s="10" t="n">
        <v>46407</v>
      </c>
      <c r="B446" s="10" t="n">
        <v>46408</v>
      </c>
      <c r="C446" s="22" t="n">
        <f aca="false">SUMIFS(Verbrauch!$C$9:$C$18896,Verbrauch!$A$9:$A$18896,"&gt;="&amp;A446,Verbrauch!$A$9:$A$18896,"&lt;"&amp;B446)</f>
        <v>0</v>
      </c>
      <c r="D446" s="22" t="n">
        <f aca="false">SUMIFS(Verbrauch!$C$9:$C$18896,Verbrauch!$A$9:$A$18896,"&gt;="&amp;A446,Verbrauch!$A$9:$A$18896,"&lt;"&amp;B446,Verbrauch!$F$9:$F$18896,"Go")</f>
        <v>0</v>
      </c>
      <c r="E446" s="22" t="n">
        <f aca="false">SUMIFS(Verbrauch!$C$9:$C$18896,Verbrauch!$A$9:$A$18896,"&gt;="&amp;A446,Verbrauch!$A$9:$A$18896,"&lt;"&amp;B446,Verbrauch!$F$9:$F$18896,"Standard")</f>
        <v>0</v>
      </c>
      <c r="F446" s="23" t="n">
        <f aca="false">SUMIFS(Verbrauch!$E$9:$E$18896,Verbrauch!$A$9:$A$18896,"&gt;="&amp;A446,Verbrauch!$A$9:$A$18896,"&lt;"&amp;B446)</f>
        <v>0</v>
      </c>
      <c r="G446" s="13" t="str">
        <f aca="false">IFERROR(F446/C446*100,"")</f>
        <v/>
      </c>
      <c r="H446" s="11" t="n">
        <f aca="false">COUNTIFS(Verbrauch!$A$9:$A$18896,"&gt;="&amp;A446,Verbrauch!$A$9:$A$18896,"&lt;"&amp;B446,Verbrauch!$C$9:$C$18896,"&lt;&gt;")</f>
        <v>0</v>
      </c>
    </row>
    <row r="447" customFormat="false" ht="15" hidden="false" customHeight="true" outlineLevel="0" collapsed="false">
      <c r="A447" s="10" t="n">
        <v>46408</v>
      </c>
      <c r="B447" s="10" t="n">
        <v>46409</v>
      </c>
      <c r="C447" s="22" t="n">
        <f aca="false">SUMIFS(Verbrauch!$C$9:$C$18896,Verbrauch!$A$9:$A$18896,"&gt;="&amp;A447,Verbrauch!$A$9:$A$18896,"&lt;"&amp;B447)</f>
        <v>0</v>
      </c>
      <c r="D447" s="22" t="n">
        <f aca="false">SUMIFS(Verbrauch!$C$9:$C$18896,Verbrauch!$A$9:$A$18896,"&gt;="&amp;A447,Verbrauch!$A$9:$A$18896,"&lt;"&amp;B447,Verbrauch!$F$9:$F$18896,"Go")</f>
        <v>0</v>
      </c>
      <c r="E447" s="22" t="n">
        <f aca="false">SUMIFS(Verbrauch!$C$9:$C$18896,Verbrauch!$A$9:$A$18896,"&gt;="&amp;A447,Verbrauch!$A$9:$A$18896,"&lt;"&amp;B447,Verbrauch!$F$9:$F$18896,"Standard")</f>
        <v>0</v>
      </c>
      <c r="F447" s="23" t="n">
        <f aca="false">SUMIFS(Verbrauch!$E$9:$E$18896,Verbrauch!$A$9:$A$18896,"&gt;="&amp;A447,Verbrauch!$A$9:$A$18896,"&lt;"&amp;B447)</f>
        <v>0</v>
      </c>
      <c r="G447" s="13" t="str">
        <f aca="false">IFERROR(F447/C447*100,"")</f>
        <v/>
      </c>
      <c r="H447" s="11" t="n">
        <f aca="false">COUNTIFS(Verbrauch!$A$9:$A$18896,"&gt;="&amp;A447,Verbrauch!$A$9:$A$18896,"&lt;"&amp;B447,Verbrauch!$C$9:$C$18896,"&lt;&gt;")</f>
        <v>0</v>
      </c>
    </row>
    <row r="448" customFormat="false" ht="15" hidden="false" customHeight="true" outlineLevel="0" collapsed="false">
      <c r="A448" s="10" t="n">
        <v>46409</v>
      </c>
      <c r="B448" s="10" t="n">
        <v>46410</v>
      </c>
      <c r="C448" s="22" t="n">
        <f aca="false">SUMIFS(Verbrauch!$C$9:$C$18896,Verbrauch!$A$9:$A$18896,"&gt;="&amp;A448,Verbrauch!$A$9:$A$18896,"&lt;"&amp;B448)</f>
        <v>0</v>
      </c>
      <c r="D448" s="22" t="n">
        <f aca="false">SUMIFS(Verbrauch!$C$9:$C$18896,Verbrauch!$A$9:$A$18896,"&gt;="&amp;A448,Verbrauch!$A$9:$A$18896,"&lt;"&amp;B448,Verbrauch!$F$9:$F$18896,"Go")</f>
        <v>0</v>
      </c>
      <c r="E448" s="22" t="n">
        <f aca="false">SUMIFS(Verbrauch!$C$9:$C$18896,Verbrauch!$A$9:$A$18896,"&gt;="&amp;A448,Verbrauch!$A$9:$A$18896,"&lt;"&amp;B448,Verbrauch!$F$9:$F$18896,"Standard")</f>
        <v>0</v>
      </c>
      <c r="F448" s="23" t="n">
        <f aca="false">SUMIFS(Verbrauch!$E$9:$E$18896,Verbrauch!$A$9:$A$18896,"&gt;="&amp;A448,Verbrauch!$A$9:$A$18896,"&lt;"&amp;B448)</f>
        <v>0</v>
      </c>
      <c r="G448" s="13" t="str">
        <f aca="false">IFERROR(F448/C448*100,"")</f>
        <v/>
      </c>
      <c r="H448" s="11" t="n">
        <f aca="false">COUNTIFS(Verbrauch!$A$9:$A$18896,"&gt;="&amp;A448,Verbrauch!$A$9:$A$18896,"&lt;"&amp;B448,Verbrauch!$C$9:$C$18896,"&lt;&gt;")</f>
        <v>0</v>
      </c>
    </row>
    <row r="449" customFormat="false" ht="15" hidden="false" customHeight="true" outlineLevel="0" collapsed="false">
      <c r="A449" s="10" t="n">
        <v>46410</v>
      </c>
      <c r="B449" s="10" t="n">
        <v>46411</v>
      </c>
      <c r="C449" s="22" t="n">
        <f aca="false">SUMIFS(Verbrauch!$C$9:$C$18896,Verbrauch!$A$9:$A$18896,"&gt;="&amp;A449,Verbrauch!$A$9:$A$18896,"&lt;"&amp;B449)</f>
        <v>0</v>
      </c>
      <c r="D449" s="22" t="n">
        <f aca="false">SUMIFS(Verbrauch!$C$9:$C$18896,Verbrauch!$A$9:$A$18896,"&gt;="&amp;A449,Verbrauch!$A$9:$A$18896,"&lt;"&amp;B449,Verbrauch!$F$9:$F$18896,"Go")</f>
        <v>0</v>
      </c>
      <c r="E449" s="22" t="n">
        <f aca="false">SUMIFS(Verbrauch!$C$9:$C$18896,Verbrauch!$A$9:$A$18896,"&gt;="&amp;A449,Verbrauch!$A$9:$A$18896,"&lt;"&amp;B449,Verbrauch!$F$9:$F$18896,"Standard")</f>
        <v>0</v>
      </c>
      <c r="F449" s="23" t="n">
        <f aca="false">SUMIFS(Verbrauch!$E$9:$E$18896,Verbrauch!$A$9:$A$18896,"&gt;="&amp;A449,Verbrauch!$A$9:$A$18896,"&lt;"&amp;B449)</f>
        <v>0</v>
      </c>
      <c r="G449" s="13" t="str">
        <f aca="false">IFERROR(F449/C449*100,"")</f>
        <v/>
      </c>
      <c r="H449" s="11" t="n">
        <f aca="false">COUNTIFS(Verbrauch!$A$9:$A$18896,"&gt;="&amp;A449,Verbrauch!$A$9:$A$18896,"&lt;"&amp;B449,Verbrauch!$C$9:$C$18896,"&lt;&gt;")</f>
        <v>0</v>
      </c>
    </row>
    <row r="450" customFormat="false" ht="15" hidden="false" customHeight="true" outlineLevel="0" collapsed="false">
      <c r="A450" s="10" t="n">
        <v>46411</v>
      </c>
      <c r="B450" s="10" t="n">
        <v>46412</v>
      </c>
      <c r="C450" s="22" t="n">
        <f aca="false">SUMIFS(Verbrauch!$C$9:$C$18896,Verbrauch!$A$9:$A$18896,"&gt;="&amp;A450,Verbrauch!$A$9:$A$18896,"&lt;"&amp;B450)</f>
        <v>0</v>
      </c>
      <c r="D450" s="22" t="n">
        <f aca="false">SUMIFS(Verbrauch!$C$9:$C$18896,Verbrauch!$A$9:$A$18896,"&gt;="&amp;A450,Verbrauch!$A$9:$A$18896,"&lt;"&amp;B450,Verbrauch!$F$9:$F$18896,"Go")</f>
        <v>0</v>
      </c>
      <c r="E450" s="22" t="n">
        <f aca="false">SUMIFS(Verbrauch!$C$9:$C$18896,Verbrauch!$A$9:$A$18896,"&gt;="&amp;A450,Verbrauch!$A$9:$A$18896,"&lt;"&amp;B450,Verbrauch!$F$9:$F$18896,"Standard")</f>
        <v>0</v>
      </c>
      <c r="F450" s="23" t="n">
        <f aca="false">SUMIFS(Verbrauch!$E$9:$E$18896,Verbrauch!$A$9:$A$18896,"&gt;="&amp;A450,Verbrauch!$A$9:$A$18896,"&lt;"&amp;B450)</f>
        <v>0</v>
      </c>
      <c r="G450" s="13" t="str">
        <f aca="false">IFERROR(F450/C450*100,"")</f>
        <v/>
      </c>
      <c r="H450" s="11" t="n">
        <f aca="false">COUNTIFS(Verbrauch!$A$9:$A$18896,"&gt;="&amp;A450,Verbrauch!$A$9:$A$18896,"&lt;"&amp;B450,Verbrauch!$C$9:$C$18896,"&lt;&gt;")</f>
        <v>0</v>
      </c>
    </row>
    <row r="451" customFormat="false" ht="15" hidden="false" customHeight="true" outlineLevel="0" collapsed="false">
      <c r="A451" s="10" t="n">
        <v>46412</v>
      </c>
      <c r="B451" s="10" t="n">
        <v>46413</v>
      </c>
      <c r="C451" s="22" t="n">
        <f aca="false">SUMIFS(Verbrauch!$C$9:$C$18896,Verbrauch!$A$9:$A$18896,"&gt;="&amp;A451,Verbrauch!$A$9:$A$18896,"&lt;"&amp;B451)</f>
        <v>0</v>
      </c>
      <c r="D451" s="22" t="n">
        <f aca="false">SUMIFS(Verbrauch!$C$9:$C$18896,Verbrauch!$A$9:$A$18896,"&gt;="&amp;A451,Verbrauch!$A$9:$A$18896,"&lt;"&amp;B451,Verbrauch!$F$9:$F$18896,"Go")</f>
        <v>0</v>
      </c>
      <c r="E451" s="22" t="n">
        <f aca="false">SUMIFS(Verbrauch!$C$9:$C$18896,Verbrauch!$A$9:$A$18896,"&gt;="&amp;A451,Verbrauch!$A$9:$A$18896,"&lt;"&amp;B451,Verbrauch!$F$9:$F$18896,"Standard")</f>
        <v>0</v>
      </c>
      <c r="F451" s="23" t="n">
        <f aca="false">SUMIFS(Verbrauch!$E$9:$E$18896,Verbrauch!$A$9:$A$18896,"&gt;="&amp;A451,Verbrauch!$A$9:$A$18896,"&lt;"&amp;B451)</f>
        <v>0</v>
      </c>
      <c r="G451" s="13" t="str">
        <f aca="false">IFERROR(F451/C451*100,"")</f>
        <v/>
      </c>
      <c r="H451" s="11" t="n">
        <f aca="false">COUNTIFS(Verbrauch!$A$9:$A$18896,"&gt;="&amp;A451,Verbrauch!$A$9:$A$18896,"&lt;"&amp;B451,Verbrauch!$C$9:$C$18896,"&lt;&gt;")</f>
        <v>0</v>
      </c>
    </row>
    <row r="452" customFormat="false" ht="15" hidden="false" customHeight="true" outlineLevel="0" collapsed="false">
      <c r="A452" s="10" t="n">
        <v>46413</v>
      </c>
      <c r="B452" s="10" t="n">
        <v>46414</v>
      </c>
      <c r="C452" s="22" t="n">
        <f aca="false">SUMIFS(Verbrauch!$C$9:$C$18896,Verbrauch!$A$9:$A$18896,"&gt;="&amp;A452,Verbrauch!$A$9:$A$18896,"&lt;"&amp;B452)</f>
        <v>0</v>
      </c>
      <c r="D452" s="22" t="n">
        <f aca="false">SUMIFS(Verbrauch!$C$9:$C$18896,Verbrauch!$A$9:$A$18896,"&gt;="&amp;A452,Verbrauch!$A$9:$A$18896,"&lt;"&amp;B452,Verbrauch!$F$9:$F$18896,"Go")</f>
        <v>0</v>
      </c>
      <c r="E452" s="22" t="n">
        <f aca="false">SUMIFS(Verbrauch!$C$9:$C$18896,Verbrauch!$A$9:$A$18896,"&gt;="&amp;A452,Verbrauch!$A$9:$A$18896,"&lt;"&amp;B452,Verbrauch!$F$9:$F$18896,"Standard")</f>
        <v>0</v>
      </c>
      <c r="F452" s="23" t="n">
        <f aca="false">SUMIFS(Verbrauch!$E$9:$E$18896,Verbrauch!$A$9:$A$18896,"&gt;="&amp;A452,Verbrauch!$A$9:$A$18896,"&lt;"&amp;B452)</f>
        <v>0</v>
      </c>
      <c r="G452" s="13" t="str">
        <f aca="false">IFERROR(F452/C452*100,"")</f>
        <v/>
      </c>
      <c r="H452" s="11" t="n">
        <f aca="false">COUNTIFS(Verbrauch!$A$9:$A$18896,"&gt;="&amp;A452,Verbrauch!$A$9:$A$18896,"&lt;"&amp;B452,Verbrauch!$C$9:$C$18896,"&lt;&gt;")</f>
        <v>0</v>
      </c>
    </row>
    <row r="453" customFormat="false" ht="15" hidden="false" customHeight="true" outlineLevel="0" collapsed="false">
      <c r="A453" s="10" t="n">
        <v>46414</v>
      </c>
      <c r="B453" s="10" t="n">
        <v>46415</v>
      </c>
      <c r="C453" s="22" t="n">
        <f aca="false">SUMIFS(Verbrauch!$C$9:$C$18896,Verbrauch!$A$9:$A$18896,"&gt;="&amp;A453,Verbrauch!$A$9:$A$18896,"&lt;"&amp;B453)</f>
        <v>0</v>
      </c>
      <c r="D453" s="22" t="n">
        <f aca="false">SUMIFS(Verbrauch!$C$9:$C$18896,Verbrauch!$A$9:$A$18896,"&gt;="&amp;A453,Verbrauch!$A$9:$A$18896,"&lt;"&amp;B453,Verbrauch!$F$9:$F$18896,"Go")</f>
        <v>0</v>
      </c>
      <c r="E453" s="22" t="n">
        <f aca="false">SUMIFS(Verbrauch!$C$9:$C$18896,Verbrauch!$A$9:$A$18896,"&gt;="&amp;A453,Verbrauch!$A$9:$A$18896,"&lt;"&amp;B453,Verbrauch!$F$9:$F$18896,"Standard")</f>
        <v>0</v>
      </c>
      <c r="F453" s="23" t="n">
        <f aca="false">SUMIFS(Verbrauch!$E$9:$E$18896,Verbrauch!$A$9:$A$18896,"&gt;="&amp;A453,Verbrauch!$A$9:$A$18896,"&lt;"&amp;B453)</f>
        <v>0</v>
      </c>
      <c r="G453" s="13" t="str">
        <f aca="false">IFERROR(F453/C453*100,"")</f>
        <v/>
      </c>
      <c r="H453" s="11" t="n">
        <f aca="false">COUNTIFS(Verbrauch!$A$9:$A$18896,"&gt;="&amp;A453,Verbrauch!$A$9:$A$18896,"&lt;"&amp;B453,Verbrauch!$C$9:$C$18896,"&lt;&gt;")</f>
        <v>0</v>
      </c>
    </row>
    <row r="454" customFormat="false" ht="15" hidden="false" customHeight="true" outlineLevel="0" collapsed="false">
      <c r="A454" s="10" t="n">
        <v>46415</v>
      </c>
      <c r="B454" s="10" t="n">
        <v>46416</v>
      </c>
      <c r="C454" s="22" t="n">
        <f aca="false">SUMIFS(Verbrauch!$C$9:$C$18896,Verbrauch!$A$9:$A$18896,"&gt;="&amp;A454,Verbrauch!$A$9:$A$18896,"&lt;"&amp;B454)</f>
        <v>0</v>
      </c>
      <c r="D454" s="22" t="n">
        <f aca="false">SUMIFS(Verbrauch!$C$9:$C$18896,Verbrauch!$A$9:$A$18896,"&gt;="&amp;A454,Verbrauch!$A$9:$A$18896,"&lt;"&amp;B454,Verbrauch!$F$9:$F$18896,"Go")</f>
        <v>0</v>
      </c>
      <c r="E454" s="22" t="n">
        <f aca="false">SUMIFS(Verbrauch!$C$9:$C$18896,Verbrauch!$A$9:$A$18896,"&gt;="&amp;A454,Verbrauch!$A$9:$A$18896,"&lt;"&amp;B454,Verbrauch!$F$9:$F$18896,"Standard")</f>
        <v>0</v>
      </c>
      <c r="F454" s="23" t="n">
        <f aca="false">SUMIFS(Verbrauch!$E$9:$E$18896,Verbrauch!$A$9:$A$18896,"&gt;="&amp;A454,Verbrauch!$A$9:$A$18896,"&lt;"&amp;B454)</f>
        <v>0</v>
      </c>
      <c r="G454" s="13" t="str">
        <f aca="false">IFERROR(F454/C454*100,"")</f>
        <v/>
      </c>
      <c r="H454" s="11" t="n">
        <f aca="false">COUNTIFS(Verbrauch!$A$9:$A$18896,"&gt;="&amp;A454,Verbrauch!$A$9:$A$18896,"&lt;"&amp;B454,Verbrauch!$C$9:$C$18896,"&lt;&gt;")</f>
        <v>0</v>
      </c>
    </row>
    <row r="455" customFormat="false" ht="15" hidden="false" customHeight="true" outlineLevel="0" collapsed="false">
      <c r="A455" s="10" t="n">
        <v>46416</v>
      </c>
      <c r="B455" s="10" t="n">
        <v>46417</v>
      </c>
      <c r="C455" s="22" t="n">
        <f aca="false">SUMIFS(Verbrauch!$C$9:$C$18896,Verbrauch!$A$9:$A$18896,"&gt;="&amp;A455,Verbrauch!$A$9:$A$18896,"&lt;"&amp;B455)</f>
        <v>0</v>
      </c>
      <c r="D455" s="22" t="n">
        <f aca="false">SUMIFS(Verbrauch!$C$9:$C$18896,Verbrauch!$A$9:$A$18896,"&gt;="&amp;A455,Verbrauch!$A$9:$A$18896,"&lt;"&amp;B455,Verbrauch!$F$9:$F$18896,"Go")</f>
        <v>0</v>
      </c>
      <c r="E455" s="22" t="n">
        <f aca="false">SUMIFS(Verbrauch!$C$9:$C$18896,Verbrauch!$A$9:$A$18896,"&gt;="&amp;A455,Verbrauch!$A$9:$A$18896,"&lt;"&amp;B455,Verbrauch!$F$9:$F$18896,"Standard")</f>
        <v>0</v>
      </c>
      <c r="F455" s="23" t="n">
        <f aca="false">SUMIFS(Verbrauch!$E$9:$E$18896,Verbrauch!$A$9:$A$18896,"&gt;="&amp;A455,Verbrauch!$A$9:$A$18896,"&lt;"&amp;B455)</f>
        <v>0</v>
      </c>
      <c r="G455" s="13" t="str">
        <f aca="false">IFERROR(F455/C455*100,"")</f>
        <v/>
      </c>
      <c r="H455" s="11" t="n">
        <f aca="false">COUNTIFS(Verbrauch!$A$9:$A$18896,"&gt;="&amp;A455,Verbrauch!$A$9:$A$18896,"&lt;"&amp;B455,Verbrauch!$C$9:$C$18896,"&lt;&gt;")</f>
        <v>0</v>
      </c>
    </row>
    <row r="456" customFormat="false" ht="15" hidden="false" customHeight="true" outlineLevel="0" collapsed="false">
      <c r="A456" s="10" t="n">
        <v>46417</v>
      </c>
      <c r="B456" s="10" t="n">
        <v>46418</v>
      </c>
      <c r="C456" s="22" t="n">
        <f aca="false">SUMIFS(Verbrauch!$C$9:$C$18896,Verbrauch!$A$9:$A$18896,"&gt;="&amp;A456,Verbrauch!$A$9:$A$18896,"&lt;"&amp;B456)</f>
        <v>0</v>
      </c>
      <c r="D456" s="22" t="n">
        <f aca="false">SUMIFS(Verbrauch!$C$9:$C$18896,Verbrauch!$A$9:$A$18896,"&gt;="&amp;A456,Verbrauch!$A$9:$A$18896,"&lt;"&amp;B456,Verbrauch!$F$9:$F$18896,"Go")</f>
        <v>0</v>
      </c>
      <c r="E456" s="22" t="n">
        <f aca="false">SUMIFS(Verbrauch!$C$9:$C$18896,Verbrauch!$A$9:$A$18896,"&gt;="&amp;A456,Verbrauch!$A$9:$A$18896,"&lt;"&amp;B456,Verbrauch!$F$9:$F$18896,"Standard")</f>
        <v>0</v>
      </c>
      <c r="F456" s="23" t="n">
        <f aca="false">SUMIFS(Verbrauch!$E$9:$E$18896,Verbrauch!$A$9:$A$18896,"&gt;="&amp;A456,Verbrauch!$A$9:$A$18896,"&lt;"&amp;B456)</f>
        <v>0</v>
      </c>
      <c r="G456" s="13" t="str">
        <f aca="false">IFERROR(F456/C456*100,"")</f>
        <v/>
      </c>
      <c r="H456" s="11" t="n">
        <f aca="false">COUNTIFS(Verbrauch!$A$9:$A$18896,"&gt;="&amp;A456,Verbrauch!$A$9:$A$18896,"&lt;"&amp;B456,Verbrauch!$C$9:$C$18896,"&lt;&gt;")</f>
        <v>0</v>
      </c>
    </row>
    <row r="457" customFormat="false" ht="15" hidden="false" customHeight="true" outlineLevel="0" collapsed="false">
      <c r="A457" s="10" t="n">
        <v>46418</v>
      </c>
      <c r="B457" s="10" t="n">
        <v>46419</v>
      </c>
      <c r="C457" s="22" t="n">
        <f aca="false">SUMIFS(Verbrauch!$C$9:$C$18896,Verbrauch!$A$9:$A$18896,"&gt;="&amp;A457,Verbrauch!$A$9:$A$18896,"&lt;"&amp;B457)</f>
        <v>0</v>
      </c>
      <c r="D457" s="22" t="n">
        <f aca="false">SUMIFS(Verbrauch!$C$9:$C$18896,Verbrauch!$A$9:$A$18896,"&gt;="&amp;A457,Verbrauch!$A$9:$A$18896,"&lt;"&amp;B457,Verbrauch!$F$9:$F$18896,"Go")</f>
        <v>0</v>
      </c>
      <c r="E457" s="22" t="n">
        <f aca="false">SUMIFS(Verbrauch!$C$9:$C$18896,Verbrauch!$A$9:$A$18896,"&gt;="&amp;A457,Verbrauch!$A$9:$A$18896,"&lt;"&amp;B457,Verbrauch!$F$9:$F$18896,"Standard")</f>
        <v>0</v>
      </c>
      <c r="F457" s="23" t="n">
        <f aca="false">SUMIFS(Verbrauch!$E$9:$E$18896,Verbrauch!$A$9:$A$18896,"&gt;="&amp;A457,Verbrauch!$A$9:$A$18896,"&lt;"&amp;B457)</f>
        <v>0</v>
      </c>
      <c r="G457" s="13" t="str">
        <f aca="false">IFERROR(F457/C457*100,"")</f>
        <v/>
      </c>
      <c r="H457" s="11" t="n">
        <f aca="false">COUNTIFS(Verbrauch!$A$9:$A$18896,"&gt;="&amp;A457,Verbrauch!$A$9:$A$18896,"&lt;"&amp;B457,Verbrauch!$C$9:$C$18896,"&lt;&gt;")</f>
        <v>0</v>
      </c>
    </row>
    <row r="458" customFormat="false" ht="15" hidden="false" customHeight="true" outlineLevel="0" collapsed="false">
      <c r="A458" s="10" t="n">
        <v>46419</v>
      </c>
      <c r="B458" s="10" t="n">
        <v>46420</v>
      </c>
      <c r="C458" s="22" t="n">
        <f aca="false">SUMIFS(Verbrauch!$C$9:$C$18896,Verbrauch!$A$9:$A$18896,"&gt;="&amp;A458,Verbrauch!$A$9:$A$18896,"&lt;"&amp;B458)</f>
        <v>0</v>
      </c>
      <c r="D458" s="22" t="n">
        <f aca="false">SUMIFS(Verbrauch!$C$9:$C$18896,Verbrauch!$A$9:$A$18896,"&gt;="&amp;A458,Verbrauch!$A$9:$A$18896,"&lt;"&amp;B458,Verbrauch!$F$9:$F$18896,"Go")</f>
        <v>0</v>
      </c>
      <c r="E458" s="22" t="n">
        <f aca="false">SUMIFS(Verbrauch!$C$9:$C$18896,Verbrauch!$A$9:$A$18896,"&gt;="&amp;A458,Verbrauch!$A$9:$A$18896,"&lt;"&amp;B458,Verbrauch!$F$9:$F$18896,"Standard")</f>
        <v>0</v>
      </c>
      <c r="F458" s="23" t="n">
        <f aca="false">SUMIFS(Verbrauch!$E$9:$E$18896,Verbrauch!$A$9:$A$18896,"&gt;="&amp;A458,Verbrauch!$A$9:$A$18896,"&lt;"&amp;B458)</f>
        <v>0</v>
      </c>
      <c r="G458" s="13" t="str">
        <f aca="false">IFERROR(F458/C458*100,"")</f>
        <v/>
      </c>
      <c r="H458" s="11" t="n">
        <f aca="false">COUNTIFS(Verbrauch!$A$9:$A$18896,"&gt;="&amp;A458,Verbrauch!$A$9:$A$18896,"&lt;"&amp;B458,Verbrauch!$C$9:$C$18896,"&lt;&gt;")</f>
        <v>0</v>
      </c>
    </row>
    <row r="459" customFormat="false" ht="15" hidden="false" customHeight="true" outlineLevel="0" collapsed="false">
      <c r="A459" s="10" t="n">
        <v>46420</v>
      </c>
      <c r="B459" s="10" t="n">
        <v>46421</v>
      </c>
      <c r="C459" s="22" t="n">
        <f aca="false">SUMIFS(Verbrauch!$C$9:$C$18896,Verbrauch!$A$9:$A$18896,"&gt;="&amp;A459,Verbrauch!$A$9:$A$18896,"&lt;"&amp;B459)</f>
        <v>0</v>
      </c>
      <c r="D459" s="22" t="n">
        <f aca="false">SUMIFS(Verbrauch!$C$9:$C$18896,Verbrauch!$A$9:$A$18896,"&gt;="&amp;A459,Verbrauch!$A$9:$A$18896,"&lt;"&amp;B459,Verbrauch!$F$9:$F$18896,"Go")</f>
        <v>0</v>
      </c>
      <c r="E459" s="22" t="n">
        <f aca="false">SUMIFS(Verbrauch!$C$9:$C$18896,Verbrauch!$A$9:$A$18896,"&gt;="&amp;A459,Verbrauch!$A$9:$A$18896,"&lt;"&amp;B459,Verbrauch!$F$9:$F$18896,"Standard")</f>
        <v>0</v>
      </c>
      <c r="F459" s="23" t="n">
        <f aca="false">SUMIFS(Verbrauch!$E$9:$E$18896,Verbrauch!$A$9:$A$18896,"&gt;="&amp;A459,Verbrauch!$A$9:$A$18896,"&lt;"&amp;B459)</f>
        <v>0</v>
      </c>
      <c r="G459" s="13" t="str">
        <f aca="false">IFERROR(F459/C459*100,"")</f>
        <v/>
      </c>
      <c r="H459" s="11" t="n">
        <f aca="false">COUNTIFS(Verbrauch!$A$9:$A$18896,"&gt;="&amp;A459,Verbrauch!$A$9:$A$18896,"&lt;"&amp;B459,Verbrauch!$C$9:$C$18896,"&lt;&gt;")</f>
        <v>0</v>
      </c>
    </row>
    <row r="460" customFormat="false" ht="15" hidden="false" customHeight="true" outlineLevel="0" collapsed="false">
      <c r="A460" s="10" t="n">
        <v>46421</v>
      </c>
      <c r="B460" s="10" t="n">
        <v>46422</v>
      </c>
      <c r="C460" s="22" t="n">
        <f aca="false">SUMIFS(Verbrauch!$C$9:$C$18896,Verbrauch!$A$9:$A$18896,"&gt;="&amp;A460,Verbrauch!$A$9:$A$18896,"&lt;"&amp;B460)</f>
        <v>0</v>
      </c>
      <c r="D460" s="22" t="n">
        <f aca="false">SUMIFS(Verbrauch!$C$9:$C$18896,Verbrauch!$A$9:$A$18896,"&gt;="&amp;A460,Verbrauch!$A$9:$A$18896,"&lt;"&amp;B460,Verbrauch!$F$9:$F$18896,"Go")</f>
        <v>0</v>
      </c>
      <c r="E460" s="22" t="n">
        <f aca="false">SUMIFS(Verbrauch!$C$9:$C$18896,Verbrauch!$A$9:$A$18896,"&gt;="&amp;A460,Verbrauch!$A$9:$A$18896,"&lt;"&amp;B460,Verbrauch!$F$9:$F$18896,"Standard")</f>
        <v>0</v>
      </c>
      <c r="F460" s="23" t="n">
        <f aca="false">SUMIFS(Verbrauch!$E$9:$E$18896,Verbrauch!$A$9:$A$18896,"&gt;="&amp;A460,Verbrauch!$A$9:$A$18896,"&lt;"&amp;B460)</f>
        <v>0</v>
      </c>
      <c r="G460" s="13" t="str">
        <f aca="false">IFERROR(F460/C460*100,"")</f>
        <v/>
      </c>
      <c r="H460" s="11" t="n">
        <f aca="false">COUNTIFS(Verbrauch!$A$9:$A$18896,"&gt;="&amp;A460,Verbrauch!$A$9:$A$18896,"&lt;"&amp;B460,Verbrauch!$C$9:$C$18896,"&lt;&gt;")</f>
        <v>0</v>
      </c>
    </row>
    <row r="461" customFormat="false" ht="15" hidden="false" customHeight="true" outlineLevel="0" collapsed="false">
      <c r="A461" s="10" t="n">
        <v>46422</v>
      </c>
      <c r="B461" s="10" t="n">
        <v>46423</v>
      </c>
      <c r="C461" s="22" t="n">
        <f aca="false">SUMIFS(Verbrauch!$C$9:$C$18896,Verbrauch!$A$9:$A$18896,"&gt;="&amp;A461,Verbrauch!$A$9:$A$18896,"&lt;"&amp;B461)</f>
        <v>0</v>
      </c>
      <c r="D461" s="22" t="n">
        <f aca="false">SUMIFS(Verbrauch!$C$9:$C$18896,Verbrauch!$A$9:$A$18896,"&gt;="&amp;A461,Verbrauch!$A$9:$A$18896,"&lt;"&amp;B461,Verbrauch!$F$9:$F$18896,"Go")</f>
        <v>0</v>
      </c>
      <c r="E461" s="22" t="n">
        <f aca="false">SUMIFS(Verbrauch!$C$9:$C$18896,Verbrauch!$A$9:$A$18896,"&gt;="&amp;A461,Verbrauch!$A$9:$A$18896,"&lt;"&amp;B461,Verbrauch!$F$9:$F$18896,"Standard")</f>
        <v>0</v>
      </c>
      <c r="F461" s="23" t="n">
        <f aca="false">SUMIFS(Verbrauch!$E$9:$E$18896,Verbrauch!$A$9:$A$18896,"&gt;="&amp;A461,Verbrauch!$A$9:$A$18896,"&lt;"&amp;B461)</f>
        <v>0</v>
      </c>
      <c r="G461" s="13" t="str">
        <f aca="false">IFERROR(F461/C461*100,"")</f>
        <v/>
      </c>
      <c r="H461" s="11" t="n">
        <f aca="false">COUNTIFS(Verbrauch!$A$9:$A$18896,"&gt;="&amp;A461,Verbrauch!$A$9:$A$18896,"&lt;"&amp;B461,Verbrauch!$C$9:$C$18896,"&lt;&gt;")</f>
        <v>0</v>
      </c>
    </row>
    <row r="462" customFormat="false" ht="15" hidden="false" customHeight="true" outlineLevel="0" collapsed="false">
      <c r="A462" s="10" t="n">
        <v>46423</v>
      </c>
      <c r="B462" s="10" t="n">
        <v>46424</v>
      </c>
      <c r="C462" s="22" t="n">
        <f aca="false">SUMIFS(Verbrauch!$C$9:$C$18896,Verbrauch!$A$9:$A$18896,"&gt;="&amp;A462,Verbrauch!$A$9:$A$18896,"&lt;"&amp;B462)</f>
        <v>0</v>
      </c>
      <c r="D462" s="22" t="n">
        <f aca="false">SUMIFS(Verbrauch!$C$9:$C$18896,Verbrauch!$A$9:$A$18896,"&gt;="&amp;A462,Verbrauch!$A$9:$A$18896,"&lt;"&amp;B462,Verbrauch!$F$9:$F$18896,"Go")</f>
        <v>0</v>
      </c>
      <c r="E462" s="22" t="n">
        <f aca="false">SUMIFS(Verbrauch!$C$9:$C$18896,Verbrauch!$A$9:$A$18896,"&gt;="&amp;A462,Verbrauch!$A$9:$A$18896,"&lt;"&amp;B462,Verbrauch!$F$9:$F$18896,"Standard")</f>
        <v>0</v>
      </c>
      <c r="F462" s="23" t="n">
        <f aca="false">SUMIFS(Verbrauch!$E$9:$E$18896,Verbrauch!$A$9:$A$18896,"&gt;="&amp;A462,Verbrauch!$A$9:$A$18896,"&lt;"&amp;B462)</f>
        <v>0</v>
      </c>
      <c r="G462" s="13" t="str">
        <f aca="false">IFERROR(F462/C462*100,"")</f>
        <v/>
      </c>
      <c r="H462" s="11" t="n">
        <f aca="false">COUNTIFS(Verbrauch!$A$9:$A$18896,"&gt;="&amp;A462,Verbrauch!$A$9:$A$18896,"&lt;"&amp;B462,Verbrauch!$C$9:$C$18896,"&lt;&gt;")</f>
        <v>0</v>
      </c>
    </row>
    <row r="463" customFormat="false" ht="15" hidden="false" customHeight="true" outlineLevel="0" collapsed="false">
      <c r="A463" s="10" t="n">
        <v>46424</v>
      </c>
      <c r="B463" s="10" t="n">
        <v>46425</v>
      </c>
      <c r="C463" s="22" t="n">
        <f aca="false">SUMIFS(Verbrauch!$C$9:$C$18896,Verbrauch!$A$9:$A$18896,"&gt;="&amp;A463,Verbrauch!$A$9:$A$18896,"&lt;"&amp;B463)</f>
        <v>0</v>
      </c>
      <c r="D463" s="22" t="n">
        <f aca="false">SUMIFS(Verbrauch!$C$9:$C$18896,Verbrauch!$A$9:$A$18896,"&gt;="&amp;A463,Verbrauch!$A$9:$A$18896,"&lt;"&amp;B463,Verbrauch!$F$9:$F$18896,"Go")</f>
        <v>0</v>
      </c>
      <c r="E463" s="22" t="n">
        <f aca="false">SUMIFS(Verbrauch!$C$9:$C$18896,Verbrauch!$A$9:$A$18896,"&gt;="&amp;A463,Verbrauch!$A$9:$A$18896,"&lt;"&amp;B463,Verbrauch!$F$9:$F$18896,"Standard")</f>
        <v>0</v>
      </c>
      <c r="F463" s="23" t="n">
        <f aca="false">SUMIFS(Verbrauch!$E$9:$E$18896,Verbrauch!$A$9:$A$18896,"&gt;="&amp;A463,Verbrauch!$A$9:$A$18896,"&lt;"&amp;B463)</f>
        <v>0</v>
      </c>
      <c r="G463" s="13" t="str">
        <f aca="false">IFERROR(F463/C463*100,"")</f>
        <v/>
      </c>
      <c r="H463" s="11" t="n">
        <f aca="false">COUNTIFS(Verbrauch!$A$9:$A$18896,"&gt;="&amp;A463,Verbrauch!$A$9:$A$18896,"&lt;"&amp;B463,Verbrauch!$C$9:$C$18896,"&lt;&gt;")</f>
        <v>0</v>
      </c>
    </row>
    <row r="464" customFormat="false" ht="15" hidden="false" customHeight="true" outlineLevel="0" collapsed="false">
      <c r="A464" s="10" t="n">
        <v>46425</v>
      </c>
      <c r="B464" s="10" t="n">
        <v>46426</v>
      </c>
      <c r="C464" s="22" t="n">
        <f aca="false">SUMIFS(Verbrauch!$C$9:$C$18896,Verbrauch!$A$9:$A$18896,"&gt;="&amp;A464,Verbrauch!$A$9:$A$18896,"&lt;"&amp;B464)</f>
        <v>0</v>
      </c>
      <c r="D464" s="22" t="n">
        <f aca="false">SUMIFS(Verbrauch!$C$9:$C$18896,Verbrauch!$A$9:$A$18896,"&gt;="&amp;A464,Verbrauch!$A$9:$A$18896,"&lt;"&amp;B464,Verbrauch!$F$9:$F$18896,"Go")</f>
        <v>0</v>
      </c>
      <c r="E464" s="22" t="n">
        <f aca="false">SUMIFS(Verbrauch!$C$9:$C$18896,Verbrauch!$A$9:$A$18896,"&gt;="&amp;A464,Verbrauch!$A$9:$A$18896,"&lt;"&amp;B464,Verbrauch!$F$9:$F$18896,"Standard")</f>
        <v>0</v>
      </c>
      <c r="F464" s="23" t="n">
        <f aca="false">SUMIFS(Verbrauch!$E$9:$E$18896,Verbrauch!$A$9:$A$18896,"&gt;="&amp;A464,Verbrauch!$A$9:$A$18896,"&lt;"&amp;B464)</f>
        <v>0</v>
      </c>
      <c r="G464" s="13" t="str">
        <f aca="false">IFERROR(F464/C464*100,"")</f>
        <v/>
      </c>
      <c r="H464" s="11" t="n">
        <f aca="false">COUNTIFS(Verbrauch!$A$9:$A$18896,"&gt;="&amp;A464,Verbrauch!$A$9:$A$18896,"&lt;"&amp;B464,Verbrauch!$C$9:$C$18896,"&lt;&gt;")</f>
        <v>0</v>
      </c>
    </row>
    <row r="465" customFormat="false" ht="15" hidden="false" customHeight="true" outlineLevel="0" collapsed="false">
      <c r="A465" s="10" t="n">
        <v>46426</v>
      </c>
      <c r="B465" s="10" t="n">
        <v>46427</v>
      </c>
      <c r="C465" s="22" t="n">
        <f aca="false">SUMIFS(Verbrauch!$C$9:$C$18896,Verbrauch!$A$9:$A$18896,"&gt;="&amp;A465,Verbrauch!$A$9:$A$18896,"&lt;"&amp;B465)</f>
        <v>0</v>
      </c>
      <c r="D465" s="22" t="n">
        <f aca="false">SUMIFS(Verbrauch!$C$9:$C$18896,Verbrauch!$A$9:$A$18896,"&gt;="&amp;A465,Verbrauch!$A$9:$A$18896,"&lt;"&amp;B465,Verbrauch!$F$9:$F$18896,"Go")</f>
        <v>0</v>
      </c>
      <c r="E465" s="22" t="n">
        <f aca="false">SUMIFS(Verbrauch!$C$9:$C$18896,Verbrauch!$A$9:$A$18896,"&gt;="&amp;A465,Verbrauch!$A$9:$A$18896,"&lt;"&amp;B465,Verbrauch!$F$9:$F$18896,"Standard")</f>
        <v>0</v>
      </c>
      <c r="F465" s="23" t="n">
        <f aca="false">SUMIFS(Verbrauch!$E$9:$E$18896,Verbrauch!$A$9:$A$18896,"&gt;="&amp;A465,Verbrauch!$A$9:$A$18896,"&lt;"&amp;B465)</f>
        <v>0</v>
      </c>
      <c r="G465" s="13" t="str">
        <f aca="false">IFERROR(F465/C465*100,"")</f>
        <v/>
      </c>
      <c r="H465" s="11" t="n">
        <f aca="false">COUNTIFS(Verbrauch!$A$9:$A$18896,"&gt;="&amp;A465,Verbrauch!$A$9:$A$18896,"&lt;"&amp;B465,Verbrauch!$C$9:$C$18896,"&lt;&gt;")</f>
        <v>0</v>
      </c>
    </row>
    <row r="466" customFormat="false" ht="15" hidden="false" customHeight="true" outlineLevel="0" collapsed="false">
      <c r="A466" s="10" t="n">
        <v>46427</v>
      </c>
      <c r="B466" s="10" t="n">
        <v>46428</v>
      </c>
      <c r="C466" s="22" t="n">
        <f aca="false">SUMIFS(Verbrauch!$C$9:$C$18896,Verbrauch!$A$9:$A$18896,"&gt;="&amp;A466,Verbrauch!$A$9:$A$18896,"&lt;"&amp;B466)</f>
        <v>0</v>
      </c>
      <c r="D466" s="22" t="n">
        <f aca="false">SUMIFS(Verbrauch!$C$9:$C$18896,Verbrauch!$A$9:$A$18896,"&gt;="&amp;A466,Verbrauch!$A$9:$A$18896,"&lt;"&amp;B466,Verbrauch!$F$9:$F$18896,"Go")</f>
        <v>0</v>
      </c>
      <c r="E466" s="22" t="n">
        <f aca="false">SUMIFS(Verbrauch!$C$9:$C$18896,Verbrauch!$A$9:$A$18896,"&gt;="&amp;A466,Verbrauch!$A$9:$A$18896,"&lt;"&amp;B466,Verbrauch!$F$9:$F$18896,"Standard")</f>
        <v>0</v>
      </c>
      <c r="F466" s="23" t="n">
        <f aca="false">SUMIFS(Verbrauch!$E$9:$E$18896,Verbrauch!$A$9:$A$18896,"&gt;="&amp;A466,Verbrauch!$A$9:$A$18896,"&lt;"&amp;B466)</f>
        <v>0</v>
      </c>
      <c r="G466" s="13" t="str">
        <f aca="false">IFERROR(F466/C466*100,"")</f>
        <v/>
      </c>
      <c r="H466" s="11" t="n">
        <f aca="false">COUNTIFS(Verbrauch!$A$9:$A$18896,"&gt;="&amp;A466,Verbrauch!$A$9:$A$18896,"&lt;"&amp;B466,Verbrauch!$C$9:$C$18896,"&lt;&gt;")</f>
        <v>0</v>
      </c>
    </row>
    <row r="467" customFormat="false" ht="15" hidden="false" customHeight="true" outlineLevel="0" collapsed="false">
      <c r="A467" s="10" t="n">
        <v>46428</v>
      </c>
      <c r="B467" s="10" t="n">
        <v>46429</v>
      </c>
      <c r="C467" s="22" t="n">
        <f aca="false">SUMIFS(Verbrauch!$C$9:$C$18896,Verbrauch!$A$9:$A$18896,"&gt;="&amp;A467,Verbrauch!$A$9:$A$18896,"&lt;"&amp;B467)</f>
        <v>0</v>
      </c>
      <c r="D467" s="22" t="n">
        <f aca="false">SUMIFS(Verbrauch!$C$9:$C$18896,Verbrauch!$A$9:$A$18896,"&gt;="&amp;A467,Verbrauch!$A$9:$A$18896,"&lt;"&amp;B467,Verbrauch!$F$9:$F$18896,"Go")</f>
        <v>0</v>
      </c>
      <c r="E467" s="22" t="n">
        <f aca="false">SUMIFS(Verbrauch!$C$9:$C$18896,Verbrauch!$A$9:$A$18896,"&gt;="&amp;A467,Verbrauch!$A$9:$A$18896,"&lt;"&amp;B467,Verbrauch!$F$9:$F$18896,"Standard")</f>
        <v>0</v>
      </c>
      <c r="F467" s="23" t="n">
        <f aca="false">SUMIFS(Verbrauch!$E$9:$E$18896,Verbrauch!$A$9:$A$18896,"&gt;="&amp;A467,Verbrauch!$A$9:$A$18896,"&lt;"&amp;B467)</f>
        <v>0</v>
      </c>
      <c r="G467" s="13" t="str">
        <f aca="false">IFERROR(F467/C467*100,"")</f>
        <v/>
      </c>
      <c r="H467" s="11" t="n">
        <f aca="false">COUNTIFS(Verbrauch!$A$9:$A$18896,"&gt;="&amp;A467,Verbrauch!$A$9:$A$18896,"&lt;"&amp;B467,Verbrauch!$C$9:$C$18896,"&lt;&gt;")</f>
        <v>0</v>
      </c>
    </row>
    <row r="468" customFormat="false" ht="15" hidden="false" customHeight="true" outlineLevel="0" collapsed="false">
      <c r="A468" s="10" t="n">
        <v>46429</v>
      </c>
      <c r="B468" s="10" t="n">
        <v>46430</v>
      </c>
      <c r="C468" s="22" t="n">
        <f aca="false">SUMIFS(Verbrauch!$C$9:$C$18896,Verbrauch!$A$9:$A$18896,"&gt;="&amp;A468,Verbrauch!$A$9:$A$18896,"&lt;"&amp;B468)</f>
        <v>0</v>
      </c>
      <c r="D468" s="22" t="n">
        <f aca="false">SUMIFS(Verbrauch!$C$9:$C$18896,Verbrauch!$A$9:$A$18896,"&gt;="&amp;A468,Verbrauch!$A$9:$A$18896,"&lt;"&amp;B468,Verbrauch!$F$9:$F$18896,"Go")</f>
        <v>0</v>
      </c>
      <c r="E468" s="22" t="n">
        <f aca="false">SUMIFS(Verbrauch!$C$9:$C$18896,Verbrauch!$A$9:$A$18896,"&gt;="&amp;A468,Verbrauch!$A$9:$A$18896,"&lt;"&amp;B468,Verbrauch!$F$9:$F$18896,"Standard")</f>
        <v>0</v>
      </c>
      <c r="F468" s="23" t="n">
        <f aca="false">SUMIFS(Verbrauch!$E$9:$E$18896,Verbrauch!$A$9:$A$18896,"&gt;="&amp;A468,Verbrauch!$A$9:$A$18896,"&lt;"&amp;B468)</f>
        <v>0</v>
      </c>
      <c r="G468" s="13" t="str">
        <f aca="false">IFERROR(F468/C468*100,"")</f>
        <v/>
      </c>
      <c r="H468" s="11" t="n">
        <f aca="false">COUNTIFS(Verbrauch!$A$9:$A$18896,"&gt;="&amp;A468,Verbrauch!$A$9:$A$18896,"&lt;"&amp;B468,Verbrauch!$C$9:$C$18896,"&lt;&gt;")</f>
        <v>0</v>
      </c>
    </row>
    <row r="469" customFormat="false" ht="15" hidden="false" customHeight="true" outlineLevel="0" collapsed="false">
      <c r="A469" s="10" t="n">
        <v>46430</v>
      </c>
      <c r="B469" s="10" t="n">
        <v>46431</v>
      </c>
      <c r="C469" s="22" t="n">
        <f aca="false">SUMIFS(Verbrauch!$C$9:$C$18896,Verbrauch!$A$9:$A$18896,"&gt;="&amp;A469,Verbrauch!$A$9:$A$18896,"&lt;"&amp;B469)</f>
        <v>0</v>
      </c>
      <c r="D469" s="22" t="n">
        <f aca="false">SUMIFS(Verbrauch!$C$9:$C$18896,Verbrauch!$A$9:$A$18896,"&gt;="&amp;A469,Verbrauch!$A$9:$A$18896,"&lt;"&amp;B469,Verbrauch!$F$9:$F$18896,"Go")</f>
        <v>0</v>
      </c>
      <c r="E469" s="22" t="n">
        <f aca="false">SUMIFS(Verbrauch!$C$9:$C$18896,Verbrauch!$A$9:$A$18896,"&gt;="&amp;A469,Verbrauch!$A$9:$A$18896,"&lt;"&amp;B469,Verbrauch!$F$9:$F$18896,"Standard")</f>
        <v>0</v>
      </c>
      <c r="F469" s="23" t="n">
        <f aca="false">SUMIFS(Verbrauch!$E$9:$E$18896,Verbrauch!$A$9:$A$18896,"&gt;="&amp;A469,Verbrauch!$A$9:$A$18896,"&lt;"&amp;B469)</f>
        <v>0</v>
      </c>
      <c r="G469" s="13" t="str">
        <f aca="false">IFERROR(F469/C469*100,"")</f>
        <v/>
      </c>
      <c r="H469" s="11" t="n">
        <f aca="false">COUNTIFS(Verbrauch!$A$9:$A$18896,"&gt;="&amp;A469,Verbrauch!$A$9:$A$18896,"&lt;"&amp;B469,Verbrauch!$C$9:$C$18896,"&lt;&gt;")</f>
        <v>0</v>
      </c>
    </row>
    <row r="470" customFormat="false" ht="15" hidden="false" customHeight="true" outlineLevel="0" collapsed="false">
      <c r="A470" s="10" t="n">
        <v>46431</v>
      </c>
      <c r="B470" s="10" t="n">
        <v>46432</v>
      </c>
      <c r="C470" s="22" t="n">
        <f aca="false">SUMIFS(Verbrauch!$C$9:$C$18896,Verbrauch!$A$9:$A$18896,"&gt;="&amp;A470,Verbrauch!$A$9:$A$18896,"&lt;"&amp;B470)</f>
        <v>0</v>
      </c>
      <c r="D470" s="22" t="n">
        <f aca="false">SUMIFS(Verbrauch!$C$9:$C$18896,Verbrauch!$A$9:$A$18896,"&gt;="&amp;A470,Verbrauch!$A$9:$A$18896,"&lt;"&amp;B470,Verbrauch!$F$9:$F$18896,"Go")</f>
        <v>0</v>
      </c>
      <c r="E470" s="22" t="n">
        <f aca="false">SUMIFS(Verbrauch!$C$9:$C$18896,Verbrauch!$A$9:$A$18896,"&gt;="&amp;A470,Verbrauch!$A$9:$A$18896,"&lt;"&amp;B470,Verbrauch!$F$9:$F$18896,"Standard")</f>
        <v>0</v>
      </c>
      <c r="F470" s="23" t="n">
        <f aca="false">SUMIFS(Verbrauch!$E$9:$E$18896,Verbrauch!$A$9:$A$18896,"&gt;="&amp;A470,Verbrauch!$A$9:$A$18896,"&lt;"&amp;B470)</f>
        <v>0</v>
      </c>
      <c r="G470" s="13" t="str">
        <f aca="false">IFERROR(F470/C470*100,"")</f>
        <v/>
      </c>
      <c r="H470" s="11" t="n">
        <f aca="false">COUNTIFS(Verbrauch!$A$9:$A$18896,"&gt;="&amp;A470,Verbrauch!$A$9:$A$18896,"&lt;"&amp;B470,Verbrauch!$C$9:$C$18896,"&lt;&gt;")</f>
        <v>0</v>
      </c>
    </row>
    <row r="471" customFormat="false" ht="15" hidden="false" customHeight="true" outlineLevel="0" collapsed="false">
      <c r="A471" s="10" t="n">
        <v>46432</v>
      </c>
      <c r="B471" s="10" t="n">
        <v>46433</v>
      </c>
      <c r="C471" s="22" t="n">
        <f aca="false">SUMIFS(Verbrauch!$C$9:$C$18896,Verbrauch!$A$9:$A$18896,"&gt;="&amp;A471,Verbrauch!$A$9:$A$18896,"&lt;"&amp;B471)</f>
        <v>0</v>
      </c>
      <c r="D471" s="22" t="n">
        <f aca="false">SUMIFS(Verbrauch!$C$9:$C$18896,Verbrauch!$A$9:$A$18896,"&gt;="&amp;A471,Verbrauch!$A$9:$A$18896,"&lt;"&amp;B471,Verbrauch!$F$9:$F$18896,"Go")</f>
        <v>0</v>
      </c>
      <c r="E471" s="22" t="n">
        <f aca="false">SUMIFS(Verbrauch!$C$9:$C$18896,Verbrauch!$A$9:$A$18896,"&gt;="&amp;A471,Verbrauch!$A$9:$A$18896,"&lt;"&amp;B471,Verbrauch!$F$9:$F$18896,"Standard")</f>
        <v>0</v>
      </c>
      <c r="F471" s="23" t="n">
        <f aca="false">SUMIFS(Verbrauch!$E$9:$E$18896,Verbrauch!$A$9:$A$18896,"&gt;="&amp;A471,Verbrauch!$A$9:$A$18896,"&lt;"&amp;B471)</f>
        <v>0</v>
      </c>
      <c r="G471" s="13" t="str">
        <f aca="false">IFERROR(F471/C471*100,"")</f>
        <v/>
      </c>
      <c r="H471" s="11" t="n">
        <f aca="false">COUNTIFS(Verbrauch!$A$9:$A$18896,"&gt;="&amp;A471,Verbrauch!$A$9:$A$18896,"&lt;"&amp;B471,Verbrauch!$C$9:$C$18896,"&lt;&gt;")</f>
        <v>0</v>
      </c>
    </row>
    <row r="472" customFormat="false" ht="15" hidden="false" customHeight="true" outlineLevel="0" collapsed="false">
      <c r="A472" s="10" t="n">
        <v>46433</v>
      </c>
      <c r="B472" s="10" t="n">
        <v>46434</v>
      </c>
      <c r="C472" s="22" t="n">
        <f aca="false">SUMIFS(Verbrauch!$C$9:$C$18896,Verbrauch!$A$9:$A$18896,"&gt;="&amp;A472,Verbrauch!$A$9:$A$18896,"&lt;"&amp;B472)</f>
        <v>0</v>
      </c>
      <c r="D472" s="22" t="n">
        <f aca="false">SUMIFS(Verbrauch!$C$9:$C$18896,Verbrauch!$A$9:$A$18896,"&gt;="&amp;A472,Verbrauch!$A$9:$A$18896,"&lt;"&amp;B472,Verbrauch!$F$9:$F$18896,"Go")</f>
        <v>0</v>
      </c>
      <c r="E472" s="22" t="n">
        <f aca="false">SUMIFS(Verbrauch!$C$9:$C$18896,Verbrauch!$A$9:$A$18896,"&gt;="&amp;A472,Verbrauch!$A$9:$A$18896,"&lt;"&amp;B472,Verbrauch!$F$9:$F$18896,"Standard")</f>
        <v>0</v>
      </c>
      <c r="F472" s="23" t="n">
        <f aca="false">SUMIFS(Verbrauch!$E$9:$E$18896,Verbrauch!$A$9:$A$18896,"&gt;="&amp;A472,Verbrauch!$A$9:$A$18896,"&lt;"&amp;B472)</f>
        <v>0</v>
      </c>
      <c r="G472" s="13" t="str">
        <f aca="false">IFERROR(F472/C472*100,"")</f>
        <v/>
      </c>
      <c r="H472" s="11" t="n">
        <f aca="false">COUNTIFS(Verbrauch!$A$9:$A$18896,"&gt;="&amp;A472,Verbrauch!$A$9:$A$18896,"&lt;"&amp;B472,Verbrauch!$C$9:$C$18896,"&lt;&gt;")</f>
        <v>0</v>
      </c>
    </row>
    <row r="473" customFormat="false" ht="15" hidden="false" customHeight="true" outlineLevel="0" collapsed="false">
      <c r="A473" s="10" t="n">
        <v>46434</v>
      </c>
      <c r="B473" s="10" t="n">
        <v>46435</v>
      </c>
      <c r="C473" s="22" t="n">
        <f aca="false">SUMIFS(Verbrauch!$C$9:$C$18896,Verbrauch!$A$9:$A$18896,"&gt;="&amp;A473,Verbrauch!$A$9:$A$18896,"&lt;"&amp;B473)</f>
        <v>0</v>
      </c>
      <c r="D473" s="22" t="n">
        <f aca="false">SUMIFS(Verbrauch!$C$9:$C$18896,Verbrauch!$A$9:$A$18896,"&gt;="&amp;A473,Verbrauch!$A$9:$A$18896,"&lt;"&amp;B473,Verbrauch!$F$9:$F$18896,"Go")</f>
        <v>0</v>
      </c>
      <c r="E473" s="22" t="n">
        <f aca="false">SUMIFS(Verbrauch!$C$9:$C$18896,Verbrauch!$A$9:$A$18896,"&gt;="&amp;A473,Verbrauch!$A$9:$A$18896,"&lt;"&amp;B473,Verbrauch!$F$9:$F$18896,"Standard")</f>
        <v>0</v>
      </c>
      <c r="F473" s="23" t="n">
        <f aca="false">SUMIFS(Verbrauch!$E$9:$E$18896,Verbrauch!$A$9:$A$18896,"&gt;="&amp;A473,Verbrauch!$A$9:$A$18896,"&lt;"&amp;B473)</f>
        <v>0</v>
      </c>
      <c r="G473" s="13" t="str">
        <f aca="false">IFERROR(F473/C473*100,"")</f>
        <v/>
      </c>
      <c r="H473" s="11" t="n">
        <f aca="false">COUNTIFS(Verbrauch!$A$9:$A$18896,"&gt;="&amp;A473,Verbrauch!$A$9:$A$18896,"&lt;"&amp;B473,Verbrauch!$C$9:$C$18896,"&lt;&gt;")</f>
        <v>0</v>
      </c>
    </row>
    <row r="474" customFormat="false" ht="15" hidden="false" customHeight="true" outlineLevel="0" collapsed="false">
      <c r="A474" s="10" t="n">
        <v>46435</v>
      </c>
      <c r="B474" s="10" t="n">
        <v>46436</v>
      </c>
      <c r="C474" s="22" t="n">
        <f aca="false">SUMIFS(Verbrauch!$C$9:$C$18896,Verbrauch!$A$9:$A$18896,"&gt;="&amp;A474,Verbrauch!$A$9:$A$18896,"&lt;"&amp;B474)</f>
        <v>0</v>
      </c>
      <c r="D474" s="22" t="n">
        <f aca="false">SUMIFS(Verbrauch!$C$9:$C$18896,Verbrauch!$A$9:$A$18896,"&gt;="&amp;A474,Verbrauch!$A$9:$A$18896,"&lt;"&amp;B474,Verbrauch!$F$9:$F$18896,"Go")</f>
        <v>0</v>
      </c>
      <c r="E474" s="22" t="n">
        <f aca="false">SUMIFS(Verbrauch!$C$9:$C$18896,Verbrauch!$A$9:$A$18896,"&gt;="&amp;A474,Verbrauch!$A$9:$A$18896,"&lt;"&amp;B474,Verbrauch!$F$9:$F$18896,"Standard")</f>
        <v>0</v>
      </c>
      <c r="F474" s="23" t="n">
        <f aca="false">SUMIFS(Verbrauch!$E$9:$E$18896,Verbrauch!$A$9:$A$18896,"&gt;="&amp;A474,Verbrauch!$A$9:$A$18896,"&lt;"&amp;B474)</f>
        <v>0</v>
      </c>
      <c r="G474" s="13" t="str">
        <f aca="false">IFERROR(F474/C474*100,"")</f>
        <v/>
      </c>
      <c r="H474" s="11" t="n">
        <f aca="false">COUNTIFS(Verbrauch!$A$9:$A$18896,"&gt;="&amp;A474,Verbrauch!$A$9:$A$18896,"&lt;"&amp;B474,Verbrauch!$C$9:$C$18896,"&lt;&gt;")</f>
        <v>0</v>
      </c>
    </row>
    <row r="475" customFormat="false" ht="15" hidden="false" customHeight="true" outlineLevel="0" collapsed="false">
      <c r="A475" s="10" t="n">
        <v>46436</v>
      </c>
      <c r="B475" s="10" t="n">
        <v>46437</v>
      </c>
      <c r="C475" s="22" t="n">
        <f aca="false">SUMIFS(Verbrauch!$C$9:$C$18896,Verbrauch!$A$9:$A$18896,"&gt;="&amp;A475,Verbrauch!$A$9:$A$18896,"&lt;"&amp;B475)</f>
        <v>0</v>
      </c>
      <c r="D475" s="22" t="n">
        <f aca="false">SUMIFS(Verbrauch!$C$9:$C$18896,Verbrauch!$A$9:$A$18896,"&gt;="&amp;A475,Verbrauch!$A$9:$A$18896,"&lt;"&amp;B475,Verbrauch!$F$9:$F$18896,"Go")</f>
        <v>0</v>
      </c>
      <c r="E475" s="22" t="n">
        <f aca="false">SUMIFS(Verbrauch!$C$9:$C$18896,Verbrauch!$A$9:$A$18896,"&gt;="&amp;A475,Verbrauch!$A$9:$A$18896,"&lt;"&amp;B475,Verbrauch!$F$9:$F$18896,"Standard")</f>
        <v>0</v>
      </c>
      <c r="F475" s="23" t="n">
        <f aca="false">SUMIFS(Verbrauch!$E$9:$E$18896,Verbrauch!$A$9:$A$18896,"&gt;="&amp;A475,Verbrauch!$A$9:$A$18896,"&lt;"&amp;B475)</f>
        <v>0</v>
      </c>
      <c r="G475" s="13" t="str">
        <f aca="false">IFERROR(F475/C475*100,"")</f>
        <v/>
      </c>
      <c r="H475" s="11" t="n">
        <f aca="false">COUNTIFS(Verbrauch!$A$9:$A$18896,"&gt;="&amp;A475,Verbrauch!$A$9:$A$18896,"&lt;"&amp;B475,Verbrauch!$C$9:$C$18896,"&lt;&gt;")</f>
        <v>0</v>
      </c>
    </row>
    <row r="476" customFormat="false" ht="15" hidden="false" customHeight="true" outlineLevel="0" collapsed="false">
      <c r="A476" s="10" t="n">
        <v>46437</v>
      </c>
      <c r="B476" s="10" t="n">
        <v>46438</v>
      </c>
      <c r="C476" s="22" t="n">
        <f aca="false">SUMIFS(Verbrauch!$C$9:$C$18896,Verbrauch!$A$9:$A$18896,"&gt;="&amp;A476,Verbrauch!$A$9:$A$18896,"&lt;"&amp;B476)</f>
        <v>0</v>
      </c>
      <c r="D476" s="22" t="n">
        <f aca="false">SUMIFS(Verbrauch!$C$9:$C$18896,Verbrauch!$A$9:$A$18896,"&gt;="&amp;A476,Verbrauch!$A$9:$A$18896,"&lt;"&amp;B476,Verbrauch!$F$9:$F$18896,"Go")</f>
        <v>0</v>
      </c>
      <c r="E476" s="22" t="n">
        <f aca="false">SUMIFS(Verbrauch!$C$9:$C$18896,Verbrauch!$A$9:$A$18896,"&gt;="&amp;A476,Verbrauch!$A$9:$A$18896,"&lt;"&amp;B476,Verbrauch!$F$9:$F$18896,"Standard")</f>
        <v>0</v>
      </c>
      <c r="F476" s="23" t="n">
        <f aca="false">SUMIFS(Verbrauch!$E$9:$E$18896,Verbrauch!$A$9:$A$18896,"&gt;="&amp;A476,Verbrauch!$A$9:$A$18896,"&lt;"&amp;B476)</f>
        <v>0</v>
      </c>
      <c r="G476" s="13" t="str">
        <f aca="false">IFERROR(F476/C476*100,"")</f>
        <v/>
      </c>
      <c r="H476" s="11" t="n">
        <f aca="false">COUNTIFS(Verbrauch!$A$9:$A$18896,"&gt;="&amp;A476,Verbrauch!$A$9:$A$18896,"&lt;"&amp;B476,Verbrauch!$C$9:$C$18896,"&lt;&gt;")</f>
        <v>0</v>
      </c>
    </row>
    <row r="477" customFormat="false" ht="15" hidden="false" customHeight="true" outlineLevel="0" collapsed="false">
      <c r="A477" s="10" t="n">
        <v>46438</v>
      </c>
      <c r="B477" s="10" t="n">
        <v>46439</v>
      </c>
      <c r="C477" s="22" t="n">
        <f aca="false">SUMIFS(Verbrauch!$C$9:$C$18896,Verbrauch!$A$9:$A$18896,"&gt;="&amp;A477,Verbrauch!$A$9:$A$18896,"&lt;"&amp;B477)</f>
        <v>0</v>
      </c>
      <c r="D477" s="22" t="n">
        <f aca="false">SUMIFS(Verbrauch!$C$9:$C$18896,Verbrauch!$A$9:$A$18896,"&gt;="&amp;A477,Verbrauch!$A$9:$A$18896,"&lt;"&amp;B477,Verbrauch!$F$9:$F$18896,"Go")</f>
        <v>0</v>
      </c>
      <c r="E477" s="22" t="n">
        <f aca="false">SUMIFS(Verbrauch!$C$9:$C$18896,Verbrauch!$A$9:$A$18896,"&gt;="&amp;A477,Verbrauch!$A$9:$A$18896,"&lt;"&amp;B477,Verbrauch!$F$9:$F$18896,"Standard")</f>
        <v>0</v>
      </c>
      <c r="F477" s="23" t="n">
        <f aca="false">SUMIFS(Verbrauch!$E$9:$E$18896,Verbrauch!$A$9:$A$18896,"&gt;="&amp;A477,Verbrauch!$A$9:$A$18896,"&lt;"&amp;B477)</f>
        <v>0</v>
      </c>
      <c r="G477" s="13" t="str">
        <f aca="false">IFERROR(F477/C477*100,"")</f>
        <v/>
      </c>
      <c r="H477" s="11" t="n">
        <f aca="false">COUNTIFS(Verbrauch!$A$9:$A$18896,"&gt;="&amp;A477,Verbrauch!$A$9:$A$18896,"&lt;"&amp;B477,Verbrauch!$C$9:$C$18896,"&lt;&gt;")</f>
        <v>0</v>
      </c>
    </row>
    <row r="478" customFormat="false" ht="15" hidden="false" customHeight="true" outlineLevel="0" collapsed="false">
      <c r="A478" s="10" t="n">
        <v>46439</v>
      </c>
      <c r="B478" s="10" t="n">
        <v>46440</v>
      </c>
      <c r="C478" s="22" t="n">
        <f aca="false">SUMIFS(Verbrauch!$C$9:$C$18896,Verbrauch!$A$9:$A$18896,"&gt;="&amp;A478,Verbrauch!$A$9:$A$18896,"&lt;"&amp;B478)</f>
        <v>0</v>
      </c>
      <c r="D478" s="22" t="n">
        <f aca="false">SUMIFS(Verbrauch!$C$9:$C$18896,Verbrauch!$A$9:$A$18896,"&gt;="&amp;A478,Verbrauch!$A$9:$A$18896,"&lt;"&amp;B478,Verbrauch!$F$9:$F$18896,"Go")</f>
        <v>0</v>
      </c>
      <c r="E478" s="22" t="n">
        <f aca="false">SUMIFS(Verbrauch!$C$9:$C$18896,Verbrauch!$A$9:$A$18896,"&gt;="&amp;A478,Verbrauch!$A$9:$A$18896,"&lt;"&amp;B478,Verbrauch!$F$9:$F$18896,"Standard")</f>
        <v>0</v>
      </c>
      <c r="F478" s="23" t="n">
        <f aca="false">SUMIFS(Verbrauch!$E$9:$E$18896,Verbrauch!$A$9:$A$18896,"&gt;="&amp;A478,Verbrauch!$A$9:$A$18896,"&lt;"&amp;B478)</f>
        <v>0</v>
      </c>
      <c r="G478" s="13" t="str">
        <f aca="false">IFERROR(F478/C478*100,"")</f>
        <v/>
      </c>
      <c r="H478" s="11" t="n">
        <f aca="false">COUNTIFS(Verbrauch!$A$9:$A$18896,"&gt;="&amp;A478,Verbrauch!$A$9:$A$18896,"&lt;"&amp;B478,Verbrauch!$C$9:$C$18896,"&lt;&gt;")</f>
        <v>0</v>
      </c>
    </row>
    <row r="479" customFormat="false" ht="15" hidden="false" customHeight="true" outlineLevel="0" collapsed="false">
      <c r="A479" s="10" t="n">
        <v>46440</v>
      </c>
      <c r="B479" s="10" t="n">
        <v>46441</v>
      </c>
      <c r="C479" s="22" t="n">
        <f aca="false">SUMIFS(Verbrauch!$C$9:$C$18896,Verbrauch!$A$9:$A$18896,"&gt;="&amp;A479,Verbrauch!$A$9:$A$18896,"&lt;"&amp;B479)</f>
        <v>0</v>
      </c>
      <c r="D479" s="22" t="n">
        <f aca="false">SUMIFS(Verbrauch!$C$9:$C$18896,Verbrauch!$A$9:$A$18896,"&gt;="&amp;A479,Verbrauch!$A$9:$A$18896,"&lt;"&amp;B479,Verbrauch!$F$9:$F$18896,"Go")</f>
        <v>0</v>
      </c>
      <c r="E479" s="22" t="n">
        <f aca="false">SUMIFS(Verbrauch!$C$9:$C$18896,Verbrauch!$A$9:$A$18896,"&gt;="&amp;A479,Verbrauch!$A$9:$A$18896,"&lt;"&amp;B479,Verbrauch!$F$9:$F$18896,"Standard")</f>
        <v>0</v>
      </c>
      <c r="F479" s="23" t="n">
        <f aca="false">SUMIFS(Verbrauch!$E$9:$E$18896,Verbrauch!$A$9:$A$18896,"&gt;="&amp;A479,Verbrauch!$A$9:$A$18896,"&lt;"&amp;B479)</f>
        <v>0</v>
      </c>
      <c r="G479" s="13" t="str">
        <f aca="false">IFERROR(F479/C479*100,"")</f>
        <v/>
      </c>
      <c r="H479" s="11" t="n">
        <f aca="false">COUNTIFS(Verbrauch!$A$9:$A$18896,"&gt;="&amp;A479,Verbrauch!$A$9:$A$18896,"&lt;"&amp;B479,Verbrauch!$C$9:$C$18896,"&lt;&gt;")</f>
        <v>0</v>
      </c>
    </row>
    <row r="480" customFormat="false" ht="15" hidden="false" customHeight="true" outlineLevel="0" collapsed="false">
      <c r="A480" s="10" t="n">
        <v>46441</v>
      </c>
      <c r="B480" s="10" t="n">
        <v>46442</v>
      </c>
      <c r="C480" s="22" t="n">
        <f aca="false">SUMIFS(Verbrauch!$C$9:$C$18896,Verbrauch!$A$9:$A$18896,"&gt;="&amp;A480,Verbrauch!$A$9:$A$18896,"&lt;"&amp;B480)</f>
        <v>0</v>
      </c>
      <c r="D480" s="22" t="n">
        <f aca="false">SUMIFS(Verbrauch!$C$9:$C$18896,Verbrauch!$A$9:$A$18896,"&gt;="&amp;A480,Verbrauch!$A$9:$A$18896,"&lt;"&amp;B480,Verbrauch!$F$9:$F$18896,"Go")</f>
        <v>0</v>
      </c>
      <c r="E480" s="22" t="n">
        <f aca="false">SUMIFS(Verbrauch!$C$9:$C$18896,Verbrauch!$A$9:$A$18896,"&gt;="&amp;A480,Verbrauch!$A$9:$A$18896,"&lt;"&amp;B480,Verbrauch!$F$9:$F$18896,"Standard")</f>
        <v>0</v>
      </c>
      <c r="F480" s="23" t="n">
        <f aca="false">SUMIFS(Verbrauch!$E$9:$E$18896,Verbrauch!$A$9:$A$18896,"&gt;="&amp;A480,Verbrauch!$A$9:$A$18896,"&lt;"&amp;B480)</f>
        <v>0</v>
      </c>
      <c r="G480" s="13" t="str">
        <f aca="false">IFERROR(F480/C480*100,"")</f>
        <v/>
      </c>
      <c r="H480" s="11" t="n">
        <f aca="false">COUNTIFS(Verbrauch!$A$9:$A$18896,"&gt;="&amp;A480,Verbrauch!$A$9:$A$18896,"&lt;"&amp;B480,Verbrauch!$C$9:$C$18896,"&lt;&gt;")</f>
        <v>0</v>
      </c>
    </row>
    <row r="481" customFormat="false" ht="15" hidden="false" customHeight="true" outlineLevel="0" collapsed="false">
      <c r="A481" s="10" t="n">
        <v>46442</v>
      </c>
      <c r="B481" s="10" t="n">
        <v>46443</v>
      </c>
      <c r="C481" s="22" t="n">
        <f aca="false">SUMIFS(Verbrauch!$C$9:$C$18896,Verbrauch!$A$9:$A$18896,"&gt;="&amp;A481,Verbrauch!$A$9:$A$18896,"&lt;"&amp;B481)</f>
        <v>0</v>
      </c>
      <c r="D481" s="22" t="n">
        <f aca="false">SUMIFS(Verbrauch!$C$9:$C$18896,Verbrauch!$A$9:$A$18896,"&gt;="&amp;A481,Verbrauch!$A$9:$A$18896,"&lt;"&amp;B481,Verbrauch!$F$9:$F$18896,"Go")</f>
        <v>0</v>
      </c>
      <c r="E481" s="22" t="n">
        <f aca="false">SUMIFS(Verbrauch!$C$9:$C$18896,Verbrauch!$A$9:$A$18896,"&gt;="&amp;A481,Verbrauch!$A$9:$A$18896,"&lt;"&amp;B481,Verbrauch!$F$9:$F$18896,"Standard")</f>
        <v>0</v>
      </c>
      <c r="F481" s="23" t="n">
        <f aca="false">SUMIFS(Verbrauch!$E$9:$E$18896,Verbrauch!$A$9:$A$18896,"&gt;="&amp;A481,Verbrauch!$A$9:$A$18896,"&lt;"&amp;B481)</f>
        <v>0</v>
      </c>
      <c r="G481" s="13" t="str">
        <f aca="false">IFERROR(F481/C481*100,"")</f>
        <v/>
      </c>
      <c r="H481" s="11" t="n">
        <f aca="false">COUNTIFS(Verbrauch!$A$9:$A$18896,"&gt;="&amp;A481,Verbrauch!$A$9:$A$18896,"&lt;"&amp;B481,Verbrauch!$C$9:$C$18896,"&lt;&gt;")</f>
        <v>0</v>
      </c>
    </row>
    <row r="482" customFormat="false" ht="15" hidden="false" customHeight="true" outlineLevel="0" collapsed="false">
      <c r="A482" s="10" t="n">
        <v>46443</v>
      </c>
      <c r="B482" s="10" t="n">
        <v>46444</v>
      </c>
      <c r="C482" s="22" t="n">
        <f aca="false">SUMIFS(Verbrauch!$C$9:$C$18896,Verbrauch!$A$9:$A$18896,"&gt;="&amp;A482,Verbrauch!$A$9:$A$18896,"&lt;"&amp;B482)</f>
        <v>0</v>
      </c>
      <c r="D482" s="22" t="n">
        <f aca="false">SUMIFS(Verbrauch!$C$9:$C$18896,Verbrauch!$A$9:$A$18896,"&gt;="&amp;A482,Verbrauch!$A$9:$A$18896,"&lt;"&amp;B482,Verbrauch!$F$9:$F$18896,"Go")</f>
        <v>0</v>
      </c>
      <c r="E482" s="22" t="n">
        <f aca="false">SUMIFS(Verbrauch!$C$9:$C$18896,Verbrauch!$A$9:$A$18896,"&gt;="&amp;A482,Verbrauch!$A$9:$A$18896,"&lt;"&amp;B482,Verbrauch!$F$9:$F$18896,"Standard")</f>
        <v>0</v>
      </c>
      <c r="F482" s="23" t="n">
        <f aca="false">SUMIFS(Verbrauch!$E$9:$E$18896,Verbrauch!$A$9:$A$18896,"&gt;="&amp;A482,Verbrauch!$A$9:$A$18896,"&lt;"&amp;B482)</f>
        <v>0</v>
      </c>
      <c r="G482" s="13" t="str">
        <f aca="false">IFERROR(F482/C482*100,"")</f>
        <v/>
      </c>
      <c r="H482" s="11" t="n">
        <f aca="false">COUNTIFS(Verbrauch!$A$9:$A$18896,"&gt;="&amp;A482,Verbrauch!$A$9:$A$18896,"&lt;"&amp;B482,Verbrauch!$C$9:$C$18896,"&lt;&gt;")</f>
        <v>0</v>
      </c>
    </row>
    <row r="483" customFormat="false" ht="15" hidden="false" customHeight="true" outlineLevel="0" collapsed="false">
      <c r="A483" s="10" t="n">
        <v>46444</v>
      </c>
      <c r="B483" s="10" t="n">
        <v>46445</v>
      </c>
      <c r="C483" s="22" t="n">
        <f aca="false">SUMIFS(Verbrauch!$C$9:$C$18896,Verbrauch!$A$9:$A$18896,"&gt;="&amp;A483,Verbrauch!$A$9:$A$18896,"&lt;"&amp;B483)</f>
        <v>0</v>
      </c>
      <c r="D483" s="22" t="n">
        <f aca="false">SUMIFS(Verbrauch!$C$9:$C$18896,Verbrauch!$A$9:$A$18896,"&gt;="&amp;A483,Verbrauch!$A$9:$A$18896,"&lt;"&amp;B483,Verbrauch!$F$9:$F$18896,"Go")</f>
        <v>0</v>
      </c>
      <c r="E483" s="22" t="n">
        <f aca="false">SUMIFS(Verbrauch!$C$9:$C$18896,Verbrauch!$A$9:$A$18896,"&gt;="&amp;A483,Verbrauch!$A$9:$A$18896,"&lt;"&amp;B483,Verbrauch!$F$9:$F$18896,"Standard")</f>
        <v>0</v>
      </c>
      <c r="F483" s="23" t="n">
        <f aca="false">SUMIFS(Verbrauch!$E$9:$E$18896,Verbrauch!$A$9:$A$18896,"&gt;="&amp;A483,Verbrauch!$A$9:$A$18896,"&lt;"&amp;B483)</f>
        <v>0</v>
      </c>
      <c r="G483" s="13" t="str">
        <f aca="false">IFERROR(F483/C483*100,"")</f>
        <v/>
      </c>
      <c r="H483" s="11" t="n">
        <f aca="false">COUNTIFS(Verbrauch!$A$9:$A$18896,"&gt;="&amp;A483,Verbrauch!$A$9:$A$18896,"&lt;"&amp;B483,Verbrauch!$C$9:$C$18896,"&lt;&gt;")</f>
        <v>0</v>
      </c>
    </row>
    <row r="484" customFormat="false" ht="15" hidden="false" customHeight="true" outlineLevel="0" collapsed="false">
      <c r="A484" s="10" t="n">
        <v>46445</v>
      </c>
      <c r="B484" s="10" t="n">
        <v>46446</v>
      </c>
      <c r="C484" s="22" t="n">
        <f aca="false">SUMIFS(Verbrauch!$C$9:$C$18896,Verbrauch!$A$9:$A$18896,"&gt;="&amp;A484,Verbrauch!$A$9:$A$18896,"&lt;"&amp;B484)</f>
        <v>0</v>
      </c>
      <c r="D484" s="22" t="n">
        <f aca="false">SUMIFS(Verbrauch!$C$9:$C$18896,Verbrauch!$A$9:$A$18896,"&gt;="&amp;A484,Verbrauch!$A$9:$A$18896,"&lt;"&amp;B484,Verbrauch!$F$9:$F$18896,"Go")</f>
        <v>0</v>
      </c>
      <c r="E484" s="22" t="n">
        <f aca="false">SUMIFS(Verbrauch!$C$9:$C$18896,Verbrauch!$A$9:$A$18896,"&gt;="&amp;A484,Verbrauch!$A$9:$A$18896,"&lt;"&amp;B484,Verbrauch!$F$9:$F$18896,"Standard")</f>
        <v>0</v>
      </c>
      <c r="F484" s="23" t="n">
        <f aca="false">SUMIFS(Verbrauch!$E$9:$E$18896,Verbrauch!$A$9:$A$18896,"&gt;="&amp;A484,Verbrauch!$A$9:$A$18896,"&lt;"&amp;B484)</f>
        <v>0</v>
      </c>
      <c r="G484" s="13" t="str">
        <f aca="false">IFERROR(F484/C484*100,"")</f>
        <v/>
      </c>
      <c r="H484" s="11" t="n">
        <f aca="false">COUNTIFS(Verbrauch!$A$9:$A$18896,"&gt;="&amp;A484,Verbrauch!$A$9:$A$18896,"&lt;"&amp;B484,Verbrauch!$C$9:$C$18896,"&lt;&gt;")</f>
        <v>0</v>
      </c>
    </row>
    <row r="485" customFormat="false" ht="15" hidden="false" customHeight="true" outlineLevel="0" collapsed="false">
      <c r="A485" s="10" t="n">
        <v>46446</v>
      </c>
      <c r="B485" s="10" t="n">
        <v>46447</v>
      </c>
      <c r="C485" s="22" t="n">
        <f aca="false">SUMIFS(Verbrauch!$C$9:$C$18896,Verbrauch!$A$9:$A$18896,"&gt;="&amp;A485,Verbrauch!$A$9:$A$18896,"&lt;"&amp;B485)</f>
        <v>0</v>
      </c>
      <c r="D485" s="22" t="n">
        <f aca="false">SUMIFS(Verbrauch!$C$9:$C$18896,Verbrauch!$A$9:$A$18896,"&gt;="&amp;A485,Verbrauch!$A$9:$A$18896,"&lt;"&amp;B485,Verbrauch!$F$9:$F$18896,"Go")</f>
        <v>0</v>
      </c>
      <c r="E485" s="22" t="n">
        <f aca="false">SUMIFS(Verbrauch!$C$9:$C$18896,Verbrauch!$A$9:$A$18896,"&gt;="&amp;A485,Verbrauch!$A$9:$A$18896,"&lt;"&amp;B485,Verbrauch!$F$9:$F$18896,"Standard")</f>
        <v>0</v>
      </c>
      <c r="F485" s="23" t="n">
        <f aca="false">SUMIFS(Verbrauch!$E$9:$E$18896,Verbrauch!$A$9:$A$18896,"&gt;="&amp;A485,Verbrauch!$A$9:$A$18896,"&lt;"&amp;B485)</f>
        <v>0</v>
      </c>
      <c r="G485" s="13" t="str">
        <f aca="false">IFERROR(F485/C485*100,"")</f>
        <v/>
      </c>
      <c r="H485" s="11" t="n">
        <f aca="false">COUNTIFS(Verbrauch!$A$9:$A$18896,"&gt;="&amp;A485,Verbrauch!$A$9:$A$18896,"&lt;"&amp;B485,Verbrauch!$C$9:$C$18896,"&lt;&gt;")</f>
        <v>0</v>
      </c>
    </row>
    <row r="486" customFormat="false" ht="15" hidden="false" customHeight="true" outlineLevel="0" collapsed="false">
      <c r="A486" s="10" t="n">
        <v>46447</v>
      </c>
      <c r="B486" s="10" t="n">
        <v>46448</v>
      </c>
      <c r="C486" s="22" t="n">
        <f aca="false">SUMIFS(Verbrauch!$C$9:$C$18896,Verbrauch!$A$9:$A$18896,"&gt;="&amp;A486,Verbrauch!$A$9:$A$18896,"&lt;"&amp;B486)</f>
        <v>0</v>
      </c>
      <c r="D486" s="22" t="n">
        <f aca="false">SUMIFS(Verbrauch!$C$9:$C$18896,Verbrauch!$A$9:$A$18896,"&gt;="&amp;A486,Verbrauch!$A$9:$A$18896,"&lt;"&amp;B486,Verbrauch!$F$9:$F$18896,"Go")</f>
        <v>0</v>
      </c>
      <c r="E486" s="22" t="n">
        <f aca="false">SUMIFS(Verbrauch!$C$9:$C$18896,Verbrauch!$A$9:$A$18896,"&gt;="&amp;A486,Verbrauch!$A$9:$A$18896,"&lt;"&amp;B486,Verbrauch!$F$9:$F$18896,"Standard")</f>
        <v>0</v>
      </c>
      <c r="F486" s="23" t="n">
        <f aca="false">SUMIFS(Verbrauch!$E$9:$E$18896,Verbrauch!$A$9:$A$18896,"&gt;="&amp;A486,Verbrauch!$A$9:$A$18896,"&lt;"&amp;B486)</f>
        <v>0</v>
      </c>
      <c r="G486" s="13" t="str">
        <f aca="false">IFERROR(F486/C486*100,"")</f>
        <v/>
      </c>
      <c r="H486" s="11" t="n">
        <f aca="false">COUNTIFS(Verbrauch!$A$9:$A$18896,"&gt;="&amp;A486,Verbrauch!$A$9:$A$18896,"&lt;"&amp;B486,Verbrauch!$C$9:$C$18896,"&lt;&gt;")</f>
        <v>0</v>
      </c>
    </row>
    <row r="487" customFormat="false" ht="15" hidden="false" customHeight="true" outlineLevel="0" collapsed="false">
      <c r="A487" s="10" t="n">
        <v>46448</v>
      </c>
      <c r="B487" s="10" t="n">
        <v>46449</v>
      </c>
      <c r="C487" s="22" t="n">
        <f aca="false">SUMIFS(Verbrauch!$C$9:$C$18896,Verbrauch!$A$9:$A$18896,"&gt;="&amp;A487,Verbrauch!$A$9:$A$18896,"&lt;"&amp;B487)</f>
        <v>0</v>
      </c>
      <c r="D487" s="22" t="n">
        <f aca="false">SUMIFS(Verbrauch!$C$9:$C$18896,Verbrauch!$A$9:$A$18896,"&gt;="&amp;A487,Verbrauch!$A$9:$A$18896,"&lt;"&amp;B487,Verbrauch!$F$9:$F$18896,"Go")</f>
        <v>0</v>
      </c>
      <c r="E487" s="22" t="n">
        <f aca="false">SUMIFS(Verbrauch!$C$9:$C$18896,Verbrauch!$A$9:$A$18896,"&gt;="&amp;A487,Verbrauch!$A$9:$A$18896,"&lt;"&amp;B487,Verbrauch!$F$9:$F$18896,"Standard")</f>
        <v>0</v>
      </c>
      <c r="F487" s="23" t="n">
        <f aca="false">SUMIFS(Verbrauch!$E$9:$E$18896,Verbrauch!$A$9:$A$18896,"&gt;="&amp;A487,Verbrauch!$A$9:$A$18896,"&lt;"&amp;B487)</f>
        <v>0</v>
      </c>
      <c r="G487" s="13" t="str">
        <f aca="false">IFERROR(F487/C487*100,"")</f>
        <v/>
      </c>
      <c r="H487" s="11" t="n">
        <f aca="false">COUNTIFS(Verbrauch!$A$9:$A$18896,"&gt;="&amp;A487,Verbrauch!$A$9:$A$18896,"&lt;"&amp;B487,Verbrauch!$C$9:$C$18896,"&lt;&gt;")</f>
        <v>0</v>
      </c>
    </row>
    <row r="488" customFormat="false" ht="15" hidden="false" customHeight="true" outlineLevel="0" collapsed="false">
      <c r="A488" s="10" t="n">
        <v>46449</v>
      </c>
      <c r="B488" s="10" t="n">
        <v>46450</v>
      </c>
      <c r="C488" s="22" t="n">
        <f aca="false">SUMIFS(Verbrauch!$C$9:$C$18896,Verbrauch!$A$9:$A$18896,"&gt;="&amp;A488,Verbrauch!$A$9:$A$18896,"&lt;"&amp;B488)</f>
        <v>0</v>
      </c>
      <c r="D488" s="22" t="n">
        <f aca="false">SUMIFS(Verbrauch!$C$9:$C$18896,Verbrauch!$A$9:$A$18896,"&gt;="&amp;A488,Verbrauch!$A$9:$A$18896,"&lt;"&amp;B488,Verbrauch!$F$9:$F$18896,"Go")</f>
        <v>0</v>
      </c>
      <c r="E488" s="22" t="n">
        <f aca="false">SUMIFS(Verbrauch!$C$9:$C$18896,Verbrauch!$A$9:$A$18896,"&gt;="&amp;A488,Verbrauch!$A$9:$A$18896,"&lt;"&amp;B488,Verbrauch!$F$9:$F$18896,"Standard")</f>
        <v>0</v>
      </c>
      <c r="F488" s="23" t="n">
        <f aca="false">SUMIFS(Verbrauch!$E$9:$E$18896,Verbrauch!$A$9:$A$18896,"&gt;="&amp;A488,Verbrauch!$A$9:$A$18896,"&lt;"&amp;B488)</f>
        <v>0</v>
      </c>
      <c r="G488" s="13" t="str">
        <f aca="false">IFERROR(F488/C488*100,"")</f>
        <v/>
      </c>
      <c r="H488" s="11" t="n">
        <f aca="false">COUNTIFS(Verbrauch!$A$9:$A$18896,"&gt;="&amp;A488,Verbrauch!$A$9:$A$18896,"&lt;"&amp;B488,Verbrauch!$C$9:$C$18896,"&lt;&gt;")</f>
        <v>0</v>
      </c>
    </row>
    <row r="489" customFormat="false" ht="15" hidden="false" customHeight="true" outlineLevel="0" collapsed="false">
      <c r="A489" s="10" t="n">
        <v>46450</v>
      </c>
      <c r="B489" s="10" t="n">
        <v>46451</v>
      </c>
      <c r="C489" s="22" t="n">
        <f aca="false">SUMIFS(Verbrauch!$C$9:$C$18896,Verbrauch!$A$9:$A$18896,"&gt;="&amp;A489,Verbrauch!$A$9:$A$18896,"&lt;"&amp;B489)</f>
        <v>0</v>
      </c>
      <c r="D489" s="22" t="n">
        <f aca="false">SUMIFS(Verbrauch!$C$9:$C$18896,Verbrauch!$A$9:$A$18896,"&gt;="&amp;A489,Verbrauch!$A$9:$A$18896,"&lt;"&amp;B489,Verbrauch!$F$9:$F$18896,"Go")</f>
        <v>0</v>
      </c>
      <c r="E489" s="22" t="n">
        <f aca="false">SUMIFS(Verbrauch!$C$9:$C$18896,Verbrauch!$A$9:$A$18896,"&gt;="&amp;A489,Verbrauch!$A$9:$A$18896,"&lt;"&amp;B489,Verbrauch!$F$9:$F$18896,"Standard")</f>
        <v>0</v>
      </c>
      <c r="F489" s="23" t="n">
        <f aca="false">SUMIFS(Verbrauch!$E$9:$E$18896,Verbrauch!$A$9:$A$18896,"&gt;="&amp;A489,Verbrauch!$A$9:$A$18896,"&lt;"&amp;B489)</f>
        <v>0</v>
      </c>
      <c r="G489" s="13" t="str">
        <f aca="false">IFERROR(F489/C489*100,"")</f>
        <v/>
      </c>
      <c r="H489" s="11" t="n">
        <f aca="false">COUNTIFS(Verbrauch!$A$9:$A$18896,"&gt;="&amp;A489,Verbrauch!$A$9:$A$18896,"&lt;"&amp;B489,Verbrauch!$C$9:$C$18896,"&lt;&gt;")</f>
        <v>0</v>
      </c>
    </row>
    <row r="490" customFormat="false" ht="15" hidden="false" customHeight="true" outlineLevel="0" collapsed="false">
      <c r="A490" s="10" t="n">
        <v>46451</v>
      </c>
      <c r="B490" s="10" t="n">
        <v>46452</v>
      </c>
      <c r="C490" s="22" t="n">
        <f aca="false">SUMIFS(Verbrauch!$C$9:$C$18896,Verbrauch!$A$9:$A$18896,"&gt;="&amp;A490,Verbrauch!$A$9:$A$18896,"&lt;"&amp;B490)</f>
        <v>0</v>
      </c>
      <c r="D490" s="22" t="n">
        <f aca="false">SUMIFS(Verbrauch!$C$9:$C$18896,Verbrauch!$A$9:$A$18896,"&gt;="&amp;A490,Verbrauch!$A$9:$A$18896,"&lt;"&amp;B490,Verbrauch!$F$9:$F$18896,"Go")</f>
        <v>0</v>
      </c>
      <c r="E490" s="22" t="n">
        <f aca="false">SUMIFS(Verbrauch!$C$9:$C$18896,Verbrauch!$A$9:$A$18896,"&gt;="&amp;A490,Verbrauch!$A$9:$A$18896,"&lt;"&amp;B490,Verbrauch!$F$9:$F$18896,"Standard")</f>
        <v>0</v>
      </c>
      <c r="F490" s="23" t="n">
        <f aca="false">SUMIFS(Verbrauch!$E$9:$E$18896,Verbrauch!$A$9:$A$18896,"&gt;="&amp;A490,Verbrauch!$A$9:$A$18896,"&lt;"&amp;B490)</f>
        <v>0</v>
      </c>
      <c r="G490" s="13" t="str">
        <f aca="false">IFERROR(F490/C490*100,"")</f>
        <v/>
      </c>
      <c r="H490" s="11" t="n">
        <f aca="false">COUNTIFS(Verbrauch!$A$9:$A$18896,"&gt;="&amp;A490,Verbrauch!$A$9:$A$18896,"&lt;"&amp;B490,Verbrauch!$C$9:$C$18896,"&lt;&gt;")</f>
        <v>0</v>
      </c>
    </row>
    <row r="491" customFormat="false" ht="15" hidden="false" customHeight="true" outlineLevel="0" collapsed="false">
      <c r="A491" s="10" t="n">
        <v>46452</v>
      </c>
      <c r="B491" s="10" t="n">
        <v>46453</v>
      </c>
      <c r="C491" s="22" t="n">
        <f aca="false">SUMIFS(Verbrauch!$C$9:$C$18896,Verbrauch!$A$9:$A$18896,"&gt;="&amp;A491,Verbrauch!$A$9:$A$18896,"&lt;"&amp;B491)</f>
        <v>0</v>
      </c>
      <c r="D491" s="22" t="n">
        <f aca="false">SUMIFS(Verbrauch!$C$9:$C$18896,Verbrauch!$A$9:$A$18896,"&gt;="&amp;A491,Verbrauch!$A$9:$A$18896,"&lt;"&amp;B491,Verbrauch!$F$9:$F$18896,"Go")</f>
        <v>0</v>
      </c>
      <c r="E491" s="22" t="n">
        <f aca="false">SUMIFS(Verbrauch!$C$9:$C$18896,Verbrauch!$A$9:$A$18896,"&gt;="&amp;A491,Verbrauch!$A$9:$A$18896,"&lt;"&amp;B491,Verbrauch!$F$9:$F$18896,"Standard")</f>
        <v>0</v>
      </c>
      <c r="F491" s="23" t="n">
        <f aca="false">SUMIFS(Verbrauch!$E$9:$E$18896,Verbrauch!$A$9:$A$18896,"&gt;="&amp;A491,Verbrauch!$A$9:$A$18896,"&lt;"&amp;B491)</f>
        <v>0</v>
      </c>
      <c r="G491" s="13" t="str">
        <f aca="false">IFERROR(F491/C491*100,"")</f>
        <v/>
      </c>
      <c r="H491" s="11" t="n">
        <f aca="false">COUNTIFS(Verbrauch!$A$9:$A$18896,"&gt;="&amp;A491,Verbrauch!$A$9:$A$18896,"&lt;"&amp;B491,Verbrauch!$C$9:$C$18896,"&lt;&gt;")</f>
        <v>0</v>
      </c>
    </row>
    <row r="492" customFormat="false" ht="15" hidden="false" customHeight="true" outlineLevel="0" collapsed="false">
      <c r="A492" s="10" t="n">
        <v>46453</v>
      </c>
      <c r="B492" s="10" t="n">
        <v>46454</v>
      </c>
      <c r="C492" s="22" t="n">
        <f aca="false">SUMIFS(Verbrauch!$C$9:$C$18896,Verbrauch!$A$9:$A$18896,"&gt;="&amp;A492,Verbrauch!$A$9:$A$18896,"&lt;"&amp;B492)</f>
        <v>0</v>
      </c>
      <c r="D492" s="22" t="n">
        <f aca="false">SUMIFS(Verbrauch!$C$9:$C$18896,Verbrauch!$A$9:$A$18896,"&gt;="&amp;A492,Verbrauch!$A$9:$A$18896,"&lt;"&amp;B492,Verbrauch!$F$9:$F$18896,"Go")</f>
        <v>0</v>
      </c>
      <c r="E492" s="22" t="n">
        <f aca="false">SUMIFS(Verbrauch!$C$9:$C$18896,Verbrauch!$A$9:$A$18896,"&gt;="&amp;A492,Verbrauch!$A$9:$A$18896,"&lt;"&amp;B492,Verbrauch!$F$9:$F$18896,"Standard")</f>
        <v>0</v>
      </c>
      <c r="F492" s="23" t="n">
        <f aca="false">SUMIFS(Verbrauch!$E$9:$E$18896,Verbrauch!$A$9:$A$18896,"&gt;="&amp;A492,Verbrauch!$A$9:$A$18896,"&lt;"&amp;B492)</f>
        <v>0</v>
      </c>
      <c r="G492" s="13" t="str">
        <f aca="false">IFERROR(F492/C492*100,"")</f>
        <v/>
      </c>
      <c r="H492" s="11" t="n">
        <f aca="false">COUNTIFS(Verbrauch!$A$9:$A$18896,"&gt;="&amp;A492,Verbrauch!$A$9:$A$18896,"&lt;"&amp;B492,Verbrauch!$C$9:$C$18896,"&lt;&gt;")</f>
        <v>0</v>
      </c>
    </row>
    <row r="493" customFormat="false" ht="15" hidden="false" customHeight="true" outlineLevel="0" collapsed="false">
      <c r="A493" s="10" t="n">
        <v>46454</v>
      </c>
      <c r="B493" s="10" t="n">
        <v>46455</v>
      </c>
      <c r="C493" s="22" t="n">
        <f aca="false">SUMIFS(Verbrauch!$C$9:$C$18896,Verbrauch!$A$9:$A$18896,"&gt;="&amp;A493,Verbrauch!$A$9:$A$18896,"&lt;"&amp;B493)</f>
        <v>0</v>
      </c>
      <c r="D493" s="22" t="n">
        <f aca="false">SUMIFS(Verbrauch!$C$9:$C$18896,Verbrauch!$A$9:$A$18896,"&gt;="&amp;A493,Verbrauch!$A$9:$A$18896,"&lt;"&amp;B493,Verbrauch!$F$9:$F$18896,"Go")</f>
        <v>0</v>
      </c>
      <c r="E493" s="22" t="n">
        <f aca="false">SUMIFS(Verbrauch!$C$9:$C$18896,Verbrauch!$A$9:$A$18896,"&gt;="&amp;A493,Verbrauch!$A$9:$A$18896,"&lt;"&amp;B493,Verbrauch!$F$9:$F$18896,"Standard")</f>
        <v>0</v>
      </c>
      <c r="F493" s="23" t="n">
        <f aca="false">SUMIFS(Verbrauch!$E$9:$E$18896,Verbrauch!$A$9:$A$18896,"&gt;="&amp;A493,Verbrauch!$A$9:$A$18896,"&lt;"&amp;B493)</f>
        <v>0</v>
      </c>
      <c r="G493" s="13" t="str">
        <f aca="false">IFERROR(F493/C493*100,"")</f>
        <v/>
      </c>
      <c r="H493" s="11" t="n">
        <f aca="false">COUNTIFS(Verbrauch!$A$9:$A$18896,"&gt;="&amp;A493,Verbrauch!$A$9:$A$18896,"&lt;"&amp;B493,Verbrauch!$C$9:$C$18896,"&lt;&gt;")</f>
        <v>0</v>
      </c>
    </row>
    <row r="494" customFormat="false" ht="15" hidden="false" customHeight="true" outlineLevel="0" collapsed="false">
      <c r="A494" s="10" t="n">
        <v>46455</v>
      </c>
      <c r="B494" s="10" t="n">
        <v>46456</v>
      </c>
      <c r="C494" s="22" t="n">
        <f aca="false">SUMIFS(Verbrauch!$C$9:$C$18896,Verbrauch!$A$9:$A$18896,"&gt;="&amp;A494,Verbrauch!$A$9:$A$18896,"&lt;"&amp;B494)</f>
        <v>0</v>
      </c>
      <c r="D494" s="22" t="n">
        <f aca="false">SUMIFS(Verbrauch!$C$9:$C$18896,Verbrauch!$A$9:$A$18896,"&gt;="&amp;A494,Verbrauch!$A$9:$A$18896,"&lt;"&amp;B494,Verbrauch!$F$9:$F$18896,"Go")</f>
        <v>0</v>
      </c>
      <c r="E494" s="22" t="n">
        <f aca="false">SUMIFS(Verbrauch!$C$9:$C$18896,Verbrauch!$A$9:$A$18896,"&gt;="&amp;A494,Verbrauch!$A$9:$A$18896,"&lt;"&amp;B494,Verbrauch!$F$9:$F$18896,"Standard")</f>
        <v>0</v>
      </c>
      <c r="F494" s="23" t="n">
        <f aca="false">SUMIFS(Verbrauch!$E$9:$E$18896,Verbrauch!$A$9:$A$18896,"&gt;="&amp;A494,Verbrauch!$A$9:$A$18896,"&lt;"&amp;B494)</f>
        <v>0</v>
      </c>
      <c r="G494" s="13" t="str">
        <f aca="false">IFERROR(F494/C494*100,"")</f>
        <v/>
      </c>
      <c r="H494" s="11" t="n">
        <f aca="false">COUNTIFS(Verbrauch!$A$9:$A$18896,"&gt;="&amp;A494,Verbrauch!$A$9:$A$18896,"&lt;"&amp;B494,Verbrauch!$C$9:$C$18896,"&lt;&gt;")</f>
        <v>0</v>
      </c>
    </row>
    <row r="495" customFormat="false" ht="15" hidden="false" customHeight="true" outlineLevel="0" collapsed="false">
      <c r="A495" s="10" t="n">
        <v>46456</v>
      </c>
      <c r="B495" s="10" t="n">
        <v>46457</v>
      </c>
      <c r="C495" s="22" t="n">
        <f aca="false">SUMIFS(Verbrauch!$C$9:$C$18896,Verbrauch!$A$9:$A$18896,"&gt;="&amp;A495,Verbrauch!$A$9:$A$18896,"&lt;"&amp;B495)</f>
        <v>0</v>
      </c>
      <c r="D495" s="22" t="n">
        <f aca="false">SUMIFS(Verbrauch!$C$9:$C$18896,Verbrauch!$A$9:$A$18896,"&gt;="&amp;A495,Verbrauch!$A$9:$A$18896,"&lt;"&amp;B495,Verbrauch!$F$9:$F$18896,"Go")</f>
        <v>0</v>
      </c>
      <c r="E495" s="22" t="n">
        <f aca="false">SUMIFS(Verbrauch!$C$9:$C$18896,Verbrauch!$A$9:$A$18896,"&gt;="&amp;A495,Verbrauch!$A$9:$A$18896,"&lt;"&amp;B495,Verbrauch!$F$9:$F$18896,"Standard")</f>
        <v>0</v>
      </c>
      <c r="F495" s="23" t="n">
        <f aca="false">SUMIFS(Verbrauch!$E$9:$E$18896,Verbrauch!$A$9:$A$18896,"&gt;="&amp;A495,Verbrauch!$A$9:$A$18896,"&lt;"&amp;B495)</f>
        <v>0</v>
      </c>
      <c r="G495" s="13" t="str">
        <f aca="false">IFERROR(F495/C495*100,"")</f>
        <v/>
      </c>
      <c r="H495" s="11" t="n">
        <f aca="false">COUNTIFS(Verbrauch!$A$9:$A$18896,"&gt;="&amp;A495,Verbrauch!$A$9:$A$18896,"&lt;"&amp;B495,Verbrauch!$C$9:$C$18896,"&lt;&gt;")</f>
        <v>0</v>
      </c>
    </row>
    <row r="496" customFormat="false" ht="15" hidden="false" customHeight="true" outlineLevel="0" collapsed="false">
      <c r="A496" s="10" t="n">
        <v>46457</v>
      </c>
      <c r="B496" s="10" t="n">
        <v>46458</v>
      </c>
      <c r="C496" s="22" t="n">
        <f aca="false">SUMIFS(Verbrauch!$C$9:$C$18896,Verbrauch!$A$9:$A$18896,"&gt;="&amp;A496,Verbrauch!$A$9:$A$18896,"&lt;"&amp;B496)</f>
        <v>0</v>
      </c>
      <c r="D496" s="22" t="n">
        <f aca="false">SUMIFS(Verbrauch!$C$9:$C$18896,Verbrauch!$A$9:$A$18896,"&gt;="&amp;A496,Verbrauch!$A$9:$A$18896,"&lt;"&amp;B496,Verbrauch!$F$9:$F$18896,"Go")</f>
        <v>0</v>
      </c>
      <c r="E496" s="22" t="n">
        <f aca="false">SUMIFS(Verbrauch!$C$9:$C$18896,Verbrauch!$A$9:$A$18896,"&gt;="&amp;A496,Verbrauch!$A$9:$A$18896,"&lt;"&amp;B496,Verbrauch!$F$9:$F$18896,"Standard")</f>
        <v>0</v>
      </c>
      <c r="F496" s="23" t="n">
        <f aca="false">SUMIFS(Verbrauch!$E$9:$E$18896,Verbrauch!$A$9:$A$18896,"&gt;="&amp;A496,Verbrauch!$A$9:$A$18896,"&lt;"&amp;B496)</f>
        <v>0</v>
      </c>
      <c r="G496" s="13" t="str">
        <f aca="false">IFERROR(F496/C496*100,"")</f>
        <v/>
      </c>
      <c r="H496" s="11" t="n">
        <f aca="false">COUNTIFS(Verbrauch!$A$9:$A$18896,"&gt;="&amp;A496,Verbrauch!$A$9:$A$18896,"&lt;"&amp;B496,Verbrauch!$C$9:$C$18896,"&lt;&gt;")</f>
        <v>0</v>
      </c>
    </row>
    <row r="497" customFormat="false" ht="15" hidden="false" customHeight="true" outlineLevel="0" collapsed="false">
      <c r="A497" s="10" t="n">
        <v>46458</v>
      </c>
      <c r="B497" s="10" t="n">
        <v>46459</v>
      </c>
      <c r="C497" s="22" t="n">
        <f aca="false">SUMIFS(Verbrauch!$C$9:$C$18896,Verbrauch!$A$9:$A$18896,"&gt;="&amp;A497,Verbrauch!$A$9:$A$18896,"&lt;"&amp;B497)</f>
        <v>0</v>
      </c>
      <c r="D497" s="22" t="n">
        <f aca="false">SUMIFS(Verbrauch!$C$9:$C$18896,Verbrauch!$A$9:$A$18896,"&gt;="&amp;A497,Verbrauch!$A$9:$A$18896,"&lt;"&amp;B497,Verbrauch!$F$9:$F$18896,"Go")</f>
        <v>0</v>
      </c>
      <c r="E497" s="22" t="n">
        <f aca="false">SUMIFS(Verbrauch!$C$9:$C$18896,Verbrauch!$A$9:$A$18896,"&gt;="&amp;A497,Verbrauch!$A$9:$A$18896,"&lt;"&amp;B497,Verbrauch!$F$9:$F$18896,"Standard")</f>
        <v>0</v>
      </c>
      <c r="F497" s="23" t="n">
        <f aca="false">SUMIFS(Verbrauch!$E$9:$E$18896,Verbrauch!$A$9:$A$18896,"&gt;="&amp;A497,Verbrauch!$A$9:$A$18896,"&lt;"&amp;B497)</f>
        <v>0</v>
      </c>
      <c r="G497" s="13" t="str">
        <f aca="false">IFERROR(F497/C497*100,"")</f>
        <v/>
      </c>
      <c r="H497" s="11" t="n">
        <f aca="false">COUNTIFS(Verbrauch!$A$9:$A$18896,"&gt;="&amp;A497,Verbrauch!$A$9:$A$18896,"&lt;"&amp;B497,Verbrauch!$C$9:$C$18896,"&lt;&gt;")</f>
        <v>0</v>
      </c>
    </row>
    <row r="498" customFormat="false" ht="15" hidden="false" customHeight="true" outlineLevel="0" collapsed="false">
      <c r="A498" s="10" t="n">
        <v>46459</v>
      </c>
      <c r="B498" s="10" t="n">
        <v>46460</v>
      </c>
      <c r="C498" s="22" t="n">
        <f aca="false">SUMIFS(Verbrauch!$C$9:$C$18896,Verbrauch!$A$9:$A$18896,"&gt;="&amp;A498,Verbrauch!$A$9:$A$18896,"&lt;"&amp;B498)</f>
        <v>0</v>
      </c>
      <c r="D498" s="22" t="n">
        <f aca="false">SUMIFS(Verbrauch!$C$9:$C$18896,Verbrauch!$A$9:$A$18896,"&gt;="&amp;A498,Verbrauch!$A$9:$A$18896,"&lt;"&amp;B498,Verbrauch!$F$9:$F$18896,"Go")</f>
        <v>0</v>
      </c>
      <c r="E498" s="22" t="n">
        <f aca="false">SUMIFS(Verbrauch!$C$9:$C$18896,Verbrauch!$A$9:$A$18896,"&gt;="&amp;A498,Verbrauch!$A$9:$A$18896,"&lt;"&amp;B498,Verbrauch!$F$9:$F$18896,"Standard")</f>
        <v>0</v>
      </c>
      <c r="F498" s="23" t="n">
        <f aca="false">SUMIFS(Verbrauch!$E$9:$E$18896,Verbrauch!$A$9:$A$18896,"&gt;="&amp;A498,Verbrauch!$A$9:$A$18896,"&lt;"&amp;B498)</f>
        <v>0</v>
      </c>
      <c r="G498" s="13" t="str">
        <f aca="false">IFERROR(F498/C498*100,"")</f>
        <v/>
      </c>
      <c r="H498" s="11" t="n">
        <f aca="false">COUNTIFS(Verbrauch!$A$9:$A$18896,"&gt;="&amp;A498,Verbrauch!$A$9:$A$18896,"&lt;"&amp;B498,Verbrauch!$C$9:$C$18896,"&lt;&gt;")</f>
        <v>0</v>
      </c>
    </row>
    <row r="499" customFormat="false" ht="15" hidden="false" customHeight="true" outlineLevel="0" collapsed="false">
      <c r="A499" s="10" t="n">
        <v>46460</v>
      </c>
      <c r="B499" s="10" t="n">
        <v>46461</v>
      </c>
      <c r="C499" s="22" t="n">
        <f aca="false">SUMIFS(Verbrauch!$C$9:$C$18896,Verbrauch!$A$9:$A$18896,"&gt;="&amp;A499,Verbrauch!$A$9:$A$18896,"&lt;"&amp;B499)</f>
        <v>0</v>
      </c>
      <c r="D499" s="22" t="n">
        <f aca="false">SUMIFS(Verbrauch!$C$9:$C$18896,Verbrauch!$A$9:$A$18896,"&gt;="&amp;A499,Verbrauch!$A$9:$A$18896,"&lt;"&amp;B499,Verbrauch!$F$9:$F$18896,"Go")</f>
        <v>0</v>
      </c>
      <c r="E499" s="22" t="n">
        <f aca="false">SUMIFS(Verbrauch!$C$9:$C$18896,Verbrauch!$A$9:$A$18896,"&gt;="&amp;A499,Verbrauch!$A$9:$A$18896,"&lt;"&amp;B499,Verbrauch!$F$9:$F$18896,"Standard")</f>
        <v>0</v>
      </c>
      <c r="F499" s="23" t="n">
        <f aca="false">SUMIFS(Verbrauch!$E$9:$E$18896,Verbrauch!$A$9:$A$18896,"&gt;="&amp;A499,Verbrauch!$A$9:$A$18896,"&lt;"&amp;B499)</f>
        <v>0</v>
      </c>
      <c r="G499" s="13" t="str">
        <f aca="false">IFERROR(F499/C499*100,"")</f>
        <v/>
      </c>
      <c r="H499" s="11" t="n">
        <f aca="false">COUNTIFS(Verbrauch!$A$9:$A$18896,"&gt;="&amp;A499,Verbrauch!$A$9:$A$18896,"&lt;"&amp;B499,Verbrauch!$C$9:$C$18896,"&lt;&gt;")</f>
        <v>0</v>
      </c>
    </row>
    <row r="500" customFormat="false" ht="15" hidden="false" customHeight="true" outlineLevel="0" collapsed="false">
      <c r="A500" s="10" t="n">
        <v>46461</v>
      </c>
      <c r="B500" s="10" t="n">
        <v>46462</v>
      </c>
      <c r="C500" s="22" t="n">
        <f aca="false">SUMIFS(Verbrauch!$C$9:$C$18896,Verbrauch!$A$9:$A$18896,"&gt;="&amp;A500,Verbrauch!$A$9:$A$18896,"&lt;"&amp;B500)</f>
        <v>0</v>
      </c>
      <c r="D500" s="22" t="n">
        <f aca="false">SUMIFS(Verbrauch!$C$9:$C$18896,Verbrauch!$A$9:$A$18896,"&gt;="&amp;A500,Verbrauch!$A$9:$A$18896,"&lt;"&amp;B500,Verbrauch!$F$9:$F$18896,"Go")</f>
        <v>0</v>
      </c>
      <c r="E500" s="22" t="n">
        <f aca="false">SUMIFS(Verbrauch!$C$9:$C$18896,Verbrauch!$A$9:$A$18896,"&gt;="&amp;A500,Verbrauch!$A$9:$A$18896,"&lt;"&amp;B500,Verbrauch!$F$9:$F$18896,"Standard")</f>
        <v>0</v>
      </c>
      <c r="F500" s="23" t="n">
        <f aca="false">SUMIFS(Verbrauch!$E$9:$E$18896,Verbrauch!$A$9:$A$18896,"&gt;="&amp;A500,Verbrauch!$A$9:$A$18896,"&lt;"&amp;B500)</f>
        <v>0</v>
      </c>
      <c r="G500" s="13" t="str">
        <f aca="false">IFERROR(F500/C500*100,"")</f>
        <v/>
      </c>
      <c r="H500" s="11" t="n">
        <f aca="false">COUNTIFS(Verbrauch!$A$9:$A$18896,"&gt;="&amp;A500,Verbrauch!$A$9:$A$18896,"&lt;"&amp;B500,Verbrauch!$C$9:$C$18896,"&lt;&gt;")</f>
        <v>0</v>
      </c>
    </row>
    <row r="501" customFormat="false" ht="15" hidden="false" customHeight="true" outlineLevel="0" collapsed="false">
      <c r="A501" s="10" t="n">
        <v>46462</v>
      </c>
      <c r="B501" s="10" t="n">
        <v>46463</v>
      </c>
      <c r="C501" s="22" t="n">
        <f aca="false">SUMIFS(Verbrauch!$C$9:$C$18896,Verbrauch!$A$9:$A$18896,"&gt;="&amp;A501,Verbrauch!$A$9:$A$18896,"&lt;"&amp;B501)</f>
        <v>0</v>
      </c>
      <c r="D501" s="22" t="n">
        <f aca="false">SUMIFS(Verbrauch!$C$9:$C$18896,Verbrauch!$A$9:$A$18896,"&gt;="&amp;A501,Verbrauch!$A$9:$A$18896,"&lt;"&amp;B501,Verbrauch!$F$9:$F$18896,"Go")</f>
        <v>0</v>
      </c>
      <c r="E501" s="22" t="n">
        <f aca="false">SUMIFS(Verbrauch!$C$9:$C$18896,Verbrauch!$A$9:$A$18896,"&gt;="&amp;A501,Verbrauch!$A$9:$A$18896,"&lt;"&amp;B501,Verbrauch!$F$9:$F$18896,"Standard")</f>
        <v>0</v>
      </c>
      <c r="F501" s="23" t="n">
        <f aca="false">SUMIFS(Verbrauch!$E$9:$E$18896,Verbrauch!$A$9:$A$18896,"&gt;="&amp;A501,Verbrauch!$A$9:$A$18896,"&lt;"&amp;B501)</f>
        <v>0</v>
      </c>
      <c r="G501" s="13" t="str">
        <f aca="false">IFERROR(F501/C501*100,"")</f>
        <v/>
      </c>
      <c r="H501" s="11" t="n">
        <f aca="false">COUNTIFS(Verbrauch!$A$9:$A$18896,"&gt;="&amp;A501,Verbrauch!$A$9:$A$18896,"&lt;"&amp;B501,Verbrauch!$C$9:$C$18896,"&lt;&gt;")</f>
        <v>0</v>
      </c>
    </row>
    <row r="502" customFormat="false" ht="15" hidden="false" customHeight="true" outlineLevel="0" collapsed="false">
      <c r="A502" s="10" t="n">
        <v>46463</v>
      </c>
      <c r="B502" s="10" t="n">
        <v>46464</v>
      </c>
      <c r="C502" s="22" t="n">
        <f aca="false">SUMIFS(Verbrauch!$C$9:$C$18896,Verbrauch!$A$9:$A$18896,"&gt;="&amp;A502,Verbrauch!$A$9:$A$18896,"&lt;"&amp;B502)</f>
        <v>0</v>
      </c>
      <c r="D502" s="22" t="n">
        <f aca="false">SUMIFS(Verbrauch!$C$9:$C$18896,Verbrauch!$A$9:$A$18896,"&gt;="&amp;A502,Verbrauch!$A$9:$A$18896,"&lt;"&amp;B502,Verbrauch!$F$9:$F$18896,"Go")</f>
        <v>0</v>
      </c>
      <c r="E502" s="22" t="n">
        <f aca="false">SUMIFS(Verbrauch!$C$9:$C$18896,Verbrauch!$A$9:$A$18896,"&gt;="&amp;A502,Verbrauch!$A$9:$A$18896,"&lt;"&amp;B502,Verbrauch!$F$9:$F$18896,"Standard")</f>
        <v>0</v>
      </c>
      <c r="F502" s="23" t="n">
        <f aca="false">SUMIFS(Verbrauch!$E$9:$E$18896,Verbrauch!$A$9:$A$18896,"&gt;="&amp;A502,Verbrauch!$A$9:$A$18896,"&lt;"&amp;B502)</f>
        <v>0</v>
      </c>
      <c r="G502" s="13" t="str">
        <f aca="false">IFERROR(F502/C502*100,"")</f>
        <v/>
      </c>
      <c r="H502" s="11" t="n">
        <f aca="false">COUNTIFS(Verbrauch!$A$9:$A$18896,"&gt;="&amp;A502,Verbrauch!$A$9:$A$18896,"&lt;"&amp;B502,Verbrauch!$C$9:$C$18896,"&lt;&gt;")</f>
        <v>0</v>
      </c>
    </row>
    <row r="503" customFormat="false" ht="15" hidden="false" customHeight="true" outlineLevel="0" collapsed="false">
      <c r="A503" s="10" t="n">
        <v>46464</v>
      </c>
      <c r="B503" s="10" t="n">
        <v>46465</v>
      </c>
      <c r="C503" s="22" t="n">
        <f aca="false">SUMIFS(Verbrauch!$C$9:$C$18896,Verbrauch!$A$9:$A$18896,"&gt;="&amp;A503,Verbrauch!$A$9:$A$18896,"&lt;"&amp;B503)</f>
        <v>0</v>
      </c>
      <c r="D503" s="22" t="n">
        <f aca="false">SUMIFS(Verbrauch!$C$9:$C$18896,Verbrauch!$A$9:$A$18896,"&gt;="&amp;A503,Verbrauch!$A$9:$A$18896,"&lt;"&amp;B503,Verbrauch!$F$9:$F$18896,"Go")</f>
        <v>0</v>
      </c>
      <c r="E503" s="22" t="n">
        <f aca="false">SUMIFS(Verbrauch!$C$9:$C$18896,Verbrauch!$A$9:$A$18896,"&gt;="&amp;A503,Verbrauch!$A$9:$A$18896,"&lt;"&amp;B503,Verbrauch!$F$9:$F$18896,"Standard")</f>
        <v>0</v>
      </c>
      <c r="F503" s="23" t="n">
        <f aca="false">SUMIFS(Verbrauch!$E$9:$E$18896,Verbrauch!$A$9:$A$18896,"&gt;="&amp;A503,Verbrauch!$A$9:$A$18896,"&lt;"&amp;B503)</f>
        <v>0</v>
      </c>
      <c r="G503" s="13" t="str">
        <f aca="false">IFERROR(F503/C503*100,"")</f>
        <v/>
      </c>
      <c r="H503" s="11" t="n">
        <f aca="false">COUNTIFS(Verbrauch!$A$9:$A$18896,"&gt;="&amp;A503,Verbrauch!$A$9:$A$18896,"&lt;"&amp;B503,Verbrauch!$C$9:$C$18896,"&lt;&gt;")</f>
        <v>0</v>
      </c>
    </row>
    <row r="504" customFormat="false" ht="15" hidden="false" customHeight="true" outlineLevel="0" collapsed="false">
      <c r="A504" s="10" t="n">
        <v>46465</v>
      </c>
      <c r="B504" s="10" t="n">
        <v>46466</v>
      </c>
      <c r="C504" s="22" t="n">
        <f aca="false">SUMIFS(Verbrauch!$C$9:$C$18896,Verbrauch!$A$9:$A$18896,"&gt;="&amp;A504,Verbrauch!$A$9:$A$18896,"&lt;"&amp;B504)</f>
        <v>0</v>
      </c>
      <c r="D504" s="22" t="n">
        <f aca="false">SUMIFS(Verbrauch!$C$9:$C$18896,Verbrauch!$A$9:$A$18896,"&gt;="&amp;A504,Verbrauch!$A$9:$A$18896,"&lt;"&amp;B504,Verbrauch!$F$9:$F$18896,"Go")</f>
        <v>0</v>
      </c>
      <c r="E504" s="22" t="n">
        <f aca="false">SUMIFS(Verbrauch!$C$9:$C$18896,Verbrauch!$A$9:$A$18896,"&gt;="&amp;A504,Verbrauch!$A$9:$A$18896,"&lt;"&amp;B504,Verbrauch!$F$9:$F$18896,"Standard")</f>
        <v>0</v>
      </c>
      <c r="F504" s="23" t="n">
        <f aca="false">SUMIFS(Verbrauch!$E$9:$E$18896,Verbrauch!$A$9:$A$18896,"&gt;="&amp;A504,Verbrauch!$A$9:$A$18896,"&lt;"&amp;B504)</f>
        <v>0</v>
      </c>
      <c r="G504" s="13" t="str">
        <f aca="false">IFERROR(F504/C504*100,"")</f>
        <v/>
      </c>
      <c r="H504" s="11" t="n">
        <f aca="false">COUNTIFS(Verbrauch!$A$9:$A$18896,"&gt;="&amp;A504,Verbrauch!$A$9:$A$18896,"&lt;"&amp;B504,Verbrauch!$C$9:$C$18896,"&lt;&gt;")</f>
        <v>0</v>
      </c>
    </row>
    <row r="505" customFormat="false" ht="15" hidden="false" customHeight="true" outlineLevel="0" collapsed="false">
      <c r="A505" s="10" t="n">
        <v>46466</v>
      </c>
      <c r="B505" s="10" t="n">
        <v>46467</v>
      </c>
      <c r="C505" s="22" t="n">
        <f aca="false">SUMIFS(Verbrauch!$C$9:$C$18896,Verbrauch!$A$9:$A$18896,"&gt;="&amp;A505,Verbrauch!$A$9:$A$18896,"&lt;"&amp;B505)</f>
        <v>0</v>
      </c>
      <c r="D505" s="22" t="n">
        <f aca="false">SUMIFS(Verbrauch!$C$9:$C$18896,Verbrauch!$A$9:$A$18896,"&gt;="&amp;A505,Verbrauch!$A$9:$A$18896,"&lt;"&amp;B505,Verbrauch!$F$9:$F$18896,"Go")</f>
        <v>0</v>
      </c>
      <c r="E505" s="22" t="n">
        <f aca="false">SUMIFS(Verbrauch!$C$9:$C$18896,Verbrauch!$A$9:$A$18896,"&gt;="&amp;A505,Verbrauch!$A$9:$A$18896,"&lt;"&amp;B505,Verbrauch!$F$9:$F$18896,"Standard")</f>
        <v>0</v>
      </c>
      <c r="F505" s="23" t="n">
        <f aca="false">SUMIFS(Verbrauch!$E$9:$E$18896,Verbrauch!$A$9:$A$18896,"&gt;="&amp;A505,Verbrauch!$A$9:$A$18896,"&lt;"&amp;B505)</f>
        <v>0</v>
      </c>
      <c r="G505" s="13" t="str">
        <f aca="false">IFERROR(F505/C505*100,"")</f>
        <v/>
      </c>
      <c r="H505" s="11" t="n">
        <f aca="false">COUNTIFS(Verbrauch!$A$9:$A$18896,"&gt;="&amp;A505,Verbrauch!$A$9:$A$18896,"&lt;"&amp;B505,Verbrauch!$C$9:$C$18896,"&lt;&gt;")</f>
        <v>0</v>
      </c>
    </row>
    <row r="506" customFormat="false" ht="15" hidden="false" customHeight="true" outlineLevel="0" collapsed="false">
      <c r="A506" s="10" t="n">
        <v>46467</v>
      </c>
      <c r="B506" s="10" t="n">
        <v>46468</v>
      </c>
      <c r="C506" s="22" t="n">
        <f aca="false">SUMIFS(Verbrauch!$C$9:$C$18896,Verbrauch!$A$9:$A$18896,"&gt;="&amp;A506,Verbrauch!$A$9:$A$18896,"&lt;"&amp;B506)</f>
        <v>0</v>
      </c>
      <c r="D506" s="22" t="n">
        <f aca="false">SUMIFS(Verbrauch!$C$9:$C$18896,Verbrauch!$A$9:$A$18896,"&gt;="&amp;A506,Verbrauch!$A$9:$A$18896,"&lt;"&amp;B506,Verbrauch!$F$9:$F$18896,"Go")</f>
        <v>0</v>
      </c>
      <c r="E506" s="22" t="n">
        <f aca="false">SUMIFS(Verbrauch!$C$9:$C$18896,Verbrauch!$A$9:$A$18896,"&gt;="&amp;A506,Verbrauch!$A$9:$A$18896,"&lt;"&amp;B506,Verbrauch!$F$9:$F$18896,"Standard")</f>
        <v>0</v>
      </c>
      <c r="F506" s="23" t="n">
        <f aca="false">SUMIFS(Verbrauch!$E$9:$E$18896,Verbrauch!$A$9:$A$18896,"&gt;="&amp;A506,Verbrauch!$A$9:$A$18896,"&lt;"&amp;B506)</f>
        <v>0</v>
      </c>
      <c r="G506" s="13" t="str">
        <f aca="false">IFERROR(F506/C506*100,"")</f>
        <v/>
      </c>
      <c r="H506" s="11" t="n">
        <f aca="false">COUNTIFS(Verbrauch!$A$9:$A$18896,"&gt;="&amp;A506,Verbrauch!$A$9:$A$18896,"&lt;"&amp;B506,Verbrauch!$C$9:$C$18896,"&lt;&gt;")</f>
        <v>0</v>
      </c>
    </row>
    <row r="507" customFormat="false" ht="15" hidden="false" customHeight="true" outlineLevel="0" collapsed="false">
      <c r="A507" s="10" t="n">
        <v>46468</v>
      </c>
      <c r="B507" s="10" t="n">
        <v>46469</v>
      </c>
      <c r="C507" s="22" t="n">
        <f aca="false">SUMIFS(Verbrauch!$C$9:$C$18896,Verbrauch!$A$9:$A$18896,"&gt;="&amp;A507,Verbrauch!$A$9:$A$18896,"&lt;"&amp;B507)</f>
        <v>0</v>
      </c>
      <c r="D507" s="22" t="n">
        <f aca="false">SUMIFS(Verbrauch!$C$9:$C$18896,Verbrauch!$A$9:$A$18896,"&gt;="&amp;A507,Verbrauch!$A$9:$A$18896,"&lt;"&amp;B507,Verbrauch!$F$9:$F$18896,"Go")</f>
        <v>0</v>
      </c>
      <c r="E507" s="22" t="n">
        <f aca="false">SUMIFS(Verbrauch!$C$9:$C$18896,Verbrauch!$A$9:$A$18896,"&gt;="&amp;A507,Verbrauch!$A$9:$A$18896,"&lt;"&amp;B507,Verbrauch!$F$9:$F$18896,"Standard")</f>
        <v>0</v>
      </c>
      <c r="F507" s="23" t="n">
        <f aca="false">SUMIFS(Verbrauch!$E$9:$E$18896,Verbrauch!$A$9:$A$18896,"&gt;="&amp;A507,Verbrauch!$A$9:$A$18896,"&lt;"&amp;B507)</f>
        <v>0</v>
      </c>
      <c r="G507" s="13" t="str">
        <f aca="false">IFERROR(F507/C507*100,"")</f>
        <v/>
      </c>
      <c r="H507" s="11" t="n">
        <f aca="false">COUNTIFS(Verbrauch!$A$9:$A$18896,"&gt;="&amp;A507,Verbrauch!$A$9:$A$18896,"&lt;"&amp;B507,Verbrauch!$C$9:$C$18896,"&lt;&gt;")</f>
        <v>0</v>
      </c>
    </row>
    <row r="508" customFormat="false" ht="15" hidden="false" customHeight="true" outlineLevel="0" collapsed="false">
      <c r="A508" s="10" t="n">
        <v>46469</v>
      </c>
      <c r="B508" s="10" t="n">
        <v>46470</v>
      </c>
      <c r="C508" s="22" t="n">
        <f aca="false">SUMIFS(Verbrauch!$C$9:$C$18896,Verbrauch!$A$9:$A$18896,"&gt;="&amp;A508,Verbrauch!$A$9:$A$18896,"&lt;"&amp;B508)</f>
        <v>0</v>
      </c>
      <c r="D508" s="22" t="n">
        <f aca="false">SUMIFS(Verbrauch!$C$9:$C$18896,Verbrauch!$A$9:$A$18896,"&gt;="&amp;A508,Verbrauch!$A$9:$A$18896,"&lt;"&amp;B508,Verbrauch!$F$9:$F$18896,"Go")</f>
        <v>0</v>
      </c>
      <c r="E508" s="22" t="n">
        <f aca="false">SUMIFS(Verbrauch!$C$9:$C$18896,Verbrauch!$A$9:$A$18896,"&gt;="&amp;A508,Verbrauch!$A$9:$A$18896,"&lt;"&amp;B508,Verbrauch!$F$9:$F$18896,"Standard")</f>
        <v>0</v>
      </c>
      <c r="F508" s="23" t="n">
        <f aca="false">SUMIFS(Verbrauch!$E$9:$E$18896,Verbrauch!$A$9:$A$18896,"&gt;="&amp;A508,Verbrauch!$A$9:$A$18896,"&lt;"&amp;B508)</f>
        <v>0</v>
      </c>
      <c r="G508" s="13" t="str">
        <f aca="false">IFERROR(F508/C508*100,"")</f>
        <v/>
      </c>
      <c r="H508" s="11" t="n">
        <f aca="false">COUNTIFS(Verbrauch!$A$9:$A$18896,"&gt;="&amp;A508,Verbrauch!$A$9:$A$18896,"&lt;"&amp;B508,Verbrauch!$C$9:$C$18896,"&lt;&gt;")</f>
        <v>0</v>
      </c>
    </row>
    <row r="509" customFormat="false" ht="15" hidden="false" customHeight="true" outlineLevel="0" collapsed="false">
      <c r="A509" s="10" t="n">
        <v>46470</v>
      </c>
      <c r="B509" s="10" t="n">
        <v>46471</v>
      </c>
      <c r="C509" s="22" t="n">
        <f aca="false">SUMIFS(Verbrauch!$C$9:$C$18896,Verbrauch!$A$9:$A$18896,"&gt;="&amp;A509,Verbrauch!$A$9:$A$18896,"&lt;"&amp;B509)</f>
        <v>0</v>
      </c>
      <c r="D509" s="22" t="n">
        <f aca="false">SUMIFS(Verbrauch!$C$9:$C$18896,Verbrauch!$A$9:$A$18896,"&gt;="&amp;A509,Verbrauch!$A$9:$A$18896,"&lt;"&amp;B509,Verbrauch!$F$9:$F$18896,"Go")</f>
        <v>0</v>
      </c>
      <c r="E509" s="22" t="n">
        <f aca="false">SUMIFS(Verbrauch!$C$9:$C$18896,Verbrauch!$A$9:$A$18896,"&gt;="&amp;A509,Verbrauch!$A$9:$A$18896,"&lt;"&amp;B509,Verbrauch!$F$9:$F$18896,"Standard")</f>
        <v>0</v>
      </c>
      <c r="F509" s="23" t="n">
        <f aca="false">SUMIFS(Verbrauch!$E$9:$E$18896,Verbrauch!$A$9:$A$18896,"&gt;="&amp;A509,Verbrauch!$A$9:$A$18896,"&lt;"&amp;B509)</f>
        <v>0</v>
      </c>
      <c r="G509" s="13" t="str">
        <f aca="false">IFERROR(F509/C509*100,"")</f>
        <v/>
      </c>
      <c r="H509" s="11" t="n">
        <f aca="false">COUNTIFS(Verbrauch!$A$9:$A$18896,"&gt;="&amp;A509,Verbrauch!$A$9:$A$18896,"&lt;"&amp;B509,Verbrauch!$C$9:$C$18896,"&lt;&gt;")</f>
        <v>0</v>
      </c>
    </row>
    <row r="510" customFormat="false" ht="15" hidden="false" customHeight="true" outlineLevel="0" collapsed="false">
      <c r="A510" s="10" t="n">
        <v>46471</v>
      </c>
      <c r="B510" s="10" t="n">
        <v>46472</v>
      </c>
      <c r="C510" s="22" t="n">
        <f aca="false">SUMIFS(Verbrauch!$C$9:$C$18896,Verbrauch!$A$9:$A$18896,"&gt;="&amp;A510,Verbrauch!$A$9:$A$18896,"&lt;"&amp;B510)</f>
        <v>0</v>
      </c>
      <c r="D510" s="22" t="n">
        <f aca="false">SUMIFS(Verbrauch!$C$9:$C$18896,Verbrauch!$A$9:$A$18896,"&gt;="&amp;A510,Verbrauch!$A$9:$A$18896,"&lt;"&amp;B510,Verbrauch!$F$9:$F$18896,"Go")</f>
        <v>0</v>
      </c>
      <c r="E510" s="22" t="n">
        <f aca="false">SUMIFS(Verbrauch!$C$9:$C$18896,Verbrauch!$A$9:$A$18896,"&gt;="&amp;A510,Verbrauch!$A$9:$A$18896,"&lt;"&amp;B510,Verbrauch!$F$9:$F$18896,"Standard")</f>
        <v>0</v>
      </c>
      <c r="F510" s="23" t="n">
        <f aca="false">SUMIFS(Verbrauch!$E$9:$E$18896,Verbrauch!$A$9:$A$18896,"&gt;="&amp;A510,Verbrauch!$A$9:$A$18896,"&lt;"&amp;B510)</f>
        <v>0</v>
      </c>
      <c r="G510" s="13" t="str">
        <f aca="false">IFERROR(F510/C510*100,"")</f>
        <v/>
      </c>
      <c r="H510" s="11" t="n">
        <f aca="false">COUNTIFS(Verbrauch!$A$9:$A$18896,"&gt;="&amp;A510,Verbrauch!$A$9:$A$18896,"&lt;"&amp;B510,Verbrauch!$C$9:$C$18896,"&lt;&gt;")</f>
        <v>0</v>
      </c>
    </row>
    <row r="511" customFormat="false" ht="15" hidden="false" customHeight="true" outlineLevel="0" collapsed="false">
      <c r="A511" s="10" t="n">
        <v>46472</v>
      </c>
      <c r="B511" s="10" t="n">
        <v>46473</v>
      </c>
      <c r="C511" s="22" t="n">
        <f aca="false">SUMIFS(Verbrauch!$C$9:$C$18896,Verbrauch!$A$9:$A$18896,"&gt;="&amp;A511,Verbrauch!$A$9:$A$18896,"&lt;"&amp;B511)</f>
        <v>0</v>
      </c>
      <c r="D511" s="22" t="n">
        <f aca="false">SUMIFS(Verbrauch!$C$9:$C$18896,Verbrauch!$A$9:$A$18896,"&gt;="&amp;A511,Verbrauch!$A$9:$A$18896,"&lt;"&amp;B511,Verbrauch!$F$9:$F$18896,"Go")</f>
        <v>0</v>
      </c>
      <c r="E511" s="22" t="n">
        <f aca="false">SUMIFS(Verbrauch!$C$9:$C$18896,Verbrauch!$A$9:$A$18896,"&gt;="&amp;A511,Verbrauch!$A$9:$A$18896,"&lt;"&amp;B511,Verbrauch!$F$9:$F$18896,"Standard")</f>
        <v>0</v>
      </c>
      <c r="F511" s="23" t="n">
        <f aca="false">SUMIFS(Verbrauch!$E$9:$E$18896,Verbrauch!$A$9:$A$18896,"&gt;="&amp;A511,Verbrauch!$A$9:$A$18896,"&lt;"&amp;B511)</f>
        <v>0</v>
      </c>
      <c r="G511" s="13" t="str">
        <f aca="false">IFERROR(F511/C511*100,"")</f>
        <v/>
      </c>
      <c r="H511" s="11" t="n">
        <f aca="false">COUNTIFS(Verbrauch!$A$9:$A$18896,"&gt;="&amp;A511,Verbrauch!$A$9:$A$18896,"&lt;"&amp;B511,Verbrauch!$C$9:$C$18896,"&lt;&gt;")</f>
        <v>0</v>
      </c>
    </row>
    <row r="512" customFormat="false" ht="15" hidden="false" customHeight="true" outlineLevel="0" collapsed="false">
      <c r="A512" s="10" t="n">
        <v>46473</v>
      </c>
      <c r="B512" s="10" t="n">
        <v>46474</v>
      </c>
      <c r="C512" s="22" t="n">
        <f aca="false">SUMIFS(Verbrauch!$C$9:$C$18896,Verbrauch!$A$9:$A$18896,"&gt;="&amp;A512,Verbrauch!$A$9:$A$18896,"&lt;"&amp;B512)</f>
        <v>0</v>
      </c>
      <c r="D512" s="22" t="n">
        <f aca="false">SUMIFS(Verbrauch!$C$9:$C$18896,Verbrauch!$A$9:$A$18896,"&gt;="&amp;A512,Verbrauch!$A$9:$A$18896,"&lt;"&amp;B512,Verbrauch!$F$9:$F$18896,"Go")</f>
        <v>0</v>
      </c>
      <c r="E512" s="22" t="n">
        <f aca="false">SUMIFS(Verbrauch!$C$9:$C$18896,Verbrauch!$A$9:$A$18896,"&gt;="&amp;A512,Verbrauch!$A$9:$A$18896,"&lt;"&amp;B512,Verbrauch!$F$9:$F$18896,"Standard")</f>
        <v>0</v>
      </c>
      <c r="F512" s="23" t="n">
        <f aca="false">SUMIFS(Verbrauch!$E$9:$E$18896,Verbrauch!$A$9:$A$18896,"&gt;="&amp;A512,Verbrauch!$A$9:$A$18896,"&lt;"&amp;B512)</f>
        <v>0</v>
      </c>
      <c r="G512" s="13" t="str">
        <f aca="false">IFERROR(F512/C512*100,"")</f>
        <v/>
      </c>
      <c r="H512" s="11" t="n">
        <f aca="false">COUNTIFS(Verbrauch!$A$9:$A$18896,"&gt;="&amp;A512,Verbrauch!$A$9:$A$18896,"&lt;"&amp;B512,Verbrauch!$C$9:$C$18896,"&lt;&gt;")</f>
        <v>0</v>
      </c>
    </row>
    <row r="513" customFormat="false" ht="15" hidden="false" customHeight="true" outlineLevel="0" collapsed="false">
      <c r="A513" s="10" t="n">
        <v>46474</v>
      </c>
      <c r="B513" s="10" t="n">
        <v>46475</v>
      </c>
      <c r="C513" s="22" t="n">
        <f aca="false">SUMIFS(Verbrauch!$C$9:$C$18896,Verbrauch!$A$9:$A$18896,"&gt;="&amp;A513,Verbrauch!$A$9:$A$18896,"&lt;"&amp;B513)</f>
        <v>0</v>
      </c>
      <c r="D513" s="22" t="n">
        <f aca="false">SUMIFS(Verbrauch!$C$9:$C$18896,Verbrauch!$A$9:$A$18896,"&gt;="&amp;A513,Verbrauch!$A$9:$A$18896,"&lt;"&amp;B513,Verbrauch!$F$9:$F$18896,"Go")</f>
        <v>0</v>
      </c>
      <c r="E513" s="22" t="n">
        <f aca="false">SUMIFS(Verbrauch!$C$9:$C$18896,Verbrauch!$A$9:$A$18896,"&gt;="&amp;A513,Verbrauch!$A$9:$A$18896,"&lt;"&amp;B513,Verbrauch!$F$9:$F$18896,"Standard")</f>
        <v>0</v>
      </c>
      <c r="F513" s="23" t="n">
        <f aca="false">SUMIFS(Verbrauch!$E$9:$E$18896,Verbrauch!$A$9:$A$18896,"&gt;="&amp;A513,Verbrauch!$A$9:$A$18896,"&lt;"&amp;B513)</f>
        <v>0</v>
      </c>
      <c r="G513" s="13" t="str">
        <f aca="false">IFERROR(F513/C513*100,"")</f>
        <v/>
      </c>
      <c r="H513" s="11" t="n">
        <f aca="false">COUNTIFS(Verbrauch!$A$9:$A$18896,"&gt;="&amp;A513,Verbrauch!$A$9:$A$18896,"&lt;"&amp;B513,Verbrauch!$C$9:$C$18896,"&lt;&gt;")</f>
        <v>0</v>
      </c>
    </row>
    <row r="514" customFormat="false" ht="15" hidden="false" customHeight="true" outlineLevel="0" collapsed="false">
      <c r="A514" s="10" t="n">
        <v>46475</v>
      </c>
      <c r="B514" s="10" t="n">
        <v>46476</v>
      </c>
      <c r="C514" s="22" t="n">
        <f aca="false">SUMIFS(Verbrauch!$C$9:$C$18896,Verbrauch!$A$9:$A$18896,"&gt;="&amp;A514,Verbrauch!$A$9:$A$18896,"&lt;"&amp;B514)</f>
        <v>0</v>
      </c>
      <c r="D514" s="22" t="n">
        <f aca="false">SUMIFS(Verbrauch!$C$9:$C$18896,Verbrauch!$A$9:$A$18896,"&gt;="&amp;A514,Verbrauch!$A$9:$A$18896,"&lt;"&amp;B514,Verbrauch!$F$9:$F$18896,"Go")</f>
        <v>0</v>
      </c>
      <c r="E514" s="22" t="n">
        <f aca="false">SUMIFS(Verbrauch!$C$9:$C$18896,Verbrauch!$A$9:$A$18896,"&gt;="&amp;A514,Verbrauch!$A$9:$A$18896,"&lt;"&amp;B514,Verbrauch!$F$9:$F$18896,"Standard")</f>
        <v>0</v>
      </c>
      <c r="F514" s="23" t="n">
        <f aca="false">SUMIFS(Verbrauch!$E$9:$E$18896,Verbrauch!$A$9:$A$18896,"&gt;="&amp;A514,Verbrauch!$A$9:$A$18896,"&lt;"&amp;B514)</f>
        <v>0</v>
      </c>
      <c r="G514" s="13" t="str">
        <f aca="false">IFERROR(F514/C514*100,"")</f>
        <v/>
      </c>
      <c r="H514" s="11" t="n">
        <f aca="false">COUNTIFS(Verbrauch!$A$9:$A$18896,"&gt;="&amp;A514,Verbrauch!$A$9:$A$18896,"&lt;"&amp;B514,Verbrauch!$C$9:$C$18896,"&lt;&gt;")</f>
        <v>0</v>
      </c>
    </row>
    <row r="515" customFormat="false" ht="15" hidden="false" customHeight="true" outlineLevel="0" collapsed="false">
      <c r="A515" s="10" t="n">
        <v>46476</v>
      </c>
      <c r="B515" s="10" t="n">
        <v>46477</v>
      </c>
      <c r="C515" s="22" t="n">
        <f aca="false">SUMIFS(Verbrauch!$C$9:$C$18896,Verbrauch!$A$9:$A$18896,"&gt;="&amp;A515,Verbrauch!$A$9:$A$18896,"&lt;"&amp;B515)</f>
        <v>0</v>
      </c>
      <c r="D515" s="22" t="n">
        <f aca="false">SUMIFS(Verbrauch!$C$9:$C$18896,Verbrauch!$A$9:$A$18896,"&gt;="&amp;A515,Verbrauch!$A$9:$A$18896,"&lt;"&amp;B515,Verbrauch!$F$9:$F$18896,"Go")</f>
        <v>0</v>
      </c>
      <c r="E515" s="22" t="n">
        <f aca="false">SUMIFS(Verbrauch!$C$9:$C$18896,Verbrauch!$A$9:$A$18896,"&gt;="&amp;A515,Verbrauch!$A$9:$A$18896,"&lt;"&amp;B515,Verbrauch!$F$9:$F$18896,"Standard")</f>
        <v>0</v>
      </c>
      <c r="F515" s="23" t="n">
        <f aca="false">SUMIFS(Verbrauch!$E$9:$E$18896,Verbrauch!$A$9:$A$18896,"&gt;="&amp;A515,Verbrauch!$A$9:$A$18896,"&lt;"&amp;B515)</f>
        <v>0</v>
      </c>
      <c r="G515" s="13" t="str">
        <f aca="false">IFERROR(F515/C515*100,"")</f>
        <v/>
      </c>
      <c r="H515" s="11" t="n">
        <f aca="false">COUNTIFS(Verbrauch!$A$9:$A$18896,"&gt;="&amp;A515,Verbrauch!$A$9:$A$18896,"&lt;"&amp;B515,Verbrauch!$C$9:$C$18896,"&lt;&gt;")</f>
        <v>0</v>
      </c>
    </row>
    <row r="516" customFormat="false" ht="15" hidden="false" customHeight="true" outlineLevel="0" collapsed="false">
      <c r="A516" s="10" t="n">
        <v>46477</v>
      </c>
      <c r="B516" s="10" t="n">
        <v>46478</v>
      </c>
      <c r="C516" s="22" t="n">
        <f aca="false">SUMIFS(Verbrauch!$C$9:$C$18896,Verbrauch!$A$9:$A$18896,"&gt;="&amp;A516,Verbrauch!$A$9:$A$18896,"&lt;"&amp;B516)</f>
        <v>0</v>
      </c>
      <c r="D516" s="22" t="n">
        <f aca="false">SUMIFS(Verbrauch!$C$9:$C$18896,Verbrauch!$A$9:$A$18896,"&gt;="&amp;A516,Verbrauch!$A$9:$A$18896,"&lt;"&amp;B516,Verbrauch!$F$9:$F$18896,"Go")</f>
        <v>0</v>
      </c>
      <c r="E516" s="22" t="n">
        <f aca="false">SUMIFS(Verbrauch!$C$9:$C$18896,Verbrauch!$A$9:$A$18896,"&gt;="&amp;A516,Verbrauch!$A$9:$A$18896,"&lt;"&amp;B516,Verbrauch!$F$9:$F$18896,"Standard")</f>
        <v>0</v>
      </c>
      <c r="F516" s="23" t="n">
        <f aca="false">SUMIFS(Verbrauch!$E$9:$E$18896,Verbrauch!$A$9:$A$18896,"&gt;="&amp;A516,Verbrauch!$A$9:$A$18896,"&lt;"&amp;B516)</f>
        <v>0</v>
      </c>
      <c r="G516" s="13" t="str">
        <f aca="false">IFERROR(F516/C516*100,"")</f>
        <v/>
      </c>
      <c r="H516" s="11" t="n">
        <f aca="false">COUNTIFS(Verbrauch!$A$9:$A$18896,"&gt;="&amp;A516,Verbrauch!$A$9:$A$18896,"&lt;"&amp;B516,Verbrauch!$C$9:$C$18896,"&lt;&gt;")</f>
        <v>0</v>
      </c>
    </row>
    <row r="517" customFormat="false" ht="15" hidden="false" customHeight="true" outlineLevel="0" collapsed="false">
      <c r="A517" s="10" t="n">
        <v>46478</v>
      </c>
      <c r="B517" s="10" t="n">
        <v>46479</v>
      </c>
      <c r="C517" s="22" t="n">
        <f aca="false">SUMIFS(Verbrauch!$C$9:$C$18896,Verbrauch!$A$9:$A$18896,"&gt;="&amp;A517,Verbrauch!$A$9:$A$18896,"&lt;"&amp;B517)</f>
        <v>0</v>
      </c>
      <c r="D517" s="22" t="n">
        <f aca="false">SUMIFS(Verbrauch!$C$9:$C$18896,Verbrauch!$A$9:$A$18896,"&gt;="&amp;A517,Verbrauch!$A$9:$A$18896,"&lt;"&amp;B517,Verbrauch!$F$9:$F$18896,"Go")</f>
        <v>0</v>
      </c>
      <c r="E517" s="22" t="n">
        <f aca="false">SUMIFS(Verbrauch!$C$9:$C$18896,Verbrauch!$A$9:$A$18896,"&gt;="&amp;A517,Verbrauch!$A$9:$A$18896,"&lt;"&amp;B517,Verbrauch!$F$9:$F$18896,"Standard")</f>
        <v>0</v>
      </c>
      <c r="F517" s="23" t="n">
        <f aca="false">SUMIFS(Verbrauch!$E$9:$E$18896,Verbrauch!$A$9:$A$18896,"&gt;="&amp;A517,Verbrauch!$A$9:$A$18896,"&lt;"&amp;B517)</f>
        <v>0</v>
      </c>
      <c r="G517" s="13" t="str">
        <f aca="false">IFERROR(F517/C517*100,"")</f>
        <v/>
      </c>
      <c r="H517" s="11" t="n">
        <f aca="false">COUNTIFS(Verbrauch!$A$9:$A$18896,"&gt;="&amp;A517,Verbrauch!$A$9:$A$18896,"&lt;"&amp;B517,Verbrauch!$C$9:$C$18896,"&lt;&gt;")</f>
        <v>0</v>
      </c>
    </row>
    <row r="518" customFormat="false" ht="15" hidden="false" customHeight="true" outlineLevel="0" collapsed="false">
      <c r="A518" s="10" t="n">
        <v>46479</v>
      </c>
      <c r="B518" s="10" t="n">
        <v>46480</v>
      </c>
      <c r="C518" s="22" t="n">
        <f aca="false">SUMIFS(Verbrauch!$C$9:$C$18896,Verbrauch!$A$9:$A$18896,"&gt;="&amp;A518,Verbrauch!$A$9:$A$18896,"&lt;"&amp;B518)</f>
        <v>0</v>
      </c>
      <c r="D518" s="22" t="n">
        <f aca="false">SUMIFS(Verbrauch!$C$9:$C$18896,Verbrauch!$A$9:$A$18896,"&gt;="&amp;A518,Verbrauch!$A$9:$A$18896,"&lt;"&amp;B518,Verbrauch!$F$9:$F$18896,"Go")</f>
        <v>0</v>
      </c>
      <c r="E518" s="22" t="n">
        <f aca="false">SUMIFS(Verbrauch!$C$9:$C$18896,Verbrauch!$A$9:$A$18896,"&gt;="&amp;A518,Verbrauch!$A$9:$A$18896,"&lt;"&amp;B518,Verbrauch!$F$9:$F$18896,"Standard")</f>
        <v>0</v>
      </c>
      <c r="F518" s="23" t="n">
        <f aca="false">SUMIFS(Verbrauch!$E$9:$E$18896,Verbrauch!$A$9:$A$18896,"&gt;="&amp;A518,Verbrauch!$A$9:$A$18896,"&lt;"&amp;B518)</f>
        <v>0</v>
      </c>
      <c r="G518" s="13" t="str">
        <f aca="false">IFERROR(F518/C518*100,"")</f>
        <v/>
      </c>
      <c r="H518" s="11" t="n">
        <f aca="false">COUNTIFS(Verbrauch!$A$9:$A$18896,"&gt;="&amp;A518,Verbrauch!$A$9:$A$18896,"&lt;"&amp;B518,Verbrauch!$C$9:$C$18896,"&lt;&gt;")</f>
        <v>0</v>
      </c>
    </row>
    <row r="519" customFormat="false" ht="15" hidden="false" customHeight="true" outlineLevel="0" collapsed="false">
      <c r="A519" s="10" t="n">
        <v>46480</v>
      </c>
      <c r="B519" s="10" t="n">
        <v>46481</v>
      </c>
      <c r="C519" s="22" t="n">
        <f aca="false">SUMIFS(Verbrauch!$C$9:$C$18896,Verbrauch!$A$9:$A$18896,"&gt;="&amp;A519,Verbrauch!$A$9:$A$18896,"&lt;"&amp;B519)</f>
        <v>0</v>
      </c>
      <c r="D519" s="22" t="n">
        <f aca="false">SUMIFS(Verbrauch!$C$9:$C$18896,Verbrauch!$A$9:$A$18896,"&gt;="&amp;A519,Verbrauch!$A$9:$A$18896,"&lt;"&amp;B519,Verbrauch!$F$9:$F$18896,"Go")</f>
        <v>0</v>
      </c>
      <c r="E519" s="22" t="n">
        <f aca="false">SUMIFS(Verbrauch!$C$9:$C$18896,Verbrauch!$A$9:$A$18896,"&gt;="&amp;A519,Verbrauch!$A$9:$A$18896,"&lt;"&amp;B519,Verbrauch!$F$9:$F$18896,"Standard")</f>
        <v>0</v>
      </c>
      <c r="F519" s="23" t="n">
        <f aca="false">SUMIFS(Verbrauch!$E$9:$E$18896,Verbrauch!$A$9:$A$18896,"&gt;="&amp;A519,Verbrauch!$A$9:$A$18896,"&lt;"&amp;B519)</f>
        <v>0</v>
      </c>
      <c r="G519" s="13" t="str">
        <f aca="false">IFERROR(F519/C519*100,"")</f>
        <v/>
      </c>
      <c r="H519" s="11" t="n">
        <f aca="false">COUNTIFS(Verbrauch!$A$9:$A$18896,"&gt;="&amp;A519,Verbrauch!$A$9:$A$18896,"&lt;"&amp;B519,Verbrauch!$C$9:$C$18896,"&lt;&gt;")</f>
        <v>0</v>
      </c>
    </row>
    <row r="520" customFormat="false" ht="15" hidden="false" customHeight="true" outlineLevel="0" collapsed="false">
      <c r="A520" s="10" t="n">
        <v>46481</v>
      </c>
      <c r="B520" s="10" t="n">
        <v>46482</v>
      </c>
      <c r="C520" s="22" t="n">
        <f aca="false">SUMIFS(Verbrauch!$C$9:$C$18896,Verbrauch!$A$9:$A$18896,"&gt;="&amp;A520,Verbrauch!$A$9:$A$18896,"&lt;"&amp;B520)</f>
        <v>0</v>
      </c>
      <c r="D520" s="22" t="n">
        <f aca="false">SUMIFS(Verbrauch!$C$9:$C$18896,Verbrauch!$A$9:$A$18896,"&gt;="&amp;A520,Verbrauch!$A$9:$A$18896,"&lt;"&amp;B520,Verbrauch!$F$9:$F$18896,"Go")</f>
        <v>0</v>
      </c>
      <c r="E520" s="22" t="n">
        <f aca="false">SUMIFS(Verbrauch!$C$9:$C$18896,Verbrauch!$A$9:$A$18896,"&gt;="&amp;A520,Verbrauch!$A$9:$A$18896,"&lt;"&amp;B520,Verbrauch!$F$9:$F$18896,"Standard")</f>
        <v>0</v>
      </c>
      <c r="F520" s="23" t="n">
        <f aca="false">SUMIFS(Verbrauch!$E$9:$E$18896,Verbrauch!$A$9:$A$18896,"&gt;="&amp;A520,Verbrauch!$A$9:$A$18896,"&lt;"&amp;B520)</f>
        <v>0</v>
      </c>
      <c r="G520" s="13" t="str">
        <f aca="false">IFERROR(F520/C520*100,"")</f>
        <v/>
      </c>
      <c r="H520" s="11" t="n">
        <f aca="false">COUNTIFS(Verbrauch!$A$9:$A$18896,"&gt;="&amp;A520,Verbrauch!$A$9:$A$18896,"&lt;"&amp;B520,Verbrauch!$C$9:$C$18896,"&lt;&gt;")</f>
        <v>0</v>
      </c>
    </row>
    <row r="521" customFormat="false" ht="15" hidden="false" customHeight="true" outlineLevel="0" collapsed="false">
      <c r="A521" s="10" t="n">
        <v>46482</v>
      </c>
      <c r="B521" s="10" t="n">
        <v>46483</v>
      </c>
      <c r="C521" s="22" t="n">
        <f aca="false">SUMIFS(Verbrauch!$C$9:$C$18896,Verbrauch!$A$9:$A$18896,"&gt;="&amp;A521,Verbrauch!$A$9:$A$18896,"&lt;"&amp;B521)</f>
        <v>0</v>
      </c>
      <c r="D521" s="22" t="n">
        <f aca="false">SUMIFS(Verbrauch!$C$9:$C$18896,Verbrauch!$A$9:$A$18896,"&gt;="&amp;A521,Verbrauch!$A$9:$A$18896,"&lt;"&amp;B521,Verbrauch!$F$9:$F$18896,"Go")</f>
        <v>0</v>
      </c>
      <c r="E521" s="22" t="n">
        <f aca="false">SUMIFS(Verbrauch!$C$9:$C$18896,Verbrauch!$A$9:$A$18896,"&gt;="&amp;A521,Verbrauch!$A$9:$A$18896,"&lt;"&amp;B521,Verbrauch!$F$9:$F$18896,"Standard")</f>
        <v>0</v>
      </c>
      <c r="F521" s="23" t="n">
        <f aca="false">SUMIFS(Verbrauch!$E$9:$E$18896,Verbrauch!$A$9:$A$18896,"&gt;="&amp;A521,Verbrauch!$A$9:$A$18896,"&lt;"&amp;B521)</f>
        <v>0</v>
      </c>
      <c r="G521" s="13" t="str">
        <f aca="false">IFERROR(F521/C521*100,"")</f>
        <v/>
      </c>
      <c r="H521" s="11" t="n">
        <f aca="false">COUNTIFS(Verbrauch!$A$9:$A$18896,"&gt;="&amp;A521,Verbrauch!$A$9:$A$18896,"&lt;"&amp;B521,Verbrauch!$C$9:$C$18896,"&lt;&gt;")</f>
        <v>0</v>
      </c>
    </row>
    <row r="522" customFormat="false" ht="15" hidden="false" customHeight="true" outlineLevel="0" collapsed="false">
      <c r="A522" s="10" t="n">
        <v>46483</v>
      </c>
      <c r="B522" s="10" t="n">
        <v>46484</v>
      </c>
      <c r="C522" s="22" t="n">
        <f aca="false">SUMIFS(Verbrauch!$C$9:$C$18896,Verbrauch!$A$9:$A$18896,"&gt;="&amp;A522,Verbrauch!$A$9:$A$18896,"&lt;"&amp;B522)</f>
        <v>0</v>
      </c>
      <c r="D522" s="22" t="n">
        <f aca="false">SUMIFS(Verbrauch!$C$9:$C$18896,Verbrauch!$A$9:$A$18896,"&gt;="&amp;A522,Verbrauch!$A$9:$A$18896,"&lt;"&amp;B522,Verbrauch!$F$9:$F$18896,"Go")</f>
        <v>0</v>
      </c>
      <c r="E522" s="22" t="n">
        <f aca="false">SUMIFS(Verbrauch!$C$9:$C$18896,Verbrauch!$A$9:$A$18896,"&gt;="&amp;A522,Verbrauch!$A$9:$A$18896,"&lt;"&amp;B522,Verbrauch!$F$9:$F$18896,"Standard")</f>
        <v>0</v>
      </c>
      <c r="F522" s="23" t="n">
        <f aca="false">SUMIFS(Verbrauch!$E$9:$E$18896,Verbrauch!$A$9:$A$18896,"&gt;="&amp;A522,Verbrauch!$A$9:$A$18896,"&lt;"&amp;B522)</f>
        <v>0</v>
      </c>
      <c r="G522" s="13" t="str">
        <f aca="false">IFERROR(F522/C522*100,"")</f>
        <v/>
      </c>
      <c r="H522" s="11" t="n">
        <f aca="false">COUNTIFS(Verbrauch!$A$9:$A$18896,"&gt;="&amp;A522,Verbrauch!$A$9:$A$18896,"&lt;"&amp;B522,Verbrauch!$C$9:$C$18896,"&lt;&gt;")</f>
        <v>0</v>
      </c>
    </row>
    <row r="523" customFormat="false" ht="15" hidden="false" customHeight="true" outlineLevel="0" collapsed="false">
      <c r="A523" s="10" t="n">
        <v>46484</v>
      </c>
      <c r="B523" s="10" t="n">
        <v>46485</v>
      </c>
      <c r="C523" s="22" t="n">
        <f aca="false">SUMIFS(Verbrauch!$C$9:$C$18896,Verbrauch!$A$9:$A$18896,"&gt;="&amp;A523,Verbrauch!$A$9:$A$18896,"&lt;"&amp;B523)</f>
        <v>0</v>
      </c>
      <c r="D523" s="22" t="n">
        <f aca="false">SUMIFS(Verbrauch!$C$9:$C$18896,Verbrauch!$A$9:$A$18896,"&gt;="&amp;A523,Verbrauch!$A$9:$A$18896,"&lt;"&amp;B523,Verbrauch!$F$9:$F$18896,"Go")</f>
        <v>0</v>
      </c>
      <c r="E523" s="22" t="n">
        <f aca="false">SUMIFS(Verbrauch!$C$9:$C$18896,Verbrauch!$A$9:$A$18896,"&gt;="&amp;A523,Verbrauch!$A$9:$A$18896,"&lt;"&amp;B523,Verbrauch!$F$9:$F$18896,"Standard")</f>
        <v>0</v>
      </c>
      <c r="F523" s="23" t="n">
        <f aca="false">SUMIFS(Verbrauch!$E$9:$E$18896,Verbrauch!$A$9:$A$18896,"&gt;="&amp;A523,Verbrauch!$A$9:$A$18896,"&lt;"&amp;B523)</f>
        <v>0</v>
      </c>
      <c r="G523" s="13" t="str">
        <f aca="false">IFERROR(F523/C523*100,"")</f>
        <v/>
      </c>
      <c r="H523" s="11" t="n">
        <f aca="false">COUNTIFS(Verbrauch!$A$9:$A$18896,"&gt;="&amp;A523,Verbrauch!$A$9:$A$18896,"&lt;"&amp;B523,Verbrauch!$C$9:$C$18896,"&lt;&gt;")</f>
        <v>0</v>
      </c>
    </row>
    <row r="524" customFormat="false" ht="15" hidden="false" customHeight="true" outlineLevel="0" collapsed="false">
      <c r="A524" s="10" t="n">
        <v>46485</v>
      </c>
      <c r="B524" s="10" t="n">
        <v>46486</v>
      </c>
      <c r="C524" s="22" t="n">
        <f aca="false">SUMIFS(Verbrauch!$C$9:$C$18896,Verbrauch!$A$9:$A$18896,"&gt;="&amp;A524,Verbrauch!$A$9:$A$18896,"&lt;"&amp;B524)</f>
        <v>0</v>
      </c>
      <c r="D524" s="22" t="n">
        <f aca="false">SUMIFS(Verbrauch!$C$9:$C$18896,Verbrauch!$A$9:$A$18896,"&gt;="&amp;A524,Verbrauch!$A$9:$A$18896,"&lt;"&amp;B524,Verbrauch!$F$9:$F$18896,"Go")</f>
        <v>0</v>
      </c>
      <c r="E524" s="22" t="n">
        <f aca="false">SUMIFS(Verbrauch!$C$9:$C$18896,Verbrauch!$A$9:$A$18896,"&gt;="&amp;A524,Verbrauch!$A$9:$A$18896,"&lt;"&amp;B524,Verbrauch!$F$9:$F$18896,"Standard")</f>
        <v>0</v>
      </c>
      <c r="F524" s="23" t="n">
        <f aca="false">SUMIFS(Verbrauch!$E$9:$E$18896,Verbrauch!$A$9:$A$18896,"&gt;="&amp;A524,Verbrauch!$A$9:$A$18896,"&lt;"&amp;B524)</f>
        <v>0</v>
      </c>
      <c r="G524" s="13" t="str">
        <f aca="false">IFERROR(F524/C524*100,"")</f>
        <v/>
      </c>
      <c r="H524" s="11" t="n">
        <f aca="false">COUNTIFS(Verbrauch!$A$9:$A$18896,"&gt;="&amp;A524,Verbrauch!$A$9:$A$18896,"&lt;"&amp;B524,Verbrauch!$C$9:$C$18896,"&lt;&gt;")</f>
        <v>0</v>
      </c>
    </row>
    <row r="525" customFormat="false" ht="15" hidden="false" customHeight="true" outlineLevel="0" collapsed="false">
      <c r="A525" s="10" t="n">
        <v>46486</v>
      </c>
      <c r="B525" s="10" t="n">
        <v>46487</v>
      </c>
      <c r="C525" s="22" t="n">
        <f aca="false">SUMIFS(Verbrauch!$C$9:$C$18896,Verbrauch!$A$9:$A$18896,"&gt;="&amp;A525,Verbrauch!$A$9:$A$18896,"&lt;"&amp;B525)</f>
        <v>0</v>
      </c>
      <c r="D525" s="22" t="n">
        <f aca="false">SUMIFS(Verbrauch!$C$9:$C$18896,Verbrauch!$A$9:$A$18896,"&gt;="&amp;A525,Verbrauch!$A$9:$A$18896,"&lt;"&amp;B525,Verbrauch!$F$9:$F$18896,"Go")</f>
        <v>0</v>
      </c>
      <c r="E525" s="22" t="n">
        <f aca="false">SUMIFS(Verbrauch!$C$9:$C$18896,Verbrauch!$A$9:$A$18896,"&gt;="&amp;A525,Verbrauch!$A$9:$A$18896,"&lt;"&amp;B525,Verbrauch!$F$9:$F$18896,"Standard")</f>
        <v>0</v>
      </c>
      <c r="F525" s="23" t="n">
        <f aca="false">SUMIFS(Verbrauch!$E$9:$E$18896,Verbrauch!$A$9:$A$18896,"&gt;="&amp;A525,Verbrauch!$A$9:$A$18896,"&lt;"&amp;B525)</f>
        <v>0</v>
      </c>
      <c r="G525" s="13" t="str">
        <f aca="false">IFERROR(F525/C525*100,"")</f>
        <v/>
      </c>
      <c r="H525" s="11" t="n">
        <f aca="false">COUNTIFS(Verbrauch!$A$9:$A$18896,"&gt;="&amp;A525,Verbrauch!$A$9:$A$18896,"&lt;"&amp;B525,Verbrauch!$C$9:$C$18896,"&lt;&gt;")</f>
        <v>0</v>
      </c>
    </row>
    <row r="526" customFormat="false" ht="15" hidden="false" customHeight="true" outlineLevel="0" collapsed="false">
      <c r="A526" s="10" t="n">
        <v>46487</v>
      </c>
      <c r="B526" s="10" t="n">
        <v>46488</v>
      </c>
      <c r="C526" s="22" t="n">
        <f aca="false">SUMIFS(Verbrauch!$C$9:$C$18896,Verbrauch!$A$9:$A$18896,"&gt;="&amp;A526,Verbrauch!$A$9:$A$18896,"&lt;"&amp;B526)</f>
        <v>0</v>
      </c>
      <c r="D526" s="22" t="n">
        <f aca="false">SUMIFS(Verbrauch!$C$9:$C$18896,Verbrauch!$A$9:$A$18896,"&gt;="&amp;A526,Verbrauch!$A$9:$A$18896,"&lt;"&amp;B526,Verbrauch!$F$9:$F$18896,"Go")</f>
        <v>0</v>
      </c>
      <c r="E526" s="22" t="n">
        <f aca="false">SUMIFS(Verbrauch!$C$9:$C$18896,Verbrauch!$A$9:$A$18896,"&gt;="&amp;A526,Verbrauch!$A$9:$A$18896,"&lt;"&amp;B526,Verbrauch!$F$9:$F$18896,"Standard")</f>
        <v>0</v>
      </c>
      <c r="F526" s="23" t="n">
        <f aca="false">SUMIFS(Verbrauch!$E$9:$E$18896,Verbrauch!$A$9:$A$18896,"&gt;="&amp;A526,Verbrauch!$A$9:$A$18896,"&lt;"&amp;B526)</f>
        <v>0</v>
      </c>
      <c r="G526" s="13" t="str">
        <f aca="false">IFERROR(F526/C526*100,"")</f>
        <v/>
      </c>
      <c r="H526" s="11" t="n">
        <f aca="false">COUNTIFS(Verbrauch!$A$9:$A$18896,"&gt;="&amp;A526,Verbrauch!$A$9:$A$18896,"&lt;"&amp;B526,Verbrauch!$C$9:$C$18896,"&lt;&gt;")</f>
        <v>0</v>
      </c>
    </row>
    <row r="527" customFormat="false" ht="15" hidden="false" customHeight="true" outlineLevel="0" collapsed="false">
      <c r="A527" s="10" t="n">
        <v>46488</v>
      </c>
      <c r="B527" s="10" t="n">
        <v>46489</v>
      </c>
      <c r="C527" s="22" t="n">
        <f aca="false">SUMIFS(Verbrauch!$C$9:$C$18896,Verbrauch!$A$9:$A$18896,"&gt;="&amp;A527,Verbrauch!$A$9:$A$18896,"&lt;"&amp;B527)</f>
        <v>0</v>
      </c>
      <c r="D527" s="22" t="n">
        <f aca="false">SUMIFS(Verbrauch!$C$9:$C$18896,Verbrauch!$A$9:$A$18896,"&gt;="&amp;A527,Verbrauch!$A$9:$A$18896,"&lt;"&amp;B527,Verbrauch!$F$9:$F$18896,"Go")</f>
        <v>0</v>
      </c>
      <c r="E527" s="22" t="n">
        <f aca="false">SUMIFS(Verbrauch!$C$9:$C$18896,Verbrauch!$A$9:$A$18896,"&gt;="&amp;A527,Verbrauch!$A$9:$A$18896,"&lt;"&amp;B527,Verbrauch!$F$9:$F$18896,"Standard")</f>
        <v>0</v>
      </c>
      <c r="F527" s="23" t="n">
        <f aca="false">SUMIFS(Verbrauch!$E$9:$E$18896,Verbrauch!$A$9:$A$18896,"&gt;="&amp;A527,Verbrauch!$A$9:$A$18896,"&lt;"&amp;B527)</f>
        <v>0</v>
      </c>
      <c r="G527" s="13" t="str">
        <f aca="false">IFERROR(F527/C527*100,"")</f>
        <v/>
      </c>
      <c r="H527" s="11" t="n">
        <f aca="false">COUNTIFS(Verbrauch!$A$9:$A$18896,"&gt;="&amp;A527,Verbrauch!$A$9:$A$18896,"&lt;"&amp;B527,Verbrauch!$C$9:$C$18896,"&lt;&gt;")</f>
        <v>0</v>
      </c>
    </row>
    <row r="528" customFormat="false" ht="15" hidden="false" customHeight="true" outlineLevel="0" collapsed="false">
      <c r="A528" s="10" t="n">
        <v>46489</v>
      </c>
      <c r="B528" s="10" t="n">
        <v>46490</v>
      </c>
      <c r="C528" s="22" t="n">
        <f aca="false">SUMIFS(Verbrauch!$C$9:$C$18896,Verbrauch!$A$9:$A$18896,"&gt;="&amp;A528,Verbrauch!$A$9:$A$18896,"&lt;"&amp;B528)</f>
        <v>0</v>
      </c>
      <c r="D528" s="22" t="n">
        <f aca="false">SUMIFS(Verbrauch!$C$9:$C$18896,Verbrauch!$A$9:$A$18896,"&gt;="&amp;A528,Verbrauch!$A$9:$A$18896,"&lt;"&amp;B528,Verbrauch!$F$9:$F$18896,"Go")</f>
        <v>0</v>
      </c>
      <c r="E528" s="22" t="n">
        <f aca="false">SUMIFS(Verbrauch!$C$9:$C$18896,Verbrauch!$A$9:$A$18896,"&gt;="&amp;A528,Verbrauch!$A$9:$A$18896,"&lt;"&amp;B528,Verbrauch!$F$9:$F$18896,"Standard")</f>
        <v>0</v>
      </c>
      <c r="F528" s="23" t="n">
        <f aca="false">SUMIFS(Verbrauch!$E$9:$E$18896,Verbrauch!$A$9:$A$18896,"&gt;="&amp;A528,Verbrauch!$A$9:$A$18896,"&lt;"&amp;B528)</f>
        <v>0</v>
      </c>
      <c r="G528" s="13" t="str">
        <f aca="false">IFERROR(F528/C528*100,"")</f>
        <v/>
      </c>
      <c r="H528" s="11" t="n">
        <f aca="false">COUNTIFS(Verbrauch!$A$9:$A$18896,"&gt;="&amp;A528,Verbrauch!$A$9:$A$18896,"&lt;"&amp;B528,Verbrauch!$C$9:$C$18896,"&lt;&gt;")</f>
        <v>0</v>
      </c>
    </row>
    <row r="529" customFormat="false" ht="15" hidden="false" customHeight="true" outlineLevel="0" collapsed="false">
      <c r="A529" s="10" t="n">
        <v>46490</v>
      </c>
      <c r="B529" s="10" t="n">
        <v>46491</v>
      </c>
      <c r="C529" s="22" t="n">
        <f aca="false">SUMIFS(Verbrauch!$C$9:$C$18896,Verbrauch!$A$9:$A$18896,"&gt;="&amp;A529,Verbrauch!$A$9:$A$18896,"&lt;"&amp;B529)</f>
        <v>0</v>
      </c>
      <c r="D529" s="22" t="n">
        <f aca="false">SUMIFS(Verbrauch!$C$9:$C$18896,Verbrauch!$A$9:$A$18896,"&gt;="&amp;A529,Verbrauch!$A$9:$A$18896,"&lt;"&amp;B529,Verbrauch!$F$9:$F$18896,"Go")</f>
        <v>0</v>
      </c>
      <c r="E529" s="22" t="n">
        <f aca="false">SUMIFS(Verbrauch!$C$9:$C$18896,Verbrauch!$A$9:$A$18896,"&gt;="&amp;A529,Verbrauch!$A$9:$A$18896,"&lt;"&amp;B529,Verbrauch!$F$9:$F$18896,"Standard")</f>
        <v>0</v>
      </c>
      <c r="F529" s="23" t="n">
        <f aca="false">SUMIFS(Verbrauch!$E$9:$E$18896,Verbrauch!$A$9:$A$18896,"&gt;="&amp;A529,Verbrauch!$A$9:$A$18896,"&lt;"&amp;B529)</f>
        <v>0</v>
      </c>
      <c r="G529" s="13" t="str">
        <f aca="false">IFERROR(F529/C529*100,"")</f>
        <v/>
      </c>
      <c r="H529" s="11" t="n">
        <f aca="false">COUNTIFS(Verbrauch!$A$9:$A$18896,"&gt;="&amp;A529,Verbrauch!$A$9:$A$18896,"&lt;"&amp;B529,Verbrauch!$C$9:$C$18896,"&lt;&gt;")</f>
        <v>0</v>
      </c>
    </row>
    <row r="530" customFormat="false" ht="15" hidden="false" customHeight="true" outlineLevel="0" collapsed="false">
      <c r="A530" s="10" t="n">
        <v>46491</v>
      </c>
      <c r="B530" s="10" t="n">
        <v>46492</v>
      </c>
      <c r="C530" s="22" t="n">
        <f aca="false">SUMIFS(Verbrauch!$C$9:$C$18896,Verbrauch!$A$9:$A$18896,"&gt;="&amp;A530,Verbrauch!$A$9:$A$18896,"&lt;"&amp;B530)</f>
        <v>0</v>
      </c>
      <c r="D530" s="22" t="n">
        <f aca="false">SUMIFS(Verbrauch!$C$9:$C$18896,Verbrauch!$A$9:$A$18896,"&gt;="&amp;A530,Verbrauch!$A$9:$A$18896,"&lt;"&amp;B530,Verbrauch!$F$9:$F$18896,"Go")</f>
        <v>0</v>
      </c>
      <c r="E530" s="22" t="n">
        <f aca="false">SUMIFS(Verbrauch!$C$9:$C$18896,Verbrauch!$A$9:$A$18896,"&gt;="&amp;A530,Verbrauch!$A$9:$A$18896,"&lt;"&amp;B530,Verbrauch!$F$9:$F$18896,"Standard")</f>
        <v>0</v>
      </c>
      <c r="F530" s="23" t="n">
        <f aca="false">SUMIFS(Verbrauch!$E$9:$E$18896,Verbrauch!$A$9:$A$18896,"&gt;="&amp;A530,Verbrauch!$A$9:$A$18896,"&lt;"&amp;B530)</f>
        <v>0</v>
      </c>
      <c r="G530" s="13" t="str">
        <f aca="false">IFERROR(F530/C530*100,"")</f>
        <v/>
      </c>
      <c r="H530" s="11" t="n">
        <f aca="false">COUNTIFS(Verbrauch!$A$9:$A$18896,"&gt;="&amp;A530,Verbrauch!$A$9:$A$18896,"&lt;"&amp;B530,Verbrauch!$C$9:$C$18896,"&lt;&gt;")</f>
        <v>0</v>
      </c>
    </row>
    <row r="531" customFormat="false" ht="15" hidden="false" customHeight="true" outlineLevel="0" collapsed="false">
      <c r="A531" s="10" t="n">
        <v>46492</v>
      </c>
      <c r="B531" s="10" t="n">
        <v>46493</v>
      </c>
      <c r="C531" s="22" t="n">
        <f aca="false">SUMIFS(Verbrauch!$C$9:$C$18896,Verbrauch!$A$9:$A$18896,"&gt;="&amp;A531,Verbrauch!$A$9:$A$18896,"&lt;"&amp;B531)</f>
        <v>0</v>
      </c>
      <c r="D531" s="22" t="n">
        <f aca="false">SUMIFS(Verbrauch!$C$9:$C$18896,Verbrauch!$A$9:$A$18896,"&gt;="&amp;A531,Verbrauch!$A$9:$A$18896,"&lt;"&amp;B531,Verbrauch!$F$9:$F$18896,"Go")</f>
        <v>0</v>
      </c>
      <c r="E531" s="22" t="n">
        <f aca="false">SUMIFS(Verbrauch!$C$9:$C$18896,Verbrauch!$A$9:$A$18896,"&gt;="&amp;A531,Verbrauch!$A$9:$A$18896,"&lt;"&amp;B531,Verbrauch!$F$9:$F$18896,"Standard")</f>
        <v>0</v>
      </c>
      <c r="F531" s="23" t="n">
        <f aca="false">SUMIFS(Verbrauch!$E$9:$E$18896,Verbrauch!$A$9:$A$18896,"&gt;="&amp;A531,Verbrauch!$A$9:$A$18896,"&lt;"&amp;B531)</f>
        <v>0</v>
      </c>
      <c r="G531" s="13" t="str">
        <f aca="false">IFERROR(F531/C531*100,"")</f>
        <v/>
      </c>
      <c r="H531" s="11" t="n">
        <f aca="false">COUNTIFS(Verbrauch!$A$9:$A$18896,"&gt;="&amp;A531,Verbrauch!$A$9:$A$18896,"&lt;"&amp;B531,Verbrauch!$C$9:$C$18896,"&lt;&gt;")</f>
        <v>0</v>
      </c>
    </row>
    <row r="532" customFormat="false" ht="15" hidden="false" customHeight="true" outlineLevel="0" collapsed="false">
      <c r="A532" s="10" t="n">
        <v>46493</v>
      </c>
      <c r="B532" s="10" t="n">
        <v>46494</v>
      </c>
      <c r="C532" s="22" t="n">
        <f aca="false">SUMIFS(Verbrauch!$C$9:$C$18896,Verbrauch!$A$9:$A$18896,"&gt;="&amp;A532,Verbrauch!$A$9:$A$18896,"&lt;"&amp;B532)</f>
        <v>0</v>
      </c>
      <c r="D532" s="22" t="n">
        <f aca="false">SUMIFS(Verbrauch!$C$9:$C$18896,Verbrauch!$A$9:$A$18896,"&gt;="&amp;A532,Verbrauch!$A$9:$A$18896,"&lt;"&amp;B532,Verbrauch!$F$9:$F$18896,"Go")</f>
        <v>0</v>
      </c>
      <c r="E532" s="22" t="n">
        <f aca="false">SUMIFS(Verbrauch!$C$9:$C$18896,Verbrauch!$A$9:$A$18896,"&gt;="&amp;A532,Verbrauch!$A$9:$A$18896,"&lt;"&amp;B532,Verbrauch!$F$9:$F$18896,"Standard")</f>
        <v>0</v>
      </c>
      <c r="F532" s="23" t="n">
        <f aca="false">SUMIFS(Verbrauch!$E$9:$E$18896,Verbrauch!$A$9:$A$18896,"&gt;="&amp;A532,Verbrauch!$A$9:$A$18896,"&lt;"&amp;B532)</f>
        <v>0</v>
      </c>
      <c r="G532" s="13" t="str">
        <f aca="false">IFERROR(F532/C532*100,"")</f>
        <v/>
      </c>
      <c r="H532" s="11" t="n">
        <f aca="false">COUNTIFS(Verbrauch!$A$9:$A$18896,"&gt;="&amp;A532,Verbrauch!$A$9:$A$18896,"&lt;"&amp;B532,Verbrauch!$C$9:$C$18896,"&lt;&gt;")</f>
        <v>0</v>
      </c>
    </row>
    <row r="533" customFormat="false" ht="15" hidden="false" customHeight="true" outlineLevel="0" collapsed="false">
      <c r="A533" s="10" t="n">
        <v>46494</v>
      </c>
      <c r="B533" s="10" t="n">
        <v>46495</v>
      </c>
      <c r="C533" s="22" t="n">
        <f aca="false">SUMIFS(Verbrauch!$C$9:$C$18896,Verbrauch!$A$9:$A$18896,"&gt;="&amp;A533,Verbrauch!$A$9:$A$18896,"&lt;"&amp;B533)</f>
        <v>0</v>
      </c>
      <c r="D533" s="22" t="n">
        <f aca="false">SUMIFS(Verbrauch!$C$9:$C$18896,Verbrauch!$A$9:$A$18896,"&gt;="&amp;A533,Verbrauch!$A$9:$A$18896,"&lt;"&amp;B533,Verbrauch!$F$9:$F$18896,"Go")</f>
        <v>0</v>
      </c>
      <c r="E533" s="22" t="n">
        <f aca="false">SUMIFS(Verbrauch!$C$9:$C$18896,Verbrauch!$A$9:$A$18896,"&gt;="&amp;A533,Verbrauch!$A$9:$A$18896,"&lt;"&amp;B533,Verbrauch!$F$9:$F$18896,"Standard")</f>
        <v>0</v>
      </c>
      <c r="F533" s="23" t="n">
        <f aca="false">SUMIFS(Verbrauch!$E$9:$E$18896,Verbrauch!$A$9:$A$18896,"&gt;="&amp;A533,Verbrauch!$A$9:$A$18896,"&lt;"&amp;B533)</f>
        <v>0</v>
      </c>
      <c r="G533" s="13" t="str">
        <f aca="false">IFERROR(F533/C533*100,"")</f>
        <v/>
      </c>
      <c r="H533" s="11" t="n">
        <f aca="false">COUNTIFS(Verbrauch!$A$9:$A$18896,"&gt;="&amp;A533,Verbrauch!$A$9:$A$18896,"&lt;"&amp;B533,Verbrauch!$C$9:$C$18896,"&lt;&gt;")</f>
        <v>0</v>
      </c>
    </row>
    <row r="534" customFormat="false" ht="15" hidden="false" customHeight="true" outlineLevel="0" collapsed="false">
      <c r="A534" s="10" t="n">
        <v>46495</v>
      </c>
      <c r="B534" s="10" t="n">
        <v>46496</v>
      </c>
      <c r="C534" s="22" t="n">
        <f aca="false">SUMIFS(Verbrauch!$C$9:$C$18896,Verbrauch!$A$9:$A$18896,"&gt;="&amp;A534,Verbrauch!$A$9:$A$18896,"&lt;"&amp;B534)</f>
        <v>0</v>
      </c>
      <c r="D534" s="22" t="n">
        <f aca="false">SUMIFS(Verbrauch!$C$9:$C$18896,Verbrauch!$A$9:$A$18896,"&gt;="&amp;A534,Verbrauch!$A$9:$A$18896,"&lt;"&amp;B534,Verbrauch!$F$9:$F$18896,"Go")</f>
        <v>0</v>
      </c>
      <c r="E534" s="22" t="n">
        <f aca="false">SUMIFS(Verbrauch!$C$9:$C$18896,Verbrauch!$A$9:$A$18896,"&gt;="&amp;A534,Verbrauch!$A$9:$A$18896,"&lt;"&amp;B534,Verbrauch!$F$9:$F$18896,"Standard")</f>
        <v>0</v>
      </c>
      <c r="F534" s="23" t="n">
        <f aca="false">SUMIFS(Verbrauch!$E$9:$E$18896,Verbrauch!$A$9:$A$18896,"&gt;="&amp;A534,Verbrauch!$A$9:$A$18896,"&lt;"&amp;B534)</f>
        <v>0</v>
      </c>
      <c r="G534" s="13" t="str">
        <f aca="false">IFERROR(F534/C534*100,"")</f>
        <v/>
      </c>
      <c r="H534" s="11" t="n">
        <f aca="false">COUNTIFS(Verbrauch!$A$9:$A$18896,"&gt;="&amp;A534,Verbrauch!$A$9:$A$18896,"&lt;"&amp;B534,Verbrauch!$C$9:$C$18896,"&lt;&gt;")</f>
        <v>0</v>
      </c>
    </row>
    <row r="535" customFormat="false" ht="15" hidden="false" customHeight="true" outlineLevel="0" collapsed="false">
      <c r="A535" s="10" t="n">
        <v>46496</v>
      </c>
      <c r="B535" s="10" t="n">
        <v>46497</v>
      </c>
      <c r="C535" s="22" t="n">
        <f aca="false">SUMIFS(Verbrauch!$C$9:$C$18896,Verbrauch!$A$9:$A$18896,"&gt;="&amp;A535,Verbrauch!$A$9:$A$18896,"&lt;"&amp;B535)</f>
        <v>0</v>
      </c>
      <c r="D535" s="22" t="n">
        <f aca="false">SUMIFS(Verbrauch!$C$9:$C$18896,Verbrauch!$A$9:$A$18896,"&gt;="&amp;A535,Verbrauch!$A$9:$A$18896,"&lt;"&amp;B535,Verbrauch!$F$9:$F$18896,"Go")</f>
        <v>0</v>
      </c>
      <c r="E535" s="22" t="n">
        <f aca="false">SUMIFS(Verbrauch!$C$9:$C$18896,Verbrauch!$A$9:$A$18896,"&gt;="&amp;A535,Verbrauch!$A$9:$A$18896,"&lt;"&amp;B535,Verbrauch!$F$9:$F$18896,"Standard")</f>
        <v>0</v>
      </c>
      <c r="F535" s="23" t="n">
        <f aca="false">SUMIFS(Verbrauch!$E$9:$E$18896,Verbrauch!$A$9:$A$18896,"&gt;="&amp;A535,Verbrauch!$A$9:$A$18896,"&lt;"&amp;B535)</f>
        <v>0</v>
      </c>
      <c r="G535" s="13" t="str">
        <f aca="false">IFERROR(F535/C535*100,"")</f>
        <v/>
      </c>
      <c r="H535" s="11" t="n">
        <f aca="false">COUNTIFS(Verbrauch!$A$9:$A$18896,"&gt;="&amp;A535,Verbrauch!$A$9:$A$18896,"&lt;"&amp;B535,Verbrauch!$C$9:$C$18896,"&lt;&gt;")</f>
        <v>0</v>
      </c>
    </row>
    <row r="536" customFormat="false" ht="15" hidden="false" customHeight="true" outlineLevel="0" collapsed="false">
      <c r="A536" s="10" t="n">
        <v>46497</v>
      </c>
      <c r="B536" s="10" t="n">
        <v>46498</v>
      </c>
      <c r="C536" s="22" t="n">
        <f aca="false">SUMIFS(Verbrauch!$C$9:$C$18896,Verbrauch!$A$9:$A$18896,"&gt;="&amp;A536,Verbrauch!$A$9:$A$18896,"&lt;"&amp;B536)</f>
        <v>0</v>
      </c>
      <c r="D536" s="22" t="n">
        <f aca="false">SUMIFS(Verbrauch!$C$9:$C$18896,Verbrauch!$A$9:$A$18896,"&gt;="&amp;A536,Verbrauch!$A$9:$A$18896,"&lt;"&amp;B536,Verbrauch!$F$9:$F$18896,"Go")</f>
        <v>0</v>
      </c>
      <c r="E536" s="22" t="n">
        <f aca="false">SUMIFS(Verbrauch!$C$9:$C$18896,Verbrauch!$A$9:$A$18896,"&gt;="&amp;A536,Verbrauch!$A$9:$A$18896,"&lt;"&amp;B536,Verbrauch!$F$9:$F$18896,"Standard")</f>
        <v>0</v>
      </c>
      <c r="F536" s="23" t="n">
        <f aca="false">SUMIFS(Verbrauch!$E$9:$E$18896,Verbrauch!$A$9:$A$18896,"&gt;="&amp;A536,Verbrauch!$A$9:$A$18896,"&lt;"&amp;B536)</f>
        <v>0</v>
      </c>
      <c r="G536" s="13" t="str">
        <f aca="false">IFERROR(F536/C536*100,"")</f>
        <v/>
      </c>
      <c r="H536" s="11" t="n">
        <f aca="false">COUNTIFS(Verbrauch!$A$9:$A$18896,"&gt;="&amp;A536,Verbrauch!$A$9:$A$18896,"&lt;"&amp;B536,Verbrauch!$C$9:$C$18896,"&lt;&gt;")</f>
        <v>0</v>
      </c>
    </row>
    <row r="537" customFormat="false" ht="15" hidden="false" customHeight="true" outlineLevel="0" collapsed="false">
      <c r="A537" s="10" t="n">
        <v>46498</v>
      </c>
      <c r="B537" s="10" t="n">
        <v>46499</v>
      </c>
      <c r="C537" s="22" t="n">
        <f aca="false">SUMIFS(Verbrauch!$C$9:$C$18896,Verbrauch!$A$9:$A$18896,"&gt;="&amp;A537,Verbrauch!$A$9:$A$18896,"&lt;"&amp;B537)</f>
        <v>0</v>
      </c>
      <c r="D537" s="22" t="n">
        <f aca="false">SUMIFS(Verbrauch!$C$9:$C$18896,Verbrauch!$A$9:$A$18896,"&gt;="&amp;A537,Verbrauch!$A$9:$A$18896,"&lt;"&amp;B537,Verbrauch!$F$9:$F$18896,"Go")</f>
        <v>0</v>
      </c>
      <c r="E537" s="22" t="n">
        <f aca="false">SUMIFS(Verbrauch!$C$9:$C$18896,Verbrauch!$A$9:$A$18896,"&gt;="&amp;A537,Verbrauch!$A$9:$A$18896,"&lt;"&amp;B537,Verbrauch!$F$9:$F$18896,"Standard")</f>
        <v>0</v>
      </c>
      <c r="F537" s="23" t="n">
        <f aca="false">SUMIFS(Verbrauch!$E$9:$E$18896,Verbrauch!$A$9:$A$18896,"&gt;="&amp;A537,Verbrauch!$A$9:$A$18896,"&lt;"&amp;B537)</f>
        <v>0</v>
      </c>
      <c r="G537" s="13" t="str">
        <f aca="false">IFERROR(F537/C537*100,"")</f>
        <v/>
      </c>
      <c r="H537" s="11" t="n">
        <f aca="false">COUNTIFS(Verbrauch!$A$9:$A$18896,"&gt;="&amp;A537,Verbrauch!$A$9:$A$18896,"&lt;"&amp;B537,Verbrauch!$C$9:$C$18896,"&lt;&gt;")</f>
        <v>0</v>
      </c>
    </row>
    <row r="538" customFormat="false" ht="15" hidden="false" customHeight="true" outlineLevel="0" collapsed="false">
      <c r="A538" s="10" t="n">
        <v>46499</v>
      </c>
      <c r="B538" s="10" t="n">
        <v>46500</v>
      </c>
      <c r="C538" s="22" t="n">
        <f aca="false">SUMIFS(Verbrauch!$C$9:$C$18896,Verbrauch!$A$9:$A$18896,"&gt;="&amp;A538,Verbrauch!$A$9:$A$18896,"&lt;"&amp;B538)</f>
        <v>0</v>
      </c>
      <c r="D538" s="22" t="n">
        <f aca="false">SUMIFS(Verbrauch!$C$9:$C$18896,Verbrauch!$A$9:$A$18896,"&gt;="&amp;A538,Verbrauch!$A$9:$A$18896,"&lt;"&amp;B538,Verbrauch!$F$9:$F$18896,"Go")</f>
        <v>0</v>
      </c>
      <c r="E538" s="22" t="n">
        <f aca="false">SUMIFS(Verbrauch!$C$9:$C$18896,Verbrauch!$A$9:$A$18896,"&gt;="&amp;A538,Verbrauch!$A$9:$A$18896,"&lt;"&amp;B538,Verbrauch!$F$9:$F$18896,"Standard")</f>
        <v>0</v>
      </c>
      <c r="F538" s="23" t="n">
        <f aca="false">SUMIFS(Verbrauch!$E$9:$E$18896,Verbrauch!$A$9:$A$18896,"&gt;="&amp;A538,Verbrauch!$A$9:$A$18896,"&lt;"&amp;B538)</f>
        <v>0</v>
      </c>
      <c r="G538" s="13" t="str">
        <f aca="false">IFERROR(F538/C538*100,"")</f>
        <v/>
      </c>
      <c r="H538" s="11" t="n">
        <f aca="false">COUNTIFS(Verbrauch!$A$9:$A$18896,"&gt;="&amp;A538,Verbrauch!$A$9:$A$18896,"&lt;"&amp;B538,Verbrauch!$C$9:$C$18896,"&lt;&gt;")</f>
        <v>0</v>
      </c>
    </row>
    <row r="539" customFormat="false" ht="15" hidden="false" customHeight="true" outlineLevel="0" collapsed="false">
      <c r="A539" s="10" t="n">
        <v>46500</v>
      </c>
      <c r="B539" s="10" t="n">
        <v>46501</v>
      </c>
      <c r="C539" s="22" t="n">
        <f aca="false">SUMIFS(Verbrauch!$C$9:$C$18896,Verbrauch!$A$9:$A$18896,"&gt;="&amp;A539,Verbrauch!$A$9:$A$18896,"&lt;"&amp;B539)</f>
        <v>0</v>
      </c>
      <c r="D539" s="22" t="n">
        <f aca="false">SUMIFS(Verbrauch!$C$9:$C$18896,Verbrauch!$A$9:$A$18896,"&gt;="&amp;A539,Verbrauch!$A$9:$A$18896,"&lt;"&amp;B539,Verbrauch!$F$9:$F$18896,"Go")</f>
        <v>0</v>
      </c>
      <c r="E539" s="22" t="n">
        <f aca="false">SUMIFS(Verbrauch!$C$9:$C$18896,Verbrauch!$A$9:$A$18896,"&gt;="&amp;A539,Verbrauch!$A$9:$A$18896,"&lt;"&amp;B539,Verbrauch!$F$9:$F$18896,"Standard")</f>
        <v>0</v>
      </c>
      <c r="F539" s="23" t="n">
        <f aca="false">SUMIFS(Verbrauch!$E$9:$E$18896,Verbrauch!$A$9:$A$18896,"&gt;="&amp;A539,Verbrauch!$A$9:$A$18896,"&lt;"&amp;B539)</f>
        <v>0</v>
      </c>
      <c r="G539" s="13" t="str">
        <f aca="false">IFERROR(F539/C539*100,"")</f>
        <v/>
      </c>
      <c r="H539" s="11" t="n">
        <f aca="false">COUNTIFS(Verbrauch!$A$9:$A$18896,"&gt;="&amp;A539,Verbrauch!$A$9:$A$18896,"&lt;"&amp;B539,Verbrauch!$C$9:$C$18896,"&lt;&gt;")</f>
        <v>0</v>
      </c>
    </row>
    <row r="540" customFormat="false" ht="15" hidden="false" customHeight="true" outlineLevel="0" collapsed="false">
      <c r="A540" s="10" t="n">
        <v>46501</v>
      </c>
      <c r="B540" s="10" t="n">
        <v>46502</v>
      </c>
      <c r="C540" s="22" t="n">
        <f aca="false">SUMIFS(Verbrauch!$C$9:$C$18896,Verbrauch!$A$9:$A$18896,"&gt;="&amp;A540,Verbrauch!$A$9:$A$18896,"&lt;"&amp;B540)</f>
        <v>0</v>
      </c>
      <c r="D540" s="22" t="n">
        <f aca="false">SUMIFS(Verbrauch!$C$9:$C$18896,Verbrauch!$A$9:$A$18896,"&gt;="&amp;A540,Verbrauch!$A$9:$A$18896,"&lt;"&amp;B540,Verbrauch!$F$9:$F$18896,"Go")</f>
        <v>0</v>
      </c>
      <c r="E540" s="22" t="n">
        <f aca="false">SUMIFS(Verbrauch!$C$9:$C$18896,Verbrauch!$A$9:$A$18896,"&gt;="&amp;A540,Verbrauch!$A$9:$A$18896,"&lt;"&amp;B540,Verbrauch!$F$9:$F$18896,"Standard")</f>
        <v>0</v>
      </c>
      <c r="F540" s="23" t="n">
        <f aca="false">SUMIFS(Verbrauch!$E$9:$E$18896,Verbrauch!$A$9:$A$18896,"&gt;="&amp;A540,Verbrauch!$A$9:$A$18896,"&lt;"&amp;B540)</f>
        <v>0</v>
      </c>
      <c r="G540" s="13" t="str">
        <f aca="false">IFERROR(F540/C540*100,"")</f>
        <v/>
      </c>
      <c r="H540" s="11" t="n">
        <f aca="false">COUNTIFS(Verbrauch!$A$9:$A$18896,"&gt;="&amp;A540,Verbrauch!$A$9:$A$18896,"&lt;"&amp;B540,Verbrauch!$C$9:$C$18896,"&lt;&gt;")</f>
        <v>0</v>
      </c>
    </row>
    <row r="541" customFormat="false" ht="15" hidden="false" customHeight="true" outlineLevel="0" collapsed="false">
      <c r="A541" s="10" t="n">
        <v>46502</v>
      </c>
      <c r="B541" s="10" t="n">
        <v>46503</v>
      </c>
      <c r="C541" s="22" t="n">
        <f aca="false">SUMIFS(Verbrauch!$C$9:$C$18896,Verbrauch!$A$9:$A$18896,"&gt;="&amp;A541,Verbrauch!$A$9:$A$18896,"&lt;"&amp;B541)</f>
        <v>0</v>
      </c>
      <c r="D541" s="22" t="n">
        <f aca="false">SUMIFS(Verbrauch!$C$9:$C$18896,Verbrauch!$A$9:$A$18896,"&gt;="&amp;A541,Verbrauch!$A$9:$A$18896,"&lt;"&amp;B541,Verbrauch!$F$9:$F$18896,"Go")</f>
        <v>0</v>
      </c>
      <c r="E541" s="22" t="n">
        <f aca="false">SUMIFS(Verbrauch!$C$9:$C$18896,Verbrauch!$A$9:$A$18896,"&gt;="&amp;A541,Verbrauch!$A$9:$A$18896,"&lt;"&amp;B541,Verbrauch!$F$9:$F$18896,"Standard")</f>
        <v>0</v>
      </c>
      <c r="F541" s="23" t="n">
        <f aca="false">SUMIFS(Verbrauch!$E$9:$E$18896,Verbrauch!$A$9:$A$18896,"&gt;="&amp;A541,Verbrauch!$A$9:$A$18896,"&lt;"&amp;B541)</f>
        <v>0</v>
      </c>
      <c r="G541" s="13" t="str">
        <f aca="false">IFERROR(F541/C541*100,"")</f>
        <v/>
      </c>
      <c r="H541" s="11" t="n">
        <f aca="false">COUNTIFS(Verbrauch!$A$9:$A$18896,"&gt;="&amp;A541,Verbrauch!$A$9:$A$18896,"&lt;"&amp;B541,Verbrauch!$C$9:$C$18896,"&lt;&gt;")</f>
        <v>0</v>
      </c>
    </row>
    <row r="542" customFormat="false" ht="15" hidden="false" customHeight="true" outlineLevel="0" collapsed="false">
      <c r="A542" s="10" t="n">
        <v>46503</v>
      </c>
      <c r="B542" s="10" t="n">
        <v>46504</v>
      </c>
      <c r="C542" s="22" t="n">
        <f aca="false">SUMIFS(Verbrauch!$C$9:$C$18896,Verbrauch!$A$9:$A$18896,"&gt;="&amp;A542,Verbrauch!$A$9:$A$18896,"&lt;"&amp;B542)</f>
        <v>0</v>
      </c>
      <c r="D542" s="22" t="n">
        <f aca="false">SUMIFS(Verbrauch!$C$9:$C$18896,Verbrauch!$A$9:$A$18896,"&gt;="&amp;A542,Verbrauch!$A$9:$A$18896,"&lt;"&amp;B542,Verbrauch!$F$9:$F$18896,"Go")</f>
        <v>0</v>
      </c>
      <c r="E542" s="22" t="n">
        <f aca="false">SUMIFS(Verbrauch!$C$9:$C$18896,Verbrauch!$A$9:$A$18896,"&gt;="&amp;A542,Verbrauch!$A$9:$A$18896,"&lt;"&amp;B542,Verbrauch!$F$9:$F$18896,"Standard")</f>
        <v>0</v>
      </c>
      <c r="F542" s="23" t="n">
        <f aca="false">SUMIFS(Verbrauch!$E$9:$E$18896,Verbrauch!$A$9:$A$18896,"&gt;="&amp;A542,Verbrauch!$A$9:$A$18896,"&lt;"&amp;B542)</f>
        <v>0</v>
      </c>
      <c r="G542" s="13" t="str">
        <f aca="false">IFERROR(F542/C542*100,"")</f>
        <v/>
      </c>
      <c r="H542" s="11" t="n">
        <f aca="false">COUNTIFS(Verbrauch!$A$9:$A$18896,"&gt;="&amp;A542,Verbrauch!$A$9:$A$18896,"&lt;"&amp;B542,Verbrauch!$C$9:$C$18896,"&lt;&gt;")</f>
        <v>0</v>
      </c>
    </row>
    <row r="543" customFormat="false" ht="15" hidden="false" customHeight="true" outlineLevel="0" collapsed="false">
      <c r="A543" s="10" t="n">
        <v>46504</v>
      </c>
      <c r="B543" s="10" t="n">
        <v>46505</v>
      </c>
      <c r="C543" s="22" t="n">
        <f aca="false">SUMIFS(Verbrauch!$C$9:$C$18896,Verbrauch!$A$9:$A$18896,"&gt;="&amp;A543,Verbrauch!$A$9:$A$18896,"&lt;"&amp;B543)</f>
        <v>0</v>
      </c>
      <c r="D543" s="22" t="n">
        <f aca="false">SUMIFS(Verbrauch!$C$9:$C$18896,Verbrauch!$A$9:$A$18896,"&gt;="&amp;A543,Verbrauch!$A$9:$A$18896,"&lt;"&amp;B543,Verbrauch!$F$9:$F$18896,"Go")</f>
        <v>0</v>
      </c>
      <c r="E543" s="22" t="n">
        <f aca="false">SUMIFS(Verbrauch!$C$9:$C$18896,Verbrauch!$A$9:$A$18896,"&gt;="&amp;A543,Verbrauch!$A$9:$A$18896,"&lt;"&amp;B543,Verbrauch!$F$9:$F$18896,"Standard")</f>
        <v>0</v>
      </c>
      <c r="F543" s="23" t="n">
        <f aca="false">SUMIFS(Verbrauch!$E$9:$E$18896,Verbrauch!$A$9:$A$18896,"&gt;="&amp;A543,Verbrauch!$A$9:$A$18896,"&lt;"&amp;B543)</f>
        <v>0</v>
      </c>
      <c r="G543" s="13" t="str">
        <f aca="false">IFERROR(F543/C543*100,"")</f>
        <v/>
      </c>
      <c r="H543" s="11" t="n">
        <f aca="false">COUNTIFS(Verbrauch!$A$9:$A$18896,"&gt;="&amp;A543,Verbrauch!$A$9:$A$18896,"&lt;"&amp;B543,Verbrauch!$C$9:$C$18896,"&lt;&gt;")</f>
        <v>0</v>
      </c>
    </row>
    <row r="544" customFormat="false" ht="15" hidden="false" customHeight="true" outlineLevel="0" collapsed="false">
      <c r="A544" s="10" t="n">
        <v>46505</v>
      </c>
      <c r="B544" s="10" t="n">
        <v>46506</v>
      </c>
      <c r="C544" s="22" t="n">
        <f aca="false">SUMIFS(Verbrauch!$C$9:$C$18896,Verbrauch!$A$9:$A$18896,"&gt;="&amp;A544,Verbrauch!$A$9:$A$18896,"&lt;"&amp;B544)</f>
        <v>0</v>
      </c>
      <c r="D544" s="22" t="n">
        <f aca="false">SUMIFS(Verbrauch!$C$9:$C$18896,Verbrauch!$A$9:$A$18896,"&gt;="&amp;A544,Verbrauch!$A$9:$A$18896,"&lt;"&amp;B544,Verbrauch!$F$9:$F$18896,"Go")</f>
        <v>0</v>
      </c>
      <c r="E544" s="22" t="n">
        <f aca="false">SUMIFS(Verbrauch!$C$9:$C$18896,Verbrauch!$A$9:$A$18896,"&gt;="&amp;A544,Verbrauch!$A$9:$A$18896,"&lt;"&amp;B544,Verbrauch!$F$9:$F$18896,"Standard")</f>
        <v>0</v>
      </c>
      <c r="F544" s="23" t="n">
        <f aca="false">SUMIFS(Verbrauch!$E$9:$E$18896,Verbrauch!$A$9:$A$18896,"&gt;="&amp;A544,Verbrauch!$A$9:$A$18896,"&lt;"&amp;B544)</f>
        <v>0</v>
      </c>
      <c r="G544" s="13" t="str">
        <f aca="false">IFERROR(F544/C544*100,"")</f>
        <v/>
      </c>
      <c r="H544" s="11" t="n">
        <f aca="false">COUNTIFS(Verbrauch!$A$9:$A$18896,"&gt;="&amp;A544,Verbrauch!$A$9:$A$18896,"&lt;"&amp;B544,Verbrauch!$C$9:$C$18896,"&lt;&gt;")</f>
        <v>0</v>
      </c>
    </row>
    <row r="545" customFormat="false" ht="15" hidden="false" customHeight="true" outlineLevel="0" collapsed="false">
      <c r="A545" s="10" t="n">
        <v>46506</v>
      </c>
      <c r="B545" s="10" t="n">
        <v>46507</v>
      </c>
      <c r="C545" s="22" t="n">
        <f aca="false">SUMIFS(Verbrauch!$C$9:$C$18896,Verbrauch!$A$9:$A$18896,"&gt;="&amp;A545,Verbrauch!$A$9:$A$18896,"&lt;"&amp;B545)</f>
        <v>0</v>
      </c>
      <c r="D545" s="22" t="n">
        <f aca="false">SUMIFS(Verbrauch!$C$9:$C$18896,Verbrauch!$A$9:$A$18896,"&gt;="&amp;A545,Verbrauch!$A$9:$A$18896,"&lt;"&amp;B545,Verbrauch!$F$9:$F$18896,"Go")</f>
        <v>0</v>
      </c>
      <c r="E545" s="22" t="n">
        <f aca="false">SUMIFS(Verbrauch!$C$9:$C$18896,Verbrauch!$A$9:$A$18896,"&gt;="&amp;A545,Verbrauch!$A$9:$A$18896,"&lt;"&amp;B545,Verbrauch!$F$9:$F$18896,"Standard")</f>
        <v>0</v>
      </c>
      <c r="F545" s="23" t="n">
        <f aca="false">SUMIFS(Verbrauch!$E$9:$E$18896,Verbrauch!$A$9:$A$18896,"&gt;="&amp;A545,Verbrauch!$A$9:$A$18896,"&lt;"&amp;B545)</f>
        <v>0</v>
      </c>
      <c r="G545" s="13" t="str">
        <f aca="false">IFERROR(F545/C545*100,"")</f>
        <v/>
      </c>
      <c r="H545" s="11" t="n">
        <f aca="false">COUNTIFS(Verbrauch!$A$9:$A$18896,"&gt;="&amp;A545,Verbrauch!$A$9:$A$18896,"&lt;"&amp;B545,Verbrauch!$C$9:$C$18896,"&lt;&gt;")</f>
        <v>0</v>
      </c>
    </row>
    <row r="546" customFormat="false" ht="15" hidden="false" customHeight="true" outlineLevel="0" collapsed="false">
      <c r="A546" s="10" t="n">
        <v>46507</v>
      </c>
      <c r="B546" s="10" t="n">
        <v>46508</v>
      </c>
      <c r="C546" s="22" t="n">
        <f aca="false">SUMIFS(Verbrauch!$C$9:$C$18896,Verbrauch!$A$9:$A$18896,"&gt;="&amp;A546,Verbrauch!$A$9:$A$18896,"&lt;"&amp;B546)</f>
        <v>0</v>
      </c>
      <c r="D546" s="22" t="n">
        <f aca="false">SUMIFS(Verbrauch!$C$9:$C$18896,Verbrauch!$A$9:$A$18896,"&gt;="&amp;A546,Verbrauch!$A$9:$A$18896,"&lt;"&amp;B546,Verbrauch!$F$9:$F$18896,"Go")</f>
        <v>0</v>
      </c>
      <c r="E546" s="22" t="n">
        <f aca="false">SUMIFS(Verbrauch!$C$9:$C$18896,Verbrauch!$A$9:$A$18896,"&gt;="&amp;A546,Verbrauch!$A$9:$A$18896,"&lt;"&amp;B546,Verbrauch!$F$9:$F$18896,"Standard")</f>
        <v>0</v>
      </c>
      <c r="F546" s="23" t="n">
        <f aca="false">SUMIFS(Verbrauch!$E$9:$E$18896,Verbrauch!$A$9:$A$18896,"&gt;="&amp;A546,Verbrauch!$A$9:$A$18896,"&lt;"&amp;B546)</f>
        <v>0</v>
      </c>
      <c r="G546" s="13" t="str">
        <f aca="false">IFERROR(F546/C546*100,"")</f>
        <v/>
      </c>
      <c r="H546" s="11" t="n">
        <f aca="false">COUNTIFS(Verbrauch!$A$9:$A$18896,"&gt;="&amp;A546,Verbrauch!$A$9:$A$18896,"&lt;"&amp;B546,Verbrauch!$C$9:$C$18896,"&lt;&gt;")</f>
        <v>0</v>
      </c>
    </row>
    <row r="547" customFormat="false" ht="15" hidden="false" customHeight="true" outlineLevel="0" collapsed="false">
      <c r="A547" s="10" t="n">
        <v>46508</v>
      </c>
      <c r="B547" s="10" t="n">
        <v>46509</v>
      </c>
      <c r="C547" s="22" t="n">
        <f aca="false">SUMIFS(Verbrauch!$C$9:$C$18896,Verbrauch!$A$9:$A$18896,"&gt;="&amp;A547,Verbrauch!$A$9:$A$18896,"&lt;"&amp;B547)</f>
        <v>0</v>
      </c>
      <c r="D547" s="22" t="n">
        <f aca="false">SUMIFS(Verbrauch!$C$9:$C$18896,Verbrauch!$A$9:$A$18896,"&gt;="&amp;A547,Verbrauch!$A$9:$A$18896,"&lt;"&amp;B547,Verbrauch!$F$9:$F$18896,"Go")</f>
        <v>0</v>
      </c>
      <c r="E547" s="22" t="n">
        <f aca="false">SUMIFS(Verbrauch!$C$9:$C$18896,Verbrauch!$A$9:$A$18896,"&gt;="&amp;A547,Verbrauch!$A$9:$A$18896,"&lt;"&amp;B547,Verbrauch!$F$9:$F$18896,"Standard")</f>
        <v>0</v>
      </c>
      <c r="F547" s="23" t="n">
        <f aca="false">SUMIFS(Verbrauch!$E$9:$E$18896,Verbrauch!$A$9:$A$18896,"&gt;="&amp;A547,Verbrauch!$A$9:$A$18896,"&lt;"&amp;B547)</f>
        <v>0</v>
      </c>
      <c r="G547" s="13" t="str">
        <f aca="false">IFERROR(F547/C547*100,"")</f>
        <v/>
      </c>
      <c r="H547" s="11" t="n">
        <f aca="false">COUNTIFS(Verbrauch!$A$9:$A$18896,"&gt;="&amp;A547,Verbrauch!$A$9:$A$18896,"&lt;"&amp;B547,Verbrauch!$C$9:$C$18896,"&lt;&gt;")</f>
        <v>0</v>
      </c>
    </row>
    <row r="548" customFormat="false" ht="15" hidden="false" customHeight="true" outlineLevel="0" collapsed="false">
      <c r="A548" s="10" t="n">
        <v>46509</v>
      </c>
      <c r="B548" s="10" t="n">
        <v>46510</v>
      </c>
      <c r="C548" s="22" t="n">
        <f aca="false">SUMIFS(Verbrauch!$C$9:$C$18896,Verbrauch!$A$9:$A$18896,"&gt;="&amp;A548,Verbrauch!$A$9:$A$18896,"&lt;"&amp;B548)</f>
        <v>0</v>
      </c>
      <c r="D548" s="22" t="n">
        <f aca="false">SUMIFS(Verbrauch!$C$9:$C$18896,Verbrauch!$A$9:$A$18896,"&gt;="&amp;A548,Verbrauch!$A$9:$A$18896,"&lt;"&amp;B548,Verbrauch!$F$9:$F$18896,"Go")</f>
        <v>0</v>
      </c>
      <c r="E548" s="22" t="n">
        <f aca="false">SUMIFS(Verbrauch!$C$9:$C$18896,Verbrauch!$A$9:$A$18896,"&gt;="&amp;A548,Verbrauch!$A$9:$A$18896,"&lt;"&amp;B548,Verbrauch!$F$9:$F$18896,"Standard")</f>
        <v>0</v>
      </c>
      <c r="F548" s="23" t="n">
        <f aca="false">SUMIFS(Verbrauch!$E$9:$E$18896,Verbrauch!$A$9:$A$18896,"&gt;="&amp;A548,Verbrauch!$A$9:$A$18896,"&lt;"&amp;B548)</f>
        <v>0</v>
      </c>
      <c r="G548" s="13" t="str">
        <f aca="false">IFERROR(F548/C548*100,"")</f>
        <v/>
      </c>
      <c r="H548" s="11" t="n">
        <f aca="false">COUNTIFS(Verbrauch!$A$9:$A$18896,"&gt;="&amp;A548,Verbrauch!$A$9:$A$18896,"&lt;"&amp;B548,Verbrauch!$C$9:$C$18896,"&lt;&gt;")</f>
        <v>0</v>
      </c>
    </row>
    <row r="549" customFormat="false" ht="15" hidden="false" customHeight="true" outlineLevel="0" collapsed="false">
      <c r="A549" s="10" t="n">
        <v>46510</v>
      </c>
      <c r="B549" s="10" t="n">
        <v>46511</v>
      </c>
      <c r="C549" s="22" t="n">
        <f aca="false">SUMIFS(Verbrauch!$C$9:$C$18896,Verbrauch!$A$9:$A$18896,"&gt;="&amp;A549,Verbrauch!$A$9:$A$18896,"&lt;"&amp;B549)</f>
        <v>0</v>
      </c>
      <c r="D549" s="22" t="n">
        <f aca="false">SUMIFS(Verbrauch!$C$9:$C$18896,Verbrauch!$A$9:$A$18896,"&gt;="&amp;A549,Verbrauch!$A$9:$A$18896,"&lt;"&amp;B549,Verbrauch!$F$9:$F$18896,"Go")</f>
        <v>0</v>
      </c>
      <c r="E549" s="22" t="n">
        <f aca="false">SUMIFS(Verbrauch!$C$9:$C$18896,Verbrauch!$A$9:$A$18896,"&gt;="&amp;A549,Verbrauch!$A$9:$A$18896,"&lt;"&amp;B549,Verbrauch!$F$9:$F$18896,"Standard")</f>
        <v>0</v>
      </c>
      <c r="F549" s="23" t="n">
        <f aca="false">SUMIFS(Verbrauch!$E$9:$E$18896,Verbrauch!$A$9:$A$18896,"&gt;="&amp;A549,Verbrauch!$A$9:$A$18896,"&lt;"&amp;B549)</f>
        <v>0</v>
      </c>
      <c r="G549" s="13" t="str">
        <f aca="false">IFERROR(F549/C549*100,"")</f>
        <v/>
      </c>
      <c r="H549" s="11" t="n">
        <f aca="false">COUNTIFS(Verbrauch!$A$9:$A$18896,"&gt;="&amp;A549,Verbrauch!$A$9:$A$18896,"&lt;"&amp;B549,Verbrauch!$C$9:$C$18896,"&lt;&gt;")</f>
        <v>0</v>
      </c>
    </row>
    <row r="550" customFormat="false" ht="15" hidden="false" customHeight="true" outlineLevel="0" collapsed="false">
      <c r="A550" s="10" t="n">
        <v>46511</v>
      </c>
      <c r="B550" s="10" t="n">
        <v>46512</v>
      </c>
      <c r="C550" s="22" t="n">
        <f aca="false">SUMIFS(Verbrauch!$C$9:$C$18896,Verbrauch!$A$9:$A$18896,"&gt;="&amp;A550,Verbrauch!$A$9:$A$18896,"&lt;"&amp;B550)</f>
        <v>0</v>
      </c>
      <c r="D550" s="22" t="n">
        <f aca="false">SUMIFS(Verbrauch!$C$9:$C$18896,Verbrauch!$A$9:$A$18896,"&gt;="&amp;A550,Verbrauch!$A$9:$A$18896,"&lt;"&amp;B550,Verbrauch!$F$9:$F$18896,"Go")</f>
        <v>0</v>
      </c>
      <c r="E550" s="22" t="n">
        <f aca="false">SUMIFS(Verbrauch!$C$9:$C$18896,Verbrauch!$A$9:$A$18896,"&gt;="&amp;A550,Verbrauch!$A$9:$A$18896,"&lt;"&amp;B550,Verbrauch!$F$9:$F$18896,"Standard")</f>
        <v>0</v>
      </c>
      <c r="F550" s="23" t="n">
        <f aca="false">SUMIFS(Verbrauch!$E$9:$E$18896,Verbrauch!$A$9:$A$18896,"&gt;="&amp;A550,Verbrauch!$A$9:$A$18896,"&lt;"&amp;B550)</f>
        <v>0</v>
      </c>
      <c r="G550" s="13" t="str">
        <f aca="false">IFERROR(F550/C550*100,"")</f>
        <v/>
      </c>
      <c r="H550" s="11" t="n">
        <f aca="false">COUNTIFS(Verbrauch!$A$9:$A$18896,"&gt;="&amp;A550,Verbrauch!$A$9:$A$18896,"&lt;"&amp;B550,Verbrauch!$C$9:$C$18896,"&lt;&gt;")</f>
        <v>0</v>
      </c>
    </row>
    <row r="551" customFormat="false" ht="15" hidden="false" customHeight="true" outlineLevel="0" collapsed="false">
      <c r="A551" s="10" t="n">
        <v>46512</v>
      </c>
      <c r="B551" s="10" t="n">
        <v>46513</v>
      </c>
      <c r="C551" s="22" t="n">
        <f aca="false">SUMIFS(Verbrauch!$C$9:$C$18896,Verbrauch!$A$9:$A$18896,"&gt;="&amp;A551,Verbrauch!$A$9:$A$18896,"&lt;"&amp;B551)</f>
        <v>0</v>
      </c>
      <c r="D551" s="22" t="n">
        <f aca="false">SUMIFS(Verbrauch!$C$9:$C$18896,Verbrauch!$A$9:$A$18896,"&gt;="&amp;A551,Verbrauch!$A$9:$A$18896,"&lt;"&amp;B551,Verbrauch!$F$9:$F$18896,"Go")</f>
        <v>0</v>
      </c>
      <c r="E551" s="22" t="n">
        <f aca="false">SUMIFS(Verbrauch!$C$9:$C$18896,Verbrauch!$A$9:$A$18896,"&gt;="&amp;A551,Verbrauch!$A$9:$A$18896,"&lt;"&amp;B551,Verbrauch!$F$9:$F$18896,"Standard")</f>
        <v>0</v>
      </c>
      <c r="F551" s="23" t="n">
        <f aca="false">SUMIFS(Verbrauch!$E$9:$E$18896,Verbrauch!$A$9:$A$18896,"&gt;="&amp;A551,Verbrauch!$A$9:$A$18896,"&lt;"&amp;B551)</f>
        <v>0</v>
      </c>
      <c r="G551" s="13" t="str">
        <f aca="false">IFERROR(F551/C551*100,"")</f>
        <v/>
      </c>
      <c r="H551" s="11" t="n">
        <f aca="false">COUNTIFS(Verbrauch!$A$9:$A$18896,"&gt;="&amp;A551,Verbrauch!$A$9:$A$18896,"&lt;"&amp;B551,Verbrauch!$C$9:$C$18896,"&lt;&gt;")</f>
        <v>0</v>
      </c>
    </row>
    <row r="552" customFormat="false" ht="15" hidden="false" customHeight="true" outlineLevel="0" collapsed="false">
      <c r="A552" s="10" t="n">
        <v>46513</v>
      </c>
      <c r="B552" s="10" t="n">
        <v>46514</v>
      </c>
      <c r="C552" s="22" t="n">
        <f aca="false">SUMIFS(Verbrauch!$C$9:$C$18896,Verbrauch!$A$9:$A$18896,"&gt;="&amp;A552,Verbrauch!$A$9:$A$18896,"&lt;"&amp;B552)</f>
        <v>0</v>
      </c>
      <c r="D552" s="22" t="n">
        <f aca="false">SUMIFS(Verbrauch!$C$9:$C$18896,Verbrauch!$A$9:$A$18896,"&gt;="&amp;A552,Verbrauch!$A$9:$A$18896,"&lt;"&amp;B552,Verbrauch!$F$9:$F$18896,"Go")</f>
        <v>0</v>
      </c>
      <c r="E552" s="22" t="n">
        <f aca="false">SUMIFS(Verbrauch!$C$9:$C$18896,Verbrauch!$A$9:$A$18896,"&gt;="&amp;A552,Verbrauch!$A$9:$A$18896,"&lt;"&amp;B552,Verbrauch!$F$9:$F$18896,"Standard")</f>
        <v>0</v>
      </c>
      <c r="F552" s="23" t="n">
        <f aca="false">SUMIFS(Verbrauch!$E$9:$E$18896,Verbrauch!$A$9:$A$18896,"&gt;="&amp;A552,Verbrauch!$A$9:$A$18896,"&lt;"&amp;B552)</f>
        <v>0</v>
      </c>
      <c r="G552" s="13" t="str">
        <f aca="false">IFERROR(F552/C552*100,"")</f>
        <v/>
      </c>
      <c r="H552" s="11" t="n">
        <f aca="false">COUNTIFS(Verbrauch!$A$9:$A$18896,"&gt;="&amp;A552,Verbrauch!$A$9:$A$18896,"&lt;"&amp;B552,Verbrauch!$C$9:$C$18896,"&lt;&gt;")</f>
        <v>0</v>
      </c>
    </row>
    <row r="553" customFormat="false" ht="15" hidden="false" customHeight="true" outlineLevel="0" collapsed="false">
      <c r="A553" s="10" t="n">
        <v>46514</v>
      </c>
      <c r="B553" s="10" t="n">
        <v>46515</v>
      </c>
      <c r="C553" s="22" t="n">
        <f aca="false">SUMIFS(Verbrauch!$C$9:$C$18896,Verbrauch!$A$9:$A$18896,"&gt;="&amp;A553,Verbrauch!$A$9:$A$18896,"&lt;"&amp;B553)</f>
        <v>0</v>
      </c>
      <c r="D553" s="22" t="n">
        <f aca="false">SUMIFS(Verbrauch!$C$9:$C$18896,Verbrauch!$A$9:$A$18896,"&gt;="&amp;A553,Verbrauch!$A$9:$A$18896,"&lt;"&amp;B553,Verbrauch!$F$9:$F$18896,"Go")</f>
        <v>0</v>
      </c>
      <c r="E553" s="22" t="n">
        <f aca="false">SUMIFS(Verbrauch!$C$9:$C$18896,Verbrauch!$A$9:$A$18896,"&gt;="&amp;A553,Verbrauch!$A$9:$A$18896,"&lt;"&amp;B553,Verbrauch!$F$9:$F$18896,"Standard")</f>
        <v>0</v>
      </c>
      <c r="F553" s="23" t="n">
        <f aca="false">SUMIFS(Verbrauch!$E$9:$E$18896,Verbrauch!$A$9:$A$18896,"&gt;="&amp;A553,Verbrauch!$A$9:$A$18896,"&lt;"&amp;B553)</f>
        <v>0</v>
      </c>
      <c r="G553" s="13" t="str">
        <f aca="false">IFERROR(F553/C553*100,"")</f>
        <v/>
      </c>
      <c r="H553" s="11" t="n">
        <f aca="false">COUNTIFS(Verbrauch!$A$9:$A$18896,"&gt;="&amp;A553,Verbrauch!$A$9:$A$18896,"&lt;"&amp;B553,Verbrauch!$C$9:$C$18896,"&lt;&gt;")</f>
        <v>0</v>
      </c>
    </row>
    <row r="554" customFormat="false" ht="15" hidden="false" customHeight="true" outlineLevel="0" collapsed="false">
      <c r="A554" s="10" t="n">
        <v>46515</v>
      </c>
      <c r="B554" s="10" t="n">
        <v>46516</v>
      </c>
      <c r="C554" s="22" t="n">
        <f aca="false">SUMIFS(Verbrauch!$C$9:$C$18896,Verbrauch!$A$9:$A$18896,"&gt;="&amp;A554,Verbrauch!$A$9:$A$18896,"&lt;"&amp;B554)</f>
        <v>0</v>
      </c>
      <c r="D554" s="22" t="n">
        <f aca="false">SUMIFS(Verbrauch!$C$9:$C$18896,Verbrauch!$A$9:$A$18896,"&gt;="&amp;A554,Verbrauch!$A$9:$A$18896,"&lt;"&amp;B554,Verbrauch!$F$9:$F$18896,"Go")</f>
        <v>0</v>
      </c>
      <c r="E554" s="22" t="n">
        <f aca="false">SUMIFS(Verbrauch!$C$9:$C$18896,Verbrauch!$A$9:$A$18896,"&gt;="&amp;A554,Verbrauch!$A$9:$A$18896,"&lt;"&amp;B554,Verbrauch!$F$9:$F$18896,"Standard")</f>
        <v>0</v>
      </c>
      <c r="F554" s="23" t="n">
        <f aca="false">SUMIFS(Verbrauch!$E$9:$E$18896,Verbrauch!$A$9:$A$18896,"&gt;="&amp;A554,Verbrauch!$A$9:$A$18896,"&lt;"&amp;B554)</f>
        <v>0</v>
      </c>
      <c r="G554" s="13" t="str">
        <f aca="false">IFERROR(F554/C554*100,"")</f>
        <v/>
      </c>
      <c r="H554" s="11" t="n">
        <f aca="false">COUNTIFS(Verbrauch!$A$9:$A$18896,"&gt;="&amp;A554,Verbrauch!$A$9:$A$18896,"&lt;"&amp;B554,Verbrauch!$C$9:$C$18896,"&lt;&gt;")</f>
        <v>0</v>
      </c>
    </row>
    <row r="555" customFormat="false" ht="15" hidden="false" customHeight="true" outlineLevel="0" collapsed="false">
      <c r="A555" s="10" t="n">
        <v>46516</v>
      </c>
      <c r="B555" s="10" t="n">
        <v>46517</v>
      </c>
      <c r="C555" s="22" t="n">
        <f aca="false">SUMIFS(Verbrauch!$C$9:$C$18896,Verbrauch!$A$9:$A$18896,"&gt;="&amp;A555,Verbrauch!$A$9:$A$18896,"&lt;"&amp;B555)</f>
        <v>0</v>
      </c>
      <c r="D555" s="22" t="n">
        <f aca="false">SUMIFS(Verbrauch!$C$9:$C$18896,Verbrauch!$A$9:$A$18896,"&gt;="&amp;A555,Verbrauch!$A$9:$A$18896,"&lt;"&amp;B555,Verbrauch!$F$9:$F$18896,"Go")</f>
        <v>0</v>
      </c>
      <c r="E555" s="22" t="n">
        <f aca="false">SUMIFS(Verbrauch!$C$9:$C$18896,Verbrauch!$A$9:$A$18896,"&gt;="&amp;A555,Verbrauch!$A$9:$A$18896,"&lt;"&amp;B555,Verbrauch!$F$9:$F$18896,"Standard")</f>
        <v>0</v>
      </c>
      <c r="F555" s="23" t="n">
        <f aca="false">SUMIFS(Verbrauch!$E$9:$E$18896,Verbrauch!$A$9:$A$18896,"&gt;="&amp;A555,Verbrauch!$A$9:$A$18896,"&lt;"&amp;B555)</f>
        <v>0</v>
      </c>
      <c r="G555" s="13" t="str">
        <f aca="false">IFERROR(F555/C555*100,"")</f>
        <v/>
      </c>
      <c r="H555" s="11" t="n">
        <f aca="false">COUNTIFS(Verbrauch!$A$9:$A$18896,"&gt;="&amp;A555,Verbrauch!$A$9:$A$18896,"&lt;"&amp;B555,Verbrauch!$C$9:$C$18896,"&lt;&gt;")</f>
        <v>0</v>
      </c>
    </row>
    <row r="556" customFormat="false" ht="15" hidden="false" customHeight="true" outlineLevel="0" collapsed="false">
      <c r="A556" s="10" t="n">
        <v>46517</v>
      </c>
      <c r="B556" s="10" t="n">
        <v>46518</v>
      </c>
      <c r="C556" s="22" t="n">
        <f aca="false">SUMIFS(Verbrauch!$C$9:$C$18896,Verbrauch!$A$9:$A$18896,"&gt;="&amp;A556,Verbrauch!$A$9:$A$18896,"&lt;"&amp;B556)</f>
        <v>0</v>
      </c>
      <c r="D556" s="22" t="n">
        <f aca="false">SUMIFS(Verbrauch!$C$9:$C$18896,Verbrauch!$A$9:$A$18896,"&gt;="&amp;A556,Verbrauch!$A$9:$A$18896,"&lt;"&amp;B556,Verbrauch!$F$9:$F$18896,"Go")</f>
        <v>0</v>
      </c>
      <c r="E556" s="22" t="n">
        <f aca="false">SUMIFS(Verbrauch!$C$9:$C$18896,Verbrauch!$A$9:$A$18896,"&gt;="&amp;A556,Verbrauch!$A$9:$A$18896,"&lt;"&amp;B556,Verbrauch!$F$9:$F$18896,"Standard")</f>
        <v>0</v>
      </c>
      <c r="F556" s="23" t="n">
        <f aca="false">SUMIFS(Verbrauch!$E$9:$E$18896,Verbrauch!$A$9:$A$18896,"&gt;="&amp;A556,Verbrauch!$A$9:$A$18896,"&lt;"&amp;B556)</f>
        <v>0</v>
      </c>
      <c r="G556" s="13" t="str">
        <f aca="false">IFERROR(F556/C556*100,"")</f>
        <v/>
      </c>
      <c r="H556" s="11" t="n">
        <f aca="false">COUNTIFS(Verbrauch!$A$9:$A$18896,"&gt;="&amp;A556,Verbrauch!$A$9:$A$18896,"&lt;"&amp;B556,Verbrauch!$C$9:$C$18896,"&lt;&gt;")</f>
        <v>0</v>
      </c>
    </row>
    <row r="557" customFormat="false" ht="15" hidden="false" customHeight="true" outlineLevel="0" collapsed="false">
      <c r="A557" s="10" t="n">
        <v>46518</v>
      </c>
      <c r="B557" s="10" t="n">
        <v>46519</v>
      </c>
      <c r="C557" s="22" t="n">
        <f aca="false">SUMIFS(Verbrauch!$C$9:$C$18896,Verbrauch!$A$9:$A$18896,"&gt;="&amp;A557,Verbrauch!$A$9:$A$18896,"&lt;"&amp;B557)</f>
        <v>0</v>
      </c>
      <c r="D557" s="22" t="n">
        <f aca="false">SUMIFS(Verbrauch!$C$9:$C$18896,Verbrauch!$A$9:$A$18896,"&gt;="&amp;A557,Verbrauch!$A$9:$A$18896,"&lt;"&amp;B557,Verbrauch!$F$9:$F$18896,"Go")</f>
        <v>0</v>
      </c>
      <c r="E557" s="22" t="n">
        <f aca="false">SUMIFS(Verbrauch!$C$9:$C$18896,Verbrauch!$A$9:$A$18896,"&gt;="&amp;A557,Verbrauch!$A$9:$A$18896,"&lt;"&amp;B557,Verbrauch!$F$9:$F$18896,"Standard")</f>
        <v>0</v>
      </c>
      <c r="F557" s="23" t="n">
        <f aca="false">SUMIFS(Verbrauch!$E$9:$E$18896,Verbrauch!$A$9:$A$18896,"&gt;="&amp;A557,Verbrauch!$A$9:$A$18896,"&lt;"&amp;B557)</f>
        <v>0</v>
      </c>
      <c r="G557" s="13" t="str">
        <f aca="false">IFERROR(F557/C557*100,"")</f>
        <v/>
      </c>
      <c r="H557" s="11" t="n">
        <f aca="false">COUNTIFS(Verbrauch!$A$9:$A$18896,"&gt;="&amp;A557,Verbrauch!$A$9:$A$18896,"&lt;"&amp;B557,Verbrauch!$C$9:$C$18896,"&lt;&gt;")</f>
        <v>0</v>
      </c>
    </row>
    <row r="558" customFormat="false" ht="15" hidden="false" customHeight="true" outlineLevel="0" collapsed="false">
      <c r="A558" s="10" t="n">
        <v>46519</v>
      </c>
      <c r="B558" s="10" t="n">
        <v>46520</v>
      </c>
      <c r="C558" s="22" t="n">
        <f aca="false">SUMIFS(Verbrauch!$C$9:$C$18896,Verbrauch!$A$9:$A$18896,"&gt;="&amp;A558,Verbrauch!$A$9:$A$18896,"&lt;"&amp;B558)</f>
        <v>0</v>
      </c>
      <c r="D558" s="22" t="n">
        <f aca="false">SUMIFS(Verbrauch!$C$9:$C$18896,Verbrauch!$A$9:$A$18896,"&gt;="&amp;A558,Verbrauch!$A$9:$A$18896,"&lt;"&amp;B558,Verbrauch!$F$9:$F$18896,"Go")</f>
        <v>0</v>
      </c>
      <c r="E558" s="22" t="n">
        <f aca="false">SUMIFS(Verbrauch!$C$9:$C$18896,Verbrauch!$A$9:$A$18896,"&gt;="&amp;A558,Verbrauch!$A$9:$A$18896,"&lt;"&amp;B558,Verbrauch!$F$9:$F$18896,"Standard")</f>
        <v>0</v>
      </c>
      <c r="F558" s="23" t="n">
        <f aca="false">SUMIFS(Verbrauch!$E$9:$E$18896,Verbrauch!$A$9:$A$18896,"&gt;="&amp;A558,Verbrauch!$A$9:$A$18896,"&lt;"&amp;B558)</f>
        <v>0</v>
      </c>
      <c r="G558" s="13" t="str">
        <f aca="false">IFERROR(F558/C558*100,"")</f>
        <v/>
      </c>
      <c r="H558" s="11" t="n">
        <f aca="false">COUNTIFS(Verbrauch!$A$9:$A$18896,"&gt;="&amp;A558,Verbrauch!$A$9:$A$18896,"&lt;"&amp;B558,Verbrauch!$C$9:$C$18896,"&lt;&gt;")</f>
        <v>0</v>
      </c>
    </row>
    <row r="559" customFormat="false" ht="15" hidden="false" customHeight="true" outlineLevel="0" collapsed="false">
      <c r="A559" s="10" t="n">
        <v>46520</v>
      </c>
      <c r="B559" s="10" t="n">
        <v>46521</v>
      </c>
      <c r="C559" s="22" t="n">
        <f aca="false">SUMIFS(Verbrauch!$C$9:$C$18896,Verbrauch!$A$9:$A$18896,"&gt;="&amp;A559,Verbrauch!$A$9:$A$18896,"&lt;"&amp;B559)</f>
        <v>0</v>
      </c>
      <c r="D559" s="22" t="n">
        <f aca="false">SUMIFS(Verbrauch!$C$9:$C$18896,Verbrauch!$A$9:$A$18896,"&gt;="&amp;A559,Verbrauch!$A$9:$A$18896,"&lt;"&amp;B559,Verbrauch!$F$9:$F$18896,"Go")</f>
        <v>0</v>
      </c>
      <c r="E559" s="22" t="n">
        <f aca="false">SUMIFS(Verbrauch!$C$9:$C$18896,Verbrauch!$A$9:$A$18896,"&gt;="&amp;A559,Verbrauch!$A$9:$A$18896,"&lt;"&amp;B559,Verbrauch!$F$9:$F$18896,"Standard")</f>
        <v>0</v>
      </c>
      <c r="F559" s="23" t="n">
        <f aca="false">SUMIFS(Verbrauch!$E$9:$E$18896,Verbrauch!$A$9:$A$18896,"&gt;="&amp;A559,Verbrauch!$A$9:$A$18896,"&lt;"&amp;B559)</f>
        <v>0</v>
      </c>
      <c r="G559" s="13" t="str">
        <f aca="false">IFERROR(F559/C559*100,"")</f>
        <v/>
      </c>
      <c r="H559" s="11" t="n">
        <f aca="false">COUNTIFS(Verbrauch!$A$9:$A$18896,"&gt;="&amp;A559,Verbrauch!$A$9:$A$18896,"&lt;"&amp;B559,Verbrauch!$C$9:$C$18896,"&lt;&gt;")</f>
        <v>0</v>
      </c>
    </row>
    <row r="560" customFormat="false" ht="15" hidden="false" customHeight="true" outlineLevel="0" collapsed="false">
      <c r="A560" s="10" t="n">
        <v>46521</v>
      </c>
      <c r="B560" s="10" t="n">
        <v>46522</v>
      </c>
      <c r="C560" s="22" t="n">
        <f aca="false">SUMIFS(Verbrauch!$C$9:$C$18896,Verbrauch!$A$9:$A$18896,"&gt;="&amp;A560,Verbrauch!$A$9:$A$18896,"&lt;"&amp;B560)</f>
        <v>0</v>
      </c>
      <c r="D560" s="22" t="n">
        <f aca="false">SUMIFS(Verbrauch!$C$9:$C$18896,Verbrauch!$A$9:$A$18896,"&gt;="&amp;A560,Verbrauch!$A$9:$A$18896,"&lt;"&amp;B560,Verbrauch!$F$9:$F$18896,"Go")</f>
        <v>0</v>
      </c>
      <c r="E560" s="22" t="n">
        <f aca="false">SUMIFS(Verbrauch!$C$9:$C$18896,Verbrauch!$A$9:$A$18896,"&gt;="&amp;A560,Verbrauch!$A$9:$A$18896,"&lt;"&amp;B560,Verbrauch!$F$9:$F$18896,"Standard")</f>
        <v>0</v>
      </c>
      <c r="F560" s="23" t="n">
        <f aca="false">SUMIFS(Verbrauch!$E$9:$E$18896,Verbrauch!$A$9:$A$18896,"&gt;="&amp;A560,Verbrauch!$A$9:$A$18896,"&lt;"&amp;B560)</f>
        <v>0</v>
      </c>
      <c r="G560" s="13" t="str">
        <f aca="false">IFERROR(F560/C560*100,"")</f>
        <v/>
      </c>
      <c r="H560" s="11" t="n">
        <f aca="false">COUNTIFS(Verbrauch!$A$9:$A$18896,"&gt;="&amp;A560,Verbrauch!$A$9:$A$18896,"&lt;"&amp;B560,Verbrauch!$C$9:$C$18896,"&lt;&gt;")</f>
        <v>0</v>
      </c>
    </row>
    <row r="561" customFormat="false" ht="15" hidden="false" customHeight="true" outlineLevel="0" collapsed="false">
      <c r="A561" s="10" t="n">
        <v>46522</v>
      </c>
      <c r="B561" s="10" t="n">
        <v>46523</v>
      </c>
      <c r="C561" s="22" t="n">
        <f aca="false">SUMIFS(Verbrauch!$C$9:$C$18896,Verbrauch!$A$9:$A$18896,"&gt;="&amp;A561,Verbrauch!$A$9:$A$18896,"&lt;"&amp;B561)</f>
        <v>0</v>
      </c>
      <c r="D561" s="22" t="n">
        <f aca="false">SUMIFS(Verbrauch!$C$9:$C$18896,Verbrauch!$A$9:$A$18896,"&gt;="&amp;A561,Verbrauch!$A$9:$A$18896,"&lt;"&amp;B561,Verbrauch!$F$9:$F$18896,"Go")</f>
        <v>0</v>
      </c>
      <c r="E561" s="22" t="n">
        <f aca="false">SUMIFS(Verbrauch!$C$9:$C$18896,Verbrauch!$A$9:$A$18896,"&gt;="&amp;A561,Verbrauch!$A$9:$A$18896,"&lt;"&amp;B561,Verbrauch!$F$9:$F$18896,"Standard")</f>
        <v>0</v>
      </c>
      <c r="F561" s="23" t="n">
        <f aca="false">SUMIFS(Verbrauch!$E$9:$E$18896,Verbrauch!$A$9:$A$18896,"&gt;="&amp;A561,Verbrauch!$A$9:$A$18896,"&lt;"&amp;B561)</f>
        <v>0</v>
      </c>
      <c r="G561" s="13" t="str">
        <f aca="false">IFERROR(F561/C561*100,"")</f>
        <v/>
      </c>
      <c r="H561" s="11" t="n">
        <f aca="false">COUNTIFS(Verbrauch!$A$9:$A$18896,"&gt;="&amp;A561,Verbrauch!$A$9:$A$18896,"&lt;"&amp;B561,Verbrauch!$C$9:$C$18896,"&lt;&gt;")</f>
        <v>0</v>
      </c>
    </row>
    <row r="562" customFormat="false" ht="15" hidden="false" customHeight="true" outlineLevel="0" collapsed="false">
      <c r="A562" s="10" t="n">
        <v>46523</v>
      </c>
      <c r="B562" s="10" t="n">
        <v>46524</v>
      </c>
      <c r="C562" s="22" t="n">
        <f aca="false">SUMIFS(Verbrauch!$C$9:$C$18896,Verbrauch!$A$9:$A$18896,"&gt;="&amp;A562,Verbrauch!$A$9:$A$18896,"&lt;"&amp;B562)</f>
        <v>0</v>
      </c>
      <c r="D562" s="22" t="n">
        <f aca="false">SUMIFS(Verbrauch!$C$9:$C$18896,Verbrauch!$A$9:$A$18896,"&gt;="&amp;A562,Verbrauch!$A$9:$A$18896,"&lt;"&amp;B562,Verbrauch!$F$9:$F$18896,"Go")</f>
        <v>0</v>
      </c>
      <c r="E562" s="22" t="n">
        <f aca="false">SUMIFS(Verbrauch!$C$9:$C$18896,Verbrauch!$A$9:$A$18896,"&gt;="&amp;A562,Verbrauch!$A$9:$A$18896,"&lt;"&amp;B562,Verbrauch!$F$9:$F$18896,"Standard")</f>
        <v>0</v>
      </c>
      <c r="F562" s="23" t="n">
        <f aca="false">SUMIFS(Verbrauch!$E$9:$E$18896,Verbrauch!$A$9:$A$18896,"&gt;="&amp;A562,Verbrauch!$A$9:$A$18896,"&lt;"&amp;B562)</f>
        <v>0</v>
      </c>
      <c r="G562" s="13" t="str">
        <f aca="false">IFERROR(F562/C562*100,"")</f>
        <v/>
      </c>
      <c r="H562" s="11" t="n">
        <f aca="false">COUNTIFS(Verbrauch!$A$9:$A$18896,"&gt;="&amp;A562,Verbrauch!$A$9:$A$18896,"&lt;"&amp;B562,Verbrauch!$C$9:$C$18896,"&lt;&gt;")</f>
        <v>0</v>
      </c>
    </row>
    <row r="563" customFormat="false" ht="15" hidden="false" customHeight="true" outlineLevel="0" collapsed="false">
      <c r="A563" s="10" t="n">
        <v>46524</v>
      </c>
      <c r="B563" s="10" t="n">
        <v>46525</v>
      </c>
      <c r="C563" s="22" t="n">
        <f aca="false">SUMIFS(Verbrauch!$C$9:$C$18896,Verbrauch!$A$9:$A$18896,"&gt;="&amp;A563,Verbrauch!$A$9:$A$18896,"&lt;"&amp;B563)</f>
        <v>0</v>
      </c>
      <c r="D563" s="22" t="n">
        <f aca="false">SUMIFS(Verbrauch!$C$9:$C$18896,Verbrauch!$A$9:$A$18896,"&gt;="&amp;A563,Verbrauch!$A$9:$A$18896,"&lt;"&amp;B563,Verbrauch!$F$9:$F$18896,"Go")</f>
        <v>0</v>
      </c>
      <c r="E563" s="22" t="n">
        <f aca="false">SUMIFS(Verbrauch!$C$9:$C$18896,Verbrauch!$A$9:$A$18896,"&gt;="&amp;A563,Verbrauch!$A$9:$A$18896,"&lt;"&amp;B563,Verbrauch!$F$9:$F$18896,"Standard")</f>
        <v>0</v>
      </c>
      <c r="F563" s="23" t="n">
        <f aca="false">SUMIFS(Verbrauch!$E$9:$E$18896,Verbrauch!$A$9:$A$18896,"&gt;="&amp;A563,Verbrauch!$A$9:$A$18896,"&lt;"&amp;B563)</f>
        <v>0</v>
      </c>
      <c r="G563" s="13" t="str">
        <f aca="false">IFERROR(F563/C563*100,"")</f>
        <v/>
      </c>
      <c r="H563" s="11" t="n">
        <f aca="false">COUNTIFS(Verbrauch!$A$9:$A$18896,"&gt;="&amp;A563,Verbrauch!$A$9:$A$18896,"&lt;"&amp;B563,Verbrauch!$C$9:$C$18896,"&lt;&gt;")</f>
        <v>0</v>
      </c>
    </row>
    <row r="564" customFormat="false" ht="15" hidden="false" customHeight="true" outlineLevel="0" collapsed="false">
      <c r="A564" s="10" t="n">
        <v>46525</v>
      </c>
      <c r="B564" s="10" t="n">
        <v>46526</v>
      </c>
      <c r="C564" s="22" t="n">
        <f aca="false">SUMIFS(Verbrauch!$C$9:$C$18896,Verbrauch!$A$9:$A$18896,"&gt;="&amp;A564,Verbrauch!$A$9:$A$18896,"&lt;"&amp;B564)</f>
        <v>0</v>
      </c>
      <c r="D564" s="22" t="n">
        <f aca="false">SUMIFS(Verbrauch!$C$9:$C$18896,Verbrauch!$A$9:$A$18896,"&gt;="&amp;A564,Verbrauch!$A$9:$A$18896,"&lt;"&amp;B564,Verbrauch!$F$9:$F$18896,"Go")</f>
        <v>0</v>
      </c>
      <c r="E564" s="22" t="n">
        <f aca="false">SUMIFS(Verbrauch!$C$9:$C$18896,Verbrauch!$A$9:$A$18896,"&gt;="&amp;A564,Verbrauch!$A$9:$A$18896,"&lt;"&amp;B564,Verbrauch!$F$9:$F$18896,"Standard")</f>
        <v>0</v>
      </c>
      <c r="F564" s="23" t="n">
        <f aca="false">SUMIFS(Verbrauch!$E$9:$E$18896,Verbrauch!$A$9:$A$18896,"&gt;="&amp;A564,Verbrauch!$A$9:$A$18896,"&lt;"&amp;B564)</f>
        <v>0</v>
      </c>
      <c r="G564" s="13" t="str">
        <f aca="false">IFERROR(F564/C564*100,"")</f>
        <v/>
      </c>
      <c r="H564" s="11" t="n">
        <f aca="false">COUNTIFS(Verbrauch!$A$9:$A$18896,"&gt;="&amp;A564,Verbrauch!$A$9:$A$18896,"&lt;"&amp;B564,Verbrauch!$C$9:$C$18896,"&lt;&gt;")</f>
        <v>0</v>
      </c>
    </row>
    <row r="565" customFormat="false" ht="15" hidden="false" customHeight="true" outlineLevel="0" collapsed="false">
      <c r="A565" s="10" t="n">
        <v>46526</v>
      </c>
      <c r="B565" s="10" t="n">
        <v>46527</v>
      </c>
      <c r="C565" s="22" t="n">
        <f aca="false">SUMIFS(Verbrauch!$C$9:$C$18896,Verbrauch!$A$9:$A$18896,"&gt;="&amp;A565,Verbrauch!$A$9:$A$18896,"&lt;"&amp;B565)</f>
        <v>0</v>
      </c>
      <c r="D565" s="22" t="n">
        <f aca="false">SUMIFS(Verbrauch!$C$9:$C$18896,Verbrauch!$A$9:$A$18896,"&gt;="&amp;A565,Verbrauch!$A$9:$A$18896,"&lt;"&amp;B565,Verbrauch!$F$9:$F$18896,"Go")</f>
        <v>0</v>
      </c>
      <c r="E565" s="22" t="n">
        <f aca="false">SUMIFS(Verbrauch!$C$9:$C$18896,Verbrauch!$A$9:$A$18896,"&gt;="&amp;A565,Verbrauch!$A$9:$A$18896,"&lt;"&amp;B565,Verbrauch!$F$9:$F$18896,"Standard")</f>
        <v>0</v>
      </c>
      <c r="F565" s="23" t="n">
        <f aca="false">SUMIFS(Verbrauch!$E$9:$E$18896,Verbrauch!$A$9:$A$18896,"&gt;="&amp;A565,Verbrauch!$A$9:$A$18896,"&lt;"&amp;B565)</f>
        <v>0</v>
      </c>
      <c r="G565" s="13" t="str">
        <f aca="false">IFERROR(F565/C565*100,"")</f>
        <v/>
      </c>
      <c r="H565" s="11" t="n">
        <f aca="false">COUNTIFS(Verbrauch!$A$9:$A$18896,"&gt;="&amp;A565,Verbrauch!$A$9:$A$18896,"&lt;"&amp;B565,Verbrauch!$C$9:$C$18896,"&lt;&gt;")</f>
        <v>0</v>
      </c>
    </row>
    <row r="566" customFormat="false" ht="15" hidden="false" customHeight="true" outlineLevel="0" collapsed="false">
      <c r="A566" s="10" t="n">
        <v>46527</v>
      </c>
      <c r="B566" s="10" t="n">
        <v>46528</v>
      </c>
      <c r="C566" s="22" t="n">
        <f aca="false">SUMIFS(Verbrauch!$C$9:$C$18896,Verbrauch!$A$9:$A$18896,"&gt;="&amp;A566,Verbrauch!$A$9:$A$18896,"&lt;"&amp;B566)</f>
        <v>0</v>
      </c>
      <c r="D566" s="22" t="n">
        <f aca="false">SUMIFS(Verbrauch!$C$9:$C$18896,Verbrauch!$A$9:$A$18896,"&gt;="&amp;A566,Verbrauch!$A$9:$A$18896,"&lt;"&amp;B566,Verbrauch!$F$9:$F$18896,"Go")</f>
        <v>0</v>
      </c>
      <c r="E566" s="22" t="n">
        <f aca="false">SUMIFS(Verbrauch!$C$9:$C$18896,Verbrauch!$A$9:$A$18896,"&gt;="&amp;A566,Verbrauch!$A$9:$A$18896,"&lt;"&amp;B566,Verbrauch!$F$9:$F$18896,"Standard")</f>
        <v>0</v>
      </c>
      <c r="F566" s="23" t="n">
        <f aca="false">SUMIFS(Verbrauch!$E$9:$E$18896,Verbrauch!$A$9:$A$18896,"&gt;="&amp;A566,Verbrauch!$A$9:$A$18896,"&lt;"&amp;B566)</f>
        <v>0</v>
      </c>
      <c r="G566" s="13" t="str">
        <f aca="false">IFERROR(F566/C566*100,"")</f>
        <v/>
      </c>
      <c r="H566" s="11" t="n">
        <f aca="false">COUNTIFS(Verbrauch!$A$9:$A$18896,"&gt;="&amp;A566,Verbrauch!$A$9:$A$18896,"&lt;"&amp;B566,Verbrauch!$C$9:$C$18896,"&lt;&gt;")</f>
        <v>0</v>
      </c>
    </row>
    <row r="567" customFormat="false" ht="15" hidden="false" customHeight="true" outlineLevel="0" collapsed="false">
      <c r="A567" s="10" t="n">
        <v>46528</v>
      </c>
      <c r="B567" s="10" t="n">
        <v>46529</v>
      </c>
      <c r="C567" s="22" t="n">
        <f aca="false">SUMIFS(Verbrauch!$C$9:$C$18896,Verbrauch!$A$9:$A$18896,"&gt;="&amp;A567,Verbrauch!$A$9:$A$18896,"&lt;"&amp;B567)</f>
        <v>0</v>
      </c>
      <c r="D567" s="22" t="n">
        <f aca="false">SUMIFS(Verbrauch!$C$9:$C$18896,Verbrauch!$A$9:$A$18896,"&gt;="&amp;A567,Verbrauch!$A$9:$A$18896,"&lt;"&amp;B567,Verbrauch!$F$9:$F$18896,"Go")</f>
        <v>0</v>
      </c>
      <c r="E567" s="22" t="n">
        <f aca="false">SUMIFS(Verbrauch!$C$9:$C$18896,Verbrauch!$A$9:$A$18896,"&gt;="&amp;A567,Verbrauch!$A$9:$A$18896,"&lt;"&amp;B567,Verbrauch!$F$9:$F$18896,"Standard")</f>
        <v>0</v>
      </c>
      <c r="F567" s="23" t="n">
        <f aca="false">SUMIFS(Verbrauch!$E$9:$E$18896,Verbrauch!$A$9:$A$18896,"&gt;="&amp;A567,Verbrauch!$A$9:$A$18896,"&lt;"&amp;B567)</f>
        <v>0</v>
      </c>
      <c r="G567" s="13" t="str">
        <f aca="false">IFERROR(F567/C567*100,"")</f>
        <v/>
      </c>
      <c r="H567" s="11" t="n">
        <f aca="false">COUNTIFS(Verbrauch!$A$9:$A$18896,"&gt;="&amp;A567,Verbrauch!$A$9:$A$18896,"&lt;"&amp;B567,Verbrauch!$C$9:$C$18896,"&lt;&gt;")</f>
        <v>0</v>
      </c>
    </row>
    <row r="568" customFormat="false" ht="15" hidden="false" customHeight="true" outlineLevel="0" collapsed="false">
      <c r="A568" s="10" t="n">
        <v>46529</v>
      </c>
      <c r="B568" s="10" t="n">
        <v>46530</v>
      </c>
      <c r="C568" s="22" t="n">
        <f aca="false">SUMIFS(Verbrauch!$C$9:$C$18896,Verbrauch!$A$9:$A$18896,"&gt;="&amp;A568,Verbrauch!$A$9:$A$18896,"&lt;"&amp;B568)</f>
        <v>0</v>
      </c>
      <c r="D568" s="22" t="n">
        <f aca="false">SUMIFS(Verbrauch!$C$9:$C$18896,Verbrauch!$A$9:$A$18896,"&gt;="&amp;A568,Verbrauch!$A$9:$A$18896,"&lt;"&amp;B568,Verbrauch!$F$9:$F$18896,"Go")</f>
        <v>0</v>
      </c>
      <c r="E568" s="22" t="n">
        <f aca="false">SUMIFS(Verbrauch!$C$9:$C$18896,Verbrauch!$A$9:$A$18896,"&gt;="&amp;A568,Verbrauch!$A$9:$A$18896,"&lt;"&amp;B568,Verbrauch!$F$9:$F$18896,"Standard")</f>
        <v>0</v>
      </c>
      <c r="F568" s="23" t="n">
        <f aca="false">SUMIFS(Verbrauch!$E$9:$E$18896,Verbrauch!$A$9:$A$18896,"&gt;="&amp;A568,Verbrauch!$A$9:$A$18896,"&lt;"&amp;B568)</f>
        <v>0</v>
      </c>
      <c r="G568" s="13" t="str">
        <f aca="false">IFERROR(F568/C568*100,"")</f>
        <v/>
      </c>
      <c r="H568" s="11" t="n">
        <f aca="false">COUNTIFS(Verbrauch!$A$9:$A$18896,"&gt;="&amp;A568,Verbrauch!$A$9:$A$18896,"&lt;"&amp;B568,Verbrauch!$C$9:$C$18896,"&lt;&gt;")</f>
        <v>0</v>
      </c>
    </row>
    <row r="569" customFormat="false" ht="15" hidden="false" customHeight="true" outlineLevel="0" collapsed="false">
      <c r="A569" s="10" t="n">
        <v>46530</v>
      </c>
      <c r="B569" s="10" t="n">
        <v>46531</v>
      </c>
      <c r="C569" s="22" t="n">
        <f aca="false">SUMIFS(Verbrauch!$C$9:$C$18896,Verbrauch!$A$9:$A$18896,"&gt;="&amp;A569,Verbrauch!$A$9:$A$18896,"&lt;"&amp;B569)</f>
        <v>0</v>
      </c>
      <c r="D569" s="22" t="n">
        <f aca="false">SUMIFS(Verbrauch!$C$9:$C$18896,Verbrauch!$A$9:$A$18896,"&gt;="&amp;A569,Verbrauch!$A$9:$A$18896,"&lt;"&amp;B569,Verbrauch!$F$9:$F$18896,"Go")</f>
        <v>0</v>
      </c>
      <c r="E569" s="22" t="n">
        <f aca="false">SUMIFS(Verbrauch!$C$9:$C$18896,Verbrauch!$A$9:$A$18896,"&gt;="&amp;A569,Verbrauch!$A$9:$A$18896,"&lt;"&amp;B569,Verbrauch!$F$9:$F$18896,"Standard")</f>
        <v>0</v>
      </c>
      <c r="F569" s="23" t="n">
        <f aca="false">SUMIFS(Verbrauch!$E$9:$E$18896,Verbrauch!$A$9:$A$18896,"&gt;="&amp;A569,Verbrauch!$A$9:$A$18896,"&lt;"&amp;B569)</f>
        <v>0</v>
      </c>
      <c r="G569" s="13" t="str">
        <f aca="false">IFERROR(F569/C569*100,"")</f>
        <v/>
      </c>
      <c r="H569" s="11" t="n">
        <f aca="false">COUNTIFS(Verbrauch!$A$9:$A$18896,"&gt;="&amp;A569,Verbrauch!$A$9:$A$18896,"&lt;"&amp;B569,Verbrauch!$C$9:$C$18896,"&lt;&gt;")</f>
        <v>0</v>
      </c>
    </row>
    <row r="570" customFormat="false" ht="15" hidden="false" customHeight="true" outlineLevel="0" collapsed="false">
      <c r="A570" s="10" t="n">
        <v>46531</v>
      </c>
      <c r="B570" s="10" t="n">
        <v>46532</v>
      </c>
      <c r="C570" s="22" t="n">
        <f aca="false">SUMIFS(Verbrauch!$C$9:$C$18896,Verbrauch!$A$9:$A$18896,"&gt;="&amp;A570,Verbrauch!$A$9:$A$18896,"&lt;"&amp;B570)</f>
        <v>0</v>
      </c>
      <c r="D570" s="22" t="n">
        <f aca="false">SUMIFS(Verbrauch!$C$9:$C$18896,Verbrauch!$A$9:$A$18896,"&gt;="&amp;A570,Verbrauch!$A$9:$A$18896,"&lt;"&amp;B570,Verbrauch!$F$9:$F$18896,"Go")</f>
        <v>0</v>
      </c>
      <c r="E570" s="22" t="n">
        <f aca="false">SUMIFS(Verbrauch!$C$9:$C$18896,Verbrauch!$A$9:$A$18896,"&gt;="&amp;A570,Verbrauch!$A$9:$A$18896,"&lt;"&amp;B570,Verbrauch!$F$9:$F$18896,"Standard")</f>
        <v>0</v>
      </c>
      <c r="F570" s="23" t="n">
        <f aca="false">SUMIFS(Verbrauch!$E$9:$E$18896,Verbrauch!$A$9:$A$18896,"&gt;="&amp;A570,Verbrauch!$A$9:$A$18896,"&lt;"&amp;B570)</f>
        <v>0</v>
      </c>
      <c r="G570" s="13" t="str">
        <f aca="false">IFERROR(F570/C570*100,"")</f>
        <v/>
      </c>
      <c r="H570" s="11" t="n">
        <f aca="false">COUNTIFS(Verbrauch!$A$9:$A$18896,"&gt;="&amp;A570,Verbrauch!$A$9:$A$18896,"&lt;"&amp;B570,Verbrauch!$C$9:$C$18896,"&lt;&gt;")</f>
        <v>0</v>
      </c>
    </row>
    <row r="571" customFormat="false" ht="15" hidden="false" customHeight="true" outlineLevel="0" collapsed="false">
      <c r="A571" s="10" t="n">
        <v>46532</v>
      </c>
      <c r="B571" s="10" t="n">
        <v>46533</v>
      </c>
      <c r="C571" s="22" t="n">
        <f aca="false">SUMIFS(Verbrauch!$C$9:$C$18896,Verbrauch!$A$9:$A$18896,"&gt;="&amp;A571,Verbrauch!$A$9:$A$18896,"&lt;"&amp;B571)</f>
        <v>0</v>
      </c>
      <c r="D571" s="22" t="n">
        <f aca="false">SUMIFS(Verbrauch!$C$9:$C$18896,Verbrauch!$A$9:$A$18896,"&gt;="&amp;A571,Verbrauch!$A$9:$A$18896,"&lt;"&amp;B571,Verbrauch!$F$9:$F$18896,"Go")</f>
        <v>0</v>
      </c>
      <c r="E571" s="22" t="n">
        <f aca="false">SUMIFS(Verbrauch!$C$9:$C$18896,Verbrauch!$A$9:$A$18896,"&gt;="&amp;A571,Verbrauch!$A$9:$A$18896,"&lt;"&amp;B571,Verbrauch!$F$9:$F$18896,"Standard")</f>
        <v>0</v>
      </c>
      <c r="F571" s="23" t="n">
        <f aca="false">SUMIFS(Verbrauch!$E$9:$E$18896,Verbrauch!$A$9:$A$18896,"&gt;="&amp;A571,Verbrauch!$A$9:$A$18896,"&lt;"&amp;B571)</f>
        <v>0</v>
      </c>
      <c r="G571" s="13" t="str">
        <f aca="false">IFERROR(F571/C571*100,"")</f>
        <v/>
      </c>
      <c r="H571" s="11" t="n">
        <f aca="false">COUNTIFS(Verbrauch!$A$9:$A$18896,"&gt;="&amp;A571,Verbrauch!$A$9:$A$18896,"&lt;"&amp;B571,Verbrauch!$C$9:$C$18896,"&lt;&gt;")</f>
        <v>0</v>
      </c>
    </row>
    <row r="572" customFormat="false" ht="15" hidden="false" customHeight="true" outlineLevel="0" collapsed="false">
      <c r="A572" s="10" t="n">
        <v>46533</v>
      </c>
      <c r="B572" s="10" t="n">
        <v>46534</v>
      </c>
      <c r="C572" s="22" t="n">
        <f aca="false">SUMIFS(Verbrauch!$C$9:$C$18896,Verbrauch!$A$9:$A$18896,"&gt;="&amp;A572,Verbrauch!$A$9:$A$18896,"&lt;"&amp;B572)</f>
        <v>0</v>
      </c>
      <c r="D572" s="22" t="n">
        <f aca="false">SUMIFS(Verbrauch!$C$9:$C$18896,Verbrauch!$A$9:$A$18896,"&gt;="&amp;A572,Verbrauch!$A$9:$A$18896,"&lt;"&amp;B572,Verbrauch!$F$9:$F$18896,"Go")</f>
        <v>0</v>
      </c>
      <c r="E572" s="22" t="n">
        <f aca="false">SUMIFS(Verbrauch!$C$9:$C$18896,Verbrauch!$A$9:$A$18896,"&gt;="&amp;A572,Verbrauch!$A$9:$A$18896,"&lt;"&amp;B572,Verbrauch!$F$9:$F$18896,"Standard")</f>
        <v>0</v>
      </c>
      <c r="F572" s="23" t="n">
        <f aca="false">SUMIFS(Verbrauch!$E$9:$E$18896,Verbrauch!$A$9:$A$18896,"&gt;="&amp;A572,Verbrauch!$A$9:$A$18896,"&lt;"&amp;B572)</f>
        <v>0</v>
      </c>
      <c r="G572" s="13" t="str">
        <f aca="false">IFERROR(F572/C572*100,"")</f>
        <v/>
      </c>
      <c r="H572" s="11" t="n">
        <f aca="false">COUNTIFS(Verbrauch!$A$9:$A$18896,"&gt;="&amp;A572,Verbrauch!$A$9:$A$18896,"&lt;"&amp;B572,Verbrauch!$C$9:$C$18896,"&lt;&gt;")</f>
        <v>0</v>
      </c>
    </row>
    <row r="573" customFormat="false" ht="15" hidden="false" customHeight="true" outlineLevel="0" collapsed="false">
      <c r="A573" s="10" t="n">
        <v>46534</v>
      </c>
      <c r="B573" s="10" t="n">
        <v>46535</v>
      </c>
      <c r="C573" s="22" t="n">
        <f aca="false">SUMIFS(Verbrauch!$C$9:$C$18896,Verbrauch!$A$9:$A$18896,"&gt;="&amp;A573,Verbrauch!$A$9:$A$18896,"&lt;"&amp;B573)</f>
        <v>0</v>
      </c>
      <c r="D573" s="22" t="n">
        <f aca="false">SUMIFS(Verbrauch!$C$9:$C$18896,Verbrauch!$A$9:$A$18896,"&gt;="&amp;A573,Verbrauch!$A$9:$A$18896,"&lt;"&amp;B573,Verbrauch!$F$9:$F$18896,"Go")</f>
        <v>0</v>
      </c>
      <c r="E573" s="22" t="n">
        <f aca="false">SUMIFS(Verbrauch!$C$9:$C$18896,Verbrauch!$A$9:$A$18896,"&gt;="&amp;A573,Verbrauch!$A$9:$A$18896,"&lt;"&amp;B573,Verbrauch!$F$9:$F$18896,"Standard")</f>
        <v>0</v>
      </c>
      <c r="F573" s="23" t="n">
        <f aca="false">SUMIFS(Verbrauch!$E$9:$E$18896,Verbrauch!$A$9:$A$18896,"&gt;="&amp;A573,Verbrauch!$A$9:$A$18896,"&lt;"&amp;B573)</f>
        <v>0</v>
      </c>
      <c r="G573" s="13" t="str">
        <f aca="false">IFERROR(F573/C573*100,"")</f>
        <v/>
      </c>
      <c r="H573" s="11" t="n">
        <f aca="false">COUNTIFS(Verbrauch!$A$9:$A$18896,"&gt;="&amp;A573,Verbrauch!$A$9:$A$18896,"&lt;"&amp;B573,Verbrauch!$C$9:$C$18896,"&lt;&gt;")</f>
        <v>0</v>
      </c>
    </row>
    <row r="574" customFormat="false" ht="15" hidden="false" customHeight="true" outlineLevel="0" collapsed="false">
      <c r="A574" s="10" t="n">
        <v>46535</v>
      </c>
      <c r="B574" s="10" t="n">
        <v>46536</v>
      </c>
      <c r="C574" s="22" t="n">
        <f aca="false">SUMIFS(Verbrauch!$C$9:$C$18896,Verbrauch!$A$9:$A$18896,"&gt;="&amp;A574,Verbrauch!$A$9:$A$18896,"&lt;"&amp;B574)</f>
        <v>0</v>
      </c>
      <c r="D574" s="22" t="n">
        <f aca="false">SUMIFS(Verbrauch!$C$9:$C$18896,Verbrauch!$A$9:$A$18896,"&gt;="&amp;A574,Verbrauch!$A$9:$A$18896,"&lt;"&amp;B574,Verbrauch!$F$9:$F$18896,"Go")</f>
        <v>0</v>
      </c>
      <c r="E574" s="22" t="n">
        <f aca="false">SUMIFS(Verbrauch!$C$9:$C$18896,Verbrauch!$A$9:$A$18896,"&gt;="&amp;A574,Verbrauch!$A$9:$A$18896,"&lt;"&amp;B574,Verbrauch!$F$9:$F$18896,"Standard")</f>
        <v>0</v>
      </c>
      <c r="F574" s="23" t="n">
        <f aca="false">SUMIFS(Verbrauch!$E$9:$E$18896,Verbrauch!$A$9:$A$18896,"&gt;="&amp;A574,Verbrauch!$A$9:$A$18896,"&lt;"&amp;B574)</f>
        <v>0</v>
      </c>
      <c r="G574" s="13" t="str">
        <f aca="false">IFERROR(F574/C574*100,"")</f>
        <v/>
      </c>
      <c r="H574" s="11" t="n">
        <f aca="false">COUNTIFS(Verbrauch!$A$9:$A$18896,"&gt;="&amp;A574,Verbrauch!$A$9:$A$18896,"&lt;"&amp;B574,Verbrauch!$C$9:$C$18896,"&lt;&gt;")</f>
        <v>0</v>
      </c>
    </row>
    <row r="575" customFormat="false" ht="15" hidden="false" customHeight="true" outlineLevel="0" collapsed="false">
      <c r="A575" s="10" t="n">
        <v>46536</v>
      </c>
      <c r="B575" s="10" t="n">
        <v>46537</v>
      </c>
      <c r="C575" s="22" t="n">
        <f aca="false">SUMIFS(Verbrauch!$C$9:$C$18896,Verbrauch!$A$9:$A$18896,"&gt;="&amp;A575,Verbrauch!$A$9:$A$18896,"&lt;"&amp;B575)</f>
        <v>0</v>
      </c>
      <c r="D575" s="22" t="n">
        <f aca="false">SUMIFS(Verbrauch!$C$9:$C$18896,Verbrauch!$A$9:$A$18896,"&gt;="&amp;A575,Verbrauch!$A$9:$A$18896,"&lt;"&amp;B575,Verbrauch!$F$9:$F$18896,"Go")</f>
        <v>0</v>
      </c>
      <c r="E575" s="22" t="n">
        <f aca="false">SUMIFS(Verbrauch!$C$9:$C$18896,Verbrauch!$A$9:$A$18896,"&gt;="&amp;A575,Verbrauch!$A$9:$A$18896,"&lt;"&amp;B575,Verbrauch!$F$9:$F$18896,"Standard")</f>
        <v>0</v>
      </c>
      <c r="F575" s="23" t="n">
        <f aca="false">SUMIFS(Verbrauch!$E$9:$E$18896,Verbrauch!$A$9:$A$18896,"&gt;="&amp;A575,Verbrauch!$A$9:$A$18896,"&lt;"&amp;B575)</f>
        <v>0</v>
      </c>
      <c r="G575" s="13" t="str">
        <f aca="false">IFERROR(F575/C575*100,"")</f>
        <v/>
      </c>
      <c r="H575" s="11" t="n">
        <f aca="false">COUNTIFS(Verbrauch!$A$9:$A$18896,"&gt;="&amp;A575,Verbrauch!$A$9:$A$18896,"&lt;"&amp;B575,Verbrauch!$C$9:$C$18896,"&lt;&gt;")</f>
        <v>0</v>
      </c>
    </row>
    <row r="576" customFormat="false" ht="15" hidden="false" customHeight="true" outlineLevel="0" collapsed="false">
      <c r="A576" s="10" t="n">
        <v>46537</v>
      </c>
      <c r="B576" s="10" t="n">
        <v>46538</v>
      </c>
      <c r="C576" s="22" t="n">
        <f aca="false">SUMIFS(Verbrauch!$C$9:$C$18896,Verbrauch!$A$9:$A$18896,"&gt;="&amp;A576,Verbrauch!$A$9:$A$18896,"&lt;"&amp;B576)</f>
        <v>0</v>
      </c>
      <c r="D576" s="22" t="n">
        <f aca="false">SUMIFS(Verbrauch!$C$9:$C$18896,Verbrauch!$A$9:$A$18896,"&gt;="&amp;A576,Verbrauch!$A$9:$A$18896,"&lt;"&amp;B576,Verbrauch!$F$9:$F$18896,"Go")</f>
        <v>0</v>
      </c>
      <c r="E576" s="22" t="n">
        <f aca="false">SUMIFS(Verbrauch!$C$9:$C$18896,Verbrauch!$A$9:$A$18896,"&gt;="&amp;A576,Verbrauch!$A$9:$A$18896,"&lt;"&amp;B576,Verbrauch!$F$9:$F$18896,"Standard")</f>
        <v>0</v>
      </c>
      <c r="F576" s="23" t="n">
        <f aca="false">SUMIFS(Verbrauch!$E$9:$E$18896,Verbrauch!$A$9:$A$18896,"&gt;="&amp;A576,Verbrauch!$A$9:$A$18896,"&lt;"&amp;B576)</f>
        <v>0</v>
      </c>
      <c r="G576" s="13" t="str">
        <f aca="false">IFERROR(F576/C576*100,"")</f>
        <v/>
      </c>
      <c r="H576" s="11" t="n">
        <f aca="false">COUNTIFS(Verbrauch!$A$9:$A$18896,"&gt;="&amp;A576,Verbrauch!$A$9:$A$18896,"&lt;"&amp;B576,Verbrauch!$C$9:$C$18896,"&lt;&gt;")</f>
        <v>0</v>
      </c>
    </row>
    <row r="577" customFormat="false" ht="15" hidden="false" customHeight="true" outlineLevel="0" collapsed="false">
      <c r="A577" s="10" t="n">
        <v>46538</v>
      </c>
      <c r="B577" s="10" t="n">
        <v>46539</v>
      </c>
      <c r="C577" s="22" t="n">
        <f aca="false">SUMIFS(Verbrauch!$C$9:$C$18896,Verbrauch!$A$9:$A$18896,"&gt;="&amp;A577,Verbrauch!$A$9:$A$18896,"&lt;"&amp;B577)</f>
        <v>0</v>
      </c>
      <c r="D577" s="22" t="n">
        <f aca="false">SUMIFS(Verbrauch!$C$9:$C$18896,Verbrauch!$A$9:$A$18896,"&gt;="&amp;A577,Verbrauch!$A$9:$A$18896,"&lt;"&amp;B577,Verbrauch!$F$9:$F$18896,"Go")</f>
        <v>0</v>
      </c>
      <c r="E577" s="22" t="n">
        <f aca="false">SUMIFS(Verbrauch!$C$9:$C$18896,Verbrauch!$A$9:$A$18896,"&gt;="&amp;A577,Verbrauch!$A$9:$A$18896,"&lt;"&amp;B577,Verbrauch!$F$9:$F$18896,"Standard")</f>
        <v>0</v>
      </c>
      <c r="F577" s="23" t="n">
        <f aca="false">SUMIFS(Verbrauch!$E$9:$E$18896,Verbrauch!$A$9:$A$18896,"&gt;="&amp;A577,Verbrauch!$A$9:$A$18896,"&lt;"&amp;B577)</f>
        <v>0</v>
      </c>
      <c r="G577" s="13" t="str">
        <f aca="false">IFERROR(F577/C577*100,"")</f>
        <v/>
      </c>
      <c r="H577" s="11" t="n">
        <f aca="false">COUNTIFS(Verbrauch!$A$9:$A$18896,"&gt;="&amp;A577,Verbrauch!$A$9:$A$18896,"&lt;"&amp;B577,Verbrauch!$C$9:$C$18896,"&lt;&gt;")</f>
        <v>0</v>
      </c>
    </row>
    <row r="578" customFormat="false" ht="15" hidden="false" customHeight="true" outlineLevel="0" collapsed="false">
      <c r="A578" s="10" t="n">
        <v>46539</v>
      </c>
      <c r="B578" s="10" t="n">
        <v>46540</v>
      </c>
      <c r="C578" s="22" t="n">
        <f aca="false">SUMIFS(Verbrauch!$C$9:$C$18896,Verbrauch!$A$9:$A$18896,"&gt;="&amp;A578,Verbrauch!$A$9:$A$18896,"&lt;"&amp;B578)</f>
        <v>0</v>
      </c>
      <c r="D578" s="22" t="n">
        <f aca="false">SUMIFS(Verbrauch!$C$9:$C$18896,Verbrauch!$A$9:$A$18896,"&gt;="&amp;A578,Verbrauch!$A$9:$A$18896,"&lt;"&amp;B578,Verbrauch!$F$9:$F$18896,"Go")</f>
        <v>0</v>
      </c>
      <c r="E578" s="22" t="n">
        <f aca="false">SUMIFS(Verbrauch!$C$9:$C$18896,Verbrauch!$A$9:$A$18896,"&gt;="&amp;A578,Verbrauch!$A$9:$A$18896,"&lt;"&amp;B578,Verbrauch!$F$9:$F$18896,"Standard")</f>
        <v>0</v>
      </c>
      <c r="F578" s="23" t="n">
        <f aca="false">SUMIFS(Verbrauch!$E$9:$E$18896,Verbrauch!$A$9:$A$18896,"&gt;="&amp;A578,Verbrauch!$A$9:$A$18896,"&lt;"&amp;B578)</f>
        <v>0</v>
      </c>
      <c r="G578" s="13" t="str">
        <f aca="false">IFERROR(F578/C578*100,"")</f>
        <v/>
      </c>
      <c r="H578" s="11" t="n">
        <f aca="false">COUNTIFS(Verbrauch!$A$9:$A$18896,"&gt;="&amp;A578,Verbrauch!$A$9:$A$18896,"&lt;"&amp;B578,Verbrauch!$C$9:$C$18896,"&lt;&gt;")</f>
        <v>0</v>
      </c>
    </row>
    <row r="579" customFormat="false" ht="15" hidden="false" customHeight="true" outlineLevel="0" collapsed="false">
      <c r="A579" s="10" t="n">
        <v>46540</v>
      </c>
      <c r="B579" s="10" t="n">
        <v>46541</v>
      </c>
      <c r="C579" s="22" t="n">
        <f aca="false">SUMIFS(Verbrauch!$C$9:$C$18896,Verbrauch!$A$9:$A$18896,"&gt;="&amp;A579,Verbrauch!$A$9:$A$18896,"&lt;"&amp;B579)</f>
        <v>0</v>
      </c>
      <c r="D579" s="22" t="n">
        <f aca="false">SUMIFS(Verbrauch!$C$9:$C$18896,Verbrauch!$A$9:$A$18896,"&gt;="&amp;A579,Verbrauch!$A$9:$A$18896,"&lt;"&amp;B579,Verbrauch!$F$9:$F$18896,"Go")</f>
        <v>0</v>
      </c>
      <c r="E579" s="22" t="n">
        <f aca="false">SUMIFS(Verbrauch!$C$9:$C$18896,Verbrauch!$A$9:$A$18896,"&gt;="&amp;A579,Verbrauch!$A$9:$A$18896,"&lt;"&amp;B579,Verbrauch!$F$9:$F$18896,"Standard")</f>
        <v>0</v>
      </c>
      <c r="F579" s="23" t="n">
        <f aca="false">SUMIFS(Verbrauch!$E$9:$E$18896,Verbrauch!$A$9:$A$18896,"&gt;="&amp;A579,Verbrauch!$A$9:$A$18896,"&lt;"&amp;B579)</f>
        <v>0</v>
      </c>
      <c r="G579" s="13" t="str">
        <f aca="false">IFERROR(F579/C579*100,"")</f>
        <v/>
      </c>
      <c r="H579" s="11" t="n">
        <f aca="false">COUNTIFS(Verbrauch!$A$9:$A$18896,"&gt;="&amp;A579,Verbrauch!$A$9:$A$18896,"&lt;"&amp;B579,Verbrauch!$C$9:$C$18896,"&lt;&gt;")</f>
        <v>0</v>
      </c>
    </row>
    <row r="580" customFormat="false" ht="15" hidden="false" customHeight="true" outlineLevel="0" collapsed="false">
      <c r="A580" s="10" t="n">
        <v>46541</v>
      </c>
      <c r="B580" s="10" t="n">
        <v>46542</v>
      </c>
      <c r="C580" s="22" t="n">
        <f aca="false">SUMIFS(Verbrauch!$C$9:$C$18896,Verbrauch!$A$9:$A$18896,"&gt;="&amp;A580,Verbrauch!$A$9:$A$18896,"&lt;"&amp;B580)</f>
        <v>0</v>
      </c>
      <c r="D580" s="22" t="n">
        <f aca="false">SUMIFS(Verbrauch!$C$9:$C$18896,Verbrauch!$A$9:$A$18896,"&gt;="&amp;A580,Verbrauch!$A$9:$A$18896,"&lt;"&amp;B580,Verbrauch!$F$9:$F$18896,"Go")</f>
        <v>0</v>
      </c>
      <c r="E580" s="22" t="n">
        <f aca="false">SUMIFS(Verbrauch!$C$9:$C$18896,Verbrauch!$A$9:$A$18896,"&gt;="&amp;A580,Verbrauch!$A$9:$A$18896,"&lt;"&amp;B580,Verbrauch!$F$9:$F$18896,"Standard")</f>
        <v>0</v>
      </c>
      <c r="F580" s="23" t="n">
        <f aca="false">SUMIFS(Verbrauch!$E$9:$E$18896,Verbrauch!$A$9:$A$18896,"&gt;="&amp;A580,Verbrauch!$A$9:$A$18896,"&lt;"&amp;B580)</f>
        <v>0</v>
      </c>
      <c r="G580" s="13" t="str">
        <f aca="false">IFERROR(F580/C580*100,"")</f>
        <v/>
      </c>
      <c r="H580" s="11" t="n">
        <f aca="false">COUNTIFS(Verbrauch!$A$9:$A$18896,"&gt;="&amp;A580,Verbrauch!$A$9:$A$18896,"&lt;"&amp;B580,Verbrauch!$C$9:$C$18896,"&lt;&gt;")</f>
        <v>0</v>
      </c>
    </row>
    <row r="581" customFormat="false" ht="15" hidden="false" customHeight="true" outlineLevel="0" collapsed="false">
      <c r="A581" s="10" t="n">
        <v>46542</v>
      </c>
      <c r="B581" s="10" t="n">
        <v>46543</v>
      </c>
      <c r="C581" s="22" t="n">
        <f aca="false">SUMIFS(Verbrauch!$C$9:$C$18896,Verbrauch!$A$9:$A$18896,"&gt;="&amp;A581,Verbrauch!$A$9:$A$18896,"&lt;"&amp;B581)</f>
        <v>0</v>
      </c>
      <c r="D581" s="22" t="n">
        <f aca="false">SUMIFS(Verbrauch!$C$9:$C$18896,Verbrauch!$A$9:$A$18896,"&gt;="&amp;A581,Verbrauch!$A$9:$A$18896,"&lt;"&amp;B581,Verbrauch!$F$9:$F$18896,"Go")</f>
        <v>0</v>
      </c>
      <c r="E581" s="22" t="n">
        <f aca="false">SUMIFS(Verbrauch!$C$9:$C$18896,Verbrauch!$A$9:$A$18896,"&gt;="&amp;A581,Verbrauch!$A$9:$A$18896,"&lt;"&amp;B581,Verbrauch!$F$9:$F$18896,"Standard")</f>
        <v>0</v>
      </c>
      <c r="F581" s="23" t="n">
        <f aca="false">SUMIFS(Verbrauch!$E$9:$E$18896,Verbrauch!$A$9:$A$18896,"&gt;="&amp;A581,Verbrauch!$A$9:$A$18896,"&lt;"&amp;B581)</f>
        <v>0</v>
      </c>
      <c r="G581" s="13" t="str">
        <f aca="false">IFERROR(F581/C581*100,"")</f>
        <v/>
      </c>
      <c r="H581" s="11" t="n">
        <f aca="false">COUNTIFS(Verbrauch!$A$9:$A$18896,"&gt;="&amp;A581,Verbrauch!$A$9:$A$18896,"&lt;"&amp;B581,Verbrauch!$C$9:$C$18896,"&lt;&gt;")</f>
        <v>0</v>
      </c>
    </row>
    <row r="582" customFormat="false" ht="15" hidden="false" customHeight="true" outlineLevel="0" collapsed="false">
      <c r="A582" s="10" t="n">
        <v>46543</v>
      </c>
      <c r="B582" s="10" t="n">
        <v>46544</v>
      </c>
      <c r="C582" s="22" t="n">
        <f aca="false">SUMIFS(Verbrauch!$C$9:$C$18896,Verbrauch!$A$9:$A$18896,"&gt;="&amp;A582,Verbrauch!$A$9:$A$18896,"&lt;"&amp;B582)</f>
        <v>0</v>
      </c>
      <c r="D582" s="22" t="n">
        <f aca="false">SUMIFS(Verbrauch!$C$9:$C$18896,Verbrauch!$A$9:$A$18896,"&gt;="&amp;A582,Verbrauch!$A$9:$A$18896,"&lt;"&amp;B582,Verbrauch!$F$9:$F$18896,"Go")</f>
        <v>0</v>
      </c>
      <c r="E582" s="22" t="n">
        <f aca="false">SUMIFS(Verbrauch!$C$9:$C$18896,Verbrauch!$A$9:$A$18896,"&gt;="&amp;A582,Verbrauch!$A$9:$A$18896,"&lt;"&amp;B582,Verbrauch!$F$9:$F$18896,"Standard")</f>
        <v>0</v>
      </c>
      <c r="F582" s="23" t="n">
        <f aca="false">SUMIFS(Verbrauch!$E$9:$E$18896,Verbrauch!$A$9:$A$18896,"&gt;="&amp;A582,Verbrauch!$A$9:$A$18896,"&lt;"&amp;B582)</f>
        <v>0</v>
      </c>
      <c r="G582" s="13" t="str">
        <f aca="false">IFERROR(F582/C582*100,"")</f>
        <v/>
      </c>
      <c r="H582" s="11" t="n">
        <f aca="false">COUNTIFS(Verbrauch!$A$9:$A$18896,"&gt;="&amp;A582,Verbrauch!$A$9:$A$18896,"&lt;"&amp;B582,Verbrauch!$C$9:$C$18896,"&lt;&gt;")</f>
        <v>0</v>
      </c>
    </row>
    <row r="583" customFormat="false" ht="15" hidden="false" customHeight="true" outlineLevel="0" collapsed="false">
      <c r="A583" s="10" t="n">
        <v>46544</v>
      </c>
      <c r="B583" s="10" t="n">
        <v>46545</v>
      </c>
      <c r="C583" s="22" t="n">
        <f aca="false">SUMIFS(Verbrauch!$C$9:$C$18896,Verbrauch!$A$9:$A$18896,"&gt;="&amp;A583,Verbrauch!$A$9:$A$18896,"&lt;"&amp;B583)</f>
        <v>0</v>
      </c>
      <c r="D583" s="22" t="n">
        <f aca="false">SUMIFS(Verbrauch!$C$9:$C$18896,Verbrauch!$A$9:$A$18896,"&gt;="&amp;A583,Verbrauch!$A$9:$A$18896,"&lt;"&amp;B583,Verbrauch!$F$9:$F$18896,"Go")</f>
        <v>0</v>
      </c>
      <c r="E583" s="22" t="n">
        <f aca="false">SUMIFS(Verbrauch!$C$9:$C$18896,Verbrauch!$A$9:$A$18896,"&gt;="&amp;A583,Verbrauch!$A$9:$A$18896,"&lt;"&amp;B583,Verbrauch!$F$9:$F$18896,"Standard")</f>
        <v>0</v>
      </c>
      <c r="F583" s="23" t="n">
        <f aca="false">SUMIFS(Verbrauch!$E$9:$E$18896,Verbrauch!$A$9:$A$18896,"&gt;="&amp;A583,Verbrauch!$A$9:$A$18896,"&lt;"&amp;B583)</f>
        <v>0</v>
      </c>
      <c r="G583" s="13" t="str">
        <f aca="false">IFERROR(F583/C583*100,"")</f>
        <v/>
      </c>
      <c r="H583" s="11" t="n">
        <f aca="false">COUNTIFS(Verbrauch!$A$9:$A$18896,"&gt;="&amp;A583,Verbrauch!$A$9:$A$18896,"&lt;"&amp;B583,Verbrauch!$C$9:$C$18896,"&lt;&gt;")</f>
        <v>0</v>
      </c>
    </row>
    <row r="584" customFormat="false" ht="15" hidden="false" customHeight="true" outlineLevel="0" collapsed="false">
      <c r="A584" s="10" t="n">
        <v>46545</v>
      </c>
      <c r="B584" s="10" t="n">
        <v>46546</v>
      </c>
      <c r="C584" s="22" t="n">
        <f aca="false">SUMIFS(Verbrauch!$C$9:$C$18896,Verbrauch!$A$9:$A$18896,"&gt;="&amp;A584,Verbrauch!$A$9:$A$18896,"&lt;"&amp;B584)</f>
        <v>0</v>
      </c>
      <c r="D584" s="22" t="n">
        <f aca="false">SUMIFS(Verbrauch!$C$9:$C$18896,Verbrauch!$A$9:$A$18896,"&gt;="&amp;A584,Verbrauch!$A$9:$A$18896,"&lt;"&amp;B584,Verbrauch!$F$9:$F$18896,"Go")</f>
        <v>0</v>
      </c>
      <c r="E584" s="22" t="n">
        <f aca="false">SUMIFS(Verbrauch!$C$9:$C$18896,Verbrauch!$A$9:$A$18896,"&gt;="&amp;A584,Verbrauch!$A$9:$A$18896,"&lt;"&amp;B584,Verbrauch!$F$9:$F$18896,"Standard")</f>
        <v>0</v>
      </c>
      <c r="F584" s="23" t="n">
        <f aca="false">SUMIFS(Verbrauch!$E$9:$E$18896,Verbrauch!$A$9:$A$18896,"&gt;="&amp;A584,Verbrauch!$A$9:$A$18896,"&lt;"&amp;B584)</f>
        <v>0</v>
      </c>
      <c r="G584" s="13" t="str">
        <f aca="false">IFERROR(F584/C584*100,"")</f>
        <v/>
      </c>
      <c r="H584" s="11" t="n">
        <f aca="false">COUNTIFS(Verbrauch!$A$9:$A$18896,"&gt;="&amp;A584,Verbrauch!$A$9:$A$18896,"&lt;"&amp;B584,Verbrauch!$C$9:$C$18896,"&lt;&gt;")</f>
        <v>0</v>
      </c>
    </row>
    <row r="585" customFormat="false" ht="15" hidden="false" customHeight="true" outlineLevel="0" collapsed="false">
      <c r="A585" s="10" t="n">
        <v>46546</v>
      </c>
      <c r="B585" s="10" t="n">
        <v>46547</v>
      </c>
      <c r="C585" s="22" t="n">
        <f aca="false">SUMIFS(Verbrauch!$C$9:$C$18896,Verbrauch!$A$9:$A$18896,"&gt;="&amp;A585,Verbrauch!$A$9:$A$18896,"&lt;"&amp;B585)</f>
        <v>0</v>
      </c>
      <c r="D585" s="22" t="n">
        <f aca="false">SUMIFS(Verbrauch!$C$9:$C$18896,Verbrauch!$A$9:$A$18896,"&gt;="&amp;A585,Verbrauch!$A$9:$A$18896,"&lt;"&amp;B585,Verbrauch!$F$9:$F$18896,"Go")</f>
        <v>0</v>
      </c>
      <c r="E585" s="22" t="n">
        <f aca="false">SUMIFS(Verbrauch!$C$9:$C$18896,Verbrauch!$A$9:$A$18896,"&gt;="&amp;A585,Verbrauch!$A$9:$A$18896,"&lt;"&amp;B585,Verbrauch!$F$9:$F$18896,"Standard")</f>
        <v>0</v>
      </c>
      <c r="F585" s="23" t="n">
        <f aca="false">SUMIFS(Verbrauch!$E$9:$E$18896,Verbrauch!$A$9:$A$18896,"&gt;="&amp;A585,Verbrauch!$A$9:$A$18896,"&lt;"&amp;B585)</f>
        <v>0</v>
      </c>
      <c r="G585" s="13" t="str">
        <f aca="false">IFERROR(F585/C585*100,"")</f>
        <v/>
      </c>
      <c r="H585" s="11" t="n">
        <f aca="false">COUNTIFS(Verbrauch!$A$9:$A$18896,"&gt;="&amp;A585,Verbrauch!$A$9:$A$18896,"&lt;"&amp;B585,Verbrauch!$C$9:$C$18896,"&lt;&gt;")</f>
        <v>0</v>
      </c>
    </row>
    <row r="586" customFormat="false" ht="15" hidden="false" customHeight="true" outlineLevel="0" collapsed="false">
      <c r="A586" s="10" t="n">
        <v>46547</v>
      </c>
      <c r="B586" s="10" t="n">
        <v>46548</v>
      </c>
      <c r="C586" s="22" t="n">
        <f aca="false">SUMIFS(Verbrauch!$C$9:$C$18896,Verbrauch!$A$9:$A$18896,"&gt;="&amp;A586,Verbrauch!$A$9:$A$18896,"&lt;"&amp;B586)</f>
        <v>0</v>
      </c>
      <c r="D586" s="22" t="n">
        <f aca="false">SUMIFS(Verbrauch!$C$9:$C$18896,Verbrauch!$A$9:$A$18896,"&gt;="&amp;A586,Verbrauch!$A$9:$A$18896,"&lt;"&amp;B586,Verbrauch!$F$9:$F$18896,"Go")</f>
        <v>0</v>
      </c>
      <c r="E586" s="22" t="n">
        <f aca="false">SUMIFS(Verbrauch!$C$9:$C$18896,Verbrauch!$A$9:$A$18896,"&gt;="&amp;A586,Verbrauch!$A$9:$A$18896,"&lt;"&amp;B586,Verbrauch!$F$9:$F$18896,"Standard")</f>
        <v>0</v>
      </c>
      <c r="F586" s="23" t="n">
        <f aca="false">SUMIFS(Verbrauch!$E$9:$E$18896,Verbrauch!$A$9:$A$18896,"&gt;="&amp;A586,Verbrauch!$A$9:$A$18896,"&lt;"&amp;B586)</f>
        <v>0</v>
      </c>
      <c r="G586" s="13" t="str">
        <f aca="false">IFERROR(F586/C586*100,"")</f>
        <v/>
      </c>
      <c r="H586" s="11" t="n">
        <f aca="false">COUNTIFS(Verbrauch!$A$9:$A$18896,"&gt;="&amp;A586,Verbrauch!$A$9:$A$18896,"&lt;"&amp;B586,Verbrauch!$C$9:$C$18896,"&lt;&gt;")</f>
        <v>0</v>
      </c>
    </row>
    <row r="587" customFormat="false" ht="15" hidden="false" customHeight="true" outlineLevel="0" collapsed="false">
      <c r="A587" s="10" t="n">
        <v>46548</v>
      </c>
      <c r="B587" s="10" t="n">
        <v>46549</v>
      </c>
      <c r="C587" s="22" t="n">
        <f aca="false">SUMIFS(Verbrauch!$C$9:$C$18896,Verbrauch!$A$9:$A$18896,"&gt;="&amp;A587,Verbrauch!$A$9:$A$18896,"&lt;"&amp;B587)</f>
        <v>0</v>
      </c>
      <c r="D587" s="22" t="n">
        <f aca="false">SUMIFS(Verbrauch!$C$9:$C$18896,Verbrauch!$A$9:$A$18896,"&gt;="&amp;A587,Verbrauch!$A$9:$A$18896,"&lt;"&amp;B587,Verbrauch!$F$9:$F$18896,"Go")</f>
        <v>0</v>
      </c>
      <c r="E587" s="22" t="n">
        <f aca="false">SUMIFS(Verbrauch!$C$9:$C$18896,Verbrauch!$A$9:$A$18896,"&gt;="&amp;A587,Verbrauch!$A$9:$A$18896,"&lt;"&amp;B587,Verbrauch!$F$9:$F$18896,"Standard")</f>
        <v>0</v>
      </c>
      <c r="F587" s="23" t="n">
        <f aca="false">SUMIFS(Verbrauch!$E$9:$E$18896,Verbrauch!$A$9:$A$18896,"&gt;="&amp;A587,Verbrauch!$A$9:$A$18896,"&lt;"&amp;B587)</f>
        <v>0</v>
      </c>
      <c r="G587" s="13" t="str">
        <f aca="false">IFERROR(F587/C587*100,"")</f>
        <v/>
      </c>
      <c r="H587" s="11" t="n">
        <f aca="false">COUNTIFS(Verbrauch!$A$9:$A$18896,"&gt;="&amp;A587,Verbrauch!$A$9:$A$18896,"&lt;"&amp;B587,Verbrauch!$C$9:$C$18896,"&lt;&gt;")</f>
        <v>0</v>
      </c>
    </row>
    <row r="588" customFormat="false" ht="15" hidden="false" customHeight="true" outlineLevel="0" collapsed="false">
      <c r="A588" s="10" t="n">
        <v>46549</v>
      </c>
      <c r="B588" s="10" t="n">
        <v>46550</v>
      </c>
      <c r="C588" s="22" t="n">
        <f aca="false">SUMIFS(Verbrauch!$C$9:$C$18896,Verbrauch!$A$9:$A$18896,"&gt;="&amp;A588,Verbrauch!$A$9:$A$18896,"&lt;"&amp;B588)</f>
        <v>0</v>
      </c>
      <c r="D588" s="22" t="n">
        <f aca="false">SUMIFS(Verbrauch!$C$9:$C$18896,Verbrauch!$A$9:$A$18896,"&gt;="&amp;A588,Verbrauch!$A$9:$A$18896,"&lt;"&amp;B588,Verbrauch!$F$9:$F$18896,"Go")</f>
        <v>0</v>
      </c>
      <c r="E588" s="22" t="n">
        <f aca="false">SUMIFS(Verbrauch!$C$9:$C$18896,Verbrauch!$A$9:$A$18896,"&gt;="&amp;A588,Verbrauch!$A$9:$A$18896,"&lt;"&amp;B588,Verbrauch!$F$9:$F$18896,"Standard")</f>
        <v>0</v>
      </c>
      <c r="F588" s="23" t="n">
        <f aca="false">SUMIFS(Verbrauch!$E$9:$E$18896,Verbrauch!$A$9:$A$18896,"&gt;="&amp;A588,Verbrauch!$A$9:$A$18896,"&lt;"&amp;B588)</f>
        <v>0</v>
      </c>
      <c r="G588" s="13" t="str">
        <f aca="false">IFERROR(F588/C588*100,"")</f>
        <v/>
      </c>
      <c r="H588" s="11" t="n">
        <f aca="false">COUNTIFS(Verbrauch!$A$9:$A$18896,"&gt;="&amp;A588,Verbrauch!$A$9:$A$18896,"&lt;"&amp;B588,Verbrauch!$C$9:$C$18896,"&lt;&gt;")</f>
        <v>0</v>
      </c>
    </row>
    <row r="589" customFormat="false" ht="15" hidden="false" customHeight="true" outlineLevel="0" collapsed="false">
      <c r="A589" s="10" t="n">
        <v>46550</v>
      </c>
      <c r="B589" s="10" t="n">
        <v>46551</v>
      </c>
      <c r="C589" s="22" t="n">
        <f aca="false">SUMIFS(Verbrauch!$C$9:$C$18896,Verbrauch!$A$9:$A$18896,"&gt;="&amp;A589,Verbrauch!$A$9:$A$18896,"&lt;"&amp;B589)</f>
        <v>0</v>
      </c>
      <c r="D589" s="22" t="n">
        <f aca="false">SUMIFS(Verbrauch!$C$9:$C$18896,Verbrauch!$A$9:$A$18896,"&gt;="&amp;A589,Verbrauch!$A$9:$A$18896,"&lt;"&amp;B589,Verbrauch!$F$9:$F$18896,"Go")</f>
        <v>0</v>
      </c>
      <c r="E589" s="22" t="n">
        <f aca="false">SUMIFS(Verbrauch!$C$9:$C$18896,Verbrauch!$A$9:$A$18896,"&gt;="&amp;A589,Verbrauch!$A$9:$A$18896,"&lt;"&amp;B589,Verbrauch!$F$9:$F$18896,"Standard")</f>
        <v>0</v>
      </c>
      <c r="F589" s="23" t="n">
        <f aca="false">SUMIFS(Verbrauch!$E$9:$E$18896,Verbrauch!$A$9:$A$18896,"&gt;="&amp;A589,Verbrauch!$A$9:$A$18896,"&lt;"&amp;B589)</f>
        <v>0</v>
      </c>
      <c r="G589" s="13" t="str">
        <f aca="false">IFERROR(F589/C589*100,"")</f>
        <v/>
      </c>
      <c r="H589" s="11" t="n">
        <f aca="false">COUNTIFS(Verbrauch!$A$9:$A$18896,"&gt;="&amp;A589,Verbrauch!$A$9:$A$18896,"&lt;"&amp;B589,Verbrauch!$C$9:$C$18896,"&lt;&gt;")</f>
        <v>0</v>
      </c>
    </row>
    <row r="590" customFormat="false" ht="15" hidden="false" customHeight="true" outlineLevel="0" collapsed="false">
      <c r="A590" s="10" t="n">
        <v>46551</v>
      </c>
      <c r="B590" s="10" t="n">
        <v>46552</v>
      </c>
      <c r="C590" s="22" t="n">
        <f aca="false">SUMIFS(Verbrauch!$C$9:$C$18896,Verbrauch!$A$9:$A$18896,"&gt;="&amp;A590,Verbrauch!$A$9:$A$18896,"&lt;"&amp;B590)</f>
        <v>0</v>
      </c>
      <c r="D590" s="22" t="n">
        <f aca="false">SUMIFS(Verbrauch!$C$9:$C$18896,Verbrauch!$A$9:$A$18896,"&gt;="&amp;A590,Verbrauch!$A$9:$A$18896,"&lt;"&amp;B590,Verbrauch!$F$9:$F$18896,"Go")</f>
        <v>0</v>
      </c>
      <c r="E590" s="22" t="n">
        <f aca="false">SUMIFS(Verbrauch!$C$9:$C$18896,Verbrauch!$A$9:$A$18896,"&gt;="&amp;A590,Verbrauch!$A$9:$A$18896,"&lt;"&amp;B590,Verbrauch!$F$9:$F$18896,"Standard")</f>
        <v>0</v>
      </c>
      <c r="F590" s="23" t="n">
        <f aca="false">SUMIFS(Verbrauch!$E$9:$E$18896,Verbrauch!$A$9:$A$18896,"&gt;="&amp;A590,Verbrauch!$A$9:$A$18896,"&lt;"&amp;B590)</f>
        <v>0</v>
      </c>
      <c r="G590" s="13" t="str">
        <f aca="false">IFERROR(F590/C590*100,"")</f>
        <v/>
      </c>
      <c r="H590" s="11" t="n">
        <f aca="false">COUNTIFS(Verbrauch!$A$9:$A$18896,"&gt;="&amp;A590,Verbrauch!$A$9:$A$18896,"&lt;"&amp;B590,Verbrauch!$C$9:$C$18896,"&lt;&gt;")</f>
        <v>0</v>
      </c>
    </row>
    <row r="591" customFormat="false" ht="15" hidden="false" customHeight="true" outlineLevel="0" collapsed="false">
      <c r="A591" s="10" t="n">
        <v>46552</v>
      </c>
      <c r="B591" s="10" t="n">
        <v>46553</v>
      </c>
      <c r="C591" s="22" t="n">
        <f aca="false">SUMIFS(Verbrauch!$C$9:$C$18896,Verbrauch!$A$9:$A$18896,"&gt;="&amp;A591,Verbrauch!$A$9:$A$18896,"&lt;"&amp;B591)</f>
        <v>0</v>
      </c>
      <c r="D591" s="22" t="n">
        <f aca="false">SUMIFS(Verbrauch!$C$9:$C$18896,Verbrauch!$A$9:$A$18896,"&gt;="&amp;A591,Verbrauch!$A$9:$A$18896,"&lt;"&amp;B591,Verbrauch!$F$9:$F$18896,"Go")</f>
        <v>0</v>
      </c>
      <c r="E591" s="22" t="n">
        <f aca="false">SUMIFS(Verbrauch!$C$9:$C$18896,Verbrauch!$A$9:$A$18896,"&gt;="&amp;A591,Verbrauch!$A$9:$A$18896,"&lt;"&amp;B591,Verbrauch!$F$9:$F$18896,"Standard")</f>
        <v>0</v>
      </c>
      <c r="F591" s="23" t="n">
        <f aca="false">SUMIFS(Verbrauch!$E$9:$E$18896,Verbrauch!$A$9:$A$18896,"&gt;="&amp;A591,Verbrauch!$A$9:$A$18896,"&lt;"&amp;B591)</f>
        <v>0</v>
      </c>
      <c r="G591" s="13" t="str">
        <f aca="false">IFERROR(F591/C591*100,"")</f>
        <v/>
      </c>
      <c r="H591" s="11" t="n">
        <f aca="false">COUNTIFS(Verbrauch!$A$9:$A$18896,"&gt;="&amp;A591,Verbrauch!$A$9:$A$18896,"&lt;"&amp;B591,Verbrauch!$C$9:$C$18896,"&lt;&gt;")</f>
        <v>0</v>
      </c>
    </row>
    <row r="592" customFormat="false" ht="15" hidden="false" customHeight="true" outlineLevel="0" collapsed="false">
      <c r="A592" s="10" t="n">
        <v>46553</v>
      </c>
      <c r="B592" s="10" t="n">
        <v>46554</v>
      </c>
      <c r="C592" s="22" t="n">
        <f aca="false">SUMIFS(Verbrauch!$C$9:$C$18896,Verbrauch!$A$9:$A$18896,"&gt;="&amp;A592,Verbrauch!$A$9:$A$18896,"&lt;"&amp;B592)</f>
        <v>0</v>
      </c>
      <c r="D592" s="22" t="n">
        <f aca="false">SUMIFS(Verbrauch!$C$9:$C$18896,Verbrauch!$A$9:$A$18896,"&gt;="&amp;A592,Verbrauch!$A$9:$A$18896,"&lt;"&amp;B592,Verbrauch!$F$9:$F$18896,"Go")</f>
        <v>0</v>
      </c>
      <c r="E592" s="22" t="n">
        <f aca="false">SUMIFS(Verbrauch!$C$9:$C$18896,Verbrauch!$A$9:$A$18896,"&gt;="&amp;A592,Verbrauch!$A$9:$A$18896,"&lt;"&amp;B592,Verbrauch!$F$9:$F$18896,"Standard")</f>
        <v>0</v>
      </c>
      <c r="F592" s="23" t="n">
        <f aca="false">SUMIFS(Verbrauch!$E$9:$E$18896,Verbrauch!$A$9:$A$18896,"&gt;="&amp;A592,Verbrauch!$A$9:$A$18896,"&lt;"&amp;B592)</f>
        <v>0</v>
      </c>
      <c r="G592" s="13" t="str">
        <f aca="false">IFERROR(F592/C592*100,"")</f>
        <v/>
      </c>
      <c r="H592" s="11" t="n">
        <f aca="false">COUNTIFS(Verbrauch!$A$9:$A$18896,"&gt;="&amp;A592,Verbrauch!$A$9:$A$18896,"&lt;"&amp;B592,Verbrauch!$C$9:$C$18896,"&lt;&gt;")</f>
        <v>0</v>
      </c>
    </row>
    <row r="593" customFormat="false" ht="15" hidden="false" customHeight="true" outlineLevel="0" collapsed="false">
      <c r="A593" s="10" t="n">
        <v>46554</v>
      </c>
      <c r="B593" s="10" t="n">
        <v>46555</v>
      </c>
      <c r="C593" s="22" t="n">
        <f aca="false">SUMIFS(Verbrauch!$C$9:$C$18896,Verbrauch!$A$9:$A$18896,"&gt;="&amp;A593,Verbrauch!$A$9:$A$18896,"&lt;"&amp;B593)</f>
        <v>0</v>
      </c>
      <c r="D593" s="22" t="n">
        <f aca="false">SUMIFS(Verbrauch!$C$9:$C$18896,Verbrauch!$A$9:$A$18896,"&gt;="&amp;A593,Verbrauch!$A$9:$A$18896,"&lt;"&amp;B593,Verbrauch!$F$9:$F$18896,"Go")</f>
        <v>0</v>
      </c>
      <c r="E593" s="22" t="n">
        <f aca="false">SUMIFS(Verbrauch!$C$9:$C$18896,Verbrauch!$A$9:$A$18896,"&gt;="&amp;A593,Verbrauch!$A$9:$A$18896,"&lt;"&amp;B593,Verbrauch!$F$9:$F$18896,"Standard")</f>
        <v>0</v>
      </c>
      <c r="F593" s="23" t="n">
        <f aca="false">SUMIFS(Verbrauch!$E$9:$E$18896,Verbrauch!$A$9:$A$18896,"&gt;="&amp;A593,Verbrauch!$A$9:$A$18896,"&lt;"&amp;B593)</f>
        <v>0</v>
      </c>
      <c r="G593" s="13" t="str">
        <f aca="false">IFERROR(F593/C593*100,"")</f>
        <v/>
      </c>
      <c r="H593" s="11" t="n">
        <f aca="false">COUNTIFS(Verbrauch!$A$9:$A$18896,"&gt;="&amp;A593,Verbrauch!$A$9:$A$18896,"&lt;"&amp;B593,Verbrauch!$C$9:$C$18896,"&lt;&gt;")</f>
        <v>0</v>
      </c>
    </row>
    <row r="594" customFormat="false" ht="15" hidden="false" customHeight="true" outlineLevel="0" collapsed="false">
      <c r="A594" s="10" t="n">
        <v>46555</v>
      </c>
      <c r="B594" s="10" t="n">
        <v>46556</v>
      </c>
      <c r="C594" s="22" t="n">
        <f aca="false">SUMIFS(Verbrauch!$C$9:$C$18896,Verbrauch!$A$9:$A$18896,"&gt;="&amp;A594,Verbrauch!$A$9:$A$18896,"&lt;"&amp;B594)</f>
        <v>0</v>
      </c>
      <c r="D594" s="22" t="n">
        <f aca="false">SUMIFS(Verbrauch!$C$9:$C$18896,Verbrauch!$A$9:$A$18896,"&gt;="&amp;A594,Verbrauch!$A$9:$A$18896,"&lt;"&amp;B594,Verbrauch!$F$9:$F$18896,"Go")</f>
        <v>0</v>
      </c>
      <c r="E594" s="22" t="n">
        <f aca="false">SUMIFS(Verbrauch!$C$9:$C$18896,Verbrauch!$A$9:$A$18896,"&gt;="&amp;A594,Verbrauch!$A$9:$A$18896,"&lt;"&amp;B594,Verbrauch!$F$9:$F$18896,"Standard")</f>
        <v>0</v>
      </c>
      <c r="F594" s="23" t="n">
        <f aca="false">SUMIFS(Verbrauch!$E$9:$E$18896,Verbrauch!$A$9:$A$18896,"&gt;="&amp;A594,Verbrauch!$A$9:$A$18896,"&lt;"&amp;B594)</f>
        <v>0</v>
      </c>
      <c r="G594" s="13" t="str">
        <f aca="false">IFERROR(F594/C594*100,"")</f>
        <v/>
      </c>
      <c r="H594" s="11" t="n">
        <f aca="false">COUNTIFS(Verbrauch!$A$9:$A$18896,"&gt;="&amp;A594,Verbrauch!$A$9:$A$18896,"&lt;"&amp;B594,Verbrauch!$C$9:$C$18896,"&lt;&gt;")</f>
        <v>0</v>
      </c>
    </row>
    <row r="595" customFormat="false" ht="15" hidden="false" customHeight="true" outlineLevel="0" collapsed="false">
      <c r="A595" s="10" t="n">
        <v>46556</v>
      </c>
      <c r="B595" s="10" t="n">
        <v>46557</v>
      </c>
      <c r="C595" s="22" t="n">
        <f aca="false">SUMIFS(Verbrauch!$C$9:$C$18896,Verbrauch!$A$9:$A$18896,"&gt;="&amp;A595,Verbrauch!$A$9:$A$18896,"&lt;"&amp;B595)</f>
        <v>0</v>
      </c>
      <c r="D595" s="22" t="n">
        <f aca="false">SUMIFS(Verbrauch!$C$9:$C$18896,Verbrauch!$A$9:$A$18896,"&gt;="&amp;A595,Verbrauch!$A$9:$A$18896,"&lt;"&amp;B595,Verbrauch!$F$9:$F$18896,"Go")</f>
        <v>0</v>
      </c>
      <c r="E595" s="22" t="n">
        <f aca="false">SUMIFS(Verbrauch!$C$9:$C$18896,Verbrauch!$A$9:$A$18896,"&gt;="&amp;A595,Verbrauch!$A$9:$A$18896,"&lt;"&amp;B595,Verbrauch!$F$9:$F$18896,"Standard")</f>
        <v>0</v>
      </c>
      <c r="F595" s="23" t="n">
        <f aca="false">SUMIFS(Verbrauch!$E$9:$E$18896,Verbrauch!$A$9:$A$18896,"&gt;="&amp;A595,Verbrauch!$A$9:$A$18896,"&lt;"&amp;B595)</f>
        <v>0</v>
      </c>
      <c r="G595" s="13" t="str">
        <f aca="false">IFERROR(F595/C595*100,"")</f>
        <v/>
      </c>
      <c r="H595" s="11" t="n">
        <f aca="false">COUNTIFS(Verbrauch!$A$9:$A$18896,"&gt;="&amp;A595,Verbrauch!$A$9:$A$18896,"&lt;"&amp;B595,Verbrauch!$C$9:$C$18896,"&lt;&gt;")</f>
        <v>0</v>
      </c>
    </row>
    <row r="596" customFormat="false" ht="15" hidden="false" customHeight="true" outlineLevel="0" collapsed="false">
      <c r="A596" s="10" t="n">
        <v>46557</v>
      </c>
      <c r="B596" s="10" t="n">
        <v>46558</v>
      </c>
      <c r="C596" s="22" t="n">
        <f aca="false">SUMIFS(Verbrauch!$C$9:$C$18896,Verbrauch!$A$9:$A$18896,"&gt;="&amp;A596,Verbrauch!$A$9:$A$18896,"&lt;"&amp;B596)</f>
        <v>0</v>
      </c>
      <c r="D596" s="22" t="n">
        <f aca="false">SUMIFS(Verbrauch!$C$9:$C$18896,Verbrauch!$A$9:$A$18896,"&gt;="&amp;A596,Verbrauch!$A$9:$A$18896,"&lt;"&amp;B596,Verbrauch!$F$9:$F$18896,"Go")</f>
        <v>0</v>
      </c>
      <c r="E596" s="22" t="n">
        <f aca="false">SUMIFS(Verbrauch!$C$9:$C$18896,Verbrauch!$A$9:$A$18896,"&gt;="&amp;A596,Verbrauch!$A$9:$A$18896,"&lt;"&amp;B596,Verbrauch!$F$9:$F$18896,"Standard")</f>
        <v>0</v>
      </c>
      <c r="F596" s="23" t="n">
        <f aca="false">SUMIFS(Verbrauch!$E$9:$E$18896,Verbrauch!$A$9:$A$18896,"&gt;="&amp;A596,Verbrauch!$A$9:$A$18896,"&lt;"&amp;B596)</f>
        <v>0</v>
      </c>
      <c r="G596" s="13" t="str">
        <f aca="false">IFERROR(F596/C596*100,"")</f>
        <v/>
      </c>
      <c r="H596" s="11" t="n">
        <f aca="false">COUNTIFS(Verbrauch!$A$9:$A$18896,"&gt;="&amp;A596,Verbrauch!$A$9:$A$18896,"&lt;"&amp;B596,Verbrauch!$C$9:$C$18896,"&lt;&gt;")</f>
        <v>0</v>
      </c>
    </row>
    <row r="597" customFormat="false" ht="15" hidden="false" customHeight="true" outlineLevel="0" collapsed="false">
      <c r="A597" s="10" t="n">
        <v>46558</v>
      </c>
      <c r="B597" s="10" t="n">
        <v>46559</v>
      </c>
      <c r="C597" s="22" t="n">
        <f aca="false">SUMIFS(Verbrauch!$C$9:$C$18896,Verbrauch!$A$9:$A$18896,"&gt;="&amp;A597,Verbrauch!$A$9:$A$18896,"&lt;"&amp;B597)</f>
        <v>0</v>
      </c>
      <c r="D597" s="22" t="n">
        <f aca="false">SUMIFS(Verbrauch!$C$9:$C$18896,Verbrauch!$A$9:$A$18896,"&gt;="&amp;A597,Verbrauch!$A$9:$A$18896,"&lt;"&amp;B597,Verbrauch!$F$9:$F$18896,"Go")</f>
        <v>0</v>
      </c>
      <c r="E597" s="22" t="n">
        <f aca="false">SUMIFS(Verbrauch!$C$9:$C$18896,Verbrauch!$A$9:$A$18896,"&gt;="&amp;A597,Verbrauch!$A$9:$A$18896,"&lt;"&amp;B597,Verbrauch!$F$9:$F$18896,"Standard")</f>
        <v>0</v>
      </c>
      <c r="F597" s="23" t="n">
        <f aca="false">SUMIFS(Verbrauch!$E$9:$E$18896,Verbrauch!$A$9:$A$18896,"&gt;="&amp;A597,Verbrauch!$A$9:$A$18896,"&lt;"&amp;B597)</f>
        <v>0</v>
      </c>
      <c r="G597" s="13" t="str">
        <f aca="false">IFERROR(F597/C597*100,"")</f>
        <v/>
      </c>
      <c r="H597" s="11" t="n">
        <f aca="false">COUNTIFS(Verbrauch!$A$9:$A$18896,"&gt;="&amp;A597,Verbrauch!$A$9:$A$18896,"&lt;"&amp;B597,Verbrauch!$C$9:$C$18896,"&lt;&gt;")</f>
        <v>0</v>
      </c>
    </row>
    <row r="598" customFormat="false" ht="15" hidden="false" customHeight="true" outlineLevel="0" collapsed="false">
      <c r="A598" s="10" t="n">
        <v>46559</v>
      </c>
      <c r="B598" s="10" t="n">
        <v>46560</v>
      </c>
      <c r="C598" s="22" t="n">
        <f aca="false">SUMIFS(Verbrauch!$C$9:$C$18896,Verbrauch!$A$9:$A$18896,"&gt;="&amp;A598,Verbrauch!$A$9:$A$18896,"&lt;"&amp;B598)</f>
        <v>0</v>
      </c>
      <c r="D598" s="22" t="n">
        <f aca="false">SUMIFS(Verbrauch!$C$9:$C$18896,Verbrauch!$A$9:$A$18896,"&gt;="&amp;A598,Verbrauch!$A$9:$A$18896,"&lt;"&amp;B598,Verbrauch!$F$9:$F$18896,"Go")</f>
        <v>0</v>
      </c>
      <c r="E598" s="22" t="n">
        <f aca="false">SUMIFS(Verbrauch!$C$9:$C$18896,Verbrauch!$A$9:$A$18896,"&gt;="&amp;A598,Verbrauch!$A$9:$A$18896,"&lt;"&amp;B598,Verbrauch!$F$9:$F$18896,"Standard")</f>
        <v>0</v>
      </c>
      <c r="F598" s="23" t="n">
        <f aca="false">SUMIFS(Verbrauch!$E$9:$E$18896,Verbrauch!$A$9:$A$18896,"&gt;="&amp;A598,Verbrauch!$A$9:$A$18896,"&lt;"&amp;B598)</f>
        <v>0</v>
      </c>
      <c r="G598" s="13" t="str">
        <f aca="false">IFERROR(F598/C598*100,"")</f>
        <v/>
      </c>
      <c r="H598" s="11" t="n">
        <f aca="false">COUNTIFS(Verbrauch!$A$9:$A$18896,"&gt;="&amp;A598,Verbrauch!$A$9:$A$18896,"&lt;"&amp;B598,Verbrauch!$C$9:$C$18896,"&lt;&gt;")</f>
        <v>0</v>
      </c>
    </row>
    <row r="599" customFormat="false" ht="15" hidden="false" customHeight="true" outlineLevel="0" collapsed="false">
      <c r="A599" s="10" t="n">
        <v>46560</v>
      </c>
      <c r="B599" s="10" t="n">
        <v>46561</v>
      </c>
      <c r="C599" s="22" t="n">
        <f aca="false">SUMIFS(Verbrauch!$C$9:$C$18896,Verbrauch!$A$9:$A$18896,"&gt;="&amp;A599,Verbrauch!$A$9:$A$18896,"&lt;"&amp;B599)</f>
        <v>0</v>
      </c>
      <c r="D599" s="22" t="n">
        <f aca="false">SUMIFS(Verbrauch!$C$9:$C$18896,Verbrauch!$A$9:$A$18896,"&gt;="&amp;A599,Verbrauch!$A$9:$A$18896,"&lt;"&amp;B599,Verbrauch!$F$9:$F$18896,"Go")</f>
        <v>0</v>
      </c>
      <c r="E599" s="22" t="n">
        <f aca="false">SUMIFS(Verbrauch!$C$9:$C$18896,Verbrauch!$A$9:$A$18896,"&gt;="&amp;A599,Verbrauch!$A$9:$A$18896,"&lt;"&amp;B599,Verbrauch!$F$9:$F$18896,"Standard")</f>
        <v>0</v>
      </c>
      <c r="F599" s="23" t="n">
        <f aca="false">SUMIFS(Verbrauch!$E$9:$E$18896,Verbrauch!$A$9:$A$18896,"&gt;="&amp;A599,Verbrauch!$A$9:$A$18896,"&lt;"&amp;B599)</f>
        <v>0</v>
      </c>
      <c r="G599" s="13" t="str">
        <f aca="false">IFERROR(F599/C599*100,"")</f>
        <v/>
      </c>
      <c r="H599" s="11" t="n">
        <f aca="false">COUNTIFS(Verbrauch!$A$9:$A$18896,"&gt;="&amp;A599,Verbrauch!$A$9:$A$18896,"&lt;"&amp;B599,Verbrauch!$C$9:$C$18896,"&lt;&gt;")</f>
        <v>0</v>
      </c>
    </row>
    <row r="600" customFormat="false" ht="15" hidden="false" customHeight="true" outlineLevel="0" collapsed="false">
      <c r="A600" s="10" t="n">
        <v>46561</v>
      </c>
      <c r="B600" s="10" t="n">
        <v>46562</v>
      </c>
      <c r="C600" s="22" t="n">
        <f aca="false">SUMIFS(Verbrauch!$C$9:$C$18896,Verbrauch!$A$9:$A$18896,"&gt;="&amp;A600,Verbrauch!$A$9:$A$18896,"&lt;"&amp;B600)</f>
        <v>0</v>
      </c>
      <c r="D600" s="22" t="n">
        <f aca="false">SUMIFS(Verbrauch!$C$9:$C$18896,Verbrauch!$A$9:$A$18896,"&gt;="&amp;A600,Verbrauch!$A$9:$A$18896,"&lt;"&amp;B600,Verbrauch!$F$9:$F$18896,"Go")</f>
        <v>0</v>
      </c>
      <c r="E600" s="22" t="n">
        <f aca="false">SUMIFS(Verbrauch!$C$9:$C$18896,Verbrauch!$A$9:$A$18896,"&gt;="&amp;A600,Verbrauch!$A$9:$A$18896,"&lt;"&amp;B600,Verbrauch!$F$9:$F$18896,"Standard")</f>
        <v>0</v>
      </c>
      <c r="F600" s="23" t="n">
        <f aca="false">SUMIFS(Verbrauch!$E$9:$E$18896,Verbrauch!$A$9:$A$18896,"&gt;="&amp;A600,Verbrauch!$A$9:$A$18896,"&lt;"&amp;B600)</f>
        <v>0</v>
      </c>
      <c r="G600" s="13" t="str">
        <f aca="false">IFERROR(F600/C600*100,"")</f>
        <v/>
      </c>
      <c r="H600" s="11" t="n">
        <f aca="false">COUNTIFS(Verbrauch!$A$9:$A$18896,"&gt;="&amp;A600,Verbrauch!$A$9:$A$18896,"&lt;"&amp;B600,Verbrauch!$C$9:$C$18896,"&lt;&gt;")</f>
        <v>0</v>
      </c>
    </row>
    <row r="601" customFormat="false" ht="15" hidden="false" customHeight="true" outlineLevel="0" collapsed="false">
      <c r="A601" s="10" t="n">
        <v>46562</v>
      </c>
      <c r="B601" s="10" t="n">
        <v>46563</v>
      </c>
      <c r="C601" s="22" t="n">
        <f aca="false">SUMIFS(Verbrauch!$C$9:$C$18896,Verbrauch!$A$9:$A$18896,"&gt;="&amp;A601,Verbrauch!$A$9:$A$18896,"&lt;"&amp;B601)</f>
        <v>0</v>
      </c>
      <c r="D601" s="22" t="n">
        <f aca="false">SUMIFS(Verbrauch!$C$9:$C$18896,Verbrauch!$A$9:$A$18896,"&gt;="&amp;A601,Verbrauch!$A$9:$A$18896,"&lt;"&amp;B601,Verbrauch!$F$9:$F$18896,"Go")</f>
        <v>0</v>
      </c>
      <c r="E601" s="22" t="n">
        <f aca="false">SUMIFS(Verbrauch!$C$9:$C$18896,Verbrauch!$A$9:$A$18896,"&gt;="&amp;A601,Verbrauch!$A$9:$A$18896,"&lt;"&amp;B601,Verbrauch!$F$9:$F$18896,"Standard")</f>
        <v>0</v>
      </c>
      <c r="F601" s="23" t="n">
        <f aca="false">SUMIFS(Verbrauch!$E$9:$E$18896,Verbrauch!$A$9:$A$18896,"&gt;="&amp;A601,Verbrauch!$A$9:$A$18896,"&lt;"&amp;B601)</f>
        <v>0</v>
      </c>
      <c r="G601" s="13" t="str">
        <f aca="false">IFERROR(F601/C601*100,"")</f>
        <v/>
      </c>
      <c r="H601" s="11" t="n">
        <f aca="false">COUNTIFS(Verbrauch!$A$9:$A$18896,"&gt;="&amp;A601,Verbrauch!$A$9:$A$18896,"&lt;"&amp;B601,Verbrauch!$C$9:$C$18896,"&lt;&gt;")</f>
        <v>0</v>
      </c>
    </row>
    <row r="602" customFormat="false" ht="15" hidden="false" customHeight="true" outlineLevel="0" collapsed="false">
      <c r="A602" s="10" t="n">
        <v>46563</v>
      </c>
      <c r="B602" s="10" t="n">
        <v>46564</v>
      </c>
      <c r="C602" s="22" t="n">
        <f aca="false">SUMIFS(Verbrauch!$C$9:$C$18896,Verbrauch!$A$9:$A$18896,"&gt;="&amp;A602,Verbrauch!$A$9:$A$18896,"&lt;"&amp;B602)</f>
        <v>0</v>
      </c>
      <c r="D602" s="22" t="n">
        <f aca="false">SUMIFS(Verbrauch!$C$9:$C$18896,Verbrauch!$A$9:$A$18896,"&gt;="&amp;A602,Verbrauch!$A$9:$A$18896,"&lt;"&amp;B602,Verbrauch!$F$9:$F$18896,"Go")</f>
        <v>0</v>
      </c>
      <c r="E602" s="22" t="n">
        <f aca="false">SUMIFS(Verbrauch!$C$9:$C$18896,Verbrauch!$A$9:$A$18896,"&gt;="&amp;A602,Verbrauch!$A$9:$A$18896,"&lt;"&amp;B602,Verbrauch!$F$9:$F$18896,"Standard")</f>
        <v>0</v>
      </c>
      <c r="F602" s="23" t="n">
        <f aca="false">SUMIFS(Verbrauch!$E$9:$E$18896,Verbrauch!$A$9:$A$18896,"&gt;="&amp;A602,Verbrauch!$A$9:$A$18896,"&lt;"&amp;B602)</f>
        <v>0</v>
      </c>
      <c r="G602" s="13" t="str">
        <f aca="false">IFERROR(F602/C602*100,"")</f>
        <v/>
      </c>
      <c r="H602" s="11" t="n">
        <f aca="false">COUNTIFS(Verbrauch!$A$9:$A$18896,"&gt;="&amp;A602,Verbrauch!$A$9:$A$18896,"&lt;"&amp;B602,Verbrauch!$C$9:$C$18896,"&lt;&gt;")</f>
        <v>0</v>
      </c>
    </row>
    <row r="603" customFormat="false" ht="15" hidden="false" customHeight="true" outlineLevel="0" collapsed="false">
      <c r="A603" s="10" t="n">
        <v>46564</v>
      </c>
      <c r="B603" s="10" t="n">
        <v>46565</v>
      </c>
      <c r="C603" s="22" t="n">
        <f aca="false">SUMIFS(Verbrauch!$C$9:$C$18896,Verbrauch!$A$9:$A$18896,"&gt;="&amp;A603,Verbrauch!$A$9:$A$18896,"&lt;"&amp;B603)</f>
        <v>0</v>
      </c>
      <c r="D603" s="22" t="n">
        <f aca="false">SUMIFS(Verbrauch!$C$9:$C$18896,Verbrauch!$A$9:$A$18896,"&gt;="&amp;A603,Verbrauch!$A$9:$A$18896,"&lt;"&amp;B603,Verbrauch!$F$9:$F$18896,"Go")</f>
        <v>0</v>
      </c>
      <c r="E603" s="22" t="n">
        <f aca="false">SUMIFS(Verbrauch!$C$9:$C$18896,Verbrauch!$A$9:$A$18896,"&gt;="&amp;A603,Verbrauch!$A$9:$A$18896,"&lt;"&amp;B603,Verbrauch!$F$9:$F$18896,"Standard")</f>
        <v>0</v>
      </c>
      <c r="F603" s="23" t="n">
        <f aca="false">SUMIFS(Verbrauch!$E$9:$E$18896,Verbrauch!$A$9:$A$18896,"&gt;="&amp;A603,Verbrauch!$A$9:$A$18896,"&lt;"&amp;B603)</f>
        <v>0</v>
      </c>
      <c r="G603" s="13" t="str">
        <f aca="false">IFERROR(F603/C603*100,"")</f>
        <v/>
      </c>
      <c r="H603" s="11" t="n">
        <f aca="false">COUNTIFS(Verbrauch!$A$9:$A$18896,"&gt;="&amp;A603,Verbrauch!$A$9:$A$18896,"&lt;"&amp;B603,Verbrauch!$C$9:$C$18896,"&lt;&gt;")</f>
        <v>0</v>
      </c>
    </row>
    <row r="604" customFormat="false" ht="15" hidden="false" customHeight="true" outlineLevel="0" collapsed="false">
      <c r="A604" s="10" t="n">
        <v>46565</v>
      </c>
      <c r="B604" s="10" t="n">
        <v>46566</v>
      </c>
      <c r="C604" s="22" t="n">
        <f aca="false">SUMIFS(Verbrauch!$C$9:$C$18896,Verbrauch!$A$9:$A$18896,"&gt;="&amp;A604,Verbrauch!$A$9:$A$18896,"&lt;"&amp;B604)</f>
        <v>0</v>
      </c>
      <c r="D604" s="22" t="n">
        <f aca="false">SUMIFS(Verbrauch!$C$9:$C$18896,Verbrauch!$A$9:$A$18896,"&gt;="&amp;A604,Verbrauch!$A$9:$A$18896,"&lt;"&amp;B604,Verbrauch!$F$9:$F$18896,"Go")</f>
        <v>0</v>
      </c>
      <c r="E604" s="22" t="n">
        <f aca="false">SUMIFS(Verbrauch!$C$9:$C$18896,Verbrauch!$A$9:$A$18896,"&gt;="&amp;A604,Verbrauch!$A$9:$A$18896,"&lt;"&amp;B604,Verbrauch!$F$9:$F$18896,"Standard")</f>
        <v>0</v>
      </c>
      <c r="F604" s="23" t="n">
        <f aca="false">SUMIFS(Verbrauch!$E$9:$E$18896,Verbrauch!$A$9:$A$18896,"&gt;="&amp;A604,Verbrauch!$A$9:$A$18896,"&lt;"&amp;B604)</f>
        <v>0</v>
      </c>
      <c r="G604" s="13" t="str">
        <f aca="false">IFERROR(F604/C604*100,"")</f>
        <v/>
      </c>
      <c r="H604" s="11" t="n">
        <f aca="false">COUNTIFS(Verbrauch!$A$9:$A$18896,"&gt;="&amp;A604,Verbrauch!$A$9:$A$18896,"&lt;"&amp;B604,Verbrauch!$C$9:$C$18896,"&lt;&gt;")</f>
        <v>0</v>
      </c>
    </row>
    <row r="605" customFormat="false" ht="15" hidden="false" customHeight="true" outlineLevel="0" collapsed="false">
      <c r="A605" s="10" t="n">
        <v>46566</v>
      </c>
      <c r="B605" s="10" t="n">
        <v>46567</v>
      </c>
      <c r="C605" s="22" t="n">
        <f aca="false">SUMIFS(Verbrauch!$C$9:$C$18896,Verbrauch!$A$9:$A$18896,"&gt;="&amp;A605,Verbrauch!$A$9:$A$18896,"&lt;"&amp;B605)</f>
        <v>0</v>
      </c>
      <c r="D605" s="22" t="n">
        <f aca="false">SUMIFS(Verbrauch!$C$9:$C$18896,Verbrauch!$A$9:$A$18896,"&gt;="&amp;A605,Verbrauch!$A$9:$A$18896,"&lt;"&amp;B605,Verbrauch!$F$9:$F$18896,"Go")</f>
        <v>0</v>
      </c>
      <c r="E605" s="22" t="n">
        <f aca="false">SUMIFS(Verbrauch!$C$9:$C$18896,Verbrauch!$A$9:$A$18896,"&gt;="&amp;A605,Verbrauch!$A$9:$A$18896,"&lt;"&amp;B605,Verbrauch!$F$9:$F$18896,"Standard")</f>
        <v>0</v>
      </c>
      <c r="F605" s="23" t="n">
        <f aca="false">SUMIFS(Verbrauch!$E$9:$E$18896,Verbrauch!$A$9:$A$18896,"&gt;="&amp;A605,Verbrauch!$A$9:$A$18896,"&lt;"&amp;B605)</f>
        <v>0</v>
      </c>
      <c r="G605" s="13" t="str">
        <f aca="false">IFERROR(F605/C605*100,"")</f>
        <v/>
      </c>
      <c r="H605" s="11" t="n">
        <f aca="false">COUNTIFS(Verbrauch!$A$9:$A$18896,"&gt;="&amp;A605,Verbrauch!$A$9:$A$18896,"&lt;"&amp;B605,Verbrauch!$C$9:$C$18896,"&lt;&gt;")</f>
        <v>0</v>
      </c>
    </row>
    <row r="606" customFormat="false" ht="15" hidden="false" customHeight="true" outlineLevel="0" collapsed="false">
      <c r="A606" s="10" t="n">
        <v>46567</v>
      </c>
      <c r="B606" s="10" t="n">
        <v>46568</v>
      </c>
      <c r="C606" s="22" t="n">
        <f aca="false">SUMIFS(Verbrauch!$C$9:$C$18896,Verbrauch!$A$9:$A$18896,"&gt;="&amp;A606,Verbrauch!$A$9:$A$18896,"&lt;"&amp;B606)</f>
        <v>0</v>
      </c>
      <c r="D606" s="22" t="n">
        <f aca="false">SUMIFS(Verbrauch!$C$9:$C$18896,Verbrauch!$A$9:$A$18896,"&gt;="&amp;A606,Verbrauch!$A$9:$A$18896,"&lt;"&amp;B606,Verbrauch!$F$9:$F$18896,"Go")</f>
        <v>0</v>
      </c>
      <c r="E606" s="22" t="n">
        <f aca="false">SUMIFS(Verbrauch!$C$9:$C$18896,Verbrauch!$A$9:$A$18896,"&gt;="&amp;A606,Verbrauch!$A$9:$A$18896,"&lt;"&amp;B606,Verbrauch!$F$9:$F$18896,"Standard")</f>
        <v>0</v>
      </c>
      <c r="F606" s="23" t="n">
        <f aca="false">SUMIFS(Verbrauch!$E$9:$E$18896,Verbrauch!$A$9:$A$18896,"&gt;="&amp;A606,Verbrauch!$A$9:$A$18896,"&lt;"&amp;B606)</f>
        <v>0</v>
      </c>
      <c r="G606" s="13" t="str">
        <f aca="false">IFERROR(F606/C606*100,"")</f>
        <v/>
      </c>
      <c r="H606" s="11" t="n">
        <f aca="false">COUNTIFS(Verbrauch!$A$9:$A$18896,"&gt;="&amp;A606,Verbrauch!$A$9:$A$18896,"&lt;"&amp;B606,Verbrauch!$C$9:$C$18896,"&lt;&gt;")</f>
        <v>0</v>
      </c>
    </row>
    <row r="607" customFormat="false" ht="15" hidden="false" customHeight="true" outlineLevel="0" collapsed="false">
      <c r="A607" s="10" t="n">
        <v>46568</v>
      </c>
      <c r="B607" s="10" t="n">
        <v>46569</v>
      </c>
      <c r="C607" s="22" t="n">
        <f aca="false">SUMIFS(Verbrauch!$C$9:$C$18896,Verbrauch!$A$9:$A$18896,"&gt;="&amp;A607,Verbrauch!$A$9:$A$18896,"&lt;"&amp;B607)</f>
        <v>0</v>
      </c>
      <c r="D607" s="22" t="n">
        <f aca="false">SUMIFS(Verbrauch!$C$9:$C$18896,Verbrauch!$A$9:$A$18896,"&gt;="&amp;A607,Verbrauch!$A$9:$A$18896,"&lt;"&amp;B607,Verbrauch!$F$9:$F$18896,"Go")</f>
        <v>0</v>
      </c>
      <c r="E607" s="22" t="n">
        <f aca="false">SUMIFS(Verbrauch!$C$9:$C$18896,Verbrauch!$A$9:$A$18896,"&gt;="&amp;A607,Verbrauch!$A$9:$A$18896,"&lt;"&amp;B607,Verbrauch!$F$9:$F$18896,"Standard")</f>
        <v>0</v>
      </c>
      <c r="F607" s="23" t="n">
        <f aca="false">SUMIFS(Verbrauch!$E$9:$E$18896,Verbrauch!$A$9:$A$18896,"&gt;="&amp;A607,Verbrauch!$A$9:$A$18896,"&lt;"&amp;B607)</f>
        <v>0</v>
      </c>
      <c r="G607" s="13" t="str">
        <f aca="false">IFERROR(F607/C607*100,"")</f>
        <v/>
      </c>
      <c r="H607" s="11" t="n">
        <f aca="false">COUNTIFS(Verbrauch!$A$9:$A$18896,"&gt;="&amp;A607,Verbrauch!$A$9:$A$18896,"&lt;"&amp;B607,Verbrauch!$C$9:$C$18896,"&lt;&gt;")</f>
        <v>0</v>
      </c>
    </row>
    <row r="608" customFormat="false" ht="15" hidden="false" customHeight="true" outlineLevel="0" collapsed="false">
      <c r="A608" s="10" t="n">
        <v>46569</v>
      </c>
      <c r="B608" s="10" t="n">
        <v>46570</v>
      </c>
      <c r="C608" s="22" t="n">
        <f aca="false">SUMIFS(Verbrauch!$C$9:$C$18896,Verbrauch!$A$9:$A$18896,"&gt;="&amp;A608,Verbrauch!$A$9:$A$18896,"&lt;"&amp;B608)</f>
        <v>0</v>
      </c>
      <c r="D608" s="22" t="n">
        <f aca="false">SUMIFS(Verbrauch!$C$9:$C$18896,Verbrauch!$A$9:$A$18896,"&gt;="&amp;A608,Verbrauch!$A$9:$A$18896,"&lt;"&amp;B608,Verbrauch!$F$9:$F$18896,"Go")</f>
        <v>0</v>
      </c>
      <c r="E608" s="22" t="n">
        <f aca="false">SUMIFS(Verbrauch!$C$9:$C$18896,Verbrauch!$A$9:$A$18896,"&gt;="&amp;A608,Verbrauch!$A$9:$A$18896,"&lt;"&amp;B608,Verbrauch!$F$9:$F$18896,"Standard")</f>
        <v>0</v>
      </c>
      <c r="F608" s="23" t="n">
        <f aca="false">SUMIFS(Verbrauch!$E$9:$E$18896,Verbrauch!$A$9:$A$18896,"&gt;="&amp;A608,Verbrauch!$A$9:$A$18896,"&lt;"&amp;B608)</f>
        <v>0</v>
      </c>
      <c r="G608" s="13" t="str">
        <f aca="false">IFERROR(F608/C608*100,"")</f>
        <v/>
      </c>
      <c r="H608" s="11" t="n">
        <f aca="false">COUNTIFS(Verbrauch!$A$9:$A$18896,"&gt;="&amp;A608,Verbrauch!$A$9:$A$18896,"&lt;"&amp;B608,Verbrauch!$C$9:$C$18896,"&lt;&gt;")</f>
        <v>0</v>
      </c>
    </row>
    <row r="609" customFormat="false" ht="15" hidden="false" customHeight="true" outlineLevel="0" collapsed="false">
      <c r="A609" s="10" t="n">
        <v>46570</v>
      </c>
      <c r="B609" s="10" t="n">
        <v>46571</v>
      </c>
      <c r="C609" s="22" t="n">
        <f aca="false">SUMIFS(Verbrauch!$C$9:$C$18896,Verbrauch!$A$9:$A$18896,"&gt;="&amp;A609,Verbrauch!$A$9:$A$18896,"&lt;"&amp;B609)</f>
        <v>0</v>
      </c>
      <c r="D609" s="22" t="n">
        <f aca="false">SUMIFS(Verbrauch!$C$9:$C$18896,Verbrauch!$A$9:$A$18896,"&gt;="&amp;A609,Verbrauch!$A$9:$A$18896,"&lt;"&amp;B609,Verbrauch!$F$9:$F$18896,"Go")</f>
        <v>0</v>
      </c>
      <c r="E609" s="22" t="n">
        <f aca="false">SUMIFS(Verbrauch!$C$9:$C$18896,Verbrauch!$A$9:$A$18896,"&gt;="&amp;A609,Verbrauch!$A$9:$A$18896,"&lt;"&amp;B609,Verbrauch!$F$9:$F$18896,"Standard")</f>
        <v>0</v>
      </c>
      <c r="F609" s="23" t="n">
        <f aca="false">SUMIFS(Verbrauch!$E$9:$E$18896,Verbrauch!$A$9:$A$18896,"&gt;="&amp;A609,Verbrauch!$A$9:$A$18896,"&lt;"&amp;B609)</f>
        <v>0</v>
      </c>
      <c r="G609" s="13" t="str">
        <f aca="false">IFERROR(F609/C609*100,"")</f>
        <v/>
      </c>
      <c r="H609" s="11" t="n">
        <f aca="false">COUNTIFS(Verbrauch!$A$9:$A$18896,"&gt;="&amp;A609,Verbrauch!$A$9:$A$18896,"&lt;"&amp;B609,Verbrauch!$C$9:$C$18896,"&lt;&gt;")</f>
        <v>0</v>
      </c>
    </row>
    <row r="610" customFormat="false" ht="15" hidden="false" customHeight="true" outlineLevel="0" collapsed="false">
      <c r="A610" s="10" t="n">
        <v>46571</v>
      </c>
      <c r="B610" s="10" t="n">
        <v>46572</v>
      </c>
      <c r="C610" s="22" t="n">
        <f aca="false">SUMIFS(Verbrauch!$C$9:$C$18896,Verbrauch!$A$9:$A$18896,"&gt;="&amp;A610,Verbrauch!$A$9:$A$18896,"&lt;"&amp;B610)</f>
        <v>0</v>
      </c>
      <c r="D610" s="22" t="n">
        <f aca="false">SUMIFS(Verbrauch!$C$9:$C$18896,Verbrauch!$A$9:$A$18896,"&gt;="&amp;A610,Verbrauch!$A$9:$A$18896,"&lt;"&amp;B610,Verbrauch!$F$9:$F$18896,"Go")</f>
        <v>0</v>
      </c>
      <c r="E610" s="22" t="n">
        <f aca="false">SUMIFS(Verbrauch!$C$9:$C$18896,Verbrauch!$A$9:$A$18896,"&gt;="&amp;A610,Verbrauch!$A$9:$A$18896,"&lt;"&amp;B610,Verbrauch!$F$9:$F$18896,"Standard")</f>
        <v>0</v>
      </c>
      <c r="F610" s="23" t="n">
        <f aca="false">SUMIFS(Verbrauch!$E$9:$E$18896,Verbrauch!$A$9:$A$18896,"&gt;="&amp;A610,Verbrauch!$A$9:$A$18896,"&lt;"&amp;B610)</f>
        <v>0</v>
      </c>
      <c r="G610" s="13" t="str">
        <f aca="false">IFERROR(F610/C610*100,"")</f>
        <v/>
      </c>
      <c r="H610" s="11" t="n">
        <f aca="false">COUNTIFS(Verbrauch!$A$9:$A$18896,"&gt;="&amp;A610,Verbrauch!$A$9:$A$18896,"&lt;"&amp;B610,Verbrauch!$C$9:$C$18896,"&lt;&gt;")</f>
        <v>0</v>
      </c>
    </row>
    <row r="611" customFormat="false" ht="15" hidden="false" customHeight="true" outlineLevel="0" collapsed="false">
      <c r="A611" s="10" t="n">
        <v>46572</v>
      </c>
      <c r="B611" s="10" t="n">
        <v>46573</v>
      </c>
      <c r="C611" s="22" t="n">
        <f aca="false">SUMIFS(Verbrauch!$C$9:$C$18896,Verbrauch!$A$9:$A$18896,"&gt;="&amp;A611,Verbrauch!$A$9:$A$18896,"&lt;"&amp;B611)</f>
        <v>0</v>
      </c>
      <c r="D611" s="22" t="n">
        <f aca="false">SUMIFS(Verbrauch!$C$9:$C$18896,Verbrauch!$A$9:$A$18896,"&gt;="&amp;A611,Verbrauch!$A$9:$A$18896,"&lt;"&amp;B611,Verbrauch!$F$9:$F$18896,"Go")</f>
        <v>0</v>
      </c>
      <c r="E611" s="22" t="n">
        <f aca="false">SUMIFS(Verbrauch!$C$9:$C$18896,Verbrauch!$A$9:$A$18896,"&gt;="&amp;A611,Verbrauch!$A$9:$A$18896,"&lt;"&amp;B611,Verbrauch!$F$9:$F$18896,"Standard")</f>
        <v>0</v>
      </c>
      <c r="F611" s="23" t="n">
        <f aca="false">SUMIFS(Verbrauch!$E$9:$E$18896,Verbrauch!$A$9:$A$18896,"&gt;="&amp;A611,Verbrauch!$A$9:$A$18896,"&lt;"&amp;B611)</f>
        <v>0</v>
      </c>
      <c r="G611" s="13" t="str">
        <f aca="false">IFERROR(F611/C611*100,"")</f>
        <v/>
      </c>
      <c r="H611" s="11" t="n">
        <f aca="false">COUNTIFS(Verbrauch!$A$9:$A$18896,"&gt;="&amp;A611,Verbrauch!$A$9:$A$18896,"&lt;"&amp;B611,Verbrauch!$C$9:$C$18896,"&lt;&gt;")</f>
        <v>0</v>
      </c>
    </row>
    <row r="612" customFormat="false" ht="15" hidden="false" customHeight="true" outlineLevel="0" collapsed="false">
      <c r="A612" s="10" t="n">
        <v>46573</v>
      </c>
      <c r="B612" s="10" t="n">
        <v>46574</v>
      </c>
      <c r="C612" s="22" t="n">
        <f aca="false">SUMIFS(Verbrauch!$C$9:$C$18896,Verbrauch!$A$9:$A$18896,"&gt;="&amp;A612,Verbrauch!$A$9:$A$18896,"&lt;"&amp;B612)</f>
        <v>0</v>
      </c>
      <c r="D612" s="22" t="n">
        <f aca="false">SUMIFS(Verbrauch!$C$9:$C$18896,Verbrauch!$A$9:$A$18896,"&gt;="&amp;A612,Verbrauch!$A$9:$A$18896,"&lt;"&amp;B612,Verbrauch!$F$9:$F$18896,"Go")</f>
        <v>0</v>
      </c>
      <c r="E612" s="22" t="n">
        <f aca="false">SUMIFS(Verbrauch!$C$9:$C$18896,Verbrauch!$A$9:$A$18896,"&gt;="&amp;A612,Verbrauch!$A$9:$A$18896,"&lt;"&amp;B612,Verbrauch!$F$9:$F$18896,"Standard")</f>
        <v>0</v>
      </c>
      <c r="F612" s="23" t="n">
        <f aca="false">SUMIFS(Verbrauch!$E$9:$E$18896,Verbrauch!$A$9:$A$18896,"&gt;="&amp;A612,Verbrauch!$A$9:$A$18896,"&lt;"&amp;B612)</f>
        <v>0</v>
      </c>
      <c r="G612" s="13" t="str">
        <f aca="false">IFERROR(F612/C612*100,"")</f>
        <v/>
      </c>
      <c r="H612" s="11" t="n">
        <f aca="false">COUNTIFS(Verbrauch!$A$9:$A$18896,"&gt;="&amp;A612,Verbrauch!$A$9:$A$18896,"&lt;"&amp;B612,Verbrauch!$C$9:$C$18896,"&lt;&gt;")</f>
        <v>0</v>
      </c>
    </row>
    <row r="613" customFormat="false" ht="15" hidden="false" customHeight="true" outlineLevel="0" collapsed="false">
      <c r="A613" s="10" t="n">
        <v>46574</v>
      </c>
      <c r="B613" s="10" t="n">
        <v>46575</v>
      </c>
      <c r="C613" s="22" t="n">
        <f aca="false">SUMIFS(Verbrauch!$C$9:$C$18896,Verbrauch!$A$9:$A$18896,"&gt;="&amp;A613,Verbrauch!$A$9:$A$18896,"&lt;"&amp;B613)</f>
        <v>0</v>
      </c>
      <c r="D613" s="22" t="n">
        <f aca="false">SUMIFS(Verbrauch!$C$9:$C$18896,Verbrauch!$A$9:$A$18896,"&gt;="&amp;A613,Verbrauch!$A$9:$A$18896,"&lt;"&amp;B613,Verbrauch!$F$9:$F$18896,"Go")</f>
        <v>0</v>
      </c>
      <c r="E613" s="22" t="n">
        <f aca="false">SUMIFS(Verbrauch!$C$9:$C$18896,Verbrauch!$A$9:$A$18896,"&gt;="&amp;A613,Verbrauch!$A$9:$A$18896,"&lt;"&amp;B613,Verbrauch!$F$9:$F$18896,"Standard")</f>
        <v>0</v>
      </c>
      <c r="F613" s="23" t="n">
        <f aca="false">SUMIFS(Verbrauch!$E$9:$E$18896,Verbrauch!$A$9:$A$18896,"&gt;="&amp;A613,Verbrauch!$A$9:$A$18896,"&lt;"&amp;B613)</f>
        <v>0</v>
      </c>
      <c r="G613" s="13" t="str">
        <f aca="false">IFERROR(F613/C613*100,"")</f>
        <v/>
      </c>
      <c r="H613" s="11" t="n">
        <f aca="false">COUNTIFS(Verbrauch!$A$9:$A$18896,"&gt;="&amp;A613,Verbrauch!$A$9:$A$18896,"&lt;"&amp;B613,Verbrauch!$C$9:$C$18896,"&lt;&gt;")</f>
        <v>0</v>
      </c>
    </row>
    <row r="614" customFormat="false" ht="15" hidden="false" customHeight="true" outlineLevel="0" collapsed="false">
      <c r="A614" s="10" t="n">
        <v>46575</v>
      </c>
      <c r="B614" s="10" t="n">
        <v>46576</v>
      </c>
      <c r="C614" s="22" t="n">
        <f aca="false">SUMIFS(Verbrauch!$C$9:$C$18896,Verbrauch!$A$9:$A$18896,"&gt;="&amp;A614,Verbrauch!$A$9:$A$18896,"&lt;"&amp;B614)</f>
        <v>0</v>
      </c>
      <c r="D614" s="22" t="n">
        <f aca="false">SUMIFS(Verbrauch!$C$9:$C$18896,Verbrauch!$A$9:$A$18896,"&gt;="&amp;A614,Verbrauch!$A$9:$A$18896,"&lt;"&amp;B614,Verbrauch!$F$9:$F$18896,"Go")</f>
        <v>0</v>
      </c>
      <c r="E614" s="22" t="n">
        <f aca="false">SUMIFS(Verbrauch!$C$9:$C$18896,Verbrauch!$A$9:$A$18896,"&gt;="&amp;A614,Verbrauch!$A$9:$A$18896,"&lt;"&amp;B614,Verbrauch!$F$9:$F$18896,"Standard")</f>
        <v>0</v>
      </c>
      <c r="F614" s="23" t="n">
        <f aca="false">SUMIFS(Verbrauch!$E$9:$E$18896,Verbrauch!$A$9:$A$18896,"&gt;="&amp;A614,Verbrauch!$A$9:$A$18896,"&lt;"&amp;B614)</f>
        <v>0</v>
      </c>
      <c r="G614" s="13" t="str">
        <f aca="false">IFERROR(F614/C614*100,"")</f>
        <v/>
      </c>
      <c r="H614" s="11" t="n">
        <f aca="false">COUNTIFS(Verbrauch!$A$9:$A$18896,"&gt;="&amp;A614,Verbrauch!$A$9:$A$18896,"&lt;"&amp;B614,Verbrauch!$C$9:$C$18896,"&lt;&gt;")</f>
        <v>0</v>
      </c>
    </row>
    <row r="615" customFormat="false" ht="15" hidden="false" customHeight="true" outlineLevel="0" collapsed="false">
      <c r="A615" s="10" t="n">
        <v>46576</v>
      </c>
      <c r="B615" s="10" t="n">
        <v>46577</v>
      </c>
      <c r="C615" s="22" t="n">
        <f aca="false">SUMIFS(Verbrauch!$C$9:$C$18896,Verbrauch!$A$9:$A$18896,"&gt;="&amp;A615,Verbrauch!$A$9:$A$18896,"&lt;"&amp;B615)</f>
        <v>0</v>
      </c>
      <c r="D615" s="22" t="n">
        <f aca="false">SUMIFS(Verbrauch!$C$9:$C$18896,Verbrauch!$A$9:$A$18896,"&gt;="&amp;A615,Verbrauch!$A$9:$A$18896,"&lt;"&amp;B615,Verbrauch!$F$9:$F$18896,"Go")</f>
        <v>0</v>
      </c>
      <c r="E615" s="22" t="n">
        <f aca="false">SUMIFS(Verbrauch!$C$9:$C$18896,Verbrauch!$A$9:$A$18896,"&gt;="&amp;A615,Verbrauch!$A$9:$A$18896,"&lt;"&amp;B615,Verbrauch!$F$9:$F$18896,"Standard")</f>
        <v>0</v>
      </c>
      <c r="F615" s="23" t="n">
        <f aca="false">SUMIFS(Verbrauch!$E$9:$E$18896,Verbrauch!$A$9:$A$18896,"&gt;="&amp;A615,Verbrauch!$A$9:$A$18896,"&lt;"&amp;B615)</f>
        <v>0</v>
      </c>
      <c r="G615" s="13" t="str">
        <f aca="false">IFERROR(F615/C615*100,"")</f>
        <v/>
      </c>
      <c r="H615" s="11" t="n">
        <f aca="false">COUNTIFS(Verbrauch!$A$9:$A$18896,"&gt;="&amp;A615,Verbrauch!$A$9:$A$18896,"&lt;"&amp;B615,Verbrauch!$C$9:$C$18896,"&lt;&gt;")</f>
        <v>0</v>
      </c>
    </row>
    <row r="616" customFormat="false" ht="15" hidden="false" customHeight="true" outlineLevel="0" collapsed="false">
      <c r="A616" s="10" t="n">
        <v>46577</v>
      </c>
      <c r="B616" s="10" t="n">
        <v>46578</v>
      </c>
      <c r="C616" s="22" t="n">
        <f aca="false">SUMIFS(Verbrauch!$C$9:$C$18896,Verbrauch!$A$9:$A$18896,"&gt;="&amp;A616,Verbrauch!$A$9:$A$18896,"&lt;"&amp;B616)</f>
        <v>0</v>
      </c>
      <c r="D616" s="22" t="n">
        <f aca="false">SUMIFS(Verbrauch!$C$9:$C$18896,Verbrauch!$A$9:$A$18896,"&gt;="&amp;A616,Verbrauch!$A$9:$A$18896,"&lt;"&amp;B616,Verbrauch!$F$9:$F$18896,"Go")</f>
        <v>0</v>
      </c>
      <c r="E616" s="22" t="n">
        <f aca="false">SUMIFS(Verbrauch!$C$9:$C$18896,Verbrauch!$A$9:$A$18896,"&gt;="&amp;A616,Verbrauch!$A$9:$A$18896,"&lt;"&amp;B616,Verbrauch!$F$9:$F$18896,"Standard")</f>
        <v>0</v>
      </c>
      <c r="F616" s="23" t="n">
        <f aca="false">SUMIFS(Verbrauch!$E$9:$E$18896,Verbrauch!$A$9:$A$18896,"&gt;="&amp;A616,Verbrauch!$A$9:$A$18896,"&lt;"&amp;B616)</f>
        <v>0</v>
      </c>
      <c r="G616" s="13" t="str">
        <f aca="false">IFERROR(F616/C616*100,"")</f>
        <v/>
      </c>
      <c r="H616" s="11" t="n">
        <f aca="false">COUNTIFS(Verbrauch!$A$9:$A$18896,"&gt;="&amp;A616,Verbrauch!$A$9:$A$18896,"&lt;"&amp;B616,Verbrauch!$C$9:$C$18896,"&lt;&gt;")</f>
        <v>0</v>
      </c>
    </row>
    <row r="617" customFormat="false" ht="15" hidden="false" customHeight="true" outlineLevel="0" collapsed="false">
      <c r="A617" s="10" t="n">
        <v>46578</v>
      </c>
      <c r="B617" s="10" t="n">
        <v>46579</v>
      </c>
      <c r="C617" s="22" t="n">
        <f aca="false">SUMIFS(Verbrauch!$C$9:$C$18896,Verbrauch!$A$9:$A$18896,"&gt;="&amp;A617,Verbrauch!$A$9:$A$18896,"&lt;"&amp;B617)</f>
        <v>0</v>
      </c>
      <c r="D617" s="22" t="n">
        <f aca="false">SUMIFS(Verbrauch!$C$9:$C$18896,Verbrauch!$A$9:$A$18896,"&gt;="&amp;A617,Verbrauch!$A$9:$A$18896,"&lt;"&amp;B617,Verbrauch!$F$9:$F$18896,"Go")</f>
        <v>0</v>
      </c>
      <c r="E617" s="22" t="n">
        <f aca="false">SUMIFS(Verbrauch!$C$9:$C$18896,Verbrauch!$A$9:$A$18896,"&gt;="&amp;A617,Verbrauch!$A$9:$A$18896,"&lt;"&amp;B617,Verbrauch!$F$9:$F$18896,"Standard")</f>
        <v>0</v>
      </c>
      <c r="F617" s="23" t="n">
        <f aca="false">SUMIFS(Verbrauch!$E$9:$E$18896,Verbrauch!$A$9:$A$18896,"&gt;="&amp;A617,Verbrauch!$A$9:$A$18896,"&lt;"&amp;B617)</f>
        <v>0</v>
      </c>
      <c r="G617" s="13" t="str">
        <f aca="false">IFERROR(F617/C617*100,"")</f>
        <v/>
      </c>
      <c r="H617" s="11" t="n">
        <f aca="false">COUNTIFS(Verbrauch!$A$9:$A$18896,"&gt;="&amp;A617,Verbrauch!$A$9:$A$18896,"&lt;"&amp;B617,Verbrauch!$C$9:$C$18896,"&lt;&gt;")</f>
        <v>0</v>
      </c>
    </row>
    <row r="618" customFormat="false" ht="15" hidden="false" customHeight="true" outlineLevel="0" collapsed="false">
      <c r="A618" s="10" t="n">
        <v>46579</v>
      </c>
      <c r="B618" s="10" t="n">
        <v>46580</v>
      </c>
      <c r="C618" s="22" t="n">
        <f aca="false">SUMIFS(Verbrauch!$C$9:$C$18896,Verbrauch!$A$9:$A$18896,"&gt;="&amp;A618,Verbrauch!$A$9:$A$18896,"&lt;"&amp;B618)</f>
        <v>0</v>
      </c>
      <c r="D618" s="22" t="n">
        <f aca="false">SUMIFS(Verbrauch!$C$9:$C$18896,Verbrauch!$A$9:$A$18896,"&gt;="&amp;A618,Verbrauch!$A$9:$A$18896,"&lt;"&amp;B618,Verbrauch!$F$9:$F$18896,"Go")</f>
        <v>0</v>
      </c>
      <c r="E618" s="22" t="n">
        <f aca="false">SUMIFS(Verbrauch!$C$9:$C$18896,Verbrauch!$A$9:$A$18896,"&gt;="&amp;A618,Verbrauch!$A$9:$A$18896,"&lt;"&amp;B618,Verbrauch!$F$9:$F$18896,"Standard")</f>
        <v>0</v>
      </c>
      <c r="F618" s="23" t="n">
        <f aca="false">SUMIFS(Verbrauch!$E$9:$E$18896,Verbrauch!$A$9:$A$18896,"&gt;="&amp;A618,Verbrauch!$A$9:$A$18896,"&lt;"&amp;B618)</f>
        <v>0</v>
      </c>
      <c r="G618" s="13" t="str">
        <f aca="false">IFERROR(F618/C618*100,"")</f>
        <v/>
      </c>
      <c r="H618" s="11" t="n">
        <f aca="false">COUNTIFS(Verbrauch!$A$9:$A$18896,"&gt;="&amp;A618,Verbrauch!$A$9:$A$18896,"&lt;"&amp;B618,Verbrauch!$C$9:$C$18896,"&lt;&gt;")</f>
        <v>0</v>
      </c>
    </row>
    <row r="619" customFormat="false" ht="15" hidden="false" customHeight="true" outlineLevel="0" collapsed="false">
      <c r="A619" s="10" t="n">
        <v>46580</v>
      </c>
      <c r="B619" s="10" t="n">
        <v>46581</v>
      </c>
      <c r="C619" s="22" t="n">
        <f aca="false">SUMIFS(Verbrauch!$C$9:$C$18896,Verbrauch!$A$9:$A$18896,"&gt;="&amp;A619,Verbrauch!$A$9:$A$18896,"&lt;"&amp;B619)</f>
        <v>0</v>
      </c>
      <c r="D619" s="22" t="n">
        <f aca="false">SUMIFS(Verbrauch!$C$9:$C$18896,Verbrauch!$A$9:$A$18896,"&gt;="&amp;A619,Verbrauch!$A$9:$A$18896,"&lt;"&amp;B619,Verbrauch!$F$9:$F$18896,"Go")</f>
        <v>0</v>
      </c>
      <c r="E619" s="22" t="n">
        <f aca="false">SUMIFS(Verbrauch!$C$9:$C$18896,Verbrauch!$A$9:$A$18896,"&gt;="&amp;A619,Verbrauch!$A$9:$A$18896,"&lt;"&amp;B619,Verbrauch!$F$9:$F$18896,"Standard")</f>
        <v>0</v>
      </c>
      <c r="F619" s="23" t="n">
        <f aca="false">SUMIFS(Verbrauch!$E$9:$E$18896,Verbrauch!$A$9:$A$18896,"&gt;="&amp;A619,Verbrauch!$A$9:$A$18896,"&lt;"&amp;B619)</f>
        <v>0</v>
      </c>
      <c r="G619" s="13" t="str">
        <f aca="false">IFERROR(F619/C619*100,"")</f>
        <v/>
      </c>
      <c r="H619" s="11" t="n">
        <f aca="false">COUNTIFS(Verbrauch!$A$9:$A$18896,"&gt;="&amp;A619,Verbrauch!$A$9:$A$18896,"&lt;"&amp;B619,Verbrauch!$C$9:$C$18896,"&lt;&gt;")</f>
        <v>0</v>
      </c>
    </row>
    <row r="620" customFormat="false" ht="15" hidden="false" customHeight="true" outlineLevel="0" collapsed="false">
      <c r="A620" s="10" t="n">
        <v>46581</v>
      </c>
      <c r="B620" s="10" t="n">
        <v>46582</v>
      </c>
      <c r="C620" s="22" t="n">
        <f aca="false">SUMIFS(Verbrauch!$C$9:$C$18896,Verbrauch!$A$9:$A$18896,"&gt;="&amp;A620,Verbrauch!$A$9:$A$18896,"&lt;"&amp;B620)</f>
        <v>0</v>
      </c>
      <c r="D620" s="22" t="n">
        <f aca="false">SUMIFS(Verbrauch!$C$9:$C$18896,Verbrauch!$A$9:$A$18896,"&gt;="&amp;A620,Verbrauch!$A$9:$A$18896,"&lt;"&amp;B620,Verbrauch!$F$9:$F$18896,"Go")</f>
        <v>0</v>
      </c>
      <c r="E620" s="22" t="n">
        <f aca="false">SUMIFS(Verbrauch!$C$9:$C$18896,Verbrauch!$A$9:$A$18896,"&gt;="&amp;A620,Verbrauch!$A$9:$A$18896,"&lt;"&amp;B620,Verbrauch!$F$9:$F$18896,"Standard")</f>
        <v>0</v>
      </c>
      <c r="F620" s="23" t="n">
        <f aca="false">SUMIFS(Verbrauch!$E$9:$E$18896,Verbrauch!$A$9:$A$18896,"&gt;="&amp;A620,Verbrauch!$A$9:$A$18896,"&lt;"&amp;B620)</f>
        <v>0</v>
      </c>
      <c r="G620" s="13" t="str">
        <f aca="false">IFERROR(F620/C620*100,"")</f>
        <v/>
      </c>
      <c r="H620" s="11" t="n">
        <f aca="false">COUNTIFS(Verbrauch!$A$9:$A$18896,"&gt;="&amp;A620,Verbrauch!$A$9:$A$18896,"&lt;"&amp;B620,Verbrauch!$C$9:$C$18896,"&lt;&gt;")</f>
        <v>0</v>
      </c>
    </row>
    <row r="621" customFormat="false" ht="15" hidden="false" customHeight="true" outlineLevel="0" collapsed="false">
      <c r="A621" s="10" t="n">
        <v>46582</v>
      </c>
      <c r="B621" s="10" t="n">
        <v>46583</v>
      </c>
      <c r="C621" s="22" t="n">
        <f aca="false">SUMIFS(Verbrauch!$C$9:$C$18896,Verbrauch!$A$9:$A$18896,"&gt;="&amp;A621,Verbrauch!$A$9:$A$18896,"&lt;"&amp;B621)</f>
        <v>0</v>
      </c>
      <c r="D621" s="22" t="n">
        <f aca="false">SUMIFS(Verbrauch!$C$9:$C$18896,Verbrauch!$A$9:$A$18896,"&gt;="&amp;A621,Verbrauch!$A$9:$A$18896,"&lt;"&amp;B621,Verbrauch!$F$9:$F$18896,"Go")</f>
        <v>0</v>
      </c>
      <c r="E621" s="22" t="n">
        <f aca="false">SUMIFS(Verbrauch!$C$9:$C$18896,Verbrauch!$A$9:$A$18896,"&gt;="&amp;A621,Verbrauch!$A$9:$A$18896,"&lt;"&amp;B621,Verbrauch!$F$9:$F$18896,"Standard")</f>
        <v>0</v>
      </c>
      <c r="F621" s="23" t="n">
        <f aca="false">SUMIFS(Verbrauch!$E$9:$E$18896,Verbrauch!$A$9:$A$18896,"&gt;="&amp;A621,Verbrauch!$A$9:$A$18896,"&lt;"&amp;B621)</f>
        <v>0</v>
      </c>
      <c r="G621" s="13" t="str">
        <f aca="false">IFERROR(F621/C621*100,"")</f>
        <v/>
      </c>
      <c r="H621" s="11" t="n">
        <f aca="false">COUNTIFS(Verbrauch!$A$9:$A$18896,"&gt;="&amp;A621,Verbrauch!$A$9:$A$18896,"&lt;"&amp;B621,Verbrauch!$C$9:$C$18896,"&lt;&gt;")</f>
        <v>0</v>
      </c>
    </row>
    <row r="622" customFormat="false" ht="15" hidden="false" customHeight="true" outlineLevel="0" collapsed="false">
      <c r="A622" s="10" t="n">
        <v>46583</v>
      </c>
      <c r="B622" s="10" t="n">
        <v>46584</v>
      </c>
      <c r="C622" s="22" t="n">
        <f aca="false">SUMIFS(Verbrauch!$C$9:$C$18896,Verbrauch!$A$9:$A$18896,"&gt;="&amp;A622,Verbrauch!$A$9:$A$18896,"&lt;"&amp;B622)</f>
        <v>0</v>
      </c>
      <c r="D622" s="22" t="n">
        <f aca="false">SUMIFS(Verbrauch!$C$9:$C$18896,Verbrauch!$A$9:$A$18896,"&gt;="&amp;A622,Verbrauch!$A$9:$A$18896,"&lt;"&amp;B622,Verbrauch!$F$9:$F$18896,"Go")</f>
        <v>0</v>
      </c>
      <c r="E622" s="22" t="n">
        <f aca="false">SUMIFS(Verbrauch!$C$9:$C$18896,Verbrauch!$A$9:$A$18896,"&gt;="&amp;A622,Verbrauch!$A$9:$A$18896,"&lt;"&amp;B622,Verbrauch!$F$9:$F$18896,"Standard")</f>
        <v>0</v>
      </c>
      <c r="F622" s="23" t="n">
        <f aca="false">SUMIFS(Verbrauch!$E$9:$E$18896,Verbrauch!$A$9:$A$18896,"&gt;="&amp;A622,Verbrauch!$A$9:$A$18896,"&lt;"&amp;B622)</f>
        <v>0</v>
      </c>
      <c r="G622" s="13" t="str">
        <f aca="false">IFERROR(F622/C622*100,"")</f>
        <v/>
      </c>
      <c r="H622" s="11" t="n">
        <f aca="false">COUNTIFS(Verbrauch!$A$9:$A$18896,"&gt;="&amp;A622,Verbrauch!$A$9:$A$18896,"&lt;"&amp;B622,Verbrauch!$C$9:$C$18896,"&lt;&gt;")</f>
        <v>0</v>
      </c>
    </row>
    <row r="623" customFormat="false" ht="15" hidden="false" customHeight="true" outlineLevel="0" collapsed="false">
      <c r="A623" s="10" t="n">
        <v>46584</v>
      </c>
      <c r="B623" s="10" t="n">
        <v>46585</v>
      </c>
      <c r="C623" s="22" t="n">
        <f aca="false">SUMIFS(Verbrauch!$C$9:$C$18896,Verbrauch!$A$9:$A$18896,"&gt;="&amp;A623,Verbrauch!$A$9:$A$18896,"&lt;"&amp;B623)</f>
        <v>0</v>
      </c>
      <c r="D623" s="22" t="n">
        <f aca="false">SUMIFS(Verbrauch!$C$9:$C$18896,Verbrauch!$A$9:$A$18896,"&gt;="&amp;A623,Verbrauch!$A$9:$A$18896,"&lt;"&amp;B623,Verbrauch!$F$9:$F$18896,"Go")</f>
        <v>0</v>
      </c>
      <c r="E623" s="22" t="n">
        <f aca="false">SUMIFS(Verbrauch!$C$9:$C$18896,Verbrauch!$A$9:$A$18896,"&gt;="&amp;A623,Verbrauch!$A$9:$A$18896,"&lt;"&amp;B623,Verbrauch!$F$9:$F$18896,"Standard")</f>
        <v>0</v>
      </c>
      <c r="F623" s="23" t="n">
        <f aca="false">SUMIFS(Verbrauch!$E$9:$E$18896,Verbrauch!$A$9:$A$18896,"&gt;="&amp;A623,Verbrauch!$A$9:$A$18896,"&lt;"&amp;B623)</f>
        <v>0</v>
      </c>
      <c r="G623" s="13" t="str">
        <f aca="false">IFERROR(F623/C623*100,"")</f>
        <v/>
      </c>
      <c r="H623" s="11" t="n">
        <f aca="false">COUNTIFS(Verbrauch!$A$9:$A$18896,"&gt;="&amp;A623,Verbrauch!$A$9:$A$18896,"&lt;"&amp;B623,Verbrauch!$C$9:$C$18896,"&lt;&gt;")</f>
        <v>0</v>
      </c>
    </row>
    <row r="624" customFormat="false" ht="15" hidden="false" customHeight="true" outlineLevel="0" collapsed="false">
      <c r="A624" s="10" t="n">
        <v>46585</v>
      </c>
      <c r="B624" s="10" t="n">
        <v>46586</v>
      </c>
      <c r="C624" s="22" t="n">
        <f aca="false">SUMIFS(Verbrauch!$C$9:$C$18896,Verbrauch!$A$9:$A$18896,"&gt;="&amp;A624,Verbrauch!$A$9:$A$18896,"&lt;"&amp;B624)</f>
        <v>0</v>
      </c>
      <c r="D624" s="22" t="n">
        <f aca="false">SUMIFS(Verbrauch!$C$9:$C$18896,Verbrauch!$A$9:$A$18896,"&gt;="&amp;A624,Verbrauch!$A$9:$A$18896,"&lt;"&amp;B624,Verbrauch!$F$9:$F$18896,"Go")</f>
        <v>0</v>
      </c>
      <c r="E624" s="22" t="n">
        <f aca="false">SUMIFS(Verbrauch!$C$9:$C$18896,Verbrauch!$A$9:$A$18896,"&gt;="&amp;A624,Verbrauch!$A$9:$A$18896,"&lt;"&amp;B624,Verbrauch!$F$9:$F$18896,"Standard")</f>
        <v>0</v>
      </c>
      <c r="F624" s="23" t="n">
        <f aca="false">SUMIFS(Verbrauch!$E$9:$E$18896,Verbrauch!$A$9:$A$18896,"&gt;="&amp;A624,Verbrauch!$A$9:$A$18896,"&lt;"&amp;B624)</f>
        <v>0</v>
      </c>
      <c r="G624" s="13" t="str">
        <f aca="false">IFERROR(F624/C624*100,"")</f>
        <v/>
      </c>
      <c r="H624" s="11" t="n">
        <f aca="false">COUNTIFS(Verbrauch!$A$9:$A$18896,"&gt;="&amp;A624,Verbrauch!$A$9:$A$18896,"&lt;"&amp;B624,Verbrauch!$C$9:$C$18896,"&lt;&gt;")</f>
        <v>0</v>
      </c>
    </row>
    <row r="625" customFormat="false" ht="15" hidden="false" customHeight="true" outlineLevel="0" collapsed="false">
      <c r="A625" s="10" t="n">
        <v>46586</v>
      </c>
      <c r="B625" s="10" t="n">
        <v>46587</v>
      </c>
      <c r="C625" s="22" t="n">
        <f aca="false">SUMIFS(Verbrauch!$C$9:$C$18896,Verbrauch!$A$9:$A$18896,"&gt;="&amp;A625,Verbrauch!$A$9:$A$18896,"&lt;"&amp;B625)</f>
        <v>0</v>
      </c>
      <c r="D625" s="22" t="n">
        <f aca="false">SUMIFS(Verbrauch!$C$9:$C$18896,Verbrauch!$A$9:$A$18896,"&gt;="&amp;A625,Verbrauch!$A$9:$A$18896,"&lt;"&amp;B625,Verbrauch!$F$9:$F$18896,"Go")</f>
        <v>0</v>
      </c>
      <c r="E625" s="22" t="n">
        <f aca="false">SUMIFS(Verbrauch!$C$9:$C$18896,Verbrauch!$A$9:$A$18896,"&gt;="&amp;A625,Verbrauch!$A$9:$A$18896,"&lt;"&amp;B625,Verbrauch!$F$9:$F$18896,"Standard")</f>
        <v>0</v>
      </c>
      <c r="F625" s="23" t="n">
        <f aca="false">SUMIFS(Verbrauch!$E$9:$E$18896,Verbrauch!$A$9:$A$18896,"&gt;="&amp;A625,Verbrauch!$A$9:$A$18896,"&lt;"&amp;B625)</f>
        <v>0</v>
      </c>
      <c r="G625" s="13" t="str">
        <f aca="false">IFERROR(F625/C625*100,"")</f>
        <v/>
      </c>
      <c r="H625" s="11" t="n">
        <f aca="false">COUNTIFS(Verbrauch!$A$9:$A$18896,"&gt;="&amp;A625,Verbrauch!$A$9:$A$18896,"&lt;"&amp;B625,Verbrauch!$C$9:$C$18896,"&lt;&gt;")</f>
        <v>0</v>
      </c>
    </row>
    <row r="626" customFormat="false" ht="15" hidden="false" customHeight="true" outlineLevel="0" collapsed="false">
      <c r="A626" s="10" t="n">
        <v>46587</v>
      </c>
      <c r="B626" s="10" t="n">
        <v>46588</v>
      </c>
      <c r="C626" s="22" t="n">
        <f aca="false">SUMIFS(Verbrauch!$C$9:$C$18896,Verbrauch!$A$9:$A$18896,"&gt;="&amp;A626,Verbrauch!$A$9:$A$18896,"&lt;"&amp;B626)</f>
        <v>0</v>
      </c>
      <c r="D626" s="22" t="n">
        <f aca="false">SUMIFS(Verbrauch!$C$9:$C$18896,Verbrauch!$A$9:$A$18896,"&gt;="&amp;A626,Verbrauch!$A$9:$A$18896,"&lt;"&amp;B626,Verbrauch!$F$9:$F$18896,"Go")</f>
        <v>0</v>
      </c>
      <c r="E626" s="22" t="n">
        <f aca="false">SUMIFS(Verbrauch!$C$9:$C$18896,Verbrauch!$A$9:$A$18896,"&gt;="&amp;A626,Verbrauch!$A$9:$A$18896,"&lt;"&amp;B626,Verbrauch!$F$9:$F$18896,"Standard")</f>
        <v>0</v>
      </c>
      <c r="F626" s="23" t="n">
        <f aca="false">SUMIFS(Verbrauch!$E$9:$E$18896,Verbrauch!$A$9:$A$18896,"&gt;="&amp;A626,Verbrauch!$A$9:$A$18896,"&lt;"&amp;B626)</f>
        <v>0</v>
      </c>
      <c r="G626" s="13" t="str">
        <f aca="false">IFERROR(F626/C626*100,"")</f>
        <v/>
      </c>
      <c r="H626" s="11" t="n">
        <f aca="false">COUNTIFS(Verbrauch!$A$9:$A$18896,"&gt;="&amp;A626,Verbrauch!$A$9:$A$18896,"&lt;"&amp;B626,Verbrauch!$C$9:$C$18896,"&lt;&gt;")</f>
        <v>0</v>
      </c>
    </row>
    <row r="627" customFormat="false" ht="15" hidden="false" customHeight="true" outlineLevel="0" collapsed="false">
      <c r="A627" s="10" t="n">
        <v>46588</v>
      </c>
      <c r="B627" s="10" t="n">
        <v>46589</v>
      </c>
      <c r="C627" s="22" t="n">
        <f aca="false">SUMIFS(Verbrauch!$C$9:$C$18896,Verbrauch!$A$9:$A$18896,"&gt;="&amp;A627,Verbrauch!$A$9:$A$18896,"&lt;"&amp;B627)</f>
        <v>0</v>
      </c>
      <c r="D627" s="22" t="n">
        <f aca="false">SUMIFS(Verbrauch!$C$9:$C$18896,Verbrauch!$A$9:$A$18896,"&gt;="&amp;A627,Verbrauch!$A$9:$A$18896,"&lt;"&amp;B627,Verbrauch!$F$9:$F$18896,"Go")</f>
        <v>0</v>
      </c>
      <c r="E627" s="22" t="n">
        <f aca="false">SUMIFS(Verbrauch!$C$9:$C$18896,Verbrauch!$A$9:$A$18896,"&gt;="&amp;A627,Verbrauch!$A$9:$A$18896,"&lt;"&amp;B627,Verbrauch!$F$9:$F$18896,"Standard")</f>
        <v>0</v>
      </c>
      <c r="F627" s="23" t="n">
        <f aca="false">SUMIFS(Verbrauch!$E$9:$E$18896,Verbrauch!$A$9:$A$18896,"&gt;="&amp;A627,Verbrauch!$A$9:$A$18896,"&lt;"&amp;B627)</f>
        <v>0</v>
      </c>
      <c r="G627" s="13" t="str">
        <f aca="false">IFERROR(F627/C627*100,"")</f>
        <v/>
      </c>
      <c r="H627" s="11" t="n">
        <f aca="false">COUNTIFS(Verbrauch!$A$9:$A$18896,"&gt;="&amp;A627,Verbrauch!$A$9:$A$18896,"&lt;"&amp;B627,Verbrauch!$C$9:$C$18896,"&lt;&gt;")</f>
        <v>0</v>
      </c>
    </row>
    <row r="628" customFormat="false" ht="15" hidden="false" customHeight="true" outlineLevel="0" collapsed="false">
      <c r="A628" s="10" t="n">
        <v>46589</v>
      </c>
      <c r="B628" s="10" t="n">
        <v>46590</v>
      </c>
      <c r="C628" s="22" t="n">
        <f aca="false">SUMIFS(Verbrauch!$C$9:$C$18896,Verbrauch!$A$9:$A$18896,"&gt;="&amp;A628,Verbrauch!$A$9:$A$18896,"&lt;"&amp;B628)</f>
        <v>0</v>
      </c>
      <c r="D628" s="22" t="n">
        <f aca="false">SUMIFS(Verbrauch!$C$9:$C$18896,Verbrauch!$A$9:$A$18896,"&gt;="&amp;A628,Verbrauch!$A$9:$A$18896,"&lt;"&amp;B628,Verbrauch!$F$9:$F$18896,"Go")</f>
        <v>0</v>
      </c>
      <c r="E628" s="22" t="n">
        <f aca="false">SUMIFS(Verbrauch!$C$9:$C$18896,Verbrauch!$A$9:$A$18896,"&gt;="&amp;A628,Verbrauch!$A$9:$A$18896,"&lt;"&amp;B628,Verbrauch!$F$9:$F$18896,"Standard")</f>
        <v>0</v>
      </c>
      <c r="F628" s="23" t="n">
        <f aca="false">SUMIFS(Verbrauch!$E$9:$E$18896,Verbrauch!$A$9:$A$18896,"&gt;="&amp;A628,Verbrauch!$A$9:$A$18896,"&lt;"&amp;B628)</f>
        <v>0</v>
      </c>
      <c r="G628" s="13" t="str">
        <f aca="false">IFERROR(F628/C628*100,"")</f>
        <v/>
      </c>
      <c r="H628" s="11" t="n">
        <f aca="false">COUNTIFS(Verbrauch!$A$9:$A$18896,"&gt;="&amp;A628,Verbrauch!$A$9:$A$18896,"&lt;"&amp;B628,Verbrauch!$C$9:$C$18896,"&lt;&gt;")</f>
        <v>0</v>
      </c>
    </row>
    <row r="629" customFormat="false" ht="15" hidden="false" customHeight="true" outlineLevel="0" collapsed="false">
      <c r="A629" s="10" t="n">
        <v>46590</v>
      </c>
      <c r="B629" s="10" t="n">
        <v>46591</v>
      </c>
      <c r="C629" s="22" t="n">
        <f aca="false">SUMIFS(Verbrauch!$C$9:$C$18896,Verbrauch!$A$9:$A$18896,"&gt;="&amp;A629,Verbrauch!$A$9:$A$18896,"&lt;"&amp;B629)</f>
        <v>0</v>
      </c>
      <c r="D629" s="22" t="n">
        <f aca="false">SUMIFS(Verbrauch!$C$9:$C$18896,Verbrauch!$A$9:$A$18896,"&gt;="&amp;A629,Verbrauch!$A$9:$A$18896,"&lt;"&amp;B629,Verbrauch!$F$9:$F$18896,"Go")</f>
        <v>0</v>
      </c>
      <c r="E629" s="22" t="n">
        <f aca="false">SUMIFS(Verbrauch!$C$9:$C$18896,Verbrauch!$A$9:$A$18896,"&gt;="&amp;A629,Verbrauch!$A$9:$A$18896,"&lt;"&amp;B629,Verbrauch!$F$9:$F$18896,"Standard")</f>
        <v>0</v>
      </c>
      <c r="F629" s="23" t="n">
        <f aca="false">SUMIFS(Verbrauch!$E$9:$E$18896,Verbrauch!$A$9:$A$18896,"&gt;="&amp;A629,Verbrauch!$A$9:$A$18896,"&lt;"&amp;B629)</f>
        <v>0</v>
      </c>
      <c r="G629" s="13" t="str">
        <f aca="false">IFERROR(F629/C629*100,"")</f>
        <v/>
      </c>
      <c r="H629" s="11" t="n">
        <f aca="false">COUNTIFS(Verbrauch!$A$9:$A$18896,"&gt;="&amp;A629,Verbrauch!$A$9:$A$18896,"&lt;"&amp;B629,Verbrauch!$C$9:$C$18896,"&lt;&gt;")</f>
        <v>0</v>
      </c>
    </row>
    <row r="630" customFormat="false" ht="15" hidden="false" customHeight="true" outlineLevel="0" collapsed="false">
      <c r="A630" s="10" t="n">
        <v>46591</v>
      </c>
      <c r="B630" s="10" t="n">
        <v>46592</v>
      </c>
      <c r="C630" s="22" t="n">
        <f aca="false">SUMIFS(Verbrauch!$C$9:$C$18896,Verbrauch!$A$9:$A$18896,"&gt;="&amp;A630,Verbrauch!$A$9:$A$18896,"&lt;"&amp;B630)</f>
        <v>0</v>
      </c>
      <c r="D630" s="22" t="n">
        <f aca="false">SUMIFS(Verbrauch!$C$9:$C$18896,Verbrauch!$A$9:$A$18896,"&gt;="&amp;A630,Verbrauch!$A$9:$A$18896,"&lt;"&amp;B630,Verbrauch!$F$9:$F$18896,"Go")</f>
        <v>0</v>
      </c>
      <c r="E630" s="22" t="n">
        <f aca="false">SUMIFS(Verbrauch!$C$9:$C$18896,Verbrauch!$A$9:$A$18896,"&gt;="&amp;A630,Verbrauch!$A$9:$A$18896,"&lt;"&amp;B630,Verbrauch!$F$9:$F$18896,"Standard")</f>
        <v>0</v>
      </c>
      <c r="F630" s="23" t="n">
        <f aca="false">SUMIFS(Verbrauch!$E$9:$E$18896,Verbrauch!$A$9:$A$18896,"&gt;="&amp;A630,Verbrauch!$A$9:$A$18896,"&lt;"&amp;B630)</f>
        <v>0</v>
      </c>
      <c r="G630" s="13" t="str">
        <f aca="false">IFERROR(F630/C630*100,"")</f>
        <v/>
      </c>
      <c r="H630" s="11" t="n">
        <f aca="false">COUNTIFS(Verbrauch!$A$9:$A$18896,"&gt;="&amp;A630,Verbrauch!$A$9:$A$18896,"&lt;"&amp;B630,Verbrauch!$C$9:$C$18896,"&lt;&gt;")</f>
        <v>0</v>
      </c>
    </row>
    <row r="631" customFormat="false" ht="15" hidden="false" customHeight="true" outlineLevel="0" collapsed="false">
      <c r="A631" s="10" t="n">
        <v>46592</v>
      </c>
      <c r="B631" s="10" t="n">
        <v>46593</v>
      </c>
      <c r="C631" s="22" t="n">
        <f aca="false">SUMIFS(Verbrauch!$C$9:$C$18896,Verbrauch!$A$9:$A$18896,"&gt;="&amp;A631,Verbrauch!$A$9:$A$18896,"&lt;"&amp;B631)</f>
        <v>0</v>
      </c>
      <c r="D631" s="22" t="n">
        <f aca="false">SUMIFS(Verbrauch!$C$9:$C$18896,Verbrauch!$A$9:$A$18896,"&gt;="&amp;A631,Verbrauch!$A$9:$A$18896,"&lt;"&amp;B631,Verbrauch!$F$9:$F$18896,"Go")</f>
        <v>0</v>
      </c>
      <c r="E631" s="22" t="n">
        <f aca="false">SUMIFS(Verbrauch!$C$9:$C$18896,Verbrauch!$A$9:$A$18896,"&gt;="&amp;A631,Verbrauch!$A$9:$A$18896,"&lt;"&amp;B631,Verbrauch!$F$9:$F$18896,"Standard")</f>
        <v>0</v>
      </c>
      <c r="F631" s="23" t="n">
        <f aca="false">SUMIFS(Verbrauch!$E$9:$E$18896,Verbrauch!$A$9:$A$18896,"&gt;="&amp;A631,Verbrauch!$A$9:$A$18896,"&lt;"&amp;B631)</f>
        <v>0</v>
      </c>
      <c r="G631" s="13" t="str">
        <f aca="false">IFERROR(F631/C631*100,"")</f>
        <v/>
      </c>
      <c r="H631" s="11" t="n">
        <f aca="false">COUNTIFS(Verbrauch!$A$9:$A$18896,"&gt;="&amp;A631,Verbrauch!$A$9:$A$18896,"&lt;"&amp;B631,Verbrauch!$C$9:$C$18896,"&lt;&gt;")</f>
        <v>0</v>
      </c>
    </row>
    <row r="632" customFormat="false" ht="15" hidden="false" customHeight="true" outlineLevel="0" collapsed="false">
      <c r="A632" s="10" t="n">
        <v>46593</v>
      </c>
      <c r="B632" s="10" t="n">
        <v>46594</v>
      </c>
      <c r="C632" s="22" t="n">
        <f aca="false">SUMIFS(Verbrauch!$C$9:$C$18896,Verbrauch!$A$9:$A$18896,"&gt;="&amp;A632,Verbrauch!$A$9:$A$18896,"&lt;"&amp;B632)</f>
        <v>0</v>
      </c>
      <c r="D632" s="22" t="n">
        <f aca="false">SUMIFS(Verbrauch!$C$9:$C$18896,Verbrauch!$A$9:$A$18896,"&gt;="&amp;A632,Verbrauch!$A$9:$A$18896,"&lt;"&amp;B632,Verbrauch!$F$9:$F$18896,"Go")</f>
        <v>0</v>
      </c>
      <c r="E632" s="22" t="n">
        <f aca="false">SUMIFS(Verbrauch!$C$9:$C$18896,Verbrauch!$A$9:$A$18896,"&gt;="&amp;A632,Verbrauch!$A$9:$A$18896,"&lt;"&amp;B632,Verbrauch!$F$9:$F$18896,"Standard")</f>
        <v>0</v>
      </c>
      <c r="F632" s="23" t="n">
        <f aca="false">SUMIFS(Verbrauch!$E$9:$E$18896,Verbrauch!$A$9:$A$18896,"&gt;="&amp;A632,Verbrauch!$A$9:$A$18896,"&lt;"&amp;B632)</f>
        <v>0</v>
      </c>
      <c r="G632" s="13" t="str">
        <f aca="false">IFERROR(F632/C632*100,"")</f>
        <v/>
      </c>
      <c r="H632" s="11" t="n">
        <f aca="false">COUNTIFS(Verbrauch!$A$9:$A$18896,"&gt;="&amp;A632,Verbrauch!$A$9:$A$18896,"&lt;"&amp;B632,Verbrauch!$C$9:$C$18896,"&lt;&gt;")</f>
        <v>0</v>
      </c>
    </row>
    <row r="633" customFormat="false" ht="15" hidden="false" customHeight="true" outlineLevel="0" collapsed="false">
      <c r="A633" s="10" t="n">
        <v>46594</v>
      </c>
      <c r="B633" s="10" t="n">
        <v>46595</v>
      </c>
      <c r="C633" s="22" t="n">
        <f aca="false">SUMIFS(Verbrauch!$C$9:$C$18896,Verbrauch!$A$9:$A$18896,"&gt;="&amp;A633,Verbrauch!$A$9:$A$18896,"&lt;"&amp;B633)</f>
        <v>0</v>
      </c>
      <c r="D633" s="22" t="n">
        <f aca="false">SUMIFS(Verbrauch!$C$9:$C$18896,Verbrauch!$A$9:$A$18896,"&gt;="&amp;A633,Verbrauch!$A$9:$A$18896,"&lt;"&amp;B633,Verbrauch!$F$9:$F$18896,"Go")</f>
        <v>0</v>
      </c>
      <c r="E633" s="22" t="n">
        <f aca="false">SUMIFS(Verbrauch!$C$9:$C$18896,Verbrauch!$A$9:$A$18896,"&gt;="&amp;A633,Verbrauch!$A$9:$A$18896,"&lt;"&amp;B633,Verbrauch!$F$9:$F$18896,"Standard")</f>
        <v>0</v>
      </c>
      <c r="F633" s="23" t="n">
        <f aca="false">SUMIFS(Verbrauch!$E$9:$E$18896,Verbrauch!$A$9:$A$18896,"&gt;="&amp;A633,Verbrauch!$A$9:$A$18896,"&lt;"&amp;B633)</f>
        <v>0</v>
      </c>
      <c r="G633" s="13" t="str">
        <f aca="false">IFERROR(F633/C633*100,"")</f>
        <v/>
      </c>
      <c r="H633" s="11" t="n">
        <f aca="false">COUNTIFS(Verbrauch!$A$9:$A$18896,"&gt;="&amp;A633,Verbrauch!$A$9:$A$18896,"&lt;"&amp;B633,Verbrauch!$C$9:$C$18896,"&lt;&gt;")</f>
        <v>0</v>
      </c>
    </row>
    <row r="634" customFormat="false" ht="15" hidden="false" customHeight="true" outlineLevel="0" collapsed="false">
      <c r="A634" s="10" t="n">
        <v>46595</v>
      </c>
      <c r="B634" s="10" t="n">
        <v>46596</v>
      </c>
      <c r="C634" s="22" t="n">
        <f aca="false">SUMIFS(Verbrauch!$C$9:$C$18896,Verbrauch!$A$9:$A$18896,"&gt;="&amp;A634,Verbrauch!$A$9:$A$18896,"&lt;"&amp;B634)</f>
        <v>0</v>
      </c>
      <c r="D634" s="22" t="n">
        <f aca="false">SUMIFS(Verbrauch!$C$9:$C$18896,Verbrauch!$A$9:$A$18896,"&gt;="&amp;A634,Verbrauch!$A$9:$A$18896,"&lt;"&amp;B634,Verbrauch!$F$9:$F$18896,"Go")</f>
        <v>0</v>
      </c>
      <c r="E634" s="22" t="n">
        <f aca="false">SUMIFS(Verbrauch!$C$9:$C$18896,Verbrauch!$A$9:$A$18896,"&gt;="&amp;A634,Verbrauch!$A$9:$A$18896,"&lt;"&amp;B634,Verbrauch!$F$9:$F$18896,"Standard")</f>
        <v>0</v>
      </c>
      <c r="F634" s="23" t="n">
        <f aca="false">SUMIFS(Verbrauch!$E$9:$E$18896,Verbrauch!$A$9:$A$18896,"&gt;="&amp;A634,Verbrauch!$A$9:$A$18896,"&lt;"&amp;B634)</f>
        <v>0</v>
      </c>
      <c r="G634" s="13" t="str">
        <f aca="false">IFERROR(F634/C634*100,"")</f>
        <v/>
      </c>
      <c r="H634" s="11" t="n">
        <f aca="false">COUNTIFS(Verbrauch!$A$9:$A$18896,"&gt;="&amp;A634,Verbrauch!$A$9:$A$18896,"&lt;"&amp;B634,Verbrauch!$C$9:$C$18896,"&lt;&gt;")</f>
        <v>0</v>
      </c>
    </row>
    <row r="635" customFormat="false" ht="15" hidden="false" customHeight="true" outlineLevel="0" collapsed="false">
      <c r="A635" s="10" t="n">
        <v>46596</v>
      </c>
      <c r="B635" s="10" t="n">
        <v>46597</v>
      </c>
      <c r="C635" s="22" t="n">
        <f aca="false">SUMIFS(Verbrauch!$C$9:$C$18896,Verbrauch!$A$9:$A$18896,"&gt;="&amp;A635,Verbrauch!$A$9:$A$18896,"&lt;"&amp;B635)</f>
        <v>0</v>
      </c>
      <c r="D635" s="22" t="n">
        <f aca="false">SUMIFS(Verbrauch!$C$9:$C$18896,Verbrauch!$A$9:$A$18896,"&gt;="&amp;A635,Verbrauch!$A$9:$A$18896,"&lt;"&amp;B635,Verbrauch!$F$9:$F$18896,"Go")</f>
        <v>0</v>
      </c>
      <c r="E635" s="22" t="n">
        <f aca="false">SUMIFS(Verbrauch!$C$9:$C$18896,Verbrauch!$A$9:$A$18896,"&gt;="&amp;A635,Verbrauch!$A$9:$A$18896,"&lt;"&amp;B635,Verbrauch!$F$9:$F$18896,"Standard")</f>
        <v>0</v>
      </c>
      <c r="F635" s="23" t="n">
        <f aca="false">SUMIFS(Verbrauch!$E$9:$E$18896,Verbrauch!$A$9:$A$18896,"&gt;="&amp;A635,Verbrauch!$A$9:$A$18896,"&lt;"&amp;B635)</f>
        <v>0</v>
      </c>
      <c r="G635" s="13" t="str">
        <f aca="false">IFERROR(F635/C635*100,"")</f>
        <v/>
      </c>
      <c r="H635" s="11" t="n">
        <f aca="false">COUNTIFS(Verbrauch!$A$9:$A$18896,"&gt;="&amp;A635,Verbrauch!$A$9:$A$18896,"&lt;"&amp;B635,Verbrauch!$C$9:$C$18896,"&lt;&gt;")</f>
        <v>0</v>
      </c>
    </row>
    <row r="636" customFormat="false" ht="15" hidden="false" customHeight="true" outlineLevel="0" collapsed="false">
      <c r="A636" s="10" t="n">
        <v>46597</v>
      </c>
      <c r="B636" s="10" t="n">
        <v>46598</v>
      </c>
      <c r="C636" s="22" t="n">
        <f aca="false">SUMIFS(Verbrauch!$C$9:$C$18896,Verbrauch!$A$9:$A$18896,"&gt;="&amp;A636,Verbrauch!$A$9:$A$18896,"&lt;"&amp;B636)</f>
        <v>0</v>
      </c>
      <c r="D636" s="22" t="n">
        <f aca="false">SUMIFS(Verbrauch!$C$9:$C$18896,Verbrauch!$A$9:$A$18896,"&gt;="&amp;A636,Verbrauch!$A$9:$A$18896,"&lt;"&amp;B636,Verbrauch!$F$9:$F$18896,"Go")</f>
        <v>0</v>
      </c>
      <c r="E636" s="22" t="n">
        <f aca="false">SUMIFS(Verbrauch!$C$9:$C$18896,Verbrauch!$A$9:$A$18896,"&gt;="&amp;A636,Verbrauch!$A$9:$A$18896,"&lt;"&amp;B636,Verbrauch!$F$9:$F$18896,"Standard")</f>
        <v>0</v>
      </c>
      <c r="F636" s="23" t="n">
        <f aca="false">SUMIFS(Verbrauch!$E$9:$E$18896,Verbrauch!$A$9:$A$18896,"&gt;="&amp;A636,Verbrauch!$A$9:$A$18896,"&lt;"&amp;B636)</f>
        <v>0</v>
      </c>
      <c r="G636" s="13" t="str">
        <f aca="false">IFERROR(F636/C636*100,"")</f>
        <v/>
      </c>
      <c r="H636" s="11" t="n">
        <f aca="false">COUNTIFS(Verbrauch!$A$9:$A$18896,"&gt;="&amp;A636,Verbrauch!$A$9:$A$18896,"&lt;"&amp;B636,Verbrauch!$C$9:$C$18896,"&lt;&gt;")</f>
        <v>0</v>
      </c>
    </row>
    <row r="637" customFormat="false" ht="15" hidden="false" customHeight="true" outlineLevel="0" collapsed="false">
      <c r="A637" s="10" t="n">
        <v>46598</v>
      </c>
      <c r="B637" s="10" t="n">
        <v>46599</v>
      </c>
      <c r="C637" s="22" t="n">
        <f aca="false">SUMIFS(Verbrauch!$C$9:$C$18896,Verbrauch!$A$9:$A$18896,"&gt;="&amp;A637,Verbrauch!$A$9:$A$18896,"&lt;"&amp;B637)</f>
        <v>0</v>
      </c>
      <c r="D637" s="22" t="n">
        <f aca="false">SUMIFS(Verbrauch!$C$9:$C$18896,Verbrauch!$A$9:$A$18896,"&gt;="&amp;A637,Verbrauch!$A$9:$A$18896,"&lt;"&amp;B637,Verbrauch!$F$9:$F$18896,"Go")</f>
        <v>0</v>
      </c>
      <c r="E637" s="22" t="n">
        <f aca="false">SUMIFS(Verbrauch!$C$9:$C$18896,Verbrauch!$A$9:$A$18896,"&gt;="&amp;A637,Verbrauch!$A$9:$A$18896,"&lt;"&amp;B637,Verbrauch!$F$9:$F$18896,"Standard")</f>
        <v>0</v>
      </c>
      <c r="F637" s="23" t="n">
        <f aca="false">SUMIFS(Verbrauch!$E$9:$E$18896,Verbrauch!$A$9:$A$18896,"&gt;="&amp;A637,Verbrauch!$A$9:$A$18896,"&lt;"&amp;B637)</f>
        <v>0</v>
      </c>
      <c r="G637" s="13" t="str">
        <f aca="false">IFERROR(F637/C637*100,"")</f>
        <v/>
      </c>
      <c r="H637" s="11" t="n">
        <f aca="false">COUNTIFS(Verbrauch!$A$9:$A$18896,"&gt;="&amp;A637,Verbrauch!$A$9:$A$18896,"&lt;"&amp;B637,Verbrauch!$C$9:$C$18896,"&lt;&gt;")</f>
        <v>0</v>
      </c>
    </row>
    <row r="638" customFormat="false" ht="15" hidden="false" customHeight="true" outlineLevel="0" collapsed="false">
      <c r="A638" s="10" t="n">
        <v>46599</v>
      </c>
      <c r="B638" s="10" t="n">
        <v>46600</v>
      </c>
      <c r="C638" s="22" t="n">
        <f aca="false">SUMIFS(Verbrauch!$C$9:$C$18896,Verbrauch!$A$9:$A$18896,"&gt;="&amp;A638,Verbrauch!$A$9:$A$18896,"&lt;"&amp;B638)</f>
        <v>0</v>
      </c>
      <c r="D638" s="22" t="n">
        <f aca="false">SUMIFS(Verbrauch!$C$9:$C$18896,Verbrauch!$A$9:$A$18896,"&gt;="&amp;A638,Verbrauch!$A$9:$A$18896,"&lt;"&amp;B638,Verbrauch!$F$9:$F$18896,"Go")</f>
        <v>0</v>
      </c>
      <c r="E638" s="22" t="n">
        <f aca="false">SUMIFS(Verbrauch!$C$9:$C$18896,Verbrauch!$A$9:$A$18896,"&gt;="&amp;A638,Verbrauch!$A$9:$A$18896,"&lt;"&amp;B638,Verbrauch!$F$9:$F$18896,"Standard")</f>
        <v>0</v>
      </c>
      <c r="F638" s="23" t="n">
        <f aca="false">SUMIFS(Verbrauch!$E$9:$E$18896,Verbrauch!$A$9:$A$18896,"&gt;="&amp;A638,Verbrauch!$A$9:$A$18896,"&lt;"&amp;B638)</f>
        <v>0</v>
      </c>
      <c r="G638" s="13" t="str">
        <f aca="false">IFERROR(F638/C638*100,"")</f>
        <v/>
      </c>
      <c r="H638" s="11" t="n">
        <f aca="false">COUNTIFS(Verbrauch!$A$9:$A$18896,"&gt;="&amp;A638,Verbrauch!$A$9:$A$18896,"&lt;"&amp;B638,Verbrauch!$C$9:$C$18896,"&lt;&gt;")</f>
        <v>0</v>
      </c>
    </row>
    <row r="639" customFormat="false" ht="15" hidden="false" customHeight="true" outlineLevel="0" collapsed="false">
      <c r="A639" s="10" t="n">
        <v>46600</v>
      </c>
      <c r="B639" s="10" t="n">
        <v>46601</v>
      </c>
      <c r="C639" s="22" t="n">
        <f aca="false">SUMIFS(Verbrauch!$C$9:$C$18896,Verbrauch!$A$9:$A$18896,"&gt;="&amp;A639,Verbrauch!$A$9:$A$18896,"&lt;"&amp;B639)</f>
        <v>0</v>
      </c>
      <c r="D639" s="22" t="n">
        <f aca="false">SUMIFS(Verbrauch!$C$9:$C$18896,Verbrauch!$A$9:$A$18896,"&gt;="&amp;A639,Verbrauch!$A$9:$A$18896,"&lt;"&amp;B639,Verbrauch!$F$9:$F$18896,"Go")</f>
        <v>0</v>
      </c>
      <c r="E639" s="22" t="n">
        <f aca="false">SUMIFS(Verbrauch!$C$9:$C$18896,Verbrauch!$A$9:$A$18896,"&gt;="&amp;A639,Verbrauch!$A$9:$A$18896,"&lt;"&amp;B639,Verbrauch!$F$9:$F$18896,"Standard")</f>
        <v>0</v>
      </c>
      <c r="F639" s="23" t="n">
        <f aca="false">SUMIFS(Verbrauch!$E$9:$E$18896,Verbrauch!$A$9:$A$18896,"&gt;="&amp;A639,Verbrauch!$A$9:$A$18896,"&lt;"&amp;B639)</f>
        <v>0</v>
      </c>
      <c r="G639" s="13" t="str">
        <f aca="false">IFERROR(F639/C639*100,"")</f>
        <v/>
      </c>
      <c r="H639" s="11" t="n">
        <f aca="false">COUNTIFS(Verbrauch!$A$9:$A$18896,"&gt;="&amp;A639,Verbrauch!$A$9:$A$18896,"&lt;"&amp;B639,Verbrauch!$C$9:$C$18896,"&lt;&gt;")</f>
        <v>0</v>
      </c>
    </row>
    <row r="640" customFormat="false" ht="15" hidden="false" customHeight="true" outlineLevel="0" collapsed="false">
      <c r="A640" s="10" t="n">
        <v>46601</v>
      </c>
      <c r="B640" s="10" t="n">
        <v>46602</v>
      </c>
      <c r="C640" s="22" t="n">
        <f aca="false">SUMIFS(Verbrauch!$C$9:$C$18896,Verbrauch!$A$9:$A$18896,"&gt;="&amp;A640,Verbrauch!$A$9:$A$18896,"&lt;"&amp;B640)</f>
        <v>0</v>
      </c>
      <c r="D640" s="22" t="n">
        <f aca="false">SUMIFS(Verbrauch!$C$9:$C$18896,Verbrauch!$A$9:$A$18896,"&gt;="&amp;A640,Verbrauch!$A$9:$A$18896,"&lt;"&amp;B640,Verbrauch!$F$9:$F$18896,"Go")</f>
        <v>0</v>
      </c>
      <c r="E640" s="22" t="n">
        <f aca="false">SUMIFS(Verbrauch!$C$9:$C$18896,Verbrauch!$A$9:$A$18896,"&gt;="&amp;A640,Verbrauch!$A$9:$A$18896,"&lt;"&amp;B640,Verbrauch!$F$9:$F$18896,"Standard")</f>
        <v>0</v>
      </c>
      <c r="F640" s="23" t="n">
        <f aca="false">SUMIFS(Verbrauch!$E$9:$E$18896,Verbrauch!$A$9:$A$18896,"&gt;="&amp;A640,Verbrauch!$A$9:$A$18896,"&lt;"&amp;B640)</f>
        <v>0</v>
      </c>
      <c r="G640" s="13" t="str">
        <f aca="false">IFERROR(F640/C640*100,"")</f>
        <v/>
      </c>
      <c r="H640" s="11" t="n">
        <f aca="false">COUNTIFS(Verbrauch!$A$9:$A$18896,"&gt;="&amp;A640,Verbrauch!$A$9:$A$18896,"&lt;"&amp;B640,Verbrauch!$C$9:$C$18896,"&lt;&gt;")</f>
        <v>0</v>
      </c>
    </row>
    <row r="641" customFormat="false" ht="15" hidden="false" customHeight="true" outlineLevel="0" collapsed="false">
      <c r="A641" s="10" t="n">
        <v>46602</v>
      </c>
      <c r="B641" s="10" t="n">
        <v>46603</v>
      </c>
      <c r="C641" s="22" t="n">
        <f aca="false">SUMIFS(Verbrauch!$C$9:$C$18896,Verbrauch!$A$9:$A$18896,"&gt;="&amp;A641,Verbrauch!$A$9:$A$18896,"&lt;"&amp;B641)</f>
        <v>0</v>
      </c>
      <c r="D641" s="22" t="n">
        <f aca="false">SUMIFS(Verbrauch!$C$9:$C$18896,Verbrauch!$A$9:$A$18896,"&gt;="&amp;A641,Verbrauch!$A$9:$A$18896,"&lt;"&amp;B641,Verbrauch!$F$9:$F$18896,"Go")</f>
        <v>0</v>
      </c>
      <c r="E641" s="22" t="n">
        <f aca="false">SUMIFS(Verbrauch!$C$9:$C$18896,Verbrauch!$A$9:$A$18896,"&gt;="&amp;A641,Verbrauch!$A$9:$A$18896,"&lt;"&amp;B641,Verbrauch!$F$9:$F$18896,"Standard")</f>
        <v>0</v>
      </c>
      <c r="F641" s="23" t="n">
        <f aca="false">SUMIFS(Verbrauch!$E$9:$E$18896,Verbrauch!$A$9:$A$18896,"&gt;="&amp;A641,Verbrauch!$A$9:$A$18896,"&lt;"&amp;B641)</f>
        <v>0</v>
      </c>
      <c r="G641" s="13" t="str">
        <f aca="false">IFERROR(F641/C641*100,"")</f>
        <v/>
      </c>
      <c r="H641" s="11" t="n">
        <f aca="false">COUNTIFS(Verbrauch!$A$9:$A$18896,"&gt;="&amp;A641,Verbrauch!$A$9:$A$18896,"&lt;"&amp;B641,Verbrauch!$C$9:$C$18896,"&lt;&gt;")</f>
        <v>0</v>
      </c>
    </row>
    <row r="642" customFormat="false" ht="15" hidden="false" customHeight="true" outlineLevel="0" collapsed="false">
      <c r="A642" s="10" t="n">
        <v>46603</v>
      </c>
      <c r="B642" s="10" t="n">
        <v>46604</v>
      </c>
      <c r="C642" s="22" t="n">
        <f aca="false">SUMIFS(Verbrauch!$C$9:$C$18896,Verbrauch!$A$9:$A$18896,"&gt;="&amp;A642,Verbrauch!$A$9:$A$18896,"&lt;"&amp;B642)</f>
        <v>0</v>
      </c>
      <c r="D642" s="22" t="n">
        <f aca="false">SUMIFS(Verbrauch!$C$9:$C$18896,Verbrauch!$A$9:$A$18896,"&gt;="&amp;A642,Verbrauch!$A$9:$A$18896,"&lt;"&amp;B642,Verbrauch!$F$9:$F$18896,"Go")</f>
        <v>0</v>
      </c>
      <c r="E642" s="22" t="n">
        <f aca="false">SUMIFS(Verbrauch!$C$9:$C$18896,Verbrauch!$A$9:$A$18896,"&gt;="&amp;A642,Verbrauch!$A$9:$A$18896,"&lt;"&amp;B642,Verbrauch!$F$9:$F$18896,"Standard")</f>
        <v>0</v>
      </c>
      <c r="F642" s="23" t="n">
        <f aca="false">SUMIFS(Verbrauch!$E$9:$E$18896,Verbrauch!$A$9:$A$18896,"&gt;="&amp;A642,Verbrauch!$A$9:$A$18896,"&lt;"&amp;B642)</f>
        <v>0</v>
      </c>
      <c r="G642" s="13" t="str">
        <f aca="false">IFERROR(F642/C642*100,"")</f>
        <v/>
      </c>
      <c r="H642" s="11" t="n">
        <f aca="false">COUNTIFS(Verbrauch!$A$9:$A$18896,"&gt;="&amp;A642,Verbrauch!$A$9:$A$18896,"&lt;"&amp;B642,Verbrauch!$C$9:$C$18896,"&lt;&gt;")</f>
        <v>0</v>
      </c>
    </row>
    <row r="643" customFormat="false" ht="15" hidden="false" customHeight="true" outlineLevel="0" collapsed="false">
      <c r="A643" s="10" t="n">
        <v>46604</v>
      </c>
      <c r="B643" s="10" t="n">
        <v>46605</v>
      </c>
      <c r="C643" s="22" t="n">
        <f aca="false">SUMIFS(Verbrauch!$C$9:$C$18896,Verbrauch!$A$9:$A$18896,"&gt;="&amp;A643,Verbrauch!$A$9:$A$18896,"&lt;"&amp;B643)</f>
        <v>0</v>
      </c>
      <c r="D643" s="22" t="n">
        <f aca="false">SUMIFS(Verbrauch!$C$9:$C$18896,Verbrauch!$A$9:$A$18896,"&gt;="&amp;A643,Verbrauch!$A$9:$A$18896,"&lt;"&amp;B643,Verbrauch!$F$9:$F$18896,"Go")</f>
        <v>0</v>
      </c>
      <c r="E643" s="22" t="n">
        <f aca="false">SUMIFS(Verbrauch!$C$9:$C$18896,Verbrauch!$A$9:$A$18896,"&gt;="&amp;A643,Verbrauch!$A$9:$A$18896,"&lt;"&amp;B643,Verbrauch!$F$9:$F$18896,"Standard")</f>
        <v>0</v>
      </c>
      <c r="F643" s="23" t="n">
        <f aca="false">SUMIFS(Verbrauch!$E$9:$E$18896,Verbrauch!$A$9:$A$18896,"&gt;="&amp;A643,Verbrauch!$A$9:$A$18896,"&lt;"&amp;B643)</f>
        <v>0</v>
      </c>
      <c r="G643" s="13" t="str">
        <f aca="false">IFERROR(F643/C643*100,"")</f>
        <v/>
      </c>
      <c r="H643" s="11" t="n">
        <f aca="false">COUNTIFS(Verbrauch!$A$9:$A$18896,"&gt;="&amp;A643,Verbrauch!$A$9:$A$18896,"&lt;"&amp;B643,Verbrauch!$C$9:$C$18896,"&lt;&gt;")</f>
        <v>0</v>
      </c>
    </row>
    <row r="644" customFormat="false" ht="15" hidden="false" customHeight="true" outlineLevel="0" collapsed="false">
      <c r="A644" s="10" t="n">
        <v>46605</v>
      </c>
      <c r="B644" s="10" t="n">
        <v>46606</v>
      </c>
      <c r="C644" s="22" t="n">
        <f aca="false">SUMIFS(Verbrauch!$C$9:$C$18896,Verbrauch!$A$9:$A$18896,"&gt;="&amp;A644,Verbrauch!$A$9:$A$18896,"&lt;"&amp;B644)</f>
        <v>0</v>
      </c>
      <c r="D644" s="22" t="n">
        <f aca="false">SUMIFS(Verbrauch!$C$9:$C$18896,Verbrauch!$A$9:$A$18896,"&gt;="&amp;A644,Verbrauch!$A$9:$A$18896,"&lt;"&amp;B644,Verbrauch!$F$9:$F$18896,"Go")</f>
        <v>0</v>
      </c>
      <c r="E644" s="22" t="n">
        <f aca="false">SUMIFS(Verbrauch!$C$9:$C$18896,Verbrauch!$A$9:$A$18896,"&gt;="&amp;A644,Verbrauch!$A$9:$A$18896,"&lt;"&amp;B644,Verbrauch!$F$9:$F$18896,"Standard")</f>
        <v>0</v>
      </c>
      <c r="F644" s="23" t="n">
        <f aca="false">SUMIFS(Verbrauch!$E$9:$E$18896,Verbrauch!$A$9:$A$18896,"&gt;="&amp;A644,Verbrauch!$A$9:$A$18896,"&lt;"&amp;B644)</f>
        <v>0</v>
      </c>
      <c r="G644" s="13" t="str">
        <f aca="false">IFERROR(F644/C644*100,"")</f>
        <v/>
      </c>
      <c r="H644" s="11" t="n">
        <f aca="false">COUNTIFS(Verbrauch!$A$9:$A$18896,"&gt;="&amp;A644,Verbrauch!$A$9:$A$18896,"&lt;"&amp;B644,Verbrauch!$C$9:$C$18896,"&lt;&gt;")</f>
        <v>0</v>
      </c>
    </row>
    <row r="645" customFormat="false" ht="15" hidden="false" customHeight="true" outlineLevel="0" collapsed="false">
      <c r="A645" s="10" t="n">
        <v>46606</v>
      </c>
      <c r="B645" s="10" t="n">
        <v>46607</v>
      </c>
      <c r="C645" s="22" t="n">
        <f aca="false">SUMIFS(Verbrauch!$C$9:$C$18896,Verbrauch!$A$9:$A$18896,"&gt;="&amp;A645,Verbrauch!$A$9:$A$18896,"&lt;"&amp;B645)</f>
        <v>0</v>
      </c>
      <c r="D645" s="22" t="n">
        <f aca="false">SUMIFS(Verbrauch!$C$9:$C$18896,Verbrauch!$A$9:$A$18896,"&gt;="&amp;A645,Verbrauch!$A$9:$A$18896,"&lt;"&amp;B645,Verbrauch!$F$9:$F$18896,"Go")</f>
        <v>0</v>
      </c>
      <c r="E645" s="22" t="n">
        <f aca="false">SUMIFS(Verbrauch!$C$9:$C$18896,Verbrauch!$A$9:$A$18896,"&gt;="&amp;A645,Verbrauch!$A$9:$A$18896,"&lt;"&amp;B645,Verbrauch!$F$9:$F$18896,"Standard")</f>
        <v>0</v>
      </c>
      <c r="F645" s="23" t="n">
        <f aca="false">SUMIFS(Verbrauch!$E$9:$E$18896,Verbrauch!$A$9:$A$18896,"&gt;="&amp;A645,Verbrauch!$A$9:$A$18896,"&lt;"&amp;B645)</f>
        <v>0</v>
      </c>
      <c r="G645" s="13" t="str">
        <f aca="false">IFERROR(F645/C645*100,"")</f>
        <v/>
      </c>
      <c r="H645" s="11" t="n">
        <f aca="false">COUNTIFS(Verbrauch!$A$9:$A$18896,"&gt;="&amp;A645,Verbrauch!$A$9:$A$18896,"&lt;"&amp;B645,Verbrauch!$C$9:$C$18896,"&lt;&gt;")</f>
        <v>0</v>
      </c>
    </row>
    <row r="646" customFormat="false" ht="15" hidden="false" customHeight="true" outlineLevel="0" collapsed="false">
      <c r="A646" s="10" t="n">
        <v>46607</v>
      </c>
      <c r="B646" s="10" t="n">
        <v>46608</v>
      </c>
      <c r="C646" s="22" t="n">
        <f aca="false">SUMIFS(Verbrauch!$C$9:$C$18896,Verbrauch!$A$9:$A$18896,"&gt;="&amp;A646,Verbrauch!$A$9:$A$18896,"&lt;"&amp;B646)</f>
        <v>0</v>
      </c>
      <c r="D646" s="22" t="n">
        <f aca="false">SUMIFS(Verbrauch!$C$9:$C$18896,Verbrauch!$A$9:$A$18896,"&gt;="&amp;A646,Verbrauch!$A$9:$A$18896,"&lt;"&amp;B646,Verbrauch!$F$9:$F$18896,"Go")</f>
        <v>0</v>
      </c>
      <c r="E646" s="22" t="n">
        <f aca="false">SUMIFS(Verbrauch!$C$9:$C$18896,Verbrauch!$A$9:$A$18896,"&gt;="&amp;A646,Verbrauch!$A$9:$A$18896,"&lt;"&amp;B646,Verbrauch!$F$9:$F$18896,"Standard")</f>
        <v>0</v>
      </c>
      <c r="F646" s="23" t="n">
        <f aca="false">SUMIFS(Verbrauch!$E$9:$E$18896,Verbrauch!$A$9:$A$18896,"&gt;="&amp;A646,Verbrauch!$A$9:$A$18896,"&lt;"&amp;B646)</f>
        <v>0</v>
      </c>
      <c r="G646" s="13" t="str">
        <f aca="false">IFERROR(F646/C646*100,"")</f>
        <v/>
      </c>
      <c r="H646" s="11" t="n">
        <f aca="false">COUNTIFS(Verbrauch!$A$9:$A$18896,"&gt;="&amp;A646,Verbrauch!$A$9:$A$18896,"&lt;"&amp;B646,Verbrauch!$C$9:$C$18896,"&lt;&gt;")</f>
        <v>0</v>
      </c>
    </row>
    <row r="647" customFormat="false" ht="15" hidden="false" customHeight="true" outlineLevel="0" collapsed="false">
      <c r="A647" s="10" t="n">
        <v>46608</v>
      </c>
      <c r="B647" s="10" t="n">
        <v>46609</v>
      </c>
      <c r="C647" s="22" t="n">
        <f aca="false">SUMIFS(Verbrauch!$C$9:$C$18896,Verbrauch!$A$9:$A$18896,"&gt;="&amp;A647,Verbrauch!$A$9:$A$18896,"&lt;"&amp;B647)</f>
        <v>0</v>
      </c>
      <c r="D647" s="22" t="n">
        <f aca="false">SUMIFS(Verbrauch!$C$9:$C$18896,Verbrauch!$A$9:$A$18896,"&gt;="&amp;A647,Verbrauch!$A$9:$A$18896,"&lt;"&amp;B647,Verbrauch!$F$9:$F$18896,"Go")</f>
        <v>0</v>
      </c>
      <c r="E647" s="22" t="n">
        <f aca="false">SUMIFS(Verbrauch!$C$9:$C$18896,Verbrauch!$A$9:$A$18896,"&gt;="&amp;A647,Verbrauch!$A$9:$A$18896,"&lt;"&amp;B647,Verbrauch!$F$9:$F$18896,"Standard")</f>
        <v>0</v>
      </c>
      <c r="F647" s="23" t="n">
        <f aca="false">SUMIFS(Verbrauch!$E$9:$E$18896,Verbrauch!$A$9:$A$18896,"&gt;="&amp;A647,Verbrauch!$A$9:$A$18896,"&lt;"&amp;B647)</f>
        <v>0</v>
      </c>
      <c r="G647" s="13" t="str">
        <f aca="false">IFERROR(F647/C647*100,"")</f>
        <v/>
      </c>
      <c r="H647" s="11" t="n">
        <f aca="false">COUNTIFS(Verbrauch!$A$9:$A$18896,"&gt;="&amp;A647,Verbrauch!$A$9:$A$18896,"&lt;"&amp;B647,Verbrauch!$C$9:$C$18896,"&lt;&gt;")</f>
        <v>0</v>
      </c>
    </row>
    <row r="648" customFormat="false" ht="15" hidden="false" customHeight="true" outlineLevel="0" collapsed="false">
      <c r="A648" s="10" t="n">
        <v>46609</v>
      </c>
      <c r="B648" s="10" t="n">
        <v>46610</v>
      </c>
      <c r="C648" s="22" t="n">
        <f aca="false">SUMIFS(Verbrauch!$C$9:$C$18896,Verbrauch!$A$9:$A$18896,"&gt;="&amp;A648,Verbrauch!$A$9:$A$18896,"&lt;"&amp;B648)</f>
        <v>0</v>
      </c>
      <c r="D648" s="22" t="n">
        <f aca="false">SUMIFS(Verbrauch!$C$9:$C$18896,Verbrauch!$A$9:$A$18896,"&gt;="&amp;A648,Verbrauch!$A$9:$A$18896,"&lt;"&amp;B648,Verbrauch!$F$9:$F$18896,"Go")</f>
        <v>0</v>
      </c>
      <c r="E648" s="22" t="n">
        <f aca="false">SUMIFS(Verbrauch!$C$9:$C$18896,Verbrauch!$A$9:$A$18896,"&gt;="&amp;A648,Verbrauch!$A$9:$A$18896,"&lt;"&amp;B648,Verbrauch!$F$9:$F$18896,"Standard")</f>
        <v>0</v>
      </c>
      <c r="F648" s="23" t="n">
        <f aca="false">SUMIFS(Verbrauch!$E$9:$E$18896,Verbrauch!$A$9:$A$18896,"&gt;="&amp;A648,Verbrauch!$A$9:$A$18896,"&lt;"&amp;B648)</f>
        <v>0</v>
      </c>
      <c r="G648" s="13" t="str">
        <f aca="false">IFERROR(F648/C648*100,"")</f>
        <v/>
      </c>
      <c r="H648" s="11" t="n">
        <f aca="false">COUNTIFS(Verbrauch!$A$9:$A$18896,"&gt;="&amp;A648,Verbrauch!$A$9:$A$18896,"&lt;"&amp;B648,Verbrauch!$C$9:$C$18896,"&lt;&gt;")</f>
        <v>0</v>
      </c>
    </row>
    <row r="649" customFormat="false" ht="15" hidden="false" customHeight="true" outlineLevel="0" collapsed="false">
      <c r="A649" s="10" t="n">
        <v>46610</v>
      </c>
      <c r="B649" s="10" t="n">
        <v>46611</v>
      </c>
      <c r="C649" s="22" t="n">
        <f aca="false">SUMIFS(Verbrauch!$C$9:$C$18896,Verbrauch!$A$9:$A$18896,"&gt;="&amp;A649,Verbrauch!$A$9:$A$18896,"&lt;"&amp;B649)</f>
        <v>0</v>
      </c>
      <c r="D649" s="22" t="n">
        <f aca="false">SUMIFS(Verbrauch!$C$9:$C$18896,Verbrauch!$A$9:$A$18896,"&gt;="&amp;A649,Verbrauch!$A$9:$A$18896,"&lt;"&amp;B649,Verbrauch!$F$9:$F$18896,"Go")</f>
        <v>0</v>
      </c>
      <c r="E649" s="22" t="n">
        <f aca="false">SUMIFS(Verbrauch!$C$9:$C$18896,Verbrauch!$A$9:$A$18896,"&gt;="&amp;A649,Verbrauch!$A$9:$A$18896,"&lt;"&amp;B649,Verbrauch!$F$9:$F$18896,"Standard")</f>
        <v>0</v>
      </c>
      <c r="F649" s="23" t="n">
        <f aca="false">SUMIFS(Verbrauch!$E$9:$E$18896,Verbrauch!$A$9:$A$18896,"&gt;="&amp;A649,Verbrauch!$A$9:$A$18896,"&lt;"&amp;B649)</f>
        <v>0</v>
      </c>
      <c r="G649" s="13" t="str">
        <f aca="false">IFERROR(F649/C649*100,"")</f>
        <v/>
      </c>
      <c r="H649" s="11" t="n">
        <f aca="false">COUNTIFS(Verbrauch!$A$9:$A$18896,"&gt;="&amp;A649,Verbrauch!$A$9:$A$18896,"&lt;"&amp;B649,Verbrauch!$C$9:$C$18896,"&lt;&gt;")</f>
        <v>0</v>
      </c>
    </row>
    <row r="650" customFormat="false" ht="15" hidden="false" customHeight="true" outlineLevel="0" collapsed="false">
      <c r="A650" s="10" t="n">
        <v>46611</v>
      </c>
      <c r="B650" s="10" t="n">
        <v>46612</v>
      </c>
      <c r="C650" s="22" t="n">
        <f aca="false">SUMIFS(Verbrauch!$C$9:$C$18896,Verbrauch!$A$9:$A$18896,"&gt;="&amp;A650,Verbrauch!$A$9:$A$18896,"&lt;"&amp;B650)</f>
        <v>0</v>
      </c>
      <c r="D650" s="22" t="n">
        <f aca="false">SUMIFS(Verbrauch!$C$9:$C$18896,Verbrauch!$A$9:$A$18896,"&gt;="&amp;A650,Verbrauch!$A$9:$A$18896,"&lt;"&amp;B650,Verbrauch!$F$9:$F$18896,"Go")</f>
        <v>0</v>
      </c>
      <c r="E650" s="22" t="n">
        <f aca="false">SUMIFS(Verbrauch!$C$9:$C$18896,Verbrauch!$A$9:$A$18896,"&gt;="&amp;A650,Verbrauch!$A$9:$A$18896,"&lt;"&amp;B650,Verbrauch!$F$9:$F$18896,"Standard")</f>
        <v>0</v>
      </c>
      <c r="F650" s="23" t="n">
        <f aca="false">SUMIFS(Verbrauch!$E$9:$E$18896,Verbrauch!$A$9:$A$18896,"&gt;="&amp;A650,Verbrauch!$A$9:$A$18896,"&lt;"&amp;B650)</f>
        <v>0</v>
      </c>
      <c r="G650" s="13" t="str">
        <f aca="false">IFERROR(F650/C650*100,"")</f>
        <v/>
      </c>
      <c r="H650" s="11" t="n">
        <f aca="false">COUNTIFS(Verbrauch!$A$9:$A$18896,"&gt;="&amp;A650,Verbrauch!$A$9:$A$18896,"&lt;"&amp;B650,Verbrauch!$C$9:$C$18896,"&lt;&gt;")</f>
        <v>0</v>
      </c>
    </row>
    <row r="651" customFormat="false" ht="15" hidden="false" customHeight="true" outlineLevel="0" collapsed="false">
      <c r="A651" s="10" t="n">
        <v>46612</v>
      </c>
      <c r="B651" s="10" t="n">
        <v>46613</v>
      </c>
      <c r="C651" s="22" t="n">
        <f aca="false">SUMIFS(Verbrauch!$C$9:$C$18896,Verbrauch!$A$9:$A$18896,"&gt;="&amp;A651,Verbrauch!$A$9:$A$18896,"&lt;"&amp;B651)</f>
        <v>0</v>
      </c>
      <c r="D651" s="22" t="n">
        <f aca="false">SUMIFS(Verbrauch!$C$9:$C$18896,Verbrauch!$A$9:$A$18896,"&gt;="&amp;A651,Verbrauch!$A$9:$A$18896,"&lt;"&amp;B651,Verbrauch!$F$9:$F$18896,"Go")</f>
        <v>0</v>
      </c>
      <c r="E651" s="22" t="n">
        <f aca="false">SUMIFS(Verbrauch!$C$9:$C$18896,Verbrauch!$A$9:$A$18896,"&gt;="&amp;A651,Verbrauch!$A$9:$A$18896,"&lt;"&amp;B651,Verbrauch!$F$9:$F$18896,"Standard")</f>
        <v>0</v>
      </c>
      <c r="F651" s="23" t="n">
        <f aca="false">SUMIFS(Verbrauch!$E$9:$E$18896,Verbrauch!$A$9:$A$18896,"&gt;="&amp;A651,Verbrauch!$A$9:$A$18896,"&lt;"&amp;B651)</f>
        <v>0</v>
      </c>
      <c r="G651" s="13" t="str">
        <f aca="false">IFERROR(F651/C651*100,"")</f>
        <v/>
      </c>
      <c r="H651" s="11" t="n">
        <f aca="false">COUNTIFS(Verbrauch!$A$9:$A$18896,"&gt;="&amp;A651,Verbrauch!$A$9:$A$18896,"&lt;"&amp;B651,Verbrauch!$C$9:$C$18896,"&lt;&gt;")</f>
        <v>0</v>
      </c>
    </row>
    <row r="652" customFormat="false" ht="15" hidden="false" customHeight="true" outlineLevel="0" collapsed="false">
      <c r="A652" s="10" t="n">
        <v>46613</v>
      </c>
      <c r="B652" s="10" t="n">
        <v>46614</v>
      </c>
      <c r="C652" s="22" t="n">
        <f aca="false">SUMIFS(Verbrauch!$C$9:$C$18896,Verbrauch!$A$9:$A$18896,"&gt;="&amp;A652,Verbrauch!$A$9:$A$18896,"&lt;"&amp;B652)</f>
        <v>0</v>
      </c>
      <c r="D652" s="22" t="n">
        <f aca="false">SUMIFS(Verbrauch!$C$9:$C$18896,Verbrauch!$A$9:$A$18896,"&gt;="&amp;A652,Verbrauch!$A$9:$A$18896,"&lt;"&amp;B652,Verbrauch!$F$9:$F$18896,"Go")</f>
        <v>0</v>
      </c>
      <c r="E652" s="22" t="n">
        <f aca="false">SUMIFS(Verbrauch!$C$9:$C$18896,Verbrauch!$A$9:$A$18896,"&gt;="&amp;A652,Verbrauch!$A$9:$A$18896,"&lt;"&amp;B652,Verbrauch!$F$9:$F$18896,"Standard")</f>
        <v>0</v>
      </c>
      <c r="F652" s="23" t="n">
        <f aca="false">SUMIFS(Verbrauch!$E$9:$E$18896,Verbrauch!$A$9:$A$18896,"&gt;="&amp;A652,Verbrauch!$A$9:$A$18896,"&lt;"&amp;B652)</f>
        <v>0</v>
      </c>
      <c r="G652" s="13" t="str">
        <f aca="false">IFERROR(F652/C652*100,"")</f>
        <v/>
      </c>
      <c r="H652" s="11" t="n">
        <f aca="false">COUNTIFS(Verbrauch!$A$9:$A$18896,"&gt;="&amp;A652,Verbrauch!$A$9:$A$18896,"&lt;"&amp;B652,Verbrauch!$C$9:$C$18896,"&lt;&gt;")</f>
        <v>0</v>
      </c>
    </row>
    <row r="653" customFormat="false" ht="15" hidden="false" customHeight="true" outlineLevel="0" collapsed="false">
      <c r="A653" s="10" t="n">
        <v>46614</v>
      </c>
      <c r="B653" s="10" t="n">
        <v>46615</v>
      </c>
      <c r="C653" s="22" t="n">
        <f aca="false">SUMIFS(Verbrauch!$C$9:$C$18896,Verbrauch!$A$9:$A$18896,"&gt;="&amp;A653,Verbrauch!$A$9:$A$18896,"&lt;"&amp;B653)</f>
        <v>0</v>
      </c>
      <c r="D653" s="22" t="n">
        <f aca="false">SUMIFS(Verbrauch!$C$9:$C$18896,Verbrauch!$A$9:$A$18896,"&gt;="&amp;A653,Verbrauch!$A$9:$A$18896,"&lt;"&amp;B653,Verbrauch!$F$9:$F$18896,"Go")</f>
        <v>0</v>
      </c>
      <c r="E653" s="22" t="n">
        <f aca="false">SUMIFS(Verbrauch!$C$9:$C$18896,Verbrauch!$A$9:$A$18896,"&gt;="&amp;A653,Verbrauch!$A$9:$A$18896,"&lt;"&amp;B653,Verbrauch!$F$9:$F$18896,"Standard")</f>
        <v>0</v>
      </c>
      <c r="F653" s="23" t="n">
        <f aca="false">SUMIFS(Verbrauch!$E$9:$E$18896,Verbrauch!$A$9:$A$18896,"&gt;="&amp;A653,Verbrauch!$A$9:$A$18896,"&lt;"&amp;B653)</f>
        <v>0</v>
      </c>
      <c r="G653" s="13" t="str">
        <f aca="false">IFERROR(F653/C653*100,"")</f>
        <v/>
      </c>
      <c r="H653" s="11" t="n">
        <f aca="false">COUNTIFS(Verbrauch!$A$9:$A$18896,"&gt;="&amp;A653,Verbrauch!$A$9:$A$18896,"&lt;"&amp;B653,Verbrauch!$C$9:$C$18896,"&lt;&gt;")</f>
        <v>0</v>
      </c>
    </row>
    <row r="654" customFormat="false" ht="15" hidden="false" customHeight="true" outlineLevel="0" collapsed="false">
      <c r="A654" s="10" t="n">
        <v>46615</v>
      </c>
      <c r="B654" s="10" t="n">
        <v>46616</v>
      </c>
      <c r="C654" s="22" t="n">
        <f aca="false">SUMIFS(Verbrauch!$C$9:$C$18896,Verbrauch!$A$9:$A$18896,"&gt;="&amp;A654,Verbrauch!$A$9:$A$18896,"&lt;"&amp;B654)</f>
        <v>0</v>
      </c>
      <c r="D654" s="22" t="n">
        <f aca="false">SUMIFS(Verbrauch!$C$9:$C$18896,Verbrauch!$A$9:$A$18896,"&gt;="&amp;A654,Verbrauch!$A$9:$A$18896,"&lt;"&amp;B654,Verbrauch!$F$9:$F$18896,"Go")</f>
        <v>0</v>
      </c>
      <c r="E654" s="22" t="n">
        <f aca="false">SUMIFS(Verbrauch!$C$9:$C$18896,Verbrauch!$A$9:$A$18896,"&gt;="&amp;A654,Verbrauch!$A$9:$A$18896,"&lt;"&amp;B654,Verbrauch!$F$9:$F$18896,"Standard")</f>
        <v>0</v>
      </c>
      <c r="F654" s="23" t="n">
        <f aca="false">SUMIFS(Verbrauch!$E$9:$E$18896,Verbrauch!$A$9:$A$18896,"&gt;="&amp;A654,Verbrauch!$A$9:$A$18896,"&lt;"&amp;B654)</f>
        <v>0</v>
      </c>
      <c r="G654" s="13" t="str">
        <f aca="false">IFERROR(F654/C654*100,"")</f>
        <v/>
      </c>
      <c r="H654" s="11" t="n">
        <f aca="false">COUNTIFS(Verbrauch!$A$9:$A$18896,"&gt;="&amp;A654,Verbrauch!$A$9:$A$18896,"&lt;"&amp;B654,Verbrauch!$C$9:$C$18896,"&lt;&gt;")</f>
        <v>0</v>
      </c>
    </row>
    <row r="655" customFormat="false" ht="15" hidden="false" customHeight="true" outlineLevel="0" collapsed="false">
      <c r="A655" s="10" t="n">
        <v>46616</v>
      </c>
      <c r="B655" s="10" t="n">
        <v>46617</v>
      </c>
      <c r="C655" s="22" t="n">
        <f aca="false">SUMIFS(Verbrauch!$C$9:$C$18896,Verbrauch!$A$9:$A$18896,"&gt;="&amp;A655,Verbrauch!$A$9:$A$18896,"&lt;"&amp;B655)</f>
        <v>0</v>
      </c>
      <c r="D655" s="22" t="n">
        <f aca="false">SUMIFS(Verbrauch!$C$9:$C$18896,Verbrauch!$A$9:$A$18896,"&gt;="&amp;A655,Verbrauch!$A$9:$A$18896,"&lt;"&amp;B655,Verbrauch!$F$9:$F$18896,"Go")</f>
        <v>0</v>
      </c>
      <c r="E655" s="22" t="n">
        <f aca="false">SUMIFS(Verbrauch!$C$9:$C$18896,Verbrauch!$A$9:$A$18896,"&gt;="&amp;A655,Verbrauch!$A$9:$A$18896,"&lt;"&amp;B655,Verbrauch!$F$9:$F$18896,"Standard")</f>
        <v>0</v>
      </c>
      <c r="F655" s="23" t="n">
        <f aca="false">SUMIFS(Verbrauch!$E$9:$E$18896,Verbrauch!$A$9:$A$18896,"&gt;="&amp;A655,Verbrauch!$A$9:$A$18896,"&lt;"&amp;B655)</f>
        <v>0</v>
      </c>
      <c r="G655" s="13" t="str">
        <f aca="false">IFERROR(F655/C655*100,"")</f>
        <v/>
      </c>
      <c r="H655" s="11" t="n">
        <f aca="false">COUNTIFS(Verbrauch!$A$9:$A$18896,"&gt;="&amp;A655,Verbrauch!$A$9:$A$18896,"&lt;"&amp;B655,Verbrauch!$C$9:$C$18896,"&lt;&gt;")</f>
        <v>0</v>
      </c>
    </row>
    <row r="656" customFormat="false" ht="15" hidden="false" customHeight="true" outlineLevel="0" collapsed="false">
      <c r="A656" s="10" t="n">
        <v>46617</v>
      </c>
      <c r="B656" s="10" t="n">
        <v>46618</v>
      </c>
      <c r="C656" s="22" t="n">
        <f aca="false">SUMIFS(Verbrauch!$C$9:$C$18896,Verbrauch!$A$9:$A$18896,"&gt;="&amp;A656,Verbrauch!$A$9:$A$18896,"&lt;"&amp;B656)</f>
        <v>0</v>
      </c>
      <c r="D656" s="22" t="n">
        <f aca="false">SUMIFS(Verbrauch!$C$9:$C$18896,Verbrauch!$A$9:$A$18896,"&gt;="&amp;A656,Verbrauch!$A$9:$A$18896,"&lt;"&amp;B656,Verbrauch!$F$9:$F$18896,"Go")</f>
        <v>0</v>
      </c>
      <c r="E656" s="22" t="n">
        <f aca="false">SUMIFS(Verbrauch!$C$9:$C$18896,Verbrauch!$A$9:$A$18896,"&gt;="&amp;A656,Verbrauch!$A$9:$A$18896,"&lt;"&amp;B656,Verbrauch!$F$9:$F$18896,"Standard")</f>
        <v>0</v>
      </c>
      <c r="F656" s="23" t="n">
        <f aca="false">SUMIFS(Verbrauch!$E$9:$E$18896,Verbrauch!$A$9:$A$18896,"&gt;="&amp;A656,Verbrauch!$A$9:$A$18896,"&lt;"&amp;B656)</f>
        <v>0</v>
      </c>
      <c r="G656" s="13" t="str">
        <f aca="false">IFERROR(F656/C656*100,"")</f>
        <v/>
      </c>
      <c r="H656" s="11" t="n">
        <f aca="false">COUNTIFS(Verbrauch!$A$9:$A$18896,"&gt;="&amp;A656,Verbrauch!$A$9:$A$18896,"&lt;"&amp;B656,Verbrauch!$C$9:$C$18896,"&lt;&gt;")</f>
        <v>0</v>
      </c>
    </row>
    <row r="657" customFormat="false" ht="15" hidden="false" customHeight="true" outlineLevel="0" collapsed="false">
      <c r="A657" s="10" t="n">
        <v>46618</v>
      </c>
      <c r="B657" s="10" t="n">
        <v>46619</v>
      </c>
      <c r="C657" s="22" t="n">
        <f aca="false">SUMIFS(Verbrauch!$C$9:$C$18896,Verbrauch!$A$9:$A$18896,"&gt;="&amp;A657,Verbrauch!$A$9:$A$18896,"&lt;"&amp;B657)</f>
        <v>0</v>
      </c>
      <c r="D657" s="22" t="n">
        <f aca="false">SUMIFS(Verbrauch!$C$9:$C$18896,Verbrauch!$A$9:$A$18896,"&gt;="&amp;A657,Verbrauch!$A$9:$A$18896,"&lt;"&amp;B657,Verbrauch!$F$9:$F$18896,"Go")</f>
        <v>0</v>
      </c>
      <c r="E657" s="22" t="n">
        <f aca="false">SUMIFS(Verbrauch!$C$9:$C$18896,Verbrauch!$A$9:$A$18896,"&gt;="&amp;A657,Verbrauch!$A$9:$A$18896,"&lt;"&amp;B657,Verbrauch!$F$9:$F$18896,"Standard")</f>
        <v>0</v>
      </c>
      <c r="F657" s="23" t="n">
        <f aca="false">SUMIFS(Verbrauch!$E$9:$E$18896,Verbrauch!$A$9:$A$18896,"&gt;="&amp;A657,Verbrauch!$A$9:$A$18896,"&lt;"&amp;B657)</f>
        <v>0</v>
      </c>
      <c r="G657" s="13" t="str">
        <f aca="false">IFERROR(F657/C657*100,"")</f>
        <v/>
      </c>
      <c r="H657" s="11" t="n">
        <f aca="false">COUNTIFS(Verbrauch!$A$9:$A$18896,"&gt;="&amp;A657,Verbrauch!$A$9:$A$18896,"&lt;"&amp;B657,Verbrauch!$C$9:$C$18896,"&lt;&gt;")</f>
        <v>0</v>
      </c>
    </row>
    <row r="658" customFormat="false" ht="15" hidden="false" customHeight="true" outlineLevel="0" collapsed="false">
      <c r="A658" s="10" t="n">
        <v>46619</v>
      </c>
      <c r="B658" s="10" t="n">
        <v>46620</v>
      </c>
      <c r="C658" s="22" t="n">
        <f aca="false">SUMIFS(Verbrauch!$C$9:$C$18896,Verbrauch!$A$9:$A$18896,"&gt;="&amp;A658,Verbrauch!$A$9:$A$18896,"&lt;"&amp;B658)</f>
        <v>0</v>
      </c>
      <c r="D658" s="22" t="n">
        <f aca="false">SUMIFS(Verbrauch!$C$9:$C$18896,Verbrauch!$A$9:$A$18896,"&gt;="&amp;A658,Verbrauch!$A$9:$A$18896,"&lt;"&amp;B658,Verbrauch!$F$9:$F$18896,"Go")</f>
        <v>0</v>
      </c>
      <c r="E658" s="22" t="n">
        <f aca="false">SUMIFS(Verbrauch!$C$9:$C$18896,Verbrauch!$A$9:$A$18896,"&gt;="&amp;A658,Verbrauch!$A$9:$A$18896,"&lt;"&amp;B658,Verbrauch!$F$9:$F$18896,"Standard")</f>
        <v>0</v>
      </c>
      <c r="F658" s="23" t="n">
        <f aca="false">SUMIFS(Verbrauch!$E$9:$E$18896,Verbrauch!$A$9:$A$18896,"&gt;="&amp;A658,Verbrauch!$A$9:$A$18896,"&lt;"&amp;B658)</f>
        <v>0</v>
      </c>
      <c r="G658" s="13" t="str">
        <f aca="false">IFERROR(F658/C658*100,"")</f>
        <v/>
      </c>
      <c r="H658" s="11" t="n">
        <f aca="false">COUNTIFS(Verbrauch!$A$9:$A$18896,"&gt;="&amp;A658,Verbrauch!$A$9:$A$18896,"&lt;"&amp;B658,Verbrauch!$C$9:$C$18896,"&lt;&gt;")</f>
        <v>0</v>
      </c>
    </row>
    <row r="659" customFormat="false" ht="15" hidden="false" customHeight="true" outlineLevel="0" collapsed="false">
      <c r="A659" s="10" t="n">
        <v>46620</v>
      </c>
      <c r="B659" s="10" t="n">
        <v>46621</v>
      </c>
      <c r="C659" s="22" t="n">
        <f aca="false">SUMIFS(Verbrauch!$C$9:$C$18896,Verbrauch!$A$9:$A$18896,"&gt;="&amp;A659,Verbrauch!$A$9:$A$18896,"&lt;"&amp;B659)</f>
        <v>0</v>
      </c>
      <c r="D659" s="22" t="n">
        <f aca="false">SUMIFS(Verbrauch!$C$9:$C$18896,Verbrauch!$A$9:$A$18896,"&gt;="&amp;A659,Verbrauch!$A$9:$A$18896,"&lt;"&amp;B659,Verbrauch!$F$9:$F$18896,"Go")</f>
        <v>0</v>
      </c>
      <c r="E659" s="22" t="n">
        <f aca="false">SUMIFS(Verbrauch!$C$9:$C$18896,Verbrauch!$A$9:$A$18896,"&gt;="&amp;A659,Verbrauch!$A$9:$A$18896,"&lt;"&amp;B659,Verbrauch!$F$9:$F$18896,"Standard")</f>
        <v>0</v>
      </c>
      <c r="F659" s="23" t="n">
        <f aca="false">SUMIFS(Verbrauch!$E$9:$E$18896,Verbrauch!$A$9:$A$18896,"&gt;="&amp;A659,Verbrauch!$A$9:$A$18896,"&lt;"&amp;B659)</f>
        <v>0</v>
      </c>
      <c r="G659" s="13" t="str">
        <f aca="false">IFERROR(F659/C659*100,"")</f>
        <v/>
      </c>
      <c r="H659" s="11" t="n">
        <f aca="false">COUNTIFS(Verbrauch!$A$9:$A$18896,"&gt;="&amp;A659,Verbrauch!$A$9:$A$18896,"&lt;"&amp;B659,Verbrauch!$C$9:$C$18896,"&lt;&gt;")</f>
        <v>0</v>
      </c>
    </row>
    <row r="660" customFormat="false" ht="15" hidden="false" customHeight="true" outlineLevel="0" collapsed="false">
      <c r="A660" s="10" t="n">
        <v>46621</v>
      </c>
      <c r="B660" s="10" t="n">
        <v>46622</v>
      </c>
      <c r="C660" s="22" t="n">
        <f aca="false">SUMIFS(Verbrauch!$C$9:$C$18896,Verbrauch!$A$9:$A$18896,"&gt;="&amp;A660,Verbrauch!$A$9:$A$18896,"&lt;"&amp;B660)</f>
        <v>0</v>
      </c>
      <c r="D660" s="22" t="n">
        <f aca="false">SUMIFS(Verbrauch!$C$9:$C$18896,Verbrauch!$A$9:$A$18896,"&gt;="&amp;A660,Verbrauch!$A$9:$A$18896,"&lt;"&amp;B660,Verbrauch!$F$9:$F$18896,"Go")</f>
        <v>0</v>
      </c>
      <c r="E660" s="22" t="n">
        <f aca="false">SUMIFS(Verbrauch!$C$9:$C$18896,Verbrauch!$A$9:$A$18896,"&gt;="&amp;A660,Verbrauch!$A$9:$A$18896,"&lt;"&amp;B660,Verbrauch!$F$9:$F$18896,"Standard")</f>
        <v>0</v>
      </c>
      <c r="F660" s="23" t="n">
        <f aca="false">SUMIFS(Verbrauch!$E$9:$E$18896,Verbrauch!$A$9:$A$18896,"&gt;="&amp;A660,Verbrauch!$A$9:$A$18896,"&lt;"&amp;B660)</f>
        <v>0</v>
      </c>
      <c r="G660" s="13" t="str">
        <f aca="false">IFERROR(F660/C660*100,"")</f>
        <v/>
      </c>
      <c r="H660" s="11" t="n">
        <f aca="false">COUNTIFS(Verbrauch!$A$9:$A$18896,"&gt;="&amp;A660,Verbrauch!$A$9:$A$18896,"&lt;"&amp;B660,Verbrauch!$C$9:$C$18896,"&lt;&gt;")</f>
        <v>0</v>
      </c>
    </row>
    <row r="661" customFormat="false" ht="15" hidden="false" customHeight="true" outlineLevel="0" collapsed="false">
      <c r="A661" s="10" t="n">
        <v>46622</v>
      </c>
      <c r="B661" s="10" t="n">
        <v>46623</v>
      </c>
      <c r="C661" s="22" t="n">
        <f aca="false">SUMIFS(Verbrauch!$C$9:$C$18896,Verbrauch!$A$9:$A$18896,"&gt;="&amp;A661,Verbrauch!$A$9:$A$18896,"&lt;"&amp;B661)</f>
        <v>0</v>
      </c>
      <c r="D661" s="22" t="n">
        <f aca="false">SUMIFS(Verbrauch!$C$9:$C$18896,Verbrauch!$A$9:$A$18896,"&gt;="&amp;A661,Verbrauch!$A$9:$A$18896,"&lt;"&amp;B661,Verbrauch!$F$9:$F$18896,"Go")</f>
        <v>0</v>
      </c>
      <c r="E661" s="22" t="n">
        <f aca="false">SUMIFS(Verbrauch!$C$9:$C$18896,Verbrauch!$A$9:$A$18896,"&gt;="&amp;A661,Verbrauch!$A$9:$A$18896,"&lt;"&amp;B661,Verbrauch!$F$9:$F$18896,"Standard")</f>
        <v>0</v>
      </c>
      <c r="F661" s="23" t="n">
        <f aca="false">SUMIFS(Verbrauch!$E$9:$E$18896,Verbrauch!$A$9:$A$18896,"&gt;="&amp;A661,Verbrauch!$A$9:$A$18896,"&lt;"&amp;B661)</f>
        <v>0</v>
      </c>
      <c r="G661" s="13" t="str">
        <f aca="false">IFERROR(F661/C661*100,"")</f>
        <v/>
      </c>
      <c r="H661" s="11" t="n">
        <f aca="false">COUNTIFS(Verbrauch!$A$9:$A$18896,"&gt;="&amp;A661,Verbrauch!$A$9:$A$18896,"&lt;"&amp;B661,Verbrauch!$C$9:$C$18896,"&lt;&gt;")</f>
        <v>0</v>
      </c>
    </row>
    <row r="662" customFormat="false" ht="15" hidden="false" customHeight="true" outlineLevel="0" collapsed="false">
      <c r="A662" s="10" t="n">
        <v>46623</v>
      </c>
      <c r="B662" s="10" t="n">
        <v>46624</v>
      </c>
      <c r="C662" s="22" t="n">
        <f aca="false">SUMIFS(Verbrauch!$C$9:$C$18896,Verbrauch!$A$9:$A$18896,"&gt;="&amp;A662,Verbrauch!$A$9:$A$18896,"&lt;"&amp;B662)</f>
        <v>0</v>
      </c>
      <c r="D662" s="22" t="n">
        <f aca="false">SUMIFS(Verbrauch!$C$9:$C$18896,Verbrauch!$A$9:$A$18896,"&gt;="&amp;A662,Verbrauch!$A$9:$A$18896,"&lt;"&amp;B662,Verbrauch!$F$9:$F$18896,"Go")</f>
        <v>0</v>
      </c>
      <c r="E662" s="22" t="n">
        <f aca="false">SUMIFS(Verbrauch!$C$9:$C$18896,Verbrauch!$A$9:$A$18896,"&gt;="&amp;A662,Verbrauch!$A$9:$A$18896,"&lt;"&amp;B662,Verbrauch!$F$9:$F$18896,"Standard")</f>
        <v>0</v>
      </c>
      <c r="F662" s="23" t="n">
        <f aca="false">SUMIFS(Verbrauch!$E$9:$E$18896,Verbrauch!$A$9:$A$18896,"&gt;="&amp;A662,Verbrauch!$A$9:$A$18896,"&lt;"&amp;B662)</f>
        <v>0</v>
      </c>
      <c r="G662" s="13" t="str">
        <f aca="false">IFERROR(F662/C662*100,"")</f>
        <v/>
      </c>
      <c r="H662" s="11" t="n">
        <f aca="false">COUNTIFS(Verbrauch!$A$9:$A$18896,"&gt;="&amp;A662,Verbrauch!$A$9:$A$18896,"&lt;"&amp;B662,Verbrauch!$C$9:$C$18896,"&lt;&gt;")</f>
        <v>0</v>
      </c>
    </row>
    <row r="663" customFormat="false" ht="15" hidden="false" customHeight="true" outlineLevel="0" collapsed="false">
      <c r="A663" s="10" t="n">
        <v>46624</v>
      </c>
      <c r="B663" s="10" t="n">
        <v>46625</v>
      </c>
      <c r="C663" s="22" t="n">
        <f aca="false">SUMIFS(Verbrauch!$C$9:$C$18896,Verbrauch!$A$9:$A$18896,"&gt;="&amp;A663,Verbrauch!$A$9:$A$18896,"&lt;"&amp;B663)</f>
        <v>0</v>
      </c>
      <c r="D663" s="22" t="n">
        <f aca="false">SUMIFS(Verbrauch!$C$9:$C$18896,Verbrauch!$A$9:$A$18896,"&gt;="&amp;A663,Verbrauch!$A$9:$A$18896,"&lt;"&amp;B663,Verbrauch!$F$9:$F$18896,"Go")</f>
        <v>0</v>
      </c>
      <c r="E663" s="22" t="n">
        <f aca="false">SUMIFS(Verbrauch!$C$9:$C$18896,Verbrauch!$A$9:$A$18896,"&gt;="&amp;A663,Verbrauch!$A$9:$A$18896,"&lt;"&amp;B663,Verbrauch!$F$9:$F$18896,"Standard")</f>
        <v>0</v>
      </c>
      <c r="F663" s="23" t="n">
        <f aca="false">SUMIFS(Verbrauch!$E$9:$E$18896,Verbrauch!$A$9:$A$18896,"&gt;="&amp;A663,Verbrauch!$A$9:$A$18896,"&lt;"&amp;B663)</f>
        <v>0</v>
      </c>
      <c r="G663" s="13" t="str">
        <f aca="false">IFERROR(F663/C663*100,"")</f>
        <v/>
      </c>
      <c r="H663" s="11" t="n">
        <f aca="false">COUNTIFS(Verbrauch!$A$9:$A$18896,"&gt;="&amp;A663,Verbrauch!$A$9:$A$18896,"&lt;"&amp;B663,Verbrauch!$C$9:$C$18896,"&lt;&gt;")</f>
        <v>0</v>
      </c>
    </row>
    <row r="664" customFormat="false" ht="15" hidden="false" customHeight="true" outlineLevel="0" collapsed="false">
      <c r="A664" s="10" t="n">
        <v>46625</v>
      </c>
      <c r="B664" s="10" t="n">
        <v>46626</v>
      </c>
      <c r="C664" s="22" t="n">
        <f aca="false">SUMIFS(Verbrauch!$C$9:$C$18896,Verbrauch!$A$9:$A$18896,"&gt;="&amp;A664,Verbrauch!$A$9:$A$18896,"&lt;"&amp;B664)</f>
        <v>0</v>
      </c>
      <c r="D664" s="22" t="n">
        <f aca="false">SUMIFS(Verbrauch!$C$9:$C$18896,Verbrauch!$A$9:$A$18896,"&gt;="&amp;A664,Verbrauch!$A$9:$A$18896,"&lt;"&amp;B664,Verbrauch!$F$9:$F$18896,"Go")</f>
        <v>0</v>
      </c>
      <c r="E664" s="22" t="n">
        <f aca="false">SUMIFS(Verbrauch!$C$9:$C$18896,Verbrauch!$A$9:$A$18896,"&gt;="&amp;A664,Verbrauch!$A$9:$A$18896,"&lt;"&amp;B664,Verbrauch!$F$9:$F$18896,"Standard")</f>
        <v>0</v>
      </c>
      <c r="F664" s="23" t="n">
        <f aca="false">SUMIFS(Verbrauch!$E$9:$E$18896,Verbrauch!$A$9:$A$18896,"&gt;="&amp;A664,Verbrauch!$A$9:$A$18896,"&lt;"&amp;B664)</f>
        <v>0</v>
      </c>
      <c r="G664" s="13" t="str">
        <f aca="false">IFERROR(F664/C664*100,"")</f>
        <v/>
      </c>
      <c r="H664" s="11" t="n">
        <f aca="false">COUNTIFS(Verbrauch!$A$9:$A$18896,"&gt;="&amp;A664,Verbrauch!$A$9:$A$18896,"&lt;"&amp;B664,Verbrauch!$C$9:$C$18896,"&lt;&gt;")</f>
        <v>0</v>
      </c>
    </row>
    <row r="665" customFormat="false" ht="15" hidden="false" customHeight="true" outlineLevel="0" collapsed="false">
      <c r="A665" s="10" t="n">
        <v>46626</v>
      </c>
      <c r="B665" s="10" t="n">
        <v>46627</v>
      </c>
      <c r="C665" s="22" t="n">
        <f aca="false">SUMIFS(Verbrauch!$C$9:$C$18896,Verbrauch!$A$9:$A$18896,"&gt;="&amp;A665,Verbrauch!$A$9:$A$18896,"&lt;"&amp;B665)</f>
        <v>0</v>
      </c>
      <c r="D665" s="22" t="n">
        <f aca="false">SUMIFS(Verbrauch!$C$9:$C$18896,Verbrauch!$A$9:$A$18896,"&gt;="&amp;A665,Verbrauch!$A$9:$A$18896,"&lt;"&amp;B665,Verbrauch!$F$9:$F$18896,"Go")</f>
        <v>0</v>
      </c>
      <c r="E665" s="22" t="n">
        <f aca="false">SUMIFS(Verbrauch!$C$9:$C$18896,Verbrauch!$A$9:$A$18896,"&gt;="&amp;A665,Verbrauch!$A$9:$A$18896,"&lt;"&amp;B665,Verbrauch!$F$9:$F$18896,"Standard")</f>
        <v>0</v>
      </c>
      <c r="F665" s="23" t="n">
        <f aca="false">SUMIFS(Verbrauch!$E$9:$E$18896,Verbrauch!$A$9:$A$18896,"&gt;="&amp;A665,Verbrauch!$A$9:$A$18896,"&lt;"&amp;B665)</f>
        <v>0</v>
      </c>
      <c r="G665" s="13" t="str">
        <f aca="false">IFERROR(F665/C665*100,"")</f>
        <v/>
      </c>
      <c r="H665" s="11" t="n">
        <f aca="false">COUNTIFS(Verbrauch!$A$9:$A$18896,"&gt;="&amp;A665,Verbrauch!$A$9:$A$18896,"&lt;"&amp;B665,Verbrauch!$C$9:$C$18896,"&lt;&gt;")</f>
        <v>0</v>
      </c>
    </row>
    <row r="666" customFormat="false" ht="15" hidden="false" customHeight="true" outlineLevel="0" collapsed="false">
      <c r="A666" s="10" t="n">
        <v>46627</v>
      </c>
      <c r="B666" s="10" t="n">
        <v>46628</v>
      </c>
      <c r="C666" s="22" t="n">
        <f aca="false">SUMIFS(Verbrauch!$C$9:$C$18896,Verbrauch!$A$9:$A$18896,"&gt;="&amp;A666,Verbrauch!$A$9:$A$18896,"&lt;"&amp;B666)</f>
        <v>0</v>
      </c>
      <c r="D666" s="22" t="n">
        <f aca="false">SUMIFS(Verbrauch!$C$9:$C$18896,Verbrauch!$A$9:$A$18896,"&gt;="&amp;A666,Verbrauch!$A$9:$A$18896,"&lt;"&amp;B666,Verbrauch!$F$9:$F$18896,"Go")</f>
        <v>0</v>
      </c>
      <c r="E666" s="22" t="n">
        <f aca="false">SUMIFS(Verbrauch!$C$9:$C$18896,Verbrauch!$A$9:$A$18896,"&gt;="&amp;A666,Verbrauch!$A$9:$A$18896,"&lt;"&amp;B666,Verbrauch!$F$9:$F$18896,"Standard")</f>
        <v>0</v>
      </c>
      <c r="F666" s="23" t="n">
        <f aca="false">SUMIFS(Verbrauch!$E$9:$E$18896,Verbrauch!$A$9:$A$18896,"&gt;="&amp;A666,Verbrauch!$A$9:$A$18896,"&lt;"&amp;B666)</f>
        <v>0</v>
      </c>
      <c r="G666" s="13" t="str">
        <f aca="false">IFERROR(F666/C666*100,"")</f>
        <v/>
      </c>
      <c r="H666" s="11" t="n">
        <f aca="false">COUNTIFS(Verbrauch!$A$9:$A$18896,"&gt;="&amp;A666,Verbrauch!$A$9:$A$18896,"&lt;"&amp;B666,Verbrauch!$C$9:$C$18896,"&lt;&gt;")</f>
        <v>0</v>
      </c>
    </row>
    <row r="667" customFormat="false" ht="15" hidden="false" customHeight="true" outlineLevel="0" collapsed="false">
      <c r="A667" s="10" t="n">
        <v>46628</v>
      </c>
      <c r="B667" s="10" t="n">
        <v>46629</v>
      </c>
      <c r="C667" s="22" t="n">
        <f aca="false">SUMIFS(Verbrauch!$C$9:$C$18896,Verbrauch!$A$9:$A$18896,"&gt;="&amp;A667,Verbrauch!$A$9:$A$18896,"&lt;"&amp;B667)</f>
        <v>0</v>
      </c>
      <c r="D667" s="22" t="n">
        <f aca="false">SUMIFS(Verbrauch!$C$9:$C$18896,Verbrauch!$A$9:$A$18896,"&gt;="&amp;A667,Verbrauch!$A$9:$A$18896,"&lt;"&amp;B667,Verbrauch!$F$9:$F$18896,"Go")</f>
        <v>0</v>
      </c>
      <c r="E667" s="22" t="n">
        <f aca="false">SUMIFS(Verbrauch!$C$9:$C$18896,Verbrauch!$A$9:$A$18896,"&gt;="&amp;A667,Verbrauch!$A$9:$A$18896,"&lt;"&amp;B667,Verbrauch!$F$9:$F$18896,"Standard")</f>
        <v>0</v>
      </c>
      <c r="F667" s="23" t="n">
        <f aca="false">SUMIFS(Verbrauch!$E$9:$E$18896,Verbrauch!$A$9:$A$18896,"&gt;="&amp;A667,Verbrauch!$A$9:$A$18896,"&lt;"&amp;B667)</f>
        <v>0</v>
      </c>
      <c r="G667" s="13" t="str">
        <f aca="false">IFERROR(F667/C667*100,"")</f>
        <v/>
      </c>
      <c r="H667" s="11" t="n">
        <f aca="false">COUNTIFS(Verbrauch!$A$9:$A$18896,"&gt;="&amp;A667,Verbrauch!$A$9:$A$18896,"&lt;"&amp;B667,Verbrauch!$C$9:$C$18896,"&lt;&gt;")</f>
        <v>0</v>
      </c>
    </row>
    <row r="668" customFormat="false" ht="15" hidden="false" customHeight="true" outlineLevel="0" collapsed="false">
      <c r="A668" s="10" t="n">
        <v>46629</v>
      </c>
      <c r="B668" s="10" t="n">
        <v>46630</v>
      </c>
      <c r="C668" s="22" t="n">
        <f aca="false">SUMIFS(Verbrauch!$C$9:$C$18896,Verbrauch!$A$9:$A$18896,"&gt;="&amp;A668,Verbrauch!$A$9:$A$18896,"&lt;"&amp;B668)</f>
        <v>0</v>
      </c>
      <c r="D668" s="22" t="n">
        <f aca="false">SUMIFS(Verbrauch!$C$9:$C$18896,Verbrauch!$A$9:$A$18896,"&gt;="&amp;A668,Verbrauch!$A$9:$A$18896,"&lt;"&amp;B668,Verbrauch!$F$9:$F$18896,"Go")</f>
        <v>0</v>
      </c>
      <c r="E668" s="22" t="n">
        <f aca="false">SUMIFS(Verbrauch!$C$9:$C$18896,Verbrauch!$A$9:$A$18896,"&gt;="&amp;A668,Verbrauch!$A$9:$A$18896,"&lt;"&amp;B668,Verbrauch!$F$9:$F$18896,"Standard")</f>
        <v>0</v>
      </c>
      <c r="F668" s="23" t="n">
        <f aca="false">SUMIFS(Verbrauch!$E$9:$E$18896,Verbrauch!$A$9:$A$18896,"&gt;="&amp;A668,Verbrauch!$A$9:$A$18896,"&lt;"&amp;B668)</f>
        <v>0</v>
      </c>
      <c r="G668" s="13" t="str">
        <f aca="false">IFERROR(F668/C668*100,"")</f>
        <v/>
      </c>
      <c r="H668" s="11" t="n">
        <f aca="false">COUNTIFS(Verbrauch!$A$9:$A$18896,"&gt;="&amp;A668,Verbrauch!$A$9:$A$18896,"&lt;"&amp;B668,Verbrauch!$C$9:$C$18896,"&lt;&gt;")</f>
        <v>0</v>
      </c>
    </row>
    <row r="669" customFormat="false" ht="15" hidden="false" customHeight="true" outlineLevel="0" collapsed="false">
      <c r="A669" s="10" t="n">
        <v>46630</v>
      </c>
      <c r="B669" s="10" t="n">
        <v>46631</v>
      </c>
      <c r="C669" s="22" t="n">
        <f aca="false">SUMIFS(Verbrauch!$C$9:$C$18896,Verbrauch!$A$9:$A$18896,"&gt;="&amp;A669,Verbrauch!$A$9:$A$18896,"&lt;"&amp;B669)</f>
        <v>0</v>
      </c>
      <c r="D669" s="22" t="n">
        <f aca="false">SUMIFS(Verbrauch!$C$9:$C$18896,Verbrauch!$A$9:$A$18896,"&gt;="&amp;A669,Verbrauch!$A$9:$A$18896,"&lt;"&amp;B669,Verbrauch!$F$9:$F$18896,"Go")</f>
        <v>0</v>
      </c>
      <c r="E669" s="22" t="n">
        <f aca="false">SUMIFS(Verbrauch!$C$9:$C$18896,Verbrauch!$A$9:$A$18896,"&gt;="&amp;A669,Verbrauch!$A$9:$A$18896,"&lt;"&amp;B669,Verbrauch!$F$9:$F$18896,"Standard")</f>
        <v>0</v>
      </c>
      <c r="F669" s="23" t="n">
        <f aca="false">SUMIFS(Verbrauch!$E$9:$E$18896,Verbrauch!$A$9:$A$18896,"&gt;="&amp;A669,Verbrauch!$A$9:$A$18896,"&lt;"&amp;B669)</f>
        <v>0</v>
      </c>
      <c r="G669" s="13" t="str">
        <f aca="false">IFERROR(F669/C669*100,"")</f>
        <v/>
      </c>
      <c r="H669" s="11" t="n">
        <f aca="false">COUNTIFS(Verbrauch!$A$9:$A$18896,"&gt;="&amp;A669,Verbrauch!$A$9:$A$18896,"&lt;"&amp;B669,Verbrauch!$C$9:$C$18896,"&lt;&gt;")</f>
        <v>0</v>
      </c>
    </row>
    <row r="670" customFormat="false" ht="15" hidden="false" customHeight="true" outlineLevel="0" collapsed="false">
      <c r="A670" s="10" t="n">
        <v>46631</v>
      </c>
      <c r="B670" s="10" t="n">
        <v>46632</v>
      </c>
      <c r="C670" s="22" t="n">
        <f aca="false">SUMIFS(Verbrauch!$C$9:$C$18896,Verbrauch!$A$9:$A$18896,"&gt;="&amp;A670,Verbrauch!$A$9:$A$18896,"&lt;"&amp;B670)</f>
        <v>0</v>
      </c>
      <c r="D670" s="22" t="n">
        <f aca="false">SUMIFS(Verbrauch!$C$9:$C$18896,Verbrauch!$A$9:$A$18896,"&gt;="&amp;A670,Verbrauch!$A$9:$A$18896,"&lt;"&amp;B670,Verbrauch!$F$9:$F$18896,"Go")</f>
        <v>0</v>
      </c>
      <c r="E670" s="22" t="n">
        <f aca="false">SUMIFS(Verbrauch!$C$9:$C$18896,Verbrauch!$A$9:$A$18896,"&gt;="&amp;A670,Verbrauch!$A$9:$A$18896,"&lt;"&amp;B670,Verbrauch!$F$9:$F$18896,"Standard")</f>
        <v>0</v>
      </c>
      <c r="F670" s="23" t="n">
        <f aca="false">SUMIFS(Verbrauch!$E$9:$E$18896,Verbrauch!$A$9:$A$18896,"&gt;="&amp;A670,Verbrauch!$A$9:$A$18896,"&lt;"&amp;B670)</f>
        <v>0</v>
      </c>
      <c r="G670" s="13" t="str">
        <f aca="false">IFERROR(F670/C670*100,"")</f>
        <v/>
      </c>
      <c r="H670" s="11" t="n">
        <f aca="false">COUNTIFS(Verbrauch!$A$9:$A$18896,"&gt;="&amp;A670,Verbrauch!$A$9:$A$18896,"&lt;"&amp;B670,Verbrauch!$C$9:$C$18896,"&lt;&gt;")</f>
        <v>0</v>
      </c>
    </row>
    <row r="671" customFormat="false" ht="15" hidden="false" customHeight="true" outlineLevel="0" collapsed="false">
      <c r="A671" s="10" t="n">
        <v>46632</v>
      </c>
      <c r="B671" s="10" t="n">
        <v>46633</v>
      </c>
      <c r="C671" s="22" t="n">
        <f aca="false">SUMIFS(Verbrauch!$C$9:$C$18896,Verbrauch!$A$9:$A$18896,"&gt;="&amp;A671,Verbrauch!$A$9:$A$18896,"&lt;"&amp;B671)</f>
        <v>0</v>
      </c>
      <c r="D671" s="22" t="n">
        <f aca="false">SUMIFS(Verbrauch!$C$9:$C$18896,Verbrauch!$A$9:$A$18896,"&gt;="&amp;A671,Verbrauch!$A$9:$A$18896,"&lt;"&amp;B671,Verbrauch!$F$9:$F$18896,"Go")</f>
        <v>0</v>
      </c>
      <c r="E671" s="22" t="n">
        <f aca="false">SUMIFS(Verbrauch!$C$9:$C$18896,Verbrauch!$A$9:$A$18896,"&gt;="&amp;A671,Verbrauch!$A$9:$A$18896,"&lt;"&amp;B671,Verbrauch!$F$9:$F$18896,"Standard")</f>
        <v>0</v>
      </c>
      <c r="F671" s="23" t="n">
        <f aca="false">SUMIFS(Verbrauch!$E$9:$E$18896,Verbrauch!$A$9:$A$18896,"&gt;="&amp;A671,Verbrauch!$A$9:$A$18896,"&lt;"&amp;B671)</f>
        <v>0</v>
      </c>
      <c r="G671" s="13" t="str">
        <f aca="false">IFERROR(F671/C671*100,"")</f>
        <v/>
      </c>
      <c r="H671" s="11" t="n">
        <f aca="false">COUNTIFS(Verbrauch!$A$9:$A$18896,"&gt;="&amp;A671,Verbrauch!$A$9:$A$18896,"&lt;"&amp;B671,Verbrauch!$C$9:$C$18896,"&lt;&gt;")</f>
        <v>0</v>
      </c>
    </row>
    <row r="672" customFormat="false" ht="15" hidden="false" customHeight="true" outlineLevel="0" collapsed="false">
      <c r="A672" s="10" t="n">
        <v>46633</v>
      </c>
      <c r="B672" s="10" t="n">
        <v>46634</v>
      </c>
      <c r="C672" s="22" t="n">
        <f aca="false">SUMIFS(Verbrauch!$C$9:$C$18896,Verbrauch!$A$9:$A$18896,"&gt;="&amp;A672,Verbrauch!$A$9:$A$18896,"&lt;"&amp;B672)</f>
        <v>0</v>
      </c>
      <c r="D672" s="22" t="n">
        <f aca="false">SUMIFS(Verbrauch!$C$9:$C$18896,Verbrauch!$A$9:$A$18896,"&gt;="&amp;A672,Verbrauch!$A$9:$A$18896,"&lt;"&amp;B672,Verbrauch!$F$9:$F$18896,"Go")</f>
        <v>0</v>
      </c>
      <c r="E672" s="22" t="n">
        <f aca="false">SUMIFS(Verbrauch!$C$9:$C$18896,Verbrauch!$A$9:$A$18896,"&gt;="&amp;A672,Verbrauch!$A$9:$A$18896,"&lt;"&amp;B672,Verbrauch!$F$9:$F$18896,"Standard")</f>
        <v>0</v>
      </c>
      <c r="F672" s="23" t="n">
        <f aca="false">SUMIFS(Verbrauch!$E$9:$E$18896,Verbrauch!$A$9:$A$18896,"&gt;="&amp;A672,Verbrauch!$A$9:$A$18896,"&lt;"&amp;B672)</f>
        <v>0</v>
      </c>
      <c r="G672" s="13" t="str">
        <f aca="false">IFERROR(F672/C672*100,"")</f>
        <v/>
      </c>
      <c r="H672" s="11" t="n">
        <f aca="false">COUNTIFS(Verbrauch!$A$9:$A$18896,"&gt;="&amp;A672,Verbrauch!$A$9:$A$18896,"&lt;"&amp;B672,Verbrauch!$C$9:$C$18896,"&lt;&gt;")</f>
        <v>0</v>
      </c>
    </row>
    <row r="673" customFormat="false" ht="15" hidden="false" customHeight="true" outlineLevel="0" collapsed="false">
      <c r="A673" s="10" t="n">
        <v>46634</v>
      </c>
      <c r="B673" s="10" t="n">
        <v>46635</v>
      </c>
      <c r="C673" s="22" t="n">
        <f aca="false">SUMIFS(Verbrauch!$C$9:$C$18896,Verbrauch!$A$9:$A$18896,"&gt;="&amp;A673,Verbrauch!$A$9:$A$18896,"&lt;"&amp;B673)</f>
        <v>0</v>
      </c>
      <c r="D673" s="22" t="n">
        <f aca="false">SUMIFS(Verbrauch!$C$9:$C$18896,Verbrauch!$A$9:$A$18896,"&gt;="&amp;A673,Verbrauch!$A$9:$A$18896,"&lt;"&amp;B673,Verbrauch!$F$9:$F$18896,"Go")</f>
        <v>0</v>
      </c>
      <c r="E673" s="22" t="n">
        <f aca="false">SUMIFS(Verbrauch!$C$9:$C$18896,Verbrauch!$A$9:$A$18896,"&gt;="&amp;A673,Verbrauch!$A$9:$A$18896,"&lt;"&amp;B673,Verbrauch!$F$9:$F$18896,"Standard")</f>
        <v>0</v>
      </c>
      <c r="F673" s="23" t="n">
        <f aca="false">SUMIFS(Verbrauch!$E$9:$E$18896,Verbrauch!$A$9:$A$18896,"&gt;="&amp;A673,Verbrauch!$A$9:$A$18896,"&lt;"&amp;B673)</f>
        <v>0</v>
      </c>
      <c r="G673" s="13" t="str">
        <f aca="false">IFERROR(F673/C673*100,"")</f>
        <v/>
      </c>
      <c r="H673" s="11" t="n">
        <f aca="false">COUNTIFS(Verbrauch!$A$9:$A$18896,"&gt;="&amp;A673,Verbrauch!$A$9:$A$18896,"&lt;"&amp;B673,Verbrauch!$C$9:$C$18896,"&lt;&gt;")</f>
        <v>0</v>
      </c>
    </row>
    <row r="674" customFormat="false" ht="15" hidden="false" customHeight="true" outlineLevel="0" collapsed="false">
      <c r="A674" s="10" t="n">
        <v>46635</v>
      </c>
      <c r="B674" s="10" t="n">
        <v>46636</v>
      </c>
      <c r="C674" s="22" t="n">
        <f aca="false">SUMIFS(Verbrauch!$C$9:$C$18896,Verbrauch!$A$9:$A$18896,"&gt;="&amp;A674,Verbrauch!$A$9:$A$18896,"&lt;"&amp;B674)</f>
        <v>0</v>
      </c>
      <c r="D674" s="22" t="n">
        <f aca="false">SUMIFS(Verbrauch!$C$9:$C$18896,Verbrauch!$A$9:$A$18896,"&gt;="&amp;A674,Verbrauch!$A$9:$A$18896,"&lt;"&amp;B674,Verbrauch!$F$9:$F$18896,"Go")</f>
        <v>0</v>
      </c>
      <c r="E674" s="22" t="n">
        <f aca="false">SUMIFS(Verbrauch!$C$9:$C$18896,Verbrauch!$A$9:$A$18896,"&gt;="&amp;A674,Verbrauch!$A$9:$A$18896,"&lt;"&amp;B674,Verbrauch!$F$9:$F$18896,"Standard")</f>
        <v>0</v>
      </c>
      <c r="F674" s="23" t="n">
        <f aca="false">SUMIFS(Verbrauch!$E$9:$E$18896,Verbrauch!$A$9:$A$18896,"&gt;="&amp;A674,Verbrauch!$A$9:$A$18896,"&lt;"&amp;B674)</f>
        <v>0</v>
      </c>
      <c r="G674" s="13" t="str">
        <f aca="false">IFERROR(F674/C674*100,"")</f>
        <v/>
      </c>
      <c r="H674" s="11" t="n">
        <f aca="false">COUNTIFS(Verbrauch!$A$9:$A$18896,"&gt;="&amp;A674,Verbrauch!$A$9:$A$18896,"&lt;"&amp;B674,Verbrauch!$C$9:$C$18896,"&lt;&gt;")</f>
        <v>0</v>
      </c>
    </row>
    <row r="675" customFormat="false" ht="15" hidden="false" customHeight="true" outlineLevel="0" collapsed="false">
      <c r="A675" s="10" t="n">
        <v>46636</v>
      </c>
      <c r="B675" s="10" t="n">
        <v>46637</v>
      </c>
      <c r="C675" s="22" t="n">
        <f aca="false">SUMIFS(Verbrauch!$C$9:$C$18896,Verbrauch!$A$9:$A$18896,"&gt;="&amp;A675,Verbrauch!$A$9:$A$18896,"&lt;"&amp;B675)</f>
        <v>0</v>
      </c>
      <c r="D675" s="22" t="n">
        <f aca="false">SUMIFS(Verbrauch!$C$9:$C$18896,Verbrauch!$A$9:$A$18896,"&gt;="&amp;A675,Verbrauch!$A$9:$A$18896,"&lt;"&amp;B675,Verbrauch!$F$9:$F$18896,"Go")</f>
        <v>0</v>
      </c>
      <c r="E675" s="22" t="n">
        <f aca="false">SUMIFS(Verbrauch!$C$9:$C$18896,Verbrauch!$A$9:$A$18896,"&gt;="&amp;A675,Verbrauch!$A$9:$A$18896,"&lt;"&amp;B675,Verbrauch!$F$9:$F$18896,"Standard")</f>
        <v>0</v>
      </c>
      <c r="F675" s="23" t="n">
        <f aca="false">SUMIFS(Verbrauch!$E$9:$E$18896,Verbrauch!$A$9:$A$18896,"&gt;="&amp;A675,Verbrauch!$A$9:$A$18896,"&lt;"&amp;B675)</f>
        <v>0</v>
      </c>
      <c r="G675" s="13" t="str">
        <f aca="false">IFERROR(F675/C675*100,"")</f>
        <v/>
      </c>
      <c r="H675" s="11" t="n">
        <f aca="false">COUNTIFS(Verbrauch!$A$9:$A$18896,"&gt;="&amp;A675,Verbrauch!$A$9:$A$18896,"&lt;"&amp;B675,Verbrauch!$C$9:$C$18896,"&lt;&gt;")</f>
        <v>0</v>
      </c>
    </row>
    <row r="676" customFormat="false" ht="15" hidden="false" customHeight="true" outlineLevel="0" collapsed="false">
      <c r="A676" s="10" t="n">
        <v>46637</v>
      </c>
      <c r="B676" s="10" t="n">
        <v>46638</v>
      </c>
      <c r="C676" s="22" t="n">
        <f aca="false">SUMIFS(Verbrauch!$C$9:$C$18896,Verbrauch!$A$9:$A$18896,"&gt;="&amp;A676,Verbrauch!$A$9:$A$18896,"&lt;"&amp;B676)</f>
        <v>0</v>
      </c>
      <c r="D676" s="22" t="n">
        <f aca="false">SUMIFS(Verbrauch!$C$9:$C$18896,Verbrauch!$A$9:$A$18896,"&gt;="&amp;A676,Verbrauch!$A$9:$A$18896,"&lt;"&amp;B676,Verbrauch!$F$9:$F$18896,"Go")</f>
        <v>0</v>
      </c>
      <c r="E676" s="22" t="n">
        <f aca="false">SUMIFS(Verbrauch!$C$9:$C$18896,Verbrauch!$A$9:$A$18896,"&gt;="&amp;A676,Verbrauch!$A$9:$A$18896,"&lt;"&amp;B676,Verbrauch!$F$9:$F$18896,"Standard")</f>
        <v>0</v>
      </c>
      <c r="F676" s="23" t="n">
        <f aca="false">SUMIFS(Verbrauch!$E$9:$E$18896,Verbrauch!$A$9:$A$18896,"&gt;="&amp;A676,Verbrauch!$A$9:$A$18896,"&lt;"&amp;B676)</f>
        <v>0</v>
      </c>
      <c r="G676" s="13" t="str">
        <f aca="false">IFERROR(F676/C676*100,"")</f>
        <v/>
      </c>
      <c r="H676" s="11" t="n">
        <f aca="false">COUNTIFS(Verbrauch!$A$9:$A$18896,"&gt;="&amp;A676,Verbrauch!$A$9:$A$18896,"&lt;"&amp;B676,Verbrauch!$C$9:$C$18896,"&lt;&gt;")</f>
        <v>0</v>
      </c>
    </row>
    <row r="677" customFormat="false" ht="15" hidden="false" customHeight="true" outlineLevel="0" collapsed="false">
      <c r="A677" s="10" t="n">
        <v>46638</v>
      </c>
      <c r="B677" s="10" t="n">
        <v>46639</v>
      </c>
      <c r="C677" s="22" t="n">
        <f aca="false">SUMIFS(Verbrauch!$C$9:$C$18896,Verbrauch!$A$9:$A$18896,"&gt;="&amp;A677,Verbrauch!$A$9:$A$18896,"&lt;"&amp;B677)</f>
        <v>0</v>
      </c>
      <c r="D677" s="22" t="n">
        <f aca="false">SUMIFS(Verbrauch!$C$9:$C$18896,Verbrauch!$A$9:$A$18896,"&gt;="&amp;A677,Verbrauch!$A$9:$A$18896,"&lt;"&amp;B677,Verbrauch!$F$9:$F$18896,"Go")</f>
        <v>0</v>
      </c>
      <c r="E677" s="22" t="n">
        <f aca="false">SUMIFS(Verbrauch!$C$9:$C$18896,Verbrauch!$A$9:$A$18896,"&gt;="&amp;A677,Verbrauch!$A$9:$A$18896,"&lt;"&amp;B677,Verbrauch!$F$9:$F$18896,"Standard")</f>
        <v>0</v>
      </c>
      <c r="F677" s="23" t="n">
        <f aca="false">SUMIFS(Verbrauch!$E$9:$E$18896,Verbrauch!$A$9:$A$18896,"&gt;="&amp;A677,Verbrauch!$A$9:$A$18896,"&lt;"&amp;B677)</f>
        <v>0</v>
      </c>
      <c r="G677" s="13" t="str">
        <f aca="false">IFERROR(F677/C677*100,"")</f>
        <v/>
      </c>
      <c r="H677" s="11" t="n">
        <f aca="false">COUNTIFS(Verbrauch!$A$9:$A$18896,"&gt;="&amp;A677,Verbrauch!$A$9:$A$18896,"&lt;"&amp;B677,Verbrauch!$C$9:$C$18896,"&lt;&gt;")</f>
        <v>0</v>
      </c>
    </row>
    <row r="678" customFormat="false" ht="15" hidden="false" customHeight="true" outlineLevel="0" collapsed="false">
      <c r="A678" s="10" t="n">
        <v>46639</v>
      </c>
      <c r="B678" s="10" t="n">
        <v>46640</v>
      </c>
      <c r="C678" s="22" t="n">
        <f aca="false">SUMIFS(Verbrauch!$C$9:$C$18896,Verbrauch!$A$9:$A$18896,"&gt;="&amp;A678,Verbrauch!$A$9:$A$18896,"&lt;"&amp;B678)</f>
        <v>0</v>
      </c>
      <c r="D678" s="22" t="n">
        <f aca="false">SUMIFS(Verbrauch!$C$9:$C$18896,Verbrauch!$A$9:$A$18896,"&gt;="&amp;A678,Verbrauch!$A$9:$A$18896,"&lt;"&amp;B678,Verbrauch!$F$9:$F$18896,"Go")</f>
        <v>0</v>
      </c>
      <c r="E678" s="22" t="n">
        <f aca="false">SUMIFS(Verbrauch!$C$9:$C$18896,Verbrauch!$A$9:$A$18896,"&gt;="&amp;A678,Verbrauch!$A$9:$A$18896,"&lt;"&amp;B678,Verbrauch!$F$9:$F$18896,"Standard")</f>
        <v>0</v>
      </c>
      <c r="F678" s="23" t="n">
        <f aca="false">SUMIFS(Verbrauch!$E$9:$E$18896,Verbrauch!$A$9:$A$18896,"&gt;="&amp;A678,Verbrauch!$A$9:$A$18896,"&lt;"&amp;B678)</f>
        <v>0</v>
      </c>
      <c r="G678" s="13" t="str">
        <f aca="false">IFERROR(F678/C678*100,"")</f>
        <v/>
      </c>
      <c r="H678" s="11" t="n">
        <f aca="false">COUNTIFS(Verbrauch!$A$9:$A$18896,"&gt;="&amp;A678,Verbrauch!$A$9:$A$18896,"&lt;"&amp;B678,Verbrauch!$C$9:$C$18896,"&lt;&gt;")</f>
        <v>0</v>
      </c>
    </row>
    <row r="679" customFormat="false" ht="15" hidden="false" customHeight="true" outlineLevel="0" collapsed="false">
      <c r="A679" s="10" t="n">
        <v>46640</v>
      </c>
      <c r="B679" s="10" t="n">
        <v>46641</v>
      </c>
      <c r="C679" s="22" t="n">
        <f aca="false">SUMIFS(Verbrauch!$C$9:$C$18896,Verbrauch!$A$9:$A$18896,"&gt;="&amp;A679,Verbrauch!$A$9:$A$18896,"&lt;"&amp;B679)</f>
        <v>0</v>
      </c>
      <c r="D679" s="22" t="n">
        <f aca="false">SUMIFS(Verbrauch!$C$9:$C$18896,Verbrauch!$A$9:$A$18896,"&gt;="&amp;A679,Verbrauch!$A$9:$A$18896,"&lt;"&amp;B679,Verbrauch!$F$9:$F$18896,"Go")</f>
        <v>0</v>
      </c>
      <c r="E679" s="22" t="n">
        <f aca="false">SUMIFS(Verbrauch!$C$9:$C$18896,Verbrauch!$A$9:$A$18896,"&gt;="&amp;A679,Verbrauch!$A$9:$A$18896,"&lt;"&amp;B679,Verbrauch!$F$9:$F$18896,"Standard")</f>
        <v>0</v>
      </c>
      <c r="F679" s="23" t="n">
        <f aca="false">SUMIFS(Verbrauch!$E$9:$E$18896,Verbrauch!$A$9:$A$18896,"&gt;="&amp;A679,Verbrauch!$A$9:$A$18896,"&lt;"&amp;B679)</f>
        <v>0</v>
      </c>
      <c r="G679" s="13" t="str">
        <f aca="false">IFERROR(F679/C679*100,"")</f>
        <v/>
      </c>
      <c r="H679" s="11" t="n">
        <f aca="false">COUNTIFS(Verbrauch!$A$9:$A$18896,"&gt;="&amp;A679,Verbrauch!$A$9:$A$18896,"&lt;"&amp;B679,Verbrauch!$C$9:$C$18896,"&lt;&gt;")</f>
        <v>0</v>
      </c>
    </row>
    <row r="680" customFormat="false" ht="15" hidden="false" customHeight="true" outlineLevel="0" collapsed="false">
      <c r="A680" s="10" t="n">
        <v>46641</v>
      </c>
      <c r="B680" s="10" t="n">
        <v>46642</v>
      </c>
      <c r="C680" s="22" t="n">
        <f aca="false">SUMIFS(Verbrauch!$C$9:$C$18896,Verbrauch!$A$9:$A$18896,"&gt;="&amp;A680,Verbrauch!$A$9:$A$18896,"&lt;"&amp;B680)</f>
        <v>0</v>
      </c>
      <c r="D680" s="22" t="n">
        <f aca="false">SUMIFS(Verbrauch!$C$9:$C$18896,Verbrauch!$A$9:$A$18896,"&gt;="&amp;A680,Verbrauch!$A$9:$A$18896,"&lt;"&amp;B680,Verbrauch!$F$9:$F$18896,"Go")</f>
        <v>0</v>
      </c>
      <c r="E680" s="22" t="n">
        <f aca="false">SUMIFS(Verbrauch!$C$9:$C$18896,Verbrauch!$A$9:$A$18896,"&gt;="&amp;A680,Verbrauch!$A$9:$A$18896,"&lt;"&amp;B680,Verbrauch!$F$9:$F$18896,"Standard")</f>
        <v>0</v>
      </c>
      <c r="F680" s="23" t="n">
        <f aca="false">SUMIFS(Verbrauch!$E$9:$E$18896,Verbrauch!$A$9:$A$18896,"&gt;="&amp;A680,Verbrauch!$A$9:$A$18896,"&lt;"&amp;B680)</f>
        <v>0</v>
      </c>
      <c r="G680" s="13" t="str">
        <f aca="false">IFERROR(F680/C680*100,"")</f>
        <v/>
      </c>
      <c r="H680" s="11" t="n">
        <f aca="false">COUNTIFS(Verbrauch!$A$9:$A$18896,"&gt;="&amp;A680,Verbrauch!$A$9:$A$18896,"&lt;"&amp;B680,Verbrauch!$C$9:$C$18896,"&lt;&gt;")</f>
        <v>0</v>
      </c>
    </row>
    <row r="681" customFormat="false" ht="15" hidden="false" customHeight="true" outlineLevel="0" collapsed="false">
      <c r="A681" s="10" t="n">
        <v>46642</v>
      </c>
      <c r="B681" s="10" t="n">
        <v>46643</v>
      </c>
      <c r="C681" s="22" t="n">
        <f aca="false">SUMIFS(Verbrauch!$C$9:$C$18896,Verbrauch!$A$9:$A$18896,"&gt;="&amp;A681,Verbrauch!$A$9:$A$18896,"&lt;"&amp;B681)</f>
        <v>0</v>
      </c>
      <c r="D681" s="22" t="n">
        <f aca="false">SUMIFS(Verbrauch!$C$9:$C$18896,Verbrauch!$A$9:$A$18896,"&gt;="&amp;A681,Verbrauch!$A$9:$A$18896,"&lt;"&amp;B681,Verbrauch!$F$9:$F$18896,"Go")</f>
        <v>0</v>
      </c>
      <c r="E681" s="22" t="n">
        <f aca="false">SUMIFS(Verbrauch!$C$9:$C$18896,Verbrauch!$A$9:$A$18896,"&gt;="&amp;A681,Verbrauch!$A$9:$A$18896,"&lt;"&amp;B681,Verbrauch!$F$9:$F$18896,"Standard")</f>
        <v>0</v>
      </c>
      <c r="F681" s="23" t="n">
        <f aca="false">SUMIFS(Verbrauch!$E$9:$E$18896,Verbrauch!$A$9:$A$18896,"&gt;="&amp;A681,Verbrauch!$A$9:$A$18896,"&lt;"&amp;B681)</f>
        <v>0</v>
      </c>
      <c r="G681" s="13" t="str">
        <f aca="false">IFERROR(F681/C681*100,"")</f>
        <v/>
      </c>
      <c r="H681" s="11" t="n">
        <f aca="false">COUNTIFS(Verbrauch!$A$9:$A$18896,"&gt;="&amp;A681,Verbrauch!$A$9:$A$18896,"&lt;"&amp;B681,Verbrauch!$C$9:$C$18896,"&lt;&gt;")</f>
        <v>0</v>
      </c>
    </row>
    <row r="682" customFormat="false" ht="15" hidden="false" customHeight="true" outlineLevel="0" collapsed="false">
      <c r="A682" s="10" t="n">
        <v>46643</v>
      </c>
      <c r="B682" s="10" t="n">
        <v>46644</v>
      </c>
      <c r="C682" s="22" t="n">
        <f aca="false">SUMIFS(Verbrauch!$C$9:$C$18896,Verbrauch!$A$9:$A$18896,"&gt;="&amp;A682,Verbrauch!$A$9:$A$18896,"&lt;"&amp;B682)</f>
        <v>0</v>
      </c>
      <c r="D682" s="22" t="n">
        <f aca="false">SUMIFS(Verbrauch!$C$9:$C$18896,Verbrauch!$A$9:$A$18896,"&gt;="&amp;A682,Verbrauch!$A$9:$A$18896,"&lt;"&amp;B682,Verbrauch!$F$9:$F$18896,"Go")</f>
        <v>0</v>
      </c>
      <c r="E682" s="22" t="n">
        <f aca="false">SUMIFS(Verbrauch!$C$9:$C$18896,Verbrauch!$A$9:$A$18896,"&gt;="&amp;A682,Verbrauch!$A$9:$A$18896,"&lt;"&amp;B682,Verbrauch!$F$9:$F$18896,"Standard")</f>
        <v>0</v>
      </c>
      <c r="F682" s="23" t="n">
        <f aca="false">SUMIFS(Verbrauch!$E$9:$E$18896,Verbrauch!$A$9:$A$18896,"&gt;="&amp;A682,Verbrauch!$A$9:$A$18896,"&lt;"&amp;B682)</f>
        <v>0</v>
      </c>
      <c r="G682" s="13" t="str">
        <f aca="false">IFERROR(F682/C682*100,"")</f>
        <v/>
      </c>
      <c r="H682" s="11" t="n">
        <f aca="false">COUNTIFS(Verbrauch!$A$9:$A$18896,"&gt;="&amp;A682,Verbrauch!$A$9:$A$18896,"&lt;"&amp;B682,Verbrauch!$C$9:$C$18896,"&lt;&gt;")</f>
        <v>0</v>
      </c>
    </row>
    <row r="683" customFormat="false" ht="15" hidden="false" customHeight="true" outlineLevel="0" collapsed="false">
      <c r="A683" s="10" t="n">
        <v>46644</v>
      </c>
      <c r="B683" s="10" t="n">
        <v>46645</v>
      </c>
      <c r="C683" s="22" t="n">
        <f aca="false">SUMIFS(Verbrauch!$C$9:$C$18896,Verbrauch!$A$9:$A$18896,"&gt;="&amp;A683,Verbrauch!$A$9:$A$18896,"&lt;"&amp;B683)</f>
        <v>0</v>
      </c>
      <c r="D683" s="22" t="n">
        <f aca="false">SUMIFS(Verbrauch!$C$9:$C$18896,Verbrauch!$A$9:$A$18896,"&gt;="&amp;A683,Verbrauch!$A$9:$A$18896,"&lt;"&amp;B683,Verbrauch!$F$9:$F$18896,"Go")</f>
        <v>0</v>
      </c>
      <c r="E683" s="22" t="n">
        <f aca="false">SUMIFS(Verbrauch!$C$9:$C$18896,Verbrauch!$A$9:$A$18896,"&gt;="&amp;A683,Verbrauch!$A$9:$A$18896,"&lt;"&amp;B683,Verbrauch!$F$9:$F$18896,"Standard")</f>
        <v>0</v>
      </c>
      <c r="F683" s="23" t="n">
        <f aca="false">SUMIFS(Verbrauch!$E$9:$E$18896,Verbrauch!$A$9:$A$18896,"&gt;="&amp;A683,Verbrauch!$A$9:$A$18896,"&lt;"&amp;B683)</f>
        <v>0</v>
      </c>
      <c r="G683" s="13" t="str">
        <f aca="false">IFERROR(F683/C683*100,"")</f>
        <v/>
      </c>
      <c r="H683" s="11" t="n">
        <f aca="false">COUNTIFS(Verbrauch!$A$9:$A$18896,"&gt;="&amp;A683,Verbrauch!$A$9:$A$18896,"&lt;"&amp;B683,Verbrauch!$C$9:$C$18896,"&lt;&gt;")</f>
        <v>0</v>
      </c>
    </row>
    <row r="684" customFormat="false" ht="15" hidden="false" customHeight="true" outlineLevel="0" collapsed="false">
      <c r="A684" s="10" t="n">
        <v>46645</v>
      </c>
      <c r="B684" s="10" t="n">
        <v>46646</v>
      </c>
      <c r="C684" s="22" t="n">
        <f aca="false">SUMIFS(Verbrauch!$C$9:$C$18896,Verbrauch!$A$9:$A$18896,"&gt;="&amp;A684,Verbrauch!$A$9:$A$18896,"&lt;"&amp;B684)</f>
        <v>0</v>
      </c>
      <c r="D684" s="22" t="n">
        <f aca="false">SUMIFS(Verbrauch!$C$9:$C$18896,Verbrauch!$A$9:$A$18896,"&gt;="&amp;A684,Verbrauch!$A$9:$A$18896,"&lt;"&amp;B684,Verbrauch!$F$9:$F$18896,"Go")</f>
        <v>0</v>
      </c>
      <c r="E684" s="22" t="n">
        <f aca="false">SUMIFS(Verbrauch!$C$9:$C$18896,Verbrauch!$A$9:$A$18896,"&gt;="&amp;A684,Verbrauch!$A$9:$A$18896,"&lt;"&amp;B684,Verbrauch!$F$9:$F$18896,"Standard")</f>
        <v>0</v>
      </c>
      <c r="F684" s="23" t="n">
        <f aca="false">SUMIFS(Verbrauch!$E$9:$E$18896,Verbrauch!$A$9:$A$18896,"&gt;="&amp;A684,Verbrauch!$A$9:$A$18896,"&lt;"&amp;B684)</f>
        <v>0</v>
      </c>
      <c r="G684" s="13" t="str">
        <f aca="false">IFERROR(F684/C684*100,"")</f>
        <v/>
      </c>
      <c r="H684" s="11" t="n">
        <f aca="false">COUNTIFS(Verbrauch!$A$9:$A$18896,"&gt;="&amp;A684,Verbrauch!$A$9:$A$18896,"&lt;"&amp;B684,Verbrauch!$C$9:$C$18896,"&lt;&gt;")</f>
        <v>0</v>
      </c>
    </row>
    <row r="685" customFormat="false" ht="15" hidden="false" customHeight="true" outlineLevel="0" collapsed="false">
      <c r="A685" s="10" t="n">
        <v>46646</v>
      </c>
      <c r="B685" s="10" t="n">
        <v>46647</v>
      </c>
      <c r="C685" s="22" t="n">
        <f aca="false">SUMIFS(Verbrauch!$C$9:$C$18896,Verbrauch!$A$9:$A$18896,"&gt;="&amp;A685,Verbrauch!$A$9:$A$18896,"&lt;"&amp;B685)</f>
        <v>0</v>
      </c>
      <c r="D685" s="22" t="n">
        <f aca="false">SUMIFS(Verbrauch!$C$9:$C$18896,Verbrauch!$A$9:$A$18896,"&gt;="&amp;A685,Verbrauch!$A$9:$A$18896,"&lt;"&amp;B685,Verbrauch!$F$9:$F$18896,"Go")</f>
        <v>0</v>
      </c>
      <c r="E685" s="22" t="n">
        <f aca="false">SUMIFS(Verbrauch!$C$9:$C$18896,Verbrauch!$A$9:$A$18896,"&gt;="&amp;A685,Verbrauch!$A$9:$A$18896,"&lt;"&amp;B685,Verbrauch!$F$9:$F$18896,"Standard")</f>
        <v>0</v>
      </c>
      <c r="F685" s="23" t="n">
        <f aca="false">SUMIFS(Verbrauch!$E$9:$E$18896,Verbrauch!$A$9:$A$18896,"&gt;="&amp;A685,Verbrauch!$A$9:$A$18896,"&lt;"&amp;B685)</f>
        <v>0</v>
      </c>
      <c r="G685" s="13" t="str">
        <f aca="false">IFERROR(F685/C685*100,"")</f>
        <v/>
      </c>
      <c r="H685" s="11" t="n">
        <f aca="false">COUNTIFS(Verbrauch!$A$9:$A$18896,"&gt;="&amp;A685,Verbrauch!$A$9:$A$18896,"&lt;"&amp;B685,Verbrauch!$C$9:$C$18896,"&lt;&gt;")</f>
        <v>0</v>
      </c>
    </row>
    <row r="686" customFormat="false" ht="15" hidden="false" customHeight="true" outlineLevel="0" collapsed="false">
      <c r="A686" s="10" t="n">
        <v>46647</v>
      </c>
      <c r="B686" s="10" t="n">
        <v>46648</v>
      </c>
      <c r="C686" s="22" t="n">
        <f aca="false">SUMIFS(Verbrauch!$C$9:$C$18896,Verbrauch!$A$9:$A$18896,"&gt;="&amp;A686,Verbrauch!$A$9:$A$18896,"&lt;"&amp;B686)</f>
        <v>0</v>
      </c>
      <c r="D686" s="22" t="n">
        <f aca="false">SUMIFS(Verbrauch!$C$9:$C$18896,Verbrauch!$A$9:$A$18896,"&gt;="&amp;A686,Verbrauch!$A$9:$A$18896,"&lt;"&amp;B686,Verbrauch!$F$9:$F$18896,"Go")</f>
        <v>0</v>
      </c>
      <c r="E686" s="22" t="n">
        <f aca="false">SUMIFS(Verbrauch!$C$9:$C$18896,Verbrauch!$A$9:$A$18896,"&gt;="&amp;A686,Verbrauch!$A$9:$A$18896,"&lt;"&amp;B686,Verbrauch!$F$9:$F$18896,"Standard")</f>
        <v>0</v>
      </c>
      <c r="F686" s="23" t="n">
        <f aca="false">SUMIFS(Verbrauch!$E$9:$E$18896,Verbrauch!$A$9:$A$18896,"&gt;="&amp;A686,Verbrauch!$A$9:$A$18896,"&lt;"&amp;B686)</f>
        <v>0</v>
      </c>
      <c r="G686" s="13" t="str">
        <f aca="false">IFERROR(F686/C686*100,"")</f>
        <v/>
      </c>
      <c r="H686" s="11" t="n">
        <f aca="false">COUNTIFS(Verbrauch!$A$9:$A$18896,"&gt;="&amp;A686,Verbrauch!$A$9:$A$18896,"&lt;"&amp;B686,Verbrauch!$C$9:$C$18896,"&lt;&gt;")</f>
        <v>0</v>
      </c>
    </row>
    <row r="687" customFormat="false" ht="15" hidden="false" customHeight="true" outlineLevel="0" collapsed="false">
      <c r="A687" s="10" t="n">
        <v>46648</v>
      </c>
      <c r="B687" s="10" t="n">
        <v>46649</v>
      </c>
      <c r="C687" s="22" t="n">
        <f aca="false">SUMIFS(Verbrauch!$C$9:$C$18896,Verbrauch!$A$9:$A$18896,"&gt;="&amp;A687,Verbrauch!$A$9:$A$18896,"&lt;"&amp;B687)</f>
        <v>0</v>
      </c>
      <c r="D687" s="22" t="n">
        <f aca="false">SUMIFS(Verbrauch!$C$9:$C$18896,Verbrauch!$A$9:$A$18896,"&gt;="&amp;A687,Verbrauch!$A$9:$A$18896,"&lt;"&amp;B687,Verbrauch!$F$9:$F$18896,"Go")</f>
        <v>0</v>
      </c>
      <c r="E687" s="22" t="n">
        <f aca="false">SUMIFS(Verbrauch!$C$9:$C$18896,Verbrauch!$A$9:$A$18896,"&gt;="&amp;A687,Verbrauch!$A$9:$A$18896,"&lt;"&amp;B687,Verbrauch!$F$9:$F$18896,"Standard")</f>
        <v>0</v>
      </c>
      <c r="F687" s="23" t="n">
        <f aca="false">SUMIFS(Verbrauch!$E$9:$E$18896,Verbrauch!$A$9:$A$18896,"&gt;="&amp;A687,Verbrauch!$A$9:$A$18896,"&lt;"&amp;B687)</f>
        <v>0</v>
      </c>
      <c r="G687" s="13" t="str">
        <f aca="false">IFERROR(F687/C687*100,"")</f>
        <v/>
      </c>
      <c r="H687" s="11" t="n">
        <f aca="false">COUNTIFS(Verbrauch!$A$9:$A$18896,"&gt;="&amp;A687,Verbrauch!$A$9:$A$18896,"&lt;"&amp;B687,Verbrauch!$C$9:$C$18896,"&lt;&gt;")</f>
        <v>0</v>
      </c>
    </row>
    <row r="688" customFormat="false" ht="15" hidden="false" customHeight="true" outlineLevel="0" collapsed="false">
      <c r="A688" s="10" t="n">
        <v>46649</v>
      </c>
      <c r="B688" s="10" t="n">
        <v>46650</v>
      </c>
      <c r="C688" s="22" t="n">
        <f aca="false">SUMIFS(Verbrauch!$C$9:$C$18896,Verbrauch!$A$9:$A$18896,"&gt;="&amp;A688,Verbrauch!$A$9:$A$18896,"&lt;"&amp;B688)</f>
        <v>0</v>
      </c>
      <c r="D688" s="22" t="n">
        <f aca="false">SUMIFS(Verbrauch!$C$9:$C$18896,Verbrauch!$A$9:$A$18896,"&gt;="&amp;A688,Verbrauch!$A$9:$A$18896,"&lt;"&amp;B688,Verbrauch!$F$9:$F$18896,"Go")</f>
        <v>0</v>
      </c>
      <c r="E688" s="22" t="n">
        <f aca="false">SUMIFS(Verbrauch!$C$9:$C$18896,Verbrauch!$A$9:$A$18896,"&gt;="&amp;A688,Verbrauch!$A$9:$A$18896,"&lt;"&amp;B688,Verbrauch!$F$9:$F$18896,"Standard")</f>
        <v>0</v>
      </c>
      <c r="F688" s="23" t="n">
        <f aca="false">SUMIFS(Verbrauch!$E$9:$E$18896,Verbrauch!$A$9:$A$18896,"&gt;="&amp;A688,Verbrauch!$A$9:$A$18896,"&lt;"&amp;B688)</f>
        <v>0</v>
      </c>
      <c r="G688" s="13" t="str">
        <f aca="false">IFERROR(F688/C688*100,"")</f>
        <v/>
      </c>
      <c r="H688" s="11" t="n">
        <f aca="false">COUNTIFS(Verbrauch!$A$9:$A$18896,"&gt;="&amp;A688,Verbrauch!$A$9:$A$18896,"&lt;"&amp;B688,Verbrauch!$C$9:$C$18896,"&lt;&gt;")</f>
        <v>0</v>
      </c>
    </row>
    <row r="689" customFormat="false" ht="15" hidden="false" customHeight="true" outlineLevel="0" collapsed="false">
      <c r="A689" s="10" t="n">
        <v>46650</v>
      </c>
      <c r="B689" s="10" t="n">
        <v>46651</v>
      </c>
      <c r="C689" s="22" t="n">
        <f aca="false">SUMIFS(Verbrauch!$C$9:$C$18896,Verbrauch!$A$9:$A$18896,"&gt;="&amp;A689,Verbrauch!$A$9:$A$18896,"&lt;"&amp;B689)</f>
        <v>0</v>
      </c>
      <c r="D689" s="22" t="n">
        <f aca="false">SUMIFS(Verbrauch!$C$9:$C$18896,Verbrauch!$A$9:$A$18896,"&gt;="&amp;A689,Verbrauch!$A$9:$A$18896,"&lt;"&amp;B689,Verbrauch!$F$9:$F$18896,"Go")</f>
        <v>0</v>
      </c>
      <c r="E689" s="22" t="n">
        <f aca="false">SUMIFS(Verbrauch!$C$9:$C$18896,Verbrauch!$A$9:$A$18896,"&gt;="&amp;A689,Verbrauch!$A$9:$A$18896,"&lt;"&amp;B689,Verbrauch!$F$9:$F$18896,"Standard")</f>
        <v>0</v>
      </c>
      <c r="F689" s="23" t="n">
        <f aca="false">SUMIFS(Verbrauch!$E$9:$E$18896,Verbrauch!$A$9:$A$18896,"&gt;="&amp;A689,Verbrauch!$A$9:$A$18896,"&lt;"&amp;B689)</f>
        <v>0</v>
      </c>
      <c r="G689" s="13" t="str">
        <f aca="false">IFERROR(F689/C689*100,"")</f>
        <v/>
      </c>
      <c r="H689" s="11" t="n">
        <f aca="false">COUNTIFS(Verbrauch!$A$9:$A$18896,"&gt;="&amp;A689,Verbrauch!$A$9:$A$18896,"&lt;"&amp;B689,Verbrauch!$C$9:$C$18896,"&lt;&gt;")</f>
        <v>0</v>
      </c>
    </row>
    <row r="690" customFormat="false" ht="15" hidden="false" customHeight="true" outlineLevel="0" collapsed="false">
      <c r="A690" s="10" t="n">
        <v>46651</v>
      </c>
      <c r="B690" s="10" t="n">
        <v>46652</v>
      </c>
      <c r="C690" s="22" t="n">
        <f aca="false">SUMIFS(Verbrauch!$C$9:$C$18896,Verbrauch!$A$9:$A$18896,"&gt;="&amp;A690,Verbrauch!$A$9:$A$18896,"&lt;"&amp;B690)</f>
        <v>0</v>
      </c>
      <c r="D690" s="22" t="n">
        <f aca="false">SUMIFS(Verbrauch!$C$9:$C$18896,Verbrauch!$A$9:$A$18896,"&gt;="&amp;A690,Verbrauch!$A$9:$A$18896,"&lt;"&amp;B690,Verbrauch!$F$9:$F$18896,"Go")</f>
        <v>0</v>
      </c>
      <c r="E690" s="22" t="n">
        <f aca="false">SUMIFS(Verbrauch!$C$9:$C$18896,Verbrauch!$A$9:$A$18896,"&gt;="&amp;A690,Verbrauch!$A$9:$A$18896,"&lt;"&amp;B690,Verbrauch!$F$9:$F$18896,"Standard")</f>
        <v>0</v>
      </c>
      <c r="F690" s="23" t="n">
        <f aca="false">SUMIFS(Verbrauch!$E$9:$E$18896,Verbrauch!$A$9:$A$18896,"&gt;="&amp;A690,Verbrauch!$A$9:$A$18896,"&lt;"&amp;B690)</f>
        <v>0</v>
      </c>
      <c r="G690" s="13" t="str">
        <f aca="false">IFERROR(F690/C690*100,"")</f>
        <v/>
      </c>
      <c r="H690" s="11" t="n">
        <f aca="false">COUNTIFS(Verbrauch!$A$9:$A$18896,"&gt;="&amp;A690,Verbrauch!$A$9:$A$18896,"&lt;"&amp;B690,Verbrauch!$C$9:$C$18896,"&lt;&gt;")</f>
        <v>0</v>
      </c>
    </row>
    <row r="691" customFormat="false" ht="15" hidden="false" customHeight="true" outlineLevel="0" collapsed="false">
      <c r="A691" s="10" t="n">
        <v>46652</v>
      </c>
      <c r="B691" s="10" t="n">
        <v>46653</v>
      </c>
      <c r="C691" s="22" t="n">
        <f aca="false">SUMIFS(Verbrauch!$C$9:$C$18896,Verbrauch!$A$9:$A$18896,"&gt;="&amp;A691,Verbrauch!$A$9:$A$18896,"&lt;"&amp;B691)</f>
        <v>0</v>
      </c>
      <c r="D691" s="22" t="n">
        <f aca="false">SUMIFS(Verbrauch!$C$9:$C$18896,Verbrauch!$A$9:$A$18896,"&gt;="&amp;A691,Verbrauch!$A$9:$A$18896,"&lt;"&amp;B691,Verbrauch!$F$9:$F$18896,"Go")</f>
        <v>0</v>
      </c>
      <c r="E691" s="22" t="n">
        <f aca="false">SUMIFS(Verbrauch!$C$9:$C$18896,Verbrauch!$A$9:$A$18896,"&gt;="&amp;A691,Verbrauch!$A$9:$A$18896,"&lt;"&amp;B691,Verbrauch!$F$9:$F$18896,"Standard")</f>
        <v>0</v>
      </c>
      <c r="F691" s="23" t="n">
        <f aca="false">SUMIFS(Verbrauch!$E$9:$E$18896,Verbrauch!$A$9:$A$18896,"&gt;="&amp;A691,Verbrauch!$A$9:$A$18896,"&lt;"&amp;B691)</f>
        <v>0</v>
      </c>
      <c r="G691" s="13" t="str">
        <f aca="false">IFERROR(F691/C691*100,"")</f>
        <v/>
      </c>
      <c r="H691" s="11" t="n">
        <f aca="false">COUNTIFS(Verbrauch!$A$9:$A$18896,"&gt;="&amp;A691,Verbrauch!$A$9:$A$18896,"&lt;"&amp;B691,Verbrauch!$C$9:$C$18896,"&lt;&gt;")</f>
        <v>0</v>
      </c>
    </row>
    <row r="692" customFormat="false" ht="15" hidden="false" customHeight="true" outlineLevel="0" collapsed="false">
      <c r="A692" s="10" t="n">
        <v>46653</v>
      </c>
      <c r="B692" s="10" t="n">
        <v>46654</v>
      </c>
      <c r="C692" s="22" t="n">
        <f aca="false">SUMIFS(Verbrauch!$C$9:$C$18896,Verbrauch!$A$9:$A$18896,"&gt;="&amp;A692,Verbrauch!$A$9:$A$18896,"&lt;"&amp;B692)</f>
        <v>0</v>
      </c>
      <c r="D692" s="22" t="n">
        <f aca="false">SUMIFS(Verbrauch!$C$9:$C$18896,Verbrauch!$A$9:$A$18896,"&gt;="&amp;A692,Verbrauch!$A$9:$A$18896,"&lt;"&amp;B692,Verbrauch!$F$9:$F$18896,"Go")</f>
        <v>0</v>
      </c>
      <c r="E692" s="22" t="n">
        <f aca="false">SUMIFS(Verbrauch!$C$9:$C$18896,Verbrauch!$A$9:$A$18896,"&gt;="&amp;A692,Verbrauch!$A$9:$A$18896,"&lt;"&amp;B692,Verbrauch!$F$9:$F$18896,"Standard")</f>
        <v>0</v>
      </c>
      <c r="F692" s="23" t="n">
        <f aca="false">SUMIFS(Verbrauch!$E$9:$E$18896,Verbrauch!$A$9:$A$18896,"&gt;="&amp;A692,Verbrauch!$A$9:$A$18896,"&lt;"&amp;B692)</f>
        <v>0</v>
      </c>
      <c r="G692" s="13" t="str">
        <f aca="false">IFERROR(F692/C692*100,"")</f>
        <v/>
      </c>
      <c r="H692" s="11" t="n">
        <f aca="false">COUNTIFS(Verbrauch!$A$9:$A$18896,"&gt;="&amp;A692,Verbrauch!$A$9:$A$18896,"&lt;"&amp;B692,Verbrauch!$C$9:$C$18896,"&lt;&gt;")</f>
        <v>0</v>
      </c>
    </row>
    <row r="693" customFormat="false" ht="15" hidden="false" customHeight="true" outlineLevel="0" collapsed="false">
      <c r="A693" s="10" t="n">
        <v>46654</v>
      </c>
      <c r="B693" s="10" t="n">
        <v>46655</v>
      </c>
      <c r="C693" s="22" t="n">
        <f aca="false">SUMIFS(Verbrauch!$C$9:$C$18896,Verbrauch!$A$9:$A$18896,"&gt;="&amp;A693,Verbrauch!$A$9:$A$18896,"&lt;"&amp;B693)</f>
        <v>0</v>
      </c>
      <c r="D693" s="22" t="n">
        <f aca="false">SUMIFS(Verbrauch!$C$9:$C$18896,Verbrauch!$A$9:$A$18896,"&gt;="&amp;A693,Verbrauch!$A$9:$A$18896,"&lt;"&amp;B693,Verbrauch!$F$9:$F$18896,"Go")</f>
        <v>0</v>
      </c>
      <c r="E693" s="22" t="n">
        <f aca="false">SUMIFS(Verbrauch!$C$9:$C$18896,Verbrauch!$A$9:$A$18896,"&gt;="&amp;A693,Verbrauch!$A$9:$A$18896,"&lt;"&amp;B693,Verbrauch!$F$9:$F$18896,"Standard")</f>
        <v>0</v>
      </c>
      <c r="F693" s="23" t="n">
        <f aca="false">SUMIFS(Verbrauch!$E$9:$E$18896,Verbrauch!$A$9:$A$18896,"&gt;="&amp;A693,Verbrauch!$A$9:$A$18896,"&lt;"&amp;B693)</f>
        <v>0</v>
      </c>
      <c r="G693" s="13" t="str">
        <f aca="false">IFERROR(F693/C693*100,"")</f>
        <v/>
      </c>
      <c r="H693" s="11" t="n">
        <f aca="false">COUNTIFS(Verbrauch!$A$9:$A$18896,"&gt;="&amp;A693,Verbrauch!$A$9:$A$18896,"&lt;"&amp;B693,Verbrauch!$C$9:$C$18896,"&lt;&gt;")</f>
        <v>0</v>
      </c>
    </row>
    <row r="694" customFormat="false" ht="15" hidden="false" customHeight="true" outlineLevel="0" collapsed="false">
      <c r="A694" s="10" t="n">
        <v>46655</v>
      </c>
      <c r="B694" s="10" t="n">
        <v>46656</v>
      </c>
      <c r="C694" s="22" t="n">
        <f aca="false">SUMIFS(Verbrauch!$C$9:$C$18896,Verbrauch!$A$9:$A$18896,"&gt;="&amp;A694,Verbrauch!$A$9:$A$18896,"&lt;"&amp;B694)</f>
        <v>0</v>
      </c>
      <c r="D694" s="22" t="n">
        <f aca="false">SUMIFS(Verbrauch!$C$9:$C$18896,Verbrauch!$A$9:$A$18896,"&gt;="&amp;A694,Verbrauch!$A$9:$A$18896,"&lt;"&amp;B694,Verbrauch!$F$9:$F$18896,"Go")</f>
        <v>0</v>
      </c>
      <c r="E694" s="22" t="n">
        <f aca="false">SUMIFS(Verbrauch!$C$9:$C$18896,Verbrauch!$A$9:$A$18896,"&gt;="&amp;A694,Verbrauch!$A$9:$A$18896,"&lt;"&amp;B694,Verbrauch!$F$9:$F$18896,"Standard")</f>
        <v>0</v>
      </c>
      <c r="F694" s="23" t="n">
        <f aca="false">SUMIFS(Verbrauch!$E$9:$E$18896,Verbrauch!$A$9:$A$18896,"&gt;="&amp;A694,Verbrauch!$A$9:$A$18896,"&lt;"&amp;B694)</f>
        <v>0</v>
      </c>
      <c r="G694" s="13" t="str">
        <f aca="false">IFERROR(F694/C694*100,"")</f>
        <v/>
      </c>
      <c r="H694" s="11" t="n">
        <f aca="false">COUNTIFS(Verbrauch!$A$9:$A$18896,"&gt;="&amp;A694,Verbrauch!$A$9:$A$18896,"&lt;"&amp;B694,Verbrauch!$C$9:$C$18896,"&lt;&gt;")</f>
        <v>0</v>
      </c>
    </row>
    <row r="695" customFormat="false" ht="15" hidden="false" customHeight="true" outlineLevel="0" collapsed="false">
      <c r="A695" s="10" t="n">
        <v>46656</v>
      </c>
      <c r="B695" s="10" t="n">
        <v>46657</v>
      </c>
      <c r="C695" s="22" t="n">
        <f aca="false">SUMIFS(Verbrauch!$C$9:$C$18896,Verbrauch!$A$9:$A$18896,"&gt;="&amp;A695,Verbrauch!$A$9:$A$18896,"&lt;"&amp;B695)</f>
        <v>0</v>
      </c>
      <c r="D695" s="22" t="n">
        <f aca="false">SUMIFS(Verbrauch!$C$9:$C$18896,Verbrauch!$A$9:$A$18896,"&gt;="&amp;A695,Verbrauch!$A$9:$A$18896,"&lt;"&amp;B695,Verbrauch!$F$9:$F$18896,"Go")</f>
        <v>0</v>
      </c>
      <c r="E695" s="22" t="n">
        <f aca="false">SUMIFS(Verbrauch!$C$9:$C$18896,Verbrauch!$A$9:$A$18896,"&gt;="&amp;A695,Verbrauch!$A$9:$A$18896,"&lt;"&amp;B695,Verbrauch!$F$9:$F$18896,"Standard")</f>
        <v>0</v>
      </c>
      <c r="F695" s="23" t="n">
        <f aca="false">SUMIFS(Verbrauch!$E$9:$E$18896,Verbrauch!$A$9:$A$18896,"&gt;="&amp;A695,Verbrauch!$A$9:$A$18896,"&lt;"&amp;B695)</f>
        <v>0</v>
      </c>
      <c r="G695" s="13" t="str">
        <f aca="false">IFERROR(F695/C695*100,"")</f>
        <v/>
      </c>
      <c r="H695" s="11" t="n">
        <f aca="false">COUNTIFS(Verbrauch!$A$9:$A$18896,"&gt;="&amp;A695,Verbrauch!$A$9:$A$18896,"&lt;"&amp;B695,Verbrauch!$C$9:$C$18896,"&lt;&gt;")</f>
        <v>0</v>
      </c>
    </row>
    <row r="696" customFormat="false" ht="15" hidden="false" customHeight="true" outlineLevel="0" collapsed="false">
      <c r="A696" s="10" t="n">
        <v>46657</v>
      </c>
      <c r="B696" s="10" t="n">
        <v>46658</v>
      </c>
      <c r="C696" s="22" t="n">
        <f aca="false">SUMIFS(Verbrauch!$C$9:$C$18896,Verbrauch!$A$9:$A$18896,"&gt;="&amp;A696,Verbrauch!$A$9:$A$18896,"&lt;"&amp;B696)</f>
        <v>0</v>
      </c>
      <c r="D696" s="22" t="n">
        <f aca="false">SUMIFS(Verbrauch!$C$9:$C$18896,Verbrauch!$A$9:$A$18896,"&gt;="&amp;A696,Verbrauch!$A$9:$A$18896,"&lt;"&amp;B696,Verbrauch!$F$9:$F$18896,"Go")</f>
        <v>0</v>
      </c>
      <c r="E696" s="22" t="n">
        <f aca="false">SUMIFS(Verbrauch!$C$9:$C$18896,Verbrauch!$A$9:$A$18896,"&gt;="&amp;A696,Verbrauch!$A$9:$A$18896,"&lt;"&amp;B696,Verbrauch!$F$9:$F$18896,"Standard")</f>
        <v>0</v>
      </c>
      <c r="F696" s="23" t="n">
        <f aca="false">SUMIFS(Verbrauch!$E$9:$E$18896,Verbrauch!$A$9:$A$18896,"&gt;="&amp;A696,Verbrauch!$A$9:$A$18896,"&lt;"&amp;B696)</f>
        <v>0</v>
      </c>
      <c r="G696" s="13" t="str">
        <f aca="false">IFERROR(F696/C696*100,"")</f>
        <v/>
      </c>
      <c r="H696" s="11" t="n">
        <f aca="false">COUNTIFS(Verbrauch!$A$9:$A$18896,"&gt;="&amp;A696,Verbrauch!$A$9:$A$18896,"&lt;"&amp;B696,Verbrauch!$C$9:$C$18896,"&lt;&gt;")</f>
        <v>0</v>
      </c>
    </row>
    <row r="697" customFormat="false" ht="15" hidden="false" customHeight="true" outlineLevel="0" collapsed="false">
      <c r="A697" s="10" t="n">
        <v>46658</v>
      </c>
      <c r="B697" s="10" t="n">
        <v>46659</v>
      </c>
      <c r="C697" s="22" t="n">
        <f aca="false">SUMIFS(Verbrauch!$C$9:$C$18896,Verbrauch!$A$9:$A$18896,"&gt;="&amp;A697,Verbrauch!$A$9:$A$18896,"&lt;"&amp;B697)</f>
        <v>0</v>
      </c>
      <c r="D697" s="22" t="n">
        <f aca="false">SUMIFS(Verbrauch!$C$9:$C$18896,Verbrauch!$A$9:$A$18896,"&gt;="&amp;A697,Verbrauch!$A$9:$A$18896,"&lt;"&amp;B697,Verbrauch!$F$9:$F$18896,"Go")</f>
        <v>0</v>
      </c>
      <c r="E697" s="22" t="n">
        <f aca="false">SUMIFS(Verbrauch!$C$9:$C$18896,Verbrauch!$A$9:$A$18896,"&gt;="&amp;A697,Verbrauch!$A$9:$A$18896,"&lt;"&amp;B697,Verbrauch!$F$9:$F$18896,"Standard")</f>
        <v>0</v>
      </c>
      <c r="F697" s="23" t="n">
        <f aca="false">SUMIFS(Verbrauch!$E$9:$E$18896,Verbrauch!$A$9:$A$18896,"&gt;="&amp;A697,Verbrauch!$A$9:$A$18896,"&lt;"&amp;B697)</f>
        <v>0</v>
      </c>
      <c r="G697" s="13" t="str">
        <f aca="false">IFERROR(F697/C697*100,"")</f>
        <v/>
      </c>
      <c r="H697" s="11" t="n">
        <f aca="false">COUNTIFS(Verbrauch!$A$9:$A$18896,"&gt;="&amp;A697,Verbrauch!$A$9:$A$18896,"&lt;"&amp;B697,Verbrauch!$C$9:$C$18896,"&lt;&gt;")</f>
        <v>0</v>
      </c>
    </row>
    <row r="698" customFormat="false" ht="15" hidden="false" customHeight="true" outlineLevel="0" collapsed="false">
      <c r="A698" s="10" t="n">
        <v>46659</v>
      </c>
      <c r="B698" s="10" t="n">
        <v>46660</v>
      </c>
      <c r="C698" s="22" t="n">
        <f aca="false">SUMIFS(Verbrauch!$C$9:$C$18896,Verbrauch!$A$9:$A$18896,"&gt;="&amp;A698,Verbrauch!$A$9:$A$18896,"&lt;"&amp;B698)</f>
        <v>0</v>
      </c>
      <c r="D698" s="22" t="n">
        <f aca="false">SUMIFS(Verbrauch!$C$9:$C$18896,Verbrauch!$A$9:$A$18896,"&gt;="&amp;A698,Verbrauch!$A$9:$A$18896,"&lt;"&amp;B698,Verbrauch!$F$9:$F$18896,"Go")</f>
        <v>0</v>
      </c>
      <c r="E698" s="22" t="n">
        <f aca="false">SUMIFS(Verbrauch!$C$9:$C$18896,Verbrauch!$A$9:$A$18896,"&gt;="&amp;A698,Verbrauch!$A$9:$A$18896,"&lt;"&amp;B698,Verbrauch!$F$9:$F$18896,"Standard")</f>
        <v>0</v>
      </c>
      <c r="F698" s="23" t="n">
        <f aca="false">SUMIFS(Verbrauch!$E$9:$E$18896,Verbrauch!$A$9:$A$18896,"&gt;="&amp;A698,Verbrauch!$A$9:$A$18896,"&lt;"&amp;B698)</f>
        <v>0</v>
      </c>
      <c r="G698" s="13" t="str">
        <f aca="false">IFERROR(F698/C698*100,"")</f>
        <v/>
      </c>
      <c r="H698" s="11" t="n">
        <f aca="false">COUNTIFS(Verbrauch!$A$9:$A$18896,"&gt;="&amp;A698,Verbrauch!$A$9:$A$18896,"&lt;"&amp;B698,Verbrauch!$C$9:$C$18896,"&lt;&gt;")</f>
        <v>0</v>
      </c>
    </row>
    <row r="699" customFormat="false" ht="15" hidden="false" customHeight="true" outlineLevel="0" collapsed="false">
      <c r="A699" s="10" t="n">
        <v>46660</v>
      </c>
      <c r="B699" s="10" t="n">
        <v>46661</v>
      </c>
      <c r="C699" s="22" t="n">
        <f aca="false">SUMIFS(Verbrauch!$C$9:$C$18896,Verbrauch!$A$9:$A$18896,"&gt;="&amp;A699,Verbrauch!$A$9:$A$18896,"&lt;"&amp;B699)</f>
        <v>0</v>
      </c>
      <c r="D699" s="22" t="n">
        <f aca="false">SUMIFS(Verbrauch!$C$9:$C$18896,Verbrauch!$A$9:$A$18896,"&gt;="&amp;A699,Verbrauch!$A$9:$A$18896,"&lt;"&amp;B699,Verbrauch!$F$9:$F$18896,"Go")</f>
        <v>0</v>
      </c>
      <c r="E699" s="22" t="n">
        <f aca="false">SUMIFS(Verbrauch!$C$9:$C$18896,Verbrauch!$A$9:$A$18896,"&gt;="&amp;A699,Verbrauch!$A$9:$A$18896,"&lt;"&amp;B699,Verbrauch!$F$9:$F$18896,"Standard")</f>
        <v>0</v>
      </c>
      <c r="F699" s="23" t="n">
        <f aca="false">SUMIFS(Verbrauch!$E$9:$E$18896,Verbrauch!$A$9:$A$18896,"&gt;="&amp;A699,Verbrauch!$A$9:$A$18896,"&lt;"&amp;B699)</f>
        <v>0</v>
      </c>
      <c r="G699" s="13" t="str">
        <f aca="false">IFERROR(F699/C699*100,"")</f>
        <v/>
      </c>
      <c r="H699" s="11" t="n">
        <f aca="false">COUNTIFS(Verbrauch!$A$9:$A$18896,"&gt;="&amp;A699,Verbrauch!$A$9:$A$18896,"&lt;"&amp;B699,Verbrauch!$C$9:$C$18896,"&lt;&gt;")</f>
        <v>0</v>
      </c>
    </row>
    <row r="700" customFormat="false" ht="15" hidden="false" customHeight="true" outlineLevel="0" collapsed="false">
      <c r="A700" s="10" t="n">
        <v>46661</v>
      </c>
      <c r="B700" s="10" t="n">
        <v>46662</v>
      </c>
      <c r="C700" s="22" t="n">
        <f aca="false">SUMIFS(Verbrauch!$C$9:$C$18896,Verbrauch!$A$9:$A$18896,"&gt;="&amp;A700,Verbrauch!$A$9:$A$18896,"&lt;"&amp;B700)</f>
        <v>0</v>
      </c>
      <c r="D700" s="22" t="n">
        <f aca="false">SUMIFS(Verbrauch!$C$9:$C$18896,Verbrauch!$A$9:$A$18896,"&gt;="&amp;A700,Verbrauch!$A$9:$A$18896,"&lt;"&amp;B700,Verbrauch!$F$9:$F$18896,"Go")</f>
        <v>0</v>
      </c>
      <c r="E700" s="22" t="n">
        <f aca="false">SUMIFS(Verbrauch!$C$9:$C$18896,Verbrauch!$A$9:$A$18896,"&gt;="&amp;A700,Verbrauch!$A$9:$A$18896,"&lt;"&amp;B700,Verbrauch!$F$9:$F$18896,"Standard")</f>
        <v>0</v>
      </c>
      <c r="F700" s="23" t="n">
        <f aca="false">SUMIFS(Verbrauch!$E$9:$E$18896,Verbrauch!$A$9:$A$18896,"&gt;="&amp;A700,Verbrauch!$A$9:$A$18896,"&lt;"&amp;B700)</f>
        <v>0</v>
      </c>
      <c r="G700" s="13" t="str">
        <f aca="false">IFERROR(F700/C700*100,"")</f>
        <v/>
      </c>
      <c r="H700" s="11" t="n">
        <f aca="false">COUNTIFS(Verbrauch!$A$9:$A$18896,"&gt;="&amp;A700,Verbrauch!$A$9:$A$18896,"&lt;"&amp;B700,Verbrauch!$C$9:$C$18896,"&lt;&gt;")</f>
        <v>0</v>
      </c>
    </row>
    <row r="701" customFormat="false" ht="15" hidden="false" customHeight="true" outlineLevel="0" collapsed="false">
      <c r="A701" s="10" t="n">
        <v>46662</v>
      </c>
      <c r="B701" s="10" t="n">
        <v>46663</v>
      </c>
      <c r="C701" s="22" t="n">
        <f aca="false">SUMIFS(Verbrauch!$C$9:$C$18896,Verbrauch!$A$9:$A$18896,"&gt;="&amp;A701,Verbrauch!$A$9:$A$18896,"&lt;"&amp;B701)</f>
        <v>0</v>
      </c>
      <c r="D701" s="22" t="n">
        <f aca="false">SUMIFS(Verbrauch!$C$9:$C$18896,Verbrauch!$A$9:$A$18896,"&gt;="&amp;A701,Verbrauch!$A$9:$A$18896,"&lt;"&amp;B701,Verbrauch!$F$9:$F$18896,"Go")</f>
        <v>0</v>
      </c>
      <c r="E701" s="22" t="n">
        <f aca="false">SUMIFS(Verbrauch!$C$9:$C$18896,Verbrauch!$A$9:$A$18896,"&gt;="&amp;A701,Verbrauch!$A$9:$A$18896,"&lt;"&amp;B701,Verbrauch!$F$9:$F$18896,"Standard")</f>
        <v>0</v>
      </c>
      <c r="F701" s="23" t="n">
        <f aca="false">SUMIFS(Verbrauch!$E$9:$E$18896,Verbrauch!$A$9:$A$18896,"&gt;="&amp;A701,Verbrauch!$A$9:$A$18896,"&lt;"&amp;B701)</f>
        <v>0</v>
      </c>
      <c r="G701" s="13" t="str">
        <f aca="false">IFERROR(F701/C701*100,"")</f>
        <v/>
      </c>
      <c r="H701" s="11" t="n">
        <f aca="false">COUNTIFS(Verbrauch!$A$9:$A$18896,"&gt;="&amp;A701,Verbrauch!$A$9:$A$18896,"&lt;"&amp;B701,Verbrauch!$C$9:$C$18896,"&lt;&gt;")</f>
        <v>0</v>
      </c>
    </row>
    <row r="702" customFormat="false" ht="15" hidden="false" customHeight="true" outlineLevel="0" collapsed="false">
      <c r="A702" s="10" t="n">
        <v>46663</v>
      </c>
      <c r="B702" s="10" t="n">
        <v>46664</v>
      </c>
      <c r="C702" s="22" t="n">
        <f aca="false">SUMIFS(Verbrauch!$C$9:$C$18896,Verbrauch!$A$9:$A$18896,"&gt;="&amp;A702,Verbrauch!$A$9:$A$18896,"&lt;"&amp;B702)</f>
        <v>0</v>
      </c>
      <c r="D702" s="22" t="n">
        <f aca="false">SUMIFS(Verbrauch!$C$9:$C$18896,Verbrauch!$A$9:$A$18896,"&gt;="&amp;A702,Verbrauch!$A$9:$A$18896,"&lt;"&amp;B702,Verbrauch!$F$9:$F$18896,"Go")</f>
        <v>0</v>
      </c>
      <c r="E702" s="22" t="n">
        <f aca="false">SUMIFS(Verbrauch!$C$9:$C$18896,Verbrauch!$A$9:$A$18896,"&gt;="&amp;A702,Verbrauch!$A$9:$A$18896,"&lt;"&amp;B702,Verbrauch!$F$9:$F$18896,"Standard")</f>
        <v>0</v>
      </c>
      <c r="F702" s="23" t="n">
        <f aca="false">SUMIFS(Verbrauch!$E$9:$E$18896,Verbrauch!$A$9:$A$18896,"&gt;="&amp;A702,Verbrauch!$A$9:$A$18896,"&lt;"&amp;B702)</f>
        <v>0</v>
      </c>
      <c r="G702" s="13" t="str">
        <f aca="false">IFERROR(F702/C702*100,"")</f>
        <v/>
      </c>
      <c r="H702" s="11" t="n">
        <f aca="false">COUNTIFS(Verbrauch!$A$9:$A$18896,"&gt;="&amp;A702,Verbrauch!$A$9:$A$18896,"&lt;"&amp;B702,Verbrauch!$C$9:$C$18896,"&lt;&gt;")</f>
        <v>0</v>
      </c>
    </row>
    <row r="703" customFormat="false" ht="15" hidden="false" customHeight="true" outlineLevel="0" collapsed="false">
      <c r="A703" s="10" t="n">
        <v>46664</v>
      </c>
      <c r="B703" s="10" t="n">
        <v>46665</v>
      </c>
      <c r="C703" s="22" t="n">
        <f aca="false">SUMIFS(Verbrauch!$C$9:$C$18896,Verbrauch!$A$9:$A$18896,"&gt;="&amp;A703,Verbrauch!$A$9:$A$18896,"&lt;"&amp;B703)</f>
        <v>0</v>
      </c>
      <c r="D703" s="22" t="n">
        <f aca="false">SUMIFS(Verbrauch!$C$9:$C$18896,Verbrauch!$A$9:$A$18896,"&gt;="&amp;A703,Verbrauch!$A$9:$A$18896,"&lt;"&amp;B703,Verbrauch!$F$9:$F$18896,"Go")</f>
        <v>0</v>
      </c>
      <c r="E703" s="22" t="n">
        <f aca="false">SUMIFS(Verbrauch!$C$9:$C$18896,Verbrauch!$A$9:$A$18896,"&gt;="&amp;A703,Verbrauch!$A$9:$A$18896,"&lt;"&amp;B703,Verbrauch!$F$9:$F$18896,"Standard")</f>
        <v>0</v>
      </c>
      <c r="F703" s="23" t="n">
        <f aca="false">SUMIFS(Verbrauch!$E$9:$E$18896,Verbrauch!$A$9:$A$18896,"&gt;="&amp;A703,Verbrauch!$A$9:$A$18896,"&lt;"&amp;B703)</f>
        <v>0</v>
      </c>
      <c r="G703" s="13" t="str">
        <f aca="false">IFERROR(F703/C703*100,"")</f>
        <v/>
      </c>
      <c r="H703" s="11" t="n">
        <f aca="false">COUNTIFS(Verbrauch!$A$9:$A$18896,"&gt;="&amp;A703,Verbrauch!$A$9:$A$18896,"&lt;"&amp;B703,Verbrauch!$C$9:$C$18896,"&lt;&gt;")</f>
        <v>0</v>
      </c>
    </row>
    <row r="704" customFormat="false" ht="15" hidden="false" customHeight="true" outlineLevel="0" collapsed="false">
      <c r="A704" s="10" t="n">
        <v>46665</v>
      </c>
      <c r="B704" s="10" t="n">
        <v>46666</v>
      </c>
      <c r="C704" s="22" t="n">
        <f aca="false">SUMIFS(Verbrauch!$C$9:$C$18896,Verbrauch!$A$9:$A$18896,"&gt;="&amp;A704,Verbrauch!$A$9:$A$18896,"&lt;"&amp;B704)</f>
        <v>0</v>
      </c>
      <c r="D704" s="22" t="n">
        <f aca="false">SUMIFS(Verbrauch!$C$9:$C$18896,Verbrauch!$A$9:$A$18896,"&gt;="&amp;A704,Verbrauch!$A$9:$A$18896,"&lt;"&amp;B704,Verbrauch!$F$9:$F$18896,"Go")</f>
        <v>0</v>
      </c>
      <c r="E704" s="22" t="n">
        <f aca="false">SUMIFS(Verbrauch!$C$9:$C$18896,Verbrauch!$A$9:$A$18896,"&gt;="&amp;A704,Verbrauch!$A$9:$A$18896,"&lt;"&amp;B704,Verbrauch!$F$9:$F$18896,"Standard")</f>
        <v>0</v>
      </c>
      <c r="F704" s="23" t="n">
        <f aca="false">SUMIFS(Verbrauch!$E$9:$E$18896,Verbrauch!$A$9:$A$18896,"&gt;="&amp;A704,Verbrauch!$A$9:$A$18896,"&lt;"&amp;B704)</f>
        <v>0</v>
      </c>
      <c r="G704" s="13" t="str">
        <f aca="false">IFERROR(F704/C704*100,"")</f>
        <v/>
      </c>
      <c r="H704" s="11" t="n">
        <f aca="false">COUNTIFS(Verbrauch!$A$9:$A$18896,"&gt;="&amp;A704,Verbrauch!$A$9:$A$18896,"&lt;"&amp;B704,Verbrauch!$C$9:$C$18896,"&lt;&gt;")</f>
        <v>0</v>
      </c>
    </row>
    <row r="705" customFormat="false" ht="15" hidden="false" customHeight="true" outlineLevel="0" collapsed="false">
      <c r="A705" s="10" t="n">
        <v>46666</v>
      </c>
      <c r="B705" s="10" t="n">
        <v>46667</v>
      </c>
      <c r="C705" s="22" t="n">
        <f aca="false">SUMIFS(Verbrauch!$C$9:$C$18896,Verbrauch!$A$9:$A$18896,"&gt;="&amp;A705,Verbrauch!$A$9:$A$18896,"&lt;"&amp;B705)</f>
        <v>0</v>
      </c>
      <c r="D705" s="22" t="n">
        <f aca="false">SUMIFS(Verbrauch!$C$9:$C$18896,Verbrauch!$A$9:$A$18896,"&gt;="&amp;A705,Verbrauch!$A$9:$A$18896,"&lt;"&amp;B705,Verbrauch!$F$9:$F$18896,"Go")</f>
        <v>0</v>
      </c>
      <c r="E705" s="22" t="n">
        <f aca="false">SUMIFS(Verbrauch!$C$9:$C$18896,Verbrauch!$A$9:$A$18896,"&gt;="&amp;A705,Verbrauch!$A$9:$A$18896,"&lt;"&amp;B705,Verbrauch!$F$9:$F$18896,"Standard")</f>
        <v>0</v>
      </c>
      <c r="F705" s="23" t="n">
        <f aca="false">SUMIFS(Verbrauch!$E$9:$E$18896,Verbrauch!$A$9:$A$18896,"&gt;="&amp;A705,Verbrauch!$A$9:$A$18896,"&lt;"&amp;B705)</f>
        <v>0</v>
      </c>
      <c r="G705" s="13" t="str">
        <f aca="false">IFERROR(F705/C705*100,"")</f>
        <v/>
      </c>
      <c r="H705" s="11" t="n">
        <f aca="false">COUNTIFS(Verbrauch!$A$9:$A$18896,"&gt;="&amp;A705,Verbrauch!$A$9:$A$18896,"&lt;"&amp;B705,Verbrauch!$C$9:$C$18896,"&lt;&gt;")</f>
        <v>0</v>
      </c>
    </row>
    <row r="706" customFormat="false" ht="15" hidden="false" customHeight="true" outlineLevel="0" collapsed="false">
      <c r="A706" s="10" t="n">
        <v>46667</v>
      </c>
      <c r="B706" s="10" t="n">
        <v>46668</v>
      </c>
      <c r="C706" s="22" t="n">
        <f aca="false">SUMIFS(Verbrauch!$C$9:$C$18896,Verbrauch!$A$9:$A$18896,"&gt;="&amp;A706,Verbrauch!$A$9:$A$18896,"&lt;"&amp;B706)</f>
        <v>0</v>
      </c>
      <c r="D706" s="22" t="n">
        <f aca="false">SUMIFS(Verbrauch!$C$9:$C$18896,Verbrauch!$A$9:$A$18896,"&gt;="&amp;A706,Verbrauch!$A$9:$A$18896,"&lt;"&amp;B706,Verbrauch!$F$9:$F$18896,"Go")</f>
        <v>0</v>
      </c>
      <c r="E706" s="22" t="n">
        <f aca="false">SUMIFS(Verbrauch!$C$9:$C$18896,Verbrauch!$A$9:$A$18896,"&gt;="&amp;A706,Verbrauch!$A$9:$A$18896,"&lt;"&amp;B706,Verbrauch!$F$9:$F$18896,"Standard")</f>
        <v>0</v>
      </c>
      <c r="F706" s="23" t="n">
        <f aca="false">SUMIFS(Verbrauch!$E$9:$E$18896,Verbrauch!$A$9:$A$18896,"&gt;="&amp;A706,Verbrauch!$A$9:$A$18896,"&lt;"&amp;B706)</f>
        <v>0</v>
      </c>
      <c r="G706" s="13" t="str">
        <f aca="false">IFERROR(F706/C706*100,"")</f>
        <v/>
      </c>
      <c r="H706" s="11" t="n">
        <f aca="false">COUNTIFS(Verbrauch!$A$9:$A$18896,"&gt;="&amp;A706,Verbrauch!$A$9:$A$18896,"&lt;"&amp;B706,Verbrauch!$C$9:$C$18896,"&lt;&gt;")</f>
        <v>0</v>
      </c>
    </row>
    <row r="707" customFormat="false" ht="15" hidden="false" customHeight="true" outlineLevel="0" collapsed="false">
      <c r="A707" s="10" t="n">
        <v>46668</v>
      </c>
      <c r="B707" s="10" t="n">
        <v>46669</v>
      </c>
      <c r="C707" s="22" t="n">
        <f aca="false">SUMIFS(Verbrauch!$C$9:$C$18896,Verbrauch!$A$9:$A$18896,"&gt;="&amp;A707,Verbrauch!$A$9:$A$18896,"&lt;"&amp;B707)</f>
        <v>0</v>
      </c>
      <c r="D707" s="22" t="n">
        <f aca="false">SUMIFS(Verbrauch!$C$9:$C$18896,Verbrauch!$A$9:$A$18896,"&gt;="&amp;A707,Verbrauch!$A$9:$A$18896,"&lt;"&amp;B707,Verbrauch!$F$9:$F$18896,"Go")</f>
        <v>0</v>
      </c>
      <c r="E707" s="22" t="n">
        <f aca="false">SUMIFS(Verbrauch!$C$9:$C$18896,Verbrauch!$A$9:$A$18896,"&gt;="&amp;A707,Verbrauch!$A$9:$A$18896,"&lt;"&amp;B707,Verbrauch!$F$9:$F$18896,"Standard")</f>
        <v>0</v>
      </c>
      <c r="F707" s="23" t="n">
        <f aca="false">SUMIFS(Verbrauch!$E$9:$E$18896,Verbrauch!$A$9:$A$18896,"&gt;="&amp;A707,Verbrauch!$A$9:$A$18896,"&lt;"&amp;B707)</f>
        <v>0</v>
      </c>
      <c r="G707" s="13" t="str">
        <f aca="false">IFERROR(F707/C707*100,"")</f>
        <v/>
      </c>
      <c r="H707" s="11" t="n">
        <f aca="false">COUNTIFS(Verbrauch!$A$9:$A$18896,"&gt;="&amp;A707,Verbrauch!$A$9:$A$18896,"&lt;"&amp;B707,Verbrauch!$C$9:$C$18896,"&lt;&gt;")</f>
        <v>0</v>
      </c>
    </row>
    <row r="708" customFormat="false" ht="15" hidden="false" customHeight="true" outlineLevel="0" collapsed="false">
      <c r="A708" s="10" t="n">
        <v>46669</v>
      </c>
      <c r="B708" s="10" t="n">
        <v>46670</v>
      </c>
      <c r="C708" s="22" t="n">
        <f aca="false">SUMIFS(Verbrauch!$C$9:$C$18896,Verbrauch!$A$9:$A$18896,"&gt;="&amp;A708,Verbrauch!$A$9:$A$18896,"&lt;"&amp;B708)</f>
        <v>0</v>
      </c>
      <c r="D708" s="22" t="n">
        <f aca="false">SUMIFS(Verbrauch!$C$9:$C$18896,Verbrauch!$A$9:$A$18896,"&gt;="&amp;A708,Verbrauch!$A$9:$A$18896,"&lt;"&amp;B708,Verbrauch!$F$9:$F$18896,"Go")</f>
        <v>0</v>
      </c>
      <c r="E708" s="22" t="n">
        <f aca="false">SUMIFS(Verbrauch!$C$9:$C$18896,Verbrauch!$A$9:$A$18896,"&gt;="&amp;A708,Verbrauch!$A$9:$A$18896,"&lt;"&amp;B708,Verbrauch!$F$9:$F$18896,"Standard")</f>
        <v>0</v>
      </c>
      <c r="F708" s="23" t="n">
        <f aca="false">SUMIFS(Verbrauch!$E$9:$E$18896,Verbrauch!$A$9:$A$18896,"&gt;="&amp;A708,Verbrauch!$A$9:$A$18896,"&lt;"&amp;B708)</f>
        <v>0</v>
      </c>
      <c r="G708" s="13" t="str">
        <f aca="false">IFERROR(F708/C708*100,"")</f>
        <v/>
      </c>
      <c r="H708" s="11" t="n">
        <f aca="false">COUNTIFS(Verbrauch!$A$9:$A$18896,"&gt;="&amp;A708,Verbrauch!$A$9:$A$18896,"&lt;"&amp;B708,Verbrauch!$C$9:$C$18896,"&lt;&gt;")</f>
        <v>0</v>
      </c>
    </row>
    <row r="709" customFormat="false" ht="15" hidden="false" customHeight="true" outlineLevel="0" collapsed="false">
      <c r="A709" s="10" t="n">
        <v>46670</v>
      </c>
      <c r="B709" s="10" t="n">
        <v>46671</v>
      </c>
      <c r="C709" s="22" t="n">
        <f aca="false">SUMIFS(Verbrauch!$C$9:$C$18896,Verbrauch!$A$9:$A$18896,"&gt;="&amp;A709,Verbrauch!$A$9:$A$18896,"&lt;"&amp;B709)</f>
        <v>0</v>
      </c>
      <c r="D709" s="22" t="n">
        <f aca="false">SUMIFS(Verbrauch!$C$9:$C$18896,Verbrauch!$A$9:$A$18896,"&gt;="&amp;A709,Verbrauch!$A$9:$A$18896,"&lt;"&amp;B709,Verbrauch!$F$9:$F$18896,"Go")</f>
        <v>0</v>
      </c>
      <c r="E709" s="22" t="n">
        <f aca="false">SUMIFS(Verbrauch!$C$9:$C$18896,Verbrauch!$A$9:$A$18896,"&gt;="&amp;A709,Verbrauch!$A$9:$A$18896,"&lt;"&amp;B709,Verbrauch!$F$9:$F$18896,"Standard")</f>
        <v>0</v>
      </c>
      <c r="F709" s="23" t="n">
        <f aca="false">SUMIFS(Verbrauch!$E$9:$E$18896,Verbrauch!$A$9:$A$18896,"&gt;="&amp;A709,Verbrauch!$A$9:$A$18896,"&lt;"&amp;B709)</f>
        <v>0</v>
      </c>
      <c r="G709" s="13" t="str">
        <f aca="false">IFERROR(F709/C709*100,"")</f>
        <v/>
      </c>
      <c r="H709" s="11" t="n">
        <f aca="false">COUNTIFS(Verbrauch!$A$9:$A$18896,"&gt;="&amp;A709,Verbrauch!$A$9:$A$18896,"&lt;"&amp;B709,Verbrauch!$C$9:$C$18896,"&lt;&gt;")</f>
        <v>0</v>
      </c>
    </row>
    <row r="710" customFormat="false" ht="15" hidden="false" customHeight="true" outlineLevel="0" collapsed="false">
      <c r="A710" s="10" t="n">
        <v>46671</v>
      </c>
      <c r="B710" s="10" t="n">
        <v>46672</v>
      </c>
      <c r="C710" s="22" t="n">
        <f aca="false">SUMIFS(Verbrauch!$C$9:$C$18896,Verbrauch!$A$9:$A$18896,"&gt;="&amp;A710,Verbrauch!$A$9:$A$18896,"&lt;"&amp;B710)</f>
        <v>0</v>
      </c>
      <c r="D710" s="22" t="n">
        <f aca="false">SUMIFS(Verbrauch!$C$9:$C$18896,Verbrauch!$A$9:$A$18896,"&gt;="&amp;A710,Verbrauch!$A$9:$A$18896,"&lt;"&amp;B710,Verbrauch!$F$9:$F$18896,"Go")</f>
        <v>0</v>
      </c>
      <c r="E710" s="22" t="n">
        <f aca="false">SUMIFS(Verbrauch!$C$9:$C$18896,Verbrauch!$A$9:$A$18896,"&gt;="&amp;A710,Verbrauch!$A$9:$A$18896,"&lt;"&amp;B710,Verbrauch!$F$9:$F$18896,"Standard")</f>
        <v>0</v>
      </c>
      <c r="F710" s="23" t="n">
        <f aca="false">SUMIFS(Verbrauch!$E$9:$E$18896,Verbrauch!$A$9:$A$18896,"&gt;="&amp;A710,Verbrauch!$A$9:$A$18896,"&lt;"&amp;B710)</f>
        <v>0</v>
      </c>
      <c r="G710" s="13" t="str">
        <f aca="false">IFERROR(F710/C710*100,"")</f>
        <v/>
      </c>
      <c r="H710" s="11" t="n">
        <f aca="false">COUNTIFS(Verbrauch!$A$9:$A$18896,"&gt;="&amp;A710,Verbrauch!$A$9:$A$18896,"&lt;"&amp;B710,Verbrauch!$C$9:$C$18896,"&lt;&gt;")</f>
        <v>0</v>
      </c>
    </row>
    <row r="711" customFormat="false" ht="15" hidden="false" customHeight="true" outlineLevel="0" collapsed="false">
      <c r="A711" s="10" t="n">
        <v>46672</v>
      </c>
      <c r="B711" s="10" t="n">
        <v>46673</v>
      </c>
      <c r="C711" s="22" t="n">
        <f aca="false">SUMIFS(Verbrauch!$C$9:$C$18896,Verbrauch!$A$9:$A$18896,"&gt;="&amp;A711,Verbrauch!$A$9:$A$18896,"&lt;"&amp;B711)</f>
        <v>0</v>
      </c>
      <c r="D711" s="22" t="n">
        <f aca="false">SUMIFS(Verbrauch!$C$9:$C$18896,Verbrauch!$A$9:$A$18896,"&gt;="&amp;A711,Verbrauch!$A$9:$A$18896,"&lt;"&amp;B711,Verbrauch!$F$9:$F$18896,"Go")</f>
        <v>0</v>
      </c>
      <c r="E711" s="22" t="n">
        <f aca="false">SUMIFS(Verbrauch!$C$9:$C$18896,Verbrauch!$A$9:$A$18896,"&gt;="&amp;A711,Verbrauch!$A$9:$A$18896,"&lt;"&amp;B711,Verbrauch!$F$9:$F$18896,"Standard")</f>
        <v>0</v>
      </c>
      <c r="F711" s="23" t="n">
        <f aca="false">SUMIFS(Verbrauch!$E$9:$E$18896,Verbrauch!$A$9:$A$18896,"&gt;="&amp;A711,Verbrauch!$A$9:$A$18896,"&lt;"&amp;B711)</f>
        <v>0</v>
      </c>
      <c r="G711" s="13" t="str">
        <f aca="false">IFERROR(F711/C711*100,"")</f>
        <v/>
      </c>
      <c r="H711" s="11" t="n">
        <f aca="false">COUNTIFS(Verbrauch!$A$9:$A$18896,"&gt;="&amp;A711,Verbrauch!$A$9:$A$18896,"&lt;"&amp;B711,Verbrauch!$C$9:$C$18896,"&lt;&gt;")</f>
        <v>0</v>
      </c>
    </row>
    <row r="712" customFormat="false" ht="15" hidden="false" customHeight="true" outlineLevel="0" collapsed="false">
      <c r="A712" s="10" t="n">
        <v>46673</v>
      </c>
      <c r="B712" s="10" t="n">
        <v>46674</v>
      </c>
      <c r="C712" s="22" t="n">
        <f aca="false">SUMIFS(Verbrauch!$C$9:$C$18896,Verbrauch!$A$9:$A$18896,"&gt;="&amp;A712,Verbrauch!$A$9:$A$18896,"&lt;"&amp;B712)</f>
        <v>0</v>
      </c>
      <c r="D712" s="22" t="n">
        <f aca="false">SUMIFS(Verbrauch!$C$9:$C$18896,Verbrauch!$A$9:$A$18896,"&gt;="&amp;A712,Verbrauch!$A$9:$A$18896,"&lt;"&amp;B712,Verbrauch!$F$9:$F$18896,"Go")</f>
        <v>0</v>
      </c>
      <c r="E712" s="22" t="n">
        <f aca="false">SUMIFS(Verbrauch!$C$9:$C$18896,Verbrauch!$A$9:$A$18896,"&gt;="&amp;A712,Verbrauch!$A$9:$A$18896,"&lt;"&amp;B712,Verbrauch!$F$9:$F$18896,"Standard")</f>
        <v>0</v>
      </c>
      <c r="F712" s="23" t="n">
        <f aca="false">SUMIFS(Verbrauch!$E$9:$E$18896,Verbrauch!$A$9:$A$18896,"&gt;="&amp;A712,Verbrauch!$A$9:$A$18896,"&lt;"&amp;B712)</f>
        <v>0</v>
      </c>
      <c r="G712" s="13" t="str">
        <f aca="false">IFERROR(F712/C712*100,"")</f>
        <v/>
      </c>
      <c r="H712" s="11" t="n">
        <f aca="false">COUNTIFS(Verbrauch!$A$9:$A$18896,"&gt;="&amp;A712,Verbrauch!$A$9:$A$18896,"&lt;"&amp;B712,Verbrauch!$C$9:$C$18896,"&lt;&gt;")</f>
        <v>0</v>
      </c>
    </row>
    <row r="713" customFormat="false" ht="15" hidden="false" customHeight="true" outlineLevel="0" collapsed="false">
      <c r="A713" s="10" t="n">
        <v>46674</v>
      </c>
      <c r="B713" s="10" t="n">
        <v>46675</v>
      </c>
      <c r="C713" s="22" t="n">
        <f aca="false">SUMIFS(Verbrauch!$C$9:$C$18896,Verbrauch!$A$9:$A$18896,"&gt;="&amp;A713,Verbrauch!$A$9:$A$18896,"&lt;"&amp;B713)</f>
        <v>0</v>
      </c>
      <c r="D713" s="22" t="n">
        <f aca="false">SUMIFS(Verbrauch!$C$9:$C$18896,Verbrauch!$A$9:$A$18896,"&gt;="&amp;A713,Verbrauch!$A$9:$A$18896,"&lt;"&amp;B713,Verbrauch!$F$9:$F$18896,"Go")</f>
        <v>0</v>
      </c>
      <c r="E713" s="22" t="n">
        <f aca="false">SUMIFS(Verbrauch!$C$9:$C$18896,Verbrauch!$A$9:$A$18896,"&gt;="&amp;A713,Verbrauch!$A$9:$A$18896,"&lt;"&amp;B713,Verbrauch!$F$9:$F$18896,"Standard")</f>
        <v>0</v>
      </c>
      <c r="F713" s="23" t="n">
        <f aca="false">SUMIFS(Verbrauch!$E$9:$E$18896,Verbrauch!$A$9:$A$18896,"&gt;="&amp;A713,Verbrauch!$A$9:$A$18896,"&lt;"&amp;B713)</f>
        <v>0</v>
      </c>
      <c r="G713" s="13" t="str">
        <f aca="false">IFERROR(F713/C713*100,"")</f>
        <v/>
      </c>
      <c r="H713" s="11" t="n">
        <f aca="false">COUNTIFS(Verbrauch!$A$9:$A$18896,"&gt;="&amp;A713,Verbrauch!$A$9:$A$18896,"&lt;"&amp;B713,Verbrauch!$C$9:$C$18896,"&lt;&gt;")</f>
        <v>0</v>
      </c>
    </row>
    <row r="714" customFormat="false" ht="15" hidden="false" customHeight="true" outlineLevel="0" collapsed="false">
      <c r="A714" s="10" t="n">
        <v>46675</v>
      </c>
      <c r="B714" s="10" t="n">
        <v>46676</v>
      </c>
      <c r="C714" s="22" t="n">
        <f aca="false">SUMIFS(Verbrauch!$C$9:$C$18896,Verbrauch!$A$9:$A$18896,"&gt;="&amp;A714,Verbrauch!$A$9:$A$18896,"&lt;"&amp;B714)</f>
        <v>0</v>
      </c>
      <c r="D714" s="22" t="n">
        <f aca="false">SUMIFS(Verbrauch!$C$9:$C$18896,Verbrauch!$A$9:$A$18896,"&gt;="&amp;A714,Verbrauch!$A$9:$A$18896,"&lt;"&amp;B714,Verbrauch!$F$9:$F$18896,"Go")</f>
        <v>0</v>
      </c>
      <c r="E714" s="22" t="n">
        <f aca="false">SUMIFS(Verbrauch!$C$9:$C$18896,Verbrauch!$A$9:$A$18896,"&gt;="&amp;A714,Verbrauch!$A$9:$A$18896,"&lt;"&amp;B714,Verbrauch!$F$9:$F$18896,"Standard")</f>
        <v>0</v>
      </c>
      <c r="F714" s="23" t="n">
        <f aca="false">SUMIFS(Verbrauch!$E$9:$E$18896,Verbrauch!$A$9:$A$18896,"&gt;="&amp;A714,Verbrauch!$A$9:$A$18896,"&lt;"&amp;B714)</f>
        <v>0</v>
      </c>
      <c r="G714" s="13" t="str">
        <f aca="false">IFERROR(F714/C714*100,"")</f>
        <v/>
      </c>
      <c r="H714" s="11" t="n">
        <f aca="false">COUNTIFS(Verbrauch!$A$9:$A$18896,"&gt;="&amp;A714,Verbrauch!$A$9:$A$18896,"&lt;"&amp;B714,Verbrauch!$C$9:$C$18896,"&lt;&gt;")</f>
        <v>0</v>
      </c>
    </row>
    <row r="715" customFormat="false" ht="15" hidden="false" customHeight="true" outlineLevel="0" collapsed="false">
      <c r="A715" s="10" t="n">
        <v>46676</v>
      </c>
      <c r="B715" s="10" t="n">
        <v>46677</v>
      </c>
      <c r="C715" s="22" t="n">
        <f aca="false">SUMIFS(Verbrauch!$C$9:$C$18896,Verbrauch!$A$9:$A$18896,"&gt;="&amp;A715,Verbrauch!$A$9:$A$18896,"&lt;"&amp;B715)</f>
        <v>0</v>
      </c>
      <c r="D715" s="22" t="n">
        <f aca="false">SUMIFS(Verbrauch!$C$9:$C$18896,Verbrauch!$A$9:$A$18896,"&gt;="&amp;A715,Verbrauch!$A$9:$A$18896,"&lt;"&amp;B715,Verbrauch!$F$9:$F$18896,"Go")</f>
        <v>0</v>
      </c>
      <c r="E715" s="22" t="n">
        <f aca="false">SUMIFS(Verbrauch!$C$9:$C$18896,Verbrauch!$A$9:$A$18896,"&gt;="&amp;A715,Verbrauch!$A$9:$A$18896,"&lt;"&amp;B715,Verbrauch!$F$9:$F$18896,"Standard")</f>
        <v>0</v>
      </c>
      <c r="F715" s="23" t="n">
        <f aca="false">SUMIFS(Verbrauch!$E$9:$E$18896,Verbrauch!$A$9:$A$18896,"&gt;="&amp;A715,Verbrauch!$A$9:$A$18896,"&lt;"&amp;B715)</f>
        <v>0</v>
      </c>
      <c r="G715" s="13" t="str">
        <f aca="false">IFERROR(F715/C715*100,"")</f>
        <v/>
      </c>
      <c r="H715" s="11" t="n">
        <f aca="false">COUNTIFS(Verbrauch!$A$9:$A$18896,"&gt;="&amp;A715,Verbrauch!$A$9:$A$18896,"&lt;"&amp;B715,Verbrauch!$C$9:$C$18896,"&lt;&gt;")</f>
        <v>0</v>
      </c>
    </row>
    <row r="716" customFormat="false" ht="15" hidden="false" customHeight="true" outlineLevel="0" collapsed="false">
      <c r="A716" s="10" t="n">
        <v>46677</v>
      </c>
      <c r="B716" s="10" t="n">
        <v>46678</v>
      </c>
      <c r="C716" s="22" t="n">
        <f aca="false">SUMIFS(Verbrauch!$C$9:$C$18896,Verbrauch!$A$9:$A$18896,"&gt;="&amp;A716,Verbrauch!$A$9:$A$18896,"&lt;"&amp;B716)</f>
        <v>0</v>
      </c>
      <c r="D716" s="22" t="n">
        <f aca="false">SUMIFS(Verbrauch!$C$9:$C$18896,Verbrauch!$A$9:$A$18896,"&gt;="&amp;A716,Verbrauch!$A$9:$A$18896,"&lt;"&amp;B716,Verbrauch!$F$9:$F$18896,"Go")</f>
        <v>0</v>
      </c>
      <c r="E716" s="22" t="n">
        <f aca="false">SUMIFS(Verbrauch!$C$9:$C$18896,Verbrauch!$A$9:$A$18896,"&gt;="&amp;A716,Verbrauch!$A$9:$A$18896,"&lt;"&amp;B716,Verbrauch!$F$9:$F$18896,"Standard")</f>
        <v>0</v>
      </c>
      <c r="F716" s="23" t="n">
        <f aca="false">SUMIFS(Verbrauch!$E$9:$E$18896,Verbrauch!$A$9:$A$18896,"&gt;="&amp;A716,Verbrauch!$A$9:$A$18896,"&lt;"&amp;B716)</f>
        <v>0</v>
      </c>
      <c r="G716" s="13" t="str">
        <f aca="false">IFERROR(F716/C716*100,"")</f>
        <v/>
      </c>
      <c r="H716" s="11" t="n">
        <f aca="false">COUNTIFS(Verbrauch!$A$9:$A$18896,"&gt;="&amp;A716,Verbrauch!$A$9:$A$18896,"&lt;"&amp;B716,Verbrauch!$C$9:$C$18896,"&lt;&gt;")</f>
        <v>0</v>
      </c>
    </row>
    <row r="717" customFormat="false" ht="15" hidden="false" customHeight="true" outlineLevel="0" collapsed="false">
      <c r="A717" s="10" t="n">
        <v>46678</v>
      </c>
      <c r="B717" s="10" t="n">
        <v>46679</v>
      </c>
      <c r="C717" s="22" t="n">
        <f aca="false">SUMIFS(Verbrauch!$C$9:$C$18896,Verbrauch!$A$9:$A$18896,"&gt;="&amp;A717,Verbrauch!$A$9:$A$18896,"&lt;"&amp;B717)</f>
        <v>0</v>
      </c>
      <c r="D717" s="22" t="n">
        <f aca="false">SUMIFS(Verbrauch!$C$9:$C$18896,Verbrauch!$A$9:$A$18896,"&gt;="&amp;A717,Verbrauch!$A$9:$A$18896,"&lt;"&amp;B717,Verbrauch!$F$9:$F$18896,"Go")</f>
        <v>0</v>
      </c>
      <c r="E717" s="22" t="n">
        <f aca="false">SUMIFS(Verbrauch!$C$9:$C$18896,Verbrauch!$A$9:$A$18896,"&gt;="&amp;A717,Verbrauch!$A$9:$A$18896,"&lt;"&amp;B717,Verbrauch!$F$9:$F$18896,"Standard")</f>
        <v>0</v>
      </c>
      <c r="F717" s="23" t="n">
        <f aca="false">SUMIFS(Verbrauch!$E$9:$E$18896,Verbrauch!$A$9:$A$18896,"&gt;="&amp;A717,Verbrauch!$A$9:$A$18896,"&lt;"&amp;B717)</f>
        <v>0</v>
      </c>
      <c r="G717" s="13" t="str">
        <f aca="false">IFERROR(F717/C717*100,"")</f>
        <v/>
      </c>
      <c r="H717" s="11" t="n">
        <f aca="false">COUNTIFS(Verbrauch!$A$9:$A$18896,"&gt;="&amp;A717,Verbrauch!$A$9:$A$18896,"&lt;"&amp;B717,Verbrauch!$C$9:$C$18896,"&lt;&gt;")</f>
        <v>0</v>
      </c>
    </row>
    <row r="718" customFormat="false" ht="15" hidden="false" customHeight="true" outlineLevel="0" collapsed="false">
      <c r="A718" s="10" t="n">
        <v>46679</v>
      </c>
      <c r="B718" s="10" t="n">
        <v>46680</v>
      </c>
      <c r="C718" s="22" t="n">
        <f aca="false">SUMIFS(Verbrauch!$C$9:$C$18896,Verbrauch!$A$9:$A$18896,"&gt;="&amp;A718,Verbrauch!$A$9:$A$18896,"&lt;"&amp;B718)</f>
        <v>0</v>
      </c>
      <c r="D718" s="22" t="n">
        <f aca="false">SUMIFS(Verbrauch!$C$9:$C$18896,Verbrauch!$A$9:$A$18896,"&gt;="&amp;A718,Verbrauch!$A$9:$A$18896,"&lt;"&amp;B718,Verbrauch!$F$9:$F$18896,"Go")</f>
        <v>0</v>
      </c>
      <c r="E718" s="22" t="n">
        <f aca="false">SUMIFS(Verbrauch!$C$9:$C$18896,Verbrauch!$A$9:$A$18896,"&gt;="&amp;A718,Verbrauch!$A$9:$A$18896,"&lt;"&amp;B718,Verbrauch!$F$9:$F$18896,"Standard")</f>
        <v>0</v>
      </c>
      <c r="F718" s="23" t="n">
        <f aca="false">SUMIFS(Verbrauch!$E$9:$E$18896,Verbrauch!$A$9:$A$18896,"&gt;="&amp;A718,Verbrauch!$A$9:$A$18896,"&lt;"&amp;B718)</f>
        <v>0</v>
      </c>
      <c r="G718" s="13" t="str">
        <f aca="false">IFERROR(F718/C718*100,"")</f>
        <v/>
      </c>
      <c r="H718" s="11" t="n">
        <f aca="false">COUNTIFS(Verbrauch!$A$9:$A$18896,"&gt;="&amp;A718,Verbrauch!$A$9:$A$18896,"&lt;"&amp;B718,Verbrauch!$C$9:$C$18896,"&lt;&gt;")</f>
        <v>0</v>
      </c>
    </row>
    <row r="719" customFormat="false" ht="15" hidden="false" customHeight="true" outlineLevel="0" collapsed="false">
      <c r="A719" s="10" t="n">
        <v>46680</v>
      </c>
      <c r="B719" s="10" t="n">
        <v>46681</v>
      </c>
      <c r="C719" s="22" t="n">
        <f aca="false">SUMIFS(Verbrauch!$C$9:$C$18896,Verbrauch!$A$9:$A$18896,"&gt;="&amp;A719,Verbrauch!$A$9:$A$18896,"&lt;"&amp;B719)</f>
        <v>0</v>
      </c>
      <c r="D719" s="22" t="n">
        <f aca="false">SUMIFS(Verbrauch!$C$9:$C$18896,Verbrauch!$A$9:$A$18896,"&gt;="&amp;A719,Verbrauch!$A$9:$A$18896,"&lt;"&amp;B719,Verbrauch!$F$9:$F$18896,"Go")</f>
        <v>0</v>
      </c>
      <c r="E719" s="22" t="n">
        <f aca="false">SUMIFS(Verbrauch!$C$9:$C$18896,Verbrauch!$A$9:$A$18896,"&gt;="&amp;A719,Verbrauch!$A$9:$A$18896,"&lt;"&amp;B719,Verbrauch!$F$9:$F$18896,"Standard")</f>
        <v>0</v>
      </c>
      <c r="F719" s="23" t="n">
        <f aca="false">SUMIFS(Verbrauch!$E$9:$E$18896,Verbrauch!$A$9:$A$18896,"&gt;="&amp;A719,Verbrauch!$A$9:$A$18896,"&lt;"&amp;B719)</f>
        <v>0</v>
      </c>
      <c r="G719" s="13" t="str">
        <f aca="false">IFERROR(F719/C719*100,"")</f>
        <v/>
      </c>
      <c r="H719" s="11" t="n">
        <f aca="false">COUNTIFS(Verbrauch!$A$9:$A$18896,"&gt;="&amp;A719,Verbrauch!$A$9:$A$18896,"&lt;"&amp;B719,Verbrauch!$C$9:$C$18896,"&lt;&gt;")</f>
        <v>0</v>
      </c>
    </row>
    <row r="720" customFormat="false" ht="15" hidden="false" customHeight="true" outlineLevel="0" collapsed="false">
      <c r="A720" s="10" t="n">
        <v>46681</v>
      </c>
      <c r="B720" s="10" t="n">
        <v>46682</v>
      </c>
      <c r="C720" s="22" t="n">
        <f aca="false">SUMIFS(Verbrauch!$C$9:$C$18896,Verbrauch!$A$9:$A$18896,"&gt;="&amp;A720,Verbrauch!$A$9:$A$18896,"&lt;"&amp;B720)</f>
        <v>0</v>
      </c>
      <c r="D720" s="22" t="n">
        <f aca="false">SUMIFS(Verbrauch!$C$9:$C$18896,Verbrauch!$A$9:$A$18896,"&gt;="&amp;A720,Verbrauch!$A$9:$A$18896,"&lt;"&amp;B720,Verbrauch!$F$9:$F$18896,"Go")</f>
        <v>0</v>
      </c>
      <c r="E720" s="22" t="n">
        <f aca="false">SUMIFS(Verbrauch!$C$9:$C$18896,Verbrauch!$A$9:$A$18896,"&gt;="&amp;A720,Verbrauch!$A$9:$A$18896,"&lt;"&amp;B720,Verbrauch!$F$9:$F$18896,"Standard")</f>
        <v>0</v>
      </c>
      <c r="F720" s="23" t="n">
        <f aca="false">SUMIFS(Verbrauch!$E$9:$E$18896,Verbrauch!$A$9:$A$18896,"&gt;="&amp;A720,Verbrauch!$A$9:$A$18896,"&lt;"&amp;B720)</f>
        <v>0</v>
      </c>
      <c r="G720" s="13" t="str">
        <f aca="false">IFERROR(F720/C720*100,"")</f>
        <v/>
      </c>
      <c r="H720" s="11" t="n">
        <f aca="false">COUNTIFS(Verbrauch!$A$9:$A$18896,"&gt;="&amp;A720,Verbrauch!$A$9:$A$18896,"&lt;"&amp;B720,Verbrauch!$C$9:$C$18896,"&lt;&gt;")</f>
        <v>0</v>
      </c>
    </row>
    <row r="721" customFormat="false" ht="15" hidden="false" customHeight="true" outlineLevel="0" collapsed="false">
      <c r="A721" s="10" t="n">
        <v>46682</v>
      </c>
      <c r="B721" s="10" t="n">
        <v>46683</v>
      </c>
      <c r="C721" s="22" t="n">
        <f aca="false">SUMIFS(Verbrauch!$C$9:$C$18896,Verbrauch!$A$9:$A$18896,"&gt;="&amp;A721,Verbrauch!$A$9:$A$18896,"&lt;"&amp;B721)</f>
        <v>0</v>
      </c>
      <c r="D721" s="22" t="n">
        <f aca="false">SUMIFS(Verbrauch!$C$9:$C$18896,Verbrauch!$A$9:$A$18896,"&gt;="&amp;A721,Verbrauch!$A$9:$A$18896,"&lt;"&amp;B721,Verbrauch!$F$9:$F$18896,"Go")</f>
        <v>0</v>
      </c>
      <c r="E721" s="22" t="n">
        <f aca="false">SUMIFS(Verbrauch!$C$9:$C$18896,Verbrauch!$A$9:$A$18896,"&gt;="&amp;A721,Verbrauch!$A$9:$A$18896,"&lt;"&amp;B721,Verbrauch!$F$9:$F$18896,"Standard")</f>
        <v>0</v>
      </c>
      <c r="F721" s="23" t="n">
        <f aca="false">SUMIFS(Verbrauch!$E$9:$E$18896,Verbrauch!$A$9:$A$18896,"&gt;="&amp;A721,Verbrauch!$A$9:$A$18896,"&lt;"&amp;B721)</f>
        <v>0</v>
      </c>
      <c r="G721" s="13" t="str">
        <f aca="false">IFERROR(F721/C721*100,"")</f>
        <v/>
      </c>
      <c r="H721" s="11" t="n">
        <f aca="false">COUNTIFS(Verbrauch!$A$9:$A$18896,"&gt;="&amp;A721,Verbrauch!$A$9:$A$18896,"&lt;"&amp;B721,Verbrauch!$C$9:$C$18896,"&lt;&gt;")</f>
        <v>0</v>
      </c>
    </row>
    <row r="722" customFormat="false" ht="15" hidden="false" customHeight="true" outlineLevel="0" collapsed="false">
      <c r="A722" s="10" t="n">
        <v>46683</v>
      </c>
      <c r="B722" s="10" t="n">
        <v>46684</v>
      </c>
      <c r="C722" s="22" t="n">
        <f aca="false">SUMIFS(Verbrauch!$C$9:$C$18896,Verbrauch!$A$9:$A$18896,"&gt;="&amp;A722,Verbrauch!$A$9:$A$18896,"&lt;"&amp;B722)</f>
        <v>0</v>
      </c>
      <c r="D722" s="22" t="n">
        <f aca="false">SUMIFS(Verbrauch!$C$9:$C$18896,Verbrauch!$A$9:$A$18896,"&gt;="&amp;A722,Verbrauch!$A$9:$A$18896,"&lt;"&amp;B722,Verbrauch!$F$9:$F$18896,"Go")</f>
        <v>0</v>
      </c>
      <c r="E722" s="22" t="n">
        <f aca="false">SUMIFS(Verbrauch!$C$9:$C$18896,Verbrauch!$A$9:$A$18896,"&gt;="&amp;A722,Verbrauch!$A$9:$A$18896,"&lt;"&amp;B722,Verbrauch!$F$9:$F$18896,"Standard")</f>
        <v>0</v>
      </c>
      <c r="F722" s="23" t="n">
        <f aca="false">SUMIFS(Verbrauch!$E$9:$E$18896,Verbrauch!$A$9:$A$18896,"&gt;="&amp;A722,Verbrauch!$A$9:$A$18896,"&lt;"&amp;B722)</f>
        <v>0</v>
      </c>
      <c r="G722" s="13" t="str">
        <f aca="false">IFERROR(F722/C722*100,"")</f>
        <v/>
      </c>
      <c r="H722" s="11" t="n">
        <f aca="false">COUNTIFS(Verbrauch!$A$9:$A$18896,"&gt;="&amp;A722,Verbrauch!$A$9:$A$18896,"&lt;"&amp;B722,Verbrauch!$C$9:$C$18896,"&lt;&gt;")</f>
        <v>0</v>
      </c>
    </row>
    <row r="723" customFormat="false" ht="15" hidden="false" customHeight="true" outlineLevel="0" collapsed="false">
      <c r="A723" s="10" t="n">
        <v>46684</v>
      </c>
      <c r="B723" s="10" t="n">
        <v>46685</v>
      </c>
      <c r="C723" s="22" t="n">
        <f aca="false">SUMIFS(Verbrauch!$C$9:$C$18896,Verbrauch!$A$9:$A$18896,"&gt;="&amp;A723,Verbrauch!$A$9:$A$18896,"&lt;"&amp;B723)</f>
        <v>0</v>
      </c>
      <c r="D723" s="22" t="n">
        <f aca="false">SUMIFS(Verbrauch!$C$9:$C$18896,Verbrauch!$A$9:$A$18896,"&gt;="&amp;A723,Verbrauch!$A$9:$A$18896,"&lt;"&amp;B723,Verbrauch!$F$9:$F$18896,"Go")</f>
        <v>0</v>
      </c>
      <c r="E723" s="22" t="n">
        <f aca="false">SUMIFS(Verbrauch!$C$9:$C$18896,Verbrauch!$A$9:$A$18896,"&gt;="&amp;A723,Verbrauch!$A$9:$A$18896,"&lt;"&amp;B723,Verbrauch!$F$9:$F$18896,"Standard")</f>
        <v>0</v>
      </c>
      <c r="F723" s="23" t="n">
        <f aca="false">SUMIFS(Verbrauch!$E$9:$E$18896,Verbrauch!$A$9:$A$18896,"&gt;="&amp;A723,Verbrauch!$A$9:$A$18896,"&lt;"&amp;B723)</f>
        <v>0</v>
      </c>
      <c r="G723" s="13" t="str">
        <f aca="false">IFERROR(F723/C723*100,"")</f>
        <v/>
      </c>
      <c r="H723" s="11" t="n">
        <f aca="false">COUNTIFS(Verbrauch!$A$9:$A$18896,"&gt;="&amp;A723,Verbrauch!$A$9:$A$18896,"&lt;"&amp;B723,Verbrauch!$C$9:$C$18896,"&lt;&gt;")</f>
        <v>0</v>
      </c>
    </row>
    <row r="724" customFormat="false" ht="15" hidden="false" customHeight="true" outlineLevel="0" collapsed="false">
      <c r="A724" s="10" t="n">
        <v>46685</v>
      </c>
      <c r="B724" s="10" t="n">
        <v>46686</v>
      </c>
      <c r="C724" s="22" t="n">
        <f aca="false">SUMIFS(Verbrauch!$C$9:$C$18896,Verbrauch!$A$9:$A$18896,"&gt;="&amp;A724,Verbrauch!$A$9:$A$18896,"&lt;"&amp;B724)</f>
        <v>0</v>
      </c>
      <c r="D724" s="22" t="n">
        <f aca="false">SUMIFS(Verbrauch!$C$9:$C$18896,Verbrauch!$A$9:$A$18896,"&gt;="&amp;A724,Verbrauch!$A$9:$A$18896,"&lt;"&amp;B724,Verbrauch!$F$9:$F$18896,"Go")</f>
        <v>0</v>
      </c>
      <c r="E724" s="22" t="n">
        <f aca="false">SUMIFS(Verbrauch!$C$9:$C$18896,Verbrauch!$A$9:$A$18896,"&gt;="&amp;A724,Verbrauch!$A$9:$A$18896,"&lt;"&amp;B724,Verbrauch!$F$9:$F$18896,"Standard")</f>
        <v>0</v>
      </c>
      <c r="F724" s="23" t="n">
        <f aca="false">SUMIFS(Verbrauch!$E$9:$E$18896,Verbrauch!$A$9:$A$18896,"&gt;="&amp;A724,Verbrauch!$A$9:$A$18896,"&lt;"&amp;B724)</f>
        <v>0</v>
      </c>
      <c r="G724" s="13" t="str">
        <f aca="false">IFERROR(F724/C724*100,"")</f>
        <v/>
      </c>
      <c r="H724" s="11" t="n">
        <f aca="false">COUNTIFS(Verbrauch!$A$9:$A$18896,"&gt;="&amp;A724,Verbrauch!$A$9:$A$18896,"&lt;"&amp;B724,Verbrauch!$C$9:$C$18896,"&lt;&gt;")</f>
        <v>0</v>
      </c>
    </row>
    <row r="725" customFormat="false" ht="15" hidden="false" customHeight="true" outlineLevel="0" collapsed="false">
      <c r="A725" s="10" t="n">
        <v>46686</v>
      </c>
      <c r="B725" s="10" t="n">
        <v>46687</v>
      </c>
      <c r="C725" s="22" t="n">
        <f aca="false">SUMIFS(Verbrauch!$C$9:$C$18896,Verbrauch!$A$9:$A$18896,"&gt;="&amp;A725,Verbrauch!$A$9:$A$18896,"&lt;"&amp;B725)</f>
        <v>0</v>
      </c>
      <c r="D725" s="22" t="n">
        <f aca="false">SUMIFS(Verbrauch!$C$9:$C$18896,Verbrauch!$A$9:$A$18896,"&gt;="&amp;A725,Verbrauch!$A$9:$A$18896,"&lt;"&amp;B725,Verbrauch!$F$9:$F$18896,"Go")</f>
        <v>0</v>
      </c>
      <c r="E725" s="22" t="n">
        <f aca="false">SUMIFS(Verbrauch!$C$9:$C$18896,Verbrauch!$A$9:$A$18896,"&gt;="&amp;A725,Verbrauch!$A$9:$A$18896,"&lt;"&amp;B725,Verbrauch!$F$9:$F$18896,"Standard")</f>
        <v>0</v>
      </c>
      <c r="F725" s="23" t="n">
        <f aca="false">SUMIFS(Verbrauch!$E$9:$E$18896,Verbrauch!$A$9:$A$18896,"&gt;="&amp;A725,Verbrauch!$A$9:$A$18896,"&lt;"&amp;B725)</f>
        <v>0</v>
      </c>
      <c r="G725" s="13" t="str">
        <f aca="false">IFERROR(F725/C725*100,"")</f>
        <v/>
      </c>
      <c r="H725" s="11" t="n">
        <f aca="false">COUNTIFS(Verbrauch!$A$9:$A$18896,"&gt;="&amp;A725,Verbrauch!$A$9:$A$18896,"&lt;"&amp;B725,Verbrauch!$C$9:$C$18896,"&lt;&gt;")</f>
        <v>0</v>
      </c>
    </row>
    <row r="726" customFormat="false" ht="15" hidden="false" customHeight="true" outlineLevel="0" collapsed="false">
      <c r="A726" s="10" t="n">
        <v>46687</v>
      </c>
      <c r="B726" s="10" t="n">
        <v>46688</v>
      </c>
      <c r="C726" s="22" t="n">
        <f aca="false">SUMIFS(Verbrauch!$C$9:$C$18896,Verbrauch!$A$9:$A$18896,"&gt;="&amp;A726,Verbrauch!$A$9:$A$18896,"&lt;"&amp;B726)</f>
        <v>0</v>
      </c>
      <c r="D726" s="22" t="n">
        <f aca="false">SUMIFS(Verbrauch!$C$9:$C$18896,Verbrauch!$A$9:$A$18896,"&gt;="&amp;A726,Verbrauch!$A$9:$A$18896,"&lt;"&amp;B726,Verbrauch!$F$9:$F$18896,"Go")</f>
        <v>0</v>
      </c>
      <c r="E726" s="22" t="n">
        <f aca="false">SUMIFS(Verbrauch!$C$9:$C$18896,Verbrauch!$A$9:$A$18896,"&gt;="&amp;A726,Verbrauch!$A$9:$A$18896,"&lt;"&amp;B726,Verbrauch!$F$9:$F$18896,"Standard")</f>
        <v>0</v>
      </c>
      <c r="F726" s="23" t="n">
        <f aca="false">SUMIFS(Verbrauch!$E$9:$E$18896,Verbrauch!$A$9:$A$18896,"&gt;="&amp;A726,Verbrauch!$A$9:$A$18896,"&lt;"&amp;B726)</f>
        <v>0</v>
      </c>
      <c r="G726" s="13" t="str">
        <f aca="false">IFERROR(F726/C726*100,"")</f>
        <v/>
      </c>
      <c r="H726" s="11" t="n">
        <f aca="false">COUNTIFS(Verbrauch!$A$9:$A$18896,"&gt;="&amp;A726,Verbrauch!$A$9:$A$18896,"&lt;"&amp;B726,Verbrauch!$C$9:$C$18896,"&lt;&gt;")</f>
        <v>0</v>
      </c>
    </row>
    <row r="727" customFormat="false" ht="15" hidden="false" customHeight="true" outlineLevel="0" collapsed="false">
      <c r="A727" s="10" t="n">
        <v>46688</v>
      </c>
      <c r="B727" s="10" t="n">
        <v>46689</v>
      </c>
      <c r="C727" s="22" t="n">
        <f aca="false">SUMIFS(Verbrauch!$C$9:$C$18896,Verbrauch!$A$9:$A$18896,"&gt;="&amp;A727,Verbrauch!$A$9:$A$18896,"&lt;"&amp;B727)</f>
        <v>0</v>
      </c>
      <c r="D727" s="22" t="n">
        <f aca="false">SUMIFS(Verbrauch!$C$9:$C$18896,Verbrauch!$A$9:$A$18896,"&gt;="&amp;A727,Verbrauch!$A$9:$A$18896,"&lt;"&amp;B727,Verbrauch!$F$9:$F$18896,"Go")</f>
        <v>0</v>
      </c>
      <c r="E727" s="22" t="n">
        <f aca="false">SUMIFS(Verbrauch!$C$9:$C$18896,Verbrauch!$A$9:$A$18896,"&gt;="&amp;A727,Verbrauch!$A$9:$A$18896,"&lt;"&amp;B727,Verbrauch!$F$9:$F$18896,"Standard")</f>
        <v>0</v>
      </c>
      <c r="F727" s="23" t="n">
        <f aca="false">SUMIFS(Verbrauch!$E$9:$E$18896,Verbrauch!$A$9:$A$18896,"&gt;="&amp;A727,Verbrauch!$A$9:$A$18896,"&lt;"&amp;B727)</f>
        <v>0</v>
      </c>
      <c r="G727" s="13" t="str">
        <f aca="false">IFERROR(F727/C727*100,"")</f>
        <v/>
      </c>
      <c r="H727" s="11" t="n">
        <f aca="false">COUNTIFS(Verbrauch!$A$9:$A$18896,"&gt;="&amp;A727,Verbrauch!$A$9:$A$18896,"&lt;"&amp;B727,Verbrauch!$C$9:$C$18896,"&lt;&gt;")</f>
        <v>0</v>
      </c>
    </row>
    <row r="728" customFormat="false" ht="15" hidden="false" customHeight="true" outlineLevel="0" collapsed="false">
      <c r="A728" s="10" t="n">
        <v>46689</v>
      </c>
      <c r="B728" s="10" t="n">
        <v>46690</v>
      </c>
      <c r="C728" s="22" t="n">
        <f aca="false">SUMIFS(Verbrauch!$C$9:$C$18896,Verbrauch!$A$9:$A$18896,"&gt;="&amp;A728,Verbrauch!$A$9:$A$18896,"&lt;"&amp;B728)</f>
        <v>0</v>
      </c>
      <c r="D728" s="22" t="n">
        <f aca="false">SUMIFS(Verbrauch!$C$9:$C$18896,Verbrauch!$A$9:$A$18896,"&gt;="&amp;A728,Verbrauch!$A$9:$A$18896,"&lt;"&amp;B728,Verbrauch!$F$9:$F$18896,"Go")</f>
        <v>0</v>
      </c>
      <c r="E728" s="22" t="n">
        <f aca="false">SUMIFS(Verbrauch!$C$9:$C$18896,Verbrauch!$A$9:$A$18896,"&gt;="&amp;A728,Verbrauch!$A$9:$A$18896,"&lt;"&amp;B728,Verbrauch!$F$9:$F$18896,"Standard")</f>
        <v>0</v>
      </c>
      <c r="F728" s="23" t="n">
        <f aca="false">SUMIFS(Verbrauch!$E$9:$E$18896,Verbrauch!$A$9:$A$18896,"&gt;="&amp;A728,Verbrauch!$A$9:$A$18896,"&lt;"&amp;B728)</f>
        <v>0</v>
      </c>
      <c r="G728" s="13" t="str">
        <f aca="false">IFERROR(F728/C728*100,"")</f>
        <v/>
      </c>
      <c r="H728" s="11" t="n">
        <f aca="false">COUNTIFS(Verbrauch!$A$9:$A$18896,"&gt;="&amp;A728,Verbrauch!$A$9:$A$18896,"&lt;"&amp;B728,Verbrauch!$C$9:$C$18896,"&lt;&gt;")</f>
        <v>0</v>
      </c>
    </row>
    <row r="729" customFormat="false" ht="15" hidden="false" customHeight="true" outlineLevel="0" collapsed="false">
      <c r="A729" s="10" t="n">
        <v>46690</v>
      </c>
      <c r="B729" s="10" t="n">
        <v>46691</v>
      </c>
      <c r="C729" s="22" t="n">
        <f aca="false">SUMIFS(Verbrauch!$C$9:$C$18896,Verbrauch!$A$9:$A$18896,"&gt;="&amp;A729,Verbrauch!$A$9:$A$18896,"&lt;"&amp;B729)</f>
        <v>0</v>
      </c>
      <c r="D729" s="22" t="n">
        <f aca="false">SUMIFS(Verbrauch!$C$9:$C$18896,Verbrauch!$A$9:$A$18896,"&gt;="&amp;A729,Verbrauch!$A$9:$A$18896,"&lt;"&amp;B729,Verbrauch!$F$9:$F$18896,"Go")</f>
        <v>0</v>
      </c>
      <c r="E729" s="22" t="n">
        <f aca="false">SUMIFS(Verbrauch!$C$9:$C$18896,Verbrauch!$A$9:$A$18896,"&gt;="&amp;A729,Verbrauch!$A$9:$A$18896,"&lt;"&amp;B729,Verbrauch!$F$9:$F$18896,"Standard")</f>
        <v>0</v>
      </c>
      <c r="F729" s="23" t="n">
        <f aca="false">SUMIFS(Verbrauch!$E$9:$E$18896,Verbrauch!$A$9:$A$18896,"&gt;="&amp;A729,Verbrauch!$A$9:$A$18896,"&lt;"&amp;B729)</f>
        <v>0</v>
      </c>
      <c r="G729" s="13" t="str">
        <f aca="false">IFERROR(F729/C729*100,"")</f>
        <v/>
      </c>
      <c r="H729" s="11" t="n">
        <f aca="false">COUNTIFS(Verbrauch!$A$9:$A$18896,"&gt;="&amp;A729,Verbrauch!$A$9:$A$18896,"&lt;"&amp;B729,Verbrauch!$C$9:$C$18896,"&lt;&gt;")</f>
        <v>0</v>
      </c>
    </row>
    <row r="730" customFormat="false" ht="15" hidden="false" customHeight="true" outlineLevel="0" collapsed="false">
      <c r="A730" s="10" t="n">
        <v>46691</v>
      </c>
      <c r="B730" s="10" t="n">
        <v>46692</v>
      </c>
      <c r="C730" s="22" t="n">
        <f aca="false">SUMIFS(Verbrauch!$C$9:$C$18896,Verbrauch!$A$9:$A$18896,"&gt;="&amp;A730,Verbrauch!$A$9:$A$18896,"&lt;"&amp;B730)</f>
        <v>0</v>
      </c>
      <c r="D730" s="22" t="n">
        <f aca="false">SUMIFS(Verbrauch!$C$9:$C$18896,Verbrauch!$A$9:$A$18896,"&gt;="&amp;A730,Verbrauch!$A$9:$A$18896,"&lt;"&amp;B730,Verbrauch!$F$9:$F$18896,"Go")</f>
        <v>0</v>
      </c>
      <c r="E730" s="22" t="n">
        <f aca="false">SUMIFS(Verbrauch!$C$9:$C$18896,Verbrauch!$A$9:$A$18896,"&gt;="&amp;A730,Verbrauch!$A$9:$A$18896,"&lt;"&amp;B730,Verbrauch!$F$9:$F$18896,"Standard")</f>
        <v>0</v>
      </c>
      <c r="F730" s="23" t="n">
        <f aca="false">SUMIFS(Verbrauch!$E$9:$E$18896,Verbrauch!$A$9:$A$18896,"&gt;="&amp;A730,Verbrauch!$A$9:$A$18896,"&lt;"&amp;B730)</f>
        <v>0</v>
      </c>
      <c r="G730" s="13" t="str">
        <f aca="false">IFERROR(F730/C730*100,"")</f>
        <v/>
      </c>
      <c r="H730" s="11" t="n">
        <f aca="false">COUNTIFS(Verbrauch!$A$9:$A$18896,"&gt;="&amp;A730,Verbrauch!$A$9:$A$18896,"&lt;"&amp;B730,Verbrauch!$C$9:$C$18896,"&lt;&gt;")</f>
        <v>0</v>
      </c>
    </row>
    <row r="731" customFormat="false" ht="15" hidden="false" customHeight="true" outlineLevel="0" collapsed="false">
      <c r="A731" s="10" t="n">
        <v>46692</v>
      </c>
      <c r="B731" s="10" t="n">
        <v>46693</v>
      </c>
      <c r="C731" s="22" t="n">
        <f aca="false">SUMIFS(Verbrauch!$C$9:$C$18896,Verbrauch!$A$9:$A$18896,"&gt;="&amp;A731,Verbrauch!$A$9:$A$18896,"&lt;"&amp;B731)</f>
        <v>0</v>
      </c>
      <c r="D731" s="22" t="n">
        <f aca="false">SUMIFS(Verbrauch!$C$9:$C$18896,Verbrauch!$A$9:$A$18896,"&gt;="&amp;A731,Verbrauch!$A$9:$A$18896,"&lt;"&amp;B731,Verbrauch!$F$9:$F$18896,"Go")</f>
        <v>0</v>
      </c>
      <c r="E731" s="22" t="n">
        <f aca="false">SUMIFS(Verbrauch!$C$9:$C$18896,Verbrauch!$A$9:$A$18896,"&gt;="&amp;A731,Verbrauch!$A$9:$A$18896,"&lt;"&amp;B731,Verbrauch!$F$9:$F$18896,"Standard")</f>
        <v>0</v>
      </c>
      <c r="F731" s="23" t="n">
        <f aca="false">SUMIFS(Verbrauch!$E$9:$E$18896,Verbrauch!$A$9:$A$18896,"&gt;="&amp;A731,Verbrauch!$A$9:$A$18896,"&lt;"&amp;B731)</f>
        <v>0</v>
      </c>
      <c r="G731" s="13" t="str">
        <f aca="false">IFERROR(F731/C731*100,"")</f>
        <v/>
      </c>
      <c r="H731" s="11" t="n">
        <f aca="false">COUNTIFS(Verbrauch!$A$9:$A$18896,"&gt;="&amp;A731,Verbrauch!$A$9:$A$18896,"&lt;"&amp;B731,Verbrauch!$C$9:$C$18896,"&lt;&gt;")</f>
        <v>0</v>
      </c>
    </row>
    <row r="732" customFormat="false" ht="15" hidden="false" customHeight="true" outlineLevel="0" collapsed="false">
      <c r="A732" s="10" t="n">
        <v>46693</v>
      </c>
      <c r="B732" s="10" t="n">
        <v>46694</v>
      </c>
      <c r="C732" s="22" t="n">
        <f aca="false">SUMIFS(Verbrauch!$C$9:$C$18896,Verbrauch!$A$9:$A$18896,"&gt;="&amp;A732,Verbrauch!$A$9:$A$18896,"&lt;"&amp;B732)</f>
        <v>0</v>
      </c>
      <c r="D732" s="22" t="n">
        <f aca="false">SUMIFS(Verbrauch!$C$9:$C$18896,Verbrauch!$A$9:$A$18896,"&gt;="&amp;A732,Verbrauch!$A$9:$A$18896,"&lt;"&amp;B732,Verbrauch!$F$9:$F$18896,"Go")</f>
        <v>0</v>
      </c>
      <c r="E732" s="22" t="n">
        <f aca="false">SUMIFS(Verbrauch!$C$9:$C$18896,Verbrauch!$A$9:$A$18896,"&gt;="&amp;A732,Verbrauch!$A$9:$A$18896,"&lt;"&amp;B732,Verbrauch!$F$9:$F$18896,"Standard")</f>
        <v>0</v>
      </c>
      <c r="F732" s="23" t="n">
        <f aca="false">SUMIFS(Verbrauch!$E$9:$E$18896,Verbrauch!$A$9:$A$18896,"&gt;="&amp;A732,Verbrauch!$A$9:$A$18896,"&lt;"&amp;B732)</f>
        <v>0</v>
      </c>
      <c r="G732" s="13" t="str">
        <f aca="false">IFERROR(F732/C732*100,"")</f>
        <v/>
      </c>
      <c r="H732" s="11" t="n">
        <f aca="false">COUNTIFS(Verbrauch!$A$9:$A$18896,"&gt;="&amp;A732,Verbrauch!$A$9:$A$18896,"&lt;"&amp;B732,Verbrauch!$C$9:$C$18896,"&lt;&gt;")</f>
        <v>0</v>
      </c>
    </row>
    <row r="733" customFormat="false" ht="15" hidden="false" customHeight="true" outlineLevel="0" collapsed="false">
      <c r="A733" s="10" t="n">
        <v>46694</v>
      </c>
      <c r="B733" s="10" t="n">
        <v>46695</v>
      </c>
      <c r="C733" s="22" t="n">
        <f aca="false">SUMIFS(Verbrauch!$C$9:$C$18896,Verbrauch!$A$9:$A$18896,"&gt;="&amp;A733,Verbrauch!$A$9:$A$18896,"&lt;"&amp;B733)</f>
        <v>0</v>
      </c>
      <c r="D733" s="22" t="n">
        <f aca="false">SUMIFS(Verbrauch!$C$9:$C$18896,Verbrauch!$A$9:$A$18896,"&gt;="&amp;A733,Verbrauch!$A$9:$A$18896,"&lt;"&amp;B733,Verbrauch!$F$9:$F$18896,"Go")</f>
        <v>0</v>
      </c>
      <c r="E733" s="22" t="n">
        <f aca="false">SUMIFS(Verbrauch!$C$9:$C$18896,Verbrauch!$A$9:$A$18896,"&gt;="&amp;A733,Verbrauch!$A$9:$A$18896,"&lt;"&amp;B733,Verbrauch!$F$9:$F$18896,"Standard")</f>
        <v>0</v>
      </c>
      <c r="F733" s="23" t="n">
        <f aca="false">SUMIFS(Verbrauch!$E$9:$E$18896,Verbrauch!$A$9:$A$18896,"&gt;="&amp;A733,Verbrauch!$A$9:$A$18896,"&lt;"&amp;B733)</f>
        <v>0</v>
      </c>
      <c r="G733" s="13" t="str">
        <f aca="false">IFERROR(F733/C733*100,"")</f>
        <v/>
      </c>
      <c r="H733" s="11" t="n">
        <f aca="false">COUNTIFS(Verbrauch!$A$9:$A$18896,"&gt;="&amp;A733,Verbrauch!$A$9:$A$18896,"&lt;"&amp;B733,Verbrauch!$C$9:$C$18896,"&lt;&gt;")</f>
        <v>0</v>
      </c>
    </row>
    <row r="734" customFormat="false" ht="15" hidden="false" customHeight="true" outlineLevel="0" collapsed="false">
      <c r="A734" s="10" t="n">
        <v>46695</v>
      </c>
      <c r="B734" s="10" t="n">
        <v>46696</v>
      </c>
      <c r="C734" s="22" t="n">
        <f aca="false">SUMIFS(Verbrauch!$C$9:$C$18896,Verbrauch!$A$9:$A$18896,"&gt;="&amp;A734,Verbrauch!$A$9:$A$18896,"&lt;"&amp;B734)</f>
        <v>0</v>
      </c>
      <c r="D734" s="22" t="n">
        <f aca="false">SUMIFS(Verbrauch!$C$9:$C$18896,Verbrauch!$A$9:$A$18896,"&gt;="&amp;A734,Verbrauch!$A$9:$A$18896,"&lt;"&amp;B734,Verbrauch!$F$9:$F$18896,"Go")</f>
        <v>0</v>
      </c>
      <c r="E734" s="22" t="n">
        <f aca="false">SUMIFS(Verbrauch!$C$9:$C$18896,Verbrauch!$A$9:$A$18896,"&gt;="&amp;A734,Verbrauch!$A$9:$A$18896,"&lt;"&amp;B734,Verbrauch!$F$9:$F$18896,"Standard")</f>
        <v>0</v>
      </c>
      <c r="F734" s="23" t="n">
        <f aca="false">SUMIFS(Verbrauch!$E$9:$E$18896,Verbrauch!$A$9:$A$18896,"&gt;="&amp;A734,Verbrauch!$A$9:$A$18896,"&lt;"&amp;B734)</f>
        <v>0</v>
      </c>
      <c r="G734" s="13" t="str">
        <f aca="false">IFERROR(F734/C734*100,"")</f>
        <v/>
      </c>
      <c r="H734" s="11" t="n">
        <f aca="false">COUNTIFS(Verbrauch!$A$9:$A$18896,"&gt;="&amp;A734,Verbrauch!$A$9:$A$18896,"&lt;"&amp;B734,Verbrauch!$C$9:$C$18896,"&lt;&gt;")</f>
        <v>0</v>
      </c>
    </row>
    <row r="735" customFormat="false" ht="15" hidden="false" customHeight="true" outlineLevel="0" collapsed="false">
      <c r="A735" s="10" t="n">
        <v>46696</v>
      </c>
      <c r="B735" s="10" t="n">
        <v>46697</v>
      </c>
      <c r="C735" s="22" t="n">
        <f aca="false">SUMIFS(Verbrauch!$C$9:$C$18896,Verbrauch!$A$9:$A$18896,"&gt;="&amp;A735,Verbrauch!$A$9:$A$18896,"&lt;"&amp;B735)</f>
        <v>0</v>
      </c>
      <c r="D735" s="22" t="n">
        <f aca="false">SUMIFS(Verbrauch!$C$9:$C$18896,Verbrauch!$A$9:$A$18896,"&gt;="&amp;A735,Verbrauch!$A$9:$A$18896,"&lt;"&amp;B735,Verbrauch!$F$9:$F$18896,"Go")</f>
        <v>0</v>
      </c>
      <c r="E735" s="22" t="n">
        <f aca="false">SUMIFS(Verbrauch!$C$9:$C$18896,Verbrauch!$A$9:$A$18896,"&gt;="&amp;A735,Verbrauch!$A$9:$A$18896,"&lt;"&amp;B735,Verbrauch!$F$9:$F$18896,"Standard")</f>
        <v>0</v>
      </c>
      <c r="F735" s="23" t="n">
        <f aca="false">SUMIFS(Verbrauch!$E$9:$E$18896,Verbrauch!$A$9:$A$18896,"&gt;="&amp;A735,Verbrauch!$A$9:$A$18896,"&lt;"&amp;B735)</f>
        <v>0</v>
      </c>
      <c r="G735" s="13" t="str">
        <f aca="false">IFERROR(F735/C735*100,"")</f>
        <v/>
      </c>
      <c r="H735" s="11" t="n">
        <f aca="false">COUNTIFS(Verbrauch!$A$9:$A$18896,"&gt;="&amp;A735,Verbrauch!$A$9:$A$18896,"&lt;"&amp;B735,Verbrauch!$C$9:$C$18896,"&lt;&gt;")</f>
        <v>0</v>
      </c>
    </row>
    <row r="736" customFormat="false" ht="15" hidden="false" customHeight="true" outlineLevel="0" collapsed="false">
      <c r="A736" s="10" t="n">
        <v>46697</v>
      </c>
      <c r="B736" s="10" t="n">
        <v>46698</v>
      </c>
      <c r="C736" s="22" t="n">
        <f aca="false">SUMIFS(Verbrauch!$C$9:$C$18896,Verbrauch!$A$9:$A$18896,"&gt;="&amp;A736,Verbrauch!$A$9:$A$18896,"&lt;"&amp;B736)</f>
        <v>0</v>
      </c>
      <c r="D736" s="22" t="n">
        <f aca="false">SUMIFS(Verbrauch!$C$9:$C$18896,Verbrauch!$A$9:$A$18896,"&gt;="&amp;A736,Verbrauch!$A$9:$A$18896,"&lt;"&amp;B736,Verbrauch!$F$9:$F$18896,"Go")</f>
        <v>0</v>
      </c>
      <c r="E736" s="22" t="n">
        <f aca="false">SUMIFS(Verbrauch!$C$9:$C$18896,Verbrauch!$A$9:$A$18896,"&gt;="&amp;A736,Verbrauch!$A$9:$A$18896,"&lt;"&amp;B736,Verbrauch!$F$9:$F$18896,"Standard")</f>
        <v>0</v>
      </c>
      <c r="F736" s="23" t="n">
        <f aca="false">SUMIFS(Verbrauch!$E$9:$E$18896,Verbrauch!$A$9:$A$18896,"&gt;="&amp;A736,Verbrauch!$A$9:$A$18896,"&lt;"&amp;B736)</f>
        <v>0</v>
      </c>
      <c r="G736" s="13" t="str">
        <f aca="false">IFERROR(F736/C736*100,"")</f>
        <v/>
      </c>
      <c r="H736" s="11" t="n">
        <f aca="false">COUNTIFS(Verbrauch!$A$9:$A$18896,"&gt;="&amp;A736,Verbrauch!$A$9:$A$18896,"&lt;"&amp;B736,Verbrauch!$C$9:$C$18896,"&lt;&gt;")</f>
        <v>0</v>
      </c>
    </row>
    <row r="737" customFormat="false" ht="15" hidden="false" customHeight="true" outlineLevel="0" collapsed="false">
      <c r="A737" s="10" t="n">
        <v>46698</v>
      </c>
      <c r="B737" s="10" t="n">
        <v>46699</v>
      </c>
      <c r="C737" s="22" t="n">
        <f aca="false">SUMIFS(Verbrauch!$C$9:$C$18896,Verbrauch!$A$9:$A$18896,"&gt;="&amp;A737,Verbrauch!$A$9:$A$18896,"&lt;"&amp;B737)</f>
        <v>0</v>
      </c>
      <c r="D737" s="22" t="n">
        <f aca="false">SUMIFS(Verbrauch!$C$9:$C$18896,Verbrauch!$A$9:$A$18896,"&gt;="&amp;A737,Verbrauch!$A$9:$A$18896,"&lt;"&amp;B737,Verbrauch!$F$9:$F$18896,"Go")</f>
        <v>0</v>
      </c>
      <c r="E737" s="22" t="n">
        <f aca="false">SUMIFS(Verbrauch!$C$9:$C$18896,Verbrauch!$A$9:$A$18896,"&gt;="&amp;A737,Verbrauch!$A$9:$A$18896,"&lt;"&amp;B737,Verbrauch!$F$9:$F$18896,"Standard")</f>
        <v>0</v>
      </c>
      <c r="F737" s="23" t="n">
        <f aca="false">SUMIFS(Verbrauch!$E$9:$E$18896,Verbrauch!$A$9:$A$18896,"&gt;="&amp;A737,Verbrauch!$A$9:$A$18896,"&lt;"&amp;B737)</f>
        <v>0</v>
      </c>
      <c r="G737" s="13" t="str">
        <f aca="false">IFERROR(F737/C737*100,"")</f>
        <v/>
      </c>
      <c r="H737" s="11" t="n">
        <f aca="false">COUNTIFS(Verbrauch!$A$9:$A$18896,"&gt;="&amp;A737,Verbrauch!$A$9:$A$18896,"&lt;"&amp;B737,Verbrauch!$C$9:$C$18896,"&lt;&gt;")</f>
        <v>0</v>
      </c>
    </row>
    <row r="738" customFormat="false" ht="15" hidden="false" customHeight="true" outlineLevel="0" collapsed="false">
      <c r="A738" s="10" t="n">
        <v>46699</v>
      </c>
      <c r="B738" s="10" t="n">
        <v>46700</v>
      </c>
      <c r="C738" s="22" t="n">
        <f aca="false">SUMIFS(Verbrauch!$C$9:$C$18896,Verbrauch!$A$9:$A$18896,"&gt;="&amp;A738,Verbrauch!$A$9:$A$18896,"&lt;"&amp;B738)</f>
        <v>0</v>
      </c>
      <c r="D738" s="22" t="n">
        <f aca="false">SUMIFS(Verbrauch!$C$9:$C$18896,Verbrauch!$A$9:$A$18896,"&gt;="&amp;A738,Verbrauch!$A$9:$A$18896,"&lt;"&amp;B738,Verbrauch!$F$9:$F$18896,"Go")</f>
        <v>0</v>
      </c>
      <c r="E738" s="22" t="n">
        <f aca="false">SUMIFS(Verbrauch!$C$9:$C$18896,Verbrauch!$A$9:$A$18896,"&gt;="&amp;A738,Verbrauch!$A$9:$A$18896,"&lt;"&amp;B738,Verbrauch!$F$9:$F$18896,"Standard")</f>
        <v>0</v>
      </c>
      <c r="F738" s="23" t="n">
        <f aca="false">SUMIFS(Verbrauch!$E$9:$E$18896,Verbrauch!$A$9:$A$18896,"&gt;="&amp;A738,Verbrauch!$A$9:$A$18896,"&lt;"&amp;B738)</f>
        <v>0</v>
      </c>
      <c r="G738" s="13" t="str">
        <f aca="false">IFERROR(F738/C738*100,"")</f>
        <v/>
      </c>
      <c r="H738" s="11" t="n">
        <f aca="false">COUNTIFS(Verbrauch!$A$9:$A$18896,"&gt;="&amp;A738,Verbrauch!$A$9:$A$18896,"&lt;"&amp;B738,Verbrauch!$C$9:$C$18896,"&lt;&gt;")</f>
        <v>0</v>
      </c>
    </row>
    <row r="739" customFormat="false" ht="15" hidden="false" customHeight="true" outlineLevel="0" collapsed="false">
      <c r="A739" s="10" t="n">
        <v>46700</v>
      </c>
      <c r="B739" s="10" t="n">
        <v>46701</v>
      </c>
      <c r="C739" s="22" t="n">
        <f aca="false">SUMIFS(Verbrauch!$C$9:$C$18896,Verbrauch!$A$9:$A$18896,"&gt;="&amp;A739,Verbrauch!$A$9:$A$18896,"&lt;"&amp;B739)</f>
        <v>0</v>
      </c>
      <c r="D739" s="22" t="n">
        <f aca="false">SUMIFS(Verbrauch!$C$9:$C$18896,Verbrauch!$A$9:$A$18896,"&gt;="&amp;A739,Verbrauch!$A$9:$A$18896,"&lt;"&amp;B739,Verbrauch!$F$9:$F$18896,"Go")</f>
        <v>0</v>
      </c>
      <c r="E739" s="22" t="n">
        <f aca="false">SUMIFS(Verbrauch!$C$9:$C$18896,Verbrauch!$A$9:$A$18896,"&gt;="&amp;A739,Verbrauch!$A$9:$A$18896,"&lt;"&amp;B739,Verbrauch!$F$9:$F$18896,"Standard")</f>
        <v>0</v>
      </c>
      <c r="F739" s="23" t="n">
        <f aca="false">SUMIFS(Verbrauch!$E$9:$E$18896,Verbrauch!$A$9:$A$18896,"&gt;="&amp;A739,Verbrauch!$A$9:$A$18896,"&lt;"&amp;B739)</f>
        <v>0</v>
      </c>
      <c r="G739" s="13" t="str">
        <f aca="false">IFERROR(F739/C739*100,"")</f>
        <v/>
      </c>
      <c r="H739" s="11" t="n">
        <f aca="false">COUNTIFS(Verbrauch!$A$9:$A$18896,"&gt;="&amp;A739,Verbrauch!$A$9:$A$18896,"&lt;"&amp;B739,Verbrauch!$C$9:$C$18896,"&lt;&gt;")</f>
        <v>0</v>
      </c>
    </row>
    <row r="740" customFormat="false" ht="15" hidden="false" customHeight="true" outlineLevel="0" collapsed="false">
      <c r="A740" s="10" t="n">
        <v>46701</v>
      </c>
      <c r="B740" s="10" t="n">
        <v>46702</v>
      </c>
      <c r="C740" s="22" t="n">
        <f aca="false">SUMIFS(Verbrauch!$C$9:$C$18896,Verbrauch!$A$9:$A$18896,"&gt;="&amp;A740,Verbrauch!$A$9:$A$18896,"&lt;"&amp;B740)</f>
        <v>0</v>
      </c>
      <c r="D740" s="22" t="n">
        <f aca="false">SUMIFS(Verbrauch!$C$9:$C$18896,Verbrauch!$A$9:$A$18896,"&gt;="&amp;A740,Verbrauch!$A$9:$A$18896,"&lt;"&amp;B740,Verbrauch!$F$9:$F$18896,"Go")</f>
        <v>0</v>
      </c>
      <c r="E740" s="22" t="n">
        <f aca="false">SUMIFS(Verbrauch!$C$9:$C$18896,Verbrauch!$A$9:$A$18896,"&gt;="&amp;A740,Verbrauch!$A$9:$A$18896,"&lt;"&amp;B740,Verbrauch!$F$9:$F$18896,"Standard")</f>
        <v>0</v>
      </c>
      <c r="F740" s="23" t="n">
        <f aca="false">SUMIFS(Verbrauch!$E$9:$E$18896,Verbrauch!$A$9:$A$18896,"&gt;="&amp;A740,Verbrauch!$A$9:$A$18896,"&lt;"&amp;B740)</f>
        <v>0</v>
      </c>
      <c r="G740" s="13" t="str">
        <f aca="false">IFERROR(F740/C740*100,"")</f>
        <v/>
      </c>
      <c r="H740" s="11" t="n">
        <f aca="false">COUNTIFS(Verbrauch!$A$9:$A$18896,"&gt;="&amp;A740,Verbrauch!$A$9:$A$18896,"&lt;"&amp;B740,Verbrauch!$C$9:$C$18896,"&lt;&gt;")</f>
        <v>0</v>
      </c>
    </row>
    <row r="741" customFormat="false" ht="15" hidden="false" customHeight="true" outlineLevel="0" collapsed="false">
      <c r="A741" s="10" t="n">
        <v>46702</v>
      </c>
      <c r="B741" s="10" t="n">
        <v>46703</v>
      </c>
      <c r="C741" s="22" t="n">
        <f aca="false">SUMIFS(Verbrauch!$C$9:$C$18896,Verbrauch!$A$9:$A$18896,"&gt;="&amp;A741,Verbrauch!$A$9:$A$18896,"&lt;"&amp;B741)</f>
        <v>0</v>
      </c>
      <c r="D741" s="22" t="n">
        <f aca="false">SUMIFS(Verbrauch!$C$9:$C$18896,Verbrauch!$A$9:$A$18896,"&gt;="&amp;A741,Verbrauch!$A$9:$A$18896,"&lt;"&amp;B741,Verbrauch!$F$9:$F$18896,"Go")</f>
        <v>0</v>
      </c>
      <c r="E741" s="22" t="n">
        <f aca="false">SUMIFS(Verbrauch!$C$9:$C$18896,Verbrauch!$A$9:$A$18896,"&gt;="&amp;A741,Verbrauch!$A$9:$A$18896,"&lt;"&amp;B741,Verbrauch!$F$9:$F$18896,"Standard")</f>
        <v>0</v>
      </c>
      <c r="F741" s="23" t="n">
        <f aca="false">SUMIFS(Verbrauch!$E$9:$E$18896,Verbrauch!$A$9:$A$18896,"&gt;="&amp;A741,Verbrauch!$A$9:$A$18896,"&lt;"&amp;B741)</f>
        <v>0</v>
      </c>
      <c r="G741" s="13" t="str">
        <f aca="false">IFERROR(F741/C741*100,"")</f>
        <v/>
      </c>
      <c r="H741" s="11" t="n">
        <f aca="false">COUNTIFS(Verbrauch!$A$9:$A$18896,"&gt;="&amp;A741,Verbrauch!$A$9:$A$18896,"&lt;"&amp;B741,Verbrauch!$C$9:$C$18896,"&lt;&gt;")</f>
        <v>0</v>
      </c>
    </row>
    <row r="742" customFormat="false" ht="15" hidden="false" customHeight="true" outlineLevel="0" collapsed="false">
      <c r="A742" s="10" t="n">
        <v>46703</v>
      </c>
      <c r="B742" s="10" t="n">
        <v>46704</v>
      </c>
      <c r="C742" s="22" t="n">
        <f aca="false">SUMIFS(Verbrauch!$C$9:$C$18896,Verbrauch!$A$9:$A$18896,"&gt;="&amp;A742,Verbrauch!$A$9:$A$18896,"&lt;"&amp;B742)</f>
        <v>0</v>
      </c>
      <c r="D742" s="22" t="n">
        <f aca="false">SUMIFS(Verbrauch!$C$9:$C$18896,Verbrauch!$A$9:$A$18896,"&gt;="&amp;A742,Verbrauch!$A$9:$A$18896,"&lt;"&amp;B742,Verbrauch!$F$9:$F$18896,"Go")</f>
        <v>0</v>
      </c>
      <c r="E742" s="22" t="n">
        <f aca="false">SUMIFS(Verbrauch!$C$9:$C$18896,Verbrauch!$A$9:$A$18896,"&gt;="&amp;A742,Verbrauch!$A$9:$A$18896,"&lt;"&amp;B742,Verbrauch!$F$9:$F$18896,"Standard")</f>
        <v>0</v>
      </c>
      <c r="F742" s="23" t="n">
        <f aca="false">SUMIFS(Verbrauch!$E$9:$E$18896,Verbrauch!$A$9:$A$18896,"&gt;="&amp;A742,Verbrauch!$A$9:$A$18896,"&lt;"&amp;B742)</f>
        <v>0</v>
      </c>
      <c r="G742" s="13" t="str">
        <f aca="false">IFERROR(F742/C742*100,"")</f>
        <v/>
      </c>
      <c r="H742" s="11" t="n">
        <f aca="false">COUNTIFS(Verbrauch!$A$9:$A$18896,"&gt;="&amp;A742,Verbrauch!$A$9:$A$18896,"&lt;"&amp;B742,Verbrauch!$C$9:$C$18896,"&lt;&gt;")</f>
        <v>0</v>
      </c>
    </row>
    <row r="743" customFormat="false" ht="15" hidden="false" customHeight="true" outlineLevel="0" collapsed="false">
      <c r="A743" s="10" t="n">
        <v>46704</v>
      </c>
      <c r="B743" s="10" t="n">
        <v>46705</v>
      </c>
      <c r="C743" s="22" t="n">
        <f aca="false">SUMIFS(Verbrauch!$C$9:$C$18896,Verbrauch!$A$9:$A$18896,"&gt;="&amp;A743,Verbrauch!$A$9:$A$18896,"&lt;"&amp;B743)</f>
        <v>0</v>
      </c>
      <c r="D743" s="22" t="n">
        <f aca="false">SUMIFS(Verbrauch!$C$9:$C$18896,Verbrauch!$A$9:$A$18896,"&gt;="&amp;A743,Verbrauch!$A$9:$A$18896,"&lt;"&amp;B743,Verbrauch!$F$9:$F$18896,"Go")</f>
        <v>0</v>
      </c>
      <c r="E743" s="22" t="n">
        <f aca="false">SUMIFS(Verbrauch!$C$9:$C$18896,Verbrauch!$A$9:$A$18896,"&gt;="&amp;A743,Verbrauch!$A$9:$A$18896,"&lt;"&amp;B743,Verbrauch!$F$9:$F$18896,"Standard")</f>
        <v>0</v>
      </c>
      <c r="F743" s="23" t="n">
        <f aca="false">SUMIFS(Verbrauch!$E$9:$E$18896,Verbrauch!$A$9:$A$18896,"&gt;="&amp;A743,Verbrauch!$A$9:$A$18896,"&lt;"&amp;B743)</f>
        <v>0</v>
      </c>
      <c r="G743" s="13" t="str">
        <f aca="false">IFERROR(F743/C743*100,"")</f>
        <v/>
      </c>
      <c r="H743" s="11" t="n">
        <f aca="false">COUNTIFS(Verbrauch!$A$9:$A$18896,"&gt;="&amp;A743,Verbrauch!$A$9:$A$18896,"&lt;"&amp;B743,Verbrauch!$C$9:$C$18896,"&lt;&gt;")</f>
        <v>0</v>
      </c>
    </row>
    <row r="744" customFormat="false" ht="15" hidden="false" customHeight="true" outlineLevel="0" collapsed="false">
      <c r="A744" s="10" t="n">
        <v>46705</v>
      </c>
      <c r="B744" s="10" t="n">
        <v>46706</v>
      </c>
      <c r="C744" s="22" t="n">
        <f aca="false">SUMIFS(Verbrauch!$C$9:$C$18896,Verbrauch!$A$9:$A$18896,"&gt;="&amp;A744,Verbrauch!$A$9:$A$18896,"&lt;"&amp;B744)</f>
        <v>0</v>
      </c>
      <c r="D744" s="22" t="n">
        <f aca="false">SUMIFS(Verbrauch!$C$9:$C$18896,Verbrauch!$A$9:$A$18896,"&gt;="&amp;A744,Verbrauch!$A$9:$A$18896,"&lt;"&amp;B744,Verbrauch!$F$9:$F$18896,"Go")</f>
        <v>0</v>
      </c>
      <c r="E744" s="22" t="n">
        <f aca="false">SUMIFS(Verbrauch!$C$9:$C$18896,Verbrauch!$A$9:$A$18896,"&gt;="&amp;A744,Verbrauch!$A$9:$A$18896,"&lt;"&amp;B744,Verbrauch!$F$9:$F$18896,"Standard")</f>
        <v>0</v>
      </c>
      <c r="F744" s="23" t="n">
        <f aca="false">SUMIFS(Verbrauch!$E$9:$E$18896,Verbrauch!$A$9:$A$18896,"&gt;="&amp;A744,Verbrauch!$A$9:$A$18896,"&lt;"&amp;B744)</f>
        <v>0</v>
      </c>
      <c r="G744" s="13" t="str">
        <f aca="false">IFERROR(F744/C744*100,"")</f>
        <v/>
      </c>
      <c r="H744" s="11" t="n">
        <f aca="false">COUNTIFS(Verbrauch!$A$9:$A$18896,"&gt;="&amp;A744,Verbrauch!$A$9:$A$18896,"&lt;"&amp;B744,Verbrauch!$C$9:$C$18896,"&lt;&gt;")</f>
        <v>0</v>
      </c>
    </row>
    <row r="745" customFormat="false" ht="15" hidden="false" customHeight="true" outlineLevel="0" collapsed="false">
      <c r="A745" s="10" t="n">
        <v>46706</v>
      </c>
      <c r="B745" s="10" t="n">
        <v>46707</v>
      </c>
      <c r="C745" s="22" t="n">
        <f aca="false">SUMIFS(Verbrauch!$C$9:$C$18896,Verbrauch!$A$9:$A$18896,"&gt;="&amp;A745,Verbrauch!$A$9:$A$18896,"&lt;"&amp;B745)</f>
        <v>0</v>
      </c>
      <c r="D745" s="22" t="n">
        <f aca="false">SUMIFS(Verbrauch!$C$9:$C$18896,Verbrauch!$A$9:$A$18896,"&gt;="&amp;A745,Verbrauch!$A$9:$A$18896,"&lt;"&amp;B745,Verbrauch!$F$9:$F$18896,"Go")</f>
        <v>0</v>
      </c>
      <c r="E745" s="22" t="n">
        <f aca="false">SUMIFS(Verbrauch!$C$9:$C$18896,Verbrauch!$A$9:$A$18896,"&gt;="&amp;A745,Verbrauch!$A$9:$A$18896,"&lt;"&amp;B745,Verbrauch!$F$9:$F$18896,"Standard")</f>
        <v>0</v>
      </c>
      <c r="F745" s="23" t="n">
        <f aca="false">SUMIFS(Verbrauch!$E$9:$E$18896,Verbrauch!$A$9:$A$18896,"&gt;="&amp;A745,Verbrauch!$A$9:$A$18896,"&lt;"&amp;B745)</f>
        <v>0</v>
      </c>
      <c r="G745" s="13" t="str">
        <f aca="false">IFERROR(F745/C745*100,"")</f>
        <v/>
      </c>
      <c r="H745" s="11" t="n">
        <f aca="false">COUNTIFS(Verbrauch!$A$9:$A$18896,"&gt;="&amp;A745,Verbrauch!$A$9:$A$18896,"&lt;"&amp;B745,Verbrauch!$C$9:$C$18896,"&lt;&gt;")</f>
        <v>0</v>
      </c>
    </row>
    <row r="746" customFormat="false" ht="15" hidden="false" customHeight="true" outlineLevel="0" collapsed="false">
      <c r="A746" s="10" t="n">
        <v>46707</v>
      </c>
      <c r="B746" s="10" t="n">
        <v>46708</v>
      </c>
      <c r="C746" s="22" t="n">
        <f aca="false">SUMIFS(Verbrauch!$C$9:$C$18896,Verbrauch!$A$9:$A$18896,"&gt;="&amp;A746,Verbrauch!$A$9:$A$18896,"&lt;"&amp;B746)</f>
        <v>0</v>
      </c>
      <c r="D746" s="22" t="n">
        <f aca="false">SUMIFS(Verbrauch!$C$9:$C$18896,Verbrauch!$A$9:$A$18896,"&gt;="&amp;A746,Verbrauch!$A$9:$A$18896,"&lt;"&amp;B746,Verbrauch!$F$9:$F$18896,"Go")</f>
        <v>0</v>
      </c>
      <c r="E746" s="22" t="n">
        <f aca="false">SUMIFS(Verbrauch!$C$9:$C$18896,Verbrauch!$A$9:$A$18896,"&gt;="&amp;A746,Verbrauch!$A$9:$A$18896,"&lt;"&amp;B746,Verbrauch!$F$9:$F$18896,"Standard")</f>
        <v>0</v>
      </c>
      <c r="F746" s="23" t="n">
        <f aca="false">SUMIFS(Verbrauch!$E$9:$E$18896,Verbrauch!$A$9:$A$18896,"&gt;="&amp;A746,Verbrauch!$A$9:$A$18896,"&lt;"&amp;B746)</f>
        <v>0</v>
      </c>
      <c r="G746" s="13" t="str">
        <f aca="false">IFERROR(F746/C746*100,"")</f>
        <v/>
      </c>
      <c r="H746" s="11" t="n">
        <f aca="false">COUNTIFS(Verbrauch!$A$9:$A$18896,"&gt;="&amp;A746,Verbrauch!$A$9:$A$18896,"&lt;"&amp;B746,Verbrauch!$C$9:$C$18896,"&lt;&gt;")</f>
        <v>0</v>
      </c>
    </row>
    <row r="747" customFormat="false" ht="15" hidden="false" customHeight="true" outlineLevel="0" collapsed="false">
      <c r="A747" s="10" t="n">
        <v>46708</v>
      </c>
      <c r="B747" s="10" t="n">
        <v>46709</v>
      </c>
      <c r="C747" s="22" t="n">
        <f aca="false">SUMIFS(Verbrauch!$C$9:$C$18896,Verbrauch!$A$9:$A$18896,"&gt;="&amp;A747,Verbrauch!$A$9:$A$18896,"&lt;"&amp;B747)</f>
        <v>0</v>
      </c>
      <c r="D747" s="22" t="n">
        <f aca="false">SUMIFS(Verbrauch!$C$9:$C$18896,Verbrauch!$A$9:$A$18896,"&gt;="&amp;A747,Verbrauch!$A$9:$A$18896,"&lt;"&amp;B747,Verbrauch!$F$9:$F$18896,"Go")</f>
        <v>0</v>
      </c>
      <c r="E747" s="22" t="n">
        <f aca="false">SUMIFS(Verbrauch!$C$9:$C$18896,Verbrauch!$A$9:$A$18896,"&gt;="&amp;A747,Verbrauch!$A$9:$A$18896,"&lt;"&amp;B747,Verbrauch!$F$9:$F$18896,"Standard")</f>
        <v>0</v>
      </c>
      <c r="F747" s="23" t="n">
        <f aca="false">SUMIFS(Verbrauch!$E$9:$E$18896,Verbrauch!$A$9:$A$18896,"&gt;="&amp;A747,Verbrauch!$A$9:$A$18896,"&lt;"&amp;B747)</f>
        <v>0</v>
      </c>
      <c r="G747" s="13" t="str">
        <f aca="false">IFERROR(F747/C747*100,"")</f>
        <v/>
      </c>
      <c r="H747" s="11" t="n">
        <f aca="false">COUNTIFS(Verbrauch!$A$9:$A$18896,"&gt;="&amp;A747,Verbrauch!$A$9:$A$18896,"&lt;"&amp;B747,Verbrauch!$C$9:$C$18896,"&lt;&gt;")</f>
        <v>0</v>
      </c>
    </row>
    <row r="748" customFormat="false" ht="15" hidden="false" customHeight="true" outlineLevel="0" collapsed="false">
      <c r="A748" s="10" t="n">
        <v>46709</v>
      </c>
      <c r="B748" s="10" t="n">
        <v>46710</v>
      </c>
      <c r="C748" s="22" t="n">
        <f aca="false">SUMIFS(Verbrauch!$C$9:$C$18896,Verbrauch!$A$9:$A$18896,"&gt;="&amp;A748,Verbrauch!$A$9:$A$18896,"&lt;"&amp;B748)</f>
        <v>0</v>
      </c>
      <c r="D748" s="22" t="n">
        <f aca="false">SUMIFS(Verbrauch!$C$9:$C$18896,Verbrauch!$A$9:$A$18896,"&gt;="&amp;A748,Verbrauch!$A$9:$A$18896,"&lt;"&amp;B748,Verbrauch!$F$9:$F$18896,"Go")</f>
        <v>0</v>
      </c>
      <c r="E748" s="22" t="n">
        <f aca="false">SUMIFS(Verbrauch!$C$9:$C$18896,Verbrauch!$A$9:$A$18896,"&gt;="&amp;A748,Verbrauch!$A$9:$A$18896,"&lt;"&amp;B748,Verbrauch!$F$9:$F$18896,"Standard")</f>
        <v>0</v>
      </c>
      <c r="F748" s="23" t="n">
        <f aca="false">SUMIFS(Verbrauch!$E$9:$E$18896,Verbrauch!$A$9:$A$18896,"&gt;="&amp;A748,Verbrauch!$A$9:$A$18896,"&lt;"&amp;B748)</f>
        <v>0</v>
      </c>
      <c r="G748" s="13" t="str">
        <f aca="false">IFERROR(F748/C748*100,"")</f>
        <v/>
      </c>
      <c r="H748" s="11" t="n">
        <f aca="false">COUNTIFS(Verbrauch!$A$9:$A$18896,"&gt;="&amp;A748,Verbrauch!$A$9:$A$18896,"&lt;"&amp;B748,Verbrauch!$C$9:$C$18896,"&lt;&gt;")</f>
        <v>0</v>
      </c>
    </row>
    <row r="749" customFormat="false" ht="15" hidden="false" customHeight="true" outlineLevel="0" collapsed="false">
      <c r="A749" s="10" t="n">
        <v>46710</v>
      </c>
      <c r="B749" s="10" t="n">
        <v>46711</v>
      </c>
      <c r="C749" s="22" t="n">
        <f aca="false">SUMIFS(Verbrauch!$C$9:$C$18896,Verbrauch!$A$9:$A$18896,"&gt;="&amp;A749,Verbrauch!$A$9:$A$18896,"&lt;"&amp;B749)</f>
        <v>0</v>
      </c>
      <c r="D749" s="22" t="n">
        <f aca="false">SUMIFS(Verbrauch!$C$9:$C$18896,Verbrauch!$A$9:$A$18896,"&gt;="&amp;A749,Verbrauch!$A$9:$A$18896,"&lt;"&amp;B749,Verbrauch!$F$9:$F$18896,"Go")</f>
        <v>0</v>
      </c>
      <c r="E749" s="22" t="n">
        <f aca="false">SUMIFS(Verbrauch!$C$9:$C$18896,Verbrauch!$A$9:$A$18896,"&gt;="&amp;A749,Verbrauch!$A$9:$A$18896,"&lt;"&amp;B749,Verbrauch!$F$9:$F$18896,"Standard")</f>
        <v>0</v>
      </c>
      <c r="F749" s="23" t="n">
        <f aca="false">SUMIFS(Verbrauch!$E$9:$E$18896,Verbrauch!$A$9:$A$18896,"&gt;="&amp;A749,Verbrauch!$A$9:$A$18896,"&lt;"&amp;B749)</f>
        <v>0</v>
      </c>
      <c r="G749" s="13" t="str">
        <f aca="false">IFERROR(F749/C749*100,"")</f>
        <v/>
      </c>
      <c r="H749" s="11" t="n">
        <f aca="false">COUNTIFS(Verbrauch!$A$9:$A$18896,"&gt;="&amp;A749,Verbrauch!$A$9:$A$18896,"&lt;"&amp;B749,Verbrauch!$C$9:$C$18896,"&lt;&gt;")</f>
        <v>0</v>
      </c>
    </row>
    <row r="750" customFormat="false" ht="15" hidden="false" customHeight="true" outlineLevel="0" collapsed="false">
      <c r="A750" s="10" t="n">
        <v>46711</v>
      </c>
      <c r="B750" s="10" t="n">
        <v>46712</v>
      </c>
      <c r="C750" s="22" t="n">
        <f aca="false">SUMIFS(Verbrauch!$C$9:$C$18896,Verbrauch!$A$9:$A$18896,"&gt;="&amp;A750,Verbrauch!$A$9:$A$18896,"&lt;"&amp;B750)</f>
        <v>0</v>
      </c>
      <c r="D750" s="22" t="n">
        <f aca="false">SUMIFS(Verbrauch!$C$9:$C$18896,Verbrauch!$A$9:$A$18896,"&gt;="&amp;A750,Verbrauch!$A$9:$A$18896,"&lt;"&amp;B750,Verbrauch!$F$9:$F$18896,"Go")</f>
        <v>0</v>
      </c>
      <c r="E750" s="22" t="n">
        <f aca="false">SUMIFS(Verbrauch!$C$9:$C$18896,Verbrauch!$A$9:$A$18896,"&gt;="&amp;A750,Verbrauch!$A$9:$A$18896,"&lt;"&amp;B750,Verbrauch!$F$9:$F$18896,"Standard")</f>
        <v>0</v>
      </c>
      <c r="F750" s="23" t="n">
        <f aca="false">SUMIFS(Verbrauch!$E$9:$E$18896,Verbrauch!$A$9:$A$18896,"&gt;="&amp;A750,Verbrauch!$A$9:$A$18896,"&lt;"&amp;B750)</f>
        <v>0</v>
      </c>
      <c r="G750" s="13" t="str">
        <f aca="false">IFERROR(F750/C750*100,"")</f>
        <v/>
      </c>
      <c r="H750" s="11" t="n">
        <f aca="false">COUNTIFS(Verbrauch!$A$9:$A$18896,"&gt;="&amp;A750,Verbrauch!$A$9:$A$18896,"&lt;"&amp;B750,Verbrauch!$C$9:$C$18896,"&lt;&gt;")</f>
        <v>0</v>
      </c>
    </row>
    <row r="751" customFormat="false" ht="15" hidden="false" customHeight="true" outlineLevel="0" collapsed="false">
      <c r="A751" s="10" t="n">
        <v>46712</v>
      </c>
      <c r="B751" s="10" t="n">
        <v>46713</v>
      </c>
      <c r="C751" s="22" t="n">
        <f aca="false">SUMIFS(Verbrauch!$C$9:$C$18896,Verbrauch!$A$9:$A$18896,"&gt;="&amp;A751,Verbrauch!$A$9:$A$18896,"&lt;"&amp;B751)</f>
        <v>0</v>
      </c>
      <c r="D751" s="22" t="n">
        <f aca="false">SUMIFS(Verbrauch!$C$9:$C$18896,Verbrauch!$A$9:$A$18896,"&gt;="&amp;A751,Verbrauch!$A$9:$A$18896,"&lt;"&amp;B751,Verbrauch!$F$9:$F$18896,"Go")</f>
        <v>0</v>
      </c>
      <c r="E751" s="22" t="n">
        <f aca="false">SUMIFS(Verbrauch!$C$9:$C$18896,Verbrauch!$A$9:$A$18896,"&gt;="&amp;A751,Verbrauch!$A$9:$A$18896,"&lt;"&amp;B751,Verbrauch!$F$9:$F$18896,"Standard")</f>
        <v>0</v>
      </c>
      <c r="F751" s="23" t="n">
        <f aca="false">SUMIFS(Verbrauch!$E$9:$E$18896,Verbrauch!$A$9:$A$18896,"&gt;="&amp;A751,Verbrauch!$A$9:$A$18896,"&lt;"&amp;B751)</f>
        <v>0</v>
      </c>
      <c r="G751" s="13" t="str">
        <f aca="false">IFERROR(F751/C751*100,"")</f>
        <v/>
      </c>
      <c r="H751" s="11" t="n">
        <f aca="false">COUNTIFS(Verbrauch!$A$9:$A$18896,"&gt;="&amp;A751,Verbrauch!$A$9:$A$18896,"&lt;"&amp;B751,Verbrauch!$C$9:$C$18896,"&lt;&gt;")</f>
        <v>0</v>
      </c>
    </row>
    <row r="752" customFormat="false" ht="15" hidden="false" customHeight="true" outlineLevel="0" collapsed="false">
      <c r="A752" s="10" t="n">
        <v>46713</v>
      </c>
      <c r="B752" s="10" t="n">
        <v>46714</v>
      </c>
      <c r="C752" s="22" t="n">
        <f aca="false">SUMIFS(Verbrauch!$C$9:$C$18896,Verbrauch!$A$9:$A$18896,"&gt;="&amp;A752,Verbrauch!$A$9:$A$18896,"&lt;"&amp;B752)</f>
        <v>0</v>
      </c>
      <c r="D752" s="22" t="n">
        <f aca="false">SUMIFS(Verbrauch!$C$9:$C$18896,Verbrauch!$A$9:$A$18896,"&gt;="&amp;A752,Verbrauch!$A$9:$A$18896,"&lt;"&amp;B752,Verbrauch!$F$9:$F$18896,"Go")</f>
        <v>0</v>
      </c>
      <c r="E752" s="22" t="n">
        <f aca="false">SUMIFS(Verbrauch!$C$9:$C$18896,Verbrauch!$A$9:$A$18896,"&gt;="&amp;A752,Verbrauch!$A$9:$A$18896,"&lt;"&amp;B752,Verbrauch!$F$9:$F$18896,"Standard")</f>
        <v>0</v>
      </c>
      <c r="F752" s="23" t="n">
        <f aca="false">SUMIFS(Verbrauch!$E$9:$E$18896,Verbrauch!$A$9:$A$18896,"&gt;="&amp;A752,Verbrauch!$A$9:$A$18896,"&lt;"&amp;B752)</f>
        <v>0</v>
      </c>
      <c r="G752" s="13" t="str">
        <f aca="false">IFERROR(F752/C752*100,"")</f>
        <v/>
      </c>
      <c r="H752" s="11" t="n">
        <f aca="false">COUNTIFS(Verbrauch!$A$9:$A$18896,"&gt;="&amp;A752,Verbrauch!$A$9:$A$18896,"&lt;"&amp;B752,Verbrauch!$C$9:$C$18896,"&lt;&gt;")</f>
        <v>0</v>
      </c>
    </row>
    <row r="753" customFormat="false" ht="15" hidden="false" customHeight="true" outlineLevel="0" collapsed="false">
      <c r="A753" s="10" t="n">
        <v>46714</v>
      </c>
      <c r="B753" s="10" t="n">
        <v>46715</v>
      </c>
      <c r="C753" s="22" t="n">
        <f aca="false">SUMIFS(Verbrauch!$C$9:$C$18896,Verbrauch!$A$9:$A$18896,"&gt;="&amp;A753,Verbrauch!$A$9:$A$18896,"&lt;"&amp;B753)</f>
        <v>0</v>
      </c>
      <c r="D753" s="22" t="n">
        <f aca="false">SUMIFS(Verbrauch!$C$9:$C$18896,Verbrauch!$A$9:$A$18896,"&gt;="&amp;A753,Verbrauch!$A$9:$A$18896,"&lt;"&amp;B753,Verbrauch!$F$9:$F$18896,"Go")</f>
        <v>0</v>
      </c>
      <c r="E753" s="22" t="n">
        <f aca="false">SUMIFS(Verbrauch!$C$9:$C$18896,Verbrauch!$A$9:$A$18896,"&gt;="&amp;A753,Verbrauch!$A$9:$A$18896,"&lt;"&amp;B753,Verbrauch!$F$9:$F$18896,"Standard")</f>
        <v>0</v>
      </c>
      <c r="F753" s="23" t="n">
        <f aca="false">SUMIFS(Verbrauch!$E$9:$E$18896,Verbrauch!$A$9:$A$18896,"&gt;="&amp;A753,Verbrauch!$A$9:$A$18896,"&lt;"&amp;B753)</f>
        <v>0</v>
      </c>
      <c r="G753" s="13" t="str">
        <f aca="false">IFERROR(F753/C753*100,"")</f>
        <v/>
      </c>
      <c r="H753" s="11" t="n">
        <f aca="false">COUNTIFS(Verbrauch!$A$9:$A$18896,"&gt;="&amp;A753,Verbrauch!$A$9:$A$18896,"&lt;"&amp;B753,Verbrauch!$C$9:$C$18896,"&lt;&gt;")</f>
        <v>0</v>
      </c>
    </row>
    <row r="754" customFormat="false" ht="15" hidden="false" customHeight="true" outlineLevel="0" collapsed="false">
      <c r="A754" s="10" t="n">
        <v>46715</v>
      </c>
      <c r="B754" s="10" t="n">
        <v>46716</v>
      </c>
      <c r="C754" s="22" t="n">
        <f aca="false">SUMIFS(Verbrauch!$C$9:$C$18896,Verbrauch!$A$9:$A$18896,"&gt;="&amp;A754,Verbrauch!$A$9:$A$18896,"&lt;"&amp;B754)</f>
        <v>0</v>
      </c>
      <c r="D754" s="22" t="n">
        <f aca="false">SUMIFS(Verbrauch!$C$9:$C$18896,Verbrauch!$A$9:$A$18896,"&gt;="&amp;A754,Verbrauch!$A$9:$A$18896,"&lt;"&amp;B754,Verbrauch!$F$9:$F$18896,"Go")</f>
        <v>0</v>
      </c>
      <c r="E754" s="22" t="n">
        <f aca="false">SUMIFS(Verbrauch!$C$9:$C$18896,Verbrauch!$A$9:$A$18896,"&gt;="&amp;A754,Verbrauch!$A$9:$A$18896,"&lt;"&amp;B754,Verbrauch!$F$9:$F$18896,"Standard")</f>
        <v>0</v>
      </c>
      <c r="F754" s="23" t="n">
        <f aca="false">SUMIFS(Verbrauch!$E$9:$E$18896,Verbrauch!$A$9:$A$18896,"&gt;="&amp;A754,Verbrauch!$A$9:$A$18896,"&lt;"&amp;B754)</f>
        <v>0</v>
      </c>
      <c r="G754" s="13" t="str">
        <f aca="false">IFERROR(F754/C754*100,"")</f>
        <v/>
      </c>
      <c r="H754" s="11" t="n">
        <f aca="false">COUNTIFS(Verbrauch!$A$9:$A$18896,"&gt;="&amp;A754,Verbrauch!$A$9:$A$18896,"&lt;"&amp;B754,Verbrauch!$C$9:$C$18896,"&lt;&gt;")</f>
        <v>0</v>
      </c>
    </row>
    <row r="755" customFormat="false" ht="15" hidden="false" customHeight="true" outlineLevel="0" collapsed="false">
      <c r="A755" s="10" t="n">
        <v>46716</v>
      </c>
      <c r="B755" s="10" t="n">
        <v>46717</v>
      </c>
      <c r="C755" s="22" t="n">
        <f aca="false">SUMIFS(Verbrauch!$C$9:$C$18896,Verbrauch!$A$9:$A$18896,"&gt;="&amp;A755,Verbrauch!$A$9:$A$18896,"&lt;"&amp;B755)</f>
        <v>0</v>
      </c>
      <c r="D755" s="22" t="n">
        <f aca="false">SUMIFS(Verbrauch!$C$9:$C$18896,Verbrauch!$A$9:$A$18896,"&gt;="&amp;A755,Verbrauch!$A$9:$A$18896,"&lt;"&amp;B755,Verbrauch!$F$9:$F$18896,"Go")</f>
        <v>0</v>
      </c>
      <c r="E755" s="22" t="n">
        <f aca="false">SUMIFS(Verbrauch!$C$9:$C$18896,Verbrauch!$A$9:$A$18896,"&gt;="&amp;A755,Verbrauch!$A$9:$A$18896,"&lt;"&amp;B755,Verbrauch!$F$9:$F$18896,"Standard")</f>
        <v>0</v>
      </c>
      <c r="F755" s="23" t="n">
        <f aca="false">SUMIFS(Verbrauch!$E$9:$E$18896,Verbrauch!$A$9:$A$18896,"&gt;="&amp;A755,Verbrauch!$A$9:$A$18896,"&lt;"&amp;B755)</f>
        <v>0</v>
      </c>
      <c r="G755" s="13" t="str">
        <f aca="false">IFERROR(F755/C755*100,"")</f>
        <v/>
      </c>
      <c r="H755" s="11" t="n">
        <f aca="false">COUNTIFS(Verbrauch!$A$9:$A$18896,"&gt;="&amp;A755,Verbrauch!$A$9:$A$18896,"&lt;"&amp;B755,Verbrauch!$C$9:$C$18896,"&lt;&gt;")</f>
        <v>0</v>
      </c>
    </row>
    <row r="756" customFormat="false" ht="15" hidden="false" customHeight="true" outlineLevel="0" collapsed="false">
      <c r="A756" s="10" t="n">
        <v>46717</v>
      </c>
      <c r="B756" s="10" t="n">
        <v>46718</v>
      </c>
      <c r="C756" s="22" t="n">
        <f aca="false">SUMIFS(Verbrauch!$C$9:$C$18896,Verbrauch!$A$9:$A$18896,"&gt;="&amp;A756,Verbrauch!$A$9:$A$18896,"&lt;"&amp;B756)</f>
        <v>0</v>
      </c>
      <c r="D756" s="22" t="n">
        <f aca="false">SUMIFS(Verbrauch!$C$9:$C$18896,Verbrauch!$A$9:$A$18896,"&gt;="&amp;A756,Verbrauch!$A$9:$A$18896,"&lt;"&amp;B756,Verbrauch!$F$9:$F$18896,"Go")</f>
        <v>0</v>
      </c>
      <c r="E756" s="22" t="n">
        <f aca="false">SUMIFS(Verbrauch!$C$9:$C$18896,Verbrauch!$A$9:$A$18896,"&gt;="&amp;A756,Verbrauch!$A$9:$A$18896,"&lt;"&amp;B756,Verbrauch!$F$9:$F$18896,"Standard")</f>
        <v>0</v>
      </c>
      <c r="F756" s="23" t="n">
        <f aca="false">SUMIFS(Verbrauch!$E$9:$E$18896,Verbrauch!$A$9:$A$18896,"&gt;="&amp;A756,Verbrauch!$A$9:$A$18896,"&lt;"&amp;B756)</f>
        <v>0</v>
      </c>
      <c r="G756" s="13" t="str">
        <f aca="false">IFERROR(F756/C756*100,"")</f>
        <v/>
      </c>
      <c r="H756" s="11" t="n">
        <f aca="false">COUNTIFS(Verbrauch!$A$9:$A$18896,"&gt;="&amp;A756,Verbrauch!$A$9:$A$18896,"&lt;"&amp;B756,Verbrauch!$C$9:$C$18896,"&lt;&gt;")</f>
        <v>0</v>
      </c>
    </row>
    <row r="757" customFormat="false" ht="15" hidden="false" customHeight="true" outlineLevel="0" collapsed="false">
      <c r="A757" s="10" t="n">
        <v>46718</v>
      </c>
      <c r="B757" s="10" t="n">
        <v>46719</v>
      </c>
      <c r="C757" s="22" t="n">
        <f aca="false">SUMIFS(Verbrauch!$C$9:$C$18896,Verbrauch!$A$9:$A$18896,"&gt;="&amp;A757,Verbrauch!$A$9:$A$18896,"&lt;"&amp;B757)</f>
        <v>0</v>
      </c>
      <c r="D757" s="22" t="n">
        <f aca="false">SUMIFS(Verbrauch!$C$9:$C$18896,Verbrauch!$A$9:$A$18896,"&gt;="&amp;A757,Verbrauch!$A$9:$A$18896,"&lt;"&amp;B757,Verbrauch!$F$9:$F$18896,"Go")</f>
        <v>0</v>
      </c>
      <c r="E757" s="22" t="n">
        <f aca="false">SUMIFS(Verbrauch!$C$9:$C$18896,Verbrauch!$A$9:$A$18896,"&gt;="&amp;A757,Verbrauch!$A$9:$A$18896,"&lt;"&amp;B757,Verbrauch!$F$9:$F$18896,"Standard")</f>
        <v>0</v>
      </c>
      <c r="F757" s="23" t="n">
        <f aca="false">SUMIFS(Verbrauch!$E$9:$E$18896,Verbrauch!$A$9:$A$18896,"&gt;="&amp;A757,Verbrauch!$A$9:$A$18896,"&lt;"&amp;B757)</f>
        <v>0</v>
      </c>
      <c r="G757" s="13" t="str">
        <f aca="false">IFERROR(F757/C757*100,"")</f>
        <v/>
      </c>
      <c r="H757" s="11" t="n">
        <f aca="false">COUNTIFS(Verbrauch!$A$9:$A$18896,"&gt;="&amp;A757,Verbrauch!$A$9:$A$18896,"&lt;"&amp;B757,Verbrauch!$C$9:$C$18896,"&lt;&gt;")</f>
        <v>0</v>
      </c>
    </row>
    <row r="758" customFormat="false" ht="15" hidden="false" customHeight="true" outlineLevel="0" collapsed="false">
      <c r="A758" s="10" t="n">
        <v>46719</v>
      </c>
      <c r="B758" s="10" t="n">
        <v>46720</v>
      </c>
      <c r="C758" s="22" t="n">
        <f aca="false">SUMIFS(Verbrauch!$C$9:$C$18896,Verbrauch!$A$9:$A$18896,"&gt;="&amp;A758,Verbrauch!$A$9:$A$18896,"&lt;"&amp;B758)</f>
        <v>0</v>
      </c>
      <c r="D758" s="22" t="n">
        <f aca="false">SUMIFS(Verbrauch!$C$9:$C$18896,Verbrauch!$A$9:$A$18896,"&gt;="&amp;A758,Verbrauch!$A$9:$A$18896,"&lt;"&amp;B758,Verbrauch!$F$9:$F$18896,"Go")</f>
        <v>0</v>
      </c>
      <c r="E758" s="22" t="n">
        <f aca="false">SUMIFS(Verbrauch!$C$9:$C$18896,Verbrauch!$A$9:$A$18896,"&gt;="&amp;A758,Verbrauch!$A$9:$A$18896,"&lt;"&amp;B758,Verbrauch!$F$9:$F$18896,"Standard")</f>
        <v>0</v>
      </c>
      <c r="F758" s="23" t="n">
        <f aca="false">SUMIFS(Verbrauch!$E$9:$E$18896,Verbrauch!$A$9:$A$18896,"&gt;="&amp;A758,Verbrauch!$A$9:$A$18896,"&lt;"&amp;B758)</f>
        <v>0</v>
      </c>
      <c r="G758" s="13" t="str">
        <f aca="false">IFERROR(F758/C758*100,"")</f>
        <v/>
      </c>
      <c r="H758" s="11" t="n">
        <f aca="false">COUNTIFS(Verbrauch!$A$9:$A$18896,"&gt;="&amp;A758,Verbrauch!$A$9:$A$18896,"&lt;"&amp;B758,Verbrauch!$C$9:$C$18896,"&lt;&gt;")</f>
        <v>0</v>
      </c>
    </row>
    <row r="759" customFormat="false" ht="15" hidden="false" customHeight="true" outlineLevel="0" collapsed="false">
      <c r="A759" s="10" t="n">
        <v>46720</v>
      </c>
      <c r="B759" s="10" t="n">
        <v>46721</v>
      </c>
      <c r="C759" s="22" t="n">
        <f aca="false">SUMIFS(Verbrauch!$C$9:$C$18896,Verbrauch!$A$9:$A$18896,"&gt;="&amp;A759,Verbrauch!$A$9:$A$18896,"&lt;"&amp;B759)</f>
        <v>0</v>
      </c>
      <c r="D759" s="22" t="n">
        <f aca="false">SUMIFS(Verbrauch!$C$9:$C$18896,Verbrauch!$A$9:$A$18896,"&gt;="&amp;A759,Verbrauch!$A$9:$A$18896,"&lt;"&amp;B759,Verbrauch!$F$9:$F$18896,"Go")</f>
        <v>0</v>
      </c>
      <c r="E759" s="22" t="n">
        <f aca="false">SUMIFS(Verbrauch!$C$9:$C$18896,Verbrauch!$A$9:$A$18896,"&gt;="&amp;A759,Verbrauch!$A$9:$A$18896,"&lt;"&amp;B759,Verbrauch!$F$9:$F$18896,"Standard")</f>
        <v>0</v>
      </c>
      <c r="F759" s="23" t="n">
        <f aca="false">SUMIFS(Verbrauch!$E$9:$E$18896,Verbrauch!$A$9:$A$18896,"&gt;="&amp;A759,Verbrauch!$A$9:$A$18896,"&lt;"&amp;B759)</f>
        <v>0</v>
      </c>
      <c r="G759" s="13" t="str">
        <f aca="false">IFERROR(F759/C759*100,"")</f>
        <v/>
      </c>
      <c r="H759" s="11" t="n">
        <f aca="false">COUNTIFS(Verbrauch!$A$9:$A$18896,"&gt;="&amp;A759,Verbrauch!$A$9:$A$18896,"&lt;"&amp;B759,Verbrauch!$C$9:$C$18896,"&lt;&gt;")</f>
        <v>0</v>
      </c>
    </row>
    <row r="760" customFormat="false" ht="15" hidden="false" customHeight="true" outlineLevel="0" collapsed="false">
      <c r="A760" s="10" t="n">
        <v>46721</v>
      </c>
      <c r="B760" s="10" t="n">
        <v>46722</v>
      </c>
      <c r="C760" s="22" t="n">
        <f aca="false">SUMIFS(Verbrauch!$C$9:$C$18896,Verbrauch!$A$9:$A$18896,"&gt;="&amp;A760,Verbrauch!$A$9:$A$18896,"&lt;"&amp;B760)</f>
        <v>0</v>
      </c>
      <c r="D760" s="22" t="n">
        <f aca="false">SUMIFS(Verbrauch!$C$9:$C$18896,Verbrauch!$A$9:$A$18896,"&gt;="&amp;A760,Verbrauch!$A$9:$A$18896,"&lt;"&amp;B760,Verbrauch!$F$9:$F$18896,"Go")</f>
        <v>0</v>
      </c>
      <c r="E760" s="22" t="n">
        <f aca="false">SUMIFS(Verbrauch!$C$9:$C$18896,Verbrauch!$A$9:$A$18896,"&gt;="&amp;A760,Verbrauch!$A$9:$A$18896,"&lt;"&amp;B760,Verbrauch!$F$9:$F$18896,"Standard")</f>
        <v>0</v>
      </c>
      <c r="F760" s="23" t="n">
        <f aca="false">SUMIFS(Verbrauch!$E$9:$E$18896,Verbrauch!$A$9:$A$18896,"&gt;="&amp;A760,Verbrauch!$A$9:$A$18896,"&lt;"&amp;B760)</f>
        <v>0</v>
      </c>
      <c r="G760" s="13" t="str">
        <f aca="false">IFERROR(F760/C760*100,"")</f>
        <v/>
      </c>
      <c r="H760" s="11" t="n">
        <f aca="false">COUNTIFS(Verbrauch!$A$9:$A$18896,"&gt;="&amp;A760,Verbrauch!$A$9:$A$18896,"&lt;"&amp;B760,Verbrauch!$C$9:$C$18896,"&lt;&gt;")</f>
        <v>0</v>
      </c>
    </row>
    <row r="761" customFormat="false" ht="15" hidden="false" customHeight="true" outlineLevel="0" collapsed="false">
      <c r="A761" s="10" t="n">
        <v>46722</v>
      </c>
      <c r="B761" s="10" t="n">
        <v>46723</v>
      </c>
      <c r="C761" s="22" t="n">
        <f aca="false">SUMIFS(Verbrauch!$C$9:$C$18896,Verbrauch!$A$9:$A$18896,"&gt;="&amp;A761,Verbrauch!$A$9:$A$18896,"&lt;"&amp;B761)</f>
        <v>0</v>
      </c>
      <c r="D761" s="22" t="n">
        <f aca="false">SUMIFS(Verbrauch!$C$9:$C$18896,Verbrauch!$A$9:$A$18896,"&gt;="&amp;A761,Verbrauch!$A$9:$A$18896,"&lt;"&amp;B761,Verbrauch!$F$9:$F$18896,"Go")</f>
        <v>0</v>
      </c>
      <c r="E761" s="22" t="n">
        <f aca="false">SUMIFS(Verbrauch!$C$9:$C$18896,Verbrauch!$A$9:$A$18896,"&gt;="&amp;A761,Verbrauch!$A$9:$A$18896,"&lt;"&amp;B761,Verbrauch!$F$9:$F$18896,"Standard")</f>
        <v>0</v>
      </c>
      <c r="F761" s="23" t="n">
        <f aca="false">SUMIFS(Verbrauch!$E$9:$E$18896,Verbrauch!$A$9:$A$18896,"&gt;="&amp;A761,Verbrauch!$A$9:$A$18896,"&lt;"&amp;B761)</f>
        <v>0</v>
      </c>
      <c r="G761" s="13" t="str">
        <f aca="false">IFERROR(F761/C761*100,"")</f>
        <v/>
      </c>
      <c r="H761" s="11" t="n">
        <f aca="false">COUNTIFS(Verbrauch!$A$9:$A$18896,"&gt;="&amp;A761,Verbrauch!$A$9:$A$18896,"&lt;"&amp;B761,Verbrauch!$C$9:$C$18896,"&lt;&gt;")</f>
        <v>0</v>
      </c>
    </row>
    <row r="762" customFormat="false" ht="15" hidden="false" customHeight="true" outlineLevel="0" collapsed="false">
      <c r="A762" s="10" t="n">
        <v>46723</v>
      </c>
      <c r="B762" s="10" t="n">
        <v>46724</v>
      </c>
      <c r="C762" s="22" t="n">
        <f aca="false">SUMIFS(Verbrauch!$C$9:$C$18896,Verbrauch!$A$9:$A$18896,"&gt;="&amp;A762,Verbrauch!$A$9:$A$18896,"&lt;"&amp;B762)</f>
        <v>0</v>
      </c>
      <c r="D762" s="22" t="n">
        <f aca="false">SUMIFS(Verbrauch!$C$9:$C$18896,Verbrauch!$A$9:$A$18896,"&gt;="&amp;A762,Verbrauch!$A$9:$A$18896,"&lt;"&amp;B762,Verbrauch!$F$9:$F$18896,"Go")</f>
        <v>0</v>
      </c>
      <c r="E762" s="22" t="n">
        <f aca="false">SUMIFS(Verbrauch!$C$9:$C$18896,Verbrauch!$A$9:$A$18896,"&gt;="&amp;A762,Verbrauch!$A$9:$A$18896,"&lt;"&amp;B762,Verbrauch!$F$9:$F$18896,"Standard")</f>
        <v>0</v>
      </c>
      <c r="F762" s="23" t="n">
        <f aca="false">SUMIFS(Verbrauch!$E$9:$E$18896,Verbrauch!$A$9:$A$18896,"&gt;="&amp;A762,Verbrauch!$A$9:$A$18896,"&lt;"&amp;B762)</f>
        <v>0</v>
      </c>
      <c r="G762" s="13" t="str">
        <f aca="false">IFERROR(F762/C762*100,"")</f>
        <v/>
      </c>
      <c r="H762" s="11" t="n">
        <f aca="false">COUNTIFS(Verbrauch!$A$9:$A$18896,"&gt;="&amp;A762,Verbrauch!$A$9:$A$18896,"&lt;"&amp;B762,Verbrauch!$C$9:$C$18896,"&lt;&gt;")</f>
        <v>0</v>
      </c>
    </row>
    <row r="763" customFormat="false" ht="15" hidden="false" customHeight="true" outlineLevel="0" collapsed="false">
      <c r="A763" s="10" t="n">
        <v>46724</v>
      </c>
      <c r="B763" s="10" t="n">
        <v>46725</v>
      </c>
      <c r="C763" s="22" t="n">
        <f aca="false">SUMIFS(Verbrauch!$C$9:$C$18896,Verbrauch!$A$9:$A$18896,"&gt;="&amp;A763,Verbrauch!$A$9:$A$18896,"&lt;"&amp;B763)</f>
        <v>0</v>
      </c>
      <c r="D763" s="22" t="n">
        <f aca="false">SUMIFS(Verbrauch!$C$9:$C$18896,Verbrauch!$A$9:$A$18896,"&gt;="&amp;A763,Verbrauch!$A$9:$A$18896,"&lt;"&amp;B763,Verbrauch!$F$9:$F$18896,"Go")</f>
        <v>0</v>
      </c>
      <c r="E763" s="22" t="n">
        <f aca="false">SUMIFS(Verbrauch!$C$9:$C$18896,Verbrauch!$A$9:$A$18896,"&gt;="&amp;A763,Verbrauch!$A$9:$A$18896,"&lt;"&amp;B763,Verbrauch!$F$9:$F$18896,"Standard")</f>
        <v>0</v>
      </c>
      <c r="F763" s="23" t="n">
        <f aca="false">SUMIFS(Verbrauch!$E$9:$E$18896,Verbrauch!$A$9:$A$18896,"&gt;="&amp;A763,Verbrauch!$A$9:$A$18896,"&lt;"&amp;B763)</f>
        <v>0</v>
      </c>
      <c r="G763" s="13" t="str">
        <f aca="false">IFERROR(F763/C763*100,"")</f>
        <v/>
      </c>
      <c r="H763" s="11" t="n">
        <f aca="false">COUNTIFS(Verbrauch!$A$9:$A$18896,"&gt;="&amp;A763,Verbrauch!$A$9:$A$18896,"&lt;"&amp;B763,Verbrauch!$C$9:$C$18896,"&lt;&gt;")</f>
        <v>0</v>
      </c>
    </row>
    <row r="764" customFormat="false" ht="15" hidden="false" customHeight="true" outlineLevel="0" collapsed="false">
      <c r="A764" s="10" t="n">
        <v>46725</v>
      </c>
      <c r="B764" s="10" t="n">
        <v>46726</v>
      </c>
      <c r="C764" s="22" t="n">
        <f aca="false">SUMIFS(Verbrauch!$C$9:$C$18896,Verbrauch!$A$9:$A$18896,"&gt;="&amp;A764,Verbrauch!$A$9:$A$18896,"&lt;"&amp;B764)</f>
        <v>0</v>
      </c>
      <c r="D764" s="22" t="n">
        <f aca="false">SUMIFS(Verbrauch!$C$9:$C$18896,Verbrauch!$A$9:$A$18896,"&gt;="&amp;A764,Verbrauch!$A$9:$A$18896,"&lt;"&amp;B764,Verbrauch!$F$9:$F$18896,"Go")</f>
        <v>0</v>
      </c>
      <c r="E764" s="22" t="n">
        <f aca="false">SUMIFS(Verbrauch!$C$9:$C$18896,Verbrauch!$A$9:$A$18896,"&gt;="&amp;A764,Verbrauch!$A$9:$A$18896,"&lt;"&amp;B764,Verbrauch!$F$9:$F$18896,"Standard")</f>
        <v>0</v>
      </c>
      <c r="F764" s="23" t="n">
        <f aca="false">SUMIFS(Verbrauch!$E$9:$E$18896,Verbrauch!$A$9:$A$18896,"&gt;="&amp;A764,Verbrauch!$A$9:$A$18896,"&lt;"&amp;B764)</f>
        <v>0</v>
      </c>
      <c r="G764" s="13" t="str">
        <f aca="false">IFERROR(F764/C764*100,"")</f>
        <v/>
      </c>
      <c r="H764" s="11" t="n">
        <f aca="false">COUNTIFS(Verbrauch!$A$9:$A$18896,"&gt;="&amp;A764,Verbrauch!$A$9:$A$18896,"&lt;"&amp;B764,Verbrauch!$C$9:$C$18896,"&lt;&gt;")</f>
        <v>0</v>
      </c>
    </row>
    <row r="765" customFormat="false" ht="15" hidden="false" customHeight="true" outlineLevel="0" collapsed="false">
      <c r="A765" s="10" t="n">
        <v>46726</v>
      </c>
      <c r="B765" s="10" t="n">
        <v>46727</v>
      </c>
      <c r="C765" s="22" t="n">
        <f aca="false">SUMIFS(Verbrauch!$C$9:$C$18896,Verbrauch!$A$9:$A$18896,"&gt;="&amp;A765,Verbrauch!$A$9:$A$18896,"&lt;"&amp;B765)</f>
        <v>0</v>
      </c>
      <c r="D765" s="22" t="n">
        <f aca="false">SUMIFS(Verbrauch!$C$9:$C$18896,Verbrauch!$A$9:$A$18896,"&gt;="&amp;A765,Verbrauch!$A$9:$A$18896,"&lt;"&amp;B765,Verbrauch!$F$9:$F$18896,"Go")</f>
        <v>0</v>
      </c>
      <c r="E765" s="22" t="n">
        <f aca="false">SUMIFS(Verbrauch!$C$9:$C$18896,Verbrauch!$A$9:$A$18896,"&gt;="&amp;A765,Verbrauch!$A$9:$A$18896,"&lt;"&amp;B765,Verbrauch!$F$9:$F$18896,"Standard")</f>
        <v>0</v>
      </c>
      <c r="F765" s="23" t="n">
        <f aca="false">SUMIFS(Verbrauch!$E$9:$E$18896,Verbrauch!$A$9:$A$18896,"&gt;="&amp;A765,Verbrauch!$A$9:$A$18896,"&lt;"&amp;B765)</f>
        <v>0</v>
      </c>
      <c r="G765" s="13" t="str">
        <f aca="false">IFERROR(F765/C765*100,"")</f>
        <v/>
      </c>
      <c r="H765" s="11" t="n">
        <f aca="false">COUNTIFS(Verbrauch!$A$9:$A$18896,"&gt;="&amp;A765,Verbrauch!$A$9:$A$18896,"&lt;"&amp;B765,Verbrauch!$C$9:$C$18896,"&lt;&gt;")</f>
        <v>0</v>
      </c>
    </row>
    <row r="766" customFormat="false" ht="15" hidden="false" customHeight="true" outlineLevel="0" collapsed="false">
      <c r="A766" s="10" t="n">
        <v>46727</v>
      </c>
      <c r="B766" s="10" t="n">
        <v>46728</v>
      </c>
      <c r="C766" s="22" t="n">
        <f aca="false">SUMIFS(Verbrauch!$C$9:$C$18896,Verbrauch!$A$9:$A$18896,"&gt;="&amp;A766,Verbrauch!$A$9:$A$18896,"&lt;"&amp;B766)</f>
        <v>0</v>
      </c>
      <c r="D766" s="22" t="n">
        <f aca="false">SUMIFS(Verbrauch!$C$9:$C$18896,Verbrauch!$A$9:$A$18896,"&gt;="&amp;A766,Verbrauch!$A$9:$A$18896,"&lt;"&amp;B766,Verbrauch!$F$9:$F$18896,"Go")</f>
        <v>0</v>
      </c>
      <c r="E766" s="22" t="n">
        <f aca="false">SUMIFS(Verbrauch!$C$9:$C$18896,Verbrauch!$A$9:$A$18896,"&gt;="&amp;A766,Verbrauch!$A$9:$A$18896,"&lt;"&amp;B766,Verbrauch!$F$9:$F$18896,"Standard")</f>
        <v>0</v>
      </c>
      <c r="F766" s="23" t="n">
        <f aca="false">SUMIFS(Verbrauch!$E$9:$E$18896,Verbrauch!$A$9:$A$18896,"&gt;="&amp;A766,Verbrauch!$A$9:$A$18896,"&lt;"&amp;B766)</f>
        <v>0</v>
      </c>
      <c r="G766" s="13" t="str">
        <f aca="false">IFERROR(F766/C766*100,"")</f>
        <v/>
      </c>
      <c r="H766" s="11" t="n">
        <f aca="false">COUNTIFS(Verbrauch!$A$9:$A$18896,"&gt;="&amp;A766,Verbrauch!$A$9:$A$18896,"&lt;"&amp;B766,Verbrauch!$C$9:$C$18896,"&lt;&gt;")</f>
        <v>0</v>
      </c>
    </row>
    <row r="767" customFormat="false" ht="15" hidden="false" customHeight="true" outlineLevel="0" collapsed="false">
      <c r="A767" s="10" t="n">
        <v>46728</v>
      </c>
      <c r="B767" s="10" t="n">
        <v>46729</v>
      </c>
      <c r="C767" s="22" t="n">
        <f aca="false">SUMIFS(Verbrauch!$C$9:$C$18896,Verbrauch!$A$9:$A$18896,"&gt;="&amp;A767,Verbrauch!$A$9:$A$18896,"&lt;"&amp;B767)</f>
        <v>0</v>
      </c>
      <c r="D767" s="22" t="n">
        <f aca="false">SUMIFS(Verbrauch!$C$9:$C$18896,Verbrauch!$A$9:$A$18896,"&gt;="&amp;A767,Verbrauch!$A$9:$A$18896,"&lt;"&amp;B767,Verbrauch!$F$9:$F$18896,"Go")</f>
        <v>0</v>
      </c>
      <c r="E767" s="22" t="n">
        <f aca="false">SUMIFS(Verbrauch!$C$9:$C$18896,Verbrauch!$A$9:$A$18896,"&gt;="&amp;A767,Verbrauch!$A$9:$A$18896,"&lt;"&amp;B767,Verbrauch!$F$9:$F$18896,"Standard")</f>
        <v>0</v>
      </c>
      <c r="F767" s="23" t="n">
        <f aca="false">SUMIFS(Verbrauch!$E$9:$E$18896,Verbrauch!$A$9:$A$18896,"&gt;="&amp;A767,Verbrauch!$A$9:$A$18896,"&lt;"&amp;B767)</f>
        <v>0</v>
      </c>
      <c r="G767" s="13" t="str">
        <f aca="false">IFERROR(F767/C767*100,"")</f>
        <v/>
      </c>
      <c r="H767" s="11" t="n">
        <f aca="false">COUNTIFS(Verbrauch!$A$9:$A$18896,"&gt;="&amp;A767,Verbrauch!$A$9:$A$18896,"&lt;"&amp;B767,Verbrauch!$C$9:$C$18896,"&lt;&gt;")</f>
        <v>0</v>
      </c>
    </row>
    <row r="768" customFormat="false" ht="15" hidden="false" customHeight="true" outlineLevel="0" collapsed="false">
      <c r="A768" s="10" t="n">
        <v>46729</v>
      </c>
      <c r="B768" s="10" t="n">
        <v>46730</v>
      </c>
      <c r="C768" s="22" t="n">
        <f aca="false">SUMIFS(Verbrauch!$C$9:$C$18896,Verbrauch!$A$9:$A$18896,"&gt;="&amp;A768,Verbrauch!$A$9:$A$18896,"&lt;"&amp;B768)</f>
        <v>0</v>
      </c>
      <c r="D768" s="22" t="n">
        <f aca="false">SUMIFS(Verbrauch!$C$9:$C$18896,Verbrauch!$A$9:$A$18896,"&gt;="&amp;A768,Verbrauch!$A$9:$A$18896,"&lt;"&amp;B768,Verbrauch!$F$9:$F$18896,"Go")</f>
        <v>0</v>
      </c>
      <c r="E768" s="22" t="n">
        <f aca="false">SUMIFS(Verbrauch!$C$9:$C$18896,Verbrauch!$A$9:$A$18896,"&gt;="&amp;A768,Verbrauch!$A$9:$A$18896,"&lt;"&amp;B768,Verbrauch!$F$9:$F$18896,"Standard")</f>
        <v>0</v>
      </c>
      <c r="F768" s="23" t="n">
        <f aca="false">SUMIFS(Verbrauch!$E$9:$E$18896,Verbrauch!$A$9:$A$18896,"&gt;="&amp;A768,Verbrauch!$A$9:$A$18896,"&lt;"&amp;B768)</f>
        <v>0</v>
      </c>
      <c r="G768" s="13" t="str">
        <f aca="false">IFERROR(F768/C768*100,"")</f>
        <v/>
      </c>
      <c r="H768" s="11" t="n">
        <f aca="false">COUNTIFS(Verbrauch!$A$9:$A$18896,"&gt;="&amp;A768,Verbrauch!$A$9:$A$18896,"&lt;"&amp;B768,Verbrauch!$C$9:$C$18896,"&lt;&gt;")</f>
        <v>0</v>
      </c>
    </row>
    <row r="769" customFormat="false" ht="15" hidden="false" customHeight="true" outlineLevel="0" collapsed="false">
      <c r="A769" s="10" t="n">
        <v>46730</v>
      </c>
      <c r="B769" s="10" t="n">
        <v>46731</v>
      </c>
      <c r="C769" s="22" t="n">
        <f aca="false">SUMIFS(Verbrauch!$C$9:$C$18896,Verbrauch!$A$9:$A$18896,"&gt;="&amp;A769,Verbrauch!$A$9:$A$18896,"&lt;"&amp;B769)</f>
        <v>0</v>
      </c>
      <c r="D769" s="22" t="n">
        <f aca="false">SUMIFS(Verbrauch!$C$9:$C$18896,Verbrauch!$A$9:$A$18896,"&gt;="&amp;A769,Verbrauch!$A$9:$A$18896,"&lt;"&amp;B769,Verbrauch!$F$9:$F$18896,"Go")</f>
        <v>0</v>
      </c>
      <c r="E769" s="22" t="n">
        <f aca="false">SUMIFS(Verbrauch!$C$9:$C$18896,Verbrauch!$A$9:$A$18896,"&gt;="&amp;A769,Verbrauch!$A$9:$A$18896,"&lt;"&amp;B769,Verbrauch!$F$9:$F$18896,"Standard")</f>
        <v>0</v>
      </c>
      <c r="F769" s="23" t="n">
        <f aca="false">SUMIFS(Verbrauch!$E$9:$E$18896,Verbrauch!$A$9:$A$18896,"&gt;="&amp;A769,Verbrauch!$A$9:$A$18896,"&lt;"&amp;B769)</f>
        <v>0</v>
      </c>
      <c r="G769" s="13" t="str">
        <f aca="false">IFERROR(F769/C769*100,"")</f>
        <v/>
      </c>
      <c r="H769" s="11" t="n">
        <f aca="false">COUNTIFS(Verbrauch!$A$9:$A$18896,"&gt;="&amp;A769,Verbrauch!$A$9:$A$18896,"&lt;"&amp;B769,Verbrauch!$C$9:$C$18896,"&lt;&gt;")</f>
        <v>0</v>
      </c>
    </row>
    <row r="770" customFormat="false" ht="15" hidden="false" customHeight="true" outlineLevel="0" collapsed="false">
      <c r="A770" s="10" t="n">
        <v>46731</v>
      </c>
      <c r="B770" s="10" t="n">
        <v>46732</v>
      </c>
      <c r="C770" s="22" t="n">
        <f aca="false">SUMIFS(Verbrauch!$C$9:$C$18896,Verbrauch!$A$9:$A$18896,"&gt;="&amp;A770,Verbrauch!$A$9:$A$18896,"&lt;"&amp;B770)</f>
        <v>0</v>
      </c>
      <c r="D770" s="22" t="n">
        <f aca="false">SUMIFS(Verbrauch!$C$9:$C$18896,Verbrauch!$A$9:$A$18896,"&gt;="&amp;A770,Verbrauch!$A$9:$A$18896,"&lt;"&amp;B770,Verbrauch!$F$9:$F$18896,"Go")</f>
        <v>0</v>
      </c>
      <c r="E770" s="22" t="n">
        <f aca="false">SUMIFS(Verbrauch!$C$9:$C$18896,Verbrauch!$A$9:$A$18896,"&gt;="&amp;A770,Verbrauch!$A$9:$A$18896,"&lt;"&amp;B770,Verbrauch!$F$9:$F$18896,"Standard")</f>
        <v>0</v>
      </c>
      <c r="F770" s="23" t="n">
        <f aca="false">SUMIFS(Verbrauch!$E$9:$E$18896,Verbrauch!$A$9:$A$18896,"&gt;="&amp;A770,Verbrauch!$A$9:$A$18896,"&lt;"&amp;B770)</f>
        <v>0</v>
      </c>
      <c r="G770" s="13" t="str">
        <f aca="false">IFERROR(F770/C770*100,"")</f>
        <v/>
      </c>
      <c r="H770" s="11" t="n">
        <f aca="false">COUNTIFS(Verbrauch!$A$9:$A$18896,"&gt;="&amp;A770,Verbrauch!$A$9:$A$18896,"&lt;"&amp;B770,Verbrauch!$C$9:$C$18896,"&lt;&gt;")</f>
        <v>0</v>
      </c>
    </row>
    <row r="771" customFormat="false" ht="15" hidden="false" customHeight="true" outlineLevel="0" collapsed="false">
      <c r="A771" s="10" t="n">
        <v>46732</v>
      </c>
      <c r="B771" s="10" t="n">
        <v>46733</v>
      </c>
      <c r="C771" s="22" t="n">
        <f aca="false">SUMIFS(Verbrauch!$C$9:$C$18896,Verbrauch!$A$9:$A$18896,"&gt;="&amp;A771,Verbrauch!$A$9:$A$18896,"&lt;"&amp;B771)</f>
        <v>0</v>
      </c>
      <c r="D771" s="22" t="n">
        <f aca="false">SUMIFS(Verbrauch!$C$9:$C$18896,Verbrauch!$A$9:$A$18896,"&gt;="&amp;A771,Verbrauch!$A$9:$A$18896,"&lt;"&amp;B771,Verbrauch!$F$9:$F$18896,"Go")</f>
        <v>0</v>
      </c>
      <c r="E771" s="22" t="n">
        <f aca="false">SUMIFS(Verbrauch!$C$9:$C$18896,Verbrauch!$A$9:$A$18896,"&gt;="&amp;A771,Verbrauch!$A$9:$A$18896,"&lt;"&amp;B771,Verbrauch!$F$9:$F$18896,"Standard")</f>
        <v>0</v>
      </c>
      <c r="F771" s="23" t="n">
        <f aca="false">SUMIFS(Verbrauch!$E$9:$E$18896,Verbrauch!$A$9:$A$18896,"&gt;="&amp;A771,Verbrauch!$A$9:$A$18896,"&lt;"&amp;B771)</f>
        <v>0</v>
      </c>
      <c r="G771" s="13" t="str">
        <f aca="false">IFERROR(F771/C771*100,"")</f>
        <v/>
      </c>
      <c r="H771" s="11" t="n">
        <f aca="false">COUNTIFS(Verbrauch!$A$9:$A$18896,"&gt;="&amp;A771,Verbrauch!$A$9:$A$18896,"&lt;"&amp;B771,Verbrauch!$C$9:$C$18896,"&lt;&gt;")</f>
        <v>0</v>
      </c>
    </row>
    <row r="772" customFormat="false" ht="15" hidden="false" customHeight="true" outlineLevel="0" collapsed="false">
      <c r="A772" s="10" t="n">
        <v>46733</v>
      </c>
      <c r="B772" s="10" t="n">
        <v>46734</v>
      </c>
      <c r="C772" s="22" t="n">
        <f aca="false">SUMIFS(Verbrauch!$C$9:$C$18896,Verbrauch!$A$9:$A$18896,"&gt;="&amp;A772,Verbrauch!$A$9:$A$18896,"&lt;"&amp;B772)</f>
        <v>0</v>
      </c>
      <c r="D772" s="22" t="n">
        <f aca="false">SUMIFS(Verbrauch!$C$9:$C$18896,Verbrauch!$A$9:$A$18896,"&gt;="&amp;A772,Verbrauch!$A$9:$A$18896,"&lt;"&amp;B772,Verbrauch!$F$9:$F$18896,"Go")</f>
        <v>0</v>
      </c>
      <c r="E772" s="22" t="n">
        <f aca="false">SUMIFS(Verbrauch!$C$9:$C$18896,Verbrauch!$A$9:$A$18896,"&gt;="&amp;A772,Verbrauch!$A$9:$A$18896,"&lt;"&amp;B772,Verbrauch!$F$9:$F$18896,"Standard")</f>
        <v>0</v>
      </c>
      <c r="F772" s="23" t="n">
        <f aca="false">SUMIFS(Verbrauch!$E$9:$E$18896,Verbrauch!$A$9:$A$18896,"&gt;="&amp;A772,Verbrauch!$A$9:$A$18896,"&lt;"&amp;B772)</f>
        <v>0</v>
      </c>
      <c r="G772" s="13" t="str">
        <f aca="false">IFERROR(F772/C772*100,"")</f>
        <v/>
      </c>
      <c r="H772" s="11" t="n">
        <f aca="false">COUNTIFS(Verbrauch!$A$9:$A$18896,"&gt;="&amp;A772,Verbrauch!$A$9:$A$18896,"&lt;"&amp;B772,Verbrauch!$C$9:$C$18896,"&lt;&gt;")</f>
        <v>0</v>
      </c>
    </row>
    <row r="773" customFormat="false" ht="15" hidden="false" customHeight="true" outlineLevel="0" collapsed="false">
      <c r="A773" s="10" t="n">
        <v>46734</v>
      </c>
      <c r="B773" s="10" t="n">
        <v>46735</v>
      </c>
      <c r="C773" s="22" t="n">
        <f aca="false">SUMIFS(Verbrauch!$C$9:$C$18896,Verbrauch!$A$9:$A$18896,"&gt;="&amp;A773,Verbrauch!$A$9:$A$18896,"&lt;"&amp;B773)</f>
        <v>0</v>
      </c>
      <c r="D773" s="22" t="n">
        <f aca="false">SUMIFS(Verbrauch!$C$9:$C$18896,Verbrauch!$A$9:$A$18896,"&gt;="&amp;A773,Verbrauch!$A$9:$A$18896,"&lt;"&amp;B773,Verbrauch!$F$9:$F$18896,"Go")</f>
        <v>0</v>
      </c>
      <c r="E773" s="22" t="n">
        <f aca="false">SUMIFS(Verbrauch!$C$9:$C$18896,Verbrauch!$A$9:$A$18896,"&gt;="&amp;A773,Verbrauch!$A$9:$A$18896,"&lt;"&amp;B773,Verbrauch!$F$9:$F$18896,"Standard")</f>
        <v>0</v>
      </c>
      <c r="F773" s="23" t="n">
        <f aca="false">SUMIFS(Verbrauch!$E$9:$E$18896,Verbrauch!$A$9:$A$18896,"&gt;="&amp;A773,Verbrauch!$A$9:$A$18896,"&lt;"&amp;B773)</f>
        <v>0</v>
      </c>
      <c r="G773" s="13" t="str">
        <f aca="false">IFERROR(F773/C773*100,"")</f>
        <v/>
      </c>
      <c r="H773" s="11" t="n">
        <f aca="false">COUNTIFS(Verbrauch!$A$9:$A$18896,"&gt;="&amp;A773,Verbrauch!$A$9:$A$18896,"&lt;"&amp;B773,Verbrauch!$C$9:$C$18896,"&lt;&gt;")</f>
        <v>0</v>
      </c>
    </row>
    <row r="774" customFormat="false" ht="15" hidden="false" customHeight="true" outlineLevel="0" collapsed="false">
      <c r="A774" s="10" t="n">
        <v>46735</v>
      </c>
      <c r="B774" s="10" t="n">
        <v>46736</v>
      </c>
      <c r="C774" s="22" t="n">
        <f aca="false">SUMIFS(Verbrauch!$C$9:$C$18896,Verbrauch!$A$9:$A$18896,"&gt;="&amp;A774,Verbrauch!$A$9:$A$18896,"&lt;"&amp;B774)</f>
        <v>0</v>
      </c>
      <c r="D774" s="22" t="n">
        <f aca="false">SUMIFS(Verbrauch!$C$9:$C$18896,Verbrauch!$A$9:$A$18896,"&gt;="&amp;A774,Verbrauch!$A$9:$A$18896,"&lt;"&amp;B774,Verbrauch!$F$9:$F$18896,"Go")</f>
        <v>0</v>
      </c>
      <c r="E774" s="22" t="n">
        <f aca="false">SUMIFS(Verbrauch!$C$9:$C$18896,Verbrauch!$A$9:$A$18896,"&gt;="&amp;A774,Verbrauch!$A$9:$A$18896,"&lt;"&amp;B774,Verbrauch!$F$9:$F$18896,"Standard")</f>
        <v>0</v>
      </c>
      <c r="F774" s="23" t="n">
        <f aca="false">SUMIFS(Verbrauch!$E$9:$E$18896,Verbrauch!$A$9:$A$18896,"&gt;="&amp;A774,Verbrauch!$A$9:$A$18896,"&lt;"&amp;B774)</f>
        <v>0</v>
      </c>
      <c r="G774" s="13" t="str">
        <f aca="false">IFERROR(F774/C774*100,"")</f>
        <v/>
      </c>
      <c r="H774" s="11" t="n">
        <f aca="false">COUNTIFS(Verbrauch!$A$9:$A$18896,"&gt;="&amp;A774,Verbrauch!$A$9:$A$18896,"&lt;"&amp;B774,Verbrauch!$C$9:$C$18896,"&lt;&gt;")</f>
        <v>0</v>
      </c>
    </row>
    <row r="775" customFormat="false" ht="15" hidden="false" customHeight="true" outlineLevel="0" collapsed="false">
      <c r="A775" s="10" t="n">
        <v>46736</v>
      </c>
      <c r="B775" s="10" t="n">
        <v>46737</v>
      </c>
      <c r="C775" s="22" t="n">
        <f aca="false">SUMIFS(Verbrauch!$C$9:$C$18896,Verbrauch!$A$9:$A$18896,"&gt;="&amp;A775,Verbrauch!$A$9:$A$18896,"&lt;"&amp;B775)</f>
        <v>0</v>
      </c>
      <c r="D775" s="22" t="n">
        <f aca="false">SUMIFS(Verbrauch!$C$9:$C$18896,Verbrauch!$A$9:$A$18896,"&gt;="&amp;A775,Verbrauch!$A$9:$A$18896,"&lt;"&amp;B775,Verbrauch!$F$9:$F$18896,"Go")</f>
        <v>0</v>
      </c>
      <c r="E775" s="22" t="n">
        <f aca="false">SUMIFS(Verbrauch!$C$9:$C$18896,Verbrauch!$A$9:$A$18896,"&gt;="&amp;A775,Verbrauch!$A$9:$A$18896,"&lt;"&amp;B775,Verbrauch!$F$9:$F$18896,"Standard")</f>
        <v>0</v>
      </c>
      <c r="F775" s="23" t="n">
        <f aca="false">SUMIFS(Verbrauch!$E$9:$E$18896,Verbrauch!$A$9:$A$18896,"&gt;="&amp;A775,Verbrauch!$A$9:$A$18896,"&lt;"&amp;B775)</f>
        <v>0</v>
      </c>
      <c r="G775" s="13" t="str">
        <f aca="false">IFERROR(F775/C775*100,"")</f>
        <v/>
      </c>
      <c r="H775" s="11" t="n">
        <f aca="false">COUNTIFS(Verbrauch!$A$9:$A$18896,"&gt;="&amp;A775,Verbrauch!$A$9:$A$18896,"&lt;"&amp;B775,Verbrauch!$C$9:$C$18896,"&lt;&gt;")</f>
        <v>0</v>
      </c>
    </row>
    <row r="776" customFormat="false" ht="15" hidden="false" customHeight="true" outlineLevel="0" collapsed="false">
      <c r="A776" s="10" t="n">
        <v>46737</v>
      </c>
      <c r="B776" s="10" t="n">
        <v>46738</v>
      </c>
      <c r="C776" s="22" t="n">
        <f aca="false">SUMIFS(Verbrauch!$C$9:$C$18896,Verbrauch!$A$9:$A$18896,"&gt;="&amp;A776,Verbrauch!$A$9:$A$18896,"&lt;"&amp;B776)</f>
        <v>0</v>
      </c>
      <c r="D776" s="22" t="n">
        <f aca="false">SUMIFS(Verbrauch!$C$9:$C$18896,Verbrauch!$A$9:$A$18896,"&gt;="&amp;A776,Verbrauch!$A$9:$A$18896,"&lt;"&amp;B776,Verbrauch!$F$9:$F$18896,"Go")</f>
        <v>0</v>
      </c>
      <c r="E776" s="22" t="n">
        <f aca="false">SUMIFS(Verbrauch!$C$9:$C$18896,Verbrauch!$A$9:$A$18896,"&gt;="&amp;A776,Verbrauch!$A$9:$A$18896,"&lt;"&amp;B776,Verbrauch!$F$9:$F$18896,"Standard")</f>
        <v>0</v>
      </c>
      <c r="F776" s="23" t="n">
        <f aca="false">SUMIFS(Verbrauch!$E$9:$E$18896,Verbrauch!$A$9:$A$18896,"&gt;="&amp;A776,Verbrauch!$A$9:$A$18896,"&lt;"&amp;B776)</f>
        <v>0</v>
      </c>
      <c r="G776" s="13" t="str">
        <f aca="false">IFERROR(F776/C776*100,"")</f>
        <v/>
      </c>
      <c r="H776" s="11" t="n">
        <f aca="false">COUNTIFS(Verbrauch!$A$9:$A$18896,"&gt;="&amp;A776,Verbrauch!$A$9:$A$18896,"&lt;"&amp;B776,Verbrauch!$C$9:$C$18896,"&lt;&gt;")</f>
        <v>0</v>
      </c>
    </row>
    <row r="777" customFormat="false" ht="15" hidden="false" customHeight="true" outlineLevel="0" collapsed="false">
      <c r="A777" s="10" t="n">
        <v>46738</v>
      </c>
      <c r="B777" s="10" t="n">
        <v>46739</v>
      </c>
      <c r="C777" s="22" t="n">
        <f aca="false">SUMIFS(Verbrauch!$C$9:$C$18896,Verbrauch!$A$9:$A$18896,"&gt;="&amp;A777,Verbrauch!$A$9:$A$18896,"&lt;"&amp;B777)</f>
        <v>0</v>
      </c>
      <c r="D777" s="22" t="n">
        <f aca="false">SUMIFS(Verbrauch!$C$9:$C$18896,Verbrauch!$A$9:$A$18896,"&gt;="&amp;A777,Verbrauch!$A$9:$A$18896,"&lt;"&amp;B777,Verbrauch!$F$9:$F$18896,"Go")</f>
        <v>0</v>
      </c>
      <c r="E777" s="22" t="n">
        <f aca="false">SUMIFS(Verbrauch!$C$9:$C$18896,Verbrauch!$A$9:$A$18896,"&gt;="&amp;A777,Verbrauch!$A$9:$A$18896,"&lt;"&amp;B777,Verbrauch!$F$9:$F$18896,"Standard")</f>
        <v>0</v>
      </c>
      <c r="F777" s="23" t="n">
        <f aca="false">SUMIFS(Verbrauch!$E$9:$E$18896,Verbrauch!$A$9:$A$18896,"&gt;="&amp;A777,Verbrauch!$A$9:$A$18896,"&lt;"&amp;B777)</f>
        <v>0</v>
      </c>
      <c r="G777" s="13" t="str">
        <f aca="false">IFERROR(F777/C777*100,"")</f>
        <v/>
      </c>
      <c r="H777" s="11" t="n">
        <f aca="false">COUNTIFS(Verbrauch!$A$9:$A$18896,"&gt;="&amp;A777,Verbrauch!$A$9:$A$18896,"&lt;"&amp;B777,Verbrauch!$C$9:$C$18896,"&lt;&gt;")</f>
        <v>0</v>
      </c>
    </row>
    <row r="778" customFormat="false" ht="15" hidden="false" customHeight="true" outlineLevel="0" collapsed="false">
      <c r="A778" s="10" t="n">
        <v>46739</v>
      </c>
      <c r="B778" s="10" t="n">
        <v>46740</v>
      </c>
      <c r="C778" s="22" t="n">
        <f aca="false">SUMIFS(Verbrauch!$C$9:$C$18896,Verbrauch!$A$9:$A$18896,"&gt;="&amp;A778,Verbrauch!$A$9:$A$18896,"&lt;"&amp;B778)</f>
        <v>0</v>
      </c>
      <c r="D778" s="22" t="n">
        <f aca="false">SUMIFS(Verbrauch!$C$9:$C$18896,Verbrauch!$A$9:$A$18896,"&gt;="&amp;A778,Verbrauch!$A$9:$A$18896,"&lt;"&amp;B778,Verbrauch!$F$9:$F$18896,"Go")</f>
        <v>0</v>
      </c>
      <c r="E778" s="22" t="n">
        <f aca="false">SUMIFS(Verbrauch!$C$9:$C$18896,Verbrauch!$A$9:$A$18896,"&gt;="&amp;A778,Verbrauch!$A$9:$A$18896,"&lt;"&amp;B778,Verbrauch!$F$9:$F$18896,"Standard")</f>
        <v>0</v>
      </c>
      <c r="F778" s="23" t="n">
        <f aca="false">SUMIFS(Verbrauch!$E$9:$E$18896,Verbrauch!$A$9:$A$18896,"&gt;="&amp;A778,Verbrauch!$A$9:$A$18896,"&lt;"&amp;B778)</f>
        <v>0</v>
      </c>
      <c r="G778" s="13" t="str">
        <f aca="false">IFERROR(F778/C778*100,"")</f>
        <v/>
      </c>
      <c r="H778" s="11" t="n">
        <f aca="false">COUNTIFS(Verbrauch!$A$9:$A$18896,"&gt;="&amp;A778,Verbrauch!$A$9:$A$18896,"&lt;"&amp;B778,Verbrauch!$C$9:$C$18896,"&lt;&gt;")</f>
        <v>0</v>
      </c>
    </row>
    <row r="779" customFormat="false" ht="15" hidden="false" customHeight="true" outlineLevel="0" collapsed="false">
      <c r="A779" s="10" t="n">
        <v>46740</v>
      </c>
      <c r="B779" s="10" t="n">
        <v>46741</v>
      </c>
      <c r="C779" s="22" t="n">
        <f aca="false">SUMIFS(Verbrauch!$C$9:$C$18896,Verbrauch!$A$9:$A$18896,"&gt;="&amp;A779,Verbrauch!$A$9:$A$18896,"&lt;"&amp;B779)</f>
        <v>0</v>
      </c>
      <c r="D779" s="22" t="n">
        <f aca="false">SUMIFS(Verbrauch!$C$9:$C$18896,Verbrauch!$A$9:$A$18896,"&gt;="&amp;A779,Verbrauch!$A$9:$A$18896,"&lt;"&amp;B779,Verbrauch!$F$9:$F$18896,"Go")</f>
        <v>0</v>
      </c>
      <c r="E779" s="22" t="n">
        <f aca="false">SUMIFS(Verbrauch!$C$9:$C$18896,Verbrauch!$A$9:$A$18896,"&gt;="&amp;A779,Verbrauch!$A$9:$A$18896,"&lt;"&amp;B779,Verbrauch!$F$9:$F$18896,"Standard")</f>
        <v>0</v>
      </c>
      <c r="F779" s="23" t="n">
        <f aca="false">SUMIFS(Verbrauch!$E$9:$E$18896,Verbrauch!$A$9:$A$18896,"&gt;="&amp;A779,Verbrauch!$A$9:$A$18896,"&lt;"&amp;B779)</f>
        <v>0</v>
      </c>
      <c r="G779" s="13" t="str">
        <f aca="false">IFERROR(F779/C779*100,"")</f>
        <v/>
      </c>
      <c r="H779" s="11" t="n">
        <f aca="false">COUNTIFS(Verbrauch!$A$9:$A$18896,"&gt;="&amp;A779,Verbrauch!$A$9:$A$18896,"&lt;"&amp;B779,Verbrauch!$C$9:$C$18896,"&lt;&gt;")</f>
        <v>0</v>
      </c>
    </row>
    <row r="780" customFormat="false" ht="15" hidden="false" customHeight="true" outlineLevel="0" collapsed="false">
      <c r="A780" s="10" t="n">
        <v>46741</v>
      </c>
      <c r="B780" s="10" t="n">
        <v>46742</v>
      </c>
      <c r="C780" s="22" t="n">
        <f aca="false">SUMIFS(Verbrauch!$C$9:$C$18896,Verbrauch!$A$9:$A$18896,"&gt;="&amp;A780,Verbrauch!$A$9:$A$18896,"&lt;"&amp;B780)</f>
        <v>0</v>
      </c>
      <c r="D780" s="22" t="n">
        <f aca="false">SUMIFS(Verbrauch!$C$9:$C$18896,Verbrauch!$A$9:$A$18896,"&gt;="&amp;A780,Verbrauch!$A$9:$A$18896,"&lt;"&amp;B780,Verbrauch!$F$9:$F$18896,"Go")</f>
        <v>0</v>
      </c>
      <c r="E780" s="22" t="n">
        <f aca="false">SUMIFS(Verbrauch!$C$9:$C$18896,Verbrauch!$A$9:$A$18896,"&gt;="&amp;A780,Verbrauch!$A$9:$A$18896,"&lt;"&amp;B780,Verbrauch!$F$9:$F$18896,"Standard")</f>
        <v>0</v>
      </c>
      <c r="F780" s="23" t="n">
        <f aca="false">SUMIFS(Verbrauch!$E$9:$E$18896,Verbrauch!$A$9:$A$18896,"&gt;="&amp;A780,Verbrauch!$A$9:$A$18896,"&lt;"&amp;B780)</f>
        <v>0</v>
      </c>
      <c r="G780" s="13" t="str">
        <f aca="false">IFERROR(F780/C780*100,"")</f>
        <v/>
      </c>
      <c r="H780" s="11" t="n">
        <f aca="false">COUNTIFS(Verbrauch!$A$9:$A$18896,"&gt;="&amp;A780,Verbrauch!$A$9:$A$18896,"&lt;"&amp;B780,Verbrauch!$C$9:$C$18896,"&lt;&gt;")</f>
        <v>0</v>
      </c>
    </row>
    <row r="781" customFormat="false" ht="15" hidden="false" customHeight="true" outlineLevel="0" collapsed="false">
      <c r="A781" s="10" t="n">
        <v>46742</v>
      </c>
      <c r="B781" s="10" t="n">
        <v>46743</v>
      </c>
      <c r="C781" s="22" t="n">
        <f aca="false">SUMIFS(Verbrauch!$C$9:$C$18896,Verbrauch!$A$9:$A$18896,"&gt;="&amp;A781,Verbrauch!$A$9:$A$18896,"&lt;"&amp;B781)</f>
        <v>0</v>
      </c>
      <c r="D781" s="22" t="n">
        <f aca="false">SUMIFS(Verbrauch!$C$9:$C$18896,Verbrauch!$A$9:$A$18896,"&gt;="&amp;A781,Verbrauch!$A$9:$A$18896,"&lt;"&amp;B781,Verbrauch!$F$9:$F$18896,"Go")</f>
        <v>0</v>
      </c>
      <c r="E781" s="22" t="n">
        <f aca="false">SUMIFS(Verbrauch!$C$9:$C$18896,Verbrauch!$A$9:$A$18896,"&gt;="&amp;A781,Verbrauch!$A$9:$A$18896,"&lt;"&amp;B781,Verbrauch!$F$9:$F$18896,"Standard")</f>
        <v>0</v>
      </c>
      <c r="F781" s="23" t="n">
        <f aca="false">SUMIFS(Verbrauch!$E$9:$E$18896,Verbrauch!$A$9:$A$18896,"&gt;="&amp;A781,Verbrauch!$A$9:$A$18896,"&lt;"&amp;B781)</f>
        <v>0</v>
      </c>
      <c r="G781" s="13" t="str">
        <f aca="false">IFERROR(F781/C781*100,"")</f>
        <v/>
      </c>
      <c r="H781" s="11" t="n">
        <f aca="false">COUNTIFS(Verbrauch!$A$9:$A$18896,"&gt;="&amp;A781,Verbrauch!$A$9:$A$18896,"&lt;"&amp;B781,Verbrauch!$C$9:$C$18896,"&lt;&gt;")</f>
        <v>0</v>
      </c>
    </row>
    <row r="782" customFormat="false" ht="15" hidden="false" customHeight="true" outlineLevel="0" collapsed="false">
      <c r="A782" s="10" t="n">
        <v>46743</v>
      </c>
      <c r="B782" s="10" t="n">
        <v>46744</v>
      </c>
      <c r="C782" s="22" t="n">
        <f aca="false">SUMIFS(Verbrauch!$C$9:$C$18896,Verbrauch!$A$9:$A$18896,"&gt;="&amp;A782,Verbrauch!$A$9:$A$18896,"&lt;"&amp;B782)</f>
        <v>0</v>
      </c>
      <c r="D782" s="22" t="n">
        <f aca="false">SUMIFS(Verbrauch!$C$9:$C$18896,Verbrauch!$A$9:$A$18896,"&gt;="&amp;A782,Verbrauch!$A$9:$A$18896,"&lt;"&amp;B782,Verbrauch!$F$9:$F$18896,"Go")</f>
        <v>0</v>
      </c>
      <c r="E782" s="22" t="n">
        <f aca="false">SUMIFS(Verbrauch!$C$9:$C$18896,Verbrauch!$A$9:$A$18896,"&gt;="&amp;A782,Verbrauch!$A$9:$A$18896,"&lt;"&amp;B782,Verbrauch!$F$9:$F$18896,"Standard")</f>
        <v>0</v>
      </c>
      <c r="F782" s="23" t="n">
        <f aca="false">SUMIFS(Verbrauch!$E$9:$E$18896,Verbrauch!$A$9:$A$18896,"&gt;="&amp;A782,Verbrauch!$A$9:$A$18896,"&lt;"&amp;B782)</f>
        <v>0</v>
      </c>
      <c r="G782" s="13" t="str">
        <f aca="false">IFERROR(F782/C782*100,"")</f>
        <v/>
      </c>
      <c r="H782" s="11" t="n">
        <f aca="false">COUNTIFS(Verbrauch!$A$9:$A$18896,"&gt;="&amp;A782,Verbrauch!$A$9:$A$18896,"&lt;"&amp;B782,Verbrauch!$C$9:$C$18896,"&lt;&gt;")</f>
        <v>0</v>
      </c>
    </row>
    <row r="783" customFormat="false" ht="15" hidden="false" customHeight="true" outlineLevel="0" collapsed="false">
      <c r="A783" s="10" t="n">
        <v>46744</v>
      </c>
      <c r="B783" s="10" t="n">
        <v>46745</v>
      </c>
      <c r="C783" s="22" t="n">
        <f aca="false">SUMIFS(Verbrauch!$C$9:$C$18896,Verbrauch!$A$9:$A$18896,"&gt;="&amp;A783,Verbrauch!$A$9:$A$18896,"&lt;"&amp;B783)</f>
        <v>0</v>
      </c>
      <c r="D783" s="22" t="n">
        <f aca="false">SUMIFS(Verbrauch!$C$9:$C$18896,Verbrauch!$A$9:$A$18896,"&gt;="&amp;A783,Verbrauch!$A$9:$A$18896,"&lt;"&amp;B783,Verbrauch!$F$9:$F$18896,"Go")</f>
        <v>0</v>
      </c>
      <c r="E783" s="22" t="n">
        <f aca="false">SUMIFS(Verbrauch!$C$9:$C$18896,Verbrauch!$A$9:$A$18896,"&gt;="&amp;A783,Verbrauch!$A$9:$A$18896,"&lt;"&amp;B783,Verbrauch!$F$9:$F$18896,"Standard")</f>
        <v>0</v>
      </c>
      <c r="F783" s="23" t="n">
        <f aca="false">SUMIFS(Verbrauch!$E$9:$E$18896,Verbrauch!$A$9:$A$18896,"&gt;="&amp;A783,Verbrauch!$A$9:$A$18896,"&lt;"&amp;B783)</f>
        <v>0</v>
      </c>
      <c r="G783" s="13" t="str">
        <f aca="false">IFERROR(F783/C783*100,"")</f>
        <v/>
      </c>
      <c r="H783" s="11" t="n">
        <f aca="false">COUNTIFS(Verbrauch!$A$9:$A$18896,"&gt;="&amp;A783,Verbrauch!$A$9:$A$18896,"&lt;"&amp;B783,Verbrauch!$C$9:$C$18896,"&lt;&gt;")</f>
        <v>0</v>
      </c>
    </row>
    <row r="784" customFormat="false" ht="15" hidden="false" customHeight="true" outlineLevel="0" collapsed="false">
      <c r="A784" s="10" t="n">
        <v>46745</v>
      </c>
      <c r="B784" s="10" t="n">
        <v>46746</v>
      </c>
      <c r="C784" s="22" t="n">
        <f aca="false">SUMIFS(Verbrauch!$C$9:$C$18896,Verbrauch!$A$9:$A$18896,"&gt;="&amp;A784,Verbrauch!$A$9:$A$18896,"&lt;"&amp;B784)</f>
        <v>0</v>
      </c>
      <c r="D784" s="22" t="n">
        <f aca="false">SUMIFS(Verbrauch!$C$9:$C$18896,Verbrauch!$A$9:$A$18896,"&gt;="&amp;A784,Verbrauch!$A$9:$A$18896,"&lt;"&amp;B784,Verbrauch!$F$9:$F$18896,"Go")</f>
        <v>0</v>
      </c>
      <c r="E784" s="22" t="n">
        <f aca="false">SUMIFS(Verbrauch!$C$9:$C$18896,Verbrauch!$A$9:$A$18896,"&gt;="&amp;A784,Verbrauch!$A$9:$A$18896,"&lt;"&amp;B784,Verbrauch!$F$9:$F$18896,"Standard")</f>
        <v>0</v>
      </c>
      <c r="F784" s="23" t="n">
        <f aca="false">SUMIFS(Verbrauch!$E$9:$E$18896,Verbrauch!$A$9:$A$18896,"&gt;="&amp;A784,Verbrauch!$A$9:$A$18896,"&lt;"&amp;B784)</f>
        <v>0</v>
      </c>
      <c r="G784" s="13" t="str">
        <f aca="false">IFERROR(F784/C784*100,"")</f>
        <v/>
      </c>
      <c r="H784" s="11" t="n">
        <f aca="false">COUNTIFS(Verbrauch!$A$9:$A$18896,"&gt;="&amp;A784,Verbrauch!$A$9:$A$18896,"&lt;"&amp;B784,Verbrauch!$C$9:$C$18896,"&lt;&gt;")</f>
        <v>0</v>
      </c>
    </row>
    <row r="785" customFormat="false" ht="15" hidden="false" customHeight="true" outlineLevel="0" collapsed="false">
      <c r="A785" s="10" t="n">
        <v>46746</v>
      </c>
      <c r="B785" s="10" t="n">
        <v>46747</v>
      </c>
      <c r="C785" s="22" t="n">
        <f aca="false">SUMIFS(Verbrauch!$C$9:$C$18896,Verbrauch!$A$9:$A$18896,"&gt;="&amp;A785,Verbrauch!$A$9:$A$18896,"&lt;"&amp;B785)</f>
        <v>0</v>
      </c>
      <c r="D785" s="22" t="n">
        <f aca="false">SUMIFS(Verbrauch!$C$9:$C$18896,Verbrauch!$A$9:$A$18896,"&gt;="&amp;A785,Verbrauch!$A$9:$A$18896,"&lt;"&amp;B785,Verbrauch!$F$9:$F$18896,"Go")</f>
        <v>0</v>
      </c>
      <c r="E785" s="22" t="n">
        <f aca="false">SUMIFS(Verbrauch!$C$9:$C$18896,Verbrauch!$A$9:$A$18896,"&gt;="&amp;A785,Verbrauch!$A$9:$A$18896,"&lt;"&amp;B785,Verbrauch!$F$9:$F$18896,"Standard")</f>
        <v>0</v>
      </c>
      <c r="F785" s="23" t="n">
        <f aca="false">SUMIFS(Verbrauch!$E$9:$E$18896,Verbrauch!$A$9:$A$18896,"&gt;="&amp;A785,Verbrauch!$A$9:$A$18896,"&lt;"&amp;B785)</f>
        <v>0</v>
      </c>
      <c r="G785" s="13" t="str">
        <f aca="false">IFERROR(F785/C785*100,"")</f>
        <v/>
      </c>
      <c r="H785" s="11" t="n">
        <f aca="false">COUNTIFS(Verbrauch!$A$9:$A$18896,"&gt;="&amp;A785,Verbrauch!$A$9:$A$18896,"&lt;"&amp;B785,Verbrauch!$C$9:$C$18896,"&lt;&gt;")</f>
        <v>0</v>
      </c>
    </row>
    <row r="786" customFormat="false" ht="15" hidden="false" customHeight="true" outlineLevel="0" collapsed="false">
      <c r="A786" s="10" t="n">
        <v>46747</v>
      </c>
      <c r="B786" s="10" t="n">
        <v>46748</v>
      </c>
      <c r="C786" s="22" t="n">
        <f aca="false">SUMIFS(Verbrauch!$C$9:$C$18896,Verbrauch!$A$9:$A$18896,"&gt;="&amp;A786,Verbrauch!$A$9:$A$18896,"&lt;"&amp;B786)</f>
        <v>0</v>
      </c>
      <c r="D786" s="22" t="n">
        <f aca="false">SUMIFS(Verbrauch!$C$9:$C$18896,Verbrauch!$A$9:$A$18896,"&gt;="&amp;A786,Verbrauch!$A$9:$A$18896,"&lt;"&amp;B786,Verbrauch!$F$9:$F$18896,"Go")</f>
        <v>0</v>
      </c>
      <c r="E786" s="22" t="n">
        <f aca="false">SUMIFS(Verbrauch!$C$9:$C$18896,Verbrauch!$A$9:$A$18896,"&gt;="&amp;A786,Verbrauch!$A$9:$A$18896,"&lt;"&amp;B786,Verbrauch!$F$9:$F$18896,"Standard")</f>
        <v>0</v>
      </c>
      <c r="F786" s="23" t="n">
        <f aca="false">SUMIFS(Verbrauch!$E$9:$E$18896,Verbrauch!$A$9:$A$18896,"&gt;="&amp;A786,Verbrauch!$A$9:$A$18896,"&lt;"&amp;B786)</f>
        <v>0</v>
      </c>
      <c r="G786" s="13" t="str">
        <f aca="false">IFERROR(F786/C786*100,"")</f>
        <v/>
      </c>
      <c r="H786" s="11" t="n">
        <f aca="false">COUNTIFS(Verbrauch!$A$9:$A$18896,"&gt;="&amp;A786,Verbrauch!$A$9:$A$18896,"&lt;"&amp;B786,Verbrauch!$C$9:$C$18896,"&lt;&gt;")</f>
        <v>0</v>
      </c>
    </row>
    <row r="787" customFormat="false" ht="15" hidden="false" customHeight="true" outlineLevel="0" collapsed="false">
      <c r="A787" s="10" t="n">
        <v>46748</v>
      </c>
      <c r="B787" s="10" t="n">
        <v>46749</v>
      </c>
      <c r="C787" s="22" t="n">
        <f aca="false">SUMIFS(Verbrauch!$C$9:$C$18896,Verbrauch!$A$9:$A$18896,"&gt;="&amp;A787,Verbrauch!$A$9:$A$18896,"&lt;"&amp;B787)</f>
        <v>0</v>
      </c>
      <c r="D787" s="22" t="n">
        <f aca="false">SUMIFS(Verbrauch!$C$9:$C$18896,Verbrauch!$A$9:$A$18896,"&gt;="&amp;A787,Verbrauch!$A$9:$A$18896,"&lt;"&amp;B787,Verbrauch!$F$9:$F$18896,"Go")</f>
        <v>0</v>
      </c>
      <c r="E787" s="22" t="n">
        <f aca="false">SUMIFS(Verbrauch!$C$9:$C$18896,Verbrauch!$A$9:$A$18896,"&gt;="&amp;A787,Verbrauch!$A$9:$A$18896,"&lt;"&amp;B787,Verbrauch!$F$9:$F$18896,"Standard")</f>
        <v>0</v>
      </c>
      <c r="F787" s="23" t="n">
        <f aca="false">SUMIFS(Verbrauch!$E$9:$E$18896,Verbrauch!$A$9:$A$18896,"&gt;="&amp;A787,Verbrauch!$A$9:$A$18896,"&lt;"&amp;B787)</f>
        <v>0</v>
      </c>
      <c r="G787" s="13" t="str">
        <f aca="false">IFERROR(F787/C787*100,"")</f>
        <v/>
      </c>
      <c r="H787" s="11" t="n">
        <f aca="false">COUNTIFS(Verbrauch!$A$9:$A$18896,"&gt;="&amp;A787,Verbrauch!$A$9:$A$18896,"&lt;"&amp;B787,Verbrauch!$C$9:$C$18896,"&lt;&gt;")</f>
        <v>0</v>
      </c>
    </row>
    <row r="788" customFormat="false" ht="15" hidden="false" customHeight="true" outlineLevel="0" collapsed="false">
      <c r="A788" s="10" t="n">
        <v>46749</v>
      </c>
      <c r="B788" s="10" t="n">
        <v>46750</v>
      </c>
      <c r="C788" s="22" t="n">
        <f aca="false">SUMIFS(Verbrauch!$C$9:$C$18896,Verbrauch!$A$9:$A$18896,"&gt;="&amp;A788,Verbrauch!$A$9:$A$18896,"&lt;"&amp;B788)</f>
        <v>0</v>
      </c>
      <c r="D788" s="22" t="n">
        <f aca="false">SUMIFS(Verbrauch!$C$9:$C$18896,Verbrauch!$A$9:$A$18896,"&gt;="&amp;A788,Verbrauch!$A$9:$A$18896,"&lt;"&amp;B788,Verbrauch!$F$9:$F$18896,"Go")</f>
        <v>0</v>
      </c>
      <c r="E788" s="22" t="n">
        <f aca="false">SUMIFS(Verbrauch!$C$9:$C$18896,Verbrauch!$A$9:$A$18896,"&gt;="&amp;A788,Verbrauch!$A$9:$A$18896,"&lt;"&amp;B788,Verbrauch!$F$9:$F$18896,"Standard")</f>
        <v>0</v>
      </c>
      <c r="F788" s="23" t="n">
        <f aca="false">SUMIFS(Verbrauch!$E$9:$E$18896,Verbrauch!$A$9:$A$18896,"&gt;="&amp;A788,Verbrauch!$A$9:$A$18896,"&lt;"&amp;B788)</f>
        <v>0</v>
      </c>
      <c r="G788" s="13" t="str">
        <f aca="false">IFERROR(F788/C788*100,"")</f>
        <v/>
      </c>
      <c r="H788" s="11" t="n">
        <f aca="false">COUNTIFS(Verbrauch!$A$9:$A$18896,"&gt;="&amp;A788,Verbrauch!$A$9:$A$18896,"&lt;"&amp;B788,Verbrauch!$C$9:$C$18896,"&lt;&gt;")</f>
        <v>0</v>
      </c>
    </row>
    <row r="789" customFormat="false" ht="15" hidden="false" customHeight="true" outlineLevel="0" collapsed="false">
      <c r="A789" s="10" t="n">
        <v>46750</v>
      </c>
      <c r="B789" s="10" t="n">
        <v>46751</v>
      </c>
      <c r="C789" s="22" t="n">
        <f aca="false">SUMIFS(Verbrauch!$C$9:$C$18896,Verbrauch!$A$9:$A$18896,"&gt;="&amp;A789,Verbrauch!$A$9:$A$18896,"&lt;"&amp;B789)</f>
        <v>0</v>
      </c>
      <c r="D789" s="22" t="n">
        <f aca="false">SUMIFS(Verbrauch!$C$9:$C$18896,Verbrauch!$A$9:$A$18896,"&gt;="&amp;A789,Verbrauch!$A$9:$A$18896,"&lt;"&amp;B789,Verbrauch!$F$9:$F$18896,"Go")</f>
        <v>0</v>
      </c>
      <c r="E789" s="22" t="n">
        <f aca="false">SUMIFS(Verbrauch!$C$9:$C$18896,Verbrauch!$A$9:$A$18896,"&gt;="&amp;A789,Verbrauch!$A$9:$A$18896,"&lt;"&amp;B789,Verbrauch!$F$9:$F$18896,"Standard")</f>
        <v>0</v>
      </c>
      <c r="F789" s="23" t="n">
        <f aca="false">SUMIFS(Verbrauch!$E$9:$E$18896,Verbrauch!$A$9:$A$18896,"&gt;="&amp;A789,Verbrauch!$A$9:$A$18896,"&lt;"&amp;B789)</f>
        <v>0</v>
      </c>
      <c r="G789" s="13" t="str">
        <f aca="false">IFERROR(F789/C789*100,"")</f>
        <v/>
      </c>
      <c r="H789" s="11" t="n">
        <f aca="false">COUNTIFS(Verbrauch!$A$9:$A$18896,"&gt;="&amp;A789,Verbrauch!$A$9:$A$18896,"&lt;"&amp;B789,Verbrauch!$C$9:$C$18896,"&lt;&gt;")</f>
        <v>0</v>
      </c>
    </row>
    <row r="790" customFormat="false" ht="15" hidden="false" customHeight="true" outlineLevel="0" collapsed="false">
      <c r="A790" s="10" t="n">
        <v>46751</v>
      </c>
      <c r="B790" s="10" t="n">
        <v>46752</v>
      </c>
      <c r="C790" s="22" t="n">
        <f aca="false">SUMIFS(Verbrauch!$C$9:$C$18896,Verbrauch!$A$9:$A$18896,"&gt;="&amp;A790,Verbrauch!$A$9:$A$18896,"&lt;"&amp;B790)</f>
        <v>0</v>
      </c>
      <c r="D790" s="22" t="n">
        <f aca="false">SUMIFS(Verbrauch!$C$9:$C$18896,Verbrauch!$A$9:$A$18896,"&gt;="&amp;A790,Verbrauch!$A$9:$A$18896,"&lt;"&amp;B790,Verbrauch!$F$9:$F$18896,"Go")</f>
        <v>0</v>
      </c>
      <c r="E790" s="22" t="n">
        <f aca="false">SUMIFS(Verbrauch!$C$9:$C$18896,Verbrauch!$A$9:$A$18896,"&gt;="&amp;A790,Verbrauch!$A$9:$A$18896,"&lt;"&amp;B790,Verbrauch!$F$9:$F$18896,"Standard")</f>
        <v>0</v>
      </c>
      <c r="F790" s="23" t="n">
        <f aca="false">SUMIFS(Verbrauch!$E$9:$E$18896,Verbrauch!$A$9:$A$18896,"&gt;="&amp;A790,Verbrauch!$A$9:$A$18896,"&lt;"&amp;B790)</f>
        <v>0</v>
      </c>
      <c r="G790" s="13" t="str">
        <f aca="false">IFERROR(F790/C790*100,"")</f>
        <v/>
      </c>
      <c r="H790" s="11" t="n">
        <f aca="false">COUNTIFS(Verbrauch!$A$9:$A$18896,"&gt;="&amp;A790,Verbrauch!$A$9:$A$18896,"&lt;"&amp;B790,Verbrauch!$C$9:$C$18896,"&lt;&gt;")</f>
        <v>0</v>
      </c>
    </row>
    <row r="791" customFormat="false" ht="15" hidden="false" customHeight="true" outlineLevel="0" collapsed="false">
      <c r="A791" s="10" t="n">
        <v>46752</v>
      </c>
      <c r="B791" s="10" t="n">
        <v>46753</v>
      </c>
      <c r="C791" s="22" t="n">
        <f aca="false">SUMIFS(Verbrauch!$C$9:$C$18896,Verbrauch!$A$9:$A$18896,"&gt;="&amp;A791,Verbrauch!$A$9:$A$18896,"&lt;"&amp;B791)</f>
        <v>0</v>
      </c>
      <c r="D791" s="22" t="n">
        <f aca="false">SUMIFS(Verbrauch!$C$9:$C$18896,Verbrauch!$A$9:$A$18896,"&gt;="&amp;A791,Verbrauch!$A$9:$A$18896,"&lt;"&amp;B791,Verbrauch!$F$9:$F$18896,"Go")</f>
        <v>0</v>
      </c>
      <c r="E791" s="22" t="n">
        <f aca="false">SUMIFS(Verbrauch!$C$9:$C$18896,Verbrauch!$A$9:$A$18896,"&gt;="&amp;A791,Verbrauch!$A$9:$A$18896,"&lt;"&amp;B791,Verbrauch!$F$9:$F$18896,"Standard")</f>
        <v>0</v>
      </c>
      <c r="F791" s="23" t="n">
        <f aca="false">SUMIFS(Verbrauch!$E$9:$E$18896,Verbrauch!$A$9:$A$18896,"&gt;="&amp;A791,Verbrauch!$A$9:$A$18896,"&lt;"&amp;B791)</f>
        <v>0</v>
      </c>
      <c r="G791" s="13" t="str">
        <f aca="false">IFERROR(F791/C791*100,"")</f>
        <v/>
      </c>
      <c r="H791" s="11" t="n">
        <f aca="false">COUNTIFS(Verbrauch!$A$9:$A$18896,"&gt;="&amp;A791,Verbrauch!$A$9:$A$18896,"&lt;"&amp;B791,Verbrauch!$C$9:$C$18896,"&lt;&gt;")</f>
        <v>0</v>
      </c>
    </row>
  </sheetData>
  <autoFilter ref="A4:H1887"/>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1" min="1" style="1" width="13"/>
    <col collapsed="false" customWidth="true" hidden="true" outlineLevel="0" max="2" min="2" style="1" width="13"/>
    <col collapsed="false" customWidth="true" hidden="false" outlineLevel="0" max="4" min="3" style="1" width="10"/>
    <col collapsed="false" customWidth="true" hidden="false" outlineLevel="0" max="5" min="5" style="1" width="22"/>
    <col collapsed="false" customWidth="true" hidden="false" outlineLevel="0" max="6" min="6" style="1" width="17"/>
    <col collapsed="false" customWidth="true" hidden="false" outlineLevel="0" max="7" min="7" style="1" width="22"/>
    <col collapsed="false" customWidth="true" hidden="false" outlineLevel="0" max="8" min="8" style="1" width="17"/>
    <col collapsed="false" customWidth="true" hidden="false" outlineLevel="0" max="9" min="9" style="1" width="16"/>
  </cols>
  <sheetData>
    <row r="1" customFormat="false" ht="17.25" hidden="false" customHeight="true" outlineLevel="0" collapsed="false">
      <c r="A1" s="2" t="s">
        <v>28</v>
      </c>
      <c r="B1" s="2"/>
      <c r="C1" s="2"/>
      <c r="D1" s="2"/>
      <c r="E1" s="2"/>
      <c r="F1" s="2"/>
      <c r="G1" s="2"/>
      <c r="H1" s="2"/>
      <c r="I1" s="2"/>
    </row>
    <row r="2" customFormat="false" ht="37.5" hidden="false" customHeight="true" outlineLevel="0" collapsed="false">
      <c r="A2" s="21" t="s">
        <v>29</v>
      </c>
      <c r="B2" s="21"/>
      <c r="C2" s="21"/>
      <c r="D2" s="21"/>
      <c r="E2" s="21"/>
      <c r="F2" s="21"/>
      <c r="G2" s="21"/>
      <c r="H2" s="21"/>
      <c r="I2" s="21"/>
    </row>
    <row r="3" customFormat="false" ht="13.5" hidden="false" customHeight="true" outlineLevel="0" collapsed="false"/>
    <row r="4" customFormat="false" ht="13.5" hidden="false" customHeight="true" outlineLevel="0" collapsed="false">
      <c r="A4" s="9" t="s">
        <v>30</v>
      </c>
      <c r="B4" s="9" t="s">
        <v>31</v>
      </c>
      <c r="C4" s="9" t="s">
        <v>32</v>
      </c>
      <c r="D4" s="9" t="s">
        <v>33</v>
      </c>
      <c r="E4" s="9" t="s">
        <v>23</v>
      </c>
      <c r="F4" s="9" t="s">
        <v>24</v>
      </c>
      <c r="G4" s="9" t="s">
        <v>25</v>
      </c>
      <c r="H4" s="9" t="s">
        <v>26</v>
      </c>
      <c r="I4" s="9" t="s">
        <v>27</v>
      </c>
    </row>
    <row r="5" customFormat="false" ht="13.5" hidden="false" customHeight="true" outlineLevel="0" collapsed="false">
      <c r="A5" s="10" t="n">
        <v>45964</v>
      </c>
      <c r="B5" s="10" t="n">
        <v>45971</v>
      </c>
      <c r="C5" s="11" t="n">
        <v>2025</v>
      </c>
      <c r="D5" s="11" t="n">
        <v>45</v>
      </c>
      <c r="E5" s="22" t="n">
        <f aca="false">SUMIFS(Verbrauch!$C$9:$C$18896,Verbrauch!$A$9:$A$18896,"&gt;="&amp;A5,Verbrauch!$A$9:$A$18896,"&lt;"&amp;B5)</f>
        <v>0</v>
      </c>
      <c r="F5" s="22" t="n">
        <f aca="false">SUMIFS(Verbrauch!$C$9:$C$18896,Verbrauch!$A$9:$A$18896,"&gt;="&amp;A5,Verbrauch!$A$9:$A$18896,"&lt;"&amp;B5,Verbrauch!$F$9:$F$18896,"Go")</f>
        <v>0</v>
      </c>
      <c r="G5" s="22" t="n">
        <f aca="false">SUMIFS(Verbrauch!$C$9:$C$18896,Verbrauch!$A$9:$A$18896,"&gt;="&amp;A5,Verbrauch!$A$9:$A$18896,"&lt;"&amp;B5,Verbrauch!$F$9:$F$18896,"Standard")</f>
        <v>0</v>
      </c>
      <c r="H5" s="23" t="n">
        <f aca="false">SUMIFS(Verbrauch!$E$9:$E$18896,Verbrauch!$A$9:$A$18896,"&gt;="&amp;A5,Verbrauch!$A$9:$A$18896,"&lt;"&amp;B5)</f>
        <v>0</v>
      </c>
      <c r="I5" s="13" t="str">
        <f aca="false">IFERROR(H5/E5*100,"")</f>
        <v/>
      </c>
    </row>
    <row r="6" customFormat="false" ht="13.5" hidden="false" customHeight="true" outlineLevel="0" collapsed="false">
      <c r="A6" s="10" t="n">
        <v>45971</v>
      </c>
      <c r="B6" s="10" t="n">
        <v>45978</v>
      </c>
      <c r="C6" s="11" t="n">
        <v>2025</v>
      </c>
      <c r="D6" s="11" t="n">
        <v>46</v>
      </c>
      <c r="E6" s="22" t="n">
        <f aca="false">SUMIFS(Verbrauch!$C$9:$C$18896,Verbrauch!$A$9:$A$18896,"&gt;="&amp;A6,Verbrauch!$A$9:$A$18896,"&lt;"&amp;B6)</f>
        <v>0</v>
      </c>
      <c r="F6" s="22" t="n">
        <f aca="false">SUMIFS(Verbrauch!$C$9:$C$18896,Verbrauch!$A$9:$A$18896,"&gt;="&amp;A6,Verbrauch!$A$9:$A$18896,"&lt;"&amp;B6,Verbrauch!$F$9:$F$18896,"Go")</f>
        <v>0</v>
      </c>
      <c r="G6" s="22" t="n">
        <f aca="false">SUMIFS(Verbrauch!$C$9:$C$18896,Verbrauch!$A$9:$A$18896,"&gt;="&amp;A6,Verbrauch!$A$9:$A$18896,"&lt;"&amp;B6,Verbrauch!$F$9:$F$18896,"Standard")</f>
        <v>0</v>
      </c>
      <c r="H6" s="23" t="n">
        <f aca="false">SUMIFS(Verbrauch!$E$9:$E$18896,Verbrauch!$A$9:$A$18896,"&gt;="&amp;A6,Verbrauch!$A$9:$A$18896,"&lt;"&amp;B6)</f>
        <v>0</v>
      </c>
      <c r="I6" s="13" t="str">
        <f aca="false">IFERROR(H6/E6*100,"")</f>
        <v/>
      </c>
    </row>
    <row r="7" customFormat="false" ht="13.5" hidden="false" customHeight="true" outlineLevel="0" collapsed="false">
      <c r="A7" s="10" t="n">
        <v>45978</v>
      </c>
      <c r="B7" s="10" t="n">
        <v>45985</v>
      </c>
      <c r="C7" s="11" t="n">
        <v>2025</v>
      </c>
      <c r="D7" s="11" t="n">
        <v>47</v>
      </c>
      <c r="E7" s="22" t="n">
        <f aca="false">SUMIFS(Verbrauch!$C$9:$C$18896,Verbrauch!$A$9:$A$18896,"&gt;="&amp;A7,Verbrauch!$A$9:$A$18896,"&lt;"&amp;B7)</f>
        <v>0</v>
      </c>
      <c r="F7" s="22" t="n">
        <f aca="false">SUMIFS(Verbrauch!$C$9:$C$18896,Verbrauch!$A$9:$A$18896,"&gt;="&amp;A7,Verbrauch!$A$9:$A$18896,"&lt;"&amp;B7,Verbrauch!$F$9:$F$18896,"Go")</f>
        <v>0</v>
      </c>
      <c r="G7" s="22" t="n">
        <f aca="false">SUMIFS(Verbrauch!$C$9:$C$18896,Verbrauch!$A$9:$A$18896,"&gt;="&amp;A7,Verbrauch!$A$9:$A$18896,"&lt;"&amp;B7,Verbrauch!$F$9:$F$18896,"Standard")</f>
        <v>0</v>
      </c>
      <c r="H7" s="23" t="n">
        <f aca="false">SUMIFS(Verbrauch!$E$9:$E$18896,Verbrauch!$A$9:$A$18896,"&gt;="&amp;A7,Verbrauch!$A$9:$A$18896,"&lt;"&amp;B7)</f>
        <v>0</v>
      </c>
      <c r="I7" s="13" t="str">
        <f aca="false">IFERROR(H7/E7*100,"")</f>
        <v/>
      </c>
    </row>
    <row r="8" customFormat="false" ht="13.5" hidden="false" customHeight="true" outlineLevel="0" collapsed="false">
      <c r="A8" s="10" t="n">
        <v>45985</v>
      </c>
      <c r="B8" s="10" t="n">
        <v>45992</v>
      </c>
      <c r="C8" s="11" t="n">
        <v>2025</v>
      </c>
      <c r="D8" s="11" t="n">
        <v>48</v>
      </c>
      <c r="E8" s="22" t="n">
        <f aca="false">SUMIFS(Verbrauch!$C$9:$C$18896,Verbrauch!$A$9:$A$18896,"&gt;="&amp;A8,Verbrauch!$A$9:$A$18896,"&lt;"&amp;B8)</f>
        <v>0</v>
      </c>
      <c r="F8" s="22" t="n">
        <f aca="false">SUMIFS(Verbrauch!$C$9:$C$18896,Verbrauch!$A$9:$A$18896,"&gt;="&amp;A8,Verbrauch!$A$9:$A$18896,"&lt;"&amp;B8,Verbrauch!$F$9:$F$18896,"Go")</f>
        <v>0</v>
      </c>
      <c r="G8" s="22" t="n">
        <f aca="false">SUMIFS(Verbrauch!$C$9:$C$18896,Verbrauch!$A$9:$A$18896,"&gt;="&amp;A8,Verbrauch!$A$9:$A$18896,"&lt;"&amp;B8,Verbrauch!$F$9:$F$18896,"Standard")</f>
        <v>0</v>
      </c>
      <c r="H8" s="23" t="n">
        <f aca="false">SUMIFS(Verbrauch!$E$9:$E$18896,Verbrauch!$A$9:$A$18896,"&gt;="&amp;A8,Verbrauch!$A$9:$A$18896,"&lt;"&amp;B8)</f>
        <v>0</v>
      </c>
      <c r="I8" s="13" t="str">
        <f aca="false">IFERROR(H8/E8*100,"")</f>
        <v/>
      </c>
    </row>
    <row r="9" customFormat="false" ht="13.5" hidden="false" customHeight="true" outlineLevel="0" collapsed="false">
      <c r="A9" s="10" t="n">
        <v>45992</v>
      </c>
      <c r="B9" s="10" t="n">
        <v>45999</v>
      </c>
      <c r="C9" s="11" t="n">
        <v>2025</v>
      </c>
      <c r="D9" s="11" t="n">
        <v>49</v>
      </c>
      <c r="E9" s="22" t="n">
        <f aca="false">SUMIFS(Verbrauch!$C$9:$C$18896,Verbrauch!$A$9:$A$18896,"&gt;="&amp;A9,Verbrauch!$A$9:$A$18896,"&lt;"&amp;B9)</f>
        <v>0</v>
      </c>
      <c r="F9" s="22" t="n">
        <f aca="false">SUMIFS(Verbrauch!$C$9:$C$18896,Verbrauch!$A$9:$A$18896,"&gt;="&amp;A9,Verbrauch!$A$9:$A$18896,"&lt;"&amp;B9,Verbrauch!$F$9:$F$18896,"Go")</f>
        <v>0</v>
      </c>
      <c r="G9" s="22" t="n">
        <f aca="false">SUMIFS(Verbrauch!$C$9:$C$18896,Verbrauch!$A$9:$A$18896,"&gt;="&amp;A9,Verbrauch!$A$9:$A$18896,"&lt;"&amp;B9,Verbrauch!$F$9:$F$18896,"Standard")</f>
        <v>0</v>
      </c>
      <c r="H9" s="23" t="n">
        <f aca="false">SUMIFS(Verbrauch!$E$9:$E$18896,Verbrauch!$A$9:$A$18896,"&gt;="&amp;A9,Verbrauch!$A$9:$A$18896,"&lt;"&amp;B9)</f>
        <v>0</v>
      </c>
      <c r="I9" s="13" t="str">
        <f aca="false">IFERROR(H9/E9*100,"")</f>
        <v/>
      </c>
    </row>
    <row r="10" customFormat="false" ht="13.5" hidden="false" customHeight="true" outlineLevel="0" collapsed="false">
      <c r="A10" s="10" t="n">
        <v>45999</v>
      </c>
      <c r="B10" s="10" t="n">
        <v>46006</v>
      </c>
      <c r="C10" s="11" t="n">
        <v>2025</v>
      </c>
      <c r="D10" s="11" t="n">
        <v>50</v>
      </c>
      <c r="E10" s="22" t="n">
        <f aca="false">SUMIFS(Verbrauch!$C$9:$C$18896,Verbrauch!$A$9:$A$18896,"&gt;="&amp;A10,Verbrauch!$A$9:$A$18896,"&lt;"&amp;B10)</f>
        <v>0</v>
      </c>
      <c r="F10" s="22" t="n">
        <f aca="false">SUMIFS(Verbrauch!$C$9:$C$18896,Verbrauch!$A$9:$A$18896,"&gt;="&amp;A10,Verbrauch!$A$9:$A$18896,"&lt;"&amp;B10,Verbrauch!$F$9:$F$18896,"Go")</f>
        <v>0</v>
      </c>
      <c r="G10" s="22" t="n">
        <f aca="false">SUMIFS(Verbrauch!$C$9:$C$18896,Verbrauch!$A$9:$A$18896,"&gt;="&amp;A10,Verbrauch!$A$9:$A$18896,"&lt;"&amp;B10,Verbrauch!$F$9:$F$18896,"Standard")</f>
        <v>0</v>
      </c>
      <c r="H10" s="23" t="n">
        <f aca="false">SUMIFS(Verbrauch!$E$9:$E$18896,Verbrauch!$A$9:$A$18896,"&gt;="&amp;A10,Verbrauch!$A$9:$A$18896,"&lt;"&amp;B10)</f>
        <v>0</v>
      </c>
      <c r="I10" s="13" t="str">
        <f aca="false">IFERROR(H10/E10*100,"")</f>
        <v/>
      </c>
    </row>
    <row r="11" customFormat="false" ht="13.5" hidden="false" customHeight="true" outlineLevel="0" collapsed="false">
      <c r="A11" s="10" t="n">
        <v>46006</v>
      </c>
      <c r="B11" s="10" t="n">
        <v>46013</v>
      </c>
      <c r="C11" s="11" t="n">
        <v>2025</v>
      </c>
      <c r="D11" s="11" t="n">
        <v>51</v>
      </c>
      <c r="E11" s="22" t="n">
        <f aca="false">SUMIFS(Verbrauch!$C$9:$C$18896,Verbrauch!$A$9:$A$18896,"&gt;="&amp;A11,Verbrauch!$A$9:$A$18896,"&lt;"&amp;B11)</f>
        <v>0</v>
      </c>
      <c r="F11" s="22" t="n">
        <f aca="false">SUMIFS(Verbrauch!$C$9:$C$18896,Verbrauch!$A$9:$A$18896,"&gt;="&amp;A11,Verbrauch!$A$9:$A$18896,"&lt;"&amp;B11,Verbrauch!$F$9:$F$18896,"Go")</f>
        <v>0</v>
      </c>
      <c r="G11" s="22" t="n">
        <f aca="false">SUMIFS(Verbrauch!$C$9:$C$18896,Verbrauch!$A$9:$A$18896,"&gt;="&amp;A11,Verbrauch!$A$9:$A$18896,"&lt;"&amp;B11,Verbrauch!$F$9:$F$18896,"Standard")</f>
        <v>0</v>
      </c>
      <c r="H11" s="23" t="n">
        <f aca="false">SUMIFS(Verbrauch!$E$9:$E$18896,Verbrauch!$A$9:$A$18896,"&gt;="&amp;A11,Verbrauch!$A$9:$A$18896,"&lt;"&amp;B11)</f>
        <v>0</v>
      </c>
      <c r="I11" s="13" t="str">
        <f aca="false">IFERROR(H11/E11*100,"")</f>
        <v/>
      </c>
    </row>
    <row r="12" customFormat="false" ht="13.5" hidden="false" customHeight="true" outlineLevel="0" collapsed="false">
      <c r="A12" s="10" t="n">
        <v>46013</v>
      </c>
      <c r="B12" s="10" t="n">
        <v>46020</v>
      </c>
      <c r="C12" s="11" t="n">
        <v>2025</v>
      </c>
      <c r="D12" s="11" t="n">
        <v>52</v>
      </c>
      <c r="E12" s="22" t="n">
        <f aca="false">SUMIFS(Verbrauch!$C$9:$C$18896,Verbrauch!$A$9:$A$18896,"&gt;="&amp;A12,Verbrauch!$A$9:$A$18896,"&lt;"&amp;B12)</f>
        <v>0</v>
      </c>
      <c r="F12" s="22" t="n">
        <f aca="false">SUMIFS(Verbrauch!$C$9:$C$18896,Verbrauch!$A$9:$A$18896,"&gt;="&amp;A12,Verbrauch!$A$9:$A$18896,"&lt;"&amp;B12,Verbrauch!$F$9:$F$18896,"Go")</f>
        <v>0</v>
      </c>
      <c r="G12" s="22" t="n">
        <f aca="false">SUMIFS(Verbrauch!$C$9:$C$18896,Verbrauch!$A$9:$A$18896,"&gt;="&amp;A12,Verbrauch!$A$9:$A$18896,"&lt;"&amp;B12,Verbrauch!$F$9:$F$18896,"Standard")</f>
        <v>0</v>
      </c>
      <c r="H12" s="23" t="n">
        <f aca="false">SUMIFS(Verbrauch!$E$9:$E$18896,Verbrauch!$A$9:$A$18896,"&gt;="&amp;A12,Verbrauch!$A$9:$A$18896,"&lt;"&amp;B12)</f>
        <v>0</v>
      </c>
      <c r="I12" s="13" t="str">
        <f aca="false">IFERROR(H12/E12*100,"")</f>
        <v/>
      </c>
    </row>
    <row r="13" customFormat="false" ht="13.5" hidden="false" customHeight="true" outlineLevel="0" collapsed="false">
      <c r="A13" s="10" t="n">
        <v>46020</v>
      </c>
      <c r="B13" s="10" t="n">
        <v>46027</v>
      </c>
      <c r="C13" s="11" t="n">
        <v>2026</v>
      </c>
      <c r="D13" s="11" t="n">
        <v>1</v>
      </c>
      <c r="E13" s="22" t="n">
        <f aca="false">SUMIFS(Verbrauch!$C$9:$C$18896,Verbrauch!$A$9:$A$18896,"&gt;="&amp;A13,Verbrauch!$A$9:$A$18896,"&lt;"&amp;B13)</f>
        <v>0</v>
      </c>
      <c r="F13" s="22" t="n">
        <f aca="false">SUMIFS(Verbrauch!$C$9:$C$18896,Verbrauch!$A$9:$A$18896,"&gt;="&amp;A13,Verbrauch!$A$9:$A$18896,"&lt;"&amp;B13,Verbrauch!$F$9:$F$18896,"Go")</f>
        <v>0</v>
      </c>
      <c r="G13" s="22" t="n">
        <f aca="false">SUMIFS(Verbrauch!$C$9:$C$18896,Verbrauch!$A$9:$A$18896,"&gt;="&amp;A13,Verbrauch!$A$9:$A$18896,"&lt;"&amp;B13,Verbrauch!$F$9:$F$18896,"Standard")</f>
        <v>0</v>
      </c>
      <c r="H13" s="23" t="n">
        <f aca="false">SUMIFS(Verbrauch!$E$9:$E$18896,Verbrauch!$A$9:$A$18896,"&gt;="&amp;A13,Verbrauch!$A$9:$A$18896,"&lt;"&amp;B13)</f>
        <v>0</v>
      </c>
      <c r="I13" s="13" t="str">
        <f aca="false">IFERROR(H13/E13*100,"")</f>
        <v/>
      </c>
    </row>
    <row r="14" customFormat="false" ht="13.5" hidden="false" customHeight="true" outlineLevel="0" collapsed="false">
      <c r="A14" s="10" t="n">
        <v>46027</v>
      </c>
      <c r="B14" s="10" t="n">
        <v>46034</v>
      </c>
      <c r="C14" s="11" t="n">
        <v>2026</v>
      </c>
      <c r="D14" s="11" t="n">
        <v>2</v>
      </c>
      <c r="E14" s="22" t="n">
        <f aca="false">SUMIFS(Verbrauch!$C$9:$C$18896,Verbrauch!$A$9:$A$18896,"&gt;="&amp;A14,Verbrauch!$A$9:$A$18896,"&lt;"&amp;B14)</f>
        <v>0</v>
      </c>
      <c r="F14" s="22" t="n">
        <f aca="false">SUMIFS(Verbrauch!$C$9:$C$18896,Verbrauch!$A$9:$A$18896,"&gt;="&amp;A14,Verbrauch!$A$9:$A$18896,"&lt;"&amp;B14,Verbrauch!$F$9:$F$18896,"Go")</f>
        <v>0</v>
      </c>
      <c r="G14" s="22" t="n">
        <f aca="false">SUMIFS(Verbrauch!$C$9:$C$18896,Verbrauch!$A$9:$A$18896,"&gt;="&amp;A14,Verbrauch!$A$9:$A$18896,"&lt;"&amp;B14,Verbrauch!$F$9:$F$18896,"Standard")</f>
        <v>0</v>
      </c>
      <c r="H14" s="23" t="n">
        <f aca="false">SUMIFS(Verbrauch!$E$9:$E$18896,Verbrauch!$A$9:$A$18896,"&gt;="&amp;A14,Verbrauch!$A$9:$A$18896,"&lt;"&amp;B14)</f>
        <v>0</v>
      </c>
      <c r="I14" s="13" t="str">
        <f aca="false">IFERROR(H14/E14*100,"")</f>
        <v/>
      </c>
    </row>
    <row r="15" customFormat="false" ht="13.5" hidden="false" customHeight="true" outlineLevel="0" collapsed="false">
      <c r="A15" s="10" t="n">
        <v>46034</v>
      </c>
      <c r="B15" s="10" t="n">
        <v>46041</v>
      </c>
      <c r="C15" s="11" t="n">
        <v>2026</v>
      </c>
      <c r="D15" s="11" t="n">
        <v>3</v>
      </c>
      <c r="E15" s="22" t="n">
        <f aca="false">SUMIFS(Verbrauch!$C$9:$C$18896,Verbrauch!$A$9:$A$18896,"&gt;="&amp;A15,Verbrauch!$A$9:$A$18896,"&lt;"&amp;B15)</f>
        <v>0</v>
      </c>
      <c r="F15" s="22" t="n">
        <f aca="false">SUMIFS(Verbrauch!$C$9:$C$18896,Verbrauch!$A$9:$A$18896,"&gt;="&amp;A15,Verbrauch!$A$9:$A$18896,"&lt;"&amp;B15,Verbrauch!$F$9:$F$18896,"Go")</f>
        <v>0</v>
      </c>
      <c r="G15" s="22" t="n">
        <f aca="false">SUMIFS(Verbrauch!$C$9:$C$18896,Verbrauch!$A$9:$A$18896,"&gt;="&amp;A15,Verbrauch!$A$9:$A$18896,"&lt;"&amp;B15,Verbrauch!$F$9:$F$18896,"Standard")</f>
        <v>0</v>
      </c>
      <c r="H15" s="23" t="n">
        <f aca="false">SUMIFS(Verbrauch!$E$9:$E$18896,Verbrauch!$A$9:$A$18896,"&gt;="&amp;A15,Verbrauch!$A$9:$A$18896,"&lt;"&amp;B15)</f>
        <v>0</v>
      </c>
      <c r="I15" s="13" t="str">
        <f aca="false">IFERROR(H15/E15*100,"")</f>
        <v/>
      </c>
    </row>
    <row r="16" customFormat="false" ht="13.5" hidden="false" customHeight="true" outlineLevel="0" collapsed="false">
      <c r="A16" s="10" t="n">
        <v>46041</v>
      </c>
      <c r="B16" s="10" t="n">
        <v>46048</v>
      </c>
      <c r="C16" s="11" t="n">
        <v>2026</v>
      </c>
      <c r="D16" s="11" t="n">
        <v>4</v>
      </c>
      <c r="E16" s="22" t="n">
        <f aca="false">SUMIFS(Verbrauch!$C$9:$C$18896,Verbrauch!$A$9:$A$18896,"&gt;="&amp;A16,Verbrauch!$A$9:$A$18896,"&lt;"&amp;B16)</f>
        <v>0</v>
      </c>
      <c r="F16" s="22" t="n">
        <f aca="false">SUMIFS(Verbrauch!$C$9:$C$18896,Verbrauch!$A$9:$A$18896,"&gt;="&amp;A16,Verbrauch!$A$9:$A$18896,"&lt;"&amp;B16,Verbrauch!$F$9:$F$18896,"Go")</f>
        <v>0</v>
      </c>
      <c r="G16" s="22" t="n">
        <f aca="false">SUMIFS(Verbrauch!$C$9:$C$18896,Verbrauch!$A$9:$A$18896,"&gt;="&amp;A16,Verbrauch!$A$9:$A$18896,"&lt;"&amp;B16,Verbrauch!$F$9:$F$18896,"Standard")</f>
        <v>0</v>
      </c>
      <c r="H16" s="23" t="n">
        <f aca="false">SUMIFS(Verbrauch!$E$9:$E$18896,Verbrauch!$A$9:$A$18896,"&gt;="&amp;A16,Verbrauch!$A$9:$A$18896,"&lt;"&amp;B16)</f>
        <v>0</v>
      </c>
      <c r="I16" s="13" t="str">
        <f aca="false">IFERROR(H16/E16*100,"")</f>
        <v/>
      </c>
    </row>
    <row r="17" customFormat="false" ht="13.5" hidden="false" customHeight="true" outlineLevel="0" collapsed="false">
      <c r="A17" s="10" t="n">
        <v>46048</v>
      </c>
      <c r="B17" s="10" t="n">
        <v>46055</v>
      </c>
      <c r="C17" s="11" t="n">
        <v>2026</v>
      </c>
      <c r="D17" s="11" t="n">
        <v>5</v>
      </c>
      <c r="E17" s="22" t="n">
        <f aca="false">SUMIFS(Verbrauch!$C$9:$C$18896,Verbrauch!$A$9:$A$18896,"&gt;="&amp;A17,Verbrauch!$A$9:$A$18896,"&lt;"&amp;B17)</f>
        <v>0</v>
      </c>
      <c r="F17" s="22" t="n">
        <f aca="false">SUMIFS(Verbrauch!$C$9:$C$18896,Verbrauch!$A$9:$A$18896,"&gt;="&amp;A17,Verbrauch!$A$9:$A$18896,"&lt;"&amp;B17,Verbrauch!$F$9:$F$18896,"Go")</f>
        <v>0</v>
      </c>
      <c r="G17" s="22" t="n">
        <f aca="false">SUMIFS(Verbrauch!$C$9:$C$18896,Verbrauch!$A$9:$A$18896,"&gt;="&amp;A17,Verbrauch!$A$9:$A$18896,"&lt;"&amp;B17,Verbrauch!$F$9:$F$18896,"Standard")</f>
        <v>0</v>
      </c>
      <c r="H17" s="23" t="n">
        <f aca="false">SUMIFS(Verbrauch!$E$9:$E$18896,Verbrauch!$A$9:$A$18896,"&gt;="&amp;A17,Verbrauch!$A$9:$A$18896,"&lt;"&amp;B17)</f>
        <v>0</v>
      </c>
      <c r="I17" s="13" t="str">
        <f aca="false">IFERROR(H17/E17*100,"")</f>
        <v/>
      </c>
    </row>
    <row r="18" customFormat="false" ht="13.5" hidden="false" customHeight="true" outlineLevel="0" collapsed="false">
      <c r="A18" s="10" t="n">
        <v>46055</v>
      </c>
      <c r="B18" s="10" t="n">
        <v>46062</v>
      </c>
      <c r="C18" s="11" t="n">
        <v>2026</v>
      </c>
      <c r="D18" s="11" t="n">
        <v>6</v>
      </c>
      <c r="E18" s="22" t="n">
        <f aca="false">SUMIFS(Verbrauch!$C$9:$C$18896,Verbrauch!$A$9:$A$18896,"&gt;="&amp;A18,Verbrauch!$A$9:$A$18896,"&lt;"&amp;B18)</f>
        <v>0</v>
      </c>
      <c r="F18" s="22" t="n">
        <f aca="false">SUMIFS(Verbrauch!$C$9:$C$18896,Verbrauch!$A$9:$A$18896,"&gt;="&amp;A18,Verbrauch!$A$9:$A$18896,"&lt;"&amp;B18,Verbrauch!$F$9:$F$18896,"Go")</f>
        <v>0</v>
      </c>
      <c r="G18" s="22" t="n">
        <f aca="false">SUMIFS(Verbrauch!$C$9:$C$18896,Verbrauch!$A$9:$A$18896,"&gt;="&amp;A18,Verbrauch!$A$9:$A$18896,"&lt;"&amp;B18,Verbrauch!$F$9:$F$18896,"Standard")</f>
        <v>0</v>
      </c>
      <c r="H18" s="23" t="n">
        <f aca="false">SUMIFS(Verbrauch!$E$9:$E$18896,Verbrauch!$A$9:$A$18896,"&gt;="&amp;A18,Verbrauch!$A$9:$A$18896,"&lt;"&amp;B18)</f>
        <v>0</v>
      </c>
      <c r="I18" s="13" t="str">
        <f aca="false">IFERROR(H18/E18*100,"")</f>
        <v/>
      </c>
    </row>
    <row r="19" customFormat="false" ht="13.5" hidden="false" customHeight="true" outlineLevel="0" collapsed="false">
      <c r="A19" s="10" t="n">
        <v>46062</v>
      </c>
      <c r="B19" s="10" t="n">
        <v>46069</v>
      </c>
      <c r="C19" s="11" t="n">
        <v>2026</v>
      </c>
      <c r="D19" s="11" t="n">
        <v>7</v>
      </c>
      <c r="E19" s="22" t="n">
        <f aca="false">SUMIFS(Verbrauch!$C$9:$C$18896,Verbrauch!$A$9:$A$18896,"&gt;="&amp;A19,Verbrauch!$A$9:$A$18896,"&lt;"&amp;B19)</f>
        <v>0</v>
      </c>
      <c r="F19" s="22" t="n">
        <f aca="false">SUMIFS(Verbrauch!$C$9:$C$18896,Verbrauch!$A$9:$A$18896,"&gt;="&amp;A19,Verbrauch!$A$9:$A$18896,"&lt;"&amp;B19,Verbrauch!$F$9:$F$18896,"Go")</f>
        <v>0</v>
      </c>
      <c r="G19" s="22" t="n">
        <f aca="false">SUMIFS(Verbrauch!$C$9:$C$18896,Verbrauch!$A$9:$A$18896,"&gt;="&amp;A19,Verbrauch!$A$9:$A$18896,"&lt;"&amp;B19,Verbrauch!$F$9:$F$18896,"Standard")</f>
        <v>0</v>
      </c>
      <c r="H19" s="23" t="n">
        <f aca="false">SUMIFS(Verbrauch!$E$9:$E$18896,Verbrauch!$A$9:$A$18896,"&gt;="&amp;A19,Verbrauch!$A$9:$A$18896,"&lt;"&amp;B19)</f>
        <v>0</v>
      </c>
      <c r="I19" s="13" t="str">
        <f aca="false">IFERROR(H19/E19*100,"")</f>
        <v/>
      </c>
    </row>
    <row r="20" customFormat="false" ht="13.5" hidden="false" customHeight="true" outlineLevel="0" collapsed="false">
      <c r="A20" s="10" t="n">
        <v>46069</v>
      </c>
      <c r="B20" s="10" t="n">
        <v>46076</v>
      </c>
      <c r="C20" s="11" t="n">
        <v>2026</v>
      </c>
      <c r="D20" s="11" t="n">
        <v>8</v>
      </c>
      <c r="E20" s="22" t="n">
        <f aca="false">SUMIFS(Verbrauch!$C$9:$C$18896,Verbrauch!$A$9:$A$18896,"&gt;="&amp;A20,Verbrauch!$A$9:$A$18896,"&lt;"&amp;B20)</f>
        <v>0</v>
      </c>
      <c r="F20" s="22" t="n">
        <f aca="false">SUMIFS(Verbrauch!$C$9:$C$18896,Verbrauch!$A$9:$A$18896,"&gt;="&amp;A20,Verbrauch!$A$9:$A$18896,"&lt;"&amp;B20,Verbrauch!$F$9:$F$18896,"Go")</f>
        <v>0</v>
      </c>
      <c r="G20" s="22" t="n">
        <f aca="false">SUMIFS(Verbrauch!$C$9:$C$18896,Verbrauch!$A$9:$A$18896,"&gt;="&amp;A20,Verbrauch!$A$9:$A$18896,"&lt;"&amp;B20,Verbrauch!$F$9:$F$18896,"Standard")</f>
        <v>0</v>
      </c>
      <c r="H20" s="23" t="n">
        <f aca="false">SUMIFS(Verbrauch!$E$9:$E$18896,Verbrauch!$A$9:$A$18896,"&gt;="&amp;A20,Verbrauch!$A$9:$A$18896,"&lt;"&amp;B20)</f>
        <v>0</v>
      </c>
      <c r="I20" s="13" t="str">
        <f aca="false">IFERROR(H20/E20*100,"")</f>
        <v/>
      </c>
    </row>
    <row r="21" customFormat="false" ht="13.5" hidden="false" customHeight="true" outlineLevel="0" collapsed="false">
      <c r="A21" s="10" t="n">
        <v>46076</v>
      </c>
      <c r="B21" s="10" t="n">
        <v>46083</v>
      </c>
      <c r="C21" s="11" t="n">
        <v>2026</v>
      </c>
      <c r="D21" s="11" t="n">
        <v>9</v>
      </c>
      <c r="E21" s="22" t="n">
        <f aca="false">SUMIFS(Verbrauch!$C$9:$C$18896,Verbrauch!$A$9:$A$18896,"&gt;="&amp;A21,Verbrauch!$A$9:$A$18896,"&lt;"&amp;B21)</f>
        <v>0</v>
      </c>
      <c r="F21" s="22" t="n">
        <f aca="false">SUMIFS(Verbrauch!$C$9:$C$18896,Verbrauch!$A$9:$A$18896,"&gt;="&amp;A21,Verbrauch!$A$9:$A$18896,"&lt;"&amp;B21,Verbrauch!$F$9:$F$18896,"Go")</f>
        <v>0</v>
      </c>
      <c r="G21" s="22" t="n">
        <f aca="false">SUMIFS(Verbrauch!$C$9:$C$18896,Verbrauch!$A$9:$A$18896,"&gt;="&amp;A21,Verbrauch!$A$9:$A$18896,"&lt;"&amp;B21,Verbrauch!$F$9:$F$18896,"Standard")</f>
        <v>0</v>
      </c>
      <c r="H21" s="23" t="n">
        <f aca="false">SUMIFS(Verbrauch!$E$9:$E$18896,Verbrauch!$A$9:$A$18896,"&gt;="&amp;A21,Verbrauch!$A$9:$A$18896,"&lt;"&amp;B21)</f>
        <v>0</v>
      </c>
      <c r="I21" s="13" t="str">
        <f aca="false">IFERROR(H21/E21*100,"")</f>
        <v/>
      </c>
    </row>
    <row r="22" customFormat="false" ht="13.5" hidden="false" customHeight="true" outlineLevel="0" collapsed="false">
      <c r="A22" s="10" t="n">
        <v>46083</v>
      </c>
      <c r="B22" s="10" t="n">
        <v>46090</v>
      </c>
      <c r="C22" s="11" t="n">
        <v>2026</v>
      </c>
      <c r="D22" s="11" t="n">
        <v>10</v>
      </c>
      <c r="E22" s="22" t="n">
        <f aca="false">SUMIFS(Verbrauch!$C$9:$C$18896,Verbrauch!$A$9:$A$18896,"&gt;="&amp;A22,Verbrauch!$A$9:$A$18896,"&lt;"&amp;B22)</f>
        <v>0</v>
      </c>
      <c r="F22" s="22" t="n">
        <f aca="false">SUMIFS(Verbrauch!$C$9:$C$18896,Verbrauch!$A$9:$A$18896,"&gt;="&amp;A22,Verbrauch!$A$9:$A$18896,"&lt;"&amp;B22,Verbrauch!$F$9:$F$18896,"Go")</f>
        <v>0</v>
      </c>
      <c r="G22" s="22" t="n">
        <f aca="false">SUMIFS(Verbrauch!$C$9:$C$18896,Verbrauch!$A$9:$A$18896,"&gt;="&amp;A22,Verbrauch!$A$9:$A$18896,"&lt;"&amp;B22,Verbrauch!$F$9:$F$18896,"Standard")</f>
        <v>0</v>
      </c>
      <c r="H22" s="23" t="n">
        <f aca="false">SUMIFS(Verbrauch!$E$9:$E$18896,Verbrauch!$A$9:$A$18896,"&gt;="&amp;A22,Verbrauch!$A$9:$A$18896,"&lt;"&amp;B22)</f>
        <v>0</v>
      </c>
      <c r="I22" s="13" t="str">
        <f aca="false">IFERROR(H22/E22*100,"")</f>
        <v/>
      </c>
    </row>
    <row r="23" customFormat="false" ht="13.5" hidden="false" customHeight="true" outlineLevel="0" collapsed="false">
      <c r="A23" s="10" t="n">
        <v>46090</v>
      </c>
      <c r="B23" s="10" t="n">
        <v>46097</v>
      </c>
      <c r="C23" s="11" t="n">
        <v>2026</v>
      </c>
      <c r="D23" s="11" t="n">
        <v>11</v>
      </c>
      <c r="E23" s="22" t="n">
        <f aca="false">SUMIFS(Verbrauch!$C$9:$C$18896,Verbrauch!$A$9:$A$18896,"&gt;="&amp;A23,Verbrauch!$A$9:$A$18896,"&lt;"&amp;B23)</f>
        <v>0</v>
      </c>
      <c r="F23" s="22" t="n">
        <f aca="false">SUMIFS(Verbrauch!$C$9:$C$18896,Verbrauch!$A$9:$A$18896,"&gt;="&amp;A23,Verbrauch!$A$9:$A$18896,"&lt;"&amp;B23,Verbrauch!$F$9:$F$18896,"Go")</f>
        <v>0</v>
      </c>
      <c r="G23" s="22" t="n">
        <f aca="false">SUMIFS(Verbrauch!$C$9:$C$18896,Verbrauch!$A$9:$A$18896,"&gt;="&amp;A23,Verbrauch!$A$9:$A$18896,"&lt;"&amp;B23,Verbrauch!$F$9:$F$18896,"Standard")</f>
        <v>0</v>
      </c>
      <c r="H23" s="23" t="n">
        <f aca="false">SUMIFS(Verbrauch!$E$9:$E$18896,Verbrauch!$A$9:$A$18896,"&gt;="&amp;A23,Verbrauch!$A$9:$A$18896,"&lt;"&amp;B23)</f>
        <v>0</v>
      </c>
      <c r="I23" s="13" t="str">
        <f aca="false">IFERROR(H23/E23*100,"")</f>
        <v/>
      </c>
    </row>
    <row r="24" customFormat="false" ht="13.5" hidden="false" customHeight="true" outlineLevel="0" collapsed="false">
      <c r="A24" s="10" t="n">
        <v>46097</v>
      </c>
      <c r="B24" s="10" t="n">
        <v>46104</v>
      </c>
      <c r="C24" s="11" t="n">
        <v>2026</v>
      </c>
      <c r="D24" s="11" t="n">
        <v>12</v>
      </c>
      <c r="E24" s="22" t="n">
        <f aca="false">SUMIFS(Verbrauch!$C$9:$C$18896,Verbrauch!$A$9:$A$18896,"&gt;="&amp;A24,Verbrauch!$A$9:$A$18896,"&lt;"&amp;B24)</f>
        <v>0</v>
      </c>
      <c r="F24" s="22" t="n">
        <f aca="false">SUMIFS(Verbrauch!$C$9:$C$18896,Verbrauch!$A$9:$A$18896,"&gt;="&amp;A24,Verbrauch!$A$9:$A$18896,"&lt;"&amp;B24,Verbrauch!$F$9:$F$18896,"Go")</f>
        <v>0</v>
      </c>
      <c r="G24" s="22" t="n">
        <f aca="false">SUMIFS(Verbrauch!$C$9:$C$18896,Verbrauch!$A$9:$A$18896,"&gt;="&amp;A24,Verbrauch!$A$9:$A$18896,"&lt;"&amp;B24,Verbrauch!$F$9:$F$18896,"Standard")</f>
        <v>0</v>
      </c>
      <c r="H24" s="23" t="n">
        <f aca="false">SUMIFS(Verbrauch!$E$9:$E$18896,Verbrauch!$A$9:$A$18896,"&gt;="&amp;A24,Verbrauch!$A$9:$A$18896,"&lt;"&amp;B24)</f>
        <v>0</v>
      </c>
      <c r="I24" s="13" t="str">
        <f aca="false">IFERROR(H24/E24*100,"")</f>
        <v/>
      </c>
    </row>
    <row r="25" customFormat="false" ht="13.5" hidden="false" customHeight="true" outlineLevel="0" collapsed="false">
      <c r="A25" s="10" t="n">
        <v>46104</v>
      </c>
      <c r="B25" s="10" t="n">
        <v>46111</v>
      </c>
      <c r="C25" s="11" t="n">
        <v>2026</v>
      </c>
      <c r="D25" s="11" t="n">
        <v>13</v>
      </c>
      <c r="E25" s="22" t="n">
        <f aca="false">SUMIFS(Verbrauch!$C$9:$C$18896,Verbrauch!$A$9:$A$18896,"&gt;="&amp;A25,Verbrauch!$A$9:$A$18896,"&lt;"&amp;B25)</f>
        <v>0</v>
      </c>
      <c r="F25" s="22" t="n">
        <f aca="false">SUMIFS(Verbrauch!$C$9:$C$18896,Verbrauch!$A$9:$A$18896,"&gt;="&amp;A25,Verbrauch!$A$9:$A$18896,"&lt;"&amp;B25,Verbrauch!$F$9:$F$18896,"Go")</f>
        <v>0</v>
      </c>
      <c r="G25" s="22" t="n">
        <f aca="false">SUMIFS(Verbrauch!$C$9:$C$18896,Verbrauch!$A$9:$A$18896,"&gt;="&amp;A25,Verbrauch!$A$9:$A$18896,"&lt;"&amp;B25,Verbrauch!$F$9:$F$18896,"Standard")</f>
        <v>0</v>
      </c>
      <c r="H25" s="23" t="n">
        <f aca="false">SUMIFS(Verbrauch!$E$9:$E$18896,Verbrauch!$A$9:$A$18896,"&gt;="&amp;A25,Verbrauch!$A$9:$A$18896,"&lt;"&amp;B25)</f>
        <v>0</v>
      </c>
      <c r="I25" s="13" t="str">
        <f aca="false">IFERROR(H25/E25*100,"")</f>
        <v/>
      </c>
    </row>
    <row r="26" customFormat="false" ht="13.5" hidden="false" customHeight="true" outlineLevel="0" collapsed="false">
      <c r="A26" s="10" t="n">
        <v>46111</v>
      </c>
      <c r="B26" s="10" t="n">
        <v>46118</v>
      </c>
      <c r="C26" s="11" t="n">
        <v>2026</v>
      </c>
      <c r="D26" s="11" t="n">
        <v>14</v>
      </c>
      <c r="E26" s="22" t="n">
        <f aca="false">SUMIFS(Verbrauch!$C$9:$C$18896,Verbrauch!$A$9:$A$18896,"&gt;="&amp;A26,Verbrauch!$A$9:$A$18896,"&lt;"&amp;B26)</f>
        <v>0</v>
      </c>
      <c r="F26" s="22" t="n">
        <f aca="false">SUMIFS(Verbrauch!$C$9:$C$18896,Verbrauch!$A$9:$A$18896,"&gt;="&amp;A26,Verbrauch!$A$9:$A$18896,"&lt;"&amp;B26,Verbrauch!$F$9:$F$18896,"Go")</f>
        <v>0</v>
      </c>
      <c r="G26" s="22" t="n">
        <f aca="false">SUMIFS(Verbrauch!$C$9:$C$18896,Verbrauch!$A$9:$A$18896,"&gt;="&amp;A26,Verbrauch!$A$9:$A$18896,"&lt;"&amp;B26,Verbrauch!$F$9:$F$18896,"Standard")</f>
        <v>0</v>
      </c>
      <c r="H26" s="23" t="n">
        <f aca="false">SUMIFS(Verbrauch!$E$9:$E$18896,Verbrauch!$A$9:$A$18896,"&gt;="&amp;A26,Verbrauch!$A$9:$A$18896,"&lt;"&amp;B26)</f>
        <v>0</v>
      </c>
      <c r="I26" s="13" t="str">
        <f aca="false">IFERROR(H26/E26*100,"")</f>
        <v/>
      </c>
    </row>
    <row r="27" customFormat="false" ht="13.5" hidden="false" customHeight="true" outlineLevel="0" collapsed="false">
      <c r="A27" s="10" t="n">
        <v>46118</v>
      </c>
      <c r="B27" s="10" t="n">
        <v>46125</v>
      </c>
      <c r="C27" s="11" t="n">
        <v>2026</v>
      </c>
      <c r="D27" s="11" t="n">
        <v>15</v>
      </c>
      <c r="E27" s="22" t="n">
        <f aca="false">SUMIFS(Verbrauch!$C$9:$C$18896,Verbrauch!$A$9:$A$18896,"&gt;="&amp;A27,Verbrauch!$A$9:$A$18896,"&lt;"&amp;B27)</f>
        <v>0</v>
      </c>
      <c r="F27" s="22" t="n">
        <f aca="false">SUMIFS(Verbrauch!$C$9:$C$18896,Verbrauch!$A$9:$A$18896,"&gt;="&amp;A27,Verbrauch!$A$9:$A$18896,"&lt;"&amp;B27,Verbrauch!$F$9:$F$18896,"Go")</f>
        <v>0</v>
      </c>
      <c r="G27" s="22" t="n">
        <f aca="false">SUMIFS(Verbrauch!$C$9:$C$18896,Verbrauch!$A$9:$A$18896,"&gt;="&amp;A27,Verbrauch!$A$9:$A$18896,"&lt;"&amp;B27,Verbrauch!$F$9:$F$18896,"Standard")</f>
        <v>0</v>
      </c>
      <c r="H27" s="23" t="n">
        <f aca="false">SUMIFS(Verbrauch!$E$9:$E$18896,Verbrauch!$A$9:$A$18896,"&gt;="&amp;A27,Verbrauch!$A$9:$A$18896,"&lt;"&amp;B27)</f>
        <v>0</v>
      </c>
      <c r="I27" s="13" t="str">
        <f aca="false">IFERROR(H27/E27*100,"")</f>
        <v/>
      </c>
    </row>
    <row r="28" customFormat="false" ht="13.5" hidden="false" customHeight="true" outlineLevel="0" collapsed="false">
      <c r="A28" s="10" t="n">
        <v>46125</v>
      </c>
      <c r="B28" s="10" t="n">
        <v>46132</v>
      </c>
      <c r="C28" s="11" t="n">
        <v>2026</v>
      </c>
      <c r="D28" s="11" t="n">
        <v>16</v>
      </c>
      <c r="E28" s="22" t="n">
        <f aca="false">SUMIFS(Verbrauch!$C$9:$C$18896,Verbrauch!$A$9:$A$18896,"&gt;="&amp;A28,Verbrauch!$A$9:$A$18896,"&lt;"&amp;B28)</f>
        <v>0</v>
      </c>
      <c r="F28" s="22" t="n">
        <f aca="false">SUMIFS(Verbrauch!$C$9:$C$18896,Verbrauch!$A$9:$A$18896,"&gt;="&amp;A28,Verbrauch!$A$9:$A$18896,"&lt;"&amp;B28,Verbrauch!$F$9:$F$18896,"Go")</f>
        <v>0</v>
      </c>
      <c r="G28" s="22" t="n">
        <f aca="false">SUMIFS(Verbrauch!$C$9:$C$18896,Verbrauch!$A$9:$A$18896,"&gt;="&amp;A28,Verbrauch!$A$9:$A$18896,"&lt;"&amp;B28,Verbrauch!$F$9:$F$18896,"Standard")</f>
        <v>0</v>
      </c>
      <c r="H28" s="23" t="n">
        <f aca="false">SUMIFS(Verbrauch!$E$9:$E$18896,Verbrauch!$A$9:$A$18896,"&gt;="&amp;A28,Verbrauch!$A$9:$A$18896,"&lt;"&amp;B28)</f>
        <v>0</v>
      </c>
      <c r="I28" s="13" t="str">
        <f aca="false">IFERROR(H28/E28*100,"")</f>
        <v/>
      </c>
    </row>
    <row r="29" customFormat="false" ht="13.5" hidden="false" customHeight="true" outlineLevel="0" collapsed="false">
      <c r="A29" s="10" t="n">
        <v>46132</v>
      </c>
      <c r="B29" s="10" t="n">
        <v>46139</v>
      </c>
      <c r="C29" s="11" t="n">
        <v>2026</v>
      </c>
      <c r="D29" s="11" t="n">
        <v>17</v>
      </c>
      <c r="E29" s="22" t="n">
        <f aca="false">SUMIFS(Verbrauch!$C$9:$C$18896,Verbrauch!$A$9:$A$18896,"&gt;="&amp;A29,Verbrauch!$A$9:$A$18896,"&lt;"&amp;B29)</f>
        <v>0</v>
      </c>
      <c r="F29" s="22" t="n">
        <f aca="false">SUMIFS(Verbrauch!$C$9:$C$18896,Verbrauch!$A$9:$A$18896,"&gt;="&amp;A29,Verbrauch!$A$9:$A$18896,"&lt;"&amp;B29,Verbrauch!$F$9:$F$18896,"Go")</f>
        <v>0</v>
      </c>
      <c r="G29" s="22" t="n">
        <f aca="false">SUMIFS(Verbrauch!$C$9:$C$18896,Verbrauch!$A$9:$A$18896,"&gt;="&amp;A29,Verbrauch!$A$9:$A$18896,"&lt;"&amp;B29,Verbrauch!$F$9:$F$18896,"Standard")</f>
        <v>0</v>
      </c>
      <c r="H29" s="23" t="n">
        <f aca="false">SUMIFS(Verbrauch!$E$9:$E$18896,Verbrauch!$A$9:$A$18896,"&gt;="&amp;A29,Verbrauch!$A$9:$A$18896,"&lt;"&amp;B29)</f>
        <v>0</v>
      </c>
      <c r="I29" s="13" t="str">
        <f aca="false">IFERROR(H29/E29*100,"")</f>
        <v/>
      </c>
    </row>
    <row r="30" customFormat="false" ht="13.5" hidden="false" customHeight="true" outlineLevel="0" collapsed="false">
      <c r="A30" s="10" t="n">
        <v>46139</v>
      </c>
      <c r="B30" s="10" t="n">
        <v>46146</v>
      </c>
      <c r="C30" s="11" t="n">
        <v>2026</v>
      </c>
      <c r="D30" s="11" t="n">
        <v>18</v>
      </c>
      <c r="E30" s="22" t="n">
        <f aca="false">SUMIFS(Verbrauch!$C$9:$C$18896,Verbrauch!$A$9:$A$18896,"&gt;="&amp;A30,Verbrauch!$A$9:$A$18896,"&lt;"&amp;B30)</f>
        <v>0</v>
      </c>
      <c r="F30" s="22" t="n">
        <f aca="false">SUMIFS(Verbrauch!$C$9:$C$18896,Verbrauch!$A$9:$A$18896,"&gt;="&amp;A30,Verbrauch!$A$9:$A$18896,"&lt;"&amp;B30,Verbrauch!$F$9:$F$18896,"Go")</f>
        <v>0</v>
      </c>
      <c r="G30" s="22" t="n">
        <f aca="false">SUMIFS(Verbrauch!$C$9:$C$18896,Verbrauch!$A$9:$A$18896,"&gt;="&amp;A30,Verbrauch!$A$9:$A$18896,"&lt;"&amp;B30,Verbrauch!$F$9:$F$18896,"Standard")</f>
        <v>0</v>
      </c>
      <c r="H30" s="23" t="n">
        <f aca="false">SUMIFS(Verbrauch!$E$9:$E$18896,Verbrauch!$A$9:$A$18896,"&gt;="&amp;A30,Verbrauch!$A$9:$A$18896,"&lt;"&amp;B30)</f>
        <v>0</v>
      </c>
      <c r="I30" s="13" t="str">
        <f aca="false">IFERROR(H30/E30*100,"")</f>
        <v/>
      </c>
    </row>
    <row r="31" customFormat="false" ht="13.5" hidden="false" customHeight="true" outlineLevel="0" collapsed="false">
      <c r="A31" s="10" t="n">
        <v>46146</v>
      </c>
      <c r="B31" s="10" t="n">
        <v>46153</v>
      </c>
      <c r="C31" s="11" t="n">
        <v>2026</v>
      </c>
      <c r="D31" s="11" t="n">
        <v>19</v>
      </c>
      <c r="E31" s="22" t="n">
        <f aca="false">SUMIFS(Verbrauch!$C$9:$C$18896,Verbrauch!$A$9:$A$18896,"&gt;="&amp;A31,Verbrauch!$A$9:$A$18896,"&lt;"&amp;B31)</f>
        <v>0</v>
      </c>
      <c r="F31" s="22" t="n">
        <f aca="false">SUMIFS(Verbrauch!$C$9:$C$18896,Verbrauch!$A$9:$A$18896,"&gt;="&amp;A31,Verbrauch!$A$9:$A$18896,"&lt;"&amp;B31,Verbrauch!$F$9:$F$18896,"Go")</f>
        <v>0</v>
      </c>
      <c r="G31" s="22" t="n">
        <f aca="false">SUMIFS(Verbrauch!$C$9:$C$18896,Verbrauch!$A$9:$A$18896,"&gt;="&amp;A31,Verbrauch!$A$9:$A$18896,"&lt;"&amp;B31,Verbrauch!$F$9:$F$18896,"Standard")</f>
        <v>0</v>
      </c>
      <c r="H31" s="23" t="n">
        <f aca="false">SUMIFS(Verbrauch!$E$9:$E$18896,Verbrauch!$A$9:$A$18896,"&gt;="&amp;A31,Verbrauch!$A$9:$A$18896,"&lt;"&amp;B31)</f>
        <v>0</v>
      </c>
      <c r="I31" s="13" t="str">
        <f aca="false">IFERROR(H31/E31*100,"")</f>
        <v/>
      </c>
    </row>
    <row r="32" customFormat="false" ht="13.5" hidden="false" customHeight="true" outlineLevel="0" collapsed="false">
      <c r="A32" s="10" t="n">
        <v>46153</v>
      </c>
      <c r="B32" s="10" t="n">
        <v>46160</v>
      </c>
      <c r="C32" s="11" t="n">
        <v>2026</v>
      </c>
      <c r="D32" s="11" t="n">
        <v>20</v>
      </c>
      <c r="E32" s="22" t="n">
        <f aca="false">SUMIFS(Verbrauch!$C$9:$C$18896,Verbrauch!$A$9:$A$18896,"&gt;="&amp;A32,Verbrauch!$A$9:$A$18896,"&lt;"&amp;B32)</f>
        <v>0</v>
      </c>
      <c r="F32" s="22" t="n">
        <f aca="false">SUMIFS(Verbrauch!$C$9:$C$18896,Verbrauch!$A$9:$A$18896,"&gt;="&amp;A32,Verbrauch!$A$9:$A$18896,"&lt;"&amp;B32,Verbrauch!$F$9:$F$18896,"Go")</f>
        <v>0</v>
      </c>
      <c r="G32" s="22" t="n">
        <f aca="false">SUMIFS(Verbrauch!$C$9:$C$18896,Verbrauch!$A$9:$A$18896,"&gt;="&amp;A32,Verbrauch!$A$9:$A$18896,"&lt;"&amp;B32,Verbrauch!$F$9:$F$18896,"Standard")</f>
        <v>0</v>
      </c>
      <c r="H32" s="23" t="n">
        <f aca="false">SUMIFS(Verbrauch!$E$9:$E$18896,Verbrauch!$A$9:$A$18896,"&gt;="&amp;A32,Verbrauch!$A$9:$A$18896,"&lt;"&amp;B32)</f>
        <v>0</v>
      </c>
      <c r="I32" s="13" t="str">
        <f aca="false">IFERROR(H32/E32*100,"")</f>
        <v/>
      </c>
    </row>
    <row r="33" customFormat="false" ht="13.5" hidden="false" customHeight="true" outlineLevel="0" collapsed="false">
      <c r="A33" s="10" t="n">
        <v>46160</v>
      </c>
      <c r="B33" s="10" t="n">
        <v>46167</v>
      </c>
      <c r="C33" s="11" t="n">
        <v>2026</v>
      </c>
      <c r="D33" s="11" t="n">
        <v>21</v>
      </c>
      <c r="E33" s="22" t="n">
        <f aca="false">SUMIFS(Verbrauch!$C$9:$C$18896,Verbrauch!$A$9:$A$18896,"&gt;="&amp;A33,Verbrauch!$A$9:$A$18896,"&lt;"&amp;B33)</f>
        <v>0</v>
      </c>
      <c r="F33" s="22" t="n">
        <f aca="false">SUMIFS(Verbrauch!$C$9:$C$18896,Verbrauch!$A$9:$A$18896,"&gt;="&amp;A33,Verbrauch!$A$9:$A$18896,"&lt;"&amp;B33,Verbrauch!$F$9:$F$18896,"Go")</f>
        <v>0</v>
      </c>
      <c r="G33" s="22" t="n">
        <f aca="false">SUMIFS(Verbrauch!$C$9:$C$18896,Verbrauch!$A$9:$A$18896,"&gt;="&amp;A33,Verbrauch!$A$9:$A$18896,"&lt;"&amp;B33,Verbrauch!$F$9:$F$18896,"Standard")</f>
        <v>0</v>
      </c>
      <c r="H33" s="23" t="n">
        <f aca="false">SUMIFS(Verbrauch!$E$9:$E$18896,Verbrauch!$A$9:$A$18896,"&gt;="&amp;A33,Verbrauch!$A$9:$A$18896,"&lt;"&amp;B33)</f>
        <v>0</v>
      </c>
      <c r="I33" s="13" t="str">
        <f aca="false">IFERROR(H33/E33*100,"")</f>
        <v/>
      </c>
    </row>
    <row r="34" customFormat="false" ht="13.5" hidden="false" customHeight="true" outlineLevel="0" collapsed="false">
      <c r="A34" s="10" t="n">
        <v>46167</v>
      </c>
      <c r="B34" s="10" t="n">
        <v>46174</v>
      </c>
      <c r="C34" s="11" t="n">
        <v>2026</v>
      </c>
      <c r="D34" s="11" t="n">
        <v>22</v>
      </c>
      <c r="E34" s="22" t="n">
        <f aca="false">SUMIFS(Verbrauch!$C$9:$C$18896,Verbrauch!$A$9:$A$18896,"&gt;="&amp;A34,Verbrauch!$A$9:$A$18896,"&lt;"&amp;B34)</f>
        <v>0</v>
      </c>
      <c r="F34" s="22" t="n">
        <f aca="false">SUMIFS(Verbrauch!$C$9:$C$18896,Verbrauch!$A$9:$A$18896,"&gt;="&amp;A34,Verbrauch!$A$9:$A$18896,"&lt;"&amp;B34,Verbrauch!$F$9:$F$18896,"Go")</f>
        <v>0</v>
      </c>
      <c r="G34" s="22" t="n">
        <f aca="false">SUMIFS(Verbrauch!$C$9:$C$18896,Verbrauch!$A$9:$A$18896,"&gt;="&amp;A34,Verbrauch!$A$9:$A$18896,"&lt;"&amp;B34,Verbrauch!$F$9:$F$18896,"Standard")</f>
        <v>0</v>
      </c>
      <c r="H34" s="23" t="n">
        <f aca="false">SUMIFS(Verbrauch!$E$9:$E$18896,Verbrauch!$A$9:$A$18896,"&gt;="&amp;A34,Verbrauch!$A$9:$A$18896,"&lt;"&amp;B34)</f>
        <v>0</v>
      </c>
      <c r="I34" s="13" t="str">
        <f aca="false">IFERROR(H34/E34*100,"")</f>
        <v/>
      </c>
    </row>
    <row r="35" customFormat="false" ht="13.5" hidden="false" customHeight="true" outlineLevel="0" collapsed="false">
      <c r="A35" s="10" t="n">
        <v>46174</v>
      </c>
      <c r="B35" s="10" t="n">
        <v>46181</v>
      </c>
      <c r="C35" s="11" t="n">
        <v>2026</v>
      </c>
      <c r="D35" s="11" t="n">
        <v>23</v>
      </c>
      <c r="E35" s="22" t="n">
        <f aca="false">SUMIFS(Verbrauch!$C$9:$C$18896,Verbrauch!$A$9:$A$18896,"&gt;="&amp;A35,Verbrauch!$A$9:$A$18896,"&lt;"&amp;B35)</f>
        <v>0</v>
      </c>
      <c r="F35" s="22" t="n">
        <f aca="false">SUMIFS(Verbrauch!$C$9:$C$18896,Verbrauch!$A$9:$A$18896,"&gt;="&amp;A35,Verbrauch!$A$9:$A$18896,"&lt;"&amp;B35,Verbrauch!$F$9:$F$18896,"Go")</f>
        <v>0</v>
      </c>
      <c r="G35" s="22" t="n">
        <f aca="false">SUMIFS(Verbrauch!$C$9:$C$18896,Verbrauch!$A$9:$A$18896,"&gt;="&amp;A35,Verbrauch!$A$9:$A$18896,"&lt;"&amp;B35,Verbrauch!$F$9:$F$18896,"Standard")</f>
        <v>0</v>
      </c>
      <c r="H35" s="23" t="n">
        <f aca="false">SUMIFS(Verbrauch!$E$9:$E$18896,Verbrauch!$A$9:$A$18896,"&gt;="&amp;A35,Verbrauch!$A$9:$A$18896,"&lt;"&amp;B35)</f>
        <v>0</v>
      </c>
      <c r="I35" s="13" t="str">
        <f aca="false">IFERROR(H35/E35*100,"")</f>
        <v/>
      </c>
    </row>
    <row r="36" customFormat="false" ht="13.5" hidden="false" customHeight="true" outlineLevel="0" collapsed="false">
      <c r="A36" s="10" t="n">
        <v>46181</v>
      </c>
      <c r="B36" s="10" t="n">
        <v>46188</v>
      </c>
      <c r="C36" s="11" t="n">
        <v>2026</v>
      </c>
      <c r="D36" s="11" t="n">
        <v>24</v>
      </c>
      <c r="E36" s="22" t="n">
        <f aca="false">SUMIFS(Verbrauch!$C$9:$C$18896,Verbrauch!$A$9:$A$18896,"&gt;="&amp;A36,Verbrauch!$A$9:$A$18896,"&lt;"&amp;B36)</f>
        <v>0</v>
      </c>
      <c r="F36" s="22" t="n">
        <f aca="false">SUMIFS(Verbrauch!$C$9:$C$18896,Verbrauch!$A$9:$A$18896,"&gt;="&amp;A36,Verbrauch!$A$9:$A$18896,"&lt;"&amp;B36,Verbrauch!$F$9:$F$18896,"Go")</f>
        <v>0</v>
      </c>
      <c r="G36" s="22" t="n">
        <f aca="false">SUMIFS(Verbrauch!$C$9:$C$18896,Verbrauch!$A$9:$A$18896,"&gt;="&amp;A36,Verbrauch!$A$9:$A$18896,"&lt;"&amp;B36,Verbrauch!$F$9:$F$18896,"Standard")</f>
        <v>0</v>
      </c>
      <c r="H36" s="23" t="n">
        <f aca="false">SUMIFS(Verbrauch!$E$9:$E$18896,Verbrauch!$A$9:$A$18896,"&gt;="&amp;A36,Verbrauch!$A$9:$A$18896,"&lt;"&amp;B36)</f>
        <v>0</v>
      </c>
      <c r="I36" s="13" t="str">
        <f aca="false">IFERROR(H36/E36*100,"")</f>
        <v/>
      </c>
    </row>
    <row r="37" customFormat="false" ht="13.5" hidden="false" customHeight="true" outlineLevel="0" collapsed="false">
      <c r="A37" s="10" t="n">
        <v>46188</v>
      </c>
      <c r="B37" s="10" t="n">
        <v>46195</v>
      </c>
      <c r="C37" s="11" t="n">
        <v>2026</v>
      </c>
      <c r="D37" s="11" t="n">
        <v>25</v>
      </c>
      <c r="E37" s="22" t="n">
        <f aca="false">SUMIFS(Verbrauch!$C$9:$C$18896,Verbrauch!$A$9:$A$18896,"&gt;="&amp;A37,Verbrauch!$A$9:$A$18896,"&lt;"&amp;B37)</f>
        <v>0</v>
      </c>
      <c r="F37" s="22" t="n">
        <f aca="false">SUMIFS(Verbrauch!$C$9:$C$18896,Verbrauch!$A$9:$A$18896,"&gt;="&amp;A37,Verbrauch!$A$9:$A$18896,"&lt;"&amp;B37,Verbrauch!$F$9:$F$18896,"Go")</f>
        <v>0</v>
      </c>
      <c r="G37" s="22" t="n">
        <f aca="false">SUMIFS(Verbrauch!$C$9:$C$18896,Verbrauch!$A$9:$A$18896,"&gt;="&amp;A37,Verbrauch!$A$9:$A$18896,"&lt;"&amp;B37,Verbrauch!$F$9:$F$18896,"Standard")</f>
        <v>0</v>
      </c>
      <c r="H37" s="23" t="n">
        <f aca="false">SUMIFS(Verbrauch!$E$9:$E$18896,Verbrauch!$A$9:$A$18896,"&gt;="&amp;A37,Verbrauch!$A$9:$A$18896,"&lt;"&amp;B37)</f>
        <v>0</v>
      </c>
      <c r="I37" s="13" t="str">
        <f aca="false">IFERROR(H37/E37*100,"")</f>
        <v/>
      </c>
    </row>
    <row r="38" customFormat="false" ht="13.5" hidden="false" customHeight="true" outlineLevel="0" collapsed="false">
      <c r="A38" s="10" t="n">
        <v>46195</v>
      </c>
      <c r="B38" s="10" t="n">
        <v>46202</v>
      </c>
      <c r="C38" s="11" t="n">
        <v>2026</v>
      </c>
      <c r="D38" s="11" t="n">
        <v>26</v>
      </c>
      <c r="E38" s="22" t="n">
        <f aca="false">SUMIFS(Verbrauch!$C$9:$C$18896,Verbrauch!$A$9:$A$18896,"&gt;="&amp;A38,Verbrauch!$A$9:$A$18896,"&lt;"&amp;B38)</f>
        <v>0</v>
      </c>
      <c r="F38" s="22" t="n">
        <f aca="false">SUMIFS(Verbrauch!$C$9:$C$18896,Verbrauch!$A$9:$A$18896,"&gt;="&amp;A38,Verbrauch!$A$9:$A$18896,"&lt;"&amp;B38,Verbrauch!$F$9:$F$18896,"Go")</f>
        <v>0</v>
      </c>
      <c r="G38" s="22" t="n">
        <f aca="false">SUMIFS(Verbrauch!$C$9:$C$18896,Verbrauch!$A$9:$A$18896,"&gt;="&amp;A38,Verbrauch!$A$9:$A$18896,"&lt;"&amp;B38,Verbrauch!$F$9:$F$18896,"Standard")</f>
        <v>0</v>
      </c>
      <c r="H38" s="23" t="n">
        <f aca="false">SUMIFS(Verbrauch!$E$9:$E$18896,Verbrauch!$A$9:$A$18896,"&gt;="&amp;A38,Verbrauch!$A$9:$A$18896,"&lt;"&amp;B38)</f>
        <v>0</v>
      </c>
      <c r="I38" s="13" t="str">
        <f aca="false">IFERROR(H38/E38*100,"")</f>
        <v/>
      </c>
    </row>
    <row r="39" customFormat="false" ht="13.5" hidden="false" customHeight="true" outlineLevel="0" collapsed="false">
      <c r="A39" s="10" t="n">
        <v>46202</v>
      </c>
      <c r="B39" s="10" t="n">
        <v>46209</v>
      </c>
      <c r="C39" s="11" t="n">
        <v>2026</v>
      </c>
      <c r="D39" s="11" t="n">
        <v>27</v>
      </c>
      <c r="E39" s="22" t="n">
        <f aca="false">SUMIFS(Verbrauch!$C$9:$C$18896,Verbrauch!$A$9:$A$18896,"&gt;="&amp;A39,Verbrauch!$A$9:$A$18896,"&lt;"&amp;B39)</f>
        <v>0</v>
      </c>
      <c r="F39" s="22" t="n">
        <f aca="false">SUMIFS(Verbrauch!$C$9:$C$18896,Verbrauch!$A$9:$A$18896,"&gt;="&amp;A39,Verbrauch!$A$9:$A$18896,"&lt;"&amp;B39,Verbrauch!$F$9:$F$18896,"Go")</f>
        <v>0</v>
      </c>
      <c r="G39" s="22" t="n">
        <f aca="false">SUMIFS(Verbrauch!$C$9:$C$18896,Verbrauch!$A$9:$A$18896,"&gt;="&amp;A39,Verbrauch!$A$9:$A$18896,"&lt;"&amp;B39,Verbrauch!$F$9:$F$18896,"Standard")</f>
        <v>0</v>
      </c>
      <c r="H39" s="23" t="n">
        <f aca="false">SUMIFS(Verbrauch!$E$9:$E$18896,Verbrauch!$A$9:$A$18896,"&gt;="&amp;A39,Verbrauch!$A$9:$A$18896,"&lt;"&amp;B39)</f>
        <v>0</v>
      </c>
      <c r="I39" s="13" t="str">
        <f aca="false">IFERROR(H39/E39*100,"")</f>
        <v/>
      </c>
    </row>
    <row r="40" customFormat="false" ht="13.5" hidden="false" customHeight="true" outlineLevel="0" collapsed="false">
      <c r="A40" s="10" t="n">
        <v>46209</v>
      </c>
      <c r="B40" s="10" t="n">
        <v>46216</v>
      </c>
      <c r="C40" s="11" t="n">
        <v>2026</v>
      </c>
      <c r="D40" s="11" t="n">
        <v>28</v>
      </c>
      <c r="E40" s="22" t="n">
        <f aca="false">SUMIFS(Verbrauch!$C$9:$C$18896,Verbrauch!$A$9:$A$18896,"&gt;="&amp;A40,Verbrauch!$A$9:$A$18896,"&lt;"&amp;B40)</f>
        <v>0</v>
      </c>
      <c r="F40" s="22" t="n">
        <f aca="false">SUMIFS(Verbrauch!$C$9:$C$18896,Verbrauch!$A$9:$A$18896,"&gt;="&amp;A40,Verbrauch!$A$9:$A$18896,"&lt;"&amp;B40,Verbrauch!$F$9:$F$18896,"Go")</f>
        <v>0</v>
      </c>
      <c r="G40" s="22" t="n">
        <f aca="false">SUMIFS(Verbrauch!$C$9:$C$18896,Verbrauch!$A$9:$A$18896,"&gt;="&amp;A40,Verbrauch!$A$9:$A$18896,"&lt;"&amp;B40,Verbrauch!$F$9:$F$18896,"Standard")</f>
        <v>0</v>
      </c>
      <c r="H40" s="23" t="n">
        <f aca="false">SUMIFS(Verbrauch!$E$9:$E$18896,Verbrauch!$A$9:$A$18896,"&gt;="&amp;A40,Verbrauch!$A$9:$A$18896,"&lt;"&amp;B40)</f>
        <v>0</v>
      </c>
      <c r="I40" s="13" t="str">
        <f aca="false">IFERROR(H40/E40*100,"")</f>
        <v/>
      </c>
    </row>
    <row r="41" customFormat="false" ht="13.5" hidden="false" customHeight="true" outlineLevel="0" collapsed="false">
      <c r="A41" s="10" t="n">
        <v>46216</v>
      </c>
      <c r="B41" s="10" t="n">
        <v>46223</v>
      </c>
      <c r="C41" s="11" t="n">
        <v>2026</v>
      </c>
      <c r="D41" s="11" t="n">
        <v>29</v>
      </c>
      <c r="E41" s="22" t="n">
        <f aca="false">SUMIFS(Verbrauch!$C$9:$C$18896,Verbrauch!$A$9:$A$18896,"&gt;="&amp;A41,Verbrauch!$A$9:$A$18896,"&lt;"&amp;B41)</f>
        <v>0</v>
      </c>
      <c r="F41" s="22" t="n">
        <f aca="false">SUMIFS(Verbrauch!$C$9:$C$18896,Verbrauch!$A$9:$A$18896,"&gt;="&amp;A41,Verbrauch!$A$9:$A$18896,"&lt;"&amp;B41,Verbrauch!$F$9:$F$18896,"Go")</f>
        <v>0</v>
      </c>
      <c r="G41" s="22" t="n">
        <f aca="false">SUMIFS(Verbrauch!$C$9:$C$18896,Verbrauch!$A$9:$A$18896,"&gt;="&amp;A41,Verbrauch!$A$9:$A$18896,"&lt;"&amp;B41,Verbrauch!$F$9:$F$18896,"Standard")</f>
        <v>0</v>
      </c>
      <c r="H41" s="23" t="n">
        <f aca="false">SUMIFS(Verbrauch!$E$9:$E$18896,Verbrauch!$A$9:$A$18896,"&gt;="&amp;A41,Verbrauch!$A$9:$A$18896,"&lt;"&amp;B41)</f>
        <v>0</v>
      </c>
      <c r="I41" s="13" t="str">
        <f aca="false">IFERROR(H41/E41*100,"")</f>
        <v/>
      </c>
    </row>
    <row r="42" customFormat="false" ht="13.5" hidden="false" customHeight="true" outlineLevel="0" collapsed="false">
      <c r="A42" s="10" t="n">
        <v>46223</v>
      </c>
      <c r="B42" s="10" t="n">
        <v>46230</v>
      </c>
      <c r="C42" s="11" t="n">
        <v>2026</v>
      </c>
      <c r="D42" s="11" t="n">
        <v>30</v>
      </c>
      <c r="E42" s="22" t="n">
        <f aca="false">SUMIFS(Verbrauch!$C$9:$C$18896,Verbrauch!$A$9:$A$18896,"&gt;="&amp;A42,Verbrauch!$A$9:$A$18896,"&lt;"&amp;B42)</f>
        <v>0</v>
      </c>
      <c r="F42" s="22" t="n">
        <f aca="false">SUMIFS(Verbrauch!$C$9:$C$18896,Verbrauch!$A$9:$A$18896,"&gt;="&amp;A42,Verbrauch!$A$9:$A$18896,"&lt;"&amp;B42,Verbrauch!$F$9:$F$18896,"Go")</f>
        <v>0</v>
      </c>
      <c r="G42" s="22" t="n">
        <f aca="false">SUMIFS(Verbrauch!$C$9:$C$18896,Verbrauch!$A$9:$A$18896,"&gt;="&amp;A42,Verbrauch!$A$9:$A$18896,"&lt;"&amp;B42,Verbrauch!$F$9:$F$18896,"Standard")</f>
        <v>0</v>
      </c>
      <c r="H42" s="23" t="n">
        <f aca="false">SUMIFS(Verbrauch!$E$9:$E$18896,Verbrauch!$A$9:$A$18896,"&gt;="&amp;A42,Verbrauch!$A$9:$A$18896,"&lt;"&amp;B42)</f>
        <v>0</v>
      </c>
      <c r="I42" s="13" t="str">
        <f aca="false">IFERROR(H42/E42*100,"")</f>
        <v/>
      </c>
    </row>
    <row r="43" customFormat="false" ht="13.5" hidden="false" customHeight="true" outlineLevel="0" collapsed="false">
      <c r="A43" s="10" t="n">
        <v>46230</v>
      </c>
      <c r="B43" s="10" t="n">
        <v>46237</v>
      </c>
      <c r="C43" s="11" t="n">
        <v>2026</v>
      </c>
      <c r="D43" s="11" t="n">
        <v>31</v>
      </c>
      <c r="E43" s="22" t="n">
        <f aca="false">SUMIFS(Verbrauch!$C$9:$C$18896,Verbrauch!$A$9:$A$18896,"&gt;="&amp;A43,Verbrauch!$A$9:$A$18896,"&lt;"&amp;B43)</f>
        <v>0</v>
      </c>
      <c r="F43" s="22" t="n">
        <f aca="false">SUMIFS(Verbrauch!$C$9:$C$18896,Verbrauch!$A$9:$A$18896,"&gt;="&amp;A43,Verbrauch!$A$9:$A$18896,"&lt;"&amp;B43,Verbrauch!$F$9:$F$18896,"Go")</f>
        <v>0</v>
      </c>
      <c r="G43" s="22" t="n">
        <f aca="false">SUMIFS(Verbrauch!$C$9:$C$18896,Verbrauch!$A$9:$A$18896,"&gt;="&amp;A43,Verbrauch!$A$9:$A$18896,"&lt;"&amp;B43,Verbrauch!$F$9:$F$18896,"Standard")</f>
        <v>0</v>
      </c>
      <c r="H43" s="23" t="n">
        <f aca="false">SUMIFS(Verbrauch!$E$9:$E$18896,Verbrauch!$A$9:$A$18896,"&gt;="&amp;A43,Verbrauch!$A$9:$A$18896,"&lt;"&amp;B43)</f>
        <v>0</v>
      </c>
      <c r="I43" s="13" t="str">
        <f aca="false">IFERROR(H43/E43*100,"")</f>
        <v/>
      </c>
    </row>
    <row r="44" customFormat="false" ht="13.5" hidden="false" customHeight="true" outlineLevel="0" collapsed="false">
      <c r="A44" s="10" t="n">
        <v>46237</v>
      </c>
      <c r="B44" s="10" t="n">
        <v>46244</v>
      </c>
      <c r="C44" s="11" t="n">
        <v>2026</v>
      </c>
      <c r="D44" s="11" t="n">
        <v>32</v>
      </c>
      <c r="E44" s="22" t="n">
        <f aca="false">SUMIFS(Verbrauch!$C$9:$C$18896,Verbrauch!$A$9:$A$18896,"&gt;="&amp;A44,Verbrauch!$A$9:$A$18896,"&lt;"&amp;B44)</f>
        <v>0</v>
      </c>
      <c r="F44" s="22" t="n">
        <f aca="false">SUMIFS(Verbrauch!$C$9:$C$18896,Verbrauch!$A$9:$A$18896,"&gt;="&amp;A44,Verbrauch!$A$9:$A$18896,"&lt;"&amp;B44,Verbrauch!$F$9:$F$18896,"Go")</f>
        <v>0</v>
      </c>
      <c r="G44" s="22" t="n">
        <f aca="false">SUMIFS(Verbrauch!$C$9:$C$18896,Verbrauch!$A$9:$A$18896,"&gt;="&amp;A44,Verbrauch!$A$9:$A$18896,"&lt;"&amp;B44,Verbrauch!$F$9:$F$18896,"Standard")</f>
        <v>0</v>
      </c>
      <c r="H44" s="23" t="n">
        <f aca="false">SUMIFS(Verbrauch!$E$9:$E$18896,Verbrauch!$A$9:$A$18896,"&gt;="&amp;A44,Verbrauch!$A$9:$A$18896,"&lt;"&amp;B44)</f>
        <v>0</v>
      </c>
      <c r="I44" s="13" t="str">
        <f aca="false">IFERROR(H44/E44*100,"")</f>
        <v/>
      </c>
    </row>
    <row r="45" customFormat="false" ht="13.5" hidden="false" customHeight="true" outlineLevel="0" collapsed="false">
      <c r="A45" s="10" t="n">
        <v>46244</v>
      </c>
      <c r="B45" s="10" t="n">
        <v>46251</v>
      </c>
      <c r="C45" s="11" t="n">
        <v>2026</v>
      </c>
      <c r="D45" s="11" t="n">
        <v>33</v>
      </c>
      <c r="E45" s="22" t="n">
        <f aca="false">SUMIFS(Verbrauch!$C$9:$C$18896,Verbrauch!$A$9:$A$18896,"&gt;="&amp;A45,Verbrauch!$A$9:$A$18896,"&lt;"&amp;B45)</f>
        <v>0</v>
      </c>
      <c r="F45" s="22" t="n">
        <f aca="false">SUMIFS(Verbrauch!$C$9:$C$18896,Verbrauch!$A$9:$A$18896,"&gt;="&amp;A45,Verbrauch!$A$9:$A$18896,"&lt;"&amp;B45,Verbrauch!$F$9:$F$18896,"Go")</f>
        <v>0</v>
      </c>
      <c r="G45" s="22" t="n">
        <f aca="false">SUMIFS(Verbrauch!$C$9:$C$18896,Verbrauch!$A$9:$A$18896,"&gt;="&amp;A45,Verbrauch!$A$9:$A$18896,"&lt;"&amp;B45,Verbrauch!$F$9:$F$18896,"Standard")</f>
        <v>0</v>
      </c>
      <c r="H45" s="23" t="n">
        <f aca="false">SUMIFS(Verbrauch!$E$9:$E$18896,Verbrauch!$A$9:$A$18896,"&gt;="&amp;A45,Verbrauch!$A$9:$A$18896,"&lt;"&amp;B45)</f>
        <v>0</v>
      </c>
      <c r="I45" s="13" t="str">
        <f aca="false">IFERROR(H45/E45*100,"")</f>
        <v/>
      </c>
    </row>
    <row r="46" customFormat="false" ht="13.5" hidden="false" customHeight="true" outlineLevel="0" collapsed="false">
      <c r="A46" s="10" t="n">
        <v>46251</v>
      </c>
      <c r="B46" s="10" t="n">
        <v>46258</v>
      </c>
      <c r="C46" s="11" t="n">
        <v>2026</v>
      </c>
      <c r="D46" s="11" t="n">
        <v>34</v>
      </c>
      <c r="E46" s="22" t="n">
        <f aca="false">SUMIFS(Verbrauch!$C$9:$C$18896,Verbrauch!$A$9:$A$18896,"&gt;="&amp;A46,Verbrauch!$A$9:$A$18896,"&lt;"&amp;B46)</f>
        <v>0</v>
      </c>
      <c r="F46" s="22" t="n">
        <f aca="false">SUMIFS(Verbrauch!$C$9:$C$18896,Verbrauch!$A$9:$A$18896,"&gt;="&amp;A46,Verbrauch!$A$9:$A$18896,"&lt;"&amp;B46,Verbrauch!$F$9:$F$18896,"Go")</f>
        <v>0</v>
      </c>
      <c r="G46" s="22" t="n">
        <f aca="false">SUMIFS(Verbrauch!$C$9:$C$18896,Verbrauch!$A$9:$A$18896,"&gt;="&amp;A46,Verbrauch!$A$9:$A$18896,"&lt;"&amp;B46,Verbrauch!$F$9:$F$18896,"Standard")</f>
        <v>0</v>
      </c>
      <c r="H46" s="23" t="n">
        <f aca="false">SUMIFS(Verbrauch!$E$9:$E$18896,Verbrauch!$A$9:$A$18896,"&gt;="&amp;A46,Verbrauch!$A$9:$A$18896,"&lt;"&amp;B46)</f>
        <v>0</v>
      </c>
      <c r="I46" s="13" t="str">
        <f aca="false">IFERROR(H46/E46*100,"")</f>
        <v/>
      </c>
    </row>
    <row r="47" customFormat="false" ht="13.5" hidden="false" customHeight="true" outlineLevel="0" collapsed="false">
      <c r="A47" s="10" t="n">
        <v>46258</v>
      </c>
      <c r="B47" s="10" t="n">
        <v>46265</v>
      </c>
      <c r="C47" s="11" t="n">
        <v>2026</v>
      </c>
      <c r="D47" s="11" t="n">
        <v>35</v>
      </c>
      <c r="E47" s="22" t="n">
        <f aca="false">SUMIFS(Verbrauch!$C$9:$C$18896,Verbrauch!$A$9:$A$18896,"&gt;="&amp;A47,Verbrauch!$A$9:$A$18896,"&lt;"&amp;B47)</f>
        <v>0</v>
      </c>
      <c r="F47" s="22" t="n">
        <f aca="false">SUMIFS(Verbrauch!$C$9:$C$18896,Verbrauch!$A$9:$A$18896,"&gt;="&amp;A47,Verbrauch!$A$9:$A$18896,"&lt;"&amp;B47,Verbrauch!$F$9:$F$18896,"Go")</f>
        <v>0</v>
      </c>
      <c r="G47" s="22" t="n">
        <f aca="false">SUMIFS(Verbrauch!$C$9:$C$18896,Verbrauch!$A$9:$A$18896,"&gt;="&amp;A47,Verbrauch!$A$9:$A$18896,"&lt;"&amp;B47,Verbrauch!$F$9:$F$18896,"Standard")</f>
        <v>0</v>
      </c>
      <c r="H47" s="23" t="n">
        <f aca="false">SUMIFS(Verbrauch!$E$9:$E$18896,Verbrauch!$A$9:$A$18896,"&gt;="&amp;A47,Verbrauch!$A$9:$A$18896,"&lt;"&amp;B47)</f>
        <v>0</v>
      </c>
      <c r="I47" s="13" t="str">
        <f aca="false">IFERROR(H47/E47*100,"")</f>
        <v/>
      </c>
    </row>
    <row r="48" customFormat="false" ht="13.5" hidden="false" customHeight="true" outlineLevel="0" collapsed="false">
      <c r="A48" s="10" t="n">
        <v>46265</v>
      </c>
      <c r="B48" s="10" t="n">
        <v>46272</v>
      </c>
      <c r="C48" s="11" t="n">
        <v>2026</v>
      </c>
      <c r="D48" s="11" t="n">
        <v>36</v>
      </c>
      <c r="E48" s="22" t="n">
        <f aca="false">SUMIFS(Verbrauch!$C$9:$C$18896,Verbrauch!$A$9:$A$18896,"&gt;="&amp;A48,Verbrauch!$A$9:$A$18896,"&lt;"&amp;B48)</f>
        <v>0</v>
      </c>
      <c r="F48" s="22" t="n">
        <f aca="false">SUMIFS(Verbrauch!$C$9:$C$18896,Verbrauch!$A$9:$A$18896,"&gt;="&amp;A48,Verbrauch!$A$9:$A$18896,"&lt;"&amp;B48,Verbrauch!$F$9:$F$18896,"Go")</f>
        <v>0</v>
      </c>
      <c r="G48" s="22" t="n">
        <f aca="false">SUMIFS(Verbrauch!$C$9:$C$18896,Verbrauch!$A$9:$A$18896,"&gt;="&amp;A48,Verbrauch!$A$9:$A$18896,"&lt;"&amp;B48,Verbrauch!$F$9:$F$18896,"Standard")</f>
        <v>0</v>
      </c>
      <c r="H48" s="23" t="n">
        <f aca="false">SUMIFS(Verbrauch!$E$9:$E$18896,Verbrauch!$A$9:$A$18896,"&gt;="&amp;A48,Verbrauch!$A$9:$A$18896,"&lt;"&amp;B48)</f>
        <v>0</v>
      </c>
      <c r="I48" s="13" t="str">
        <f aca="false">IFERROR(H48/E48*100,"")</f>
        <v/>
      </c>
    </row>
    <row r="49" customFormat="false" ht="13.5" hidden="false" customHeight="true" outlineLevel="0" collapsed="false">
      <c r="A49" s="10" t="n">
        <v>46272</v>
      </c>
      <c r="B49" s="10" t="n">
        <v>46279</v>
      </c>
      <c r="C49" s="11" t="n">
        <v>2026</v>
      </c>
      <c r="D49" s="11" t="n">
        <v>37</v>
      </c>
      <c r="E49" s="22" t="n">
        <f aca="false">SUMIFS(Verbrauch!$C$9:$C$18896,Verbrauch!$A$9:$A$18896,"&gt;="&amp;A49,Verbrauch!$A$9:$A$18896,"&lt;"&amp;B49)</f>
        <v>0</v>
      </c>
      <c r="F49" s="22" t="n">
        <f aca="false">SUMIFS(Verbrauch!$C$9:$C$18896,Verbrauch!$A$9:$A$18896,"&gt;="&amp;A49,Verbrauch!$A$9:$A$18896,"&lt;"&amp;B49,Verbrauch!$F$9:$F$18896,"Go")</f>
        <v>0</v>
      </c>
      <c r="G49" s="22" t="n">
        <f aca="false">SUMIFS(Verbrauch!$C$9:$C$18896,Verbrauch!$A$9:$A$18896,"&gt;="&amp;A49,Verbrauch!$A$9:$A$18896,"&lt;"&amp;B49,Verbrauch!$F$9:$F$18896,"Standard")</f>
        <v>0</v>
      </c>
      <c r="H49" s="23" t="n">
        <f aca="false">SUMIFS(Verbrauch!$E$9:$E$18896,Verbrauch!$A$9:$A$18896,"&gt;="&amp;A49,Verbrauch!$A$9:$A$18896,"&lt;"&amp;B49)</f>
        <v>0</v>
      </c>
      <c r="I49" s="13" t="str">
        <f aca="false">IFERROR(H49/E49*100,"")</f>
        <v/>
      </c>
    </row>
    <row r="50" customFormat="false" ht="13.5" hidden="false" customHeight="true" outlineLevel="0" collapsed="false">
      <c r="A50" s="10" t="n">
        <v>46279</v>
      </c>
      <c r="B50" s="10" t="n">
        <v>46286</v>
      </c>
      <c r="C50" s="11" t="n">
        <v>2026</v>
      </c>
      <c r="D50" s="11" t="n">
        <v>38</v>
      </c>
      <c r="E50" s="22" t="n">
        <f aca="false">SUMIFS(Verbrauch!$C$9:$C$18896,Verbrauch!$A$9:$A$18896,"&gt;="&amp;A50,Verbrauch!$A$9:$A$18896,"&lt;"&amp;B50)</f>
        <v>0</v>
      </c>
      <c r="F50" s="22" t="n">
        <f aca="false">SUMIFS(Verbrauch!$C$9:$C$18896,Verbrauch!$A$9:$A$18896,"&gt;="&amp;A50,Verbrauch!$A$9:$A$18896,"&lt;"&amp;B50,Verbrauch!$F$9:$F$18896,"Go")</f>
        <v>0</v>
      </c>
      <c r="G50" s="22" t="n">
        <f aca="false">SUMIFS(Verbrauch!$C$9:$C$18896,Verbrauch!$A$9:$A$18896,"&gt;="&amp;A50,Verbrauch!$A$9:$A$18896,"&lt;"&amp;B50,Verbrauch!$F$9:$F$18896,"Standard")</f>
        <v>0</v>
      </c>
      <c r="H50" s="23" t="n">
        <f aca="false">SUMIFS(Verbrauch!$E$9:$E$18896,Verbrauch!$A$9:$A$18896,"&gt;="&amp;A50,Verbrauch!$A$9:$A$18896,"&lt;"&amp;B50)</f>
        <v>0</v>
      </c>
      <c r="I50" s="13" t="str">
        <f aca="false">IFERROR(H50/E50*100,"")</f>
        <v/>
      </c>
    </row>
    <row r="51" customFormat="false" ht="13.5" hidden="false" customHeight="true" outlineLevel="0" collapsed="false">
      <c r="A51" s="10" t="n">
        <v>46286</v>
      </c>
      <c r="B51" s="10" t="n">
        <v>46293</v>
      </c>
      <c r="C51" s="11" t="n">
        <v>2026</v>
      </c>
      <c r="D51" s="11" t="n">
        <v>39</v>
      </c>
      <c r="E51" s="22" t="n">
        <f aca="false">SUMIFS(Verbrauch!$C$9:$C$18896,Verbrauch!$A$9:$A$18896,"&gt;="&amp;A51,Verbrauch!$A$9:$A$18896,"&lt;"&amp;B51)</f>
        <v>0</v>
      </c>
      <c r="F51" s="22" t="n">
        <f aca="false">SUMIFS(Verbrauch!$C$9:$C$18896,Verbrauch!$A$9:$A$18896,"&gt;="&amp;A51,Verbrauch!$A$9:$A$18896,"&lt;"&amp;B51,Verbrauch!$F$9:$F$18896,"Go")</f>
        <v>0</v>
      </c>
      <c r="G51" s="22" t="n">
        <f aca="false">SUMIFS(Verbrauch!$C$9:$C$18896,Verbrauch!$A$9:$A$18896,"&gt;="&amp;A51,Verbrauch!$A$9:$A$18896,"&lt;"&amp;B51,Verbrauch!$F$9:$F$18896,"Standard")</f>
        <v>0</v>
      </c>
      <c r="H51" s="23" t="n">
        <f aca="false">SUMIFS(Verbrauch!$E$9:$E$18896,Verbrauch!$A$9:$A$18896,"&gt;="&amp;A51,Verbrauch!$A$9:$A$18896,"&lt;"&amp;B51)</f>
        <v>0</v>
      </c>
      <c r="I51" s="13" t="str">
        <f aca="false">IFERROR(H51/E51*100,"")</f>
        <v/>
      </c>
    </row>
    <row r="52" customFormat="false" ht="13.5" hidden="false" customHeight="true" outlineLevel="0" collapsed="false">
      <c r="A52" s="10" t="n">
        <v>46293</v>
      </c>
      <c r="B52" s="10" t="n">
        <v>46300</v>
      </c>
      <c r="C52" s="11" t="n">
        <v>2026</v>
      </c>
      <c r="D52" s="11" t="n">
        <v>40</v>
      </c>
      <c r="E52" s="22" t="n">
        <f aca="false">SUMIFS(Verbrauch!$C$9:$C$18896,Verbrauch!$A$9:$A$18896,"&gt;="&amp;A52,Verbrauch!$A$9:$A$18896,"&lt;"&amp;B52)</f>
        <v>0</v>
      </c>
      <c r="F52" s="22" t="n">
        <f aca="false">SUMIFS(Verbrauch!$C$9:$C$18896,Verbrauch!$A$9:$A$18896,"&gt;="&amp;A52,Verbrauch!$A$9:$A$18896,"&lt;"&amp;B52,Verbrauch!$F$9:$F$18896,"Go")</f>
        <v>0</v>
      </c>
      <c r="G52" s="22" t="n">
        <f aca="false">SUMIFS(Verbrauch!$C$9:$C$18896,Verbrauch!$A$9:$A$18896,"&gt;="&amp;A52,Verbrauch!$A$9:$A$18896,"&lt;"&amp;B52,Verbrauch!$F$9:$F$18896,"Standard")</f>
        <v>0</v>
      </c>
      <c r="H52" s="23" t="n">
        <f aca="false">SUMIFS(Verbrauch!$E$9:$E$18896,Verbrauch!$A$9:$A$18896,"&gt;="&amp;A52,Verbrauch!$A$9:$A$18896,"&lt;"&amp;B52)</f>
        <v>0</v>
      </c>
      <c r="I52" s="13" t="str">
        <f aca="false">IFERROR(H52/E52*100,"")</f>
        <v/>
      </c>
    </row>
    <row r="53" customFormat="false" ht="13.5" hidden="false" customHeight="true" outlineLevel="0" collapsed="false">
      <c r="A53" s="10" t="n">
        <v>46300</v>
      </c>
      <c r="B53" s="10" t="n">
        <v>46307</v>
      </c>
      <c r="C53" s="11" t="n">
        <v>2026</v>
      </c>
      <c r="D53" s="11" t="n">
        <v>41</v>
      </c>
      <c r="E53" s="22" t="n">
        <f aca="false">SUMIFS(Verbrauch!$C$9:$C$18896,Verbrauch!$A$9:$A$18896,"&gt;="&amp;A53,Verbrauch!$A$9:$A$18896,"&lt;"&amp;B53)</f>
        <v>0</v>
      </c>
      <c r="F53" s="22" t="n">
        <f aca="false">SUMIFS(Verbrauch!$C$9:$C$18896,Verbrauch!$A$9:$A$18896,"&gt;="&amp;A53,Verbrauch!$A$9:$A$18896,"&lt;"&amp;B53,Verbrauch!$F$9:$F$18896,"Go")</f>
        <v>0</v>
      </c>
      <c r="G53" s="22" t="n">
        <f aca="false">SUMIFS(Verbrauch!$C$9:$C$18896,Verbrauch!$A$9:$A$18896,"&gt;="&amp;A53,Verbrauch!$A$9:$A$18896,"&lt;"&amp;B53,Verbrauch!$F$9:$F$18896,"Standard")</f>
        <v>0</v>
      </c>
      <c r="H53" s="23" t="n">
        <f aca="false">SUMIFS(Verbrauch!$E$9:$E$18896,Verbrauch!$A$9:$A$18896,"&gt;="&amp;A53,Verbrauch!$A$9:$A$18896,"&lt;"&amp;B53)</f>
        <v>0</v>
      </c>
      <c r="I53" s="13" t="str">
        <f aca="false">IFERROR(H53/E53*100,"")</f>
        <v/>
      </c>
    </row>
    <row r="54" customFormat="false" ht="13.5" hidden="false" customHeight="true" outlineLevel="0" collapsed="false">
      <c r="A54" s="10" t="n">
        <v>46307</v>
      </c>
      <c r="B54" s="10" t="n">
        <v>46314</v>
      </c>
      <c r="C54" s="11" t="n">
        <v>2026</v>
      </c>
      <c r="D54" s="11" t="n">
        <v>42</v>
      </c>
      <c r="E54" s="22" t="n">
        <f aca="false">SUMIFS(Verbrauch!$C$9:$C$18896,Verbrauch!$A$9:$A$18896,"&gt;="&amp;A54,Verbrauch!$A$9:$A$18896,"&lt;"&amp;B54)</f>
        <v>0</v>
      </c>
      <c r="F54" s="22" t="n">
        <f aca="false">SUMIFS(Verbrauch!$C$9:$C$18896,Verbrauch!$A$9:$A$18896,"&gt;="&amp;A54,Verbrauch!$A$9:$A$18896,"&lt;"&amp;B54,Verbrauch!$F$9:$F$18896,"Go")</f>
        <v>0</v>
      </c>
      <c r="G54" s="22" t="n">
        <f aca="false">SUMIFS(Verbrauch!$C$9:$C$18896,Verbrauch!$A$9:$A$18896,"&gt;="&amp;A54,Verbrauch!$A$9:$A$18896,"&lt;"&amp;B54,Verbrauch!$F$9:$F$18896,"Standard")</f>
        <v>0</v>
      </c>
      <c r="H54" s="23" t="n">
        <f aca="false">SUMIFS(Verbrauch!$E$9:$E$18896,Verbrauch!$A$9:$A$18896,"&gt;="&amp;A54,Verbrauch!$A$9:$A$18896,"&lt;"&amp;B54)</f>
        <v>0</v>
      </c>
      <c r="I54" s="13" t="str">
        <f aca="false">IFERROR(H54/E54*100,"")</f>
        <v/>
      </c>
    </row>
    <row r="55" customFormat="false" ht="13.5" hidden="false" customHeight="true" outlineLevel="0" collapsed="false">
      <c r="A55" s="10" t="n">
        <v>46314</v>
      </c>
      <c r="B55" s="10" t="n">
        <v>46321</v>
      </c>
      <c r="C55" s="11" t="n">
        <v>2026</v>
      </c>
      <c r="D55" s="11" t="n">
        <v>43</v>
      </c>
      <c r="E55" s="22" t="n">
        <f aca="false">SUMIFS(Verbrauch!$C$9:$C$18896,Verbrauch!$A$9:$A$18896,"&gt;="&amp;A55,Verbrauch!$A$9:$A$18896,"&lt;"&amp;B55)</f>
        <v>0</v>
      </c>
      <c r="F55" s="22" t="n">
        <f aca="false">SUMIFS(Verbrauch!$C$9:$C$18896,Verbrauch!$A$9:$A$18896,"&gt;="&amp;A55,Verbrauch!$A$9:$A$18896,"&lt;"&amp;B55,Verbrauch!$F$9:$F$18896,"Go")</f>
        <v>0</v>
      </c>
      <c r="G55" s="22" t="n">
        <f aca="false">SUMIFS(Verbrauch!$C$9:$C$18896,Verbrauch!$A$9:$A$18896,"&gt;="&amp;A55,Verbrauch!$A$9:$A$18896,"&lt;"&amp;B55,Verbrauch!$F$9:$F$18896,"Standard")</f>
        <v>0</v>
      </c>
      <c r="H55" s="23" t="n">
        <f aca="false">SUMIFS(Verbrauch!$E$9:$E$18896,Verbrauch!$A$9:$A$18896,"&gt;="&amp;A55,Verbrauch!$A$9:$A$18896,"&lt;"&amp;B55)</f>
        <v>0</v>
      </c>
      <c r="I55" s="13" t="str">
        <f aca="false">IFERROR(H55/E55*100,"")</f>
        <v/>
      </c>
    </row>
    <row r="56" customFormat="false" ht="13.5" hidden="false" customHeight="true" outlineLevel="0" collapsed="false">
      <c r="A56" s="10" t="n">
        <v>46321</v>
      </c>
      <c r="B56" s="10" t="n">
        <v>46328</v>
      </c>
      <c r="C56" s="11" t="n">
        <v>2026</v>
      </c>
      <c r="D56" s="11" t="n">
        <v>44</v>
      </c>
      <c r="E56" s="22" t="n">
        <f aca="false">SUMIFS(Verbrauch!$C$9:$C$18896,Verbrauch!$A$9:$A$18896,"&gt;="&amp;A56,Verbrauch!$A$9:$A$18896,"&lt;"&amp;B56)</f>
        <v>0</v>
      </c>
      <c r="F56" s="22" t="n">
        <f aca="false">SUMIFS(Verbrauch!$C$9:$C$18896,Verbrauch!$A$9:$A$18896,"&gt;="&amp;A56,Verbrauch!$A$9:$A$18896,"&lt;"&amp;B56,Verbrauch!$F$9:$F$18896,"Go")</f>
        <v>0</v>
      </c>
      <c r="G56" s="22" t="n">
        <f aca="false">SUMIFS(Verbrauch!$C$9:$C$18896,Verbrauch!$A$9:$A$18896,"&gt;="&amp;A56,Verbrauch!$A$9:$A$18896,"&lt;"&amp;B56,Verbrauch!$F$9:$F$18896,"Standard")</f>
        <v>0</v>
      </c>
      <c r="H56" s="23" t="n">
        <f aca="false">SUMIFS(Verbrauch!$E$9:$E$18896,Verbrauch!$A$9:$A$18896,"&gt;="&amp;A56,Verbrauch!$A$9:$A$18896,"&lt;"&amp;B56)</f>
        <v>0</v>
      </c>
      <c r="I56" s="13" t="str">
        <f aca="false">IFERROR(H56/E56*100,"")</f>
        <v/>
      </c>
    </row>
    <row r="57" customFormat="false" ht="13.5" hidden="false" customHeight="true" outlineLevel="0" collapsed="false">
      <c r="A57" s="10" t="n">
        <v>46328</v>
      </c>
      <c r="B57" s="10" t="n">
        <v>46335</v>
      </c>
      <c r="C57" s="11" t="n">
        <v>2026</v>
      </c>
      <c r="D57" s="11" t="n">
        <v>45</v>
      </c>
      <c r="E57" s="22" t="n">
        <f aca="false">SUMIFS(Verbrauch!$C$9:$C$18896,Verbrauch!$A$9:$A$18896,"&gt;="&amp;A57,Verbrauch!$A$9:$A$18896,"&lt;"&amp;B57)</f>
        <v>0</v>
      </c>
      <c r="F57" s="22" t="n">
        <f aca="false">SUMIFS(Verbrauch!$C$9:$C$18896,Verbrauch!$A$9:$A$18896,"&gt;="&amp;A57,Verbrauch!$A$9:$A$18896,"&lt;"&amp;B57,Verbrauch!$F$9:$F$18896,"Go")</f>
        <v>0</v>
      </c>
      <c r="G57" s="22" t="n">
        <f aca="false">SUMIFS(Verbrauch!$C$9:$C$18896,Verbrauch!$A$9:$A$18896,"&gt;="&amp;A57,Verbrauch!$A$9:$A$18896,"&lt;"&amp;B57,Verbrauch!$F$9:$F$18896,"Standard")</f>
        <v>0</v>
      </c>
      <c r="H57" s="23" t="n">
        <f aca="false">SUMIFS(Verbrauch!$E$9:$E$18896,Verbrauch!$A$9:$A$18896,"&gt;="&amp;A57,Verbrauch!$A$9:$A$18896,"&lt;"&amp;B57)</f>
        <v>0</v>
      </c>
      <c r="I57" s="13" t="str">
        <f aca="false">IFERROR(H57/E57*100,"")</f>
        <v/>
      </c>
    </row>
    <row r="58" customFormat="false" ht="13.5" hidden="false" customHeight="true" outlineLevel="0" collapsed="false">
      <c r="A58" s="10" t="n">
        <v>46335</v>
      </c>
      <c r="B58" s="10" t="n">
        <v>46342</v>
      </c>
      <c r="C58" s="11" t="n">
        <v>2026</v>
      </c>
      <c r="D58" s="11" t="n">
        <v>46</v>
      </c>
      <c r="E58" s="22" t="n">
        <f aca="false">SUMIFS(Verbrauch!$C$9:$C$18896,Verbrauch!$A$9:$A$18896,"&gt;="&amp;A58,Verbrauch!$A$9:$A$18896,"&lt;"&amp;B58)</f>
        <v>0</v>
      </c>
      <c r="F58" s="22" t="n">
        <f aca="false">SUMIFS(Verbrauch!$C$9:$C$18896,Verbrauch!$A$9:$A$18896,"&gt;="&amp;A58,Verbrauch!$A$9:$A$18896,"&lt;"&amp;B58,Verbrauch!$F$9:$F$18896,"Go")</f>
        <v>0</v>
      </c>
      <c r="G58" s="22" t="n">
        <f aca="false">SUMIFS(Verbrauch!$C$9:$C$18896,Verbrauch!$A$9:$A$18896,"&gt;="&amp;A58,Verbrauch!$A$9:$A$18896,"&lt;"&amp;B58,Verbrauch!$F$9:$F$18896,"Standard")</f>
        <v>0</v>
      </c>
      <c r="H58" s="23" t="n">
        <f aca="false">SUMIFS(Verbrauch!$E$9:$E$18896,Verbrauch!$A$9:$A$18896,"&gt;="&amp;A58,Verbrauch!$A$9:$A$18896,"&lt;"&amp;B58)</f>
        <v>0</v>
      </c>
      <c r="I58" s="13" t="str">
        <f aca="false">IFERROR(H58/E58*100,"")</f>
        <v/>
      </c>
    </row>
    <row r="59" customFormat="false" ht="13.5" hidden="false" customHeight="true" outlineLevel="0" collapsed="false">
      <c r="A59" s="10" t="n">
        <v>46342</v>
      </c>
      <c r="B59" s="10" t="n">
        <v>46349</v>
      </c>
      <c r="C59" s="11" t="n">
        <v>2026</v>
      </c>
      <c r="D59" s="11" t="n">
        <v>47</v>
      </c>
      <c r="E59" s="22" t="n">
        <f aca="false">SUMIFS(Verbrauch!$C$9:$C$18896,Verbrauch!$A$9:$A$18896,"&gt;="&amp;A59,Verbrauch!$A$9:$A$18896,"&lt;"&amp;B59)</f>
        <v>0</v>
      </c>
      <c r="F59" s="22" t="n">
        <f aca="false">SUMIFS(Verbrauch!$C$9:$C$18896,Verbrauch!$A$9:$A$18896,"&gt;="&amp;A59,Verbrauch!$A$9:$A$18896,"&lt;"&amp;B59,Verbrauch!$F$9:$F$18896,"Go")</f>
        <v>0</v>
      </c>
      <c r="G59" s="22" t="n">
        <f aca="false">SUMIFS(Verbrauch!$C$9:$C$18896,Verbrauch!$A$9:$A$18896,"&gt;="&amp;A59,Verbrauch!$A$9:$A$18896,"&lt;"&amp;B59,Verbrauch!$F$9:$F$18896,"Standard")</f>
        <v>0</v>
      </c>
      <c r="H59" s="23" t="n">
        <f aca="false">SUMIFS(Verbrauch!$E$9:$E$18896,Verbrauch!$A$9:$A$18896,"&gt;="&amp;A59,Verbrauch!$A$9:$A$18896,"&lt;"&amp;B59)</f>
        <v>0</v>
      </c>
      <c r="I59" s="13" t="str">
        <f aca="false">IFERROR(H59/E59*100,"")</f>
        <v/>
      </c>
    </row>
    <row r="60" customFormat="false" ht="13.5" hidden="false" customHeight="true" outlineLevel="0" collapsed="false">
      <c r="A60" s="10" t="n">
        <v>46349</v>
      </c>
      <c r="B60" s="10" t="n">
        <v>46356</v>
      </c>
      <c r="C60" s="11" t="n">
        <v>2026</v>
      </c>
      <c r="D60" s="11" t="n">
        <v>48</v>
      </c>
      <c r="E60" s="22" t="n">
        <f aca="false">SUMIFS(Verbrauch!$C$9:$C$18896,Verbrauch!$A$9:$A$18896,"&gt;="&amp;A60,Verbrauch!$A$9:$A$18896,"&lt;"&amp;B60)</f>
        <v>0</v>
      </c>
      <c r="F60" s="22" t="n">
        <f aca="false">SUMIFS(Verbrauch!$C$9:$C$18896,Verbrauch!$A$9:$A$18896,"&gt;="&amp;A60,Verbrauch!$A$9:$A$18896,"&lt;"&amp;B60,Verbrauch!$F$9:$F$18896,"Go")</f>
        <v>0</v>
      </c>
      <c r="G60" s="22" t="n">
        <f aca="false">SUMIFS(Verbrauch!$C$9:$C$18896,Verbrauch!$A$9:$A$18896,"&gt;="&amp;A60,Verbrauch!$A$9:$A$18896,"&lt;"&amp;B60,Verbrauch!$F$9:$F$18896,"Standard")</f>
        <v>0</v>
      </c>
      <c r="H60" s="23" t="n">
        <f aca="false">SUMIFS(Verbrauch!$E$9:$E$18896,Verbrauch!$A$9:$A$18896,"&gt;="&amp;A60,Verbrauch!$A$9:$A$18896,"&lt;"&amp;B60)</f>
        <v>0</v>
      </c>
      <c r="I60" s="13" t="str">
        <f aca="false">IFERROR(H60/E60*100,"")</f>
        <v/>
      </c>
    </row>
    <row r="61" customFormat="false" ht="13.5" hidden="false" customHeight="true" outlineLevel="0" collapsed="false">
      <c r="A61" s="10" t="n">
        <v>46356</v>
      </c>
      <c r="B61" s="10" t="n">
        <v>46363</v>
      </c>
      <c r="C61" s="11" t="n">
        <v>2026</v>
      </c>
      <c r="D61" s="11" t="n">
        <v>49</v>
      </c>
      <c r="E61" s="22" t="n">
        <f aca="false">SUMIFS(Verbrauch!$C$9:$C$18896,Verbrauch!$A$9:$A$18896,"&gt;="&amp;A61,Verbrauch!$A$9:$A$18896,"&lt;"&amp;B61)</f>
        <v>0</v>
      </c>
      <c r="F61" s="22" t="n">
        <f aca="false">SUMIFS(Verbrauch!$C$9:$C$18896,Verbrauch!$A$9:$A$18896,"&gt;="&amp;A61,Verbrauch!$A$9:$A$18896,"&lt;"&amp;B61,Verbrauch!$F$9:$F$18896,"Go")</f>
        <v>0</v>
      </c>
      <c r="G61" s="22" t="n">
        <f aca="false">SUMIFS(Verbrauch!$C$9:$C$18896,Verbrauch!$A$9:$A$18896,"&gt;="&amp;A61,Verbrauch!$A$9:$A$18896,"&lt;"&amp;B61,Verbrauch!$F$9:$F$18896,"Standard")</f>
        <v>0</v>
      </c>
      <c r="H61" s="23" t="n">
        <f aca="false">SUMIFS(Verbrauch!$E$9:$E$18896,Verbrauch!$A$9:$A$18896,"&gt;="&amp;A61,Verbrauch!$A$9:$A$18896,"&lt;"&amp;B61)</f>
        <v>0</v>
      </c>
      <c r="I61" s="13" t="str">
        <f aca="false">IFERROR(H61/E61*100,"")</f>
        <v/>
      </c>
    </row>
    <row r="62" customFormat="false" ht="13.5" hidden="false" customHeight="true" outlineLevel="0" collapsed="false">
      <c r="A62" s="10" t="n">
        <v>46363</v>
      </c>
      <c r="B62" s="10" t="n">
        <v>46370</v>
      </c>
      <c r="C62" s="11" t="n">
        <v>2026</v>
      </c>
      <c r="D62" s="11" t="n">
        <v>50</v>
      </c>
      <c r="E62" s="22" t="n">
        <f aca="false">SUMIFS(Verbrauch!$C$9:$C$18896,Verbrauch!$A$9:$A$18896,"&gt;="&amp;A62,Verbrauch!$A$9:$A$18896,"&lt;"&amp;B62)</f>
        <v>0</v>
      </c>
      <c r="F62" s="22" t="n">
        <f aca="false">SUMIFS(Verbrauch!$C$9:$C$18896,Verbrauch!$A$9:$A$18896,"&gt;="&amp;A62,Verbrauch!$A$9:$A$18896,"&lt;"&amp;B62,Verbrauch!$F$9:$F$18896,"Go")</f>
        <v>0</v>
      </c>
      <c r="G62" s="22" t="n">
        <f aca="false">SUMIFS(Verbrauch!$C$9:$C$18896,Verbrauch!$A$9:$A$18896,"&gt;="&amp;A62,Verbrauch!$A$9:$A$18896,"&lt;"&amp;B62,Verbrauch!$F$9:$F$18896,"Standard")</f>
        <v>0</v>
      </c>
      <c r="H62" s="23" t="n">
        <f aca="false">SUMIFS(Verbrauch!$E$9:$E$18896,Verbrauch!$A$9:$A$18896,"&gt;="&amp;A62,Verbrauch!$A$9:$A$18896,"&lt;"&amp;B62)</f>
        <v>0</v>
      </c>
      <c r="I62" s="13" t="str">
        <f aca="false">IFERROR(H62/E62*100,"")</f>
        <v/>
      </c>
    </row>
    <row r="63" customFormat="false" ht="13.5" hidden="false" customHeight="true" outlineLevel="0" collapsed="false">
      <c r="A63" s="10" t="n">
        <v>46370</v>
      </c>
      <c r="B63" s="10" t="n">
        <v>46377</v>
      </c>
      <c r="C63" s="11" t="n">
        <v>2026</v>
      </c>
      <c r="D63" s="11" t="n">
        <v>51</v>
      </c>
      <c r="E63" s="22" t="n">
        <f aca="false">SUMIFS(Verbrauch!$C$9:$C$18896,Verbrauch!$A$9:$A$18896,"&gt;="&amp;A63,Verbrauch!$A$9:$A$18896,"&lt;"&amp;B63)</f>
        <v>0</v>
      </c>
      <c r="F63" s="22" t="n">
        <f aca="false">SUMIFS(Verbrauch!$C$9:$C$18896,Verbrauch!$A$9:$A$18896,"&gt;="&amp;A63,Verbrauch!$A$9:$A$18896,"&lt;"&amp;B63,Verbrauch!$F$9:$F$18896,"Go")</f>
        <v>0</v>
      </c>
      <c r="G63" s="22" t="n">
        <f aca="false">SUMIFS(Verbrauch!$C$9:$C$18896,Verbrauch!$A$9:$A$18896,"&gt;="&amp;A63,Verbrauch!$A$9:$A$18896,"&lt;"&amp;B63,Verbrauch!$F$9:$F$18896,"Standard")</f>
        <v>0</v>
      </c>
      <c r="H63" s="23" t="n">
        <f aca="false">SUMIFS(Verbrauch!$E$9:$E$18896,Verbrauch!$A$9:$A$18896,"&gt;="&amp;A63,Verbrauch!$A$9:$A$18896,"&lt;"&amp;B63)</f>
        <v>0</v>
      </c>
      <c r="I63" s="13" t="str">
        <f aca="false">IFERROR(H63/E63*100,"")</f>
        <v/>
      </c>
    </row>
    <row r="64" customFormat="false" ht="13.5" hidden="false" customHeight="true" outlineLevel="0" collapsed="false">
      <c r="A64" s="10" t="n">
        <v>46377</v>
      </c>
      <c r="B64" s="10" t="n">
        <v>46384</v>
      </c>
      <c r="C64" s="11" t="n">
        <v>2026</v>
      </c>
      <c r="D64" s="11" t="n">
        <v>52</v>
      </c>
      <c r="E64" s="22" t="n">
        <f aca="false">SUMIFS(Verbrauch!$C$9:$C$18896,Verbrauch!$A$9:$A$18896,"&gt;="&amp;A64,Verbrauch!$A$9:$A$18896,"&lt;"&amp;B64)</f>
        <v>0</v>
      </c>
      <c r="F64" s="22" t="n">
        <f aca="false">SUMIFS(Verbrauch!$C$9:$C$18896,Verbrauch!$A$9:$A$18896,"&gt;="&amp;A64,Verbrauch!$A$9:$A$18896,"&lt;"&amp;B64,Verbrauch!$F$9:$F$18896,"Go")</f>
        <v>0</v>
      </c>
      <c r="G64" s="22" t="n">
        <f aca="false">SUMIFS(Verbrauch!$C$9:$C$18896,Verbrauch!$A$9:$A$18896,"&gt;="&amp;A64,Verbrauch!$A$9:$A$18896,"&lt;"&amp;B64,Verbrauch!$F$9:$F$18896,"Standard")</f>
        <v>0</v>
      </c>
      <c r="H64" s="23" t="n">
        <f aca="false">SUMIFS(Verbrauch!$E$9:$E$18896,Verbrauch!$A$9:$A$18896,"&gt;="&amp;A64,Verbrauch!$A$9:$A$18896,"&lt;"&amp;B64)</f>
        <v>0</v>
      </c>
      <c r="I64" s="13" t="str">
        <f aca="false">IFERROR(H64/E64*100,"")</f>
        <v/>
      </c>
    </row>
    <row r="65" customFormat="false" ht="13.5" hidden="false" customHeight="true" outlineLevel="0" collapsed="false">
      <c r="A65" s="10" t="n">
        <v>46384</v>
      </c>
      <c r="B65" s="10" t="n">
        <v>46391</v>
      </c>
      <c r="C65" s="11" t="n">
        <v>2026</v>
      </c>
      <c r="D65" s="11" t="n">
        <v>53</v>
      </c>
      <c r="E65" s="22" t="n">
        <f aca="false">SUMIFS(Verbrauch!$C$9:$C$18896,Verbrauch!$A$9:$A$18896,"&gt;="&amp;A65,Verbrauch!$A$9:$A$18896,"&lt;"&amp;B65)</f>
        <v>0</v>
      </c>
      <c r="F65" s="22" t="n">
        <f aca="false">SUMIFS(Verbrauch!$C$9:$C$18896,Verbrauch!$A$9:$A$18896,"&gt;="&amp;A65,Verbrauch!$A$9:$A$18896,"&lt;"&amp;B65,Verbrauch!$F$9:$F$18896,"Go")</f>
        <v>0</v>
      </c>
      <c r="G65" s="22" t="n">
        <f aca="false">SUMIFS(Verbrauch!$C$9:$C$18896,Verbrauch!$A$9:$A$18896,"&gt;="&amp;A65,Verbrauch!$A$9:$A$18896,"&lt;"&amp;B65,Verbrauch!$F$9:$F$18896,"Standard")</f>
        <v>0</v>
      </c>
      <c r="H65" s="23" t="n">
        <f aca="false">SUMIFS(Verbrauch!$E$9:$E$18896,Verbrauch!$A$9:$A$18896,"&gt;="&amp;A65,Verbrauch!$A$9:$A$18896,"&lt;"&amp;B65)</f>
        <v>0</v>
      </c>
      <c r="I65" s="13" t="str">
        <f aca="false">IFERROR(H65/E65*100,"")</f>
        <v/>
      </c>
    </row>
    <row r="66" customFormat="false" ht="13.5" hidden="false" customHeight="true" outlineLevel="0" collapsed="false">
      <c r="A66" s="10" t="n">
        <v>46391</v>
      </c>
      <c r="B66" s="10" t="n">
        <v>46398</v>
      </c>
      <c r="C66" s="11" t="n">
        <v>2027</v>
      </c>
      <c r="D66" s="11" t="n">
        <v>1</v>
      </c>
      <c r="E66" s="22" t="n">
        <f aca="false">SUMIFS(Verbrauch!$C$9:$C$18896,Verbrauch!$A$9:$A$18896,"&gt;="&amp;A66,Verbrauch!$A$9:$A$18896,"&lt;"&amp;B66)</f>
        <v>0</v>
      </c>
      <c r="F66" s="22" t="n">
        <f aca="false">SUMIFS(Verbrauch!$C$9:$C$18896,Verbrauch!$A$9:$A$18896,"&gt;="&amp;A66,Verbrauch!$A$9:$A$18896,"&lt;"&amp;B66,Verbrauch!$F$9:$F$18896,"Go")</f>
        <v>0</v>
      </c>
      <c r="G66" s="22" t="n">
        <f aca="false">SUMIFS(Verbrauch!$C$9:$C$18896,Verbrauch!$A$9:$A$18896,"&gt;="&amp;A66,Verbrauch!$A$9:$A$18896,"&lt;"&amp;B66,Verbrauch!$F$9:$F$18896,"Standard")</f>
        <v>0</v>
      </c>
      <c r="H66" s="23" t="n">
        <f aca="false">SUMIFS(Verbrauch!$E$9:$E$18896,Verbrauch!$A$9:$A$18896,"&gt;="&amp;A66,Verbrauch!$A$9:$A$18896,"&lt;"&amp;B66)</f>
        <v>0</v>
      </c>
      <c r="I66" s="13" t="str">
        <f aca="false">IFERROR(H66/E66*100,"")</f>
        <v/>
      </c>
    </row>
    <row r="67" customFormat="false" ht="13.5" hidden="false" customHeight="true" outlineLevel="0" collapsed="false">
      <c r="A67" s="10" t="n">
        <v>46398</v>
      </c>
      <c r="B67" s="10" t="n">
        <v>46405</v>
      </c>
      <c r="C67" s="11" t="n">
        <v>2027</v>
      </c>
      <c r="D67" s="11" t="n">
        <v>2</v>
      </c>
      <c r="E67" s="22" t="n">
        <f aca="false">SUMIFS(Verbrauch!$C$9:$C$18896,Verbrauch!$A$9:$A$18896,"&gt;="&amp;A67,Verbrauch!$A$9:$A$18896,"&lt;"&amp;B67)</f>
        <v>0</v>
      </c>
      <c r="F67" s="22" t="n">
        <f aca="false">SUMIFS(Verbrauch!$C$9:$C$18896,Verbrauch!$A$9:$A$18896,"&gt;="&amp;A67,Verbrauch!$A$9:$A$18896,"&lt;"&amp;B67,Verbrauch!$F$9:$F$18896,"Go")</f>
        <v>0</v>
      </c>
      <c r="G67" s="22" t="n">
        <f aca="false">SUMIFS(Verbrauch!$C$9:$C$18896,Verbrauch!$A$9:$A$18896,"&gt;="&amp;A67,Verbrauch!$A$9:$A$18896,"&lt;"&amp;B67,Verbrauch!$F$9:$F$18896,"Standard")</f>
        <v>0</v>
      </c>
      <c r="H67" s="23" t="n">
        <f aca="false">SUMIFS(Verbrauch!$E$9:$E$18896,Verbrauch!$A$9:$A$18896,"&gt;="&amp;A67,Verbrauch!$A$9:$A$18896,"&lt;"&amp;B67)</f>
        <v>0</v>
      </c>
      <c r="I67" s="13" t="str">
        <f aca="false">IFERROR(H67/E67*100,"")</f>
        <v/>
      </c>
    </row>
    <row r="68" customFormat="false" ht="13.5" hidden="false" customHeight="true" outlineLevel="0" collapsed="false">
      <c r="A68" s="10" t="n">
        <v>46405</v>
      </c>
      <c r="B68" s="10" t="n">
        <v>46412</v>
      </c>
      <c r="C68" s="11" t="n">
        <v>2027</v>
      </c>
      <c r="D68" s="11" t="n">
        <v>3</v>
      </c>
      <c r="E68" s="22" t="n">
        <f aca="false">SUMIFS(Verbrauch!$C$9:$C$18896,Verbrauch!$A$9:$A$18896,"&gt;="&amp;A68,Verbrauch!$A$9:$A$18896,"&lt;"&amp;B68)</f>
        <v>0</v>
      </c>
      <c r="F68" s="22" t="n">
        <f aca="false">SUMIFS(Verbrauch!$C$9:$C$18896,Verbrauch!$A$9:$A$18896,"&gt;="&amp;A68,Verbrauch!$A$9:$A$18896,"&lt;"&amp;B68,Verbrauch!$F$9:$F$18896,"Go")</f>
        <v>0</v>
      </c>
      <c r="G68" s="22" t="n">
        <f aca="false">SUMIFS(Verbrauch!$C$9:$C$18896,Verbrauch!$A$9:$A$18896,"&gt;="&amp;A68,Verbrauch!$A$9:$A$18896,"&lt;"&amp;B68,Verbrauch!$F$9:$F$18896,"Standard")</f>
        <v>0</v>
      </c>
      <c r="H68" s="23" t="n">
        <f aca="false">SUMIFS(Verbrauch!$E$9:$E$18896,Verbrauch!$A$9:$A$18896,"&gt;="&amp;A68,Verbrauch!$A$9:$A$18896,"&lt;"&amp;B68)</f>
        <v>0</v>
      </c>
      <c r="I68" s="13" t="str">
        <f aca="false">IFERROR(H68/E68*100,"")</f>
        <v/>
      </c>
    </row>
    <row r="69" customFormat="false" ht="13.5" hidden="false" customHeight="true" outlineLevel="0" collapsed="false">
      <c r="A69" s="10" t="n">
        <v>46412</v>
      </c>
      <c r="B69" s="10" t="n">
        <v>46419</v>
      </c>
      <c r="C69" s="11" t="n">
        <v>2027</v>
      </c>
      <c r="D69" s="11" t="n">
        <v>4</v>
      </c>
      <c r="E69" s="22" t="n">
        <f aca="false">SUMIFS(Verbrauch!$C$9:$C$18896,Verbrauch!$A$9:$A$18896,"&gt;="&amp;A69,Verbrauch!$A$9:$A$18896,"&lt;"&amp;B69)</f>
        <v>0</v>
      </c>
      <c r="F69" s="22" t="n">
        <f aca="false">SUMIFS(Verbrauch!$C$9:$C$18896,Verbrauch!$A$9:$A$18896,"&gt;="&amp;A69,Verbrauch!$A$9:$A$18896,"&lt;"&amp;B69,Verbrauch!$F$9:$F$18896,"Go")</f>
        <v>0</v>
      </c>
      <c r="G69" s="22" t="n">
        <f aca="false">SUMIFS(Verbrauch!$C$9:$C$18896,Verbrauch!$A$9:$A$18896,"&gt;="&amp;A69,Verbrauch!$A$9:$A$18896,"&lt;"&amp;B69,Verbrauch!$F$9:$F$18896,"Standard")</f>
        <v>0</v>
      </c>
      <c r="H69" s="23" t="n">
        <f aca="false">SUMIFS(Verbrauch!$E$9:$E$18896,Verbrauch!$A$9:$A$18896,"&gt;="&amp;A69,Verbrauch!$A$9:$A$18896,"&lt;"&amp;B69)</f>
        <v>0</v>
      </c>
      <c r="I69" s="13" t="str">
        <f aca="false">IFERROR(H69/E69*100,"")</f>
        <v/>
      </c>
    </row>
    <row r="70" customFormat="false" ht="13.5" hidden="false" customHeight="true" outlineLevel="0" collapsed="false">
      <c r="A70" s="10" t="n">
        <v>46419</v>
      </c>
      <c r="B70" s="10" t="n">
        <v>46426</v>
      </c>
      <c r="C70" s="11" t="n">
        <v>2027</v>
      </c>
      <c r="D70" s="11" t="n">
        <v>5</v>
      </c>
      <c r="E70" s="22" t="n">
        <f aca="false">SUMIFS(Verbrauch!$C$9:$C$18896,Verbrauch!$A$9:$A$18896,"&gt;="&amp;A70,Verbrauch!$A$9:$A$18896,"&lt;"&amp;B70)</f>
        <v>0</v>
      </c>
      <c r="F70" s="22" t="n">
        <f aca="false">SUMIFS(Verbrauch!$C$9:$C$18896,Verbrauch!$A$9:$A$18896,"&gt;="&amp;A70,Verbrauch!$A$9:$A$18896,"&lt;"&amp;B70,Verbrauch!$F$9:$F$18896,"Go")</f>
        <v>0</v>
      </c>
      <c r="G70" s="22" t="n">
        <f aca="false">SUMIFS(Verbrauch!$C$9:$C$18896,Verbrauch!$A$9:$A$18896,"&gt;="&amp;A70,Verbrauch!$A$9:$A$18896,"&lt;"&amp;B70,Verbrauch!$F$9:$F$18896,"Standard")</f>
        <v>0</v>
      </c>
      <c r="H70" s="23" t="n">
        <f aca="false">SUMIFS(Verbrauch!$E$9:$E$18896,Verbrauch!$A$9:$A$18896,"&gt;="&amp;A70,Verbrauch!$A$9:$A$18896,"&lt;"&amp;B70)</f>
        <v>0</v>
      </c>
      <c r="I70" s="13" t="str">
        <f aca="false">IFERROR(H70/E70*100,"")</f>
        <v/>
      </c>
    </row>
    <row r="71" customFormat="false" ht="13.5" hidden="false" customHeight="true" outlineLevel="0" collapsed="false">
      <c r="A71" s="10" t="n">
        <v>46426</v>
      </c>
      <c r="B71" s="10" t="n">
        <v>46433</v>
      </c>
      <c r="C71" s="11" t="n">
        <v>2027</v>
      </c>
      <c r="D71" s="11" t="n">
        <v>6</v>
      </c>
      <c r="E71" s="22" t="n">
        <f aca="false">SUMIFS(Verbrauch!$C$9:$C$18896,Verbrauch!$A$9:$A$18896,"&gt;="&amp;A71,Verbrauch!$A$9:$A$18896,"&lt;"&amp;B71)</f>
        <v>0</v>
      </c>
      <c r="F71" s="22" t="n">
        <f aca="false">SUMIFS(Verbrauch!$C$9:$C$18896,Verbrauch!$A$9:$A$18896,"&gt;="&amp;A71,Verbrauch!$A$9:$A$18896,"&lt;"&amp;B71,Verbrauch!$F$9:$F$18896,"Go")</f>
        <v>0</v>
      </c>
      <c r="G71" s="22" t="n">
        <f aca="false">SUMIFS(Verbrauch!$C$9:$C$18896,Verbrauch!$A$9:$A$18896,"&gt;="&amp;A71,Verbrauch!$A$9:$A$18896,"&lt;"&amp;B71,Verbrauch!$F$9:$F$18896,"Standard")</f>
        <v>0</v>
      </c>
      <c r="H71" s="23" t="n">
        <f aca="false">SUMIFS(Verbrauch!$E$9:$E$18896,Verbrauch!$A$9:$A$18896,"&gt;="&amp;A71,Verbrauch!$A$9:$A$18896,"&lt;"&amp;B71)</f>
        <v>0</v>
      </c>
      <c r="I71" s="13" t="str">
        <f aca="false">IFERROR(H71/E71*100,"")</f>
        <v/>
      </c>
    </row>
    <row r="72" customFormat="false" ht="13.5" hidden="false" customHeight="true" outlineLevel="0" collapsed="false">
      <c r="A72" s="10" t="n">
        <v>46433</v>
      </c>
      <c r="B72" s="10" t="n">
        <v>46440</v>
      </c>
      <c r="C72" s="11" t="n">
        <v>2027</v>
      </c>
      <c r="D72" s="11" t="n">
        <v>7</v>
      </c>
      <c r="E72" s="22" t="n">
        <f aca="false">SUMIFS(Verbrauch!$C$9:$C$18896,Verbrauch!$A$9:$A$18896,"&gt;="&amp;A72,Verbrauch!$A$9:$A$18896,"&lt;"&amp;B72)</f>
        <v>0</v>
      </c>
      <c r="F72" s="22" t="n">
        <f aca="false">SUMIFS(Verbrauch!$C$9:$C$18896,Verbrauch!$A$9:$A$18896,"&gt;="&amp;A72,Verbrauch!$A$9:$A$18896,"&lt;"&amp;B72,Verbrauch!$F$9:$F$18896,"Go")</f>
        <v>0</v>
      </c>
      <c r="G72" s="22" t="n">
        <f aca="false">SUMIFS(Verbrauch!$C$9:$C$18896,Verbrauch!$A$9:$A$18896,"&gt;="&amp;A72,Verbrauch!$A$9:$A$18896,"&lt;"&amp;B72,Verbrauch!$F$9:$F$18896,"Standard")</f>
        <v>0</v>
      </c>
      <c r="H72" s="23" t="n">
        <f aca="false">SUMIFS(Verbrauch!$E$9:$E$18896,Verbrauch!$A$9:$A$18896,"&gt;="&amp;A72,Verbrauch!$A$9:$A$18896,"&lt;"&amp;B72)</f>
        <v>0</v>
      </c>
      <c r="I72" s="13" t="str">
        <f aca="false">IFERROR(H72/E72*100,"")</f>
        <v/>
      </c>
    </row>
    <row r="73" customFormat="false" ht="13.5" hidden="false" customHeight="true" outlineLevel="0" collapsed="false">
      <c r="A73" s="10" t="n">
        <v>46440</v>
      </c>
      <c r="B73" s="10" t="n">
        <v>46447</v>
      </c>
      <c r="C73" s="11" t="n">
        <v>2027</v>
      </c>
      <c r="D73" s="11" t="n">
        <v>8</v>
      </c>
      <c r="E73" s="22" t="n">
        <f aca="false">SUMIFS(Verbrauch!$C$9:$C$18896,Verbrauch!$A$9:$A$18896,"&gt;="&amp;A73,Verbrauch!$A$9:$A$18896,"&lt;"&amp;B73)</f>
        <v>0</v>
      </c>
      <c r="F73" s="22" t="n">
        <f aca="false">SUMIFS(Verbrauch!$C$9:$C$18896,Verbrauch!$A$9:$A$18896,"&gt;="&amp;A73,Verbrauch!$A$9:$A$18896,"&lt;"&amp;B73,Verbrauch!$F$9:$F$18896,"Go")</f>
        <v>0</v>
      </c>
      <c r="G73" s="22" t="n">
        <f aca="false">SUMIFS(Verbrauch!$C$9:$C$18896,Verbrauch!$A$9:$A$18896,"&gt;="&amp;A73,Verbrauch!$A$9:$A$18896,"&lt;"&amp;B73,Verbrauch!$F$9:$F$18896,"Standard")</f>
        <v>0</v>
      </c>
      <c r="H73" s="23" t="n">
        <f aca="false">SUMIFS(Verbrauch!$E$9:$E$18896,Verbrauch!$A$9:$A$18896,"&gt;="&amp;A73,Verbrauch!$A$9:$A$18896,"&lt;"&amp;B73)</f>
        <v>0</v>
      </c>
      <c r="I73" s="13" t="str">
        <f aca="false">IFERROR(H73/E73*100,"")</f>
        <v/>
      </c>
    </row>
    <row r="74" customFormat="false" ht="13.5" hidden="false" customHeight="true" outlineLevel="0" collapsed="false">
      <c r="A74" s="10" t="n">
        <v>46447</v>
      </c>
      <c r="B74" s="10" t="n">
        <v>46454</v>
      </c>
      <c r="C74" s="11" t="n">
        <v>2027</v>
      </c>
      <c r="D74" s="11" t="n">
        <v>9</v>
      </c>
      <c r="E74" s="22" t="n">
        <f aca="false">SUMIFS(Verbrauch!$C$9:$C$18896,Verbrauch!$A$9:$A$18896,"&gt;="&amp;A74,Verbrauch!$A$9:$A$18896,"&lt;"&amp;B74)</f>
        <v>0</v>
      </c>
      <c r="F74" s="22" t="n">
        <f aca="false">SUMIFS(Verbrauch!$C$9:$C$18896,Verbrauch!$A$9:$A$18896,"&gt;="&amp;A74,Verbrauch!$A$9:$A$18896,"&lt;"&amp;B74,Verbrauch!$F$9:$F$18896,"Go")</f>
        <v>0</v>
      </c>
      <c r="G74" s="22" t="n">
        <f aca="false">SUMIFS(Verbrauch!$C$9:$C$18896,Verbrauch!$A$9:$A$18896,"&gt;="&amp;A74,Verbrauch!$A$9:$A$18896,"&lt;"&amp;B74,Verbrauch!$F$9:$F$18896,"Standard")</f>
        <v>0</v>
      </c>
      <c r="H74" s="23" t="n">
        <f aca="false">SUMIFS(Verbrauch!$E$9:$E$18896,Verbrauch!$A$9:$A$18896,"&gt;="&amp;A74,Verbrauch!$A$9:$A$18896,"&lt;"&amp;B74)</f>
        <v>0</v>
      </c>
      <c r="I74" s="13" t="str">
        <f aca="false">IFERROR(H74/E74*100,"")</f>
        <v/>
      </c>
    </row>
    <row r="75" customFormat="false" ht="13.5" hidden="false" customHeight="true" outlineLevel="0" collapsed="false">
      <c r="A75" s="10" t="n">
        <v>46454</v>
      </c>
      <c r="B75" s="10" t="n">
        <v>46461</v>
      </c>
      <c r="C75" s="11" t="n">
        <v>2027</v>
      </c>
      <c r="D75" s="11" t="n">
        <v>10</v>
      </c>
      <c r="E75" s="22" t="n">
        <f aca="false">SUMIFS(Verbrauch!$C$9:$C$18896,Verbrauch!$A$9:$A$18896,"&gt;="&amp;A75,Verbrauch!$A$9:$A$18896,"&lt;"&amp;B75)</f>
        <v>0</v>
      </c>
      <c r="F75" s="22" t="n">
        <f aca="false">SUMIFS(Verbrauch!$C$9:$C$18896,Verbrauch!$A$9:$A$18896,"&gt;="&amp;A75,Verbrauch!$A$9:$A$18896,"&lt;"&amp;B75,Verbrauch!$F$9:$F$18896,"Go")</f>
        <v>0</v>
      </c>
      <c r="G75" s="22" t="n">
        <f aca="false">SUMIFS(Verbrauch!$C$9:$C$18896,Verbrauch!$A$9:$A$18896,"&gt;="&amp;A75,Verbrauch!$A$9:$A$18896,"&lt;"&amp;B75,Verbrauch!$F$9:$F$18896,"Standard")</f>
        <v>0</v>
      </c>
      <c r="H75" s="23" t="n">
        <f aca="false">SUMIFS(Verbrauch!$E$9:$E$18896,Verbrauch!$A$9:$A$18896,"&gt;="&amp;A75,Verbrauch!$A$9:$A$18896,"&lt;"&amp;B75)</f>
        <v>0</v>
      </c>
      <c r="I75" s="13" t="str">
        <f aca="false">IFERROR(H75/E75*100,"")</f>
        <v/>
      </c>
    </row>
    <row r="76" customFormat="false" ht="13.5" hidden="false" customHeight="true" outlineLevel="0" collapsed="false">
      <c r="A76" s="10" t="n">
        <v>46461</v>
      </c>
      <c r="B76" s="10" t="n">
        <v>46468</v>
      </c>
      <c r="C76" s="11" t="n">
        <v>2027</v>
      </c>
      <c r="D76" s="11" t="n">
        <v>11</v>
      </c>
      <c r="E76" s="22" t="n">
        <f aca="false">SUMIFS(Verbrauch!$C$9:$C$18896,Verbrauch!$A$9:$A$18896,"&gt;="&amp;A76,Verbrauch!$A$9:$A$18896,"&lt;"&amp;B76)</f>
        <v>0</v>
      </c>
      <c r="F76" s="22" t="n">
        <f aca="false">SUMIFS(Verbrauch!$C$9:$C$18896,Verbrauch!$A$9:$A$18896,"&gt;="&amp;A76,Verbrauch!$A$9:$A$18896,"&lt;"&amp;B76,Verbrauch!$F$9:$F$18896,"Go")</f>
        <v>0</v>
      </c>
      <c r="G76" s="22" t="n">
        <f aca="false">SUMIFS(Verbrauch!$C$9:$C$18896,Verbrauch!$A$9:$A$18896,"&gt;="&amp;A76,Verbrauch!$A$9:$A$18896,"&lt;"&amp;B76,Verbrauch!$F$9:$F$18896,"Standard")</f>
        <v>0</v>
      </c>
      <c r="H76" s="23" t="n">
        <f aca="false">SUMIFS(Verbrauch!$E$9:$E$18896,Verbrauch!$A$9:$A$18896,"&gt;="&amp;A76,Verbrauch!$A$9:$A$18896,"&lt;"&amp;B76)</f>
        <v>0</v>
      </c>
      <c r="I76" s="13" t="str">
        <f aca="false">IFERROR(H76/E76*100,"")</f>
        <v/>
      </c>
    </row>
    <row r="77" customFormat="false" ht="13.5" hidden="false" customHeight="true" outlineLevel="0" collapsed="false">
      <c r="A77" s="10" t="n">
        <v>46468</v>
      </c>
      <c r="B77" s="10" t="n">
        <v>46475</v>
      </c>
      <c r="C77" s="11" t="n">
        <v>2027</v>
      </c>
      <c r="D77" s="11" t="n">
        <v>12</v>
      </c>
      <c r="E77" s="22" t="n">
        <f aca="false">SUMIFS(Verbrauch!$C$9:$C$18896,Verbrauch!$A$9:$A$18896,"&gt;="&amp;A77,Verbrauch!$A$9:$A$18896,"&lt;"&amp;B77)</f>
        <v>0</v>
      </c>
      <c r="F77" s="22" t="n">
        <f aca="false">SUMIFS(Verbrauch!$C$9:$C$18896,Verbrauch!$A$9:$A$18896,"&gt;="&amp;A77,Verbrauch!$A$9:$A$18896,"&lt;"&amp;B77,Verbrauch!$F$9:$F$18896,"Go")</f>
        <v>0</v>
      </c>
      <c r="G77" s="22" t="n">
        <f aca="false">SUMIFS(Verbrauch!$C$9:$C$18896,Verbrauch!$A$9:$A$18896,"&gt;="&amp;A77,Verbrauch!$A$9:$A$18896,"&lt;"&amp;B77,Verbrauch!$F$9:$F$18896,"Standard")</f>
        <v>0</v>
      </c>
      <c r="H77" s="23" t="n">
        <f aca="false">SUMIFS(Verbrauch!$E$9:$E$18896,Verbrauch!$A$9:$A$18896,"&gt;="&amp;A77,Verbrauch!$A$9:$A$18896,"&lt;"&amp;B77)</f>
        <v>0</v>
      </c>
      <c r="I77" s="13" t="str">
        <f aca="false">IFERROR(H77/E77*100,"")</f>
        <v/>
      </c>
    </row>
    <row r="78" customFormat="false" ht="13.5" hidden="false" customHeight="true" outlineLevel="0" collapsed="false">
      <c r="A78" s="10" t="n">
        <v>46475</v>
      </c>
      <c r="B78" s="10" t="n">
        <v>46482</v>
      </c>
      <c r="C78" s="11" t="n">
        <v>2027</v>
      </c>
      <c r="D78" s="11" t="n">
        <v>13</v>
      </c>
      <c r="E78" s="22" t="n">
        <f aca="false">SUMIFS(Verbrauch!$C$9:$C$18896,Verbrauch!$A$9:$A$18896,"&gt;="&amp;A78,Verbrauch!$A$9:$A$18896,"&lt;"&amp;B78)</f>
        <v>0</v>
      </c>
      <c r="F78" s="22" t="n">
        <f aca="false">SUMIFS(Verbrauch!$C$9:$C$18896,Verbrauch!$A$9:$A$18896,"&gt;="&amp;A78,Verbrauch!$A$9:$A$18896,"&lt;"&amp;B78,Verbrauch!$F$9:$F$18896,"Go")</f>
        <v>0</v>
      </c>
      <c r="G78" s="22" t="n">
        <f aca="false">SUMIFS(Verbrauch!$C$9:$C$18896,Verbrauch!$A$9:$A$18896,"&gt;="&amp;A78,Verbrauch!$A$9:$A$18896,"&lt;"&amp;B78,Verbrauch!$F$9:$F$18896,"Standard")</f>
        <v>0</v>
      </c>
      <c r="H78" s="23" t="n">
        <f aca="false">SUMIFS(Verbrauch!$E$9:$E$18896,Verbrauch!$A$9:$A$18896,"&gt;="&amp;A78,Verbrauch!$A$9:$A$18896,"&lt;"&amp;B78)</f>
        <v>0</v>
      </c>
      <c r="I78" s="13" t="str">
        <f aca="false">IFERROR(H78/E78*100,"")</f>
        <v/>
      </c>
    </row>
    <row r="79" customFormat="false" ht="13.5" hidden="false" customHeight="true" outlineLevel="0" collapsed="false">
      <c r="A79" s="10" t="n">
        <v>46482</v>
      </c>
      <c r="B79" s="10" t="n">
        <v>46489</v>
      </c>
      <c r="C79" s="11" t="n">
        <v>2027</v>
      </c>
      <c r="D79" s="11" t="n">
        <v>14</v>
      </c>
      <c r="E79" s="22" t="n">
        <f aca="false">SUMIFS(Verbrauch!$C$9:$C$18896,Verbrauch!$A$9:$A$18896,"&gt;="&amp;A79,Verbrauch!$A$9:$A$18896,"&lt;"&amp;B79)</f>
        <v>0</v>
      </c>
      <c r="F79" s="22" t="n">
        <f aca="false">SUMIFS(Verbrauch!$C$9:$C$18896,Verbrauch!$A$9:$A$18896,"&gt;="&amp;A79,Verbrauch!$A$9:$A$18896,"&lt;"&amp;B79,Verbrauch!$F$9:$F$18896,"Go")</f>
        <v>0</v>
      </c>
      <c r="G79" s="22" t="n">
        <f aca="false">SUMIFS(Verbrauch!$C$9:$C$18896,Verbrauch!$A$9:$A$18896,"&gt;="&amp;A79,Verbrauch!$A$9:$A$18896,"&lt;"&amp;B79,Verbrauch!$F$9:$F$18896,"Standard")</f>
        <v>0</v>
      </c>
      <c r="H79" s="23" t="n">
        <f aca="false">SUMIFS(Verbrauch!$E$9:$E$18896,Verbrauch!$A$9:$A$18896,"&gt;="&amp;A79,Verbrauch!$A$9:$A$18896,"&lt;"&amp;B79)</f>
        <v>0</v>
      </c>
      <c r="I79" s="13" t="str">
        <f aca="false">IFERROR(H79/E79*100,"")</f>
        <v/>
      </c>
    </row>
    <row r="80" customFormat="false" ht="13.5" hidden="false" customHeight="true" outlineLevel="0" collapsed="false">
      <c r="A80" s="10" t="n">
        <v>46489</v>
      </c>
      <c r="B80" s="10" t="n">
        <v>46496</v>
      </c>
      <c r="C80" s="11" t="n">
        <v>2027</v>
      </c>
      <c r="D80" s="11" t="n">
        <v>15</v>
      </c>
      <c r="E80" s="22" t="n">
        <f aca="false">SUMIFS(Verbrauch!$C$9:$C$18896,Verbrauch!$A$9:$A$18896,"&gt;="&amp;A80,Verbrauch!$A$9:$A$18896,"&lt;"&amp;B80)</f>
        <v>0</v>
      </c>
      <c r="F80" s="22" t="n">
        <f aca="false">SUMIFS(Verbrauch!$C$9:$C$18896,Verbrauch!$A$9:$A$18896,"&gt;="&amp;A80,Verbrauch!$A$9:$A$18896,"&lt;"&amp;B80,Verbrauch!$F$9:$F$18896,"Go")</f>
        <v>0</v>
      </c>
      <c r="G80" s="22" t="n">
        <f aca="false">SUMIFS(Verbrauch!$C$9:$C$18896,Verbrauch!$A$9:$A$18896,"&gt;="&amp;A80,Verbrauch!$A$9:$A$18896,"&lt;"&amp;B80,Verbrauch!$F$9:$F$18896,"Standard")</f>
        <v>0</v>
      </c>
      <c r="H80" s="23" t="n">
        <f aca="false">SUMIFS(Verbrauch!$E$9:$E$18896,Verbrauch!$A$9:$A$18896,"&gt;="&amp;A80,Verbrauch!$A$9:$A$18896,"&lt;"&amp;B80)</f>
        <v>0</v>
      </c>
      <c r="I80" s="13" t="str">
        <f aca="false">IFERROR(H80/E80*100,"")</f>
        <v/>
      </c>
    </row>
    <row r="81" customFormat="false" ht="13.5" hidden="false" customHeight="true" outlineLevel="0" collapsed="false">
      <c r="A81" s="10" t="n">
        <v>46496</v>
      </c>
      <c r="B81" s="10" t="n">
        <v>46503</v>
      </c>
      <c r="C81" s="11" t="n">
        <v>2027</v>
      </c>
      <c r="D81" s="11" t="n">
        <v>16</v>
      </c>
      <c r="E81" s="22" t="n">
        <f aca="false">SUMIFS(Verbrauch!$C$9:$C$18896,Verbrauch!$A$9:$A$18896,"&gt;="&amp;A81,Verbrauch!$A$9:$A$18896,"&lt;"&amp;B81)</f>
        <v>0</v>
      </c>
      <c r="F81" s="22" t="n">
        <f aca="false">SUMIFS(Verbrauch!$C$9:$C$18896,Verbrauch!$A$9:$A$18896,"&gt;="&amp;A81,Verbrauch!$A$9:$A$18896,"&lt;"&amp;B81,Verbrauch!$F$9:$F$18896,"Go")</f>
        <v>0</v>
      </c>
      <c r="G81" s="22" t="n">
        <f aca="false">SUMIFS(Verbrauch!$C$9:$C$18896,Verbrauch!$A$9:$A$18896,"&gt;="&amp;A81,Verbrauch!$A$9:$A$18896,"&lt;"&amp;B81,Verbrauch!$F$9:$F$18896,"Standard")</f>
        <v>0</v>
      </c>
      <c r="H81" s="23" t="n">
        <f aca="false">SUMIFS(Verbrauch!$E$9:$E$18896,Verbrauch!$A$9:$A$18896,"&gt;="&amp;A81,Verbrauch!$A$9:$A$18896,"&lt;"&amp;B81)</f>
        <v>0</v>
      </c>
      <c r="I81" s="13" t="str">
        <f aca="false">IFERROR(H81/E81*100,"")</f>
        <v/>
      </c>
    </row>
    <row r="82" customFormat="false" ht="13.5" hidden="false" customHeight="true" outlineLevel="0" collapsed="false">
      <c r="A82" s="10" t="n">
        <v>46503</v>
      </c>
      <c r="B82" s="10" t="n">
        <v>46510</v>
      </c>
      <c r="C82" s="11" t="n">
        <v>2027</v>
      </c>
      <c r="D82" s="11" t="n">
        <v>17</v>
      </c>
      <c r="E82" s="22" t="n">
        <f aca="false">SUMIFS(Verbrauch!$C$9:$C$18896,Verbrauch!$A$9:$A$18896,"&gt;="&amp;A82,Verbrauch!$A$9:$A$18896,"&lt;"&amp;B82)</f>
        <v>0</v>
      </c>
      <c r="F82" s="22" t="n">
        <f aca="false">SUMIFS(Verbrauch!$C$9:$C$18896,Verbrauch!$A$9:$A$18896,"&gt;="&amp;A82,Verbrauch!$A$9:$A$18896,"&lt;"&amp;B82,Verbrauch!$F$9:$F$18896,"Go")</f>
        <v>0</v>
      </c>
      <c r="G82" s="22" t="n">
        <f aca="false">SUMIFS(Verbrauch!$C$9:$C$18896,Verbrauch!$A$9:$A$18896,"&gt;="&amp;A82,Verbrauch!$A$9:$A$18896,"&lt;"&amp;B82,Verbrauch!$F$9:$F$18896,"Standard")</f>
        <v>0</v>
      </c>
      <c r="H82" s="23" t="n">
        <f aca="false">SUMIFS(Verbrauch!$E$9:$E$18896,Verbrauch!$A$9:$A$18896,"&gt;="&amp;A82,Verbrauch!$A$9:$A$18896,"&lt;"&amp;B82)</f>
        <v>0</v>
      </c>
      <c r="I82" s="13" t="str">
        <f aca="false">IFERROR(H82/E82*100,"")</f>
        <v/>
      </c>
    </row>
    <row r="83" customFormat="false" ht="13.5" hidden="false" customHeight="true" outlineLevel="0" collapsed="false">
      <c r="A83" s="10" t="n">
        <v>46510</v>
      </c>
      <c r="B83" s="10" t="n">
        <v>46517</v>
      </c>
      <c r="C83" s="11" t="n">
        <v>2027</v>
      </c>
      <c r="D83" s="11" t="n">
        <v>18</v>
      </c>
      <c r="E83" s="22" t="n">
        <f aca="false">SUMIFS(Verbrauch!$C$9:$C$18896,Verbrauch!$A$9:$A$18896,"&gt;="&amp;A83,Verbrauch!$A$9:$A$18896,"&lt;"&amp;B83)</f>
        <v>0</v>
      </c>
      <c r="F83" s="22" t="n">
        <f aca="false">SUMIFS(Verbrauch!$C$9:$C$18896,Verbrauch!$A$9:$A$18896,"&gt;="&amp;A83,Verbrauch!$A$9:$A$18896,"&lt;"&amp;B83,Verbrauch!$F$9:$F$18896,"Go")</f>
        <v>0</v>
      </c>
      <c r="G83" s="22" t="n">
        <f aca="false">SUMIFS(Verbrauch!$C$9:$C$18896,Verbrauch!$A$9:$A$18896,"&gt;="&amp;A83,Verbrauch!$A$9:$A$18896,"&lt;"&amp;B83,Verbrauch!$F$9:$F$18896,"Standard")</f>
        <v>0</v>
      </c>
      <c r="H83" s="23" t="n">
        <f aca="false">SUMIFS(Verbrauch!$E$9:$E$18896,Verbrauch!$A$9:$A$18896,"&gt;="&amp;A83,Verbrauch!$A$9:$A$18896,"&lt;"&amp;B83)</f>
        <v>0</v>
      </c>
      <c r="I83" s="13" t="str">
        <f aca="false">IFERROR(H83/E83*100,"")</f>
        <v/>
      </c>
    </row>
    <row r="84" customFormat="false" ht="13.5" hidden="false" customHeight="true" outlineLevel="0" collapsed="false">
      <c r="A84" s="10" t="n">
        <v>46517</v>
      </c>
      <c r="B84" s="10" t="n">
        <v>46524</v>
      </c>
      <c r="C84" s="11" t="n">
        <v>2027</v>
      </c>
      <c r="D84" s="11" t="n">
        <v>19</v>
      </c>
      <c r="E84" s="22" t="n">
        <f aca="false">SUMIFS(Verbrauch!$C$9:$C$18896,Verbrauch!$A$9:$A$18896,"&gt;="&amp;A84,Verbrauch!$A$9:$A$18896,"&lt;"&amp;B84)</f>
        <v>0</v>
      </c>
      <c r="F84" s="22" t="n">
        <f aca="false">SUMIFS(Verbrauch!$C$9:$C$18896,Verbrauch!$A$9:$A$18896,"&gt;="&amp;A84,Verbrauch!$A$9:$A$18896,"&lt;"&amp;B84,Verbrauch!$F$9:$F$18896,"Go")</f>
        <v>0</v>
      </c>
      <c r="G84" s="22" t="n">
        <f aca="false">SUMIFS(Verbrauch!$C$9:$C$18896,Verbrauch!$A$9:$A$18896,"&gt;="&amp;A84,Verbrauch!$A$9:$A$18896,"&lt;"&amp;B84,Verbrauch!$F$9:$F$18896,"Standard")</f>
        <v>0</v>
      </c>
      <c r="H84" s="23" t="n">
        <f aca="false">SUMIFS(Verbrauch!$E$9:$E$18896,Verbrauch!$A$9:$A$18896,"&gt;="&amp;A84,Verbrauch!$A$9:$A$18896,"&lt;"&amp;B84)</f>
        <v>0</v>
      </c>
      <c r="I84" s="13" t="str">
        <f aca="false">IFERROR(H84/E84*100,"")</f>
        <v/>
      </c>
    </row>
    <row r="85" customFormat="false" ht="13.5" hidden="false" customHeight="true" outlineLevel="0" collapsed="false">
      <c r="A85" s="10" t="n">
        <v>46524</v>
      </c>
      <c r="B85" s="10" t="n">
        <v>46531</v>
      </c>
      <c r="C85" s="11" t="n">
        <v>2027</v>
      </c>
      <c r="D85" s="11" t="n">
        <v>20</v>
      </c>
      <c r="E85" s="22" t="n">
        <f aca="false">SUMIFS(Verbrauch!$C$9:$C$18896,Verbrauch!$A$9:$A$18896,"&gt;="&amp;A85,Verbrauch!$A$9:$A$18896,"&lt;"&amp;B85)</f>
        <v>0</v>
      </c>
      <c r="F85" s="22" t="n">
        <f aca="false">SUMIFS(Verbrauch!$C$9:$C$18896,Verbrauch!$A$9:$A$18896,"&gt;="&amp;A85,Verbrauch!$A$9:$A$18896,"&lt;"&amp;B85,Verbrauch!$F$9:$F$18896,"Go")</f>
        <v>0</v>
      </c>
      <c r="G85" s="22" t="n">
        <f aca="false">SUMIFS(Verbrauch!$C$9:$C$18896,Verbrauch!$A$9:$A$18896,"&gt;="&amp;A85,Verbrauch!$A$9:$A$18896,"&lt;"&amp;B85,Verbrauch!$F$9:$F$18896,"Standard")</f>
        <v>0</v>
      </c>
      <c r="H85" s="23" t="n">
        <f aca="false">SUMIFS(Verbrauch!$E$9:$E$18896,Verbrauch!$A$9:$A$18896,"&gt;="&amp;A85,Verbrauch!$A$9:$A$18896,"&lt;"&amp;B85)</f>
        <v>0</v>
      </c>
      <c r="I85" s="13" t="str">
        <f aca="false">IFERROR(H85/E85*100,"")</f>
        <v/>
      </c>
    </row>
    <row r="86" customFormat="false" ht="13.5" hidden="false" customHeight="true" outlineLevel="0" collapsed="false">
      <c r="A86" s="10" t="n">
        <v>46531</v>
      </c>
      <c r="B86" s="10" t="n">
        <v>46538</v>
      </c>
      <c r="C86" s="11" t="n">
        <v>2027</v>
      </c>
      <c r="D86" s="11" t="n">
        <v>21</v>
      </c>
      <c r="E86" s="22" t="n">
        <f aca="false">SUMIFS(Verbrauch!$C$9:$C$18896,Verbrauch!$A$9:$A$18896,"&gt;="&amp;A86,Verbrauch!$A$9:$A$18896,"&lt;"&amp;B86)</f>
        <v>0</v>
      </c>
      <c r="F86" s="22" t="n">
        <f aca="false">SUMIFS(Verbrauch!$C$9:$C$18896,Verbrauch!$A$9:$A$18896,"&gt;="&amp;A86,Verbrauch!$A$9:$A$18896,"&lt;"&amp;B86,Verbrauch!$F$9:$F$18896,"Go")</f>
        <v>0</v>
      </c>
      <c r="G86" s="22" t="n">
        <f aca="false">SUMIFS(Verbrauch!$C$9:$C$18896,Verbrauch!$A$9:$A$18896,"&gt;="&amp;A86,Verbrauch!$A$9:$A$18896,"&lt;"&amp;B86,Verbrauch!$F$9:$F$18896,"Standard")</f>
        <v>0</v>
      </c>
      <c r="H86" s="23" t="n">
        <f aca="false">SUMIFS(Verbrauch!$E$9:$E$18896,Verbrauch!$A$9:$A$18896,"&gt;="&amp;A86,Verbrauch!$A$9:$A$18896,"&lt;"&amp;B86)</f>
        <v>0</v>
      </c>
      <c r="I86" s="13" t="str">
        <f aca="false">IFERROR(H86/E86*100,"")</f>
        <v/>
      </c>
    </row>
    <row r="87" customFormat="false" ht="13.5" hidden="false" customHeight="true" outlineLevel="0" collapsed="false">
      <c r="A87" s="10" t="n">
        <v>46538</v>
      </c>
      <c r="B87" s="10" t="n">
        <v>46545</v>
      </c>
      <c r="C87" s="11" t="n">
        <v>2027</v>
      </c>
      <c r="D87" s="11" t="n">
        <v>22</v>
      </c>
      <c r="E87" s="22" t="n">
        <f aca="false">SUMIFS(Verbrauch!$C$9:$C$18896,Verbrauch!$A$9:$A$18896,"&gt;="&amp;A87,Verbrauch!$A$9:$A$18896,"&lt;"&amp;B87)</f>
        <v>0</v>
      </c>
      <c r="F87" s="22" t="n">
        <f aca="false">SUMIFS(Verbrauch!$C$9:$C$18896,Verbrauch!$A$9:$A$18896,"&gt;="&amp;A87,Verbrauch!$A$9:$A$18896,"&lt;"&amp;B87,Verbrauch!$F$9:$F$18896,"Go")</f>
        <v>0</v>
      </c>
      <c r="G87" s="22" t="n">
        <f aca="false">SUMIFS(Verbrauch!$C$9:$C$18896,Verbrauch!$A$9:$A$18896,"&gt;="&amp;A87,Verbrauch!$A$9:$A$18896,"&lt;"&amp;B87,Verbrauch!$F$9:$F$18896,"Standard")</f>
        <v>0</v>
      </c>
      <c r="H87" s="23" t="n">
        <f aca="false">SUMIFS(Verbrauch!$E$9:$E$18896,Verbrauch!$A$9:$A$18896,"&gt;="&amp;A87,Verbrauch!$A$9:$A$18896,"&lt;"&amp;B87)</f>
        <v>0</v>
      </c>
      <c r="I87" s="13" t="str">
        <f aca="false">IFERROR(H87/E87*100,"")</f>
        <v/>
      </c>
    </row>
    <row r="88" customFormat="false" ht="13.5" hidden="false" customHeight="true" outlineLevel="0" collapsed="false">
      <c r="A88" s="10" t="n">
        <v>46545</v>
      </c>
      <c r="B88" s="10" t="n">
        <v>46552</v>
      </c>
      <c r="C88" s="11" t="n">
        <v>2027</v>
      </c>
      <c r="D88" s="11" t="n">
        <v>23</v>
      </c>
      <c r="E88" s="22" t="n">
        <f aca="false">SUMIFS(Verbrauch!$C$9:$C$18896,Verbrauch!$A$9:$A$18896,"&gt;="&amp;A88,Verbrauch!$A$9:$A$18896,"&lt;"&amp;B88)</f>
        <v>0</v>
      </c>
      <c r="F88" s="22" t="n">
        <f aca="false">SUMIFS(Verbrauch!$C$9:$C$18896,Verbrauch!$A$9:$A$18896,"&gt;="&amp;A88,Verbrauch!$A$9:$A$18896,"&lt;"&amp;B88,Verbrauch!$F$9:$F$18896,"Go")</f>
        <v>0</v>
      </c>
      <c r="G88" s="22" t="n">
        <f aca="false">SUMIFS(Verbrauch!$C$9:$C$18896,Verbrauch!$A$9:$A$18896,"&gt;="&amp;A88,Verbrauch!$A$9:$A$18896,"&lt;"&amp;B88,Verbrauch!$F$9:$F$18896,"Standard")</f>
        <v>0</v>
      </c>
      <c r="H88" s="23" t="n">
        <f aca="false">SUMIFS(Verbrauch!$E$9:$E$18896,Verbrauch!$A$9:$A$18896,"&gt;="&amp;A88,Verbrauch!$A$9:$A$18896,"&lt;"&amp;B88)</f>
        <v>0</v>
      </c>
      <c r="I88" s="13" t="str">
        <f aca="false">IFERROR(H88/E88*100,"")</f>
        <v/>
      </c>
    </row>
    <row r="89" customFormat="false" ht="13.5" hidden="false" customHeight="true" outlineLevel="0" collapsed="false">
      <c r="A89" s="10" t="n">
        <v>46552</v>
      </c>
      <c r="B89" s="10" t="n">
        <v>46559</v>
      </c>
      <c r="C89" s="11" t="n">
        <v>2027</v>
      </c>
      <c r="D89" s="11" t="n">
        <v>24</v>
      </c>
      <c r="E89" s="22" t="n">
        <f aca="false">SUMIFS(Verbrauch!$C$9:$C$18896,Verbrauch!$A$9:$A$18896,"&gt;="&amp;A89,Verbrauch!$A$9:$A$18896,"&lt;"&amp;B89)</f>
        <v>0</v>
      </c>
      <c r="F89" s="22" t="n">
        <f aca="false">SUMIFS(Verbrauch!$C$9:$C$18896,Verbrauch!$A$9:$A$18896,"&gt;="&amp;A89,Verbrauch!$A$9:$A$18896,"&lt;"&amp;B89,Verbrauch!$F$9:$F$18896,"Go")</f>
        <v>0</v>
      </c>
      <c r="G89" s="22" t="n">
        <f aca="false">SUMIFS(Verbrauch!$C$9:$C$18896,Verbrauch!$A$9:$A$18896,"&gt;="&amp;A89,Verbrauch!$A$9:$A$18896,"&lt;"&amp;B89,Verbrauch!$F$9:$F$18896,"Standard")</f>
        <v>0</v>
      </c>
      <c r="H89" s="23" t="n">
        <f aca="false">SUMIFS(Verbrauch!$E$9:$E$18896,Verbrauch!$A$9:$A$18896,"&gt;="&amp;A89,Verbrauch!$A$9:$A$18896,"&lt;"&amp;B89)</f>
        <v>0</v>
      </c>
      <c r="I89" s="13" t="str">
        <f aca="false">IFERROR(H89/E89*100,"")</f>
        <v/>
      </c>
    </row>
    <row r="90" customFormat="false" ht="13.5" hidden="false" customHeight="true" outlineLevel="0" collapsed="false">
      <c r="A90" s="10" t="n">
        <v>46559</v>
      </c>
      <c r="B90" s="10" t="n">
        <v>46566</v>
      </c>
      <c r="C90" s="11" t="n">
        <v>2027</v>
      </c>
      <c r="D90" s="11" t="n">
        <v>25</v>
      </c>
      <c r="E90" s="22" t="n">
        <f aca="false">SUMIFS(Verbrauch!$C$9:$C$18896,Verbrauch!$A$9:$A$18896,"&gt;="&amp;A90,Verbrauch!$A$9:$A$18896,"&lt;"&amp;B90)</f>
        <v>0</v>
      </c>
      <c r="F90" s="22" t="n">
        <f aca="false">SUMIFS(Verbrauch!$C$9:$C$18896,Verbrauch!$A$9:$A$18896,"&gt;="&amp;A90,Verbrauch!$A$9:$A$18896,"&lt;"&amp;B90,Verbrauch!$F$9:$F$18896,"Go")</f>
        <v>0</v>
      </c>
      <c r="G90" s="22" t="n">
        <f aca="false">SUMIFS(Verbrauch!$C$9:$C$18896,Verbrauch!$A$9:$A$18896,"&gt;="&amp;A90,Verbrauch!$A$9:$A$18896,"&lt;"&amp;B90,Verbrauch!$F$9:$F$18896,"Standard")</f>
        <v>0</v>
      </c>
      <c r="H90" s="23" t="n">
        <f aca="false">SUMIFS(Verbrauch!$E$9:$E$18896,Verbrauch!$A$9:$A$18896,"&gt;="&amp;A90,Verbrauch!$A$9:$A$18896,"&lt;"&amp;B90)</f>
        <v>0</v>
      </c>
      <c r="I90" s="13" t="str">
        <f aca="false">IFERROR(H90/E90*100,"")</f>
        <v/>
      </c>
    </row>
    <row r="91" customFormat="false" ht="13.5" hidden="false" customHeight="true" outlineLevel="0" collapsed="false">
      <c r="A91" s="10" t="n">
        <v>46566</v>
      </c>
      <c r="B91" s="10" t="n">
        <v>46573</v>
      </c>
      <c r="C91" s="11" t="n">
        <v>2027</v>
      </c>
      <c r="D91" s="11" t="n">
        <v>26</v>
      </c>
      <c r="E91" s="22" t="n">
        <f aca="false">SUMIFS(Verbrauch!$C$9:$C$18896,Verbrauch!$A$9:$A$18896,"&gt;="&amp;A91,Verbrauch!$A$9:$A$18896,"&lt;"&amp;B91)</f>
        <v>0</v>
      </c>
      <c r="F91" s="22" t="n">
        <f aca="false">SUMIFS(Verbrauch!$C$9:$C$18896,Verbrauch!$A$9:$A$18896,"&gt;="&amp;A91,Verbrauch!$A$9:$A$18896,"&lt;"&amp;B91,Verbrauch!$F$9:$F$18896,"Go")</f>
        <v>0</v>
      </c>
      <c r="G91" s="22" t="n">
        <f aca="false">SUMIFS(Verbrauch!$C$9:$C$18896,Verbrauch!$A$9:$A$18896,"&gt;="&amp;A91,Verbrauch!$A$9:$A$18896,"&lt;"&amp;B91,Verbrauch!$F$9:$F$18896,"Standard")</f>
        <v>0</v>
      </c>
      <c r="H91" s="23" t="n">
        <f aca="false">SUMIFS(Verbrauch!$E$9:$E$18896,Verbrauch!$A$9:$A$18896,"&gt;="&amp;A91,Verbrauch!$A$9:$A$18896,"&lt;"&amp;B91)</f>
        <v>0</v>
      </c>
      <c r="I91" s="13" t="str">
        <f aca="false">IFERROR(H91/E91*100,"")</f>
        <v/>
      </c>
    </row>
    <row r="92" customFormat="false" ht="13.5" hidden="false" customHeight="true" outlineLevel="0" collapsed="false">
      <c r="A92" s="10" t="n">
        <v>46573</v>
      </c>
      <c r="B92" s="10" t="n">
        <v>46580</v>
      </c>
      <c r="C92" s="11" t="n">
        <v>2027</v>
      </c>
      <c r="D92" s="11" t="n">
        <v>27</v>
      </c>
      <c r="E92" s="22" t="n">
        <f aca="false">SUMIFS(Verbrauch!$C$9:$C$18896,Verbrauch!$A$9:$A$18896,"&gt;="&amp;A92,Verbrauch!$A$9:$A$18896,"&lt;"&amp;B92)</f>
        <v>0</v>
      </c>
      <c r="F92" s="22" t="n">
        <f aca="false">SUMIFS(Verbrauch!$C$9:$C$18896,Verbrauch!$A$9:$A$18896,"&gt;="&amp;A92,Verbrauch!$A$9:$A$18896,"&lt;"&amp;B92,Verbrauch!$F$9:$F$18896,"Go")</f>
        <v>0</v>
      </c>
      <c r="G92" s="22" t="n">
        <f aca="false">SUMIFS(Verbrauch!$C$9:$C$18896,Verbrauch!$A$9:$A$18896,"&gt;="&amp;A92,Verbrauch!$A$9:$A$18896,"&lt;"&amp;B92,Verbrauch!$F$9:$F$18896,"Standard")</f>
        <v>0</v>
      </c>
      <c r="H92" s="23" t="n">
        <f aca="false">SUMIFS(Verbrauch!$E$9:$E$18896,Verbrauch!$A$9:$A$18896,"&gt;="&amp;A92,Verbrauch!$A$9:$A$18896,"&lt;"&amp;B92)</f>
        <v>0</v>
      </c>
      <c r="I92" s="13" t="str">
        <f aca="false">IFERROR(H92/E92*100,"")</f>
        <v/>
      </c>
    </row>
    <row r="93" customFormat="false" ht="13.5" hidden="false" customHeight="true" outlineLevel="0" collapsed="false">
      <c r="A93" s="10" t="n">
        <v>46580</v>
      </c>
      <c r="B93" s="10" t="n">
        <v>46587</v>
      </c>
      <c r="C93" s="11" t="n">
        <v>2027</v>
      </c>
      <c r="D93" s="11" t="n">
        <v>28</v>
      </c>
      <c r="E93" s="22" t="n">
        <f aca="false">SUMIFS(Verbrauch!$C$9:$C$18896,Verbrauch!$A$9:$A$18896,"&gt;="&amp;A93,Verbrauch!$A$9:$A$18896,"&lt;"&amp;B93)</f>
        <v>0</v>
      </c>
      <c r="F93" s="22" t="n">
        <f aca="false">SUMIFS(Verbrauch!$C$9:$C$18896,Verbrauch!$A$9:$A$18896,"&gt;="&amp;A93,Verbrauch!$A$9:$A$18896,"&lt;"&amp;B93,Verbrauch!$F$9:$F$18896,"Go")</f>
        <v>0</v>
      </c>
      <c r="G93" s="22" t="n">
        <f aca="false">SUMIFS(Verbrauch!$C$9:$C$18896,Verbrauch!$A$9:$A$18896,"&gt;="&amp;A93,Verbrauch!$A$9:$A$18896,"&lt;"&amp;B93,Verbrauch!$F$9:$F$18896,"Standard")</f>
        <v>0</v>
      </c>
      <c r="H93" s="23" t="n">
        <f aca="false">SUMIFS(Verbrauch!$E$9:$E$18896,Verbrauch!$A$9:$A$18896,"&gt;="&amp;A93,Verbrauch!$A$9:$A$18896,"&lt;"&amp;B93)</f>
        <v>0</v>
      </c>
      <c r="I93" s="13" t="str">
        <f aca="false">IFERROR(H93/E93*100,"")</f>
        <v/>
      </c>
    </row>
    <row r="94" customFormat="false" ht="13.5" hidden="false" customHeight="true" outlineLevel="0" collapsed="false">
      <c r="A94" s="10" t="n">
        <v>46587</v>
      </c>
      <c r="B94" s="10" t="n">
        <v>46594</v>
      </c>
      <c r="C94" s="11" t="n">
        <v>2027</v>
      </c>
      <c r="D94" s="11" t="n">
        <v>29</v>
      </c>
      <c r="E94" s="22" t="n">
        <f aca="false">SUMIFS(Verbrauch!$C$9:$C$18896,Verbrauch!$A$9:$A$18896,"&gt;="&amp;A94,Verbrauch!$A$9:$A$18896,"&lt;"&amp;B94)</f>
        <v>0</v>
      </c>
      <c r="F94" s="22" t="n">
        <f aca="false">SUMIFS(Verbrauch!$C$9:$C$18896,Verbrauch!$A$9:$A$18896,"&gt;="&amp;A94,Verbrauch!$A$9:$A$18896,"&lt;"&amp;B94,Verbrauch!$F$9:$F$18896,"Go")</f>
        <v>0</v>
      </c>
      <c r="G94" s="22" t="n">
        <f aca="false">SUMIFS(Verbrauch!$C$9:$C$18896,Verbrauch!$A$9:$A$18896,"&gt;="&amp;A94,Verbrauch!$A$9:$A$18896,"&lt;"&amp;B94,Verbrauch!$F$9:$F$18896,"Standard")</f>
        <v>0</v>
      </c>
      <c r="H94" s="23" t="n">
        <f aca="false">SUMIFS(Verbrauch!$E$9:$E$18896,Verbrauch!$A$9:$A$18896,"&gt;="&amp;A94,Verbrauch!$A$9:$A$18896,"&lt;"&amp;B94)</f>
        <v>0</v>
      </c>
      <c r="I94" s="13" t="str">
        <f aca="false">IFERROR(H94/E94*100,"")</f>
        <v/>
      </c>
    </row>
    <row r="95" customFormat="false" ht="13.5" hidden="false" customHeight="true" outlineLevel="0" collapsed="false">
      <c r="A95" s="10" t="n">
        <v>46594</v>
      </c>
      <c r="B95" s="10" t="n">
        <v>46601</v>
      </c>
      <c r="C95" s="11" t="n">
        <v>2027</v>
      </c>
      <c r="D95" s="11" t="n">
        <v>30</v>
      </c>
      <c r="E95" s="22" t="n">
        <f aca="false">SUMIFS(Verbrauch!$C$9:$C$18896,Verbrauch!$A$9:$A$18896,"&gt;="&amp;A95,Verbrauch!$A$9:$A$18896,"&lt;"&amp;B95)</f>
        <v>0</v>
      </c>
      <c r="F95" s="22" t="n">
        <f aca="false">SUMIFS(Verbrauch!$C$9:$C$18896,Verbrauch!$A$9:$A$18896,"&gt;="&amp;A95,Verbrauch!$A$9:$A$18896,"&lt;"&amp;B95,Verbrauch!$F$9:$F$18896,"Go")</f>
        <v>0</v>
      </c>
      <c r="G95" s="22" t="n">
        <f aca="false">SUMIFS(Verbrauch!$C$9:$C$18896,Verbrauch!$A$9:$A$18896,"&gt;="&amp;A95,Verbrauch!$A$9:$A$18896,"&lt;"&amp;B95,Verbrauch!$F$9:$F$18896,"Standard")</f>
        <v>0</v>
      </c>
      <c r="H95" s="23" t="n">
        <f aca="false">SUMIFS(Verbrauch!$E$9:$E$18896,Verbrauch!$A$9:$A$18896,"&gt;="&amp;A95,Verbrauch!$A$9:$A$18896,"&lt;"&amp;B95)</f>
        <v>0</v>
      </c>
      <c r="I95" s="13" t="str">
        <f aca="false">IFERROR(H95/E95*100,"")</f>
        <v/>
      </c>
    </row>
    <row r="96" customFormat="false" ht="13.5" hidden="false" customHeight="true" outlineLevel="0" collapsed="false">
      <c r="A96" s="10" t="n">
        <v>46601</v>
      </c>
      <c r="B96" s="10" t="n">
        <v>46608</v>
      </c>
      <c r="C96" s="11" t="n">
        <v>2027</v>
      </c>
      <c r="D96" s="11" t="n">
        <v>31</v>
      </c>
      <c r="E96" s="22" t="n">
        <f aca="false">SUMIFS(Verbrauch!$C$9:$C$18896,Verbrauch!$A$9:$A$18896,"&gt;="&amp;A96,Verbrauch!$A$9:$A$18896,"&lt;"&amp;B96)</f>
        <v>0</v>
      </c>
      <c r="F96" s="22" t="n">
        <f aca="false">SUMIFS(Verbrauch!$C$9:$C$18896,Verbrauch!$A$9:$A$18896,"&gt;="&amp;A96,Verbrauch!$A$9:$A$18896,"&lt;"&amp;B96,Verbrauch!$F$9:$F$18896,"Go")</f>
        <v>0</v>
      </c>
      <c r="G96" s="22" t="n">
        <f aca="false">SUMIFS(Verbrauch!$C$9:$C$18896,Verbrauch!$A$9:$A$18896,"&gt;="&amp;A96,Verbrauch!$A$9:$A$18896,"&lt;"&amp;B96,Verbrauch!$F$9:$F$18896,"Standard")</f>
        <v>0</v>
      </c>
      <c r="H96" s="23" t="n">
        <f aca="false">SUMIFS(Verbrauch!$E$9:$E$18896,Verbrauch!$A$9:$A$18896,"&gt;="&amp;A96,Verbrauch!$A$9:$A$18896,"&lt;"&amp;B96)</f>
        <v>0</v>
      </c>
      <c r="I96" s="13" t="str">
        <f aca="false">IFERROR(H96/E96*100,"")</f>
        <v/>
      </c>
    </row>
    <row r="97" customFormat="false" ht="13.5" hidden="false" customHeight="true" outlineLevel="0" collapsed="false">
      <c r="A97" s="10" t="n">
        <v>46608</v>
      </c>
      <c r="B97" s="10" t="n">
        <v>46615</v>
      </c>
      <c r="C97" s="11" t="n">
        <v>2027</v>
      </c>
      <c r="D97" s="11" t="n">
        <v>32</v>
      </c>
      <c r="E97" s="22" t="n">
        <f aca="false">SUMIFS(Verbrauch!$C$9:$C$18896,Verbrauch!$A$9:$A$18896,"&gt;="&amp;A97,Verbrauch!$A$9:$A$18896,"&lt;"&amp;B97)</f>
        <v>0</v>
      </c>
      <c r="F97" s="22" t="n">
        <f aca="false">SUMIFS(Verbrauch!$C$9:$C$18896,Verbrauch!$A$9:$A$18896,"&gt;="&amp;A97,Verbrauch!$A$9:$A$18896,"&lt;"&amp;B97,Verbrauch!$F$9:$F$18896,"Go")</f>
        <v>0</v>
      </c>
      <c r="G97" s="22" t="n">
        <f aca="false">SUMIFS(Verbrauch!$C$9:$C$18896,Verbrauch!$A$9:$A$18896,"&gt;="&amp;A97,Verbrauch!$A$9:$A$18896,"&lt;"&amp;B97,Verbrauch!$F$9:$F$18896,"Standard")</f>
        <v>0</v>
      </c>
      <c r="H97" s="23" t="n">
        <f aca="false">SUMIFS(Verbrauch!$E$9:$E$18896,Verbrauch!$A$9:$A$18896,"&gt;="&amp;A97,Verbrauch!$A$9:$A$18896,"&lt;"&amp;B97)</f>
        <v>0</v>
      </c>
      <c r="I97" s="13" t="str">
        <f aca="false">IFERROR(H97/E97*100,"")</f>
        <v/>
      </c>
    </row>
    <row r="98" customFormat="false" ht="13.5" hidden="false" customHeight="true" outlineLevel="0" collapsed="false">
      <c r="A98" s="10" t="n">
        <v>46615</v>
      </c>
      <c r="B98" s="10" t="n">
        <v>46622</v>
      </c>
      <c r="C98" s="11" t="n">
        <v>2027</v>
      </c>
      <c r="D98" s="11" t="n">
        <v>33</v>
      </c>
      <c r="E98" s="22" t="n">
        <f aca="false">SUMIFS(Verbrauch!$C$9:$C$18896,Verbrauch!$A$9:$A$18896,"&gt;="&amp;A98,Verbrauch!$A$9:$A$18896,"&lt;"&amp;B98)</f>
        <v>0</v>
      </c>
      <c r="F98" s="22" t="n">
        <f aca="false">SUMIFS(Verbrauch!$C$9:$C$18896,Verbrauch!$A$9:$A$18896,"&gt;="&amp;A98,Verbrauch!$A$9:$A$18896,"&lt;"&amp;B98,Verbrauch!$F$9:$F$18896,"Go")</f>
        <v>0</v>
      </c>
      <c r="G98" s="22" t="n">
        <f aca="false">SUMIFS(Verbrauch!$C$9:$C$18896,Verbrauch!$A$9:$A$18896,"&gt;="&amp;A98,Verbrauch!$A$9:$A$18896,"&lt;"&amp;B98,Verbrauch!$F$9:$F$18896,"Standard")</f>
        <v>0</v>
      </c>
      <c r="H98" s="23" t="n">
        <f aca="false">SUMIFS(Verbrauch!$E$9:$E$18896,Verbrauch!$A$9:$A$18896,"&gt;="&amp;A98,Verbrauch!$A$9:$A$18896,"&lt;"&amp;B98)</f>
        <v>0</v>
      </c>
      <c r="I98" s="13" t="str">
        <f aca="false">IFERROR(H98/E98*100,"")</f>
        <v/>
      </c>
    </row>
    <row r="99" customFormat="false" ht="13.5" hidden="false" customHeight="true" outlineLevel="0" collapsed="false">
      <c r="A99" s="10" t="n">
        <v>46622</v>
      </c>
      <c r="B99" s="10" t="n">
        <v>46629</v>
      </c>
      <c r="C99" s="11" t="n">
        <v>2027</v>
      </c>
      <c r="D99" s="11" t="n">
        <v>34</v>
      </c>
      <c r="E99" s="22" t="n">
        <f aca="false">SUMIFS(Verbrauch!$C$9:$C$18896,Verbrauch!$A$9:$A$18896,"&gt;="&amp;A99,Verbrauch!$A$9:$A$18896,"&lt;"&amp;B99)</f>
        <v>0</v>
      </c>
      <c r="F99" s="22" t="n">
        <f aca="false">SUMIFS(Verbrauch!$C$9:$C$18896,Verbrauch!$A$9:$A$18896,"&gt;="&amp;A99,Verbrauch!$A$9:$A$18896,"&lt;"&amp;B99,Verbrauch!$F$9:$F$18896,"Go")</f>
        <v>0</v>
      </c>
      <c r="G99" s="22" t="n">
        <f aca="false">SUMIFS(Verbrauch!$C$9:$C$18896,Verbrauch!$A$9:$A$18896,"&gt;="&amp;A99,Verbrauch!$A$9:$A$18896,"&lt;"&amp;B99,Verbrauch!$F$9:$F$18896,"Standard")</f>
        <v>0</v>
      </c>
      <c r="H99" s="23" t="n">
        <f aca="false">SUMIFS(Verbrauch!$E$9:$E$18896,Verbrauch!$A$9:$A$18896,"&gt;="&amp;A99,Verbrauch!$A$9:$A$18896,"&lt;"&amp;B99)</f>
        <v>0</v>
      </c>
      <c r="I99" s="13" t="str">
        <f aca="false">IFERROR(H99/E99*100,"")</f>
        <v/>
      </c>
    </row>
    <row r="100" customFormat="false" ht="13.5" hidden="false" customHeight="true" outlineLevel="0" collapsed="false">
      <c r="A100" s="10" t="n">
        <v>46629</v>
      </c>
      <c r="B100" s="10" t="n">
        <v>46636</v>
      </c>
      <c r="C100" s="11" t="n">
        <v>2027</v>
      </c>
      <c r="D100" s="11" t="n">
        <v>35</v>
      </c>
      <c r="E100" s="22" t="n">
        <f aca="false">SUMIFS(Verbrauch!$C$9:$C$18896,Verbrauch!$A$9:$A$18896,"&gt;="&amp;A100,Verbrauch!$A$9:$A$18896,"&lt;"&amp;B100)</f>
        <v>0</v>
      </c>
      <c r="F100" s="22" t="n">
        <f aca="false">SUMIFS(Verbrauch!$C$9:$C$18896,Verbrauch!$A$9:$A$18896,"&gt;="&amp;A100,Verbrauch!$A$9:$A$18896,"&lt;"&amp;B100,Verbrauch!$F$9:$F$18896,"Go")</f>
        <v>0</v>
      </c>
      <c r="G100" s="22" t="n">
        <f aca="false">SUMIFS(Verbrauch!$C$9:$C$18896,Verbrauch!$A$9:$A$18896,"&gt;="&amp;A100,Verbrauch!$A$9:$A$18896,"&lt;"&amp;B100,Verbrauch!$F$9:$F$18896,"Standard")</f>
        <v>0</v>
      </c>
      <c r="H100" s="23" t="n">
        <f aca="false">SUMIFS(Verbrauch!$E$9:$E$18896,Verbrauch!$A$9:$A$18896,"&gt;="&amp;A100,Verbrauch!$A$9:$A$18896,"&lt;"&amp;B100)</f>
        <v>0</v>
      </c>
      <c r="I100" s="13" t="str">
        <f aca="false">IFERROR(H100/E100*100,"")</f>
        <v/>
      </c>
    </row>
    <row r="101" customFormat="false" ht="13.5" hidden="false" customHeight="true" outlineLevel="0" collapsed="false">
      <c r="A101" s="10" t="n">
        <v>46636</v>
      </c>
      <c r="B101" s="10" t="n">
        <v>46643</v>
      </c>
      <c r="C101" s="11" t="n">
        <v>2027</v>
      </c>
      <c r="D101" s="11" t="n">
        <v>36</v>
      </c>
      <c r="E101" s="22" t="n">
        <f aca="false">SUMIFS(Verbrauch!$C$9:$C$18896,Verbrauch!$A$9:$A$18896,"&gt;="&amp;A101,Verbrauch!$A$9:$A$18896,"&lt;"&amp;B101)</f>
        <v>0</v>
      </c>
      <c r="F101" s="22" t="n">
        <f aca="false">SUMIFS(Verbrauch!$C$9:$C$18896,Verbrauch!$A$9:$A$18896,"&gt;="&amp;A101,Verbrauch!$A$9:$A$18896,"&lt;"&amp;B101,Verbrauch!$F$9:$F$18896,"Go")</f>
        <v>0</v>
      </c>
      <c r="G101" s="22" t="n">
        <f aca="false">SUMIFS(Verbrauch!$C$9:$C$18896,Verbrauch!$A$9:$A$18896,"&gt;="&amp;A101,Verbrauch!$A$9:$A$18896,"&lt;"&amp;B101,Verbrauch!$F$9:$F$18896,"Standard")</f>
        <v>0</v>
      </c>
      <c r="H101" s="23" t="n">
        <f aca="false">SUMIFS(Verbrauch!$E$9:$E$18896,Verbrauch!$A$9:$A$18896,"&gt;="&amp;A101,Verbrauch!$A$9:$A$18896,"&lt;"&amp;B101)</f>
        <v>0</v>
      </c>
      <c r="I101" s="13" t="str">
        <f aca="false">IFERROR(H101/E101*100,"")</f>
        <v/>
      </c>
    </row>
    <row r="102" customFormat="false" ht="13.5" hidden="false" customHeight="true" outlineLevel="0" collapsed="false">
      <c r="A102" s="10" t="n">
        <v>46643</v>
      </c>
      <c r="B102" s="10" t="n">
        <v>46650</v>
      </c>
      <c r="C102" s="11" t="n">
        <v>2027</v>
      </c>
      <c r="D102" s="11" t="n">
        <v>37</v>
      </c>
      <c r="E102" s="22" t="n">
        <f aca="false">SUMIFS(Verbrauch!$C$9:$C$18896,Verbrauch!$A$9:$A$18896,"&gt;="&amp;A102,Verbrauch!$A$9:$A$18896,"&lt;"&amp;B102)</f>
        <v>0</v>
      </c>
      <c r="F102" s="22" t="n">
        <f aca="false">SUMIFS(Verbrauch!$C$9:$C$18896,Verbrauch!$A$9:$A$18896,"&gt;="&amp;A102,Verbrauch!$A$9:$A$18896,"&lt;"&amp;B102,Verbrauch!$F$9:$F$18896,"Go")</f>
        <v>0</v>
      </c>
      <c r="G102" s="22" t="n">
        <f aca="false">SUMIFS(Verbrauch!$C$9:$C$18896,Verbrauch!$A$9:$A$18896,"&gt;="&amp;A102,Verbrauch!$A$9:$A$18896,"&lt;"&amp;B102,Verbrauch!$F$9:$F$18896,"Standard")</f>
        <v>0</v>
      </c>
      <c r="H102" s="23" t="n">
        <f aca="false">SUMIFS(Verbrauch!$E$9:$E$18896,Verbrauch!$A$9:$A$18896,"&gt;="&amp;A102,Verbrauch!$A$9:$A$18896,"&lt;"&amp;B102)</f>
        <v>0</v>
      </c>
      <c r="I102" s="13" t="str">
        <f aca="false">IFERROR(H102/E102*100,"")</f>
        <v/>
      </c>
    </row>
    <row r="103" customFormat="false" ht="13.5" hidden="false" customHeight="true" outlineLevel="0" collapsed="false">
      <c r="A103" s="10" t="n">
        <v>46650</v>
      </c>
      <c r="B103" s="10" t="n">
        <v>46657</v>
      </c>
      <c r="C103" s="11" t="n">
        <v>2027</v>
      </c>
      <c r="D103" s="11" t="n">
        <v>38</v>
      </c>
      <c r="E103" s="22" t="n">
        <f aca="false">SUMIFS(Verbrauch!$C$9:$C$18896,Verbrauch!$A$9:$A$18896,"&gt;="&amp;A103,Verbrauch!$A$9:$A$18896,"&lt;"&amp;B103)</f>
        <v>0</v>
      </c>
      <c r="F103" s="22" t="n">
        <f aca="false">SUMIFS(Verbrauch!$C$9:$C$18896,Verbrauch!$A$9:$A$18896,"&gt;="&amp;A103,Verbrauch!$A$9:$A$18896,"&lt;"&amp;B103,Verbrauch!$F$9:$F$18896,"Go")</f>
        <v>0</v>
      </c>
      <c r="G103" s="22" t="n">
        <f aca="false">SUMIFS(Verbrauch!$C$9:$C$18896,Verbrauch!$A$9:$A$18896,"&gt;="&amp;A103,Verbrauch!$A$9:$A$18896,"&lt;"&amp;B103,Verbrauch!$F$9:$F$18896,"Standard")</f>
        <v>0</v>
      </c>
      <c r="H103" s="23" t="n">
        <f aca="false">SUMIFS(Verbrauch!$E$9:$E$18896,Verbrauch!$A$9:$A$18896,"&gt;="&amp;A103,Verbrauch!$A$9:$A$18896,"&lt;"&amp;B103)</f>
        <v>0</v>
      </c>
      <c r="I103" s="13" t="str">
        <f aca="false">IFERROR(H103/E103*100,"")</f>
        <v/>
      </c>
    </row>
    <row r="104" customFormat="false" ht="13.5" hidden="false" customHeight="true" outlineLevel="0" collapsed="false">
      <c r="A104" s="10" t="n">
        <v>46657</v>
      </c>
      <c r="B104" s="10" t="n">
        <v>46664</v>
      </c>
      <c r="C104" s="11" t="n">
        <v>2027</v>
      </c>
      <c r="D104" s="11" t="n">
        <v>39</v>
      </c>
      <c r="E104" s="22" t="n">
        <f aca="false">SUMIFS(Verbrauch!$C$9:$C$18896,Verbrauch!$A$9:$A$18896,"&gt;="&amp;A104,Verbrauch!$A$9:$A$18896,"&lt;"&amp;B104)</f>
        <v>0</v>
      </c>
      <c r="F104" s="22" t="n">
        <f aca="false">SUMIFS(Verbrauch!$C$9:$C$18896,Verbrauch!$A$9:$A$18896,"&gt;="&amp;A104,Verbrauch!$A$9:$A$18896,"&lt;"&amp;B104,Verbrauch!$F$9:$F$18896,"Go")</f>
        <v>0</v>
      </c>
      <c r="G104" s="22" t="n">
        <f aca="false">SUMIFS(Verbrauch!$C$9:$C$18896,Verbrauch!$A$9:$A$18896,"&gt;="&amp;A104,Verbrauch!$A$9:$A$18896,"&lt;"&amp;B104,Verbrauch!$F$9:$F$18896,"Standard")</f>
        <v>0</v>
      </c>
      <c r="H104" s="23" t="n">
        <f aca="false">SUMIFS(Verbrauch!$E$9:$E$18896,Verbrauch!$A$9:$A$18896,"&gt;="&amp;A104,Verbrauch!$A$9:$A$18896,"&lt;"&amp;B104)</f>
        <v>0</v>
      </c>
      <c r="I104" s="13" t="str">
        <f aca="false">IFERROR(H104/E104*100,"")</f>
        <v/>
      </c>
    </row>
    <row r="105" customFormat="false" ht="13.5" hidden="false" customHeight="true" outlineLevel="0" collapsed="false">
      <c r="A105" s="10" t="n">
        <v>46664</v>
      </c>
      <c r="B105" s="10" t="n">
        <v>46671</v>
      </c>
      <c r="C105" s="11" t="n">
        <v>2027</v>
      </c>
      <c r="D105" s="11" t="n">
        <v>40</v>
      </c>
      <c r="E105" s="22" t="n">
        <f aca="false">SUMIFS(Verbrauch!$C$9:$C$18896,Verbrauch!$A$9:$A$18896,"&gt;="&amp;A105,Verbrauch!$A$9:$A$18896,"&lt;"&amp;B105)</f>
        <v>0</v>
      </c>
      <c r="F105" s="22" t="n">
        <f aca="false">SUMIFS(Verbrauch!$C$9:$C$18896,Verbrauch!$A$9:$A$18896,"&gt;="&amp;A105,Verbrauch!$A$9:$A$18896,"&lt;"&amp;B105,Verbrauch!$F$9:$F$18896,"Go")</f>
        <v>0</v>
      </c>
      <c r="G105" s="22" t="n">
        <f aca="false">SUMIFS(Verbrauch!$C$9:$C$18896,Verbrauch!$A$9:$A$18896,"&gt;="&amp;A105,Verbrauch!$A$9:$A$18896,"&lt;"&amp;B105,Verbrauch!$F$9:$F$18896,"Standard")</f>
        <v>0</v>
      </c>
      <c r="H105" s="23" t="n">
        <f aca="false">SUMIFS(Verbrauch!$E$9:$E$18896,Verbrauch!$A$9:$A$18896,"&gt;="&amp;A105,Verbrauch!$A$9:$A$18896,"&lt;"&amp;B105)</f>
        <v>0</v>
      </c>
      <c r="I105" s="13" t="str">
        <f aca="false">IFERROR(H105/E105*100,"")</f>
        <v/>
      </c>
    </row>
    <row r="106" customFormat="false" ht="13.5" hidden="false" customHeight="true" outlineLevel="0" collapsed="false">
      <c r="A106" s="10" t="n">
        <v>46671</v>
      </c>
      <c r="B106" s="10" t="n">
        <v>46678</v>
      </c>
      <c r="C106" s="11" t="n">
        <v>2027</v>
      </c>
      <c r="D106" s="11" t="n">
        <v>41</v>
      </c>
      <c r="E106" s="22" t="n">
        <f aca="false">SUMIFS(Verbrauch!$C$9:$C$18896,Verbrauch!$A$9:$A$18896,"&gt;="&amp;A106,Verbrauch!$A$9:$A$18896,"&lt;"&amp;B106)</f>
        <v>0</v>
      </c>
      <c r="F106" s="22" t="n">
        <f aca="false">SUMIFS(Verbrauch!$C$9:$C$18896,Verbrauch!$A$9:$A$18896,"&gt;="&amp;A106,Verbrauch!$A$9:$A$18896,"&lt;"&amp;B106,Verbrauch!$F$9:$F$18896,"Go")</f>
        <v>0</v>
      </c>
      <c r="G106" s="22" t="n">
        <f aca="false">SUMIFS(Verbrauch!$C$9:$C$18896,Verbrauch!$A$9:$A$18896,"&gt;="&amp;A106,Verbrauch!$A$9:$A$18896,"&lt;"&amp;B106,Verbrauch!$F$9:$F$18896,"Standard")</f>
        <v>0</v>
      </c>
      <c r="H106" s="23" t="n">
        <f aca="false">SUMIFS(Verbrauch!$E$9:$E$18896,Verbrauch!$A$9:$A$18896,"&gt;="&amp;A106,Verbrauch!$A$9:$A$18896,"&lt;"&amp;B106)</f>
        <v>0</v>
      </c>
      <c r="I106" s="13" t="str">
        <f aca="false">IFERROR(H106/E106*100,"")</f>
        <v/>
      </c>
    </row>
    <row r="107" customFormat="false" ht="13.5" hidden="false" customHeight="true" outlineLevel="0" collapsed="false">
      <c r="A107" s="10" t="n">
        <v>46678</v>
      </c>
      <c r="B107" s="10" t="n">
        <v>46685</v>
      </c>
      <c r="C107" s="11" t="n">
        <v>2027</v>
      </c>
      <c r="D107" s="11" t="n">
        <v>42</v>
      </c>
      <c r="E107" s="22" t="n">
        <f aca="false">SUMIFS(Verbrauch!$C$9:$C$18896,Verbrauch!$A$9:$A$18896,"&gt;="&amp;A107,Verbrauch!$A$9:$A$18896,"&lt;"&amp;B107)</f>
        <v>0</v>
      </c>
      <c r="F107" s="22" t="n">
        <f aca="false">SUMIFS(Verbrauch!$C$9:$C$18896,Verbrauch!$A$9:$A$18896,"&gt;="&amp;A107,Verbrauch!$A$9:$A$18896,"&lt;"&amp;B107,Verbrauch!$F$9:$F$18896,"Go")</f>
        <v>0</v>
      </c>
      <c r="G107" s="22" t="n">
        <f aca="false">SUMIFS(Verbrauch!$C$9:$C$18896,Verbrauch!$A$9:$A$18896,"&gt;="&amp;A107,Verbrauch!$A$9:$A$18896,"&lt;"&amp;B107,Verbrauch!$F$9:$F$18896,"Standard")</f>
        <v>0</v>
      </c>
      <c r="H107" s="23" t="n">
        <f aca="false">SUMIFS(Verbrauch!$E$9:$E$18896,Verbrauch!$A$9:$A$18896,"&gt;="&amp;A107,Verbrauch!$A$9:$A$18896,"&lt;"&amp;B107)</f>
        <v>0</v>
      </c>
      <c r="I107" s="13" t="str">
        <f aca="false">IFERROR(H107/E107*100,"")</f>
        <v/>
      </c>
    </row>
    <row r="108" customFormat="false" ht="13.5" hidden="false" customHeight="true" outlineLevel="0" collapsed="false">
      <c r="A108" s="10" t="n">
        <v>46685</v>
      </c>
      <c r="B108" s="10" t="n">
        <v>46692</v>
      </c>
      <c r="C108" s="11" t="n">
        <v>2027</v>
      </c>
      <c r="D108" s="11" t="n">
        <v>43</v>
      </c>
      <c r="E108" s="22" t="n">
        <f aca="false">SUMIFS(Verbrauch!$C$9:$C$18896,Verbrauch!$A$9:$A$18896,"&gt;="&amp;A108,Verbrauch!$A$9:$A$18896,"&lt;"&amp;B108)</f>
        <v>0</v>
      </c>
      <c r="F108" s="22" t="n">
        <f aca="false">SUMIFS(Verbrauch!$C$9:$C$18896,Verbrauch!$A$9:$A$18896,"&gt;="&amp;A108,Verbrauch!$A$9:$A$18896,"&lt;"&amp;B108,Verbrauch!$F$9:$F$18896,"Go")</f>
        <v>0</v>
      </c>
      <c r="G108" s="22" t="n">
        <f aca="false">SUMIFS(Verbrauch!$C$9:$C$18896,Verbrauch!$A$9:$A$18896,"&gt;="&amp;A108,Verbrauch!$A$9:$A$18896,"&lt;"&amp;B108,Verbrauch!$F$9:$F$18896,"Standard")</f>
        <v>0</v>
      </c>
      <c r="H108" s="23" t="n">
        <f aca="false">SUMIFS(Verbrauch!$E$9:$E$18896,Verbrauch!$A$9:$A$18896,"&gt;="&amp;A108,Verbrauch!$A$9:$A$18896,"&lt;"&amp;B108)</f>
        <v>0</v>
      </c>
      <c r="I108" s="13" t="str">
        <f aca="false">IFERROR(H108/E108*100,"")</f>
        <v/>
      </c>
    </row>
    <row r="109" customFormat="false" ht="13.5" hidden="false" customHeight="true" outlineLevel="0" collapsed="false">
      <c r="A109" s="10" t="n">
        <v>46692</v>
      </c>
      <c r="B109" s="10" t="n">
        <v>46699</v>
      </c>
      <c r="C109" s="11" t="n">
        <v>2027</v>
      </c>
      <c r="D109" s="11" t="n">
        <v>44</v>
      </c>
      <c r="E109" s="22" t="n">
        <f aca="false">SUMIFS(Verbrauch!$C$9:$C$18896,Verbrauch!$A$9:$A$18896,"&gt;="&amp;A109,Verbrauch!$A$9:$A$18896,"&lt;"&amp;B109)</f>
        <v>0</v>
      </c>
      <c r="F109" s="22" t="n">
        <f aca="false">SUMIFS(Verbrauch!$C$9:$C$18896,Verbrauch!$A$9:$A$18896,"&gt;="&amp;A109,Verbrauch!$A$9:$A$18896,"&lt;"&amp;B109,Verbrauch!$F$9:$F$18896,"Go")</f>
        <v>0</v>
      </c>
      <c r="G109" s="22" t="n">
        <f aca="false">SUMIFS(Verbrauch!$C$9:$C$18896,Verbrauch!$A$9:$A$18896,"&gt;="&amp;A109,Verbrauch!$A$9:$A$18896,"&lt;"&amp;B109,Verbrauch!$F$9:$F$18896,"Standard")</f>
        <v>0</v>
      </c>
      <c r="H109" s="23" t="n">
        <f aca="false">SUMIFS(Verbrauch!$E$9:$E$18896,Verbrauch!$A$9:$A$18896,"&gt;="&amp;A109,Verbrauch!$A$9:$A$18896,"&lt;"&amp;B109)</f>
        <v>0</v>
      </c>
      <c r="I109" s="13" t="str">
        <f aca="false">IFERROR(H109/E109*100,"")</f>
        <v/>
      </c>
    </row>
    <row r="110" customFormat="false" ht="13.5" hidden="false" customHeight="true" outlineLevel="0" collapsed="false">
      <c r="A110" s="10" t="n">
        <v>46699</v>
      </c>
      <c r="B110" s="10" t="n">
        <v>46706</v>
      </c>
      <c r="C110" s="11" t="n">
        <v>2027</v>
      </c>
      <c r="D110" s="11" t="n">
        <v>45</v>
      </c>
      <c r="E110" s="22" t="n">
        <f aca="false">SUMIFS(Verbrauch!$C$9:$C$18896,Verbrauch!$A$9:$A$18896,"&gt;="&amp;A110,Verbrauch!$A$9:$A$18896,"&lt;"&amp;B110)</f>
        <v>0</v>
      </c>
      <c r="F110" s="22" t="n">
        <f aca="false">SUMIFS(Verbrauch!$C$9:$C$18896,Verbrauch!$A$9:$A$18896,"&gt;="&amp;A110,Verbrauch!$A$9:$A$18896,"&lt;"&amp;B110,Verbrauch!$F$9:$F$18896,"Go")</f>
        <v>0</v>
      </c>
      <c r="G110" s="22" t="n">
        <f aca="false">SUMIFS(Verbrauch!$C$9:$C$18896,Verbrauch!$A$9:$A$18896,"&gt;="&amp;A110,Verbrauch!$A$9:$A$18896,"&lt;"&amp;B110,Verbrauch!$F$9:$F$18896,"Standard")</f>
        <v>0</v>
      </c>
      <c r="H110" s="23" t="n">
        <f aca="false">SUMIFS(Verbrauch!$E$9:$E$18896,Verbrauch!$A$9:$A$18896,"&gt;="&amp;A110,Verbrauch!$A$9:$A$18896,"&lt;"&amp;B110)</f>
        <v>0</v>
      </c>
      <c r="I110" s="13" t="str">
        <f aca="false">IFERROR(H110/E110*100,"")</f>
        <v/>
      </c>
    </row>
    <row r="111" customFormat="false" ht="13.5" hidden="false" customHeight="true" outlineLevel="0" collapsed="false">
      <c r="A111" s="10" t="n">
        <v>46706</v>
      </c>
      <c r="B111" s="10" t="n">
        <v>46713</v>
      </c>
      <c r="C111" s="11" t="n">
        <v>2027</v>
      </c>
      <c r="D111" s="11" t="n">
        <v>46</v>
      </c>
      <c r="E111" s="22" t="n">
        <f aca="false">SUMIFS(Verbrauch!$C$9:$C$18896,Verbrauch!$A$9:$A$18896,"&gt;="&amp;A111,Verbrauch!$A$9:$A$18896,"&lt;"&amp;B111)</f>
        <v>0</v>
      </c>
      <c r="F111" s="22" t="n">
        <f aca="false">SUMIFS(Verbrauch!$C$9:$C$18896,Verbrauch!$A$9:$A$18896,"&gt;="&amp;A111,Verbrauch!$A$9:$A$18896,"&lt;"&amp;B111,Verbrauch!$F$9:$F$18896,"Go")</f>
        <v>0</v>
      </c>
      <c r="G111" s="22" t="n">
        <f aca="false">SUMIFS(Verbrauch!$C$9:$C$18896,Verbrauch!$A$9:$A$18896,"&gt;="&amp;A111,Verbrauch!$A$9:$A$18896,"&lt;"&amp;B111,Verbrauch!$F$9:$F$18896,"Standard")</f>
        <v>0</v>
      </c>
      <c r="H111" s="23" t="n">
        <f aca="false">SUMIFS(Verbrauch!$E$9:$E$18896,Verbrauch!$A$9:$A$18896,"&gt;="&amp;A111,Verbrauch!$A$9:$A$18896,"&lt;"&amp;B111)</f>
        <v>0</v>
      </c>
      <c r="I111" s="13" t="str">
        <f aca="false">IFERROR(H111/E111*100,"")</f>
        <v/>
      </c>
    </row>
    <row r="112" customFormat="false" ht="13.5" hidden="false" customHeight="true" outlineLevel="0" collapsed="false">
      <c r="A112" s="10" t="n">
        <v>46713</v>
      </c>
      <c r="B112" s="10" t="n">
        <v>46720</v>
      </c>
      <c r="C112" s="11" t="n">
        <v>2027</v>
      </c>
      <c r="D112" s="11" t="n">
        <v>47</v>
      </c>
      <c r="E112" s="22" t="n">
        <f aca="false">SUMIFS(Verbrauch!$C$9:$C$18896,Verbrauch!$A$9:$A$18896,"&gt;="&amp;A112,Verbrauch!$A$9:$A$18896,"&lt;"&amp;B112)</f>
        <v>0</v>
      </c>
      <c r="F112" s="22" t="n">
        <f aca="false">SUMIFS(Verbrauch!$C$9:$C$18896,Verbrauch!$A$9:$A$18896,"&gt;="&amp;A112,Verbrauch!$A$9:$A$18896,"&lt;"&amp;B112,Verbrauch!$F$9:$F$18896,"Go")</f>
        <v>0</v>
      </c>
      <c r="G112" s="22" t="n">
        <f aca="false">SUMIFS(Verbrauch!$C$9:$C$18896,Verbrauch!$A$9:$A$18896,"&gt;="&amp;A112,Verbrauch!$A$9:$A$18896,"&lt;"&amp;B112,Verbrauch!$F$9:$F$18896,"Standard")</f>
        <v>0</v>
      </c>
      <c r="H112" s="23" t="n">
        <f aca="false">SUMIFS(Verbrauch!$E$9:$E$18896,Verbrauch!$A$9:$A$18896,"&gt;="&amp;A112,Verbrauch!$A$9:$A$18896,"&lt;"&amp;B112)</f>
        <v>0</v>
      </c>
      <c r="I112" s="13" t="str">
        <f aca="false">IFERROR(H112/E112*100,"")</f>
        <v/>
      </c>
    </row>
    <row r="113" customFormat="false" ht="13.5" hidden="false" customHeight="true" outlineLevel="0" collapsed="false">
      <c r="A113" s="10" t="n">
        <v>46720</v>
      </c>
      <c r="B113" s="10" t="n">
        <v>46727</v>
      </c>
      <c r="C113" s="11" t="n">
        <v>2027</v>
      </c>
      <c r="D113" s="11" t="n">
        <v>48</v>
      </c>
      <c r="E113" s="22" t="n">
        <f aca="false">SUMIFS(Verbrauch!$C$9:$C$18896,Verbrauch!$A$9:$A$18896,"&gt;="&amp;A113,Verbrauch!$A$9:$A$18896,"&lt;"&amp;B113)</f>
        <v>0</v>
      </c>
      <c r="F113" s="22" t="n">
        <f aca="false">SUMIFS(Verbrauch!$C$9:$C$18896,Verbrauch!$A$9:$A$18896,"&gt;="&amp;A113,Verbrauch!$A$9:$A$18896,"&lt;"&amp;B113,Verbrauch!$F$9:$F$18896,"Go")</f>
        <v>0</v>
      </c>
      <c r="G113" s="22" t="n">
        <f aca="false">SUMIFS(Verbrauch!$C$9:$C$18896,Verbrauch!$A$9:$A$18896,"&gt;="&amp;A113,Verbrauch!$A$9:$A$18896,"&lt;"&amp;B113,Verbrauch!$F$9:$F$18896,"Standard")</f>
        <v>0</v>
      </c>
      <c r="H113" s="23" t="n">
        <f aca="false">SUMIFS(Verbrauch!$E$9:$E$18896,Verbrauch!$A$9:$A$18896,"&gt;="&amp;A113,Verbrauch!$A$9:$A$18896,"&lt;"&amp;B113)</f>
        <v>0</v>
      </c>
      <c r="I113" s="13" t="str">
        <f aca="false">IFERROR(H113/E113*100,"")</f>
        <v/>
      </c>
    </row>
    <row r="114" customFormat="false" ht="13.5" hidden="false" customHeight="true" outlineLevel="0" collapsed="false">
      <c r="A114" s="10" t="n">
        <v>46727</v>
      </c>
      <c r="B114" s="10" t="n">
        <v>46734</v>
      </c>
      <c r="C114" s="11" t="n">
        <v>2027</v>
      </c>
      <c r="D114" s="11" t="n">
        <v>49</v>
      </c>
      <c r="E114" s="22" t="n">
        <f aca="false">SUMIFS(Verbrauch!$C$9:$C$18896,Verbrauch!$A$9:$A$18896,"&gt;="&amp;A114,Verbrauch!$A$9:$A$18896,"&lt;"&amp;B114)</f>
        <v>0</v>
      </c>
      <c r="F114" s="22" t="n">
        <f aca="false">SUMIFS(Verbrauch!$C$9:$C$18896,Verbrauch!$A$9:$A$18896,"&gt;="&amp;A114,Verbrauch!$A$9:$A$18896,"&lt;"&amp;B114,Verbrauch!$F$9:$F$18896,"Go")</f>
        <v>0</v>
      </c>
      <c r="G114" s="22" t="n">
        <f aca="false">SUMIFS(Verbrauch!$C$9:$C$18896,Verbrauch!$A$9:$A$18896,"&gt;="&amp;A114,Verbrauch!$A$9:$A$18896,"&lt;"&amp;B114,Verbrauch!$F$9:$F$18896,"Standard")</f>
        <v>0</v>
      </c>
      <c r="H114" s="23" t="n">
        <f aca="false">SUMIFS(Verbrauch!$E$9:$E$18896,Verbrauch!$A$9:$A$18896,"&gt;="&amp;A114,Verbrauch!$A$9:$A$18896,"&lt;"&amp;B114)</f>
        <v>0</v>
      </c>
      <c r="I114" s="13" t="str">
        <f aca="false">IFERROR(H114/E114*100,"")</f>
        <v/>
      </c>
    </row>
    <row r="115" customFormat="false" ht="13.5" hidden="false" customHeight="true" outlineLevel="0" collapsed="false">
      <c r="A115" s="10" t="n">
        <v>46734</v>
      </c>
      <c r="B115" s="10" t="n">
        <v>46741</v>
      </c>
      <c r="C115" s="11" t="n">
        <v>2027</v>
      </c>
      <c r="D115" s="11" t="n">
        <v>50</v>
      </c>
      <c r="E115" s="22" t="n">
        <f aca="false">SUMIFS(Verbrauch!$C$9:$C$18896,Verbrauch!$A$9:$A$18896,"&gt;="&amp;A115,Verbrauch!$A$9:$A$18896,"&lt;"&amp;B115)</f>
        <v>0</v>
      </c>
      <c r="F115" s="22" t="n">
        <f aca="false">SUMIFS(Verbrauch!$C$9:$C$18896,Verbrauch!$A$9:$A$18896,"&gt;="&amp;A115,Verbrauch!$A$9:$A$18896,"&lt;"&amp;B115,Verbrauch!$F$9:$F$18896,"Go")</f>
        <v>0</v>
      </c>
      <c r="G115" s="22" t="n">
        <f aca="false">SUMIFS(Verbrauch!$C$9:$C$18896,Verbrauch!$A$9:$A$18896,"&gt;="&amp;A115,Verbrauch!$A$9:$A$18896,"&lt;"&amp;B115,Verbrauch!$F$9:$F$18896,"Standard")</f>
        <v>0</v>
      </c>
      <c r="H115" s="23" t="n">
        <f aca="false">SUMIFS(Verbrauch!$E$9:$E$18896,Verbrauch!$A$9:$A$18896,"&gt;="&amp;A115,Verbrauch!$A$9:$A$18896,"&lt;"&amp;B115)</f>
        <v>0</v>
      </c>
      <c r="I115" s="13" t="str">
        <f aca="false">IFERROR(H115/E115*100,"")</f>
        <v/>
      </c>
    </row>
    <row r="116" customFormat="false" ht="13.5" hidden="false" customHeight="true" outlineLevel="0" collapsed="false">
      <c r="A116" s="10" t="n">
        <v>46741</v>
      </c>
      <c r="B116" s="10" t="n">
        <v>46748</v>
      </c>
      <c r="C116" s="11" t="n">
        <v>2027</v>
      </c>
      <c r="D116" s="11" t="n">
        <v>51</v>
      </c>
      <c r="E116" s="22" t="n">
        <f aca="false">SUMIFS(Verbrauch!$C$9:$C$18896,Verbrauch!$A$9:$A$18896,"&gt;="&amp;A116,Verbrauch!$A$9:$A$18896,"&lt;"&amp;B116)</f>
        <v>0</v>
      </c>
      <c r="F116" s="22" t="n">
        <f aca="false">SUMIFS(Verbrauch!$C$9:$C$18896,Verbrauch!$A$9:$A$18896,"&gt;="&amp;A116,Verbrauch!$A$9:$A$18896,"&lt;"&amp;B116,Verbrauch!$F$9:$F$18896,"Go")</f>
        <v>0</v>
      </c>
      <c r="G116" s="22" t="n">
        <f aca="false">SUMIFS(Verbrauch!$C$9:$C$18896,Verbrauch!$A$9:$A$18896,"&gt;="&amp;A116,Verbrauch!$A$9:$A$18896,"&lt;"&amp;B116,Verbrauch!$F$9:$F$18896,"Standard")</f>
        <v>0</v>
      </c>
      <c r="H116" s="23" t="n">
        <f aca="false">SUMIFS(Verbrauch!$E$9:$E$18896,Verbrauch!$A$9:$A$18896,"&gt;="&amp;A116,Verbrauch!$A$9:$A$18896,"&lt;"&amp;B116)</f>
        <v>0</v>
      </c>
      <c r="I116" s="13" t="str">
        <f aca="false">IFERROR(H116/E116*100,"")</f>
        <v/>
      </c>
    </row>
    <row r="117" customFormat="false" ht="13.5" hidden="false" customHeight="true" outlineLevel="0" collapsed="false">
      <c r="A117" s="10" t="n">
        <v>46748</v>
      </c>
      <c r="B117" s="10" t="n">
        <v>46755</v>
      </c>
      <c r="C117" s="11" t="n">
        <v>2027</v>
      </c>
      <c r="D117" s="11" t="n">
        <v>52</v>
      </c>
      <c r="E117" s="22" t="n">
        <f aca="false">SUMIFS(Verbrauch!$C$9:$C$18896,Verbrauch!$A$9:$A$18896,"&gt;="&amp;A117,Verbrauch!$A$9:$A$18896,"&lt;"&amp;B117)</f>
        <v>0</v>
      </c>
      <c r="F117" s="22" t="n">
        <f aca="false">SUMIFS(Verbrauch!$C$9:$C$18896,Verbrauch!$A$9:$A$18896,"&gt;="&amp;A117,Verbrauch!$A$9:$A$18896,"&lt;"&amp;B117,Verbrauch!$F$9:$F$18896,"Go")</f>
        <v>0</v>
      </c>
      <c r="G117" s="22" t="n">
        <f aca="false">SUMIFS(Verbrauch!$C$9:$C$18896,Verbrauch!$A$9:$A$18896,"&gt;="&amp;A117,Verbrauch!$A$9:$A$18896,"&lt;"&amp;B117,Verbrauch!$F$9:$F$18896,"Standard")</f>
        <v>0</v>
      </c>
      <c r="H117" s="23" t="n">
        <f aca="false">SUMIFS(Verbrauch!$E$9:$E$18896,Verbrauch!$A$9:$A$18896,"&gt;="&amp;A117,Verbrauch!$A$9:$A$18896,"&lt;"&amp;B117)</f>
        <v>0</v>
      </c>
      <c r="I117" s="13" t="str">
        <f aca="false">IFERROR(H117/E117*100,"")</f>
        <v/>
      </c>
    </row>
  </sheetData>
  <autoFilter ref="A4:I274"/>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2" min="1" style="1" width="18"/>
    <col collapsed="false" customWidth="true" hidden="false" outlineLevel="0" max="3" min="3" style="1" width="14"/>
    <col collapsed="false" customWidth="true" hidden="false" outlineLevel="0" max="4" min="4" style="1" width="18"/>
    <col collapsed="false" customWidth="true" hidden="true" outlineLevel="0" max="5" min="5" style="1" width="22"/>
    <col collapsed="false" customWidth="true" hidden="false" outlineLevel="0" max="6" min="6" style="1" width="24"/>
    <col collapsed="false" customWidth="true" hidden="false" outlineLevel="0" max="8" min="7" style="1" width="18"/>
  </cols>
  <sheetData>
    <row r="1" customFormat="false" ht="17.25" hidden="false" customHeight="true" outlineLevel="0" collapsed="false">
      <c r="A1" s="2" t="s">
        <v>34</v>
      </c>
      <c r="B1" s="2"/>
      <c r="C1" s="2"/>
      <c r="D1" s="2"/>
      <c r="F1" s="3" t="s">
        <v>35</v>
      </c>
      <c r="G1" s="3"/>
      <c r="H1" s="3"/>
    </row>
    <row r="2" customFormat="false" ht="13.5" hidden="false" customHeight="true" outlineLevel="0" collapsed="false">
      <c r="F2" s="3"/>
      <c r="G2" s="3"/>
      <c r="H2" s="3"/>
    </row>
    <row r="3" customFormat="false" ht="13.5" hidden="false" customHeight="true" outlineLevel="0" collapsed="false">
      <c r="F3" s="3"/>
      <c r="G3" s="3"/>
      <c r="H3" s="3"/>
    </row>
    <row r="4" customFormat="false" ht="13.5" hidden="false" customHeight="true" outlineLevel="0" collapsed="false">
      <c r="A4" s="9" t="s">
        <v>36</v>
      </c>
      <c r="B4" s="9" t="s">
        <v>8</v>
      </c>
      <c r="C4" s="9" t="s">
        <v>26</v>
      </c>
      <c r="D4" s="9" t="s">
        <v>37</v>
      </c>
      <c r="E4" s="9" t="s">
        <v>38</v>
      </c>
    </row>
    <row r="5" customFormat="false" ht="13.5" hidden="false" customHeight="true" outlineLevel="0" collapsed="false">
      <c r="A5" s="24" t="n">
        <v>45962</v>
      </c>
      <c r="B5" s="22" t="n">
        <f aca="false">SUMIFS(Verbrauch!$C$9:$C$18896,Verbrauch!$A$9:$A$18896,"&gt;="&amp;A5,Verbrauch!$A$9:$A$18896,"&lt;"&amp;E5)</f>
        <v>0</v>
      </c>
      <c r="C5" s="23" t="n">
        <f aca="false">SUMIFS(Verbrauch!$E$9:$E$18896,Verbrauch!$A$9:$A$18896,"&gt;="&amp;A5,Verbrauch!$A$9:$A$18896,"&lt;"&amp;E5)+IF(COUNTIFS(Verbrauch!$A$9:$A$18896,"&gt;="&amp;A5,Verbrauch!$A$9:$A$18896,"&lt;"&amp;E5,Verbrauch!$C$9:$C$18896,"&lt;&gt;")&gt;0,Einstellungen!$B$7,0)</f>
        <v>0</v>
      </c>
      <c r="D5" s="25" t="str">
        <f aca="false">IFERROR(C5/B5*100,"")</f>
        <v/>
      </c>
      <c r="E5" s="26" t="n">
        <v>45992</v>
      </c>
    </row>
    <row r="6" customFormat="false" ht="13.5" hidden="false" customHeight="true" outlineLevel="0" collapsed="false">
      <c r="A6" s="24" t="n">
        <v>45992</v>
      </c>
      <c r="B6" s="22" t="n">
        <f aca="false">SUMIFS(Verbrauch!$C$9:$C$18896,Verbrauch!$A$9:$A$18896,"&gt;="&amp;A6,Verbrauch!$A$9:$A$18896,"&lt;"&amp;E6)</f>
        <v>0</v>
      </c>
      <c r="C6" s="23" t="n">
        <f aca="false">SUMIFS(Verbrauch!$E$9:$E$18896,Verbrauch!$A$9:$A$18896,"&gt;="&amp;A6,Verbrauch!$A$9:$A$18896,"&lt;"&amp;E6)+IF(COUNTIFS(Verbrauch!$A$9:$A$18896,"&gt;="&amp;A6,Verbrauch!$A$9:$A$18896,"&lt;"&amp;E6,Verbrauch!$C$9:$C$18896,"&lt;&gt;")&gt;0,Einstellungen!$B$7,0)</f>
        <v>0</v>
      </c>
      <c r="D6" s="25" t="str">
        <f aca="false">IFERROR(C6/B6*100,"")</f>
        <v/>
      </c>
      <c r="E6" s="26" t="n">
        <v>46023</v>
      </c>
    </row>
    <row r="7" customFormat="false" ht="13.5" hidden="false" customHeight="true" outlineLevel="0" collapsed="false">
      <c r="A7" s="24" t="n">
        <v>46023</v>
      </c>
      <c r="B7" s="22" t="n">
        <f aca="false">SUMIFS(Verbrauch!$C$9:$C$18896,Verbrauch!$A$9:$A$18896,"&gt;="&amp;A7,Verbrauch!$A$9:$A$18896,"&lt;"&amp;E7)</f>
        <v>0</v>
      </c>
      <c r="C7" s="23" t="n">
        <f aca="false">SUMIFS(Verbrauch!$E$9:$E$18896,Verbrauch!$A$9:$A$18896,"&gt;="&amp;A7,Verbrauch!$A$9:$A$18896,"&lt;"&amp;E7)+IF(COUNTIFS(Verbrauch!$A$9:$A$18896,"&gt;="&amp;A7,Verbrauch!$A$9:$A$18896,"&lt;"&amp;E7,Verbrauch!$C$9:$C$18896,"&lt;&gt;")&gt;0,Einstellungen!$B$7,0)</f>
        <v>0</v>
      </c>
      <c r="D7" s="25" t="str">
        <f aca="false">IFERROR(C7/B7*100,"")</f>
        <v/>
      </c>
      <c r="E7" s="26" t="n">
        <v>46054</v>
      </c>
    </row>
    <row r="8" customFormat="false" ht="13.5" hidden="false" customHeight="true" outlineLevel="0" collapsed="false">
      <c r="A8" s="24" t="n">
        <v>46054</v>
      </c>
      <c r="B8" s="22" t="n">
        <f aca="false">SUMIFS(Verbrauch!$C$9:$C$18896,Verbrauch!$A$9:$A$18896,"&gt;="&amp;A8,Verbrauch!$A$9:$A$18896,"&lt;"&amp;E8)</f>
        <v>0</v>
      </c>
      <c r="C8" s="23" t="n">
        <f aca="false">SUMIFS(Verbrauch!$E$9:$E$18896,Verbrauch!$A$9:$A$18896,"&gt;="&amp;A8,Verbrauch!$A$9:$A$18896,"&lt;"&amp;E8)+IF(COUNTIFS(Verbrauch!$A$9:$A$18896,"&gt;="&amp;A8,Verbrauch!$A$9:$A$18896,"&lt;"&amp;E8,Verbrauch!$C$9:$C$18896,"&lt;&gt;")&gt;0,Einstellungen!$B$7,0)</f>
        <v>0</v>
      </c>
      <c r="D8" s="25" t="str">
        <f aca="false">IFERROR(C8/B8*100,"")</f>
        <v/>
      </c>
      <c r="E8" s="26" t="n">
        <v>46082</v>
      </c>
    </row>
    <row r="9" customFormat="false" ht="13.5" hidden="false" customHeight="true" outlineLevel="0" collapsed="false">
      <c r="A9" s="24" t="n">
        <v>46082</v>
      </c>
      <c r="B9" s="22" t="n">
        <f aca="false">SUMIFS(Verbrauch!$C$9:$C$18896,Verbrauch!$A$9:$A$18896,"&gt;="&amp;A9,Verbrauch!$A$9:$A$18896,"&lt;"&amp;E9)</f>
        <v>0</v>
      </c>
      <c r="C9" s="23" t="n">
        <f aca="false">SUMIFS(Verbrauch!$E$9:$E$18896,Verbrauch!$A$9:$A$18896,"&gt;="&amp;A9,Verbrauch!$A$9:$A$18896,"&lt;"&amp;E9)+IF(COUNTIFS(Verbrauch!$A$9:$A$18896,"&gt;="&amp;A9,Verbrauch!$A$9:$A$18896,"&lt;"&amp;E9,Verbrauch!$C$9:$C$18896,"&lt;&gt;")&gt;0,Einstellungen!$B$7,0)</f>
        <v>0</v>
      </c>
      <c r="D9" s="25" t="str">
        <f aca="false">IFERROR(C9/B9*100,"")</f>
        <v/>
      </c>
      <c r="E9" s="26" t="n">
        <v>46113</v>
      </c>
    </row>
    <row r="10" customFormat="false" ht="13.5" hidden="false" customHeight="true" outlineLevel="0" collapsed="false">
      <c r="A10" s="24" t="n">
        <v>46113</v>
      </c>
      <c r="B10" s="22" t="n">
        <f aca="false">SUMIFS(Verbrauch!$C$9:$C$18896,Verbrauch!$A$9:$A$18896,"&gt;="&amp;A10,Verbrauch!$A$9:$A$18896,"&lt;"&amp;E10)</f>
        <v>0</v>
      </c>
      <c r="C10" s="23" t="n">
        <f aca="false">SUMIFS(Verbrauch!$E$9:$E$18896,Verbrauch!$A$9:$A$18896,"&gt;="&amp;A10,Verbrauch!$A$9:$A$18896,"&lt;"&amp;E10)+IF(COUNTIFS(Verbrauch!$A$9:$A$18896,"&gt;="&amp;A10,Verbrauch!$A$9:$A$18896,"&lt;"&amp;E10,Verbrauch!$C$9:$C$18896,"&lt;&gt;")&gt;0,Einstellungen!$B$7,0)</f>
        <v>0</v>
      </c>
      <c r="D10" s="25" t="str">
        <f aca="false">IFERROR(C10/B10*100,"")</f>
        <v/>
      </c>
      <c r="E10" s="26" t="n">
        <v>46143</v>
      </c>
    </row>
    <row r="11" customFormat="false" ht="13.5" hidden="false" customHeight="true" outlineLevel="0" collapsed="false">
      <c r="A11" s="24" t="n">
        <v>46143</v>
      </c>
      <c r="B11" s="22" t="n">
        <f aca="false">SUMIFS(Verbrauch!$C$9:$C$18896,Verbrauch!$A$9:$A$18896,"&gt;="&amp;A11,Verbrauch!$A$9:$A$18896,"&lt;"&amp;E11)</f>
        <v>0</v>
      </c>
      <c r="C11" s="23" t="n">
        <f aca="false">SUMIFS(Verbrauch!$E$9:$E$18896,Verbrauch!$A$9:$A$18896,"&gt;="&amp;A11,Verbrauch!$A$9:$A$18896,"&lt;"&amp;E11)+IF(COUNTIFS(Verbrauch!$A$9:$A$18896,"&gt;="&amp;A11,Verbrauch!$A$9:$A$18896,"&lt;"&amp;E11,Verbrauch!$C$9:$C$18896,"&lt;&gt;")&gt;0,Einstellungen!$B$7,0)</f>
        <v>0</v>
      </c>
      <c r="D11" s="25" t="str">
        <f aca="false">IFERROR(C11/B11*100,"")</f>
        <v/>
      </c>
      <c r="E11" s="26" t="n">
        <v>46174</v>
      </c>
    </row>
    <row r="12" customFormat="false" ht="13.5" hidden="false" customHeight="true" outlineLevel="0" collapsed="false">
      <c r="A12" s="24" t="n">
        <v>46174</v>
      </c>
      <c r="B12" s="22" t="n">
        <f aca="false">SUMIFS(Verbrauch!$C$9:$C$18896,Verbrauch!$A$9:$A$18896,"&gt;="&amp;A12,Verbrauch!$A$9:$A$18896,"&lt;"&amp;E12)</f>
        <v>0</v>
      </c>
      <c r="C12" s="23" t="n">
        <f aca="false">SUMIFS(Verbrauch!$E$9:$E$18896,Verbrauch!$A$9:$A$18896,"&gt;="&amp;A12,Verbrauch!$A$9:$A$18896,"&lt;"&amp;E12)+IF(COUNTIFS(Verbrauch!$A$9:$A$18896,"&gt;="&amp;A12,Verbrauch!$A$9:$A$18896,"&lt;"&amp;E12,Verbrauch!$C$9:$C$18896,"&lt;&gt;")&gt;0,Einstellungen!$B$7,0)</f>
        <v>0</v>
      </c>
      <c r="D12" s="25" t="str">
        <f aca="false">IFERROR(C12/B12*100,"")</f>
        <v/>
      </c>
      <c r="E12" s="26" t="n">
        <v>46204</v>
      </c>
    </row>
    <row r="13" customFormat="false" ht="13.5" hidden="false" customHeight="true" outlineLevel="0" collapsed="false">
      <c r="A13" s="24" t="n">
        <v>46204</v>
      </c>
      <c r="B13" s="22" t="n">
        <f aca="false">SUMIFS(Verbrauch!$C$9:$C$18896,Verbrauch!$A$9:$A$18896,"&gt;="&amp;A13,Verbrauch!$A$9:$A$18896,"&lt;"&amp;E13)</f>
        <v>0</v>
      </c>
      <c r="C13" s="23" t="n">
        <f aca="false">SUMIFS(Verbrauch!$E$9:$E$18896,Verbrauch!$A$9:$A$18896,"&gt;="&amp;A13,Verbrauch!$A$9:$A$18896,"&lt;"&amp;E13)+IF(COUNTIFS(Verbrauch!$A$9:$A$18896,"&gt;="&amp;A13,Verbrauch!$A$9:$A$18896,"&lt;"&amp;E13,Verbrauch!$C$9:$C$18896,"&lt;&gt;")&gt;0,Einstellungen!$B$7,0)</f>
        <v>0</v>
      </c>
      <c r="D13" s="25" t="str">
        <f aca="false">IFERROR(C13/B13*100,"")</f>
        <v/>
      </c>
      <c r="E13" s="26" t="n">
        <v>46235</v>
      </c>
    </row>
    <row r="14" customFormat="false" ht="13.5" hidden="false" customHeight="true" outlineLevel="0" collapsed="false">
      <c r="A14" s="24" t="n">
        <v>46235</v>
      </c>
      <c r="B14" s="22" t="n">
        <f aca="false">SUMIFS(Verbrauch!$C$9:$C$18896,Verbrauch!$A$9:$A$18896,"&gt;="&amp;A14,Verbrauch!$A$9:$A$18896,"&lt;"&amp;E14)</f>
        <v>0</v>
      </c>
      <c r="C14" s="23" t="n">
        <f aca="false">SUMIFS(Verbrauch!$E$9:$E$18896,Verbrauch!$A$9:$A$18896,"&gt;="&amp;A14,Verbrauch!$A$9:$A$18896,"&lt;"&amp;E14)+IF(COUNTIFS(Verbrauch!$A$9:$A$18896,"&gt;="&amp;A14,Verbrauch!$A$9:$A$18896,"&lt;"&amp;E14,Verbrauch!$C$9:$C$18896,"&lt;&gt;")&gt;0,Einstellungen!$B$7,0)</f>
        <v>0</v>
      </c>
      <c r="D14" s="25" t="str">
        <f aca="false">IFERROR(C14/B14*100,"")</f>
        <v/>
      </c>
      <c r="E14" s="26" t="n">
        <v>46266</v>
      </c>
    </row>
    <row r="15" customFormat="false" ht="13.5" hidden="false" customHeight="true" outlineLevel="0" collapsed="false">
      <c r="A15" s="24" t="n">
        <v>46266</v>
      </c>
      <c r="B15" s="22" t="n">
        <f aca="false">SUMIFS(Verbrauch!$C$9:$C$18896,Verbrauch!$A$9:$A$18896,"&gt;="&amp;A15,Verbrauch!$A$9:$A$18896,"&lt;"&amp;E15)</f>
        <v>0</v>
      </c>
      <c r="C15" s="23" t="n">
        <f aca="false">SUMIFS(Verbrauch!$E$9:$E$18896,Verbrauch!$A$9:$A$18896,"&gt;="&amp;A15,Verbrauch!$A$9:$A$18896,"&lt;"&amp;E15)+IF(COUNTIFS(Verbrauch!$A$9:$A$18896,"&gt;="&amp;A15,Verbrauch!$A$9:$A$18896,"&lt;"&amp;E15,Verbrauch!$C$9:$C$18896,"&lt;&gt;")&gt;0,Einstellungen!$B$7,0)</f>
        <v>0</v>
      </c>
      <c r="D15" s="25" t="str">
        <f aca="false">IFERROR(C15/B15*100,"")</f>
        <v/>
      </c>
      <c r="E15" s="26" t="n">
        <v>46296</v>
      </c>
    </row>
    <row r="16" customFormat="false" ht="13.5" hidden="false" customHeight="true" outlineLevel="0" collapsed="false">
      <c r="A16" s="24" t="n">
        <v>46296</v>
      </c>
      <c r="B16" s="22" t="n">
        <f aca="false">SUMIFS(Verbrauch!$C$9:$C$18896,Verbrauch!$A$9:$A$18896,"&gt;="&amp;A16,Verbrauch!$A$9:$A$18896,"&lt;"&amp;E16)</f>
        <v>0</v>
      </c>
      <c r="C16" s="23" t="n">
        <f aca="false">SUMIFS(Verbrauch!$E$9:$E$18896,Verbrauch!$A$9:$A$18896,"&gt;="&amp;A16,Verbrauch!$A$9:$A$18896,"&lt;"&amp;E16)+IF(COUNTIFS(Verbrauch!$A$9:$A$18896,"&gt;="&amp;A16,Verbrauch!$A$9:$A$18896,"&lt;"&amp;E16,Verbrauch!$C$9:$C$18896,"&lt;&gt;")&gt;0,Einstellungen!$B$7,0)</f>
        <v>0</v>
      </c>
      <c r="D16" s="25" t="str">
        <f aca="false">IFERROR(C16/B16*100,"")</f>
        <v/>
      </c>
      <c r="E16" s="26" t="n">
        <v>46327</v>
      </c>
    </row>
    <row r="17" customFormat="false" ht="13.5" hidden="false" customHeight="true" outlineLevel="0" collapsed="false">
      <c r="A17" s="24" t="n">
        <v>46327</v>
      </c>
      <c r="B17" s="22" t="n">
        <f aca="false">SUMIFS(Verbrauch!$C$9:$C$18896,Verbrauch!$A$9:$A$18896,"&gt;="&amp;A17,Verbrauch!$A$9:$A$18896,"&lt;"&amp;E17)</f>
        <v>0</v>
      </c>
      <c r="C17" s="23" t="n">
        <f aca="false">SUMIFS(Verbrauch!$E$9:$E$18896,Verbrauch!$A$9:$A$18896,"&gt;="&amp;A17,Verbrauch!$A$9:$A$18896,"&lt;"&amp;E17)+IF(COUNTIFS(Verbrauch!$A$9:$A$18896,"&gt;="&amp;A17,Verbrauch!$A$9:$A$18896,"&lt;"&amp;E17,Verbrauch!$C$9:$C$18896,"&lt;&gt;")&gt;0,Einstellungen!$B$7,0)</f>
        <v>0</v>
      </c>
      <c r="D17" s="25" t="str">
        <f aca="false">IFERROR(C17/B17*100,"")</f>
        <v/>
      </c>
      <c r="E17" s="26" t="n">
        <v>46357</v>
      </c>
    </row>
    <row r="18" customFormat="false" ht="13.5" hidden="false" customHeight="true" outlineLevel="0" collapsed="false">
      <c r="A18" s="24" t="n">
        <v>46357</v>
      </c>
      <c r="B18" s="22" t="n">
        <f aca="false">SUMIFS(Verbrauch!$C$9:$C$18896,Verbrauch!$A$9:$A$18896,"&gt;="&amp;A18,Verbrauch!$A$9:$A$18896,"&lt;"&amp;E18)</f>
        <v>0</v>
      </c>
      <c r="C18" s="23" t="n">
        <f aca="false">SUMIFS(Verbrauch!$E$9:$E$18896,Verbrauch!$A$9:$A$18896,"&gt;="&amp;A18,Verbrauch!$A$9:$A$18896,"&lt;"&amp;E18)+IF(COUNTIFS(Verbrauch!$A$9:$A$18896,"&gt;="&amp;A18,Verbrauch!$A$9:$A$18896,"&lt;"&amp;E18,Verbrauch!$C$9:$C$18896,"&lt;&gt;")&gt;0,Einstellungen!$B$7,0)</f>
        <v>0</v>
      </c>
      <c r="D18" s="25" t="str">
        <f aca="false">IFERROR(C18/B18*100,"")</f>
        <v/>
      </c>
      <c r="E18" s="26" t="n">
        <v>46388</v>
      </c>
    </row>
    <row r="19" customFormat="false" ht="13.5" hidden="false" customHeight="true" outlineLevel="0" collapsed="false">
      <c r="A19" s="24" t="n">
        <v>46388</v>
      </c>
      <c r="B19" s="22" t="n">
        <f aca="false">SUMIFS(Verbrauch!$C$9:$C$18896,Verbrauch!$A$9:$A$18896,"&gt;="&amp;A19,Verbrauch!$A$9:$A$18896,"&lt;"&amp;E19)</f>
        <v>0</v>
      </c>
      <c r="C19" s="23" t="n">
        <f aca="false">SUMIFS(Verbrauch!$E$9:$E$18896,Verbrauch!$A$9:$A$18896,"&gt;="&amp;A19,Verbrauch!$A$9:$A$18896,"&lt;"&amp;E19)+IF(COUNTIFS(Verbrauch!$A$9:$A$18896,"&gt;="&amp;A19,Verbrauch!$A$9:$A$18896,"&lt;"&amp;E19,Verbrauch!$C$9:$C$18896,"&lt;&gt;")&gt;0,Einstellungen!$B$7,0)</f>
        <v>0</v>
      </c>
      <c r="D19" s="25" t="str">
        <f aca="false">IFERROR(C19/B19*100,"")</f>
        <v/>
      </c>
      <c r="E19" s="26" t="n">
        <v>46419</v>
      </c>
    </row>
    <row r="20" customFormat="false" ht="13.5" hidden="false" customHeight="true" outlineLevel="0" collapsed="false">
      <c r="A20" s="24" t="n">
        <v>46419</v>
      </c>
      <c r="B20" s="22" t="n">
        <f aca="false">SUMIFS(Verbrauch!$C$9:$C$18896,Verbrauch!$A$9:$A$18896,"&gt;="&amp;A20,Verbrauch!$A$9:$A$18896,"&lt;"&amp;E20)</f>
        <v>0</v>
      </c>
      <c r="C20" s="23" t="n">
        <f aca="false">SUMIFS(Verbrauch!$E$9:$E$18896,Verbrauch!$A$9:$A$18896,"&gt;="&amp;A20,Verbrauch!$A$9:$A$18896,"&lt;"&amp;E20)+IF(COUNTIFS(Verbrauch!$A$9:$A$18896,"&gt;="&amp;A20,Verbrauch!$A$9:$A$18896,"&lt;"&amp;E20,Verbrauch!$C$9:$C$18896,"&lt;&gt;")&gt;0,Einstellungen!$B$7,0)</f>
        <v>0</v>
      </c>
      <c r="D20" s="25" t="str">
        <f aca="false">IFERROR(C20/B20*100,"")</f>
        <v/>
      </c>
      <c r="E20" s="26" t="n">
        <v>46447</v>
      </c>
    </row>
    <row r="21" customFormat="false" ht="13.5" hidden="false" customHeight="true" outlineLevel="0" collapsed="false">
      <c r="A21" s="24" t="n">
        <v>46447</v>
      </c>
      <c r="B21" s="22" t="n">
        <f aca="false">SUMIFS(Verbrauch!$C$9:$C$18896,Verbrauch!$A$9:$A$18896,"&gt;="&amp;A21,Verbrauch!$A$9:$A$18896,"&lt;"&amp;E21)</f>
        <v>0</v>
      </c>
      <c r="C21" s="23" t="n">
        <f aca="false">SUMIFS(Verbrauch!$E$9:$E$18896,Verbrauch!$A$9:$A$18896,"&gt;="&amp;A21,Verbrauch!$A$9:$A$18896,"&lt;"&amp;E21)+IF(COUNTIFS(Verbrauch!$A$9:$A$18896,"&gt;="&amp;A21,Verbrauch!$A$9:$A$18896,"&lt;"&amp;E21,Verbrauch!$C$9:$C$18896,"&lt;&gt;")&gt;0,Einstellungen!$B$7,0)</f>
        <v>0</v>
      </c>
      <c r="D21" s="25" t="str">
        <f aca="false">IFERROR(C21/B21*100,"")</f>
        <v/>
      </c>
      <c r="E21" s="26" t="n">
        <v>46478</v>
      </c>
    </row>
    <row r="22" customFormat="false" ht="13.5" hidden="false" customHeight="true" outlineLevel="0" collapsed="false">
      <c r="A22" s="24" t="n">
        <v>46478</v>
      </c>
      <c r="B22" s="22" t="n">
        <f aca="false">SUMIFS(Verbrauch!$C$9:$C$18896,Verbrauch!$A$9:$A$18896,"&gt;="&amp;A22,Verbrauch!$A$9:$A$18896,"&lt;"&amp;E22)</f>
        <v>0</v>
      </c>
      <c r="C22" s="23" t="n">
        <f aca="false">SUMIFS(Verbrauch!$E$9:$E$18896,Verbrauch!$A$9:$A$18896,"&gt;="&amp;A22,Verbrauch!$A$9:$A$18896,"&lt;"&amp;E22)+IF(COUNTIFS(Verbrauch!$A$9:$A$18896,"&gt;="&amp;A22,Verbrauch!$A$9:$A$18896,"&lt;"&amp;E22,Verbrauch!$C$9:$C$18896,"&lt;&gt;")&gt;0,Einstellungen!$B$7,0)</f>
        <v>0</v>
      </c>
      <c r="D22" s="25" t="str">
        <f aca="false">IFERROR(C22/B22*100,"")</f>
        <v/>
      </c>
      <c r="E22" s="26" t="n">
        <v>46508</v>
      </c>
    </row>
    <row r="23" customFormat="false" ht="13.5" hidden="false" customHeight="true" outlineLevel="0" collapsed="false">
      <c r="A23" s="24" t="n">
        <v>46508</v>
      </c>
      <c r="B23" s="22" t="n">
        <f aca="false">SUMIFS(Verbrauch!$C$9:$C$18896,Verbrauch!$A$9:$A$18896,"&gt;="&amp;A23,Verbrauch!$A$9:$A$18896,"&lt;"&amp;E23)</f>
        <v>0</v>
      </c>
      <c r="C23" s="23" t="n">
        <f aca="false">SUMIFS(Verbrauch!$E$9:$E$18896,Verbrauch!$A$9:$A$18896,"&gt;="&amp;A23,Verbrauch!$A$9:$A$18896,"&lt;"&amp;E23)+IF(COUNTIFS(Verbrauch!$A$9:$A$18896,"&gt;="&amp;A23,Verbrauch!$A$9:$A$18896,"&lt;"&amp;E23,Verbrauch!$C$9:$C$18896,"&lt;&gt;")&gt;0,Einstellungen!$B$7,0)</f>
        <v>0</v>
      </c>
      <c r="D23" s="25" t="str">
        <f aca="false">IFERROR(C23/B23*100,"")</f>
        <v/>
      </c>
      <c r="E23" s="26" t="n">
        <v>46539</v>
      </c>
    </row>
    <row r="24" customFormat="false" ht="13.5" hidden="false" customHeight="true" outlineLevel="0" collapsed="false">
      <c r="A24" s="24" t="n">
        <v>46539</v>
      </c>
      <c r="B24" s="22" t="n">
        <f aca="false">SUMIFS(Verbrauch!$C$9:$C$18896,Verbrauch!$A$9:$A$18896,"&gt;="&amp;A24,Verbrauch!$A$9:$A$18896,"&lt;"&amp;E24)</f>
        <v>0</v>
      </c>
      <c r="C24" s="23" t="n">
        <f aca="false">SUMIFS(Verbrauch!$E$9:$E$18896,Verbrauch!$A$9:$A$18896,"&gt;="&amp;A24,Verbrauch!$A$9:$A$18896,"&lt;"&amp;E24)+IF(COUNTIFS(Verbrauch!$A$9:$A$18896,"&gt;="&amp;A24,Verbrauch!$A$9:$A$18896,"&lt;"&amp;E24,Verbrauch!$C$9:$C$18896,"&lt;&gt;")&gt;0,Einstellungen!$B$7,0)</f>
        <v>0</v>
      </c>
      <c r="D24" s="25" t="str">
        <f aca="false">IFERROR(C24/B24*100,"")</f>
        <v/>
      </c>
      <c r="E24" s="26" t="n">
        <v>46569</v>
      </c>
    </row>
    <row r="25" customFormat="false" ht="13.5" hidden="false" customHeight="true" outlineLevel="0" collapsed="false">
      <c r="A25" s="24" t="n">
        <v>46569</v>
      </c>
      <c r="B25" s="22" t="n">
        <f aca="false">SUMIFS(Verbrauch!$C$9:$C$18896,Verbrauch!$A$9:$A$18896,"&gt;="&amp;A25,Verbrauch!$A$9:$A$18896,"&lt;"&amp;E25)</f>
        <v>0</v>
      </c>
      <c r="C25" s="23" t="n">
        <f aca="false">SUMIFS(Verbrauch!$E$9:$E$18896,Verbrauch!$A$9:$A$18896,"&gt;="&amp;A25,Verbrauch!$A$9:$A$18896,"&lt;"&amp;E25)+IF(COUNTIFS(Verbrauch!$A$9:$A$18896,"&gt;="&amp;A25,Verbrauch!$A$9:$A$18896,"&lt;"&amp;E25,Verbrauch!$C$9:$C$18896,"&lt;&gt;")&gt;0,Einstellungen!$B$7,0)</f>
        <v>0</v>
      </c>
      <c r="D25" s="25" t="str">
        <f aca="false">IFERROR(C25/B25*100,"")</f>
        <v/>
      </c>
      <c r="E25" s="26" t="n">
        <v>46600</v>
      </c>
    </row>
    <row r="26" customFormat="false" ht="13.5" hidden="false" customHeight="true" outlineLevel="0" collapsed="false">
      <c r="A26" s="24" t="n">
        <v>46600</v>
      </c>
      <c r="B26" s="22" t="n">
        <f aca="false">SUMIFS(Verbrauch!$C$9:$C$18896,Verbrauch!$A$9:$A$18896,"&gt;="&amp;A26,Verbrauch!$A$9:$A$18896,"&lt;"&amp;E26)</f>
        <v>0</v>
      </c>
      <c r="C26" s="23" t="n">
        <f aca="false">SUMIFS(Verbrauch!$E$9:$E$18896,Verbrauch!$A$9:$A$18896,"&gt;="&amp;A26,Verbrauch!$A$9:$A$18896,"&lt;"&amp;E26)+IF(COUNTIFS(Verbrauch!$A$9:$A$18896,"&gt;="&amp;A26,Verbrauch!$A$9:$A$18896,"&lt;"&amp;E26,Verbrauch!$C$9:$C$18896,"&lt;&gt;")&gt;0,Einstellungen!$B$7,0)</f>
        <v>0</v>
      </c>
      <c r="D26" s="25" t="str">
        <f aca="false">IFERROR(C26/B26*100,"")</f>
        <v/>
      </c>
      <c r="E26" s="26" t="n">
        <v>46631</v>
      </c>
    </row>
    <row r="27" customFormat="false" ht="13.5" hidden="false" customHeight="true" outlineLevel="0" collapsed="false">
      <c r="A27" s="24" t="n">
        <v>46631</v>
      </c>
      <c r="B27" s="22" t="n">
        <f aca="false">SUMIFS(Verbrauch!$C$9:$C$18896,Verbrauch!$A$9:$A$18896,"&gt;="&amp;A27,Verbrauch!$A$9:$A$18896,"&lt;"&amp;E27)</f>
        <v>0</v>
      </c>
      <c r="C27" s="23" t="n">
        <f aca="false">SUMIFS(Verbrauch!$E$9:$E$18896,Verbrauch!$A$9:$A$18896,"&gt;="&amp;A27,Verbrauch!$A$9:$A$18896,"&lt;"&amp;E27)+IF(COUNTIFS(Verbrauch!$A$9:$A$18896,"&gt;="&amp;A27,Verbrauch!$A$9:$A$18896,"&lt;"&amp;E27,Verbrauch!$C$9:$C$18896,"&lt;&gt;")&gt;0,Einstellungen!$B$7,0)</f>
        <v>0</v>
      </c>
      <c r="D27" s="25" t="str">
        <f aca="false">IFERROR(C27/B27*100,"")</f>
        <v/>
      </c>
      <c r="E27" s="26" t="n">
        <v>46661</v>
      </c>
    </row>
    <row r="28" customFormat="false" ht="13.5" hidden="false" customHeight="true" outlineLevel="0" collapsed="false">
      <c r="A28" s="24" t="n">
        <v>46661</v>
      </c>
      <c r="B28" s="22" t="n">
        <f aca="false">SUMIFS(Verbrauch!$C$9:$C$18896,Verbrauch!$A$9:$A$18896,"&gt;="&amp;A28,Verbrauch!$A$9:$A$18896,"&lt;"&amp;E28)</f>
        <v>0</v>
      </c>
      <c r="C28" s="23" t="n">
        <f aca="false">SUMIFS(Verbrauch!$E$9:$E$18896,Verbrauch!$A$9:$A$18896,"&gt;="&amp;A28,Verbrauch!$A$9:$A$18896,"&lt;"&amp;E28)+IF(COUNTIFS(Verbrauch!$A$9:$A$18896,"&gt;="&amp;A28,Verbrauch!$A$9:$A$18896,"&lt;"&amp;E28,Verbrauch!$C$9:$C$18896,"&lt;&gt;")&gt;0,Einstellungen!$B$7,0)</f>
        <v>0</v>
      </c>
      <c r="D28" s="25" t="str">
        <f aca="false">IFERROR(C28/B28*100,"")</f>
        <v/>
      </c>
      <c r="E28" s="26" t="n">
        <v>46692</v>
      </c>
    </row>
    <row r="29" customFormat="false" ht="13.5" hidden="false" customHeight="true" outlineLevel="0" collapsed="false">
      <c r="A29" s="24" t="n">
        <v>46692</v>
      </c>
      <c r="B29" s="22" t="n">
        <f aca="false">SUMIFS(Verbrauch!$C$9:$C$18896,Verbrauch!$A$9:$A$18896,"&gt;="&amp;A29,Verbrauch!$A$9:$A$18896,"&lt;"&amp;E29)</f>
        <v>0</v>
      </c>
      <c r="C29" s="23" t="n">
        <f aca="false">SUMIFS(Verbrauch!$E$9:$E$18896,Verbrauch!$A$9:$A$18896,"&gt;="&amp;A29,Verbrauch!$A$9:$A$18896,"&lt;"&amp;E29)+IF(COUNTIFS(Verbrauch!$A$9:$A$18896,"&gt;="&amp;A29,Verbrauch!$A$9:$A$18896,"&lt;"&amp;E29,Verbrauch!$C$9:$C$18896,"&lt;&gt;")&gt;0,Einstellungen!$B$7,0)</f>
        <v>0</v>
      </c>
      <c r="D29" s="25" t="str">
        <f aca="false">IFERROR(C29/B29*100,"")</f>
        <v/>
      </c>
      <c r="E29" s="26" t="n">
        <v>46722</v>
      </c>
    </row>
    <row r="30" customFormat="false" ht="13.5" hidden="false" customHeight="true" outlineLevel="0" collapsed="false">
      <c r="A30" s="24" t="n">
        <v>46722</v>
      </c>
      <c r="B30" s="22" t="n">
        <f aca="false">SUMIFS(Verbrauch!$C$9:$C$18896,Verbrauch!$A$9:$A$18896,"&gt;="&amp;A30,Verbrauch!$A$9:$A$18896,"&lt;"&amp;E30)</f>
        <v>0</v>
      </c>
      <c r="C30" s="23" t="n">
        <f aca="false">SUMIFS(Verbrauch!$E$9:$E$18896,Verbrauch!$A$9:$A$18896,"&gt;="&amp;A30,Verbrauch!$A$9:$A$18896,"&lt;"&amp;E30)+IF(COUNTIFS(Verbrauch!$A$9:$A$18896,"&gt;="&amp;A30,Verbrauch!$A$9:$A$18896,"&lt;"&amp;E30,Verbrauch!$C$9:$C$18896,"&lt;&gt;")&gt;0,Einstellungen!$B$7,0)</f>
        <v>0</v>
      </c>
      <c r="D30" s="25" t="str">
        <f aca="false">IFERROR(C30/B30*100,"")</f>
        <v/>
      </c>
      <c r="E30" s="26" t="n">
        <v>46753</v>
      </c>
    </row>
  </sheetData>
  <mergeCells count="2">
    <mergeCell ref="A1:D1"/>
    <mergeCell ref="F1: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1" min="1" style="1" width="9"/>
    <col collapsed="false" customWidth="true" hidden="false" outlineLevel="0" max="3" min="2" style="1" width="13"/>
    <col collapsed="false" customWidth="true" hidden="false" outlineLevel="0" max="4" min="4" style="1" width="22"/>
    <col collapsed="false" customWidth="true" hidden="false" outlineLevel="0" max="5" min="5" style="1" width="17"/>
    <col collapsed="false" customWidth="true" hidden="false" outlineLevel="0" max="6" min="6" style="1" width="22"/>
    <col collapsed="false" customWidth="true" hidden="false" outlineLevel="0" max="7" min="7" style="1" width="28"/>
    <col collapsed="false" customWidth="true" hidden="false" outlineLevel="0" max="8" min="8" style="1" width="24"/>
    <col collapsed="false" customWidth="true" hidden="false" outlineLevel="0" max="9" min="9" style="1" width="15"/>
  </cols>
  <sheetData>
    <row r="1" customFormat="false" ht="17.25" hidden="false" customHeight="true" outlineLevel="0" collapsed="false">
      <c r="A1" s="2" t="s">
        <v>39</v>
      </c>
      <c r="B1" s="2"/>
      <c r="C1" s="2"/>
      <c r="D1" s="2"/>
      <c r="E1" s="2"/>
      <c r="F1" s="2"/>
      <c r="G1" s="2"/>
      <c r="H1" s="2"/>
      <c r="I1" s="2"/>
    </row>
    <row r="2" customFormat="false" ht="37.5" hidden="false" customHeight="true" outlineLevel="0" collapsed="false">
      <c r="A2" s="21" t="s">
        <v>40</v>
      </c>
      <c r="B2" s="21"/>
      <c r="C2" s="21"/>
      <c r="D2" s="21"/>
      <c r="E2" s="21"/>
      <c r="F2" s="21"/>
      <c r="G2" s="21"/>
      <c r="H2" s="21"/>
      <c r="I2" s="21"/>
    </row>
    <row r="3" customFormat="false" ht="13.5" hidden="false" customHeight="true" outlineLevel="0" collapsed="false"/>
    <row r="4" customFormat="false" ht="13.5" hidden="false" customHeight="true" outlineLevel="0" collapsed="false">
      <c r="A4" s="9" t="s">
        <v>41</v>
      </c>
      <c r="B4" s="9" t="s">
        <v>42</v>
      </c>
      <c r="C4" s="9" t="s">
        <v>43</v>
      </c>
      <c r="D4" s="9" t="s">
        <v>23</v>
      </c>
      <c r="E4" s="9" t="s">
        <v>24</v>
      </c>
      <c r="F4" s="9" t="s">
        <v>25</v>
      </c>
      <c r="G4" s="9" t="s">
        <v>44</v>
      </c>
      <c r="H4" s="9" t="s">
        <v>37</v>
      </c>
      <c r="I4" s="9" t="s">
        <v>5</v>
      </c>
    </row>
    <row r="5" customFormat="false" ht="13.5" hidden="false" customHeight="true" outlineLevel="0" collapsed="false">
      <c r="A5" s="11" t="n">
        <v>2025</v>
      </c>
      <c r="B5" s="10" t="n">
        <v>45658</v>
      </c>
      <c r="C5" s="10" t="n">
        <v>46023</v>
      </c>
      <c r="D5" s="22" t="n">
        <f aca="false">SUMIFS(Verbrauch!$C$9:$C$18896,Verbrauch!$A$9:$A$18896,"&gt;="&amp;B5,Verbrauch!$A$9:$A$18896,"&lt;"&amp;C5)</f>
        <v>0</v>
      </c>
      <c r="E5" s="22" t="n">
        <f aca="false">SUMIFS(Verbrauch!$C$9:$C$18896,Verbrauch!$A$9:$A$18896,"&gt;="&amp;B5,Verbrauch!$A$9:$A$18896,"&lt;"&amp;C5,Verbrauch!$F$9:$F$18896,"Go")</f>
        <v>0</v>
      </c>
      <c r="F5" s="22" t="n">
        <f aca="false">SUMIFS(Verbrauch!$C$9:$C$18896,Verbrauch!$A$9:$A$18896,"&gt;="&amp;B5,Verbrauch!$A$9:$A$18896,"&lt;"&amp;C5,Verbrauch!$F$9:$F$18896,"Standard")</f>
        <v>0</v>
      </c>
      <c r="G5" s="23" t="n">
        <f aca="false">SUMIFS(Monatsübersicht!$C$5:$C$30,Monatsübersicht!$A$5:$A$30,"&gt;="&amp;B5,Monatsübersicht!$A$5:$A$30,"&lt;"&amp;C5)</f>
        <v>0</v>
      </c>
      <c r="H5" s="13" t="str">
        <f aca="false">IFERROR(G5/D5*100,"")</f>
        <v/>
      </c>
      <c r="I5" s="11" t="n">
        <f aca="false">COUNTIFS(Verbrauch!$A$9:$A$18896,"&gt;="&amp;B5,Verbrauch!$A$9:$A$18896,"&lt;"&amp;C5,Verbrauch!$C$9:$C$18896,"&lt;&gt;")</f>
        <v>0</v>
      </c>
    </row>
    <row r="6" customFormat="false" ht="13.5" hidden="false" customHeight="true" outlineLevel="0" collapsed="false">
      <c r="A6" s="11" t="n">
        <v>2026</v>
      </c>
      <c r="B6" s="10" t="n">
        <v>46023</v>
      </c>
      <c r="C6" s="10" t="n">
        <v>46388</v>
      </c>
      <c r="D6" s="22" t="n">
        <f aca="false">SUMIFS(Verbrauch!$C$9:$C$18896,Verbrauch!$A$9:$A$18896,"&gt;="&amp;B6,Verbrauch!$A$9:$A$18896,"&lt;"&amp;C6)</f>
        <v>0</v>
      </c>
      <c r="E6" s="22" t="n">
        <f aca="false">SUMIFS(Verbrauch!$C$9:$C$18896,Verbrauch!$A$9:$A$18896,"&gt;="&amp;B6,Verbrauch!$A$9:$A$18896,"&lt;"&amp;C6,Verbrauch!$F$9:$F$18896,"Go")</f>
        <v>0</v>
      </c>
      <c r="F6" s="22" t="n">
        <f aca="false">SUMIFS(Verbrauch!$C$9:$C$18896,Verbrauch!$A$9:$A$18896,"&gt;="&amp;B6,Verbrauch!$A$9:$A$18896,"&lt;"&amp;C6,Verbrauch!$F$9:$F$18896,"Standard")</f>
        <v>0</v>
      </c>
      <c r="G6" s="23" t="n">
        <f aca="false">SUMIFS(Monatsübersicht!$C$5:$C$30,Monatsübersicht!$A$5:$A$30,"&gt;="&amp;B6,Monatsübersicht!$A$5:$A$30,"&lt;"&amp;C6)</f>
        <v>0</v>
      </c>
      <c r="H6" s="13" t="str">
        <f aca="false">IFERROR(G6/D6*100,"")</f>
        <v/>
      </c>
      <c r="I6" s="11" t="n">
        <f aca="false">COUNTIFS(Verbrauch!$A$9:$A$18896,"&gt;="&amp;B6,Verbrauch!$A$9:$A$18896,"&lt;"&amp;C6,Verbrauch!$C$9:$C$18896,"&lt;&gt;")</f>
        <v>0</v>
      </c>
    </row>
    <row r="7" customFormat="false" ht="13.5" hidden="false" customHeight="true" outlineLevel="0" collapsed="false">
      <c r="A7" s="11" t="n">
        <v>2027</v>
      </c>
      <c r="B7" s="10" t="n">
        <v>46388</v>
      </c>
      <c r="C7" s="10" t="n">
        <v>46753</v>
      </c>
      <c r="D7" s="22" t="n">
        <f aca="false">SUMIFS(Verbrauch!$C$9:$C$18896,Verbrauch!$A$9:$A$18896,"&gt;="&amp;B7,Verbrauch!$A$9:$A$18896,"&lt;"&amp;C7)</f>
        <v>0</v>
      </c>
      <c r="E7" s="22" t="n">
        <f aca="false">SUMIFS(Verbrauch!$C$9:$C$18896,Verbrauch!$A$9:$A$18896,"&gt;="&amp;B7,Verbrauch!$A$9:$A$18896,"&lt;"&amp;C7,Verbrauch!$F$9:$F$18896,"Go")</f>
        <v>0</v>
      </c>
      <c r="F7" s="22" t="n">
        <f aca="false">SUMIFS(Verbrauch!$C$9:$C$18896,Verbrauch!$A$9:$A$18896,"&gt;="&amp;B7,Verbrauch!$A$9:$A$18896,"&lt;"&amp;C7,Verbrauch!$F$9:$F$18896,"Standard")</f>
        <v>0</v>
      </c>
      <c r="G7" s="23" t="n">
        <f aca="false">SUMIFS(Monatsübersicht!$C$5:$C$30,Monatsübersicht!$A$5:$A$30,"&gt;="&amp;B7,Monatsübersicht!$A$5:$A$30,"&lt;"&amp;C7)</f>
        <v>0</v>
      </c>
      <c r="H7" s="13" t="str">
        <f aca="false">IFERROR(G7/D7*100,"")</f>
        <v/>
      </c>
      <c r="I7" s="11" t="n">
        <f aca="false">COUNTIFS(Verbrauch!$A$9:$A$18896,"&gt;="&amp;B7,Verbrauch!$A$9:$A$18896,"&lt;"&amp;C7,Verbrauch!$C$9:$C$18896,"&lt;&gt;")</f>
        <v>0</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75" customHeight="true" zeroHeight="false" outlineLevelRow="0" outlineLevelCol="0"/>
  <cols>
    <col collapsed="false" customWidth="true" hidden="false" outlineLevel="0" max="1" min="1" style="1" width="14"/>
    <col collapsed="false" customWidth="true" hidden="false" outlineLevel="0" max="10" min="2" style="1" width="12"/>
    <col collapsed="false" customWidth="true" hidden="true" outlineLevel="0" max="12" min="11" style="1" width="12"/>
    <col collapsed="false" customWidth="true" hidden="false" outlineLevel="0" max="14" min="13" style="1" width="12"/>
  </cols>
  <sheetData>
    <row r="1" customFormat="false" ht="17.25" hidden="false" customHeight="true" outlineLevel="0" collapsed="false">
      <c r="A1" s="2" t="s">
        <v>45</v>
      </c>
      <c r="B1" s="2"/>
      <c r="C1" s="2"/>
      <c r="D1" s="2"/>
      <c r="E1" s="2"/>
      <c r="F1" s="2"/>
      <c r="G1" s="2"/>
      <c r="H1" s="2"/>
      <c r="I1" s="2"/>
      <c r="J1" s="2"/>
      <c r="K1" s="2"/>
      <c r="L1" s="2"/>
      <c r="M1" s="2"/>
      <c r="N1" s="2"/>
    </row>
    <row r="2" customFormat="false" ht="36" hidden="false" customHeight="true" outlineLevel="0" collapsed="false">
      <c r="A2" s="21" t="s">
        <v>46</v>
      </c>
      <c r="B2" s="21"/>
      <c r="C2" s="21"/>
      <c r="D2" s="21"/>
      <c r="E2" s="21"/>
      <c r="F2" s="21"/>
      <c r="G2" s="21"/>
      <c r="H2" s="21"/>
      <c r="I2" s="21"/>
      <c r="J2" s="21"/>
      <c r="K2" s="21"/>
      <c r="L2" s="21"/>
      <c r="M2" s="21"/>
      <c r="N2" s="21"/>
    </row>
    <row r="3" customFormat="false" ht="15" hidden="false" customHeight="true" outlineLevel="0" collapsed="false">
      <c r="A3" s="21"/>
      <c r="B3" s="21"/>
      <c r="C3" s="21"/>
      <c r="D3" s="21"/>
      <c r="E3" s="21"/>
      <c r="F3" s="21"/>
      <c r="G3" s="21"/>
      <c r="H3" s="21"/>
      <c r="I3" s="21"/>
      <c r="J3" s="21"/>
      <c r="K3" s="21"/>
      <c r="L3" s="21"/>
      <c r="M3" s="21"/>
      <c r="N3" s="21"/>
    </row>
    <row r="4" customFormat="false" ht="13.5" hidden="false" customHeight="true" outlineLevel="0" collapsed="false"/>
    <row r="5" customFormat="false" ht="13.5" hidden="false" customHeight="true" outlineLevel="0" collapsed="false"/>
    <row r="6" customFormat="false" ht="13.5" hidden="false" customHeight="true" outlineLevel="0" collapsed="false"/>
    <row r="7" customFormat="false" ht="13.5" hidden="false" customHeight="true" outlineLevel="0" collapsed="false"/>
    <row r="8" customFormat="false" ht="13.5" hidden="false" customHeight="true" outlineLevel="0" collapsed="false">
      <c r="K8" s="1" t="s">
        <v>47</v>
      </c>
    </row>
    <row r="9" customFormat="false" ht="13.5" hidden="false" customHeight="true" outlineLevel="0" collapsed="false">
      <c r="K9" s="9" t="s">
        <v>11</v>
      </c>
      <c r="L9" s="1" t="s">
        <v>8</v>
      </c>
    </row>
    <row r="10" customFormat="false" ht="13.5" hidden="false" customHeight="true" outlineLevel="0" collapsed="false">
      <c r="K10" s="1" t="s">
        <v>48</v>
      </c>
      <c r="L10" s="22" t="n">
        <f aca="false">SUMIFS(Verbrauch!$C$9:$C$18896,Verbrauch!$F$9:$F$18896,K10)</f>
        <v>0</v>
      </c>
    </row>
    <row r="11" customFormat="false" ht="13.5" hidden="false" customHeight="true" outlineLevel="0" collapsed="false">
      <c r="A11" s="1" t="s">
        <v>49</v>
      </c>
      <c r="K11" s="1" t="s">
        <v>50</v>
      </c>
      <c r="L11" s="22" t="n">
        <f aca="false">SUMIFS(Verbrauch!$C$9:$C$18896,Verbrauch!$F$9:$F$18896,K11)</f>
        <v>0</v>
      </c>
    </row>
    <row r="12" customFormat="false" ht="13.5" hidden="false" customHeight="true" outlineLevel="0" collapsed="false"/>
    <row r="13" customFormat="false" ht="13.5" hidden="false" customHeight="true" outlineLevel="0" collapsed="false"/>
    <row r="14" customFormat="false" ht="13.5" hidden="false" customHeight="true" outlineLevel="0" collapsed="false"/>
    <row r="15" customFormat="false" ht="13.5" hidden="false" customHeight="true" outlineLevel="0" collapsed="false"/>
    <row r="16" customFormat="false" ht="13.5" hidden="false" customHeight="true" outlineLevel="0" collapsed="false"/>
    <row r="17" customFormat="false" ht="13.5" hidden="false" customHeight="true" outlineLevel="0" collapsed="false"/>
    <row r="18" customFormat="false" ht="13.5" hidden="false" customHeight="true" outlineLevel="0" collapsed="false"/>
  </sheetData>
  <mergeCells count="2">
    <mergeCell ref="A1:N1"/>
    <mergeCell ref="A2:N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LibreOffice/25.8.6.2$Linux_X86_64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2026-04-07T11:57:21Z</dcterms:created>
  <dc:creator>openpyxl</dc:creator>
  <dc:description/>
  <dc:language>en-US</dc:language>
  <cp:lastModifiedBy/>
  <dcterms:modified xsi:type="dcterms:W3CDTF">2026-04-08T10:48:07Z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